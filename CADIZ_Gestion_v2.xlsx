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INPUTS" sheetId="1" state="visible" r:id="rId3"/>
    <sheet name="02_ESTADOS_PROYECTADOS" sheetId="2" state="visible" r:id="rId4"/>
    <sheet name="03_RATIOS" sheetId="3" state="visible" r:id="rId5"/>
    <sheet name="04_CONTROL_MODELO" sheetId="4" state="visible" r:id="rId6"/>
    <sheet name="05_HISTORICO_EQUIPOS" sheetId="5" state="visible" r:id="rId7"/>
    <sheet name="DATA_EXPORT" sheetId="6" state="hidden" r:id="rId8"/>
    <sheet name="_ENGINE_PRODUCCION" sheetId="7" state="hidden" r:id="rId9"/>
    <sheet name="_ENGINE_MERCADO" sheetId="8" state="hidden" r:id="rId10"/>
    <sheet name="_ENGINE_FINANCIERO" sheetId="9" state="hidden" r:id="rId11"/>
  </sheets>
  <definedNames>
    <definedName function="false" hidden="true" localSheetId="0" name="_xlnm._FilterDatabase" vbProcedure="false">01_INPUTS!$A$4:$F$279</definedName>
    <definedName function="false" hidden="true" localSheetId="4" name="_xlnm._FilterDatabase" vbProcedure="false">05_HISTORICO_EQUIPOS!$A$4:$H$7236</definedName>
    <definedName function="false" hidden="true" localSheetId="5" name="_xlnm._FilterDatabase" vbProcedure="false">DATA_EXPORT!$A$1:$L$7231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7" authorId="0">
      <text>
        <r>
          <rPr>
            <sz val="10"/>
            <rFont val="Arial"/>
            <family val="2"/>
          </rPr>
          <t xml:space="preserve">[SUPUESTO PROPIO] Herramienta de planificación del equipo, no una regla CESIM. Multiplica el crecimiento de mercado de _ENGINE_MERCADO Sección A1: Demanda_ajustada = Demanda_base × (1+Factor). BASE = 0% por diseño. Aplica ESTRICTAMENTE desde Ronda 3 en adelante -- R0/R1/R2 son histórico cerrado y no se recalculan con este mecanismo.</t>
        </r>
      </text>
    </comment>
    <comment ref="F8" authorId="0">
      <text>
        <r>
          <rPr>
            <sz val="10"/>
            <rFont val="Arial"/>
            <family val="2"/>
          </rPr>
          <t xml:space="preserve">[SUPUESTO PROPIO] Herramienta de planificación del equipo, no una regla CESIM. Recorta la cuota efectiva de CADIZ en _ENGINE_MERCADO Sección A2: Cuota_efectiva = Cuota_objetivo × (1−Factor). BASE = 0% por diseño. Aplica ESTRICTAMENTE desde Ronda 3 en adelante -- R0/R1/R2 son histórico cerrado y no se recalculan con este mecanismo.</t>
        </r>
      </text>
    </comment>
    <comment ref="F9" authorId="0">
      <text>
        <r>
          <rPr>
            <sz val="10"/>
            <rFont val="Arial"/>
            <family val="2"/>
          </rPr>
          <t xml:space="preserve">[NO NEGOCIABLE] Aplica ESTRICTAMENTE desde Ronda 3 en adelante -- R0/R1/R2 son histórico cerrado, no se recalculan con este mecanismo pase lo que pase acá. Cambiar a PESIMISTA/OPTIMISTA para planificar R3+ (afecta TODAS las rondas activas por igual desde R3, es una celda única, no por ronda).</t>
        </r>
      </text>
    </comment>
    <comment ref="F10" authorId="0">
      <text>
        <r>
          <rPr>
            <sz val="10"/>
            <rFont val="Arial"/>
            <family val="2"/>
          </rPr>
          <t xml:space="preserve">=INDEX(fila Pesimista/Optimista/Base de Crecimiento, MATCH(Escenario Activo)). Alimenta _ENGINE_MERCADO Sección A1, solo Ronda 3+.</t>
        </r>
      </text>
    </comment>
    <comment ref="F11" authorId="0">
      <text>
        <r>
          <rPr>
            <sz val="10"/>
            <rFont val="Arial"/>
            <family val="2"/>
          </rPr>
          <t xml:space="preserve">=INDEX(fila Pesimista/Optimista/Base de Competencia, MATCH(Escenario Activo)). Alimenta _ENGINE_MERCADO Sección A2, solo Ronda 3+.</t>
        </r>
      </text>
    </comment>
    <comment ref="F15" authorId="0">
      <text>
        <r>
          <rPr>
            <sz val="10"/>
            <rFont val="Arial"/>
            <family val="2"/>
          </rPr>
          <t xml:space="preserve">Nombre del escenario de decisión (p.ej. 'A'). n/a en rondas históricas.</t>
        </r>
      </text>
    </comment>
    <comment ref="F16" authorId="0">
      <text>
        <r>
          <rPr>
            <sz val="10"/>
            <rFont val="Arial"/>
            <family val="2"/>
          </rPr>
          <t xml:space="preserve">REAL = ronda ya jugada, con RDOS oficiales de CESIM cargados. PLAN = decisión cargada/enviada, aún sin RDOS oficiales confirmados. SIM = corrida de sensibilidad, no es el Plan oficial.</t>
        </r>
      </text>
    </comment>
    <comment ref="F17" authorId="0">
      <text>
        <r>
          <rPr>
            <sz val="10"/>
            <rFont val="Arial"/>
            <family val="2"/>
          </rPr>
          <t xml:space="preserve">SUPUESTO DE MODELO (Cambio 2, v1.1): VERDADERO si Estado de esta ronda ∈ {PLAN,SIM,REAL} Y el input mínimo D1 'Cuota de mercado objetivo SOBRE LA TECNOLOGÍA' (EE.UU./Combustión) está cargado. R0 y R1 quedan fijos en VERDADERO (históricas, no dependen de esta lógica). Usado por 02_ESTADOS_PROYECTADOS, 03_RATIOS, 04_CONTROL_MODELO y DATA_EXPORT para no calcular/exportar una ronda con inputs vacíos. El valor se completa más abajo, una vez creada la fila de D1.</t>
        </r>
      </text>
    </comment>
    <comment ref="F20" authorId="0">
      <text>
        <r>
          <rPr>
            <sz val="10"/>
            <rFont val="Arial"/>
            <family val="2"/>
          </rPr>
          <t xml:space="preserve">Fuente: 'Contexto - Ronda 2.pdf' (China publicada como rango 8-9%; se usa 8,5% como punto medio, documentado).</t>
        </r>
      </text>
    </comment>
    <comment ref="F21" authorId="0">
      <text>
        <r>
          <rPr>
            <sz val="10"/>
            <rFont val="Arial"/>
            <family val="2"/>
          </rPr>
          <t xml:space="preserve">Fuente: 'Contexto - Ronda 2.pdf' (China publicada como rango 8-9%; se usa 8,5% como punto medio, documentado).</t>
        </r>
      </text>
    </comment>
    <comment ref="F22" authorId="0">
      <text>
        <r>
          <rPr>
            <sz val="10"/>
            <rFont val="Arial"/>
            <family val="2"/>
          </rPr>
          <t xml:space="preserve">Fuente: 'Contexto - Ronda 2.pdf' (China publicada como rango 8-9%; se usa 8,5% como punto medio, documentado).</t>
        </r>
      </text>
    </comment>
    <comment ref="F23" authorId="0">
      <text>
        <r>
          <rPr>
            <sz val="10"/>
            <rFont val="Arial"/>
            <family val="2"/>
          </rPr>
          <t xml:space="preserve">DATO HISTÓRICO REAL R0/R1 (RDOS); R2 = Condición oficial ('Contexto - Ronda 2.pdf').</t>
        </r>
      </text>
    </comment>
    <comment ref="F24" authorId="0">
      <text>
        <r>
          <rPr>
            <sz val="10"/>
            <rFont val="Arial"/>
            <family val="2"/>
          </rPr>
          <t xml:space="preserve">DATO HISTÓRICO REAL R0/R1 (RDOS); R2 = Condición oficial ('Contexto - Ronda 2.pdf').</t>
        </r>
      </text>
    </comment>
    <comment ref="F25" authorId="0">
      <text>
        <r>
          <rPr>
            <sz val="10"/>
            <rFont val="Arial"/>
            <family val="2"/>
          </rPr>
          <t xml:space="preserve">DATO HISTÓRICO REAL R0/R1 (RDOS); R2 = Condición oficial ('Contexto - Ronda 2.pdf').</t>
        </r>
      </text>
    </comment>
    <comment ref="F28" authorId="0">
      <text>
        <r>
          <rPr>
            <sz val="10"/>
            <rFont val="Arial"/>
            <family val="2"/>
          </rPr>
          <t xml:space="preserve">REGLA VERIFICADA (manual cap.11): USD 2.000.000/país en R1-R2. Fase 2: el motor de este workbook usa Balance/Caja POR PAÍS -- este valor se aplica directamente a cada país (ya no se poolea ×3, esa simplificación quedó reemplazada).</t>
        </r>
      </text>
    </comment>
    <comment ref="F36" authorId="0">
      <text>
        <r>
          <rPr>
            <sz val="10"/>
            <rFont val="Arial"/>
            <family val="2"/>
          </rPr>
          <t xml:space="preserve">Verificado exacto contra RDOS R1 (desglose de margen por tecnología). Es un costo VARIABLE de OFRECER la característica (se carga al costo de venta por unidad vendida, manual cap. 8) -- distinto de generarla o adquirirla (ver las 2 filas siguientes).</t>
        </r>
      </text>
    </comment>
    <comment ref="F37" authorId="0">
      <text>
        <r>
          <rPr>
            <sz val="10"/>
            <rFont val="Arial"/>
            <family val="2"/>
          </rPr>
          <t xml:space="preserve">Verificado exacto contra RDOS R1 (desglose de margen por tecnología). Es un costo VARIABLE de OFRECER la característica (se carga al costo de venta por unidad vendida, manual cap. 8) -- distinto de generarla o adquirirla (ver las 2 filas siguientes).</t>
        </r>
      </text>
    </comment>
    <comment ref="F38" authorId="0">
      <text>
        <r>
          <rPr>
            <sz val="10"/>
            <rFont val="Arial"/>
            <family val="2"/>
          </rPr>
          <t xml:space="preserve">Verificado exacto contra RDOS R1 (desglose de margen por tecnología). Es un costo VARIABLE de OFRECER la característica (se carga al costo de venta por unidad vendida, manual cap. 8) -- distinto de generarla o adquirirla (ver las 2 filas siguientes).</t>
        </r>
      </text>
    </comment>
    <comment ref="F39" authorId="0">
      <text>
        <r>
          <rPr>
            <sz val="10"/>
            <rFont val="Arial"/>
            <family val="2"/>
          </rPr>
          <t xml:space="preserve">No confirmado contra CESIM todavía (ver Parámetros de Estimaciones). Aplica solo si CADIZ incorpora esta tecnología (Combustión/Híbrido ya están habilitadas).</t>
        </r>
      </text>
    </comment>
    <comment ref="F40" authorId="0">
      <text>
        <r>
          <rPr>
            <sz val="10"/>
            <rFont val="Arial"/>
            <family val="2"/>
          </rPr>
          <t xml:space="preserve">No confirmado contra CESIM todavía (ver Parámetros de Estimaciones). Aplica solo si CADIZ incorpora esta tecnología (Combustión/Híbrido ya están habilitadas).</t>
        </r>
      </text>
    </comment>
    <comment ref="F41" authorId="0">
      <text>
        <r>
          <rPr>
            <sz val="10"/>
            <rFont val="Arial"/>
            <family val="2"/>
          </rPr>
          <t xml:space="preserve">No confirmado contra CESIM todavía (ver Parámetros de Estimaciones). Aplica solo si CADIZ incorpora esta tecnología (Combustión/Híbrido ya están habilitadas).</t>
        </r>
      </text>
    </comment>
    <comment ref="F42" authorId="0">
      <text>
        <r>
          <rPr>
            <sz val="10"/>
            <rFont val="Arial"/>
            <family val="2"/>
          </rPr>
          <t xml:space="preserve">No confirmado contra CESIM todavía (ver Parámetros de Estimaciones). Aplica solo si CADIZ incorpora esta tecnología (Combustión/Híbrido ya están habilitadas).</t>
        </r>
      </text>
    </comment>
    <comment ref="F43" authorId="0">
      <text>
        <r>
          <rPr>
            <sz val="10"/>
            <rFont val="Arial"/>
            <family val="2"/>
          </rPr>
          <t xml:space="preserve">No confirmado contra CESIM todavía (ver Parámetros de Estimaciones). Cubre tanto la ruta de I+D propio como la de compra de licencia (ver D4).</t>
        </r>
      </text>
    </comment>
    <comment ref="F44" authorId="0">
      <text>
        <r>
          <rPr>
            <sz val="10"/>
            <rFont val="Arial"/>
            <family val="2"/>
          </rPr>
          <t xml:space="preserve">No confirmado contra CESIM todavía (ver Parámetros de Estimaciones). Cubre tanto la ruta de I+D propio como la de compra de licencia (ver D4).</t>
        </r>
      </text>
    </comment>
    <comment ref="F45" authorId="0">
      <text>
        <r>
          <rPr>
            <sz val="10"/>
            <rFont val="Arial"/>
            <family val="2"/>
          </rPr>
          <t xml:space="preserve">No confirmado contra CESIM todavía (ver Parámetros de Estimaciones). Cubre tanto la ruta de I+D propio como la de compra de licencia (ver D4).</t>
        </r>
      </text>
    </comment>
    <comment ref="F46" authorId="0">
      <text>
        <r>
          <rPr>
            <sz val="10"/>
            <rFont val="Arial"/>
            <family val="2"/>
          </rPr>
          <t xml:space="preserve">No confirmado contra CESIM todavía (ver Parámetros de Estimaciones). Cubre tanto la ruta de I+D propio como la de compra de licencia (ver D4).</t>
        </r>
      </text>
    </comment>
    <comment ref="F47" authorId="0">
      <text>
        <r>
          <rPr>
            <sz val="10"/>
            <rFont val="Arial"/>
            <family val="2"/>
          </rPr>
          <t xml:space="preserve">ALERTA (ver 04_CONTROL_MODELO): fórmula lineal fijo+planta×N°fábricas+%ingresos subestima fuerte el real R1 (~3,2x en EE.UU.) — el manual confirma economías de escala por fábrica no capturadas aquí.</t>
        </r>
      </text>
    </comment>
    <comment ref="F48" authorId="0">
      <text>
        <r>
          <rPr>
            <sz val="10"/>
            <rFont val="Arial"/>
            <family val="2"/>
          </rPr>
          <t xml:space="preserve">ALERTA (ver 04_CONTROL_MODELO): fórmula lineal fijo+planta×N°fábricas+%ingresos subestima fuerte el real R1 (~3,2x en EE.UU.) — el manual confirma economías de escala por fábrica no capturadas aquí.</t>
        </r>
      </text>
    </comment>
    <comment ref="F49" authorId="0">
      <text>
        <r>
          <rPr>
            <sz val="10"/>
            <rFont val="Arial"/>
            <family val="2"/>
          </rPr>
          <t xml:space="preserve">ALERTA (ver 04_CONTROL_MODELO): fórmula lineal fijo+planta×N°fábricas+%ingresos subestima fuerte el real R1 (~3,2x en EE.UU.) — el manual confirma economías de escala por fábrica no capturadas aquí.</t>
        </r>
      </text>
    </comment>
    <comment ref="F55" authorId="0">
      <text>
        <r>
          <rPr>
            <sz val="10"/>
            <rFont val="Arial"/>
            <family val="2"/>
          </rPr>
          <t xml:space="preserve">Verificado exacto contra RDOS R1.</t>
        </r>
      </text>
    </comment>
    <comment ref="F56" authorId="0">
      <text>
        <r>
          <rPr>
            <sz val="10"/>
            <rFont val="Arial"/>
            <family val="2"/>
          </rPr>
          <t xml:space="preserve">Calibrado contra RDOS R1 con 0,12% de diferencia (aceptado, no forzado).</t>
        </r>
      </text>
    </comment>
    <comment ref="F61" authorId="0">
      <text>
        <r>
          <rPr>
            <sz val="10"/>
            <rFont val="Arial"/>
            <family val="2"/>
          </rPr>
          <t xml:space="preserve">[NO DETERMINADO] Manual cap.11: la emisión/recompra se valúa 'de acuerdo con la valuación del mercado al inicio de la ronda', no a un valor de libro. PROXY = último precio de mercado real conocido (cierre R1). No es una predicción del algoritmo real de CESIM.</t>
        </r>
      </text>
    </comment>
    <comment ref="F70" authorId="0">
      <text>
        <r>
          <rPr>
            <sz val="10"/>
            <rFont val="Arial"/>
            <family val="2"/>
          </rPr>
          <t xml:space="preserve">[SIMPLIFICACIÓN, ver README] Base = precio de transferencia únicamente. El manual (cap. 9.1) define la base como precio de transferencia + costos de característica; no modelado por complejidad — carry-over documentado del motor anterior.</t>
        </r>
      </text>
    </comment>
    <comment ref="F71" authorId="0">
      <text>
        <r>
          <rPr>
            <sz val="10"/>
            <rFont val="Arial"/>
            <family val="2"/>
          </rPr>
          <t xml:space="preserve">[SIMPLIFICACIÓN, ver README] Base = precio de transferencia únicamente. El manual (cap. 9.1) define la base como precio de transferencia + costos de característica; no modelado por complejidad — carry-over documentado del motor anterior.</t>
        </r>
      </text>
    </comment>
    <comment ref="F72" authorId="0">
      <text>
        <r>
          <rPr>
            <sz val="10"/>
            <rFont val="Arial"/>
            <family val="2"/>
          </rPr>
          <t xml:space="preserve">[SIMPLIFICACIÓN, ver README] Base = precio de transferencia únicamente. El manual (cap. 9.1) define la base como precio de transferencia + costos de característica; no modelado por complejidad — carry-over documentado del motor anterior.</t>
        </r>
      </text>
    </comment>
    <comment ref="F73" authorId="0">
      <text>
        <r>
          <rPr>
            <sz val="10"/>
            <rFont val="Arial"/>
            <family val="2"/>
          </rPr>
          <t xml:space="preserve">[SIMPLIFICACIÓN, ver README] Base = precio de transferencia únicamente. El manual (cap. 9.1) define la base como precio de transferencia + costos de característica; no modelado por complejidad — carry-over documentado del motor anterior.</t>
        </r>
      </text>
    </comment>
    <comment ref="F78"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79"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0"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1"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2"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3"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4"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5"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6" authorId="0">
      <text>
        <r>
          <rPr>
            <sz val="10"/>
            <rFont val="Arial"/>
            <family val="2"/>
          </rPr>
          <t xml:space="preserve">[NO VERIFICADO / estructura agregada a pedido del equipo, Adenda 22] Manual cap. 5.2 confirma el concepto (costo de gestión de inventario basado en el promedio apertura+cierre) pero no publica si CESIM lo separa en fijo/variable ni el monto. Celda en blanco, no alimenta ninguna fórmula. Pendiente: verificar contra la pantalla real de CESIM.</t>
        </r>
      </text>
    </comment>
    <comment ref="F87" authorId="0">
      <text>
        <r>
          <rPr>
            <sz val="10"/>
            <rFont val="Arial"/>
            <family val="2"/>
          </rPr>
          <t xml:space="preserve">[NO VERIFICADO / estructura agregada a pedido del equipo, Adenda 22] Ídem nota de 'Costos fijos de gestión de inventario' -- no se encontró el monto publicado. Celda en blanco, no alimenta ninguna fórmula.</t>
        </r>
      </text>
    </comment>
    <comment ref="F88" authorId="0">
      <text>
        <r>
          <rPr>
            <sz val="10"/>
            <rFont val="Arial"/>
            <family val="2"/>
          </rPr>
          <t xml:space="preserve">[NO VERIFICADO / estructura agregada a pedido del equipo, Adenda 22] Manual cap. 5.2 confirma el concepto (costo de gestión de inventario basado en el promedio apertura+cierre) pero no publica si CESIM lo separa en fijo/variable ni el monto. Celda en blanco, no alimenta ninguna fórmula. Pendiente: verificar contra la pantalla real de CESIM.</t>
        </r>
      </text>
    </comment>
    <comment ref="F89" authorId="0">
      <text>
        <r>
          <rPr>
            <sz val="10"/>
            <rFont val="Arial"/>
            <family val="2"/>
          </rPr>
          <t xml:space="preserve">[NO VERIFICADO / estructura agregada a pedido del equipo, Adenda 22] Ídem nota de 'Costos fijos de gestión de inventario' -- no se encontró el monto publicado. Celda en blanco, no alimenta ninguna fórmula.</t>
        </r>
      </text>
    </comment>
    <comment ref="F90" authorId="0">
      <text>
        <r>
          <rPr>
            <sz val="10"/>
            <rFont val="Arial"/>
            <family val="2"/>
          </rPr>
          <t xml:space="preserve">[NO VERIFICADO, Adenda 22] Manual cap. 5.1 confirma que el mix de energía (fósil/renovable) afecta el costo de producción y la imagen pública, pero no publica un precio de carbono explícito en USD/ton, ni se encontró en los archivos del proyecto. Celda en blanco, no alimenta ninguna fórmula. Pendiente: confirmar contra material de cátedra o pantalla real de CESIM.</t>
        </r>
      </text>
    </comment>
    <comment ref="F91" authorId="0">
      <text>
        <r>
          <rPr>
            <sz val="10"/>
            <rFont val="Arial"/>
            <family val="2"/>
          </rPr>
          <t xml:space="preserve">[NO VERIFICADO, Adenda 22] Ídem nota de 'Costo del Carbono' -- concepto confirmado cualitativamente en el manual (cap. 5.1), monto no publicado. Celda en blanco, no alimenta ninguna fórmula.</t>
        </r>
      </text>
    </comment>
    <comment ref="F92" authorId="0">
      <text>
        <r>
          <rPr>
            <sz val="10"/>
            <rFont val="Arial"/>
            <family val="2"/>
          </rPr>
          <t xml:space="preserve">[NO VERIFICADO, Adenda 22] Manual cap. 5.1: 'la utilización de energía renovable aumentará aún más el costo de la energía' (cualitativo, sin monto publicado). Celda en blanco, no alimenta ninguna fórmula.</t>
        </r>
      </text>
    </comment>
    <comment ref="F93" authorId="0">
      <text>
        <r>
          <rPr>
            <sz val="10"/>
            <rFont val="Arial"/>
            <family val="2"/>
          </rPr>
          <t xml:space="preserve">[NO VERIFICADO, Adenda 22] Manual cap. 5.1 confirma que el consumo de agua es un factor de costo de producción, sin tarifa publicada. Celda en blanco, no alimenta ninguna fórmula.</t>
        </r>
      </text>
    </comment>
    <comment ref="F96"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97"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98"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99"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00"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01"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02"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03"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04"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05"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06"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07"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10"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11"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12"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13"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14"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15"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16"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17"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18"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19"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20"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21"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24"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25"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26"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27"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28"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29"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30"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31"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32"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33"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34"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35"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46" authorId="0">
      <text>
        <r>
          <rPr>
            <sz val="10"/>
            <rFont val="Arial"/>
            <family val="2"/>
          </rPr>
          <t xml:space="preserve">China/Combustión y China/Híbrido en R2 incluyen +35k/+15k de safety stock (decisión estratégica ya consolidada del equipo, ver histórico R2 del motor anterior).</t>
        </r>
      </text>
    </comment>
    <comment ref="F147" authorId="0">
      <text>
        <r>
          <rPr>
            <sz val="10"/>
            <rFont val="Arial"/>
            <family val="2"/>
          </rPr>
          <t xml:space="preserve">China/Combustión y China/Híbrido en R2 incluyen +35k/+15k de safety stock (decisión estratégica ya consolidada del equipo, ver histórico R2 del motor anterior).</t>
        </r>
      </text>
    </comment>
    <comment ref="F148" authorId="0">
      <text>
        <r>
          <rPr>
            <sz val="10"/>
            <rFont val="Arial"/>
            <family val="2"/>
          </rPr>
          <t xml:space="preserve">China/Combustión y China/Híbrido en R2 incluyen +35k/+15k de safety stock (decisión estratégica ya consolidada del equipo, ver histórico R2 del motor anterior).</t>
        </r>
      </text>
    </comment>
    <comment ref="F149" authorId="0">
      <text>
        <r>
          <rPr>
            <sz val="10"/>
            <rFont val="Arial"/>
            <family val="2"/>
          </rPr>
          <t xml:space="preserve">China/Combustión y China/Híbrido en R2 incluyen +35k/+15k de safety stock (decisión estratégica ya consolidada del equipo, ver histórico R2 del motor anterior).</t>
        </r>
      </text>
    </comment>
    <comment ref="F150" authorId="0">
      <text>
        <r>
          <rPr>
            <sz val="10"/>
            <rFont val="Arial"/>
            <family val="2"/>
          </rPr>
          <t xml:space="preserve">China/Combustión y China/Híbrido en R2 incluyen +35k/+15k de safety stock (decisión estratégica ya consolidada del equipo, ver histórico R2 del motor anterior).</t>
        </r>
      </text>
    </comment>
    <comment ref="F151" authorId="0">
      <text>
        <r>
          <rPr>
            <sz val="10"/>
            <rFont val="Arial"/>
            <family val="2"/>
          </rPr>
          <t xml:space="preserve">China/Combustión y China/Híbrido en R2 incluyen +35k/+15k de safety stock (decisión estratégica ya consolidada del equipo, ver histórico R2 del motor anterior).</t>
        </r>
      </text>
    </comment>
    <comment ref="F152" authorId="0">
      <text>
        <r>
          <rPr>
            <sz val="10"/>
            <rFont val="Arial"/>
            <family val="2"/>
          </rPr>
          <t xml:space="preserve">China/Combustión y China/Híbrido en R2 incluyen +35k/+15k de safety stock (decisión estratégica ya consolidada del equipo, ver histórico R2 del motor anterior).</t>
        </r>
      </text>
    </comment>
    <comment ref="F153" authorId="0">
      <text>
        <r>
          <rPr>
            <sz val="10"/>
            <rFont val="Arial"/>
            <family val="2"/>
          </rPr>
          <t xml:space="preserve">China/Combustión y China/Híbrido en R2 incluyen +35k/+15k de safety stock (decisión estratégica ya consolidada del equipo, ver histórico R2 del motor anterior).</t>
        </r>
      </text>
    </comment>
    <comment ref="F154" authorId="0">
      <text>
        <r>
          <rPr>
            <sz val="10"/>
            <rFont val="Arial"/>
            <family val="2"/>
          </rPr>
          <t xml:space="preserve">Inversión: capacidad +2 rondas, pago +1 ronda. Desinversión: capacidad −1 ronda, cobro +1 ronda.</t>
        </r>
      </text>
    </comment>
    <comment ref="F155" authorId="0">
      <text>
        <r>
          <rPr>
            <sz val="10"/>
            <rFont val="Arial"/>
            <family val="2"/>
          </rPr>
          <t xml:space="preserve">Inversión: capacidad +2 rondas, pago +1 ronda. Desinversión: capacidad −1 ronda, cobro +1 ronda.</t>
        </r>
      </text>
    </comment>
    <comment ref="F163" authorId="0">
      <text>
        <r>
          <rPr>
            <sz val="10"/>
            <rFont val="Arial"/>
            <family val="2"/>
          </rPr>
          <t xml:space="preserve">1 ronda de rezago hasta estar disponible (manual cap. 7) — no modelado como gatillo de desbloqueo en este workbook de gestión (ver README).</t>
        </r>
      </text>
    </comment>
    <comment ref="F165" authorId="0">
      <text>
        <r>
          <rPr>
            <sz val="10"/>
            <rFont val="Arial"/>
            <family val="2"/>
          </rPr>
          <t xml:space="preserve">1 ronda de rezago hasta estar disponible (manual cap. 7) — no modelado como gatillo de desbloqueo en este workbook de gestión (ver README).</t>
        </r>
      </text>
    </comment>
    <comment ref="F167" authorId="0">
      <text>
        <r>
          <rPr>
            <sz val="10"/>
            <rFont val="Arial"/>
            <family val="2"/>
          </rPr>
          <t xml:space="preserve">1 ronda de rezago hasta estar disponible (manual cap. 7) — no modelado como gatillo de desbloqueo en este workbook de gestión (ver README).</t>
        </r>
      </text>
    </comment>
    <comment ref="F169" authorId="0">
      <text>
        <r>
          <rPr>
            <sz val="10"/>
            <rFont val="Arial"/>
            <family val="2"/>
          </rPr>
          <t xml:space="preserve">1 ronda de rezago hasta estar disponible (manual cap. 7) — no modelado como gatillo de desbloqueo en este workbook de gestión (ver README).</t>
        </r>
      </text>
    </comment>
    <comment ref="F171" authorId="0">
      <text>
        <r>
          <rPr>
            <sz val="10"/>
            <rFont val="Arial"/>
            <family val="2"/>
          </rPr>
          <t xml:space="preserve">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172" authorId="0">
      <text>
        <r>
          <rPr>
            <sz val="10"/>
            <rFont val="Arial"/>
            <family val="2"/>
          </rPr>
          <t xml:space="preserve">= stock disponible esta ronda − stock disponible ronda anterior (fila de arriba). Esta es la cantidad que corresponde multiplicar por 'Costo de generar/adquirir característica nueva' (Sección B) -- NUNCA el stock total acumulado.</t>
        </r>
      </text>
    </comment>
    <comment ref="F173" authorId="0">
      <text>
        <r>
          <rPr>
            <sz val="10"/>
            <rFont val="Arial"/>
            <family val="2"/>
          </rPr>
          <t xml:space="preserve">=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174" authorId="0">
      <text>
        <r>
          <rPr>
            <sz val="10"/>
            <rFont val="Arial"/>
            <family val="2"/>
          </rPr>
          <t xml:space="preserve">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175" authorId="0">
      <text>
        <r>
          <rPr>
            <sz val="10"/>
            <rFont val="Arial"/>
            <family val="2"/>
          </rPr>
          <t xml:space="preserve">= stock disponible esta ronda − stock disponible ronda anterior (fila de arriba). Esta es la cantidad que corresponde multiplicar por 'Costo de generar/adquirir característica nueva' (Sección B) -- NUNCA el stock total acumulado.</t>
        </r>
      </text>
    </comment>
    <comment ref="F176" authorId="0">
      <text>
        <r>
          <rPr>
            <sz val="10"/>
            <rFont val="Arial"/>
            <family val="2"/>
          </rPr>
          <t xml:space="preserve">=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177" authorId="0">
      <text>
        <r>
          <rPr>
            <sz val="10"/>
            <rFont val="Arial"/>
            <family val="2"/>
          </rPr>
          <t xml:space="preserve">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178" authorId="0">
      <text>
        <r>
          <rPr>
            <sz val="10"/>
            <rFont val="Arial"/>
            <family val="2"/>
          </rPr>
          <t xml:space="preserve">= stock disponible esta ronda − stock disponible ronda anterior (fila de arriba). Esta es la cantidad que corresponde multiplicar por 'Costo de generar/adquirir característica nueva' (Sección B) -- NUNCA el stock total acumulado.</t>
        </r>
      </text>
    </comment>
    <comment ref="F179" authorId="0">
      <text>
        <r>
          <rPr>
            <sz val="10"/>
            <rFont val="Arial"/>
            <family val="2"/>
          </rPr>
          <t xml:space="preserve">=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180" authorId="0">
      <text>
        <r>
          <rPr>
            <sz val="10"/>
            <rFont val="Arial"/>
            <family val="2"/>
          </rPr>
          <t xml:space="preserve">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181" authorId="0">
      <text>
        <r>
          <rPr>
            <sz val="10"/>
            <rFont val="Arial"/>
            <family val="2"/>
          </rPr>
          <t xml:space="preserve">= stock disponible esta ronda − stock disponible ronda anterior (fila de arriba). Esta es la cantidad que corresponde multiplicar por 'Costo de generar/adquirir característica nueva' (Sección B) -- NUNCA el stock total acumulado.</t>
        </r>
      </text>
    </comment>
    <comment ref="F182" authorId="0">
      <text>
        <r>
          <rPr>
            <sz val="10"/>
            <rFont val="Arial"/>
            <family val="2"/>
          </rPr>
          <t xml:space="preserve">=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188"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192"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196"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00"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04"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08"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12"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16"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20"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24"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28"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2"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61" authorId="0">
      <text>
        <r>
          <rPr>
            <sz val="10"/>
            <rFont val="Arial"/>
            <family val="2"/>
          </rPr>
          <t xml:space="preserve">Rango [1,2] (manual cap. 10). Recomendación del profesor: no planificar, ajustar jugando.</t>
        </r>
      </text>
    </comment>
    <comment ref="F262" authorId="0">
      <text>
        <r>
          <rPr>
            <sz val="10"/>
            <rFont val="Arial"/>
            <family val="2"/>
          </rPr>
          <t xml:space="preserve">Rango [1,2] (manual cap. 10). Recomendación del profesor: no planificar, ajustar jugando.</t>
        </r>
      </text>
    </comment>
    <comment ref="F263" authorId="0">
      <text>
        <r>
          <rPr>
            <sz val="10"/>
            <rFont val="Arial"/>
            <family val="2"/>
          </rPr>
          <t xml:space="preserve">Rango [1,2] (manual cap. 10). Recomendación del profesor: no planificar, ajustar jugando.</t>
        </r>
      </text>
    </comment>
    <comment ref="F264" authorId="0">
      <text>
        <r>
          <rPr>
            <sz val="10"/>
            <rFont val="Arial"/>
            <family val="2"/>
          </rPr>
          <t xml:space="preserve">Rango [1,2] (manual cap. 10). Recomendación del profesor: no planificar, ajustar jugando.</t>
        </r>
      </text>
    </comment>
    <comment ref="F271" authorId="0">
      <text>
        <r>
          <rPr>
            <sz val="10"/>
            <rFont val="Arial"/>
            <family val="2"/>
          </rPr>
          <t xml:space="preserve">Sin costo/interés (definición cerrada del equipo).</t>
        </r>
      </text>
    </comment>
    <comment ref="F272" authorId="0">
      <text>
        <r>
          <rPr>
            <sz val="10"/>
            <rFont val="Arial"/>
            <family val="2"/>
          </rPr>
          <t xml:space="preserve">Sin costo/interés (definición cerrada del equipo).</t>
        </r>
      </text>
    </comment>
    <comment ref="F273" authorId="0">
      <text>
        <r>
          <rPr>
            <sz val="10"/>
            <rFont val="Arial"/>
            <family val="2"/>
          </rPr>
          <t xml:space="preserve">Sin costo/interés (definición cerrada del equipo).</t>
        </r>
      </text>
    </comment>
    <comment ref="F274" authorId="0">
      <text>
        <r>
          <rPr>
            <sz val="10"/>
            <rFont val="Arial"/>
            <family val="2"/>
          </rPr>
          <t xml:space="preserve">Sin costo/interés (definición cerrada del equipo).</t>
        </r>
      </text>
    </comment>
    <comment ref="F275" authorId="0">
      <text>
        <r>
          <rPr>
            <sz val="10"/>
            <rFont val="Arial"/>
            <family val="2"/>
          </rPr>
          <t xml:space="preserve">Sin costo/interés (definición cerrada del equipo).</t>
        </r>
      </text>
    </comment>
    <comment ref="F276" authorId="0">
      <text>
        <r>
          <rPr>
            <sz val="10"/>
            <rFont val="Arial"/>
            <family val="2"/>
          </rPr>
          <t xml:space="preserve">Sin costo/interés (definición cerrada del equipo).</t>
        </r>
      </text>
    </comment>
    <comment ref="F277" authorId="0">
      <text>
        <r>
          <rPr>
            <sz val="10"/>
            <rFont val="Arial"/>
            <family val="2"/>
          </rPr>
          <t xml:space="preserve">[AMBIGÜEDAD NO RESUELTA] No confirmado si es una decisión separada de la transferencia de fondos o el mismo mecanismo clasificado distinto por CESIM. Default 0 hasta confirmar.</t>
        </r>
      </text>
    </comment>
    <comment ref="F278" authorId="0">
      <text>
        <r>
          <rPr>
            <sz val="10"/>
            <rFont val="Arial"/>
            <family val="2"/>
          </rPr>
          <t xml:space="preserve">[AMBIGÜEDAD NO RESUELTA] No confirmado si es una decisión separada de la transferencia de fondos o el mismo mecanismo clasificado distinto por CESIM. Default 0 hasta confirmar.</t>
        </r>
      </text>
    </comment>
  </commentList>
</comments>
</file>

<file path=xl/sharedStrings.xml><?xml version="1.0" encoding="utf-8"?>
<sst xmlns="http://schemas.openxmlformats.org/spreadsheetml/2006/main" count="104936" uniqueCount="1119">
  <si>
    <t xml:space="preserve">01_INPUTS — Única interfaz de carga manual: Identificación, Condiciones de Ronda y Decisiones D1–D8</t>
  </si>
  <si>
    <t xml:space="preserve">Azul = celda editable (decisión CADIZ o condición de ronda publicada por CESIM). Negro = fórmula de arrastre (edítese solo si CESIM publica un valor nuevo). Gris = dato histórico real (Ronda 0/1, no editar). Para agregar una ronda nueva: completar la columna de esa ronda; el resto de las hojas ya está preparado hasta la Ronda 12.</t>
  </si>
  <si>
    <t xml:space="preserve">PESIMISTA</t>
  </si>
  <si>
    <t xml:space="preserve">OPTIMISTA</t>
  </si>
  <si>
    <t xml:space="preserve">Bloque</t>
  </si>
  <si>
    <t xml:space="preserve">Variable</t>
  </si>
  <si>
    <t xml:space="preserve">Dimensión</t>
  </si>
  <si>
    <t xml:space="preserve">Unidad</t>
  </si>
  <si>
    <t xml:space="preserve">Tipo</t>
  </si>
  <si>
    <t xml:space="preserve">Fuente</t>
  </si>
  <si>
    <t xml:space="preserve">Ronda 0</t>
  </si>
  <si>
    <t xml:space="preserve">Ronda 1</t>
  </si>
  <si>
    <t xml:space="preserve">Ronda 2</t>
  </si>
  <si>
    <t xml:space="preserve">Ronda 3</t>
  </si>
  <si>
    <t xml:space="preserve">Ronda 4</t>
  </si>
  <si>
    <t xml:space="preserve">Ronda 5</t>
  </si>
  <si>
    <t xml:space="preserve">Ronda 6</t>
  </si>
  <si>
    <t xml:space="preserve">Ronda 7</t>
  </si>
  <si>
    <t xml:space="preserve">Ronda 8</t>
  </si>
  <si>
    <t xml:space="preserve">Ronda 9</t>
  </si>
  <si>
    <t xml:space="preserve">Ronda 10</t>
  </si>
  <si>
    <t xml:space="preserve">Ronda 11</t>
  </si>
  <si>
    <t xml:space="preserve">Ronda 12</t>
  </si>
  <si>
    <t xml:space="preserve">BASE</t>
  </si>
  <si>
    <t xml:space="preserve">SECCIÓN [SUPUESTO PROPIO] · MATRIZ DE SENSIBILIDAD (planificación propia, NO es una regla CESIM — no afecta Ronda 2 con Escenario Activo=BASE)</t>
  </si>
  <si>
    <t xml:space="preserve">Pesimista/Optimista en C/D → (Base fija en 0%, col. E oculta a propósito)</t>
  </si>
  <si>
    <t xml:space="preserve">Pesimista</t>
  </si>
  <si>
    <t xml:space="preserve">Optimista</t>
  </si>
  <si>
    <t xml:space="preserve">Base (fija, oculta)</t>
  </si>
  <si>
    <t xml:space="preserve">Equilibrado</t>
  </si>
  <si>
    <t xml:space="preserve">SENS · Supuesto propio</t>
  </si>
  <si>
    <t xml:space="preserve">Desvío en Crecimiento de Mercado (vs. condición publicada)</t>
  </si>
  <si>
    <t xml:space="preserve">CESIM R2</t>
  </si>
  <si>
    <t xml:space="preserve">Precio bajo</t>
  </si>
  <si>
    <t xml:space="preserve">Agresividad de la Competencia (recorte a la cuota efectiva de CADIZ)</t>
  </si>
  <si>
    <t xml:space="preserve">Características</t>
  </si>
  <si>
    <t xml:space="preserve">Escenario Activo</t>
  </si>
  <si>
    <t xml:space="preserve">texto</t>
  </si>
  <si>
    <t xml:space="preserve">DECISIÓN CADIZ (planificación)</t>
  </si>
  <si>
    <t xml:space="preserve">Ver comentario</t>
  </si>
  <si>
    <t xml:space="preserve">Sostenibilidad</t>
  </si>
  <si>
    <t xml:space="preserve">Factor de Crecimiento Activo (calculado)</t>
  </si>
  <si>
    <t xml:space="preserve">%</t>
  </si>
  <si>
    <t xml:space="preserve">CÁLCULO</t>
  </si>
  <si>
    <t xml:space="preserve">Marca</t>
  </si>
  <si>
    <t xml:space="preserve">Factor de Competencia Activo (calculado)</t>
  </si>
  <si>
    <t xml:space="preserve">1</t>
  </si>
  <si>
    <t xml:space="preserve">SECCIÓN A · IDENTIFICACIÓN</t>
  </si>
  <si>
    <t xml:space="preserve">2</t>
  </si>
  <si>
    <t xml:space="preserve">A. Identificación</t>
  </si>
  <si>
    <t xml:space="preserve">Número de ronda</t>
  </si>
  <si>
    <t xml:space="preserve">-</t>
  </si>
  <si>
    <t xml:space="preserve">n°</t>
  </si>
  <si>
    <t xml:space="preserve">3</t>
  </si>
  <si>
    <t xml:space="preserve">Escenario</t>
  </si>
  <si>
    <t xml:space="preserve">DECISIÓN CADIZ</t>
  </si>
  <si>
    <t xml:space="preserve">n/a (histórico)</t>
  </si>
  <si>
    <t xml:space="preserve">A</t>
  </si>
  <si>
    <t xml:space="preserve">Estado</t>
  </si>
  <si>
    <t xml:space="preserve">REAL/PLAN/SIM</t>
  </si>
  <si>
    <t xml:space="preserve">REAL</t>
  </si>
  <si>
    <t xml:space="preserve">PLAN</t>
  </si>
  <si>
    <t xml:space="preserve">RONDA_ACTIVA (calculado)</t>
  </si>
  <si>
    <t xml:space="preserve">VERDADERO/FALSO</t>
  </si>
  <si>
    <t xml:space="preserve">SECCIÓN B · CONDICIONES DE RONDA (valores publicados por CESIM en 'Condiciones' de cada ronda — R3-R12 arrastran el último valor conocido, EDITABLE en cuanto se publique el real)</t>
  </si>
  <si>
    <t xml:space="preserve">B. Condiciones</t>
  </si>
  <si>
    <t xml:space="preserve">Crecimiento de mercado esperado (vs. ronda anterior)</t>
  </si>
  <si>
    <t xml:space="preserve">EE.UU.</t>
  </si>
  <si>
    <t xml:space="preserve">CONDICIÓN DE RONDA</t>
  </si>
  <si>
    <t xml:space="preserve">n/a (Ronda 0, sin ronda anterior)</t>
  </si>
  <si>
    <t xml:space="preserve">n/a (no cargado retroactivamente)</t>
  </si>
  <si>
    <t xml:space="preserve">China</t>
  </si>
  <si>
    <t xml:space="preserve">Europa</t>
  </si>
  <si>
    <t xml:space="preserve">Tasa de impuesto corporativo</t>
  </si>
  <si>
    <t xml:space="preserve">Tipo de cambio (USD por 1 unidad de moneda local)</t>
  </si>
  <si>
    <t xml:space="preserve">China (RMB)</t>
  </si>
  <si>
    <t xml:space="preserve">USD/u.moneda</t>
  </si>
  <si>
    <t xml:space="preserve">n/a (Ronda 0)</t>
  </si>
  <si>
    <t xml:space="preserve">Europa (EUR)</t>
  </si>
  <si>
    <t xml:space="preserve">Efectivo mínimo de fin de ronda</t>
  </si>
  <si>
    <t xml:space="preserve">Todos los países (por país)</t>
  </si>
  <si>
    <t xml:space="preserve">USD</t>
  </si>
  <si>
    <t xml:space="preserve">Supuesto propio</t>
  </si>
  <si>
    <t xml:space="preserve">Tasa de interés — deuda a largo plazo</t>
  </si>
  <si>
    <t xml:space="preserve">Casa matriz EE.UU.</t>
  </si>
  <si>
    <t xml:space="preserve">%/ronda</t>
  </si>
  <si>
    <t xml:space="preserve">Tasa de interés — deuda a corto plazo</t>
  </si>
  <si>
    <t xml:space="preserve">Tasa de interés sobre efectivo</t>
  </si>
  <si>
    <t xml:space="preserve">Costo de la característica</t>
  </si>
  <si>
    <t xml:space="preserve">USD/u.</t>
  </si>
  <si>
    <t xml:space="preserve">RDOS R1</t>
  </si>
  <si>
    <t xml:space="preserve">Costo de adquirir tecnología nueva</t>
  </si>
  <si>
    <t xml:space="preserve">Combustión</t>
  </si>
  <si>
    <t xml:space="preserve">n/a (ya habilitada para CADIZ)</t>
  </si>
  <si>
    <t xml:space="preserve">Híbrido</t>
  </si>
  <si>
    <t xml:space="preserve">Eléctrico</t>
  </si>
  <si>
    <t xml:space="preserve">n/a (no verificado)</t>
  </si>
  <si>
    <t xml:space="preserve">Hidrógeno</t>
  </si>
  <si>
    <t xml:space="preserve">Costo de generar/adquirir característica nueva</t>
  </si>
  <si>
    <t xml:space="preserve">Administración — componente fijo</t>
  </si>
  <si>
    <t xml:space="preserve">Alerta modelo</t>
  </si>
  <si>
    <t xml:space="preserve">Administración — componente por planta (aplicado linealmente, ver ALERTA)</t>
  </si>
  <si>
    <t xml:space="preserve">USD/fábrica</t>
  </si>
  <si>
    <t xml:space="preserve">Administración — componente % sobre ingresos</t>
  </si>
  <si>
    <t xml:space="preserve">% Sueldo bruto sobre costo laboral total (RRHH)</t>
  </si>
  <si>
    <t xml:space="preserve">Global</t>
  </si>
  <si>
    <t xml:space="preserve">Otros costos de I+D por empleado/mes</t>
  </si>
  <si>
    <t xml:space="preserve">USD/empleado/mes</t>
  </si>
  <si>
    <t xml:space="preserve">Costo de contratación por persona</t>
  </si>
  <si>
    <t xml:space="preserve">USD/persona</t>
  </si>
  <si>
    <t xml:space="preserve">Costo de despido por persona</t>
  </si>
  <si>
    <t xml:space="preserve">tramo 5%-20% de reducción</t>
  </si>
  <si>
    <t xml:space="preserve">tramo 20%-50% de reducción</t>
  </si>
  <si>
    <t xml:space="preserve">tramo &gt;50% de reducción</t>
  </si>
  <si>
    <t xml:space="preserve">Valor de referencia de la acción (proxy para EPS/emisión-recompra)</t>
  </si>
  <si>
    <t xml:space="preserve">USD/acción</t>
  </si>
  <si>
    <t xml:space="preserve">NO DETERMINADO</t>
  </si>
  <si>
    <t xml:space="preserve">No determinado</t>
  </si>
  <si>
    <t xml:space="preserve">Costo de transporte por unidad</t>
  </si>
  <si>
    <t xml:space="preserve">EE.UU. → China</t>
  </si>
  <si>
    <t xml:space="preserve">EE.UU. → Europa</t>
  </si>
  <si>
    <t xml:space="preserve">China → EE.UU.</t>
  </si>
  <si>
    <t xml:space="preserve">China → Europa</t>
  </si>
  <si>
    <t xml:space="preserve">Arancel específico por unidad</t>
  </si>
  <si>
    <t xml:space="preserve">Arancel ad valorem (%)</t>
  </si>
  <si>
    <t xml:space="preserve">Costo de inversión por fábrica</t>
  </si>
  <si>
    <t xml:space="preserve">Precio de venta por fábrica (desinversión)</t>
  </si>
  <si>
    <t xml:space="preserve">Costo unitario de producción tercerizada</t>
  </si>
  <si>
    <t xml:space="preserve">EE.UU. / Combustión</t>
  </si>
  <si>
    <t xml:space="preserve">NO DETERMINADO / PENDIENTE DE CARGA</t>
  </si>
  <si>
    <t xml:space="preserve">EE.UU. / Híbrido</t>
  </si>
  <si>
    <t xml:space="preserve">EE.UU. / Eléctrico</t>
  </si>
  <si>
    <t xml:space="preserve">EE.UU. / Hidrógeno</t>
  </si>
  <si>
    <t xml:space="preserve">China / Combustión</t>
  </si>
  <si>
    <t xml:space="preserve">China / Híbrido</t>
  </si>
  <si>
    <t xml:space="preserve">China / Eléctrico</t>
  </si>
  <si>
    <t xml:space="preserve">China / Hidrógeno</t>
  </si>
  <si>
    <t xml:space="preserve">Costos fijos de gestión de inventario</t>
  </si>
  <si>
    <t xml:space="preserve">miles USD</t>
  </si>
  <si>
    <t xml:space="preserve">Costos variables de gestión de inventario</t>
  </si>
  <si>
    <t xml:space="preserve">USD/unidad</t>
  </si>
  <si>
    <t xml:space="preserve">Costo del Carbono</t>
  </si>
  <si>
    <t xml:space="preserve">Todas las áreas</t>
  </si>
  <si>
    <t xml:space="preserve">USD/ton</t>
  </si>
  <si>
    <t xml:space="preserve">Costo de la energía fósil</t>
  </si>
  <si>
    <t xml:space="preserve">USD/kWh</t>
  </si>
  <si>
    <t xml:space="preserve">Costo de la energía renovable</t>
  </si>
  <si>
    <t xml:space="preserve">Costo del agua</t>
  </si>
  <si>
    <t xml:space="preserve">USD/m3</t>
  </si>
  <si>
    <t xml:space="preserve">SECCIÓN C.D1a · DEMANDA — Mix de Industria (TAM) [SUPUESTO PROPIO — no es un input directo publicado por CESIM]</t>
  </si>
  <si>
    <t xml:space="preserve">D1a · MIX INDUSTRIA</t>
  </si>
  <si>
    <t xml:space="preserve">Mix de Industria (TAM)</t>
  </si>
  <si>
    <t xml:space="preserve">% del TAM</t>
  </si>
  <si>
    <t xml:space="preserve">SUPUESTO PROPIO</t>
  </si>
  <si>
    <t xml:space="preserve">n/a (ronda ya jugada)</t>
  </si>
  <si>
    <t xml:space="preserve">Europa / Combustión</t>
  </si>
  <si>
    <t xml:space="preserve">Europa / Híbrido</t>
  </si>
  <si>
    <t xml:space="preserve">Europa / Eléctrico</t>
  </si>
  <si>
    <t xml:space="preserve">Europa / Hidrógeno</t>
  </si>
  <si>
    <t xml:space="preserve">SECCIÓN C.D1b · DEMANDA — Cuota de mercado objetivo SOBRE LA TECNOLOGÍA</t>
  </si>
  <si>
    <t xml:space="preserve">D1 · DEMANDA</t>
  </si>
  <si>
    <t xml:space="preserve">Cuota de mercado objetivo SOBRE LA TECNOLOGÍA</t>
  </si>
  <si>
    <t xml:space="preserve">% de la tecnología</t>
  </si>
  <si>
    <t xml:space="preserve">SECCIÓN C.D1c · DEMANDA — Cuota Resultante SOBRE EL TOTAL (Copiar a CESIM) [CALCULADO = Mix de Industria × Cuota sobre la Tecnología]</t>
  </si>
  <si>
    <t xml:space="preserve">D1c · DEMANDA (RESULTANTE)</t>
  </si>
  <si>
    <t xml:space="preserve">Cuota Resultante SOBRE EL TOTAL (Copiar a CESIM)</t>
  </si>
  <si>
    <t xml:space="preserve">% del mercado</t>
  </si>
  <si>
    <t xml:space="preserve">SECCIÓN C.D2 · PRODUCCIÓN</t>
  </si>
  <si>
    <t xml:space="preserve">D2 · PRODUCCIÓN</t>
  </si>
  <si>
    <t xml:space="preserve">Producción propia</t>
  </si>
  <si>
    <t xml:space="preserve">miles u.</t>
  </si>
  <si>
    <t xml:space="preserve">Producción tercerizada</t>
  </si>
  <si>
    <t xml:space="preserve">Inversión (+) / Desinversión (−) en fábrica</t>
  </si>
  <si>
    <t xml:space="preserve">u. de capacidad</t>
  </si>
  <si>
    <t xml:space="preserve">SECCIÓN C.D3 · RRHH (decisión única, GLOBAL — manual cap. 6; costo se reparte por N° de fábricas)</t>
  </si>
  <si>
    <t xml:space="preserve">D3 · RRHH</t>
  </si>
  <si>
    <t xml:space="preserve">Cantidad de personal de I+D</t>
  </si>
  <si>
    <t xml:space="preserve">personas</t>
  </si>
  <si>
    <t xml:space="preserve">n/a (RDOS no publica headcount por ronda)</t>
  </si>
  <si>
    <t xml:space="preserve">Salario mensual</t>
  </si>
  <si>
    <t xml:space="preserve">Presupuesto mensual de capacitación</t>
  </si>
  <si>
    <t xml:space="preserve">SECCIÓN C.D4 · I+D / TECNOLOGÍA</t>
  </si>
  <si>
    <t xml:space="preserve">D4 · I+D / TECNOLOGÍA</t>
  </si>
  <si>
    <t xml:space="preserve">Jornadas propias asignadas a desarrollo</t>
  </si>
  <si>
    <t xml:space="preserve">jornadas</t>
  </si>
  <si>
    <t xml:space="preserve">Manual cap. 7</t>
  </si>
  <si>
    <t xml:space="preserve">Compra de licencia (USD)</t>
  </si>
  <si>
    <t xml:space="preserve">Características disponibles (acumulado, stock por tecnología)</t>
  </si>
  <si>
    <t xml:space="preserve">cantidad</t>
  </si>
  <si>
    <t xml:space="preserve">Características nuevas generadas esta ronda (diferencial)</t>
  </si>
  <si>
    <t xml:space="preserve">Costo estimado de generar/adquirir características nuevas (referencia)</t>
  </si>
  <si>
    <t xml:space="preserve">SECCIÓN C.D5 · MARKETING</t>
  </si>
  <si>
    <t xml:space="preserve">D5 · MARKETING</t>
  </si>
  <si>
    <t xml:space="preserve">Precio de venta</t>
  </si>
  <si>
    <t xml:space="preserve">Presupuesto de promoción</t>
  </si>
  <si>
    <t xml:space="preserve">Enfoque de estrategia de marketing</t>
  </si>
  <si>
    <t xml:space="preserve">categoría</t>
  </si>
  <si>
    <t xml:space="preserve">Características ofrecidas (de las disponibles, tope 10)</t>
  </si>
  <si>
    <t xml:space="preserve">Manual cap. 8</t>
  </si>
  <si>
    <t xml:space="preserve">RMB</t>
  </si>
  <si>
    <t xml:space="preserve">EUR</t>
  </si>
  <si>
    <t xml:space="preserve">SECCIÓN C.D6 · LOGÍSTICA — Orden de prioridad de entrega (1=primero, 3=último; ranking completo y sin empates por área/tecnología)</t>
  </si>
  <si>
    <t xml:space="preserve">D6 · LOGÍSTICA</t>
  </si>
  <si>
    <t xml:space="preserve">Orden de prioridad de entrega (1=primero, 3=último)</t>
  </si>
  <si>
    <t xml:space="preserve">Área EE.UU. / Combustión → mercado EE.UU.</t>
  </si>
  <si>
    <t xml:space="preserve">ranking</t>
  </si>
  <si>
    <t xml:space="preserve">Área EE.UU. / Combustión → mercado China</t>
  </si>
  <si>
    <t xml:space="preserve">Área EE.UU. / Combustión → mercado Europa</t>
  </si>
  <si>
    <t xml:space="preserve">Área EE.UU. / Híbrido → mercado EE.UU.</t>
  </si>
  <si>
    <t xml:space="preserve">Área EE.UU. / Híbrido → mercado China</t>
  </si>
  <si>
    <t xml:space="preserve">Área EE.UU. / Híbrido → mercado Europa</t>
  </si>
  <si>
    <t xml:space="preserve">Área EE.UU. / Eléctrico → mercado EE.UU.</t>
  </si>
  <si>
    <t xml:space="preserve">Área EE.UU. / Eléctrico → mercado China</t>
  </si>
  <si>
    <t xml:space="preserve">Área EE.UU. / Eléctrico → mercado Europa</t>
  </si>
  <si>
    <t xml:space="preserve">Área EE.UU. / Hidrógeno → mercado EE.UU.</t>
  </si>
  <si>
    <t xml:space="preserve">Área EE.UU. / Hidrógeno → mercado China</t>
  </si>
  <si>
    <t xml:space="preserve">Área EE.UU. / Hidrógeno → mercado Europa</t>
  </si>
  <si>
    <t xml:space="preserve">Área China / Combustión → mercado EE.UU.</t>
  </si>
  <si>
    <t xml:space="preserve">Área China / Combustión → mercado China</t>
  </si>
  <si>
    <t xml:space="preserve">Área China / Combustión → mercado Europa</t>
  </si>
  <si>
    <t xml:space="preserve">Área China / Híbrido → mercado EE.UU.</t>
  </si>
  <si>
    <t xml:space="preserve">Área China / Híbrido → mercado China</t>
  </si>
  <si>
    <t xml:space="preserve">Área China / Híbrido → mercado Europa</t>
  </si>
  <si>
    <t xml:space="preserve">Área China / Eléctrico → mercado EE.UU.</t>
  </si>
  <si>
    <t xml:space="preserve">Área China / Eléctrico → mercado China</t>
  </si>
  <si>
    <t xml:space="preserve">Área China / Eléctrico → mercado Europa</t>
  </si>
  <si>
    <t xml:space="preserve">Área China / Hidrógeno → mercado EE.UU.</t>
  </si>
  <si>
    <t xml:space="preserve">Área China / Hidrógeno → mercado China</t>
  </si>
  <si>
    <t xml:space="preserve">Área China / Hidrógeno → mercado Europa</t>
  </si>
  <si>
    <t xml:space="preserve">SECCIÓN C.D7 · IMPUESTOS / TRANSFER PRICING — Multiplicador de precio de transferencia</t>
  </si>
  <si>
    <t xml:space="preserve">D7 · IMPUESTOS</t>
  </si>
  <si>
    <t xml:space="preserve">Multiplicador de precio de transferencia</t>
  </si>
  <si>
    <t xml:space="preserve">x costo directo (1.0-2.0)</t>
  </si>
  <si>
    <t xml:space="preserve">Manual cap. 10</t>
  </si>
  <si>
    <t xml:space="preserve">SECCIÓN C.D8 · FINANZAS (montos ABSOLUTOS en USD — la deuda de corto plazo NO es un input: es automática, ver 04_CONTROL_MODELO)</t>
  </si>
  <si>
    <t xml:space="preserve">D8 · FINANZAS</t>
  </si>
  <si>
    <t xml:space="preserve">Variación de deuda de largo plazo</t>
  </si>
  <si>
    <t xml:space="preserve">Emisión de acciones</t>
  </si>
  <si>
    <t xml:space="preserve">Recompra de acciones</t>
  </si>
  <si>
    <t xml:space="preserve">Dividendos pagados a accionistas (monto)</t>
  </si>
  <si>
    <t xml:space="preserve">Transferencia de fondos entre países (préstamo interno)</t>
  </si>
  <si>
    <t xml:space="preserve">Europa → EE.UU.</t>
  </si>
  <si>
    <t xml:space="preserve">Europa → China</t>
  </si>
  <si>
    <t xml:space="preserve">Dividendos pagados a casa matriz (filial)</t>
  </si>
  <si>
    <t xml:space="preserve">02_ESTADOS_PROYECTADOS — Estados financieros con selector GLOBAL/EE.UU./CHINA/EUROPA (B2) y detalle por país agrupado ([+]/[-] a la izquierda)</t>
  </si>
  <si>
    <t xml:space="preserve">GLOBAL</t>
  </si>
  <si>
    <t xml:space="preserve">SELECTOR DE VISTA (celda B2) →</t>
  </si>
  <si>
    <t xml:space="preserve">GLOBAL = consolidado (Σ 3 países, con eliminaciones). EE.UU./CHINA/EUROPA = ese país únicamente. VISTA DESPLEGADA = igual a GLOBAL en la fila principal (pensada para cuando se quiere ver todo el detalle por país expandido de entrada). El detalle por país de cada línea está SIEMPRE presente debajo, agrupado con el outline nativo de Excel/LibreOffice -- usar [+]/[-] a la izquierda de la grilla para expandir/colapsar, independientemente de lo que diga B2.</t>
  </si>
  <si>
    <t xml:space="preserve">Detalle por país: Ingresos = 'Ingresos de mercados' (externo, sin transferencias internas). Costos = Costos y gastos totales EXCLUYENDO costos de productos importados (misma base de eliminación que GLOBAL). El resto de las líneas suma exacto a GLOBAL. Celdas en VERDE = link, no editar aquí.</t>
  </si>
  <si>
    <t xml:space="preserve">CHINA</t>
  </si>
  <si>
    <t xml:space="preserve">EUROPA</t>
  </si>
  <si>
    <t xml:space="preserve">Concepto</t>
  </si>
  <si>
    <t xml:space="preserve">R0</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</si>
  <si>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</si>
  <si>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</si>
  <si>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</si>
  <si>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</si>
  <si>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</si>
  <si>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</si>
  <si>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</si>
  <si>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</si>
  <si>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</si>
  <si>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</si>
  <si>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</si>
  <si>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t xml:space="preserve">R12</t>
  </si>
  <si>
    <t xml:space="preserve">VISTA DESPLEGADA</t>
  </si>
  <si>
    <t xml:space="preserve">ESTADO DE RESULTADOS</t>
  </si>
  <si>
    <t xml:space="preserve">Ingresos por ventas</t>
  </si>
  <si>
    <t xml:space="preserve">      EE.UU.</t>
  </si>
  <si>
    <t xml:space="preserve">      China</t>
  </si>
  <si>
    <t xml:space="preserve">      Europa</t>
  </si>
  <si>
    <t xml:space="preserve">Costos y gastos totales</t>
  </si>
  <si>
    <t xml:space="preserve">EBITDA</t>
  </si>
  <si>
    <t xml:space="preserve">Margen EBITDA (%) — sigue la vista de B2 (sin detalle por país, métrica derivada)</t>
  </si>
  <si>
    <t xml:space="preserve">Depreciación</t>
  </si>
  <si>
    <t xml:space="preserve">EBIT</t>
  </si>
  <si>
    <t xml:space="preserve">Gastos financieros netos</t>
  </si>
  <si>
    <t xml:space="preserve">Beneficio antes de impuestos</t>
  </si>
  <si>
    <t xml:space="preserve">Impuesto sobre el beneficio</t>
  </si>
  <si>
    <t xml:space="preserve">Beneficio de la ronda (neto)</t>
  </si>
  <si>
    <t xml:space="preserve">BALANCE</t>
  </si>
  <si>
    <t xml:space="preserve">Activo fijo (neto)</t>
  </si>
  <si>
    <t xml:space="preserve">Inventario</t>
  </si>
  <si>
    <t xml:space="preserve">Cuentas por Cobrar</t>
  </si>
  <si>
    <t xml:space="preserve">Efectivo y equivalentes</t>
  </si>
  <si>
    <t xml:space="preserve">Activos Totales</t>
  </si>
  <si>
    <t xml:space="preserve">Deudas a largo plazo</t>
  </si>
  <si>
    <t xml:space="preserve">Deudas a corto plazo (automática)</t>
  </si>
  <si>
    <t xml:space="preserve">Cuentas por Pagar</t>
  </si>
  <si>
    <t xml:space="preserve">Pasivos Totales</t>
  </si>
  <si>
    <t xml:space="preserve">Capital social</t>
  </si>
  <si>
    <t xml:space="preserve">Capital adicional desembolsado</t>
  </si>
  <si>
    <t xml:space="preserve">Ganancias acumuladas</t>
  </si>
  <si>
    <t xml:space="preserve">Patrimonio neto</t>
  </si>
  <si>
    <t xml:space="preserve">FLUJO DE FONDOS (método indirecto)</t>
  </si>
  <si>
    <t xml:space="preserve">Total actividades operativas</t>
  </si>
  <si>
    <t xml:space="preserve">Total actividades de inversión</t>
  </si>
  <si>
    <t xml:space="preserve">Total actividades financieras (D8)</t>
  </si>
  <si>
    <t xml:space="preserve">Ajuste automático de deuda de corto plazo</t>
  </si>
  <si>
    <t xml:space="preserve">Cambio en efectivo y equivalentes</t>
  </si>
  <si>
    <t xml:space="preserve">Efectivo de apertura</t>
  </si>
  <si>
    <t xml:space="preserve">Efectivo de cierre</t>
  </si>
  <si>
    <t xml:space="preserve">03_RATIOS — Ratios de crecimiento, rentabilidad, financieros y operativos (GLOBAL, por ronda)</t>
  </si>
  <si>
    <t xml:space="preserve">CRECIMIENTO</t>
  </si>
  <si>
    <t xml:space="preserve">Crecimiento de Ingresos vs. ronda anterior</t>
  </si>
  <si>
    <t xml:space="preserve">n/a (ver 02_ESTADOS_PROYECTADOS)</t>
  </si>
  <si>
    <t xml:space="preserve">RENTABILIDAD</t>
  </si>
  <si>
    <t xml:space="preserve">Margen EBITDA</t>
  </si>
  <si>
    <t xml:space="preserve">ROS — Beneficio neto / Ingresos</t>
  </si>
  <si>
    <t xml:space="preserve">ROE — Beneficio neto / Patrimonio promedio (apertura,cierre)</t>
  </si>
  <si>
    <t xml:space="preserve">ROCE — EBIT / Capital empleado promedio (apertura,cierre)</t>
  </si>
  <si>
    <t xml:space="preserve">WACC (proxy simplificado)</t>
  </si>
  <si>
    <t xml:space="preserve">ROCE − WACC (creación de valor)</t>
  </si>
  <si>
    <t xml:space="preserve">p.p.</t>
  </si>
  <si>
    <t xml:space="preserve">EPS — Beneficio neto / N° acciones</t>
  </si>
  <si>
    <t xml:space="preserve">CAJA Y DEUDA</t>
  </si>
  <si>
    <t xml:space="preserve">Flujo de caja libre (FCF) = CFO − CAPEX</t>
  </si>
  <si>
    <t xml:space="preserve">Deuda financiera total (LP+CP)</t>
  </si>
  <si>
    <t xml:space="preserve">Deuda financiera / Patrimonio</t>
  </si>
  <si>
    <t xml:space="preserve">x</t>
  </si>
  <si>
    <t xml:space="preserve">Payout ratio = Dividendos / Beneficio neto</t>
  </si>
  <si>
    <t xml:space="preserve">VALUACIÓN (PROXY — no es una predicción del algoritmo real de CESIM)</t>
  </si>
  <si>
    <t xml:space="preserve">Precio de acción de referencia (Condición, PROXY)</t>
  </si>
  <si>
    <t xml:space="preserve">P/E proxy = Precio referencia / EPS [PROXY]</t>
  </si>
  <si>
    <t xml:space="preserve">Dividend yield proxy = Dividendo por acción / Precio [PROXY]</t>
  </si>
  <si>
    <t xml:space="preserve">Retorno del accionista del período (PROXY) = ΔPrecio referencia × (1+Dividend yield) [PROXY]</t>
  </si>
  <si>
    <t xml:space="preserve">Índice acumulado del accionista (PROXY, base Ronda 0 = 1,00) [memo]</t>
  </si>
  <si>
    <t xml:space="preserve">Retorno total acumulado del accionista (PROXY, anualizado desde R0) [PROXY]</t>
  </si>
  <si>
    <t xml:space="preserve">OPERATIVO — CAPACIDAD, INVENTARIO, DEMANDA</t>
  </si>
  <si>
    <t xml:space="preserve">Utilización de capacidad — EE.UU.</t>
  </si>
  <si>
    <t xml:space="preserve">Utilización de capacidad — China</t>
  </si>
  <si>
    <t xml:space="preserve">Demanda insatisfecha CADIZ (total, todas tech/mercados)</t>
  </si>
  <si>
    <t xml:space="preserve">u.</t>
  </si>
  <si>
    <t xml:space="preserve">Cuota de mercado CADIZ (ponderada por volumen, 3 mercados)</t>
  </si>
  <si>
    <t xml:space="preserve">POR VEHÍCULO</t>
  </si>
  <si>
    <t xml:space="preserve">Ingresos por vehículo vendido</t>
  </si>
  <si>
    <t xml:space="preserve">n/a</t>
  </si>
  <si>
    <t xml:space="preserve">EBITDA por vehículo vendido</t>
  </si>
  <si>
    <t xml:space="preserve">04_CONTROL_MODELO — Controles técnicos de salud del modelo (NO es Control de Gestión frente a profesores/accionistas)</t>
  </si>
  <si>
    <t xml:space="preserve">Verifica consistencia interna e integridad de datos. OK = check pasa; ERROR = revisar antes de usar la proyección. No evalúa desempeño estratégico (eso es 03_RATIOS).</t>
  </si>
  <si>
    <t xml:space="preserve">Control</t>
  </si>
  <si>
    <t xml:space="preserve">Nota</t>
  </si>
  <si>
    <t xml:space="preserve">A · IDENTIDADES CONTABLES Y DE CONSOLIDACIÓN (Fase 2: por país Y Global)</t>
  </si>
  <si>
    <t xml:space="preserve">Balance: Activo Total = Patrimonio + Pasivo — EE.UU.</t>
  </si>
  <si>
    <t xml:space="preserve">CONTROL</t>
  </si>
  <si>
    <t xml:space="preserve">Balance: Activo Total = Patrimonio + Pasivo — China</t>
  </si>
  <si>
    <t xml:space="preserve">Balance: Activo Total = Patrimonio + Pasivo — Europa</t>
  </si>
  <si>
    <t xml:space="preserve">Balance: Activo Total = Patrimonio + Pasivo (Global = Σ países)</t>
  </si>
  <si>
    <t xml:space="preserve">Fase 2: el Global ahora es la SUMA de los 3 Balances por país (arriba), 100% consistentes con RDOS en R0/R1 -- esto corrige la inconsistencia heredada de v1.2 (~1.508,8 MM USD en R1). Ver Informe_V2.md.</t>
  </si>
  <si>
    <t xml:space="preserve">Préstamos internos: Σ EE.UU.+China+Europa = 0</t>
  </si>
  <si>
    <t xml:space="preserve">REGLA VERIFICADA: los préstamos internos entre países (D8) deben netear a 0 exactamente cada ronda (Fase 2: ahora trackeados explícitamente por país, no solo colapsados a nivel Global).</t>
  </si>
  <si>
    <t xml:space="preserve">Cash Flow: Efectivo cierre (CF) = Efectivo (Balance)</t>
  </si>
  <si>
    <t xml:space="preserve">Consolidación: Beneficio Global = Σ Beneficio países</t>
  </si>
  <si>
    <t xml:space="preserve">B · MERCADO, VENTAS E INVENTARIO</t>
  </si>
  <si>
    <t xml:space="preserve">Ventas ≤ Disponibilidad (por área/tecnología)</t>
  </si>
  <si>
    <t xml:space="preserve">Inventario final ≥ 0 (todas las áreas/tecnología)</t>
  </si>
  <si>
    <t xml:space="preserve">Demanda insatisfecha ≥ 0 (todos los mercados/tecnología)</t>
  </si>
  <si>
    <t xml:space="preserve">Producción propia ≤ Capacidad operativa (por área)</t>
  </si>
  <si>
    <t xml:space="preserve">Asignación multi-origen: estado OK en Sección D de _ENGINE_MERCADO</t>
  </si>
  <si>
    <t xml:space="preserve">C · TERCERIZACIÓN, DECISIONES Y CONDICIONES (D2/D8/D9)</t>
  </si>
  <si>
    <t xml:space="preserve">BLOQUEANTE: si Tercerización &gt; 0, Costo unitario de tercerización debe estar cargado</t>
  </si>
  <si>
    <t xml:space="preserve">Manual cap.5: el costo de tercerización varía por volumen y no se publica de antemano -- ver 01_INPUTS 'B. Condiciones'.</t>
  </si>
  <si>
    <t xml:space="preserve">D8: Variación de deuda LP + Emisión − Recompra no deja Patrimonio/Deuda LP negativos</t>
  </si>
  <si>
    <t xml:space="preserve">Sin inputs de decisión (D1-D8) vacíos en la ronda activa</t>
  </si>
  <si>
    <t xml:space="preserve">Máx. tecnologías producidas por área productora</t>
  </si>
  <si>
    <t xml:space="preserve">NO VERIFICADO EN MANUAL -- no se encontró un límite explícito en el texto disponible del manual CESIM. No se fuerza ningún tope; ver Informe de Construcción punto 14.</t>
  </si>
  <si>
    <t xml:space="preserve">NO VERIFICADO</t>
  </si>
  <si>
    <t xml:space="preserve">Máx. tecnologías comercializadas por mercado</t>
  </si>
  <si>
    <t xml:space="preserve">D · INTEGRIDAD DEL MODELO (fórmulas, histórico)</t>
  </si>
  <si>
    <t xml:space="preserve">Integridad histórica: Ronda 0 no fue alterada (Ingresos Global R0 = 39.489.000.000, dato migrado)</t>
  </si>
  <si>
    <t xml:space="preserve">OK (verificar manualmente contra RDOS si se sospecha edición)</t>
  </si>
  <si>
    <t xml:space="preserve">Integridad histórica: Ronda 1 no fue alterada (Beneficio Global R1 = 3.609.336.474,27, dato migrado)</t>
  </si>
  <si>
    <t xml:space="preserve">NOTA: 'Costo de gestión de inventario' (manual cap.5.2) está declarado en 01_INPUTS pero en blanco -- NO se encontró la tasa/monto publicado en los archivos del proyecto. No alimenta ninguna fórmula de este workbook (ni EBITDA ni Balance). Ver Informe de Construcción punto 14 (pendiente, no es una decisión estratégica de CADIZ).</t>
  </si>
  <si>
    <t xml:space="preserve">05_HISTORICO_EQUIPOS — Histórico tidy Ronda 0/1 (7 equipos, migrado de MOTOR_VALIDADO_R2 24_HISTORICO_RONDAS) + PLAN/SIM CADIZ Ronda 2-12 (rondas activas)</t>
  </si>
  <si>
    <t xml:space="preserve">DATO HISTÓRICO REAL para Ronda 0/1 (Estado=REAL, todos los equipos); Tecnología=NA salvo en 'Cuota de mercado' (dato real desagregado por tecnología, ver README) -- el resto de secciones del histórico mezcla varias tecnologías/sub-tablas sin columna propia y NO se reconstruye por inferencia (ver README 'Limitaciones conocidas'); filas con misma clave (ronda,equipo,región,métrica) pero valor distinto quedan marcadas '(variante N)' en vez de colisionar en silencio. Región=NA cuando la fila fuente no identifica un país/Global explícito (no se inventa). Filas PLAN/SIM (Equipo=CADIZ, Ronda 2-12) se generan SOLO para rondas con RONDA_ACTIVA=VERDADERO (Cambio 2, v1.2) y están LINKEADAS por fórmula al motor de este workbook y a 01_INPUTS (Estado); metric/region/technology siguen la misma convención canónica que REAL (ver README).</t>
  </si>
  <si>
    <t xml:space="preserve">Ronda</t>
  </si>
  <si>
    <t xml:space="preserve">Equipo</t>
  </si>
  <si>
    <t xml:space="preserve">Región</t>
  </si>
  <si>
    <t xml:space="preserve">Tecnología</t>
  </si>
  <si>
    <t xml:space="preserve">Métrica</t>
  </si>
  <si>
    <t xml:space="preserve">Valor</t>
  </si>
  <si>
    <t xml:space="preserve">CADIZ</t>
  </si>
  <si>
    <t xml:space="preserve">NA</t>
  </si>
  <si>
    <t xml:space="preserve">CEOS</t>
  </si>
  <si>
    <t xml:space="preserve">CHIEF</t>
  </si>
  <si>
    <t xml:space="preserve">CLAVE</t>
  </si>
  <si>
    <t xml:space="preserve">CUORE</t>
  </si>
  <si>
    <t xml:space="preserve">FOCUS</t>
  </si>
  <si>
    <t xml:space="preserve">TOKIO</t>
  </si>
  <si>
    <t xml:space="preserve">Cuenta de resultados — Costos de fabricación interna</t>
  </si>
  <si>
    <t xml:space="preserve">Cuenta de resultados — Costos de la característica</t>
  </si>
  <si>
    <t xml:space="preserve">Cuenta de resultados — Costos de fabricación contratada</t>
  </si>
  <si>
    <t xml:space="preserve">Cuenta de resultados — Costos de transporte y aranceles</t>
  </si>
  <si>
    <t xml:space="preserve">Cuenta de resultados — I+D</t>
  </si>
  <si>
    <t xml:space="preserve">Cuenta de resultados — Promoción</t>
  </si>
  <si>
    <t xml:space="preserve">Cuenta de resultados — Administración</t>
  </si>
  <si>
    <t xml:space="preserve">Hoja de Balance — Capital social</t>
  </si>
  <si>
    <t xml:space="preserve">Hoja de Balance — Capital adicional desembolsado</t>
  </si>
  <si>
    <t xml:space="preserve">Hoja de Balance — Ganancias acumuladas</t>
  </si>
  <si>
    <t xml:space="preserve">Hoja de Balance — Total de patrimonio neto y pasivo de los accionistas</t>
  </si>
  <si>
    <t xml:space="preserve">Cuenta de resultados — de mercados</t>
  </si>
  <si>
    <t xml:space="preserve">Cuenta de resultados — de transferencias internas</t>
  </si>
  <si>
    <t xml:space="preserve">Cuenta de resultados — Beneficio de Ventas Totales</t>
  </si>
  <si>
    <t xml:space="preserve">Cuenta de resultados — Costos de productos importados</t>
  </si>
  <si>
    <t xml:space="preserve">Cuenta de resultados — Costos y gastos totales</t>
  </si>
  <si>
    <t xml:space="preserve">Cuenta de resultados — Beneficio operativo antes de depreciación (EBITDA)</t>
  </si>
  <si>
    <t xml:space="preserve">Cuenta de resultados — Depreciación de Activos Fijos</t>
  </si>
  <si>
    <t xml:space="preserve">Cuenta de resultados — Beneficio operativo (EBIT)</t>
  </si>
  <si>
    <t xml:space="preserve">Cuenta de resultados — Gastos financieros netos</t>
  </si>
  <si>
    <t xml:space="preserve">Cuenta de resultados — Beneficio antes de impuestos</t>
  </si>
  <si>
    <t xml:space="preserve">Cuenta de resultados — Impuesto sobre el beneficio</t>
  </si>
  <si>
    <t xml:space="preserve">Cuenta de resultados — Beneficio de la ronda</t>
  </si>
  <si>
    <t xml:space="preserve">Hoja de Balance — Activo fijo</t>
  </si>
  <si>
    <t xml:space="preserve">Hoja de Balance — Inventario</t>
  </si>
  <si>
    <t xml:space="preserve">Hoja de Balance — Cuentas por Cobrar</t>
  </si>
  <si>
    <t xml:space="preserve">Hoja de Balance — Efectivo y equivalentes de efectivo</t>
  </si>
  <si>
    <t xml:space="preserve">Hoja de Balance — Activos Totales</t>
  </si>
  <si>
    <t xml:space="preserve">Hoja de Balance — Beneficio de la ronda</t>
  </si>
  <si>
    <t xml:space="preserve">Hoja de Balance — Total patrimonio neto</t>
  </si>
  <si>
    <t xml:space="preserve">Hoja de Balance — Deudas a largo plazo</t>
  </si>
  <si>
    <t xml:space="preserve">Hoja de Balance — Deudas a corto plazo (no planificadas)</t>
  </si>
  <si>
    <t xml:space="preserve">Hoja de Balance — Préstamos internos</t>
  </si>
  <si>
    <t xml:space="preserve">Hoja de Balance — Cuentas por pagar</t>
  </si>
  <si>
    <t xml:space="preserve">Hoja de Balance — Pasivos Totales</t>
  </si>
  <si>
    <t xml:space="preserve">Flujo de efectivo de casa matriz — Beneficio operativo antes de depreciación (EBITDA)</t>
  </si>
  <si>
    <t xml:space="preserve">Flujo de efectivo de casa matriz — Cambio en cuentas por cobrar (incr + / disminuir -)</t>
  </si>
  <si>
    <t xml:space="preserve">Flujo de efectivo de casa matriz — Variación en los stocks (aum - / dism +)</t>
  </si>
  <si>
    <t xml:space="preserve">Flujo de efectivo de casa matriz — Cambios en cuentas por pagar (incr+ / disminuir -)</t>
  </si>
  <si>
    <t xml:space="preserve">Flujo de efectivo de casa matriz — Gastos financieros netos (gastos - / ingresos +)</t>
  </si>
  <si>
    <t xml:space="preserve">Flujo de efectivo de casa matriz — Impuesto sobre el beneficio</t>
  </si>
  <si>
    <t xml:space="preserve">Total actividades operativas (CFO)</t>
  </si>
  <si>
    <t xml:space="preserve">Total actividades de inversión (CFI)</t>
  </si>
  <si>
    <t xml:space="preserve">Flujo de efectivo de casa matriz — Flujo de efectivo antes de las actividades financieras</t>
  </si>
  <si>
    <t xml:space="preserve">Flujo de efectivo de casa matriz — Dividendos</t>
  </si>
  <si>
    <t xml:space="preserve">Flujo de efectivo de casa matriz — Recaudación de emisión de patrimonio neto y recompras</t>
  </si>
  <si>
    <t xml:space="preserve">Flujo de efectivo de casa matriz — Dividendos percibidos de las filiales</t>
  </si>
  <si>
    <t xml:space="preserve">Flujo de efectivo de casa matriz — Cambio de deuda a largo plazo (incr+ / dism-)</t>
  </si>
  <si>
    <t xml:space="preserve">Flujo de efectivo de casa matriz — Cambio en deuda a corto plazo (incr+ /dism - )</t>
  </si>
  <si>
    <t xml:space="preserve">Flujo de efectivo de casa matriz — Cambio en préstamos internos</t>
  </si>
  <si>
    <t xml:space="preserve">Total actividades financieras (CFF)</t>
  </si>
  <si>
    <t xml:space="preserve">Flujo de efectivo de casa matriz — Cambios en efectivo y equivalentes de efectivo</t>
  </si>
  <si>
    <t xml:space="preserve">Flujo de efectivo de casa matriz — Efectivo 1.1.</t>
  </si>
  <si>
    <t xml:space="preserve">Flujo de efectivo de casa matriz — Efectivo 31.12.</t>
  </si>
  <si>
    <t xml:space="preserve">Estado de flujo de efectivo — Beneficio operativo antes de depreciación (EBITDA)</t>
  </si>
  <si>
    <t xml:space="preserve">Estado de flujo de efectivo — Cambio en cuentas por cobrar (incr + / disminuir -)</t>
  </si>
  <si>
    <t xml:space="preserve">Estado de flujo de efectivo — Variación en los stocks (aum - / dism +)</t>
  </si>
  <si>
    <t xml:space="preserve">Estado de flujo de efectivo — Cambios en cuentas por pagar (incr+ / disminuir -)</t>
  </si>
  <si>
    <t xml:space="preserve">Estado de flujo de efectivo — Gastos financieros netos (gastos - / ingresos +)</t>
  </si>
  <si>
    <t xml:space="preserve">Estado de flujo de efectivo — Impuesto sobre el beneficio</t>
  </si>
  <si>
    <t xml:space="preserve">Estado de flujo de efectivo — Flujo de efectivo antes de las actividades financieras</t>
  </si>
  <si>
    <t xml:space="preserve">Estado de flujo de efectivo — Dividendos pagados a casa matriz</t>
  </si>
  <si>
    <t xml:space="preserve">Estado de flujo de efectivo — Cambio en deuda a corto plazo (incr+ /dism - )</t>
  </si>
  <si>
    <t xml:space="preserve">Estado de flujo de efectivo — Cambio en préstamos internos</t>
  </si>
  <si>
    <t xml:space="preserve">Estado de flujo de efectivo — Cambios en efectivo y equivalentes de efectivo</t>
  </si>
  <si>
    <t xml:space="preserve">Estado de flujo de efectivo — Efectivo 1.1.</t>
  </si>
  <si>
    <t xml:space="preserve">Estado de flujo de efectivo — Efectivo 31.12.</t>
  </si>
  <si>
    <t xml:space="preserve">Cuenta de resultados — Ingresos por ventas</t>
  </si>
  <si>
    <t xml:space="preserve">Estado de flujo de efectivo — Ganancias acumuladas, miles USD</t>
  </si>
  <si>
    <t xml:space="preserve">Estado de flujo de efectivo — Capitalización de mercado de la empresa, miles USD</t>
  </si>
  <si>
    <t xml:space="preserve">Estado de flujo de efectivo — Acciones en circulación al final de la ronda, m acciones</t>
  </si>
  <si>
    <t xml:space="preserve">Estado de flujo de efectivo — Precio de la acción al final de la ronda, USD</t>
  </si>
  <si>
    <t xml:space="preserve">Estado de flujo de efectivo — Precio promedio de cotización durante la ronda, USD</t>
  </si>
  <si>
    <t xml:space="preserve">Estado de flujo de efectivo — Rendimiento de los dividendos, %</t>
  </si>
  <si>
    <t xml:space="preserve">Estado de flujo de efectivo — Ratio Precio-Benefício (P/E)</t>
  </si>
  <si>
    <t xml:space="preserve">Estado de flujo de efectivo — Retorno total acumulado del accionista (p.a.), %</t>
  </si>
  <si>
    <t xml:space="preserve">Indicadores Financieros Claves — Margen bruto</t>
  </si>
  <si>
    <t xml:space="preserve">Indicadores Financieros Claves — BENEFICIO OPERATIVO (EBIT)</t>
  </si>
  <si>
    <t xml:space="preserve">ROS</t>
  </si>
  <si>
    <t xml:space="preserve">Indicadores Financieros Claves — Ratio Patrimonio neto</t>
  </si>
  <si>
    <t xml:space="preserve">Indicadores Financieros Claves — Endeudamiento neto/patrimonio (apalancamiento)</t>
  </si>
  <si>
    <t xml:space="preserve">ROCE</t>
  </si>
  <si>
    <t xml:space="preserve">ROE</t>
  </si>
  <si>
    <t xml:space="preserve">EPS</t>
  </si>
  <si>
    <t xml:space="preserve">Indicadores Financieros Claves — Calificación crediticia</t>
  </si>
  <si>
    <t xml:space="preserve">BBB</t>
  </si>
  <si>
    <t xml:space="preserve">Tasas de interés de la deuda específicas a la empresa — EE.UU., largo</t>
  </si>
  <si>
    <t xml:space="preserve">Tasas de interés de la deuda específicas a la empresa — EE.UU., corto</t>
  </si>
  <si>
    <t xml:space="preserve">Tasas de interés de la deuda específicas a la empresa — China, corto</t>
  </si>
  <si>
    <t xml:space="preserve">Tasas de interés de la deuda específicas a la empresa — Europa, corto</t>
  </si>
  <si>
    <t xml:space="preserve">Cuota de mercado</t>
  </si>
  <si>
    <t xml:space="preserve">Cuotas de mercado globales — Total</t>
  </si>
  <si>
    <t xml:space="preserve">Informe de mercado — Precio de venta, USD</t>
  </si>
  <si>
    <t xml:space="preserve">Informe de mercado — Cantidad de características ofrecidas</t>
  </si>
  <si>
    <t xml:space="preserve">Informe de mercado — Enfoque de la estrategia de marketing</t>
  </si>
  <si>
    <t xml:space="preserve">Informe de mercado — Ventas, miles unidades</t>
  </si>
  <si>
    <t xml:space="preserve">Informe de mercado — Demanda, miles unidades</t>
  </si>
  <si>
    <t xml:space="preserve">cuotas de mercado — Total</t>
  </si>
  <si>
    <t xml:space="preserve">Informe de mercado — Precio de venta, RMB</t>
  </si>
  <si>
    <t xml:space="preserve">Informe de mercado — Precio de venta, EUR</t>
  </si>
  <si>
    <t xml:space="preserve">Informe de RRHH — Salario mensual, USD</t>
  </si>
  <si>
    <t xml:space="preserve">Informe de RRHH — Presupuesto mensual para capacitación, USD</t>
  </si>
  <si>
    <t xml:space="preserve">Informe de RRHH — Asignación de jornadas de trabajo, %</t>
  </si>
  <si>
    <t xml:space="preserve">Informe de RRHH — Multiplicador de la eficiencia de RRHH</t>
  </si>
  <si>
    <t xml:space="preserve">Informe de RRHH — Número de personal de I+D, ronda anterior</t>
  </si>
  <si>
    <t xml:space="preserve">Informe de RRHH — Renuncias</t>
  </si>
  <si>
    <t xml:space="preserve">Informe de RRHH — Contrataciones + / despidos -</t>
  </si>
  <si>
    <t xml:space="preserve">Informe de RRHH — Número de personal de I+D, esta ronda</t>
  </si>
  <si>
    <t xml:space="preserve">Informe de RRHH — Rotación de personal, %</t>
  </si>
  <si>
    <t xml:space="preserve">Informe de RRHH — Despidos, %</t>
  </si>
  <si>
    <t xml:space="preserve">Informe de RRHH — Ingresos totales, %</t>
  </si>
  <si>
    <t xml:space="preserve">Desglose de los costos — Costos de despidos</t>
  </si>
  <si>
    <t xml:space="preserve">Desglose de los costos — Costos de contratación</t>
  </si>
  <si>
    <t xml:space="preserve">Desglose de los costos — Salarios y costos laborales</t>
  </si>
  <si>
    <t xml:space="preserve">Desglose de los costos — Costos de capacitación</t>
  </si>
  <si>
    <t xml:space="preserve">Desglose de los costos — Otros costos variables de I + D</t>
  </si>
  <si>
    <t xml:space="preserve">Desglose de los costos — Políticas laborales: apretón de manos dorado</t>
  </si>
  <si>
    <t xml:space="preserve">Desglose de los costos — Costos totales</t>
  </si>
  <si>
    <t xml:space="preserve">Desglose de los costos — Costos totales mensuales por empleado, USD</t>
  </si>
  <si>
    <t xml:space="preserve">Desglose de los costos — Impacto ambiental de las unidades vendidas</t>
  </si>
  <si>
    <t xml:space="preserve">+0%</t>
  </si>
  <si>
    <t xml:space="preserve">Desglose de los costos — Eficiencia operativa</t>
  </si>
  <si>
    <t xml:space="preserve">Desglose de los costos — Utilización de energías renovables</t>
  </si>
  <si>
    <t xml:space="preserve">Desglose de los costos — Reciclabilidad del producto</t>
  </si>
  <si>
    <t xml:space="preserve">Desglose de los costos — Mejoras de procesos</t>
  </si>
  <si>
    <t xml:space="preserve">Desglose de los costos — Compensación de los empleados</t>
  </si>
  <si>
    <t xml:space="preserve">Desglose de los costos — Rotación de personal</t>
  </si>
  <si>
    <t xml:space="preserve">Desglose de los costos — Imagen pública de las prioridades formativas</t>
  </si>
  <si>
    <t xml:space="preserve">Desglose de los costos — Políticas laborales</t>
  </si>
  <si>
    <t xml:space="preserve">Desglose de los costos — Políticas de proveedores</t>
  </si>
  <si>
    <t xml:space="preserve">Desglose de los costos — Recopilación de datos</t>
  </si>
  <si>
    <t xml:space="preserve">Desglose de los costos — Ambiental (E)</t>
  </si>
  <si>
    <t xml:space="preserve">Desglose de los costos — Social (S)</t>
  </si>
  <si>
    <t xml:space="preserve">Desglose de los costos — Gobernanza (G)</t>
  </si>
  <si>
    <t xml:space="preserve">Desglose de los costos — Reputación ESG</t>
  </si>
  <si>
    <t xml:space="preserve">Desglose de los costos — Combustión</t>
  </si>
  <si>
    <t xml:space="preserve">Desglose de los costos — Transporte, promedio</t>
  </si>
  <si>
    <t xml:space="preserve">Desglose de los costos — Total, toneladas métricas</t>
  </si>
  <si>
    <t xml:space="preserve">Desglose de los costos — Combustión (variante 2)</t>
  </si>
  <si>
    <t xml:space="preserve">Desglose de los costos — Total, MWh</t>
  </si>
  <si>
    <t xml:space="preserve">Desglose de los costos — Combustión (variante 3)</t>
  </si>
  <si>
    <t xml:space="preserve">Desglose de los costos — Total, miles de m3</t>
  </si>
  <si>
    <t xml:space="preserve">Desglose de los costos — Combustión (variante 4)</t>
  </si>
  <si>
    <t xml:space="preserve">Desglose de los costos — Total, toneladas métricas (variante 2)</t>
  </si>
  <si>
    <t xml:space="preserve">Desglose de los costos — Combustión (variante 5)</t>
  </si>
  <si>
    <t xml:space="preserve">Desglose de los costos — Total, MWh (variante 2)</t>
  </si>
  <si>
    <t xml:space="preserve">Desglose de los costos — Combustión (variante 6)</t>
  </si>
  <si>
    <t xml:space="preserve">Desglose de los costos — Total, miles de m3 (variante 2)</t>
  </si>
  <si>
    <t xml:space="preserve">Desglose de los costos — Directriz interna</t>
  </si>
  <si>
    <t xml:space="preserve">Uso de materiales reciclados</t>
  </si>
  <si>
    <t xml:space="preserve">Desglose de los costos — Regulaciones laborales y cumplimiento de los derechos de los empleados</t>
  </si>
  <si>
    <t xml:space="preserve">Cumplimiento de las normas</t>
  </si>
  <si>
    <t xml:space="preserve">Desglose de los costos — Relaciones empresa, empleado y sindicato</t>
  </si>
  <si>
    <t xml:space="preserve">Camino intermedio</t>
  </si>
  <si>
    <t xml:space="preserve">Desglose de los costos — Cuotas de puestos gerenciales</t>
  </si>
  <si>
    <t xml:space="preserve">Priorizar moderadamente la contratación diversa</t>
  </si>
  <si>
    <t xml:space="preserve">Desglose de los costos — Manejo de datos personales</t>
  </si>
  <si>
    <t xml:space="preserve">No recopile datos</t>
  </si>
  <si>
    <t xml:space="preserve">Desglose de los costos — Certificaciones de sostenibilidad</t>
  </si>
  <si>
    <t xml:space="preserve">Sin certificación</t>
  </si>
  <si>
    <t xml:space="preserve">Informe del proveedor de componentes — Maestros Materialistas</t>
  </si>
  <si>
    <t xml:space="preserve">✔</t>
  </si>
  <si>
    <t xml:space="preserve">Informe del proveedor de componentes — Componentes Colosales</t>
  </si>
  <si>
    <t xml:space="preserve">Informe del proveedor de componentes — Peculiaridades Cuánticas</t>
  </si>
  <si>
    <t xml:space="preserve">Informe del proveedor de componentes — Dinámica de Fusión</t>
  </si>
  <si>
    <t xml:space="preserve">Informe del proveedor de componentes — Innovación Rediseñada</t>
  </si>
  <si>
    <t xml:space="preserve">Informe del proveedor de componentes — Calidad</t>
  </si>
  <si>
    <t xml:space="preserve">Informe del proveedor de componentes — Sostenibilidad</t>
  </si>
  <si>
    <t xml:space="preserve">Informe del proveedor de componentes — Costo promedio del proveedor de componentes por producto vendido, USD</t>
  </si>
  <si>
    <t xml:space="preserve">Informe del proveedor de componentes — Maestros Materialistas (variante 2)</t>
  </si>
  <si>
    <t xml:space="preserve">Informe del proveedor de componentes — Componentes Colosales (variante 2)</t>
  </si>
  <si>
    <t xml:space="preserve">Informe del proveedor de componentes — Peculiaridades Cuánticas (variante 2)</t>
  </si>
  <si>
    <t xml:space="preserve">Informe del proveedor de componentes — Dinámica de Fusión (variante 2)</t>
  </si>
  <si>
    <t xml:space="preserve">Informe del proveedor de componentes — Innovación Rediseñada (variante 2)</t>
  </si>
  <si>
    <t xml:space="preserve">Informe del proveedor de componentes — Maestros Materialistas (variante 3)</t>
  </si>
  <si>
    <t xml:space="preserve">Informe del proveedor de componentes — Componentes Colosales (variante 3)</t>
  </si>
  <si>
    <t xml:space="preserve">Informe del proveedor de componentes — Peculiaridades Cuánticas (variante 3)</t>
  </si>
  <si>
    <t xml:space="preserve">Informe del proveedor de componentes — Dinámica de Fusión (variante 3)</t>
  </si>
  <si>
    <t xml:space="preserve">Informe del proveedor de componentes — Innovación Rediseñada (variante 3)</t>
  </si>
  <si>
    <t xml:space="preserve">Informe del proveedor de componentes — Combustión</t>
  </si>
  <si>
    <t xml:space="preserve">Informe del proveedor de componentes — Combustión (variante 2)</t>
  </si>
  <si>
    <t xml:space="preserve">Informe del proveedor de componentes — Combustión (variante 3)</t>
  </si>
  <si>
    <t xml:space="preserve">Capacidad empleada — Combustión</t>
  </si>
  <si>
    <t xml:space="preserve">Capacidad empleada — Capacidad Disponible</t>
  </si>
  <si>
    <t xml:space="preserve">Capacidad empleada — Combustión (variante 2)</t>
  </si>
  <si>
    <t xml:space="preserve">Capacidad empleada — Capacidad Disponible (variante 2)</t>
  </si>
  <si>
    <t xml:space="preserve">Capacidad empleada — Combustión (variante 3)</t>
  </si>
  <si>
    <t xml:space="preserve">Capacidad empleada — Híbrido</t>
  </si>
  <si>
    <t xml:space="preserve">Capacidad empleada — Eléctrico</t>
  </si>
  <si>
    <t xml:space="preserve">Capacidad empleada — Hidrógeno</t>
  </si>
  <si>
    <t xml:space="preserve">Capacidad empleada — Costos de gestión del inventario, miles USD</t>
  </si>
  <si>
    <t xml:space="preserve">Capacidad empleada — Costos de gestión del inventario, miles USD (variante 2)</t>
  </si>
  <si>
    <t xml:space="preserve">Capacidad empleada — EE.UU.</t>
  </si>
  <si>
    <t xml:space="preserve">Capacidad empleada — China</t>
  </si>
  <si>
    <t xml:space="preserve">Capacidad empleada — Inventario inicial</t>
  </si>
  <si>
    <t xml:space="preserve">Capacidad empleada — Producción interna</t>
  </si>
  <si>
    <t xml:space="preserve">Capacidad empleada — Producción contratada</t>
  </si>
  <si>
    <t xml:space="preserve">Capacidad empleada — Importado desde China</t>
  </si>
  <si>
    <t xml:space="preserve">Capacidad empleada — Total disponible</t>
  </si>
  <si>
    <t xml:space="preserve">Capacidad empleada — Ventas en EE.UU.</t>
  </si>
  <si>
    <t xml:space="preserve">Capacidad empleada — Exportado a China</t>
  </si>
  <si>
    <t xml:space="preserve">Capacidad empleada — Exportado a Europa</t>
  </si>
  <si>
    <t xml:space="preserve">Capacidad empleada — Inventario final</t>
  </si>
  <si>
    <t xml:space="preserve">Capacidad empleada — Demanda insatisfecha</t>
  </si>
  <si>
    <t xml:space="preserve">Capacidad empleada — Producción interna (variante 2)</t>
  </si>
  <si>
    <t xml:space="preserve">Capacidad empleada — Producción contratada (variante 2)</t>
  </si>
  <si>
    <t xml:space="preserve">Capacidad empleada — Importado desde EE.UU.</t>
  </si>
  <si>
    <t xml:space="preserve">Capacidad empleada — Total disponible (variante 2)</t>
  </si>
  <si>
    <t xml:space="preserve">Capacidad empleada — Ventas en China</t>
  </si>
  <si>
    <t xml:space="preserve">Capacidad empleada — Exportado a EE.UU.</t>
  </si>
  <si>
    <t xml:space="preserve">Capacidad empleada — Exportado a Europa (variante 2)</t>
  </si>
  <si>
    <t xml:space="preserve">Capacidad empleada — Importado desde EE.UU. (variante 2)</t>
  </si>
  <si>
    <t xml:space="preserve">Capacidad empleada — Importado desde China (variante 2)</t>
  </si>
  <si>
    <t xml:space="preserve">Capacidad empleada — Total disponible (variante 3)</t>
  </si>
  <si>
    <t xml:space="preserve">Capacidad empleada — Ventas en Europa</t>
  </si>
  <si>
    <t xml:space="preserve">Capacidad empleada — Demanda insatisfecha (variante 2)</t>
  </si>
  <si>
    <t xml:space="preserve">Capacidad empleada — EE.UU. (variante 2)</t>
  </si>
  <si>
    <t xml:space="preserve">Capacidad empleada — China (variante 2)</t>
  </si>
  <si>
    <t xml:space="preserve">Capacidad empleada — EE.UU. (variante 3)</t>
  </si>
  <si>
    <t xml:space="preserve">Capacidad empleada — China (variante 3)</t>
  </si>
  <si>
    <t xml:space="preserve">Informe de costos — Combustión</t>
  </si>
  <si>
    <t xml:space="preserve">Informe de costos — Costo promedio de logística por producto vendido</t>
  </si>
  <si>
    <t xml:space="preserve">Informe de costos — Combustión (variante 2)</t>
  </si>
  <si>
    <t xml:space="preserve">Informe de costos — Costo promedio de logística por producto vendido (variante 2)</t>
  </si>
  <si>
    <t xml:space="preserve">Informe de costos — Combustión (variante 3)</t>
  </si>
  <si>
    <t xml:space="preserve">Informe de costos — Combustión (variante 4)</t>
  </si>
  <si>
    <t xml:space="preserve">Informe de costos — Combustión (variante 5)</t>
  </si>
  <si>
    <t xml:space="preserve">Informe de costos — Combustión (variante 6)</t>
  </si>
  <si>
    <t xml:space="preserve">Informe de costos — Combustión (variante 7)</t>
  </si>
  <si>
    <t xml:space="preserve">Informe de costos — Promedio ponderado</t>
  </si>
  <si>
    <t xml:space="preserve">Informe de costos — Combustión (variante 8)</t>
  </si>
  <si>
    <t xml:space="preserve">Informe de costos — Promedio ponderado (variante 2)</t>
  </si>
  <si>
    <t xml:space="preserve">Informe de costos — Combustión (variante 9)</t>
  </si>
  <si>
    <t xml:space="preserve">Informe de costos — Promedio ponderado (variante 3)</t>
  </si>
  <si>
    <t xml:space="preserve">Producto Defectuoso-% — Combustión</t>
  </si>
  <si>
    <t xml:space="preserve">Producto Defectuoso-% — Combustión (variante 2)</t>
  </si>
  <si>
    <t xml:space="preserve">Desglose de margen por tec — Ingresos por ventas</t>
  </si>
  <si>
    <t xml:space="preserve">Desglose de margen por tec — Fabricación propia y por contrato</t>
  </si>
  <si>
    <t xml:space="preserve">Desglose de margen por tec — Costo de los productos importados</t>
  </si>
  <si>
    <t xml:space="preserve">Desglose de margen por tec — Transporte y aranceles</t>
  </si>
  <si>
    <t xml:space="preserve">Desglose de margen por tec — Costos de la característica</t>
  </si>
  <si>
    <t xml:space="preserve">Desglose de margen por tec — Costos totales por unidad vendida</t>
  </si>
  <si>
    <t xml:space="preserve">Desglose de margen por tec — Beneficio bruto</t>
  </si>
  <si>
    <t xml:space="preserve">Desglose de margen por tec — Promoción</t>
  </si>
  <si>
    <t xml:space="preserve">Desglose de margen por tec — Margen de contribución</t>
  </si>
  <si>
    <t xml:space="preserve">Desglose de margen por tec — Valor de la empresa, miles USD</t>
  </si>
  <si>
    <t xml:space="preserve">Desglose de margen por tec — Exceso de efectivo (+), miles USD</t>
  </si>
  <si>
    <t xml:space="preserve">Desglose de margen por tec — Valor de la deuda (-), miles USD</t>
  </si>
  <si>
    <t xml:space="preserve">Desglose de margen por tec — Capitalización de mercado, miles USD</t>
  </si>
  <si>
    <t xml:space="preserve">Desglose de margen por tec — Beta</t>
  </si>
  <si>
    <t xml:space="preserve">Desglose de margen por tec — Rendimiento esperado del patrimonio, %</t>
  </si>
  <si>
    <t xml:space="preserve">Desglose de margen por tec — Costo de la deuda después de impuestos, %</t>
  </si>
  <si>
    <t xml:space="preserve">Desglose de margen por tec — Deuda a patrimonio</t>
  </si>
  <si>
    <t xml:space="preserve">Desglose de margen por tec — WACC, %</t>
  </si>
  <si>
    <t xml:space="preserve">Desglose de margen por tec — Valor de la empresa, miles USD (variante 2)</t>
  </si>
  <si>
    <t xml:space="preserve">Desglose de margen por tec — EV/Ventas</t>
  </si>
  <si>
    <t xml:space="preserve">Desglose de margen por tec — Ventas ajustadas, miles USD</t>
  </si>
  <si>
    <t xml:space="preserve">Desglose de margen por tec — Valor de la empresa, miles USD (variante 3)</t>
  </si>
  <si>
    <t xml:space="preserve">Desglose de margen por tec — EV/EBITDA</t>
  </si>
  <si>
    <t xml:space="preserve">Desglose de margen por tec — EBITDA ajustado, miles USD</t>
  </si>
  <si>
    <t xml:space="preserve">Desglose de margen por tec — Valor de la empresa, miles USD (variante 4)</t>
  </si>
  <si>
    <t xml:space="preserve">Desglose de margen por tec — EV/EBIT</t>
  </si>
  <si>
    <t xml:space="preserve">Desglose de margen por tec — EBIT ajustado, miles USD</t>
  </si>
  <si>
    <t xml:space="preserve">Desglose de margen por tec — Valor de la empresa, miles USD (variante 5)</t>
  </si>
  <si>
    <t xml:space="preserve">Desglose de margen por tec — EV/NOPLAT</t>
  </si>
  <si>
    <t xml:space="preserve">Desglose de margen por tec — NOPLAT ajustado, miles USD</t>
  </si>
  <si>
    <t xml:space="preserve">Desglose de margen por tec — Valor de la empresa, miles USD (variante 6)</t>
  </si>
  <si>
    <t xml:space="preserve">Desglose de margen por tec — Calificación crediticia</t>
  </si>
  <si>
    <t xml:space="preserve">Desglose de margen por tec — Valor de la empresa, miles USD (variante 7)</t>
  </si>
  <si>
    <t xml:space="preserve">Desglose de margen por tec — Exceso de efectivo (+), miles USD (variante 2)</t>
  </si>
  <si>
    <t xml:space="preserve">Desglose de margen por tec — Valor de la deuda (-), miles USD (variante 2)</t>
  </si>
  <si>
    <t xml:space="preserve">Desglose de margen por tec — Capitalización de mercado, miles USD (variante 2)</t>
  </si>
  <si>
    <t xml:space="preserve">Desglose de margen por tec — Facturación, miles USD</t>
  </si>
  <si>
    <t xml:space="preserve">Desglose de margen por tec — EBITDA, %</t>
  </si>
  <si>
    <t xml:space="preserve">Desglose de margen por tec — Inversiones, miles USD</t>
  </si>
  <si>
    <t xml:space="preserve">Desglose de margen por tec — Valor de la empresa, miles USD (variante 8)</t>
  </si>
  <si>
    <t xml:space="preserve">Desglose de margen por tec — Ventas ajustadas, miles USD (variante 2)</t>
  </si>
  <si>
    <t xml:space="preserve">Desglose de margen por tec — Valor de la empresa, miles USD (variante 9)</t>
  </si>
  <si>
    <t xml:space="preserve">Desglose de margen por tec — EBITDA ajustado, miles USD (variante 2)</t>
  </si>
  <si>
    <t xml:space="preserve">Desglose de margen por tec — Valor de la empresa, miles USD (variante 10)</t>
  </si>
  <si>
    <t xml:space="preserve">Desglose de margen por tec — EBIT ajustado, miles USD (variante 2)</t>
  </si>
  <si>
    <t xml:space="preserve">Desglose de margen por tec — Valor de la empresa, miles USD (variante 11)</t>
  </si>
  <si>
    <t xml:space="preserve">Desglose de margen por tec — NOPLAT ajustado, miles USD (variante 2)</t>
  </si>
  <si>
    <t xml:space="preserve">Desglose de margen por tec — Valor de la empresa, miles USD (variante 12)</t>
  </si>
  <si>
    <t xml:space="preserve">Desglose de margen por tec — Valor de la empresa, miles USD (variante 13)</t>
  </si>
  <si>
    <t xml:space="preserve">Desglose de margen por tec — Exceso de efectivo (+), miles USD (variante 3)</t>
  </si>
  <si>
    <t xml:space="preserve">Desglose de margen por tec — Valor de la deuda (-), miles USD (variante 3)</t>
  </si>
  <si>
    <t xml:space="preserve">Desglose de margen por tec — Capitalización de mercado, miles USD (variante 3)</t>
  </si>
  <si>
    <t xml:space="preserve">Desglose de margen por tec — Rendimiento esperado del patrimonio, % (variante 2)</t>
  </si>
  <si>
    <t xml:space="preserve">Desglose de margen por tec — Costo de la deuda después de impuestos, % (variante 2)</t>
  </si>
  <si>
    <t xml:space="preserve">Desglose de margen por tec — WACC, % (variante 2)</t>
  </si>
  <si>
    <t xml:space="preserve">Desglose de margen por tec — Facturación, miles USD (variante 2)</t>
  </si>
  <si>
    <t xml:space="preserve">Desglose de margen por tec — EBITDA, % (variante 2)</t>
  </si>
  <si>
    <t xml:space="preserve">Desglose de margen por tec — Inversiones, miles USD (variante 2)</t>
  </si>
  <si>
    <t xml:space="preserve">Desglose de margen por tec — Valor de la empresa, miles USD (variante 14)</t>
  </si>
  <si>
    <t xml:space="preserve">Desglose de margen por tec — Ventas ajustadas, miles USD (variante 3)</t>
  </si>
  <si>
    <t xml:space="preserve">Desglose de margen por tec — Valor de la empresa, miles USD (variante 15)</t>
  </si>
  <si>
    <t xml:space="preserve">Desglose de margen por tec — EBITDA ajustado, miles USD (variante 3)</t>
  </si>
  <si>
    <t xml:space="preserve">Desglose de margen por tec — Valor de la empresa, miles USD (variante 16)</t>
  </si>
  <si>
    <t xml:space="preserve">Desglose de margen por tec — EBIT ajustado, miles USD (variante 3)</t>
  </si>
  <si>
    <t xml:space="preserve">Desglose de margen por tec — Valor de la empresa, miles USD (variante 17)</t>
  </si>
  <si>
    <t xml:space="preserve">Desglose de margen por tec — NOPLAT ajustado, miles USD (variante 3)</t>
  </si>
  <si>
    <t xml:space="preserve">Desglose de margen por tec — Valor de la empresa, miles USD (variante 18)</t>
  </si>
  <si>
    <t xml:space="preserve">Desglose de margen por tec — Valor de la empresa, miles USD (variante 19)</t>
  </si>
  <si>
    <t xml:space="preserve">Desglose de margen por tec — Exceso de efectivo (+), miles USD (variante 4)</t>
  </si>
  <si>
    <t xml:space="preserve">Desglose de margen por tec — Valor de la deuda (-), miles USD (variante 4)</t>
  </si>
  <si>
    <t xml:space="preserve">Desglose de margen por tec — Capitalización de mercado, miles USD (variante 4)</t>
  </si>
  <si>
    <t xml:space="preserve">Desglose de margen por tec — Facturación, miles USD (variante 3)</t>
  </si>
  <si>
    <t xml:space="preserve">Desglose de margen por tec — EBITDA, % (variante 3)</t>
  </si>
  <si>
    <t xml:space="preserve">Desglose de margen por tec — Inversiones, miles USD (variante 3)</t>
  </si>
  <si>
    <t xml:space="preserve">Desglose de margen por tec — Valor de la empresa, miles USD (variante 20)</t>
  </si>
  <si>
    <t xml:space="preserve">Desglose de margen por tec — Ventas ajustadas, miles USD (variante 4)</t>
  </si>
  <si>
    <t xml:space="preserve">Desglose de margen por tec — Valor de la empresa, miles USD (variante 21)</t>
  </si>
  <si>
    <t xml:space="preserve">Desglose de margen por tec — EV/EBITDA (variante 2)</t>
  </si>
  <si>
    <t xml:space="preserve">Desglose de margen por tec — EBITDA ajustado, miles USD (variante 4)</t>
  </si>
  <si>
    <t xml:space="preserve">Desglose de margen por tec — Valor de la empresa, miles USD (variante 22)</t>
  </si>
  <si>
    <t xml:space="preserve">Desglose de margen por tec — EV/EBIT (variante 2)</t>
  </si>
  <si>
    <t xml:space="preserve">Desglose de margen por tec — EBIT ajustado, miles USD (variante 4)</t>
  </si>
  <si>
    <t xml:space="preserve">Desglose de margen por tec — EV/NOPLAT (variante 2)</t>
  </si>
  <si>
    <t xml:space="preserve">Desglose de margen por tec — NOPLAT ajustado, miles USD (variante 4)</t>
  </si>
  <si>
    <t xml:space="preserve">Creación de valor — Beneficio de la ronda, EE.UU.</t>
  </si>
  <si>
    <t xml:space="preserve">Creación de valor — Beneficio de la ronda, China</t>
  </si>
  <si>
    <t xml:space="preserve">Creación de valor — Beneficio de la ronda, Europa</t>
  </si>
  <si>
    <t xml:space="preserve">Creación de valor — Total</t>
  </si>
  <si>
    <t xml:space="preserve">Creación de valor — Gastos financieros netos, EE.UU.</t>
  </si>
  <si>
    <t xml:space="preserve">Creación de valor — Gastos financieros netos, China</t>
  </si>
  <si>
    <t xml:space="preserve">Creación de valor — Gastos financieros netos, Europa</t>
  </si>
  <si>
    <t xml:space="preserve">Creación de valor — Total (variante 2)</t>
  </si>
  <si>
    <t xml:space="preserve">Creación de valor — Desarrollo propio</t>
  </si>
  <si>
    <t xml:space="preserve">Creación de valor — Fabricación interna; costos de personal (~20% de los costos de fabricación interna)</t>
  </si>
  <si>
    <t xml:space="preserve">Creación de valor — Total (variante 3)</t>
  </si>
  <si>
    <t xml:space="preserve">Creación de valor — Impuesto sobre el beneficio, EE.UU.</t>
  </si>
  <si>
    <t xml:space="preserve">Creación de valor — Impuesto sobre el beneficio, China</t>
  </si>
  <si>
    <t xml:space="preserve">Creación de valor — Impuesto sobre el beneficio, Europa</t>
  </si>
  <si>
    <t xml:space="preserve">Creación de valor — Total (variante 4)</t>
  </si>
  <si>
    <t xml:space="preserve">Creación de valor — Costos de materiales (~80% de los costos de producción interna)</t>
  </si>
  <si>
    <t xml:space="preserve">Creación de valor — Costos de la característica</t>
  </si>
  <si>
    <t xml:space="preserve">Creación de valor — Costos de fabricación contratada</t>
  </si>
  <si>
    <t xml:space="preserve">Creación de valor — Acuerdos de licencia de I+D</t>
  </si>
  <si>
    <t xml:space="preserve">Creación de valor — Total (variante 5)</t>
  </si>
  <si>
    <t xml:space="preserve">Creación de valor — Valor total creado</t>
  </si>
  <si>
    <t xml:space="preserve">Creación de valor — Combustión</t>
  </si>
  <si>
    <t xml:space="preserve">Creación de valor — Híbrido</t>
  </si>
  <si>
    <t xml:space="preserve">Creación de valor — Eléctrico</t>
  </si>
  <si>
    <t xml:space="preserve">Creación de valor — Hidrógeno</t>
  </si>
  <si>
    <t xml:space="preserve">Creación de valor — Combustión, USD</t>
  </si>
  <si>
    <t xml:space="preserve">Creación de valor — Híbrido, USD</t>
  </si>
  <si>
    <t xml:space="preserve">Creación de valor — Eléctrico, USD</t>
  </si>
  <si>
    <t xml:space="preserve">Creación de valor — Hidrógeno, USD</t>
  </si>
  <si>
    <t xml:space="preserve">Creación de valor — Combustión, RMB</t>
  </si>
  <si>
    <t xml:space="preserve">Creación de valor — Híbrido, RMB</t>
  </si>
  <si>
    <t xml:space="preserve">Creación de valor — Eléctrico, RMB</t>
  </si>
  <si>
    <t xml:space="preserve">Creación de valor — Hidrógeno, RMB</t>
  </si>
  <si>
    <t xml:space="preserve">Creación de valor — Combustión, EUR</t>
  </si>
  <si>
    <t xml:space="preserve">Creación de valor — Híbrido, EUR</t>
  </si>
  <si>
    <t xml:space="preserve">Creación de valor — Eléctrico, EUR</t>
  </si>
  <si>
    <t xml:space="preserve">Creación de valor — Hidrógeno, EUR</t>
  </si>
  <si>
    <t xml:space="preserve">Creación de valor — Demanda estimada, miles USD</t>
  </si>
  <si>
    <t xml:space="preserve">Creación de valor — Ingresos netos proyectados, miles USD</t>
  </si>
  <si>
    <t xml:space="preserve">AA-</t>
  </si>
  <si>
    <t xml:space="preserve">A+</t>
  </si>
  <si>
    <t xml:space="preserve">B+</t>
  </si>
  <si>
    <t xml:space="preserve">Informe de mercado — Precio de venta, USD (variante 2)</t>
  </si>
  <si>
    <t xml:space="preserve">Informe de mercado — Cantidad de características ofrecidas (variante 2)</t>
  </si>
  <si>
    <t xml:space="preserve">Informe de mercado — Ventas, miles unidades (variante 2)</t>
  </si>
  <si>
    <t xml:space="preserve">Informe de mercado — Demanda, miles unidades (variante 2)</t>
  </si>
  <si>
    <t xml:space="preserve">Informe de mercado — Precio de venta, RMB (variante 2)</t>
  </si>
  <si>
    <t xml:space="preserve">Informe de mercado — Precio de venta, EUR (variante 2)</t>
  </si>
  <si>
    <t xml:space="preserve">Informe de mercado — Enfoque de la estrategia de marketing (variante 2)</t>
  </si>
  <si>
    <t xml:space="preserve">-2.6%</t>
  </si>
  <si>
    <t xml:space="preserve">-1.4%</t>
  </si>
  <si>
    <t xml:space="preserve">-1.8%</t>
  </si>
  <si>
    <t xml:space="preserve">+2.3%</t>
  </si>
  <si>
    <t xml:space="preserve">+0.8%</t>
  </si>
  <si>
    <t xml:space="preserve">+0.2%</t>
  </si>
  <si>
    <t xml:space="preserve">+2.4%</t>
  </si>
  <si>
    <t xml:space="preserve">-1%</t>
  </si>
  <si>
    <t xml:space="preserve">-0.9%</t>
  </si>
  <si>
    <t xml:space="preserve">+0.7%</t>
  </si>
  <si>
    <t xml:space="preserve">+1.2%</t>
  </si>
  <si>
    <t xml:space="preserve">-0.6%</t>
  </si>
  <si>
    <t xml:space="preserve">+0.4%</t>
  </si>
  <si>
    <t xml:space="preserve">-5.8%</t>
  </si>
  <si>
    <t xml:space="preserve">+3.8%</t>
  </si>
  <si>
    <t xml:space="preserve">-10.1%</t>
  </si>
  <si>
    <t xml:space="preserve">+17.9%</t>
  </si>
  <si>
    <t xml:space="preserve">-2.7%</t>
  </si>
  <si>
    <t xml:space="preserve">+1.1%</t>
  </si>
  <si>
    <t xml:space="preserve">-4.7%</t>
  </si>
  <si>
    <t xml:space="preserve">+5%</t>
  </si>
  <si>
    <t xml:space="preserve">-4.2%</t>
  </si>
  <si>
    <t xml:space="preserve">-3.4%</t>
  </si>
  <si>
    <t xml:space="preserve">+19.7%</t>
  </si>
  <si>
    <t xml:space="preserve">-0%</t>
  </si>
  <si>
    <t xml:space="preserve">-0.3%</t>
  </si>
  <si>
    <t xml:space="preserve">-0.1%</t>
  </si>
  <si>
    <t xml:space="preserve">+0.3%</t>
  </si>
  <si>
    <t xml:space="preserve">+0.1%</t>
  </si>
  <si>
    <t xml:space="preserve">+1.7%</t>
  </si>
  <si>
    <t xml:space="preserve">+7.1%</t>
  </si>
  <si>
    <t xml:space="preserve">-4.5%</t>
  </si>
  <si>
    <t xml:space="preserve">-7.3%</t>
  </si>
  <si>
    <t xml:space="preserve">+1%</t>
  </si>
  <si>
    <t xml:space="preserve">Desglose de los costos — Híbrido</t>
  </si>
  <si>
    <t xml:space="preserve">Desglose de los costos — Híbrido (variante 2)</t>
  </si>
  <si>
    <t xml:space="preserve">Desglose de los costos — Híbrido (variante 3)</t>
  </si>
  <si>
    <t xml:space="preserve">Desglose de los costos — Híbrido (variante 4)</t>
  </si>
  <si>
    <t xml:space="preserve">Desglose de los costos — Híbrido (variante 5)</t>
  </si>
  <si>
    <t xml:space="preserve">Desglose de los costos — Híbrido (variante 6)</t>
  </si>
  <si>
    <t xml:space="preserve">Reciclaje de materiales básicos</t>
  </si>
  <si>
    <t xml:space="preserve">Evaluación del ciclo de vida</t>
  </si>
  <si>
    <t xml:space="preserve">Desglose de los costos — Compromiso</t>
  </si>
  <si>
    <t xml:space="preserve">Iniciativas de participación comunitaria</t>
  </si>
  <si>
    <t xml:space="preserve">Enfoque en el bienestar del empleado</t>
  </si>
  <si>
    <t xml:space="preserve">Colaboración sindical</t>
  </si>
  <si>
    <t xml:space="preserve">Programas de mentoría</t>
  </si>
  <si>
    <t xml:space="preserve">Recopilar en cumplimiento</t>
  </si>
  <si>
    <t xml:space="preserve">Bronce</t>
  </si>
  <si>
    <t xml:space="preserve">Desglose de los costos — Formación básica</t>
  </si>
  <si>
    <t xml:space="preserve">Desglose de los costos — Seguridad laboral</t>
  </si>
  <si>
    <t xml:space="preserve">Desglose de los costos — Salud y seguridad personal</t>
  </si>
  <si>
    <t xml:space="preserve">Desglose de los costos — Políticas de no discriminación</t>
  </si>
  <si>
    <t xml:space="preserve">Desglose de los costos — Ética y anticorrupción</t>
  </si>
  <si>
    <t xml:space="preserve">Informe del proveedor de componentes — Híbrido</t>
  </si>
  <si>
    <t xml:space="preserve">Informe del proveedor de componentes — Híbrido (variante 2)</t>
  </si>
  <si>
    <t xml:space="preserve">Informe del proveedor de componentes — Híbrido (variante 3)</t>
  </si>
  <si>
    <t xml:space="preserve">Informe del proveedor de componentes — Combustión (variante 4)</t>
  </si>
  <si>
    <t xml:space="preserve">Informe del proveedor de componentes — Híbrido (variante 4)</t>
  </si>
  <si>
    <t xml:space="preserve">Capacidad empleada — Híbrido (variante 2)</t>
  </si>
  <si>
    <t xml:space="preserve">Capacidad empleada — Híbrido (variante 3)</t>
  </si>
  <si>
    <t xml:space="preserve">Capacidad empleada — Combustión (variante 4)</t>
  </si>
  <si>
    <t xml:space="preserve">Capacidad empleada — Híbrido (variante 4)</t>
  </si>
  <si>
    <t xml:space="preserve">Capacidad empleada — Inventario final (variante 2)</t>
  </si>
  <si>
    <t xml:space="preserve">Capacidad empleada — Demanda insatisfecha (variante 3)</t>
  </si>
  <si>
    <t xml:space="preserve">Capacidad empleada — Producción interna (variante 3)</t>
  </si>
  <si>
    <t xml:space="preserve">Capacidad empleada — Producción contratada (variante 3)</t>
  </si>
  <si>
    <t xml:space="preserve">Capacidad empleada — Total disponible (variante 4)</t>
  </si>
  <si>
    <t xml:space="preserve">Capacidad empleada — Ventas en EE.UU. (variante 2)</t>
  </si>
  <si>
    <t xml:space="preserve">Capacidad empleada — Exportado a Europa (variante 3)</t>
  </si>
  <si>
    <t xml:space="preserve">Capacidad empleada — Demanda insatisfecha (variante 4)</t>
  </si>
  <si>
    <t xml:space="preserve">Capacidad empleada — Producción interna (variante 4)</t>
  </si>
  <si>
    <t xml:space="preserve">Capacidad empleada — Producción contratada (variante 4)</t>
  </si>
  <si>
    <t xml:space="preserve">Capacidad empleada — Total disponible (variante 5)</t>
  </si>
  <si>
    <t xml:space="preserve">Capacidad empleada — Ventas en China (variante 2)</t>
  </si>
  <si>
    <t xml:space="preserve">Capacidad empleada — Exportado a Europa (variante 4)</t>
  </si>
  <si>
    <t xml:space="preserve">Capacidad empleada — Inventario final (variante 3)</t>
  </si>
  <si>
    <t xml:space="preserve">Capacidad empleada — Demanda insatisfecha (variante 5)</t>
  </si>
  <si>
    <t xml:space="preserve">Capacidad empleada — Importado desde EE.UU. (variante 3)</t>
  </si>
  <si>
    <t xml:space="preserve">Capacidad empleada — Importado desde China (variante 3)</t>
  </si>
  <si>
    <t xml:space="preserve">Capacidad empleada — Total disponible (variante 6)</t>
  </si>
  <si>
    <t xml:space="preserve">Capacidad empleada — Ventas en Europa (variante 2)</t>
  </si>
  <si>
    <t xml:space="preserve">Capacidad empleada — Demanda insatisfecha (variante 6)</t>
  </si>
  <si>
    <t xml:space="preserve">Capacidad empleada — EE.UU. (variante 4)</t>
  </si>
  <si>
    <t xml:space="preserve">Capacidad empleada — China (variante 4)</t>
  </si>
  <si>
    <t xml:space="preserve">Informe de costos — Híbrido</t>
  </si>
  <si>
    <t xml:space="preserve">Informe de costos — Híbrido (variante 2)</t>
  </si>
  <si>
    <t xml:space="preserve">Informe de costos — Híbrido (variante 3)</t>
  </si>
  <si>
    <t xml:space="preserve">Informe de costos — Híbrido (variante 4)</t>
  </si>
  <si>
    <t xml:space="preserve">Informe de costos — Híbrido (variante 5)</t>
  </si>
  <si>
    <t xml:space="preserve">Informe de costos — Híbrido (variante 6)</t>
  </si>
  <si>
    <t xml:space="preserve">Informe de costos — Híbrido (variante 7)</t>
  </si>
  <si>
    <t xml:space="preserve">Informe de costos — Híbrido (variante 8)</t>
  </si>
  <si>
    <t xml:space="preserve">Producto Defectuoso-% — Híbrido</t>
  </si>
  <si>
    <t xml:space="preserve">Producto Defectuoso-% — Híbrido (variante 2)</t>
  </si>
  <si>
    <t xml:space="preserve">Desglose de margen por tec — Ingresos por ventas (variante 2)</t>
  </si>
  <si>
    <t xml:space="preserve">Desglose de margen por tec — Fabricación propia y por contrato (variante 2)</t>
  </si>
  <si>
    <t xml:space="preserve">Desglose de margen por tec — Costos de la característica (variante 2)</t>
  </si>
  <si>
    <t xml:space="preserve">Desglose de margen por tec — Costos totales por unidad vendida (variante 2)</t>
  </si>
  <si>
    <t xml:space="preserve">Desglose de margen por tec — Beneficio bruto (variante 2)</t>
  </si>
  <si>
    <t xml:space="preserve">Desglose de margen por tec — Promoción (variante 2)</t>
  </si>
  <si>
    <t xml:space="preserve">Desglose de margen por tec — Margen de contribución (variante 2)</t>
  </si>
  <si>
    <t xml:space="preserve">Desglose de margen por tec — Costo de los productos importados (variante 2)</t>
  </si>
  <si>
    <t xml:space="preserve">Desglose de margen por tec — Transporte y aranceles (variante 2)</t>
  </si>
  <si>
    <t xml:space="preserve">Desglose de margen por tec — Valor de la empresa, miles USD (variante 23)</t>
  </si>
  <si>
    <t xml:space="preserve">Desglose de margen por tec — Valor de la empresa, miles USD (variante 24)</t>
  </si>
  <si>
    <t xml:space="preserve">Creación de valor — Combustión (variante 2)</t>
  </si>
  <si>
    <t xml:space="preserve">Creación de valor — Híbrido (variante 2)</t>
  </si>
  <si>
    <t xml:space="preserve">Creación de valor — Combustión (variante 3)</t>
  </si>
  <si>
    <t xml:space="preserve">Creación de valor — Híbrido (variante 3)</t>
  </si>
  <si>
    <t xml:space="preserve">CADIZ — ESCENARIO A, RONDA 2 (PLAN — linkeado por fórmula a _ENGINE_FINANCIERO / _ENGINE_PRODUCCION / _ENGINE_MERCADO / 03_RATIOS / 01_INPUTS de este workbook)</t>
  </si>
  <si>
    <t xml:space="preserve">ROCE − WACC</t>
  </si>
  <si>
    <t xml:space="preserve">FCF</t>
  </si>
  <si>
    <t xml:space="preserve">Payout ratio</t>
  </si>
  <si>
    <t xml:space="preserve">Demanda insatisfecha CADIZ (total)</t>
  </si>
  <si>
    <t xml:space="preserve">Cuota de mercado CADIZ (ponderada por volumen)</t>
  </si>
  <si>
    <t xml:space="preserve">Retorno total acumulado del accionista (PROXY)</t>
  </si>
  <si>
    <t xml:space="preserve">Utilización de capacidad</t>
  </si>
  <si>
    <t xml:space="preserve">Capacidad operativa</t>
  </si>
  <si>
    <t xml:space="preserve">Cuota de mercado objetivo CADIZ</t>
  </si>
  <si>
    <t xml:space="preserve">ratio</t>
  </si>
  <si>
    <t xml:space="preserve">Ventas efectivas (mercado)</t>
  </si>
  <si>
    <t xml:space="preserve">Costo unitario de producción propia</t>
  </si>
  <si>
    <t xml:space="preserve">Ventas totales (unidades)</t>
  </si>
  <si>
    <t xml:space="preserve">Demanda estimada CADIZ (unidades)</t>
  </si>
  <si>
    <t xml:space="preserve">round</t>
  </si>
  <si>
    <t xml:space="preserve">scenario</t>
  </si>
  <si>
    <t xml:space="preserve">status</t>
  </si>
  <si>
    <t xml:space="preserve">team</t>
  </si>
  <si>
    <t xml:space="preserve">region</t>
  </si>
  <si>
    <t xml:space="preserve">technology</t>
  </si>
  <si>
    <t xml:space="preserve">metric</t>
  </si>
  <si>
    <t xml:space="preserve">value</t>
  </si>
  <si>
    <t xml:space="preserve">unit</t>
  </si>
  <si>
    <t xml:space="preserve">source_value</t>
  </si>
  <si>
    <t xml:space="preserve">source_unit</t>
  </si>
  <si>
    <t xml:space="preserve">is_canonical</t>
  </si>
  <si>
    <t xml:space="preserve">units</t>
  </si>
  <si>
    <t xml:space="preserve">_ENGINE_PRODUCCION — Capacidad, curva de aprendizaje, costo unitario propio, disponibilidad e inventario (costeo FIFO multicapa), depreciación</t>
  </si>
  <si>
    <t xml:space="preserve">PARÁMETROS DEL MOTOR (supuestos de modelización — SUPUESTO PROPIO, no son campos de decisión por ronda)</t>
  </si>
  <si>
    <t xml:space="preserve">PARAM</t>
  </si>
  <si>
    <t xml:space="preserve">Utilización óptima de capacidad (mínimo de la curva en U)</t>
  </si>
  <si>
    <t xml:space="preserve">SUPUESTO</t>
  </si>
  <si>
    <t xml:space="preserve">Penalización por desvío de la utilización óptima (k)</t>
  </si>
  <si>
    <t xml:space="preserve">Tasa de reducción de costo por duplicación de volumen (Wright's Law)</t>
  </si>
  <si>
    <t xml:space="preserve">Todas las tecnologías</t>
  </si>
  <si>
    <t xml:space="preserve">Capacidad por fábrica</t>
  </si>
  <si>
    <t xml:space="preserve">Tasa de depreciación (saldo decreciente)</t>
  </si>
  <si>
    <t xml:space="preserve">EE.UU. y China</t>
  </si>
  <si>
    <t xml:space="preserve">REGLA ESTRUCTURAL CESIM</t>
  </si>
  <si>
    <t xml:space="preserve">Fija en 10%, validada exacta contra RDOS R0→R1 (manual cap. 5.3, metodología de saldo decreciente).</t>
  </si>
  <si>
    <t xml:space="preserve">SECCIÓN A · CAPACIDAD OPERATIVA POR ÁREA</t>
  </si>
  <si>
    <t xml:space="preserve">A. Capacidad</t>
  </si>
  <si>
    <t xml:space="preserve">Inversión(+)/Desinversión(−) decidida (D2)</t>
  </si>
  <si>
    <t xml:space="preserve">u. capacidad</t>
  </si>
  <si>
    <t xml:space="preserve">DECISIÓN CADIZ (link)</t>
  </si>
  <si>
    <t xml:space="preserve">Capacidad que entra en operación esta ronda (rezago +2)</t>
  </si>
  <si>
    <t xml:space="preserve">Capacidad que sale de operación esta ronda (rezago +1)</t>
  </si>
  <si>
    <t xml:space="preserve">Capacidad operativa (cierre de ronda)</t>
  </si>
  <si>
    <t xml:space="preserve">OUTPUT</t>
  </si>
  <si>
    <t xml:space="preserve">Producción propia total del área (Σ tecnologías)</t>
  </si>
  <si>
    <t xml:space="preserve">% Utilización</t>
  </si>
  <si>
    <t xml:space="preserve">Multiplicador de costo por utilización (curva en U)</t>
  </si>
  <si>
    <t xml:space="preserve">Costo básico de producción del área</t>
  </si>
  <si>
    <t xml:space="preserve">CÁLCULO (calibrado R0)</t>
  </si>
  <si>
    <t xml:space="preserve">Ronda 0: calibrado = costo unitario real RDOS / multiplicador de la curva en U a la utilización real de R0. R1-R12: arrastra (editable si CESIM publica un costo básico nuevo).</t>
  </si>
  <si>
    <t xml:space="preserve">SECCIÓN B · COSTO UNITARIO DE PRODUCCIÓN PROPIA (curva de aprendizaje, Wright's Law sobre producción propia acumulada de CADIZ)</t>
  </si>
  <si>
    <t xml:space="preserve">B. Costo propio</t>
  </si>
  <si>
    <t xml:space="preserve">Producción propia de la ronda</t>
  </si>
  <si>
    <t xml:space="preserve">Producción propia acumulada de CADIZ (cierre)</t>
  </si>
  <si>
    <t xml:space="preserve">Factor de curva de aprendizaje</t>
  </si>
  <si>
    <t xml:space="preserve">SECCIÓN C · DISPONIBILIDAD E INVENTARIO — costeo FIFO multicapa (REGLA CESIM VERIFICADA, manual sección 5.2; replica MOTOR_VALIDADO_R2/build_engine_e2.py::layer_valor_formula()). 'Ventas' se completa después de _ENGINE_MERCADO.</t>
  </si>
  <si>
    <t xml:space="preserve">C. Disponibilidad</t>
  </si>
  <si>
    <t xml:space="preserve">Producción tercerizada de la ronda (unidades)</t>
  </si>
  <si>
    <t xml:space="preserve">CONDICIÓN DE RONDA (link)</t>
  </si>
  <si>
    <t xml:space="preserve">Inventario inicial (unidades)</t>
  </si>
  <si>
    <t xml:space="preserve">Inventario inicial (valor)</t>
  </si>
  <si>
    <t xml:space="preserve">Total disponible (unidades)</t>
  </si>
  <si>
    <t xml:space="preserve">Total disponible (valor)</t>
  </si>
  <si>
    <t xml:space="preserve">Costo unitario promedio de venta (memo, resultante de FIFO)</t>
  </si>
  <si>
    <t xml:space="preserve">Fase 2, cambio 1: MEMO informativo = COGS FIFO / unidades vendidas (promedio implícito de lectura rápida). Ya NO alimenta el cálculo -- el Costo de ventas y el Inventario final se calculan con FIFO multicapa por ronda de origen (ver 'Inventario final (valor)'), replicando MOTOR_VALIDADO_R2 / build_engine_e2.py::layer_valor_formula().</t>
  </si>
  <si>
    <t xml:space="preserve">Ventas (unidades)</t>
  </si>
  <si>
    <t xml:space="preserve">OUTPUT (link _ENGINE_MERCADO)</t>
  </si>
  <si>
    <t xml:space="preserve">R0/R1: histórico real (RDOS). R2-R12: link a _ENGINE_MERCADO, Sección C 'Ventas efectivas VALIDADAS' — completado por build_engine_produccion_part2().</t>
  </si>
  <si>
    <t xml:space="preserve">Costo de ventas de la ronda (COGS, FIFO multicapa)</t>
  </si>
  <si>
    <t xml:space="preserve">Inventario final (unidades)</t>
  </si>
  <si>
    <t xml:space="preserve">Inventario final (valor)</t>
  </si>
  <si>
    <t xml:space="preserve">SECCIÓN D · ACTIVO FIJO Y DEPRECIACIÓN (rollforward, saldo decreciente 10%)</t>
  </si>
  <si>
    <t xml:space="preserve">D. Activo fijo</t>
  </si>
  <si>
    <t xml:space="preserve">Precio de venta por fábrica</t>
  </si>
  <si>
    <t xml:space="preserve">N° equivalente de fábricas invertidas(+)/desinvertidas(−)</t>
  </si>
  <si>
    <t xml:space="preserve">fábricas</t>
  </si>
  <si>
    <t xml:space="preserve">Monto de inversión decidida esta ronda (memo)</t>
  </si>
  <si>
    <t xml:space="preserve">n/a (R0)</t>
  </si>
  <si>
    <t xml:space="preserve">Monto de desinversión decidida esta ronda (memo)</t>
  </si>
  <si>
    <t xml:space="preserve">Pago por inversión (impacto de caja, rezago +1 ronda)</t>
  </si>
  <si>
    <t xml:space="preserve">Cobro por desinversión (impacto de caja, rezago +1 ronda)</t>
  </si>
  <si>
    <t xml:space="preserve">Valor bruto (apertura)</t>
  </si>
  <si>
    <t xml:space="preserve">n/a (dato inicial)</t>
  </si>
  <si>
    <t xml:space="preserve">Altas brutas de la ronda</t>
  </si>
  <si>
    <t xml:space="preserve">Bajas brutas de la ronda</t>
  </si>
  <si>
    <t xml:space="preserve">Valor bruto (cierre)</t>
  </si>
  <si>
    <t xml:space="preserve">Depreciación de la ronda</t>
  </si>
  <si>
    <t xml:space="preserve">Depreciación acumulada (apertura)</t>
  </si>
  <si>
    <t xml:space="preserve">Baja de depreciación acumulada por desinversión</t>
  </si>
  <si>
    <t xml:space="preserve">Depreciación acumulada (cierre)</t>
  </si>
  <si>
    <t xml:space="preserve">Valor residual / neto (apertura)</t>
  </si>
  <si>
    <t xml:space="preserve">Bajas netas de la ronda</t>
  </si>
  <si>
    <t xml:space="preserve">Valor residual / neto (cierre)</t>
  </si>
  <si>
    <t xml:space="preserve">_ENGINE_MERCADO — Mercado, demanda, asignación multi-origen por prioridad logística (D6), ventas efectivas, exportaciones y transfer pricing (D7)</t>
  </si>
  <si>
    <t xml:space="preserve">SECCIÓN A1 · TAMAÑO DE MERCADO TOTAL (todas las empresas, por mercado)</t>
  </si>
  <si>
    <t xml:space="preserve">A1. Tamaño de mercado</t>
  </si>
  <si>
    <t xml:space="preserve">Tamaño de mercado R1 — BASE AJUSTADA para proyectar R2+</t>
  </si>
  <si>
    <t xml:space="preserve">DATO EXTERNO (no verificado en archivo propio)</t>
  </si>
  <si>
    <t xml:space="preserve">Observado por el equipo en la plataforma CESIM (no reconstruible desde archivos del proyecto). Solo se usa como base de crecimiento R1→R2.</t>
  </si>
  <si>
    <t xml:space="preserve">Tamaño de mercado total estimado</t>
  </si>
  <si>
    <t xml:space="preserve">R0/R1: derivado de RDOS real (ventas CADIZ / cuota total CADIZ). R2: BASE AJUSTADA R1 × (1+crecimiento D1). R3-R12: ronda anterior × (1+crecimiento).</t>
  </si>
  <si>
    <t xml:space="preserve">SECCIÓN A2 · DEMANDA ESTIMADA DE CADIZ POR MERCADO Y TECNOLOGÍA (proyección propia, no garantizada por CESIM)</t>
  </si>
  <si>
    <t xml:space="preserve">A2. Demanda CADIZ</t>
  </si>
  <si>
    <t xml:space="preserve">Demanda estimada CADIZ</t>
  </si>
  <si>
    <t xml:space="preserve">R0/R1: histórico real (RDOS). R2-R12: Tamaño de mercado (A1) × Cuota Resultante SOBRE EL TOTAL (D1c = Mix de Industria D1a × Cuota sobre la Tecnología D1b) — SUPUESTO, no garantizado por CESIM. Ver Adenda 22.</t>
  </si>
  <si>
    <t xml:space="preserve">SECCIÓN B · OFERTA DISPONIBLE POR ÁREA Y TECNOLOGÍA (link a _ENGINE_PRODUCCION, Total disponible)</t>
  </si>
  <si>
    <t xml:space="preserve">B. Oferta</t>
  </si>
  <si>
    <t xml:space="preserve">Oferta disponible (total disponible, previo a ventas)</t>
  </si>
  <si>
    <t xml:space="preserve">SECCIÓN C · ASIGNACIÓN MULTI-ORIGEN POR PRIORIDAD LOGÍSTICA (prorrateo proporcional si compiten 2 orígenes — SUPUESTO PROPIO, manual cap. 9.1; MISMA lógica del motor anterior)</t>
  </si>
  <si>
    <t xml:space="preserve">C. Asignación</t>
  </si>
  <si>
    <t xml:space="preserve">Mercado en prioridad 1</t>
  </si>
  <si>
    <t xml:space="preserve">Mercado en prioridad 2</t>
  </si>
  <si>
    <t xml:space="preserve">Mercado en prioridad 3</t>
  </si>
  <si>
    <t xml:space="preserve">Demanda remanente de este mercado antes de la prioridad 2</t>
  </si>
  <si>
    <t xml:space="preserve">Demanda remanente de este mercado antes de la prioridad 3</t>
  </si>
  <si>
    <t xml:space="preserve">Demanda insatisfecha estimada (remanente final)</t>
  </si>
  <si>
    <t xml:space="preserve">Oferta propia remanente al iniciar prioridad 1</t>
  </si>
  <si>
    <t xml:space="preserve">Oferta combinada compitiendo por el mercado de prioridad 1</t>
  </si>
  <si>
    <t xml:space="preserve">Unidades asignadas en prioridad 1</t>
  </si>
  <si>
    <t xml:space="preserve">Oferta propia remanente al iniciar prioridad 2</t>
  </si>
  <si>
    <t xml:space="preserve">Oferta combinada compitiendo por el mercado de prioridad 2</t>
  </si>
  <si>
    <t xml:space="preserve">Unidades asignadas en prioridad 2</t>
  </si>
  <si>
    <t xml:space="preserve">Oferta propia remanente al iniciar prioridad 3</t>
  </si>
  <si>
    <t xml:space="preserve">Oferta combinada compitiendo por el mercado de prioridad 3</t>
  </si>
  <si>
    <t xml:space="preserve">Unidades asignadas en prioridad 3</t>
  </si>
  <si>
    <t xml:space="preserve">Ventas efectivas VALIDADAS de esta área/tecnología</t>
  </si>
  <si>
    <t xml:space="preserve">Σ de lo asignado en las 3 prioridades, excluyendo unidades cuyo mercado quedó en estado ERROR (Sección D). Alimenta _ENGINE_PRODUCCION (ventas/COGS/inventario).</t>
  </si>
  <si>
    <t xml:space="preserve">Unidades excluidas por sobre-asignación sin regla de reparto (auditoría)</t>
  </si>
  <si>
    <t xml:space="preserve">ALERTA</t>
  </si>
  <si>
    <t xml:space="preserve">Debería ser SIEMPRE 0 por construcción algebraica del prorrateo; un valor ≠0 indica una inconsistencia a investigar.</t>
  </si>
  <si>
    <t xml:space="preserve">SECCIÓN D · VENTAS EFECTIVAS AGREGADAS POR MERCADO Y TECNOLOGÍA (control bloqueante de sobre-asignación entre áreas)</t>
  </si>
  <si>
    <t xml:space="preserve">D. Ventas por mercado</t>
  </si>
  <si>
    <t xml:space="preserve">Oferta total asignada a este mercado (todas las áreas)</t>
  </si>
  <si>
    <t xml:space="preserve">Control: oferta asignada &gt; demanda estimada</t>
  </si>
  <si>
    <t xml:space="preserve">Estado de validez (control bloqueante)</t>
  </si>
  <si>
    <t xml:space="preserve">Ventas efectivas del mercado (capadas por demanda; 0 si ERROR)</t>
  </si>
  <si>
    <t xml:space="preserve">Demanda insatisfecha estimada</t>
  </si>
  <si>
    <t xml:space="preserve">SECCIÓN E · EXPORTACIÓN, TRANSPORTE, ARANCELES Y PRECIO DE TRANSFERENCIA (por par área origen → mercado destino)</t>
  </si>
  <si>
    <t xml:space="preserve">E. Exportación</t>
  </si>
  <si>
    <t xml:space="preserve">Unidades exportadas (todas las tecnologías)</t>
  </si>
  <si>
    <t xml:space="preserve">Costo unitario de origen (promedio ponderado por mix exportado)</t>
  </si>
  <si>
    <t xml:space="preserve">Multiplicador de precio de transferencia (D7)</t>
  </si>
  <si>
    <t xml:space="preserve">Precio de transferencia</t>
  </si>
  <si>
    <t xml:space="preserve">Arancel ad valorem, USD/u.</t>
  </si>
  <si>
    <t xml:space="preserve">Costo total transporte + arancel por unidad</t>
  </si>
  <si>
    <t xml:space="preserve">Costo total transporte + arancel de la ronda</t>
  </si>
  <si>
    <t xml:space="preserve">_ENGINE_FINANCIERO — P&amp;L, BALANCE y FLUJO DE FONDOS POR PAÍS (Fase 2: caja/deuda/interés reales por país, ya no pool Global) + consolidado GLOBAL = suma de los 3 países</t>
  </si>
  <si>
    <t xml:space="preserve">SECCIÓN A · CUENTA DE RESULTADOS POR PAÍS (interno — transfer pricing e impuestos con tasa/carry-forward propios; el OUTPUT visible de gestión es SOLO GLOBAL, ver 02_ESTADOS_PROYECTADOS)</t>
  </si>
  <si>
    <t xml:space="preserve">A. P&amp;L país</t>
  </si>
  <si>
    <t xml:space="preserve">Ingresos de mercados</t>
  </si>
  <si>
    <t xml:space="preserve">Ingresos de transferencias internas</t>
  </si>
  <si>
    <t xml:space="preserve">0</t>
  </si>
  <si>
    <t xml:space="preserve">Ingresos totales</t>
  </si>
  <si>
    <t xml:space="preserve">Costos de fabricación (interna+contratada)</t>
  </si>
  <si>
    <t xml:space="preserve">Costos de productos importados</t>
  </si>
  <si>
    <t xml:space="preserve">Costos de transporte y aranceles</t>
  </si>
  <si>
    <t xml:space="preserve">N° de fábricas operativas (memo)</t>
  </si>
  <si>
    <t xml:space="preserve">Costos de la característica</t>
  </si>
  <si>
    <t xml:space="preserve">I+D — RRHH (prorrateado por N° de fábricas)</t>
  </si>
  <si>
    <t xml:space="preserve">I+D — Licencias (D4, prorrateado)</t>
  </si>
  <si>
    <t xml:space="preserve">I+D total</t>
  </si>
  <si>
    <t xml:space="preserve">Promoción</t>
  </si>
  <si>
    <t xml:space="preserve">Administración</t>
  </si>
  <si>
    <t xml:space="preserve">Gastos financieros netos (real, por país)</t>
  </si>
  <si>
    <t xml:space="preserve">Fase 2: Deuda LP apertura(solo EE.UU.)×tasa LP + Deuda CP apertura×tasa CP propia del país − Caja apertura×tasa de interés efectivo propia del país. Sobre saldos de APERTURA (ronda anterior) para evitar circularidad con el ajuste automático de la MISMA ronda -- ya NO es un pro-rateo de un pool Global (reemplaza la simplificación de v1.2).</t>
  </si>
  <si>
    <t xml:space="preserve">Pérdida acumulada (apertura, memo)</t>
  </si>
  <si>
    <t xml:space="preserve">Base imponible</t>
  </si>
  <si>
    <t xml:space="preserve">Pérdida acumulada (cierre, memo)</t>
  </si>
  <si>
    <t xml:space="preserve">Beneficio de la ronda</t>
  </si>
  <si>
    <t xml:space="preserve">BAL país</t>
  </si>
  <si>
    <t xml:space="preserve">Link _ENGINE_PRODUCCION.</t>
  </si>
  <si>
    <t xml:space="preserve">Inventario (FIFO)</t>
  </si>
  <si>
    <t xml:space="preserve">Σ Inventario final FIFO por tecnología (_ENGINE_PRODUCCION).</t>
  </si>
  <si>
    <t xml:space="preserve">[SUPUESTO CALIBRADO] Ingresos totales × tasa CxC/Ingresos propia del país (calibrada contra RDOS R1, ver PARAM) -- MISMA tasa que usaba MOTOR_VALIDADO_R2/build_engine_e5.py.</t>
  </si>
  <si>
    <t xml:space="preserve">Efectivo de cierre del Flujo de Fondos de este país (más abajo).</t>
  </si>
  <si>
    <t xml:space="preserve">Casa matriz: apertura + Emisión(D8) − Recompra(D8).</t>
  </si>
  <si>
    <t xml:space="preserve">Constante (=0, sin regla CESIM que lo modifique en este modelo).</t>
  </si>
  <si>
    <t xml:space="preserve">Apertura + Beneficio de la ronda − Dividendos a accionistas(D8) + Dividendos recibidos de filiales(D8).</t>
  </si>
  <si>
    <t xml:space="preserve">Total patrimonio neto</t>
  </si>
  <si>
    <t xml:space="preserve">Apertura + Variación de deuda LP (D8).</t>
  </si>
  <si>
    <t xml:space="preserve">Deudas a corto plazo (ajuste automático)</t>
  </si>
  <si>
    <t xml:space="preserve">REGLA VERIFICADA (manual cap.11): repone/repaga cada país individualmente hasta su propio efectivo mínimo (Condición, USD 2.000.000/país). Interés sobre saldos de APERTURA (ver Gastos financieros netos, Sección A) -- evita circularidad con el ajuste automático de la MISMA ronda.</t>
  </si>
  <si>
    <t xml:space="preserve">Préstamos internos</t>
  </si>
  <si>
    <t xml:space="preserve">Apertura + Σ transferencias recibidas(D8) − Σ transferencias enviadas(D8), sin interés. REGLA VERIFICADA: netea a 0 entre los 3 países cada ronda (ver 04_CONTROL_MODELO).</t>
  </si>
  <si>
    <t xml:space="preserve">Cuentas por pagar</t>
  </si>
  <si>
    <t xml:space="preserve">[SUPUESTO CALIBRADO] Costos y gastos totales × tasa CxP/Costos propia del país (calibrada contra RDOS R1, ver PARAM) -- MISMA tasa que usaba MOTOR_VALIDADO_R2/build_engine_e5.py.</t>
  </si>
  <si>
    <t xml:space="preserve">Control: Activo Total − (Patrimonio + Pasivo)</t>
  </si>
  <si>
    <t xml:space="preserve">Debe ser ≈0 (identidad contable) por país.</t>
  </si>
  <si>
    <t xml:space="preserve">CF país</t>
  </si>
  <si>
    <t xml:space="preserve">Beneficio + Depreciación − ΔInventario − ΔCxC + ΔCxP (método indirecto).</t>
  </si>
  <si>
    <t xml:space="preserve">−Pago por inversión + Cobro por desinversión (_ENGINE_PRODUCCION).</t>
  </si>
  <si>
    <t xml:space="preserve">Total actividades financieras (discrecional, D8)</t>
  </si>
  <si>
    <t xml:space="preserve">Emisión−Recompra−Dividendos a accionistas+Dividendos de filiales+ΔDeuda LP+Préstamos internos netos (D8).</t>
  </si>
  <si>
    <t xml:space="preserve">REGLA VERIFICADA (manual cap.11): repone/repaga hasta el efectivo mínimo de ESTE país (Condición).</t>
  </si>
  <si>
    <t xml:space="preserve">n/a (histórico, ver RDOS -- Deuda CP no se movió en R1)</t>
  </si>
  <si>
    <t xml:space="preserve">Filiales: todo el financiamiento se decide en casa matriz (manual cap.11, REGLA VERIFICADA) -- constante en el valor real de Ronda 1 (RDOS).</t>
  </si>
  <si>
    <t xml:space="preserve">Apertura + Beneficio de la ronda − Dividendos pagados a casa matriz (D8).</t>
  </si>
  <si>
    <t xml:space="preserve">Solo Casa matriz EE.UU. emite deuda LP (manual cap.11, REGLA VERIFICADA) -- siempre 0.</t>
  </si>
  <si>
    <t xml:space="preserve">−Dividendos pagados a casa matriz(D8)+Préstamos internos netos(D8).</t>
  </si>
  <si>
    <t xml:space="preserve">Europa no produce -- siempre 0.</t>
  </si>
  <si>
    <t xml:space="preserve">Europa no mantiene inventario -- siempre 0.</t>
  </si>
  <si>
    <t xml:space="preserve">PARÁMETROS · CxC/CxP calibrados POR PAÍS (Fase 2 — MISMAS 3 tasas por país que usaba MOTOR_VALIDADO_R2/build_engine_e5.py, calibradas contra RDOS Ronda 1 real; ver 01_INPUTS)</t>
  </si>
  <si>
    <t xml:space="preserve">CxC / Ingresos totales de la ronda (calibrado RDOS R1)</t>
  </si>
  <si>
    <t xml:space="preserve">SUPUESTO CALIBRADO</t>
  </si>
  <si>
    <t xml:space="preserve">[SUPUESTO CALIBRADO] = Cuentas por Cobrar / Ingresos, RDOS Ronda 1 real de este país. El manual no publica una regla de días de cobro; MISMO valor que usaba MOTOR_VALIDADO_R2 (build_inputs.py, sección CxC/CxP), no una regla CESIM.</t>
  </si>
  <si>
    <t xml:space="preserve">CxP / Costos y gastos totales de la ronda (calibrado RDOS R1)</t>
  </si>
  <si>
    <t xml:space="preserve">[SUPUESTO CALIBRADO] = Cuentas por Pagar / Costos y gastos totales, RDOS Ronda 1 real de este país. MISMO valor que usaba MOTOR_VALIDADO_R2, no una regla CESIM.</t>
  </si>
  <si>
    <t xml:space="preserve">SECCIÓN B · CUENTA DE RESULTADOS GLOBAL (consolidado — eliminaciones verificadas: transferencias internas y costos de productos importados se cancelan al sumar)</t>
  </si>
  <si>
    <t xml:space="preserve">B. P&amp;L GLOBAL</t>
  </si>
  <si>
    <t xml:space="preserve">REGLA VERIFICADA: Σ 'Ingresos de mercados' de los 3 países (transferencias internas NO se suman, se eliminan).</t>
  </si>
  <si>
    <t xml:space="preserve">n/a (RDOS R1 Global no desagregado aquí)</t>
  </si>
  <si>
    <t xml:space="preserve">REGLA VERIFICADA: Σ (Fabricación+Característica+Transporte/aranceles+I+D+Promoción+Administración). EXCLUYE 'Costos de productos importados' (se elimina, es la contrapartida de la transferencia interna).</t>
  </si>
  <si>
    <t xml:space="preserve">Fase 2: Σ Gastos financieros netos REALES de los 3 países (cada uno sobre sus propios saldos de apertura de Caja/Deuda LP/Deuda CP -- ver Sección A).</t>
  </si>
  <si>
    <t xml:space="preserve">Σ Impuesto de los 3 países (cada uno tributa localmente con su propia tasa y carry-forward, ver Sección A).</t>
  </si>
  <si>
    <t xml:space="preserve">Control: Beneficio Global − Σ Beneficio países</t>
  </si>
  <si>
    <t xml:space="preserve">Debe ser ≈0 (identidad de consolidación).</t>
  </si>
  <si>
    <t xml:space="preserve">n/a (Ronda 0, ver RDOS)</t>
  </si>
  <si>
    <t xml:space="preserve">n/a (Ronda 1, ver RDOS)</t>
  </si>
  <si>
    <t xml:space="preserve">SECCIÓN C · BALANCE GLOBAL (Fase 2: Σ Balance por país -- EE.UU., China, Europa -- ver 'BAL país' en Sección A arriba; ya NO es un pool único simplificado)</t>
  </si>
  <si>
    <t xml:space="preserve">C. BAL GLOBAL</t>
  </si>
  <si>
    <t xml:space="preserve">Σ Activo fijo neto por país (EE.UU.+China; Europa=0).</t>
  </si>
  <si>
    <t xml:space="preserve">Σ Inventario FIFO por país (EE.UU.+China; Europa=0).</t>
  </si>
  <si>
    <t xml:space="preserve">Fase 2: Σ CxC por país, cada uno con su propia tasa calibrada (PARAM) -- ya NO una tasa blended única.</t>
  </si>
  <si>
    <t xml:space="preserve">Σ Efectivo de cierre por país (Sección D de cada país).</t>
  </si>
  <si>
    <t xml:space="preserve">Apertura + Emisión − Recompra (D8, Casa matriz EE.UU. — único nivel del modelo, ver README).</t>
  </si>
  <si>
    <t xml:space="preserve">Acciones en circulación al cierre (memo)</t>
  </si>
  <si>
    <t xml:space="preserve">acciones</t>
  </si>
  <si>
    <t xml:space="preserve">HISTÓRICO/CÁLCULO</t>
  </si>
  <si>
    <t xml:space="preserve">DATO HISTÓRICO REAL (RDOS): R0=R1=1.625.000.000 acciones (CADIZ no emitió ni recompró en R0/R1). Desde R2: Apertura + (Emisión D8 − Recompra D8, en USD) ÷ Valor de referencia de la acción (Condición, PROXY). Usado para EPS/P-E/Dividend yield.</t>
  </si>
  <si>
    <t xml:space="preserve">Apertura + Beneficio Global de la ronda − Dividendos pagados a accionistas (D8, monto).</t>
  </si>
  <si>
    <t xml:space="preserve">Exclusivamente a nivel Casa matriz EE.UU. (manual cap.11, REGLA VERIFICADA) -- Σ por país (China/Europa=0).</t>
  </si>
  <si>
    <t xml:space="preserve">Fase 2: Σ Deuda CP por país -- REGLA VERIFICADA (manual cap.11), cada país se ajusta a SU PROPIO efectivo mínimo (Condición, USD 2.000.000/país).</t>
  </si>
  <si>
    <t xml:space="preserve">Fase 2: Σ CxP por país, cada uno con su propia tasa calibrada (PARAM).</t>
  </si>
  <si>
    <t xml:space="preserve">Fase 2: el Global es ahora la SUMA de los 3 Balances por país (100% consistentes con RDOS en R0/R1 -- ver Sección A/BAL país arriba). Esto corrige la inconsistencia heredada de v1.2 (~-1.508,8 MM USD en R1, que mezclaba el Inventario RDOS agregado con la cifra 'por tecnología' de motor viejo). Los Pasivos Totales de este renglón NO incluyen Préstamos internos por diseño de v1.2 (ver fila 'Pasivos Totales' arriba) -- el control de préstamos internos está separado en la fila 'Control: Σ Préstamos internos' (debe ser exactamente 0).</t>
  </si>
  <si>
    <t xml:space="preserve">Control: Σ Préstamos internos (3 países)</t>
  </si>
  <si>
    <t xml:space="preserve">REGLA VERIFICADA: debe ser exactamente 0 -- los préstamos internos entre países netean a 0 por construcción (Fase 2, cambio 2). Ver 04_CONTROL_MODELO.</t>
  </si>
  <si>
    <t xml:space="preserve">SECCIÓN D · FLUJO DE FONDOS GLOBAL — Fase 2: Σ Flujo de Fondos por país (cada país con su propio ajuste automático de deuda CP); préstamos internos y dividendos intercompañía netean a 0 por construcción (ver 04_CONTROL_MODELO)</t>
  </si>
  <si>
    <t xml:space="preserve">D. CF GLOBAL</t>
  </si>
  <si>
    <t xml:space="preserve">Σ Total operativo por país (método indirecto, cada uno con su propio Beneficio/Depreciación/ΔInventario/ΔCxC/ΔCxP).</t>
  </si>
  <si>
    <t xml:space="preserve">Σ Total de inversión por país (pagos de inversión en fábrica − cobros por desinversión, _ENGINE_PRODUCCION).</t>
  </si>
  <si>
    <t xml:space="preserve">Σ Total financiero por país. Las transferencias entre países y dividendos a casa matriz (filial) netean a 0 GLOBAL por construcción (ver control de préstamos internos).</t>
  </si>
  <si>
    <t xml:space="preserve">Fase 2: Σ ajuste automático por país -- REGLA VERIFICADA (manual cap.11), cada país repone/repaga hasta SU PROPIO efectivo mínimo.</t>
  </si>
  <si>
    <t xml:space="preserve">n/a (histórico, ver RDOS)</t>
  </si>
  <si>
    <t xml:space="preserve">Control: Efectivo cierre CF − Efectivo Balance</t>
  </si>
  <si>
    <t xml:space="preserve">Debe ser ≈0.</t>
  </si>
</sst>
</file>

<file path=xl/styles.xml><?xml version="1.0" encoding="utf-8"?>
<styleSheet xmlns="http://schemas.openxmlformats.org/spreadsheetml/2006/main">
  <numFmts count="11">
    <numFmt numFmtId="164" formatCode="General"/>
    <numFmt numFmtId="165" formatCode="0.0%;\(0.0%\);\-"/>
    <numFmt numFmtId="166" formatCode="General"/>
    <numFmt numFmtId="167" formatCode="0.0000"/>
    <numFmt numFmtId="168" formatCode="#,##0;\(#,##0\);\-"/>
    <numFmt numFmtId="169" formatCode="#,##0.00;\(#,##0.00\);\-"/>
    <numFmt numFmtId="170" formatCode="0.00"/>
    <numFmt numFmtId="171" formatCode="0.00\x"/>
    <numFmt numFmtId="172" formatCode="0.00%;\(0.00%\);\-"/>
    <numFmt numFmtId="173" formatCode="#,##0.####"/>
    <numFmt numFmtId="174" formatCode="#,##0.00"/>
  </numFmts>
  <fonts count="4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95959"/>
      <name val="Arial"/>
      <family val="0"/>
      <charset val="1"/>
    </font>
    <font>
      <sz val="8"/>
      <color rgb="FF000000"/>
      <name val="Arial"/>
      <family val="0"/>
      <charset val="1"/>
    </font>
    <font>
      <b val="true"/>
      <sz val="9"/>
      <color rgb="FFFFFFFF"/>
      <name val="Arial"/>
      <family val="0"/>
      <charset val="1"/>
    </font>
    <font>
      <b val="true"/>
      <sz val="10"/>
      <color rgb="FF1F4E78"/>
      <name val="Arial"/>
      <family val="0"/>
      <charset val="1"/>
    </font>
    <font>
      <i val="true"/>
      <sz val="8"/>
      <color rgb="FF000000"/>
      <name val="Arial"/>
      <family val="0"/>
      <charset val="1"/>
    </font>
    <font>
      <b val="true"/>
      <sz val="8"/>
      <color rgb="FF000000"/>
      <name val="Arial"/>
      <family val="0"/>
      <charset val="1"/>
    </font>
    <font>
      <b val="true"/>
      <sz val="9"/>
      <color rgb="FF000000"/>
      <name val="Arial"/>
      <family val="0"/>
      <charset val="1"/>
    </font>
    <font>
      <sz val="9"/>
      <color rgb="FF000000"/>
      <name val="Arial"/>
      <family val="0"/>
      <charset val="1"/>
    </font>
    <font>
      <sz val="9"/>
      <color rgb="FF0000FF"/>
      <name val="Arial"/>
      <family val="0"/>
      <charset val="1"/>
    </font>
    <font>
      <b val="true"/>
      <sz val="9"/>
      <color rgb="FF0000FF"/>
      <name val="Arial"/>
      <family val="0"/>
      <charset val="1"/>
    </font>
    <font>
      <i val="true"/>
      <sz val="9"/>
      <color rgb="FF000000"/>
      <name val="Arial"/>
      <family val="0"/>
      <charset val="1"/>
    </font>
    <font>
      <i val="true"/>
      <sz val="9"/>
      <color rgb="FF0000FF"/>
      <name val="Arial"/>
      <family val="0"/>
      <charset val="1"/>
    </font>
    <font>
      <b val="true"/>
      <sz val="9"/>
      <color rgb="FF595959"/>
      <name val="Arial"/>
      <family val="0"/>
      <charset val="1"/>
    </font>
    <font>
      <sz val="9"/>
      <color rgb="FF595959"/>
      <name val="Arial"/>
      <family val="0"/>
      <charset val="1"/>
    </font>
    <font>
      <sz val="10"/>
      <name val="Arial"/>
      <family val="2"/>
    </font>
    <font>
      <b val="true"/>
      <sz val="10"/>
      <color rgb="FF000000"/>
      <name val="Arial"/>
      <family val="0"/>
      <charset val="1"/>
    </font>
    <font>
      <b val="true"/>
      <sz val="10"/>
      <color rgb="FF0000FF"/>
      <name val="Arial"/>
      <family val="0"/>
      <charset val="1"/>
    </font>
    <font>
      <i val="true"/>
      <sz val="8"/>
      <color rgb="FF595959"/>
      <name val="Arial"/>
      <family val="0"/>
      <charset val="1"/>
    </font>
    <font>
      <b val="true"/>
      <sz val="9"/>
      <color rgb="FF006100"/>
      <name val="Arial"/>
      <family val="0"/>
      <charset val="1"/>
    </font>
    <font>
      <sz val="7"/>
      <color rgb="FF000000"/>
      <name val="Arial"/>
      <family val="0"/>
      <charset val="1"/>
    </font>
    <font>
      <i val="true"/>
      <sz val="8"/>
      <color rgb="FF006100"/>
      <name val="Arial"/>
      <family val="0"/>
      <charset val="1"/>
    </font>
    <font>
      <sz val="9"/>
      <color rgb="FF006100"/>
      <name val="Arial"/>
      <family val="0"/>
      <charset val="1"/>
    </font>
    <font>
      <i val="true"/>
      <sz val="7"/>
      <color rgb="FF000000"/>
      <name val="Arial"/>
      <family val="0"/>
      <charset val="1"/>
    </font>
    <font>
      <i val="true"/>
      <sz val="9"/>
      <color rgb="FF006100"/>
      <name val="Arial"/>
      <family val="0"/>
      <charset val="1"/>
    </font>
    <font>
      <b val="true"/>
      <sz val="8"/>
      <color rgb="FFC00000"/>
      <name val="Arial"/>
      <family val="0"/>
      <charset val="1"/>
    </font>
    <font>
      <i val="true"/>
      <sz val="8"/>
      <color rgb="FFC00000"/>
      <name val="Arial"/>
      <family val="0"/>
      <charset val="1"/>
    </font>
    <font>
      <sz val="8"/>
      <color rgb="FF595959"/>
      <name val="Arial"/>
      <family val="0"/>
      <charset val="1"/>
    </font>
    <font>
      <b val="true"/>
      <sz val="8"/>
      <color rgb="FF006100"/>
      <name val="Arial"/>
      <family val="0"/>
      <charset val="1"/>
    </font>
    <font>
      <sz val="8"/>
      <color rgb="FF006100"/>
      <name val="Arial"/>
      <family val="0"/>
      <charset val="1"/>
    </font>
    <font>
      <b val="true"/>
      <sz val="7"/>
      <color rgb="FF000000"/>
      <name val="Arial"/>
      <family val="0"/>
      <charset val="1"/>
    </font>
    <font>
      <i val="true"/>
      <sz val="6"/>
      <color rgb="FF000000"/>
      <name val="Arial"/>
      <family val="0"/>
      <charset val="1"/>
    </font>
    <font>
      <b val="true"/>
      <sz val="8"/>
      <color rgb="FF595959"/>
      <name val="Arial"/>
      <family val="0"/>
      <charset val="1"/>
    </font>
    <font>
      <sz val="8"/>
      <color rgb="FF0000FF"/>
      <name val="Arial"/>
      <family val="0"/>
      <charset val="1"/>
    </font>
    <font>
      <sz val="8"/>
      <color rgb="FFC00000"/>
      <name val="Arial"/>
      <family val="0"/>
      <charset val="1"/>
    </font>
    <font>
      <b val="true"/>
      <sz val="7"/>
      <color rgb="FFC00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9E1F2"/>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5" fontId="13" fillId="4" borderId="0" xfId="0" applyFont="true" applyBorder="false" applyAlignment="true" applyProtection="false">
      <alignment horizontal="right" vertical="center" textRotation="0" wrapText="false" indent="0" shrinkToFit="false"/>
      <protection locked="true" hidden="false"/>
    </xf>
    <xf numFmtId="164" fontId="14" fillId="4"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5" fontId="11" fillId="0" borderId="0" xfId="0" applyFont="true" applyBorder="fals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6" fillId="4"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6" fontId="11"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true" applyProtection="false">
      <alignment horizontal="right" vertical="center" textRotation="0" wrapText="false" indent="0" shrinkToFit="false"/>
      <protection locked="true" hidden="false"/>
    </xf>
    <xf numFmtId="165" fontId="18" fillId="0" borderId="0" xfId="0" applyFont="true" applyBorder="false" applyAlignment="true" applyProtection="false">
      <alignment horizontal="right" vertical="center" textRotation="0" wrapText="false" indent="0" shrinkToFit="false"/>
      <protection locked="true" hidden="false"/>
    </xf>
    <xf numFmtId="167" fontId="18" fillId="0" borderId="0" xfId="0" applyFont="true" applyBorder="false" applyAlignment="true" applyProtection="false">
      <alignment horizontal="right" vertical="center" textRotation="0" wrapText="false" indent="0" shrinkToFit="false"/>
      <protection locked="true" hidden="false"/>
    </xf>
    <xf numFmtId="167" fontId="13" fillId="4" borderId="0" xfId="0" applyFont="true" applyBorder="false" applyAlignment="true" applyProtection="false">
      <alignment horizontal="right" vertical="center" textRotation="0" wrapText="false" indent="0" shrinkToFit="false"/>
      <protection locked="true" hidden="false"/>
    </xf>
    <xf numFmtId="167" fontId="12" fillId="0" borderId="0" xfId="0" applyFont="true" applyBorder="false" applyAlignment="true" applyProtection="false">
      <alignment horizontal="right" vertical="center" textRotation="0" wrapText="false" indent="0" shrinkToFit="false"/>
      <protection locked="true" hidden="false"/>
    </xf>
    <xf numFmtId="168" fontId="18" fillId="0" borderId="0" xfId="0" applyFont="true" applyBorder="false" applyAlignment="true" applyProtection="false">
      <alignment horizontal="right" vertical="center" textRotation="0" wrapText="false" indent="0" shrinkToFit="false"/>
      <protection locked="true" hidden="false"/>
    </xf>
    <xf numFmtId="168" fontId="13" fillId="4" borderId="0" xfId="0" applyFont="true" applyBorder="false" applyAlignment="true" applyProtection="false">
      <alignment horizontal="right" vertical="center" textRotation="0" wrapText="false" indent="0" shrinkToFit="false"/>
      <protection locked="true" hidden="false"/>
    </xf>
    <xf numFmtId="168" fontId="12" fillId="0" borderId="0" xfId="0" applyFont="true" applyBorder="false" applyAlignment="true" applyProtection="false">
      <alignment horizontal="right" vertical="center" textRotation="0" wrapText="false" indent="0" shrinkToFit="false"/>
      <protection locked="true" hidden="false"/>
    </xf>
    <xf numFmtId="169" fontId="18" fillId="0" borderId="0" xfId="0" applyFont="true" applyBorder="false" applyAlignment="true" applyProtection="false">
      <alignment horizontal="right" vertical="center" textRotation="0" wrapText="false" indent="0" shrinkToFit="false"/>
      <protection locked="true" hidden="false"/>
    </xf>
    <xf numFmtId="169" fontId="13" fillId="4" borderId="0" xfId="0" applyFont="true" applyBorder="false" applyAlignment="true" applyProtection="false">
      <alignment horizontal="right" vertical="center" textRotation="0" wrapText="false" indent="0" shrinkToFit="false"/>
      <protection locked="true" hidden="false"/>
    </xf>
    <xf numFmtId="169" fontId="12" fillId="0" borderId="0" xfId="0" applyFont="true" applyBorder="false" applyAlignment="true" applyProtection="false">
      <alignment horizontal="righ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70" fontId="13" fillId="4" borderId="0" xfId="0" applyFont="true" applyBorder="false" applyAlignment="true" applyProtection="false">
      <alignment horizontal="right" vertical="center" textRotation="0" wrapText="false" indent="0" shrinkToFit="false"/>
      <protection locked="true" hidden="false"/>
    </xf>
    <xf numFmtId="170" fontId="12" fillId="0" borderId="0" xfId="0" applyFont="true" applyBorder="false" applyAlignment="true" applyProtection="false">
      <alignment horizontal="right" vertical="center"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71" fontId="13" fillId="4" borderId="0" xfId="0" applyFont="true" applyBorder="false" applyAlignment="true" applyProtection="false">
      <alignment horizontal="right"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21" fillId="4"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8" fontId="23" fillId="0" borderId="0" xfId="0" applyFont="true" applyBorder="false" applyAlignment="true" applyProtection="false">
      <alignment horizontal="right"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8" fontId="25" fillId="0" borderId="0" xfId="0" applyFont="true" applyBorder="false" applyAlignment="true" applyProtection="false">
      <alignment horizontal="right" vertical="center" textRotation="0" wrapText="false" indent="0" shrinkToFit="false"/>
      <protection locked="true" hidden="false"/>
    </xf>
    <xf numFmtId="168" fontId="26"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5" fontId="15" fillId="0" borderId="0" xfId="0" applyFont="true" applyBorder="false" applyAlignment="true" applyProtection="false">
      <alignment horizontal="right" vertical="center" textRotation="0" wrapText="false" indent="0" shrinkToFit="false"/>
      <protection locked="true" hidden="false"/>
    </xf>
    <xf numFmtId="164" fontId="27" fillId="0" borderId="0" xfId="0" applyFont="true" applyBorder="false" applyAlignment="true" applyProtection="false">
      <alignment horizontal="center" vertical="center" textRotation="0" wrapText="false" indent="0" shrinkToFit="false"/>
      <protection locked="true" hidden="false"/>
    </xf>
    <xf numFmtId="172" fontId="12" fillId="0" borderId="0" xfId="0" applyFont="true" applyBorder="false" applyAlignment="true" applyProtection="false">
      <alignment horizontal="right" vertical="center" textRotation="0" wrapText="false" indent="0" shrinkToFit="false"/>
      <protection locked="true" hidden="false"/>
    </xf>
    <xf numFmtId="171" fontId="12" fillId="0" borderId="0" xfId="0" applyFont="true" applyBorder="false" applyAlignment="true" applyProtection="false">
      <alignment horizontal="right" vertical="center" textRotation="0" wrapText="false" indent="0" shrinkToFit="false"/>
      <protection locked="true" hidden="false"/>
    </xf>
    <xf numFmtId="170" fontId="28" fillId="0" borderId="0" xfId="0" applyFont="true" applyBorder="false" applyAlignment="true" applyProtection="false">
      <alignment horizontal="right" vertical="center" textRotation="0" wrapText="false" indent="0" shrinkToFit="false"/>
      <protection locked="true" hidden="false"/>
    </xf>
    <xf numFmtId="171" fontId="15" fillId="0" borderId="0" xfId="0" applyFont="true" applyBorder="false" applyAlignment="true" applyProtection="false">
      <alignment horizontal="right" vertical="center" textRotation="0" wrapText="false" indent="0" shrinkToFit="false"/>
      <protection locked="true" hidden="false"/>
    </xf>
    <xf numFmtId="172" fontId="15" fillId="0" borderId="0" xfId="0" applyFont="true" applyBorder="false" applyAlignment="true" applyProtection="false">
      <alignment horizontal="right" vertical="center" textRotation="0" wrapText="false" indent="0" shrinkToFit="false"/>
      <protection locked="true" hidden="false"/>
    </xf>
    <xf numFmtId="172" fontId="5" fillId="0" borderId="0" xfId="0" applyFont="true" applyBorder="false" applyAlignment="true" applyProtection="false">
      <alignment horizontal="right" vertical="center" textRotation="0" wrapText="false" indent="0" shrinkToFit="false"/>
      <protection locked="true" hidden="false"/>
    </xf>
    <xf numFmtId="167" fontId="5" fillId="0" borderId="0" xfId="0" applyFont="true" applyBorder="false" applyAlignment="true" applyProtection="false">
      <alignment horizontal="right" vertical="center" textRotation="0" wrapText="false" indent="0" shrinkToFit="false"/>
      <protection locked="true" hidden="false"/>
    </xf>
    <xf numFmtId="167" fontId="15" fillId="0" borderId="0" xfId="0" applyFont="true" applyBorder="false" applyAlignment="true" applyProtection="false">
      <alignment horizontal="right" vertical="center" textRotation="0" wrapText="false" indent="0" shrinkToFit="false"/>
      <protection locked="true" hidden="false"/>
    </xf>
    <xf numFmtId="165" fontId="26" fillId="0" borderId="0" xfId="0" applyFont="true" applyBorder="false" applyAlignment="true" applyProtection="false">
      <alignment horizontal="right" vertical="center" textRotation="0" wrapText="fals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true" applyAlignment="true" applyProtection="false">
      <alignment horizontal="left" vertical="center" textRotation="0" wrapText="tru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73" fontId="31" fillId="0" borderId="0" xfId="0" applyFont="true" applyBorder="false" applyAlignment="true" applyProtection="false">
      <alignment horizontal="right"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73" fontId="33" fillId="0" borderId="0" xfId="0" applyFont="true" applyBorder="false" applyAlignment="true" applyProtection="false">
      <alignment horizontal="right" vertical="center" textRotation="0" wrapText="false" indent="0" shrinkToFit="false"/>
      <protection locked="true" hidden="false"/>
    </xf>
    <xf numFmtId="166" fontId="31" fillId="0" borderId="0" xfId="0" applyFont="true" applyBorder="false" applyAlignment="true" applyProtection="false">
      <alignment horizontal="center" vertical="center" textRotation="0" wrapText="false" indent="0" shrinkToFit="false"/>
      <protection locked="true" hidden="false"/>
    </xf>
    <xf numFmtId="166" fontId="33" fillId="0" borderId="0" xfId="0" applyFont="tru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left" vertical="center" textRotation="0" wrapText="false" indent="0" shrinkToFit="false"/>
      <protection locked="true" hidden="false"/>
    </xf>
    <xf numFmtId="166" fontId="6" fillId="0" borderId="0" xfId="0" applyFont="true" applyBorder="false" applyAlignment="true" applyProtection="false">
      <alignment horizontal="center" vertical="center" textRotation="0" wrapText="false" indent="0" shrinkToFit="false"/>
      <protection locked="true" hidden="false"/>
    </xf>
    <xf numFmtId="167" fontId="33"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left" vertical="center" textRotation="0" wrapText="true" indent="0" shrinkToFit="false"/>
      <protection locked="true" hidden="false"/>
    </xf>
    <xf numFmtId="168" fontId="36" fillId="0" borderId="0" xfId="0" applyFont="true" applyBorder="false" applyAlignment="true" applyProtection="false">
      <alignment horizontal="right" vertical="center" textRotation="0" wrapText="false" indent="0" shrinkToFit="false"/>
      <protection locked="true" hidden="false"/>
    </xf>
    <xf numFmtId="168" fontId="10" fillId="0" borderId="0" xfId="0" applyFont="true" applyBorder="false" applyAlignment="true" applyProtection="false">
      <alignment horizontal="right" vertical="center" textRotation="0" wrapText="fals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71" fontId="6" fillId="0" borderId="0" xfId="0" applyFont="true" applyBorder="false" applyAlignment="true" applyProtection="false">
      <alignment horizontal="right" vertical="center" textRotation="0" wrapText="false" indent="0" shrinkToFit="false"/>
      <protection locked="true" hidden="false"/>
    </xf>
    <xf numFmtId="169" fontId="31" fillId="0" borderId="0" xfId="0" applyFont="true" applyBorder="false" applyAlignment="true" applyProtection="false">
      <alignment horizontal="right" vertical="center" textRotation="0" wrapText="fals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69" fontId="10" fillId="0" borderId="0" xfId="0" applyFont="true" applyBorder="false" applyAlignment="true" applyProtection="false">
      <alignment horizontal="right" vertical="center" textRotation="0" wrapText="false" indent="0" shrinkToFit="false"/>
      <protection locked="true" hidden="false"/>
    </xf>
    <xf numFmtId="169" fontId="33" fillId="0" borderId="0" xfId="0" applyFont="true" applyBorder="false" applyAlignment="true" applyProtection="false">
      <alignment horizontal="right" vertical="center" textRotation="0" wrapText="false" indent="0" shrinkToFit="false"/>
      <protection locked="true" hidden="false"/>
    </xf>
    <xf numFmtId="168" fontId="31" fillId="0" borderId="0" xfId="0" applyFont="true" applyBorder="false" applyAlignment="true" applyProtection="false">
      <alignment horizontal="right" vertical="center" textRotation="0" wrapText="false" indent="0" shrinkToFit="false"/>
      <protection locked="true" hidden="false"/>
    </xf>
    <xf numFmtId="168" fontId="33" fillId="0" borderId="0" xfId="0" applyFont="true" applyBorder="false" applyAlignment="true" applyProtection="false">
      <alignment horizontal="right" vertical="center" textRotation="0" wrapText="false" indent="0" shrinkToFit="false"/>
      <protection locked="true" hidden="false"/>
    </xf>
    <xf numFmtId="174" fontId="6" fillId="0" borderId="0" xfId="0" applyFont="true" applyBorder="false" applyAlignment="true" applyProtection="false">
      <alignment horizontal="right" vertical="center" textRotation="0" wrapText="false" indent="0" shrinkToFit="false"/>
      <protection locked="true" hidden="false"/>
    </xf>
    <xf numFmtId="168" fontId="37" fillId="4" borderId="0" xfId="0" applyFont="true" applyBorder="false" applyAlignment="true" applyProtection="false">
      <alignment horizontal="right" vertical="center" textRotation="0" wrapText="false" indent="0" shrinkToFit="false"/>
      <protection locked="true" hidden="false"/>
    </xf>
    <xf numFmtId="168" fontId="38" fillId="0" borderId="0" xfId="0" applyFont="true" applyBorder="false" applyAlignment="true" applyProtection="false">
      <alignment horizontal="right" vertical="center" textRotation="0" wrapText="false" indent="0" shrinkToFit="false"/>
      <protection locked="true" hidden="false"/>
    </xf>
    <xf numFmtId="164" fontId="39" fillId="0" borderId="0" xfId="0" applyFont="true" applyBorder="false" applyAlignment="true" applyProtection="false">
      <alignment horizontal="center" vertical="center" textRotation="0" wrapText="false" indent="0" shrinkToFit="false"/>
      <protection locked="true" hidden="false"/>
    </xf>
    <xf numFmtId="165" fontId="33" fillId="0" borderId="0" xfId="0" applyFont="true" applyBorder="false" applyAlignment="true" applyProtection="false">
      <alignment horizontal="right" vertical="center" textRotation="0" wrapText="false" indent="0" shrinkToFit="false"/>
      <protection locked="true" hidden="false"/>
    </xf>
    <xf numFmtId="172" fontId="13" fillId="4"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8"/>
          <bgColor rgb="FF000000"/>
        </patternFill>
      </fill>
    </dxf>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595959"/>
          <bgColor rgb="FF000000"/>
        </patternFill>
      </fill>
    </dxf>
    <dxf>
      <fill>
        <patternFill patternType="solid">
          <fgColor rgb="FF006100"/>
          <bgColor rgb="FF000000"/>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7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true" outlineLevel="0" max="1" min="1" style="0" width="16"/>
    <col collapsed="false" customWidth="true" hidden="false" outlineLevel="0" max="2" min="2" style="0" width="42"/>
    <col collapsed="false" customWidth="true" hidden="false" outlineLevel="0" max="3" min="3" style="0" width="22"/>
    <col collapsed="false" customWidth="true" hidden="false" outlineLevel="0" max="4" min="4" style="0" width="12"/>
    <col collapsed="false" customWidth="true" hidden="true" outlineLevel="0" max="5" min="5" style="0" width="16"/>
    <col collapsed="false" customWidth="true" hidden="true" outlineLevel="0" max="6" min="6" style="0" width="8"/>
    <col collapsed="false" customWidth="true" hidden="false" outlineLevel="0" max="19" min="7" style="0" width="13"/>
    <col collapsed="false" customWidth="true" hidden="true" outlineLevel="0" max="21" min="21" style="0" width="13"/>
  </cols>
  <sheetData>
    <row r="1" customFormat="false" ht="25.5" hidden="false" customHeight="true" outlineLevel="0" collapsed="false">
      <c r="A1" s="1" t="s">
        <v>0</v>
      </c>
      <c r="B1" s="1"/>
      <c r="C1" s="1"/>
      <c r="D1" s="1"/>
      <c r="E1" s="1"/>
      <c r="F1" s="1"/>
      <c r="G1" s="1"/>
      <c r="H1" s="1"/>
      <c r="I1" s="1"/>
      <c r="J1" s="1"/>
      <c r="K1" s="1"/>
      <c r="L1" s="1"/>
      <c r="M1" s="1"/>
      <c r="N1" s="1"/>
      <c r="O1" s="1"/>
      <c r="P1" s="1"/>
      <c r="Q1" s="1"/>
      <c r="R1" s="1"/>
      <c r="S1" s="1"/>
    </row>
    <row r="2" customFormat="false" ht="27.75" hidden="false" customHeight="true" outlineLevel="0" collapsed="false">
      <c r="A2" s="2" t="s">
        <v>1</v>
      </c>
      <c r="B2" s="2"/>
      <c r="C2" s="2"/>
      <c r="D2" s="2"/>
      <c r="E2" s="2"/>
      <c r="F2" s="2"/>
      <c r="G2" s="2"/>
      <c r="H2" s="2"/>
      <c r="I2" s="2"/>
      <c r="J2" s="2"/>
      <c r="K2" s="2"/>
      <c r="L2" s="2"/>
      <c r="M2" s="2"/>
      <c r="N2" s="2"/>
      <c r="O2" s="2"/>
      <c r="P2" s="2"/>
      <c r="Q2" s="2"/>
      <c r="R2" s="2"/>
      <c r="S2" s="2"/>
      <c r="U2" s="3" t="s">
        <v>2</v>
      </c>
    </row>
    <row r="3" customFormat="false" ht="15" hidden="false" customHeight="false" outlineLevel="0" collapsed="false">
      <c r="U3" s="3" t="s">
        <v>3</v>
      </c>
    </row>
    <row r="4" customFormat="false" ht="15" hidden="false" customHeight="false" outlineLevel="0" collapsed="false">
      <c r="A4" s="4" t="s">
        <v>4</v>
      </c>
      <c r="B4" s="4" t="s">
        <v>5</v>
      </c>
      <c r="C4" s="4" t="s">
        <v>6</v>
      </c>
      <c r="D4" s="4" t="s">
        <v>7</v>
      </c>
      <c r="E4" s="4" t="s">
        <v>8</v>
      </c>
      <c r="F4" s="4" t="s">
        <v>9</v>
      </c>
      <c r="G4" s="4" t="s">
        <v>10</v>
      </c>
      <c r="H4" s="4" t="s">
        <v>11</v>
      </c>
      <c r="I4" s="4" t="s">
        <v>12</v>
      </c>
      <c r="J4" s="4" t="s">
        <v>13</v>
      </c>
      <c r="K4" s="4" t="s">
        <v>14</v>
      </c>
      <c r="L4" s="4" t="s">
        <v>15</v>
      </c>
      <c r="M4" s="4" t="s">
        <v>16</v>
      </c>
      <c r="N4" s="4" t="s">
        <v>17</v>
      </c>
      <c r="O4" s="4" t="s">
        <v>18</v>
      </c>
      <c r="P4" s="4" t="s">
        <v>19</v>
      </c>
      <c r="Q4" s="4" t="s">
        <v>20</v>
      </c>
      <c r="R4" s="4" t="s">
        <v>21</v>
      </c>
      <c r="S4" s="4" t="s">
        <v>22</v>
      </c>
      <c r="U4" s="3" t="s">
        <v>23</v>
      </c>
    </row>
    <row r="5" customFormat="false" ht="15" hidden="false" customHeight="false" outlineLevel="0" collapsed="false">
      <c r="A5" s="5" t="s">
        <v>24</v>
      </c>
      <c r="B5" s="5"/>
      <c r="C5" s="5"/>
      <c r="D5" s="5"/>
      <c r="E5" s="5"/>
      <c r="F5" s="5"/>
      <c r="G5" s="5"/>
      <c r="H5" s="5"/>
      <c r="I5" s="5"/>
      <c r="J5" s="5"/>
      <c r="K5" s="5"/>
      <c r="L5" s="5"/>
      <c r="M5" s="5"/>
      <c r="N5" s="5"/>
      <c r="O5" s="5"/>
      <c r="P5" s="5"/>
      <c r="Q5" s="5"/>
      <c r="R5" s="5"/>
      <c r="S5" s="5"/>
    </row>
    <row r="6" customFormat="false" ht="15" hidden="false" customHeight="false" outlineLevel="0" collapsed="false">
      <c r="A6" s="6" t="s">
        <v>25</v>
      </c>
      <c r="C6" s="7" t="s">
        <v>26</v>
      </c>
      <c r="D6" s="7" t="s">
        <v>27</v>
      </c>
      <c r="E6" s="7" t="s">
        <v>28</v>
      </c>
      <c r="U6" s="3" t="s">
        <v>29</v>
      </c>
    </row>
    <row r="7" customFormat="false" ht="22.35" hidden="false" customHeight="false" outlineLevel="0" collapsed="false">
      <c r="A7" s="8" t="s">
        <v>30</v>
      </c>
      <c r="B7" s="9" t="s">
        <v>31</v>
      </c>
      <c r="C7" s="10" t="n">
        <v>-0.03</v>
      </c>
      <c r="D7" s="10" t="n">
        <v>0.03</v>
      </c>
      <c r="E7" s="10" t="n">
        <v>0</v>
      </c>
      <c r="F7" s="6" t="s">
        <v>32</v>
      </c>
      <c r="U7" s="3" t="s">
        <v>33</v>
      </c>
    </row>
    <row r="8" customFormat="false" ht="22.35" hidden="false" customHeight="false" outlineLevel="0" collapsed="false">
      <c r="A8" s="8" t="s">
        <v>30</v>
      </c>
      <c r="B8" s="9" t="s">
        <v>34</v>
      </c>
      <c r="C8" s="10" t="n">
        <v>0.05</v>
      </c>
      <c r="D8" s="10" t="n">
        <v>0</v>
      </c>
      <c r="E8" s="10" t="n">
        <v>0</v>
      </c>
      <c r="F8" s="6" t="s">
        <v>32</v>
      </c>
      <c r="U8" s="3" t="s">
        <v>35</v>
      </c>
    </row>
    <row r="9" customFormat="false" ht="15" hidden="false" customHeight="false" outlineLevel="0" collapsed="false">
      <c r="A9" s="8" t="s">
        <v>30</v>
      </c>
      <c r="B9" s="9" t="s">
        <v>36</v>
      </c>
      <c r="C9" s="11" t="s">
        <v>23</v>
      </c>
      <c r="D9" s="12" t="s">
        <v>37</v>
      </c>
      <c r="E9" s="7" t="s">
        <v>38</v>
      </c>
      <c r="F9" s="6" t="s">
        <v>39</v>
      </c>
      <c r="U9" s="3" t="s">
        <v>40</v>
      </c>
    </row>
    <row r="10" customFormat="false" ht="15" hidden="false" customHeight="false" outlineLevel="0" collapsed="false">
      <c r="A10" s="8" t="s">
        <v>30</v>
      </c>
      <c r="B10" s="9" t="s">
        <v>41</v>
      </c>
      <c r="C10" s="13" t="n">
        <f aca="false">INDEX(C7:E7,MATCH(01_INPUTS!$C$9,$U$2:$U$4,0))</f>
        <v>0</v>
      </c>
      <c r="D10" s="12" t="s">
        <v>42</v>
      </c>
      <c r="E10" s="7" t="s">
        <v>43</v>
      </c>
      <c r="F10" s="6" t="s">
        <v>39</v>
      </c>
      <c r="U10" s="3" t="s">
        <v>44</v>
      </c>
    </row>
    <row r="11" customFormat="false" ht="15" hidden="false" customHeight="false" outlineLevel="0" collapsed="false">
      <c r="A11" s="8" t="s">
        <v>30</v>
      </c>
      <c r="B11" s="9" t="s">
        <v>45</v>
      </c>
      <c r="C11" s="13" t="n">
        <f aca="false">INDEX(C8:E8,MATCH(01_INPUTS!$C$9,$U$2:$U$4,0))</f>
        <v>0</v>
      </c>
      <c r="D11" s="12" t="s">
        <v>42</v>
      </c>
      <c r="E11" s="7" t="s">
        <v>43</v>
      </c>
      <c r="F11" s="6" t="s">
        <v>39</v>
      </c>
    </row>
    <row r="12" customFormat="false" ht="15" hidden="false" customHeight="false" outlineLevel="0" collapsed="false">
      <c r="U12" s="3" t="s">
        <v>46</v>
      </c>
    </row>
    <row r="13" customFormat="false" ht="15" hidden="false" customHeight="false" outlineLevel="0" collapsed="false">
      <c r="A13" s="5" t="s">
        <v>47</v>
      </c>
      <c r="B13" s="5"/>
      <c r="C13" s="5"/>
      <c r="D13" s="5"/>
      <c r="E13" s="5"/>
      <c r="F13" s="5"/>
      <c r="G13" s="5"/>
      <c r="H13" s="5"/>
      <c r="I13" s="5"/>
      <c r="J13" s="5"/>
      <c r="K13" s="5"/>
      <c r="L13" s="5"/>
      <c r="M13" s="5"/>
      <c r="N13" s="5"/>
      <c r="O13" s="5"/>
      <c r="P13" s="5"/>
      <c r="Q13" s="5"/>
      <c r="R13" s="5"/>
      <c r="S13" s="5"/>
      <c r="U13" s="3" t="s">
        <v>48</v>
      </c>
    </row>
    <row r="14" customFormat="false" ht="15" hidden="false" customHeight="false" outlineLevel="0" collapsed="false">
      <c r="A14" s="8" t="s">
        <v>49</v>
      </c>
      <c r="B14" s="9" t="s">
        <v>50</v>
      </c>
      <c r="C14" s="14" t="s">
        <v>51</v>
      </c>
      <c r="D14" s="12" t="s">
        <v>52</v>
      </c>
      <c r="E14" s="7" t="s">
        <v>43</v>
      </c>
      <c r="F14" s="6"/>
      <c r="G14" s="15" t="n">
        <v>0</v>
      </c>
      <c r="H14" s="15" t="n">
        <v>1</v>
      </c>
      <c r="I14" s="15" t="n">
        <v>2</v>
      </c>
      <c r="J14" s="15" t="n">
        <v>3</v>
      </c>
      <c r="K14" s="15" t="n">
        <v>4</v>
      </c>
      <c r="L14" s="15" t="n">
        <v>5</v>
      </c>
      <c r="M14" s="15" t="n">
        <v>6</v>
      </c>
      <c r="N14" s="15" t="n">
        <v>7</v>
      </c>
      <c r="O14" s="15" t="n">
        <v>8</v>
      </c>
      <c r="P14" s="15" t="n">
        <v>9</v>
      </c>
      <c r="Q14" s="15" t="n">
        <v>10</v>
      </c>
      <c r="R14" s="15" t="n">
        <v>11</v>
      </c>
      <c r="S14" s="15" t="n">
        <v>12</v>
      </c>
      <c r="U14" s="3" t="s">
        <v>53</v>
      </c>
    </row>
    <row r="15" customFormat="false" ht="15" hidden="false" customHeight="false" outlineLevel="0" collapsed="false">
      <c r="A15" s="8" t="s">
        <v>49</v>
      </c>
      <c r="B15" s="9" t="s">
        <v>54</v>
      </c>
      <c r="C15" s="14" t="s">
        <v>51</v>
      </c>
      <c r="D15" s="12" t="s">
        <v>37</v>
      </c>
      <c r="E15" s="7" t="s">
        <v>55</v>
      </c>
      <c r="F15" s="6" t="s">
        <v>39</v>
      </c>
      <c r="G15" s="16" t="s">
        <v>56</v>
      </c>
      <c r="H15" s="16" t="s">
        <v>56</v>
      </c>
      <c r="I15" s="17" t="s">
        <v>57</v>
      </c>
      <c r="J15" s="18"/>
      <c r="K15" s="18"/>
      <c r="L15" s="18"/>
      <c r="M15" s="18"/>
      <c r="N15" s="18"/>
      <c r="O15" s="18"/>
      <c r="P15" s="18"/>
      <c r="Q15" s="18"/>
      <c r="R15" s="18"/>
      <c r="S15" s="18"/>
    </row>
    <row r="16" customFormat="false" ht="15" hidden="false" customHeight="false" outlineLevel="0" collapsed="false">
      <c r="A16" s="8" t="s">
        <v>49</v>
      </c>
      <c r="B16" s="9" t="s">
        <v>58</v>
      </c>
      <c r="C16" s="14" t="s">
        <v>51</v>
      </c>
      <c r="D16" s="12" t="s">
        <v>59</v>
      </c>
      <c r="E16" s="7" t="s">
        <v>55</v>
      </c>
      <c r="F16" s="6" t="s">
        <v>32</v>
      </c>
      <c r="G16" s="19" t="s">
        <v>60</v>
      </c>
      <c r="H16" s="19" t="s">
        <v>60</v>
      </c>
      <c r="I16" s="11" t="s">
        <v>61</v>
      </c>
      <c r="J16" s="11" t="s">
        <v>61</v>
      </c>
      <c r="K16" s="11"/>
      <c r="L16" s="11"/>
      <c r="M16" s="11"/>
      <c r="N16" s="11"/>
      <c r="O16" s="11"/>
      <c r="P16" s="11"/>
      <c r="Q16" s="11"/>
      <c r="R16" s="11"/>
      <c r="S16" s="11"/>
    </row>
    <row r="17" customFormat="false" ht="15" hidden="false" customHeight="false" outlineLevel="0" collapsed="false">
      <c r="A17" s="8" t="s">
        <v>49</v>
      </c>
      <c r="B17" s="9" t="s">
        <v>62</v>
      </c>
      <c r="C17" s="14" t="s">
        <v>51</v>
      </c>
      <c r="D17" s="12" t="s">
        <v>63</v>
      </c>
      <c r="E17" s="7" t="s">
        <v>43</v>
      </c>
      <c r="F17" s="6" t="s">
        <v>39</v>
      </c>
      <c r="G17" s="20" t="b">
        <f aca="false">TRUE()</f>
        <v>1</v>
      </c>
      <c r="H17" s="20" t="b">
        <f aca="false">TRUE()</f>
        <v>1</v>
      </c>
      <c r="I17" s="20" t="b">
        <f aca="false">AND(OR(I16="PLAN",I16="SIM",I16="REAL"),ISNUMBER(I110))</f>
        <v>1</v>
      </c>
      <c r="J17" s="20" t="b">
        <f aca="false">AND(OR(J16="PLAN",J16="SIM",J16="REAL"),ISNUMBER(J110))</f>
        <v>0</v>
      </c>
      <c r="K17" s="20" t="b">
        <f aca="false">AND(OR(K16="PLAN",K16="SIM",K16="REAL"),ISNUMBER(K110))</f>
        <v>0</v>
      </c>
      <c r="L17" s="20" t="b">
        <f aca="false">AND(OR(L16="PLAN",L16="SIM",L16="REAL"),ISNUMBER(L110))</f>
        <v>0</v>
      </c>
      <c r="M17" s="20" t="b">
        <f aca="false">AND(OR(M16="PLAN",M16="SIM",M16="REAL"),ISNUMBER(M110))</f>
        <v>0</v>
      </c>
      <c r="N17" s="20" t="b">
        <f aca="false">AND(OR(N16="PLAN",N16="SIM",N16="REAL"),ISNUMBER(N110))</f>
        <v>0</v>
      </c>
      <c r="O17" s="20" t="b">
        <f aca="false">AND(OR(O16="PLAN",O16="SIM",O16="REAL"),ISNUMBER(O110))</f>
        <v>0</v>
      </c>
      <c r="P17" s="20" t="b">
        <f aca="false">AND(OR(P16="PLAN",P16="SIM",P16="REAL"),ISNUMBER(P110))</f>
        <v>0</v>
      </c>
      <c r="Q17" s="20" t="b">
        <f aca="false">AND(OR(Q16="PLAN",Q16="SIM",Q16="REAL"),ISNUMBER(Q110))</f>
        <v>0</v>
      </c>
      <c r="R17" s="20" t="b">
        <f aca="false">AND(OR(R16="PLAN",R16="SIM",R16="REAL"),ISNUMBER(R110))</f>
        <v>0</v>
      </c>
      <c r="S17" s="20" t="b">
        <f aca="false">AND(OR(S16="PLAN",S16="SIM",S16="REAL"),ISNUMBER(S110))</f>
        <v>0</v>
      </c>
    </row>
    <row r="19" customFormat="false" ht="15" hidden="false" customHeight="false" outlineLevel="0" collapsed="false">
      <c r="A19" s="5" t="s">
        <v>64</v>
      </c>
      <c r="B19" s="5"/>
      <c r="C19" s="5"/>
      <c r="D19" s="5"/>
      <c r="E19" s="5"/>
      <c r="F19" s="5"/>
      <c r="G19" s="5"/>
      <c r="H19" s="5"/>
      <c r="I19" s="5"/>
      <c r="J19" s="5"/>
      <c r="K19" s="5"/>
      <c r="L19" s="5"/>
      <c r="M19" s="5"/>
      <c r="N19" s="5"/>
      <c r="O19" s="5"/>
      <c r="P19" s="5"/>
      <c r="Q19" s="5"/>
      <c r="R19" s="5"/>
      <c r="S19" s="5"/>
    </row>
    <row r="20" customFormat="false" ht="15" hidden="false" customHeight="false" outlineLevel="0" collapsed="false">
      <c r="A20" s="8" t="s">
        <v>65</v>
      </c>
      <c r="B20" s="9" t="s">
        <v>66</v>
      </c>
      <c r="C20" s="14" t="s">
        <v>67</v>
      </c>
      <c r="D20" s="12" t="s">
        <v>42</v>
      </c>
      <c r="E20" s="7" t="s">
        <v>68</v>
      </c>
      <c r="F20" s="6" t="s">
        <v>32</v>
      </c>
      <c r="G20" s="21" t="s">
        <v>69</v>
      </c>
      <c r="H20" s="21" t="s">
        <v>70</v>
      </c>
      <c r="I20" s="10" t="n">
        <v>0.05</v>
      </c>
      <c r="J20" s="22" t="n">
        <f aca="false">I20</f>
        <v>0.05</v>
      </c>
      <c r="K20" s="22" t="n">
        <f aca="false">J20</f>
        <v>0.05</v>
      </c>
      <c r="L20" s="22" t="n">
        <f aca="false">K20</f>
        <v>0.05</v>
      </c>
      <c r="M20" s="22" t="n">
        <f aca="false">L20</f>
        <v>0.05</v>
      </c>
      <c r="N20" s="22" t="n">
        <f aca="false">M20</f>
        <v>0.05</v>
      </c>
      <c r="O20" s="22" t="n">
        <f aca="false">N20</f>
        <v>0.05</v>
      </c>
      <c r="P20" s="22" t="n">
        <f aca="false">O20</f>
        <v>0.05</v>
      </c>
      <c r="Q20" s="22" t="n">
        <f aca="false">P20</f>
        <v>0.05</v>
      </c>
      <c r="R20" s="22" t="n">
        <f aca="false">Q20</f>
        <v>0.05</v>
      </c>
      <c r="S20" s="22" t="n">
        <f aca="false">R20</f>
        <v>0.05</v>
      </c>
    </row>
    <row r="21" customFormat="false" ht="15" hidden="false" customHeight="false" outlineLevel="0" collapsed="false">
      <c r="A21" s="8" t="s">
        <v>65</v>
      </c>
      <c r="B21" s="9" t="s">
        <v>66</v>
      </c>
      <c r="C21" s="14" t="s">
        <v>71</v>
      </c>
      <c r="D21" s="12" t="s">
        <v>42</v>
      </c>
      <c r="E21" s="7" t="s">
        <v>68</v>
      </c>
      <c r="F21" s="6" t="s">
        <v>32</v>
      </c>
      <c r="G21" s="21" t="s">
        <v>69</v>
      </c>
      <c r="H21" s="21" t="s">
        <v>70</v>
      </c>
      <c r="I21" s="10" t="n">
        <v>0.085</v>
      </c>
      <c r="J21" s="22" t="n">
        <f aca="false">I21</f>
        <v>0.085</v>
      </c>
      <c r="K21" s="22" t="n">
        <f aca="false">J21</f>
        <v>0.085</v>
      </c>
      <c r="L21" s="22" t="n">
        <f aca="false">K21</f>
        <v>0.085</v>
      </c>
      <c r="M21" s="22" t="n">
        <f aca="false">L21</f>
        <v>0.085</v>
      </c>
      <c r="N21" s="22" t="n">
        <f aca="false">M21</f>
        <v>0.085</v>
      </c>
      <c r="O21" s="22" t="n">
        <f aca="false">N21</f>
        <v>0.085</v>
      </c>
      <c r="P21" s="22" t="n">
        <f aca="false">O21</f>
        <v>0.085</v>
      </c>
      <c r="Q21" s="22" t="n">
        <f aca="false">P21</f>
        <v>0.085</v>
      </c>
      <c r="R21" s="22" t="n">
        <f aca="false">Q21</f>
        <v>0.085</v>
      </c>
      <c r="S21" s="22" t="n">
        <f aca="false">R21</f>
        <v>0.085</v>
      </c>
    </row>
    <row r="22" customFormat="false" ht="15" hidden="false" customHeight="false" outlineLevel="0" collapsed="false">
      <c r="A22" s="8" t="s">
        <v>65</v>
      </c>
      <c r="B22" s="9" t="s">
        <v>66</v>
      </c>
      <c r="C22" s="14" t="s">
        <v>72</v>
      </c>
      <c r="D22" s="12" t="s">
        <v>42</v>
      </c>
      <c r="E22" s="7" t="s">
        <v>68</v>
      </c>
      <c r="F22" s="6" t="s">
        <v>32</v>
      </c>
      <c r="G22" s="21" t="s">
        <v>69</v>
      </c>
      <c r="H22" s="21" t="s">
        <v>70</v>
      </c>
      <c r="I22" s="10" t="n">
        <v>0.03</v>
      </c>
      <c r="J22" s="22" t="n">
        <f aca="false">I22</f>
        <v>0.03</v>
      </c>
      <c r="K22" s="22" t="n">
        <f aca="false">J22</f>
        <v>0.03</v>
      </c>
      <c r="L22" s="22" t="n">
        <f aca="false">K22</f>
        <v>0.03</v>
      </c>
      <c r="M22" s="22" t="n">
        <f aca="false">L22</f>
        <v>0.03</v>
      </c>
      <c r="N22" s="22" t="n">
        <f aca="false">M22</f>
        <v>0.03</v>
      </c>
      <c r="O22" s="22" t="n">
        <f aca="false">N22</f>
        <v>0.03</v>
      </c>
      <c r="P22" s="22" t="n">
        <f aca="false">O22</f>
        <v>0.03</v>
      </c>
      <c r="Q22" s="22" t="n">
        <f aca="false">P22</f>
        <v>0.03</v>
      </c>
      <c r="R22" s="22" t="n">
        <f aca="false">Q22</f>
        <v>0.03</v>
      </c>
      <c r="S22" s="22" t="n">
        <f aca="false">R22</f>
        <v>0.03</v>
      </c>
    </row>
    <row r="23" customFormat="false" ht="15" hidden="false" customHeight="false" outlineLevel="0" collapsed="false">
      <c r="A23" s="8" t="s">
        <v>65</v>
      </c>
      <c r="B23" s="9" t="s">
        <v>73</v>
      </c>
      <c r="C23" s="14" t="s">
        <v>67</v>
      </c>
      <c r="D23" s="12" t="s">
        <v>42</v>
      </c>
      <c r="E23" s="7" t="s">
        <v>68</v>
      </c>
      <c r="F23" s="6" t="s">
        <v>32</v>
      </c>
      <c r="G23" s="23" t="n">
        <v>0.22</v>
      </c>
      <c r="H23" s="23" t="n">
        <v>0.25</v>
      </c>
      <c r="I23" s="10" t="n">
        <v>0.22</v>
      </c>
      <c r="J23" s="22" t="n">
        <f aca="false">I23</f>
        <v>0.22</v>
      </c>
      <c r="K23" s="22" t="n">
        <f aca="false">J23</f>
        <v>0.22</v>
      </c>
      <c r="L23" s="22" t="n">
        <f aca="false">K23</f>
        <v>0.22</v>
      </c>
      <c r="M23" s="22" t="n">
        <f aca="false">L23</f>
        <v>0.22</v>
      </c>
      <c r="N23" s="22" t="n">
        <f aca="false">M23</f>
        <v>0.22</v>
      </c>
      <c r="O23" s="22" t="n">
        <f aca="false">N23</f>
        <v>0.22</v>
      </c>
      <c r="P23" s="22" t="n">
        <f aca="false">O23</f>
        <v>0.22</v>
      </c>
      <c r="Q23" s="22" t="n">
        <f aca="false">P23</f>
        <v>0.22</v>
      </c>
      <c r="R23" s="22" t="n">
        <f aca="false">Q23</f>
        <v>0.22</v>
      </c>
      <c r="S23" s="22" t="n">
        <f aca="false">R23</f>
        <v>0.22</v>
      </c>
    </row>
    <row r="24" customFormat="false" ht="15" hidden="false" customHeight="false" outlineLevel="0" collapsed="false">
      <c r="A24" s="8" t="s">
        <v>65</v>
      </c>
      <c r="B24" s="9" t="s">
        <v>73</v>
      </c>
      <c r="C24" s="14" t="s">
        <v>71</v>
      </c>
      <c r="D24" s="12" t="s">
        <v>42</v>
      </c>
      <c r="E24" s="7" t="s">
        <v>68</v>
      </c>
      <c r="F24" s="6" t="s">
        <v>32</v>
      </c>
      <c r="G24" s="23" t="n">
        <v>0.25</v>
      </c>
      <c r="H24" s="23" t="n">
        <v>0.28</v>
      </c>
      <c r="I24" s="10" t="n">
        <v>0.25</v>
      </c>
      <c r="J24" s="22" t="n">
        <f aca="false">I24</f>
        <v>0.25</v>
      </c>
      <c r="K24" s="22" t="n">
        <f aca="false">J24</f>
        <v>0.25</v>
      </c>
      <c r="L24" s="22" t="n">
        <f aca="false">K24</f>
        <v>0.25</v>
      </c>
      <c r="M24" s="22" t="n">
        <f aca="false">L24</f>
        <v>0.25</v>
      </c>
      <c r="N24" s="22" t="n">
        <f aca="false">M24</f>
        <v>0.25</v>
      </c>
      <c r="O24" s="22" t="n">
        <f aca="false">N24</f>
        <v>0.25</v>
      </c>
      <c r="P24" s="22" t="n">
        <f aca="false">O24</f>
        <v>0.25</v>
      </c>
      <c r="Q24" s="22" t="n">
        <f aca="false">P24</f>
        <v>0.25</v>
      </c>
      <c r="R24" s="22" t="n">
        <f aca="false">Q24</f>
        <v>0.25</v>
      </c>
      <c r="S24" s="22" t="n">
        <f aca="false">R24</f>
        <v>0.25</v>
      </c>
    </row>
    <row r="25" customFormat="false" ht="15" hidden="false" customHeight="false" outlineLevel="0" collapsed="false">
      <c r="A25" s="8" t="s">
        <v>65</v>
      </c>
      <c r="B25" s="9" t="s">
        <v>73</v>
      </c>
      <c r="C25" s="14" t="s">
        <v>72</v>
      </c>
      <c r="D25" s="12" t="s">
        <v>42</v>
      </c>
      <c r="E25" s="7" t="s">
        <v>68</v>
      </c>
      <c r="F25" s="6" t="s">
        <v>32</v>
      </c>
      <c r="G25" s="23" t="n">
        <v>0.21</v>
      </c>
      <c r="H25" s="23" t="n">
        <v>0.23</v>
      </c>
      <c r="I25" s="10" t="n">
        <v>0.21</v>
      </c>
      <c r="J25" s="22" t="n">
        <f aca="false">I25</f>
        <v>0.21</v>
      </c>
      <c r="K25" s="22" t="n">
        <f aca="false">J25</f>
        <v>0.21</v>
      </c>
      <c r="L25" s="22" t="n">
        <f aca="false">K25</f>
        <v>0.21</v>
      </c>
      <c r="M25" s="22" t="n">
        <f aca="false">L25</f>
        <v>0.21</v>
      </c>
      <c r="N25" s="22" t="n">
        <f aca="false">M25</f>
        <v>0.21</v>
      </c>
      <c r="O25" s="22" t="n">
        <f aca="false">N25</f>
        <v>0.21</v>
      </c>
      <c r="P25" s="22" t="n">
        <f aca="false">O25</f>
        <v>0.21</v>
      </c>
      <c r="Q25" s="22" t="n">
        <f aca="false">P25</f>
        <v>0.21</v>
      </c>
      <c r="R25" s="22" t="n">
        <f aca="false">Q25</f>
        <v>0.21</v>
      </c>
      <c r="S25" s="22" t="n">
        <f aca="false">R25</f>
        <v>0.21</v>
      </c>
    </row>
    <row r="26" customFormat="false" ht="15" hidden="false" customHeight="false" outlineLevel="0" collapsed="false">
      <c r="A26" s="8" t="s">
        <v>65</v>
      </c>
      <c r="B26" s="9" t="s">
        <v>74</v>
      </c>
      <c r="C26" s="14" t="s">
        <v>75</v>
      </c>
      <c r="D26" s="12" t="s">
        <v>76</v>
      </c>
      <c r="E26" s="7" t="s">
        <v>68</v>
      </c>
      <c r="F26" s="6"/>
      <c r="G26" s="21" t="s">
        <v>77</v>
      </c>
      <c r="H26" s="24" t="n">
        <v>0.162</v>
      </c>
      <c r="I26" s="25" t="n">
        <v>0.1507</v>
      </c>
      <c r="J26" s="26" t="n">
        <f aca="false">I26</f>
        <v>0.1507</v>
      </c>
      <c r="K26" s="26" t="n">
        <f aca="false">J26</f>
        <v>0.1507</v>
      </c>
      <c r="L26" s="26" t="n">
        <f aca="false">K26</f>
        <v>0.1507</v>
      </c>
      <c r="M26" s="26" t="n">
        <f aca="false">L26</f>
        <v>0.1507</v>
      </c>
      <c r="N26" s="26" t="n">
        <f aca="false">M26</f>
        <v>0.1507</v>
      </c>
      <c r="O26" s="26" t="n">
        <f aca="false">N26</f>
        <v>0.1507</v>
      </c>
      <c r="P26" s="26" t="n">
        <f aca="false">O26</f>
        <v>0.1507</v>
      </c>
      <c r="Q26" s="26" t="n">
        <f aca="false">P26</f>
        <v>0.1507</v>
      </c>
      <c r="R26" s="26" t="n">
        <f aca="false">Q26</f>
        <v>0.1507</v>
      </c>
      <c r="S26" s="26" t="n">
        <f aca="false">R26</f>
        <v>0.1507</v>
      </c>
    </row>
    <row r="27" customFormat="false" ht="15" hidden="false" customHeight="false" outlineLevel="0" collapsed="false">
      <c r="A27" s="8" t="s">
        <v>65</v>
      </c>
      <c r="B27" s="9" t="s">
        <v>74</v>
      </c>
      <c r="C27" s="14" t="s">
        <v>78</v>
      </c>
      <c r="D27" s="12" t="s">
        <v>76</v>
      </c>
      <c r="E27" s="7" t="s">
        <v>68</v>
      </c>
      <c r="F27" s="6"/>
      <c r="G27" s="21" t="s">
        <v>77</v>
      </c>
      <c r="H27" s="24" t="n">
        <v>1.146</v>
      </c>
      <c r="I27" s="25" t="n">
        <v>1.1126</v>
      </c>
      <c r="J27" s="26" t="n">
        <f aca="false">I27</f>
        <v>1.1126</v>
      </c>
      <c r="K27" s="26" t="n">
        <f aca="false">J27</f>
        <v>1.1126</v>
      </c>
      <c r="L27" s="26" t="n">
        <f aca="false">K27</f>
        <v>1.1126</v>
      </c>
      <c r="M27" s="26" t="n">
        <f aca="false">L27</f>
        <v>1.1126</v>
      </c>
      <c r="N27" s="26" t="n">
        <f aca="false">M27</f>
        <v>1.1126</v>
      </c>
      <c r="O27" s="26" t="n">
        <f aca="false">N27</f>
        <v>1.1126</v>
      </c>
      <c r="P27" s="26" t="n">
        <f aca="false">O27</f>
        <v>1.1126</v>
      </c>
      <c r="Q27" s="26" t="n">
        <f aca="false">P27</f>
        <v>1.1126</v>
      </c>
      <c r="R27" s="26" t="n">
        <f aca="false">Q27</f>
        <v>1.1126</v>
      </c>
      <c r="S27" s="26" t="n">
        <f aca="false">R27</f>
        <v>1.1126</v>
      </c>
    </row>
    <row r="28" customFormat="false" ht="15" hidden="false" customHeight="false" outlineLevel="0" collapsed="false">
      <c r="A28" s="8" t="s">
        <v>65</v>
      </c>
      <c r="B28" s="9" t="s">
        <v>79</v>
      </c>
      <c r="C28" s="14" t="s">
        <v>80</v>
      </c>
      <c r="D28" s="12" t="s">
        <v>81</v>
      </c>
      <c r="E28" s="7" t="s">
        <v>68</v>
      </c>
      <c r="F28" s="6" t="s">
        <v>82</v>
      </c>
      <c r="G28" s="21" t="s">
        <v>77</v>
      </c>
      <c r="H28" s="27" t="n">
        <v>2000000</v>
      </c>
      <c r="I28" s="28" t="n">
        <v>2000000</v>
      </c>
      <c r="J28" s="29" t="n">
        <f aca="false">I28</f>
        <v>2000000</v>
      </c>
      <c r="K28" s="29" t="n">
        <f aca="false">J28</f>
        <v>2000000</v>
      </c>
      <c r="L28" s="29" t="n">
        <f aca="false">K28</f>
        <v>2000000</v>
      </c>
      <c r="M28" s="29" t="n">
        <f aca="false">L28</f>
        <v>2000000</v>
      </c>
      <c r="N28" s="29" t="n">
        <f aca="false">M28</f>
        <v>2000000</v>
      </c>
      <c r="O28" s="29" t="n">
        <f aca="false">N28</f>
        <v>2000000</v>
      </c>
      <c r="P28" s="29" t="n">
        <f aca="false">O28</f>
        <v>2000000</v>
      </c>
      <c r="Q28" s="29" t="n">
        <f aca="false">P28</f>
        <v>2000000</v>
      </c>
      <c r="R28" s="29" t="n">
        <f aca="false">Q28</f>
        <v>2000000</v>
      </c>
      <c r="S28" s="29" t="n">
        <f aca="false">R28</f>
        <v>2000000</v>
      </c>
    </row>
    <row r="29" customFormat="false" ht="15" hidden="false" customHeight="false" outlineLevel="0" collapsed="false">
      <c r="A29" s="8" t="s">
        <v>65</v>
      </c>
      <c r="B29" s="9" t="s">
        <v>83</v>
      </c>
      <c r="C29" s="14" t="s">
        <v>84</v>
      </c>
      <c r="D29" s="12" t="s">
        <v>85</v>
      </c>
      <c r="E29" s="7" t="s">
        <v>68</v>
      </c>
      <c r="F29" s="6"/>
      <c r="G29" s="21" t="s">
        <v>77</v>
      </c>
      <c r="H29" s="23" t="n">
        <v>0.08</v>
      </c>
      <c r="I29" s="10" t="n">
        <v>0.05</v>
      </c>
      <c r="J29" s="22" t="n">
        <f aca="false">I29</f>
        <v>0.05</v>
      </c>
      <c r="K29" s="22" t="n">
        <f aca="false">J29</f>
        <v>0.05</v>
      </c>
      <c r="L29" s="22" t="n">
        <f aca="false">K29</f>
        <v>0.05</v>
      </c>
      <c r="M29" s="22" t="n">
        <f aca="false">L29</f>
        <v>0.05</v>
      </c>
      <c r="N29" s="22" t="n">
        <f aca="false">M29</f>
        <v>0.05</v>
      </c>
      <c r="O29" s="22" t="n">
        <f aca="false">N29</f>
        <v>0.05</v>
      </c>
      <c r="P29" s="22" t="n">
        <f aca="false">O29</f>
        <v>0.05</v>
      </c>
      <c r="Q29" s="22" t="n">
        <f aca="false">P29</f>
        <v>0.05</v>
      </c>
      <c r="R29" s="22" t="n">
        <f aca="false">Q29</f>
        <v>0.05</v>
      </c>
      <c r="S29" s="22" t="n">
        <f aca="false">R29</f>
        <v>0.05</v>
      </c>
    </row>
    <row r="30" customFormat="false" ht="15" hidden="false" customHeight="false" outlineLevel="0" collapsed="false">
      <c r="A30" s="8" t="s">
        <v>65</v>
      </c>
      <c r="B30" s="9" t="s">
        <v>86</v>
      </c>
      <c r="C30" s="14" t="s">
        <v>67</v>
      </c>
      <c r="D30" s="12" t="s">
        <v>85</v>
      </c>
      <c r="E30" s="7" t="s">
        <v>68</v>
      </c>
      <c r="F30" s="6"/>
      <c r="G30" s="21" t="s">
        <v>77</v>
      </c>
      <c r="H30" s="23" t="n">
        <v>0.15</v>
      </c>
      <c r="I30" s="10" t="n">
        <v>0.1</v>
      </c>
      <c r="J30" s="22" t="n">
        <f aca="false">I30</f>
        <v>0.1</v>
      </c>
      <c r="K30" s="22" t="n">
        <f aca="false">J30</f>
        <v>0.1</v>
      </c>
      <c r="L30" s="22" t="n">
        <f aca="false">K30</f>
        <v>0.1</v>
      </c>
      <c r="M30" s="22" t="n">
        <f aca="false">L30</f>
        <v>0.1</v>
      </c>
      <c r="N30" s="22" t="n">
        <f aca="false">M30</f>
        <v>0.1</v>
      </c>
      <c r="O30" s="22" t="n">
        <f aca="false">N30</f>
        <v>0.1</v>
      </c>
      <c r="P30" s="22" t="n">
        <f aca="false">O30</f>
        <v>0.1</v>
      </c>
      <c r="Q30" s="22" t="n">
        <f aca="false">P30</f>
        <v>0.1</v>
      </c>
      <c r="R30" s="22" t="n">
        <f aca="false">Q30</f>
        <v>0.1</v>
      </c>
      <c r="S30" s="22" t="n">
        <f aca="false">R30</f>
        <v>0.1</v>
      </c>
    </row>
    <row r="31" customFormat="false" ht="15" hidden="false" customHeight="false" outlineLevel="0" collapsed="false">
      <c r="A31" s="8" t="s">
        <v>65</v>
      </c>
      <c r="B31" s="9" t="s">
        <v>86</v>
      </c>
      <c r="C31" s="14" t="s">
        <v>71</v>
      </c>
      <c r="D31" s="12" t="s">
        <v>85</v>
      </c>
      <c r="E31" s="7" t="s">
        <v>68</v>
      </c>
      <c r="F31" s="6"/>
      <c r="G31" s="21" t="s">
        <v>77</v>
      </c>
      <c r="H31" s="23" t="n">
        <v>0.1</v>
      </c>
      <c r="I31" s="10" t="n">
        <v>0.07</v>
      </c>
      <c r="J31" s="22" t="n">
        <f aca="false">I31</f>
        <v>0.07</v>
      </c>
      <c r="K31" s="22" t="n">
        <f aca="false">J31</f>
        <v>0.07</v>
      </c>
      <c r="L31" s="22" t="n">
        <f aca="false">K31</f>
        <v>0.07</v>
      </c>
      <c r="M31" s="22" t="n">
        <f aca="false">L31</f>
        <v>0.07</v>
      </c>
      <c r="N31" s="22" t="n">
        <f aca="false">M31</f>
        <v>0.07</v>
      </c>
      <c r="O31" s="22" t="n">
        <f aca="false">N31</f>
        <v>0.07</v>
      </c>
      <c r="P31" s="22" t="n">
        <f aca="false">O31</f>
        <v>0.07</v>
      </c>
      <c r="Q31" s="22" t="n">
        <f aca="false">P31</f>
        <v>0.07</v>
      </c>
      <c r="R31" s="22" t="n">
        <f aca="false">Q31</f>
        <v>0.07</v>
      </c>
      <c r="S31" s="22" t="n">
        <f aca="false">R31</f>
        <v>0.07</v>
      </c>
    </row>
    <row r="32" customFormat="false" ht="15" hidden="false" customHeight="false" outlineLevel="0" collapsed="false">
      <c r="A32" s="8" t="s">
        <v>65</v>
      </c>
      <c r="B32" s="9" t="s">
        <v>86</v>
      </c>
      <c r="C32" s="14" t="s">
        <v>72</v>
      </c>
      <c r="D32" s="12" t="s">
        <v>85</v>
      </c>
      <c r="E32" s="7" t="s">
        <v>68</v>
      </c>
      <c r="F32" s="6"/>
      <c r="G32" s="21" t="s">
        <v>77</v>
      </c>
      <c r="H32" s="23" t="n">
        <v>0.085</v>
      </c>
      <c r="I32" s="10" t="n">
        <v>0.055</v>
      </c>
      <c r="J32" s="22" t="n">
        <f aca="false">I32</f>
        <v>0.055</v>
      </c>
      <c r="K32" s="22" t="n">
        <f aca="false">J32</f>
        <v>0.055</v>
      </c>
      <c r="L32" s="22" t="n">
        <f aca="false">K32</f>
        <v>0.055</v>
      </c>
      <c r="M32" s="22" t="n">
        <f aca="false">L32</f>
        <v>0.055</v>
      </c>
      <c r="N32" s="22" t="n">
        <f aca="false">M32</f>
        <v>0.055</v>
      </c>
      <c r="O32" s="22" t="n">
        <f aca="false">N32</f>
        <v>0.055</v>
      </c>
      <c r="P32" s="22" t="n">
        <f aca="false">O32</f>
        <v>0.055</v>
      </c>
      <c r="Q32" s="22" t="n">
        <f aca="false">P32</f>
        <v>0.055</v>
      </c>
      <c r="R32" s="22" t="n">
        <f aca="false">Q32</f>
        <v>0.055</v>
      </c>
      <c r="S32" s="22" t="n">
        <f aca="false">R32</f>
        <v>0.055</v>
      </c>
    </row>
    <row r="33" customFormat="false" ht="15" hidden="false" customHeight="false" outlineLevel="0" collapsed="false">
      <c r="A33" s="8" t="s">
        <v>65</v>
      </c>
      <c r="B33" s="9" t="s">
        <v>87</v>
      </c>
      <c r="C33" s="14" t="s">
        <v>67</v>
      </c>
      <c r="D33" s="12" t="s">
        <v>85</v>
      </c>
      <c r="E33" s="7" t="s">
        <v>68</v>
      </c>
      <c r="F33" s="6"/>
      <c r="G33" s="21" t="s">
        <v>77</v>
      </c>
      <c r="H33" s="23" t="n">
        <v>0.06</v>
      </c>
      <c r="I33" s="10" t="n">
        <v>0.04</v>
      </c>
      <c r="J33" s="22" t="n">
        <f aca="false">I33</f>
        <v>0.04</v>
      </c>
      <c r="K33" s="22" t="n">
        <f aca="false">J33</f>
        <v>0.04</v>
      </c>
      <c r="L33" s="22" t="n">
        <f aca="false">K33</f>
        <v>0.04</v>
      </c>
      <c r="M33" s="22" t="n">
        <f aca="false">L33</f>
        <v>0.04</v>
      </c>
      <c r="N33" s="22" t="n">
        <f aca="false">M33</f>
        <v>0.04</v>
      </c>
      <c r="O33" s="22" t="n">
        <f aca="false">N33</f>
        <v>0.04</v>
      </c>
      <c r="P33" s="22" t="n">
        <f aca="false">O33</f>
        <v>0.04</v>
      </c>
      <c r="Q33" s="22" t="n">
        <f aca="false">P33</f>
        <v>0.04</v>
      </c>
      <c r="R33" s="22" t="n">
        <f aca="false">Q33</f>
        <v>0.04</v>
      </c>
      <c r="S33" s="22" t="n">
        <f aca="false">R33</f>
        <v>0.04</v>
      </c>
    </row>
    <row r="34" customFormat="false" ht="15" hidden="false" customHeight="false" outlineLevel="0" collapsed="false">
      <c r="A34" s="8" t="s">
        <v>65</v>
      </c>
      <c r="B34" s="9" t="s">
        <v>87</v>
      </c>
      <c r="C34" s="14" t="s">
        <v>71</v>
      </c>
      <c r="D34" s="12" t="s">
        <v>85</v>
      </c>
      <c r="E34" s="7" t="s">
        <v>68</v>
      </c>
      <c r="F34" s="6"/>
      <c r="G34" s="21" t="s">
        <v>77</v>
      </c>
      <c r="H34" s="23" t="n">
        <v>0.065</v>
      </c>
      <c r="I34" s="10" t="n">
        <v>0.055</v>
      </c>
      <c r="J34" s="22" t="n">
        <f aca="false">I34</f>
        <v>0.055</v>
      </c>
      <c r="K34" s="22" t="n">
        <f aca="false">J34</f>
        <v>0.055</v>
      </c>
      <c r="L34" s="22" t="n">
        <f aca="false">K34</f>
        <v>0.055</v>
      </c>
      <c r="M34" s="22" t="n">
        <f aca="false">L34</f>
        <v>0.055</v>
      </c>
      <c r="N34" s="22" t="n">
        <f aca="false">M34</f>
        <v>0.055</v>
      </c>
      <c r="O34" s="22" t="n">
        <f aca="false">N34</f>
        <v>0.055</v>
      </c>
      <c r="P34" s="22" t="n">
        <f aca="false">O34</f>
        <v>0.055</v>
      </c>
      <c r="Q34" s="22" t="n">
        <f aca="false">P34</f>
        <v>0.055</v>
      </c>
      <c r="R34" s="22" t="n">
        <f aca="false">Q34</f>
        <v>0.055</v>
      </c>
      <c r="S34" s="22" t="n">
        <f aca="false">R34</f>
        <v>0.055</v>
      </c>
    </row>
    <row r="35" customFormat="false" ht="15" hidden="false" customHeight="false" outlineLevel="0" collapsed="false">
      <c r="A35" s="8" t="s">
        <v>65</v>
      </c>
      <c r="B35" s="9" t="s">
        <v>87</v>
      </c>
      <c r="C35" s="14" t="s">
        <v>72</v>
      </c>
      <c r="D35" s="12" t="s">
        <v>85</v>
      </c>
      <c r="E35" s="7" t="s">
        <v>68</v>
      </c>
      <c r="F35" s="6"/>
      <c r="G35" s="21" t="s">
        <v>77</v>
      </c>
      <c r="H35" s="23" t="n">
        <v>0.055</v>
      </c>
      <c r="I35" s="10" t="n">
        <v>0.03</v>
      </c>
      <c r="J35" s="22" t="n">
        <f aca="false">I35</f>
        <v>0.03</v>
      </c>
      <c r="K35" s="22" t="n">
        <f aca="false">J35</f>
        <v>0.03</v>
      </c>
      <c r="L35" s="22" t="n">
        <f aca="false">K35</f>
        <v>0.03</v>
      </c>
      <c r="M35" s="22" t="n">
        <f aca="false">L35</f>
        <v>0.03</v>
      </c>
      <c r="N35" s="22" t="n">
        <f aca="false">M35</f>
        <v>0.03</v>
      </c>
      <c r="O35" s="22" t="n">
        <f aca="false">N35</f>
        <v>0.03</v>
      </c>
      <c r="P35" s="22" t="n">
        <f aca="false">O35</f>
        <v>0.03</v>
      </c>
      <c r="Q35" s="22" t="n">
        <f aca="false">P35</f>
        <v>0.03</v>
      </c>
      <c r="R35" s="22" t="n">
        <f aca="false">Q35</f>
        <v>0.03</v>
      </c>
      <c r="S35" s="22" t="n">
        <f aca="false">R35</f>
        <v>0.03</v>
      </c>
    </row>
    <row r="36" customFormat="false" ht="15" hidden="false" customHeight="false" outlineLevel="0" collapsed="false">
      <c r="A36" s="8" t="s">
        <v>65</v>
      </c>
      <c r="B36" s="9" t="s">
        <v>88</v>
      </c>
      <c r="C36" s="14" t="s">
        <v>67</v>
      </c>
      <c r="D36" s="12" t="s">
        <v>89</v>
      </c>
      <c r="E36" s="7" t="s">
        <v>68</v>
      </c>
      <c r="F36" s="6" t="s">
        <v>90</v>
      </c>
      <c r="G36" s="21" t="s">
        <v>77</v>
      </c>
      <c r="H36" s="30" t="n">
        <v>700</v>
      </c>
      <c r="I36" s="31" t="n">
        <v>700</v>
      </c>
      <c r="J36" s="32" t="n">
        <f aca="false">I36</f>
        <v>700</v>
      </c>
      <c r="K36" s="32" t="n">
        <f aca="false">J36</f>
        <v>700</v>
      </c>
      <c r="L36" s="32" t="n">
        <f aca="false">K36</f>
        <v>700</v>
      </c>
      <c r="M36" s="32" t="n">
        <f aca="false">L36</f>
        <v>700</v>
      </c>
      <c r="N36" s="32" t="n">
        <f aca="false">M36</f>
        <v>700</v>
      </c>
      <c r="O36" s="32" t="n">
        <f aca="false">N36</f>
        <v>700</v>
      </c>
      <c r="P36" s="32" t="n">
        <f aca="false">O36</f>
        <v>700</v>
      </c>
      <c r="Q36" s="32" t="n">
        <f aca="false">P36</f>
        <v>700</v>
      </c>
      <c r="R36" s="32" t="n">
        <f aca="false">Q36</f>
        <v>700</v>
      </c>
      <c r="S36" s="32" t="n">
        <f aca="false">R36</f>
        <v>700</v>
      </c>
    </row>
    <row r="37" customFormat="false" ht="15" hidden="false" customHeight="false" outlineLevel="0" collapsed="false">
      <c r="A37" s="8" t="s">
        <v>65</v>
      </c>
      <c r="B37" s="9" t="s">
        <v>88</v>
      </c>
      <c r="C37" s="14" t="s">
        <v>71</v>
      </c>
      <c r="D37" s="12" t="s">
        <v>89</v>
      </c>
      <c r="E37" s="7" t="s">
        <v>68</v>
      </c>
      <c r="F37" s="6" t="s">
        <v>90</v>
      </c>
      <c r="G37" s="21" t="s">
        <v>77</v>
      </c>
      <c r="H37" s="30" t="n">
        <v>650</v>
      </c>
      <c r="I37" s="31" t="n">
        <v>650</v>
      </c>
      <c r="J37" s="32" t="n">
        <f aca="false">I37</f>
        <v>650</v>
      </c>
      <c r="K37" s="32" t="n">
        <f aca="false">J37</f>
        <v>650</v>
      </c>
      <c r="L37" s="32" t="n">
        <f aca="false">K37</f>
        <v>650</v>
      </c>
      <c r="M37" s="32" t="n">
        <f aca="false">L37</f>
        <v>650</v>
      </c>
      <c r="N37" s="32" t="n">
        <f aca="false">M37</f>
        <v>650</v>
      </c>
      <c r="O37" s="32" t="n">
        <f aca="false">N37</f>
        <v>650</v>
      </c>
      <c r="P37" s="32" t="n">
        <f aca="false">O37</f>
        <v>650</v>
      </c>
      <c r="Q37" s="32" t="n">
        <f aca="false">P37</f>
        <v>650</v>
      </c>
      <c r="R37" s="32" t="n">
        <f aca="false">Q37</f>
        <v>650</v>
      </c>
      <c r="S37" s="32" t="n">
        <f aca="false">R37</f>
        <v>650</v>
      </c>
    </row>
    <row r="38" customFormat="false" ht="15" hidden="false" customHeight="false" outlineLevel="0" collapsed="false">
      <c r="A38" s="8" t="s">
        <v>65</v>
      </c>
      <c r="B38" s="9" t="s">
        <v>88</v>
      </c>
      <c r="C38" s="14" t="s">
        <v>72</v>
      </c>
      <c r="D38" s="12" t="s">
        <v>89</v>
      </c>
      <c r="E38" s="7" t="s">
        <v>68</v>
      </c>
      <c r="F38" s="6" t="s">
        <v>90</v>
      </c>
      <c r="G38" s="21" t="s">
        <v>77</v>
      </c>
      <c r="H38" s="30" t="n">
        <v>750</v>
      </c>
      <c r="I38" s="31" t="n">
        <v>750</v>
      </c>
      <c r="J38" s="32" t="n">
        <f aca="false">I38</f>
        <v>750</v>
      </c>
      <c r="K38" s="32" t="n">
        <f aca="false">J38</f>
        <v>750</v>
      </c>
      <c r="L38" s="32" t="n">
        <f aca="false">K38</f>
        <v>750</v>
      </c>
      <c r="M38" s="32" t="n">
        <f aca="false">L38</f>
        <v>750</v>
      </c>
      <c r="N38" s="32" t="n">
        <f aca="false">M38</f>
        <v>750</v>
      </c>
      <c r="O38" s="32" t="n">
        <f aca="false">N38</f>
        <v>750</v>
      </c>
      <c r="P38" s="32" t="n">
        <f aca="false">O38</f>
        <v>750</v>
      </c>
      <c r="Q38" s="32" t="n">
        <f aca="false">P38</f>
        <v>750</v>
      </c>
      <c r="R38" s="32" t="n">
        <f aca="false">Q38</f>
        <v>750</v>
      </c>
      <c r="S38" s="32" t="n">
        <f aca="false">R38</f>
        <v>750</v>
      </c>
    </row>
    <row r="39" customFormat="false" ht="15" hidden="false" customHeight="false" outlineLevel="0" collapsed="false">
      <c r="A39" s="8" t="s">
        <v>65</v>
      </c>
      <c r="B39" s="9" t="s">
        <v>91</v>
      </c>
      <c r="C39" s="14" t="s">
        <v>92</v>
      </c>
      <c r="D39" s="12" t="s">
        <v>81</v>
      </c>
      <c r="E39" s="7" t="s">
        <v>68</v>
      </c>
      <c r="F39" s="6" t="s">
        <v>32</v>
      </c>
      <c r="G39" s="21" t="s">
        <v>93</v>
      </c>
      <c r="H39" s="21" t="s">
        <v>93</v>
      </c>
      <c r="I39" s="21" t="s">
        <v>93</v>
      </c>
      <c r="J39" s="21" t="s">
        <v>93</v>
      </c>
      <c r="K39" s="21" t="s">
        <v>93</v>
      </c>
      <c r="L39" s="21" t="s">
        <v>93</v>
      </c>
      <c r="M39" s="21" t="s">
        <v>93</v>
      </c>
      <c r="N39" s="21" t="s">
        <v>93</v>
      </c>
      <c r="O39" s="21" t="s">
        <v>93</v>
      </c>
      <c r="P39" s="21" t="s">
        <v>93</v>
      </c>
      <c r="Q39" s="21" t="s">
        <v>93</v>
      </c>
      <c r="R39" s="21" t="s">
        <v>93</v>
      </c>
      <c r="S39" s="21" t="s">
        <v>93</v>
      </c>
    </row>
    <row r="40" customFormat="false" ht="15" hidden="false" customHeight="false" outlineLevel="0" collapsed="false">
      <c r="A40" s="8" t="s">
        <v>65</v>
      </c>
      <c r="B40" s="9" t="s">
        <v>91</v>
      </c>
      <c r="C40" s="14" t="s">
        <v>94</v>
      </c>
      <c r="D40" s="12" t="s">
        <v>81</v>
      </c>
      <c r="E40" s="7" t="s">
        <v>68</v>
      </c>
      <c r="F40" s="6" t="s">
        <v>32</v>
      </c>
      <c r="G40" s="21" t="s">
        <v>93</v>
      </c>
      <c r="H40" s="21" t="s">
        <v>93</v>
      </c>
      <c r="I40" s="21" t="s">
        <v>93</v>
      </c>
      <c r="J40" s="21" t="s">
        <v>93</v>
      </c>
      <c r="K40" s="21" t="s">
        <v>93</v>
      </c>
      <c r="L40" s="21" t="s">
        <v>93</v>
      </c>
      <c r="M40" s="21" t="s">
        <v>93</v>
      </c>
      <c r="N40" s="21" t="s">
        <v>93</v>
      </c>
      <c r="O40" s="21" t="s">
        <v>93</v>
      </c>
      <c r="P40" s="21" t="s">
        <v>93</v>
      </c>
      <c r="Q40" s="21" t="s">
        <v>93</v>
      </c>
      <c r="R40" s="21" t="s">
        <v>93</v>
      </c>
      <c r="S40" s="21" t="s">
        <v>93</v>
      </c>
    </row>
    <row r="41" customFormat="false" ht="15" hidden="false" customHeight="false" outlineLevel="0" collapsed="false">
      <c r="A41" s="8" t="s">
        <v>65</v>
      </c>
      <c r="B41" s="9" t="s">
        <v>91</v>
      </c>
      <c r="C41" s="14" t="s">
        <v>95</v>
      </c>
      <c r="D41" s="12" t="s">
        <v>81</v>
      </c>
      <c r="E41" s="7" t="s">
        <v>68</v>
      </c>
      <c r="F41" s="6" t="s">
        <v>32</v>
      </c>
      <c r="G41" s="21" t="s">
        <v>96</v>
      </c>
      <c r="H41" s="21" t="s">
        <v>96</v>
      </c>
      <c r="I41" s="28"/>
      <c r="J41" s="29" t="n">
        <f aca="false">I41</f>
        <v>0</v>
      </c>
      <c r="K41" s="29" t="n">
        <f aca="false">J41</f>
        <v>0</v>
      </c>
      <c r="L41" s="29" t="n">
        <f aca="false">K41</f>
        <v>0</v>
      </c>
      <c r="M41" s="29" t="n">
        <f aca="false">L41</f>
        <v>0</v>
      </c>
      <c r="N41" s="29" t="n">
        <f aca="false">M41</f>
        <v>0</v>
      </c>
      <c r="O41" s="29" t="n">
        <f aca="false">N41</f>
        <v>0</v>
      </c>
      <c r="P41" s="29" t="n">
        <f aca="false">O41</f>
        <v>0</v>
      </c>
      <c r="Q41" s="29" t="n">
        <f aca="false">P41</f>
        <v>0</v>
      </c>
      <c r="R41" s="29" t="n">
        <f aca="false">Q41</f>
        <v>0</v>
      </c>
      <c r="S41" s="29" t="n">
        <f aca="false">R41</f>
        <v>0</v>
      </c>
    </row>
    <row r="42" customFormat="false" ht="15" hidden="false" customHeight="false" outlineLevel="0" collapsed="false">
      <c r="A42" s="8" t="s">
        <v>65</v>
      </c>
      <c r="B42" s="9" t="s">
        <v>91</v>
      </c>
      <c r="C42" s="14" t="s">
        <v>97</v>
      </c>
      <c r="D42" s="12" t="s">
        <v>81</v>
      </c>
      <c r="E42" s="7" t="s">
        <v>68</v>
      </c>
      <c r="F42" s="6" t="s">
        <v>32</v>
      </c>
      <c r="G42" s="21" t="s">
        <v>96</v>
      </c>
      <c r="H42" s="21" t="s">
        <v>96</v>
      </c>
      <c r="I42" s="28"/>
      <c r="J42" s="29" t="n">
        <f aca="false">I42</f>
        <v>0</v>
      </c>
      <c r="K42" s="29" t="n">
        <f aca="false">J42</f>
        <v>0</v>
      </c>
      <c r="L42" s="29" t="n">
        <f aca="false">K42</f>
        <v>0</v>
      </c>
      <c r="M42" s="29" t="n">
        <f aca="false">L42</f>
        <v>0</v>
      </c>
      <c r="N42" s="29" t="n">
        <f aca="false">M42</f>
        <v>0</v>
      </c>
      <c r="O42" s="29" t="n">
        <f aca="false">N42</f>
        <v>0</v>
      </c>
      <c r="P42" s="29" t="n">
        <f aca="false">O42</f>
        <v>0</v>
      </c>
      <c r="Q42" s="29" t="n">
        <f aca="false">P42</f>
        <v>0</v>
      </c>
      <c r="R42" s="29" t="n">
        <f aca="false">Q42</f>
        <v>0</v>
      </c>
      <c r="S42" s="29" t="n">
        <f aca="false">R42</f>
        <v>0</v>
      </c>
    </row>
    <row r="43" customFormat="false" ht="15" hidden="false" customHeight="false" outlineLevel="0" collapsed="false">
      <c r="A43" s="8" t="s">
        <v>65</v>
      </c>
      <c r="B43" s="9" t="s">
        <v>98</v>
      </c>
      <c r="C43" s="14" t="s">
        <v>92</v>
      </c>
      <c r="D43" s="12" t="s">
        <v>81</v>
      </c>
      <c r="E43" s="7" t="s">
        <v>68</v>
      </c>
      <c r="F43" s="6" t="s">
        <v>32</v>
      </c>
      <c r="G43" s="21" t="s">
        <v>96</v>
      </c>
      <c r="H43" s="21" t="s">
        <v>96</v>
      </c>
      <c r="I43" s="28"/>
      <c r="J43" s="29" t="n">
        <f aca="false">I43</f>
        <v>0</v>
      </c>
      <c r="K43" s="29" t="n">
        <f aca="false">J43</f>
        <v>0</v>
      </c>
      <c r="L43" s="29" t="n">
        <f aca="false">K43</f>
        <v>0</v>
      </c>
      <c r="M43" s="29" t="n">
        <f aca="false">L43</f>
        <v>0</v>
      </c>
      <c r="N43" s="29" t="n">
        <f aca="false">M43</f>
        <v>0</v>
      </c>
      <c r="O43" s="29" t="n">
        <f aca="false">N43</f>
        <v>0</v>
      </c>
      <c r="P43" s="29" t="n">
        <f aca="false">O43</f>
        <v>0</v>
      </c>
      <c r="Q43" s="29" t="n">
        <f aca="false">P43</f>
        <v>0</v>
      </c>
      <c r="R43" s="29" t="n">
        <f aca="false">Q43</f>
        <v>0</v>
      </c>
      <c r="S43" s="29" t="n">
        <f aca="false">R43</f>
        <v>0</v>
      </c>
    </row>
    <row r="44" customFormat="false" ht="15" hidden="false" customHeight="false" outlineLevel="0" collapsed="false">
      <c r="A44" s="8" t="s">
        <v>65</v>
      </c>
      <c r="B44" s="9" t="s">
        <v>98</v>
      </c>
      <c r="C44" s="14" t="s">
        <v>94</v>
      </c>
      <c r="D44" s="12" t="s">
        <v>81</v>
      </c>
      <c r="E44" s="7" t="s">
        <v>68</v>
      </c>
      <c r="F44" s="6" t="s">
        <v>32</v>
      </c>
      <c r="G44" s="21" t="s">
        <v>96</v>
      </c>
      <c r="H44" s="21" t="s">
        <v>96</v>
      </c>
      <c r="I44" s="28"/>
      <c r="J44" s="29" t="n">
        <f aca="false">I44</f>
        <v>0</v>
      </c>
      <c r="K44" s="29" t="n">
        <f aca="false">J44</f>
        <v>0</v>
      </c>
      <c r="L44" s="29" t="n">
        <f aca="false">K44</f>
        <v>0</v>
      </c>
      <c r="M44" s="29" t="n">
        <f aca="false">L44</f>
        <v>0</v>
      </c>
      <c r="N44" s="29" t="n">
        <f aca="false">M44</f>
        <v>0</v>
      </c>
      <c r="O44" s="29" t="n">
        <f aca="false">N44</f>
        <v>0</v>
      </c>
      <c r="P44" s="29" t="n">
        <f aca="false">O44</f>
        <v>0</v>
      </c>
      <c r="Q44" s="29" t="n">
        <f aca="false">P44</f>
        <v>0</v>
      </c>
      <c r="R44" s="29" t="n">
        <f aca="false">Q44</f>
        <v>0</v>
      </c>
      <c r="S44" s="29" t="n">
        <f aca="false">R44</f>
        <v>0</v>
      </c>
    </row>
    <row r="45" customFormat="false" ht="15" hidden="false" customHeight="false" outlineLevel="0" collapsed="false">
      <c r="A45" s="8" t="s">
        <v>65</v>
      </c>
      <c r="B45" s="9" t="s">
        <v>98</v>
      </c>
      <c r="C45" s="14" t="s">
        <v>95</v>
      </c>
      <c r="D45" s="12" t="s">
        <v>81</v>
      </c>
      <c r="E45" s="7" t="s">
        <v>68</v>
      </c>
      <c r="F45" s="6" t="s">
        <v>32</v>
      </c>
      <c r="G45" s="21" t="s">
        <v>96</v>
      </c>
      <c r="H45" s="21" t="s">
        <v>96</v>
      </c>
      <c r="I45" s="28"/>
      <c r="J45" s="29" t="n">
        <f aca="false">I45</f>
        <v>0</v>
      </c>
      <c r="K45" s="29" t="n">
        <f aca="false">J45</f>
        <v>0</v>
      </c>
      <c r="L45" s="29" t="n">
        <f aca="false">K45</f>
        <v>0</v>
      </c>
      <c r="M45" s="29" t="n">
        <f aca="false">L45</f>
        <v>0</v>
      </c>
      <c r="N45" s="29" t="n">
        <f aca="false">M45</f>
        <v>0</v>
      </c>
      <c r="O45" s="29" t="n">
        <f aca="false">N45</f>
        <v>0</v>
      </c>
      <c r="P45" s="29" t="n">
        <f aca="false">O45</f>
        <v>0</v>
      </c>
      <c r="Q45" s="29" t="n">
        <f aca="false">P45</f>
        <v>0</v>
      </c>
      <c r="R45" s="29" t="n">
        <f aca="false">Q45</f>
        <v>0</v>
      </c>
      <c r="S45" s="29" t="n">
        <f aca="false">R45</f>
        <v>0</v>
      </c>
    </row>
    <row r="46" customFormat="false" ht="15" hidden="false" customHeight="false" outlineLevel="0" collapsed="false">
      <c r="A46" s="8" t="s">
        <v>65</v>
      </c>
      <c r="B46" s="9" t="s">
        <v>98</v>
      </c>
      <c r="C46" s="14" t="s">
        <v>97</v>
      </c>
      <c r="D46" s="12" t="s">
        <v>81</v>
      </c>
      <c r="E46" s="7" t="s">
        <v>68</v>
      </c>
      <c r="F46" s="6" t="s">
        <v>32</v>
      </c>
      <c r="G46" s="21" t="s">
        <v>96</v>
      </c>
      <c r="H46" s="21" t="s">
        <v>96</v>
      </c>
      <c r="I46" s="28"/>
      <c r="J46" s="29" t="n">
        <f aca="false">I46</f>
        <v>0</v>
      </c>
      <c r="K46" s="29" t="n">
        <f aca="false">J46</f>
        <v>0</v>
      </c>
      <c r="L46" s="29" t="n">
        <f aca="false">K46</f>
        <v>0</v>
      </c>
      <c r="M46" s="29" t="n">
        <f aca="false">L46</f>
        <v>0</v>
      </c>
      <c r="N46" s="29" t="n">
        <f aca="false">M46</f>
        <v>0</v>
      </c>
      <c r="O46" s="29" t="n">
        <f aca="false">N46</f>
        <v>0</v>
      </c>
      <c r="P46" s="29" t="n">
        <f aca="false">O46</f>
        <v>0</v>
      </c>
      <c r="Q46" s="29" t="n">
        <f aca="false">P46</f>
        <v>0</v>
      </c>
      <c r="R46" s="29" t="n">
        <f aca="false">Q46</f>
        <v>0</v>
      </c>
      <c r="S46" s="29" t="n">
        <f aca="false">R46</f>
        <v>0</v>
      </c>
    </row>
    <row r="47" customFormat="false" ht="15" hidden="false" customHeight="false" outlineLevel="0" collapsed="false">
      <c r="A47" s="8" t="s">
        <v>65</v>
      </c>
      <c r="B47" s="9" t="s">
        <v>99</v>
      </c>
      <c r="C47" s="14" t="s">
        <v>67</v>
      </c>
      <c r="D47" s="12" t="s">
        <v>81</v>
      </c>
      <c r="E47" s="7" t="s">
        <v>68</v>
      </c>
      <c r="F47" s="6" t="s">
        <v>100</v>
      </c>
      <c r="G47" s="21" t="s">
        <v>77</v>
      </c>
      <c r="H47" s="27" t="n">
        <v>35000000</v>
      </c>
      <c r="I47" s="28" t="n">
        <v>35000000</v>
      </c>
      <c r="J47" s="29" t="n">
        <f aca="false">I47</f>
        <v>35000000</v>
      </c>
      <c r="K47" s="29" t="n">
        <f aca="false">J47</f>
        <v>35000000</v>
      </c>
      <c r="L47" s="29" t="n">
        <f aca="false">K47</f>
        <v>35000000</v>
      </c>
      <c r="M47" s="29" t="n">
        <f aca="false">L47</f>
        <v>35000000</v>
      </c>
      <c r="N47" s="29" t="n">
        <f aca="false">M47</f>
        <v>35000000</v>
      </c>
      <c r="O47" s="29" t="n">
        <f aca="false">N47</f>
        <v>35000000</v>
      </c>
      <c r="P47" s="29" t="n">
        <f aca="false">O47</f>
        <v>35000000</v>
      </c>
      <c r="Q47" s="29" t="n">
        <f aca="false">P47</f>
        <v>35000000</v>
      </c>
      <c r="R47" s="29" t="n">
        <f aca="false">Q47</f>
        <v>35000000</v>
      </c>
      <c r="S47" s="29" t="n">
        <f aca="false">R47</f>
        <v>35000000</v>
      </c>
    </row>
    <row r="48" customFormat="false" ht="15" hidden="false" customHeight="false" outlineLevel="0" collapsed="false">
      <c r="A48" s="8" t="s">
        <v>65</v>
      </c>
      <c r="B48" s="9" t="s">
        <v>99</v>
      </c>
      <c r="C48" s="14" t="s">
        <v>71</v>
      </c>
      <c r="D48" s="12" t="s">
        <v>81</v>
      </c>
      <c r="E48" s="7" t="s">
        <v>68</v>
      </c>
      <c r="F48" s="6" t="s">
        <v>100</v>
      </c>
      <c r="G48" s="21" t="s">
        <v>77</v>
      </c>
      <c r="H48" s="27" t="n">
        <v>71000000</v>
      </c>
      <c r="I48" s="28" t="n">
        <v>74000000</v>
      </c>
      <c r="J48" s="29" t="n">
        <f aca="false">I48</f>
        <v>74000000</v>
      </c>
      <c r="K48" s="29" t="n">
        <f aca="false">J48</f>
        <v>74000000</v>
      </c>
      <c r="L48" s="29" t="n">
        <f aca="false">K48</f>
        <v>74000000</v>
      </c>
      <c r="M48" s="29" t="n">
        <f aca="false">L48</f>
        <v>74000000</v>
      </c>
      <c r="N48" s="29" t="n">
        <f aca="false">M48</f>
        <v>74000000</v>
      </c>
      <c r="O48" s="29" t="n">
        <f aca="false">N48</f>
        <v>74000000</v>
      </c>
      <c r="P48" s="29" t="n">
        <f aca="false">O48</f>
        <v>74000000</v>
      </c>
      <c r="Q48" s="29" t="n">
        <f aca="false">P48</f>
        <v>74000000</v>
      </c>
      <c r="R48" s="29" t="n">
        <f aca="false">Q48</f>
        <v>74000000</v>
      </c>
      <c r="S48" s="29" t="n">
        <f aca="false">R48</f>
        <v>74000000</v>
      </c>
    </row>
    <row r="49" customFormat="false" ht="15" hidden="false" customHeight="false" outlineLevel="0" collapsed="false">
      <c r="A49" s="8" t="s">
        <v>65</v>
      </c>
      <c r="B49" s="9" t="s">
        <v>99</v>
      </c>
      <c r="C49" s="14" t="s">
        <v>72</v>
      </c>
      <c r="D49" s="12" t="s">
        <v>81</v>
      </c>
      <c r="E49" s="7" t="s">
        <v>68</v>
      </c>
      <c r="F49" s="6" t="s">
        <v>100</v>
      </c>
      <c r="G49" s="21" t="s">
        <v>77</v>
      </c>
      <c r="H49" s="27" t="n">
        <v>20000000</v>
      </c>
      <c r="I49" s="28" t="n">
        <v>20000000</v>
      </c>
      <c r="J49" s="29" t="n">
        <f aca="false">I49</f>
        <v>20000000</v>
      </c>
      <c r="K49" s="29" t="n">
        <f aca="false">J49</f>
        <v>20000000</v>
      </c>
      <c r="L49" s="29" t="n">
        <f aca="false">K49</f>
        <v>20000000</v>
      </c>
      <c r="M49" s="29" t="n">
        <f aca="false">L49</f>
        <v>20000000</v>
      </c>
      <c r="N49" s="29" t="n">
        <f aca="false">M49</f>
        <v>20000000</v>
      </c>
      <c r="O49" s="29" t="n">
        <f aca="false">N49</f>
        <v>20000000</v>
      </c>
      <c r="P49" s="29" t="n">
        <f aca="false">O49</f>
        <v>20000000</v>
      </c>
      <c r="Q49" s="29" t="n">
        <f aca="false">P49</f>
        <v>20000000</v>
      </c>
      <c r="R49" s="29" t="n">
        <f aca="false">Q49</f>
        <v>20000000</v>
      </c>
      <c r="S49" s="29" t="n">
        <f aca="false">R49</f>
        <v>20000000</v>
      </c>
    </row>
    <row r="50" customFormat="false" ht="22.35" hidden="false" customHeight="false" outlineLevel="0" collapsed="false">
      <c r="A50" s="8" t="s">
        <v>65</v>
      </c>
      <c r="B50" s="9" t="s">
        <v>101</v>
      </c>
      <c r="C50" s="14" t="s">
        <v>67</v>
      </c>
      <c r="D50" s="12" t="s">
        <v>102</v>
      </c>
      <c r="E50" s="7" t="s">
        <v>68</v>
      </c>
      <c r="F50" s="6"/>
      <c r="G50" s="21" t="s">
        <v>77</v>
      </c>
      <c r="H50" s="27" t="n">
        <v>4000000</v>
      </c>
      <c r="I50" s="28" t="n">
        <v>4000000</v>
      </c>
      <c r="J50" s="29" t="n">
        <f aca="false">I50</f>
        <v>4000000</v>
      </c>
      <c r="K50" s="29" t="n">
        <f aca="false">J50</f>
        <v>4000000</v>
      </c>
      <c r="L50" s="29" t="n">
        <f aca="false">K50</f>
        <v>4000000</v>
      </c>
      <c r="M50" s="29" t="n">
        <f aca="false">L50</f>
        <v>4000000</v>
      </c>
      <c r="N50" s="29" t="n">
        <f aca="false">M50</f>
        <v>4000000</v>
      </c>
      <c r="O50" s="29" t="n">
        <f aca="false">N50</f>
        <v>4000000</v>
      </c>
      <c r="P50" s="29" t="n">
        <f aca="false">O50</f>
        <v>4000000</v>
      </c>
      <c r="Q50" s="29" t="n">
        <f aca="false">P50</f>
        <v>4000000</v>
      </c>
      <c r="R50" s="29" t="n">
        <f aca="false">Q50</f>
        <v>4000000</v>
      </c>
      <c r="S50" s="29" t="n">
        <f aca="false">R50</f>
        <v>4000000</v>
      </c>
    </row>
    <row r="51" customFormat="false" ht="22.35" hidden="false" customHeight="false" outlineLevel="0" collapsed="false">
      <c r="A51" s="8" t="s">
        <v>65</v>
      </c>
      <c r="B51" s="9" t="s">
        <v>101</v>
      </c>
      <c r="C51" s="14" t="s">
        <v>71</v>
      </c>
      <c r="D51" s="12" t="s">
        <v>102</v>
      </c>
      <c r="E51" s="7" t="s">
        <v>68</v>
      </c>
      <c r="F51" s="6"/>
      <c r="G51" s="21" t="s">
        <v>77</v>
      </c>
      <c r="H51" s="27" t="n">
        <v>12000000</v>
      </c>
      <c r="I51" s="28" t="n">
        <v>13000000</v>
      </c>
      <c r="J51" s="29" t="n">
        <f aca="false">I51</f>
        <v>13000000</v>
      </c>
      <c r="K51" s="29" t="n">
        <f aca="false">J51</f>
        <v>13000000</v>
      </c>
      <c r="L51" s="29" t="n">
        <f aca="false">K51</f>
        <v>13000000</v>
      </c>
      <c r="M51" s="29" t="n">
        <f aca="false">L51</f>
        <v>13000000</v>
      </c>
      <c r="N51" s="29" t="n">
        <f aca="false">M51</f>
        <v>13000000</v>
      </c>
      <c r="O51" s="29" t="n">
        <f aca="false">N51</f>
        <v>13000000</v>
      </c>
      <c r="P51" s="29" t="n">
        <f aca="false">O51</f>
        <v>13000000</v>
      </c>
      <c r="Q51" s="29" t="n">
        <f aca="false">P51</f>
        <v>13000000</v>
      </c>
      <c r="R51" s="29" t="n">
        <f aca="false">Q51</f>
        <v>13000000</v>
      </c>
      <c r="S51" s="29" t="n">
        <f aca="false">R51</f>
        <v>13000000</v>
      </c>
    </row>
    <row r="52" customFormat="false" ht="15" hidden="false" customHeight="false" outlineLevel="0" collapsed="false">
      <c r="A52" s="8" t="s">
        <v>65</v>
      </c>
      <c r="B52" s="9" t="s">
        <v>103</v>
      </c>
      <c r="C52" s="14" t="s">
        <v>67</v>
      </c>
      <c r="D52" s="12" t="s">
        <v>42</v>
      </c>
      <c r="E52" s="7" t="s">
        <v>68</v>
      </c>
      <c r="F52" s="6"/>
      <c r="G52" s="21" t="s">
        <v>77</v>
      </c>
      <c r="H52" s="23" t="n">
        <v>0</v>
      </c>
      <c r="I52" s="10" t="n">
        <v>0</v>
      </c>
      <c r="J52" s="22" t="n">
        <f aca="false">I52</f>
        <v>0</v>
      </c>
      <c r="K52" s="22" t="n">
        <f aca="false">J52</f>
        <v>0</v>
      </c>
      <c r="L52" s="22" t="n">
        <f aca="false">K52</f>
        <v>0</v>
      </c>
      <c r="M52" s="22" t="n">
        <f aca="false">L52</f>
        <v>0</v>
      </c>
      <c r="N52" s="22" t="n">
        <f aca="false">M52</f>
        <v>0</v>
      </c>
      <c r="O52" s="22" t="n">
        <f aca="false">N52</f>
        <v>0</v>
      </c>
      <c r="P52" s="22" t="n">
        <f aca="false">O52</f>
        <v>0</v>
      </c>
      <c r="Q52" s="22" t="n">
        <f aca="false">P52</f>
        <v>0</v>
      </c>
      <c r="R52" s="22" t="n">
        <f aca="false">Q52</f>
        <v>0</v>
      </c>
      <c r="S52" s="22" t="n">
        <f aca="false">R52</f>
        <v>0</v>
      </c>
    </row>
    <row r="53" customFormat="false" ht="15" hidden="false" customHeight="false" outlineLevel="0" collapsed="false">
      <c r="A53" s="8" t="s">
        <v>65</v>
      </c>
      <c r="B53" s="9" t="s">
        <v>103</v>
      </c>
      <c r="C53" s="14" t="s">
        <v>71</v>
      </c>
      <c r="D53" s="12" t="s">
        <v>42</v>
      </c>
      <c r="E53" s="7" t="s">
        <v>68</v>
      </c>
      <c r="F53" s="6"/>
      <c r="G53" s="21" t="s">
        <v>77</v>
      </c>
      <c r="H53" s="23" t="n">
        <v>0</v>
      </c>
      <c r="I53" s="10" t="n">
        <v>0</v>
      </c>
      <c r="J53" s="22" t="n">
        <f aca="false">I53</f>
        <v>0</v>
      </c>
      <c r="K53" s="22" t="n">
        <f aca="false">J53</f>
        <v>0</v>
      </c>
      <c r="L53" s="22" t="n">
        <f aca="false">K53</f>
        <v>0</v>
      </c>
      <c r="M53" s="22" t="n">
        <f aca="false">L53</f>
        <v>0</v>
      </c>
      <c r="N53" s="22" t="n">
        <f aca="false">M53</f>
        <v>0</v>
      </c>
      <c r="O53" s="22" t="n">
        <f aca="false">N53</f>
        <v>0</v>
      </c>
      <c r="P53" s="22" t="n">
        <f aca="false">O53</f>
        <v>0</v>
      </c>
      <c r="Q53" s="22" t="n">
        <f aca="false">P53</f>
        <v>0</v>
      </c>
      <c r="R53" s="22" t="n">
        <f aca="false">Q53</f>
        <v>0</v>
      </c>
      <c r="S53" s="22" t="n">
        <f aca="false">R53</f>
        <v>0</v>
      </c>
    </row>
    <row r="54" customFormat="false" ht="15" hidden="false" customHeight="false" outlineLevel="0" collapsed="false">
      <c r="A54" s="8" t="s">
        <v>65</v>
      </c>
      <c r="B54" s="9" t="s">
        <v>103</v>
      </c>
      <c r="C54" s="14" t="s">
        <v>72</v>
      </c>
      <c r="D54" s="12" t="s">
        <v>42</v>
      </c>
      <c r="E54" s="7" t="s">
        <v>68</v>
      </c>
      <c r="F54" s="6"/>
      <c r="G54" s="21" t="s">
        <v>77</v>
      </c>
      <c r="H54" s="23" t="n">
        <v>0</v>
      </c>
      <c r="I54" s="10" t="n">
        <v>0</v>
      </c>
      <c r="J54" s="22" t="n">
        <f aca="false">I54</f>
        <v>0</v>
      </c>
      <c r="K54" s="22" t="n">
        <f aca="false">J54</f>
        <v>0</v>
      </c>
      <c r="L54" s="22" t="n">
        <f aca="false">K54</f>
        <v>0</v>
      </c>
      <c r="M54" s="22" t="n">
        <f aca="false">L54</f>
        <v>0</v>
      </c>
      <c r="N54" s="22" t="n">
        <f aca="false">M54</f>
        <v>0</v>
      </c>
      <c r="O54" s="22" t="n">
        <f aca="false">N54</f>
        <v>0</v>
      </c>
      <c r="P54" s="22" t="n">
        <f aca="false">O54</f>
        <v>0</v>
      </c>
      <c r="Q54" s="22" t="n">
        <f aca="false">P54</f>
        <v>0</v>
      </c>
      <c r="R54" s="22" t="n">
        <f aca="false">Q54</f>
        <v>0</v>
      </c>
      <c r="S54" s="22" t="n">
        <f aca="false">R54</f>
        <v>0</v>
      </c>
    </row>
    <row r="55" customFormat="false" ht="15" hidden="false" customHeight="false" outlineLevel="0" collapsed="false">
      <c r="A55" s="8" t="s">
        <v>65</v>
      </c>
      <c r="B55" s="9" t="s">
        <v>104</v>
      </c>
      <c r="C55" s="14" t="s">
        <v>105</v>
      </c>
      <c r="D55" s="12" t="s">
        <v>42</v>
      </c>
      <c r="E55" s="7" t="s">
        <v>68</v>
      </c>
      <c r="F55" s="6" t="s">
        <v>90</v>
      </c>
      <c r="G55" s="21" t="s">
        <v>77</v>
      </c>
      <c r="H55" s="23" t="n">
        <v>0.7</v>
      </c>
      <c r="I55" s="10" t="n">
        <v>0.7</v>
      </c>
      <c r="J55" s="22" t="n">
        <f aca="false">I55</f>
        <v>0.7</v>
      </c>
      <c r="K55" s="22" t="n">
        <f aca="false">J55</f>
        <v>0.7</v>
      </c>
      <c r="L55" s="22" t="n">
        <f aca="false">K55</f>
        <v>0.7</v>
      </c>
      <c r="M55" s="22" t="n">
        <f aca="false">L55</f>
        <v>0.7</v>
      </c>
      <c r="N55" s="22" t="n">
        <f aca="false">M55</f>
        <v>0.7</v>
      </c>
      <c r="O55" s="22" t="n">
        <f aca="false">N55</f>
        <v>0.7</v>
      </c>
      <c r="P55" s="22" t="n">
        <f aca="false">O55</f>
        <v>0.7</v>
      </c>
      <c r="Q55" s="22" t="n">
        <f aca="false">P55</f>
        <v>0.7</v>
      </c>
      <c r="R55" s="22" t="n">
        <f aca="false">Q55</f>
        <v>0.7</v>
      </c>
      <c r="S55" s="22" t="n">
        <f aca="false">R55</f>
        <v>0.7</v>
      </c>
    </row>
    <row r="56" customFormat="false" ht="15" hidden="false" customHeight="false" outlineLevel="0" collapsed="false">
      <c r="A56" s="8" t="s">
        <v>65</v>
      </c>
      <c r="B56" s="9" t="s">
        <v>106</v>
      </c>
      <c r="C56" s="14" t="s">
        <v>105</v>
      </c>
      <c r="D56" s="12" t="s">
        <v>107</v>
      </c>
      <c r="E56" s="7" t="s">
        <v>68</v>
      </c>
      <c r="F56" s="6" t="s">
        <v>90</v>
      </c>
      <c r="G56" s="21" t="s">
        <v>77</v>
      </c>
      <c r="H56" s="30" t="n">
        <v>680</v>
      </c>
      <c r="I56" s="31" t="n">
        <v>670</v>
      </c>
      <c r="J56" s="32" t="n">
        <f aca="false">I56</f>
        <v>670</v>
      </c>
      <c r="K56" s="32" t="n">
        <f aca="false">J56</f>
        <v>670</v>
      </c>
      <c r="L56" s="32" t="n">
        <f aca="false">K56</f>
        <v>670</v>
      </c>
      <c r="M56" s="32" t="n">
        <f aca="false">L56</f>
        <v>670</v>
      </c>
      <c r="N56" s="32" t="n">
        <f aca="false">M56</f>
        <v>670</v>
      </c>
      <c r="O56" s="32" t="n">
        <f aca="false">N56</f>
        <v>670</v>
      </c>
      <c r="P56" s="32" t="n">
        <f aca="false">O56</f>
        <v>670</v>
      </c>
      <c r="Q56" s="32" t="n">
        <f aca="false">P56</f>
        <v>670</v>
      </c>
      <c r="R56" s="32" t="n">
        <f aca="false">Q56</f>
        <v>670</v>
      </c>
      <c r="S56" s="32" t="n">
        <f aca="false">R56</f>
        <v>670</v>
      </c>
    </row>
    <row r="57" customFormat="false" ht="15" hidden="false" customHeight="false" outlineLevel="0" collapsed="false">
      <c r="A57" s="8" t="s">
        <v>65</v>
      </c>
      <c r="B57" s="9" t="s">
        <v>108</v>
      </c>
      <c r="C57" s="14" t="s">
        <v>105</v>
      </c>
      <c r="D57" s="12" t="s">
        <v>109</v>
      </c>
      <c r="E57" s="7" t="s">
        <v>68</v>
      </c>
      <c r="F57" s="6"/>
      <c r="G57" s="21" t="s">
        <v>77</v>
      </c>
      <c r="H57" s="30" t="n">
        <v>4100</v>
      </c>
      <c r="I57" s="31" t="n">
        <v>4000</v>
      </c>
      <c r="J57" s="32" t="n">
        <f aca="false">I57</f>
        <v>4000</v>
      </c>
      <c r="K57" s="32" t="n">
        <f aca="false">J57</f>
        <v>4000</v>
      </c>
      <c r="L57" s="32" t="n">
        <f aca="false">K57</f>
        <v>4000</v>
      </c>
      <c r="M57" s="32" t="n">
        <f aca="false">L57</f>
        <v>4000</v>
      </c>
      <c r="N57" s="32" t="n">
        <f aca="false">M57</f>
        <v>4000</v>
      </c>
      <c r="O57" s="32" t="n">
        <f aca="false">N57</f>
        <v>4000</v>
      </c>
      <c r="P57" s="32" t="n">
        <f aca="false">O57</f>
        <v>4000</v>
      </c>
      <c r="Q57" s="32" t="n">
        <f aca="false">P57</f>
        <v>4000</v>
      </c>
      <c r="R57" s="32" t="n">
        <f aca="false">Q57</f>
        <v>4000</v>
      </c>
      <c r="S57" s="32" t="n">
        <f aca="false">R57</f>
        <v>4000</v>
      </c>
    </row>
    <row r="58" customFormat="false" ht="15" hidden="false" customHeight="false" outlineLevel="0" collapsed="false">
      <c r="A58" s="8" t="s">
        <v>65</v>
      </c>
      <c r="B58" s="9" t="s">
        <v>110</v>
      </c>
      <c r="C58" s="14" t="s">
        <v>111</v>
      </c>
      <c r="D58" s="12" t="s">
        <v>109</v>
      </c>
      <c r="E58" s="7" t="s">
        <v>68</v>
      </c>
      <c r="F58" s="6"/>
      <c r="G58" s="21" t="s">
        <v>77</v>
      </c>
      <c r="H58" s="30" t="n">
        <v>18600</v>
      </c>
      <c r="I58" s="31" t="n">
        <v>18400</v>
      </c>
      <c r="J58" s="32" t="n">
        <f aca="false">I58</f>
        <v>18400</v>
      </c>
      <c r="K58" s="32" t="n">
        <f aca="false">J58</f>
        <v>18400</v>
      </c>
      <c r="L58" s="32" t="n">
        <f aca="false">K58</f>
        <v>18400</v>
      </c>
      <c r="M58" s="32" t="n">
        <f aca="false">L58</f>
        <v>18400</v>
      </c>
      <c r="N58" s="32" t="n">
        <f aca="false">M58</f>
        <v>18400</v>
      </c>
      <c r="O58" s="32" t="n">
        <f aca="false">N58</f>
        <v>18400</v>
      </c>
      <c r="P58" s="32" t="n">
        <f aca="false">O58</f>
        <v>18400</v>
      </c>
      <c r="Q58" s="32" t="n">
        <f aca="false">P58</f>
        <v>18400</v>
      </c>
      <c r="R58" s="32" t="n">
        <f aca="false">Q58</f>
        <v>18400</v>
      </c>
      <c r="S58" s="32" t="n">
        <f aca="false">R58</f>
        <v>18400</v>
      </c>
    </row>
    <row r="59" customFormat="false" ht="15" hidden="false" customHeight="false" outlineLevel="0" collapsed="false">
      <c r="A59" s="8" t="s">
        <v>65</v>
      </c>
      <c r="B59" s="9" t="s">
        <v>110</v>
      </c>
      <c r="C59" s="14" t="s">
        <v>112</v>
      </c>
      <c r="D59" s="12" t="s">
        <v>109</v>
      </c>
      <c r="E59" s="7" t="s">
        <v>68</v>
      </c>
      <c r="F59" s="6"/>
      <c r="G59" s="21" t="s">
        <v>77</v>
      </c>
      <c r="H59" s="30" t="n">
        <v>23600</v>
      </c>
      <c r="I59" s="31" t="n">
        <v>23400</v>
      </c>
      <c r="J59" s="32" t="n">
        <f aca="false">I59</f>
        <v>23400</v>
      </c>
      <c r="K59" s="32" t="n">
        <f aca="false">J59</f>
        <v>23400</v>
      </c>
      <c r="L59" s="32" t="n">
        <f aca="false">K59</f>
        <v>23400</v>
      </c>
      <c r="M59" s="32" t="n">
        <f aca="false">L59</f>
        <v>23400</v>
      </c>
      <c r="N59" s="32" t="n">
        <f aca="false">M59</f>
        <v>23400</v>
      </c>
      <c r="O59" s="32" t="n">
        <f aca="false">N59</f>
        <v>23400</v>
      </c>
      <c r="P59" s="32" t="n">
        <f aca="false">O59</f>
        <v>23400</v>
      </c>
      <c r="Q59" s="32" t="n">
        <f aca="false">P59</f>
        <v>23400</v>
      </c>
      <c r="R59" s="32" t="n">
        <f aca="false">Q59</f>
        <v>23400</v>
      </c>
      <c r="S59" s="32" t="n">
        <f aca="false">R59</f>
        <v>23400</v>
      </c>
    </row>
    <row r="60" customFormat="false" ht="15" hidden="false" customHeight="false" outlineLevel="0" collapsed="false">
      <c r="A60" s="8" t="s">
        <v>65</v>
      </c>
      <c r="B60" s="9" t="s">
        <v>110</v>
      </c>
      <c r="C60" s="14" t="s">
        <v>113</v>
      </c>
      <c r="D60" s="12" t="s">
        <v>109</v>
      </c>
      <c r="E60" s="7" t="s">
        <v>68</v>
      </c>
      <c r="F60" s="6"/>
      <c r="G60" s="21" t="s">
        <v>77</v>
      </c>
      <c r="H60" s="30" t="n">
        <v>30600</v>
      </c>
      <c r="I60" s="31" t="n">
        <v>30400</v>
      </c>
      <c r="J60" s="32" t="n">
        <f aca="false">I60</f>
        <v>30400</v>
      </c>
      <c r="K60" s="32" t="n">
        <f aca="false">J60</f>
        <v>30400</v>
      </c>
      <c r="L60" s="32" t="n">
        <f aca="false">K60</f>
        <v>30400</v>
      </c>
      <c r="M60" s="32" t="n">
        <f aca="false">L60</f>
        <v>30400</v>
      </c>
      <c r="N60" s="32" t="n">
        <f aca="false">M60</f>
        <v>30400</v>
      </c>
      <c r="O60" s="32" t="n">
        <f aca="false">N60</f>
        <v>30400</v>
      </c>
      <c r="P60" s="32" t="n">
        <f aca="false">O60</f>
        <v>30400</v>
      </c>
      <c r="Q60" s="32" t="n">
        <f aca="false">P60</f>
        <v>30400</v>
      </c>
      <c r="R60" s="32" t="n">
        <f aca="false">Q60</f>
        <v>30400</v>
      </c>
      <c r="S60" s="32" t="n">
        <f aca="false">R60</f>
        <v>30400</v>
      </c>
    </row>
    <row r="61" customFormat="false" ht="22.35" hidden="false" customHeight="false" outlineLevel="0" collapsed="false">
      <c r="A61" s="8" t="s">
        <v>65</v>
      </c>
      <c r="B61" s="9" t="s">
        <v>114</v>
      </c>
      <c r="C61" s="14" t="s">
        <v>84</v>
      </c>
      <c r="D61" s="12" t="s">
        <v>115</v>
      </c>
      <c r="E61" s="7" t="s">
        <v>116</v>
      </c>
      <c r="F61" s="6" t="s">
        <v>117</v>
      </c>
      <c r="G61" s="33" t="n">
        <v>33.5923600993318</v>
      </c>
      <c r="H61" s="33" t="n">
        <v>38.6517949069181</v>
      </c>
      <c r="I61" s="34" t="n">
        <v>38.6517949069181</v>
      </c>
      <c r="J61" s="35" t="n">
        <f aca="false">I61</f>
        <v>38.6517949069181</v>
      </c>
      <c r="K61" s="35" t="n">
        <f aca="false">J61</f>
        <v>38.6517949069181</v>
      </c>
      <c r="L61" s="35" t="n">
        <f aca="false">K61</f>
        <v>38.6517949069181</v>
      </c>
      <c r="M61" s="35" t="n">
        <f aca="false">L61</f>
        <v>38.6517949069181</v>
      </c>
      <c r="N61" s="35" t="n">
        <f aca="false">M61</f>
        <v>38.6517949069181</v>
      </c>
      <c r="O61" s="35" t="n">
        <f aca="false">N61</f>
        <v>38.6517949069181</v>
      </c>
      <c r="P61" s="35" t="n">
        <f aca="false">O61</f>
        <v>38.6517949069181</v>
      </c>
      <c r="Q61" s="35" t="n">
        <f aca="false">P61</f>
        <v>38.6517949069181</v>
      </c>
      <c r="R61" s="35" t="n">
        <f aca="false">Q61</f>
        <v>38.6517949069181</v>
      </c>
      <c r="S61" s="35" t="n">
        <f aca="false">R61</f>
        <v>38.6517949069181</v>
      </c>
    </row>
    <row r="62" customFormat="false" ht="15" hidden="false" customHeight="false" outlineLevel="0" collapsed="false">
      <c r="A62" s="8" t="s">
        <v>65</v>
      </c>
      <c r="B62" s="9" t="s">
        <v>118</v>
      </c>
      <c r="C62" s="14" t="s">
        <v>119</v>
      </c>
      <c r="D62" s="12" t="s">
        <v>89</v>
      </c>
      <c r="E62" s="7" t="s">
        <v>68</v>
      </c>
      <c r="F62" s="6"/>
      <c r="G62" s="21" t="s">
        <v>77</v>
      </c>
      <c r="H62" s="30" t="n">
        <v>550</v>
      </c>
      <c r="I62" s="31" t="n">
        <v>350</v>
      </c>
      <c r="J62" s="32" t="n">
        <f aca="false">I62</f>
        <v>350</v>
      </c>
      <c r="K62" s="32" t="n">
        <f aca="false">J62</f>
        <v>350</v>
      </c>
      <c r="L62" s="32" t="n">
        <f aca="false">K62</f>
        <v>350</v>
      </c>
      <c r="M62" s="32" t="n">
        <f aca="false">L62</f>
        <v>350</v>
      </c>
      <c r="N62" s="32" t="n">
        <f aca="false">M62</f>
        <v>350</v>
      </c>
      <c r="O62" s="32" t="n">
        <f aca="false">N62</f>
        <v>350</v>
      </c>
      <c r="P62" s="32" t="n">
        <f aca="false">O62</f>
        <v>350</v>
      </c>
      <c r="Q62" s="32" t="n">
        <f aca="false">P62</f>
        <v>350</v>
      </c>
      <c r="R62" s="32" t="n">
        <f aca="false">Q62</f>
        <v>350</v>
      </c>
      <c r="S62" s="32" t="n">
        <f aca="false">R62</f>
        <v>350</v>
      </c>
    </row>
    <row r="63" customFormat="false" ht="15" hidden="false" customHeight="false" outlineLevel="0" collapsed="false">
      <c r="A63" s="8" t="s">
        <v>65</v>
      </c>
      <c r="B63" s="9" t="s">
        <v>118</v>
      </c>
      <c r="C63" s="14" t="s">
        <v>120</v>
      </c>
      <c r="D63" s="12" t="s">
        <v>89</v>
      </c>
      <c r="E63" s="7" t="s">
        <v>68</v>
      </c>
      <c r="F63" s="6"/>
      <c r="G63" s="21" t="s">
        <v>77</v>
      </c>
      <c r="H63" s="30" t="n">
        <v>300</v>
      </c>
      <c r="I63" s="31" t="n">
        <v>200</v>
      </c>
      <c r="J63" s="32" t="n">
        <f aca="false">I63</f>
        <v>200</v>
      </c>
      <c r="K63" s="32" t="n">
        <f aca="false">J63</f>
        <v>200</v>
      </c>
      <c r="L63" s="32" t="n">
        <f aca="false">K63</f>
        <v>200</v>
      </c>
      <c r="M63" s="32" t="n">
        <f aca="false">L63</f>
        <v>200</v>
      </c>
      <c r="N63" s="32" t="n">
        <f aca="false">M63</f>
        <v>200</v>
      </c>
      <c r="O63" s="32" t="n">
        <f aca="false">N63</f>
        <v>200</v>
      </c>
      <c r="P63" s="32" t="n">
        <f aca="false">O63</f>
        <v>200</v>
      </c>
      <c r="Q63" s="32" t="n">
        <f aca="false">P63</f>
        <v>200</v>
      </c>
      <c r="R63" s="32" t="n">
        <f aca="false">Q63</f>
        <v>200</v>
      </c>
      <c r="S63" s="32" t="n">
        <f aca="false">R63</f>
        <v>200</v>
      </c>
    </row>
    <row r="64" customFormat="false" ht="15" hidden="false" customHeight="false" outlineLevel="0" collapsed="false">
      <c r="A64" s="8" t="s">
        <v>65</v>
      </c>
      <c r="B64" s="9" t="s">
        <v>118</v>
      </c>
      <c r="C64" s="14" t="s">
        <v>121</v>
      </c>
      <c r="D64" s="12" t="s">
        <v>89</v>
      </c>
      <c r="E64" s="7" t="s">
        <v>68</v>
      </c>
      <c r="F64" s="6"/>
      <c r="G64" s="21" t="s">
        <v>77</v>
      </c>
      <c r="H64" s="30" t="n">
        <v>450</v>
      </c>
      <c r="I64" s="31" t="n">
        <v>300</v>
      </c>
      <c r="J64" s="32" t="n">
        <f aca="false">I64</f>
        <v>300</v>
      </c>
      <c r="K64" s="32" t="n">
        <f aca="false">J64</f>
        <v>300</v>
      </c>
      <c r="L64" s="32" t="n">
        <f aca="false">K64</f>
        <v>300</v>
      </c>
      <c r="M64" s="32" t="n">
        <f aca="false">L64</f>
        <v>300</v>
      </c>
      <c r="N64" s="32" t="n">
        <f aca="false">M64</f>
        <v>300</v>
      </c>
      <c r="O64" s="32" t="n">
        <f aca="false">N64</f>
        <v>300</v>
      </c>
      <c r="P64" s="32" t="n">
        <f aca="false">O64</f>
        <v>300</v>
      </c>
      <c r="Q64" s="32" t="n">
        <f aca="false">P64</f>
        <v>300</v>
      </c>
      <c r="R64" s="32" t="n">
        <f aca="false">Q64</f>
        <v>300</v>
      </c>
      <c r="S64" s="32" t="n">
        <f aca="false">R64</f>
        <v>300</v>
      </c>
    </row>
    <row r="65" customFormat="false" ht="15" hidden="false" customHeight="false" outlineLevel="0" collapsed="false">
      <c r="A65" s="8" t="s">
        <v>65</v>
      </c>
      <c r="B65" s="9" t="s">
        <v>118</v>
      </c>
      <c r="C65" s="14" t="s">
        <v>122</v>
      </c>
      <c r="D65" s="12" t="s">
        <v>89</v>
      </c>
      <c r="E65" s="7" t="s">
        <v>68</v>
      </c>
      <c r="F65" s="6"/>
      <c r="G65" s="21" t="s">
        <v>77</v>
      </c>
      <c r="H65" s="30" t="n">
        <v>400</v>
      </c>
      <c r="I65" s="31" t="n">
        <v>250</v>
      </c>
      <c r="J65" s="32" t="n">
        <f aca="false">I65</f>
        <v>250</v>
      </c>
      <c r="K65" s="32" t="n">
        <f aca="false">J65</f>
        <v>250</v>
      </c>
      <c r="L65" s="32" t="n">
        <f aca="false">K65</f>
        <v>250</v>
      </c>
      <c r="M65" s="32" t="n">
        <f aca="false">L65</f>
        <v>250</v>
      </c>
      <c r="N65" s="32" t="n">
        <f aca="false">M65</f>
        <v>250</v>
      </c>
      <c r="O65" s="32" t="n">
        <f aca="false">N65</f>
        <v>250</v>
      </c>
      <c r="P65" s="32" t="n">
        <f aca="false">O65</f>
        <v>250</v>
      </c>
      <c r="Q65" s="32" t="n">
        <f aca="false">P65</f>
        <v>250</v>
      </c>
      <c r="R65" s="32" t="n">
        <f aca="false">Q65</f>
        <v>250</v>
      </c>
      <c r="S65" s="32" t="n">
        <f aca="false">R65</f>
        <v>250</v>
      </c>
    </row>
    <row r="66" customFormat="false" ht="15" hidden="false" customHeight="false" outlineLevel="0" collapsed="false">
      <c r="A66" s="8" t="s">
        <v>65</v>
      </c>
      <c r="B66" s="9" t="s">
        <v>123</v>
      </c>
      <c r="C66" s="14" t="s">
        <v>119</v>
      </c>
      <c r="D66" s="12" t="s">
        <v>89</v>
      </c>
      <c r="E66" s="7" t="s">
        <v>68</v>
      </c>
      <c r="F66" s="6"/>
      <c r="G66" s="21" t="s">
        <v>77</v>
      </c>
      <c r="H66" s="30" t="n">
        <v>0</v>
      </c>
      <c r="I66" s="31" t="n">
        <v>0</v>
      </c>
      <c r="J66" s="32" t="n">
        <f aca="false">I66</f>
        <v>0</v>
      </c>
      <c r="K66" s="32" t="n">
        <f aca="false">J66</f>
        <v>0</v>
      </c>
      <c r="L66" s="32" t="n">
        <f aca="false">K66</f>
        <v>0</v>
      </c>
      <c r="M66" s="32" t="n">
        <f aca="false">L66</f>
        <v>0</v>
      </c>
      <c r="N66" s="32" t="n">
        <f aca="false">M66</f>
        <v>0</v>
      </c>
      <c r="O66" s="32" t="n">
        <f aca="false">N66</f>
        <v>0</v>
      </c>
      <c r="P66" s="32" t="n">
        <f aca="false">O66</f>
        <v>0</v>
      </c>
      <c r="Q66" s="32" t="n">
        <f aca="false">P66</f>
        <v>0</v>
      </c>
      <c r="R66" s="32" t="n">
        <f aca="false">Q66</f>
        <v>0</v>
      </c>
      <c r="S66" s="32" t="n">
        <f aca="false">R66</f>
        <v>0</v>
      </c>
    </row>
    <row r="67" customFormat="false" ht="15" hidden="false" customHeight="false" outlineLevel="0" collapsed="false">
      <c r="A67" s="8" t="s">
        <v>65</v>
      </c>
      <c r="B67" s="9" t="s">
        <v>123</v>
      </c>
      <c r="C67" s="14" t="s">
        <v>120</v>
      </c>
      <c r="D67" s="12" t="s">
        <v>89</v>
      </c>
      <c r="E67" s="7" t="s">
        <v>68</v>
      </c>
      <c r="F67" s="6"/>
      <c r="G67" s="21" t="s">
        <v>77</v>
      </c>
      <c r="H67" s="30" t="n">
        <v>0</v>
      </c>
      <c r="I67" s="31" t="n">
        <v>0</v>
      </c>
      <c r="J67" s="32" t="n">
        <f aca="false">I67</f>
        <v>0</v>
      </c>
      <c r="K67" s="32" t="n">
        <f aca="false">J67</f>
        <v>0</v>
      </c>
      <c r="L67" s="32" t="n">
        <f aca="false">K67</f>
        <v>0</v>
      </c>
      <c r="M67" s="32" t="n">
        <f aca="false">L67</f>
        <v>0</v>
      </c>
      <c r="N67" s="32" t="n">
        <f aca="false">M67</f>
        <v>0</v>
      </c>
      <c r="O67" s="32" t="n">
        <f aca="false">N67</f>
        <v>0</v>
      </c>
      <c r="P67" s="32" t="n">
        <f aca="false">O67</f>
        <v>0</v>
      </c>
      <c r="Q67" s="32" t="n">
        <f aca="false">P67</f>
        <v>0</v>
      </c>
      <c r="R67" s="32" t="n">
        <f aca="false">Q67</f>
        <v>0</v>
      </c>
      <c r="S67" s="32" t="n">
        <f aca="false">R67</f>
        <v>0</v>
      </c>
    </row>
    <row r="68" customFormat="false" ht="15" hidden="false" customHeight="false" outlineLevel="0" collapsed="false">
      <c r="A68" s="8" t="s">
        <v>65</v>
      </c>
      <c r="B68" s="9" t="s">
        <v>123</v>
      </c>
      <c r="C68" s="14" t="s">
        <v>121</v>
      </c>
      <c r="D68" s="12" t="s">
        <v>89</v>
      </c>
      <c r="E68" s="7" t="s">
        <v>68</v>
      </c>
      <c r="F68" s="6"/>
      <c r="G68" s="21" t="s">
        <v>77</v>
      </c>
      <c r="H68" s="30" t="n">
        <v>0</v>
      </c>
      <c r="I68" s="31" t="n">
        <v>0</v>
      </c>
      <c r="J68" s="32" t="n">
        <f aca="false">I68</f>
        <v>0</v>
      </c>
      <c r="K68" s="32" t="n">
        <f aca="false">J68</f>
        <v>0</v>
      </c>
      <c r="L68" s="32" t="n">
        <f aca="false">K68</f>
        <v>0</v>
      </c>
      <c r="M68" s="32" t="n">
        <f aca="false">L68</f>
        <v>0</v>
      </c>
      <c r="N68" s="32" t="n">
        <f aca="false">M68</f>
        <v>0</v>
      </c>
      <c r="O68" s="32" t="n">
        <f aca="false">N68</f>
        <v>0</v>
      </c>
      <c r="P68" s="32" t="n">
        <f aca="false">O68</f>
        <v>0</v>
      </c>
      <c r="Q68" s="32" t="n">
        <f aca="false">P68</f>
        <v>0</v>
      </c>
      <c r="R68" s="32" t="n">
        <f aca="false">Q68</f>
        <v>0</v>
      </c>
      <c r="S68" s="32" t="n">
        <f aca="false">R68</f>
        <v>0</v>
      </c>
    </row>
    <row r="69" customFormat="false" ht="15" hidden="false" customHeight="false" outlineLevel="0" collapsed="false">
      <c r="A69" s="8" t="s">
        <v>65</v>
      </c>
      <c r="B69" s="9" t="s">
        <v>123</v>
      </c>
      <c r="C69" s="14" t="s">
        <v>122</v>
      </c>
      <c r="D69" s="12" t="s">
        <v>89</v>
      </c>
      <c r="E69" s="7" t="s">
        <v>68</v>
      </c>
      <c r="F69" s="6"/>
      <c r="G69" s="21" t="s">
        <v>77</v>
      </c>
      <c r="H69" s="30" t="n">
        <v>0</v>
      </c>
      <c r="I69" s="31" t="n">
        <v>0</v>
      </c>
      <c r="J69" s="32" t="n">
        <f aca="false">I69</f>
        <v>0</v>
      </c>
      <c r="K69" s="32" t="n">
        <f aca="false">J69</f>
        <v>0</v>
      </c>
      <c r="L69" s="32" t="n">
        <f aca="false">K69</f>
        <v>0</v>
      </c>
      <c r="M69" s="32" t="n">
        <f aca="false">L69</f>
        <v>0</v>
      </c>
      <c r="N69" s="32" t="n">
        <f aca="false">M69</f>
        <v>0</v>
      </c>
      <c r="O69" s="32" t="n">
        <f aca="false">N69</f>
        <v>0</v>
      </c>
      <c r="P69" s="32" t="n">
        <f aca="false">O69</f>
        <v>0</v>
      </c>
      <c r="Q69" s="32" t="n">
        <f aca="false">P69</f>
        <v>0</v>
      </c>
      <c r="R69" s="32" t="n">
        <f aca="false">Q69</f>
        <v>0</v>
      </c>
      <c r="S69" s="32" t="n">
        <f aca="false">R69</f>
        <v>0</v>
      </c>
    </row>
    <row r="70" customFormat="false" ht="15" hidden="false" customHeight="false" outlineLevel="0" collapsed="false">
      <c r="A70" s="8" t="s">
        <v>65</v>
      </c>
      <c r="B70" s="9" t="s">
        <v>124</v>
      </c>
      <c r="C70" s="14" t="s">
        <v>119</v>
      </c>
      <c r="D70" s="12" t="s">
        <v>42</v>
      </c>
      <c r="E70" s="7" t="s">
        <v>68</v>
      </c>
      <c r="F70" s="6" t="s">
        <v>82</v>
      </c>
      <c r="G70" s="21" t="s">
        <v>77</v>
      </c>
      <c r="H70" s="23" t="n">
        <v>0.3</v>
      </c>
      <c r="I70" s="10" t="n">
        <v>0.2</v>
      </c>
      <c r="J70" s="22" t="n">
        <f aca="false">I70</f>
        <v>0.2</v>
      </c>
      <c r="K70" s="22" t="n">
        <f aca="false">J70</f>
        <v>0.2</v>
      </c>
      <c r="L70" s="22" t="n">
        <f aca="false">K70</f>
        <v>0.2</v>
      </c>
      <c r="M70" s="22" t="n">
        <f aca="false">L70</f>
        <v>0.2</v>
      </c>
      <c r="N70" s="22" t="n">
        <f aca="false">M70</f>
        <v>0.2</v>
      </c>
      <c r="O70" s="22" t="n">
        <f aca="false">N70</f>
        <v>0.2</v>
      </c>
      <c r="P70" s="22" t="n">
        <f aca="false">O70</f>
        <v>0.2</v>
      </c>
      <c r="Q70" s="22" t="n">
        <f aca="false">P70</f>
        <v>0.2</v>
      </c>
      <c r="R70" s="22" t="n">
        <f aca="false">Q70</f>
        <v>0.2</v>
      </c>
      <c r="S70" s="22" t="n">
        <f aca="false">R70</f>
        <v>0.2</v>
      </c>
    </row>
    <row r="71" customFormat="false" ht="15" hidden="false" customHeight="false" outlineLevel="0" collapsed="false">
      <c r="A71" s="8" t="s">
        <v>65</v>
      </c>
      <c r="B71" s="9" t="s">
        <v>124</v>
      </c>
      <c r="C71" s="14" t="s">
        <v>120</v>
      </c>
      <c r="D71" s="12" t="s">
        <v>42</v>
      </c>
      <c r="E71" s="7" t="s">
        <v>68</v>
      </c>
      <c r="F71" s="6" t="s">
        <v>82</v>
      </c>
      <c r="G71" s="21" t="s">
        <v>77</v>
      </c>
      <c r="H71" s="23" t="n">
        <v>0.2</v>
      </c>
      <c r="I71" s="10" t="n">
        <v>0.1</v>
      </c>
      <c r="J71" s="22" t="n">
        <f aca="false">I71</f>
        <v>0.1</v>
      </c>
      <c r="K71" s="22" t="n">
        <f aca="false">J71</f>
        <v>0.1</v>
      </c>
      <c r="L71" s="22" t="n">
        <f aca="false">K71</f>
        <v>0.1</v>
      </c>
      <c r="M71" s="22" t="n">
        <f aca="false">L71</f>
        <v>0.1</v>
      </c>
      <c r="N71" s="22" t="n">
        <f aca="false">M71</f>
        <v>0.1</v>
      </c>
      <c r="O71" s="22" t="n">
        <f aca="false">N71</f>
        <v>0.1</v>
      </c>
      <c r="P71" s="22" t="n">
        <f aca="false">O71</f>
        <v>0.1</v>
      </c>
      <c r="Q71" s="22" t="n">
        <f aca="false">P71</f>
        <v>0.1</v>
      </c>
      <c r="R71" s="22" t="n">
        <f aca="false">Q71</f>
        <v>0.1</v>
      </c>
      <c r="S71" s="22" t="n">
        <f aca="false">R71</f>
        <v>0.1</v>
      </c>
    </row>
    <row r="72" customFormat="false" ht="15" hidden="false" customHeight="false" outlineLevel="0" collapsed="false">
      <c r="A72" s="8" t="s">
        <v>65</v>
      </c>
      <c r="B72" s="9" t="s">
        <v>124</v>
      </c>
      <c r="C72" s="14" t="s">
        <v>121</v>
      </c>
      <c r="D72" s="12" t="s">
        <v>42</v>
      </c>
      <c r="E72" s="7" t="s">
        <v>68</v>
      </c>
      <c r="F72" s="6" t="s">
        <v>82</v>
      </c>
      <c r="G72" s="21" t="s">
        <v>77</v>
      </c>
      <c r="H72" s="23" t="n">
        <v>0.3</v>
      </c>
      <c r="I72" s="10" t="n">
        <v>0.025</v>
      </c>
      <c r="J72" s="22" t="n">
        <f aca="false">I72</f>
        <v>0.025</v>
      </c>
      <c r="K72" s="22" t="n">
        <f aca="false">J72</f>
        <v>0.025</v>
      </c>
      <c r="L72" s="22" t="n">
        <f aca="false">K72</f>
        <v>0.025</v>
      </c>
      <c r="M72" s="22" t="n">
        <f aca="false">L72</f>
        <v>0.025</v>
      </c>
      <c r="N72" s="22" t="n">
        <f aca="false">M72</f>
        <v>0.025</v>
      </c>
      <c r="O72" s="22" t="n">
        <f aca="false">N72</f>
        <v>0.025</v>
      </c>
      <c r="P72" s="22" t="n">
        <f aca="false">O72</f>
        <v>0.025</v>
      </c>
      <c r="Q72" s="22" t="n">
        <f aca="false">P72</f>
        <v>0.025</v>
      </c>
      <c r="R72" s="22" t="n">
        <f aca="false">Q72</f>
        <v>0.025</v>
      </c>
      <c r="S72" s="22" t="n">
        <f aca="false">R72</f>
        <v>0.025</v>
      </c>
    </row>
    <row r="73" customFormat="false" ht="15" hidden="false" customHeight="false" outlineLevel="0" collapsed="false">
      <c r="A73" s="8" t="s">
        <v>65</v>
      </c>
      <c r="B73" s="9" t="s">
        <v>124</v>
      </c>
      <c r="C73" s="14" t="s">
        <v>122</v>
      </c>
      <c r="D73" s="12" t="s">
        <v>42</v>
      </c>
      <c r="E73" s="7" t="s">
        <v>68</v>
      </c>
      <c r="F73" s="6" t="s">
        <v>82</v>
      </c>
      <c r="G73" s="21" t="s">
        <v>77</v>
      </c>
      <c r="H73" s="23" t="n">
        <v>0.2</v>
      </c>
      <c r="I73" s="10" t="n">
        <v>0.1</v>
      </c>
      <c r="J73" s="22" t="n">
        <f aca="false">I73</f>
        <v>0.1</v>
      </c>
      <c r="K73" s="22" t="n">
        <f aca="false">J73</f>
        <v>0.1</v>
      </c>
      <c r="L73" s="22" t="n">
        <f aca="false">K73</f>
        <v>0.1</v>
      </c>
      <c r="M73" s="22" t="n">
        <f aca="false">L73</f>
        <v>0.1</v>
      </c>
      <c r="N73" s="22" t="n">
        <f aca="false">M73</f>
        <v>0.1</v>
      </c>
      <c r="O73" s="22" t="n">
        <f aca="false">N73</f>
        <v>0.1</v>
      </c>
      <c r="P73" s="22" t="n">
        <f aca="false">O73</f>
        <v>0.1</v>
      </c>
      <c r="Q73" s="22" t="n">
        <f aca="false">P73</f>
        <v>0.1</v>
      </c>
      <c r="R73" s="22" t="n">
        <f aca="false">Q73</f>
        <v>0.1</v>
      </c>
      <c r="S73" s="22" t="n">
        <f aca="false">R73</f>
        <v>0.1</v>
      </c>
    </row>
    <row r="74" customFormat="false" ht="15" hidden="false" customHeight="false" outlineLevel="0" collapsed="false">
      <c r="A74" s="8" t="s">
        <v>65</v>
      </c>
      <c r="B74" s="9" t="s">
        <v>125</v>
      </c>
      <c r="C74" s="14" t="s">
        <v>67</v>
      </c>
      <c r="D74" s="12" t="s">
        <v>81</v>
      </c>
      <c r="E74" s="7" t="s">
        <v>68</v>
      </c>
      <c r="F74" s="6"/>
      <c r="G74" s="21" t="s">
        <v>77</v>
      </c>
      <c r="H74" s="27" t="n">
        <v>1207500000</v>
      </c>
      <c r="I74" s="28" t="n">
        <v>1202000000</v>
      </c>
      <c r="J74" s="29" t="n">
        <f aca="false">I74</f>
        <v>1202000000</v>
      </c>
      <c r="K74" s="29" t="n">
        <f aca="false">J74</f>
        <v>1202000000</v>
      </c>
      <c r="L74" s="29" t="n">
        <f aca="false">K74</f>
        <v>1202000000</v>
      </c>
      <c r="M74" s="29" t="n">
        <f aca="false">L74</f>
        <v>1202000000</v>
      </c>
      <c r="N74" s="29" t="n">
        <f aca="false">M74</f>
        <v>1202000000</v>
      </c>
      <c r="O74" s="29" t="n">
        <f aca="false">N74</f>
        <v>1202000000</v>
      </c>
      <c r="P74" s="29" t="n">
        <f aca="false">O74</f>
        <v>1202000000</v>
      </c>
      <c r="Q74" s="29" t="n">
        <f aca="false">P74</f>
        <v>1202000000</v>
      </c>
      <c r="R74" s="29" t="n">
        <f aca="false">Q74</f>
        <v>1202000000</v>
      </c>
      <c r="S74" s="29" t="n">
        <f aca="false">R74</f>
        <v>1202000000</v>
      </c>
    </row>
    <row r="75" customFormat="false" ht="15" hidden="false" customHeight="false" outlineLevel="0" collapsed="false">
      <c r="A75" s="8" t="s">
        <v>65</v>
      </c>
      <c r="B75" s="9" t="s">
        <v>125</v>
      </c>
      <c r="C75" s="14" t="s">
        <v>71</v>
      </c>
      <c r="D75" s="12" t="s">
        <v>81</v>
      </c>
      <c r="E75" s="7" t="s">
        <v>68</v>
      </c>
      <c r="F75" s="6"/>
      <c r="G75" s="21" t="s">
        <v>77</v>
      </c>
      <c r="H75" s="27" t="n">
        <v>1057500000</v>
      </c>
      <c r="I75" s="28" t="n">
        <v>1052000000</v>
      </c>
      <c r="J75" s="29" t="n">
        <f aca="false">I75</f>
        <v>1052000000</v>
      </c>
      <c r="K75" s="29" t="n">
        <f aca="false">J75</f>
        <v>1052000000</v>
      </c>
      <c r="L75" s="29" t="n">
        <f aca="false">K75</f>
        <v>1052000000</v>
      </c>
      <c r="M75" s="29" t="n">
        <f aca="false">L75</f>
        <v>1052000000</v>
      </c>
      <c r="N75" s="29" t="n">
        <f aca="false">M75</f>
        <v>1052000000</v>
      </c>
      <c r="O75" s="29" t="n">
        <f aca="false">N75</f>
        <v>1052000000</v>
      </c>
      <c r="P75" s="29" t="n">
        <f aca="false">O75</f>
        <v>1052000000</v>
      </c>
      <c r="Q75" s="29" t="n">
        <f aca="false">P75</f>
        <v>1052000000</v>
      </c>
      <c r="R75" s="29" t="n">
        <f aca="false">Q75</f>
        <v>1052000000</v>
      </c>
      <c r="S75" s="29" t="n">
        <f aca="false">R75</f>
        <v>1052000000</v>
      </c>
    </row>
    <row r="76" customFormat="false" ht="15" hidden="false" customHeight="false" outlineLevel="0" collapsed="false">
      <c r="A76" s="8" t="s">
        <v>65</v>
      </c>
      <c r="B76" s="9" t="s">
        <v>126</v>
      </c>
      <c r="C76" s="14" t="s">
        <v>67</v>
      </c>
      <c r="D76" s="12" t="s">
        <v>81</v>
      </c>
      <c r="E76" s="7" t="s">
        <v>68</v>
      </c>
      <c r="F76" s="6"/>
      <c r="G76" s="21" t="s">
        <v>77</v>
      </c>
      <c r="H76" s="27" t="n">
        <v>1207500000</v>
      </c>
      <c r="I76" s="28" t="n">
        <v>1202000000</v>
      </c>
      <c r="J76" s="29" t="n">
        <f aca="false">I76</f>
        <v>1202000000</v>
      </c>
      <c r="K76" s="29" t="n">
        <f aca="false">J76</f>
        <v>1202000000</v>
      </c>
      <c r="L76" s="29" t="n">
        <f aca="false">K76</f>
        <v>1202000000</v>
      </c>
      <c r="M76" s="29" t="n">
        <f aca="false">L76</f>
        <v>1202000000</v>
      </c>
      <c r="N76" s="29" t="n">
        <f aca="false">M76</f>
        <v>1202000000</v>
      </c>
      <c r="O76" s="29" t="n">
        <f aca="false">N76</f>
        <v>1202000000</v>
      </c>
      <c r="P76" s="29" t="n">
        <f aca="false">O76</f>
        <v>1202000000</v>
      </c>
      <c r="Q76" s="29" t="n">
        <f aca="false">P76</f>
        <v>1202000000</v>
      </c>
      <c r="R76" s="29" t="n">
        <f aca="false">Q76</f>
        <v>1202000000</v>
      </c>
      <c r="S76" s="29" t="n">
        <f aca="false">R76</f>
        <v>1202000000</v>
      </c>
    </row>
    <row r="77" customFormat="false" ht="15" hidden="false" customHeight="false" outlineLevel="0" collapsed="false">
      <c r="A77" s="8" t="s">
        <v>65</v>
      </c>
      <c r="B77" s="9" t="s">
        <v>126</v>
      </c>
      <c r="C77" s="14" t="s">
        <v>71</v>
      </c>
      <c r="D77" s="12" t="s">
        <v>81</v>
      </c>
      <c r="E77" s="7" t="s">
        <v>68</v>
      </c>
      <c r="F77" s="6"/>
      <c r="G77" s="21" t="s">
        <v>77</v>
      </c>
      <c r="H77" s="27" t="n">
        <v>1057500000</v>
      </c>
      <c r="I77" s="28" t="n">
        <v>1052000000</v>
      </c>
      <c r="J77" s="29" t="n">
        <f aca="false">I77</f>
        <v>1052000000</v>
      </c>
      <c r="K77" s="29" t="n">
        <f aca="false">J77</f>
        <v>1052000000</v>
      </c>
      <c r="L77" s="29" t="n">
        <f aca="false">K77</f>
        <v>1052000000</v>
      </c>
      <c r="M77" s="29" t="n">
        <f aca="false">L77</f>
        <v>1052000000</v>
      </c>
      <c r="N77" s="29" t="n">
        <f aca="false">M77</f>
        <v>1052000000</v>
      </c>
      <c r="O77" s="29" t="n">
        <f aca="false">N77</f>
        <v>1052000000</v>
      </c>
      <c r="P77" s="29" t="n">
        <f aca="false">O77</f>
        <v>1052000000</v>
      </c>
      <c r="Q77" s="29" t="n">
        <f aca="false">P77</f>
        <v>1052000000</v>
      </c>
      <c r="R77" s="29" t="n">
        <f aca="false">Q77</f>
        <v>1052000000</v>
      </c>
      <c r="S77" s="29" t="n">
        <f aca="false">R77</f>
        <v>1052000000</v>
      </c>
    </row>
    <row r="78" customFormat="false" ht="15" hidden="false" customHeight="false" outlineLevel="0" collapsed="false">
      <c r="A78" s="8" t="s">
        <v>65</v>
      </c>
      <c r="B78" s="9" t="s">
        <v>127</v>
      </c>
      <c r="C78" s="14" t="s">
        <v>128</v>
      </c>
      <c r="D78" s="12" t="s">
        <v>89</v>
      </c>
      <c r="E78" s="7" t="s">
        <v>129</v>
      </c>
      <c r="F78" s="6" t="s">
        <v>117</v>
      </c>
      <c r="G78" s="30" t="n">
        <v>11425.6408888889</v>
      </c>
      <c r="H78" s="30" t="n">
        <v>11142.1602938292</v>
      </c>
      <c r="I78" s="31"/>
      <c r="J78" s="31"/>
      <c r="K78" s="31"/>
      <c r="L78" s="31"/>
      <c r="M78" s="31"/>
      <c r="N78" s="31"/>
      <c r="O78" s="31"/>
      <c r="P78" s="31"/>
      <c r="Q78" s="31"/>
      <c r="R78" s="31"/>
      <c r="S78" s="31"/>
    </row>
    <row r="79" customFormat="false" ht="15" hidden="false" customHeight="false" outlineLevel="0" collapsed="false">
      <c r="A79" s="8" t="s">
        <v>65</v>
      </c>
      <c r="B79" s="9" t="s">
        <v>127</v>
      </c>
      <c r="C79" s="14" t="s">
        <v>130</v>
      </c>
      <c r="D79" s="12" t="s">
        <v>89</v>
      </c>
      <c r="E79" s="7" t="s">
        <v>129</v>
      </c>
      <c r="F79" s="6" t="s">
        <v>117</v>
      </c>
      <c r="G79" s="30"/>
      <c r="H79" s="30" t="n">
        <v>17630.5229121633</v>
      </c>
      <c r="I79" s="31"/>
      <c r="J79" s="31"/>
      <c r="K79" s="31"/>
      <c r="L79" s="31"/>
      <c r="M79" s="31"/>
      <c r="N79" s="31"/>
      <c r="O79" s="31"/>
      <c r="P79" s="31"/>
      <c r="Q79" s="31"/>
      <c r="R79" s="31"/>
      <c r="S79" s="31"/>
    </row>
    <row r="80" customFormat="false" ht="15" hidden="false" customHeight="false" outlineLevel="0" collapsed="false">
      <c r="A80" s="8" t="s">
        <v>65</v>
      </c>
      <c r="B80" s="9" t="s">
        <v>127</v>
      </c>
      <c r="C80" s="14" t="s">
        <v>131</v>
      </c>
      <c r="D80" s="12" t="s">
        <v>89</v>
      </c>
      <c r="E80" s="7" t="s">
        <v>129</v>
      </c>
      <c r="F80" s="6" t="s">
        <v>117</v>
      </c>
      <c r="G80" s="30"/>
      <c r="H80" s="30"/>
      <c r="I80" s="31"/>
      <c r="J80" s="31"/>
      <c r="K80" s="31"/>
      <c r="L80" s="31"/>
      <c r="M80" s="31"/>
      <c r="N80" s="31"/>
      <c r="O80" s="31"/>
      <c r="P80" s="31"/>
      <c r="Q80" s="31"/>
      <c r="R80" s="31"/>
      <c r="S80" s="31"/>
    </row>
    <row r="81" customFormat="false" ht="15" hidden="false" customHeight="false" outlineLevel="0" collapsed="false">
      <c r="A81" s="8" t="s">
        <v>65</v>
      </c>
      <c r="B81" s="9" t="s">
        <v>127</v>
      </c>
      <c r="C81" s="14" t="s">
        <v>132</v>
      </c>
      <c r="D81" s="12" t="s">
        <v>89</v>
      </c>
      <c r="E81" s="7" t="s">
        <v>129</v>
      </c>
      <c r="F81" s="6" t="s">
        <v>117</v>
      </c>
      <c r="G81" s="30"/>
      <c r="H81" s="30"/>
      <c r="I81" s="31"/>
      <c r="J81" s="31"/>
      <c r="K81" s="31"/>
      <c r="L81" s="31"/>
      <c r="M81" s="31"/>
      <c r="N81" s="31"/>
      <c r="O81" s="31"/>
      <c r="P81" s="31"/>
      <c r="Q81" s="31"/>
      <c r="R81" s="31"/>
      <c r="S81" s="31"/>
    </row>
    <row r="82" customFormat="false" ht="15" hidden="false" customHeight="false" outlineLevel="0" collapsed="false">
      <c r="A82" s="8" t="s">
        <v>65</v>
      </c>
      <c r="B82" s="9" t="s">
        <v>127</v>
      </c>
      <c r="C82" s="14" t="s">
        <v>133</v>
      </c>
      <c r="D82" s="12" t="s">
        <v>89</v>
      </c>
      <c r="E82" s="7" t="s">
        <v>129</v>
      </c>
      <c r="F82" s="6" t="s">
        <v>117</v>
      </c>
      <c r="G82" s="30" t="n">
        <v>10264.4712345679</v>
      </c>
      <c r="H82" s="30" t="n">
        <v>10358.738390622</v>
      </c>
      <c r="I82" s="31" t="n">
        <v>10106.74</v>
      </c>
      <c r="J82" s="31"/>
      <c r="K82" s="31"/>
      <c r="L82" s="31"/>
      <c r="M82" s="31"/>
      <c r="N82" s="31"/>
      <c r="O82" s="31"/>
      <c r="P82" s="31"/>
      <c r="Q82" s="31"/>
      <c r="R82" s="31"/>
      <c r="S82" s="31"/>
    </row>
    <row r="83" customFormat="false" ht="15" hidden="false" customHeight="false" outlineLevel="0" collapsed="false">
      <c r="A83" s="8" t="s">
        <v>65</v>
      </c>
      <c r="B83" s="9" t="s">
        <v>127</v>
      </c>
      <c r="C83" s="14" t="s">
        <v>134</v>
      </c>
      <c r="D83" s="12" t="s">
        <v>89</v>
      </c>
      <c r="E83" s="7" t="s">
        <v>129</v>
      </c>
      <c r="F83" s="6" t="s">
        <v>117</v>
      </c>
      <c r="G83" s="30"/>
      <c r="H83" s="30" t="n">
        <v>16285.8239718646</v>
      </c>
      <c r="I83" s="31" t="n">
        <v>15649.15</v>
      </c>
      <c r="J83" s="31"/>
      <c r="K83" s="31"/>
      <c r="L83" s="31"/>
      <c r="M83" s="31"/>
      <c r="N83" s="31"/>
      <c r="O83" s="31"/>
      <c r="P83" s="31"/>
      <c r="Q83" s="31"/>
      <c r="R83" s="31"/>
      <c r="S83" s="31"/>
    </row>
    <row r="84" customFormat="false" ht="15" hidden="false" customHeight="false" outlineLevel="0" collapsed="false">
      <c r="A84" s="8" t="s">
        <v>65</v>
      </c>
      <c r="B84" s="9" t="s">
        <v>127</v>
      </c>
      <c r="C84" s="14" t="s">
        <v>135</v>
      </c>
      <c r="D84" s="12" t="s">
        <v>89</v>
      </c>
      <c r="E84" s="7" t="s">
        <v>129</v>
      </c>
      <c r="F84" s="6" t="s">
        <v>117</v>
      </c>
      <c r="G84" s="30"/>
      <c r="H84" s="30"/>
      <c r="I84" s="31"/>
      <c r="J84" s="31"/>
      <c r="K84" s="31"/>
      <c r="L84" s="31"/>
      <c r="M84" s="31"/>
      <c r="N84" s="31"/>
      <c r="O84" s="31"/>
      <c r="P84" s="31"/>
      <c r="Q84" s="31"/>
      <c r="R84" s="31"/>
      <c r="S84" s="31"/>
    </row>
    <row r="85" customFormat="false" ht="15" hidden="false" customHeight="false" outlineLevel="0" collapsed="false">
      <c r="A85" s="8" t="s">
        <v>65</v>
      </c>
      <c r="B85" s="9" t="s">
        <v>127</v>
      </c>
      <c r="C85" s="14" t="s">
        <v>136</v>
      </c>
      <c r="D85" s="12" t="s">
        <v>89</v>
      </c>
      <c r="E85" s="7" t="s">
        <v>129</v>
      </c>
      <c r="F85" s="6" t="s">
        <v>117</v>
      </c>
      <c r="G85" s="30"/>
      <c r="H85" s="30"/>
      <c r="I85" s="31"/>
      <c r="J85" s="31"/>
      <c r="K85" s="31"/>
      <c r="L85" s="31"/>
      <c r="M85" s="31"/>
      <c r="N85" s="31"/>
      <c r="O85" s="31"/>
      <c r="P85" s="31"/>
      <c r="Q85" s="31"/>
      <c r="R85" s="31"/>
      <c r="S85" s="31"/>
    </row>
    <row r="86" customFormat="false" ht="15" hidden="false" customHeight="false" outlineLevel="0" collapsed="false">
      <c r="A86" s="8" t="s">
        <v>65</v>
      </c>
      <c r="B86" s="9" t="s">
        <v>137</v>
      </c>
      <c r="C86" s="14" t="s">
        <v>67</v>
      </c>
      <c r="D86" s="12" t="s">
        <v>138</v>
      </c>
      <c r="E86" s="7" t="s">
        <v>116</v>
      </c>
      <c r="F86" s="6" t="s">
        <v>117</v>
      </c>
      <c r="G86" s="28"/>
      <c r="H86" s="28"/>
      <c r="I86" s="28"/>
      <c r="J86" s="28"/>
      <c r="K86" s="28"/>
      <c r="L86" s="28"/>
      <c r="M86" s="28"/>
      <c r="N86" s="28"/>
      <c r="O86" s="28"/>
      <c r="P86" s="28"/>
      <c r="Q86" s="28"/>
      <c r="R86" s="28"/>
      <c r="S86" s="28"/>
    </row>
    <row r="87" customFormat="false" ht="15" hidden="false" customHeight="false" outlineLevel="0" collapsed="false">
      <c r="A87" s="8" t="s">
        <v>65</v>
      </c>
      <c r="B87" s="9" t="s">
        <v>139</v>
      </c>
      <c r="C87" s="14" t="s">
        <v>67</v>
      </c>
      <c r="D87" s="12" t="s">
        <v>140</v>
      </c>
      <c r="E87" s="7" t="s">
        <v>116</v>
      </c>
      <c r="F87" s="6" t="s">
        <v>117</v>
      </c>
      <c r="G87" s="31"/>
      <c r="H87" s="31"/>
      <c r="I87" s="31"/>
      <c r="J87" s="31"/>
      <c r="K87" s="31"/>
      <c r="L87" s="31"/>
      <c r="M87" s="31"/>
      <c r="N87" s="31"/>
      <c r="O87" s="31"/>
      <c r="P87" s="31"/>
      <c r="Q87" s="31"/>
      <c r="R87" s="31"/>
      <c r="S87" s="31"/>
    </row>
    <row r="88" customFormat="false" ht="15" hidden="false" customHeight="false" outlineLevel="0" collapsed="false">
      <c r="A88" s="8" t="s">
        <v>65</v>
      </c>
      <c r="B88" s="9" t="s">
        <v>137</v>
      </c>
      <c r="C88" s="14" t="s">
        <v>71</v>
      </c>
      <c r="D88" s="12" t="s">
        <v>138</v>
      </c>
      <c r="E88" s="7" t="s">
        <v>116</v>
      </c>
      <c r="F88" s="6" t="s">
        <v>117</v>
      </c>
      <c r="G88" s="28"/>
      <c r="H88" s="28"/>
      <c r="I88" s="28"/>
      <c r="J88" s="28"/>
      <c r="K88" s="28"/>
      <c r="L88" s="28"/>
      <c r="M88" s="28"/>
      <c r="N88" s="28"/>
      <c r="O88" s="28"/>
      <c r="P88" s="28"/>
      <c r="Q88" s="28"/>
      <c r="R88" s="28"/>
      <c r="S88" s="28"/>
    </row>
    <row r="89" customFormat="false" ht="15" hidden="false" customHeight="false" outlineLevel="0" collapsed="false">
      <c r="A89" s="8" t="s">
        <v>65</v>
      </c>
      <c r="B89" s="9" t="s">
        <v>139</v>
      </c>
      <c r="C89" s="14" t="s">
        <v>71</v>
      </c>
      <c r="D89" s="12" t="s">
        <v>140</v>
      </c>
      <c r="E89" s="7" t="s">
        <v>116</v>
      </c>
      <c r="F89" s="6" t="s">
        <v>117</v>
      </c>
      <c r="G89" s="31"/>
      <c r="H89" s="31"/>
      <c r="I89" s="31"/>
      <c r="J89" s="31"/>
      <c r="K89" s="31"/>
      <c r="L89" s="31"/>
      <c r="M89" s="31"/>
      <c r="N89" s="31"/>
      <c r="O89" s="31"/>
      <c r="P89" s="31"/>
      <c r="Q89" s="31"/>
      <c r="R89" s="31"/>
      <c r="S89" s="31"/>
    </row>
    <row r="90" customFormat="false" ht="15" hidden="false" customHeight="false" outlineLevel="0" collapsed="false">
      <c r="A90" s="8" t="s">
        <v>65</v>
      </c>
      <c r="B90" s="9" t="s">
        <v>141</v>
      </c>
      <c r="C90" s="14" t="s">
        <v>142</v>
      </c>
      <c r="D90" s="12" t="s">
        <v>143</v>
      </c>
      <c r="E90" s="7" t="s">
        <v>116</v>
      </c>
      <c r="F90" s="6" t="s">
        <v>117</v>
      </c>
      <c r="G90" s="31"/>
      <c r="H90" s="31"/>
      <c r="I90" s="31"/>
      <c r="J90" s="31"/>
      <c r="K90" s="31"/>
      <c r="L90" s="31"/>
      <c r="M90" s="31"/>
      <c r="N90" s="31"/>
      <c r="O90" s="31"/>
      <c r="P90" s="31"/>
      <c r="Q90" s="31"/>
      <c r="R90" s="31"/>
      <c r="S90" s="31"/>
    </row>
    <row r="91" customFormat="false" ht="15" hidden="false" customHeight="false" outlineLevel="0" collapsed="false">
      <c r="A91" s="8" t="s">
        <v>65</v>
      </c>
      <c r="B91" s="9" t="s">
        <v>144</v>
      </c>
      <c r="C91" s="14" t="s">
        <v>142</v>
      </c>
      <c r="D91" s="12" t="s">
        <v>145</v>
      </c>
      <c r="E91" s="7" t="s">
        <v>116</v>
      </c>
      <c r="F91" s="6" t="s">
        <v>117</v>
      </c>
      <c r="G91" s="31"/>
      <c r="H91" s="31"/>
      <c r="I91" s="31"/>
      <c r="J91" s="31"/>
      <c r="K91" s="31"/>
      <c r="L91" s="31"/>
      <c r="M91" s="31"/>
      <c r="N91" s="31"/>
      <c r="O91" s="31"/>
      <c r="P91" s="31"/>
      <c r="Q91" s="31"/>
      <c r="R91" s="31"/>
      <c r="S91" s="31"/>
    </row>
    <row r="92" customFormat="false" ht="15" hidden="false" customHeight="false" outlineLevel="0" collapsed="false">
      <c r="A92" s="8" t="s">
        <v>65</v>
      </c>
      <c r="B92" s="9" t="s">
        <v>146</v>
      </c>
      <c r="C92" s="14" t="s">
        <v>142</v>
      </c>
      <c r="D92" s="12" t="s">
        <v>145</v>
      </c>
      <c r="E92" s="7" t="s">
        <v>116</v>
      </c>
      <c r="F92" s="6" t="s">
        <v>117</v>
      </c>
      <c r="G92" s="31"/>
      <c r="H92" s="31"/>
      <c r="I92" s="31"/>
      <c r="J92" s="31"/>
      <c r="K92" s="31"/>
      <c r="L92" s="31"/>
      <c r="M92" s="31"/>
      <c r="N92" s="31"/>
      <c r="O92" s="31"/>
      <c r="P92" s="31"/>
      <c r="Q92" s="31"/>
      <c r="R92" s="31"/>
      <c r="S92" s="31"/>
    </row>
    <row r="93" customFormat="false" ht="15" hidden="false" customHeight="false" outlineLevel="0" collapsed="false">
      <c r="A93" s="8" t="s">
        <v>65</v>
      </c>
      <c r="B93" s="9" t="s">
        <v>147</v>
      </c>
      <c r="C93" s="14" t="s">
        <v>142</v>
      </c>
      <c r="D93" s="12" t="s">
        <v>148</v>
      </c>
      <c r="E93" s="7" t="s">
        <v>116</v>
      </c>
      <c r="F93" s="6" t="s">
        <v>117</v>
      </c>
      <c r="G93" s="31"/>
      <c r="H93" s="31"/>
      <c r="I93" s="31"/>
      <c r="J93" s="31"/>
      <c r="K93" s="31"/>
      <c r="L93" s="31"/>
      <c r="M93" s="31"/>
      <c r="N93" s="31"/>
      <c r="O93" s="31"/>
      <c r="P93" s="31"/>
      <c r="Q93" s="31"/>
      <c r="R93" s="31"/>
      <c r="S93" s="31"/>
    </row>
    <row r="95" customFormat="false" ht="15" hidden="false" customHeight="false" outlineLevel="0" collapsed="false">
      <c r="A95" s="5" t="s">
        <v>149</v>
      </c>
      <c r="B95" s="5"/>
      <c r="C95" s="5"/>
      <c r="D95" s="5"/>
      <c r="E95" s="5"/>
      <c r="F95" s="5"/>
      <c r="G95" s="5"/>
      <c r="H95" s="5"/>
      <c r="I95" s="5"/>
      <c r="J95" s="5"/>
      <c r="K95" s="5"/>
      <c r="L95" s="5"/>
      <c r="M95" s="5"/>
      <c r="N95" s="5"/>
      <c r="O95" s="5"/>
      <c r="P95" s="5"/>
      <c r="Q95" s="5"/>
      <c r="R95" s="5"/>
      <c r="S95" s="5"/>
    </row>
    <row r="96" customFormat="false" ht="15" hidden="false" customHeight="false" outlineLevel="0" collapsed="false">
      <c r="A96" s="8" t="s">
        <v>150</v>
      </c>
      <c r="B96" s="9" t="s">
        <v>151</v>
      </c>
      <c r="C96" s="14" t="s">
        <v>128</v>
      </c>
      <c r="D96" s="12" t="s">
        <v>152</v>
      </c>
      <c r="E96" s="7" t="s">
        <v>153</v>
      </c>
      <c r="F96" s="6" t="s">
        <v>39</v>
      </c>
      <c r="G96" s="21" t="s">
        <v>154</v>
      </c>
      <c r="H96" s="21" t="s">
        <v>154</v>
      </c>
      <c r="I96" s="10" t="n">
        <v>0.809504</v>
      </c>
      <c r="J96" s="10"/>
      <c r="K96" s="10"/>
      <c r="L96" s="10"/>
      <c r="M96" s="10"/>
      <c r="N96" s="10"/>
      <c r="O96" s="10"/>
      <c r="P96" s="10"/>
      <c r="Q96" s="10"/>
      <c r="R96" s="10"/>
      <c r="S96" s="10"/>
    </row>
    <row r="97" customFormat="false" ht="15" hidden="false" customHeight="false" outlineLevel="0" collapsed="false">
      <c r="A97" s="8" t="s">
        <v>150</v>
      </c>
      <c r="B97" s="9" t="s">
        <v>151</v>
      </c>
      <c r="C97" s="14" t="s">
        <v>130</v>
      </c>
      <c r="D97" s="12" t="s">
        <v>152</v>
      </c>
      <c r="E97" s="7" t="s">
        <v>153</v>
      </c>
      <c r="F97" s="6" t="s">
        <v>39</v>
      </c>
      <c r="G97" s="21" t="s">
        <v>154</v>
      </c>
      <c r="H97" s="21" t="s">
        <v>154</v>
      </c>
      <c r="I97" s="10" t="n">
        <v>0.190496</v>
      </c>
      <c r="J97" s="10"/>
      <c r="K97" s="10"/>
      <c r="L97" s="10"/>
      <c r="M97" s="10"/>
      <c r="N97" s="10"/>
      <c r="O97" s="10"/>
      <c r="P97" s="10"/>
      <c r="Q97" s="10"/>
      <c r="R97" s="10"/>
      <c r="S97" s="10"/>
    </row>
    <row r="98" customFormat="false" ht="15" hidden="false" customHeight="false" outlineLevel="0" collapsed="false">
      <c r="A98" s="8" t="s">
        <v>150</v>
      </c>
      <c r="B98" s="9" t="s">
        <v>151</v>
      </c>
      <c r="C98" s="14" t="s">
        <v>131</v>
      </c>
      <c r="D98" s="12" t="s">
        <v>152</v>
      </c>
      <c r="E98" s="7" t="s">
        <v>153</v>
      </c>
      <c r="F98" s="6" t="s">
        <v>39</v>
      </c>
      <c r="G98" s="21" t="s">
        <v>154</v>
      </c>
      <c r="H98" s="21" t="s">
        <v>154</v>
      </c>
      <c r="I98" s="10" t="n">
        <v>0</v>
      </c>
      <c r="J98" s="10"/>
      <c r="K98" s="10"/>
      <c r="L98" s="10"/>
      <c r="M98" s="10"/>
      <c r="N98" s="10"/>
      <c r="O98" s="10"/>
      <c r="P98" s="10"/>
      <c r="Q98" s="10"/>
      <c r="R98" s="10"/>
      <c r="S98" s="10"/>
    </row>
    <row r="99" customFormat="false" ht="15" hidden="false" customHeight="false" outlineLevel="0" collapsed="false">
      <c r="A99" s="8" t="s">
        <v>150</v>
      </c>
      <c r="B99" s="9" t="s">
        <v>151</v>
      </c>
      <c r="C99" s="14" t="s">
        <v>132</v>
      </c>
      <c r="D99" s="12" t="s">
        <v>152</v>
      </c>
      <c r="E99" s="7" t="s">
        <v>153</v>
      </c>
      <c r="F99" s="6" t="s">
        <v>39</v>
      </c>
      <c r="G99" s="21" t="s">
        <v>154</v>
      </c>
      <c r="H99" s="21" t="s">
        <v>154</v>
      </c>
      <c r="I99" s="10" t="n">
        <v>0</v>
      </c>
      <c r="J99" s="10"/>
      <c r="K99" s="10"/>
      <c r="L99" s="10"/>
      <c r="M99" s="10"/>
      <c r="N99" s="10"/>
      <c r="O99" s="10"/>
      <c r="P99" s="10"/>
      <c r="Q99" s="10"/>
      <c r="R99" s="10"/>
      <c r="S99" s="10"/>
    </row>
    <row r="100" customFormat="false" ht="15" hidden="false" customHeight="false" outlineLevel="0" collapsed="false">
      <c r="A100" s="8" t="s">
        <v>150</v>
      </c>
      <c r="B100" s="9" t="s">
        <v>151</v>
      </c>
      <c r="C100" s="14" t="s">
        <v>133</v>
      </c>
      <c r="D100" s="12" t="s">
        <v>152</v>
      </c>
      <c r="E100" s="7" t="s">
        <v>153</v>
      </c>
      <c r="F100" s="6" t="s">
        <v>39</v>
      </c>
      <c r="G100" s="21" t="s">
        <v>154</v>
      </c>
      <c r="H100" s="21" t="s">
        <v>154</v>
      </c>
      <c r="I100" s="10" t="n">
        <v>0.814027</v>
      </c>
      <c r="J100" s="10"/>
      <c r="K100" s="10"/>
      <c r="L100" s="10"/>
      <c r="M100" s="10"/>
      <c r="N100" s="10"/>
      <c r="O100" s="10"/>
      <c r="P100" s="10"/>
      <c r="Q100" s="10"/>
      <c r="R100" s="10"/>
      <c r="S100" s="10"/>
    </row>
    <row r="101" customFormat="false" ht="15" hidden="false" customHeight="false" outlineLevel="0" collapsed="false">
      <c r="A101" s="8" t="s">
        <v>150</v>
      </c>
      <c r="B101" s="9" t="s">
        <v>151</v>
      </c>
      <c r="C101" s="14" t="s">
        <v>134</v>
      </c>
      <c r="D101" s="12" t="s">
        <v>152</v>
      </c>
      <c r="E101" s="7" t="s">
        <v>153</v>
      </c>
      <c r="F101" s="6" t="s">
        <v>39</v>
      </c>
      <c r="G101" s="21" t="s">
        <v>154</v>
      </c>
      <c r="H101" s="21" t="s">
        <v>154</v>
      </c>
      <c r="I101" s="10" t="n">
        <v>0.185973</v>
      </c>
      <c r="J101" s="10"/>
      <c r="K101" s="10"/>
      <c r="L101" s="10"/>
      <c r="M101" s="10"/>
      <c r="N101" s="10"/>
      <c r="O101" s="10"/>
      <c r="P101" s="10"/>
      <c r="Q101" s="10"/>
      <c r="R101" s="10"/>
      <c r="S101" s="10"/>
    </row>
    <row r="102" customFormat="false" ht="15" hidden="false" customHeight="false" outlineLevel="0" collapsed="false">
      <c r="A102" s="8" t="s">
        <v>150</v>
      </c>
      <c r="B102" s="9" t="s">
        <v>151</v>
      </c>
      <c r="C102" s="14" t="s">
        <v>135</v>
      </c>
      <c r="D102" s="12" t="s">
        <v>152</v>
      </c>
      <c r="E102" s="7" t="s">
        <v>153</v>
      </c>
      <c r="F102" s="6" t="s">
        <v>39</v>
      </c>
      <c r="G102" s="21" t="s">
        <v>154</v>
      </c>
      <c r="H102" s="21" t="s">
        <v>154</v>
      </c>
      <c r="I102" s="10" t="n">
        <v>0</v>
      </c>
      <c r="J102" s="10"/>
      <c r="K102" s="10"/>
      <c r="L102" s="10"/>
      <c r="M102" s="10"/>
      <c r="N102" s="10"/>
      <c r="O102" s="10"/>
      <c r="P102" s="10"/>
      <c r="Q102" s="10"/>
      <c r="R102" s="10"/>
      <c r="S102" s="10"/>
    </row>
    <row r="103" customFormat="false" ht="15" hidden="false" customHeight="false" outlineLevel="0" collapsed="false">
      <c r="A103" s="8" t="s">
        <v>150</v>
      </c>
      <c r="B103" s="9" t="s">
        <v>151</v>
      </c>
      <c r="C103" s="14" t="s">
        <v>136</v>
      </c>
      <c r="D103" s="12" t="s">
        <v>152</v>
      </c>
      <c r="E103" s="7" t="s">
        <v>153</v>
      </c>
      <c r="F103" s="6" t="s">
        <v>39</v>
      </c>
      <c r="G103" s="21" t="s">
        <v>154</v>
      </c>
      <c r="H103" s="21" t="s">
        <v>154</v>
      </c>
      <c r="I103" s="10" t="n">
        <v>0</v>
      </c>
      <c r="J103" s="10"/>
      <c r="K103" s="10"/>
      <c r="L103" s="10"/>
      <c r="M103" s="10"/>
      <c r="N103" s="10"/>
      <c r="O103" s="10"/>
      <c r="P103" s="10"/>
      <c r="Q103" s="10"/>
      <c r="R103" s="10"/>
      <c r="S103" s="10"/>
    </row>
    <row r="104" customFormat="false" ht="15" hidden="false" customHeight="false" outlineLevel="0" collapsed="false">
      <c r="A104" s="8" t="s">
        <v>150</v>
      </c>
      <c r="B104" s="9" t="s">
        <v>151</v>
      </c>
      <c r="C104" s="14" t="s">
        <v>155</v>
      </c>
      <c r="D104" s="12" t="s">
        <v>152</v>
      </c>
      <c r="E104" s="7" t="s">
        <v>153</v>
      </c>
      <c r="F104" s="6" t="s">
        <v>39</v>
      </c>
      <c r="G104" s="21" t="s">
        <v>154</v>
      </c>
      <c r="H104" s="21" t="s">
        <v>154</v>
      </c>
      <c r="I104" s="10" t="n">
        <v>0.86204</v>
      </c>
      <c r="J104" s="10"/>
      <c r="K104" s="10"/>
      <c r="L104" s="10"/>
      <c r="M104" s="10"/>
      <c r="N104" s="10"/>
      <c r="O104" s="10"/>
      <c r="P104" s="10"/>
      <c r="Q104" s="10"/>
      <c r="R104" s="10"/>
      <c r="S104" s="10"/>
    </row>
    <row r="105" customFormat="false" ht="15" hidden="false" customHeight="false" outlineLevel="0" collapsed="false">
      <c r="A105" s="8" t="s">
        <v>150</v>
      </c>
      <c r="B105" s="9" t="s">
        <v>151</v>
      </c>
      <c r="C105" s="14" t="s">
        <v>156</v>
      </c>
      <c r="D105" s="12" t="s">
        <v>152</v>
      </c>
      <c r="E105" s="7" t="s">
        <v>153</v>
      </c>
      <c r="F105" s="6" t="s">
        <v>39</v>
      </c>
      <c r="G105" s="21" t="s">
        <v>154</v>
      </c>
      <c r="H105" s="21" t="s">
        <v>154</v>
      </c>
      <c r="I105" s="10" t="n">
        <v>0.13796</v>
      </c>
      <c r="J105" s="10"/>
      <c r="K105" s="10"/>
      <c r="L105" s="10"/>
      <c r="M105" s="10"/>
      <c r="N105" s="10"/>
      <c r="O105" s="10"/>
      <c r="P105" s="10"/>
      <c r="Q105" s="10"/>
      <c r="R105" s="10"/>
      <c r="S105" s="10"/>
    </row>
    <row r="106" customFormat="false" ht="15" hidden="false" customHeight="false" outlineLevel="0" collapsed="false">
      <c r="A106" s="8" t="s">
        <v>150</v>
      </c>
      <c r="B106" s="9" t="s">
        <v>151</v>
      </c>
      <c r="C106" s="14" t="s">
        <v>157</v>
      </c>
      <c r="D106" s="12" t="s">
        <v>152</v>
      </c>
      <c r="E106" s="7" t="s">
        <v>153</v>
      </c>
      <c r="F106" s="6" t="s">
        <v>39</v>
      </c>
      <c r="G106" s="21" t="s">
        <v>154</v>
      </c>
      <c r="H106" s="21" t="s">
        <v>154</v>
      </c>
      <c r="I106" s="10" t="n">
        <v>0</v>
      </c>
      <c r="J106" s="10"/>
      <c r="K106" s="10"/>
      <c r="L106" s="10"/>
      <c r="M106" s="10"/>
      <c r="N106" s="10"/>
      <c r="O106" s="10"/>
      <c r="P106" s="10"/>
      <c r="Q106" s="10"/>
      <c r="R106" s="10"/>
      <c r="S106" s="10"/>
    </row>
    <row r="107" customFormat="false" ht="15" hidden="false" customHeight="false" outlineLevel="0" collapsed="false">
      <c r="A107" s="8" t="s">
        <v>150</v>
      </c>
      <c r="B107" s="9" t="s">
        <v>151</v>
      </c>
      <c r="C107" s="14" t="s">
        <v>158</v>
      </c>
      <c r="D107" s="12" t="s">
        <v>152</v>
      </c>
      <c r="E107" s="7" t="s">
        <v>153</v>
      </c>
      <c r="F107" s="6" t="s">
        <v>39</v>
      </c>
      <c r="G107" s="21" t="s">
        <v>154</v>
      </c>
      <c r="H107" s="21" t="s">
        <v>154</v>
      </c>
      <c r="I107" s="10" t="n">
        <v>0</v>
      </c>
      <c r="J107" s="10"/>
      <c r="K107" s="10"/>
      <c r="L107" s="10"/>
      <c r="M107" s="10"/>
      <c r="N107" s="10"/>
      <c r="O107" s="10"/>
      <c r="P107" s="10"/>
      <c r="Q107" s="10"/>
      <c r="R107" s="10"/>
      <c r="S107" s="10"/>
    </row>
    <row r="109" customFormat="false" ht="15" hidden="false" customHeight="false" outlineLevel="0" collapsed="false">
      <c r="A109" s="5" t="s">
        <v>159</v>
      </c>
      <c r="B109" s="5"/>
      <c r="C109" s="5"/>
      <c r="D109" s="5"/>
      <c r="E109" s="5"/>
      <c r="F109" s="5"/>
      <c r="G109" s="5"/>
      <c r="H109" s="5"/>
      <c r="I109" s="5"/>
      <c r="J109" s="5"/>
      <c r="K109" s="5"/>
      <c r="L109" s="5"/>
      <c r="M109" s="5"/>
      <c r="N109" s="5"/>
      <c r="O109" s="5"/>
      <c r="P109" s="5"/>
      <c r="Q109" s="5"/>
      <c r="R109" s="5"/>
      <c r="S109" s="5"/>
    </row>
    <row r="110" customFormat="false" ht="15" hidden="false" customHeight="false" outlineLevel="0" collapsed="false">
      <c r="A110" s="8" t="s">
        <v>160</v>
      </c>
      <c r="B110" s="9" t="s">
        <v>161</v>
      </c>
      <c r="C110" s="14" t="s">
        <v>128</v>
      </c>
      <c r="D110" s="12" t="s">
        <v>162</v>
      </c>
      <c r="E110" s="7" t="s">
        <v>55</v>
      </c>
      <c r="F110" s="6" t="s">
        <v>32</v>
      </c>
      <c r="G110" s="21" t="s">
        <v>154</v>
      </c>
      <c r="H110" s="21" t="s">
        <v>154</v>
      </c>
      <c r="I110" s="10" t="n">
        <v>0.169239</v>
      </c>
      <c r="J110" s="10"/>
      <c r="K110" s="10"/>
      <c r="L110" s="10"/>
      <c r="M110" s="10"/>
      <c r="N110" s="10"/>
      <c r="O110" s="10"/>
      <c r="P110" s="10"/>
      <c r="Q110" s="10"/>
      <c r="R110" s="10"/>
      <c r="S110" s="10"/>
    </row>
    <row r="111" customFormat="false" ht="15" hidden="false" customHeight="false" outlineLevel="0" collapsed="false">
      <c r="A111" s="8" t="s">
        <v>160</v>
      </c>
      <c r="B111" s="9" t="s">
        <v>161</v>
      </c>
      <c r="C111" s="14" t="s">
        <v>130</v>
      </c>
      <c r="D111" s="12" t="s">
        <v>162</v>
      </c>
      <c r="E111" s="7" t="s">
        <v>55</v>
      </c>
      <c r="F111" s="6" t="s">
        <v>32</v>
      </c>
      <c r="G111" s="21" t="s">
        <v>154</v>
      </c>
      <c r="H111" s="21" t="s">
        <v>154</v>
      </c>
      <c r="I111" s="10" t="n">
        <v>0.283471</v>
      </c>
      <c r="J111" s="10"/>
      <c r="K111" s="10"/>
      <c r="L111" s="10"/>
      <c r="M111" s="10"/>
      <c r="N111" s="10"/>
      <c r="O111" s="10"/>
      <c r="P111" s="10"/>
      <c r="Q111" s="10"/>
      <c r="R111" s="10"/>
      <c r="S111" s="10"/>
    </row>
    <row r="112" customFormat="false" ht="15" hidden="false" customHeight="false" outlineLevel="0" collapsed="false">
      <c r="A112" s="8" t="s">
        <v>160</v>
      </c>
      <c r="B112" s="9" t="s">
        <v>161</v>
      </c>
      <c r="C112" s="14" t="s">
        <v>131</v>
      </c>
      <c r="D112" s="12" t="s">
        <v>162</v>
      </c>
      <c r="E112" s="7" t="s">
        <v>55</v>
      </c>
      <c r="F112" s="6" t="s">
        <v>32</v>
      </c>
      <c r="G112" s="21" t="s">
        <v>154</v>
      </c>
      <c r="H112" s="21" t="s">
        <v>154</v>
      </c>
      <c r="I112" s="10" t="n">
        <v>0</v>
      </c>
      <c r="J112" s="10"/>
      <c r="K112" s="10"/>
      <c r="L112" s="10"/>
      <c r="M112" s="10"/>
      <c r="N112" s="10"/>
      <c r="O112" s="10"/>
      <c r="P112" s="10"/>
      <c r="Q112" s="10"/>
      <c r="R112" s="10"/>
      <c r="S112" s="10"/>
    </row>
    <row r="113" customFormat="false" ht="15" hidden="false" customHeight="false" outlineLevel="0" collapsed="false">
      <c r="A113" s="8" t="s">
        <v>160</v>
      </c>
      <c r="B113" s="9" t="s">
        <v>161</v>
      </c>
      <c r="C113" s="14" t="s">
        <v>132</v>
      </c>
      <c r="D113" s="12" t="s">
        <v>162</v>
      </c>
      <c r="E113" s="7" t="s">
        <v>55</v>
      </c>
      <c r="F113" s="6" t="s">
        <v>32</v>
      </c>
      <c r="G113" s="21" t="s">
        <v>154</v>
      </c>
      <c r="H113" s="21" t="s">
        <v>154</v>
      </c>
      <c r="I113" s="10" t="n">
        <v>0</v>
      </c>
      <c r="J113" s="10"/>
      <c r="K113" s="10"/>
      <c r="L113" s="10"/>
      <c r="M113" s="10"/>
      <c r="N113" s="10"/>
      <c r="O113" s="10"/>
      <c r="P113" s="10"/>
      <c r="Q113" s="10"/>
      <c r="R113" s="10"/>
      <c r="S113" s="10"/>
    </row>
    <row r="114" customFormat="false" ht="15" hidden="false" customHeight="false" outlineLevel="0" collapsed="false">
      <c r="A114" s="8" t="s">
        <v>160</v>
      </c>
      <c r="B114" s="9" t="s">
        <v>161</v>
      </c>
      <c r="C114" s="14" t="s">
        <v>133</v>
      </c>
      <c r="D114" s="12" t="s">
        <v>162</v>
      </c>
      <c r="E114" s="7" t="s">
        <v>55</v>
      </c>
      <c r="F114" s="6" t="s">
        <v>32</v>
      </c>
      <c r="G114" s="21" t="s">
        <v>154</v>
      </c>
      <c r="H114" s="21" t="s">
        <v>154</v>
      </c>
      <c r="I114" s="10" t="n">
        <v>0.199011</v>
      </c>
      <c r="J114" s="10"/>
      <c r="K114" s="10"/>
      <c r="L114" s="10"/>
      <c r="M114" s="10"/>
      <c r="N114" s="10"/>
      <c r="O114" s="10"/>
      <c r="P114" s="10"/>
      <c r="Q114" s="10"/>
      <c r="R114" s="10"/>
      <c r="S114" s="10"/>
    </row>
    <row r="115" customFormat="false" ht="15" hidden="false" customHeight="false" outlineLevel="0" collapsed="false">
      <c r="A115" s="8" t="s">
        <v>160</v>
      </c>
      <c r="B115" s="9" t="s">
        <v>161</v>
      </c>
      <c r="C115" s="14" t="s">
        <v>134</v>
      </c>
      <c r="D115" s="12" t="s">
        <v>162</v>
      </c>
      <c r="E115" s="7" t="s">
        <v>55</v>
      </c>
      <c r="F115" s="6" t="s">
        <v>32</v>
      </c>
      <c r="G115" s="21" t="s">
        <v>154</v>
      </c>
      <c r="H115" s="21" t="s">
        <v>154</v>
      </c>
      <c r="I115" s="10" t="n">
        <v>0.301118</v>
      </c>
      <c r="J115" s="10"/>
      <c r="K115" s="10"/>
      <c r="L115" s="10"/>
      <c r="M115" s="10"/>
      <c r="N115" s="10"/>
      <c r="O115" s="10"/>
      <c r="P115" s="10"/>
      <c r="Q115" s="10"/>
      <c r="R115" s="10"/>
      <c r="S115" s="10"/>
    </row>
    <row r="116" customFormat="false" ht="15" hidden="false" customHeight="false" outlineLevel="0" collapsed="false">
      <c r="A116" s="8" t="s">
        <v>160</v>
      </c>
      <c r="B116" s="9" t="s">
        <v>161</v>
      </c>
      <c r="C116" s="14" t="s">
        <v>135</v>
      </c>
      <c r="D116" s="12" t="s">
        <v>162</v>
      </c>
      <c r="E116" s="7" t="s">
        <v>55</v>
      </c>
      <c r="F116" s="6" t="s">
        <v>32</v>
      </c>
      <c r="G116" s="21" t="s">
        <v>154</v>
      </c>
      <c r="H116" s="21" t="s">
        <v>154</v>
      </c>
      <c r="I116" s="10" t="n">
        <v>0</v>
      </c>
      <c r="J116" s="10"/>
      <c r="K116" s="10"/>
      <c r="L116" s="10"/>
      <c r="M116" s="10"/>
      <c r="N116" s="10"/>
      <c r="O116" s="10"/>
      <c r="P116" s="10"/>
      <c r="Q116" s="10"/>
      <c r="R116" s="10"/>
      <c r="S116" s="10"/>
    </row>
    <row r="117" customFormat="false" ht="15" hidden="false" customHeight="false" outlineLevel="0" collapsed="false">
      <c r="A117" s="8" t="s">
        <v>160</v>
      </c>
      <c r="B117" s="9" t="s">
        <v>161</v>
      </c>
      <c r="C117" s="14" t="s">
        <v>136</v>
      </c>
      <c r="D117" s="12" t="s">
        <v>162</v>
      </c>
      <c r="E117" s="7" t="s">
        <v>55</v>
      </c>
      <c r="F117" s="6" t="s">
        <v>32</v>
      </c>
      <c r="G117" s="21" t="s">
        <v>154</v>
      </c>
      <c r="H117" s="21" t="s">
        <v>154</v>
      </c>
      <c r="I117" s="10" t="n">
        <v>0</v>
      </c>
      <c r="J117" s="10"/>
      <c r="K117" s="10"/>
      <c r="L117" s="10"/>
      <c r="M117" s="10"/>
      <c r="N117" s="10"/>
      <c r="O117" s="10"/>
      <c r="P117" s="10"/>
      <c r="Q117" s="10"/>
      <c r="R117" s="10"/>
      <c r="S117" s="10"/>
    </row>
    <row r="118" customFormat="false" ht="15" hidden="false" customHeight="false" outlineLevel="0" collapsed="false">
      <c r="A118" s="8" t="s">
        <v>160</v>
      </c>
      <c r="B118" s="9" t="s">
        <v>161</v>
      </c>
      <c r="C118" s="14" t="s">
        <v>155</v>
      </c>
      <c r="D118" s="12" t="s">
        <v>162</v>
      </c>
      <c r="E118" s="7" t="s">
        <v>55</v>
      </c>
      <c r="F118" s="6" t="s">
        <v>32</v>
      </c>
      <c r="G118" s="21" t="s">
        <v>154</v>
      </c>
      <c r="H118" s="21" t="s">
        <v>154</v>
      </c>
      <c r="I118" s="10" t="n">
        <v>0.116004</v>
      </c>
      <c r="J118" s="10"/>
      <c r="K118" s="10"/>
      <c r="L118" s="10"/>
      <c r="M118" s="10"/>
      <c r="N118" s="10"/>
      <c r="O118" s="10"/>
      <c r="P118" s="10"/>
      <c r="Q118" s="10"/>
      <c r="R118" s="10"/>
      <c r="S118" s="10"/>
    </row>
    <row r="119" customFormat="false" ht="15" hidden="false" customHeight="false" outlineLevel="0" collapsed="false">
      <c r="A119" s="8" t="s">
        <v>160</v>
      </c>
      <c r="B119" s="9" t="s">
        <v>161</v>
      </c>
      <c r="C119" s="14" t="s">
        <v>156</v>
      </c>
      <c r="D119" s="12" t="s">
        <v>162</v>
      </c>
      <c r="E119" s="7" t="s">
        <v>55</v>
      </c>
      <c r="F119" s="6" t="s">
        <v>32</v>
      </c>
      <c r="G119" s="21" t="s">
        <v>154</v>
      </c>
      <c r="H119" s="21" t="s">
        <v>154</v>
      </c>
      <c r="I119" s="10" t="n">
        <v>0.34068</v>
      </c>
      <c r="J119" s="10"/>
      <c r="K119" s="10"/>
      <c r="L119" s="10"/>
      <c r="M119" s="10"/>
      <c r="N119" s="10"/>
      <c r="O119" s="10"/>
      <c r="P119" s="10"/>
      <c r="Q119" s="10"/>
      <c r="R119" s="10"/>
      <c r="S119" s="10"/>
    </row>
    <row r="120" customFormat="false" ht="15" hidden="false" customHeight="false" outlineLevel="0" collapsed="false">
      <c r="A120" s="8" t="s">
        <v>160</v>
      </c>
      <c r="B120" s="9" t="s">
        <v>161</v>
      </c>
      <c r="C120" s="14" t="s">
        <v>157</v>
      </c>
      <c r="D120" s="12" t="s">
        <v>162</v>
      </c>
      <c r="E120" s="7" t="s">
        <v>55</v>
      </c>
      <c r="F120" s="6" t="s">
        <v>32</v>
      </c>
      <c r="G120" s="21" t="s">
        <v>154</v>
      </c>
      <c r="H120" s="21" t="s">
        <v>154</v>
      </c>
      <c r="I120" s="10" t="n">
        <v>0</v>
      </c>
      <c r="J120" s="10"/>
      <c r="K120" s="10"/>
      <c r="L120" s="10"/>
      <c r="M120" s="10"/>
      <c r="N120" s="10"/>
      <c r="O120" s="10"/>
      <c r="P120" s="10"/>
      <c r="Q120" s="10"/>
      <c r="R120" s="10"/>
      <c r="S120" s="10"/>
    </row>
    <row r="121" customFormat="false" ht="15" hidden="false" customHeight="false" outlineLevel="0" collapsed="false">
      <c r="A121" s="8" t="s">
        <v>160</v>
      </c>
      <c r="B121" s="9" t="s">
        <v>161</v>
      </c>
      <c r="C121" s="14" t="s">
        <v>158</v>
      </c>
      <c r="D121" s="12" t="s">
        <v>162</v>
      </c>
      <c r="E121" s="7" t="s">
        <v>55</v>
      </c>
      <c r="F121" s="6" t="s">
        <v>32</v>
      </c>
      <c r="G121" s="21" t="s">
        <v>154</v>
      </c>
      <c r="H121" s="21" t="s">
        <v>154</v>
      </c>
      <c r="I121" s="10" t="n">
        <v>0</v>
      </c>
      <c r="J121" s="10"/>
      <c r="K121" s="10"/>
      <c r="L121" s="10"/>
      <c r="M121" s="10"/>
      <c r="N121" s="10"/>
      <c r="O121" s="10"/>
      <c r="P121" s="10"/>
      <c r="Q121" s="10"/>
      <c r="R121" s="10"/>
      <c r="S121" s="10"/>
    </row>
    <row r="123" customFormat="false" ht="15" hidden="false" customHeight="false" outlineLevel="0" collapsed="false">
      <c r="A123" s="5" t="s">
        <v>163</v>
      </c>
      <c r="B123" s="5"/>
      <c r="C123" s="5"/>
      <c r="D123" s="5"/>
      <c r="E123" s="5"/>
      <c r="F123" s="5"/>
      <c r="G123" s="5"/>
      <c r="H123" s="5"/>
      <c r="I123" s="5"/>
      <c r="J123" s="5"/>
      <c r="K123" s="5"/>
      <c r="L123" s="5"/>
      <c r="M123" s="5"/>
      <c r="N123" s="5"/>
      <c r="O123" s="5"/>
      <c r="P123" s="5"/>
      <c r="Q123" s="5"/>
      <c r="R123" s="5"/>
      <c r="S123" s="5"/>
    </row>
    <row r="124" customFormat="false" ht="15" hidden="false" customHeight="false" outlineLevel="0" collapsed="false">
      <c r="A124" s="8" t="s">
        <v>164</v>
      </c>
      <c r="B124" s="9" t="s">
        <v>165</v>
      </c>
      <c r="C124" s="14" t="s">
        <v>128</v>
      </c>
      <c r="D124" s="12" t="s">
        <v>166</v>
      </c>
      <c r="E124" s="7" t="s">
        <v>43</v>
      </c>
      <c r="F124" s="6" t="s">
        <v>32</v>
      </c>
      <c r="G124" s="21" t="s">
        <v>154</v>
      </c>
      <c r="H124" s="21" t="s">
        <v>154</v>
      </c>
      <c r="I124" s="22" t="n">
        <f aca="false">I96*I110</f>
        <v>0.136999647456</v>
      </c>
      <c r="J124" s="22" t="n">
        <f aca="false">J96*J110</f>
        <v>0</v>
      </c>
      <c r="K124" s="22" t="n">
        <f aca="false">K96*K110</f>
        <v>0</v>
      </c>
      <c r="L124" s="22" t="n">
        <f aca="false">L96*L110</f>
        <v>0</v>
      </c>
      <c r="M124" s="22" t="n">
        <f aca="false">M96*M110</f>
        <v>0</v>
      </c>
      <c r="N124" s="22" t="n">
        <f aca="false">N96*N110</f>
        <v>0</v>
      </c>
      <c r="O124" s="22" t="n">
        <f aca="false">O96*O110</f>
        <v>0</v>
      </c>
      <c r="P124" s="22" t="n">
        <f aca="false">P96*P110</f>
        <v>0</v>
      </c>
      <c r="Q124" s="22" t="n">
        <f aca="false">Q96*Q110</f>
        <v>0</v>
      </c>
      <c r="R124" s="22" t="n">
        <f aca="false">R96*R110</f>
        <v>0</v>
      </c>
      <c r="S124" s="22" t="n">
        <f aca="false">S96*S110</f>
        <v>0</v>
      </c>
    </row>
    <row r="125" customFormat="false" ht="15" hidden="false" customHeight="false" outlineLevel="0" collapsed="false">
      <c r="A125" s="8" t="s">
        <v>164</v>
      </c>
      <c r="B125" s="9" t="s">
        <v>165</v>
      </c>
      <c r="C125" s="14" t="s">
        <v>130</v>
      </c>
      <c r="D125" s="12" t="s">
        <v>166</v>
      </c>
      <c r="E125" s="7" t="s">
        <v>43</v>
      </c>
      <c r="F125" s="6" t="s">
        <v>32</v>
      </c>
      <c r="G125" s="21" t="s">
        <v>154</v>
      </c>
      <c r="H125" s="21" t="s">
        <v>154</v>
      </c>
      <c r="I125" s="22" t="n">
        <f aca="false">I97*I111</f>
        <v>0.054000091616</v>
      </c>
      <c r="J125" s="22" t="n">
        <f aca="false">J97*J111</f>
        <v>0</v>
      </c>
      <c r="K125" s="22" t="n">
        <f aca="false">K97*K111</f>
        <v>0</v>
      </c>
      <c r="L125" s="22" t="n">
        <f aca="false">L97*L111</f>
        <v>0</v>
      </c>
      <c r="M125" s="22" t="n">
        <f aca="false">M97*M111</f>
        <v>0</v>
      </c>
      <c r="N125" s="22" t="n">
        <f aca="false">N97*N111</f>
        <v>0</v>
      </c>
      <c r="O125" s="22" t="n">
        <f aca="false">O97*O111</f>
        <v>0</v>
      </c>
      <c r="P125" s="22" t="n">
        <f aca="false">P97*P111</f>
        <v>0</v>
      </c>
      <c r="Q125" s="22" t="n">
        <f aca="false">Q97*Q111</f>
        <v>0</v>
      </c>
      <c r="R125" s="22" t="n">
        <f aca="false">R97*R111</f>
        <v>0</v>
      </c>
      <c r="S125" s="22" t="n">
        <f aca="false">S97*S111</f>
        <v>0</v>
      </c>
    </row>
    <row r="126" customFormat="false" ht="15" hidden="false" customHeight="false" outlineLevel="0" collapsed="false">
      <c r="A126" s="8" t="s">
        <v>164</v>
      </c>
      <c r="B126" s="9" t="s">
        <v>165</v>
      </c>
      <c r="C126" s="14" t="s">
        <v>131</v>
      </c>
      <c r="D126" s="12" t="s">
        <v>166</v>
      </c>
      <c r="E126" s="7" t="s">
        <v>43</v>
      </c>
      <c r="F126" s="6" t="s">
        <v>32</v>
      </c>
      <c r="G126" s="21" t="s">
        <v>154</v>
      </c>
      <c r="H126" s="21" t="s">
        <v>154</v>
      </c>
      <c r="I126" s="22" t="n">
        <f aca="false">I98*I112</f>
        <v>0</v>
      </c>
      <c r="J126" s="22" t="n">
        <f aca="false">J98*J112</f>
        <v>0</v>
      </c>
      <c r="K126" s="22" t="n">
        <f aca="false">K98*K112</f>
        <v>0</v>
      </c>
      <c r="L126" s="22" t="n">
        <f aca="false">L98*L112</f>
        <v>0</v>
      </c>
      <c r="M126" s="22" t="n">
        <f aca="false">M98*M112</f>
        <v>0</v>
      </c>
      <c r="N126" s="22" t="n">
        <f aca="false">N98*N112</f>
        <v>0</v>
      </c>
      <c r="O126" s="22" t="n">
        <f aca="false">O98*O112</f>
        <v>0</v>
      </c>
      <c r="P126" s="22" t="n">
        <f aca="false">P98*P112</f>
        <v>0</v>
      </c>
      <c r="Q126" s="22" t="n">
        <f aca="false">Q98*Q112</f>
        <v>0</v>
      </c>
      <c r="R126" s="22" t="n">
        <f aca="false">R98*R112</f>
        <v>0</v>
      </c>
      <c r="S126" s="22" t="n">
        <f aca="false">S98*S112</f>
        <v>0</v>
      </c>
    </row>
    <row r="127" customFormat="false" ht="15" hidden="false" customHeight="false" outlineLevel="0" collapsed="false">
      <c r="A127" s="8" t="s">
        <v>164</v>
      </c>
      <c r="B127" s="9" t="s">
        <v>165</v>
      </c>
      <c r="C127" s="14" t="s">
        <v>132</v>
      </c>
      <c r="D127" s="12" t="s">
        <v>166</v>
      </c>
      <c r="E127" s="7" t="s">
        <v>43</v>
      </c>
      <c r="F127" s="6" t="s">
        <v>32</v>
      </c>
      <c r="G127" s="21" t="s">
        <v>154</v>
      </c>
      <c r="H127" s="21" t="s">
        <v>154</v>
      </c>
      <c r="I127" s="22" t="n">
        <f aca="false">I99*I113</f>
        <v>0</v>
      </c>
      <c r="J127" s="22" t="n">
        <f aca="false">J99*J113</f>
        <v>0</v>
      </c>
      <c r="K127" s="22" t="n">
        <f aca="false">K99*K113</f>
        <v>0</v>
      </c>
      <c r="L127" s="22" t="n">
        <f aca="false">L99*L113</f>
        <v>0</v>
      </c>
      <c r="M127" s="22" t="n">
        <f aca="false">M99*M113</f>
        <v>0</v>
      </c>
      <c r="N127" s="22" t="n">
        <f aca="false">N99*N113</f>
        <v>0</v>
      </c>
      <c r="O127" s="22" t="n">
        <f aca="false">O99*O113</f>
        <v>0</v>
      </c>
      <c r="P127" s="22" t="n">
        <f aca="false">P99*P113</f>
        <v>0</v>
      </c>
      <c r="Q127" s="22" t="n">
        <f aca="false">Q99*Q113</f>
        <v>0</v>
      </c>
      <c r="R127" s="22" t="n">
        <f aca="false">R99*R113</f>
        <v>0</v>
      </c>
      <c r="S127" s="22" t="n">
        <f aca="false">S99*S113</f>
        <v>0</v>
      </c>
    </row>
    <row r="128" customFormat="false" ht="15" hidden="false" customHeight="false" outlineLevel="0" collapsed="false">
      <c r="A128" s="8" t="s">
        <v>164</v>
      </c>
      <c r="B128" s="9" t="s">
        <v>165</v>
      </c>
      <c r="C128" s="14" t="s">
        <v>133</v>
      </c>
      <c r="D128" s="12" t="s">
        <v>166</v>
      </c>
      <c r="E128" s="7" t="s">
        <v>43</v>
      </c>
      <c r="F128" s="6" t="s">
        <v>32</v>
      </c>
      <c r="G128" s="21" t="s">
        <v>154</v>
      </c>
      <c r="H128" s="21" t="s">
        <v>154</v>
      </c>
      <c r="I128" s="22" t="n">
        <f aca="false">I100*I114</f>
        <v>0.162000327297</v>
      </c>
      <c r="J128" s="22" t="n">
        <f aca="false">J100*J114</f>
        <v>0</v>
      </c>
      <c r="K128" s="22" t="n">
        <f aca="false">K100*K114</f>
        <v>0</v>
      </c>
      <c r="L128" s="22" t="n">
        <f aca="false">L100*L114</f>
        <v>0</v>
      </c>
      <c r="M128" s="22" t="n">
        <f aca="false">M100*M114</f>
        <v>0</v>
      </c>
      <c r="N128" s="22" t="n">
        <f aca="false">N100*N114</f>
        <v>0</v>
      </c>
      <c r="O128" s="22" t="n">
        <f aca="false">O100*O114</f>
        <v>0</v>
      </c>
      <c r="P128" s="22" t="n">
        <f aca="false">P100*P114</f>
        <v>0</v>
      </c>
      <c r="Q128" s="22" t="n">
        <f aca="false">Q100*Q114</f>
        <v>0</v>
      </c>
      <c r="R128" s="22" t="n">
        <f aca="false">R100*R114</f>
        <v>0</v>
      </c>
      <c r="S128" s="22" t="n">
        <f aca="false">S100*S114</f>
        <v>0</v>
      </c>
    </row>
    <row r="129" customFormat="false" ht="15" hidden="false" customHeight="false" outlineLevel="0" collapsed="false">
      <c r="A129" s="8" t="s">
        <v>164</v>
      </c>
      <c r="B129" s="9" t="s">
        <v>165</v>
      </c>
      <c r="C129" s="14" t="s">
        <v>134</v>
      </c>
      <c r="D129" s="12" t="s">
        <v>166</v>
      </c>
      <c r="E129" s="7" t="s">
        <v>43</v>
      </c>
      <c r="F129" s="6" t="s">
        <v>32</v>
      </c>
      <c r="G129" s="21" t="s">
        <v>154</v>
      </c>
      <c r="H129" s="21" t="s">
        <v>154</v>
      </c>
      <c r="I129" s="22" t="n">
        <f aca="false">I101*I115</f>
        <v>0.055999817814</v>
      </c>
      <c r="J129" s="22" t="n">
        <f aca="false">J101*J115</f>
        <v>0</v>
      </c>
      <c r="K129" s="22" t="n">
        <f aca="false">K101*K115</f>
        <v>0</v>
      </c>
      <c r="L129" s="22" t="n">
        <f aca="false">L101*L115</f>
        <v>0</v>
      </c>
      <c r="M129" s="22" t="n">
        <f aca="false">M101*M115</f>
        <v>0</v>
      </c>
      <c r="N129" s="22" t="n">
        <f aca="false">N101*N115</f>
        <v>0</v>
      </c>
      <c r="O129" s="22" t="n">
        <f aca="false">O101*O115</f>
        <v>0</v>
      </c>
      <c r="P129" s="22" t="n">
        <f aca="false">P101*P115</f>
        <v>0</v>
      </c>
      <c r="Q129" s="22" t="n">
        <f aca="false">Q101*Q115</f>
        <v>0</v>
      </c>
      <c r="R129" s="22" t="n">
        <f aca="false">R101*R115</f>
        <v>0</v>
      </c>
      <c r="S129" s="22" t="n">
        <f aca="false">S101*S115</f>
        <v>0</v>
      </c>
    </row>
    <row r="130" customFormat="false" ht="15" hidden="false" customHeight="false" outlineLevel="0" collapsed="false">
      <c r="A130" s="8" t="s">
        <v>164</v>
      </c>
      <c r="B130" s="9" t="s">
        <v>165</v>
      </c>
      <c r="C130" s="14" t="s">
        <v>135</v>
      </c>
      <c r="D130" s="12" t="s">
        <v>166</v>
      </c>
      <c r="E130" s="7" t="s">
        <v>43</v>
      </c>
      <c r="F130" s="6" t="s">
        <v>32</v>
      </c>
      <c r="G130" s="21" t="s">
        <v>154</v>
      </c>
      <c r="H130" s="21" t="s">
        <v>154</v>
      </c>
      <c r="I130" s="22" t="n">
        <f aca="false">I102*I116</f>
        <v>0</v>
      </c>
      <c r="J130" s="22" t="n">
        <f aca="false">J102*J116</f>
        <v>0</v>
      </c>
      <c r="K130" s="22" t="n">
        <f aca="false">K102*K116</f>
        <v>0</v>
      </c>
      <c r="L130" s="22" t="n">
        <f aca="false">L102*L116</f>
        <v>0</v>
      </c>
      <c r="M130" s="22" t="n">
        <f aca="false">M102*M116</f>
        <v>0</v>
      </c>
      <c r="N130" s="22" t="n">
        <f aca="false">N102*N116</f>
        <v>0</v>
      </c>
      <c r="O130" s="22" t="n">
        <f aca="false">O102*O116</f>
        <v>0</v>
      </c>
      <c r="P130" s="22" t="n">
        <f aca="false">P102*P116</f>
        <v>0</v>
      </c>
      <c r="Q130" s="22" t="n">
        <f aca="false">Q102*Q116</f>
        <v>0</v>
      </c>
      <c r="R130" s="22" t="n">
        <f aca="false">R102*R116</f>
        <v>0</v>
      </c>
      <c r="S130" s="22" t="n">
        <f aca="false">S102*S116</f>
        <v>0</v>
      </c>
    </row>
    <row r="131" customFormat="false" ht="15" hidden="false" customHeight="false" outlineLevel="0" collapsed="false">
      <c r="A131" s="8" t="s">
        <v>164</v>
      </c>
      <c r="B131" s="9" t="s">
        <v>165</v>
      </c>
      <c r="C131" s="14" t="s">
        <v>136</v>
      </c>
      <c r="D131" s="12" t="s">
        <v>166</v>
      </c>
      <c r="E131" s="7" t="s">
        <v>43</v>
      </c>
      <c r="F131" s="6" t="s">
        <v>32</v>
      </c>
      <c r="G131" s="21" t="s">
        <v>154</v>
      </c>
      <c r="H131" s="21" t="s">
        <v>154</v>
      </c>
      <c r="I131" s="22" t="n">
        <f aca="false">I103*I117</f>
        <v>0</v>
      </c>
      <c r="J131" s="22" t="n">
        <f aca="false">J103*J117</f>
        <v>0</v>
      </c>
      <c r="K131" s="22" t="n">
        <f aca="false">K103*K117</f>
        <v>0</v>
      </c>
      <c r="L131" s="22" t="n">
        <f aca="false">L103*L117</f>
        <v>0</v>
      </c>
      <c r="M131" s="22" t="n">
        <f aca="false">M103*M117</f>
        <v>0</v>
      </c>
      <c r="N131" s="22" t="n">
        <f aca="false">N103*N117</f>
        <v>0</v>
      </c>
      <c r="O131" s="22" t="n">
        <f aca="false">O103*O117</f>
        <v>0</v>
      </c>
      <c r="P131" s="22" t="n">
        <f aca="false">P103*P117</f>
        <v>0</v>
      </c>
      <c r="Q131" s="22" t="n">
        <f aca="false">Q103*Q117</f>
        <v>0</v>
      </c>
      <c r="R131" s="22" t="n">
        <f aca="false">R103*R117</f>
        <v>0</v>
      </c>
      <c r="S131" s="22" t="n">
        <f aca="false">S103*S117</f>
        <v>0</v>
      </c>
    </row>
    <row r="132" customFormat="false" ht="15" hidden="false" customHeight="false" outlineLevel="0" collapsed="false">
      <c r="A132" s="8" t="s">
        <v>164</v>
      </c>
      <c r="B132" s="9" t="s">
        <v>165</v>
      </c>
      <c r="C132" s="14" t="s">
        <v>155</v>
      </c>
      <c r="D132" s="12" t="s">
        <v>166</v>
      </c>
      <c r="E132" s="7" t="s">
        <v>43</v>
      </c>
      <c r="F132" s="6" t="s">
        <v>32</v>
      </c>
      <c r="G132" s="21" t="s">
        <v>154</v>
      </c>
      <c r="H132" s="21" t="s">
        <v>154</v>
      </c>
      <c r="I132" s="22" t="n">
        <f aca="false">I104*I118</f>
        <v>0.10000008816</v>
      </c>
      <c r="J132" s="22" t="n">
        <f aca="false">J104*J118</f>
        <v>0</v>
      </c>
      <c r="K132" s="22" t="n">
        <f aca="false">K104*K118</f>
        <v>0</v>
      </c>
      <c r="L132" s="22" t="n">
        <f aca="false">L104*L118</f>
        <v>0</v>
      </c>
      <c r="M132" s="22" t="n">
        <f aca="false">M104*M118</f>
        <v>0</v>
      </c>
      <c r="N132" s="22" t="n">
        <f aca="false">N104*N118</f>
        <v>0</v>
      </c>
      <c r="O132" s="22" t="n">
        <f aca="false">O104*O118</f>
        <v>0</v>
      </c>
      <c r="P132" s="22" t="n">
        <f aca="false">P104*P118</f>
        <v>0</v>
      </c>
      <c r="Q132" s="22" t="n">
        <f aca="false">Q104*Q118</f>
        <v>0</v>
      </c>
      <c r="R132" s="22" t="n">
        <f aca="false">R104*R118</f>
        <v>0</v>
      </c>
      <c r="S132" s="22" t="n">
        <f aca="false">S104*S118</f>
        <v>0</v>
      </c>
    </row>
    <row r="133" customFormat="false" ht="15" hidden="false" customHeight="false" outlineLevel="0" collapsed="false">
      <c r="A133" s="8" t="s">
        <v>164</v>
      </c>
      <c r="B133" s="9" t="s">
        <v>165</v>
      </c>
      <c r="C133" s="14" t="s">
        <v>156</v>
      </c>
      <c r="D133" s="12" t="s">
        <v>166</v>
      </c>
      <c r="E133" s="7" t="s">
        <v>43</v>
      </c>
      <c r="F133" s="6" t="s">
        <v>32</v>
      </c>
      <c r="G133" s="21" t="s">
        <v>154</v>
      </c>
      <c r="H133" s="21" t="s">
        <v>154</v>
      </c>
      <c r="I133" s="22" t="n">
        <f aca="false">I105*I119</f>
        <v>0.0470002128</v>
      </c>
      <c r="J133" s="22" t="n">
        <f aca="false">J105*J119</f>
        <v>0</v>
      </c>
      <c r="K133" s="22" t="n">
        <f aca="false">K105*K119</f>
        <v>0</v>
      </c>
      <c r="L133" s="22" t="n">
        <f aca="false">L105*L119</f>
        <v>0</v>
      </c>
      <c r="M133" s="22" t="n">
        <f aca="false">M105*M119</f>
        <v>0</v>
      </c>
      <c r="N133" s="22" t="n">
        <f aca="false">N105*N119</f>
        <v>0</v>
      </c>
      <c r="O133" s="22" t="n">
        <f aca="false">O105*O119</f>
        <v>0</v>
      </c>
      <c r="P133" s="22" t="n">
        <f aca="false">P105*P119</f>
        <v>0</v>
      </c>
      <c r="Q133" s="22" t="n">
        <f aca="false">Q105*Q119</f>
        <v>0</v>
      </c>
      <c r="R133" s="22" t="n">
        <f aca="false">R105*R119</f>
        <v>0</v>
      </c>
      <c r="S133" s="22" t="n">
        <f aca="false">S105*S119</f>
        <v>0</v>
      </c>
    </row>
    <row r="134" customFormat="false" ht="15" hidden="false" customHeight="false" outlineLevel="0" collapsed="false">
      <c r="A134" s="8" t="s">
        <v>164</v>
      </c>
      <c r="B134" s="9" t="s">
        <v>165</v>
      </c>
      <c r="C134" s="14" t="s">
        <v>157</v>
      </c>
      <c r="D134" s="12" t="s">
        <v>166</v>
      </c>
      <c r="E134" s="7" t="s">
        <v>43</v>
      </c>
      <c r="F134" s="6" t="s">
        <v>32</v>
      </c>
      <c r="G134" s="21" t="s">
        <v>154</v>
      </c>
      <c r="H134" s="21" t="s">
        <v>154</v>
      </c>
      <c r="I134" s="22" t="n">
        <f aca="false">I106*I120</f>
        <v>0</v>
      </c>
      <c r="J134" s="22" t="n">
        <f aca="false">J106*J120</f>
        <v>0</v>
      </c>
      <c r="K134" s="22" t="n">
        <f aca="false">K106*K120</f>
        <v>0</v>
      </c>
      <c r="L134" s="22" t="n">
        <f aca="false">L106*L120</f>
        <v>0</v>
      </c>
      <c r="M134" s="22" t="n">
        <f aca="false">M106*M120</f>
        <v>0</v>
      </c>
      <c r="N134" s="22" t="n">
        <f aca="false">N106*N120</f>
        <v>0</v>
      </c>
      <c r="O134" s="22" t="n">
        <f aca="false">O106*O120</f>
        <v>0</v>
      </c>
      <c r="P134" s="22" t="n">
        <f aca="false">P106*P120</f>
        <v>0</v>
      </c>
      <c r="Q134" s="22" t="n">
        <f aca="false">Q106*Q120</f>
        <v>0</v>
      </c>
      <c r="R134" s="22" t="n">
        <f aca="false">R106*R120</f>
        <v>0</v>
      </c>
      <c r="S134" s="22" t="n">
        <f aca="false">S106*S120</f>
        <v>0</v>
      </c>
    </row>
    <row r="135" customFormat="false" ht="15" hidden="false" customHeight="false" outlineLevel="0" collapsed="false">
      <c r="A135" s="8" t="s">
        <v>164</v>
      </c>
      <c r="B135" s="9" t="s">
        <v>165</v>
      </c>
      <c r="C135" s="14" t="s">
        <v>158</v>
      </c>
      <c r="D135" s="12" t="s">
        <v>166</v>
      </c>
      <c r="E135" s="7" t="s">
        <v>43</v>
      </c>
      <c r="F135" s="6" t="s">
        <v>32</v>
      </c>
      <c r="G135" s="21" t="s">
        <v>154</v>
      </c>
      <c r="H135" s="21" t="s">
        <v>154</v>
      </c>
      <c r="I135" s="22" t="n">
        <f aca="false">I107*I121</f>
        <v>0</v>
      </c>
      <c r="J135" s="22" t="n">
        <f aca="false">J107*J121</f>
        <v>0</v>
      </c>
      <c r="K135" s="22" t="n">
        <f aca="false">K107*K121</f>
        <v>0</v>
      </c>
      <c r="L135" s="22" t="n">
        <f aca="false">L107*L121</f>
        <v>0</v>
      </c>
      <c r="M135" s="22" t="n">
        <f aca="false">M107*M121</f>
        <v>0</v>
      </c>
      <c r="N135" s="22" t="n">
        <f aca="false">N107*N121</f>
        <v>0</v>
      </c>
      <c r="O135" s="22" t="n">
        <f aca="false">O107*O121</f>
        <v>0</v>
      </c>
      <c r="P135" s="22" t="n">
        <f aca="false">P107*P121</f>
        <v>0</v>
      </c>
      <c r="Q135" s="22" t="n">
        <f aca="false">Q107*Q121</f>
        <v>0</v>
      </c>
      <c r="R135" s="22" t="n">
        <f aca="false">R107*R121</f>
        <v>0</v>
      </c>
      <c r="S135" s="22" t="n">
        <f aca="false">S107*S121</f>
        <v>0</v>
      </c>
    </row>
    <row r="137" customFormat="false" ht="15" hidden="false" customHeight="false" outlineLevel="0" collapsed="false">
      <c r="A137" s="5" t="s">
        <v>167</v>
      </c>
      <c r="B137" s="5"/>
      <c r="C137" s="5"/>
      <c r="D137" s="5"/>
      <c r="E137" s="5"/>
      <c r="F137" s="5"/>
      <c r="G137" s="5"/>
      <c r="H137" s="5"/>
      <c r="I137" s="5"/>
      <c r="J137" s="5"/>
      <c r="K137" s="5"/>
      <c r="L137" s="5"/>
      <c r="M137" s="5"/>
      <c r="N137" s="5"/>
      <c r="O137" s="5"/>
      <c r="P137" s="5"/>
      <c r="Q137" s="5"/>
      <c r="R137" s="5"/>
      <c r="S137" s="5"/>
    </row>
    <row r="138" customFormat="false" ht="15" hidden="false" customHeight="false" outlineLevel="0" collapsed="false">
      <c r="A138" s="8" t="s">
        <v>168</v>
      </c>
      <c r="B138" s="9" t="s">
        <v>169</v>
      </c>
      <c r="C138" s="14" t="s">
        <v>128</v>
      </c>
      <c r="D138" s="12" t="s">
        <v>170</v>
      </c>
      <c r="E138" s="7" t="s">
        <v>55</v>
      </c>
      <c r="F138" s="6"/>
      <c r="G138" s="27" t="n">
        <v>980</v>
      </c>
      <c r="H138" s="27" t="n">
        <v>336</v>
      </c>
      <c r="I138" s="28" t="n">
        <v>1200</v>
      </c>
      <c r="J138" s="28"/>
      <c r="K138" s="28"/>
      <c r="L138" s="28"/>
      <c r="M138" s="28"/>
      <c r="N138" s="28"/>
      <c r="O138" s="28"/>
      <c r="P138" s="28"/>
      <c r="Q138" s="28"/>
      <c r="R138" s="28"/>
      <c r="S138" s="28"/>
    </row>
    <row r="139" customFormat="false" ht="15" hidden="false" customHeight="false" outlineLevel="0" collapsed="false">
      <c r="A139" s="8" t="s">
        <v>168</v>
      </c>
      <c r="B139" s="9" t="s">
        <v>169</v>
      </c>
      <c r="C139" s="14" t="s">
        <v>130</v>
      </c>
      <c r="D139" s="12" t="s">
        <v>170</v>
      </c>
      <c r="E139" s="7" t="s">
        <v>55</v>
      </c>
      <c r="F139" s="6"/>
      <c r="G139" s="27" t="n">
        <v>0</v>
      </c>
      <c r="H139" s="27" t="n">
        <v>616</v>
      </c>
      <c r="I139" s="28" t="n">
        <v>60</v>
      </c>
      <c r="J139" s="28"/>
      <c r="K139" s="28"/>
      <c r="L139" s="28"/>
      <c r="M139" s="28"/>
      <c r="N139" s="28"/>
      <c r="O139" s="28"/>
      <c r="P139" s="28"/>
      <c r="Q139" s="28"/>
      <c r="R139" s="28"/>
      <c r="S139" s="28"/>
    </row>
    <row r="140" customFormat="false" ht="15" hidden="false" customHeight="false" outlineLevel="0" collapsed="false">
      <c r="A140" s="8" t="s">
        <v>168</v>
      </c>
      <c r="B140" s="9" t="s">
        <v>169</v>
      </c>
      <c r="C140" s="14" t="s">
        <v>131</v>
      </c>
      <c r="D140" s="12" t="s">
        <v>170</v>
      </c>
      <c r="E140" s="7" t="s">
        <v>55</v>
      </c>
      <c r="F140" s="6"/>
      <c r="G140" s="27" t="n">
        <v>0</v>
      </c>
      <c r="H140" s="27" t="n">
        <v>0</v>
      </c>
      <c r="I140" s="28" t="n">
        <v>0</v>
      </c>
      <c r="J140" s="28"/>
      <c r="K140" s="28"/>
      <c r="L140" s="28"/>
      <c r="M140" s="28"/>
      <c r="N140" s="28"/>
      <c r="O140" s="28"/>
      <c r="P140" s="28"/>
      <c r="Q140" s="28"/>
      <c r="R140" s="28"/>
      <c r="S140" s="28"/>
    </row>
    <row r="141" customFormat="false" ht="15" hidden="false" customHeight="false" outlineLevel="0" collapsed="false">
      <c r="A141" s="8" t="s">
        <v>168</v>
      </c>
      <c r="B141" s="9" t="s">
        <v>169</v>
      </c>
      <c r="C141" s="14" t="s">
        <v>132</v>
      </c>
      <c r="D141" s="12" t="s">
        <v>170</v>
      </c>
      <c r="E141" s="7" t="s">
        <v>55</v>
      </c>
      <c r="F141" s="6"/>
      <c r="G141" s="27" t="n">
        <v>0</v>
      </c>
      <c r="H141" s="27" t="n">
        <v>0</v>
      </c>
      <c r="I141" s="28" t="n">
        <v>0</v>
      </c>
      <c r="J141" s="28"/>
      <c r="K141" s="28"/>
      <c r="L141" s="28"/>
      <c r="M141" s="28"/>
      <c r="N141" s="28"/>
      <c r="O141" s="28"/>
      <c r="P141" s="28"/>
      <c r="Q141" s="28"/>
      <c r="R141" s="28"/>
      <c r="S141" s="28"/>
    </row>
    <row r="142" customFormat="false" ht="15" hidden="false" customHeight="false" outlineLevel="0" collapsed="false">
      <c r="A142" s="8" t="s">
        <v>168</v>
      </c>
      <c r="B142" s="9" t="s">
        <v>169</v>
      </c>
      <c r="C142" s="14" t="s">
        <v>133</v>
      </c>
      <c r="D142" s="12" t="s">
        <v>170</v>
      </c>
      <c r="E142" s="7" t="s">
        <v>55</v>
      </c>
      <c r="F142" s="6"/>
      <c r="G142" s="27" t="n">
        <v>400</v>
      </c>
      <c r="H142" s="27" t="n">
        <v>240</v>
      </c>
      <c r="I142" s="28" t="n">
        <v>400</v>
      </c>
      <c r="J142" s="28"/>
      <c r="K142" s="28"/>
      <c r="L142" s="28"/>
      <c r="M142" s="28"/>
      <c r="N142" s="28"/>
      <c r="O142" s="28"/>
      <c r="P142" s="28"/>
      <c r="Q142" s="28"/>
      <c r="R142" s="28"/>
      <c r="S142" s="28"/>
    </row>
    <row r="143" customFormat="false" ht="15" hidden="false" customHeight="false" outlineLevel="0" collapsed="false">
      <c r="A143" s="8" t="s">
        <v>168</v>
      </c>
      <c r="B143" s="9" t="s">
        <v>169</v>
      </c>
      <c r="C143" s="14" t="s">
        <v>134</v>
      </c>
      <c r="D143" s="12" t="s">
        <v>170</v>
      </c>
      <c r="E143" s="7" t="s">
        <v>55</v>
      </c>
      <c r="F143" s="6"/>
      <c r="G143" s="27" t="n">
        <v>0</v>
      </c>
      <c r="H143" s="27" t="n">
        <v>100</v>
      </c>
      <c r="I143" s="28" t="n">
        <v>50</v>
      </c>
      <c r="J143" s="28"/>
      <c r="K143" s="28"/>
      <c r="L143" s="28"/>
      <c r="M143" s="28"/>
      <c r="N143" s="28"/>
      <c r="O143" s="28"/>
      <c r="P143" s="28"/>
      <c r="Q143" s="28"/>
      <c r="R143" s="28"/>
      <c r="S143" s="28"/>
    </row>
    <row r="144" customFormat="false" ht="15" hidden="false" customHeight="false" outlineLevel="0" collapsed="false">
      <c r="A144" s="8" t="s">
        <v>168</v>
      </c>
      <c r="B144" s="9" t="s">
        <v>169</v>
      </c>
      <c r="C144" s="14" t="s">
        <v>135</v>
      </c>
      <c r="D144" s="12" t="s">
        <v>170</v>
      </c>
      <c r="E144" s="7" t="s">
        <v>55</v>
      </c>
      <c r="F144" s="6"/>
      <c r="G144" s="27" t="n">
        <v>0</v>
      </c>
      <c r="H144" s="27" t="n">
        <v>0</v>
      </c>
      <c r="I144" s="28" t="n">
        <v>0</v>
      </c>
      <c r="J144" s="28"/>
      <c r="K144" s="28"/>
      <c r="L144" s="28"/>
      <c r="M144" s="28"/>
      <c r="N144" s="28"/>
      <c r="O144" s="28"/>
      <c r="P144" s="28"/>
      <c r="Q144" s="28"/>
      <c r="R144" s="28"/>
      <c r="S144" s="28"/>
    </row>
    <row r="145" customFormat="false" ht="15" hidden="false" customHeight="false" outlineLevel="0" collapsed="false">
      <c r="A145" s="8" t="s">
        <v>168</v>
      </c>
      <c r="B145" s="9" t="s">
        <v>169</v>
      </c>
      <c r="C145" s="14" t="s">
        <v>136</v>
      </c>
      <c r="D145" s="12" t="s">
        <v>170</v>
      </c>
      <c r="E145" s="7" t="s">
        <v>55</v>
      </c>
      <c r="F145" s="6"/>
      <c r="G145" s="27" t="n">
        <v>0</v>
      </c>
      <c r="H145" s="27" t="n">
        <v>0</v>
      </c>
      <c r="I145" s="28" t="n">
        <v>0</v>
      </c>
      <c r="J145" s="28"/>
      <c r="K145" s="28"/>
      <c r="L145" s="28"/>
      <c r="M145" s="28"/>
      <c r="N145" s="28"/>
      <c r="O145" s="28"/>
      <c r="P145" s="28"/>
      <c r="Q145" s="28"/>
      <c r="R145" s="28"/>
      <c r="S145" s="28"/>
    </row>
    <row r="146" customFormat="false" ht="15" hidden="false" customHeight="false" outlineLevel="0" collapsed="false">
      <c r="A146" s="8" t="s">
        <v>168</v>
      </c>
      <c r="B146" s="9" t="s">
        <v>171</v>
      </c>
      <c r="C146" s="14" t="s">
        <v>128</v>
      </c>
      <c r="D146" s="12" t="s">
        <v>170</v>
      </c>
      <c r="E146" s="7" t="s">
        <v>55</v>
      </c>
      <c r="F146" s="6" t="s">
        <v>39</v>
      </c>
      <c r="G146" s="27" t="n">
        <v>250</v>
      </c>
      <c r="H146" s="27" t="n">
        <v>480</v>
      </c>
      <c r="I146" s="28" t="n">
        <v>0</v>
      </c>
      <c r="J146" s="28"/>
      <c r="K146" s="28"/>
      <c r="L146" s="28"/>
      <c r="M146" s="28"/>
      <c r="N146" s="28"/>
      <c r="O146" s="28"/>
      <c r="P146" s="28"/>
      <c r="Q146" s="28"/>
      <c r="R146" s="28"/>
      <c r="S146" s="28"/>
    </row>
    <row r="147" customFormat="false" ht="15" hidden="false" customHeight="false" outlineLevel="0" collapsed="false">
      <c r="A147" s="8" t="s">
        <v>168</v>
      </c>
      <c r="B147" s="9" t="s">
        <v>171</v>
      </c>
      <c r="C147" s="14" t="s">
        <v>130</v>
      </c>
      <c r="D147" s="12" t="s">
        <v>170</v>
      </c>
      <c r="E147" s="7" t="s">
        <v>55</v>
      </c>
      <c r="F147" s="6" t="s">
        <v>39</v>
      </c>
      <c r="G147" s="27" t="n">
        <v>0</v>
      </c>
      <c r="H147" s="27" t="n">
        <v>200</v>
      </c>
      <c r="I147" s="28" t="n">
        <v>0</v>
      </c>
      <c r="J147" s="28"/>
      <c r="K147" s="28"/>
      <c r="L147" s="28"/>
      <c r="M147" s="28"/>
      <c r="N147" s="28"/>
      <c r="O147" s="28"/>
      <c r="P147" s="28"/>
      <c r="Q147" s="28"/>
      <c r="R147" s="28"/>
      <c r="S147" s="28"/>
    </row>
    <row r="148" customFormat="false" ht="15" hidden="false" customHeight="false" outlineLevel="0" collapsed="false">
      <c r="A148" s="8" t="s">
        <v>168</v>
      </c>
      <c r="B148" s="9" t="s">
        <v>171</v>
      </c>
      <c r="C148" s="14" t="s">
        <v>131</v>
      </c>
      <c r="D148" s="12" t="s">
        <v>170</v>
      </c>
      <c r="E148" s="7" t="s">
        <v>55</v>
      </c>
      <c r="F148" s="6" t="s">
        <v>39</v>
      </c>
      <c r="G148" s="27" t="n">
        <v>0</v>
      </c>
      <c r="H148" s="27" t="n">
        <v>0</v>
      </c>
      <c r="I148" s="28" t="n">
        <v>0</v>
      </c>
      <c r="J148" s="28"/>
      <c r="K148" s="28"/>
      <c r="L148" s="28"/>
      <c r="M148" s="28"/>
      <c r="N148" s="28"/>
      <c r="O148" s="28"/>
      <c r="P148" s="28"/>
      <c r="Q148" s="28"/>
      <c r="R148" s="28"/>
      <c r="S148" s="28"/>
    </row>
    <row r="149" customFormat="false" ht="15" hidden="false" customHeight="false" outlineLevel="0" collapsed="false">
      <c r="A149" s="8" t="s">
        <v>168</v>
      </c>
      <c r="B149" s="9" t="s">
        <v>171</v>
      </c>
      <c r="C149" s="14" t="s">
        <v>132</v>
      </c>
      <c r="D149" s="12" t="s">
        <v>170</v>
      </c>
      <c r="E149" s="7" t="s">
        <v>55</v>
      </c>
      <c r="F149" s="6" t="s">
        <v>39</v>
      </c>
      <c r="G149" s="27" t="n">
        <v>0</v>
      </c>
      <c r="H149" s="27" t="n">
        <v>0</v>
      </c>
      <c r="I149" s="28" t="n">
        <v>0</v>
      </c>
      <c r="J149" s="28"/>
      <c r="K149" s="28"/>
      <c r="L149" s="28"/>
      <c r="M149" s="28"/>
      <c r="N149" s="28"/>
      <c r="O149" s="28"/>
      <c r="P149" s="28"/>
      <c r="Q149" s="28"/>
      <c r="R149" s="28"/>
      <c r="S149" s="28"/>
    </row>
    <row r="150" customFormat="false" ht="15" hidden="false" customHeight="false" outlineLevel="0" collapsed="false">
      <c r="A150" s="8" t="s">
        <v>168</v>
      </c>
      <c r="B150" s="9" t="s">
        <v>171</v>
      </c>
      <c r="C150" s="14" t="s">
        <v>133</v>
      </c>
      <c r="D150" s="12" t="s">
        <v>170</v>
      </c>
      <c r="E150" s="7" t="s">
        <v>55</v>
      </c>
      <c r="F150" s="6" t="s">
        <v>39</v>
      </c>
      <c r="G150" s="27" t="n">
        <v>400</v>
      </c>
      <c r="H150" s="27" t="n">
        <v>360</v>
      </c>
      <c r="I150" s="28" t="n">
        <v>536</v>
      </c>
      <c r="J150" s="28"/>
      <c r="K150" s="28"/>
      <c r="L150" s="28"/>
      <c r="M150" s="28"/>
      <c r="N150" s="28"/>
      <c r="O150" s="28"/>
      <c r="P150" s="28"/>
      <c r="Q150" s="28"/>
      <c r="R150" s="28"/>
      <c r="S150" s="28"/>
    </row>
    <row r="151" customFormat="false" ht="15" hidden="false" customHeight="false" outlineLevel="0" collapsed="false">
      <c r="A151" s="8" t="s">
        <v>168</v>
      </c>
      <c r="B151" s="9" t="s">
        <v>171</v>
      </c>
      <c r="C151" s="14" t="s">
        <v>134</v>
      </c>
      <c r="D151" s="12" t="s">
        <v>170</v>
      </c>
      <c r="E151" s="7" t="s">
        <v>55</v>
      </c>
      <c r="F151" s="6" t="s">
        <v>39</v>
      </c>
      <c r="G151" s="27" t="n">
        <v>0</v>
      </c>
      <c r="H151" s="27" t="n">
        <v>170</v>
      </c>
      <c r="I151" s="28" t="n">
        <v>343</v>
      </c>
      <c r="J151" s="28"/>
      <c r="K151" s="28"/>
      <c r="L151" s="28"/>
      <c r="M151" s="28"/>
      <c r="N151" s="28"/>
      <c r="O151" s="28"/>
      <c r="P151" s="28"/>
      <c r="Q151" s="28"/>
      <c r="R151" s="28"/>
      <c r="S151" s="28"/>
    </row>
    <row r="152" customFormat="false" ht="15" hidden="false" customHeight="false" outlineLevel="0" collapsed="false">
      <c r="A152" s="8" t="s">
        <v>168</v>
      </c>
      <c r="B152" s="9" t="s">
        <v>171</v>
      </c>
      <c r="C152" s="14" t="s">
        <v>135</v>
      </c>
      <c r="D152" s="12" t="s">
        <v>170</v>
      </c>
      <c r="E152" s="7" t="s">
        <v>55</v>
      </c>
      <c r="F152" s="6" t="s">
        <v>39</v>
      </c>
      <c r="G152" s="27" t="n">
        <v>0</v>
      </c>
      <c r="H152" s="27" t="n">
        <v>0</v>
      </c>
      <c r="I152" s="28" t="n">
        <v>0</v>
      </c>
      <c r="J152" s="28"/>
      <c r="K152" s="28"/>
      <c r="L152" s="28"/>
      <c r="M152" s="28"/>
      <c r="N152" s="28"/>
      <c r="O152" s="28"/>
      <c r="P152" s="28"/>
      <c r="Q152" s="28"/>
      <c r="R152" s="28"/>
      <c r="S152" s="28"/>
    </row>
    <row r="153" customFormat="false" ht="15" hidden="false" customHeight="false" outlineLevel="0" collapsed="false">
      <c r="A153" s="8" t="s">
        <v>168</v>
      </c>
      <c r="B153" s="9" t="s">
        <v>171</v>
      </c>
      <c r="C153" s="14" t="s">
        <v>136</v>
      </c>
      <c r="D153" s="12" t="s">
        <v>170</v>
      </c>
      <c r="E153" s="7" t="s">
        <v>55</v>
      </c>
      <c r="F153" s="6" t="s">
        <v>39</v>
      </c>
      <c r="G153" s="27" t="n">
        <v>0</v>
      </c>
      <c r="H153" s="27" t="n">
        <v>0</v>
      </c>
      <c r="I153" s="28" t="n">
        <v>0</v>
      </c>
      <c r="J153" s="28"/>
      <c r="K153" s="28"/>
      <c r="L153" s="28"/>
      <c r="M153" s="28"/>
      <c r="N153" s="28"/>
      <c r="O153" s="28"/>
      <c r="P153" s="28"/>
      <c r="Q153" s="28"/>
      <c r="R153" s="28"/>
      <c r="S153" s="28"/>
    </row>
    <row r="154" customFormat="false" ht="15" hidden="false" customHeight="false" outlineLevel="0" collapsed="false">
      <c r="A154" s="8" t="s">
        <v>168</v>
      </c>
      <c r="B154" s="9" t="s">
        <v>172</v>
      </c>
      <c r="C154" s="14" t="s">
        <v>67</v>
      </c>
      <c r="D154" s="12" t="s">
        <v>173</v>
      </c>
      <c r="E154" s="7" t="s">
        <v>55</v>
      </c>
      <c r="F154" s="6" t="s">
        <v>39</v>
      </c>
      <c r="G154" s="27" t="n">
        <v>0</v>
      </c>
      <c r="H154" s="27" t="n">
        <v>0</v>
      </c>
      <c r="I154" s="28" t="n">
        <v>0</v>
      </c>
      <c r="J154" s="28"/>
      <c r="K154" s="28"/>
      <c r="L154" s="28"/>
      <c r="M154" s="28"/>
      <c r="N154" s="28"/>
      <c r="O154" s="28"/>
      <c r="P154" s="28"/>
      <c r="Q154" s="28"/>
      <c r="R154" s="28"/>
      <c r="S154" s="28"/>
    </row>
    <row r="155" customFormat="false" ht="15" hidden="false" customHeight="false" outlineLevel="0" collapsed="false">
      <c r="A155" s="8" t="s">
        <v>168</v>
      </c>
      <c r="B155" s="9" t="s">
        <v>172</v>
      </c>
      <c r="C155" s="14" t="s">
        <v>71</v>
      </c>
      <c r="D155" s="12" t="s">
        <v>173</v>
      </c>
      <c r="E155" s="7" t="s">
        <v>55</v>
      </c>
      <c r="F155" s="6" t="s">
        <v>39</v>
      </c>
      <c r="G155" s="27" t="n">
        <v>0</v>
      </c>
      <c r="H155" s="27" t="n">
        <v>0</v>
      </c>
      <c r="I155" s="28" t="n">
        <v>0</v>
      </c>
      <c r="J155" s="28"/>
      <c r="K155" s="28"/>
      <c r="L155" s="28"/>
      <c r="M155" s="28"/>
      <c r="N155" s="28"/>
      <c r="O155" s="28"/>
      <c r="P155" s="28"/>
      <c r="Q155" s="28"/>
      <c r="R155" s="28"/>
      <c r="S155" s="28"/>
    </row>
    <row r="157" customFormat="false" ht="15" hidden="false" customHeight="false" outlineLevel="0" collapsed="false">
      <c r="A157" s="5" t="s">
        <v>174</v>
      </c>
      <c r="B157" s="5"/>
      <c r="C157" s="5"/>
      <c r="D157" s="5"/>
      <c r="E157" s="5"/>
      <c r="F157" s="5"/>
      <c r="G157" s="5"/>
      <c r="H157" s="5"/>
      <c r="I157" s="5"/>
      <c r="J157" s="5"/>
      <c r="K157" s="5"/>
      <c r="L157" s="5"/>
      <c r="M157" s="5"/>
      <c r="N157" s="5"/>
      <c r="O157" s="5"/>
      <c r="P157" s="5"/>
      <c r="Q157" s="5"/>
      <c r="R157" s="5"/>
      <c r="S157" s="5"/>
    </row>
    <row r="158" customFormat="false" ht="15" hidden="false" customHeight="false" outlineLevel="0" collapsed="false">
      <c r="A158" s="8" t="s">
        <v>175</v>
      </c>
      <c r="B158" s="9" t="s">
        <v>176</v>
      </c>
      <c r="C158" s="14" t="s">
        <v>105</v>
      </c>
      <c r="D158" s="12" t="s">
        <v>177</v>
      </c>
      <c r="E158" s="7" t="s">
        <v>55</v>
      </c>
      <c r="F158" s="6"/>
      <c r="G158" s="21" t="s">
        <v>178</v>
      </c>
      <c r="H158" s="21" t="s">
        <v>178</v>
      </c>
      <c r="I158" s="28" t="n">
        <v>5300</v>
      </c>
      <c r="J158" s="28"/>
      <c r="K158" s="28"/>
      <c r="L158" s="28"/>
      <c r="M158" s="28"/>
      <c r="N158" s="28"/>
      <c r="O158" s="28"/>
      <c r="P158" s="28"/>
      <c r="Q158" s="28"/>
      <c r="R158" s="28"/>
      <c r="S158" s="28"/>
    </row>
    <row r="159" customFormat="false" ht="15" hidden="false" customHeight="false" outlineLevel="0" collapsed="false">
      <c r="A159" s="8" t="s">
        <v>175</v>
      </c>
      <c r="B159" s="9" t="s">
        <v>179</v>
      </c>
      <c r="C159" s="14" t="s">
        <v>105</v>
      </c>
      <c r="D159" s="12" t="s">
        <v>81</v>
      </c>
      <c r="E159" s="7" t="s">
        <v>55</v>
      </c>
      <c r="F159" s="6"/>
      <c r="G159" s="21" t="s">
        <v>178</v>
      </c>
      <c r="H159" s="21" t="s">
        <v>178</v>
      </c>
      <c r="I159" s="28" t="n">
        <v>6300</v>
      </c>
      <c r="J159" s="28"/>
      <c r="K159" s="28"/>
      <c r="L159" s="28"/>
      <c r="M159" s="28"/>
      <c r="N159" s="28"/>
      <c r="O159" s="28"/>
      <c r="P159" s="28"/>
      <c r="Q159" s="28"/>
      <c r="R159" s="28"/>
      <c r="S159" s="28"/>
    </row>
    <row r="160" customFormat="false" ht="15" hidden="false" customHeight="false" outlineLevel="0" collapsed="false">
      <c r="A160" s="8" t="s">
        <v>175</v>
      </c>
      <c r="B160" s="9" t="s">
        <v>180</v>
      </c>
      <c r="C160" s="14" t="s">
        <v>105</v>
      </c>
      <c r="D160" s="12" t="s">
        <v>81</v>
      </c>
      <c r="E160" s="7" t="s">
        <v>55</v>
      </c>
      <c r="F160" s="6"/>
      <c r="G160" s="21" t="s">
        <v>178</v>
      </c>
      <c r="H160" s="21" t="s">
        <v>178</v>
      </c>
      <c r="I160" s="28" t="n">
        <v>1100</v>
      </c>
      <c r="J160" s="28"/>
      <c r="K160" s="28"/>
      <c r="L160" s="28"/>
      <c r="M160" s="28"/>
      <c r="N160" s="28"/>
      <c r="O160" s="28"/>
      <c r="P160" s="28"/>
      <c r="Q160" s="28"/>
      <c r="R160" s="28"/>
      <c r="S160" s="28"/>
    </row>
    <row r="162" customFormat="false" ht="15" hidden="false" customHeight="false" outlineLevel="0" collapsed="false">
      <c r="A162" s="5" t="s">
        <v>181</v>
      </c>
      <c r="B162" s="5"/>
      <c r="C162" s="5"/>
      <c r="D162" s="5"/>
      <c r="E162" s="5"/>
      <c r="F162" s="5"/>
      <c r="G162" s="5"/>
      <c r="H162" s="5"/>
      <c r="I162" s="5"/>
      <c r="J162" s="5"/>
      <c r="K162" s="5"/>
      <c r="L162" s="5"/>
      <c r="M162" s="5"/>
      <c r="N162" s="5"/>
      <c r="O162" s="5"/>
      <c r="P162" s="5"/>
      <c r="Q162" s="5"/>
      <c r="R162" s="5"/>
      <c r="S162" s="5"/>
    </row>
    <row r="163" customFormat="false" ht="15" hidden="false" customHeight="false" outlineLevel="0" collapsed="false">
      <c r="A163" s="8" t="s">
        <v>182</v>
      </c>
      <c r="B163" s="9" t="s">
        <v>183</v>
      </c>
      <c r="C163" s="14" t="s">
        <v>92</v>
      </c>
      <c r="D163" s="12" t="s">
        <v>184</v>
      </c>
      <c r="E163" s="7" t="s">
        <v>55</v>
      </c>
      <c r="F163" s="6" t="s">
        <v>185</v>
      </c>
      <c r="G163" s="21" t="s">
        <v>154</v>
      </c>
      <c r="H163" s="21" t="s">
        <v>154</v>
      </c>
      <c r="I163" s="28" t="n">
        <v>350961</v>
      </c>
      <c r="J163" s="28"/>
      <c r="K163" s="28"/>
      <c r="L163" s="28"/>
      <c r="M163" s="28"/>
      <c r="N163" s="28"/>
      <c r="O163" s="28"/>
      <c r="P163" s="28"/>
      <c r="Q163" s="28"/>
      <c r="R163" s="28"/>
      <c r="S163" s="28"/>
    </row>
    <row r="164" customFormat="false" ht="15" hidden="false" customHeight="false" outlineLevel="0" collapsed="false">
      <c r="A164" s="8" t="s">
        <v>182</v>
      </c>
      <c r="B164" s="9" t="s">
        <v>186</v>
      </c>
      <c r="C164" s="14" t="s">
        <v>92</v>
      </c>
      <c r="D164" s="12" t="s">
        <v>81</v>
      </c>
      <c r="E164" s="7" t="s">
        <v>55</v>
      </c>
      <c r="F164" s="6"/>
      <c r="G164" s="21" t="s">
        <v>154</v>
      </c>
      <c r="H164" s="21" t="s">
        <v>154</v>
      </c>
      <c r="I164" s="28" t="n">
        <v>0</v>
      </c>
      <c r="J164" s="28"/>
      <c r="K164" s="28"/>
      <c r="L164" s="28"/>
      <c r="M164" s="28"/>
      <c r="N164" s="28"/>
      <c r="O164" s="28"/>
      <c r="P164" s="28"/>
      <c r="Q164" s="28"/>
      <c r="R164" s="28"/>
      <c r="S164" s="28"/>
    </row>
    <row r="165" customFormat="false" ht="15" hidden="false" customHeight="false" outlineLevel="0" collapsed="false">
      <c r="A165" s="8" t="s">
        <v>182</v>
      </c>
      <c r="B165" s="9" t="s">
        <v>183</v>
      </c>
      <c r="C165" s="14" t="s">
        <v>94</v>
      </c>
      <c r="D165" s="12" t="s">
        <v>184</v>
      </c>
      <c r="E165" s="7" t="s">
        <v>55</v>
      </c>
      <c r="F165" s="6" t="s">
        <v>185</v>
      </c>
      <c r="G165" s="21" t="s">
        <v>154</v>
      </c>
      <c r="H165" s="21" t="s">
        <v>154</v>
      </c>
      <c r="I165" s="28" t="n">
        <v>591076</v>
      </c>
      <c r="J165" s="28"/>
      <c r="K165" s="28"/>
      <c r="L165" s="28"/>
      <c r="M165" s="28"/>
      <c r="N165" s="28"/>
      <c r="O165" s="28"/>
      <c r="P165" s="28"/>
      <c r="Q165" s="28"/>
      <c r="R165" s="28"/>
      <c r="S165" s="28"/>
    </row>
    <row r="166" customFormat="false" ht="15" hidden="false" customHeight="false" outlineLevel="0" collapsed="false">
      <c r="A166" s="8" t="s">
        <v>182</v>
      </c>
      <c r="B166" s="9" t="s">
        <v>186</v>
      </c>
      <c r="C166" s="14" t="s">
        <v>94</v>
      </c>
      <c r="D166" s="12" t="s">
        <v>81</v>
      </c>
      <c r="E166" s="7" t="s">
        <v>55</v>
      </c>
      <c r="F166" s="6"/>
      <c r="G166" s="21" t="s">
        <v>154</v>
      </c>
      <c r="H166" s="21" t="s">
        <v>154</v>
      </c>
      <c r="I166" s="28" t="n">
        <v>0</v>
      </c>
      <c r="J166" s="28"/>
      <c r="K166" s="28"/>
      <c r="L166" s="28"/>
      <c r="M166" s="28"/>
      <c r="N166" s="28"/>
      <c r="O166" s="28"/>
      <c r="P166" s="28"/>
      <c r="Q166" s="28"/>
      <c r="R166" s="28"/>
      <c r="S166" s="28"/>
    </row>
    <row r="167" customFormat="false" ht="15" hidden="false" customHeight="false" outlineLevel="0" collapsed="false">
      <c r="A167" s="8" t="s">
        <v>182</v>
      </c>
      <c r="B167" s="9" t="s">
        <v>183</v>
      </c>
      <c r="C167" s="14" t="s">
        <v>95</v>
      </c>
      <c r="D167" s="12" t="s">
        <v>184</v>
      </c>
      <c r="E167" s="7" t="s">
        <v>55</v>
      </c>
      <c r="F167" s="6" t="s">
        <v>185</v>
      </c>
      <c r="G167" s="21" t="s">
        <v>154</v>
      </c>
      <c r="H167" s="21" t="s">
        <v>154</v>
      </c>
      <c r="I167" s="28" t="n">
        <v>0</v>
      </c>
      <c r="J167" s="28"/>
      <c r="K167" s="28"/>
      <c r="L167" s="28"/>
      <c r="M167" s="28"/>
      <c r="N167" s="28"/>
      <c r="O167" s="28"/>
      <c r="P167" s="28"/>
      <c r="Q167" s="28"/>
      <c r="R167" s="28"/>
      <c r="S167" s="28"/>
    </row>
    <row r="168" customFormat="false" ht="15" hidden="false" customHeight="false" outlineLevel="0" collapsed="false">
      <c r="A168" s="8" t="s">
        <v>182</v>
      </c>
      <c r="B168" s="9" t="s">
        <v>186</v>
      </c>
      <c r="C168" s="14" t="s">
        <v>95</v>
      </c>
      <c r="D168" s="12" t="s">
        <v>81</v>
      </c>
      <c r="E168" s="7" t="s">
        <v>55</v>
      </c>
      <c r="F168" s="6"/>
      <c r="G168" s="21" t="s">
        <v>154</v>
      </c>
      <c r="H168" s="21" t="s">
        <v>154</v>
      </c>
      <c r="I168" s="28" t="n">
        <v>0</v>
      </c>
      <c r="J168" s="28"/>
      <c r="K168" s="28"/>
      <c r="L168" s="28"/>
      <c r="M168" s="28"/>
      <c r="N168" s="28"/>
      <c r="O168" s="28"/>
      <c r="P168" s="28"/>
      <c r="Q168" s="28"/>
      <c r="R168" s="28"/>
      <c r="S168" s="28"/>
    </row>
    <row r="169" customFormat="false" ht="15" hidden="false" customHeight="false" outlineLevel="0" collapsed="false">
      <c r="A169" s="8" t="s">
        <v>182</v>
      </c>
      <c r="B169" s="9" t="s">
        <v>183</v>
      </c>
      <c r="C169" s="14" t="s">
        <v>97</v>
      </c>
      <c r="D169" s="12" t="s">
        <v>184</v>
      </c>
      <c r="E169" s="7" t="s">
        <v>55</v>
      </c>
      <c r="F169" s="6" t="s">
        <v>185</v>
      </c>
      <c r="G169" s="21" t="s">
        <v>154</v>
      </c>
      <c r="H169" s="21" t="s">
        <v>154</v>
      </c>
      <c r="I169" s="28" t="n">
        <v>0</v>
      </c>
      <c r="J169" s="28"/>
      <c r="K169" s="28"/>
      <c r="L169" s="28"/>
      <c r="M169" s="28"/>
      <c r="N169" s="28"/>
      <c r="O169" s="28"/>
      <c r="P169" s="28"/>
      <c r="Q169" s="28"/>
      <c r="R169" s="28"/>
      <c r="S169" s="28"/>
    </row>
    <row r="170" customFormat="false" ht="15" hidden="false" customHeight="false" outlineLevel="0" collapsed="false">
      <c r="A170" s="8" t="s">
        <v>182</v>
      </c>
      <c r="B170" s="9" t="s">
        <v>186</v>
      </c>
      <c r="C170" s="14" t="s">
        <v>97</v>
      </c>
      <c r="D170" s="12" t="s">
        <v>81</v>
      </c>
      <c r="E170" s="7" t="s">
        <v>55</v>
      </c>
      <c r="F170" s="6"/>
      <c r="G170" s="21" t="s">
        <v>154</v>
      </c>
      <c r="H170" s="21" t="s">
        <v>154</v>
      </c>
      <c r="I170" s="28" t="n">
        <v>0</v>
      </c>
      <c r="J170" s="28"/>
      <c r="K170" s="28"/>
      <c r="L170" s="28"/>
      <c r="M170" s="28"/>
      <c r="N170" s="28"/>
      <c r="O170" s="28"/>
      <c r="P170" s="28"/>
      <c r="Q170" s="28"/>
      <c r="R170" s="28"/>
      <c r="S170" s="28"/>
    </row>
    <row r="171" customFormat="false" ht="22.35" hidden="false" customHeight="false" outlineLevel="0" collapsed="false">
      <c r="A171" s="8" t="s">
        <v>182</v>
      </c>
      <c r="B171" s="9" t="s">
        <v>187</v>
      </c>
      <c r="C171" s="14" t="s">
        <v>92</v>
      </c>
      <c r="D171" s="12" t="s">
        <v>188</v>
      </c>
      <c r="E171" s="7" t="s">
        <v>55</v>
      </c>
      <c r="F171" s="6" t="s">
        <v>185</v>
      </c>
      <c r="G171" s="21" t="s">
        <v>154</v>
      </c>
      <c r="H171" s="27" t="n">
        <v>7</v>
      </c>
      <c r="I171" s="28" t="n">
        <v>8</v>
      </c>
      <c r="J171" s="29" t="n">
        <f aca="false">I171</f>
        <v>8</v>
      </c>
      <c r="K171" s="29" t="n">
        <f aca="false">J171</f>
        <v>8</v>
      </c>
      <c r="L171" s="29" t="n">
        <f aca="false">K171</f>
        <v>8</v>
      </c>
      <c r="M171" s="29" t="n">
        <f aca="false">L171</f>
        <v>8</v>
      </c>
      <c r="N171" s="29" t="n">
        <f aca="false">M171</f>
        <v>8</v>
      </c>
      <c r="O171" s="29" t="n">
        <f aca="false">N171</f>
        <v>8</v>
      </c>
      <c r="P171" s="29" t="n">
        <f aca="false">O171</f>
        <v>8</v>
      </c>
      <c r="Q171" s="29" t="n">
        <f aca="false">P171</f>
        <v>8</v>
      </c>
      <c r="R171" s="29" t="n">
        <f aca="false">Q171</f>
        <v>8</v>
      </c>
      <c r="S171" s="29" t="n">
        <f aca="false">R171</f>
        <v>8</v>
      </c>
    </row>
    <row r="172" customFormat="false" ht="22.35" hidden="false" customHeight="false" outlineLevel="0" collapsed="false">
      <c r="A172" s="8" t="s">
        <v>182</v>
      </c>
      <c r="B172" s="9" t="s">
        <v>189</v>
      </c>
      <c r="C172" s="14" t="s">
        <v>92</v>
      </c>
      <c r="D172" s="12" t="s">
        <v>188</v>
      </c>
      <c r="E172" s="7" t="s">
        <v>43</v>
      </c>
      <c r="F172" s="6" t="s">
        <v>39</v>
      </c>
      <c r="G172" s="21" t="s">
        <v>77</v>
      </c>
      <c r="H172" s="36" t="str">
        <f aca="false">IF(AND(ISNUMBER(H171),ISNUMBER(G171)),H171-G171,"")</f>
        <v/>
      </c>
      <c r="I172" s="36" t="n">
        <f aca="false">IF(AND(ISNUMBER(I171),ISNUMBER(H171)),I171-H171,"")</f>
        <v>1</v>
      </c>
      <c r="J172" s="36" t="n">
        <f aca="false">IF(AND(ISNUMBER(J171),ISNUMBER(I171)),J171-I171,"")</f>
        <v>0</v>
      </c>
      <c r="K172" s="36" t="n">
        <f aca="false">IF(AND(ISNUMBER(K171),ISNUMBER(J171)),K171-J171,"")</f>
        <v>0</v>
      </c>
      <c r="L172" s="36" t="n">
        <f aca="false">IF(AND(ISNUMBER(L171),ISNUMBER(K171)),L171-K171,"")</f>
        <v>0</v>
      </c>
      <c r="M172" s="36" t="n">
        <f aca="false">IF(AND(ISNUMBER(M171),ISNUMBER(L171)),M171-L171,"")</f>
        <v>0</v>
      </c>
      <c r="N172" s="36" t="n">
        <f aca="false">IF(AND(ISNUMBER(N171),ISNUMBER(M171)),N171-M171,"")</f>
        <v>0</v>
      </c>
      <c r="O172" s="36" t="n">
        <f aca="false">IF(AND(ISNUMBER(O171),ISNUMBER(N171)),O171-N171,"")</f>
        <v>0</v>
      </c>
      <c r="P172" s="36" t="n">
        <f aca="false">IF(AND(ISNUMBER(P171),ISNUMBER(O171)),P171-O171,"")</f>
        <v>0</v>
      </c>
      <c r="Q172" s="36" t="n">
        <f aca="false">IF(AND(ISNUMBER(Q171),ISNUMBER(P171)),Q171-P171,"")</f>
        <v>0</v>
      </c>
      <c r="R172" s="36" t="n">
        <f aca="false">IF(AND(ISNUMBER(R171),ISNUMBER(Q171)),R171-Q171,"")</f>
        <v>0</v>
      </c>
      <c r="S172" s="36" t="n">
        <f aca="false">IF(AND(ISNUMBER(S171),ISNUMBER(R171)),S171-R171,"")</f>
        <v>0</v>
      </c>
    </row>
    <row r="173" customFormat="false" ht="22.35" hidden="false" customHeight="false" outlineLevel="0" collapsed="false">
      <c r="A173" s="8" t="s">
        <v>182</v>
      </c>
      <c r="B173" s="9" t="s">
        <v>190</v>
      </c>
      <c r="C173" s="14" t="s">
        <v>92</v>
      </c>
      <c r="D173" s="12" t="s">
        <v>81</v>
      </c>
      <c r="E173" s="7" t="s">
        <v>43</v>
      </c>
      <c r="F173" s="6" t="s">
        <v>32</v>
      </c>
      <c r="G173" s="21" t="s">
        <v>77</v>
      </c>
      <c r="H173" s="36" t="str">
        <f aca="false">IF(AND(ISNUMBER(H172),ISNUMBER(H43)),H172*H43,"")</f>
        <v/>
      </c>
      <c r="I173" s="36" t="str">
        <f aca="false">IF(AND(ISNUMBER(I172),ISNUMBER(I43)),I172*I43,"")</f>
        <v/>
      </c>
      <c r="J173" s="36" t="str">
        <f aca="false">IF(AND(ISNUMBER(J172),ISNUMBER(J43)),J172*J43,"")</f>
        <v/>
      </c>
      <c r="K173" s="36" t="str">
        <f aca="false">IF(AND(ISNUMBER(K172),ISNUMBER(K43)),K172*K43,"")</f>
        <v/>
      </c>
      <c r="L173" s="36" t="str">
        <f aca="false">IF(AND(ISNUMBER(L172),ISNUMBER(L43)),L172*L43,"")</f>
        <v/>
      </c>
      <c r="M173" s="36" t="str">
        <f aca="false">IF(AND(ISNUMBER(M172),ISNUMBER(M43)),M172*M43,"")</f>
        <v/>
      </c>
      <c r="N173" s="36" t="str">
        <f aca="false">IF(AND(ISNUMBER(N172),ISNUMBER(N43)),N172*N43,"")</f>
        <v/>
      </c>
      <c r="O173" s="36" t="str">
        <f aca="false">IF(AND(ISNUMBER(O172),ISNUMBER(O43)),O172*O43,"")</f>
        <v/>
      </c>
      <c r="P173" s="36" t="str">
        <f aca="false">IF(AND(ISNUMBER(P172),ISNUMBER(P43)),P172*P43,"")</f>
        <v/>
      </c>
      <c r="Q173" s="36" t="str">
        <f aca="false">IF(AND(ISNUMBER(Q172),ISNUMBER(Q43)),Q172*Q43,"")</f>
        <v/>
      </c>
      <c r="R173" s="36" t="str">
        <f aca="false">IF(AND(ISNUMBER(R172),ISNUMBER(R43)),R172*R43,"")</f>
        <v/>
      </c>
      <c r="S173" s="36" t="str">
        <f aca="false">IF(AND(ISNUMBER(S172),ISNUMBER(S43)),S172*S43,"")</f>
        <v/>
      </c>
    </row>
    <row r="174" customFormat="false" ht="22.35" hidden="false" customHeight="false" outlineLevel="0" collapsed="false">
      <c r="A174" s="8" t="s">
        <v>182</v>
      </c>
      <c r="B174" s="9" t="s">
        <v>187</v>
      </c>
      <c r="C174" s="14" t="s">
        <v>94</v>
      </c>
      <c r="D174" s="12" t="s">
        <v>188</v>
      </c>
      <c r="E174" s="7" t="s">
        <v>55</v>
      </c>
      <c r="F174" s="6" t="s">
        <v>185</v>
      </c>
      <c r="G174" s="21" t="s">
        <v>154</v>
      </c>
      <c r="H174" s="27" t="n">
        <v>2</v>
      </c>
      <c r="I174" s="28" t="n">
        <v>3</v>
      </c>
      <c r="J174" s="29" t="n">
        <f aca="false">I174</f>
        <v>3</v>
      </c>
      <c r="K174" s="29" t="n">
        <f aca="false">J174</f>
        <v>3</v>
      </c>
      <c r="L174" s="29" t="n">
        <f aca="false">K174</f>
        <v>3</v>
      </c>
      <c r="M174" s="29" t="n">
        <f aca="false">L174</f>
        <v>3</v>
      </c>
      <c r="N174" s="29" t="n">
        <f aca="false">M174</f>
        <v>3</v>
      </c>
      <c r="O174" s="29" t="n">
        <f aca="false">N174</f>
        <v>3</v>
      </c>
      <c r="P174" s="29" t="n">
        <f aca="false">O174</f>
        <v>3</v>
      </c>
      <c r="Q174" s="29" t="n">
        <f aca="false">P174</f>
        <v>3</v>
      </c>
      <c r="R174" s="29" t="n">
        <f aca="false">Q174</f>
        <v>3</v>
      </c>
      <c r="S174" s="29" t="n">
        <f aca="false">R174</f>
        <v>3</v>
      </c>
    </row>
    <row r="175" customFormat="false" ht="22.35" hidden="false" customHeight="false" outlineLevel="0" collapsed="false">
      <c r="A175" s="8" t="s">
        <v>182</v>
      </c>
      <c r="B175" s="9" t="s">
        <v>189</v>
      </c>
      <c r="C175" s="14" t="s">
        <v>94</v>
      </c>
      <c r="D175" s="12" t="s">
        <v>188</v>
      </c>
      <c r="E175" s="7" t="s">
        <v>43</v>
      </c>
      <c r="F175" s="6" t="s">
        <v>39</v>
      </c>
      <c r="G175" s="21" t="s">
        <v>77</v>
      </c>
      <c r="H175" s="36" t="str">
        <f aca="false">IF(AND(ISNUMBER(H174),ISNUMBER(G174)),H174-G174,"")</f>
        <v/>
      </c>
      <c r="I175" s="36" t="n">
        <f aca="false">IF(AND(ISNUMBER(I174),ISNUMBER(H174)),I174-H174,"")</f>
        <v>1</v>
      </c>
      <c r="J175" s="36" t="n">
        <f aca="false">IF(AND(ISNUMBER(J174),ISNUMBER(I174)),J174-I174,"")</f>
        <v>0</v>
      </c>
      <c r="K175" s="36" t="n">
        <f aca="false">IF(AND(ISNUMBER(K174),ISNUMBER(J174)),K174-J174,"")</f>
        <v>0</v>
      </c>
      <c r="L175" s="36" t="n">
        <f aca="false">IF(AND(ISNUMBER(L174),ISNUMBER(K174)),L174-K174,"")</f>
        <v>0</v>
      </c>
      <c r="M175" s="36" t="n">
        <f aca="false">IF(AND(ISNUMBER(M174),ISNUMBER(L174)),M174-L174,"")</f>
        <v>0</v>
      </c>
      <c r="N175" s="36" t="n">
        <f aca="false">IF(AND(ISNUMBER(N174),ISNUMBER(M174)),N174-M174,"")</f>
        <v>0</v>
      </c>
      <c r="O175" s="36" t="n">
        <f aca="false">IF(AND(ISNUMBER(O174),ISNUMBER(N174)),O174-N174,"")</f>
        <v>0</v>
      </c>
      <c r="P175" s="36" t="n">
        <f aca="false">IF(AND(ISNUMBER(P174),ISNUMBER(O174)),P174-O174,"")</f>
        <v>0</v>
      </c>
      <c r="Q175" s="36" t="n">
        <f aca="false">IF(AND(ISNUMBER(Q174),ISNUMBER(P174)),Q174-P174,"")</f>
        <v>0</v>
      </c>
      <c r="R175" s="36" t="n">
        <f aca="false">IF(AND(ISNUMBER(R174),ISNUMBER(Q174)),R174-Q174,"")</f>
        <v>0</v>
      </c>
      <c r="S175" s="36" t="n">
        <f aca="false">IF(AND(ISNUMBER(S174),ISNUMBER(R174)),S174-R174,"")</f>
        <v>0</v>
      </c>
    </row>
    <row r="176" customFormat="false" ht="22.35" hidden="false" customHeight="false" outlineLevel="0" collapsed="false">
      <c r="A176" s="8" t="s">
        <v>182</v>
      </c>
      <c r="B176" s="9" t="s">
        <v>190</v>
      </c>
      <c r="C176" s="14" t="s">
        <v>94</v>
      </c>
      <c r="D176" s="12" t="s">
        <v>81</v>
      </c>
      <c r="E176" s="7" t="s">
        <v>43</v>
      </c>
      <c r="F176" s="6" t="s">
        <v>32</v>
      </c>
      <c r="G176" s="21" t="s">
        <v>77</v>
      </c>
      <c r="H176" s="36" t="str">
        <f aca="false">IF(AND(ISNUMBER(H175),ISNUMBER(H44)),H175*H44,"")</f>
        <v/>
      </c>
      <c r="I176" s="36" t="str">
        <f aca="false">IF(AND(ISNUMBER(I175),ISNUMBER(I44)),I175*I44,"")</f>
        <v/>
      </c>
      <c r="J176" s="36" t="str">
        <f aca="false">IF(AND(ISNUMBER(J175),ISNUMBER(J44)),J175*J44,"")</f>
        <v/>
      </c>
      <c r="K176" s="36" t="str">
        <f aca="false">IF(AND(ISNUMBER(K175),ISNUMBER(K44)),K175*K44,"")</f>
        <v/>
      </c>
      <c r="L176" s="36" t="str">
        <f aca="false">IF(AND(ISNUMBER(L175),ISNUMBER(L44)),L175*L44,"")</f>
        <v/>
      </c>
      <c r="M176" s="36" t="str">
        <f aca="false">IF(AND(ISNUMBER(M175),ISNUMBER(M44)),M175*M44,"")</f>
        <v/>
      </c>
      <c r="N176" s="36" t="str">
        <f aca="false">IF(AND(ISNUMBER(N175),ISNUMBER(N44)),N175*N44,"")</f>
        <v/>
      </c>
      <c r="O176" s="36" t="str">
        <f aca="false">IF(AND(ISNUMBER(O175),ISNUMBER(O44)),O175*O44,"")</f>
        <v/>
      </c>
      <c r="P176" s="36" t="str">
        <f aca="false">IF(AND(ISNUMBER(P175),ISNUMBER(P44)),P175*P44,"")</f>
        <v/>
      </c>
      <c r="Q176" s="36" t="str">
        <f aca="false">IF(AND(ISNUMBER(Q175),ISNUMBER(Q44)),Q175*Q44,"")</f>
        <v/>
      </c>
      <c r="R176" s="36" t="str">
        <f aca="false">IF(AND(ISNUMBER(R175),ISNUMBER(R44)),R175*R44,"")</f>
        <v/>
      </c>
      <c r="S176" s="36" t="str">
        <f aca="false">IF(AND(ISNUMBER(S175),ISNUMBER(S44)),S175*S44,"")</f>
        <v/>
      </c>
    </row>
    <row r="177" customFormat="false" ht="22.35" hidden="false" customHeight="false" outlineLevel="0" collapsed="false">
      <c r="A177" s="8" t="s">
        <v>182</v>
      </c>
      <c r="B177" s="9" t="s">
        <v>187</v>
      </c>
      <c r="C177" s="14" t="s">
        <v>95</v>
      </c>
      <c r="D177" s="12" t="s">
        <v>188</v>
      </c>
      <c r="E177" s="7" t="s">
        <v>55</v>
      </c>
      <c r="F177" s="6" t="s">
        <v>185</v>
      </c>
      <c r="G177" s="21" t="s">
        <v>154</v>
      </c>
      <c r="H177" s="27" t="n">
        <v>0</v>
      </c>
      <c r="I177" s="28" t="n">
        <v>0</v>
      </c>
      <c r="J177" s="29" t="n">
        <f aca="false">I177</f>
        <v>0</v>
      </c>
      <c r="K177" s="29" t="n">
        <f aca="false">J177</f>
        <v>0</v>
      </c>
      <c r="L177" s="29" t="n">
        <f aca="false">K177</f>
        <v>0</v>
      </c>
      <c r="M177" s="29" t="n">
        <f aca="false">L177</f>
        <v>0</v>
      </c>
      <c r="N177" s="29" t="n">
        <f aca="false">M177</f>
        <v>0</v>
      </c>
      <c r="O177" s="29" t="n">
        <f aca="false">N177</f>
        <v>0</v>
      </c>
      <c r="P177" s="29" t="n">
        <f aca="false">O177</f>
        <v>0</v>
      </c>
      <c r="Q177" s="29" t="n">
        <f aca="false">P177</f>
        <v>0</v>
      </c>
      <c r="R177" s="29" t="n">
        <f aca="false">Q177</f>
        <v>0</v>
      </c>
      <c r="S177" s="29" t="n">
        <f aca="false">R177</f>
        <v>0</v>
      </c>
    </row>
    <row r="178" customFormat="false" ht="22.35" hidden="false" customHeight="false" outlineLevel="0" collapsed="false">
      <c r="A178" s="8" t="s">
        <v>182</v>
      </c>
      <c r="B178" s="9" t="s">
        <v>189</v>
      </c>
      <c r="C178" s="14" t="s">
        <v>95</v>
      </c>
      <c r="D178" s="12" t="s">
        <v>188</v>
      </c>
      <c r="E178" s="7" t="s">
        <v>43</v>
      </c>
      <c r="F178" s="6" t="s">
        <v>39</v>
      </c>
      <c r="G178" s="21" t="s">
        <v>77</v>
      </c>
      <c r="H178" s="36" t="str">
        <f aca="false">IF(AND(ISNUMBER(H177),ISNUMBER(G177)),H177-G177,"")</f>
        <v/>
      </c>
      <c r="I178" s="36" t="n">
        <f aca="false">IF(AND(ISNUMBER(I177),ISNUMBER(H177)),I177-H177,"")</f>
        <v>0</v>
      </c>
      <c r="J178" s="36" t="n">
        <f aca="false">IF(AND(ISNUMBER(J177),ISNUMBER(I177)),J177-I177,"")</f>
        <v>0</v>
      </c>
      <c r="K178" s="36" t="n">
        <f aca="false">IF(AND(ISNUMBER(K177),ISNUMBER(J177)),K177-J177,"")</f>
        <v>0</v>
      </c>
      <c r="L178" s="36" t="n">
        <f aca="false">IF(AND(ISNUMBER(L177),ISNUMBER(K177)),L177-K177,"")</f>
        <v>0</v>
      </c>
      <c r="M178" s="36" t="n">
        <f aca="false">IF(AND(ISNUMBER(M177),ISNUMBER(L177)),M177-L177,"")</f>
        <v>0</v>
      </c>
      <c r="N178" s="36" t="n">
        <f aca="false">IF(AND(ISNUMBER(N177),ISNUMBER(M177)),N177-M177,"")</f>
        <v>0</v>
      </c>
      <c r="O178" s="36" t="n">
        <f aca="false">IF(AND(ISNUMBER(O177),ISNUMBER(N177)),O177-N177,"")</f>
        <v>0</v>
      </c>
      <c r="P178" s="36" t="n">
        <f aca="false">IF(AND(ISNUMBER(P177),ISNUMBER(O177)),P177-O177,"")</f>
        <v>0</v>
      </c>
      <c r="Q178" s="36" t="n">
        <f aca="false">IF(AND(ISNUMBER(Q177),ISNUMBER(P177)),Q177-P177,"")</f>
        <v>0</v>
      </c>
      <c r="R178" s="36" t="n">
        <f aca="false">IF(AND(ISNUMBER(R177),ISNUMBER(Q177)),R177-Q177,"")</f>
        <v>0</v>
      </c>
      <c r="S178" s="36" t="n">
        <f aca="false">IF(AND(ISNUMBER(S177),ISNUMBER(R177)),S177-R177,"")</f>
        <v>0</v>
      </c>
    </row>
    <row r="179" customFormat="false" ht="22.35" hidden="false" customHeight="false" outlineLevel="0" collapsed="false">
      <c r="A179" s="8" t="s">
        <v>182</v>
      </c>
      <c r="B179" s="9" t="s">
        <v>190</v>
      </c>
      <c r="C179" s="14" t="s">
        <v>95</v>
      </c>
      <c r="D179" s="12" t="s">
        <v>81</v>
      </c>
      <c r="E179" s="7" t="s">
        <v>43</v>
      </c>
      <c r="F179" s="6" t="s">
        <v>32</v>
      </c>
      <c r="G179" s="21" t="s">
        <v>77</v>
      </c>
      <c r="H179" s="36" t="str">
        <f aca="false">IF(AND(ISNUMBER(H178),ISNUMBER(H45)),H178*H45,"")</f>
        <v/>
      </c>
      <c r="I179" s="36" t="str">
        <f aca="false">IF(AND(ISNUMBER(I178),ISNUMBER(I45)),I178*I45,"")</f>
        <v/>
      </c>
      <c r="J179" s="36" t="str">
        <f aca="false">IF(AND(ISNUMBER(J178),ISNUMBER(J45)),J178*J45,"")</f>
        <v/>
      </c>
      <c r="K179" s="36" t="str">
        <f aca="false">IF(AND(ISNUMBER(K178),ISNUMBER(K45)),K178*K45,"")</f>
        <v/>
      </c>
      <c r="L179" s="36" t="str">
        <f aca="false">IF(AND(ISNUMBER(L178),ISNUMBER(L45)),L178*L45,"")</f>
        <v/>
      </c>
      <c r="M179" s="36" t="str">
        <f aca="false">IF(AND(ISNUMBER(M178),ISNUMBER(M45)),M178*M45,"")</f>
        <v/>
      </c>
      <c r="N179" s="36" t="str">
        <f aca="false">IF(AND(ISNUMBER(N178),ISNUMBER(N45)),N178*N45,"")</f>
        <v/>
      </c>
      <c r="O179" s="36" t="str">
        <f aca="false">IF(AND(ISNUMBER(O178),ISNUMBER(O45)),O178*O45,"")</f>
        <v/>
      </c>
      <c r="P179" s="36" t="str">
        <f aca="false">IF(AND(ISNUMBER(P178),ISNUMBER(P45)),P178*P45,"")</f>
        <v/>
      </c>
      <c r="Q179" s="36" t="str">
        <f aca="false">IF(AND(ISNUMBER(Q178),ISNUMBER(Q45)),Q178*Q45,"")</f>
        <v/>
      </c>
      <c r="R179" s="36" t="str">
        <f aca="false">IF(AND(ISNUMBER(R178),ISNUMBER(R45)),R178*R45,"")</f>
        <v/>
      </c>
      <c r="S179" s="36" t="str">
        <f aca="false">IF(AND(ISNUMBER(S178),ISNUMBER(S45)),S178*S45,"")</f>
        <v/>
      </c>
    </row>
    <row r="180" customFormat="false" ht="22.35" hidden="false" customHeight="false" outlineLevel="0" collapsed="false">
      <c r="A180" s="8" t="s">
        <v>182</v>
      </c>
      <c r="B180" s="9" t="s">
        <v>187</v>
      </c>
      <c r="C180" s="14" t="s">
        <v>97</v>
      </c>
      <c r="D180" s="12" t="s">
        <v>188</v>
      </c>
      <c r="E180" s="7" t="s">
        <v>55</v>
      </c>
      <c r="F180" s="6" t="s">
        <v>185</v>
      </c>
      <c r="G180" s="21" t="s">
        <v>154</v>
      </c>
      <c r="H180" s="27" t="n">
        <v>0</v>
      </c>
      <c r="I180" s="28" t="n">
        <v>0</v>
      </c>
      <c r="J180" s="29" t="n">
        <f aca="false">I180</f>
        <v>0</v>
      </c>
      <c r="K180" s="29" t="n">
        <f aca="false">J180</f>
        <v>0</v>
      </c>
      <c r="L180" s="29" t="n">
        <f aca="false">K180</f>
        <v>0</v>
      </c>
      <c r="M180" s="29" t="n">
        <f aca="false">L180</f>
        <v>0</v>
      </c>
      <c r="N180" s="29" t="n">
        <f aca="false">M180</f>
        <v>0</v>
      </c>
      <c r="O180" s="29" t="n">
        <f aca="false">N180</f>
        <v>0</v>
      </c>
      <c r="P180" s="29" t="n">
        <f aca="false">O180</f>
        <v>0</v>
      </c>
      <c r="Q180" s="29" t="n">
        <f aca="false">P180</f>
        <v>0</v>
      </c>
      <c r="R180" s="29" t="n">
        <f aca="false">Q180</f>
        <v>0</v>
      </c>
      <c r="S180" s="29" t="n">
        <f aca="false">R180</f>
        <v>0</v>
      </c>
    </row>
    <row r="181" customFormat="false" ht="22.35" hidden="false" customHeight="false" outlineLevel="0" collapsed="false">
      <c r="A181" s="8" t="s">
        <v>182</v>
      </c>
      <c r="B181" s="9" t="s">
        <v>189</v>
      </c>
      <c r="C181" s="14" t="s">
        <v>97</v>
      </c>
      <c r="D181" s="12" t="s">
        <v>188</v>
      </c>
      <c r="E181" s="7" t="s">
        <v>43</v>
      </c>
      <c r="F181" s="6" t="s">
        <v>39</v>
      </c>
      <c r="G181" s="21" t="s">
        <v>77</v>
      </c>
      <c r="H181" s="36" t="str">
        <f aca="false">IF(AND(ISNUMBER(H180),ISNUMBER(G180)),H180-G180,"")</f>
        <v/>
      </c>
      <c r="I181" s="36" t="n">
        <f aca="false">IF(AND(ISNUMBER(I180),ISNUMBER(H180)),I180-H180,"")</f>
        <v>0</v>
      </c>
      <c r="J181" s="36" t="n">
        <f aca="false">IF(AND(ISNUMBER(J180),ISNUMBER(I180)),J180-I180,"")</f>
        <v>0</v>
      </c>
      <c r="K181" s="36" t="n">
        <f aca="false">IF(AND(ISNUMBER(K180),ISNUMBER(J180)),K180-J180,"")</f>
        <v>0</v>
      </c>
      <c r="L181" s="36" t="n">
        <f aca="false">IF(AND(ISNUMBER(L180),ISNUMBER(K180)),L180-K180,"")</f>
        <v>0</v>
      </c>
      <c r="M181" s="36" t="n">
        <f aca="false">IF(AND(ISNUMBER(M180),ISNUMBER(L180)),M180-L180,"")</f>
        <v>0</v>
      </c>
      <c r="N181" s="36" t="n">
        <f aca="false">IF(AND(ISNUMBER(N180),ISNUMBER(M180)),N180-M180,"")</f>
        <v>0</v>
      </c>
      <c r="O181" s="36" t="n">
        <f aca="false">IF(AND(ISNUMBER(O180),ISNUMBER(N180)),O180-N180,"")</f>
        <v>0</v>
      </c>
      <c r="P181" s="36" t="n">
        <f aca="false">IF(AND(ISNUMBER(P180),ISNUMBER(O180)),P180-O180,"")</f>
        <v>0</v>
      </c>
      <c r="Q181" s="36" t="n">
        <f aca="false">IF(AND(ISNUMBER(Q180),ISNUMBER(P180)),Q180-P180,"")</f>
        <v>0</v>
      </c>
      <c r="R181" s="36" t="n">
        <f aca="false">IF(AND(ISNUMBER(R180),ISNUMBER(Q180)),R180-Q180,"")</f>
        <v>0</v>
      </c>
      <c r="S181" s="36" t="n">
        <f aca="false">IF(AND(ISNUMBER(S180),ISNUMBER(R180)),S180-R180,"")</f>
        <v>0</v>
      </c>
    </row>
    <row r="182" customFormat="false" ht="22.35" hidden="false" customHeight="false" outlineLevel="0" collapsed="false">
      <c r="A182" s="8" t="s">
        <v>182</v>
      </c>
      <c r="B182" s="9" t="s">
        <v>190</v>
      </c>
      <c r="C182" s="14" t="s">
        <v>97</v>
      </c>
      <c r="D182" s="12" t="s">
        <v>81</v>
      </c>
      <c r="E182" s="7" t="s">
        <v>43</v>
      </c>
      <c r="F182" s="6" t="s">
        <v>32</v>
      </c>
      <c r="G182" s="21" t="s">
        <v>77</v>
      </c>
      <c r="H182" s="36" t="str">
        <f aca="false">IF(AND(ISNUMBER(H181),ISNUMBER(H46)),H181*H46,"")</f>
        <v/>
      </c>
      <c r="I182" s="36" t="str">
        <f aca="false">IF(AND(ISNUMBER(I181),ISNUMBER(I46)),I181*I46,"")</f>
        <v/>
      </c>
      <c r="J182" s="36" t="str">
        <f aca="false">IF(AND(ISNUMBER(J181),ISNUMBER(J46)),J181*J46,"")</f>
        <v/>
      </c>
      <c r="K182" s="36" t="str">
        <f aca="false">IF(AND(ISNUMBER(K181),ISNUMBER(K46)),K181*K46,"")</f>
        <v/>
      </c>
      <c r="L182" s="36" t="str">
        <f aca="false">IF(AND(ISNUMBER(L181),ISNUMBER(L46)),L181*L46,"")</f>
        <v/>
      </c>
      <c r="M182" s="36" t="str">
        <f aca="false">IF(AND(ISNUMBER(M181),ISNUMBER(M46)),M181*M46,"")</f>
        <v/>
      </c>
      <c r="N182" s="36" t="str">
        <f aca="false">IF(AND(ISNUMBER(N181),ISNUMBER(N46)),N181*N46,"")</f>
        <v/>
      </c>
      <c r="O182" s="36" t="str">
        <f aca="false">IF(AND(ISNUMBER(O181),ISNUMBER(O46)),O181*O46,"")</f>
        <v/>
      </c>
      <c r="P182" s="36" t="str">
        <f aca="false">IF(AND(ISNUMBER(P181),ISNUMBER(P46)),P181*P46,"")</f>
        <v/>
      </c>
      <c r="Q182" s="36" t="str">
        <f aca="false">IF(AND(ISNUMBER(Q181),ISNUMBER(Q46)),Q181*Q46,"")</f>
        <v/>
      </c>
      <c r="R182" s="36" t="str">
        <f aca="false">IF(AND(ISNUMBER(R181),ISNUMBER(R46)),R181*R46,"")</f>
        <v/>
      </c>
      <c r="S182" s="36" t="str">
        <f aca="false">IF(AND(ISNUMBER(S181),ISNUMBER(S46)),S181*S46,"")</f>
        <v/>
      </c>
    </row>
    <row r="184" customFormat="false" ht="15" hidden="false" customHeight="false" outlineLevel="0" collapsed="false">
      <c r="A184" s="5" t="s">
        <v>191</v>
      </c>
      <c r="B184" s="5"/>
      <c r="C184" s="5"/>
      <c r="D184" s="5"/>
      <c r="E184" s="5"/>
      <c r="F184" s="5"/>
      <c r="G184" s="5"/>
      <c r="H184" s="5"/>
      <c r="I184" s="5"/>
      <c r="J184" s="5"/>
      <c r="K184" s="5"/>
      <c r="L184" s="5"/>
      <c r="M184" s="5"/>
      <c r="N184" s="5"/>
      <c r="O184" s="5"/>
      <c r="P184" s="5"/>
      <c r="Q184" s="5"/>
      <c r="R184" s="5"/>
      <c r="S184" s="5"/>
    </row>
    <row r="185" customFormat="false" ht="15" hidden="false" customHeight="false" outlineLevel="0" collapsed="false">
      <c r="A185" s="8" t="s">
        <v>192</v>
      </c>
      <c r="B185" s="9" t="s">
        <v>193</v>
      </c>
      <c r="C185" s="14" t="s">
        <v>128</v>
      </c>
      <c r="D185" s="12" t="s">
        <v>81</v>
      </c>
      <c r="E185" s="7" t="s">
        <v>55</v>
      </c>
      <c r="F185" s="6"/>
      <c r="G185" s="21" t="s">
        <v>154</v>
      </c>
      <c r="H185" s="21" t="s">
        <v>154</v>
      </c>
      <c r="I185" s="31" t="n">
        <v>22500</v>
      </c>
      <c r="J185" s="31"/>
      <c r="K185" s="31"/>
      <c r="L185" s="31"/>
      <c r="M185" s="31"/>
      <c r="N185" s="31"/>
      <c r="O185" s="31"/>
      <c r="P185" s="31"/>
      <c r="Q185" s="31"/>
      <c r="R185" s="31"/>
      <c r="S185" s="31"/>
    </row>
    <row r="186" customFormat="false" ht="15" hidden="false" customHeight="false" outlineLevel="0" collapsed="false">
      <c r="A186" s="8" t="s">
        <v>192</v>
      </c>
      <c r="B186" s="9" t="s">
        <v>194</v>
      </c>
      <c r="C186" s="14" t="s">
        <v>128</v>
      </c>
      <c r="D186" s="12" t="s">
        <v>81</v>
      </c>
      <c r="E186" s="7" t="s">
        <v>55</v>
      </c>
      <c r="F186" s="6"/>
      <c r="G186" s="21" t="s">
        <v>154</v>
      </c>
      <c r="H186" s="21" t="s">
        <v>154</v>
      </c>
      <c r="I186" s="28" t="n">
        <v>600000000</v>
      </c>
      <c r="J186" s="28"/>
      <c r="K186" s="28"/>
      <c r="L186" s="28"/>
      <c r="M186" s="28"/>
      <c r="N186" s="28"/>
      <c r="O186" s="28"/>
      <c r="P186" s="28"/>
      <c r="Q186" s="28"/>
      <c r="R186" s="28"/>
      <c r="S186" s="28"/>
    </row>
    <row r="187" customFormat="false" ht="15" hidden="false" customHeight="false" outlineLevel="0" collapsed="false">
      <c r="A187" s="8" t="s">
        <v>192</v>
      </c>
      <c r="B187" s="9" t="s">
        <v>195</v>
      </c>
      <c r="C187" s="14" t="s">
        <v>128</v>
      </c>
      <c r="D187" s="12" t="s">
        <v>196</v>
      </c>
      <c r="E187" s="7" t="s">
        <v>55</v>
      </c>
      <c r="F187" s="6"/>
      <c r="G187" s="21" t="s">
        <v>154</v>
      </c>
      <c r="H187" s="21" t="s">
        <v>154</v>
      </c>
      <c r="I187" s="17" t="s">
        <v>44</v>
      </c>
      <c r="J187" s="17"/>
      <c r="K187" s="17"/>
      <c r="L187" s="17"/>
      <c r="M187" s="17"/>
      <c r="N187" s="17"/>
      <c r="O187" s="17"/>
      <c r="P187" s="17"/>
      <c r="Q187" s="17"/>
      <c r="R187" s="17"/>
      <c r="S187" s="17"/>
    </row>
    <row r="188" customFormat="false" ht="15" hidden="false" customHeight="false" outlineLevel="0" collapsed="false">
      <c r="A188" s="8" t="s">
        <v>192</v>
      </c>
      <c r="B188" s="9" t="s">
        <v>197</v>
      </c>
      <c r="C188" s="14" t="s">
        <v>128</v>
      </c>
      <c r="D188" s="12" t="s">
        <v>188</v>
      </c>
      <c r="E188" s="7" t="s">
        <v>55</v>
      </c>
      <c r="F188" s="6" t="s">
        <v>198</v>
      </c>
      <c r="G188" s="21" t="s">
        <v>154</v>
      </c>
      <c r="H188" s="21" t="s">
        <v>154</v>
      </c>
      <c r="I188" s="28" t="n">
        <v>8</v>
      </c>
      <c r="J188" s="28"/>
      <c r="K188" s="28"/>
      <c r="L188" s="28"/>
      <c r="M188" s="28"/>
      <c r="N188" s="28"/>
      <c r="O188" s="28"/>
      <c r="P188" s="28"/>
      <c r="Q188" s="28"/>
      <c r="R188" s="28"/>
      <c r="S188" s="28"/>
    </row>
    <row r="189" customFormat="false" ht="15" hidden="false" customHeight="false" outlineLevel="0" collapsed="false">
      <c r="A189" s="8" t="s">
        <v>192</v>
      </c>
      <c r="B189" s="9" t="s">
        <v>193</v>
      </c>
      <c r="C189" s="14" t="s">
        <v>130</v>
      </c>
      <c r="D189" s="12" t="s">
        <v>81</v>
      </c>
      <c r="E189" s="7" t="s">
        <v>55</v>
      </c>
      <c r="F189" s="6"/>
      <c r="G189" s="21" t="s">
        <v>154</v>
      </c>
      <c r="H189" s="21" t="s">
        <v>154</v>
      </c>
      <c r="I189" s="31" t="n">
        <v>28000</v>
      </c>
      <c r="J189" s="31"/>
      <c r="K189" s="31"/>
      <c r="L189" s="31"/>
      <c r="M189" s="31"/>
      <c r="N189" s="31"/>
      <c r="O189" s="31"/>
      <c r="P189" s="31"/>
      <c r="Q189" s="31"/>
      <c r="R189" s="31"/>
      <c r="S189" s="31"/>
    </row>
    <row r="190" customFormat="false" ht="15" hidden="false" customHeight="false" outlineLevel="0" collapsed="false">
      <c r="A190" s="8" t="s">
        <v>192</v>
      </c>
      <c r="B190" s="9" t="s">
        <v>194</v>
      </c>
      <c r="C190" s="14" t="s">
        <v>130</v>
      </c>
      <c r="D190" s="12" t="s">
        <v>81</v>
      </c>
      <c r="E190" s="7" t="s">
        <v>55</v>
      </c>
      <c r="F190" s="6"/>
      <c r="G190" s="21" t="s">
        <v>154</v>
      </c>
      <c r="H190" s="21" t="s">
        <v>154</v>
      </c>
      <c r="I190" s="28" t="n">
        <v>500000000</v>
      </c>
      <c r="J190" s="28"/>
      <c r="K190" s="28"/>
      <c r="L190" s="28"/>
      <c r="M190" s="28"/>
      <c r="N190" s="28"/>
      <c r="O190" s="28"/>
      <c r="P190" s="28"/>
      <c r="Q190" s="28"/>
      <c r="R190" s="28"/>
      <c r="S190" s="28"/>
    </row>
    <row r="191" customFormat="false" ht="15" hidden="false" customHeight="false" outlineLevel="0" collapsed="false">
      <c r="A191" s="8" t="s">
        <v>192</v>
      </c>
      <c r="B191" s="9" t="s">
        <v>195</v>
      </c>
      <c r="C191" s="14" t="s">
        <v>130</v>
      </c>
      <c r="D191" s="12" t="s">
        <v>196</v>
      </c>
      <c r="E191" s="7" t="s">
        <v>55</v>
      </c>
      <c r="F191" s="6"/>
      <c r="G191" s="21" t="s">
        <v>154</v>
      </c>
      <c r="H191" s="21" t="s">
        <v>154</v>
      </c>
      <c r="I191" s="17" t="s">
        <v>44</v>
      </c>
      <c r="J191" s="17"/>
      <c r="K191" s="17"/>
      <c r="L191" s="17"/>
      <c r="M191" s="17"/>
      <c r="N191" s="17"/>
      <c r="O191" s="17"/>
      <c r="P191" s="17"/>
      <c r="Q191" s="17"/>
      <c r="R191" s="17"/>
      <c r="S191" s="17"/>
    </row>
    <row r="192" customFormat="false" ht="15" hidden="false" customHeight="false" outlineLevel="0" collapsed="false">
      <c r="A192" s="8" t="s">
        <v>192</v>
      </c>
      <c r="B192" s="9" t="s">
        <v>197</v>
      </c>
      <c r="C192" s="14" t="s">
        <v>130</v>
      </c>
      <c r="D192" s="12" t="s">
        <v>188</v>
      </c>
      <c r="E192" s="7" t="s">
        <v>55</v>
      </c>
      <c r="F192" s="6" t="s">
        <v>198</v>
      </c>
      <c r="G192" s="21" t="s">
        <v>154</v>
      </c>
      <c r="H192" s="21" t="s">
        <v>154</v>
      </c>
      <c r="I192" s="28" t="n">
        <v>3</v>
      </c>
      <c r="J192" s="28"/>
      <c r="K192" s="28"/>
      <c r="L192" s="28"/>
      <c r="M192" s="28"/>
      <c r="N192" s="28"/>
      <c r="O192" s="28"/>
      <c r="P192" s="28"/>
      <c r="Q192" s="28"/>
      <c r="R192" s="28"/>
      <c r="S192" s="28"/>
    </row>
    <row r="193" customFormat="false" ht="15" hidden="false" customHeight="false" outlineLevel="0" collapsed="false">
      <c r="A193" s="8" t="s">
        <v>192</v>
      </c>
      <c r="B193" s="9" t="s">
        <v>193</v>
      </c>
      <c r="C193" s="14" t="s">
        <v>131</v>
      </c>
      <c r="D193" s="12" t="s">
        <v>81</v>
      </c>
      <c r="E193" s="7" t="s">
        <v>55</v>
      </c>
      <c r="F193" s="6"/>
      <c r="G193" s="21" t="s">
        <v>154</v>
      </c>
      <c r="H193" s="21" t="s">
        <v>154</v>
      </c>
      <c r="I193" s="31"/>
      <c r="J193" s="31"/>
      <c r="K193" s="31"/>
      <c r="L193" s="31"/>
      <c r="M193" s="31"/>
      <c r="N193" s="31"/>
      <c r="O193" s="31"/>
      <c r="P193" s="31"/>
      <c r="Q193" s="31"/>
      <c r="R193" s="31"/>
      <c r="S193" s="31"/>
    </row>
    <row r="194" customFormat="false" ht="15" hidden="false" customHeight="false" outlineLevel="0" collapsed="false">
      <c r="A194" s="8" t="s">
        <v>192</v>
      </c>
      <c r="B194" s="9" t="s">
        <v>194</v>
      </c>
      <c r="C194" s="14" t="s">
        <v>131</v>
      </c>
      <c r="D194" s="12" t="s">
        <v>81</v>
      </c>
      <c r="E194" s="7" t="s">
        <v>55</v>
      </c>
      <c r="F194" s="6"/>
      <c r="G194" s="21" t="s">
        <v>154</v>
      </c>
      <c r="H194" s="21" t="s">
        <v>154</v>
      </c>
      <c r="I194" s="28"/>
      <c r="J194" s="28"/>
      <c r="K194" s="28"/>
      <c r="L194" s="28"/>
      <c r="M194" s="28"/>
      <c r="N194" s="28"/>
      <c r="O194" s="28"/>
      <c r="P194" s="28"/>
      <c r="Q194" s="28"/>
      <c r="R194" s="28"/>
      <c r="S194" s="28"/>
    </row>
    <row r="195" customFormat="false" ht="15" hidden="false" customHeight="false" outlineLevel="0" collapsed="false">
      <c r="A195" s="8" t="s">
        <v>192</v>
      </c>
      <c r="B195" s="9" t="s">
        <v>195</v>
      </c>
      <c r="C195" s="14" t="s">
        <v>131</v>
      </c>
      <c r="D195" s="12" t="s">
        <v>196</v>
      </c>
      <c r="E195" s="7" t="s">
        <v>55</v>
      </c>
      <c r="F195" s="6"/>
      <c r="G195" s="21" t="s">
        <v>154</v>
      </c>
      <c r="H195" s="21" t="s">
        <v>154</v>
      </c>
      <c r="I195" s="17"/>
      <c r="J195" s="17"/>
      <c r="K195" s="17"/>
      <c r="L195" s="17"/>
      <c r="M195" s="17"/>
      <c r="N195" s="17"/>
      <c r="O195" s="17"/>
      <c r="P195" s="17"/>
      <c r="Q195" s="17"/>
      <c r="R195" s="17"/>
      <c r="S195" s="17"/>
    </row>
    <row r="196" customFormat="false" ht="15" hidden="false" customHeight="false" outlineLevel="0" collapsed="false">
      <c r="A196" s="8" t="s">
        <v>192</v>
      </c>
      <c r="B196" s="9" t="s">
        <v>197</v>
      </c>
      <c r="C196" s="14" t="s">
        <v>131</v>
      </c>
      <c r="D196" s="12" t="s">
        <v>188</v>
      </c>
      <c r="E196" s="7" t="s">
        <v>55</v>
      </c>
      <c r="F196" s="6" t="s">
        <v>198</v>
      </c>
      <c r="G196" s="21" t="s">
        <v>154</v>
      </c>
      <c r="H196" s="21" t="s">
        <v>154</v>
      </c>
      <c r="I196" s="28" t="n">
        <v>0</v>
      </c>
      <c r="J196" s="28"/>
      <c r="K196" s="28"/>
      <c r="L196" s="28"/>
      <c r="M196" s="28"/>
      <c r="N196" s="28"/>
      <c r="O196" s="28"/>
      <c r="P196" s="28"/>
      <c r="Q196" s="28"/>
      <c r="R196" s="28"/>
      <c r="S196" s="28"/>
    </row>
    <row r="197" customFormat="false" ht="15" hidden="false" customHeight="false" outlineLevel="0" collapsed="false">
      <c r="A197" s="8" t="s">
        <v>192</v>
      </c>
      <c r="B197" s="9" t="s">
        <v>193</v>
      </c>
      <c r="C197" s="14" t="s">
        <v>132</v>
      </c>
      <c r="D197" s="12" t="s">
        <v>81</v>
      </c>
      <c r="E197" s="7" t="s">
        <v>55</v>
      </c>
      <c r="F197" s="6"/>
      <c r="G197" s="21" t="s">
        <v>154</v>
      </c>
      <c r="H197" s="21" t="s">
        <v>154</v>
      </c>
      <c r="I197" s="31"/>
      <c r="J197" s="31"/>
      <c r="K197" s="31"/>
      <c r="L197" s="31"/>
      <c r="M197" s="31"/>
      <c r="N197" s="31"/>
      <c r="O197" s="31"/>
      <c r="P197" s="31"/>
      <c r="Q197" s="31"/>
      <c r="R197" s="31"/>
      <c r="S197" s="31"/>
    </row>
    <row r="198" customFormat="false" ht="15" hidden="false" customHeight="false" outlineLevel="0" collapsed="false">
      <c r="A198" s="8" t="s">
        <v>192</v>
      </c>
      <c r="B198" s="9" t="s">
        <v>194</v>
      </c>
      <c r="C198" s="14" t="s">
        <v>132</v>
      </c>
      <c r="D198" s="12" t="s">
        <v>81</v>
      </c>
      <c r="E198" s="7" t="s">
        <v>55</v>
      </c>
      <c r="F198" s="6"/>
      <c r="G198" s="21" t="s">
        <v>154</v>
      </c>
      <c r="H198" s="21" t="s">
        <v>154</v>
      </c>
      <c r="I198" s="28"/>
      <c r="J198" s="28"/>
      <c r="K198" s="28"/>
      <c r="L198" s="28"/>
      <c r="M198" s="28"/>
      <c r="N198" s="28"/>
      <c r="O198" s="28"/>
      <c r="P198" s="28"/>
      <c r="Q198" s="28"/>
      <c r="R198" s="28"/>
      <c r="S198" s="28"/>
    </row>
    <row r="199" customFormat="false" ht="15" hidden="false" customHeight="false" outlineLevel="0" collapsed="false">
      <c r="A199" s="8" t="s">
        <v>192</v>
      </c>
      <c r="B199" s="9" t="s">
        <v>195</v>
      </c>
      <c r="C199" s="14" t="s">
        <v>132</v>
      </c>
      <c r="D199" s="12" t="s">
        <v>196</v>
      </c>
      <c r="E199" s="7" t="s">
        <v>55</v>
      </c>
      <c r="F199" s="6"/>
      <c r="G199" s="21" t="s">
        <v>154</v>
      </c>
      <c r="H199" s="21" t="s">
        <v>154</v>
      </c>
      <c r="I199" s="17"/>
      <c r="J199" s="17"/>
      <c r="K199" s="17"/>
      <c r="L199" s="17"/>
      <c r="M199" s="17"/>
      <c r="N199" s="17"/>
      <c r="O199" s="17"/>
      <c r="P199" s="17"/>
      <c r="Q199" s="17"/>
      <c r="R199" s="17"/>
      <c r="S199" s="17"/>
    </row>
    <row r="200" customFormat="false" ht="15" hidden="false" customHeight="false" outlineLevel="0" collapsed="false">
      <c r="A200" s="8" t="s">
        <v>192</v>
      </c>
      <c r="B200" s="9" t="s">
        <v>197</v>
      </c>
      <c r="C200" s="14" t="s">
        <v>132</v>
      </c>
      <c r="D200" s="12" t="s">
        <v>188</v>
      </c>
      <c r="E200" s="7" t="s">
        <v>55</v>
      </c>
      <c r="F200" s="6" t="s">
        <v>198</v>
      </c>
      <c r="G200" s="21" t="s">
        <v>154</v>
      </c>
      <c r="H200" s="21" t="s">
        <v>154</v>
      </c>
      <c r="I200" s="28" t="n">
        <v>0</v>
      </c>
      <c r="J200" s="28"/>
      <c r="K200" s="28"/>
      <c r="L200" s="28"/>
      <c r="M200" s="28"/>
      <c r="N200" s="28"/>
      <c r="O200" s="28"/>
      <c r="P200" s="28"/>
      <c r="Q200" s="28"/>
      <c r="R200" s="28"/>
      <c r="S200" s="28"/>
    </row>
    <row r="201" customFormat="false" ht="15" hidden="false" customHeight="false" outlineLevel="0" collapsed="false">
      <c r="A201" s="8" t="s">
        <v>192</v>
      </c>
      <c r="B201" s="9" t="s">
        <v>193</v>
      </c>
      <c r="C201" s="14" t="s">
        <v>133</v>
      </c>
      <c r="D201" s="12" t="s">
        <v>199</v>
      </c>
      <c r="E201" s="7" t="s">
        <v>55</v>
      </c>
      <c r="F201" s="6"/>
      <c r="G201" s="21" t="s">
        <v>154</v>
      </c>
      <c r="H201" s="21" t="s">
        <v>154</v>
      </c>
      <c r="I201" s="31" t="n">
        <v>140000</v>
      </c>
      <c r="J201" s="31"/>
      <c r="K201" s="31"/>
      <c r="L201" s="31"/>
      <c r="M201" s="31"/>
      <c r="N201" s="31"/>
      <c r="O201" s="31"/>
      <c r="P201" s="31"/>
      <c r="Q201" s="31"/>
      <c r="R201" s="31"/>
      <c r="S201" s="31"/>
    </row>
    <row r="202" customFormat="false" ht="15" hidden="false" customHeight="false" outlineLevel="0" collapsed="false">
      <c r="A202" s="8" t="s">
        <v>192</v>
      </c>
      <c r="B202" s="9" t="s">
        <v>194</v>
      </c>
      <c r="C202" s="14" t="s">
        <v>133</v>
      </c>
      <c r="D202" s="12" t="s">
        <v>81</v>
      </c>
      <c r="E202" s="7" t="s">
        <v>55</v>
      </c>
      <c r="F202" s="6"/>
      <c r="G202" s="21" t="s">
        <v>154</v>
      </c>
      <c r="H202" s="21" t="s">
        <v>154</v>
      </c>
      <c r="I202" s="28" t="n">
        <v>500000000</v>
      </c>
      <c r="J202" s="28"/>
      <c r="K202" s="28"/>
      <c r="L202" s="28"/>
      <c r="M202" s="28"/>
      <c r="N202" s="28"/>
      <c r="O202" s="28"/>
      <c r="P202" s="28"/>
      <c r="Q202" s="28"/>
      <c r="R202" s="28"/>
      <c r="S202" s="28"/>
    </row>
    <row r="203" customFormat="false" ht="15" hidden="false" customHeight="false" outlineLevel="0" collapsed="false">
      <c r="A203" s="8" t="s">
        <v>192</v>
      </c>
      <c r="B203" s="9" t="s">
        <v>195</v>
      </c>
      <c r="C203" s="14" t="s">
        <v>133</v>
      </c>
      <c r="D203" s="12" t="s">
        <v>196</v>
      </c>
      <c r="E203" s="7" t="s">
        <v>55</v>
      </c>
      <c r="F203" s="6"/>
      <c r="G203" s="21" t="s">
        <v>154</v>
      </c>
      <c r="H203" s="21" t="s">
        <v>154</v>
      </c>
      <c r="I203" s="17" t="s">
        <v>35</v>
      </c>
      <c r="J203" s="17"/>
      <c r="K203" s="17"/>
      <c r="L203" s="17"/>
      <c r="M203" s="17"/>
      <c r="N203" s="17"/>
      <c r="O203" s="17"/>
      <c r="P203" s="17"/>
      <c r="Q203" s="17"/>
      <c r="R203" s="17"/>
      <c r="S203" s="17"/>
    </row>
    <row r="204" customFormat="false" ht="15" hidden="false" customHeight="false" outlineLevel="0" collapsed="false">
      <c r="A204" s="8" t="s">
        <v>192</v>
      </c>
      <c r="B204" s="9" t="s">
        <v>197</v>
      </c>
      <c r="C204" s="14" t="s">
        <v>133</v>
      </c>
      <c r="D204" s="12" t="s">
        <v>188</v>
      </c>
      <c r="E204" s="7" t="s">
        <v>55</v>
      </c>
      <c r="F204" s="6" t="s">
        <v>198</v>
      </c>
      <c r="G204" s="21" t="s">
        <v>154</v>
      </c>
      <c r="H204" s="21" t="s">
        <v>154</v>
      </c>
      <c r="I204" s="28" t="n">
        <v>8</v>
      </c>
      <c r="J204" s="28"/>
      <c r="K204" s="28"/>
      <c r="L204" s="28"/>
      <c r="M204" s="28"/>
      <c r="N204" s="28"/>
      <c r="O204" s="28"/>
      <c r="P204" s="28"/>
      <c r="Q204" s="28"/>
      <c r="R204" s="28"/>
      <c r="S204" s="28"/>
    </row>
    <row r="205" customFormat="false" ht="15" hidden="false" customHeight="false" outlineLevel="0" collapsed="false">
      <c r="A205" s="8" t="s">
        <v>192</v>
      </c>
      <c r="B205" s="9" t="s">
        <v>193</v>
      </c>
      <c r="C205" s="14" t="s">
        <v>134</v>
      </c>
      <c r="D205" s="12" t="s">
        <v>199</v>
      </c>
      <c r="E205" s="7" t="s">
        <v>55</v>
      </c>
      <c r="F205" s="6"/>
      <c r="G205" s="21" t="s">
        <v>154</v>
      </c>
      <c r="H205" s="21" t="s">
        <v>154</v>
      </c>
      <c r="I205" s="31" t="n">
        <v>175000</v>
      </c>
      <c r="J205" s="31"/>
      <c r="K205" s="31"/>
      <c r="L205" s="31"/>
      <c r="M205" s="31"/>
      <c r="N205" s="31"/>
      <c r="O205" s="31"/>
      <c r="P205" s="31"/>
      <c r="Q205" s="31"/>
      <c r="R205" s="31"/>
      <c r="S205" s="31"/>
    </row>
    <row r="206" customFormat="false" ht="15" hidden="false" customHeight="false" outlineLevel="0" collapsed="false">
      <c r="A206" s="8" t="s">
        <v>192</v>
      </c>
      <c r="B206" s="9" t="s">
        <v>194</v>
      </c>
      <c r="C206" s="14" t="s">
        <v>134</v>
      </c>
      <c r="D206" s="12" t="s">
        <v>81</v>
      </c>
      <c r="E206" s="7" t="s">
        <v>55</v>
      </c>
      <c r="F206" s="6"/>
      <c r="G206" s="21" t="s">
        <v>154</v>
      </c>
      <c r="H206" s="21" t="s">
        <v>154</v>
      </c>
      <c r="I206" s="28" t="n">
        <v>400000000</v>
      </c>
      <c r="J206" s="28"/>
      <c r="K206" s="28"/>
      <c r="L206" s="28"/>
      <c r="M206" s="28"/>
      <c r="N206" s="28"/>
      <c r="O206" s="28"/>
      <c r="P206" s="28"/>
      <c r="Q206" s="28"/>
      <c r="R206" s="28"/>
      <c r="S206" s="28"/>
    </row>
    <row r="207" customFormat="false" ht="15" hidden="false" customHeight="false" outlineLevel="0" collapsed="false">
      <c r="A207" s="8" t="s">
        <v>192</v>
      </c>
      <c r="B207" s="9" t="s">
        <v>195</v>
      </c>
      <c r="C207" s="14" t="s">
        <v>134</v>
      </c>
      <c r="D207" s="12" t="s">
        <v>196</v>
      </c>
      <c r="E207" s="7" t="s">
        <v>55</v>
      </c>
      <c r="F207" s="6"/>
      <c r="G207" s="21" t="s">
        <v>154</v>
      </c>
      <c r="H207" s="21" t="s">
        <v>154</v>
      </c>
      <c r="I207" s="17" t="s">
        <v>35</v>
      </c>
      <c r="J207" s="17"/>
      <c r="K207" s="17"/>
      <c r="L207" s="17"/>
      <c r="M207" s="17"/>
      <c r="N207" s="17"/>
      <c r="O207" s="17"/>
      <c r="P207" s="17"/>
      <c r="Q207" s="17"/>
      <c r="R207" s="17"/>
      <c r="S207" s="17"/>
    </row>
    <row r="208" customFormat="false" ht="15" hidden="false" customHeight="false" outlineLevel="0" collapsed="false">
      <c r="A208" s="8" t="s">
        <v>192</v>
      </c>
      <c r="B208" s="9" t="s">
        <v>197</v>
      </c>
      <c r="C208" s="14" t="s">
        <v>134</v>
      </c>
      <c r="D208" s="12" t="s">
        <v>188</v>
      </c>
      <c r="E208" s="7" t="s">
        <v>55</v>
      </c>
      <c r="F208" s="6" t="s">
        <v>198</v>
      </c>
      <c r="G208" s="21" t="s">
        <v>154</v>
      </c>
      <c r="H208" s="21" t="s">
        <v>154</v>
      </c>
      <c r="I208" s="28" t="n">
        <v>3</v>
      </c>
      <c r="J208" s="28"/>
      <c r="K208" s="28"/>
      <c r="L208" s="28"/>
      <c r="M208" s="28"/>
      <c r="N208" s="28"/>
      <c r="O208" s="28"/>
      <c r="P208" s="28"/>
      <c r="Q208" s="28"/>
      <c r="R208" s="28"/>
      <c r="S208" s="28"/>
    </row>
    <row r="209" customFormat="false" ht="15" hidden="false" customHeight="false" outlineLevel="0" collapsed="false">
      <c r="A209" s="8" t="s">
        <v>192</v>
      </c>
      <c r="B209" s="9" t="s">
        <v>193</v>
      </c>
      <c r="C209" s="14" t="s">
        <v>135</v>
      </c>
      <c r="D209" s="12" t="s">
        <v>199</v>
      </c>
      <c r="E209" s="7" t="s">
        <v>55</v>
      </c>
      <c r="F209" s="6"/>
      <c r="G209" s="21" t="s">
        <v>154</v>
      </c>
      <c r="H209" s="21" t="s">
        <v>154</v>
      </c>
      <c r="I209" s="31"/>
      <c r="J209" s="31"/>
      <c r="K209" s="31"/>
      <c r="L209" s="31"/>
      <c r="M209" s="31"/>
      <c r="N209" s="31"/>
      <c r="O209" s="31"/>
      <c r="P209" s="31"/>
      <c r="Q209" s="31"/>
      <c r="R209" s="31"/>
      <c r="S209" s="31"/>
    </row>
    <row r="210" customFormat="false" ht="15" hidden="false" customHeight="false" outlineLevel="0" collapsed="false">
      <c r="A210" s="8" t="s">
        <v>192</v>
      </c>
      <c r="B210" s="9" t="s">
        <v>194</v>
      </c>
      <c r="C210" s="14" t="s">
        <v>135</v>
      </c>
      <c r="D210" s="12" t="s">
        <v>81</v>
      </c>
      <c r="E210" s="7" t="s">
        <v>55</v>
      </c>
      <c r="F210" s="6"/>
      <c r="G210" s="21" t="s">
        <v>154</v>
      </c>
      <c r="H210" s="21" t="s">
        <v>154</v>
      </c>
      <c r="I210" s="28"/>
      <c r="J210" s="28"/>
      <c r="K210" s="28"/>
      <c r="L210" s="28"/>
      <c r="M210" s="28"/>
      <c r="N210" s="28"/>
      <c r="O210" s="28"/>
      <c r="P210" s="28"/>
      <c r="Q210" s="28"/>
      <c r="R210" s="28"/>
      <c r="S210" s="28"/>
    </row>
    <row r="211" customFormat="false" ht="15" hidden="false" customHeight="false" outlineLevel="0" collapsed="false">
      <c r="A211" s="8" t="s">
        <v>192</v>
      </c>
      <c r="B211" s="9" t="s">
        <v>195</v>
      </c>
      <c r="C211" s="14" t="s">
        <v>135</v>
      </c>
      <c r="D211" s="12" t="s">
        <v>196</v>
      </c>
      <c r="E211" s="7" t="s">
        <v>55</v>
      </c>
      <c r="F211" s="6"/>
      <c r="G211" s="21" t="s">
        <v>154</v>
      </c>
      <c r="H211" s="21" t="s">
        <v>154</v>
      </c>
      <c r="I211" s="17"/>
      <c r="J211" s="17"/>
      <c r="K211" s="17"/>
      <c r="L211" s="17"/>
      <c r="M211" s="17"/>
      <c r="N211" s="17"/>
      <c r="O211" s="17"/>
      <c r="P211" s="17"/>
      <c r="Q211" s="17"/>
      <c r="R211" s="17"/>
      <c r="S211" s="17"/>
    </row>
    <row r="212" customFormat="false" ht="15" hidden="false" customHeight="false" outlineLevel="0" collapsed="false">
      <c r="A212" s="8" t="s">
        <v>192</v>
      </c>
      <c r="B212" s="9" t="s">
        <v>197</v>
      </c>
      <c r="C212" s="14" t="s">
        <v>135</v>
      </c>
      <c r="D212" s="12" t="s">
        <v>188</v>
      </c>
      <c r="E212" s="7" t="s">
        <v>55</v>
      </c>
      <c r="F212" s="6" t="s">
        <v>198</v>
      </c>
      <c r="G212" s="21" t="s">
        <v>154</v>
      </c>
      <c r="H212" s="21" t="s">
        <v>154</v>
      </c>
      <c r="I212" s="28" t="n">
        <v>0</v>
      </c>
      <c r="J212" s="28"/>
      <c r="K212" s="28"/>
      <c r="L212" s="28"/>
      <c r="M212" s="28"/>
      <c r="N212" s="28"/>
      <c r="O212" s="28"/>
      <c r="P212" s="28"/>
      <c r="Q212" s="28"/>
      <c r="R212" s="28"/>
      <c r="S212" s="28"/>
    </row>
    <row r="213" customFormat="false" ht="15" hidden="false" customHeight="false" outlineLevel="0" collapsed="false">
      <c r="A213" s="8" t="s">
        <v>192</v>
      </c>
      <c r="B213" s="9" t="s">
        <v>193</v>
      </c>
      <c r="C213" s="14" t="s">
        <v>136</v>
      </c>
      <c r="D213" s="12" t="s">
        <v>199</v>
      </c>
      <c r="E213" s="7" t="s">
        <v>55</v>
      </c>
      <c r="F213" s="6"/>
      <c r="G213" s="21" t="s">
        <v>154</v>
      </c>
      <c r="H213" s="21" t="s">
        <v>154</v>
      </c>
      <c r="I213" s="31"/>
      <c r="J213" s="31"/>
      <c r="K213" s="31"/>
      <c r="L213" s="31"/>
      <c r="M213" s="31"/>
      <c r="N213" s="31"/>
      <c r="O213" s="31"/>
      <c r="P213" s="31"/>
      <c r="Q213" s="31"/>
      <c r="R213" s="31"/>
      <c r="S213" s="31"/>
    </row>
    <row r="214" customFormat="false" ht="15" hidden="false" customHeight="false" outlineLevel="0" collapsed="false">
      <c r="A214" s="8" t="s">
        <v>192</v>
      </c>
      <c r="B214" s="9" t="s">
        <v>194</v>
      </c>
      <c r="C214" s="14" t="s">
        <v>136</v>
      </c>
      <c r="D214" s="12" t="s">
        <v>81</v>
      </c>
      <c r="E214" s="7" t="s">
        <v>55</v>
      </c>
      <c r="F214" s="6"/>
      <c r="G214" s="21" t="s">
        <v>154</v>
      </c>
      <c r="H214" s="21" t="s">
        <v>154</v>
      </c>
      <c r="I214" s="28"/>
      <c r="J214" s="28"/>
      <c r="K214" s="28"/>
      <c r="L214" s="28"/>
      <c r="M214" s="28"/>
      <c r="N214" s="28"/>
      <c r="O214" s="28"/>
      <c r="P214" s="28"/>
      <c r="Q214" s="28"/>
      <c r="R214" s="28"/>
      <c r="S214" s="28"/>
    </row>
    <row r="215" customFormat="false" ht="15" hidden="false" customHeight="false" outlineLevel="0" collapsed="false">
      <c r="A215" s="8" t="s">
        <v>192</v>
      </c>
      <c r="B215" s="9" t="s">
        <v>195</v>
      </c>
      <c r="C215" s="14" t="s">
        <v>136</v>
      </c>
      <c r="D215" s="12" t="s">
        <v>196</v>
      </c>
      <c r="E215" s="7" t="s">
        <v>55</v>
      </c>
      <c r="F215" s="6"/>
      <c r="G215" s="21" t="s">
        <v>154</v>
      </c>
      <c r="H215" s="21" t="s">
        <v>154</v>
      </c>
      <c r="I215" s="17"/>
      <c r="J215" s="17"/>
      <c r="K215" s="17"/>
      <c r="L215" s="17"/>
      <c r="M215" s="17"/>
      <c r="N215" s="17"/>
      <c r="O215" s="17"/>
      <c r="P215" s="17"/>
      <c r="Q215" s="17"/>
      <c r="R215" s="17"/>
      <c r="S215" s="17"/>
    </row>
    <row r="216" customFormat="false" ht="15" hidden="false" customHeight="false" outlineLevel="0" collapsed="false">
      <c r="A216" s="8" t="s">
        <v>192</v>
      </c>
      <c r="B216" s="9" t="s">
        <v>197</v>
      </c>
      <c r="C216" s="14" t="s">
        <v>136</v>
      </c>
      <c r="D216" s="12" t="s">
        <v>188</v>
      </c>
      <c r="E216" s="7" t="s">
        <v>55</v>
      </c>
      <c r="F216" s="6" t="s">
        <v>198</v>
      </c>
      <c r="G216" s="21" t="s">
        <v>154</v>
      </c>
      <c r="H216" s="21" t="s">
        <v>154</v>
      </c>
      <c r="I216" s="28" t="n">
        <v>0</v>
      </c>
      <c r="J216" s="28"/>
      <c r="K216" s="28"/>
      <c r="L216" s="28"/>
      <c r="M216" s="28"/>
      <c r="N216" s="28"/>
      <c r="O216" s="28"/>
      <c r="P216" s="28"/>
      <c r="Q216" s="28"/>
      <c r="R216" s="28"/>
      <c r="S216" s="28"/>
    </row>
    <row r="217" customFormat="false" ht="15" hidden="false" customHeight="false" outlineLevel="0" collapsed="false">
      <c r="A217" s="8" t="s">
        <v>192</v>
      </c>
      <c r="B217" s="9" t="s">
        <v>193</v>
      </c>
      <c r="C217" s="14" t="s">
        <v>155</v>
      </c>
      <c r="D217" s="12" t="s">
        <v>200</v>
      </c>
      <c r="E217" s="7" t="s">
        <v>55</v>
      </c>
      <c r="F217" s="6"/>
      <c r="G217" s="21" t="s">
        <v>154</v>
      </c>
      <c r="H217" s="21" t="s">
        <v>154</v>
      </c>
      <c r="I217" s="31" t="n">
        <v>27000</v>
      </c>
      <c r="J217" s="31"/>
      <c r="K217" s="31"/>
      <c r="L217" s="31"/>
      <c r="M217" s="31"/>
      <c r="N217" s="31"/>
      <c r="O217" s="31"/>
      <c r="P217" s="31"/>
      <c r="Q217" s="31"/>
      <c r="R217" s="31"/>
      <c r="S217" s="31"/>
    </row>
    <row r="218" customFormat="false" ht="15" hidden="false" customHeight="false" outlineLevel="0" collapsed="false">
      <c r="A218" s="8" t="s">
        <v>192</v>
      </c>
      <c r="B218" s="9" t="s">
        <v>194</v>
      </c>
      <c r="C218" s="14" t="s">
        <v>155</v>
      </c>
      <c r="D218" s="12" t="s">
        <v>81</v>
      </c>
      <c r="E218" s="7" t="s">
        <v>55</v>
      </c>
      <c r="F218" s="6"/>
      <c r="G218" s="21" t="s">
        <v>154</v>
      </c>
      <c r="H218" s="21" t="s">
        <v>154</v>
      </c>
      <c r="I218" s="28" t="n">
        <v>500000000</v>
      </c>
      <c r="J218" s="28"/>
      <c r="K218" s="28"/>
      <c r="L218" s="28"/>
      <c r="M218" s="28"/>
      <c r="N218" s="28"/>
      <c r="O218" s="28"/>
      <c r="P218" s="28"/>
      <c r="Q218" s="28"/>
      <c r="R218" s="28"/>
      <c r="S218" s="28"/>
    </row>
    <row r="219" customFormat="false" ht="15" hidden="false" customHeight="false" outlineLevel="0" collapsed="false">
      <c r="A219" s="8" t="s">
        <v>192</v>
      </c>
      <c r="B219" s="9" t="s">
        <v>195</v>
      </c>
      <c r="C219" s="14" t="s">
        <v>155</v>
      </c>
      <c r="D219" s="12" t="s">
        <v>196</v>
      </c>
      <c r="E219" s="7" t="s">
        <v>55</v>
      </c>
      <c r="F219" s="6"/>
      <c r="G219" s="21" t="s">
        <v>154</v>
      </c>
      <c r="H219" s="21" t="s">
        <v>154</v>
      </c>
      <c r="I219" s="17" t="s">
        <v>44</v>
      </c>
      <c r="J219" s="17"/>
      <c r="K219" s="17"/>
      <c r="L219" s="17"/>
      <c r="M219" s="17"/>
      <c r="N219" s="17"/>
      <c r="O219" s="17"/>
      <c r="P219" s="17"/>
      <c r="Q219" s="17"/>
      <c r="R219" s="17"/>
      <c r="S219" s="17"/>
    </row>
    <row r="220" customFormat="false" ht="15" hidden="false" customHeight="false" outlineLevel="0" collapsed="false">
      <c r="A220" s="8" t="s">
        <v>192</v>
      </c>
      <c r="B220" s="9" t="s">
        <v>197</v>
      </c>
      <c r="C220" s="14" t="s">
        <v>155</v>
      </c>
      <c r="D220" s="12" t="s">
        <v>188</v>
      </c>
      <c r="E220" s="7" t="s">
        <v>55</v>
      </c>
      <c r="F220" s="6" t="s">
        <v>198</v>
      </c>
      <c r="G220" s="21" t="s">
        <v>154</v>
      </c>
      <c r="H220" s="21" t="s">
        <v>154</v>
      </c>
      <c r="I220" s="28" t="n">
        <v>8</v>
      </c>
      <c r="J220" s="28"/>
      <c r="K220" s="28"/>
      <c r="L220" s="28"/>
      <c r="M220" s="28"/>
      <c r="N220" s="28"/>
      <c r="O220" s="28"/>
      <c r="P220" s="28"/>
      <c r="Q220" s="28"/>
      <c r="R220" s="28"/>
      <c r="S220" s="28"/>
    </row>
    <row r="221" customFormat="false" ht="15" hidden="false" customHeight="false" outlineLevel="0" collapsed="false">
      <c r="A221" s="8" t="s">
        <v>192</v>
      </c>
      <c r="B221" s="9" t="s">
        <v>193</v>
      </c>
      <c r="C221" s="14" t="s">
        <v>156</v>
      </c>
      <c r="D221" s="12" t="s">
        <v>200</v>
      </c>
      <c r="E221" s="7" t="s">
        <v>55</v>
      </c>
      <c r="F221" s="6"/>
      <c r="G221" s="21" t="s">
        <v>154</v>
      </c>
      <c r="H221" s="21" t="s">
        <v>154</v>
      </c>
      <c r="I221" s="31" t="n">
        <v>31000</v>
      </c>
      <c r="J221" s="31"/>
      <c r="K221" s="31"/>
      <c r="L221" s="31"/>
      <c r="M221" s="31"/>
      <c r="N221" s="31"/>
      <c r="O221" s="31"/>
      <c r="P221" s="31"/>
      <c r="Q221" s="31"/>
      <c r="R221" s="31"/>
      <c r="S221" s="31"/>
    </row>
    <row r="222" customFormat="false" ht="15" hidden="false" customHeight="false" outlineLevel="0" collapsed="false">
      <c r="A222" s="8" t="s">
        <v>192</v>
      </c>
      <c r="B222" s="9" t="s">
        <v>194</v>
      </c>
      <c r="C222" s="14" t="s">
        <v>156</v>
      </c>
      <c r="D222" s="12" t="s">
        <v>81</v>
      </c>
      <c r="E222" s="7" t="s">
        <v>55</v>
      </c>
      <c r="F222" s="6"/>
      <c r="G222" s="21" t="s">
        <v>154</v>
      </c>
      <c r="H222" s="21" t="s">
        <v>154</v>
      </c>
      <c r="I222" s="28" t="n">
        <v>450000000</v>
      </c>
      <c r="J222" s="28"/>
      <c r="K222" s="28"/>
      <c r="L222" s="28"/>
      <c r="M222" s="28"/>
      <c r="N222" s="28"/>
      <c r="O222" s="28"/>
      <c r="P222" s="28"/>
      <c r="Q222" s="28"/>
      <c r="R222" s="28"/>
      <c r="S222" s="28"/>
    </row>
    <row r="223" customFormat="false" ht="15" hidden="false" customHeight="false" outlineLevel="0" collapsed="false">
      <c r="A223" s="8" t="s">
        <v>192</v>
      </c>
      <c r="B223" s="9" t="s">
        <v>195</v>
      </c>
      <c r="C223" s="14" t="s">
        <v>156</v>
      </c>
      <c r="D223" s="12" t="s">
        <v>196</v>
      </c>
      <c r="E223" s="7" t="s">
        <v>55</v>
      </c>
      <c r="F223" s="6"/>
      <c r="G223" s="21" t="s">
        <v>154</v>
      </c>
      <c r="H223" s="21" t="s">
        <v>154</v>
      </c>
      <c r="I223" s="17" t="s">
        <v>44</v>
      </c>
      <c r="J223" s="17"/>
      <c r="K223" s="17"/>
      <c r="L223" s="17"/>
      <c r="M223" s="17"/>
      <c r="N223" s="17"/>
      <c r="O223" s="17"/>
      <c r="P223" s="17"/>
      <c r="Q223" s="17"/>
      <c r="R223" s="17"/>
      <c r="S223" s="17"/>
    </row>
    <row r="224" customFormat="false" ht="15" hidden="false" customHeight="false" outlineLevel="0" collapsed="false">
      <c r="A224" s="8" t="s">
        <v>192</v>
      </c>
      <c r="B224" s="9" t="s">
        <v>197</v>
      </c>
      <c r="C224" s="14" t="s">
        <v>156</v>
      </c>
      <c r="D224" s="12" t="s">
        <v>188</v>
      </c>
      <c r="E224" s="7" t="s">
        <v>55</v>
      </c>
      <c r="F224" s="6" t="s">
        <v>198</v>
      </c>
      <c r="G224" s="21" t="s">
        <v>154</v>
      </c>
      <c r="H224" s="21" t="s">
        <v>154</v>
      </c>
      <c r="I224" s="28" t="n">
        <v>3</v>
      </c>
      <c r="J224" s="28"/>
      <c r="K224" s="28"/>
      <c r="L224" s="28"/>
      <c r="M224" s="28"/>
      <c r="N224" s="28"/>
      <c r="O224" s="28"/>
      <c r="P224" s="28"/>
      <c r="Q224" s="28"/>
      <c r="R224" s="28"/>
      <c r="S224" s="28"/>
    </row>
    <row r="225" customFormat="false" ht="15" hidden="false" customHeight="false" outlineLevel="0" collapsed="false">
      <c r="A225" s="8" t="s">
        <v>192</v>
      </c>
      <c r="B225" s="9" t="s">
        <v>193</v>
      </c>
      <c r="C225" s="14" t="s">
        <v>157</v>
      </c>
      <c r="D225" s="12" t="s">
        <v>200</v>
      </c>
      <c r="E225" s="7" t="s">
        <v>55</v>
      </c>
      <c r="F225" s="6"/>
      <c r="G225" s="21" t="s">
        <v>154</v>
      </c>
      <c r="H225" s="21" t="s">
        <v>154</v>
      </c>
      <c r="I225" s="31"/>
      <c r="J225" s="31"/>
      <c r="K225" s="31"/>
      <c r="L225" s="31"/>
      <c r="M225" s="31"/>
      <c r="N225" s="31"/>
      <c r="O225" s="31"/>
      <c r="P225" s="31"/>
      <c r="Q225" s="31"/>
      <c r="R225" s="31"/>
      <c r="S225" s="31"/>
    </row>
    <row r="226" customFormat="false" ht="15" hidden="false" customHeight="false" outlineLevel="0" collapsed="false">
      <c r="A226" s="8" t="s">
        <v>192</v>
      </c>
      <c r="B226" s="9" t="s">
        <v>194</v>
      </c>
      <c r="C226" s="14" t="s">
        <v>157</v>
      </c>
      <c r="D226" s="12" t="s">
        <v>81</v>
      </c>
      <c r="E226" s="7" t="s">
        <v>55</v>
      </c>
      <c r="F226" s="6"/>
      <c r="G226" s="21" t="s">
        <v>154</v>
      </c>
      <c r="H226" s="21" t="s">
        <v>154</v>
      </c>
      <c r="I226" s="28"/>
      <c r="J226" s="28"/>
      <c r="K226" s="28"/>
      <c r="L226" s="28"/>
      <c r="M226" s="28"/>
      <c r="N226" s="28"/>
      <c r="O226" s="28"/>
      <c r="P226" s="28"/>
      <c r="Q226" s="28"/>
      <c r="R226" s="28"/>
      <c r="S226" s="28"/>
    </row>
    <row r="227" customFormat="false" ht="15" hidden="false" customHeight="false" outlineLevel="0" collapsed="false">
      <c r="A227" s="8" t="s">
        <v>192</v>
      </c>
      <c r="B227" s="9" t="s">
        <v>195</v>
      </c>
      <c r="C227" s="14" t="s">
        <v>157</v>
      </c>
      <c r="D227" s="12" t="s">
        <v>196</v>
      </c>
      <c r="E227" s="7" t="s">
        <v>55</v>
      </c>
      <c r="F227" s="6"/>
      <c r="G227" s="21" t="s">
        <v>154</v>
      </c>
      <c r="H227" s="21" t="s">
        <v>154</v>
      </c>
      <c r="I227" s="17"/>
      <c r="J227" s="17"/>
      <c r="K227" s="17"/>
      <c r="L227" s="17"/>
      <c r="M227" s="17"/>
      <c r="N227" s="17"/>
      <c r="O227" s="17"/>
      <c r="P227" s="17"/>
      <c r="Q227" s="17"/>
      <c r="R227" s="17"/>
      <c r="S227" s="17"/>
    </row>
    <row r="228" customFormat="false" ht="15" hidden="false" customHeight="false" outlineLevel="0" collapsed="false">
      <c r="A228" s="8" t="s">
        <v>192</v>
      </c>
      <c r="B228" s="9" t="s">
        <v>197</v>
      </c>
      <c r="C228" s="14" t="s">
        <v>157</v>
      </c>
      <c r="D228" s="12" t="s">
        <v>188</v>
      </c>
      <c r="E228" s="7" t="s">
        <v>55</v>
      </c>
      <c r="F228" s="6" t="s">
        <v>198</v>
      </c>
      <c r="G228" s="21" t="s">
        <v>154</v>
      </c>
      <c r="H228" s="21" t="s">
        <v>154</v>
      </c>
      <c r="I228" s="28" t="n">
        <v>0</v>
      </c>
      <c r="J228" s="28"/>
      <c r="K228" s="28"/>
      <c r="L228" s="28"/>
      <c r="M228" s="28"/>
      <c r="N228" s="28"/>
      <c r="O228" s="28"/>
      <c r="P228" s="28"/>
      <c r="Q228" s="28"/>
      <c r="R228" s="28"/>
      <c r="S228" s="28"/>
    </row>
    <row r="229" customFormat="false" ht="15" hidden="false" customHeight="false" outlineLevel="0" collapsed="false">
      <c r="A229" s="8" t="s">
        <v>192</v>
      </c>
      <c r="B229" s="9" t="s">
        <v>193</v>
      </c>
      <c r="C229" s="14" t="s">
        <v>158</v>
      </c>
      <c r="D229" s="12" t="s">
        <v>200</v>
      </c>
      <c r="E229" s="7" t="s">
        <v>55</v>
      </c>
      <c r="F229" s="6"/>
      <c r="G229" s="21" t="s">
        <v>154</v>
      </c>
      <c r="H229" s="21" t="s">
        <v>154</v>
      </c>
      <c r="I229" s="31"/>
      <c r="J229" s="31"/>
      <c r="K229" s="31"/>
      <c r="L229" s="31"/>
      <c r="M229" s="31"/>
      <c r="N229" s="31"/>
      <c r="O229" s="31"/>
      <c r="P229" s="31"/>
      <c r="Q229" s="31"/>
      <c r="R229" s="31"/>
      <c r="S229" s="31"/>
    </row>
    <row r="230" customFormat="false" ht="15" hidden="false" customHeight="false" outlineLevel="0" collapsed="false">
      <c r="A230" s="8" t="s">
        <v>192</v>
      </c>
      <c r="B230" s="9" t="s">
        <v>194</v>
      </c>
      <c r="C230" s="14" t="s">
        <v>158</v>
      </c>
      <c r="D230" s="12" t="s">
        <v>81</v>
      </c>
      <c r="E230" s="7" t="s">
        <v>55</v>
      </c>
      <c r="F230" s="6"/>
      <c r="G230" s="21" t="s">
        <v>154</v>
      </c>
      <c r="H230" s="21" t="s">
        <v>154</v>
      </c>
      <c r="I230" s="28"/>
      <c r="J230" s="28"/>
      <c r="K230" s="28"/>
      <c r="L230" s="28"/>
      <c r="M230" s="28"/>
      <c r="N230" s="28"/>
      <c r="O230" s="28"/>
      <c r="P230" s="28"/>
      <c r="Q230" s="28"/>
      <c r="R230" s="28"/>
      <c r="S230" s="28"/>
    </row>
    <row r="231" customFormat="false" ht="15" hidden="false" customHeight="false" outlineLevel="0" collapsed="false">
      <c r="A231" s="8" t="s">
        <v>192</v>
      </c>
      <c r="B231" s="9" t="s">
        <v>195</v>
      </c>
      <c r="C231" s="14" t="s">
        <v>158</v>
      </c>
      <c r="D231" s="12" t="s">
        <v>196</v>
      </c>
      <c r="E231" s="7" t="s">
        <v>55</v>
      </c>
      <c r="F231" s="6"/>
      <c r="G231" s="21" t="s">
        <v>154</v>
      </c>
      <c r="H231" s="21" t="s">
        <v>154</v>
      </c>
      <c r="I231" s="17"/>
      <c r="J231" s="17"/>
      <c r="K231" s="17"/>
      <c r="L231" s="17"/>
      <c r="M231" s="17"/>
      <c r="N231" s="17"/>
      <c r="O231" s="17"/>
      <c r="P231" s="17"/>
      <c r="Q231" s="17"/>
      <c r="R231" s="17"/>
      <c r="S231" s="17"/>
    </row>
    <row r="232" customFormat="false" ht="15" hidden="false" customHeight="false" outlineLevel="0" collapsed="false">
      <c r="A232" s="8" t="s">
        <v>192</v>
      </c>
      <c r="B232" s="9" t="s">
        <v>197</v>
      </c>
      <c r="C232" s="14" t="s">
        <v>158</v>
      </c>
      <c r="D232" s="12" t="s">
        <v>188</v>
      </c>
      <c r="E232" s="7" t="s">
        <v>55</v>
      </c>
      <c r="F232" s="6" t="s">
        <v>198</v>
      </c>
      <c r="G232" s="21" t="s">
        <v>154</v>
      </c>
      <c r="H232" s="21" t="s">
        <v>154</v>
      </c>
      <c r="I232" s="28" t="n">
        <v>0</v>
      </c>
      <c r="J232" s="28"/>
      <c r="K232" s="28"/>
      <c r="L232" s="28"/>
      <c r="M232" s="28"/>
      <c r="N232" s="28"/>
      <c r="O232" s="28"/>
      <c r="P232" s="28"/>
      <c r="Q232" s="28"/>
      <c r="R232" s="28"/>
      <c r="S232" s="28"/>
    </row>
    <row r="234" customFormat="false" ht="15" hidden="false" customHeight="false" outlineLevel="0" collapsed="false">
      <c r="A234" s="5" t="s">
        <v>201</v>
      </c>
      <c r="B234" s="5"/>
      <c r="C234" s="5"/>
      <c r="D234" s="5"/>
      <c r="E234" s="5"/>
      <c r="F234" s="5"/>
      <c r="G234" s="5"/>
      <c r="H234" s="5"/>
      <c r="I234" s="5"/>
      <c r="J234" s="5"/>
      <c r="K234" s="5"/>
      <c r="L234" s="5"/>
      <c r="M234" s="5"/>
      <c r="N234" s="5"/>
      <c r="O234" s="5"/>
      <c r="P234" s="5"/>
      <c r="Q234" s="5"/>
      <c r="R234" s="5"/>
      <c r="S234" s="5"/>
    </row>
    <row r="235" customFormat="false" ht="15" hidden="false" customHeight="false" outlineLevel="0" collapsed="false">
      <c r="A235" s="8" t="s">
        <v>202</v>
      </c>
      <c r="B235" s="9" t="s">
        <v>203</v>
      </c>
      <c r="C235" s="14" t="s">
        <v>204</v>
      </c>
      <c r="D235" s="12" t="s">
        <v>205</v>
      </c>
      <c r="E235" s="7" t="s">
        <v>55</v>
      </c>
      <c r="F235" s="6"/>
      <c r="G235" s="21" t="s">
        <v>154</v>
      </c>
      <c r="H235" s="21" t="s">
        <v>154</v>
      </c>
      <c r="I235" s="17" t="s">
        <v>48</v>
      </c>
      <c r="J235" s="17"/>
      <c r="K235" s="17"/>
      <c r="L235" s="17"/>
      <c r="M235" s="17"/>
      <c r="N235" s="17"/>
      <c r="O235" s="17"/>
      <c r="P235" s="17"/>
      <c r="Q235" s="17"/>
      <c r="R235" s="17"/>
      <c r="S235" s="17"/>
    </row>
    <row r="236" customFormat="false" ht="15" hidden="false" customHeight="false" outlineLevel="0" collapsed="false">
      <c r="A236" s="8" t="s">
        <v>202</v>
      </c>
      <c r="B236" s="9" t="s">
        <v>203</v>
      </c>
      <c r="C236" s="14" t="s">
        <v>206</v>
      </c>
      <c r="D236" s="12" t="s">
        <v>205</v>
      </c>
      <c r="E236" s="7" t="s">
        <v>55</v>
      </c>
      <c r="F236" s="6"/>
      <c r="G236" s="21" t="s">
        <v>154</v>
      </c>
      <c r="H236" s="21" t="s">
        <v>154</v>
      </c>
      <c r="I236" s="17" t="s">
        <v>53</v>
      </c>
      <c r="J236" s="17"/>
      <c r="K236" s="17"/>
      <c r="L236" s="17"/>
      <c r="M236" s="17"/>
      <c r="N236" s="17"/>
      <c r="O236" s="17"/>
      <c r="P236" s="17"/>
      <c r="Q236" s="17"/>
      <c r="R236" s="17"/>
      <c r="S236" s="17"/>
    </row>
    <row r="237" customFormat="false" ht="15" hidden="false" customHeight="false" outlineLevel="0" collapsed="false">
      <c r="A237" s="8" t="s">
        <v>202</v>
      </c>
      <c r="B237" s="9" t="s">
        <v>203</v>
      </c>
      <c r="C237" s="14" t="s">
        <v>207</v>
      </c>
      <c r="D237" s="12" t="s">
        <v>205</v>
      </c>
      <c r="E237" s="7" t="s">
        <v>55</v>
      </c>
      <c r="F237" s="6"/>
      <c r="G237" s="21" t="s">
        <v>154</v>
      </c>
      <c r="H237" s="21" t="s">
        <v>154</v>
      </c>
      <c r="I237" s="17" t="s">
        <v>46</v>
      </c>
      <c r="J237" s="17"/>
      <c r="K237" s="17"/>
      <c r="L237" s="17"/>
      <c r="M237" s="17"/>
      <c r="N237" s="17"/>
      <c r="O237" s="17"/>
      <c r="P237" s="17"/>
      <c r="Q237" s="17"/>
      <c r="R237" s="17"/>
      <c r="S237" s="17"/>
    </row>
    <row r="238" customFormat="false" ht="15" hidden="false" customHeight="false" outlineLevel="0" collapsed="false">
      <c r="A238" s="8" t="s">
        <v>202</v>
      </c>
      <c r="B238" s="9" t="s">
        <v>203</v>
      </c>
      <c r="C238" s="14" t="s">
        <v>208</v>
      </c>
      <c r="D238" s="12" t="s">
        <v>205</v>
      </c>
      <c r="E238" s="7" t="s">
        <v>55</v>
      </c>
      <c r="F238" s="6"/>
      <c r="G238" s="21" t="s">
        <v>154</v>
      </c>
      <c r="H238" s="21" t="s">
        <v>154</v>
      </c>
      <c r="I238" s="17" t="s">
        <v>48</v>
      </c>
      <c r="J238" s="17"/>
      <c r="K238" s="17"/>
      <c r="L238" s="17"/>
      <c r="M238" s="17"/>
      <c r="N238" s="17"/>
      <c r="O238" s="17"/>
      <c r="P238" s="17"/>
      <c r="Q238" s="17"/>
      <c r="R238" s="17"/>
      <c r="S238" s="17"/>
    </row>
    <row r="239" customFormat="false" ht="15" hidden="false" customHeight="false" outlineLevel="0" collapsed="false">
      <c r="A239" s="8" t="s">
        <v>202</v>
      </c>
      <c r="B239" s="9" t="s">
        <v>203</v>
      </c>
      <c r="C239" s="14" t="s">
        <v>209</v>
      </c>
      <c r="D239" s="12" t="s">
        <v>205</v>
      </c>
      <c r="E239" s="7" t="s">
        <v>55</v>
      </c>
      <c r="F239" s="6"/>
      <c r="G239" s="21" t="s">
        <v>154</v>
      </c>
      <c r="H239" s="21" t="s">
        <v>154</v>
      </c>
      <c r="I239" s="17" t="s">
        <v>53</v>
      </c>
      <c r="J239" s="17"/>
      <c r="K239" s="17"/>
      <c r="L239" s="17"/>
      <c r="M239" s="17"/>
      <c r="N239" s="17"/>
      <c r="O239" s="17"/>
      <c r="P239" s="17"/>
      <c r="Q239" s="17"/>
      <c r="R239" s="17"/>
      <c r="S239" s="17"/>
    </row>
    <row r="240" customFormat="false" ht="15" hidden="false" customHeight="false" outlineLevel="0" collapsed="false">
      <c r="A240" s="8" t="s">
        <v>202</v>
      </c>
      <c r="B240" s="9" t="s">
        <v>203</v>
      </c>
      <c r="C240" s="14" t="s">
        <v>210</v>
      </c>
      <c r="D240" s="12" t="s">
        <v>205</v>
      </c>
      <c r="E240" s="7" t="s">
        <v>55</v>
      </c>
      <c r="F240" s="6"/>
      <c r="G240" s="21" t="s">
        <v>154</v>
      </c>
      <c r="H240" s="21" t="s">
        <v>154</v>
      </c>
      <c r="I240" s="17" t="s">
        <v>46</v>
      </c>
      <c r="J240" s="17"/>
      <c r="K240" s="17"/>
      <c r="L240" s="17"/>
      <c r="M240" s="17"/>
      <c r="N240" s="17"/>
      <c r="O240" s="17"/>
      <c r="P240" s="17"/>
      <c r="Q240" s="17"/>
      <c r="R240" s="17"/>
      <c r="S240" s="17"/>
    </row>
    <row r="241" customFormat="false" ht="15" hidden="false" customHeight="false" outlineLevel="0" collapsed="false">
      <c r="A241" s="8" t="s">
        <v>202</v>
      </c>
      <c r="B241" s="9" t="s">
        <v>203</v>
      </c>
      <c r="C241" s="14" t="s">
        <v>211</v>
      </c>
      <c r="D241" s="12" t="s">
        <v>205</v>
      </c>
      <c r="E241" s="7" t="s">
        <v>55</v>
      </c>
      <c r="F241" s="6"/>
      <c r="G241" s="21" t="s">
        <v>154</v>
      </c>
      <c r="H241" s="21" t="s">
        <v>154</v>
      </c>
      <c r="I241" s="17"/>
      <c r="J241" s="17"/>
      <c r="K241" s="17"/>
      <c r="L241" s="17"/>
      <c r="M241" s="17"/>
      <c r="N241" s="17"/>
      <c r="O241" s="17"/>
      <c r="P241" s="17"/>
      <c r="Q241" s="17"/>
      <c r="R241" s="17"/>
      <c r="S241" s="17"/>
    </row>
    <row r="242" customFormat="false" ht="15" hidden="false" customHeight="false" outlineLevel="0" collapsed="false">
      <c r="A242" s="8" t="s">
        <v>202</v>
      </c>
      <c r="B242" s="9" t="s">
        <v>203</v>
      </c>
      <c r="C242" s="14" t="s">
        <v>212</v>
      </c>
      <c r="D242" s="12" t="s">
        <v>205</v>
      </c>
      <c r="E242" s="7" t="s">
        <v>55</v>
      </c>
      <c r="F242" s="6"/>
      <c r="G242" s="21" t="s">
        <v>154</v>
      </c>
      <c r="H242" s="21" t="s">
        <v>154</v>
      </c>
      <c r="I242" s="17"/>
      <c r="J242" s="17"/>
      <c r="K242" s="17"/>
      <c r="L242" s="17"/>
      <c r="M242" s="17"/>
      <c r="N242" s="17"/>
      <c r="O242" s="17"/>
      <c r="P242" s="17"/>
      <c r="Q242" s="17"/>
      <c r="R242" s="17"/>
      <c r="S242" s="17"/>
    </row>
    <row r="243" customFormat="false" ht="15" hidden="false" customHeight="false" outlineLevel="0" collapsed="false">
      <c r="A243" s="8" t="s">
        <v>202</v>
      </c>
      <c r="B243" s="9" t="s">
        <v>203</v>
      </c>
      <c r="C243" s="14" t="s">
        <v>213</v>
      </c>
      <c r="D243" s="12" t="s">
        <v>205</v>
      </c>
      <c r="E243" s="7" t="s">
        <v>55</v>
      </c>
      <c r="F243" s="6"/>
      <c r="G243" s="21" t="s">
        <v>154</v>
      </c>
      <c r="H243" s="21" t="s">
        <v>154</v>
      </c>
      <c r="I243" s="17"/>
      <c r="J243" s="17"/>
      <c r="K243" s="17"/>
      <c r="L243" s="17"/>
      <c r="M243" s="17"/>
      <c r="N243" s="17"/>
      <c r="O243" s="17"/>
      <c r="P243" s="17"/>
      <c r="Q243" s="17"/>
      <c r="R243" s="17"/>
      <c r="S243" s="17"/>
    </row>
    <row r="244" customFormat="false" ht="15" hidden="false" customHeight="false" outlineLevel="0" collapsed="false">
      <c r="A244" s="8" t="s">
        <v>202</v>
      </c>
      <c r="B244" s="9" t="s">
        <v>203</v>
      </c>
      <c r="C244" s="14" t="s">
        <v>214</v>
      </c>
      <c r="D244" s="12" t="s">
        <v>205</v>
      </c>
      <c r="E244" s="7" t="s">
        <v>55</v>
      </c>
      <c r="F244" s="6"/>
      <c r="G244" s="21" t="s">
        <v>154</v>
      </c>
      <c r="H244" s="21" t="s">
        <v>154</v>
      </c>
      <c r="I244" s="17"/>
      <c r="J244" s="17"/>
      <c r="K244" s="17"/>
      <c r="L244" s="17"/>
      <c r="M244" s="17"/>
      <c r="N244" s="17"/>
      <c r="O244" s="17"/>
      <c r="P244" s="17"/>
      <c r="Q244" s="17"/>
      <c r="R244" s="17"/>
      <c r="S244" s="17"/>
    </row>
    <row r="245" customFormat="false" ht="15" hidden="false" customHeight="false" outlineLevel="0" collapsed="false">
      <c r="A245" s="8" t="s">
        <v>202</v>
      </c>
      <c r="B245" s="9" t="s">
        <v>203</v>
      </c>
      <c r="C245" s="14" t="s">
        <v>215</v>
      </c>
      <c r="D245" s="12" t="s">
        <v>205</v>
      </c>
      <c r="E245" s="7" t="s">
        <v>55</v>
      </c>
      <c r="F245" s="6"/>
      <c r="G245" s="21" t="s">
        <v>154</v>
      </c>
      <c r="H245" s="21" t="s">
        <v>154</v>
      </c>
      <c r="I245" s="17"/>
      <c r="J245" s="17"/>
      <c r="K245" s="17"/>
      <c r="L245" s="17"/>
      <c r="M245" s="17"/>
      <c r="N245" s="17"/>
      <c r="O245" s="17"/>
      <c r="P245" s="17"/>
      <c r="Q245" s="17"/>
      <c r="R245" s="17"/>
      <c r="S245" s="17"/>
    </row>
    <row r="246" customFormat="false" ht="15" hidden="false" customHeight="false" outlineLevel="0" collapsed="false">
      <c r="A246" s="8" t="s">
        <v>202</v>
      </c>
      <c r="B246" s="9" t="s">
        <v>203</v>
      </c>
      <c r="C246" s="14" t="s">
        <v>216</v>
      </c>
      <c r="D246" s="12" t="s">
        <v>205</v>
      </c>
      <c r="E246" s="7" t="s">
        <v>55</v>
      </c>
      <c r="F246" s="6"/>
      <c r="G246" s="21" t="s">
        <v>154</v>
      </c>
      <c r="H246" s="21" t="s">
        <v>154</v>
      </c>
      <c r="I246" s="17"/>
      <c r="J246" s="17"/>
      <c r="K246" s="17"/>
      <c r="L246" s="17"/>
      <c r="M246" s="17"/>
      <c r="N246" s="17"/>
      <c r="O246" s="17"/>
      <c r="P246" s="17"/>
      <c r="Q246" s="17"/>
      <c r="R246" s="17"/>
      <c r="S246" s="17"/>
    </row>
    <row r="247" customFormat="false" ht="15" hidden="false" customHeight="false" outlineLevel="0" collapsed="false">
      <c r="A247" s="8" t="s">
        <v>202</v>
      </c>
      <c r="B247" s="9" t="s">
        <v>203</v>
      </c>
      <c r="C247" s="14" t="s">
        <v>217</v>
      </c>
      <c r="D247" s="12" t="s">
        <v>205</v>
      </c>
      <c r="E247" s="7" t="s">
        <v>55</v>
      </c>
      <c r="F247" s="6"/>
      <c r="G247" s="21" t="s">
        <v>154</v>
      </c>
      <c r="H247" s="21" t="s">
        <v>154</v>
      </c>
      <c r="I247" s="17" t="s">
        <v>53</v>
      </c>
      <c r="J247" s="17"/>
      <c r="K247" s="17"/>
      <c r="L247" s="17"/>
      <c r="M247" s="17"/>
      <c r="N247" s="17"/>
      <c r="O247" s="17"/>
      <c r="P247" s="17"/>
      <c r="Q247" s="17"/>
      <c r="R247" s="17"/>
      <c r="S247" s="17"/>
    </row>
    <row r="248" customFormat="false" ht="15" hidden="false" customHeight="false" outlineLevel="0" collapsed="false">
      <c r="A248" s="8" t="s">
        <v>202</v>
      </c>
      <c r="B248" s="9" t="s">
        <v>203</v>
      </c>
      <c r="C248" s="14" t="s">
        <v>218</v>
      </c>
      <c r="D248" s="12" t="s">
        <v>205</v>
      </c>
      <c r="E248" s="7" t="s">
        <v>55</v>
      </c>
      <c r="F248" s="6"/>
      <c r="G248" s="21" t="s">
        <v>154</v>
      </c>
      <c r="H248" s="21" t="s">
        <v>154</v>
      </c>
      <c r="I248" s="17" t="s">
        <v>48</v>
      </c>
      <c r="J248" s="17"/>
      <c r="K248" s="17"/>
      <c r="L248" s="17"/>
      <c r="M248" s="17"/>
      <c r="N248" s="17"/>
      <c r="O248" s="17"/>
      <c r="P248" s="17"/>
      <c r="Q248" s="17"/>
      <c r="R248" s="17"/>
      <c r="S248" s="17"/>
    </row>
    <row r="249" customFormat="false" ht="15" hidden="false" customHeight="false" outlineLevel="0" collapsed="false">
      <c r="A249" s="8" t="s">
        <v>202</v>
      </c>
      <c r="B249" s="9" t="s">
        <v>203</v>
      </c>
      <c r="C249" s="14" t="s">
        <v>219</v>
      </c>
      <c r="D249" s="12" t="s">
        <v>205</v>
      </c>
      <c r="E249" s="7" t="s">
        <v>55</v>
      </c>
      <c r="F249" s="6"/>
      <c r="G249" s="21" t="s">
        <v>154</v>
      </c>
      <c r="H249" s="21" t="s">
        <v>154</v>
      </c>
      <c r="I249" s="17" t="s">
        <v>46</v>
      </c>
      <c r="J249" s="17"/>
      <c r="K249" s="17"/>
      <c r="L249" s="17"/>
      <c r="M249" s="17"/>
      <c r="N249" s="17"/>
      <c r="O249" s="17"/>
      <c r="P249" s="17"/>
      <c r="Q249" s="17"/>
      <c r="R249" s="17"/>
      <c r="S249" s="17"/>
    </row>
    <row r="250" customFormat="false" ht="15" hidden="false" customHeight="false" outlineLevel="0" collapsed="false">
      <c r="A250" s="8" t="s">
        <v>202</v>
      </c>
      <c r="B250" s="9" t="s">
        <v>203</v>
      </c>
      <c r="C250" s="14" t="s">
        <v>220</v>
      </c>
      <c r="D250" s="12" t="s">
        <v>205</v>
      </c>
      <c r="E250" s="7" t="s">
        <v>55</v>
      </c>
      <c r="F250" s="6"/>
      <c r="G250" s="21" t="s">
        <v>154</v>
      </c>
      <c r="H250" s="21" t="s">
        <v>154</v>
      </c>
      <c r="I250" s="17" t="s">
        <v>48</v>
      </c>
      <c r="J250" s="17"/>
      <c r="K250" s="17"/>
      <c r="L250" s="17"/>
      <c r="M250" s="17"/>
      <c r="N250" s="17"/>
      <c r="O250" s="17"/>
      <c r="P250" s="17"/>
      <c r="Q250" s="17"/>
      <c r="R250" s="17"/>
      <c r="S250" s="17"/>
    </row>
    <row r="251" customFormat="false" ht="15" hidden="false" customHeight="false" outlineLevel="0" collapsed="false">
      <c r="A251" s="8" t="s">
        <v>202</v>
      </c>
      <c r="B251" s="9" t="s">
        <v>203</v>
      </c>
      <c r="C251" s="14" t="s">
        <v>221</v>
      </c>
      <c r="D251" s="12" t="s">
        <v>205</v>
      </c>
      <c r="E251" s="7" t="s">
        <v>55</v>
      </c>
      <c r="F251" s="6"/>
      <c r="G251" s="21" t="s">
        <v>154</v>
      </c>
      <c r="H251" s="21" t="s">
        <v>154</v>
      </c>
      <c r="I251" s="17" t="s">
        <v>53</v>
      </c>
      <c r="J251" s="17"/>
      <c r="K251" s="17"/>
      <c r="L251" s="17"/>
      <c r="M251" s="17"/>
      <c r="N251" s="17"/>
      <c r="O251" s="17"/>
      <c r="P251" s="17"/>
      <c r="Q251" s="17"/>
      <c r="R251" s="17"/>
      <c r="S251" s="17"/>
    </row>
    <row r="252" customFormat="false" ht="15" hidden="false" customHeight="false" outlineLevel="0" collapsed="false">
      <c r="A252" s="8" t="s">
        <v>202</v>
      </c>
      <c r="B252" s="9" t="s">
        <v>203</v>
      </c>
      <c r="C252" s="14" t="s">
        <v>222</v>
      </c>
      <c r="D252" s="12" t="s">
        <v>205</v>
      </c>
      <c r="E252" s="7" t="s">
        <v>55</v>
      </c>
      <c r="F252" s="6"/>
      <c r="G252" s="21" t="s">
        <v>154</v>
      </c>
      <c r="H252" s="21" t="s">
        <v>154</v>
      </c>
      <c r="I252" s="17" t="s">
        <v>46</v>
      </c>
      <c r="J252" s="17"/>
      <c r="K252" s="17"/>
      <c r="L252" s="17"/>
      <c r="M252" s="17"/>
      <c r="N252" s="17"/>
      <c r="O252" s="17"/>
      <c r="P252" s="17"/>
      <c r="Q252" s="17"/>
      <c r="R252" s="17"/>
      <c r="S252" s="17"/>
    </row>
    <row r="253" customFormat="false" ht="15" hidden="false" customHeight="false" outlineLevel="0" collapsed="false">
      <c r="A253" s="8" t="s">
        <v>202</v>
      </c>
      <c r="B253" s="9" t="s">
        <v>203</v>
      </c>
      <c r="C253" s="14" t="s">
        <v>223</v>
      </c>
      <c r="D253" s="12" t="s">
        <v>205</v>
      </c>
      <c r="E253" s="7" t="s">
        <v>55</v>
      </c>
      <c r="F253" s="6"/>
      <c r="G253" s="21" t="s">
        <v>154</v>
      </c>
      <c r="H253" s="21" t="s">
        <v>154</v>
      </c>
      <c r="I253" s="17"/>
      <c r="J253" s="17"/>
      <c r="K253" s="17"/>
      <c r="L253" s="17"/>
      <c r="M253" s="17"/>
      <c r="N253" s="17"/>
      <c r="O253" s="17"/>
      <c r="P253" s="17"/>
      <c r="Q253" s="17"/>
      <c r="R253" s="17"/>
      <c r="S253" s="17"/>
    </row>
    <row r="254" customFormat="false" ht="15" hidden="false" customHeight="false" outlineLevel="0" collapsed="false">
      <c r="A254" s="8" t="s">
        <v>202</v>
      </c>
      <c r="B254" s="9" t="s">
        <v>203</v>
      </c>
      <c r="C254" s="14" t="s">
        <v>224</v>
      </c>
      <c r="D254" s="12" t="s">
        <v>205</v>
      </c>
      <c r="E254" s="7" t="s">
        <v>55</v>
      </c>
      <c r="F254" s="6"/>
      <c r="G254" s="21" t="s">
        <v>154</v>
      </c>
      <c r="H254" s="21" t="s">
        <v>154</v>
      </c>
      <c r="I254" s="17"/>
      <c r="J254" s="17"/>
      <c r="K254" s="17"/>
      <c r="L254" s="17"/>
      <c r="M254" s="17"/>
      <c r="N254" s="17"/>
      <c r="O254" s="17"/>
      <c r="P254" s="17"/>
      <c r="Q254" s="17"/>
      <c r="R254" s="17"/>
      <c r="S254" s="17"/>
    </row>
    <row r="255" customFormat="false" ht="15" hidden="false" customHeight="false" outlineLevel="0" collapsed="false">
      <c r="A255" s="8" t="s">
        <v>202</v>
      </c>
      <c r="B255" s="9" t="s">
        <v>203</v>
      </c>
      <c r="C255" s="14" t="s">
        <v>225</v>
      </c>
      <c r="D255" s="12" t="s">
        <v>205</v>
      </c>
      <c r="E255" s="7" t="s">
        <v>55</v>
      </c>
      <c r="F255" s="6"/>
      <c r="G255" s="21" t="s">
        <v>154</v>
      </c>
      <c r="H255" s="21" t="s">
        <v>154</v>
      </c>
      <c r="I255" s="17"/>
      <c r="J255" s="17"/>
      <c r="K255" s="17"/>
      <c r="L255" s="17"/>
      <c r="M255" s="17"/>
      <c r="N255" s="17"/>
      <c r="O255" s="17"/>
      <c r="P255" s="17"/>
      <c r="Q255" s="17"/>
      <c r="R255" s="17"/>
      <c r="S255" s="17"/>
    </row>
    <row r="256" customFormat="false" ht="15" hidden="false" customHeight="false" outlineLevel="0" collapsed="false">
      <c r="A256" s="8" t="s">
        <v>202</v>
      </c>
      <c r="B256" s="9" t="s">
        <v>203</v>
      </c>
      <c r="C256" s="14" t="s">
        <v>226</v>
      </c>
      <c r="D256" s="12" t="s">
        <v>205</v>
      </c>
      <c r="E256" s="7" t="s">
        <v>55</v>
      </c>
      <c r="F256" s="6"/>
      <c r="G256" s="21" t="s">
        <v>154</v>
      </c>
      <c r="H256" s="21" t="s">
        <v>154</v>
      </c>
      <c r="I256" s="17"/>
      <c r="J256" s="17"/>
      <c r="K256" s="17"/>
      <c r="L256" s="17"/>
      <c r="M256" s="17"/>
      <c r="N256" s="17"/>
      <c r="O256" s="17"/>
      <c r="P256" s="17"/>
      <c r="Q256" s="17"/>
      <c r="R256" s="17"/>
      <c r="S256" s="17"/>
    </row>
    <row r="257" customFormat="false" ht="15" hidden="false" customHeight="false" outlineLevel="0" collapsed="false">
      <c r="A257" s="8" t="s">
        <v>202</v>
      </c>
      <c r="B257" s="9" t="s">
        <v>203</v>
      </c>
      <c r="C257" s="14" t="s">
        <v>227</v>
      </c>
      <c r="D257" s="12" t="s">
        <v>205</v>
      </c>
      <c r="E257" s="7" t="s">
        <v>55</v>
      </c>
      <c r="F257" s="6"/>
      <c r="G257" s="21" t="s">
        <v>154</v>
      </c>
      <c r="H257" s="21" t="s">
        <v>154</v>
      </c>
      <c r="I257" s="17"/>
      <c r="J257" s="17"/>
      <c r="K257" s="17"/>
      <c r="L257" s="17"/>
      <c r="M257" s="17"/>
      <c r="N257" s="17"/>
      <c r="O257" s="17"/>
      <c r="P257" s="17"/>
      <c r="Q257" s="17"/>
      <c r="R257" s="17"/>
      <c r="S257" s="17"/>
    </row>
    <row r="258" customFormat="false" ht="15" hidden="false" customHeight="false" outlineLevel="0" collapsed="false">
      <c r="A258" s="8" t="s">
        <v>202</v>
      </c>
      <c r="B258" s="9" t="s">
        <v>203</v>
      </c>
      <c r="C258" s="14" t="s">
        <v>228</v>
      </c>
      <c r="D258" s="12" t="s">
        <v>205</v>
      </c>
      <c r="E258" s="7" t="s">
        <v>55</v>
      </c>
      <c r="F258" s="6"/>
      <c r="G258" s="21" t="s">
        <v>154</v>
      </c>
      <c r="H258" s="21" t="s">
        <v>154</v>
      </c>
      <c r="I258" s="17"/>
      <c r="J258" s="17"/>
      <c r="K258" s="17"/>
      <c r="L258" s="17"/>
      <c r="M258" s="17"/>
      <c r="N258" s="17"/>
      <c r="O258" s="17"/>
      <c r="P258" s="17"/>
      <c r="Q258" s="17"/>
      <c r="R258" s="17"/>
      <c r="S258" s="17"/>
    </row>
    <row r="260" customFormat="false" ht="15" hidden="false" customHeight="false" outlineLevel="0" collapsed="false">
      <c r="A260" s="5" t="s">
        <v>229</v>
      </c>
      <c r="B260" s="5"/>
      <c r="C260" s="5"/>
      <c r="D260" s="5"/>
      <c r="E260" s="5"/>
      <c r="F260" s="5"/>
      <c r="G260" s="5"/>
      <c r="H260" s="5"/>
      <c r="I260" s="5"/>
      <c r="J260" s="5"/>
      <c r="K260" s="5"/>
      <c r="L260" s="5"/>
      <c r="M260" s="5"/>
      <c r="N260" s="5"/>
      <c r="O260" s="5"/>
      <c r="P260" s="5"/>
      <c r="Q260" s="5"/>
      <c r="R260" s="5"/>
      <c r="S260" s="5"/>
    </row>
    <row r="261" customFormat="false" ht="15" hidden="false" customHeight="false" outlineLevel="0" collapsed="false">
      <c r="A261" s="8" t="s">
        <v>230</v>
      </c>
      <c r="B261" s="9" t="s">
        <v>231</v>
      </c>
      <c r="C261" s="14" t="s">
        <v>119</v>
      </c>
      <c r="D261" s="12" t="s">
        <v>232</v>
      </c>
      <c r="E261" s="7" t="s">
        <v>55</v>
      </c>
      <c r="F261" s="6" t="s">
        <v>233</v>
      </c>
      <c r="G261" s="21" t="s">
        <v>154</v>
      </c>
      <c r="H261" s="21" t="s">
        <v>154</v>
      </c>
      <c r="I261" s="37" t="n">
        <v>1</v>
      </c>
      <c r="J261" s="37"/>
      <c r="K261" s="37"/>
      <c r="L261" s="37"/>
      <c r="M261" s="37"/>
      <c r="N261" s="37"/>
      <c r="O261" s="37"/>
      <c r="P261" s="37"/>
      <c r="Q261" s="37"/>
      <c r="R261" s="37"/>
      <c r="S261" s="37"/>
    </row>
    <row r="262" customFormat="false" ht="15" hidden="false" customHeight="false" outlineLevel="0" collapsed="false">
      <c r="A262" s="8" t="s">
        <v>230</v>
      </c>
      <c r="B262" s="9" t="s">
        <v>231</v>
      </c>
      <c r="C262" s="14" t="s">
        <v>120</v>
      </c>
      <c r="D262" s="12" t="s">
        <v>232</v>
      </c>
      <c r="E262" s="7" t="s">
        <v>55</v>
      </c>
      <c r="F262" s="6" t="s">
        <v>233</v>
      </c>
      <c r="G262" s="21" t="s">
        <v>154</v>
      </c>
      <c r="H262" s="21" t="s">
        <v>154</v>
      </c>
      <c r="I262" s="37" t="n">
        <v>1</v>
      </c>
      <c r="J262" s="37"/>
      <c r="K262" s="37"/>
      <c r="L262" s="37"/>
      <c r="M262" s="37"/>
      <c r="N262" s="37"/>
      <c r="O262" s="37"/>
      <c r="P262" s="37"/>
      <c r="Q262" s="37"/>
      <c r="R262" s="37"/>
      <c r="S262" s="37"/>
    </row>
    <row r="263" customFormat="false" ht="15" hidden="false" customHeight="false" outlineLevel="0" collapsed="false">
      <c r="A263" s="8" t="s">
        <v>230</v>
      </c>
      <c r="B263" s="9" t="s">
        <v>231</v>
      </c>
      <c r="C263" s="14" t="s">
        <v>121</v>
      </c>
      <c r="D263" s="12" t="s">
        <v>232</v>
      </c>
      <c r="E263" s="7" t="s">
        <v>55</v>
      </c>
      <c r="F263" s="6" t="s">
        <v>233</v>
      </c>
      <c r="G263" s="21" t="s">
        <v>154</v>
      </c>
      <c r="H263" s="21" t="s">
        <v>154</v>
      </c>
      <c r="I263" s="37" t="n">
        <v>1</v>
      </c>
      <c r="J263" s="37"/>
      <c r="K263" s="37"/>
      <c r="L263" s="37"/>
      <c r="M263" s="37"/>
      <c r="N263" s="37"/>
      <c r="O263" s="37"/>
      <c r="P263" s="37"/>
      <c r="Q263" s="37"/>
      <c r="R263" s="37"/>
      <c r="S263" s="37"/>
    </row>
    <row r="264" customFormat="false" ht="15" hidden="false" customHeight="false" outlineLevel="0" collapsed="false">
      <c r="A264" s="8" t="s">
        <v>230</v>
      </c>
      <c r="B264" s="9" t="s">
        <v>231</v>
      </c>
      <c r="C264" s="14" t="s">
        <v>122</v>
      </c>
      <c r="D264" s="12" t="s">
        <v>232</v>
      </c>
      <c r="E264" s="7" t="s">
        <v>55</v>
      </c>
      <c r="F264" s="6" t="s">
        <v>233</v>
      </c>
      <c r="G264" s="21" t="s">
        <v>154</v>
      </c>
      <c r="H264" s="21" t="s">
        <v>154</v>
      </c>
      <c r="I264" s="37" t="n">
        <v>1</v>
      </c>
      <c r="J264" s="37"/>
      <c r="K264" s="37"/>
      <c r="L264" s="37"/>
      <c r="M264" s="37"/>
      <c r="N264" s="37"/>
      <c r="O264" s="37"/>
      <c r="P264" s="37"/>
      <c r="Q264" s="37"/>
      <c r="R264" s="37"/>
      <c r="S264" s="37"/>
    </row>
    <row r="266" customFormat="false" ht="15" hidden="false" customHeight="false" outlineLevel="0" collapsed="false">
      <c r="A266" s="5" t="s">
        <v>234</v>
      </c>
      <c r="B266" s="5"/>
      <c r="C266" s="5"/>
      <c r="D266" s="5"/>
      <c r="E266" s="5"/>
      <c r="F266" s="5"/>
      <c r="G266" s="5"/>
      <c r="H266" s="5"/>
      <c r="I266" s="5"/>
      <c r="J266" s="5"/>
      <c r="K266" s="5"/>
      <c r="L266" s="5"/>
      <c r="M266" s="5"/>
      <c r="N266" s="5"/>
      <c r="O266" s="5"/>
      <c r="P266" s="5"/>
      <c r="Q266" s="5"/>
      <c r="R266" s="5"/>
      <c r="S266" s="5"/>
    </row>
    <row r="267" customFormat="false" ht="15" hidden="false" customHeight="false" outlineLevel="0" collapsed="false">
      <c r="A267" s="8" t="s">
        <v>235</v>
      </c>
      <c r="B267" s="9" t="s">
        <v>236</v>
      </c>
      <c r="C267" s="14" t="s">
        <v>84</v>
      </c>
      <c r="D267" s="12" t="s">
        <v>81</v>
      </c>
      <c r="E267" s="7" t="s">
        <v>55</v>
      </c>
      <c r="F267" s="6"/>
      <c r="G267" s="21" t="s">
        <v>154</v>
      </c>
      <c r="H267" s="21" t="s">
        <v>70</v>
      </c>
      <c r="I267" s="28" t="n">
        <v>0</v>
      </c>
      <c r="J267" s="28"/>
      <c r="K267" s="28"/>
      <c r="L267" s="28"/>
      <c r="M267" s="28"/>
      <c r="N267" s="28"/>
      <c r="O267" s="28"/>
      <c r="P267" s="28"/>
      <c r="Q267" s="28"/>
      <c r="R267" s="28"/>
      <c r="S267" s="28"/>
    </row>
    <row r="268" customFormat="false" ht="15" hidden="false" customHeight="false" outlineLevel="0" collapsed="false">
      <c r="A268" s="8" t="s">
        <v>235</v>
      </c>
      <c r="B268" s="9" t="s">
        <v>237</v>
      </c>
      <c r="C268" s="14" t="s">
        <v>84</v>
      </c>
      <c r="D268" s="12" t="s">
        <v>81</v>
      </c>
      <c r="E268" s="7" t="s">
        <v>55</v>
      </c>
      <c r="F268" s="6"/>
      <c r="G268" s="21" t="s">
        <v>154</v>
      </c>
      <c r="H268" s="21" t="s">
        <v>70</v>
      </c>
      <c r="I268" s="28" t="n">
        <v>0</v>
      </c>
      <c r="J268" s="28"/>
      <c r="K268" s="28"/>
      <c r="L268" s="28"/>
      <c r="M268" s="28"/>
      <c r="N268" s="28"/>
      <c r="O268" s="28"/>
      <c r="P268" s="28"/>
      <c r="Q268" s="28"/>
      <c r="R268" s="28"/>
      <c r="S268" s="28"/>
    </row>
    <row r="269" customFormat="false" ht="15" hidden="false" customHeight="false" outlineLevel="0" collapsed="false">
      <c r="A269" s="8" t="s">
        <v>235</v>
      </c>
      <c r="B269" s="9" t="s">
        <v>238</v>
      </c>
      <c r="C269" s="14" t="s">
        <v>84</v>
      </c>
      <c r="D269" s="12" t="s">
        <v>81</v>
      </c>
      <c r="E269" s="7" t="s">
        <v>55</v>
      </c>
      <c r="F269" s="6"/>
      <c r="G269" s="21" t="s">
        <v>154</v>
      </c>
      <c r="H269" s="21" t="s">
        <v>70</v>
      </c>
      <c r="I269" s="28" t="n">
        <v>0</v>
      </c>
      <c r="J269" s="28"/>
      <c r="K269" s="28"/>
      <c r="L269" s="28"/>
      <c r="M269" s="28"/>
      <c r="N269" s="28"/>
      <c r="O269" s="28"/>
      <c r="P269" s="28"/>
      <c r="Q269" s="28"/>
      <c r="R269" s="28"/>
      <c r="S269" s="28"/>
    </row>
    <row r="270" customFormat="false" ht="15" hidden="false" customHeight="false" outlineLevel="0" collapsed="false">
      <c r="A270" s="8" t="s">
        <v>235</v>
      </c>
      <c r="B270" s="9" t="s">
        <v>239</v>
      </c>
      <c r="C270" s="14" t="s">
        <v>84</v>
      </c>
      <c r="D270" s="12" t="s">
        <v>81</v>
      </c>
      <c r="E270" s="7" t="s">
        <v>55</v>
      </c>
      <c r="F270" s="6"/>
      <c r="G270" s="21" t="s">
        <v>154</v>
      </c>
      <c r="H270" s="27" t="n">
        <v>2000000000</v>
      </c>
      <c r="I270" s="28" t="n">
        <v>3000000000</v>
      </c>
      <c r="J270" s="28"/>
      <c r="K270" s="28"/>
      <c r="L270" s="28"/>
      <c r="M270" s="28"/>
      <c r="N270" s="28"/>
      <c r="O270" s="28"/>
      <c r="P270" s="28"/>
      <c r="Q270" s="28"/>
      <c r="R270" s="28"/>
      <c r="S270" s="28"/>
    </row>
    <row r="271" customFormat="false" ht="22.35" hidden="false" customHeight="false" outlineLevel="0" collapsed="false">
      <c r="A271" s="8" t="s">
        <v>235</v>
      </c>
      <c r="B271" s="9" t="s">
        <v>240</v>
      </c>
      <c r="C271" s="14" t="s">
        <v>119</v>
      </c>
      <c r="D271" s="12" t="s">
        <v>81</v>
      </c>
      <c r="E271" s="7" t="s">
        <v>55</v>
      </c>
      <c r="F271" s="6" t="s">
        <v>82</v>
      </c>
      <c r="G271" s="21" t="s">
        <v>154</v>
      </c>
      <c r="H271" s="21" t="s">
        <v>70</v>
      </c>
      <c r="I271" s="28" t="n">
        <v>0</v>
      </c>
      <c r="J271" s="28"/>
      <c r="K271" s="28"/>
      <c r="L271" s="28"/>
      <c r="M271" s="28"/>
      <c r="N271" s="28"/>
      <c r="O271" s="28"/>
      <c r="P271" s="28"/>
      <c r="Q271" s="28"/>
      <c r="R271" s="28"/>
      <c r="S271" s="28"/>
    </row>
    <row r="272" customFormat="false" ht="22.35" hidden="false" customHeight="false" outlineLevel="0" collapsed="false">
      <c r="A272" s="8" t="s">
        <v>235</v>
      </c>
      <c r="B272" s="9" t="s">
        <v>240</v>
      </c>
      <c r="C272" s="14" t="s">
        <v>120</v>
      </c>
      <c r="D272" s="12" t="s">
        <v>81</v>
      </c>
      <c r="E272" s="7" t="s">
        <v>55</v>
      </c>
      <c r="F272" s="6" t="s">
        <v>82</v>
      </c>
      <c r="G272" s="21" t="s">
        <v>154</v>
      </c>
      <c r="H272" s="21" t="s">
        <v>70</v>
      </c>
      <c r="I272" s="28" t="n">
        <v>0</v>
      </c>
      <c r="J272" s="28"/>
      <c r="K272" s="28"/>
      <c r="L272" s="28"/>
      <c r="M272" s="28"/>
      <c r="N272" s="28"/>
      <c r="O272" s="28"/>
      <c r="P272" s="28"/>
      <c r="Q272" s="28"/>
      <c r="R272" s="28"/>
      <c r="S272" s="28"/>
    </row>
    <row r="273" customFormat="false" ht="22.35" hidden="false" customHeight="false" outlineLevel="0" collapsed="false">
      <c r="A273" s="8" t="s">
        <v>235</v>
      </c>
      <c r="B273" s="9" t="s">
        <v>240</v>
      </c>
      <c r="C273" s="14" t="s">
        <v>121</v>
      </c>
      <c r="D273" s="12" t="s">
        <v>81</v>
      </c>
      <c r="E273" s="7" t="s">
        <v>55</v>
      </c>
      <c r="F273" s="6" t="s">
        <v>82</v>
      </c>
      <c r="G273" s="21" t="s">
        <v>154</v>
      </c>
      <c r="H273" s="21" t="s">
        <v>70</v>
      </c>
      <c r="I273" s="28" t="n">
        <v>0</v>
      </c>
      <c r="J273" s="28"/>
      <c r="K273" s="28"/>
      <c r="L273" s="28"/>
      <c r="M273" s="28"/>
      <c r="N273" s="28"/>
      <c r="O273" s="28"/>
      <c r="P273" s="28"/>
      <c r="Q273" s="28"/>
      <c r="R273" s="28"/>
      <c r="S273" s="28"/>
    </row>
    <row r="274" customFormat="false" ht="22.35" hidden="false" customHeight="false" outlineLevel="0" collapsed="false">
      <c r="A274" s="8" t="s">
        <v>235</v>
      </c>
      <c r="B274" s="9" t="s">
        <v>240</v>
      </c>
      <c r="C274" s="14" t="s">
        <v>122</v>
      </c>
      <c r="D274" s="12" t="s">
        <v>81</v>
      </c>
      <c r="E274" s="7" t="s">
        <v>55</v>
      </c>
      <c r="F274" s="6" t="s">
        <v>82</v>
      </c>
      <c r="G274" s="21" t="s">
        <v>154</v>
      </c>
      <c r="H274" s="21" t="s">
        <v>70</v>
      </c>
      <c r="I274" s="28" t="n">
        <v>0</v>
      </c>
      <c r="J274" s="28"/>
      <c r="K274" s="28"/>
      <c r="L274" s="28"/>
      <c r="M274" s="28"/>
      <c r="N274" s="28"/>
      <c r="O274" s="28"/>
      <c r="P274" s="28"/>
      <c r="Q274" s="28"/>
      <c r="R274" s="28"/>
      <c r="S274" s="28"/>
    </row>
    <row r="275" customFormat="false" ht="22.35" hidden="false" customHeight="false" outlineLevel="0" collapsed="false">
      <c r="A275" s="8" t="s">
        <v>235</v>
      </c>
      <c r="B275" s="9" t="s">
        <v>240</v>
      </c>
      <c r="C275" s="14" t="s">
        <v>241</v>
      </c>
      <c r="D275" s="12" t="s">
        <v>81</v>
      </c>
      <c r="E275" s="7" t="s">
        <v>55</v>
      </c>
      <c r="F275" s="6" t="s">
        <v>82</v>
      </c>
      <c r="G275" s="21" t="s">
        <v>154</v>
      </c>
      <c r="H275" s="21" t="s">
        <v>70</v>
      </c>
      <c r="I275" s="28" t="n">
        <v>0</v>
      </c>
      <c r="J275" s="28"/>
      <c r="K275" s="28"/>
      <c r="L275" s="28"/>
      <c r="M275" s="28"/>
      <c r="N275" s="28"/>
      <c r="O275" s="28"/>
      <c r="P275" s="28"/>
      <c r="Q275" s="28"/>
      <c r="R275" s="28"/>
      <c r="S275" s="28"/>
    </row>
    <row r="276" customFormat="false" ht="22.35" hidden="false" customHeight="false" outlineLevel="0" collapsed="false">
      <c r="A276" s="8" t="s">
        <v>235</v>
      </c>
      <c r="B276" s="9" t="s">
        <v>240</v>
      </c>
      <c r="C276" s="14" t="s">
        <v>242</v>
      </c>
      <c r="D276" s="12" t="s">
        <v>81</v>
      </c>
      <c r="E276" s="7" t="s">
        <v>55</v>
      </c>
      <c r="F276" s="6" t="s">
        <v>82</v>
      </c>
      <c r="G276" s="21" t="s">
        <v>154</v>
      </c>
      <c r="H276" s="21" t="s">
        <v>70</v>
      </c>
      <c r="I276" s="28" t="n">
        <v>0</v>
      </c>
      <c r="J276" s="28"/>
      <c r="K276" s="28"/>
      <c r="L276" s="28"/>
      <c r="M276" s="28"/>
      <c r="N276" s="28"/>
      <c r="O276" s="28"/>
      <c r="P276" s="28"/>
      <c r="Q276" s="28"/>
      <c r="R276" s="28"/>
      <c r="S276" s="28"/>
    </row>
    <row r="277" customFormat="false" ht="15" hidden="false" customHeight="false" outlineLevel="0" collapsed="false">
      <c r="A277" s="8" t="s">
        <v>235</v>
      </c>
      <c r="B277" s="9" t="s">
        <v>243</v>
      </c>
      <c r="C277" s="14" t="s">
        <v>71</v>
      </c>
      <c r="D277" s="12" t="s">
        <v>81</v>
      </c>
      <c r="E277" s="7" t="s">
        <v>116</v>
      </c>
      <c r="F277" s="6" t="s">
        <v>117</v>
      </c>
      <c r="G277" s="21" t="s">
        <v>154</v>
      </c>
      <c r="H277" s="27" t="n">
        <v>0</v>
      </c>
      <c r="I277" s="28" t="n">
        <v>0</v>
      </c>
      <c r="J277" s="28"/>
      <c r="K277" s="28"/>
      <c r="L277" s="28"/>
      <c r="M277" s="28"/>
      <c r="N277" s="28"/>
      <c r="O277" s="28"/>
      <c r="P277" s="28"/>
      <c r="Q277" s="28"/>
      <c r="R277" s="28"/>
      <c r="S277" s="28"/>
    </row>
    <row r="278" customFormat="false" ht="15" hidden="false" customHeight="false" outlineLevel="0" collapsed="false">
      <c r="A278" s="8" t="s">
        <v>235</v>
      </c>
      <c r="B278" s="9" t="s">
        <v>243</v>
      </c>
      <c r="C278" s="14" t="s">
        <v>72</v>
      </c>
      <c r="D278" s="12" t="s">
        <v>81</v>
      </c>
      <c r="E278" s="7" t="s">
        <v>116</v>
      </c>
      <c r="F278" s="6" t="s">
        <v>117</v>
      </c>
      <c r="G278" s="21" t="s">
        <v>154</v>
      </c>
      <c r="H278" s="27" t="n">
        <v>0</v>
      </c>
      <c r="I278" s="28" t="n">
        <v>0</v>
      </c>
      <c r="J278" s="28"/>
      <c r="K278" s="28"/>
      <c r="L278" s="28"/>
      <c r="M278" s="28"/>
      <c r="N278" s="28"/>
      <c r="O278" s="28"/>
      <c r="P278" s="28"/>
      <c r="Q278" s="28"/>
      <c r="R278" s="28"/>
      <c r="S278" s="28"/>
    </row>
  </sheetData>
  <autoFilter ref="A4:F279"/>
  <mergeCells count="15">
    <mergeCell ref="A1:S1"/>
    <mergeCell ref="A2:S2"/>
    <mergeCell ref="A5:S5"/>
    <mergeCell ref="A13:S13"/>
    <mergeCell ref="A19:S19"/>
    <mergeCell ref="A95:S95"/>
    <mergeCell ref="A109:S109"/>
    <mergeCell ref="A123:S123"/>
    <mergeCell ref="A137:S137"/>
    <mergeCell ref="A157:S157"/>
    <mergeCell ref="A162:S162"/>
    <mergeCell ref="A184:S184"/>
    <mergeCell ref="A234:S234"/>
    <mergeCell ref="A260:S260"/>
    <mergeCell ref="A266:S266"/>
  </mergeCells>
  <dataValidations count="3">
    <dataValidation allowBlank="false" errorStyle="stop" operator="between" showDropDown="false" showErrorMessage="false" showInputMessage="false" sqref="C9" type="list">
      <formula1>$U$2:$U$4</formula1>
      <formula2>0</formula2>
    </dataValidation>
    <dataValidation allowBlank="true" errorStyle="stop" operator="between" showDropDown="false" showErrorMessage="false" showInputMessage="false" sqref="G187:S187 G191:S191 G195:S195 G199:S199 G203:S203 G207:S207 G211:S211 G215:S215 G219:S219 G223:S223 G227:S227 G231:S231" type="list">
      <formula1>$U$6:$U$10</formula1>
      <formula2>0</formula2>
    </dataValidation>
    <dataValidation allowBlank="true" errorStyle="stop" operator="between" showDropDown="false" showErrorMessage="false" showInputMessage="false" sqref="G235:S258" type="list">
      <formula1>$U$12:$U$14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1" outlineLevelCol="0"/>
  <cols>
    <col collapsed="false" customWidth="true" hidden="false" outlineLevel="0" max="1" min="1" style="0" width="42"/>
    <col collapsed="false" customWidth="true" hidden="false" outlineLevel="0" max="2" min="2" style="0" width="10"/>
    <col collapsed="false" customWidth="true" hidden="true" outlineLevel="0" max="6" min="3" style="0" width="13"/>
    <col collapsed="false" customWidth="true" hidden="false" outlineLevel="0" max="19" min="7" style="0" width="13"/>
    <col collapsed="false" customWidth="true" hidden="true" outlineLevel="0" max="21" min="21" style="0" width="13"/>
  </cols>
  <sheetData>
    <row r="1" customFormat="false" ht="16.15" hidden="false" customHeight="false" outlineLevel="0" collapsed="false">
      <c r="A1" s="1" t="s">
        <v>244</v>
      </c>
      <c r="B1" s="1"/>
      <c r="C1" s="1"/>
      <c r="D1" s="1"/>
      <c r="E1" s="1"/>
      <c r="F1" s="1"/>
      <c r="G1" s="1"/>
      <c r="H1" s="1"/>
      <c r="I1" s="1"/>
      <c r="J1" s="1"/>
      <c r="K1" s="1"/>
      <c r="L1" s="1"/>
      <c r="M1" s="1"/>
      <c r="N1" s="1"/>
      <c r="O1" s="1"/>
      <c r="P1" s="1"/>
      <c r="Q1" s="1"/>
      <c r="R1" s="1"/>
      <c r="S1" s="1"/>
      <c r="U1" s="3" t="s">
        <v>245</v>
      </c>
    </row>
    <row r="2" customFormat="false" ht="30" hidden="false" customHeight="true" outlineLevel="0" collapsed="false">
      <c r="A2" s="38" t="s">
        <v>246</v>
      </c>
      <c r="B2" s="39" t="s">
        <v>245</v>
      </c>
      <c r="C2" s="40" t="s">
        <v>247</v>
      </c>
      <c r="D2" s="40"/>
      <c r="E2" s="40"/>
      <c r="F2" s="40"/>
      <c r="G2" s="40"/>
      <c r="H2" s="40"/>
      <c r="I2" s="40"/>
      <c r="J2" s="40"/>
      <c r="K2" s="40"/>
      <c r="L2" s="40"/>
      <c r="M2" s="40"/>
      <c r="N2" s="40"/>
      <c r="O2" s="40"/>
      <c r="P2" s="40"/>
      <c r="Q2" s="40"/>
      <c r="R2" s="40"/>
      <c r="S2" s="40"/>
      <c r="U2" s="3" t="s">
        <v>67</v>
      </c>
    </row>
    <row r="3" customFormat="false" ht="25.5" hidden="false" customHeight="true" outlineLevel="0" collapsed="false">
      <c r="A3" s="41" t="s">
        <v>248</v>
      </c>
      <c r="B3" s="41"/>
      <c r="C3" s="41"/>
      <c r="D3" s="41"/>
      <c r="E3" s="41"/>
      <c r="F3" s="41"/>
      <c r="G3" s="41"/>
      <c r="H3" s="41"/>
      <c r="I3" s="41"/>
      <c r="J3" s="41"/>
      <c r="K3" s="41"/>
      <c r="L3" s="41"/>
      <c r="M3" s="41"/>
      <c r="N3" s="41"/>
      <c r="O3" s="41"/>
      <c r="P3" s="41"/>
      <c r="Q3" s="41"/>
      <c r="R3" s="41"/>
      <c r="S3" s="41"/>
      <c r="U3" s="3" t="s">
        <v>249</v>
      </c>
    </row>
    <row r="4" customFormat="false" ht="15" hidden="false" customHeight="false" outlineLevel="0" collapsed="false">
      <c r="U4" s="3" t="s">
        <v>250</v>
      </c>
    </row>
    <row r="5" customFormat="false" ht="15" hidden="false" customHeight="false" outlineLevel="0" collapsed="false">
      <c r="A5" s="4" t="s">
        <v>251</v>
      </c>
      <c r="B5" s="4" t="s">
        <v>7</v>
      </c>
      <c r="C5" s="4"/>
      <c r="D5" s="4"/>
      <c r="E5" s="4"/>
      <c r="F5" s="4"/>
      <c r="G5" s="4" t="s">
        <v>252</v>
      </c>
      <c r="H5" s="4" t="s">
        <v>253</v>
      </c>
      <c r="I5" s="4" t="s">
        <v>254</v>
      </c>
      <c r="J5" s="4" t="s">
        <v>255</v>
      </c>
      <c r="K5" s="4" t="s">
        <v>256</v>
      </c>
      <c r="L5" s="4" t="s">
        <v>257</v>
      </c>
      <c r="M5" s="4" t="s">
        <v>258</v>
      </c>
      <c r="N5" s="4" t="s">
        <v>259</v>
      </c>
      <c r="O5" s="4" t="s">
        <v>260</v>
      </c>
      <c r="P5" s="4" t="s">
        <v>261</v>
      </c>
      <c r="Q5" s="4" t="s">
        <v>262</v>
      </c>
      <c r="R5" s="4" t="s">
        <v>263</v>
      </c>
      <c r="S5" s="4" t="s">
        <v>264</v>
      </c>
      <c r="U5" s="3" t="s">
        <v>265</v>
      </c>
    </row>
    <row r="6" customFormat="false" ht="15" hidden="false" customHeight="false" outlineLevel="0" collapsed="false">
      <c r="A6" s="5" t="s">
        <v>266</v>
      </c>
      <c r="B6" s="5"/>
      <c r="C6" s="5"/>
      <c r="D6" s="5"/>
      <c r="E6" s="5"/>
      <c r="F6" s="5"/>
      <c r="G6" s="5"/>
      <c r="H6" s="5"/>
      <c r="I6" s="5"/>
      <c r="J6" s="5"/>
      <c r="K6" s="5"/>
      <c r="L6" s="5"/>
      <c r="M6" s="5"/>
      <c r="N6" s="5"/>
      <c r="O6" s="5"/>
      <c r="P6" s="5"/>
      <c r="Q6" s="5"/>
      <c r="R6" s="5"/>
      <c r="S6" s="5"/>
    </row>
    <row r="7" customFormat="false" ht="15" hidden="false" customHeight="false" outlineLevel="0" collapsed="false">
      <c r="A7" s="8" t="s">
        <v>267</v>
      </c>
      <c r="B7" s="12" t="s">
        <v>81</v>
      </c>
      <c r="G7" s="42" t="n">
        <f aca="false">CHOOSE(MATCH($B$2,$U$1:$U$5,0),_ENGINE_FINANCIERO!G160,_ENGINE_FINANCIERO!G5,_ENGINE_FINANCIERO!G52,_ENGINE_FINANCIERO!G99,_ENGINE_FINANCIERO!G160)</f>
        <v>39489000000</v>
      </c>
      <c r="H7" s="42" t="str">
        <f aca="false">CHOOSE(MATCH($B$2,$U$1:$U$5,0),_ENGINE_FINANCIERO!H160,_ENGINE_FINANCIERO!H5,_ENGINE_FINANCIERO!H52,_ENGINE_FINANCIERO!H99,_ENGINE_FINANCIERO!H160)</f>
        <v>n/a (RDOS R1 Global no desagregado aquí)</v>
      </c>
      <c r="I7" s="42" t="n">
        <f aca="false">IF(01_INPUTS!I17,CHOOSE(MATCH($B$2,$U$1:$U$5,0),_ENGINE_FINANCIERO!I160,_ENGINE_FINANCIERO!I5,_ENGINE_FINANCIERO!I52,_ENGINE_FINANCIERO!I99,_ENGINE_FINANCIERO!I160),"")</f>
        <v>76940912697.0266</v>
      </c>
      <c r="J7" s="42" t="str">
        <f aca="false">IF(01_INPUTS!J17,CHOOSE(MATCH($B$2,$U$1:$U$5,0),_ENGINE_FINANCIERO!J160,_ENGINE_FINANCIERO!J5,_ENGINE_FINANCIERO!J52,_ENGINE_FINANCIERO!J99,_ENGINE_FINANCIERO!J160),"")</f>
        <v/>
      </c>
      <c r="K7" s="42" t="str">
        <f aca="false">IF(01_INPUTS!K17,CHOOSE(MATCH($B$2,$U$1:$U$5,0),_ENGINE_FINANCIERO!K160,_ENGINE_FINANCIERO!K5,_ENGINE_FINANCIERO!K52,_ENGINE_FINANCIERO!K99,_ENGINE_FINANCIERO!K160),"")</f>
        <v/>
      </c>
      <c r="L7" s="42" t="str">
        <f aca="false">IF(01_INPUTS!L17,CHOOSE(MATCH($B$2,$U$1:$U$5,0),_ENGINE_FINANCIERO!L160,_ENGINE_FINANCIERO!L5,_ENGINE_FINANCIERO!L52,_ENGINE_FINANCIERO!L99,_ENGINE_FINANCIERO!L160),"")</f>
        <v/>
      </c>
      <c r="M7" s="42" t="str">
        <f aca="false">IF(01_INPUTS!M17,CHOOSE(MATCH($B$2,$U$1:$U$5,0),_ENGINE_FINANCIERO!M160,_ENGINE_FINANCIERO!M5,_ENGINE_FINANCIERO!M52,_ENGINE_FINANCIERO!M99,_ENGINE_FINANCIERO!M160),"")</f>
        <v/>
      </c>
      <c r="N7" s="42" t="str">
        <f aca="false">IF(01_INPUTS!N17,CHOOSE(MATCH($B$2,$U$1:$U$5,0),_ENGINE_FINANCIERO!N160,_ENGINE_FINANCIERO!N5,_ENGINE_FINANCIERO!N52,_ENGINE_FINANCIERO!N99,_ENGINE_FINANCIERO!N160),"")</f>
        <v/>
      </c>
      <c r="O7" s="42" t="str">
        <f aca="false">IF(01_INPUTS!O17,CHOOSE(MATCH($B$2,$U$1:$U$5,0),_ENGINE_FINANCIERO!O160,_ENGINE_FINANCIERO!O5,_ENGINE_FINANCIERO!O52,_ENGINE_FINANCIERO!O99,_ENGINE_FINANCIERO!O160),"")</f>
        <v/>
      </c>
      <c r="P7" s="42" t="str">
        <f aca="false">IF(01_INPUTS!P17,CHOOSE(MATCH($B$2,$U$1:$U$5,0),_ENGINE_FINANCIERO!P160,_ENGINE_FINANCIERO!P5,_ENGINE_FINANCIERO!P52,_ENGINE_FINANCIERO!P99,_ENGINE_FINANCIERO!P160),"")</f>
        <v/>
      </c>
      <c r="Q7" s="42" t="str">
        <f aca="false">IF(01_INPUTS!Q17,CHOOSE(MATCH($B$2,$U$1:$U$5,0),_ENGINE_FINANCIERO!Q160,_ENGINE_FINANCIERO!Q5,_ENGINE_FINANCIERO!Q52,_ENGINE_FINANCIERO!Q99,_ENGINE_FINANCIERO!Q160),"")</f>
        <v/>
      </c>
      <c r="R7" s="42" t="str">
        <f aca="false">IF(01_INPUTS!R17,CHOOSE(MATCH($B$2,$U$1:$U$5,0),_ENGINE_FINANCIERO!R160,_ENGINE_FINANCIERO!R5,_ENGINE_FINANCIERO!R52,_ENGINE_FINANCIERO!R99,_ENGINE_FINANCIERO!R160),"")</f>
        <v/>
      </c>
      <c r="S7" s="42" t="str">
        <f aca="false">IF(01_INPUTS!S17,CHOOSE(MATCH($B$2,$U$1:$U$5,0),_ENGINE_FINANCIERO!S160,_ENGINE_FINANCIERO!S5,_ENGINE_FINANCIERO!S52,_ENGINE_FINANCIERO!S99,_ENGINE_FINANCIERO!S160),"")</f>
        <v/>
      </c>
    </row>
    <row r="8" customFormat="false" ht="15" hidden="true" customHeight="false" outlineLevel="1" collapsed="false">
      <c r="A8" s="6" t="s">
        <v>268</v>
      </c>
      <c r="B8" s="43" t="s">
        <v>81</v>
      </c>
      <c r="G8" s="44" t="n">
        <f aca="false">_ENGINE_FINANCIERO!G5</f>
        <v>0</v>
      </c>
      <c r="H8" s="44" t="n">
        <f aca="false">_ENGINE_FINANCIERO!H5</f>
        <v>0</v>
      </c>
      <c r="I8" s="44" t="n">
        <f aca="false">IF(01_INPUTS!I17,_ENGINE_FINANCIERO!I5,"")</f>
        <v>25052171160.6711</v>
      </c>
      <c r="J8" s="44" t="str">
        <f aca="false">IF(01_INPUTS!J17,_ENGINE_FINANCIERO!J5,"")</f>
        <v/>
      </c>
      <c r="K8" s="44" t="str">
        <f aca="false">IF(01_INPUTS!K17,_ENGINE_FINANCIERO!K5,"")</f>
        <v/>
      </c>
      <c r="L8" s="44" t="str">
        <f aca="false">IF(01_INPUTS!L17,_ENGINE_FINANCIERO!L5,"")</f>
        <v/>
      </c>
      <c r="M8" s="44" t="str">
        <f aca="false">IF(01_INPUTS!M17,_ENGINE_FINANCIERO!M5,"")</f>
        <v/>
      </c>
      <c r="N8" s="44" t="str">
        <f aca="false">IF(01_INPUTS!N17,_ENGINE_FINANCIERO!N5,"")</f>
        <v/>
      </c>
      <c r="O8" s="44" t="str">
        <f aca="false">IF(01_INPUTS!O17,_ENGINE_FINANCIERO!O5,"")</f>
        <v/>
      </c>
      <c r="P8" s="44" t="str">
        <f aca="false">IF(01_INPUTS!P17,_ENGINE_FINANCIERO!P5,"")</f>
        <v/>
      </c>
      <c r="Q8" s="44" t="str">
        <f aca="false">IF(01_INPUTS!Q17,_ENGINE_FINANCIERO!Q5,"")</f>
        <v/>
      </c>
      <c r="R8" s="44" t="str">
        <f aca="false">IF(01_INPUTS!R17,_ENGINE_FINANCIERO!R5,"")</f>
        <v/>
      </c>
      <c r="S8" s="44" t="str">
        <f aca="false">IF(01_INPUTS!S17,_ENGINE_FINANCIERO!S5,"")</f>
        <v/>
      </c>
    </row>
    <row r="9" customFormat="false" ht="15" hidden="true" customHeight="false" outlineLevel="1" collapsed="false">
      <c r="A9" s="6" t="s">
        <v>269</v>
      </c>
      <c r="B9" s="43" t="s">
        <v>81</v>
      </c>
      <c r="G9" s="44" t="n">
        <f aca="false">_ENGINE_FINANCIERO!G52</f>
        <v>0</v>
      </c>
      <c r="H9" s="44" t="n">
        <f aca="false">_ENGINE_FINANCIERO!H52</f>
        <v>0</v>
      </c>
      <c r="I9" s="44" t="n">
        <f aca="false">IF(01_INPUTS!I17,_ENGINE_FINANCIERO!I52,"")</f>
        <v>20223491515.5358</v>
      </c>
      <c r="J9" s="44" t="str">
        <f aca="false">IF(01_INPUTS!J17,_ENGINE_FINANCIERO!J52,"")</f>
        <v/>
      </c>
      <c r="K9" s="44" t="str">
        <f aca="false">IF(01_INPUTS!K17,_ENGINE_FINANCIERO!K52,"")</f>
        <v/>
      </c>
      <c r="L9" s="44" t="str">
        <f aca="false">IF(01_INPUTS!L17,_ENGINE_FINANCIERO!L52,"")</f>
        <v/>
      </c>
      <c r="M9" s="44" t="str">
        <f aca="false">IF(01_INPUTS!M17,_ENGINE_FINANCIERO!M52,"")</f>
        <v/>
      </c>
      <c r="N9" s="44" t="str">
        <f aca="false">IF(01_INPUTS!N17,_ENGINE_FINANCIERO!N52,"")</f>
        <v/>
      </c>
      <c r="O9" s="44" t="str">
        <f aca="false">IF(01_INPUTS!O17,_ENGINE_FINANCIERO!O52,"")</f>
        <v/>
      </c>
      <c r="P9" s="44" t="str">
        <f aca="false">IF(01_INPUTS!P17,_ENGINE_FINANCIERO!P52,"")</f>
        <v/>
      </c>
      <c r="Q9" s="44" t="str">
        <f aca="false">IF(01_INPUTS!Q17,_ENGINE_FINANCIERO!Q52,"")</f>
        <v/>
      </c>
      <c r="R9" s="44" t="str">
        <f aca="false">IF(01_INPUTS!R17,_ENGINE_FINANCIERO!R52,"")</f>
        <v/>
      </c>
      <c r="S9" s="44" t="str">
        <f aca="false">IF(01_INPUTS!S17,_ENGINE_FINANCIERO!S52,"")</f>
        <v/>
      </c>
    </row>
    <row r="10" customFormat="false" ht="15" hidden="true" customHeight="false" outlineLevel="1" collapsed="false">
      <c r="A10" s="6" t="s">
        <v>270</v>
      </c>
      <c r="B10" s="43" t="s">
        <v>81</v>
      </c>
      <c r="G10" s="44" t="n">
        <f aca="false">_ENGINE_FINANCIERO!G99</f>
        <v>0</v>
      </c>
      <c r="H10" s="44" t="n">
        <f aca="false">_ENGINE_FINANCIERO!H99</f>
        <v>0</v>
      </c>
      <c r="I10" s="44" t="n">
        <f aca="false">IF(01_INPUTS!I17,_ENGINE_FINANCIERO!I99,"")</f>
        <v>31665250020.8197</v>
      </c>
      <c r="J10" s="44" t="str">
        <f aca="false">IF(01_INPUTS!J17,_ENGINE_FINANCIERO!J99,"")</f>
        <v/>
      </c>
      <c r="K10" s="44" t="str">
        <f aca="false">IF(01_INPUTS!K17,_ENGINE_FINANCIERO!K99,"")</f>
        <v/>
      </c>
      <c r="L10" s="44" t="str">
        <f aca="false">IF(01_INPUTS!L17,_ENGINE_FINANCIERO!L99,"")</f>
        <v/>
      </c>
      <c r="M10" s="44" t="str">
        <f aca="false">IF(01_INPUTS!M17,_ENGINE_FINANCIERO!M99,"")</f>
        <v/>
      </c>
      <c r="N10" s="44" t="str">
        <f aca="false">IF(01_INPUTS!N17,_ENGINE_FINANCIERO!N99,"")</f>
        <v/>
      </c>
      <c r="O10" s="44" t="str">
        <f aca="false">IF(01_INPUTS!O17,_ENGINE_FINANCIERO!O99,"")</f>
        <v/>
      </c>
      <c r="P10" s="44" t="str">
        <f aca="false">IF(01_INPUTS!P17,_ENGINE_FINANCIERO!P99,"")</f>
        <v/>
      </c>
      <c r="Q10" s="44" t="str">
        <f aca="false">IF(01_INPUTS!Q17,_ENGINE_FINANCIERO!Q99,"")</f>
        <v/>
      </c>
      <c r="R10" s="44" t="str">
        <f aca="false">IF(01_INPUTS!R17,_ENGINE_FINANCIERO!R99,"")</f>
        <v/>
      </c>
      <c r="S10" s="44" t="str">
        <f aca="false">IF(01_INPUTS!S17,_ENGINE_FINANCIERO!S99,"")</f>
        <v/>
      </c>
    </row>
    <row r="11" customFormat="false" ht="15" hidden="false" customHeight="false" outlineLevel="0" collapsed="false">
      <c r="A11" s="14" t="s">
        <v>271</v>
      </c>
      <c r="B11" s="12" t="s">
        <v>81</v>
      </c>
      <c r="G11" s="45" t="n">
        <f aca="false">CHOOSE(MATCH($B$2,$U$1:$U$5,0),_ENGINE_FINANCIERO!G161,(_ENGINE_FINANCIERO!G18-_ENGINE_FINANCIERO!G9),(_ENGINE_FINANCIERO!G65-_ENGINE_FINANCIERO!G56),(_ENGINE_FINANCIERO!G112-_ENGINE_FINANCIERO!G103),_ENGINE_FINANCIERO!G161)</f>
        <v>35337849217.5511</v>
      </c>
      <c r="H11" s="45" t="str">
        <f aca="false">CHOOSE(MATCH($B$2,$U$1:$U$5,0),_ENGINE_FINANCIERO!H161,(_ENGINE_FINANCIERO!H18-_ENGINE_FINANCIERO!H9),(_ENGINE_FINANCIERO!H65-_ENGINE_FINANCIERO!H56),(_ENGINE_FINANCIERO!H112-_ENGINE_FINANCIERO!H103),_ENGINE_FINANCIERO!H161)</f>
        <v>n/a</v>
      </c>
      <c r="I11" s="45" t="n">
        <f aca="false">IF(01_INPUTS!I17,CHOOSE(MATCH($B$2,$U$1:$U$5,0),_ENGINE_FINANCIERO!I161,(_ENGINE_FINANCIERO!I18-_ENGINE_FINANCIERO!I9),(_ENGINE_FINANCIERO!I65-_ENGINE_FINANCIERO!I56),(_ENGINE_FINANCIERO!I112-_ENGINE_FINANCIERO!I103),_ENGINE_FINANCIERO!I161),"")</f>
        <v>58142482938.3097</v>
      </c>
      <c r="J11" s="45" t="str">
        <f aca="false">IF(01_INPUTS!J17,CHOOSE(MATCH($B$2,$U$1:$U$5,0),_ENGINE_FINANCIERO!J161,(_ENGINE_FINANCIERO!J18-_ENGINE_FINANCIERO!J9),(_ENGINE_FINANCIERO!J65-_ENGINE_FINANCIERO!J56),(_ENGINE_FINANCIERO!J112-_ENGINE_FINANCIERO!J103),_ENGINE_FINANCIERO!J161),"")</f>
        <v/>
      </c>
      <c r="K11" s="45" t="str">
        <f aca="false">IF(01_INPUTS!K17,CHOOSE(MATCH($B$2,$U$1:$U$5,0),_ENGINE_FINANCIERO!K161,(_ENGINE_FINANCIERO!K18-_ENGINE_FINANCIERO!K9),(_ENGINE_FINANCIERO!K65-_ENGINE_FINANCIERO!K56),(_ENGINE_FINANCIERO!K112-_ENGINE_FINANCIERO!K103),_ENGINE_FINANCIERO!K161),"")</f>
        <v/>
      </c>
      <c r="L11" s="45" t="str">
        <f aca="false">IF(01_INPUTS!L17,CHOOSE(MATCH($B$2,$U$1:$U$5,0),_ENGINE_FINANCIERO!L161,(_ENGINE_FINANCIERO!L18-_ENGINE_FINANCIERO!L9),(_ENGINE_FINANCIERO!L65-_ENGINE_FINANCIERO!L56),(_ENGINE_FINANCIERO!L112-_ENGINE_FINANCIERO!L103),_ENGINE_FINANCIERO!L161),"")</f>
        <v/>
      </c>
      <c r="M11" s="45" t="str">
        <f aca="false">IF(01_INPUTS!M17,CHOOSE(MATCH($B$2,$U$1:$U$5,0),_ENGINE_FINANCIERO!M161,(_ENGINE_FINANCIERO!M18-_ENGINE_FINANCIERO!M9),(_ENGINE_FINANCIERO!M65-_ENGINE_FINANCIERO!M56),(_ENGINE_FINANCIERO!M112-_ENGINE_FINANCIERO!M103),_ENGINE_FINANCIERO!M161),"")</f>
        <v/>
      </c>
      <c r="N11" s="45" t="str">
        <f aca="false">IF(01_INPUTS!N17,CHOOSE(MATCH($B$2,$U$1:$U$5,0),_ENGINE_FINANCIERO!N161,(_ENGINE_FINANCIERO!N18-_ENGINE_FINANCIERO!N9),(_ENGINE_FINANCIERO!N65-_ENGINE_FINANCIERO!N56),(_ENGINE_FINANCIERO!N112-_ENGINE_FINANCIERO!N103),_ENGINE_FINANCIERO!N161),"")</f>
        <v/>
      </c>
      <c r="O11" s="45" t="str">
        <f aca="false">IF(01_INPUTS!O17,CHOOSE(MATCH($B$2,$U$1:$U$5,0),_ENGINE_FINANCIERO!O161,(_ENGINE_FINANCIERO!O18-_ENGINE_FINANCIERO!O9),(_ENGINE_FINANCIERO!O65-_ENGINE_FINANCIERO!O56),(_ENGINE_FINANCIERO!O112-_ENGINE_FINANCIERO!O103),_ENGINE_FINANCIERO!O161),"")</f>
        <v/>
      </c>
      <c r="P11" s="45" t="str">
        <f aca="false">IF(01_INPUTS!P17,CHOOSE(MATCH($B$2,$U$1:$U$5,0),_ENGINE_FINANCIERO!P161,(_ENGINE_FINANCIERO!P18-_ENGINE_FINANCIERO!P9),(_ENGINE_FINANCIERO!P65-_ENGINE_FINANCIERO!P56),(_ENGINE_FINANCIERO!P112-_ENGINE_FINANCIERO!P103),_ENGINE_FINANCIERO!P161),"")</f>
        <v/>
      </c>
      <c r="Q11" s="45" t="str">
        <f aca="false">IF(01_INPUTS!Q17,CHOOSE(MATCH($B$2,$U$1:$U$5,0),_ENGINE_FINANCIERO!Q161,(_ENGINE_FINANCIERO!Q18-_ENGINE_FINANCIERO!Q9),(_ENGINE_FINANCIERO!Q65-_ENGINE_FINANCIERO!Q56),(_ENGINE_FINANCIERO!Q112-_ENGINE_FINANCIERO!Q103),_ENGINE_FINANCIERO!Q161),"")</f>
        <v/>
      </c>
      <c r="R11" s="45" t="str">
        <f aca="false">IF(01_INPUTS!R17,CHOOSE(MATCH($B$2,$U$1:$U$5,0),_ENGINE_FINANCIERO!R161,(_ENGINE_FINANCIERO!R18-_ENGINE_FINANCIERO!R9),(_ENGINE_FINANCIERO!R65-_ENGINE_FINANCIERO!R56),(_ENGINE_FINANCIERO!R112-_ENGINE_FINANCIERO!R103),_ENGINE_FINANCIERO!R161),"")</f>
        <v/>
      </c>
      <c r="S11" s="45" t="str">
        <f aca="false">IF(01_INPUTS!S17,CHOOSE(MATCH($B$2,$U$1:$U$5,0),_ENGINE_FINANCIERO!S161,(_ENGINE_FINANCIERO!S18-_ENGINE_FINANCIERO!S9),(_ENGINE_FINANCIERO!S65-_ENGINE_FINANCIERO!S56),(_ENGINE_FINANCIERO!S112-_ENGINE_FINANCIERO!S103),_ENGINE_FINANCIERO!S161),"")</f>
        <v/>
      </c>
    </row>
    <row r="12" customFormat="false" ht="15" hidden="true" customHeight="false" outlineLevel="1" collapsed="false">
      <c r="A12" s="6" t="s">
        <v>268</v>
      </c>
      <c r="B12" s="43" t="s">
        <v>81</v>
      </c>
      <c r="G12" s="44" t="n">
        <f aca="false">(_ENGINE_FINANCIERO!G18-_ENGINE_FINANCIERO!G9)</f>
        <v>0</v>
      </c>
      <c r="H12" s="44" t="n">
        <f aca="false">(_ENGINE_FINANCIERO!H18-_ENGINE_FINANCIERO!H9)</f>
        <v>63000000</v>
      </c>
      <c r="I12" s="44" t="n">
        <f aca="false">IF(01_INPUTS!I17,(_ENGINE_FINANCIERO!I18-_ENGINE_FINANCIERO!I9),"")</f>
        <v>27232405303.1663</v>
      </c>
      <c r="J12" s="44" t="str">
        <f aca="false">IF(01_INPUTS!J17,(_ENGINE_FINANCIERO!J18-_ENGINE_FINANCIERO!J9),"")</f>
        <v/>
      </c>
      <c r="K12" s="44" t="str">
        <f aca="false">IF(01_INPUTS!K17,(_ENGINE_FINANCIERO!K18-_ENGINE_FINANCIERO!K9),"")</f>
        <v/>
      </c>
      <c r="L12" s="44" t="str">
        <f aca="false">IF(01_INPUTS!L17,(_ENGINE_FINANCIERO!L18-_ENGINE_FINANCIERO!L9),"")</f>
        <v/>
      </c>
      <c r="M12" s="44" t="str">
        <f aca="false">IF(01_INPUTS!M17,(_ENGINE_FINANCIERO!M18-_ENGINE_FINANCIERO!M9),"")</f>
        <v/>
      </c>
      <c r="N12" s="44" t="str">
        <f aca="false">IF(01_INPUTS!N17,(_ENGINE_FINANCIERO!N18-_ENGINE_FINANCIERO!N9),"")</f>
        <v/>
      </c>
      <c r="O12" s="44" t="str">
        <f aca="false">IF(01_INPUTS!O17,(_ENGINE_FINANCIERO!O18-_ENGINE_FINANCIERO!O9),"")</f>
        <v/>
      </c>
      <c r="P12" s="44" t="str">
        <f aca="false">IF(01_INPUTS!P17,(_ENGINE_FINANCIERO!P18-_ENGINE_FINANCIERO!P9),"")</f>
        <v/>
      </c>
      <c r="Q12" s="44" t="str">
        <f aca="false">IF(01_INPUTS!Q17,(_ENGINE_FINANCIERO!Q18-_ENGINE_FINANCIERO!Q9),"")</f>
        <v/>
      </c>
      <c r="R12" s="44" t="str">
        <f aca="false">IF(01_INPUTS!R17,(_ENGINE_FINANCIERO!R18-_ENGINE_FINANCIERO!R9),"")</f>
        <v/>
      </c>
      <c r="S12" s="44" t="str">
        <f aca="false">IF(01_INPUTS!S17,(_ENGINE_FINANCIERO!S18-_ENGINE_FINANCIERO!S9),"")</f>
        <v/>
      </c>
    </row>
    <row r="13" customFormat="false" ht="15" hidden="true" customHeight="false" outlineLevel="1" collapsed="false">
      <c r="A13" s="6" t="s">
        <v>269</v>
      </c>
      <c r="B13" s="43" t="s">
        <v>81</v>
      </c>
      <c r="G13" s="44" t="n">
        <f aca="false">(_ENGINE_FINANCIERO!G65-_ENGINE_FINANCIERO!G56)</f>
        <v>0</v>
      </c>
      <c r="H13" s="44" t="n">
        <f aca="false">(_ENGINE_FINANCIERO!H65-_ENGINE_FINANCIERO!H56)</f>
        <v>95000000</v>
      </c>
      <c r="I13" s="44" t="n">
        <f aca="false">IF(01_INPUTS!I17,(_ENGINE_FINANCIERO!I65-_ENGINE_FINANCIERO!I56),"")</f>
        <v>23565398611.3762</v>
      </c>
      <c r="J13" s="44" t="str">
        <f aca="false">IF(01_INPUTS!J17,(_ENGINE_FINANCIERO!J65-_ENGINE_FINANCIERO!J56),"")</f>
        <v/>
      </c>
      <c r="K13" s="44" t="str">
        <f aca="false">IF(01_INPUTS!K17,(_ENGINE_FINANCIERO!K65-_ENGINE_FINANCIERO!K56),"")</f>
        <v/>
      </c>
      <c r="L13" s="44" t="str">
        <f aca="false">IF(01_INPUTS!L17,(_ENGINE_FINANCIERO!L65-_ENGINE_FINANCIERO!L56),"")</f>
        <v/>
      </c>
      <c r="M13" s="44" t="str">
        <f aca="false">IF(01_INPUTS!M17,(_ENGINE_FINANCIERO!M65-_ENGINE_FINANCIERO!M56),"")</f>
        <v/>
      </c>
      <c r="N13" s="44" t="str">
        <f aca="false">IF(01_INPUTS!N17,(_ENGINE_FINANCIERO!N65-_ENGINE_FINANCIERO!N56),"")</f>
        <v/>
      </c>
      <c r="O13" s="44" t="str">
        <f aca="false">IF(01_INPUTS!O17,(_ENGINE_FINANCIERO!O65-_ENGINE_FINANCIERO!O56),"")</f>
        <v/>
      </c>
      <c r="P13" s="44" t="str">
        <f aca="false">IF(01_INPUTS!P17,(_ENGINE_FINANCIERO!P65-_ENGINE_FINANCIERO!P56),"")</f>
        <v/>
      </c>
      <c r="Q13" s="44" t="str">
        <f aca="false">IF(01_INPUTS!Q17,(_ENGINE_FINANCIERO!Q65-_ENGINE_FINANCIERO!Q56),"")</f>
        <v/>
      </c>
      <c r="R13" s="44" t="str">
        <f aca="false">IF(01_INPUTS!R17,(_ENGINE_FINANCIERO!R65-_ENGINE_FINANCIERO!R56),"")</f>
        <v/>
      </c>
      <c r="S13" s="44" t="str">
        <f aca="false">IF(01_INPUTS!S17,(_ENGINE_FINANCIERO!S65-_ENGINE_FINANCIERO!S56),"")</f>
        <v/>
      </c>
    </row>
    <row r="14" customFormat="false" ht="15" hidden="true" customHeight="false" outlineLevel="1" collapsed="false">
      <c r="A14" s="6" t="s">
        <v>270</v>
      </c>
      <c r="B14" s="43" t="s">
        <v>81</v>
      </c>
      <c r="G14" s="44" t="n">
        <f aca="false">(_ENGINE_FINANCIERO!G112-_ENGINE_FINANCIERO!G103)</f>
        <v>0</v>
      </c>
      <c r="H14" s="44" t="n">
        <f aca="false">(_ENGINE_FINANCIERO!H112-_ENGINE_FINANCIERO!H103)</f>
        <v>20000000</v>
      </c>
      <c r="I14" s="44" t="n">
        <f aca="false">IF(01_INPUTS!I17,(_ENGINE_FINANCIERO!I112-_ENGINE_FINANCIERO!I103),"")</f>
        <v>7344679023.76715</v>
      </c>
      <c r="J14" s="44" t="str">
        <f aca="false">IF(01_INPUTS!J17,(_ENGINE_FINANCIERO!J112-_ENGINE_FINANCIERO!J103),"")</f>
        <v/>
      </c>
      <c r="K14" s="44" t="str">
        <f aca="false">IF(01_INPUTS!K17,(_ENGINE_FINANCIERO!K112-_ENGINE_FINANCIERO!K103),"")</f>
        <v/>
      </c>
      <c r="L14" s="44" t="str">
        <f aca="false">IF(01_INPUTS!L17,(_ENGINE_FINANCIERO!L112-_ENGINE_FINANCIERO!L103),"")</f>
        <v/>
      </c>
      <c r="M14" s="44" t="str">
        <f aca="false">IF(01_INPUTS!M17,(_ENGINE_FINANCIERO!M112-_ENGINE_FINANCIERO!M103),"")</f>
        <v/>
      </c>
      <c r="N14" s="44" t="str">
        <f aca="false">IF(01_INPUTS!N17,(_ENGINE_FINANCIERO!N112-_ENGINE_FINANCIERO!N103),"")</f>
        <v/>
      </c>
      <c r="O14" s="44" t="str">
        <f aca="false">IF(01_INPUTS!O17,(_ENGINE_FINANCIERO!O112-_ENGINE_FINANCIERO!O103),"")</f>
        <v/>
      </c>
      <c r="P14" s="44" t="str">
        <f aca="false">IF(01_INPUTS!P17,(_ENGINE_FINANCIERO!P112-_ENGINE_FINANCIERO!P103),"")</f>
        <v/>
      </c>
      <c r="Q14" s="44" t="str">
        <f aca="false">IF(01_INPUTS!Q17,(_ENGINE_FINANCIERO!Q112-_ENGINE_FINANCIERO!Q103),"")</f>
        <v/>
      </c>
      <c r="R14" s="44" t="str">
        <f aca="false">IF(01_INPUTS!R17,(_ENGINE_FINANCIERO!R112-_ENGINE_FINANCIERO!R103),"")</f>
        <v/>
      </c>
      <c r="S14" s="44" t="str">
        <f aca="false">IF(01_INPUTS!S17,(_ENGINE_FINANCIERO!S112-_ENGINE_FINANCIERO!S103),"")</f>
        <v/>
      </c>
    </row>
    <row r="15" customFormat="false" ht="15" hidden="false" customHeight="false" outlineLevel="0" collapsed="false">
      <c r="A15" s="8" t="s">
        <v>272</v>
      </c>
      <c r="B15" s="12" t="s">
        <v>81</v>
      </c>
      <c r="G15" s="42" t="n">
        <f aca="false">CHOOSE(MATCH($B$2,$U$1:$U$5,0),_ENGINE_FINANCIERO!G162,_ENGINE_FINANCIERO!G19,_ENGINE_FINANCIERO!G66,_ENGINE_FINANCIERO!G113,_ENGINE_FINANCIERO!G162)</f>
        <v>4151150782.44887</v>
      </c>
      <c r="H15" s="42" t="str">
        <f aca="false">CHOOSE(MATCH($B$2,$U$1:$U$5,0),_ENGINE_FINANCIERO!H162,_ENGINE_FINANCIERO!H19,_ENGINE_FINANCIERO!H66,_ENGINE_FINANCIERO!H113,_ENGINE_FINANCIERO!H162)</f>
        <v>n/a</v>
      </c>
      <c r="I15" s="42" t="n">
        <f aca="false">IF(01_INPUTS!I17,CHOOSE(MATCH($B$2,$U$1:$U$5,0),_ENGINE_FINANCIERO!I162,_ENGINE_FINANCIERO!I19,_ENGINE_FINANCIERO!I66,_ENGINE_FINANCIERO!I113,_ENGINE_FINANCIERO!I162),"")</f>
        <v>18798429758.717</v>
      </c>
      <c r="J15" s="42" t="str">
        <f aca="false">IF(01_INPUTS!J17,CHOOSE(MATCH($B$2,$U$1:$U$5,0),_ENGINE_FINANCIERO!J162,_ENGINE_FINANCIERO!J19,_ENGINE_FINANCIERO!J66,_ENGINE_FINANCIERO!J113,_ENGINE_FINANCIERO!J162),"")</f>
        <v/>
      </c>
      <c r="K15" s="42" t="str">
        <f aca="false">IF(01_INPUTS!K17,CHOOSE(MATCH($B$2,$U$1:$U$5,0),_ENGINE_FINANCIERO!K162,_ENGINE_FINANCIERO!K19,_ENGINE_FINANCIERO!K66,_ENGINE_FINANCIERO!K113,_ENGINE_FINANCIERO!K162),"")</f>
        <v/>
      </c>
      <c r="L15" s="42" t="str">
        <f aca="false">IF(01_INPUTS!L17,CHOOSE(MATCH($B$2,$U$1:$U$5,0),_ENGINE_FINANCIERO!L162,_ENGINE_FINANCIERO!L19,_ENGINE_FINANCIERO!L66,_ENGINE_FINANCIERO!L113,_ENGINE_FINANCIERO!L162),"")</f>
        <v/>
      </c>
      <c r="M15" s="42" t="str">
        <f aca="false">IF(01_INPUTS!M17,CHOOSE(MATCH($B$2,$U$1:$U$5,0),_ENGINE_FINANCIERO!M162,_ENGINE_FINANCIERO!M19,_ENGINE_FINANCIERO!M66,_ENGINE_FINANCIERO!M113,_ENGINE_FINANCIERO!M162),"")</f>
        <v/>
      </c>
      <c r="N15" s="42" t="str">
        <f aca="false">IF(01_INPUTS!N17,CHOOSE(MATCH($B$2,$U$1:$U$5,0),_ENGINE_FINANCIERO!N162,_ENGINE_FINANCIERO!N19,_ENGINE_FINANCIERO!N66,_ENGINE_FINANCIERO!N113,_ENGINE_FINANCIERO!N162),"")</f>
        <v/>
      </c>
      <c r="O15" s="42" t="str">
        <f aca="false">IF(01_INPUTS!O17,CHOOSE(MATCH($B$2,$U$1:$U$5,0),_ENGINE_FINANCIERO!O162,_ENGINE_FINANCIERO!O19,_ENGINE_FINANCIERO!O66,_ENGINE_FINANCIERO!O113,_ENGINE_FINANCIERO!O162),"")</f>
        <v/>
      </c>
      <c r="P15" s="42" t="str">
        <f aca="false">IF(01_INPUTS!P17,CHOOSE(MATCH($B$2,$U$1:$U$5,0),_ENGINE_FINANCIERO!P162,_ENGINE_FINANCIERO!P19,_ENGINE_FINANCIERO!P66,_ENGINE_FINANCIERO!P113,_ENGINE_FINANCIERO!P162),"")</f>
        <v/>
      </c>
      <c r="Q15" s="42" t="str">
        <f aca="false">IF(01_INPUTS!Q17,CHOOSE(MATCH($B$2,$U$1:$U$5,0),_ENGINE_FINANCIERO!Q162,_ENGINE_FINANCIERO!Q19,_ENGINE_FINANCIERO!Q66,_ENGINE_FINANCIERO!Q113,_ENGINE_FINANCIERO!Q162),"")</f>
        <v/>
      </c>
      <c r="R15" s="42" t="str">
        <f aca="false">IF(01_INPUTS!R17,CHOOSE(MATCH($B$2,$U$1:$U$5,0),_ENGINE_FINANCIERO!R162,_ENGINE_FINANCIERO!R19,_ENGINE_FINANCIERO!R66,_ENGINE_FINANCIERO!R113,_ENGINE_FINANCIERO!R162),"")</f>
        <v/>
      </c>
      <c r="S15" s="42" t="str">
        <f aca="false">IF(01_INPUTS!S17,CHOOSE(MATCH($B$2,$U$1:$U$5,0),_ENGINE_FINANCIERO!S162,_ENGINE_FINANCIERO!S19,_ENGINE_FINANCIERO!S66,_ENGINE_FINANCIERO!S113,_ENGINE_FINANCIERO!S162),"")</f>
        <v/>
      </c>
    </row>
    <row r="16" customFormat="false" ht="15" hidden="true" customHeight="false" outlineLevel="1" collapsed="false">
      <c r="A16" s="6" t="s">
        <v>268</v>
      </c>
      <c r="B16" s="43" t="s">
        <v>81</v>
      </c>
      <c r="G16" s="44" t="n">
        <f aca="false">_ENGINE_FINANCIERO!G19</f>
        <v>0</v>
      </c>
      <c r="H16" s="44" t="n">
        <f aca="false">_ENGINE_FINANCIERO!H19</f>
        <v>-63000000</v>
      </c>
      <c r="I16" s="44" t="n">
        <f aca="false">IF(01_INPUTS!I17,_ENGINE_FINANCIERO!I19,"")</f>
        <v>4084086898.63815</v>
      </c>
      <c r="J16" s="44" t="str">
        <f aca="false">IF(01_INPUTS!J17,_ENGINE_FINANCIERO!J19,"")</f>
        <v/>
      </c>
      <c r="K16" s="44" t="str">
        <f aca="false">IF(01_INPUTS!K17,_ENGINE_FINANCIERO!K19,"")</f>
        <v/>
      </c>
      <c r="L16" s="44" t="str">
        <f aca="false">IF(01_INPUTS!L17,_ENGINE_FINANCIERO!L19,"")</f>
        <v/>
      </c>
      <c r="M16" s="44" t="str">
        <f aca="false">IF(01_INPUTS!M17,_ENGINE_FINANCIERO!M19,"")</f>
        <v/>
      </c>
      <c r="N16" s="44" t="str">
        <f aca="false">IF(01_INPUTS!N17,_ENGINE_FINANCIERO!N19,"")</f>
        <v/>
      </c>
      <c r="O16" s="44" t="str">
        <f aca="false">IF(01_INPUTS!O17,_ENGINE_FINANCIERO!O19,"")</f>
        <v/>
      </c>
      <c r="P16" s="44" t="str">
        <f aca="false">IF(01_INPUTS!P17,_ENGINE_FINANCIERO!P19,"")</f>
        <v/>
      </c>
      <c r="Q16" s="44" t="str">
        <f aca="false">IF(01_INPUTS!Q17,_ENGINE_FINANCIERO!Q19,"")</f>
        <v/>
      </c>
      <c r="R16" s="44" t="str">
        <f aca="false">IF(01_INPUTS!R17,_ENGINE_FINANCIERO!R19,"")</f>
        <v/>
      </c>
      <c r="S16" s="44" t="str">
        <f aca="false">IF(01_INPUTS!S17,_ENGINE_FINANCIERO!S19,"")</f>
        <v/>
      </c>
    </row>
    <row r="17" customFormat="false" ht="15" hidden="true" customHeight="false" outlineLevel="1" collapsed="false">
      <c r="A17" s="6" t="s">
        <v>269</v>
      </c>
      <c r="B17" s="43" t="s">
        <v>81</v>
      </c>
      <c r="G17" s="44" t="n">
        <f aca="false">_ENGINE_FINANCIERO!G66</f>
        <v>0</v>
      </c>
      <c r="H17" s="44" t="n">
        <f aca="false">_ENGINE_FINANCIERO!H66</f>
        <v>-95000000</v>
      </c>
      <c r="I17" s="44" t="n">
        <f aca="false">IF(01_INPUTS!I17,_ENGINE_FINANCIERO!I66,"")</f>
        <v>3564492668.01503</v>
      </c>
      <c r="J17" s="44" t="str">
        <f aca="false">IF(01_INPUTS!J17,_ENGINE_FINANCIERO!J66,"")</f>
        <v/>
      </c>
      <c r="K17" s="44" t="str">
        <f aca="false">IF(01_INPUTS!K17,_ENGINE_FINANCIERO!K66,"")</f>
        <v/>
      </c>
      <c r="L17" s="44" t="str">
        <f aca="false">IF(01_INPUTS!L17,_ENGINE_FINANCIERO!L66,"")</f>
        <v/>
      </c>
      <c r="M17" s="44" t="str">
        <f aca="false">IF(01_INPUTS!M17,_ENGINE_FINANCIERO!M66,"")</f>
        <v/>
      </c>
      <c r="N17" s="44" t="str">
        <f aca="false">IF(01_INPUTS!N17,_ENGINE_FINANCIERO!N66,"")</f>
        <v/>
      </c>
      <c r="O17" s="44" t="str">
        <f aca="false">IF(01_INPUTS!O17,_ENGINE_FINANCIERO!O66,"")</f>
        <v/>
      </c>
      <c r="P17" s="44" t="str">
        <f aca="false">IF(01_INPUTS!P17,_ENGINE_FINANCIERO!P66,"")</f>
        <v/>
      </c>
      <c r="Q17" s="44" t="str">
        <f aca="false">IF(01_INPUTS!Q17,_ENGINE_FINANCIERO!Q66,"")</f>
        <v/>
      </c>
      <c r="R17" s="44" t="str">
        <f aca="false">IF(01_INPUTS!R17,_ENGINE_FINANCIERO!R66,"")</f>
        <v/>
      </c>
      <c r="S17" s="44" t="str">
        <f aca="false">IF(01_INPUTS!S17,_ENGINE_FINANCIERO!S66,"")</f>
        <v/>
      </c>
    </row>
    <row r="18" customFormat="false" ht="15" hidden="true" customHeight="false" outlineLevel="1" collapsed="false">
      <c r="A18" s="6" t="s">
        <v>270</v>
      </c>
      <c r="B18" s="43" t="s">
        <v>81</v>
      </c>
      <c r="G18" s="44" t="n">
        <f aca="false">_ENGINE_FINANCIERO!G113</f>
        <v>0</v>
      </c>
      <c r="H18" s="44" t="n">
        <f aca="false">_ENGINE_FINANCIERO!H113</f>
        <v>-20000000</v>
      </c>
      <c r="I18" s="44" t="n">
        <f aca="false">IF(01_INPUTS!I17,_ENGINE_FINANCIERO!I113,"")</f>
        <v>11149850192.0638</v>
      </c>
      <c r="J18" s="44" t="str">
        <f aca="false">IF(01_INPUTS!J17,_ENGINE_FINANCIERO!J113,"")</f>
        <v/>
      </c>
      <c r="K18" s="44" t="str">
        <f aca="false">IF(01_INPUTS!K17,_ENGINE_FINANCIERO!K113,"")</f>
        <v/>
      </c>
      <c r="L18" s="44" t="str">
        <f aca="false">IF(01_INPUTS!L17,_ENGINE_FINANCIERO!L113,"")</f>
        <v/>
      </c>
      <c r="M18" s="44" t="str">
        <f aca="false">IF(01_INPUTS!M17,_ENGINE_FINANCIERO!M113,"")</f>
        <v/>
      </c>
      <c r="N18" s="44" t="str">
        <f aca="false">IF(01_INPUTS!N17,_ENGINE_FINANCIERO!N113,"")</f>
        <v/>
      </c>
      <c r="O18" s="44" t="str">
        <f aca="false">IF(01_INPUTS!O17,_ENGINE_FINANCIERO!O113,"")</f>
        <v/>
      </c>
      <c r="P18" s="44" t="str">
        <f aca="false">IF(01_INPUTS!P17,_ENGINE_FINANCIERO!P113,"")</f>
        <v/>
      </c>
      <c r="Q18" s="44" t="str">
        <f aca="false">IF(01_INPUTS!Q17,_ENGINE_FINANCIERO!Q113,"")</f>
        <v/>
      </c>
      <c r="R18" s="44" t="str">
        <f aca="false">IF(01_INPUTS!R17,_ENGINE_FINANCIERO!R113,"")</f>
        <v/>
      </c>
      <c r="S18" s="44" t="str">
        <f aca="false">IF(01_INPUTS!S17,_ENGINE_FINANCIERO!S113,"")</f>
        <v/>
      </c>
    </row>
    <row r="19" customFormat="false" ht="15" hidden="false" customHeight="false" outlineLevel="0" collapsed="false">
      <c r="A19" s="46" t="s">
        <v>273</v>
      </c>
      <c r="B19" s="12" t="s">
        <v>42</v>
      </c>
      <c r="G19" s="47" t="n">
        <f aca="false">IFERROR(G15/G7,"")</f>
        <v>0.105121699269388</v>
      </c>
      <c r="H19" s="47" t="str">
        <f aca="false">IFERROR(H15/H7,"")</f>
        <v/>
      </c>
      <c r="I19" s="47" t="n">
        <f aca="false">IF(01_INPUTS!I17,IFERROR(I15/I7,""),"")</f>
        <v>0.244322936910566</v>
      </c>
      <c r="J19" s="47" t="str">
        <f aca="false">IF(01_INPUTS!J17,IFERROR(J15/J7,""),"")</f>
        <v/>
      </c>
      <c r="K19" s="47" t="str">
        <f aca="false">IF(01_INPUTS!K17,IFERROR(K15/K7,""),"")</f>
        <v/>
      </c>
      <c r="L19" s="47" t="str">
        <f aca="false">IF(01_INPUTS!L17,IFERROR(L15/L7,""),"")</f>
        <v/>
      </c>
      <c r="M19" s="47" t="str">
        <f aca="false">IF(01_INPUTS!M17,IFERROR(M15/M7,""),"")</f>
        <v/>
      </c>
      <c r="N19" s="47" t="str">
        <f aca="false">IF(01_INPUTS!N17,IFERROR(N15/N7,""),"")</f>
        <v/>
      </c>
      <c r="O19" s="47" t="str">
        <f aca="false">IF(01_INPUTS!O17,IFERROR(O15/O7,""),"")</f>
        <v/>
      </c>
      <c r="P19" s="47" t="str">
        <f aca="false">IF(01_INPUTS!P17,IFERROR(P15/P7,""),"")</f>
        <v/>
      </c>
      <c r="Q19" s="47" t="str">
        <f aca="false">IF(01_INPUTS!Q17,IFERROR(Q15/Q7,""),"")</f>
        <v/>
      </c>
      <c r="R19" s="47" t="str">
        <f aca="false">IF(01_INPUTS!R17,IFERROR(R15/R7,""),"")</f>
        <v/>
      </c>
      <c r="S19" s="47" t="str">
        <f aca="false">IF(01_INPUTS!S17,IFERROR(S15/S7,""),"")</f>
        <v/>
      </c>
    </row>
    <row r="20" customFormat="false" ht="15" hidden="false" customHeight="false" outlineLevel="0" collapsed="false">
      <c r="A20" s="14" t="s">
        <v>274</v>
      </c>
      <c r="B20" s="12" t="s">
        <v>81</v>
      </c>
      <c r="G20" s="45" t="n">
        <f aca="false">CHOOSE(MATCH($B$2,$U$1:$U$5,0),_ENGINE_FINANCIERO!G163,_ENGINE_FINANCIERO!G20,_ENGINE_FINANCIERO!G67,_ENGINE_FINANCIERO!G114,_ENGINE_FINANCIERO!G163)</f>
        <v>1203133800</v>
      </c>
      <c r="H20" s="45" t="n">
        <f aca="false">CHOOSE(MATCH($B$2,$U$1:$U$5,0),_ENGINE_FINANCIERO!H163,_ENGINE_FINANCIERO!H20,_ENGINE_FINANCIERO!H67,_ENGINE_FINANCIERO!H114,_ENGINE_FINANCIERO!H163)</f>
        <v>1082820420</v>
      </c>
      <c r="I20" s="45" t="n">
        <f aca="false">IF(01_INPUTS!I17,CHOOSE(MATCH($B$2,$U$1:$U$5,0),_ENGINE_FINANCIERO!I163,_ENGINE_FINANCIERO!I20,_ENGINE_FINANCIERO!I67,_ENGINE_FINANCIERO!I114,_ENGINE_FINANCIERO!I163),"")</f>
        <v>976338378</v>
      </c>
      <c r="J20" s="45" t="str">
        <f aca="false">IF(01_INPUTS!J17,CHOOSE(MATCH($B$2,$U$1:$U$5,0),_ENGINE_FINANCIERO!J163,_ENGINE_FINANCIERO!J20,_ENGINE_FINANCIERO!J67,_ENGINE_FINANCIERO!J114,_ENGINE_FINANCIERO!J163),"")</f>
        <v/>
      </c>
      <c r="K20" s="45" t="str">
        <f aca="false">IF(01_INPUTS!K17,CHOOSE(MATCH($B$2,$U$1:$U$5,0),_ENGINE_FINANCIERO!K163,_ENGINE_FINANCIERO!K20,_ENGINE_FINANCIERO!K67,_ENGINE_FINANCIERO!K114,_ENGINE_FINANCIERO!K163),"")</f>
        <v/>
      </c>
      <c r="L20" s="45" t="str">
        <f aca="false">IF(01_INPUTS!L17,CHOOSE(MATCH($B$2,$U$1:$U$5,0),_ENGINE_FINANCIERO!L163,_ENGINE_FINANCIERO!L20,_ENGINE_FINANCIERO!L67,_ENGINE_FINANCIERO!L114,_ENGINE_FINANCIERO!L163),"")</f>
        <v/>
      </c>
      <c r="M20" s="45" t="str">
        <f aca="false">IF(01_INPUTS!M17,CHOOSE(MATCH($B$2,$U$1:$U$5,0),_ENGINE_FINANCIERO!M163,_ENGINE_FINANCIERO!M20,_ENGINE_FINANCIERO!M67,_ENGINE_FINANCIERO!M114,_ENGINE_FINANCIERO!M163),"")</f>
        <v/>
      </c>
      <c r="N20" s="45" t="str">
        <f aca="false">IF(01_INPUTS!N17,CHOOSE(MATCH($B$2,$U$1:$U$5,0),_ENGINE_FINANCIERO!N163,_ENGINE_FINANCIERO!N20,_ENGINE_FINANCIERO!N67,_ENGINE_FINANCIERO!N114,_ENGINE_FINANCIERO!N163),"")</f>
        <v/>
      </c>
      <c r="O20" s="45" t="str">
        <f aca="false">IF(01_INPUTS!O17,CHOOSE(MATCH($B$2,$U$1:$U$5,0),_ENGINE_FINANCIERO!O163,_ENGINE_FINANCIERO!O20,_ENGINE_FINANCIERO!O67,_ENGINE_FINANCIERO!O114,_ENGINE_FINANCIERO!O163),"")</f>
        <v/>
      </c>
      <c r="P20" s="45" t="str">
        <f aca="false">IF(01_INPUTS!P17,CHOOSE(MATCH($B$2,$U$1:$U$5,0),_ENGINE_FINANCIERO!P163,_ENGINE_FINANCIERO!P20,_ENGINE_FINANCIERO!P67,_ENGINE_FINANCIERO!P114,_ENGINE_FINANCIERO!P163),"")</f>
        <v/>
      </c>
      <c r="Q20" s="45" t="str">
        <f aca="false">IF(01_INPUTS!Q17,CHOOSE(MATCH($B$2,$U$1:$U$5,0),_ENGINE_FINANCIERO!Q163,_ENGINE_FINANCIERO!Q20,_ENGINE_FINANCIERO!Q67,_ENGINE_FINANCIERO!Q114,_ENGINE_FINANCIERO!Q163),"")</f>
        <v/>
      </c>
      <c r="R20" s="45" t="str">
        <f aca="false">IF(01_INPUTS!R17,CHOOSE(MATCH($B$2,$U$1:$U$5,0),_ENGINE_FINANCIERO!R163,_ENGINE_FINANCIERO!R20,_ENGINE_FINANCIERO!R67,_ENGINE_FINANCIERO!R114,_ENGINE_FINANCIERO!R163),"")</f>
        <v/>
      </c>
      <c r="S20" s="45" t="str">
        <f aca="false">IF(01_INPUTS!S17,CHOOSE(MATCH($B$2,$U$1:$U$5,0),_ENGINE_FINANCIERO!S163,_ENGINE_FINANCIERO!S20,_ENGINE_FINANCIERO!S67,_ENGINE_FINANCIERO!S114,_ENGINE_FINANCIERO!S163),"")</f>
        <v/>
      </c>
    </row>
    <row r="21" customFormat="false" ht="15" hidden="true" customHeight="false" outlineLevel="1" collapsed="false">
      <c r="A21" s="6" t="s">
        <v>268</v>
      </c>
      <c r="B21" s="43" t="s">
        <v>81</v>
      </c>
      <c r="G21" s="44" t="n">
        <f aca="false">_ENGINE_FINANCIERO!G20</f>
        <v>1005068400</v>
      </c>
      <c r="H21" s="44" t="n">
        <f aca="false">_ENGINE_FINANCIERO!H20</f>
        <v>904561560</v>
      </c>
      <c r="I21" s="44" t="n">
        <f aca="false">IF(01_INPUTS!I17,_ENGINE_FINANCIERO!I20,"")</f>
        <v>815505404</v>
      </c>
      <c r="J21" s="44" t="str">
        <f aca="false">IF(01_INPUTS!J17,_ENGINE_FINANCIERO!J20,"")</f>
        <v/>
      </c>
      <c r="K21" s="44" t="str">
        <f aca="false">IF(01_INPUTS!K17,_ENGINE_FINANCIERO!K20,"")</f>
        <v/>
      </c>
      <c r="L21" s="44" t="str">
        <f aca="false">IF(01_INPUTS!L17,_ENGINE_FINANCIERO!L20,"")</f>
        <v/>
      </c>
      <c r="M21" s="44" t="str">
        <f aca="false">IF(01_INPUTS!M17,_ENGINE_FINANCIERO!M20,"")</f>
        <v/>
      </c>
      <c r="N21" s="44" t="str">
        <f aca="false">IF(01_INPUTS!N17,_ENGINE_FINANCIERO!N20,"")</f>
        <v/>
      </c>
      <c r="O21" s="44" t="str">
        <f aca="false">IF(01_INPUTS!O17,_ENGINE_FINANCIERO!O20,"")</f>
        <v/>
      </c>
      <c r="P21" s="44" t="str">
        <f aca="false">IF(01_INPUTS!P17,_ENGINE_FINANCIERO!P20,"")</f>
        <v/>
      </c>
      <c r="Q21" s="44" t="str">
        <f aca="false">IF(01_INPUTS!Q17,_ENGINE_FINANCIERO!Q20,"")</f>
        <v/>
      </c>
      <c r="R21" s="44" t="str">
        <f aca="false">IF(01_INPUTS!R17,_ENGINE_FINANCIERO!R20,"")</f>
        <v/>
      </c>
      <c r="S21" s="44" t="str">
        <f aca="false">IF(01_INPUTS!S17,_ENGINE_FINANCIERO!S20,"")</f>
        <v/>
      </c>
    </row>
    <row r="22" customFormat="false" ht="15" hidden="true" customHeight="false" outlineLevel="1" collapsed="false">
      <c r="A22" s="6" t="s">
        <v>269</v>
      </c>
      <c r="B22" s="43" t="s">
        <v>81</v>
      </c>
      <c r="G22" s="44" t="n">
        <f aca="false">_ENGINE_FINANCIERO!G67</f>
        <v>198065400</v>
      </c>
      <c r="H22" s="44" t="n">
        <f aca="false">_ENGINE_FINANCIERO!H67</f>
        <v>178258860</v>
      </c>
      <c r="I22" s="44" t="n">
        <f aca="false">IF(01_INPUTS!I17,_ENGINE_FINANCIERO!I67,"")</f>
        <v>160832974</v>
      </c>
      <c r="J22" s="44" t="str">
        <f aca="false">IF(01_INPUTS!J17,_ENGINE_FINANCIERO!J67,"")</f>
        <v/>
      </c>
      <c r="K22" s="44" t="str">
        <f aca="false">IF(01_INPUTS!K17,_ENGINE_FINANCIERO!K67,"")</f>
        <v/>
      </c>
      <c r="L22" s="44" t="str">
        <f aca="false">IF(01_INPUTS!L17,_ENGINE_FINANCIERO!L67,"")</f>
        <v/>
      </c>
      <c r="M22" s="44" t="str">
        <f aca="false">IF(01_INPUTS!M17,_ENGINE_FINANCIERO!M67,"")</f>
        <v/>
      </c>
      <c r="N22" s="44" t="str">
        <f aca="false">IF(01_INPUTS!N17,_ENGINE_FINANCIERO!N67,"")</f>
        <v/>
      </c>
      <c r="O22" s="44" t="str">
        <f aca="false">IF(01_INPUTS!O17,_ENGINE_FINANCIERO!O67,"")</f>
        <v/>
      </c>
      <c r="P22" s="44" t="str">
        <f aca="false">IF(01_INPUTS!P17,_ENGINE_FINANCIERO!P67,"")</f>
        <v/>
      </c>
      <c r="Q22" s="44" t="str">
        <f aca="false">IF(01_INPUTS!Q17,_ENGINE_FINANCIERO!Q67,"")</f>
        <v/>
      </c>
      <c r="R22" s="44" t="str">
        <f aca="false">IF(01_INPUTS!R17,_ENGINE_FINANCIERO!R67,"")</f>
        <v/>
      </c>
      <c r="S22" s="44" t="str">
        <f aca="false">IF(01_INPUTS!S17,_ENGINE_FINANCIERO!S67,"")</f>
        <v/>
      </c>
    </row>
    <row r="23" customFormat="false" ht="15" hidden="true" customHeight="false" outlineLevel="1" collapsed="false">
      <c r="A23" s="6" t="s">
        <v>270</v>
      </c>
      <c r="B23" s="43" t="s">
        <v>81</v>
      </c>
      <c r="G23" s="44" t="str">
        <f aca="false">_ENGINE_FINANCIERO!G114</f>
        <v>0</v>
      </c>
      <c r="H23" s="44" t="str">
        <f aca="false">_ENGINE_FINANCIERO!H114</f>
        <v>0</v>
      </c>
      <c r="I23" s="44" t="str">
        <f aca="false">IF(01_INPUTS!I17,_ENGINE_FINANCIERO!I114,"")</f>
        <v>0</v>
      </c>
      <c r="J23" s="44" t="str">
        <f aca="false">IF(01_INPUTS!J17,_ENGINE_FINANCIERO!J114,"")</f>
        <v/>
      </c>
      <c r="K23" s="44" t="str">
        <f aca="false">IF(01_INPUTS!K17,_ENGINE_FINANCIERO!K114,"")</f>
        <v/>
      </c>
      <c r="L23" s="44" t="str">
        <f aca="false">IF(01_INPUTS!L17,_ENGINE_FINANCIERO!L114,"")</f>
        <v/>
      </c>
      <c r="M23" s="44" t="str">
        <f aca="false">IF(01_INPUTS!M17,_ENGINE_FINANCIERO!M114,"")</f>
        <v/>
      </c>
      <c r="N23" s="44" t="str">
        <f aca="false">IF(01_INPUTS!N17,_ENGINE_FINANCIERO!N114,"")</f>
        <v/>
      </c>
      <c r="O23" s="44" t="str">
        <f aca="false">IF(01_INPUTS!O17,_ENGINE_FINANCIERO!O114,"")</f>
        <v/>
      </c>
      <c r="P23" s="44" t="str">
        <f aca="false">IF(01_INPUTS!P17,_ENGINE_FINANCIERO!P114,"")</f>
        <v/>
      </c>
      <c r="Q23" s="44" t="str">
        <f aca="false">IF(01_INPUTS!Q17,_ENGINE_FINANCIERO!Q114,"")</f>
        <v/>
      </c>
      <c r="R23" s="44" t="str">
        <f aca="false">IF(01_INPUTS!R17,_ENGINE_FINANCIERO!R114,"")</f>
        <v/>
      </c>
      <c r="S23" s="44" t="str">
        <f aca="false">IF(01_INPUTS!S17,_ENGINE_FINANCIERO!S114,"")</f>
        <v/>
      </c>
    </row>
    <row r="24" customFormat="false" ht="15" hidden="false" customHeight="false" outlineLevel="0" collapsed="false">
      <c r="A24" s="8" t="s">
        <v>275</v>
      </c>
      <c r="B24" s="12" t="s">
        <v>81</v>
      </c>
      <c r="G24" s="42" t="n">
        <f aca="false">CHOOSE(MATCH($B$2,$U$1:$U$5,0),_ENGINE_FINANCIERO!G164,_ENGINE_FINANCIERO!G21,_ENGINE_FINANCIERO!G68,_ENGINE_FINANCIERO!G115,_ENGINE_FINANCIERO!G164)</f>
        <v>2948016982.44887</v>
      </c>
      <c r="H24" s="42" t="str">
        <f aca="false">CHOOSE(MATCH($B$2,$U$1:$U$5,0),_ENGINE_FINANCIERO!H164,_ENGINE_FINANCIERO!H21,_ENGINE_FINANCIERO!H68,_ENGINE_FINANCIERO!H115,_ENGINE_FINANCIERO!H164)</f>
        <v>n/a</v>
      </c>
      <c r="I24" s="42" t="n">
        <f aca="false">IF(01_INPUTS!I17,CHOOSE(MATCH($B$2,$U$1:$U$5,0),_ENGINE_FINANCIERO!I164,_ENGINE_FINANCIERO!I21,_ENGINE_FINANCIERO!I68,_ENGINE_FINANCIERO!I115,_ENGINE_FINANCIERO!I164),"")</f>
        <v>17822091380.717</v>
      </c>
      <c r="J24" s="42" t="str">
        <f aca="false">IF(01_INPUTS!J17,CHOOSE(MATCH($B$2,$U$1:$U$5,0),_ENGINE_FINANCIERO!J164,_ENGINE_FINANCIERO!J21,_ENGINE_FINANCIERO!J68,_ENGINE_FINANCIERO!J115,_ENGINE_FINANCIERO!J164),"")</f>
        <v/>
      </c>
      <c r="K24" s="42" t="str">
        <f aca="false">IF(01_INPUTS!K17,CHOOSE(MATCH($B$2,$U$1:$U$5,0),_ENGINE_FINANCIERO!K164,_ENGINE_FINANCIERO!K21,_ENGINE_FINANCIERO!K68,_ENGINE_FINANCIERO!K115,_ENGINE_FINANCIERO!K164),"")</f>
        <v/>
      </c>
      <c r="L24" s="42" t="str">
        <f aca="false">IF(01_INPUTS!L17,CHOOSE(MATCH($B$2,$U$1:$U$5,0),_ENGINE_FINANCIERO!L164,_ENGINE_FINANCIERO!L21,_ENGINE_FINANCIERO!L68,_ENGINE_FINANCIERO!L115,_ENGINE_FINANCIERO!L164),"")</f>
        <v/>
      </c>
      <c r="M24" s="42" t="str">
        <f aca="false">IF(01_INPUTS!M17,CHOOSE(MATCH($B$2,$U$1:$U$5,0),_ENGINE_FINANCIERO!M164,_ENGINE_FINANCIERO!M21,_ENGINE_FINANCIERO!M68,_ENGINE_FINANCIERO!M115,_ENGINE_FINANCIERO!M164),"")</f>
        <v/>
      </c>
      <c r="N24" s="42" t="str">
        <f aca="false">IF(01_INPUTS!N17,CHOOSE(MATCH($B$2,$U$1:$U$5,0),_ENGINE_FINANCIERO!N164,_ENGINE_FINANCIERO!N21,_ENGINE_FINANCIERO!N68,_ENGINE_FINANCIERO!N115,_ENGINE_FINANCIERO!N164),"")</f>
        <v/>
      </c>
      <c r="O24" s="42" t="str">
        <f aca="false">IF(01_INPUTS!O17,CHOOSE(MATCH($B$2,$U$1:$U$5,0),_ENGINE_FINANCIERO!O164,_ENGINE_FINANCIERO!O21,_ENGINE_FINANCIERO!O68,_ENGINE_FINANCIERO!O115,_ENGINE_FINANCIERO!O164),"")</f>
        <v/>
      </c>
      <c r="P24" s="42" t="str">
        <f aca="false">IF(01_INPUTS!P17,CHOOSE(MATCH($B$2,$U$1:$U$5,0),_ENGINE_FINANCIERO!P164,_ENGINE_FINANCIERO!P21,_ENGINE_FINANCIERO!P68,_ENGINE_FINANCIERO!P115,_ENGINE_FINANCIERO!P164),"")</f>
        <v/>
      </c>
      <c r="Q24" s="42" t="str">
        <f aca="false">IF(01_INPUTS!Q17,CHOOSE(MATCH($B$2,$U$1:$U$5,0),_ENGINE_FINANCIERO!Q164,_ENGINE_FINANCIERO!Q21,_ENGINE_FINANCIERO!Q68,_ENGINE_FINANCIERO!Q115,_ENGINE_FINANCIERO!Q164),"")</f>
        <v/>
      </c>
      <c r="R24" s="42" t="str">
        <f aca="false">IF(01_INPUTS!R17,CHOOSE(MATCH($B$2,$U$1:$U$5,0),_ENGINE_FINANCIERO!R164,_ENGINE_FINANCIERO!R21,_ENGINE_FINANCIERO!R68,_ENGINE_FINANCIERO!R115,_ENGINE_FINANCIERO!R164),"")</f>
        <v/>
      </c>
      <c r="S24" s="42" t="str">
        <f aca="false">IF(01_INPUTS!S17,CHOOSE(MATCH($B$2,$U$1:$U$5,0),_ENGINE_FINANCIERO!S164,_ENGINE_FINANCIERO!S21,_ENGINE_FINANCIERO!S68,_ENGINE_FINANCIERO!S115,_ENGINE_FINANCIERO!S164),"")</f>
        <v/>
      </c>
    </row>
    <row r="25" customFormat="false" ht="15" hidden="true" customHeight="false" outlineLevel="1" collapsed="false">
      <c r="A25" s="6" t="s">
        <v>268</v>
      </c>
      <c r="B25" s="43" t="s">
        <v>81</v>
      </c>
      <c r="G25" s="44" t="n">
        <f aca="false">_ENGINE_FINANCIERO!G21</f>
        <v>-1005068400</v>
      </c>
      <c r="H25" s="44" t="n">
        <f aca="false">_ENGINE_FINANCIERO!H21</f>
        <v>-967561560</v>
      </c>
      <c r="I25" s="44" t="n">
        <f aca="false">IF(01_INPUTS!I17,_ENGINE_FINANCIERO!I21,"")</f>
        <v>3268581494.63815</v>
      </c>
      <c r="J25" s="44" t="str">
        <f aca="false">IF(01_INPUTS!J17,_ENGINE_FINANCIERO!J21,"")</f>
        <v/>
      </c>
      <c r="K25" s="44" t="str">
        <f aca="false">IF(01_INPUTS!K17,_ENGINE_FINANCIERO!K21,"")</f>
        <v/>
      </c>
      <c r="L25" s="44" t="str">
        <f aca="false">IF(01_INPUTS!L17,_ENGINE_FINANCIERO!L21,"")</f>
        <v/>
      </c>
      <c r="M25" s="44" t="str">
        <f aca="false">IF(01_INPUTS!M17,_ENGINE_FINANCIERO!M21,"")</f>
        <v/>
      </c>
      <c r="N25" s="44" t="str">
        <f aca="false">IF(01_INPUTS!N17,_ENGINE_FINANCIERO!N21,"")</f>
        <v/>
      </c>
      <c r="O25" s="44" t="str">
        <f aca="false">IF(01_INPUTS!O17,_ENGINE_FINANCIERO!O21,"")</f>
        <v/>
      </c>
      <c r="P25" s="44" t="str">
        <f aca="false">IF(01_INPUTS!P17,_ENGINE_FINANCIERO!P21,"")</f>
        <v/>
      </c>
      <c r="Q25" s="44" t="str">
        <f aca="false">IF(01_INPUTS!Q17,_ENGINE_FINANCIERO!Q21,"")</f>
        <v/>
      </c>
      <c r="R25" s="44" t="str">
        <f aca="false">IF(01_INPUTS!R17,_ENGINE_FINANCIERO!R21,"")</f>
        <v/>
      </c>
      <c r="S25" s="44" t="str">
        <f aca="false">IF(01_INPUTS!S17,_ENGINE_FINANCIERO!S21,"")</f>
        <v/>
      </c>
    </row>
    <row r="26" customFormat="false" ht="15" hidden="true" customHeight="false" outlineLevel="1" collapsed="false">
      <c r="A26" s="6" t="s">
        <v>269</v>
      </c>
      <c r="B26" s="43" t="s">
        <v>81</v>
      </c>
      <c r="G26" s="44" t="n">
        <f aca="false">_ENGINE_FINANCIERO!G68</f>
        <v>-198065400</v>
      </c>
      <c r="H26" s="44" t="n">
        <f aca="false">_ENGINE_FINANCIERO!H68</f>
        <v>-273258860</v>
      </c>
      <c r="I26" s="44" t="n">
        <f aca="false">IF(01_INPUTS!I17,_ENGINE_FINANCIERO!I68,"")</f>
        <v>3403659694.01503</v>
      </c>
      <c r="J26" s="44" t="str">
        <f aca="false">IF(01_INPUTS!J17,_ENGINE_FINANCIERO!J68,"")</f>
        <v/>
      </c>
      <c r="K26" s="44" t="str">
        <f aca="false">IF(01_INPUTS!K17,_ENGINE_FINANCIERO!K68,"")</f>
        <v/>
      </c>
      <c r="L26" s="44" t="str">
        <f aca="false">IF(01_INPUTS!L17,_ENGINE_FINANCIERO!L68,"")</f>
        <v/>
      </c>
      <c r="M26" s="44" t="str">
        <f aca="false">IF(01_INPUTS!M17,_ENGINE_FINANCIERO!M68,"")</f>
        <v/>
      </c>
      <c r="N26" s="44" t="str">
        <f aca="false">IF(01_INPUTS!N17,_ENGINE_FINANCIERO!N68,"")</f>
        <v/>
      </c>
      <c r="O26" s="44" t="str">
        <f aca="false">IF(01_INPUTS!O17,_ENGINE_FINANCIERO!O68,"")</f>
        <v/>
      </c>
      <c r="P26" s="44" t="str">
        <f aca="false">IF(01_INPUTS!P17,_ENGINE_FINANCIERO!P68,"")</f>
        <v/>
      </c>
      <c r="Q26" s="44" t="str">
        <f aca="false">IF(01_INPUTS!Q17,_ENGINE_FINANCIERO!Q68,"")</f>
        <v/>
      </c>
      <c r="R26" s="44" t="str">
        <f aca="false">IF(01_INPUTS!R17,_ENGINE_FINANCIERO!R68,"")</f>
        <v/>
      </c>
      <c r="S26" s="44" t="str">
        <f aca="false">IF(01_INPUTS!S17,_ENGINE_FINANCIERO!S68,"")</f>
        <v/>
      </c>
    </row>
    <row r="27" customFormat="false" ht="15" hidden="true" customHeight="false" outlineLevel="1" collapsed="false">
      <c r="A27" s="6" t="s">
        <v>270</v>
      </c>
      <c r="B27" s="43" t="s">
        <v>81</v>
      </c>
      <c r="G27" s="44" t="n">
        <f aca="false">_ENGINE_FINANCIERO!G115</f>
        <v>0</v>
      </c>
      <c r="H27" s="44" t="n">
        <f aca="false">_ENGINE_FINANCIERO!H115</f>
        <v>-20000000</v>
      </c>
      <c r="I27" s="44" t="n">
        <f aca="false">IF(01_INPUTS!I17,_ENGINE_FINANCIERO!I115,"")</f>
        <v>11149850192.0638</v>
      </c>
      <c r="J27" s="44" t="str">
        <f aca="false">IF(01_INPUTS!J17,_ENGINE_FINANCIERO!J115,"")</f>
        <v/>
      </c>
      <c r="K27" s="44" t="str">
        <f aca="false">IF(01_INPUTS!K17,_ENGINE_FINANCIERO!K115,"")</f>
        <v/>
      </c>
      <c r="L27" s="44" t="str">
        <f aca="false">IF(01_INPUTS!L17,_ENGINE_FINANCIERO!L115,"")</f>
        <v/>
      </c>
      <c r="M27" s="44" t="str">
        <f aca="false">IF(01_INPUTS!M17,_ENGINE_FINANCIERO!M115,"")</f>
        <v/>
      </c>
      <c r="N27" s="44" t="str">
        <f aca="false">IF(01_INPUTS!N17,_ENGINE_FINANCIERO!N115,"")</f>
        <v/>
      </c>
      <c r="O27" s="44" t="str">
        <f aca="false">IF(01_INPUTS!O17,_ENGINE_FINANCIERO!O115,"")</f>
        <v/>
      </c>
      <c r="P27" s="44" t="str">
        <f aca="false">IF(01_INPUTS!P17,_ENGINE_FINANCIERO!P115,"")</f>
        <v/>
      </c>
      <c r="Q27" s="44" t="str">
        <f aca="false">IF(01_INPUTS!Q17,_ENGINE_FINANCIERO!Q115,"")</f>
        <v/>
      </c>
      <c r="R27" s="44" t="str">
        <f aca="false">IF(01_INPUTS!R17,_ENGINE_FINANCIERO!R115,"")</f>
        <v/>
      </c>
      <c r="S27" s="44" t="str">
        <f aca="false">IF(01_INPUTS!S17,_ENGINE_FINANCIERO!S115,"")</f>
        <v/>
      </c>
    </row>
    <row r="28" customFormat="false" ht="15" hidden="false" customHeight="false" outlineLevel="0" collapsed="false">
      <c r="A28" s="14" t="s">
        <v>276</v>
      </c>
      <c r="B28" s="12" t="s">
        <v>81</v>
      </c>
      <c r="G28" s="45" t="n">
        <f aca="false">CHOOSE(MATCH($B$2,$U$1:$U$5,0),_ENGINE_FINANCIERO!G165,_ENGINE_FINANCIERO!G22,_ENGINE_FINANCIERO!G69,_ENGINE_FINANCIERO!G116,_ENGINE_FINANCIERO!G165)</f>
        <v>642707584.62952</v>
      </c>
      <c r="H28" s="45" t="str">
        <f aca="false">CHOOSE(MATCH($B$2,$U$1:$U$5,0),_ENGINE_FINANCIERO!H165,_ENGINE_FINANCIERO!H22,_ENGINE_FINANCIERO!H69,_ENGINE_FINANCIERO!H116,_ENGINE_FINANCIERO!H165)</f>
        <v>n/a</v>
      </c>
      <c r="I28" s="45" t="n">
        <f aca="false">IF(01_INPUTS!I17,CHOOSE(MATCH($B$2,$U$1:$U$5,0),_ENGINE_FINANCIERO!I165,_ENGINE_FINANCIERO!I22,_ENGINE_FINANCIERO!I69,_ENGINE_FINANCIERO!I116,_ENGINE_FINANCIERO!I165),"")</f>
        <v>374750153.376885</v>
      </c>
      <c r="J28" s="45" t="str">
        <f aca="false">IF(01_INPUTS!J17,CHOOSE(MATCH($B$2,$U$1:$U$5,0),_ENGINE_FINANCIERO!J165,_ENGINE_FINANCIERO!J22,_ENGINE_FINANCIERO!J69,_ENGINE_FINANCIERO!J116,_ENGINE_FINANCIERO!J165),"")</f>
        <v/>
      </c>
      <c r="K28" s="45" t="str">
        <f aca="false">IF(01_INPUTS!K17,CHOOSE(MATCH($B$2,$U$1:$U$5,0),_ENGINE_FINANCIERO!K165,_ENGINE_FINANCIERO!K22,_ENGINE_FINANCIERO!K69,_ENGINE_FINANCIERO!K116,_ENGINE_FINANCIERO!K165),"")</f>
        <v/>
      </c>
      <c r="L28" s="45" t="str">
        <f aca="false">IF(01_INPUTS!L17,CHOOSE(MATCH($B$2,$U$1:$U$5,0),_ENGINE_FINANCIERO!L165,_ENGINE_FINANCIERO!L22,_ENGINE_FINANCIERO!L69,_ENGINE_FINANCIERO!L116,_ENGINE_FINANCIERO!L165),"")</f>
        <v/>
      </c>
      <c r="M28" s="45" t="str">
        <f aca="false">IF(01_INPUTS!M17,CHOOSE(MATCH($B$2,$U$1:$U$5,0),_ENGINE_FINANCIERO!M165,_ENGINE_FINANCIERO!M22,_ENGINE_FINANCIERO!M69,_ENGINE_FINANCIERO!M116,_ENGINE_FINANCIERO!M165),"")</f>
        <v/>
      </c>
      <c r="N28" s="45" t="str">
        <f aca="false">IF(01_INPUTS!N17,CHOOSE(MATCH($B$2,$U$1:$U$5,0),_ENGINE_FINANCIERO!N165,_ENGINE_FINANCIERO!N22,_ENGINE_FINANCIERO!N69,_ENGINE_FINANCIERO!N116,_ENGINE_FINANCIERO!N165),"")</f>
        <v/>
      </c>
      <c r="O28" s="45" t="str">
        <f aca="false">IF(01_INPUTS!O17,CHOOSE(MATCH($B$2,$U$1:$U$5,0),_ENGINE_FINANCIERO!O165,_ENGINE_FINANCIERO!O22,_ENGINE_FINANCIERO!O69,_ENGINE_FINANCIERO!O116,_ENGINE_FINANCIERO!O165),"")</f>
        <v/>
      </c>
      <c r="P28" s="45" t="str">
        <f aca="false">IF(01_INPUTS!P17,CHOOSE(MATCH($B$2,$U$1:$U$5,0),_ENGINE_FINANCIERO!P165,_ENGINE_FINANCIERO!P22,_ENGINE_FINANCIERO!P69,_ENGINE_FINANCIERO!P116,_ENGINE_FINANCIERO!P165),"")</f>
        <v/>
      </c>
      <c r="Q28" s="45" t="str">
        <f aca="false">IF(01_INPUTS!Q17,CHOOSE(MATCH($B$2,$U$1:$U$5,0),_ENGINE_FINANCIERO!Q165,_ENGINE_FINANCIERO!Q22,_ENGINE_FINANCIERO!Q69,_ENGINE_FINANCIERO!Q116,_ENGINE_FINANCIERO!Q165),"")</f>
        <v/>
      </c>
      <c r="R28" s="45" t="str">
        <f aca="false">IF(01_INPUTS!R17,CHOOSE(MATCH($B$2,$U$1:$U$5,0),_ENGINE_FINANCIERO!R165,_ENGINE_FINANCIERO!R22,_ENGINE_FINANCIERO!R69,_ENGINE_FINANCIERO!R116,_ENGINE_FINANCIERO!R165),"")</f>
        <v/>
      </c>
      <c r="S28" s="45" t="str">
        <f aca="false">IF(01_INPUTS!S17,CHOOSE(MATCH($B$2,$U$1:$U$5,0),_ENGINE_FINANCIERO!S165,_ENGINE_FINANCIERO!S22,_ENGINE_FINANCIERO!S69,_ENGINE_FINANCIERO!S116,_ENGINE_FINANCIERO!S165),"")</f>
        <v/>
      </c>
    </row>
    <row r="29" customFormat="false" ht="15" hidden="true" customHeight="false" outlineLevel="1" collapsed="false">
      <c r="A29" s="6" t="s">
        <v>268</v>
      </c>
      <c r="B29" s="43" t="s">
        <v>81</v>
      </c>
      <c r="G29" s="44" t="n">
        <f aca="false">_ENGINE_FINANCIERO!G22</f>
        <v>529181242.278694</v>
      </c>
      <c r="H29" s="44" t="n">
        <f aca="false">_ENGINE_FINANCIERO!H22</f>
        <v>453584115.025126</v>
      </c>
      <c r="I29" s="44" t="n">
        <f aca="false">IF(01_INPUTS!I17,_ENGINE_FINANCIERO!I22,"")</f>
        <v>551388560.824131</v>
      </c>
      <c r="J29" s="44" t="str">
        <f aca="false">IF(01_INPUTS!J17,_ENGINE_FINANCIERO!J22,"")</f>
        <v/>
      </c>
      <c r="K29" s="44" t="str">
        <f aca="false">IF(01_INPUTS!K17,_ENGINE_FINANCIERO!K22,"")</f>
        <v/>
      </c>
      <c r="L29" s="44" t="str">
        <f aca="false">IF(01_INPUTS!L17,_ENGINE_FINANCIERO!L22,"")</f>
        <v/>
      </c>
      <c r="M29" s="44" t="str">
        <f aca="false">IF(01_INPUTS!M17,_ENGINE_FINANCIERO!M22,"")</f>
        <v/>
      </c>
      <c r="N29" s="44" t="str">
        <f aca="false">IF(01_INPUTS!N17,_ENGINE_FINANCIERO!N22,"")</f>
        <v/>
      </c>
      <c r="O29" s="44" t="str">
        <f aca="false">IF(01_INPUTS!O17,_ENGINE_FINANCIERO!O22,"")</f>
        <v/>
      </c>
      <c r="P29" s="44" t="str">
        <f aca="false">IF(01_INPUTS!P17,_ENGINE_FINANCIERO!P22,"")</f>
        <v/>
      </c>
      <c r="Q29" s="44" t="str">
        <f aca="false">IF(01_INPUTS!Q17,_ENGINE_FINANCIERO!Q22,"")</f>
        <v/>
      </c>
      <c r="R29" s="44" t="str">
        <f aca="false">IF(01_INPUTS!R17,_ENGINE_FINANCIERO!R22,"")</f>
        <v/>
      </c>
      <c r="S29" s="44" t="str">
        <f aca="false">IF(01_INPUTS!S17,_ENGINE_FINANCIERO!S22,"")</f>
        <v/>
      </c>
    </row>
    <row r="30" customFormat="false" ht="15" hidden="true" customHeight="false" outlineLevel="1" collapsed="false">
      <c r="A30" s="6" t="s">
        <v>269</v>
      </c>
      <c r="B30" s="43" t="s">
        <v>81</v>
      </c>
      <c r="G30" s="44" t="n">
        <f aca="false">_ENGINE_FINANCIERO!G69</f>
        <v>119424995.069532</v>
      </c>
      <c r="H30" s="44" t="n">
        <f aca="false">_ENGINE_FINANCIERO!H69</f>
        <v>-72726647.1917144</v>
      </c>
      <c r="I30" s="44" t="n">
        <f aca="false">IF(01_INPUTS!I17,_ENGINE_FINANCIERO!I69,"")</f>
        <v>-125376510.858674</v>
      </c>
      <c r="J30" s="44" t="str">
        <f aca="false">IF(01_INPUTS!J17,_ENGINE_FINANCIERO!J69,"")</f>
        <v/>
      </c>
      <c r="K30" s="44" t="str">
        <f aca="false">IF(01_INPUTS!K17,_ENGINE_FINANCIERO!K69,"")</f>
        <v/>
      </c>
      <c r="L30" s="44" t="str">
        <f aca="false">IF(01_INPUTS!L17,_ENGINE_FINANCIERO!L69,"")</f>
        <v/>
      </c>
      <c r="M30" s="44" t="str">
        <f aca="false">IF(01_INPUTS!M17,_ENGINE_FINANCIERO!M69,"")</f>
        <v/>
      </c>
      <c r="N30" s="44" t="str">
        <f aca="false">IF(01_INPUTS!N17,_ENGINE_FINANCIERO!N69,"")</f>
        <v/>
      </c>
      <c r="O30" s="44" t="str">
        <f aca="false">IF(01_INPUTS!O17,_ENGINE_FINANCIERO!O69,"")</f>
        <v/>
      </c>
      <c r="P30" s="44" t="str">
        <f aca="false">IF(01_INPUTS!P17,_ENGINE_FINANCIERO!P69,"")</f>
        <v/>
      </c>
      <c r="Q30" s="44" t="str">
        <f aca="false">IF(01_INPUTS!Q17,_ENGINE_FINANCIERO!Q69,"")</f>
        <v/>
      </c>
      <c r="R30" s="44" t="str">
        <f aca="false">IF(01_INPUTS!R17,_ENGINE_FINANCIERO!R69,"")</f>
        <v/>
      </c>
      <c r="S30" s="44" t="str">
        <f aca="false">IF(01_INPUTS!S17,_ENGINE_FINANCIERO!S69,"")</f>
        <v/>
      </c>
    </row>
    <row r="31" customFormat="false" ht="15" hidden="true" customHeight="false" outlineLevel="1" collapsed="false">
      <c r="A31" s="6" t="s">
        <v>270</v>
      </c>
      <c r="B31" s="43" t="s">
        <v>81</v>
      </c>
      <c r="G31" s="44" t="n">
        <f aca="false">_ENGINE_FINANCIERO!G116</f>
        <v>-5898652.71870569</v>
      </c>
      <c r="H31" s="44" t="n">
        <f aca="false">_ENGINE_FINANCIERO!H116</f>
        <v>-43304005.8154871</v>
      </c>
      <c r="I31" s="44" t="n">
        <f aca="false">IF(01_INPUTS!I17,_ENGINE_FINANCIERO!I116,"")</f>
        <v>-51261896.5885712</v>
      </c>
      <c r="J31" s="44" t="str">
        <f aca="false">IF(01_INPUTS!J17,_ENGINE_FINANCIERO!J116,"")</f>
        <v/>
      </c>
      <c r="K31" s="44" t="str">
        <f aca="false">IF(01_INPUTS!K17,_ENGINE_FINANCIERO!K116,"")</f>
        <v/>
      </c>
      <c r="L31" s="44" t="str">
        <f aca="false">IF(01_INPUTS!L17,_ENGINE_FINANCIERO!L116,"")</f>
        <v/>
      </c>
      <c r="M31" s="44" t="str">
        <f aca="false">IF(01_INPUTS!M17,_ENGINE_FINANCIERO!M116,"")</f>
        <v/>
      </c>
      <c r="N31" s="44" t="str">
        <f aca="false">IF(01_INPUTS!N17,_ENGINE_FINANCIERO!N116,"")</f>
        <v/>
      </c>
      <c r="O31" s="44" t="str">
        <f aca="false">IF(01_INPUTS!O17,_ENGINE_FINANCIERO!O116,"")</f>
        <v/>
      </c>
      <c r="P31" s="44" t="str">
        <f aca="false">IF(01_INPUTS!P17,_ENGINE_FINANCIERO!P116,"")</f>
        <v/>
      </c>
      <c r="Q31" s="44" t="str">
        <f aca="false">IF(01_INPUTS!Q17,_ENGINE_FINANCIERO!Q116,"")</f>
        <v/>
      </c>
      <c r="R31" s="44" t="str">
        <f aca="false">IF(01_INPUTS!R17,_ENGINE_FINANCIERO!R116,"")</f>
        <v/>
      </c>
      <c r="S31" s="44" t="str">
        <f aca="false">IF(01_INPUTS!S17,_ENGINE_FINANCIERO!S116,"")</f>
        <v/>
      </c>
    </row>
    <row r="32" customFormat="false" ht="15" hidden="false" customHeight="false" outlineLevel="0" collapsed="false">
      <c r="A32" s="8" t="s">
        <v>277</v>
      </c>
      <c r="B32" s="12" t="s">
        <v>81</v>
      </c>
      <c r="G32" s="42" t="n">
        <f aca="false">CHOOSE(MATCH($B$2,$U$1:$U$5,0),_ENGINE_FINANCIERO!G166,_ENGINE_FINANCIERO!G23,_ENGINE_FINANCIERO!G70,_ENGINE_FINANCIERO!G117,_ENGINE_FINANCIERO!G166)</f>
        <v>2305309397.81935</v>
      </c>
      <c r="H32" s="42" t="str">
        <f aca="false">CHOOSE(MATCH($B$2,$U$1:$U$5,0),_ENGINE_FINANCIERO!H166,_ENGINE_FINANCIERO!H23,_ENGINE_FINANCIERO!H70,_ENGINE_FINANCIERO!H117,_ENGINE_FINANCIERO!H166)</f>
        <v>n/a</v>
      </c>
      <c r="I32" s="42" t="n">
        <f aca="false">IF(01_INPUTS!I17,CHOOSE(MATCH($B$2,$U$1:$U$5,0),_ENGINE_FINANCIERO!I166,_ENGINE_FINANCIERO!I23,_ENGINE_FINANCIERO!I70,_ENGINE_FINANCIERO!I117,_ENGINE_FINANCIERO!I166),"")</f>
        <v>17447341227.3401</v>
      </c>
      <c r="J32" s="42" t="str">
        <f aca="false">IF(01_INPUTS!J17,CHOOSE(MATCH($B$2,$U$1:$U$5,0),_ENGINE_FINANCIERO!J166,_ENGINE_FINANCIERO!J23,_ENGINE_FINANCIERO!J70,_ENGINE_FINANCIERO!J117,_ENGINE_FINANCIERO!J166),"")</f>
        <v/>
      </c>
      <c r="K32" s="42" t="str">
        <f aca="false">IF(01_INPUTS!K17,CHOOSE(MATCH($B$2,$U$1:$U$5,0),_ENGINE_FINANCIERO!K166,_ENGINE_FINANCIERO!K23,_ENGINE_FINANCIERO!K70,_ENGINE_FINANCIERO!K117,_ENGINE_FINANCIERO!K166),"")</f>
        <v/>
      </c>
      <c r="L32" s="42" t="str">
        <f aca="false">IF(01_INPUTS!L17,CHOOSE(MATCH($B$2,$U$1:$U$5,0),_ENGINE_FINANCIERO!L166,_ENGINE_FINANCIERO!L23,_ENGINE_FINANCIERO!L70,_ENGINE_FINANCIERO!L117,_ENGINE_FINANCIERO!L166),"")</f>
        <v/>
      </c>
      <c r="M32" s="42" t="str">
        <f aca="false">IF(01_INPUTS!M17,CHOOSE(MATCH($B$2,$U$1:$U$5,0),_ENGINE_FINANCIERO!M166,_ENGINE_FINANCIERO!M23,_ENGINE_FINANCIERO!M70,_ENGINE_FINANCIERO!M117,_ENGINE_FINANCIERO!M166),"")</f>
        <v/>
      </c>
      <c r="N32" s="42" t="str">
        <f aca="false">IF(01_INPUTS!N17,CHOOSE(MATCH($B$2,$U$1:$U$5,0),_ENGINE_FINANCIERO!N166,_ENGINE_FINANCIERO!N23,_ENGINE_FINANCIERO!N70,_ENGINE_FINANCIERO!N117,_ENGINE_FINANCIERO!N166),"")</f>
        <v/>
      </c>
      <c r="O32" s="42" t="str">
        <f aca="false">IF(01_INPUTS!O17,CHOOSE(MATCH($B$2,$U$1:$U$5,0),_ENGINE_FINANCIERO!O166,_ENGINE_FINANCIERO!O23,_ENGINE_FINANCIERO!O70,_ENGINE_FINANCIERO!O117,_ENGINE_FINANCIERO!O166),"")</f>
        <v/>
      </c>
      <c r="P32" s="42" t="str">
        <f aca="false">IF(01_INPUTS!P17,CHOOSE(MATCH($B$2,$U$1:$U$5,0),_ENGINE_FINANCIERO!P166,_ENGINE_FINANCIERO!P23,_ENGINE_FINANCIERO!P70,_ENGINE_FINANCIERO!P117,_ENGINE_FINANCIERO!P166),"")</f>
        <v/>
      </c>
      <c r="Q32" s="42" t="str">
        <f aca="false">IF(01_INPUTS!Q17,CHOOSE(MATCH($B$2,$U$1:$U$5,0),_ENGINE_FINANCIERO!Q166,_ENGINE_FINANCIERO!Q23,_ENGINE_FINANCIERO!Q70,_ENGINE_FINANCIERO!Q117,_ENGINE_FINANCIERO!Q166),"")</f>
        <v/>
      </c>
      <c r="R32" s="42" t="str">
        <f aca="false">IF(01_INPUTS!R17,CHOOSE(MATCH($B$2,$U$1:$U$5,0),_ENGINE_FINANCIERO!R166,_ENGINE_FINANCIERO!R23,_ENGINE_FINANCIERO!R70,_ENGINE_FINANCIERO!R117,_ENGINE_FINANCIERO!R166),"")</f>
        <v/>
      </c>
      <c r="S32" s="42" t="str">
        <f aca="false">IF(01_INPUTS!S17,CHOOSE(MATCH($B$2,$U$1:$U$5,0),_ENGINE_FINANCIERO!S166,_ENGINE_FINANCIERO!S23,_ENGINE_FINANCIERO!S70,_ENGINE_FINANCIERO!S117,_ENGINE_FINANCIERO!S166),"")</f>
        <v/>
      </c>
    </row>
    <row r="33" customFormat="false" ht="15" hidden="true" customHeight="false" outlineLevel="1" collapsed="false">
      <c r="A33" s="6" t="s">
        <v>268</v>
      </c>
      <c r="B33" s="43" t="s">
        <v>81</v>
      </c>
      <c r="G33" s="44" t="n">
        <f aca="false">_ENGINE_FINANCIERO!G23</f>
        <v>967972743.841462</v>
      </c>
      <c r="H33" s="44" t="n">
        <f aca="false">_ENGINE_FINANCIERO!H23</f>
        <v>1501807334.41894</v>
      </c>
      <c r="I33" s="44" t="n">
        <f aca="false">IF(01_INPUTS!I17,_ENGINE_FINANCIERO!I23,"")</f>
        <v>2717192933.81402</v>
      </c>
      <c r="J33" s="44" t="str">
        <f aca="false">IF(01_INPUTS!J17,_ENGINE_FINANCIERO!J23,"")</f>
        <v/>
      </c>
      <c r="K33" s="44" t="str">
        <f aca="false">IF(01_INPUTS!K17,_ENGINE_FINANCIERO!K23,"")</f>
        <v/>
      </c>
      <c r="L33" s="44" t="str">
        <f aca="false">IF(01_INPUTS!L17,_ENGINE_FINANCIERO!L23,"")</f>
        <v/>
      </c>
      <c r="M33" s="44" t="str">
        <f aca="false">IF(01_INPUTS!M17,_ENGINE_FINANCIERO!M23,"")</f>
        <v/>
      </c>
      <c r="N33" s="44" t="str">
        <f aca="false">IF(01_INPUTS!N17,_ENGINE_FINANCIERO!N23,"")</f>
        <v/>
      </c>
      <c r="O33" s="44" t="str">
        <f aca="false">IF(01_INPUTS!O17,_ENGINE_FINANCIERO!O23,"")</f>
        <v/>
      </c>
      <c r="P33" s="44" t="str">
        <f aca="false">IF(01_INPUTS!P17,_ENGINE_FINANCIERO!P23,"")</f>
        <v/>
      </c>
      <c r="Q33" s="44" t="str">
        <f aca="false">IF(01_INPUTS!Q17,_ENGINE_FINANCIERO!Q23,"")</f>
        <v/>
      </c>
      <c r="R33" s="44" t="str">
        <f aca="false">IF(01_INPUTS!R17,_ENGINE_FINANCIERO!R23,"")</f>
        <v/>
      </c>
      <c r="S33" s="44" t="str">
        <f aca="false">IF(01_INPUTS!S17,_ENGINE_FINANCIERO!S23,"")</f>
        <v/>
      </c>
    </row>
    <row r="34" customFormat="false" ht="15" hidden="true" customHeight="false" outlineLevel="1" collapsed="false">
      <c r="A34" s="6" t="s">
        <v>269</v>
      </c>
      <c r="B34" s="43" t="s">
        <v>81</v>
      </c>
      <c r="G34" s="44" t="n">
        <f aca="false">_ENGINE_FINANCIERO!G70</f>
        <v>517174314.731842</v>
      </c>
      <c r="H34" s="44" t="n">
        <f aca="false">_ENGINE_FINANCIERO!H70</f>
        <v>2065199230.66467</v>
      </c>
      <c r="I34" s="44" t="n">
        <f aca="false">IF(01_INPUTS!I17,_ENGINE_FINANCIERO!I70,"")</f>
        <v>3529036204.87371</v>
      </c>
      <c r="J34" s="44" t="str">
        <f aca="false">IF(01_INPUTS!J17,_ENGINE_FINANCIERO!J70,"")</f>
        <v/>
      </c>
      <c r="K34" s="44" t="str">
        <f aca="false">IF(01_INPUTS!K17,_ENGINE_FINANCIERO!K70,"")</f>
        <v/>
      </c>
      <c r="L34" s="44" t="str">
        <f aca="false">IF(01_INPUTS!L17,_ENGINE_FINANCIERO!L70,"")</f>
        <v/>
      </c>
      <c r="M34" s="44" t="str">
        <f aca="false">IF(01_INPUTS!M17,_ENGINE_FINANCIERO!M70,"")</f>
        <v/>
      </c>
      <c r="N34" s="44" t="str">
        <f aca="false">IF(01_INPUTS!N17,_ENGINE_FINANCIERO!N70,"")</f>
        <v/>
      </c>
      <c r="O34" s="44" t="str">
        <f aca="false">IF(01_INPUTS!O17,_ENGINE_FINANCIERO!O70,"")</f>
        <v/>
      </c>
      <c r="P34" s="44" t="str">
        <f aca="false">IF(01_INPUTS!P17,_ENGINE_FINANCIERO!P70,"")</f>
        <v/>
      </c>
      <c r="Q34" s="44" t="str">
        <f aca="false">IF(01_INPUTS!Q17,_ENGINE_FINANCIERO!Q70,"")</f>
        <v/>
      </c>
      <c r="R34" s="44" t="str">
        <f aca="false">IF(01_INPUTS!R17,_ENGINE_FINANCIERO!R70,"")</f>
        <v/>
      </c>
      <c r="S34" s="44" t="str">
        <f aca="false">IF(01_INPUTS!S17,_ENGINE_FINANCIERO!S70,"")</f>
        <v/>
      </c>
    </row>
    <row r="35" customFormat="false" ht="15" hidden="true" customHeight="false" outlineLevel="1" collapsed="false">
      <c r="A35" s="6" t="s">
        <v>270</v>
      </c>
      <c r="B35" s="43" t="s">
        <v>81</v>
      </c>
      <c r="G35" s="44" t="n">
        <f aca="false">_ENGINE_FINANCIERO!G117</f>
        <v>820162339.246046</v>
      </c>
      <c r="H35" s="44" t="n">
        <f aca="false">_ENGINE_FINANCIERO!H117</f>
        <v>1217845658.13102</v>
      </c>
      <c r="I35" s="44" t="n">
        <f aca="false">IF(01_INPUTS!I17,_ENGINE_FINANCIERO!I117,"")</f>
        <v>11201112088.6524</v>
      </c>
      <c r="J35" s="44" t="str">
        <f aca="false">IF(01_INPUTS!J17,_ENGINE_FINANCIERO!J117,"")</f>
        <v/>
      </c>
      <c r="K35" s="44" t="str">
        <f aca="false">IF(01_INPUTS!K17,_ENGINE_FINANCIERO!K117,"")</f>
        <v/>
      </c>
      <c r="L35" s="44" t="str">
        <f aca="false">IF(01_INPUTS!L17,_ENGINE_FINANCIERO!L117,"")</f>
        <v/>
      </c>
      <c r="M35" s="44" t="str">
        <f aca="false">IF(01_INPUTS!M17,_ENGINE_FINANCIERO!M117,"")</f>
        <v/>
      </c>
      <c r="N35" s="44" t="str">
        <f aca="false">IF(01_INPUTS!N17,_ENGINE_FINANCIERO!N117,"")</f>
        <v/>
      </c>
      <c r="O35" s="44" t="str">
        <f aca="false">IF(01_INPUTS!O17,_ENGINE_FINANCIERO!O117,"")</f>
        <v/>
      </c>
      <c r="P35" s="44" t="str">
        <f aca="false">IF(01_INPUTS!P17,_ENGINE_FINANCIERO!P117,"")</f>
        <v/>
      </c>
      <c r="Q35" s="44" t="str">
        <f aca="false">IF(01_INPUTS!Q17,_ENGINE_FINANCIERO!Q117,"")</f>
        <v/>
      </c>
      <c r="R35" s="44" t="str">
        <f aca="false">IF(01_INPUTS!R17,_ENGINE_FINANCIERO!R117,"")</f>
        <v/>
      </c>
      <c r="S35" s="44" t="str">
        <f aca="false">IF(01_INPUTS!S17,_ENGINE_FINANCIERO!S117,"")</f>
        <v/>
      </c>
    </row>
    <row r="36" customFormat="false" ht="15" hidden="false" customHeight="false" outlineLevel="0" collapsed="false">
      <c r="A36" s="14" t="s">
        <v>278</v>
      </c>
      <c r="B36" s="12" t="s">
        <v>81</v>
      </c>
      <c r="G36" s="45" t="n">
        <f aca="false">CHOOSE(MATCH($B$2,$U$1:$U$5,0),_ENGINE_FINANCIERO!G167,_ENGINE_FINANCIERO!G28,_ENGINE_FINANCIERO!G75,_ENGINE_FINANCIERO!G122,_ENGINE_FINANCIERO!G167)</f>
        <v>563691413.924514</v>
      </c>
      <c r="H36" s="45" t="str">
        <f aca="false">CHOOSE(MATCH($B$2,$U$1:$U$5,0),_ENGINE_FINANCIERO!H167,_ENGINE_FINANCIERO!H28,_ENGINE_FINANCIERO!H75,_ENGINE_FINANCIERO!H122,_ENGINE_FINANCIERO!H167)</f>
        <v>n/a</v>
      </c>
      <c r="I36" s="45" t="n">
        <f aca="false">IF(01_INPUTS!I17,CHOOSE(MATCH($B$2,$U$1:$U$5,0),_ENGINE_FINANCIERO!I167,_ENGINE_FINANCIERO!I28,_ENGINE_FINANCIERO!I75,_ENGINE_FINANCIERO!I122,_ENGINE_FINANCIERO!I167),"")</f>
        <v>3832275035.27451</v>
      </c>
      <c r="J36" s="45" t="str">
        <f aca="false">IF(01_INPUTS!J17,CHOOSE(MATCH($B$2,$U$1:$U$5,0),_ENGINE_FINANCIERO!J167,_ENGINE_FINANCIERO!J28,_ENGINE_FINANCIERO!J75,_ENGINE_FINANCIERO!J122,_ENGINE_FINANCIERO!J167),"")</f>
        <v/>
      </c>
      <c r="K36" s="45" t="str">
        <f aca="false">IF(01_INPUTS!K17,CHOOSE(MATCH($B$2,$U$1:$U$5,0),_ENGINE_FINANCIERO!K167,_ENGINE_FINANCIERO!K28,_ENGINE_FINANCIERO!K75,_ENGINE_FINANCIERO!K122,_ENGINE_FINANCIERO!K167),"")</f>
        <v/>
      </c>
      <c r="L36" s="45" t="str">
        <f aca="false">IF(01_INPUTS!L17,CHOOSE(MATCH($B$2,$U$1:$U$5,0),_ENGINE_FINANCIERO!L167,_ENGINE_FINANCIERO!L28,_ENGINE_FINANCIERO!L75,_ENGINE_FINANCIERO!L122,_ENGINE_FINANCIERO!L167),"")</f>
        <v/>
      </c>
      <c r="M36" s="45" t="str">
        <f aca="false">IF(01_INPUTS!M17,CHOOSE(MATCH($B$2,$U$1:$U$5,0),_ENGINE_FINANCIERO!M167,_ENGINE_FINANCIERO!M28,_ENGINE_FINANCIERO!M75,_ENGINE_FINANCIERO!M122,_ENGINE_FINANCIERO!M167),"")</f>
        <v/>
      </c>
      <c r="N36" s="45" t="str">
        <f aca="false">IF(01_INPUTS!N17,CHOOSE(MATCH($B$2,$U$1:$U$5,0),_ENGINE_FINANCIERO!N167,_ENGINE_FINANCIERO!N28,_ENGINE_FINANCIERO!N75,_ENGINE_FINANCIERO!N122,_ENGINE_FINANCIERO!N167),"")</f>
        <v/>
      </c>
      <c r="O36" s="45" t="str">
        <f aca="false">IF(01_INPUTS!O17,CHOOSE(MATCH($B$2,$U$1:$U$5,0),_ENGINE_FINANCIERO!O167,_ENGINE_FINANCIERO!O28,_ENGINE_FINANCIERO!O75,_ENGINE_FINANCIERO!O122,_ENGINE_FINANCIERO!O167),"")</f>
        <v/>
      </c>
      <c r="P36" s="45" t="str">
        <f aca="false">IF(01_INPUTS!P17,CHOOSE(MATCH($B$2,$U$1:$U$5,0),_ENGINE_FINANCIERO!P167,_ENGINE_FINANCIERO!P28,_ENGINE_FINANCIERO!P75,_ENGINE_FINANCIERO!P122,_ENGINE_FINANCIERO!P167),"")</f>
        <v/>
      </c>
      <c r="Q36" s="45" t="str">
        <f aca="false">IF(01_INPUTS!Q17,CHOOSE(MATCH($B$2,$U$1:$U$5,0),_ENGINE_FINANCIERO!Q167,_ENGINE_FINANCIERO!Q28,_ENGINE_FINANCIERO!Q75,_ENGINE_FINANCIERO!Q122,_ENGINE_FINANCIERO!Q167),"")</f>
        <v/>
      </c>
      <c r="R36" s="45" t="str">
        <f aca="false">IF(01_INPUTS!R17,CHOOSE(MATCH($B$2,$U$1:$U$5,0),_ENGINE_FINANCIERO!R167,_ENGINE_FINANCIERO!R28,_ENGINE_FINANCIERO!R75,_ENGINE_FINANCIERO!R122,_ENGINE_FINANCIERO!R167),"")</f>
        <v/>
      </c>
      <c r="S36" s="45" t="str">
        <f aca="false">IF(01_INPUTS!S17,CHOOSE(MATCH($B$2,$U$1:$U$5,0),_ENGINE_FINANCIERO!S167,_ENGINE_FINANCIERO!S28,_ENGINE_FINANCIERO!S75,_ENGINE_FINANCIERO!S122,_ENGINE_FINANCIERO!S167),"")</f>
        <v/>
      </c>
    </row>
    <row r="37" customFormat="false" ht="15" hidden="true" customHeight="false" outlineLevel="1" collapsed="false">
      <c r="A37" s="6" t="s">
        <v>268</v>
      </c>
      <c r="B37" s="43" t="s">
        <v>81</v>
      </c>
      <c r="G37" s="44" t="n">
        <f aca="false">_ENGINE_FINANCIERO!G28</f>
        <v>212954003.645122</v>
      </c>
      <c r="H37" s="44" t="n">
        <f aca="false">_ENGINE_FINANCIERO!H28</f>
        <v>330397613.572167</v>
      </c>
      <c r="I37" s="44" t="n">
        <f aca="false">IF(01_INPUTS!I17,_ENGINE_FINANCIERO!I28,"")</f>
        <v>597782445.439085</v>
      </c>
      <c r="J37" s="44" t="str">
        <f aca="false">IF(01_INPUTS!J17,_ENGINE_FINANCIERO!J28,"")</f>
        <v/>
      </c>
      <c r="K37" s="44" t="str">
        <f aca="false">IF(01_INPUTS!K17,_ENGINE_FINANCIERO!K28,"")</f>
        <v/>
      </c>
      <c r="L37" s="44" t="str">
        <f aca="false">IF(01_INPUTS!L17,_ENGINE_FINANCIERO!L28,"")</f>
        <v/>
      </c>
      <c r="M37" s="44" t="str">
        <f aca="false">IF(01_INPUTS!M17,_ENGINE_FINANCIERO!M28,"")</f>
        <v/>
      </c>
      <c r="N37" s="44" t="str">
        <f aca="false">IF(01_INPUTS!N17,_ENGINE_FINANCIERO!N28,"")</f>
        <v/>
      </c>
      <c r="O37" s="44" t="str">
        <f aca="false">IF(01_INPUTS!O17,_ENGINE_FINANCIERO!O28,"")</f>
        <v/>
      </c>
      <c r="P37" s="44" t="str">
        <f aca="false">IF(01_INPUTS!P17,_ENGINE_FINANCIERO!P28,"")</f>
        <v/>
      </c>
      <c r="Q37" s="44" t="str">
        <f aca="false">IF(01_INPUTS!Q17,_ENGINE_FINANCIERO!Q28,"")</f>
        <v/>
      </c>
      <c r="R37" s="44" t="str">
        <f aca="false">IF(01_INPUTS!R17,_ENGINE_FINANCIERO!R28,"")</f>
        <v/>
      </c>
      <c r="S37" s="44" t="str">
        <f aca="false">IF(01_INPUTS!S17,_ENGINE_FINANCIERO!S28,"")</f>
        <v/>
      </c>
    </row>
    <row r="38" customFormat="false" ht="15" hidden="true" customHeight="false" outlineLevel="1" collapsed="false">
      <c r="A38" s="6" t="s">
        <v>269</v>
      </c>
      <c r="B38" s="43" t="s">
        <v>81</v>
      </c>
      <c r="G38" s="44" t="n">
        <f aca="false">_ENGINE_FINANCIERO!G75</f>
        <v>129293578.682961</v>
      </c>
      <c r="H38" s="44" t="n">
        <f aca="false">_ENGINE_FINANCIERO!H75</f>
        <v>516299807.666167</v>
      </c>
      <c r="I38" s="44" t="n">
        <f aca="false">IF(01_INPUTS!I17,_ENGINE_FINANCIERO!I75,"")</f>
        <v>882259051.218427</v>
      </c>
      <c r="J38" s="44" t="str">
        <f aca="false">IF(01_INPUTS!J17,_ENGINE_FINANCIERO!J75,"")</f>
        <v/>
      </c>
      <c r="K38" s="44" t="str">
        <f aca="false">IF(01_INPUTS!K17,_ENGINE_FINANCIERO!K75,"")</f>
        <v/>
      </c>
      <c r="L38" s="44" t="str">
        <f aca="false">IF(01_INPUTS!L17,_ENGINE_FINANCIERO!L75,"")</f>
        <v/>
      </c>
      <c r="M38" s="44" t="str">
        <f aca="false">IF(01_INPUTS!M17,_ENGINE_FINANCIERO!M75,"")</f>
        <v/>
      </c>
      <c r="N38" s="44" t="str">
        <f aca="false">IF(01_INPUTS!N17,_ENGINE_FINANCIERO!N75,"")</f>
        <v/>
      </c>
      <c r="O38" s="44" t="str">
        <f aca="false">IF(01_INPUTS!O17,_ENGINE_FINANCIERO!O75,"")</f>
        <v/>
      </c>
      <c r="P38" s="44" t="str">
        <f aca="false">IF(01_INPUTS!P17,_ENGINE_FINANCIERO!P75,"")</f>
        <v/>
      </c>
      <c r="Q38" s="44" t="str">
        <f aca="false">IF(01_INPUTS!Q17,_ENGINE_FINANCIERO!Q75,"")</f>
        <v/>
      </c>
      <c r="R38" s="44" t="str">
        <f aca="false">IF(01_INPUTS!R17,_ENGINE_FINANCIERO!R75,"")</f>
        <v/>
      </c>
      <c r="S38" s="44" t="str">
        <f aca="false">IF(01_INPUTS!S17,_ENGINE_FINANCIERO!S75,"")</f>
        <v/>
      </c>
    </row>
    <row r="39" customFormat="false" ht="15" hidden="true" customHeight="false" outlineLevel="1" collapsed="false">
      <c r="A39" s="6" t="s">
        <v>270</v>
      </c>
      <c r="B39" s="43" t="s">
        <v>81</v>
      </c>
      <c r="G39" s="44" t="n">
        <f aca="false">_ENGINE_FINANCIERO!G122</f>
        <v>221443831.596432</v>
      </c>
      <c r="H39" s="44" t="n">
        <f aca="false">_ENGINE_FINANCIERO!H122</f>
        <v>328818327.695375</v>
      </c>
      <c r="I39" s="44" t="n">
        <f aca="false">IF(01_INPUTS!I17,_ENGINE_FINANCIERO!I122,"")</f>
        <v>2352233538.61699</v>
      </c>
      <c r="J39" s="44" t="str">
        <f aca="false">IF(01_INPUTS!J17,_ENGINE_FINANCIERO!J122,"")</f>
        <v/>
      </c>
      <c r="K39" s="44" t="str">
        <f aca="false">IF(01_INPUTS!K17,_ENGINE_FINANCIERO!K122,"")</f>
        <v/>
      </c>
      <c r="L39" s="44" t="str">
        <f aca="false">IF(01_INPUTS!L17,_ENGINE_FINANCIERO!L122,"")</f>
        <v/>
      </c>
      <c r="M39" s="44" t="str">
        <f aca="false">IF(01_INPUTS!M17,_ENGINE_FINANCIERO!M122,"")</f>
        <v/>
      </c>
      <c r="N39" s="44" t="str">
        <f aca="false">IF(01_INPUTS!N17,_ENGINE_FINANCIERO!N122,"")</f>
        <v/>
      </c>
      <c r="O39" s="44" t="str">
        <f aca="false">IF(01_INPUTS!O17,_ENGINE_FINANCIERO!O122,"")</f>
        <v/>
      </c>
      <c r="P39" s="44" t="str">
        <f aca="false">IF(01_INPUTS!P17,_ENGINE_FINANCIERO!P122,"")</f>
        <v/>
      </c>
      <c r="Q39" s="44" t="str">
        <f aca="false">IF(01_INPUTS!Q17,_ENGINE_FINANCIERO!Q122,"")</f>
        <v/>
      </c>
      <c r="R39" s="44" t="str">
        <f aca="false">IF(01_INPUTS!R17,_ENGINE_FINANCIERO!R122,"")</f>
        <v/>
      </c>
      <c r="S39" s="44" t="str">
        <f aca="false">IF(01_INPUTS!S17,_ENGINE_FINANCIERO!S122,"")</f>
        <v/>
      </c>
    </row>
    <row r="40" customFormat="false" ht="15" hidden="false" customHeight="false" outlineLevel="0" collapsed="false">
      <c r="A40" s="8" t="s">
        <v>279</v>
      </c>
      <c r="B40" s="12" t="s">
        <v>81</v>
      </c>
      <c r="G40" s="42" t="n">
        <f aca="false">CHOOSE(MATCH($B$2,$U$1:$U$5,0),_ENGINE_FINANCIERO!G168,_ENGINE_FINANCIERO!G29,_ENGINE_FINANCIERO!G76,_ENGINE_FINANCIERO!G123,_ENGINE_FINANCIERO!G168)</f>
        <v>1741617983.89484</v>
      </c>
      <c r="H40" s="42" t="n">
        <f aca="false">CHOOSE(MATCH($B$2,$U$1:$U$5,0),_ENGINE_FINANCIERO!H168,_ENGINE_FINANCIERO!H29,_ENGINE_FINANCIERO!H76,_ENGINE_FINANCIERO!H123,_ENGINE_FINANCIERO!H168)</f>
        <v>3609336474.27</v>
      </c>
      <c r="I40" s="42" t="n">
        <f aca="false">IF(01_INPUTS!I17,CHOOSE(MATCH($B$2,$U$1:$U$5,0),_ENGINE_FINANCIERO!I168,_ENGINE_FINANCIERO!I29,_ENGINE_FINANCIERO!I76,_ENGINE_FINANCIERO!I123,_ENGINE_FINANCIERO!I168),"")</f>
        <v>13615066192.0656</v>
      </c>
      <c r="J40" s="42" t="str">
        <f aca="false">IF(01_INPUTS!J17,CHOOSE(MATCH($B$2,$U$1:$U$5,0),_ENGINE_FINANCIERO!J168,_ENGINE_FINANCIERO!J29,_ENGINE_FINANCIERO!J76,_ENGINE_FINANCIERO!J123,_ENGINE_FINANCIERO!J168),"")</f>
        <v/>
      </c>
      <c r="K40" s="42" t="str">
        <f aca="false">IF(01_INPUTS!K17,CHOOSE(MATCH($B$2,$U$1:$U$5,0),_ENGINE_FINANCIERO!K168,_ENGINE_FINANCIERO!K29,_ENGINE_FINANCIERO!K76,_ENGINE_FINANCIERO!K123,_ENGINE_FINANCIERO!K168),"")</f>
        <v/>
      </c>
      <c r="L40" s="42" t="str">
        <f aca="false">IF(01_INPUTS!L17,CHOOSE(MATCH($B$2,$U$1:$U$5,0),_ENGINE_FINANCIERO!L168,_ENGINE_FINANCIERO!L29,_ENGINE_FINANCIERO!L76,_ENGINE_FINANCIERO!L123,_ENGINE_FINANCIERO!L168),"")</f>
        <v/>
      </c>
      <c r="M40" s="42" t="str">
        <f aca="false">IF(01_INPUTS!M17,CHOOSE(MATCH($B$2,$U$1:$U$5,0),_ENGINE_FINANCIERO!M168,_ENGINE_FINANCIERO!M29,_ENGINE_FINANCIERO!M76,_ENGINE_FINANCIERO!M123,_ENGINE_FINANCIERO!M168),"")</f>
        <v/>
      </c>
      <c r="N40" s="42" t="str">
        <f aca="false">IF(01_INPUTS!N17,CHOOSE(MATCH($B$2,$U$1:$U$5,0),_ENGINE_FINANCIERO!N168,_ENGINE_FINANCIERO!N29,_ENGINE_FINANCIERO!N76,_ENGINE_FINANCIERO!N123,_ENGINE_FINANCIERO!N168),"")</f>
        <v/>
      </c>
      <c r="O40" s="42" t="str">
        <f aca="false">IF(01_INPUTS!O17,CHOOSE(MATCH($B$2,$U$1:$U$5,0),_ENGINE_FINANCIERO!O168,_ENGINE_FINANCIERO!O29,_ENGINE_FINANCIERO!O76,_ENGINE_FINANCIERO!O123,_ENGINE_FINANCIERO!O168),"")</f>
        <v/>
      </c>
      <c r="P40" s="42" t="str">
        <f aca="false">IF(01_INPUTS!P17,CHOOSE(MATCH($B$2,$U$1:$U$5,0),_ENGINE_FINANCIERO!P168,_ENGINE_FINANCIERO!P29,_ENGINE_FINANCIERO!P76,_ENGINE_FINANCIERO!P123,_ENGINE_FINANCIERO!P168),"")</f>
        <v/>
      </c>
      <c r="Q40" s="42" t="str">
        <f aca="false">IF(01_INPUTS!Q17,CHOOSE(MATCH($B$2,$U$1:$U$5,0),_ENGINE_FINANCIERO!Q168,_ENGINE_FINANCIERO!Q29,_ENGINE_FINANCIERO!Q76,_ENGINE_FINANCIERO!Q123,_ENGINE_FINANCIERO!Q168),"")</f>
        <v/>
      </c>
      <c r="R40" s="42" t="str">
        <f aca="false">IF(01_INPUTS!R17,CHOOSE(MATCH($B$2,$U$1:$U$5,0),_ENGINE_FINANCIERO!R168,_ENGINE_FINANCIERO!R29,_ENGINE_FINANCIERO!R76,_ENGINE_FINANCIERO!R123,_ENGINE_FINANCIERO!R168),"")</f>
        <v/>
      </c>
      <c r="S40" s="42" t="str">
        <f aca="false">IF(01_INPUTS!S17,CHOOSE(MATCH($B$2,$U$1:$U$5,0),_ENGINE_FINANCIERO!S168,_ENGINE_FINANCIERO!S29,_ENGINE_FINANCIERO!S76,_ENGINE_FINANCIERO!S123,_ENGINE_FINANCIERO!S168),"")</f>
        <v/>
      </c>
    </row>
    <row r="41" customFormat="false" ht="15" hidden="true" customHeight="false" outlineLevel="1" collapsed="false">
      <c r="A41" s="6" t="s">
        <v>268</v>
      </c>
      <c r="B41" s="43" t="s">
        <v>81</v>
      </c>
      <c r="G41" s="44" t="n">
        <f aca="false">_ENGINE_FINANCIERO!G29</f>
        <v>755018740.19634</v>
      </c>
      <c r="H41" s="44" t="n">
        <f aca="false">_ENGINE_FINANCIERO!H29</f>
        <v>1171409720.84677</v>
      </c>
      <c r="I41" s="44" t="n">
        <f aca="false">IF(01_INPUTS!I17,_ENGINE_FINANCIERO!I29,"")</f>
        <v>2119410488.37494</v>
      </c>
      <c r="J41" s="44" t="str">
        <f aca="false">IF(01_INPUTS!J17,_ENGINE_FINANCIERO!J29,"")</f>
        <v/>
      </c>
      <c r="K41" s="44" t="str">
        <f aca="false">IF(01_INPUTS!K17,_ENGINE_FINANCIERO!K29,"")</f>
        <v/>
      </c>
      <c r="L41" s="44" t="str">
        <f aca="false">IF(01_INPUTS!L17,_ENGINE_FINANCIERO!L29,"")</f>
        <v/>
      </c>
      <c r="M41" s="44" t="str">
        <f aca="false">IF(01_INPUTS!M17,_ENGINE_FINANCIERO!M29,"")</f>
        <v/>
      </c>
      <c r="N41" s="44" t="str">
        <f aca="false">IF(01_INPUTS!N17,_ENGINE_FINANCIERO!N29,"")</f>
        <v/>
      </c>
      <c r="O41" s="44" t="str">
        <f aca="false">IF(01_INPUTS!O17,_ENGINE_FINANCIERO!O29,"")</f>
        <v/>
      </c>
      <c r="P41" s="44" t="str">
        <f aca="false">IF(01_INPUTS!P17,_ENGINE_FINANCIERO!P29,"")</f>
        <v/>
      </c>
      <c r="Q41" s="44" t="str">
        <f aca="false">IF(01_INPUTS!Q17,_ENGINE_FINANCIERO!Q29,"")</f>
        <v/>
      </c>
      <c r="R41" s="44" t="str">
        <f aca="false">IF(01_INPUTS!R17,_ENGINE_FINANCIERO!R29,"")</f>
        <v/>
      </c>
      <c r="S41" s="44" t="str">
        <f aca="false">IF(01_INPUTS!S17,_ENGINE_FINANCIERO!S29,"")</f>
        <v/>
      </c>
    </row>
    <row r="42" customFormat="false" ht="15" hidden="true" customHeight="false" outlineLevel="1" collapsed="false">
      <c r="A42" s="6" t="s">
        <v>269</v>
      </c>
      <c r="B42" s="43" t="s">
        <v>81</v>
      </c>
      <c r="G42" s="44" t="n">
        <f aca="false">_ENGINE_FINANCIERO!G76</f>
        <v>387880736.048881</v>
      </c>
      <c r="H42" s="44" t="n">
        <f aca="false">_ENGINE_FINANCIERO!H76</f>
        <v>1548899422.9985</v>
      </c>
      <c r="I42" s="44" t="n">
        <f aca="false">IF(01_INPUTS!I17,_ENGINE_FINANCIERO!I76,"")</f>
        <v>2646777153.65528</v>
      </c>
      <c r="J42" s="44" t="str">
        <f aca="false">IF(01_INPUTS!J17,_ENGINE_FINANCIERO!J76,"")</f>
        <v/>
      </c>
      <c r="K42" s="44" t="str">
        <f aca="false">IF(01_INPUTS!K17,_ENGINE_FINANCIERO!K76,"")</f>
        <v/>
      </c>
      <c r="L42" s="44" t="str">
        <f aca="false">IF(01_INPUTS!L17,_ENGINE_FINANCIERO!L76,"")</f>
        <v/>
      </c>
      <c r="M42" s="44" t="str">
        <f aca="false">IF(01_INPUTS!M17,_ENGINE_FINANCIERO!M76,"")</f>
        <v/>
      </c>
      <c r="N42" s="44" t="str">
        <f aca="false">IF(01_INPUTS!N17,_ENGINE_FINANCIERO!N76,"")</f>
        <v/>
      </c>
      <c r="O42" s="44" t="str">
        <f aca="false">IF(01_INPUTS!O17,_ENGINE_FINANCIERO!O76,"")</f>
        <v/>
      </c>
      <c r="P42" s="44" t="str">
        <f aca="false">IF(01_INPUTS!P17,_ENGINE_FINANCIERO!P76,"")</f>
        <v/>
      </c>
      <c r="Q42" s="44" t="str">
        <f aca="false">IF(01_INPUTS!Q17,_ENGINE_FINANCIERO!Q76,"")</f>
        <v/>
      </c>
      <c r="R42" s="44" t="str">
        <f aca="false">IF(01_INPUTS!R17,_ENGINE_FINANCIERO!R76,"")</f>
        <v/>
      </c>
      <c r="S42" s="44" t="str">
        <f aca="false">IF(01_INPUTS!S17,_ENGINE_FINANCIERO!S76,"")</f>
        <v/>
      </c>
    </row>
    <row r="43" customFormat="false" ht="15" hidden="true" customHeight="false" outlineLevel="1" collapsed="false">
      <c r="A43" s="6" t="s">
        <v>270</v>
      </c>
      <c r="B43" s="43" t="s">
        <v>81</v>
      </c>
      <c r="G43" s="44" t="n">
        <f aca="false">_ENGINE_FINANCIERO!G123</f>
        <v>598718507.649613</v>
      </c>
      <c r="H43" s="44" t="n">
        <f aca="false">_ENGINE_FINANCIERO!H123</f>
        <v>889027330.435643</v>
      </c>
      <c r="I43" s="44" t="n">
        <f aca="false">IF(01_INPUTS!I17,_ENGINE_FINANCIERO!I123,"")</f>
        <v>8848878550.03536</v>
      </c>
      <c r="J43" s="44" t="str">
        <f aca="false">IF(01_INPUTS!J17,_ENGINE_FINANCIERO!J123,"")</f>
        <v/>
      </c>
      <c r="K43" s="44" t="str">
        <f aca="false">IF(01_INPUTS!K17,_ENGINE_FINANCIERO!K123,"")</f>
        <v/>
      </c>
      <c r="L43" s="44" t="str">
        <f aca="false">IF(01_INPUTS!L17,_ENGINE_FINANCIERO!L123,"")</f>
        <v/>
      </c>
      <c r="M43" s="44" t="str">
        <f aca="false">IF(01_INPUTS!M17,_ENGINE_FINANCIERO!M123,"")</f>
        <v/>
      </c>
      <c r="N43" s="44" t="str">
        <f aca="false">IF(01_INPUTS!N17,_ENGINE_FINANCIERO!N123,"")</f>
        <v/>
      </c>
      <c r="O43" s="44" t="str">
        <f aca="false">IF(01_INPUTS!O17,_ENGINE_FINANCIERO!O123,"")</f>
        <v/>
      </c>
      <c r="P43" s="44" t="str">
        <f aca="false">IF(01_INPUTS!P17,_ENGINE_FINANCIERO!P123,"")</f>
        <v/>
      </c>
      <c r="Q43" s="44" t="str">
        <f aca="false">IF(01_INPUTS!Q17,_ENGINE_FINANCIERO!Q123,"")</f>
        <v/>
      </c>
      <c r="R43" s="44" t="str">
        <f aca="false">IF(01_INPUTS!R17,_ENGINE_FINANCIERO!R123,"")</f>
        <v/>
      </c>
      <c r="S43" s="44" t="str">
        <f aca="false">IF(01_INPUTS!S17,_ENGINE_FINANCIERO!S123,"")</f>
        <v/>
      </c>
    </row>
    <row r="45" customFormat="false" ht="15" hidden="false" customHeight="false" outlineLevel="0" collapsed="false">
      <c r="A45" s="5" t="s">
        <v>280</v>
      </c>
      <c r="B45" s="5"/>
      <c r="C45" s="5"/>
      <c r="D45" s="5"/>
      <c r="E45" s="5"/>
      <c r="F45" s="5"/>
      <c r="G45" s="5"/>
      <c r="H45" s="5"/>
      <c r="I45" s="5"/>
      <c r="J45" s="5"/>
      <c r="K45" s="5"/>
      <c r="L45" s="5"/>
      <c r="M45" s="5"/>
      <c r="N45" s="5"/>
      <c r="O45" s="5"/>
      <c r="P45" s="5"/>
      <c r="Q45" s="5"/>
      <c r="R45" s="5"/>
      <c r="S45" s="5"/>
    </row>
    <row r="46" customFormat="false" ht="15" hidden="false" customHeight="false" outlineLevel="0" collapsed="false">
      <c r="A46" s="14" t="s">
        <v>281</v>
      </c>
      <c r="B46" s="12" t="s">
        <v>81</v>
      </c>
      <c r="G46" s="45" t="n">
        <f aca="false">CHOOSE(MATCH($B$2,$U$1:$U$5,0),_ENGINE_FINANCIERO!G172,_ENGINE_FINANCIERO!G30,_ENGINE_FINANCIERO!G77,_ENGINE_FINANCIERO!G124,_ENGINE_FINANCIERO!G172)</f>
        <v>10828204200</v>
      </c>
      <c r="H46" s="45" t="n">
        <f aca="false">CHOOSE(MATCH($B$2,$U$1:$U$5,0),_ENGINE_FINANCIERO!H172,_ENGINE_FINANCIERO!H30,_ENGINE_FINANCIERO!H77,_ENGINE_FINANCIERO!H124,_ENGINE_FINANCIERO!H172)</f>
        <v>9763383780</v>
      </c>
      <c r="I46" s="45" t="n">
        <f aca="false">IF(01_INPUTS!I17,CHOOSE(MATCH($B$2,$U$1:$U$5,0),_ENGINE_FINANCIERO!I172,_ENGINE_FINANCIERO!I30,_ENGINE_FINANCIERO!I77,_ENGINE_FINANCIERO!I124,_ENGINE_FINANCIERO!I172),"")</f>
        <v>8787045402</v>
      </c>
      <c r="J46" s="45" t="str">
        <f aca="false">IF(01_INPUTS!J17,CHOOSE(MATCH($B$2,$U$1:$U$5,0),_ENGINE_FINANCIERO!J172,_ENGINE_FINANCIERO!J30,_ENGINE_FINANCIERO!J77,_ENGINE_FINANCIERO!J124,_ENGINE_FINANCIERO!J172),"")</f>
        <v/>
      </c>
      <c r="K46" s="45" t="str">
        <f aca="false">IF(01_INPUTS!K17,CHOOSE(MATCH($B$2,$U$1:$U$5,0),_ENGINE_FINANCIERO!K172,_ENGINE_FINANCIERO!K30,_ENGINE_FINANCIERO!K77,_ENGINE_FINANCIERO!K124,_ENGINE_FINANCIERO!K172),"")</f>
        <v/>
      </c>
      <c r="L46" s="45" t="str">
        <f aca="false">IF(01_INPUTS!L17,CHOOSE(MATCH($B$2,$U$1:$U$5,0),_ENGINE_FINANCIERO!L172,_ENGINE_FINANCIERO!L30,_ENGINE_FINANCIERO!L77,_ENGINE_FINANCIERO!L124,_ENGINE_FINANCIERO!L172),"")</f>
        <v/>
      </c>
      <c r="M46" s="45" t="str">
        <f aca="false">IF(01_INPUTS!M17,CHOOSE(MATCH($B$2,$U$1:$U$5,0),_ENGINE_FINANCIERO!M172,_ENGINE_FINANCIERO!M30,_ENGINE_FINANCIERO!M77,_ENGINE_FINANCIERO!M124,_ENGINE_FINANCIERO!M172),"")</f>
        <v/>
      </c>
      <c r="N46" s="45" t="str">
        <f aca="false">IF(01_INPUTS!N17,CHOOSE(MATCH($B$2,$U$1:$U$5,0),_ENGINE_FINANCIERO!N172,_ENGINE_FINANCIERO!N30,_ENGINE_FINANCIERO!N77,_ENGINE_FINANCIERO!N124,_ENGINE_FINANCIERO!N172),"")</f>
        <v/>
      </c>
      <c r="O46" s="45" t="str">
        <f aca="false">IF(01_INPUTS!O17,CHOOSE(MATCH($B$2,$U$1:$U$5,0),_ENGINE_FINANCIERO!O172,_ENGINE_FINANCIERO!O30,_ENGINE_FINANCIERO!O77,_ENGINE_FINANCIERO!O124,_ENGINE_FINANCIERO!O172),"")</f>
        <v/>
      </c>
      <c r="P46" s="45" t="str">
        <f aca="false">IF(01_INPUTS!P17,CHOOSE(MATCH($B$2,$U$1:$U$5,0),_ENGINE_FINANCIERO!P172,_ENGINE_FINANCIERO!P30,_ENGINE_FINANCIERO!P77,_ENGINE_FINANCIERO!P124,_ENGINE_FINANCIERO!P172),"")</f>
        <v/>
      </c>
      <c r="Q46" s="45" t="str">
        <f aca="false">IF(01_INPUTS!Q17,CHOOSE(MATCH($B$2,$U$1:$U$5,0),_ENGINE_FINANCIERO!Q172,_ENGINE_FINANCIERO!Q30,_ENGINE_FINANCIERO!Q77,_ENGINE_FINANCIERO!Q124,_ENGINE_FINANCIERO!Q172),"")</f>
        <v/>
      </c>
      <c r="R46" s="45" t="str">
        <f aca="false">IF(01_INPUTS!R17,CHOOSE(MATCH($B$2,$U$1:$U$5,0),_ENGINE_FINANCIERO!R172,_ENGINE_FINANCIERO!R30,_ENGINE_FINANCIERO!R77,_ENGINE_FINANCIERO!R124,_ENGINE_FINANCIERO!R172),"")</f>
        <v/>
      </c>
      <c r="S46" s="45" t="str">
        <f aca="false">IF(01_INPUTS!S17,CHOOSE(MATCH($B$2,$U$1:$U$5,0),_ENGINE_FINANCIERO!S172,_ENGINE_FINANCIERO!S30,_ENGINE_FINANCIERO!S77,_ENGINE_FINANCIERO!S124,_ENGINE_FINANCIERO!S172),"")</f>
        <v/>
      </c>
    </row>
    <row r="47" customFormat="false" ht="15" hidden="true" customHeight="false" outlineLevel="1" collapsed="false">
      <c r="A47" s="6" t="s">
        <v>268</v>
      </c>
      <c r="B47" s="43" t="s">
        <v>81</v>
      </c>
      <c r="G47" s="44" t="n">
        <f aca="false">_ENGINE_FINANCIERO!G30</f>
        <v>9045615600</v>
      </c>
      <c r="H47" s="44" t="n">
        <f aca="false">_ENGINE_FINANCIERO!H30</f>
        <v>8155054040</v>
      </c>
      <c r="I47" s="44" t="n">
        <f aca="false">IF(01_INPUTS!I17,_ENGINE_FINANCIERO!I30,"")</f>
        <v>7339548636</v>
      </c>
      <c r="J47" s="44" t="str">
        <f aca="false">IF(01_INPUTS!J17,_ENGINE_FINANCIERO!J30,"")</f>
        <v/>
      </c>
      <c r="K47" s="44" t="str">
        <f aca="false">IF(01_INPUTS!K17,_ENGINE_FINANCIERO!K30,"")</f>
        <v/>
      </c>
      <c r="L47" s="44" t="str">
        <f aca="false">IF(01_INPUTS!L17,_ENGINE_FINANCIERO!L30,"")</f>
        <v/>
      </c>
      <c r="M47" s="44" t="str">
        <f aca="false">IF(01_INPUTS!M17,_ENGINE_FINANCIERO!M30,"")</f>
        <v/>
      </c>
      <c r="N47" s="44" t="str">
        <f aca="false">IF(01_INPUTS!N17,_ENGINE_FINANCIERO!N30,"")</f>
        <v/>
      </c>
      <c r="O47" s="44" t="str">
        <f aca="false">IF(01_INPUTS!O17,_ENGINE_FINANCIERO!O30,"")</f>
        <v/>
      </c>
      <c r="P47" s="44" t="str">
        <f aca="false">IF(01_INPUTS!P17,_ENGINE_FINANCIERO!P30,"")</f>
        <v/>
      </c>
      <c r="Q47" s="44" t="str">
        <f aca="false">IF(01_INPUTS!Q17,_ENGINE_FINANCIERO!Q30,"")</f>
        <v/>
      </c>
      <c r="R47" s="44" t="str">
        <f aca="false">IF(01_INPUTS!R17,_ENGINE_FINANCIERO!R30,"")</f>
        <v/>
      </c>
      <c r="S47" s="44" t="str">
        <f aca="false">IF(01_INPUTS!S17,_ENGINE_FINANCIERO!S30,"")</f>
        <v/>
      </c>
    </row>
    <row r="48" customFormat="false" ht="15" hidden="true" customHeight="false" outlineLevel="1" collapsed="false">
      <c r="A48" s="6" t="s">
        <v>269</v>
      </c>
      <c r="B48" s="43" t="s">
        <v>81</v>
      </c>
      <c r="G48" s="44" t="n">
        <f aca="false">_ENGINE_FINANCIERO!G77</f>
        <v>1782588600</v>
      </c>
      <c r="H48" s="44" t="n">
        <f aca="false">_ENGINE_FINANCIERO!H77</f>
        <v>1608329740</v>
      </c>
      <c r="I48" s="44" t="n">
        <f aca="false">IF(01_INPUTS!I17,_ENGINE_FINANCIERO!I77,"")</f>
        <v>1447496766</v>
      </c>
      <c r="J48" s="44" t="str">
        <f aca="false">IF(01_INPUTS!J17,_ENGINE_FINANCIERO!J77,"")</f>
        <v/>
      </c>
      <c r="K48" s="44" t="str">
        <f aca="false">IF(01_INPUTS!K17,_ENGINE_FINANCIERO!K77,"")</f>
        <v/>
      </c>
      <c r="L48" s="44" t="str">
        <f aca="false">IF(01_INPUTS!L17,_ENGINE_FINANCIERO!L77,"")</f>
        <v/>
      </c>
      <c r="M48" s="44" t="str">
        <f aca="false">IF(01_INPUTS!M17,_ENGINE_FINANCIERO!M77,"")</f>
        <v/>
      </c>
      <c r="N48" s="44" t="str">
        <f aca="false">IF(01_INPUTS!N17,_ENGINE_FINANCIERO!N77,"")</f>
        <v/>
      </c>
      <c r="O48" s="44" t="str">
        <f aca="false">IF(01_INPUTS!O17,_ENGINE_FINANCIERO!O77,"")</f>
        <v/>
      </c>
      <c r="P48" s="44" t="str">
        <f aca="false">IF(01_INPUTS!P17,_ENGINE_FINANCIERO!P77,"")</f>
        <v/>
      </c>
      <c r="Q48" s="44" t="str">
        <f aca="false">IF(01_INPUTS!Q17,_ENGINE_FINANCIERO!Q77,"")</f>
        <v/>
      </c>
      <c r="R48" s="44" t="str">
        <f aca="false">IF(01_INPUTS!R17,_ENGINE_FINANCIERO!R77,"")</f>
        <v/>
      </c>
      <c r="S48" s="44" t="str">
        <f aca="false">IF(01_INPUTS!S17,_ENGINE_FINANCIERO!S77,"")</f>
        <v/>
      </c>
    </row>
    <row r="49" customFormat="false" ht="15" hidden="true" customHeight="false" outlineLevel="1" collapsed="false">
      <c r="A49" s="6" t="s">
        <v>270</v>
      </c>
      <c r="B49" s="43" t="s">
        <v>81</v>
      </c>
      <c r="G49" s="44" t="n">
        <f aca="false">_ENGINE_FINANCIERO!G124</f>
        <v>0</v>
      </c>
      <c r="H49" s="44" t="n">
        <f aca="false">_ENGINE_FINANCIERO!H124</f>
        <v>0</v>
      </c>
      <c r="I49" s="44" t="n">
        <f aca="false">IF(01_INPUTS!I17,_ENGINE_FINANCIERO!I124,"")</f>
        <v>0</v>
      </c>
      <c r="J49" s="44" t="str">
        <f aca="false">IF(01_INPUTS!J17,_ENGINE_FINANCIERO!J124,"")</f>
        <v/>
      </c>
      <c r="K49" s="44" t="str">
        <f aca="false">IF(01_INPUTS!K17,_ENGINE_FINANCIERO!K124,"")</f>
        <v/>
      </c>
      <c r="L49" s="44" t="str">
        <f aca="false">IF(01_INPUTS!L17,_ENGINE_FINANCIERO!L124,"")</f>
        <v/>
      </c>
      <c r="M49" s="44" t="str">
        <f aca="false">IF(01_INPUTS!M17,_ENGINE_FINANCIERO!M124,"")</f>
        <v/>
      </c>
      <c r="N49" s="44" t="str">
        <f aca="false">IF(01_INPUTS!N17,_ENGINE_FINANCIERO!N124,"")</f>
        <v/>
      </c>
      <c r="O49" s="44" t="str">
        <f aca="false">IF(01_INPUTS!O17,_ENGINE_FINANCIERO!O124,"")</f>
        <v/>
      </c>
      <c r="P49" s="44" t="str">
        <f aca="false">IF(01_INPUTS!P17,_ENGINE_FINANCIERO!P124,"")</f>
        <v/>
      </c>
      <c r="Q49" s="44" t="str">
        <f aca="false">IF(01_INPUTS!Q17,_ENGINE_FINANCIERO!Q124,"")</f>
        <v/>
      </c>
      <c r="R49" s="44" t="str">
        <f aca="false">IF(01_INPUTS!R17,_ENGINE_FINANCIERO!R124,"")</f>
        <v/>
      </c>
      <c r="S49" s="44" t="str">
        <f aca="false">IF(01_INPUTS!S17,_ENGINE_FINANCIERO!S124,"")</f>
        <v/>
      </c>
    </row>
    <row r="50" customFormat="false" ht="15" hidden="false" customHeight="false" outlineLevel="0" collapsed="false">
      <c r="A50" s="14" t="s">
        <v>282</v>
      </c>
      <c r="B50" s="12" t="s">
        <v>81</v>
      </c>
      <c r="G50" s="45" t="n">
        <f aca="false">CHOOSE(MATCH($B$2,$U$1:$U$5,0),_ENGINE_FINANCIERO!G173,_ENGINE_FINANCIERO!G31,_ENGINE_FINANCIERO!G78,_ENGINE_FINANCIERO!G125,_ENGINE_FINANCIERO!G173)</f>
        <v>0</v>
      </c>
      <c r="H50" s="45" t="n">
        <f aca="false">CHOOSE(MATCH($B$2,$U$1:$U$5,0),_ENGINE_FINANCIERO!H173,_ENGINE_FINANCIERO!H31,_ENGINE_FINANCIERO!H78,_ENGINE_FINANCIERO!H125,_ENGINE_FINANCIERO!H173)</f>
        <v>8313255333.45181</v>
      </c>
      <c r="I50" s="45" t="n">
        <f aca="false">IF(01_INPUTS!I17,CHOOSE(MATCH($B$2,$U$1:$U$5,0),_ENGINE_FINANCIERO!I173,_ENGINE_FINANCIERO!I31,_ENGINE_FINANCIERO!I78,_ENGINE_FINANCIERO!I125,_ENGINE_FINANCIERO!I173),"")</f>
        <v>670282223.362773</v>
      </c>
      <c r="J50" s="45" t="str">
        <f aca="false">IF(01_INPUTS!J17,CHOOSE(MATCH($B$2,$U$1:$U$5,0),_ENGINE_FINANCIERO!J173,_ENGINE_FINANCIERO!J31,_ENGINE_FINANCIERO!J78,_ENGINE_FINANCIERO!J125,_ENGINE_FINANCIERO!J173),"")</f>
        <v/>
      </c>
      <c r="K50" s="45" t="str">
        <f aca="false">IF(01_INPUTS!K17,CHOOSE(MATCH($B$2,$U$1:$U$5,0),_ENGINE_FINANCIERO!K173,_ENGINE_FINANCIERO!K31,_ENGINE_FINANCIERO!K78,_ENGINE_FINANCIERO!K125,_ENGINE_FINANCIERO!K173),"")</f>
        <v/>
      </c>
      <c r="L50" s="45" t="str">
        <f aca="false">IF(01_INPUTS!L17,CHOOSE(MATCH($B$2,$U$1:$U$5,0),_ENGINE_FINANCIERO!L173,_ENGINE_FINANCIERO!L31,_ENGINE_FINANCIERO!L78,_ENGINE_FINANCIERO!L125,_ENGINE_FINANCIERO!L173),"")</f>
        <v/>
      </c>
      <c r="M50" s="45" t="str">
        <f aca="false">IF(01_INPUTS!M17,CHOOSE(MATCH($B$2,$U$1:$U$5,0),_ENGINE_FINANCIERO!M173,_ENGINE_FINANCIERO!M31,_ENGINE_FINANCIERO!M78,_ENGINE_FINANCIERO!M125,_ENGINE_FINANCIERO!M173),"")</f>
        <v/>
      </c>
      <c r="N50" s="45" t="str">
        <f aca="false">IF(01_INPUTS!N17,CHOOSE(MATCH($B$2,$U$1:$U$5,0),_ENGINE_FINANCIERO!N173,_ENGINE_FINANCIERO!N31,_ENGINE_FINANCIERO!N78,_ENGINE_FINANCIERO!N125,_ENGINE_FINANCIERO!N173),"")</f>
        <v/>
      </c>
      <c r="O50" s="45" t="str">
        <f aca="false">IF(01_INPUTS!O17,CHOOSE(MATCH($B$2,$U$1:$U$5,0),_ENGINE_FINANCIERO!O173,_ENGINE_FINANCIERO!O31,_ENGINE_FINANCIERO!O78,_ENGINE_FINANCIERO!O125,_ENGINE_FINANCIERO!O173),"")</f>
        <v/>
      </c>
      <c r="P50" s="45" t="str">
        <f aca="false">IF(01_INPUTS!P17,CHOOSE(MATCH($B$2,$U$1:$U$5,0),_ENGINE_FINANCIERO!P173,_ENGINE_FINANCIERO!P31,_ENGINE_FINANCIERO!P78,_ENGINE_FINANCIERO!P125,_ENGINE_FINANCIERO!P173),"")</f>
        <v/>
      </c>
      <c r="Q50" s="45" t="str">
        <f aca="false">IF(01_INPUTS!Q17,CHOOSE(MATCH($B$2,$U$1:$U$5,0),_ENGINE_FINANCIERO!Q173,_ENGINE_FINANCIERO!Q31,_ENGINE_FINANCIERO!Q78,_ENGINE_FINANCIERO!Q125,_ENGINE_FINANCIERO!Q173),"")</f>
        <v/>
      </c>
      <c r="R50" s="45" t="str">
        <f aca="false">IF(01_INPUTS!R17,CHOOSE(MATCH($B$2,$U$1:$U$5,0),_ENGINE_FINANCIERO!R173,_ENGINE_FINANCIERO!R31,_ENGINE_FINANCIERO!R78,_ENGINE_FINANCIERO!R125,_ENGINE_FINANCIERO!R173),"")</f>
        <v/>
      </c>
      <c r="S50" s="45" t="str">
        <f aca="false">IF(01_INPUTS!S17,CHOOSE(MATCH($B$2,$U$1:$U$5,0),_ENGINE_FINANCIERO!S173,_ENGINE_FINANCIERO!S31,_ENGINE_FINANCIERO!S78,_ENGINE_FINANCIERO!S125,_ENGINE_FINANCIERO!S173),"")</f>
        <v/>
      </c>
    </row>
    <row r="51" customFormat="false" ht="15" hidden="true" customHeight="false" outlineLevel="1" collapsed="false">
      <c r="A51" s="6" t="s">
        <v>268</v>
      </c>
      <c r="B51" s="43" t="s">
        <v>81</v>
      </c>
      <c r="G51" s="44" t="n">
        <f aca="false">_ENGINE_FINANCIERO!G31</f>
        <v>0</v>
      </c>
      <c r="H51" s="44" t="n">
        <f aca="false">_ENGINE_FINANCIERO!H31</f>
        <v>6174792084.60297</v>
      </c>
      <c r="I51" s="44" t="n">
        <f aca="false">IF(01_INPUTS!I17,_ENGINE_FINANCIERO!I31,"")</f>
        <v>535874265.991706</v>
      </c>
      <c r="J51" s="44" t="str">
        <f aca="false">IF(01_INPUTS!J17,_ENGINE_FINANCIERO!J31,"")</f>
        <v/>
      </c>
      <c r="K51" s="44" t="str">
        <f aca="false">IF(01_INPUTS!K17,_ENGINE_FINANCIERO!K31,"")</f>
        <v/>
      </c>
      <c r="L51" s="44" t="str">
        <f aca="false">IF(01_INPUTS!L17,_ENGINE_FINANCIERO!L31,"")</f>
        <v/>
      </c>
      <c r="M51" s="44" t="str">
        <f aca="false">IF(01_INPUTS!M17,_ENGINE_FINANCIERO!M31,"")</f>
        <v/>
      </c>
      <c r="N51" s="44" t="str">
        <f aca="false">IF(01_INPUTS!N17,_ENGINE_FINANCIERO!N31,"")</f>
        <v/>
      </c>
      <c r="O51" s="44" t="str">
        <f aca="false">IF(01_INPUTS!O17,_ENGINE_FINANCIERO!O31,"")</f>
        <v/>
      </c>
      <c r="P51" s="44" t="str">
        <f aca="false">IF(01_INPUTS!P17,_ENGINE_FINANCIERO!P31,"")</f>
        <v/>
      </c>
      <c r="Q51" s="44" t="str">
        <f aca="false">IF(01_INPUTS!Q17,_ENGINE_FINANCIERO!Q31,"")</f>
        <v/>
      </c>
      <c r="R51" s="44" t="str">
        <f aca="false">IF(01_INPUTS!R17,_ENGINE_FINANCIERO!R31,"")</f>
        <v/>
      </c>
      <c r="S51" s="44" t="str">
        <f aca="false">IF(01_INPUTS!S17,_ENGINE_FINANCIERO!S31,"")</f>
        <v/>
      </c>
    </row>
    <row r="52" customFormat="false" ht="15" hidden="true" customHeight="false" outlineLevel="1" collapsed="false">
      <c r="A52" s="6" t="s">
        <v>269</v>
      </c>
      <c r="B52" s="43" t="s">
        <v>81</v>
      </c>
      <c r="G52" s="44" t="n">
        <f aca="false">_ENGINE_FINANCIERO!G78</f>
        <v>0</v>
      </c>
      <c r="H52" s="44" t="n">
        <f aca="false">_ENGINE_FINANCIERO!H78</f>
        <v>2138463248.84884</v>
      </c>
      <c r="I52" s="44" t="n">
        <f aca="false">IF(01_INPUTS!I17,_ENGINE_FINANCIERO!I78,"")</f>
        <v>134407957.371068</v>
      </c>
      <c r="J52" s="44" t="str">
        <f aca="false">IF(01_INPUTS!J17,_ENGINE_FINANCIERO!J78,"")</f>
        <v/>
      </c>
      <c r="K52" s="44" t="str">
        <f aca="false">IF(01_INPUTS!K17,_ENGINE_FINANCIERO!K78,"")</f>
        <v/>
      </c>
      <c r="L52" s="44" t="str">
        <f aca="false">IF(01_INPUTS!L17,_ENGINE_FINANCIERO!L78,"")</f>
        <v/>
      </c>
      <c r="M52" s="44" t="str">
        <f aca="false">IF(01_INPUTS!M17,_ENGINE_FINANCIERO!M78,"")</f>
        <v/>
      </c>
      <c r="N52" s="44" t="str">
        <f aca="false">IF(01_INPUTS!N17,_ENGINE_FINANCIERO!N78,"")</f>
        <v/>
      </c>
      <c r="O52" s="44" t="str">
        <f aca="false">IF(01_INPUTS!O17,_ENGINE_FINANCIERO!O78,"")</f>
        <v/>
      </c>
      <c r="P52" s="44" t="str">
        <f aca="false">IF(01_INPUTS!P17,_ENGINE_FINANCIERO!P78,"")</f>
        <v/>
      </c>
      <c r="Q52" s="44" t="str">
        <f aca="false">IF(01_INPUTS!Q17,_ENGINE_FINANCIERO!Q78,"")</f>
        <v/>
      </c>
      <c r="R52" s="44" t="str">
        <f aca="false">IF(01_INPUTS!R17,_ENGINE_FINANCIERO!R78,"")</f>
        <v/>
      </c>
      <c r="S52" s="44" t="str">
        <f aca="false">IF(01_INPUTS!S17,_ENGINE_FINANCIERO!S78,"")</f>
        <v/>
      </c>
    </row>
    <row r="53" customFormat="false" ht="15" hidden="true" customHeight="false" outlineLevel="1" collapsed="false">
      <c r="A53" s="6" t="s">
        <v>270</v>
      </c>
      <c r="B53" s="43" t="s">
        <v>81</v>
      </c>
      <c r="G53" s="44" t="n">
        <f aca="false">_ENGINE_FINANCIERO!G125</f>
        <v>0</v>
      </c>
      <c r="H53" s="44" t="n">
        <f aca="false">_ENGINE_FINANCIERO!H125</f>
        <v>0</v>
      </c>
      <c r="I53" s="44" t="str">
        <f aca="false">IF(01_INPUTS!I17,_ENGINE_FINANCIERO!I125,"")</f>
        <v>0</v>
      </c>
      <c r="J53" s="44" t="str">
        <f aca="false">IF(01_INPUTS!J17,_ENGINE_FINANCIERO!J125,"")</f>
        <v/>
      </c>
      <c r="K53" s="44" t="str">
        <f aca="false">IF(01_INPUTS!K17,_ENGINE_FINANCIERO!K125,"")</f>
        <v/>
      </c>
      <c r="L53" s="44" t="str">
        <f aca="false">IF(01_INPUTS!L17,_ENGINE_FINANCIERO!L125,"")</f>
        <v/>
      </c>
      <c r="M53" s="44" t="str">
        <f aca="false">IF(01_INPUTS!M17,_ENGINE_FINANCIERO!M125,"")</f>
        <v/>
      </c>
      <c r="N53" s="44" t="str">
        <f aca="false">IF(01_INPUTS!N17,_ENGINE_FINANCIERO!N125,"")</f>
        <v/>
      </c>
      <c r="O53" s="44" t="str">
        <f aca="false">IF(01_INPUTS!O17,_ENGINE_FINANCIERO!O125,"")</f>
        <v/>
      </c>
      <c r="P53" s="44" t="str">
        <f aca="false">IF(01_INPUTS!P17,_ENGINE_FINANCIERO!P125,"")</f>
        <v/>
      </c>
      <c r="Q53" s="44" t="str">
        <f aca="false">IF(01_INPUTS!Q17,_ENGINE_FINANCIERO!Q125,"")</f>
        <v/>
      </c>
      <c r="R53" s="44" t="str">
        <f aca="false">IF(01_INPUTS!R17,_ENGINE_FINANCIERO!R125,"")</f>
        <v/>
      </c>
      <c r="S53" s="44" t="str">
        <f aca="false">IF(01_INPUTS!S17,_ENGINE_FINANCIERO!S125,"")</f>
        <v/>
      </c>
    </row>
    <row r="54" customFormat="false" ht="15" hidden="false" customHeight="false" outlineLevel="0" collapsed="false">
      <c r="A54" s="14" t="s">
        <v>283</v>
      </c>
      <c r="B54" s="12" t="s">
        <v>81</v>
      </c>
      <c r="G54" s="45" t="n">
        <f aca="false">CHOOSE(MATCH($B$2,$U$1:$U$5,0),_ENGINE_FINANCIERO!G174,_ENGINE_FINANCIERO!G32,_ENGINE_FINANCIERO!G79,_ENGINE_FINANCIERO!G126,_ENGINE_FINANCIERO!G174)</f>
        <v>1520326500</v>
      </c>
      <c r="H54" s="45" t="n">
        <f aca="false">CHOOSE(MATCH($B$2,$U$1:$U$5,0),_ENGINE_FINANCIERO!H174,_ENGINE_FINANCIERO!H32,_ENGINE_FINANCIERO!H79,_ENGINE_FINANCIERO!H126,_ENGINE_FINANCIERO!H174)</f>
        <v>1789461458.58974</v>
      </c>
      <c r="I54" s="45" t="n">
        <f aca="false">IF(01_INPUTS!I17,CHOOSE(MATCH($B$2,$U$1:$U$5,0),_ENGINE_FINANCIERO!I174,_ENGINE_FINANCIERO!I32,_ENGINE_FINANCIERO!I79,_ENGINE_FINANCIERO!I126,_ENGINE_FINANCIERO!I174),"")</f>
        <v>3170513872.06625</v>
      </c>
      <c r="J54" s="45" t="str">
        <f aca="false">IF(01_INPUTS!J17,CHOOSE(MATCH($B$2,$U$1:$U$5,0),_ENGINE_FINANCIERO!J174,_ENGINE_FINANCIERO!J32,_ENGINE_FINANCIERO!J79,_ENGINE_FINANCIERO!J126,_ENGINE_FINANCIERO!J174),"")</f>
        <v/>
      </c>
      <c r="K54" s="45" t="str">
        <f aca="false">IF(01_INPUTS!K17,CHOOSE(MATCH($B$2,$U$1:$U$5,0),_ENGINE_FINANCIERO!K174,_ENGINE_FINANCIERO!K32,_ENGINE_FINANCIERO!K79,_ENGINE_FINANCIERO!K126,_ENGINE_FINANCIERO!K174),"")</f>
        <v/>
      </c>
      <c r="L54" s="45" t="str">
        <f aca="false">IF(01_INPUTS!L17,CHOOSE(MATCH($B$2,$U$1:$U$5,0),_ENGINE_FINANCIERO!L174,_ENGINE_FINANCIERO!L32,_ENGINE_FINANCIERO!L79,_ENGINE_FINANCIERO!L126,_ENGINE_FINANCIERO!L174),"")</f>
        <v/>
      </c>
      <c r="M54" s="45" t="str">
        <f aca="false">IF(01_INPUTS!M17,CHOOSE(MATCH($B$2,$U$1:$U$5,0),_ENGINE_FINANCIERO!M174,_ENGINE_FINANCIERO!M32,_ENGINE_FINANCIERO!M79,_ENGINE_FINANCIERO!M126,_ENGINE_FINANCIERO!M174),"")</f>
        <v/>
      </c>
      <c r="N54" s="45" t="str">
        <f aca="false">IF(01_INPUTS!N17,CHOOSE(MATCH($B$2,$U$1:$U$5,0),_ENGINE_FINANCIERO!N174,_ENGINE_FINANCIERO!N32,_ENGINE_FINANCIERO!N79,_ENGINE_FINANCIERO!N126,_ENGINE_FINANCIERO!N174),"")</f>
        <v/>
      </c>
      <c r="O54" s="45" t="str">
        <f aca="false">IF(01_INPUTS!O17,CHOOSE(MATCH($B$2,$U$1:$U$5,0),_ENGINE_FINANCIERO!O174,_ENGINE_FINANCIERO!O32,_ENGINE_FINANCIERO!O79,_ENGINE_FINANCIERO!O126,_ENGINE_FINANCIERO!O174),"")</f>
        <v/>
      </c>
      <c r="P54" s="45" t="str">
        <f aca="false">IF(01_INPUTS!P17,CHOOSE(MATCH($B$2,$U$1:$U$5,0),_ENGINE_FINANCIERO!P174,_ENGINE_FINANCIERO!P32,_ENGINE_FINANCIERO!P79,_ENGINE_FINANCIERO!P126,_ENGINE_FINANCIERO!P174),"")</f>
        <v/>
      </c>
      <c r="Q54" s="45" t="str">
        <f aca="false">IF(01_INPUTS!Q17,CHOOSE(MATCH($B$2,$U$1:$U$5,0),_ENGINE_FINANCIERO!Q174,_ENGINE_FINANCIERO!Q32,_ENGINE_FINANCIERO!Q79,_ENGINE_FINANCIERO!Q126,_ENGINE_FINANCIERO!Q174),"")</f>
        <v/>
      </c>
      <c r="R54" s="45" t="str">
        <f aca="false">IF(01_INPUTS!R17,CHOOSE(MATCH($B$2,$U$1:$U$5,0),_ENGINE_FINANCIERO!R174,_ENGINE_FINANCIERO!R32,_ENGINE_FINANCIERO!R79,_ENGINE_FINANCIERO!R126,_ENGINE_FINANCIERO!R174),"")</f>
        <v/>
      </c>
      <c r="S54" s="45" t="str">
        <f aca="false">IF(01_INPUTS!S17,CHOOSE(MATCH($B$2,$U$1:$U$5,0),_ENGINE_FINANCIERO!S174,_ENGINE_FINANCIERO!S32,_ENGINE_FINANCIERO!S79,_ENGINE_FINANCIERO!S126,_ENGINE_FINANCIERO!S174),"")</f>
        <v/>
      </c>
    </row>
    <row r="55" customFormat="false" ht="15" hidden="true" customHeight="false" outlineLevel="1" collapsed="false">
      <c r="A55" s="6" t="s">
        <v>268</v>
      </c>
      <c r="B55" s="43" t="s">
        <v>81</v>
      </c>
      <c r="G55" s="44" t="n">
        <f aca="false">_ENGINE_FINANCIERO!G32</f>
        <v>516381250</v>
      </c>
      <c r="H55" s="44" t="n">
        <f aca="false">_ENGINE_FINANCIERO!H32</f>
        <v>756528101.882137</v>
      </c>
      <c r="I55" s="44" t="n">
        <f aca="false">IF(01_INPUTS!I17,_ENGINE_FINANCIERO!I32,"")</f>
        <v>914606910.236767</v>
      </c>
      <c r="J55" s="44" t="str">
        <f aca="false">IF(01_INPUTS!J17,_ENGINE_FINANCIERO!J32,"")</f>
        <v/>
      </c>
      <c r="K55" s="44" t="str">
        <f aca="false">IF(01_INPUTS!K17,_ENGINE_FINANCIERO!K32,"")</f>
        <v/>
      </c>
      <c r="L55" s="44" t="str">
        <f aca="false">IF(01_INPUTS!L17,_ENGINE_FINANCIERO!L32,"")</f>
        <v/>
      </c>
      <c r="M55" s="44" t="str">
        <f aca="false">IF(01_INPUTS!M17,_ENGINE_FINANCIERO!M32,"")</f>
        <v/>
      </c>
      <c r="N55" s="44" t="str">
        <f aca="false">IF(01_INPUTS!N17,_ENGINE_FINANCIERO!N32,"")</f>
        <v/>
      </c>
      <c r="O55" s="44" t="str">
        <f aca="false">IF(01_INPUTS!O17,_ENGINE_FINANCIERO!O32,"")</f>
        <v/>
      </c>
      <c r="P55" s="44" t="str">
        <f aca="false">IF(01_INPUTS!P17,_ENGINE_FINANCIERO!P32,"")</f>
        <v/>
      </c>
      <c r="Q55" s="44" t="str">
        <f aca="false">IF(01_INPUTS!Q17,_ENGINE_FINANCIERO!Q32,"")</f>
        <v/>
      </c>
      <c r="R55" s="44" t="str">
        <f aca="false">IF(01_INPUTS!R17,_ENGINE_FINANCIERO!R32,"")</f>
        <v/>
      </c>
      <c r="S55" s="44" t="str">
        <f aca="false">IF(01_INPUTS!S17,_ENGINE_FINANCIERO!S32,"")</f>
        <v/>
      </c>
    </row>
    <row r="56" customFormat="false" ht="15" hidden="true" customHeight="false" outlineLevel="1" collapsed="false">
      <c r="A56" s="6" t="s">
        <v>269</v>
      </c>
      <c r="B56" s="43" t="s">
        <v>81</v>
      </c>
      <c r="G56" s="44" t="n">
        <f aca="false">_ENGINE_FINANCIERO!G79</f>
        <v>346981250</v>
      </c>
      <c r="H56" s="44" t="n">
        <f aca="false">_ENGINE_FINANCIERO!H79</f>
        <v>509586020.754019</v>
      </c>
      <c r="I56" s="44" t="n">
        <f aca="false">IF(01_INPUTS!I17,_ENGINE_FINANCIERO!I79,"")</f>
        <v>1036794836.02792</v>
      </c>
      <c r="J56" s="44" t="str">
        <f aca="false">IF(01_INPUTS!J17,_ENGINE_FINANCIERO!J79,"")</f>
        <v/>
      </c>
      <c r="K56" s="44" t="str">
        <f aca="false">IF(01_INPUTS!K17,_ENGINE_FINANCIERO!K79,"")</f>
        <v/>
      </c>
      <c r="L56" s="44" t="str">
        <f aca="false">IF(01_INPUTS!L17,_ENGINE_FINANCIERO!L79,"")</f>
        <v/>
      </c>
      <c r="M56" s="44" t="str">
        <f aca="false">IF(01_INPUTS!M17,_ENGINE_FINANCIERO!M79,"")</f>
        <v/>
      </c>
      <c r="N56" s="44" t="str">
        <f aca="false">IF(01_INPUTS!N17,_ENGINE_FINANCIERO!N79,"")</f>
        <v/>
      </c>
      <c r="O56" s="44" t="str">
        <f aca="false">IF(01_INPUTS!O17,_ENGINE_FINANCIERO!O79,"")</f>
        <v/>
      </c>
      <c r="P56" s="44" t="str">
        <f aca="false">IF(01_INPUTS!P17,_ENGINE_FINANCIERO!P79,"")</f>
        <v/>
      </c>
      <c r="Q56" s="44" t="str">
        <f aca="false">IF(01_INPUTS!Q17,_ENGINE_FINANCIERO!Q79,"")</f>
        <v/>
      </c>
      <c r="R56" s="44" t="str">
        <f aca="false">IF(01_INPUTS!R17,_ENGINE_FINANCIERO!R79,"")</f>
        <v/>
      </c>
      <c r="S56" s="44" t="str">
        <f aca="false">IF(01_INPUTS!S17,_ENGINE_FINANCIERO!S79,"")</f>
        <v/>
      </c>
    </row>
    <row r="57" customFormat="false" ht="15" hidden="true" customHeight="false" outlineLevel="1" collapsed="false">
      <c r="A57" s="6" t="s">
        <v>270</v>
      </c>
      <c r="B57" s="43" t="s">
        <v>81</v>
      </c>
      <c r="G57" s="44" t="n">
        <f aca="false">_ENGINE_FINANCIERO!G126</f>
        <v>656964000</v>
      </c>
      <c r="H57" s="44" t="n">
        <f aca="false">_ENGINE_FINANCIERO!H126</f>
        <v>523347335.953579</v>
      </c>
      <c r="I57" s="44" t="n">
        <f aca="false">IF(01_INPUTS!I17,_ENGINE_FINANCIERO!I126,"")</f>
        <v>1219112125.80156</v>
      </c>
      <c r="J57" s="44" t="str">
        <f aca="false">IF(01_INPUTS!J17,_ENGINE_FINANCIERO!J126,"")</f>
        <v/>
      </c>
      <c r="K57" s="44" t="str">
        <f aca="false">IF(01_INPUTS!K17,_ENGINE_FINANCIERO!K126,"")</f>
        <v/>
      </c>
      <c r="L57" s="44" t="str">
        <f aca="false">IF(01_INPUTS!L17,_ENGINE_FINANCIERO!L126,"")</f>
        <v/>
      </c>
      <c r="M57" s="44" t="str">
        <f aca="false">IF(01_INPUTS!M17,_ENGINE_FINANCIERO!M126,"")</f>
        <v/>
      </c>
      <c r="N57" s="44" t="str">
        <f aca="false">IF(01_INPUTS!N17,_ENGINE_FINANCIERO!N126,"")</f>
        <v/>
      </c>
      <c r="O57" s="44" t="str">
        <f aca="false">IF(01_INPUTS!O17,_ENGINE_FINANCIERO!O126,"")</f>
        <v/>
      </c>
      <c r="P57" s="44" t="str">
        <f aca="false">IF(01_INPUTS!P17,_ENGINE_FINANCIERO!P126,"")</f>
        <v/>
      </c>
      <c r="Q57" s="44" t="str">
        <f aca="false">IF(01_INPUTS!Q17,_ENGINE_FINANCIERO!Q126,"")</f>
        <v/>
      </c>
      <c r="R57" s="44" t="str">
        <f aca="false">IF(01_INPUTS!R17,_ENGINE_FINANCIERO!R126,"")</f>
        <v/>
      </c>
      <c r="S57" s="44" t="str">
        <f aca="false">IF(01_INPUTS!S17,_ENGINE_FINANCIERO!S126,"")</f>
        <v/>
      </c>
    </row>
    <row r="58" customFormat="false" ht="15" hidden="false" customHeight="false" outlineLevel="0" collapsed="false">
      <c r="A58" s="14" t="s">
        <v>284</v>
      </c>
      <c r="B58" s="12" t="s">
        <v>81</v>
      </c>
      <c r="G58" s="45" t="n">
        <f aca="false">CHOOSE(MATCH($B$2,$U$1:$U$5,0),_ENGINE_FINANCIERO!G175,_ENGINE_FINANCIERO!G33,_ENGINE_FINANCIERO!G80,_ENGINE_FINANCIERO!G127,_ENGINE_FINANCIERO!G175)</f>
        <v>10817319047.8053</v>
      </c>
      <c r="H58" s="45" t="n">
        <f aca="false">CHOOSE(MATCH($B$2,$U$1:$U$5,0),_ENGINE_FINANCIERO!H175,_ENGINE_FINANCIERO!H33,_ENGINE_FINANCIERO!H80,_ENGINE_FINANCIERO!H127,_ENGINE_FINANCIERO!H175)</f>
        <v>5078588790.38561</v>
      </c>
      <c r="I58" s="45" t="n">
        <f aca="false">IF(01_INPUTS!I17,CHOOSE(MATCH($B$2,$U$1:$U$5,0),_ENGINE_FINANCIERO!I175,_ENGINE_FINANCIERO!I33,_ENGINE_FINANCIERO!I80,_ENGINE_FINANCIERO!I127,_ENGINE_FINANCIERO!I175),"")</f>
        <v>23640855094.9208</v>
      </c>
      <c r="J58" s="45" t="str">
        <f aca="false">IF(01_INPUTS!J17,CHOOSE(MATCH($B$2,$U$1:$U$5,0),_ENGINE_FINANCIERO!J175,_ENGINE_FINANCIERO!J33,_ENGINE_FINANCIERO!J80,_ENGINE_FINANCIERO!J127,_ENGINE_FINANCIERO!J175),"")</f>
        <v/>
      </c>
      <c r="K58" s="45" t="str">
        <f aca="false">IF(01_INPUTS!K17,CHOOSE(MATCH($B$2,$U$1:$U$5,0),_ENGINE_FINANCIERO!K175,_ENGINE_FINANCIERO!K33,_ENGINE_FINANCIERO!K80,_ENGINE_FINANCIERO!K127,_ENGINE_FINANCIERO!K175),"")</f>
        <v/>
      </c>
      <c r="L58" s="45" t="str">
        <f aca="false">IF(01_INPUTS!L17,CHOOSE(MATCH($B$2,$U$1:$U$5,0),_ENGINE_FINANCIERO!L175,_ENGINE_FINANCIERO!L33,_ENGINE_FINANCIERO!L80,_ENGINE_FINANCIERO!L127,_ENGINE_FINANCIERO!L175),"")</f>
        <v/>
      </c>
      <c r="M58" s="45" t="str">
        <f aca="false">IF(01_INPUTS!M17,CHOOSE(MATCH($B$2,$U$1:$U$5,0),_ENGINE_FINANCIERO!M175,_ENGINE_FINANCIERO!M33,_ENGINE_FINANCIERO!M80,_ENGINE_FINANCIERO!M127,_ENGINE_FINANCIERO!M175),"")</f>
        <v/>
      </c>
      <c r="N58" s="45" t="str">
        <f aca="false">IF(01_INPUTS!N17,CHOOSE(MATCH($B$2,$U$1:$U$5,0),_ENGINE_FINANCIERO!N175,_ENGINE_FINANCIERO!N33,_ENGINE_FINANCIERO!N80,_ENGINE_FINANCIERO!N127,_ENGINE_FINANCIERO!N175),"")</f>
        <v/>
      </c>
      <c r="O58" s="45" t="str">
        <f aca="false">IF(01_INPUTS!O17,CHOOSE(MATCH($B$2,$U$1:$U$5,0),_ENGINE_FINANCIERO!O175,_ENGINE_FINANCIERO!O33,_ENGINE_FINANCIERO!O80,_ENGINE_FINANCIERO!O127,_ENGINE_FINANCIERO!O175),"")</f>
        <v/>
      </c>
      <c r="P58" s="45" t="str">
        <f aca="false">IF(01_INPUTS!P17,CHOOSE(MATCH($B$2,$U$1:$U$5,0),_ENGINE_FINANCIERO!P175,_ENGINE_FINANCIERO!P33,_ENGINE_FINANCIERO!P80,_ENGINE_FINANCIERO!P127,_ENGINE_FINANCIERO!P175),"")</f>
        <v/>
      </c>
      <c r="Q58" s="45" t="str">
        <f aca="false">IF(01_INPUTS!Q17,CHOOSE(MATCH($B$2,$U$1:$U$5,0),_ENGINE_FINANCIERO!Q175,_ENGINE_FINANCIERO!Q33,_ENGINE_FINANCIERO!Q80,_ENGINE_FINANCIERO!Q127,_ENGINE_FINANCIERO!Q175),"")</f>
        <v/>
      </c>
      <c r="R58" s="45" t="str">
        <f aca="false">IF(01_INPUTS!R17,CHOOSE(MATCH($B$2,$U$1:$U$5,0),_ENGINE_FINANCIERO!R175,_ENGINE_FINANCIERO!R33,_ENGINE_FINANCIERO!R80,_ENGINE_FINANCIERO!R127,_ENGINE_FINANCIERO!R175),"")</f>
        <v/>
      </c>
      <c r="S58" s="45" t="str">
        <f aca="false">IF(01_INPUTS!S17,CHOOSE(MATCH($B$2,$U$1:$U$5,0),_ENGINE_FINANCIERO!S175,_ENGINE_FINANCIERO!S33,_ENGINE_FINANCIERO!S80,_ENGINE_FINANCIERO!S127,_ENGINE_FINANCIERO!S175),"")</f>
        <v/>
      </c>
    </row>
    <row r="59" customFormat="false" ht="15" hidden="true" customHeight="false" outlineLevel="1" collapsed="false">
      <c r="A59" s="6" t="s">
        <v>268</v>
      </c>
      <c r="B59" s="43" t="s">
        <v>81</v>
      </c>
      <c r="G59" s="44" t="n">
        <f aca="false">_ENGINE_FINANCIERO!G33</f>
        <v>9274082785.33571</v>
      </c>
      <c r="H59" s="44" t="n">
        <f aca="false">_ENGINE_FINANCIERO!H33</f>
        <v>1090285979.39674</v>
      </c>
      <c r="I59" s="44" t="n">
        <f aca="false">IF(01_INPUTS!I17,_ENGINE_FINANCIERO!I33,"")</f>
        <v>6669794982.73869</v>
      </c>
      <c r="J59" s="44" t="str">
        <f aca="false">IF(01_INPUTS!J17,_ENGINE_FINANCIERO!J33,"")</f>
        <v/>
      </c>
      <c r="K59" s="44" t="str">
        <f aca="false">IF(01_INPUTS!K17,_ENGINE_FINANCIERO!K33,"")</f>
        <v/>
      </c>
      <c r="L59" s="44" t="str">
        <f aca="false">IF(01_INPUTS!L17,_ENGINE_FINANCIERO!L33,"")</f>
        <v/>
      </c>
      <c r="M59" s="44" t="str">
        <f aca="false">IF(01_INPUTS!M17,_ENGINE_FINANCIERO!M33,"")</f>
        <v/>
      </c>
      <c r="N59" s="44" t="str">
        <f aca="false">IF(01_INPUTS!N17,_ENGINE_FINANCIERO!N33,"")</f>
        <v/>
      </c>
      <c r="O59" s="44" t="str">
        <f aca="false">IF(01_INPUTS!O17,_ENGINE_FINANCIERO!O33,"")</f>
        <v/>
      </c>
      <c r="P59" s="44" t="str">
        <f aca="false">IF(01_INPUTS!P17,_ENGINE_FINANCIERO!P33,"")</f>
        <v/>
      </c>
      <c r="Q59" s="44" t="str">
        <f aca="false">IF(01_INPUTS!Q17,_ENGINE_FINANCIERO!Q33,"")</f>
        <v/>
      </c>
      <c r="R59" s="44" t="str">
        <f aca="false">IF(01_INPUTS!R17,_ENGINE_FINANCIERO!R33,"")</f>
        <v/>
      </c>
      <c r="S59" s="44" t="str">
        <f aca="false">IF(01_INPUTS!S17,_ENGINE_FINANCIERO!S33,"")</f>
        <v/>
      </c>
    </row>
    <row r="60" customFormat="false" ht="15" hidden="true" customHeight="false" outlineLevel="1" collapsed="false">
      <c r="A60" s="6" t="s">
        <v>269</v>
      </c>
      <c r="B60" s="43" t="s">
        <v>81</v>
      </c>
      <c r="G60" s="44" t="n">
        <f aca="false">_ENGINE_FINANCIERO!G80</f>
        <v>365032427.722816</v>
      </c>
      <c r="H60" s="44" t="n">
        <f aca="false">_ENGINE_FINANCIERO!H80</f>
        <v>2279572924.70316</v>
      </c>
      <c r="I60" s="44" t="n">
        <f aca="false">IF(01_INPUTS!I17,_ENGINE_FINANCIERO!I80,"")</f>
        <v>7048486782.28204</v>
      </c>
      <c r="J60" s="44" t="str">
        <f aca="false">IF(01_INPUTS!J17,_ENGINE_FINANCIERO!J80,"")</f>
        <v/>
      </c>
      <c r="K60" s="44" t="str">
        <f aca="false">IF(01_INPUTS!K17,_ENGINE_FINANCIERO!K80,"")</f>
        <v/>
      </c>
      <c r="L60" s="44" t="str">
        <f aca="false">IF(01_INPUTS!L17,_ENGINE_FINANCIERO!L80,"")</f>
        <v/>
      </c>
      <c r="M60" s="44" t="str">
        <f aca="false">IF(01_INPUTS!M17,_ENGINE_FINANCIERO!M80,"")</f>
        <v/>
      </c>
      <c r="N60" s="44" t="str">
        <f aca="false">IF(01_INPUTS!N17,_ENGINE_FINANCIERO!N80,"")</f>
        <v/>
      </c>
      <c r="O60" s="44" t="str">
        <f aca="false">IF(01_INPUTS!O17,_ENGINE_FINANCIERO!O80,"")</f>
        <v/>
      </c>
      <c r="P60" s="44" t="str">
        <f aca="false">IF(01_INPUTS!P17,_ENGINE_FINANCIERO!P80,"")</f>
        <v/>
      </c>
      <c r="Q60" s="44" t="str">
        <f aca="false">IF(01_INPUTS!Q17,_ENGINE_FINANCIERO!Q80,"")</f>
        <v/>
      </c>
      <c r="R60" s="44" t="str">
        <f aca="false">IF(01_INPUTS!R17,_ENGINE_FINANCIERO!R80,"")</f>
        <v/>
      </c>
      <c r="S60" s="44" t="str">
        <f aca="false">IF(01_INPUTS!S17,_ENGINE_FINANCIERO!S80,"")</f>
        <v/>
      </c>
    </row>
    <row r="61" customFormat="false" ht="15" hidden="true" customHeight="false" outlineLevel="1" collapsed="false">
      <c r="A61" s="6" t="s">
        <v>270</v>
      </c>
      <c r="B61" s="43" t="s">
        <v>81</v>
      </c>
      <c r="G61" s="44" t="n">
        <f aca="false">_ENGINE_FINANCIERO!G127</f>
        <v>1178203834.74677</v>
      </c>
      <c r="H61" s="44" t="n">
        <f aca="false">_ENGINE_FINANCIERO!H127</f>
        <v>1708729886.28571</v>
      </c>
      <c r="I61" s="44" t="n">
        <f aca="false">IF(01_INPUTS!I17,_ENGINE_FINANCIERO!I127,"")</f>
        <v>9922573329.90008</v>
      </c>
      <c r="J61" s="44" t="str">
        <f aca="false">IF(01_INPUTS!J17,_ENGINE_FINANCIERO!J127,"")</f>
        <v/>
      </c>
      <c r="K61" s="44" t="str">
        <f aca="false">IF(01_INPUTS!K17,_ENGINE_FINANCIERO!K127,"")</f>
        <v/>
      </c>
      <c r="L61" s="44" t="str">
        <f aca="false">IF(01_INPUTS!L17,_ENGINE_FINANCIERO!L127,"")</f>
        <v/>
      </c>
      <c r="M61" s="44" t="str">
        <f aca="false">IF(01_INPUTS!M17,_ENGINE_FINANCIERO!M127,"")</f>
        <v/>
      </c>
      <c r="N61" s="44" t="str">
        <f aca="false">IF(01_INPUTS!N17,_ENGINE_FINANCIERO!N127,"")</f>
        <v/>
      </c>
      <c r="O61" s="44" t="str">
        <f aca="false">IF(01_INPUTS!O17,_ENGINE_FINANCIERO!O127,"")</f>
        <v/>
      </c>
      <c r="P61" s="44" t="str">
        <f aca="false">IF(01_INPUTS!P17,_ENGINE_FINANCIERO!P127,"")</f>
        <v/>
      </c>
      <c r="Q61" s="44" t="str">
        <f aca="false">IF(01_INPUTS!Q17,_ENGINE_FINANCIERO!Q127,"")</f>
        <v/>
      </c>
      <c r="R61" s="44" t="str">
        <f aca="false">IF(01_INPUTS!R17,_ENGINE_FINANCIERO!R127,"")</f>
        <v/>
      </c>
      <c r="S61" s="44" t="str">
        <f aca="false">IF(01_INPUTS!S17,_ENGINE_FINANCIERO!S127,"")</f>
        <v/>
      </c>
    </row>
    <row r="62" customFormat="false" ht="15" hidden="false" customHeight="false" outlineLevel="0" collapsed="false">
      <c r="A62" s="8" t="s">
        <v>285</v>
      </c>
      <c r="B62" s="12" t="s">
        <v>81</v>
      </c>
      <c r="G62" s="42" t="n">
        <f aca="false">CHOOSE(MATCH($B$2,$U$1:$U$5,0),_ENGINE_FINANCIERO!G176,_ENGINE_FINANCIERO!G34,_ENGINE_FINANCIERO!G81,_ENGINE_FINANCIERO!G128,_ENGINE_FINANCIERO!G176)</f>
        <v>23165849747.8053</v>
      </c>
      <c r="H62" s="42" t="n">
        <f aca="false">CHOOSE(MATCH($B$2,$U$1:$U$5,0),_ENGINE_FINANCIERO!H176,_ENGINE_FINANCIERO!H34,_ENGINE_FINANCIERO!H81,_ENGINE_FINANCIERO!H128,_ENGINE_FINANCIERO!H176)</f>
        <v>24944689362.4272</v>
      </c>
      <c r="I62" s="42" t="n">
        <f aca="false">IF(01_INPUTS!I17,CHOOSE(MATCH($B$2,$U$1:$U$5,0),_ENGINE_FINANCIERO!I176,_ENGINE_FINANCIERO!I34,_ENGINE_FINANCIERO!I81,_ENGINE_FINANCIERO!I128,_ENGINE_FINANCIERO!I176),"")</f>
        <v>36268696592.3498</v>
      </c>
      <c r="J62" s="42" t="str">
        <f aca="false">IF(01_INPUTS!J17,CHOOSE(MATCH($B$2,$U$1:$U$5,0),_ENGINE_FINANCIERO!J176,_ENGINE_FINANCIERO!J34,_ENGINE_FINANCIERO!J81,_ENGINE_FINANCIERO!J128,_ENGINE_FINANCIERO!J176),"")</f>
        <v/>
      </c>
      <c r="K62" s="42" t="str">
        <f aca="false">IF(01_INPUTS!K17,CHOOSE(MATCH($B$2,$U$1:$U$5,0),_ENGINE_FINANCIERO!K176,_ENGINE_FINANCIERO!K34,_ENGINE_FINANCIERO!K81,_ENGINE_FINANCIERO!K128,_ENGINE_FINANCIERO!K176),"")</f>
        <v/>
      </c>
      <c r="L62" s="42" t="str">
        <f aca="false">IF(01_INPUTS!L17,CHOOSE(MATCH($B$2,$U$1:$U$5,0),_ENGINE_FINANCIERO!L176,_ENGINE_FINANCIERO!L34,_ENGINE_FINANCIERO!L81,_ENGINE_FINANCIERO!L128,_ENGINE_FINANCIERO!L176),"")</f>
        <v/>
      </c>
      <c r="M62" s="42" t="str">
        <f aca="false">IF(01_INPUTS!M17,CHOOSE(MATCH($B$2,$U$1:$U$5,0),_ENGINE_FINANCIERO!M176,_ENGINE_FINANCIERO!M34,_ENGINE_FINANCIERO!M81,_ENGINE_FINANCIERO!M128,_ENGINE_FINANCIERO!M176),"")</f>
        <v/>
      </c>
      <c r="N62" s="42" t="str">
        <f aca="false">IF(01_INPUTS!N17,CHOOSE(MATCH($B$2,$U$1:$U$5,0),_ENGINE_FINANCIERO!N176,_ENGINE_FINANCIERO!N34,_ENGINE_FINANCIERO!N81,_ENGINE_FINANCIERO!N128,_ENGINE_FINANCIERO!N176),"")</f>
        <v/>
      </c>
      <c r="O62" s="42" t="str">
        <f aca="false">IF(01_INPUTS!O17,CHOOSE(MATCH($B$2,$U$1:$U$5,0),_ENGINE_FINANCIERO!O176,_ENGINE_FINANCIERO!O34,_ENGINE_FINANCIERO!O81,_ENGINE_FINANCIERO!O128,_ENGINE_FINANCIERO!O176),"")</f>
        <v/>
      </c>
      <c r="P62" s="42" t="str">
        <f aca="false">IF(01_INPUTS!P17,CHOOSE(MATCH($B$2,$U$1:$U$5,0),_ENGINE_FINANCIERO!P176,_ENGINE_FINANCIERO!P34,_ENGINE_FINANCIERO!P81,_ENGINE_FINANCIERO!P128,_ENGINE_FINANCIERO!P176),"")</f>
        <v/>
      </c>
      <c r="Q62" s="42" t="str">
        <f aca="false">IF(01_INPUTS!Q17,CHOOSE(MATCH($B$2,$U$1:$U$5,0),_ENGINE_FINANCIERO!Q176,_ENGINE_FINANCIERO!Q34,_ENGINE_FINANCIERO!Q81,_ENGINE_FINANCIERO!Q128,_ENGINE_FINANCIERO!Q176),"")</f>
        <v/>
      </c>
      <c r="R62" s="42" t="str">
        <f aca="false">IF(01_INPUTS!R17,CHOOSE(MATCH($B$2,$U$1:$U$5,0),_ENGINE_FINANCIERO!R176,_ENGINE_FINANCIERO!R34,_ENGINE_FINANCIERO!R81,_ENGINE_FINANCIERO!R128,_ENGINE_FINANCIERO!R176),"")</f>
        <v/>
      </c>
      <c r="S62" s="42" t="str">
        <f aca="false">IF(01_INPUTS!S17,CHOOSE(MATCH($B$2,$U$1:$U$5,0),_ENGINE_FINANCIERO!S176,_ENGINE_FINANCIERO!S34,_ENGINE_FINANCIERO!S81,_ENGINE_FINANCIERO!S128,_ENGINE_FINANCIERO!S176),"")</f>
        <v/>
      </c>
    </row>
    <row r="63" customFormat="false" ht="15" hidden="true" customHeight="false" outlineLevel="1" collapsed="false">
      <c r="A63" s="6" t="s">
        <v>268</v>
      </c>
      <c r="B63" s="43" t="s">
        <v>81</v>
      </c>
      <c r="G63" s="44" t="n">
        <f aca="false">_ENGINE_FINANCIERO!G34</f>
        <v>18836079635.3357</v>
      </c>
      <c r="H63" s="44" t="n">
        <f aca="false">_ENGINE_FINANCIERO!H34</f>
        <v>16176660205.8818</v>
      </c>
      <c r="I63" s="44" t="n">
        <f aca="false">IF(01_INPUTS!I17,_ENGINE_FINANCIERO!I34,"")</f>
        <v>15459824794.9672</v>
      </c>
      <c r="J63" s="44" t="str">
        <f aca="false">IF(01_INPUTS!J17,_ENGINE_FINANCIERO!J34,"")</f>
        <v/>
      </c>
      <c r="K63" s="44" t="str">
        <f aca="false">IF(01_INPUTS!K17,_ENGINE_FINANCIERO!K34,"")</f>
        <v/>
      </c>
      <c r="L63" s="44" t="str">
        <f aca="false">IF(01_INPUTS!L17,_ENGINE_FINANCIERO!L34,"")</f>
        <v/>
      </c>
      <c r="M63" s="44" t="str">
        <f aca="false">IF(01_INPUTS!M17,_ENGINE_FINANCIERO!M34,"")</f>
        <v/>
      </c>
      <c r="N63" s="44" t="str">
        <f aca="false">IF(01_INPUTS!N17,_ENGINE_FINANCIERO!N34,"")</f>
        <v/>
      </c>
      <c r="O63" s="44" t="str">
        <f aca="false">IF(01_INPUTS!O17,_ENGINE_FINANCIERO!O34,"")</f>
        <v/>
      </c>
      <c r="P63" s="44" t="str">
        <f aca="false">IF(01_INPUTS!P17,_ENGINE_FINANCIERO!P34,"")</f>
        <v/>
      </c>
      <c r="Q63" s="44" t="str">
        <f aca="false">IF(01_INPUTS!Q17,_ENGINE_FINANCIERO!Q34,"")</f>
        <v/>
      </c>
      <c r="R63" s="44" t="str">
        <f aca="false">IF(01_INPUTS!R17,_ENGINE_FINANCIERO!R34,"")</f>
        <v/>
      </c>
      <c r="S63" s="44" t="str">
        <f aca="false">IF(01_INPUTS!S17,_ENGINE_FINANCIERO!S34,"")</f>
        <v/>
      </c>
    </row>
    <row r="64" customFormat="false" ht="15" hidden="true" customHeight="false" outlineLevel="1" collapsed="false">
      <c r="A64" s="6" t="s">
        <v>269</v>
      </c>
      <c r="B64" s="43" t="s">
        <v>81</v>
      </c>
      <c r="G64" s="44" t="n">
        <f aca="false">_ENGINE_FINANCIERO!G81</f>
        <v>2494602277.72282</v>
      </c>
      <c r="H64" s="44" t="n">
        <f aca="false">_ENGINE_FINANCIERO!H81</f>
        <v>6535951934.30602</v>
      </c>
      <c r="I64" s="44" t="n">
        <f aca="false">IF(01_INPUTS!I17,_ENGINE_FINANCIERO!I81,"")</f>
        <v>9667186341.68103</v>
      </c>
      <c r="J64" s="44" t="str">
        <f aca="false">IF(01_INPUTS!J17,_ENGINE_FINANCIERO!J81,"")</f>
        <v/>
      </c>
      <c r="K64" s="44" t="str">
        <f aca="false">IF(01_INPUTS!K17,_ENGINE_FINANCIERO!K81,"")</f>
        <v/>
      </c>
      <c r="L64" s="44" t="str">
        <f aca="false">IF(01_INPUTS!L17,_ENGINE_FINANCIERO!L81,"")</f>
        <v/>
      </c>
      <c r="M64" s="44" t="str">
        <f aca="false">IF(01_INPUTS!M17,_ENGINE_FINANCIERO!M81,"")</f>
        <v/>
      </c>
      <c r="N64" s="44" t="str">
        <f aca="false">IF(01_INPUTS!N17,_ENGINE_FINANCIERO!N81,"")</f>
        <v/>
      </c>
      <c r="O64" s="44" t="str">
        <f aca="false">IF(01_INPUTS!O17,_ENGINE_FINANCIERO!O81,"")</f>
        <v/>
      </c>
      <c r="P64" s="44" t="str">
        <f aca="false">IF(01_INPUTS!P17,_ENGINE_FINANCIERO!P81,"")</f>
        <v/>
      </c>
      <c r="Q64" s="44" t="str">
        <f aca="false">IF(01_INPUTS!Q17,_ENGINE_FINANCIERO!Q81,"")</f>
        <v/>
      </c>
      <c r="R64" s="44" t="str">
        <f aca="false">IF(01_INPUTS!R17,_ENGINE_FINANCIERO!R81,"")</f>
        <v/>
      </c>
      <c r="S64" s="44" t="str">
        <f aca="false">IF(01_INPUTS!S17,_ENGINE_FINANCIERO!S81,"")</f>
        <v/>
      </c>
    </row>
    <row r="65" customFormat="false" ht="15" hidden="true" customHeight="false" outlineLevel="1" collapsed="false">
      <c r="A65" s="6" t="s">
        <v>270</v>
      </c>
      <c r="B65" s="43" t="s">
        <v>81</v>
      </c>
      <c r="G65" s="44" t="n">
        <f aca="false">_ENGINE_FINANCIERO!G128</f>
        <v>1835167834.74677</v>
      </c>
      <c r="H65" s="44" t="n">
        <f aca="false">_ENGINE_FINANCIERO!H128</f>
        <v>2232077222.23929</v>
      </c>
      <c r="I65" s="44" t="n">
        <f aca="false">IF(01_INPUTS!I17,_ENGINE_FINANCIERO!I128,"")</f>
        <v>11141685455.7016</v>
      </c>
      <c r="J65" s="44" t="str">
        <f aca="false">IF(01_INPUTS!J17,_ENGINE_FINANCIERO!J128,"")</f>
        <v/>
      </c>
      <c r="K65" s="44" t="str">
        <f aca="false">IF(01_INPUTS!K17,_ENGINE_FINANCIERO!K128,"")</f>
        <v/>
      </c>
      <c r="L65" s="44" t="str">
        <f aca="false">IF(01_INPUTS!L17,_ENGINE_FINANCIERO!L128,"")</f>
        <v/>
      </c>
      <c r="M65" s="44" t="str">
        <f aca="false">IF(01_INPUTS!M17,_ENGINE_FINANCIERO!M128,"")</f>
        <v/>
      </c>
      <c r="N65" s="44" t="str">
        <f aca="false">IF(01_INPUTS!N17,_ENGINE_FINANCIERO!N128,"")</f>
        <v/>
      </c>
      <c r="O65" s="44" t="str">
        <f aca="false">IF(01_INPUTS!O17,_ENGINE_FINANCIERO!O128,"")</f>
        <v/>
      </c>
      <c r="P65" s="44" t="str">
        <f aca="false">IF(01_INPUTS!P17,_ENGINE_FINANCIERO!P128,"")</f>
        <v/>
      </c>
      <c r="Q65" s="44" t="str">
        <f aca="false">IF(01_INPUTS!Q17,_ENGINE_FINANCIERO!Q128,"")</f>
        <v/>
      </c>
      <c r="R65" s="44" t="str">
        <f aca="false">IF(01_INPUTS!R17,_ENGINE_FINANCIERO!R128,"")</f>
        <v/>
      </c>
      <c r="S65" s="44" t="str">
        <f aca="false">IF(01_INPUTS!S17,_ENGINE_FINANCIERO!S128,"")</f>
        <v/>
      </c>
    </row>
    <row r="66" customFormat="false" ht="15" hidden="false" customHeight="false" outlineLevel="0" collapsed="false">
      <c r="A66" s="14" t="s">
        <v>286</v>
      </c>
      <c r="B66" s="12" t="s">
        <v>81</v>
      </c>
      <c r="G66" s="45" t="n">
        <f aca="false">CHOOSE(MATCH($B$2,$U$1:$U$5,0),_ENGINE_FINANCIERO!G182,_ENGINE_FINANCIERO!G39,_ENGINE_FINANCIERO!G86,_ENGINE_FINANCIERO!G133,_ENGINE_FINANCIERO!G182)</f>
        <v>11900000000</v>
      </c>
      <c r="H66" s="45" t="n">
        <f aca="false">CHOOSE(MATCH($B$2,$U$1:$U$5,0),_ENGINE_FINANCIERO!H182,_ENGINE_FINANCIERO!H39,_ENGINE_FINANCIERO!H86,_ENGINE_FINANCIERO!H133,_ENGINE_FINANCIERO!H182)</f>
        <v>11900000000</v>
      </c>
      <c r="I66" s="45" t="n">
        <f aca="false">IF(01_INPUTS!I17,CHOOSE(MATCH($B$2,$U$1:$U$5,0),_ENGINE_FINANCIERO!I182,_ENGINE_FINANCIERO!I39,_ENGINE_FINANCIERO!I86,_ENGINE_FINANCIERO!I133,_ENGINE_FINANCIERO!I182),"")</f>
        <v>11900000000</v>
      </c>
      <c r="J66" s="45" t="str">
        <f aca="false">IF(01_INPUTS!J17,CHOOSE(MATCH($B$2,$U$1:$U$5,0),_ENGINE_FINANCIERO!J182,_ENGINE_FINANCIERO!J39,_ENGINE_FINANCIERO!J86,_ENGINE_FINANCIERO!J133,_ENGINE_FINANCIERO!J182),"")</f>
        <v/>
      </c>
      <c r="K66" s="45" t="str">
        <f aca="false">IF(01_INPUTS!K17,CHOOSE(MATCH($B$2,$U$1:$U$5,0),_ENGINE_FINANCIERO!K182,_ENGINE_FINANCIERO!K39,_ENGINE_FINANCIERO!K86,_ENGINE_FINANCIERO!K133,_ENGINE_FINANCIERO!K182),"")</f>
        <v/>
      </c>
      <c r="L66" s="45" t="str">
        <f aca="false">IF(01_INPUTS!L17,CHOOSE(MATCH($B$2,$U$1:$U$5,0),_ENGINE_FINANCIERO!L182,_ENGINE_FINANCIERO!L39,_ENGINE_FINANCIERO!L86,_ENGINE_FINANCIERO!L133,_ENGINE_FINANCIERO!L182),"")</f>
        <v/>
      </c>
      <c r="M66" s="45" t="str">
        <f aca="false">IF(01_INPUTS!M17,CHOOSE(MATCH($B$2,$U$1:$U$5,0),_ENGINE_FINANCIERO!M182,_ENGINE_FINANCIERO!M39,_ENGINE_FINANCIERO!M86,_ENGINE_FINANCIERO!M133,_ENGINE_FINANCIERO!M182),"")</f>
        <v/>
      </c>
      <c r="N66" s="45" t="str">
        <f aca="false">IF(01_INPUTS!N17,CHOOSE(MATCH($B$2,$U$1:$U$5,0),_ENGINE_FINANCIERO!N182,_ENGINE_FINANCIERO!N39,_ENGINE_FINANCIERO!N86,_ENGINE_FINANCIERO!N133,_ENGINE_FINANCIERO!N182),"")</f>
        <v/>
      </c>
      <c r="O66" s="45" t="str">
        <f aca="false">IF(01_INPUTS!O17,CHOOSE(MATCH($B$2,$U$1:$U$5,0),_ENGINE_FINANCIERO!O182,_ENGINE_FINANCIERO!O39,_ENGINE_FINANCIERO!O86,_ENGINE_FINANCIERO!O133,_ENGINE_FINANCIERO!O182),"")</f>
        <v/>
      </c>
      <c r="P66" s="45" t="str">
        <f aca="false">IF(01_INPUTS!P17,CHOOSE(MATCH($B$2,$U$1:$U$5,0),_ENGINE_FINANCIERO!P182,_ENGINE_FINANCIERO!P39,_ENGINE_FINANCIERO!P86,_ENGINE_FINANCIERO!P133,_ENGINE_FINANCIERO!P182),"")</f>
        <v/>
      </c>
      <c r="Q66" s="45" t="str">
        <f aca="false">IF(01_INPUTS!Q17,CHOOSE(MATCH($B$2,$U$1:$U$5,0),_ENGINE_FINANCIERO!Q182,_ENGINE_FINANCIERO!Q39,_ENGINE_FINANCIERO!Q86,_ENGINE_FINANCIERO!Q133,_ENGINE_FINANCIERO!Q182),"")</f>
        <v/>
      </c>
      <c r="R66" s="45" t="str">
        <f aca="false">IF(01_INPUTS!R17,CHOOSE(MATCH($B$2,$U$1:$U$5,0),_ENGINE_FINANCIERO!R182,_ENGINE_FINANCIERO!R39,_ENGINE_FINANCIERO!R86,_ENGINE_FINANCIERO!R133,_ENGINE_FINANCIERO!R182),"")</f>
        <v/>
      </c>
      <c r="S66" s="45" t="str">
        <f aca="false">IF(01_INPUTS!S17,CHOOSE(MATCH($B$2,$U$1:$U$5,0),_ENGINE_FINANCIERO!S182,_ENGINE_FINANCIERO!S39,_ENGINE_FINANCIERO!S86,_ENGINE_FINANCIERO!S133,_ENGINE_FINANCIERO!S182),"")</f>
        <v/>
      </c>
    </row>
    <row r="67" customFormat="false" ht="15" hidden="true" customHeight="false" outlineLevel="1" collapsed="false">
      <c r="A67" s="6" t="s">
        <v>268</v>
      </c>
      <c r="B67" s="43" t="s">
        <v>81</v>
      </c>
      <c r="G67" s="44" t="n">
        <f aca="false">_ENGINE_FINANCIERO!G39</f>
        <v>11900000000</v>
      </c>
      <c r="H67" s="44" t="n">
        <f aca="false">_ENGINE_FINANCIERO!H39</f>
        <v>11900000000</v>
      </c>
      <c r="I67" s="44" t="n">
        <f aca="false">IF(01_INPUTS!I17,_ENGINE_FINANCIERO!I39,"")</f>
        <v>11900000000</v>
      </c>
      <c r="J67" s="44" t="str">
        <f aca="false">IF(01_INPUTS!J17,_ENGINE_FINANCIERO!J39,"")</f>
        <v/>
      </c>
      <c r="K67" s="44" t="str">
        <f aca="false">IF(01_INPUTS!K17,_ENGINE_FINANCIERO!K39,"")</f>
        <v/>
      </c>
      <c r="L67" s="44" t="str">
        <f aca="false">IF(01_INPUTS!L17,_ENGINE_FINANCIERO!L39,"")</f>
        <v/>
      </c>
      <c r="M67" s="44" t="str">
        <f aca="false">IF(01_INPUTS!M17,_ENGINE_FINANCIERO!M39,"")</f>
        <v/>
      </c>
      <c r="N67" s="44" t="str">
        <f aca="false">IF(01_INPUTS!N17,_ENGINE_FINANCIERO!N39,"")</f>
        <v/>
      </c>
      <c r="O67" s="44" t="str">
        <f aca="false">IF(01_INPUTS!O17,_ENGINE_FINANCIERO!O39,"")</f>
        <v/>
      </c>
      <c r="P67" s="44" t="str">
        <f aca="false">IF(01_INPUTS!P17,_ENGINE_FINANCIERO!P39,"")</f>
        <v/>
      </c>
      <c r="Q67" s="44" t="str">
        <f aca="false">IF(01_INPUTS!Q17,_ENGINE_FINANCIERO!Q39,"")</f>
        <v/>
      </c>
      <c r="R67" s="44" t="str">
        <f aca="false">IF(01_INPUTS!R17,_ENGINE_FINANCIERO!R39,"")</f>
        <v/>
      </c>
      <c r="S67" s="44" t="str">
        <f aca="false">IF(01_INPUTS!S17,_ENGINE_FINANCIERO!S39,"")</f>
        <v/>
      </c>
    </row>
    <row r="68" customFormat="false" ht="15" hidden="true" customHeight="false" outlineLevel="1" collapsed="false">
      <c r="A68" s="6" t="s">
        <v>269</v>
      </c>
      <c r="B68" s="43" t="s">
        <v>81</v>
      </c>
      <c r="G68" s="44" t="n">
        <f aca="false">_ENGINE_FINANCIERO!G86</f>
        <v>0</v>
      </c>
      <c r="H68" s="44" t="n">
        <f aca="false">_ENGINE_FINANCIERO!H86</f>
        <v>0</v>
      </c>
      <c r="I68" s="44" t="str">
        <f aca="false">IF(01_INPUTS!I17,_ENGINE_FINANCIERO!I86,"")</f>
        <v>0</v>
      </c>
      <c r="J68" s="44" t="str">
        <f aca="false">IF(01_INPUTS!J17,_ENGINE_FINANCIERO!J86,"")</f>
        <v/>
      </c>
      <c r="K68" s="44" t="str">
        <f aca="false">IF(01_INPUTS!K17,_ENGINE_FINANCIERO!K86,"")</f>
        <v/>
      </c>
      <c r="L68" s="44" t="str">
        <f aca="false">IF(01_INPUTS!L17,_ENGINE_FINANCIERO!L86,"")</f>
        <v/>
      </c>
      <c r="M68" s="44" t="str">
        <f aca="false">IF(01_INPUTS!M17,_ENGINE_FINANCIERO!M86,"")</f>
        <v/>
      </c>
      <c r="N68" s="44" t="str">
        <f aca="false">IF(01_INPUTS!N17,_ENGINE_FINANCIERO!N86,"")</f>
        <v/>
      </c>
      <c r="O68" s="44" t="str">
        <f aca="false">IF(01_INPUTS!O17,_ENGINE_FINANCIERO!O86,"")</f>
        <v/>
      </c>
      <c r="P68" s="44" t="str">
        <f aca="false">IF(01_INPUTS!P17,_ENGINE_FINANCIERO!P86,"")</f>
        <v/>
      </c>
      <c r="Q68" s="44" t="str">
        <f aca="false">IF(01_INPUTS!Q17,_ENGINE_FINANCIERO!Q86,"")</f>
        <v/>
      </c>
      <c r="R68" s="44" t="str">
        <f aca="false">IF(01_INPUTS!R17,_ENGINE_FINANCIERO!R86,"")</f>
        <v/>
      </c>
      <c r="S68" s="44" t="str">
        <f aca="false">IF(01_INPUTS!S17,_ENGINE_FINANCIERO!S86,"")</f>
        <v/>
      </c>
    </row>
    <row r="69" customFormat="false" ht="15" hidden="true" customHeight="false" outlineLevel="1" collapsed="false">
      <c r="A69" s="6" t="s">
        <v>270</v>
      </c>
      <c r="B69" s="43" t="s">
        <v>81</v>
      </c>
      <c r="G69" s="44" t="n">
        <f aca="false">_ENGINE_FINANCIERO!G133</f>
        <v>0</v>
      </c>
      <c r="H69" s="44" t="n">
        <f aca="false">_ENGINE_FINANCIERO!H133</f>
        <v>0</v>
      </c>
      <c r="I69" s="44" t="str">
        <f aca="false">IF(01_INPUTS!I17,_ENGINE_FINANCIERO!I133,"")</f>
        <v>0</v>
      </c>
      <c r="J69" s="44" t="str">
        <f aca="false">IF(01_INPUTS!J17,_ENGINE_FINANCIERO!J133,"")</f>
        <v/>
      </c>
      <c r="K69" s="44" t="str">
        <f aca="false">IF(01_INPUTS!K17,_ENGINE_FINANCIERO!K133,"")</f>
        <v/>
      </c>
      <c r="L69" s="44" t="str">
        <f aca="false">IF(01_INPUTS!L17,_ENGINE_FINANCIERO!L133,"")</f>
        <v/>
      </c>
      <c r="M69" s="44" t="str">
        <f aca="false">IF(01_INPUTS!M17,_ENGINE_FINANCIERO!M133,"")</f>
        <v/>
      </c>
      <c r="N69" s="44" t="str">
        <f aca="false">IF(01_INPUTS!N17,_ENGINE_FINANCIERO!N133,"")</f>
        <v/>
      </c>
      <c r="O69" s="44" t="str">
        <f aca="false">IF(01_INPUTS!O17,_ENGINE_FINANCIERO!O133,"")</f>
        <v/>
      </c>
      <c r="P69" s="44" t="str">
        <f aca="false">IF(01_INPUTS!P17,_ENGINE_FINANCIERO!P133,"")</f>
        <v/>
      </c>
      <c r="Q69" s="44" t="str">
        <f aca="false">IF(01_INPUTS!Q17,_ENGINE_FINANCIERO!Q133,"")</f>
        <v/>
      </c>
      <c r="R69" s="44" t="str">
        <f aca="false">IF(01_INPUTS!R17,_ENGINE_FINANCIERO!R133,"")</f>
        <v/>
      </c>
      <c r="S69" s="44" t="str">
        <f aca="false">IF(01_INPUTS!S17,_ENGINE_FINANCIERO!S133,"")</f>
        <v/>
      </c>
    </row>
    <row r="70" customFormat="false" ht="15" hidden="false" customHeight="false" outlineLevel="0" collapsed="false">
      <c r="A70" s="14" t="s">
        <v>287</v>
      </c>
      <c r="B70" s="12" t="s">
        <v>81</v>
      </c>
      <c r="G70" s="45" t="n">
        <f aca="false">CHOOSE(MATCH($B$2,$U$1:$U$5,0),_ENGINE_FINANCIERO!G183,_ENGINE_FINANCIERO!G40,_ENGINE_FINANCIERO!G87,_ENGINE_FINANCIERO!G134,_ENGINE_FINANCIERO!G183)</f>
        <v>0</v>
      </c>
      <c r="H70" s="45" t="n">
        <f aca="false">CHOOSE(MATCH($B$2,$U$1:$U$5,0),_ENGINE_FINANCIERO!H183,_ENGINE_FINANCIERO!H40,_ENGINE_FINANCIERO!H87,_ENGINE_FINANCIERO!H134,_ENGINE_FINANCIERO!H183)</f>
        <v>0</v>
      </c>
      <c r="I70" s="45" t="n">
        <f aca="false">IF(01_INPUTS!I17,CHOOSE(MATCH($B$2,$U$1:$U$5,0),_ENGINE_FINANCIERO!I183,_ENGINE_FINANCIERO!I40,_ENGINE_FINANCIERO!I87,_ENGINE_FINANCIERO!I134,_ENGINE_FINANCIERO!I183),"")</f>
        <v>0</v>
      </c>
      <c r="J70" s="45" t="str">
        <f aca="false">IF(01_INPUTS!J17,CHOOSE(MATCH($B$2,$U$1:$U$5,0),_ENGINE_FINANCIERO!J183,_ENGINE_FINANCIERO!J40,_ENGINE_FINANCIERO!J87,_ENGINE_FINANCIERO!J134,_ENGINE_FINANCIERO!J183),"")</f>
        <v/>
      </c>
      <c r="K70" s="45" t="str">
        <f aca="false">IF(01_INPUTS!K17,CHOOSE(MATCH($B$2,$U$1:$U$5,0),_ENGINE_FINANCIERO!K183,_ENGINE_FINANCIERO!K40,_ENGINE_FINANCIERO!K87,_ENGINE_FINANCIERO!K134,_ENGINE_FINANCIERO!K183),"")</f>
        <v/>
      </c>
      <c r="L70" s="45" t="str">
        <f aca="false">IF(01_INPUTS!L17,CHOOSE(MATCH($B$2,$U$1:$U$5,0),_ENGINE_FINANCIERO!L183,_ENGINE_FINANCIERO!L40,_ENGINE_FINANCIERO!L87,_ENGINE_FINANCIERO!L134,_ENGINE_FINANCIERO!L183),"")</f>
        <v/>
      </c>
      <c r="M70" s="45" t="str">
        <f aca="false">IF(01_INPUTS!M17,CHOOSE(MATCH($B$2,$U$1:$U$5,0),_ENGINE_FINANCIERO!M183,_ENGINE_FINANCIERO!M40,_ENGINE_FINANCIERO!M87,_ENGINE_FINANCIERO!M134,_ENGINE_FINANCIERO!M183),"")</f>
        <v/>
      </c>
      <c r="N70" s="45" t="str">
        <f aca="false">IF(01_INPUTS!N17,CHOOSE(MATCH($B$2,$U$1:$U$5,0),_ENGINE_FINANCIERO!N183,_ENGINE_FINANCIERO!N40,_ENGINE_FINANCIERO!N87,_ENGINE_FINANCIERO!N134,_ENGINE_FINANCIERO!N183),"")</f>
        <v/>
      </c>
      <c r="O70" s="45" t="str">
        <f aca="false">IF(01_INPUTS!O17,CHOOSE(MATCH($B$2,$U$1:$U$5,0),_ENGINE_FINANCIERO!O183,_ENGINE_FINANCIERO!O40,_ENGINE_FINANCIERO!O87,_ENGINE_FINANCIERO!O134,_ENGINE_FINANCIERO!O183),"")</f>
        <v/>
      </c>
      <c r="P70" s="45" t="str">
        <f aca="false">IF(01_INPUTS!P17,CHOOSE(MATCH($B$2,$U$1:$U$5,0),_ENGINE_FINANCIERO!P183,_ENGINE_FINANCIERO!P40,_ENGINE_FINANCIERO!P87,_ENGINE_FINANCIERO!P134,_ENGINE_FINANCIERO!P183),"")</f>
        <v/>
      </c>
      <c r="Q70" s="45" t="str">
        <f aca="false">IF(01_INPUTS!Q17,CHOOSE(MATCH($B$2,$U$1:$U$5,0),_ENGINE_FINANCIERO!Q183,_ENGINE_FINANCIERO!Q40,_ENGINE_FINANCIERO!Q87,_ENGINE_FINANCIERO!Q134,_ENGINE_FINANCIERO!Q183),"")</f>
        <v/>
      </c>
      <c r="R70" s="45" t="str">
        <f aca="false">IF(01_INPUTS!R17,CHOOSE(MATCH($B$2,$U$1:$U$5,0),_ENGINE_FINANCIERO!R183,_ENGINE_FINANCIERO!R40,_ENGINE_FINANCIERO!R87,_ENGINE_FINANCIERO!R134,_ENGINE_FINANCIERO!R183),"")</f>
        <v/>
      </c>
      <c r="S70" s="45" t="str">
        <f aca="false">IF(01_INPUTS!S17,CHOOSE(MATCH($B$2,$U$1:$U$5,0),_ENGINE_FINANCIERO!S183,_ENGINE_FINANCIERO!S40,_ENGINE_FINANCIERO!S87,_ENGINE_FINANCIERO!S134,_ENGINE_FINANCIERO!S183),"")</f>
        <v/>
      </c>
    </row>
    <row r="71" customFormat="false" ht="15" hidden="true" customHeight="false" outlineLevel="1" collapsed="false">
      <c r="A71" s="6" t="s">
        <v>268</v>
      </c>
      <c r="B71" s="43" t="s">
        <v>81</v>
      </c>
      <c r="G71" s="44" t="n">
        <f aca="false">_ENGINE_FINANCIERO!G40</f>
        <v>0</v>
      </c>
      <c r="H71" s="44" t="n">
        <f aca="false">_ENGINE_FINANCIERO!H40</f>
        <v>0</v>
      </c>
      <c r="I71" s="44" t="n">
        <f aca="false">IF(01_INPUTS!I17,_ENGINE_FINANCIERO!I40,"")</f>
        <v>0</v>
      </c>
      <c r="J71" s="44" t="str">
        <f aca="false">IF(01_INPUTS!J17,_ENGINE_FINANCIERO!J40,"")</f>
        <v/>
      </c>
      <c r="K71" s="44" t="str">
        <f aca="false">IF(01_INPUTS!K17,_ENGINE_FINANCIERO!K40,"")</f>
        <v/>
      </c>
      <c r="L71" s="44" t="str">
        <f aca="false">IF(01_INPUTS!L17,_ENGINE_FINANCIERO!L40,"")</f>
        <v/>
      </c>
      <c r="M71" s="44" t="str">
        <f aca="false">IF(01_INPUTS!M17,_ENGINE_FINANCIERO!M40,"")</f>
        <v/>
      </c>
      <c r="N71" s="44" t="str">
        <f aca="false">IF(01_INPUTS!N17,_ENGINE_FINANCIERO!N40,"")</f>
        <v/>
      </c>
      <c r="O71" s="44" t="str">
        <f aca="false">IF(01_INPUTS!O17,_ENGINE_FINANCIERO!O40,"")</f>
        <v/>
      </c>
      <c r="P71" s="44" t="str">
        <f aca="false">IF(01_INPUTS!P17,_ENGINE_FINANCIERO!P40,"")</f>
        <v/>
      </c>
      <c r="Q71" s="44" t="str">
        <f aca="false">IF(01_INPUTS!Q17,_ENGINE_FINANCIERO!Q40,"")</f>
        <v/>
      </c>
      <c r="R71" s="44" t="str">
        <f aca="false">IF(01_INPUTS!R17,_ENGINE_FINANCIERO!R40,"")</f>
        <v/>
      </c>
      <c r="S71" s="44" t="str">
        <f aca="false">IF(01_INPUTS!S17,_ENGINE_FINANCIERO!S40,"")</f>
        <v/>
      </c>
    </row>
    <row r="72" customFormat="false" ht="15" hidden="true" customHeight="false" outlineLevel="1" collapsed="false">
      <c r="A72" s="6" t="s">
        <v>269</v>
      </c>
      <c r="B72" s="43" t="s">
        <v>81</v>
      </c>
      <c r="G72" s="44" t="n">
        <f aca="false">_ENGINE_FINANCIERO!G87</f>
        <v>0</v>
      </c>
      <c r="H72" s="44" t="n">
        <f aca="false">_ENGINE_FINANCIERO!H87</f>
        <v>0</v>
      </c>
      <c r="I72" s="44" t="n">
        <f aca="false">IF(01_INPUTS!I17,_ENGINE_FINANCIERO!I87,"")</f>
        <v>0</v>
      </c>
      <c r="J72" s="44" t="str">
        <f aca="false">IF(01_INPUTS!J17,_ENGINE_FINANCIERO!J87,"")</f>
        <v/>
      </c>
      <c r="K72" s="44" t="str">
        <f aca="false">IF(01_INPUTS!K17,_ENGINE_FINANCIERO!K87,"")</f>
        <v/>
      </c>
      <c r="L72" s="44" t="str">
        <f aca="false">IF(01_INPUTS!L17,_ENGINE_FINANCIERO!L87,"")</f>
        <v/>
      </c>
      <c r="M72" s="44" t="str">
        <f aca="false">IF(01_INPUTS!M17,_ENGINE_FINANCIERO!M87,"")</f>
        <v/>
      </c>
      <c r="N72" s="44" t="str">
        <f aca="false">IF(01_INPUTS!N17,_ENGINE_FINANCIERO!N87,"")</f>
        <v/>
      </c>
      <c r="O72" s="44" t="str">
        <f aca="false">IF(01_INPUTS!O17,_ENGINE_FINANCIERO!O87,"")</f>
        <v/>
      </c>
      <c r="P72" s="44" t="str">
        <f aca="false">IF(01_INPUTS!P17,_ENGINE_FINANCIERO!P87,"")</f>
        <v/>
      </c>
      <c r="Q72" s="44" t="str">
        <f aca="false">IF(01_INPUTS!Q17,_ENGINE_FINANCIERO!Q87,"")</f>
        <v/>
      </c>
      <c r="R72" s="44" t="str">
        <f aca="false">IF(01_INPUTS!R17,_ENGINE_FINANCIERO!R87,"")</f>
        <v/>
      </c>
      <c r="S72" s="44" t="str">
        <f aca="false">IF(01_INPUTS!S17,_ENGINE_FINANCIERO!S87,"")</f>
        <v/>
      </c>
    </row>
    <row r="73" customFormat="false" ht="15" hidden="true" customHeight="false" outlineLevel="1" collapsed="false">
      <c r="A73" s="6" t="s">
        <v>270</v>
      </c>
      <c r="B73" s="43" t="s">
        <v>81</v>
      </c>
      <c r="G73" s="44" t="n">
        <f aca="false">_ENGINE_FINANCIERO!G134</f>
        <v>0</v>
      </c>
      <c r="H73" s="44" t="n">
        <f aca="false">_ENGINE_FINANCIERO!H134</f>
        <v>0</v>
      </c>
      <c r="I73" s="44" t="n">
        <f aca="false">IF(01_INPUTS!I17,_ENGINE_FINANCIERO!I134,"")</f>
        <v>0</v>
      </c>
      <c r="J73" s="44" t="str">
        <f aca="false">IF(01_INPUTS!J17,_ENGINE_FINANCIERO!J134,"")</f>
        <v/>
      </c>
      <c r="K73" s="44" t="str">
        <f aca="false">IF(01_INPUTS!K17,_ENGINE_FINANCIERO!K134,"")</f>
        <v/>
      </c>
      <c r="L73" s="44" t="str">
        <f aca="false">IF(01_INPUTS!L17,_ENGINE_FINANCIERO!L134,"")</f>
        <v/>
      </c>
      <c r="M73" s="44" t="str">
        <f aca="false">IF(01_INPUTS!M17,_ENGINE_FINANCIERO!M134,"")</f>
        <v/>
      </c>
      <c r="N73" s="44" t="str">
        <f aca="false">IF(01_INPUTS!N17,_ENGINE_FINANCIERO!N134,"")</f>
        <v/>
      </c>
      <c r="O73" s="44" t="str">
        <f aca="false">IF(01_INPUTS!O17,_ENGINE_FINANCIERO!O134,"")</f>
        <v/>
      </c>
      <c r="P73" s="44" t="str">
        <f aca="false">IF(01_INPUTS!P17,_ENGINE_FINANCIERO!P134,"")</f>
        <v/>
      </c>
      <c r="Q73" s="44" t="str">
        <f aca="false">IF(01_INPUTS!Q17,_ENGINE_FINANCIERO!Q134,"")</f>
        <v/>
      </c>
      <c r="R73" s="44" t="str">
        <f aca="false">IF(01_INPUTS!R17,_ENGINE_FINANCIERO!R134,"")</f>
        <v/>
      </c>
      <c r="S73" s="44" t="str">
        <f aca="false">IF(01_INPUTS!S17,_ENGINE_FINANCIERO!S134,"")</f>
        <v/>
      </c>
    </row>
    <row r="74" customFormat="false" ht="15" hidden="false" customHeight="false" outlineLevel="0" collapsed="false">
      <c r="A74" s="14" t="s">
        <v>288</v>
      </c>
      <c r="B74" s="12" t="s">
        <v>81</v>
      </c>
      <c r="G74" s="45" t="n">
        <f aca="false">CHOOSE(MATCH($B$2,$U$1:$U$5,0),_ENGINE_FINANCIERO!G184,_ENGINE_FINANCIERO!G42,_ENGINE_FINANCIERO!G89,_ENGINE_FINANCIERO!G136,_ENGINE_FINANCIERO!G184)</f>
        <v>1262287763.91047</v>
      </c>
      <c r="H74" s="45" t="n">
        <f aca="false">CHOOSE(MATCH($B$2,$U$1:$U$5,0),_ENGINE_FINANCIERO!H184,_ENGINE_FINANCIERO!H42,_ENGINE_FINANCIERO!H89,_ENGINE_FINANCIERO!H136,_ENGINE_FINANCIERO!H184)</f>
        <v>1431790904.2514</v>
      </c>
      <c r="I74" s="45" t="n">
        <f aca="false">IF(01_INPUTS!I17,CHOOSE(MATCH($B$2,$U$1:$U$5,0),_ENGINE_FINANCIERO!I184,_ENGINE_FINANCIERO!I42,_ENGINE_FINANCIERO!I89,_ENGINE_FINANCIERO!I136,_ENGINE_FINANCIERO!I184),"")</f>
        <v>2140731942.1085</v>
      </c>
      <c r="J74" s="45" t="str">
        <f aca="false">IF(01_INPUTS!J17,CHOOSE(MATCH($B$2,$U$1:$U$5,0),_ENGINE_FINANCIERO!J184,_ENGINE_FINANCIERO!J42,_ENGINE_FINANCIERO!J89,_ENGINE_FINANCIERO!J136,_ENGINE_FINANCIERO!J184),"")</f>
        <v/>
      </c>
      <c r="K74" s="45" t="str">
        <f aca="false">IF(01_INPUTS!K17,CHOOSE(MATCH($B$2,$U$1:$U$5,0),_ENGINE_FINANCIERO!K184,_ENGINE_FINANCIERO!K42,_ENGINE_FINANCIERO!K89,_ENGINE_FINANCIERO!K136,_ENGINE_FINANCIERO!K184),"")</f>
        <v/>
      </c>
      <c r="L74" s="45" t="str">
        <f aca="false">IF(01_INPUTS!L17,CHOOSE(MATCH($B$2,$U$1:$U$5,0),_ENGINE_FINANCIERO!L184,_ENGINE_FINANCIERO!L42,_ENGINE_FINANCIERO!L89,_ENGINE_FINANCIERO!L136,_ENGINE_FINANCIERO!L184),"")</f>
        <v/>
      </c>
      <c r="M74" s="45" t="str">
        <f aca="false">IF(01_INPUTS!M17,CHOOSE(MATCH($B$2,$U$1:$U$5,0),_ENGINE_FINANCIERO!M184,_ENGINE_FINANCIERO!M42,_ENGINE_FINANCIERO!M89,_ENGINE_FINANCIERO!M136,_ENGINE_FINANCIERO!M184),"")</f>
        <v/>
      </c>
      <c r="N74" s="45" t="str">
        <f aca="false">IF(01_INPUTS!N17,CHOOSE(MATCH($B$2,$U$1:$U$5,0),_ENGINE_FINANCIERO!N184,_ENGINE_FINANCIERO!N42,_ENGINE_FINANCIERO!N89,_ENGINE_FINANCIERO!N136,_ENGINE_FINANCIERO!N184),"")</f>
        <v/>
      </c>
      <c r="O74" s="45" t="str">
        <f aca="false">IF(01_INPUTS!O17,CHOOSE(MATCH($B$2,$U$1:$U$5,0),_ENGINE_FINANCIERO!O184,_ENGINE_FINANCIERO!O42,_ENGINE_FINANCIERO!O89,_ENGINE_FINANCIERO!O136,_ENGINE_FINANCIERO!O184),"")</f>
        <v/>
      </c>
      <c r="P74" s="45" t="str">
        <f aca="false">IF(01_INPUTS!P17,CHOOSE(MATCH($B$2,$U$1:$U$5,0),_ENGINE_FINANCIERO!P184,_ENGINE_FINANCIERO!P42,_ENGINE_FINANCIERO!P89,_ENGINE_FINANCIERO!P136,_ENGINE_FINANCIERO!P184),"")</f>
        <v/>
      </c>
      <c r="Q74" s="45" t="str">
        <f aca="false">IF(01_INPUTS!Q17,CHOOSE(MATCH($B$2,$U$1:$U$5,0),_ENGINE_FINANCIERO!Q184,_ENGINE_FINANCIERO!Q42,_ENGINE_FINANCIERO!Q89,_ENGINE_FINANCIERO!Q136,_ENGINE_FINANCIERO!Q184),"")</f>
        <v/>
      </c>
      <c r="R74" s="45" t="str">
        <f aca="false">IF(01_INPUTS!R17,CHOOSE(MATCH($B$2,$U$1:$U$5,0),_ENGINE_FINANCIERO!R184,_ENGINE_FINANCIERO!R42,_ENGINE_FINANCIERO!R89,_ENGINE_FINANCIERO!R136,_ENGINE_FINANCIERO!R184),"")</f>
        <v/>
      </c>
      <c r="S74" s="45" t="str">
        <f aca="false">IF(01_INPUTS!S17,CHOOSE(MATCH($B$2,$U$1:$U$5,0),_ENGINE_FINANCIERO!S184,_ENGINE_FINANCIERO!S42,_ENGINE_FINANCIERO!S89,_ENGINE_FINANCIERO!S136,_ENGINE_FINANCIERO!S184),"")</f>
        <v/>
      </c>
    </row>
    <row r="75" customFormat="false" ht="15" hidden="true" customHeight="false" outlineLevel="1" collapsed="false">
      <c r="A75" s="6" t="s">
        <v>268</v>
      </c>
      <c r="B75" s="43" t="s">
        <v>81</v>
      </c>
      <c r="G75" s="44" t="n">
        <f aca="false">_ENGINE_FINANCIERO!G42</f>
        <v>730266895.139377</v>
      </c>
      <c r="H75" s="44" t="n">
        <f aca="false">_ENGINE_FINANCIERO!H42</f>
        <v>901228215.698617</v>
      </c>
      <c r="I75" s="44" t="n">
        <f aca="false">IF(01_INPUTS!I17,_ENGINE_FINANCIERO!I42,"")</f>
        <v>1064982316.409</v>
      </c>
      <c r="J75" s="44" t="str">
        <f aca="false">IF(01_INPUTS!J17,_ENGINE_FINANCIERO!J42,"")</f>
        <v/>
      </c>
      <c r="K75" s="44" t="str">
        <f aca="false">IF(01_INPUTS!K17,_ENGINE_FINANCIERO!K42,"")</f>
        <v/>
      </c>
      <c r="L75" s="44" t="str">
        <f aca="false">IF(01_INPUTS!L17,_ENGINE_FINANCIERO!L42,"")</f>
        <v/>
      </c>
      <c r="M75" s="44" t="str">
        <f aca="false">IF(01_INPUTS!M17,_ENGINE_FINANCIERO!M42,"")</f>
        <v/>
      </c>
      <c r="N75" s="44" t="str">
        <f aca="false">IF(01_INPUTS!N17,_ENGINE_FINANCIERO!N42,"")</f>
        <v/>
      </c>
      <c r="O75" s="44" t="str">
        <f aca="false">IF(01_INPUTS!O17,_ENGINE_FINANCIERO!O42,"")</f>
        <v/>
      </c>
      <c r="P75" s="44" t="str">
        <f aca="false">IF(01_INPUTS!P17,_ENGINE_FINANCIERO!P42,"")</f>
        <v/>
      </c>
      <c r="Q75" s="44" t="str">
        <f aca="false">IF(01_INPUTS!Q17,_ENGINE_FINANCIERO!Q42,"")</f>
        <v/>
      </c>
      <c r="R75" s="44" t="str">
        <f aca="false">IF(01_INPUTS!R17,_ENGINE_FINANCIERO!R42,"")</f>
        <v/>
      </c>
      <c r="S75" s="44" t="str">
        <f aca="false">IF(01_INPUTS!S17,_ENGINE_FINANCIERO!S42,"")</f>
        <v/>
      </c>
    </row>
    <row r="76" customFormat="false" ht="15" hidden="true" customHeight="false" outlineLevel="1" collapsed="false">
      <c r="A76" s="6" t="s">
        <v>269</v>
      </c>
      <c r="B76" s="43" t="s">
        <v>81</v>
      </c>
      <c r="G76" s="44" t="n">
        <f aca="false">_ENGINE_FINANCIERO!G89</f>
        <v>426015541.673935</v>
      </c>
      <c r="H76" s="44" t="n">
        <f aca="false">_ENGINE_FINANCIERO!H89</f>
        <v>437426873.264112</v>
      </c>
      <c r="I76" s="44" t="n">
        <f aca="false">IF(01_INPUTS!I17,_ENGINE_FINANCIERO!I89,"")</f>
        <v>921884126.983833</v>
      </c>
      <c r="J76" s="44" t="str">
        <f aca="false">IF(01_INPUTS!J17,_ENGINE_FINANCIERO!J89,"")</f>
        <v/>
      </c>
      <c r="K76" s="44" t="str">
        <f aca="false">IF(01_INPUTS!K17,_ENGINE_FINANCIERO!K89,"")</f>
        <v/>
      </c>
      <c r="L76" s="44" t="str">
        <f aca="false">IF(01_INPUTS!L17,_ENGINE_FINANCIERO!L89,"")</f>
        <v/>
      </c>
      <c r="M76" s="44" t="str">
        <f aca="false">IF(01_INPUTS!M17,_ENGINE_FINANCIERO!M89,"")</f>
        <v/>
      </c>
      <c r="N76" s="44" t="str">
        <f aca="false">IF(01_INPUTS!N17,_ENGINE_FINANCIERO!N89,"")</f>
        <v/>
      </c>
      <c r="O76" s="44" t="str">
        <f aca="false">IF(01_INPUTS!O17,_ENGINE_FINANCIERO!O89,"")</f>
        <v/>
      </c>
      <c r="P76" s="44" t="str">
        <f aca="false">IF(01_INPUTS!P17,_ENGINE_FINANCIERO!P89,"")</f>
        <v/>
      </c>
      <c r="Q76" s="44" t="str">
        <f aca="false">IF(01_INPUTS!Q17,_ENGINE_FINANCIERO!Q89,"")</f>
        <v/>
      </c>
      <c r="R76" s="44" t="str">
        <f aca="false">IF(01_INPUTS!R17,_ENGINE_FINANCIERO!R89,"")</f>
        <v/>
      </c>
      <c r="S76" s="44" t="str">
        <f aca="false">IF(01_INPUTS!S17,_ENGINE_FINANCIERO!S89,"")</f>
        <v/>
      </c>
    </row>
    <row r="77" customFormat="false" ht="15" hidden="true" customHeight="false" outlineLevel="1" collapsed="false">
      <c r="A77" s="6" t="s">
        <v>270</v>
      </c>
      <c r="B77" s="43" t="s">
        <v>81</v>
      </c>
      <c r="G77" s="44" t="n">
        <f aca="false">_ENGINE_FINANCIERO!G136</f>
        <v>106005327.097154</v>
      </c>
      <c r="H77" s="44" t="n">
        <f aca="false">_ENGINE_FINANCIERO!H136</f>
        <v>93135815.2886739</v>
      </c>
      <c r="I77" s="44" t="n">
        <f aca="false">IF(01_INPUTS!I17,_ENGINE_FINANCIERO!I136,"")</f>
        <v>153865498.715669</v>
      </c>
      <c r="J77" s="44" t="str">
        <f aca="false">IF(01_INPUTS!J17,_ENGINE_FINANCIERO!J136,"")</f>
        <v/>
      </c>
      <c r="K77" s="44" t="str">
        <f aca="false">IF(01_INPUTS!K17,_ENGINE_FINANCIERO!K136,"")</f>
        <v/>
      </c>
      <c r="L77" s="44" t="str">
        <f aca="false">IF(01_INPUTS!L17,_ENGINE_FINANCIERO!L136,"")</f>
        <v/>
      </c>
      <c r="M77" s="44" t="str">
        <f aca="false">IF(01_INPUTS!M17,_ENGINE_FINANCIERO!M136,"")</f>
        <v/>
      </c>
      <c r="N77" s="44" t="str">
        <f aca="false">IF(01_INPUTS!N17,_ENGINE_FINANCIERO!N136,"")</f>
        <v/>
      </c>
      <c r="O77" s="44" t="str">
        <f aca="false">IF(01_INPUTS!O17,_ENGINE_FINANCIERO!O136,"")</f>
        <v/>
      </c>
      <c r="P77" s="44" t="str">
        <f aca="false">IF(01_INPUTS!P17,_ENGINE_FINANCIERO!P136,"")</f>
        <v/>
      </c>
      <c r="Q77" s="44" t="str">
        <f aca="false">IF(01_INPUTS!Q17,_ENGINE_FINANCIERO!Q136,"")</f>
        <v/>
      </c>
      <c r="R77" s="44" t="str">
        <f aca="false">IF(01_INPUTS!R17,_ENGINE_FINANCIERO!R136,"")</f>
        <v/>
      </c>
      <c r="S77" s="44" t="str">
        <f aca="false">IF(01_INPUTS!S17,_ENGINE_FINANCIERO!S136,"")</f>
        <v/>
      </c>
    </row>
    <row r="78" customFormat="false" ht="15" hidden="false" customHeight="false" outlineLevel="0" collapsed="false">
      <c r="A78" s="8" t="s">
        <v>289</v>
      </c>
      <c r="B78" s="12" t="s">
        <v>81</v>
      </c>
      <c r="G78" s="42" t="n">
        <f aca="false">CHOOSE(MATCH($B$2,$U$1:$U$5,0),_ENGINE_FINANCIERO!G185,_ENGINE_FINANCIERO!G43,_ENGINE_FINANCIERO!G90,_ENGINE_FINANCIERO!G137,_ENGINE_FINANCIERO!G185)</f>
        <v>13162287763.9105</v>
      </c>
      <c r="H78" s="42" t="n">
        <f aca="false">CHOOSE(MATCH($B$2,$U$1:$U$5,0),_ENGINE_FINANCIERO!H185,_ENGINE_FINANCIERO!H43,_ENGINE_FINANCIERO!H90,_ENGINE_FINANCIERO!H137,_ENGINE_FINANCIERO!H185)</f>
        <v>13331790904.2514</v>
      </c>
      <c r="I78" s="42" t="n">
        <f aca="false">IF(01_INPUTS!I17,CHOOSE(MATCH($B$2,$U$1:$U$5,0),_ENGINE_FINANCIERO!I185,_ENGINE_FINANCIERO!I43,_ENGINE_FINANCIERO!I90,_ENGINE_FINANCIERO!I137,_ENGINE_FINANCIERO!I185),"")</f>
        <v>14040731942.1085</v>
      </c>
      <c r="J78" s="42" t="str">
        <f aca="false">IF(01_INPUTS!J17,CHOOSE(MATCH($B$2,$U$1:$U$5,0),_ENGINE_FINANCIERO!J185,_ENGINE_FINANCIERO!J43,_ENGINE_FINANCIERO!J90,_ENGINE_FINANCIERO!J137,_ENGINE_FINANCIERO!J185),"")</f>
        <v/>
      </c>
      <c r="K78" s="42" t="str">
        <f aca="false">IF(01_INPUTS!K17,CHOOSE(MATCH($B$2,$U$1:$U$5,0),_ENGINE_FINANCIERO!K185,_ENGINE_FINANCIERO!K43,_ENGINE_FINANCIERO!K90,_ENGINE_FINANCIERO!K137,_ENGINE_FINANCIERO!K185),"")</f>
        <v/>
      </c>
      <c r="L78" s="42" t="str">
        <f aca="false">IF(01_INPUTS!L17,CHOOSE(MATCH($B$2,$U$1:$U$5,0),_ENGINE_FINANCIERO!L185,_ENGINE_FINANCIERO!L43,_ENGINE_FINANCIERO!L90,_ENGINE_FINANCIERO!L137,_ENGINE_FINANCIERO!L185),"")</f>
        <v/>
      </c>
      <c r="M78" s="42" t="str">
        <f aca="false">IF(01_INPUTS!M17,CHOOSE(MATCH($B$2,$U$1:$U$5,0),_ENGINE_FINANCIERO!M185,_ENGINE_FINANCIERO!M43,_ENGINE_FINANCIERO!M90,_ENGINE_FINANCIERO!M137,_ENGINE_FINANCIERO!M185),"")</f>
        <v/>
      </c>
      <c r="N78" s="42" t="str">
        <f aca="false">IF(01_INPUTS!N17,CHOOSE(MATCH($B$2,$U$1:$U$5,0),_ENGINE_FINANCIERO!N185,_ENGINE_FINANCIERO!N43,_ENGINE_FINANCIERO!N90,_ENGINE_FINANCIERO!N137,_ENGINE_FINANCIERO!N185),"")</f>
        <v/>
      </c>
      <c r="O78" s="42" t="str">
        <f aca="false">IF(01_INPUTS!O17,CHOOSE(MATCH($B$2,$U$1:$U$5,0),_ENGINE_FINANCIERO!O185,_ENGINE_FINANCIERO!O43,_ENGINE_FINANCIERO!O90,_ENGINE_FINANCIERO!O137,_ENGINE_FINANCIERO!O185),"")</f>
        <v/>
      </c>
      <c r="P78" s="42" t="str">
        <f aca="false">IF(01_INPUTS!P17,CHOOSE(MATCH($B$2,$U$1:$U$5,0),_ENGINE_FINANCIERO!P185,_ENGINE_FINANCIERO!P43,_ENGINE_FINANCIERO!P90,_ENGINE_FINANCIERO!P137,_ENGINE_FINANCIERO!P185),"")</f>
        <v/>
      </c>
      <c r="Q78" s="42" t="str">
        <f aca="false">IF(01_INPUTS!Q17,CHOOSE(MATCH($B$2,$U$1:$U$5,0),_ENGINE_FINANCIERO!Q185,_ENGINE_FINANCIERO!Q43,_ENGINE_FINANCIERO!Q90,_ENGINE_FINANCIERO!Q137,_ENGINE_FINANCIERO!Q185),"")</f>
        <v/>
      </c>
      <c r="R78" s="42" t="str">
        <f aca="false">IF(01_INPUTS!R17,CHOOSE(MATCH($B$2,$U$1:$U$5,0),_ENGINE_FINANCIERO!R185,_ENGINE_FINANCIERO!R43,_ENGINE_FINANCIERO!R90,_ENGINE_FINANCIERO!R137,_ENGINE_FINANCIERO!R185),"")</f>
        <v/>
      </c>
      <c r="S78" s="42" t="str">
        <f aca="false">IF(01_INPUTS!S17,CHOOSE(MATCH($B$2,$U$1:$U$5,0),_ENGINE_FINANCIERO!S185,_ENGINE_FINANCIERO!S43,_ENGINE_FINANCIERO!S90,_ENGINE_FINANCIERO!S137,_ENGINE_FINANCIERO!S185),"")</f>
        <v/>
      </c>
    </row>
    <row r="79" customFormat="false" ht="15" hidden="true" customHeight="false" outlineLevel="1" collapsed="false">
      <c r="A79" s="6" t="s">
        <v>268</v>
      </c>
      <c r="B79" s="43" t="s">
        <v>81</v>
      </c>
      <c r="G79" s="44" t="n">
        <f aca="false">_ENGINE_FINANCIERO!G43</f>
        <v>13330266895.1394</v>
      </c>
      <c r="H79" s="44" t="n">
        <f aca="false">_ENGINE_FINANCIERO!H43</f>
        <v>10501228215.6986</v>
      </c>
      <c r="I79" s="44" t="n">
        <f aca="false">IF(01_INPUTS!I17,_ENGINE_FINANCIERO!I43,"")</f>
        <v>10664982316.409</v>
      </c>
      <c r="J79" s="44" t="str">
        <f aca="false">IF(01_INPUTS!J17,_ENGINE_FINANCIERO!J43,"")</f>
        <v/>
      </c>
      <c r="K79" s="44" t="str">
        <f aca="false">IF(01_INPUTS!K17,_ENGINE_FINANCIERO!K43,"")</f>
        <v/>
      </c>
      <c r="L79" s="44" t="str">
        <f aca="false">IF(01_INPUTS!L17,_ENGINE_FINANCIERO!L43,"")</f>
        <v/>
      </c>
      <c r="M79" s="44" t="str">
        <f aca="false">IF(01_INPUTS!M17,_ENGINE_FINANCIERO!M43,"")</f>
        <v/>
      </c>
      <c r="N79" s="44" t="str">
        <f aca="false">IF(01_INPUTS!N17,_ENGINE_FINANCIERO!N43,"")</f>
        <v/>
      </c>
      <c r="O79" s="44" t="str">
        <f aca="false">IF(01_INPUTS!O17,_ENGINE_FINANCIERO!O43,"")</f>
        <v/>
      </c>
      <c r="P79" s="44" t="str">
        <f aca="false">IF(01_INPUTS!P17,_ENGINE_FINANCIERO!P43,"")</f>
        <v/>
      </c>
      <c r="Q79" s="44" t="str">
        <f aca="false">IF(01_INPUTS!Q17,_ENGINE_FINANCIERO!Q43,"")</f>
        <v/>
      </c>
      <c r="R79" s="44" t="str">
        <f aca="false">IF(01_INPUTS!R17,_ENGINE_FINANCIERO!R43,"")</f>
        <v/>
      </c>
      <c r="S79" s="44" t="str">
        <f aca="false">IF(01_INPUTS!S17,_ENGINE_FINANCIERO!S43,"")</f>
        <v/>
      </c>
    </row>
    <row r="80" customFormat="false" ht="15" hidden="true" customHeight="false" outlineLevel="1" collapsed="false">
      <c r="A80" s="6" t="s">
        <v>269</v>
      </c>
      <c r="B80" s="43" t="s">
        <v>81</v>
      </c>
      <c r="G80" s="44" t="n">
        <f aca="false">_ENGINE_FINANCIERO!G90</f>
        <v>-173984458.326065</v>
      </c>
      <c r="H80" s="44" t="n">
        <f aca="false">_ENGINE_FINANCIERO!H90</f>
        <v>2837426873.26411</v>
      </c>
      <c r="I80" s="44" t="n">
        <f aca="false">IF(01_INPUTS!I17,_ENGINE_FINANCIERO!I90,"")</f>
        <v>3321884126.98383</v>
      </c>
      <c r="J80" s="44" t="str">
        <f aca="false">IF(01_INPUTS!J17,_ENGINE_FINANCIERO!J90,"")</f>
        <v/>
      </c>
      <c r="K80" s="44" t="str">
        <f aca="false">IF(01_INPUTS!K17,_ENGINE_FINANCIERO!K90,"")</f>
        <v/>
      </c>
      <c r="L80" s="44" t="str">
        <f aca="false">IF(01_INPUTS!L17,_ENGINE_FINANCIERO!L90,"")</f>
        <v/>
      </c>
      <c r="M80" s="44" t="str">
        <f aca="false">IF(01_INPUTS!M17,_ENGINE_FINANCIERO!M90,"")</f>
        <v/>
      </c>
      <c r="N80" s="44" t="str">
        <f aca="false">IF(01_INPUTS!N17,_ENGINE_FINANCIERO!N90,"")</f>
        <v/>
      </c>
      <c r="O80" s="44" t="str">
        <f aca="false">IF(01_INPUTS!O17,_ENGINE_FINANCIERO!O90,"")</f>
        <v/>
      </c>
      <c r="P80" s="44" t="str">
        <f aca="false">IF(01_INPUTS!P17,_ENGINE_FINANCIERO!P90,"")</f>
        <v/>
      </c>
      <c r="Q80" s="44" t="str">
        <f aca="false">IF(01_INPUTS!Q17,_ENGINE_FINANCIERO!Q90,"")</f>
        <v/>
      </c>
      <c r="R80" s="44" t="str">
        <f aca="false">IF(01_INPUTS!R17,_ENGINE_FINANCIERO!R90,"")</f>
        <v/>
      </c>
      <c r="S80" s="44" t="str">
        <f aca="false">IF(01_INPUTS!S17,_ENGINE_FINANCIERO!S90,"")</f>
        <v/>
      </c>
    </row>
    <row r="81" customFormat="false" ht="15" hidden="true" customHeight="false" outlineLevel="1" collapsed="false">
      <c r="A81" s="6" t="s">
        <v>270</v>
      </c>
      <c r="B81" s="43" t="s">
        <v>81</v>
      </c>
      <c r="G81" s="44" t="n">
        <f aca="false">_ENGINE_FINANCIERO!G137</f>
        <v>6005327.0971543</v>
      </c>
      <c r="H81" s="44" t="n">
        <f aca="false">_ENGINE_FINANCIERO!H137</f>
        <v>-6864184.71132615</v>
      </c>
      <c r="I81" s="44" t="n">
        <f aca="false">IF(01_INPUTS!I17,_ENGINE_FINANCIERO!I137,"")</f>
        <v>53865498.7156695</v>
      </c>
      <c r="J81" s="44" t="str">
        <f aca="false">IF(01_INPUTS!J17,_ENGINE_FINANCIERO!J137,"")</f>
        <v/>
      </c>
      <c r="K81" s="44" t="str">
        <f aca="false">IF(01_INPUTS!K17,_ENGINE_FINANCIERO!K137,"")</f>
        <v/>
      </c>
      <c r="L81" s="44" t="str">
        <f aca="false">IF(01_INPUTS!L17,_ENGINE_FINANCIERO!L137,"")</f>
        <v/>
      </c>
      <c r="M81" s="44" t="str">
        <f aca="false">IF(01_INPUTS!M17,_ENGINE_FINANCIERO!M137,"")</f>
        <v/>
      </c>
      <c r="N81" s="44" t="str">
        <f aca="false">IF(01_INPUTS!N17,_ENGINE_FINANCIERO!N137,"")</f>
        <v/>
      </c>
      <c r="O81" s="44" t="str">
        <f aca="false">IF(01_INPUTS!O17,_ENGINE_FINANCIERO!O137,"")</f>
        <v/>
      </c>
      <c r="P81" s="44" t="str">
        <f aca="false">IF(01_INPUTS!P17,_ENGINE_FINANCIERO!P137,"")</f>
        <v/>
      </c>
      <c r="Q81" s="44" t="str">
        <f aca="false">IF(01_INPUTS!Q17,_ENGINE_FINANCIERO!Q137,"")</f>
        <v/>
      </c>
      <c r="R81" s="44" t="str">
        <f aca="false">IF(01_INPUTS!R17,_ENGINE_FINANCIERO!R137,"")</f>
        <v/>
      </c>
      <c r="S81" s="44" t="str">
        <f aca="false">IF(01_INPUTS!S17,_ENGINE_FINANCIERO!S137,"")</f>
        <v/>
      </c>
    </row>
    <row r="82" customFormat="false" ht="15" hidden="false" customHeight="false" outlineLevel="0" collapsed="false">
      <c r="A82" s="14" t="s">
        <v>290</v>
      </c>
      <c r="B82" s="12" t="s">
        <v>81</v>
      </c>
      <c r="G82" s="45" t="n">
        <f aca="false">CHOOSE(MATCH($B$2,$U$1:$U$5,0),_ENGINE_FINANCIERO!G177,_ENGINE_FINANCIERO!G35,_ENGINE_FINANCIERO!G82,_ENGINE_FINANCIERO!G129,_ENGINE_FINANCIERO!G177)</f>
        <v>5500000000</v>
      </c>
      <c r="H82" s="45" t="n">
        <f aca="false">CHOOSE(MATCH($B$2,$U$1:$U$5,0),_ENGINE_FINANCIERO!H177,_ENGINE_FINANCIERO!H35,_ENGINE_FINANCIERO!H82,_ENGINE_FINANCIERO!H129,_ENGINE_FINANCIERO!H177)</f>
        <v>5500000000</v>
      </c>
      <c r="I82" s="45" t="n">
        <f aca="false">IF(01_INPUTS!I17,CHOOSE(MATCH($B$2,$U$1:$U$5,0),_ENGINE_FINANCIERO!I177,_ENGINE_FINANCIERO!I35,_ENGINE_FINANCIERO!I82,_ENGINE_FINANCIERO!I129,_ENGINE_FINANCIERO!I177),"")</f>
        <v>5500000000</v>
      </c>
      <c r="J82" s="45" t="str">
        <f aca="false">IF(01_INPUTS!J17,CHOOSE(MATCH($B$2,$U$1:$U$5,0),_ENGINE_FINANCIERO!J177,_ENGINE_FINANCIERO!J35,_ENGINE_FINANCIERO!J82,_ENGINE_FINANCIERO!J129,_ENGINE_FINANCIERO!J177),"")</f>
        <v/>
      </c>
      <c r="K82" s="45" t="str">
        <f aca="false">IF(01_INPUTS!K17,CHOOSE(MATCH($B$2,$U$1:$U$5,0),_ENGINE_FINANCIERO!K177,_ENGINE_FINANCIERO!K35,_ENGINE_FINANCIERO!K82,_ENGINE_FINANCIERO!K129,_ENGINE_FINANCIERO!K177),"")</f>
        <v/>
      </c>
      <c r="L82" s="45" t="str">
        <f aca="false">IF(01_INPUTS!L17,CHOOSE(MATCH($B$2,$U$1:$U$5,0),_ENGINE_FINANCIERO!L177,_ENGINE_FINANCIERO!L35,_ENGINE_FINANCIERO!L82,_ENGINE_FINANCIERO!L129,_ENGINE_FINANCIERO!L177),"")</f>
        <v/>
      </c>
      <c r="M82" s="45" t="str">
        <f aca="false">IF(01_INPUTS!M17,CHOOSE(MATCH($B$2,$U$1:$U$5,0),_ENGINE_FINANCIERO!M177,_ENGINE_FINANCIERO!M35,_ENGINE_FINANCIERO!M82,_ENGINE_FINANCIERO!M129,_ENGINE_FINANCIERO!M177),"")</f>
        <v/>
      </c>
      <c r="N82" s="45" t="str">
        <f aca="false">IF(01_INPUTS!N17,CHOOSE(MATCH($B$2,$U$1:$U$5,0),_ENGINE_FINANCIERO!N177,_ENGINE_FINANCIERO!N35,_ENGINE_FINANCIERO!N82,_ENGINE_FINANCIERO!N129,_ENGINE_FINANCIERO!N177),"")</f>
        <v/>
      </c>
      <c r="O82" s="45" t="str">
        <f aca="false">IF(01_INPUTS!O17,CHOOSE(MATCH($B$2,$U$1:$U$5,0),_ENGINE_FINANCIERO!O177,_ENGINE_FINANCIERO!O35,_ENGINE_FINANCIERO!O82,_ENGINE_FINANCIERO!O129,_ENGINE_FINANCIERO!O177),"")</f>
        <v/>
      </c>
      <c r="P82" s="45" t="str">
        <f aca="false">IF(01_INPUTS!P17,CHOOSE(MATCH($B$2,$U$1:$U$5,0),_ENGINE_FINANCIERO!P177,_ENGINE_FINANCIERO!P35,_ENGINE_FINANCIERO!P82,_ENGINE_FINANCIERO!P129,_ENGINE_FINANCIERO!P177),"")</f>
        <v/>
      </c>
      <c r="Q82" s="45" t="str">
        <f aca="false">IF(01_INPUTS!Q17,CHOOSE(MATCH($B$2,$U$1:$U$5,0),_ENGINE_FINANCIERO!Q177,_ENGINE_FINANCIERO!Q35,_ENGINE_FINANCIERO!Q82,_ENGINE_FINANCIERO!Q129,_ENGINE_FINANCIERO!Q177),"")</f>
        <v/>
      </c>
      <c r="R82" s="45" t="str">
        <f aca="false">IF(01_INPUTS!R17,CHOOSE(MATCH($B$2,$U$1:$U$5,0),_ENGINE_FINANCIERO!R177,_ENGINE_FINANCIERO!R35,_ENGINE_FINANCIERO!R82,_ENGINE_FINANCIERO!R129,_ENGINE_FINANCIERO!R177),"")</f>
        <v/>
      </c>
      <c r="S82" s="45" t="str">
        <f aca="false">IF(01_INPUTS!S17,CHOOSE(MATCH($B$2,$U$1:$U$5,0),_ENGINE_FINANCIERO!S177,_ENGINE_FINANCIERO!S35,_ENGINE_FINANCIERO!S82,_ENGINE_FINANCIERO!S129,_ENGINE_FINANCIERO!S177),"")</f>
        <v/>
      </c>
    </row>
    <row r="83" customFormat="false" ht="15" hidden="true" customHeight="false" outlineLevel="1" collapsed="false">
      <c r="A83" s="6" t="s">
        <v>268</v>
      </c>
      <c r="B83" s="43" t="s">
        <v>81</v>
      </c>
      <c r="G83" s="44" t="n">
        <f aca="false">_ENGINE_FINANCIERO!G35</f>
        <v>3250000000</v>
      </c>
      <c r="H83" s="44" t="n">
        <f aca="false">_ENGINE_FINANCIERO!H35</f>
        <v>3250000000</v>
      </c>
      <c r="I83" s="44" t="n">
        <f aca="false">IF(01_INPUTS!I17,_ENGINE_FINANCIERO!I35,"")</f>
        <v>3250000000</v>
      </c>
      <c r="J83" s="44" t="str">
        <f aca="false">IF(01_INPUTS!J17,_ENGINE_FINANCIERO!J35,"")</f>
        <v/>
      </c>
      <c r="K83" s="44" t="str">
        <f aca="false">IF(01_INPUTS!K17,_ENGINE_FINANCIERO!K35,"")</f>
        <v/>
      </c>
      <c r="L83" s="44" t="str">
        <f aca="false">IF(01_INPUTS!L17,_ENGINE_FINANCIERO!L35,"")</f>
        <v/>
      </c>
      <c r="M83" s="44" t="str">
        <f aca="false">IF(01_INPUTS!M17,_ENGINE_FINANCIERO!M35,"")</f>
        <v/>
      </c>
      <c r="N83" s="44" t="str">
        <f aca="false">IF(01_INPUTS!N17,_ENGINE_FINANCIERO!N35,"")</f>
        <v/>
      </c>
      <c r="O83" s="44" t="str">
        <f aca="false">IF(01_INPUTS!O17,_ENGINE_FINANCIERO!O35,"")</f>
        <v/>
      </c>
      <c r="P83" s="44" t="str">
        <f aca="false">IF(01_INPUTS!P17,_ENGINE_FINANCIERO!P35,"")</f>
        <v/>
      </c>
      <c r="Q83" s="44" t="str">
        <f aca="false">IF(01_INPUTS!Q17,_ENGINE_FINANCIERO!Q35,"")</f>
        <v/>
      </c>
      <c r="R83" s="44" t="str">
        <f aca="false">IF(01_INPUTS!R17,_ENGINE_FINANCIERO!R35,"")</f>
        <v/>
      </c>
      <c r="S83" s="44" t="str">
        <f aca="false">IF(01_INPUTS!S17,_ENGINE_FINANCIERO!S35,"")</f>
        <v/>
      </c>
    </row>
    <row r="84" customFormat="false" ht="15" hidden="true" customHeight="false" outlineLevel="1" collapsed="false">
      <c r="A84" s="6" t="s">
        <v>269</v>
      </c>
      <c r="B84" s="43" t="s">
        <v>81</v>
      </c>
      <c r="G84" s="44" t="n">
        <f aca="false">_ENGINE_FINANCIERO!G82</f>
        <v>1500000000</v>
      </c>
      <c r="H84" s="44" t="n">
        <f aca="false">_ENGINE_FINANCIERO!H82</f>
        <v>1500000000</v>
      </c>
      <c r="I84" s="44" t="n">
        <f aca="false">IF(01_INPUTS!I17,_ENGINE_FINANCIERO!I82,"")</f>
        <v>1500000000</v>
      </c>
      <c r="J84" s="44" t="str">
        <f aca="false">IF(01_INPUTS!J17,_ENGINE_FINANCIERO!J82,"")</f>
        <v/>
      </c>
      <c r="K84" s="44" t="str">
        <f aca="false">IF(01_INPUTS!K17,_ENGINE_FINANCIERO!K82,"")</f>
        <v/>
      </c>
      <c r="L84" s="44" t="str">
        <f aca="false">IF(01_INPUTS!L17,_ENGINE_FINANCIERO!L82,"")</f>
        <v/>
      </c>
      <c r="M84" s="44" t="str">
        <f aca="false">IF(01_INPUTS!M17,_ENGINE_FINANCIERO!M82,"")</f>
        <v/>
      </c>
      <c r="N84" s="44" t="str">
        <f aca="false">IF(01_INPUTS!N17,_ENGINE_FINANCIERO!N82,"")</f>
        <v/>
      </c>
      <c r="O84" s="44" t="str">
        <f aca="false">IF(01_INPUTS!O17,_ENGINE_FINANCIERO!O82,"")</f>
        <v/>
      </c>
      <c r="P84" s="44" t="str">
        <f aca="false">IF(01_INPUTS!P17,_ENGINE_FINANCIERO!P82,"")</f>
        <v/>
      </c>
      <c r="Q84" s="44" t="str">
        <f aca="false">IF(01_INPUTS!Q17,_ENGINE_FINANCIERO!Q82,"")</f>
        <v/>
      </c>
      <c r="R84" s="44" t="str">
        <f aca="false">IF(01_INPUTS!R17,_ENGINE_FINANCIERO!R82,"")</f>
        <v/>
      </c>
      <c r="S84" s="44" t="str">
        <f aca="false">IF(01_INPUTS!S17,_ENGINE_FINANCIERO!S82,"")</f>
        <v/>
      </c>
    </row>
    <row r="85" customFormat="false" ht="15" hidden="true" customHeight="false" outlineLevel="1" collapsed="false">
      <c r="A85" s="6" t="s">
        <v>270</v>
      </c>
      <c r="B85" s="43" t="s">
        <v>81</v>
      </c>
      <c r="G85" s="44" t="n">
        <f aca="false">_ENGINE_FINANCIERO!G129</f>
        <v>750000000</v>
      </c>
      <c r="H85" s="44" t="n">
        <f aca="false">_ENGINE_FINANCIERO!H129</f>
        <v>750000000</v>
      </c>
      <c r="I85" s="44" t="n">
        <f aca="false">IF(01_INPUTS!I17,_ENGINE_FINANCIERO!I129,"")</f>
        <v>750000000</v>
      </c>
      <c r="J85" s="44" t="str">
        <f aca="false">IF(01_INPUTS!J17,_ENGINE_FINANCIERO!J129,"")</f>
        <v/>
      </c>
      <c r="K85" s="44" t="str">
        <f aca="false">IF(01_INPUTS!K17,_ENGINE_FINANCIERO!K129,"")</f>
        <v/>
      </c>
      <c r="L85" s="44" t="str">
        <f aca="false">IF(01_INPUTS!L17,_ENGINE_FINANCIERO!L129,"")</f>
        <v/>
      </c>
      <c r="M85" s="44" t="str">
        <f aca="false">IF(01_INPUTS!M17,_ENGINE_FINANCIERO!M129,"")</f>
        <v/>
      </c>
      <c r="N85" s="44" t="str">
        <f aca="false">IF(01_INPUTS!N17,_ENGINE_FINANCIERO!N129,"")</f>
        <v/>
      </c>
      <c r="O85" s="44" t="str">
        <f aca="false">IF(01_INPUTS!O17,_ENGINE_FINANCIERO!O129,"")</f>
        <v/>
      </c>
      <c r="P85" s="44" t="str">
        <f aca="false">IF(01_INPUTS!P17,_ENGINE_FINANCIERO!P129,"")</f>
        <v/>
      </c>
      <c r="Q85" s="44" t="str">
        <f aca="false">IF(01_INPUTS!Q17,_ENGINE_FINANCIERO!Q129,"")</f>
        <v/>
      </c>
      <c r="R85" s="44" t="str">
        <f aca="false">IF(01_INPUTS!R17,_ENGINE_FINANCIERO!R129,"")</f>
        <v/>
      </c>
      <c r="S85" s="44" t="str">
        <f aca="false">IF(01_INPUTS!S17,_ENGINE_FINANCIERO!S129,"")</f>
        <v/>
      </c>
    </row>
    <row r="86" customFormat="false" ht="15" hidden="false" customHeight="false" outlineLevel="0" collapsed="false">
      <c r="A86" s="14" t="s">
        <v>291</v>
      </c>
      <c r="B86" s="12" t="s">
        <v>81</v>
      </c>
      <c r="G86" s="45" t="n">
        <f aca="false">CHOOSE(MATCH($B$2,$U$1:$U$5,0),_ENGINE_FINANCIERO!G179,_ENGINE_FINANCIERO!G36,_ENGINE_FINANCIERO!G83,_ENGINE_FINANCIERO!G130,_ENGINE_FINANCIERO!G179)</f>
        <v>0</v>
      </c>
      <c r="H86" s="45" t="n">
        <f aca="false">CHOOSE(MATCH($B$2,$U$1:$U$5,0),_ENGINE_FINANCIERO!H179,_ENGINE_FINANCIERO!H36,_ENGINE_FINANCIERO!H83,_ENGINE_FINANCIERO!H130,_ENGINE_FINANCIERO!H179)</f>
        <v>0</v>
      </c>
      <c r="I86" s="45" t="n">
        <f aca="false">IF(01_INPUTS!I17,CHOOSE(MATCH($B$2,$U$1:$U$5,0),_ENGINE_FINANCIERO!I179,_ENGINE_FINANCIERO!I36,_ENGINE_FINANCIERO!I83,_ENGINE_FINANCIERO!I130,_ENGINE_FINANCIERO!I179),"")</f>
        <v>0</v>
      </c>
      <c r="J86" s="45" t="str">
        <f aca="false">IF(01_INPUTS!J17,CHOOSE(MATCH($B$2,$U$1:$U$5,0),_ENGINE_FINANCIERO!J179,_ENGINE_FINANCIERO!J36,_ENGINE_FINANCIERO!J83,_ENGINE_FINANCIERO!J130,_ENGINE_FINANCIERO!J179),"")</f>
        <v/>
      </c>
      <c r="K86" s="45" t="str">
        <f aca="false">IF(01_INPUTS!K17,CHOOSE(MATCH($B$2,$U$1:$U$5,0),_ENGINE_FINANCIERO!K179,_ENGINE_FINANCIERO!K36,_ENGINE_FINANCIERO!K83,_ENGINE_FINANCIERO!K130,_ENGINE_FINANCIERO!K179),"")</f>
        <v/>
      </c>
      <c r="L86" s="45" t="str">
        <f aca="false">IF(01_INPUTS!L17,CHOOSE(MATCH($B$2,$U$1:$U$5,0),_ENGINE_FINANCIERO!L179,_ENGINE_FINANCIERO!L36,_ENGINE_FINANCIERO!L83,_ENGINE_FINANCIERO!L130,_ENGINE_FINANCIERO!L179),"")</f>
        <v/>
      </c>
      <c r="M86" s="45" t="str">
        <f aca="false">IF(01_INPUTS!M17,CHOOSE(MATCH($B$2,$U$1:$U$5,0),_ENGINE_FINANCIERO!M179,_ENGINE_FINANCIERO!M36,_ENGINE_FINANCIERO!M83,_ENGINE_FINANCIERO!M130,_ENGINE_FINANCIERO!M179),"")</f>
        <v/>
      </c>
      <c r="N86" s="45" t="str">
        <f aca="false">IF(01_INPUTS!N17,CHOOSE(MATCH($B$2,$U$1:$U$5,0),_ENGINE_FINANCIERO!N179,_ENGINE_FINANCIERO!N36,_ENGINE_FINANCIERO!N83,_ENGINE_FINANCIERO!N130,_ENGINE_FINANCIERO!N179),"")</f>
        <v/>
      </c>
      <c r="O86" s="45" t="str">
        <f aca="false">IF(01_INPUTS!O17,CHOOSE(MATCH($B$2,$U$1:$U$5,0),_ENGINE_FINANCIERO!O179,_ENGINE_FINANCIERO!O36,_ENGINE_FINANCIERO!O83,_ENGINE_FINANCIERO!O130,_ENGINE_FINANCIERO!O179),"")</f>
        <v/>
      </c>
      <c r="P86" s="45" t="str">
        <f aca="false">IF(01_INPUTS!P17,CHOOSE(MATCH($B$2,$U$1:$U$5,0),_ENGINE_FINANCIERO!P179,_ENGINE_FINANCIERO!P36,_ENGINE_FINANCIERO!P83,_ENGINE_FINANCIERO!P130,_ENGINE_FINANCIERO!P179),"")</f>
        <v/>
      </c>
      <c r="Q86" s="45" t="str">
        <f aca="false">IF(01_INPUTS!Q17,CHOOSE(MATCH($B$2,$U$1:$U$5,0),_ENGINE_FINANCIERO!Q179,_ENGINE_FINANCIERO!Q36,_ENGINE_FINANCIERO!Q83,_ENGINE_FINANCIERO!Q130,_ENGINE_FINANCIERO!Q179),"")</f>
        <v/>
      </c>
      <c r="R86" s="45" t="str">
        <f aca="false">IF(01_INPUTS!R17,CHOOSE(MATCH($B$2,$U$1:$U$5,0),_ENGINE_FINANCIERO!R179,_ENGINE_FINANCIERO!R36,_ENGINE_FINANCIERO!R83,_ENGINE_FINANCIERO!R130,_ENGINE_FINANCIERO!R179),"")</f>
        <v/>
      </c>
      <c r="S86" s="45" t="str">
        <f aca="false">IF(01_INPUTS!S17,CHOOSE(MATCH($B$2,$U$1:$U$5,0),_ENGINE_FINANCIERO!S179,_ENGINE_FINANCIERO!S36,_ENGINE_FINANCIERO!S83,_ENGINE_FINANCIERO!S130,_ENGINE_FINANCIERO!S179),"")</f>
        <v/>
      </c>
    </row>
    <row r="87" customFormat="false" ht="15" hidden="true" customHeight="false" outlineLevel="1" collapsed="false">
      <c r="A87" s="6" t="s">
        <v>268</v>
      </c>
      <c r="B87" s="43" t="s">
        <v>81</v>
      </c>
      <c r="G87" s="44" t="n">
        <f aca="false">_ENGINE_FINANCIERO!G36</f>
        <v>0</v>
      </c>
      <c r="H87" s="44" t="n">
        <f aca="false">_ENGINE_FINANCIERO!H36</f>
        <v>0</v>
      </c>
      <c r="I87" s="44" t="n">
        <f aca="false">IF(01_INPUTS!I17,_ENGINE_FINANCIERO!I36,"")</f>
        <v>0</v>
      </c>
      <c r="J87" s="44" t="str">
        <f aca="false">IF(01_INPUTS!J17,_ENGINE_FINANCIERO!J36,"")</f>
        <v/>
      </c>
      <c r="K87" s="44" t="str">
        <f aca="false">IF(01_INPUTS!K17,_ENGINE_FINANCIERO!K36,"")</f>
        <v/>
      </c>
      <c r="L87" s="44" t="str">
        <f aca="false">IF(01_INPUTS!L17,_ENGINE_FINANCIERO!L36,"")</f>
        <v/>
      </c>
      <c r="M87" s="44" t="str">
        <f aca="false">IF(01_INPUTS!M17,_ENGINE_FINANCIERO!M36,"")</f>
        <v/>
      </c>
      <c r="N87" s="44" t="str">
        <f aca="false">IF(01_INPUTS!N17,_ENGINE_FINANCIERO!N36,"")</f>
        <v/>
      </c>
      <c r="O87" s="44" t="str">
        <f aca="false">IF(01_INPUTS!O17,_ENGINE_FINANCIERO!O36,"")</f>
        <v/>
      </c>
      <c r="P87" s="44" t="str">
        <f aca="false">IF(01_INPUTS!P17,_ENGINE_FINANCIERO!P36,"")</f>
        <v/>
      </c>
      <c r="Q87" s="44" t="str">
        <f aca="false">IF(01_INPUTS!Q17,_ENGINE_FINANCIERO!Q36,"")</f>
        <v/>
      </c>
      <c r="R87" s="44" t="str">
        <f aca="false">IF(01_INPUTS!R17,_ENGINE_FINANCIERO!R36,"")</f>
        <v/>
      </c>
      <c r="S87" s="44" t="str">
        <f aca="false">IF(01_INPUTS!S17,_ENGINE_FINANCIERO!S36,"")</f>
        <v/>
      </c>
    </row>
    <row r="88" customFormat="false" ht="15" hidden="true" customHeight="false" outlineLevel="1" collapsed="false">
      <c r="A88" s="6" t="s">
        <v>269</v>
      </c>
      <c r="B88" s="43" t="s">
        <v>81</v>
      </c>
      <c r="G88" s="44" t="n">
        <f aca="false">_ENGINE_FINANCIERO!G83</f>
        <v>0</v>
      </c>
      <c r="H88" s="44" t="n">
        <f aca="false">_ENGINE_FINANCIERO!H83</f>
        <v>0</v>
      </c>
      <c r="I88" s="44" t="n">
        <f aca="false">IF(01_INPUTS!I17,_ENGINE_FINANCIERO!I83,"")</f>
        <v>0</v>
      </c>
      <c r="J88" s="44" t="str">
        <f aca="false">IF(01_INPUTS!J17,_ENGINE_FINANCIERO!J83,"")</f>
        <v/>
      </c>
      <c r="K88" s="44" t="str">
        <f aca="false">IF(01_INPUTS!K17,_ENGINE_FINANCIERO!K83,"")</f>
        <v/>
      </c>
      <c r="L88" s="44" t="str">
        <f aca="false">IF(01_INPUTS!L17,_ENGINE_FINANCIERO!L83,"")</f>
        <v/>
      </c>
      <c r="M88" s="44" t="str">
        <f aca="false">IF(01_INPUTS!M17,_ENGINE_FINANCIERO!M83,"")</f>
        <v/>
      </c>
      <c r="N88" s="44" t="str">
        <f aca="false">IF(01_INPUTS!N17,_ENGINE_FINANCIERO!N83,"")</f>
        <v/>
      </c>
      <c r="O88" s="44" t="str">
        <f aca="false">IF(01_INPUTS!O17,_ENGINE_FINANCIERO!O83,"")</f>
        <v/>
      </c>
      <c r="P88" s="44" t="str">
        <f aca="false">IF(01_INPUTS!P17,_ENGINE_FINANCIERO!P83,"")</f>
        <v/>
      </c>
      <c r="Q88" s="44" t="str">
        <f aca="false">IF(01_INPUTS!Q17,_ENGINE_FINANCIERO!Q83,"")</f>
        <v/>
      </c>
      <c r="R88" s="44" t="str">
        <f aca="false">IF(01_INPUTS!R17,_ENGINE_FINANCIERO!R83,"")</f>
        <v/>
      </c>
      <c r="S88" s="44" t="str">
        <f aca="false">IF(01_INPUTS!S17,_ENGINE_FINANCIERO!S83,"")</f>
        <v/>
      </c>
    </row>
    <row r="89" customFormat="false" ht="15" hidden="true" customHeight="false" outlineLevel="1" collapsed="false">
      <c r="A89" s="6" t="s">
        <v>270</v>
      </c>
      <c r="B89" s="43" t="s">
        <v>81</v>
      </c>
      <c r="G89" s="44" t="n">
        <f aca="false">_ENGINE_FINANCIERO!G130</f>
        <v>0</v>
      </c>
      <c r="H89" s="44" t="n">
        <f aca="false">_ENGINE_FINANCIERO!H130</f>
        <v>0</v>
      </c>
      <c r="I89" s="44" t="n">
        <f aca="false">IF(01_INPUTS!I17,_ENGINE_FINANCIERO!I130,"")</f>
        <v>0</v>
      </c>
      <c r="J89" s="44" t="str">
        <f aca="false">IF(01_INPUTS!J17,_ENGINE_FINANCIERO!J130,"")</f>
        <v/>
      </c>
      <c r="K89" s="44" t="str">
        <f aca="false">IF(01_INPUTS!K17,_ENGINE_FINANCIERO!K130,"")</f>
        <v/>
      </c>
      <c r="L89" s="44" t="str">
        <f aca="false">IF(01_INPUTS!L17,_ENGINE_FINANCIERO!L130,"")</f>
        <v/>
      </c>
      <c r="M89" s="44" t="str">
        <f aca="false">IF(01_INPUTS!M17,_ENGINE_FINANCIERO!M130,"")</f>
        <v/>
      </c>
      <c r="N89" s="44" t="str">
        <f aca="false">IF(01_INPUTS!N17,_ENGINE_FINANCIERO!N130,"")</f>
        <v/>
      </c>
      <c r="O89" s="44" t="str">
        <f aca="false">IF(01_INPUTS!O17,_ENGINE_FINANCIERO!O130,"")</f>
        <v/>
      </c>
      <c r="P89" s="44" t="str">
        <f aca="false">IF(01_INPUTS!P17,_ENGINE_FINANCIERO!P130,"")</f>
        <v/>
      </c>
      <c r="Q89" s="44" t="str">
        <f aca="false">IF(01_INPUTS!Q17,_ENGINE_FINANCIERO!Q130,"")</f>
        <v/>
      </c>
      <c r="R89" s="44" t="str">
        <f aca="false">IF(01_INPUTS!R17,_ENGINE_FINANCIERO!R130,"")</f>
        <v/>
      </c>
      <c r="S89" s="44" t="str">
        <f aca="false">IF(01_INPUTS!S17,_ENGINE_FINANCIERO!S130,"")</f>
        <v/>
      </c>
    </row>
    <row r="90" customFormat="false" ht="15" hidden="false" customHeight="false" outlineLevel="0" collapsed="false">
      <c r="A90" s="14" t="s">
        <v>292</v>
      </c>
      <c r="B90" s="12" t="s">
        <v>81</v>
      </c>
      <c r="G90" s="45" t="n">
        <f aca="false">CHOOSE(MATCH($B$2,$U$1:$U$5,0),_ENGINE_FINANCIERO!G180,_ENGINE_FINANCIERO!G37,_ENGINE_FINANCIERO!G84,_ENGINE_FINANCIERO!G131,_ENGINE_FINANCIERO!G180)</f>
        <v>4503561983.89483</v>
      </c>
      <c r="H90" s="45" t="n">
        <f aca="false">CHOOSE(MATCH($B$2,$U$1:$U$5,0),_ENGINE_FINANCIERO!H180,_ENGINE_FINANCIERO!H37,_ENGINE_FINANCIERO!H84,_ENGINE_FINANCIERO!H131,_ENGINE_FINANCIERO!H180)</f>
        <v>6112898458.17575</v>
      </c>
      <c r="I90" s="45" t="n">
        <f aca="false">IF(01_INPUTS!I17,CHOOSE(MATCH($B$2,$U$1:$U$5,0),_ENGINE_FINANCIERO!I180,_ENGINE_FINANCIERO!I37,_ENGINE_FINANCIERO!I84,_ENGINE_FINANCIERO!I131,_ENGINE_FINANCIERO!I180),"")</f>
        <v>16727964650.2413</v>
      </c>
      <c r="J90" s="45" t="str">
        <f aca="false">IF(01_INPUTS!J17,CHOOSE(MATCH($B$2,$U$1:$U$5,0),_ENGINE_FINANCIERO!J180,_ENGINE_FINANCIERO!J37,_ENGINE_FINANCIERO!J84,_ENGINE_FINANCIERO!J131,_ENGINE_FINANCIERO!J180),"")</f>
        <v/>
      </c>
      <c r="K90" s="45" t="str">
        <f aca="false">IF(01_INPUTS!K17,CHOOSE(MATCH($B$2,$U$1:$U$5,0),_ENGINE_FINANCIERO!K180,_ENGINE_FINANCIERO!K37,_ENGINE_FINANCIERO!K84,_ENGINE_FINANCIERO!K131,_ENGINE_FINANCIERO!K180),"")</f>
        <v/>
      </c>
      <c r="L90" s="45" t="str">
        <f aca="false">IF(01_INPUTS!L17,CHOOSE(MATCH($B$2,$U$1:$U$5,0),_ENGINE_FINANCIERO!L180,_ENGINE_FINANCIERO!L37,_ENGINE_FINANCIERO!L84,_ENGINE_FINANCIERO!L131,_ENGINE_FINANCIERO!L180),"")</f>
        <v/>
      </c>
      <c r="M90" s="45" t="str">
        <f aca="false">IF(01_INPUTS!M17,CHOOSE(MATCH($B$2,$U$1:$U$5,0),_ENGINE_FINANCIERO!M180,_ENGINE_FINANCIERO!M37,_ENGINE_FINANCIERO!M84,_ENGINE_FINANCIERO!M131,_ENGINE_FINANCIERO!M180),"")</f>
        <v/>
      </c>
      <c r="N90" s="45" t="str">
        <f aca="false">IF(01_INPUTS!N17,CHOOSE(MATCH($B$2,$U$1:$U$5,0),_ENGINE_FINANCIERO!N180,_ENGINE_FINANCIERO!N37,_ENGINE_FINANCIERO!N84,_ENGINE_FINANCIERO!N131,_ENGINE_FINANCIERO!N180),"")</f>
        <v/>
      </c>
      <c r="O90" s="45" t="str">
        <f aca="false">IF(01_INPUTS!O17,CHOOSE(MATCH($B$2,$U$1:$U$5,0),_ENGINE_FINANCIERO!O180,_ENGINE_FINANCIERO!O37,_ENGINE_FINANCIERO!O84,_ENGINE_FINANCIERO!O131,_ENGINE_FINANCIERO!O180),"")</f>
        <v/>
      </c>
      <c r="P90" s="45" t="str">
        <f aca="false">IF(01_INPUTS!P17,CHOOSE(MATCH($B$2,$U$1:$U$5,0),_ENGINE_FINANCIERO!P180,_ENGINE_FINANCIERO!P37,_ENGINE_FINANCIERO!P84,_ENGINE_FINANCIERO!P131,_ENGINE_FINANCIERO!P180),"")</f>
        <v/>
      </c>
      <c r="Q90" s="45" t="str">
        <f aca="false">IF(01_INPUTS!Q17,CHOOSE(MATCH($B$2,$U$1:$U$5,0),_ENGINE_FINANCIERO!Q180,_ENGINE_FINANCIERO!Q37,_ENGINE_FINANCIERO!Q84,_ENGINE_FINANCIERO!Q131,_ENGINE_FINANCIERO!Q180),"")</f>
        <v/>
      </c>
      <c r="R90" s="45" t="str">
        <f aca="false">IF(01_INPUTS!R17,CHOOSE(MATCH($B$2,$U$1:$U$5,0),_ENGINE_FINANCIERO!R180,_ENGINE_FINANCIERO!R37,_ENGINE_FINANCIERO!R84,_ENGINE_FINANCIERO!R131,_ENGINE_FINANCIERO!R180),"")</f>
        <v/>
      </c>
      <c r="S90" s="45" t="str">
        <f aca="false">IF(01_INPUTS!S17,CHOOSE(MATCH($B$2,$U$1:$U$5,0),_ENGINE_FINANCIERO!S180,_ENGINE_FINANCIERO!S37,_ENGINE_FINANCIERO!S84,_ENGINE_FINANCIERO!S131,_ENGINE_FINANCIERO!S180),"")</f>
        <v/>
      </c>
    </row>
    <row r="91" customFormat="false" ht="15" hidden="true" customHeight="false" outlineLevel="1" collapsed="false">
      <c r="A91" s="6" t="s">
        <v>268</v>
      </c>
      <c r="B91" s="43" t="s">
        <v>81</v>
      </c>
      <c r="G91" s="44" t="n">
        <f aca="false">_ENGINE_FINANCIERO!G37</f>
        <v>2255812740.19634</v>
      </c>
      <c r="H91" s="44" t="n">
        <f aca="false">_ENGINE_FINANCIERO!H37</f>
        <v>2425431990.18323</v>
      </c>
      <c r="I91" s="44" t="n">
        <f aca="false">IF(01_INPUTS!I17,_ENGINE_FINANCIERO!I37,"")</f>
        <v>1544842478.55817</v>
      </c>
      <c r="J91" s="44" t="str">
        <f aca="false">IF(01_INPUTS!J17,_ENGINE_FINANCIERO!J37,"")</f>
        <v/>
      </c>
      <c r="K91" s="44" t="str">
        <f aca="false">IF(01_INPUTS!K17,_ENGINE_FINANCIERO!K37,"")</f>
        <v/>
      </c>
      <c r="L91" s="44" t="str">
        <f aca="false">IF(01_INPUTS!L17,_ENGINE_FINANCIERO!L37,"")</f>
        <v/>
      </c>
      <c r="M91" s="44" t="str">
        <f aca="false">IF(01_INPUTS!M17,_ENGINE_FINANCIERO!M37,"")</f>
        <v/>
      </c>
      <c r="N91" s="44" t="str">
        <f aca="false">IF(01_INPUTS!N17,_ENGINE_FINANCIERO!N37,"")</f>
        <v/>
      </c>
      <c r="O91" s="44" t="str">
        <f aca="false">IF(01_INPUTS!O17,_ENGINE_FINANCIERO!O37,"")</f>
        <v/>
      </c>
      <c r="P91" s="44" t="str">
        <f aca="false">IF(01_INPUTS!P17,_ENGINE_FINANCIERO!P37,"")</f>
        <v/>
      </c>
      <c r="Q91" s="44" t="str">
        <f aca="false">IF(01_INPUTS!Q17,_ENGINE_FINANCIERO!Q37,"")</f>
        <v/>
      </c>
      <c r="R91" s="44" t="str">
        <f aca="false">IF(01_INPUTS!R17,_ENGINE_FINANCIERO!R37,"")</f>
        <v/>
      </c>
      <c r="S91" s="44" t="str">
        <f aca="false">IF(01_INPUTS!S17,_ENGINE_FINANCIERO!S37,"")</f>
        <v/>
      </c>
    </row>
    <row r="92" customFormat="false" ht="15" hidden="true" customHeight="false" outlineLevel="1" collapsed="false">
      <c r="A92" s="6" t="s">
        <v>269</v>
      </c>
      <c r="B92" s="43" t="s">
        <v>81</v>
      </c>
      <c r="G92" s="44" t="n">
        <f aca="false">_ENGINE_FINANCIERO!G84</f>
        <v>1168586736.04888</v>
      </c>
      <c r="H92" s="44" t="n">
        <f aca="false">_ENGINE_FINANCIERO!H84</f>
        <v>2198525061.04191</v>
      </c>
      <c r="I92" s="44" t="n">
        <f aca="false">IF(01_INPUTS!I17,_ENGINE_FINANCIERO!I84,"")</f>
        <v>4845302214.69719</v>
      </c>
      <c r="J92" s="44" t="str">
        <f aca="false">IF(01_INPUTS!J17,_ENGINE_FINANCIERO!J84,"")</f>
        <v/>
      </c>
      <c r="K92" s="44" t="str">
        <f aca="false">IF(01_INPUTS!K17,_ENGINE_FINANCIERO!K84,"")</f>
        <v/>
      </c>
      <c r="L92" s="44" t="str">
        <f aca="false">IF(01_INPUTS!L17,_ENGINE_FINANCIERO!L84,"")</f>
        <v/>
      </c>
      <c r="M92" s="44" t="str">
        <f aca="false">IF(01_INPUTS!M17,_ENGINE_FINANCIERO!M84,"")</f>
        <v/>
      </c>
      <c r="N92" s="44" t="str">
        <f aca="false">IF(01_INPUTS!N17,_ENGINE_FINANCIERO!N84,"")</f>
        <v/>
      </c>
      <c r="O92" s="44" t="str">
        <f aca="false">IF(01_INPUTS!O17,_ENGINE_FINANCIERO!O84,"")</f>
        <v/>
      </c>
      <c r="P92" s="44" t="str">
        <f aca="false">IF(01_INPUTS!P17,_ENGINE_FINANCIERO!P84,"")</f>
        <v/>
      </c>
      <c r="Q92" s="44" t="str">
        <f aca="false">IF(01_INPUTS!Q17,_ENGINE_FINANCIERO!Q84,"")</f>
        <v/>
      </c>
      <c r="R92" s="44" t="str">
        <f aca="false">IF(01_INPUTS!R17,_ENGINE_FINANCIERO!R84,"")</f>
        <v/>
      </c>
      <c r="S92" s="44" t="str">
        <f aca="false">IF(01_INPUTS!S17,_ENGINE_FINANCIERO!S84,"")</f>
        <v/>
      </c>
    </row>
    <row r="93" customFormat="false" ht="15" hidden="true" customHeight="false" outlineLevel="1" collapsed="false">
      <c r="A93" s="6" t="s">
        <v>270</v>
      </c>
      <c r="B93" s="43" t="s">
        <v>81</v>
      </c>
      <c r="G93" s="44" t="n">
        <f aca="false">_ENGINE_FINANCIERO!G131</f>
        <v>1079162507.64961</v>
      </c>
      <c r="H93" s="44" t="n">
        <f aca="false">_ENGINE_FINANCIERO!H131</f>
        <v>1488941406.95061</v>
      </c>
      <c r="I93" s="44" t="n">
        <f aca="false">IF(01_INPUTS!I17,_ENGINE_FINANCIERO!I131,"")</f>
        <v>10337819956.986</v>
      </c>
      <c r="J93" s="44" t="str">
        <f aca="false">IF(01_INPUTS!J17,_ENGINE_FINANCIERO!J131,"")</f>
        <v/>
      </c>
      <c r="K93" s="44" t="str">
        <f aca="false">IF(01_INPUTS!K17,_ENGINE_FINANCIERO!K131,"")</f>
        <v/>
      </c>
      <c r="L93" s="44" t="str">
        <f aca="false">IF(01_INPUTS!L17,_ENGINE_FINANCIERO!L131,"")</f>
        <v/>
      </c>
      <c r="M93" s="44" t="str">
        <f aca="false">IF(01_INPUTS!M17,_ENGINE_FINANCIERO!M131,"")</f>
        <v/>
      </c>
      <c r="N93" s="44" t="str">
        <f aca="false">IF(01_INPUTS!N17,_ENGINE_FINANCIERO!N131,"")</f>
        <v/>
      </c>
      <c r="O93" s="44" t="str">
        <f aca="false">IF(01_INPUTS!O17,_ENGINE_FINANCIERO!O131,"")</f>
        <v/>
      </c>
      <c r="P93" s="44" t="str">
        <f aca="false">IF(01_INPUTS!P17,_ENGINE_FINANCIERO!P131,"")</f>
        <v/>
      </c>
      <c r="Q93" s="44" t="str">
        <f aca="false">IF(01_INPUTS!Q17,_ENGINE_FINANCIERO!Q131,"")</f>
        <v/>
      </c>
      <c r="R93" s="44" t="str">
        <f aca="false">IF(01_INPUTS!R17,_ENGINE_FINANCIERO!R131,"")</f>
        <v/>
      </c>
      <c r="S93" s="44" t="str">
        <f aca="false">IF(01_INPUTS!S17,_ENGINE_FINANCIERO!S131,"")</f>
        <v/>
      </c>
    </row>
    <row r="94" customFormat="false" ht="15" hidden="false" customHeight="false" outlineLevel="0" collapsed="false">
      <c r="A94" s="8" t="s">
        <v>293</v>
      </c>
      <c r="B94" s="12" t="s">
        <v>81</v>
      </c>
      <c r="G94" s="42" t="n">
        <f aca="false">CHOOSE(MATCH($B$2,$U$1:$U$5,0),_ENGINE_FINANCIERO!G181,_ENGINE_FINANCIERO!G38,_ENGINE_FINANCIERO!G85,_ENGINE_FINANCIERO!G132,_ENGINE_FINANCIERO!G181)</f>
        <v>10003561983.8948</v>
      </c>
      <c r="H94" s="42" t="n">
        <f aca="false">CHOOSE(MATCH($B$2,$U$1:$U$5,0),_ENGINE_FINANCIERO!H181,_ENGINE_FINANCIERO!H38,_ENGINE_FINANCIERO!H85,_ENGINE_FINANCIERO!H132,_ENGINE_FINANCIERO!H181)</f>
        <v>11612898458.1758</v>
      </c>
      <c r="I94" s="42" t="n">
        <f aca="false">IF(01_INPUTS!I17,CHOOSE(MATCH($B$2,$U$1:$U$5,0),_ENGINE_FINANCIERO!I181,_ENGINE_FINANCIERO!I38,_ENGINE_FINANCIERO!I85,_ENGINE_FINANCIERO!I132,_ENGINE_FINANCIERO!I181),"")</f>
        <v>22227964650.2413</v>
      </c>
      <c r="J94" s="42" t="str">
        <f aca="false">IF(01_INPUTS!J17,CHOOSE(MATCH($B$2,$U$1:$U$5,0),_ENGINE_FINANCIERO!J181,_ENGINE_FINANCIERO!J38,_ENGINE_FINANCIERO!J85,_ENGINE_FINANCIERO!J132,_ENGINE_FINANCIERO!J181),"")</f>
        <v/>
      </c>
      <c r="K94" s="42" t="str">
        <f aca="false">IF(01_INPUTS!K17,CHOOSE(MATCH($B$2,$U$1:$U$5,0),_ENGINE_FINANCIERO!K181,_ENGINE_FINANCIERO!K38,_ENGINE_FINANCIERO!K85,_ENGINE_FINANCIERO!K132,_ENGINE_FINANCIERO!K181),"")</f>
        <v/>
      </c>
      <c r="L94" s="42" t="str">
        <f aca="false">IF(01_INPUTS!L17,CHOOSE(MATCH($B$2,$U$1:$U$5,0),_ENGINE_FINANCIERO!L181,_ENGINE_FINANCIERO!L38,_ENGINE_FINANCIERO!L85,_ENGINE_FINANCIERO!L132,_ENGINE_FINANCIERO!L181),"")</f>
        <v/>
      </c>
      <c r="M94" s="42" t="str">
        <f aca="false">IF(01_INPUTS!M17,CHOOSE(MATCH($B$2,$U$1:$U$5,0),_ENGINE_FINANCIERO!M181,_ENGINE_FINANCIERO!M38,_ENGINE_FINANCIERO!M85,_ENGINE_FINANCIERO!M132,_ENGINE_FINANCIERO!M181),"")</f>
        <v/>
      </c>
      <c r="N94" s="42" t="str">
        <f aca="false">IF(01_INPUTS!N17,CHOOSE(MATCH($B$2,$U$1:$U$5,0),_ENGINE_FINANCIERO!N181,_ENGINE_FINANCIERO!N38,_ENGINE_FINANCIERO!N85,_ENGINE_FINANCIERO!N132,_ENGINE_FINANCIERO!N181),"")</f>
        <v/>
      </c>
      <c r="O94" s="42" t="str">
        <f aca="false">IF(01_INPUTS!O17,CHOOSE(MATCH($B$2,$U$1:$U$5,0),_ENGINE_FINANCIERO!O181,_ENGINE_FINANCIERO!O38,_ENGINE_FINANCIERO!O85,_ENGINE_FINANCIERO!O132,_ENGINE_FINANCIERO!O181),"")</f>
        <v/>
      </c>
      <c r="P94" s="42" t="str">
        <f aca="false">IF(01_INPUTS!P17,CHOOSE(MATCH($B$2,$U$1:$U$5,0),_ENGINE_FINANCIERO!P181,_ENGINE_FINANCIERO!P38,_ENGINE_FINANCIERO!P85,_ENGINE_FINANCIERO!P132,_ENGINE_FINANCIERO!P181),"")</f>
        <v/>
      </c>
      <c r="Q94" s="42" t="str">
        <f aca="false">IF(01_INPUTS!Q17,CHOOSE(MATCH($B$2,$U$1:$U$5,0),_ENGINE_FINANCIERO!Q181,_ENGINE_FINANCIERO!Q38,_ENGINE_FINANCIERO!Q85,_ENGINE_FINANCIERO!Q132,_ENGINE_FINANCIERO!Q181),"")</f>
        <v/>
      </c>
      <c r="R94" s="42" t="str">
        <f aca="false">IF(01_INPUTS!R17,CHOOSE(MATCH($B$2,$U$1:$U$5,0),_ENGINE_FINANCIERO!R181,_ENGINE_FINANCIERO!R38,_ENGINE_FINANCIERO!R85,_ENGINE_FINANCIERO!R132,_ENGINE_FINANCIERO!R181),"")</f>
        <v/>
      </c>
      <c r="S94" s="42" t="str">
        <f aca="false">IF(01_INPUTS!S17,CHOOSE(MATCH($B$2,$U$1:$U$5,0),_ENGINE_FINANCIERO!S181,_ENGINE_FINANCIERO!S38,_ENGINE_FINANCIERO!S85,_ENGINE_FINANCIERO!S132,_ENGINE_FINANCIERO!S181),"")</f>
        <v/>
      </c>
    </row>
    <row r="95" customFormat="false" ht="15" hidden="true" customHeight="false" outlineLevel="1" collapsed="false">
      <c r="A95" s="6" t="s">
        <v>268</v>
      </c>
      <c r="B95" s="43" t="s">
        <v>81</v>
      </c>
      <c r="G95" s="44" t="n">
        <f aca="false">_ENGINE_FINANCIERO!G38</f>
        <v>5505812740.19634</v>
      </c>
      <c r="H95" s="44" t="n">
        <f aca="false">_ENGINE_FINANCIERO!H38</f>
        <v>5675431990.18323</v>
      </c>
      <c r="I95" s="44" t="n">
        <f aca="false">IF(01_INPUTS!I17,_ENGINE_FINANCIERO!I38,"")</f>
        <v>4794842478.55817</v>
      </c>
      <c r="J95" s="44" t="str">
        <f aca="false">IF(01_INPUTS!J17,_ENGINE_FINANCIERO!J38,"")</f>
        <v/>
      </c>
      <c r="K95" s="44" t="str">
        <f aca="false">IF(01_INPUTS!K17,_ENGINE_FINANCIERO!K38,"")</f>
        <v/>
      </c>
      <c r="L95" s="44" t="str">
        <f aca="false">IF(01_INPUTS!L17,_ENGINE_FINANCIERO!L38,"")</f>
        <v/>
      </c>
      <c r="M95" s="44" t="str">
        <f aca="false">IF(01_INPUTS!M17,_ENGINE_FINANCIERO!M38,"")</f>
        <v/>
      </c>
      <c r="N95" s="44" t="str">
        <f aca="false">IF(01_INPUTS!N17,_ENGINE_FINANCIERO!N38,"")</f>
        <v/>
      </c>
      <c r="O95" s="44" t="str">
        <f aca="false">IF(01_INPUTS!O17,_ENGINE_FINANCIERO!O38,"")</f>
        <v/>
      </c>
      <c r="P95" s="44" t="str">
        <f aca="false">IF(01_INPUTS!P17,_ENGINE_FINANCIERO!P38,"")</f>
        <v/>
      </c>
      <c r="Q95" s="44" t="str">
        <f aca="false">IF(01_INPUTS!Q17,_ENGINE_FINANCIERO!Q38,"")</f>
        <v/>
      </c>
      <c r="R95" s="44" t="str">
        <f aca="false">IF(01_INPUTS!R17,_ENGINE_FINANCIERO!R38,"")</f>
        <v/>
      </c>
      <c r="S95" s="44" t="str">
        <f aca="false">IF(01_INPUTS!S17,_ENGINE_FINANCIERO!S38,"")</f>
        <v/>
      </c>
    </row>
    <row r="96" customFormat="false" ht="15" hidden="true" customHeight="false" outlineLevel="1" collapsed="false">
      <c r="A96" s="6" t="s">
        <v>269</v>
      </c>
      <c r="B96" s="43" t="s">
        <v>81</v>
      </c>
      <c r="G96" s="44" t="n">
        <f aca="false">_ENGINE_FINANCIERO!G85</f>
        <v>2668586736.04888</v>
      </c>
      <c r="H96" s="44" t="n">
        <f aca="false">_ENGINE_FINANCIERO!H85</f>
        <v>3698525061.04191</v>
      </c>
      <c r="I96" s="44" t="n">
        <f aca="false">IF(01_INPUTS!I17,_ENGINE_FINANCIERO!I85,"")</f>
        <v>6345302214.69719</v>
      </c>
      <c r="J96" s="44" t="str">
        <f aca="false">IF(01_INPUTS!J17,_ENGINE_FINANCIERO!J85,"")</f>
        <v/>
      </c>
      <c r="K96" s="44" t="str">
        <f aca="false">IF(01_INPUTS!K17,_ENGINE_FINANCIERO!K85,"")</f>
        <v/>
      </c>
      <c r="L96" s="44" t="str">
        <f aca="false">IF(01_INPUTS!L17,_ENGINE_FINANCIERO!L85,"")</f>
        <v/>
      </c>
      <c r="M96" s="44" t="str">
        <f aca="false">IF(01_INPUTS!M17,_ENGINE_FINANCIERO!M85,"")</f>
        <v/>
      </c>
      <c r="N96" s="44" t="str">
        <f aca="false">IF(01_INPUTS!N17,_ENGINE_FINANCIERO!N85,"")</f>
        <v/>
      </c>
      <c r="O96" s="44" t="str">
        <f aca="false">IF(01_INPUTS!O17,_ENGINE_FINANCIERO!O85,"")</f>
        <v/>
      </c>
      <c r="P96" s="44" t="str">
        <f aca="false">IF(01_INPUTS!P17,_ENGINE_FINANCIERO!P85,"")</f>
        <v/>
      </c>
      <c r="Q96" s="44" t="str">
        <f aca="false">IF(01_INPUTS!Q17,_ENGINE_FINANCIERO!Q85,"")</f>
        <v/>
      </c>
      <c r="R96" s="44" t="str">
        <f aca="false">IF(01_INPUTS!R17,_ENGINE_FINANCIERO!R85,"")</f>
        <v/>
      </c>
      <c r="S96" s="44" t="str">
        <f aca="false">IF(01_INPUTS!S17,_ENGINE_FINANCIERO!S85,"")</f>
        <v/>
      </c>
    </row>
    <row r="97" customFormat="false" ht="15" hidden="true" customHeight="false" outlineLevel="1" collapsed="false">
      <c r="A97" s="6" t="s">
        <v>270</v>
      </c>
      <c r="B97" s="43" t="s">
        <v>81</v>
      </c>
      <c r="G97" s="44" t="n">
        <f aca="false">_ENGINE_FINANCIERO!G132</f>
        <v>1829162507.64961</v>
      </c>
      <c r="H97" s="44" t="n">
        <f aca="false">_ENGINE_FINANCIERO!H132</f>
        <v>2238941406.95061</v>
      </c>
      <c r="I97" s="44" t="n">
        <f aca="false">IF(01_INPUTS!I17,_ENGINE_FINANCIERO!I132,"")</f>
        <v>11087819956.986</v>
      </c>
      <c r="J97" s="44" t="str">
        <f aca="false">IF(01_INPUTS!J17,_ENGINE_FINANCIERO!J132,"")</f>
        <v/>
      </c>
      <c r="K97" s="44" t="str">
        <f aca="false">IF(01_INPUTS!K17,_ENGINE_FINANCIERO!K132,"")</f>
        <v/>
      </c>
      <c r="L97" s="44" t="str">
        <f aca="false">IF(01_INPUTS!L17,_ENGINE_FINANCIERO!L132,"")</f>
        <v/>
      </c>
      <c r="M97" s="44" t="str">
        <f aca="false">IF(01_INPUTS!M17,_ENGINE_FINANCIERO!M132,"")</f>
        <v/>
      </c>
      <c r="N97" s="44" t="str">
        <f aca="false">IF(01_INPUTS!N17,_ENGINE_FINANCIERO!N132,"")</f>
        <v/>
      </c>
      <c r="O97" s="44" t="str">
        <f aca="false">IF(01_INPUTS!O17,_ENGINE_FINANCIERO!O132,"")</f>
        <v/>
      </c>
      <c r="P97" s="44" t="str">
        <f aca="false">IF(01_INPUTS!P17,_ENGINE_FINANCIERO!P132,"")</f>
        <v/>
      </c>
      <c r="Q97" s="44" t="str">
        <f aca="false">IF(01_INPUTS!Q17,_ENGINE_FINANCIERO!Q132,"")</f>
        <v/>
      </c>
      <c r="R97" s="44" t="str">
        <f aca="false">IF(01_INPUTS!R17,_ENGINE_FINANCIERO!R132,"")</f>
        <v/>
      </c>
      <c r="S97" s="44" t="str">
        <f aca="false">IF(01_INPUTS!S17,_ENGINE_FINANCIERO!S132,"")</f>
        <v/>
      </c>
    </row>
    <row r="99" customFormat="false" ht="15" hidden="false" customHeight="false" outlineLevel="0" collapsed="false">
      <c r="A99" s="5" t="s">
        <v>294</v>
      </c>
      <c r="B99" s="5"/>
      <c r="C99" s="5"/>
      <c r="D99" s="5"/>
      <c r="E99" s="5"/>
      <c r="F99" s="5"/>
      <c r="G99" s="5"/>
      <c r="H99" s="5"/>
      <c r="I99" s="5"/>
      <c r="J99" s="5"/>
      <c r="K99" s="5"/>
      <c r="L99" s="5"/>
      <c r="M99" s="5"/>
      <c r="N99" s="5"/>
      <c r="O99" s="5"/>
      <c r="P99" s="5"/>
      <c r="Q99" s="5"/>
      <c r="R99" s="5"/>
      <c r="S99" s="5"/>
    </row>
    <row r="100" customFormat="false" ht="15" hidden="false" customHeight="false" outlineLevel="0" collapsed="false">
      <c r="A100" s="14" t="s">
        <v>295</v>
      </c>
      <c r="B100" s="12" t="s">
        <v>81</v>
      </c>
      <c r="G100" s="45" t="str">
        <f aca="false">CHOOSE(MATCH($B$2,$U$1:$U$5,0),_ENGINE_FINANCIERO!G190,_ENGINE_FINANCIERO!G45,_ENGINE_FINANCIERO!G92,_ENGINE_FINANCIERO!G139,_ENGINE_FINANCIERO!G190)</f>
        <v>n/a (Ronda 0)</v>
      </c>
      <c r="H100" s="45" t="n">
        <f aca="false">CHOOSE(MATCH($B$2,$U$1:$U$5,0),_ENGINE_FINANCIERO!H190,_ENGINE_FINANCIERO!H45,_ENGINE_FINANCIERO!H92,_ENGINE_FINANCIERO!H139,_ENGINE_FINANCIERO!H190)</f>
        <v>-3720730257.41969</v>
      </c>
      <c r="I100" s="45" t="n">
        <f aca="false">IF(01_INPUTS!I17,CHOOSE(MATCH($B$2,$U$1:$U$5,0),_ENGINE_FINANCIERO!I190,_ENGINE_FINANCIERO!I45,_ENGINE_FINANCIERO!I92,_ENGINE_FINANCIERO!I139,_ENGINE_FINANCIERO!I190),"")</f>
        <v>21562266304.5352</v>
      </c>
      <c r="J100" s="45" t="str">
        <f aca="false">IF(01_INPUTS!J17,CHOOSE(MATCH($B$2,$U$1:$U$5,0),_ENGINE_FINANCIERO!J190,_ENGINE_FINANCIERO!J45,_ENGINE_FINANCIERO!J92,_ENGINE_FINANCIERO!J139,_ENGINE_FINANCIERO!J190),"")</f>
        <v/>
      </c>
      <c r="K100" s="45" t="str">
        <f aca="false">IF(01_INPUTS!K17,CHOOSE(MATCH($B$2,$U$1:$U$5,0),_ENGINE_FINANCIERO!K190,_ENGINE_FINANCIERO!K45,_ENGINE_FINANCIERO!K92,_ENGINE_FINANCIERO!K139,_ENGINE_FINANCIERO!K190),"")</f>
        <v/>
      </c>
      <c r="L100" s="45" t="str">
        <f aca="false">IF(01_INPUTS!L17,CHOOSE(MATCH($B$2,$U$1:$U$5,0),_ENGINE_FINANCIERO!L190,_ENGINE_FINANCIERO!L45,_ENGINE_FINANCIERO!L92,_ENGINE_FINANCIERO!L139,_ENGINE_FINANCIERO!L190),"")</f>
        <v/>
      </c>
      <c r="M100" s="45" t="str">
        <f aca="false">IF(01_INPUTS!M17,CHOOSE(MATCH($B$2,$U$1:$U$5,0),_ENGINE_FINANCIERO!M190,_ENGINE_FINANCIERO!M45,_ENGINE_FINANCIERO!M92,_ENGINE_FINANCIERO!M139,_ENGINE_FINANCIERO!M190),"")</f>
        <v/>
      </c>
      <c r="N100" s="45" t="str">
        <f aca="false">IF(01_INPUTS!N17,CHOOSE(MATCH($B$2,$U$1:$U$5,0),_ENGINE_FINANCIERO!N190,_ENGINE_FINANCIERO!N45,_ENGINE_FINANCIERO!N92,_ENGINE_FINANCIERO!N139,_ENGINE_FINANCIERO!N190),"")</f>
        <v/>
      </c>
      <c r="O100" s="45" t="str">
        <f aca="false">IF(01_INPUTS!O17,CHOOSE(MATCH($B$2,$U$1:$U$5,0),_ENGINE_FINANCIERO!O190,_ENGINE_FINANCIERO!O45,_ENGINE_FINANCIERO!O92,_ENGINE_FINANCIERO!O139,_ENGINE_FINANCIERO!O190),"")</f>
        <v/>
      </c>
      <c r="P100" s="45" t="str">
        <f aca="false">IF(01_INPUTS!P17,CHOOSE(MATCH($B$2,$U$1:$U$5,0),_ENGINE_FINANCIERO!P190,_ENGINE_FINANCIERO!P45,_ENGINE_FINANCIERO!P92,_ENGINE_FINANCIERO!P139,_ENGINE_FINANCIERO!P190),"")</f>
        <v/>
      </c>
      <c r="Q100" s="45" t="str">
        <f aca="false">IF(01_INPUTS!Q17,CHOOSE(MATCH($B$2,$U$1:$U$5,0),_ENGINE_FINANCIERO!Q190,_ENGINE_FINANCIERO!Q45,_ENGINE_FINANCIERO!Q92,_ENGINE_FINANCIERO!Q139,_ENGINE_FINANCIERO!Q190),"")</f>
        <v/>
      </c>
      <c r="R100" s="45" t="str">
        <f aca="false">IF(01_INPUTS!R17,CHOOSE(MATCH($B$2,$U$1:$U$5,0),_ENGINE_FINANCIERO!R190,_ENGINE_FINANCIERO!R45,_ENGINE_FINANCIERO!R92,_ENGINE_FINANCIERO!R139,_ENGINE_FINANCIERO!R190),"")</f>
        <v/>
      </c>
      <c r="S100" s="45" t="str">
        <f aca="false">IF(01_INPUTS!S17,CHOOSE(MATCH($B$2,$U$1:$U$5,0),_ENGINE_FINANCIERO!S190,_ENGINE_FINANCIERO!S45,_ENGINE_FINANCIERO!S92,_ENGINE_FINANCIERO!S139,_ENGINE_FINANCIERO!S190),"")</f>
        <v/>
      </c>
    </row>
    <row r="101" customFormat="false" ht="15" hidden="true" customHeight="false" outlineLevel="1" collapsed="false">
      <c r="A101" s="6" t="s">
        <v>268</v>
      </c>
      <c r="B101" s="43" t="s">
        <v>81</v>
      </c>
      <c r="G101" s="44" t="str">
        <f aca="false">_ENGINE_FINANCIERO!G45</f>
        <v>n/a (Ronda 0)</v>
      </c>
      <c r="H101" s="44" t="n">
        <f aca="false">_ENGINE_FINANCIERO!H45</f>
        <v>-4168006335.0791</v>
      </c>
      <c r="I101" s="44" t="n">
        <f aca="false">IF(01_INPUTS!I17,_ENGINE_FINANCIERO!I45,"")</f>
        <v>8579509003.34195</v>
      </c>
      <c r="J101" s="44" t="str">
        <f aca="false">IF(01_INPUTS!J17,_ENGINE_FINANCIERO!J45,"")</f>
        <v/>
      </c>
      <c r="K101" s="44" t="str">
        <f aca="false">IF(01_INPUTS!K17,_ENGINE_FINANCIERO!K45,"")</f>
        <v/>
      </c>
      <c r="L101" s="44" t="str">
        <f aca="false">IF(01_INPUTS!L17,_ENGINE_FINANCIERO!L45,"")</f>
        <v/>
      </c>
      <c r="M101" s="44" t="str">
        <f aca="false">IF(01_INPUTS!M17,_ENGINE_FINANCIERO!M45,"")</f>
        <v/>
      </c>
      <c r="N101" s="44" t="str">
        <f aca="false">IF(01_INPUTS!N17,_ENGINE_FINANCIERO!N45,"")</f>
        <v/>
      </c>
      <c r="O101" s="44" t="str">
        <f aca="false">IF(01_INPUTS!O17,_ENGINE_FINANCIERO!O45,"")</f>
        <v/>
      </c>
      <c r="P101" s="44" t="str">
        <f aca="false">IF(01_INPUTS!P17,_ENGINE_FINANCIERO!P45,"")</f>
        <v/>
      </c>
      <c r="Q101" s="44" t="str">
        <f aca="false">IF(01_INPUTS!Q17,_ENGINE_FINANCIERO!Q45,"")</f>
        <v/>
      </c>
      <c r="R101" s="44" t="str">
        <f aca="false">IF(01_INPUTS!R17,_ENGINE_FINANCIERO!R45,"")</f>
        <v/>
      </c>
      <c r="S101" s="44" t="str">
        <f aca="false">IF(01_INPUTS!S17,_ENGINE_FINANCIERO!S45,"")</f>
        <v/>
      </c>
    </row>
    <row r="102" customFormat="false" ht="15" hidden="true" customHeight="false" outlineLevel="1" collapsed="false">
      <c r="A102" s="6" t="s">
        <v>269</v>
      </c>
      <c r="B102" s="43" t="s">
        <v>81</v>
      </c>
      <c r="G102" s="44" t="str">
        <f aca="false">_ENGINE_FINANCIERO!G92</f>
        <v>n/a (Ronda 0)</v>
      </c>
      <c r="H102" s="44" t="n">
        <f aca="false">_ENGINE_FINANCIERO!H92</f>
        <v>-562498405.014181</v>
      </c>
      <c r="I102" s="44" t="n">
        <f aca="false">IF(01_INPUTS!I17,_ENGINE_FINANCIERO!I92,"")</f>
        <v>4768913857.57887</v>
      </c>
      <c r="J102" s="44" t="str">
        <f aca="false">IF(01_INPUTS!J17,_ENGINE_FINANCIERO!J92,"")</f>
        <v/>
      </c>
      <c r="K102" s="44" t="str">
        <f aca="false">IF(01_INPUTS!K17,_ENGINE_FINANCIERO!K92,"")</f>
        <v/>
      </c>
      <c r="L102" s="44" t="str">
        <f aca="false">IF(01_INPUTS!L17,_ENGINE_FINANCIERO!L92,"")</f>
        <v/>
      </c>
      <c r="M102" s="44" t="str">
        <f aca="false">IF(01_INPUTS!M17,_ENGINE_FINANCIERO!M92,"")</f>
        <v/>
      </c>
      <c r="N102" s="44" t="str">
        <f aca="false">IF(01_INPUTS!N17,_ENGINE_FINANCIERO!N92,"")</f>
        <v/>
      </c>
      <c r="O102" s="44" t="str">
        <f aca="false">IF(01_INPUTS!O17,_ENGINE_FINANCIERO!O92,"")</f>
        <v/>
      </c>
      <c r="P102" s="44" t="str">
        <f aca="false">IF(01_INPUTS!P17,_ENGINE_FINANCIERO!P92,"")</f>
        <v/>
      </c>
      <c r="Q102" s="44" t="str">
        <f aca="false">IF(01_INPUTS!Q17,_ENGINE_FINANCIERO!Q92,"")</f>
        <v/>
      </c>
      <c r="R102" s="44" t="str">
        <f aca="false">IF(01_INPUTS!R17,_ENGINE_FINANCIERO!R92,"")</f>
        <v/>
      </c>
      <c r="S102" s="44" t="str">
        <f aca="false">IF(01_INPUTS!S17,_ENGINE_FINANCIERO!S92,"")</f>
        <v/>
      </c>
    </row>
    <row r="103" customFormat="false" ht="15" hidden="true" customHeight="false" outlineLevel="1" collapsed="false">
      <c r="A103" s="6" t="s">
        <v>270</v>
      </c>
      <c r="B103" s="43" t="s">
        <v>81</v>
      </c>
      <c r="G103" s="44" t="str">
        <f aca="false">_ENGINE_FINANCIERO!G139</f>
        <v>n/a (Ronda 0)</v>
      </c>
      <c r="H103" s="44" t="n">
        <f aca="false">_ENGINE_FINANCIERO!H139</f>
        <v>1009774482.67358</v>
      </c>
      <c r="I103" s="44" t="n">
        <f aca="false">IF(01_INPUTS!I17,_ENGINE_FINANCIERO!I139,"")</f>
        <v>8213843443.61437</v>
      </c>
      <c r="J103" s="44" t="str">
        <f aca="false">IF(01_INPUTS!J17,_ENGINE_FINANCIERO!J139,"")</f>
        <v/>
      </c>
      <c r="K103" s="44" t="str">
        <f aca="false">IF(01_INPUTS!K17,_ENGINE_FINANCIERO!K139,"")</f>
        <v/>
      </c>
      <c r="L103" s="44" t="str">
        <f aca="false">IF(01_INPUTS!L17,_ENGINE_FINANCIERO!L139,"")</f>
        <v/>
      </c>
      <c r="M103" s="44" t="str">
        <f aca="false">IF(01_INPUTS!M17,_ENGINE_FINANCIERO!M139,"")</f>
        <v/>
      </c>
      <c r="N103" s="44" t="str">
        <f aca="false">IF(01_INPUTS!N17,_ENGINE_FINANCIERO!N139,"")</f>
        <v/>
      </c>
      <c r="O103" s="44" t="str">
        <f aca="false">IF(01_INPUTS!O17,_ENGINE_FINANCIERO!O139,"")</f>
        <v/>
      </c>
      <c r="P103" s="44" t="str">
        <f aca="false">IF(01_INPUTS!P17,_ENGINE_FINANCIERO!P139,"")</f>
        <v/>
      </c>
      <c r="Q103" s="44" t="str">
        <f aca="false">IF(01_INPUTS!Q17,_ENGINE_FINANCIERO!Q139,"")</f>
        <v/>
      </c>
      <c r="R103" s="44" t="str">
        <f aca="false">IF(01_INPUTS!R17,_ENGINE_FINANCIERO!R139,"")</f>
        <v/>
      </c>
      <c r="S103" s="44" t="str">
        <f aca="false">IF(01_INPUTS!S17,_ENGINE_FINANCIERO!S139,"")</f>
        <v/>
      </c>
    </row>
    <row r="104" customFormat="false" ht="15" hidden="false" customHeight="false" outlineLevel="0" collapsed="false">
      <c r="A104" s="14" t="s">
        <v>296</v>
      </c>
      <c r="B104" s="12" t="s">
        <v>81</v>
      </c>
      <c r="G104" s="45" t="str">
        <f aca="false">CHOOSE(MATCH($B$2,$U$1:$U$5,0),_ENGINE_FINANCIERO!G191,_ENGINE_FINANCIERO!G46,_ENGINE_FINANCIERO!G93,_ENGINE_FINANCIERO!G140,_ENGINE_FINANCIERO!G191)</f>
        <v>n/a (Ronda 0)</v>
      </c>
      <c r="H104" s="45" t="n">
        <f aca="false">CHOOSE(MATCH($B$2,$U$1:$U$5,0),_ENGINE_FINANCIERO!H191,_ENGINE_FINANCIERO!H46,_ENGINE_FINANCIERO!H93,_ENGINE_FINANCIERO!H140,_ENGINE_FINANCIERO!H191)</f>
        <v>-18000000</v>
      </c>
      <c r="I104" s="45" t="n">
        <f aca="false">IF(01_INPUTS!I17,CHOOSE(MATCH($B$2,$U$1:$U$5,0),_ENGINE_FINANCIERO!I191,_ENGINE_FINANCIERO!I46,_ENGINE_FINANCIERO!I93,_ENGINE_FINANCIERO!I140,_ENGINE_FINANCIERO!I191),"")</f>
        <v>0</v>
      </c>
      <c r="J104" s="45" t="str">
        <f aca="false">IF(01_INPUTS!J17,CHOOSE(MATCH($B$2,$U$1:$U$5,0),_ENGINE_FINANCIERO!J191,_ENGINE_FINANCIERO!J46,_ENGINE_FINANCIERO!J93,_ENGINE_FINANCIERO!J140,_ENGINE_FINANCIERO!J191),"")</f>
        <v/>
      </c>
      <c r="K104" s="45" t="str">
        <f aca="false">IF(01_INPUTS!K17,CHOOSE(MATCH($B$2,$U$1:$U$5,0),_ENGINE_FINANCIERO!K191,_ENGINE_FINANCIERO!K46,_ENGINE_FINANCIERO!K93,_ENGINE_FINANCIERO!K140,_ENGINE_FINANCIERO!K191),"")</f>
        <v/>
      </c>
      <c r="L104" s="45" t="str">
        <f aca="false">IF(01_INPUTS!L17,CHOOSE(MATCH($B$2,$U$1:$U$5,0),_ENGINE_FINANCIERO!L191,_ENGINE_FINANCIERO!L46,_ENGINE_FINANCIERO!L93,_ENGINE_FINANCIERO!L140,_ENGINE_FINANCIERO!L191),"")</f>
        <v/>
      </c>
      <c r="M104" s="45" t="str">
        <f aca="false">IF(01_INPUTS!M17,CHOOSE(MATCH($B$2,$U$1:$U$5,0),_ENGINE_FINANCIERO!M191,_ENGINE_FINANCIERO!M46,_ENGINE_FINANCIERO!M93,_ENGINE_FINANCIERO!M140,_ENGINE_FINANCIERO!M191),"")</f>
        <v/>
      </c>
      <c r="N104" s="45" t="str">
        <f aca="false">IF(01_INPUTS!N17,CHOOSE(MATCH($B$2,$U$1:$U$5,0),_ENGINE_FINANCIERO!N191,_ENGINE_FINANCIERO!N46,_ENGINE_FINANCIERO!N93,_ENGINE_FINANCIERO!N140,_ENGINE_FINANCIERO!N191),"")</f>
        <v/>
      </c>
      <c r="O104" s="45" t="str">
        <f aca="false">IF(01_INPUTS!O17,CHOOSE(MATCH($B$2,$U$1:$U$5,0),_ENGINE_FINANCIERO!O191,_ENGINE_FINANCIERO!O46,_ENGINE_FINANCIERO!O93,_ENGINE_FINANCIERO!O140,_ENGINE_FINANCIERO!O191),"")</f>
        <v/>
      </c>
      <c r="P104" s="45" t="str">
        <f aca="false">IF(01_INPUTS!P17,CHOOSE(MATCH($B$2,$U$1:$U$5,0),_ENGINE_FINANCIERO!P191,_ENGINE_FINANCIERO!P46,_ENGINE_FINANCIERO!P93,_ENGINE_FINANCIERO!P140,_ENGINE_FINANCIERO!P191),"")</f>
        <v/>
      </c>
      <c r="Q104" s="45" t="str">
        <f aca="false">IF(01_INPUTS!Q17,CHOOSE(MATCH($B$2,$U$1:$U$5,0),_ENGINE_FINANCIERO!Q191,_ENGINE_FINANCIERO!Q46,_ENGINE_FINANCIERO!Q93,_ENGINE_FINANCIERO!Q140,_ENGINE_FINANCIERO!Q191),"")</f>
        <v/>
      </c>
      <c r="R104" s="45" t="str">
        <f aca="false">IF(01_INPUTS!R17,CHOOSE(MATCH($B$2,$U$1:$U$5,0),_ENGINE_FINANCIERO!R191,_ENGINE_FINANCIERO!R46,_ENGINE_FINANCIERO!R93,_ENGINE_FINANCIERO!R140,_ENGINE_FINANCIERO!R191),"")</f>
        <v/>
      </c>
      <c r="S104" s="45" t="str">
        <f aca="false">IF(01_INPUTS!S17,CHOOSE(MATCH($B$2,$U$1:$U$5,0),_ENGINE_FINANCIERO!S191,_ENGINE_FINANCIERO!S46,_ENGINE_FINANCIERO!S93,_ENGINE_FINANCIERO!S140,_ENGINE_FINANCIERO!S191),"")</f>
        <v/>
      </c>
    </row>
    <row r="105" customFormat="false" ht="15" hidden="true" customHeight="false" outlineLevel="1" collapsed="false">
      <c r="A105" s="6" t="s">
        <v>268</v>
      </c>
      <c r="B105" s="43" t="s">
        <v>81</v>
      </c>
      <c r="G105" s="44" t="str">
        <f aca="false">_ENGINE_FINANCIERO!G46</f>
        <v>n/a (Ronda 0)</v>
      </c>
      <c r="H105" s="44" t="n">
        <f aca="false">_ENGINE_FINANCIERO!H46</f>
        <v>-14000000</v>
      </c>
      <c r="I105" s="44" t="n">
        <f aca="false">IF(01_INPUTS!I17,_ENGINE_FINANCIERO!I46,"")</f>
        <v>0</v>
      </c>
      <c r="J105" s="44" t="str">
        <f aca="false">IF(01_INPUTS!J17,_ENGINE_FINANCIERO!J46,"")</f>
        <v/>
      </c>
      <c r="K105" s="44" t="str">
        <f aca="false">IF(01_INPUTS!K17,_ENGINE_FINANCIERO!K46,"")</f>
        <v/>
      </c>
      <c r="L105" s="44" t="str">
        <f aca="false">IF(01_INPUTS!L17,_ENGINE_FINANCIERO!L46,"")</f>
        <v/>
      </c>
      <c r="M105" s="44" t="str">
        <f aca="false">IF(01_INPUTS!M17,_ENGINE_FINANCIERO!M46,"")</f>
        <v/>
      </c>
      <c r="N105" s="44" t="str">
        <f aca="false">IF(01_INPUTS!N17,_ENGINE_FINANCIERO!N46,"")</f>
        <v/>
      </c>
      <c r="O105" s="44" t="str">
        <f aca="false">IF(01_INPUTS!O17,_ENGINE_FINANCIERO!O46,"")</f>
        <v/>
      </c>
      <c r="P105" s="44" t="str">
        <f aca="false">IF(01_INPUTS!P17,_ENGINE_FINANCIERO!P46,"")</f>
        <v/>
      </c>
      <c r="Q105" s="44" t="str">
        <f aca="false">IF(01_INPUTS!Q17,_ENGINE_FINANCIERO!Q46,"")</f>
        <v/>
      </c>
      <c r="R105" s="44" t="str">
        <f aca="false">IF(01_INPUTS!R17,_ENGINE_FINANCIERO!R46,"")</f>
        <v/>
      </c>
      <c r="S105" s="44" t="str">
        <f aca="false">IF(01_INPUTS!S17,_ENGINE_FINANCIERO!S46,"")</f>
        <v/>
      </c>
    </row>
    <row r="106" customFormat="false" ht="15" hidden="true" customHeight="false" outlineLevel="1" collapsed="false">
      <c r="A106" s="6" t="s">
        <v>269</v>
      </c>
      <c r="B106" s="43" t="s">
        <v>81</v>
      </c>
      <c r="G106" s="44" t="str">
        <f aca="false">_ENGINE_FINANCIERO!G93</f>
        <v>n/a (Ronda 0)</v>
      </c>
      <c r="H106" s="44" t="n">
        <f aca="false">_ENGINE_FINANCIERO!H93</f>
        <v>-4000000</v>
      </c>
      <c r="I106" s="44" t="n">
        <f aca="false">IF(01_INPUTS!I17,_ENGINE_FINANCIERO!I93,"")</f>
        <v>0</v>
      </c>
      <c r="J106" s="44" t="str">
        <f aca="false">IF(01_INPUTS!J17,_ENGINE_FINANCIERO!J93,"")</f>
        <v/>
      </c>
      <c r="K106" s="44" t="str">
        <f aca="false">IF(01_INPUTS!K17,_ENGINE_FINANCIERO!K93,"")</f>
        <v/>
      </c>
      <c r="L106" s="44" t="str">
        <f aca="false">IF(01_INPUTS!L17,_ENGINE_FINANCIERO!L93,"")</f>
        <v/>
      </c>
      <c r="M106" s="44" t="str">
        <f aca="false">IF(01_INPUTS!M17,_ENGINE_FINANCIERO!M93,"")</f>
        <v/>
      </c>
      <c r="N106" s="44" t="str">
        <f aca="false">IF(01_INPUTS!N17,_ENGINE_FINANCIERO!N93,"")</f>
        <v/>
      </c>
      <c r="O106" s="44" t="str">
        <f aca="false">IF(01_INPUTS!O17,_ENGINE_FINANCIERO!O93,"")</f>
        <v/>
      </c>
      <c r="P106" s="44" t="str">
        <f aca="false">IF(01_INPUTS!P17,_ENGINE_FINANCIERO!P93,"")</f>
        <v/>
      </c>
      <c r="Q106" s="44" t="str">
        <f aca="false">IF(01_INPUTS!Q17,_ENGINE_FINANCIERO!Q93,"")</f>
        <v/>
      </c>
      <c r="R106" s="44" t="str">
        <f aca="false">IF(01_INPUTS!R17,_ENGINE_FINANCIERO!R93,"")</f>
        <v/>
      </c>
      <c r="S106" s="44" t="str">
        <f aca="false">IF(01_INPUTS!S17,_ENGINE_FINANCIERO!S93,"")</f>
        <v/>
      </c>
    </row>
    <row r="107" customFormat="false" ht="15" hidden="true" customHeight="false" outlineLevel="1" collapsed="false">
      <c r="A107" s="6" t="s">
        <v>270</v>
      </c>
      <c r="B107" s="43" t="s">
        <v>81</v>
      </c>
      <c r="G107" s="44" t="str">
        <f aca="false">_ENGINE_FINANCIERO!G140</f>
        <v>n/a (Ronda 0)</v>
      </c>
      <c r="H107" s="44" t="n">
        <f aca="false">_ENGINE_FINANCIERO!H140</f>
        <v>0</v>
      </c>
      <c r="I107" s="44" t="str">
        <f aca="false">IF(01_INPUTS!I17,_ENGINE_FINANCIERO!I140,"")</f>
        <v>0</v>
      </c>
      <c r="J107" s="44" t="str">
        <f aca="false">IF(01_INPUTS!J17,_ENGINE_FINANCIERO!J140,"")</f>
        <v/>
      </c>
      <c r="K107" s="44" t="str">
        <f aca="false">IF(01_INPUTS!K17,_ENGINE_FINANCIERO!K140,"")</f>
        <v/>
      </c>
      <c r="L107" s="44" t="str">
        <f aca="false">IF(01_INPUTS!L17,_ENGINE_FINANCIERO!L140,"")</f>
        <v/>
      </c>
      <c r="M107" s="44" t="str">
        <f aca="false">IF(01_INPUTS!M17,_ENGINE_FINANCIERO!M140,"")</f>
        <v/>
      </c>
      <c r="N107" s="44" t="str">
        <f aca="false">IF(01_INPUTS!N17,_ENGINE_FINANCIERO!N140,"")</f>
        <v/>
      </c>
      <c r="O107" s="44" t="str">
        <f aca="false">IF(01_INPUTS!O17,_ENGINE_FINANCIERO!O140,"")</f>
        <v/>
      </c>
      <c r="P107" s="44" t="str">
        <f aca="false">IF(01_INPUTS!P17,_ENGINE_FINANCIERO!P140,"")</f>
        <v/>
      </c>
      <c r="Q107" s="44" t="str">
        <f aca="false">IF(01_INPUTS!Q17,_ENGINE_FINANCIERO!Q140,"")</f>
        <v/>
      </c>
      <c r="R107" s="44" t="str">
        <f aca="false">IF(01_INPUTS!R17,_ENGINE_FINANCIERO!R140,"")</f>
        <v/>
      </c>
      <c r="S107" s="44" t="str">
        <f aca="false">IF(01_INPUTS!S17,_ENGINE_FINANCIERO!S140,"")</f>
        <v/>
      </c>
    </row>
    <row r="108" customFormat="false" ht="15" hidden="false" customHeight="false" outlineLevel="0" collapsed="false">
      <c r="A108" s="14" t="s">
        <v>297</v>
      </c>
      <c r="B108" s="12" t="s">
        <v>81</v>
      </c>
      <c r="G108" s="45" t="str">
        <f aca="false">CHOOSE(MATCH($B$2,$U$1:$U$5,0),_ENGINE_FINANCIERO!G192,_ENGINE_FINANCIERO!G47,_ENGINE_FINANCIERO!G94,_ENGINE_FINANCIERO!G141,_ENGINE_FINANCIERO!G192)</f>
        <v>n/a (Ronda 0)</v>
      </c>
      <c r="H108" s="45" t="n">
        <f aca="false">CHOOSE(MATCH($B$2,$U$1:$U$5,0),_ENGINE_FINANCIERO!H192,_ENGINE_FINANCIERO!H47,_ENGINE_FINANCIERO!H94,_ENGINE_FINANCIERO!H141,_ENGINE_FINANCIERO!H192)</f>
        <v>-2000000000</v>
      </c>
      <c r="I108" s="45" t="n">
        <f aca="false">IF(01_INPUTS!I17,CHOOSE(MATCH($B$2,$U$1:$U$5,0),_ENGINE_FINANCIERO!I192,_ENGINE_FINANCIERO!I47,_ENGINE_FINANCIERO!I94,_ENGINE_FINANCIERO!I141,_ENGINE_FINANCIERO!I192),"")</f>
        <v>-3000000000</v>
      </c>
      <c r="J108" s="45" t="str">
        <f aca="false">IF(01_INPUTS!J17,CHOOSE(MATCH($B$2,$U$1:$U$5,0),_ENGINE_FINANCIERO!J192,_ENGINE_FINANCIERO!J47,_ENGINE_FINANCIERO!J94,_ENGINE_FINANCIERO!J141,_ENGINE_FINANCIERO!J192),"")</f>
        <v/>
      </c>
      <c r="K108" s="45" t="str">
        <f aca="false">IF(01_INPUTS!K17,CHOOSE(MATCH($B$2,$U$1:$U$5,0),_ENGINE_FINANCIERO!K192,_ENGINE_FINANCIERO!K47,_ENGINE_FINANCIERO!K94,_ENGINE_FINANCIERO!K141,_ENGINE_FINANCIERO!K192),"")</f>
        <v/>
      </c>
      <c r="L108" s="45" t="str">
        <f aca="false">IF(01_INPUTS!L17,CHOOSE(MATCH($B$2,$U$1:$U$5,0),_ENGINE_FINANCIERO!L192,_ENGINE_FINANCIERO!L47,_ENGINE_FINANCIERO!L94,_ENGINE_FINANCIERO!L141,_ENGINE_FINANCIERO!L192),"")</f>
        <v/>
      </c>
      <c r="M108" s="45" t="str">
        <f aca="false">IF(01_INPUTS!M17,CHOOSE(MATCH($B$2,$U$1:$U$5,0),_ENGINE_FINANCIERO!M192,_ENGINE_FINANCIERO!M47,_ENGINE_FINANCIERO!M94,_ENGINE_FINANCIERO!M141,_ENGINE_FINANCIERO!M192),"")</f>
        <v/>
      </c>
      <c r="N108" s="45" t="str">
        <f aca="false">IF(01_INPUTS!N17,CHOOSE(MATCH($B$2,$U$1:$U$5,0),_ENGINE_FINANCIERO!N192,_ENGINE_FINANCIERO!N47,_ENGINE_FINANCIERO!N94,_ENGINE_FINANCIERO!N141,_ENGINE_FINANCIERO!N192),"")</f>
        <v/>
      </c>
      <c r="O108" s="45" t="str">
        <f aca="false">IF(01_INPUTS!O17,CHOOSE(MATCH($B$2,$U$1:$U$5,0),_ENGINE_FINANCIERO!O192,_ENGINE_FINANCIERO!O47,_ENGINE_FINANCIERO!O94,_ENGINE_FINANCIERO!O141,_ENGINE_FINANCIERO!O192),"")</f>
        <v/>
      </c>
      <c r="P108" s="45" t="str">
        <f aca="false">IF(01_INPUTS!P17,CHOOSE(MATCH($B$2,$U$1:$U$5,0),_ENGINE_FINANCIERO!P192,_ENGINE_FINANCIERO!P47,_ENGINE_FINANCIERO!P94,_ENGINE_FINANCIERO!P141,_ENGINE_FINANCIERO!P192),"")</f>
        <v/>
      </c>
      <c r="Q108" s="45" t="str">
        <f aca="false">IF(01_INPUTS!Q17,CHOOSE(MATCH($B$2,$U$1:$U$5,0),_ENGINE_FINANCIERO!Q192,_ENGINE_FINANCIERO!Q47,_ENGINE_FINANCIERO!Q94,_ENGINE_FINANCIERO!Q141,_ENGINE_FINANCIERO!Q192),"")</f>
        <v/>
      </c>
      <c r="R108" s="45" t="str">
        <f aca="false">IF(01_INPUTS!R17,CHOOSE(MATCH($B$2,$U$1:$U$5,0),_ENGINE_FINANCIERO!R192,_ENGINE_FINANCIERO!R47,_ENGINE_FINANCIERO!R94,_ENGINE_FINANCIERO!R141,_ENGINE_FINANCIERO!R192),"")</f>
        <v/>
      </c>
      <c r="S108" s="45" t="str">
        <f aca="false">IF(01_INPUTS!S17,CHOOSE(MATCH($B$2,$U$1:$U$5,0),_ENGINE_FINANCIERO!S192,_ENGINE_FINANCIERO!S47,_ENGINE_FINANCIERO!S94,_ENGINE_FINANCIERO!S141,_ENGINE_FINANCIERO!S192),"")</f>
        <v/>
      </c>
    </row>
    <row r="109" customFormat="false" ht="15" hidden="true" customHeight="false" outlineLevel="1" collapsed="false">
      <c r="A109" s="6" t="s">
        <v>268</v>
      </c>
      <c r="B109" s="43" t="s">
        <v>81</v>
      </c>
      <c r="G109" s="44" t="str">
        <f aca="false">_ENGINE_FINANCIERO!G47</f>
        <v>n/a (Ronda 0)</v>
      </c>
      <c r="H109" s="44" t="n">
        <f aca="false">_ENGINE_FINANCIERO!H47</f>
        <v>-4001790470.85988</v>
      </c>
      <c r="I109" s="44" t="n">
        <f aca="false">IF(01_INPUTS!I17,_ENGINE_FINANCIERO!I47,"")</f>
        <v>-3000000000</v>
      </c>
      <c r="J109" s="44" t="str">
        <f aca="false">IF(01_INPUTS!J17,_ENGINE_FINANCIERO!J47,"")</f>
        <v/>
      </c>
      <c r="K109" s="44" t="str">
        <f aca="false">IF(01_INPUTS!K17,_ENGINE_FINANCIERO!K47,"")</f>
        <v/>
      </c>
      <c r="L109" s="44" t="str">
        <f aca="false">IF(01_INPUTS!L17,_ENGINE_FINANCIERO!L47,"")</f>
        <v/>
      </c>
      <c r="M109" s="44" t="str">
        <f aca="false">IF(01_INPUTS!M17,_ENGINE_FINANCIERO!M47,"")</f>
        <v/>
      </c>
      <c r="N109" s="44" t="str">
        <f aca="false">IF(01_INPUTS!N17,_ENGINE_FINANCIERO!N47,"")</f>
        <v/>
      </c>
      <c r="O109" s="44" t="str">
        <f aca="false">IF(01_INPUTS!O17,_ENGINE_FINANCIERO!O47,"")</f>
        <v/>
      </c>
      <c r="P109" s="44" t="str">
        <f aca="false">IF(01_INPUTS!P17,_ENGINE_FINANCIERO!P47,"")</f>
        <v/>
      </c>
      <c r="Q109" s="44" t="str">
        <f aca="false">IF(01_INPUTS!Q17,_ENGINE_FINANCIERO!Q47,"")</f>
        <v/>
      </c>
      <c r="R109" s="44" t="str">
        <f aca="false">IF(01_INPUTS!R17,_ENGINE_FINANCIERO!R47,"")</f>
        <v/>
      </c>
      <c r="S109" s="44" t="str">
        <f aca="false">IF(01_INPUTS!S17,_ENGINE_FINANCIERO!S47,"")</f>
        <v/>
      </c>
    </row>
    <row r="110" customFormat="false" ht="15" hidden="true" customHeight="false" outlineLevel="1" collapsed="false">
      <c r="A110" s="6" t="s">
        <v>269</v>
      </c>
      <c r="B110" s="43" t="s">
        <v>81</v>
      </c>
      <c r="G110" s="44" t="str">
        <f aca="false">_ENGINE_FINANCIERO!G94</f>
        <v>n/a (Ronda 0)</v>
      </c>
      <c r="H110" s="44" t="n">
        <f aca="false">_ENGINE_FINANCIERO!H94</f>
        <v>2481038901.99453</v>
      </c>
      <c r="I110" s="44" t="n">
        <f aca="false">IF(01_INPUTS!I17,_ENGINE_FINANCIERO!I94,"")</f>
        <v>0</v>
      </c>
      <c r="J110" s="44" t="str">
        <f aca="false">IF(01_INPUTS!J17,_ENGINE_FINANCIERO!J94,"")</f>
        <v/>
      </c>
      <c r="K110" s="44" t="str">
        <f aca="false">IF(01_INPUTS!K17,_ENGINE_FINANCIERO!K94,"")</f>
        <v/>
      </c>
      <c r="L110" s="44" t="str">
        <f aca="false">IF(01_INPUTS!L17,_ENGINE_FINANCIERO!L94,"")</f>
        <v/>
      </c>
      <c r="M110" s="44" t="str">
        <f aca="false">IF(01_INPUTS!M17,_ENGINE_FINANCIERO!M94,"")</f>
        <v/>
      </c>
      <c r="N110" s="44" t="str">
        <f aca="false">IF(01_INPUTS!N17,_ENGINE_FINANCIERO!N94,"")</f>
        <v/>
      </c>
      <c r="O110" s="44" t="str">
        <f aca="false">IF(01_INPUTS!O17,_ENGINE_FINANCIERO!O94,"")</f>
        <v/>
      </c>
      <c r="P110" s="44" t="str">
        <f aca="false">IF(01_INPUTS!P17,_ENGINE_FINANCIERO!P94,"")</f>
        <v/>
      </c>
      <c r="Q110" s="44" t="str">
        <f aca="false">IF(01_INPUTS!Q17,_ENGINE_FINANCIERO!Q94,"")</f>
        <v/>
      </c>
      <c r="R110" s="44" t="str">
        <f aca="false">IF(01_INPUTS!R17,_ENGINE_FINANCIERO!R94,"")</f>
        <v/>
      </c>
      <c r="S110" s="44" t="str">
        <f aca="false">IF(01_INPUTS!S17,_ENGINE_FINANCIERO!S94,"")</f>
        <v/>
      </c>
    </row>
    <row r="111" customFormat="false" ht="15" hidden="true" customHeight="false" outlineLevel="1" collapsed="false">
      <c r="A111" s="6" t="s">
        <v>270</v>
      </c>
      <c r="B111" s="43" t="s">
        <v>81</v>
      </c>
      <c r="G111" s="44" t="str">
        <f aca="false">_ENGINE_FINANCIERO!G141</f>
        <v>n/a (Ronda 0)</v>
      </c>
      <c r="H111" s="44" t="n">
        <f aca="false">_ENGINE_FINANCIERO!H141</f>
        <v>-479248431.134644</v>
      </c>
      <c r="I111" s="44" t="n">
        <f aca="false">IF(01_INPUTS!I17,_ENGINE_FINANCIERO!I141,"")</f>
        <v>0</v>
      </c>
      <c r="J111" s="44" t="str">
        <f aca="false">IF(01_INPUTS!J17,_ENGINE_FINANCIERO!J141,"")</f>
        <v/>
      </c>
      <c r="K111" s="44" t="str">
        <f aca="false">IF(01_INPUTS!K17,_ENGINE_FINANCIERO!K141,"")</f>
        <v/>
      </c>
      <c r="L111" s="44" t="str">
        <f aca="false">IF(01_INPUTS!L17,_ENGINE_FINANCIERO!L141,"")</f>
        <v/>
      </c>
      <c r="M111" s="44" t="str">
        <f aca="false">IF(01_INPUTS!M17,_ENGINE_FINANCIERO!M141,"")</f>
        <v/>
      </c>
      <c r="N111" s="44" t="str">
        <f aca="false">IF(01_INPUTS!N17,_ENGINE_FINANCIERO!N141,"")</f>
        <v/>
      </c>
      <c r="O111" s="44" t="str">
        <f aca="false">IF(01_INPUTS!O17,_ENGINE_FINANCIERO!O141,"")</f>
        <v/>
      </c>
      <c r="P111" s="44" t="str">
        <f aca="false">IF(01_INPUTS!P17,_ENGINE_FINANCIERO!P141,"")</f>
        <v/>
      </c>
      <c r="Q111" s="44" t="str">
        <f aca="false">IF(01_INPUTS!Q17,_ENGINE_FINANCIERO!Q141,"")</f>
        <v/>
      </c>
      <c r="R111" s="44" t="str">
        <f aca="false">IF(01_INPUTS!R17,_ENGINE_FINANCIERO!R141,"")</f>
        <v/>
      </c>
      <c r="S111" s="44" t="str">
        <f aca="false">IF(01_INPUTS!S17,_ENGINE_FINANCIERO!S141,"")</f>
        <v/>
      </c>
    </row>
    <row r="112" customFormat="false" ht="15" hidden="false" customHeight="false" outlineLevel="0" collapsed="false">
      <c r="A112" s="14" t="s">
        <v>298</v>
      </c>
      <c r="B112" s="12" t="s">
        <v>81</v>
      </c>
      <c r="G112" s="45" t="str">
        <f aca="false">CHOOSE(MATCH($B$2,$U$1:$U$5,0),_ENGINE_FINANCIERO!G193,_ENGINE_FINANCIERO!G48,_ENGINE_FINANCIERO!G95,_ENGINE_FINANCIERO!G142,_ENGINE_FINANCIERO!G193)</f>
        <v>n/a (Ronda 0)</v>
      </c>
      <c r="H112" s="45" t="str">
        <f aca="false">CHOOSE(MATCH($B$2,$U$1:$U$5,0),_ENGINE_FINANCIERO!H193,_ENGINE_FINANCIERO!H48,_ENGINE_FINANCIERO!H95,_ENGINE_FINANCIERO!H142,_ENGINE_FINANCIERO!H193)</f>
        <v>n/a (histórico, ver RDOS)</v>
      </c>
      <c r="I112" s="45" t="n">
        <f aca="false">IF(01_INPUTS!I17,CHOOSE(MATCH($B$2,$U$1:$U$5,0),_ENGINE_FINANCIERO!I193,_ENGINE_FINANCIERO!I48,_ENGINE_FINANCIERO!I95,_ENGINE_FINANCIERO!I142,_ENGINE_FINANCIERO!I193),"")</f>
        <v>-0</v>
      </c>
      <c r="J112" s="45" t="str">
        <f aca="false">IF(01_INPUTS!J17,CHOOSE(MATCH($B$2,$U$1:$U$5,0),_ENGINE_FINANCIERO!J193,_ENGINE_FINANCIERO!J48,_ENGINE_FINANCIERO!J95,_ENGINE_FINANCIERO!J142,_ENGINE_FINANCIERO!J193),"")</f>
        <v/>
      </c>
      <c r="K112" s="45" t="str">
        <f aca="false">IF(01_INPUTS!K17,CHOOSE(MATCH($B$2,$U$1:$U$5,0),_ENGINE_FINANCIERO!K193,_ENGINE_FINANCIERO!K48,_ENGINE_FINANCIERO!K95,_ENGINE_FINANCIERO!K142,_ENGINE_FINANCIERO!K193),"")</f>
        <v/>
      </c>
      <c r="L112" s="45" t="str">
        <f aca="false">IF(01_INPUTS!L17,CHOOSE(MATCH($B$2,$U$1:$U$5,0),_ENGINE_FINANCIERO!L193,_ENGINE_FINANCIERO!L48,_ENGINE_FINANCIERO!L95,_ENGINE_FINANCIERO!L142,_ENGINE_FINANCIERO!L193),"")</f>
        <v/>
      </c>
      <c r="M112" s="45" t="str">
        <f aca="false">IF(01_INPUTS!M17,CHOOSE(MATCH($B$2,$U$1:$U$5,0),_ENGINE_FINANCIERO!M193,_ENGINE_FINANCIERO!M48,_ENGINE_FINANCIERO!M95,_ENGINE_FINANCIERO!M142,_ENGINE_FINANCIERO!M193),"")</f>
        <v/>
      </c>
      <c r="N112" s="45" t="str">
        <f aca="false">IF(01_INPUTS!N17,CHOOSE(MATCH($B$2,$U$1:$U$5,0),_ENGINE_FINANCIERO!N193,_ENGINE_FINANCIERO!N48,_ENGINE_FINANCIERO!N95,_ENGINE_FINANCIERO!N142,_ENGINE_FINANCIERO!N193),"")</f>
        <v/>
      </c>
      <c r="O112" s="45" t="str">
        <f aca="false">IF(01_INPUTS!O17,CHOOSE(MATCH($B$2,$U$1:$U$5,0),_ENGINE_FINANCIERO!O193,_ENGINE_FINANCIERO!O48,_ENGINE_FINANCIERO!O95,_ENGINE_FINANCIERO!O142,_ENGINE_FINANCIERO!O193),"")</f>
        <v/>
      </c>
      <c r="P112" s="45" t="str">
        <f aca="false">IF(01_INPUTS!P17,CHOOSE(MATCH($B$2,$U$1:$U$5,0),_ENGINE_FINANCIERO!P193,_ENGINE_FINANCIERO!P48,_ENGINE_FINANCIERO!P95,_ENGINE_FINANCIERO!P142,_ENGINE_FINANCIERO!P193),"")</f>
        <v/>
      </c>
      <c r="Q112" s="45" t="str">
        <f aca="false">IF(01_INPUTS!Q17,CHOOSE(MATCH($B$2,$U$1:$U$5,0),_ENGINE_FINANCIERO!Q193,_ENGINE_FINANCIERO!Q48,_ENGINE_FINANCIERO!Q95,_ENGINE_FINANCIERO!Q142,_ENGINE_FINANCIERO!Q193),"")</f>
        <v/>
      </c>
      <c r="R112" s="45" t="str">
        <f aca="false">IF(01_INPUTS!R17,CHOOSE(MATCH($B$2,$U$1:$U$5,0),_ENGINE_FINANCIERO!R193,_ENGINE_FINANCIERO!R48,_ENGINE_FINANCIERO!R95,_ENGINE_FINANCIERO!R142,_ENGINE_FINANCIERO!R193),"")</f>
        <v/>
      </c>
      <c r="S112" s="45" t="str">
        <f aca="false">IF(01_INPUTS!S17,CHOOSE(MATCH($B$2,$U$1:$U$5,0),_ENGINE_FINANCIERO!S193,_ENGINE_FINANCIERO!S48,_ENGINE_FINANCIERO!S95,_ENGINE_FINANCIERO!S142,_ENGINE_FINANCIERO!S193),"")</f>
        <v/>
      </c>
    </row>
    <row r="113" customFormat="false" ht="15" hidden="true" customHeight="false" outlineLevel="1" collapsed="false">
      <c r="A113" s="6" t="s">
        <v>268</v>
      </c>
      <c r="B113" s="43" t="s">
        <v>81</v>
      </c>
      <c r="G113" s="44" t="str">
        <f aca="false">_ENGINE_FINANCIERO!G48</f>
        <v>n/a (Ronda 0)</v>
      </c>
      <c r="H113" s="44" t="str">
        <f aca="false">_ENGINE_FINANCIERO!H48</f>
        <v>n/a (histórico, ver RDOS -- Deuda CP no se movió en R1)</v>
      </c>
      <c r="I113" s="44" t="n">
        <f aca="false">IF(01_INPUTS!I17,_ENGINE_FINANCIERO!I48,"")</f>
        <v>-0</v>
      </c>
      <c r="J113" s="44" t="str">
        <f aca="false">IF(01_INPUTS!J17,_ENGINE_FINANCIERO!J48,"")</f>
        <v/>
      </c>
      <c r="K113" s="44" t="str">
        <f aca="false">IF(01_INPUTS!K17,_ENGINE_FINANCIERO!K48,"")</f>
        <v/>
      </c>
      <c r="L113" s="44" t="str">
        <f aca="false">IF(01_INPUTS!L17,_ENGINE_FINANCIERO!L48,"")</f>
        <v/>
      </c>
      <c r="M113" s="44" t="str">
        <f aca="false">IF(01_INPUTS!M17,_ENGINE_FINANCIERO!M48,"")</f>
        <v/>
      </c>
      <c r="N113" s="44" t="str">
        <f aca="false">IF(01_INPUTS!N17,_ENGINE_FINANCIERO!N48,"")</f>
        <v/>
      </c>
      <c r="O113" s="44" t="str">
        <f aca="false">IF(01_INPUTS!O17,_ENGINE_FINANCIERO!O48,"")</f>
        <v/>
      </c>
      <c r="P113" s="44" t="str">
        <f aca="false">IF(01_INPUTS!P17,_ENGINE_FINANCIERO!P48,"")</f>
        <v/>
      </c>
      <c r="Q113" s="44" t="str">
        <f aca="false">IF(01_INPUTS!Q17,_ENGINE_FINANCIERO!Q48,"")</f>
        <v/>
      </c>
      <c r="R113" s="44" t="str">
        <f aca="false">IF(01_INPUTS!R17,_ENGINE_FINANCIERO!R48,"")</f>
        <v/>
      </c>
      <c r="S113" s="44" t="str">
        <f aca="false">IF(01_INPUTS!S17,_ENGINE_FINANCIERO!S48,"")</f>
        <v/>
      </c>
    </row>
    <row r="114" customFormat="false" ht="15" hidden="true" customHeight="false" outlineLevel="1" collapsed="false">
      <c r="A114" s="6" t="s">
        <v>269</v>
      </c>
      <c r="B114" s="43" t="s">
        <v>81</v>
      </c>
      <c r="G114" s="44" t="str">
        <f aca="false">_ENGINE_FINANCIERO!G95</f>
        <v>n/a (Ronda 0)</v>
      </c>
      <c r="H114" s="44" t="str">
        <f aca="false">_ENGINE_FINANCIERO!H95</f>
        <v>n/a (histórico, ver RDOS -- Deuda CP no se movió en R1)</v>
      </c>
      <c r="I114" s="44" t="n">
        <f aca="false">IF(01_INPUTS!I17,_ENGINE_FINANCIERO!I95,"")</f>
        <v>-0</v>
      </c>
      <c r="J114" s="44" t="str">
        <f aca="false">IF(01_INPUTS!J17,_ENGINE_FINANCIERO!J95,"")</f>
        <v/>
      </c>
      <c r="K114" s="44" t="str">
        <f aca="false">IF(01_INPUTS!K17,_ENGINE_FINANCIERO!K95,"")</f>
        <v/>
      </c>
      <c r="L114" s="44" t="str">
        <f aca="false">IF(01_INPUTS!L17,_ENGINE_FINANCIERO!L95,"")</f>
        <v/>
      </c>
      <c r="M114" s="44" t="str">
        <f aca="false">IF(01_INPUTS!M17,_ENGINE_FINANCIERO!M95,"")</f>
        <v/>
      </c>
      <c r="N114" s="44" t="str">
        <f aca="false">IF(01_INPUTS!N17,_ENGINE_FINANCIERO!N95,"")</f>
        <v/>
      </c>
      <c r="O114" s="44" t="str">
        <f aca="false">IF(01_INPUTS!O17,_ENGINE_FINANCIERO!O95,"")</f>
        <v/>
      </c>
      <c r="P114" s="44" t="str">
        <f aca="false">IF(01_INPUTS!P17,_ENGINE_FINANCIERO!P95,"")</f>
        <v/>
      </c>
      <c r="Q114" s="44" t="str">
        <f aca="false">IF(01_INPUTS!Q17,_ENGINE_FINANCIERO!Q95,"")</f>
        <v/>
      </c>
      <c r="R114" s="44" t="str">
        <f aca="false">IF(01_INPUTS!R17,_ENGINE_FINANCIERO!R95,"")</f>
        <v/>
      </c>
      <c r="S114" s="44" t="str">
        <f aca="false">IF(01_INPUTS!S17,_ENGINE_FINANCIERO!S95,"")</f>
        <v/>
      </c>
    </row>
    <row r="115" customFormat="false" ht="15" hidden="true" customHeight="false" outlineLevel="1" collapsed="false">
      <c r="A115" s="6" t="s">
        <v>270</v>
      </c>
      <c r="B115" s="43" t="s">
        <v>81</v>
      </c>
      <c r="G115" s="44" t="str">
        <f aca="false">_ENGINE_FINANCIERO!G142</f>
        <v>n/a (Ronda 0)</v>
      </c>
      <c r="H115" s="44" t="str">
        <f aca="false">_ENGINE_FINANCIERO!H142</f>
        <v>n/a (histórico, ver RDOS -- Deuda CP no se movió en R1)</v>
      </c>
      <c r="I115" s="44" t="n">
        <f aca="false">IF(01_INPUTS!I17,_ENGINE_FINANCIERO!I142,"")</f>
        <v>-0</v>
      </c>
      <c r="J115" s="44" t="str">
        <f aca="false">IF(01_INPUTS!J17,_ENGINE_FINANCIERO!J142,"")</f>
        <v/>
      </c>
      <c r="K115" s="44" t="str">
        <f aca="false">IF(01_INPUTS!K17,_ENGINE_FINANCIERO!K142,"")</f>
        <v/>
      </c>
      <c r="L115" s="44" t="str">
        <f aca="false">IF(01_INPUTS!L17,_ENGINE_FINANCIERO!L142,"")</f>
        <v/>
      </c>
      <c r="M115" s="44" t="str">
        <f aca="false">IF(01_INPUTS!M17,_ENGINE_FINANCIERO!M142,"")</f>
        <v/>
      </c>
      <c r="N115" s="44" t="str">
        <f aca="false">IF(01_INPUTS!N17,_ENGINE_FINANCIERO!N142,"")</f>
        <v/>
      </c>
      <c r="O115" s="44" t="str">
        <f aca="false">IF(01_INPUTS!O17,_ENGINE_FINANCIERO!O142,"")</f>
        <v/>
      </c>
      <c r="P115" s="44" t="str">
        <f aca="false">IF(01_INPUTS!P17,_ENGINE_FINANCIERO!P142,"")</f>
        <v/>
      </c>
      <c r="Q115" s="44" t="str">
        <f aca="false">IF(01_INPUTS!Q17,_ENGINE_FINANCIERO!Q142,"")</f>
        <v/>
      </c>
      <c r="R115" s="44" t="str">
        <f aca="false">IF(01_INPUTS!R17,_ENGINE_FINANCIERO!R142,"")</f>
        <v/>
      </c>
      <c r="S115" s="44" t="str">
        <f aca="false">IF(01_INPUTS!S17,_ENGINE_FINANCIERO!S142,"")</f>
        <v/>
      </c>
    </row>
    <row r="116" customFormat="false" ht="15" hidden="false" customHeight="false" outlineLevel="0" collapsed="false">
      <c r="A116" s="8" t="s">
        <v>299</v>
      </c>
      <c r="B116" s="12" t="s">
        <v>81</v>
      </c>
      <c r="G116" s="42" t="n">
        <f aca="false">CHOOSE(MATCH($B$2,$U$1:$U$5,0),_ENGINE_FINANCIERO!G194,_ENGINE_FINANCIERO!G49,_ENGINE_FINANCIERO!G96,_ENGINE_FINANCIERO!G143,_ENGINE_FINANCIERO!G194)</f>
        <v>0</v>
      </c>
      <c r="H116" s="42" t="n">
        <f aca="false">CHOOSE(MATCH($B$2,$U$1:$U$5,0),_ENGINE_FINANCIERO!H194,_ENGINE_FINANCIERO!H49,_ENGINE_FINANCIERO!H96,_ENGINE_FINANCIERO!H143,_ENGINE_FINANCIERO!H194)</f>
        <v>-5738730257.41969</v>
      </c>
      <c r="I116" s="42" t="n">
        <f aca="false">IF(01_INPUTS!I17,CHOOSE(MATCH($B$2,$U$1:$U$5,0),_ENGINE_FINANCIERO!I194,_ENGINE_FINANCIERO!I49,_ENGINE_FINANCIERO!I96,_ENGINE_FINANCIERO!I143,_ENGINE_FINANCIERO!I194),"")</f>
        <v>18562266304.5352</v>
      </c>
      <c r="J116" s="42" t="str">
        <f aca="false">IF(01_INPUTS!J17,CHOOSE(MATCH($B$2,$U$1:$U$5,0),_ENGINE_FINANCIERO!J194,_ENGINE_FINANCIERO!J49,_ENGINE_FINANCIERO!J96,_ENGINE_FINANCIERO!J143,_ENGINE_FINANCIERO!J194),"")</f>
        <v/>
      </c>
      <c r="K116" s="42" t="str">
        <f aca="false">IF(01_INPUTS!K17,CHOOSE(MATCH($B$2,$U$1:$U$5,0),_ENGINE_FINANCIERO!K194,_ENGINE_FINANCIERO!K49,_ENGINE_FINANCIERO!K96,_ENGINE_FINANCIERO!K143,_ENGINE_FINANCIERO!K194),"")</f>
        <v/>
      </c>
      <c r="L116" s="42" t="str">
        <f aca="false">IF(01_INPUTS!L17,CHOOSE(MATCH($B$2,$U$1:$U$5,0),_ENGINE_FINANCIERO!L194,_ENGINE_FINANCIERO!L49,_ENGINE_FINANCIERO!L96,_ENGINE_FINANCIERO!L143,_ENGINE_FINANCIERO!L194),"")</f>
        <v/>
      </c>
      <c r="M116" s="42" t="str">
        <f aca="false">IF(01_INPUTS!M17,CHOOSE(MATCH($B$2,$U$1:$U$5,0),_ENGINE_FINANCIERO!M194,_ENGINE_FINANCIERO!M49,_ENGINE_FINANCIERO!M96,_ENGINE_FINANCIERO!M143,_ENGINE_FINANCIERO!M194),"")</f>
        <v/>
      </c>
      <c r="N116" s="42" t="str">
        <f aca="false">IF(01_INPUTS!N17,CHOOSE(MATCH($B$2,$U$1:$U$5,0),_ENGINE_FINANCIERO!N194,_ENGINE_FINANCIERO!N49,_ENGINE_FINANCIERO!N96,_ENGINE_FINANCIERO!N143,_ENGINE_FINANCIERO!N194),"")</f>
        <v/>
      </c>
      <c r="O116" s="42" t="str">
        <f aca="false">IF(01_INPUTS!O17,CHOOSE(MATCH($B$2,$U$1:$U$5,0),_ENGINE_FINANCIERO!O194,_ENGINE_FINANCIERO!O49,_ENGINE_FINANCIERO!O96,_ENGINE_FINANCIERO!O143,_ENGINE_FINANCIERO!O194),"")</f>
        <v/>
      </c>
      <c r="P116" s="42" t="str">
        <f aca="false">IF(01_INPUTS!P17,CHOOSE(MATCH($B$2,$U$1:$U$5,0),_ENGINE_FINANCIERO!P194,_ENGINE_FINANCIERO!P49,_ENGINE_FINANCIERO!P96,_ENGINE_FINANCIERO!P143,_ENGINE_FINANCIERO!P194),"")</f>
        <v/>
      </c>
      <c r="Q116" s="42" t="str">
        <f aca="false">IF(01_INPUTS!Q17,CHOOSE(MATCH($B$2,$U$1:$U$5,0),_ENGINE_FINANCIERO!Q194,_ENGINE_FINANCIERO!Q49,_ENGINE_FINANCIERO!Q96,_ENGINE_FINANCIERO!Q143,_ENGINE_FINANCIERO!Q194),"")</f>
        <v/>
      </c>
      <c r="R116" s="42" t="str">
        <f aca="false">IF(01_INPUTS!R17,CHOOSE(MATCH($B$2,$U$1:$U$5,0),_ENGINE_FINANCIERO!R194,_ENGINE_FINANCIERO!R49,_ENGINE_FINANCIERO!R96,_ENGINE_FINANCIERO!R143,_ENGINE_FINANCIERO!R194),"")</f>
        <v/>
      </c>
      <c r="S116" s="42" t="str">
        <f aca="false">IF(01_INPUTS!S17,CHOOSE(MATCH($B$2,$U$1:$U$5,0),_ENGINE_FINANCIERO!S194,_ENGINE_FINANCIERO!S49,_ENGINE_FINANCIERO!S96,_ENGINE_FINANCIERO!S143,_ENGINE_FINANCIERO!S194),"")</f>
        <v/>
      </c>
    </row>
    <row r="117" customFormat="false" ht="15" hidden="true" customHeight="false" outlineLevel="1" collapsed="false">
      <c r="A117" s="6" t="s">
        <v>268</v>
      </c>
      <c r="B117" s="43" t="s">
        <v>81</v>
      </c>
      <c r="G117" s="44" t="n">
        <f aca="false">_ENGINE_FINANCIERO!G49</f>
        <v>0</v>
      </c>
      <c r="H117" s="44" t="n">
        <f aca="false">_ENGINE_FINANCIERO!H49</f>
        <v>-8183796805.93898</v>
      </c>
      <c r="I117" s="44" t="n">
        <f aca="false">IF(01_INPUTS!I17,_ENGINE_FINANCIERO!I49,"")</f>
        <v>5579509003.34195</v>
      </c>
      <c r="J117" s="44" t="str">
        <f aca="false">IF(01_INPUTS!J17,_ENGINE_FINANCIERO!J49,"")</f>
        <v/>
      </c>
      <c r="K117" s="44" t="str">
        <f aca="false">IF(01_INPUTS!K17,_ENGINE_FINANCIERO!K49,"")</f>
        <v/>
      </c>
      <c r="L117" s="44" t="str">
        <f aca="false">IF(01_INPUTS!L17,_ENGINE_FINANCIERO!L49,"")</f>
        <v/>
      </c>
      <c r="M117" s="44" t="str">
        <f aca="false">IF(01_INPUTS!M17,_ENGINE_FINANCIERO!M49,"")</f>
        <v/>
      </c>
      <c r="N117" s="44" t="str">
        <f aca="false">IF(01_INPUTS!N17,_ENGINE_FINANCIERO!N49,"")</f>
        <v/>
      </c>
      <c r="O117" s="44" t="str">
        <f aca="false">IF(01_INPUTS!O17,_ENGINE_FINANCIERO!O49,"")</f>
        <v/>
      </c>
      <c r="P117" s="44" t="str">
        <f aca="false">IF(01_INPUTS!P17,_ENGINE_FINANCIERO!P49,"")</f>
        <v/>
      </c>
      <c r="Q117" s="44" t="str">
        <f aca="false">IF(01_INPUTS!Q17,_ENGINE_FINANCIERO!Q49,"")</f>
        <v/>
      </c>
      <c r="R117" s="44" t="str">
        <f aca="false">IF(01_INPUTS!R17,_ENGINE_FINANCIERO!R49,"")</f>
        <v/>
      </c>
      <c r="S117" s="44" t="str">
        <f aca="false">IF(01_INPUTS!S17,_ENGINE_FINANCIERO!S49,"")</f>
        <v/>
      </c>
    </row>
    <row r="118" customFormat="false" ht="15" hidden="true" customHeight="false" outlineLevel="1" collapsed="false">
      <c r="A118" s="6" t="s">
        <v>269</v>
      </c>
      <c r="B118" s="43" t="s">
        <v>81</v>
      </c>
      <c r="G118" s="44" t="n">
        <f aca="false">_ENGINE_FINANCIERO!G96</f>
        <v>0</v>
      </c>
      <c r="H118" s="44" t="n">
        <f aca="false">_ENGINE_FINANCIERO!H96</f>
        <v>1914540496.98035</v>
      </c>
      <c r="I118" s="44" t="n">
        <f aca="false">IF(01_INPUTS!I17,_ENGINE_FINANCIERO!I96,"")</f>
        <v>4768913857.57887</v>
      </c>
      <c r="J118" s="44" t="str">
        <f aca="false">IF(01_INPUTS!J17,_ENGINE_FINANCIERO!J96,"")</f>
        <v/>
      </c>
      <c r="K118" s="44" t="str">
        <f aca="false">IF(01_INPUTS!K17,_ENGINE_FINANCIERO!K96,"")</f>
        <v/>
      </c>
      <c r="L118" s="44" t="str">
        <f aca="false">IF(01_INPUTS!L17,_ENGINE_FINANCIERO!L96,"")</f>
        <v/>
      </c>
      <c r="M118" s="44" t="str">
        <f aca="false">IF(01_INPUTS!M17,_ENGINE_FINANCIERO!M96,"")</f>
        <v/>
      </c>
      <c r="N118" s="44" t="str">
        <f aca="false">IF(01_INPUTS!N17,_ENGINE_FINANCIERO!N96,"")</f>
        <v/>
      </c>
      <c r="O118" s="44" t="str">
        <f aca="false">IF(01_INPUTS!O17,_ENGINE_FINANCIERO!O96,"")</f>
        <v/>
      </c>
      <c r="P118" s="44" t="str">
        <f aca="false">IF(01_INPUTS!P17,_ENGINE_FINANCIERO!P96,"")</f>
        <v/>
      </c>
      <c r="Q118" s="44" t="str">
        <f aca="false">IF(01_INPUTS!Q17,_ENGINE_FINANCIERO!Q96,"")</f>
        <v/>
      </c>
      <c r="R118" s="44" t="str">
        <f aca="false">IF(01_INPUTS!R17,_ENGINE_FINANCIERO!R96,"")</f>
        <v/>
      </c>
      <c r="S118" s="44" t="str">
        <f aca="false">IF(01_INPUTS!S17,_ENGINE_FINANCIERO!S96,"")</f>
        <v/>
      </c>
    </row>
    <row r="119" customFormat="false" ht="15" hidden="true" customHeight="false" outlineLevel="1" collapsed="false">
      <c r="A119" s="6" t="s">
        <v>270</v>
      </c>
      <c r="B119" s="43" t="s">
        <v>81</v>
      </c>
      <c r="G119" s="44" t="n">
        <f aca="false">_ENGINE_FINANCIERO!G143</f>
        <v>0</v>
      </c>
      <c r="H119" s="44" t="n">
        <f aca="false">_ENGINE_FINANCIERO!H143</f>
        <v>530526051.538939</v>
      </c>
      <c r="I119" s="44" t="n">
        <f aca="false">IF(01_INPUTS!I17,_ENGINE_FINANCIERO!I143,"")</f>
        <v>8213843443.61437</v>
      </c>
      <c r="J119" s="44" t="str">
        <f aca="false">IF(01_INPUTS!J17,_ENGINE_FINANCIERO!J143,"")</f>
        <v/>
      </c>
      <c r="K119" s="44" t="str">
        <f aca="false">IF(01_INPUTS!K17,_ENGINE_FINANCIERO!K143,"")</f>
        <v/>
      </c>
      <c r="L119" s="44" t="str">
        <f aca="false">IF(01_INPUTS!L17,_ENGINE_FINANCIERO!L143,"")</f>
        <v/>
      </c>
      <c r="M119" s="44" t="str">
        <f aca="false">IF(01_INPUTS!M17,_ENGINE_FINANCIERO!M143,"")</f>
        <v/>
      </c>
      <c r="N119" s="44" t="str">
        <f aca="false">IF(01_INPUTS!N17,_ENGINE_FINANCIERO!N143,"")</f>
        <v/>
      </c>
      <c r="O119" s="44" t="str">
        <f aca="false">IF(01_INPUTS!O17,_ENGINE_FINANCIERO!O143,"")</f>
        <v/>
      </c>
      <c r="P119" s="44" t="str">
        <f aca="false">IF(01_INPUTS!P17,_ENGINE_FINANCIERO!P143,"")</f>
        <v/>
      </c>
      <c r="Q119" s="44" t="str">
        <f aca="false">IF(01_INPUTS!Q17,_ENGINE_FINANCIERO!Q143,"")</f>
        <v/>
      </c>
      <c r="R119" s="44" t="str">
        <f aca="false">IF(01_INPUTS!R17,_ENGINE_FINANCIERO!R143,"")</f>
        <v/>
      </c>
      <c r="S119" s="44" t="str">
        <f aca="false">IF(01_INPUTS!S17,_ENGINE_FINANCIERO!S143,"")</f>
        <v/>
      </c>
    </row>
    <row r="120" customFormat="false" ht="15" hidden="false" customHeight="false" outlineLevel="0" collapsed="false">
      <c r="A120" s="14" t="s">
        <v>300</v>
      </c>
      <c r="B120" s="12" t="s">
        <v>81</v>
      </c>
      <c r="G120" s="45" t="str">
        <f aca="false">CHOOSE(MATCH($B$2,$U$1:$U$5,0),_ENGINE_FINANCIERO!G195,_ENGINE_FINANCIERO!G50,_ENGINE_FINANCIERO!G97,_ENGINE_FINANCIERO!G144,_ENGINE_FINANCIERO!G195)</f>
        <v>n/a (Ronda 0)</v>
      </c>
      <c r="H120" s="45" t="n">
        <f aca="false">CHOOSE(MATCH($B$2,$U$1:$U$5,0),_ENGINE_FINANCIERO!H195,_ENGINE_FINANCIERO!H50,_ENGINE_FINANCIERO!H97,_ENGINE_FINANCIERO!H144,_ENGINE_FINANCIERO!H195)</f>
        <v>10817319047.8053</v>
      </c>
      <c r="I120" s="45" t="n">
        <f aca="false">IF(01_INPUTS!I17,CHOOSE(MATCH($B$2,$U$1:$U$5,0),_ENGINE_FINANCIERO!I195,_ENGINE_FINANCIERO!I50,_ENGINE_FINANCIERO!I97,_ENGINE_FINANCIERO!I144,_ENGINE_FINANCIERO!I195),"")</f>
        <v>5078588790.38561</v>
      </c>
      <c r="J120" s="45" t="str">
        <f aca="false">IF(01_INPUTS!J17,CHOOSE(MATCH($B$2,$U$1:$U$5,0),_ENGINE_FINANCIERO!J195,_ENGINE_FINANCIERO!J50,_ENGINE_FINANCIERO!J97,_ENGINE_FINANCIERO!J144,_ENGINE_FINANCIERO!J195),"")</f>
        <v/>
      </c>
      <c r="K120" s="45" t="str">
        <f aca="false">IF(01_INPUTS!K17,CHOOSE(MATCH($B$2,$U$1:$U$5,0),_ENGINE_FINANCIERO!K195,_ENGINE_FINANCIERO!K50,_ENGINE_FINANCIERO!K97,_ENGINE_FINANCIERO!K144,_ENGINE_FINANCIERO!K195),"")</f>
        <v/>
      </c>
      <c r="L120" s="45" t="str">
        <f aca="false">IF(01_INPUTS!L17,CHOOSE(MATCH($B$2,$U$1:$U$5,0),_ENGINE_FINANCIERO!L195,_ENGINE_FINANCIERO!L50,_ENGINE_FINANCIERO!L97,_ENGINE_FINANCIERO!L144,_ENGINE_FINANCIERO!L195),"")</f>
        <v/>
      </c>
      <c r="M120" s="45" t="str">
        <f aca="false">IF(01_INPUTS!M17,CHOOSE(MATCH($B$2,$U$1:$U$5,0),_ENGINE_FINANCIERO!M195,_ENGINE_FINANCIERO!M50,_ENGINE_FINANCIERO!M97,_ENGINE_FINANCIERO!M144,_ENGINE_FINANCIERO!M195),"")</f>
        <v/>
      </c>
      <c r="N120" s="45" t="str">
        <f aca="false">IF(01_INPUTS!N17,CHOOSE(MATCH($B$2,$U$1:$U$5,0),_ENGINE_FINANCIERO!N195,_ENGINE_FINANCIERO!N50,_ENGINE_FINANCIERO!N97,_ENGINE_FINANCIERO!N144,_ENGINE_FINANCIERO!N195),"")</f>
        <v/>
      </c>
      <c r="O120" s="45" t="str">
        <f aca="false">IF(01_INPUTS!O17,CHOOSE(MATCH($B$2,$U$1:$U$5,0),_ENGINE_FINANCIERO!O195,_ENGINE_FINANCIERO!O50,_ENGINE_FINANCIERO!O97,_ENGINE_FINANCIERO!O144,_ENGINE_FINANCIERO!O195),"")</f>
        <v/>
      </c>
      <c r="P120" s="45" t="str">
        <f aca="false">IF(01_INPUTS!P17,CHOOSE(MATCH($B$2,$U$1:$U$5,0),_ENGINE_FINANCIERO!P195,_ENGINE_FINANCIERO!P50,_ENGINE_FINANCIERO!P97,_ENGINE_FINANCIERO!P144,_ENGINE_FINANCIERO!P195),"")</f>
        <v/>
      </c>
      <c r="Q120" s="45" t="str">
        <f aca="false">IF(01_INPUTS!Q17,CHOOSE(MATCH($B$2,$U$1:$U$5,0),_ENGINE_FINANCIERO!Q195,_ENGINE_FINANCIERO!Q50,_ENGINE_FINANCIERO!Q97,_ENGINE_FINANCIERO!Q144,_ENGINE_FINANCIERO!Q195),"")</f>
        <v/>
      </c>
      <c r="R120" s="45" t="str">
        <f aca="false">IF(01_INPUTS!R17,CHOOSE(MATCH($B$2,$U$1:$U$5,0),_ENGINE_FINANCIERO!R195,_ENGINE_FINANCIERO!R50,_ENGINE_FINANCIERO!R97,_ENGINE_FINANCIERO!R144,_ENGINE_FINANCIERO!R195),"")</f>
        <v/>
      </c>
      <c r="S120" s="45" t="str">
        <f aca="false">IF(01_INPUTS!S17,CHOOSE(MATCH($B$2,$U$1:$U$5,0),_ENGINE_FINANCIERO!S195,_ENGINE_FINANCIERO!S50,_ENGINE_FINANCIERO!S97,_ENGINE_FINANCIERO!S144,_ENGINE_FINANCIERO!S195),"")</f>
        <v/>
      </c>
    </row>
    <row r="121" customFormat="false" ht="15" hidden="true" customHeight="false" outlineLevel="1" collapsed="false">
      <c r="A121" s="6" t="s">
        <v>268</v>
      </c>
      <c r="B121" s="43" t="s">
        <v>81</v>
      </c>
      <c r="G121" s="44" t="n">
        <f aca="false">_ENGINE_FINANCIERO!G50</f>
        <v>6246344000</v>
      </c>
      <c r="H121" s="44" t="n">
        <f aca="false">_ENGINE_FINANCIERO!H50</f>
        <v>9274082785.33571</v>
      </c>
      <c r="I121" s="44" t="n">
        <f aca="false">IF(01_INPUTS!I17,_ENGINE_FINANCIERO!I50,"")</f>
        <v>1090285979.39674</v>
      </c>
      <c r="J121" s="44" t="str">
        <f aca="false">IF(01_INPUTS!J17,_ENGINE_FINANCIERO!J50,"")</f>
        <v/>
      </c>
      <c r="K121" s="44" t="str">
        <f aca="false">IF(01_INPUTS!K17,_ENGINE_FINANCIERO!K50,"")</f>
        <v/>
      </c>
      <c r="L121" s="44" t="str">
        <f aca="false">IF(01_INPUTS!L17,_ENGINE_FINANCIERO!L50,"")</f>
        <v/>
      </c>
      <c r="M121" s="44" t="str">
        <f aca="false">IF(01_INPUTS!M17,_ENGINE_FINANCIERO!M50,"")</f>
        <v/>
      </c>
      <c r="N121" s="44" t="str">
        <f aca="false">IF(01_INPUTS!N17,_ENGINE_FINANCIERO!N50,"")</f>
        <v/>
      </c>
      <c r="O121" s="44" t="str">
        <f aca="false">IF(01_INPUTS!O17,_ENGINE_FINANCIERO!O50,"")</f>
        <v/>
      </c>
      <c r="P121" s="44" t="str">
        <f aca="false">IF(01_INPUTS!P17,_ENGINE_FINANCIERO!P50,"")</f>
        <v/>
      </c>
      <c r="Q121" s="44" t="str">
        <f aca="false">IF(01_INPUTS!Q17,_ENGINE_FINANCIERO!Q50,"")</f>
        <v/>
      </c>
      <c r="R121" s="44" t="str">
        <f aca="false">IF(01_INPUTS!R17,_ENGINE_FINANCIERO!R50,"")</f>
        <v/>
      </c>
      <c r="S121" s="44" t="str">
        <f aca="false">IF(01_INPUTS!S17,_ENGINE_FINANCIERO!S50,"")</f>
        <v/>
      </c>
    </row>
    <row r="122" customFormat="false" ht="15" hidden="true" customHeight="false" outlineLevel="1" collapsed="false">
      <c r="A122" s="6" t="s">
        <v>269</v>
      </c>
      <c r="B122" s="43" t="s">
        <v>81</v>
      </c>
      <c r="G122" s="44" t="n">
        <f aca="false">_ENGINE_FINANCIERO!G97</f>
        <v>1720403000</v>
      </c>
      <c r="H122" s="44" t="n">
        <f aca="false">_ENGINE_FINANCIERO!H97</f>
        <v>365032427.722816</v>
      </c>
      <c r="I122" s="44" t="n">
        <f aca="false">IF(01_INPUTS!I17,_ENGINE_FINANCIERO!I97,"")</f>
        <v>2279572924.70316</v>
      </c>
      <c r="J122" s="44" t="str">
        <f aca="false">IF(01_INPUTS!J17,_ENGINE_FINANCIERO!J97,"")</f>
        <v/>
      </c>
      <c r="K122" s="44" t="str">
        <f aca="false">IF(01_INPUTS!K17,_ENGINE_FINANCIERO!K97,"")</f>
        <v/>
      </c>
      <c r="L122" s="44" t="str">
        <f aca="false">IF(01_INPUTS!L17,_ENGINE_FINANCIERO!L97,"")</f>
        <v/>
      </c>
      <c r="M122" s="44" t="str">
        <f aca="false">IF(01_INPUTS!M17,_ENGINE_FINANCIERO!M97,"")</f>
        <v/>
      </c>
      <c r="N122" s="44" t="str">
        <f aca="false">IF(01_INPUTS!N17,_ENGINE_FINANCIERO!N97,"")</f>
        <v/>
      </c>
      <c r="O122" s="44" t="str">
        <f aca="false">IF(01_INPUTS!O17,_ENGINE_FINANCIERO!O97,"")</f>
        <v/>
      </c>
      <c r="P122" s="44" t="str">
        <f aca="false">IF(01_INPUTS!P17,_ENGINE_FINANCIERO!P97,"")</f>
        <v/>
      </c>
      <c r="Q122" s="44" t="str">
        <f aca="false">IF(01_INPUTS!Q17,_ENGINE_FINANCIERO!Q97,"")</f>
        <v/>
      </c>
      <c r="R122" s="44" t="str">
        <f aca="false">IF(01_INPUTS!R17,_ENGINE_FINANCIERO!R97,"")</f>
        <v/>
      </c>
      <c r="S122" s="44" t="str">
        <f aca="false">IF(01_INPUTS!S17,_ENGINE_FINANCIERO!S97,"")</f>
        <v/>
      </c>
    </row>
    <row r="123" customFormat="false" ht="15" hidden="true" customHeight="false" outlineLevel="1" collapsed="false">
      <c r="A123" s="6" t="s">
        <v>270</v>
      </c>
      <c r="B123" s="43" t="s">
        <v>81</v>
      </c>
      <c r="G123" s="44" t="n">
        <f aca="false">_ENGINE_FINANCIERO!G144</f>
        <v>1730444000</v>
      </c>
      <c r="H123" s="44" t="n">
        <f aca="false">_ENGINE_FINANCIERO!H144</f>
        <v>1178203834.74677</v>
      </c>
      <c r="I123" s="44" t="n">
        <f aca="false">IF(01_INPUTS!I17,_ENGINE_FINANCIERO!I144,"")</f>
        <v>1708729886.28571</v>
      </c>
      <c r="J123" s="44" t="str">
        <f aca="false">IF(01_INPUTS!J17,_ENGINE_FINANCIERO!J144,"")</f>
        <v/>
      </c>
      <c r="K123" s="44" t="str">
        <f aca="false">IF(01_INPUTS!K17,_ENGINE_FINANCIERO!K144,"")</f>
        <v/>
      </c>
      <c r="L123" s="44" t="str">
        <f aca="false">IF(01_INPUTS!L17,_ENGINE_FINANCIERO!L144,"")</f>
        <v/>
      </c>
      <c r="M123" s="44" t="str">
        <f aca="false">IF(01_INPUTS!M17,_ENGINE_FINANCIERO!M144,"")</f>
        <v/>
      </c>
      <c r="N123" s="44" t="str">
        <f aca="false">IF(01_INPUTS!N17,_ENGINE_FINANCIERO!N144,"")</f>
        <v/>
      </c>
      <c r="O123" s="44" t="str">
        <f aca="false">IF(01_INPUTS!O17,_ENGINE_FINANCIERO!O144,"")</f>
        <v/>
      </c>
      <c r="P123" s="44" t="str">
        <f aca="false">IF(01_INPUTS!P17,_ENGINE_FINANCIERO!P144,"")</f>
        <v/>
      </c>
      <c r="Q123" s="44" t="str">
        <f aca="false">IF(01_INPUTS!Q17,_ENGINE_FINANCIERO!Q144,"")</f>
        <v/>
      </c>
      <c r="R123" s="44" t="str">
        <f aca="false">IF(01_INPUTS!R17,_ENGINE_FINANCIERO!R144,"")</f>
        <v/>
      </c>
      <c r="S123" s="44" t="str">
        <f aca="false">IF(01_INPUTS!S17,_ENGINE_FINANCIERO!S144,"")</f>
        <v/>
      </c>
    </row>
    <row r="124" customFormat="false" ht="15" hidden="false" customHeight="false" outlineLevel="0" collapsed="false">
      <c r="A124" s="8" t="s">
        <v>301</v>
      </c>
      <c r="B124" s="12" t="s">
        <v>81</v>
      </c>
      <c r="G124" s="42" t="n">
        <f aca="false">CHOOSE(MATCH($B$2,$U$1:$U$5,0),_ENGINE_FINANCIERO!G196,_ENGINE_FINANCIERO!G51,_ENGINE_FINANCIERO!G98,_ENGINE_FINANCIERO!G145,_ENGINE_FINANCIERO!G196)</f>
        <v>10817319047.8053</v>
      </c>
      <c r="H124" s="42" t="n">
        <f aca="false">CHOOSE(MATCH($B$2,$U$1:$U$5,0),_ENGINE_FINANCIERO!H196,_ENGINE_FINANCIERO!H51,_ENGINE_FINANCIERO!H98,_ENGINE_FINANCIERO!H145,_ENGINE_FINANCIERO!H196)</f>
        <v>5078588790.38561</v>
      </c>
      <c r="I124" s="42" t="n">
        <f aca="false">IF(01_INPUTS!I17,CHOOSE(MATCH($B$2,$U$1:$U$5,0),_ENGINE_FINANCIERO!I196,_ENGINE_FINANCIERO!I51,_ENGINE_FINANCIERO!I98,_ENGINE_FINANCIERO!I145,_ENGINE_FINANCIERO!I196),"")</f>
        <v>23640855094.9208</v>
      </c>
      <c r="J124" s="42" t="str">
        <f aca="false">IF(01_INPUTS!J17,CHOOSE(MATCH($B$2,$U$1:$U$5,0),_ENGINE_FINANCIERO!J196,_ENGINE_FINANCIERO!J51,_ENGINE_FINANCIERO!J98,_ENGINE_FINANCIERO!J145,_ENGINE_FINANCIERO!J196),"")</f>
        <v/>
      </c>
      <c r="K124" s="42" t="str">
        <f aca="false">IF(01_INPUTS!K17,CHOOSE(MATCH($B$2,$U$1:$U$5,0),_ENGINE_FINANCIERO!K196,_ENGINE_FINANCIERO!K51,_ENGINE_FINANCIERO!K98,_ENGINE_FINANCIERO!K145,_ENGINE_FINANCIERO!K196),"")</f>
        <v/>
      </c>
      <c r="L124" s="42" t="str">
        <f aca="false">IF(01_INPUTS!L17,CHOOSE(MATCH($B$2,$U$1:$U$5,0),_ENGINE_FINANCIERO!L196,_ENGINE_FINANCIERO!L51,_ENGINE_FINANCIERO!L98,_ENGINE_FINANCIERO!L145,_ENGINE_FINANCIERO!L196),"")</f>
        <v/>
      </c>
      <c r="M124" s="42" t="str">
        <f aca="false">IF(01_INPUTS!M17,CHOOSE(MATCH($B$2,$U$1:$U$5,0),_ENGINE_FINANCIERO!M196,_ENGINE_FINANCIERO!M51,_ENGINE_FINANCIERO!M98,_ENGINE_FINANCIERO!M145,_ENGINE_FINANCIERO!M196),"")</f>
        <v/>
      </c>
      <c r="N124" s="42" t="str">
        <f aca="false">IF(01_INPUTS!N17,CHOOSE(MATCH($B$2,$U$1:$U$5,0),_ENGINE_FINANCIERO!N196,_ENGINE_FINANCIERO!N51,_ENGINE_FINANCIERO!N98,_ENGINE_FINANCIERO!N145,_ENGINE_FINANCIERO!N196),"")</f>
        <v/>
      </c>
      <c r="O124" s="42" t="str">
        <f aca="false">IF(01_INPUTS!O17,CHOOSE(MATCH($B$2,$U$1:$U$5,0),_ENGINE_FINANCIERO!O196,_ENGINE_FINANCIERO!O51,_ENGINE_FINANCIERO!O98,_ENGINE_FINANCIERO!O145,_ENGINE_FINANCIERO!O196),"")</f>
        <v/>
      </c>
      <c r="P124" s="42" t="str">
        <f aca="false">IF(01_INPUTS!P17,CHOOSE(MATCH($B$2,$U$1:$U$5,0),_ENGINE_FINANCIERO!P196,_ENGINE_FINANCIERO!P51,_ENGINE_FINANCIERO!P98,_ENGINE_FINANCIERO!P145,_ENGINE_FINANCIERO!P196),"")</f>
        <v/>
      </c>
      <c r="Q124" s="42" t="str">
        <f aca="false">IF(01_INPUTS!Q17,CHOOSE(MATCH($B$2,$U$1:$U$5,0),_ENGINE_FINANCIERO!Q196,_ENGINE_FINANCIERO!Q51,_ENGINE_FINANCIERO!Q98,_ENGINE_FINANCIERO!Q145,_ENGINE_FINANCIERO!Q196),"")</f>
        <v/>
      </c>
      <c r="R124" s="42" t="str">
        <f aca="false">IF(01_INPUTS!R17,CHOOSE(MATCH($B$2,$U$1:$U$5,0),_ENGINE_FINANCIERO!R196,_ENGINE_FINANCIERO!R51,_ENGINE_FINANCIERO!R98,_ENGINE_FINANCIERO!R145,_ENGINE_FINANCIERO!R196),"")</f>
        <v/>
      </c>
      <c r="S124" s="42" t="str">
        <f aca="false">IF(01_INPUTS!S17,CHOOSE(MATCH($B$2,$U$1:$U$5,0),_ENGINE_FINANCIERO!S196,_ENGINE_FINANCIERO!S51,_ENGINE_FINANCIERO!S98,_ENGINE_FINANCIERO!S145,_ENGINE_FINANCIERO!S196),"")</f>
        <v/>
      </c>
    </row>
    <row r="125" customFormat="false" ht="15" hidden="true" customHeight="false" outlineLevel="1" collapsed="false">
      <c r="A125" s="6" t="s">
        <v>268</v>
      </c>
      <c r="B125" s="43" t="s">
        <v>81</v>
      </c>
      <c r="G125" s="44" t="n">
        <f aca="false">_ENGINE_FINANCIERO!G51</f>
        <v>9274082785.33571</v>
      </c>
      <c r="H125" s="44" t="n">
        <f aca="false">_ENGINE_FINANCIERO!H51</f>
        <v>1090285979.39674</v>
      </c>
      <c r="I125" s="44" t="n">
        <f aca="false">IF(01_INPUTS!I17,_ENGINE_FINANCIERO!I51,"")</f>
        <v>6669794982.73869</v>
      </c>
      <c r="J125" s="44" t="str">
        <f aca="false">IF(01_INPUTS!J17,_ENGINE_FINANCIERO!J51,"")</f>
        <v/>
      </c>
      <c r="K125" s="44" t="str">
        <f aca="false">IF(01_INPUTS!K17,_ENGINE_FINANCIERO!K51,"")</f>
        <v/>
      </c>
      <c r="L125" s="44" t="str">
        <f aca="false">IF(01_INPUTS!L17,_ENGINE_FINANCIERO!L51,"")</f>
        <v/>
      </c>
      <c r="M125" s="44" t="str">
        <f aca="false">IF(01_INPUTS!M17,_ENGINE_FINANCIERO!M51,"")</f>
        <v/>
      </c>
      <c r="N125" s="44" t="str">
        <f aca="false">IF(01_INPUTS!N17,_ENGINE_FINANCIERO!N51,"")</f>
        <v/>
      </c>
      <c r="O125" s="44" t="str">
        <f aca="false">IF(01_INPUTS!O17,_ENGINE_FINANCIERO!O51,"")</f>
        <v/>
      </c>
      <c r="P125" s="44" t="str">
        <f aca="false">IF(01_INPUTS!P17,_ENGINE_FINANCIERO!P51,"")</f>
        <v/>
      </c>
      <c r="Q125" s="44" t="str">
        <f aca="false">IF(01_INPUTS!Q17,_ENGINE_FINANCIERO!Q51,"")</f>
        <v/>
      </c>
      <c r="R125" s="44" t="str">
        <f aca="false">IF(01_INPUTS!R17,_ENGINE_FINANCIERO!R51,"")</f>
        <v/>
      </c>
      <c r="S125" s="44" t="str">
        <f aca="false">IF(01_INPUTS!S17,_ENGINE_FINANCIERO!S51,"")</f>
        <v/>
      </c>
    </row>
    <row r="126" customFormat="false" ht="15" hidden="true" customHeight="false" outlineLevel="1" collapsed="false">
      <c r="A126" s="6" t="s">
        <v>269</v>
      </c>
      <c r="B126" s="43" t="s">
        <v>81</v>
      </c>
      <c r="G126" s="44" t="n">
        <f aca="false">_ENGINE_FINANCIERO!G98</f>
        <v>365032427.722816</v>
      </c>
      <c r="H126" s="44" t="n">
        <f aca="false">_ENGINE_FINANCIERO!H98</f>
        <v>2279572924.70316</v>
      </c>
      <c r="I126" s="44" t="n">
        <f aca="false">IF(01_INPUTS!I17,_ENGINE_FINANCIERO!I98,"")</f>
        <v>7048486782.28204</v>
      </c>
      <c r="J126" s="44" t="str">
        <f aca="false">IF(01_INPUTS!J17,_ENGINE_FINANCIERO!J98,"")</f>
        <v/>
      </c>
      <c r="K126" s="44" t="str">
        <f aca="false">IF(01_INPUTS!K17,_ENGINE_FINANCIERO!K98,"")</f>
        <v/>
      </c>
      <c r="L126" s="44" t="str">
        <f aca="false">IF(01_INPUTS!L17,_ENGINE_FINANCIERO!L98,"")</f>
        <v/>
      </c>
      <c r="M126" s="44" t="str">
        <f aca="false">IF(01_INPUTS!M17,_ENGINE_FINANCIERO!M98,"")</f>
        <v/>
      </c>
      <c r="N126" s="44" t="str">
        <f aca="false">IF(01_INPUTS!N17,_ENGINE_FINANCIERO!N98,"")</f>
        <v/>
      </c>
      <c r="O126" s="44" t="str">
        <f aca="false">IF(01_INPUTS!O17,_ENGINE_FINANCIERO!O98,"")</f>
        <v/>
      </c>
      <c r="P126" s="44" t="str">
        <f aca="false">IF(01_INPUTS!P17,_ENGINE_FINANCIERO!P98,"")</f>
        <v/>
      </c>
      <c r="Q126" s="44" t="str">
        <f aca="false">IF(01_INPUTS!Q17,_ENGINE_FINANCIERO!Q98,"")</f>
        <v/>
      </c>
      <c r="R126" s="44" t="str">
        <f aca="false">IF(01_INPUTS!R17,_ENGINE_FINANCIERO!R98,"")</f>
        <v/>
      </c>
      <c r="S126" s="44" t="str">
        <f aca="false">IF(01_INPUTS!S17,_ENGINE_FINANCIERO!S98,"")</f>
        <v/>
      </c>
    </row>
    <row r="127" customFormat="false" ht="15" hidden="true" customHeight="false" outlineLevel="1" collapsed="false">
      <c r="A127" s="6" t="s">
        <v>270</v>
      </c>
      <c r="B127" s="43" t="s">
        <v>81</v>
      </c>
      <c r="G127" s="44" t="n">
        <f aca="false">_ENGINE_FINANCIERO!G145</f>
        <v>1178203834.74677</v>
      </c>
      <c r="H127" s="44" t="n">
        <f aca="false">_ENGINE_FINANCIERO!H145</f>
        <v>1708729886.28571</v>
      </c>
      <c r="I127" s="44" t="n">
        <f aca="false">IF(01_INPUTS!I17,_ENGINE_FINANCIERO!I145,"")</f>
        <v>9922573329.90008</v>
      </c>
      <c r="J127" s="44" t="str">
        <f aca="false">IF(01_INPUTS!J17,_ENGINE_FINANCIERO!J145,"")</f>
        <v/>
      </c>
      <c r="K127" s="44" t="str">
        <f aca="false">IF(01_INPUTS!K17,_ENGINE_FINANCIERO!K145,"")</f>
        <v/>
      </c>
      <c r="L127" s="44" t="str">
        <f aca="false">IF(01_INPUTS!L17,_ENGINE_FINANCIERO!L145,"")</f>
        <v/>
      </c>
      <c r="M127" s="44" t="str">
        <f aca="false">IF(01_INPUTS!M17,_ENGINE_FINANCIERO!M145,"")</f>
        <v/>
      </c>
      <c r="N127" s="44" t="str">
        <f aca="false">IF(01_INPUTS!N17,_ENGINE_FINANCIERO!N145,"")</f>
        <v/>
      </c>
      <c r="O127" s="44" t="str">
        <f aca="false">IF(01_INPUTS!O17,_ENGINE_FINANCIERO!O145,"")</f>
        <v/>
      </c>
      <c r="P127" s="44" t="str">
        <f aca="false">IF(01_INPUTS!P17,_ENGINE_FINANCIERO!P145,"")</f>
        <v/>
      </c>
      <c r="Q127" s="44" t="str">
        <f aca="false">IF(01_INPUTS!Q17,_ENGINE_FINANCIERO!Q145,"")</f>
        <v/>
      </c>
      <c r="R127" s="44" t="str">
        <f aca="false">IF(01_INPUTS!R17,_ENGINE_FINANCIERO!R145,"")</f>
        <v/>
      </c>
      <c r="S127" s="44" t="str">
        <f aca="false">IF(01_INPUTS!S17,_ENGINE_FINANCIERO!S145,"")</f>
        <v/>
      </c>
    </row>
  </sheetData>
  <mergeCells count="6">
    <mergeCell ref="A1:S1"/>
    <mergeCell ref="C2:S2"/>
    <mergeCell ref="A3:S3"/>
    <mergeCell ref="A6:S6"/>
    <mergeCell ref="A45:S45"/>
    <mergeCell ref="A99:S99"/>
  </mergeCells>
  <dataValidations count="1">
    <dataValidation allowBlank="false" errorStyle="stop" operator="between" showDropDown="false" showErrorMessage="false" showInputMessage="false" sqref="B2" type="list">
      <formula1>$U$1:$U$5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3" topLeftCell="G4" activePane="bottomRight" state="frozen"/>
      <selection pane="topLeft" activeCell="A1" activeCellId="0" sqref="A1"/>
      <selection pane="topRight" activeCell="G1" activeCellId="0" sqref="G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0"/>
    <col collapsed="false" customWidth="true" hidden="true" outlineLevel="0" max="6" min="3" style="0" width="13"/>
    <col collapsed="false" customWidth="true" hidden="false" outlineLevel="0" max="19" min="7" style="0" width="13"/>
  </cols>
  <sheetData>
    <row r="1" customFormat="false" ht="16.15" hidden="false" customHeight="false" outlineLevel="0" collapsed="false">
      <c r="A1" s="1" t="s">
        <v>302</v>
      </c>
      <c r="B1" s="1"/>
      <c r="C1" s="1"/>
      <c r="D1" s="1"/>
      <c r="E1" s="1"/>
      <c r="F1" s="1"/>
      <c r="G1" s="1"/>
      <c r="H1" s="1"/>
      <c r="I1" s="1"/>
      <c r="J1" s="1"/>
      <c r="K1" s="1"/>
      <c r="L1" s="1"/>
      <c r="M1" s="1"/>
      <c r="N1" s="1"/>
      <c r="O1" s="1"/>
      <c r="P1" s="1"/>
      <c r="Q1" s="1"/>
      <c r="R1" s="1"/>
      <c r="S1" s="1"/>
    </row>
    <row r="3" customFormat="false" ht="15" hidden="false" customHeight="false" outlineLevel="0" collapsed="false">
      <c r="A3" s="4" t="s">
        <v>251</v>
      </c>
      <c r="B3" s="4" t="s">
        <v>7</v>
      </c>
      <c r="C3" s="4"/>
      <c r="D3" s="4"/>
      <c r="E3" s="4"/>
      <c r="F3" s="4"/>
      <c r="G3" s="4" t="s">
        <v>252</v>
      </c>
      <c r="H3" s="4" t="s">
        <v>253</v>
      </c>
      <c r="I3" s="4" t="s">
        <v>254</v>
      </c>
      <c r="J3" s="4" t="s">
        <v>255</v>
      </c>
      <c r="K3" s="4" t="s">
        <v>256</v>
      </c>
      <c r="L3" s="4" t="s">
        <v>257</v>
      </c>
      <c r="M3" s="4" t="s">
        <v>258</v>
      </c>
      <c r="N3" s="4" t="s">
        <v>259</v>
      </c>
      <c r="O3" s="4" t="s">
        <v>260</v>
      </c>
      <c r="P3" s="4" t="s">
        <v>261</v>
      </c>
      <c r="Q3" s="4" t="s">
        <v>262</v>
      </c>
      <c r="R3" s="4" t="s">
        <v>263</v>
      </c>
      <c r="S3" s="4" t="s">
        <v>264</v>
      </c>
    </row>
    <row r="4" customFormat="false" ht="15" hidden="false" customHeight="false" outlineLevel="0" collapsed="false">
      <c r="A4" s="5" t="s">
        <v>303</v>
      </c>
      <c r="B4" s="5"/>
      <c r="C4" s="5"/>
      <c r="D4" s="5"/>
      <c r="E4" s="5"/>
      <c r="F4" s="5"/>
      <c r="G4" s="5"/>
      <c r="H4" s="5"/>
      <c r="I4" s="5"/>
      <c r="J4" s="5"/>
      <c r="K4" s="5"/>
      <c r="L4" s="5"/>
      <c r="M4" s="5"/>
      <c r="N4" s="5"/>
      <c r="O4" s="5"/>
      <c r="P4" s="5"/>
      <c r="Q4" s="5"/>
      <c r="R4" s="5"/>
      <c r="S4" s="5"/>
    </row>
    <row r="5" customFormat="false" ht="15" hidden="false" customHeight="false" outlineLevel="0" collapsed="false">
      <c r="A5" s="14" t="s">
        <v>304</v>
      </c>
      <c r="B5" s="12" t="s">
        <v>42</v>
      </c>
      <c r="G5" s="48" t="s">
        <v>305</v>
      </c>
      <c r="H5" s="48" t="s">
        <v>305</v>
      </c>
      <c r="I5" s="22" t="str">
        <f aca="false">IF(01_INPUTS!I17,IFERROR((_ENGINE_FINANCIERO!I160-_ENGINE_FINANCIERO!H160)/_ENGINE_FINANCIERO!H160,""),"")</f>
        <v/>
      </c>
      <c r="J5" s="22" t="str">
        <f aca="false">IF(01_INPUTS!J17,IFERROR((_ENGINE_FINANCIERO!J160-_ENGINE_FINANCIERO!I160)/_ENGINE_FINANCIERO!I160,""),"")</f>
        <v/>
      </c>
      <c r="K5" s="22" t="str">
        <f aca="false">IF(01_INPUTS!K17,IFERROR((_ENGINE_FINANCIERO!K160-_ENGINE_FINANCIERO!J160)/_ENGINE_FINANCIERO!J160,""),"")</f>
        <v/>
      </c>
      <c r="L5" s="22" t="str">
        <f aca="false">IF(01_INPUTS!L17,IFERROR((_ENGINE_FINANCIERO!L160-_ENGINE_FINANCIERO!K160)/_ENGINE_FINANCIERO!K160,""),"")</f>
        <v/>
      </c>
      <c r="M5" s="22" t="str">
        <f aca="false">IF(01_INPUTS!M17,IFERROR((_ENGINE_FINANCIERO!M160-_ENGINE_FINANCIERO!L160)/_ENGINE_FINANCIERO!L160,""),"")</f>
        <v/>
      </c>
      <c r="N5" s="22" t="str">
        <f aca="false">IF(01_INPUTS!N17,IFERROR((_ENGINE_FINANCIERO!N160-_ENGINE_FINANCIERO!M160)/_ENGINE_FINANCIERO!M160,""),"")</f>
        <v/>
      </c>
      <c r="O5" s="22" t="str">
        <f aca="false">IF(01_INPUTS!O17,IFERROR((_ENGINE_FINANCIERO!O160-_ENGINE_FINANCIERO!N160)/_ENGINE_FINANCIERO!N160,""),"")</f>
        <v/>
      </c>
      <c r="P5" s="22" t="str">
        <f aca="false">IF(01_INPUTS!P17,IFERROR((_ENGINE_FINANCIERO!P160-_ENGINE_FINANCIERO!O160)/_ENGINE_FINANCIERO!O160,""),"")</f>
        <v/>
      </c>
      <c r="Q5" s="22" t="str">
        <f aca="false">IF(01_INPUTS!Q17,IFERROR((_ENGINE_FINANCIERO!Q160-_ENGINE_FINANCIERO!P160)/_ENGINE_FINANCIERO!P160,""),"")</f>
        <v/>
      </c>
      <c r="R5" s="22" t="str">
        <f aca="false">IF(01_INPUTS!R17,IFERROR((_ENGINE_FINANCIERO!R160-_ENGINE_FINANCIERO!Q160)/_ENGINE_FINANCIERO!Q160,""),"")</f>
        <v/>
      </c>
      <c r="S5" s="22" t="str">
        <f aca="false">IF(01_INPUTS!S17,IFERROR((_ENGINE_FINANCIERO!S160-_ENGINE_FINANCIERO!R160)/_ENGINE_FINANCIERO!R160,""),"")</f>
        <v/>
      </c>
    </row>
    <row r="6" customFormat="false" ht="15" hidden="false" customHeight="false" outlineLevel="0" collapsed="false">
      <c r="A6" s="5" t="s">
        <v>306</v>
      </c>
      <c r="B6" s="5"/>
      <c r="C6" s="5"/>
      <c r="D6" s="5"/>
      <c r="E6" s="5"/>
      <c r="F6" s="5"/>
      <c r="G6" s="5"/>
      <c r="H6" s="5"/>
      <c r="I6" s="5"/>
      <c r="J6" s="5"/>
      <c r="K6" s="5"/>
      <c r="L6" s="5"/>
      <c r="M6" s="5"/>
      <c r="N6" s="5"/>
      <c r="O6" s="5"/>
      <c r="P6" s="5"/>
      <c r="Q6" s="5"/>
      <c r="R6" s="5"/>
      <c r="S6" s="5"/>
    </row>
    <row r="7" customFormat="false" ht="15" hidden="false" customHeight="false" outlineLevel="0" collapsed="false">
      <c r="A7" s="14" t="s">
        <v>307</v>
      </c>
      <c r="B7" s="12" t="s">
        <v>42</v>
      </c>
      <c r="G7" s="48" t="s">
        <v>305</v>
      </c>
      <c r="H7" s="48" t="s">
        <v>305</v>
      </c>
      <c r="I7" s="22" t="n">
        <f aca="false">IF(01_INPUTS!I17,IFERROR(_ENGINE_FINANCIERO!I162/_ENGINE_FINANCIERO!I160,""),"")</f>
        <v>0.244322936910566</v>
      </c>
      <c r="J7" s="22" t="str">
        <f aca="false">IF(01_INPUTS!J17,IFERROR(_ENGINE_FINANCIERO!J162/_ENGINE_FINANCIERO!J160,""),"")</f>
        <v/>
      </c>
      <c r="K7" s="22" t="str">
        <f aca="false">IF(01_INPUTS!K17,IFERROR(_ENGINE_FINANCIERO!K162/_ENGINE_FINANCIERO!K160,""),"")</f>
        <v/>
      </c>
      <c r="L7" s="22" t="str">
        <f aca="false">IF(01_INPUTS!L17,IFERROR(_ENGINE_FINANCIERO!L162/_ENGINE_FINANCIERO!L160,""),"")</f>
        <v/>
      </c>
      <c r="M7" s="22" t="str">
        <f aca="false">IF(01_INPUTS!M17,IFERROR(_ENGINE_FINANCIERO!M162/_ENGINE_FINANCIERO!M160,""),"")</f>
        <v/>
      </c>
      <c r="N7" s="22" t="str">
        <f aca="false">IF(01_INPUTS!N17,IFERROR(_ENGINE_FINANCIERO!N162/_ENGINE_FINANCIERO!N160,""),"")</f>
        <v/>
      </c>
      <c r="O7" s="22" t="str">
        <f aca="false">IF(01_INPUTS!O17,IFERROR(_ENGINE_FINANCIERO!O162/_ENGINE_FINANCIERO!O160,""),"")</f>
        <v/>
      </c>
      <c r="P7" s="22" t="str">
        <f aca="false">IF(01_INPUTS!P17,IFERROR(_ENGINE_FINANCIERO!P162/_ENGINE_FINANCIERO!P160,""),"")</f>
        <v/>
      </c>
      <c r="Q7" s="22" t="str">
        <f aca="false">IF(01_INPUTS!Q17,IFERROR(_ENGINE_FINANCIERO!Q162/_ENGINE_FINANCIERO!Q160,""),"")</f>
        <v/>
      </c>
      <c r="R7" s="22" t="str">
        <f aca="false">IF(01_INPUTS!R17,IFERROR(_ENGINE_FINANCIERO!R162/_ENGINE_FINANCIERO!R160,""),"")</f>
        <v/>
      </c>
      <c r="S7" s="22" t="str">
        <f aca="false">IF(01_INPUTS!S17,IFERROR(_ENGINE_FINANCIERO!S162/_ENGINE_FINANCIERO!S160,""),"")</f>
        <v/>
      </c>
    </row>
    <row r="8" customFormat="false" ht="15" hidden="false" customHeight="false" outlineLevel="0" collapsed="false">
      <c r="A8" s="14" t="s">
        <v>308</v>
      </c>
      <c r="B8" s="12" t="s">
        <v>42</v>
      </c>
      <c r="G8" s="48" t="s">
        <v>305</v>
      </c>
      <c r="H8" s="48" t="s">
        <v>305</v>
      </c>
      <c r="I8" s="22" t="n">
        <f aca="false">IF(01_INPUTS!I17,IFERROR(_ENGINE_FINANCIERO!I168/_ENGINE_FINANCIERO!I160,""),"")</f>
        <v>0.176954830854141</v>
      </c>
      <c r="J8" s="22" t="str">
        <f aca="false">IF(01_INPUTS!J17,IFERROR(_ENGINE_FINANCIERO!J168/_ENGINE_FINANCIERO!J160,""),"")</f>
        <v/>
      </c>
      <c r="K8" s="22" t="str">
        <f aca="false">IF(01_INPUTS!K17,IFERROR(_ENGINE_FINANCIERO!K168/_ENGINE_FINANCIERO!K160,""),"")</f>
        <v/>
      </c>
      <c r="L8" s="22" t="str">
        <f aca="false">IF(01_INPUTS!L17,IFERROR(_ENGINE_FINANCIERO!L168/_ENGINE_FINANCIERO!L160,""),"")</f>
        <v/>
      </c>
      <c r="M8" s="22" t="str">
        <f aca="false">IF(01_INPUTS!M17,IFERROR(_ENGINE_FINANCIERO!M168/_ENGINE_FINANCIERO!M160,""),"")</f>
        <v/>
      </c>
      <c r="N8" s="22" t="str">
        <f aca="false">IF(01_INPUTS!N17,IFERROR(_ENGINE_FINANCIERO!N168/_ENGINE_FINANCIERO!N160,""),"")</f>
        <v/>
      </c>
      <c r="O8" s="22" t="str">
        <f aca="false">IF(01_INPUTS!O17,IFERROR(_ENGINE_FINANCIERO!O168/_ENGINE_FINANCIERO!O160,""),"")</f>
        <v/>
      </c>
      <c r="P8" s="22" t="str">
        <f aca="false">IF(01_INPUTS!P17,IFERROR(_ENGINE_FINANCIERO!P168/_ENGINE_FINANCIERO!P160,""),"")</f>
        <v/>
      </c>
      <c r="Q8" s="22" t="str">
        <f aca="false">IF(01_INPUTS!Q17,IFERROR(_ENGINE_FINANCIERO!Q168/_ENGINE_FINANCIERO!Q160,""),"")</f>
        <v/>
      </c>
      <c r="R8" s="22" t="str">
        <f aca="false">IF(01_INPUTS!R17,IFERROR(_ENGINE_FINANCIERO!R168/_ENGINE_FINANCIERO!R160,""),"")</f>
        <v/>
      </c>
      <c r="S8" s="22" t="str">
        <f aca="false">IF(01_INPUTS!S17,IFERROR(_ENGINE_FINANCIERO!S168/_ENGINE_FINANCIERO!S160,""),"")</f>
        <v/>
      </c>
    </row>
    <row r="9" customFormat="false" ht="15" hidden="false" customHeight="false" outlineLevel="0" collapsed="false">
      <c r="A9" s="14" t="s">
        <v>309</v>
      </c>
      <c r="B9" s="12" t="s">
        <v>42</v>
      </c>
      <c r="G9" s="48" t="s">
        <v>305</v>
      </c>
      <c r="H9" s="48" t="s">
        <v>305</v>
      </c>
      <c r="I9" s="22" t="n">
        <f aca="false">IF(01_INPUTS!I17,IFERROR(_ENGINE_FINANCIERO!I168/((_ENGINE_FINANCIERO!H181+_ENGINE_FINANCIERO!I181)/2),""),"")</f>
        <v>0.804652419676564</v>
      </c>
      <c r="J9" s="22" t="str">
        <f aca="false">IF(01_INPUTS!J17,IFERROR(_ENGINE_FINANCIERO!J168/((_ENGINE_FINANCIERO!I181+_ENGINE_FINANCIERO!J181)/2),""),"")</f>
        <v/>
      </c>
      <c r="K9" s="22" t="str">
        <f aca="false">IF(01_INPUTS!K17,IFERROR(_ENGINE_FINANCIERO!K168/((_ENGINE_FINANCIERO!J181+_ENGINE_FINANCIERO!K181)/2),""),"")</f>
        <v/>
      </c>
      <c r="L9" s="22" t="str">
        <f aca="false">IF(01_INPUTS!L17,IFERROR(_ENGINE_FINANCIERO!L168/((_ENGINE_FINANCIERO!K181+_ENGINE_FINANCIERO!L181)/2),""),"")</f>
        <v/>
      </c>
      <c r="M9" s="22" t="str">
        <f aca="false">IF(01_INPUTS!M17,IFERROR(_ENGINE_FINANCIERO!M168/((_ENGINE_FINANCIERO!L181+_ENGINE_FINANCIERO!M181)/2),""),"")</f>
        <v/>
      </c>
      <c r="N9" s="22" t="str">
        <f aca="false">IF(01_INPUTS!N17,IFERROR(_ENGINE_FINANCIERO!N168/((_ENGINE_FINANCIERO!M181+_ENGINE_FINANCIERO!N181)/2),""),"")</f>
        <v/>
      </c>
      <c r="O9" s="22" t="str">
        <f aca="false">IF(01_INPUTS!O17,IFERROR(_ENGINE_FINANCIERO!O168/((_ENGINE_FINANCIERO!N181+_ENGINE_FINANCIERO!O181)/2),""),"")</f>
        <v/>
      </c>
      <c r="P9" s="22" t="str">
        <f aca="false">IF(01_INPUTS!P17,IFERROR(_ENGINE_FINANCIERO!P168/((_ENGINE_FINANCIERO!O181+_ENGINE_FINANCIERO!P181)/2),""),"")</f>
        <v/>
      </c>
      <c r="Q9" s="22" t="str">
        <f aca="false">IF(01_INPUTS!Q17,IFERROR(_ENGINE_FINANCIERO!Q168/((_ENGINE_FINANCIERO!P181+_ENGINE_FINANCIERO!Q181)/2),""),"")</f>
        <v/>
      </c>
      <c r="R9" s="22" t="str">
        <f aca="false">IF(01_INPUTS!R17,IFERROR(_ENGINE_FINANCIERO!R168/((_ENGINE_FINANCIERO!Q181+_ENGINE_FINANCIERO!R181)/2),""),"")</f>
        <v/>
      </c>
      <c r="S9" s="22" t="str">
        <f aca="false">IF(01_INPUTS!S17,IFERROR(_ENGINE_FINANCIERO!S168/((_ENGINE_FINANCIERO!R181+_ENGINE_FINANCIERO!S181)/2),""),"")</f>
        <v/>
      </c>
    </row>
    <row r="10" customFormat="false" ht="15" hidden="false" customHeight="false" outlineLevel="0" collapsed="false">
      <c r="A10" s="14" t="s">
        <v>310</v>
      </c>
      <c r="B10" s="12" t="s">
        <v>42</v>
      </c>
      <c r="G10" s="48" t="s">
        <v>305</v>
      </c>
      <c r="H10" s="48" t="s">
        <v>305</v>
      </c>
      <c r="I10" s="22" t="n">
        <f aca="false">IF(01_INPUTS!I17,IFERROR(_ENGINE_FINANCIERO!I164/(((_ENGINE_FINANCIERO!H182+_ENGINE_FINANCIERO!H183+_ENGINE_FINANCIERO!H181)+(_ENGINE_FINANCIERO!I182+_ENGINE_FINANCIERO!I183+_ENGINE_FINANCIERO!I181))/2),""),"")</f>
        <v>0.618383917922786</v>
      </c>
      <c r="J10" s="22" t="str">
        <f aca="false">IF(01_INPUTS!J17,IFERROR(_ENGINE_FINANCIERO!J164/(((_ENGINE_FINANCIERO!I182+_ENGINE_FINANCIERO!I183+_ENGINE_FINANCIERO!I181)+(_ENGINE_FINANCIERO!J182+_ENGINE_FINANCIERO!J183+_ENGINE_FINANCIERO!J181))/2),""),"")</f>
        <v/>
      </c>
      <c r="K10" s="22" t="str">
        <f aca="false">IF(01_INPUTS!K17,IFERROR(_ENGINE_FINANCIERO!K164/(((_ENGINE_FINANCIERO!J182+_ENGINE_FINANCIERO!J183+_ENGINE_FINANCIERO!J181)+(_ENGINE_FINANCIERO!K182+_ENGINE_FINANCIERO!K183+_ENGINE_FINANCIERO!K181))/2),""),"")</f>
        <v/>
      </c>
      <c r="L10" s="22" t="str">
        <f aca="false">IF(01_INPUTS!L17,IFERROR(_ENGINE_FINANCIERO!L164/(((_ENGINE_FINANCIERO!K182+_ENGINE_FINANCIERO!K183+_ENGINE_FINANCIERO!K181)+(_ENGINE_FINANCIERO!L182+_ENGINE_FINANCIERO!L183+_ENGINE_FINANCIERO!L181))/2),""),"")</f>
        <v/>
      </c>
      <c r="M10" s="22" t="str">
        <f aca="false">IF(01_INPUTS!M17,IFERROR(_ENGINE_FINANCIERO!M164/(((_ENGINE_FINANCIERO!L182+_ENGINE_FINANCIERO!L183+_ENGINE_FINANCIERO!L181)+(_ENGINE_FINANCIERO!M182+_ENGINE_FINANCIERO!M183+_ENGINE_FINANCIERO!M181))/2),""),"")</f>
        <v/>
      </c>
      <c r="N10" s="22" t="str">
        <f aca="false">IF(01_INPUTS!N17,IFERROR(_ENGINE_FINANCIERO!N164/(((_ENGINE_FINANCIERO!M182+_ENGINE_FINANCIERO!M183+_ENGINE_FINANCIERO!M181)+(_ENGINE_FINANCIERO!N182+_ENGINE_FINANCIERO!N183+_ENGINE_FINANCIERO!N181))/2),""),"")</f>
        <v/>
      </c>
      <c r="O10" s="22" t="str">
        <f aca="false">IF(01_INPUTS!O17,IFERROR(_ENGINE_FINANCIERO!O164/(((_ENGINE_FINANCIERO!N182+_ENGINE_FINANCIERO!N183+_ENGINE_FINANCIERO!N181)+(_ENGINE_FINANCIERO!O182+_ENGINE_FINANCIERO!O183+_ENGINE_FINANCIERO!O181))/2),""),"")</f>
        <v/>
      </c>
      <c r="P10" s="22" t="str">
        <f aca="false">IF(01_INPUTS!P17,IFERROR(_ENGINE_FINANCIERO!P164/(((_ENGINE_FINANCIERO!O182+_ENGINE_FINANCIERO!O183+_ENGINE_FINANCIERO!O181)+(_ENGINE_FINANCIERO!P182+_ENGINE_FINANCIERO!P183+_ENGINE_FINANCIERO!P181))/2),""),"")</f>
        <v/>
      </c>
      <c r="Q10" s="22" t="str">
        <f aca="false">IF(01_INPUTS!Q17,IFERROR(_ENGINE_FINANCIERO!Q164/(((_ENGINE_FINANCIERO!P182+_ENGINE_FINANCIERO!P183+_ENGINE_FINANCIERO!P181)+(_ENGINE_FINANCIERO!Q182+_ENGINE_FINANCIERO!Q183+_ENGINE_FINANCIERO!Q181))/2),""),"")</f>
        <v/>
      </c>
      <c r="R10" s="22" t="str">
        <f aca="false">IF(01_INPUTS!R17,IFERROR(_ENGINE_FINANCIERO!R164/(((_ENGINE_FINANCIERO!Q182+_ENGINE_FINANCIERO!Q183+_ENGINE_FINANCIERO!Q181)+(_ENGINE_FINANCIERO!R182+_ENGINE_FINANCIERO!R183+_ENGINE_FINANCIERO!R181))/2),""),"")</f>
        <v/>
      </c>
      <c r="S10" s="22" t="str">
        <f aca="false">IF(01_INPUTS!S17,IFERROR(_ENGINE_FINANCIERO!S164/(((_ENGINE_FINANCIERO!R182+_ENGINE_FINANCIERO!R183+_ENGINE_FINANCIERO!R181)+(_ENGINE_FINANCIERO!S182+_ENGINE_FINANCIERO!S183+_ENGINE_FINANCIERO!S181))/2),""),"")</f>
        <v/>
      </c>
    </row>
    <row r="11" customFormat="false" ht="15" hidden="false" customHeight="false" outlineLevel="0" collapsed="false">
      <c r="A11" s="46" t="s">
        <v>311</v>
      </c>
      <c r="B11" s="12" t="s">
        <v>42</v>
      </c>
      <c r="G11" s="48" t="s">
        <v>305</v>
      </c>
      <c r="H11" s="48" t="s">
        <v>305</v>
      </c>
      <c r="I11" s="22" t="n">
        <f aca="false">IF(01_INPUTS!I17,IFERROR((_ENGINE_FINANCIERO!I181/(_ENGINE_FINANCIERO!I182+_ENGINE_FINANCIERO!I183+_ENGINE_FINANCIERO!I181))*0.12+((_ENGINE_FINANCIERO!I182+_ENGINE_FINANCIERO!I183)/(_ENGINE_FINANCIERO!I182+_ENGINE_FINANCIERO!I183+_ENGINE_FINANCIERO!I181))*01_INPUTS!I29*(1-01_INPUTS!I23),""),"")</f>
        <v>0.0917562998591191</v>
      </c>
      <c r="J11" s="22" t="str">
        <f aca="false">IF(01_INPUTS!J17,IFERROR((_ENGINE_FINANCIERO!J181/(_ENGINE_FINANCIERO!J182+_ENGINE_FINANCIERO!J183+_ENGINE_FINANCIERO!J181))*0.12+((_ENGINE_FINANCIERO!J182+_ENGINE_FINANCIERO!J183)/(_ENGINE_FINANCIERO!J182+_ENGINE_FINANCIERO!J183+_ENGINE_FINANCIERO!J181))*01_INPUTS!J29*(1-01_INPUTS!J23),""),"")</f>
        <v/>
      </c>
      <c r="K11" s="22" t="str">
        <f aca="false">IF(01_INPUTS!K17,IFERROR((_ENGINE_FINANCIERO!K181/(_ENGINE_FINANCIERO!K182+_ENGINE_FINANCIERO!K183+_ENGINE_FINANCIERO!K181))*0.12+((_ENGINE_FINANCIERO!K182+_ENGINE_FINANCIERO!K183)/(_ENGINE_FINANCIERO!K182+_ENGINE_FINANCIERO!K183+_ENGINE_FINANCIERO!K181))*01_INPUTS!K29*(1-01_INPUTS!K23),""),"")</f>
        <v/>
      </c>
      <c r="L11" s="22" t="str">
        <f aca="false">IF(01_INPUTS!L17,IFERROR((_ENGINE_FINANCIERO!L181/(_ENGINE_FINANCIERO!L182+_ENGINE_FINANCIERO!L183+_ENGINE_FINANCIERO!L181))*0.12+((_ENGINE_FINANCIERO!L182+_ENGINE_FINANCIERO!L183)/(_ENGINE_FINANCIERO!L182+_ENGINE_FINANCIERO!L183+_ENGINE_FINANCIERO!L181))*01_INPUTS!L29*(1-01_INPUTS!L23),""),"")</f>
        <v/>
      </c>
      <c r="M11" s="22" t="str">
        <f aca="false">IF(01_INPUTS!M17,IFERROR((_ENGINE_FINANCIERO!M181/(_ENGINE_FINANCIERO!M182+_ENGINE_FINANCIERO!M183+_ENGINE_FINANCIERO!M181))*0.12+((_ENGINE_FINANCIERO!M182+_ENGINE_FINANCIERO!M183)/(_ENGINE_FINANCIERO!M182+_ENGINE_FINANCIERO!M183+_ENGINE_FINANCIERO!M181))*01_INPUTS!M29*(1-01_INPUTS!M23),""),"")</f>
        <v/>
      </c>
      <c r="N11" s="22" t="str">
        <f aca="false">IF(01_INPUTS!N17,IFERROR((_ENGINE_FINANCIERO!N181/(_ENGINE_FINANCIERO!N182+_ENGINE_FINANCIERO!N183+_ENGINE_FINANCIERO!N181))*0.12+((_ENGINE_FINANCIERO!N182+_ENGINE_FINANCIERO!N183)/(_ENGINE_FINANCIERO!N182+_ENGINE_FINANCIERO!N183+_ENGINE_FINANCIERO!N181))*01_INPUTS!N29*(1-01_INPUTS!N23),""),"")</f>
        <v/>
      </c>
      <c r="O11" s="22" t="str">
        <f aca="false">IF(01_INPUTS!O17,IFERROR((_ENGINE_FINANCIERO!O181/(_ENGINE_FINANCIERO!O182+_ENGINE_FINANCIERO!O183+_ENGINE_FINANCIERO!O181))*0.12+((_ENGINE_FINANCIERO!O182+_ENGINE_FINANCIERO!O183)/(_ENGINE_FINANCIERO!O182+_ENGINE_FINANCIERO!O183+_ENGINE_FINANCIERO!O181))*01_INPUTS!O29*(1-01_INPUTS!O23),""),"")</f>
        <v/>
      </c>
      <c r="P11" s="22" t="str">
        <f aca="false">IF(01_INPUTS!P17,IFERROR((_ENGINE_FINANCIERO!P181/(_ENGINE_FINANCIERO!P182+_ENGINE_FINANCIERO!P183+_ENGINE_FINANCIERO!P181))*0.12+((_ENGINE_FINANCIERO!P182+_ENGINE_FINANCIERO!P183)/(_ENGINE_FINANCIERO!P182+_ENGINE_FINANCIERO!P183+_ENGINE_FINANCIERO!P181))*01_INPUTS!P29*(1-01_INPUTS!P23),""),"")</f>
        <v/>
      </c>
      <c r="Q11" s="22" t="str">
        <f aca="false">IF(01_INPUTS!Q17,IFERROR((_ENGINE_FINANCIERO!Q181/(_ENGINE_FINANCIERO!Q182+_ENGINE_FINANCIERO!Q183+_ENGINE_FINANCIERO!Q181))*0.12+((_ENGINE_FINANCIERO!Q182+_ENGINE_FINANCIERO!Q183)/(_ENGINE_FINANCIERO!Q182+_ENGINE_FINANCIERO!Q183+_ENGINE_FINANCIERO!Q181))*01_INPUTS!Q29*(1-01_INPUTS!Q23),""),"")</f>
        <v/>
      </c>
      <c r="R11" s="22" t="str">
        <f aca="false">IF(01_INPUTS!R17,IFERROR((_ENGINE_FINANCIERO!R181/(_ENGINE_FINANCIERO!R182+_ENGINE_FINANCIERO!R183+_ENGINE_FINANCIERO!R181))*0.12+((_ENGINE_FINANCIERO!R182+_ENGINE_FINANCIERO!R183)/(_ENGINE_FINANCIERO!R182+_ENGINE_FINANCIERO!R183+_ENGINE_FINANCIERO!R181))*01_INPUTS!R29*(1-01_INPUTS!R23),""),"")</f>
        <v/>
      </c>
      <c r="S11" s="22" t="str">
        <f aca="false">IF(01_INPUTS!S17,IFERROR((_ENGINE_FINANCIERO!S181/(_ENGINE_FINANCIERO!S182+_ENGINE_FINANCIERO!S183+_ENGINE_FINANCIERO!S181))*0.12+((_ENGINE_FINANCIERO!S182+_ENGINE_FINANCIERO!S183)/(_ENGINE_FINANCIERO!S182+_ENGINE_FINANCIERO!S183+_ENGINE_FINANCIERO!S181))*01_INPUTS!S29*(1-01_INPUTS!S23),""),"")</f>
        <v/>
      </c>
    </row>
    <row r="12" customFormat="false" ht="15" hidden="false" customHeight="false" outlineLevel="0" collapsed="false">
      <c r="A12" s="46" t="s">
        <v>312</v>
      </c>
      <c r="B12" s="12" t="s">
        <v>313</v>
      </c>
      <c r="G12" s="48" t="s">
        <v>305</v>
      </c>
      <c r="H12" s="48" t="s">
        <v>305</v>
      </c>
      <c r="I12" s="49" t="n">
        <f aca="false">IF(01_INPUTS!I17,IFERROR(I10-I11,""),"")</f>
        <v>0.526627618063667</v>
      </c>
      <c r="J12" s="49" t="str">
        <f aca="false">IF(01_INPUTS!J17,IFERROR(J10-J11,""),"")</f>
        <v/>
      </c>
      <c r="K12" s="49" t="str">
        <f aca="false">IF(01_INPUTS!K17,IFERROR(K10-K11,""),"")</f>
        <v/>
      </c>
      <c r="L12" s="49" t="str">
        <f aca="false">IF(01_INPUTS!L17,IFERROR(L10-L11,""),"")</f>
        <v/>
      </c>
      <c r="M12" s="49" t="str">
        <f aca="false">IF(01_INPUTS!M17,IFERROR(M10-M11,""),"")</f>
        <v/>
      </c>
      <c r="N12" s="49" t="str">
        <f aca="false">IF(01_INPUTS!N17,IFERROR(N10-N11,""),"")</f>
        <v/>
      </c>
      <c r="O12" s="49" t="str">
        <f aca="false">IF(01_INPUTS!O17,IFERROR(O10-O11,""),"")</f>
        <v/>
      </c>
      <c r="P12" s="49" t="str">
        <f aca="false">IF(01_INPUTS!P17,IFERROR(P10-P11,""),"")</f>
        <v/>
      </c>
      <c r="Q12" s="49" t="str">
        <f aca="false">IF(01_INPUTS!Q17,IFERROR(Q10-Q11,""),"")</f>
        <v/>
      </c>
      <c r="R12" s="49" t="str">
        <f aca="false">IF(01_INPUTS!R17,IFERROR(R10-R11,""),"")</f>
        <v/>
      </c>
      <c r="S12" s="49" t="str">
        <f aca="false">IF(01_INPUTS!S17,IFERROR(S10-S11,""),"")</f>
        <v/>
      </c>
    </row>
    <row r="13" customFormat="false" ht="15" hidden="false" customHeight="false" outlineLevel="0" collapsed="false">
      <c r="A13" s="14" t="s">
        <v>314</v>
      </c>
      <c r="B13" s="12" t="s">
        <v>115</v>
      </c>
      <c r="G13" s="48" t="s">
        <v>305</v>
      </c>
      <c r="H13" s="48" t="s">
        <v>305</v>
      </c>
      <c r="I13" s="35" t="n">
        <f aca="false">IF(01_INPUTS!I17,IFERROR(_ENGINE_FINANCIERO!I168/(_ENGINE_FINANCIERO!I178),""),"")</f>
        <v>8.37850227204036</v>
      </c>
      <c r="J13" s="35" t="str">
        <f aca="false">IF(01_INPUTS!J17,IFERROR(_ENGINE_FINANCIERO!J168/(_ENGINE_FINANCIERO!J178),""),"")</f>
        <v/>
      </c>
      <c r="K13" s="35" t="str">
        <f aca="false">IF(01_INPUTS!K17,IFERROR(_ENGINE_FINANCIERO!K168/(_ENGINE_FINANCIERO!K178),""),"")</f>
        <v/>
      </c>
      <c r="L13" s="35" t="str">
        <f aca="false">IF(01_INPUTS!L17,IFERROR(_ENGINE_FINANCIERO!L168/(_ENGINE_FINANCIERO!L178),""),"")</f>
        <v/>
      </c>
      <c r="M13" s="35" t="str">
        <f aca="false">IF(01_INPUTS!M17,IFERROR(_ENGINE_FINANCIERO!M168/(_ENGINE_FINANCIERO!M178),""),"")</f>
        <v/>
      </c>
      <c r="N13" s="35" t="str">
        <f aca="false">IF(01_INPUTS!N17,IFERROR(_ENGINE_FINANCIERO!N168/(_ENGINE_FINANCIERO!N178),""),"")</f>
        <v/>
      </c>
      <c r="O13" s="35" t="str">
        <f aca="false">IF(01_INPUTS!O17,IFERROR(_ENGINE_FINANCIERO!O168/(_ENGINE_FINANCIERO!O178),""),"")</f>
        <v/>
      </c>
      <c r="P13" s="35" t="str">
        <f aca="false">IF(01_INPUTS!P17,IFERROR(_ENGINE_FINANCIERO!P168/(_ENGINE_FINANCIERO!P178),""),"")</f>
        <v/>
      </c>
      <c r="Q13" s="35" t="str">
        <f aca="false">IF(01_INPUTS!Q17,IFERROR(_ENGINE_FINANCIERO!Q168/(_ENGINE_FINANCIERO!Q178),""),"")</f>
        <v/>
      </c>
      <c r="R13" s="35" t="str">
        <f aca="false">IF(01_INPUTS!R17,IFERROR(_ENGINE_FINANCIERO!R168/(_ENGINE_FINANCIERO!R178),""),"")</f>
        <v/>
      </c>
      <c r="S13" s="35" t="str">
        <f aca="false">IF(01_INPUTS!S17,IFERROR(_ENGINE_FINANCIERO!S168/(_ENGINE_FINANCIERO!S178),""),"")</f>
        <v/>
      </c>
    </row>
    <row r="14" customFormat="false" ht="15" hidden="false" customHeight="false" outlineLevel="0" collapsed="false">
      <c r="A14" s="5" t="s">
        <v>315</v>
      </c>
      <c r="B14" s="5"/>
      <c r="C14" s="5"/>
      <c r="D14" s="5"/>
      <c r="E14" s="5"/>
      <c r="F14" s="5"/>
      <c r="G14" s="5"/>
      <c r="H14" s="5"/>
      <c r="I14" s="5"/>
      <c r="J14" s="5"/>
      <c r="K14" s="5"/>
      <c r="L14" s="5"/>
      <c r="M14" s="5"/>
      <c r="N14" s="5"/>
      <c r="O14" s="5"/>
      <c r="P14" s="5"/>
      <c r="Q14" s="5"/>
      <c r="R14" s="5"/>
      <c r="S14" s="5"/>
    </row>
    <row r="15" customFormat="false" ht="15" hidden="false" customHeight="false" outlineLevel="0" collapsed="false">
      <c r="A15" s="14" t="s">
        <v>316</v>
      </c>
      <c r="B15" s="12" t="s">
        <v>81</v>
      </c>
      <c r="G15" s="48" t="s">
        <v>305</v>
      </c>
      <c r="H15" s="48" t="s">
        <v>305</v>
      </c>
      <c r="I15" s="29" t="n">
        <f aca="false">IF(01_INPUTS!I17,_ENGINE_FINANCIERO!I190-(_ENGINE_PRODUCCION!I180+_ENGINE_PRODUCCION!I199),"")</f>
        <v>21562266304.5352</v>
      </c>
      <c r="J15" s="29" t="str">
        <f aca="false">IF(01_INPUTS!J17,_ENGINE_FINANCIERO!J190-(_ENGINE_PRODUCCION!J180+_ENGINE_PRODUCCION!J199),"")</f>
        <v/>
      </c>
      <c r="K15" s="29" t="str">
        <f aca="false">IF(01_INPUTS!K17,_ENGINE_FINANCIERO!K190-(_ENGINE_PRODUCCION!K180+_ENGINE_PRODUCCION!K199),"")</f>
        <v/>
      </c>
      <c r="L15" s="29" t="str">
        <f aca="false">IF(01_INPUTS!L17,_ENGINE_FINANCIERO!L190-(_ENGINE_PRODUCCION!L180+_ENGINE_PRODUCCION!L199),"")</f>
        <v/>
      </c>
      <c r="M15" s="29" t="str">
        <f aca="false">IF(01_INPUTS!M17,_ENGINE_FINANCIERO!M190-(_ENGINE_PRODUCCION!M180+_ENGINE_PRODUCCION!M199),"")</f>
        <v/>
      </c>
      <c r="N15" s="29" t="str">
        <f aca="false">IF(01_INPUTS!N17,_ENGINE_FINANCIERO!N190-(_ENGINE_PRODUCCION!N180+_ENGINE_PRODUCCION!N199),"")</f>
        <v/>
      </c>
      <c r="O15" s="29" t="str">
        <f aca="false">IF(01_INPUTS!O17,_ENGINE_FINANCIERO!O190-(_ENGINE_PRODUCCION!O180+_ENGINE_PRODUCCION!O199),"")</f>
        <v/>
      </c>
      <c r="P15" s="29" t="str">
        <f aca="false">IF(01_INPUTS!P17,_ENGINE_FINANCIERO!P190-(_ENGINE_PRODUCCION!P180+_ENGINE_PRODUCCION!P199),"")</f>
        <v/>
      </c>
      <c r="Q15" s="29" t="str">
        <f aca="false">IF(01_INPUTS!Q17,_ENGINE_FINANCIERO!Q190-(_ENGINE_PRODUCCION!Q180+_ENGINE_PRODUCCION!Q199),"")</f>
        <v/>
      </c>
      <c r="R15" s="29" t="str">
        <f aca="false">IF(01_INPUTS!R17,_ENGINE_FINANCIERO!R190-(_ENGINE_PRODUCCION!R180+_ENGINE_PRODUCCION!R199),"")</f>
        <v/>
      </c>
      <c r="S15" s="29" t="str">
        <f aca="false">IF(01_INPUTS!S17,_ENGINE_FINANCIERO!S190-(_ENGINE_PRODUCCION!S180+_ENGINE_PRODUCCION!S199),"")</f>
        <v/>
      </c>
    </row>
    <row r="16" customFormat="false" ht="15" hidden="false" customHeight="false" outlineLevel="0" collapsed="false">
      <c r="A16" s="14" t="s">
        <v>317</v>
      </c>
      <c r="B16" s="12" t="s">
        <v>81</v>
      </c>
      <c r="G16" s="29" t="n">
        <f aca="false">_ENGINE_FINANCIERO!G182+_ENGINE_FINANCIERO!G183</f>
        <v>11900000000</v>
      </c>
      <c r="H16" s="29" t="n">
        <f aca="false">_ENGINE_FINANCIERO!H182+_ENGINE_FINANCIERO!H183</f>
        <v>11900000000</v>
      </c>
      <c r="I16" s="29" t="n">
        <f aca="false">IF(01_INPUTS!I17,_ENGINE_FINANCIERO!I182+_ENGINE_FINANCIERO!I183,"")</f>
        <v>11900000000</v>
      </c>
      <c r="J16" s="29" t="str">
        <f aca="false">IF(01_INPUTS!J17,_ENGINE_FINANCIERO!J182+_ENGINE_FINANCIERO!J183,"")</f>
        <v/>
      </c>
      <c r="K16" s="29" t="str">
        <f aca="false">IF(01_INPUTS!K17,_ENGINE_FINANCIERO!K182+_ENGINE_FINANCIERO!K183,"")</f>
        <v/>
      </c>
      <c r="L16" s="29" t="str">
        <f aca="false">IF(01_INPUTS!L17,_ENGINE_FINANCIERO!L182+_ENGINE_FINANCIERO!L183,"")</f>
        <v/>
      </c>
      <c r="M16" s="29" t="str">
        <f aca="false">IF(01_INPUTS!M17,_ENGINE_FINANCIERO!M182+_ENGINE_FINANCIERO!M183,"")</f>
        <v/>
      </c>
      <c r="N16" s="29" t="str">
        <f aca="false">IF(01_INPUTS!N17,_ENGINE_FINANCIERO!N182+_ENGINE_FINANCIERO!N183,"")</f>
        <v/>
      </c>
      <c r="O16" s="29" t="str">
        <f aca="false">IF(01_INPUTS!O17,_ENGINE_FINANCIERO!O182+_ENGINE_FINANCIERO!O183,"")</f>
        <v/>
      </c>
      <c r="P16" s="29" t="str">
        <f aca="false">IF(01_INPUTS!P17,_ENGINE_FINANCIERO!P182+_ENGINE_FINANCIERO!P183,"")</f>
        <v/>
      </c>
      <c r="Q16" s="29" t="str">
        <f aca="false">IF(01_INPUTS!Q17,_ENGINE_FINANCIERO!Q182+_ENGINE_FINANCIERO!Q183,"")</f>
        <v/>
      </c>
      <c r="R16" s="29" t="str">
        <f aca="false">IF(01_INPUTS!R17,_ENGINE_FINANCIERO!R182+_ENGINE_FINANCIERO!R183,"")</f>
        <v/>
      </c>
      <c r="S16" s="29" t="str">
        <f aca="false">IF(01_INPUTS!S17,_ENGINE_FINANCIERO!S182+_ENGINE_FINANCIERO!S183,"")</f>
        <v/>
      </c>
    </row>
    <row r="17" customFormat="false" ht="15" hidden="false" customHeight="false" outlineLevel="0" collapsed="false">
      <c r="A17" s="14" t="s">
        <v>318</v>
      </c>
      <c r="B17" s="12" t="s">
        <v>319</v>
      </c>
      <c r="G17" s="50" t="n">
        <f aca="false">IFERROR((_ENGINE_FINANCIERO!G182+_ENGINE_FINANCIERO!G183)/_ENGINE_FINANCIERO!G181,"")</f>
        <v>1.18957627484673</v>
      </c>
      <c r="H17" s="50" t="n">
        <f aca="false">IFERROR((_ENGINE_FINANCIERO!H182+_ENGINE_FINANCIERO!H183)/_ENGINE_FINANCIERO!H181,"")</f>
        <v>1.02472264291798</v>
      </c>
      <c r="I17" s="50" t="n">
        <f aca="false">IF(01_INPUTS!I17,IFERROR((_ENGINE_FINANCIERO!I182+_ENGINE_FINANCIERO!I183)/_ENGINE_FINANCIERO!I181,""),"")</f>
        <v>0.53536165758977</v>
      </c>
      <c r="J17" s="50" t="str">
        <f aca="false">IF(01_INPUTS!J17,IFERROR((_ENGINE_FINANCIERO!J182+_ENGINE_FINANCIERO!J183)/_ENGINE_FINANCIERO!J181,""),"")</f>
        <v/>
      </c>
      <c r="K17" s="50" t="str">
        <f aca="false">IF(01_INPUTS!K17,IFERROR((_ENGINE_FINANCIERO!K182+_ENGINE_FINANCIERO!K183)/_ENGINE_FINANCIERO!K181,""),"")</f>
        <v/>
      </c>
      <c r="L17" s="50" t="str">
        <f aca="false">IF(01_INPUTS!L17,IFERROR((_ENGINE_FINANCIERO!L182+_ENGINE_FINANCIERO!L183)/_ENGINE_FINANCIERO!L181,""),"")</f>
        <v/>
      </c>
      <c r="M17" s="50" t="str">
        <f aca="false">IF(01_INPUTS!M17,IFERROR((_ENGINE_FINANCIERO!M182+_ENGINE_FINANCIERO!M183)/_ENGINE_FINANCIERO!M181,""),"")</f>
        <v/>
      </c>
      <c r="N17" s="50" t="str">
        <f aca="false">IF(01_INPUTS!N17,IFERROR((_ENGINE_FINANCIERO!N182+_ENGINE_FINANCIERO!N183)/_ENGINE_FINANCIERO!N181,""),"")</f>
        <v/>
      </c>
      <c r="O17" s="50" t="str">
        <f aca="false">IF(01_INPUTS!O17,IFERROR((_ENGINE_FINANCIERO!O182+_ENGINE_FINANCIERO!O183)/_ENGINE_FINANCIERO!O181,""),"")</f>
        <v/>
      </c>
      <c r="P17" s="50" t="str">
        <f aca="false">IF(01_INPUTS!P17,IFERROR((_ENGINE_FINANCIERO!P182+_ENGINE_FINANCIERO!P183)/_ENGINE_FINANCIERO!P181,""),"")</f>
        <v/>
      </c>
      <c r="Q17" s="50" t="str">
        <f aca="false">IF(01_INPUTS!Q17,IFERROR((_ENGINE_FINANCIERO!Q182+_ENGINE_FINANCIERO!Q183)/_ENGINE_FINANCIERO!Q181,""),"")</f>
        <v/>
      </c>
      <c r="R17" s="50" t="str">
        <f aca="false">IF(01_INPUTS!R17,IFERROR((_ENGINE_FINANCIERO!R182+_ENGINE_FINANCIERO!R183)/_ENGINE_FINANCIERO!R181,""),"")</f>
        <v/>
      </c>
      <c r="S17" s="50" t="str">
        <f aca="false">IF(01_INPUTS!S17,IFERROR((_ENGINE_FINANCIERO!S182+_ENGINE_FINANCIERO!S183)/_ENGINE_FINANCIERO!S181,""),"")</f>
        <v/>
      </c>
    </row>
    <row r="18" customFormat="false" ht="15" hidden="false" customHeight="false" outlineLevel="0" collapsed="false">
      <c r="A18" s="14" t="s">
        <v>320</v>
      </c>
      <c r="B18" s="12" t="s">
        <v>42</v>
      </c>
      <c r="G18" s="48" t="s">
        <v>305</v>
      </c>
      <c r="H18" s="48" t="s">
        <v>305</v>
      </c>
      <c r="I18" s="22" t="n">
        <f aca="false">IF(01_INPUTS!I17,IFERROR(IF(ISNUMBER(01_INPUTS!I270),01_INPUTS!I270,0)/_ENGINE_FINANCIERO!I168,""),"")</f>
        <v>0.220344136244325</v>
      </c>
      <c r="J18" s="22" t="str">
        <f aca="false">IF(01_INPUTS!J17,IFERROR(IF(ISNUMBER(01_INPUTS!J270),01_INPUTS!J270,0)/_ENGINE_FINANCIERO!J168,""),"")</f>
        <v/>
      </c>
      <c r="K18" s="22" t="str">
        <f aca="false">IF(01_INPUTS!K17,IFERROR(IF(ISNUMBER(01_INPUTS!K270),01_INPUTS!K270,0)/_ENGINE_FINANCIERO!K168,""),"")</f>
        <v/>
      </c>
      <c r="L18" s="22" t="str">
        <f aca="false">IF(01_INPUTS!L17,IFERROR(IF(ISNUMBER(01_INPUTS!L270),01_INPUTS!L270,0)/_ENGINE_FINANCIERO!L168,""),"")</f>
        <v/>
      </c>
      <c r="M18" s="22" t="str">
        <f aca="false">IF(01_INPUTS!M17,IFERROR(IF(ISNUMBER(01_INPUTS!M270),01_INPUTS!M270,0)/_ENGINE_FINANCIERO!M168,""),"")</f>
        <v/>
      </c>
      <c r="N18" s="22" t="str">
        <f aca="false">IF(01_INPUTS!N17,IFERROR(IF(ISNUMBER(01_INPUTS!N270),01_INPUTS!N270,0)/_ENGINE_FINANCIERO!N168,""),"")</f>
        <v/>
      </c>
      <c r="O18" s="22" t="str">
        <f aca="false">IF(01_INPUTS!O17,IFERROR(IF(ISNUMBER(01_INPUTS!O270),01_INPUTS!O270,0)/_ENGINE_FINANCIERO!O168,""),"")</f>
        <v/>
      </c>
      <c r="P18" s="22" t="str">
        <f aca="false">IF(01_INPUTS!P17,IFERROR(IF(ISNUMBER(01_INPUTS!P270),01_INPUTS!P270,0)/_ENGINE_FINANCIERO!P168,""),"")</f>
        <v/>
      </c>
      <c r="Q18" s="22" t="str">
        <f aca="false">IF(01_INPUTS!Q17,IFERROR(IF(ISNUMBER(01_INPUTS!Q270),01_INPUTS!Q270,0)/_ENGINE_FINANCIERO!Q168,""),"")</f>
        <v/>
      </c>
      <c r="R18" s="22" t="str">
        <f aca="false">IF(01_INPUTS!R17,IFERROR(IF(ISNUMBER(01_INPUTS!R270),01_INPUTS!R270,0)/_ENGINE_FINANCIERO!R168,""),"")</f>
        <v/>
      </c>
      <c r="S18" s="22" t="str">
        <f aca="false">IF(01_INPUTS!S17,IFERROR(IF(ISNUMBER(01_INPUTS!S270),01_INPUTS!S270,0)/_ENGINE_FINANCIERO!S168,""),"")</f>
        <v/>
      </c>
    </row>
    <row r="19" customFormat="false" ht="15" hidden="false" customHeight="false" outlineLevel="0" collapsed="false">
      <c r="A19" s="5" t="s">
        <v>321</v>
      </c>
      <c r="B19" s="5"/>
      <c r="C19" s="5"/>
      <c r="D19" s="5"/>
      <c r="E19" s="5"/>
      <c r="F19" s="5"/>
      <c r="G19" s="5"/>
      <c r="H19" s="5"/>
      <c r="I19" s="5"/>
      <c r="J19" s="5"/>
      <c r="K19" s="5"/>
      <c r="L19" s="5"/>
      <c r="M19" s="5"/>
      <c r="N19" s="5"/>
      <c r="O19" s="5"/>
      <c r="P19" s="5"/>
      <c r="Q19" s="5"/>
      <c r="R19" s="5"/>
      <c r="S19" s="5"/>
    </row>
    <row r="20" customFormat="false" ht="15" hidden="false" customHeight="false" outlineLevel="0" collapsed="false">
      <c r="A20" s="46" t="s">
        <v>322</v>
      </c>
      <c r="B20" s="12" t="s">
        <v>81</v>
      </c>
      <c r="G20" s="51" t="n">
        <f aca="false">01_INPUTS!G61</f>
        <v>33.5923600993318</v>
      </c>
      <c r="H20" s="51" t="n">
        <f aca="false">01_INPUTS!H61</f>
        <v>38.6517949069181</v>
      </c>
      <c r="I20" s="51" t="n">
        <f aca="false">IF(01_INPUTS!I17,01_INPUTS!I61,"")</f>
        <v>38.6517949069181</v>
      </c>
      <c r="J20" s="51" t="str">
        <f aca="false">IF(01_INPUTS!J17,01_INPUTS!J61,"")</f>
        <v/>
      </c>
      <c r="K20" s="51" t="str">
        <f aca="false">IF(01_INPUTS!K17,01_INPUTS!K61,"")</f>
        <v/>
      </c>
      <c r="L20" s="51" t="str">
        <f aca="false">IF(01_INPUTS!L17,01_INPUTS!L61,"")</f>
        <v/>
      </c>
      <c r="M20" s="51" t="str">
        <f aca="false">IF(01_INPUTS!M17,01_INPUTS!M61,"")</f>
        <v/>
      </c>
      <c r="N20" s="51" t="str">
        <f aca="false">IF(01_INPUTS!N17,01_INPUTS!N61,"")</f>
        <v/>
      </c>
      <c r="O20" s="51" t="str">
        <f aca="false">IF(01_INPUTS!O17,01_INPUTS!O61,"")</f>
        <v/>
      </c>
      <c r="P20" s="51" t="str">
        <f aca="false">IF(01_INPUTS!P17,01_INPUTS!P61,"")</f>
        <v/>
      </c>
      <c r="Q20" s="51" t="str">
        <f aca="false">IF(01_INPUTS!Q17,01_INPUTS!Q61,"")</f>
        <v/>
      </c>
      <c r="R20" s="51" t="str">
        <f aca="false">IF(01_INPUTS!R17,01_INPUTS!R61,"")</f>
        <v/>
      </c>
      <c r="S20" s="51" t="str">
        <f aca="false">IF(01_INPUTS!S17,01_INPUTS!S61,"")</f>
        <v/>
      </c>
    </row>
    <row r="21" customFormat="false" ht="15" hidden="false" customHeight="false" outlineLevel="0" collapsed="false">
      <c r="A21" s="46" t="s">
        <v>323</v>
      </c>
      <c r="B21" s="12" t="s">
        <v>319</v>
      </c>
      <c r="G21" s="48" t="s">
        <v>305</v>
      </c>
      <c r="H21" s="48" t="s">
        <v>305</v>
      </c>
      <c r="I21" s="52" t="n">
        <f aca="false">IF(01_INPUTS!I17,IFERROR(01_INPUTS!I61/I13,""),"")</f>
        <v>4.61321052998957</v>
      </c>
      <c r="J21" s="52" t="str">
        <f aca="false">IF(01_INPUTS!J17,IFERROR(01_INPUTS!J61/J13,""),"")</f>
        <v/>
      </c>
      <c r="K21" s="52" t="str">
        <f aca="false">IF(01_INPUTS!K17,IFERROR(01_INPUTS!K61/K13,""),"")</f>
        <v/>
      </c>
      <c r="L21" s="52" t="str">
        <f aca="false">IF(01_INPUTS!L17,IFERROR(01_INPUTS!L61/L13,""),"")</f>
        <v/>
      </c>
      <c r="M21" s="52" t="str">
        <f aca="false">IF(01_INPUTS!M17,IFERROR(01_INPUTS!M61/M13,""),"")</f>
        <v/>
      </c>
      <c r="N21" s="52" t="str">
        <f aca="false">IF(01_INPUTS!N17,IFERROR(01_INPUTS!N61/N13,""),"")</f>
        <v/>
      </c>
      <c r="O21" s="52" t="str">
        <f aca="false">IF(01_INPUTS!O17,IFERROR(01_INPUTS!O61/O13,""),"")</f>
        <v/>
      </c>
      <c r="P21" s="52" t="str">
        <f aca="false">IF(01_INPUTS!P17,IFERROR(01_INPUTS!P61/P13,""),"")</f>
        <v/>
      </c>
      <c r="Q21" s="52" t="str">
        <f aca="false">IF(01_INPUTS!Q17,IFERROR(01_INPUTS!Q61/Q13,""),"")</f>
        <v/>
      </c>
      <c r="R21" s="52" t="str">
        <f aca="false">IF(01_INPUTS!R17,IFERROR(01_INPUTS!R61/R13,""),"")</f>
        <v/>
      </c>
      <c r="S21" s="52" t="str">
        <f aca="false">IF(01_INPUTS!S17,IFERROR(01_INPUTS!S61/S13,""),"")</f>
        <v/>
      </c>
    </row>
    <row r="22" customFormat="false" ht="15" hidden="false" customHeight="false" outlineLevel="0" collapsed="false">
      <c r="A22" s="46" t="s">
        <v>324</v>
      </c>
      <c r="B22" s="12" t="s">
        <v>42</v>
      </c>
      <c r="G22" s="48" t="s">
        <v>305</v>
      </c>
      <c r="H22" s="48" t="s">
        <v>305</v>
      </c>
      <c r="I22" s="53" t="n">
        <f aca="false">IF(01_INPUTS!I17,IFERROR((IF(ISNUMBER(01_INPUTS!I270),01_INPUTS!I270,0)/(_ENGINE_FINANCIERO!I178))/01_INPUTS!I61,""),"")</f>
        <v>0.0477637287116882</v>
      </c>
      <c r="J22" s="53" t="str">
        <f aca="false">IF(01_INPUTS!J17,IFERROR((IF(ISNUMBER(01_INPUTS!J270),01_INPUTS!J270,0)/(_ENGINE_FINANCIERO!J178))/01_INPUTS!J61,""),"")</f>
        <v/>
      </c>
      <c r="K22" s="53" t="str">
        <f aca="false">IF(01_INPUTS!K17,IFERROR((IF(ISNUMBER(01_INPUTS!K270),01_INPUTS!K270,0)/(_ENGINE_FINANCIERO!K178))/01_INPUTS!K61,""),"")</f>
        <v/>
      </c>
      <c r="L22" s="53" t="str">
        <f aca="false">IF(01_INPUTS!L17,IFERROR((IF(ISNUMBER(01_INPUTS!L270),01_INPUTS!L270,0)/(_ENGINE_FINANCIERO!L178))/01_INPUTS!L61,""),"")</f>
        <v/>
      </c>
      <c r="M22" s="53" t="str">
        <f aca="false">IF(01_INPUTS!M17,IFERROR((IF(ISNUMBER(01_INPUTS!M270),01_INPUTS!M270,0)/(_ENGINE_FINANCIERO!M178))/01_INPUTS!M61,""),"")</f>
        <v/>
      </c>
      <c r="N22" s="53" t="str">
        <f aca="false">IF(01_INPUTS!N17,IFERROR((IF(ISNUMBER(01_INPUTS!N270),01_INPUTS!N270,0)/(_ENGINE_FINANCIERO!N178))/01_INPUTS!N61,""),"")</f>
        <v/>
      </c>
      <c r="O22" s="53" t="str">
        <f aca="false">IF(01_INPUTS!O17,IFERROR((IF(ISNUMBER(01_INPUTS!O270),01_INPUTS!O270,0)/(_ENGINE_FINANCIERO!O178))/01_INPUTS!O61,""),"")</f>
        <v/>
      </c>
      <c r="P22" s="53" t="str">
        <f aca="false">IF(01_INPUTS!P17,IFERROR((IF(ISNUMBER(01_INPUTS!P270),01_INPUTS!P270,0)/(_ENGINE_FINANCIERO!P178))/01_INPUTS!P61,""),"")</f>
        <v/>
      </c>
      <c r="Q22" s="53" t="str">
        <f aca="false">IF(01_INPUTS!Q17,IFERROR((IF(ISNUMBER(01_INPUTS!Q270),01_INPUTS!Q270,0)/(_ENGINE_FINANCIERO!Q178))/01_INPUTS!Q61,""),"")</f>
        <v/>
      </c>
      <c r="R22" s="53" t="str">
        <f aca="false">IF(01_INPUTS!R17,IFERROR((IF(ISNUMBER(01_INPUTS!R270),01_INPUTS!R270,0)/(_ENGINE_FINANCIERO!R178))/01_INPUTS!R61,""),"")</f>
        <v/>
      </c>
      <c r="S22" s="53" t="str">
        <f aca="false">IF(01_INPUTS!S17,IFERROR((IF(ISNUMBER(01_INPUTS!S270),01_INPUTS!S270,0)/(_ENGINE_FINANCIERO!S178))/01_INPUTS!S61,""),"")</f>
        <v/>
      </c>
    </row>
    <row r="23" customFormat="false" ht="15" hidden="false" customHeight="false" outlineLevel="0" collapsed="false">
      <c r="A23" s="46" t="s">
        <v>325</v>
      </c>
      <c r="B23" s="12" t="s">
        <v>42</v>
      </c>
      <c r="G23" s="48" t="s">
        <v>69</v>
      </c>
      <c r="H23" s="54" t="n">
        <v>0.18725103</v>
      </c>
      <c r="I23" s="53" t="n">
        <f aca="false">IF(01_INPUTS!I17,IFERROR((01_INPUTS!I61/01_INPUTS!H61)*(1+I22)-1,""),"")</f>
        <v>0.0477637287116881</v>
      </c>
      <c r="J23" s="53" t="str">
        <f aca="false">IF(01_INPUTS!J17,IFERROR((01_INPUTS!J61/01_INPUTS!I61)*(1+J22)-1,""),"")</f>
        <v/>
      </c>
      <c r="K23" s="53" t="str">
        <f aca="false">IF(01_INPUTS!K17,IFERROR((01_INPUTS!K61/01_INPUTS!J61)*(1+K22)-1,""),"")</f>
        <v/>
      </c>
      <c r="L23" s="53" t="str">
        <f aca="false">IF(01_INPUTS!L17,IFERROR((01_INPUTS!L61/01_INPUTS!K61)*(1+L22)-1,""),"")</f>
        <v/>
      </c>
      <c r="M23" s="53" t="str">
        <f aca="false">IF(01_INPUTS!M17,IFERROR((01_INPUTS!M61/01_INPUTS!L61)*(1+M22)-1,""),"")</f>
        <v/>
      </c>
      <c r="N23" s="53" t="str">
        <f aca="false">IF(01_INPUTS!N17,IFERROR((01_INPUTS!N61/01_INPUTS!M61)*(1+N22)-1,""),"")</f>
        <v/>
      </c>
      <c r="O23" s="53" t="str">
        <f aca="false">IF(01_INPUTS!O17,IFERROR((01_INPUTS!O61/01_INPUTS!N61)*(1+O22)-1,""),"")</f>
        <v/>
      </c>
      <c r="P23" s="53" t="str">
        <f aca="false">IF(01_INPUTS!P17,IFERROR((01_INPUTS!P61/01_INPUTS!O61)*(1+P22)-1,""),"")</f>
        <v/>
      </c>
      <c r="Q23" s="53" t="str">
        <f aca="false">IF(01_INPUTS!Q17,IFERROR((01_INPUTS!Q61/01_INPUTS!P61)*(1+Q22)-1,""),"")</f>
        <v/>
      </c>
      <c r="R23" s="53" t="str">
        <f aca="false">IF(01_INPUTS!R17,IFERROR((01_INPUTS!R61/01_INPUTS!Q61)*(1+R22)-1,""),"")</f>
        <v/>
      </c>
      <c r="S23" s="53" t="str">
        <f aca="false">IF(01_INPUTS!S17,IFERROR((01_INPUTS!S61/01_INPUTS!R61)*(1+S22)-1,""),"")</f>
        <v/>
      </c>
    </row>
    <row r="24" customFormat="false" ht="15" hidden="false" customHeight="false" outlineLevel="0" collapsed="false">
      <c r="A24" s="46" t="s">
        <v>326</v>
      </c>
      <c r="B24" s="12" t="s">
        <v>319</v>
      </c>
      <c r="G24" s="55" t="n">
        <v>1</v>
      </c>
      <c r="H24" s="56" t="n">
        <f aca="false">G24*(1+H23)</f>
        <v>1.18725103</v>
      </c>
      <c r="I24" s="56" t="n">
        <f aca="false">IF(01_INPUTS!I17,H24*(1+I23),"")</f>
        <v>1.24395856610959</v>
      </c>
      <c r="J24" s="56" t="str">
        <f aca="false">IF(01_INPUTS!J17,I24*(1+J23),"")</f>
        <v/>
      </c>
      <c r="K24" s="56" t="str">
        <f aca="false">IF(01_INPUTS!K17,J24*(1+K23),"")</f>
        <v/>
      </c>
      <c r="L24" s="56" t="str">
        <f aca="false">IF(01_INPUTS!L17,K24*(1+L23),"")</f>
        <v/>
      </c>
      <c r="M24" s="56" t="str">
        <f aca="false">IF(01_INPUTS!M17,L24*(1+M23),"")</f>
        <v/>
      </c>
      <c r="N24" s="56" t="str">
        <f aca="false">IF(01_INPUTS!N17,M24*(1+N23),"")</f>
        <v/>
      </c>
      <c r="O24" s="56" t="str">
        <f aca="false">IF(01_INPUTS!O17,N24*(1+O23),"")</f>
        <v/>
      </c>
      <c r="P24" s="56" t="str">
        <f aca="false">IF(01_INPUTS!P17,O24*(1+P23),"")</f>
        <v/>
      </c>
      <c r="Q24" s="56" t="str">
        <f aca="false">IF(01_INPUTS!Q17,P24*(1+Q23),"")</f>
        <v/>
      </c>
      <c r="R24" s="56" t="str">
        <f aca="false">IF(01_INPUTS!R17,Q24*(1+R23),"")</f>
        <v/>
      </c>
      <c r="S24" s="56" t="str">
        <f aca="false">IF(01_INPUTS!S17,R24*(1+S23),"")</f>
        <v/>
      </c>
    </row>
    <row r="25" customFormat="false" ht="15" hidden="false" customHeight="false" outlineLevel="0" collapsed="false">
      <c r="A25" s="46" t="s">
        <v>327</v>
      </c>
      <c r="B25" s="12" t="s">
        <v>42</v>
      </c>
      <c r="G25" s="48" t="s">
        <v>69</v>
      </c>
      <c r="H25" s="47" t="n">
        <f aca="false">IFERROR(H24^(1/1)-1,"")</f>
        <v>0.18725103</v>
      </c>
      <c r="I25" s="47" t="n">
        <f aca="false">IF(01_INPUTS!I17,IFERROR(I24^(1/2)-1,""),"")</f>
        <v>0.115328904901865</v>
      </c>
      <c r="J25" s="47" t="str">
        <f aca="false">IF(01_INPUTS!J17,IFERROR(J24^(1/3)-1,""),"")</f>
        <v/>
      </c>
      <c r="K25" s="47" t="str">
        <f aca="false">IF(01_INPUTS!K17,IFERROR(K24^(1/4)-1,""),"")</f>
        <v/>
      </c>
      <c r="L25" s="47" t="str">
        <f aca="false">IF(01_INPUTS!L17,IFERROR(L24^(1/5)-1,""),"")</f>
        <v/>
      </c>
      <c r="M25" s="47" t="str">
        <f aca="false">IF(01_INPUTS!M17,IFERROR(M24^(1/6)-1,""),"")</f>
        <v/>
      </c>
      <c r="N25" s="47" t="str">
        <f aca="false">IF(01_INPUTS!N17,IFERROR(N24^(1/7)-1,""),"")</f>
        <v/>
      </c>
      <c r="O25" s="47" t="str">
        <f aca="false">IF(01_INPUTS!O17,IFERROR(O24^(1/8)-1,""),"")</f>
        <v/>
      </c>
      <c r="P25" s="47" t="str">
        <f aca="false">IF(01_INPUTS!P17,IFERROR(P24^(1/9)-1,""),"")</f>
        <v/>
      </c>
      <c r="Q25" s="47" t="str">
        <f aca="false">IF(01_INPUTS!Q17,IFERROR(Q24^(1/10)-1,""),"")</f>
        <v/>
      </c>
      <c r="R25" s="47" t="str">
        <f aca="false">IF(01_INPUTS!R17,IFERROR(R24^(1/11)-1,""),"")</f>
        <v/>
      </c>
      <c r="S25" s="47" t="str">
        <f aca="false">IF(01_INPUTS!S17,IFERROR(S24^(1/12)-1,""),"")</f>
        <v/>
      </c>
    </row>
    <row r="26" customFormat="false" ht="15" hidden="false" customHeight="false" outlineLevel="0" collapsed="false">
      <c r="A26" s="5" t="s">
        <v>328</v>
      </c>
      <c r="B26" s="5"/>
      <c r="C26" s="5"/>
      <c r="D26" s="5"/>
      <c r="E26" s="5"/>
      <c r="F26" s="5"/>
      <c r="G26" s="5"/>
      <c r="H26" s="5"/>
      <c r="I26" s="5"/>
      <c r="J26" s="5"/>
      <c r="K26" s="5"/>
      <c r="L26" s="5"/>
      <c r="M26" s="5"/>
      <c r="N26" s="5"/>
      <c r="O26" s="5"/>
      <c r="P26" s="5"/>
      <c r="Q26" s="5"/>
      <c r="R26" s="5"/>
      <c r="S26" s="5"/>
    </row>
    <row r="27" customFormat="false" ht="15" hidden="false" customHeight="false" outlineLevel="0" collapsed="false">
      <c r="A27" s="14" t="s">
        <v>329</v>
      </c>
      <c r="B27" s="12" t="s">
        <v>42</v>
      </c>
      <c r="G27" s="57" t="n">
        <f aca="false">_ENGINE_PRODUCCION!G18</f>
        <v>0.7</v>
      </c>
      <c r="H27" s="57" t="n">
        <f aca="false">_ENGINE_PRODUCCION!H18</f>
        <v>0.68</v>
      </c>
      <c r="I27" s="57" t="n">
        <f aca="false">IF(01_INPUTS!I17,_ENGINE_PRODUCCION!I18,"")</f>
        <v>0.9</v>
      </c>
      <c r="J27" s="57" t="str">
        <f aca="false">IF(01_INPUTS!J17,_ENGINE_PRODUCCION!J18,"")</f>
        <v/>
      </c>
      <c r="K27" s="57" t="str">
        <f aca="false">IF(01_INPUTS!K17,_ENGINE_PRODUCCION!K18,"")</f>
        <v/>
      </c>
      <c r="L27" s="57" t="str">
        <f aca="false">IF(01_INPUTS!L17,_ENGINE_PRODUCCION!L18,"")</f>
        <v/>
      </c>
      <c r="M27" s="57" t="str">
        <f aca="false">IF(01_INPUTS!M17,_ENGINE_PRODUCCION!M18,"")</f>
        <v/>
      </c>
      <c r="N27" s="57" t="str">
        <f aca="false">IF(01_INPUTS!N17,_ENGINE_PRODUCCION!N18,"")</f>
        <v/>
      </c>
      <c r="O27" s="57" t="str">
        <f aca="false">IF(01_INPUTS!O17,_ENGINE_PRODUCCION!O18,"")</f>
        <v/>
      </c>
      <c r="P27" s="57" t="str">
        <f aca="false">IF(01_INPUTS!P17,_ENGINE_PRODUCCION!P18,"")</f>
        <v/>
      </c>
      <c r="Q27" s="57" t="str">
        <f aca="false">IF(01_INPUTS!Q17,_ENGINE_PRODUCCION!Q18,"")</f>
        <v/>
      </c>
      <c r="R27" s="57" t="str">
        <f aca="false">IF(01_INPUTS!R17,_ENGINE_PRODUCCION!R18,"")</f>
        <v/>
      </c>
      <c r="S27" s="57" t="str">
        <f aca="false">IF(01_INPUTS!S17,_ENGINE_PRODUCCION!S18,"")</f>
        <v/>
      </c>
    </row>
    <row r="28" customFormat="false" ht="15" hidden="false" customHeight="false" outlineLevel="0" collapsed="false">
      <c r="A28" s="14" t="s">
        <v>330</v>
      </c>
      <c r="B28" s="12" t="s">
        <v>42</v>
      </c>
      <c r="G28" s="57" t="n">
        <f aca="false">_ENGINE_PRODUCCION!G27</f>
        <v>0.8</v>
      </c>
      <c r="H28" s="57" t="n">
        <f aca="false">_ENGINE_PRODUCCION!H27</f>
        <v>0.68</v>
      </c>
      <c r="I28" s="57" t="n">
        <f aca="false">IF(01_INPUTS!I17,_ENGINE_PRODUCCION!I27,"")</f>
        <v>0.9</v>
      </c>
      <c r="J28" s="57" t="str">
        <f aca="false">IF(01_INPUTS!J17,_ENGINE_PRODUCCION!J27,"")</f>
        <v/>
      </c>
      <c r="K28" s="57" t="str">
        <f aca="false">IF(01_INPUTS!K17,_ENGINE_PRODUCCION!K27,"")</f>
        <v/>
      </c>
      <c r="L28" s="57" t="str">
        <f aca="false">IF(01_INPUTS!L17,_ENGINE_PRODUCCION!L27,"")</f>
        <v/>
      </c>
      <c r="M28" s="57" t="str">
        <f aca="false">IF(01_INPUTS!M17,_ENGINE_PRODUCCION!M27,"")</f>
        <v/>
      </c>
      <c r="N28" s="57" t="str">
        <f aca="false">IF(01_INPUTS!N17,_ENGINE_PRODUCCION!N27,"")</f>
        <v/>
      </c>
      <c r="O28" s="57" t="str">
        <f aca="false">IF(01_INPUTS!O17,_ENGINE_PRODUCCION!O27,"")</f>
        <v/>
      </c>
      <c r="P28" s="57" t="str">
        <f aca="false">IF(01_INPUTS!P17,_ENGINE_PRODUCCION!P27,"")</f>
        <v/>
      </c>
      <c r="Q28" s="57" t="str">
        <f aca="false">IF(01_INPUTS!Q17,_ENGINE_PRODUCCION!Q27,"")</f>
        <v/>
      </c>
      <c r="R28" s="57" t="str">
        <f aca="false">IF(01_INPUTS!R17,_ENGINE_PRODUCCION!R27,"")</f>
        <v/>
      </c>
      <c r="S28" s="57" t="str">
        <f aca="false">IF(01_INPUTS!S17,_ENGINE_PRODUCCION!S27,"")</f>
        <v/>
      </c>
    </row>
    <row r="29" customFormat="false" ht="15" hidden="false" customHeight="false" outlineLevel="0" collapsed="false">
      <c r="A29" s="14" t="s">
        <v>331</v>
      </c>
      <c r="B29" s="12" t="s">
        <v>332</v>
      </c>
      <c r="G29" s="45" t="n">
        <f aca="false">_ENGINE_MERCADO!G191+_ENGINE_MERCADO!G196+_ENGINE_MERCADO!G201+_ENGINE_MERCADO!G206+_ENGINE_MERCADO!G211+_ENGINE_MERCADO!G216+_ENGINE_MERCADO!G221+_ENGINE_MERCADO!G226+_ENGINE_MERCADO!G231+_ENGINE_MERCADO!G236+_ENGINE_MERCADO!G241+_ENGINE_MERCADO!G246</f>
        <v>2185000</v>
      </c>
      <c r="H29" s="45" t="n">
        <f aca="false">_ENGINE_MERCADO!H191+_ENGINE_MERCADO!H196+_ENGINE_MERCADO!H201+_ENGINE_MERCADO!H206+_ENGINE_MERCADO!H211+_ENGINE_MERCADO!H216+_ENGINE_MERCADO!H221+_ENGINE_MERCADO!H226+_ENGINE_MERCADO!H231+_ENGINE_MERCADO!H236+_ENGINE_MERCADO!H241+_ENGINE_MERCADO!H246</f>
        <v>2909858</v>
      </c>
      <c r="I29" s="45" t="n">
        <f aca="false">IF(01_INPUTS!I17,_ENGINE_MERCADO!I191+_ENGINE_MERCADO!I196+_ENGINE_MERCADO!I201+_ENGINE_MERCADO!I206+_ENGINE_MERCADO!I211+_ENGINE_MERCADO!I216+_ENGINE_MERCADO!I221+_ENGINE_MERCADO!I226+_ENGINE_MERCADO!I231+_ENGINE_MERCADO!I236+_ENGINE_MERCADO!I241+_ENGINE_MERCADO!I246,"")</f>
        <v>0</v>
      </c>
      <c r="J29" s="45" t="str">
        <f aca="false">IF(01_INPUTS!J17,_ENGINE_MERCADO!J191+_ENGINE_MERCADO!J196+_ENGINE_MERCADO!J201+_ENGINE_MERCADO!J206+_ENGINE_MERCADO!J211+_ENGINE_MERCADO!J216+_ENGINE_MERCADO!J221+_ENGINE_MERCADO!J226+_ENGINE_MERCADO!J231+_ENGINE_MERCADO!J236+_ENGINE_MERCADO!J241+_ENGINE_MERCADO!J246,"")</f>
        <v/>
      </c>
      <c r="K29" s="45" t="str">
        <f aca="false">IF(01_INPUTS!K17,_ENGINE_MERCADO!K191+_ENGINE_MERCADO!K196+_ENGINE_MERCADO!K201+_ENGINE_MERCADO!K206+_ENGINE_MERCADO!K211+_ENGINE_MERCADO!K216+_ENGINE_MERCADO!K221+_ENGINE_MERCADO!K226+_ENGINE_MERCADO!K231+_ENGINE_MERCADO!K236+_ENGINE_MERCADO!K241+_ENGINE_MERCADO!K246,"")</f>
        <v/>
      </c>
      <c r="L29" s="45" t="str">
        <f aca="false">IF(01_INPUTS!L17,_ENGINE_MERCADO!L191+_ENGINE_MERCADO!L196+_ENGINE_MERCADO!L201+_ENGINE_MERCADO!L206+_ENGINE_MERCADO!L211+_ENGINE_MERCADO!L216+_ENGINE_MERCADO!L221+_ENGINE_MERCADO!L226+_ENGINE_MERCADO!L231+_ENGINE_MERCADO!L236+_ENGINE_MERCADO!L241+_ENGINE_MERCADO!L246,"")</f>
        <v/>
      </c>
      <c r="M29" s="45" t="str">
        <f aca="false">IF(01_INPUTS!M17,_ENGINE_MERCADO!M191+_ENGINE_MERCADO!M196+_ENGINE_MERCADO!M201+_ENGINE_MERCADO!M206+_ENGINE_MERCADO!M211+_ENGINE_MERCADO!M216+_ENGINE_MERCADO!M221+_ENGINE_MERCADO!M226+_ENGINE_MERCADO!M231+_ENGINE_MERCADO!M236+_ENGINE_MERCADO!M241+_ENGINE_MERCADO!M246,"")</f>
        <v/>
      </c>
      <c r="N29" s="45" t="str">
        <f aca="false">IF(01_INPUTS!N17,_ENGINE_MERCADO!N191+_ENGINE_MERCADO!N196+_ENGINE_MERCADO!N201+_ENGINE_MERCADO!N206+_ENGINE_MERCADO!N211+_ENGINE_MERCADO!N216+_ENGINE_MERCADO!N221+_ENGINE_MERCADO!N226+_ENGINE_MERCADO!N231+_ENGINE_MERCADO!N236+_ENGINE_MERCADO!N241+_ENGINE_MERCADO!N246,"")</f>
        <v/>
      </c>
      <c r="O29" s="45" t="str">
        <f aca="false">IF(01_INPUTS!O17,_ENGINE_MERCADO!O191+_ENGINE_MERCADO!O196+_ENGINE_MERCADO!O201+_ENGINE_MERCADO!O206+_ENGINE_MERCADO!O211+_ENGINE_MERCADO!O216+_ENGINE_MERCADO!O221+_ENGINE_MERCADO!O226+_ENGINE_MERCADO!O231+_ENGINE_MERCADO!O236+_ENGINE_MERCADO!O241+_ENGINE_MERCADO!O246,"")</f>
        <v/>
      </c>
      <c r="P29" s="45" t="str">
        <f aca="false">IF(01_INPUTS!P17,_ENGINE_MERCADO!P191+_ENGINE_MERCADO!P196+_ENGINE_MERCADO!P201+_ENGINE_MERCADO!P206+_ENGINE_MERCADO!P211+_ENGINE_MERCADO!P216+_ENGINE_MERCADO!P221+_ENGINE_MERCADO!P226+_ENGINE_MERCADO!P231+_ENGINE_MERCADO!P236+_ENGINE_MERCADO!P241+_ENGINE_MERCADO!P246,"")</f>
        <v/>
      </c>
      <c r="Q29" s="45" t="str">
        <f aca="false">IF(01_INPUTS!Q17,_ENGINE_MERCADO!Q191+_ENGINE_MERCADO!Q196+_ENGINE_MERCADO!Q201+_ENGINE_MERCADO!Q206+_ENGINE_MERCADO!Q211+_ENGINE_MERCADO!Q216+_ENGINE_MERCADO!Q221+_ENGINE_MERCADO!Q226+_ENGINE_MERCADO!Q231+_ENGINE_MERCADO!Q236+_ENGINE_MERCADO!Q241+_ENGINE_MERCADO!Q246,"")</f>
        <v/>
      </c>
      <c r="R29" s="45" t="str">
        <f aca="false">IF(01_INPUTS!R17,_ENGINE_MERCADO!R191+_ENGINE_MERCADO!R196+_ENGINE_MERCADO!R201+_ENGINE_MERCADO!R206+_ENGINE_MERCADO!R211+_ENGINE_MERCADO!R216+_ENGINE_MERCADO!R221+_ENGINE_MERCADO!R226+_ENGINE_MERCADO!R231+_ENGINE_MERCADO!R236+_ENGINE_MERCADO!R241+_ENGINE_MERCADO!R246,"")</f>
        <v/>
      </c>
      <c r="S29" s="45" t="str">
        <f aca="false">IF(01_INPUTS!S17,_ENGINE_MERCADO!S191+_ENGINE_MERCADO!S196+_ENGINE_MERCADO!S201+_ENGINE_MERCADO!S206+_ENGINE_MERCADO!S211+_ENGINE_MERCADO!S216+_ENGINE_MERCADO!S221+_ENGINE_MERCADO!S226+_ENGINE_MERCADO!S231+_ENGINE_MERCADO!S236+_ENGINE_MERCADO!S241+_ENGINE_MERCADO!S246,"")</f>
        <v/>
      </c>
    </row>
    <row r="30" customFormat="false" ht="15" hidden="false" customHeight="false" outlineLevel="0" collapsed="false">
      <c r="A30" s="14" t="s">
        <v>333</v>
      </c>
      <c r="B30" s="12" t="s">
        <v>42</v>
      </c>
      <c r="G30" s="57" t="str">
        <f aca="false">IF((IF(ISNUMBER(01_INPUTS!G124),1,0)+IF(ISNUMBER(01_INPUTS!G125),1,0)+IF(ISNUMBER(01_INPUTS!G126),1,0)+IF(ISNUMBER(01_INPUTS!G127),1,0)+IF(ISNUMBER(01_INPUTS!G128),1,0)+IF(ISNUMBER(01_INPUTS!G129),1,0)+IF(ISNUMBER(01_INPUTS!G130),1,0)+IF(ISNUMBER(01_INPUTS!G131),1,0)+IF(ISNUMBER(01_INPUTS!G132),1,0)+IF(ISNUMBER(01_INPUTS!G133),1,0)+IF(ISNUMBER(01_INPUTS!G134),1,0)+IF(ISNUMBER(01_INPUTS!G135),1,0))=0,"",IFERROR(((IF(ISNUMBER(01_INPUTS!G124),01_INPUTS!G124,0)+IF(ISNUMBER(01_INPUTS!G125),01_INPUTS!G125,0)+IF(ISNUMBER(01_INPUTS!G126),01_INPUTS!G126,0)+IF(ISNUMBER(01_INPUTS!G127),01_INPUTS!G127,0))*_ENGINE_MERCADO!G6+(IF(ISNUMBER(01_INPUTS!G128),01_INPUTS!G128,0)+IF(ISNUMBER(01_INPUTS!G129),01_INPUTS!G129,0)+IF(ISNUMBER(01_INPUTS!G130),01_INPUTS!G130,0)+IF(ISNUMBER(01_INPUTS!G131),01_INPUTS!G131,0))*_ENGINE_MERCADO!G8+(IF(ISNUMBER(01_INPUTS!G132),01_INPUTS!G132,0)+IF(ISNUMBER(01_INPUTS!G133),01_INPUTS!G133,0)+IF(ISNUMBER(01_INPUTS!G134),01_INPUTS!G134,0)+IF(ISNUMBER(01_INPUTS!G135),01_INPUTS!G135,0))*_ENGINE_MERCADO!G10)/(_ENGINE_MERCADO!G6+_ENGINE_MERCADO!G8+_ENGINE_MERCADO!G10),""))</f>
        <v/>
      </c>
      <c r="H30" s="57" t="str">
        <f aca="false">IF((IF(ISNUMBER(01_INPUTS!H124),1,0)+IF(ISNUMBER(01_INPUTS!H125),1,0)+IF(ISNUMBER(01_INPUTS!H126),1,0)+IF(ISNUMBER(01_INPUTS!H127),1,0)+IF(ISNUMBER(01_INPUTS!H128),1,0)+IF(ISNUMBER(01_INPUTS!H129),1,0)+IF(ISNUMBER(01_INPUTS!H130),1,0)+IF(ISNUMBER(01_INPUTS!H131),1,0)+IF(ISNUMBER(01_INPUTS!H132),1,0)+IF(ISNUMBER(01_INPUTS!H133),1,0)+IF(ISNUMBER(01_INPUTS!H134),1,0)+IF(ISNUMBER(01_INPUTS!H135),1,0))=0,"",IFERROR(((IF(ISNUMBER(01_INPUTS!H124),01_INPUTS!H124,0)+IF(ISNUMBER(01_INPUTS!H125),01_INPUTS!H125,0)+IF(ISNUMBER(01_INPUTS!H126),01_INPUTS!H126,0)+IF(ISNUMBER(01_INPUTS!H127),01_INPUTS!H127,0))*_ENGINE_MERCADO!H6+(IF(ISNUMBER(01_INPUTS!H128),01_INPUTS!H128,0)+IF(ISNUMBER(01_INPUTS!H129),01_INPUTS!H129,0)+IF(ISNUMBER(01_INPUTS!H130),01_INPUTS!H130,0)+IF(ISNUMBER(01_INPUTS!H131),01_INPUTS!H131,0))*_ENGINE_MERCADO!H8+(IF(ISNUMBER(01_INPUTS!H132),01_INPUTS!H132,0)+IF(ISNUMBER(01_INPUTS!H133),01_INPUTS!H133,0)+IF(ISNUMBER(01_INPUTS!H134),01_INPUTS!H134,0)+IF(ISNUMBER(01_INPUTS!H135),01_INPUTS!H135,0))*_ENGINE_MERCADO!H10)/(_ENGINE_MERCADO!H6+_ENGINE_MERCADO!H8+_ENGINE_MERCADO!H10),""))</f>
        <v/>
      </c>
      <c r="I30" s="57" t="n">
        <f aca="false">IF(01_INPUTS!I17,IF((IF(ISNUMBER(01_INPUTS!I124),1,0)+IF(ISNUMBER(01_INPUTS!I125),1,0)+IF(ISNUMBER(01_INPUTS!I126),1,0)+IF(ISNUMBER(01_INPUTS!I127),1,0)+IF(ISNUMBER(01_INPUTS!I128),1,0)+IF(ISNUMBER(01_INPUTS!I129),1,0)+IF(ISNUMBER(01_INPUTS!I130),1,0)+IF(ISNUMBER(01_INPUTS!I131),1,0)+IF(ISNUMBER(01_INPUTS!I132),1,0)+IF(ISNUMBER(01_INPUTS!I133),1,0)+IF(ISNUMBER(01_INPUTS!I134),1,0)+IF(ISNUMBER(01_INPUTS!I135),1,0))=0,"",IFERROR(((IF(ISNUMBER(01_INPUTS!I124),01_INPUTS!I124,0)+IF(ISNUMBER(01_INPUTS!I125),01_INPUTS!I125,0)+IF(ISNUMBER(01_INPUTS!I126),01_INPUTS!I126,0)+IF(ISNUMBER(01_INPUTS!I127),01_INPUTS!I127,0))*_ENGINE_MERCADO!I6+(IF(ISNUMBER(01_INPUTS!I128),01_INPUTS!I128,0)+IF(ISNUMBER(01_INPUTS!I129),01_INPUTS!I129,0)+IF(ISNUMBER(01_INPUTS!I130),01_INPUTS!I130,0)+IF(ISNUMBER(01_INPUTS!I131),01_INPUTS!I131,0))*_ENGINE_MERCADO!I8+(IF(ISNUMBER(01_INPUTS!I132),01_INPUTS!I132,0)+IF(ISNUMBER(01_INPUTS!I133),01_INPUTS!I133,0)+IF(ISNUMBER(01_INPUTS!I134),01_INPUTS!I134,0)+IF(ISNUMBER(01_INPUTS!I135),01_INPUTS!I135,0))*_ENGINE_MERCADO!I10)/(_ENGINE_MERCADO!I6+_ENGINE_MERCADO!I8+_ENGINE_MERCADO!I10),"")),"")</f>
        <v>0.179455453454848</v>
      </c>
      <c r="J30" s="57" t="str">
        <f aca="false">IF(01_INPUTS!J17,IF((IF(ISNUMBER(01_INPUTS!J124),1,0)+IF(ISNUMBER(01_INPUTS!J125),1,0)+IF(ISNUMBER(01_INPUTS!J126),1,0)+IF(ISNUMBER(01_INPUTS!J127),1,0)+IF(ISNUMBER(01_INPUTS!J128),1,0)+IF(ISNUMBER(01_INPUTS!J129),1,0)+IF(ISNUMBER(01_INPUTS!J130),1,0)+IF(ISNUMBER(01_INPUTS!J131),1,0)+IF(ISNUMBER(01_INPUTS!J132),1,0)+IF(ISNUMBER(01_INPUTS!J133),1,0)+IF(ISNUMBER(01_INPUTS!J134),1,0)+IF(ISNUMBER(01_INPUTS!J135),1,0))=0,"",IFERROR(((IF(ISNUMBER(01_INPUTS!J124),01_INPUTS!J124,0)+IF(ISNUMBER(01_INPUTS!J125),01_INPUTS!J125,0)+IF(ISNUMBER(01_INPUTS!J126),01_INPUTS!J126,0)+IF(ISNUMBER(01_INPUTS!J127),01_INPUTS!J127,0))*_ENGINE_MERCADO!J6+(IF(ISNUMBER(01_INPUTS!J128),01_INPUTS!J128,0)+IF(ISNUMBER(01_INPUTS!J129),01_INPUTS!J129,0)+IF(ISNUMBER(01_INPUTS!J130),01_INPUTS!J130,0)+IF(ISNUMBER(01_INPUTS!J131),01_INPUTS!J131,0))*_ENGINE_MERCADO!J8+(IF(ISNUMBER(01_INPUTS!J132),01_INPUTS!J132,0)+IF(ISNUMBER(01_INPUTS!J133),01_INPUTS!J133,0)+IF(ISNUMBER(01_INPUTS!J134),01_INPUTS!J134,0)+IF(ISNUMBER(01_INPUTS!J135),01_INPUTS!J135,0))*_ENGINE_MERCADO!J10)/(_ENGINE_MERCADO!J6+_ENGINE_MERCADO!J8+_ENGINE_MERCADO!J10),"")),"")</f>
        <v/>
      </c>
      <c r="K30" s="57" t="str">
        <f aca="false">IF(01_INPUTS!K17,IF((IF(ISNUMBER(01_INPUTS!K124),1,0)+IF(ISNUMBER(01_INPUTS!K125),1,0)+IF(ISNUMBER(01_INPUTS!K126),1,0)+IF(ISNUMBER(01_INPUTS!K127),1,0)+IF(ISNUMBER(01_INPUTS!K128),1,0)+IF(ISNUMBER(01_INPUTS!K129),1,0)+IF(ISNUMBER(01_INPUTS!K130),1,0)+IF(ISNUMBER(01_INPUTS!K131),1,0)+IF(ISNUMBER(01_INPUTS!K132),1,0)+IF(ISNUMBER(01_INPUTS!K133),1,0)+IF(ISNUMBER(01_INPUTS!K134),1,0)+IF(ISNUMBER(01_INPUTS!K135),1,0))=0,"",IFERROR(((IF(ISNUMBER(01_INPUTS!K124),01_INPUTS!K124,0)+IF(ISNUMBER(01_INPUTS!K125),01_INPUTS!K125,0)+IF(ISNUMBER(01_INPUTS!K126),01_INPUTS!K126,0)+IF(ISNUMBER(01_INPUTS!K127),01_INPUTS!K127,0))*_ENGINE_MERCADO!K6+(IF(ISNUMBER(01_INPUTS!K128),01_INPUTS!K128,0)+IF(ISNUMBER(01_INPUTS!K129),01_INPUTS!K129,0)+IF(ISNUMBER(01_INPUTS!K130),01_INPUTS!K130,0)+IF(ISNUMBER(01_INPUTS!K131),01_INPUTS!K131,0))*_ENGINE_MERCADO!K8+(IF(ISNUMBER(01_INPUTS!K132),01_INPUTS!K132,0)+IF(ISNUMBER(01_INPUTS!K133),01_INPUTS!K133,0)+IF(ISNUMBER(01_INPUTS!K134),01_INPUTS!K134,0)+IF(ISNUMBER(01_INPUTS!K135),01_INPUTS!K135,0))*_ENGINE_MERCADO!K10)/(_ENGINE_MERCADO!K6+_ENGINE_MERCADO!K8+_ENGINE_MERCADO!K10),"")),"")</f>
        <v/>
      </c>
      <c r="L30" s="57" t="str">
        <f aca="false">IF(01_INPUTS!L17,IF((IF(ISNUMBER(01_INPUTS!L124),1,0)+IF(ISNUMBER(01_INPUTS!L125),1,0)+IF(ISNUMBER(01_INPUTS!L126),1,0)+IF(ISNUMBER(01_INPUTS!L127),1,0)+IF(ISNUMBER(01_INPUTS!L128),1,0)+IF(ISNUMBER(01_INPUTS!L129),1,0)+IF(ISNUMBER(01_INPUTS!L130),1,0)+IF(ISNUMBER(01_INPUTS!L131),1,0)+IF(ISNUMBER(01_INPUTS!L132),1,0)+IF(ISNUMBER(01_INPUTS!L133),1,0)+IF(ISNUMBER(01_INPUTS!L134),1,0)+IF(ISNUMBER(01_INPUTS!L135),1,0))=0,"",IFERROR(((IF(ISNUMBER(01_INPUTS!L124),01_INPUTS!L124,0)+IF(ISNUMBER(01_INPUTS!L125),01_INPUTS!L125,0)+IF(ISNUMBER(01_INPUTS!L126),01_INPUTS!L126,0)+IF(ISNUMBER(01_INPUTS!L127),01_INPUTS!L127,0))*_ENGINE_MERCADO!L6+(IF(ISNUMBER(01_INPUTS!L128),01_INPUTS!L128,0)+IF(ISNUMBER(01_INPUTS!L129),01_INPUTS!L129,0)+IF(ISNUMBER(01_INPUTS!L130),01_INPUTS!L130,0)+IF(ISNUMBER(01_INPUTS!L131),01_INPUTS!L131,0))*_ENGINE_MERCADO!L8+(IF(ISNUMBER(01_INPUTS!L132),01_INPUTS!L132,0)+IF(ISNUMBER(01_INPUTS!L133),01_INPUTS!L133,0)+IF(ISNUMBER(01_INPUTS!L134),01_INPUTS!L134,0)+IF(ISNUMBER(01_INPUTS!L135),01_INPUTS!L135,0))*_ENGINE_MERCADO!L10)/(_ENGINE_MERCADO!L6+_ENGINE_MERCADO!L8+_ENGINE_MERCADO!L10),"")),"")</f>
        <v/>
      </c>
      <c r="M30" s="57" t="str">
        <f aca="false">IF(01_INPUTS!M17,IF((IF(ISNUMBER(01_INPUTS!M124),1,0)+IF(ISNUMBER(01_INPUTS!M125),1,0)+IF(ISNUMBER(01_INPUTS!M126),1,0)+IF(ISNUMBER(01_INPUTS!M127),1,0)+IF(ISNUMBER(01_INPUTS!M128),1,0)+IF(ISNUMBER(01_INPUTS!M129),1,0)+IF(ISNUMBER(01_INPUTS!M130),1,0)+IF(ISNUMBER(01_INPUTS!M131),1,0)+IF(ISNUMBER(01_INPUTS!M132),1,0)+IF(ISNUMBER(01_INPUTS!M133),1,0)+IF(ISNUMBER(01_INPUTS!M134),1,0)+IF(ISNUMBER(01_INPUTS!M135),1,0))=0,"",IFERROR(((IF(ISNUMBER(01_INPUTS!M124),01_INPUTS!M124,0)+IF(ISNUMBER(01_INPUTS!M125),01_INPUTS!M125,0)+IF(ISNUMBER(01_INPUTS!M126),01_INPUTS!M126,0)+IF(ISNUMBER(01_INPUTS!M127),01_INPUTS!M127,0))*_ENGINE_MERCADO!M6+(IF(ISNUMBER(01_INPUTS!M128),01_INPUTS!M128,0)+IF(ISNUMBER(01_INPUTS!M129),01_INPUTS!M129,0)+IF(ISNUMBER(01_INPUTS!M130),01_INPUTS!M130,0)+IF(ISNUMBER(01_INPUTS!M131),01_INPUTS!M131,0))*_ENGINE_MERCADO!M8+(IF(ISNUMBER(01_INPUTS!M132),01_INPUTS!M132,0)+IF(ISNUMBER(01_INPUTS!M133),01_INPUTS!M133,0)+IF(ISNUMBER(01_INPUTS!M134),01_INPUTS!M134,0)+IF(ISNUMBER(01_INPUTS!M135),01_INPUTS!M135,0))*_ENGINE_MERCADO!M10)/(_ENGINE_MERCADO!M6+_ENGINE_MERCADO!M8+_ENGINE_MERCADO!M10),"")),"")</f>
        <v/>
      </c>
      <c r="N30" s="57" t="str">
        <f aca="false">IF(01_INPUTS!N17,IF((IF(ISNUMBER(01_INPUTS!N124),1,0)+IF(ISNUMBER(01_INPUTS!N125),1,0)+IF(ISNUMBER(01_INPUTS!N126),1,0)+IF(ISNUMBER(01_INPUTS!N127),1,0)+IF(ISNUMBER(01_INPUTS!N128),1,0)+IF(ISNUMBER(01_INPUTS!N129),1,0)+IF(ISNUMBER(01_INPUTS!N130),1,0)+IF(ISNUMBER(01_INPUTS!N131),1,0)+IF(ISNUMBER(01_INPUTS!N132),1,0)+IF(ISNUMBER(01_INPUTS!N133),1,0)+IF(ISNUMBER(01_INPUTS!N134),1,0)+IF(ISNUMBER(01_INPUTS!N135),1,0))=0,"",IFERROR(((IF(ISNUMBER(01_INPUTS!N124),01_INPUTS!N124,0)+IF(ISNUMBER(01_INPUTS!N125),01_INPUTS!N125,0)+IF(ISNUMBER(01_INPUTS!N126),01_INPUTS!N126,0)+IF(ISNUMBER(01_INPUTS!N127),01_INPUTS!N127,0))*_ENGINE_MERCADO!N6+(IF(ISNUMBER(01_INPUTS!N128),01_INPUTS!N128,0)+IF(ISNUMBER(01_INPUTS!N129),01_INPUTS!N129,0)+IF(ISNUMBER(01_INPUTS!N130),01_INPUTS!N130,0)+IF(ISNUMBER(01_INPUTS!N131),01_INPUTS!N131,0))*_ENGINE_MERCADO!N8+(IF(ISNUMBER(01_INPUTS!N132),01_INPUTS!N132,0)+IF(ISNUMBER(01_INPUTS!N133),01_INPUTS!N133,0)+IF(ISNUMBER(01_INPUTS!N134),01_INPUTS!N134,0)+IF(ISNUMBER(01_INPUTS!N135),01_INPUTS!N135,0))*_ENGINE_MERCADO!N10)/(_ENGINE_MERCADO!N6+_ENGINE_MERCADO!N8+_ENGINE_MERCADO!N10),"")),"")</f>
        <v/>
      </c>
      <c r="O30" s="57" t="str">
        <f aca="false">IF(01_INPUTS!O17,IF((IF(ISNUMBER(01_INPUTS!O124),1,0)+IF(ISNUMBER(01_INPUTS!O125),1,0)+IF(ISNUMBER(01_INPUTS!O126),1,0)+IF(ISNUMBER(01_INPUTS!O127),1,0)+IF(ISNUMBER(01_INPUTS!O128),1,0)+IF(ISNUMBER(01_INPUTS!O129),1,0)+IF(ISNUMBER(01_INPUTS!O130),1,0)+IF(ISNUMBER(01_INPUTS!O131),1,0)+IF(ISNUMBER(01_INPUTS!O132),1,0)+IF(ISNUMBER(01_INPUTS!O133),1,0)+IF(ISNUMBER(01_INPUTS!O134),1,0)+IF(ISNUMBER(01_INPUTS!O135),1,0))=0,"",IFERROR(((IF(ISNUMBER(01_INPUTS!O124),01_INPUTS!O124,0)+IF(ISNUMBER(01_INPUTS!O125),01_INPUTS!O125,0)+IF(ISNUMBER(01_INPUTS!O126),01_INPUTS!O126,0)+IF(ISNUMBER(01_INPUTS!O127),01_INPUTS!O127,0))*_ENGINE_MERCADO!O6+(IF(ISNUMBER(01_INPUTS!O128),01_INPUTS!O128,0)+IF(ISNUMBER(01_INPUTS!O129),01_INPUTS!O129,0)+IF(ISNUMBER(01_INPUTS!O130),01_INPUTS!O130,0)+IF(ISNUMBER(01_INPUTS!O131),01_INPUTS!O131,0))*_ENGINE_MERCADO!O8+(IF(ISNUMBER(01_INPUTS!O132),01_INPUTS!O132,0)+IF(ISNUMBER(01_INPUTS!O133),01_INPUTS!O133,0)+IF(ISNUMBER(01_INPUTS!O134),01_INPUTS!O134,0)+IF(ISNUMBER(01_INPUTS!O135),01_INPUTS!O135,0))*_ENGINE_MERCADO!O10)/(_ENGINE_MERCADO!O6+_ENGINE_MERCADO!O8+_ENGINE_MERCADO!O10),"")),"")</f>
        <v/>
      </c>
      <c r="P30" s="57" t="str">
        <f aca="false">IF(01_INPUTS!P17,IF((IF(ISNUMBER(01_INPUTS!P124),1,0)+IF(ISNUMBER(01_INPUTS!P125),1,0)+IF(ISNUMBER(01_INPUTS!P126),1,0)+IF(ISNUMBER(01_INPUTS!P127),1,0)+IF(ISNUMBER(01_INPUTS!P128),1,0)+IF(ISNUMBER(01_INPUTS!P129),1,0)+IF(ISNUMBER(01_INPUTS!P130),1,0)+IF(ISNUMBER(01_INPUTS!P131),1,0)+IF(ISNUMBER(01_INPUTS!P132),1,0)+IF(ISNUMBER(01_INPUTS!P133),1,0)+IF(ISNUMBER(01_INPUTS!P134),1,0)+IF(ISNUMBER(01_INPUTS!P135),1,0))=0,"",IFERROR(((IF(ISNUMBER(01_INPUTS!P124),01_INPUTS!P124,0)+IF(ISNUMBER(01_INPUTS!P125),01_INPUTS!P125,0)+IF(ISNUMBER(01_INPUTS!P126),01_INPUTS!P126,0)+IF(ISNUMBER(01_INPUTS!P127),01_INPUTS!P127,0))*_ENGINE_MERCADO!P6+(IF(ISNUMBER(01_INPUTS!P128),01_INPUTS!P128,0)+IF(ISNUMBER(01_INPUTS!P129),01_INPUTS!P129,0)+IF(ISNUMBER(01_INPUTS!P130),01_INPUTS!P130,0)+IF(ISNUMBER(01_INPUTS!P131),01_INPUTS!P131,0))*_ENGINE_MERCADO!P8+(IF(ISNUMBER(01_INPUTS!P132),01_INPUTS!P132,0)+IF(ISNUMBER(01_INPUTS!P133),01_INPUTS!P133,0)+IF(ISNUMBER(01_INPUTS!P134),01_INPUTS!P134,0)+IF(ISNUMBER(01_INPUTS!P135),01_INPUTS!P135,0))*_ENGINE_MERCADO!P10)/(_ENGINE_MERCADO!P6+_ENGINE_MERCADO!P8+_ENGINE_MERCADO!P10),"")),"")</f>
        <v/>
      </c>
      <c r="Q30" s="57" t="str">
        <f aca="false">IF(01_INPUTS!Q17,IF((IF(ISNUMBER(01_INPUTS!Q124),1,0)+IF(ISNUMBER(01_INPUTS!Q125),1,0)+IF(ISNUMBER(01_INPUTS!Q126),1,0)+IF(ISNUMBER(01_INPUTS!Q127),1,0)+IF(ISNUMBER(01_INPUTS!Q128),1,0)+IF(ISNUMBER(01_INPUTS!Q129),1,0)+IF(ISNUMBER(01_INPUTS!Q130),1,0)+IF(ISNUMBER(01_INPUTS!Q131),1,0)+IF(ISNUMBER(01_INPUTS!Q132),1,0)+IF(ISNUMBER(01_INPUTS!Q133),1,0)+IF(ISNUMBER(01_INPUTS!Q134),1,0)+IF(ISNUMBER(01_INPUTS!Q135),1,0))=0,"",IFERROR(((IF(ISNUMBER(01_INPUTS!Q124),01_INPUTS!Q124,0)+IF(ISNUMBER(01_INPUTS!Q125),01_INPUTS!Q125,0)+IF(ISNUMBER(01_INPUTS!Q126),01_INPUTS!Q126,0)+IF(ISNUMBER(01_INPUTS!Q127),01_INPUTS!Q127,0))*_ENGINE_MERCADO!Q6+(IF(ISNUMBER(01_INPUTS!Q128),01_INPUTS!Q128,0)+IF(ISNUMBER(01_INPUTS!Q129),01_INPUTS!Q129,0)+IF(ISNUMBER(01_INPUTS!Q130),01_INPUTS!Q130,0)+IF(ISNUMBER(01_INPUTS!Q131),01_INPUTS!Q131,0))*_ENGINE_MERCADO!Q8+(IF(ISNUMBER(01_INPUTS!Q132),01_INPUTS!Q132,0)+IF(ISNUMBER(01_INPUTS!Q133),01_INPUTS!Q133,0)+IF(ISNUMBER(01_INPUTS!Q134),01_INPUTS!Q134,0)+IF(ISNUMBER(01_INPUTS!Q135),01_INPUTS!Q135,0))*_ENGINE_MERCADO!Q10)/(_ENGINE_MERCADO!Q6+_ENGINE_MERCADO!Q8+_ENGINE_MERCADO!Q10),"")),"")</f>
        <v/>
      </c>
      <c r="R30" s="57" t="str">
        <f aca="false">IF(01_INPUTS!R17,IF((IF(ISNUMBER(01_INPUTS!R124),1,0)+IF(ISNUMBER(01_INPUTS!R125),1,0)+IF(ISNUMBER(01_INPUTS!R126),1,0)+IF(ISNUMBER(01_INPUTS!R127),1,0)+IF(ISNUMBER(01_INPUTS!R128),1,0)+IF(ISNUMBER(01_INPUTS!R129),1,0)+IF(ISNUMBER(01_INPUTS!R130),1,0)+IF(ISNUMBER(01_INPUTS!R131),1,0)+IF(ISNUMBER(01_INPUTS!R132),1,0)+IF(ISNUMBER(01_INPUTS!R133),1,0)+IF(ISNUMBER(01_INPUTS!R134),1,0)+IF(ISNUMBER(01_INPUTS!R135),1,0))=0,"",IFERROR(((IF(ISNUMBER(01_INPUTS!R124),01_INPUTS!R124,0)+IF(ISNUMBER(01_INPUTS!R125),01_INPUTS!R125,0)+IF(ISNUMBER(01_INPUTS!R126),01_INPUTS!R126,0)+IF(ISNUMBER(01_INPUTS!R127),01_INPUTS!R127,0))*_ENGINE_MERCADO!R6+(IF(ISNUMBER(01_INPUTS!R128),01_INPUTS!R128,0)+IF(ISNUMBER(01_INPUTS!R129),01_INPUTS!R129,0)+IF(ISNUMBER(01_INPUTS!R130),01_INPUTS!R130,0)+IF(ISNUMBER(01_INPUTS!R131),01_INPUTS!R131,0))*_ENGINE_MERCADO!R8+(IF(ISNUMBER(01_INPUTS!R132),01_INPUTS!R132,0)+IF(ISNUMBER(01_INPUTS!R133),01_INPUTS!R133,0)+IF(ISNUMBER(01_INPUTS!R134),01_INPUTS!R134,0)+IF(ISNUMBER(01_INPUTS!R135),01_INPUTS!R135,0))*_ENGINE_MERCADO!R10)/(_ENGINE_MERCADO!R6+_ENGINE_MERCADO!R8+_ENGINE_MERCADO!R10),"")),"")</f>
        <v/>
      </c>
      <c r="S30" s="57" t="str">
        <f aca="false">IF(01_INPUTS!S17,IF((IF(ISNUMBER(01_INPUTS!S124),1,0)+IF(ISNUMBER(01_INPUTS!S125),1,0)+IF(ISNUMBER(01_INPUTS!S126),1,0)+IF(ISNUMBER(01_INPUTS!S127),1,0)+IF(ISNUMBER(01_INPUTS!S128),1,0)+IF(ISNUMBER(01_INPUTS!S129),1,0)+IF(ISNUMBER(01_INPUTS!S130),1,0)+IF(ISNUMBER(01_INPUTS!S131),1,0)+IF(ISNUMBER(01_INPUTS!S132),1,0)+IF(ISNUMBER(01_INPUTS!S133),1,0)+IF(ISNUMBER(01_INPUTS!S134),1,0)+IF(ISNUMBER(01_INPUTS!S135),1,0))=0,"",IFERROR(((IF(ISNUMBER(01_INPUTS!S124),01_INPUTS!S124,0)+IF(ISNUMBER(01_INPUTS!S125),01_INPUTS!S125,0)+IF(ISNUMBER(01_INPUTS!S126),01_INPUTS!S126,0)+IF(ISNUMBER(01_INPUTS!S127),01_INPUTS!S127,0))*_ENGINE_MERCADO!S6+(IF(ISNUMBER(01_INPUTS!S128),01_INPUTS!S128,0)+IF(ISNUMBER(01_INPUTS!S129),01_INPUTS!S129,0)+IF(ISNUMBER(01_INPUTS!S130),01_INPUTS!S130,0)+IF(ISNUMBER(01_INPUTS!S131),01_INPUTS!S131,0))*_ENGINE_MERCADO!S8+(IF(ISNUMBER(01_INPUTS!S132),01_INPUTS!S132,0)+IF(ISNUMBER(01_INPUTS!S133),01_INPUTS!S133,0)+IF(ISNUMBER(01_INPUTS!S134),01_INPUTS!S134,0)+IF(ISNUMBER(01_INPUTS!S135),01_INPUTS!S135,0))*_ENGINE_MERCADO!S10)/(_ENGINE_MERCADO!S6+_ENGINE_MERCADO!S8+_ENGINE_MERCADO!S10),"")),"")</f>
        <v/>
      </c>
    </row>
    <row r="31" customFormat="false" ht="15" hidden="false" customHeight="false" outlineLevel="0" collapsed="false">
      <c r="A31" s="5" t="s">
        <v>334</v>
      </c>
      <c r="B31" s="5"/>
      <c r="C31" s="5"/>
      <c r="D31" s="5"/>
      <c r="E31" s="5"/>
      <c r="F31" s="5"/>
      <c r="G31" s="5"/>
      <c r="H31" s="5"/>
      <c r="I31" s="5"/>
      <c r="J31" s="5"/>
      <c r="K31" s="5"/>
      <c r="L31" s="5"/>
      <c r="M31" s="5"/>
      <c r="N31" s="5"/>
      <c r="O31" s="5"/>
      <c r="P31" s="5"/>
      <c r="Q31" s="5"/>
      <c r="R31" s="5"/>
      <c r="S31" s="5"/>
    </row>
    <row r="32" customFormat="false" ht="15" hidden="false" customHeight="false" outlineLevel="0" collapsed="false">
      <c r="A32" s="14" t="s">
        <v>335</v>
      </c>
      <c r="B32" s="12" t="s">
        <v>89</v>
      </c>
      <c r="G32" s="48" t="s">
        <v>336</v>
      </c>
      <c r="H32" s="48" t="s">
        <v>336</v>
      </c>
      <c r="I32" s="32" t="n">
        <f aca="false">IF(01_INPUTS!I17,IFERROR(_ENGINE_FINANCIERO!I160/(_ENGINE_MERCADO!I190+_ENGINE_MERCADO!I195+_ENGINE_MERCADO!I200+_ENGINE_MERCADO!I205+_ENGINE_MERCADO!I210+_ENGINE_MERCADO!I215+_ENGINE_MERCADO!I220+_ENGINE_MERCADO!I225+_ENGINE_MERCADO!I230+_ENGINE_MERCADO!I235+_ENGINE_MERCADO!I240+_ENGINE_MERCADO!I245),""),"")</f>
        <v>26094.1737418993</v>
      </c>
      <c r="J32" s="32" t="str">
        <f aca="false">IF(01_INPUTS!J17,IFERROR(_ENGINE_FINANCIERO!J160/(_ENGINE_MERCADO!J190+_ENGINE_MERCADO!J195+_ENGINE_MERCADO!J200+_ENGINE_MERCADO!J205+_ENGINE_MERCADO!J210+_ENGINE_MERCADO!J215+_ENGINE_MERCADO!J220+_ENGINE_MERCADO!J225+_ENGINE_MERCADO!J230+_ENGINE_MERCADO!J235+_ENGINE_MERCADO!J240+_ENGINE_MERCADO!J245),""),"")</f>
        <v/>
      </c>
      <c r="K32" s="32" t="str">
        <f aca="false">IF(01_INPUTS!K17,IFERROR(_ENGINE_FINANCIERO!K160/(_ENGINE_MERCADO!K190+_ENGINE_MERCADO!K195+_ENGINE_MERCADO!K200+_ENGINE_MERCADO!K205+_ENGINE_MERCADO!K210+_ENGINE_MERCADO!K215+_ENGINE_MERCADO!K220+_ENGINE_MERCADO!K225+_ENGINE_MERCADO!K230+_ENGINE_MERCADO!K235+_ENGINE_MERCADO!K240+_ENGINE_MERCADO!K245),""),"")</f>
        <v/>
      </c>
      <c r="L32" s="32" t="str">
        <f aca="false">IF(01_INPUTS!L17,IFERROR(_ENGINE_FINANCIERO!L160/(_ENGINE_MERCADO!L190+_ENGINE_MERCADO!L195+_ENGINE_MERCADO!L200+_ENGINE_MERCADO!L205+_ENGINE_MERCADO!L210+_ENGINE_MERCADO!L215+_ENGINE_MERCADO!L220+_ENGINE_MERCADO!L225+_ENGINE_MERCADO!L230+_ENGINE_MERCADO!L235+_ENGINE_MERCADO!L240+_ENGINE_MERCADO!L245),""),"")</f>
        <v/>
      </c>
      <c r="M32" s="32" t="str">
        <f aca="false">IF(01_INPUTS!M17,IFERROR(_ENGINE_FINANCIERO!M160/(_ENGINE_MERCADO!M190+_ENGINE_MERCADO!M195+_ENGINE_MERCADO!M200+_ENGINE_MERCADO!M205+_ENGINE_MERCADO!M210+_ENGINE_MERCADO!M215+_ENGINE_MERCADO!M220+_ENGINE_MERCADO!M225+_ENGINE_MERCADO!M230+_ENGINE_MERCADO!M235+_ENGINE_MERCADO!M240+_ENGINE_MERCADO!M245),""),"")</f>
        <v/>
      </c>
      <c r="N32" s="32" t="str">
        <f aca="false">IF(01_INPUTS!N17,IFERROR(_ENGINE_FINANCIERO!N160/(_ENGINE_MERCADO!N190+_ENGINE_MERCADO!N195+_ENGINE_MERCADO!N200+_ENGINE_MERCADO!N205+_ENGINE_MERCADO!N210+_ENGINE_MERCADO!N215+_ENGINE_MERCADO!N220+_ENGINE_MERCADO!N225+_ENGINE_MERCADO!N230+_ENGINE_MERCADO!N235+_ENGINE_MERCADO!N240+_ENGINE_MERCADO!N245),""),"")</f>
        <v/>
      </c>
      <c r="O32" s="32" t="str">
        <f aca="false">IF(01_INPUTS!O17,IFERROR(_ENGINE_FINANCIERO!O160/(_ENGINE_MERCADO!O190+_ENGINE_MERCADO!O195+_ENGINE_MERCADO!O200+_ENGINE_MERCADO!O205+_ENGINE_MERCADO!O210+_ENGINE_MERCADO!O215+_ENGINE_MERCADO!O220+_ENGINE_MERCADO!O225+_ENGINE_MERCADO!O230+_ENGINE_MERCADO!O235+_ENGINE_MERCADO!O240+_ENGINE_MERCADO!O245),""),"")</f>
        <v/>
      </c>
      <c r="P32" s="32" t="str">
        <f aca="false">IF(01_INPUTS!P17,IFERROR(_ENGINE_FINANCIERO!P160/(_ENGINE_MERCADO!P190+_ENGINE_MERCADO!P195+_ENGINE_MERCADO!P200+_ENGINE_MERCADO!P205+_ENGINE_MERCADO!P210+_ENGINE_MERCADO!P215+_ENGINE_MERCADO!P220+_ENGINE_MERCADO!P225+_ENGINE_MERCADO!P230+_ENGINE_MERCADO!P235+_ENGINE_MERCADO!P240+_ENGINE_MERCADO!P245),""),"")</f>
        <v/>
      </c>
      <c r="Q32" s="32" t="str">
        <f aca="false">IF(01_INPUTS!Q17,IFERROR(_ENGINE_FINANCIERO!Q160/(_ENGINE_MERCADO!Q190+_ENGINE_MERCADO!Q195+_ENGINE_MERCADO!Q200+_ENGINE_MERCADO!Q205+_ENGINE_MERCADO!Q210+_ENGINE_MERCADO!Q215+_ENGINE_MERCADO!Q220+_ENGINE_MERCADO!Q225+_ENGINE_MERCADO!Q230+_ENGINE_MERCADO!Q235+_ENGINE_MERCADO!Q240+_ENGINE_MERCADO!Q245),""),"")</f>
        <v/>
      </c>
      <c r="R32" s="32" t="str">
        <f aca="false">IF(01_INPUTS!R17,IFERROR(_ENGINE_FINANCIERO!R160/(_ENGINE_MERCADO!R190+_ENGINE_MERCADO!R195+_ENGINE_MERCADO!R200+_ENGINE_MERCADO!R205+_ENGINE_MERCADO!R210+_ENGINE_MERCADO!R215+_ENGINE_MERCADO!R220+_ENGINE_MERCADO!R225+_ENGINE_MERCADO!R230+_ENGINE_MERCADO!R235+_ENGINE_MERCADO!R240+_ENGINE_MERCADO!R245),""),"")</f>
        <v/>
      </c>
      <c r="S32" s="32" t="str">
        <f aca="false">IF(01_INPUTS!S17,IFERROR(_ENGINE_FINANCIERO!S160/(_ENGINE_MERCADO!S190+_ENGINE_MERCADO!S195+_ENGINE_MERCADO!S200+_ENGINE_MERCADO!S205+_ENGINE_MERCADO!S210+_ENGINE_MERCADO!S215+_ENGINE_MERCADO!S220+_ENGINE_MERCADO!S225+_ENGINE_MERCADO!S230+_ENGINE_MERCADO!S235+_ENGINE_MERCADO!S240+_ENGINE_MERCADO!S245),""),"")</f>
        <v/>
      </c>
    </row>
    <row r="33" customFormat="false" ht="15" hidden="false" customHeight="false" outlineLevel="0" collapsed="false">
      <c r="A33" s="14" t="s">
        <v>337</v>
      </c>
      <c r="B33" s="12" t="s">
        <v>89</v>
      </c>
      <c r="G33" s="48" t="s">
        <v>336</v>
      </c>
      <c r="H33" s="48" t="s">
        <v>336</v>
      </c>
      <c r="I33" s="32" t="n">
        <f aca="false">IF(01_INPUTS!I17,IFERROR(_ENGINE_FINANCIERO!I162/(_ENGINE_MERCADO!I190+_ENGINE_MERCADO!I195+_ENGINE_MERCADO!I200+_ENGINE_MERCADO!I205+_ENGINE_MERCADO!I210+_ENGINE_MERCADO!I215+_ENGINE_MERCADO!I220+_ENGINE_MERCADO!I225+_ENGINE_MERCADO!I230+_ENGINE_MERCADO!I235+_ENGINE_MERCADO!I240+_ENGINE_MERCADO!I245),""),"")</f>
        <v>6375.4051648754</v>
      </c>
      <c r="J33" s="32" t="str">
        <f aca="false">IF(01_INPUTS!J17,IFERROR(_ENGINE_FINANCIERO!J162/(_ENGINE_MERCADO!J190+_ENGINE_MERCADO!J195+_ENGINE_MERCADO!J200+_ENGINE_MERCADO!J205+_ENGINE_MERCADO!J210+_ENGINE_MERCADO!J215+_ENGINE_MERCADO!J220+_ENGINE_MERCADO!J225+_ENGINE_MERCADO!J230+_ENGINE_MERCADO!J235+_ENGINE_MERCADO!J240+_ENGINE_MERCADO!J245),""),"")</f>
        <v/>
      </c>
      <c r="K33" s="32" t="str">
        <f aca="false">IF(01_INPUTS!K17,IFERROR(_ENGINE_FINANCIERO!K162/(_ENGINE_MERCADO!K190+_ENGINE_MERCADO!K195+_ENGINE_MERCADO!K200+_ENGINE_MERCADO!K205+_ENGINE_MERCADO!K210+_ENGINE_MERCADO!K215+_ENGINE_MERCADO!K220+_ENGINE_MERCADO!K225+_ENGINE_MERCADO!K230+_ENGINE_MERCADO!K235+_ENGINE_MERCADO!K240+_ENGINE_MERCADO!K245),""),"")</f>
        <v/>
      </c>
      <c r="L33" s="32" t="str">
        <f aca="false">IF(01_INPUTS!L17,IFERROR(_ENGINE_FINANCIERO!L162/(_ENGINE_MERCADO!L190+_ENGINE_MERCADO!L195+_ENGINE_MERCADO!L200+_ENGINE_MERCADO!L205+_ENGINE_MERCADO!L210+_ENGINE_MERCADO!L215+_ENGINE_MERCADO!L220+_ENGINE_MERCADO!L225+_ENGINE_MERCADO!L230+_ENGINE_MERCADO!L235+_ENGINE_MERCADO!L240+_ENGINE_MERCADO!L245),""),"")</f>
        <v/>
      </c>
      <c r="M33" s="32" t="str">
        <f aca="false">IF(01_INPUTS!M17,IFERROR(_ENGINE_FINANCIERO!M162/(_ENGINE_MERCADO!M190+_ENGINE_MERCADO!M195+_ENGINE_MERCADO!M200+_ENGINE_MERCADO!M205+_ENGINE_MERCADO!M210+_ENGINE_MERCADO!M215+_ENGINE_MERCADO!M220+_ENGINE_MERCADO!M225+_ENGINE_MERCADO!M230+_ENGINE_MERCADO!M235+_ENGINE_MERCADO!M240+_ENGINE_MERCADO!M245),""),"")</f>
        <v/>
      </c>
      <c r="N33" s="32" t="str">
        <f aca="false">IF(01_INPUTS!N17,IFERROR(_ENGINE_FINANCIERO!N162/(_ENGINE_MERCADO!N190+_ENGINE_MERCADO!N195+_ENGINE_MERCADO!N200+_ENGINE_MERCADO!N205+_ENGINE_MERCADO!N210+_ENGINE_MERCADO!N215+_ENGINE_MERCADO!N220+_ENGINE_MERCADO!N225+_ENGINE_MERCADO!N230+_ENGINE_MERCADO!N235+_ENGINE_MERCADO!N240+_ENGINE_MERCADO!N245),""),"")</f>
        <v/>
      </c>
      <c r="O33" s="32" t="str">
        <f aca="false">IF(01_INPUTS!O17,IFERROR(_ENGINE_FINANCIERO!O162/(_ENGINE_MERCADO!O190+_ENGINE_MERCADO!O195+_ENGINE_MERCADO!O200+_ENGINE_MERCADO!O205+_ENGINE_MERCADO!O210+_ENGINE_MERCADO!O215+_ENGINE_MERCADO!O220+_ENGINE_MERCADO!O225+_ENGINE_MERCADO!O230+_ENGINE_MERCADO!O235+_ENGINE_MERCADO!O240+_ENGINE_MERCADO!O245),""),"")</f>
        <v/>
      </c>
      <c r="P33" s="32" t="str">
        <f aca="false">IF(01_INPUTS!P17,IFERROR(_ENGINE_FINANCIERO!P162/(_ENGINE_MERCADO!P190+_ENGINE_MERCADO!P195+_ENGINE_MERCADO!P200+_ENGINE_MERCADO!P205+_ENGINE_MERCADO!P210+_ENGINE_MERCADO!P215+_ENGINE_MERCADO!P220+_ENGINE_MERCADO!P225+_ENGINE_MERCADO!P230+_ENGINE_MERCADO!P235+_ENGINE_MERCADO!P240+_ENGINE_MERCADO!P245),""),"")</f>
        <v/>
      </c>
      <c r="Q33" s="32" t="str">
        <f aca="false">IF(01_INPUTS!Q17,IFERROR(_ENGINE_FINANCIERO!Q162/(_ENGINE_MERCADO!Q190+_ENGINE_MERCADO!Q195+_ENGINE_MERCADO!Q200+_ENGINE_MERCADO!Q205+_ENGINE_MERCADO!Q210+_ENGINE_MERCADO!Q215+_ENGINE_MERCADO!Q220+_ENGINE_MERCADO!Q225+_ENGINE_MERCADO!Q230+_ENGINE_MERCADO!Q235+_ENGINE_MERCADO!Q240+_ENGINE_MERCADO!Q245),""),"")</f>
        <v/>
      </c>
      <c r="R33" s="32" t="str">
        <f aca="false">IF(01_INPUTS!R17,IFERROR(_ENGINE_FINANCIERO!R162/(_ENGINE_MERCADO!R190+_ENGINE_MERCADO!R195+_ENGINE_MERCADO!R200+_ENGINE_MERCADO!R205+_ENGINE_MERCADO!R210+_ENGINE_MERCADO!R215+_ENGINE_MERCADO!R220+_ENGINE_MERCADO!R225+_ENGINE_MERCADO!R230+_ENGINE_MERCADO!R235+_ENGINE_MERCADO!R240+_ENGINE_MERCADO!R245),""),"")</f>
        <v/>
      </c>
      <c r="S33" s="32" t="str">
        <f aca="false">IF(01_INPUTS!S17,IFERROR(_ENGINE_FINANCIERO!S162/(_ENGINE_MERCADO!S190+_ENGINE_MERCADO!S195+_ENGINE_MERCADO!S200+_ENGINE_MERCADO!S205+_ENGINE_MERCADO!S210+_ENGINE_MERCADO!S215+_ENGINE_MERCADO!S220+_ENGINE_MERCADO!S225+_ENGINE_MERCADO!S230+_ENGINE_MERCADO!S235+_ENGINE_MERCADO!S240+_ENGINE_MERCADO!S245),""),"")</f>
        <v/>
      </c>
    </row>
  </sheetData>
  <mergeCells count="7">
    <mergeCell ref="A1:S1"/>
    <mergeCell ref="A4:S4"/>
    <mergeCell ref="A6:S6"/>
    <mergeCell ref="A14:S14"/>
    <mergeCell ref="A19:S19"/>
    <mergeCell ref="A26:S26"/>
    <mergeCell ref="A31:S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true" outlineLevel="0" max="2" min="2" style="0" width="10"/>
    <col collapsed="false" customWidth="true" hidden="true" outlineLevel="0" max="3" min="3" style="0" width="40"/>
    <col collapsed="false" customWidth="true" hidden="true" outlineLevel="0" max="6" min="4" style="0" width="12"/>
    <col collapsed="false" customWidth="true" hidden="false" outlineLevel="0" max="19" min="7" style="0" width="12"/>
  </cols>
  <sheetData>
    <row r="1" customFormat="false" ht="16.15" hidden="false" customHeight="false" outlineLevel="0" collapsed="false">
      <c r="A1" s="1" t="s">
        <v>338</v>
      </c>
      <c r="B1" s="1"/>
      <c r="C1" s="1"/>
      <c r="D1" s="1"/>
      <c r="E1" s="1"/>
      <c r="F1" s="1"/>
      <c r="G1" s="1"/>
      <c r="H1" s="1"/>
      <c r="I1" s="1"/>
      <c r="J1" s="1"/>
      <c r="K1" s="1"/>
      <c r="L1" s="1"/>
      <c r="M1" s="1"/>
      <c r="N1" s="1"/>
      <c r="O1" s="1"/>
      <c r="P1" s="1"/>
      <c r="Q1" s="1"/>
      <c r="R1" s="1"/>
      <c r="S1" s="1"/>
    </row>
    <row r="2" customFormat="false" ht="15" hidden="false" customHeight="true" outlineLevel="0" collapsed="false">
      <c r="A2" s="41" t="s">
        <v>339</v>
      </c>
      <c r="B2" s="41"/>
      <c r="C2" s="41"/>
      <c r="D2" s="41"/>
      <c r="E2" s="41"/>
      <c r="F2" s="41"/>
      <c r="G2" s="41"/>
      <c r="H2" s="41"/>
      <c r="I2" s="41"/>
      <c r="J2" s="41"/>
      <c r="K2" s="41"/>
      <c r="L2" s="41"/>
      <c r="M2" s="41"/>
      <c r="N2" s="41"/>
      <c r="O2" s="41"/>
      <c r="P2" s="41"/>
      <c r="Q2" s="41"/>
      <c r="R2" s="41"/>
      <c r="S2" s="41"/>
    </row>
    <row r="4" customFormat="false" ht="15" hidden="false" customHeight="false" outlineLevel="0" collapsed="false">
      <c r="A4" s="4" t="s">
        <v>340</v>
      </c>
      <c r="B4" s="4" t="s">
        <v>8</v>
      </c>
      <c r="C4" s="4" t="s">
        <v>341</v>
      </c>
      <c r="D4" s="4"/>
      <c r="E4" s="4"/>
      <c r="F4" s="4"/>
      <c r="G4" s="4" t="s">
        <v>252</v>
      </c>
      <c r="H4" s="4" t="s">
        <v>253</v>
      </c>
      <c r="I4" s="4" t="s">
        <v>254</v>
      </c>
      <c r="J4" s="4" t="s">
        <v>255</v>
      </c>
      <c r="K4" s="4" t="s">
        <v>256</v>
      </c>
      <c r="L4" s="4" t="s">
        <v>257</v>
      </c>
      <c r="M4" s="4" t="s">
        <v>258</v>
      </c>
      <c r="N4" s="4" t="s">
        <v>259</v>
      </c>
      <c r="O4" s="4" t="s">
        <v>260</v>
      </c>
      <c r="P4" s="4" t="s">
        <v>261</v>
      </c>
      <c r="Q4" s="4" t="s">
        <v>262</v>
      </c>
      <c r="R4" s="4" t="s">
        <v>263</v>
      </c>
      <c r="S4" s="4" t="s">
        <v>264</v>
      </c>
    </row>
    <row r="5" customFormat="false" ht="15" hidden="false" customHeight="false" outlineLevel="0" collapsed="false">
      <c r="A5" s="5" t="s">
        <v>342</v>
      </c>
      <c r="B5" s="5"/>
      <c r="C5" s="5"/>
      <c r="D5" s="5"/>
      <c r="E5" s="5"/>
      <c r="F5" s="5"/>
      <c r="G5" s="5"/>
      <c r="H5" s="5"/>
      <c r="I5" s="5"/>
      <c r="J5" s="5"/>
      <c r="K5" s="5"/>
      <c r="L5" s="5"/>
      <c r="M5" s="5"/>
      <c r="N5" s="5"/>
      <c r="O5" s="5"/>
      <c r="P5" s="5"/>
      <c r="Q5" s="5"/>
      <c r="R5" s="5"/>
      <c r="S5" s="5"/>
    </row>
    <row r="6" customFormat="false" ht="15" hidden="false" customHeight="false" outlineLevel="0" collapsed="false">
      <c r="A6" s="9" t="s">
        <v>343</v>
      </c>
      <c r="B6" s="7" t="s">
        <v>344</v>
      </c>
      <c r="C6" s="58"/>
      <c r="G6" s="12" t="str">
        <f aca="false">IF(ABS(_ENGINE_FINANCIERO!G44)&lt;1000,"OK",IF(ABS(ABS(_ENGINE_FINANCIERO!G44)-1508776236.64)&lt;1000000,"ADVERTENCIA — diferencia heredada R1 ≈ USD 1.508,8 M (v1.2)","ERROR"))</f>
        <v>OK</v>
      </c>
      <c r="H6" s="12" t="str">
        <f aca="false">IF(ABS(_ENGINE_FINANCIERO!H44)&lt;1000,"OK",IF(ABS(ABS(_ENGINE_FINANCIERO!H44)-1508776236.64)&lt;1000000,"ADVERTENCIA — diferencia heredada R1 ≈ USD 1.508,8 M (v1.2)","ERROR"))</f>
        <v>OK</v>
      </c>
      <c r="I6" s="12" t="str">
        <f aca="false">IF(01_INPUTS!I17,IF(ABS(_ENGINE_FINANCIERO!I44)&lt;1000,"OK",IF(ABS(ABS(_ENGINE_FINANCIERO!I44)-1508776236.64)&lt;1000000,"ADVERTENCIA — diferencia heredada R1 ≈ USD 1.508,8 M (v1.2)","ERROR")),"NO ACTIVA")</f>
        <v>OK</v>
      </c>
      <c r="J6" s="12" t="str">
        <f aca="false">IF(01_INPUTS!J17,IF(ABS(_ENGINE_FINANCIERO!J44)&lt;1000,"OK",IF(ABS(ABS(_ENGINE_FINANCIERO!J44)-1508776236.64)&lt;1000000,"ADVERTENCIA — diferencia heredada R1 ≈ USD 1.508,8 M (v1.2)","ERROR")),"NO ACTIVA")</f>
        <v>NO ACTIVA</v>
      </c>
      <c r="K6" s="12" t="str">
        <f aca="false">IF(01_INPUTS!K17,IF(ABS(_ENGINE_FINANCIERO!K44)&lt;1000,"OK",IF(ABS(ABS(_ENGINE_FINANCIERO!K44)-1508776236.64)&lt;1000000,"ADVERTENCIA — diferencia heredada R1 ≈ USD 1.508,8 M (v1.2)","ERROR")),"NO ACTIVA")</f>
        <v>NO ACTIVA</v>
      </c>
      <c r="L6" s="12" t="str">
        <f aca="false">IF(01_INPUTS!L17,IF(ABS(_ENGINE_FINANCIERO!L44)&lt;1000,"OK",IF(ABS(ABS(_ENGINE_FINANCIERO!L44)-1508776236.64)&lt;1000000,"ADVERTENCIA — diferencia heredada R1 ≈ USD 1.508,8 M (v1.2)","ERROR")),"NO ACTIVA")</f>
        <v>NO ACTIVA</v>
      </c>
      <c r="M6" s="12" t="str">
        <f aca="false">IF(01_INPUTS!M17,IF(ABS(_ENGINE_FINANCIERO!M44)&lt;1000,"OK",IF(ABS(ABS(_ENGINE_FINANCIERO!M44)-1508776236.64)&lt;1000000,"ADVERTENCIA — diferencia heredada R1 ≈ USD 1.508,8 M (v1.2)","ERROR")),"NO ACTIVA")</f>
        <v>NO ACTIVA</v>
      </c>
      <c r="N6" s="12" t="str">
        <f aca="false">IF(01_INPUTS!N17,IF(ABS(_ENGINE_FINANCIERO!N44)&lt;1000,"OK",IF(ABS(ABS(_ENGINE_FINANCIERO!N44)-1508776236.64)&lt;1000000,"ADVERTENCIA — diferencia heredada R1 ≈ USD 1.508,8 M (v1.2)","ERROR")),"NO ACTIVA")</f>
        <v>NO ACTIVA</v>
      </c>
      <c r="O6" s="12" t="str">
        <f aca="false">IF(01_INPUTS!O17,IF(ABS(_ENGINE_FINANCIERO!O44)&lt;1000,"OK",IF(ABS(ABS(_ENGINE_FINANCIERO!O44)-1508776236.64)&lt;1000000,"ADVERTENCIA — diferencia heredada R1 ≈ USD 1.508,8 M (v1.2)","ERROR")),"NO ACTIVA")</f>
        <v>NO ACTIVA</v>
      </c>
      <c r="P6" s="12" t="str">
        <f aca="false">IF(01_INPUTS!P17,IF(ABS(_ENGINE_FINANCIERO!P44)&lt;1000,"OK",IF(ABS(ABS(_ENGINE_FINANCIERO!P44)-1508776236.64)&lt;1000000,"ADVERTENCIA — diferencia heredada R1 ≈ USD 1.508,8 M (v1.2)","ERROR")),"NO ACTIVA")</f>
        <v>NO ACTIVA</v>
      </c>
      <c r="Q6" s="12" t="str">
        <f aca="false">IF(01_INPUTS!Q17,IF(ABS(_ENGINE_FINANCIERO!Q44)&lt;1000,"OK",IF(ABS(ABS(_ENGINE_FINANCIERO!Q44)-1508776236.64)&lt;1000000,"ADVERTENCIA — diferencia heredada R1 ≈ USD 1.508,8 M (v1.2)","ERROR")),"NO ACTIVA")</f>
        <v>NO ACTIVA</v>
      </c>
      <c r="R6" s="12" t="str">
        <f aca="false">IF(01_INPUTS!R17,IF(ABS(_ENGINE_FINANCIERO!R44)&lt;1000,"OK",IF(ABS(ABS(_ENGINE_FINANCIERO!R44)-1508776236.64)&lt;1000000,"ADVERTENCIA — diferencia heredada R1 ≈ USD 1.508,8 M (v1.2)","ERROR")),"NO ACTIVA")</f>
        <v>NO ACTIVA</v>
      </c>
      <c r="S6" s="12" t="str">
        <f aca="false">IF(01_INPUTS!S17,IF(ABS(_ENGINE_FINANCIERO!S44)&lt;1000,"OK",IF(ABS(ABS(_ENGINE_FINANCIERO!S44)-1508776236.64)&lt;1000000,"ADVERTENCIA — diferencia heredada R1 ≈ USD 1.508,8 M (v1.2)","ERROR")),"NO ACTIVA")</f>
        <v>NO ACTIVA</v>
      </c>
    </row>
    <row r="7" customFormat="false" ht="15" hidden="false" customHeight="false" outlineLevel="0" collapsed="false">
      <c r="A7" s="9" t="s">
        <v>345</v>
      </c>
      <c r="B7" s="7" t="s">
        <v>344</v>
      </c>
      <c r="C7" s="58"/>
      <c r="G7" s="12" t="str">
        <f aca="false">IF(ABS(_ENGINE_FINANCIERO!G91)&lt;1000,"OK",IF(ABS(ABS(_ENGINE_FINANCIERO!G91)-1508776236.64)&lt;1000000,"ADVERTENCIA — diferencia heredada R1 ≈ USD 1.508,8 M (v1.2)","ERROR"))</f>
        <v>OK</v>
      </c>
      <c r="H7" s="12" t="str">
        <f aca="false">IF(ABS(_ENGINE_FINANCIERO!H91)&lt;1000,"OK",IF(ABS(ABS(_ENGINE_FINANCIERO!H91)-1508776236.64)&lt;1000000,"ADVERTENCIA — diferencia heredada R1 ≈ USD 1.508,8 M (v1.2)","ERROR"))</f>
        <v>OK</v>
      </c>
      <c r="I7" s="12" t="str">
        <f aca="false">IF(01_INPUTS!I17,IF(ABS(_ENGINE_FINANCIERO!I91)&lt;1000,"OK",IF(ABS(ABS(_ENGINE_FINANCIERO!I91)-1508776236.64)&lt;1000000,"ADVERTENCIA — diferencia heredada R1 ≈ USD 1.508,8 M (v1.2)","ERROR")),"NO ACTIVA")</f>
        <v>OK</v>
      </c>
      <c r="J7" s="12" t="str">
        <f aca="false">IF(01_INPUTS!J17,IF(ABS(_ENGINE_FINANCIERO!J91)&lt;1000,"OK",IF(ABS(ABS(_ENGINE_FINANCIERO!J91)-1508776236.64)&lt;1000000,"ADVERTENCIA — diferencia heredada R1 ≈ USD 1.508,8 M (v1.2)","ERROR")),"NO ACTIVA")</f>
        <v>NO ACTIVA</v>
      </c>
      <c r="K7" s="12" t="str">
        <f aca="false">IF(01_INPUTS!K17,IF(ABS(_ENGINE_FINANCIERO!K91)&lt;1000,"OK",IF(ABS(ABS(_ENGINE_FINANCIERO!K91)-1508776236.64)&lt;1000000,"ADVERTENCIA — diferencia heredada R1 ≈ USD 1.508,8 M (v1.2)","ERROR")),"NO ACTIVA")</f>
        <v>NO ACTIVA</v>
      </c>
      <c r="L7" s="12" t="str">
        <f aca="false">IF(01_INPUTS!L17,IF(ABS(_ENGINE_FINANCIERO!L91)&lt;1000,"OK",IF(ABS(ABS(_ENGINE_FINANCIERO!L91)-1508776236.64)&lt;1000000,"ADVERTENCIA — diferencia heredada R1 ≈ USD 1.508,8 M (v1.2)","ERROR")),"NO ACTIVA")</f>
        <v>NO ACTIVA</v>
      </c>
      <c r="M7" s="12" t="str">
        <f aca="false">IF(01_INPUTS!M17,IF(ABS(_ENGINE_FINANCIERO!M91)&lt;1000,"OK",IF(ABS(ABS(_ENGINE_FINANCIERO!M91)-1508776236.64)&lt;1000000,"ADVERTENCIA — diferencia heredada R1 ≈ USD 1.508,8 M (v1.2)","ERROR")),"NO ACTIVA")</f>
        <v>NO ACTIVA</v>
      </c>
      <c r="N7" s="12" t="str">
        <f aca="false">IF(01_INPUTS!N17,IF(ABS(_ENGINE_FINANCIERO!N91)&lt;1000,"OK",IF(ABS(ABS(_ENGINE_FINANCIERO!N91)-1508776236.64)&lt;1000000,"ADVERTENCIA — diferencia heredada R1 ≈ USD 1.508,8 M (v1.2)","ERROR")),"NO ACTIVA")</f>
        <v>NO ACTIVA</v>
      </c>
      <c r="O7" s="12" t="str">
        <f aca="false">IF(01_INPUTS!O17,IF(ABS(_ENGINE_FINANCIERO!O91)&lt;1000,"OK",IF(ABS(ABS(_ENGINE_FINANCIERO!O91)-1508776236.64)&lt;1000000,"ADVERTENCIA — diferencia heredada R1 ≈ USD 1.508,8 M (v1.2)","ERROR")),"NO ACTIVA")</f>
        <v>NO ACTIVA</v>
      </c>
      <c r="P7" s="12" t="str">
        <f aca="false">IF(01_INPUTS!P17,IF(ABS(_ENGINE_FINANCIERO!P91)&lt;1000,"OK",IF(ABS(ABS(_ENGINE_FINANCIERO!P91)-1508776236.64)&lt;1000000,"ADVERTENCIA — diferencia heredada R1 ≈ USD 1.508,8 M (v1.2)","ERROR")),"NO ACTIVA")</f>
        <v>NO ACTIVA</v>
      </c>
      <c r="Q7" s="12" t="str">
        <f aca="false">IF(01_INPUTS!Q17,IF(ABS(_ENGINE_FINANCIERO!Q91)&lt;1000,"OK",IF(ABS(ABS(_ENGINE_FINANCIERO!Q91)-1508776236.64)&lt;1000000,"ADVERTENCIA — diferencia heredada R1 ≈ USD 1.508,8 M (v1.2)","ERROR")),"NO ACTIVA")</f>
        <v>NO ACTIVA</v>
      </c>
      <c r="R7" s="12" t="str">
        <f aca="false">IF(01_INPUTS!R17,IF(ABS(_ENGINE_FINANCIERO!R91)&lt;1000,"OK",IF(ABS(ABS(_ENGINE_FINANCIERO!R91)-1508776236.64)&lt;1000000,"ADVERTENCIA — diferencia heredada R1 ≈ USD 1.508,8 M (v1.2)","ERROR")),"NO ACTIVA")</f>
        <v>NO ACTIVA</v>
      </c>
      <c r="S7" s="12" t="str">
        <f aca="false">IF(01_INPUTS!S17,IF(ABS(_ENGINE_FINANCIERO!S91)&lt;1000,"OK",IF(ABS(ABS(_ENGINE_FINANCIERO!S91)-1508776236.64)&lt;1000000,"ADVERTENCIA — diferencia heredada R1 ≈ USD 1.508,8 M (v1.2)","ERROR")),"NO ACTIVA")</f>
        <v>NO ACTIVA</v>
      </c>
    </row>
    <row r="8" customFormat="false" ht="15" hidden="false" customHeight="false" outlineLevel="0" collapsed="false">
      <c r="A8" s="9" t="s">
        <v>346</v>
      </c>
      <c r="B8" s="7" t="s">
        <v>344</v>
      </c>
      <c r="C8" s="58"/>
      <c r="G8" s="12" t="str">
        <f aca="false">IF(ABS(_ENGINE_FINANCIERO!G138)&lt;1000,"OK",IF(ABS(ABS(_ENGINE_FINANCIERO!G138)-1508776236.64)&lt;1000000,"ADVERTENCIA — diferencia heredada R1 ≈ USD 1.508,8 M (v1.2)","ERROR"))</f>
        <v>OK</v>
      </c>
      <c r="H8" s="12" t="str">
        <f aca="false">IF(ABS(_ENGINE_FINANCIERO!H138)&lt;1000,"OK",IF(ABS(ABS(_ENGINE_FINANCIERO!H138)-1508776236.64)&lt;1000000,"ADVERTENCIA — diferencia heredada R1 ≈ USD 1.508,8 M (v1.2)","ERROR"))</f>
        <v>OK</v>
      </c>
      <c r="I8" s="12" t="str">
        <f aca="false">IF(01_INPUTS!I17,IF(ABS(_ENGINE_FINANCIERO!I138)&lt;1000,"OK",IF(ABS(ABS(_ENGINE_FINANCIERO!I138)-1508776236.64)&lt;1000000,"ADVERTENCIA — diferencia heredada R1 ≈ USD 1.508,8 M (v1.2)","ERROR")),"NO ACTIVA")</f>
        <v>OK</v>
      </c>
      <c r="J8" s="12" t="str">
        <f aca="false">IF(01_INPUTS!J17,IF(ABS(_ENGINE_FINANCIERO!J138)&lt;1000,"OK",IF(ABS(ABS(_ENGINE_FINANCIERO!J138)-1508776236.64)&lt;1000000,"ADVERTENCIA — diferencia heredada R1 ≈ USD 1.508,8 M (v1.2)","ERROR")),"NO ACTIVA")</f>
        <v>NO ACTIVA</v>
      </c>
      <c r="K8" s="12" t="str">
        <f aca="false">IF(01_INPUTS!K17,IF(ABS(_ENGINE_FINANCIERO!K138)&lt;1000,"OK",IF(ABS(ABS(_ENGINE_FINANCIERO!K138)-1508776236.64)&lt;1000000,"ADVERTENCIA — diferencia heredada R1 ≈ USD 1.508,8 M (v1.2)","ERROR")),"NO ACTIVA")</f>
        <v>NO ACTIVA</v>
      </c>
      <c r="L8" s="12" t="str">
        <f aca="false">IF(01_INPUTS!L17,IF(ABS(_ENGINE_FINANCIERO!L138)&lt;1000,"OK",IF(ABS(ABS(_ENGINE_FINANCIERO!L138)-1508776236.64)&lt;1000000,"ADVERTENCIA — diferencia heredada R1 ≈ USD 1.508,8 M (v1.2)","ERROR")),"NO ACTIVA")</f>
        <v>NO ACTIVA</v>
      </c>
      <c r="M8" s="12" t="str">
        <f aca="false">IF(01_INPUTS!M17,IF(ABS(_ENGINE_FINANCIERO!M138)&lt;1000,"OK",IF(ABS(ABS(_ENGINE_FINANCIERO!M138)-1508776236.64)&lt;1000000,"ADVERTENCIA — diferencia heredada R1 ≈ USD 1.508,8 M (v1.2)","ERROR")),"NO ACTIVA")</f>
        <v>NO ACTIVA</v>
      </c>
      <c r="N8" s="12" t="str">
        <f aca="false">IF(01_INPUTS!N17,IF(ABS(_ENGINE_FINANCIERO!N138)&lt;1000,"OK",IF(ABS(ABS(_ENGINE_FINANCIERO!N138)-1508776236.64)&lt;1000000,"ADVERTENCIA — diferencia heredada R1 ≈ USD 1.508,8 M (v1.2)","ERROR")),"NO ACTIVA")</f>
        <v>NO ACTIVA</v>
      </c>
      <c r="O8" s="12" t="str">
        <f aca="false">IF(01_INPUTS!O17,IF(ABS(_ENGINE_FINANCIERO!O138)&lt;1000,"OK",IF(ABS(ABS(_ENGINE_FINANCIERO!O138)-1508776236.64)&lt;1000000,"ADVERTENCIA — diferencia heredada R1 ≈ USD 1.508,8 M (v1.2)","ERROR")),"NO ACTIVA")</f>
        <v>NO ACTIVA</v>
      </c>
      <c r="P8" s="12" t="str">
        <f aca="false">IF(01_INPUTS!P17,IF(ABS(_ENGINE_FINANCIERO!P138)&lt;1000,"OK",IF(ABS(ABS(_ENGINE_FINANCIERO!P138)-1508776236.64)&lt;1000000,"ADVERTENCIA — diferencia heredada R1 ≈ USD 1.508,8 M (v1.2)","ERROR")),"NO ACTIVA")</f>
        <v>NO ACTIVA</v>
      </c>
      <c r="Q8" s="12" t="str">
        <f aca="false">IF(01_INPUTS!Q17,IF(ABS(_ENGINE_FINANCIERO!Q138)&lt;1000,"OK",IF(ABS(ABS(_ENGINE_FINANCIERO!Q138)-1508776236.64)&lt;1000000,"ADVERTENCIA — diferencia heredada R1 ≈ USD 1.508,8 M (v1.2)","ERROR")),"NO ACTIVA")</f>
        <v>NO ACTIVA</v>
      </c>
      <c r="R8" s="12" t="str">
        <f aca="false">IF(01_INPUTS!R17,IF(ABS(_ENGINE_FINANCIERO!R138)&lt;1000,"OK",IF(ABS(ABS(_ENGINE_FINANCIERO!R138)-1508776236.64)&lt;1000000,"ADVERTENCIA — diferencia heredada R1 ≈ USD 1.508,8 M (v1.2)","ERROR")),"NO ACTIVA")</f>
        <v>NO ACTIVA</v>
      </c>
      <c r="S8" s="12" t="str">
        <f aca="false">IF(01_INPUTS!S17,IF(ABS(_ENGINE_FINANCIERO!S138)&lt;1000,"OK",IF(ABS(ABS(_ENGINE_FINANCIERO!S138)-1508776236.64)&lt;1000000,"ADVERTENCIA — diferencia heredada R1 ≈ USD 1.508,8 M (v1.2)","ERROR")),"NO ACTIVA")</f>
        <v>NO ACTIVA</v>
      </c>
    </row>
    <row r="9" customFormat="false" ht="31.3" hidden="false" customHeight="false" outlineLevel="0" collapsed="false">
      <c r="A9" s="9" t="s">
        <v>347</v>
      </c>
      <c r="B9" s="7" t="s">
        <v>344</v>
      </c>
      <c r="C9" s="58" t="s">
        <v>348</v>
      </c>
      <c r="G9" s="12" t="str">
        <f aca="false">IF(ABS(_ENGINE_FINANCIERO!G186)&lt;1000,"OK",IF(ABS(ABS(_ENGINE_FINANCIERO!G186)-1508776236.64)&lt;1000000,"ADVERTENCIA — diferencia heredada R1 ≈ USD 1.508,8 M (v1.2)","ERROR"))</f>
        <v>OK</v>
      </c>
      <c r="H9" s="12" t="str">
        <f aca="false">IF(ABS(_ENGINE_FINANCIERO!H186)&lt;1000,"OK",IF(ABS(ABS(_ENGINE_FINANCIERO!H186)-1508776236.64)&lt;1000000,"ADVERTENCIA — diferencia heredada R1 ≈ USD 1.508,8 M (v1.2)","ERROR"))</f>
        <v>OK</v>
      </c>
      <c r="I9" s="12" t="str">
        <f aca="false">IF(01_INPUTS!I17,IF(ABS(_ENGINE_FINANCIERO!I186)&lt;1000,"OK",IF(ABS(ABS(_ENGINE_FINANCIERO!I186)-1508776236.64)&lt;1000000,"ADVERTENCIA — diferencia heredada R1 ≈ USD 1.508,8 M (v1.2)","ERROR")),"NO ACTIVA")</f>
        <v>OK</v>
      </c>
      <c r="J9" s="12" t="str">
        <f aca="false">IF(01_INPUTS!J17,IF(ABS(_ENGINE_FINANCIERO!J186)&lt;1000,"OK",IF(ABS(ABS(_ENGINE_FINANCIERO!J186)-1508776236.64)&lt;1000000,"ADVERTENCIA — diferencia heredada R1 ≈ USD 1.508,8 M (v1.2)","ERROR")),"NO ACTIVA")</f>
        <v>NO ACTIVA</v>
      </c>
      <c r="K9" s="12" t="str">
        <f aca="false">IF(01_INPUTS!K17,IF(ABS(_ENGINE_FINANCIERO!K186)&lt;1000,"OK",IF(ABS(ABS(_ENGINE_FINANCIERO!K186)-1508776236.64)&lt;1000000,"ADVERTENCIA — diferencia heredada R1 ≈ USD 1.508,8 M (v1.2)","ERROR")),"NO ACTIVA")</f>
        <v>NO ACTIVA</v>
      </c>
      <c r="L9" s="12" t="str">
        <f aca="false">IF(01_INPUTS!L17,IF(ABS(_ENGINE_FINANCIERO!L186)&lt;1000,"OK",IF(ABS(ABS(_ENGINE_FINANCIERO!L186)-1508776236.64)&lt;1000000,"ADVERTENCIA — diferencia heredada R1 ≈ USD 1.508,8 M (v1.2)","ERROR")),"NO ACTIVA")</f>
        <v>NO ACTIVA</v>
      </c>
      <c r="M9" s="12" t="str">
        <f aca="false">IF(01_INPUTS!M17,IF(ABS(_ENGINE_FINANCIERO!M186)&lt;1000,"OK",IF(ABS(ABS(_ENGINE_FINANCIERO!M186)-1508776236.64)&lt;1000000,"ADVERTENCIA — diferencia heredada R1 ≈ USD 1.508,8 M (v1.2)","ERROR")),"NO ACTIVA")</f>
        <v>NO ACTIVA</v>
      </c>
      <c r="N9" s="12" t="str">
        <f aca="false">IF(01_INPUTS!N17,IF(ABS(_ENGINE_FINANCIERO!N186)&lt;1000,"OK",IF(ABS(ABS(_ENGINE_FINANCIERO!N186)-1508776236.64)&lt;1000000,"ADVERTENCIA — diferencia heredada R1 ≈ USD 1.508,8 M (v1.2)","ERROR")),"NO ACTIVA")</f>
        <v>NO ACTIVA</v>
      </c>
      <c r="O9" s="12" t="str">
        <f aca="false">IF(01_INPUTS!O17,IF(ABS(_ENGINE_FINANCIERO!O186)&lt;1000,"OK",IF(ABS(ABS(_ENGINE_FINANCIERO!O186)-1508776236.64)&lt;1000000,"ADVERTENCIA — diferencia heredada R1 ≈ USD 1.508,8 M (v1.2)","ERROR")),"NO ACTIVA")</f>
        <v>NO ACTIVA</v>
      </c>
      <c r="P9" s="12" t="str">
        <f aca="false">IF(01_INPUTS!P17,IF(ABS(_ENGINE_FINANCIERO!P186)&lt;1000,"OK",IF(ABS(ABS(_ENGINE_FINANCIERO!P186)-1508776236.64)&lt;1000000,"ADVERTENCIA — diferencia heredada R1 ≈ USD 1.508,8 M (v1.2)","ERROR")),"NO ACTIVA")</f>
        <v>NO ACTIVA</v>
      </c>
      <c r="Q9" s="12" t="str">
        <f aca="false">IF(01_INPUTS!Q17,IF(ABS(_ENGINE_FINANCIERO!Q186)&lt;1000,"OK",IF(ABS(ABS(_ENGINE_FINANCIERO!Q186)-1508776236.64)&lt;1000000,"ADVERTENCIA — diferencia heredada R1 ≈ USD 1.508,8 M (v1.2)","ERROR")),"NO ACTIVA")</f>
        <v>NO ACTIVA</v>
      </c>
      <c r="R9" s="12" t="str">
        <f aca="false">IF(01_INPUTS!R17,IF(ABS(_ENGINE_FINANCIERO!R186)&lt;1000,"OK",IF(ABS(ABS(_ENGINE_FINANCIERO!R186)-1508776236.64)&lt;1000000,"ADVERTENCIA — diferencia heredada R1 ≈ USD 1.508,8 M (v1.2)","ERROR")),"NO ACTIVA")</f>
        <v>NO ACTIVA</v>
      </c>
      <c r="S9" s="12" t="str">
        <f aca="false">IF(01_INPUTS!S17,IF(ABS(_ENGINE_FINANCIERO!S186)&lt;1000,"OK",IF(ABS(ABS(_ENGINE_FINANCIERO!S186)-1508776236.64)&lt;1000000,"ADVERTENCIA — diferencia heredada R1 ≈ USD 1.508,8 M (v1.2)","ERROR")),"NO ACTIVA")</f>
        <v>NO ACTIVA</v>
      </c>
    </row>
    <row r="10" customFormat="false" ht="23.85" hidden="false" customHeight="false" outlineLevel="0" collapsed="false">
      <c r="A10" s="9" t="s">
        <v>349</v>
      </c>
      <c r="B10" s="7" t="s">
        <v>344</v>
      </c>
      <c r="C10" s="58" t="s">
        <v>350</v>
      </c>
      <c r="G10" s="12" t="str">
        <f aca="false">IF(ABS(_ENGINE_FINANCIERO!G187)&lt;1,"OK","ERROR")</f>
        <v>OK</v>
      </c>
      <c r="H10" s="12" t="str">
        <f aca="false">IF(ABS(_ENGINE_FINANCIERO!H187)&lt;1,"OK","ERROR")</f>
        <v>OK</v>
      </c>
      <c r="I10" s="12" t="str">
        <f aca="false">IF(01_INPUTS!I17,IF(ABS(_ENGINE_FINANCIERO!I187)&lt;1,"OK","ERROR"),"NO ACTIVA")</f>
        <v>OK</v>
      </c>
      <c r="J10" s="12" t="str">
        <f aca="false">IF(01_INPUTS!J17,IF(ABS(_ENGINE_FINANCIERO!J187)&lt;1,"OK","ERROR"),"NO ACTIVA")</f>
        <v>NO ACTIVA</v>
      </c>
      <c r="K10" s="12" t="str">
        <f aca="false">IF(01_INPUTS!K17,IF(ABS(_ENGINE_FINANCIERO!K187)&lt;1,"OK","ERROR"),"NO ACTIVA")</f>
        <v>NO ACTIVA</v>
      </c>
      <c r="L10" s="12" t="str">
        <f aca="false">IF(01_INPUTS!L17,IF(ABS(_ENGINE_FINANCIERO!L187)&lt;1,"OK","ERROR"),"NO ACTIVA")</f>
        <v>NO ACTIVA</v>
      </c>
      <c r="M10" s="12" t="str">
        <f aca="false">IF(01_INPUTS!M17,IF(ABS(_ENGINE_FINANCIERO!M187)&lt;1,"OK","ERROR"),"NO ACTIVA")</f>
        <v>NO ACTIVA</v>
      </c>
      <c r="N10" s="12" t="str">
        <f aca="false">IF(01_INPUTS!N17,IF(ABS(_ENGINE_FINANCIERO!N187)&lt;1,"OK","ERROR"),"NO ACTIVA")</f>
        <v>NO ACTIVA</v>
      </c>
      <c r="O10" s="12" t="str">
        <f aca="false">IF(01_INPUTS!O17,IF(ABS(_ENGINE_FINANCIERO!O187)&lt;1,"OK","ERROR"),"NO ACTIVA")</f>
        <v>NO ACTIVA</v>
      </c>
      <c r="P10" s="12" t="str">
        <f aca="false">IF(01_INPUTS!P17,IF(ABS(_ENGINE_FINANCIERO!P187)&lt;1,"OK","ERROR"),"NO ACTIVA")</f>
        <v>NO ACTIVA</v>
      </c>
      <c r="Q10" s="12" t="str">
        <f aca="false">IF(01_INPUTS!Q17,IF(ABS(_ENGINE_FINANCIERO!Q187)&lt;1,"OK","ERROR"),"NO ACTIVA")</f>
        <v>NO ACTIVA</v>
      </c>
      <c r="R10" s="12" t="str">
        <f aca="false">IF(01_INPUTS!R17,IF(ABS(_ENGINE_FINANCIERO!R187)&lt;1,"OK","ERROR"),"NO ACTIVA")</f>
        <v>NO ACTIVA</v>
      </c>
      <c r="S10" s="12" t="str">
        <f aca="false">IF(01_INPUTS!S17,IF(ABS(_ENGINE_FINANCIERO!S187)&lt;1,"OK","ERROR"),"NO ACTIVA")</f>
        <v>NO ACTIVA</v>
      </c>
    </row>
    <row r="11" customFormat="false" ht="15" hidden="false" customHeight="false" outlineLevel="0" collapsed="false">
      <c r="A11" s="9" t="s">
        <v>351</v>
      </c>
      <c r="B11" s="7" t="s">
        <v>344</v>
      </c>
      <c r="C11" s="58"/>
      <c r="G11" s="12" t="str">
        <f aca="false">IF(ISTEXT(_ENGINE_FINANCIERO!G197),"OK",IF(ABS(_ENGINE_FINANCIERO!G197)&lt;1,"OK","ERROR"))</f>
        <v>OK</v>
      </c>
      <c r="H11" s="12" t="str">
        <f aca="false">IF(ISTEXT(_ENGINE_FINANCIERO!H197),"OK",IF(ABS(_ENGINE_FINANCIERO!H197)&lt;1,"OK","ERROR"))</f>
        <v>OK</v>
      </c>
      <c r="I11" s="12" t="str">
        <f aca="false">IF(01_INPUTS!I17,IF(ISTEXT(_ENGINE_FINANCIERO!I197),"OK",IF(ABS(_ENGINE_FINANCIERO!I197)&lt;1,"OK","ERROR")),"NO ACTIVA")</f>
        <v>OK</v>
      </c>
      <c r="J11" s="12" t="str">
        <f aca="false">IF(01_INPUTS!J17,IF(ISTEXT(_ENGINE_FINANCIERO!J197),"OK",IF(ABS(_ENGINE_FINANCIERO!J197)&lt;1,"OK","ERROR")),"NO ACTIVA")</f>
        <v>NO ACTIVA</v>
      </c>
      <c r="K11" s="12" t="str">
        <f aca="false">IF(01_INPUTS!K17,IF(ISTEXT(_ENGINE_FINANCIERO!K197),"OK",IF(ABS(_ENGINE_FINANCIERO!K197)&lt;1,"OK","ERROR")),"NO ACTIVA")</f>
        <v>NO ACTIVA</v>
      </c>
      <c r="L11" s="12" t="str">
        <f aca="false">IF(01_INPUTS!L17,IF(ISTEXT(_ENGINE_FINANCIERO!L197),"OK",IF(ABS(_ENGINE_FINANCIERO!L197)&lt;1,"OK","ERROR")),"NO ACTIVA")</f>
        <v>NO ACTIVA</v>
      </c>
      <c r="M11" s="12" t="str">
        <f aca="false">IF(01_INPUTS!M17,IF(ISTEXT(_ENGINE_FINANCIERO!M197),"OK",IF(ABS(_ENGINE_FINANCIERO!M197)&lt;1,"OK","ERROR")),"NO ACTIVA")</f>
        <v>NO ACTIVA</v>
      </c>
      <c r="N11" s="12" t="str">
        <f aca="false">IF(01_INPUTS!N17,IF(ISTEXT(_ENGINE_FINANCIERO!N197),"OK",IF(ABS(_ENGINE_FINANCIERO!N197)&lt;1,"OK","ERROR")),"NO ACTIVA")</f>
        <v>NO ACTIVA</v>
      </c>
      <c r="O11" s="12" t="str">
        <f aca="false">IF(01_INPUTS!O17,IF(ISTEXT(_ENGINE_FINANCIERO!O197),"OK",IF(ABS(_ENGINE_FINANCIERO!O197)&lt;1,"OK","ERROR")),"NO ACTIVA")</f>
        <v>NO ACTIVA</v>
      </c>
      <c r="P11" s="12" t="str">
        <f aca="false">IF(01_INPUTS!P17,IF(ISTEXT(_ENGINE_FINANCIERO!P197),"OK",IF(ABS(_ENGINE_FINANCIERO!P197)&lt;1,"OK","ERROR")),"NO ACTIVA")</f>
        <v>NO ACTIVA</v>
      </c>
      <c r="Q11" s="12" t="str">
        <f aca="false">IF(01_INPUTS!Q17,IF(ISTEXT(_ENGINE_FINANCIERO!Q197),"OK",IF(ABS(_ENGINE_FINANCIERO!Q197)&lt;1,"OK","ERROR")),"NO ACTIVA")</f>
        <v>NO ACTIVA</v>
      </c>
      <c r="R11" s="12" t="str">
        <f aca="false">IF(01_INPUTS!R17,IF(ISTEXT(_ENGINE_FINANCIERO!R197),"OK",IF(ABS(_ENGINE_FINANCIERO!R197)&lt;1,"OK","ERROR")),"NO ACTIVA")</f>
        <v>NO ACTIVA</v>
      </c>
      <c r="S11" s="12" t="str">
        <f aca="false">IF(01_INPUTS!S17,IF(ISTEXT(_ENGINE_FINANCIERO!S197),"OK",IF(ABS(_ENGINE_FINANCIERO!S197)&lt;1,"OK","ERROR")),"NO ACTIVA")</f>
        <v>NO ACTIVA</v>
      </c>
    </row>
    <row r="12" customFormat="false" ht="15" hidden="false" customHeight="false" outlineLevel="0" collapsed="false">
      <c r="A12" s="9" t="s">
        <v>352</v>
      </c>
      <c r="B12" s="7" t="s">
        <v>344</v>
      </c>
      <c r="C12" s="58"/>
      <c r="G12" s="12" t="str">
        <f aca="false">IF(ISTEXT(_ENGINE_FINANCIERO!G169),"OK",IF(ABS(_ENGINE_FINANCIERO!G169)&lt;1,"OK","ERROR"))</f>
        <v>OK</v>
      </c>
      <c r="H12" s="12" t="str">
        <f aca="false">IF(ISTEXT(_ENGINE_FINANCIERO!H169),"OK",IF(ABS(_ENGINE_FINANCIERO!H169)&lt;1,"OK","ERROR"))</f>
        <v>OK</v>
      </c>
      <c r="I12" s="12" t="str">
        <f aca="false">IF(01_INPUTS!I17,IF(ISTEXT(_ENGINE_FINANCIERO!I169),"OK",IF(ABS(_ENGINE_FINANCIERO!I169)&lt;1,"OK","ERROR")),"NO ACTIVA")</f>
        <v>OK</v>
      </c>
      <c r="J12" s="12" t="str">
        <f aca="false">IF(01_INPUTS!J17,IF(ISTEXT(_ENGINE_FINANCIERO!J169),"OK",IF(ABS(_ENGINE_FINANCIERO!J169)&lt;1,"OK","ERROR")),"NO ACTIVA")</f>
        <v>NO ACTIVA</v>
      </c>
      <c r="K12" s="12" t="str">
        <f aca="false">IF(01_INPUTS!K17,IF(ISTEXT(_ENGINE_FINANCIERO!K169),"OK",IF(ABS(_ENGINE_FINANCIERO!K169)&lt;1,"OK","ERROR")),"NO ACTIVA")</f>
        <v>NO ACTIVA</v>
      </c>
      <c r="L12" s="12" t="str">
        <f aca="false">IF(01_INPUTS!L17,IF(ISTEXT(_ENGINE_FINANCIERO!L169),"OK",IF(ABS(_ENGINE_FINANCIERO!L169)&lt;1,"OK","ERROR")),"NO ACTIVA")</f>
        <v>NO ACTIVA</v>
      </c>
      <c r="M12" s="12" t="str">
        <f aca="false">IF(01_INPUTS!M17,IF(ISTEXT(_ENGINE_FINANCIERO!M169),"OK",IF(ABS(_ENGINE_FINANCIERO!M169)&lt;1,"OK","ERROR")),"NO ACTIVA")</f>
        <v>NO ACTIVA</v>
      </c>
      <c r="N12" s="12" t="str">
        <f aca="false">IF(01_INPUTS!N17,IF(ISTEXT(_ENGINE_FINANCIERO!N169),"OK",IF(ABS(_ENGINE_FINANCIERO!N169)&lt;1,"OK","ERROR")),"NO ACTIVA")</f>
        <v>NO ACTIVA</v>
      </c>
      <c r="O12" s="12" t="str">
        <f aca="false">IF(01_INPUTS!O17,IF(ISTEXT(_ENGINE_FINANCIERO!O169),"OK",IF(ABS(_ENGINE_FINANCIERO!O169)&lt;1,"OK","ERROR")),"NO ACTIVA")</f>
        <v>NO ACTIVA</v>
      </c>
      <c r="P12" s="12" t="str">
        <f aca="false">IF(01_INPUTS!P17,IF(ISTEXT(_ENGINE_FINANCIERO!P169),"OK",IF(ABS(_ENGINE_FINANCIERO!P169)&lt;1,"OK","ERROR")),"NO ACTIVA")</f>
        <v>NO ACTIVA</v>
      </c>
      <c r="Q12" s="12" t="str">
        <f aca="false">IF(01_INPUTS!Q17,IF(ISTEXT(_ENGINE_FINANCIERO!Q169),"OK",IF(ABS(_ENGINE_FINANCIERO!Q169)&lt;1,"OK","ERROR")),"NO ACTIVA")</f>
        <v>NO ACTIVA</v>
      </c>
      <c r="R12" s="12" t="str">
        <f aca="false">IF(01_INPUTS!R17,IF(ISTEXT(_ENGINE_FINANCIERO!R169),"OK",IF(ABS(_ENGINE_FINANCIERO!R169)&lt;1,"OK","ERROR")),"NO ACTIVA")</f>
        <v>NO ACTIVA</v>
      </c>
      <c r="S12" s="12" t="str">
        <f aca="false">IF(01_INPUTS!S17,IF(ISTEXT(_ENGINE_FINANCIERO!S169),"OK",IF(ABS(_ENGINE_FINANCIERO!S169)&lt;1,"OK","ERROR")),"NO ACTIVA")</f>
        <v>NO ACTIVA</v>
      </c>
    </row>
    <row r="14" customFormat="false" ht="15" hidden="false" customHeight="false" outlineLevel="0" collapsed="false">
      <c r="A14" s="5" t="s">
        <v>353</v>
      </c>
      <c r="B14" s="5"/>
      <c r="C14" s="5"/>
      <c r="D14" s="5"/>
      <c r="E14" s="5"/>
      <c r="F14" s="5"/>
      <c r="G14" s="5"/>
      <c r="H14" s="5"/>
      <c r="I14" s="5"/>
      <c r="J14" s="5"/>
      <c r="K14" s="5"/>
      <c r="L14" s="5"/>
      <c r="M14" s="5"/>
      <c r="N14" s="5"/>
      <c r="O14" s="5"/>
      <c r="P14" s="5"/>
      <c r="Q14" s="5"/>
      <c r="R14" s="5"/>
      <c r="S14" s="5"/>
    </row>
    <row r="15" customFormat="false" ht="15" hidden="false" customHeight="false" outlineLevel="0" collapsed="false">
      <c r="A15" s="9" t="s">
        <v>354</v>
      </c>
      <c r="B15" s="7" t="s">
        <v>344</v>
      </c>
      <c r="C15" s="58"/>
      <c r="G15" s="12" t="str">
        <f aca="false">IF(AND((_ENGINE_PRODUCCION!G83&lt;=_ENGINE_PRODUCCION!G80+0.5),(_ENGINE_PRODUCCION!G95&lt;=_ENGINE_PRODUCCION!G92+0.5),(_ENGINE_PRODUCCION!G107&lt;=_ENGINE_PRODUCCION!G104+0.5),(_ENGINE_PRODUCCION!G119&lt;=_ENGINE_PRODUCCION!G116+0.5),(_ENGINE_PRODUCCION!G132&lt;=_ENGINE_PRODUCCION!G129+0.5),(_ENGINE_PRODUCCION!G144&lt;=_ENGINE_PRODUCCION!G141+0.5),(_ENGINE_PRODUCCION!G156&lt;=_ENGINE_PRODUCCION!G153+0.5),(_ENGINE_PRODUCCION!G168&lt;=_ENGINE_PRODUCCION!G165+0.5)),"OK","ERROR")</f>
        <v>OK</v>
      </c>
      <c r="H15" s="12" t="str">
        <f aca="false">IF(AND((_ENGINE_PRODUCCION!H83&lt;=_ENGINE_PRODUCCION!H80+0.5),(_ENGINE_PRODUCCION!H95&lt;=_ENGINE_PRODUCCION!H92+0.5),(_ENGINE_PRODUCCION!H107&lt;=_ENGINE_PRODUCCION!H104+0.5),(_ENGINE_PRODUCCION!H119&lt;=_ENGINE_PRODUCCION!H116+0.5),(_ENGINE_PRODUCCION!H132&lt;=_ENGINE_PRODUCCION!H129+0.5),(_ENGINE_PRODUCCION!H144&lt;=_ENGINE_PRODUCCION!H141+0.5),(_ENGINE_PRODUCCION!H156&lt;=_ENGINE_PRODUCCION!H153+0.5),(_ENGINE_PRODUCCION!H168&lt;=_ENGINE_PRODUCCION!H165+0.5)),"OK","ERROR")</f>
        <v>OK</v>
      </c>
      <c r="I15" s="12" t="str">
        <f aca="false">IF(01_INPUTS!I17,IF(AND((_ENGINE_PRODUCCION!I83&lt;=_ENGINE_PRODUCCION!I80+0.5),(_ENGINE_PRODUCCION!I95&lt;=_ENGINE_PRODUCCION!I92+0.5),(_ENGINE_PRODUCCION!I107&lt;=_ENGINE_PRODUCCION!I104+0.5),(_ENGINE_PRODUCCION!I119&lt;=_ENGINE_PRODUCCION!I116+0.5),(_ENGINE_PRODUCCION!I132&lt;=_ENGINE_PRODUCCION!I129+0.5),(_ENGINE_PRODUCCION!I144&lt;=_ENGINE_PRODUCCION!I141+0.5),(_ENGINE_PRODUCCION!I156&lt;=_ENGINE_PRODUCCION!I153+0.5),(_ENGINE_PRODUCCION!I168&lt;=_ENGINE_PRODUCCION!I165+0.5)),"OK","ERROR"),"NO ACTIVA")</f>
        <v>OK</v>
      </c>
      <c r="J15" s="12" t="str">
        <f aca="false">IF(01_INPUTS!J17,IF(AND((_ENGINE_PRODUCCION!J83&lt;=_ENGINE_PRODUCCION!J80+0.5),(_ENGINE_PRODUCCION!J95&lt;=_ENGINE_PRODUCCION!J92+0.5),(_ENGINE_PRODUCCION!J107&lt;=_ENGINE_PRODUCCION!J104+0.5),(_ENGINE_PRODUCCION!J119&lt;=_ENGINE_PRODUCCION!J116+0.5),(_ENGINE_PRODUCCION!J132&lt;=_ENGINE_PRODUCCION!J129+0.5),(_ENGINE_PRODUCCION!J144&lt;=_ENGINE_PRODUCCION!J141+0.5),(_ENGINE_PRODUCCION!J156&lt;=_ENGINE_PRODUCCION!J153+0.5),(_ENGINE_PRODUCCION!J168&lt;=_ENGINE_PRODUCCION!J165+0.5)),"OK","ERROR"),"NO ACTIVA")</f>
        <v>NO ACTIVA</v>
      </c>
      <c r="K15" s="12" t="str">
        <f aca="false">IF(01_INPUTS!K17,IF(AND((_ENGINE_PRODUCCION!K83&lt;=_ENGINE_PRODUCCION!K80+0.5),(_ENGINE_PRODUCCION!K95&lt;=_ENGINE_PRODUCCION!K92+0.5),(_ENGINE_PRODUCCION!K107&lt;=_ENGINE_PRODUCCION!K104+0.5),(_ENGINE_PRODUCCION!K119&lt;=_ENGINE_PRODUCCION!K116+0.5),(_ENGINE_PRODUCCION!K132&lt;=_ENGINE_PRODUCCION!K129+0.5),(_ENGINE_PRODUCCION!K144&lt;=_ENGINE_PRODUCCION!K141+0.5),(_ENGINE_PRODUCCION!K156&lt;=_ENGINE_PRODUCCION!K153+0.5),(_ENGINE_PRODUCCION!K168&lt;=_ENGINE_PRODUCCION!K165+0.5)),"OK","ERROR"),"NO ACTIVA")</f>
        <v>NO ACTIVA</v>
      </c>
      <c r="L15" s="12" t="str">
        <f aca="false">IF(01_INPUTS!L17,IF(AND((_ENGINE_PRODUCCION!L83&lt;=_ENGINE_PRODUCCION!L80+0.5),(_ENGINE_PRODUCCION!L95&lt;=_ENGINE_PRODUCCION!L92+0.5),(_ENGINE_PRODUCCION!L107&lt;=_ENGINE_PRODUCCION!L104+0.5),(_ENGINE_PRODUCCION!L119&lt;=_ENGINE_PRODUCCION!L116+0.5),(_ENGINE_PRODUCCION!L132&lt;=_ENGINE_PRODUCCION!L129+0.5),(_ENGINE_PRODUCCION!L144&lt;=_ENGINE_PRODUCCION!L141+0.5),(_ENGINE_PRODUCCION!L156&lt;=_ENGINE_PRODUCCION!L153+0.5),(_ENGINE_PRODUCCION!L168&lt;=_ENGINE_PRODUCCION!L165+0.5)),"OK","ERROR"),"NO ACTIVA")</f>
        <v>NO ACTIVA</v>
      </c>
      <c r="M15" s="12" t="str">
        <f aca="false">IF(01_INPUTS!M17,IF(AND((_ENGINE_PRODUCCION!M83&lt;=_ENGINE_PRODUCCION!M80+0.5),(_ENGINE_PRODUCCION!M95&lt;=_ENGINE_PRODUCCION!M92+0.5),(_ENGINE_PRODUCCION!M107&lt;=_ENGINE_PRODUCCION!M104+0.5),(_ENGINE_PRODUCCION!M119&lt;=_ENGINE_PRODUCCION!M116+0.5),(_ENGINE_PRODUCCION!M132&lt;=_ENGINE_PRODUCCION!M129+0.5),(_ENGINE_PRODUCCION!M144&lt;=_ENGINE_PRODUCCION!M141+0.5),(_ENGINE_PRODUCCION!M156&lt;=_ENGINE_PRODUCCION!M153+0.5),(_ENGINE_PRODUCCION!M168&lt;=_ENGINE_PRODUCCION!M165+0.5)),"OK","ERROR"),"NO ACTIVA")</f>
        <v>NO ACTIVA</v>
      </c>
      <c r="N15" s="12" t="str">
        <f aca="false">IF(01_INPUTS!N17,IF(AND((_ENGINE_PRODUCCION!N83&lt;=_ENGINE_PRODUCCION!N80+0.5),(_ENGINE_PRODUCCION!N95&lt;=_ENGINE_PRODUCCION!N92+0.5),(_ENGINE_PRODUCCION!N107&lt;=_ENGINE_PRODUCCION!N104+0.5),(_ENGINE_PRODUCCION!N119&lt;=_ENGINE_PRODUCCION!N116+0.5),(_ENGINE_PRODUCCION!N132&lt;=_ENGINE_PRODUCCION!N129+0.5),(_ENGINE_PRODUCCION!N144&lt;=_ENGINE_PRODUCCION!N141+0.5),(_ENGINE_PRODUCCION!N156&lt;=_ENGINE_PRODUCCION!N153+0.5),(_ENGINE_PRODUCCION!N168&lt;=_ENGINE_PRODUCCION!N165+0.5)),"OK","ERROR"),"NO ACTIVA")</f>
        <v>NO ACTIVA</v>
      </c>
      <c r="O15" s="12" t="str">
        <f aca="false">IF(01_INPUTS!O17,IF(AND((_ENGINE_PRODUCCION!O83&lt;=_ENGINE_PRODUCCION!O80+0.5),(_ENGINE_PRODUCCION!O95&lt;=_ENGINE_PRODUCCION!O92+0.5),(_ENGINE_PRODUCCION!O107&lt;=_ENGINE_PRODUCCION!O104+0.5),(_ENGINE_PRODUCCION!O119&lt;=_ENGINE_PRODUCCION!O116+0.5),(_ENGINE_PRODUCCION!O132&lt;=_ENGINE_PRODUCCION!O129+0.5),(_ENGINE_PRODUCCION!O144&lt;=_ENGINE_PRODUCCION!O141+0.5),(_ENGINE_PRODUCCION!O156&lt;=_ENGINE_PRODUCCION!O153+0.5),(_ENGINE_PRODUCCION!O168&lt;=_ENGINE_PRODUCCION!O165+0.5)),"OK","ERROR"),"NO ACTIVA")</f>
        <v>NO ACTIVA</v>
      </c>
      <c r="P15" s="12" t="str">
        <f aca="false">IF(01_INPUTS!P17,IF(AND((_ENGINE_PRODUCCION!P83&lt;=_ENGINE_PRODUCCION!P80+0.5),(_ENGINE_PRODUCCION!P95&lt;=_ENGINE_PRODUCCION!P92+0.5),(_ENGINE_PRODUCCION!P107&lt;=_ENGINE_PRODUCCION!P104+0.5),(_ENGINE_PRODUCCION!P119&lt;=_ENGINE_PRODUCCION!P116+0.5),(_ENGINE_PRODUCCION!P132&lt;=_ENGINE_PRODUCCION!P129+0.5),(_ENGINE_PRODUCCION!P144&lt;=_ENGINE_PRODUCCION!P141+0.5),(_ENGINE_PRODUCCION!P156&lt;=_ENGINE_PRODUCCION!P153+0.5),(_ENGINE_PRODUCCION!P168&lt;=_ENGINE_PRODUCCION!P165+0.5)),"OK","ERROR"),"NO ACTIVA")</f>
        <v>NO ACTIVA</v>
      </c>
      <c r="Q15" s="12" t="str">
        <f aca="false">IF(01_INPUTS!Q17,IF(AND((_ENGINE_PRODUCCION!Q83&lt;=_ENGINE_PRODUCCION!Q80+0.5),(_ENGINE_PRODUCCION!Q95&lt;=_ENGINE_PRODUCCION!Q92+0.5),(_ENGINE_PRODUCCION!Q107&lt;=_ENGINE_PRODUCCION!Q104+0.5),(_ENGINE_PRODUCCION!Q119&lt;=_ENGINE_PRODUCCION!Q116+0.5),(_ENGINE_PRODUCCION!Q132&lt;=_ENGINE_PRODUCCION!Q129+0.5),(_ENGINE_PRODUCCION!Q144&lt;=_ENGINE_PRODUCCION!Q141+0.5),(_ENGINE_PRODUCCION!Q156&lt;=_ENGINE_PRODUCCION!Q153+0.5),(_ENGINE_PRODUCCION!Q168&lt;=_ENGINE_PRODUCCION!Q165+0.5)),"OK","ERROR"),"NO ACTIVA")</f>
        <v>NO ACTIVA</v>
      </c>
      <c r="R15" s="12" t="str">
        <f aca="false">IF(01_INPUTS!R17,IF(AND((_ENGINE_PRODUCCION!R83&lt;=_ENGINE_PRODUCCION!R80+0.5),(_ENGINE_PRODUCCION!R95&lt;=_ENGINE_PRODUCCION!R92+0.5),(_ENGINE_PRODUCCION!R107&lt;=_ENGINE_PRODUCCION!R104+0.5),(_ENGINE_PRODUCCION!R119&lt;=_ENGINE_PRODUCCION!R116+0.5),(_ENGINE_PRODUCCION!R132&lt;=_ENGINE_PRODUCCION!R129+0.5),(_ENGINE_PRODUCCION!R144&lt;=_ENGINE_PRODUCCION!R141+0.5),(_ENGINE_PRODUCCION!R156&lt;=_ENGINE_PRODUCCION!R153+0.5),(_ENGINE_PRODUCCION!R168&lt;=_ENGINE_PRODUCCION!R165+0.5)),"OK","ERROR"),"NO ACTIVA")</f>
        <v>NO ACTIVA</v>
      </c>
      <c r="S15" s="12" t="str">
        <f aca="false">IF(01_INPUTS!S17,IF(AND((_ENGINE_PRODUCCION!S83&lt;=_ENGINE_PRODUCCION!S80+0.5),(_ENGINE_PRODUCCION!S95&lt;=_ENGINE_PRODUCCION!S92+0.5),(_ENGINE_PRODUCCION!S107&lt;=_ENGINE_PRODUCCION!S104+0.5),(_ENGINE_PRODUCCION!S119&lt;=_ENGINE_PRODUCCION!S116+0.5),(_ENGINE_PRODUCCION!S132&lt;=_ENGINE_PRODUCCION!S129+0.5),(_ENGINE_PRODUCCION!S144&lt;=_ENGINE_PRODUCCION!S141+0.5),(_ENGINE_PRODUCCION!S156&lt;=_ENGINE_PRODUCCION!S153+0.5),(_ENGINE_PRODUCCION!S168&lt;=_ENGINE_PRODUCCION!S165+0.5)),"OK","ERROR"),"NO ACTIVA")</f>
        <v>NO ACTIVA</v>
      </c>
    </row>
    <row r="16" customFormat="false" ht="15" hidden="false" customHeight="false" outlineLevel="0" collapsed="false">
      <c r="A16" s="9" t="s">
        <v>355</v>
      </c>
      <c r="B16" s="7" t="s">
        <v>344</v>
      </c>
      <c r="C16" s="58"/>
      <c r="G16" s="12" t="str">
        <f aca="false">IF(AND((_ENGINE_PRODUCCION!G85&gt;=-0.5),(_ENGINE_PRODUCCION!G97&gt;=-0.5),(_ENGINE_PRODUCCION!G109&gt;=-0.5),(_ENGINE_PRODUCCION!G121&gt;=-0.5),(_ENGINE_PRODUCCION!G134&gt;=-0.5),(_ENGINE_PRODUCCION!G146&gt;=-0.5),(_ENGINE_PRODUCCION!G158&gt;=-0.5),(_ENGINE_PRODUCCION!G170&gt;=-0.5)),"OK","ERROR")</f>
        <v>OK</v>
      </c>
      <c r="H16" s="12" t="str">
        <f aca="false">IF(AND((_ENGINE_PRODUCCION!H85&gt;=-0.5),(_ENGINE_PRODUCCION!H97&gt;=-0.5),(_ENGINE_PRODUCCION!H109&gt;=-0.5),(_ENGINE_PRODUCCION!H121&gt;=-0.5),(_ENGINE_PRODUCCION!H134&gt;=-0.5),(_ENGINE_PRODUCCION!H146&gt;=-0.5),(_ENGINE_PRODUCCION!H158&gt;=-0.5),(_ENGINE_PRODUCCION!H170&gt;=-0.5)),"OK","ERROR")</f>
        <v>OK</v>
      </c>
      <c r="I16" s="12" t="str">
        <f aca="false">IF(01_INPUTS!I17,IF(AND((_ENGINE_PRODUCCION!I85&gt;=-0.5),(_ENGINE_PRODUCCION!I97&gt;=-0.5),(_ENGINE_PRODUCCION!I109&gt;=-0.5),(_ENGINE_PRODUCCION!I121&gt;=-0.5),(_ENGINE_PRODUCCION!I134&gt;=-0.5),(_ENGINE_PRODUCCION!I146&gt;=-0.5),(_ENGINE_PRODUCCION!I158&gt;=-0.5),(_ENGINE_PRODUCCION!I170&gt;=-0.5)),"OK","ERROR"),"NO ACTIVA")</f>
        <v>OK</v>
      </c>
      <c r="J16" s="12" t="str">
        <f aca="false">IF(01_INPUTS!J17,IF(AND((_ENGINE_PRODUCCION!J85&gt;=-0.5),(_ENGINE_PRODUCCION!J97&gt;=-0.5),(_ENGINE_PRODUCCION!J109&gt;=-0.5),(_ENGINE_PRODUCCION!J121&gt;=-0.5),(_ENGINE_PRODUCCION!J134&gt;=-0.5),(_ENGINE_PRODUCCION!J146&gt;=-0.5),(_ENGINE_PRODUCCION!J158&gt;=-0.5),(_ENGINE_PRODUCCION!J170&gt;=-0.5)),"OK","ERROR"),"NO ACTIVA")</f>
        <v>NO ACTIVA</v>
      </c>
      <c r="K16" s="12" t="str">
        <f aca="false">IF(01_INPUTS!K17,IF(AND((_ENGINE_PRODUCCION!K85&gt;=-0.5),(_ENGINE_PRODUCCION!K97&gt;=-0.5),(_ENGINE_PRODUCCION!K109&gt;=-0.5),(_ENGINE_PRODUCCION!K121&gt;=-0.5),(_ENGINE_PRODUCCION!K134&gt;=-0.5),(_ENGINE_PRODUCCION!K146&gt;=-0.5),(_ENGINE_PRODUCCION!K158&gt;=-0.5),(_ENGINE_PRODUCCION!K170&gt;=-0.5)),"OK","ERROR"),"NO ACTIVA")</f>
        <v>NO ACTIVA</v>
      </c>
      <c r="L16" s="12" t="str">
        <f aca="false">IF(01_INPUTS!L17,IF(AND((_ENGINE_PRODUCCION!L85&gt;=-0.5),(_ENGINE_PRODUCCION!L97&gt;=-0.5),(_ENGINE_PRODUCCION!L109&gt;=-0.5),(_ENGINE_PRODUCCION!L121&gt;=-0.5),(_ENGINE_PRODUCCION!L134&gt;=-0.5),(_ENGINE_PRODUCCION!L146&gt;=-0.5),(_ENGINE_PRODUCCION!L158&gt;=-0.5),(_ENGINE_PRODUCCION!L170&gt;=-0.5)),"OK","ERROR"),"NO ACTIVA")</f>
        <v>NO ACTIVA</v>
      </c>
      <c r="M16" s="12" t="str">
        <f aca="false">IF(01_INPUTS!M17,IF(AND((_ENGINE_PRODUCCION!M85&gt;=-0.5),(_ENGINE_PRODUCCION!M97&gt;=-0.5),(_ENGINE_PRODUCCION!M109&gt;=-0.5),(_ENGINE_PRODUCCION!M121&gt;=-0.5),(_ENGINE_PRODUCCION!M134&gt;=-0.5),(_ENGINE_PRODUCCION!M146&gt;=-0.5),(_ENGINE_PRODUCCION!M158&gt;=-0.5),(_ENGINE_PRODUCCION!M170&gt;=-0.5)),"OK","ERROR"),"NO ACTIVA")</f>
        <v>NO ACTIVA</v>
      </c>
      <c r="N16" s="12" t="str">
        <f aca="false">IF(01_INPUTS!N17,IF(AND((_ENGINE_PRODUCCION!N85&gt;=-0.5),(_ENGINE_PRODUCCION!N97&gt;=-0.5),(_ENGINE_PRODUCCION!N109&gt;=-0.5),(_ENGINE_PRODUCCION!N121&gt;=-0.5),(_ENGINE_PRODUCCION!N134&gt;=-0.5),(_ENGINE_PRODUCCION!N146&gt;=-0.5),(_ENGINE_PRODUCCION!N158&gt;=-0.5),(_ENGINE_PRODUCCION!N170&gt;=-0.5)),"OK","ERROR"),"NO ACTIVA")</f>
        <v>NO ACTIVA</v>
      </c>
      <c r="O16" s="12" t="str">
        <f aca="false">IF(01_INPUTS!O17,IF(AND((_ENGINE_PRODUCCION!O85&gt;=-0.5),(_ENGINE_PRODUCCION!O97&gt;=-0.5),(_ENGINE_PRODUCCION!O109&gt;=-0.5),(_ENGINE_PRODUCCION!O121&gt;=-0.5),(_ENGINE_PRODUCCION!O134&gt;=-0.5),(_ENGINE_PRODUCCION!O146&gt;=-0.5),(_ENGINE_PRODUCCION!O158&gt;=-0.5),(_ENGINE_PRODUCCION!O170&gt;=-0.5)),"OK","ERROR"),"NO ACTIVA")</f>
        <v>NO ACTIVA</v>
      </c>
      <c r="P16" s="12" t="str">
        <f aca="false">IF(01_INPUTS!P17,IF(AND((_ENGINE_PRODUCCION!P85&gt;=-0.5),(_ENGINE_PRODUCCION!P97&gt;=-0.5),(_ENGINE_PRODUCCION!P109&gt;=-0.5),(_ENGINE_PRODUCCION!P121&gt;=-0.5),(_ENGINE_PRODUCCION!P134&gt;=-0.5),(_ENGINE_PRODUCCION!P146&gt;=-0.5),(_ENGINE_PRODUCCION!P158&gt;=-0.5),(_ENGINE_PRODUCCION!P170&gt;=-0.5)),"OK","ERROR"),"NO ACTIVA")</f>
        <v>NO ACTIVA</v>
      </c>
      <c r="Q16" s="12" t="str">
        <f aca="false">IF(01_INPUTS!Q17,IF(AND((_ENGINE_PRODUCCION!Q85&gt;=-0.5),(_ENGINE_PRODUCCION!Q97&gt;=-0.5),(_ENGINE_PRODUCCION!Q109&gt;=-0.5),(_ENGINE_PRODUCCION!Q121&gt;=-0.5),(_ENGINE_PRODUCCION!Q134&gt;=-0.5),(_ENGINE_PRODUCCION!Q146&gt;=-0.5),(_ENGINE_PRODUCCION!Q158&gt;=-0.5),(_ENGINE_PRODUCCION!Q170&gt;=-0.5)),"OK","ERROR"),"NO ACTIVA")</f>
        <v>NO ACTIVA</v>
      </c>
      <c r="R16" s="12" t="str">
        <f aca="false">IF(01_INPUTS!R17,IF(AND((_ENGINE_PRODUCCION!R85&gt;=-0.5),(_ENGINE_PRODUCCION!R97&gt;=-0.5),(_ENGINE_PRODUCCION!R109&gt;=-0.5),(_ENGINE_PRODUCCION!R121&gt;=-0.5),(_ENGINE_PRODUCCION!R134&gt;=-0.5),(_ENGINE_PRODUCCION!R146&gt;=-0.5),(_ENGINE_PRODUCCION!R158&gt;=-0.5),(_ENGINE_PRODUCCION!R170&gt;=-0.5)),"OK","ERROR"),"NO ACTIVA")</f>
        <v>NO ACTIVA</v>
      </c>
      <c r="S16" s="12" t="str">
        <f aca="false">IF(01_INPUTS!S17,IF(AND((_ENGINE_PRODUCCION!S85&gt;=-0.5),(_ENGINE_PRODUCCION!S97&gt;=-0.5),(_ENGINE_PRODUCCION!S109&gt;=-0.5),(_ENGINE_PRODUCCION!S121&gt;=-0.5),(_ENGINE_PRODUCCION!S134&gt;=-0.5),(_ENGINE_PRODUCCION!S146&gt;=-0.5),(_ENGINE_PRODUCCION!S158&gt;=-0.5),(_ENGINE_PRODUCCION!S170&gt;=-0.5)),"OK","ERROR"),"NO ACTIVA")</f>
        <v>NO ACTIVA</v>
      </c>
    </row>
    <row r="17" customFormat="false" ht="15" hidden="false" customHeight="false" outlineLevel="0" collapsed="false">
      <c r="A17" s="9" t="s">
        <v>356</v>
      </c>
      <c r="B17" s="7" t="s">
        <v>344</v>
      </c>
      <c r="C17" s="58"/>
      <c r="G17" s="12" t="str">
        <f aca="false">IF(AND((_ENGINE_MERCADO!G191&gt;=-0.5),(_ENGINE_MERCADO!G196&gt;=-0.5),(_ENGINE_MERCADO!G201&gt;=-0.5),(_ENGINE_MERCADO!G206&gt;=-0.5),(_ENGINE_MERCADO!G211&gt;=-0.5),(_ENGINE_MERCADO!G216&gt;=-0.5),(_ENGINE_MERCADO!G221&gt;=-0.5),(_ENGINE_MERCADO!G226&gt;=-0.5),(_ENGINE_MERCADO!G231&gt;=-0.5),(_ENGINE_MERCADO!G236&gt;=-0.5),(_ENGINE_MERCADO!G241&gt;=-0.5),(_ENGINE_MERCADO!G246&gt;=-0.5)),"OK","ERROR")</f>
        <v>OK</v>
      </c>
      <c r="H17" s="12" t="str">
        <f aca="false">IF(AND((_ENGINE_MERCADO!H191&gt;=-0.5),(_ENGINE_MERCADO!H196&gt;=-0.5),(_ENGINE_MERCADO!H201&gt;=-0.5),(_ENGINE_MERCADO!H206&gt;=-0.5),(_ENGINE_MERCADO!H211&gt;=-0.5),(_ENGINE_MERCADO!H216&gt;=-0.5),(_ENGINE_MERCADO!H221&gt;=-0.5),(_ENGINE_MERCADO!H226&gt;=-0.5),(_ENGINE_MERCADO!H231&gt;=-0.5),(_ENGINE_MERCADO!H236&gt;=-0.5),(_ENGINE_MERCADO!H241&gt;=-0.5),(_ENGINE_MERCADO!H246&gt;=-0.5)),"OK","ERROR")</f>
        <v>OK</v>
      </c>
      <c r="I17" s="12" t="str">
        <f aca="false">IF(01_INPUTS!I17,IF(AND((_ENGINE_MERCADO!I191&gt;=-0.5),(_ENGINE_MERCADO!I196&gt;=-0.5),(_ENGINE_MERCADO!I201&gt;=-0.5),(_ENGINE_MERCADO!I206&gt;=-0.5),(_ENGINE_MERCADO!I211&gt;=-0.5),(_ENGINE_MERCADO!I216&gt;=-0.5),(_ENGINE_MERCADO!I221&gt;=-0.5),(_ENGINE_MERCADO!I226&gt;=-0.5),(_ENGINE_MERCADO!I231&gt;=-0.5),(_ENGINE_MERCADO!I236&gt;=-0.5),(_ENGINE_MERCADO!I241&gt;=-0.5),(_ENGINE_MERCADO!I246&gt;=-0.5)),"OK","ERROR"),"NO ACTIVA")</f>
        <v>OK</v>
      </c>
      <c r="J17" s="12" t="str">
        <f aca="false">IF(01_INPUTS!J17,IF(AND((_ENGINE_MERCADO!J191&gt;=-0.5),(_ENGINE_MERCADO!J196&gt;=-0.5),(_ENGINE_MERCADO!J201&gt;=-0.5),(_ENGINE_MERCADO!J206&gt;=-0.5),(_ENGINE_MERCADO!J211&gt;=-0.5),(_ENGINE_MERCADO!J216&gt;=-0.5),(_ENGINE_MERCADO!J221&gt;=-0.5),(_ENGINE_MERCADO!J226&gt;=-0.5),(_ENGINE_MERCADO!J231&gt;=-0.5),(_ENGINE_MERCADO!J236&gt;=-0.5),(_ENGINE_MERCADO!J241&gt;=-0.5),(_ENGINE_MERCADO!J246&gt;=-0.5)),"OK","ERROR"),"NO ACTIVA")</f>
        <v>NO ACTIVA</v>
      </c>
      <c r="K17" s="12" t="str">
        <f aca="false">IF(01_INPUTS!K17,IF(AND((_ENGINE_MERCADO!K191&gt;=-0.5),(_ENGINE_MERCADO!K196&gt;=-0.5),(_ENGINE_MERCADO!K201&gt;=-0.5),(_ENGINE_MERCADO!K206&gt;=-0.5),(_ENGINE_MERCADO!K211&gt;=-0.5),(_ENGINE_MERCADO!K216&gt;=-0.5),(_ENGINE_MERCADO!K221&gt;=-0.5),(_ENGINE_MERCADO!K226&gt;=-0.5),(_ENGINE_MERCADO!K231&gt;=-0.5),(_ENGINE_MERCADO!K236&gt;=-0.5),(_ENGINE_MERCADO!K241&gt;=-0.5),(_ENGINE_MERCADO!K246&gt;=-0.5)),"OK","ERROR"),"NO ACTIVA")</f>
        <v>NO ACTIVA</v>
      </c>
      <c r="L17" s="12" t="str">
        <f aca="false">IF(01_INPUTS!L17,IF(AND((_ENGINE_MERCADO!L191&gt;=-0.5),(_ENGINE_MERCADO!L196&gt;=-0.5),(_ENGINE_MERCADO!L201&gt;=-0.5),(_ENGINE_MERCADO!L206&gt;=-0.5),(_ENGINE_MERCADO!L211&gt;=-0.5),(_ENGINE_MERCADO!L216&gt;=-0.5),(_ENGINE_MERCADO!L221&gt;=-0.5),(_ENGINE_MERCADO!L226&gt;=-0.5),(_ENGINE_MERCADO!L231&gt;=-0.5),(_ENGINE_MERCADO!L236&gt;=-0.5),(_ENGINE_MERCADO!L241&gt;=-0.5),(_ENGINE_MERCADO!L246&gt;=-0.5)),"OK","ERROR"),"NO ACTIVA")</f>
        <v>NO ACTIVA</v>
      </c>
      <c r="M17" s="12" t="str">
        <f aca="false">IF(01_INPUTS!M17,IF(AND((_ENGINE_MERCADO!M191&gt;=-0.5),(_ENGINE_MERCADO!M196&gt;=-0.5),(_ENGINE_MERCADO!M201&gt;=-0.5),(_ENGINE_MERCADO!M206&gt;=-0.5),(_ENGINE_MERCADO!M211&gt;=-0.5),(_ENGINE_MERCADO!M216&gt;=-0.5),(_ENGINE_MERCADO!M221&gt;=-0.5),(_ENGINE_MERCADO!M226&gt;=-0.5),(_ENGINE_MERCADO!M231&gt;=-0.5),(_ENGINE_MERCADO!M236&gt;=-0.5),(_ENGINE_MERCADO!M241&gt;=-0.5),(_ENGINE_MERCADO!M246&gt;=-0.5)),"OK","ERROR"),"NO ACTIVA")</f>
        <v>NO ACTIVA</v>
      </c>
      <c r="N17" s="12" t="str">
        <f aca="false">IF(01_INPUTS!N17,IF(AND((_ENGINE_MERCADO!N191&gt;=-0.5),(_ENGINE_MERCADO!N196&gt;=-0.5),(_ENGINE_MERCADO!N201&gt;=-0.5),(_ENGINE_MERCADO!N206&gt;=-0.5),(_ENGINE_MERCADO!N211&gt;=-0.5),(_ENGINE_MERCADO!N216&gt;=-0.5),(_ENGINE_MERCADO!N221&gt;=-0.5),(_ENGINE_MERCADO!N226&gt;=-0.5),(_ENGINE_MERCADO!N231&gt;=-0.5),(_ENGINE_MERCADO!N236&gt;=-0.5),(_ENGINE_MERCADO!N241&gt;=-0.5),(_ENGINE_MERCADO!N246&gt;=-0.5)),"OK","ERROR"),"NO ACTIVA")</f>
        <v>NO ACTIVA</v>
      </c>
      <c r="O17" s="12" t="str">
        <f aca="false">IF(01_INPUTS!O17,IF(AND((_ENGINE_MERCADO!O191&gt;=-0.5),(_ENGINE_MERCADO!O196&gt;=-0.5),(_ENGINE_MERCADO!O201&gt;=-0.5),(_ENGINE_MERCADO!O206&gt;=-0.5),(_ENGINE_MERCADO!O211&gt;=-0.5),(_ENGINE_MERCADO!O216&gt;=-0.5),(_ENGINE_MERCADO!O221&gt;=-0.5),(_ENGINE_MERCADO!O226&gt;=-0.5),(_ENGINE_MERCADO!O231&gt;=-0.5),(_ENGINE_MERCADO!O236&gt;=-0.5),(_ENGINE_MERCADO!O241&gt;=-0.5),(_ENGINE_MERCADO!O246&gt;=-0.5)),"OK","ERROR"),"NO ACTIVA")</f>
        <v>NO ACTIVA</v>
      </c>
      <c r="P17" s="12" t="str">
        <f aca="false">IF(01_INPUTS!P17,IF(AND((_ENGINE_MERCADO!P191&gt;=-0.5),(_ENGINE_MERCADO!P196&gt;=-0.5),(_ENGINE_MERCADO!P201&gt;=-0.5),(_ENGINE_MERCADO!P206&gt;=-0.5),(_ENGINE_MERCADO!P211&gt;=-0.5),(_ENGINE_MERCADO!P216&gt;=-0.5),(_ENGINE_MERCADO!P221&gt;=-0.5),(_ENGINE_MERCADO!P226&gt;=-0.5),(_ENGINE_MERCADO!P231&gt;=-0.5),(_ENGINE_MERCADO!P236&gt;=-0.5),(_ENGINE_MERCADO!P241&gt;=-0.5),(_ENGINE_MERCADO!P246&gt;=-0.5)),"OK","ERROR"),"NO ACTIVA")</f>
        <v>NO ACTIVA</v>
      </c>
      <c r="Q17" s="12" t="str">
        <f aca="false">IF(01_INPUTS!Q17,IF(AND((_ENGINE_MERCADO!Q191&gt;=-0.5),(_ENGINE_MERCADO!Q196&gt;=-0.5),(_ENGINE_MERCADO!Q201&gt;=-0.5),(_ENGINE_MERCADO!Q206&gt;=-0.5),(_ENGINE_MERCADO!Q211&gt;=-0.5),(_ENGINE_MERCADO!Q216&gt;=-0.5),(_ENGINE_MERCADO!Q221&gt;=-0.5),(_ENGINE_MERCADO!Q226&gt;=-0.5),(_ENGINE_MERCADO!Q231&gt;=-0.5),(_ENGINE_MERCADO!Q236&gt;=-0.5),(_ENGINE_MERCADO!Q241&gt;=-0.5),(_ENGINE_MERCADO!Q246&gt;=-0.5)),"OK","ERROR"),"NO ACTIVA")</f>
        <v>NO ACTIVA</v>
      </c>
      <c r="R17" s="12" t="str">
        <f aca="false">IF(01_INPUTS!R17,IF(AND((_ENGINE_MERCADO!R191&gt;=-0.5),(_ENGINE_MERCADO!R196&gt;=-0.5),(_ENGINE_MERCADO!R201&gt;=-0.5),(_ENGINE_MERCADO!R206&gt;=-0.5),(_ENGINE_MERCADO!R211&gt;=-0.5),(_ENGINE_MERCADO!R216&gt;=-0.5),(_ENGINE_MERCADO!R221&gt;=-0.5),(_ENGINE_MERCADO!R226&gt;=-0.5),(_ENGINE_MERCADO!R231&gt;=-0.5),(_ENGINE_MERCADO!R236&gt;=-0.5),(_ENGINE_MERCADO!R241&gt;=-0.5),(_ENGINE_MERCADO!R246&gt;=-0.5)),"OK","ERROR"),"NO ACTIVA")</f>
        <v>NO ACTIVA</v>
      </c>
      <c r="S17" s="12" t="str">
        <f aca="false">IF(01_INPUTS!S17,IF(AND((_ENGINE_MERCADO!S191&gt;=-0.5),(_ENGINE_MERCADO!S196&gt;=-0.5),(_ENGINE_MERCADO!S201&gt;=-0.5),(_ENGINE_MERCADO!S206&gt;=-0.5),(_ENGINE_MERCADO!S211&gt;=-0.5),(_ENGINE_MERCADO!S216&gt;=-0.5),(_ENGINE_MERCADO!S221&gt;=-0.5),(_ENGINE_MERCADO!S226&gt;=-0.5),(_ENGINE_MERCADO!S231&gt;=-0.5),(_ENGINE_MERCADO!S236&gt;=-0.5),(_ENGINE_MERCADO!S241&gt;=-0.5),(_ENGINE_MERCADO!S246&gt;=-0.5)),"OK","ERROR"),"NO ACTIVA")</f>
        <v>NO ACTIVA</v>
      </c>
    </row>
    <row r="18" customFormat="false" ht="15" hidden="false" customHeight="false" outlineLevel="0" collapsed="false">
      <c r="A18" s="9" t="s">
        <v>357</v>
      </c>
      <c r="B18" s="7" t="s">
        <v>344</v>
      </c>
      <c r="C18" s="58"/>
      <c r="G18" s="12" t="str">
        <f aca="false">IF(AND((_ENGINE_PRODUCCION!G17&lt;=_ENGINE_PRODUCCION!G16+0.5),(_ENGINE_PRODUCCION!G26&lt;=_ENGINE_PRODUCCION!G25+0.5)),"OK","ERROR")</f>
        <v>OK</v>
      </c>
      <c r="H18" s="12" t="str">
        <f aca="false">IF(AND((_ENGINE_PRODUCCION!H17&lt;=_ENGINE_PRODUCCION!H16+0.5),(_ENGINE_PRODUCCION!H26&lt;=_ENGINE_PRODUCCION!H25+0.5)),"OK","ERROR")</f>
        <v>OK</v>
      </c>
      <c r="I18" s="12" t="str">
        <f aca="false">IF(01_INPUTS!I17,IF(AND((_ENGINE_PRODUCCION!I17&lt;=_ENGINE_PRODUCCION!I16+0.5),(_ENGINE_PRODUCCION!I26&lt;=_ENGINE_PRODUCCION!I25+0.5)),"OK","ERROR"),"NO ACTIVA")</f>
        <v>OK</v>
      </c>
      <c r="J18" s="12" t="str">
        <f aca="false">IF(01_INPUTS!J17,IF(AND((_ENGINE_PRODUCCION!J17&lt;=_ENGINE_PRODUCCION!J16+0.5),(_ENGINE_PRODUCCION!J26&lt;=_ENGINE_PRODUCCION!J25+0.5)),"OK","ERROR"),"NO ACTIVA")</f>
        <v>NO ACTIVA</v>
      </c>
      <c r="K18" s="12" t="str">
        <f aca="false">IF(01_INPUTS!K17,IF(AND((_ENGINE_PRODUCCION!K17&lt;=_ENGINE_PRODUCCION!K16+0.5),(_ENGINE_PRODUCCION!K26&lt;=_ENGINE_PRODUCCION!K25+0.5)),"OK","ERROR"),"NO ACTIVA")</f>
        <v>NO ACTIVA</v>
      </c>
      <c r="L18" s="12" t="str">
        <f aca="false">IF(01_INPUTS!L17,IF(AND((_ENGINE_PRODUCCION!L17&lt;=_ENGINE_PRODUCCION!L16+0.5),(_ENGINE_PRODUCCION!L26&lt;=_ENGINE_PRODUCCION!L25+0.5)),"OK","ERROR"),"NO ACTIVA")</f>
        <v>NO ACTIVA</v>
      </c>
      <c r="M18" s="12" t="str">
        <f aca="false">IF(01_INPUTS!M17,IF(AND((_ENGINE_PRODUCCION!M17&lt;=_ENGINE_PRODUCCION!M16+0.5),(_ENGINE_PRODUCCION!M26&lt;=_ENGINE_PRODUCCION!M25+0.5)),"OK","ERROR"),"NO ACTIVA")</f>
        <v>NO ACTIVA</v>
      </c>
      <c r="N18" s="12" t="str">
        <f aca="false">IF(01_INPUTS!N17,IF(AND((_ENGINE_PRODUCCION!N17&lt;=_ENGINE_PRODUCCION!N16+0.5),(_ENGINE_PRODUCCION!N26&lt;=_ENGINE_PRODUCCION!N25+0.5)),"OK","ERROR"),"NO ACTIVA")</f>
        <v>NO ACTIVA</v>
      </c>
      <c r="O18" s="12" t="str">
        <f aca="false">IF(01_INPUTS!O17,IF(AND((_ENGINE_PRODUCCION!O17&lt;=_ENGINE_PRODUCCION!O16+0.5),(_ENGINE_PRODUCCION!O26&lt;=_ENGINE_PRODUCCION!O25+0.5)),"OK","ERROR"),"NO ACTIVA")</f>
        <v>NO ACTIVA</v>
      </c>
      <c r="P18" s="12" t="str">
        <f aca="false">IF(01_INPUTS!P17,IF(AND((_ENGINE_PRODUCCION!P17&lt;=_ENGINE_PRODUCCION!P16+0.5),(_ENGINE_PRODUCCION!P26&lt;=_ENGINE_PRODUCCION!P25+0.5)),"OK","ERROR"),"NO ACTIVA")</f>
        <v>NO ACTIVA</v>
      </c>
      <c r="Q18" s="12" t="str">
        <f aca="false">IF(01_INPUTS!Q17,IF(AND((_ENGINE_PRODUCCION!Q17&lt;=_ENGINE_PRODUCCION!Q16+0.5),(_ENGINE_PRODUCCION!Q26&lt;=_ENGINE_PRODUCCION!Q25+0.5)),"OK","ERROR"),"NO ACTIVA")</f>
        <v>NO ACTIVA</v>
      </c>
      <c r="R18" s="12" t="str">
        <f aca="false">IF(01_INPUTS!R17,IF(AND((_ENGINE_PRODUCCION!R17&lt;=_ENGINE_PRODUCCION!R16+0.5),(_ENGINE_PRODUCCION!R26&lt;=_ENGINE_PRODUCCION!R25+0.5)),"OK","ERROR"),"NO ACTIVA")</f>
        <v>NO ACTIVA</v>
      </c>
      <c r="S18" s="12" t="str">
        <f aca="false">IF(01_INPUTS!S17,IF(AND((_ENGINE_PRODUCCION!S17&lt;=_ENGINE_PRODUCCION!S16+0.5),(_ENGINE_PRODUCCION!S26&lt;=_ENGINE_PRODUCCION!S25+0.5)),"OK","ERROR"),"NO ACTIVA")</f>
        <v>NO ACTIVA</v>
      </c>
    </row>
    <row r="19" customFormat="false" ht="22.35" hidden="false" customHeight="false" outlineLevel="0" collapsed="false">
      <c r="A19" s="9" t="s">
        <v>358</v>
      </c>
      <c r="B19" s="7" t="s">
        <v>344</v>
      </c>
      <c r="C19" s="58"/>
      <c r="G19" s="12" t="str">
        <f aca="false">IF(AND((_ENGINE_MERCADO!G189="OK"),(_ENGINE_MERCADO!G194="OK"),(_ENGINE_MERCADO!G199="OK"),(_ENGINE_MERCADO!G204="OK"),(_ENGINE_MERCADO!G209="OK"),(_ENGINE_MERCADO!G214="OK"),(_ENGINE_MERCADO!G219="OK"),(_ENGINE_MERCADO!G224="OK"),(_ENGINE_MERCADO!G229="OK"),(_ENGINE_MERCADO!G234="OK"),(_ENGINE_MERCADO!G239="OK"),(_ENGINE_MERCADO!G244="OK")),"OK","ERROR")</f>
        <v>OK</v>
      </c>
      <c r="H19" s="12" t="str">
        <f aca="false">IF(AND((_ENGINE_MERCADO!H189="OK"),(_ENGINE_MERCADO!H194="OK"),(_ENGINE_MERCADO!H199="OK"),(_ENGINE_MERCADO!H204="OK"),(_ENGINE_MERCADO!H209="OK"),(_ENGINE_MERCADO!H214="OK"),(_ENGINE_MERCADO!H219="OK"),(_ENGINE_MERCADO!H224="OK"),(_ENGINE_MERCADO!H229="OK"),(_ENGINE_MERCADO!H234="OK"),(_ENGINE_MERCADO!H239="OK"),(_ENGINE_MERCADO!H244="OK")),"OK","ERROR")</f>
        <v>OK</v>
      </c>
      <c r="I19" s="12" t="str">
        <f aca="false">IF(01_INPUTS!I17,IF(AND((_ENGINE_MERCADO!I189="OK"),(_ENGINE_MERCADO!I194="OK"),(_ENGINE_MERCADO!I199="OK"),(_ENGINE_MERCADO!I204="OK"),(_ENGINE_MERCADO!I209="OK"),(_ENGINE_MERCADO!I214="OK"),(_ENGINE_MERCADO!I219="OK"),(_ENGINE_MERCADO!I224="OK"),(_ENGINE_MERCADO!I229="OK"),(_ENGINE_MERCADO!I234="OK"),(_ENGINE_MERCADO!I239="OK"),(_ENGINE_MERCADO!I244="OK")),"OK","ERROR"),"NO ACTIVA")</f>
        <v>OK</v>
      </c>
      <c r="J19" s="12" t="str">
        <f aca="false">IF(01_INPUTS!J17,IF(AND((_ENGINE_MERCADO!J189="OK"),(_ENGINE_MERCADO!J194="OK"),(_ENGINE_MERCADO!J199="OK"),(_ENGINE_MERCADO!J204="OK"),(_ENGINE_MERCADO!J209="OK"),(_ENGINE_MERCADO!J214="OK"),(_ENGINE_MERCADO!J219="OK"),(_ENGINE_MERCADO!J224="OK"),(_ENGINE_MERCADO!J229="OK"),(_ENGINE_MERCADO!J234="OK"),(_ENGINE_MERCADO!J239="OK"),(_ENGINE_MERCADO!J244="OK")),"OK","ERROR"),"NO ACTIVA")</f>
        <v>NO ACTIVA</v>
      </c>
      <c r="K19" s="12" t="str">
        <f aca="false">IF(01_INPUTS!K17,IF(AND((_ENGINE_MERCADO!K189="OK"),(_ENGINE_MERCADO!K194="OK"),(_ENGINE_MERCADO!K199="OK"),(_ENGINE_MERCADO!K204="OK"),(_ENGINE_MERCADO!K209="OK"),(_ENGINE_MERCADO!K214="OK"),(_ENGINE_MERCADO!K219="OK"),(_ENGINE_MERCADO!K224="OK"),(_ENGINE_MERCADO!K229="OK"),(_ENGINE_MERCADO!K234="OK"),(_ENGINE_MERCADO!K239="OK"),(_ENGINE_MERCADO!K244="OK")),"OK","ERROR"),"NO ACTIVA")</f>
        <v>NO ACTIVA</v>
      </c>
      <c r="L19" s="12" t="str">
        <f aca="false">IF(01_INPUTS!L17,IF(AND((_ENGINE_MERCADO!L189="OK"),(_ENGINE_MERCADO!L194="OK"),(_ENGINE_MERCADO!L199="OK"),(_ENGINE_MERCADO!L204="OK"),(_ENGINE_MERCADO!L209="OK"),(_ENGINE_MERCADO!L214="OK"),(_ENGINE_MERCADO!L219="OK"),(_ENGINE_MERCADO!L224="OK"),(_ENGINE_MERCADO!L229="OK"),(_ENGINE_MERCADO!L234="OK"),(_ENGINE_MERCADO!L239="OK"),(_ENGINE_MERCADO!L244="OK")),"OK","ERROR"),"NO ACTIVA")</f>
        <v>NO ACTIVA</v>
      </c>
      <c r="M19" s="12" t="str">
        <f aca="false">IF(01_INPUTS!M17,IF(AND((_ENGINE_MERCADO!M189="OK"),(_ENGINE_MERCADO!M194="OK"),(_ENGINE_MERCADO!M199="OK"),(_ENGINE_MERCADO!M204="OK"),(_ENGINE_MERCADO!M209="OK"),(_ENGINE_MERCADO!M214="OK"),(_ENGINE_MERCADO!M219="OK"),(_ENGINE_MERCADO!M224="OK"),(_ENGINE_MERCADO!M229="OK"),(_ENGINE_MERCADO!M234="OK"),(_ENGINE_MERCADO!M239="OK"),(_ENGINE_MERCADO!M244="OK")),"OK","ERROR"),"NO ACTIVA")</f>
        <v>NO ACTIVA</v>
      </c>
      <c r="N19" s="12" t="str">
        <f aca="false">IF(01_INPUTS!N17,IF(AND((_ENGINE_MERCADO!N189="OK"),(_ENGINE_MERCADO!N194="OK"),(_ENGINE_MERCADO!N199="OK"),(_ENGINE_MERCADO!N204="OK"),(_ENGINE_MERCADO!N209="OK"),(_ENGINE_MERCADO!N214="OK"),(_ENGINE_MERCADO!N219="OK"),(_ENGINE_MERCADO!N224="OK"),(_ENGINE_MERCADO!N229="OK"),(_ENGINE_MERCADO!N234="OK"),(_ENGINE_MERCADO!N239="OK"),(_ENGINE_MERCADO!N244="OK")),"OK","ERROR"),"NO ACTIVA")</f>
        <v>NO ACTIVA</v>
      </c>
      <c r="O19" s="12" t="str">
        <f aca="false">IF(01_INPUTS!O17,IF(AND((_ENGINE_MERCADO!O189="OK"),(_ENGINE_MERCADO!O194="OK"),(_ENGINE_MERCADO!O199="OK"),(_ENGINE_MERCADO!O204="OK"),(_ENGINE_MERCADO!O209="OK"),(_ENGINE_MERCADO!O214="OK"),(_ENGINE_MERCADO!O219="OK"),(_ENGINE_MERCADO!O224="OK"),(_ENGINE_MERCADO!O229="OK"),(_ENGINE_MERCADO!O234="OK"),(_ENGINE_MERCADO!O239="OK"),(_ENGINE_MERCADO!O244="OK")),"OK","ERROR"),"NO ACTIVA")</f>
        <v>NO ACTIVA</v>
      </c>
      <c r="P19" s="12" t="str">
        <f aca="false">IF(01_INPUTS!P17,IF(AND((_ENGINE_MERCADO!P189="OK"),(_ENGINE_MERCADO!P194="OK"),(_ENGINE_MERCADO!P199="OK"),(_ENGINE_MERCADO!P204="OK"),(_ENGINE_MERCADO!P209="OK"),(_ENGINE_MERCADO!P214="OK"),(_ENGINE_MERCADO!P219="OK"),(_ENGINE_MERCADO!P224="OK"),(_ENGINE_MERCADO!P229="OK"),(_ENGINE_MERCADO!P234="OK"),(_ENGINE_MERCADO!P239="OK"),(_ENGINE_MERCADO!P244="OK")),"OK","ERROR"),"NO ACTIVA")</f>
        <v>NO ACTIVA</v>
      </c>
      <c r="Q19" s="12" t="str">
        <f aca="false">IF(01_INPUTS!Q17,IF(AND((_ENGINE_MERCADO!Q189="OK"),(_ENGINE_MERCADO!Q194="OK"),(_ENGINE_MERCADO!Q199="OK"),(_ENGINE_MERCADO!Q204="OK"),(_ENGINE_MERCADO!Q209="OK"),(_ENGINE_MERCADO!Q214="OK"),(_ENGINE_MERCADO!Q219="OK"),(_ENGINE_MERCADO!Q224="OK"),(_ENGINE_MERCADO!Q229="OK"),(_ENGINE_MERCADO!Q234="OK"),(_ENGINE_MERCADO!Q239="OK"),(_ENGINE_MERCADO!Q244="OK")),"OK","ERROR"),"NO ACTIVA")</f>
        <v>NO ACTIVA</v>
      </c>
      <c r="R19" s="12" t="str">
        <f aca="false">IF(01_INPUTS!R17,IF(AND((_ENGINE_MERCADO!R189="OK"),(_ENGINE_MERCADO!R194="OK"),(_ENGINE_MERCADO!R199="OK"),(_ENGINE_MERCADO!R204="OK"),(_ENGINE_MERCADO!R209="OK"),(_ENGINE_MERCADO!R214="OK"),(_ENGINE_MERCADO!R219="OK"),(_ENGINE_MERCADO!R224="OK"),(_ENGINE_MERCADO!R229="OK"),(_ENGINE_MERCADO!R234="OK"),(_ENGINE_MERCADO!R239="OK"),(_ENGINE_MERCADO!R244="OK")),"OK","ERROR"),"NO ACTIVA")</f>
        <v>NO ACTIVA</v>
      </c>
      <c r="S19" s="12" t="str">
        <f aca="false">IF(01_INPUTS!S17,IF(AND((_ENGINE_MERCADO!S189="OK"),(_ENGINE_MERCADO!S194="OK"),(_ENGINE_MERCADO!S199="OK"),(_ENGINE_MERCADO!S204="OK"),(_ENGINE_MERCADO!S209="OK"),(_ENGINE_MERCADO!S214="OK"),(_ENGINE_MERCADO!S219="OK"),(_ENGINE_MERCADO!S224="OK"),(_ENGINE_MERCADO!S229="OK"),(_ENGINE_MERCADO!S234="OK"),(_ENGINE_MERCADO!S239="OK"),(_ENGINE_MERCADO!S244="OK")),"OK","ERROR"),"NO ACTIVA")</f>
        <v>NO ACTIVA</v>
      </c>
    </row>
    <row r="21" customFormat="false" ht="15" hidden="false" customHeight="false" outlineLevel="0" collapsed="false">
      <c r="A21" s="5" t="s">
        <v>359</v>
      </c>
      <c r="B21" s="5"/>
      <c r="C21" s="5"/>
      <c r="D21" s="5"/>
      <c r="E21" s="5"/>
      <c r="F21" s="5"/>
      <c r="G21" s="5"/>
      <c r="H21" s="5"/>
      <c r="I21" s="5"/>
      <c r="J21" s="5"/>
      <c r="K21" s="5"/>
      <c r="L21" s="5"/>
      <c r="M21" s="5"/>
      <c r="N21" s="5"/>
      <c r="O21" s="5"/>
      <c r="P21" s="5"/>
      <c r="Q21" s="5"/>
      <c r="R21" s="5"/>
      <c r="S21" s="5"/>
    </row>
    <row r="22" customFormat="false" ht="22.35" hidden="false" customHeight="false" outlineLevel="0" collapsed="false">
      <c r="A22" s="9" t="s">
        <v>360</v>
      </c>
      <c r="B22" s="7" t="s">
        <v>344</v>
      </c>
      <c r="C22" s="58" t="s">
        <v>361</v>
      </c>
      <c r="G22" s="59" t="str">
        <f aca="false">IF(AND((NOT(AND(ISNUMBER(01_INPUTS!G146),01_INPUTS!G146&gt;0,NOT(ISNUMBER(01_INPUTS!G78))))),(NOT(AND(ISNUMBER(01_INPUTS!G146),01_INPUTS!G146&gt;0,ISNUMBER(01_INPUTS!G78),01_INPUTS!G78&lt;=0))),(NOT(AND(ISNUMBER(01_INPUTS!G147),01_INPUTS!G147&gt;0,NOT(ISNUMBER(01_INPUTS!G79))))),(NOT(AND(ISNUMBER(01_INPUTS!G147),01_INPUTS!G147&gt;0,ISNUMBER(01_INPUTS!G79),01_INPUTS!G79&lt;=0))),(NOT(AND(ISNUMBER(01_INPUTS!G148),01_INPUTS!G148&gt;0,NOT(ISNUMBER(01_INPUTS!G80))))),(NOT(AND(ISNUMBER(01_INPUTS!G148),01_INPUTS!G148&gt;0,ISNUMBER(01_INPUTS!G80),01_INPUTS!G80&lt;=0))),(NOT(AND(ISNUMBER(01_INPUTS!G149),01_INPUTS!G149&gt;0,NOT(ISNUMBER(01_INPUTS!G81))))),(NOT(AND(ISNUMBER(01_INPUTS!G149),01_INPUTS!G149&gt;0,ISNUMBER(01_INPUTS!G81),01_INPUTS!G81&lt;=0))),(NOT(AND(ISNUMBER(01_INPUTS!G150),01_INPUTS!G150&gt;0,NOT(ISNUMBER(01_INPUTS!G82))))),(NOT(AND(ISNUMBER(01_INPUTS!G150),01_INPUTS!G150&gt;0,ISNUMBER(01_INPUTS!G82),01_INPUTS!G82&lt;=0))),(NOT(AND(ISNUMBER(01_INPUTS!G151),01_INPUTS!G151&gt;0,NOT(ISNUMBER(01_INPUTS!G83))))),(NOT(AND(ISNUMBER(01_INPUTS!G151),01_INPUTS!G151&gt;0,ISNUMBER(01_INPUTS!G83),01_INPUTS!G83&lt;=0))),(NOT(AND(ISNUMBER(01_INPUTS!G152),01_INPUTS!G152&gt;0,NOT(ISNUMBER(01_INPUTS!G84))))),(NOT(AND(ISNUMBER(01_INPUTS!G152),01_INPUTS!G152&gt;0,ISNUMBER(01_INPUTS!G84),01_INPUTS!G84&lt;=0))),(NOT(AND(ISNUMBER(01_INPUTS!G153),01_INPUTS!G153&gt;0,NOT(ISNUMBER(01_INPUTS!G85))))),(NOT(AND(ISNUMBER(01_INPUTS!G153),01_INPUTS!G153&gt;0,ISNUMBER(01_INPUTS!G85),01_INPUTS!G85&lt;=0)))),"OK","ERROR — FALTA COSTO DE TERCERIZACIÓN — PROYECCIÓN NO VÁLIDA")</f>
        <v>OK</v>
      </c>
      <c r="H22" s="59" t="str">
        <f aca="false">IF(AND((NOT(AND(ISNUMBER(01_INPUTS!H146),01_INPUTS!H146&gt;0,NOT(ISNUMBER(01_INPUTS!H78))))),(NOT(AND(ISNUMBER(01_INPUTS!H146),01_INPUTS!H146&gt;0,ISNUMBER(01_INPUTS!H78),01_INPUTS!H78&lt;=0))),(NOT(AND(ISNUMBER(01_INPUTS!H147),01_INPUTS!H147&gt;0,NOT(ISNUMBER(01_INPUTS!H79))))),(NOT(AND(ISNUMBER(01_INPUTS!H147),01_INPUTS!H147&gt;0,ISNUMBER(01_INPUTS!H79),01_INPUTS!H79&lt;=0))),(NOT(AND(ISNUMBER(01_INPUTS!H148),01_INPUTS!H148&gt;0,NOT(ISNUMBER(01_INPUTS!H80))))),(NOT(AND(ISNUMBER(01_INPUTS!H148),01_INPUTS!H148&gt;0,ISNUMBER(01_INPUTS!H80),01_INPUTS!H80&lt;=0))),(NOT(AND(ISNUMBER(01_INPUTS!H149),01_INPUTS!H149&gt;0,NOT(ISNUMBER(01_INPUTS!H81))))),(NOT(AND(ISNUMBER(01_INPUTS!H149),01_INPUTS!H149&gt;0,ISNUMBER(01_INPUTS!H81),01_INPUTS!H81&lt;=0))),(NOT(AND(ISNUMBER(01_INPUTS!H150),01_INPUTS!H150&gt;0,NOT(ISNUMBER(01_INPUTS!H82))))),(NOT(AND(ISNUMBER(01_INPUTS!H150),01_INPUTS!H150&gt;0,ISNUMBER(01_INPUTS!H82),01_INPUTS!H82&lt;=0))),(NOT(AND(ISNUMBER(01_INPUTS!H151),01_INPUTS!H151&gt;0,NOT(ISNUMBER(01_INPUTS!H83))))),(NOT(AND(ISNUMBER(01_INPUTS!H151),01_INPUTS!H151&gt;0,ISNUMBER(01_INPUTS!H83),01_INPUTS!H83&lt;=0))),(NOT(AND(ISNUMBER(01_INPUTS!H152),01_INPUTS!H152&gt;0,NOT(ISNUMBER(01_INPUTS!H84))))),(NOT(AND(ISNUMBER(01_INPUTS!H152),01_INPUTS!H152&gt;0,ISNUMBER(01_INPUTS!H84),01_INPUTS!H84&lt;=0))),(NOT(AND(ISNUMBER(01_INPUTS!H153),01_INPUTS!H153&gt;0,NOT(ISNUMBER(01_INPUTS!H85))))),(NOT(AND(ISNUMBER(01_INPUTS!H153),01_INPUTS!H153&gt;0,ISNUMBER(01_INPUTS!H85),01_INPUTS!H85&lt;=0)))),"OK","ERROR — FALTA COSTO DE TERCERIZACIÓN — PROYECCIÓN NO VÁLIDA")</f>
        <v>OK</v>
      </c>
      <c r="I22" s="59" t="str">
        <f aca="false">IF(01_INPUTS!I17,IF(AND((NOT(AND(ISNUMBER(01_INPUTS!I146),01_INPUTS!I146&gt;0,NOT(ISNUMBER(01_INPUTS!I78))))),(NOT(AND(ISNUMBER(01_INPUTS!I146),01_INPUTS!I146&gt;0,ISNUMBER(01_INPUTS!I78),01_INPUTS!I78&lt;=0))),(NOT(AND(ISNUMBER(01_INPUTS!I147),01_INPUTS!I147&gt;0,NOT(ISNUMBER(01_INPUTS!I79))))),(NOT(AND(ISNUMBER(01_INPUTS!I147),01_INPUTS!I147&gt;0,ISNUMBER(01_INPUTS!I79),01_INPUTS!I79&lt;=0))),(NOT(AND(ISNUMBER(01_INPUTS!I148),01_INPUTS!I148&gt;0,NOT(ISNUMBER(01_INPUTS!I80))))),(NOT(AND(ISNUMBER(01_INPUTS!I148),01_INPUTS!I148&gt;0,ISNUMBER(01_INPUTS!I80),01_INPUTS!I80&lt;=0))),(NOT(AND(ISNUMBER(01_INPUTS!I149),01_INPUTS!I149&gt;0,NOT(ISNUMBER(01_INPUTS!I81))))),(NOT(AND(ISNUMBER(01_INPUTS!I149),01_INPUTS!I149&gt;0,ISNUMBER(01_INPUTS!I81),01_INPUTS!I81&lt;=0))),(NOT(AND(ISNUMBER(01_INPUTS!I150),01_INPUTS!I150&gt;0,NOT(ISNUMBER(01_INPUTS!I82))))),(NOT(AND(ISNUMBER(01_INPUTS!I150),01_INPUTS!I150&gt;0,ISNUMBER(01_INPUTS!I82),01_INPUTS!I82&lt;=0))),(NOT(AND(ISNUMBER(01_INPUTS!I151),01_INPUTS!I151&gt;0,NOT(ISNUMBER(01_INPUTS!I83))))),(NOT(AND(ISNUMBER(01_INPUTS!I151),01_INPUTS!I151&gt;0,ISNUMBER(01_INPUTS!I83),01_INPUTS!I83&lt;=0))),(NOT(AND(ISNUMBER(01_INPUTS!I152),01_INPUTS!I152&gt;0,NOT(ISNUMBER(01_INPUTS!I84))))),(NOT(AND(ISNUMBER(01_INPUTS!I152),01_INPUTS!I152&gt;0,ISNUMBER(01_INPUTS!I84),01_INPUTS!I84&lt;=0))),(NOT(AND(ISNUMBER(01_INPUTS!I153),01_INPUTS!I153&gt;0,NOT(ISNUMBER(01_INPUTS!I85))))),(NOT(AND(ISNUMBER(01_INPUTS!I153),01_INPUTS!I153&gt;0,ISNUMBER(01_INPUTS!I85),01_INPUTS!I85&lt;=0)))),"OK","ERROR — FALTA COSTO DE TERCERIZACIÓN — PROYECCIÓN NO VÁLIDA"),"NO ACTIVA")</f>
        <v>OK</v>
      </c>
      <c r="J22" s="59" t="str">
        <f aca="false">IF(01_INPUTS!J17,IF(AND((NOT(AND(ISNUMBER(01_INPUTS!J146),01_INPUTS!J146&gt;0,NOT(ISNUMBER(01_INPUTS!J78))))),(NOT(AND(ISNUMBER(01_INPUTS!J146),01_INPUTS!J146&gt;0,ISNUMBER(01_INPUTS!J78),01_INPUTS!J78&lt;=0))),(NOT(AND(ISNUMBER(01_INPUTS!J147),01_INPUTS!J147&gt;0,NOT(ISNUMBER(01_INPUTS!J79))))),(NOT(AND(ISNUMBER(01_INPUTS!J147),01_INPUTS!J147&gt;0,ISNUMBER(01_INPUTS!J79),01_INPUTS!J79&lt;=0))),(NOT(AND(ISNUMBER(01_INPUTS!J148),01_INPUTS!J148&gt;0,NOT(ISNUMBER(01_INPUTS!J80))))),(NOT(AND(ISNUMBER(01_INPUTS!J148),01_INPUTS!J148&gt;0,ISNUMBER(01_INPUTS!J80),01_INPUTS!J80&lt;=0))),(NOT(AND(ISNUMBER(01_INPUTS!J149),01_INPUTS!J149&gt;0,NOT(ISNUMBER(01_INPUTS!J81))))),(NOT(AND(ISNUMBER(01_INPUTS!J149),01_INPUTS!J149&gt;0,ISNUMBER(01_INPUTS!J81),01_INPUTS!J81&lt;=0))),(NOT(AND(ISNUMBER(01_INPUTS!J150),01_INPUTS!J150&gt;0,NOT(ISNUMBER(01_INPUTS!J82))))),(NOT(AND(ISNUMBER(01_INPUTS!J150),01_INPUTS!J150&gt;0,ISNUMBER(01_INPUTS!J82),01_INPUTS!J82&lt;=0))),(NOT(AND(ISNUMBER(01_INPUTS!J151),01_INPUTS!J151&gt;0,NOT(ISNUMBER(01_INPUTS!J83))))),(NOT(AND(ISNUMBER(01_INPUTS!J151),01_INPUTS!J151&gt;0,ISNUMBER(01_INPUTS!J83),01_INPUTS!J83&lt;=0))),(NOT(AND(ISNUMBER(01_INPUTS!J152),01_INPUTS!J152&gt;0,NOT(ISNUMBER(01_INPUTS!J84))))),(NOT(AND(ISNUMBER(01_INPUTS!J152),01_INPUTS!J152&gt;0,ISNUMBER(01_INPUTS!J84),01_INPUTS!J84&lt;=0))),(NOT(AND(ISNUMBER(01_INPUTS!J153),01_INPUTS!J153&gt;0,NOT(ISNUMBER(01_INPUTS!J85))))),(NOT(AND(ISNUMBER(01_INPUTS!J153),01_INPUTS!J153&gt;0,ISNUMBER(01_INPUTS!J85),01_INPUTS!J85&lt;=0)))),"OK","ERROR — FALTA COSTO DE TERCERIZACIÓN — PROYECCIÓN NO VÁLIDA"),"NO ACTIVA")</f>
        <v>NO ACTIVA</v>
      </c>
      <c r="K22" s="59" t="str">
        <f aca="false">IF(01_INPUTS!K17,IF(AND((NOT(AND(ISNUMBER(01_INPUTS!K146),01_INPUTS!K146&gt;0,NOT(ISNUMBER(01_INPUTS!K78))))),(NOT(AND(ISNUMBER(01_INPUTS!K146),01_INPUTS!K146&gt;0,ISNUMBER(01_INPUTS!K78),01_INPUTS!K78&lt;=0))),(NOT(AND(ISNUMBER(01_INPUTS!K147),01_INPUTS!K147&gt;0,NOT(ISNUMBER(01_INPUTS!K79))))),(NOT(AND(ISNUMBER(01_INPUTS!K147),01_INPUTS!K147&gt;0,ISNUMBER(01_INPUTS!K79),01_INPUTS!K79&lt;=0))),(NOT(AND(ISNUMBER(01_INPUTS!K148),01_INPUTS!K148&gt;0,NOT(ISNUMBER(01_INPUTS!K80))))),(NOT(AND(ISNUMBER(01_INPUTS!K148),01_INPUTS!K148&gt;0,ISNUMBER(01_INPUTS!K80),01_INPUTS!K80&lt;=0))),(NOT(AND(ISNUMBER(01_INPUTS!K149),01_INPUTS!K149&gt;0,NOT(ISNUMBER(01_INPUTS!K81))))),(NOT(AND(ISNUMBER(01_INPUTS!K149),01_INPUTS!K149&gt;0,ISNUMBER(01_INPUTS!K81),01_INPUTS!K81&lt;=0))),(NOT(AND(ISNUMBER(01_INPUTS!K150),01_INPUTS!K150&gt;0,NOT(ISNUMBER(01_INPUTS!K82))))),(NOT(AND(ISNUMBER(01_INPUTS!K150),01_INPUTS!K150&gt;0,ISNUMBER(01_INPUTS!K82),01_INPUTS!K82&lt;=0))),(NOT(AND(ISNUMBER(01_INPUTS!K151),01_INPUTS!K151&gt;0,NOT(ISNUMBER(01_INPUTS!K83))))),(NOT(AND(ISNUMBER(01_INPUTS!K151),01_INPUTS!K151&gt;0,ISNUMBER(01_INPUTS!K83),01_INPUTS!K83&lt;=0))),(NOT(AND(ISNUMBER(01_INPUTS!K152),01_INPUTS!K152&gt;0,NOT(ISNUMBER(01_INPUTS!K84))))),(NOT(AND(ISNUMBER(01_INPUTS!K152),01_INPUTS!K152&gt;0,ISNUMBER(01_INPUTS!K84),01_INPUTS!K84&lt;=0))),(NOT(AND(ISNUMBER(01_INPUTS!K153),01_INPUTS!K153&gt;0,NOT(ISNUMBER(01_INPUTS!K85))))),(NOT(AND(ISNUMBER(01_INPUTS!K153),01_INPUTS!K153&gt;0,ISNUMBER(01_INPUTS!K85),01_INPUTS!K85&lt;=0)))),"OK","ERROR — FALTA COSTO DE TERCERIZACIÓN — PROYECCIÓN NO VÁLIDA"),"NO ACTIVA")</f>
        <v>NO ACTIVA</v>
      </c>
      <c r="L22" s="59" t="str">
        <f aca="false">IF(01_INPUTS!L17,IF(AND((NOT(AND(ISNUMBER(01_INPUTS!L146),01_INPUTS!L146&gt;0,NOT(ISNUMBER(01_INPUTS!L78))))),(NOT(AND(ISNUMBER(01_INPUTS!L146),01_INPUTS!L146&gt;0,ISNUMBER(01_INPUTS!L78),01_INPUTS!L78&lt;=0))),(NOT(AND(ISNUMBER(01_INPUTS!L147),01_INPUTS!L147&gt;0,NOT(ISNUMBER(01_INPUTS!L79))))),(NOT(AND(ISNUMBER(01_INPUTS!L147),01_INPUTS!L147&gt;0,ISNUMBER(01_INPUTS!L79),01_INPUTS!L79&lt;=0))),(NOT(AND(ISNUMBER(01_INPUTS!L148),01_INPUTS!L148&gt;0,NOT(ISNUMBER(01_INPUTS!L80))))),(NOT(AND(ISNUMBER(01_INPUTS!L148),01_INPUTS!L148&gt;0,ISNUMBER(01_INPUTS!L80),01_INPUTS!L80&lt;=0))),(NOT(AND(ISNUMBER(01_INPUTS!L149),01_INPUTS!L149&gt;0,NOT(ISNUMBER(01_INPUTS!L81))))),(NOT(AND(ISNUMBER(01_INPUTS!L149),01_INPUTS!L149&gt;0,ISNUMBER(01_INPUTS!L81),01_INPUTS!L81&lt;=0))),(NOT(AND(ISNUMBER(01_INPUTS!L150),01_INPUTS!L150&gt;0,NOT(ISNUMBER(01_INPUTS!L82))))),(NOT(AND(ISNUMBER(01_INPUTS!L150),01_INPUTS!L150&gt;0,ISNUMBER(01_INPUTS!L82),01_INPUTS!L82&lt;=0))),(NOT(AND(ISNUMBER(01_INPUTS!L151),01_INPUTS!L151&gt;0,NOT(ISNUMBER(01_INPUTS!L83))))),(NOT(AND(ISNUMBER(01_INPUTS!L151),01_INPUTS!L151&gt;0,ISNUMBER(01_INPUTS!L83),01_INPUTS!L83&lt;=0))),(NOT(AND(ISNUMBER(01_INPUTS!L152),01_INPUTS!L152&gt;0,NOT(ISNUMBER(01_INPUTS!L84))))),(NOT(AND(ISNUMBER(01_INPUTS!L152),01_INPUTS!L152&gt;0,ISNUMBER(01_INPUTS!L84),01_INPUTS!L84&lt;=0))),(NOT(AND(ISNUMBER(01_INPUTS!L153),01_INPUTS!L153&gt;0,NOT(ISNUMBER(01_INPUTS!L85))))),(NOT(AND(ISNUMBER(01_INPUTS!L153),01_INPUTS!L153&gt;0,ISNUMBER(01_INPUTS!L85),01_INPUTS!L85&lt;=0)))),"OK","ERROR — FALTA COSTO DE TERCERIZACIÓN — PROYECCIÓN NO VÁLIDA"),"NO ACTIVA")</f>
        <v>NO ACTIVA</v>
      </c>
      <c r="M22" s="59" t="str">
        <f aca="false">IF(01_INPUTS!M17,IF(AND((NOT(AND(ISNUMBER(01_INPUTS!M146),01_INPUTS!M146&gt;0,NOT(ISNUMBER(01_INPUTS!M78))))),(NOT(AND(ISNUMBER(01_INPUTS!M146),01_INPUTS!M146&gt;0,ISNUMBER(01_INPUTS!M78),01_INPUTS!M78&lt;=0))),(NOT(AND(ISNUMBER(01_INPUTS!M147),01_INPUTS!M147&gt;0,NOT(ISNUMBER(01_INPUTS!M79))))),(NOT(AND(ISNUMBER(01_INPUTS!M147),01_INPUTS!M147&gt;0,ISNUMBER(01_INPUTS!M79),01_INPUTS!M79&lt;=0))),(NOT(AND(ISNUMBER(01_INPUTS!M148),01_INPUTS!M148&gt;0,NOT(ISNUMBER(01_INPUTS!M80))))),(NOT(AND(ISNUMBER(01_INPUTS!M148),01_INPUTS!M148&gt;0,ISNUMBER(01_INPUTS!M80),01_INPUTS!M80&lt;=0))),(NOT(AND(ISNUMBER(01_INPUTS!M149),01_INPUTS!M149&gt;0,NOT(ISNUMBER(01_INPUTS!M81))))),(NOT(AND(ISNUMBER(01_INPUTS!M149),01_INPUTS!M149&gt;0,ISNUMBER(01_INPUTS!M81),01_INPUTS!M81&lt;=0))),(NOT(AND(ISNUMBER(01_INPUTS!M150),01_INPUTS!M150&gt;0,NOT(ISNUMBER(01_INPUTS!M82))))),(NOT(AND(ISNUMBER(01_INPUTS!M150),01_INPUTS!M150&gt;0,ISNUMBER(01_INPUTS!M82),01_INPUTS!M82&lt;=0))),(NOT(AND(ISNUMBER(01_INPUTS!M151),01_INPUTS!M151&gt;0,NOT(ISNUMBER(01_INPUTS!M83))))),(NOT(AND(ISNUMBER(01_INPUTS!M151),01_INPUTS!M151&gt;0,ISNUMBER(01_INPUTS!M83),01_INPUTS!M83&lt;=0))),(NOT(AND(ISNUMBER(01_INPUTS!M152),01_INPUTS!M152&gt;0,NOT(ISNUMBER(01_INPUTS!M84))))),(NOT(AND(ISNUMBER(01_INPUTS!M152),01_INPUTS!M152&gt;0,ISNUMBER(01_INPUTS!M84),01_INPUTS!M84&lt;=0))),(NOT(AND(ISNUMBER(01_INPUTS!M153),01_INPUTS!M153&gt;0,NOT(ISNUMBER(01_INPUTS!M85))))),(NOT(AND(ISNUMBER(01_INPUTS!M153),01_INPUTS!M153&gt;0,ISNUMBER(01_INPUTS!M85),01_INPUTS!M85&lt;=0)))),"OK","ERROR — FALTA COSTO DE TERCERIZACIÓN — PROYECCIÓN NO VÁLIDA"),"NO ACTIVA")</f>
        <v>NO ACTIVA</v>
      </c>
      <c r="N22" s="59" t="str">
        <f aca="false">IF(01_INPUTS!N17,IF(AND((NOT(AND(ISNUMBER(01_INPUTS!N146),01_INPUTS!N146&gt;0,NOT(ISNUMBER(01_INPUTS!N78))))),(NOT(AND(ISNUMBER(01_INPUTS!N146),01_INPUTS!N146&gt;0,ISNUMBER(01_INPUTS!N78),01_INPUTS!N78&lt;=0))),(NOT(AND(ISNUMBER(01_INPUTS!N147),01_INPUTS!N147&gt;0,NOT(ISNUMBER(01_INPUTS!N79))))),(NOT(AND(ISNUMBER(01_INPUTS!N147),01_INPUTS!N147&gt;0,ISNUMBER(01_INPUTS!N79),01_INPUTS!N79&lt;=0))),(NOT(AND(ISNUMBER(01_INPUTS!N148),01_INPUTS!N148&gt;0,NOT(ISNUMBER(01_INPUTS!N80))))),(NOT(AND(ISNUMBER(01_INPUTS!N148),01_INPUTS!N148&gt;0,ISNUMBER(01_INPUTS!N80),01_INPUTS!N80&lt;=0))),(NOT(AND(ISNUMBER(01_INPUTS!N149),01_INPUTS!N149&gt;0,NOT(ISNUMBER(01_INPUTS!N81))))),(NOT(AND(ISNUMBER(01_INPUTS!N149),01_INPUTS!N149&gt;0,ISNUMBER(01_INPUTS!N81),01_INPUTS!N81&lt;=0))),(NOT(AND(ISNUMBER(01_INPUTS!N150),01_INPUTS!N150&gt;0,NOT(ISNUMBER(01_INPUTS!N82))))),(NOT(AND(ISNUMBER(01_INPUTS!N150),01_INPUTS!N150&gt;0,ISNUMBER(01_INPUTS!N82),01_INPUTS!N82&lt;=0))),(NOT(AND(ISNUMBER(01_INPUTS!N151),01_INPUTS!N151&gt;0,NOT(ISNUMBER(01_INPUTS!N83))))),(NOT(AND(ISNUMBER(01_INPUTS!N151),01_INPUTS!N151&gt;0,ISNUMBER(01_INPUTS!N83),01_INPUTS!N83&lt;=0))),(NOT(AND(ISNUMBER(01_INPUTS!N152),01_INPUTS!N152&gt;0,NOT(ISNUMBER(01_INPUTS!N84))))),(NOT(AND(ISNUMBER(01_INPUTS!N152),01_INPUTS!N152&gt;0,ISNUMBER(01_INPUTS!N84),01_INPUTS!N84&lt;=0))),(NOT(AND(ISNUMBER(01_INPUTS!N153),01_INPUTS!N153&gt;0,NOT(ISNUMBER(01_INPUTS!N85))))),(NOT(AND(ISNUMBER(01_INPUTS!N153),01_INPUTS!N153&gt;0,ISNUMBER(01_INPUTS!N85),01_INPUTS!N85&lt;=0)))),"OK","ERROR — FALTA COSTO DE TERCERIZACIÓN — PROYECCIÓN NO VÁLIDA"),"NO ACTIVA")</f>
        <v>NO ACTIVA</v>
      </c>
      <c r="O22" s="59" t="str">
        <f aca="false">IF(01_INPUTS!O17,IF(AND((NOT(AND(ISNUMBER(01_INPUTS!O146),01_INPUTS!O146&gt;0,NOT(ISNUMBER(01_INPUTS!O78))))),(NOT(AND(ISNUMBER(01_INPUTS!O146),01_INPUTS!O146&gt;0,ISNUMBER(01_INPUTS!O78),01_INPUTS!O78&lt;=0))),(NOT(AND(ISNUMBER(01_INPUTS!O147),01_INPUTS!O147&gt;0,NOT(ISNUMBER(01_INPUTS!O79))))),(NOT(AND(ISNUMBER(01_INPUTS!O147),01_INPUTS!O147&gt;0,ISNUMBER(01_INPUTS!O79),01_INPUTS!O79&lt;=0))),(NOT(AND(ISNUMBER(01_INPUTS!O148),01_INPUTS!O148&gt;0,NOT(ISNUMBER(01_INPUTS!O80))))),(NOT(AND(ISNUMBER(01_INPUTS!O148),01_INPUTS!O148&gt;0,ISNUMBER(01_INPUTS!O80),01_INPUTS!O80&lt;=0))),(NOT(AND(ISNUMBER(01_INPUTS!O149),01_INPUTS!O149&gt;0,NOT(ISNUMBER(01_INPUTS!O81))))),(NOT(AND(ISNUMBER(01_INPUTS!O149),01_INPUTS!O149&gt;0,ISNUMBER(01_INPUTS!O81),01_INPUTS!O81&lt;=0))),(NOT(AND(ISNUMBER(01_INPUTS!O150),01_INPUTS!O150&gt;0,NOT(ISNUMBER(01_INPUTS!O82))))),(NOT(AND(ISNUMBER(01_INPUTS!O150),01_INPUTS!O150&gt;0,ISNUMBER(01_INPUTS!O82),01_INPUTS!O82&lt;=0))),(NOT(AND(ISNUMBER(01_INPUTS!O151),01_INPUTS!O151&gt;0,NOT(ISNUMBER(01_INPUTS!O83))))),(NOT(AND(ISNUMBER(01_INPUTS!O151),01_INPUTS!O151&gt;0,ISNUMBER(01_INPUTS!O83),01_INPUTS!O83&lt;=0))),(NOT(AND(ISNUMBER(01_INPUTS!O152),01_INPUTS!O152&gt;0,NOT(ISNUMBER(01_INPUTS!O84))))),(NOT(AND(ISNUMBER(01_INPUTS!O152),01_INPUTS!O152&gt;0,ISNUMBER(01_INPUTS!O84),01_INPUTS!O84&lt;=0))),(NOT(AND(ISNUMBER(01_INPUTS!O153),01_INPUTS!O153&gt;0,NOT(ISNUMBER(01_INPUTS!O85))))),(NOT(AND(ISNUMBER(01_INPUTS!O153),01_INPUTS!O153&gt;0,ISNUMBER(01_INPUTS!O85),01_INPUTS!O85&lt;=0)))),"OK","ERROR — FALTA COSTO DE TERCERIZACIÓN — PROYECCIÓN NO VÁLIDA"),"NO ACTIVA")</f>
        <v>NO ACTIVA</v>
      </c>
      <c r="P22" s="59" t="str">
        <f aca="false">IF(01_INPUTS!P17,IF(AND((NOT(AND(ISNUMBER(01_INPUTS!P146),01_INPUTS!P146&gt;0,NOT(ISNUMBER(01_INPUTS!P78))))),(NOT(AND(ISNUMBER(01_INPUTS!P146),01_INPUTS!P146&gt;0,ISNUMBER(01_INPUTS!P78),01_INPUTS!P78&lt;=0))),(NOT(AND(ISNUMBER(01_INPUTS!P147),01_INPUTS!P147&gt;0,NOT(ISNUMBER(01_INPUTS!P79))))),(NOT(AND(ISNUMBER(01_INPUTS!P147),01_INPUTS!P147&gt;0,ISNUMBER(01_INPUTS!P79),01_INPUTS!P79&lt;=0))),(NOT(AND(ISNUMBER(01_INPUTS!P148),01_INPUTS!P148&gt;0,NOT(ISNUMBER(01_INPUTS!P80))))),(NOT(AND(ISNUMBER(01_INPUTS!P148),01_INPUTS!P148&gt;0,ISNUMBER(01_INPUTS!P80),01_INPUTS!P80&lt;=0))),(NOT(AND(ISNUMBER(01_INPUTS!P149),01_INPUTS!P149&gt;0,NOT(ISNUMBER(01_INPUTS!P81))))),(NOT(AND(ISNUMBER(01_INPUTS!P149),01_INPUTS!P149&gt;0,ISNUMBER(01_INPUTS!P81),01_INPUTS!P81&lt;=0))),(NOT(AND(ISNUMBER(01_INPUTS!P150),01_INPUTS!P150&gt;0,NOT(ISNUMBER(01_INPUTS!P82))))),(NOT(AND(ISNUMBER(01_INPUTS!P150),01_INPUTS!P150&gt;0,ISNUMBER(01_INPUTS!P82),01_INPUTS!P82&lt;=0))),(NOT(AND(ISNUMBER(01_INPUTS!P151),01_INPUTS!P151&gt;0,NOT(ISNUMBER(01_INPUTS!P83))))),(NOT(AND(ISNUMBER(01_INPUTS!P151),01_INPUTS!P151&gt;0,ISNUMBER(01_INPUTS!P83),01_INPUTS!P83&lt;=0))),(NOT(AND(ISNUMBER(01_INPUTS!P152),01_INPUTS!P152&gt;0,NOT(ISNUMBER(01_INPUTS!P84))))),(NOT(AND(ISNUMBER(01_INPUTS!P152),01_INPUTS!P152&gt;0,ISNUMBER(01_INPUTS!P84),01_INPUTS!P84&lt;=0))),(NOT(AND(ISNUMBER(01_INPUTS!P153),01_INPUTS!P153&gt;0,NOT(ISNUMBER(01_INPUTS!P85))))),(NOT(AND(ISNUMBER(01_INPUTS!P153),01_INPUTS!P153&gt;0,ISNUMBER(01_INPUTS!P85),01_INPUTS!P85&lt;=0)))),"OK","ERROR — FALTA COSTO DE TERCERIZACIÓN — PROYECCIÓN NO VÁLIDA"),"NO ACTIVA")</f>
        <v>NO ACTIVA</v>
      </c>
      <c r="Q22" s="59" t="str">
        <f aca="false">IF(01_INPUTS!Q17,IF(AND((NOT(AND(ISNUMBER(01_INPUTS!Q146),01_INPUTS!Q146&gt;0,NOT(ISNUMBER(01_INPUTS!Q78))))),(NOT(AND(ISNUMBER(01_INPUTS!Q146),01_INPUTS!Q146&gt;0,ISNUMBER(01_INPUTS!Q78),01_INPUTS!Q78&lt;=0))),(NOT(AND(ISNUMBER(01_INPUTS!Q147),01_INPUTS!Q147&gt;0,NOT(ISNUMBER(01_INPUTS!Q79))))),(NOT(AND(ISNUMBER(01_INPUTS!Q147),01_INPUTS!Q147&gt;0,ISNUMBER(01_INPUTS!Q79),01_INPUTS!Q79&lt;=0))),(NOT(AND(ISNUMBER(01_INPUTS!Q148),01_INPUTS!Q148&gt;0,NOT(ISNUMBER(01_INPUTS!Q80))))),(NOT(AND(ISNUMBER(01_INPUTS!Q148),01_INPUTS!Q148&gt;0,ISNUMBER(01_INPUTS!Q80),01_INPUTS!Q80&lt;=0))),(NOT(AND(ISNUMBER(01_INPUTS!Q149),01_INPUTS!Q149&gt;0,NOT(ISNUMBER(01_INPUTS!Q81))))),(NOT(AND(ISNUMBER(01_INPUTS!Q149),01_INPUTS!Q149&gt;0,ISNUMBER(01_INPUTS!Q81),01_INPUTS!Q81&lt;=0))),(NOT(AND(ISNUMBER(01_INPUTS!Q150),01_INPUTS!Q150&gt;0,NOT(ISNUMBER(01_INPUTS!Q82))))),(NOT(AND(ISNUMBER(01_INPUTS!Q150),01_INPUTS!Q150&gt;0,ISNUMBER(01_INPUTS!Q82),01_INPUTS!Q82&lt;=0))),(NOT(AND(ISNUMBER(01_INPUTS!Q151),01_INPUTS!Q151&gt;0,NOT(ISNUMBER(01_INPUTS!Q83))))),(NOT(AND(ISNUMBER(01_INPUTS!Q151),01_INPUTS!Q151&gt;0,ISNUMBER(01_INPUTS!Q83),01_INPUTS!Q83&lt;=0))),(NOT(AND(ISNUMBER(01_INPUTS!Q152),01_INPUTS!Q152&gt;0,NOT(ISNUMBER(01_INPUTS!Q84))))),(NOT(AND(ISNUMBER(01_INPUTS!Q152),01_INPUTS!Q152&gt;0,ISNUMBER(01_INPUTS!Q84),01_INPUTS!Q84&lt;=0))),(NOT(AND(ISNUMBER(01_INPUTS!Q153),01_INPUTS!Q153&gt;0,NOT(ISNUMBER(01_INPUTS!Q85))))),(NOT(AND(ISNUMBER(01_INPUTS!Q153),01_INPUTS!Q153&gt;0,ISNUMBER(01_INPUTS!Q85),01_INPUTS!Q85&lt;=0)))),"OK","ERROR — FALTA COSTO DE TERCERIZACIÓN — PROYECCIÓN NO VÁLIDA"),"NO ACTIVA")</f>
        <v>NO ACTIVA</v>
      </c>
      <c r="R22" s="59" t="str">
        <f aca="false">IF(01_INPUTS!R17,IF(AND((NOT(AND(ISNUMBER(01_INPUTS!R146),01_INPUTS!R146&gt;0,NOT(ISNUMBER(01_INPUTS!R78))))),(NOT(AND(ISNUMBER(01_INPUTS!R146),01_INPUTS!R146&gt;0,ISNUMBER(01_INPUTS!R78),01_INPUTS!R78&lt;=0))),(NOT(AND(ISNUMBER(01_INPUTS!R147),01_INPUTS!R147&gt;0,NOT(ISNUMBER(01_INPUTS!R79))))),(NOT(AND(ISNUMBER(01_INPUTS!R147),01_INPUTS!R147&gt;0,ISNUMBER(01_INPUTS!R79),01_INPUTS!R79&lt;=0))),(NOT(AND(ISNUMBER(01_INPUTS!R148),01_INPUTS!R148&gt;0,NOT(ISNUMBER(01_INPUTS!R80))))),(NOT(AND(ISNUMBER(01_INPUTS!R148),01_INPUTS!R148&gt;0,ISNUMBER(01_INPUTS!R80),01_INPUTS!R80&lt;=0))),(NOT(AND(ISNUMBER(01_INPUTS!R149),01_INPUTS!R149&gt;0,NOT(ISNUMBER(01_INPUTS!R81))))),(NOT(AND(ISNUMBER(01_INPUTS!R149),01_INPUTS!R149&gt;0,ISNUMBER(01_INPUTS!R81),01_INPUTS!R81&lt;=0))),(NOT(AND(ISNUMBER(01_INPUTS!R150),01_INPUTS!R150&gt;0,NOT(ISNUMBER(01_INPUTS!R82))))),(NOT(AND(ISNUMBER(01_INPUTS!R150),01_INPUTS!R150&gt;0,ISNUMBER(01_INPUTS!R82),01_INPUTS!R82&lt;=0))),(NOT(AND(ISNUMBER(01_INPUTS!R151),01_INPUTS!R151&gt;0,NOT(ISNUMBER(01_INPUTS!R83))))),(NOT(AND(ISNUMBER(01_INPUTS!R151),01_INPUTS!R151&gt;0,ISNUMBER(01_INPUTS!R83),01_INPUTS!R83&lt;=0))),(NOT(AND(ISNUMBER(01_INPUTS!R152),01_INPUTS!R152&gt;0,NOT(ISNUMBER(01_INPUTS!R84))))),(NOT(AND(ISNUMBER(01_INPUTS!R152),01_INPUTS!R152&gt;0,ISNUMBER(01_INPUTS!R84),01_INPUTS!R84&lt;=0))),(NOT(AND(ISNUMBER(01_INPUTS!R153),01_INPUTS!R153&gt;0,NOT(ISNUMBER(01_INPUTS!R85))))),(NOT(AND(ISNUMBER(01_INPUTS!R153),01_INPUTS!R153&gt;0,ISNUMBER(01_INPUTS!R85),01_INPUTS!R85&lt;=0)))),"OK","ERROR — FALTA COSTO DE TERCERIZACIÓN — PROYECCIÓN NO VÁLIDA"),"NO ACTIVA")</f>
        <v>NO ACTIVA</v>
      </c>
      <c r="S22" s="59" t="str">
        <f aca="false">IF(01_INPUTS!S17,IF(AND((NOT(AND(ISNUMBER(01_INPUTS!S146),01_INPUTS!S146&gt;0,NOT(ISNUMBER(01_INPUTS!S78))))),(NOT(AND(ISNUMBER(01_INPUTS!S146),01_INPUTS!S146&gt;0,ISNUMBER(01_INPUTS!S78),01_INPUTS!S78&lt;=0))),(NOT(AND(ISNUMBER(01_INPUTS!S147),01_INPUTS!S147&gt;0,NOT(ISNUMBER(01_INPUTS!S79))))),(NOT(AND(ISNUMBER(01_INPUTS!S147),01_INPUTS!S147&gt;0,ISNUMBER(01_INPUTS!S79),01_INPUTS!S79&lt;=0))),(NOT(AND(ISNUMBER(01_INPUTS!S148),01_INPUTS!S148&gt;0,NOT(ISNUMBER(01_INPUTS!S80))))),(NOT(AND(ISNUMBER(01_INPUTS!S148),01_INPUTS!S148&gt;0,ISNUMBER(01_INPUTS!S80),01_INPUTS!S80&lt;=0))),(NOT(AND(ISNUMBER(01_INPUTS!S149),01_INPUTS!S149&gt;0,NOT(ISNUMBER(01_INPUTS!S81))))),(NOT(AND(ISNUMBER(01_INPUTS!S149),01_INPUTS!S149&gt;0,ISNUMBER(01_INPUTS!S81),01_INPUTS!S81&lt;=0))),(NOT(AND(ISNUMBER(01_INPUTS!S150),01_INPUTS!S150&gt;0,NOT(ISNUMBER(01_INPUTS!S82))))),(NOT(AND(ISNUMBER(01_INPUTS!S150),01_INPUTS!S150&gt;0,ISNUMBER(01_INPUTS!S82),01_INPUTS!S82&lt;=0))),(NOT(AND(ISNUMBER(01_INPUTS!S151),01_INPUTS!S151&gt;0,NOT(ISNUMBER(01_INPUTS!S83))))),(NOT(AND(ISNUMBER(01_INPUTS!S151),01_INPUTS!S151&gt;0,ISNUMBER(01_INPUTS!S83),01_INPUTS!S83&lt;=0))),(NOT(AND(ISNUMBER(01_INPUTS!S152),01_INPUTS!S152&gt;0,NOT(ISNUMBER(01_INPUTS!S84))))),(NOT(AND(ISNUMBER(01_INPUTS!S152),01_INPUTS!S152&gt;0,ISNUMBER(01_INPUTS!S84),01_INPUTS!S84&lt;=0))),(NOT(AND(ISNUMBER(01_INPUTS!S153),01_INPUTS!S153&gt;0,NOT(ISNUMBER(01_INPUTS!S85))))),(NOT(AND(ISNUMBER(01_INPUTS!S153),01_INPUTS!S153&gt;0,ISNUMBER(01_INPUTS!S85),01_INPUTS!S85&lt;=0)))),"OK","ERROR — FALTA COSTO DE TERCERIZACIÓN — PROYECCIÓN NO VÁLIDA"),"NO ACTIVA")</f>
        <v>NO ACTIVA</v>
      </c>
    </row>
    <row r="23" customFormat="false" ht="22.35" hidden="false" customHeight="false" outlineLevel="0" collapsed="false">
      <c r="A23" s="9" t="s">
        <v>362</v>
      </c>
      <c r="B23" s="7" t="s">
        <v>344</v>
      </c>
      <c r="C23" s="58"/>
      <c r="G23" s="21" t="s">
        <v>154</v>
      </c>
      <c r="H23" s="21" t="s">
        <v>154</v>
      </c>
      <c r="I23" s="12" t="str">
        <f aca="false">IF(01_INPUTS!I17,IF(AND(_ENGINE_FINANCIERO!I181&gt;=0,_ENGINE_FINANCIERO!I182&gt;=0),"OK","ERROR"),"NO ACTIVA")</f>
        <v>OK</v>
      </c>
      <c r="J23" s="12" t="str">
        <f aca="false">IF(01_INPUTS!J17,IF(AND(_ENGINE_FINANCIERO!J181&gt;=0,_ENGINE_FINANCIERO!J182&gt;=0),"OK","ERROR"),"NO ACTIVA")</f>
        <v>NO ACTIVA</v>
      </c>
      <c r="K23" s="12" t="str">
        <f aca="false">IF(01_INPUTS!K17,IF(AND(_ENGINE_FINANCIERO!K181&gt;=0,_ENGINE_FINANCIERO!K182&gt;=0),"OK","ERROR"),"NO ACTIVA")</f>
        <v>NO ACTIVA</v>
      </c>
      <c r="L23" s="12" t="str">
        <f aca="false">IF(01_INPUTS!L17,IF(AND(_ENGINE_FINANCIERO!L181&gt;=0,_ENGINE_FINANCIERO!L182&gt;=0),"OK","ERROR"),"NO ACTIVA")</f>
        <v>NO ACTIVA</v>
      </c>
      <c r="M23" s="12" t="str">
        <f aca="false">IF(01_INPUTS!M17,IF(AND(_ENGINE_FINANCIERO!M181&gt;=0,_ENGINE_FINANCIERO!M182&gt;=0),"OK","ERROR"),"NO ACTIVA")</f>
        <v>NO ACTIVA</v>
      </c>
      <c r="N23" s="12" t="str">
        <f aca="false">IF(01_INPUTS!N17,IF(AND(_ENGINE_FINANCIERO!N181&gt;=0,_ENGINE_FINANCIERO!N182&gt;=0),"OK","ERROR"),"NO ACTIVA")</f>
        <v>NO ACTIVA</v>
      </c>
      <c r="O23" s="12" t="str">
        <f aca="false">IF(01_INPUTS!O17,IF(AND(_ENGINE_FINANCIERO!O181&gt;=0,_ENGINE_FINANCIERO!O182&gt;=0),"OK","ERROR"),"NO ACTIVA")</f>
        <v>NO ACTIVA</v>
      </c>
      <c r="P23" s="12" t="str">
        <f aca="false">IF(01_INPUTS!P17,IF(AND(_ENGINE_FINANCIERO!P181&gt;=0,_ENGINE_FINANCIERO!P182&gt;=0),"OK","ERROR"),"NO ACTIVA")</f>
        <v>NO ACTIVA</v>
      </c>
      <c r="Q23" s="12" t="str">
        <f aca="false">IF(01_INPUTS!Q17,IF(AND(_ENGINE_FINANCIERO!Q181&gt;=0,_ENGINE_FINANCIERO!Q182&gt;=0),"OK","ERROR"),"NO ACTIVA")</f>
        <v>NO ACTIVA</v>
      </c>
      <c r="R23" s="12" t="str">
        <f aca="false">IF(01_INPUTS!R17,IF(AND(_ENGINE_FINANCIERO!R181&gt;=0,_ENGINE_FINANCIERO!R182&gt;=0),"OK","ERROR"),"NO ACTIVA")</f>
        <v>NO ACTIVA</v>
      </c>
      <c r="S23" s="12" t="str">
        <f aca="false">IF(01_INPUTS!S17,IF(AND(_ENGINE_FINANCIERO!S181&gt;=0,_ENGINE_FINANCIERO!S182&gt;=0),"OK","ERROR"),"NO ACTIVA")</f>
        <v>NO ACTIVA</v>
      </c>
    </row>
    <row r="24" customFormat="false" ht="15" hidden="false" customHeight="false" outlineLevel="0" collapsed="false">
      <c r="A24" s="9" t="s">
        <v>363</v>
      </c>
      <c r="B24" s="7" t="s">
        <v>344</v>
      </c>
      <c r="C24" s="58"/>
      <c r="G24" s="21" t="s">
        <v>154</v>
      </c>
      <c r="H24" s="21" t="s">
        <v>154</v>
      </c>
      <c r="I24" s="12" t="str">
        <f aca="false">IF(01_INPUTS!I17,IF((IF(ISNUMBER(01_INPUTS!I96),0,1)+IF(ISNUMBER(01_INPUTS!I97),0,1)+IF(ISNUMBER(01_INPUTS!I100),0,1)+IF(ISNUMBER(01_INPUTS!I101),0,1)+IF(ISNUMBER(01_INPUTS!I104),0,1)+IF(ISNUMBER(01_INPUTS!I105),0,1)+IF(ISNUMBER(01_INPUTS!I110),0,1)+IF(ISNUMBER(01_INPUTS!I111),0,1)+IF(ISNUMBER(01_INPUTS!I114),0,1)+IF(ISNUMBER(01_INPUTS!I115),0,1)+IF(ISNUMBER(01_INPUTS!I118),0,1)+IF(ISNUMBER(01_INPUTS!I119),0,1)+IF(ISNUMBER(01_INPUTS!I185),0,1)+IF(ISNUMBER(01_INPUTS!I189),0,1)+IF(ISNUMBER(01_INPUTS!I201),0,1)+IF(ISNUMBER(01_INPUTS!I205),0,1)+IF(ISNUMBER(01_INPUTS!I217),0,1)+IF(ISNUMBER(01_INPUTS!I221),0,1))=0,"OK","REVISAR — hay celdas de decisión sin cargar"),"NO ACTIVA")</f>
        <v>OK</v>
      </c>
      <c r="J24" s="12" t="str">
        <f aca="false">IF(01_INPUTS!J17,IF((IF(ISNUMBER(01_INPUTS!J96),0,1)+IF(ISNUMBER(01_INPUTS!J97),0,1)+IF(ISNUMBER(01_INPUTS!J100),0,1)+IF(ISNUMBER(01_INPUTS!J101),0,1)+IF(ISNUMBER(01_INPUTS!J104),0,1)+IF(ISNUMBER(01_INPUTS!J105),0,1)+IF(ISNUMBER(01_INPUTS!J110),0,1)+IF(ISNUMBER(01_INPUTS!J111),0,1)+IF(ISNUMBER(01_INPUTS!J114),0,1)+IF(ISNUMBER(01_INPUTS!J115),0,1)+IF(ISNUMBER(01_INPUTS!J118),0,1)+IF(ISNUMBER(01_INPUTS!J119),0,1)+IF(ISNUMBER(01_INPUTS!J185),0,1)+IF(ISNUMBER(01_INPUTS!J189),0,1)+IF(ISNUMBER(01_INPUTS!J201),0,1)+IF(ISNUMBER(01_INPUTS!J205),0,1)+IF(ISNUMBER(01_INPUTS!J217),0,1)+IF(ISNUMBER(01_INPUTS!J221),0,1))=0,"OK","REVISAR — hay celdas de decisión sin cargar"),"NO ACTIVA")</f>
        <v>NO ACTIVA</v>
      </c>
      <c r="K24" s="12" t="str">
        <f aca="false">IF(01_INPUTS!K17,IF((IF(ISNUMBER(01_INPUTS!K96),0,1)+IF(ISNUMBER(01_INPUTS!K97),0,1)+IF(ISNUMBER(01_INPUTS!K100),0,1)+IF(ISNUMBER(01_INPUTS!K101),0,1)+IF(ISNUMBER(01_INPUTS!K104),0,1)+IF(ISNUMBER(01_INPUTS!K105),0,1)+IF(ISNUMBER(01_INPUTS!K110),0,1)+IF(ISNUMBER(01_INPUTS!K111),0,1)+IF(ISNUMBER(01_INPUTS!K114),0,1)+IF(ISNUMBER(01_INPUTS!K115),0,1)+IF(ISNUMBER(01_INPUTS!K118),0,1)+IF(ISNUMBER(01_INPUTS!K119),0,1)+IF(ISNUMBER(01_INPUTS!K185),0,1)+IF(ISNUMBER(01_INPUTS!K189),0,1)+IF(ISNUMBER(01_INPUTS!K201),0,1)+IF(ISNUMBER(01_INPUTS!K205),0,1)+IF(ISNUMBER(01_INPUTS!K217),0,1)+IF(ISNUMBER(01_INPUTS!K221),0,1))=0,"OK","REVISAR — hay celdas de decisión sin cargar"),"NO ACTIVA")</f>
        <v>NO ACTIVA</v>
      </c>
      <c r="L24" s="12" t="str">
        <f aca="false">IF(01_INPUTS!L17,IF((IF(ISNUMBER(01_INPUTS!L96),0,1)+IF(ISNUMBER(01_INPUTS!L97),0,1)+IF(ISNUMBER(01_INPUTS!L100),0,1)+IF(ISNUMBER(01_INPUTS!L101),0,1)+IF(ISNUMBER(01_INPUTS!L104),0,1)+IF(ISNUMBER(01_INPUTS!L105),0,1)+IF(ISNUMBER(01_INPUTS!L110),0,1)+IF(ISNUMBER(01_INPUTS!L111),0,1)+IF(ISNUMBER(01_INPUTS!L114),0,1)+IF(ISNUMBER(01_INPUTS!L115),0,1)+IF(ISNUMBER(01_INPUTS!L118),0,1)+IF(ISNUMBER(01_INPUTS!L119),0,1)+IF(ISNUMBER(01_INPUTS!L185),0,1)+IF(ISNUMBER(01_INPUTS!L189),0,1)+IF(ISNUMBER(01_INPUTS!L201),0,1)+IF(ISNUMBER(01_INPUTS!L205),0,1)+IF(ISNUMBER(01_INPUTS!L217),0,1)+IF(ISNUMBER(01_INPUTS!L221),0,1))=0,"OK","REVISAR — hay celdas de decisión sin cargar"),"NO ACTIVA")</f>
        <v>NO ACTIVA</v>
      </c>
      <c r="M24" s="12" t="str">
        <f aca="false">IF(01_INPUTS!M17,IF((IF(ISNUMBER(01_INPUTS!M96),0,1)+IF(ISNUMBER(01_INPUTS!M97),0,1)+IF(ISNUMBER(01_INPUTS!M100),0,1)+IF(ISNUMBER(01_INPUTS!M101),0,1)+IF(ISNUMBER(01_INPUTS!M104),0,1)+IF(ISNUMBER(01_INPUTS!M105),0,1)+IF(ISNUMBER(01_INPUTS!M110),0,1)+IF(ISNUMBER(01_INPUTS!M111),0,1)+IF(ISNUMBER(01_INPUTS!M114),0,1)+IF(ISNUMBER(01_INPUTS!M115),0,1)+IF(ISNUMBER(01_INPUTS!M118),0,1)+IF(ISNUMBER(01_INPUTS!M119),0,1)+IF(ISNUMBER(01_INPUTS!M185),0,1)+IF(ISNUMBER(01_INPUTS!M189),0,1)+IF(ISNUMBER(01_INPUTS!M201),0,1)+IF(ISNUMBER(01_INPUTS!M205),0,1)+IF(ISNUMBER(01_INPUTS!M217),0,1)+IF(ISNUMBER(01_INPUTS!M221),0,1))=0,"OK","REVISAR — hay celdas de decisión sin cargar"),"NO ACTIVA")</f>
        <v>NO ACTIVA</v>
      </c>
      <c r="N24" s="12" t="str">
        <f aca="false">IF(01_INPUTS!N17,IF((IF(ISNUMBER(01_INPUTS!N96),0,1)+IF(ISNUMBER(01_INPUTS!N97),0,1)+IF(ISNUMBER(01_INPUTS!N100),0,1)+IF(ISNUMBER(01_INPUTS!N101),0,1)+IF(ISNUMBER(01_INPUTS!N104),0,1)+IF(ISNUMBER(01_INPUTS!N105),0,1)+IF(ISNUMBER(01_INPUTS!N110),0,1)+IF(ISNUMBER(01_INPUTS!N111),0,1)+IF(ISNUMBER(01_INPUTS!N114),0,1)+IF(ISNUMBER(01_INPUTS!N115),0,1)+IF(ISNUMBER(01_INPUTS!N118),0,1)+IF(ISNUMBER(01_INPUTS!N119),0,1)+IF(ISNUMBER(01_INPUTS!N185),0,1)+IF(ISNUMBER(01_INPUTS!N189),0,1)+IF(ISNUMBER(01_INPUTS!N201),0,1)+IF(ISNUMBER(01_INPUTS!N205),0,1)+IF(ISNUMBER(01_INPUTS!N217),0,1)+IF(ISNUMBER(01_INPUTS!N221),0,1))=0,"OK","REVISAR — hay celdas de decisión sin cargar"),"NO ACTIVA")</f>
        <v>NO ACTIVA</v>
      </c>
      <c r="O24" s="12" t="str">
        <f aca="false">IF(01_INPUTS!O17,IF((IF(ISNUMBER(01_INPUTS!O96),0,1)+IF(ISNUMBER(01_INPUTS!O97),0,1)+IF(ISNUMBER(01_INPUTS!O100),0,1)+IF(ISNUMBER(01_INPUTS!O101),0,1)+IF(ISNUMBER(01_INPUTS!O104),0,1)+IF(ISNUMBER(01_INPUTS!O105),0,1)+IF(ISNUMBER(01_INPUTS!O110),0,1)+IF(ISNUMBER(01_INPUTS!O111),0,1)+IF(ISNUMBER(01_INPUTS!O114),0,1)+IF(ISNUMBER(01_INPUTS!O115),0,1)+IF(ISNUMBER(01_INPUTS!O118),0,1)+IF(ISNUMBER(01_INPUTS!O119),0,1)+IF(ISNUMBER(01_INPUTS!O185),0,1)+IF(ISNUMBER(01_INPUTS!O189),0,1)+IF(ISNUMBER(01_INPUTS!O201),0,1)+IF(ISNUMBER(01_INPUTS!O205),0,1)+IF(ISNUMBER(01_INPUTS!O217),0,1)+IF(ISNUMBER(01_INPUTS!O221),0,1))=0,"OK","REVISAR — hay celdas de decisión sin cargar"),"NO ACTIVA")</f>
        <v>NO ACTIVA</v>
      </c>
      <c r="P24" s="12" t="str">
        <f aca="false">IF(01_INPUTS!P17,IF((IF(ISNUMBER(01_INPUTS!P96),0,1)+IF(ISNUMBER(01_INPUTS!P97),0,1)+IF(ISNUMBER(01_INPUTS!P100),0,1)+IF(ISNUMBER(01_INPUTS!P101),0,1)+IF(ISNUMBER(01_INPUTS!P104),0,1)+IF(ISNUMBER(01_INPUTS!P105),0,1)+IF(ISNUMBER(01_INPUTS!P110),0,1)+IF(ISNUMBER(01_INPUTS!P111),0,1)+IF(ISNUMBER(01_INPUTS!P114),0,1)+IF(ISNUMBER(01_INPUTS!P115),0,1)+IF(ISNUMBER(01_INPUTS!P118),0,1)+IF(ISNUMBER(01_INPUTS!P119),0,1)+IF(ISNUMBER(01_INPUTS!P185),0,1)+IF(ISNUMBER(01_INPUTS!P189),0,1)+IF(ISNUMBER(01_INPUTS!P201),0,1)+IF(ISNUMBER(01_INPUTS!P205),0,1)+IF(ISNUMBER(01_INPUTS!P217),0,1)+IF(ISNUMBER(01_INPUTS!P221),0,1))=0,"OK","REVISAR — hay celdas de decisión sin cargar"),"NO ACTIVA")</f>
        <v>NO ACTIVA</v>
      </c>
      <c r="Q24" s="12" t="str">
        <f aca="false">IF(01_INPUTS!Q17,IF((IF(ISNUMBER(01_INPUTS!Q96),0,1)+IF(ISNUMBER(01_INPUTS!Q97),0,1)+IF(ISNUMBER(01_INPUTS!Q100),0,1)+IF(ISNUMBER(01_INPUTS!Q101),0,1)+IF(ISNUMBER(01_INPUTS!Q104),0,1)+IF(ISNUMBER(01_INPUTS!Q105),0,1)+IF(ISNUMBER(01_INPUTS!Q110),0,1)+IF(ISNUMBER(01_INPUTS!Q111),0,1)+IF(ISNUMBER(01_INPUTS!Q114),0,1)+IF(ISNUMBER(01_INPUTS!Q115),0,1)+IF(ISNUMBER(01_INPUTS!Q118),0,1)+IF(ISNUMBER(01_INPUTS!Q119),0,1)+IF(ISNUMBER(01_INPUTS!Q185),0,1)+IF(ISNUMBER(01_INPUTS!Q189),0,1)+IF(ISNUMBER(01_INPUTS!Q201),0,1)+IF(ISNUMBER(01_INPUTS!Q205),0,1)+IF(ISNUMBER(01_INPUTS!Q217),0,1)+IF(ISNUMBER(01_INPUTS!Q221),0,1))=0,"OK","REVISAR — hay celdas de decisión sin cargar"),"NO ACTIVA")</f>
        <v>NO ACTIVA</v>
      </c>
      <c r="R24" s="12" t="str">
        <f aca="false">IF(01_INPUTS!R17,IF((IF(ISNUMBER(01_INPUTS!R96),0,1)+IF(ISNUMBER(01_INPUTS!R97),0,1)+IF(ISNUMBER(01_INPUTS!R100),0,1)+IF(ISNUMBER(01_INPUTS!R101),0,1)+IF(ISNUMBER(01_INPUTS!R104),0,1)+IF(ISNUMBER(01_INPUTS!R105),0,1)+IF(ISNUMBER(01_INPUTS!R110),0,1)+IF(ISNUMBER(01_INPUTS!R111),0,1)+IF(ISNUMBER(01_INPUTS!R114),0,1)+IF(ISNUMBER(01_INPUTS!R115),0,1)+IF(ISNUMBER(01_INPUTS!R118),0,1)+IF(ISNUMBER(01_INPUTS!R119),0,1)+IF(ISNUMBER(01_INPUTS!R185),0,1)+IF(ISNUMBER(01_INPUTS!R189),0,1)+IF(ISNUMBER(01_INPUTS!R201),0,1)+IF(ISNUMBER(01_INPUTS!R205),0,1)+IF(ISNUMBER(01_INPUTS!R217),0,1)+IF(ISNUMBER(01_INPUTS!R221),0,1))=0,"OK","REVISAR — hay celdas de decisión sin cargar"),"NO ACTIVA")</f>
        <v>NO ACTIVA</v>
      </c>
      <c r="S24" s="12" t="str">
        <f aca="false">IF(01_INPUTS!S17,IF((IF(ISNUMBER(01_INPUTS!S96),0,1)+IF(ISNUMBER(01_INPUTS!S97),0,1)+IF(ISNUMBER(01_INPUTS!S100),0,1)+IF(ISNUMBER(01_INPUTS!S101),0,1)+IF(ISNUMBER(01_INPUTS!S104),0,1)+IF(ISNUMBER(01_INPUTS!S105),0,1)+IF(ISNUMBER(01_INPUTS!S110),0,1)+IF(ISNUMBER(01_INPUTS!S111),0,1)+IF(ISNUMBER(01_INPUTS!S114),0,1)+IF(ISNUMBER(01_INPUTS!S115),0,1)+IF(ISNUMBER(01_INPUTS!S118),0,1)+IF(ISNUMBER(01_INPUTS!S119),0,1)+IF(ISNUMBER(01_INPUTS!S185),0,1)+IF(ISNUMBER(01_INPUTS!S189),0,1)+IF(ISNUMBER(01_INPUTS!S201),0,1)+IF(ISNUMBER(01_INPUTS!S205),0,1)+IF(ISNUMBER(01_INPUTS!S217),0,1)+IF(ISNUMBER(01_INPUTS!S221),0,1))=0,"OK","REVISAR — hay celdas de decisión sin cargar"),"NO ACTIVA")</f>
        <v>NO ACTIVA</v>
      </c>
    </row>
    <row r="25" customFormat="false" ht="23.85" hidden="false" customHeight="false" outlineLevel="0" collapsed="false">
      <c r="A25" s="9" t="s">
        <v>364</v>
      </c>
      <c r="B25" s="7" t="s">
        <v>344</v>
      </c>
      <c r="C25" s="58" t="s">
        <v>365</v>
      </c>
      <c r="G25" s="60" t="s">
        <v>366</v>
      </c>
      <c r="H25" s="60" t="s">
        <v>366</v>
      </c>
      <c r="I25" s="60" t="s">
        <v>366</v>
      </c>
      <c r="J25" s="60" t="s">
        <v>366</v>
      </c>
      <c r="K25" s="60" t="s">
        <v>366</v>
      </c>
      <c r="L25" s="60" t="s">
        <v>366</v>
      </c>
      <c r="M25" s="60" t="s">
        <v>366</v>
      </c>
      <c r="N25" s="60" t="s">
        <v>366</v>
      </c>
      <c r="O25" s="60" t="s">
        <v>366</v>
      </c>
      <c r="P25" s="60" t="s">
        <v>366</v>
      </c>
      <c r="Q25" s="60" t="s">
        <v>366</v>
      </c>
      <c r="R25" s="60" t="s">
        <v>366</v>
      </c>
      <c r="S25" s="60" t="s">
        <v>366</v>
      </c>
    </row>
    <row r="26" customFormat="false" ht="23.85" hidden="false" customHeight="false" outlineLevel="0" collapsed="false">
      <c r="A26" s="9" t="s">
        <v>367</v>
      </c>
      <c r="B26" s="7" t="s">
        <v>344</v>
      </c>
      <c r="C26" s="58" t="s">
        <v>365</v>
      </c>
      <c r="G26" s="60" t="s">
        <v>366</v>
      </c>
      <c r="H26" s="60" t="s">
        <v>366</v>
      </c>
      <c r="I26" s="60" t="s">
        <v>366</v>
      </c>
      <c r="J26" s="60" t="s">
        <v>366</v>
      </c>
      <c r="K26" s="60" t="s">
        <v>366</v>
      </c>
      <c r="L26" s="60" t="s">
        <v>366</v>
      </c>
      <c r="M26" s="60" t="s">
        <v>366</v>
      </c>
      <c r="N26" s="60" t="s">
        <v>366</v>
      </c>
      <c r="O26" s="60" t="s">
        <v>366</v>
      </c>
      <c r="P26" s="60" t="s">
        <v>366</v>
      </c>
      <c r="Q26" s="60" t="s">
        <v>366</v>
      </c>
      <c r="R26" s="60" t="s">
        <v>366</v>
      </c>
      <c r="S26" s="60" t="s">
        <v>366</v>
      </c>
    </row>
    <row r="28" customFormat="false" ht="15" hidden="false" customHeight="false" outlineLevel="0" collapsed="false">
      <c r="A28" s="5" t="s">
        <v>368</v>
      </c>
      <c r="B28" s="5"/>
      <c r="C28" s="5"/>
      <c r="D28" s="5"/>
      <c r="E28" s="5"/>
      <c r="F28" s="5"/>
      <c r="G28" s="5"/>
      <c r="H28" s="5"/>
      <c r="I28" s="5"/>
      <c r="J28" s="5"/>
      <c r="K28" s="5"/>
      <c r="L28" s="5"/>
      <c r="M28" s="5"/>
      <c r="N28" s="5"/>
      <c r="O28" s="5"/>
      <c r="P28" s="5"/>
      <c r="Q28" s="5"/>
      <c r="R28" s="5"/>
      <c r="S28" s="5"/>
    </row>
    <row r="29" customFormat="false" ht="22.35" hidden="false" customHeight="false" outlineLevel="0" collapsed="false">
      <c r="A29" s="9" t="s">
        <v>369</v>
      </c>
      <c r="B29" s="7" t="s">
        <v>344</v>
      </c>
      <c r="C29" s="58"/>
      <c r="G29" s="21" t="s">
        <v>370</v>
      </c>
    </row>
    <row r="30" customFormat="false" ht="22.35" hidden="false" customHeight="false" outlineLevel="0" collapsed="false">
      <c r="A30" s="9" t="s">
        <v>371</v>
      </c>
      <c r="B30" s="7" t="s">
        <v>344</v>
      </c>
      <c r="C30" s="58"/>
      <c r="G30" s="21" t="s">
        <v>370</v>
      </c>
    </row>
    <row r="32" customFormat="false" ht="30" hidden="false" customHeight="true" outlineLevel="0" collapsed="false">
      <c r="A32" s="61" t="s">
        <v>372</v>
      </c>
      <c r="B32" s="61"/>
      <c r="C32" s="61"/>
      <c r="D32" s="61"/>
      <c r="E32" s="61"/>
      <c r="F32" s="61"/>
      <c r="G32" s="61"/>
      <c r="H32" s="61"/>
      <c r="I32" s="61"/>
      <c r="J32" s="61"/>
      <c r="K32" s="61"/>
      <c r="L32" s="61"/>
      <c r="M32" s="61"/>
      <c r="N32" s="61"/>
      <c r="O32" s="61"/>
      <c r="P32" s="61"/>
      <c r="Q32" s="61"/>
      <c r="R32" s="61"/>
      <c r="S32" s="61"/>
    </row>
  </sheetData>
  <mergeCells count="7">
    <mergeCell ref="A1:S1"/>
    <mergeCell ref="A2:S2"/>
    <mergeCell ref="A5:S5"/>
    <mergeCell ref="A14:S14"/>
    <mergeCell ref="A21:S21"/>
    <mergeCell ref="A28:S28"/>
    <mergeCell ref="A32:S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0"/>
    <col collapsed="false" customWidth="true" hidden="false" outlineLevel="0" max="5" min="4" style="0" width="12"/>
    <col collapsed="false" customWidth="true" hidden="false" outlineLevel="0" max="6" min="6" style="0" width="46"/>
    <col collapsed="false" customWidth="true" hidden="false" outlineLevel="0" max="7" min="7" style="0" width="20"/>
    <col collapsed="false" customWidth="true" hidden="false" outlineLevel="0" max="8" min="8" style="0" width="12"/>
  </cols>
  <sheetData>
    <row r="1" customFormat="false" ht="16.15" hidden="false" customHeight="false" outlineLevel="0" collapsed="false">
      <c r="A1" s="1" t="s">
        <v>373</v>
      </c>
      <c r="B1" s="1"/>
      <c r="C1" s="1"/>
      <c r="D1" s="1"/>
      <c r="E1" s="1"/>
      <c r="F1" s="1"/>
      <c r="G1" s="1"/>
      <c r="H1" s="1"/>
    </row>
    <row r="2" customFormat="false" ht="27.75" hidden="false" customHeight="true" outlineLevel="0" collapsed="false">
      <c r="A2" s="41" t="s">
        <v>374</v>
      </c>
      <c r="B2" s="41"/>
      <c r="C2" s="41"/>
      <c r="D2" s="41"/>
      <c r="E2" s="41"/>
      <c r="F2" s="41"/>
      <c r="G2" s="41"/>
      <c r="H2" s="41"/>
    </row>
    <row r="4" customFormat="false" ht="15" hidden="false" customHeight="false" outlineLevel="0" collapsed="false">
      <c r="A4" s="4" t="s">
        <v>375</v>
      </c>
      <c r="B4" s="4" t="s">
        <v>376</v>
      </c>
      <c r="C4" s="4" t="s">
        <v>58</v>
      </c>
      <c r="D4" s="4" t="s">
        <v>377</v>
      </c>
      <c r="E4" s="4" t="s">
        <v>378</v>
      </c>
      <c r="F4" s="4" t="s">
        <v>379</v>
      </c>
      <c r="G4" s="4" t="s">
        <v>380</v>
      </c>
      <c r="H4" s="4" t="s">
        <v>7</v>
      </c>
    </row>
    <row r="5" customFormat="false" ht="15" hidden="false" customHeight="false" outlineLevel="0" collapsed="false">
      <c r="A5" s="62" t="n">
        <v>0</v>
      </c>
      <c r="B5" s="62" t="s">
        <v>381</v>
      </c>
      <c r="C5" s="62" t="s">
        <v>60</v>
      </c>
      <c r="D5" s="62" t="s">
        <v>105</v>
      </c>
      <c r="E5" s="62" t="s">
        <v>382</v>
      </c>
      <c r="F5" s="63" t="s">
        <v>267</v>
      </c>
      <c r="G5" s="64" t="n">
        <v>39489000</v>
      </c>
      <c r="H5" s="62" t="s">
        <v>138</v>
      </c>
    </row>
    <row r="6" customFormat="false" ht="15" hidden="false" customHeight="false" outlineLevel="0" collapsed="false">
      <c r="A6" s="62" t="n">
        <v>0</v>
      </c>
      <c r="B6" s="62" t="s">
        <v>383</v>
      </c>
      <c r="C6" s="62" t="s">
        <v>60</v>
      </c>
      <c r="D6" s="62" t="s">
        <v>105</v>
      </c>
      <c r="E6" s="62" t="s">
        <v>382</v>
      </c>
      <c r="F6" s="63" t="s">
        <v>267</v>
      </c>
      <c r="G6" s="64" t="n">
        <v>39489000</v>
      </c>
      <c r="H6" s="62" t="s">
        <v>138</v>
      </c>
    </row>
    <row r="7" customFormat="false" ht="15" hidden="false" customHeight="false" outlineLevel="0" collapsed="false">
      <c r="A7" s="62" t="n">
        <v>0</v>
      </c>
      <c r="B7" s="62" t="s">
        <v>384</v>
      </c>
      <c r="C7" s="62" t="s">
        <v>60</v>
      </c>
      <c r="D7" s="62" t="s">
        <v>105</v>
      </c>
      <c r="E7" s="62" t="s">
        <v>382</v>
      </c>
      <c r="F7" s="63" t="s">
        <v>267</v>
      </c>
      <c r="G7" s="64" t="n">
        <v>39489000</v>
      </c>
      <c r="H7" s="62" t="s">
        <v>138</v>
      </c>
    </row>
    <row r="8" customFormat="false" ht="15" hidden="false" customHeight="false" outlineLevel="0" collapsed="false">
      <c r="A8" s="62" t="n">
        <v>0</v>
      </c>
      <c r="B8" s="62" t="s">
        <v>385</v>
      </c>
      <c r="C8" s="62" t="s">
        <v>60</v>
      </c>
      <c r="D8" s="62" t="s">
        <v>105</v>
      </c>
      <c r="E8" s="62" t="s">
        <v>382</v>
      </c>
      <c r="F8" s="63" t="s">
        <v>267</v>
      </c>
      <c r="G8" s="64" t="n">
        <v>39489000</v>
      </c>
      <c r="H8" s="62" t="s">
        <v>138</v>
      </c>
    </row>
    <row r="9" customFormat="false" ht="15" hidden="false" customHeight="false" outlineLevel="0" collapsed="false">
      <c r="A9" s="62" t="n">
        <v>0</v>
      </c>
      <c r="B9" s="62" t="s">
        <v>386</v>
      </c>
      <c r="C9" s="62" t="s">
        <v>60</v>
      </c>
      <c r="D9" s="62" t="s">
        <v>105</v>
      </c>
      <c r="E9" s="62" t="s">
        <v>382</v>
      </c>
      <c r="F9" s="63" t="s">
        <v>267</v>
      </c>
      <c r="G9" s="64" t="n">
        <v>39489000</v>
      </c>
      <c r="H9" s="62" t="s">
        <v>138</v>
      </c>
    </row>
    <row r="10" customFormat="false" ht="15" hidden="false" customHeight="false" outlineLevel="0" collapsed="false">
      <c r="A10" s="62" t="n">
        <v>0</v>
      </c>
      <c r="B10" s="62" t="s">
        <v>387</v>
      </c>
      <c r="C10" s="62" t="s">
        <v>60</v>
      </c>
      <c r="D10" s="62" t="s">
        <v>105</v>
      </c>
      <c r="E10" s="62" t="s">
        <v>382</v>
      </c>
      <c r="F10" s="63" t="s">
        <v>267</v>
      </c>
      <c r="G10" s="64" t="n">
        <v>39489000</v>
      </c>
      <c r="H10" s="62" t="s">
        <v>138</v>
      </c>
    </row>
    <row r="11" customFormat="false" ht="15" hidden="false" customHeight="false" outlineLevel="0" collapsed="false">
      <c r="A11" s="62" t="n">
        <v>0</v>
      </c>
      <c r="B11" s="62" t="s">
        <v>388</v>
      </c>
      <c r="C11" s="62" t="s">
        <v>60</v>
      </c>
      <c r="D11" s="62" t="s">
        <v>105</v>
      </c>
      <c r="E11" s="62" t="s">
        <v>382</v>
      </c>
      <c r="F11" s="63" t="s">
        <v>267</v>
      </c>
      <c r="G11" s="64" t="n">
        <v>39489000</v>
      </c>
      <c r="H11" s="62" t="s">
        <v>138</v>
      </c>
    </row>
    <row r="12" customFormat="false" ht="15" hidden="false" customHeight="false" outlineLevel="0" collapsed="false">
      <c r="A12" s="62" t="n">
        <v>0</v>
      </c>
      <c r="B12" s="62" t="s">
        <v>381</v>
      </c>
      <c r="C12" s="62" t="s">
        <v>60</v>
      </c>
      <c r="D12" s="62" t="s">
        <v>105</v>
      </c>
      <c r="E12" s="62" t="s">
        <v>382</v>
      </c>
      <c r="F12" s="63" t="s">
        <v>389</v>
      </c>
      <c r="G12" s="64" t="n">
        <v>20209611.3310496</v>
      </c>
      <c r="H12" s="62" t="s">
        <v>138</v>
      </c>
    </row>
    <row r="13" customFormat="false" ht="15" hidden="false" customHeight="false" outlineLevel="0" collapsed="false">
      <c r="A13" s="62" t="n">
        <v>0</v>
      </c>
      <c r="B13" s="62" t="s">
        <v>383</v>
      </c>
      <c r="C13" s="62" t="s">
        <v>60</v>
      </c>
      <c r="D13" s="62" t="s">
        <v>105</v>
      </c>
      <c r="E13" s="62" t="s">
        <v>382</v>
      </c>
      <c r="F13" s="63" t="s">
        <v>389</v>
      </c>
      <c r="G13" s="64" t="n">
        <v>20209611.3310496</v>
      </c>
      <c r="H13" s="62" t="s">
        <v>138</v>
      </c>
    </row>
    <row r="14" customFormat="false" ht="15" hidden="false" customHeight="false" outlineLevel="0" collapsed="false">
      <c r="A14" s="62" t="n">
        <v>0</v>
      </c>
      <c r="B14" s="62" t="s">
        <v>384</v>
      </c>
      <c r="C14" s="62" t="s">
        <v>60</v>
      </c>
      <c r="D14" s="62" t="s">
        <v>105</v>
      </c>
      <c r="E14" s="62" t="s">
        <v>382</v>
      </c>
      <c r="F14" s="63" t="s">
        <v>389</v>
      </c>
      <c r="G14" s="64" t="n">
        <v>20209611.3310496</v>
      </c>
      <c r="H14" s="62" t="s">
        <v>138</v>
      </c>
    </row>
    <row r="15" customFormat="false" ht="15" hidden="false" customHeight="false" outlineLevel="0" collapsed="false">
      <c r="A15" s="62" t="n">
        <v>0</v>
      </c>
      <c r="B15" s="62" t="s">
        <v>385</v>
      </c>
      <c r="C15" s="62" t="s">
        <v>60</v>
      </c>
      <c r="D15" s="62" t="s">
        <v>105</v>
      </c>
      <c r="E15" s="62" t="s">
        <v>382</v>
      </c>
      <c r="F15" s="63" t="s">
        <v>389</v>
      </c>
      <c r="G15" s="64" t="n">
        <v>20209611.3310496</v>
      </c>
      <c r="H15" s="62" t="s">
        <v>138</v>
      </c>
    </row>
    <row r="16" customFormat="false" ht="15" hidden="false" customHeight="false" outlineLevel="0" collapsed="false">
      <c r="A16" s="62" t="n">
        <v>0</v>
      </c>
      <c r="B16" s="62" t="s">
        <v>386</v>
      </c>
      <c r="C16" s="62" t="s">
        <v>60</v>
      </c>
      <c r="D16" s="62" t="s">
        <v>105</v>
      </c>
      <c r="E16" s="62" t="s">
        <v>382</v>
      </c>
      <c r="F16" s="63" t="s">
        <v>389</v>
      </c>
      <c r="G16" s="64" t="n">
        <v>20209611.3310496</v>
      </c>
      <c r="H16" s="62" t="s">
        <v>138</v>
      </c>
    </row>
    <row r="17" customFormat="false" ht="15" hidden="false" customHeight="false" outlineLevel="0" collapsed="false">
      <c r="A17" s="62" t="n">
        <v>0</v>
      </c>
      <c r="B17" s="62" t="s">
        <v>387</v>
      </c>
      <c r="C17" s="62" t="s">
        <v>60</v>
      </c>
      <c r="D17" s="62" t="s">
        <v>105</v>
      </c>
      <c r="E17" s="62" t="s">
        <v>382</v>
      </c>
      <c r="F17" s="63" t="s">
        <v>389</v>
      </c>
      <c r="G17" s="64" t="n">
        <v>20209611.3310496</v>
      </c>
      <c r="H17" s="62" t="s">
        <v>138</v>
      </c>
    </row>
    <row r="18" customFormat="false" ht="15" hidden="false" customHeight="false" outlineLevel="0" collapsed="false">
      <c r="A18" s="62" t="n">
        <v>0</v>
      </c>
      <c r="B18" s="62" t="s">
        <v>388</v>
      </c>
      <c r="C18" s="62" t="s">
        <v>60</v>
      </c>
      <c r="D18" s="62" t="s">
        <v>105</v>
      </c>
      <c r="E18" s="62" t="s">
        <v>382</v>
      </c>
      <c r="F18" s="63" t="s">
        <v>389</v>
      </c>
      <c r="G18" s="64" t="n">
        <v>20209611.3310496</v>
      </c>
      <c r="H18" s="62" t="s">
        <v>138</v>
      </c>
    </row>
    <row r="19" customFormat="false" ht="15" hidden="false" customHeight="false" outlineLevel="0" collapsed="false">
      <c r="A19" s="62" t="n">
        <v>0</v>
      </c>
      <c r="B19" s="62" t="s">
        <v>381</v>
      </c>
      <c r="C19" s="62" t="s">
        <v>60</v>
      </c>
      <c r="D19" s="62" t="s">
        <v>105</v>
      </c>
      <c r="E19" s="62" t="s">
        <v>382</v>
      </c>
      <c r="F19" s="63" t="s">
        <v>390</v>
      </c>
      <c r="G19" s="64" t="n">
        <v>4046500</v>
      </c>
      <c r="H19" s="62" t="s">
        <v>138</v>
      </c>
    </row>
    <row r="20" customFormat="false" ht="15" hidden="false" customHeight="false" outlineLevel="0" collapsed="false">
      <c r="A20" s="62" t="n">
        <v>0</v>
      </c>
      <c r="B20" s="62" t="s">
        <v>383</v>
      </c>
      <c r="C20" s="62" t="s">
        <v>60</v>
      </c>
      <c r="D20" s="62" t="s">
        <v>105</v>
      </c>
      <c r="E20" s="62" t="s">
        <v>382</v>
      </c>
      <c r="F20" s="63" t="s">
        <v>390</v>
      </c>
      <c r="G20" s="64" t="n">
        <v>4046500</v>
      </c>
      <c r="H20" s="62" t="s">
        <v>138</v>
      </c>
    </row>
    <row r="21" customFormat="false" ht="15" hidden="false" customHeight="false" outlineLevel="0" collapsed="false">
      <c r="A21" s="62" t="n">
        <v>0</v>
      </c>
      <c r="B21" s="62" t="s">
        <v>384</v>
      </c>
      <c r="C21" s="62" t="s">
        <v>60</v>
      </c>
      <c r="D21" s="62" t="s">
        <v>105</v>
      </c>
      <c r="E21" s="62" t="s">
        <v>382</v>
      </c>
      <c r="F21" s="63" t="s">
        <v>390</v>
      </c>
      <c r="G21" s="64" t="n">
        <v>4046500</v>
      </c>
      <c r="H21" s="62" t="s">
        <v>138</v>
      </c>
    </row>
    <row r="22" customFormat="false" ht="15" hidden="false" customHeight="false" outlineLevel="0" collapsed="false">
      <c r="A22" s="62" t="n">
        <v>0</v>
      </c>
      <c r="B22" s="62" t="s">
        <v>385</v>
      </c>
      <c r="C22" s="62" t="s">
        <v>60</v>
      </c>
      <c r="D22" s="62" t="s">
        <v>105</v>
      </c>
      <c r="E22" s="62" t="s">
        <v>382</v>
      </c>
      <c r="F22" s="63" t="s">
        <v>390</v>
      </c>
      <c r="G22" s="64" t="n">
        <v>4046500</v>
      </c>
      <c r="H22" s="62" t="s">
        <v>138</v>
      </c>
    </row>
    <row r="23" customFormat="false" ht="15" hidden="false" customHeight="false" outlineLevel="0" collapsed="false">
      <c r="A23" s="62" t="n">
        <v>0</v>
      </c>
      <c r="B23" s="62" t="s">
        <v>386</v>
      </c>
      <c r="C23" s="62" t="s">
        <v>60</v>
      </c>
      <c r="D23" s="62" t="s">
        <v>105</v>
      </c>
      <c r="E23" s="62" t="s">
        <v>382</v>
      </c>
      <c r="F23" s="63" t="s">
        <v>390</v>
      </c>
      <c r="G23" s="64" t="n">
        <v>4046500</v>
      </c>
      <c r="H23" s="62" t="s">
        <v>138</v>
      </c>
    </row>
    <row r="24" customFormat="false" ht="15" hidden="false" customHeight="false" outlineLevel="0" collapsed="false">
      <c r="A24" s="62" t="n">
        <v>0</v>
      </c>
      <c r="B24" s="62" t="s">
        <v>387</v>
      </c>
      <c r="C24" s="62" t="s">
        <v>60</v>
      </c>
      <c r="D24" s="62" t="s">
        <v>105</v>
      </c>
      <c r="E24" s="62" t="s">
        <v>382</v>
      </c>
      <c r="F24" s="63" t="s">
        <v>390</v>
      </c>
      <c r="G24" s="64" t="n">
        <v>4046500</v>
      </c>
      <c r="H24" s="62" t="s">
        <v>138</v>
      </c>
    </row>
    <row r="25" customFormat="false" ht="15" hidden="false" customHeight="false" outlineLevel="0" collapsed="false">
      <c r="A25" s="62" t="n">
        <v>0</v>
      </c>
      <c r="B25" s="62" t="s">
        <v>388</v>
      </c>
      <c r="C25" s="62" t="s">
        <v>60</v>
      </c>
      <c r="D25" s="62" t="s">
        <v>105</v>
      </c>
      <c r="E25" s="62" t="s">
        <v>382</v>
      </c>
      <c r="F25" s="63" t="s">
        <v>390</v>
      </c>
      <c r="G25" s="64" t="n">
        <v>4046500</v>
      </c>
      <c r="H25" s="62" t="s">
        <v>138</v>
      </c>
    </row>
    <row r="26" customFormat="false" ht="15" hidden="false" customHeight="false" outlineLevel="0" collapsed="false">
      <c r="A26" s="62" t="n">
        <v>0</v>
      </c>
      <c r="B26" s="62" t="s">
        <v>381</v>
      </c>
      <c r="C26" s="62" t="s">
        <v>60</v>
      </c>
      <c r="D26" s="62" t="s">
        <v>105</v>
      </c>
      <c r="E26" s="62" t="s">
        <v>382</v>
      </c>
      <c r="F26" s="63" t="s">
        <v>391</v>
      </c>
      <c r="G26" s="64" t="n">
        <v>6962198.71604938</v>
      </c>
      <c r="H26" s="62" t="s">
        <v>138</v>
      </c>
    </row>
    <row r="27" customFormat="false" ht="15" hidden="false" customHeight="false" outlineLevel="0" collapsed="false">
      <c r="A27" s="62" t="n">
        <v>0</v>
      </c>
      <c r="B27" s="62" t="s">
        <v>383</v>
      </c>
      <c r="C27" s="62" t="s">
        <v>60</v>
      </c>
      <c r="D27" s="62" t="s">
        <v>105</v>
      </c>
      <c r="E27" s="62" t="s">
        <v>382</v>
      </c>
      <c r="F27" s="63" t="s">
        <v>391</v>
      </c>
      <c r="G27" s="64" t="n">
        <v>6962198.71604938</v>
      </c>
      <c r="H27" s="62" t="s">
        <v>138</v>
      </c>
    </row>
    <row r="28" customFormat="false" ht="15" hidden="false" customHeight="false" outlineLevel="0" collapsed="false">
      <c r="A28" s="62" t="n">
        <v>0</v>
      </c>
      <c r="B28" s="62" t="s">
        <v>384</v>
      </c>
      <c r="C28" s="62" t="s">
        <v>60</v>
      </c>
      <c r="D28" s="62" t="s">
        <v>105</v>
      </c>
      <c r="E28" s="62" t="s">
        <v>382</v>
      </c>
      <c r="F28" s="63" t="s">
        <v>391</v>
      </c>
      <c r="G28" s="64" t="n">
        <v>6962198.71604938</v>
      </c>
      <c r="H28" s="62" t="s">
        <v>138</v>
      </c>
    </row>
    <row r="29" customFormat="false" ht="15" hidden="false" customHeight="false" outlineLevel="0" collapsed="false">
      <c r="A29" s="62" t="n">
        <v>0</v>
      </c>
      <c r="B29" s="62" t="s">
        <v>385</v>
      </c>
      <c r="C29" s="62" t="s">
        <v>60</v>
      </c>
      <c r="D29" s="62" t="s">
        <v>105</v>
      </c>
      <c r="E29" s="62" t="s">
        <v>382</v>
      </c>
      <c r="F29" s="63" t="s">
        <v>391</v>
      </c>
      <c r="G29" s="64" t="n">
        <v>6962198.71604938</v>
      </c>
      <c r="H29" s="62" t="s">
        <v>138</v>
      </c>
    </row>
    <row r="30" customFormat="false" ht="15" hidden="false" customHeight="false" outlineLevel="0" collapsed="false">
      <c r="A30" s="62" t="n">
        <v>0</v>
      </c>
      <c r="B30" s="62" t="s">
        <v>386</v>
      </c>
      <c r="C30" s="62" t="s">
        <v>60</v>
      </c>
      <c r="D30" s="62" t="s">
        <v>105</v>
      </c>
      <c r="E30" s="62" t="s">
        <v>382</v>
      </c>
      <c r="F30" s="63" t="s">
        <v>391</v>
      </c>
      <c r="G30" s="64" t="n">
        <v>6962198.71604938</v>
      </c>
      <c r="H30" s="62" t="s">
        <v>138</v>
      </c>
    </row>
    <row r="31" customFormat="false" ht="15" hidden="false" customHeight="false" outlineLevel="0" collapsed="false">
      <c r="A31" s="62" t="n">
        <v>0</v>
      </c>
      <c r="B31" s="62" t="s">
        <v>387</v>
      </c>
      <c r="C31" s="62" t="s">
        <v>60</v>
      </c>
      <c r="D31" s="62" t="s">
        <v>105</v>
      </c>
      <c r="E31" s="62" t="s">
        <v>382</v>
      </c>
      <c r="F31" s="63" t="s">
        <v>391</v>
      </c>
      <c r="G31" s="64" t="n">
        <v>6962198.71604938</v>
      </c>
      <c r="H31" s="62" t="s">
        <v>138</v>
      </c>
    </row>
    <row r="32" customFormat="false" ht="15" hidden="false" customHeight="false" outlineLevel="0" collapsed="false">
      <c r="A32" s="62" t="n">
        <v>0</v>
      </c>
      <c r="B32" s="62" t="s">
        <v>388</v>
      </c>
      <c r="C32" s="62" t="s">
        <v>60</v>
      </c>
      <c r="D32" s="62" t="s">
        <v>105</v>
      </c>
      <c r="E32" s="62" t="s">
        <v>382</v>
      </c>
      <c r="F32" s="63" t="s">
        <v>391</v>
      </c>
      <c r="G32" s="64" t="n">
        <v>6962198.71604938</v>
      </c>
      <c r="H32" s="62" t="s">
        <v>138</v>
      </c>
    </row>
    <row r="33" customFormat="false" ht="15" hidden="false" customHeight="false" outlineLevel="0" collapsed="false">
      <c r="A33" s="62" t="n">
        <v>0</v>
      </c>
      <c r="B33" s="62" t="s">
        <v>381</v>
      </c>
      <c r="C33" s="62" t="s">
        <v>60</v>
      </c>
      <c r="D33" s="62" t="s">
        <v>105</v>
      </c>
      <c r="E33" s="62" t="s">
        <v>382</v>
      </c>
      <c r="F33" s="63" t="s">
        <v>392</v>
      </c>
      <c r="G33" s="64" t="n">
        <v>1568385.11940661</v>
      </c>
      <c r="H33" s="62" t="s">
        <v>138</v>
      </c>
    </row>
    <row r="34" customFormat="false" ht="15" hidden="false" customHeight="false" outlineLevel="0" collapsed="false">
      <c r="A34" s="62" t="n">
        <v>0</v>
      </c>
      <c r="B34" s="62" t="s">
        <v>383</v>
      </c>
      <c r="C34" s="62" t="s">
        <v>60</v>
      </c>
      <c r="D34" s="62" t="s">
        <v>105</v>
      </c>
      <c r="E34" s="62" t="s">
        <v>382</v>
      </c>
      <c r="F34" s="63" t="s">
        <v>392</v>
      </c>
      <c r="G34" s="64" t="n">
        <v>1568385.11940661</v>
      </c>
      <c r="H34" s="62" t="s">
        <v>138</v>
      </c>
    </row>
    <row r="35" customFormat="false" ht="15" hidden="false" customHeight="false" outlineLevel="0" collapsed="false">
      <c r="A35" s="62" t="n">
        <v>0</v>
      </c>
      <c r="B35" s="62" t="s">
        <v>384</v>
      </c>
      <c r="C35" s="62" t="s">
        <v>60</v>
      </c>
      <c r="D35" s="62" t="s">
        <v>105</v>
      </c>
      <c r="E35" s="62" t="s">
        <v>382</v>
      </c>
      <c r="F35" s="63" t="s">
        <v>392</v>
      </c>
      <c r="G35" s="64" t="n">
        <v>1568385.11940661</v>
      </c>
      <c r="H35" s="62" t="s">
        <v>138</v>
      </c>
    </row>
    <row r="36" customFormat="false" ht="15" hidden="false" customHeight="false" outlineLevel="0" collapsed="false">
      <c r="A36" s="62" t="n">
        <v>0</v>
      </c>
      <c r="B36" s="62" t="s">
        <v>385</v>
      </c>
      <c r="C36" s="62" t="s">
        <v>60</v>
      </c>
      <c r="D36" s="62" t="s">
        <v>105</v>
      </c>
      <c r="E36" s="62" t="s">
        <v>382</v>
      </c>
      <c r="F36" s="63" t="s">
        <v>392</v>
      </c>
      <c r="G36" s="64" t="n">
        <v>1568385.11940661</v>
      </c>
      <c r="H36" s="62" t="s">
        <v>138</v>
      </c>
    </row>
    <row r="37" customFormat="false" ht="15" hidden="false" customHeight="false" outlineLevel="0" collapsed="false">
      <c r="A37" s="62" t="n">
        <v>0</v>
      </c>
      <c r="B37" s="62" t="s">
        <v>386</v>
      </c>
      <c r="C37" s="62" t="s">
        <v>60</v>
      </c>
      <c r="D37" s="62" t="s">
        <v>105</v>
      </c>
      <c r="E37" s="62" t="s">
        <v>382</v>
      </c>
      <c r="F37" s="63" t="s">
        <v>392</v>
      </c>
      <c r="G37" s="64" t="n">
        <v>1568385.11940661</v>
      </c>
      <c r="H37" s="62" t="s">
        <v>138</v>
      </c>
    </row>
    <row r="38" customFormat="false" ht="15" hidden="false" customHeight="false" outlineLevel="0" collapsed="false">
      <c r="A38" s="62" t="n">
        <v>0</v>
      </c>
      <c r="B38" s="62" t="s">
        <v>387</v>
      </c>
      <c r="C38" s="62" t="s">
        <v>60</v>
      </c>
      <c r="D38" s="62" t="s">
        <v>105</v>
      </c>
      <c r="E38" s="62" t="s">
        <v>382</v>
      </c>
      <c r="F38" s="63" t="s">
        <v>392</v>
      </c>
      <c r="G38" s="64" t="n">
        <v>1568385.11940661</v>
      </c>
      <c r="H38" s="62" t="s">
        <v>138</v>
      </c>
    </row>
    <row r="39" customFormat="false" ht="15" hidden="false" customHeight="false" outlineLevel="0" collapsed="false">
      <c r="A39" s="62" t="n">
        <v>0</v>
      </c>
      <c r="B39" s="62" t="s">
        <v>388</v>
      </c>
      <c r="C39" s="62" t="s">
        <v>60</v>
      </c>
      <c r="D39" s="62" t="s">
        <v>105</v>
      </c>
      <c r="E39" s="62" t="s">
        <v>382</v>
      </c>
      <c r="F39" s="63" t="s">
        <v>392</v>
      </c>
      <c r="G39" s="64" t="n">
        <v>1568385.11940661</v>
      </c>
      <c r="H39" s="62" t="s">
        <v>138</v>
      </c>
    </row>
    <row r="40" customFormat="false" ht="15" hidden="false" customHeight="false" outlineLevel="0" collapsed="false">
      <c r="A40" s="62" t="n">
        <v>0</v>
      </c>
      <c r="B40" s="62" t="s">
        <v>381</v>
      </c>
      <c r="C40" s="62" t="s">
        <v>60</v>
      </c>
      <c r="D40" s="62" t="s">
        <v>105</v>
      </c>
      <c r="E40" s="62" t="s">
        <v>382</v>
      </c>
      <c r="F40" s="63" t="s">
        <v>393</v>
      </c>
      <c r="G40" s="64" t="n">
        <v>770819.428571429</v>
      </c>
      <c r="H40" s="62" t="s">
        <v>138</v>
      </c>
    </row>
    <row r="41" customFormat="false" ht="15" hidden="false" customHeight="false" outlineLevel="0" collapsed="false">
      <c r="A41" s="62" t="n">
        <v>0</v>
      </c>
      <c r="B41" s="62" t="s">
        <v>383</v>
      </c>
      <c r="C41" s="62" t="s">
        <v>60</v>
      </c>
      <c r="D41" s="62" t="s">
        <v>105</v>
      </c>
      <c r="E41" s="62" t="s">
        <v>382</v>
      </c>
      <c r="F41" s="63" t="s">
        <v>393</v>
      </c>
      <c r="G41" s="64" t="n">
        <v>770819.428571429</v>
      </c>
      <c r="H41" s="62" t="s">
        <v>138</v>
      </c>
    </row>
    <row r="42" customFormat="false" ht="15" hidden="false" customHeight="false" outlineLevel="0" collapsed="false">
      <c r="A42" s="62" t="n">
        <v>0</v>
      </c>
      <c r="B42" s="62" t="s">
        <v>384</v>
      </c>
      <c r="C42" s="62" t="s">
        <v>60</v>
      </c>
      <c r="D42" s="62" t="s">
        <v>105</v>
      </c>
      <c r="E42" s="62" t="s">
        <v>382</v>
      </c>
      <c r="F42" s="63" t="s">
        <v>393</v>
      </c>
      <c r="G42" s="64" t="n">
        <v>770819.428571429</v>
      </c>
      <c r="H42" s="62" t="s">
        <v>138</v>
      </c>
    </row>
    <row r="43" customFormat="false" ht="15" hidden="false" customHeight="false" outlineLevel="0" collapsed="false">
      <c r="A43" s="62" t="n">
        <v>0</v>
      </c>
      <c r="B43" s="62" t="s">
        <v>385</v>
      </c>
      <c r="C43" s="62" t="s">
        <v>60</v>
      </c>
      <c r="D43" s="62" t="s">
        <v>105</v>
      </c>
      <c r="E43" s="62" t="s">
        <v>382</v>
      </c>
      <c r="F43" s="63" t="s">
        <v>393</v>
      </c>
      <c r="G43" s="64" t="n">
        <v>770819.428571429</v>
      </c>
      <c r="H43" s="62" t="s">
        <v>138</v>
      </c>
    </row>
    <row r="44" customFormat="false" ht="15" hidden="false" customHeight="false" outlineLevel="0" collapsed="false">
      <c r="A44" s="62" t="n">
        <v>0</v>
      </c>
      <c r="B44" s="62" t="s">
        <v>386</v>
      </c>
      <c r="C44" s="62" t="s">
        <v>60</v>
      </c>
      <c r="D44" s="62" t="s">
        <v>105</v>
      </c>
      <c r="E44" s="62" t="s">
        <v>382</v>
      </c>
      <c r="F44" s="63" t="s">
        <v>393</v>
      </c>
      <c r="G44" s="64" t="n">
        <v>770819.428571429</v>
      </c>
      <c r="H44" s="62" t="s">
        <v>138</v>
      </c>
    </row>
    <row r="45" customFormat="false" ht="15" hidden="false" customHeight="false" outlineLevel="0" collapsed="false">
      <c r="A45" s="62" t="n">
        <v>0</v>
      </c>
      <c r="B45" s="62" t="s">
        <v>387</v>
      </c>
      <c r="C45" s="62" t="s">
        <v>60</v>
      </c>
      <c r="D45" s="62" t="s">
        <v>105</v>
      </c>
      <c r="E45" s="62" t="s">
        <v>382</v>
      </c>
      <c r="F45" s="63" t="s">
        <v>393</v>
      </c>
      <c r="G45" s="64" t="n">
        <v>770819.428571429</v>
      </c>
      <c r="H45" s="62" t="s">
        <v>138</v>
      </c>
    </row>
    <row r="46" customFormat="false" ht="15" hidden="false" customHeight="false" outlineLevel="0" collapsed="false">
      <c r="A46" s="62" t="n">
        <v>0</v>
      </c>
      <c r="B46" s="62" t="s">
        <v>388</v>
      </c>
      <c r="C46" s="62" t="s">
        <v>60</v>
      </c>
      <c r="D46" s="62" t="s">
        <v>105</v>
      </c>
      <c r="E46" s="62" t="s">
        <v>382</v>
      </c>
      <c r="F46" s="63" t="s">
        <v>393</v>
      </c>
      <c r="G46" s="64" t="n">
        <v>770819.428571429</v>
      </c>
      <c r="H46" s="62" t="s">
        <v>138</v>
      </c>
    </row>
    <row r="47" customFormat="false" ht="15" hidden="false" customHeight="false" outlineLevel="0" collapsed="false">
      <c r="A47" s="62" t="n">
        <v>0</v>
      </c>
      <c r="B47" s="62" t="s">
        <v>381</v>
      </c>
      <c r="C47" s="62" t="s">
        <v>60</v>
      </c>
      <c r="D47" s="62" t="s">
        <v>105</v>
      </c>
      <c r="E47" s="62" t="s">
        <v>382</v>
      </c>
      <c r="F47" s="63" t="s">
        <v>394</v>
      </c>
      <c r="G47" s="64" t="n">
        <v>1600000</v>
      </c>
      <c r="H47" s="62" t="s">
        <v>138</v>
      </c>
    </row>
    <row r="48" customFormat="false" ht="15" hidden="false" customHeight="false" outlineLevel="0" collapsed="false">
      <c r="A48" s="62" t="n">
        <v>0</v>
      </c>
      <c r="B48" s="62" t="s">
        <v>383</v>
      </c>
      <c r="C48" s="62" t="s">
        <v>60</v>
      </c>
      <c r="D48" s="62" t="s">
        <v>105</v>
      </c>
      <c r="E48" s="62" t="s">
        <v>382</v>
      </c>
      <c r="F48" s="63" t="s">
        <v>394</v>
      </c>
      <c r="G48" s="64" t="n">
        <v>1600000</v>
      </c>
      <c r="H48" s="62" t="s">
        <v>138</v>
      </c>
    </row>
    <row r="49" customFormat="false" ht="15" hidden="false" customHeight="false" outlineLevel="0" collapsed="false">
      <c r="A49" s="62" t="n">
        <v>0</v>
      </c>
      <c r="B49" s="62" t="s">
        <v>384</v>
      </c>
      <c r="C49" s="62" t="s">
        <v>60</v>
      </c>
      <c r="D49" s="62" t="s">
        <v>105</v>
      </c>
      <c r="E49" s="62" t="s">
        <v>382</v>
      </c>
      <c r="F49" s="63" t="s">
        <v>394</v>
      </c>
      <c r="G49" s="64" t="n">
        <v>1600000</v>
      </c>
      <c r="H49" s="62" t="s">
        <v>138</v>
      </c>
    </row>
    <row r="50" customFormat="false" ht="15" hidden="false" customHeight="false" outlineLevel="0" collapsed="false">
      <c r="A50" s="62" t="n">
        <v>0</v>
      </c>
      <c r="B50" s="62" t="s">
        <v>385</v>
      </c>
      <c r="C50" s="62" t="s">
        <v>60</v>
      </c>
      <c r="D50" s="62" t="s">
        <v>105</v>
      </c>
      <c r="E50" s="62" t="s">
        <v>382</v>
      </c>
      <c r="F50" s="63" t="s">
        <v>394</v>
      </c>
      <c r="G50" s="64" t="n">
        <v>1600000</v>
      </c>
      <c r="H50" s="62" t="s">
        <v>138</v>
      </c>
    </row>
    <row r="51" customFormat="false" ht="15" hidden="false" customHeight="false" outlineLevel="0" collapsed="false">
      <c r="A51" s="62" t="n">
        <v>0</v>
      </c>
      <c r="B51" s="62" t="s">
        <v>386</v>
      </c>
      <c r="C51" s="62" t="s">
        <v>60</v>
      </c>
      <c r="D51" s="62" t="s">
        <v>105</v>
      </c>
      <c r="E51" s="62" t="s">
        <v>382</v>
      </c>
      <c r="F51" s="63" t="s">
        <v>394</v>
      </c>
      <c r="G51" s="64" t="n">
        <v>1600000</v>
      </c>
      <c r="H51" s="62" t="s">
        <v>138</v>
      </c>
    </row>
    <row r="52" customFormat="false" ht="15" hidden="false" customHeight="false" outlineLevel="0" collapsed="false">
      <c r="A52" s="62" t="n">
        <v>0</v>
      </c>
      <c r="B52" s="62" t="s">
        <v>387</v>
      </c>
      <c r="C52" s="62" t="s">
        <v>60</v>
      </c>
      <c r="D52" s="62" t="s">
        <v>105</v>
      </c>
      <c r="E52" s="62" t="s">
        <v>382</v>
      </c>
      <c r="F52" s="63" t="s">
        <v>394</v>
      </c>
      <c r="G52" s="64" t="n">
        <v>1600000</v>
      </c>
      <c r="H52" s="62" t="s">
        <v>138</v>
      </c>
    </row>
    <row r="53" customFormat="false" ht="15" hidden="false" customHeight="false" outlineLevel="0" collapsed="false">
      <c r="A53" s="62" t="n">
        <v>0</v>
      </c>
      <c r="B53" s="62" t="s">
        <v>388</v>
      </c>
      <c r="C53" s="62" t="s">
        <v>60</v>
      </c>
      <c r="D53" s="62" t="s">
        <v>105</v>
      </c>
      <c r="E53" s="62" t="s">
        <v>382</v>
      </c>
      <c r="F53" s="63" t="s">
        <v>394</v>
      </c>
      <c r="G53" s="64" t="n">
        <v>1600000</v>
      </c>
      <c r="H53" s="62" t="s">
        <v>138</v>
      </c>
    </row>
    <row r="54" customFormat="false" ht="15" hidden="false" customHeight="false" outlineLevel="0" collapsed="false">
      <c r="A54" s="62" t="n">
        <v>0</v>
      </c>
      <c r="B54" s="62" t="s">
        <v>381</v>
      </c>
      <c r="C54" s="62" t="s">
        <v>60</v>
      </c>
      <c r="D54" s="62" t="s">
        <v>105</v>
      </c>
      <c r="E54" s="62" t="s">
        <v>382</v>
      </c>
      <c r="F54" s="63" t="s">
        <v>395</v>
      </c>
      <c r="G54" s="64" t="n">
        <v>180334.622474097</v>
      </c>
      <c r="H54" s="62" t="s">
        <v>138</v>
      </c>
    </row>
    <row r="55" customFormat="false" ht="15" hidden="false" customHeight="false" outlineLevel="0" collapsed="false">
      <c r="A55" s="62" t="n">
        <v>0</v>
      </c>
      <c r="B55" s="62" t="s">
        <v>383</v>
      </c>
      <c r="C55" s="62" t="s">
        <v>60</v>
      </c>
      <c r="D55" s="62" t="s">
        <v>105</v>
      </c>
      <c r="E55" s="62" t="s">
        <v>382</v>
      </c>
      <c r="F55" s="63" t="s">
        <v>395</v>
      </c>
      <c r="G55" s="64" t="n">
        <v>180334.622474097</v>
      </c>
      <c r="H55" s="62" t="s">
        <v>138</v>
      </c>
    </row>
    <row r="56" customFormat="false" ht="15" hidden="false" customHeight="false" outlineLevel="0" collapsed="false">
      <c r="A56" s="62" t="n">
        <v>0</v>
      </c>
      <c r="B56" s="62" t="s">
        <v>384</v>
      </c>
      <c r="C56" s="62" t="s">
        <v>60</v>
      </c>
      <c r="D56" s="62" t="s">
        <v>105</v>
      </c>
      <c r="E56" s="62" t="s">
        <v>382</v>
      </c>
      <c r="F56" s="63" t="s">
        <v>395</v>
      </c>
      <c r="G56" s="64" t="n">
        <v>180334.622474097</v>
      </c>
      <c r="H56" s="62" t="s">
        <v>138</v>
      </c>
    </row>
    <row r="57" customFormat="false" ht="15" hidden="false" customHeight="false" outlineLevel="0" collapsed="false">
      <c r="A57" s="62" t="n">
        <v>0</v>
      </c>
      <c r="B57" s="62" t="s">
        <v>385</v>
      </c>
      <c r="C57" s="62" t="s">
        <v>60</v>
      </c>
      <c r="D57" s="62" t="s">
        <v>105</v>
      </c>
      <c r="E57" s="62" t="s">
        <v>382</v>
      </c>
      <c r="F57" s="63" t="s">
        <v>395</v>
      </c>
      <c r="G57" s="64" t="n">
        <v>180334.622474097</v>
      </c>
      <c r="H57" s="62" t="s">
        <v>138</v>
      </c>
    </row>
    <row r="58" customFormat="false" ht="15" hidden="false" customHeight="false" outlineLevel="0" collapsed="false">
      <c r="A58" s="62" t="n">
        <v>0</v>
      </c>
      <c r="B58" s="62" t="s">
        <v>386</v>
      </c>
      <c r="C58" s="62" t="s">
        <v>60</v>
      </c>
      <c r="D58" s="62" t="s">
        <v>105</v>
      </c>
      <c r="E58" s="62" t="s">
        <v>382</v>
      </c>
      <c r="F58" s="63" t="s">
        <v>395</v>
      </c>
      <c r="G58" s="64" t="n">
        <v>180334.622474097</v>
      </c>
      <c r="H58" s="62" t="s">
        <v>138</v>
      </c>
    </row>
    <row r="59" customFormat="false" ht="15" hidden="false" customHeight="false" outlineLevel="0" collapsed="false">
      <c r="A59" s="62" t="n">
        <v>0</v>
      </c>
      <c r="B59" s="62" t="s">
        <v>387</v>
      </c>
      <c r="C59" s="62" t="s">
        <v>60</v>
      </c>
      <c r="D59" s="62" t="s">
        <v>105</v>
      </c>
      <c r="E59" s="62" t="s">
        <v>382</v>
      </c>
      <c r="F59" s="63" t="s">
        <v>395</v>
      </c>
      <c r="G59" s="64" t="n">
        <v>180334.622474097</v>
      </c>
      <c r="H59" s="62" t="s">
        <v>138</v>
      </c>
    </row>
    <row r="60" customFormat="false" ht="15" hidden="false" customHeight="false" outlineLevel="0" collapsed="false">
      <c r="A60" s="62" t="n">
        <v>0</v>
      </c>
      <c r="B60" s="62" t="s">
        <v>388</v>
      </c>
      <c r="C60" s="62" t="s">
        <v>60</v>
      </c>
      <c r="D60" s="62" t="s">
        <v>105</v>
      </c>
      <c r="E60" s="62" t="s">
        <v>382</v>
      </c>
      <c r="F60" s="63" t="s">
        <v>395</v>
      </c>
      <c r="G60" s="64" t="n">
        <v>180334.622474097</v>
      </c>
      <c r="H60" s="62" t="s">
        <v>138</v>
      </c>
    </row>
    <row r="61" customFormat="false" ht="15" hidden="false" customHeight="false" outlineLevel="0" collapsed="false">
      <c r="A61" s="62" t="n">
        <v>0</v>
      </c>
      <c r="B61" s="62" t="s">
        <v>381</v>
      </c>
      <c r="C61" s="62" t="s">
        <v>60</v>
      </c>
      <c r="D61" s="62" t="s">
        <v>105</v>
      </c>
      <c r="E61" s="62" t="s">
        <v>382</v>
      </c>
      <c r="F61" s="63" t="s">
        <v>271</v>
      </c>
      <c r="G61" s="64" t="n">
        <v>35337849.2175511</v>
      </c>
      <c r="H61" s="62" t="s">
        <v>138</v>
      </c>
    </row>
    <row r="62" customFormat="false" ht="15" hidden="false" customHeight="false" outlineLevel="0" collapsed="false">
      <c r="A62" s="62" t="n">
        <v>0</v>
      </c>
      <c r="B62" s="62" t="s">
        <v>383</v>
      </c>
      <c r="C62" s="62" t="s">
        <v>60</v>
      </c>
      <c r="D62" s="62" t="s">
        <v>105</v>
      </c>
      <c r="E62" s="62" t="s">
        <v>382</v>
      </c>
      <c r="F62" s="63" t="s">
        <v>271</v>
      </c>
      <c r="G62" s="64" t="n">
        <v>35337849.2175511</v>
      </c>
      <c r="H62" s="62" t="s">
        <v>138</v>
      </c>
    </row>
    <row r="63" customFormat="false" ht="15" hidden="false" customHeight="false" outlineLevel="0" collapsed="false">
      <c r="A63" s="62" t="n">
        <v>0</v>
      </c>
      <c r="B63" s="62" t="s">
        <v>384</v>
      </c>
      <c r="C63" s="62" t="s">
        <v>60</v>
      </c>
      <c r="D63" s="62" t="s">
        <v>105</v>
      </c>
      <c r="E63" s="62" t="s">
        <v>382</v>
      </c>
      <c r="F63" s="63" t="s">
        <v>271</v>
      </c>
      <c r="G63" s="64" t="n">
        <v>35337849.2175511</v>
      </c>
      <c r="H63" s="62" t="s">
        <v>138</v>
      </c>
    </row>
    <row r="64" customFormat="false" ht="15" hidden="false" customHeight="false" outlineLevel="0" collapsed="false">
      <c r="A64" s="62" t="n">
        <v>0</v>
      </c>
      <c r="B64" s="62" t="s">
        <v>385</v>
      </c>
      <c r="C64" s="62" t="s">
        <v>60</v>
      </c>
      <c r="D64" s="62" t="s">
        <v>105</v>
      </c>
      <c r="E64" s="62" t="s">
        <v>382</v>
      </c>
      <c r="F64" s="63" t="s">
        <v>271</v>
      </c>
      <c r="G64" s="64" t="n">
        <v>35337849.2175511</v>
      </c>
      <c r="H64" s="62" t="s">
        <v>138</v>
      </c>
    </row>
    <row r="65" customFormat="false" ht="15" hidden="false" customHeight="false" outlineLevel="0" collapsed="false">
      <c r="A65" s="62" t="n">
        <v>0</v>
      </c>
      <c r="B65" s="62" t="s">
        <v>386</v>
      </c>
      <c r="C65" s="62" t="s">
        <v>60</v>
      </c>
      <c r="D65" s="62" t="s">
        <v>105</v>
      </c>
      <c r="E65" s="62" t="s">
        <v>382</v>
      </c>
      <c r="F65" s="63" t="s">
        <v>271</v>
      </c>
      <c r="G65" s="64" t="n">
        <v>35337849.2175511</v>
      </c>
      <c r="H65" s="62" t="s">
        <v>138</v>
      </c>
    </row>
    <row r="66" customFormat="false" ht="15" hidden="false" customHeight="false" outlineLevel="0" collapsed="false">
      <c r="A66" s="62" t="n">
        <v>0</v>
      </c>
      <c r="B66" s="62" t="s">
        <v>387</v>
      </c>
      <c r="C66" s="62" t="s">
        <v>60</v>
      </c>
      <c r="D66" s="62" t="s">
        <v>105</v>
      </c>
      <c r="E66" s="62" t="s">
        <v>382</v>
      </c>
      <c r="F66" s="63" t="s">
        <v>271</v>
      </c>
      <c r="G66" s="64" t="n">
        <v>35337849.2175511</v>
      </c>
      <c r="H66" s="62" t="s">
        <v>138</v>
      </c>
    </row>
    <row r="67" customFormat="false" ht="15" hidden="false" customHeight="false" outlineLevel="0" collapsed="false">
      <c r="A67" s="62" t="n">
        <v>0</v>
      </c>
      <c r="B67" s="62" t="s">
        <v>388</v>
      </c>
      <c r="C67" s="62" t="s">
        <v>60</v>
      </c>
      <c r="D67" s="62" t="s">
        <v>105</v>
      </c>
      <c r="E67" s="62" t="s">
        <v>382</v>
      </c>
      <c r="F67" s="63" t="s">
        <v>271</v>
      </c>
      <c r="G67" s="64" t="n">
        <v>35337849.2175511</v>
      </c>
      <c r="H67" s="62" t="s">
        <v>138</v>
      </c>
    </row>
    <row r="68" customFormat="false" ht="15" hidden="false" customHeight="false" outlineLevel="0" collapsed="false">
      <c r="A68" s="62" t="n">
        <v>0</v>
      </c>
      <c r="B68" s="62" t="s">
        <v>381</v>
      </c>
      <c r="C68" s="62" t="s">
        <v>60</v>
      </c>
      <c r="D68" s="62" t="s">
        <v>105</v>
      </c>
      <c r="E68" s="62" t="s">
        <v>382</v>
      </c>
      <c r="F68" s="63" t="s">
        <v>272</v>
      </c>
      <c r="G68" s="64" t="n">
        <v>4151150.78244887</v>
      </c>
      <c r="H68" s="62" t="s">
        <v>138</v>
      </c>
    </row>
    <row r="69" customFormat="false" ht="15" hidden="false" customHeight="false" outlineLevel="0" collapsed="false">
      <c r="A69" s="62" t="n">
        <v>0</v>
      </c>
      <c r="B69" s="62" t="s">
        <v>383</v>
      </c>
      <c r="C69" s="62" t="s">
        <v>60</v>
      </c>
      <c r="D69" s="62" t="s">
        <v>105</v>
      </c>
      <c r="E69" s="62" t="s">
        <v>382</v>
      </c>
      <c r="F69" s="63" t="s">
        <v>272</v>
      </c>
      <c r="G69" s="64" t="n">
        <v>4151150.78244887</v>
      </c>
      <c r="H69" s="62" t="s">
        <v>138</v>
      </c>
    </row>
    <row r="70" customFormat="false" ht="15" hidden="false" customHeight="false" outlineLevel="0" collapsed="false">
      <c r="A70" s="62" t="n">
        <v>0</v>
      </c>
      <c r="B70" s="62" t="s">
        <v>384</v>
      </c>
      <c r="C70" s="62" t="s">
        <v>60</v>
      </c>
      <c r="D70" s="62" t="s">
        <v>105</v>
      </c>
      <c r="E70" s="62" t="s">
        <v>382</v>
      </c>
      <c r="F70" s="63" t="s">
        <v>272</v>
      </c>
      <c r="G70" s="64" t="n">
        <v>4151150.78244887</v>
      </c>
      <c r="H70" s="62" t="s">
        <v>138</v>
      </c>
    </row>
    <row r="71" customFormat="false" ht="15" hidden="false" customHeight="false" outlineLevel="0" collapsed="false">
      <c r="A71" s="62" t="n">
        <v>0</v>
      </c>
      <c r="B71" s="62" t="s">
        <v>385</v>
      </c>
      <c r="C71" s="62" t="s">
        <v>60</v>
      </c>
      <c r="D71" s="62" t="s">
        <v>105</v>
      </c>
      <c r="E71" s="62" t="s">
        <v>382</v>
      </c>
      <c r="F71" s="63" t="s">
        <v>272</v>
      </c>
      <c r="G71" s="64" t="n">
        <v>4151150.78244887</v>
      </c>
      <c r="H71" s="62" t="s">
        <v>138</v>
      </c>
    </row>
    <row r="72" customFormat="false" ht="15" hidden="false" customHeight="false" outlineLevel="0" collapsed="false">
      <c r="A72" s="62" t="n">
        <v>0</v>
      </c>
      <c r="B72" s="62" t="s">
        <v>386</v>
      </c>
      <c r="C72" s="62" t="s">
        <v>60</v>
      </c>
      <c r="D72" s="62" t="s">
        <v>105</v>
      </c>
      <c r="E72" s="62" t="s">
        <v>382</v>
      </c>
      <c r="F72" s="63" t="s">
        <v>272</v>
      </c>
      <c r="G72" s="64" t="n">
        <v>4151150.78244887</v>
      </c>
      <c r="H72" s="62" t="s">
        <v>138</v>
      </c>
    </row>
    <row r="73" customFormat="false" ht="15" hidden="false" customHeight="false" outlineLevel="0" collapsed="false">
      <c r="A73" s="62" t="n">
        <v>0</v>
      </c>
      <c r="B73" s="62" t="s">
        <v>387</v>
      </c>
      <c r="C73" s="62" t="s">
        <v>60</v>
      </c>
      <c r="D73" s="62" t="s">
        <v>105</v>
      </c>
      <c r="E73" s="62" t="s">
        <v>382</v>
      </c>
      <c r="F73" s="63" t="s">
        <v>272</v>
      </c>
      <c r="G73" s="64" t="n">
        <v>4151150.78244887</v>
      </c>
      <c r="H73" s="62" t="s">
        <v>138</v>
      </c>
    </row>
    <row r="74" customFormat="false" ht="15" hidden="false" customHeight="false" outlineLevel="0" collapsed="false">
      <c r="A74" s="62" t="n">
        <v>0</v>
      </c>
      <c r="B74" s="62" t="s">
        <v>388</v>
      </c>
      <c r="C74" s="62" t="s">
        <v>60</v>
      </c>
      <c r="D74" s="62" t="s">
        <v>105</v>
      </c>
      <c r="E74" s="62" t="s">
        <v>382</v>
      </c>
      <c r="F74" s="63" t="s">
        <v>272</v>
      </c>
      <c r="G74" s="64" t="n">
        <v>4151150.78244887</v>
      </c>
      <c r="H74" s="62" t="s">
        <v>138</v>
      </c>
    </row>
    <row r="75" customFormat="false" ht="15" hidden="false" customHeight="false" outlineLevel="0" collapsed="false">
      <c r="A75" s="62" t="n">
        <v>0</v>
      </c>
      <c r="B75" s="62" t="s">
        <v>381</v>
      </c>
      <c r="C75" s="62" t="s">
        <v>60</v>
      </c>
      <c r="D75" s="62" t="s">
        <v>105</v>
      </c>
      <c r="E75" s="62" t="s">
        <v>382</v>
      </c>
      <c r="F75" s="63" t="s">
        <v>274</v>
      </c>
      <c r="G75" s="64" t="n">
        <v>1203133.8</v>
      </c>
      <c r="H75" s="62" t="s">
        <v>138</v>
      </c>
    </row>
    <row r="76" customFormat="false" ht="15" hidden="false" customHeight="false" outlineLevel="0" collapsed="false">
      <c r="A76" s="62" t="n">
        <v>0</v>
      </c>
      <c r="B76" s="62" t="s">
        <v>383</v>
      </c>
      <c r="C76" s="62" t="s">
        <v>60</v>
      </c>
      <c r="D76" s="62" t="s">
        <v>105</v>
      </c>
      <c r="E76" s="62" t="s">
        <v>382</v>
      </c>
      <c r="F76" s="63" t="s">
        <v>274</v>
      </c>
      <c r="G76" s="64" t="n">
        <v>1203133.8</v>
      </c>
      <c r="H76" s="62" t="s">
        <v>138</v>
      </c>
    </row>
    <row r="77" customFormat="false" ht="15" hidden="false" customHeight="false" outlineLevel="0" collapsed="false">
      <c r="A77" s="62" t="n">
        <v>0</v>
      </c>
      <c r="B77" s="62" t="s">
        <v>384</v>
      </c>
      <c r="C77" s="62" t="s">
        <v>60</v>
      </c>
      <c r="D77" s="62" t="s">
        <v>105</v>
      </c>
      <c r="E77" s="62" t="s">
        <v>382</v>
      </c>
      <c r="F77" s="63" t="s">
        <v>274</v>
      </c>
      <c r="G77" s="64" t="n">
        <v>1203133.8</v>
      </c>
      <c r="H77" s="62" t="s">
        <v>138</v>
      </c>
    </row>
    <row r="78" customFormat="false" ht="15" hidden="false" customHeight="false" outlineLevel="0" collapsed="false">
      <c r="A78" s="62" t="n">
        <v>0</v>
      </c>
      <c r="B78" s="62" t="s">
        <v>385</v>
      </c>
      <c r="C78" s="62" t="s">
        <v>60</v>
      </c>
      <c r="D78" s="62" t="s">
        <v>105</v>
      </c>
      <c r="E78" s="62" t="s">
        <v>382</v>
      </c>
      <c r="F78" s="63" t="s">
        <v>274</v>
      </c>
      <c r="G78" s="64" t="n">
        <v>1203133.8</v>
      </c>
      <c r="H78" s="62" t="s">
        <v>138</v>
      </c>
    </row>
    <row r="79" customFormat="false" ht="15" hidden="false" customHeight="false" outlineLevel="0" collapsed="false">
      <c r="A79" s="62" t="n">
        <v>0</v>
      </c>
      <c r="B79" s="62" t="s">
        <v>386</v>
      </c>
      <c r="C79" s="62" t="s">
        <v>60</v>
      </c>
      <c r="D79" s="62" t="s">
        <v>105</v>
      </c>
      <c r="E79" s="62" t="s">
        <v>382</v>
      </c>
      <c r="F79" s="63" t="s">
        <v>274</v>
      </c>
      <c r="G79" s="64" t="n">
        <v>1203133.8</v>
      </c>
      <c r="H79" s="62" t="s">
        <v>138</v>
      </c>
    </row>
    <row r="80" customFormat="false" ht="15" hidden="false" customHeight="false" outlineLevel="0" collapsed="false">
      <c r="A80" s="62" t="n">
        <v>0</v>
      </c>
      <c r="B80" s="62" t="s">
        <v>387</v>
      </c>
      <c r="C80" s="62" t="s">
        <v>60</v>
      </c>
      <c r="D80" s="62" t="s">
        <v>105</v>
      </c>
      <c r="E80" s="62" t="s">
        <v>382</v>
      </c>
      <c r="F80" s="63" t="s">
        <v>274</v>
      </c>
      <c r="G80" s="64" t="n">
        <v>1203133.8</v>
      </c>
      <c r="H80" s="62" t="s">
        <v>138</v>
      </c>
    </row>
    <row r="81" customFormat="false" ht="15" hidden="false" customHeight="false" outlineLevel="0" collapsed="false">
      <c r="A81" s="62" t="n">
        <v>0</v>
      </c>
      <c r="B81" s="62" t="s">
        <v>388</v>
      </c>
      <c r="C81" s="62" t="s">
        <v>60</v>
      </c>
      <c r="D81" s="62" t="s">
        <v>105</v>
      </c>
      <c r="E81" s="62" t="s">
        <v>382</v>
      </c>
      <c r="F81" s="63" t="s">
        <v>274</v>
      </c>
      <c r="G81" s="64" t="n">
        <v>1203133.8</v>
      </c>
      <c r="H81" s="62" t="s">
        <v>138</v>
      </c>
    </row>
    <row r="82" customFormat="false" ht="15" hidden="false" customHeight="false" outlineLevel="0" collapsed="false">
      <c r="A82" s="62" t="n">
        <v>0</v>
      </c>
      <c r="B82" s="62" t="s">
        <v>381</v>
      </c>
      <c r="C82" s="62" t="s">
        <v>60</v>
      </c>
      <c r="D82" s="62" t="s">
        <v>105</v>
      </c>
      <c r="E82" s="62" t="s">
        <v>382</v>
      </c>
      <c r="F82" s="63" t="s">
        <v>275</v>
      </c>
      <c r="G82" s="64" t="n">
        <v>2948016.98244887</v>
      </c>
      <c r="H82" s="62" t="s">
        <v>138</v>
      </c>
    </row>
    <row r="83" customFormat="false" ht="15" hidden="false" customHeight="false" outlineLevel="0" collapsed="false">
      <c r="A83" s="62" t="n">
        <v>0</v>
      </c>
      <c r="B83" s="62" t="s">
        <v>383</v>
      </c>
      <c r="C83" s="62" t="s">
        <v>60</v>
      </c>
      <c r="D83" s="62" t="s">
        <v>105</v>
      </c>
      <c r="E83" s="62" t="s">
        <v>382</v>
      </c>
      <c r="F83" s="63" t="s">
        <v>275</v>
      </c>
      <c r="G83" s="64" t="n">
        <v>2948016.98244887</v>
      </c>
      <c r="H83" s="62" t="s">
        <v>138</v>
      </c>
    </row>
    <row r="84" customFormat="false" ht="15" hidden="false" customHeight="false" outlineLevel="0" collapsed="false">
      <c r="A84" s="62" t="n">
        <v>0</v>
      </c>
      <c r="B84" s="62" t="s">
        <v>384</v>
      </c>
      <c r="C84" s="62" t="s">
        <v>60</v>
      </c>
      <c r="D84" s="62" t="s">
        <v>105</v>
      </c>
      <c r="E84" s="62" t="s">
        <v>382</v>
      </c>
      <c r="F84" s="63" t="s">
        <v>275</v>
      </c>
      <c r="G84" s="64" t="n">
        <v>2948016.98244887</v>
      </c>
      <c r="H84" s="62" t="s">
        <v>138</v>
      </c>
    </row>
    <row r="85" customFormat="false" ht="15" hidden="false" customHeight="false" outlineLevel="0" collapsed="false">
      <c r="A85" s="62" t="n">
        <v>0</v>
      </c>
      <c r="B85" s="62" t="s">
        <v>385</v>
      </c>
      <c r="C85" s="62" t="s">
        <v>60</v>
      </c>
      <c r="D85" s="62" t="s">
        <v>105</v>
      </c>
      <c r="E85" s="62" t="s">
        <v>382</v>
      </c>
      <c r="F85" s="63" t="s">
        <v>275</v>
      </c>
      <c r="G85" s="64" t="n">
        <v>2948016.98244887</v>
      </c>
      <c r="H85" s="62" t="s">
        <v>138</v>
      </c>
    </row>
    <row r="86" customFormat="false" ht="15" hidden="false" customHeight="false" outlineLevel="0" collapsed="false">
      <c r="A86" s="62" t="n">
        <v>0</v>
      </c>
      <c r="B86" s="62" t="s">
        <v>386</v>
      </c>
      <c r="C86" s="62" t="s">
        <v>60</v>
      </c>
      <c r="D86" s="62" t="s">
        <v>105</v>
      </c>
      <c r="E86" s="62" t="s">
        <v>382</v>
      </c>
      <c r="F86" s="63" t="s">
        <v>275</v>
      </c>
      <c r="G86" s="64" t="n">
        <v>2948016.98244887</v>
      </c>
      <c r="H86" s="62" t="s">
        <v>138</v>
      </c>
    </row>
    <row r="87" customFormat="false" ht="15" hidden="false" customHeight="false" outlineLevel="0" collapsed="false">
      <c r="A87" s="62" t="n">
        <v>0</v>
      </c>
      <c r="B87" s="62" t="s">
        <v>387</v>
      </c>
      <c r="C87" s="62" t="s">
        <v>60</v>
      </c>
      <c r="D87" s="62" t="s">
        <v>105</v>
      </c>
      <c r="E87" s="62" t="s">
        <v>382</v>
      </c>
      <c r="F87" s="63" t="s">
        <v>275</v>
      </c>
      <c r="G87" s="64" t="n">
        <v>2948016.98244887</v>
      </c>
      <c r="H87" s="62" t="s">
        <v>138</v>
      </c>
    </row>
    <row r="88" customFormat="false" ht="15" hidden="false" customHeight="false" outlineLevel="0" collapsed="false">
      <c r="A88" s="62" t="n">
        <v>0</v>
      </c>
      <c r="B88" s="62" t="s">
        <v>388</v>
      </c>
      <c r="C88" s="62" t="s">
        <v>60</v>
      </c>
      <c r="D88" s="62" t="s">
        <v>105</v>
      </c>
      <c r="E88" s="62" t="s">
        <v>382</v>
      </c>
      <c r="F88" s="63" t="s">
        <v>275</v>
      </c>
      <c r="G88" s="64" t="n">
        <v>2948016.98244887</v>
      </c>
      <c r="H88" s="62" t="s">
        <v>138</v>
      </c>
    </row>
    <row r="89" customFormat="false" ht="15" hidden="false" customHeight="false" outlineLevel="0" collapsed="false">
      <c r="A89" s="62" t="n">
        <v>0</v>
      </c>
      <c r="B89" s="62" t="s">
        <v>381</v>
      </c>
      <c r="C89" s="62" t="s">
        <v>60</v>
      </c>
      <c r="D89" s="62" t="s">
        <v>105</v>
      </c>
      <c r="E89" s="62" t="s">
        <v>382</v>
      </c>
      <c r="F89" s="63" t="s">
        <v>276</v>
      </c>
      <c r="G89" s="64" t="n">
        <v>642707.58462952</v>
      </c>
      <c r="H89" s="62" t="s">
        <v>138</v>
      </c>
    </row>
    <row r="90" customFormat="false" ht="15" hidden="false" customHeight="false" outlineLevel="0" collapsed="false">
      <c r="A90" s="62" t="n">
        <v>0</v>
      </c>
      <c r="B90" s="62" t="s">
        <v>383</v>
      </c>
      <c r="C90" s="62" t="s">
        <v>60</v>
      </c>
      <c r="D90" s="62" t="s">
        <v>105</v>
      </c>
      <c r="E90" s="62" t="s">
        <v>382</v>
      </c>
      <c r="F90" s="63" t="s">
        <v>276</v>
      </c>
      <c r="G90" s="64" t="n">
        <v>642707.58462952</v>
      </c>
      <c r="H90" s="62" t="s">
        <v>138</v>
      </c>
    </row>
    <row r="91" customFormat="false" ht="15" hidden="false" customHeight="false" outlineLevel="0" collapsed="false">
      <c r="A91" s="62" t="n">
        <v>0</v>
      </c>
      <c r="B91" s="62" t="s">
        <v>384</v>
      </c>
      <c r="C91" s="62" t="s">
        <v>60</v>
      </c>
      <c r="D91" s="62" t="s">
        <v>105</v>
      </c>
      <c r="E91" s="62" t="s">
        <v>382</v>
      </c>
      <c r="F91" s="63" t="s">
        <v>276</v>
      </c>
      <c r="G91" s="64" t="n">
        <v>642707.58462952</v>
      </c>
      <c r="H91" s="62" t="s">
        <v>138</v>
      </c>
    </row>
    <row r="92" customFormat="false" ht="15" hidden="false" customHeight="false" outlineLevel="0" collapsed="false">
      <c r="A92" s="62" t="n">
        <v>0</v>
      </c>
      <c r="B92" s="62" t="s">
        <v>385</v>
      </c>
      <c r="C92" s="62" t="s">
        <v>60</v>
      </c>
      <c r="D92" s="62" t="s">
        <v>105</v>
      </c>
      <c r="E92" s="62" t="s">
        <v>382</v>
      </c>
      <c r="F92" s="63" t="s">
        <v>276</v>
      </c>
      <c r="G92" s="64" t="n">
        <v>642707.58462952</v>
      </c>
      <c r="H92" s="62" t="s">
        <v>138</v>
      </c>
    </row>
    <row r="93" customFormat="false" ht="15" hidden="false" customHeight="false" outlineLevel="0" collapsed="false">
      <c r="A93" s="62" t="n">
        <v>0</v>
      </c>
      <c r="B93" s="62" t="s">
        <v>386</v>
      </c>
      <c r="C93" s="62" t="s">
        <v>60</v>
      </c>
      <c r="D93" s="62" t="s">
        <v>105</v>
      </c>
      <c r="E93" s="62" t="s">
        <v>382</v>
      </c>
      <c r="F93" s="63" t="s">
        <v>276</v>
      </c>
      <c r="G93" s="64" t="n">
        <v>642707.58462952</v>
      </c>
      <c r="H93" s="62" t="s">
        <v>138</v>
      </c>
    </row>
    <row r="94" customFormat="false" ht="15" hidden="false" customHeight="false" outlineLevel="0" collapsed="false">
      <c r="A94" s="62" t="n">
        <v>0</v>
      </c>
      <c r="B94" s="62" t="s">
        <v>387</v>
      </c>
      <c r="C94" s="62" t="s">
        <v>60</v>
      </c>
      <c r="D94" s="62" t="s">
        <v>105</v>
      </c>
      <c r="E94" s="62" t="s">
        <v>382</v>
      </c>
      <c r="F94" s="63" t="s">
        <v>276</v>
      </c>
      <c r="G94" s="64" t="n">
        <v>642707.58462952</v>
      </c>
      <c r="H94" s="62" t="s">
        <v>138</v>
      </c>
    </row>
    <row r="95" customFormat="false" ht="15" hidden="false" customHeight="false" outlineLevel="0" collapsed="false">
      <c r="A95" s="62" t="n">
        <v>0</v>
      </c>
      <c r="B95" s="62" t="s">
        <v>388</v>
      </c>
      <c r="C95" s="62" t="s">
        <v>60</v>
      </c>
      <c r="D95" s="62" t="s">
        <v>105</v>
      </c>
      <c r="E95" s="62" t="s">
        <v>382</v>
      </c>
      <c r="F95" s="63" t="s">
        <v>276</v>
      </c>
      <c r="G95" s="64" t="n">
        <v>642707.58462952</v>
      </c>
      <c r="H95" s="62" t="s">
        <v>138</v>
      </c>
    </row>
    <row r="96" customFormat="false" ht="15" hidden="false" customHeight="false" outlineLevel="0" collapsed="false">
      <c r="A96" s="62" t="n">
        <v>0</v>
      </c>
      <c r="B96" s="62" t="s">
        <v>381</v>
      </c>
      <c r="C96" s="62" t="s">
        <v>60</v>
      </c>
      <c r="D96" s="62" t="s">
        <v>105</v>
      </c>
      <c r="E96" s="62" t="s">
        <v>382</v>
      </c>
      <c r="F96" s="63" t="s">
        <v>277</v>
      </c>
      <c r="G96" s="64" t="n">
        <v>2305309.39781935</v>
      </c>
      <c r="H96" s="62" t="s">
        <v>138</v>
      </c>
    </row>
    <row r="97" customFormat="false" ht="15" hidden="false" customHeight="false" outlineLevel="0" collapsed="false">
      <c r="A97" s="62" t="n">
        <v>0</v>
      </c>
      <c r="B97" s="62" t="s">
        <v>383</v>
      </c>
      <c r="C97" s="62" t="s">
        <v>60</v>
      </c>
      <c r="D97" s="62" t="s">
        <v>105</v>
      </c>
      <c r="E97" s="62" t="s">
        <v>382</v>
      </c>
      <c r="F97" s="63" t="s">
        <v>277</v>
      </c>
      <c r="G97" s="64" t="n">
        <v>2305309.39781935</v>
      </c>
      <c r="H97" s="62" t="s">
        <v>138</v>
      </c>
    </row>
    <row r="98" customFormat="false" ht="15" hidden="false" customHeight="false" outlineLevel="0" collapsed="false">
      <c r="A98" s="62" t="n">
        <v>0</v>
      </c>
      <c r="B98" s="62" t="s">
        <v>384</v>
      </c>
      <c r="C98" s="62" t="s">
        <v>60</v>
      </c>
      <c r="D98" s="62" t="s">
        <v>105</v>
      </c>
      <c r="E98" s="62" t="s">
        <v>382</v>
      </c>
      <c r="F98" s="63" t="s">
        <v>277</v>
      </c>
      <c r="G98" s="64" t="n">
        <v>2305309.39781935</v>
      </c>
      <c r="H98" s="62" t="s">
        <v>138</v>
      </c>
    </row>
    <row r="99" customFormat="false" ht="15" hidden="false" customHeight="false" outlineLevel="0" collapsed="false">
      <c r="A99" s="62" t="n">
        <v>0</v>
      </c>
      <c r="B99" s="62" t="s">
        <v>385</v>
      </c>
      <c r="C99" s="62" t="s">
        <v>60</v>
      </c>
      <c r="D99" s="62" t="s">
        <v>105</v>
      </c>
      <c r="E99" s="62" t="s">
        <v>382</v>
      </c>
      <c r="F99" s="63" t="s">
        <v>277</v>
      </c>
      <c r="G99" s="64" t="n">
        <v>2305309.39781935</v>
      </c>
      <c r="H99" s="62" t="s">
        <v>138</v>
      </c>
    </row>
    <row r="100" customFormat="false" ht="15" hidden="false" customHeight="false" outlineLevel="0" collapsed="false">
      <c r="A100" s="62" t="n">
        <v>0</v>
      </c>
      <c r="B100" s="62" t="s">
        <v>386</v>
      </c>
      <c r="C100" s="62" t="s">
        <v>60</v>
      </c>
      <c r="D100" s="62" t="s">
        <v>105</v>
      </c>
      <c r="E100" s="62" t="s">
        <v>382</v>
      </c>
      <c r="F100" s="63" t="s">
        <v>277</v>
      </c>
      <c r="G100" s="64" t="n">
        <v>2305309.39781935</v>
      </c>
      <c r="H100" s="62" t="s">
        <v>138</v>
      </c>
    </row>
    <row r="101" customFormat="false" ht="15" hidden="false" customHeight="false" outlineLevel="0" collapsed="false">
      <c r="A101" s="62" t="n">
        <v>0</v>
      </c>
      <c r="B101" s="62" t="s">
        <v>387</v>
      </c>
      <c r="C101" s="62" t="s">
        <v>60</v>
      </c>
      <c r="D101" s="62" t="s">
        <v>105</v>
      </c>
      <c r="E101" s="62" t="s">
        <v>382</v>
      </c>
      <c r="F101" s="63" t="s">
        <v>277</v>
      </c>
      <c r="G101" s="64" t="n">
        <v>2305309.39781935</v>
      </c>
      <c r="H101" s="62" t="s">
        <v>138</v>
      </c>
    </row>
    <row r="102" customFormat="false" ht="15" hidden="false" customHeight="false" outlineLevel="0" collapsed="false">
      <c r="A102" s="62" t="n">
        <v>0</v>
      </c>
      <c r="B102" s="62" t="s">
        <v>388</v>
      </c>
      <c r="C102" s="62" t="s">
        <v>60</v>
      </c>
      <c r="D102" s="62" t="s">
        <v>105</v>
      </c>
      <c r="E102" s="62" t="s">
        <v>382</v>
      </c>
      <c r="F102" s="63" t="s">
        <v>277</v>
      </c>
      <c r="G102" s="64" t="n">
        <v>2305309.39781935</v>
      </c>
      <c r="H102" s="62" t="s">
        <v>138</v>
      </c>
    </row>
    <row r="103" customFormat="false" ht="15" hidden="false" customHeight="false" outlineLevel="0" collapsed="false">
      <c r="A103" s="62" t="n">
        <v>0</v>
      </c>
      <c r="B103" s="62" t="s">
        <v>381</v>
      </c>
      <c r="C103" s="62" t="s">
        <v>60</v>
      </c>
      <c r="D103" s="62" t="s">
        <v>105</v>
      </c>
      <c r="E103" s="62" t="s">
        <v>382</v>
      </c>
      <c r="F103" s="63" t="s">
        <v>278</v>
      </c>
      <c r="G103" s="64" t="n">
        <v>563691.413924514</v>
      </c>
      <c r="H103" s="62" t="s">
        <v>138</v>
      </c>
    </row>
    <row r="104" customFormat="false" ht="15" hidden="false" customHeight="false" outlineLevel="0" collapsed="false">
      <c r="A104" s="62" t="n">
        <v>0</v>
      </c>
      <c r="B104" s="62" t="s">
        <v>383</v>
      </c>
      <c r="C104" s="62" t="s">
        <v>60</v>
      </c>
      <c r="D104" s="62" t="s">
        <v>105</v>
      </c>
      <c r="E104" s="62" t="s">
        <v>382</v>
      </c>
      <c r="F104" s="63" t="s">
        <v>278</v>
      </c>
      <c r="G104" s="64" t="n">
        <v>563691.413924514</v>
      </c>
      <c r="H104" s="62" t="s">
        <v>138</v>
      </c>
    </row>
    <row r="105" customFormat="false" ht="15" hidden="false" customHeight="false" outlineLevel="0" collapsed="false">
      <c r="A105" s="62" t="n">
        <v>0</v>
      </c>
      <c r="B105" s="62" t="s">
        <v>384</v>
      </c>
      <c r="C105" s="62" t="s">
        <v>60</v>
      </c>
      <c r="D105" s="62" t="s">
        <v>105</v>
      </c>
      <c r="E105" s="62" t="s">
        <v>382</v>
      </c>
      <c r="F105" s="63" t="s">
        <v>278</v>
      </c>
      <c r="G105" s="64" t="n">
        <v>563691.413924514</v>
      </c>
      <c r="H105" s="62" t="s">
        <v>138</v>
      </c>
    </row>
    <row r="106" customFormat="false" ht="15" hidden="false" customHeight="false" outlineLevel="0" collapsed="false">
      <c r="A106" s="62" t="n">
        <v>0</v>
      </c>
      <c r="B106" s="62" t="s">
        <v>385</v>
      </c>
      <c r="C106" s="62" t="s">
        <v>60</v>
      </c>
      <c r="D106" s="62" t="s">
        <v>105</v>
      </c>
      <c r="E106" s="62" t="s">
        <v>382</v>
      </c>
      <c r="F106" s="63" t="s">
        <v>278</v>
      </c>
      <c r="G106" s="64" t="n">
        <v>563691.413924514</v>
      </c>
      <c r="H106" s="62" t="s">
        <v>138</v>
      </c>
    </row>
    <row r="107" customFormat="false" ht="15" hidden="false" customHeight="false" outlineLevel="0" collapsed="false">
      <c r="A107" s="62" t="n">
        <v>0</v>
      </c>
      <c r="B107" s="62" t="s">
        <v>386</v>
      </c>
      <c r="C107" s="62" t="s">
        <v>60</v>
      </c>
      <c r="D107" s="62" t="s">
        <v>105</v>
      </c>
      <c r="E107" s="62" t="s">
        <v>382</v>
      </c>
      <c r="F107" s="63" t="s">
        <v>278</v>
      </c>
      <c r="G107" s="64" t="n">
        <v>563691.413924514</v>
      </c>
      <c r="H107" s="62" t="s">
        <v>138</v>
      </c>
    </row>
    <row r="108" customFormat="false" ht="15" hidden="false" customHeight="false" outlineLevel="0" collapsed="false">
      <c r="A108" s="62" t="n">
        <v>0</v>
      </c>
      <c r="B108" s="62" t="s">
        <v>387</v>
      </c>
      <c r="C108" s="62" t="s">
        <v>60</v>
      </c>
      <c r="D108" s="62" t="s">
        <v>105</v>
      </c>
      <c r="E108" s="62" t="s">
        <v>382</v>
      </c>
      <c r="F108" s="63" t="s">
        <v>278</v>
      </c>
      <c r="G108" s="64" t="n">
        <v>563691.413924514</v>
      </c>
      <c r="H108" s="62" t="s">
        <v>138</v>
      </c>
    </row>
    <row r="109" customFormat="false" ht="15" hidden="false" customHeight="false" outlineLevel="0" collapsed="false">
      <c r="A109" s="62" t="n">
        <v>0</v>
      </c>
      <c r="B109" s="62" t="s">
        <v>388</v>
      </c>
      <c r="C109" s="62" t="s">
        <v>60</v>
      </c>
      <c r="D109" s="62" t="s">
        <v>105</v>
      </c>
      <c r="E109" s="62" t="s">
        <v>382</v>
      </c>
      <c r="F109" s="63" t="s">
        <v>278</v>
      </c>
      <c r="G109" s="64" t="n">
        <v>563691.413924514</v>
      </c>
      <c r="H109" s="62" t="s">
        <v>138</v>
      </c>
    </row>
    <row r="110" customFormat="false" ht="15" hidden="false" customHeight="false" outlineLevel="0" collapsed="false">
      <c r="A110" s="62" t="n">
        <v>0</v>
      </c>
      <c r="B110" s="62" t="s">
        <v>381</v>
      </c>
      <c r="C110" s="62" t="s">
        <v>60</v>
      </c>
      <c r="D110" s="62" t="s">
        <v>105</v>
      </c>
      <c r="E110" s="62" t="s">
        <v>382</v>
      </c>
      <c r="F110" s="63" t="s">
        <v>279</v>
      </c>
      <c r="G110" s="64" t="n">
        <v>1741617.98389484</v>
      </c>
      <c r="H110" s="62" t="s">
        <v>138</v>
      </c>
    </row>
    <row r="111" customFormat="false" ht="15" hidden="false" customHeight="false" outlineLevel="0" collapsed="false">
      <c r="A111" s="62" t="n">
        <v>0</v>
      </c>
      <c r="B111" s="62" t="s">
        <v>383</v>
      </c>
      <c r="C111" s="62" t="s">
        <v>60</v>
      </c>
      <c r="D111" s="62" t="s">
        <v>105</v>
      </c>
      <c r="E111" s="62" t="s">
        <v>382</v>
      </c>
      <c r="F111" s="63" t="s">
        <v>279</v>
      </c>
      <c r="G111" s="64" t="n">
        <v>1741617.98389484</v>
      </c>
      <c r="H111" s="62" t="s">
        <v>138</v>
      </c>
    </row>
    <row r="112" customFormat="false" ht="15" hidden="false" customHeight="false" outlineLevel="0" collapsed="false">
      <c r="A112" s="62" t="n">
        <v>0</v>
      </c>
      <c r="B112" s="62" t="s">
        <v>384</v>
      </c>
      <c r="C112" s="62" t="s">
        <v>60</v>
      </c>
      <c r="D112" s="62" t="s">
        <v>105</v>
      </c>
      <c r="E112" s="62" t="s">
        <v>382</v>
      </c>
      <c r="F112" s="63" t="s">
        <v>279</v>
      </c>
      <c r="G112" s="64" t="n">
        <v>1741617.98389484</v>
      </c>
      <c r="H112" s="62" t="s">
        <v>138</v>
      </c>
    </row>
    <row r="113" customFormat="false" ht="15" hidden="false" customHeight="false" outlineLevel="0" collapsed="false">
      <c r="A113" s="62" t="n">
        <v>0</v>
      </c>
      <c r="B113" s="62" t="s">
        <v>385</v>
      </c>
      <c r="C113" s="62" t="s">
        <v>60</v>
      </c>
      <c r="D113" s="62" t="s">
        <v>105</v>
      </c>
      <c r="E113" s="62" t="s">
        <v>382</v>
      </c>
      <c r="F113" s="63" t="s">
        <v>279</v>
      </c>
      <c r="G113" s="64" t="n">
        <v>1741617.98389484</v>
      </c>
      <c r="H113" s="62" t="s">
        <v>138</v>
      </c>
    </row>
    <row r="114" customFormat="false" ht="15" hidden="false" customHeight="false" outlineLevel="0" collapsed="false">
      <c r="A114" s="62" t="n">
        <v>0</v>
      </c>
      <c r="B114" s="62" t="s">
        <v>386</v>
      </c>
      <c r="C114" s="62" t="s">
        <v>60</v>
      </c>
      <c r="D114" s="62" t="s">
        <v>105</v>
      </c>
      <c r="E114" s="62" t="s">
        <v>382</v>
      </c>
      <c r="F114" s="63" t="s">
        <v>279</v>
      </c>
      <c r="G114" s="64" t="n">
        <v>1741617.98389484</v>
      </c>
      <c r="H114" s="62" t="s">
        <v>138</v>
      </c>
    </row>
    <row r="115" customFormat="false" ht="15" hidden="false" customHeight="false" outlineLevel="0" collapsed="false">
      <c r="A115" s="62" t="n">
        <v>0</v>
      </c>
      <c r="B115" s="62" t="s">
        <v>387</v>
      </c>
      <c r="C115" s="62" t="s">
        <v>60</v>
      </c>
      <c r="D115" s="62" t="s">
        <v>105</v>
      </c>
      <c r="E115" s="62" t="s">
        <v>382</v>
      </c>
      <c r="F115" s="63" t="s">
        <v>279</v>
      </c>
      <c r="G115" s="64" t="n">
        <v>1741617.98389484</v>
      </c>
      <c r="H115" s="62" t="s">
        <v>138</v>
      </c>
    </row>
    <row r="116" customFormat="false" ht="15" hidden="false" customHeight="false" outlineLevel="0" collapsed="false">
      <c r="A116" s="62" t="n">
        <v>0</v>
      </c>
      <c r="B116" s="62" t="s">
        <v>388</v>
      </c>
      <c r="C116" s="62" t="s">
        <v>60</v>
      </c>
      <c r="D116" s="62" t="s">
        <v>105</v>
      </c>
      <c r="E116" s="62" t="s">
        <v>382</v>
      </c>
      <c r="F116" s="63" t="s">
        <v>279</v>
      </c>
      <c r="G116" s="64" t="n">
        <v>1741617.98389484</v>
      </c>
      <c r="H116" s="62" t="s">
        <v>138</v>
      </c>
    </row>
    <row r="117" customFormat="false" ht="15" hidden="false" customHeight="false" outlineLevel="0" collapsed="false">
      <c r="A117" s="62" t="n">
        <v>0</v>
      </c>
      <c r="B117" s="62" t="s">
        <v>381</v>
      </c>
      <c r="C117" s="62" t="s">
        <v>60</v>
      </c>
      <c r="D117" s="62" t="s">
        <v>105</v>
      </c>
      <c r="E117" s="62" t="s">
        <v>382</v>
      </c>
      <c r="F117" s="63" t="s">
        <v>281</v>
      </c>
      <c r="G117" s="64" t="n">
        <v>10828204.2</v>
      </c>
      <c r="H117" s="62" t="s">
        <v>138</v>
      </c>
    </row>
    <row r="118" customFormat="false" ht="15" hidden="false" customHeight="false" outlineLevel="0" collapsed="false">
      <c r="A118" s="62" t="n">
        <v>0</v>
      </c>
      <c r="B118" s="62" t="s">
        <v>383</v>
      </c>
      <c r="C118" s="62" t="s">
        <v>60</v>
      </c>
      <c r="D118" s="62" t="s">
        <v>105</v>
      </c>
      <c r="E118" s="62" t="s">
        <v>382</v>
      </c>
      <c r="F118" s="63" t="s">
        <v>281</v>
      </c>
      <c r="G118" s="64" t="n">
        <v>10828204.2</v>
      </c>
      <c r="H118" s="62" t="s">
        <v>138</v>
      </c>
    </row>
    <row r="119" customFormat="false" ht="15" hidden="false" customHeight="false" outlineLevel="0" collapsed="false">
      <c r="A119" s="62" t="n">
        <v>0</v>
      </c>
      <c r="B119" s="62" t="s">
        <v>384</v>
      </c>
      <c r="C119" s="62" t="s">
        <v>60</v>
      </c>
      <c r="D119" s="62" t="s">
        <v>105</v>
      </c>
      <c r="E119" s="62" t="s">
        <v>382</v>
      </c>
      <c r="F119" s="63" t="s">
        <v>281</v>
      </c>
      <c r="G119" s="64" t="n">
        <v>10828204.2</v>
      </c>
      <c r="H119" s="62" t="s">
        <v>138</v>
      </c>
    </row>
    <row r="120" customFormat="false" ht="15" hidden="false" customHeight="false" outlineLevel="0" collapsed="false">
      <c r="A120" s="62" t="n">
        <v>0</v>
      </c>
      <c r="B120" s="62" t="s">
        <v>385</v>
      </c>
      <c r="C120" s="62" t="s">
        <v>60</v>
      </c>
      <c r="D120" s="62" t="s">
        <v>105</v>
      </c>
      <c r="E120" s="62" t="s">
        <v>382</v>
      </c>
      <c r="F120" s="63" t="s">
        <v>281</v>
      </c>
      <c r="G120" s="64" t="n">
        <v>10828204.2</v>
      </c>
      <c r="H120" s="62" t="s">
        <v>138</v>
      </c>
    </row>
    <row r="121" customFormat="false" ht="15" hidden="false" customHeight="false" outlineLevel="0" collapsed="false">
      <c r="A121" s="62" t="n">
        <v>0</v>
      </c>
      <c r="B121" s="62" t="s">
        <v>386</v>
      </c>
      <c r="C121" s="62" t="s">
        <v>60</v>
      </c>
      <c r="D121" s="62" t="s">
        <v>105</v>
      </c>
      <c r="E121" s="62" t="s">
        <v>382</v>
      </c>
      <c r="F121" s="63" t="s">
        <v>281</v>
      </c>
      <c r="G121" s="64" t="n">
        <v>10828204.2</v>
      </c>
      <c r="H121" s="62" t="s">
        <v>138</v>
      </c>
    </row>
    <row r="122" customFormat="false" ht="15" hidden="false" customHeight="false" outlineLevel="0" collapsed="false">
      <c r="A122" s="62" t="n">
        <v>0</v>
      </c>
      <c r="B122" s="62" t="s">
        <v>387</v>
      </c>
      <c r="C122" s="62" t="s">
        <v>60</v>
      </c>
      <c r="D122" s="62" t="s">
        <v>105</v>
      </c>
      <c r="E122" s="62" t="s">
        <v>382</v>
      </c>
      <c r="F122" s="63" t="s">
        <v>281</v>
      </c>
      <c r="G122" s="64" t="n">
        <v>10828204.2</v>
      </c>
      <c r="H122" s="62" t="s">
        <v>138</v>
      </c>
    </row>
    <row r="123" customFormat="false" ht="15" hidden="false" customHeight="false" outlineLevel="0" collapsed="false">
      <c r="A123" s="62" t="n">
        <v>0</v>
      </c>
      <c r="B123" s="62" t="s">
        <v>388</v>
      </c>
      <c r="C123" s="62" t="s">
        <v>60</v>
      </c>
      <c r="D123" s="62" t="s">
        <v>105</v>
      </c>
      <c r="E123" s="62" t="s">
        <v>382</v>
      </c>
      <c r="F123" s="63" t="s">
        <v>281</v>
      </c>
      <c r="G123" s="64" t="n">
        <v>10828204.2</v>
      </c>
      <c r="H123" s="62" t="s">
        <v>138</v>
      </c>
    </row>
    <row r="124" customFormat="false" ht="15" hidden="false" customHeight="false" outlineLevel="0" collapsed="false">
      <c r="A124" s="62" t="n">
        <v>0</v>
      </c>
      <c r="B124" s="62" t="s">
        <v>381</v>
      </c>
      <c r="C124" s="62" t="s">
        <v>60</v>
      </c>
      <c r="D124" s="62" t="s">
        <v>105</v>
      </c>
      <c r="E124" s="62" t="s">
        <v>382</v>
      </c>
      <c r="F124" s="63" t="s">
        <v>282</v>
      </c>
      <c r="G124" s="64" t="n">
        <v>0</v>
      </c>
      <c r="H124" s="62" t="s">
        <v>138</v>
      </c>
    </row>
    <row r="125" customFormat="false" ht="15" hidden="false" customHeight="false" outlineLevel="0" collapsed="false">
      <c r="A125" s="62" t="n">
        <v>0</v>
      </c>
      <c r="B125" s="62" t="s">
        <v>383</v>
      </c>
      <c r="C125" s="62" t="s">
        <v>60</v>
      </c>
      <c r="D125" s="62" t="s">
        <v>105</v>
      </c>
      <c r="E125" s="62" t="s">
        <v>382</v>
      </c>
      <c r="F125" s="63" t="s">
        <v>282</v>
      </c>
      <c r="G125" s="64" t="n">
        <v>0</v>
      </c>
      <c r="H125" s="62" t="s">
        <v>138</v>
      </c>
    </row>
    <row r="126" customFormat="false" ht="15" hidden="false" customHeight="false" outlineLevel="0" collapsed="false">
      <c r="A126" s="62" t="n">
        <v>0</v>
      </c>
      <c r="B126" s="62" t="s">
        <v>384</v>
      </c>
      <c r="C126" s="62" t="s">
        <v>60</v>
      </c>
      <c r="D126" s="62" t="s">
        <v>105</v>
      </c>
      <c r="E126" s="62" t="s">
        <v>382</v>
      </c>
      <c r="F126" s="63" t="s">
        <v>282</v>
      </c>
      <c r="G126" s="64" t="n">
        <v>0</v>
      </c>
      <c r="H126" s="62" t="s">
        <v>138</v>
      </c>
    </row>
    <row r="127" customFormat="false" ht="15" hidden="false" customHeight="false" outlineLevel="0" collapsed="false">
      <c r="A127" s="62" t="n">
        <v>0</v>
      </c>
      <c r="B127" s="62" t="s">
        <v>385</v>
      </c>
      <c r="C127" s="62" t="s">
        <v>60</v>
      </c>
      <c r="D127" s="62" t="s">
        <v>105</v>
      </c>
      <c r="E127" s="62" t="s">
        <v>382</v>
      </c>
      <c r="F127" s="63" t="s">
        <v>282</v>
      </c>
      <c r="G127" s="64" t="n">
        <v>0</v>
      </c>
      <c r="H127" s="62" t="s">
        <v>138</v>
      </c>
    </row>
    <row r="128" customFormat="false" ht="15" hidden="false" customHeight="false" outlineLevel="0" collapsed="false">
      <c r="A128" s="62" t="n">
        <v>0</v>
      </c>
      <c r="B128" s="62" t="s">
        <v>386</v>
      </c>
      <c r="C128" s="62" t="s">
        <v>60</v>
      </c>
      <c r="D128" s="62" t="s">
        <v>105</v>
      </c>
      <c r="E128" s="62" t="s">
        <v>382</v>
      </c>
      <c r="F128" s="63" t="s">
        <v>282</v>
      </c>
      <c r="G128" s="64" t="n">
        <v>0</v>
      </c>
      <c r="H128" s="62" t="s">
        <v>138</v>
      </c>
    </row>
    <row r="129" customFormat="false" ht="15" hidden="false" customHeight="false" outlineLevel="0" collapsed="false">
      <c r="A129" s="62" t="n">
        <v>0</v>
      </c>
      <c r="B129" s="62" t="s">
        <v>387</v>
      </c>
      <c r="C129" s="62" t="s">
        <v>60</v>
      </c>
      <c r="D129" s="62" t="s">
        <v>105</v>
      </c>
      <c r="E129" s="62" t="s">
        <v>382</v>
      </c>
      <c r="F129" s="63" t="s">
        <v>282</v>
      </c>
      <c r="G129" s="64" t="n">
        <v>0</v>
      </c>
      <c r="H129" s="62" t="s">
        <v>138</v>
      </c>
    </row>
    <row r="130" customFormat="false" ht="15" hidden="false" customHeight="false" outlineLevel="0" collapsed="false">
      <c r="A130" s="62" t="n">
        <v>0</v>
      </c>
      <c r="B130" s="62" t="s">
        <v>388</v>
      </c>
      <c r="C130" s="62" t="s">
        <v>60</v>
      </c>
      <c r="D130" s="62" t="s">
        <v>105</v>
      </c>
      <c r="E130" s="62" t="s">
        <v>382</v>
      </c>
      <c r="F130" s="63" t="s">
        <v>282</v>
      </c>
      <c r="G130" s="64" t="n">
        <v>0</v>
      </c>
      <c r="H130" s="62" t="s">
        <v>138</v>
      </c>
    </row>
    <row r="131" customFormat="false" ht="15" hidden="false" customHeight="false" outlineLevel="0" collapsed="false">
      <c r="A131" s="62" t="n">
        <v>0</v>
      </c>
      <c r="B131" s="62" t="s">
        <v>381</v>
      </c>
      <c r="C131" s="62" t="s">
        <v>60</v>
      </c>
      <c r="D131" s="62" t="s">
        <v>105</v>
      </c>
      <c r="E131" s="62" t="s">
        <v>382</v>
      </c>
      <c r="F131" s="63" t="s">
        <v>283</v>
      </c>
      <c r="G131" s="64" t="n">
        <v>1520326.5</v>
      </c>
      <c r="H131" s="62" t="s">
        <v>138</v>
      </c>
    </row>
    <row r="132" customFormat="false" ht="15" hidden="false" customHeight="false" outlineLevel="0" collapsed="false">
      <c r="A132" s="62" t="n">
        <v>0</v>
      </c>
      <c r="B132" s="62" t="s">
        <v>383</v>
      </c>
      <c r="C132" s="62" t="s">
        <v>60</v>
      </c>
      <c r="D132" s="62" t="s">
        <v>105</v>
      </c>
      <c r="E132" s="62" t="s">
        <v>382</v>
      </c>
      <c r="F132" s="63" t="s">
        <v>283</v>
      </c>
      <c r="G132" s="64" t="n">
        <v>1520326.5</v>
      </c>
      <c r="H132" s="62" t="s">
        <v>138</v>
      </c>
    </row>
    <row r="133" customFormat="false" ht="15" hidden="false" customHeight="false" outlineLevel="0" collapsed="false">
      <c r="A133" s="62" t="n">
        <v>0</v>
      </c>
      <c r="B133" s="62" t="s">
        <v>384</v>
      </c>
      <c r="C133" s="62" t="s">
        <v>60</v>
      </c>
      <c r="D133" s="62" t="s">
        <v>105</v>
      </c>
      <c r="E133" s="62" t="s">
        <v>382</v>
      </c>
      <c r="F133" s="63" t="s">
        <v>283</v>
      </c>
      <c r="G133" s="64" t="n">
        <v>1520326.5</v>
      </c>
      <c r="H133" s="62" t="s">
        <v>138</v>
      </c>
    </row>
    <row r="134" customFormat="false" ht="15" hidden="false" customHeight="false" outlineLevel="0" collapsed="false">
      <c r="A134" s="62" t="n">
        <v>0</v>
      </c>
      <c r="B134" s="62" t="s">
        <v>385</v>
      </c>
      <c r="C134" s="62" t="s">
        <v>60</v>
      </c>
      <c r="D134" s="62" t="s">
        <v>105</v>
      </c>
      <c r="E134" s="62" t="s">
        <v>382</v>
      </c>
      <c r="F134" s="63" t="s">
        <v>283</v>
      </c>
      <c r="G134" s="64" t="n">
        <v>1520326.5</v>
      </c>
      <c r="H134" s="62" t="s">
        <v>138</v>
      </c>
    </row>
    <row r="135" customFormat="false" ht="15" hidden="false" customHeight="false" outlineLevel="0" collapsed="false">
      <c r="A135" s="62" t="n">
        <v>0</v>
      </c>
      <c r="B135" s="62" t="s">
        <v>386</v>
      </c>
      <c r="C135" s="62" t="s">
        <v>60</v>
      </c>
      <c r="D135" s="62" t="s">
        <v>105</v>
      </c>
      <c r="E135" s="62" t="s">
        <v>382</v>
      </c>
      <c r="F135" s="63" t="s">
        <v>283</v>
      </c>
      <c r="G135" s="64" t="n">
        <v>1520326.5</v>
      </c>
      <c r="H135" s="62" t="s">
        <v>138</v>
      </c>
    </row>
    <row r="136" customFormat="false" ht="15" hidden="false" customHeight="false" outlineLevel="0" collapsed="false">
      <c r="A136" s="62" t="n">
        <v>0</v>
      </c>
      <c r="B136" s="62" t="s">
        <v>387</v>
      </c>
      <c r="C136" s="62" t="s">
        <v>60</v>
      </c>
      <c r="D136" s="62" t="s">
        <v>105</v>
      </c>
      <c r="E136" s="62" t="s">
        <v>382</v>
      </c>
      <c r="F136" s="63" t="s">
        <v>283</v>
      </c>
      <c r="G136" s="64" t="n">
        <v>1520326.5</v>
      </c>
      <c r="H136" s="62" t="s">
        <v>138</v>
      </c>
    </row>
    <row r="137" customFormat="false" ht="15" hidden="false" customHeight="false" outlineLevel="0" collapsed="false">
      <c r="A137" s="62" t="n">
        <v>0</v>
      </c>
      <c r="B137" s="62" t="s">
        <v>388</v>
      </c>
      <c r="C137" s="62" t="s">
        <v>60</v>
      </c>
      <c r="D137" s="62" t="s">
        <v>105</v>
      </c>
      <c r="E137" s="62" t="s">
        <v>382</v>
      </c>
      <c r="F137" s="63" t="s">
        <v>283</v>
      </c>
      <c r="G137" s="64" t="n">
        <v>1520326.5</v>
      </c>
      <c r="H137" s="62" t="s">
        <v>138</v>
      </c>
    </row>
    <row r="138" customFormat="false" ht="15" hidden="false" customHeight="false" outlineLevel="0" collapsed="false">
      <c r="A138" s="62" t="n">
        <v>0</v>
      </c>
      <c r="B138" s="62" t="s">
        <v>381</v>
      </c>
      <c r="C138" s="62" t="s">
        <v>60</v>
      </c>
      <c r="D138" s="62" t="s">
        <v>105</v>
      </c>
      <c r="E138" s="62" t="s">
        <v>382</v>
      </c>
      <c r="F138" s="63" t="s">
        <v>284</v>
      </c>
      <c r="G138" s="64" t="n">
        <v>10817319.0478053</v>
      </c>
      <c r="H138" s="62" t="s">
        <v>138</v>
      </c>
    </row>
    <row r="139" customFormat="false" ht="15" hidden="false" customHeight="false" outlineLevel="0" collapsed="false">
      <c r="A139" s="62" t="n">
        <v>0</v>
      </c>
      <c r="B139" s="62" t="s">
        <v>383</v>
      </c>
      <c r="C139" s="62" t="s">
        <v>60</v>
      </c>
      <c r="D139" s="62" t="s">
        <v>105</v>
      </c>
      <c r="E139" s="62" t="s">
        <v>382</v>
      </c>
      <c r="F139" s="63" t="s">
        <v>284</v>
      </c>
      <c r="G139" s="64" t="n">
        <v>10817319.0478053</v>
      </c>
      <c r="H139" s="62" t="s">
        <v>138</v>
      </c>
    </row>
    <row r="140" customFormat="false" ht="15" hidden="false" customHeight="false" outlineLevel="0" collapsed="false">
      <c r="A140" s="62" t="n">
        <v>0</v>
      </c>
      <c r="B140" s="62" t="s">
        <v>384</v>
      </c>
      <c r="C140" s="62" t="s">
        <v>60</v>
      </c>
      <c r="D140" s="62" t="s">
        <v>105</v>
      </c>
      <c r="E140" s="62" t="s">
        <v>382</v>
      </c>
      <c r="F140" s="63" t="s">
        <v>284</v>
      </c>
      <c r="G140" s="64" t="n">
        <v>10817319.0478053</v>
      </c>
      <c r="H140" s="62" t="s">
        <v>138</v>
      </c>
    </row>
    <row r="141" customFormat="false" ht="15" hidden="false" customHeight="false" outlineLevel="0" collapsed="false">
      <c r="A141" s="62" t="n">
        <v>0</v>
      </c>
      <c r="B141" s="62" t="s">
        <v>385</v>
      </c>
      <c r="C141" s="62" t="s">
        <v>60</v>
      </c>
      <c r="D141" s="62" t="s">
        <v>105</v>
      </c>
      <c r="E141" s="62" t="s">
        <v>382</v>
      </c>
      <c r="F141" s="63" t="s">
        <v>284</v>
      </c>
      <c r="G141" s="64" t="n">
        <v>10817319.0478053</v>
      </c>
      <c r="H141" s="62" t="s">
        <v>138</v>
      </c>
    </row>
    <row r="142" customFormat="false" ht="15" hidden="false" customHeight="false" outlineLevel="0" collapsed="false">
      <c r="A142" s="62" t="n">
        <v>0</v>
      </c>
      <c r="B142" s="62" t="s">
        <v>386</v>
      </c>
      <c r="C142" s="62" t="s">
        <v>60</v>
      </c>
      <c r="D142" s="62" t="s">
        <v>105</v>
      </c>
      <c r="E142" s="62" t="s">
        <v>382</v>
      </c>
      <c r="F142" s="63" t="s">
        <v>284</v>
      </c>
      <c r="G142" s="64" t="n">
        <v>10817319.0478053</v>
      </c>
      <c r="H142" s="62" t="s">
        <v>138</v>
      </c>
    </row>
    <row r="143" customFormat="false" ht="15" hidden="false" customHeight="false" outlineLevel="0" collapsed="false">
      <c r="A143" s="62" t="n">
        <v>0</v>
      </c>
      <c r="B143" s="62" t="s">
        <v>387</v>
      </c>
      <c r="C143" s="62" t="s">
        <v>60</v>
      </c>
      <c r="D143" s="62" t="s">
        <v>105</v>
      </c>
      <c r="E143" s="62" t="s">
        <v>382</v>
      </c>
      <c r="F143" s="63" t="s">
        <v>284</v>
      </c>
      <c r="G143" s="64" t="n">
        <v>10817319.0478053</v>
      </c>
      <c r="H143" s="62" t="s">
        <v>138</v>
      </c>
    </row>
    <row r="144" customFormat="false" ht="15" hidden="false" customHeight="false" outlineLevel="0" collapsed="false">
      <c r="A144" s="62" t="n">
        <v>0</v>
      </c>
      <c r="B144" s="62" t="s">
        <v>388</v>
      </c>
      <c r="C144" s="62" t="s">
        <v>60</v>
      </c>
      <c r="D144" s="62" t="s">
        <v>105</v>
      </c>
      <c r="E144" s="62" t="s">
        <v>382</v>
      </c>
      <c r="F144" s="63" t="s">
        <v>284</v>
      </c>
      <c r="G144" s="64" t="n">
        <v>10817319.0478053</v>
      </c>
      <c r="H144" s="62" t="s">
        <v>138</v>
      </c>
    </row>
    <row r="145" customFormat="false" ht="15" hidden="false" customHeight="false" outlineLevel="0" collapsed="false">
      <c r="A145" s="62" t="n">
        <v>0</v>
      </c>
      <c r="B145" s="62" t="s">
        <v>381</v>
      </c>
      <c r="C145" s="62" t="s">
        <v>60</v>
      </c>
      <c r="D145" s="62" t="s">
        <v>105</v>
      </c>
      <c r="E145" s="62" t="s">
        <v>382</v>
      </c>
      <c r="F145" s="63" t="s">
        <v>285</v>
      </c>
      <c r="G145" s="64" t="n">
        <v>23165849.7478053</v>
      </c>
      <c r="H145" s="62" t="s">
        <v>138</v>
      </c>
    </row>
    <row r="146" customFormat="false" ht="15" hidden="false" customHeight="false" outlineLevel="0" collapsed="false">
      <c r="A146" s="62" t="n">
        <v>0</v>
      </c>
      <c r="B146" s="62" t="s">
        <v>383</v>
      </c>
      <c r="C146" s="62" t="s">
        <v>60</v>
      </c>
      <c r="D146" s="62" t="s">
        <v>105</v>
      </c>
      <c r="E146" s="62" t="s">
        <v>382</v>
      </c>
      <c r="F146" s="63" t="s">
        <v>285</v>
      </c>
      <c r="G146" s="64" t="n">
        <v>23165849.7478053</v>
      </c>
      <c r="H146" s="62" t="s">
        <v>138</v>
      </c>
    </row>
    <row r="147" customFormat="false" ht="15" hidden="false" customHeight="false" outlineLevel="0" collapsed="false">
      <c r="A147" s="62" t="n">
        <v>0</v>
      </c>
      <c r="B147" s="62" t="s">
        <v>384</v>
      </c>
      <c r="C147" s="62" t="s">
        <v>60</v>
      </c>
      <c r="D147" s="62" t="s">
        <v>105</v>
      </c>
      <c r="E147" s="62" t="s">
        <v>382</v>
      </c>
      <c r="F147" s="63" t="s">
        <v>285</v>
      </c>
      <c r="G147" s="64" t="n">
        <v>23165849.7478053</v>
      </c>
      <c r="H147" s="62" t="s">
        <v>138</v>
      </c>
    </row>
    <row r="148" customFormat="false" ht="15" hidden="false" customHeight="false" outlineLevel="0" collapsed="false">
      <c r="A148" s="62" t="n">
        <v>0</v>
      </c>
      <c r="B148" s="62" t="s">
        <v>385</v>
      </c>
      <c r="C148" s="62" t="s">
        <v>60</v>
      </c>
      <c r="D148" s="62" t="s">
        <v>105</v>
      </c>
      <c r="E148" s="62" t="s">
        <v>382</v>
      </c>
      <c r="F148" s="63" t="s">
        <v>285</v>
      </c>
      <c r="G148" s="64" t="n">
        <v>23165849.7478053</v>
      </c>
      <c r="H148" s="62" t="s">
        <v>138</v>
      </c>
    </row>
    <row r="149" customFormat="false" ht="15" hidden="false" customHeight="false" outlineLevel="0" collapsed="false">
      <c r="A149" s="62" t="n">
        <v>0</v>
      </c>
      <c r="B149" s="62" t="s">
        <v>386</v>
      </c>
      <c r="C149" s="62" t="s">
        <v>60</v>
      </c>
      <c r="D149" s="62" t="s">
        <v>105</v>
      </c>
      <c r="E149" s="62" t="s">
        <v>382</v>
      </c>
      <c r="F149" s="63" t="s">
        <v>285</v>
      </c>
      <c r="G149" s="64" t="n">
        <v>23165849.7478053</v>
      </c>
      <c r="H149" s="62" t="s">
        <v>138</v>
      </c>
    </row>
    <row r="150" customFormat="false" ht="15" hidden="false" customHeight="false" outlineLevel="0" collapsed="false">
      <c r="A150" s="62" t="n">
        <v>0</v>
      </c>
      <c r="B150" s="62" t="s">
        <v>387</v>
      </c>
      <c r="C150" s="62" t="s">
        <v>60</v>
      </c>
      <c r="D150" s="62" t="s">
        <v>105</v>
      </c>
      <c r="E150" s="62" t="s">
        <v>382</v>
      </c>
      <c r="F150" s="63" t="s">
        <v>285</v>
      </c>
      <c r="G150" s="64" t="n">
        <v>23165849.7478053</v>
      </c>
      <c r="H150" s="62" t="s">
        <v>138</v>
      </c>
    </row>
    <row r="151" customFormat="false" ht="15" hidden="false" customHeight="false" outlineLevel="0" collapsed="false">
      <c r="A151" s="62" t="n">
        <v>0</v>
      </c>
      <c r="B151" s="62" t="s">
        <v>388</v>
      </c>
      <c r="C151" s="62" t="s">
        <v>60</v>
      </c>
      <c r="D151" s="62" t="s">
        <v>105</v>
      </c>
      <c r="E151" s="62" t="s">
        <v>382</v>
      </c>
      <c r="F151" s="63" t="s">
        <v>285</v>
      </c>
      <c r="G151" s="64" t="n">
        <v>23165849.7478053</v>
      </c>
      <c r="H151" s="62" t="s">
        <v>138</v>
      </c>
    </row>
    <row r="152" customFormat="false" ht="15" hidden="false" customHeight="false" outlineLevel="0" collapsed="false">
      <c r="A152" s="62" t="n">
        <v>0</v>
      </c>
      <c r="B152" s="62" t="s">
        <v>381</v>
      </c>
      <c r="C152" s="62" t="s">
        <v>60</v>
      </c>
      <c r="D152" s="62" t="s">
        <v>105</v>
      </c>
      <c r="E152" s="62" t="s">
        <v>382</v>
      </c>
      <c r="F152" s="63" t="s">
        <v>396</v>
      </c>
      <c r="G152" s="64" t="n">
        <v>5500000</v>
      </c>
      <c r="H152" s="62" t="s">
        <v>138</v>
      </c>
    </row>
    <row r="153" customFormat="false" ht="15" hidden="false" customHeight="false" outlineLevel="0" collapsed="false">
      <c r="A153" s="62" t="n">
        <v>0</v>
      </c>
      <c r="B153" s="62" t="s">
        <v>383</v>
      </c>
      <c r="C153" s="62" t="s">
        <v>60</v>
      </c>
      <c r="D153" s="62" t="s">
        <v>105</v>
      </c>
      <c r="E153" s="62" t="s">
        <v>382</v>
      </c>
      <c r="F153" s="63" t="s">
        <v>396</v>
      </c>
      <c r="G153" s="64" t="n">
        <v>5500000</v>
      </c>
      <c r="H153" s="62" t="s">
        <v>138</v>
      </c>
    </row>
    <row r="154" customFormat="false" ht="15" hidden="false" customHeight="false" outlineLevel="0" collapsed="false">
      <c r="A154" s="62" t="n">
        <v>0</v>
      </c>
      <c r="B154" s="62" t="s">
        <v>384</v>
      </c>
      <c r="C154" s="62" t="s">
        <v>60</v>
      </c>
      <c r="D154" s="62" t="s">
        <v>105</v>
      </c>
      <c r="E154" s="62" t="s">
        <v>382</v>
      </c>
      <c r="F154" s="63" t="s">
        <v>396</v>
      </c>
      <c r="G154" s="64" t="n">
        <v>5500000</v>
      </c>
      <c r="H154" s="62" t="s">
        <v>138</v>
      </c>
    </row>
    <row r="155" customFormat="false" ht="15" hidden="false" customHeight="false" outlineLevel="0" collapsed="false">
      <c r="A155" s="62" t="n">
        <v>0</v>
      </c>
      <c r="B155" s="62" t="s">
        <v>385</v>
      </c>
      <c r="C155" s="62" t="s">
        <v>60</v>
      </c>
      <c r="D155" s="62" t="s">
        <v>105</v>
      </c>
      <c r="E155" s="62" t="s">
        <v>382</v>
      </c>
      <c r="F155" s="63" t="s">
        <v>396</v>
      </c>
      <c r="G155" s="64" t="n">
        <v>5500000</v>
      </c>
      <c r="H155" s="62" t="s">
        <v>138</v>
      </c>
    </row>
    <row r="156" customFormat="false" ht="15" hidden="false" customHeight="false" outlineLevel="0" collapsed="false">
      <c r="A156" s="62" t="n">
        <v>0</v>
      </c>
      <c r="B156" s="62" t="s">
        <v>386</v>
      </c>
      <c r="C156" s="62" t="s">
        <v>60</v>
      </c>
      <c r="D156" s="62" t="s">
        <v>105</v>
      </c>
      <c r="E156" s="62" t="s">
        <v>382</v>
      </c>
      <c r="F156" s="63" t="s">
        <v>396</v>
      </c>
      <c r="G156" s="64" t="n">
        <v>5500000</v>
      </c>
      <c r="H156" s="62" t="s">
        <v>138</v>
      </c>
    </row>
    <row r="157" customFormat="false" ht="15" hidden="false" customHeight="false" outlineLevel="0" collapsed="false">
      <c r="A157" s="62" t="n">
        <v>0</v>
      </c>
      <c r="B157" s="62" t="s">
        <v>387</v>
      </c>
      <c r="C157" s="62" t="s">
        <v>60</v>
      </c>
      <c r="D157" s="62" t="s">
        <v>105</v>
      </c>
      <c r="E157" s="62" t="s">
        <v>382</v>
      </c>
      <c r="F157" s="63" t="s">
        <v>396</v>
      </c>
      <c r="G157" s="64" t="n">
        <v>5500000</v>
      </c>
      <c r="H157" s="62" t="s">
        <v>138</v>
      </c>
    </row>
    <row r="158" customFormat="false" ht="15" hidden="false" customHeight="false" outlineLevel="0" collapsed="false">
      <c r="A158" s="62" t="n">
        <v>0</v>
      </c>
      <c r="B158" s="62" t="s">
        <v>388</v>
      </c>
      <c r="C158" s="62" t="s">
        <v>60</v>
      </c>
      <c r="D158" s="62" t="s">
        <v>105</v>
      </c>
      <c r="E158" s="62" t="s">
        <v>382</v>
      </c>
      <c r="F158" s="63" t="s">
        <v>396</v>
      </c>
      <c r="G158" s="64" t="n">
        <v>5500000</v>
      </c>
      <c r="H158" s="62" t="s">
        <v>138</v>
      </c>
    </row>
    <row r="159" customFormat="false" ht="15" hidden="false" customHeight="false" outlineLevel="0" collapsed="false">
      <c r="A159" s="62" t="n">
        <v>0</v>
      </c>
      <c r="B159" s="62" t="s">
        <v>381</v>
      </c>
      <c r="C159" s="62" t="s">
        <v>60</v>
      </c>
      <c r="D159" s="62" t="s">
        <v>105</v>
      </c>
      <c r="E159" s="62" t="s">
        <v>382</v>
      </c>
      <c r="F159" s="63" t="s">
        <v>397</v>
      </c>
      <c r="G159" s="64" t="n">
        <v>0</v>
      </c>
      <c r="H159" s="62" t="s">
        <v>138</v>
      </c>
    </row>
    <row r="160" customFormat="false" ht="15" hidden="false" customHeight="false" outlineLevel="0" collapsed="false">
      <c r="A160" s="62" t="n">
        <v>0</v>
      </c>
      <c r="B160" s="62" t="s">
        <v>383</v>
      </c>
      <c r="C160" s="62" t="s">
        <v>60</v>
      </c>
      <c r="D160" s="62" t="s">
        <v>105</v>
      </c>
      <c r="E160" s="62" t="s">
        <v>382</v>
      </c>
      <c r="F160" s="63" t="s">
        <v>397</v>
      </c>
      <c r="G160" s="64" t="n">
        <v>0</v>
      </c>
      <c r="H160" s="62" t="s">
        <v>138</v>
      </c>
    </row>
    <row r="161" customFormat="false" ht="15" hidden="false" customHeight="false" outlineLevel="0" collapsed="false">
      <c r="A161" s="62" t="n">
        <v>0</v>
      </c>
      <c r="B161" s="62" t="s">
        <v>384</v>
      </c>
      <c r="C161" s="62" t="s">
        <v>60</v>
      </c>
      <c r="D161" s="62" t="s">
        <v>105</v>
      </c>
      <c r="E161" s="62" t="s">
        <v>382</v>
      </c>
      <c r="F161" s="63" t="s">
        <v>397</v>
      </c>
      <c r="G161" s="64" t="n">
        <v>0</v>
      </c>
      <c r="H161" s="62" t="s">
        <v>138</v>
      </c>
    </row>
    <row r="162" customFormat="false" ht="15" hidden="false" customHeight="false" outlineLevel="0" collapsed="false">
      <c r="A162" s="62" t="n">
        <v>0</v>
      </c>
      <c r="B162" s="62" t="s">
        <v>385</v>
      </c>
      <c r="C162" s="62" t="s">
        <v>60</v>
      </c>
      <c r="D162" s="62" t="s">
        <v>105</v>
      </c>
      <c r="E162" s="62" t="s">
        <v>382</v>
      </c>
      <c r="F162" s="63" t="s">
        <v>397</v>
      </c>
      <c r="G162" s="64" t="n">
        <v>0</v>
      </c>
      <c r="H162" s="62" t="s">
        <v>138</v>
      </c>
    </row>
    <row r="163" customFormat="false" ht="15" hidden="false" customHeight="false" outlineLevel="0" collapsed="false">
      <c r="A163" s="62" t="n">
        <v>0</v>
      </c>
      <c r="B163" s="62" t="s">
        <v>386</v>
      </c>
      <c r="C163" s="62" t="s">
        <v>60</v>
      </c>
      <c r="D163" s="62" t="s">
        <v>105</v>
      </c>
      <c r="E163" s="62" t="s">
        <v>382</v>
      </c>
      <c r="F163" s="63" t="s">
        <v>397</v>
      </c>
      <c r="G163" s="64" t="n">
        <v>0</v>
      </c>
      <c r="H163" s="62" t="s">
        <v>138</v>
      </c>
    </row>
    <row r="164" customFormat="false" ht="15" hidden="false" customHeight="false" outlineLevel="0" collapsed="false">
      <c r="A164" s="62" t="n">
        <v>0</v>
      </c>
      <c r="B164" s="62" t="s">
        <v>387</v>
      </c>
      <c r="C164" s="62" t="s">
        <v>60</v>
      </c>
      <c r="D164" s="62" t="s">
        <v>105</v>
      </c>
      <c r="E164" s="62" t="s">
        <v>382</v>
      </c>
      <c r="F164" s="63" t="s">
        <v>397</v>
      </c>
      <c r="G164" s="64" t="n">
        <v>0</v>
      </c>
      <c r="H164" s="62" t="s">
        <v>138</v>
      </c>
    </row>
    <row r="165" customFormat="false" ht="15" hidden="false" customHeight="false" outlineLevel="0" collapsed="false">
      <c r="A165" s="62" t="n">
        <v>0</v>
      </c>
      <c r="B165" s="62" t="s">
        <v>388</v>
      </c>
      <c r="C165" s="62" t="s">
        <v>60</v>
      </c>
      <c r="D165" s="62" t="s">
        <v>105</v>
      </c>
      <c r="E165" s="62" t="s">
        <v>382</v>
      </c>
      <c r="F165" s="63" t="s">
        <v>397</v>
      </c>
      <c r="G165" s="64" t="n">
        <v>0</v>
      </c>
      <c r="H165" s="62" t="s">
        <v>138</v>
      </c>
    </row>
    <row r="166" customFormat="false" ht="15" hidden="false" customHeight="false" outlineLevel="0" collapsed="false">
      <c r="A166" s="62" t="n">
        <v>0</v>
      </c>
      <c r="B166" s="62" t="s">
        <v>381</v>
      </c>
      <c r="C166" s="62" t="s">
        <v>60</v>
      </c>
      <c r="D166" s="62" t="s">
        <v>105</v>
      </c>
      <c r="E166" s="62" t="s">
        <v>382</v>
      </c>
      <c r="F166" s="63" t="s">
        <v>398</v>
      </c>
      <c r="G166" s="64" t="n">
        <v>2761944</v>
      </c>
      <c r="H166" s="62" t="s">
        <v>138</v>
      </c>
    </row>
    <row r="167" customFormat="false" ht="15" hidden="false" customHeight="false" outlineLevel="0" collapsed="false">
      <c r="A167" s="62" t="n">
        <v>0</v>
      </c>
      <c r="B167" s="62" t="s">
        <v>383</v>
      </c>
      <c r="C167" s="62" t="s">
        <v>60</v>
      </c>
      <c r="D167" s="62" t="s">
        <v>105</v>
      </c>
      <c r="E167" s="62" t="s">
        <v>382</v>
      </c>
      <c r="F167" s="63" t="s">
        <v>398</v>
      </c>
      <c r="G167" s="64" t="n">
        <v>2761944</v>
      </c>
      <c r="H167" s="62" t="s">
        <v>138</v>
      </c>
    </row>
    <row r="168" customFormat="false" ht="15" hidden="false" customHeight="false" outlineLevel="0" collapsed="false">
      <c r="A168" s="62" t="n">
        <v>0</v>
      </c>
      <c r="B168" s="62" t="s">
        <v>384</v>
      </c>
      <c r="C168" s="62" t="s">
        <v>60</v>
      </c>
      <c r="D168" s="62" t="s">
        <v>105</v>
      </c>
      <c r="E168" s="62" t="s">
        <v>382</v>
      </c>
      <c r="F168" s="63" t="s">
        <v>398</v>
      </c>
      <c r="G168" s="64" t="n">
        <v>2761944</v>
      </c>
      <c r="H168" s="62" t="s">
        <v>138</v>
      </c>
    </row>
    <row r="169" customFormat="false" ht="15" hidden="false" customHeight="false" outlineLevel="0" collapsed="false">
      <c r="A169" s="62" t="n">
        <v>0</v>
      </c>
      <c r="B169" s="62" t="s">
        <v>385</v>
      </c>
      <c r="C169" s="62" t="s">
        <v>60</v>
      </c>
      <c r="D169" s="62" t="s">
        <v>105</v>
      </c>
      <c r="E169" s="62" t="s">
        <v>382</v>
      </c>
      <c r="F169" s="63" t="s">
        <v>398</v>
      </c>
      <c r="G169" s="64" t="n">
        <v>2761944</v>
      </c>
      <c r="H169" s="62" t="s">
        <v>138</v>
      </c>
    </row>
    <row r="170" customFormat="false" ht="15" hidden="false" customHeight="false" outlineLevel="0" collapsed="false">
      <c r="A170" s="62" t="n">
        <v>0</v>
      </c>
      <c r="B170" s="62" t="s">
        <v>386</v>
      </c>
      <c r="C170" s="62" t="s">
        <v>60</v>
      </c>
      <c r="D170" s="62" t="s">
        <v>105</v>
      </c>
      <c r="E170" s="62" t="s">
        <v>382</v>
      </c>
      <c r="F170" s="63" t="s">
        <v>398</v>
      </c>
      <c r="G170" s="64" t="n">
        <v>2761944</v>
      </c>
      <c r="H170" s="62" t="s">
        <v>138</v>
      </c>
    </row>
    <row r="171" customFormat="false" ht="15" hidden="false" customHeight="false" outlineLevel="0" collapsed="false">
      <c r="A171" s="62" t="n">
        <v>0</v>
      </c>
      <c r="B171" s="62" t="s">
        <v>387</v>
      </c>
      <c r="C171" s="62" t="s">
        <v>60</v>
      </c>
      <c r="D171" s="62" t="s">
        <v>105</v>
      </c>
      <c r="E171" s="62" t="s">
        <v>382</v>
      </c>
      <c r="F171" s="63" t="s">
        <v>398</v>
      </c>
      <c r="G171" s="64" t="n">
        <v>2761944</v>
      </c>
      <c r="H171" s="62" t="s">
        <v>138</v>
      </c>
    </row>
    <row r="172" customFormat="false" ht="15" hidden="false" customHeight="false" outlineLevel="0" collapsed="false">
      <c r="A172" s="62" t="n">
        <v>0</v>
      </c>
      <c r="B172" s="62" t="s">
        <v>388</v>
      </c>
      <c r="C172" s="62" t="s">
        <v>60</v>
      </c>
      <c r="D172" s="62" t="s">
        <v>105</v>
      </c>
      <c r="E172" s="62" t="s">
        <v>382</v>
      </c>
      <c r="F172" s="63" t="s">
        <v>398</v>
      </c>
      <c r="G172" s="64" t="n">
        <v>2761944</v>
      </c>
      <c r="H172" s="62" t="s">
        <v>138</v>
      </c>
    </row>
    <row r="173" customFormat="false" ht="15" hidden="false" customHeight="false" outlineLevel="0" collapsed="false">
      <c r="A173" s="62" t="n">
        <v>0</v>
      </c>
      <c r="B173" s="62" t="s">
        <v>381</v>
      </c>
      <c r="C173" s="62" t="s">
        <v>60</v>
      </c>
      <c r="D173" s="62" t="s">
        <v>105</v>
      </c>
      <c r="E173" s="62" t="s">
        <v>382</v>
      </c>
      <c r="F173" s="63" t="s">
        <v>293</v>
      </c>
      <c r="G173" s="64" t="n">
        <v>10003561.9838948</v>
      </c>
      <c r="H173" s="62" t="s">
        <v>138</v>
      </c>
    </row>
    <row r="174" customFormat="false" ht="15" hidden="false" customHeight="false" outlineLevel="0" collapsed="false">
      <c r="A174" s="62" t="n">
        <v>0</v>
      </c>
      <c r="B174" s="62" t="s">
        <v>383</v>
      </c>
      <c r="C174" s="62" t="s">
        <v>60</v>
      </c>
      <c r="D174" s="62" t="s">
        <v>105</v>
      </c>
      <c r="E174" s="62" t="s">
        <v>382</v>
      </c>
      <c r="F174" s="63" t="s">
        <v>293</v>
      </c>
      <c r="G174" s="64" t="n">
        <v>10003561.9838948</v>
      </c>
      <c r="H174" s="62" t="s">
        <v>138</v>
      </c>
    </row>
    <row r="175" customFormat="false" ht="15" hidden="false" customHeight="false" outlineLevel="0" collapsed="false">
      <c r="A175" s="62" t="n">
        <v>0</v>
      </c>
      <c r="B175" s="62" t="s">
        <v>384</v>
      </c>
      <c r="C175" s="62" t="s">
        <v>60</v>
      </c>
      <c r="D175" s="62" t="s">
        <v>105</v>
      </c>
      <c r="E175" s="62" t="s">
        <v>382</v>
      </c>
      <c r="F175" s="63" t="s">
        <v>293</v>
      </c>
      <c r="G175" s="64" t="n">
        <v>10003561.9838948</v>
      </c>
      <c r="H175" s="62" t="s">
        <v>138</v>
      </c>
    </row>
    <row r="176" customFormat="false" ht="15" hidden="false" customHeight="false" outlineLevel="0" collapsed="false">
      <c r="A176" s="62" t="n">
        <v>0</v>
      </c>
      <c r="B176" s="62" t="s">
        <v>385</v>
      </c>
      <c r="C176" s="62" t="s">
        <v>60</v>
      </c>
      <c r="D176" s="62" t="s">
        <v>105</v>
      </c>
      <c r="E176" s="62" t="s">
        <v>382</v>
      </c>
      <c r="F176" s="63" t="s">
        <v>293</v>
      </c>
      <c r="G176" s="64" t="n">
        <v>10003561.9838948</v>
      </c>
      <c r="H176" s="62" t="s">
        <v>138</v>
      </c>
    </row>
    <row r="177" customFormat="false" ht="15" hidden="false" customHeight="false" outlineLevel="0" collapsed="false">
      <c r="A177" s="62" t="n">
        <v>0</v>
      </c>
      <c r="B177" s="62" t="s">
        <v>386</v>
      </c>
      <c r="C177" s="62" t="s">
        <v>60</v>
      </c>
      <c r="D177" s="62" t="s">
        <v>105</v>
      </c>
      <c r="E177" s="62" t="s">
        <v>382</v>
      </c>
      <c r="F177" s="63" t="s">
        <v>293</v>
      </c>
      <c r="G177" s="64" t="n">
        <v>10003561.9838948</v>
      </c>
      <c r="H177" s="62" t="s">
        <v>138</v>
      </c>
    </row>
    <row r="178" customFormat="false" ht="15" hidden="false" customHeight="false" outlineLevel="0" collapsed="false">
      <c r="A178" s="62" t="n">
        <v>0</v>
      </c>
      <c r="B178" s="62" t="s">
        <v>387</v>
      </c>
      <c r="C178" s="62" t="s">
        <v>60</v>
      </c>
      <c r="D178" s="62" t="s">
        <v>105</v>
      </c>
      <c r="E178" s="62" t="s">
        <v>382</v>
      </c>
      <c r="F178" s="63" t="s">
        <v>293</v>
      </c>
      <c r="G178" s="64" t="n">
        <v>10003561.9838948</v>
      </c>
      <c r="H178" s="62" t="s">
        <v>138</v>
      </c>
    </row>
    <row r="179" customFormat="false" ht="15" hidden="false" customHeight="false" outlineLevel="0" collapsed="false">
      <c r="A179" s="62" t="n">
        <v>0</v>
      </c>
      <c r="B179" s="62" t="s">
        <v>388</v>
      </c>
      <c r="C179" s="62" t="s">
        <v>60</v>
      </c>
      <c r="D179" s="62" t="s">
        <v>105</v>
      </c>
      <c r="E179" s="62" t="s">
        <v>382</v>
      </c>
      <c r="F179" s="63" t="s">
        <v>293</v>
      </c>
      <c r="G179" s="64" t="n">
        <v>10003561.9838948</v>
      </c>
      <c r="H179" s="62" t="s">
        <v>138</v>
      </c>
    </row>
    <row r="180" customFormat="false" ht="15" hidden="false" customHeight="false" outlineLevel="0" collapsed="false">
      <c r="A180" s="62" t="n">
        <v>0</v>
      </c>
      <c r="B180" s="62" t="s">
        <v>381</v>
      </c>
      <c r="C180" s="62" t="s">
        <v>60</v>
      </c>
      <c r="D180" s="62" t="s">
        <v>105</v>
      </c>
      <c r="E180" s="62" t="s">
        <v>382</v>
      </c>
      <c r="F180" s="63" t="s">
        <v>286</v>
      </c>
      <c r="G180" s="64" t="n">
        <v>11900000</v>
      </c>
      <c r="H180" s="62" t="s">
        <v>138</v>
      </c>
    </row>
    <row r="181" customFormat="false" ht="15" hidden="false" customHeight="false" outlineLevel="0" collapsed="false">
      <c r="A181" s="62" t="n">
        <v>0</v>
      </c>
      <c r="B181" s="62" t="s">
        <v>383</v>
      </c>
      <c r="C181" s="62" t="s">
        <v>60</v>
      </c>
      <c r="D181" s="62" t="s">
        <v>105</v>
      </c>
      <c r="E181" s="62" t="s">
        <v>382</v>
      </c>
      <c r="F181" s="63" t="s">
        <v>286</v>
      </c>
      <c r="G181" s="64" t="n">
        <v>11900000</v>
      </c>
      <c r="H181" s="62" t="s">
        <v>138</v>
      </c>
    </row>
    <row r="182" customFormat="false" ht="15" hidden="false" customHeight="false" outlineLevel="0" collapsed="false">
      <c r="A182" s="62" t="n">
        <v>0</v>
      </c>
      <c r="B182" s="62" t="s">
        <v>384</v>
      </c>
      <c r="C182" s="62" t="s">
        <v>60</v>
      </c>
      <c r="D182" s="62" t="s">
        <v>105</v>
      </c>
      <c r="E182" s="62" t="s">
        <v>382</v>
      </c>
      <c r="F182" s="63" t="s">
        <v>286</v>
      </c>
      <c r="G182" s="64" t="n">
        <v>11900000</v>
      </c>
      <c r="H182" s="62" t="s">
        <v>138</v>
      </c>
    </row>
    <row r="183" customFormat="false" ht="15" hidden="false" customHeight="false" outlineLevel="0" collapsed="false">
      <c r="A183" s="62" t="n">
        <v>0</v>
      </c>
      <c r="B183" s="62" t="s">
        <v>385</v>
      </c>
      <c r="C183" s="62" t="s">
        <v>60</v>
      </c>
      <c r="D183" s="62" t="s">
        <v>105</v>
      </c>
      <c r="E183" s="62" t="s">
        <v>382</v>
      </c>
      <c r="F183" s="63" t="s">
        <v>286</v>
      </c>
      <c r="G183" s="64" t="n">
        <v>11900000</v>
      </c>
      <c r="H183" s="62" t="s">
        <v>138</v>
      </c>
    </row>
    <row r="184" customFormat="false" ht="15" hidden="false" customHeight="false" outlineLevel="0" collapsed="false">
      <c r="A184" s="62" t="n">
        <v>0</v>
      </c>
      <c r="B184" s="62" t="s">
        <v>386</v>
      </c>
      <c r="C184" s="62" t="s">
        <v>60</v>
      </c>
      <c r="D184" s="62" t="s">
        <v>105</v>
      </c>
      <c r="E184" s="62" t="s">
        <v>382</v>
      </c>
      <c r="F184" s="63" t="s">
        <v>286</v>
      </c>
      <c r="G184" s="64" t="n">
        <v>11900000</v>
      </c>
      <c r="H184" s="62" t="s">
        <v>138</v>
      </c>
    </row>
    <row r="185" customFormat="false" ht="15" hidden="false" customHeight="false" outlineLevel="0" collapsed="false">
      <c r="A185" s="62" t="n">
        <v>0</v>
      </c>
      <c r="B185" s="62" t="s">
        <v>387</v>
      </c>
      <c r="C185" s="62" t="s">
        <v>60</v>
      </c>
      <c r="D185" s="62" t="s">
        <v>105</v>
      </c>
      <c r="E185" s="62" t="s">
        <v>382</v>
      </c>
      <c r="F185" s="63" t="s">
        <v>286</v>
      </c>
      <c r="G185" s="64" t="n">
        <v>11900000</v>
      </c>
      <c r="H185" s="62" t="s">
        <v>138</v>
      </c>
    </row>
    <row r="186" customFormat="false" ht="15" hidden="false" customHeight="false" outlineLevel="0" collapsed="false">
      <c r="A186" s="62" t="n">
        <v>0</v>
      </c>
      <c r="B186" s="62" t="s">
        <v>388</v>
      </c>
      <c r="C186" s="62" t="s">
        <v>60</v>
      </c>
      <c r="D186" s="62" t="s">
        <v>105</v>
      </c>
      <c r="E186" s="62" t="s">
        <v>382</v>
      </c>
      <c r="F186" s="63" t="s">
        <v>286</v>
      </c>
      <c r="G186" s="64" t="n">
        <v>11900000</v>
      </c>
      <c r="H186" s="62" t="s">
        <v>138</v>
      </c>
    </row>
    <row r="187" customFormat="false" ht="15" hidden="false" customHeight="false" outlineLevel="0" collapsed="false">
      <c r="A187" s="62" t="n">
        <v>0</v>
      </c>
      <c r="B187" s="62" t="s">
        <v>381</v>
      </c>
      <c r="C187" s="62" t="s">
        <v>60</v>
      </c>
      <c r="D187" s="62" t="s">
        <v>105</v>
      </c>
      <c r="E187" s="62" t="s">
        <v>382</v>
      </c>
      <c r="F187" s="63" t="s">
        <v>287</v>
      </c>
      <c r="G187" s="64" t="n">
        <v>0</v>
      </c>
      <c r="H187" s="62" t="s">
        <v>138</v>
      </c>
    </row>
    <row r="188" customFormat="false" ht="15" hidden="false" customHeight="false" outlineLevel="0" collapsed="false">
      <c r="A188" s="62" t="n">
        <v>0</v>
      </c>
      <c r="B188" s="62" t="s">
        <v>383</v>
      </c>
      <c r="C188" s="62" t="s">
        <v>60</v>
      </c>
      <c r="D188" s="62" t="s">
        <v>105</v>
      </c>
      <c r="E188" s="62" t="s">
        <v>382</v>
      </c>
      <c r="F188" s="63" t="s">
        <v>287</v>
      </c>
      <c r="G188" s="64" t="n">
        <v>0</v>
      </c>
      <c r="H188" s="62" t="s">
        <v>138</v>
      </c>
    </row>
    <row r="189" customFormat="false" ht="15" hidden="false" customHeight="false" outlineLevel="0" collapsed="false">
      <c r="A189" s="62" t="n">
        <v>0</v>
      </c>
      <c r="B189" s="62" t="s">
        <v>384</v>
      </c>
      <c r="C189" s="62" t="s">
        <v>60</v>
      </c>
      <c r="D189" s="62" t="s">
        <v>105</v>
      </c>
      <c r="E189" s="62" t="s">
        <v>382</v>
      </c>
      <c r="F189" s="63" t="s">
        <v>287</v>
      </c>
      <c r="G189" s="64" t="n">
        <v>0</v>
      </c>
      <c r="H189" s="62" t="s">
        <v>138</v>
      </c>
    </row>
    <row r="190" customFormat="false" ht="15" hidden="false" customHeight="false" outlineLevel="0" collapsed="false">
      <c r="A190" s="62" t="n">
        <v>0</v>
      </c>
      <c r="B190" s="62" t="s">
        <v>385</v>
      </c>
      <c r="C190" s="62" t="s">
        <v>60</v>
      </c>
      <c r="D190" s="62" t="s">
        <v>105</v>
      </c>
      <c r="E190" s="62" t="s">
        <v>382</v>
      </c>
      <c r="F190" s="63" t="s">
        <v>287</v>
      </c>
      <c r="G190" s="64" t="n">
        <v>0</v>
      </c>
      <c r="H190" s="62" t="s">
        <v>138</v>
      </c>
    </row>
    <row r="191" customFormat="false" ht="15" hidden="false" customHeight="false" outlineLevel="0" collapsed="false">
      <c r="A191" s="62" t="n">
        <v>0</v>
      </c>
      <c r="B191" s="62" t="s">
        <v>386</v>
      </c>
      <c r="C191" s="62" t="s">
        <v>60</v>
      </c>
      <c r="D191" s="62" t="s">
        <v>105</v>
      </c>
      <c r="E191" s="62" t="s">
        <v>382</v>
      </c>
      <c r="F191" s="63" t="s">
        <v>287</v>
      </c>
      <c r="G191" s="64" t="n">
        <v>0</v>
      </c>
      <c r="H191" s="62" t="s">
        <v>138</v>
      </c>
    </row>
    <row r="192" customFormat="false" ht="15" hidden="false" customHeight="false" outlineLevel="0" collapsed="false">
      <c r="A192" s="62" t="n">
        <v>0</v>
      </c>
      <c r="B192" s="62" t="s">
        <v>387</v>
      </c>
      <c r="C192" s="62" t="s">
        <v>60</v>
      </c>
      <c r="D192" s="62" t="s">
        <v>105</v>
      </c>
      <c r="E192" s="62" t="s">
        <v>382</v>
      </c>
      <c r="F192" s="63" t="s">
        <v>287</v>
      </c>
      <c r="G192" s="64" t="n">
        <v>0</v>
      </c>
      <c r="H192" s="62" t="s">
        <v>138</v>
      </c>
    </row>
    <row r="193" customFormat="false" ht="15" hidden="false" customHeight="false" outlineLevel="0" collapsed="false">
      <c r="A193" s="62" t="n">
        <v>0</v>
      </c>
      <c r="B193" s="62" t="s">
        <v>388</v>
      </c>
      <c r="C193" s="62" t="s">
        <v>60</v>
      </c>
      <c r="D193" s="62" t="s">
        <v>105</v>
      </c>
      <c r="E193" s="62" t="s">
        <v>382</v>
      </c>
      <c r="F193" s="63" t="s">
        <v>287</v>
      </c>
      <c r="G193" s="64" t="n">
        <v>0</v>
      </c>
      <c r="H193" s="62" t="s">
        <v>138</v>
      </c>
    </row>
    <row r="194" customFormat="false" ht="15" hidden="false" customHeight="false" outlineLevel="0" collapsed="false">
      <c r="A194" s="62" t="n">
        <v>0</v>
      </c>
      <c r="B194" s="62" t="s">
        <v>381</v>
      </c>
      <c r="C194" s="62" t="s">
        <v>60</v>
      </c>
      <c r="D194" s="62" t="s">
        <v>105</v>
      </c>
      <c r="E194" s="62" t="s">
        <v>382</v>
      </c>
      <c r="F194" s="63" t="s">
        <v>288</v>
      </c>
      <c r="G194" s="64" t="n">
        <v>1262287.76391047</v>
      </c>
      <c r="H194" s="62" t="s">
        <v>138</v>
      </c>
    </row>
    <row r="195" customFormat="false" ht="15" hidden="false" customHeight="false" outlineLevel="0" collapsed="false">
      <c r="A195" s="62" t="n">
        <v>0</v>
      </c>
      <c r="B195" s="62" t="s">
        <v>383</v>
      </c>
      <c r="C195" s="62" t="s">
        <v>60</v>
      </c>
      <c r="D195" s="62" t="s">
        <v>105</v>
      </c>
      <c r="E195" s="62" t="s">
        <v>382</v>
      </c>
      <c r="F195" s="63" t="s">
        <v>288</v>
      </c>
      <c r="G195" s="64" t="n">
        <v>1262287.76391047</v>
      </c>
      <c r="H195" s="62" t="s">
        <v>138</v>
      </c>
    </row>
    <row r="196" customFormat="false" ht="15" hidden="false" customHeight="false" outlineLevel="0" collapsed="false">
      <c r="A196" s="62" t="n">
        <v>0</v>
      </c>
      <c r="B196" s="62" t="s">
        <v>384</v>
      </c>
      <c r="C196" s="62" t="s">
        <v>60</v>
      </c>
      <c r="D196" s="62" t="s">
        <v>105</v>
      </c>
      <c r="E196" s="62" t="s">
        <v>382</v>
      </c>
      <c r="F196" s="63" t="s">
        <v>288</v>
      </c>
      <c r="G196" s="64" t="n">
        <v>1262287.76391047</v>
      </c>
      <c r="H196" s="62" t="s">
        <v>138</v>
      </c>
    </row>
    <row r="197" customFormat="false" ht="15" hidden="false" customHeight="false" outlineLevel="0" collapsed="false">
      <c r="A197" s="62" t="n">
        <v>0</v>
      </c>
      <c r="B197" s="62" t="s">
        <v>385</v>
      </c>
      <c r="C197" s="62" t="s">
        <v>60</v>
      </c>
      <c r="D197" s="62" t="s">
        <v>105</v>
      </c>
      <c r="E197" s="62" t="s">
        <v>382</v>
      </c>
      <c r="F197" s="63" t="s">
        <v>288</v>
      </c>
      <c r="G197" s="64" t="n">
        <v>1262287.76391047</v>
      </c>
      <c r="H197" s="62" t="s">
        <v>138</v>
      </c>
    </row>
    <row r="198" customFormat="false" ht="15" hidden="false" customHeight="false" outlineLevel="0" collapsed="false">
      <c r="A198" s="62" t="n">
        <v>0</v>
      </c>
      <c r="B198" s="62" t="s">
        <v>386</v>
      </c>
      <c r="C198" s="62" t="s">
        <v>60</v>
      </c>
      <c r="D198" s="62" t="s">
        <v>105</v>
      </c>
      <c r="E198" s="62" t="s">
        <v>382</v>
      </c>
      <c r="F198" s="63" t="s">
        <v>288</v>
      </c>
      <c r="G198" s="64" t="n">
        <v>1262287.76391047</v>
      </c>
      <c r="H198" s="62" t="s">
        <v>138</v>
      </c>
    </row>
    <row r="199" customFormat="false" ht="15" hidden="false" customHeight="false" outlineLevel="0" collapsed="false">
      <c r="A199" s="62" t="n">
        <v>0</v>
      </c>
      <c r="B199" s="62" t="s">
        <v>387</v>
      </c>
      <c r="C199" s="62" t="s">
        <v>60</v>
      </c>
      <c r="D199" s="62" t="s">
        <v>105</v>
      </c>
      <c r="E199" s="62" t="s">
        <v>382</v>
      </c>
      <c r="F199" s="63" t="s">
        <v>288</v>
      </c>
      <c r="G199" s="64" t="n">
        <v>1262287.76391047</v>
      </c>
      <c r="H199" s="62" t="s">
        <v>138</v>
      </c>
    </row>
    <row r="200" customFormat="false" ht="15" hidden="false" customHeight="false" outlineLevel="0" collapsed="false">
      <c r="A200" s="62" t="n">
        <v>0</v>
      </c>
      <c r="B200" s="62" t="s">
        <v>388</v>
      </c>
      <c r="C200" s="62" t="s">
        <v>60</v>
      </c>
      <c r="D200" s="62" t="s">
        <v>105</v>
      </c>
      <c r="E200" s="62" t="s">
        <v>382</v>
      </c>
      <c r="F200" s="63" t="s">
        <v>288</v>
      </c>
      <c r="G200" s="64" t="n">
        <v>1262287.76391047</v>
      </c>
      <c r="H200" s="62" t="s">
        <v>138</v>
      </c>
    </row>
    <row r="201" customFormat="false" ht="15" hidden="false" customHeight="false" outlineLevel="0" collapsed="false">
      <c r="A201" s="62" t="n">
        <v>0</v>
      </c>
      <c r="B201" s="62" t="s">
        <v>381</v>
      </c>
      <c r="C201" s="62" t="s">
        <v>60</v>
      </c>
      <c r="D201" s="62" t="s">
        <v>105</v>
      </c>
      <c r="E201" s="62" t="s">
        <v>382</v>
      </c>
      <c r="F201" s="63" t="s">
        <v>289</v>
      </c>
      <c r="G201" s="64" t="n">
        <v>13162287.7639105</v>
      </c>
      <c r="H201" s="62" t="s">
        <v>138</v>
      </c>
    </row>
    <row r="202" customFormat="false" ht="15" hidden="false" customHeight="false" outlineLevel="0" collapsed="false">
      <c r="A202" s="62" t="n">
        <v>0</v>
      </c>
      <c r="B202" s="62" t="s">
        <v>383</v>
      </c>
      <c r="C202" s="62" t="s">
        <v>60</v>
      </c>
      <c r="D202" s="62" t="s">
        <v>105</v>
      </c>
      <c r="E202" s="62" t="s">
        <v>382</v>
      </c>
      <c r="F202" s="63" t="s">
        <v>289</v>
      </c>
      <c r="G202" s="64" t="n">
        <v>13162287.7639105</v>
      </c>
      <c r="H202" s="62" t="s">
        <v>138</v>
      </c>
    </row>
    <row r="203" customFormat="false" ht="15" hidden="false" customHeight="false" outlineLevel="0" collapsed="false">
      <c r="A203" s="62" t="n">
        <v>0</v>
      </c>
      <c r="B203" s="62" t="s">
        <v>384</v>
      </c>
      <c r="C203" s="62" t="s">
        <v>60</v>
      </c>
      <c r="D203" s="62" t="s">
        <v>105</v>
      </c>
      <c r="E203" s="62" t="s">
        <v>382</v>
      </c>
      <c r="F203" s="63" t="s">
        <v>289</v>
      </c>
      <c r="G203" s="64" t="n">
        <v>13162287.7639105</v>
      </c>
      <c r="H203" s="62" t="s">
        <v>138</v>
      </c>
    </row>
    <row r="204" customFormat="false" ht="15" hidden="false" customHeight="false" outlineLevel="0" collapsed="false">
      <c r="A204" s="62" t="n">
        <v>0</v>
      </c>
      <c r="B204" s="62" t="s">
        <v>385</v>
      </c>
      <c r="C204" s="62" t="s">
        <v>60</v>
      </c>
      <c r="D204" s="62" t="s">
        <v>105</v>
      </c>
      <c r="E204" s="62" t="s">
        <v>382</v>
      </c>
      <c r="F204" s="63" t="s">
        <v>289</v>
      </c>
      <c r="G204" s="64" t="n">
        <v>13162287.7639105</v>
      </c>
      <c r="H204" s="62" t="s">
        <v>138</v>
      </c>
    </row>
    <row r="205" customFormat="false" ht="15" hidden="false" customHeight="false" outlineLevel="0" collapsed="false">
      <c r="A205" s="62" t="n">
        <v>0</v>
      </c>
      <c r="B205" s="62" t="s">
        <v>386</v>
      </c>
      <c r="C205" s="62" t="s">
        <v>60</v>
      </c>
      <c r="D205" s="62" t="s">
        <v>105</v>
      </c>
      <c r="E205" s="62" t="s">
        <v>382</v>
      </c>
      <c r="F205" s="63" t="s">
        <v>289</v>
      </c>
      <c r="G205" s="64" t="n">
        <v>13162287.7639105</v>
      </c>
      <c r="H205" s="62" t="s">
        <v>138</v>
      </c>
    </row>
    <row r="206" customFormat="false" ht="15" hidden="false" customHeight="false" outlineLevel="0" collapsed="false">
      <c r="A206" s="62" t="n">
        <v>0</v>
      </c>
      <c r="B206" s="62" t="s">
        <v>387</v>
      </c>
      <c r="C206" s="62" t="s">
        <v>60</v>
      </c>
      <c r="D206" s="62" t="s">
        <v>105</v>
      </c>
      <c r="E206" s="62" t="s">
        <v>382</v>
      </c>
      <c r="F206" s="63" t="s">
        <v>289</v>
      </c>
      <c r="G206" s="64" t="n">
        <v>13162287.7639105</v>
      </c>
      <c r="H206" s="62" t="s">
        <v>138</v>
      </c>
    </row>
    <row r="207" customFormat="false" ht="15" hidden="false" customHeight="false" outlineLevel="0" collapsed="false">
      <c r="A207" s="62" t="n">
        <v>0</v>
      </c>
      <c r="B207" s="62" t="s">
        <v>388</v>
      </c>
      <c r="C207" s="62" t="s">
        <v>60</v>
      </c>
      <c r="D207" s="62" t="s">
        <v>105</v>
      </c>
      <c r="E207" s="62" t="s">
        <v>382</v>
      </c>
      <c r="F207" s="63" t="s">
        <v>289</v>
      </c>
      <c r="G207" s="64" t="n">
        <v>13162287.7639105</v>
      </c>
      <c r="H207" s="62" t="s">
        <v>138</v>
      </c>
    </row>
    <row r="208" customFormat="false" ht="15" hidden="false" customHeight="false" outlineLevel="0" collapsed="false">
      <c r="A208" s="62" t="n">
        <v>0</v>
      </c>
      <c r="B208" s="62" t="s">
        <v>381</v>
      </c>
      <c r="C208" s="62" t="s">
        <v>60</v>
      </c>
      <c r="D208" s="62" t="s">
        <v>105</v>
      </c>
      <c r="E208" s="62" t="s">
        <v>382</v>
      </c>
      <c r="F208" s="63" t="s">
        <v>399</v>
      </c>
      <c r="G208" s="64" t="n">
        <v>23165849.7478053</v>
      </c>
      <c r="H208" s="62" t="s">
        <v>138</v>
      </c>
    </row>
    <row r="209" customFormat="false" ht="15" hidden="false" customHeight="false" outlineLevel="0" collapsed="false">
      <c r="A209" s="62" t="n">
        <v>0</v>
      </c>
      <c r="B209" s="62" t="s">
        <v>383</v>
      </c>
      <c r="C209" s="62" t="s">
        <v>60</v>
      </c>
      <c r="D209" s="62" t="s">
        <v>105</v>
      </c>
      <c r="E209" s="62" t="s">
        <v>382</v>
      </c>
      <c r="F209" s="63" t="s">
        <v>399</v>
      </c>
      <c r="G209" s="64" t="n">
        <v>23165849.7478053</v>
      </c>
      <c r="H209" s="62" t="s">
        <v>138</v>
      </c>
    </row>
    <row r="210" customFormat="false" ht="15" hidden="false" customHeight="false" outlineLevel="0" collapsed="false">
      <c r="A210" s="62" t="n">
        <v>0</v>
      </c>
      <c r="B210" s="62" t="s">
        <v>384</v>
      </c>
      <c r="C210" s="62" t="s">
        <v>60</v>
      </c>
      <c r="D210" s="62" t="s">
        <v>105</v>
      </c>
      <c r="E210" s="62" t="s">
        <v>382</v>
      </c>
      <c r="F210" s="63" t="s">
        <v>399</v>
      </c>
      <c r="G210" s="64" t="n">
        <v>23165849.7478053</v>
      </c>
      <c r="H210" s="62" t="s">
        <v>138</v>
      </c>
    </row>
    <row r="211" customFormat="false" ht="15" hidden="false" customHeight="false" outlineLevel="0" collapsed="false">
      <c r="A211" s="62" t="n">
        <v>0</v>
      </c>
      <c r="B211" s="62" t="s">
        <v>385</v>
      </c>
      <c r="C211" s="62" t="s">
        <v>60</v>
      </c>
      <c r="D211" s="62" t="s">
        <v>105</v>
      </c>
      <c r="E211" s="62" t="s">
        <v>382</v>
      </c>
      <c r="F211" s="63" t="s">
        <v>399</v>
      </c>
      <c r="G211" s="64" t="n">
        <v>23165849.7478053</v>
      </c>
      <c r="H211" s="62" t="s">
        <v>138</v>
      </c>
    </row>
    <row r="212" customFormat="false" ht="15" hidden="false" customHeight="false" outlineLevel="0" collapsed="false">
      <c r="A212" s="62" t="n">
        <v>0</v>
      </c>
      <c r="B212" s="62" t="s">
        <v>386</v>
      </c>
      <c r="C212" s="62" t="s">
        <v>60</v>
      </c>
      <c r="D212" s="62" t="s">
        <v>105</v>
      </c>
      <c r="E212" s="62" t="s">
        <v>382</v>
      </c>
      <c r="F212" s="63" t="s">
        <v>399</v>
      </c>
      <c r="G212" s="64" t="n">
        <v>23165849.7478053</v>
      </c>
      <c r="H212" s="62" t="s">
        <v>138</v>
      </c>
    </row>
    <row r="213" customFormat="false" ht="15" hidden="false" customHeight="false" outlineLevel="0" collapsed="false">
      <c r="A213" s="62" t="n">
        <v>0</v>
      </c>
      <c r="B213" s="62" t="s">
        <v>387</v>
      </c>
      <c r="C213" s="62" t="s">
        <v>60</v>
      </c>
      <c r="D213" s="62" t="s">
        <v>105</v>
      </c>
      <c r="E213" s="62" t="s">
        <v>382</v>
      </c>
      <c r="F213" s="63" t="s">
        <v>399</v>
      </c>
      <c r="G213" s="64" t="n">
        <v>23165849.7478053</v>
      </c>
      <c r="H213" s="62" t="s">
        <v>138</v>
      </c>
    </row>
    <row r="214" customFormat="false" ht="15" hidden="false" customHeight="false" outlineLevel="0" collapsed="false">
      <c r="A214" s="62" t="n">
        <v>0</v>
      </c>
      <c r="B214" s="62" t="s">
        <v>388</v>
      </c>
      <c r="C214" s="62" t="s">
        <v>60</v>
      </c>
      <c r="D214" s="62" t="s">
        <v>105</v>
      </c>
      <c r="E214" s="62" t="s">
        <v>382</v>
      </c>
      <c r="F214" s="63" t="s">
        <v>399</v>
      </c>
      <c r="G214" s="64" t="n">
        <v>23165849.7478053</v>
      </c>
      <c r="H214" s="62" t="s">
        <v>138</v>
      </c>
    </row>
    <row r="215" customFormat="false" ht="15" hidden="false" customHeight="false" outlineLevel="0" collapsed="false">
      <c r="A215" s="62" t="n">
        <v>0</v>
      </c>
      <c r="B215" s="62" t="s">
        <v>381</v>
      </c>
      <c r="C215" s="62" t="s">
        <v>60</v>
      </c>
      <c r="D215" s="62" t="s">
        <v>67</v>
      </c>
      <c r="E215" s="62" t="s">
        <v>382</v>
      </c>
      <c r="F215" s="63" t="s">
        <v>400</v>
      </c>
      <c r="G215" s="64" t="n">
        <v>13412500</v>
      </c>
      <c r="H215" s="62" t="s">
        <v>138</v>
      </c>
    </row>
    <row r="216" customFormat="false" ht="15" hidden="false" customHeight="false" outlineLevel="0" collapsed="false">
      <c r="A216" s="62" t="n">
        <v>0</v>
      </c>
      <c r="B216" s="62" t="s">
        <v>383</v>
      </c>
      <c r="C216" s="62" t="s">
        <v>60</v>
      </c>
      <c r="D216" s="62" t="s">
        <v>67</v>
      </c>
      <c r="E216" s="62" t="s">
        <v>382</v>
      </c>
      <c r="F216" s="63" t="s">
        <v>400</v>
      </c>
      <c r="G216" s="64" t="n">
        <v>13412500</v>
      </c>
      <c r="H216" s="62" t="s">
        <v>138</v>
      </c>
    </row>
    <row r="217" customFormat="false" ht="15" hidden="false" customHeight="false" outlineLevel="0" collapsed="false">
      <c r="A217" s="62" t="n">
        <v>0</v>
      </c>
      <c r="B217" s="62" t="s">
        <v>384</v>
      </c>
      <c r="C217" s="62" t="s">
        <v>60</v>
      </c>
      <c r="D217" s="62" t="s">
        <v>67</v>
      </c>
      <c r="E217" s="62" t="s">
        <v>382</v>
      </c>
      <c r="F217" s="63" t="s">
        <v>400</v>
      </c>
      <c r="G217" s="64" t="n">
        <v>13412500</v>
      </c>
      <c r="H217" s="62" t="s">
        <v>138</v>
      </c>
    </row>
    <row r="218" customFormat="false" ht="15" hidden="false" customHeight="false" outlineLevel="0" collapsed="false">
      <c r="A218" s="62" t="n">
        <v>0</v>
      </c>
      <c r="B218" s="62" t="s">
        <v>385</v>
      </c>
      <c r="C218" s="62" t="s">
        <v>60</v>
      </c>
      <c r="D218" s="62" t="s">
        <v>67</v>
      </c>
      <c r="E218" s="62" t="s">
        <v>382</v>
      </c>
      <c r="F218" s="63" t="s">
        <v>400</v>
      </c>
      <c r="G218" s="64" t="n">
        <v>13412500</v>
      </c>
      <c r="H218" s="62" t="s">
        <v>138</v>
      </c>
    </row>
    <row r="219" customFormat="false" ht="15" hidden="false" customHeight="false" outlineLevel="0" collapsed="false">
      <c r="A219" s="62" t="n">
        <v>0</v>
      </c>
      <c r="B219" s="62" t="s">
        <v>386</v>
      </c>
      <c r="C219" s="62" t="s">
        <v>60</v>
      </c>
      <c r="D219" s="62" t="s">
        <v>67</v>
      </c>
      <c r="E219" s="62" t="s">
        <v>382</v>
      </c>
      <c r="F219" s="63" t="s">
        <v>400</v>
      </c>
      <c r="G219" s="64" t="n">
        <v>13412500</v>
      </c>
      <c r="H219" s="62" t="s">
        <v>138</v>
      </c>
    </row>
    <row r="220" customFormat="false" ht="15" hidden="false" customHeight="false" outlineLevel="0" collapsed="false">
      <c r="A220" s="62" t="n">
        <v>0</v>
      </c>
      <c r="B220" s="62" t="s">
        <v>387</v>
      </c>
      <c r="C220" s="62" t="s">
        <v>60</v>
      </c>
      <c r="D220" s="62" t="s">
        <v>67</v>
      </c>
      <c r="E220" s="62" t="s">
        <v>382</v>
      </c>
      <c r="F220" s="63" t="s">
        <v>400</v>
      </c>
      <c r="G220" s="64" t="n">
        <v>13412500</v>
      </c>
      <c r="H220" s="62" t="s">
        <v>138</v>
      </c>
    </row>
    <row r="221" customFormat="false" ht="15" hidden="false" customHeight="false" outlineLevel="0" collapsed="false">
      <c r="A221" s="62" t="n">
        <v>0</v>
      </c>
      <c r="B221" s="62" t="s">
        <v>388</v>
      </c>
      <c r="C221" s="62" t="s">
        <v>60</v>
      </c>
      <c r="D221" s="62" t="s">
        <v>67</v>
      </c>
      <c r="E221" s="62" t="s">
        <v>382</v>
      </c>
      <c r="F221" s="63" t="s">
        <v>400</v>
      </c>
      <c r="G221" s="64" t="n">
        <v>13412500</v>
      </c>
      <c r="H221" s="62" t="s">
        <v>138</v>
      </c>
    </row>
    <row r="222" customFormat="false" ht="15" hidden="false" customHeight="false" outlineLevel="0" collapsed="false">
      <c r="A222" s="62" t="n">
        <v>0</v>
      </c>
      <c r="B222" s="62" t="s">
        <v>381</v>
      </c>
      <c r="C222" s="62" t="s">
        <v>60</v>
      </c>
      <c r="D222" s="62" t="s">
        <v>67</v>
      </c>
      <c r="E222" s="62" t="s">
        <v>382</v>
      </c>
      <c r="F222" s="63" t="s">
        <v>401</v>
      </c>
      <c r="G222" s="64" t="n">
        <v>9311343.01623906</v>
      </c>
      <c r="H222" s="62" t="s">
        <v>138</v>
      </c>
    </row>
    <row r="223" customFormat="false" ht="15" hidden="false" customHeight="false" outlineLevel="0" collapsed="false">
      <c r="A223" s="62" t="n">
        <v>0</v>
      </c>
      <c r="B223" s="62" t="s">
        <v>383</v>
      </c>
      <c r="C223" s="62" t="s">
        <v>60</v>
      </c>
      <c r="D223" s="62" t="s">
        <v>67</v>
      </c>
      <c r="E223" s="62" t="s">
        <v>382</v>
      </c>
      <c r="F223" s="63" t="s">
        <v>401</v>
      </c>
      <c r="G223" s="64" t="n">
        <v>9311343.01623906</v>
      </c>
      <c r="H223" s="62" t="s">
        <v>138</v>
      </c>
    </row>
    <row r="224" customFormat="false" ht="15" hidden="false" customHeight="false" outlineLevel="0" collapsed="false">
      <c r="A224" s="62" t="n">
        <v>0</v>
      </c>
      <c r="B224" s="62" t="s">
        <v>384</v>
      </c>
      <c r="C224" s="62" t="s">
        <v>60</v>
      </c>
      <c r="D224" s="62" t="s">
        <v>67</v>
      </c>
      <c r="E224" s="62" t="s">
        <v>382</v>
      </c>
      <c r="F224" s="63" t="s">
        <v>401</v>
      </c>
      <c r="G224" s="64" t="n">
        <v>9311343.01623906</v>
      </c>
      <c r="H224" s="62" t="s">
        <v>138</v>
      </c>
    </row>
    <row r="225" customFormat="false" ht="15" hidden="false" customHeight="false" outlineLevel="0" collapsed="false">
      <c r="A225" s="62" t="n">
        <v>0</v>
      </c>
      <c r="B225" s="62" t="s">
        <v>385</v>
      </c>
      <c r="C225" s="62" t="s">
        <v>60</v>
      </c>
      <c r="D225" s="62" t="s">
        <v>67</v>
      </c>
      <c r="E225" s="62" t="s">
        <v>382</v>
      </c>
      <c r="F225" s="63" t="s">
        <v>401</v>
      </c>
      <c r="G225" s="64" t="n">
        <v>9311343.01623906</v>
      </c>
      <c r="H225" s="62" t="s">
        <v>138</v>
      </c>
    </row>
    <row r="226" customFormat="false" ht="15" hidden="false" customHeight="false" outlineLevel="0" collapsed="false">
      <c r="A226" s="62" t="n">
        <v>0</v>
      </c>
      <c r="B226" s="62" t="s">
        <v>386</v>
      </c>
      <c r="C226" s="62" t="s">
        <v>60</v>
      </c>
      <c r="D226" s="62" t="s">
        <v>67</v>
      </c>
      <c r="E226" s="62" t="s">
        <v>382</v>
      </c>
      <c r="F226" s="63" t="s">
        <v>401</v>
      </c>
      <c r="G226" s="64" t="n">
        <v>9311343.01623906</v>
      </c>
      <c r="H226" s="62" t="s">
        <v>138</v>
      </c>
    </row>
    <row r="227" customFormat="false" ht="15" hidden="false" customHeight="false" outlineLevel="0" collapsed="false">
      <c r="A227" s="62" t="n">
        <v>0</v>
      </c>
      <c r="B227" s="62" t="s">
        <v>387</v>
      </c>
      <c r="C227" s="62" t="s">
        <v>60</v>
      </c>
      <c r="D227" s="62" t="s">
        <v>67</v>
      </c>
      <c r="E227" s="62" t="s">
        <v>382</v>
      </c>
      <c r="F227" s="63" t="s">
        <v>401</v>
      </c>
      <c r="G227" s="64" t="n">
        <v>9311343.01623906</v>
      </c>
      <c r="H227" s="62" t="s">
        <v>138</v>
      </c>
    </row>
    <row r="228" customFormat="false" ht="15" hidden="false" customHeight="false" outlineLevel="0" collapsed="false">
      <c r="A228" s="62" t="n">
        <v>0</v>
      </c>
      <c r="B228" s="62" t="s">
        <v>388</v>
      </c>
      <c r="C228" s="62" t="s">
        <v>60</v>
      </c>
      <c r="D228" s="62" t="s">
        <v>67</v>
      </c>
      <c r="E228" s="62" t="s">
        <v>382</v>
      </c>
      <c r="F228" s="63" t="s">
        <v>401</v>
      </c>
      <c r="G228" s="64" t="n">
        <v>9311343.01623906</v>
      </c>
      <c r="H228" s="62" t="s">
        <v>138</v>
      </c>
    </row>
    <row r="229" customFormat="false" ht="15" hidden="false" customHeight="false" outlineLevel="0" collapsed="false">
      <c r="A229" s="62" t="n">
        <v>0</v>
      </c>
      <c r="B229" s="62" t="s">
        <v>381</v>
      </c>
      <c r="C229" s="62" t="s">
        <v>60</v>
      </c>
      <c r="D229" s="62" t="s">
        <v>67</v>
      </c>
      <c r="E229" s="62" t="s">
        <v>382</v>
      </c>
      <c r="F229" s="63" t="s">
        <v>402</v>
      </c>
      <c r="G229" s="64" t="n">
        <v>22723843.0162391</v>
      </c>
      <c r="H229" s="62" t="s">
        <v>138</v>
      </c>
    </row>
    <row r="230" customFormat="false" ht="15" hidden="false" customHeight="false" outlineLevel="0" collapsed="false">
      <c r="A230" s="62" t="n">
        <v>0</v>
      </c>
      <c r="B230" s="62" t="s">
        <v>383</v>
      </c>
      <c r="C230" s="62" t="s">
        <v>60</v>
      </c>
      <c r="D230" s="62" t="s">
        <v>67</v>
      </c>
      <c r="E230" s="62" t="s">
        <v>382</v>
      </c>
      <c r="F230" s="63" t="s">
        <v>402</v>
      </c>
      <c r="G230" s="64" t="n">
        <v>22723843.0162391</v>
      </c>
      <c r="H230" s="62" t="s">
        <v>138</v>
      </c>
    </row>
    <row r="231" customFormat="false" ht="15" hidden="false" customHeight="false" outlineLevel="0" collapsed="false">
      <c r="A231" s="62" t="n">
        <v>0</v>
      </c>
      <c r="B231" s="62" t="s">
        <v>384</v>
      </c>
      <c r="C231" s="62" t="s">
        <v>60</v>
      </c>
      <c r="D231" s="62" t="s">
        <v>67</v>
      </c>
      <c r="E231" s="62" t="s">
        <v>382</v>
      </c>
      <c r="F231" s="63" t="s">
        <v>402</v>
      </c>
      <c r="G231" s="64" t="n">
        <v>22723843.0162391</v>
      </c>
      <c r="H231" s="62" t="s">
        <v>138</v>
      </c>
    </row>
    <row r="232" customFormat="false" ht="15" hidden="false" customHeight="false" outlineLevel="0" collapsed="false">
      <c r="A232" s="62" t="n">
        <v>0</v>
      </c>
      <c r="B232" s="62" t="s">
        <v>385</v>
      </c>
      <c r="C232" s="62" t="s">
        <v>60</v>
      </c>
      <c r="D232" s="62" t="s">
        <v>67</v>
      </c>
      <c r="E232" s="62" t="s">
        <v>382</v>
      </c>
      <c r="F232" s="63" t="s">
        <v>402</v>
      </c>
      <c r="G232" s="64" t="n">
        <v>22723843.0162391</v>
      </c>
      <c r="H232" s="62" t="s">
        <v>138</v>
      </c>
    </row>
    <row r="233" customFormat="false" ht="15" hidden="false" customHeight="false" outlineLevel="0" collapsed="false">
      <c r="A233" s="62" t="n">
        <v>0</v>
      </c>
      <c r="B233" s="62" t="s">
        <v>386</v>
      </c>
      <c r="C233" s="62" t="s">
        <v>60</v>
      </c>
      <c r="D233" s="62" t="s">
        <v>67</v>
      </c>
      <c r="E233" s="62" t="s">
        <v>382</v>
      </c>
      <c r="F233" s="63" t="s">
        <v>402</v>
      </c>
      <c r="G233" s="64" t="n">
        <v>22723843.0162391</v>
      </c>
      <c r="H233" s="62" t="s">
        <v>138</v>
      </c>
    </row>
    <row r="234" customFormat="false" ht="15" hidden="false" customHeight="false" outlineLevel="0" collapsed="false">
      <c r="A234" s="62" t="n">
        <v>0</v>
      </c>
      <c r="B234" s="62" t="s">
        <v>387</v>
      </c>
      <c r="C234" s="62" t="s">
        <v>60</v>
      </c>
      <c r="D234" s="62" t="s">
        <v>67</v>
      </c>
      <c r="E234" s="62" t="s">
        <v>382</v>
      </c>
      <c r="F234" s="63" t="s">
        <v>402</v>
      </c>
      <c r="G234" s="64" t="n">
        <v>22723843.0162391</v>
      </c>
      <c r="H234" s="62" t="s">
        <v>138</v>
      </c>
    </row>
    <row r="235" customFormat="false" ht="15" hidden="false" customHeight="false" outlineLevel="0" collapsed="false">
      <c r="A235" s="62" t="n">
        <v>0</v>
      </c>
      <c r="B235" s="62" t="s">
        <v>388</v>
      </c>
      <c r="C235" s="62" t="s">
        <v>60</v>
      </c>
      <c r="D235" s="62" t="s">
        <v>67</v>
      </c>
      <c r="E235" s="62" t="s">
        <v>382</v>
      </c>
      <c r="F235" s="63" t="s">
        <v>402</v>
      </c>
      <c r="G235" s="64" t="n">
        <v>22723843.0162391</v>
      </c>
      <c r="H235" s="62" t="s">
        <v>138</v>
      </c>
    </row>
    <row r="236" customFormat="false" ht="15" hidden="false" customHeight="false" outlineLevel="0" collapsed="false">
      <c r="A236" s="62" t="n">
        <v>0</v>
      </c>
      <c r="B236" s="62" t="s">
        <v>381</v>
      </c>
      <c r="C236" s="62" t="s">
        <v>60</v>
      </c>
      <c r="D236" s="62" t="s">
        <v>67</v>
      </c>
      <c r="E236" s="62" t="s">
        <v>382</v>
      </c>
      <c r="F236" s="63" t="s">
        <v>389</v>
      </c>
      <c r="G236" s="64" t="n">
        <v>14589061.0800992</v>
      </c>
      <c r="H236" s="62" t="s">
        <v>138</v>
      </c>
    </row>
    <row r="237" customFormat="false" ht="15" hidden="false" customHeight="false" outlineLevel="0" collapsed="false">
      <c r="A237" s="62" t="n">
        <v>0</v>
      </c>
      <c r="B237" s="62" t="s">
        <v>383</v>
      </c>
      <c r="C237" s="62" t="s">
        <v>60</v>
      </c>
      <c r="D237" s="62" t="s">
        <v>67</v>
      </c>
      <c r="E237" s="62" t="s">
        <v>382</v>
      </c>
      <c r="F237" s="63" t="s">
        <v>389</v>
      </c>
      <c r="G237" s="64" t="n">
        <v>14589061.0800992</v>
      </c>
      <c r="H237" s="62" t="s">
        <v>138</v>
      </c>
    </row>
    <row r="238" customFormat="false" ht="15" hidden="false" customHeight="false" outlineLevel="0" collapsed="false">
      <c r="A238" s="62" t="n">
        <v>0</v>
      </c>
      <c r="B238" s="62" t="s">
        <v>384</v>
      </c>
      <c r="C238" s="62" t="s">
        <v>60</v>
      </c>
      <c r="D238" s="62" t="s">
        <v>67</v>
      </c>
      <c r="E238" s="62" t="s">
        <v>382</v>
      </c>
      <c r="F238" s="63" t="s">
        <v>389</v>
      </c>
      <c r="G238" s="64" t="n">
        <v>14589061.0800992</v>
      </c>
      <c r="H238" s="62" t="s">
        <v>138</v>
      </c>
    </row>
    <row r="239" customFormat="false" ht="15" hidden="false" customHeight="false" outlineLevel="0" collapsed="false">
      <c r="A239" s="62" t="n">
        <v>0</v>
      </c>
      <c r="B239" s="62" t="s">
        <v>385</v>
      </c>
      <c r="C239" s="62" t="s">
        <v>60</v>
      </c>
      <c r="D239" s="62" t="s">
        <v>67</v>
      </c>
      <c r="E239" s="62" t="s">
        <v>382</v>
      </c>
      <c r="F239" s="63" t="s">
        <v>389</v>
      </c>
      <c r="G239" s="64" t="n">
        <v>14589061.0800992</v>
      </c>
      <c r="H239" s="62" t="s">
        <v>138</v>
      </c>
    </row>
    <row r="240" customFormat="false" ht="15" hidden="false" customHeight="false" outlineLevel="0" collapsed="false">
      <c r="A240" s="62" t="n">
        <v>0</v>
      </c>
      <c r="B240" s="62" t="s">
        <v>386</v>
      </c>
      <c r="C240" s="62" t="s">
        <v>60</v>
      </c>
      <c r="D240" s="62" t="s">
        <v>67</v>
      </c>
      <c r="E240" s="62" t="s">
        <v>382</v>
      </c>
      <c r="F240" s="63" t="s">
        <v>389</v>
      </c>
      <c r="G240" s="64" t="n">
        <v>14589061.0800992</v>
      </c>
      <c r="H240" s="62" t="s">
        <v>138</v>
      </c>
    </row>
    <row r="241" customFormat="false" ht="15" hidden="false" customHeight="false" outlineLevel="0" collapsed="false">
      <c r="A241" s="62" t="n">
        <v>0</v>
      </c>
      <c r="B241" s="62" t="s">
        <v>387</v>
      </c>
      <c r="C241" s="62" t="s">
        <v>60</v>
      </c>
      <c r="D241" s="62" t="s">
        <v>67</v>
      </c>
      <c r="E241" s="62" t="s">
        <v>382</v>
      </c>
      <c r="F241" s="63" t="s">
        <v>389</v>
      </c>
      <c r="G241" s="64" t="n">
        <v>14589061.0800992</v>
      </c>
      <c r="H241" s="62" t="s">
        <v>138</v>
      </c>
    </row>
    <row r="242" customFormat="false" ht="15" hidden="false" customHeight="false" outlineLevel="0" collapsed="false">
      <c r="A242" s="62" t="n">
        <v>0</v>
      </c>
      <c r="B242" s="62" t="s">
        <v>388</v>
      </c>
      <c r="C242" s="62" t="s">
        <v>60</v>
      </c>
      <c r="D242" s="62" t="s">
        <v>67</v>
      </c>
      <c r="E242" s="62" t="s">
        <v>382</v>
      </c>
      <c r="F242" s="63" t="s">
        <v>389</v>
      </c>
      <c r="G242" s="64" t="n">
        <v>14589061.0800992</v>
      </c>
      <c r="H242" s="62" t="s">
        <v>138</v>
      </c>
    </row>
    <row r="243" customFormat="false" ht="15" hidden="false" customHeight="false" outlineLevel="0" collapsed="false">
      <c r="A243" s="62" t="n">
        <v>0</v>
      </c>
      <c r="B243" s="62" t="s">
        <v>381</v>
      </c>
      <c r="C243" s="62" t="s">
        <v>60</v>
      </c>
      <c r="D243" s="62" t="s">
        <v>67</v>
      </c>
      <c r="E243" s="62" t="s">
        <v>382</v>
      </c>
      <c r="F243" s="63" t="s">
        <v>390</v>
      </c>
      <c r="G243" s="64" t="n">
        <v>1522500</v>
      </c>
      <c r="H243" s="62" t="s">
        <v>138</v>
      </c>
    </row>
    <row r="244" customFormat="false" ht="15" hidden="false" customHeight="false" outlineLevel="0" collapsed="false">
      <c r="A244" s="62" t="n">
        <v>0</v>
      </c>
      <c r="B244" s="62" t="s">
        <v>383</v>
      </c>
      <c r="C244" s="62" t="s">
        <v>60</v>
      </c>
      <c r="D244" s="62" t="s">
        <v>67</v>
      </c>
      <c r="E244" s="62" t="s">
        <v>382</v>
      </c>
      <c r="F244" s="63" t="s">
        <v>390</v>
      </c>
      <c r="G244" s="64" t="n">
        <v>1522500</v>
      </c>
      <c r="H244" s="62" t="s">
        <v>138</v>
      </c>
    </row>
    <row r="245" customFormat="false" ht="15" hidden="false" customHeight="false" outlineLevel="0" collapsed="false">
      <c r="A245" s="62" t="n">
        <v>0</v>
      </c>
      <c r="B245" s="62" t="s">
        <v>384</v>
      </c>
      <c r="C245" s="62" t="s">
        <v>60</v>
      </c>
      <c r="D245" s="62" t="s">
        <v>67</v>
      </c>
      <c r="E245" s="62" t="s">
        <v>382</v>
      </c>
      <c r="F245" s="63" t="s">
        <v>390</v>
      </c>
      <c r="G245" s="64" t="n">
        <v>1522500</v>
      </c>
      <c r="H245" s="62" t="s">
        <v>138</v>
      </c>
    </row>
    <row r="246" customFormat="false" ht="15" hidden="false" customHeight="false" outlineLevel="0" collapsed="false">
      <c r="A246" s="62" t="n">
        <v>0</v>
      </c>
      <c r="B246" s="62" t="s">
        <v>385</v>
      </c>
      <c r="C246" s="62" t="s">
        <v>60</v>
      </c>
      <c r="D246" s="62" t="s">
        <v>67</v>
      </c>
      <c r="E246" s="62" t="s">
        <v>382</v>
      </c>
      <c r="F246" s="63" t="s">
        <v>390</v>
      </c>
      <c r="G246" s="64" t="n">
        <v>1522500</v>
      </c>
      <c r="H246" s="62" t="s">
        <v>138</v>
      </c>
    </row>
    <row r="247" customFormat="false" ht="15" hidden="false" customHeight="false" outlineLevel="0" collapsed="false">
      <c r="A247" s="62" t="n">
        <v>0</v>
      </c>
      <c r="B247" s="62" t="s">
        <v>386</v>
      </c>
      <c r="C247" s="62" t="s">
        <v>60</v>
      </c>
      <c r="D247" s="62" t="s">
        <v>67</v>
      </c>
      <c r="E247" s="62" t="s">
        <v>382</v>
      </c>
      <c r="F247" s="63" t="s">
        <v>390</v>
      </c>
      <c r="G247" s="64" t="n">
        <v>1522500</v>
      </c>
      <c r="H247" s="62" t="s">
        <v>138</v>
      </c>
    </row>
    <row r="248" customFormat="false" ht="15" hidden="false" customHeight="false" outlineLevel="0" collapsed="false">
      <c r="A248" s="62" t="n">
        <v>0</v>
      </c>
      <c r="B248" s="62" t="s">
        <v>387</v>
      </c>
      <c r="C248" s="62" t="s">
        <v>60</v>
      </c>
      <c r="D248" s="62" t="s">
        <v>67</v>
      </c>
      <c r="E248" s="62" t="s">
        <v>382</v>
      </c>
      <c r="F248" s="63" t="s">
        <v>390</v>
      </c>
      <c r="G248" s="64" t="n">
        <v>1522500</v>
      </c>
      <c r="H248" s="62" t="s">
        <v>138</v>
      </c>
    </row>
    <row r="249" customFormat="false" ht="15" hidden="false" customHeight="false" outlineLevel="0" collapsed="false">
      <c r="A249" s="62" t="n">
        <v>0</v>
      </c>
      <c r="B249" s="62" t="s">
        <v>388</v>
      </c>
      <c r="C249" s="62" t="s">
        <v>60</v>
      </c>
      <c r="D249" s="62" t="s">
        <v>67</v>
      </c>
      <c r="E249" s="62" t="s">
        <v>382</v>
      </c>
      <c r="F249" s="63" t="s">
        <v>390</v>
      </c>
      <c r="G249" s="64" t="n">
        <v>1522500</v>
      </c>
      <c r="H249" s="62" t="s">
        <v>138</v>
      </c>
    </row>
    <row r="250" customFormat="false" ht="15" hidden="false" customHeight="false" outlineLevel="0" collapsed="false">
      <c r="A250" s="62" t="n">
        <v>0</v>
      </c>
      <c r="B250" s="62" t="s">
        <v>381</v>
      </c>
      <c r="C250" s="62" t="s">
        <v>60</v>
      </c>
      <c r="D250" s="62" t="s">
        <v>67</v>
      </c>
      <c r="E250" s="62" t="s">
        <v>382</v>
      </c>
      <c r="F250" s="63" t="s">
        <v>391</v>
      </c>
      <c r="G250" s="64" t="n">
        <v>2856410.22222222</v>
      </c>
      <c r="H250" s="62" t="s">
        <v>138</v>
      </c>
    </row>
    <row r="251" customFormat="false" ht="15" hidden="false" customHeight="false" outlineLevel="0" collapsed="false">
      <c r="A251" s="62" t="n">
        <v>0</v>
      </c>
      <c r="B251" s="62" t="s">
        <v>383</v>
      </c>
      <c r="C251" s="62" t="s">
        <v>60</v>
      </c>
      <c r="D251" s="62" t="s">
        <v>67</v>
      </c>
      <c r="E251" s="62" t="s">
        <v>382</v>
      </c>
      <c r="F251" s="63" t="s">
        <v>391</v>
      </c>
      <c r="G251" s="64" t="n">
        <v>2856410.22222222</v>
      </c>
      <c r="H251" s="62" t="s">
        <v>138</v>
      </c>
    </row>
    <row r="252" customFormat="false" ht="15" hidden="false" customHeight="false" outlineLevel="0" collapsed="false">
      <c r="A252" s="62" t="n">
        <v>0</v>
      </c>
      <c r="B252" s="62" t="s">
        <v>384</v>
      </c>
      <c r="C252" s="62" t="s">
        <v>60</v>
      </c>
      <c r="D252" s="62" t="s">
        <v>67</v>
      </c>
      <c r="E252" s="62" t="s">
        <v>382</v>
      </c>
      <c r="F252" s="63" t="s">
        <v>391</v>
      </c>
      <c r="G252" s="64" t="n">
        <v>2856410.22222222</v>
      </c>
      <c r="H252" s="62" t="s">
        <v>138</v>
      </c>
    </row>
    <row r="253" customFormat="false" ht="15" hidden="false" customHeight="false" outlineLevel="0" collapsed="false">
      <c r="A253" s="62" t="n">
        <v>0</v>
      </c>
      <c r="B253" s="62" t="s">
        <v>385</v>
      </c>
      <c r="C253" s="62" t="s">
        <v>60</v>
      </c>
      <c r="D253" s="62" t="s">
        <v>67</v>
      </c>
      <c r="E253" s="62" t="s">
        <v>382</v>
      </c>
      <c r="F253" s="63" t="s">
        <v>391</v>
      </c>
      <c r="G253" s="64" t="n">
        <v>2856410.22222222</v>
      </c>
      <c r="H253" s="62" t="s">
        <v>138</v>
      </c>
    </row>
    <row r="254" customFormat="false" ht="15" hidden="false" customHeight="false" outlineLevel="0" collapsed="false">
      <c r="A254" s="62" t="n">
        <v>0</v>
      </c>
      <c r="B254" s="62" t="s">
        <v>386</v>
      </c>
      <c r="C254" s="62" t="s">
        <v>60</v>
      </c>
      <c r="D254" s="62" t="s">
        <v>67</v>
      </c>
      <c r="E254" s="62" t="s">
        <v>382</v>
      </c>
      <c r="F254" s="63" t="s">
        <v>391</v>
      </c>
      <c r="G254" s="64" t="n">
        <v>2856410.22222222</v>
      </c>
      <c r="H254" s="62" t="s">
        <v>138</v>
      </c>
    </row>
    <row r="255" customFormat="false" ht="15" hidden="false" customHeight="false" outlineLevel="0" collapsed="false">
      <c r="A255" s="62" t="n">
        <v>0</v>
      </c>
      <c r="B255" s="62" t="s">
        <v>387</v>
      </c>
      <c r="C255" s="62" t="s">
        <v>60</v>
      </c>
      <c r="D255" s="62" t="s">
        <v>67</v>
      </c>
      <c r="E255" s="62" t="s">
        <v>382</v>
      </c>
      <c r="F255" s="63" t="s">
        <v>391</v>
      </c>
      <c r="G255" s="64" t="n">
        <v>2856410.22222222</v>
      </c>
      <c r="H255" s="62" t="s">
        <v>138</v>
      </c>
    </row>
    <row r="256" customFormat="false" ht="15" hidden="false" customHeight="false" outlineLevel="0" collapsed="false">
      <c r="A256" s="62" t="n">
        <v>0</v>
      </c>
      <c r="B256" s="62" t="s">
        <v>388</v>
      </c>
      <c r="C256" s="62" t="s">
        <v>60</v>
      </c>
      <c r="D256" s="62" t="s">
        <v>67</v>
      </c>
      <c r="E256" s="62" t="s">
        <v>382</v>
      </c>
      <c r="F256" s="63" t="s">
        <v>391</v>
      </c>
      <c r="G256" s="64" t="n">
        <v>2856410.22222222</v>
      </c>
      <c r="H256" s="62" t="s">
        <v>138</v>
      </c>
    </row>
    <row r="257" customFormat="false" ht="15" hidden="false" customHeight="false" outlineLevel="0" collapsed="false">
      <c r="A257" s="62" t="n">
        <v>0</v>
      </c>
      <c r="B257" s="62" t="s">
        <v>381</v>
      </c>
      <c r="C257" s="62" t="s">
        <v>60</v>
      </c>
      <c r="D257" s="62" t="s">
        <v>67</v>
      </c>
      <c r="E257" s="62" t="s">
        <v>382</v>
      </c>
      <c r="F257" s="63" t="s">
        <v>392</v>
      </c>
      <c r="G257" s="64" t="n">
        <v>0</v>
      </c>
      <c r="H257" s="62" t="s">
        <v>138</v>
      </c>
    </row>
    <row r="258" customFormat="false" ht="15" hidden="false" customHeight="false" outlineLevel="0" collapsed="false">
      <c r="A258" s="62" t="n">
        <v>0</v>
      </c>
      <c r="B258" s="62" t="s">
        <v>383</v>
      </c>
      <c r="C258" s="62" t="s">
        <v>60</v>
      </c>
      <c r="D258" s="62" t="s">
        <v>67</v>
      </c>
      <c r="E258" s="62" t="s">
        <v>382</v>
      </c>
      <c r="F258" s="63" t="s">
        <v>392</v>
      </c>
      <c r="G258" s="64" t="n">
        <v>0</v>
      </c>
      <c r="H258" s="62" t="s">
        <v>138</v>
      </c>
    </row>
    <row r="259" customFormat="false" ht="15" hidden="false" customHeight="false" outlineLevel="0" collapsed="false">
      <c r="A259" s="62" t="n">
        <v>0</v>
      </c>
      <c r="B259" s="62" t="s">
        <v>384</v>
      </c>
      <c r="C259" s="62" t="s">
        <v>60</v>
      </c>
      <c r="D259" s="62" t="s">
        <v>67</v>
      </c>
      <c r="E259" s="62" t="s">
        <v>382</v>
      </c>
      <c r="F259" s="63" t="s">
        <v>392</v>
      </c>
      <c r="G259" s="64" t="n">
        <v>0</v>
      </c>
      <c r="H259" s="62" t="s">
        <v>138</v>
      </c>
    </row>
    <row r="260" customFormat="false" ht="15" hidden="false" customHeight="false" outlineLevel="0" collapsed="false">
      <c r="A260" s="62" t="n">
        <v>0</v>
      </c>
      <c r="B260" s="62" t="s">
        <v>385</v>
      </c>
      <c r="C260" s="62" t="s">
        <v>60</v>
      </c>
      <c r="D260" s="62" t="s">
        <v>67</v>
      </c>
      <c r="E260" s="62" t="s">
        <v>382</v>
      </c>
      <c r="F260" s="63" t="s">
        <v>392</v>
      </c>
      <c r="G260" s="64" t="n">
        <v>0</v>
      </c>
      <c r="H260" s="62" t="s">
        <v>138</v>
      </c>
    </row>
    <row r="261" customFormat="false" ht="15" hidden="false" customHeight="false" outlineLevel="0" collapsed="false">
      <c r="A261" s="62" t="n">
        <v>0</v>
      </c>
      <c r="B261" s="62" t="s">
        <v>386</v>
      </c>
      <c r="C261" s="62" t="s">
        <v>60</v>
      </c>
      <c r="D261" s="62" t="s">
        <v>67</v>
      </c>
      <c r="E261" s="62" t="s">
        <v>382</v>
      </c>
      <c r="F261" s="63" t="s">
        <v>392</v>
      </c>
      <c r="G261" s="64" t="n">
        <v>0</v>
      </c>
      <c r="H261" s="62" t="s">
        <v>138</v>
      </c>
    </row>
    <row r="262" customFormat="false" ht="15" hidden="false" customHeight="false" outlineLevel="0" collapsed="false">
      <c r="A262" s="62" t="n">
        <v>0</v>
      </c>
      <c r="B262" s="62" t="s">
        <v>387</v>
      </c>
      <c r="C262" s="62" t="s">
        <v>60</v>
      </c>
      <c r="D262" s="62" t="s">
        <v>67</v>
      </c>
      <c r="E262" s="62" t="s">
        <v>382</v>
      </c>
      <c r="F262" s="63" t="s">
        <v>392</v>
      </c>
      <c r="G262" s="64" t="n">
        <v>0</v>
      </c>
      <c r="H262" s="62" t="s">
        <v>138</v>
      </c>
    </row>
    <row r="263" customFormat="false" ht="15" hidden="false" customHeight="false" outlineLevel="0" collapsed="false">
      <c r="A263" s="62" t="n">
        <v>0</v>
      </c>
      <c r="B263" s="62" t="s">
        <v>388</v>
      </c>
      <c r="C263" s="62" t="s">
        <v>60</v>
      </c>
      <c r="D263" s="62" t="s">
        <v>67</v>
      </c>
      <c r="E263" s="62" t="s">
        <v>382</v>
      </c>
      <c r="F263" s="63" t="s">
        <v>392</v>
      </c>
      <c r="G263" s="64" t="n">
        <v>0</v>
      </c>
      <c r="H263" s="62" t="s">
        <v>138</v>
      </c>
    </row>
    <row r="264" customFormat="false" ht="15" hidden="false" customHeight="false" outlineLevel="0" collapsed="false">
      <c r="A264" s="62" t="n">
        <v>0</v>
      </c>
      <c r="B264" s="62" t="s">
        <v>381</v>
      </c>
      <c r="C264" s="62" t="s">
        <v>60</v>
      </c>
      <c r="D264" s="62" t="s">
        <v>67</v>
      </c>
      <c r="E264" s="62" t="s">
        <v>382</v>
      </c>
      <c r="F264" s="63" t="s">
        <v>393</v>
      </c>
      <c r="G264" s="64" t="n">
        <v>599526.222222222</v>
      </c>
      <c r="H264" s="62" t="s">
        <v>138</v>
      </c>
    </row>
    <row r="265" customFormat="false" ht="15" hidden="false" customHeight="false" outlineLevel="0" collapsed="false">
      <c r="A265" s="62" t="n">
        <v>0</v>
      </c>
      <c r="B265" s="62" t="s">
        <v>383</v>
      </c>
      <c r="C265" s="62" t="s">
        <v>60</v>
      </c>
      <c r="D265" s="62" t="s">
        <v>67</v>
      </c>
      <c r="E265" s="62" t="s">
        <v>382</v>
      </c>
      <c r="F265" s="63" t="s">
        <v>393</v>
      </c>
      <c r="G265" s="64" t="n">
        <v>599526.222222222</v>
      </c>
      <c r="H265" s="62" t="s">
        <v>138</v>
      </c>
    </row>
    <row r="266" customFormat="false" ht="15" hidden="false" customHeight="false" outlineLevel="0" collapsed="false">
      <c r="A266" s="62" t="n">
        <v>0</v>
      </c>
      <c r="B266" s="62" t="s">
        <v>384</v>
      </c>
      <c r="C266" s="62" t="s">
        <v>60</v>
      </c>
      <c r="D266" s="62" t="s">
        <v>67</v>
      </c>
      <c r="E266" s="62" t="s">
        <v>382</v>
      </c>
      <c r="F266" s="63" t="s">
        <v>393</v>
      </c>
      <c r="G266" s="64" t="n">
        <v>599526.222222222</v>
      </c>
      <c r="H266" s="62" t="s">
        <v>138</v>
      </c>
    </row>
    <row r="267" customFormat="false" ht="15" hidden="false" customHeight="false" outlineLevel="0" collapsed="false">
      <c r="A267" s="62" t="n">
        <v>0</v>
      </c>
      <c r="B267" s="62" t="s">
        <v>385</v>
      </c>
      <c r="C267" s="62" t="s">
        <v>60</v>
      </c>
      <c r="D267" s="62" t="s">
        <v>67</v>
      </c>
      <c r="E267" s="62" t="s">
        <v>382</v>
      </c>
      <c r="F267" s="63" t="s">
        <v>393</v>
      </c>
      <c r="G267" s="64" t="n">
        <v>599526.222222222</v>
      </c>
      <c r="H267" s="62" t="s">
        <v>138</v>
      </c>
    </row>
    <row r="268" customFormat="false" ht="15" hidden="false" customHeight="false" outlineLevel="0" collapsed="false">
      <c r="A268" s="62" t="n">
        <v>0</v>
      </c>
      <c r="B268" s="62" t="s">
        <v>386</v>
      </c>
      <c r="C268" s="62" t="s">
        <v>60</v>
      </c>
      <c r="D268" s="62" t="s">
        <v>67</v>
      </c>
      <c r="E268" s="62" t="s">
        <v>382</v>
      </c>
      <c r="F268" s="63" t="s">
        <v>393</v>
      </c>
      <c r="G268" s="64" t="n">
        <v>599526.222222222</v>
      </c>
      <c r="H268" s="62" t="s">
        <v>138</v>
      </c>
    </row>
    <row r="269" customFormat="false" ht="15" hidden="false" customHeight="false" outlineLevel="0" collapsed="false">
      <c r="A269" s="62" t="n">
        <v>0</v>
      </c>
      <c r="B269" s="62" t="s">
        <v>387</v>
      </c>
      <c r="C269" s="62" t="s">
        <v>60</v>
      </c>
      <c r="D269" s="62" t="s">
        <v>67</v>
      </c>
      <c r="E269" s="62" t="s">
        <v>382</v>
      </c>
      <c r="F269" s="63" t="s">
        <v>393</v>
      </c>
      <c r="G269" s="64" t="n">
        <v>599526.222222222</v>
      </c>
      <c r="H269" s="62" t="s">
        <v>138</v>
      </c>
    </row>
    <row r="270" customFormat="false" ht="15" hidden="false" customHeight="false" outlineLevel="0" collapsed="false">
      <c r="A270" s="62" t="n">
        <v>0</v>
      </c>
      <c r="B270" s="62" t="s">
        <v>388</v>
      </c>
      <c r="C270" s="62" t="s">
        <v>60</v>
      </c>
      <c r="D270" s="62" t="s">
        <v>67</v>
      </c>
      <c r="E270" s="62" t="s">
        <v>382</v>
      </c>
      <c r="F270" s="63" t="s">
        <v>393</v>
      </c>
      <c r="G270" s="64" t="n">
        <v>599526.222222222</v>
      </c>
      <c r="H270" s="62" t="s">
        <v>138</v>
      </c>
    </row>
    <row r="271" customFormat="false" ht="15" hidden="false" customHeight="false" outlineLevel="0" collapsed="false">
      <c r="A271" s="62" t="n">
        <v>0</v>
      </c>
      <c r="B271" s="62" t="s">
        <v>381</v>
      </c>
      <c r="C271" s="62" t="s">
        <v>60</v>
      </c>
      <c r="D271" s="62" t="s">
        <v>67</v>
      </c>
      <c r="E271" s="62" t="s">
        <v>382</v>
      </c>
      <c r="F271" s="63" t="s">
        <v>394</v>
      </c>
      <c r="G271" s="64" t="n">
        <v>600000</v>
      </c>
      <c r="H271" s="62" t="s">
        <v>138</v>
      </c>
    </row>
    <row r="272" customFormat="false" ht="15" hidden="false" customHeight="false" outlineLevel="0" collapsed="false">
      <c r="A272" s="62" t="n">
        <v>0</v>
      </c>
      <c r="B272" s="62" t="s">
        <v>383</v>
      </c>
      <c r="C272" s="62" t="s">
        <v>60</v>
      </c>
      <c r="D272" s="62" t="s">
        <v>67</v>
      </c>
      <c r="E272" s="62" t="s">
        <v>382</v>
      </c>
      <c r="F272" s="63" t="s">
        <v>394</v>
      </c>
      <c r="G272" s="64" t="n">
        <v>600000</v>
      </c>
      <c r="H272" s="62" t="s">
        <v>138</v>
      </c>
    </row>
    <row r="273" customFormat="false" ht="15" hidden="false" customHeight="false" outlineLevel="0" collapsed="false">
      <c r="A273" s="62" t="n">
        <v>0</v>
      </c>
      <c r="B273" s="62" t="s">
        <v>384</v>
      </c>
      <c r="C273" s="62" t="s">
        <v>60</v>
      </c>
      <c r="D273" s="62" t="s">
        <v>67</v>
      </c>
      <c r="E273" s="62" t="s">
        <v>382</v>
      </c>
      <c r="F273" s="63" t="s">
        <v>394</v>
      </c>
      <c r="G273" s="64" t="n">
        <v>600000</v>
      </c>
      <c r="H273" s="62" t="s">
        <v>138</v>
      </c>
    </row>
    <row r="274" customFormat="false" ht="15" hidden="false" customHeight="false" outlineLevel="0" collapsed="false">
      <c r="A274" s="62" t="n">
        <v>0</v>
      </c>
      <c r="B274" s="62" t="s">
        <v>385</v>
      </c>
      <c r="C274" s="62" t="s">
        <v>60</v>
      </c>
      <c r="D274" s="62" t="s">
        <v>67</v>
      </c>
      <c r="E274" s="62" t="s">
        <v>382</v>
      </c>
      <c r="F274" s="63" t="s">
        <v>394</v>
      </c>
      <c r="G274" s="64" t="n">
        <v>600000</v>
      </c>
      <c r="H274" s="62" t="s">
        <v>138</v>
      </c>
    </row>
    <row r="275" customFormat="false" ht="15" hidden="false" customHeight="false" outlineLevel="0" collapsed="false">
      <c r="A275" s="62" t="n">
        <v>0</v>
      </c>
      <c r="B275" s="62" t="s">
        <v>386</v>
      </c>
      <c r="C275" s="62" t="s">
        <v>60</v>
      </c>
      <c r="D275" s="62" t="s">
        <v>67</v>
      </c>
      <c r="E275" s="62" t="s">
        <v>382</v>
      </c>
      <c r="F275" s="63" t="s">
        <v>394</v>
      </c>
      <c r="G275" s="64" t="n">
        <v>600000</v>
      </c>
      <c r="H275" s="62" t="s">
        <v>138</v>
      </c>
    </row>
    <row r="276" customFormat="false" ht="15" hidden="false" customHeight="false" outlineLevel="0" collapsed="false">
      <c r="A276" s="62" t="n">
        <v>0</v>
      </c>
      <c r="B276" s="62" t="s">
        <v>387</v>
      </c>
      <c r="C276" s="62" t="s">
        <v>60</v>
      </c>
      <c r="D276" s="62" t="s">
        <v>67</v>
      </c>
      <c r="E276" s="62" t="s">
        <v>382</v>
      </c>
      <c r="F276" s="63" t="s">
        <v>394</v>
      </c>
      <c r="G276" s="64" t="n">
        <v>600000</v>
      </c>
      <c r="H276" s="62" t="s">
        <v>138</v>
      </c>
    </row>
    <row r="277" customFormat="false" ht="15" hidden="false" customHeight="false" outlineLevel="0" collapsed="false">
      <c r="A277" s="62" t="n">
        <v>0</v>
      </c>
      <c r="B277" s="62" t="s">
        <v>388</v>
      </c>
      <c r="C277" s="62" t="s">
        <v>60</v>
      </c>
      <c r="D277" s="62" t="s">
        <v>67</v>
      </c>
      <c r="E277" s="62" t="s">
        <v>382</v>
      </c>
      <c r="F277" s="63" t="s">
        <v>394</v>
      </c>
      <c r="G277" s="64" t="n">
        <v>600000</v>
      </c>
      <c r="H277" s="62" t="s">
        <v>138</v>
      </c>
    </row>
    <row r="278" customFormat="false" ht="15" hidden="false" customHeight="false" outlineLevel="0" collapsed="false">
      <c r="A278" s="62" t="n">
        <v>0</v>
      </c>
      <c r="B278" s="62" t="s">
        <v>381</v>
      </c>
      <c r="C278" s="62" t="s">
        <v>60</v>
      </c>
      <c r="D278" s="62" t="s">
        <v>67</v>
      </c>
      <c r="E278" s="62" t="s">
        <v>382</v>
      </c>
      <c r="F278" s="63" t="s">
        <v>395</v>
      </c>
      <c r="G278" s="64" t="n">
        <v>54123.1055752135</v>
      </c>
      <c r="H278" s="62" t="s">
        <v>138</v>
      </c>
    </row>
    <row r="279" customFormat="false" ht="15" hidden="false" customHeight="false" outlineLevel="0" collapsed="false">
      <c r="A279" s="62" t="n">
        <v>0</v>
      </c>
      <c r="B279" s="62" t="s">
        <v>383</v>
      </c>
      <c r="C279" s="62" t="s">
        <v>60</v>
      </c>
      <c r="D279" s="62" t="s">
        <v>67</v>
      </c>
      <c r="E279" s="62" t="s">
        <v>382</v>
      </c>
      <c r="F279" s="63" t="s">
        <v>395</v>
      </c>
      <c r="G279" s="64" t="n">
        <v>54123.1055752135</v>
      </c>
      <c r="H279" s="62" t="s">
        <v>138</v>
      </c>
    </row>
    <row r="280" customFormat="false" ht="15" hidden="false" customHeight="false" outlineLevel="0" collapsed="false">
      <c r="A280" s="62" t="n">
        <v>0</v>
      </c>
      <c r="B280" s="62" t="s">
        <v>384</v>
      </c>
      <c r="C280" s="62" t="s">
        <v>60</v>
      </c>
      <c r="D280" s="62" t="s">
        <v>67</v>
      </c>
      <c r="E280" s="62" t="s">
        <v>382</v>
      </c>
      <c r="F280" s="63" t="s">
        <v>395</v>
      </c>
      <c r="G280" s="64" t="n">
        <v>54123.1055752135</v>
      </c>
      <c r="H280" s="62" t="s">
        <v>138</v>
      </c>
    </row>
    <row r="281" customFormat="false" ht="15" hidden="false" customHeight="false" outlineLevel="0" collapsed="false">
      <c r="A281" s="62" t="n">
        <v>0</v>
      </c>
      <c r="B281" s="62" t="s">
        <v>385</v>
      </c>
      <c r="C281" s="62" t="s">
        <v>60</v>
      </c>
      <c r="D281" s="62" t="s">
        <v>67</v>
      </c>
      <c r="E281" s="62" t="s">
        <v>382</v>
      </c>
      <c r="F281" s="63" t="s">
        <v>395</v>
      </c>
      <c r="G281" s="64" t="n">
        <v>54123.1055752135</v>
      </c>
      <c r="H281" s="62" t="s">
        <v>138</v>
      </c>
    </row>
    <row r="282" customFormat="false" ht="15" hidden="false" customHeight="false" outlineLevel="0" collapsed="false">
      <c r="A282" s="62" t="n">
        <v>0</v>
      </c>
      <c r="B282" s="62" t="s">
        <v>386</v>
      </c>
      <c r="C282" s="62" t="s">
        <v>60</v>
      </c>
      <c r="D282" s="62" t="s">
        <v>67</v>
      </c>
      <c r="E282" s="62" t="s">
        <v>382</v>
      </c>
      <c r="F282" s="63" t="s">
        <v>395</v>
      </c>
      <c r="G282" s="64" t="n">
        <v>54123.1055752135</v>
      </c>
      <c r="H282" s="62" t="s">
        <v>138</v>
      </c>
    </row>
    <row r="283" customFormat="false" ht="15" hidden="false" customHeight="false" outlineLevel="0" collapsed="false">
      <c r="A283" s="62" t="n">
        <v>0</v>
      </c>
      <c r="B283" s="62" t="s">
        <v>387</v>
      </c>
      <c r="C283" s="62" t="s">
        <v>60</v>
      </c>
      <c r="D283" s="62" t="s">
        <v>67</v>
      </c>
      <c r="E283" s="62" t="s">
        <v>382</v>
      </c>
      <c r="F283" s="63" t="s">
        <v>395</v>
      </c>
      <c r="G283" s="64" t="n">
        <v>54123.1055752135</v>
      </c>
      <c r="H283" s="62" t="s">
        <v>138</v>
      </c>
    </row>
    <row r="284" customFormat="false" ht="15" hidden="false" customHeight="false" outlineLevel="0" collapsed="false">
      <c r="A284" s="62" t="n">
        <v>0</v>
      </c>
      <c r="B284" s="62" t="s">
        <v>388</v>
      </c>
      <c r="C284" s="62" t="s">
        <v>60</v>
      </c>
      <c r="D284" s="62" t="s">
        <v>67</v>
      </c>
      <c r="E284" s="62" t="s">
        <v>382</v>
      </c>
      <c r="F284" s="63" t="s">
        <v>395</v>
      </c>
      <c r="G284" s="64" t="n">
        <v>54123.1055752135</v>
      </c>
      <c r="H284" s="62" t="s">
        <v>138</v>
      </c>
    </row>
    <row r="285" customFormat="false" ht="15" hidden="false" customHeight="false" outlineLevel="0" collapsed="false">
      <c r="A285" s="62" t="n">
        <v>0</v>
      </c>
      <c r="B285" s="62" t="s">
        <v>381</v>
      </c>
      <c r="C285" s="62" t="s">
        <v>60</v>
      </c>
      <c r="D285" s="62" t="s">
        <v>67</v>
      </c>
      <c r="E285" s="62" t="s">
        <v>382</v>
      </c>
      <c r="F285" s="63" t="s">
        <v>403</v>
      </c>
      <c r="G285" s="64" t="n">
        <v>0</v>
      </c>
      <c r="H285" s="62" t="s">
        <v>138</v>
      </c>
    </row>
    <row r="286" customFormat="false" ht="15" hidden="false" customHeight="false" outlineLevel="0" collapsed="false">
      <c r="A286" s="62" t="n">
        <v>0</v>
      </c>
      <c r="B286" s="62" t="s">
        <v>383</v>
      </c>
      <c r="C286" s="62" t="s">
        <v>60</v>
      </c>
      <c r="D286" s="62" t="s">
        <v>67</v>
      </c>
      <c r="E286" s="62" t="s">
        <v>382</v>
      </c>
      <c r="F286" s="63" t="s">
        <v>403</v>
      </c>
      <c r="G286" s="64" t="n">
        <v>0</v>
      </c>
      <c r="H286" s="62" t="s">
        <v>138</v>
      </c>
    </row>
    <row r="287" customFormat="false" ht="15" hidden="false" customHeight="false" outlineLevel="0" collapsed="false">
      <c r="A287" s="62" t="n">
        <v>0</v>
      </c>
      <c r="B287" s="62" t="s">
        <v>384</v>
      </c>
      <c r="C287" s="62" t="s">
        <v>60</v>
      </c>
      <c r="D287" s="62" t="s">
        <v>67</v>
      </c>
      <c r="E287" s="62" t="s">
        <v>382</v>
      </c>
      <c r="F287" s="63" t="s">
        <v>403</v>
      </c>
      <c r="G287" s="64" t="n">
        <v>0</v>
      </c>
      <c r="H287" s="62" t="s">
        <v>138</v>
      </c>
    </row>
    <row r="288" customFormat="false" ht="15" hidden="false" customHeight="false" outlineLevel="0" collapsed="false">
      <c r="A288" s="62" t="n">
        <v>0</v>
      </c>
      <c r="B288" s="62" t="s">
        <v>385</v>
      </c>
      <c r="C288" s="62" t="s">
        <v>60</v>
      </c>
      <c r="D288" s="62" t="s">
        <v>67</v>
      </c>
      <c r="E288" s="62" t="s">
        <v>382</v>
      </c>
      <c r="F288" s="63" t="s">
        <v>403</v>
      </c>
      <c r="G288" s="64" t="n">
        <v>0</v>
      </c>
      <c r="H288" s="62" t="s">
        <v>138</v>
      </c>
    </row>
    <row r="289" customFormat="false" ht="15" hidden="false" customHeight="false" outlineLevel="0" collapsed="false">
      <c r="A289" s="62" t="n">
        <v>0</v>
      </c>
      <c r="B289" s="62" t="s">
        <v>386</v>
      </c>
      <c r="C289" s="62" t="s">
        <v>60</v>
      </c>
      <c r="D289" s="62" t="s">
        <v>67</v>
      </c>
      <c r="E289" s="62" t="s">
        <v>382</v>
      </c>
      <c r="F289" s="63" t="s">
        <v>403</v>
      </c>
      <c r="G289" s="64" t="n">
        <v>0</v>
      </c>
      <c r="H289" s="62" t="s">
        <v>138</v>
      </c>
    </row>
    <row r="290" customFormat="false" ht="15" hidden="false" customHeight="false" outlineLevel="0" collapsed="false">
      <c r="A290" s="62" t="n">
        <v>0</v>
      </c>
      <c r="B290" s="62" t="s">
        <v>387</v>
      </c>
      <c r="C290" s="62" t="s">
        <v>60</v>
      </c>
      <c r="D290" s="62" t="s">
        <v>67</v>
      </c>
      <c r="E290" s="62" t="s">
        <v>382</v>
      </c>
      <c r="F290" s="63" t="s">
        <v>403</v>
      </c>
      <c r="G290" s="64" t="n">
        <v>0</v>
      </c>
      <c r="H290" s="62" t="s">
        <v>138</v>
      </c>
    </row>
    <row r="291" customFormat="false" ht="15" hidden="false" customHeight="false" outlineLevel="0" collapsed="false">
      <c r="A291" s="62" t="n">
        <v>0</v>
      </c>
      <c r="B291" s="62" t="s">
        <v>388</v>
      </c>
      <c r="C291" s="62" t="s">
        <v>60</v>
      </c>
      <c r="D291" s="62" t="s">
        <v>67</v>
      </c>
      <c r="E291" s="62" t="s">
        <v>382</v>
      </c>
      <c r="F291" s="63" t="s">
        <v>403</v>
      </c>
      <c r="G291" s="64" t="n">
        <v>0</v>
      </c>
      <c r="H291" s="62" t="s">
        <v>138</v>
      </c>
    </row>
    <row r="292" customFormat="false" ht="15" hidden="false" customHeight="false" outlineLevel="0" collapsed="false">
      <c r="A292" s="62" t="n">
        <v>0</v>
      </c>
      <c r="B292" s="62" t="s">
        <v>381</v>
      </c>
      <c r="C292" s="62" t="s">
        <v>60</v>
      </c>
      <c r="D292" s="62" t="s">
        <v>67</v>
      </c>
      <c r="E292" s="62" t="s">
        <v>382</v>
      </c>
      <c r="F292" s="63" t="s">
        <v>404</v>
      </c>
      <c r="G292" s="64" t="n">
        <v>20221620.6301189</v>
      </c>
      <c r="H292" s="62" t="s">
        <v>138</v>
      </c>
    </row>
    <row r="293" customFormat="false" ht="15" hidden="false" customHeight="false" outlineLevel="0" collapsed="false">
      <c r="A293" s="62" t="n">
        <v>0</v>
      </c>
      <c r="B293" s="62" t="s">
        <v>383</v>
      </c>
      <c r="C293" s="62" t="s">
        <v>60</v>
      </c>
      <c r="D293" s="62" t="s">
        <v>67</v>
      </c>
      <c r="E293" s="62" t="s">
        <v>382</v>
      </c>
      <c r="F293" s="63" t="s">
        <v>404</v>
      </c>
      <c r="G293" s="64" t="n">
        <v>20221620.6301189</v>
      </c>
      <c r="H293" s="62" t="s">
        <v>138</v>
      </c>
    </row>
    <row r="294" customFormat="false" ht="15" hidden="false" customHeight="false" outlineLevel="0" collapsed="false">
      <c r="A294" s="62" t="n">
        <v>0</v>
      </c>
      <c r="B294" s="62" t="s">
        <v>384</v>
      </c>
      <c r="C294" s="62" t="s">
        <v>60</v>
      </c>
      <c r="D294" s="62" t="s">
        <v>67</v>
      </c>
      <c r="E294" s="62" t="s">
        <v>382</v>
      </c>
      <c r="F294" s="63" t="s">
        <v>404</v>
      </c>
      <c r="G294" s="64" t="n">
        <v>20221620.6301189</v>
      </c>
      <c r="H294" s="62" t="s">
        <v>138</v>
      </c>
    </row>
    <row r="295" customFormat="false" ht="15" hidden="false" customHeight="false" outlineLevel="0" collapsed="false">
      <c r="A295" s="62" t="n">
        <v>0</v>
      </c>
      <c r="B295" s="62" t="s">
        <v>385</v>
      </c>
      <c r="C295" s="62" t="s">
        <v>60</v>
      </c>
      <c r="D295" s="62" t="s">
        <v>67</v>
      </c>
      <c r="E295" s="62" t="s">
        <v>382</v>
      </c>
      <c r="F295" s="63" t="s">
        <v>404</v>
      </c>
      <c r="G295" s="64" t="n">
        <v>20221620.6301189</v>
      </c>
      <c r="H295" s="62" t="s">
        <v>138</v>
      </c>
    </row>
    <row r="296" customFormat="false" ht="15" hidden="false" customHeight="false" outlineLevel="0" collapsed="false">
      <c r="A296" s="62" t="n">
        <v>0</v>
      </c>
      <c r="B296" s="62" t="s">
        <v>386</v>
      </c>
      <c r="C296" s="62" t="s">
        <v>60</v>
      </c>
      <c r="D296" s="62" t="s">
        <v>67</v>
      </c>
      <c r="E296" s="62" t="s">
        <v>382</v>
      </c>
      <c r="F296" s="63" t="s">
        <v>404</v>
      </c>
      <c r="G296" s="64" t="n">
        <v>20221620.6301189</v>
      </c>
      <c r="H296" s="62" t="s">
        <v>138</v>
      </c>
    </row>
    <row r="297" customFormat="false" ht="15" hidden="false" customHeight="false" outlineLevel="0" collapsed="false">
      <c r="A297" s="62" t="n">
        <v>0</v>
      </c>
      <c r="B297" s="62" t="s">
        <v>387</v>
      </c>
      <c r="C297" s="62" t="s">
        <v>60</v>
      </c>
      <c r="D297" s="62" t="s">
        <v>67</v>
      </c>
      <c r="E297" s="62" t="s">
        <v>382</v>
      </c>
      <c r="F297" s="63" t="s">
        <v>404</v>
      </c>
      <c r="G297" s="64" t="n">
        <v>20221620.6301189</v>
      </c>
      <c r="H297" s="62" t="s">
        <v>138</v>
      </c>
    </row>
    <row r="298" customFormat="false" ht="15" hidden="false" customHeight="false" outlineLevel="0" collapsed="false">
      <c r="A298" s="62" t="n">
        <v>0</v>
      </c>
      <c r="B298" s="62" t="s">
        <v>388</v>
      </c>
      <c r="C298" s="62" t="s">
        <v>60</v>
      </c>
      <c r="D298" s="62" t="s">
        <v>67</v>
      </c>
      <c r="E298" s="62" t="s">
        <v>382</v>
      </c>
      <c r="F298" s="63" t="s">
        <v>404</v>
      </c>
      <c r="G298" s="64" t="n">
        <v>20221620.6301189</v>
      </c>
      <c r="H298" s="62" t="s">
        <v>138</v>
      </c>
    </row>
    <row r="299" customFormat="false" ht="15" hidden="false" customHeight="false" outlineLevel="0" collapsed="false">
      <c r="A299" s="62" t="n">
        <v>0</v>
      </c>
      <c r="B299" s="62" t="s">
        <v>381</v>
      </c>
      <c r="C299" s="62" t="s">
        <v>60</v>
      </c>
      <c r="D299" s="62" t="s">
        <v>67</v>
      </c>
      <c r="E299" s="62" t="s">
        <v>382</v>
      </c>
      <c r="F299" s="63" t="s">
        <v>405</v>
      </c>
      <c r="G299" s="64" t="n">
        <v>2502222.38612016</v>
      </c>
      <c r="H299" s="62" t="s">
        <v>138</v>
      </c>
    </row>
    <row r="300" customFormat="false" ht="15" hidden="false" customHeight="false" outlineLevel="0" collapsed="false">
      <c r="A300" s="62" t="n">
        <v>0</v>
      </c>
      <c r="B300" s="62" t="s">
        <v>383</v>
      </c>
      <c r="C300" s="62" t="s">
        <v>60</v>
      </c>
      <c r="D300" s="62" t="s">
        <v>67</v>
      </c>
      <c r="E300" s="62" t="s">
        <v>382</v>
      </c>
      <c r="F300" s="63" t="s">
        <v>405</v>
      </c>
      <c r="G300" s="64" t="n">
        <v>2502222.38612016</v>
      </c>
      <c r="H300" s="62" t="s">
        <v>138</v>
      </c>
    </row>
    <row r="301" customFormat="false" ht="15" hidden="false" customHeight="false" outlineLevel="0" collapsed="false">
      <c r="A301" s="62" t="n">
        <v>0</v>
      </c>
      <c r="B301" s="62" t="s">
        <v>384</v>
      </c>
      <c r="C301" s="62" t="s">
        <v>60</v>
      </c>
      <c r="D301" s="62" t="s">
        <v>67</v>
      </c>
      <c r="E301" s="62" t="s">
        <v>382</v>
      </c>
      <c r="F301" s="63" t="s">
        <v>405</v>
      </c>
      <c r="G301" s="64" t="n">
        <v>2502222.38612016</v>
      </c>
      <c r="H301" s="62" t="s">
        <v>138</v>
      </c>
    </row>
    <row r="302" customFormat="false" ht="15" hidden="false" customHeight="false" outlineLevel="0" collapsed="false">
      <c r="A302" s="62" t="n">
        <v>0</v>
      </c>
      <c r="B302" s="62" t="s">
        <v>385</v>
      </c>
      <c r="C302" s="62" t="s">
        <v>60</v>
      </c>
      <c r="D302" s="62" t="s">
        <v>67</v>
      </c>
      <c r="E302" s="62" t="s">
        <v>382</v>
      </c>
      <c r="F302" s="63" t="s">
        <v>405</v>
      </c>
      <c r="G302" s="64" t="n">
        <v>2502222.38612016</v>
      </c>
      <c r="H302" s="62" t="s">
        <v>138</v>
      </c>
    </row>
    <row r="303" customFormat="false" ht="15" hidden="false" customHeight="false" outlineLevel="0" collapsed="false">
      <c r="A303" s="62" t="n">
        <v>0</v>
      </c>
      <c r="B303" s="62" t="s">
        <v>386</v>
      </c>
      <c r="C303" s="62" t="s">
        <v>60</v>
      </c>
      <c r="D303" s="62" t="s">
        <v>67</v>
      </c>
      <c r="E303" s="62" t="s">
        <v>382</v>
      </c>
      <c r="F303" s="63" t="s">
        <v>405</v>
      </c>
      <c r="G303" s="64" t="n">
        <v>2502222.38612016</v>
      </c>
      <c r="H303" s="62" t="s">
        <v>138</v>
      </c>
    </row>
    <row r="304" customFormat="false" ht="15" hidden="false" customHeight="false" outlineLevel="0" collapsed="false">
      <c r="A304" s="62" t="n">
        <v>0</v>
      </c>
      <c r="B304" s="62" t="s">
        <v>387</v>
      </c>
      <c r="C304" s="62" t="s">
        <v>60</v>
      </c>
      <c r="D304" s="62" t="s">
        <v>67</v>
      </c>
      <c r="E304" s="62" t="s">
        <v>382</v>
      </c>
      <c r="F304" s="63" t="s">
        <v>405</v>
      </c>
      <c r="G304" s="64" t="n">
        <v>2502222.38612016</v>
      </c>
      <c r="H304" s="62" t="s">
        <v>138</v>
      </c>
    </row>
    <row r="305" customFormat="false" ht="15" hidden="false" customHeight="false" outlineLevel="0" collapsed="false">
      <c r="A305" s="62" t="n">
        <v>0</v>
      </c>
      <c r="B305" s="62" t="s">
        <v>388</v>
      </c>
      <c r="C305" s="62" t="s">
        <v>60</v>
      </c>
      <c r="D305" s="62" t="s">
        <v>67</v>
      </c>
      <c r="E305" s="62" t="s">
        <v>382</v>
      </c>
      <c r="F305" s="63" t="s">
        <v>405</v>
      </c>
      <c r="G305" s="64" t="n">
        <v>2502222.38612016</v>
      </c>
      <c r="H305" s="62" t="s">
        <v>138</v>
      </c>
    </row>
    <row r="306" customFormat="false" ht="15" hidden="false" customHeight="false" outlineLevel="0" collapsed="false">
      <c r="A306" s="62" t="n">
        <v>0</v>
      </c>
      <c r="B306" s="62" t="s">
        <v>381</v>
      </c>
      <c r="C306" s="62" t="s">
        <v>60</v>
      </c>
      <c r="D306" s="62" t="s">
        <v>67</v>
      </c>
      <c r="E306" s="62" t="s">
        <v>382</v>
      </c>
      <c r="F306" s="63" t="s">
        <v>406</v>
      </c>
      <c r="G306" s="64" t="n">
        <v>1005068.4</v>
      </c>
      <c r="H306" s="62" t="s">
        <v>138</v>
      </c>
    </row>
    <row r="307" customFormat="false" ht="15" hidden="false" customHeight="false" outlineLevel="0" collapsed="false">
      <c r="A307" s="62" t="n">
        <v>0</v>
      </c>
      <c r="B307" s="62" t="s">
        <v>383</v>
      </c>
      <c r="C307" s="62" t="s">
        <v>60</v>
      </c>
      <c r="D307" s="62" t="s">
        <v>67</v>
      </c>
      <c r="E307" s="62" t="s">
        <v>382</v>
      </c>
      <c r="F307" s="63" t="s">
        <v>406</v>
      </c>
      <c r="G307" s="64" t="n">
        <v>1005068.4</v>
      </c>
      <c r="H307" s="62" t="s">
        <v>138</v>
      </c>
    </row>
    <row r="308" customFormat="false" ht="15" hidden="false" customHeight="false" outlineLevel="0" collapsed="false">
      <c r="A308" s="62" t="n">
        <v>0</v>
      </c>
      <c r="B308" s="62" t="s">
        <v>384</v>
      </c>
      <c r="C308" s="62" t="s">
        <v>60</v>
      </c>
      <c r="D308" s="62" t="s">
        <v>67</v>
      </c>
      <c r="E308" s="62" t="s">
        <v>382</v>
      </c>
      <c r="F308" s="63" t="s">
        <v>406</v>
      </c>
      <c r="G308" s="64" t="n">
        <v>1005068.4</v>
      </c>
      <c r="H308" s="62" t="s">
        <v>138</v>
      </c>
    </row>
    <row r="309" customFormat="false" ht="15" hidden="false" customHeight="false" outlineLevel="0" collapsed="false">
      <c r="A309" s="62" t="n">
        <v>0</v>
      </c>
      <c r="B309" s="62" t="s">
        <v>385</v>
      </c>
      <c r="C309" s="62" t="s">
        <v>60</v>
      </c>
      <c r="D309" s="62" t="s">
        <v>67</v>
      </c>
      <c r="E309" s="62" t="s">
        <v>382</v>
      </c>
      <c r="F309" s="63" t="s">
        <v>406</v>
      </c>
      <c r="G309" s="64" t="n">
        <v>1005068.4</v>
      </c>
      <c r="H309" s="62" t="s">
        <v>138</v>
      </c>
    </row>
    <row r="310" customFormat="false" ht="15" hidden="false" customHeight="false" outlineLevel="0" collapsed="false">
      <c r="A310" s="62" t="n">
        <v>0</v>
      </c>
      <c r="B310" s="62" t="s">
        <v>386</v>
      </c>
      <c r="C310" s="62" t="s">
        <v>60</v>
      </c>
      <c r="D310" s="62" t="s">
        <v>67</v>
      </c>
      <c r="E310" s="62" t="s">
        <v>382</v>
      </c>
      <c r="F310" s="63" t="s">
        <v>406</v>
      </c>
      <c r="G310" s="64" t="n">
        <v>1005068.4</v>
      </c>
      <c r="H310" s="62" t="s">
        <v>138</v>
      </c>
    </row>
    <row r="311" customFormat="false" ht="15" hidden="false" customHeight="false" outlineLevel="0" collapsed="false">
      <c r="A311" s="62" t="n">
        <v>0</v>
      </c>
      <c r="B311" s="62" t="s">
        <v>387</v>
      </c>
      <c r="C311" s="62" t="s">
        <v>60</v>
      </c>
      <c r="D311" s="62" t="s">
        <v>67</v>
      </c>
      <c r="E311" s="62" t="s">
        <v>382</v>
      </c>
      <c r="F311" s="63" t="s">
        <v>406</v>
      </c>
      <c r="G311" s="64" t="n">
        <v>1005068.4</v>
      </c>
      <c r="H311" s="62" t="s">
        <v>138</v>
      </c>
    </row>
    <row r="312" customFormat="false" ht="15" hidden="false" customHeight="false" outlineLevel="0" collapsed="false">
      <c r="A312" s="62" t="n">
        <v>0</v>
      </c>
      <c r="B312" s="62" t="s">
        <v>388</v>
      </c>
      <c r="C312" s="62" t="s">
        <v>60</v>
      </c>
      <c r="D312" s="62" t="s">
        <v>67</v>
      </c>
      <c r="E312" s="62" t="s">
        <v>382</v>
      </c>
      <c r="F312" s="63" t="s">
        <v>406</v>
      </c>
      <c r="G312" s="64" t="n">
        <v>1005068.4</v>
      </c>
      <c r="H312" s="62" t="s">
        <v>138</v>
      </c>
    </row>
    <row r="313" customFormat="false" ht="15" hidden="false" customHeight="false" outlineLevel="0" collapsed="false">
      <c r="A313" s="62" t="n">
        <v>0</v>
      </c>
      <c r="B313" s="62" t="s">
        <v>381</v>
      </c>
      <c r="C313" s="62" t="s">
        <v>60</v>
      </c>
      <c r="D313" s="62" t="s">
        <v>67</v>
      </c>
      <c r="E313" s="62" t="s">
        <v>382</v>
      </c>
      <c r="F313" s="63" t="s">
        <v>407</v>
      </c>
      <c r="G313" s="64" t="n">
        <v>1497153.98612016</v>
      </c>
      <c r="H313" s="62" t="s">
        <v>138</v>
      </c>
    </row>
    <row r="314" customFormat="false" ht="15" hidden="false" customHeight="false" outlineLevel="0" collapsed="false">
      <c r="A314" s="62" t="n">
        <v>0</v>
      </c>
      <c r="B314" s="62" t="s">
        <v>383</v>
      </c>
      <c r="C314" s="62" t="s">
        <v>60</v>
      </c>
      <c r="D314" s="62" t="s">
        <v>67</v>
      </c>
      <c r="E314" s="62" t="s">
        <v>382</v>
      </c>
      <c r="F314" s="63" t="s">
        <v>407</v>
      </c>
      <c r="G314" s="64" t="n">
        <v>1497153.98612016</v>
      </c>
      <c r="H314" s="62" t="s">
        <v>138</v>
      </c>
    </row>
    <row r="315" customFormat="false" ht="15" hidden="false" customHeight="false" outlineLevel="0" collapsed="false">
      <c r="A315" s="62" t="n">
        <v>0</v>
      </c>
      <c r="B315" s="62" t="s">
        <v>384</v>
      </c>
      <c r="C315" s="62" t="s">
        <v>60</v>
      </c>
      <c r="D315" s="62" t="s">
        <v>67</v>
      </c>
      <c r="E315" s="62" t="s">
        <v>382</v>
      </c>
      <c r="F315" s="63" t="s">
        <v>407</v>
      </c>
      <c r="G315" s="64" t="n">
        <v>1497153.98612016</v>
      </c>
      <c r="H315" s="62" t="s">
        <v>138</v>
      </c>
    </row>
    <row r="316" customFormat="false" ht="15" hidden="false" customHeight="false" outlineLevel="0" collapsed="false">
      <c r="A316" s="62" t="n">
        <v>0</v>
      </c>
      <c r="B316" s="62" t="s">
        <v>385</v>
      </c>
      <c r="C316" s="62" t="s">
        <v>60</v>
      </c>
      <c r="D316" s="62" t="s">
        <v>67</v>
      </c>
      <c r="E316" s="62" t="s">
        <v>382</v>
      </c>
      <c r="F316" s="63" t="s">
        <v>407</v>
      </c>
      <c r="G316" s="64" t="n">
        <v>1497153.98612016</v>
      </c>
      <c r="H316" s="62" t="s">
        <v>138</v>
      </c>
    </row>
    <row r="317" customFormat="false" ht="15" hidden="false" customHeight="false" outlineLevel="0" collapsed="false">
      <c r="A317" s="62" t="n">
        <v>0</v>
      </c>
      <c r="B317" s="62" t="s">
        <v>386</v>
      </c>
      <c r="C317" s="62" t="s">
        <v>60</v>
      </c>
      <c r="D317" s="62" t="s">
        <v>67</v>
      </c>
      <c r="E317" s="62" t="s">
        <v>382</v>
      </c>
      <c r="F317" s="63" t="s">
        <v>407</v>
      </c>
      <c r="G317" s="64" t="n">
        <v>1497153.98612016</v>
      </c>
      <c r="H317" s="62" t="s">
        <v>138</v>
      </c>
    </row>
    <row r="318" customFormat="false" ht="15" hidden="false" customHeight="false" outlineLevel="0" collapsed="false">
      <c r="A318" s="62" t="n">
        <v>0</v>
      </c>
      <c r="B318" s="62" t="s">
        <v>387</v>
      </c>
      <c r="C318" s="62" t="s">
        <v>60</v>
      </c>
      <c r="D318" s="62" t="s">
        <v>67</v>
      </c>
      <c r="E318" s="62" t="s">
        <v>382</v>
      </c>
      <c r="F318" s="63" t="s">
        <v>407</v>
      </c>
      <c r="G318" s="64" t="n">
        <v>1497153.98612016</v>
      </c>
      <c r="H318" s="62" t="s">
        <v>138</v>
      </c>
    </row>
    <row r="319" customFormat="false" ht="15" hidden="false" customHeight="false" outlineLevel="0" collapsed="false">
      <c r="A319" s="62" t="n">
        <v>0</v>
      </c>
      <c r="B319" s="62" t="s">
        <v>388</v>
      </c>
      <c r="C319" s="62" t="s">
        <v>60</v>
      </c>
      <c r="D319" s="62" t="s">
        <v>67</v>
      </c>
      <c r="E319" s="62" t="s">
        <v>382</v>
      </c>
      <c r="F319" s="63" t="s">
        <v>407</v>
      </c>
      <c r="G319" s="64" t="n">
        <v>1497153.98612016</v>
      </c>
      <c r="H319" s="62" t="s">
        <v>138</v>
      </c>
    </row>
    <row r="320" customFormat="false" ht="15" hidden="false" customHeight="false" outlineLevel="0" collapsed="false">
      <c r="A320" s="62" t="n">
        <v>0</v>
      </c>
      <c r="B320" s="62" t="s">
        <v>381</v>
      </c>
      <c r="C320" s="62" t="s">
        <v>60</v>
      </c>
      <c r="D320" s="62" t="s">
        <v>67</v>
      </c>
      <c r="E320" s="62" t="s">
        <v>382</v>
      </c>
      <c r="F320" s="63" t="s">
        <v>408</v>
      </c>
      <c r="G320" s="64" t="n">
        <v>529181.242278694</v>
      </c>
      <c r="H320" s="62" t="s">
        <v>138</v>
      </c>
    </row>
    <row r="321" customFormat="false" ht="15" hidden="false" customHeight="false" outlineLevel="0" collapsed="false">
      <c r="A321" s="62" t="n">
        <v>0</v>
      </c>
      <c r="B321" s="62" t="s">
        <v>383</v>
      </c>
      <c r="C321" s="62" t="s">
        <v>60</v>
      </c>
      <c r="D321" s="62" t="s">
        <v>67</v>
      </c>
      <c r="E321" s="62" t="s">
        <v>382</v>
      </c>
      <c r="F321" s="63" t="s">
        <v>408</v>
      </c>
      <c r="G321" s="64" t="n">
        <v>529181.242278694</v>
      </c>
      <c r="H321" s="62" t="s">
        <v>138</v>
      </c>
    </row>
    <row r="322" customFormat="false" ht="15" hidden="false" customHeight="false" outlineLevel="0" collapsed="false">
      <c r="A322" s="62" t="n">
        <v>0</v>
      </c>
      <c r="B322" s="62" t="s">
        <v>384</v>
      </c>
      <c r="C322" s="62" t="s">
        <v>60</v>
      </c>
      <c r="D322" s="62" t="s">
        <v>67</v>
      </c>
      <c r="E322" s="62" t="s">
        <v>382</v>
      </c>
      <c r="F322" s="63" t="s">
        <v>408</v>
      </c>
      <c r="G322" s="64" t="n">
        <v>529181.242278694</v>
      </c>
      <c r="H322" s="62" t="s">
        <v>138</v>
      </c>
    </row>
    <row r="323" customFormat="false" ht="15" hidden="false" customHeight="false" outlineLevel="0" collapsed="false">
      <c r="A323" s="62" t="n">
        <v>0</v>
      </c>
      <c r="B323" s="62" t="s">
        <v>385</v>
      </c>
      <c r="C323" s="62" t="s">
        <v>60</v>
      </c>
      <c r="D323" s="62" t="s">
        <v>67</v>
      </c>
      <c r="E323" s="62" t="s">
        <v>382</v>
      </c>
      <c r="F323" s="63" t="s">
        <v>408</v>
      </c>
      <c r="G323" s="64" t="n">
        <v>529181.242278694</v>
      </c>
      <c r="H323" s="62" t="s">
        <v>138</v>
      </c>
    </row>
    <row r="324" customFormat="false" ht="15" hidden="false" customHeight="false" outlineLevel="0" collapsed="false">
      <c r="A324" s="62" t="n">
        <v>0</v>
      </c>
      <c r="B324" s="62" t="s">
        <v>386</v>
      </c>
      <c r="C324" s="62" t="s">
        <v>60</v>
      </c>
      <c r="D324" s="62" t="s">
        <v>67</v>
      </c>
      <c r="E324" s="62" t="s">
        <v>382</v>
      </c>
      <c r="F324" s="63" t="s">
        <v>408</v>
      </c>
      <c r="G324" s="64" t="n">
        <v>529181.242278694</v>
      </c>
      <c r="H324" s="62" t="s">
        <v>138</v>
      </c>
    </row>
    <row r="325" customFormat="false" ht="15" hidden="false" customHeight="false" outlineLevel="0" collapsed="false">
      <c r="A325" s="62" t="n">
        <v>0</v>
      </c>
      <c r="B325" s="62" t="s">
        <v>387</v>
      </c>
      <c r="C325" s="62" t="s">
        <v>60</v>
      </c>
      <c r="D325" s="62" t="s">
        <v>67</v>
      </c>
      <c r="E325" s="62" t="s">
        <v>382</v>
      </c>
      <c r="F325" s="63" t="s">
        <v>408</v>
      </c>
      <c r="G325" s="64" t="n">
        <v>529181.242278694</v>
      </c>
      <c r="H325" s="62" t="s">
        <v>138</v>
      </c>
    </row>
    <row r="326" customFormat="false" ht="15" hidden="false" customHeight="false" outlineLevel="0" collapsed="false">
      <c r="A326" s="62" t="n">
        <v>0</v>
      </c>
      <c r="B326" s="62" t="s">
        <v>388</v>
      </c>
      <c r="C326" s="62" t="s">
        <v>60</v>
      </c>
      <c r="D326" s="62" t="s">
        <v>67</v>
      </c>
      <c r="E326" s="62" t="s">
        <v>382</v>
      </c>
      <c r="F326" s="63" t="s">
        <v>408</v>
      </c>
      <c r="G326" s="64" t="n">
        <v>529181.242278694</v>
      </c>
      <c r="H326" s="62" t="s">
        <v>138</v>
      </c>
    </row>
    <row r="327" customFormat="false" ht="15" hidden="false" customHeight="false" outlineLevel="0" collapsed="false">
      <c r="A327" s="62" t="n">
        <v>0</v>
      </c>
      <c r="B327" s="62" t="s">
        <v>381</v>
      </c>
      <c r="C327" s="62" t="s">
        <v>60</v>
      </c>
      <c r="D327" s="62" t="s">
        <v>67</v>
      </c>
      <c r="E327" s="62" t="s">
        <v>382</v>
      </c>
      <c r="F327" s="63" t="s">
        <v>409</v>
      </c>
      <c r="G327" s="64" t="n">
        <v>967972.743841462</v>
      </c>
      <c r="H327" s="62" t="s">
        <v>138</v>
      </c>
    </row>
    <row r="328" customFormat="false" ht="15" hidden="false" customHeight="false" outlineLevel="0" collapsed="false">
      <c r="A328" s="62" t="n">
        <v>0</v>
      </c>
      <c r="B328" s="62" t="s">
        <v>383</v>
      </c>
      <c r="C328" s="62" t="s">
        <v>60</v>
      </c>
      <c r="D328" s="62" t="s">
        <v>67</v>
      </c>
      <c r="E328" s="62" t="s">
        <v>382</v>
      </c>
      <c r="F328" s="63" t="s">
        <v>409</v>
      </c>
      <c r="G328" s="64" t="n">
        <v>967972.743841462</v>
      </c>
      <c r="H328" s="62" t="s">
        <v>138</v>
      </c>
    </row>
    <row r="329" customFormat="false" ht="15" hidden="false" customHeight="false" outlineLevel="0" collapsed="false">
      <c r="A329" s="62" t="n">
        <v>0</v>
      </c>
      <c r="B329" s="62" t="s">
        <v>384</v>
      </c>
      <c r="C329" s="62" t="s">
        <v>60</v>
      </c>
      <c r="D329" s="62" t="s">
        <v>67</v>
      </c>
      <c r="E329" s="62" t="s">
        <v>382</v>
      </c>
      <c r="F329" s="63" t="s">
        <v>409</v>
      </c>
      <c r="G329" s="64" t="n">
        <v>967972.743841462</v>
      </c>
      <c r="H329" s="62" t="s">
        <v>138</v>
      </c>
    </row>
    <row r="330" customFormat="false" ht="15" hidden="false" customHeight="false" outlineLevel="0" collapsed="false">
      <c r="A330" s="62" t="n">
        <v>0</v>
      </c>
      <c r="B330" s="62" t="s">
        <v>385</v>
      </c>
      <c r="C330" s="62" t="s">
        <v>60</v>
      </c>
      <c r="D330" s="62" t="s">
        <v>67</v>
      </c>
      <c r="E330" s="62" t="s">
        <v>382</v>
      </c>
      <c r="F330" s="63" t="s">
        <v>409</v>
      </c>
      <c r="G330" s="64" t="n">
        <v>967972.743841462</v>
      </c>
      <c r="H330" s="62" t="s">
        <v>138</v>
      </c>
    </row>
    <row r="331" customFormat="false" ht="15" hidden="false" customHeight="false" outlineLevel="0" collapsed="false">
      <c r="A331" s="62" t="n">
        <v>0</v>
      </c>
      <c r="B331" s="62" t="s">
        <v>386</v>
      </c>
      <c r="C331" s="62" t="s">
        <v>60</v>
      </c>
      <c r="D331" s="62" t="s">
        <v>67</v>
      </c>
      <c r="E331" s="62" t="s">
        <v>382</v>
      </c>
      <c r="F331" s="63" t="s">
        <v>409</v>
      </c>
      <c r="G331" s="64" t="n">
        <v>967972.743841462</v>
      </c>
      <c r="H331" s="62" t="s">
        <v>138</v>
      </c>
    </row>
    <row r="332" customFormat="false" ht="15" hidden="false" customHeight="false" outlineLevel="0" collapsed="false">
      <c r="A332" s="62" t="n">
        <v>0</v>
      </c>
      <c r="B332" s="62" t="s">
        <v>387</v>
      </c>
      <c r="C332" s="62" t="s">
        <v>60</v>
      </c>
      <c r="D332" s="62" t="s">
        <v>67</v>
      </c>
      <c r="E332" s="62" t="s">
        <v>382</v>
      </c>
      <c r="F332" s="63" t="s">
        <v>409</v>
      </c>
      <c r="G332" s="64" t="n">
        <v>967972.743841462</v>
      </c>
      <c r="H332" s="62" t="s">
        <v>138</v>
      </c>
    </row>
    <row r="333" customFormat="false" ht="15" hidden="false" customHeight="false" outlineLevel="0" collapsed="false">
      <c r="A333" s="62" t="n">
        <v>0</v>
      </c>
      <c r="B333" s="62" t="s">
        <v>388</v>
      </c>
      <c r="C333" s="62" t="s">
        <v>60</v>
      </c>
      <c r="D333" s="62" t="s">
        <v>67</v>
      </c>
      <c r="E333" s="62" t="s">
        <v>382</v>
      </c>
      <c r="F333" s="63" t="s">
        <v>409</v>
      </c>
      <c r="G333" s="64" t="n">
        <v>967972.743841462</v>
      </c>
      <c r="H333" s="62" t="s">
        <v>138</v>
      </c>
    </row>
    <row r="334" customFormat="false" ht="15" hidden="false" customHeight="false" outlineLevel="0" collapsed="false">
      <c r="A334" s="62" t="n">
        <v>0</v>
      </c>
      <c r="B334" s="62" t="s">
        <v>381</v>
      </c>
      <c r="C334" s="62" t="s">
        <v>60</v>
      </c>
      <c r="D334" s="62" t="s">
        <v>67</v>
      </c>
      <c r="E334" s="62" t="s">
        <v>382</v>
      </c>
      <c r="F334" s="63" t="s">
        <v>410</v>
      </c>
      <c r="G334" s="64" t="n">
        <v>212954.003645122</v>
      </c>
      <c r="H334" s="62" t="s">
        <v>138</v>
      </c>
    </row>
    <row r="335" customFormat="false" ht="15" hidden="false" customHeight="false" outlineLevel="0" collapsed="false">
      <c r="A335" s="62" t="n">
        <v>0</v>
      </c>
      <c r="B335" s="62" t="s">
        <v>383</v>
      </c>
      <c r="C335" s="62" t="s">
        <v>60</v>
      </c>
      <c r="D335" s="62" t="s">
        <v>67</v>
      </c>
      <c r="E335" s="62" t="s">
        <v>382</v>
      </c>
      <c r="F335" s="63" t="s">
        <v>410</v>
      </c>
      <c r="G335" s="64" t="n">
        <v>212954.003645122</v>
      </c>
      <c r="H335" s="62" t="s">
        <v>138</v>
      </c>
    </row>
    <row r="336" customFormat="false" ht="15" hidden="false" customHeight="false" outlineLevel="0" collapsed="false">
      <c r="A336" s="62" t="n">
        <v>0</v>
      </c>
      <c r="B336" s="62" t="s">
        <v>384</v>
      </c>
      <c r="C336" s="62" t="s">
        <v>60</v>
      </c>
      <c r="D336" s="62" t="s">
        <v>67</v>
      </c>
      <c r="E336" s="62" t="s">
        <v>382</v>
      </c>
      <c r="F336" s="63" t="s">
        <v>410</v>
      </c>
      <c r="G336" s="64" t="n">
        <v>212954.003645122</v>
      </c>
      <c r="H336" s="62" t="s">
        <v>138</v>
      </c>
    </row>
    <row r="337" customFormat="false" ht="15" hidden="false" customHeight="false" outlineLevel="0" collapsed="false">
      <c r="A337" s="62" t="n">
        <v>0</v>
      </c>
      <c r="B337" s="62" t="s">
        <v>385</v>
      </c>
      <c r="C337" s="62" t="s">
        <v>60</v>
      </c>
      <c r="D337" s="62" t="s">
        <v>67</v>
      </c>
      <c r="E337" s="62" t="s">
        <v>382</v>
      </c>
      <c r="F337" s="63" t="s">
        <v>410</v>
      </c>
      <c r="G337" s="64" t="n">
        <v>212954.003645122</v>
      </c>
      <c r="H337" s="62" t="s">
        <v>138</v>
      </c>
    </row>
    <row r="338" customFormat="false" ht="15" hidden="false" customHeight="false" outlineLevel="0" collapsed="false">
      <c r="A338" s="62" t="n">
        <v>0</v>
      </c>
      <c r="B338" s="62" t="s">
        <v>386</v>
      </c>
      <c r="C338" s="62" t="s">
        <v>60</v>
      </c>
      <c r="D338" s="62" t="s">
        <v>67</v>
      </c>
      <c r="E338" s="62" t="s">
        <v>382</v>
      </c>
      <c r="F338" s="63" t="s">
        <v>410</v>
      </c>
      <c r="G338" s="64" t="n">
        <v>212954.003645122</v>
      </c>
      <c r="H338" s="62" t="s">
        <v>138</v>
      </c>
    </row>
    <row r="339" customFormat="false" ht="15" hidden="false" customHeight="false" outlineLevel="0" collapsed="false">
      <c r="A339" s="62" t="n">
        <v>0</v>
      </c>
      <c r="B339" s="62" t="s">
        <v>387</v>
      </c>
      <c r="C339" s="62" t="s">
        <v>60</v>
      </c>
      <c r="D339" s="62" t="s">
        <v>67</v>
      </c>
      <c r="E339" s="62" t="s">
        <v>382</v>
      </c>
      <c r="F339" s="63" t="s">
        <v>410</v>
      </c>
      <c r="G339" s="64" t="n">
        <v>212954.003645122</v>
      </c>
      <c r="H339" s="62" t="s">
        <v>138</v>
      </c>
    </row>
    <row r="340" customFormat="false" ht="15" hidden="false" customHeight="false" outlineLevel="0" collapsed="false">
      <c r="A340" s="62" t="n">
        <v>0</v>
      </c>
      <c r="B340" s="62" t="s">
        <v>388</v>
      </c>
      <c r="C340" s="62" t="s">
        <v>60</v>
      </c>
      <c r="D340" s="62" t="s">
        <v>67</v>
      </c>
      <c r="E340" s="62" t="s">
        <v>382</v>
      </c>
      <c r="F340" s="63" t="s">
        <v>410</v>
      </c>
      <c r="G340" s="64" t="n">
        <v>212954.003645122</v>
      </c>
      <c r="H340" s="62" t="s">
        <v>138</v>
      </c>
    </row>
    <row r="341" customFormat="false" ht="15" hidden="false" customHeight="false" outlineLevel="0" collapsed="false">
      <c r="A341" s="62" t="n">
        <v>0</v>
      </c>
      <c r="B341" s="62" t="s">
        <v>381</v>
      </c>
      <c r="C341" s="62" t="s">
        <v>60</v>
      </c>
      <c r="D341" s="62" t="s">
        <v>67</v>
      </c>
      <c r="E341" s="62" t="s">
        <v>382</v>
      </c>
      <c r="F341" s="63" t="s">
        <v>411</v>
      </c>
      <c r="G341" s="64" t="n">
        <v>755018.74019634</v>
      </c>
      <c r="H341" s="62" t="s">
        <v>138</v>
      </c>
    </row>
    <row r="342" customFormat="false" ht="15" hidden="false" customHeight="false" outlineLevel="0" collapsed="false">
      <c r="A342" s="62" t="n">
        <v>0</v>
      </c>
      <c r="B342" s="62" t="s">
        <v>383</v>
      </c>
      <c r="C342" s="62" t="s">
        <v>60</v>
      </c>
      <c r="D342" s="62" t="s">
        <v>67</v>
      </c>
      <c r="E342" s="62" t="s">
        <v>382</v>
      </c>
      <c r="F342" s="63" t="s">
        <v>411</v>
      </c>
      <c r="G342" s="64" t="n">
        <v>755018.74019634</v>
      </c>
      <c r="H342" s="62" t="s">
        <v>138</v>
      </c>
    </row>
    <row r="343" customFormat="false" ht="15" hidden="false" customHeight="false" outlineLevel="0" collapsed="false">
      <c r="A343" s="62" t="n">
        <v>0</v>
      </c>
      <c r="B343" s="62" t="s">
        <v>384</v>
      </c>
      <c r="C343" s="62" t="s">
        <v>60</v>
      </c>
      <c r="D343" s="62" t="s">
        <v>67</v>
      </c>
      <c r="E343" s="62" t="s">
        <v>382</v>
      </c>
      <c r="F343" s="63" t="s">
        <v>411</v>
      </c>
      <c r="G343" s="64" t="n">
        <v>755018.74019634</v>
      </c>
      <c r="H343" s="62" t="s">
        <v>138</v>
      </c>
    </row>
    <row r="344" customFormat="false" ht="15" hidden="false" customHeight="false" outlineLevel="0" collapsed="false">
      <c r="A344" s="62" t="n">
        <v>0</v>
      </c>
      <c r="B344" s="62" t="s">
        <v>385</v>
      </c>
      <c r="C344" s="62" t="s">
        <v>60</v>
      </c>
      <c r="D344" s="62" t="s">
        <v>67</v>
      </c>
      <c r="E344" s="62" t="s">
        <v>382</v>
      </c>
      <c r="F344" s="63" t="s">
        <v>411</v>
      </c>
      <c r="G344" s="64" t="n">
        <v>755018.74019634</v>
      </c>
      <c r="H344" s="62" t="s">
        <v>138</v>
      </c>
    </row>
    <row r="345" customFormat="false" ht="15" hidden="false" customHeight="false" outlineLevel="0" collapsed="false">
      <c r="A345" s="62" t="n">
        <v>0</v>
      </c>
      <c r="B345" s="62" t="s">
        <v>386</v>
      </c>
      <c r="C345" s="62" t="s">
        <v>60</v>
      </c>
      <c r="D345" s="62" t="s">
        <v>67</v>
      </c>
      <c r="E345" s="62" t="s">
        <v>382</v>
      </c>
      <c r="F345" s="63" t="s">
        <v>411</v>
      </c>
      <c r="G345" s="64" t="n">
        <v>755018.74019634</v>
      </c>
      <c r="H345" s="62" t="s">
        <v>138</v>
      </c>
    </row>
    <row r="346" customFormat="false" ht="15" hidden="false" customHeight="false" outlineLevel="0" collapsed="false">
      <c r="A346" s="62" t="n">
        <v>0</v>
      </c>
      <c r="B346" s="62" t="s">
        <v>387</v>
      </c>
      <c r="C346" s="62" t="s">
        <v>60</v>
      </c>
      <c r="D346" s="62" t="s">
        <v>67</v>
      </c>
      <c r="E346" s="62" t="s">
        <v>382</v>
      </c>
      <c r="F346" s="63" t="s">
        <v>411</v>
      </c>
      <c r="G346" s="64" t="n">
        <v>755018.74019634</v>
      </c>
      <c r="H346" s="62" t="s">
        <v>138</v>
      </c>
    </row>
    <row r="347" customFormat="false" ht="15" hidden="false" customHeight="false" outlineLevel="0" collapsed="false">
      <c r="A347" s="62" t="n">
        <v>0</v>
      </c>
      <c r="B347" s="62" t="s">
        <v>388</v>
      </c>
      <c r="C347" s="62" t="s">
        <v>60</v>
      </c>
      <c r="D347" s="62" t="s">
        <v>67</v>
      </c>
      <c r="E347" s="62" t="s">
        <v>382</v>
      </c>
      <c r="F347" s="63" t="s">
        <v>411</v>
      </c>
      <c r="G347" s="64" t="n">
        <v>755018.74019634</v>
      </c>
      <c r="H347" s="62" t="s">
        <v>138</v>
      </c>
    </row>
    <row r="348" customFormat="false" ht="15" hidden="false" customHeight="false" outlineLevel="0" collapsed="false">
      <c r="A348" s="62" t="n">
        <v>0</v>
      </c>
      <c r="B348" s="62" t="s">
        <v>381</v>
      </c>
      <c r="C348" s="62" t="s">
        <v>60</v>
      </c>
      <c r="D348" s="62" t="s">
        <v>67</v>
      </c>
      <c r="E348" s="62" t="s">
        <v>382</v>
      </c>
      <c r="F348" s="63" t="s">
        <v>412</v>
      </c>
      <c r="G348" s="64" t="n">
        <v>9045615.6</v>
      </c>
      <c r="H348" s="62" t="s">
        <v>138</v>
      </c>
    </row>
    <row r="349" customFormat="false" ht="15" hidden="false" customHeight="false" outlineLevel="0" collapsed="false">
      <c r="A349" s="62" t="n">
        <v>0</v>
      </c>
      <c r="B349" s="62" t="s">
        <v>383</v>
      </c>
      <c r="C349" s="62" t="s">
        <v>60</v>
      </c>
      <c r="D349" s="62" t="s">
        <v>67</v>
      </c>
      <c r="E349" s="62" t="s">
        <v>382</v>
      </c>
      <c r="F349" s="63" t="s">
        <v>412</v>
      </c>
      <c r="G349" s="64" t="n">
        <v>9045615.6</v>
      </c>
      <c r="H349" s="62" t="s">
        <v>138</v>
      </c>
    </row>
    <row r="350" customFormat="false" ht="15" hidden="false" customHeight="false" outlineLevel="0" collapsed="false">
      <c r="A350" s="62" t="n">
        <v>0</v>
      </c>
      <c r="B350" s="62" t="s">
        <v>384</v>
      </c>
      <c r="C350" s="62" t="s">
        <v>60</v>
      </c>
      <c r="D350" s="62" t="s">
        <v>67</v>
      </c>
      <c r="E350" s="62" t="s">
        <v>382</v>
      </c>
      <c r="F350" s="63" t="s">
        <v>412</v>
      </c>
      <c r="G350" s="64" t="n">
        <v>9045615.6</v>
      </c>
      <c r="H350" s="62" t="s">
        <v>138</v>
      </c>
    </row>
    <row r="351" customFormat="false" ht="15" hidden="false" customHeight="false" outlineLevel="0" collapsed="false">
      <c r="A351" s="62" t="n">
        <v>0</v>
      </c>
      <c r="B351" s="62" t="s">
        <v>385</v>
      </c>
      <c r="C351" s="62" t="s">
        <v>60</v>
      </c>
      <c r="D351" s="62" t="s">
        <v>67</v>
      </c>
      <c r="E351" s="62" t="s">
        <v>382</v>
      </c>
      <c r="F351" s="63" t="s">
        <v>412</v>
      </c>
      <c r="G351" s="64" t="n">
        <v>9045615.6</v>
      </c>
      <c r="H351" s="62" t="s">
        <v>138</v>
      </c>
    </row>
    <row r="352" customFormat="false" ht="15" hidden="false" customHeight="false" outlineLevel="0" collapsed="false">
      <c r="A352" s="62" t="n">
        <v>0</v>
      </c>
      <c r="B352" s="62" t="s">
        <v>386</v>
      </c>
      <c r="C352" s="62" t="s">
        <v>60</v>
      </c>
      <c r="D352" s="62" t="s">
        <v>67</v>
      </c>
      <c r="E352" s="62" t="s">
        <v>382</v>
      </c>
      <c r="F352" s="63" t="s">
        <v>412</v>
      </c>
      <c r="G352" s="64" t="n">
        <v>9045615.6</v>
      </c>
      <c r="H352" s="62" t="s">
        <v>138</v>
      </c>
    </row>
    <row r="353" customFormat="false" ht="15" hidden="false" customHeight="false" outlineLevel="0" collapsed="false">
      <c r="A353" s="62" t="n">
        <v>0</v>
      </c>
      <c r="B353" s="62" t="s">
        <v>387</v>
      </c>
      <c r="C353" s="62" t="s">
        <v>60</v>
      </c>
      <c r="D353" s="62" t="s">
        <v>67</v>
      </c>
      <c r="E353" s="62" t="s">
        <v>382</v>
      </c>
      <c r="F353" s="63" t="s">
        <v>412</v>
      </c>
      <c r="G353" s="64" t="n">
        <v>9045615.6</v>
      </c>
      <c r="H353" s="62" t="s">
        <v>138</v>
      </c>
    </row>
    <row r="354" customFormat="false" ht="15" hidden="false" customHeight="false" outlineLevel="0" collapsed="false">
      <c r="A354" s="62" t="n">
        <v>0</v>
      </c>
      <c r="B354" s="62" t="s">
        <v>388</v>
      </c>
      <c r="C354" s="62" t="s">
        <v>60</v>
      </c>
      <c r="D354" s="62" t="s">
        <v>67</v>
      </c>
      <c r="E354" s="62" t="s">
        <v>382</v>
      </c>
      <c r="F354" s="63" t="s">
        <v>412</v>
      </c>
      <c r="G354" s="64" t="n">
        <v>9045615.6</v>
      </c>
      <c r="H354" s="62" t="s">
        <v>138</v>
      </c>
    </row>
    <row r="355" customFormat="false" ht="15" hidden="false" customHeight="false" outlineLevel="0" collapsed="false">
      <c r="A355" s="62" t="n">
        <v>0</v>
      </c>
      <c r="B355" s="62" t="s">
        <v>381</v>
      </c>
      <c r="C355" s="62" t="s">
        <v>60</v>
      </c>
      <c r="D355" s="62" t="s">
        <v>67</v>
      </c>
      <c r="E355" s="62" t="s">
        <v>382</v>
      </c>
      <c r="F355" s="63" t="s">
        <v>413</v>
      </c>
      <c r="G355" s="64" t="n">
        <v>0</v>
      </c>
      <c r="H355" s="62" t="s">
        <v>138</v>
      </c>
    </row>
    <row r="356" customFormat="false" ht="15" hidden="false" customHeight="false" outlineLevel="0" collapsed="false">
      <c r="A356" s="62" t="n">
        <v>0</v>
      </c>
      <c r="B356" s="62" t="s">
        <v>383</v>
      </c>
      <c r="C356" s="62" t="s">
        <v>60</v>
      </c>
      <c r="D356" s="62" t="s">
        <v>67</v>
      </c>
      <c r="E356" s="62" t="s">
        <v>382</v>
      </c>
      <c r="F356" s="63" t="s">
        <v>413</v>
      </c>
      <c r="G356" s="64" t="n">
        <v>0</v>
      </c>
      <c r="H356" s="62" t="s">
        <v>138</v>
      </c>
    </row>
    <row r="357" customFormat="false" ht="15" hidden="false" customHeight="false" outlineLevel="0" collapsed="false">
      <c r="A357" s="62" t="n">
        <v>0</v>
      </c>
      <c r="B357" s="62" t="s">
        <v>384</v>
      </c>
      <c r="C357" s="62" t="s">
        <v>60</v>
      </c>
      <c r="D357" s="62" t="s">
        <v>67</v>
      </c>
      <c r="E357" s="62" t="s">
        <v>382</v>
      </c>
      <c r="F357" s="63" t="s">
        <v>413</v>
      </c>
      <c r="G357" s="64" t="n">
        <v>0</v>
      </c>
      <c r="H357" s="62" t="s">
        <v>138</v>
      </c>
    </row>
    <row r="358" customFormat="false" ht="15" hidden="false" customHeight="false" outlineLevel="0" collapsed="false">
      <c r="A358" s="62" t="n">
        <v>0</v>
      </c>
      <c r="B358" s="62" t="s">
        <v>385</v>
      </c>
      <c r="C358" s="62" t="s">
        <v>60</v>
      </c>
      <c r="D358" s="62" t="s">
        <v>67</v>
      </c>
      <c r="E358" s="62" t="s">
        <v>382</v>
      </c>
      <c r="F358" s="63" t="s">
        <v>413</v>
      </c>
      <c r="G358" s="64" t="n">
        <v>0</v>
      </c>
      <c r="H358" s="62" t="s">
        <v>138</v>
      </c>
    </row>
    <row r="359" customFormat="false" ht="15" hidden="false" customHeight="false" outlineLevel="0" collapsed="false">
      <c r="A359" s="62" t="n">
        <v>0</v>
      </c>
      <c r="B359" s="62" t="s">
        <v>386</v>
      </c>
      <c r="C359" s="62" t="s">
        <v>60</v>
      </c>
      <c r="D359" s="62" t="s">
        <v>67</v>
      </c>
      <c r="E359" s="62" t="s">
        <v>382</v>
      </c>
      <c r="F359" s="63" t="s">
        <v>413</v>
      </c>
      <c r="G359" s="64" t="n">
        <v>0</v>
      </c>
      <c r="H359" s="62" t="s">
        <v>138</v>
      </c>
    </row>
    <row r="360" customFormat="false" ht="15" hidden="false" customHeight="false" outlineLevel="0" collapsed="false">
      <c r="A360" s="62" t="n">
        <v>0</v>
      </c>
      <c r="B360" s="62" t="s">
        <v>387</v>
      </c>
      <c r="C360" s="62" t="s">
        <v>60</v>
      </c>
      <c r="D360" s="62" t="s">
        <v>67</v>
      </c>
      <c r="E360" s="62" t="s">
        <v>382</v>
      </c>
      <c r="F360" s="63" t="s">
        <v>413</v>
      </c>
      <c r="G360" s="64" t="n">
        <v>0</v>
      </c>
      <c r="H360" s="62" t="s">
        <v>138</v>
      </c>
    </row>
    <row r="361" customFormat="false" ht="15" hidden="false" customHeight="false" outlineLevel="0" collapsed="false">
      <c r="A361" s="62" t="n">
        <v>0</v>
      </c>
      <c r="B361" s="62" t="s">
        <v>388</v>
      </c>
      <c r="C361" s="62" t="s">
        <v>60</v>
      </c>
      <c r="D361" s="62" t="s">
        <v>67</v>
      </c>
      <c r="E361" s="62" t="s">
        <v>382</v>
      </c>
      <c r="F361" s="63" t="s">
        <v>413</v>
      </c>
      <c r="G361" s="64" t="n">
        <v>0</v>
      </c>
      <c r="H361" s="62" t="s">
        <v>138</v>
      </c>
    </row>
    <row r="362" customFormat="false" ht="15" hidden="false" customHeight="false" outlineLevel="0" collapsed="false">
      <c r="A362" s="62" t="n">
        <v>0</v>
      </c>
      <c r="B362" s="62" t="s">
        <v>381</v>
      </c>
      <c r="C362" s="62" t="s">
        <v>60</v>
      </c>
      <c r="D362" s="62" t="s">
        <v>67</v>
      </c>
      <c r="E362" s="62" t="s">
        <v>382</v>
      </c>
      <c r="F362" s="63" t="s">
        <v>414</v>
      </c>
      <c r="G362" s="64" t="n">
        <v>516381.25</v>
      </c>
      <c r="H362" s="62" t="s">
        <v>138</v>
      </c>
    </row>
    <row r="363" customFormat="false" ht="15" hidden="false" customHeight="false" outlineLevel="0" collapsed="false">
      <c r="A363" s="62" t="n">
        <v>0</v>
      </c>
      <c r="B363" s="62" t="s">
        <v>383</v>
      </c>
      <c r="C363" s="62" t="s">
        <v>60</v>
      </c>
      <c r="D363" s="62" t="s">
        <v>67</v>
      </c>
      <c r="E363" s="62" t="s">
        <v>382</v>
      </c>
      <c r="F363" s="63" t="s">
        <v>414</v>
      </c>
      <c r="G363" s="64" t="n">
        <v>516381.25</v>
      </c>
      <c r="H363" s="62" t="s">
        <v>138</v>
      </c>
    </row>
    <row r="364" customFormat="false" ht="15" hidden="false" customHeight="false" outlineLevel="0" collapsed="false">
      <c r="A364" s="62" t="n">
        <v>0</v>
      </c>
      <c r="B364" s="62" t="s">
        <v>384</v>
      </c>
      <c r="C364" s="62" t="s">
        <v>60</v>
      </c>
      <c r="D364" s="62" t="s">
        <v>67</v>
      </c>
      <c r="E364" s="62" t="s">
        <v>382</v>
      </c>
      <c r="F364" s="63" t="s">
        <v>414</v>
      </c>
      <c r="G364" s="64" t="n">
        <v>516381.25</v>
      </c>
      <c r="H364" s="62" t="s">
        <v>138</v>
      </c>
    </row>
    <row r="365" customFormat="false" ht="15" hidden="false" customHeight="false" outlineLevel="0" collapsed="false">
      <c r="A365" s="62" t="n">
        <v>0</v>
      </c>
      <c r="B365" s="62" t="s">
        <v>385</v>
      </c>
      <c r="C365" s="62" t="s">
        <v>60</v>
      </c>
      <c r="D365" s="62" t="s">
        <v>67</v>
      </c>
      <c r="E365" s="62" t="s">
        <v>382</v>
      </c>
      <c r="F365" s="63" t="s">
        <v>414</v>
      </c>
      <c r="G365" s="64" t="n">
        <v>516381.25</v>
      </c>
      <c r="H365" s="62" t="s">
        <v>138</v>
      </c>
    </row>
    <row r="366" customFormat="false" ht="15" hidden="false" customHeight="false" outlineLevel="0" collapsed="false">
      <c r="A366" s="62" t="n">
        <v>0</v>
      </c>
      <c r="B366" s="62" t="s">
        <v>386</v>
      </c>
      <c r="C366" s="62" t="s">
        <v>60</v>
      </c>
      <c r="D366" s="62" t="s">
        <v>67</v>
      </c>
      <c r="E366" s="62" t="s">
        <v>382</v>
      </c>
      <c r="F366" s="63" t="s">
        <v>414</v>
      </c>
      <c r="G366" s="64" t="n">
        <v>516381.25</v>
      </c>
      <c r="H366" s="62" t="s">
        <v>138</v>
      </c>
    </row>
    <row r="367" customFormat="false" ht="15" hidden="false" customHeight="false" outlineLevel="0" collapsed="false">
      <c r="A367" s="62" t="n">
        <v>0</v>
      </c>
      <c r="B367" s="62" t="s">
        <v>387</v>
      </c>
      <c r="C367" s="62" t="s">
        <v>60</v>
      </c>
      <c r="D367" s="62" t="s">
        <v>67</v>
      </c>
      <c r="E367" s="62" t="s">
        <v>382</v>
      </c>
      <c r="F367" s="63" t="s">
        <v>414</v>
      </c>
      <c r="G367" s="64" t="n">
        <v>516381.25</v>
      </c>
      <c r="H367" s="62" t="s">
        <v>138</v>
      </c>
    </row>
    <row r="368" customFormat="false" ht="15" hidden="false" customHeight="false" outlineLevel="0" collapsed="false">
      <c r="A368" s="62" t="n">
        <v>0</v>
      </c>
      <c r="B368" s="62" t="s">
        <v>388</v>
      </c>
      <c r="C368" s="62" t="s">
        <v>60</v>
      </c>
      <c r="D368" s="62" t="s">
        <v>67</v>
      </c>
      <c r="E368" s="62" t="s">
        <v>382</v>
      </c>
      <c r="F368" s="63" t="s">
        <v>414</v>
      </c>
      <c r="G368" s="64" t="n">
        <v>516381.25</v>
      </c>
      <c r="H368" s="62" t="s">
        <v>138</v>
      </c>
    </row>
    <row r="369" customFormat="false" ht="15" hidden="false" customHeight="false" outlineLevel="0" collapsed="false">
      <c r="A369" s="62" t="n">
        <v>0</v>
      </c>
      <c r="B369" s="62" t="s">
        <v>381</v>
      </c>
      <c r="C369" s="62" t="s">
        <v>60</v>
      </c>
      <c r="D369" s="62" t="s">
        <v>67</v>
      </c>
      <c r="E369" s="62" t="s">
        <v>382</v>
      </c>
      <c r="F369" s="63" t="s">
        <v>415</v>
      </c>
      <c r="G369" s="64" t="n">
        <v>9274082.78533571</v>
      </c>
      <c r="H369" s="62" t="s">
        <v>138</v>
      </c>
    </row>
    <row r="370" customFormat="false" ht="15" hidden="false" customHeight="false" outlineLevel="0" collapsed="false">
      <c r="A370" s="62" t="n">
        <v>0</v>
      </c>
      <c r="B370" s="62" t="s">
        <v>383</v>
      </c>
      <c r="C370" s="62" t="s">
        <v>60</v>
      </c>
      <c r="D370" s="62" t="s">
        <v>67</v>
      </c>
      <c r="E370" s="62" t="s">
        <v>382</v>
      </c>
      <c r="F370" s="63" t="s">
        <v>415</v>
      </c>
      <c r="G370" s="64" t="n">
        <v>9274082.78533571</v>
      </c>
      <c r="H370" s="62" t="s">
        <v>138</v>
      </c>
    </row>
    <row r="371" customFormat="false" ht="15" hidden="false" customHeight="false" outlineLevel="0" collapsed="false">
      <c r="A371" s="62" t="n">
        <v>0</v>
      </c>
      <c r="B371" s="62" t="s">
        <v>384</v>
      </c>
      <c r="C371" s="62" t="s">
        <v>60</v>
      </c>
      <c r="D371" s="62" t="s">
        <v>67</v>
      </c>
      <c r="E371" s="62" t="s">
        <v>382</v>
      </c>
      <c r="F371" s="63" t="s">
        <v>415</v>
      </c>
      <c r="G371" s="64" t="n">
        <v>9274082.78533571</v>
      </c>
      <c r="H371" s="62" t="s">
        <v>138</v>
      </c>
    </row>
    <row r="372" customFormat="false" ht="15" hidden="false" customHeight="false" outlineLevel="0" collapsed="false">
      <c r="A372" s="62" t="n">
        <v>0</v>
      </c>
      <c r="B372" s="62" t="s">
        <v>385</v>
      </c>
      <c r="C372" s="62" t="s">
        <v>60</v>
      </c>
      <c r="D372" s="62" t="s">
        <v>67</v>
      </c>
      <c r="E372" s="62" t="s">
        <v>382</v>
      </c>
      <c r="F372" s="63" t="s">
        <v>415</v>
      </c>
      <c r="G372" s="64" t="n">
        <v>9274082.78533571</v>
      </c>
      <c r="H372" s="62" t="s">
        <v>138</v>
      </c>
    </row>
    <row r="373" customFormat="false" ht="15" hidden="false" customHeight="false" outlineLevel="0" collapsed="false">
      <c r="A373" s="62" t="n">
        <v>0</v>
      </c>
      <c r="B373" s="62" t="s">
        <v>386</v>
      </c>
      <c r="C373" s="62" t="s">
        <v>60</v>
      </c>
      <c r="D373" s="62" t="s">
        <v>67</v>
      </c>
      <c r="E373" s="62" t="s">
        <v>382</v>
      </c>
      <c r="F373" s="63" t="s">
        <v>415</v>
      </c>
      <c r="G373" s="64" t="n">
        <v>9274082.78533571</v>
      </c>
      <c r="H373" s="62" t="s">
        <v>138</v>
      </c>
    </row>
    <row r="374" customFormat="false" ht="15" hidden="false" customHeight="false" outlineLevel="0" collapsed="false">
      <c r="A374" s="62" t="n">
        <v>0</v>
      </c>
      <c r="B374" s="62" t="s">
        <v>387</v>
      </c>
      <c r="C374" s="62" t="s">
        <v>60</v>
      </c>
      <c r="D374" s="62" t="s">
        <v>67</v>
      </c>
      <c r="E374" s="62" t="s">
        <v>382</v>
      </c>
      <c r="F374" s="63" t="s">
        <v>415</v>
      </c>
      <c r="G374" s="64" t="n">
        <v>9274082.78533571</v>
      </c>
      <c r="H374" s="62" t="s">
        <v>138</v>
      </c>
    </row>
    <row r="375" customFormat="false" ht="15" hidden="false" customHeight="false" outlineLevel="0" collapsed="false">
      <c r="A375" s="62" t="n">
        <v>0</v>
      </c>
      <c r="B375" s="62" t="s">
        <v>388</v>
      </c>
      <c r="C375" s="62" t="s">
        <v>60</v>
      </c>
      <c r="D375" s="62" t="s">
        <v>67</v>
      </c>
      <c r="E375" s="62" t="s">
        <v>382</v>
      </c>
      <c r="F375" s="63" t="s">
        <v>415</v>
      </c>
      <c r="G375" s="64" t="n">
        <v>9274082.78533571</v>
      </c>
      <c r="H375" s="62" t="s">
        <v>138</v>
      </c>
    </row>
    <row r="376" customFormat="false" ht="15" hidden="false" customHeight="false" outlineLevel="0" collapsed="false">
      <c r="A376" s="62" t="n">
        <v>0</v>
      </c>
      <c r="B376" s="62" t="s">
        <v>381</v>
      </c>
      <c r="C376" s="62" t="s">
        <v>60</v>
      </c>
      <c r="D376" s="62" t="s">
        <v>67</v>
      </c>
      <c r="E376" s="62" t="s">
        <v>382</v>
      </c>
      <c r="F376" s="63" t="s">
        <v>416</v>
      </c>
      <c r="G376" s="64" t="n">
        <v>18836079.6353357</v>
      </c>
      <c r="H376" s="62" t="s">
        <v>138</v>
      </c>
    </row>
    <row r="377" customFormat="false" ht="15" hidden="false" customHeight="false" outlineLevel="0" collapsed="false">
      <c r="A377" s="62" t="n">
        <v>0</v>
      </c>
      <c r="B377" s="62" t="s">
        <v>383</v>
      </c>
      <c r="C377" s="62" t="s">
        <v>60</v>
      </c>
      <c r="D377" s="62" t="s">
        <v>67</v>
      </c>
      <c r="E377" s="62" t="s">
        <v>382</v>
      </c>
      <c r="F377" s="63" t="s">
        <v>416</v>
      </c>
      <c r="G377" s="64" t="n">
        <v>18836079.6353357</v>
      </c>
      <c r="H377" s="62" t="s">
        <v>138</v>
      </c>
    </row>
    <row r="378" customFormat="false" ht="15" hidden="false" customHeight="false" outlineLevel="0" collapsed="false">
      <c r="A378" s="62" t="n">
        <v>0</v>
      </c>
      <c r="B378" s="62" t="s">
        <v>384</v>
      </c>
      <c r="C378" s="62" t="s">
        <v>60</v>
      </c>
      <c r="D378" s="62" t="s">
        <v>67</v>
      </c>
      <c r="E378" s="62" t="s">
        <v>382</v>
      </c>
      <c r="F378" s="63" t="s">
        <v>416</v>
      </c>
      <c r="G378" s="64" t="n">
        <v>18836079.6353357</v>
      </c>
      <c r="H378" s="62" t="s">
        <v>138</v>
      </c>
    </row>
    <row r="379" customFormat="false" ht="15" hidden="false" customHeight="false" outlineLevel="0" collapsed="false">
      <c r="A379" s="62" t="n">
        <v>0</v>
      </c>
      <c r="B379" s="62" t="s">
        <v>385</v>
      </c>
      <c r="C379" s="62" t="s">
        <v>60</v>
      </c>
      <c r="D379" s="62" t="s">
        <v>67</v>
      </c>
      <c r="E379" s="62" t="s">
        <v>382</v>
      </c>
      <c r="F379" s="63" t="s">
        <v>416</v>
      </c>
      <c r="G379" s="64" t="n">
        <v>18836079.6353357</v>
      </c>
      <c r="H379" s="62" t="s">
        <v>138</v>
      </c>
    </row>
    <row r="380" customFormat="false" ht="15" hidden="false" customHeight="false" outlineLevel="0" collapsed="false">
      <c r="A380" s="62" t="n">
        <v>0</v>
      </c>
      <c r="B380" s="62" t="s">
        <v>386</v>
      </c>
      <c r="C380" s="62" t="s">
        <v>60</v>
      </c>
      <c r="D380" s="62" t="s">
        <v>67</v>
      </c>
      <c r="E380" s="62" t="s">
        <v>382</v>
      </c>
      <c r="F380" s="63" t="s">
        <v>416</v>
      </c>
      <c r="G380" s="64" t="n">
        <v>18836079.6353357</v>
      </c>
      <c r="H380" s="62" t="s">
        <v>138</v>
      </c>
    </row>
    <row r="381" customFormat="false" ht="15" hidden="false" customHeight="false" outlineLevel="0" collapsed="false">
      <c r="A381" s="62" t="n">
        <v>0</v>
      </c>
      <c r="B381" s="62" t="s">
        <v>387</v>
      </c>
      <c r="C381" s="62" t="s">
        <v>60</v>
      </c>
      <c r="D381" s="62" t="s">
        <v>67</v>
      </c>
      <c r="E381" s="62" t="s">
        <v>382</v>
      </c>
      <c r="F381" s="63" t="s">
        <v>416</v>
      </c>
      <c r="G381" s="64" t="n">
        <v>18836079.6353357</v>
      </c>
      <c r="H381" s="62" t="s">
        <v>138</v>
      </c>
    </row>
    <row r="382" customFormat="false" ht="15" hidden="false" customHeight="false" outlineLevel="0" collapsed="false">
      <c r="A382" s="62" t="n">
        <v>0</v>
      </c>
      <c r="B382" s="62" t="s">
        <v>388</v>
      </c>
      <c r="C382" s="62" t="s">
        <v>60</v>
      </c>
      <c r="D382" s="62" t="s">
        <v>67</v>
      </c>
      <c r="E382" s="62" t="s">
        <v>382</v>
      </c>
      <c r="F382" s="63" t="s">
        <v>416</v>
      </c>
      <c r="G382" s="64" t="n">
        <v>18836079.6353357</v>
      </c>
      <c r="H382" s="62" t="s">
        <v>138</v>
      </c>
    </row>
    <row r="383" customFormat="false" ht="15" hidden="false" customHeight="false" outlineLevel="0" collapsed="false">
      <c r="A383" s="62" t="n">
        <v>0</v>
      </c>
      <c r="B383" s="62" t="s">
        <v>381</v>
      </c>
      <c r="C383" s="62" t="s">
        <v>60</v>
      </c>
      <c r="D383" s="62" t="s">
        <v>67</v>
      </c>
      <c r="E383" s="62" t="s">
        <v>382</v>
      </c>
      <c r="F383" s="63" t="s">
        <v>396</v>
      </c>
      <c r="G383" s="64" t="n">
        <v>3250000</v>
      </c>
      <c r="H383" s="62" t="s">
        <v>138</v>
      </c>
    </row>
    <row r="384" customFormat="false" ht="15" hidden="false" customHeight="false" outlineLevel="0" collapsed="false">
      <c r="A384" s="62" t="n">
        <v>0</v>
      </c>
      <c r="B384" s="62" t="s">
        <v>383</v>
      </c>
      <c r="C384" s="62" t="s">
        <v>60</v>
      </c>
      <c r="D384" s="62" t="s">
        <v>67</v>
      </c>
      <c r="E384" s="62" t="s">
        <v>382</v>
      </c>
      <c r="F384" s="63" t="s">
        <v>396</v>
      </c>
      <c r="G384" s="64" t="n">
        <v>3250000</v>
      </c>
      <c r="H384" s="62" t="s">
        <v>138</v>
      </c>
    </row>
    <row r="385" customFormat="false" ht="15" hidden="false" customHeight="false" outlineLevel="0" collapsed="false">
      <c r="A385" s="62" t="n">
        <v>0</v>
      </c>
      <c r="B385" s="62" t="s">
        <v>384</v>
      </c>
      <c r="C385" s="62" t="s">
        <v>60</v>
      </c>
      <c r="D385" s="62" t="s">
        <v>67</v>
      </c>
      <c r="E385" s="62" t="s">
        <v>382</v>
      </c>
      <c r="F385" s="63" t="s">
        <v>396</v>
      </c>
      <c r="G385" s="64" t="n">
        <v>3250000</v>
      </c>
      <c r="H385" s="62" t="s">
        <v>138</v>
      </c>
    </row>
    <row r="386" customFormat="false" ht="15" hidden="false" customHeight="false" outlineLevel="0" collapsed="false">
      <c r="A386" s="62" t="n">
        <v>0</v>
      </c>
      <c r="B386" s="62" t="s">
        <v>385</v>
      </c>
      <c r="C386" s="62" t="s">
        <v>60</v>
      </c>
      <c r="D386" s="62" t="s">
        <v>67</v>
      </c>
      <c r="E386" s="62" t="s">
        <v>382</v>
      </c>
      <c r="F386" s="63" t="s">
        <v>396</v>
      </c>
      <c r="G386" s="64" t="n">
        <v>3250000</v>
      </c>
      <c r="H386" s="62" t="s">
        <v>138</v>
      </c>
    </row>
    <row r="387" customFormat="false" ht="15" hidden="false" customHeight="false" outlineLevel="0" collapsed="false">
      <c r="A387" s="62" t="n">
        <v>0</v>
      </c>
      <c r="B387" s="62" t="s">
        <v>386</v>
      </c>
      <c r="C387" s="62" t="s">
        <v>60</v>
      </c>
      <c r="D387" s="62" t="s">
        <v>67</v>
      </c>
      <c r="E387" s="62" t="s">
        <v>382</v>
      </c>
      <c r="F387" s="63" t="s">
        <v>396</v>
      </c>
      <c r="G387" s="64" t="n">
        <v>3250000</v>
      </c>
      <c r="H387" s="62" t="s">
        <v>138</v>
      </c>
    </row>
    <row r="388" customFormat="false" ht="15" hidden="false" customHeight="false" outlineLevel="0" collapsed="false">
      <c r="A388" s="62" t="n">
        <v>0</v>
      </c>
      <c r="B388" s="62" t="s">
        <v>387</v>
      </c>
      <c r="C388" s="62" t="s">
        <v>60</v>
      </c>
      <c r="D388" s="62" t="s">
        <v>67</v>
      </c>
      <c r="E388" s="62" t="s">
        <v>382</v>
      </c>
      <c r="F388" s="63" t="s">
        <v>396</v>
      </c>
      <c r="G388" s="64" t="n">
        <v>3250000</v>
      </c>
      <c r="H388" s="62" t="s">
        <v>138</v>
      </c>
    </row>
    <row r="389" customFormat="false" ht="15" hidden="false" customHeight="false" outlineLevel="0" collapsed="false">
      <c r="A389" s="62" t="n">
        <v>0</v>
      </c>
      <c r="B389" s="62" t="s">
        <v>388</v>
      </c>
      <c r="C389" s="62" t="s">
        <v>60</v>
      </c>
      <c r="D389" s="62" t="s">
        <v>67</v>
      </c>
      <c r="E389" s="62" t="s">
        <v>382</v>
      </c>
      <c r="F389" s="63" t="s">
        <v>396</v>
      </c>
      <c r="G389" s="64" t="n">
        <v>3250000</v>
      </c>
      <c r="H389" s="62" t="s">
        <v>138</v>
      </c>
    </row>
    <row r="390" customFormat="false" ht="15" hidden="false" customHeight="false" outlineLevel="0" collapsed="false">
      <c r="A390" s="62" t="n">
        <v>0</v>
      </c>
      <c r="B390" s="62" t="s">
        <v>381</v>
      </c>
      <c r="C390" s="62" t="s">
        <v>60</v>
      </c>
      <c r="D390" s="62" t="s">
        <v>67</v>
      </c>
      <c r="E390" s="62" t="s">
        <v>382</v>
      </c>
      <c r="F390" s="63" t="s">
        <v>397</v>
      </c>
      <c r="G390" s="64" t="n">
        <v>0</v>
      </c>
      <c r="H390" s="62" t="s">
        <v>138</v>
      </c>
    </row>
    <row r="391" customFormat="false" ht="15" hidden="false" customHeight="false" outlineLevel="0" collapsed="false">
      <c r="A391" s="62" t="n">
        <v>0</v>
      </c>
      <c r="B391" s="62" t="s">
        <v>383</v>
      </c>
      <c r="C391" s="62" t="s">
        <v>60</v>
      </c>
      <c r="D391" s="62" t="s">
        <v>67</v>
      </c>
      <c r="E391" s="62" t="s">
        <v>382</v>
      </c>
      <c r="F391" s="63" t="s">
        <v>397</v>
      </c>
      <c r="G391" s="64" t="n">
        <v>0</v>
      </c>
      <c r="H391" s="62" t="s">
        <v>138</v>
      </c>
    </row>
    <row r="392" customFormat="false" ht="15" hidden="false" customHeight="false" outlineLevel="0" collapsed="false">
      <c r="A392" s="62" t="n">
        <v>0</v>
      </c>
      <c r="B392" s="62" t="s">
        <v>384</v>
      </c>
      <c r="C392" s="62" t="s">
        <v>60</v>
      </c>
      <c r="D392" s="62" t="s">
        <v>67</v>
      </c>
      <c r="E392" s="62" t="s">
        <v>382</v>
      </c>
      <c r="F392" s="63" t="s">
        <v>397</v>
      </c>
      <c r="G392" s="64" t="n">
        <v>0</v>
      </c>
      <c r="H392" s="62" t="s">
        <v>138</v>
      </c>
    </row>
    <row r="393" customFormat="false" ht="15" hidden="false" customHeight="false" outlineLevel="0" collapsed="false">
      <c r="A393" s="62" t="n">
        <v>0</v>
      </c>
      <c r="B393" s="62" t="s">
        <v>385</v>
      </c>
      <c r="C393" s="62" t="s">
        <v>60</v>
      </c>
      <c r="D393" s="62" t="s">
        <v>67</v>
      </c>
      <c r="E393" s="62" t="s">
        <v>382</v>
      </c>
      <c r="F393" s="63" t="s">
        <v>397</v>
      </c>
      <c r="G393" s="64" t="n">
        <v>0</v>
      </c>
      <c r="H393" s="62" t="s">
        <v>138</v>
      </c>
    </row>
    <row r="394" customFormat="false" ht="15" hidden="false" customHeight="false" outlineLevel="0" collapsed="false">
      <c r="A394" s="62" t="n">
        <v>0</v>
      </c>
      <c r="B394" s="62" t="s">
        <v>386</v>
      </c>
      <c r="C394" s="62" t="s">
        <v>60</v>
      </c>
      <c r="D394" s="62" t="s">
        <v>67</v>
      </c>
      <c r="E394" s="62" t="s">
        <v>382</v>
      </c>
      <c r="F394" s="63" t="s">
        <v>397</v>
      </c>
      <c r="G394" s="64" t="n">
        <v>0</v>
      </c>
      <c r="H394" s="62" t="s">
        <v>138</v>
      </c>
    </row>
    <row r="395" customFormat="false" ht="15" hidden="false" customHeight="false" outlineLevel="0" collapsed="false">
      <c r="A395" s="62" t="n">
        <v>0</v>
      </c>
      <c r="B395" s="62" t="s">
        <v>387</v>
      </c>
      <c r="C395" s="62" t="s">
        <v>60</v>
      </c>
      <c r="D395" s="62" t="s">
        <v>67</v>
      </c>
      <c r="E395" s="62" t="s">
        <v>382</v>
      </c>
      <c r="F395" s="63" t="s">
        <v>397</v>
      </c>
      <c r="G395" s="64" t="n">
        <v>0</v>
      </c>
      <c r="H395" s="62" t="s">
        <v>138</v>
      </c>
    </row>
    <row r="396" customFormat="false" ht="15" hidden="false" customHeight="false" outlineLevel="0" collapsed="false">
      <c r="A396" s="62" t="n">
        <v>0</v>
      </c>
      <c r="B396" s="62" t="s">
        <v>388</v>
      </c>
      <c r="C396" s="62" t="s">
        <v>60</v>
      </c>
      <c r="D396" s="62" t="s">
        <v>67</v>
      </c>
      <c r="E396" s="62" t="s">
        <v>382</v>
      </c>
      <c r="F396" s="63" t="s">
        <v>397</v>
      </c>
      <c r="G396" s="64" t="n">
        <v>0</v>
      </c>
      <c r="H396" s="62" t="s">
        <v>138</v>
      </c>
    </row>
    <row r="397" customFormat="false" ht="15" hidden="false" customHeight="false" outlineLevel="0" collapsed="false">
      <c r="A397" s="62" t="n">
        <v>0</v>
      </c>
      <c r="B397" s="62" t="s">
        <v>381</v>
      </c>
      <c r="C397" s="62" t="s">
        <v>60</v>
      </c>
      <c r="D397" s="62" t="s">
        <v>67</v>
      </c>
      <c r="E397" s="62" t="s">
        <v>382</v>
      </c>
      <c r="F397" s="63" t="s">
        <v>417</v>
      </c>
      <c r="G397" s="64" t="n">
        <v>755018.74019634</v>
      </c>
      <c r="H397" s="62" t="s">
        <v>138</v>
      </c>
    </row>
    <row r="398" customFormat="false" ht="15" hidden="false" customHeight="false" outlineLevel="0" collapsed="false">
      <c r="A398" s="62" t="n">
        <v>0</v>
      </c>
      <c r="B398" s="62" t="s">
        <v>383</v>
      </c>
      <c r="C398" s="62" t="s">
        <v>60</v>
      </c>
      <c r="D398" s="62" t="s">
        <v>67</v>
      </c>
      <c r="E398" s="62" t="s">
        <v>382</v>
      </c>
      <c r="F398" s="63" t="s">
        <v>417</v>
      </c>
      <c r="G398" s="64" t="n">
        <v>755018.74019634</v>
      </c>
      <c r="H398" s="62" t="s">
        <v>138</v>
      </c>
    </row>
    <row r="399" customFormat="false" ht="15" hidden="false" customHeight="false" outlineLevel="0" collapsed="false">
      <c r="A399" s="62" t="n">
        <v>0</v>
      </c>
      <c r="B399" s="62" t="s">
        <v>384</v>
      </c>
      <c r="C399" s="62" t="s">
        <v>60</v>
      </c>
      <c r="D399" s="62" t="s">
        <v>67</v>
      </c>
      <c r="E399" s="62" t="s">
        <v>382</v>
      </c>
      <c r="F399" s="63" t="s">
        <v>417</v>
      </c>
      <c r="G399" s="64" t="n">
        <v>755018.74019634</v>
      </c>
      <c r="H399" s="62" t="s">
        <v>138</v>
      </c>
    </row>
    <row r="400" customFormat="false" ht="15" hidden="false" customHeight="false" outlineLevel="0" collapsed="false">
      <c r="A400" s="62" t="n">
        <v>0</v>
      </c>
      <c r="B400" s="62" t="s">
        <v>385</v>
      </c>
      <c r="C400" s="62" t="s">
        <v>60</v>
      </c>
      <c r="D400" s="62" t="s">
        <v>67</v>
      </c>
      <c r="E400" s="62" t="s">
        <v>382</v>
      </c>
      <c r="F400" s="63" t="s">
        <v>417</v>
      </c>
      <c r="G400" s="64" t="n">
        <v>755018.74019634</v>
      </c>
      <c r="H400" s="62" t="s">
        <v>138</v>
      </c>
    </row>
    <row r="401" customFormat="false" ht="15" hidden="false" customHeight="false" outlineLevel="0" collapsed="false">
      <c r="A401" s="62" t="n">
        <v>0</v>
      </c>
      <c r="B401" s="62" t="s">
        <v>386</v>
      </c>
      <c r="C401" s="62" t="s">
        <v>60</v>
      </c>
      <c r="D401" s="62" t="s">
        <v>67</v>
      </c>
      <c r="E401" s="62" t="s">
        <v>382</v>
      </c>
      <c r="F401" s="63" t="s">
        <v>417</v>
      </c>
      <c r="G401" s="64" t="n">
        <v>755018.74019634</v>
      </c>
      <c r="H401" s="62" t="s">
        <v>138</v>
      </c>
    </row>
    <row r="402" customFormat="false" ht="15" hidden="false" customHeight="false" outlineLevel="0" collapsed="false">
      <c r="A402" s="62" t="n">
        <v>0</v>
      </c>
      <c r="B402" s="62" t="s">
        <v>387</v>
      </c>
      <c r="C402" s="62" t="s">
        <v>60</v>
      </c>
      <c r="D402" s="62" t="s">
        <v>67</v>
      </c>
      <c r="E402" s="62" t="s">
        <v>382</v>
      </c>
      <c r="F402" s="63" t="s">
        <v>417</v>
      </c>
      <c r="G402" s="64" t="n">
        <v>755018.74019634</v>
      </c>
      <c r="H402" s="62" t="s">
        <v>138</v>
      </c>
    </row>
    <row r="403" customFormat="false" ht="15" hidden="false" customHeight="false" outlineLevel="0" collapsed="false">
      <c r="A403" s="62" t="n">
        <v>0</v>
      </c>
      <c r="B403" s="62" t="s">
        <v>388</v>
      </c>
      <c r="C403" s="62" t="s">
        <v>60</v>
      </c>
      <c r="D403" s="62" t="s">
        <v>67</v>
      </c>
      <c r="E403" s="62" t="s">
        <v>382</v>
      </c>
      <c r="F403" s="63" t="s">
        <v>417</v>
      </c>
      <c r="G403" s="64" t="n">
        <v>755018.74019634</v>
      </c>
      <c r="H403" s="62" t="s">
        <v>138</v>
      </c>
    </row>
    <row r="404" customFormat="false" ht="15" hidden="false" customHeight="false" outlineLevel="0" collapsed="false">
      <c r="A404" s="62" t="n">
        <v>0</v>
      </c>
      <c r="B404" s="62" t="s">
        <v>381</v>
      </c>
      <c r="C404" s="62" t="s">
        <v>60</v>
      </c>
      <c r="D404" s="62" t="s">
        <v>67</v>
      </c>
      <c r="E404" s="62" t="s">
        <v>382</v>
      </c>
      <c r="F404" s="63" t="s">
        <v>398</v>
      </c>
      <c r="G404" s="64" t="n">
        <v>1500794</v>
      </c>
      <c r="H404" s="62" t="s">
        <v>138</v>
      </c>
    </row>
    <row r="405" customFormat="false" ht="15" hidden="false" customHeight="false" outlineLevel="0" collapsed="false">
      <c r="A405" s="62" t="n">
        <v>0</v>
      </c>
      <c r="B405" s="62" t="s">
        <v>383</v>
      </c>
      <c r="C405" s="62" t="s">
        <v>60</v>
      </c>
      <c r="D405" s="62" t="s">
        <v>67</v>
      </c>
      <c r="E405" s="62" t="s">
        <v>382</v>
      </c>
      <c r="F405" s="63" t="s">
        <v>398</v>
      </c>
      <c r="G405" s="64" t="n">
        <v>1500794</v>
      </c>
      <c r="H405" s="62" t="s">
        <v>138</v>
      </c>
    </row>
    <row r="406" customFormat="false" ht="15" hidden="false" customHeight="false" outlineLevel="0" collapsed="false">
      <c r="A406" s="62" t="n">
        <v>0</v>
      </c>
      <c r="B406" s="62" t="s">
        <v>384</v>
      </c>
      <c r="C406" s="62" t="s">
        <v>60</v>
      </c>
      <c r="D406" s="62" t="s">
        <v>67</v>
      </c>
      <c r="E406" s="62" t="s">
        <v>382</v>
      </c>
      <c r="F406" s="63" t="s">
        <v>398</v>
      </c>
      <c r="G406" s="64" t="n">
        <v>1500794</v>
      </c>
      <c r="H406" s="62" t="s">
        <v>138</v>
      </c>
    </row>
    <row r="407" customFormat="false" ht="15" hidden="false" customHeight="false" outlineLevel="0" collapsed="false">
      <c r="A407" s="62" t="n">
        <v>0</v>
      </c>
      <c r="B407" s="62" t="s">
        <v>385</v>
      </c>
      <c r="C407" s="62" t="s">
        <v>60</v>
      </c>
      <c r="D407" s="62" t="s">
        <v>67</v>
      </c>
      <c r="E407" s="62" t="s">
        <v>382</v>
      </c>
      <c r="F407" s="63" t="s">
        <v>398</v>
      </c>
      <c r="G407" s="64" t="n">
        <v>1500794</v>
      </c>
      <c r="H407" s="62" t="s">
        <v>138</v>
      </c>
    </row>
    <row r="408" customFormat="false" ht="15" hidden="false" customHeight="false" outlineLevel="0" collapsed="false">
      <c r="A408" s="62" t="n">
        <v>0</v>
      </c>
      <c r="B408" s="62" t="s">
        <v>386</v>
      </c>
      <c r="C408" s="62" t="s">
        <v>60</v>
      </c>
      <c r="D408" s="62" t="s">
        <v>67</v>
      </c>
      <c r="E408" s="62" t="s">
        <v>382</v>
      </c>
      <c r="F408" s="63" t="s">
        <v>398</v>
      </c>
      <c r="G408" s="64" t="n">
        <v>1500794</v>
      </c>
      <c r="H408" s="62" t="s">
        <v>138</v>
      </c>
    </row>
    <row r="409" customFormat="false" ht="15" hidden="false" customHeight="false" outlineLevel="0" collapsed="false">
      <c r="A409" s="62" t="n">
        <v>0</v>
      </c>
      <c r="B409" s="62" t="s">
        <v>387</v>
      </c>
      <c r="C409" s="62" t="s">
        <v>60</v>
      </c>
      <c r="D409" s="62" t="s">
        <v>67</v>
      </c>
      <c r="E409" s="62" t="s">
        <v>382</v>
      </c>
      <c r="F409" s="63" t="s">
        <v>398</v>
      </c>
      <c r="G409" s="64" t="n">
        <v>1500794</v>
      </c>
      <c r="H409" s="62" t="s">
        <v>138</v>
      </c>
    </row>
    <row r="410" customFormat="false" ht="15" hidden="false" customHeight="false" outlineLevel="0" collapsed="false">
      <c r="A410" s="62" t="n">
        <v>0</v>
      </c>
      <c r="B410" s="62" t="s">
        <v>388</v>
      </c>
      <c r="C410" s="62" t="s">
        <v>60</v>
      </c>
      <c r="D410" s="62" t="s">
        <v>67</v>
      </c>
      <c r="E410" s="62" t="s">
        <v>382</v>
      </c>
      <c r="F410" s="63" t="s">
        <v>398</v>
      </c>
      <c r="G410" s="64" t="n">
        <v>1500794</v>
      </c>
      <c r="H410" s="62" t="s">
        <v>138</v>
      </c>
    </row>
    <row r="411" customFormat="false" ht="15" hidden="false" customHeight="false" outlineLevel="0" collapsed="false">
      <c r="A411" s="62" t="n">
        <v>0</v>
      </c>
      <c r="B411" s="62" t="s">
        <v>381</v>
      </c>
      <c r="C411" s="62" t="s">
        <v>60</v>
      </c>
      <c r="D411" s="62" t="s">
        <v>67</v>
      </c>
      <c r="E411" s="62" t="s">
        <v>382</v>
      </c>
      <c r="F411" s="63" t="s">
        <v>418</v>
      </c>
      <c r="G411" s="64" t="n">
        <v>5505812.74019634</v>
      </c>
      <c r="H411" s="62" t="s">
        <v>138</v>
      </c>
    </row>
    <row r="412" customFormat="false" ht="15" hidden="false" customHeight="false" outlineLevel="0" collapsed="false">
      <c r="A412" s="62" t="n">
        <v>0</v>
      </c>
      <c r="B412" s="62" t="s">
        <v>383</v>
      </c>
      <c r="C412" s="62" t="s">
        <v>60</v>
      </c>
      <c r="D412" s="62" t="s">
        <v>67</v>
      </c>
      <c r="E412" s="62" t="s">
        <v>382</v>
      </c>
      <c r="F412" s="63" t="s">
        <v>418</v>
      </c>
      <c r="G412" s="64" t="n">
        <v>5505812.74019634</v>
      </c>
      <c r="H412" s="62" t="s">
        <v>138</v>
      </c>
    </row>
    <row r="413" customFormat="false" ht="15" hidden="false" customHeight="false" outlineLevel="0" collapsed="false">
      <c r="A413" s="62" t="n">
        <v>0</v>
      </c>
      <c r="B413" s="62" t="s">
        <v>384</v>
      </c>
      <c r="C413" s="62" t="s">
        <v>60</v>
      </c>
      <c r="D413" s="62" t="s">
        <v>67</v>
      </c>
      <c r="E413" s="62" t="s">
        <v>382</v>
      </c>
      <c r="F413" s="63" t="s">
        <v>418</v>
      </c>
      <c r="G413" s="64" t="n">
        <v>5505812.74019634</v>
      </c>
      <c r="H413" s="62" t="s">
        <v>138</v>
      </c>
    </row>
    <row r="414" customFormat="false" ht="15" hidden="false" customHeight="false" outlineLevel="0" collapsed="false">
      <c r="A414" s="62" t="n">
        <v>0</v>
      </c>
      <c r="B414" s="62" t="s">
        <v>385</v>
      </c>
      <c r="C414" s="62" t="s">
        <v>60</v>
      </c>
      <c r="D414" s="62" t="s">
        <v>67</v>
      </c>
      <c r="E414" s="62" t="s">
        <v>382</v>
      </c>
      <c r="F414" s="63" t="s">
        <v>418</v>
      </c>
      <c r="G414" s="64" t="n">
        <v>5505812.74019634</v>
      </c>
      <c r="H414" s="62" t="s">
        <v>138</v>
      </c>
    </row>
    <row r="415" customFormat="false" ht="15" hidden="false" customHeight="false" outlineLevel="0" collapsed="false">
      <c r="A415" s="62" t="n">
        <v>0</v>
      </c>
      <c r="B415" s="62" t="s">
        <v>386</v>
      </c>
      <c r="C415" s="62" t="s">
        <v>60</v>
      </c>
      <c r="D415" s="62" t="s">
        <v>67</v>
      </c>
      <c r="E415" s="62" t="s">
        <v>382</v>
      </c>
      <c r="F415" s="63" t="s">
        <v>418</v>
      </c>
      <c r="G415" s="64" t="n">
        <v>5505812.74019634</v>
      </c>
      <c r="H415" s="62" t="s">
        <v>138</v>
      </c>
    </row>
    <row r="416" customFormat="false" ht="15" hidden="false" customHeight="false" outlineLevel="0" collapsed="false">
      <c r="A416" s="62" t="n">
        <v>0</v>
      </c>
      <c r="B416" s="62" t="s">
        <v>387</v>
      </c>
      <c r="C416" s="62" t="s">
        <v>60</v>
      </c>
      <c r="D416" s="62" t="s">
        <v>67</v>
      </c>
      <c r="E416" s="62" t="s">
        <v>382</v>
      </c>
      <c r="F416" s="63" t="s">
        <v>418</v>
      </c>
      <c r="G416" s="64" t="n">
        <v>5505812.74019634</v>
      </c>
      <c r="H416" s="62" t="s">
        <v>138</v>
      </c>
    </row>
    <row r="417" customFormat="false" ht="15" hidden="false" customHeight="false" outlineLevel="0" collapsed="false">
      <c r="A417" s="62" t="n">
        <v>0</v>
      </c>
      <c r="B417" s="62" t="s">
        <v>388</v>
      </c>
      <c r="C417" s="62" t="s">
        <v>60</v>
      </c>
      <c r="D417" s="62" t="s">
        <v>67</v>
      </c>
      <c r="E417" s="62" t="s">
        <v>382</v>
      </c>
      <c r="F417" s="63" t="s">
        <v>418</v>
      </c>
      <c r="G417" s="64" t="n">
        <v>5505812.74019634</v>
      </c>
      <c r="H417" s="62" t="s">
        <v>138</v>
      </c>
    </row>
    <row r="418" customFormat="false" ht="15" hidden="false" customHeight="false" outlineLevel="0" collapsed="false">
      <c r="A418" s="62" t="n">
        <v>0</v>
      </c>
      <c r="B418" s="62" t="s">
        <v>381</v>
      </c>
      <c r="C418" s="62" t="s">
        <v>60</v>
      </c>
      <c r="D418" s="62" t="s">
        <v>67</v>
      </c>
      <c r="E418" s="62" t="s">
        <v>382</v>
      </c>
      <c r="F418" s="63" t="s">
        <v>419</v>
      </c>
      <c r="G418" s="64" t="n">
        <v>11900000</v>
      </c>
      <c r="H418" s="62" t="s">
        <v>138</v>
      </c>
    </row>
    <row r="419" customFormat="false" ht="15" hidden="false" customHeight="false" outlineLevel="0" collapsed="false">
      <c r="A419" s="62" t="n">
        <v>0</v>
      </c>
      <c r="B419" s="62" t="s">
        <v>383</v>
      </c>
      <c r="C419" s="62" t="s">
        <v>60</v>
      </c>
      <c r="D419" s="62" t="s">
        <v>67</v>
      </c>
      <c r="E419" s="62" t="s">
        <v>382</v>
      </c>
      <c r="F419" s="63" t="s">
        <v>419</v>
      </c>
      <c r="G419" s="64" t="n">
        <v>11900000</v>
      </c>
      <c r="H419" s="62" t="s">
        <v>138</v>
      </c>
    </row>
    <row r="420" customFormat="false" ht="15" hidden="false" customHeight="false" outlineLevel="0" collapsed="false">
      <c r="A420" s="62" t="n">
        <v>0</v>
      </c>
      <c r="B420" s="62" t="s">
        <v>384</v>
      </c>
      <c r="C420" s="62" t="s">
        <v>60</v>
      </c>
      <c r="D420" s="62" t="s">
        <v>67</v>
      </c>
      <c r="E420" s="62" t="s">
        <v>382</v>
      </c>
      <c r="F420" s="63" t="s">
        <v>419</v>
      </c>
      <c r="G420" s="64" t="n">
        <v>11900000</v>
      </c>
      <c r="H420" s="62" t="s">
        <v>138</v>
      </c>
    </row>
    <row r="421" customFormat="false" ht="15" hidden="false" customHeight="false" outlineLevel="0" collapsed="false">
      <c r="A421" s="62" t="n">
        <v>0</v>
      </c>
      <c r="B421" s="62" t="s">
        <v>385</v>
      </c>
      <c r="C421" s="62" t="s">
        <v>60</v>
      </c>
      <c r="D421" s="62" t="s">
        <v>67</v>
      </c>
      <c r="E421" s="62" t="s">
        <v>382</v>
      </c>
      <c r="F421" s="63" t="s">
        <v>419</v>
      </c>
      <c r="G421" s="64" t="n">
        <v>11900000</v>
      </c>
      <c r="H421" s="62" t="s">
        <v>138</v>
      </c>
    </row>
    <row r="422" customFormat="false" ht="15" hidden="false" customHeight="false" outlineLevel="0" collapsed="false">
      <c r="A422" s="62" t="n">
        <v>0</v>
      </c>
      <c r="B422" s="62" t="s">
        <v>386</v>
      </c>
      <c r="C422" s="62" t="s">
        <v>60</v>
      </c>
      <c r="D422" s="62" t="s">
        <v>67</v>
      </c>
      <c r="E422" s="62" t="s">
        <v>382</v>
      </c>
      <c r="F422" s="63" t="s">
        <v>419</v>
      </c>
      <c r="G422" s="64" t="n">
        <v>11900000</v>
      </c>
      <c r="H422" s="62" t="s">
        <v>138</v>
      </c>
    </row>
    <row r="423" customFormat="false" ht="15" hidden="false" customHeight="false" outlineLevel="0" collapsed="false">
      <c r="A423" s="62" t="n">
        <v>0</v>
      </c>
      <c r="B423" s="62" t="s">
        <v>387</v>
      </c>
      <c r="C423" s="62" t="s">
        <v>60</v>
      </c>
      <c r="D423" s="62" t="s">
        <v>67</v>
      </c>
      <c r="E423" s="62" t="s">
        <v>382</v>
      </c>
      <c r="F423" s="63" t="s">
        <v>419</v>
      </c>
      <c r="G423" s="64" t="n">
        <v>11900000</v>
      </c>
      <c r="H423" s="62" t="s">
        <v>138</v>
      </c>
    </row>
    <row r="424" customFormat="false" ht="15" hidden="false" customHeight="false" outlineLevel="0" collapsed="false">
      <c r="A424" s="62" t="n">
        <v>0</v>
      </c>
      <c r="B424" s="62" t="s">
        <v>388</v>
      </c>
      <c r="C424" s="62" t="s">
        <v>60</v>
      </c>
      <c r="D424" s="62" t="s">
        <v>67</v>
      </c>
      <c r="E424" s="62" t="s">
        <v>382</v>
      </c>
      <c r="F424" s="63" t="s">
        <v>419</v>
      </c>
      <c r="G424" s="64" t="n">
        <v>11900000</v>
      </c>
      <c r="H424" s="62" t="s">
        <v>138</v>
      </c>
    </row>
    <row r="425" customFormat="false" ht="15" hidden="false" customHeight="false" outlineLevel="0" collapsed="false">
      <c r="A425" s="62" t="n">
        <v>0</v>
      </c>
      <c r="B425" s="62" t="s">
        <v>381</v>
      </c>
      <c r="C425" s="62" t="s">
        <v>60</v>
      </c>
      <c r="D425" s="62" t="s">
        <v>67</v>
      </c>
      <c r="E425" s="62" t="s">
        <v>382</v>
      </c>
      <c r="F425" s="63" t="s">
        <v>420</v>
      </c>
      <c r="G425" s="64" t="n">
        <v>0</v>
      </c>
      <c r="H425" s="62" t="s">
        <v>138</v>
      </c>
    </row>
    <row r="426" customFormat="false" ht="15" hidden="false" customHeight="false" outlineLevel="0" collapsed="false">
      <c r="A426" s="62" t="n">
        <v>0</v>
      </c>
      <c r="B426" s="62" t="s">
        <v>383</v>
      </c>
      <c r="C426" s="62" t="s">
        <v>60</v>
      </c>
      <c r="D426" s="62" t="s">
        <v>67</v>
      </c>
      <c r="E426" s="62" t="s">
        <v>382</v>
      </c>
      <c r="F426" s="63" t="s">
        <v>420</v>
      </c>
      <c r="G426" s="64" t="n">
        <v>0</v>
      </c>
      <c r="H426" s="62" t="s">
        <v>138</v>
      </c>
    </row>
    <row r="427" customFormat="false" ht="15" hidden="false" customHeight="false" outlineLevel="0" collapsed="false">
      <c r="A427" s="62" t="n">
        <v>0</v>
      </c>
      <c r="B427" s="62" t="s">
        <v>384</v>
      </c>
      <c r="C427" s="62" t="s">
        <v>60</v>
      </c>
      <c r="D427" s="62" t="s">
        <v>67</v>
      </c>
      <c r="E427" s="62" t="s">
        <v>382</v>
      </c>
      <c r="F427" s="63" t="s">
        <v>420</v>
      </c>
      <c r="G427" s="64" t="n">
        <v>0</v>
      </c>
      <c r="H427" s="62" t="s">
        <v>138</v>
      </c>
    </row>
    <row r="428" customFormat="false" ht="15" hidden="false" customHeight="false" outlineLevel="0" collapsed="false">
      <c r="A428" s="62" t="n">
        <v>0</v>
      </c>
      <c r="B428" s="62" t="s">
        <v>385</v>
      </c>
      <c r="C428" s="62" t="s">
        <v>60</v>
      </c>
      <c r="D428" s="62" t="s">
        <v>67</v>
      </c>
      <c r="E428" s="62" t="s">
        <v>382</v>
      </c>
      <c r="F428" s="63" t="s">
        <v>420</v>
      </c>
      <c r="G428" s="64" t="n">
        <v>0</v>
      </c>
      <c r="H428" s="62" t="s">
        <v>138</v>
      </c>
    </row>
    <row r="429" customFormat="false" ht="15" hidden="false" customHeight="false" outlineLevel="0" collapsed="false">
      <c r="A429" s="62" t="n">
        <v>0</v>
      </c>
      <c r="B429" s="62" t="s">
        <v>386</v>
      </c>
      <c r="C429" s="62" t="s">
        <v>60</v>
      </c>
      <c r="D429" s="62" t="s">
        <v>67</v>
      </c>
      <c r="E429" s="62" t="s">
        <v>382</v>
      </c>
      <c r="F429" s="63" t="s">
        <v>420</v>
      </c>
      <c r="G429" s="64" t="n">
        <v>0</v>
      </c>
      <c r="H429" s="62" t="s">
        <v>138</v>
      </c>
    </row>
    <row r="430" customFormat="false" ht="15" hidden="false" customHeight="false" outlineLevel="0" collapsed="false">
      <c r="A430" s="62" t="n">
        <v>0</v>
      </c>
      <c r="B430" s="62" t="s">
        <v>387</v>
      </c>
      <c r="C430" s="62" t="s">
        <v>60</v>
      </c>
      <c r="D430" s="62" t="s">
        <v>67</v>
      </c>
      <c r="E430" s="62" t="s">
        <v>382</v>
      </c>
      <c r="F430" s="63" t="s">
        <v>420</v>
      </c>
      <c r="G430" s="64" t="n">
        <v>0</v>
      </c>
      <c r="H430" s="62" t="s">
        <v>138</v>
      </c>
    </row>
    <row r="431" customFormat="false" ht="15" hidden="false" customHeight="false" outlineLevel="0" collapsed="false">
      <c r="A431" s="62" t="n">
        <v>0</v>
      </c>
      <c r="B431" s="62" t="s">
        <v>388</v>
      </c>
      <c r="C431" s="62" t="s">
        <v>60</v>
      </c>
      <c r="D431" s="62" t="s">
        <v>67</v>
      </c>
      <c r="E431" s="62" t="s">
        <v>382</v>
      </c>
      <c r="F431" s="63" t="s">
        <v>420</v>
      </c>
      <c r="G431" s="64" t="n">
        <v>0</v>
      </c>
      <c r="H431" s="62" t="s">
        <v>138</v>
      </c>
    </row>
    <row r="432" customFormat="false" ht="15" hidden="false" customHeight="false" outlineLevel="0" collapsed="false">
      <c r="A432" s="62" t="n">
        <v>0</v>
      </c>
      <c r="B432" s="62" t="s">
        <v>381</v>
      </c>
      <c r="C432" s="62" t="s">
        <v>60</v>
      </c>
      <c r="D432" s="62" t="s">
        <v>67</v>
      </c>
      <c r="E432" s="62" t="s">
        <v>382</v>
      </c>
      <c r="F432" s="63" t="s">
        <v>421</v>
      </c>
      <c r="G432" s="64" t="n">
        <v>700000</v>
      </c>
      <c r="H432" s="62" t="s">
        <v>138</v>
      </c>
    </row>
    <row r="433" customFormat="false" ht="15" hidden="false" customHeight="false" outlineLevel="0" collapsed="false">
      <c r="A433" s="62" t="n">
        <v>0</v>
      </c>
      <c r="B433" s="62" t="s">
        <v>383</v>
      </c>
      <c r="C433" s="62" t="s">
        <v>60</v>
      </c>
      <c r="D433" s="62" t="s">
        <v>67</v>
      </c>
      <c r="E433" s="62" t="s">
        <v>382</v>
      </c>
      <c r="F433" s="63" t="s">
        <v>421</v>
      </c>
      <c r="G433" s="64" t="n">
        <v>700000</v>
      </c>
      <c r="H433" s="62" t="s">
        <v>138</v>
      </c>
    </row>
    <row r="434" customFormat="false" ht="15" hidden="false" customHeight="false" outlineLevel="0" collapsed="false">
      <c r="A434" s="62" t="n">
        <v>0</v>
      </c>
      <c r="B434" s="62" t="s">
        <v>384</v>
      </c>
      <c r="C434" s="62" t="s">
        <v>60</v>
      </c>
      <c r="D434" s="62" t="s">
        <v>67</v>
      </c>
      <c r="E434" s="62" t="s">
        <v>382</v>
      </c>
      <c r="F434" s="63" t="s">
        <v>421</v>
      </c>
      <c r="G434" s="64" t="n">
        <v>700000</v>
      </c>
      <c r="H434" s="62" t="s">
        <v>138</v>
      </c>
    </row>
    <row r="435" customFormat="false" ht="15" hidden="false" customHeight="false" outlineLevel="0" collapsed="false">
      <c r="A435" s="62" t="n">
        <v>0</v>
      </c>
      <c r="B435" s="62" t="s">
        <v>385</v>
      </c>
      <c r="C435" s="62" t="s">
        <v>60</v>
      </c>
      <c r="D435" s="62" t="s">
        <v>67</v>
      </c>
      <c r="E435" s="62" t="s">
        <v>382</v>
      </c>
      <c r="F435" s="63" t="s">
        <v>421</v>
      </c>
      <c r="G435" s="64" t="n">
        <v>700000</v>
      </c>
      <c r="H435" s="62" t="s">
        <v>138</v>
      </c>
    </row>
    <row r="436" customFormat="false" ht="15" hidden="false" customHeight="false" outlineLevel="0" collapsed="false">
      <c r="A436" s="62" t="n">
        <v>0</v>
      </c>
      <c r="B436" s="62" t="s">
        <v>386</v>
      </c>
      <c r="C436" s="62" t="s">
        <v>60</v>
      </c>
      <c r="D436" s="62" t="s">
        <v>67</v>
      </c>
      <c r="E436" s="62" t="s">
        <v>382</v>
      </c>
      <c r="F436" s="63" t="s">
        <v>421</v>
      </c>
      <c r="G436" s="64" t="n">
        <v>700000</v>
      </c>
      <c r="H436" s="62" t="s">
        <v>138</v>
      </c>
    </row>
    <row r="437" customFormat="false" ht="15" hidden="false" customHeight="false" outlineLevel="0" collapsed="false">
      <c r="A437" s="62" t="n">
        <v>0</v>
      </c>
      <c r="B437" s="62" t="s">
        <v>387</v>
      </c>
      <c r="C437" s="62" t="s">
        <v>60</v>
      </c>
      <c r="D437" s="62" t="s">
        <v>67</v>
      </c>
      <c r="E437" s="62" t="s">
        <v>382</v>
      </c>
      <c r="F437" s="63" t="s">
        <v>421</v>
      </c>
      <c r="G437" s="64" t="n">
        <v>700000</v>
      </c>
      <c r="H437" s="62" t="s">
        <v>138</v>
      </c>
    </row>
    <row r="438" customFormat="false" ht="15" hidden="false" customHeight="false" outlineLevel="0" collapsed="false">
      <c r="A438" s="62" t="n">
        <v>0</v>
      </c>
      <c r="B438" s="62" t="s">
        <v>388</v>
      </c>
      <c r="C438" s="62" t="s">
        <v>60</v>
      </c>
      <c r="D438" s="62" t="s">
        <v>67</v>
      </c>
      <c r="E438" s="62" t="s">
        <v>382</v>
      </c>
      <c r="F438" s="63" t="s">
        <v>421</v>
      </c>
      <c r="G438" s="64" t="n">
        <v>700000</v>
      </c>
      <c r="H438" s="62" t="s">
        <v>138</v>
      </c>
    </row>
    <row r="439" customFormat="false" ht="15" hidden="false" customHeight="false" outlineLevel="0" collapsed="false">
      <c r="A439" s="62" t="n">
        <v>0</v>
      </c>
      <c r="B439" s="62" t="s">
        <v>381</v>
      </c>
      <c r="C439" s="62" t="s">
        <v>60</v>
      </c>
      <c r="D439" s="62" t="s">
        <v>67</v>
      </c>
      <c r="E439" s="62" t="s">
        <v>382</v>
      </c>
      <c r="F439" s="63" t="s">
        <v>422</v>
      </c>
      <c r="G439" s="64" t="n">
        <v>730266.895139377</v>
      </c>
      <c r="H439" s="62" t="s">
        <v>138</v>
      </c>
    </row>
    <row r="440" customFormat="false" ht="15" hidden="false" customHeight="false" outlineLevel="0" collapsed="false">
      <c r="A440" s="62" t="n">
        <v>0</v>
      </c>
      <c r="B440" s="62" t="s">
        <v>383</v>
      </c>
      <c r="C440" s="62" t="s">
        <v>60</v>
      </c>
      <c r="D440" s="62" t="s">
        <v>67</v>
      </c>
      <c r="E440" s="62" t="s">
        <v>382</v>
      </c>
      <c r="F440" s="63" t="s">
        <v>422</v>
      </c>
      <c r="G440" s="64" t="n">
        <v>730266.895139377</v>
      </c>
      <c r="H440" s="62" t="s">
        <v>138</v>
      </c>
    </row>
    <row r="441" customFormat="false" ht="15" hidden="false" customHeight="false" outlineLevel="0" collapsed="false">
      <c r="A441" s="62" t="n">
        <v>0</v>
      </c>
      <c r="B441" s="62" t="s">
        <v>384</v>
      </c>
      <c r="C441" s="62" t="s">
        <v>60</v>
      </c>
      <c r="D441" s="62" t="s">
        <v>67</v>
      </c>
      <c r="E441" s="62" t="s">
        <v>382</v>
      </c>
      <c r="F441" s="63" t="s">
        <v>422</v>
      </c>
      <c r="G441" s="64" t="n">
        <v>730266.895139377</v>
      </c>
      <c r="H441" s="62" t="s">
        <v>138</v>
      </c>
    </row>
    <row r="442" customFormat="false" ht="15" hidden="false" customHeight="false" outlineLevel="0" collapsed="false">
      <c r="A442" s="62" t="n">
        <v>0</v>
      </c>
      <c r="B442" s="62" t="s">
        <v>385</v>
      </c>
      <c r="C442" s="62" t="s">
        <v>60</v>
      </c>
      <c r="D442" s="62" t="s">
        <v>67</v>
      </c>
      <c r="E442" s="62" t="s">
        <v>382</v>
      </c>
      <c r="F442" s="63" t="s">
        <v>422</v>
      </c>
      <c r="G442" s="64" t="n">
        <v>730266.895139377</v>
      </c>
      <c r="H442" s="62" t="s">
        <v>138</v>
      </c>
    </row>
    <row r="443" customFormat="false" ht="15" hidden="false" customHeight="false" outlineLevel="0" collapsed="false">
      <c r="A443" s="62" t="n">
        <v>0</v>
      </c>
      <c r="B443" s="62" t="s">
        <v>386</v>
      </c>
      <c r="C443" s="62" t="s">
        <v>60</v>
      </c>
      <c r="D443" s="62" t="s">
        <v>67</v>
      </c>
      <c r="E443" s="62" t="s">
        <v>382</v>
      </c>
      <c r="F443" s="63" t="s">
        <v>422</v>
      </c>
      <c r="G443" s="64" t="n">
        <v>730266.895139377</v>
      </c>
      <c r="H443" s="62" t="s">
        <v>138</v>
      </c>
    </row>
    <row r="444" customFormat="false" ht="15" hidden="false" customHeight="false" outlineLevel="0" collapsed="false">
      <c r="A444" s="62" t="n">
        <v>0</v>
      </c>
      <c r="B444" s="62" t="s">
        <v>387</v>
      </c>
      <c r="C444" s="62" t="s">
        <v>60</v>
      </c>
      <c r="D444" s="62" t="s">
        <v>67</v>
      </c>
      <c r="E444" s="62" t="s">
        <v>382</v>
      </c>
      <c r="F444" s="63" t="s">
        <v>422</v>
      </c>
      <c r="G444" s="64" t="n">
        <v>730266.895139377</v>
      </c>
      <c r="H444" s="62" t="s">
        <v>138</v>
      </c>
    </row>
    <row r="445" customFormat="false" ht="15" hidden="false" customHeight="false" outlineLevel="0" collapsed="false">
      <c r="A445" s="62" t="n">
        <v>0</v>
      </c>
      <c r="B445" s="62" t="s">
        <v>388</v>
      </c>
      <c r="C445" s="62" t="s">
        <v>60</v>
      </c>
      <c r="D445" s="62" t="s">
        <v>67</v>
      </c>
      <c r="E445" s="62" t="s">
        <v>382</v>
      </c>
      <c r="F445" s="63" t="s">
        <v>422</v>
      </c>
      <c r="G445" s="64" t="n">
        <v>730266.895139377</v>
      </c>
      <c r="H445" s="62" t="s">
        <v>138</v>
      </c>
    </row>
    <row r="446" customFormat="false" ht="15" hidden="false" customHeight="false" outlineLevel="0" collapsed="false">
      <c r="A446" s="62" t="n">
        <v>0</v>
      </c>
      <c r="B446" s="62" t="s">
        <v>381</v>
      </c>
      <c r="C446" s="62" t="s">
        <v>60</v>
      </c>
      <c r="D446" s="62" t="s">
        <v>67</v>
      </c>
      <c r="E446" s="62" t="s">
        <v>382</v>
      </c>
      <c r="F446" s="63" t="s">
        <v>423</v>
      </c>
      <c r="G446" s="64" t="n">
        <v>13330266.8951394</v>
      </c>
      <c r="H446" s="62" t="s">
        <v>138</v>
      </c>
    </row>
    <row r="447" customFormat="false" ht="15" hidden="false" customHeight="false" outlineLevel="0" collapsed="false">
      <c r="A447" s="62" t="n">
        <v>0</v>
      </c>
      <c r="B447" s="62" t="s">
        <v>383</v>
      </c>
      <c r="C447" s="62" t="s">
        <v>60</v>
      </c>
      <c r="D447" s="62" t="s">
        <v>67</v>
      </c>
      <c r="E447" s="62" t="s">
        <v>382</v>
      </c>
      <c r="F447" s="63" t="s">
        <v>423</v>
      </c>
      <c r="G447" s="64" t="n">
        <v>13330266.8951394</v>
      </c>
      <c r="H447" s="62" t="s">
        <v>138</v>
      </c>
    </row>
    <row r="448" customFormat="false" ht="15" hidden="false" customHeight="false" outlineLevel="0" collapsed="false">
      <c r="A448" s="62" t="n">
        <v>0</v>
      </c>
      <c r="B448" s="62" t="s">
        <v>384</v>
      </c>
      <c r="C448" s="62" t="s">
        <v>60</v>
      </c>
      <c r="D448" s="62" t="s">
        <v>67</v>
      </c>
      <c r="E448" s="62" t="s">
        <v>382</v>
      </c>
      <c r="F448" s="63" t="s">
        <v>423</v>
      </c>
      <c r="G448" s="64" t="n">
        <v>13330266.8951394</v>
      </c>
      <c r="H448" s="62" t="s">
        <v>138</v>
      </c>
    </row>
    <row r="449" customFormat="false" ht="15" hidden="false" customHeight="false" outlineLevel="0" collapsed="false">
      <c r="A449" s="62" t="n">
        <v>0</v>
      </c>
      <c r="B449" s="62" t="s">
        <v>385</v>
      </c>
      <c r="C449" s="62" t="s">
        <v>60</v>
      </c>
      <c r="D449" s="62" t="s">
        <v>67</v>
      </c>
      <c r="E449" s="62" t="s">
        <v>382</v>
      </c>
      <c r="F449" s="63" t="s">
        <v>423</v>
      </c>
      <c r="G449" s="64" t="n">
        <v>13330266.8951394</v>
      </c>
      <c r="H449" s="62" t="s">
        <v>138</v>
      </c>
    </row>
    <row r="450" customFormat="false" ht="15" hidden="false" customHeight="false" outlineLevel="0" collapsed="false">
      <c r="A450" s="62" t="n">
        <v>0</v>
      </c>
      <c r="B450" s="62" t="s">
        <v>386</v>
      </c>
      <c r="C450" s="62" t="s">
        <v>60</v>
      </c>
      <c r="D450" s="62" t="s">
        <v>67</v>
      </c>
      <c r="E450" s="62" t="s">
        <v>382</v>
      </c>
      <c r="F450" s="63" t="s">
        <v>423</v>
      </c>
      <c r="G450" s="64" t="n">
        <v>13330266.8951394</v>
      </c>
      <c r="H450" s="62" t="s">
        <v>138</v>
      </c>
    </row>
    <row r="451" customFormat="false" ht="15" hidden="false" customHeight="false" outlineLevel="0" collapsed="false">
      <c r="A451" s="62" t="n">
        <v>0</v>
      </c>
      <c r="B451" s="62" t="s">
        <v>387</v>
      </c>
      <c r="C451" s="62" t="s">
        <v>60</v>
      </c>
      <c r="D451" s="62" t="s">
        <v>67</v>
      </c>
      <c r="E451" s="62" t="s">
        <v>382</v>
      </c>
      <c r="F451" s="63" t="s">
        <v>423</v>
      </c>
      <c r="G451" s="64" t="n">
        <v>13330266.8951394</v>
      </c>
      <c r="H451" s="62" t="s">
        <v>138</v>
      </c>
    </row>
    <row r="452" customFormat="false" ht="15" hidden="false" customHeight="false" outlineLevel="0" collapsed="false">
      <c r="A452" s="62" t="n">
        <v>0</v>
      </c>
      <c r="B452" s="62" t="s">
        <v>388</v>
      </c>
      <c r="C452" s="62" t="s">
        <v>60</v>
      </c>
      <c r="D452" s="62" t="s">
        <v>67</v>
      </c>
      <c r="E452" s="62" t="s">
        <v>382</v>
      </c>
      <c r="F452" s="63" t="s">
        <v>423</v>
      </c>
      <c r="G452" s="64" t="n">
        <v>13330266.8951394</v>
      </c>
      <c r="H452" s="62" t="s">
        <v>138</v>
      </c>
    </row>
    <row r="453" customFormat="false" ht="15" hidden="false" customHeight="false" outlineLevel="0" collapsed="false">
      <c r="A453" s="62" t="n">
        <v>0</v>
      </c>
      <c r="B453" s="62" t="s">
        <v>381</v>
      </c>
      <c r="C453" s="62" t="s">
        <v>60</v>
      </c>
      <c r="D453" s="62" t="s">
        <v>67</v>
      </c>
      <c r="E453" s="62" t="s">
        <v>382</v>
      </c>
      <c r="F453" s="63" t="s">
        <v>399</v>
      </c>
      <c r="G453" s="64" t="n">
        <v>18836079.6353357</v>
      </c>
      <c r="H453" s="62" t="s">
        <v>138</v>
      </c>
    </row>
    <row r="454" customFormat="false" ht="15" hidden="false" customHeight="false" outlineLevel="0" collapsed="false">
      <c r="A454" s="62" t="n">
        <v>0</v>
      </c>
      <c r="B454" s="62" t="s">
        <v>383</v>
      </c>
      <c r="C454" s="62" t="s">
        <v>60</v>
      </c>
      <c r="D454" s="62" t="s">
        <v>67</v>
      </c>
      <c r="E454" s="62" t="s">
        <v>382</v>
      </c>
      <c r="F454" s="63" t="s">
        <v>399</v>
      </c>
      <c r="G454" s="64" t="n">
        <v>18836079.6353357</v>
      </c>
      <c r="H454" s="62" t="s">
        <v>138</v>
      </c>
    </row>
    <row r="455" customFormat="false" ht="15" hidden="false" customHeight="false" outlineLevel="0" collapsed="false">
      <c r="A455" s="62" t="n">
        <v>0</v>
      </c>
      <c r="B455" s="62" t="s">
        <v>384</v>
      </c>
      <c r="C455" s="62" t="s">
        <v>60</v>
      </c>
      <c r="D455" s="62" t="s">
        <v>67</v>
      </c>
      <c r="E455" s="62" t="s">
        <v>382</v>
      </c>
      <c r="F455" s="63" t="s">
        <v>399</v>
      </c>
      <c r="G455" s="64" t="n">
        <v>18836079.6353357</v>
      </c>
      <c r="H455" s="62" t="s">
        <v>138</v>
      </c>
    </row>
    <row r="456" customFormat="false" ht="15" hidden="false" customHeight="false" outlineLevel="0" collapsed="false">
      <c r="A456" s="62" t="n">
        <v>0</v>
      </c>
      <c r="B456" s="62" t="s">
        <v>385</v>
      </c>
      <c r="C456" s="62" t="s">
        <v>60</v>
      </c>
      <c r="D456" s="62" t="s">
        <v>67</v>
      </c>
      <c r="E456" s="62" t="s">
        <v>382</v>
      </c>
      <c r="F456" s="63" t="s">
        <v>399</v>
      </c>
      <c r="G456" s="64" t="n">
        <v>18836079.6353357</v>
      </c>
      <c r="H456" s="62" t="s">
        <v>138</v>
      </c>
    </row>
    <row r="457" customFormat="false" ht="15" hidden="false" customHeight="false" outlineLevel="0" collapsed="false">
      <c r="A457" s="62" t="n">
        <v>0</v>
      </c>
      <c r="B457" s="62" t="s">
        <v>386</v>
      </c>
      <c r="C457" s="62" t="s">
        <v>60</v>
      </c>
      <c r="D457" s="62" t="s">
        <v>67</v>
      </c>
      <c r="E457" s="62" t="s">
        <v>382</v>
      </c>
      <c r="F457" s="63" t="s">
        <v>399</v>
      </c>
      <c r="G457" s="64" t="n">
        <v>18836079.6353357</v>
      </c>
      <c r="H457" s="62" t="s">
        <v>138</v>
      </c>
    </row>
    <row r="458" customFormat="false" ht="15" hidden="false" customHeight="false" outlineLevel="0" collapsed="false">
      <c r="A458" s="62" t="n">
        <v>0</v>
      </c>
      <c r="B458" s="62" t="s">
        <v>387</v>
      </c>
      <c r="C458" s="62" t="s">
        <v>60</v>
      </c>
      <c r="D458" s="62" t="s">
        <v>67</v>
      </c>
      <c r="E458" s="62" t="s">
        <v>382</v>
      </c>
      <c r="F458" s="63" t="s">
        <v>399</v>
      </c>
      <c r="G458" s="64" t="n">
        <v>18836079.6353357</v>
      </c>
      <c r="H458" s="62" t="s">
        <v>138</v>
      </c>
    </row>
    <row r="459" customFormat="false" ht="15" hidden="false" customHeight="false" outlineLevel="0" collapsed="false">
      <c r="A459" s="62" t="n">
        <v>0</v>
      </c>
      <c r="B459" s="62" t="s">
        <v>388</v>
      </c>
      <c r="C459" s="62" t="s">
        <v>60</v>
      </c>
      <c r="D459" s="62" t="s">
        <v>67</v>
      </c>
      <c r="E459" s="62" t="s">
        <v>382</v>
      </c>
      <c r="F459" s="63" t="s">
        <v>399</v>
      </c>
      <c r="G459" s="64" t="n">
        <v>18836079.6353357</v>
      </c>
      <c r="H459" s="62" t="s">
        <v>138</v>
      </c>
    </row>
    <row r="460" customFormat="false" ht="15" hidden="false" customHeight="false" outlineLevel="0" collapsed="false">
      <c r="A460" s="62" t="n">
        <v>0</v>
      </c>
      <c r="B460" s="62" t="s">
        <v>381</v>
      </c>
      <c r="C460" s="62" t="s">
        <v>60</v>
      </c>
      <c r="D460" s="62" t="s">
        <v>67</v>
      </c>
      <c r="E460" s="62" t="s">
        <v>382</v>
      </c>
      <c r="F460" s="63" t="s">
        <v>424</v>
      </c>
      <c r="G460" s="64" t="n">
        <v>2502222.38612016</v>
      </c>
      <c r="H460" s="62" t="s">
        <v>138</v>
      </c>
    </row>
    <row r="461" customFormat="false" ht="15" hidden="false" customHeight="false" outlineLevel="0" collapsed="false">
      <c r="A461" s="62" t="n">
        <v>0</v>
      </c>
      <c r="B461" s="62" t="s">
        <v>383</v>
      </c>
      <c r="C461" s="62" t="s">
        <v>60</v>
      </c>
      <c r="D461" s="62" t="s">
        <v>67</v>
      </c>
      <c r="E461" s="62" t="s">
        <v>382</v>
      </c>
      <c r="F461" s="63" t="s">
        <v>424</v>
      </c>
      <c r="G461" s="64" t="n">
        <v>2502222.38612016</v>
      </c>
      <c r="H461" s="62" t="s">
        <v>138</v>
      </c>
    </row>
    <row r="462" customFormat="false" ht="15" hidden="false" customHeight="false" outlineLevel="0" collapsed="false">
      <c r="A462" s="62" t="n">
        <v>0</v>
      </c>
      <c r="B462" s="62" t="s">
        <v>384</v>
      </c>
      <c r="C462" s="62" t="s">
        <v>60</v>
      </c>
      <c r="D462" s="62" t="s">
        <v>67</v>
      </c>
      <c r="E462" s="62" t="s">
        <v>382</v>
      </c>
      <c r="F462" s="63" t="s">
        <v>424</v>
      </c>
      <c r="G462" s="64" t="n">
        <v>2502222.38612016</v>
      </c>
      <c r="H462" s="62" t="s">
        <v>138</v>
      </c>
    </row>
    <row r="463" customFormat="false" ht="15" hidden="false" customHeight="false" outlineLevel="0" collapsed="false">
      <c r="A463" s="62" t="n">
        <v>0</v>
      </c>
      <c r="B463" s="62" t="s">
        <v>385</v>
      </c>
      <c r="C463" s="62" t="s">
        <v>60</v>
      </c>
      <c r="D463" s="62" t="s">
        <v>67</v>
      </c>
      <c r="E463" s="62" t="s">
        <v>382</v>
      </c>
      <c r="F463" s="63" t="s">
        <v>424</v>
      </c>
      <c r="G463" s="64" t="n">
        <v>2502222.38612016</v>
      </c>
      <c r="H463" s="62" t="s">
        <v>138</v>
      </c>
    </row>
    <row r="464" customFormat="false" ht="15" hidden="false" customHeight="false" outlineLevel="0" collapsed="false">
      <c r="A464" s="62" t="n">
        <v>0</v>
      </c>
      <c r="B464" s="62" t="s">
        <v>386</v>
      </c>
      <c r="C464" s="62" t="s">
        <v>60</v>
      </c>
      <c r="D464" s="62" t="s">
        <v>67</v>
      </c>
      <c r="E464" s="62" t="s">
        <v>382</v>
      </c>
      <c r="F464" s="63" t="s">
        <v>424</v>
      </c>
      <c r="G464" s="64" t="n">
        <v>2502222.38612016</v>
      </c>
      <c r="H464" s="62" t="s">
        <v>138</v>
      </c>
    </row>
    <row r="465" customFormat="false" ht="15" hidden="false" customHeight="false" outlineLevel="0" collapsed="false">
      <c r="A465" s="62" t="n">
        <v>0</v>
      </c>
      <c r="B465" s="62" t="s">
        <v>387</v>
      </c>
      <c r="C465" s="62" t="s">
        <v>60</v>
      </c>
      <c r="D465" s="62" t="s">
        <v>67</v>
      </c>
      <c r="E465" s="62" t="s">
        <v>382</v>
      </c>
      <c r="F465" s="63" t="s">
        <v>424</v>
      </c>
      <c r="G465" s="64" t="n">
        <v>2502222.38612016</v>
      </c>
      <c r="H465" s="62" t="s">
        <v>138</v>
      </c>
    </row>
    <row r="466" customFormat="false" ht="15" hidden="false" customHeight="false" outlineLevel="0" collapsed="false">
      <c r="A466" s="62" t="n">
        <v>0</v>
      </c>
      <c r="B466" s="62" t="s">
        <v>388</v>
      </c>
      <c r="C466" s="62" t="s">
        <v>60</v>
      </c>
      <c r="D466" s="62" t="s">
        <v>67</v>
      </c>
      <c r="E466" s="62" t="s">
        <v>382</v>
      </c>
      <c r="F466" s="63" t="s">
        <v>424</v>
      </c>
      <c r="G466" s="64" t="n">
        <v>2502222.38612016</v>
      </c>
      <c r="H466" s="62" t="s">
        <v>138</v>
      </c>
    </row>
    <row r="467" customFormat="false" ht="15" hidden="false" customHeight="false" outlineLevel="0" collapsed="false">
      <c r="A467" s="62" t="n">
        <v>0</v>
      </c>
      <c r="B467" s="62" t="s">
        <v>381</v>
      </c>
      <c r="C467" s="62" t="s">
        <v>60</v>
      </c>
      <c r="D467" s="62" t="s">
        <v>67</v>
      </c>
      <c r="E467" s="62" t="s">
        <v>382</v>
      </c>
      <c r="F467" s="63" t="s">
        <v>425</v>
      </c>
      <c r="G467" s="64" t="n">
        <v>1416173.75</v>
      </c>
      <c r="H467" s="62" t="s">
        <v>138</v>
      </c>
    </row>
    <row r="468" customFormat="false" ht="15" hidden="false" customHeight="false" outlineLevel="0" collapsed="false">
      <c r="A468" s="62" t="n">
        <v>0</v>
      </c>
      <c r="B468" s="62" t="s">
        <v>383</v>
      </c>
      <c r="C468" s="62" t="s">
        <v>60</v>
      </c>
      <c r="D468" s="62" t="s">
        <v>67</v>
      </c>
      <c r="E468" s="62" t="s">
        <v>382</v>
      </c>
      <c r="F468" s="63" t="s">
        <v>425</v>
      </c>
      <c r="G468" s="64" t="n">
        <v>1416173.75</v>
      </c>
      <c r="H468" s="62" t="s">
        <v>138</v>
      </c>
    </row>
    <row r="469" customFormat="false" ht="15" hidden="false" customHeight="false" outlineLevel="0" collapsed="false">
      <c r="A469" s="62" t="n">
        <v>0</v>
      </c>
      <c r="B469" s="62" t="s">
        <v>384</v>
      </c>
      <c r="C469" s="62" t="s">
        <v>60</v>
      </c>
      <c r="D469" s="62" t="s">
        <v>67</v>
      </c>
      <c r="E469" s="62" t="s">
        <v>382</v>
      </c>
      <c r="F469" s="63" t="s">
        <v>425</v>
      </c>
      <c r="G469" s="64" t="n">
        <v>1416173.75</v>
      </c>
      <c r="H469" s="62" t="s">
        <v>138</v>
      </c>
    </row>
    <row r="470" customFormat="false" ht="15" hidden="false" customHeight="false" outlineLevel="0" collapsed="false">
      <c r="A470" s="62" t="n">
        <v>0</v>
      </c>
      <c r="B470" s="62" t="s">
        <v>385</v>
      </c>
      <c r="C470" s="62" t="s">
        <v>60</v>
      </c>
      <c r="D470" s="62" t="s">
        <v>67</v>
      </c>
      <c r="E470" s="62" t="s">
        <v>382</v>
      </c>
      <c r="F470" s="63" t="s">
        <v>425</v>
      </c>
      <c r="G470" s="64" t="n">
        <v>1416173.75</v>
      </c>
      <c r="H470" s="62" t="s">
        <v>138</v>
      </c>
    </row>
    <row r="471" customFormat="false" ht="15" hidden="false" customHeight="false" outlineLevel="0" collapsed="false">
      <c r="A471" s="62" t="n">
        <v>0</v>
      </c>
      <c r="B471" s="62" t="s">
        <v>386</v>
      </c>
      <c r="C471" s="62" t="s">
        <v>60</v>
      </c>
      <c r="D471" s="62" t="s">
        <v>67</v>
      </c>
      <c r="E471" s="62" t="s">
        <v>382</v>
      </c>
      <c r="F471" s="63" t="s">
        <v>425</v>
      </c>
      <c r="G471" s="64" t="n">
        <v>1416173.75</v>
      </c>
      <c r="H471" s="62" t="s">
        <v>138</v>
      </c>
    </row>
    <row r="472" customFormat="false" ht="15" hidden="false" customHeight="false" outlineLevel="0" collapsed="false">
      <c r="A472" s="62" t="n">
        <v>0</v>
      </c>
      <c r="B472" s="62" t="s">
        <v>387</v>
      </c>
      <c r="C472" s="62" t="s">
        <v>60</v>
      </c>
      <c r="D472" s="62" t="s">
        <v>67</v>
      </c>
      <c r="E472" s="62" t="s">
        <v>382</v>
      </c>
      <c r="F472" s="63" t="s">
        <v>425</v>
      </c>
      <c r="G472" s="64" t="n">
        <v>1416173.75</v>
      </c>
      <c r="H472" s="62" t="s">
        <v>138</v>
      </c>
    </row>
    <row r="473" customFormat="false" ht="15" hidden="false" customHeight="false" outlineLevel="0" collapsed="false">
      <c r="A473" s="62" t="n">
        <v>0</v>
      </c>
      <c r="B473" s="62" t="s">
        <v>388</v>
      </c>
      <c r="C473" s="62" t="s">
        <v>60</v>
      </c>
      <c r="D473" s="62" t="s">
        <v>67</v>
      </c>
      <c r="E473" s="62" t="s">
        <v>382</v>
      </c>
      <c r="F473" s="63" t="s">
        <v>425</v>
      </c>
      <c r="G473" s="64" t="n">
        <v>1416173.75</v>
      </c>
      <c r="H473" s="62" t="s">
        <v>138</v>
      </c>
    </row>
    <row r="474" customFormat="false" ht="15" hidden="false" customHeight="false" outlineLevel="0" collapsed="false">
      <c r="A474" s="62" t="n">
        <v>0</v>
      </c>
      <c r="B474" s="62" t="s">
        <v>381</v>
      </c>
      <c r="C474" s="62" t="s">
        <v>60</v>
      </c>
      <c r="D474" s="62" t="s">
        <v>67</v>
      </c>
      <c r="E474" s="62" t="s">
        <v>382</v>
      </c>
      <c r="F474" s="63" t="s">
        <v>426</v>
      </c>
      <c r="G474" s="64" t="n">
        <v>0</v>
      </c>
      <c r="H474" s="62" t="s">
        <v>138</v>
      </c>
    </row>
    <row r="475" customFormat="false" ht="15" hidden="false" customHeight="false" outlineLevel="0" collapsed="false">
      <c r="A475" s="62" t="n">
        <v>0</v>
      </c>
      <c r="B475" s="62" t="s">
        <v>383</v>
      </c>
      <c r="C475" s="62" t="s">
        <v>60</v>
      </c>
      <c r="D475" s="62" t="s">
        <v>67</v>
      </c>
      <c r="E475" s="62" t="s">
        <v>382</v>
      </c>
      <c r="F475" s="63" t="s">
        <v>426</v>
      </c>
      <c r="G475" s="64" t="n">
        <v>0</v>
      </c>
      <c r="H475" s="62" t="s">
        <v>138</v>
      </c>
    </row>
    <row r="476" customFormat="false" ht="15" hidden="false" customHeight="false" outlineLevel="0" collapsed="false">
      <c r="A476" s="62" t="n">
        <v>0</v>
      </c>
      <c r="B476" s="62" t="s">
        <v>384</v>
      </c>
      <c r="C476" s="62" t="s">
        <v>60</v>
      </c>
      <c r="D476" s="62" t="s">
        <v>67</v>
      </c>
      <c r="E476" s="62" t="s">
        <v>382</v>
      </c>
      <c r="F476" s="63" t="s">
        <v>426</v>
      </c>
      <c r="G476" s="64" t="n">
        <v>0</v>
      </c>
      <c r="H476" s="62" t="s">
        <v>138</v>
      </c>
    </row>
    <row r="477" customFormat="false" ht="15" hidden="false" customHeight="false" outlineLevel="0" collapsed="false">
      <c r="A477" s="62" t="n">
        <v>0</v>
      </c>
      <c r="B477" s="62" t="s">
        <v>385</v>
      </c>
      <c r="C477" s="62" t="s">
        <v>60</v>
      </c>
      <c r="D477" s="62" t="s">
        <v>67</v>
      </c>
      <c r="E477" s="62" t="s">
        <v>382</v>
      </c>
      <c r="F477" s="63" t="s">
        <v>426</v>
      </c>
      <c r="G477" s="64" t="n">
        <v>0</v>
      </c>
      <c r="H477" s="62" t="s">
        <v>138</v>
      </c>
    </row>
    <row r="478" customFormat="false" ht="15" hidden="false" customHeight="false" outlineLevel="0" collapsed="false">
      <c r="A478" s="62" t="n">
        <v>0</v>
      </c>
      <c r="B478" s="62" t="s">
        <v>386</v>
      </c>
      <c r="C478" s="62" t="s">
        <v>60</v>
      </c>
      <c r="D478" s="62" t="s">
        <v>67</v>
      </c>
      <c r="E478" s="62" t="s">
        <v>382</v>
      </c>
      <c r="F478" s="63" t="s">
        <v>426</v>
      </c>
      <c r="G478" s="64" t="n">
        <v>0</v>
      </c>
      <c r="H478" s="62" t="s">
        <v>138</v>
      </c>
    </row>
    <row r="479" customFormat="false" ht="15" hidden="false" customHeight="false" outlineLevel="0" collapsed="false">
      <c r="A479" s="62" t="n">
        <v>0</v>
      </c>
      <c r="B479" s="62" t="s">
        <v>387</v>
      </c>
      <c r="C479" s="62" t="s">
        <v>60</v>
      </c>
      <c r="D479" s="62" t="s">
        <v>67</v>
      </c>
      <c r="E479" s="62" t="s">
        <v>382</v>
      </c>
      <c r="F479" s="63" t="s">
        <v>426</v>
      </c>
      <c r="G479" s="64" t="n">
        <v>0</v>
      </c>
      <c r="H479" s="62" t="s">
        <v>138</v>
      </c>
    </row>
    <row r="480" customFormat="false" ht="15" hidden="false" customHeight="false" outlineLevel="0" collapsed="false">
      <c r="A480" s="62" t="n">
        <v>0</v>
      </c>
      <c r="B480" s="62" t="s">
        <v>388</v>
      </c>
      <c r="C480" s="62" t="s">
        <v>60</v>
      </c>
      <c r="D480" s="62" t="s">
        <v>67</v>
      </c>
      <c r="E480" s="62" t="s">
        <v>382</v>
      </c>
      <c r="F480" s="63" t="s">
        <v>426</v>
      </c>
      <c r="G480" s="64" t="n">
        <v>0</v>
      </c>
      <c r="H480" s="62" t="s">
        <v>138</v>
      </c>
    </row>
    <row r="481" customFormat="false" ht="15" hidden="false" customHeight="false" outlineLevel="0" collapsed="false">
      <c r="A481" s="62" t="n">
        <v>0</v>
      </c>
      <c r="B481" s="62" t="s">
        <v>381</v>
      </c>
      <c r="C481" s="62" t="s">
        <v>60</v>
      </c>
      <c r="D481" s="62" t="s">
        <v>67</v>
      </c>
      <c r="E481" s="62" t="s">
        <v>382</v>
      </c>
      <c r="F481" s="63" t="s">
        <v>427</v>
      </c>
      <c r="G481" s="64" t="n">
        <v>-148522.104860624</v>
      </c>
      <c r="H481" s="62" t="s">
        <v>138</v>
      </c>
    </row>
    <row r="482" customFormat="false" ht="15" hidden="false" customHeight="false" outlineLevel="0" collapsed="false">
      <c r="A482" s="62" t="n">
        <v>0</v>
      </c>
      <c r="B482" s="62" t="s">
        <v>383</v>
      </c>
      <c r="C482" s="62" t="s">
        <v>60</v>
      </c>
      <c r="D482" s="62" t="s">
        <v>67</v>
      </c>
      <c r="E482" s="62" t="s">
        <v>382</v>
      </c>
      <c r="F482" s="63" t="s">
        <v>427</v>
      </c>
      <c r="G482" s="64" t="n">
        <v>-148522.104860624</v>
      </c>
      <c r="H482" s="62" t="s">
        <v>138</v>
      </c>
    </row>
    <row r="483" customFormat="false" ht="15" hidden="false" customHeight="false" outlineLevel="0" collapsed="false">
      <c r="A483" s="62" t="n">
        <v>0</v>
      </c>
      <c r="B483" s="62" t="s">
        <v>384</v>
      </c>
      <c r="C483" s="62" t="s">
        <v>60</v>
      </c>
      <c r="D483" s="62" t="s">
        <v>67</v>
      </c>
      <c r="E483" s="62" t="s">
        <v>382</v>
      </c>
      <c r="F483" s="63" t="s">
        <v>427</v>
      </c>
      <c r="G483" s="64" t="n">
        <v>-148522.104860624</v>
      </c>
      <c r="H483" s="62" t="s">
        <v>138</v>
      </c>
    </row>
    <row r="484" customFormat="false" ht="15" hidden="false" customHeight="false" outlineLevel="0" collapsed="false">
      <c r="A484" s="62" t="n">
        <v>0</v>
      </c>
      <c r="B484" s="62" t="s">
        <v>385</v>
      </c>
      <c r="C484" s="62" t="s">
        <v>60</v>
      </c>
      <c r="D484" s="62" t="s">
        <v>67</v>
      </c>
      <c r="E484" s="62" t="s">
        <v>382</v>
      </c>
      <c r="F484" s="63" t="s">
        <v>427</v>
      </c>
      <c r="G484" s="64" t="n">
        <v>-148522.104860624</v>
      </c>
      <c r="H484" s="62" t="s">
        <v>138</v>
      </c>
    </row>
    <row r="485" customFormat="false" ht="15" hidden="false" customHeight="false" outlineLevel="0" collapsed="false">
      <c r="A485" s="62" t="n">
        <v>0</v>
      </c>
      <c r="B485" s="62" t="s">
        <v>386</v>
      </c>
      <c r="C485" s="62" t="s">
        <v>60</v>
      </c>
      <c r="D485" s="62" t="s">
        <v>67</v>
      </c>
      <c r="E485" s="62" t="s">
        <v>382</v>
      </c>
      <c r="F485" s="63" t="s">
        <v>427</v>
      </c>
      <c r="G485" s="64" t="n">
        <v>-148522.104860624</v>
      </c>
      <c r="H485" s="62" t="s">
        <v>138</v>
      </c>
    </row>
    <row r="486" customFormat="false" ht="15" hidden="false" customHeight="false" outlineLevel="0" collapsed="false">
      <c r="A486" s="62" t="n">
        <v>0</v>
      </c>
      <c r="B486" s="62" t="s">
        <v>387</v>
      </c>
      <c r="C486" s="62" t="s">
        <v>60</v>
      </c>
      <c r="D486" s="62" t="s">
        <v>67</v>
      </c>
      <c r="E486" s="62" t="s">
        <v>382</v>
      </c>
      <c r="F486" s="63" t="s">
        <v>427</v>
      </c>
      <c r="G486" s="64" t="n">
        <v>-148522.104860624</v>
      </c>
      <c r="H486" s="62" t="s">
        <v>138</v>
      </c>
    </row>
    <row r="487" customFormat="false" ht="15" hidden="false" customHeight="false" outlineLevel="0" collapsed="false">
      <c r="A487" s="62" t="n">
        <v>0</v>
      </c>
      <c r="B487" s="62" t="s">
        <v>388</v>
      </c>
      <c r="C487" s="62" t="s">
        <v>60</v>
      </c>
      <c r="D487" s="62" t="s">
        <v>67</v>
      </c>
      <c r="E487" s="62" t="s">
        <v>382</v>
      </c>
      <c r="F487" s="63" t="s">
        <v>427</v>
      </c>
      <c r="G487" s="64" t="n">
        <v>-148522.104860624</v>
      </c>
      <c r="H487" s="62" t="s">
        <v>138</v>
      </c>
    </row>
    <row r="488" customFormat="false" ht="15" hidden="false" customHeight="false" outlineLevel="0" collapsed="false">
      <c r="A488" s="62" t="n">
        <v>0</v>
      </c>
      <c r="B488" s="62" t="s">
        <v>381</v>
      </c>
      <c r="C488" s="62" t="s">
        <v>60</v>
      </c>
      <c r="D488" s="62" t="s">
        <v>67</v>
      </c>
      <c r="E488" s="62" t="s">
        <v>382</v>
      </c>
      <c r="F488" s="63" t="s">
        <v>428</v>
      </c>
      <c r="G488" s="64" t="n">
        <v>-529181.242278694</v>
      </c>
      <c r="H488" s="62" t="s">
        <v>138</v>
      </c>
    </row>
    <row r="489" customFormat="false" ht="15" hidden="false" customHeight="false" outlineLevel="0" collapsed="false">
      <c r="A489" s="62" t="n">
        <v>0</v>
      </c>
      <c r="B489" s="62" t="s">
        <v>383</v>
      </c>
      <c r="C489" s="62" t="s">
        <v>60</v>
      </c>
      <c r="D489" s="62" t="s">
        <v>67</v>
      </c>
      <c r="E489" s="62" t="s">
        <v>382</v>
      </c>
      <c r="F489" s="63" t="s">
        <v>428</v>
      </c>
      <c r="G489" s="64" t="n">
        <v>-529181.242278694</v>
      </c>
      <c r="H489" s="62" t="s">
        <v>138</v>
      </c>
    </row>
    <row r="490" customFormat="false" ht="15" hidden="false" customHeight="false" outlineLevel="0" collapsed="false">
      <c r="A490" s="62" t="n">
        <v>0</v>
      </c>
      <c r="B490" s="62" t="s">
        <v>384</v>
      </c>
      <c r="C490" s="62" t="s">
        <v>60</v>
      </c>
      <c r="D490" s="62" t="s">
        <v>67</v>
      </c>
      <c r="E490" s="62" t="s">
        <v>382</v>
      </c>
      <c r="F490" s="63" t="s">
        <v>428</v>
      </c>
      <c r="G490" s="64" t="n">
        <v>-529181.242278694</v>
      </c>
      <c r="H490" s="62" t="s">
        <v>138</v>
      </c>
    </row>
    <row r="491" customFormat="false" ht="15" hidden="false" customHeight="false" outlineLevel="0" collapsed="false">
      <c r="A491" s="62" t="n">
        <v>0</v>
      </c>
      <c r="B491" s="62" t="s">
        <v>385</v>
      </c>
      <c r="C491" s="62" t="s">
        <v>60</v>
      </c>
      <c r="D491" s="62" t="s">
        <v>67</v>
      </c>
      <c r="E491" s="62" t="s">
        <v>382</v>
      </c>
      <c r="F491" s="63" t="s">
        <v>428</v>
      </c>
      <c r="G491" s="64" t="n">
        <v>-529181.242278694</v>
      </c>
      <c r="H491" s="62" t="s">
        <v>138</v>
      </c>
    </row>
    <row r="492" customFormat="false" ht="15" hidden="false" customHeight="false" outlineLevel="0" collapsed="false">
      <c r="A492" s="62" t="n">
        <v>0</v>
      </c>
      <c r="B492" s="62" t="s">
        <v>386</v>
      </c>
      <c r="C492" s="62" t="s">
        <v>60</v>
      </c>
      <c r="D492" s="62" t="s">
        <v>67</v>
      </c>
      <c r="E492" s="62" t="s">
        <v>382</v>
      </c>
      <c r="F492" s="63" t="s">
        <v>428</v>
      </c>
      <c r="G492" s="64" t="n">
        <v>-529181.242278694</v>
      </c>
      <c r="H492" s="62" t="s">
        <v>138</v>
      </c>
    </row>
    <row r="493" customFormat="false" ht="15" hidden="false" customHeight="false" outlineLevel="0" collapsed="false">
      <c r="A493" s="62" t="n">
        <v>0</v>
      </c>
      <c r="B493" s="62" t="s">
        <v>387</v>
      </c>
      <c r="C493" s="62" t="s">
        <v>60</v>
      </c>
      <c r="D493" s="62" t="s">
        <v>67</v>
      </c>
      <c r="E493" s="62" t="s">
        <v>382</v>
      </c>
      <c r="F493" s="63" t="s">
        <v>428</v>
      </c>
      <c r="G493" s="64" t="n">
        <v>-529181.242278694</v>
      </c>
      <c r="H493" s="62" t="s">
        <v>138</v>
      </c>
    </row>
    <row r="494" customFormat="false" ht="15" hidden="false" customHeight="false" outlineLevel="0" collapsed="false">
      <c r="A494" s="62" t="n">
        <v>0</v>
      </c>
      <c r="B494" s="62" t="s">
        <v>388</v>
      </c>
      <c r="C494" s="62" t="s">
        <v>60</v>
      </c>
      <c r="D494" s="62" t="s">
        <v>67</v>
      </c>
      <c r="E494" s="62" t="s">
        <v>382</v>
      </c>
      <c r="F494" s="63" t="s">
        <v>428</v>
      </c>
      <c r="G494" s="64" t="n">
        <v>-529181.242278694</v>
      </c>
      <c r="H494" s="62" t="s">
        <v>138</v>
      </c>
    </row>
    <row r="495" customFormat="false" ht="15" hidden="false" customHeight="false" outlineLevel="0" collapsed="false">
      <c r="A495" s="62" t="n">
        <v>0</v>
      </c>
      <c r="B495" s="62" t="s">
        <v>381</v>
      </c>
      <c r="C495" s="62" t="s">
        <v>60</v>
      </c>
      <c r="D495" s="62" t="s">
        <v>67</v>
      </c>
      <c r="E495" s="62" t="s">
        <v>382</v>
      </c>
      <c r="F495" s="63" t="s">
        <v>429</v>
      </c>
      <c r="G495" s="64" t="n">
        <v>-212954.003645122</v>
      </c>
      <c r="H495" s="62" t="s">
        <v>138</v>
      </c>
    </row>
    <row r="496" customFormat="false" ht="15" hidden="false" customHeight="false" outlineLevel="0" collapsed="false">
      <c r="A496" s="62" t="n">
        <v>0</v>
      </c>
      <c r="B496" s="62" t="s">
        <v>383</v>
      </c>
      <c r="C496" s="62" t="s">
        <v>60</v>
      </c>
      <c r="D496" s="62" t="s">
        <v>67</v>
      </c>
      <c r="E496" s="62" t="s">
        <v>382</v>
      </c>
      <c r="F496" s="63" t="s">
        <v>429</v>
      </c>
      <c r="G496" s="64" t="n">
        <v>-212954.003645122</v>
      </c>
      <c r="H496" s="62" t="s">
        <v>138</v>
      </c>
    </row>
    <row r="497" customFormat="false" ht="15" hidden="false" customHeight="false" outlineLevel="0" collapsed="false">
      <c r="A497" s="62" t="n">
        <v>0</v>
      </c>
      <c r="B497" s="62" t="s">
        <v>384</v>
      </c>
      <c r="C497" s="62" t="s">
        <v>60</v>
      </c>
      <c r="D497" s="62" t="s">
        <v>67</v>
      </c>
      <c r="E497" s="62" t="s">
        <v>382</v>
      </c>
      <c r="F497" s="63" t="s">
        <v>429</v>
      </c>
      <c r="G497" s="64" t="n">
        <v>-212954.003645122</v>
      </c>
      <c r="H497" s="62" t="s">
        <v>138</v>
      </c>
    </row>
    <row r="498" customFormat="false" ht="15" hidden="false" customHeight="false" outlineLevel="0" collapsed="false">
      <c r="A498" s="62" t="n">
        <v>0</v>
      </c>
      <c r="B498" s="62" t="s">
        <v>385</v>
      </c>
      <c r="C498" s="62" t="s">
        <v>60</v>
      </c>
      <c r="D498" s="62" t="s">
        <v>67</v>
      </c>
      <c r="E498" s="62" t="s">
        <v>382</v>
      </c>
      <c r="F498" s="63" t="s">
        <v>429</v>
      </c>
      <c r="G498" s="64" t="n">
        <v>-212954.003645122</v>
      </c>
      <c r="H498" s="62" t="s">
        <v>138</v>
      </c>
    </row>
    <row r="499" customFormat="false" ht="15" hidden="false" customHeight="false" outlineLevel="0" collapsed="false">
      <c r="A499" s="62" t="n">
        <v>0</v>
      </c>
      <c r="B499" s="62" t="s">
        <v>386</v>
      </c>
      <c r="C499" s="62" t="s">
        <v>60</v>
      </c>
      <c r="D499" s="62" t="s">
        <v>67</v>
      </c>
      <c r="E499" s="62" t="s">
        <v>382</v>
      </c>
      <c r="F499" s="63" t="s">
        <v>429</v>
      </c>
      <c r="G499" s="64" t="n">
        <v>-212954.003645122</v>
      </c>
      <c r="H499" s="62" t="s">
        <v>138</v>
      </c>
    </row>
    <row r="500" customFormat="false" ht="15" hidden="false" customHeight="false" outlineLevel="0" collapsed="false">
      <c r="A500" s="62" t="n">
        <v>0</v>
      </c>
      <c r="B500" s="62" t="s">
        <v>387</v>
      </c>
      <c r="C500" s="62" t="s">
        <v>60</v>
      </c>
      <c r="D500" s="62" t="s">
        <v>67</v>
      </c>
      <c r="E500" s="62" t="s">
        <v>382</v>
      </c>
      <c r="F500" s="63" t="s">
        <v>429</v>
      </c>
      <c r="G500" s="64" t="n">
        <v>-212954.003645122</v>
      </c>
      <c r="H500" s="62" t="s">
        <v>138</v>
      </c>
    </row>
    <row r="501" customFormat="false" ht="15" hidden="false" customHeight="false" outlineLevel="0" collapsed="false">
      <c r="A501" s="62" t="n">
        <v>0</v>
      </c>
      <c r="B501" s="62" t="s">
        <v>388</v>
      </c>
      <c r="C501" s="62" t="s">
        <v>60</v>
      </c>
      <c r="D501" s="62" t="s">
        <v>67</v>
      </c>
      <c r="E501" s="62" t="s">
        <v>382</v>
      </c>
      <c r="F501" s="63" t="s">
        <v>429</v>
      </c>
      <c r="G501" s="64" t="n">
        <v>-212954.003645122</v>
      </c>
      <c r="H501" s="62" t="s">
        <v>138</v>
      </c>
    </row>
    <row r="502" customFormat="false" ht="15" hidden="false" customHeight="false" outlineLevel="0" collapsed="false">
      <c r="A502" s="62" t="n">
        <v>0</v>
      </c>
      <c r="B502" s="62" t="s">
        <v>381</v>
      </c>
      <c r="C502" s="62" t="s">
        <v>60</v>
      </c>
      <c r="D502" s="62" t="s">
        <v>67</v>
      </c>
      <c r="E502" s="62" t="s">
        <v>382</v>
      </c>
      <c r="F502" s="63" t="s">
        <v>430</v>
      </c>
      <c r="G502" s="64" t="n">
        <v>3027738.78533572</v>
      </c>
      <c r="H502" s="62" t="s">
        <v>138</v>
      </c>
    </row>
    <row r="503" customFormat="false" ht="15" hidden="false" customHeight="false" outlineLevel="0" collapsed="false">
      <c r="A503" s="62" t="n">
        <v>0</v>
      </c>
      <c r="B503" s="62" t="s">
        <v>383</v>
      </c>
      <c r="C503" s="62" t="s">
        <v>60</v>
      </c>
      <c r="D503" s="62" t="s">
        <v>67</v>
      </c>
      <c r="E503" s="62" t="s">
        <v>382</v>
      </c>
      <c r="F503" s="63" t="s">
        <v>430</v>
      </c>
      <c r="G503" s="64" t="n">
        <v>3027738.78533572</v>
      </c>
      <c r="H503" s="62" t="s">
        <v>138</v>
      </c>
    </row>
    <row r="504" customFormat="false" ht="15" hidden="false" customHeight="false" outlineLevel="0" collapsed="false">
      <c r="A504" s="62" t="n">
        <v>0</v>
      </c>
      <c r="B504" s="62" t="s">
        <v>384</v>
      </c>
      <c r="C504" s="62" t="s">
        <v>60</v>
      </c>
      <c r="D504" s="62" t="s">
        <v>67</v>
      </c>
      <c r="E504" s="62" t="s">
        <v>382</v>
      </c>
      <c r="F504" s="63" t="s">
        <v>430</v>
      </c>
      <c r="G504" s="64" t="n">
        <v>3027738.78533572</v>
      </c>
      <c r="H504" s="62" t="s">
        <v>138</v>
      </c>
    </row>
    <row r="505" customFormat="false" ht="15" hidden="false" customHeight="false" outlineLevel="0" collapsed="false">
      <c r="A505" s="62" t="n">
        <v>0</v>
      </c>
      <c r="B505" s="62" t="s">
        <v>385</v>
      </c>
      <c r="C505" s="62" t="s">
        <v>60</v>
      </c>
      <c r="D505" s="62" t="s">
        <v>67</v>
      </c>
      <c r="E505" s="62" t="s">
        <v>382</v>
      </c>
      <c r="F505" s="63" t="s">
        <v>430</v>
      </c>
      <c r="G505" s="64" t="n">
        <v>3027738.78533572</v>
      </c>
      <c r="H505" s="62" t="s">
        <v>138</v>
      </c>
    </row>
    <row r="506" customFormat="false" ht="15" hidden="false" customHeight="false" outlineLevel="0" collapsed="false">
      <c r="A506" s="62" t="n">
        <v>0</v>
      </c>
      <c r="B506" s="62" t="s">
        <v>386</v>
      </c>
      <c r="C506" s="62" t="s">
        <v>60</v>
      </c>
      <c r="D506" s="62" t="s">
        <v>67</v>
      </c>
      <c r="E506" s="62" t="s">
        <v>382</v>
      </c>
      <c r="F506" s="63" t="s">
        <v>430</v>
      </c>
      <c r="G506" s="64" t="n">
        <v>3027738.78533572</v>
      </c>
      <c r="H506" s="62" t="s">
        <v>138</v>
      </c>
    </row>
    <row r="507" customFormat="false" ht="15" hidden="false" customHeight="false" outlineLevel="0" collapsed="false">
      <c r="A507" s="62" t="n">
        <v>0</v>
      </c>
      <c r="B507" s="62" t="s">
        <v>387</v>
      </c>
      <c r="C507" s="62" t="s">
        <v>60</v>
      </c>
      <c r="D507" s="62" t="s">
        <v>67</v>
      </c>
      <c r="E507" s="62" t="s">
        <v>382</v>
      </c>
      <c r="F507" s="63" t="s">
        <v>430</v>
      </c>
      <c r="G507" s="64" t="n">
        <v>3027738.78533572</v>
      </c>
      <c r="H507" s="62" t="s">
        <v>138</v>
      </c>
    </row>
    <row r="508" customFormat="false" ht="15" hidden="false" customHeight="false" outlineLevel="0" collapsed="false">
      <c r="A508" s="62" t="n">
        <v>0</v>
      </c>
      <c r="B508" s="62" t="s">
        <v>388</v>
      </c>
      <c r="C508" s="62" t="s">
        <v>60</v>
      </c>
      <c r="D508" s="62" t="s">
        <v>67</v>
      </c>
      <c r="E508" s="62" t="s">
        <v>382</v>
      </c>
      <c r="F508" s="63" t="s">
        <v>430</v>
      </c>
      <c r="G508" s="64" t="n">
        <v>3027738.78533572</v>
      </c>
      <c r="H508" s="62" t="s">
        <v>138</v>
      </c>
    </row>
    <row r="509" customFormat="false" ht="15" hidden="false" customHeight="false" outlineLevel="0" collapsed="false">
      <c r="A509" s="62" t="n">
        <v>0</v>
      </c>
      <c r="B509" s="62" t="s">
        <v>381</v>
      </c>
      <c r="C509" s="62" t="s">
        <v>60</v>
      </c>
      <c r="D509" s="62" t="s">
        <v>67</v>
      </c>
      <c r="E509" s="62" t="s">
        <v>382</v>
      </c>
      <c r="F509" s="63" t="s">
        <v>431</v>
      </c>
      <c r="G509" s="64" t="n">
        <v>0</v>
      </c>
      <c r="H509" s="62" t="s">
        <v>138</v>
      </c>
    </row>
    <row r="510" customFormat="false" ht="15" hidden="false" customHeight="false" outlineLevel="0" collapsed="false">
      <c r="A510" s="62" t="n">
        <v>0</v>
      </c>
      <c r="B510" s="62" t="s">
        <v>383</v>
      </c>
      <c r="C510" s="62" t="s">
        <v>60</v>
      </c>
      <c r="D510" s="62" t="s">
        <v>67</v>
      </c>
      <c r="E510" s="62" t="s">
        <v>382</v>
      </c>
      <c r="F510" s="63" t="s">
        <v>431</v>
      </c>
      <c r="G510" s="64" t="n">
        <v>0</v>
      </c>
      <c r="H510" s="62" t="s">
        <v>138</v>
      </c>
    </row>
    <row r="511" customFormat="false" ht="15" hidden="false" customHeight="false" outlineLevel="0" collapsed="false">
      <c r="A511" s="62" t="n">
        <v>0</v>
      </c>
      <c r="B511" s="62" t="s">
        <v>384</v>
      </c>
      <c r="C511" s="62" t="s">
        <v>60</v>
      </c>
      <c r="D511" s="62" t="s">
        <v>67</v>
      </c>
      <c r="E511" s="62" t="s">
        <v>382</v>
      </c>
      <c r="F511" s="63" t="s">
        <v>431</v>
      </c>
      <c r="G511" s="64" t="n">
        <v>0</v>
      </c>
      <c r="H511" s="62" t="s">
        <v>138</v>
      </c>
    </row>
    <row r="512" customFormat="false" ht="15" hidden="false" customHeight="false" outlineLevel="0" collapsed="false">
      <c r="A512" s="62" t="n">
        <v>0</v>
      </c>
      <c r="B512" s="62" t="s">
        <v>385</v>
      </c>
      <c r="C512" s="62" t="s">
        <v>60</v>
      </c>
      <c r="D512" s="62" t="s">
        <v>67</v>
      </c>
      <c r="E512" s="62" t="s">
        <v>382</v>
      </c>
      <c r="F512" s="63" t="s">
        <v>431</v>
      </c>
      <c r="G512" s="64" t="n">
        <v>0</v>
      </c>
      <c r="H512" s="62" t="s">
        <v>138</v>
      </c>
    </row>
    <row r="513" customFormat="false" ht="15" hidden="false" customHeight="false" outlineLevel="0" collapsed="false">
      <c r="A513" s="62" t="n">
        <v>0</v>
      </c>
      <c r="B513" s="62" t="s">
        <v>386</v>
      </c>
      <c r="C513" s="62" t="s">
        <v>60</v>
      </c>
      <c r="D513" s="62" t="s">
        <v>67</v>
      </c>
      <c r="E513" s="62" t="s">
        <v>382</v>
      </c>
      <c r="F513" s="63" t="s">
        <v>431</v>
      </c>
      <c r="G513" s="64" t="n">
        <v>0</v>
      </c>
      <c r="H513" s="62" t="s">
        <v>138</v>
      </c>
    </row>
    <row r="514" customFormat="false" ht="15" hidden="false" customHeight="false" outlineLevel="0" collapsed="false">
      <c r="A514" s="62" t="n">
        <v>0</v>
      </c>
      <c r="B514" s="62" t="s">
        <v>387</v>
      </c>
      <c r="C514" s="62" t="s">
        <v>60</v>
      </c>
      <c r="D514" s="62" t="s">
        <v>67</v>
      </c>
      <c r="E514" s="62" t="s">
        <v>382</v>
      </c>
      <c r="F514" s="63" t="s">
        <v>431</v>
      </c>
      <c r="G514" s="64" t="n">
        <v>0</v>
      </c>
      <c r="H514" s="62" t="s">
        <v>138</v>
      </c>
    </row>
    <row r="515" customFormat="false" ht="15" hidden="false" customHeight="false" outlineLevel="0" collapsed="false">
      <c r="A515" s="62" t="n">
        <v>0</v>
      </c>
      <c r="B515" s="62" t="s">
        <v>388</v>
      </c>
      <c r="C515" s="62" t="s">
        <v>60</v>
      </c>
      <c r="D515" s="62" t="s">
        <v>67</v>
      </c>
      <c r="E515" s="62" t="s">
        <v>382</v>
      </c>
      <c r="F515" s="63" t="s">
        <v>431</v>
      </c>
      <c r="G515" s="64" t="n">
        <v>0</v>
      </c>
      <c r="H515" s="62" t="s">
        <v>138</v>
      </c>
    </row>
    <row r="516" customFormat="false" ht="15" hidden="false" customHeight="false" outlineLevel="0" collapsed="false">
      <c r="A516" s="62" t="n">
        <v>0</v>
      </c>
      <c r="B516" s="62" t="s">
        <v>381</v>
      </c>
      <c r="C516" s="62" t="s">
        <v>60</v>
      </c>
      <c r="D516" s="62" t="s">
        <v>67</v>
      </c>
      <c r="E516" s="62" t="s">
        <v>382</v>
      </c>
      <c r="F516" s="63" t="s">
        <v>432</v>
      </c>
      <c r="G516" s="64" t="n">
        <v>3027738.78533572</v>
      </c>
      <c r="H516" s="62" t="s">
        <v>138</v>
      </c>
    </row>
    <row r="517" customFormat="false" ht="15" hidden="false" customHeight="false" outlineLevel="0" collapsed="false">
      <c r="A517" s="62" t="n">
        <v>0</v>
      </c>
      <c r="B517" s="62" t="s">
        <v>383</v>
      </c>
      <c r="C517" s="62" t="s">
        <v>60</v>
      </c>
      <c r="D517" s="62" t="s">
        <v>67</v>
      </c>
      <c r="E517" s="62" t="s">
        <v>382</v>
      </c>
      <c r="F517" s="63" t="s">
        <v>432</v>
      </c>
      <c r="G517" s="64" t="n">
        <v>3027738.78533572</v>
      </c>
      <c r="H517" s="62" t="s">
        <v>138</v>
      </c>
    </row>
    <row r="518" customFormat="false" ht="15" hidden="false" customHeight="false" outlineLevel="0" collapsed="false">
      <c r="A518" s="62" t="n">
        <v>0</v>
      </c>
      <c r="B518" s="62" t="s">
        <v>384</v>
      </c>
      <c r="C518" s="62" t="s">
        <v>60</v>
      </c>
      <c r="D518" s="62" t="s">
        <v>67</v>
      </c>
      <c r="E518" s="62" t="s">
        <v>382</v>
      </c>
      <c r="F518" s="63" t="s">
        <v>432</v>
      </c>
      <c r="G518" s="64" t="n">
        <v>3027738.78533572</v>
      </c>
      <c r="H518" s="62" t="s">
        <v>138</v>
      </c>
    </row>
    <row r="519" customFormat="false" ht="15" hidden="false" customHeight="false" outlineLevel="0" collapsed="false">
      <c r="A519" s="62" t="n">
        <v>0</v>
      </c>
      <c r="B519" s="62" t="s">
        <v>385</v>
      </c>
      <c r="C519" s="62" t="s">
        <v>60</v>
      </c>
      <c r="D519" s="62" t="s">
        <v>67</v>
      </c>
      <c r="E519" s="62" t="s">
        <v>382</v>
      </c>
      <c r="F519" s="63" t="s">
        <v>432</v>
      </c>
      <c r="G519" s="64" t="n">
        <v>3027738.78533572</v>
      </c>
      <c r="H519" s="62" t="s">
        <v>138</v>
      </c>
    </row>
    <row r="520" customFormat="false" ht="15" hidden="false" customHeight="false" outlineLevel="0" collapsed="false">
      <c r="A520" s="62" t="n">
        <v>0</v>
      </c>
      <c r="B520" s="62" t="s">
        <v>386</v>
      </c>
      <c r="C520" s="62" t="s">
        <v>60</v>
      </c>
      <c r="D520" s="62" t="s">
        <v>67</v>
      </c>
      <c r="E520" s="62" t="s">
        <v>382</v>
      </c>
      <c r="F520" s="63" t="s">
        <v>432</v>
      </c>
      <c r="G520" s="64" t="n">
        <v>3027738.78533572</v>
      </c>
      <c r="H520" s="62" t="s">
        <v>138</v>
      </c>
    </row>
    <row r="521" customFormat="false" ht="15" hidden="false" customHeight="false" outlineLevel="0" collapsed="false">
      <c r="A521" s="62" t="n">
        <v>0</v>
      </c>
      <c r="B521" s="62" t="s">
        <v>387</v>
      </c>
      <c r="C521" s="62" t="s">
        <v>60</v>
      </c>
      <c r="D521" s="62" t="s">
        <v>67</v>
      </c>
      <c r="E521" s="62" t="s">
        <v>382</v>
      </c>
      <c r="F521" s="63" t="s">
        <v>432</v>
      </c>
      <c r="G521" s="64" t="n">
        <v>3027738.78533572</v>
      </c>
      <c r="H521" s="62" t="s">
        <v>138</v>
      </c>
    </row>
    <row r="522" customFormat="false" ht="15" hidden="false" customHeight="false" outlineLevel="0" collapsed="false">
      <c r="A522" s="62" t="n">
        <v>0</v>
      </c>
      <c r="B522" s="62" t="s">
        <v>388</v>
      </c>
      <c r="C522" s="62" t="s">
        <v>60</v>
      </c>
      <c r="D522" s="62" t="s">
        <v>67</v>
      </c>
      <c r="E522" s="62" t="s">
        <v>382</v>
      </c>
      <c r="F522" s="63" t="s">
        <v>432</v>
      </c>
      <c r="G522" s="64" t="n">
        <v>3027738.78533572</v>
      </c>
      <c r="H522" s="62" t="s">
        <v>138</v>
      </c>
    </row>
    <row r="523" customFormat="false" ht="15" hidden="false" customHeight="false" outlineLevel="0" collapsed="false">
      <c r="A523" s="62" t="n">
        <v>0</v>
      </c>
      <c r="B523" s="62" t="s">
        <v>381</v>
      </c>
      <c r="C523" s="62" t="s">
        <v>60</v>
      </c>
      <c r="D523" s="62" t="s">
        <v>67</v>
      </c>
      <c r="E523" s="62" t="s">
        <v>382</v>
      </c>
      <c r="F523" s="63" t="s">
        <v>433</v>
      </c>
      <c r="G523" s="64" t="n">
        <v>0</v>
      </c>
      <c r="H523" s="62" t="s">
        <v>138</v>
      </c>
    </row>
    <row r="524" customFormat="false" ht="15" hidden="false" customHeight="false" outlineLevel="0" collapsed="false">
      <c r="A524" s="62" t="n">
        <v>0</v>
      </c>
      <c r="B524" s="62" t="s">
        <v>383</v>
      </c>
      <c r="C524" s="62" t="s">
        <v>60</v>
      </c>
      <c r="D524" s="62" t="s">
        <v>67</v>
      </c>
      <c r="E524" s="62" t="s">
        <v>382</v>
      </c>
      <c r="F524" s="63" t="s">
        <v>433</v>
      </c>
      <c r="G524" s="64" t="n">
        <v>0</v>
      </c>
      <c r="H524" s="62" t="s">
        <v>138</v>
      </c>
    </row>
    <row r="525" customFormat="false" ht="15" hidden="false" customHeight="false" outlineLevel="0" collapsed="false">
      <c r="A525" s="62" t="n">
        <v>0</v>
      </c>
      <c r="B525" s="62" t="s">
        <v>384</v>
      </c>
      <c r="C525" s="62" t="s">
        <v>60</v>
      </c>
      <c r="D525" s="62" t="s">
        <v>67</v>
      </c>
      <c r="E525" s="62" t="s">
        <v>382</v>
      </c>
      <c r="F525" s="63" t="s">
        <v>433</v>
      </c>
      <c r="G525" s="64" t="n">
        <v>0</v>
      </c>
      <c r="H525" s="62" t="s">
        <v>138</v>
      </c>
    </row>
    <row r="526" customFormat="false" ht="15" hidden="false" customHeight="false" outlineLevel="0" collapsed="false">
      <c r="A526" s="62" t="n">
        <v>0</v>
      </c>
      <c r="B526" s="62" t="s">
        <v>385</v>
      </c>
      <c r="C526" s="62" t="s">
        <v>60</v>
      </c>
      <c r="D526" s="62" t="s">
        <v>67</v>
      </c>
      <c r="E526" s="62" t="s">
        <v>382</v>
      </c>
      <c r="F526" s="63" t="s">
        <v>433</v>
      </c>
      <c r="G526" s="64" t="n">
        <v>0</v>
      </c>
      <c r="H526" s="62" t="s">
        <v>138</v>
      </c>
    </row>
    <row r="527" customFormat="false" ht="15" hidden="false" customHeight="false" outlineLevel="0" collapsed="false">
      <c r="A527" s="62" t="n">
        <v>0</v>
      </c>
      <c r="B527" s="62" t="s">
        <v>386</v>
      </c>
      <c r="C527" s="62" t="s">
        <v>60</v>
      </c>
      <c r="D527" s="62" t="s">
        <v>67</v>
      </c>
      <c r="E527" s="62" t="s">
        <v>382</v>
      </c>
      <c r="F527" s="63" t="s">
        <v>433</v>
      </c>
      <c r="G527" s="64" t="n">
        <v>0</v>
      </c>
      <c r="H527" s="62" t="s">
        <v>138</v>
      </c>
    </row>
    <row r="528" customFormat="false" ht="15" hidden="false" customHeight="false" outlineLevel="0" collapsed="false">
      <c r="A528" s="62" t="n">
        <v>0</v>
      </c>
      <c r="B528" s="62" t="s">
        <v>387</v>
      </c>
      <c r="C528" s="62" t="s">
        <v>60</v>
      </c>
      <c r="D528" s="62" t="s">
        <v>67</v>
      </c>
      <c r="E528" s="62" t="s">
        <v>382</v>
      </c>
      <c r="F528" s="63" t="s">
        <v>433</v>
      </c>
      <c r="G528" s="64" t="n">
        <v>0</v>
      </c>
      <c r="H528" s="62" t="s">
        <v>138</v>
      </c>
    </row>
    <row r="529" customFormat="false" ht="15" hidden="false" customHeight="false" outlineLevel="0" collapsed="false">
      <c r="A529" s="62" t="n">
        <v>0</v>
      </c>
      <c r="B529" s="62" t="s">
        <v>388</v>
      </c>
      <c r="C529" s="62" t="s">
        <v>60</v>
      </c>
      <c r="D529" s="62" t="s">
        <v>67</v>
      </c>
      <c r="E529" s="62" t="s">
        <v>382</v>
      </c>
      <c r="F529" s="63" t="s">
        <v>433</v>
      </c>
      <c r="G529" s="64" t="n">
        <v>0</v>
      </c>
      <c r="H529" s="62" t="s">
        <v>138</v>
      </c>
    </row>
    <row r="530" customFormat="false" ht="15" hidden="false" customHeight="false" outlineLevel="0" collapsed="false">
      <c r="A530" s="62" t="n">
        <v>0</v>
      </c>
      <c r="B530" s="62" t="s">
        <v>381</v>
      </c>
      <c r="C530" s="62" t="s">
        <v>60</v>
      </c>
      <c r="D530" s="62" t="s">
        <v>67</v>
      </c>
      <c r="E530" s="62" t="s">
        <v>382</v>
      </c>
      <c r="F530" s="63" t="s">
        <v>434</v>
      </c>
      <c r="G530" s="64" t="n">
        <v>0</v>
      </c>
      <c r="H530" s="62" t="s">
        <v>138</v>
      </c>
    </row>
    <row r="531" customFormat="false" ht="15" hidden="false" customHeight="false" outlineLevel="0" collapsed="false">
      <c r="A531" s="62" t="n">
        <v>0</v>
      </c>
      <c r="B531" s="62" t="s">
        <v>383</v>
      </c>
      <c r="C531" s="62" t="s">
        <v>60</v>
      </c>
      <c r="D531" s="62" t="s">
        <v>67</v>
      </c>
      <c r="E531" s="62" t="s">
        <v>382</v>
      </c>
      <c r="F531" s="63" t="s">
        <v>434</v>
      </c>
      <c r="G531" s="64" t="n">
        <v>0</v>
      </c>
      <c r="H531" s="62" t="s">
        <v>138</v>
      </c>
    </row>
    <row r="532" customFormat="false" ht="15" hidden="false" customHeight="false" outlineLevel="0" collapsed="false">
      <c r="A532" s="62" t="n">
        <v>0</v>
      </c>
      <c r="B532" s="62" t="s">
        <v>384</v>
      </c>
      <c r="C532" s="62" t="s">
        <v>60</v>
      </c>
      <c r="D532" s="62" t="s">
        <v>67</v>
      </c>
      <c r="E532" s="62" t="s">
        <v>382</v>
      </c>
      <c r="F532" s="63" t="s">
        <v>434</v>
      </c>
      <c r="G532" s="64" t="n">
        <v>0</v>
      </c>
      <c r="H532" s="62" t="s">
        <v>138</v>
      </c>
    </row>
    <row r="533" customFormat="false" ht="15" hidden="false" customHeight="false" outlineLevel="0" collapsed="false">
      <c r="A533" s="62" t="n">
        <v>0</v>
      </c>
      <c r="B533" s="62" t="s">
        <v>385</v>
      </c>
      <c r="C533" s="62" t="s">
        <v>60</v>
      </c>
      <c r="D533" s="62" t="s">
        <v>67</v>
      </c>
      <c r="E533" s="62" t="s">
        <v>382</v>
      </c>
      <c r="F533" s="63" t="s">
        <v>434</v>
      </c>
      <c r="G533" s="64" t="n">
        <v>0</v>
      </c>
      <c r="H533" s="62" t="s">
        <v>138</v>
      </c>
    </row>
    <row r="534" customFormat="false" ht="15" hidden="false" customHeight="false" outlineLevel="0" collapsed="false">
      <c r="A534" s="62" t="n">
        <v>0</v>
      </c>
      <c r="B534" s="62" t="s">
        <v>386</v>
      </c>
      <c r="C534" s="62" t="s">
        <v>60</v>
      </c>
      <c r="D534" s="62" t="s">
        <v>67</v>
      </c>
      <c r="E534" s="62" t="s">
        <v>382</v>
      </c>
      <c r="F534" s="63" t="s">
        <v>434</v>
      </c>
      <c r="G534" s="64" t="n">
        <v>0</v>
      </c>
      <c r="H534" s="62" t="s">
        <v>138</v>
      </c>
    </row>
    <row r="535" customFormat="false" ht="15" hidden="false" customHeight="false" outlineLevel="0" collapsed="false">
      <c r="A535" s="62" t="n">
        <v>0</v>
      </c>
      <c r="B535" s="62" t="s">
        <v>387</v>
      </c>
      <c r="C535" s="62" t="s">
        <v>60</v>
      </c>
      <c r="D535" s="62" t="s">
        <v>67</v>
      </c>
      <c r="E535" s="62" t="s">
        <v>382</v>
      </c>
      <c r="F535" s="63" t="s">
        <v>434</v>
      </c>
      <c r="G535" s="64" t="n">
        <v>0</v>
      </c>
      <c r="H535" s="62" t="s">
        <v>138</v>
      </c>
    </row>
    <row r="536" customFormat="false" ht="15" hidden="false" customHeight="false" outlineLevel="0" collapsed="false">
      <c r="A536" s="62" t="n">
        <v>0</v>
      </c>
      <c r="B536" s="62" t="s">
        <v>388</v>
      </c>
      <c r="C536" s="62" t="s">
        <v>60</v>
      </c>
      <c r="D536" s="62" t="s">
        <v>67</v>
      </c>
      <c r="E536" s="62" t="s">
        <v>382</v>
      </c>
      <c r="F536" s="63" t="s">
        <v>434</v>
      </c>
      <c r="G536" s="64" t="n">
        <v>0</v>
      </c>
      <c r="H536" s="62" t="s">
        <v>138</v>
      </c>
    </row>
    <row r="537" customFormat="false" ht="15" hidden="false" customHeight="false" outlineLevel="0" collapsed="false">
      <c r="A537" s="62" t="n">
        <v>0</v>
      </c>
      <c r="B537" s="62" t="s">
        <v>381</v>
      </c>
      <c r="C537" s="62" t="s">
        <v>60</v>
      </c>
      <c r="D537" s="62" t="s">
        <v>67</v>
      </c>
      <c r="E537" s="62" t="s">
        <v>382</v>
      </c>
      <c r="F537" s="63" t="s">
        <v>435</v>
      </c>
      <c r="G537" s="64" t="n">
        <v>0</v>
      </c>
      <c r="H537" s="62" t="s">
        <v>138</v>
      </c>
    </row>
    <row r="538" customFormat="false" ht="15" hidden="false" customHeight="false" outlineLevel="0" collapsed="false">
      <c r="A538" s="62" t="n">
        <v>0</v>
      </c>
      <c r="B538" s="62" t="s">
        <v>383</v>
      </c>
      <c r="C538" s="62" t="s">
        <v>60</v>
      </c>
      <c r="D538" s="62" t="s">
        <v>67</v>
      </c>
      <c r="E538" s="62" t="s">
        <v>382</v>
      </c>
      <c r="F538" s="63" t="s">
        <v>435</v>
      </c>
      <c r="G538" s="64" t="n">
        <v>0</v>
      </c>
      <c r="H538" s="62" t="s">
        <v>138</v>
      </c>
    </row>
    <row r="539" customFormat="false" ht="15" hidden="false" customHeight="false" outlineLevel="0" collapsed="false">
      <c r="A539" s="62" t="n">
        <v>0</v>
      </c>
      <c r="B539" s="62" t="s">
        <v>384</v>
      </c>
      <c r="C539" s="62" t="s">
        <v>60</v>
      </c>
      <c r="D539" s="62" t="s">
        <v>67</v>
      </c>
      <c r="E539" s="62" t="s">
        <v>382</v>
      </c>
      <c r="F539" s="63" t="s">
        <v>435</v>
      </c>
      <c r="G539" s="64" t="n">
        <v>0</v>
      </c>
      <c r="H539" s="62" t="s">
        <v>138</v>
      </c>
    </row>
    <row r="540" customFormat="false" ht="15" hidden="false" customHeight="false" outlineLevel="0" collapsed="false">
      <c r="A540" s="62" t="n">
        <v>0</v>
      </c>
      <c r="B540" s="62" t="s">
        <v>385</v>
      </c>
      <c r="C540" s="62" t="s">
        <v>60</v>
      </c>
      <c r="D540" s="62" t="s">
        <v>67</v>
      </c>
      <c r="E540" s="62" t="s">
        <v>382</v>
      </c>
      <c r="F540" s="63" t="s">
        <v>435</v>
      </c>
      <c r="G540" s="64" t="n">
        <v>0</v>
      </c>
      <c r="H540" s="62" t="s">
        <v>138</v>
      </c>
    </row>
    <row r="541" customFormat="false" ht="15" hidden="false" customHeight="false" outlineLevel="0" collapsed="false">
      <c r="A541" s="62" t="n">
        <v>0</v>
      </c>
      <c r="B541" s="62" t="s">
        <v>386</v>
      </c>
      <c r="C541" s="62" t="s">
        <v>60</v>
      </c>
      <c r="D541" s="62" t="s">
        <v>67</v>
      </c>
      <c r="E541" s="62" t="s">
        <v>382</v>
      </c>
      <c r="F541" s="63" t="s">
        <v>435</v>
      </c>
      <c r="G541" s="64" t="n">
        <v>0</v>
      </c>
      <c r="H541" s="62" t="s">
        <v>138</v>
      </c>
    </row>
    <row r="542" customFormat="false" ht="15" hidden="false" customHeight="false" outlineLevel="0" collapsed="false">
      <c r="A542" s="62" t="n">
        <v>0</v>
      </c>
      <c r="B542" s="62" t="s">
        <v>387</v>
      </c>
      <c r="C542" s="62" t="s">
        <v>60</v>
      </c>
      <c r="D542" s="62" t="s">
        <v>67</v>
      </c>
      <c r="E542" s="62" t="s">
        <v>382</v>
      </c>
      <c r="F542" s="63" t="s">
        <v>435</v>
      </c>
      <c r="G542" s="64" t="n">
        <v>0</v>
      </c>
      <c r="H542" s="62" t="s">
        <v>138</v>
      </c>
    </row>
    <row r="543" customFormat="false" ht="15" hidden="false" customHeight="false" outlineLevel="0" collapsed="false">
      <c r="A543" s="62" t="n">
        <v>0</v>
      </c>
      <c r="B543" s="62" t="s">
        <v>388</v>
      </c>
      <c r="C543" s="62" t="s">
        <v>60</v>
      </c>
      <c r="D543" s="62" t="s">
        <v>67</v>
      </c>
      <c r="E543" s="62" t="s">
        <v>382</v>
      </c>
      <c r="F543" s="63" t="s">
        <v>435</v>
      </c>
      <c r="G543" s="64" t="n">
        <v>0</v>
      </c>
      <c r="H543" s="62" t="s">
        <v>138</v>
      </c>
    </row>
    <row r="544" customFormat="false" ht="15" hidden="false" customHeight="false" outlineLevel="0" collapsed="false">
      <c r="A544" s="62" t="n">
        <v>0</v>
      </c>
      <c r="B544" s="62" t="s">
        <v>381</v>
      </c>
      <c r="C544" s="62" t="s">
        <v>60</v>
      </c>
      <c r="D544" s="62" t="s">
        <v>67</v>
      </c>
      <c r="E544" s="62" t="s">
        <v>382</v>
      </c>
      <c r="F544" s="63" t="s">
        <v>436</v>
      </c>
      <c r="G544" s="64" t="n">
        <v>0</v>
      </c>
      <c r="H544" s="62" t="s">
        <v>138</v>
      </c>
    </row>
    <row r="545" customFormat="false" ht="15" hidden="false" customHeight="false" outlineLevel="0" collapsed="false">
      <c r="A545" s="62" t="n">
        <v>0</v>
      </c>
      <c r="B545" s="62" t="s">
        <v>383</v>
      </c>
      <c r="C545" s="62" t="s">
        <v>60</v>
      </c>
      <c r="D545" s="62" t="s">
        <v>67</v>
      </c>
      <c r="E545" s="62" t="s">
        <v>382</v>
      </c>
      <c r="F545" s="63" t="s">
        <v>436</v>
      </c>
      <c r="G545" s="64" t="n">
        <v>0</v>
      </c>
      <c r="H545" s="62" t="s">
        <v>138</v>
      </c>
    </row>
    <row r="546" customFormat="false" ht="15" hidden="false" customHeight="false" outlineLevel="0" collapsed="false">
      <c r="A546" s="62" t="n">
        <v>0</v>
      </c>
      <c r="B546" s="62" t="s">
        <v>384</v>
      </c>
      <c r="C546" s="62" t="s">
        <v>60</v>
      </c>
      <c r="D546" s="62" t="s">
        <v>67</v>
      </c>
      <c r="E546" s="62" t="s">
        <v>382</v>
      </c>
      <c r="F546" s="63" t="s">
        <v>436</v>
      </c>
      <c r="G546" s="64" t="n">
        <v>0</v>
      </c>
      <c r="H546" s="62" t="s">
        <v>138</v>
      </c>
    </row>
    <row r="547" customFormat="false" ht="15" hidden="false" customHeight="false" outlineLevel="0" collapsed="false">
      <c r="A547" s="62" t="n">
        <v>0</v>
      </c>
      <c r="B547" s="62" t="s">
        <v>385</v>
      </c>
      <c r="C547" s="62" t="s">
        <v>60</v>
      </c>
      <c r="D547" s="62" t="s">
        <v>67</v>
      </c>
      <c r="E547" s="62" t="s">
        <v>382</v>
      </c>
      <c r="F547" s="63" t="s">
        <v>436</v>
      </c>
      <c r="G547" s="64" t="n">
        <v>0</v>
      </c>
      <c r="H547" s="62" t="s">
        <v>138</v>
      </c>
    </row>
    <row r="548" customFormat="false" ht="15" hidden="false" customHeight="false" outlineLevel="0" collapsed="false">
      <c r="A548" s="62" t="n">
        <v>0</v>
      </c>
      <c r="B548" s="62" t="s">
        <v>386</v>
      </c>
      <c r="C548" s="62" t="s">
        <v>60</v>
      </c>
      <c r="D548" s="62" t="s">
        <v>67</v>
      </c>
      <c r="E548" s="62" t="s">
        <v>382</v>
      </c>
      <c r="F548" s="63" t="s">
        <v>436</v>
      </c>
      <c r="G548" s="64" t="n">
        <v>0</v>
      </c>
      <c r="H548" s="62" t="s">
        <v>138</v>
      </c>
    </row>
    <row r="549" customFormat="false" ht="15" hidden="false" customHeight="false" outlineLevel="0" collapsed="false">
      <c r="A549" s="62" t="n">
        <v>0</v>
      </c>
      <c r="B549" s="62" t="s">
        <v>387</v>
      </c>
      <c r="C549" s="62" t="s">
        <v>60</v>
      </c>
      <c r="D549" s="62" t="s">
        <v>67</v>
      </c>
      <c r="E549" s="62" t="s">
        <v>382</v>
      </c>
      <c r="F549" s="63" t="s">
        <v>436</v>
      </c>
      <c r="G549" s="64" t="n">
        <v>0</v>
      </c>
      <c r="H549" s="62" t="s">
        <v>138</v>
      </c>
    </row>
    <row r="550" customFormat="false" ht="15" hidden="false" customHeight="false" outlineLevel="0" collapsed="false">
      <c r="A550" s="62" t="n">
        <v>0</v>
      </c>
      <c r="B550" s="62" t="s">
        <v>388</v>
      </c>
      <c r="C550" s="62" t="s">
        <v>60</v>
      </c>
      <c r="D550" s="62" t="s">
        <v>67</v>
      </c>
      <c r="E550" s="62" t="s">
        <v>382</v>
      </c>
      <c r="F550" s="63" t="s">
        <v>436</v>
      </c>
      <c r="G550" s="64" t="n">
        <v>0</v>
      </c>
      <c r="H550" s="62" t="s">
        <v>138</v>
      </c>
    </row>
    <row r="551" customFormat="false" ht="15" hidden="false" customHeight="false" outlineLevel="0" collapsed="false">
      <c r="A551" s="62" t="n">
        <v>0</v>
      </c>
      <c r="B551" s="62" t="s">
        <v>381</v>
      </c>
      <c r="C551" s="62" t="s">
        <v>60</v>
      </c>
      <c r="D551" s="62" t="s">
        <v>67</v>
      </c>
      <c r="E551" s="62" t="s">
        <v>382</v>
      </c>
      <c r="F551" s="63" t="s">
        <v>437</v>
      </c>
      <c r="G551" s="64" t="n">
        <v>0</v>
      </c>
      <c r="H551" s="62" t="s">
        <v>138</v>
      </c>
    </row>
    <row r="552" customFormat="false" ht="15" hidden="false" customHeight="false" outlineLevel="0" collapsed="false">
      <c r="A552" s="62" t="n">
        <v>0</v>
      </c>
      <c r="B552" s="62" t="s">
        <v>383</v>
      </c>
      <c r="C552" s="62" t="s">
        <v>60</v>
      </c>
      <c r="D552" s="62" t="s">
        <v>67</v>
      </c>
      <c r="E552" s="62" t="s">
        <v>382</v>
      </c>
      <c r="F552" s="63" t="s">
        <v>437</v>
      </c>
      <c r="G552" s="64" t="n">
        <v>0</v>
      </c>
      <c r="H552" s="62" t="s">
        <v>138</v>
      </c>
    </row>
    <row r="553" customFormat="false" ht="15" hidden="false" customHeight="false" outlineLevel="0" collapsed="false">
      <c r="A553" s="62" t="n">
        <v>0</v>
      </c>
      <c r="B553" s="62" t="s">
        <v>384</v>
      </c>
      <c r="C553" s="62" t="s">
        <v>60</v>
      </c>
      <c r="D553" s="62" t="s">
        <v>67</v>
      </c>
      <c r="E553" s="62" t="s">
        <v>382</v>
      </c>
      <c r="F553" s="63" t="s">
        <v>437</v>
      </c>
      <c r="G553" s="64" t="n">
        <v>0</v>
      </c>
      <c r="H553" s="62" t="s">
        <v>138</v>
      </c>
    </row>
    <row r="554" customFormat="false" ht="15" hidden="false" customHeight="false" outlineLevel="0" collapsed="false">
      <c r="A554" s="62" t="n">
        <v>0</v>
      </c>
      <c r="B554" s="62" t="s">
        <v>385</v>
      </c>
      <c r="C554" s="62" t="s">
        <v>60</v>
      </c>
      <c r="D554" s="62" t="s">
        <v>67</v>
      </c>
      <c r="E554" s="62" t="s">
        <v>382</v>
      </c>
      <c r="F554" s="63" t="s">
        <v>437</v>
      </c>
      <c r="G554" s="64" t="n">
        <v>0</v>
      </c>
      <c r="H554" s="62" t="s">
        <v>138</v>
      </c>
    </row>
    <row r="555" customFormat="false" ht="15" hidden="false" customHeight="false" outlineLevel="0" collapsed="false">
      <c r="A555" s="62" t="n">
        <v>0</v>
      </c>
      <c r="B555" s="62" t="s">
        <v>386</v>
      </c>
      <c r="C555" s="62" t="s">
        <v>60</v>
      </c>
      <c r="D555" s="62" t="s">
        <v>67</v>
      </c>
      <c r="E555" s="62" t="s">
        <v>382</v>
      </c>
      <c r="F555" s="63" t="s">
        <v>437</v>
      </c>
      <c r="G555" s="64" t="n">
        <v>0</v>
      </c>
      <c r="H555" s="62" t="s">
        <v>138</v>
      </c>
    </row>
    <row r="556" customFormat="false" ht="15" hidden="false" customHeight="false" outlineLevel="0" collapsed="false">
      <c r="A556" s="62" t="n">
        <v>0</v>
      </c>
      <c r="B556" s="62" t="s">
        <v>387</v>
      </c>
      <c r="C556" s="62" t="s">
        <v>60</v>
      </c>
      <c r="D556" s="62" t="s">
        <v>67</v>
      </c>
      <c r="E556" s="62" t="s">
        <v>382</v>
      </c>
      <c r="F556" s="63" t="s">
        <v>437</v>
      </c>
      <c r="G556" s="64" t="n">
        <v>0</v>
      </c>
      <c r="H556" s="62" t="s">
        <v>138</v>
      </c>
    </row>
    <row r="557" customFormat="false" ht="15" hidden="false" customHeight="false" outlineLevel="0" collapsed="false">
      <c r="A557" s="62" t="n">
        <v>0</v>
      </c>
      <c r="B557" s="62" t="s">
        <v>388</v>
      </c>
      <c r="C557" s="62" t="s">
        <v>60</v>
      </c>
      <c r="D557" s="62" t="s">
        <v>67</v>
      </c>
      <c r="E557" s="62" t="s">
        <v>382</v>
      </c>
      <c r="F557" s="63" t="s">
        <v>437</v>
      </c>
      <c r="G557" s="64" t="n">
        <v>0</v>
      </c>
      <c r="H557" s="62" t="s">
        <v>138</v>
      </c>
    </row>
    <row r="558" customFormat="false" ht="15" hidden="false" customHeight="false" outlineLevel="0" collapsed="false">
      <c r="A558" s="62" t="n">
        <v>0</v>
      </c>
      <c r="B558" s="62" t="s">
        <v>381</v>
      </c>
      <c r="C558" s="62" t="s">
        <v>60</v>
      </c>
      <c r="D558" s="62" t="s">
        <v>67</v>
      </c>
      <c r="E558" s="62" t="s">
        <v>382</v>
      </c>
      <c r="F558" s="63" t="s">
        <v>438</v>
      </c>
      <c r="G558" s="64" t="n">
        <v>0</v>
      </c>
      <c r="H558" s="62" t="s">
        <v>138</v>
      </c>
    </row>
    <row r="559" customFormat="false" ht="15" hidden="false" customHeight="false" outlineLevel="0" collapsed="false">
      <c r="A559" s="62" t="n">
        <v>0</v>
      </c>
      <c r="B559" s="62" t="s">
        <v>383</v>
      </c>
      <c r="C559" s="62" t="s">
        <v>60</v>
      </c>
      <c r="D559" s="62" t="s">
        <v>67</v>
      </c>
      <c r="E559" s="62" t="s">
        <v>382</v>
      </c>
      <c r="F559" s="63" t="s">
        <v>438</v>
      </c>
      <c r="G559" s="64" t="n">
        <v>0</v>
      </c>
      <c r="H559" s="62" t="s">
        <v>138</v>
      </c>
    </row>
    <row r="560" customFormat="false" ht="15" hidden="false" customHeight="false" outlineLevel="0" collapsed="false">
      <c r="A560" s="62" t="n">
        <v>0</v>
      </c>
      <c r="B560" s="62" t="s">
        <v>384</v>
      </c>
      <c r="C560" s="62" t="s">
        <v>60</v>
      </c>
      <c r="D560" s="62" t="s">
        <v>67</v>
      </c>
      <c r="E560" s="62" t="s">
        <v>382</v>
      </c>
      <c r="F560" s="63" t="s">
        <v>438</v>
      </c>
      <c r="G560" s="64" t="n">
        <v>0</v>
      </c>
      <c r="H560" s="62" t="s">
        <v>138</v>
      </c>
    </row>
    <row r="561" customFormat="false" ht="15" hidden="false" customHeight="false" outlineLevel="0" collapsed="false">
      <c r="A561" s="62" t="n">
        <v>0</v>
      </c>
      <c r="B561" s="62" t="s">
        <v>385</v>
      </c>
      <c r="C561" s="62" t="s">
        <v>60</v>
      </c>
      <c r="D561" s="62" t="s">
        <v>67</v>
      </c>
      <c r="E561" s="62" t="s">
        <v>382</v>
      </c>
      <c r="F561" s="63" t="s">
        <v>438</v>
      </c>
      <c r="G561" s="64" t="n">
        <v>0</v>
      </c>
      <c r="H561" s="62" t="s">
        <v>138</v>
      </c>
    </row>
    <row r="562" customFormat="false" ht="15" hidden="false" customHeight="false" outlineLevel="0" collapsed="false">
      <c r="A562" s="62" t="n">
        <v>0</v>
      </c>
      <c r="B562" s="62" t="s">
        <v>386</v>
      </c>
      <c r="C562" s="62" t="s">
        <v>60</v>
      </c>
      <c r="D562" s="62" t="s">
        <v>67</v>
      </c>
      <c r="E562" s="62" t="s">
        <v>382</v>
      </c>
      <c r="F562" s="63" t="s">
        <v>438</v>
      </c>
      <c r="G562" s="64" t="n">
        <v>0</v>
      </c>
      <c r="H562" s="62" t="s">
        <v>138</v>
      </c>
    </row>
    <row r="563" customFormat="false" ht="15" hidden="false" customHeight="false" outlineLevel="0" collapsed="false">
      <c r="A563" s="62" t="n">
        <v>0</v>
      </c>
      <c r="B563" s="62" t="s">
        <v>387</v>
      </c>
      <c r="C563" s="62" t="s">
        <v>60</v>
      </c>
      <c r="D563" s="62" t="s">
        <v>67</v>
      </c>
      <c r="E563" s="62" t="s">
        <v>382</v>
      </c>
      <c r="F563" s="63" t="s">
        <v>438</v>
      </c>
      <c r="G563" s="64" t="n">
        <v>0</v>
      </c>
      <c r="H563" s="62" t="s">
        <v>138</v>
      </c>
    </row>
    <row r="564" customFormat="false" ht="15" hidden="false" customHeight="false" outlineLevel="0" collapsed="false">
      <c r="A564" s="62" t="n">
        <v>0</v>
      </c>
      <c r="B564" s="62" t="s">
        <v>388</v>
      </c>
      <c r="C564" s="62" t="s">
        <v>60</v>
      </c>
      <c r="D564" s="62" t="s">
        <v>67</v>
      </c>
      <c r="E564" s="62" t="s">
        <v>382</v>
      </c>
      <c r="F564" s="63" t="s">
        <v>438</v>
      </c>
      <c r="G564" s="64" t="n">
        <v>0</v>
      </c>
      <c r="H564" s="62" t="s">
        <v>138</v>
      </c>
    </row>
    <row r="565" customFormat="false" ht="15" hidden="false" customHeight="false" outlineLevel="0" collapsed="false">
      <c r="A565" s="62" t="n">
        <v>0</v>
      </c>
      <c r="B565" s="62" t="s">
        <v>381</v>
      </c>
      <c r="C565" s="62" t="s">
        <v>60</v>
      </c>
      <c r="D565" s="62" t="s">
        <v>67</v>
      </c>
      <c r="E565" s="62" t="s">
        <v>382</v>
      </c>
      <c r="F565" s="63" t="s">
        <v>439</v>
      </c>
      <c r="G565" s="64" t="n">
        <v>0</v>
      </c>
      <c r="H565" s="62" t="s">
        <v>138</v>
      </c>
    </row>
    <row r="566" customFormat="false" ht="15" hidden="false" customHeight="false" outlineLevel="0" collapsed="false">
      <c r="A566" s="62" t="n">
        <v>0</v>
      </c>
      <c r="B566" s="62" t="s">
        <v>383</v>
      </c>
      <c r="C566" s="62" t="s">
        <v>60</v>
      </c>
      <c r="D566" s="62" t="s">
        <v>67</v>
      </c>
      <c r="E566" s="62" t="s">
        <v>382</v>
      </c>
      <c r="F566" s="63" t="s">
        <v>439</v>
      </c>
      <c r="G566" s="64" t="n">
        <v>0</v>
      </c>
      <c r="H566" s="62" t="s">
        <v>138</v>
      </c>
    </row>
    <row r="567" customFormat="false" ht="15" hidden="false" customHeight="false" outlineLevel="0" collapsed="false">
      <c r="A567" s="62" t="n">
        <v>0</v>
      </c>
      <c r="B567" s="62" t="s">
        <v>384</v>
      </c>
      <c r="C567" s="62" t="s">
        <v>60</v>
      </c>
      <c r="D567" s="62" t="s">
        <v>67</v>
      </c>
      <c r="E567" s="62" t="s">
        <v>382</v>
      </c>
      <c r="F567" s="63" t="s">
        <v>439</v>
      </c>
      <c r="G567" s="64" t="n">
        <v>0</v>
      </c>
      <c r="H567" s="62" t="s">
        <v>138</v>
      </c>
    </row>
    <row r="568" customFormat="false" ht="15" hidden="false" customHeight="false" outlineLevel="0" collapsed="false">
      <c r="A568" s="62" t="n">
        <v>0</v>
      </c>
      <c r="B568" s="62" t="s">
        <v>385</v>
      </c>
      <c r="C568" s="62" t="s">
        <v>60</v>
      </c>
      <c r="D568" s="62" t="s">
        <v>67</v>
      </c>
      <c r="E568" s="62" t="s">
        <v>382</v>
      </c>
      <c r="F568" s="63" t="s">
        <v>439</v>
      </c>
      <c r="G568" s="64" t="n">
        <v>0</v>
      </c>
      <c r="H568" s="62" t="s">
        <v>138</v>
      </c>
    </row>
    <row r="569" customFormat="false" ht="15" hidden="false" customHeight="false" outlineLevel="0" collapsed="false">
      <c r="A569" s="62" t="n">
        <v>0</v>
      </c>
      <c r="B569" s="62" t="s">
        <v>386</v>
      </c>
      <c r="C569" s="62" t="s">
        <v>60</v>
      </c>
      <c r="D569" s="62" t="s">
        <v>67</v>
      </c>
      <c r="E569" s="62" t="s">
        <v>382</v>
      </c>
      <c r="F569" s="63" t="s">
        <v>439</v>
      </c>
      <c r="G569" s="64" t="n">
        <v>0</v>
      </c>
      <c r="H569" s="62" t="s">
        <v>138</v>
      </c>
    </row>
    <row r="570" customFormat="false" ht="15" hidden="false" customHeight="false" outlineLevel="0" collapsed="false">
      <c r="A570" s="62" t="n">
        <v>0</v>
      </c>
      <c r="B570" s="62" t="s">
        <v>387</v>
      </c>
      <c r="C570" s="62" t="s">
        <v>60</v>
      </c>
      <c r="D570" s="62" t="s">
        <v>67</v>
      </c>
      <c r="E570" s="62" t="s">
        <v>382</v>
      </c>
      <c r="F570" s="63" t="s">
        <v>439</v>
      </c>
      <c r="G570" s="64" t="n">
        <v>0</v>
      </c>
      <c r="H570" s="62" t="s">
        <v>138</v>
      </c>
    </row>
    <row r="571" customFormat="false" ht="15" hidden="false" customHeight="false" outlineLevel="0" collapsed="false">
      <c r="A571" s="62" t="n">
        <v>0</v>
      </c>
      <c r="B571" s="62" t="s">
        <v>388</v>
      </c>
      <c r="C571" s="62" t="s">
        <v>60</v>
      </c>
      <c r="D571" s="62" t="s">
        <v>67</v>
      </c>
      <c r="E571" s="62" t="s">
        <v>382</v>
      </c>
      <c r="F571" s="63" t="s">
        <v>439</v>
      </c>
      <c r="G571" s="64" t="n">
        <v>0</v>
      </c>
      <c r="H571" s="62" t="s">
        <v>138</v>
      </c>
    </row>
    <row r="572" customFormat="false" ht="15" hidden="false" customHeight="false" outlineLevel="0" collapsed="false">
      <c r="A572" s="62" t="n">
        <v>0</v>
      </c>
      <c r="B572" s="62" t="s">
        <v>381</v>
      </c>
      <c r="C572" s="62" t="s">
        <v>60</v>
      </c>
      <c r="D572" s="62" t="s">
        <v>67</v>
      </c>
      <c r="E572" s="62" t="s">
        <v>382</v>
      </c>
      <c r="F572" s="63" t="s">
        <v>440</v>
      </c>
      <c r="G572" s="64" t="n">
        <v>3027738.78533572</v>
      </c>
      <c r="H572" s="62" t="s">
        <v>138</v>
      </c>
    </row>
    <row r="573" customFormat="false" ht="15" hidden="false" customHeight="false" outlineLevel="0" collapsed="false">
      <c r="A573" s="62" t="n">
        <v>0</v>
      </c>
      <c r="B573" s="62" t="s">
        <v>383</v>
      </c>
      <c r="C573" s="62" t="s">
        <v>60</v>
      </c>
      <c r="D573" s="62" t="s">
        <v>67</v>
      </c>
      <c r="E573" s="62" t="s">
        <v>382</v>
      </c>
      <c r="F573" s="63" t="s">
        <v>440</v>
      </c>
      <c r="G573" s="64" t="n">
        <v>3027738.78533572</v>
      </c>
      <c r="H573" s="62" t="s">
        <v>138</v>
      </c>
    </row>
    <row r="574" customFormat="false" ht="15" hidden="false" customHeight="false" outlineLevel="0" collapsed="false">
      <c r="A574" s="62" t="n">
        <v>0</v>
      </c>
      <c r="B574" s="62" t="s">
        <v>384</v>
      </c>
      <c r="C574" s="62" t="s">
        <v>60</v>
      </c>
      <c r="D574" s="62" t="s">
        <v>67</v>
      </c>
      <c r="E574" s="62" t="s">
        <v>382</v>
      </c>
      <c r="F574" s="63" t="s">
        <v>440</v>
      </c>
      <c r="G574" s="64" t="n">
        <v>3027738.78533572</v>
      </c>
      <c r="H574" s="62" t="s">
        <v>138</v>
      </c>
    </row>
    <row r="575" customFormat="false" ht="15" hidden="false" customHeight="false" outlineLevel="0" collapsed="false">
      <c r="A575" s="62" t="n">
        <v>0</v>
      </c>
      <c r="B575" s="62" t="s">
        <v>385</v>
      </c>
      <c r="C575" s="62" t="s">
        <v>60</v>
      </c>
      <c r="D575" s="62" t="s">
        <v>67</v>
      </c>
      <c r="E575" s="62" t="s">
        <v>382</v>
      </c>
      <c r="F575" s="63" t="s">
        <v>440</v>
      </c>
      <c r="G575" s="64" t="n">
        <v>3027738.78533572</v>
      </c>
      <c r="H575" s="62" t="s">
        <v>138</v>
      </c>
    </row>
    <row r="576" customFormat="false" ht="15" hidden="false" customHeight="false" outlineLevel="0" collapsed="false">
      <c r="A576" s="62" t="n">
        <v>0</v>
      </c>
      <c r="B576" s="62" t="s">
        <v>386</v>
      </c>
      <c r="C576" s="62" t="s">
        <v>60</v>
      </c>
      <c r="D576" s="62" t="s">
        <v>67</v>
      </c>
      <c r="E576" s="62" t="s">
        <v>382</v>
      </c>
      <c r="F576" s="63" t="s">
        <v>440</v>
      </c>
      <c r="G576" s="64" t="n">
        <v>3027738.78533572</v>
      </c>
      <c r="H576" s="62" t="s">
        <v>138</v>
      </c>
    </row>
    <row r="577" customFormat="false" ht="15" hidden="false" customHeight="false" outlineLevel="0" collapsed="false">
      <c r="A577" s="62" t="n">
        <v>0</v>
      </c>
      <c r="B577" s="62" t="s">
        <v>387</v>
      </c>
      <c r="C577" s="62" t="s">
        <v>60</v>
      </c>
      <c r="D577" s="62" t="s">
        <v>67</v>
      </c>
      <c r="E577" s="62" t="s">
        <v>382</v>
      </c>
      <c r="F577" s="63" t="s">
        <v>440</v>
      </c>
      <c r="G577" s="64" t="n">
        <v>3027738.78533572</v>
      </c>
      <c r="H577" s="62" t="s">
        <v>138</v>
      </c>
    </row>
    <row r="578" customFormat="false" ht="15" hidden="false" customHeight="false" outlineLevel="0" collapsed="false">
      <c r="A578" s="62" t="n">
        <v>0</v>
      </c>
      <c r="B578" s="62" t="s">
        <v>388</v>
      </c>
      <c r="C578" s="62" t="s">
        <v>60</v>
      </c>
      <c r="D578" s="62" t="s">
        <v>67</v>
      </c>
      <c r="E578" s="62" t="s">
        <v>382</v>
      </c>
      <c r="F578" s="63" t="s">
        <v>440</v>
      </c>
      <c r="G578" s="64" t="n">
        <v>3027738.78533572</v>
      </c>
      <c r="H578" s="62" t="s">
        <v>138</v>
      </c>
    </row>
    <row r="579" customFormat="false" ht="15" hidden="false" customHeight="false" outlineLevel="0" collapsed="false">
      <c r="A579" s="62" t="n">
        <v>0</v>
      </c>
      <c r="B579" s="62" t="s">
        <v>381</v>
      </c>
      <c r="C579" s="62" t="s">
        <v>60</v>
      </c>
      <c r="D579" s="62" t="s">
        <v>67</v>
      </c>
      <c r="E579" s="62" t="s">
        <v>382</v>
      </c>
      <c r="F579" s="63" t="s">
        <v>441</v>
      </c>
      <c r="G579" s="64" t="n">
        <v>6246344</v>
      </c>
      <c r="H579" s="62" t="s">
        <v>138</v>
      </c>
    </row>
    <row r="580" customFormat="false" ht="15" hidden="false" customHeight="false" outlineLevel="0" collapsed="false">
      <c r="A580" s="62" t="n">
        <v>0</v>
      </c>
      <c r="B580" s="62" t="s">
        <v>383</v>
      </c>
      <c r="C580" s="62" t="s">
        <v>60</v>
      </c>
      <c r="D580" s="62" t="s">
        <v>67</v>
      </c>
      <c r="E580" s="62" t="s">
        <v>382</v>
      </c>
      <c r="F580" s="63" t="s">
        <v>441</v>
      </c>
      <c r="G580" s="64" t="n">
        <v>6246344</v>
      </c>
      <c r="H580" s="62" t="s">
        <v>138</v>
      </c>
    </row>
    <row r="581" customFormat="false" ht="15" hidden="false" customHeight="false" outlineLevel="0" collapsed="false">
      <c r="A581" s="62" t="n">
        <v>0</v>
      </c>
      <c r="B581" s="62" t="s">
        <v>384</v>
      </c>
      <c r="C581" s="62" t="s">
        <v>60</v>
      </c>
      <c r="D581" s="62" t="s">
        <v>67</v>
      </c>
      <c r="E581" s="62" t="s">
        <v>382</v>
      </c>
      <c r="F581" s="63" t="s">
        <v>441</v>
      </c>
      <c r="G581" s="64" t="n">
        <v>6246344</v>
      </c>
      <c r="H581" s="62" t="s">
        <v>138</v>
      </c>
    </row>
    <row r="582" customFormat="false" ht="15" hidden="false" customHeight="false" outlineLevel="0" collapsed="false">
      <c r="A582" s="62" t="n">
        <v>0</v>
      </c>
      <c r="B582" s="62" t="s">
        <v>385</v>
      </c>
      <c r="C582" s="62" t="s">
        <v>60</v>
      </c>
      <c r="D582" s="62" t="s">
        <v>67</v>
      </c>
      <c r="E582" s="62" t="s">
        <v>382</v>
      </c>
      <c r="F582" s="63" t="s">
        <v>441</v>
      </c>
      <c r="G582" s="64" t="n">
        <v>6246344</v>
      </c>
      <c r="H582" s="62" t="s">
        <v>138</v>
      </c>
    </row>
    <row r="583" customFormat="false" ht="15" hidden="false" customHeight="false" outlineLevel="0" collapsed="false">
      <c r="A583" s="62" t="n">
        <v>0</v>
      </c>
      <c r="B583" s="62" t="s">
        <v>386</v>
      </c>
      <c r="C583" s="62" t="s">
        <v>60</v>
      </c>
      <c r="D583" s="62" t="s">
        <v>67</v>
      </c>
      <c r="E583" s="62" t="s">
        <v>382</v>
      </c>
      <c r="F583" s="63" t="s">
        <v>441</v>
      </c>
      <c r="G583" s="64" t="n">
        <v>6246344</v>
      </c>
      <c r="H583" s="62" t="s">
        <v>138</v>
      </c>
    </row>
    <row r="584" customFormat="false" ht="15" hidden="false" customHeight="false" outlineLevel="0" collapsed="false">
      <c r="A584" s="62" t="n">
        <v>0</v>
      </c>
      <c r="B584" s="62" t="s">
        <v>387</v>
      </c>
      <c r="C584" s="62" t="s">
        <v>60</v>
      </c>
      <c r="D584" s="62" t="s">
        <v>67</v>
      </c>
      <c r="E584" s="62" t="s">
        <v>382</v>
      </c>
      <c r="F584" s="63" t="s">
        <v>441</v>
      </c>
      <c r="G584" s="64" t="n">
        <v>6246344</v>
      </c>
      <c r="H584" s="62" t="s">
        <v>138</v>
      </c>
    </row>
    <row r="585" customFormat="false" ht="15" hidden="false" customHeight="false" outlineLevel="0" collapsed="false">
      <c r="A585" s="62" t="n">
        <v>0</v>
      </c>
      <c r="B585" s="62" t="s">
        <v>388</v>
      </c>
      <c r="C585" s="62" t="s">
        <v>60</v>
      </c>
      <c r="D585" s="62" t="s">
        <v>67</v>
      </c>
      <c r="E585" s="62" t="s">
        <v>382</v>
      </c>
      <c r="F585" s="63" t="s">
        <v>441</v>
      </c>
      <c r="G585" s="64" t="n">
        <v>6246344</v>
      </c>
      <c r="H585" s="62" t="s">
        <v>138</v>
      </c>
    </row>
    <row r="586" customFormat="false" ht="15" hidden="false" customHeight="false" outlineLevel="0" collapsed="false">
      <c r="A586" s="62" t="n">
        <v>0</v>
      </c>
      <c r="B586" s="62" t="s">
        <v>381</v>
      </c>
      <c r="C586" s="62" t="s">
        <v>60</v>
      </c>
      <c r="D586" s="62" t="s">
        <v>67</v>
      </c>
      <c r="E586" s="62" t="s">
        <v>382</v>
      </c>
      <c r="F586" s="63" t="s">
        <v>442</v>
      </c>
      <c r="G586" s="64" t="n">
        <v>9274082.78533571</v>
      </c>
      <c r="H586" s="62" t="s">
        <v>138</v>
      </c>
    </row>
    <row r="587" customFormat="false" ht="15" hidden="false" customHeight="false" outlineLevel="0" collapsed="false">
      <c r="A587" s="62" t="n">
        <v>0</v>
      </c>
      <c r="B587" s="62" t="s">
        <v>383</v>
      </c>
      <c r="C587" s="62" t="s">
        <v>60</v>
      </c>
      <c r="D587" s="62" t="s">
        <v>67</v>
      </c>
      <c r="E587" s="62" t="s">
        <v>382</v>
      </c>
      <c r="F587" s="63" t="s">
        <v>442</v>
      </c>
      <c r="G587" s="64" t="n">
        <v>9274082.78533571</v>
      </c>
      <c r="H587" s="62" t="s">
        <v>138</v>
      </c>
    </row>
    <row r="588" customFormat="false" ht="15" hidden="false" customHeight="false" outlineLevel="0" collapsed="false">
      <c r="A588" s="62" t="n">
        <v>0</v>
      </c>
      <c r="B588" s="62" t="s">
        <v>384</v>
      </c>
      <c r="C588" s="62" t="s">
        <v>60</v>
      </c>
      <c r="D588" s="62" t="s">
        <v>67</v>
      </c>
      <c r="E588" s="62" t="s">
        <v>382</v>
      </c>
      <c r="F588" s="63" t="s">
        <v>442</v>
      </c>
      <c r="G588" s="64" t="n">
        <v>9274082.78533571</v>
      </c>
      <c r="H588" s="62" t="s">
        <v>138</v>
      </c>
    </row>
    <row r="589" customFormat="false" ht="15" hidden="false" customHeight="false" outlineLevel="0" collapsed="false">
      <c r="A589" s="62" t="n">
        <v>0</v>
      </c>
      <c r="B589" s="62" t="s">
        <v>385</v>
      </c>
      <c r="C589" s="62" t="s">
        <v>60</v>
      </c>
      <c r="D589" s="62" t="s">
        <v>67</v>
      </c>
      <c r="E589" s="62" t="s">
        <v>382</v>
      </c>
      <c r="F589" s="63" t="s">
        <v>442</v>
      </c>
      <c r="G589" s="64" t="n">
        <v>9274082.78533571</v>
      </c>
      <c r="H589" s="62" t="s">
        <v>138</v>
      </c>
    </row>
    <row r="590" customFormat="false" ht="15" hidden="false" customHeight="false" outlineLevel="0" collapsed="false">
      <c r="A590" s="62" t="n">
        <v>0</v>
      </c>
      <c r="B590" s="62" t="s">
        <v>386</v>
      </c>
      <c r="C590" s="62" t="s">
        <v>60</v>
      </c>
      <c r="D590" s="62" t="s">
        <v>67</v>
      </c>
      <c r="E590" s="62" t="s">
        <v>382</v>
      </c>
      <c r="F590" s="63" t="s">
        <v>442</v>
      </c>
      <c r="G590" s="64" t="n">
        <v>9274082.78533571</v>
      </c>
      <c r="H590" s="62" t="s">
        <v>138</v>
      </c>
    </row>
    <row r="591" customFormat="false" ht="15" hidden="false" customHeight="false" outlineLevel="0" collapsed="false">
      <c r="A591" s="62" t="n">
        <v>0</v>
      </c>
      <c r="B591" s="62" t="s">
        <v>387</v>
      </c>
      <c r="C591" s="62" t="s">
        <v>60</v>
      </c>
      <c r="D591" s="62" t="s">
        <v>67</v>
      </c>
      <c r="E591" s="62" t="s">
        <v>382</v>
      </c>
      <c r="F591" s="63" t="s">
        <v>442</v>
      </c>
      <c r="G591" s="64" t="n">
        <v>9274082.78533571</v>
      </c>
      <c r="H591" s="62" t="s">
        <v>138</v>
      </c>
    </row>
    <row r="592" customFormat="false" ht="15" hidden="false" customHeight="false" outlineLevel="0" collapsed="false">
      <c r="A592" s="62" t="n">
        <v>0</v>
      </c>
      <c r="B592" s="62" t="s">
        <v>388</v>
      </c>
      <c r="C592" s="62" t="s">
        <v>60</v>
      </c>
      <c r="D592" s="62" t="s">
        <v>67</v>
      </c>
      <c r="E592" s="62" t="s">
        <v>382</v>
      </c>
      <c r="F592" s="63" t="s">
        <v>442</v>
      </c>
      <c r="G592" s="64" t="n">
        <v>9274082.78533571</v>
      </c>
      <c r="H592" s="62" t="s">
        <v>138</v>
      </c>
    </row>
    <row r="593" customFormat="false" ht="15" hidden="false" customHeight="false" outlineLevel="0" collapsed="false">
      <c r="A593" s="62" t="n">
        <v>0</v>
      </c>
      <c r="B593" s="62" t="s">
        <v>381</v>
      </c>
      <c r="C593" s="62" t="s">
        <v>60</v>
      </c>
      <c r="D593" s="62" t="s">
        <v>71</v>
      </c>
      <c r="E593" s="62" t="s">
        <v>382</v>
      </c>
      <c r="F593" s="63" t="s">
        <v>400</v>
      </c>
      <c r="G593" s="64" t="n">
        <v>9012500</v>
      </c>
      <c r="H593" s="62" t="s">
        <v>138</v>
      </c>
    </row>
    <row r="594" customFormat="false" ht="15" hidden="false" customHeight="false" outlineLevel="0" collapsed="false">
      <c r="A594" s="62" t="n">
        <v>0</v>
      </c>
      <c r="B594" s="62" t="s">
        <v>383</v>
      </c>
      <c r="C594" s="62" t="s">
        <v>60</v>
      </c>
      <c r="D594" s="62" t="s">
        <v>71</v>
      </c>
      <c r="E594" s="62" t="s">
        <v>382</v>
      </c>
      <c r="F594" s="63" t="s">
        <v>400</v>
      </c>
      <c r="G594" s="64" t="n">
        <v>9012500</v>
      </c>
      <c r="H594" s="62" t="s">
        <v>138</v>
      </c>
    </row>
    <row r="595" customFormat="false" ht="15" hidden="false" customHeight="false" outlineLevel="0" collapsed="false">
      <c r="A595" s="62" t="n">
        <v>0</v>
      </c>
      <c r="B595" s="62" t="s">
        <v>384</v>
      </c>
      <c r="C595" s="62" t="s">
        <v>60</v>
      </c>
      <c r="D595" s="62" t="s">
        <v>71</v>
      </c>
      <c r="E595" s="62" t="s">
        <v>382</v>
      </c>
      <c r="F595" s="63" t="s">
        <v>400</v>
      </c>
      <c r="G595" s="64" t="n">
        <v>9012500</v>
      </c>
      <c r="H595" s="62" t="s">
        <v>138</v>
      </c>
    </row>
    <row r="596" customFormat="false" ht="15" hidden="false" customHeight="false" outlineLevel="0" collapsed="false">
      <c r="A596" s="62" t="n">
        <v>0</v>
      </c>
      <c r="B596" s="62" t="s">
        <v>385</v>
      </c>
      <c r="C596" s="62" t="s">
        <v>60</v>
      </c>
      <c r="D596" s="62" t="s">
        <v>71</v>
      </c>
      <c r="E596" s="62" t="s">
        <v>382</v>
      </c>
      <c r="F596" s="63" t="s">
        <v>400</v>
      </c>
      <c r="G596" s="64" t="n">
        <v>9012500</v>
      </c>
      <c r="H596" s="62" t="s">
        <v>138</v>
      </c>
    </row>
    <row r="597" customFormat="false" ht="15" hidden="false" customHeight="false" outlineLevel="0" collapsed="false">
      <c r="A597" s="62" t="n">
        <v>0</v>
      </c>
      <c r="B597" s="62" t="s">
        <v>386</v>
      </c>
      <c r="C597" s="62" t="s">
        <v>60</v>
      </c>
      <c r="D597" s="62" t="s">
        <v>71</v>
      </c>
      <c r="E597" s="62" t="s">
        <v>382</v>
      </c>
      <c r="F597" s="63" t="s">
        <v>400</v>
      </c>
      <c r="G597" s="64" t="n">
        <v>9012500</v>
      </c>
      <c r="H597" s="62" t="s">
        <v>138</v>
      </c>
    </row>
    <row r="598" customFormat="false" ht="15" hidden="false" customHeight="false" outlineLevel="0" collapsed="false">
      <c r="A598" s="62" t="n">
        <v>0</v>
      </c>
      <c r="B598" s="62" t="s">
        <v>387</v>
      </c>
      <c r="C598" s="62" t="s">
        <v>60</v>
      </c>
      <c r="D598" s="62" t="s">
        <v>71</v>
      </c>
      <c r="E598" s="62" t="s">
        <v>382</v>
      </c>
      <c r="F598" s="63" t="s">
        <v>400</v>
      </c>
      <c r="G598" s="64" t="n">
        <v>9012500</v>
      </c>
      <c r="H598" s="62" t="s">
        <v>138</v>
      </c>
    </row>
    <row r="599" customFormat="false" ht="15" hidden="false" customHeight="false" outlineLevel="0" collapsed="false">
      <c r="A599" s="62" t="n">
        <v>0</v>
      </c>
      <c r="B599" s="62" t="s">
        <v>388</v>
      </c>
      <c r="C599" s="62" t="s">
        <v>60</v>
      </c>
      <c r="D599" s="62" t="s">
        <v>71</v>
      </c>
      <c r="E599" s="62" t="s">
        <v>382</v>
      </c>
      <c r="F599" s="63" t="s">
        <v>400</v>
      </c>
      <c r="G599" s="64" t="n">
        <v>9012500</v>
      </c>
      <c r="H599" s="62" t="s">
        <v>138</v>
      </c>
    </row>
    <row r="600" customFormat="false" ht="15" hidden="false" customHeight="false" outlineLevel="0" collapsed="false">
      <c r="A600" s="62" t="n">
        <v>0</v>
      </c>
      <c r="B600" s="62" t="s">
        <v>381</v>
      </c>
      <c r="C600" s="62" t="s">
        <v>60</v>
      </c>
      <c r="D600" s="62" t="s">
        <v>71</v>
      </c>
      <c r="E600" s="62" t="s">
        <v>382</v>
      </c>
      <c r="F600" s="63" t="s">
        <v>401</v>
      </c>
      <c r="G600" s="64" t="n">
        <v>3465008.177827</v>
      </c>
      <c r="H600" s="62" t="s">
        <v>138</v>
      </c>
    </row>
    <row r="601" customFormat="false" ht="15" hidden="false" customHeight="false" outlineLevel="0" collapsed="false">
      <c r="A601" s="62" t="n">
        <v>0</v>
      </c>
      <c r="B601" s="62" t="s">
        <v>383</v>
      </c>
      <c r="C601" s="62" t="s">
        <v>60</v>
      </c>
      <c r="D601" s="62" t="s">
        <v>71</v>
      </c>
      <c r="E601" s="62" t="s">
        <v>382</v>
      </c>
      <c r="F601" s="63" t="s">
        <v>401</v>
      </c>
      <c r="G601" s="64" t="n">
        <v>3465008.177827</v>
      </c>
      <c r="H601" s="62" t="s">
        <v>138</v>
      </c>
    </row>
    <row r="602" customFormat="false" ht="15" hidden="false" customHeight="false" outlineLevel="0" collapsed="false">
      <c r="A602" s="62" t="n">
        <v>0</v>
      </c>
      <c r="B602" s="62" t="s">
        <v>384</v>
      </c>
      <c r="C602" s="62" t="s">
        <v>60</v>
      </c>
      <c r="D602" s="62" t="s">
        <v>71</v>
      </c>
      <c r="E602" s="62" t="s">
        <v>382</v>
      </c>
      <c r="F602" s="63" t="s">
        <v>401</v>
      </c>
      <c r="G602" s="64" t="n">
        <v>3465008.177827</v>
      </c>
      <c r="H602" s="62" t="s">
        <v>138</v>
      </c>
    </row>
    <row r="603" customFormat="false" ht="15" hidden="false" customHeight="false" outlineLevel="0" collapsed="false">
      <c r="A603" s="62" t="n">
        <v>0</v>
      </c>
      <c r="B603" s="62" t="s">
        <v>385</v>
      </c>
      <c r="C603" s="62" t="s">
        <v>60</v>
      </c>
      <c r="D603" s="62" t="s">
        <v>71</v>
      </c>
      <c r="E603" s="62" t="s">
        <v>382</v>
      </c>
      <c r="F603" s="63" t="s">
        <v>401</v>
      </c>
      <c r="G603" s="64" t="n">
        <v>3465008.177827</v>
      </c>
      <c r="H603" s="62" t="s">
        <v>138</v>
      </c>
    </row>
    <row r="604" customFormat="false" ht="15" hidden="false" customHeight="false" outlineLevel="0" collapsed="false">
      <c r="A604" s="62" t="n">
        <v>0</v>
      </c>
      <c r="B604" s="62" t="s">
        <v>386</v>
      </c>
      <c r="C604" s="62" t="s">
        <v>60</v>
      </c>
      <c r="D604" s="62" t="s">
        <v>71</v>
      </c>
      <c r="E604" s="62" t="s">
        <v>382</v>
      </c>
      <c r="F604" s="63" t="s">
        <v>401</v>
      </c>
      <c r="G604" s="64" t="n">
        <v>3465008.177827</v>
      </c>
      <c r="H604" s="62" t="s">
        <v>138</v>
      </c>
    </row>
    <row r="605" customFormat="false" ht="15" hidden="false" customHeight="false" outlineLevel="0" collapsed="false">
      <c r="A605" s="62" t="n">
        <v>0</v>
      </c>
      <c r="B605" s="62" t="s">
        <v>387</v>
      </c>
      <c r="C605" s="62" t="s">
        <v>60</v>
      </c>
      <c r="D605" s="62" t="s">
        <v>71</v>
      </c>
      <c r="E605" s="62" t="s">
        <v>382</v>
      </c>
      <c r="F605" s="63" t="s">
        <v>401</v>
      </c>
      <c r="G605" s="64" t="n">
        <v>3465008.177827</v>
      </c>
      <c r="H605" s="62" t="s">
        <v>138</v>
      </c>
    </row>
    <row r="606" customFormat="false" ht="15" hidden="false" customHeight="false" outlineLevel="0" collapsed="false">
      <c r="A606" s="62" t="n">
        <v>0</v>
      </c>
      <c r="B606" s="62" t="s">
        <v>388</v>
      </c>
      <c r="C606" s="62" t="s">
        <v>60</v>
      </c>
      <c r="D606" s="62" t="s">
        <v>71</v>
      </c>
      <c r="E606" s="62" t="s">
        <v>382</v>
      </c>
      <c r="F606" s="63" t="s">
        <v>401</v>
      </c>
      <c r="G606" s="64" t="n">
        <v>3465008.177827</v>
      </c>
      <c r="H606" s="62" t="s">
        <v>138</v>
      </c>
    </row>
    <row r="607" customFormat="false" ht="15" hidden="false" customHeight="false" outlineLevel="0" collapsed="false">
      <c r="A607" s="62" t="n">
        <v>0</v>
      </c>
      <c r="B607" s="62" t="s">
        <v>381</v>
      </c>
      <c r="C607" s="62" t="s">
        <v>60</v>
      </c>
      <c r="D607" s="62" t="s">
        <v>71</v>
      </c>
      <c r="E607" s="62" t="s">
        <v>382</v>
      </c>
      <c r="F607" s="63" t="s">
        <v>402</v>
      </c>
      <c r="G607" s="64" t="n">
        <v>12477508.177827</v>
      </c>
      <c r="H607" s="62" t="s">
        <v>138</v>
      </c>
    </row>
    <row r="608" customFormat="false" ht="15" hidden="false" customHeight="false" outlineLevel="0" collapsed="false">
      <c r="A608" s="62" t="n">
        <v>0</v>
      </c>
      <c r="B608" s="62" t="s">
        <v>383</v>
      </c>
      <c r="C608" s="62" t="s">
        <v>60</v>
      </c>
      <c r="D608" s="62" t="s">
        <v>71</v>
      </c>
      <c r="E608" s="62" t="s">
        <v>382</v>
      </c>
      <c r="F608" s="63" t="s">
        <v>402</v>
      </c>
      <c r="G608" s="64" t="n">
        <v>12477508.177827</v>
      </c>
      <c r="H608" s="62" t="s">
        <v>138</v>
      </c>
    </row>
    <row r="609" customFormat="false" ht="15" hidden="false" customHeight="false" outlineLevel="0" collapsed="false">
      <c r="A609" s="62" t="n">
        <v>0</v>
      </c>
      <c r="B609" s="62" t="s">
        <v>384</v>
      </c>
      <c r="C609" s="62" t="s">
        <v>60</v>
      </c>
      <c r="D609" s="62" t="s">
        <v>71</v>
      </c>
      <c r="E609" s="62" t="s">
        <v>382</v>
      </c>
      <c r="F609" s="63" t="s">
        <v>402</v>
      </c>
      <c r="G609" s="64" t="n">
        <v>12477508.177827</v>
      </c>
      <c r="H609" s="62" t="s">
        <v>138</v>
      </c>
    </row>
    <row r="610" customFormat="false" ht="15" hidden="false" customHeight="false" outlineLevel="0" collapsed="false">
      <c r="A610" s="62" t="n">
        <v>0</v>
      </c>
      <c r="B610" s="62" t="s">
        <v>385</v>
      </c>
      <c r="C610" s="62" t="s">
        <v>60</v>
      </c>
      <c r="D610" s="62" t="s">
        <v>71</v>
      </c>
      <c r="E610" s="62" t="s">
        <v>382</v>
      </c>
      <c r="F610" s="63" t="s">
        <v>402</v>
      </c>
      <c r="G610" s="64" t="n">
        <v>12477508.177827</v>
      </c>
      <c r="H610" s="62" t="s">
        <v>138</v>
      </c>
    </row>
    <row r="611" customFormat="false" ht="15" hidden="false" customHeight="false" outlineLevel="0" collapsed="false">
      <c r="A611" s="62" t="n">
        <v>0</v>
      </c>
      <c r="B611" s="62" t="s">
        <v>386</v>
      </c>
      <c r="C611" s="62" t="s">
        <v>60</v>
      </c>
      <c r="D611" s="62" t="s">
        <v>71</v>
      </c>
      <c r="E611" s="62" t="s">
        <v>382</v>
      </c>
      <c r="F611" s="63" t="s">
        <v>402</v>
      </c>
      <c r="G611" s="64" t="n">
        <v>12477508.177827</v>
      </c>
      <c r="H611" s="62" t="s">
        <v>138</v>
      </c>
    </row>
    <row r="612" customFormat="false" ht="15" hidden="false" customHeight="false" outlineLevel="0" collapsed="false">
      <c r="A612" s="62" t="n">
        <v>0</v>
      </c>
      <c r="B612" s="62" t="s">
        <v>387</v>
      </c>
      <c r="C612" s="62" t="s">
        <v>60</v>
      </c>
      <c r="D612" s="62" t="s">
        <v>71</v>
      </c>
      <c r="E612" s="62" t="s">
        <v>382</v>
      </c>
      <c r="F612" s="63" t="s">
        <v>402</v>
      </c>
      <c r="G612" s="64" t="n">
        <v>12477508.177827</v>
      </c>
      <c r="H612" s="62" t="s">
        <v>138</v>
      </c>
    </row>
    <row r="613" customFormat="false" ht="15" hidden="false" customHeight="false" outlineLevel="0" collapsed="false">
      <c r="A613" s="62" t="n">
        <v>0</v>
      </c>
      <c r="B613" s="62" t="s">
        <v>388</v>
      </c>
      <c r="C613" s="62" t="s">
        <v>60</v>
      </c>
      <c r="D613" s="62" t="s">
        <v>71</v>
      </c>
      <c r="E613" s="62" t="s">
        <v>382</v>
      </c>
      <c r="F613" s="63" t="s">
        <v>402</v>
      </c>
      <c r="G613" s="64" t="n">
        <v>12477508.177827</v>
      </c>
      <c r="H613" s="62" t="s">
        <v>138</v>
      </c>
    </row>
    <row r="614" customFormat="false" ht="15" hidden="false" customHeight="false" outlineLevel="0" collapsed="false">
      <c r="A614" s="62" t="n">
        <v>0</v>
      </c>
      <c r="B614" s="62" t="s">
        <v>381</v>
      </c>
      <c r="C614" s="62" t="s">
        <v>60</v>
      </c>
      <c r="D614" s="62" t="s">
        <v>71</v>
      </c>
      <c r="E614" s="62" t="s">
        <v>382</v>
      </c>
      <c r="F614" s="63" t="s">
        <v>389</v>
      </c>
      <c r="G614" s="64" t="n">
        <v>5620550.25095037</v>
      </c>
      <c r="H614" s="62" t="s">
        <v>138</v>
      </c>
    </row>
    <row r="615" customFormat="false" ht="15" hidden="false" customHeight="false" outlineLevel="0" collapsed="false">
      <c r="A615" s="62" t="n">
        <v>0</v>
      </c>
      <c r="B615" s="62" t="s">
        <v>383</v>
      </c>
      <c r="C615" s="62" t="s">
        <v>60</v>
      </c>
      <c r="D615" s="62" t="s">
        <v>71</v>
      </c>
      <c r="E615" s="62" t="s">
        <v>382</v>
      </c>
      <c r="F615" s="63" t="s">
        <v>389</v>
      </c>
      <c r="G615" s="64" t="n">
        <v>5620550.25095037</v>
      </c>
      <c r="H615" s="62" t="s">
        <v>138</v>
      </c>
    </row>
    <row r="616" customFormat="false" ht="15" hidden="false" customHeight="false" outlineLevel="0" collapsed="false">
      <c r="A616" s="62" t="n">
        <v>0</v>
      </c>
      <c r="B616" s="62" t="s">
        <v>384</v>
      </c>
      <c r="C616" s="62" t="s">
        <v>60</v>
      </c>
      <c r="D616" s="62" t="s">
        <v>71</v>
      </c>
      <c r="E616" s="62" t="s">
        <v>382</v>
      </c>
      <c r="F616" s="63" t="s">
        <v>389</v>
      </c>
      <c r="G616" s="64" t="n">
        <v>5620550.25095037</v>
      </c>
      <c r="H616" s="62" t="s">
        <v>138</v>
      </c>
    </row>
    <row r="617" customFormat="false" ht="15" hidden="false" customHeight="false" outlineLevel="0" collapsed="false">
      <c r="A617" s="62" t="n">
        <v>0</v>
      </c>
      <c r="B617" s="62" t="s">
        <v>385</v>
      </c>
      <c r="C617" s="62" t="s">
        <v>60</v>
      </c>
      <c r="D617" s="62" t="s">
        <v>71</v>
      </c>
      <c r="E617" s="62" t="s">
        <v>382</v>
      </c>
      <c r="F617" s="63" t="s">
        <v>389</v>
      </c>
      <c r="G617" s="64" t="n">
        <v>5620550.25095037</v>
      </c>
      <c r="H617" s="62" t="s">
        <v>138</v>
      </c>
    </row>
    <row r="618" customFormat="false" ht="15" hidden="false" customHeight="false" outlineLevel="0" collapsed="false">
      <c r="A618" s="62" t="n">
        <v>0</v>
      </c>
      <c r="B618" s="62" t="s">
        <v>386</v>
      </c>
      <c r="C618" s="62" t="s">
        <v>60</v>
      </c>
      <c r="D618" s="62" t="s">
        <v>71</v>
      </c>
      <c r="E618" s="62" t="s">
        <v>382</v>
      </c>
      <c r="F618" s="63" t="s">
        <v>389</v>
      </c>
      <c r="G618" s="64" t="n">
        <v>5620550.25095037</v>
      </c>
      <c r="H618" s="62" t="s">
        <v>138</v>
      </c>
    </row>
    <row r="619" customFormat="false" ht="15" hidden="false" customHeight="false" outlineLevel="0" collapsed="false">
      <c r="A619" s="62" t="n">
        <v>0</v>
      </c>
      <c r="B619" s="62" t="s">
        <v>387</v>
      </c>
      <c r="C619" s="62" t="s">
        <v>60</v>
      </c>
      <c r="D619" s="62" t="s">
        <v>71</v>
      </c>
      <c r="E619" s="62" t="s">
        <v>382</v>
      </c>
      <c r="F619" s="63" t="s">
        <v>389</v>
      </c>
      <c r="G619" s="64" t="n">
        <v>5620550.25095037</v>
      </c>
      <c r="H619" s="62" t="s">
        <v>138</v>
      </c>
    </row>
    <row r="620" customFormat="false" ht="15" hidden="false" customHeight="false" outlineLevel="0" collapsed="false">
      <c r="A620" s="62" t="n">
        <v>0</v>
      </c>
      <c r="B620" s="62" t="s">
        <v>388</v>
      </c>
      <c r="C620" s="62" t="s">
        <v>60</v>
      </c>
      <c r="D620" s="62" t="s">
        <v>71</v>
      </c>
      <c r="E620" s="62" t="s">
        <v>382</v>
      </c>
      <c r="F620" s="63" t="s">
        <v>389</v>
      </c>
      <c r="G620" s="64" t="n">
        <v>5620550.25095037</v>
      </c>
      <c r="H620" s="62" t="s">
        <v>138</v>
      </c>
    </row>
    <row r="621" customFormat="false" ht="15" hidden="false" customHeight="false" outlineLevel="0" collapsed="false">
      <c r="A621" s="62" t="n">
        <v>0</v>
      </c>
      <c r="B621" s="62" t="s">
        <v>381</v>
      </c>
      <c r="C621" s="62" t="s">
        <v>60</v>
      </c>
      <c r="D621" s="62" t="s">
        <v>71</v>
      </c>
      <c r="E621" s="62" t="s">
        <v>382</v>
      </c>
      <c r="F621" s="63" t="s">
        <v>390</v>
      </c>
      <c r="G621" s="64" t="n">
        <v>1339000</v>
      </c>
      <c r="H621" s="62" t="s">
        <v>138</v>
      </c>
    </row>
    <row r="622" customFormat="false" ht="15" hidden="false" customHeight="false" outlineLevel="0" collapsed="false">
      <c r="A622" s="62" t="n">
        <v>0</v>
      </c>
      <c r="B622" s="62" t="s">
        <v>383</v>
      </c>
      <c r="C622" s="62" t="s">
        <v>60</v>
      </c>
      <c r="D622" s="62" t="s">
        <v>71</v>
      </c>
      <c r="E622" s="62" t="s">
        <v>382</v>
      </c>
      <c r="F622" s="63" t="s">
        <v>390</v>
      </c>
      <c r="G622" s="64" t="n">
        <v>1339000</v>
      </c>
      <c r="H622" s="62" t="s">
        <v>138</v>
      </c>
    </row>
    <row r="623" customFormat="false" ht="15" hidden="false" customHeight="false" outlineLevel="0" collapsed="false">
      <c r="A623" s="62" t="n">
        <v>0</v>
      </c>
      <c r="B623" s="62" t="s">
        <v>384</v>
      </c>
      <c r="C623" s="62" t="s">
        <v>60</v>
      </c>
      <c r="D623" s="62" t="s">
        <v>71</v>
      </c>
      <c r="E623" s="62" t="s">
        <v>382</v>
      </c>
      <c r="F623" s="63" t="s">
        <v>390</v>
      </c>
      <c r="G623" s="64" t="n">
        <v>1339000</v>
      </c>
      <c r="H623" s="62" t="s">
        <v>138</v>
      </c>
    </row>
    <row r="624" customFormat="false" ht="15" hidden="false" customHeight="false" outlineLevel="0" collapsed="false">
      <c r="A624" s="62" t="n">
        <v>0</v>
      </c>
      <c r="B624" s="62" t="s">
        <v>385</v>
      </c>
      <c r="C624" s="62" t="s">
        <v>60</v>
      </c>
      <c r="D624" s="62" t="s">
        <v>71</v>
      </c>
      <c r="E624" s="62" t="s">
        <v>382</v>
      </c>
      <c r="F624" s="63" t="s">
        <v>390</v>
      </c>
      <c r="G624" s="64" t="n">
        <v>1339000</v>
      </c>
      <c r="H624" s="62" t="s">
        <v>138</v>
      </c>
    </row>
    <row r="625" customFormat="false" ht="15" hidden="false" customHeight="false" outlineLevel="0" collapsed="false">
      <c r="A625" s="62" t="n">
        <v>0</v>
      </c>
      <c r="B625" s="62" t="s">
        <v>386</v>
      </c>
      <c r="C625" s="62" t="s">
        <v>60</v>
      </c>
      <c r="D625" s="62" t="s">
        <v>71</v>
      </c>
      <c r="E625" s="62" t="s">
        <v>382</v>
      </c>
      <c r="F625" s="63" t="s">
        <v>390</v>
      </c>
      <c r="G625" s="64" t="n">
        <v>1339000</v>
      </c>
      <c r="H625" s="62" t="s">
        <v>138</v>
      </c>
    </row>
    <row r="626" customFormat="false" ht="15" hidden="false" customHeight="false" outlineLevel="0" collapsed="false">
      <c r="A626" s="62" t="n">
        <v>0</v>
      </c>
      <c r="B626" s="62" t="s">
        <v>387</v>
      </c>
      <c r="C626" s="62" t="s">
        <v>60</v>
      </c>
      <c r="D626" s="62" t="s">
        <v>71</v>
      </c>
      <c r="E626" s="62" t="s">
        <v>382</v>
      </c>
      <c r="F626" s="63" t="s">
        <v>390</v>
      </c>
      <c r="G626" s="64" t="n">
        <v>1339000</v>
      </c>
      <c r="H626" s="62" t="s">
        <v>138</v>
      </c>
    </row>
    <row r="627" customFormat="false" ht="15" hidden="false" customHeight="false" outlineLevel="0" collapsed="false">
      <c r="A627" s="62" t="n">
        <v>0</v>
      </c>
      <c r="B627" s="62" t="s">
        <v>388</v>
      </c>
      <c r="C627" s="62" t="s">
        <v>60</v>
      </c>
      <c r="D627" s="62" t="s">
        <v>71</v>
      </c>
      <c r="E627" s="62" t="s">
        <v>382</v>
      </c>
      <c r="F627" s="63" t="s">
        <v>390</v>
      </c>
      <c r="G627" s="64" t="n">
        <v>1339000</v>
      </c>
      <c r="H627" s="62" t="s">
        <v>138</v>
      </c>
    </row>
    <row r="628" customFormat="false" ht="15" hidden="false" customHeight="false" outlineLevel="0" collapsed="false">
      <c r="A628" s="62" t="n">
        <v>0</v>
      </c>
      <c r="B628" s="62" t="s">
        <v>381</v>
      </c>
      <c r="C628" s="62" t="s">
        <v>60</v>
      </c>
      <c r="D628" s="62" t="s">
        <v>71</v>
      </c>
      <c r="E628" s="62" t="s">
        <v>382</v>
      </c>
      <c r="F628" s="63" t="s">
        <v>391</v>
      </c>
      <c r="G628" s="64" t="n">
        <v>4105788.49382716</v>
      </c>
      <c r="H628" s="62" t="s">
        <v>138</v>
      </c>
    </row>
    <row r="629" customFormat="false" ht="15" hidden="false" customHeight="false" outlineLevel="0" collapsed="false">
      <c r="A629" s="62" t="n">
        <v>0</v>
      </c>
      <c r="B629" s="62" t="s">
        <v>383</v>
      </c>
      <c r="C629" s="62" t="s">
        <v>60</v>
      </c>
      <c r="D629" s="62" t="s">
        <v>71</v>
      </c>
      <c r="E629" s="62" t="s">
        <v>382</v>
      </c>
      <c r="F629" s="63" t="s">
        <v>391</v>
      </c>
      <c r="G629" s="64" t="n">
        <v>4105788.49382716</v>
      </c>
      <c r="H629" s="62" t="s">
        <v>138</v>
      </c>
    </row>
    <row r="630" customFormat="false" ht="15" hidden="false" customHeight="false" outlineLevel="0" collapsed="false">
      <c r="A630" s="62" t="n">
        <v>0</v>
      </c>
      <c r="B630" s="62" t="s">
        <v>384</v>
      </c>
      <c r="C630" s="62" t="s">
        <v>60</v>
      </c>
      <c r="D630" s="62" t="s">
        <v>71</v>
      </c>
      <c r="E630" s="62" t="s">
        <v>382</v>
      </c>
      <c r="F630" s="63" t="s">
        <v>391</v>
      </c>
      <c r="G630" s="64" t="n">
        <v>4105788.49382716</v>
      </c>
      <c r="H630" s="62" t="s">
        <v>138</v>
      </c>
    </row>
    <row r="631" customFormat="false" ht="15" hidden="false" customHeight="false" outlineLevel="0" collapsed="false">
      <c r="A631" s="62" t="n">
        <v>0</v>
      </c>
      <c r="B631" s="62" t="s">
        <v>385</v>
      </c>
      <c r="C631" s="62" t="s">
        <v>60</v>
      </c>
      <c r="D631" s="62" t="s">
        <v>71</v>
      </c>
      <c r="E631" s="62" t="s">
        <v>382</v>
      </c>
      <c r="F631" s="63" t="s">
        <v>391</v>
      </c>
      <c r="G631" s="64" t="n">
        <v>4105788.49382716</v>
      </c>
      <c r="H631" s="62" t="s">
        <v>138</v>
      </c>
    </row>
    <row r="632" customFormat="false" ht="15" hidden="false" customHeight="false" outlineLevel="0" collapsed="false">
      <c r="A632" s="62" t="n">
        <v>0</v>
      </c>
      <c r="B632" s="62" t="s">
        <v>386</v>
      </c>
      <c r="C632" s="62" t="s">
        <v>60</v>
      </c>
      <c r="D632" s="62" t="s">
        <v>71</v>
      </c>
      <c r="E632" s="62" t="s">
        <v>382</v>
      </c>
      <c r="F632" s="63" t="s">
        <v>391</v>
      </c>
      <c r="G632" s="64" t="n">
        <v>4105788.49382716</v>
      </c>
      <c r="H632" s="62" t="s">
        <v>138</v>
      </c>
    </row>
    <row r="633" customFormat="false" ht="15" hidden="false" customHeight="false" outlineLevel="0" collapsed="false">
      <c r="A633" s="62" t="n">
        <v>0</v>
      </c>
      <c r="B633" s="62" t="s">
        <v>387</v>
      </c>
      <c r="C633" s="62" t="s">
        <v>60</v>
      </c>
      <c r="D633" s="62" t="s">
        <v>71</v>
      </c>
      <c r="E633" s="62" t="s">
        <v>382</v>
      </c>
      <c r="F633" s="63" t="s">
        <v>391</v>
      </c>
      <c r="G633" s="64" t="n">
        <v>4105788.49382716</v>
      </c>
      <c r="H633" s="62" t="s">
        <v>138</v>
      </c>
    </row>
    <row r="634" customFormat="false" ht="15" hidden="false" customHeight="false" outlineLevel="0" collapsed="false">
      <c r="A634" s="62" t="n">
        <v>0</v>
      </c>
      <c r="B634" s="62" t="s">
        <v>388</v>
      </c>
      <c r="C634" s="62" t="s">
        <v>60</v>
      </c>
      <c r="D634" s="62" t="s">
        <v>71</v>
      </c>
      <c r="E634" s="62" t="s">
        <v>382</v>
      </c>
      <c r="F634" s="63" t="s">
        <v>391</v>
      </c>
      <c r="G634" s="64" t="n">
        <v>4105788.49382716</v>
      </c>
      <c r="H634" s="62" t="s">
        <v>138</v>
      </c>
    </row>
    <row r="635" customFormat="false" ht="15" hidden="false" customHeight="false" outlineLevel="0" collapsed="false">
      <c r="A635" s="62" t="n">
        <v>0</v>
      </c>
      <c r="B635" s="62" t="s">
        <v>381</v>
      </c>
      <c r="C635" s="62" t="s">
        <v>60</v>
      </c>
      <c r="D635" s="62" t="s">
        <v>71</v>
      </c>
      <c r="E635" s="62" t="s">
        <v>382</v>
      </c>
      <c r="F635" s="63" t="s">
        <v>392</v>
      </c>
      <c r="G635" s="64" t="n">
        <v>0</v>
      </c>
      <c r="H635" s="62" t="s">
        <v>138</v>
      </c>
    </row>
    <row r="636" customFormat="false" ht="15" hidden="false" customHeight="false" outlineLevel="0" collapsed="false">
      <c r="A636" s="62" t="n">
        <v>0</v>
      </c>
      <c r="B636" s="62" t="s">
        <v>383</v>
      </c>
      <c r="C636" s="62" t="s">
        <v>60</v>
      </c>
      <c r="D636" s="62" t="s">
        <v>71</v>
      </c>
      <c r="E636" s="62" t="s">
        <v>382</v>
      </c>
      <c r="F636" s="63" t="s">
        <v>392</v>
      </c>
      <c r="G636" s="64" t="n">
        <v>0</v>
      </c>
      <c r="H636" s="62" t="s">
        <v>138</v>
      </c>
    </row>
    <row r="637" customFormat="false" ht="15" hidden="false" customHeight="false" outlineLevel="0" collapsed="false">
      <c r="A637" s="62" t="n">
        <v>0</v>
      </c>
      <c r="B637" s="62" t="s">
        <v>384</v>
      </c>
      <c r="C637" s="62" t="s">
        <v>60</v>
      </c>
      <c r="D637" s="62" t="s">
        <v>71</v>
      </c>
      <c r="E637" s="62" t="s">
        <v>382</v>
      </c>
      <c r="F637" s="63" t="s">
        <v>392</v>
      </c>
      <c r="G637" s="64" t="n">
        <v>0</v>
      </c>
      <c r="H637" s="62" t="s">
        <v>138</v>
      </c>
    </row>
    <row r="638" customFormat="false" ht="15" hidden="false" customHeight="false" outlineLevel="0" collapsed="false">
      <c r="A638" s="62" t="n">
        <v>0</v>
      </c>
      <c r="B638" s="62" t="s">
        <v>385</v>
      </c>
      <c r="C638" s="62" t="s">
        <v>60</v>
      </c>
      <c r="D638" s="62" t="s">
        <v>71</v>
      </c>
      <c r="E638" s="62" t="s">
        <v>382</v>
      </c>
      <c r="F638" s="63" t="s">
        <v>392</v>
      </c>
      <c r="G638" s="64" t="n">
        <v>0</v>
      </c>
      <c r="H638" s="62" t="s">
        <v>138</v>
      </c>
    </row>
    <row r="639" customFormat="false" ht="15" hidden="false" customHeight="false" outlineLevel="0" collapsed="false">
      <c r="A639" s="62" t="n">
        <v>0</v>
      </c>
      <c r="B639" s="62" t="s">
        <v>386</v>
      </c>
      <c r="C639" s="62" t="s">
        <v>60</v>
      </c>
      <c r="D639" s="62" t="s">
        <v>71</v>
      </c>
      <c r="E639" s="62" t="s">
        <v>382</v>
      </c>
      <c r="F639" s="63" t="s">
        <v>392</v>
      </c>
      <c r="G639" s="64" t="n">
        <v>0</v>
      </c>
      <c r="H639" s="62" t="s">
        <v>138</v>
      </c>
    </row>
    <row r="640" customFormat="false" ht="15" hidden="false" customHeight="false" outlineLevel="0" collapsed="false">
      <c r="A640" s="62" t="n">
        <v>0</v>
      </c>
      <c r="B640" s="62" t="s">
        <v>387</v>
      </c>
      <c r="C640" s="62" t="s">
        <v>60</v>
      </c>
      <c r="D640" s="62" t="s">
        <v>71</v>
      </c>
      <c r="E640" s="62" t="s">
        <v>382</v>
      </c>
      <c r="F640" s="63" t="s">
        <v>392</v>
      </c>
      <c r="G640" s="64" t="n">
        <v>0</v>
      </c>
      <c r="H640" s="62" t="s">
        <v>138</v>
      </c>
    </row>
    <row r="641" customFormat="false" ht="15" hidden="false" customHeight="false" outlineLevel="0" collapsed="false">
      <c r="A641" s="62" t="n">
        <v>0</v>
      </c>
      <c r="B641" s="62" t="s">
        <v>388</v>
      </c>
      <c r="C641" s="62" t="s">
        <v>60</v>
      </c>
      <c r="D641" s="62" t="s">
        <v>71</v>
      </c>
      <c r="E641" s="62" t="s">
        <v>382</v>
      </c>
      <c r="F641" s="63" t="s">
        <v>392</v>
      </c>
      <c r="G641" s="64" t="n">
        <v>0</v>
      </c>
      <c r="H641" s="62" t="s">
        <v>138</v>
      </c>
    </row>
    <row r="642" customFormat="false" ht="15" hidden="false" customHeight="false" outlineLevel="0" collapsed="false">
      <c r="A642" s="62" t="n">
        <v>0</v>
      </c>
      <c r="B642" s="62" t="s">
        <v>381</v>
      </c>
      <c r="C642" s="62" t="s">
        <v>60</v>
      </c>
      <c r="D642" s="62" t="s">
        <v>71</v>
      </c>
      <c r="E642" s="62" t="s">
        <v>382</v>
      </c>
      <c r="F642" s="63" t="s">
        <v>393</v>
      </c>
      <c r="G642" s="64" t="n">
        <v>171293.206349206</v>
      </c>
      <c r="H642" s="62" t="s">
        <v>138</v>
      </c>
    </row>
    <row r="643" customFormat="false" ht="15" hidden="false" customHeight="false" outlineLevel="0" collapsed="false">
      <c r="A643" s="62" t="n">
        <v>0</v>
      </c>
      <c r="B643" s="62" t="s">
        <v>383</v>
      </c>
      <c r="C643" s="62" t="s">
        <v>60</v>
      </c>
      <c r="D643" s="62" t="s">
        <v>71</v>
      </c>
      <c r="E643" s="62" t="s">
        <v>382</v>
      </c>
      <c r="F643" s="63" t="s">
        <v>393</v>
      </c>
      <c r="G643" s="64" t="n">
        <v>171293.206349206</v>
      </c>
      <c r="H643" s="62" t="s">
        <v>138</v>
      </c>
    </row>
    <row r="644" customFormat="false" ht="15" hidden="false" customHeight="false" outlineLevel="0" collapsed="false">
      <c r="A644" s="62" t="n">
        <v>0</v>
      </c>
      <c r="B644" s="62" t="s">
        <v>384</v>
      </c>
      <c r="C644" s="62" t="s">
        <v>60</v>
      </c>
      <c r="D644" s="62" t="s">
        <v>71</v>
      </c>
      <c r="E644" s="62" t="s">
        <v>382</v>
      </c>
      <c r="F644" s="63" t="s">
        <v>393</v>
      </c>
      <c r="G644" s="64" t="n">
        <v>171293.206349206</v>
      </c>
      <c r="H644" s="62" t="s">
        <v>138</v>
      </c>
    </row>
    <row r="645" customFormat="false" ht="15" hidden="false" customHeight="false" outlineLevel="0" collapsed="false">
      <c r="A645" s="62" t="n">
        <v>0</v>
      </c>
      <c r="B645" s="62" t="s">
        <v>385</v>
      </c>
      <c r="C645" s="62" t="s">
        <v>60</v>
      </c>
      <c r="D645" s="62" t="s">
        <v>71</v>
      </c>
      <c r="E645" s="62" t="s">
        <v>382</v>
      </c>
      <c r="F645" s="63" t="s">
        <v>393</v>
      </c>
      <c r="G645" s="64" t="n">
        <v>171293.206349206</v>
      </c>
      <c r="H645" s="62" t="s">
        <v>138</v>
      </c>
    </row>
    <row r="646" customFormat="false" ht="15" hidden="false" customHeight="false" outlineLevel="0" collapsed="false">
      <c r="A646" s="62" t="n">
        <v>0</v>
      </c>
      <c r="B646" s="62" t="s">
        <v>386</v>
      </c>
      <c r="C646" s="62" t="s">
        <v>60</v>
      </c>
      <c r="D646" s="62" t="s">
        <v>71</v>
      </c>
      <c r="E646" s="62" t="s">
        <v>382</v>
      </c>
      <c r="F646" s="63" t="s">
        <v>393</v>
      </c>
      <c r="G646" s="64" t="n">
        <v>171293.206349206</v>
      </c>
      <c r="H646" s="62" t="s">
        <v>138</v>
      </c>
    </row>
    <row r="647" customFormat="false" ht="15" hidden="false" customHeight="false" outlineLevel="0" collapsed="false">
      <c r="A647" s="62" t="n">
        <v>0</v>
      </c>
      <c r="B647" s="62" t="s">
        <v>387</v>
      </c>
      <c r="C647" s="62" t="s">
        <v>60</v>
      </c>
      <c r="D647" s="62" t="s">
        <v>71</v>
      </c>
      <c r="E647" s="62" t="s">
        <v>382</v>
      </c>
      <c r="F647" s="63" t="s">
        <v>393</v>
      </c>
      <c r="G647" s="64" t="n">
        <v>171293.206349206</v>
      </c>
      <c r="H647" s="62" t="s">
        <v>138</v>
      </c>
    </row>
    <row r="648" customFormat="false" ht="15" hidden="false" customHeight="false" outlineLevel="0" collapsed="false">
      <c r="A648" s="62" t="n">
        <v>0</v>
      </c>
      <c r="B648" s="62" t="s">
        <v>388</v>
      </c>
      <c r="C648" s="62" t="s">
        <v>60</v>
      </c>
      <c r="D648" s="62" t="s">
        <v>71</v>
      </c>
      <c r="E648" s="62" t="s">
        <v>382</v>
      </c>
      <c r="F648" s="63" t="s">
        <v>393</v>
      </c>
      <c r="G648" s="64" t="n">
        <v>171293.206349206</v>
      </c>
      <c r="H648" s="62" t="s">
        <v>138</v>
      </c>
    </row>
    <row r="649" customFormat="false" ht="15" hidden="false" customHeight="false" outlineLevel="0" collapsed="false">
      <c r="A649" s="62" t="n">
        <v>0</v>
      </c>
      <c r="B649" s="62" t="s">
        <v>381</v>
      </c>
      <c r="C649" s="62" t="s">
        <v>60</v>
      </c>
      <c r="D649" s="62" t="s">
        <v>71</v>
      </c>
      <c r="E649" s="62" t="s">
        <v>382</v>
      </c>
      <c r="F649" s="63" t="s">
        <v>394</v>
      </c>
      <c r="G649" s="64" t="n">
        <v>300000</v>
      </c>
      <c r="H649" s="62" t="s">
        <v>138</v>
      </c>
    </row>
    <row r="650" customFormat="false" ht="15" hidden="false" customHeight="false" outlineLevel="0" collapsed="false">
      <c r="A650" s="62" t="n">
        <v>0</v>
      </c>
      <c r="B650" s="62" t="s">
        <v>383</v>
      </c>
      <c r="C650" s="62" t="s">
        <v>60</v>
      </c>
      <c r="D650" s="62" t="s">
        <v>71</v>
      </c>
      <c r="E650" s="62" t="s">
        <v>382</v>
      </c>
      <c r="F650" s="63" t="s">
        <v>394</v>
      </c>
      <c r="G650" s="64" t="n">
        <v>300000</v>
      </c>
      <c r="H650" s="62" t="s">
        <v>138</v>
      </c>
    </row>
    <row r="651" customFormat="false" ht="15" hidden="false" customHeight="false" outlineLevel="0" collapsed="false">
      <c r="A651" s="62" t="n">
        <v>0</v>
      </c>
      <c r="B651" s="62" t="s">
        <v>384</v>
      </c>
      <c r="C651" s="62" t="s">
        <v>60</v>
      </c>
      <c r="D651" s="62" t="s">
        <v>71</v>
      </c>
      <c r="E651" s="62" t="s">
        <v>382</v>
      </c>
      <c r="F651" s="63" t="s">
        <v>394</v>
      </c>
      <c r="G651" s="64" t="n">
        <v>300000</v>
      </c>
      <c r="H651" s="62" t="s">
        <v>138</v>
      </c>
    </row>
    <row r="652" customFormat="false" ht="15" hidden="false" customHeight="false" outlineLevel="0" collapsed="false">
      <c r="A652" s="62" t="n">
        <v>0</v>
      </c>
      <c r="B652" s="62" t="s">
        <v>385</v>
      </c>
      <c r="C652" s="62" t="s">
        <v>60</v>
      </c>
      <c r="D652" s="62" t="s">
        <v>71</v>
      </c>
      <c r="E652" s="62" t="s">
        <v>382</v>
      </c>
      <c r="F652" s="63" t="s">
        <v>394</v>
      </c>
      <c r="G652" s="64" t="n">
        <v>300000</v>
      </c>
      <c r="H652" s="62" t="s">
        <v>138</v>
      </c>
    </row>
    <row r="653" customFormat="false" ht="15" hidden="false" customHeight="false" outlineLevel="0" collapsed="false">
      <c r="A653" s="62" t="n">
        <v>0</v>
      </c>
      <c r="B653" s="62" t="s">
        <v>386</v>
      </c>
      <c r="C653" s="62" t="s">
        <v>60</v>
      </c>
      <c r="D653" s="62" t="s">
        <v>71</v>
      </c>
      <c r="E653" s="62" t="s">
        <v>382</v>
      </c>
      <c r="F653" s="63" t="s">
        <v>394</v>
      </c>
      <c r="G653" s="64" t="n">
        <v>300000</v>
      </c>
      <c r="H653" s="62" t="s">
        <v>138</v>
      </c>
    </row>
    <row r="654" customFormat="false" ht="15" hidden="false" customHeight="false" outlineLevel="0" collapsed="false">
      <c r="A654" s="62" t="n">
        <v>0</v>
      </c>
      <c r="B654" s="62" t="s">
        <v>387</v>
      </c>
      <c r="C654" s="62" t="s">
        <v>60</v>
      </c>
      <c r="D654" s="62" t="s">
        <v>71</v>
      </c>
      <c r="E654" s="62" t="s">
        <v>382</v>
      </c>
      <c r="F654" s="63" t="s">
        <v>394</v>
      </c>
      <c r="G654" s="64" t="n">
        <v>300000</v>
      </c>
      <c r="H654" s="62" t="s">
        <v>138</v>
      </c>
    </row>
    <row r="655" customFormat="false" ht="15" hidden="false" customHeight="false" outlineLevel="0" collapsed="false">
      <c r="A655" s="62" t="n">
        <v>0</v>
      </c>
      <c r="B655" s="62" t="s">
        <v>388</v>
      </c>
      <c r="C655" s="62" t="s">
        <v>60</v>
      </c>
      <c r="D655" s="62" t="s">
        <v>71</v>
      </c>
      <c r="E655" s="62" t="s">
        <v>382</v>
      </c>
      <c r="F655" s="63" t="s">
        <v>394</v>
      </c>
      <c r="G655" s="64" t="n">
        <v>300000</v>
      </c>
      <c r="H655" s="62" t="s">
        <v>138</v>
      </c>
    </row>
    <row r="656" customFormat="false" ht="15" hidden="false" customHeight="false" outlineLevel="0" collapsed="false">
      <c r="A656" s="62" t="n">
        <v>0</v>
      </c>
      <c r="B656" s="62" t="s">
        <v>381</v>
      </c>
      <c r="C656" s="62" t="s">
        <v>60</v>
      </c>
      <c r="D656" s="62" t="s">
        <v>71</v>
      </c>
      <c r="E656" s="62" t="s">
        <v>382</v>
      </c>
      <c r="F656" s="63" t="s">
        <v>395</v>
      </c>
      <c r="G656" s="64" t="n">
        <v>106211.516898884</v>
      </c>
      <c r="H656" s="62" t="s">
        <v>138</v>
      </c>
    </row>
    <row r="657" customFormat="false" ht="15" hidden="false" customHeight="false" outlineLevel="0" collapsed="false">
      <c r="A657" s="62" t="n">
        <v>0</v>
      </c>
      <c r="B657" s="62" t="s">
        <v>383</v>
      </c>
      <c r="C657" s="62" t="s">
        <v>60</v>
      </c>
      <c r="D657" s="62" t="s">
        <v>71</v>
      </c>
      <c r="E657" s="62" t="s">
        <v>382</v>
      </c>
      <c r="F657" s="63" t="s">
        <v>395</v>
      </c>
      <c r="G657" s="64" t="n">
        <v>106211.516898884</v>
      </c>
      <c r="H657" s="62" t="s">
        <v>138</v>
      </c>
    </row>
    <row r="658" customFormat="false" ht="15" hidden="false" customHeight="false" outlineLevel="0" collapsed="false">
      <c r="A658" s="62" t="n">
        <v>0</v>
      </c>
      <c r="B658" s="62" t="s">
        <v>384</v>
      </c>
      <c r="C658" s="62" t="s">
        <v>60</v>
      </c>
      <c r="D658" s="62" t="s">
        <v>71</v>
      </c>
      <c r="E658" s="62" t="s">
        <v>382</v>
      </c>
      <c r="F658" s="63" t="s">
        <v>395</v>
      </c>
      <c r="G658" s="64" t="n">
        <v>106211.516898884</v>
      </c>
      <c r="H658" s="62" t="s">
        <v>138</v>
      </c>
    </row>
    <row r="659" customFormat="false" ht="15" hidden="false" customHeight="false" outlineLevel="0" collapsed="false">
      <c r="A659" s="62" t="n">
        <v>0</v>
      </c>
      <c r="B659" s="62" t="s">
        <v>385</v>
      </c>
      <c r="C659" s="62" t="s">
        <v>60</v>
      </c>
      <c r="D659" s="62" t="s">
        <v>71</v>
      </c>
      <c r="E659" s="62" t="s">
        <v>382</v>
      </c>
      <c r="F659" s="63" t="s">
        <v>395</v>
      </c>
      <c r="G659" s="64" t="n">
        <v>106211.516898884</v>
      </c>
      <c r="H659" s="62" t="s">
        <v>138</v>
      </c>
    </row>
    <row r="660" customFormat="false" ht="15" hidden="false" customHeight="false" outlineLevel="0" collapsed="false">
      <c r="A660" s="62" t="n">
        <v>0</v>
      </c>
      <c r="B660" s="62" t="s">
        <v>386</v>
      </c>
      <c r="C660" s="62" t="s">
        <v>60</v>
      </c>
      <c r="D660" s="62" t="s">
        <v>71</v>
      </c>
      <c r="E660" s="62" t="s">
        <v>382</v>
      </c>
      <c r="F660" s="63" t="s">
        <v>395</v>
      </c>
      <c r="G660" s="64" t="n">
        <v>106211.516898884</v>
      </c>
      <c r="H660" s="62" t="s">
        <v>138</v>
      </c>
    </row>
    <row r="661" customFormat="false" ht="15" hidden="false" customHeight="false" outlineLevel="0" collapsed="false">
      <c r="A661" s="62" t="n">
        <v>0</v>
      </c>
      <c r="B661" s="62" t="s">
        <v>387</v>
      </c>
      <c r="C661" s="62" t="s">
        <v>60</v>
      </c>
      <c r="D661" s="62" t="s">
        <v>71</v>
      </c>
      <c r="E661" s="62" t="s">
        <v>382</v>
      </c>
      <c r="F661" s="63" t="s">
        <v>395</v>
      </c>
      <c r="G661" s="64" t="n">
        <v>106211.516898884</v>
      </c>
      <c r="H661" s="62" t="s">
        <v>138</v>
      </c>
    </row>
    <row r="662" customFormat="false" ht="15" hidden="false" customHeight="false" outlineLevel="0" collapsed="false">
      <c r="A662" s="62" t="n">
        <v>0</v>
      </c>
      <c r="B662" s="62" t="s">
        <v>388</v>
      </c>
      <c r="C662" s="62" t="s">
        <v>60</v>
      </c>
      <c r="D662" s="62" t="s">
        <v>71</v>
      </c>
      <c r="E662" s="62" t="s">
        <v>382</v>
      </c>
      <c r="F662" s="63" t="s">
        <v>395</v>
      </c>
      <c r="G662" s="64" t="n">
        <v>106211.516898884</v>
      </c>
      <c r="H662" s="62" t="s">
        <v>138</v>
      </c>
    </row>
    <row r="663" customFormat="false" ht="15" hidden="false" customHeight="false" outlineLevel="0" collapsed="false">
      <c r="A663" s="62" t="n">
        <v>0</v>
      </c>
      <c r="B663" s="62" t="s">
        <v>381</v>
      </c>
      <c r="C663" s="62" t="s">
        <v>60</v>
      </c>
      <c r="D663" s="62" t="s">
        <v>71</v>
      </c>
      <c r="E663" s="62" t="s">
        <v>382</v>
      </c>
      <c r="F663" s="63" t="s">
        <v>403</v>
      </c>
      <c r="G663" s="64" t="n">
        <v>0</v>
      </c>
      <c r="H663" s="62" t="s">
        <v>138</v>
      </c>
    </row>
    <row r="664" customFormat="false" ht="15" hidden="false" customHeight="false" outlineLevel="0" collapsed="false">
      <c r="A664" s="62" t="n">
        <v>0</v>
      </c>
      <c r="B664" s="62" t="s">
        <v>383</v>
      </c>
      <c r="C664" s="62" t="s">
        <v>60</v>
      </c>
      <c r="D664" s="62" t="s">
        <v>71</v>
      </c>
      <c r="E664" s="62" t="s">
        <v>382</v>
      </c>
      <c r="F664" s="63" t="s">
        <v>403</v>
      </c>
      <c r="G664" s="64" t="n">
        <v>0</v>
      </c>
      <c r="H664" s="62" t="s">
        <v>138</v>
      </c>
    </row>
    <row r="665" customFormat="false" ht="15" hidden="false" customHeight="false" outlineLevel="0" collapsed="false">
      <c r="A665" s="62" t="n">
        <v>0</v>
      </c>
      <c r="B665" s="62" t="s">
        <v>384</v>
      </c>
      <c r="C665" s="62" t="s">
        <v>60</v>
      </c>
      <c r="D665" s="62" t="s">
        <v>71</v>
      </c>
      <c r="E665" s="62" t="s">
        <v>382</v>
      </c>
      <c r="F665" s="63" t="s">
        <v>403</v>
      </c>
      <c r="G665" s="64" t="n">
        <v>0</v>
      </c>
      <c r="H665" s="62" t="s">
        <v>138</v>
      </c>
    </row>
    <row r="666" customFormat="false" ht="15" hidden="false" customHeight="false" outlineLevel="0" collapsed="false">
      <c r="A666" s="62" t="n">
        <v>0</v>
      </c>
      <c r="B666" s="62" t="s">
        <v>385</v>
      </c>
      <c r="C666" s="62" t="s">
        <v>60</v>
      </c>
      <c r="D666" s="62" t="s">
        <v>71</v>
      </c>
      <c r="E666" s="62" t="s">
        <v>382</v>
      </c>
      <c r="F666" s="63" t="s">
        <v>403</v>
      </c>
      <c r="G666" s="64" t="n">
        <v>0</v>
      </c>
      <c r="H666" s="62" t="s">
        <v>138</v>
      </c>
    </row>
    <row r="667" customFormat="false" ht="15" hidden="false" customHeight="false" outlineLevel="0" collapsed="false">
      <c r="A667" s="62" t="n">
        <v>0</v>
      </c>
      <c r="B667" s="62" t="s">
        <v>386</v>
      </c>
      <c r="C667" s="62" t="s">
        <v>60</v>
      </c>
      <c r="D667" s="62" t="s">
        <v>71</v>
      </c>
      <c r="E667" s="62" t="s">
        <v>382</v>
      </c>
      <c r="F667" s="63" t="s">
        <v>403</v>
      </c>
      <c r="G667" s="64" t="n">
        <v>0</v>
      </c>
      <c r="H667" s="62" t="s">
        <v>138</v>
      </c>
    </row>
    <row r="668" customFormat="false" ht="15" hidden="false" customHeight="false" outlineLevel="0" collapsed="false">
      <c r="A668" s="62" t="n">
        <v>0</v>
      </c>
      <c r="B668" s="62" t="s">
        <v>387</v>
      </c>
      <c r="C668" s="62" t="s">
        <v>60</v>
      </c>
      <c r="D668" s="62" t="s">
        <v>71</v>
      </c>
      <c r="E668" s="62" t="s">
        <v>382</v>
      </c>
      <c r="F668" s="63" t="s">
        <v>403</v>
      </c>
      <c r="G668" s="64" t="n">
        <v>0</v>
      </c>
      <c r="H668" s="62" t="s">
        <v>138</v>
      </c>
    </row>
    <row r="669" customFormat="false" ht="15" hidden="false" customHeight="false" outlineLevel="0" collapsed="false">
      <c r="A669" s="62" t="n">
        <v>0</v>
      </c>
      <c r="B669" s="62" t="s">
        <v>388</v>
      </c>
      <c r="C669" s="62" t="s">
        <v>60</v>
      </c>
      <c r="D669" s="62" t="s">
        <v>71</v>
      </c>
      <c r="E669" s="62" t="s">
        <v>382</v>
      </c>
      <c r="F669" s="63" t="s">
        <v>403</v>
      </c>
      <c r="G669" s="64" t="n">
        <v>0</v>
      </c>
      <c r="H669" s="62" t="s">
        <v>138</v>
      </c>
    </row>
    <row r="670" customFormat="false" ht="15" hidden="false" customHeight="false" outlineLevel="0" collapsed="false">
      <c r="A670" s="62" t="n">
        <v>0</v>
      </c>
      <c r="B670" s="62" t="s">
        <v>381</v>
      </c>
      <c r="C670" s="62" t="s">
        <v>60</v>
      </c>
      <c r="D670" s="62" t="s">
        <v>71</v>
      </c>
      <c r="E670" s="62" t="s">
        <v>382</v>
      </c>
      <c r="F670" s="63" t="s">
        <v>404</v>
      </c>
      <c r="G670" s="64" t="n">
        <v>11642843.4680256</v>
      </c>
      <c r="H670" s="62" t="s">
        <v>138</v>
      </c>
    </row>
    <row r="671" customFormat="false" ht="15" hidden="false" customHeight="false" outlineLevel="0" collapsed="false">
      <c r="A671" s="62" t="n">
        <v>0</v>
      </c>
      <c r="B671" s="62" t="s">
        <v>383</v>
      </c>
      <c r="C671" s="62" t="s">
        <v>60</v>
      </c>
      <c r="D671" s="62" t="s">
        <v>71</v>
      </c>
      <c r="E671" s="62" t="s">
        <v>382</v>
      </c>
      <c r="F671" s="63" t="s">
        <v>404</v>
      </c>
      <c r="G671" s="64" t="n">
        <v>11642843.4680256</v>
      </c>
      <c r="H671" s="62" t="s">
        <v>138</v>
      </c>
    </row>
    <row r="672" customFormat="false" ht="15" hidden="false" customHeight="false" outlineLevel="0" collapsed="false">
      <c r="A672" s="62" t="n">
        <v>0</v>
      </c>
      <c r="B672" s="62" t="s">
        <v>384</v>
      </c>
      <c r="C672" s="62" t="s">
        <v>60</v>
      </c>
      <c r="D672" s="62" t="s">
        <v>71</v>
      </c>
      <c r="E672" s="62" t="s">
        <v>382</v>
      </c>
      <c r="F672" s="63" t="s">
        <v>404</v>
      </c>
      <c r="G672" s="64" t="n">
        <v>11642843.4680256</v>
      </c>
      <c r="H672" s="62" t="s">
        <v>138</v>
      </c>
    </row>
    <row r="673" customFormat="false" ht="15" hidden="false" customHeight="false" outlineLevel="0" collapsed="false">
      <c r="A673" s="62" t="n">
        <v>0</v>
      </c>
      <c r="B673" s="62" t="s">
        <v>385</v>
      </c>
      <c r="C673" s="62" t="s">
        <v>60</v>
      </c>
      <c r="D673" s="62" t="s">
        <v>71</v>
      </c>
      <c r="E673" s="62" t="s">
        <v>382</v>
      </c>
      <c r="F673" s="63" t="s">
        <v>404</v>
      </c>
      <c r="G673" s="64" t="n">
        <v>11642843.4680256</v>
      </c>
      <c r="H673" s="62" t="s">
        <v>138</v>
      </c>
    </row>
    <row r="674" customFormat="false" ht="15" hidden="false" customHeight="false" outlineLevel="0" collapsed="false">
      <c r="A674" s="62" t="n">
        <v>0</v>
      </c>
      <c r="B674" s="62" t="s">
        <v>386</v>
      </c>
      <c r="C674" s="62" t="s">
        <v>60</v>
      </c>
      <c r="D674" s="62" t="s">
        <v>71</v>
      </c>
      <c r="E674" s="62" t="s">
        <v>382</v>
      </c>
      <c r="F674" s="63" t="s">
        <v>404</v>
      </c>
      <c r="G674" s="64" t="n">
        <v>11642843.4680256</v>
      </c>
      <c r="H674" s="62" t="s">
        <v>138</v>
      </c>
    </row>
    <row r="675" customFormat="false" ht="15" hidden="false" customHeight="false" outlineLevel="0" collapsed="false">
      <c r="A675" s="62" t="n">
        <v>0</v>
      </c>
      <c r="B675" s="62" t="s">
        <v>387</v>
      </c>
      <c r="C675" s="62" t="s">
        <v>60</v>
      </c>
      <c r="D675" s="62" t="s">
        <v>71</v>
      </c>
      <c r="E675" s="62" t="s">
        <v>382</v>
      </c>
      <c r="F675" s="63" t="s">
        <v>404</v>
      </c>
      <c r="G675" s="64" t="n">
        <v>11642843.4680256</v>
      </c>
      <c r="H675" s="62" t="s">
        <v>138</v>
      </c>
    </row>
    <row r="676" customFormat="false" ht="15" hidden="false" customHeight="false" outlineLevel="0" collapsed="false">
      <c r="A676" s="62" t="n">
        <v>0</v>
      </c>
      <c r="B676" s="62" t="s">
        <v>388</v>
      </c>
      <c r="C676" s="62" t="s">
        <v>60</v>
      </c>
      <c r="D676" s="62" t="s">
        <v>71</v>
      </c>
      <c r="E676" s="62" t="s">
        <v>382</v>
      </c>
      <c r="F676" s="63" t="s">
        <v>404</v>
      </c>
      <c r="G676" s="64" t="n">
        <v>11642843.4680256</v>
      </c>
      <c r="H676" s="62" t="s">
        <v>138</v>
      </c>
    </row>
    <row r="677" customFormat="false" ht="15" hidden="false" customHeight="false" outlineLevel="0" collapsed="false">
      <c r="A677" s="62" t="n">
        <v>0</v>
      </c>
      <c r="B677" s="62" t="s">
        <v>381</v>
      </c>
      <c r="C677" s="62" t="s">
        <v>60</v>
      </c>
      <c r="D677" s="62" t="s">
        <v>71</v>
      </c>
      <c r="E677" s="62" t="s">
        <v>382</v>
      </c>
      <c r="F677" s="63" t="s">
        <v>405</v>
      </c>
      <c r="G677" s="64" t="n">
        <v>834664.709801374</v>
      </c>
      <c r="H677" s="62" t="s">
        <v>138</v>
      </c>
    </row>
    <row r="678" customFormat="false" ht="15" hidden="false" customHeight="false" outlineLevel="0" collapsed="false">
      <c r="A678" s="62" t="n">
        <v>0</v>
      </c>
      <c r="B678" s="62" t="s">
        <v>383</v>
      </c>
      <c r="C678" s="62" t="s">
        <v>60</v>
      </c>
      <c r="D678" s="62" t="s">
        <v>71</v>
      </c>
      <c r="E678" s="62" t="s">
        <v>382</v>
      </c>
      <c r="F678" s="63" t="s">
        <v>405</v>
      </c>
      <c r="G678" s="64" t="n">
        <v>834664.709801374</v>
      </c>
      <c r="H678" s="62" t="s">
        <v>138</v>
      </c>
    </row>
    <row r="679" customFormat="false" ht="15" hidden="false" customHeight="false" outlineLevel="0" collapsed="false">
      <c r="A679" s="62" t="n">
        <v>0</v>
      </c>
      <c r="B679" s="62" t="s">
        <v>384</v>
      </c>
      <c r="C679" s="62" t="s">
        <v>60</v>
      </c>
      <c r="D679" s="62" t="s">
        <v>71</v>
      </c>
      <c r="E679" s="62" t="s">
        <v>382</v>
      </c>
      <c r="F679" s="63" t="s">
        <v>405</v>
      </c>
      <c r="G679" s="64" t="n">
        <v>834664.709801374</v>
      </c>
      <c r="H679" s="62" t="s">
        <v>138</v>
      </c>
    </row>
    <row r="680" customFormat="false" ht="15" hidden="false" customHeight="false" outlineLevel="0" collapsed="false">
      <c r="A680" s="62" t="n">
        <v>0</v>
      </c>
      <c r="B680" s="62" t="s">
        <v>385</v>
      </c>
      <c r="C680" s="62" t="s">
        <v>60</v>
      </c>
      <c r="D680" s="62" t="s">
        <v>71</v>
      </c>
      <c r="E680" s="62" t="s">
        <v>382</v>
      </c>
      <c r="F680" s="63" t="s">
        <v>405</v>
      </c>
      <c r="G680" s="64" t="n">
        <v>834664.709801374</v>
      </c>
      <c r="H680" s="62" t="s">
        <v>138</v>
      </c>
    </row>
    <row r="681" customFormat="false" ht="15" hidden="false" customHeight="false" outlineLevel="0" collapsed="false">
      <c r="A681" s="62" t="n">
        <v>0</v>
      </c>
      <c r="B681" s="62" t="s">
        <v>386</v>
      </c>
      <c r="C681" s="62" t="s">
        <v>60</v>
      </c>
      <c r="D681" s="62" t="s">
        <v>71</v>
      </c>
      <c r="E681" s="62" t="s">
        <v>382</v>
      </c>
      <c r="F681" s="63" t="s">
        <v>405</v>
      </c>
      <c r="G681" s="64" t="n">
        <v>834664.709801374</v>
      </c>
      <c r="H681" s="62" t="s">
        <v>138</v>
      </c>
    </row>
    <row r="682" customFormat="false" ht="15" hidden="false" customHeight="false" outlineLevel="0" collapsed="false">
      <c r="A682" s="62" t="n">
        <v>0</v>
      </c>
      <c r="B682" s="62" t="s">
        <v>387</v>
      </c>
      <c r="C682" s="62" t="s">
        <v>60</v>
      </c>
      <c r="D682" s="62" t="s">
        <v>71</v>
      </c>
      <c r="E682" s="62" t="s">
        <v>382</v>
      </c>
      <c r="F682" s="63" t="s">
        <v>405</v>
      </c>
      <c r="G682" s="64" t="n">
        <v>834664.709801374</v>
      </c>
      <c r="H682" s="62" t="s">
        <v>138</v>
      </c>
    </row>
    <row r="683" customFormat="false" ht="15" hidden="false" customHeight="false" outlineLevel="0" collapsed="false">
      <c r="A683" s="62" t="n">
        <v>0</v>
      </c>
      <c r="B683" s="62" t="s">
        <v>388</v>
      </c>
      <c r="C683" s="62" t="s">
        <v>60</v>
      </c>
      <c r="D683" s="62" t="s">
        <v>71</v>
      </c>
      <c r="E683" s="62" t="s">
        <v>382</v>
      </c>
      <c r="F683" s="63" t="s">
        <v>405</v>
      </c>
      <c r="G683" s="64" t="n">
        <v>834664.709801374</v>
      </c>
      <c r="H683" s="62" t="s">
        <v>138</v>
      </c>
    </row>
    <row r="684" customFormat="false" ht="15" hidden="false" customHeight="false" outlineLevel="0" collapsed="false">
      <c r="A684" s="62" t="n">
        <v>0</v>
      </c>
      <c r="B684" s="62" t="s">
        <v>381</v>
      </c>
      <c r="C684" s="62" t="s">
        <v>60</v>
      </c>
      <c r="D684" s="62" t="s">
        <v>71</v>
      </c>
      <c r="E684" s="62" t="s">
        <v>382</v>
      </c>
      <c r="F684" s="63" t="s">
        <v>406</v>
      </c>
      <c r="G684" s="64" t="n">
        <v>198065.4</v>
      </c>
      <c r="H684" s="62" t="s">
        <v>138</v>
      </c>
    </row>
    <row r="685" customFormat="false" ht="15" hidden="false" customHeight="false" outlineLevel="0" collapsed="false">
      <c r="A685" s="62" t="n">
        <v>0</v>
      </c>
      <c r="B685" s="62" t="s">
        <v>383</v>
      </c>
      <c r="C685" s="62" t="s">
        <v>60</v>
      </c>
      <c r="D685" s="62" t="s">
        <v>71</v>
      </c>
      <c r="E685" s="62" t="s">
        <v>382</v>
      </c>
      <c r="F685" s="63" t="s">
        <v>406</v>
      </c>
      <c r="G685" s="64" t="n">
        <v>198065.4</v>
      </c>
      <c r="H685" s="62" t="s">
        <v>138</v>
      </c>
    </row>
    <row r="686" customFormat="false" ht="15" hidden="false" customHeight="false" outlineLevel="0" collapsed="false">
      <c r="A686" s="62" t="n">
        <v>0</v>
      </c>
      <c r="B686" s="62" t="s">
        <v>384</v>
      </c>
      <c r="C686" s="62" t="s">
        <v>60</v>
      </c>
      <c r="D686" s="62" t="s">
        <v>71</v>
      </c>
      <c r="E686" s="62" t="s">
        <v>382</v>
      </c>
      <c r="F686" s="63" t="s">
        <v>406</v>
      </c>
      <c r="G686" s="64" t="n">
        <v>198065.4</v>
      </c>
      <c r="H686" s="62" t="s">
        <v>138</v>
      </c>
    </row>
    <row r="687" customFormat="false" ht="15" hidden="false" customHeight="false" outlineLevel="0" collapsed="false">
      <c r="A687" s="62" t="n">
        <v>0</v>
      </c>
      <c r="B687" s="62" t="s">
        <v>385</v>
      </c>
      <c r="C687" s="62" t="s">
        <v>60</v>
      </c>
      <c r="D687" s="62" t="s">
        <v>71</v>
      </c>
      <c r="E687" s="62" t="s">
        <v>382</v>
      </c>
      <c r="F687" s="63" t="s">
        <v>406</v>
      </c>
      <c r="G687" s="64" t="n">
        <v>198065.4</v>
      </c>
      <c r="H687" s="62" t="s">
        <v>138</v>
      </c>
    </row>
    <row r="688" customFormat="false" ht="15" hidden="false" customHeight="false" outlineLevel="0" collapsed="false">
      <c r="A688" s="62" t="n">
        <v>0</v>
      </c>
      <c r="B688" s="62" t="s">
        <v>386</v>
      </c>
      <c r="C688" s="62" t="s">
        <v>60</v>
      </c>
      <c r="D688" s="62" t="s">
        <v>71</v>
      </c>
      <c r="E688" s="62" t="s">
        <v>382</v>
      </c>
      <c r="F688" s="63" t="s">
        <v>406</v>
      </c>
      <c r="G688" s="64" t="n">
        <v>198065.4</v>
      </c>
      <c r="H688" s="62" t="s">
        <v>138</v>
      </c>
    </row>
    <row r="689" customFormat="false" ht="15" hidden="false" customHeight="false" outlineLevel="0" collapsed="false">
      <c r="A689" s="62" t="n">
        <v>0</v>
      </c>
      <c r="B689" s="62" t="s">
        <v>387</v>
      </c>
      <c r="C689" s="62" t="s">
        <v>60</v>
      </c>
      <c r="D689" s="62" t="s">
        <v>71</v>
      </c>
      <c r="E689" s="62" t="s">
        <v>382</v>
      </c>
      <c r="F689" s="63" t="s">
        <v>406</v>
      </c>
      <c r="G689" s="64" t="n">
        <v>198065.4</v>
      </c>
      <c r="H689" s="62" t="s">
        <v>138</v>
      </c>
    </row>
    <row r="690" customFormat="false" ht="15" hidden="false" customHeight="false" outlineLevel="0" collapsed="false">
      <c r="A690" s="62" t="n">
        <v>0</v>
      </c>
      <c r="B690" s="62" t="s">
        <v>388</v>
      </c>
      <c r="C690" s="62" t="s">
        <v>60</v>
      </c>
      <c r="D690" s="62" t="s">
        <v>71</v>
      </c>
      <c r="E690" s="62" t="s">
        <v>382</v>
      </c>
      <c r="F690" s="63" t="s">
        <v>406</v>
      </c>
      <c r="G690" s="64" t="n">
        <v>198065.4</v>
      </c>
      <c r="H690" s="62" t="s">
        <v>138</v>
      </c>
    </row>
    <row r="691" customFormat="false" ht="15" hidden="false" customHeight="false" outlineLevel="0" collapsed="false">
      <c r="A691" s="62" t="n">
        <v>0</v>
      </c>
      <c r="B691" s="62" t="s">
        <v>381</v>
      </c>
      <c r="C691" s="62" t="s">
        <v>60</v>
      </c>
      <c r="D691" s="62" t="s">
        <v>71</v>
      </c>
      <c r="E691" s="62" t="s">
        <v>382</v>
      </c>
      <c r="F691" s="63" t="s">
        <v>407</v>
      </c>
      <c r="G691" s="64" t="n">
        <v>636599.309801374</v>
      </c>
      <c r="H691" s="62" t="s">
        <v>138</v>
      </c>
    </row>
    <row r="692" customFormat="false" ht="15" hidden="false" customHeight="false" outlineLevel="0" collapsed="false">
      <c r="A692" s="62" t="n">
        <v>0</v>
      </c>
      <c r="B692" s="62" t="s">
        <v>383</v>
      </c>
      <c r="C692" s="62" t="s">
        <v>60</v>
      </c>
      <c r="D692" s="62" t="s">
        <v>71</v>
      </c>
      <c r="E692" s="62" t="s">
        <v>382</v>
      </c>
      <c r="F692" s="63" t="s">
        <v>407</v>
      </c>
      <c r="G692" s="64" t="n">
        <v>636599.309801374</v>
      </c>
      <c r="H692" s="62" t="s">
        <v>138</v>
      </c>
    </row>
    <row r="693" customFormat="false" ht="15" hidden="false" customHeight="false" outlineLevel="0" collapsed="false">
      <c r="A693" s="62" t="n">
        <v>0</v>
      </c>
      <c r="B693" s="62" t="s">
        <v>384</v>
      </c>
      <c r="C693" s="62" t="s">
        <v>60</v>
      </c>
      <c r="D693" s="62" t="s">
        <v>71</v>
      </c>
      <c r="E693" s="62" t="s">
        <v>382</v>
      </c>
      <c r="F693" s="63" t="s">
        <v>407</v>
      </c>
      <c r="G693" s="64" t="n">
        <v>636599.309801374</v>
      </c>
      <c r="H693" s="62" t="s">
        <v>138</v>
      </c>
    </row>
    <row r="694" customFormat="false" ht="15" hidden="false" customHeight="false" outlineLevel="0" collapsed="false">
      <c r="A694" s="62" t="n">
        <v>0</v>
      </c>
      <c r="B694" s="62" t="s">
        <v>385</v>
      </c>
      <c r="C694" s="62" t="s">
        <v>60</v>
      </c>
      <c r="D694" s="62" t="s">
        <v>71</v>
      </c>
      <c r="E694" s="62" t="s">
        <v>382</v>
      </c>
      <c r="F694" s="63" t="s">
        <v>407</v>
      </c>
      <c r="G694" s="64" t="n">
        <v>636599.309801374</v>
      </c>
      <c r="H694" s="62" t="s">
        <v>138</v>
      </c>
    </row>
    <row r="695" customFormat="false" ht="15" hidden="false" customHeight="false" outlineLevel="0" collapsed="false">
      <c r="A695" s="62" t="n">
        <v>0</v>
      </c>
      <c r="B695" s="62" t="s">
        <v>386</v>
      </c>
      <c r="C695" s="62" t="s">
        <v>60</v>
      </c>
      <c r="D695" s="62" t="s">
        <v>71</v>
      </c>
      <c r="E695" s="62" t="s">
        <v>382</v>
      </c>
      <c r="F695" s="63" t="s">
        <v>407</v>
      </c>
      <c r="G695" s="64" t="n">
        <v>636599.309801374</v>
      </c>
      <c r="H695" s="62" t="s">
        <v>138</v>
      </c>
    </row>
    <row r="696" customFormat="false" ht="15" hidden="false" customHeight="false" outlineLevel="0" collapsed="false">
      <c r="A696" s="62" t="n">
        <v>0</v>
      </c>
      <c r="B696" s="62" t="s">
        <v>387</v>
      </c>
      <c r="C696" s="62" t="s">
        <v>60</v>
      </c>
      <c r="D696" s="62" t="s">
        <v>71</v>
      </c>
      <c r="E696" s="62" t="s">
        <v>382</v>
      </c>
      <c r="F696" s="63" t="s">
        <v>407</v>
      </c>
      <c r="G696" s="64" t="n">
        <v>636599.309801374</v>
      </c>
      <c r="H696" s="62" t="s">
        <v>138</v>
      </c>
    </row>
    <row r="697" customFormat="false" ht="15" hidden="false" customHeight="false" outlineLevel="0" collapsed="false">
      <c r="A697" s="62" t="n">
        <v>0</v>
      </c>
      <c r="B697" s="62" t="s">
        <v>388</v>
      </c>
      <c r="C697" s="62" t="s">
        <v>60</v>
      </c>
      <c r="D697" s="62" t="s">
        <v>71</v>
      </c>
      <c r="E697" s="62" t="s">
        <v>382</v>
      </c>
      <c r="F697" s="63" t="s">
        <v>407</v>
      </c>
      <c r="G697" s="64" t="n">
        <v>636599.309801374</v>
      </c>
      <c r="H697" s="62" t="s">
        <v>138</v>
      </c>
    </row>
    <row r="698" customFormat="false" ht="15" hidden="false" customHeight="false" outlineLevel="0" collapsed="false">
      <c r="A698" s="62" t="n">
        <v>0</v>
      </c>
      <c r="B698" s="62" t="s">
        <v>381</v>
      </c>
      <c r="C698" s="62" t="s">
        <v>60</v>
      </c>
      <c r="D698" s="62" t="s">
        <v>71</v>
      </c>
      <c r="E698" s="62" t="s">
        <v>382</v>
      </c>
      <c r="F698" s="63" t="s">
        <v>408</v>
      </c>
      <c r="G698" s="64" t="n">
        <v>119424.995069532</v>
      </c>
      <c r="H698" s="62" t="s">
        <v>138</v>
      </c>
    </row>
    <row r="699" customFormat="false" ht="15" hidden="false" customHeight="false" outlineLevel="0" collapsed="false">
      <c r="A699" s="62" t="n">
        <v>0</v>
      </c>
      <c r="B699" s="62" t="s">
        <v>383</v>
      </c>
      <c r="C699" s="62" t="s">
        <v>60</v>
      </c>
      <c r="D699" s="62" t="s">
        <v>71</v>
      </c>
      <c r="E699" s="62" t="s">
        <v>382</v>
      </c>
      <c r="F699" s="63" t="s">
        <v>408</v>
      </c>
      <c r="G699" s="64" t="n">
        <v>119424.995069532</v>
      </c>
      <c r="H699" s="62" t="s">
        <v>138</v>
      </c>
    </row>
    <row r="700" customFormat="false" ht="15" hidden="false" customHeight="false" outlineLevel="0" collapsed="false">
      <c r="A700" s="62" t="n">
        <v>0</v>
      </c>
      <c r="B700" s="62" t="s">
        <v>384</v>
      </c>
      <c r="C700" s="62" t="s">
        <v>60</v>
      </c>
      <c r="D700" s="62" t="s">
        <v>71</v>
      </c>
      <c r="E700" s="62" t="s">
        <v>382</v>
      </c>
      <c r="F700" s="63" t="s">
        <v>408</v>
      </c>
      <c r="G700" s="64" t="n">
        <v>119424.995069532</v>
      </c>
      <c r="H700" s="62" t="s">
        <v>138</v>
      </c>
    </row>
    <row r="701" customFormat="false" ht="15" hidden="false" customHeight="false" outlineLevel="0" collapsed="false">
      <c r="A701" s="62" t="n">
        <v>0</v>
      </c>
      <c r="B701" s="62" t="s">
        <v>385</v>
      </c>
      <c r="C701" s="62" t="s">
        <v>60</v>
      </c>
      <c r="D701" s="62" t="s">
        <v>71</v>
      </c>
      <c r="E701" s="62" t="s">
        <v>382</v>
      </c>
      <c r="F701" s="63" t="s">
        <v>408</v>
      </c>
      <c r="G701" s="64" t="n">
        <v>119424.995069532</v>
      </c>
      <c r="H701" s="62" t="s">
        <v>138</v>
      </c>
    </row>
    <row r="702" customFormat="false" ht="15" hidden="false" customHeight="false" outlineLevel="0" collapsed="false">
      <c r="A702" s="62" t="n">
        <v>0</v>
      </c>
      <c r="B702" s="62" t="s">
        <v>386</v>
      </c>
      <c r="C702" s="62" t="s">
        <v>60</v>
      </c>
      <c r="D702" s="62" t="s">
        <v>71</v>
      </c>
      <c r="E702" s="62" t="s">
        <v>382</v>
      </c>
      <c r="F702" s="63" t="s">
        <v>408</v>
      </c>
      <c r="G702" s="64" t="n">
        <v>119424.995069532</v>
      </c>
      <c r="H702" s="62" t="s">
        <v>138</v>
      </c>
    </row>
    <row r="703" customFormat="false" ht="15" hidden="false" customHeight="false" outlineLevel="0" collapsed="false">
      <c r="A703" s="62" t="n">
        <v>0</v>
      </c>
      <c r="B703" s="62" t="s">
        <v>387</v>
      </c>
      <c r="C703" s="62" t="s">
        <v>60</v>
      </c>
      <c r="D703" s="62" t="s">
        <v>71</v>
      </c>
      <c r="E703" s="62" t="s">
        <v>382</v>
      </c>
      <c r="F703" s="63" t="s">
        <v>408</v>
      </c>
      <c r="G703" s="64" t="n">
        <v>119424.995069532</v>
      </c>
      <c r="H703" s="62" t="s">
        <v>138</v>
      </c>
    </row>
    <row r="704" customFormat="false" ht="15" hidden="false" customHeight="false" outlineLevel="0" collapsed="false">
      <c r="A704" s="62" t="n">
        <v>0</v>
      </c>
      <c r="B704" s="62" t="s">
        <v>388</v>
      </c>
      <c r="C704" s="62" t="s">
        <v>60</v>
      </c>
      <c r="D704" s="62" t="s">
        <v>71</v>
      </c>
      <c r="E704" s="62" t="s">
        <v>382</v>
      </c>
      <c r="F704" s="63" t="s">
        <v>408</v>
      </c>
      <c r="G704" s="64" t="n">
        <v>119424.995069532</v>
      </c>
      <c r="H704" s="62" t="s">
        <v>138</v>
      </c>
    </row>
    <row r="705" customFormat="false" ht="15" hidden="false" customHeight="false" outlineLevel="0" collapsed="false">
      <c r="A705" s="62" t="n">
        <v>0</v>
      </c>
      <c r="B705" s="62" t="s">
        <v>381</v>
      </c>
      <c r="C705" s="62" t="s">
        <v>60</v>
      </c>
      <c r="D705" s="62" t="s">
        <v>71</v>
      </c>
      <c r="E705" s="62" t="s">
        <v>382</v>
      </c>
      <c r="F705" s="63" t="s">
        <v>409</v>
      </c>
      <c r="G705" s="64" t="n">
        <v>517174.314731842</v>
      </c>
      <c r="H705" s="62" t="s">
        <v>138</v>
      </c>
    </row>
    <row r="706" customFormat="false" ht="15" hidden="false" customHeight="false" outlineLevel="0" collapsed="false">
      <c r="A706" s="62" t="n">
        <v>0</v>
      </c>
      <c r="B706" s="62" t="s">
        <v>383</v>
      </c>
      <c r="C706" s="62" t="s">
        <v>60</v>
      </c>
      <c r="D706" s="62" t="s">
        <v>71</v>
      </c>
      <c r="E706" s="62" t="s">
        <v>382</v>
      </c>
      <c r="F706" s="63" t="s">
        <v>409</v>
      </c>
      <c r="G706" s="64" t="n">
        <v>517174.314731842</v>
      </c>
      <c r="H706" s="62" t="s">
        <v>138</v>
      </c>
    </row>
    <row r="707" customFormat="false" ht="15" hidden="false" customHeight="false" outlineLevel="0" collapsed="false">
      <c r="A707" s="62" t="n">
        <v>0</v>
      </c>
      <c r="B707" s="62" t="s">
        <v>384</v>
      </c>
      <c r="C707" s="62" t="s">
        <v>60</v>
      </c>
      <c r="D707" s="62" t="s">
        <v>71</v>
      </c>
      <c r="E707" s="62" t="s">
        <v>382</v>
      </c>
      <c r="F707" s="63" t="s">
        <v>409</v>
      </c>
      <c r="G707" s="64" t="n">
        <v>517174.314731842</v>
      </c>
      <c r="H707" s="62" t="s">
        <v>138</v>
      </c>
    </row>
    <row r="708" customFormat="false" ht="15" hidden="false" customHeight="false" outlineLevel="0" collapsed="false">
      <c r="A708" s="62" t="n">
        <v>0</v>
      </c>
      <c r="B708" s="62" t="s">
        <v>385</v>
      </c>
      <c r="C708" s="62" t="s">
        <v>60</v>
      </c>
      <c r="D708" s="62" t="s">
        <v>71</v>
      </c>
      <c r="E708" s="62" t="s">
        <v>382</v>
      </c>
      <c r="F708" s="63" t="s">
        <v>409</v>
      </c>
      <c r="G708" s="64" t="n">
        <v>517174.314731842</v>
      </c>
      <c r="H708" s="62" t="s">
        <v>138</v>
      </c>
    </row>
    <row r="709" customFormat="false" ht="15" hidden="false" customHeight="false" outlineLevel="0" collapsed="false">
      <c r="A709" s="62" t="n">
        <v>0</v>
      </c>
      <c r="B709" s="62" t="s">
        <v>386</v>
      </c>
      <c r="C709" s="62" t="s">
        <v>60</v>
      </c>
      <c r="D709" s="62" t="s">
        <v>71</v>
      </c>
      <c r="E709" s="62" t="s">
        <v>382</v>
      </c>
      <c r="F709" s="63" t="s">
        <v>409</v>
      </c>
      <c r="G709" s="64" t="n">
        <v>517174.314731842</v>
      </c>
      <c r="H709" s="62" t="s">
        <v>138</v>
      </c>
    </row>
    <row r="710" customFormat="false" ht="15" hidden="false" customHeight="false" outlineLevel="0" collapsed="false">
      <c r="A710" s="62" t="n">
        <v>0</v>
      </c>
      <c r="B710" s="62" t="s">
        <v>387</v>
      </c>
      <c r="C710" s="62" t="s">
        <v>60</v>
      </c>
      <c r="D710" s="62" t="s">
        <v>71</v>
      </c>
      <c r="E710" s="62" t="s">
        <v>382</v>
      </c>
      <c r="F710" s="63" t="s">
        <v>409</v>
      </c>
      <c r="G710" s="64" t="n">
        <v>517174.314731842</v>
      </c>
      <c r="H710" s="62" t="s">
        <v>138</v>
      </c>
    </row>
    <row r="711" customFormat="false" ht="15" hidden="false" customHeight="false" outlineLevel="0" collapsed="false">
      <c r="A711" s="62" t="n">
        <v>0</v>
      </c>
      <c r="B711" s="62" t="s">
        <v>388</v>
      </c>
      <c r="C711" s="62" t="s">
        <v>60</v>
      </c>
      <c r="D711" s="62" t="s">
        <v>71</v>
      </c>
      <c r="E711" s="62" t="s">
        <v>382</v>
      </c>
      <c r="F711" s="63" t="s">
        <v>409</v>
      </c>
      <c r="G711" s="64" t="n">
        <v>517174.314731842</v>
      </c>
      <c r="H711" s="62" t="s">
        <v>138</v>
      </c>
    </row>
    <row r="712" customFormat="false" ht="15" hidden="false" customHeight="false" outlineLevel="0" collapsed="false">
      <c r="A712" s="62" t="n">
        <v>0</v>
      </c>
      <c r="B712" s="62" t="s">
        <v>381</v>
      </c>
      <c r="C712" s="62" t="s">
        <v>60</v>
      </c>
      <c r="D712" s="62" t="s">
        <v>71</v>
      </c>
      <c r="E712" s="62" t="s">
        <v>382</v>
      </c>
      <c r="F712" s="63" t="s">
        <v>410</v>
      </c>
      <c r="G712" s="64" t="n">
        <v>129293.578682961</v>
      </c>
      <c r="H712" s="62" t="s">
        <v>138</v>
      </c>
    </row>
    <row r="713" customFormat="false" ht="15" hidden="false" customHeight="false" outlineLevel="0" collapsed="false">
      <c r="A713" s="62" t="n">
        <v>0</v>
      </c>
      <c r="B713" s="62" t="s">
        <v>383</v>
      </c>
      <c r="C713" s="62" t="s">
        <v>60</v>
      </c>
      <c r="D713" s="62" t="s">
        <v>71</v>
      </c>
      <c r="E713" s="62" t="s">
        <v>382</v>
      </c>
      <c r="F713" s="63" t="s">
        <v>410</v>
      </c>
      <c r="G713" s="64" t="n">
        <v>129293.578682961</v>
      </c>
      <c r="H713" s="62" t="s">
        <v>138</v>
      </c>
    </row>
    <row r="714" customFormat="false" ht="15" hidden="false" customHeight="false" outlineLevel="0" collapsed="false">
      <c r="A714" s="62" t="n">
        <v>0</v>
      </c>
      <c r="B714" s="62" t="s">
        <v>384</v>
      </c>
      <c r="C714" s="62" t="s">
        <v>60</v>
      </c>
      <c r="D714" s="62" t="s">
        <v>71</v>
      </c>
      <c r="E714" s="62" t="s">
        <v>382</v>
      </c>
      <c r="F714" s="63" t="s">
        <v>410</v>
      </c>
      <c r="G714" s="64" t="n">
        <v>129293.578682961</v>
      </c>
      <c r="H714" s="62" t="s">
        <v>138</v>
      </c>
    </row>
    <row r="715" customFormat="false" ht="15" hidden="false" customHeight="false" outlineLevel="0" collapsed="false">
      <c r="A715" s="62" t="n">
        <v>0</v>
      </c>
      <c r="B715" s="62" t="s">
        <v>385</v>
      </c>
      <c r="C715" s="62" t="s">
        <v>60</v>
      </c>
      <c r="D715" s="62" t="s">
        <v>71</v>
      </c>
      <c r="E715" s="62" t="s">
        <v>382</v>
      </c>
      <c r="F715" s="63" t="s">
        <v>410</v>
      </c>
      <c r="G715" s="64" t="n">
        <v>129293.578682961</v>
      </c>
      <c r="H715" s="62" t="s">
        <v>138</v>
      </c>
    </row>
    <row r="716" customFormat="false" ht="15" hidden="false" customHeight="false" outlineLevel="0" collapsed="false">
      <c r="A716" s="62" t="n">
        <v>0</v>
      </c>
      <c r="B716" s="62" t="s">
        <v>386</v>
      </c>
      <c r="C716" s="62" t="s">
        <v>60</v>
      </c>
      <c r="D716" s="62" t="s">
        <v>71</v>
      </c>
      <c r="E716" s="62" t="s">
        <v>382</v>
      </c>
      <c r="F716" s="63" t="s">
        <v>410</v>
      </c>
      <c r="G716" s="64" t="n">
        <v>129293.578682961</v>
      </c>
      <c r="H716" s="62" t="s">
        <v>138</v>
      </c>
    </row>
    <row r="717" customFormat="false" ht="15" hidden="false" customHeight="false" outlineLevel="0" collapsed="false">
      <c r="A717" s="62" t="n">
        <v>0</v>
      </c>
      <c r="B717" s="62" t="s">
        <v>387</v>
      </c>
      <c r="C717" s="62" t="s">
        <v>60</v>
      </c>
      <c r="D717" s="62" t="s">
        <v>71</v>
      </c>
      <c r="E717" s="62" t="s">
        <v>382</v>
      </c>
      <c r="F717" s="63" t="s">
        <v>410</v>
      </c>
      <c r="G717" s="64" t="n">
        <v>129293.578682961</v>
      </c>
      <c r="H717" s="62" t="s">
        <v>138</v>
      </c>
    </row>
    <row r="718" customFormat="false" ht="15" hidden="false" customHeight="false" outlineLevel="0" collapsed="false">
      <c r="A718" s="62" t="n">
        <v>0</v>
      </c>
      <c r="B718" s="62" t="s">
        <v>388</v>
      </c>
      <c r="C718" s="62" t="s">
        <v>60</v>
      </c>
      <c r="D718" s="62" t="s">
        <v>71</v>
      </c>
      <c r="E718" s="62" t="s">
        <v>382</v>
      </c>
      <c r="F718" s="63" t="s">
        <v>410</v>
      </c>
      <c r="G718" s="64" t="n">
        <v>129293.578682961</v>
      </c>
      <c r="H718" s="62" t="s">
        <v>138</v>
      </c>
    </row>
    <row r="719" customFormat="false" ht="15" hidden="false" customHeight="false" outlineLevel="0" collapsed="false">
      <c r="A719" s="62" t="n">
        <v>0</v>
      </c>
      <c r="B719" s="62" t="s">
        <v>381</v>
      </c>
      <c r="C719" s="62" t="s">
        <v>60</v>
      </c>
      <c r="D719" s="62" t="s">
        <v>71</v>
      </c>
      <c r="E719" s="62" t="s">
        <v>382</v>
      </c>
      <c r="F719" s="63" t="s">
        <v>411</v>
      </c>
      <c r="G719" s="64" t="n">
        <v>387880.736048881</v>
      </c>
      <c r="H719" s="62" t="s">
        <v>138</v>
      </c>
    </row>
    <row r="720" customFormat="false" ht="15" hidden="false" customHeight="false" outlineLevel="0" collapsed="false">
      <c r="A720" s="62" t="n">
        <v>0</v>
      </c>
      <c r="B720" s="62" t="s">
        <v>383</v>
      </c>
      <c r="C720" s="62" t="s">
        <v>60</v>
      </c>
      <c r="D720" s="62" t="s">
        <v>71</v>
      </c>
      <c r="E720" s="62" t="s">
        <v>382</v>
      </c>
      <c r="F720" s="63" t="s">
        <v>411</v>
      </c>
      <c r="G720" s="64" t="n">
        <v>387880.736048881</v>
      </c>
      <c r="H720" s="62" t="s">
        <v>138</v>
      </c>
    </row>
    <row r="721" customFormat="false" ht="15" hidden="false" customHeight="false" outlineLevel="0" collapsed="false">
      <c r="A721" s="62" t="n">
        <v>0</v>
      </c>
      <c r="B721" s="62" t="s">
        <v>384</v>
      </c>
      <c r="C721" s="62" t="s">
        <v>60</v>
      </c>
      <c r="D721" s="62" t="s">
        <v>71</v>
      </c>
      <c r="E721" s="62" t="s">
        <v>382</v>
      </c>
      <c r="F721" s="63" t="s">
        <v>411</v>
      </c>
      <c r="G721" s="64" t="n">
        <v>387880.736048881</v>
      </c>
      <c r="H721" s="62" t="s">
        <v>138</v>
      </c>
    </row>
    <row r="722" customFormat="false" ht="15" hidden="false" customHeight="false" outlineLevel="0" collapsed="false">
      <c r="A722" s="62" t="n">
        <v>0</v>
      </c>
      <c r="B722" s="62" t="s">
        <v>385</v>
      </c>
      <c r="C722" s="62" t="s">
        <v>60</v>
      </c>
      <c r="D722" s="62" t="s">
        <v>71</v>
      </c>
      <c r="E722" s="62" t="s">
        <v>382</v>
      </c>
      <c r="F722" s="63" t="s">
        <v>411</v>
      </c>
      <c r="G722" s="64" t="n">
        <v>387880.736048881</v>
      </c>
      <c r="H722" s="62" t="s">
        <v>138</v>
      </c>
    </row>
    <row r="723" customFormat="false" ht="15" hidden="false" customHeight="false" outlineLevel="0" collapsed="false">
      <c r="A723" s="62" t="n">
        <v>0</v>
      </c>
      <c r="B723" s="62" t="s">
        <v>386</v>
      </c>
      <c r="C723" s="62" t="s">
        <v>60</v>
      </c>
      <c r="D723" s="62" t="s">
        <v>71</v>
      </c>
      <c r="E723" s="62" t="s">
        <v>382</v>
      </c>
      <c r="F723" s="63" t="s">
        <v>411</v>
      </c>
      <c r="G723" s="64" t="n">
        <v>387880.736048881</v>
      </c>
      <c r="H723" s="62" t="s">
        <v>138</v>
      </c>
    </row>
    <row r="724" customFormat="false" ht="15" hidden="false" customHeight="false" outlineLevel="0" collapsed="false">
      <c r="A724" s="62" t="n">
        <v>0</v>
      </c>
      <c r="B724" s="62" t="s">
        <v>387</v>
      </c>
      <c r="C724" s="62" t="s">
        <v>60</v>
      </c>
      <c r="D724" s="62" t="s">
        <v>71</v>
      </c>
      <c r="E724" s="62" t="s">
        <v>382</v>
      </c>
      <c r="F724" s="63" t="s">
        <v>411</v>
      </c>
      <c r="G724" s="64" t="n">
        <v>387880.736048881</v>
      </c>
      <c r="H724" s="62" t="s">
        <v>138</v>
      </c>
    </row>
    <row r="725" customFormat="false" ht="15" hidden="false" customHeight="false" outlineLevel="0" collapsed="false">
      <c r="A725" s="62" t="n">
        <v>0</v>
      </c>
      <c r="B725" s="62" t="s">
        <v>388</v>
      </c>
      <c r="C725" s="62" t="s">
        <v>60</v>
      </c>
      <c r="D725" s="62" t="s">
        <v>71</v>
      </c>
      <c r="E725" s="62" t="s">
        <v>382</v>
      </c>
      <c r="F725" s="63" t="s">
        <v>411</v>
      </c>
      <c r="G725" s="64" t="n">
        <v>387880.736048881</v>
      </c>
      <c r="H725" s="62" t="s">
        <v>138</v>
      </c>
    </row>
    <row r="726" customFormat="false" ht="15" hidden="false" customHeight="false" outlineLevel="0" collapsed="false">
      <c r="A726" s="62" t="n">
        <v>0</v>
      </c>
      <c r="B726" s="62" t="s">
        <v>381</v>
      </c>
      <c r="C726" s="62" t="s">
        <v>60</v>
      </c>
      <c r="D726" s="62" t="s">
        <v>71</v>
      </c>
      <c r="E726" s="62" t="s">
        <v>382</v>
      </c>
      <c r="F726" s="63" t="s">
        <v>412</v>
      </c>
      <c r="G726" s="64" t="n">
        <v>1782588.6</v>
      </c>
      <c r="H726" s="62" t="s">
        <v>138</v>
      </c>
    </row>
    <row r="727" customFormat="false" ht="15" hidden="false" customHeight="false" outlineLevel="0" collapsed="false">
      <c r="A727" s="62" t="n">
        <v>0</v>
      </c>
      <c r="B727" s="62" t="s">
        <v>383</v>
      </c>
      <c r="C727" s="62" t="s">
        <v>60</v>
      </c>
      <c r="D727" s="62" t="s">
        <v>71</v>
      </c>
      <c r="E727" s="62" t="s">
        <v>382</v>
      </c>
      <c r="F727" s="63" t="s">
        <v>412</v>
      </c>
      <c r="G727" s="64" t="n">
        <v>1782588.6</v>
      </c>
      <c r="H727" s="62" t="s">
        <v>138</v>
      </c>
    </row>
    <row r="728" customFormat="false" ht="15" hidden="false" customHeight="false" outlineLevel="0" collapsed="false">
      <c r="A728" s="62" t="n">
        <v>0</v>
      </c>
      <c r="B728" s="62" t="s">
        <v>384</v>
      </c>
      <c r="C728" s="62" t="s">
        <v>60</v>
      </c>
      <c r="D728" s="62" t="s">
        <v>71</v>
      </c>
      <c r="E728" s="62" t="s">
        <v>382</v>
      </c>
      <c r="F728" s="63" t="s">
        <v>412</v>
      </c>
      <c r="G728" s="64" t="n">
        <v>1782588.6</v>
      </c>
      <c r="H728" s="62" t="s">
        <v>138</v>
      </c>
    </row>
    <row r="729" customFormat="false" ht="15" hidden="false" customHeight="false" outlineLevel="0" collapsed="false">
      <c r="A729" s="62" t="n">
        <v>0</v>
      </c>
      <c r="B729" s="62" t="s">
        <v>385</v>
      </c>
      <c r="C729" s="62" t="s">
        <v>60</v>
      </c>
      <c r="D729" s="62" t="s">
        <v>71</v>
      </c>
      <c r="E729" s="62" t="s">
        <v>382</v>
      </c>
      <c r="F729" s="63" t="s">
        <v>412</v>
      </c>
      <c r="G729" s="64" t="n">
        <v>1782588.6</v>
      </c>
      <c r="H729" s="62" t="s">
        <v>138</v>
      </c>
    </row>
    <row r="730" customFormat="false" ht="15" hidden="false" customHeight="false" outlineLevel="0" collapsed="false">
      <c r="A730" s="62" t="n">
        <v>0</v>
      </c>
      <c r="B730" s="62" t="s">
        <v>386</v>
      </c>
      <c r="C730" s="62" t="s">
        <v>60</v>
      </c>
      <c r="D730" s="62" t="s">
        <v>71</v>
      </c>
      <c r="E730" s="62" t="s">
        <v>382</v>
      </c>
      <c r="F730" s="63" t="s">
        <v>412</v>
      </c>
      <c r="G730" s="64" t="n">
        <v>1782588.6</v>
      </c>
      <c r="H730" s="62" t="s">
        <v>138</v>
      </c>
    </row>
    <row r="731" customFormat="false" ht="15" hidden="false" customHeight="false" outlineLevel="0" collapsed="false">
      <c r="A731" s="62" t="n">
        <v>0</v>
      </c>
      <c r="B731" s="62" t="s">
        <v>387</v>
      </c>
      <c r="C731" s="62" t="s">
        <v>60</v>
      </c>
      <c r="D731" s="62" t="s">
        <v>71</v>
      </c>
      <c r="E731" s="62" t="s">
        <v>382</v>
      </c>
      <c r="F731" s="63" t="s">
        <v>412</v>
      </c>
      <c r="G731" s="64" t="n">
        <v>1782588.6</v>
      </c>
      <c r="H731" s="62" t="s">
        <v>138</v>
      </c>
    </row>
    <row r="732" customFormat="false" ht="15" hidden="false" customHeight="false" outlineLevel="0" collapsed="false">
      <c r="A732" s="62" t="n">
        <v>0</v>
      </c>
      <c r="B732" s="62" t="s">
        <v>388</v>
      </c>
      <c r="C732" s="62" t="s">
        <v>60</v>
      </c>
      <c r="D732" s="62" t="s">
        <v>71</v>
      </c>
      <c r="E732" s="62" t="s">
        <v>382</v>
      </c>
      <c r="F732" s="63" t="s">
        <v>412</v>
      </c>
      <c r="G732" s="64" t="n">
        <v>1782588.6</v>
      </c>
      <c r="H732" s="62" t="s">
        <v>138</v>
      </c>
    </row>
    <row r="733" customFormat="false" ht="15" hidden="false" customHeight="false" outlineLevel="0" collapsed="false">
      <c r="A733" s="62" t="n">
        <v>0</v>
      </c>
      <c r="B733" s="62" t="s">
        <v>381</v>
      </c>
      <c r="C733" s="62" t="s">
        <v>60</v>
      </c>
      <c r="D733" s="62" t="s">
        <v>71</v>
      </c>
      <c r="E733" s="62" t="s">
        <v>382</v>
      </c>
      <c r="F733" s="63" t="s">
        <v>413</v>
      </c>
      <c r="G733" s="64" t="n">
        <v>0</v>
      </c>
      <c r="H733" s="62" t="s">
        <v>138</v>
      </c>
    </row>
    <row r="734" customFormat="false" ht="15" hidden="false" customHeight="false" outlineLevel="0" collapsed="false">
      <c r="A734" s="62" t="n">
        <v>0</v>
      </c>
      <c r="B734" s="62" t="s">
        <v>383</v>
      </c>
      <c r="C734" s="62" t="s">
        <v>60</v>
      </c>
      <c r="D734" s="62" t="s">
        <v>71</v>
      </c>
      <c r="E734" s="62" t="s">
        <v>382</v>
      </c>
      <c r="F734" s="63" t="s">
        <v>413</v>
      </c>
      <c r="G734" s="64" t="n">
        <v>0</v>
      </c>
      <c r="H734" s="62" t="s">
        <v>138</v>
      </c>
    </row>
    <row r="735" customFormat="false" ht="15" hidden="false" customHeight="false" outlineLevel="0" collapsed="false">
      <c r="A735" s="62" t="n">
        <v>0</v>
      </c>
      <c r="B735" s="62" t="s">
        <v>384</v>
      </c>
      <c r="C735" s="62" t="s">
        <v>60</v>
      </c>
      <c r="D735" s="62" t="s">
        <v>71</v>
      </c>
      <c r="E735" s="62" t="s">
        <v>382</v>
      </c>
      <c r="F735" s="63" t="s">
        <v>413</v>
      </c>
      <c r="G735" s="64" t="n">
        <v>0</v>
      </c>
      <c r="H735" s="62" t="s">
        <v>138</v>
      </c>
    </row>
    <row r="736" customFormat="false" ht="15" hidden="false" customHeight="false" outlineLevel="0" collapsed="false">
      <c r="A736" s="62" t="n">
        <v>0</v>
      </c>
      <c r="B736" s="62" t="s">
        <v>385</v>
      </c>
      <c r="C736" s="62" t="s">
        <v>60</v>
      </c>
      <c r="D736" s="62" t="s">
        <v>71</v>
      </c>
      <c r="E736" s="62" t="s">
        <v>382</v>
      </c>
      <c r="F736" s="63" t="s">
        <v>413</v>
      </c>
      <c r="G736" s="64" t="n">
        <v>0</v>
      </c>
      <c r="H736" s="62" t="s">
        <v>138</v>
      </c>
    </row>
    <row r="737" customFormat="false" ht="15" hidden="false" customHeight="false" outlineLevel="0" collapsed="false">
      <c r="A737" s="62" t="n">
        <v>0</v>
      </c>
      <c r="B737" s="62" t="s">
        <v>386</v>
      </c>
      <c r="C737" s="62" t="s">
        <v>60</v>
      </c>
      <c r="D737" s="62" t="s">
        <v>71</v>
      </c>
      <c r="E737" s="62" t="s">
        <v>382</v>
      </c>
      <c r="F737" s="63" t="s">
        <v>413</v>
      </c>
      <c r="G737" s="64" t="n">
        <v>0</v>
      </c>
      <c r="H737" s="62" t="s">
        <v>138</v>
      </c>
    </row>
    <row r="738" customFormat="false" ht="15" hidden="false" customHeight="false" outlineLevel="0" collapsed="false">
      <c r="A738" s="62" t="n">
        <v>0</v>
      </c>
      <c r="B738" s="62" t="s">
        <v>387</v>
      </c>
      <c r="C738" s="62" t="s">
        <v>60</v>
      </c>
      <c r="D738" s="62" t="s">
        <v>71</v>
      </c>
      <c r="E738" s="62" t="s">
        <v>382</v>
      </c>
      <c r="F738" s="63" t="s">
        <v>413</v>
      </c>
      <c r="G738" s="64" t="n">
        <v>0</v>
      </c>
      <c r="H738" s="62" t="s">
        <v>138</v>
      </c>
    </row>
    <row r="739" customFormat="false" ht="15" hidden="false" customHeight="false" outlineLevel="0" collapsed="false">
      <c r="A739" s="62" t="n">
        <v>0</v>
      </c>
      <c r="B739" s="62" t="s">
        <v>388</v>
      </c>
      <c r="C739" s="62" t="s">
        <v>60</v>
      </c>
      <c r="D739" s="62" t="s">
        <v>71</v>
      </c>
      <c r="E739" s="62" t="s">
        <v>382</v>
      </c>
      <c r="F739" s="63" t="s">
        <v>413</v>
      </c>
      <c r="G739" s="64" t="n">
        <v>0</v>
      </c>
      <c r="H739" s="62" t="s">
        <v>138</v>
      </c>
    </row>
    <row r="740" customFormat="false" ht="15" hidden="false" customHeight="false" outlineLevel="0" collapsed="false">
      <c r="A740" s="62" t="n">
        <v>0</v>
      </c>
      <c r="B740" s="62" t="s">
        <v>381</v>
      </c>
      <c r="C740" s="62" t="s">
        <v>60</v>
      </c>
      <c r="D740" s="62" t="s">
        <v>71</v>
      </c>
      <c r="E740" s="62" t="s">
        <v>382</v>
      </c>
      <c r="F740" s="63" t="s">
        <v>414</v>
      </c>
      <c r="G740" s="64" t="n">
        <v>346981.25</v>
      </c>
      <c r="H740" s="62" t="s">
        <v>138</v>
      </c>
    </row>
    <row r="741" customFormat="false" ht="15" hidden="false" customHeight="false" outlineLevel="0" collapsed="false">
      <c r="A741" s="62" t="n">
        <v>0</v>
      </c>
      <c r="B741" s="62" t="s">
        <v>383</v>
      </c>
      <c r="C741" s="62" t="s">
        <v>60</v>
      </c>
      <c r="D741" s="62" t="s">
        <v>71</v>
      </c>
      <c r="E741" s="62" t="s">
        <v>382</v>
      </c>
      <c r="F741" s="63" t="s">
        <v>414</v>
      </c>
      <c r="G741" s="64" t="n">
        <v>346981.25</v>
      </c>
      <c r="H741" s="62" t="s">
        <v>138</v>
      </c>
    </row>
    <row r="742" customFormat="false" ht="15" hidden="false" customHeight="false" outlineLevel="0" collapsed="false">
      <c r="A742" s="62" t="n">
        <v>0</v>
      </c>
      <c r="B742" s="62" t="s">
        <v>384</v>
      </c>
      <c r="C742" s="62" t="s">
        <v>60</v>
      </c>
      <c r="D742" s="62" t="s">
        <v>71</v>
      </c>
      <c r="E742" s="62" t="s">
        <v>382</v>
      </c>
      <c r="F742" s="63" t="s">
        <v>414</v>
      </c>
      <c r="G742" s="64" t="n">
        <v>346981.25</v>
      </c>
      <c r="H742" s="62" t="s">
        <v>138</v>
      </c>
    </row>
    <row r="743" customFormat="false" ht="15" hidden="false" customHeight="false" outlineLevel="0" collapsed="false">
      <c r="A743" s="62" t="n">
        <v>0</v>
      </c>
      <c r="B743" s="62" t="s">
        <v>385</v>
      </c>
      <c r="C743" s="62" t="s">
        <v>60</v>
      </c>
      <c r="D743" s="62" t="s">
        <v>71</v>
      </c>
      <c r="E743" s="62" t="s">
        <v>382</v>
      </c>
      <c r="F743" s="63" t="s">
        <v>414</v>
      </c>
      <c r="G743" s="64" t="n">
        <v>346981.25</v>
      </c>
      <c r="H743" s="62" t="s">
        <v>138</v>
      </c>
    </row>
    <row r="744" customFormat="false" ht="15" hidden="false" customHeight="false" outlineLevel="0" collapsed="false">
      <c r="A744" s="62" t="n">
        <v>0</v>
      </c>
      <c r="B744" s="62" t="s">
        <v>386</v>
      </c>
      <c r="C744" s="62" t="s">
        <v>60</v>
      </c>
      <c r="D744" s="62" t="s">
        <v>71</v>
      </c>
      <c r="E744" s="62" t="s">
        <v>382</v>
      </c>
      <c r="F744" s="63" t="s">
        <v>414</v>
      </c>
      <c r="G744" s="64" t="n">
        <v>346981.25</v>
      </c>
      <c r="H744" s="62" t="s">
        <v>138</v>
      </c>
    </row>
    <row r="745" customFormat="false" ht="15" hidden="false" customHeight="false" outlineLevel="0" collapsed="false">
      <c r="A745" s="62" t="n">
        <v>0</v>
      </c>
      <c r="B745" s="62" t="s">
        <v>387</v>
      </c>
      <c r="C745" s="62" t="s">
        <v>60</v>
      </c>
      <c r="D745" s="62" t="s">
        <v>71</v>
      </c>
      <c r="E745" s="62" t="s">
        <v>382</v>
      </c>
      <c r="F745" s="63" t="s">
        <v>414</v>
      </c>
      <c r="G745" s="64" t="n">
        <v>346981.25</v>
      </c>
      <c r="H745" s="62" t="s">
        <v>138</v>
      </c>
    </row>
    <row r="746" customFormat="false" ht="15" hidden="false" customHeight="false" outlineLevel="0" collapsed="false">
      <c r="A746" s="62" t="n">
        <v>0</v>
      </c>
      <c r="B746" s="62" t="s">
        <v>388</v>
      </c>
      <c r="C746" s="62" t="s">
        <v>60</v>
      </c>
      <c r="D746" s="62" t="s">
        <v>71</v>
      </c>
      <c r="E746" s="62" t="s">
        <v>382</v>
      </c>
      <c r="F746" s="63" t="s">
        <v>414</v>
      </c>
      <c r="G746" s="64" t="n">
        <v>346981.25</v>
      </c>
      <c r="H746" s="62" t="s">
        <v>138</v>
      </c>
    </row>
    <row r="747" customFormat="false" ht="15" hidden="false" customHeight="false" outlineLevel="0" collapsed="false">
      <c r="A747" s="62" t="n">
        <v>0</v>
      </c>
      <c r="B747" s="62" t="s">
        <v>381</v>
      </c>
      <c r="C747" s="62" t="s">
        <v>60</v>
      </c>
      <c r="D747" s="62" t="s">
        <v>71</v>
      </c>
      <c r="E747" s="62" t="s">
        <v>382</v>
      </c>
      <c r="F747" s="63" t="s">
        <v>415</v>
      </c>
      <c r="G747" s="64" t="n">
        <v>365032.427722816</v>
      </c>
      <c r="H747" s="62" t="s">
        <v>138</v>
      </c>
    </row>
    <row r="748" customFormat="false" ht="15" hidden="false" customHeight="false" outlineLevel="0" collapsed="false">
      <c r="A748" s="62" t="n">
        <v>0</v>
      </c>
      <c r="B748" s="62" t="s">
        <v>383</v>
      </c>
      <c r="C748" s="62" t="s">
        <v>60</v>
      </c>
      <c r="D748" s="62" t="s">
        <v>71</v>
      </c>
      <c r="E748" s="62" t="s">
        <v>382</v>
      </c>
      <c r="F748" s="63" t="s">
        <v>415</v>
      </c>
      <c r="G748" s="64" t="n">
        <v>365032.427722816</v>
      </c>
      <c r="H748" s="62" t="s">
        <v>138</v>
      </c>
    </row>
    <row r="749" customFormat="false" ht="15" hidden="false" customHeight="false" outlineLevel="0" collapsed="false">
      <c r="A749" s="62" t="n">
        <v>0</v>
      </c>
      <c r="B749" s="62" t="s">
        <v>384</v>
      </c>
      <c r="C749" s="62" t="s">
        <v>60</v>
      </c>
      <c r="D749" s="62" t="s">
        <v>71</v>
      </c>
      <c r="E749" s="62" t="s">
        <v>382</v>
      </c>
      <c r="F749" s="63" t="s">
        <v>415</v>
      </c>
      <c r="G749" s="64" t="n">
        <v>365032.427722816</v>
      </c>
      <c r="H749" s="62" t="s">
        <v>138</v>
      </c>
    </row>
    <row r="750" customFormat="false" ht="15" hidden="false" customHeight="false" outlineLevel="0" collapsed="false">
      <c r="A750" s="62" t="n">
        <v>0</v>
      </c>
      <c r="B750" s="62" t="s">
        <v>385</v>
      </c>
      <c r="C750" s="62" t="s">
        <v>60</v>
      </c>
      <c r="D750" s="62" t="s">
        <v>71</v>
      </c>
      <c r="E750" s="62" t="s">
        <v>382</v>
      </c>
      <c r="F750" s="63" t="s">
        <v>415</v>
      </c>
      <c r="G750" s="64" t="n">
        <v>365032.427722816</v>
      </c>
      <c r="H750" s="62" t="s">
        <v>138</v>
      </c>
    </row>
    <row r="751" customFormat="false" ht="15" hidden="false" customHeight="false" outlineLevel="0" collapsed="false">
      <c r="A751" s="62" t="n">
        <v>0</v>
      </c>
      <c r="B751" s="62" t="s">
        <v>386</v>
      </c>
      <c r="C751" s="62" t="s">
        <v>60</v>
      </c>
      <c r="D751" s="62" t="s">
        <v>71</v>
      </c>
      <c r="E751" s="62" t="s">
        <v>382</v>
      </c>
      <c r="F751" s="63" t="s">
        <v>415</v>
      </c>
      <c r="G751" s="64" t="n">
        <v>365032.427722816</v>
      </c>
      <c r="H751" s="62" t="s">
        <v>138</v>
      </c>
    </row>
    <row r="752" customFormat="false" ht="15" hidden="false" customHeight="false" outlineLevel="0" collapsed="false">
      <c r="A752" s="62" t="n">
        <v>0</v>
      </c>
      <c r="B752" s="62" t="s">
        <v>387</v>
      </c>
      <c r="C752" s="62" t="s">
        <v>60</v>
      </c>
      <c r="D752" s="62" t="s">
        <v>71</v>
      </c>
      <c r="E752" s="62" t="s">
        <v>382</v>
      </c>
      <c r="F752" s="63" t="s">
        <v>415</v>
      </c>
      <c r="G752" s="64" t="n">
        <v>365032.427722816</v>
      </c>
      <c r="H752" s="62" t="s">
        <v>138</v>
      </c>
    </row>
    <row r="753" customFormat="false" ht="15" hidden="false" customHeight="false" outlineLevel="0" collapsed="false">
      <c r="A753" s="62" t="n">
        <v>0</v>
      </c>
      <c r="B753" s="62" t="s">
        <v>388</v>
      </c>
      <c r="C753" s="62" t="s">
        <v>60</v>
      </c>
      <c r="D753" s="62" t="s">
        <v>71</v>
      </c>
      <c r="E753" s="62" t="s">
        <v>382</v>
      </c>
      <c r="F753" s="63" t="s">
        <v>415</v>
      </c>
      <c r="G753" s="64" t="n">
        <v>365032.427722816</v>
      </c>
      <c r="H753" s="62" t="s">
        <v>138</v>
      </c>
    </row>
    <row r="754" customFormat="false" ht="15" hidden="false" customHeight="false" outlineLevel="0" collapsed="false">
      <c r="A754" s="62" t="n">
        <v>0</v>
      </c>
      <c r="B754" s="62" t="s">
        <v>381</v>
      </c>
      <c r="C754" s="62" t="s">
        <v>60</v>
      </c>
      <c r="D754" s="62" t="s">
        <v>71</v>
      </c>
      <c r="E754" s="62" t="s">
        <v>382</v>
      </c>
      <c r="F754" s="63" t="s">
        <v>416</v>
      </c>
      <c r="G754" s="64" t="n">
        <v>2494602.27772282</v>
      </c>
      <c r="H754" s="62" t="s">
        <v>138</v>
      </c>
    </row>
    <row r="755" customFormat="false" ht="15" hidden="false" customHeight="false" outlineLevel="0" collapsed="false">
      <c r="A755" s="62" t="n">
        <v>0</v>
      </c>
      <c r="B755" s="62" t="s">
        <v>383</v>
      </c>
      <c r="C755" s="62" t="s">
        <v>60</v>
      </c>
      <c r="D755" s="62" t="s">
        <v>71</v>
      </c>
      <c r="E755" s="62" t="s">
        <v>382</v>
      </c>
      <c r="F755" s="63" t="s">
        <v>416</v>
      </c>
      <c r="G755" s="64" t="n">
        <v>2494602.27772282</v>
      </c>
      <c r="H755" s="62" t="s">
        <v>138</v>
      </c>
    </row>
    <row r="756" customFormat="false" ht="15" hidden="false" customHeight="false" outlineLevel="0" collapsed="false">
      <c r="A756" s="62" t="n">
        <v>0</v>
      </c>
      <c r="B756" s="62" t="s">
        <v>384</v>
      </c>
      <c r="C756" s="62" t="s">
        <v>60</v>
      </c>
      <c r="D756" s="62" t="s">
        <v>71</v>
      </c>
      <c r="E756" s="62" t="s">
        <v>382</v>
      </c>
      <c r="F756" s="63" t="s">
        <v>416</v>
      </c>
      <c r="G756" s="64" t="n">
        <v>2494602.27772282</v>
      </c>
      <c r="H756" s="62" t="s">
        <v>138</v>
      </c>
    </row>
    <row r="757" customFormat="false" ht="15" hidden="false" customHeight="false" outlineLevel="0" collapsed="false">
      <c r="A757" s="62" t="n">
        <v>0</v>
      </c>
      <c r="B757" s="62" t="s">
        <v>385</v>
      </c>
      <c r="C757" s="62" t="s">
        <v>60</v>
      </c>
      <c r="D757" s="62" t="s">
        <v>71</v>
      </c>
      <c r="E757" s="62" t="s">
        <v>382</v>
      </c>
      <c r="F757" s="63" t="s">
        <v>416</v>
      </c>
      <c r="G757" s="64" t="n">
        <v>2494602.27772282</v>
      </c>
      <c r="H757" s="62" t="s">
        <v>138</v>
      </c>
    </row>
    <row r="758" customFormat="false" ht="15" hidden="false" customHeight="false" outlineLevel="0" collapsed="false">
      <c r="A758" s="62" t="n">
        <v>0</v>
      </c>
      <c r="B758" s="62" t="s">
        <v>386</v>
      </c>
      <c r="C758" s="62" t="s">
        <v>60</v>
      </c>
      <c r="D758" s="62" t="s">
        <v>71</v>
      </c>
      <c r="E758" s="62" t="s">
        <v>382</v>
      </c>
      <c r="F758" s="63" t="s">
        <v>416</v>
      </c>
      <c r="G758" s="64" t="n">
        <v>2494602.27772282</v>
      </c>
      <c r="H758" s="62" t="s">
        <v>138</v>
      </c>
    </row>
    <row r="759" customFormat="false" ht="15" hidden="false" customHeight="false" outlineLevel="0" collapsed="false">
      <c r="A759" s="62" t="n">
        <v>0</v>
      </c>
      <c r="B759" s="62" t="s">
        <v>387</v>
      </c>
      <c r="C759" s="62" t="s">
        <v>60</v>
      </c>
      <c r="D759" s="62" t="s">
        <v>71</v>
      </c>
      <c r="E759" s="62" t="s">
        <v>382</v>
      </c>
      <c r="F759" s="63" t="s">
        <v>416</v>
      </c>
      <c r="G759" s="64" t="n">
        <v>2494602.27772282</v>
      </c>
      <c r="H759" s="62" t="s">
        <v>138</v>
      </c>
    </row>
    <row r="760" customFormat="false" ht="15" hidden="false" customHeight="false" outlineLevel="0" collapsed="false">
      <c r="A760" s="62" t="n">
        <v>0</v>
      </c>
      <c r="B760" s="62" t="s">
        <v>388</v>
      </c>
      <c r="C760" s="62" t="s">
        <v>60</v>
      </c>
      <c r="D760" s="62" t="s">
        <v>71</v>
      </c>
      <c r="E760" s="62" t="s">
        <v>382</v>
      </c>
      <c r="F760" s="63" t="s">
        <v>416</v>
      </c>
      <c r="G760" s="64" t="n">
        <v>2494602.27772282</v>
      </c>
      <c r="H760" s="62" t="s">
        <v>138</v>
      </c>
    </row>
    <row r="761" customFormat="false" ht="15" hidden="false" customHeight="false" outlineLevel="0" collapsed="false">
      <c r="A761" s="62" t="n">
        <v>0</v>
      </c>
      <c r="B761" s="62" t="s">
        <v>381</v>
      </c>
      <c r="C761" s="62" t="s">
        <v>60</v>
      </c>
      <c r="D761" s="62" t="s">
        <v>71</v>
      </c>
      <c r="E761" s="62" t="s">
        <v>382</v>
      </c>
      <c r="F761" s="63" t="s">
        <v>396</v>
      </c>
      <c r="G761" s="64" t="n">
        <v>1500000</v>
      </c>
      <c r="H761" s="62" t="s">
        <v>138</v>
      </c>
    </row>
    <row r="762" customFormat="false" ht="15" hidden="false" customHeight="false" outlineLevel="0" collapsed="false">
      <c r="A762" s="62" t="n">
        <v>0</v>
      </c>
      <c r="B762" s="62" t="s">
        <v>383</v>
      </c>
      <c r="C762" s="62" t="s">
        <v>60</v>
      </c>
      <c r="D762" s="62" t="s">
        <v>71</v>
      </c>
      <c r="E762" s="62" t="s">
        <v>382</v>
      </c>
      <c r="F762" s="63" t="s">
        <v>396</v>
      </c>
      <c r="G762" s="64" t="n">
        <v>1500000</v>
      </c>
      <c r="H762" s="62" t="s">
        <v>138</v>
      </c>
    </row>
    <row r="763" customFormat="false" ht="15" hidden="false" customHeight="false" outlineLevel="0" collapsed="false">
      <c r="A763" s="62" t="n">
        <v>0</v>
      </c>
      <c r="B763" s="62" t="s">
        <v>384</v>
      </c>
      <c r="C763" s="62" t="s">
        <v>60</v>
      </c>
      <c r="D763" s="62" t="s">
        <v>71</v>
      </c>
      <c r="E763" s="62" t="s">
        <v>382</v>
      </c>
      <c r="F763" s="63" t="s">
        <v>396</v>
      </c>
      <c r="G763" s="64" t="n">
        <v>1500000</v>
      </c>
      <c r="H763" s="62" t="s">
        <v>138</v>
      </c>
    </row>
    <row r="764" customFormat="false" ht="15" hidden="false" customHeight="false" outlineLevel="0" collapsed="false">
      <c r="A764" s="62" t="n">
        <v>0</v>
      </c>
      <c r="B764" s="62" t="s">
        <v>385</v>
      </c>
      <c r="C764" s="62" t="s">
        <v>60</v>
      </c>
      <c r="D764" s="62" t="s">
        <v>71</v>
      </c>
      <c r="E764" s="62" t="s">
        <v>382</v>
      </c>
      <c r="F764" s="63" t="s">
        <v>396</v>
      </c>
      <c r="G764" s="64" t="n">
        <v>1500000</v>
      </c>
      <c r="H764" s="62" t="s">
        <v>138</v>
      </c>
    </row>
    <row r="765" customFormat="false" ht="15" hidden="false" customHeight="false" outlineLevel="0" collapsed="false">
      <c r="A765" s="62" t="n">
        <v>0</v>
      </c>
      <c r="B765" s="62" t="s">
        <v>386</v>
      </c>
      <c r="C765" s="62" t="s">
        <v>60</v>
      </c>
      <c r="D765" s="62" t="s">
        <v>71</v>
      </c>
      <c r="E765" s="62" t="s">
        <v>382</v>
      </c>
      <c r="F765" s="63" t="s">
        <v>396</v>
      </c>
      <c r="G765" s="64" t="n">
        <v>1500000</v>
      </c>
      <c r="H765" s="62" t="s">
        <v>138</v>
      </c>
    </row>
    <row r="766" customFormat="false" ht="15" hidden="false" customHeight="false" outlineLevel="0" collapsed="false">
      <c r="A766" s="62" t="n">
        <v>0</v>
      </c>
      <c r="B766" s="62" t="s">
        <v>387</v>
      </c>
      <c r="C766" s="62" t="s">
        <v>60</v>
      </c>
      <c r="D766" s="62" t="s">
        <v>71</v>
      </c>
      <c r="E766" s="62" t="s">
        <v>382</v>
      </c>
      <c r="F766" s="63" t="s">
        <v>396</v>
      </c>
      <c r="G766" s="64" t="n">
        <v>1500000</v>
      </c>
      <c r="H766" s="62" t="s">
        <v>138</v>
      </c>
    </row>
    <row r="767" customFormat="false" ht="15" hidden="false" customHeight="false" outlineLevel="0" collapsed="false">
      <c r="A767" s="62" t="n">
        <v>0</v>
      </c>
      <c r="B767" s="62" t="s">
        <v>388</v>
      </c>
      <c r="C767" s="62" t="s">
        <v>60</v>
      </c>
      <c r="D767" s="62" t="s">
        <v>71</v>
      </c>
      <c r="E767" s="62" t="s">
        <v>382</v>
      </c>
      <c r="F767" s="63" t="s">
        <v>396</v>
      </c>
      <c r="G767" s="64" t="n">
        <v>1500000</v>
      </c>
      <c r="H767" s="62" t="s">
        <v>138</v>
      </c>
    </row>
    <row r="768" customFormat="false" ht="15" hidden="false" customHeight="false" outlineLevel="0" collapsed="false">
      <c r="A768" s="62" t="n">
        <v>0</v>
      </c>
      <c r="B768" s="62" t="s">
        <v>381</v>
      </c>
      <c r="C768" s="62" t="s">
        <v>60</v>
      </c>
      <c r="D768" s="62" t="s">
        <v>71</v>
      </c>
      <c r="E768" s="62" t="s">
        <v>382</v>
      </c>
      <c r="F768" s="63" t="s">
        <v>417</v>
      </c>
      <c r="G768" s="64" t="n">
        <v>387880.736048881</v>
      </c>
      <c r="H768" s="62" t="s">
        <v>138</v>
      </c>
    </row>
    <row r="769" customFormat="false" ht="15" hidden="false" customHeight="false" outlineLevel="0" collapsed="false">
      <c r="A769" s="62" t="n">
        <v>0</v>
      </c>
      <c r="B769" s="62" t="s">
        <v>383</v>
      </c>
      <c r="C769" s="62" t="s">
        <v>60</v>
      </c>
      <c r="D769" s="62" t="s">
        <v>71</v>
      </c>
      <c r="E769" s="62" t="s">
        <v>382</v>
      </c>
      <c r="F769" s="63" t="s">
        <v>417</v>
      </c>
      <c r="G769" s="64" t="n">
        <v>387880.736048881</v>
      </c>
      <c r="H769" s="62" t="s">
        <v>138</v>
      </c>
    </row>
    <row r="770" customFormat="false" ht="15" hidden="false" customHeight="false" outlineLevel="0" collapsed="false">
      <c r="A770" s="62" t="n">
        <v>0</v>
      </c>
      <c r="B770" s="62" t="s">
        <v>384</v>
      </c>
      <c r="C770" s="62" t="s">
        <v>60</v>
      </c>
      <c r="D770" s="62" t="s">
        <v>71</v>
      </c>
      <c r="E770" s="62" t="s">
        <v>382</v>
      </c>
      <c r="F770" s="63" t="s">
        <v>417</v>
      </c>
      <c r="G770" s="64" t="n">
        <v>387880.736048881</v>
      </c>
      <c r="H770" s="62" t="s">
        <v>138</v>
      </c>
    </row>
    <row r="771" customFormat="false" ht="15" hidden="false" customHeight="false" outlineLevel="0" collapsed="false">
      <c r="A771" s="62" t="n">
        <v>0</v>
      </c>
      <c r="B771" s="62" t="s">
        <v>385</v>
      </c>
      <c r="C771" s="62" t="s">
        <v>60</v>
      </c>
      <c r="D771" s="62" t="s">
        <v>71</v>
      </c>
      <c r="E771" s="62" t="s">
        <v>382</v>
      </c>
      <c r="F771" s="63" t="s">
        <v>417</v>
      </c>
      <c r="G771" s="64" t="n">
        <v>387880.736048881</v>
      </c>
      <c r="H771" s="62" t="s">
        <v>138</v>
      </c>
    </row>
    <row r="772" customFormat="false" ht="15" hidden="false" customHeight="false" outlineLevel="0" collapsed="false">
      <c r="A772" s="62" t="n">
        <v>0</v>
      </c>
      <c r="B772" s="62" t="s">
        <v>386</v>
      </c>
      <c r="C772" s="62" t="s">
        <v>60</v>
      </c>
      <c r="D772" s="62" t="s">
        <v>71</v>
      </c>
      <c r="E772" s="62" t="s">
        <v>382</v>
      </c>
      <c r="F772" s="63" t="s">
        <v>417</v>
      </c>
      <c r="G772" s="64" t="n">
        <v>387880.736048881</v>
      </c>
      <c r="H772" s="62" t="s">
        <v>138</v>
      </c>
    </row>
    <row r="773" customFormat="false" ht="15" hidden="false" customHeight="false" outlineLevel="0" collapsed="false">
      <c r="A773" s="62" t="n">
        <v>0</v>
      </c>
      <c r="B773" s="62" t="s">
        <v>387</v>
      </c>
      <c r="C773" s="62" t="s">
        <v>60</v>
      </c>
      <c r="D773" s="62" t="s">
        <v>71</v>
      </c>
      <c r="E773" s="62" t="s">
        <v>382</v>
      </c>
      <c r="F773" s="63" t="s">
        <v>417</v>
      </c>
      <c r="G773" s="64" t="n">
        <v>387880.736048881</v>
      </c>
      <c r="H773" s="62" t="s">
        <v>138</v>
      </c>
    </row>
    <row r="774" customFormat="false" ht="15" hidden="false" customHeight="false" outlineLevel="0" collapsed="false">
      <c r="A774" s="62" t="n">
        <v>0</v>
      </c>
      <c r="B774" s="62" t="s">
        <v>388</v>
      </c>
      <c r="C774" s="62" t="s">
        <v>60</v>
      </c>
      <c r="D774" s="62" t="s">
        <v>71</v>
      </c>
      <c r="E774" s="62" t="s">
        <v>382</v>
      </c>
      <c r="F774" s="63" t="s">
        <v>417</v>
      </c>
      <c r="G774" s="64" t="n">
        <v>387880.736048881</v>
      </c>
      <c r="H774" s="62" t="s">
        <v>138</v>
      </c>
    </row>
    <row r="775" customFormat="false" ht="15" hidden="false" customHeight="false" outlineLevel="0" collapsed="false">
      <c r="A775" s="62" t="n">
        <v>0</v>
      </c>
      <c r="B775" s="62" t="s">
        <v>381</v>
      </c>
      <c r="C775" s="62" t="s">
        <v>60</v>
      </c>
      <c r="D775" s="62" t="s">
        <v>71</v>
      </c>
      <c r="E775" s="62" t="s">
        <v>382</v>
      </c>
      <c r="F775" s="63" t="s">
        <v>398</v>
      </c>
      <c r="G775" s="64" t="n">
        <v>780706</v>
      </c>
      <c r="H775" s="62" t="s">
        <v>138</v>
      </c>
    </row>
    <row r="776" customFormat="false" ht="15" hidden="false" customHeight="false" outlineLevel="0" collapsed="false">
      <c r="A776" s="62" t="n">
        <v>0</v>
      </c>
      <c r="B776" s="62" t="s">
        <v>383</v>
      </c>
      <c r="C776" s="62" t="s">
        <v>60</v>
      </c>
      <c r="D776" s="62" t="s">
        <v>71</v>
      </c>
      <c r="E776" s="62" t="s">
        <v>382</v>
      </c>
      <c r="F776" s="63" t="s">
        <v>398</v>
      </c>
      <c r="G776" s="64" t="n">
        <v>780706</v>
      </c>
      <c r="H776" s="62" t="s">
        <v>138</v>
      </c>
    </row>
    <row r="777" customFormat="false" ht="15" hidden="false" customHeight="false" outlineLevel="0" collapsed="false">
      <c r="A777" s="62" t="n">
        <v>0</v>
      </c>
      <c r="B777" s="62" t="s">
        <v>384</v>
      </c>
      <c r="C777" s="62" t="s">
        <v>60</v>
      </c>
      <c r="D777" s="62" t="s">
        <v>71</v>
      </c>
      <c r="E777" s="62" t="s">
        <v>382</v>
      </c>
      <c r="F777" s="63" t="s">
        <v>398</v>
      </c>
      <c r="G777" s="64" t="n">
        <v>780706</v>
      </c>
      <c r="H777" s="62" t="s">
        <v>138</v>
      </c>
    </row>
    <row r="778" customFormat="false" ht="15" hidden="false" customHeight="false" outlineLevel="0" collapsed="false">
      <c r="A778" s="62" t="n">
        <v>0</v>
      </c>
      <c r="B778" s="62" t="s">
        <v>385</v>
      </c>
      <c r="C778" s="62" t="s">
        <v>60</v>
      </c>
      <c r="D778" s="62" t="s">
        <v>71</v>
      </c>
      <c r="E778" s="62" t="s">
        <v>382</v>
      </c>
      <c r="F778" s="63" t="s">
        <v>398</v>
      </c>
      <c r="G778" s="64" t="n">
        <v>780706</v>
      </c>
      <c r="H778" s="62" t="s">
        <v>138</v>
      </c>
    </row>
    <row r="779" customFormat="false" ht="15" hidden="false" customHeight="false" outlineLevel="0" collapsed="false">
      <c r="A779" s="62" t="n">
        <v>0</v>
      </c>
      <c r="B779" s="62" t="s">
        <v>386</v>
      </c>
      <c r="C779" s="62" t="s">
        <v>60</v>
      </c>
      <c r="D779" s="62" t="s">
        <v>71</v>
      </c>
      <c r="E779" s="62" t="s">
        <v>382</v>
      </c>
      <c r="F779" s="63" t="s">
        <v>398</v>
      </c>
      <c r="G779" s="64" t="n">
        <v>780706</v>
      </c>
      <c r="H779" s="62" t="s">
        <v>138</v>
      </c>
    </row>
    <row r="780" customFormat="false" ht="15" hidden="false" customHeight="false" outlineLevel="0" collapsed="false">
      <c r="A780" s="62" t="n">
        <v>0</v>
      </c>
      <c r="B780" s="62" t="s">
        <v>387</v>
      </c>
      <c r="C780" s="62" t="s">
        <v>60</v>
      </c>
      <c r="D780" s="62" t="s">
        <v>71</v>
      </c>
      <c r="E780" s="62" t="s">
        <v>382</v>
      </c>
      <c r="F780" s="63" t="s">
        <v>398</v>
      </c>
      <c r="G780" s="64" t="n">
        <v>780706</v>
      </c>
      <c r="H780" s="62" t="s">
        <v>138</v>
      </c>
    </row>
    <row r="781" customFormat="false" ht="15" hidden="false" customHeight="false" outlineLevel="0" collapsed="false">
      <c r="A781" s="62" t="n">
        <v>0</v>
      </c>
      <c r="B781" s="62" t="s">
        <v>388</v>
      </c>
      <c r="C781" s="62" t="s">
        <v>60</v>
      </c>
      <c r="D781" s="62" t="s">
        <v>71</v>
      </c>
      <c r="E781" s="62" t="s">
        <v>382</v>
      </c>
      <c r="F781" s="63" t="s">
        <v>398</v>
      </c>
      <c r="G781" s="64" t="n">
        <v>780706</v>
      </c>
      <c r="H781" s="62" t="s">
        <v>138</v>
      </c>
    </row>
    <row r="782" customFormat="false" ht="15" hidden="false" customHeight="false" outlineLevel="0" collapsed="false">
      <c r="A782" s="62" t="n">
        <v>0</v>
      </c>
      <c r="B782" s="62" t="s">
        <v>381</v>
      </c>
      <c r="C782" s="62" t="s">
        <v>60</v>
      </c>
      <c r="D782" s="62" t="s">
        <v>71</v>
      </c>
      <c r="E782" s="62" t="s">
        <v>382</v>
      </c>
      <c r="F782" s="63" t="s">
        <v>418</v>
      </c>
      <c r="G782" s="64" t="n">
        <v>2668586.73604888</v>
      </c>
      <c r="H782" s="62" t="s">
        <v>138</v>
      </c>
    </row>
    <row r="783" customFormat="false" ht="15" hidden="false" customHeight="false" outlineLevel="0" collapsed="false">
      <c r="A783" s="62" t="n">
        <v>0</v>
      </c>
      <c r="B783" s="62" t="s">
        <v>383</v>
      </c>
      <c r="C783" s="62" t="s">
        <v>60</v>
      </c>
      <c r="D783" s="62" t="s">
        <v>71</v>
      </c>
      <c r="E783" s="62" t="s">
        <v>382</v>
      </c>
      <c r="F783" s="63" t="s">
        <v>418</v>
      </c>
      <c r="G783" s="64" t="n">
        <v>2668586.73604888</v>
      </c>
      <c r="H783" s="62" t="s">
        <v>138</v>
      </c>
    </row>
    <row r="784" customFormat="false" ht="15" hidden="false" customHeight="false" outlineLevel="0" collapsed="false">
      <c r="A784" s="62" t="n">
        <v>0</v>
      </c>
      <c r="B784" s="62" t="s">
        <v>384</v>
      </c>
      <c r="C784" s="62" t="s">
        <v>60</v>
      </c>
      <c r="D784" s="62" t="s">
        <v>71</v>
      </c>
      <c r="E784" s="62" t="s">
        <v>382</v>
      </c>
      <c r="F784" s="63" t="s">
        <v>418</v>
      </c>
      <c r="G784" s="64" t="n">
        <v>2668586.73604888</v>
      </c>
      <c r="H784" s="62" t="s">
        <v>138</v>
      </c>
    </row>
    <row r="785" customFormat="false" ht="15" hidden="false" customHeight="false" outlineLevel="0" collapsed="false">
      <c r="A785" s="62" t="n">
        <v>0</v>
      </c>
      <c r="B785" s="62" t="s">
        <v>385</v>
      </c>
      <c r="C785" s="62" t="s">
        <v>60</v>
      </c>
      <c r="D785" s="62" t="s">
        <v>71</v>
      </c>
      <c r="E785" s="62" t="s">
        <v>382</v>
      </c>
      <c r="F785" s="63" t="s">
        <v>418</v>
      </c>
      <c r="G785" s="64" t="n">
        <v>2668586.73604888</v>
      </c>
      <c r="H785" s="62" t="s">
        <v>138</v>
      </c>
    </row>
    <row r="786" customFormat="false" ht="15" hidden="false" customHeight="false" outlineLevel="0" collapsed="false">
      <c r="A786" s="62" t="n">
        <v>0</v>
      </c>
      <c r="B786" s="62" t="s">
        <v>386</v>
      </c>
      <c r="C786" s="62" t="s">
        <v>60</v>
      </c>
      <c r="D786" s="62" t="s">
        <v>71</v>
      </c>
      <c r="E786" s="62" t="s">
        <v>382</v>
      </c>
      <c r="F786" s="63" t="s">
        <v>418</v>
      </c>
      <c r="G786" s="64" t="n">
        <v>2668586.73604888</v>
      </c>
      <c r="H786" s="62" t="s">
        <v>138</v>
      </c>
    </row>
    <row r="787" customFormat="false" ht="15" hidden="false" customHeight="false" outlineLevel="0" collapsed="false">
      <c r="A787" s="62" t="n">
        <v>0</v>
      </c>
      <c r="B787" s="62" t="s">
        <v>387</v>
      </c>
      <c r="C787" s="62" t="s">
        <v>60</v>
      </c>
      <c r="D787" s="62" t="s">
        <v>71</v>
      </c>
      <c r="E787" s="62" t="s">
        <v>382</v>
      </c>
      <c r="F787" s="63" t="s">
        <v>418</v>
      </c>
      <c r="G787" s="64" t="n">
        <v>2668586.73604888</v>
      </c>
      <c r="H787" s="62" t="s">
        <v>138</v>
      </c>
    </row>
    <row r="788" customFormat="false" ht="15" hidden="false" customHeight="false" outlineLevel="0" collapsed="false">
      <c r="A788" s="62" t="n">
        <v>0</v>
      </c>
      <c r="B788" s="62" t="s">
        <v>388</v>
      </c>
      <c r="C788" s="62" t="s">
        <v>60</v>
      </c>
      <c r="D788" s="62" t="s">
        <v>71</v>
      </c>
      <c r="E788" s="62" t="s">
        <v>382</v>
      </c>
      <c r="F788" s="63" t="s">
        <v>418</v>
      </c>
      <c r="G788" s="64" t="n">
        <v>2668586.73604888</v>
      </c>
      <c r="H788" s="62" t="s">
        <v>138</v>
      </c>
    </row>
    <row r="789" customFormat="false" ht="15" hidden="false" customHeight="false" outlineLevel="0" collapsed="false">
      <c r="A789" s="62" t="n">
        <v>0</v>
      </c>
      <c r="B789" s="62" t="s">
        <v>381</v>
      </c>
      <c r="C789" s="62" t="s">
        <v>60</v>
      </c>
      <c r="D789" s="62" t="s">
        <v>71</v>
      </c>
      <c r="E789" s="62" t="s">
        <v>382</v>
      </c>
      <c r="F789" s="63" t="s">
        <v>420</v>
      </c>
      <c r="G789" s="64" t="n">
        <v>0</v>
      </c>
      <c r="H789" s="62" t="s">
        <v>138</v>
      </c>
    </row>
    <row r="790" customFormat="false" ht="15" hidden="false" customHeight="false" outlineLevel="0" collapsed="false">
      <c r="A790" s="62" t="n">
        <v>0</v>
      </c>
      <c r="B790" s="62" t="s">
        <v>383</v>
      </c>
      <c r="C790" s="62" t="s">
        <v>60</v>
      </c>
      <c r="D790" s="62" t="s">
        <v>71</v>
      </c>
      <c r="E790" s="62" t="s">
        <v>382</v>
      </c>
      <c r="F790" s="63" t="s">
        <v>420</v>
      </c>
      <c r="G790" s="64" t="n">
        <v>0</v>
      </c>
      <c r="H790" s="62" t="s">
        <v>138</v>
      </c>
    </row>
    <row r="791" customFormat="false" ht="15" hidden="false" customHeight="false" outlineLevel="0" collapsed="false">
      <c r="A791" s="62" t="n">
        <v>0</v>
      </c>
      <c r="B791" s="62" t="s">
        <v>384</v>
      </c>
      <c r="C791" s="62" t="s">
        <v>60</v>
      </c>
      <c r="D791" s="62" t="s">
        <v>71</v>
      </c>
      <c r="E791" s="62" t="s">
        <v>382</v>
      </c>
      <c r="F791" s="63" t="s">
        <v>420</v>
      </c>
      <c r="G791" s="64" t="n">
        <v>0</v>
      </c>
      <c r="H791" s="62" t="s">
        <v>138</v>
      </c>
    </row>
    <row r="792" customFormat="false" ht="15" hidden="false" customHeight="false" outlineLevel="0" collapsed="false">
      <c r="A792" s="62" t="n">
        <v>0</v>
      </c>
      <c r="B792" s="62" t="s">
        <v>385</v>
      </c>
      <c r="C792" s="62" t="s">
        <v>60</v>
      </c>
      <c r="D792" s="62" t="s">
        <v>71</v>
      </c>
      <c r="E792" s="62" t="s">
        <v>382</v>
      </c>
      <c r="F792" s="63" t="s">
        <v>420</v>
      </c>
      <c r="G792" s="64" t="n">
        <v>0</v>
      </c>
      <c r="H792" s="62" t="s">
        <v>138</v>
      </c>
    </row>
    <row r="793" customFormat="false" ht="15" hidden="false" customHeight="false" outlineLevel="0" collapsed="false">
      <c r="A793" s="62" t="n">
        <v>0</v>
      </c>
      <c r="B793" s="62" t="s">
        <v>386</v>
      </c>
      <c r="C793" s="62" t="s">
        <v>60</v>
      </c>
      <c r="D793" s="62" t="s">
        <v>71</v>
      </c>
      <c r="E793" s="62" t="s">
        <v>382</v>
      </c>
      <c r="F793" s="63" t="s">
        <v>420</v>
      </c>
      <c r="G793" s="64" t="n">
        <v>0</v>
      </c>
      <c r="H793" s="62" t="s">
        <v>138</v>
      </c>
    </row>
    <row r="794" customFormat="false" ht="15" hidden="false" customHeight="false" outlineLevel="0" collapsed="false">
      <c r="A794" s="62" t="n">
        <v>0</v>
      </c>
      <c r="B794" s="62" t="s">
        <v>387</v>
      </c>
      <c r="C794" s="62" t="s">
        <v>60</v>
      </c>
      <c r="D794" s="62" t="s">
        <v>71</v>
      </c>
      <c r="E794" s="62" t="s">
        <v>382</v>
      </c>
      <c r="F794" s="63" t="s">
        <v>420</v>
      </c>
      <c r="G794" s="64" t="n">
        <v>0</v>
      </c>
      <c r="H794" s="62" t="s">
        <v>138</v>
      </c>
    </row>
    <row r="795" customFormat="false" ht="15" hidden="false" customHeight="false" outlineLevel="0" collapsed="false">
      <c r="A795" s="62" t="n">
        <v>0</v>
      </c>
      <c r="B795" s="62" t="s">
        <v>388</v>
      </c>
      <c r="C795" s="62" t="s">
        <v>60</v>
      </c>
      <c r="D795" s="62" t="s">
        <v>71</v>
      </c>
      <c r="E795" s="62" t="s">
        <v>382</v>
      </c>
      <c r="F795" s="63" t="s">
        <v>420</v>
      </c>
      <c r="G795" s="64" t="n">
        <v>0</v>
      </c>
      <c r="H795" s="62" t="s">
        <v>138</v>
      </c>
    </row>
    <row r="796" customFormat="false" ht="15" hidden="false" customHeight="false" outlineLevel="0" collapsed="false">
      <c r="A796" s="62" t="n">
        <v>0</v>
      </c>
      <c r="B796" s="62" t="s">
        <v>381</v>
      </c>
      <c r="C796" s="62" t="s">
        <v>60</v>
      </c>
      <c r="D796" s="62" t="s">
        <v>71</v>
      </c>
      <c r="E796" s="62" t="s">
        <v>382</v>
      </c>
      <c r="F796" s="63" t="s">
        <v>421</v>
      </c>
      <c r="G796" s="64" t="n">
        <v>-600000</v>
      </c>
      <c r="H796" s="62" t="s">
        <v>138</v>
      </c>
    </row>
    <row r="797" customFormat="false" ht="15" hidden="false" customHeight="false" outlineLevel="0" collapsed="false">
      <c r="A797" s="62" t="n">
        <v>0</v>
      </c>
      <c r="B797" s="62" t="s">
        <v>383</v>
      </c>
      <c r="C797" s="62" t="s">
        <v>60</v>
      </c>
      <c r="D797" s="62" t="s">
        <v>71</v>
      </c>
      <c r="E797" s="62" t="s">
        <v>382</v>
      </c>
      <c r="F797" s="63" t="s">
        <v>421</v>
      </c>
      <c r="G797" s="64" t="n">
        <v>-600000</v>
      </c>
      <c r="H797" s="62" t="s">
        <v>138</v>
      </c>
    </row>
    <row r="798" customFormat="false" ht="15" hidden="false" customHeight="false" outlineLevel="0" collapsed="false">
      <c r="A798" s="62" t="n">
        <v>0</v>
      </c>
      <c r="B798" s="62" t="s">
        <v>384</v>
      </c>
      <c r="C798" s="62" t="s">
        <v>60</v>
      </c>
      <c r="D798" s="62" t="s">
        <v>71</v>
      </c>
      <c r="E798" s="62" t="s">
        <v>382</v>
      </c>
      <c r="F798" s="63" t="s">
        <v>421</v>
      </c>
      <c r="G798" s="64" t="n">
        <v>-600000</v>
      </c>
      <c r="H798" s="62" t="s">
        <v>138</v>
      </c>
    </row>
    <row r="799" customFormat="false" ht="15" hidden="false" customHeight="false" outlineLevel="0" collapsed="false">
      <c r="A799" s="62" t="n">
        <v>0</v>
      </c>
      <c r="B799" s="62" t="s">
        <v>385</v>
      </c>
      <c r="C799" s="62" t="s">
        <v>60</v>
      </c>
      <c r="D799" s="62" t="s">
        <v>71</v>
      </c>
      <c r="E799" s="62" t="s">
        <v>382</v>
      </c>
      <c r="F799" s="63" t="s">
        <v>421</v>
      </c>
      <c r="G799" s="64" t="n">
        <v>-600000</v>
      </c>
      <c r="H799" s="62" t="s">
        <v>138</v>
      </c>
    </row>
    <row r="800" customFormat="false" ht="15" hidden="false" customHeight="false" outlineLevel="0" collapsed="false">
      <c r="A800" s="62" t="n">
        <v>0</v>
      </c>
      <c r="B800" s="62" t="s">
        <v>386</v>
      </c>
      <c r="C800" s="62" t="s">
        <v>60</v>
      </c>
      <c r="D800" s="62" t="s">
        <v>71</v>
      </c>
      <c r="E800" s="62" t="s">
        <v>382</v>
      </c>
      <c r="F800" s="63" t="s">
        <v>421</v>
      </c>
      <c r="G800" s="64" t="n">
        <v>-600000</v>
      </c>
      <c r="H800" s="62" t="s">
        <v>138</v>
      </c>
    </row>
    <row r="801" customFormat="false" ht="15" hidden="false" customHeight="false" outlineLevel="0" collapsed="false">
      <c r="A801" s="62" t="n">
        <v>0</v>
      </c>
      <c r="B801" s="62" t="s">
        <v>387</v>
      </c>
      <c r="C801" s="62" t="s">
        <v>60</v>
      </c>
      <c r="D801" s="62" t="s">
        <v>71</v>
      </c>
      <c r="E801" s="62" t="s">
        <v>382</v>
      </c>
      <c r="F801" s="63" t="s">
        <v>421</v>
      </c>
      <c r="G801" s="64" t="n">
        <v>-600000</v>
      </c>
      <c r="H801" s="62" t="s">
        <v>138</v>
      </c>
    </row>
    <row r="802" customFormat="false" ht="15" hidden="false" customHeight="false" outlineLevel="0" collapsed="false">
      <c r="A802" s="62" t="n">
        <v>0</v>
      </c>
      <c r="B802" s="62" t="s">
        <v>388</v>
      </c>
      <c r="C802" s="62" t="s">
        <v>60</v>
      </c>
      <c r="D802" s="62" t="s">
        <v>71</v>
      </c>
      <c r="E802" s="62" t="s">
        <v>382</v>
      </c>
      <c r="F802" s="63" t="s">
        <v>421</v>
      </c>
      <c r="G802" s="64" t="n">
        <v>-600000</v>
      </c>
      <c r="H802" s="62" t="s">
        <v>138</v>
      </c>
    </row>
    <row r="803" customFormat="false" ht="15" hidden="false" customHeight="false" outlineLevel="0" collapsed="false">
      <c r="A803" s="62" t="n">
        <v>0</v>
      </c>
      <c r="B803" s="62" t="s">
        <v>381</v>
      </c>
      <c r="C803" s="62" t="s">
        <v>60</v>
      </c>
      <c r="D803" s="62" t="s">
        <v>71</v>
      </c>
      <c r="E803" s="62" t="s">
        <v>382</v>
      </c>
      <c r="F803" s="63" t="s">
        <v>422</v>
      </c>
      <c r="G803" s="64" t="n">
        <v>426015.541673935</v>
      </c>
      <c r="H803" s="62" t="s">
        <v>138</v>
      </c>
    </row>
    <row r="804" customFormat="false" ht="15" hidden="false" customHeight="false" outlineLevel="0" collapsed="false">
      <c r="A804" s="62" t="n">
        <v>0</v>
      </c>
      <c r="B804" s="62" t="s">
        <v>383</v>
      </c>
      <c r="C804" s="62" t="s">
        <v>60</v>
      </c>
      <c r="D804" s="62" t="s">
        <v>71</v>
      </c>
      <c r="E804" s="62" t="s">
        <v>382</v>
      </c>
      <c r="F804" s="63" t="s">
        <v>422</v>
      </c>
      <c r="G804" s="64" t="n">
        <v>426015.541673935</v>
      </c>
      <c r="H804" s="62" t="s">
        <v>138</v>
      </c>
    </row>
    <row r="805" customFormat="false" ht="15" hidden="false" customHeight="false" outlineLevel="0" collapsed="false">
      <c r="A805" s="62" t="n">
        <v>0</v>
      </c>
      <c r="B805" s="62" t="s">
        <v>384</v>
      </c>
      <c r="C805" s="62" t="s">
        <v>60</v>
      </c>
      <c r="D805" s="62" t="s">
        <v>71</v>
      </c>
      <c r="E805" s="62" t="s">
        <v>382</v>
      </c>
      <c r="F805" s="63" t="s">
        <v>422</v>
      </c>
      <c r="G805" s="64" t="n">
        <v>426015.541673935</v>
      </c>
      <c r="H805" s="62" t="s">
        <v>138</v>
      </c>
    </row>
    <row r="806" customFormat="false" ht="15" hidden="false" customHeight="false" outlineLevel="0" collapsed="false">
      <c r="A806" s="62" t="n">
        <v>0</v>
      </c>
      <c r="B806" s="62" t="s">
        <v>385</v>
      </c>
      <c r="C806" s="62" t="s">
        <v>60</v>
      </c>
      <c r="D806" s="62" t="s">
        <v>71</v>
      </c>
      <c r="E806" s="62" t="s">
        <v>382</v>
      </c>
      <c r="F806" s="63" t="s">
        <v>422</v>
      </c>
      <c r="G806" s="64" t="n">
        <v>426015.541673935</v>
      </c>
      <c r="H806" s="62" t="s">
        <v>138</v>
      </c>
    </row>
    <row r="807" customFormat="false" ht="15" hidden="false" customHeight="false" outlineLevel="0" collapsed="false">
      <c r="A807" s="62" t="n">
        <v>0</v>
      </c>
      <c r="B807" s="62" t="s">
        <v>386</v>
      </c>
      <c r="C807" s="62" t="s">
        <v>60</v>
      </c>
      <c r="D807" s="62" t="s">
        <v>71</v>
      </c>
      <c r="E807" s="62" t="s">
        <v>382</v>
      </c>
      <c r="F807" s="63" t="s">
        <v>422</v>
      </c>
      <c r="G807" s="64" t="n">
        <v>426015.541673935</v>
      </c>
      <c r="H807" s="62" t="s">
        <v>138</v>
      </c>
    </row>
    <row r="808" customFormat="false" ht="15" hidden="false" customHeight="false" outlineLevel="0" collapsed="false">
      <c r="A808" s="62" t="n">
        <v>0</v>
      </c>
      <c r="B808" s="62" t="s">
        <v>387</v>
      </c>
      <c r="C808" s="62" t="s">
        <v>60</v>
      </c>
      <c r="D808" s="62" t="s">
        <v>71</v>
      </c>
      <c r="E808" s="62" t="s">
        <v>382</v>
      </c>
      <c r="F808" s="63" t="s">
        <v>422</v>
      </c>
      <c r="G808" s="64" t="n">
        <v>426015.541673935</v>
      </c>
      <c r="H808" s="62" t="s">
        <v>138</v>
      </c>
    </row>
    <row r="809" customFormat="false" ht="15" hidden="false" customHeight="false" outlineLevel="0" collapsed="false">
      <c r="A809" s="62" t="n">
        <v>0</v>
      </c>
      <c r="B809" s="62" t="s">
        <v>388</v>
      </c>
      <c r="C809" s="62" t="s">
        <v>60</v>
      </c>
      <c r="D809" s="62" t="s">
        <v>71</v>
      </c>
      <c r="E809" s="62" t="s">
        <v>382</v>
      </c>
      <c r="F809" s="63" t="s">
        <v>422</v>
      </c>
      <c r="G809" s="64" t="n">
        <v>426015.541673935</v>
      </c>
      <c r="H809" s="62" t="s">
        <v>138</v>
      </c>
    </row>
    <row r="810" customFormat="false" ht="15" hidden="false" customHeight="false" outlineLevel="0" collapsed="false">
      <c r="A810" s="62" t="n">
        <v>0</v>
      </c>
      <c r="B810" s="62" t="s">
        <v>381</v>
      </c>
      <c r="C810" s="62" t="s">
        <v>60</v>
      </c>
      <c r="D810" s="62" t="s">
        <v>71</v>
      </c>
      <c r="E810" s="62" t="s">
        <v>382</v>
      </c>
      <c r="F810" s="63" t="s">
        <v>423</v>
      </c>
      <c r="G810" s="64" t="n">
        <v>-173984.458326065</v>
      </c>
      <c r="H810" s="62" t="s">
        <v>138</v>
      </c>
    </row>
    <row r="811" customFormat="false" ht="15" hidden="false" customHeight="false" outlineLevel="0" collapsed="false">
      <c r="A811" s="62" t="n">
        <v>0</v>
      </c>
      <c r="B811" s="62" t="s">
        <v>383</v>
      </c>
      <c r="C811" s="62" t="s">
        <v>60</v>
      </c>
      <c r="D811" s="62" t="s">
        <v>71</v>
      </c>
      <c r="E811" s="62" t="s">
        <v>382</v>
      </c>
      <c r="F811" s="63" t="s">
        <v>423</v>
      </c>
      <c r="G811" s="64" t="n">
        <v>-173984.458326065</v>
      </c>
      <c r="H811" s="62" t="s">
        <v>138</v>
      </c>
    </row>
    <row r="812" customFormat="false" ht="15" hidden="false" customHeight="false" outlineLevel="0" collapsed="false">
      <c r="A812" s="62" t="n">
        <v>0</v>
      </c>
      <c r="B812" s="62" t="s">
        <v>384</v>
      </c>
      <c r="C812" s="62" t="s">
        <v>60</v>
      </c>
      <c r="D812" s="62" t="s">
        <v>71</v>
      </c>
      <c r="E812" s="62" t="s">
        <v>382</v>
      </c>
      <c r="F812" s="63" t="s">
        <v>423</v>
      </c>
      <c r="G812" s="64" t="n">
        <v>-173984.458326065</v>
      </c>
      <c r="H812" s="62" t="s">
        <v>138</v>
      </c>
    </row>
    <row r="813" customFormat="false" ht="15" hidden="false" customHeight="false" outlineLevel="0" collapsed="false">
      <c r="A813" s="62" t="n">
        <v>0</v>
      </c>
      <c r="B813" s="62" t="s">
        <v>385</v>
      </c>
      <c r="C813" s="62" t="s">
        <v>60</v>
      </c>
      <c r="D813" s="62" t="s">
        <v>71</v>
      </c>
      <c r="E813" s="62" t="s">
        <v>382</v>
      </c>
      <c r="F813" s="63" t="s">
        <v>423</v>
      </c>
      <c r="G813" s="64" t="n">
        <v>-173984.458326065</v>
      </c>
      <c r="H813" s="62" t="s">
        <v>138</v>
      </c>
    </row>
    <row r="814" customFormat="false" ht="15" hidden="false" customHeight="false" outlineLevel="0" collapsed="false">
      <c r="A814" s="62" t="n">
        <v>0</v>
      </c>
      <c r="B814" s="62" t="s">
        <v>386</v>
      </c>
      <c r="C814" s="62" t="s">
        <v>60</v>
      </c>
      <c r="D814" s="62" t="s">
        <v>71</v>
      </c>
      <c r="E814" s="62" t="s">
        <v>382</v>
      </c>
      <c r="F814" s="63" t="s">
        <v>423</v>
      </c>
      <c r="G814" s="64" t="n">
        <v>-173984.458326065</v>
      </c>
      <c r="H814" s="62" t="s">
        <v>138</v>
      </c>
    </row>
    <row r="815" customFormat="false" ht="15" hidden="false" customHeight="false" outlineLevel="0" collapsed="false">
      <c r="A815" s="62" t="n">
        <v>0</v>
      </c>
      <c r="B815" s="62" t="s">
        <v>387</v>
      </c>
      <c r="C815" s="62" t="s">
        <v>60</v>
      </c>
      <c r="D815" s="62" t="s">
        <v>71</v>
      </c>
      <c r="E815" s="62" t="s">
        <v>382</v>
      </c>
      <c r="F815" s="63" t="s">
        <v>423</v>
      </c>
      <c r="G815" s="64" t="n">
        <v>-173984.458326065</v>
      </c>
      <c r="H815" s="62" t="s">
        <v>138</v>
      </c>
    </row>
    <row r="816" customFormat="false" ht="15" hidden="false" customHeight="false" outlineLevel="0" collapsed="false">
      <c r="A816" s="62" t="n">
        <v>0</v>
      </c>
      <c r="B816" s="62" t="s">
        <v>388</v>
      </c>
      <c r="C816" s="62" t="s">
        <v>60</v>
      </c>
      <c r="D816" s="62" t="s">
        <v>71</v>
      </c>
      <c r="E816" s="62" t="s">
        <v>382</v>
      </c>
      <c r="F816" s="63" t="s">
        <v>423</v>
      </c>
      <c r="G816" s="64" t="n">
        <v>-173984.458326065</v>
      </c>
      <c r="H816" s="62" t="s">
        <v>138</v>
      </c>
    </row>
    <row r="817" customFormat="false" ht="15" hidden="false" customHeight="false" outlineLevel="0" collapsed="false">
      <c r="A817" s="62" t="n">
        <v>0</v>
      </c>
      <c r="B817" s="62" t="s">
        <v>381</v>
      </c>
      <c r="C817" s="62" t="s">
        <v>60</v>
      </c>
      <c r="D817" s="62" t="s">
        <v>71</v>
      </c>
      <c r="E817" s="62" t="s">
        <v>382</v>
      </c>
      <c r="F817" s="63" t="s">
        <v>399</v>
      </c>
      <c r="G817" s="64" t="n">
        <v>2494602.27772282</v>
      </c>
      <c r="H817" s="62" t="s">
        <v>138</v>
      </c>
    </row>
    <row r="818" customFormat="false" ht="15" hidden="false" customHeight="false" outlineLevel="0" collapsed="false">
      <c r="A818" s="62" t="n">
        <v>0</v>
      </c>
      <c r="B818" s="62" t="s">
        <v>383</v>
      </c>
      <c r="C818" s="62" t="s">
        <v>60</v>
      </c>
      <c r="D818" s="62" t="s">
        <v>71</v>
      </c>
      <c r="E818" s="62" t="s">
        <v>382</v>
      </c>
      <c r="F818" s="63" t="s">
        <v>399</v>
      </c>
      <c r="G818" s="64" t="n">
        <v>2494602.27772282</v>
      </c>
      <c r="H818" s="62" t="s">
        <v>138</v>
      </c>
    </row>
    <row r="819" customFormat="false" ht="15" hidden="false" customHeight="false" outlineLevel="0" collapsed="false">
      <c r="A819" s="62" t="n">
        <v>0</v>
      </c>
      <c r="B819" s="62" t="s">
        <v>384</v>
      </c>
      <c r="C819" s="62" t="s">
        <v>60</v>
      </c>
      <c r="D819" s="62" t="s">
        <v>71</v>
      </c>
      <c r="E819" s="62" t="s">
        <v>382</v>
      </c>
      <c r="F819" s="63" t="s">
        <v>399</v>
      </c>
      <c r="G819" s="64" t="n">
        <v>2494602.27772282</v>
      </c>
      <c r="H819" s="62" t="s">
        <v>138</v>
      </c>
    </row>
    <row r="820" customFormat="false" ht="15" hidden="false" customHeight="false" outlineLevel="0" collapsed="false">
      <c r="A820" s="62" t="n">
        <v>0</v>
      </c>
      <c r="B820" s="62" t="s">
        <v>385</v>
      </c>
      <c r="C820" s="62" t="s">
        <v>60</v>
      </c>
      <c r="D820" s="62" t="s">
        <v>71</v>
      </c>
      <c r="E820" s="62" t="s">
        <v>382</v>
      </c>
      <c r="F820" s="63" t="s">
        <v>399</v>
      </c>
      <c r="G820" s="64" t="n">
        <v>2494602.27772282</v>
      </c>
      <c r="H820" s="62" t="s">
        <v>138</v>
      </c>
    </row>
    <row r="821" customFormat="false" ht="15" hidden="false" customHeight="false" outlineLevel="0" collapsed="false">
      <c r="A821" s="62" t="n">
        <v>0</v>
      </c>
      <c r="B821" s="62" t="s">
        <v>386</v>
      </c>
      <c r="C821" s="62" t="s">
        <v>60</v>
      </c>
      <c r="D821" s="62" t="s">
        <v>71</v>
      </c>
      <c r="E821" s="62" t="s">
        <v>382</v>
      </c>
      <c r="F821" s="63" t="s">
        <v>399</v>
      </c>
      <c r="G821" s="64" t="n">
        <v>2494602.27772282</v>
      </c>
      <c r="H821" s="62" t="s">
        <v>138</v>
      </c>
    </row>
    <row r="822" customFormat="false" ht="15" hidden="false" customHeight="false" outlineLevel="0" collapsed="false">
      <c r="A822" s="62" t="n">
        <v>0</v>
      </c>
      <c r="B822" s="62" t="s">
        <v>387</v>
      </c>
      <c r="C822" s="62" t="s">
        <v>60</v>
      </c>
      <c r="D822" s="62" t="s">
        <v>71</v>
      </c>
      <c r="E822" s="62" t="s">
        <v>382</v>
      </c>
      <c r="F822" s="63" t="s">
        <v>399</v>
      </c>
      <c r="G822" s="64" t="n">
        <v>2494602.27772282</v>
      </c>
      <c r="H822" s="62" t="s">
        <v>138</v>
      </c>
    </row>
    <row r="823" customFormat="false" ht="15" hidden="false" customHeight="false" outlineLevel="0" collapsed="false">
      <c r="A823" s="62" t="n">
        <v>0</v>
      </c>
      <c r="B823" s="62" t="s">
        <v>388</v>
      </c>
      <c r="C823" s="62" t="s">
        <v>60</v>
      </c>
      <c r="D823" s="62" t="s">
        <v>71</v>
      </c>
      <c r="E823" s="62" t="s">
        <v>382</v>
      </c>
      <c r="F823" s="63" t="s">
        <v>399</v>
      </c>
      <c r="G823" s="64" t="n">
        <v>2494602.27772282</v>
      </c>
      <c r="H823" s="62" t="s">
        <v>138</v>
      </c>
    </row>
    <row r="824" customFormat="false" ht="15" hidden="false" customHeight="false" outlineLevel="0" collapsed="false">
      <c r="A824" s="62" t="n">
        <v>0</v>
      </c>
      <c r="B824" s="62" t="s">
        <v>381</v>
      </c>
      <c r="C824" s="62" t="s">
        <v>60</v>
      </c>
      <c r="D824" s="62" t="s">
        <v>71</v>
      </c>
      <c r="E824" s="62" t="s">
        <v>382</v>
      </c>
      <c r="F824" s="63" t="s">
        <v>443</v>
      </c>
      <c r="G824" s="64" t="n">
        <v>834664.709801374</v>
      </c>
      <c r="H824" s="62" t="s">
        <v>138</v>
      </c>
    </row>
    <row r="825" customFormat="false" ht="15" hidden="false" customHeight="false" outlineLevel="0" collapsed="false">
      <c r="A825" s="62" t="n">
        <v>0</v>
      </c>
      <c r="B825" s="62" t="s">
        <v>383</v>
      </c>
      <c r="C825" s="62" t="s">
        <v>60</v>
      </c>
      <c r="D825" s="62" t="s">
        <v>71</v>
      </c>
      <c r="E825" s="62" t="s">
        <v>382</v>
      </c>
      <c r="F825" s="63" t="s">
        <v>443</v>
      </c>
      <c r="G825" s="64" t="n">
        <v>834664.709801374</v>
      </c>
      <c r="H825" s="62" t="s">
        <v>138</v>
      </c>
    </row>
    <row r="826" customFormat="false" ht="15" hidden="false" customHeight="false" outlineLevel="0" collapsed="false">
      <c r="A826" s="62" t="n">
        <v>0</v>
      </c>
      <c r="B826" s="62" t="s">
        <v>384</v>
      </c>
      <c r="C826" s="62" t="s">
        <v>60</v>
      </c>
      <c r="D826" s="62" t="s">
        <v>71</v>
      </c>
      <c r="E826" s="62" t="s">
        <v>382</v>
      </c>
      <c r="F826" s="63" t="s">
        <v>443</v>
      </c>
      <c r="G826" s="64" t="n">
        <v>834664.709801374</v>
      </c>
      <c r="H826" s="62" t="s">
        <v>138</v>
      </c>
    </row>
    <row r="827" customFormat="false" ht="15" hidden="false" customHeight="false" outlineLevel="0" collapsed="false">
      <c r="A827" s="62" t="n">
        <v>0</v>
      </c>
      <c r="B827" s="62" t="s">
        <v>385</v>
      </c>
      <c r="C827" s="62" t="s">
        <v>60</v>
      </c>
      <c r="D827" s="62" t="s">
        <v>71</v>
      </c>
      <c r="E827" s="62" t="s">
        <v>382</v>
      </c>
      <c r="F827" s="63" t="s">
        <v>443</v>
      </c>
      <c r="G827" s="64" t="n">
        <v>834664.709801374</v>
      </c>
      <c r="H827" s="62" t="s">
        <v>138</v>
      </c>
    </row>
    <row r="828" customFormat="false" ht="15" hidden="false" customHeight="false" outlineLevel="0" collapsed="false">
      <c r="A828" s="62" t="n">
        <v>0</v>
      </c>
      <c r="B828" s="62" t="s">
        <v>386</v>
      </c>
      <c r="C828" s="62" t="s">
        <v>60</v>
      </c>
      <c r="D828" s="62" t="s">
        <v>71</v>
      </c>
      <c r="E828" s="62" t="s">
        <v>382</v>
      </c>
      <c r="F828" s="63" t="s">
        <v>443</v>
      </c>
      <c r="G828" s="64" t="n">
        <v>834664.709801374</v>
      </c>
      <c r="H828" s="62" t="s">
        <v>138</v>
      </c>
    </row>
    <row r="829" customFormat="false" ht="15" hidden="false" customHeight="false" outlineLevel="0" collapsed="false">
      <c r="A829" s="62" t="n">
        <v>0</v>
      </c>
      <c r="B829" s="62" t="s">
        <v>387</v>
      </c>
      <c r="C829" s="62" t="s">
        <v>60</v>
      </c>
      <c r="D829" s="62" t="s">
        <v>71</v>
      </c>
      <c r="E829" s="62" t="s">
        <v>382</v>
      </c>
      <c r="F829" s="63" t="s">
        <v>443</v>
      </c>
      <c r="G829" s="64" t="n">
        <v>834664.709801374</v>
      </c>
      <c r="H829" s="62" t="s">
        <v>138</v>
      </c>
    </row>
    <row r="830" customFormat="false" ht="15" hidden="false" customHeight="false" outlineLevel="0" collapsed="false">
      <c r="A830" s="62" t="n">
        <v>0</v>
      </c>
      <c r="B830" s="62" t="s">
        <v>388</v>
      </c>
      <c r="C830" s="62" t="s">
        <v>60</v>
      </c>
      <c r="D830" s="62" t="s">
        <v>71</v>
      </c>
      <c r="E830" s="62" t="s">
        <v>382</v>
      </c>
      <c r="F830" s="63" t="s">
        <v>443</v>
      </c>
      <c r="G830" s="64" t="n">
        <v>834664.709801374</v>
      </c>
      <c r="H830" s="62" t="s">
        <v>138</v>
      </c>
    </row>
    <row r="831" customFormat="false" ht="15" hidden="false" customHeight="false" outlineLevel="0" collapsed="false">
      <c r="A831" s="62" t="n">
        <v>0</v>
      </c>
      <c r="B831" s="62" t="s">
        <v>381</v>
      </c>
      <c r="C831" s="62" t="s">
        <v>60</v>
      </c>
      <c r="D831" s="62" t="s">
        <v>71</v>
      </c>
      <c r="E831" s="62" t="s">
        <v>382</v>
      </c>
      <c r="F831" s="63" t="s">
        <v>444</v>
      </c>
      <c r="G831" s="64" t="n">
        <v>521351.75</v>
      </c>
      <c r="H831" s="62" t="s">
        <v>138</v>
      </c>
    </row>
    <row r="832" customFormat="false" ht="15" hidden="false" customHeight="false" outlineLevel="0" collapsed="false">
      <c r="A832" s="62" t="n">
        <v>0</v>
      </c>
      <c r="B832" s="62" t="s">
        <v>383</v>
      </c>
      <c r="C832" s="62" t="s">
        <v>60</v>
      </c>
      <c r="D832" s="62" t="s">
        <v>71</v>
      </c>
      <c r="E832" s="62" t="s">
        <v>382</v>
      </c>
      <c r="F832" s="63" t="s">
        <v>444</v>
      </c>
      <c r="G832" s="64" t="n">
        <v>521351.75</v>
      </c>
      <c r="H832" s="62" t="s">
        <v>138</v>
      </c>
    </row>
    <row r="833" customFormat="false" ht="15" hidden="false" customHeight="false" outlineLevel="0" collapsed="false">
      <c r="A833" s="62" t="n">
        <v>0</v>
      </c>
      <c r="B833" s="62" t="s">
        <v>384</v>
      </c>
      <c r="C833" s="62" t="s">
        <v>60</v>
      </c>
      <c r="D833" s="62" t="s">
        <v>71</v>
      </c>
      <c r="E833" s="62" t="s">
        <v>382</v>
      </c>
      <c r="F833" s="63" t="s">
        <v>444</v>
      </c>
      <c r="G833" s="64" t="n">
        <v>521351.75</v>
      </c>
      <c r="H833" s="62" t="s">
        <v>138</v>
      </c>
    </row>
    <row r="834" customFormat="false" ht="15" hidden="false" customHeight="false" outlineLevel="0" collapsed="false">
      <c r="A834" s="62" t="n">
        <v>0</v>
      </c>
      <c r="B834" s="62" t="s">
        <v>385</v>
      </c>
      <c r="C834" s="62" t="s">
        <v>60</v>
      </c>
      <c r="D834" s="62" t="s">
        <v>71</v>
      </c>
      <c r="E834" s="62" t="s">
        <v>382</v>
      </c>
      <c r="F834" s="63" t="s">
        <v>444</v>
      </c>
      <c r="G834" s="64" t="n">
        <v>521351.75</v>
      </c>
      <c r="H834" s="62" t="s">
        <v>138</v>
      </c>
    </row>
    <row r="835" customFormat="false" ht="15" hidden="false" customHeight="false" outlineLevel="0" collapsed="false">
      <c r="A835" s="62" t="n">
        <v>0</v>
      </c>
      <c r="B835" s="62" t="s">
        <v>386</v>
      </c>
      <c r="C835" s="62" t="s">
        <v>60</v>
      </c>
      <c r="D835" s="62" t="s">
        <v>71</v>
      </c>
      <c r="E835" s="62" t="s">
        <v>382</v>
      </c>
      <c r="F835" s="63" t="s">
        <v>444</v>
      </c>
      <c r="G835" s="64" t="n">
        <v>521351.75</v>
      </c>
      <c r="H835" s="62" t="s">
        <v>138</v>
      </c>
    </row>
    <row r="836" customFormat="false" ht="15" hidden="false" customHeight="false" outlineLevel="0" collapsed="false">
      <c r="A836" s="62" t="n">
        <v>0</v>
      </c>
      <c r="B836" s="62" t="s">
        <v>387</v>
      </c>
      <c r="C836" s="62" t="s">
        <v>60</v>
      </c>
      <c r="D836" s="62" t="s">
        <v>71</v>
      </c>
      <c r="E836" s="62" t="s">
        <v>382</v>
      </c>
      <c r="F836" s="63" t="s">
        <v>444</v>
      </c>
      <c r="G836" s="64" t="n">
        <v>521351.75</v>
      </c>
      <c r="H836" s="62" t="s">
        <v>138</v>
      </c>
    </row>
    <row r="837" customFormat="false" ht="15" hidden="false" customHeight="false" outlineLevel="0" collapsed="false">
      <c r="A837" s="62" t="n">
        <v>0</v>
      </c>
      <c r="B837" s="62" t="s">
        <v>388</v>
      </c>
      <c r="C837" s="62" t="s">
        <v>60</v>
      </c>
      <c r="D837" s="62" t="s">
        <v>71</v>
      </c>
      <c r="E837" s="62" t="s">
        <v>382</v>
      </c>
      <c r="F837" s="63" t="s">
        <v>444</v>
      </c>
      <c r="G837" s="64" t="n">
        <v>521351.75</v>
      </c>
      <c r="H837" s="62" t="s">
        <v>138</v>
      </c>
    </row>
    <row r="838" customFormat="false" ht="15" hidden="false" customHeight="false" outlineLevel="0" collapsed="false">
      <c r="A838" s="62" t="n">
        <v>0</v>
      </c>
      <c r="B838" s="62" t="s">
        <v>381</v>
      </c>
      <c r="C838" s="62" t="s">
        <v>60</v>
      </c>
      <c r="D838" s="62" t="s">
        <v>71</v>
      </c>
      <c r="E838" s="62" t="s">
        <v>382</v>
      </c>
      <c r="F838" s="63" t="s">
        <v>445</v>
      </c>
      <c r="G838" s="64" t="n">
        <v>0</v>
      </c>
      <c r="H838" s="62" t="s">
        <v>138</v>
      </c>
    </row>
    <row r="839" customFormat="false" ht="15" hidden="false" customHeight="false" outlineLevel="0" collapsed="false">
      <c r="A839" s="62" t="n">
        <v>0</v>
      </c>
      <c r="B839" s="62" t="s">
        <v>383</v>
      </c>
      <c r="C839" s="62" t="s">
        <v>60</v>
      </c>
      <c r="D839" s="62" t="s">
        <v>71</v>
      </c>
      <c r="E839" s="62" t="s">
        <v>382</v>
      </c>
      <c r="F839" s="63" t="s">
        <v>445</v>
      </c>
      <c r="G839" s="64" t="n">
        <v>0</v>
      </c>
      <c r="H839" s="62" t="s">
        <v>138</v>
      </c>
    </row>
    <row r="840" customFormat="false" ht="15" hidden="false" customHeight="false" outlineLevel="0" collapsed="false">
      <c r="A840" s="62" t="n">
        <v>0</v>
      </c>
      <c r="B840" s="62" t="s">
        <v>384</v>
      </c>
      <c r="C840" s="62" t="s">
        <v>60</v>
      </c>
      <c r="D840" s="62" t="s">
        <v>71</v>
      </c>
      <c r="E840" s="62" t="s">
        <v>382</v>
      </c>
      <c r="F840" s="63" t="s">
        <v>445</v>
      </c>
      <c r="G840" s="64" t="n">
        <v>0</v>
      </c>
      <c r="H840" s="62" t="s">
        <v>138</v>
      </c>
    </row>
    <row r="841" customFormat="false" ht="15" hidden="false" customHeight="false" outlineLevel="0" collapsed="false">
      <c r="A841" s="62" t="n">
        <v>0</v>
      </c>
      <c r="B841" s="62" t="s">
        <v>385</v>
      </c>
      <c r="C841" s="62" t="s">
        <v>60</v>
      </c>
      <c r="D841" s="62" t="s">
        <v>71</v>
      </c>
      <c r="E841" s="62" t="s">
        <v>382</v>
      </c>
      <c r="F841" s="63" t="s">
        <v>445</v>
      </c>
      <c r="G841" s="64" t="n">
        <v>0</v>
      </c>
      <c r="H841" s="62" t="s">
        <v>138</v>
      </c>
    </row>
    <row r="842" customFormat="false" ht="15" hidden="false" customHeight="false" outlineLevel="0" collapsed="false">
      <c r="A842" s="62" t="n">
        <v>0</v>
      </c>
      <c r="B842" s="62" t="s">
        <v>386</v>
      </c>
      <c r="C842" s="62" t="s">
        <v>60</v>
      </c>
      <c r="D842" s="62" t="s">
        <v>71</v>
      </c>
      <c r="E842" s="62" t="s">
        <v>382</v>
      </c>
      <c r="F842" s="63" t="s">
        <v>445</v>
      </c>
      <c r="G842" s="64" t="n">
        <v>0</v>
      </c>
      <c r="H842" s="62" t="s">
        <v>138</v>
      </c>
    </row>
    <row r="843" customFormat="false" ht="15" hidden="false" customHeight="false" outlineLevel="0" collapsed="false">
      <c r="A843" s="62" t="n">
        <v>0</v>
      </c>
      <c r="B843" s="62" t="s">
        <v>387</v>
      </c>
      <c r="C843" s="62" t="s">
        <v>60</v>
      </c>
      <c r="D843" s="62" t="s">
        <v>71</v>
      </c>
      <c r="E843" s="62" t="s">
        <v>382</v>
      </c>
      <c r="F843" s="63" t="s">
        <v>445</v>
      </c>
      <c r="G843" s="64" t="n">
        <v>0</v>
      </c>
      <c r="H843" s="62" t="s">
        <v>138</v>
      </c>
    </row>
    <row r="844" customFormat="false" ht="15" hidden="false" customHeight="false" outlineLevel="0" collapsed="false">
      <c r="A844" s="62" t="n">
        <v>0</v>
      </c>
      <c r="B844" s="62" t="s">
        <v>388</v>
      </c>
      <c r="C844" s="62" t="s">
        <v>60</v>
      </c>
      <c r="D844" s="62" t="s">
        <v>71</v>
      </c>
      <c r="E844" s="62" t="s">
        <v>382</v>
      </c>
      <c r="F844" s="63" t="s">
        <v>445</v>
      </c>
      <c r="G844" s="64" t="n">
        <v>0</v>
      </c>
      <c r="H844" s="62" t="s">
        <v>138</v>
      </c>
    </row>
    <row r="845" customFormat="false" ht="15" hidden="false" customHeight="false" outlineLevel="0" collapsed="false">
      <c r="A845" s="62" t="n">
        <v>0</v>
      </c>
      <c r="B845" s="62" t="s">
        <v>381</v>
      </c>
      <c r="C845" s="62" t="s">
        <v>60</v>
      </c>
      <c r="D845" s="62" t="s">
        <v>71</v>
      </c>
      <c r="E845" s="62" t="s">
        <v>382</v>
      </c>
      <c r="F845" s="63" t="s">
        <v>446</v>
      </c>
      <c r="G845" s="64" t="n">
        <v>37331.541673935</v>
      </c>
      <c r="H845" s="62" t="s">
        <v>138</v>
      </c>
    </row>
    <row r="846" customFormat="false" ht="15" hidden="false" customHeight="false" outlineLevel="0" collapsed="false">
      <c r="A846" s="62" t="n">
        <v>0</v>
      </c>
      <c r="B846" s="62" t="s">
        <v>383</v>
      </c>
      <c r="C846" s="62" t="s">
        <v>60</v>
      </c>
      <c r="D846" s="62" t="s">
        <v>71</v>
      </c>
      <c r="E846" s="62" t="s">
        <v>382</v>
      </c>
      <c r="F846" s="63" t="s">
        <v>446</v>
      </c>
      <c r="G846" s="64" t="n">
        <v>37331.541673935</v>
      </c>
      <c r="H846" s="62" t="s">
        <v>138</v>
      </c>
    </row>
    <row r="847" customFormat="false" ht="15" hidden="false" customHeight="false" outlineLevel="0" collapsed="false">
      <c r="A847" s="62" t="n">
        <v>0</v>
      </c>
      <c r="B847" s="62" t="s">
        <v>384</v>
      </c>
      <c r="C847" s="62" t="s">
        <v>60</v>
      </c>
      <c r="D847" s="62" t="s">
        <v>71</v>
      </c>
      <c r="E847" s="62" t="s">
        <v>382</v>
      </c>
      <c r="F847" s="63" t="s">
        <v>446</v>
      </c>
      <c r="G847" s="64" t="n">
        <v>37331.541673935</v>
      </c>
      <c r="H847" s="62" t="s">
        <v>138</v>
      </c>
    </row>
    <row r="848" customFormat="false" ht="15" hidden="false" customHeight="false" outlineLevel="0" collapsed="false">
      <c r="A848" s="62" t="n">
        <v>0</v>
      </c>
      <c r="B848" s="62" t="s">
        <v>385</v>
      </c>
      <c r="C848" s="62" t="s">
        <v>60</v>
      </c>
      <c r="D848" s="62" t="s">
        <v>71</v>
      </c>
      <c r="E848" s="62" t="s">
        <v>382</v>
      </c>
      <c r="F848" s="63" t="s">
        <v>446</v>
      </c>
      <c r="G848" s="64" t="n">
        <v>37331.541673935</v>
      </c>
      <c r="H848" s="62" t="s">
        <v>138</v>
      </c>
    </row>
    <row r="849" customFormat="false" ht="15" hidden="false" customHeight="false" outlineLevel="0" collapsed="false">
      <c r="A849" s="62" t="n">
        <v>0</v>
      </c>
      <c r="B849" s="62" t="s">
        <v>386</v>
      </c>
      <c r="C849" s="62" t="s">
        <v>60</v>
      </c>
      <c r="D849" s="62" t="s">
        <v>71</v>
      </c>
      <c r="E849" s="62" t="s">
        <v>382</v>
      </c>
      <c r="F849" s="63" t="s">
        <v>446</v>
      </c>
      <c r="G849" s="64" t="n">
        <v>37331.541673935</v>
      </c>
      <c r="H849" s="62" t="s">
        <v>138</v>
      </c>
    </row>
    <row r="850" customFormat="false" ht="15" hidden="false" customHeight="false" outlineLevel="0" collapsed="false">
      <c r="A850" s="62" t="n">
        <v>0</v>
      </c>
      <c r="B850" s="62" t="s">
        <v>387</v>
      </c>
      <c r="C850" s="62" t="s">
        <v>60</v>
      </c>
      <c r="D850" s="62" t="s">
        <v>71</v>
      </c>
      <c r="E850" s="62" t="s">
        <v>382</v>
      </c>
      <c r="F850" s="63" t="s">
        <v>446</v>
      </c>
      <c r="G850" s="64" t="n">
        <v>37331.541673935</v>
      </c>
      <c r="H850" s="62" t="s">
        <v>138</v>
      </c>
    </row>
    <row r="851" customFormat="false" ht="15" hidden="false" customHeight="false" outlineLevel="0" collapsed="false">
      <c r="A851" s="62" t="n">
        <v>0</v>
      </c>
      <c r="B851" s="62" t="s">
        <v>388</v>
      </c>
      <c r="C851" s="62" t="s">
        <v>60</v>
      </c>
      <c r="D851" s="62" t="s">
        <v>71</v>
      </c>
      <c r="E851" s="62" t="s">
        <v>382</v>
      </c>
      <c r="F851" s="63" t="s">
        <v>446</v>
      </c>
      <c r="G851" s="64" t="n">
        <v>37331.541673935</v>
      </c>
      <c r="H851" s="62" t="s">
        <v>138</v>
      </c>
    </row>
    <row r="852" customFormat="false" ht="15" hidden="false" customHeight="false" outlineLevel="0" collapsed="false">
      <c r="A852" s="62" t="n">
        <v>0</v>
      </c>
      <c r="B852" s="62" t="s">
        <v>381</v>
      </c>
      <c r="C852" s="62" t="s">
        <v>60</v>
      </c>
      <c r="D852" s="62" t="s">
        <v>71</v>
      </c>
      <c r="E852" s="62" t="s">
        <v>382</v>
      </c>
      <c r="F852" s="63" t="s">
        <v>447</v>
      </c>
      <c r="G852" s="64" t="n">
        <v>-119424.995069532</v>
      </c>
      <c r="H852" s="62" t="s">
        <v>138</v>
      </c>
    </row>
    <row r="853" customFormat="false" ht="15" hidden="false" customHeight="false" outlineLevel="0" collapsed="false">
      <c r="A853" s="62" t="n">
        <v>0</v>
      </c>
      <c r="B853" s="62" t="s">
        <v>383</v>
      </c>
      <c r="C853" s="62" t="s">
        <v>60</v>
      </c>
      <c r="D853" s="62" t="s">
        <v>71</v>
      </c>
      <c r="E853" s="62" t="s">
        <v>382</v>
      </c>
      <c r="F853" s="63" t="s">
        <v>447</v>
      </c>
      <c r="G853" s="64" t="n">
        <v>-119424.995069532</v>
      </c>
      <c r="H853" s="62" t="s">
        <v>138</v>
      </c>
    </row>
    <row r="854" customFormat="false" ht="15" hidden="false" customHeight="false" outlineLevel="0" collapsed="false">
      <c r="A854" s="62" t="n">
        <v>0</v>
      </c>
      <c r="B854" s="62" t="s">
        <v>384</v>
      </c>
      <c r="C854" s="62" t="s">
        <v>60</v>
      </c>
      <c r="D854" s="62" t="s">
        <v>71</v>
      </c>
      <c r="E854" s="62" t="s">
        <v>382</v>
      </c>
      <c r="F854" s="63" t="s">
        <v>447</v>
      </c>
      <c r="G854" s="64" t="n">
        <v>-119424.995069532</v>
      </c>
      <c r="H854" s="62" t="s">
        <v>138</v>
      </c>
    </row>
    <row r="855" customFormat="false" ht="15" hidden="false" customHeight="false" outlineLevel="0" collapsed="false">
      <c r="A855" s="62" t="n">
        <v>0</v>
      </c>
      <c r="B855" s="62" t="s">
        <v>385</v>
      </c>
      <c r="C855" s="62" t="s">
        <v>60</v>
      </c>
      <c r="D855" s="62" t="s">
        <v>71</v>
      </c>
      <c r="E855" s="62" t="s">
        <v>382</v>
      </c>
      <c r="F855" s="63" t="s">
        <v>447</v>
      </c>
      <c r="G855" s="64" t="n">
        <v>-119424.995069532</v>
      </c>
      <c r="H855" s="62" t="s">
        <v>138</v>
      </c>
    </row>
    <row r="856" customFormat="false" ht="15" hidden="false" customHeight="false" outlineLevel="0" collapsed="false">
      <c r="A856" s="62" t="n">
        <v>0</v>
      </c>
      <c r="B856" s="62" t="s">
        <v>386</v>
      </c>
      <c r="C856" s="62" t="s">
        <v>60</v>
      </c>
      <c r="D856" s="62" t="s">
        <v>71</v>
      </c>
      <c r="E856" s="62" t="s">
        <v>382</v>
      </c>
      <c r="F856" s="63" t="s">
        <v>447</v>
      </c>
      <c r="G856" s="64" t="n">
        <v>-119424.995069532</v>
      </c>
      <c r="H856" s="62" t="s">
        <v>138</v>
      </c>
    </row>
    <row r="857" customFormat="false" ht="15" hidden="false" customHeight="false" outlineLevel="0" collapsed="false">
      <c r="A857" s="62" t="n">
        <v>0</v>
      </c>
      <c r="B857" s="62" t="s">
        <v>387</v>
      </c>
      <c r="C857" s="62" t="s">
        <v>60</v>
      </c>
      <c r="D857" s="62" t="s">
        <v>71</v>
      </c>
      <c r="E857" s="62" t="s">
        <v>382</v>
      </c>
      <c r="F857" s="63" t="s">
        <v>447</v>
      </c>
      <c r="G857" s="64" t="n">
        <v>-119424.995069532</v>
      </c>
      <c r="H857" s="62" t="s">
        <v>138</v>
      </c>
    </row>
    <row r="858" customFormat="false" ht="15" hidden="false" customHeight="false" outlineLevel="0" collapsed="false">
      <c r="A858" s="62" t="n">
        <v>0</v>
      </c>
      <c r="B858" s="62" t="s">
        <v>388</v>
      </c>
      <c r="C858" s="62" t="s">
        <v>60</v>
      </c>
      <c r="D858" s="62" t="s">
        <v>71</v>
      </c>
      <c r="E858" s="62" t="s">
        <v>382</v>
      </c>
      <c r="F858" s="63" t="s">
        <v>447</v>
      </c>
      <c r="G858" s="64" t="n">
        <v>-119424.995069532</v>
      </c>
      <c r="H858" s="62" t="s">
        <v>138</v>
      </c>
    </row>
    <row r="859" customFormat="false" ht="15" hidden="false" customHeight="false" outlineLevel="0" collapsed="false">
      <c r="A859" s="62" t="n">
        <v>0</v>
      </c>
      <c r="B859" s="62" t="s">
        <v>381</v>
      </c>
      <c r="C859" s="62" t="s">
        <v>60</v>
      </c>
      <c r="D859" s="62" t="s">
        <v>71</v>
      </c>
      <c r="E859" s="62" t="s">
        <v>382</v>
      </c>
      <c r="F859" s="63" t="s">
        <v>448</v>
      </c>
      <c r="G859" s="64" t="n">
        <v>-129293.578682961</v>
      </c>
      <c r="H859" s="62" t="s">
        <v>138</v>
      </c>
    </row>
    <row r="860" customFormat="false" ht="15" hidden="false" customHeight="false" outlineLevel="0" collapsed="false">
      <c r="A860" s="62" t="n">
        <v>0</v>
      </c>
      <c r="B860" s="62" t="s">
        <v>383</v>
      </c>
      <c r="C860" s="62" t="s">
        <v>60</v>
      </c>
      <c r="D860" s="62" t="s">
        <v>71</v>
      </c>
      <c r="E860" s="62" t="s">
        <v>382</v>
      </c>
      <c r="F860" s="63" t="s">
        <v>448</v>
      </c>
      <c r="G860" s="64" t="n">
        <v>-129293.578682961</v>
      </c>
      <c r="H860" s="62" t="s">
        <v>138</v>
      </c>
    </row>
    <row r="861" customFormat="false" ht="15" hidden="false" customHeight="false" outlineLevel="0" collapsed="false">
      <c r="A861" s="62" t="n">
        <v>0</v>
      </c>
      <c r="B861" s="62" t="s">
        <v>384</v>
      </c>
      <c r="C861" s="62" t="s">
        <v>60</v>
      </c>
      <c r="D861" s="62" t="s">
        <v>71</v>
      </c>
      <c r="E861" s="62" t="s">
        <v>382</v>
      </c>
      <c r="F861" s="63" t="s">
        <v>448</v>
      </c>
      <c r="G861" s="64" t="n">
        <v>-129293.578682961</v>
      </c>
      <c r="H861" s="62" t="s">
        <v>138</v>
      </c>
    </row>
    <row r="862" customFormat="false" ht="15" hidden="false" customHeight="false" outlineLevel="0" collapsed="false">
      <c r="A862" s="62" t="n">
        <v>0</v>
      </c>
      <c r="B862" s="62" t="s">
        <v>385</v>
      </c>
      <c r="C862" s="62" t="s">
        <v>60</v>
      </c>
      <c r="D862" s="62" t="s">
        <v>71</v>
      </c>
      <c r="E862" s="62" t="s">
        <v>382</v>
      </c>
      <c r="F862" s="63" t="s">
        <v>448</v>
      </c>
      <c r="G862" s="64" t="n">
        <v>-129293.578682961</v>
      </c>
      <c r="H862" s="62" t="s">
        <v>138</v>
      </c>
    </row>
    <row r="863" customFormat="false" ht="15" hidden="false" customHeight="false" outlineLevel="0" collapsed="false">
      <c r="A863" s="62" t="n">
        <v>0</v>
      </c>
      <c r="B863" s="62" t="s">
        <v>386</v>
      </c>
      <c r="C863" s="62" t="s">
        <v>60</v>
      </c>
      <c r="D863" s="62" t="s">
        <v>71</v>
      </c>
      <c r="E863" s="62" t="s">
        <v>382</v>
      </c>
      <c r="F863" s="63" t="s">
        <v>448</v>
      </c>
      <c r="G863" s="64" t="n">
        <v>-129293.578682961</v>
      </c>
      <c r="H863" s="62" t="s">
        <v>138</v>
      </c>
    </row>
    <row r="864" customFormat="false" ht="15" hidden="false" customHeight="false" outlineLevel="0" collapsed="false">
      <c r="A864" s="62" t="n">
        <v>0</v>
      </c>
      <c r="B864" s="62" t="s">
        <v>387</v>
      </c>
      <c r="C864" s="62" t="s">
        <v>60</v>
      </c>
      <c r="D864" s="62" t="s">
        <v>71</v>
      </c>
      <c r="E864" s="62" t="s">
        <v>382</v>
      </c>
      <c r="F864" s="63" t="s">
        <v>448</v>
      </c>
      <c r="G864" s="64" t="n">
        <v>-129293.578682961</v>
      </c>
      <c r="H864" s="62" t="s">
        <v>138</v>
      </c>
    </row>
    <row r="865" customFormat="false" ht="15" hidden="false" customHeight="false" outlineLevel="0" collapsed="false">
      <c r="A865" s="62" t="n">
        <v>0</v>
      </c>
      <c r="B865" s="62" t="s">
        <v>388</v>
      </c>
      <c r="C865" s="62" t="s">
        <v>60</v>
      </c>
      <c r="D865" s="62" t="s">
        <v>71</v>
      </c>
      <c r="E865" s="62" t="s">
        <v>382</v>
      </c>
      <c r="F865" s="63" t="s">
        <v>448</v>
      </c>
      <c r="G865" s="64" t="n">
        <v>-129293.578682961</v>
      </c>
      <c r="H865" s="62" t="s">
        <v>138</v>
      </c>
    </row>
    <row r="866" customFormat="false" ht="15" hidden="false" customHeight="false" outlineLevel="0" collapsed="false">
      <c r="A866" s="62" t="n">
        <v>0</v>
      </c>
      <c r="B866" s="62" t="s">
        <v>381</v>
      </c>
      <c r="C866" s="62" t="s">
        <v>60</v>
      </c>
      <c r="D866" s="62" t="s">
        <v>71</v>
      </c>
      <c r="E866" s="62" t="s">
        <v>382</v>
      </c>
      <c r="F866" s="63" t="s">
        <v>430</v>
      </c>
      <c r="G866" s="64" t="n">
        <v>1144629.42772282</v>
      </c>
      <c r="H866" s="62" t="s">
        <v>138</v>
      </c>
    </row>
    <row r="867" customFormat="false" ht="15" hidden="false" customHeight="false" outlineLevel="0" collapsed="false">
      <c r="A867" s="62" t="n">
        <v>0</v>
      </c>
      <c r="B867" s="62" t="s">
        <v>383</v>
      </c>
      <c r="C867" s="62" t="s">
        <v>60</v>
      </c>
      <c r="D867" s="62" t="s">
        <v>71</v>
      </c>
      <c r="E867" s="62" t="s">
        <v>382</v>
      </c>
      <c r="F867" s="63" t="s">
        <v>430</v>
      </c>
      <c r="G867" s="64" t="n">
        <v>1144629.42772282</v>
      </c>
      <c r="H867" s="62" t="s">
        <v>138</v>
      </c>
    </row>
    <row r="868" customFormat="false" ht="15" hidden="false" customHeight="false" outlineLevel="0" collapsed="false">
      <c r="A868" s="62" t="n">
        <v>0</v>
      </c>
      <c r="B868" s="62" t="s">
        <v>384</v>
      </c>
      <c r="C868" s="62" t="s">
        <v>60</v>
      </c>
      <c r="D868" s="62" t="s">
        <v>71</v>
      </c>
      <c r="E868" s="62" t="s">
        <v>382</v>
      </c>
      <c r="F868" s="63" t="s">
        <v>430</v>
      </c>
      <c r="G868" s="64" t="n">
        <v>1144629.42772282</v>
      </c>
      <c r="H868" s="62" t="s">
        <v>138</v>
      </c>
    </row>
    <row r="869" customFormat="false" ht="15" hidden="false" customHeight="false" outlineLevel="0" collapsed="false">
      <c r="A869" s="62" t="n">
        <v>0</v>
      </c>
      <c r="B869" s="62" t="s">
        <v>385</v>
      </c>
      <c r="C869" s="62" t="s">
        <v>60</v>
      </c>
      <c r="D869" s="62" t="s">
        <v>71</v>
      </c>
      <c r="E869" s="62" t="s">
        <v>382</v>
      </c>
      <c r="F869" s="63" t="s">
        <v>430</v>
      </c>
      <c r="G869" s="64" t="n">
        <v>1144629.42772282</v>
      </c>
      <c r="H869" s="62" t="s">
        <v>138</v>
      </c>
    </row>
    <row r="870" customFormat="false" ht="15" hidden="false" customHeight="false" outlineLevel="0" collapsed="false">
      <c r="A870" s="62" t="n">
        <v>0</v>
      </c>
      <c r="B870" s="62" t="s">
        <v>386</v>
      </c>
      <c r="C870" s="62" t="s">
        <v>60</v>
      </c>
      <c r="D870" s="62" t="s">
        <v>71</v>
      </c>
      <c r="E870" s="62" t="s">
        <v>382</v>
      </c>
      <c r="F870" s="63" t="s">
        <v>430</v>
      </c>
      <c r="G870" s="64" t="n">
        <v>1144629.42772282</v>
      </c>
      <c r="H870" s="62" t="s">
        <v>138</v>
      </c>
    </row>
    <row r="871" customFormat="false" ht="15" hidden="false" customHeight="false" outlineLevel="0" collapsed="false">
      <c r="A871" s="62" t="n">
        <v>0</v>
      </c>
      <c r="B871" s="62" t="s">
        <v>387</v>
      </c>
      <c r="C871" s="62" t="s">
        <v>60</v>
      </c>
      <c r="D871" s="62" t="s">
        <v>71</v>
      </c>
      <c r="E871" s="62" t="s">
        <v>382</v>
      </c>
      <c r="F871" s="63" t="s">
        <v>430</v>
      </c>
      <c r="G871" s="64" t="n">
        <v>1144629.42772282</v>
      </c>
      <c r="H871" s="62" t="s">
        <v>138</v>
      </c>
    </row>
    <row r="872" customFormat="false" ht="15" hidden="false" customHeight="false" outlineLevel="0" collapsed="false">
      <c r="A872" s="62" t="n">
        <v>0</v>
      </c>
      <c r="B872" s="62" t="s">
        <v>388</v>
      </c>
      <c r="C872" s="62" t="s">
        <v>60</v>
      </c>
      <c r="D872" s="62" t="s">
        <v>71</v>
      </c>
      <c r="E872" s="62" t="s">
        <v>382</v>
      </c>
      <c r="F872" s="63" t="s">
        <v>430</v>
      </c>
      <c r="G872" s="64" t="n">
        <v>1144629.42772282</v>
      </c>
      <c r="H872" s="62" t="s">
        <v>138</v>
      </c>
    </row>
    <row r="873" customFormat="false" ht="15" hidden="false" customHeight="false" outlineLevel="0" collapsed="false">
      <c r="A873" s="62" t="n">
        <v>0</v>
      </c>
      <c r="B873" s="62" t="s">
        <v>381</v>
      </c>
      <c r="C873" s="62" t="s">
        <v>60</v>
      </c>
      <c r="D873" s="62" t="s">
        <v>71</v>
      </c>
      <c r="E873" s="62" t="s">
        <v>382</v>
      </c>
      <c r="F873" s="63" t="s">
        <v>431</v>
      </c>
      <c r="G873" s="64" t="n">
        <v>0</v>
      </c>
      <c r="H873" s="62" t="s">
        <v>138</v>
      </c>
    </row>
    <row r="874" customFormat="false" ht="15" hidden="false" customHeight="false" outlineLevel="0" collapsed="false">
      <c r="A874" s="62" t="n">
        <v>0</v>
      </c>
      <c r="B874" s="62" t="s">
        <v>383</v>
      </c>
      <c r="C874" s="62" t="s">
        <v>60</v>
      </c>
      <c r="D874" s="62" t="s">
        <v>71</v>
      </c>
      <c r="E874" s="62" t="s">
        <v>382</v>
      </c>
      <c r="F874" s="63" t="s">
        <v>431</v>
      </c>
      <c r="G874" s="64" t="n">
        <v>0</v>
      </c>
      <c r="H874" s="62" t="s">
        <v>138</v>
      </c>
    </row>
    <row r="875" customFormat="false" ht="15" hidden="false" customHeight="false" outlineLevel="0" collapsed="false">
      <c r="A875" s="62" t="n">
        <v>0</v>
      </c>
      <c r="B875" s="62" t="s">
        <v>384</v>
      </c>
      <c r="C875" s="62" t="s">
        <v>60</v>
      </c>
      <c r="D875" s="62" t="s">
        <v>71</v>
      </c>
      <c r="E875" s="62" t="s">
        <v>382</v>
      </c>
      <c r="F875" s="63" t="s">
        <v>431</v>
      </c>
      <c r="G875" s="64" t="n">
        <v>0</v>
      </c>
      <c r="H875" s="62" t="s">
        <v>138</v>
      </c>
    </row>
    <row r="876" customFormat="false" ht="15" hidden="false" customHeight="false" outlineLevel="0" collapsed="false">
      <c r="A876" s="62" t="n">
        <v>0</v>
      </c>
      <c r="B876" s="62" t="s">
        <v>385</v>
      </c>
      <c r="C876" s="62" t="s">
        <v>60</v>
      </c>
      <c r="D876" s="62" t="s">
        <v>71</v>
      </c>
      <c r="E876" s="62" t="s">
        <v>382</v>
      </c>
      <c r="F876" s="63" t="s">
        <v>431</v>
      </c>
      <c r="G876" s="64" t="n">
        <v>0</v>
      </c>
      <c r="H876" s="62" t="s">
        <v>138</v>
      </c>
    </row>
    <row r="877" customFormat="false" ht="15" hidden="false" customHeight="false" outlineLevel="0" collapsed="false">
      <c r="A877" s="62" t="n">
        <v>0</v>
      </c>
      <c r="B877" s="62" t="s">
        <v>386</v>
      </c>
      <c r="C877" s="62" t="s">
        <v>60</v>
      </c>
      <c r="D877" s="62" t="s">
        <v>71</v>
      </c>
      <c r="E877" s="62" t="s">
        <v>382</v>
      </c>
      <c r="F877" s="63" t="s">
        <v>431</v>
      </c>
      <c r="G877" s="64" t="n">
        <v>0</v>
      </c>
      <c r="H877" s="62" t="s">
        <v>138</v>
      </c>
    </row>
    <row r="878" customFormat="false" ht="15" hidden="false" customHeight="false" outlineLevel="0" collapsed="false">
      <c r="A878" s="62" t="n">
        <v>0</v>
      </c>
      <c r="B878" s="62" t="s">
        <v>387</v>
      </c>
      <c r="C878" s="62" t="s">
        <v>60</v>
      </c>
      <c r="D878" s="62" t="s">
        <v>71</v>
      </c>
      <c r="E878" s="62" t="s">
        <v>382</v>
      </c>
      <c r="F878" s="63" t="s">
        <v>431</v>
      </c>
      <c r="G878" s="64" t="n">
        <v>0</v>
      </c>
      <c r="H878" s="62" t="s">
        <v>138</v>
      </c>
    </row>
    <row r="879" customFormat="false" ht="15" hidden="false" customHeight="false" outlineLevel="0" collapsed="false">
      <c r="A879" s="62" t="n">
        <v>0</v>
      </c>
      <c r="B879" s="62" t="s">
        <v>388</v>
      </c>
      <c r="C879" s="62" t="s">
        <v>60</v>
      </c>
      <c r="D879" s="62" t="s">
        <v>71</v>
      </c>
      <c r="E879" s="62" t="s">
        <v>382</v>
      </c>
      <c r="F879" s="63" t="s">
        <v>431</v>
      </c>
      <c r="G879" s="64" t="n">
        <v>0</v>
      </c>
      <c r="H879" s="62" t="s">
        <v>138</v>
      </c>
    </row>
    <row r="880" customFormat="false" ht="15" hidden="false" customHeight="false" outlineLevel="0" collapsed="false">
      <c r="A880" s="62" t="n">
        <v>0</v>
      </c>
      <c r="B880" s="62" t="s">
        <v>381</v>
      </c>
      <c r="C880" s="62" t="s">
        <v>60</v>
      </c>
      <c r="D880" s="62" t="s">
        <v>71</v>
      </c>
      <c r="E880" s="62" t="s">
        <v>382</v>
      </c>
      <c r="F880" s="63" t="s">
        <v>449</v>
      </c>
      <c r="G880" s="64" t="n">
        <v>1144629.42772282</v>
      </c>
      <c r="H880" s="62" t="s">
        <v>138</v>
      </c>
    </row>
    <row r="881" customFormat="false" ht="15" hidden="false" customHeight="false" outlineLevel="0" collapsed="false">
      <c r="A881" s="62" t="n">
        <v>0</v>
      </c>
      <c r="B881" s="62" t="s">
        <v>383</v>
      </c>
      <c r="C881" s="62" t="s">
        <v>60</v>
      </c>
      <c r="D881" s="62" t="s">
        <v>71</v>
      </c>
      <c r="E881" s="62" t="s">
        <v>382</v>
      </c>
      <c r="F881" s="63" t="s">
        <v>449</v>
      </c>
      <c r="G881" s="64" t="n">
        <v>1144629.42772282</v>
      </c>
      <c r="H881" s="62" t="s">
        <v>138</v>
      </c>
    </row>
    <row r="882" customFormat="false" ht="15" hidden="false" customHeight="false" outlineLevel="0" collapsed="false">
      <c r="A882" s="62" t="n">
        <v>0</v>
      </c>
      <c r="B882" s="62" t="s">
        <v>384</v>
      </c>
      <c r="C882" s="62" t="s">
        <v>60</v>
      </c>
      <c r="D882" s="62" t="s">
        <v>71</v>
      </c>
      <c r="E882" s="62" t="s">
        <v>382</v>
      </c>
      <c r="F882" s="63" t="s">
        <v>449</v>
      </c>
      <c r="G882" s="64" t="n">
        <v>1144629.42772282</v>
      </c>
      <c r="H882" s="62" t="s">
        <v>138</v>
      </c>
    </row>
    <row r="883" customFormat="false" ht="15" hidden="false" customHeight="false" outlineLevel="0" collapsed="false">
      <c r="A883" s="62" t="n">
        <v>0</v>
      </c>
      <c r="B883" s="62" t="s">
        <v>385</v>
      </c>
      <c r="C883" s="62" t="s">
        <v>60</v>
      </c>
      <c r="D883" s="62" t="s">
        <v>71</v>
      </c>
      <c r="E883" s="62" t="s">
        <v>382</v>
      </c>
      <c r="F883" s="63" t="s">
        <v>449</v>
      </c>
      <c r="G883" s="64" t="n">
        <v>1144629.42772282</v>
      </c>
      <c r="H883" s="62" t="s">
        <v>138</v>
      </c>
    </row>
    <row r="884" customFormat="false" ht="15" hidden="false" customHeight="false" outlineLevel="0" collapsed="false">
      <c r="A884" s="62" t="n">
        <v>0</v>
      </c>
      <c r="B884" s="62" t="s">
        <v>386</v>
      </c>
      <c r="C884" s="62" t="s">
        <v>60</v>
      </c>
      <c r="D884" s="62" t="s">
        <v>71</v>
      </c>
      <c r="E884" s="62" t="s">
        <v>382</v>
      </c>
      <c r="F884" s="63" t="s">
        <v>449</v>
      </c>
      <c r="G884" s="64" t="n">
        <v>1144629.42772282</v>
      </c>
      <c r="H884" s="62" t="s">
        <v>138</v>
      </c>
    </row>
    <row r="885" customFormat="false" ht="15" hidden="false" customHeight="false" outlineLevel="0" collapsed="false">
      <c r="A885" s="62" t="n">
        <v>0</v>
      </c>
      <c r="B885" s="62" t="s">
        <v>387</v>
      </c>
      <c r="C885" s="62" t="s">
        <v>60</v>
      </c>
      <c r="D885" s="62" t="s">
        <v>71</v>
      </c>
      <c r="E885" s="62" t="s">
        <v>382</v>
      </c>
      <c r="F885" s="63" t="s">
        <v>449</v>
      </c>
      <c r="G885" s="64" t="n">
        <v>1144629.42772282</v>
      </c>
      <c r="H885" s="62" t="s">
        <v>138</v>
      </c>
    </row>
    <row r="886" customFormat="false" ht="15" hidden="false" customHeight="false" outlineLevel="0" collapsed="false">
      <c r="A886" s="62" t="n">
        <v>0</v>
      </c>
      <c r="B886" s="62" t="s">
        <v>388</v>
      </c>
      <c r="C886" s="62" t="s">
        <v>60</v>
      </c>
      <c r="D886" s="62" t="s">
        <v>71</v>
      </c>
      <c r="E886" s="62" t="s">
        <v>382</v>
      </c>
      <c r="F886" s="63" t="s">
        <v>449</v>
      </c>
      <c r="G886" s="64" t="n">
        <v>1144629.42772282</v>
      </c>
      <c r="H886" s="62" t="s">
        <v>138</v>
      </c>
    </row>
    <row r="887" customFormat="false" ht="15" hidden="false" customHeight="false" outlineLevel="0" collapsed="false">
      <c r="A887" s="62" t="n">
        <v>0</v>
      </c>
      <c r="B887" s="62" t="s">
        <v>381</v>
      </c>
      <c r="C887" s="62" t="s">
        <v>60</v>
      </c>
      <c r="D887" s="62" t="s">
        <v>71</v>
      </c>
      <c r="E887" s="62" t="s">
        <v>382</v>
      </c>
      <c r="F887" s="63" t="s">
        <v>450</v>
      </c>
      <c r="G887" s="64" t="n">
        <v>0</v>
      </c>
      <c r="H887" s="62" t="s">
        <v>138</v>
      </c>
    </row>
    <row r="888" customFormat="false" ht="15" hidden="false" customHeight="false" outlineLevel="0" collapsed="false">
      <c r="A888" s="62" t="n">
        <v>0</v>
      </c>
      <c r="B888" s="62" t="s">
        <v>383</v>
      </c>
      <c r="C888" s="62" t="s">
        <v>60</v>
      </c>
      <c r="D888" s="62" t="s">
        <v>71</v>
      </c>
      <c r="E888" s="62" t="s">
        <v>382</v>
      </c>
      <c r="F888" s="63" t="s">
        <v>450</v>
      </c>
      <c r="G888" s="64" t="n">
        <v>0</v>
      </c>
      <c r="H888" s="62" t="s">
        <v>138</v>
      </c>
    </row>
    <row r="889" customFormat="false" ht="15" hidden="false" customHeight="false" outlineLevel="0" collapsed="false">
      <c r="A889" s="62" t="n">
        <v>0</v>
      </c>
      <c r="B889" s="62" t="s">
        <v>384</v>
      </c>
      <c r="C889" s="62" t="s">
        <v>60</v>
      </c>
      <c r="D889" s="62" t="s">
        <v>71</v>
      </c>
      <c r="E889" s="62" t="s">
        <v>382</v>
      </c>
      <c r="F889" s="63" t="s">
        <v>450</v>
      </c>
      <c r="G889" s="64" t="n">
        <v>0</v>
      </c>
      <c r="H889" s="62" t="s">
        <v>138</v>
      </c>
    </row>
    <row r="890" customFormat="false" ht="15" hidden="false" customHeight="false" outlineLevel="0" collapsed="false">
      <c r="A890" s="62" t="n">
        <v>0</v>
      </c>
      <c r="B890" s="62" t="s">
        <v>385</v>
      </c>
      <c r="C890" s="62" t="s">
        <v>60</v>
      </c>
      <c r="D890" s="62" t="s">
        <v>71</v>
      </c>
      <c r="E890" s="62" t="s">
        <v>382</v>
      </c>
      <c r="F890" s="63" t="s">
        <v>450</v>
      </c>
      <c r="G890" s="64" t="n">
        <v>0</v>
      </c>
      <c r="H890" s="62" t="s">
        <v>138</v>
      </c>
    </row>
    <row r="891" customFormat="false" ht="15" hidden="false" customHeight="false" outlineLevel="0" collapsed="false">
      <c r="A891" s="62" t="n">
        <v>0</v>
      </c>
      <c r="B891" s="62" t="s">
        <v>386</v>
      </c>
      <c r="C891" s="62" t="s">
        <v>60</v>
      </c>
      <c r="D891" s="62" t="s">
        <v>71</v>
      </c>
      <c r="E891" s="62" t="s">
        <v>382</v>
      </c>
      <c r="F891" s="63" t="s">
        <v>450</v>
      </c>
      <c r="G891" s="64" t="n">
        <v>0</v>
      </c>
      <c r="H891" s="62" t="s">
        <v>138</v>
      </c>
    </row>
    <row r="892" customFormat="false" ht="15" hidden="false" customHeight="false" outlineLevel="0" collapsed="false">
      <c r="A892" s="62" t="n">
        <v>0</v>
      </c>
      <c r="B892" s="62" t="s">
        <v>387</v>
      </c>
      <c r="C892" s="62" t="s">
        <v>60</v>
      </c>
      <c r="D892" s="62" t="s">
        <v>71</v>
      </c>
      <c r="E892" s="62" t="s">
        <v>382</v>
      </c>
      <c r="F892" s="63" t="s">
        <v>450</v>
      </c>
      <c r="G892" s="64" t="n">
        <v>0</v>
      </c>
      <c r="H892" s="62" t="s">
        <v>138</v>
      </c>
    </row>
    <row r="893" customFormat="false" ht="15" hidden="false" customHeight="false" outlineLevel="0" collapsed="false">
      <c r="A893" s="62" t="n">
        <v>0</v>
      </c>
      <c r="B893" s="62" t="s">
        <v>388</v>
      </c>
      <c r="C893" s="62" t="s">
        <v>60</v>
      </c>
      <c r="D893" s="62" t="s">
        <v>71</v>
      </c>
      <c r="E893" s="62" t="s">
        <v>382</v>
      </c>
      <c r="F893" s="63" t="s">
        <v>450</v>
      </c>
      <c r="G893" s="64" t="n">
        <v>0</v>
      </c>
      <c r="H893" s="62" t="s">
        <v>138</v>
      </c>
    </row>
    <row r="894" customFormat="false" ht="15" hidden="false" customHeight="false" outlineLevel="0" collapsed="false">
      <c r="A894" s="62" t="n">
        <v>0</v>
      </c>
      <c r="B894" s="62" t="s">
        <v>381</v>
      </c>
      <c r="C894" s="62" t="s">
        <v>60</v>
      </c>
      <c r="D894" s="62" t="s">
        <v>71</v>
      </c>
      <c r="E894" s="62" t="s">
        <v>382</v>
      </c>
      <c r="F894" s="63" t="s">
        <v>451</v>
      </c>
      <c r="G894" s="64" t="n">
        <v>-2500000</v>
      </c>
      <c r="H894" s="62" t="s">
        <v>138</v>
      </c>
    </row>
    <row r="895" customFormat="false" ht="15" hidden="false" customHeight="false" outlineLevel="0" collapsed="false">
      <c r="A895" s="62" t="n">
        <v>0</v>
      </c>
      <c r="B895" s="62" t="s">
        <v>383</v>
      </c>
      <c r="C895" s="62" t="s">
        <v>60</v>
      </c>
      <c r="D895" s="62" t="s">
        <v>71</v>
      </c>
      <c r="E895" s="62" t="s">
        <v>382</v>
      </c>
      <c r="F895" s="63" t="s">
        <v>451</v>
      </c>
      <c r="G895" s="64" t="n">
        <v>-2500000</v>
      </c>
      <c r="H895" s="62" t="s">
        <v>138</v>
      </c>
    </row>
    <row r="896" customFormat="false" ht="15" hidden="false" customHeight="false" outlineLevel="0" collapsed="false">
      <c r="A896" s="62" t="n">
        <v>0</v>
      </c>
      <c r="B896" s="62" t="s">
        <v>384</v>
      </c>
      <c r="C896" s="62" t="s">
        <v>60</v>
      </c>
      <c r="D896" s="62" t="s">
        <v>71</v>
      </c>
      <c r="E896" s="62" t="s">
        <v>382</v>
      </c>
      <c r="F896" s="63" t="s">
        <v>451</v>
      </c>
      <c r="G896" s="64" t="n">
        <v>-2500000</v>
      </c>
      <c r="H896" s="62" t="s">
        <v>138</v>
      </c>
    </row>
    <row r="897" customFormat="false" ht="15" hidden="false" customHeight="false" outlineLevel="0" collapsed="false">
      <c r="A897" s="62" t="n">
        <v>0</v>
      </c>
      <c r="B897" s="62" t="s">
        <v>385</v>
      </c>
      <c r="C897" s="62" t="s">
        <v>60</v>
      </c>
      <c r="D897" s="62" t="s">
        <v>71</v>
      </c>
      <c r="E897" s="62" t="s">
        <v>382</v>
      </c>
      <c r="F897" s="63" t="s">
        <v>451</v>
      </c>
      <c r="G897" s="64" t="n">
        <v>-2500000</v>
      </c>
      <c r="H897" s="62" t="s">
        <v>138</v>
      </c>
    </row>
    <row r="898" customFormat="false" ht="15" hidden="false" customHeight="false" outlineLevel="0" collapsed="false">
      <c r="A898" s="62" t="n">
        <v>0</v>
      </c>
      <c r="B898" s="62" t="s">
        <v>386</v>
      </c>
      <c r="C898" s="62" t="s">
        <v>60</v>
      </c>
      <c r="D898" s="62" t="s">
        <v>71</v>
      </c>
      <c r="E898" s="62" t="s">
        <v>382</v>
      </c>
      <c r="F898" s="63" t="s">
        <v>451</v>
      </c>
      <c r="G898" s="64" t="n">
        <v>-2500000</v>
      </c>
      <c r="H898" s="62" t="s">
        <v>138</v>
      </c>
    </row>
    <row r="899" customFormat="false" ht="15" hidden="false" customHeight="false" outlineLevel="0" collapsed="false">
      <c r="A899" s="62" t="n">
        <v>0</v>
      </c>
      <c r="B899" s="62" t="s">
        <v>387</v>
      </c>
      <c r="C899" s="62" t="s">
        <v>60</v>
      </c>
      <c r="D899" s="62" t="s">
        <v>71</v>
      </c>
      <c r="E899" s="62" t="s">
        <v>382</v>
      </c>
      <c r="F899" s="63" t="s">
        <v>451</v>
      </c>
      <c r="G899" s="64" t="n">
        <v>-2500000</v>
      </c>
      <c r="H899" s="62" t="s">
        <v>138</v>
      </c>
    </row>
    <row r="900" customFormat="false" ht="15" hidden="false" customHeight="false" outlineLevel="0" collapsed="false">
      <c r="A900" s="62" t="n">
        <v>0</v>
      </c>
      <c r="B900" s="62" t="s">
        <v>388</v>
      </c>
      <c r="C900" s="62" t="s">
        <v>60</v>
      </c>
      <c r="D900" s="62" t="s">
        <v>71</v>
      </c>
      <c r="E900" s="62" t="s">
        <v>382</v>
      </c>
      <c r="F900" s="63" t="s">
        <v>451</v>
      </c>
      <c r="G900" s="64" t="n">
        <v>-2500000</v>
      </c>
      <c r="H900" s="62" t="s">
        <v>138</v>
      </c>
    </row>
    <row r="901" customFormat="false" ht="15" hidden="false" customHeight="false" outlineLevel="0" collapsed="false">
      <c r="A901" s="62" t="n">
        <v>0</v>
      </c>
      <c r="B901" s="62" t="s">
        <v>381</v>
      </c>
      <c r="C901" s="62" t="s">
        <v>60</v>
      </c>
      <c r="D901" s="62" t="s">
        <v>71</v>
      </c>
      <c r="E901" s="62" t="s">
        <v>382</v>
      </c>
      <c r="F901" s="63" t="s">
        <v>452</v>
      </c>
      <c r="G901" s="64" t="n">
        <v>0</v>
      </c>
      <c r="H901" s="62" t="s">
        <v>138</v>
      </c>
    </row>
    <row r="902" customFormat="false" ht="15" hidden="false" customHeight="false" outlineLevel="0" collapsed="false">
      <c r="A902" s="62" t="n">
        <v>0</v>
      </c>
      <c r="B902" s="62" t="s">
        <v>383</v>
      </c>
      <c r="C902" s="62" t="s">
        <v>60</v>
      </c>
      <c r="D902" s="62" t="s">
        <v>71</v>
      </c>
      <c r="E902" s="62" t="s">
        <v>382</v>
      </c>
      <c r="F902" s="63" t="s">
        <v>452</v>
      </c>
      <c r="G902" s="64" t="n">
        <v>0</v>
      </c>
      <c r="H902" s="62" t="s">
        <v>138</v>
      </c>
    </row>
    <row r="903" customFormat="false" ht="15" hidden="false" customHeight="false" outlineLevel="0" collapsed="false">
      <c r="A903" s="62" t="n">
        <v>0</v>
      </c>
      <c r="B903" s="62" t="s">
        <v>384</v>
      </c>
      <c r="C903" s="62" t="s">
        <v>60</v>
      </c>
      <c r="D903" s="62" t="s">
        <v>71</v>
      </c>
      <c r="E903" s="62" t="s">
        <v>382</v>
      </c>
      <c r="F903" s="63" t="s">
        <v>452</v>
      </c>
      <c r="G903" s="64" t="n">
        <v>0</v>
      </c>
      <c r="H903" s="62" t="s">
        <v>138</v>
      </c>
    </row>
    <row r="904" customFormat="false" ht="15" hidden="false" customHeight="false" outlineLevel="0" collapsed="false">
      <c r="A904" s="62" t="n">
        <v>0</v>
      </c>
      <c r="B904" s="62" t="s">
        <v>385</v>
      </c>
      <c r="C904" s="62" t="s">
        <v>60</v>
      </c>
      <c r="D904" s="62" t="s">
        <v>71</v>
      </c>
      <c r="E904" s="62" t="s">
        <v>382</v>
      </c>
      <c r="F904" s="63" t="s">
        <v>452</v>
      </c>
      <c r="G904" s="64" t="n">
        <v>0</v>
      </c>
      <c r="H904" s="62" t="s">
        <v>138</v>
      </c>
    </row>
    <row r="905" customFormat="false" ht="15" hidden="false" customHeight="false" outlineLevel="0" collapsed="false">
      <c r="A905" s="62" t="n">
        <v>0</v>
      </c>
      <c r="B905" s="62" t="s">
        <v>386</v>
      </c>
      <c r="C905" s="62" t="s">
        <v>60</v>
      </c>
      <c r="D905" s="62" t="s">
        <v>71</v>
      </c>
      <c r="E905" s="62" t="s">
        <v>382</v>
      </c>
      <c r="F905" s="63" t="s">
        <v>452</v>
      </c>
      <c r="G905" s="64" t="n">
        <v>0</v>
      </c>
      <c r="H905" s="62" t="s">
        <v>138</v>
      </c>
    </row>
    <row r="906" customFormat="false" ht="15" hidden="false" customHeight="false" outlineLevel="0" collapsed="false">
      <c r="A906" s="62" t="n">
        <v>0</v>
      </c>
      <c r="B906" s="62" t="s">
        <v>387</v>
      </c>
      <c r="C906" s="62" t="s">
        <v>60</v>
      </c>
      <c r="D906" s="62" t="s">
        <v>71</v>
      </c>
      <c r="E906" s="62" t="s">
        <v>382</v>
      </c>
      <c r="F906" s="63" t="s">
        <v>452</v>
      </c>
      <c r="G906" s="64" t="n">
        <v>0</v>
      </c>
      <c r="H906" s="62" t="s">
        <v>138</v>
      </c>
    </row>
    <row r="907" customFormat="false" ht="15" hidden="false" customHeight="false" outlineLevel="0" collapsed="false">
      <c r="A907" s="62" t="n">
        <v>0</v>
      </c>
      <c r="B907" s="62" t="s">
        <v>388</v>
      </c>
      <c r="C907" s="62" t="s">
        <v>60</v>
      </c>
      <c r="D907" s="62" t="s">
        <v>71</v>
      </c>
      <c r="E907" s="62" t="s">
        <v>382</v>
      </c>
      <c r="F907" s="63" t="s">
        <v>452</v>
      </c>
      <c r="G907" s="64" t="n">
        <v>0</v>
      </c>
      <c r="H907" s="62" t="s">
        <v>138</v>
      </c>
    </row>
    <row r="908" customFormat="false" ht="15" hidden="false" customHeight="false" outlineLevel="0" collapsed="false">
      <c r="A908" s="62" t="n">
        <v>0</v>
      </c>
      <c r="B908" s="62" t="s">
        <v>381</v>
      </c>
      <c r="C908" s="62" t="s">
        <v>60</v>
      </c>
      <c r="D908" s="62" t="s">
        <v>71</v>
      </c>
      <c r="E908" s="62" t="s">
        <v>382</v>
      </c>
      <c r="F908" s="63" t="s">
        <v>439</v>
      </c>
      <c r="G908" s="64" t="n">
        <v>-2500000</v>
      </c>
      <c r="H908" s="62" t="s">
        <v>138</v>
      </c>
    </row>
    <row r="909" customFormat="false" ht="15" hidden="false" customHeight="false" outlineLevel="0" collapsed="false">
      <c r="A909" s="62" t="n">
        <v>0</v>
      </c>
      <c r="B909" s="62" t="s">
        <v>383</v>
      </c>
      <c r="C909" s="62" t="s">
        <v>60</v>
      </c>
      <c r="D909" s="62" t="s">
        <v>71</v>
      </c>
      <c r="E909" s="62" t="s">
        <v>382</v>
      </c>
      <c r="F909" s="63" t="s">
        <v>439</v>
      </c>
      <c r="G909" s="64" t="n">
        <v>-2500000</v>
      </c>
      <c r="H909" s="62" t="s">
        <v>138</v>
      </c>
    </row>
    <row r="910" customFormat="false" ht="15" hidden="false" customHeight="false" outlineLevel="0" collapsed="false">
      <c r="A910" s="62" t="n">
        <v>0</v>
      </c>
      <c r="B910" s="62" t="s">
        <v>384</v>
      </c>
      <c r="C910" s="62" t="s">
        <v>60</v>
      </c>
      <c r="D910" s="62" t="s">
        <v>71</v>
      </c>
      <c r="E910" s="62" t="s">
        <v>382</v>
      </c>
      <c r="F910" s="63" t="s">
        <v>439</v>
      </c>
      <c r="G910" s="64" t="n">
        <v>-2500000</v>
      </c>
      <c r="H910" s="62" t="s">
        <v>138</v>
      </c>
    </row>
    <row r="911" customFormat="false" ht="15" hidden="false" customHeight="false" outlineLevel="0" collapsed="false">
      <c r="A911" s="62" t="n">
        <v>0</v>
      </c>
      <c r="B911" s="62" t="s">
        <v>385</v>
      </c>
      <c r="C911" s="62" t="s">
        <v>60</v>
      </c>
      <c r="D911" s="62" t="s">
        <v>71</v>
      </c>
      <c r="E911" s="62" t="s">
        <v>382</v>
      </c>
      <c r="F911" s="63" t="s">
        <v>439</v>
      </c>
      <c r="G911" s="64" t="n">
        <v>-2500000</v>
      </c>
      <c r="H911" s="62" t="s">
        <v>138</v>
      </c>
    </row>
    <row r="912" customFormat="false" ht="15" hidden="false" customHeight="false" outlineLevel="0" collapsed="false">
      <c r="A912" s="62" t="n">
        <v>0</v>
      </c>
      <c r="B912" s="62" t="s">
        <v>386</v>
      </c>
      <c r="C912" s="62" t="s">
        <v>60</v>
      </c>
      <c r="D912" s="62" t="s">
        <v>71</v>
      </c>
      <c r="E912" s="62" t="s">
        <v>382</v>
      </c>
      <c r="F912" s="63" t="s">
        <v>439</v>
      </c>
      <c r="G912" s="64" t="n">
        <v>-2500000</v>
      </c>
      <c r="H912" s="62" t="s">
        <v>138</v>
      </c>
    </row>
    <row r="913" customFormat="false" ht="15" hidden="false" customHeight="false" outlineLevel="0" collapsed="false">
      <c r="A913" s="62" t="n">
        <v>0</v>
      </c>
      <c r="B913" s="62" t="s">
        <v>387</v>
      </c>
      <c r="C913" s="62" t="s">
        <v>60</v>
      </c>
      <c r="D913" s="62" t="s">
        <v>71</v>
      </c>
      <c r="E913" s="62" t="s">
        <v>382</v>
      </c>
      <c r="F913" s="63" t="s">
        <v>439</v>
      </c>
      <c r="G913" s="64" t="n">
        <v>-2500000</v>
      </c>
      <c r="H913" s="62" t="s">
        <v>138</v>
      </c>
    </row>
    <row r="914" customFormat="false" ht="15" hidden="false" customHeight="false" outlineLevel="0" collapsed="false">
      <c r="A914" s="62" t="n">
        <v>0</v>
      </c>
      <c r="B914" s="62" t="s">
        <v>388</v>
      </c>
      <c r="C914" s="62" t="s">
        <v>60</v>
      </c>
      <c r="D914" s="62" t="s">
        <v>71</v>
      </c>
      <c r="E914" s="62" t="s">
        <v>382</v>
      </c>
      <c r="F914" s="63" t="s">
        <v>439</v>
      </c>
      <c r="G914" s="64" t="n">
        <v>-2500000</v>
      </c>
      <c r="H914" s="62" t="s">
        <v>138</v>
      </c>
    </row>
    <row r="915" customFormat="false" ht="15" hidden="false" customHeight="false" outlineLevel="0" collapsed="false">
      <c r="A915" s="62" t="n">
        <v>0</v>
      </c>
      <c r="B915" s="62" t="s">
        <v>381</v>
      </c>
      <c r="C915" s="62" t="s">
        <v>60</v>
      </c>
      <c r="D915" s="62" t="s">
        <v>71</v>
      </c>
      <c r="E915" s="62" t="s">
        <v>382</v>
      </c>
      <c r="F915" s="63" t="s">
        <v>453</v>
      </c>
      <c r="G915" s="64" t="n">
        <v>-1355370.57227718</v>
      </c>
      <c r="H915" s="62" t="s">
        <v>138</v>
      </c>
    </row>
    <row r="916" customFormat="false" ht="15" hidden="false" customHeight="false" outlineLevel="0" collapsed="false">
      <c r="A916" s="62" t="n">
        <v>0</v>
      </c>
      <c r="B916" s="62" t="s">
        <v>383</v>
      </c>
      <c r="C916" s="62" t="s">
        <v>60</v>
      </c>
      <c r="D916" s="62" t="s">
        <v>71</v>
      </c>
      <c r="E916" s="62" t="s">
        <v>382</v>
      </c>
      <c r="F916" s="63" t="s">
        <v>453</v>
      </c>
      <c r="G916" s="64" t="n">
        <v>-1355370.57227718</v>
      </c>
      <c r="H916" s="62" t="s">
        <v>138</v>
      </c>
    </row>
    <row r="917" customFormat="false" ht="15" hidden="false" customHeight="false" outlineLevel="0" collapsed="false">
      <c r="A917" s="62" t="n">
        <v>0</v>
      </c>
      <c r="B917" s="62" t="s">
        <v>384</v>
      </c>
      <c r="C917" s="62" t="s">
        <v>60</v>
      </c>
      <c r="D917" s="62" t="s">
        <v>71</v>
      </c>
      <c r="E917" s="62" t="s">
        <v>382</v>
      </c>
      <c r="F917" s="63" t="s">
        <v>453</v>
      </c>
      <c r="G917" s="64" t="n">
        <v>-1355370.57227718</v>
      </c>
      <c r="H917" s="62" t="s">
        <v>138</v>
      </c>
    </row>
    <row r="918" customFormat="false" ht="15" hidden="false" customHeight="false" outlineLevel="0" collapsed="false">
      <c r="A918" s="62" t="n">
        <v>0</v>
      </c>
      <c r="B918" s="62" t="s">
        <v>385</v>
      </c>
      <c r="C918" s="62" t="s">
        <v>60</v>
      </c>
      <c r="D918" s="62" t="s">
        <v>71</v>
      </c>
      <c r="E918" s="62" t="s">
        <v>382</v>
      </c>
      <c r="F918" s="63" t="s">
        <v>453</v>
      </c>
      <c r="G918" s="64" t="n">
        <v>-1355370.57227718</v>
      </c>
      <c r="H918" s="62" t="s">
        <v>138</v>
      </c>
    </row>
    <row r="919" customFormat="false" ht="15" hidden="false" customHeight="false" outlineLevel="0" collapsed="false">
      <c r="A919" s="62" t="n">
        <v>0</v>
      </c>
      <c r="B919" s="62" t="s">
        <v>386</v>
      </c>
      <c r="C919" s="62" t="s">
        <v>60</v>
      </c>
      <c r="D919" s="62" t="s">
        <v>71</v>
      </c>
      <c r="E919" s="62" t="s">
        <v>382</v>
      </c>
      <c r="F919" s="63" t="s">
        <v>453</v>
      </c>
      <c r="G919" s="64" t="n">
        <v>-1355370.57227718</v>
      </c>
      <c r="H919" s="62" t="s">
        <v>138</v>
      </c>
    </row>
    <row r="920" customFormat="false" ht="15" hidden="false" customHeight="false" outlineLevel="0" collapsed="false">
      <c r="A920" s="62" t="n">
        <v>0</v>
      </c>
      <c r="B920" s="62" t="s">
        <v>387</v>
      </c>
      <c r="C920" s="62" t="s">
        <v>60</v>
      </c>
      <c r="D920" s="62" t="s">
        <v>71</v>
      </c>
      <c r="E920" s="62" t="s">
        <v>382</v>
      </c>
      <c r="F920" s="63" t="s">
        <v>453</v>
      </c>
      <c r="G920" s="64" t="n">
        <v>-1355370.57227718</v>
      </c>
      <c r="H920" s="62" t="s">
        <v>138</v>
      </c>
    </row>
    <row r="921" customFormat="false" ht="15" hidden="false" customHeight="false" outlineLevel="0" collapsed="false">
      <c r="A921" s="62" t="n">
        <v>0</v>
      </c>
      <c r="B921" s="62" t="s">
        <v>388</v>
      </c>
      <c r="C921" s="62" t="s">
        <v>60</v>
      </c>
      <c r="D921" s="62" t="s">
        <v>71</v>
      </c>
      <c r="E921" s="62" t="s">
        <v>382</v>
      </c>
      <c r="F921" s="63" t="s">
        <v>453</v>
      </c>
      <c r="G921" s="64" t="n">
        <v>-1355370.57227718</v>
      </c>
      <c r="H921" s="62" t="s">
        <v>138</v>
      </c>
    </row>
    <row r="922" customFormat="false" ht="15" hidden="false" customHeight="false" outlineLevel="0" collapsed="false">
      <c r="A922" s="62" t="n">
        <v>0</v>
      </c>
      <c r="B922" s="62" t="s">
        <v>381</v>
      </c>
      <c r="C922" s="62" t="s">
        <v>60</v>
      </c>
      <c r="D922" s="62" t="s">
        <v>71</v>
      </c>
      <c r="E922" s="62" t="s">
        <v>382</v>
      </c>
      <c r="F922" s="63" t="s">
        <v>454</v>
      </c>
      <c r="G922" s="64" t="n">
        <v>1720403</v>
      </c>
      <c r="H922" s="62" t="s">
        <v>138</v>
      </c>
    </row>
    <row r="923" customFormat="false" ht="15" hidden="false" customHeight="false" outlineLevel="0" collapsed="false">
      <c r="A923" s="62" t="n">
        <v>0</v>
      </c>
      <c r="B923" s="62" t="s">
        <v>383</v>
      </c>
      <c r="C923" s="62" t="s">
        <v>60</v>
      </c>
      <c r="D923" s="62" t="s">
        <v>71</v>
      </c>
      <c r="E923" s="62" t="s">
        <v>382</v>
      </c>
      <c r="F923" s="63" t="s">
        <v>454</v>
      </c>
      <c r="G923" s="64" t="n">
        <v>1720403</v>
      </c>
      <c r="H923" s="62" t="s">
        <v>138</v>
      </c>
    </row>
    <row r="924" customFormat="false" ht="15" hidden="false" customHeight="false" outlineLevel="0" collapsed="false">
      <c r="A924" s="62" t="n">
        <v>0</v>
      </c>
      <c r="B924" s="62" t="s">
        <v>384</v>
      </c>
      <c r="C924" s="62" t="s">
        <v>60</v>
      </c>
      <c r="D924" s="62" t="s">
        <v>71</v>
      </c>
      <c r="E924" s="62" t="s">
        <v>382</v>
      </c>
      <c r="F924" s="63" t="s">
        <v>454</v>
      </c>
      <c r="G924" s="64" t="n">
        <v>1720403</v>
      </c>
      <c r="H924" s="62" t="s">
        <v>138</v>
      </c>
    </row>
    <row r="925" customFormat="false" ht="15" hidden="false" customHeight="false" outlineLevel="0" collapsed="false">
      <c r="A925" s="62" t="n">
        <v>0</v>
      </c>
      <c r="B925" s="62" t="s">
        <v>385</v>
      </c>
      <c r="C925" s="62" t="s">
        <v>60</v>
      </c>
      <c r="D925" s="62" t="s">
        <v>71</v>
      </c>
      <c r="E925" s="62" t="s">
        <v>382</v>
      </c>
      <c r="F925" s="63" t="s">
        <v>454</v>
      </c>
      <c r="G925" s="64" t="n">
        <v>1720403</v>
      </c>
      <c r="H925" s="62" t="s">
        <v>138</v>
      </c>
    </row>
    <row r="926" customFormat="false" ht="15" hidden="false" customHeight="false" outlineLevel="0" collapsed="false">
      <c r="A926" s="62" t="n">
        <v>0</v>
      </c>
      <c r="B926" s="62" t="s">
        <v>386</v>
      </c>
      <c r="C926" s="62" t="s">
        <v>60</v>
      </c>
      <c r="D926" s="62" t="s">
        <v>71</v>
      </c>
      <c r="E926" s="62" t="s">
        <v>382</v>
      </c>
      <c r="F926" s="63" t="s">
        <v>454</v>
      </c>
      <c r="G926" s="64" t="n">
        <v>1720403</v>
      </c>
      <c r="H926" s="62" t="s">
        <v>138</v>
      </c>
    </row>
    <row r="927" customFormat="false" ht="15" hidden="false" customHeight="false" outlineLevel="0" collapsed="false">
      <c r="A927" s="62" t="n">
        <v>0</v>
      </c>
      <c r="B927" s="62" t="s">
        <v>387</v>
      </c>
      <c r="C927" s="62" t="s">
        <v>60</v>
      </c>
      <c r="D927" s="62" t="s">
        <v>71</v>
      </c>
      <c r="E927" s="62" t="s">
        <v>382</v>
      </c>
      <c r="F927" s="63" t="s">
        <v>454</v>
      </c>
      <c r="G927" s="64" t="n">
        <v>1720403</v>
      </c>
      <c r="H927" s="62" t="s">
        <v>138</v>
      </c>
    </row>
    <row r="928" customFormat="false" ht="15" hidden="false" customHeight="false" outlineLevel="0" collapsed="false">
      <c r="A928" s="62" t="n">
        <v>0</v>
      </c>
      <c r="B928" s="62" t="s">
        <v>388</v>
      </c>
      <c r="C928" s="62" t="s">
        <v>60</v>
      </c>
      <c r="D928" s="62" t="s">
        <v>71</v>
      </c>
      <c r="E928" s="62" t="s">
        <v>382</v>
      </c>
      <c r="F928" s="63" t="s">
        <v>454</v>
      </c>
      <c r="G928" s="64" t="n">
        <v>1720403</v>
      </c>
      <c r="H928" s="62" t="s">
        <v>138</v>
      </c>
    </row>
    <row r="929" customFormat="false" ht="15" hidden="false" customHeight="false" outlineLevel="0" collapsed="false">
      <c r="A929" s="62" t="n">
        <v>0</v>
      </c>
      <c r="B929" s="62" t="s">
        <v>381</v>
      </c>
      <c r="C929" s="62" t="s">
        <v>60</v>
      </c>
      <c r="D929" s="62" t="s">
        <v>71</v>
      </c>
      <c r="E929" s="62" t="s">
        <v>382</v>
      </c>
      <c r="F929" s="63" t="s">
        <v>455</v>
      </c>
      <c r="G929" s="64" t="n">
        <v>365032.427722816</v>
      </c>
      <c r="H929" s="62" t="s">
        <v>138</v>
      </c>
    </row>
    <row r="930" customFormat="false" ht="15" hidden="false" customHeight="false" outlineLevel="0" collapsed="false">
      <c r="A930" s="62" t="n">
        <v>0</v>
      </c>
      <c r="B930" s="62" t="s">
        <v>383</v>
      </c>
      <c r="C930" s="62" t="s">
        <v>60</v>
      </c>
      <c r="D930" s="62" t="s">
        <v>71</v>
      </c>
      <c r="E930" s="62" t="s">
        <v>382</v>
      </c>
      <c r="F930" s="63" t="s">
        <v>455</v>
      </c>
      <c r="G930" s="64" t="n">
        <v>365032.427722816</v>
      </c>
      <c r="H930" s="62" t="s">
        <v>138</v>
      </c>
    </row>
    <row r="931" customFormat="false" ht="15" hidden="false" customHeight="false" outlineLevel="0" collapsed="false">
      <c r="A931" s="62" t="n">
        <v>0</v>
      </c>
      <c r="B931" s="62" t="s">
        <v>384</v>
      </c>
      <c r="C931" s="62" t="s">
        <v>60</v>
      </c>
      <c r="D931" s="62" t="s">
        <v>71</v>
      </c>
      <c r="E931" s="62" t="s">
        <v>382</v>
      </c>
      <c r="F931" s="63" t="s">
        <v>455</v>
      </c>
      <c r="G931" s="64" t="n">
        <v>365032.427722816</v>
      </c>
      <c r="H931" s="62" t="s">
        <v>138</v>
      </c>
    </row>
    <row r="932" customFormat="false" ht="15" hidden="false" customHeight="false" outlineLevel="0" collapsed="false">
      <c r="A932" s="62" t="n">
        <v>0</v>
      </c>
      <c r="B932" s="62" t="s">
        <v>385</v>
      </c>
      <c r="C932" s="62" t="s">
        <v>60</v>
      </c>
      <c r="D932" s="62" t="s">
        <v>71</v>
      </c>
      <c r="E932" s="62" t="s">
        <v>382</v>
      </c>
      <c r="F932" s="63" t="s">
        <v>455</v>
      </c>
      <c r="G932" s="64" t="n">
        <v>365032.427722816</v>
      </c>
      <c r="H932" s="62" t="s">
        <v>138</v>
      </c>
    </row>
    <row r="933" customFormat="false" ht="15" hidden="false" customHeight="false" outlineLevel="0" collapsed="false">
      <c r="A933" s="62" t="n">
        <v>0</v>
      </c>
      <c r="B933" s="62" t="s">
        <v>386</v>
      </c>
      <c r="C933" s="62" t="s">
        <v>60</v>
      </c>
      <c r="D933" s="62" t="s">
        <v>71</v>
      </c>
      <c r="E933" s="62" t="s">
        <v>382</v>
      </c>
      <c r="F933" s="63" t="s">
        <v>455</v>
      </c>
      <c r="G933" s="64" t="n">
        <v>365032.427722816</v>
      </c>
      <c r="H933" s="62" t="s">
        <v>138</v>
      </c>
    </row>
    <row r="934" customFormat="false" ht="15" hidden="false" customHeight="false" outlineLevel="0" collapsed="false">
      <c r="A934" s="62" t="n">
        <v>0</v>
      </c>
      <c r="B934" s="62" t="s">
        <v>387</v>
      </c>
      <c r="C934" s="62" t="s">
        <v>60</v>
      </c>
      <c r="D934" s="62" t="s">
        <v>71</v>
      </c>
      <c r="E934" s="62" t="s">
        <v>382</v>
      </c>
      <c r="F934" s="63" t="s">
        <v>455</v>
      </c>
      <c r="G934" s="64" t="n">
        <v>365032.427722816</v>
      </c>
      <c r="H934" s="62" t="s">
        <v>138</v>
      </c>
    </row>
    <row r="935" customFormat="false" ht="15" hidden="false" customHeight="false" outlineLevel="0" collapsed="false">
      <c r="A935" s="62" t="n">
        <v>0</v>
      </c>
      <c r="B935" s="62" t="s">
        <v>388</v>
      </c>
      <c r="C935" s="62" t="s">
        <v>60</v>
      </c>
      <c r="D935" s="62" t="s">
        <v>71</v>
      </c>
      <c r="E935" s="62" t="s">
        <v>382</v>
      </c>
      <c r="F935" s="63" t="s">
        <v>455</v>
      </c>
      <c r="G935" s="64" t="n">
        <v>365032.427722816</v>
      </c>
      <c r="H935" s="62" t="s">
        <v>138</v>
      </c>
    </row>
    <row r="936" customFormat="false" ht="15" hidden="false" customHeight="false" outlineLevel="0" collapsed="false">
      <c r="A936" s="62" t="n">
        <v>0</v>
      </c>
      <c r="B936" s="62" t="s">
        <v>381</v>
      </c>
      <c r="C936" s="62" t="s">
        <v>60</v>
      </c>
      <c r="D936" s="62" t="s">
        <v>72</v>
      </c>
      <c r="E936" s="62" t="s">
        <v>382</v>
      </c>
      <c r="F936" s="63" t="s">
        <v>456</v>
      </c>
      <c r="G936" s="64" t="n">
        <v>17064000</v>
      </c>
      <c r="H936" s="62" t="s">
        <v>138</v>
      </c>
    </row>
    <row r="937" customFormat="false" ht="15" hidden="false" customHeight="false" outlineLevel="0" collapsed="false">
      <c r="A937" s="62" t="n">
        <v>0</v>
      </c>
      <c r="B937" s="62" t="s">
        <v>383</v>
      </c>
      <c r="C937" s="62" t="s">
        <v>60</v>
      </c>
      <c r="D937" s="62" t="s">
        <v>72</v>
      </c>
      <c r="E937" s="62" t="s">
        <v>382</v>
      </c>
      <c r="F937" s="63" t="s">
        <v>456</v>
      </c>
      <c r="G937" s="64" t="n">
        <v>17064000</v>
      </c>
      <c r="H937" s="62" t="s">
        <v>138</v>
      </c>
    </row>
    <row r="938" customFormat="false" ht="15" hidden="false" customHeight="false" outlineLevel="0" collapsed="false">
      <c r="A938" s="62" t="n">
        <v>0</v>
      </c>
      <c r="B938" s="62" t="s">
        <v>384</v>
      </c>
      <c r="C938" s="62" t="s">
        <v>60</v>
      </c>
      <c r="D938" s="62" t="s">
        <v>72</v>
      </c>
      <c r="E938" s="62" t="s">
        <v>382</v>
      </c>
      <c r="F938" s="63" t="s">
        <v>456</v>
      </c>
      <c r="G938" s="64" t="n">
        <v>17064000</v>
      </c>
      <c r="H938" s="62" t="s">
        <v>138</v>
      </c>
    </row>
    <row r="939" customFormat="false" ht="15" hidden="false" customHeight="false" outlineLevel="0" collapsed="false">
      <c r="A939" s="62" t="n">
        <v>0</v>
      </c>
      <c r="B939" s="62" t="s">
        <v>385</v>
      </c>
      <c r="C939" s="62" t="s">
        <v>60</v>
      </c>
      <c r="D939" s="62" t="s">
        <v>72</v>
      </c>
      <c r="E939" s="62" t="s">
        <v>382</v>
      </c>
      <c r="F939" s="63" t="s">
        <v>456</v>
      </c>
      <c r="G939" s="64" t="n">
        <v>17064000</v>
      </c>
      <c r="H939" s="62" t="s">
        <v>138</v>
      </c>
    </row>
    <row r="940" customFormat="false" ht="15" hidden="false" customHeight="false" outlineLevel="0" collapsed="false">
      <c r="A940" s="62" t="n">
        <v>0</v>
      </c>
      <c r="B940" s="62" t="s">
        <v>386</v>
      </c>
      <c r="C940" s="62" t="s">
        <v>60</v>
      </c>
      <c r="D940" s="62" t="s">
        <v>72</v>
      </c>
      <c r="E940" s="62" t="s">
        <v>382</v>
      </c>
      <c r="F940" s="63" t="s">
        <v>456</v>
      </c>
      <c r="G940" s="64" t="n">
        <v>17064000</v>
      </c>
      <c r="H940" s="62" t="s">
        <v>138</v>
      </c>
    </row>
    <row r="941" customFormat="false" ht="15" hidden="false" customHeight="false" outlineLevel="0" collapsed="false">
      <c r="A941" s="62" t="n">
        <v>0</v>
      </c>
      <c r="B941" s="62" t="s">
        <v>387</v>
      </c>
      <c r="C941" s="62" t="s">
        <v>60</v>
      </c>
      <c r="D941" s="62" t="s">
        <v>72</v>
      </c>
      <c r="E941" s="62" t="s">
        <v>382</v>
      </c>
      <c r="F941" s="63" t="s">
        <v>456</v>
      </c>
      <c r="G941" s="64" t="n">
        <v>17064000</v>
      </c>
      <c r="H941" s="62" t="s">
        <v>138</v>
      </c>
    </row>
    <row r="942" customFormat="false" ht="15" hidden="false" customHeight="false" outlineLevel="0" collapsed="false">
      <c r="A942" s="62" t="n">
        <v>0</v>
      </c>
      <c r="B942" s="62" t="s">
        <v>388</v>
      </c>
      <c r="C942" s="62" t="s">
        <v>60</v>
      </c>
      <c r="D942" s="62" t="s">
        <v>72</v>
      </c>
      <c r="E942" s="62" t="s">
        <v>382</v>
      </c>
      <c r="F942" s="63" t="s">
        <v>456</v>
      </c>
      <c r="G942" s="64" t="n">
        <v>17064000</v>
      </c>
      <c r="H942" s="62" t="s">
        <v>138</v>
      </c>
    </row>
    <row r="943" customFormat="false" ht="15" hidden="false" customHeight="false" outlineLevel="0" collapsed="false">
      <c r="A943" s="62" t="n">
        <v>0</v>
      </c>
      <c r="B943" s="62" t="s">
        <v>381</v>
      </c>
      <c r="C943" s="62" t="s">
        <v>60</v>
      </c>
      <c r="D943" s="62" t="s">
        <v>72</v>
      </c>
      <c r="E943" s="62" t="s">
        <v>382</v>
      </c>
      <c r="F943" s="63" t="s">
        <v>390</v>
      </c>
      <c r="G943" s="64" t="n">
        <v>1185000</v>
      </c>
      <c r="H943" s="62" t="s">
        <v>138</v>
      </c>
    </row>
    <row r="944" customFormat="false" ht="15" hidden="false" customHeight="false" outlineLevel="0" collapsed="false">
      <c r="A944" s="62" t="n">
        <v>0</v>
      </c>
      <c r="B944" s="62" t="s">
        <v>383</v>
      </c>
      <c r="C944" s="62" t="s">
        <v>60</v>
      </c>
      <c r="D944" s="62" t="s">
        <v>72</v>
      </c>
      <c r="E944" s="62" t="s">
        <v>382</v>
      </c>
      <c r="F944" s="63" t="s">
        <v>390</v>
      </c>
      <c r="G944" s="64" t="n">
        <v>1185000</v>
      </c>
      <c r="H944" s="62" t="s">
        <v>138</v>
      </c>
    </row>
    <row r="945" customFormat="false" ht="15" hidden="false" customHeight="false" outlineLevel="0" collapsed="false">
      <c r="A945" s="62" t="n">
        <v>0</v>
      </c>
      <c r="B945" s="62" t="s">
        <v>384</v>
      </c>
      <c r="C945" s="62" t="s">
        <v>60</v>
      </c>
      <c r="D945" s="62" t="s">
        <v>72</v>
      </c>
      <c r="E945" s="62" t="s">
        <v>382</v>
      </c>
      <c r="F945" s="63" t="s">
        <v>390</v>
      </c>
      <c r="G945" s="64" t="n">
        <v>1185000</v>
      </c>
      <c r="H945" s="62" t="s">
        <v>138</v>
      </c>
    </row>
    <row r="946" customFormat="false" ht="15" hidden="false" customHeight="false" outlineLevel="0" collapsed="false">
      <c r="A946" s="62" t="n">
        <v>0</v>
      </c>
      <c r="B946" s="62" t="s">
        <v>385</v>
      </c>
      <c r="C946" s="62" t="s">
        <v>60</v>
      </c>
      <c r="D946" s="62" t="s">
        <v>72</v>
      </c>
      <c r="E946" s="62" t="s">
        <v>382</v>
      </c>
      <c r="F946" s="63" t="s">
        <v>390</v>
      </c>
      <c r="G946" s="64" t="n">
        <v>1185000</v>
      </c>
      <c r="H946" s="62" t="s">
        <v>138</v>
      </c>
    </row>
    <row r="947" customFormat="false" ht="15" hidden="false" customHeight="false" outlineLevel="0" collapsed="false">
      <c r="A947" s="62" t="n">
        <v>0</v>
      </c>
      <c r="B947" s="62" t="s">
        <v>386</v>
      </c>
      <c r="C947" s="62" t="s">
        <v>60</v>
      </c>
      <c r="D947" s="62" t="s">
        <v>72</v>
      </c>
      <c r="E947" s="62" t="s">
        <v>382</v>
      </c>
      <c r="F947" s="63" t="s">
        <v>390</v>
      </c>
      <c r="G947" s="64" t="n">
        <v>1185000</v>
      </c>
      <c r="H947" s="62" t="s">
        <v>138</v>
      </c>
    </row>
    <row r="948" customFormat="false" ht="15" hidden="false" customHeight="false" outlineLevel="0" collapsed="false">
      <c r="A948" s="62" t="n">
        <v>0</v>
      </c>
      <c r="B948" s="62" t="s">
        <v>387</v>
      </c>
      <c r="C948" s="62" t="s">
        <v>60</v>
      </c>
      <c r="D948" s="62" t="s">
        <v>72</v>
      </c>
      <c r="E948" s="62" t="s">
        <v>382</v>
      </c>
      <c r="F948" s="63" t="s">
        <v>390</v>
      </c>
      <c r="G948" s="64" t="n">
        <v>1185000</v>
      </c>
      <c r="H948" s="62" t="s">
        <v>138</v>
      </c>
    </row>
    <row r="949" customFormat="false" ht="15" hidden="false" customHeight="false" outlineLevel="0" collapsed="false">
      <c r="A949" s="62" t="n">
        <v>0</v>
      </c>
      <c r="B949" s="62" t="s">
        <v>388</v>
      </c>
      <c r="C949" s="62" t="s">
        <v>60</v>
      </c>
      <c r="D949" s="62" t="s">
        <v>72</v>
      </c>
      <c r="E949" s="62" t="s">
        <v>382</v>
      </c>
      <c r="F949" s="63" t="s">
        <v>390</v>
      </c>
      <c r="G949" s="64" t="n">
        <v>1185000</v>
      </c>
      <c r="H949" s="62" t="s">
        <v>138</v>
      </c>
    </row>
    <row r="950" customFormat="false" ht="15" hidden="false" customHeight="false" outlineLevel="0" collapsed="false">
      <c r="A950" s="62" t="n">
        <v>0</v>
      </c>
      <c r="B950" s="62" t="s">
        <v>381</v>
      </c>
      <c r="C950" s="62" t="s">
        <v>60</v>
      </c>
      <c r="D950" s="62" t="s">
        <v>72</v>
      </c>
      <c r="E950" s="62" t="s">
        <v>382</v>
      </c>
      <c r="F950" s="63" t="s">
        <v>392</v>
      </c>
      <c r="G950" s="64" t="n">
        <v>1568385.11940661</v>
      </c>
      <c r="H950" s="62" t="s">
        <v>138</v>
      </c>
    </row>
    <row r="951" customFormat="false" ht="15" hidden="false" customHeight="false" outlineLevel="0" collapsed="false">
      <c r="A951" s="62" t="n">
        <v>0</v>
      </c>
      <c r="B951" s="62" t="s">
        <v>383</v>
      </c>
      <c r="C951" s="62" t="s">
        <v>60</v>
      </c>
      <c r="D951" s="62" t="s">
        <v>72</v>
      </c>
      <c r="E951" s="62" t="s">
        <v>382</v>
      </c>
      <c r="F951" s="63" t="s">
        <v>392</v>
      </c>
      <c r="G951" s="64" t="n">
        <v>1568385.11940661</v>
      </c>
      <c r="H951" s="62" t="s">
        <v>138</v>
      </c>
    </row>
    <row r="952" customFormat="false" ht="15" hidden="false" customHeight="false" outlineLevel="0" collapsed="false">
      <c r="A952" s="62" t="n">
        <v>0</v>
      </c>
      <c r="B952" s="62" t="s">
        <v>384</v>
      </c>
      <c r="C952" s="62" t="s">
        <v>60</v>
      </c>
      <c r="D952" s="62" t="s">
        <v>72</v>
      </c>
      <c r="E952" s="62" t="s">
        <v>382</v>
      </c>
      <c r="F952" s="63" t="s">
        <v>392</v>
      </c>
      <c r="G952" s="64" t="n">
        <v>1568385.11940661</v>
      </c>
      <c r="H952" s="62" t="s">
        <v>138</v>
      </c>
    </row>
    <row r="953" customFormat="false" ht="15" hidden="false" customHeight="false" outlineLevel="0" collapsed="false">
      <c r="A953" s="62" t="n">
        <v>0</v>
      </c>
      <c r="B953" s="62" t="s">
        <v>385</v>
      </c>
      <c r="C953" s="62" t="s">
        <v>60</v>
      </c>
      <c r="D953" s="62" t="s">
        <v>72</v>
      </c>
      <c r="E953" s="62" t="s">
        <v>382</v>
      </c>
      <c r="F953" s="63" t="s">
        <v>392</v>
      </c>
      <c r="G953" s="64" t="n">
        <v>1568385.11940661</v>
      </c>
      <c r="H953" s="62" t="s">
        <v>138</v>
      </c>
    </row>
    <row r="954" customFormat="false" ht="15" hidden="false" customHeight="false" outlineLevel="0" collapsed="false">
      <c r="A954" s="62" t="n">
        <v>0</v>
      </c>
      <c r="B954" s="62" t="s">
        <v>386</v>
      </c>
      <c r="C954" s="62" t="s">
        <v>60</v>
      </c>
      <c r="D954" s="62" t="s">
        <v>72</v>
      </c>
      <c r="E954" s="62" t="s">
        <v>382</v>
      </c>
      <c r="F954" s="63" t="s">
        <v>392</v>
      </c>
      <c r="G954" s="64" t="n">
        <v>1568385.11940661</v>
      </c>
      <c r="H954" s="62" t="s">
        <v>138</v>
      </c>
    </row>
    <row r="955" customFormat="false" ht="15" hidden="false" customHeight="false" outlineLevel="0" collapsed="false">
      <c r="A955" s="62" t="n">
        <v>0</v>
      </c>
      <c r="B955" s="62" t="s">
        <v>387</v>
      </c>
      <c r="C955" s="62" t="s">
        <v>60</v>
      </c>
      <c r="D955" s="62" t="s">
        <v>72</v>
      </c>
      <c r="E955" s="62" t="s">
        <v>382</v>
      </c>
      <c r="F955" s="63" t="s">
        <v>392</v>
      </c>
      <c r="G955" s="64" t="n">
        <v>1568385.11940661</v>
      </c>
      <c r="H955" s="62" t="s">
        <v>138</v>
      </c>
    </row>
    <row r="956" customFormat="false" ht="15" hidden="false" customHeight="false" outlineLevel="0" collapsed="false">
      <c r="A956" s="62" t="n">
        <v>0</v>
      </c>
      <c r="B956" s="62" t="s">
        <v>388</v>
      </c>
      <c r="C956" s="62" t="s">
        <v>60</v>
      </c>
      <c r="D956" s="62" t="s">
        <v>72</v>
      </c>
      <c r="E956" s="62" t="s">
        <v>382</v>
      </c>
      <c r="F956" s="63" t="s">
        <v>392</v>
      </c>
      <c r="G956" s="64" t="n">
        <v>1568385.11940661</v>
      </c>
      <c r="H956" s="62" t="s">
        <v>138</v>
      </c>
    </row>
    <row r="957" customFormat="false" ht="15" hidden="false" customHeight="false" outlineLevel="0" collapsed="false">
      <c r="A957" s="62" t="n">
        <v>0</v>
      </c>
      <c r="B957" s="62" t="s">
        <v>381</v>
      </c>
      <c r="C957" s="62" t="s">
        <v>60</v>
      </c>
      <c r="D957" s="62" t="s">
        <v>72</v>
      </c>
      <c r="E957" s="62" t="s">
        <v>382</v>
      </c>
      <c r="F957" s="63" t="s">
        <v>394</v>
      </c>
      <c r="G957" s="64" t="n">
        <v>700000</v>
      </c>
      <c r="H957" s="62" t="s">
        <v>138</v>
      </c>
    </row>
    <row r="958" customFormat="false" ht="15" hidden="false" customHeight="false" outlineLevel="0" collapsed="false">
      <c r="A958" s="62" t="n">
        <v>0</v>
      </c>
      <c r="B958" s="62" t="s">
        <v>383</v>
      </c>
      <c r="C958" s="62" t="s">
        <v>60</v>
      </c>
      <c r="D958" s="62" t="s">
        <v>72</v>
      </c>
      <c r="E958" s="62" t="s">
        <v>382</v>
      </c>
      <c r="F958" s="63" t="s">
        <v>394</v>
      </c>
      <c r="G958" s="64" t="n">
        <v>700000</v>
      </c>
      <c r="H958" s="62" t="s">
        <v>138</v>
      </c>
    </row>
    <row r="959" customFormat="false" ht="15" hidden="false" customHeight="false" outlineLevel="0" collapsed="false">
      <c r="A959" s="62" t="n">
        <v>0</v>
      </c>
      <c r="B959" s="62" t="s">
        <v>384</v>
      </c>
      <c r="C959" s="62" t="s">
        <v>60</v>
      </c>
      <c r="D959" s="62" t="s">
        <v>72</v>
      </c>
      <c r="E959" s="62" t="s">
        <v>382</v>
      </c>
      <c r="F959" s="63" t="s">
        <v>394</v>
      </c>
      <c r="G959" s="64" t="n">
        <v>700000</v>
      </c>
      <c r="H959" s="62" t="s">
        <v>138</v>
      </c>
    </row>
    <row r="960" customFormat="false" ht="15" hidden="false" customHeight="false" outlineLevel="0" collapsed="false">
      <c r="A960" s="62" t="n">
        <v>0</v>
      </c>
      <c r="B960" s="62" t="s">
        <v>385</v>
      </c>
      <c r="C960" s="62" t="s">
        <v>60</v>
      </c>
      <c r="D960" s="62" t="s">
        <v>72</v>
      </c>
      <c r="E960" s="62" t="s">
        <v>382</v>
      </c>
      <c r="F960" s="63" t="s">
        <v>394</v>
      </c>
      <c r="G960" s="64" t="n">
        <v>700000</v>
      </c>
      <c r="H960" s="62" t="s">
        <v>138</v>
      </c>
    </row>
    <row r="961" customFormat="false" ht="15" hidden="false" customHeight="false" outlineLevel="0" collapsed="false">
      <c r="A961" s="62" t="n">
        <v>0</v>
      </c>
      <c r="B961" s="62" t="s">
        <v>386</v>
      </c>
      <c r="C961" s="62" t="s">
        <v>60</v>
      </c>
      <c r="D961" s="62" t="s">
        <v>72</v>
      </c>
      <c r="E961" s="62" t="s">
        <v>382</v>
      </c>
      <c r="F961" s="63" t="s">
        <v>394</v>
      </c>
      <c r="G961" s="64" t="n">
        <v>700000</v>
      </c>
      <c r="H961" s="62" t="s">
        <v>138</v>
      </c>
    </row>
    <row r="962" customFormat="false" ht="15" hidden="false" customHeight="false" outlineLevel="0" collapsed="false">
      <c r="A962" s="62" t="n">
        <v>0</v>
      </c>
      <c r="B962" s="62" t="s">
        <v>387</v>
      </c>
      <c r="C962" s="62" t="s">
        <v>60</v>
      </c>
      <c r="D962" s="62" t="s">
        <v>72</v>
      </c>
      <c r="E962" s="62" t="s">
        <v>382</v>
      </c>
      <c r="F962" s="63" t="s">
        <v>394</v>
      </c>
      <c r="G962" s="64" t="n">
        <v>700000</v>
      </c>
      <c r="H962" s="62" t="s">
        <v>138</v>
      </c>
    </row>
    <row r="963" customFormat="false" ht="15" hidden="false" customHeight="false" outlineLevel="0" collapsed="false">
      <c r="A963" s="62" t="n">
        <v>0</v>
      </c>
      <c r="B963" s="62" t="s">
        <v>388</v>
      </c>
      <c r="C963" s="62" t="s">
        <v>60</v>
      </c>
      <c r="D963" s="62" t="s">
        <v>72</v>
      </c>
      <c r="E963" s="62" t="s">
        <v>382</v>
      </c>
      <c r="F963" s="63" t="s">
        <v>394</v>
      </c>
      <c r="G963" s="64" t="n">
        <v>700000</v>
      </c>
      <c r="H963" s="62" t="s">
        <v>138</v>
      </c>
    </row>
    <row r="964" customFormat="false" ht="15" hidden="false" customHeight="false" outlineLevel="0" collapsed="false">
      <c r="A964" s="62" t="n">
        <v>0</v>
      </c>
      <c r="B964" s="62" t="s">
        <v>381</v>
      </c>
      <c r="C964" s="62" t="s">
        <v>60</v>
      </c>
      <c r="D964" s="62" t="s">
        <v>72</v>
      </c>
      <c r="E964" s="62" t="s">
        <v>382</v>
      </c>
      <c r="F964" s="63" t="s">
        <v>395</v>
      </c>
      <c r="G964" s="64" t="n">
        <v>20000</v>
      </c>
      <c r="H964" s="62" t="s">
        <v>138</v>
      </c>
    </row>
    <row r="965" customFormat="false" ht="15" hidden="false" customHeight="false" outlineLevel="0" collapsed="false">
      <c r="A965" s="62" t="n">
        <v>0</v>
      </c>
      <c r="B965" s="62" t="s">
        <v>383</v>
      </c>
      <c r="C965" s="62" t="s">
        <v>60</v>
      </c>
      <c r="D965" s="62" t="s">
        <v>72</v>
      </c>
      <c r="E965" s="62" t="s">
        <v>382</v>
      </c>
      <c r="F965" s="63" t="s">
        <v>395</v>
      </c>
      <c r="G965" s="64" t="n">
        <v>20000</v>
      </c>
      <c r="H965" s="62" t="s">
        <v>138</v>
      </c>
    </row>
    <row r="966" customFormat="false" ht="15" hidden="false" customHeight="false" outlineLevel="0" collapsed="false">
      <c r="A966" s="62" t="n">
        <v>0</v>
      </c>
      <c r="B966" s="62" t="s">
        <v>384</v>
      </c>
      <c r="C966" s="62" t="s">
        <v>60</v>
      </c>
      <c r="D966" s="62" t="s">
        <v>72</v>
      </c>
      <c r="E966" s="62" t="s">
        <v>382</v>
      </c>
      <c r="F966" s="63" t="s">
        <v>395</v>
      </c>
      <c r="G966" s="64" t="n">
        <v>20000</v>
      </c>
      <c r="H966" s="62" t="s">
        <v>138</v>
      </c>
    </row>
    <row r="967" customFormat="false" ht="15" hidden="false" customHeight="false" outlineLevel="0" collapsed="false">
      <c r="A967" s="62" t="n">
        <v>0</v>
      </c>
      <c r="B967" s="62" t="s">
        <v>385</v>
      </c>
      <c r="C967" s="62" t="s">
        <v>60</v>
      </c>
      <c r="D967" s="62" t="s">
        <v>72</v>
      </c>
      <c r="E967" s="62" t="s">
        <v>382</v>
      </c>
      <c r="F967" s="63" t="s">
        <v>395</v>
      </c>
      <c r="G967" s="64" t="n">
        <v>20000</v>
      </c>
      <c r="H967" s="62" t="s">
        <v>138</v>
      </c>
    </row>
    <row r="968" customFormat="false" ht="15" hidden="false" customHeight="false" outlineLevel="0" collapsed="false">
      <c r="A968" s="62" t="n">
        <v>0</v>
      </c>
      <c r="B968" s="62" t="s">
        <v>386</v>
      </c>
      <c r="C968" s="62" t="s">
        <v>60</v>
      </c>
      <c r="D968" s="62" t="s">
        <v>72</v>
      </c>
      <c r="E968" s="62" t="s">
        <v>382</v>
      </c>
      <c r="F968" s="63" t="s">
        <v>395</v>
      </c>
      <c r="G968" s="64" t="n">
        <v>20000</v>
      </c>
      <c r="H968" s="62" t="s">
        <v>138</v>
      </c>
    </row>
    <row r="969" customFormat="false" ht="15" hidden="false" customHeight="false" outlineLevel="0" collapsed="false">
      <c r="A969" s="62" t="n">
        <v>0</v>
      </c>
      <c r="B969" s="62" t="s">
        <v>387</v>
      </c>
      <c r="C969" s="62" t="s">
        <v>60</v>
      </c>
      <c r="D969" s="62" t="s">
        <v>72</v>
      </c>
      <c r="E969" s="62" t="s">
        <v>382</v>
      </c>
      <c r="F969" s="63" t="s">
        <v>395</v>
      </c>
      <c r="G969" s="64" t="n">
        <v>20000</v>
      </c>
      <c r="H969" s="62" t="s">
        <v>138</v>
      </c>
    </row>
    <row r="970" customFormat="false" ht="15" hidden="false" customHeight="false" outlineLevel="0" collapsed="false">
      <c r="A970" s="62" t="n">
        <v>0</v>
      </c>
      <c r="B970" s="62" t="s">
        <v>388</v>
      </c>
      <c r="C970" s="62" t="s">
        <v>60</v>
      </c>
      <c r="D970" s="62" t="s">
        <v>72</v>
      </c>
      <c r="E970" s="62" t="s">
        <v>382</v>
      </c>
      <c r="F970" s="63" t="s">
        <v>395</v>
      </c>
      <c r="G970" s="64" t="n">
        <v>20000</v>
      </c>
      <c r="H970" s="62" t="s">
        <v>138</v>
      </c>
    </row>
    <row r="971" customFormat="false" ht="15" hidden="false" customHeight="false" outlineLevel="0" collapsed="false">
      <c r="A971" s="62" t="n">
        <v>0</v>
      </c>
      <c r="B971" s="62" t="s">
        <v>381</v>
      </c>
      <c r="C971" s="62" t="s">
        <v>60</v>
      </c>
      <c r="D971" s="62" t="s">
        <v>72</v>
      </c>
      <c r="E971" s="62" t="s">
        <v>382</v>
      </c>
      <c r="F971" s="63" t="s">
        <v>403</v>
      </c>
      <c r="G971" s="64" t="n">
        <v>12776351.1940661</v>
      </c>
      <c r="H971" s="62" t="s">
        <v>138</v>
      </c>
    </row>
    <row r="972" customFormat="false" ht="15" hidden="false" customHeight="false" outlineLevel="0" collapsed="false">
      <c r="A972" s="62" t="n">
        <v>0</v>
      </c>
      <c r="B972" s="62" t="s">
        <v>383</v>
      </c>
      <c r="C972" s="62" t="s">
        <v>60</v>
      </c>
      <c r="D972" s="62" t="s">
        <v>72</v>
      </c>
      <c r="E972" s="62" t="s">
        <v>382</v>
      </c>
      <c r="F972" s="63" t="s">
        <v>403</v>
      </c>
      <c r="G972" s="64" t="n">
        <v>12776351.1940661</v>
      </c>
      <c r="H972" s="62" t="s">
        <v>138</v>
      </c>
    </row>
    <row r="973" customFormat="false" ht="15" hidden="false" customHeight="false" outlineLevel="0" collapsed="false">
      <c r="A973" s="62" t="n">
        <v>0</v>
      </c>
      <c r="B973" s="62" t="s">
        <v>384</v>
      </c>
      <c r="C973" s="62" t="s">
        <v>60</v>
      </c>
      <c r="D973" s="62" t="s">
        <v>72</v>
      </c>
      <c r="E973" s="62" t="s">
        <v>382</v>
      </c>
      <c r="F973" s="63" t="s">
        <v>403</v>
      </c>
      <c r="G973" s="64" t="n">
        <v>12776351.1940661</v>
      </c>
      <c r="H973" s="62" t="s">
        <v>138</v>
      </c>
    </row>
    <row r="974" customFormat="false" ht="15" hidden="false" customHeight="false" outlineLevel="0" collapsed="false">
      <c r="A974" s="62" t="n">
        <v>0</v>
      </c>
      <c r="B974" s="62" t="s">
        <v>385</v>
      </c>
      <c r="C974" s="62" t="s">
        <v>60</v>
      </c>
      <c r="D974" s="62" t="s">
        <v>72</v>
      </c>
      <c r="E974" s="62" t="s">
        <v>382</v>
      </c>
      <c r="F974" s="63" t="s">
        <v>403</v>
      </c>
      <c r="G974" s="64" t="n">
        <v>12776351.1940661</v>
      </c>
      <c r="H974" s="62" t="s">
        <v>138</v>
      </c>
    </row>
    <row r="975" customFormat="false" ht="15" hidden="false" customHeight="false" outlineLevel="0" collapsed="false">
      <c r="A975" s="62" t="n">
        <v>0</v>
      </c>
      <c r="B975" s="62" t="s">
        <v>386</v>
      </c>
      <c r="C975" s="62" t="s">
        <v>60</v>
      </c>
      <c r="D975" s="62" t="s">
        <v>72</v>
      </c>
      <c r="E975" s="62" t="s">
        <v>382</v>
      </c>
      <c r="F975" s="63" t="s">
        <v>403</v>
      </c>
      <c r="G975" s="64" t="n">
        <v>12776351.1940661</v>
      </c>
      <c r="H975" s="62" t="s">
        <v>138</v>
      </c>
    </row>
    <row r="976" customFormat="false" ht="15" hidden="false" customHeight="false" outlineLevel="0" collapsed="false">
      <c r="A976" s="62" t="n">
        <v>0</v>
      </c>
      <c r="B976" s="62" t="s">
        <v>387</v>
      </c>
      <c r="C976" s="62" t="s">
        <v>60</v>
      </c>
      <c r="D976" s="62" t="s">
        <v>72</v>
      </c>
      <c r="E976" s="62" t="s">
        <v>382</v>
      </c>
      <c r="F976" s="63" t="s">
        <v>403</v>
      </c>
      <c r="G976" s="64" t="n">
        <v>12776351.1940661</v>
      </c>
      <c r="H976" s="62" t="s">
        <v>138</v>
      </c>
    </row>
    <row r="977" customFormat="false" ht="15" hidden="false" customHeight="false" outlineLevel="0" collapsed="false">
      <c r="A977" s="62" t="n">
        <v>0</v>
      </c>
      <c r="B977" s="62" t="s">
        <v>388</v>
      </c>
      <c r="C977" s="62" t="s">
        <v>60</v>
      </c>
      <c r="D977" s="62" t="s">
        <v>72</v>
      </c>
      <c r="E977" s="62" t="s">
        <v>382</v>
      </c>
      <c r="F977" s="63" t="s">
        <v>403</v>
      </c>
      <c r="G977" s="64" t="n">
        <v>12776351.1940661</v>
      </c>
      <c r="H977" s="62" t="s">
        <v>138</v>
      </c>
    </row>
    <row r="978" customFormat="false" ht="15" hidden="false" customHeight="false" outlineLevel="0" collapsed="false">
      <c r="A978" s="62" t="n">
        <v>0</v>
      </c>
      <c r="B978" s="62" t="s">
        <v>381</v>
      </c>
      <c r="C978" s="62" t="s">
        <v>60</v>
      </c>
      <c r="D978" s="62" t="s">
        <v>72</v>
      </c>
      <c r="E978" s="62" t="s">
        <v>382</v>
      </c>
      <c r="F978" s="63" t="s">
        <v>404</v>
      </c>
      <c r="G978" s="64" t="n">
        <v>16249736.3134727</v>
      </c>
      <c r="H978" s="62" t="s">
        <v>138</v>
      </c>
    </row>
    <row r="979" customFormat="false" ht="15" hidden="false" customHeight="false" outlineLevel="0" collapsed="false">
      <c r="A979" s="62" t="n">
        <v>0</v>
      </c>
      <c r="B979" s="62" t="s">
        <v>383</v>
      </c>
      <c r="C979" s="62" t="s">
        <v>60</v>
      </c>
      <c r="D979" s="62" t="s">
        <v>72</v>
      </c>
      <c r="E979" s="62" t="s">
        <v>382</v>
      </c>
      <c r="F979" s="63" t="s">
        <v>404</v>
      </c>
      <c r="G979" s="64" t="n">
        <v>16249736.3134727</v>
      </c>
      <c r="H979" s="62" t="s">
        <v>138</v>
      </c>
    </row>
    <row r="980" customFormat="false" ht="15" hidden="false" customHeight="false" outlineLevel="0" collapsed="false">
      <c r="A980" s="62" t="n">
        <v>0</v>
      </c>
      <c r="B980" s="62" t="s">
        <v>384</v>
      </c>
      <c r="C980" s="62" t="s">
        <v>60</v>
      </c>
      <c r="D980" s="62" t="s">
        <v>72</v>
      </c>
      <c r="E980" s="62" t="s">
        <v>382</v>
      </c>
      <c r="F980" s="63" t="s">
        <v>404</v>
      </c>
      <c r="G980" s="64" t="n">
        <v>16249736.3134727</v>
      </c>
      <c r="H980" s="62" t="s">
        <v>138</v>
      </c>
    </row>
    <row r="981" customFormat="false" ht="15" hidden="false" customHeight="false" outlineLevel="0" collapsed="false">
      <c r="A981" s="62" t="n">
        <v>0</v>
      </c>
      <c r="B981" s="62" t="s">
        <v>385</v>
      </c>
      <c r="C981" s="62" t="s">
        <v>60</v>
      </c>
      <c r="D981" s="62" t="s">
        <v>72</v>
      </c>
      <c r="E981" s="62" t="s">
        <v>382</v>
      </c>
      <c r="F981" s="63" t="s">
        <v>404</v>
      </c>
      <c r="G981" s="64" t="n">
        <v>16249736.3134727</v>
      </c>
      <c r="H981" s="62" t="s">
        <v>138</v>
      </c>
    </row>
    <row r="982" customFormat="false" ht="15" hidden="false" customHeight="false" outlineLevel="0" collapsed="false">
      <c r="A982" s="62" t="n">
        <v>0</v>
      </c>
      <c r="B982" s="62" t="s">
        <v>386</v>
      </c>
      <c r="C982" s="62" t="s">
        <v>60</v>
      </c>
      <c r="D982" s="62" t="s">
        <v>72</v>
      </c>
      <c r="E982" s="62" t="s">
        <v>382</v>
      </c>
      <c r="F982" s="63" t="s">
        <v>404</v>
      </c>
      <c r="G982" s="64" t="n">
        <v>16249736.3134727</v>
      </c>
      <c r="H982" s="62" t="s">
        <v>138</v>
      </c>
    </row>
    <row r="983" customFormat="false" ht="15" hidden="false" customHeight="false" outlineLevel="0" collapsed="false">
      <c r="A983" s="62" t="n">
        <v>0</v>
      </c>
      <c r="B983" s="62" t="s">
        <v>387</v>
      </c>
      <c r="C983" s="62" t="s">
        <v>60</v>
      </c>
      <c r="D983" s="62" t="s">
        <v>72</v>
      </c>
      <c r="E983" s="62" t="s">
        <v>382</v>
      </c>
      <c r="F983" s="63" t="s">
        <v>404</v>
      </c>
      <c r="G983" s="64" t="n">
        <v>16249736.3134727</v>
      </c>
      <c r="H983" s="62" t="s">
        <v>138</v>
      </c>
    </row>
    <row r="984" customFormat="false" ht="15" hidden="false" customHeight="false" outlineLevel="0" collapsed="false">
      <c r="A984" s="62" t="n">
        <v>0</v>
      </c>
      <c r="B984" s="62" t="s">
        <v>388</v>
      </c>
      <c r="C984" s="62" t="s">
        <v>60</v>
      </c>
      <c r="D984" s="62" t="s">
        <v>72</v>
      </c>
      <c r="E984" s="62" t="s">
        <v>382</v>
      </c>
      <c r="F984" s="63" t="s">
        <v>404</v>
      </c>
      <c r="G984" s="64" t="n">
        <v>16249736.3134727</v>
      </c>
      <c r="H984" s="62" t="s">
        <v>138</v>
      </c>
    </row>
    <row r="985" customFormat="false" ht="15" hidden="false" customHeight="false" outlineLevel="0" collapsed="false">
      <c r="A985" s="62" t="n">
        <v>0</v>
      </c>
      <c r="B985" s="62" t="s">
        <v>381</v>
      </c>
      <c r="C985" s="62" t="s">
        <v>60</v>
      </c>
      <c r="D985" s="62" t="s">
        <v>72</v>
      </c>
      <c r="E985" s="62" t="s">
        <v>382</v>
      </c>
      <c r="F985" s="63" t="s">
        <v>405</v>
      </c>
      <c r="G985" s="64" t="n">
        <v>814263.68652734</v>
      </c>
      <c r="H985" s="62" t="s">
        <v>138</v>
      </c>
    </row>
    <row r="986" customFormat="false" ht="15" hidden="false" customHeight="false" outlineLevel="0" collapsed="false">
      <c r="A986" s="62" t="n">
        <v>0</v>
      </c>
      <c r="B986" s="62" t="s">
        <v>383</v>
      </c>
      <c r="C986" s="62" t="s">
        <v>60</v>
      </c>
      <c r="D986" s="62" t="s">
        <v>72</v>
      </c>
      <c r="E986" s="62" t="s">
        <v>382</v>
      </c>
      <c r="F986" s="63" t="s">
        <v>405</v>
      </c>
      <c r="G986" s="64" t="n">
        <v>814263.68652734</v>
      </c>
      <c r="H986" s="62" t="s">
        <v>138</v>
      </c>
    </row>
    <row r="987" customFormat="false" ht="15" hidden="false" customHeight="false" outlineLevel="0" collapsed="false">
      <c r="A987" s="62" t="n">
        <v>0</v>
      </c>
      <c r="B987" s="62" t="s">
        <v>384</v>
      </c>
      <c r="C987" s="62" t="s">
        <v>60</v>
      </c>
      <c r="D987" s="62" t="s">
        <v>72</v>
      </c>
      <c r="E987" s="62" t="s">
        <v>382</v>
      </c>
      <c r="F987" s="63" t="s">
        <v>405</v>
      </c>
      <c r="G987" s="64" t="n">
        <v>814263.68652734</v>
      </c>
      <c r="H987" s="62" t="s">
        <v>138</v>
      </c>
    </row>
    <row r="988" customFormat="false" ht="15" hidden="false" customHeight="false" outlineLevel="0" collapsed="false">
      <c r="A988" s="62" t="n">
        <v>0</v>
      </c>
      <c r="B988" s="62" t="s">
        <v>385</v>
      </c>
      <c r="C988" s="62" t="s">
        <v>60</v>
      </c>
      <c r="D988" s="62" t="s">
        <v>72</v>
      </c>
      <c r="E988" s="62" t="s">
        <v>382</v>
      </c>
      <c r="F988" s="63" t="s">
        <v>405</v>
      </c>
      <c r="G988" s="64" t="n">
        <v>814263.68652734</v>
      </c>
      <c r="H988" s="62" t="s">
        <v>138</v>
      </c>
    </row>
    <row r="989" customFormat="false" ht="15" hidden="false" customHeight="false" outlineLevel="0" collapsed="false">
      <c r="A989" s="62" t="n">
        <v>0</v>
      </c>
      <c r="B989" s="62" t="s">
        <v>386</v>
      </c>
      <c r="C989" s="62" t="s">
        <v>60</v>
      </c>
      <c r="D989" s="62" t="s">
        <v>72</v>
      </c>
      <c r="E989" s="62" t="s">
        <v>382</v>
      </c>
      <c r="F989" s="63" t="s">
        <v>405</v>
      </c>
      <c r="G989" s="64" t="n">
        <v>814263.68652734</v>
      </c>
      <c r="H989" s="62" t="s">
        <v>138</v>
      </c>
    </row>
    <row r="990" customFormat="false" ht="15" hidden="false" customHeight="false" outlineLevel="0" collapsed="false">
      <c r="A990" s="62" t="n">
        <v>0</v>
      </c>
      <c r="B990" s="62" t="s">
        <v>387</v>
      </c>
      <c r="C990" s="62" t="s">
        <v>60</v>
      </c>
      <c r="D990" s="62" t="s">
        <v>72</v>
      </c>
      <c r="E990" s="62" t="s">
        <v>382</v>
      </c>
      <c r="F990" s="63" t="s">
        <v>405</v>
      </c>
      <c r="G990" s="64" t="n">
        <v>814263.68652734</v>
      </c>
      <c r="H990" s="62" t="s">
        <v>138</v>
      </c>
    </row>
    <row r="991" customFormat="false" ht="15" hidden="false" customHeight="false" outlineLevel="0" collapsed="false">
      <c r="A991" s="62" t="n">
        <v>0</v>
      </c>
      <c r="B991" s="62" t="s">
        <v>388</v>
      </c>
      <c r="C991" s="62" t="s">
        <v>60</v>
      </c>
      <c r="D991" s="62" t="s">
        <v>72</v>
      </c>
      <c r="E991" s="62" t="s">
        <v>382</v>
      </c>
      <c r="F991" s="63" t="s">
        <v>405</v>
      </c>
      <c r="G991" s="64" t="n">
        <v>814263.68652734</v>
      </c>
      <c r="H991" s="62" t="s">
        <v>138</v>
      </c>
    </row>
    <row r="992" customFormat="false" ht="15" hidden="false" customHeight="false" outlineLevel="0" collapsed="false">
      <c r="A992" s="62" t="n">
        <v>0</v>
      </c>
      <c r="B992" s="62" t="s">
        <v>381</v>
      </c>
      <c r="C992" s="62" t="s">
        <v>60</v>
      </c>
      <c r="D992" s="62" t="s">
        <v>72</v>
      </c>
      <c r="E992" s="62" t="s">
        <v>382</v>
      </c>
      <c r="F992" s="63" t="s">
        <v>406</v>
      </c>
      <c r="G992" s="64" t="n">
        <v>0</v>
      </c>
      <c r="H992" s="62" t="s">
        <v>138</v>
      </c>
    </row>
    <row r="993" customFormat="false" ht="15" hidden="false" customHeight="false" outlineLevel="0" collapsed="false">
      <c r="A993" s="62" t="n">
        <v>0</v>
      </c>
      <c r="B993" s="62" t="s">
        <v>383</v>
      </c>
      <c r="C993" s="62" t="s">
        <v>60</v>
      </c>
      <c r="D993" s="62" t="s">
        <v>72</v>
      </c>
      <c r="E993" s="62" t="s">
        <v>382</v>
      </c>
      <c r="F993" s="63" t="s">
        <v>406</v>
      </c>
      <c r="G993" s="64" t="n">
        <v>0</v>
      </c>
      <c r="H993" s="62" t="s">
        <v>138</v>
      </c>
    </row>
    <row r="994" customFormat="false" ht="15" hidden="false" customHeight="false" outlineLevel="0" collapsed="false">
      <c r="A994" s="62" t="n">
        <v>0</v>
      </c>
      <c r="B994" s="62" t="s">
        <v>384</v>
      </c>
      <c r="C994" s="62" t="s">
        <v>60</v>
      </c>
      <c r="D994" s="62" t="s">
        <v>72</v>
      </c>
      <c r="E994" s="62" t="s">
        <v>382</v>
      </c>
      <c r="F994" s="63" t="s">
        <v>406</v>
      </c>
      <c r="G994" s="64" t="n">
        <v>0</v>
      </c>
      <c r="H994" s="62" t="s">
        <v>138</v>
      </c>
    </row>
    <row r="995" customFormat="false" ht="15" hidden="false" customHeight="false" outlineLevel="0" collapsed="false">
      <c r="A995" s="62" t="n">
        <v>0</v>
      </c>
      <c r="B995" s="62" t="s">
        <v>385</v>
      </c>
      <c r="C995" s="62" t="s">
        <v>60</v>
      </c>
      <c r="D995" s="62" t="s">
        <v>72</v>
      </c>
      <c r="E995" s="62" t="s">
        <v>382</v>
      </c>
      <c r="F995" s="63" t="s">
        <v>406</v>
      </c>
      <c r="G995" s="64" t="n">
        <v>0</v>
      </c>
      <c r="H995" s="62" t="s">
        <v>138</v>
      </c>
    </row>
    <row r="996" customFormat="false" ht="15" hidden="false" customHeight="false" outlineLevel="0" collapsed="false">
      <c r="A996" s="62" t="n">
        <v>0</v>
      </c>
      <c r="B996" s="62" t="s">
        <v>386</v>
      </c>
      <c r="C996" s="62" t="s">
        <v>60</v>
      </c>
      <c r="D996" s="62" t="s">
        <v>72</v>
      </c>
      <c r="E996" s="62" t="s">
        <v>382</v>
      </c>
      <c r="F996" s="63" t="s">
        <v>406</v>
      </c>
      <c r="G996" s="64" t="n">
        <v>0</v>
      </c>
      <c r="H996" s="62" t="s">
        <v>138</v>
      </c>
    </row>
    <row r="997" customFormat="false" ht="15" hidden="false" customHeight="false" outlineLevel="0" collapsed="false">
      <c r="A997" s="62" t="n">
        <v>0</v>
      </c>
      <c r="B997" s="62" t="s">
        <v>387</v>
      </c>
      <c r="C997" s="62" t="s">
        <v>60</v>
      </c>
      <c r="D997" s="62" t="s">
        <v>72</v>
      </c>
      <c r="E997" s="62" t="s">
        <v>382</v>
      </c>
      <c r="F997" s="63" t="s">
        <v>406</v>
      </c>
      <c r="G997" s="64" t="n">
        <v>0</v>
      </c>
      <c r="H997" s="62" t="s">
        <v>138</v>
      </c>
    </row>
    <row r="998" customFormat="false" ht="15" hidden="false" customHeight="false" outlineLevel="0" collapsed="false">
      <c r="A998" s="62" t="n">
        <v>0</v>
      </c>
      <c r="B998" s="62" t="s">
        <v>388</v>
      </c>
      <c r="C998" s="62" t="s">
        <v>60</v>
      </c>
      <c r="D998" s="62" t="s">
        <v>72</v>
      </c>
      <c r="E998" s="62" t="s">
        <v>382</v>
      </c>
      <c r="F998" s="63" t="s">
        <v>406</v>
      </c>
      <c r="G998" s="64" t="n">
        <v>0</v>
      </c>
      <c r="H998" s="62" t="s">
        <v>138</v>
      </c>
    </row>
    <row r="999" customFormat="false" ht="15" hidden="false" customHeight="false" outlineLevel="0" collapsed="false">
      <c r="A999" s="62" t="n">
        <v>0</v>
      </c>
      <c r="B999" s="62" t="s">
        <v>381</v>
      </c>
      <c r="C999" s="62" t="s">
        <v>60</v>
      </c>
      <c r="D999" s="62" t="s">
        <v>72</v>
      </c>
      <c r="E999" s="62" t="s">
        <v>382</v>
      </c>
      <c r="F999" s="63" t="s">
        <v>407</v>
      </c>
      <c r="G999" s="64" t="n">
        <v>814263.68652734</v>
      </c>
      <c r="H999" s="62" t="s">
        <v>138</v>
      </c>
    </row>
    <row r="1000" customFormat="false" ht="15" hidden="false" customHeight="false" outlineLevel="0" collapsed="false">
      <c r="A1000" s="62" t="n">
        <v>0</v>
      </c>
      <c r="B1000" s="62" t="s">
        <v>383</v>
      </c>
      <c r="C1000" s="62" t="s">
        <v>60</v>
      </c>
      <c r="D1000" s="62" t="s">
        <v>72</v>
      </c>
      <c r="E1000" s="62" t="s">
        <v>382</v>
      </c>
      <c r="F1000" s="63" t="s">
        <v>407</v>
      </c>
      <c r="G1000" s="64" t="n">
        <v>814263.68652734</v>
      </c>
      <c r="H1000" s="62" t="s">
        <v>138</v>
      </c>
    </row>
    <row r="1001" customFormat="false" ht="15" hidden="false" customHeight="false" outlineLevel="0" collapsed="false">
      <c r="A1001" s="62" t="n">
        <v>0</v>
      </c>
      <c r="B1001" s="62" t="s">
        <v>384</v>
      </c>
      <c r="C1001" s="62" t="s">
        <v>60</v>
      </c>
      <c r="D1001" s="62" t="s">
        <v>72</v>
      </c>
      <c r="E1001" s="62" t="s">
        <v>382</v>
      </c>
      <c r="F1001" s="63" t="s">
        <v>407</v>
      </c>
      <c r="G1001" s="64" t="n">
        <v>814263.68652734</v>
      </c>
      <c r="H1001" s="62" t="s">
        <v>138</v>
      </c>
    </row>
    <row r="1002" customFormat="false" ht="15" hidden="false" customHeight="false" outlineLevel="0" collapsed="false">
      <c r="A1002" s="62" t="n">
        <v>0</v>
      </c>
      <c r="B1002" s="62" t="s">
        <v>385</v>
      </c>
      <c r="C1002" s="62" t="s">
        <v>60</v>
      </c>
      <c r="D1002" s="62" t="s">
        <v>72</v>
      </c>
      <c r="E1002" s="62" t="s">
        <v>382</v>
      </c>
      <c r="F1002" s="63" t="s">
        <v>407</v>
      </c>
      <c r="G1002" s="64" t="n">
        <v>814263.68652734</v>
      </c>
      <c r="H1002" s="62" t="s">
        <v>138</v>
      </c>
    </row>
    <row r="1003" customFormat="false" ht="15" hidden="false" customHeight="false" outlineLevel="0" collapsed="false">
      <c r="A1003" s="62" t="n">
        <v>0</v>
      </c>
      <c r="B1003" s="62" t="s">
        <v>386</v>
      </c>
      <c r="C1003" s="62" t="s">
        <v>60</v>
      </c>
      <c r="D1003" s="62" t="s">
        <v>72</v>
      </c>
      <c r="E1003" s="62" t="s">
        <v>382</v>
      </c>
      <c r="F1003" s="63" t="s">
        <v>407</v>
      </c>
      <c r="G1003" s="64" t="n">
        <v>814263.68652734</v>
      </c>
      <c r="H1003" s="62" t="s">
        <v>138</v>
      </c>
    </row>
    <row r="1004" customFormat="false" ht="15" hidden="false" customHeight="false" outlineLevel="0" collapsed="false">
      <c r="A1004" s="62" t="n">
        <v>0</v>
      </c>
      <c r="B1004" s="62" t="s">
        <v>387</v>
      </c>
      <c r="C1004" s="62" t="s">
        <v>60</v>
      </c>
      <c r="D1004" s="62" t="s">
        <v>72</v>
      </c>
      <c r="E1004" s="62" t="s">
        <v>382</v>
      </c>
      <c r="F1004" s="63" t="s">
        <v>407</v>
      </c>
      <c r="G1004" s="64" t="n">
        <v>814263.68652734</v>
      </c>
      <c r="H1004" s="62" t="s">
        <v>138</v>
      </c>
    </row>
    <row r="1005" customFormat="false" ht="15" hidden="false" customHeight="false" outlineLevel="0" collapsed="false">
      <c r="A1005" s="62" t="n">
        <v>0</v>
      </c>
      <c r="B1005" s="62" t="s">
        <v>388</v>
      </c>
      <c r="C1005" s="62" t="s">
        <v>60</v>
      </c>
      <c r="D1005" s="62" t="s">
        <v>72</v>
      </c>
      <c r="E1005" s="62" t="s">
        <v>382</v>
      </c>
      <c r="F1005" s="63" t="s">
        <v>407</v>
      </c>
      <c r="G1005" s="64" t="n">
        <v>814263.68652734</v>
      </c>
      <c r="H1005" s="62" t="s">
        <v>138</v>
      </c>
    </row>
    <row r="1006" customFormat="false" ht="15" hidden="false" customHeight="false" outlineLevel="0" collapsed="false">
      <c r="A1006" s="62" t="n">
        <v>0</v>
      </c>
      <c r="B1006" s="62" t="s">
        <v>381</v>
      </c>
      <c r="C1006" s="62" t="s">
        <v>60</v>
      </c>
      <c r="D1006" s="62" t="s">
        <v>72</v>
      </c>
      <c r="E1006" s="62" t="s">
        <v>382</v>
      </c>
      <c r="F1006" s="63" t="s">
        <v>408</v>
      </c>
      <c r="G1006" s="64" t="n">
        <v>-5898.65271870569</v>
      </c>
      <c r="H1006" s="62" t="s">
        <v>138</v>
      </c>
    </row>
    <row r="1007" customFormat="false" ht="15" hidden="false" customHeight="false" outlineLevel="0" collapsed="false">
      <c r="A1007" s="62" t="n">
        <v>0</v>
      </c>
      <c r="B1007" s="62" t="s">
        <v>383</v>
      </c>
      <c r="C1007" s="62" t="s">
        <v>60</v>
      </c>
      <c r="D1007" s="62" t="s">
        <v>72</v>
      </c>
      <c r="E1007" s="62" t="s">
        <v>382</v>
      </c>
      <c r="F1007" s="63" t="s">
        <v>408</v>
      </c>
      <c r="G1007" s="64" t="n">
        <v>-5898.65271870569</v>
      </c>
      <c r="H1007" s="62" t="s">
        <v>138</v>
      </c>
    </row>
    <row r="1008" customFormat="false" ht="15" hidden="false" customHeight="false" outlineLevel="0" collapsed="false">
      <c r="A1008" s="62" t="n">
        <v>0</v>
      </c>
      <c r="B1008" s="62" t="s">
        <v>384</v>
      </c>
      <c r="C1008" s="62" t="s">
        <v>60</v>
      </c>
      <c r="D1008" s="62" t="s">
        <v>72</v>
      </c>
      <c r="E1008" s="62" t="s">
        <v>382</v>
      </c>
      <c r="F1008" s="63" t="s">
        <v>408</v>
      </c>
      <c r="G1008" s="64" t="n">
        <v>-5898.65271870569</v>
      </c>
      <c r="H1008" s="62" t="s">
        <v>138</v>
      </c>
    </row>
    <row r="1009" customFormat="false" ht="15" hidden="false" customHeight="false" outlineLevel="0" collapsed="false">
      <c r="A1009" s="62" t="n">
        <v>0</v>
      </c>
      <c r="B1009" s="62" t="s">
        <v>385</v>
      </c>
      <c r="C1009" s="62" t="s">
        <v>60</v>
      </c>
      <c r="D1009" s="62" t="s">
        <v>72</v>
      </c>
      <c r="E1009" s="62" t="s">
        <v>382</v>
      </c>
      <c r="F1009" s="63" t="s">
        <v>408</v>
      </c>
      <c r="G1009" s="64" t="n">
        <v>-5898.65271870569</v>
      </c>
      <c r="H1009" s="62" t="s">
        <v>138</v>
      </c>
    </row>
    <row r="1010" customFormat="false" ht="15" hidden="false" customHeight="false" outlineLevel="0" collapsed="false">
      <c r="A1010" s="62" t="n">
        <v>0</v>
      </c>
      <c r="B1010" s="62" t="s">
        <v>386</v>
      </c>
      <c r="C1010" s="62" t="s">
        <v>60</v>
      </c>
      <c r="D1010" s="62" t="s">
        <v>72</v>
      </c>
      <c r="E1010" s="62" t="s">
        <v>382</v>
      </c>
      <c r="F1010" s="63" t="s">
        <v>408</v>
      </c>
      <c r="G1010" s="64" t="n">
        <v>-5898.65271870569</v>
      </c>
      <c r="H1010" s="62" t="s">
        <v>138</v>
      </c>
    </row>
    <row r="1011" customFormat="false" ht="15" hidden="false" customHeight="false" outlineLevel="0" collapsed="false">
      <c r="A1011" s="62" t="n">
        <v>0</v>
      </c>
      <c r="B1011" s="62" t="s">
        <v>387</v>
      </c>
      <c r="C1011" s="62" t="s">
        <v>60</v>
      </c>
      <c r="D1011" s="62" t="s">
        <v>72</v>
      </c>
      <c r="E1011" s="62" t="s">
        <v>382</v>
      </c>
      <c r="F1011" s="63" t="s">
        <v>408</v>
      </c>
      <c r="G1011" s="64" t="n">
        <v>-5898.65271870569</v>
      </c>
      <c r="H1011" s="62" t="s">
        <v>138</v>
      </c>
    </row>
    <row r="1012" customFormat="false" ht="15" hidden="false" customHeight="false" outlineLevel="0" collapsed="false">
      <c r="A1012" s="62" t="n">
        <v>0</v>
      </c>
      <c r="B1012" s="62" t="s">
        <v>388</v>
      </c>
      <c r="C1012" s="62" t="s">
        <v>60</v>
      </c>
      <c r="D1012" s="62" t="s">
        <v>72</v>
      </c>
      <c r="E1012" s="62" t="s">
        <v>382</v>
      </c>
      <c r="F1012" s="63" t="s">
        <v>408</v>
      </c>
      <c r="G1012" s="64" t="n">
        <v>-5898.65271870569</v>
      </c>
      <c r="H1012" s="62" t="s">
        <v>138</v>
      </c>
    </row>
    <row r="1013" customFormat="false" ht="15" hidden="false" customHeight="false" outlineLevel="0" collapsed="false">
      <c r="A1013" s="62" t="n">
        <v>0</v>
      </c>
      <c r="B1013" s="62" t="s">
        <v>381</v>
      </c>
      <c r="C1013" s="62" t="s">
        <v>60</v>
      </c>
      <c r="D1013" s="62" t="s">
        <v>72</v>
      </c>
      <c r="E1013" s="62" t="s">
        <v>382</v>
      </c>
      <c r="F1013" s="63" t="s">
        <v>409</v>
      </c>
      <c r="G1013" s="64" t="n">
        <v>820162.339246045</v>
      </c>
      <c r="H1013" s="62" t="s">
        <v>138</v>
      </c>
    </row>
    <row r="1014" customFormat="false" ht="15" hidden="false" customHeight="false" outlineLevel="0" collapsed="false">
      <c r="A1014" s="62" t="n">
        <v>0</v>
      </c>
      <c r="B1014" s="62" t="s">
        <v>383</v>
      </c>
      <c r="C1014" s="62" t="s">
        <v>60</v>
      </c>
      <c r="D1014" s="62" t="s">
        <v>72</v>
      </c>
      <c r="E1014" s="62" t="s">
        <v>382</v>
      </c>
      <c r="F1014" s="63" t="s">
        <v>409</v>
      </c>
      <c r="G1014" s="64" t="n">
        <v>820162.339246045</v>
      </c>
      <c r="H1014" s="62" t="s">
        <v>138</v>
      </c>
    </row>
    <row r="1015" customFormat="false" ht="15" hidden="false" customHeight="false" outlineLevel="0" collapsed="false">
      <c r="A1015" s="62" t="n">
        <v>0</v>
      </c>
      <c r="B1015" s="62" t="s">
        <v>384</v>
      </c>
      <c r="C1015" s="62" t="s">
        <v>60</v>
      </c>
      <c r="D1015" s="62" t="s">
        <v>72</v>
      </c>
      <c r="E1015" s="62" t="s">
        <v>382</v>
      </c>
      <c r="F1015" s="63" t="s">
        <v>409</v>
      </c>
      <c r="G1015" s="64" t="n">
        <v>820162.339246045</v>
      </c>
      <c r="H1015" s="62" t="s">
        <v>138</v>
      </c>
    </row>
    <row r="1016" customFormat="false" ht="15" hidden="false" customHeight="false" outlineLevel="0" collapsed="false">
      <c r="A1016" s="62" t="n">
        <v>0</v>
      </c>
      <c r="B1016" s="62" t="s">
        <v>385</v>
      </c>
      <c r="C1016" s="62" t="s">
        <v>60</v>
      </c>
      <c r="D1016" s="62" t="s">
        <v>72</v>
      </c>
      <c r="E1016" s="62" t="s">
        <v>382</v>
      </c>
      <c r="F1016" s="63" t="s">
        <v>409</v>
      </c>
      <c r="G1016" s="64" t="n">
        <v>820162.339246045</v>
      </c>
      <c r="H1016" s="62" t="s">
        <v>138</v>
      </c>
    </row>
    <row r="1017" customFormat="false" ht="15" hidden="false" customHeight="false" outlineLevel="0" collapsed="false">
      <c r="A1017" s="62" t="n">
        <v>0</v>
      </c>
      <c r="B1017" s="62" t="s">
        <v>386</v>
      </c>
      <c r="C1017" s="62" t="s">
        <v>60</v>
      </c>
      <c r="D1017" s="62" t="s">
        <v>72</v>
      </c>
      <c r="E1017" s="62" t="s">
        <v>382</v>
      </c>
      <c r="F1017" s="63" t="s">
        <v>409</v>
      </c>
      <c r="G1017" s="64" t="n">
        <v>820162.339246045</v>
      </c>
      <c r="H1017" s="62" t="s">
        <v>138</v>
      </c>
    </row>
    <row r="1018" customFormat="false" ht="15" hidden="false" customHeight="false" outlineLevel="0" collapsed="false">
      <c r="A1018" s="62" t="n">
        <v>0</v>
      </c>
      <c r="B1018" s="62" t="s">
        <v>387</v>
      </c>
      <c r="C1018" s="62" t="s">
        <v>60</v>
      </c>
      <c r="D1018" s="62" t="s">
        <v>72</v>
      </c>
      <c r="E1018" s="62" t="s">
        <v>382</v>
      </c>
      <c r="F1018" s="63" t="s">
        <v>409</v>
      </c>
      <c r="G1018" s="64" t="n">
        <v>820162.339246045</v>
      </c>
      <c r="H1018" s="62" t="s">
        <v>138</v>
      </c>
    </row>
    <row r="1019" customFormat="false" ht="15" hidden="false" customHeight="false" outlineLevel="0" collapsed="false">
      <c r="A1019" s="62" t="n">
        <v>0</v>
      </c>
      <c r="B1019" s="62" t="s">
        <v>388</v>
      </c>
      <c r="C1019" s="62" t="s">
        <v>60</v>
      </c>
      <c r="D1019" s="62" t="s">
        <v>72</v>
      </c>
      <c r="E1019" s="62" t="s">
        <v>382</v>
      </c>
      <c r="F1019" s="63" t="s">
        <v>409</v>
      </c>
      <c r="G1019" s="64" t="n">
        <v>820162.339246045</v>
      </c>
      <c r="H1019" s="62" t="s">
        <v>138</v>
      </c>
    </row>
    <row r="1020" customFormat="false" ht="15" hidden="false" customHeight="false" outlineLevel="0" collapsed="false">
      <c r="A1020" s="62" t="n">
        <v>0</v>
      </c>
      <c r="B1020" s="62" t="s">
        <v>381</v>
      </c>
      <c r="C1020" s="62" t="s">
        <v>60</v>
      </c>
      <c r="D1020" s="62" t="s">
        <v>72</v>
      </c>
      <c r="E1020" s="62" t="s">
        <v>382</v>
      </c>
      <c r="F1020" s="63" t="s">
        <v>410</v>
      </c>
      <c r="G1020" s="64" t="n">
        <v>221443.831596432</v>
      </c>
      <c r="H1020" s="62" t="s">
        <v>138</v>
      </c>
    </row>
    <row r="1021" customFormat="false" ht="15" hidden="false" customHeight="false" outlineLevel="0" collapsed="false">
      <c r="A1021" s="62" t="n">
        <v>0</v>
      </c>
      <c r="B1021" s="62" t="s">
        <v>383</v>
      </c>
      <c r="C1021" s="62" t="s">
        <v>60</v>
      </c>
      <c r="D1021" s="62" t="s">
        <v>72</v>
      </c>
      <c r="E1021" s="62" t="s">
        <v>382</v>
      </c>
      <c r="F1021" s="63" t="s">
        <v>410</v>
      </c>
      <c r="G1021" s="64" t="n">
        <v>221443.831596432</v>
      </c>
      <c r="H1021" s="62" t="s">
        <v>138</v>
      </c>
    </row>
    <row r="1022" customFormat="false" ht="15" hidden="false" customHeight="false" outlineLevel="0" collapsed="false">
      <c r="A1022" s="62" t="n">
        <v>0</v>
      </c>
      <c r="B1022" s="62" t="s">
        <v>384</v>
      </c>
      <c r="C1022" s="62" t="s">
        <v>60</v>
      </c>
      <c r="D1022" s="62" t="s">
        <v>72</v>
      </c>
      <c r="E1022" s="62" t="s">
        <v>382</v>
      </c>
      <c r="F1022" s="63" t="s">
        <v>410</v>
      </c>
      <c r="G1022" s="64" t="n">
        <v>221443.831596432</v>
      </c>
      <c r="H1022" s="62" t="s">
        <v>138</v>
      </c>
    </row>
    <row r="1023" customFormat="false" ht="15" hidden="false" customHeight="false" outlineLevel="0" collapsed="false">
      <c r="A1023" s="62" t="n">
        <v>0</v>
      </c>
      <c r="B1023" s="62" t="s">
        <v>385</v>
      </c>
      <c r="C1023" s="62" t="s">
        <v>60</v>
      </c>
      <c r="D1023" s="62" t="s">
        <v>72</v>
      </c>
      <c r="E1023" s="62" t="s">
        <v>382</v>
      </c>
      <c r="F1023" s="63" t="s">
        <v>410</v>
      </c>
      <c r="G1023" s="64" t="n">
        <v>221443.831596432</v>
      </c>
      <c r="H1023" s="62" t="s">
        <v>138</v>
      </c>
    </row>
    <row r="1024" customFormat="false" ht="15" hidden="false" customHeight="false" outlineLevel="0" collapsed="false">
      <c r="A1024" s="62" t="n">
        <v>0</v>
      </c>
      <c r="B1024" s="62" t="s">
        <v>386</v>
      </c>
      <c r="C1024" s="62" t="s">
        <v>60</v>
      </c>
      <c r="D1024" s="62" t="s">
        <v>72</v>
      </c>
      <c r="E1024" s="62" t="s">
        <v>382</v>
      </c>
      <c r="F1024" s="63" t="s">
        <v>410</v>
      </c>
      <c r="G1024" s="64" t="n">
        <v>221443.831596432</v>
      </c>
      <c r="H1024" s="62" t="s">
        <v>138</v>
      </c>
    </row>
    <row r="1025" customFormat="false" ht="15" hidden="false" customHeight="false" outlineLevel="0" collapsed="false">
      <c r="A1025" s="62" t="n">
        <v>0</v>
      </c>
      <c r="B1025" s="62" t="s">
        <v>387</v>
      </c>
      <c r="C1025" s="62" t="s">
        <v>60</v>
      </c>
      <c r="D1025" s="62" t="s">
        <v>72</v>
      </c>
      <c r="E1025" s="62" t="s">
        <v>382</v>
      </c>
      <c r="F1025" s="63" t="s">
        <v>410</v>
      </c>
      <c r="G1025" s="64" t="n">
        <v>221443.831596432</v>
      </c>
      <c r="H1025" s="62" t="s">
        <v>138</v>
      </c>
    </row>
    <row r="1026" customFormat="false" ht="15" hidden="false" customHeight="false" outlineLevel="0" collapsed="false">
      <c r="A1026" s="62" t="n">
        <v>0</v>
      </c>
      <c r="B1026" s="62" t="s">
        <v>388</v>
      </c>
      <c r="C1026" s="62" t="s">
        <v>60</v>
      </c>
      <c r="D1026" s="62" t="s">
        <v>72</v>
      </c>
      <c r="E1026" s="62" t="s">
        <v>382</v>
      </c>
      <c r="F1026" s="63" t="s">
        <v>410</v>
      </c>
      <c r="G1026" s="64" t="n">
        <v>221443.831596432</v>
      </c>
      <c r="H1026" s="62" t="s">
        <v>138</v>
      </c>
    </row>
    <row r="1027" customFormat="false" ht="15" hidden="false" customHeight="false" outlineLevel="0" collapsed="false">
      <c r="A1027" s="62" t="n">
        <v>0</v>
      </c>
      <c r="B1027" s="62" t="s">
        <v>381</v>
      </c>
      <c r="C1027" s="62" t="s">
        <v>60</v>
      </c>
      <c r="D1027" s="62" t="s">
        <v>72</v>
      </c>
      <c r="E1027" s="62" t="s">
        <v>382</v>
      </c>
      <c r="F1027" s="63" t="s">
        <v>411</v>
      </c>
      <c r="G1027" s="64" t="n">
        <v>598718.507649613</v>
      </c>
      <c r="H1027" s="62" t="s">
        <v>138</v>
      </c>
    </row>
    <row r="1028" customFormat="false" ht="15" hidden="false" customHeight="false" outlineLevel="0" collapsed="false">
      <c r="A1028" s="62" t="n">
        <v>0</v>
      </c>
      <c r="B1028" s="62" t="s">
        <v>383</v>
      </c>
      <c r="C1028" s="62" t="s">
        <v>60</v>
      </c>
      <c r="D1028" s="62" t="s">
        <v>72</v>
      </c>
      <c r="E1028" s="62" t="s">
        <v>382</v>
      </c>
      <c r="F1028" s="63" t="s">
        <v>411</v>
      </c>
      <c r="G1028" s="64" t="n">
        <v>598718.507649613</v>
      </c>
      <c r="H1028" s="62" t="s">
        <v>138</v>
      </c>
    </row>
    <row r="1029" customFormat="false" ht="15" hidden="false" customHeight="false" outlineLevel="0" collapsed="false">
      <c r="A1029" s="62" t="n">
        <v>0</v>
      </c>
      <c r="B1029" s="62" t="s">
        <v>384</v>
      </c>
      <c r="C1029" s="62" t="s">
        <v>60</v>
      </c>
      <c r="D1029" s="62" t="s">
        <v>72</v>
      </c>
      <c r="E1029" s="62" t="s">
        <v>382</v>
      </c>
      <c r="F1029" s="63" t="s">
        <v>411</v>
      </c>
      <c r="G1029" s="64" t="n">
        <v>598718.507649613</v>
      </c>
      <c r="H1029" s="62" t="s">
        <v>138</v>
      </c>
    </row>
    <row r="1030" customFormat="false" ht="15" hidden="false" customHeight="false" outlineLevel="0" collapsed="false">
      <c r="A1030" s="62" t="n">
        <v>0</v>
      </c>
      <c r="B1030" s="62" t="s">
        <v>385</v>
      </c>
      <c r="C1030" s="62" t="s">
        <v>60</v>
      </c>
      <c r="D1030" s="62" t="s">
        <v>72</v>
      </c>
      <c r="E1030" s="62" t="s">
        <v>382</v>
      </c>
      <c r="F1030" s="63" t="s">
        <v>411</v>
      </c>
      <c r="G1030" s="64" t="n">
        <v>598718.507649613</v>
      </c>
      <c r="H1030" s="62" t="s">
        <v>138</v>
      </c>
    </row>
    <row r="1031" customFormat="false" ht="15" hidden="false" customHeight="false" outlineLevel="0" collapsed="false">
      <c r="A1031" s="62" t="n">
        <v>0</v>
      </c>
      <c r="B1031" s="62" t="s">
        <v>386</v>
      </c>
      <c r="C1031" s="62" t="s">
        <v>60</v>
      </c>
      <c r="D1031" s="62" t="s">
        <v>72</v>
      </c>
      <c r="E1031" s="62" t="s">
        <v>382</v>
      </c>
      <c r="F1031" s="63" t="s">
        <v>411</v>
      </c>
      <c r="G1031" s="64" t="n">
        <v>598718.507649613</v>
      </c>
      <c r="H1031" s="62" t="s">
        <v>138</v>
      </c>
    </row>
    <row r="1032" customFormat="false" ht="15" hidden="false" customHeight="false" outlineLevel="0" collapsed="false">
      <c r="A1032" s="62" t="n">
        <v>0</v>
      </c>
      <c r="B1032" s="62" t="s">
        <v>387</v>
      </c>
      <c r="C1032" s="62" t="s">
        <v>60</v>
      </c>
      <c r="D1032" s="62" t="s">
        <v>72</v>
      </c>
      <c r="E1032" s="62" t="s">
        <v>382</v>
      </c>
      <c r="F1032" s="63" t="s">
        <v>411</v>
      </c>
      <c r="G1032" s="64" t="n">
        <v>598718.507649613</v>
      </c>
      <c r="H1032" s="62" t="s">
        <v>138</v>
      </c>
    </row>
    <row r="1033" customFormat="false" ht="15" hidden="false" customHeight="false" outlineLevel="0" collapsed="false">
      <c r="A1033" s="62" t="n">
        <v>0</v>
      </c>
      <c r="B1033" s="62" t="s">
        <v>388</v>
      </c>
      <c r="C1033" s="62" t="s">
        <v>60</v>
      </c>
      <c r="D1033" s="62" t="s">
        <v>72</v>
      </c>
      <c r="E1033" s="62" t="s">
        <v>382</v>
      </c>
      <c r="F1033" s="63" t="s">
        <v>411</v>
      </c>
      <c r="G1033" s="64" t="n">
        <v>598718.507649613</v>
      </c>
      <c r="H1033" s="62" t="s">
        <v>138</v>
      </c>
    </row>
    <row r="1034" customFormat="false" ht="15" hidden="false" customHeight="false" outlineLevel="0" collapsed="false">
      <c r="A1034" s="62" t="n">
        <v>0</v>
      </c>
      <c r="B1034" s="62" t="s">
        <v>381</v>
      </c>
      <c r="C1034" s="62" t="s">
        <v>60</v>
      </c>
      <c r="D1034" s="62" t="s">
        <v>72</v>
      </c>
      <c r="E1034" s="62" t="s">
        <v>382</v>
      </c>
      <c r="F1034" s="63" t="s">
        <v>412</v>
      </c>
      <c r="G1034" s="64" t="n">
        <v>0</v>
      </c>
      <c r="H1034" s="62" t="s">
        <v>138</v>
      </c>
    </row>
    <row r="1035" customFormat="false" ht="15" hidden="false" customHeight="false" outlineLevel="0" collapsed="false">
      <c r="A1035" s="62" t="n">
        <v>0</v>
      </c>
      <c r="B1035" s="62" t="s">
        <v>383</v>
      </c>
      <c r="C1035" s="62" t="s">
        <v>60</v>
      </c>
      <c r="D1035" s="62" t="s">
        <v>72</v>
      </c>
      <c r="E1035" s="62" t="s">
        <v>382</v>
      </c>
      <c r="F1035" s="63" t="s">
        <v>412</v>
      </c>
      <c r="G1035" s="64" t="n">
        <v>0</v>
      </c>
      <c r="H1035" s="62" t="s">
        <v>138</v>
      </c>
    </row>
    <row r="1036" customFormat="false" ht="15" hidden="false" customHeight="false" outlineLevel="0" collapsed="false">
      <c r="A1036" s="62" t="n">
        <v>0</v>
      </c>
      <c r="B1036" s="62" t="s">
        <v>384</v>
      </c>
      <c r="C1036" s="62" t="s">
        <v>60</v>
      </c>
      <c r="D1036" s="62" t="s">
        <v>72</v>
      </c>
      <c r="E1036" s="62" t="s">
        <v>382</v>
      </c>
      <c r="F1036" s="63" t="s">
        <v>412</v>
      </c>
      <c r="G1036" s="64" t="n">
        <v>0</v>
      </c>
      <c r="H1036" s="62" t="s">
        <v>138</v>
      </c>
    </row>
    <row r="1037" customFormat="false" ht="15" hidden="false" customHeight="false" outlineLevel="0" collapsed="false">
      <c r="A1037" s="62" t="n">
        <v>0</v>
      </c>
      <c r="B1037" s="62" t="s">
        <v>385</v>
      </c>
      <c r="C1037" s="62" t="s">
        <v>60</v>
      </c>
      <c r="D1037" s="62" t="s">
        <v>72</v>
      </c>
      <c r="E1037" s="62" t="s">
        <v>382</v>
      </c>
      <c r="F1037" s="63" t="s">
        <v>412</v>
      </c>
      <c r="G1037" s="64" t="n">
        <v>0</v>
      </c>
      <c r="H1037" s="62" t="s">
        <v>138</v>
      </c>
    </row>
    <row r="1038" customFormat="false" ht="15" hidden="false" customHeight="false" outlineLevel="0" collapsed="false">
      <c r="A1038" s="62" t="n">
        <v>0</v>
      </c>
      <c r="B1038" s="62" t="s">
        <v>386</v>
      </c>
      <c r="C1038" s="62" t="s">
        <v>60</v>
      </c>
      <c r="D1038" s="62" t="s">
        <v>72</v>
      </c>
      <c r="E1038" s="62" t="s">
        <v>382</v>
      </c>
      <c r="F1038" s="63" t="s">
        <v>412</v>
      </c>
      <c r="G1038" s="64" t="n">
        <v>0</v>
      </c>
      <c r="H1038" s="62" t="s">
        <v>138</v>
      </c>
    </row>
    <row r="1039" customFormat="false" ht="15" hidden="false" customHeight="false" outlineLevel="0" collapsed="false">
      <c r="A1039" s="62" t="n">
        <v>0</v>
      </c>
      <c r="B1039" s="62" t="s">
        <v>387</v>
      </c>
      <c r="C1039" s="62" t="s">
        <v>60</v>
      </c>
      <c r="D1039" s="62" t="s">
        <v>72</v>
      </c>
      <c r="E1039" s="62" t="s">
        <v>382</v>
      </c>
      <c r="F1039" s="63" t="s">
        <v>412</v>
      </c>
      <c r="G1039" s="64" t="n">
        <v>0</v>
      </c>
      <c r="H1039" s="62" t="s">
        <v>138</v>
      </c>
    </row>
    <row r="1040" customFormat="false" ht="15" hidden="false" customHeight="false" outlineLevel="0" collapsed="false">
      <c r="A1040" s="62" t="n">
        <v>0</v>
      </c>
      <c r="B1040" s="62" t="s">
        <v>388</v>
      </c>
      <c r="C1040" s="62" t="s">
        <v>60</v>
      </c>
      <c r="D1040" s="62" t="s">
        <v>72</v>
      </c>
      <c r="E1040" s="62" t="s">
        <v>382</v>
      </c>
      <c r="F1040" s="63" t="s">
        <v>412</v>
      </c>
      <c r="G1040" s="64" t="n">
        <v>0</v>
      </c>
      <c r="H1040" s="62" t="s">
        <v>138</v>
      </c>
    </row>
    <row r="1041" customFormat="false" ht="15" hidden="false" customHeight="false" outlineLevel="0" collapsed="false">
      <c r="A1041" s="62" t="n">
        <v>0</v>
      </c>
      <c r="B1041" s="62" t="s">
        <v>381</v>
      </c>
      <c r="C1041" s="62" t="s">
        <v>60</v>
      </c>
      <c r="D1041" s="62" t="s">
        <v>72</v>
      </c>
      <c r="E1041" s="62" t="s">
        <v>382</v>
      </c>
      <c r="F1041" s="63" t="s">
        <v>414</v>
      </c>
      <c r="G1041" s="64" t="n">
        <v>656964</v>
      </c>
      <c r="H1041" s="62" t="s">
        <v>138</v>
      </c>
    </row>
    <row r="1042" customFormat="false" ht="15" hidden="false" customHeight="false" outlineLevel="0" collapsed="false">
      <c r="A1042" s="62" t="n">
        <v>0</v>
      </c>
      <c r="B1042" s="62" t="s">
        <v>383</v>
      </c>
      <c r="C1042" s="62" t="s">
        <v>60</v>
      </c>
      <c r="D1042" s="62" t="s">
        <v>72</v>
      </c>
      <c r="E1042" s="62" t="s">
        <v>382</v>
      </c>
      <c r="F1042" s="63" t="s">
        <v>414</v>
      </c>
      <c r="G1042" s="64" t="n">
        <v>656964</v>
      </c>
      <c r="H1042" s="62" t="s">
        <v>138</v>
      </c>
    </row>
    <row r="1043" customFormat="false" ht="15" hidden="false" customHeight="false" outlineLevel="0" collapsed="false">
      <c r="A1043" s="62" t="n">
        <v>0</v>
      </c>
      <c r="B1043" s="62" t="s">
        <v>384</v>
      </c>
      <c r="C1043" s="62" t="s">
        <v>60</v>
      </c>
      <c r="D1043" s="62" t="s">
        <v>72</v>
      </c>
      <c r="E1043" s="62" t="s">
        <v>382</v>
      </c>
      <c r="F1043" s="63" t="s">
        <v>414</v>
      </c>
      <c r="G1043" s="64" t="n">
        <v>656964</v>
      </c>
      <c r="H1043" s="62" t="s">
        <v>138</v>
      </c>
    </row>
    <row r="1044" customFormat="false" ht="15" hidden="false" customHeight="false" outlineLevel="0" collapsed="false">
      <c r="A1044" s="62" t="n">
        <v>0</v>
      </c>
      <c r="B1044" s="62" t="s">
        <v>385</v>
      </c>
      <c r="C1044" s="62" t="s">
        <v>60</v>
      </c>
      <c r="D1044" s="62" t="s">
        <v>72</v>
      </c>
      <c r="E1044" s="62" t="s">
        <v>382</v>
      </c>
      <c r="F1044" s="63" t="s">
        <v>414</v>
      </c>
      <c r="G1044" s="64" t="n">
        <v>656964</v>
      </c>
      <c r="H1044" s="62" t="s">
        <v>138</v>
      </c>
    </row>
    <row r="1045" customFormat="false" ht="15" hidden="false" customHeight="false" outlineLevel="0" collapsed="false">
      <c r="A1045" s="62" t="n">
        <v>0</v>
      </c>
      <c r="B1045" s="62" t="s">
        <v>386</v>
      </c>
      <c r="C1045" s="62" t="s">
        <v>60</v>
      </c>
      <c r="D1045" s="62" t="s">
        <v>72</v>
      </c>
      <c r="E1045" s="62" t="s">
        <v>382</v>
      </c>
      <c r="F1045" s="63" t="s">
        <v>414</v>
      </c>
      <c r="G1045" s="64" t="n">
        <v>656964</v>
      </c>
      <c r="H1045" s="62" t="s">
        <v>138</v>
      </c>
    </row>
    <row r="1046" customFormat="false" ht="15" hidden="false" customHeight="false" outlineLevel="0" collapsed="false">
      <c r="A1046" s="62" t="n">
        <v>0</v>
      </c>
      <c r="B1046" s="62" t="s">
        <v>387</v>
      </c>
      <c r="C1046" s="62" t="s">
        <v>60</v>
      </c>
      <c r="D1046" s="62" t="s">
        <v>72</v>
      </c>
      <c r="E1046" s="62" t="s">
        <v>382</v>
      </c>
      <c r="F1046" s="63" t="s">
        <v>414</v>
      </c>
      <c r="G1046" s="64" t="n">
        <v>656964</v>
      </c>
      <c r="H1046" s="62" t="s">
        <v>138</v>
      </c>
    </row>
    <row r="1047" customFormat="false" ht="15" hidden="false" customHeight="false" outlineLevel="0" collapsed="false">
      <c r="A1047" s="62" t="n">
        <v>0</v>
      </c>
      <c r="B1047" s="62" t="s">
        <v>388</v>
      </c>
      <c r="C1047" s="62" t="s">
        <v>60</v>
      </c>
      <c r="D1047" s="62" t="s">
        <v>72</v>
      </c>
      <c r="E1047" s="62" t="s">
        <v>382</v>
      </c>
      <c r="F1047" s="63" t="s">
        <v>414</v>
      </c>
      <c r="G1047" s="64" t="n">
        <v>656964</v>
      </c>
      <c r="H1047" s="62" t="s">
        <v>138</v>
      </c>
    </row>
    <row r="1048" customFormat="false" ht="15" hidden="false" customHeight="false" outlineLevel="0" collapsed="false">
      <c r="A1048" s="62" t="n">
        <v>0</v>
      </c>
      <c r="B1048" s="62" t="s">
        <v>381</v>
      </c>
      <c r="C1048" s="62" t="s">
        <v>60</v>
      </c>
      <c r="D1048" s="62" t="s">
        <v>72</v>
      </c>
      <c r="E1048" s="62" t="s">
        <v>382</v>
      </c>
      <c r="F1048" s="63" t="s">
        <v>415</v>
      </c>
      <c r="G1048" s="64" t="n">
        <v>1178203.83474677</v>
      </c>
      <c r="H1048" s="62" t="s">
        <v>138</v>
      </c>
    </row>
    <row r="1049" customFormat="false" ht="15" hidden="false" customHeight="false" outlineLevel="0" collapsed="false">
      <c r="A1049" s="62" t="n">
        <v>0</v>
      </c>
      <c r="B1049" s="62" t="s">
        <v>383</v>
      </c>
      <c r="C1049" s="62" t="s">
        <v>60</v>
      </c>
      <c r="D1049" s="62" t="s">
        <v>72</v>
      </c>
      <c r="E1049" s="62" t="s">
        <v>382</v>
      </c>
      <c r="F1049" s="63" t="s">
        <v>415</v>
      </c>
      <c r="G1049" s="64" t="n">
        <v>1178203.83474677</v>
      </c>
      <c r="H1049" s="62" t="s">
        <v>138</v>
      </c>
    </row>
    <row r="1050" customFormat="false" ht="15" hidden="false" customHeight="false" outlineLevel="0" collapsed="false">
      <c r="A1050" s="62" t="n">
        <v>0</v>
      </c>
      <c r="B1050" s="62" t="s">
        <v>384</v>
      </c>
      <c r="C1050" s="62" t="s">
        <v>60</v>
      </c>
      <c r="D1050" s="62" t="s">
        <v>72</v>
      </c>
      <c r="E1050" s="62" t="s">
        <v>382</v>
      </c>
      <c r="F1050" s="63" t="s">
        <v>415</v>
      </c>
      <c r="G1050" s="64" t="n">
        <v>1178203.83474677</v>
      </c>
      <c r="H1050" s="62" t="s">
        <v>138</v>
      </c>
    </row>
    <row r="1051" customFormat="false" ht="15" hidden="false" customHeight="false" outlineLevel="0" collapsed="false">
      <c r="A1051" s="62" t="n">
        <v>0</v>
      </c>
      <c r="B1051" s="62" t="s">
        <v>385</v>
      </c>
      <c r="C1051" s="62" t="s">
        <v>60</v>
      </c>
      <c r="D1051" s="62" t="s">
        <v>72</v>
      </c>
      <c r="E1051" s="62" t="s">
        <v>382</v>
      </c>
      <c r="F1051" s="63" t="s">
        <v>415</v>
      </c>
      <c r="G1051" s="64" t="n">
        <v>1178203.83474677</v>
      </c>
      <c r="H1051" s="62" t="s">
        <v>138</v>
      </c>
    </row>
    <row r="1052" customFormat="false" ht="15" hidden="false" customHeight="false" outlineLevel="0" collapsed="false">
      <c r="A1052" s="62" t="n">
        <v>0</v>
      </c>
      <c r="B1052" s="62" t="s">
        <v>386</v>
      </c>
      <c r="C1052" s="62" t="s">
        <v>60</v>
      </c>
      <c r="D1052" s="62" t="s">
        <v>72</v>
      </c>
      <c r="E1052" s="62" t="s">
        <v>382</v>
      </c>
      <c r="F1052" s="63" t="s">
        <v>415</v>
      </c>
      <c r="G1052" s="64" t="n">
        <v>1178203.83474677</v>
      </c>
      <c r="H1052" s="62" t="s">
        <v>138</v>
      </c>
    </row>
    <row r="1053" customFormat="false" ht="15" hidden="false" customHeight="false" outlineLevel="0" collapsed="false">
      <c r="A1053" s="62" t="n">
        <v>0</v>
      </c>
      <c r="B1053" s="62" t="s">
        <v>387</v>
      </c>
      <c r="C1053" s="62" t="s">
        <v>60</v>
      </c>
      <c r="D1053" s="62" t="s">
        <v>72</v>
      </c>
      <c r="E1053" s="62" t="s">
        <v>382</v>
      </c>
      <c r="F1053" s="63" t="s">
        <v>415</v>
      </c>
      <c r="G1053" s="64" t="n">
        <v>1178203.83474677</v>
      </c>
      <c r="H1053" s="62" t="s">
        <v>138</v>
      </c>
    </row>
    <row r="1054" customFormat="false" ht="15" hidden="false" customHeight="false" outlineLevel="0" collapsed="false">
      <c r="A1054" s="62" t="n">
        <v>0</v>
      </c>
      <c r="B1054" s="62" t="s">
        <v>388</v>
      </c>
      <c r="C1054" s="62" t="s">
        <v>60</v>
      </c>
      <c r="D1054" s="62" t="s">
        <v>72</v>
      </c>
      <c r="E1054" s="62" t="s">
        <v>382</v>
      </c>
      <c r="F1054" s="63" t="s">
        <v>415</v>
      </c>
      <c r="G1054" s="64" t="n">
        <v>1178203.83474677</v>
      </c>
      <c r="H1054" s="62" t="s">
        <v>138</v>
      </c>
    </row>
    <row r="1055" customFormat="false" ht="15" hidden="false" customHeight="false" outlineLevel="0" collapsed="false">
      <c r="A1055" s="62" t="n">
        <v>0</v>
      </c>
      <c r="B1055" s="62" t="s">
        <v>381</v>
      </c>
      <c r="C1055" s="62" t="s">
        <v>60</v>
      </c>
      <c r="D1055" s="62" t="s">
        <v>72</v>
      </c>
      <c r="E1055" s="62" t="s">
        <v>382</v>
      </c>
      <c r="F1055" s="63" t="s">
        <v>416</v>
      </c>
      <c r="G1055" s="64" t="n">
        <v>1835167.83474677</v>
      </c>
      <c r="H1055" s="62" t="s">
        <v>138</v>
      </c>
    </row>
    <row r="1056" customFormat="false" ht="15" hidden="false" customHeight="false" outlineLevel="0" collapsed="false">
      <c r="A1056" s="62" t="n">
        <v>0</v>
      </c>
      <c r="B1056" s="62" t="s">
        <v>383</v>
      </c>
      <c r="C1056" s="62" t="s">
        <v>60</v>
      </c>
      <c r="D1056" s="62" t="s">
        <v>72</v>
      </c>
      <c r="E1056" s="62" t="s">
        <v>382</v>
      </c>
      <c r="F1056" s="63" t="s">
        <v>416</v>
      </c>
      <c r="G1056" s="64" t="n">
        <v>1835167.83474677</v>
      </c>
      <c r="H1056" s="62" t="s">
        <v>138</v>
      </c>
    </row>
    <row r="1057" customFormat="false" ht="15" hidden="false" customHeight="false" outlineLevel="0" collapsed="false">
      <c r="A1057" s="62" t="n">
        <v>0</v>
      </c>
      <c r="B1057" s="62" t="s">
        <v>384</v>
      </c>
      <c r="C1057" s="62" t="s">
        <v>60</v>
      </c>
      <c r="D1057" s="62" t="s">
        <v>72</v>
      </c>
      <c r="E1057" s="62" t="s">
        <v>382</v>
      </c>
      <c r="F1057" s="63" t="s">
        <v>416</v>
      </c>
      <c r="G1057" s="64" t="n">
        <v>1835167.83474677</v>
      </c>
      <c r="H1057" s="62" t="s">
        <v>138</v>
      </c>
    </row>
    <row r="1058" customFormat="false" ht="15" hidden="false" customHeight="false" outlineLevel="0" collapsed="false">
      <c r="A1058" s="62" t="n">
        <v>0</v>
      </c>
      <c r="B1058" s="62" t="s">
        <v>385</v>
      </c>
      <c r="C1058" s="62" t="s">
        <v>60</v>
      </c>
      <c r="D1058" s="62" t="s">
        <v>72</v>
      </c>
      <c r="E1058" s="62" t="s">
        <v>382</v>
      </c>
      <c r="F1058" s="63" t="s">
        <v>416</v>
      </c>
      <c r="G1058" s="64" t="n">
        <v>1835167.83474677</v>
      </c>
      <c r="H1058" s="62" t="s">
        <v>138</v>
      </c>
    </row>
    <row r="1059" customFormat="false" ht="15" hidden="false" customHeight="false" outlineLevel="0" collapsed="false">
      <c r="A1059" s="62" t="n">
        <v>0</v>
      </c>
      <c r="B1059" s="62" t="s">
        <v>386</v>
      </c>
      <c r="C1059" s="62" t="s">
        <v>60</v>
      </c>
      <c r="D1059" s="62" t="s">
        <v>72</v>
      </c>
      <c r="E1059" s="62" t="s">
        <v>382</v>
      </c>
      <c r="F1059" s="63" t="s">
        <v>416</v>
      </c>
      <c r="G1059" s="64" t="n">
        <v>1835167.83474677</v>
      </c>
      <c r="H1059" s="62" t="s">
        <v>138</v>
      </c>
    </row>
    <row r="1060" customFormat="false" ht="15" hidden="false" customHeight="false" outlineLevel="0" collapsed="false">
      <c r="A1060" s="62" t="n">
        <v>0</v>
      </c>
      <c r="B1060" s="62" t="s">
        <v>387</v>
      </c>
      <c r="C1060" s="62" t="s">
        <v>60</v>
      </c>
      <c r="D1060" s="62" t="s">
        <v>72</v>
      </c>
      <c r="E1060" s="62" t="s">
        <v>382</v>
      </c>
      <c r="F1060" s="63" t="s">
        <v>416</v>
      </c>
      <c r="G1060" s="64" t="n">
        <v>1835167.83474677</v>
      </c>
      <c r="H1060" s="62" t="s">
        <v>138</v>
      </c>
    </row>
    <row r="1061" customFormat="false" ht="15" hidden="false" customHeight="false" outlineLevel="0" collapsed="false">
      <c r="A1061" s="62" t="n">
        <v>0</v>
      </c>
      <c r="B1061" s="62" t="s">
        <v>388</v>
      </c>
      <c r="C1061" s="62" t="s">
        <v>60</v>
      </c>
      <c r="D1061" s="62" t="s">
        <v>72</v>
      </c>
      <c r="E1061" s="62" t="s">
        <v>382</v>
      </c>
      <c r="F1061" s="63" t="s">
        <v>416</v>
      </c>
      <c r="G1061" s="64" t="n">
        <v>1835167.83474677</v>
      </c>
      <c r="H1061" s="62" t="s">
        <v>138</v>
      </c>
    </row>
    <row r="1062" customFormat="false" ht="15" hidden="false" customHeight="false" outlineLevel="0" collapsed="false">
      <c r="A1062" s="62" t="n">
        <v>0</v>
      </c>
      <c r="B1062" s="62" t="s">
        <v>381</v>
      </c>
      <c r="C1062" s="62" t="s">
        <v>60</v>
      </c>
      <c r="D1062" s="62" t="s">
        <v>72</v>
      </c>
      <c r="E1062" s="62" t="s">
        <v>382</v>
      </c>
      <c r="F1062" s="63" t="s">
        <v>396</v>
      </c>
      <c r="G1062" s="64" t="n">
        <v>750000</v>
      </c>
      <c r="H1062" s="62" t="s">
        <v>138</v>
      </c>
    </row>
    <row r="1063" customFormat="false" ht="15" hidden="false" customHeight="false" outlineLevel="0" collapsed="false">
      <c r="A1063" s="62" t="n">
        <v>0</v>
      </c>
      <c r="B1063" s="62" t="s">
        <v>383</v>
      </c>
      <c r="C1063" s="62" t="s">
        <v>60</v>
      </c>
      <c r="D1063" s="62" t="s">
        <v>72</v>
      </c>
      <c r="E1063" s="62" t="s">
        <v>382</v>
      </c>
      <c r="F1063" s="63" t="s">
        <v>396</v>
      </c>
      <c r="G1063" s="64" t="n">
        <v>750000</v>
      </c>
      <c r="H1063" s="62" t="s">
        <v>138</v>
      </c>
    </row>
    <row r="1064" customFormat="false" ht="15" hidden="false" customHeight="false" outlineLevel="0" collapsed="false">
      <c r="A1064" s="62" t="n">
        <v>0</v>
      </c>
      <c r="B1064" s="62" t="s">
        <v>384</v>
      </c>
      <c r="C1064" s="62" t="s">
        <v>60</v>
      </c>
      <c r="D1064" s="62" t="s">
        <v>72</v>
      </c>
      <c r="E1064" s="62" t="s">
        <v>382</v>
      </c>
      <c r="F1064" s="63" t="s">
        <v>396</v>
      </c>
      <c r="G1064" s="64" t="n">
        <v>750000</v>
      </c>
      <c r="H1064" s="62" t="s">
        <v>138</v>
      </c>
    </row>
    <row r="1065" customFormat="false" ht="15" hidden="false" customHeight="false" outlineLevel="0" collapsed="false">
      <c r="A1065" s="62" t="n">
        <v>0</v>
      </c>
      <c r="B1065" s="62" t="s">
        <v>385</v>
      </c>
      <c r="C1065" s="62" t="s">
        <v>60</v>
      </c>
      <c r="D1065" s="62" t="s">
        <v>72</v>
      </c>
      <c r="E1065" s="62" t="s">
        <v>382</v>
      </c>
      <c r="F1065" s="63" t="s">
        <v>396</v>
      </c>
      <c r="G1065" s="64" t="n">
        <v>750000</v>
      </c>
      <c r="H1065" s="62" t="s">
        <v>138</v>
      </c>
    </row>
    <row r="1066" customFormat="false" ht="15" hidden="false" customHeight="false" outlineLevel="0" collapsed="false">
      <c r="A1066" s="62" t="n">
        <v>0</v>
      </c>
      <c r="B1066" s="62" t="s">
        <v>386</v>
      </c>
      <c r="C1066" s="62" t="s">
        <v>60</v>
      </c>
      <c r="D1066" s="62" t="s">
        <v>72</v>
      </c>
      <c r="E1066" s="62" t="s">
        <v>382</v>
      </c>
      <c r="F1066" s="63" t="s">
        <v>396</v>
      </c>
      <c r="G1066" s="64" t="n">
        <v>750000</v>
      </c>
      <c r="H1066" s="62" t="s">
        <v>138</v>
      </c>
    </row>
    <row r="1067" customFormat="false" ht="15" hidden="false" customHeight="false" outlineLevel="0" collapsed="false">
      <c r="A1067" s="62" t="n">
        <v>0</v>
      </c>
      <c r="B1067" s="62" t="s">
        <v>387</v>
      </c>
      <c r="C1067" s="62" t="s">
        <v>60</v>
      </c>
      <c r="D1067" s="62" t="s">
        <v>72</v>
      </c>
      <c r="E1067" s="62" t="s">
        <v>382</v>
      </c>
      <c r="F1067" s="63" t="s">
        <v>396</v>
      </c>
      <c r="G1067" s="64" t="n">
        <v>750000</v>
      </c>
      <c r="H1067" s="62" t="s">
        <v>138</v>
      </c>
    </row>
    <row r="1068" customFormat="false" ht="15" hidden="false" customHeight="false" outlineLevel="0" collapsed="false">
      <c r="A1068" s="62" t="n">
        <v>0</v>
      </c>
      <c r="B1068" s="62" t="s">
        <v>388</v>
      </c>
      <c r="C1068" s="62" t="s">
        <v>60</v>
      </c>
      <c r="D1068" s="62" t="s">
        <v>72</v>
      </c>
      <c r="E1068" s="62" t="s">
        <v>382</v>
      </c>
      <c r="F1068" s="63" t="s">
        <v>396</v>
      </c>
      <c r="G1068" s="64" t="n">
        <v>750000</v>
      </c>
      <c r="H1068" s="62" t="s">
        <v>138</v>
      </c>
    </row>
    <row r="1069" customFormat="false" ht="15" hidden="false" customHeight="false" outlineLevel="0" collapsed="false">
      <c r="A1069" s="62" t="n">
        <v>0</v>
      </c>
      <c r="B1069" s="62" t="s">
        <v>381</v>
      </c>
      <c r="C1069" s="62" t="s">
        <v>60</v>
      </c>
      <c r="D1069" s="62" t="s">
        <v>72</v>
      </c>
      <c r="E1069" s="62" t="s">
        <v>382</v>
      </c>
      <c r="F1069" s="63" t="s">
        <v>417</v>
      </c>
      <c r="G1069" s="64" t="n">
        <v>598718.507649613</v>
      </c>
      <c r="H1069" s="62" t="s">
        <v>138</v>
      </c>
    </row>
    <row r="1070" customFormat="false" ht="15" hidden="false" customHeight="false" outlineLevel="0" collapsed="false">
      <c r="A1070" s="62" t="n">
        <v>0</v>
      </c>
      <c r="B1070" s="62" t="s">
        <v>383</v>
      </c>
      <c r="C1070" s="62" t="s">
        <v>60</v>
      </c>
      <c r="D1070" s="62" t="s">
        <v>72</v>
      </c>
      <c r="E1070" s="62" t="s">
        <v>382</v>
      </c>
      <c r="F1070" s="63" t="s">
        <v>417</v>
      </c>
      <c r="G1070" s="64" t="n">
        <v>598718.507649613</v>
      </c>
      <c r="H1070" s="62" t="s">
        <v>138</v>
      </c>
    </row>
    <row r="1071" customFormat="false" ht="15" hidden="false" customHeight="false" outlineLevel="0" collapsed="false">
      <c r="A1071" s="62" t="n">
        <v>0</v>
      </c>
      <c r="B1071" s="62" t="s">
        <v>384</v>
      </c>
      <c r="C1071" s="62" t="s">
        <v>60</v>
      </c>
      <c r="D1071" s="62" t="s">
        <v>72</v>
      </c>
      <c r="E1071" s="62" t="s">
        <v>382</v>
      </c>
      <c r="F1071" s="63" t="s">
        <v>417</v>
      </c>
      <c r="G1071" s="64" t="n">
        <v>598718.507649613</v>
      </c>
      <c r="H1071" s="62" t="s">
        <v>138</v>
      </c>
    </row>
    <row r="1072" customFormat="false" ht="15" hidden="false" customHeight="false" outlineLevel="0" collapsed="false">
      <c r="A1072" s="62" t="n">
        <v>0</v>
      </c>
      <c r="B1072" s="62" t="s">
        <v>385</v>
      </c>
      <c r="C1072" s="62" t="s">
        <v>60</v>
      </c>
      <c r="D1072" s="62" t="s">
        <v>72</v>
      </c>
      <c r="E1072" s="62" t="s">
        <v>382</v>
      </c>
      <c r="F1072" s="63" t="s">
        <v>417</v>
      </c>
      <c r="G1072" s="64" t="n">
        <v>598718.507649613</v>
      </c>
      <c r="H1072" s="62" t="s">
        <v>138</v>
      </c>
    </row>
    <row r="1073" customFormat="false" ht="15" hidden="false" customHeight="false" outlineLevel="0" collapsed="false">
      <c r="A1073" s="62" t="n">
        <v>0</v>
      </c>
      <c r="B1073" s="62" t="s">
        <v>386</v>
      </c>
      <c r="C1073" s="62" t="s">
        <v>60</v>
      </c>
      <c r="D1073" s="62" t="s">
        <v>72</v>
      </c>
      <c r="E1073" s="62" t="s">
        <v>382</v>
      </c>
      <c r="F1073" s="63" t="s">
        <v>417</v>
      </c>
      <c r="G1073" s="64" t="n">
        <v>598718.507649613</v>
      </c>
      <c r="H1073" s="62" t="s">
        <v>138</v>
      </c>
    </row>
    <row r="1074" customFormat="false" ht="15" hidden="false" customHeight="false" outlineLevel="0" collapsed="false">
      <c r="A1074" s="62" t="n">
        <v>0</v>
      </c>
      <c r="B1074" s="62" t="s">
        <v>387</v>
      </c>
      <c r="C1074" s="62" t="s">
        <v>60</v>
      </c>
      <c r="D1074" s="62" t="s">
        <v>72</v>
      </c>
      <c r="E1074" s="62" t="s">
        <v>382</v>
      </c>
      <c r="F1074" s="63" t="s">
        <v>417</v>
      </c>
      <c r="G1074" s="64" t="n">
        <v>598718.507649613</v>
      </c>
      <c r="H1074" s="62" t="s">
        <v>138</v>
      </c>
    </row>
    <row r="1075" customFormat="false" ht="15" hidden="false" customHeight="false" outlineLevel="0" collapsed="false">
      <c r="A1075" s="62" t="n">
        <v>0</v>
      </c>
      <c r="B1075" s="62" t="s">
        <v>388</v>
      </c>
      <c r="C1075" s="62" t="s">
        <v>60</v>
      </c>
      <c r="D1075" s="62" t="s">
        <v>72</v>
      </c>
      <c r="E1075" s="62" t="s">
        <v>382</v>
      </c>
      <c r="F1075" s="63" t="s">
        <v>417</v>
      </c>
      <c r="G1075" s="64" t="n">
        <v>598718.507649613</v>
      </c>
      <c r="H1075" s="62" t="s">
        <v>138</v>
      </c>
    </row>
    <row r="1076" customFormat="false" ht="15" hidden="false" customHeight="false" outlineLevel="0" collapsed="false">
      <c r="A1076" s="62" t="n">
        <v>0</v>
      </c>
      <c r="B1076" s="62" t="s">
        <v>381</v>
      </c>
      <c r="C1076" s="62" t="s">
        <v>60</v>
      </c>
      <c r="D1076" s="62" t="s">
        <v>72</v>
      </c>
      <c r="E1076" s="62" t="s">
        <v>382</v>
      </c>
      <c r="F1076" s="63" t="s">
        <v>398</v>
      </c>
      <c r="G1076" s="64" t="n">
        <v>480444</v>
      </c>
      <c r="H1076" s="62" t="s">
        <v>138</v>
      </c>
    </row>
    <row r="1077" customFormat="false" ht="15" hidden="false" customHeight="false" outlineLevel="0" collapsed="false">
      <c r="A1077" s="62" t="n">
        <v>0</v>
      </c>
      <c r="B1077" s="62" t="s">
        <v>383</v>
      </c>
      <c r="C1077" s="62" t="s">
        <v>60</v>
      </c>
      <c r="D1077" s="62" t="s">
        <v>72</v>
      </c>
      <c r="E1077" s="62" t="s">
        <v>382</v>
      </c>
      <c r="F1077" s="63" t="s">
        <v>398</v>
      </c>
      <c r="G1077" s="64" t="n">
        <v>480444</v>
      </c>
      <c r="H1077" s="62" t="s">
        <v>138</v>
      </c>
    </row>
    <row r="1078" customFormat="false" ht="15" hidden="false" customHeight="false" outlineLevel="0" collapsed="false">
      <c r="A1078" s="62" t="n">
        <v>0</v>
      </c>
      <c r="B1078" s="62" t="s">
        <v>384</v>
      </c>
      <c r="C1078" s="62" t="s">
        <v>60</v>
      </c>
      <c r="D1078" s="62" t="s">
        <v>72</v>
      </c>
      <c r="E1078" s="62" t="s">
        <v>382</v>
      </c>
      <c r="F1078" s="63" t="s">
        <v>398</v>
      </c>
      <c r="G1078" s="64" t="n">
        <v>480444</v>
      </c>
      <c r="H1078" s="62" t="s">
        <v>138</v>
      </c>
    </row>
    <row r="1079" customFormat="false" ht="15" hidden="false" customHeight="false" outlineLevel="0" collapsed="false">
      <c r="A1079" s="62" t="n">
        <v>0</v>
      </c>
      <c r="B1079" s="62" t="s">
        <v>385</v>
      </c>
      <c r="C1079" s="62" t="s">
        <v>60</v>
      </c>
      <c r="D1079" s="62" t="s">
        <v>72</v>
      </c>
      <c r="E1079" s="62" t="s">
        <v>382</v>
      </c>
      <c r="F1079" s="63" t="s">
        <v>398</v>
      </c>
      <c r="G1079" s="64" t="n">
        <v>480444</v>
      </c>
      <c r="H1079" s="62" t="s">
        <v>138</v>
      </c>
    </row>
    <row r="1080" customFormat="false" ht="15" hidden="false" customHeight="false" outlineLevel="0" collapsed="false">
      <c r="A1080" s="62" t="n">
        <v>0</v>
      </c>
      <c r="B1080" s="62" t="s">
        <v>386</v>
      </c>
      <c r="C1080" s="62" t="s">
        <v>60</v>
      </c>
      <c r="D1080" s="62" t="s">
        <v>72</v>
      </c>
      <c r="E1080" s="62" t="s">
        <v>382</v>
      </c>
      <c r="F1080" s="63" t="s">
        <v>398</v>
      </c>
      <c r="G1080" s="64" t="n">
        <v>480444</v>
      </c>
      <c r="H1080" s="62" t="s">
        <v>138</v>
      </c>
    </row>
    <row r="1081" customFormat="false" ht="15" hidden="false" customHeight="false" outlineLevel="0" collapsed="false">
      <c r="A1081" s="62" t="n">
        <v>0</v>
      </c>
      <c r="B1081" s="62" t="s">
        <v>387</v>
      </c>
      <c r="C1081" s="62" t="s">
        <v>60</v>
      </c>
      <c r="D1081" s="62" t="s">
        <v>72</v>
      </c>
      <c r="E1081" s="62" t="s">
        <v>382</v>
      </c>
      <c r="F1081" s="63" t="s">
        <v>398</v>
      </c>
      <c r="G1081" s="64" t="n">
        <v>480444</v>
      </c>
      <c r="H1081" s="62" t="s">
        <v>138</v>
      </c>
    </row>
    <row r="1082" customFormat="false" ht="15" hidden="false" customHeight="false" outlineLevel="0" collapsed="false">
      <c r="A1082" s="62" t="n">
        <v>0</v>
      </c>
      <c r="B1082" s="62" t="s">
        <v>388</v>
      </c>
      <c r="C1082" s="62" t="s">
        <v>60</v>
      </c>
      <c r="D1082" s="62" t="s">
        <v>72</v>
      </c>
      <c r="E1082" s="62" t="s">
        <v>382</v>
      </c>
      <c r="F1082" s="63" t="s">
        <v>398</v>
      </c>
      <c r="G1082" s="64" t="n">
        <v>480444</v>
      </c>
      <c r="H1082" s="62" t="s">
        <v>138</v>
      </c>
    </row>
    <row r="1083" customFormat="false" ht="15" hidden="false" customHeight="false" outlineLevel="0" collapsed="false">
      <c r="A1083" s="62" t="n">
        <v>0</v>
      </c>
      <c r="B1083" s="62" t="s">
        <v>381</v>
      </c>
      <c r="C1083" s="62" t="s">
        <v>60</v>
      </c>
      <c r="D1083" s="62" t="s">
        <v>72</v>
      </c>
      <c r="E1083" s="62" t="s">
        <v>382</v>
      </c>
      <c r="F1083" s="63" t="s">
        <v>418</v>
      </c>
      <c r="G1083" s="64" t="n">
        <v>1829162.50764961</v>
      </c>
      <c r="H1083" s="62" t="s">
        <v>138</v>
      </c>
    </row>
    <row r="1084" customFormat="false" ht="15" hidden="false" customHeight="false" outlineLevel="0" collapsed="false">
      <c r="A1084" s="62" t="n">
        <v>0</v>
      </c>
      <c r="B1084" s="62" t="s">
        <v>383</v>
      </c>
      <c r="C1084" s="62" t="s">
        <v>60</v>
      </c>
      <c r="D1084" s="62" t="s">
        <v>72</v>
      </c>
      <c r="E1084" s="62" t="s">
        <v>382</v>
      </c>
      <c r="F1084" s="63" t="s">
        <v>418</v>
      </c>
      <c r="G1084" s="64" t="n">
        <v>1829162.50764961</v>
      </c>
      <c r="H1084" s="62" t="s">
        <v>138</v>
      </c>
    </row>
    <row r="1085" customFormat="false" ht="15" hidden="false" customHeight="false" outlineLevel="0" collapsed="false">
      <c r="A1085" s="62" t="n">
        <v>0</v>
      </c>
      <c r="B1085" s="62" t="s">
        <v>384</v>
      </c>
      <c r="C1085" s="62" t="s">
        <v>60</v>
      </c>
      <c r="D1085" s="62" t="s">
        <v>72</v>
      </c>
      <c r="E1085" s="62" t="s">
        <v>382</v>
      </c>
      <c r="F1085" s="63" t="s">
        <v>418</v>
      </c>
      <c r="G1085" s="64" t="n">
        <v>1829162.50764961</v>
      </c>
      <c r="H1085" s="62" t="s">
        <v>138</v>
      </c>
    </row>
    <row r="1086" customFormat="false" ht="15" hidden="false" customHeight="false" outlineLevel="0" collapsed="false">
      <c r="A1086" s="62" t="n">
        <v>0</v>
      </c>
      <c r="B1086" s="62" t="s">
        <v>385</v>
      </c>
      <c r="C1086" s="62" t="s">
        <v>60</v>
      </c>
      <c r="D1086" s="62" t="s">
        <v>72</v>
      </c>
      <c r="E1086" s="62" t="s">
        <v>382</v>
      </c>
      <c r="F1086" s="63" t="s">
        <v>418</v>
      </c>
      <c r="G1086" s="64" t="n">
        <v>1829162.50764961</v>
      </c>
      <c r="H1086" s="62" t="s">
        <v>138</v>
      </c>
    </row>
    <row r="1087" customFormat="false" ht="15" hidden="false" customHeight="false" outlineLevel="0" collapsed="false">
      <c r="A1087" s="62" t="n">
        <v>0</v>
      </c>
      <c r="B1087" s="62" t="s">
        <v>386</v>
      </c>
      <c r="C1087" s="62" t="s">
        <v>60</v>
      </c>
      <c r="D1087" s="62" t="s">
        <v>72</v>
      </c>
      <c r="E1087" s="62" t="s">
        <v>382</v>
      </c>
      <c r="F1087" s="63" t="s">
        <v>418</v>
      </c>
      <c r="G1087" s="64" t="n">
        <v>1829162.50764961</v>
      </c>
      <c r="H1087" s="62" t="s">
        <v>138</v>
      </c>
    </row>
    <row r="1088" customFormat="false" ht="15" hidden="false" customHeight="false" outlineLevel="0" collapsed="false">
      <c r="A1088" s="62" t="n">
        <v>0</v>
      </c>
      <c r="B1088" s="62" t="s">
        <v>387</v>
      </c>
      <c r="C1088" s="62" t="s">
        <v>60</v>
      </c>
      <c r="D1088" s="62" t="s">
        <v>72</v>
      </c>
      <c r="E1088" s="62" t="s">
        <v>382</v>
      </c>
      <c r="F1088" s="63" t="s">
        <v>418</v>
      </c>
      <c r="G1088" s="64" t="n">
        <v>1829162.50764961</v>
      </c>
      <c r="H1088" s="62" t="s">
        <v>138</v>
      </c>
    </row>
    <row r="1089" customFormat="false" ht="15" hidden="false" customHeight="false" outlineLevel="0" collapsed="false">
      <c r="A1089" s="62" t="n">
        <v>0</v>
      </c>
      <c r="B1089" s="62" t="s">
        <v>388</v>
      </c>
      <c r="C1089" s="62" t="s">
        <v>60</v>
      </c>
      <c r="D1089" s="62" t="s">
        <v>72</v>
      </c>
      <c r="E1089" s="62" t="s">
        <v>382</v>
      </c>
      <c r="F1089" s="63" t="s">
        <v>418</v>
      </c>
      <c r="G1089" s="64" t="n">
        <v>1829162.50764961</v>
      </c>
      <c r="H1089" s="62" t="s">
        <v>138</v>
      </c>
    </row>
    <row r="1090" customFormat="false" ht="15" hidden="false" customHeight="false" outlineLevel="0" collapsed="false">
      <c r="A1090" s="62" t="n">
        <v>0</v>
      </c>
      <c r="B1090" s="62" t="s">
        <v>381</v>
      </c>
      <c r="C1090" s="62" t="s">
        <v>60</v>
      </c>
      <c r="D1090" s="62" t="s">
        <v>72</v>
      </c>
      <c r="E1090" s="62" t="s">
        <v>382</v>
      </c>
      <c r="F1090" s="63" t="s">
        <v>420</v>
      </c>
      <c r="G1090" s="64" t="n">
        <v>0</v>
      </c>
      <c r="H1090" s="62" t="s">
        <v>138</v>
      </c>
    </row>
    <row r="1091" customFormat="false" ht="15" hidden="false" customHeight="false" outlineLevel="0" collapsed="false">
      <c r="A1091" s="62" t="n">
        <v>0</v>
      </c>
      <c r="B1091" s="62" t="s">
        <v>383</v>
      </c>
      <c r="C1091" s="62" t="s">
        <v>60</v>
      </c>
      <c r="D1091" s="62" t="s">
        <v>72</v>
      </c>
      <c r="E1091" s="62" t="s">
        <v>382</v>
      </c>
      <c r="F1091" s="63" t="s">
        <v>420</v>
      </c>
      <c r="G1091" s="64" t="n">
        <v>0</v>
      </c>
      <c r="H1091" s="62" t="s">
        <v>138</v>
      </c>
    </row>
    <row r="1092" customFormat="false" ht="15" hidden="false" customHeight="false" outlineLevel="0" collapsed="false">
      <c r="A1092" s="62" t="n">
        <v>0</v>
      </c>
      <c r="B1092" s="62" t="s">
        <v>384</v>
      </c>
      <c r="C1092" s="62" t="s">
        <v>60</v>
      </c>
      <c r="D1092" s="62" t="s">
        <v>72</v>
      </c>
      <c r="E1092" s="62" t="s">
        <v>382</v>
      </c>
      <c r="F1092" s="63" t="s">
        <v>420</v>
      </c>
      <c r="G1092" s="64" t="n">
        <v>0</v>
      </c>
      <c r="H1092" s="62" t="s">
        <v>138</v>
      </c>
    </row>
    <row r="1093" customFormat="false" ht="15" hidden="false" customHeight="false" outlineLevel="0" collapsed="false">
      <c r="A1093" s="62" t="n">
        <v>0</v>
      </c>
      <c r="B1093" s="62" t="s">
        <v>385</v>
      </c>
      <c r="C1093" s="62" t="s">
        <v>60</v>
      </c>
      <c r="D1093" s="62" t="s">
        <v>72</v>
      </c>
      <c r="E1093" s="62" t="s">
        <v>382</v>
      </c>
      <c r="F1093" s="63" t="s">
        <v>420</v>
      </c>
      <c r="G1093" s="64" t="n">
        <v>0</v>
      </c>
      <c r="H1093" s="62" t="s">
        <v>138</v>
      </c>
    </row>
    <row r="1094" customFormat="false" ht="15" hidden="false" customHeight="false" outlineLevel="0" collapsed="false">
      <c r="A1094" s="62" t="n">
        <v>0</v>
      </c>
      <c r="B1094" s="62" t="s">
        <v>386</v>
      </c>
      <c r="C1094" s="62" t="s">
        <v>60</v>
      </c>
      <c r="D1094" s="62" t="s">
        <v>72</v>
      </c>
      <c r="E1094" s="62" t="s">
        <v>382</v>
      </c>
      <c r="F1094" s="63" t="s">
        <v>420</v>
      </c>
      <c r="G1094" s="64" t="n">
        <v>0</v>
      </c>
      <c r="H1094" s="62" t="s">
        <v>138</v>
      </c>
    </row>
    <row r="1095" customFormat="false" ht="15" hidden="false" customHeight="false" outlineLevel="0" collapsed="false">
      <c r="A1095" s="62" t="n">
        <v>0</v>
      </c>
      <c r="B1095" s="62" t="s">
        <v>387</v>
      </c>
      <c r="C1095" s="62" t="s">
        <v>60</v>
      </c>
      <c r="D1095" s="62" t="s">
        <v>72</v>
      </c>
      <c r="E1095" s="62" t="s">
        <v>382</v>
      </c>
      <c r="F1095" s="63" t="s">
        <v>420</v>
      </c>
      <c r="G1095" s="64" t="n">
        <v>0</v>
      </c>
      <c r="H1095" s="62" t="s">
        <v>138</v>
      </c>
    </row>
    <row r="1096" customFormat="false" ht="15" hidden="false" customHeight="false" outlineLevel="0" collapsed="false">
      <c r="A1096" s="62" t="n">
        <v>0</v>
      </c>
      <c r="B1096" s="62" t="s">
        <v>388</v>
      </c>
      <c r="C1096" s="62" t="s">
        <v>60</v>
      </c>
      <c r="D1096" s="62" t="s">
        <v>72</v>
      </c>
      <c r="E1096" s="62" t="s">
        <v>382</v>
      </c>
      <c r="F1096" s="63" t="s">
        <v>420</v>
      </c>
      <c r="G1096" s="64" t="n">
        <v>0</v>
      </c>
      <c r="H1096" s="62" t="s">
        <v>138</v>
      </c>
    </row>
    <row r="1097" customFormat="false" ht="15" hidden="false" customHeight="false" outlineLevel="0" collapsed="false">
      <c r="A1097" s="62" t="n">
        <v>0</v>
      </c>
      <c r="B1097" s="62" t="s">
        <v>381</v>
      </c>
      <c r="C1097" s="62" t="s">
        <v>60</v>
      </c>
      <c r="D1097" s="62" t="s">
        <v>72</v>
      </c>
      <c r="E1097" s="62" t="s">
        <v>382</v>
      </c>
      <c r="F1097" s="63" t="s">
        <v>421</v>
      </c>
      <c r="G1097" s="64" t="n">
        <v>-100000</v>
      </c>
      <c r="H1097" s="62" t="s">
        <v>138</v>
      </c>
    </row>
    <row r="1098" customFormat="false" ht="15" hidden="false" customHeight="false" outlineLevel="0" collapsed="false">
      <c r="A1098" s="62" t="n">
        <v>0</v>
      </c>
      <c r="B1098" s="62" t="s">
        <v>383</v>
      </c>
      <c r="C1098" s="62" t="s">
        <v>60</v>
      </c>
      <c r="D1098" s="62" t="s">
        <v>72</v>
      </c>
      <c r="E1098" s="62" t="s">
        <v>382</v>
      </c>
      <c r="F1098" s="63" t="s">
        <v>421</v>
      </c>
      <c r="G1098" s="64" t="n">
        <v>-100000</v>
      </c>
      <c r="H1098" s="62" t="s">
        <v>138</v>
      </c>
    </row>
    <row r="1099" customFormat="false" ht="15" hidden="false" customHeight="false" outlineLevel="0" collapsed="false">
      <c r="A1099" s="62" t="n">
        <v>0</v>
      </c>
      <c r="B1099" s="62" t="s">
        <v>384</v>
      </c>
      <c r="C1099" s="62" t="s">
        <v>60</v>
      </c>
      <c r="D1099" s="62" t="s">
        <v>72</v>
      </c>
      <c r="E1099" s="62" t="s">
        <v>382</v>
      </c>
      <c r="F1099" s="63" t="s">
        <v>421</v>
      </c>
      <c r="G1099" s="64" t="n">
        <v>-100000</v>
      </c>
      <c r="H1099" s="62" t="s">
        <v>138</v>
      </c>
    </row>
    <row r="1100" customFormat="false" ht="15" hidden="false" customHeight="false" outlineLevel="0" collapsed="false">
      <c r="A1100" s="62" t="n">
        <v>0</v>
      </c>
      <c r="B1100" s="62" t="s">
        <v>385</v>
      </c>
      <c r="C1100" s="62" t="s">
        <v>60</v>
      </c>
      <c r="D1100" s="62" t="s">
        <v>72</v>
      </c>
      <c r="E1100" s="62" t="s">
        <v>382</v>
      </c>
      <c r="F1100" s="63" t="s">
        <v>421</v>
      </c>
      <c r="G1100" s="64" t="n">
        <v>-100000</v>
      </c>
      <c r="H1100" s="62" t="s">
        <v>138</v>
      </c>
    </row>
    <row r="1101" customFormat="false" ht="15" hidden="false" customHeight="false" outlineLevel="0" collapsed="false">
      <c r="A1101" s="62" t="n">
        <v>0</v>
      </c>
      <c r="B1101" s="62" t="s">
        <v>386</v>
      </c>
      <c r="C1101" s="62" t="s">
        <v>60</v>
      </c>
      <c r="D1101" s="62" t="s">
        <v>72</v>
      </c>
      <c r="E1101" s="62" t="s">
        <v>382</v>
      </c>
      <c r="F1101" s="63" t="s">
        <v>421</v>
      </c>
      <c r="G1101" s="64" t="n">
        <v>-100000</v>
      </c>
      <c r="H1101" s="62" t="s">
        <v>138</v>
      </c>
    </row>
    <row r="1102" customFormat="false" ht="15" hidden="false" customHeight="false" outlineLevel="0" collapsed="false">
      <c r="A1102" s="62" t="n">
        <v>0</v>
      </c>
      <c r="B1102" s="62" t="s">
        <v>387</v>
      </c>
      <c r="C1102" s="62" t="s">
        <v>60</v>
      </c>
      <c r="D1102" s="62" t="s">
        <v>72</v>
      </c>
      <c r="E1102" s="62" t="s">
        <v>382</v>
      </c>
      <c r="F1102" s="63" t="s">
        <v>421</v>
      </c>
      <c r="G1102" s="64" t="n">
        <v>-100000</v>
      </c>
      <c r="H1102" s="62" t="s">
        <v>138</v>
      </c>
    </row>
    <row r="1103" customFormat="false" ht="15" hidden="false" customHeight="false" outlineLevel="0" collapsed="false">
      <c r="A1103" s="62" t="n">
        <v>0</v>
      </c>
      <c r="B1103" s="62" t="s">
        <v>388</v>
      </c>
      <c r="C1103" s="62" t="s">
        <v>60</v>
      </c>
      <c r="D1103" s="62" t="s">
        <v>72</v>
      </c>
      <c r="E1103" s="62" t="s">
        <v>382</v>
      </c>
      <c r="F1103" s="63" t="s">
        <v>421</v>
      </c>
      <c r="G1103" s="64" t="n">
        <v>-100000</v>
      </c>
      <c r="H1103" s="62" t="s">
        <v>138</v>
      </c>
    </row>
    <row r="1104" customFormat="false" ht="15" hidden="false" customHeight="false" outlineLevel="0" collapsed="false">
      <c r="A1104" s="62" t="n">
        <v>0</v>
      </c>
      <c r="B1104" s="62" t="s">
        <v>381</v>
      </c>
      <c r="C1104" s="62" t="s">
        <v>60</v>
      </c>
      <c r="D1104" s="62" t="s">
        <v>72</v>
      </c>
      <c r="E1104" s="62" t="s">
        <v>382</v>
      </c>
      <c r="F1104" s="63" t="s">
        <v>422</v>
      </c>
      <c r="G1104" s="64" t="n">
        <v>106005.327097154</v>
      </c>
      <c r="H1104" s="62" t="s">
        <v>138</v>
      </c>
    </row>
    <row r="1105" customFormat="false" ht="15" hidden="false" customHeight="false" outlineLevel="0" collapsed="false">
      <c r="A1105" s="62" t="n">
        <v>0</v>
      </c>
      <c r="B1105" s="62" t="s">
        <v>383</v>
      </c>
      <c r="C1105" s="62" t="s">
        <v>60</v>
      </c>
      <c r="D1105" s="62" t="s">
        <v>72</v>
      </c>
      <c r="E1105" s="62" t="s">
        <v>382</v>
      </c>
      <c r="F1105" s="63" t="s">
        <v>422</v>
      </c>
      <c r="G1105" s="64" t="n">
        <v>106005.327097154</v>
      </c>
      <c r="H1105" s="62" t="s">
        <v>138</v>
      </c>
    </row>
    <row r="1106" customFormat="false" ht="15" hidden="false" customHeight="false" outlineLevel="0" collapsed="false">
      <c r="A1106" s="62" t="n">
        <v>0</v>
      </c>
      <c r="B1106" s="62" t="s">
        <v>384</v>
      </c>
      <c r="C1106" s="62" t="s">
        <v>60</v>
      </c>
      <c r="D1106" s="62" t="s">
        <v>72</v>
      </c>
      <c r="E1106" s="62" t="s">
        <v>382</v>
      </c>
      <c r="F1106" s="63" t="s">
        <v>422</v>
      </c>
      <c r="G1106" s="64" t="n">
        <v>106005.327097154</v>
      </c>
      <c r="H1106" s="62" t="s">
        <v>138</v>
      </c>
    </row>
    <row r="1107" customFormat="false" ht="15" hidden="false" customHeight="false" outlineLevel="0" collapsed="false">
      <c r="A1107" s="62" t="n">
        <v>0</v>
      </c>
      <c r="B1107" s="62" t="s">
        <v>385</v>
      </c>
      <c r="C1107" s="62" t="s">
        <v>60</v>
      </c>
      <c r="D1107" s="62" t="s">
        <v>72</v>
      </c>
      <c r="E1107" s="62" t="s">
        <v>382</v>
      </c>
      <c r="F1107" s="63" t="s">
        <v>422</v>
      </c>
      <c r="G1107" s="64" t="n">
        <v>106005.327097154</v>
      </c>
      <c r="H1107" s="62" t="s">
        <v>138</v>
      </c>
    </row>
    <row r="1108" customFormat="false" ht="15" hidden="false" customHeight="false" outlineLevel="0" collapsed="false">
      <c r="A1108" s="62" t="n">
        <v>0</v>
      </c>
      <c r="B1108" s="62" t="s">
        <v>386</v>
      </c>
      <c r="C1108" s="62" t="s">
        <v>60</v>
      </c>
      <c r="D1108" s="62" t="s">
        <v>72</v>
      </c>
      <c r="E1108" s="62" t="s">
        <v>382</v>
      </c>
      <c r="F1108" s="63" t="s">
        <v>422</v>
      </c>
      <c r="G1108" s="64" t="n">
        <v>106005.327097154</v>
      </c>
      <c r="H1108" s="62" t="s">
        <v>138</v>
      </c>
    </row>
    <row r="1109" customFormat="false" ht="15" hidden="false" customHeight="false" outlineLevel="0" collapsed="false">
      <c r="A1109" s="62" t="n">
        <v>0</v>
      </c>
      <c r="B1109" s="62" t="s">
        <v>387</v>
      </c>
      <c r="C1109" s="62" t="s">
        <v>60</v>
      </c>
      <c r="D1109" s="62" t="s">
        <v>72</v>
      </c>
      <c r="E1109" s="62" t="s">
        <v>382</v>
      </c>
      <c r="F1109" s="63" t="s">
        <v>422</v>
      </c>
      <c r="G1109" s="64" t="n">
        <v>106005.327097154</v>
      </c>
      <c r="H1109" s="62" t="s">
        <v>138</v>
      </c>
    </row>
    <row r="1110" customFormat="false" ht="15" hidden="false" customHeight="false" outlineLevel="0" collapsed="false">
      <c r="A1110" s="62" t="n">
        <v>0</v>
      </c>
      <c r="B1110" s="62" t="s">
        <v>388</v>
      </c>
      <c r="C1110" s="62" t="s">
        <v>60</v>
      </c>
      <c r="D1110" s="62" t="s">
        <v>72</v>
      </c>
      <c r="E1110" s="62" t="s">
        <v>382</v>
      </c>
      <c r="F1110" s="63" t="s">
        <v>422</v>
      </c>
      <c r="G1110" s="64" t="n">
        <v>106005.327097154</v>
      </c>
      <c r="H1110" s="62" t="s">
        <v>138</v>
      </c>
    </row>
    <row r="1111" customFormat="false" ht="15" hidden="false" customHeight="false" outlineLevel="0" collapsed="false">
      <c r="A1111" s="62" t="n">
        <v>0</v>
      </c>
      <c r="B1111" s="62" t="s">
        <v>381</v>
      </c>
      <c r="C1111" s="62" t="s">
        <v>60</v>
      </c>
      <c r="D1111" s="62" t="s">
        <v>72</v>
      </c>
      <c r="E1111" s="62" t="s">
        <v>382</v>
      </c>
      <c r="F1111" s="63" t="s">
        <v>423</v>
      </c>
      <c r="G1111" s="64" t="n">
        <v>6005.32709715431</v>
      </c>
      <c r="H1111" s="62" t="s">
        <v>138</v>
      </c>
    </row>
    <row r="1112" customFormat="false" ht="15" hidden="false" customHeight="false" outlineLevel="0" collapsed="false">
      <c r="A1112" s="62" t="n">
        <v>0</v>
      </c>
      <c r="B1112" s="62" t="s">
        <v>383</v>
      </c>
      <c r="C1112" s="62" t="s">
        <v>60</v>
      </c>
      <c r="D1112" s="62" t="s">
        <v>72</v>
      </c>
      <c r="E1112" s="62" t="s">
        <v>382</v>
      </c>
      <c r="F1112" s="63" t="s">
        <v>423</v>
      </c>
      <c r="G1112" s="64" t="n">
        <v>6005.32709715431</v>
      </c>
      <c r="H1112" s="62" t="s">
        <v>138</v>
      </c>
    </row>
    <row r="1113" customFormat="false" ht="15" hidden="false" customHeight="false" outlineLevel="0" collapsed="false">
      <c r="A1113" s="62" t="n">
        <v>0</v>
      </c>
      <c r="B1113" s="62" t="s">
        <v>384</v>
      </c>
      <c r="C1113" s="62" t="s">
        <v>60</v>
      </c>
      <c r="D1113" s="62" t="s">
        <v>72</v>
      </c>
      <c r="E1113" s="62" t="s">
        <v>382</v>
      </c>
      <c r="F1113" s="63" t="s">
        <v>423</v>
      </c>
      <c r="G1113" s="64" t="n">
        <v>6005.32709715431</v>
      </c>
      <c r="H1113" s="62" t="s">
        <v>138</v>
      </c>
    </row>
    <row r="1114" customFormat="false" ht="15" hidden="false" customHeight="false" outlineLevel="0" collapsed="false">
      <c r="A1114" s="62" t="n">
        <v>0</v>
      </c>
      <c r="B1114" s="62" t="s">
        <v>385</v>
      </c>
      <c r="C1114" s="62" t="s">
        <v>60</v>
      </c>
      <c r="D1114" s="62" t="s">
        <v>72</v>
      </c>
      <c r="E1114" s="62" t="s">
        <v>382</v>
      </c>
      <c r="F1114" s="63" t="s">
        <v>423</v>
      </c>
      <c r="G1114" s="64" t="n">
        <v>6005.32709715431</v>
      </c>
      <c r="H1114" s="62" t="s">
        <v>138</v>
      </c>
    </row>
    <row r="1115" customFormat="false" ht="15" hidden="false" customHeight="false" outlineLevel="0" collapsed="false">
      <c r="A1115" s="62" t="n">
        <v>0</v>
      </c>
      <c r="B1115" s="62" t="s">
        <v>386</v>
      </c>
      <c r="C1115" s="62" t="s">
        <v>60</v>
      </c>
      <c r="D1115" s="62" t="s">
        <v>72</v>
      </c>
      <c r="E1115" s="62" t="s">
        <v>382</v>
      </c>
      <c r="F1115" s="63" t="s">
        <v>423</v>
      </c>
      <c r="G1115" s="64" t="n">
        <v>6005.32709715431</v>
      </c>
      <c r="H1115" s="62" t="s">
        <v>138</v>
      </c>
    </row>
    <row r="1116" customFormat="false" ht="15" hidden="false" customHeight="false" outlineLevel="0" collapsed="false">
      <c r="A1116" s="62" t="n">
        <v>0</v>
      </c>
      <c r="B1116" s="62" t="s">
        <v>387</v>
      </c>
      <c r="C1116" s="62" t="s">
        <v>60</v>
      </c>
      <c r="D1116" s="62" t="s">
        <v>72</v>
      </c>
      <c r="E1116" s="62" t="s">
        <v>382</v>
      </c>
      <c r="F1116" s="63" t="s">
        <v>423</v>
      </c>
      <c r="G1116" s="64" t="n">
        <v>6005.32709715431</v>
      </c>
      <c r="H1116" s="62" t="s">
        <v>138</v>
      </c>
    </row>
    <row r="1117" customFormat="false" ht="15" hidden="false" customHeight="false" outlineLevel="0" collapsed="false">
      <c r="A1117" s="62" t="n">
        <v>0</v>
      </c>
      <c r="B1117" s="62" t="s">
        <v>388</v>
      </c>
      <c r="C1117" s="62" t="s">
        <v>60</v>
      </c>
      <c r="D1117" s="62" t="s">
        <v>72</v>
      </c>
      <c r="E1117" s="62" t="s">
        <v>382</v>
      </c>
      <c r="F1117" s="63" t="s">
        <v>423</v>
      </c>
      <c r="G1117" s="64" t="n">
        <v>6005.32709715431</v>
      </c>
      <c r="H1117" s="62" t="s">
        <v>138</v>
      </c>
    </row>
    <row r="1118" customFormat="false" ht="15" hidden="false" customHeight="false" outlineLevel="0" collapsed="false">
      <c r="A1118" s="62" t="n">
        <v>0</v>
      </c>
      <c r="B1118" s="62" t="s">
        <v>381</v>
      </c>
      <c r="C1118" s="62" t="s">
        <v>60</v>
      </c>
      <c r="D1118" s="62" t="s">
        <v>72</v>
      </c>
      <c r="E1118" s="62" t="s">
        <v>382</v>
      </c>
      <c r="F1118" s="63" t="s">
        <v>399</v>
      </c>
      <c r="G1118" s="64" t="n">
        <v>1835167.83474677</v>
      </c>
      <c r="H1118" s="62" t="s">
        <v>138</v>
      </c>
    </row>
    <row r="1119" customFormat="false" ht="15" hidden="false" customHeight="false" outlineLevel="0" collapsed="false">
      <c r="A1119" s="62" t="n">
        <v>0</v>
      </c>
      <c r="B1119" s="62" t="s">
        <v>383</v>
      </c>
      <c r="C1119" s="62" t="s">
        <v>60</v>
      </c>
      <c r="D1119" s="62" t="s">
        <v>72</v>
      </c>
      <c r="E1119" s="62" t="s">
        <v>382</v>
      </c>
      <c r="F1119" s="63" t="s">
        <v>399</v>
      </c>
      <c r="G1119" s="64" t="n">
        <v>1835167.83474677</v>
      </c>
      <c r="H1119" s="62" t="s">
        <v>138</v>
      </c>
    </row>
    <row r="1120" customFormat="false" ht="15" hidden="false" customHeight="false" outlineLevel="0" collapsed="false">
      <c r="A1120" s="62" t="n">
        <v>0</v>
      </c>
      <c r="B1120" s="62" t="s">
        <v>384</v>
      </c>
      <c r="C1120" s="62" t="s">
        <v>60</v>
      </c>
      <c r="D1120" s="62" t="s">
        <v>72</v>
      </c>
      <c r="E1120" s="62" t="s">
        <v>382</v>
      </c>
      <c r="F1120" s="63" t="s">
        <v>399</v>
      </c>
      <c r="G1120" s="64" t="n">
        <v>1835167.83474677</v>
      </c>
      <c r="H1120" s="62" t="s">
        <v>138</v>
      </c>
    </row>
    <row r="1121" customFormat="false" ht="15" hidden="false" customHeight="false" outlineLevel="0" collapsed="false">
      <c r="A1121" s="62" t="n">
        <v>0</v>
      </c>
      <c r="B1121" s="62" t="s">
        <v>385</v>
      </c>
      <c r="C1121" s="62" t="s">
        <v>60</v>
      </c>
      <c r="D1121" s="62" t="s">
        <v>72</v>
      </c>
      <c r="E1121" s="62" t="s">
        <v>382</v>
      </c>
      <c r="F1121" s="63" t="s">
        <v>399</v>
      </c>
      <c r="G1121" s="64" t="n">
        <v>1835167.83474677</v>
      </c>
      <c r="H1121" s="62" t="s">
        <v>138</v>
      </c>
    </row>
    <row r="1122" customFormat="false" ht="15" hidden="false" customHeight="false" outlineLevel="0" collapsed="false">
      <c r="A1122" s="62" t="n">
        <v>0</v>
      </c>
      <c r="B1122" s="62" t="s">
        <v>386</v>
      </c>
      <c r="C1122" s="62" t="s">
        <v>60</v>
      </c>
      <c r="D1122" s="62" t="s">
        <v>72</v>
      </c>
      <c r="E1122" s="62" t="s">
        <v>382</v>
      </c>
      <c r="F1122" s="63" t="s">
        <v>399</v>
      </c>
      <c r="G1122" s="64" t="n">
        <v>1835167.83474677</v>
      </c>
      <c r="H1122" s="62" t="s">
        <v>138</v>
      </c>
    </row>
    <row r="1123" customFormat="false" ht="15" hidden="false" customHeight="false" outlineLevel="0" collapsed="false">
      <c r="A1123" s="62" t="n">
        <v>0</v>
      </c>
      <c r="B1123" s="62" t="s">
        <v>387</v>
      </c>
      <c r="C1123" s="62" t="s">
        <v>60</v>
      </c>
      <c r="D1123" s="62" t="s">
        <v>72</v>
      </c>
      <c r="E1123" s="62" t="s">
        <v>382</v>
      </c>
      <c r="F1123" s="63" t="s">
        <v>399</v>
      </c>
      <c r="G1123" s="64" t="n">
        <v>1835167.83474677</v>
      </c>
      <c r="H1123" s="62" t="s">
        <v>138</v>
      </c>
    </row>
    <row r="1124" customFormat="false" ht="15" hidden="false" customHeight="false" outlineLevel="0" collapsed="false">
      <c r="A1124" s="62" t="n">
        <v>0</v>
      </c>
      <c r="B1124" s="62" t="s">
        <v>388</v>
      </c>
      <c r="C1124" s="62" t="s">
        <v>60</v>
      </c>
      <c r="D1124" s="62" t="s">
        <v>72</v>
      </c>
      <c r="E1124" s="62" t="s">
        <v>382</v>
      </c>
      <c r="F1124" s="63" t="s">
        <v>399</v>
      </c>
      <c r="G1124" s="64" t="n">
        <v>1835167.83474677</v>
      </c>
      <c r="H1124" s="62" t="s">
        <v>138</v>
      </c>
    </row>
    <row r="1125" customFormat="false" ht="15" hidden="false" customHeight="false" outlineLevel="0" collapsed="false">
      <c r="A1125" s="62" t="n">
        <v>0</v>
      </c>
      <c r="B1125" s="62" t="s">
        <v>381</v>
      </c>
      <c r="C1125" s="62" t="s">
        <v>60</v>
      </c>
      <c r="D1125" s="62" t="s">
        <v>72</v>
      </c>
      <c r="E1125" s="62" t="s">
        <v>382</v>
      </c>
      <c r="F1125" s="63" t="s">
        <v>443</v>
      </c>
      <c r="G1125" s="64" t="n">
        <v>814263.68652734</v>
      </c>
      <c r="H1125" s="62" t="s">
        <v>138</v>
      </c>
    </row>
    <row r="1126" customFormat="false" ht="15" hidden="false" customHeight="false" outlineLevel="0" collapsed="false">
      <c r="A1126" s="62" t="n">
        <v>0</v>
      </c>
      <c r="B1126" s="62" t="s">
        <v>383</v>
      </c>
      <c r="C1126" s="62" t="s">
        <v>60</v>
      </c>
      <c r="D1126" s="62" t="s">
        <v>72</v>
      </c>
      <c r="E1126" s="62" t="s">
        <v>382</v>
      </c>
      <c r="F1126" s="63" t="s">
        <v>443</v>
      </c>
      <c r="G1126" s="64" t="n">
        <v>814263.68652734</v>
      </c>
      <c r="H1126" s="62" t="s">
        <v>138</v>
      </c>
    </row>
    <row r="1127" customFormat="false" ht="15" hidden="false" customHeight="false" outlineLevel="0" collapsed="false">
      <c r="A1127" s="62" t="n">
        <v>0</v>
      </c>
      <c r="B1127" s="62" t="s">
        <v>384</v>
      </c>
      <c r="C1127" s="62" t="s">
        <v>60</v>
      </c>
      <c r="D1127" s="62" t="s">
        <v>72</v>
      </c>
      <c r="E1127" s="62" t="s">
        <v>382</v>
      </c>
      <c r="F1127" s="63" t="s">
        <v>443</v>
      </c>
      <c r="G1127" s="64" t="n">
        <v>814263.68652734</v>
      </c>
      <c r="H1127" s="62" t="s">
        <v>138</v>
      </c>
    </row>
    <row r="1128" customFormat="false" ht="15" hidden="false" customHeight="false" outlineLevel="0" collapsed="false">
      <c r="A1128" s="62" t="n">
        <v>0</v>
      </c>
      <c r="B1128" s="62" t="s">
        <v>385</v>
      </c>
      <c r="C1128" s="62" t="s">
        <v>60</v>
      </c>
      <c r="D1128" s="62" t="s">
        <v>72</v>
      </c>
      <c r="E1128" s="62" t="s">
        <v>382</v>
      </c>
      <c r="F1128" s="63" t="s">
        <v>443</v>
      </c>
      <c r="G1128" s="64" t="n">
        <v>814263.68652734</v>
      </c>
      <c r="H1128" s="62" t="s">
        <v>138</v>
      </c>
    </row>
    <row r="1129" customFormat="false" ht="15" hidden="false" customHeight="false" outlineLevel="0" collapsed="false">
      <c r="A1129" s="62" t="n">
        <v>0</v>
      </c>
      <c r="B1129" s="62" t="s">
        <v>386</v>
      </c>
      <c r="C1129" s="62" t="s">
        <v>60</v>
      </c>
      <c r="D1129" s="62" t="s">
        <v>72</v>
      </c>
      <c r="E1129" s="62" t="s">
        <v>382</v>
      </c>
      <c r="F1129" s="63" t="s">
        <v>443</v>
      </c>
      <c r="G1129" s="64" t="n">
        <v>814263.68652734</v>
      </c>
      <c r="H1129" s="62" t="s">
        <v>138</v>
      </c>
    </row>
    <row r="1130" customFormat="false" ht="15" hidden="false" customHeight="false" outlineLevel="0" collapsed="false">
      <c r="A1130" s="62" t="n">
        <v>0</v>
      </c>
      <c r="B1130" s="62" t="s">
        <v>387</v>
      </c>
      <c r="C1130" s="62" t="s">
        <v>60</v>
      </c>
      <c r="D1130" s="62" t="s">
        <v>72</v>
      </c>
      <c r="E1130" s="62" t="s">
        <v>382</v>
      </c>
      <c r="F1130" s="63" t="s">
        <v>443</v>
      </c>
      <c r="G1130" s="64" t="n">
        <v>814263.68652734</v>
      </c>
      <c r="H1130" s="62" t="s">
        <v>138</v>
      </c>
    </row>
    <row r="1131" customFormat="false" ht="15" hidden="false" customHeight="false" outlineLevel="0" collapsed="false">
      <c r="A1131" s="62" t="n">
        <v>0</v>
      </c>
      <c r="B1131" s="62" t="s">
        <v>388</v>
      </c>
      <c r="C1131" s="62" t="s">
        <v>60</v>
      </c>
      <c r="D1131" s="62" t="s">
        <v>72</v>
      </c>
      <c r="E1131" s="62" t="s">
        <v>382</v>
      </c>
      <c r="F1131" s="63" t="s">
        <v>443</v>
      </c>
      <c r="G1131" s="64" t="n">
        <v>814263.68652734</v>
      </c>
      <c r="H1131" s="62" t="s">
        <v>138</v>
      </c>
    </row>
    <row r="1132" customFormat="false" ht="15" hidden="false" customHeight="false" outlineLevel="0" collapsed="false">
      <c r="A1132" s="62" t="n">
        <v>0</v>
      </c>
      <c r="B1132" s="62" t="s">
        <v>381</v>
      </c>
      <c r="C1132" s="62" t="s">
        <v>60</v>
      </c>
      <c r="D1132" s="62" t="s">
        <v>72</v>
      </c>
      <c r="E1132" s="62" t="s">
        <v>382</v>
      </c>
      <c r="F1132" s="63" t="s">
        <v>444</v>
      </c>
      <c r="G1132" s="64" t="n">
        <v>-656964</v>
      </c>
      <c r="H1132" s="62" t="s">
        <v>138</v>
      </c>
    </row>
    <row r="1133" customFormat="false" ht="15" hidden="false" customHeight="false" outlineLevel="0" collapsed="false">
      <c r="A1133" s="62" t="n">
        <v>0</v>
      </c>
      <c r="B1133" s="62" t="s">
        <v>383</v>
      </c>
      <c r="C1133" s="62" t="s">
        <v>60</v>
      </c>
      <c r="D1133" s="62" t="s">
        <v>72</v>
      </c>
      <c r="E1133" s="62" t="s">
        <v>382</v>
      </c>
      <c r="F1133" s="63" t="s">
        <v>444</v>
      </c>
      <c r="G1133" s="64" t="n">
        <v>-656964</v>
      </c>
      <c r="H1133" s="62" t="s">
        <v>138</v>
      </c>
    </row>
    <row r="1134" customFormat="false" ht="15" hidden="false" customHeight="false" outlineLevel="0" collapsed="false">
      <c r="A1134" s="62" t="n">
        <v>0</v>
      </c>
      <c r="B1134" s="62" t="s">
        <v>384</v>
      </c>
      <c r="C1134" s="62" t="s">
        <v>60</v>
      </c>
      <c r="D1134" s="62" t="s">
        <v>72</v>
      </c>
      <c r="E1134" s="62" t="s">
        <v>382</v>
      </c>
      <c r="F1134" s="63" t="s">
        <v>444</v>
      </c>
      <c r="G1134" s="64" t="n">
        <v>-656964</v>
      </c>
      <c r="H1134" s="62" t="s">
        <v>138</v>
      </c>
    </row>
    <row r="1135" customFormat="false" ht="15" hidden="false" customHeight="false" outlineLevel="0" collapsed="false">
      <c r="A1135" s="62" t="n">
        <v>0</v>
      </c>
      <c r="B1135" s="62" t="s">
        <v>385</v>
      </c>
      <c r="C1135" s="62" t="s">
        <v>60</v>
      </c>
      <c r="D1135" s="62" t="s">
        <v>72</v>
      </c>
      <c r="E1135" s="62" t="s">
        <v>382</v>
      </c>
      <c r="F1135" s="63" t="s">
        <v>444</v>
      </c>
      <c r="G1135" s="64" t="n">
        <v>-656964</v>
      </c>
      <c r="H1135" s="62" t="s">
        <v>138</v>
      </c>
    </row>
    <row r="1136" customFormat="false" ht="15" hidden="false" customHeight="false" outlineLevel="0" collapsed="false">
      <c r="A1136" s="62" t="n">
        <v>0</v>
      </c>
      <c r="B1136" s="62" t="s">
        <v>386</v>
      </c>
      <c r="C1136" s="62" t="s">
        <v>60</v>
      </c>
      <c r="D1136" s="62" t="s">
        <v>72</v>
      </c>
      <c r="E1136" s="62" t="s">
        <v>382</v>
      </c>
      <c r="F1136" s="63" t="s">
        <v>444</v>
      </c>
      <c r="G1136" s="64" t="n">
        <v>-656964</v>
      </c>
      <c r="H1136" s="62" t="s">
        <v>138</v>
      </c>
    </row>
    <row r="1137" customFormat="false" ht="15" hidden="false" customHeight="false" outlineLevel="0" collapsed="false">
      <c r="A1137" s="62" t="n">
        <v>0</v>
      </c>
      <c r="B1137" s="62" t="s">
        <v>387</v>
      </c>
      <c r="C1137" s="62" t="s">
        <v>60</v>
      </c>
      <c r="D1137" s="62" t="s">
        <v>72</v>
      </c>
      <c r="E1137" s="62" t="s">
        <v>382</v>
      </c>
      <c r="F1137" s="63" t="s">
        <v>444</v>
      </c>
      <c r="G1137" s="64" t="n">
        <v>-656964</v>
      </c>
      <c r="H1137" s="62" t="s">
        <v>138</v>
      </c>
    </row>
    <row r="1138" customFormat="false" ht="15" hidden="false" customHeight="false" outlineLevel="0" collapsed="false">
      <c r="A1138" s="62" t="n">
        <v>0</v>
      </c>
      <c r="B1138" s="62" t="s">
        <v>388</v>
      </c>
      <c r="C1138" s="62" t="s">
        <v>60</v>
      </c>
      <c r="D1138" s="62" t="s">
        <v>72</v>
      </c>
      <c r="E1138" s="62" t="s">
        <v>382</v>
      </c>
      <c r="F1138" s="63" t="s">
        <v>444</v>
      </c>
      <c r="G1138" s="64" t="n">
        <v>-656964</v>
      </c>
      <c r="H1138" s="62" t="s">
        <v>138</v>
      </c>
    </row>
    <row r="1139" customFormat="false" ht="15" hidden="false" customHeight="false" outlineLevel="0" collapsed="false">
      <c r="A1139" s="62" t="n">
        <v>0</v>
      </c>
      <c r="B1139" s="62" t="s">
        <v>381</v>
      </c>
      <c r="C1139" s="62" t="s">
        <v>60</v>
      </c>
      <c r="D1139" s="62" t="s">
        <v>72</v>
      </c>
      <c r="E1139" s="62" t="s">
        <v>382</v>
      </c>
      <c r="F1139" s="63" t="s">
        <v>446</v>
      </c>
      <c r="G1139" s="64" t="n">
        <v>106005.327097154</v>
      </c>
      <c r="H1139" s="62" t="s">
        <v>138</v>
      </c>
    </row>
    <row r="1140" customFormat="false" ht="15" hidden="false" customHeight="false" outlineLevel="0" collapsed="false">
      <c r="A1140" s="62" t="n">
        <v>0</v>
      </c>
      <c r="B1140" s="62" t="s">
        <v>383</v>
      </c>
      <c r="C1140" s="62" t="s">
        <v>60</v>
      </c>
      <c r="D1140" s="62" t="s">
        <v>72</v>
      </c>
      <c r="E1140" s="62" t="s">
        <v>382</v>
      </c>
      <c r="F1140" s="63" t="s">
        <v>446</v>
      </c>
      <c r="G1140" s="64" t="n">
        <v>106005.327097154</v>
      </c>
      <c r="H1140" s="62" t="s">
        <v>138</v>
      </c>
    </row>
    <row r="1141" customFormat="false" ht="15" hidden="false" customHeight="false" outlineLevel="0" collapsed="false">
      <c r="A1141" s="62" t="n">
        <v>0</v>
      </c>
      <c r="B1141" s="62" t="s">
        <v>384</v>
      </c>
      <c r="C1141" s="62" t="s">
        <v>60</v>
      </c>
      <c r="D1141" s="62" t="s">
        <v>72</v>
      </c>
      <c r="E1141" s="62" t="s">
        <v>382</v>
      </c>
      <c r="F1141" s="63" t="s">
        <v>446</v>
      </c>
      <c r="G1141" s="64" t="n">
        <v>106005.327097154</v>
      </c>
      <c r="H1141" s="62" t="s">
        <v>138</v>
      </c>
    </row>
    <row r="1142" customFormat="false" ht="15" hidden="false" customHeight="false" outlineLevel="0" collapsed="false">
      <c r="A1142" s="62" t="n">
        <v>0</v>
      </c>
      <c r="B1142" s="62" t="s">
        <v>385</v>
      </c>
      <c r="C1142" s="62" t="s">
        <v>60</v>
      </c>
      <c r="D1142" s="62" t="s">
        <v>72</v>
      </c>
      <c r="E1142" s="62" t="s">
        <v>382</v>
      </c>
      <c r="F1142" s="63" t="s">
        <v>446</v>
      </c>
      <c r="G1142" s="64" t="n">
        <v>106005.327097154</v>
      </c>
      <c r="H1142" s="62" t="s">
        <v>138</v>
      </c>
    </row>
    <row r="1143" customFormat="false" ht="15" hidden="false" customHeight="false" outlineLevel="0" collapsed="false">
      <c r="A1143" s="62" t="n">
        <v>0</v>
      </c>
      <c r="B1143" s="62" t="s">
        <v>386</v>
      </c>
      <c r="C1143" s="62" t="s">
        <v>60</v>
      </c>
      <c r="D1143" s="62" t="s">
        <v>72</v>
      </c>
      <c r="E1143" s="62" t="s">
        <v>382</v>
      </c>
      <c r="F1143" s="63" t="s">
        <v>446</v>
      </c>
      <c r="G1143" s="64" t="n">
        <v>106005.327097154</v>
      </c>
      <c r="H1143" s="62" t="s">
        <v>138</v>
      </c>
    </row>
    <row r="1144" customFormat="false" ht="15" hidden="false" customHeight="false" outlineLevel="0" collapsed="false">
      <c r="A1144" s="62" t="n">
        <v>0</v>
      </c>
      <c r="B1144" s="62" t="s">
        <v>387</v>
      </c>
      <c r="C1144" s="62" t="s">
        <v>60</v>
      </c>
      <c r="D1144" s="62" t="s">
        <v>72</v>
      </c>
      <c r="E1144" s="62" t="s">
        <v>382</v>
      </c>
      <c r="F1144" s="63" t="s">
        <v>446</v>
      </c>
      <c r="G1144" s="64" t="n">
        <v>106005.327097154</v>
      </c>
      <c r="H1144" s="62" t="s">
        <v>138</v>
      </c>
    </row>
    <row r="1145" customFormat="false" ht="15" hidden="false" customHeight="false" outlineLevel="0" collapsed="false">
      <c r="A1145" s="62" t="n">
        <v>0</v>
      </c>
      <c r="B1145" s="62" t="s">
        <v>388</v>
      </c>
      <c r="C1145" s="62" t="s">
        <v>60</v>
      </c>
      <c r="D1145" s="62" t="s">
        <v>72</v>
      </c>
      <c r="E1145" s="62" t="s">
        <v>382</v>
      </c>
      <c r="F1145" s="63" t="s">
        <v>446</v>
      </c>
      <c r="G1145" s="64" t="n">
        <v>106005.327097154</v>
      </c>
      <c r="H1145" s="62" t="s">
        <v>138</v>
      </c>
    </row>
    <row r="1146" customFormat="false" ht="15" hidden="false" customHeight="false" outlineLevel="0" collapsed="false">
      <c r="A1146" s="62" t="n">
        <v>0</v>
      </c>
      <c r="B1146" s="62" t="s">
        <v>381</v>
      </c>
      <c r="C1146" s="62" t="s">
        <v>60</v>
      </c>
      <c r="D1146" s="62" t="s">
        <v>72</v>
      </c>
      <c r="E1146" s="62" t="s">
        <v>382</v>
      </c>
      <c r="F1146" s="63" t="s">
        <v>447</v>
      </c>
      <c r="G1146" s="64" t="n">
        <v>5898.65271870569</v>
      </c>
      <c r="H1146" s="62" t="s">
        <v>138</v>
      </c>
    </row>
    <row r="1147" customFormat="false" ht="15" hidden="false" customHeight="false" outlineLevel="0" collapsed="false">
      <c r="A1147" s="62" t="n">
        <v>0</v>
      </c>
      <c r="B1147" s="62" t="s">
        <v>383</v>
      </c>
      <c r="C1147" s="62" t="s">
        <v>60</v>
      </c>
      <c r="D1147" s="62" t="s">
        <v>72</v>
      </c>
      <c r="E1147" s="62" t="s">
        <v>382</v>
      </c>
      <c r="F1147" s="63" t="s">
        <v>447</v>
      </c>
      <c r="G1147" s="64" t="n">
        <v>5898.65271870569</v>
      </c>
      <c r="H1147" s="62" t="s">
        <v>138</v>
      </c>
    </row>
    <row r="1148" customFormat="false" ht="15" hidden="false" customHeight="false" outlineLevel="0" collapsed="false">
      <c r="A1148" s="62" t="n">
        <v>0</v>
      </c>
      <c r="B1148" s="62" t="s">
        <v>384</v>
      </c>
      <c r="C1148" s="62" t="s">
        <v>60</v>
      </c>
      <c r="D1148" s="62" t="s">
        <v>72</v>
      </c>
      <c r="E1148" s="62" t="s">
        <v>382</v>
      </c>
      <c r="F1148" s="63" t="s">
        <v>447</v>
      </c>
      <c r="G1148" s="64" t="n">
        <v>5898.65271870569</v>
      </c>
      <c r="H1148" s="62" t="s">
        <v>138</v>
      </c>
    </row>
    <row r="1149" customFormat="false" ht="15" hidden="false" customHeight="false" outlineLevel="0" collapsed="false">
      <c r="A1149" s="62" t="n">
        <v>0</v>
      </c>
      <c r="B1149" s="62" t="s">
        <v>385</v>
      </c>
      <c r="C1149" s="62" t="s">
        <v>60</v>
      </c>
      <c r="D1149" s="62" t="s">
        <v>72</v>
      </c>
      <c r="E1149" s="62" t="s">
        <v>382</v>
      </c>
      <c r="F1149" s="63" t="s">
        <v>447</v>
      </c>
      <c r="G1149" s="64" t="n">
        <v>5898.65271870569</v>
      </c>
      <c r="H1149" s="62" t="s">
        <v>138</v>
      </c>
    </row>
    <row r="1150" customFormat="false" ht="15" hidden="false" customHeight="false" outlineLevel="0" collapsed="false">
      <c r="A1150" s="62" t="n">
        <v>0</v>
      </c>
      <c r="B1150" s="62" t="s">
        <v>386</v>
      </c>
      <c r="C1150" s="62" t="s">
        <v>60</v>
      </c>
      <c r="D1150" s="62" t="s">
        <v>72</v>
      </c>
      <c r="E1150" s="62" t="s">
        <v>382</v>
      </c>
      <c r="F1150" s="63" t="s">
        <v>447</v>
      </c>
      <c r="G1150" s="64" t="n">
        <v>5898.65271870569</v>
      </c>
      <c r="H1150" s="62" t="s">
        <v>138</v>
      </c>
    </row>
    <row r="1151" customFormat="false" ht="15" hidden="false" customHeight="false" outlineLevel="0" collapsed="false">
      <c r="A1151" s="62" t="n">
        <v>0</v>
      </c>
      <c r="B1151" s="62" t="s">
        <v>387</v>
      </c>
      <c r="C1151" s="62" t="s">
        <v>60</v>
      </c>
      <c r="D1151" s="62" t="s">
        <v>72</v>
      </c>
      <c r="E1151" s="62" t="s">
        <v>382</v>
      </c>
      <c r="F1151" s="63" t="s">
        <v>447</v>
      </c>
      <c r="G1151" s="64" t="n">
        <v>5898.65271870569</v>
      </c>
      <c r="H1151" s="62" t="s">
        <v>138</v>
      </c>
    </row>
    <row r="1152" customFormat="false" ht="15" hidden="false" customHeight="false" outlineLevel="0" collapsed="false">
      <c r="A1152" s="62" t="n">
        <v>0</v>
      </c>
      <c r="B1152" s="62" t="s">
        <v>388</v>
      </c>
      <c r="C1152" s="62" t="s">
        <v>60</v>
      </c>
      <c r="D1152" s="62" t="s">
        <v>72</v>
      </c>
      <c r="E1152" s="62" t="s">
        <v>382</v>
      </c>
      <c r="F1152" s="63" t="s">
        <v>447</v>
      </c>
      <c r="G1152" s="64" t="n">
        <v>5898.65271870569</v>
      </c>
      <c r="H1152" s="62" t="s">
        <v>138</v>
      </c>
    </row>
    <row r="1153" customFormat="false" ht="15" hidden="false" customHeight="false" outlineLevel="0" collapsed="false">
      <c r="A1153" s="62" t="n">
        <v>0</v>
      </c>
      <c r="B1153" s="62" t="s">
        <v>381</v>
      </c>
      <c r="C1153" s="62" t="s">
        <v>60</v>
      </c>
      <c r="D1153" s="62" t="s">
        <v>72</v>
      </c>
      <c r="E1153" s="62" t="s">
        <v>382</v>
      </c>
      <c r="F1153" s="63" t="s">
        <v>448</v>
      </c>
      <c r="G1153" s="64" t="n">
        <v>-221443.831596432</v>
      </c>
      <c r="H1153" s="62" t="s">
        <v>138</v>
      </c>
    </row>
    <row r="1154" customFormat="false" ht="15" hidden="false" customHeight="false" outlineLevel="0" collapsed="false">
      <c r="A1154" s="62" t="n">
        <v>0</v>
      </c>
      <c r="B1154" s="62" t="s">
        <v>383</v>
      </c>
      <c r="C1154" s="62" t="s">
        <v>60</v>
      </c>
      <c r="D1154" s="62" t="s">
        <v>72</v>
      </c>
      <c r="E1154" s="62" t="s">
        <v>382</v>
      </c>
      <c r="F1154" s="63" t="s">
        <v>448</v>
      </c>
      <c r="G1154" s="64" t="n">
        <v>-221443.831596432</v>
      </c>
      <c r="H1154" s="62" t="s">
        <v>138</v>
      </c>
    </row>
    <row r="1155" customFormat="false" ht="15" hidden="false" customHeight="false" outlineLevel="0" collapsed="false">
      <c r="A1155" s="62" t="n">
        <v>0</v>
      </c>
      <c r="B1155" s="62" t="s">
        <v>384</v>
      </c>
      <c r="C1155" s="62" t="s">
        <v>60</v>
      </c>
      <c r="D1155" s="62" t="s">
        <v>72</v>
      </c>
      <c r="E1155" s="62" t="s">
        <v>382</v>
      </c>
      <c r="F1155" s="63" t="s">
        <v>448</v>
      </c>
      <c r="G1155" s="64" t="n">
        <v>-221443.831596432</v>
      </c>
      <c r="H1155" s="62" t="s">
        <v>138</v>
      </c>
    </row>
    <row r="1156" customFormat="false" ht="15" hidden="false" customHeight="false" outlineLevel="0" collapsed="false">
      <c r="A1156" s="62" t="n">
        <v>0</v>
      </c>
      <c r="B1156" s="62" t="s">
        <v>385</v>
      </c>
      <c r="C1156" s="62" t="s">
        <v>60</v>
      </c>
      <c r="D1156" s="62" t="s">
        <v>72</v>
      </c>
      <c r="E1156" s="62" t="s">
        <v>382</v>
      </c>
      <c r="F1156" s="63" t="s">
        <v>448</v>
      </c>
      <c r="G1156" s="64" t="n">
        <v>-221443.831596432</v>
      </c>
      <c r="H1156" s="62" t="s">
        <v>138</v>
      </c>
    </row>
    <row r="1157" customFormat="false" ht="15" hidden="false" customHeight="false" outlineLevel="0" collapsed="false">
      <c r="A1157" s="62" t="n">
        <v>0</v>
      </c>
      <c r="B1157" s="62" t="s">
        <v>386</v>
      </c>
      <c r="C1157" s="62" t="s">
        <v>60</v>
      </c>
      <c r="D1157" s="62" t="s">
        <v>72</v>
      </c>
      <c r="E1157" s="62" t="s">
        <v>382</v>
      </c>
      <c r="F1157" s="63" t="s">
        <v>448</v>
      </c>
      <c r="G1157" s="64" t="n">
        <v>-221443.831596432</v>
      </c>
      <c r="H1157" s="62" t="s">
        <v>138</v>
      </c>
    </row>
    <row r="1158" customFormat="false" ht="15" hidden="false" customHeight="false" outlineLevel="0" collapsed="false">
      <c r="A1158" s="62" t="n">
        <v>0</v>
      </c>
      <c r="B1158" s="62" t="s">
        <v>387</v>
      </c>
      <c r="C1158" s="62" t="s">
        <v>60</v>
      </c>
      <c r="D1158" s="62" t="s">
        <v>72</v>
      </c>
      <c r="E1158" s="62" t="s">
        <v>382</v>
      </c>
      <c r="F1158" s="63" t="s">
        <v>448</v>
      </c>
      <c r="G1158" s="64" t="n">
        <v>-221443.831596432</v>
      </c>
      <c r="H1158" s="62" t="s">
        <v>138</v>
      </c>
    </row>
    <row r="1159" customFormat="false" ht="15" hidden="false" customHeight="false" outlineLevel="0" collapsed="false">
      <c r="A1159" s="62" t="n">
        <v>0</v>
      </c>
      <c r="B1159" s="62" t="s">
        <v>388</v>
      </c>
      <c r="C1159" s="62" t="s">
        <v>60</v>
      </c>
      <c r="D1159" s="62" t="s">
        <v>72</v>
      </c>
      <c r="E1159" s="62" t="s">
        <v>382</v>
      </c>
      <c r="F1159" s="63" t="s">
        <v>448</v>
      </c>
      <c r="G1159" s="64" t="n">
        <v>-221443.831596432</v>
      </c>
      <c r="H1159" s="62" t="s">
        <v>138</v>
      </c>
    </row>
    <row r="1160" customFormat="false" ht="15" hidden="false" customHeight="false" outlineLevel="0" collapsed="false">
      <c r="A1160" s="62" t="n">
        <v>0</v>
      </c>
      <c r="B1160" s="62" t="s">
        <v>381</v>
      </c>
      <c r="C1160" s="62" t="s">
        <v>60</v>
      </c>
      <c r="D1160" s="62" t="s">
        <v>72</v>
      </c>
      <c r="E1160" s="62" t="s">
        <v>382</v>
      </c>
      <c r="F1160" s="63" t="s">
        <v>430</v>
      </c>
      <c r="G1160" s="64" t="n">
        <v>47759.8347467675</v>
      </c>
      <c r="H1160" s="62" t="s">
        <v>138</v>
      </c>
    </row>
    <row r="1161" customFormat="false" ht="15" hidden="false" customHeight="false" outlineLevel="0" collapsed="false">
      <c r="A1161" s="62" t="n">
        <v>0</v>
      </c>
      <c r="B1161" s="62" t="s">
        <v>383</v>
      </c>
      <c r="C1161" s="62" t="s">
        <v>60</v>
      </c>
      <c r="D1161" s="62" t="s">
        <v>72</v>
      </c>
      <c r="E1161" s="62" t="s">
        <v>382</v>
      </c>
      <c r="F1161" s="63" t="s">
        <v>430</v>
      </c>
      <c r="G1161" s="64" t="n">
        <v>47759.8347467675</v>
      </c>
      <c r="H1161" s="62" t="s">
        <v>138</v>
      </c>
    </row>
    <row r="1162" customFormat="false" ht="15" hidden="false" customHeight="false" outlineLevel="0" collapsed="false">
      <c r="A1162" s="62" t="n">
        <v>0</v>
      </c>
      <c r="B1162" s="62" t="s">
        <v>384</v>
      </c>
      <c r="C1162" s="62" t="s">
        <v>60</v>
      </c>
      <c r="D1162" s="62" t="s">
        <v>72</v>
      </c>
      <c r="E1162" s="62" t="s">
        <v>382</v>
      </c>
      <c r="F1162" s="63" t="s">
        <v>430</v>
      </c>
      <c r="G1162" s="64" t="n">
        <v>47759.8347467675</v>
      </c>
      <c r="H1162" s="62" t="s">
        <v>138</v>
      </c>
    </row>
    <row r="1163" customFormat="false" ht="15" hidden="false" customHeight="false" outlineLevel="0" collapsed="false">
      <c r="A1163" s="62" t="n">
        <v>0</v>
      </c>
      <c r="B1163" s="62" t="s">
        <v>385</v>
      </c>
      <c r="C1163" s="62" t="s">
        <v>60</v>
      </c>
      <c r="D1163" s="62" t="s">
        <v>72</v>
      </c>
      <c r="E1163" s="62" t="s">
        <v>382</v>
      </c>
      <c r="F1163" s="63" t="s">
        <v>430</v>
      </c>
      <c r="G1163" s="64" t="n">
        <v>47759.8347467675</v>
      </c>
      <c r="H1163" s="62" t="s">
        <v>138</v>
      </c>
    </row>
    <row r="1164" customFormat="false" ht="15" hidden="false" customHeight="false" outlineLevel="0" collapsed="false">
      <c r="A1164" s="62" t="n">
        <v>0</v>
      </c>
      <c r="B1164" s="62" t="s">
        <v>386</v>
      </c>
      <c r="C1164" s="62" t="s">
        <v>60</v>
      </c>
      <c r="D1164" s="62" t="s">
        <v>72</v>
      </c>
      <c r="E1164" s="62" t="s">
        <v>382</v>
      </c>
      <c r="F1164" s="63" t="s">
        <v>430</v>
      </c>
      <c r="G1164" s="64" t="n">
        <v>47759.8347467675</v>
      </c>
      <c r="H1164" s="62" t="s">
        <v>138</v>
      </c>
    </row>
    <row r="1165" customFormat="false" ht="15" hidden="false" customHeight="false" outlineLevel="0" collapsed="false">
      <c r="A1165" s="62" t="n">
        <v>0</v>
      </c>
      <c r="B1165" s="62" t="s">
        <v>387</v>
      </c>
      <c r="C1165" s="62" t="s">
        <v>60</v>
      </c>
      <c r="D1165" s="62" t="s">
        <v>72</v>
      </c>
      <c r="E1165" s="62" t="s">
        <v>382</v>
      </c>
      <c r="F1165" s="63" t="s">
        <v>430</v>
      </c>
      <c r="G1165" s="64" t="n">
        <v>47759.8347467675</v>
      </c>
      <c r="H1165" s="62" t="s">
        <v>138</v>
      </c>
    </row>
    <row r="1166" customFormat="false" ht="15" hidden="false" customHeight="false" outlineLevel="0" collapsed="false">
      <c r="A1166" s="62" t="n">
        <v>0</v>
      </c>
      <c r="B1166" s="62" t="s">
        <v>388</v>
      </c>
      <c r="C1166" s="62" t="s">
        <v>60</v>
      </c>
      <c r="D1166" s="62" t="s">
        <v>72</v>
      </c>
      <c r="E1166" s="62" t="s">
        <v>382</v>
      </c>
      <c r="F1166" s="63" t="s">
        <v>430</v>
      </c>
      <c r="G1166" s="64" t="n">
        <v>47759.8347467675</v>
      </c>
      <c r="H1166" s="62" t="s">
        <v>138</v>
      </c>
    </row>
    <row r="1167" customFormat="false" ht="15" hidden="false" customHeight="false" outlineLevel="0" collapsed="false">
      <c r="A1167" s="62" t="n">
        <v>0</v>
      </c>
      <c r="B1167" s="62" t="s">
        <v>381</v>
      </c>
      <c r="C1167" s="62" t="s">
        <v>60</v>
      </c>
      <c r="D1167" s="62" t="s">
        <v>72</v>
      </c>
      <c r="E1167" s="62" t="s">
        <v>382</v>
      </c>
      <c r="F1167" s="63" t="s">
        <v>450</v>
      </c>
      <c r="G1167" s="64" t="n">
        <v>0</v>
      </c>
      <c r="H1167" s="62" t="s">
        <v>138</v>
      </c>
    </row>
    <row r="1168" customFormat="false" ht="15" hidden="false" customHeight="false" outlineLevel="0" collapsed="false">
      <c r="A1168" s="62" t="n">
        <v>0</v>
      </c>
      <c r="B1168" s="62" t="s">
        <v>383</v>
      </c>
      <c r="C1168" s="62" t="s">
        <v>60</v>
      </c>
      <c r="D1168" s="62" t="s">
        <v>72</v>
      </c>
      <c r="E1168" s="62" t="s">
        <v>382</v>
      </c>
      <c r="F1168" s="63" t="s">
        <v>450</v>
      </c>
      <c r="G1168" s="64" t="n">
        <v>0</v>
      </c>
      <c r="H1168" s="62" t="s">
        <v>138</v>
      </c>
    </row>
    <row r="1169" customFormat="false" ht="15" hidden="false" customHeight="false" outlineLevel="0" collapsed="false">
      <c r="A1169" s="62" t="n">
        <v>0</v>
      </c>
      <c r="B1169" s="62" t="s">
        <v>384</v>
      </c>
      <c r="C1169" s="62" t="s">
        <v>60</v>
      </c>
      <c r="D1169" s="62" t="s">
        <v>72</v>
      </c>
      <c r="E1169" s="62" t="s">
        <v>382</v>
      </c>
      <c r="F1169" s="63" t="s">
        <v>450</v>
      </c>
      <c r="G1169" s="64" t="n">
        <v>0</v>
      </c>
      <c r="H1169" s="62" t="s">
        <v>138</v>
      </c>
    </row>
    <row r="1170" customFormat="false" ht="15" hidden="false" customHeight="false" outlineLevel="0" collapsed="false">
      <c r="A1170" s="62" t="n">
        <v>0</v>
      </c>
      <c r="B1170" s="62" t="s">
        <v>385</v>
      </c>
      <c r="C1170" s="62" t="s">
        <v>60</v>
      </c>
      <c r="D1170" s="62" t="s">
        <v>72</v>
      </c>
      <c r="E1170" s="62" t="s">
        <v>382</v>
      </c>
      <c r="F1170" s="63" t="s">
        <v>450</v>
      </c>
      <c r="G1170" s="64" t="n">
        <v>0</v>
      </c>
      <c r="H1170" s="62" t="s">
        <v>138</v>
      </c>
    </row>
    <row r="1171" customFormat="false" ht="15" hidden="false" customHeight="false" outlineLevel="0" collapsed="false">
      <c r="A1171" s="62" t="n">
        <v>0</v>
      </c>
      <c r="B1171" s="62" t="s">
        <v>386</v>
      </c>
      <c r="C1171" s="62" t="s">
        <v>60</v>
      </c>
      <c r="D1171" s="62" t="s">
        <v>72</v>
      </c>
      <c r="E1171" s="62" t="s">
        <v>382</v>
      </c>
      <c r="F1171" s="63" t="s">
        <v>450</v>
      </c>
      <c r="G1171" s="64" t="n">
        <v>0</v>
      </c>
      <c r="H1171" s="62" t="s">
        <v>138</v>
      </c>
    </row>
    <row r="1172" customFormat="false" ht="15" hidden="false" customHeight="false" outlineLevel="0" collapsed="false">
      <c r="A1172" s="62" t="n">
        <v>0</v>
      </c>
      <c r="B1172" s="62" t="s">
        <v>387</v>
      </c>
      <c r="C1172" s="62" t="s">
        <v>60</v>
      </c>
      <c r="D1172" s="62" t="s">
        <v>72</v>
      </c>
      <c r="E1172" s="62" t="s">
        <v>382</v>
      </c>
      <c r="F1172" s="63" t="s">
        <v>450</v>
      </c>
      <c r="G1172" s="64" t="n">
        <v>0</v>
      </c>
      <c r="H1172" s="62" t="s">
        <v>138</v>
      </c>
    </row>
    <row r="1173" customFormat="false" ht="15" hidden="false" customHeight="false" outlineLevel="0" collapsed="false">
      <c r="A1173" s="62" t="n">
        <v>0</v>
      </c>
      <c r="B1173" s="62" t="s">
        <v>388</v>
      </c>
      <c r="C1173" s="62" t="s">
        <v>60</v>
      </c>
      <c r="D1173" s="62" t="s">
        <v>72</v>
      </c>
      <c r="E1173" s="62" t="s">
        <v>382</v>
      </c>
      <c r="F1173" s="63" t="s">
        <v>450</v>
      </c>
      <c r="G1173" s="64" t="n">
        <v>0</v>
      </c>
      <c r="H1173" s="62" t="s">
        <v>138</v>
      </c>
    </row>
    <row r="1174" customFormat="false" ht="15" hidden="false" customHeight="false" outlineLevel="0" collapsed="false">
      <c r="A1174" s="62" t="n">
        <v>0</v>
      </c>
      <c r="B1174" s="62" t="s">
        <v>381</v>
      </c>
      <c r="C1174" s="62" t="s">
        <v>60</v>
      </c>
      <c r="D1174" s="62" t="s">
        <v>72</v>
      </c>
      <c r="E1174" s="62" t="s">
        <v>382</v>
      </c>
      <c r="F1174" s="63" t="s">
        <v>451</v>
      </c>
      <c r="G1174" s="64" t="n">
        <v>-600000</v>
      </c>
      <c r="H1174" s="62" t="s">
        <v>138</v>
      </c>
    </row>
    <row r="1175" customFormat="false" ht="15" hidden="false" customHeight="false" outlineLevel="0" collapsed="false">
      <c r="A1175" s="62" t="n">
        <v>0</v>
      </c>
      <c r="B1175" s="62" t="s">
        <v>383</v>
      </c>
      <c r="C1175" s="62" t="s">
        <v>60</v>
      </c>
      <c r="D1175" s="62" t="s">
        <v>72</v>
      </c>
      <c r="E1175" s="62" t="s">
        <v>382</v>
      </c>
      <c r="F1175" s="63" t="s">
        <v>451</v>
      </c>
      <c r="G1175" s="64" t="n">
        <v>-600000</v>
      </c>
      <c r="H1175" s="62" t="s">
        <v>138</v>
      </c>
    </row>
    <row r="1176" customFormat="false" ht="15" hidden="false" customHeight="false" outlineLevel="0" collapsed="false">
      <c r="A1176" s="62" t="n">
        <v>0</v>
      </c>
      <c r="B1176" s="62" t="s">
        <v>384</v>
      </c>
      <c r="C1176" s="62" t="s">
        <v>60</v>
      </c>
      <c r="D1176" s="62" t="s">
        <v>72</v>
      </c>
      <c r="E1176" s="62" t="s">
        <v>382</v>
      </c>
      <c r="F1176" s="63" t="s">
        <v>451</v>
      </c>
      <c r="G1176" s="64" t="n">
        <v>-600000</v>
      </c>
      <c r="H1176" s="62" t="s">
        <v>138</v>
      </c>
    </row>
    <row r="1177" customFormat="false" ht="15" hidden="false" customHeight="false" outlineLevel="0" collapsed="false">
      <c r="A1177" s="62" t="n">
        <v>0</v>
      </c>
      <c r="B1177" s="62" t="s">
        <v>385</v>
      </c>
      <c r="C1177" s="62" t="s">
        <v>60</v>
      </c>
      <c r="D1177" s="62" t="s">
        <v>72</v>
      </c>
      <c r="E1177" s="62" t="s">
        <v>382</v>
      </c>
      <c r="F1177" s="63" t="s">
        <v>451</v>
      </c>
      <c r="G1177" s="64" t="n">
        <v>-600000</v>
      </c>
      <c r="H1177" s="62" t="s">
        <v>138</v>
      </c>
    </row>
    <row r="1178" customFormat="false" ht="15" hidden="false" customHeight="false" outlineLevel="0" collapsed="false">
      <c r="A1178" s="62" t="n">
        <v>0</v>
      </c>
      <c r="B1178" s="62" t="s">
        <v>386</v>
      </c>
      <c r="C1178" s="62" t="s">
        <v>60</v>
      </c>
      <c r="D1178" s="62" t="s">
        <v>72</v>
      </c>
      <c r="E1178" s="62" t="s">
        <v>382</v>
      </c>
      <c r="F1178" s="63" t="s">
        <v>451</v>
      </c>
      <c r="G1178" s="64" t="n">
        <v>-600000</v>
      </c>
      <c r="H1178" s="62" t="s">
        <v>138</v>
      </c>
    </row>
    <row r="1179" customFormat="false" ht="15" hidden="false" customHeight="false" outlineLevel="0" collapsed="false">
      <c r="A1179" s="62" t="n">
        <v>0</v>
      </c>
      <c r="B1179" s="62" t="s">
        <v>387</v>
      </c>
      <c r="C1179" s="62" t="s">
        <v>60</v>
      </c>
      <c r="D1179" s="62" t="s">
        <v>72</v>
      </c>
      <c r="E1179" s="62" t="s">
        <v>382</v>
      </c>
      <c r="F1179" s="63" t="s">
        <v>451</v>
      </c>
      <c r="G1179" s="64" t="n">
        <v>-600000</v>
      </c>
      <c r="H1179" s="62" t="s">
        <v>138</v>
      </c>
    </row>
    <row r="1180" customFormat="false" ht="15" hidden="false" customHeight="false" outlineLevel="0" collapsed="false">
      <c r="A1180" s="62" t="n">
        <v>0</v>
      </c>
      <c r="B1180" s="62" t="s">
        <v>388</v>
      </c>
      <c r="C1180" s="62" t="s">
        <v>60</v>
      </c>
      <c r="D1180" s="62" t="s">
        <v>72</v>
      </c>
      <c r="E1180" s="62" t="s">
        <v>382</v>
      </c>
      <c r="F1180" s="63" t="s">
        <v>451</v>
      </c>
      <c r="G1180" s="64" t="n">
        <v>-600000</v>
      </c>
      <c r="H1180" s="62" t="s">
        <v>138</v>
      </c>
    </row>
    <row r="1181" customFormat="false" ht="15" hidden="false" customHeight="false" outlineLevel="0" collapsed="false">
      <c r="A1181" s="62" t="n">
        <v>0</v>
      </c>
      <c r="B1181" s="62" t="s">
        <v>381</v>
      </c>
      <c r="C1181" s="62" t="s">
        <v>60</v>
      </c>
      <c r="D1181" s="62" t="s">
        <v>72</v>
      </c>
      <c r="E1181" s="62" t="s">
        <v>382</v>
      </c>
      <c r="F1181" s="63" t="s">
        <v>452</v>
      </c>
      <c r="G1181" s="64" t="n">
        <v>0</v>
      </c>
      <c r="H1181" s="62" t="s">
        <v>138</v>
      </c>
    </row>
    <row r="1182" customFormat="false" ht="15" hidden="false" customHeight="false" outlineLevel="0" collapsed="false">
      <c r="A1182" s="62" t="n">
        <v>0</v>
      </c>
      <c r="B1182" s="62" t="s">
        <v>383</v>
      </c>
      <c r="C1182" s="62" t="s">
        <v>60</v>
      </c>
      <c r="D1182" s="62" t="s">
        <v>72</v>
      </c>
      <c r="E1182" s="62" t="s">
        <v>382</v>
      </c>
      <c r="F1182" s="63" t="s">
        <v>452</v>
      </c>
      <c r="G1182" s="64" t="n">
        <v>0</v>
      </c>
      <c r="H1182" s="62" t="s">
        <v>138</v>
      </c>
    </row>
    <row r="1183" customFormat="false" ht="15" hidden="false" customHeight="false" outlineLevel="0" collapsed="false">
      <c r="A1183" s="62" t="n">
        <v>0</v>
      </c>
      <c r="B1183" s="62" t="s">
        <v>384</v>
      </c>
      <c r="C1183" s="62" t="s">
        <v>60</v>
      </c>
      <c r="D1183" s="62" t="s">
        <v>72</v>
      </c>
      <c r="E1183" s="62" t="s">
        <v>382</v>
      </c>
      <c r="F1183" s="63" t="s">
        <v>452</v>
      </c>
      <c r="G1183" s="64" t="n">
        <v>0</v>
      </c>
      <c r="H1183" s="62" t="s">
        <v>138</v>
      </c>
    </row>
    <row r="1184" customFormat="false" ht="15" hidden="false" customHeight="false" outlineLevel="0" collapsed="false">
      <c r="A1184" s="62" t="n">
        <v>0</v>
      </c>
      <c r="B1184" s="62" t="s">
        <v>385</v>
      </c>
      <c r="C1184" s="62" t="s">
        <v>60</v>
      </c>
      <c r="D1184" s="62" t="s">
        <v>72</v>
      </c>
      <c r="E1184" s="62" t="s">
        <v>382</v>
      </c>
      <c r="F1184" s="63" t="s">
        <v>452</v>
      </c>
      <c r="G1184" s="64" t="n">
        <v>0</v>
      </c>
      <c r="H1184" s="62" t="s">
        <v>138</v>
      </c>
    </row>
    <row r="1185" customFormat="false" ht="15" hidden="false" customHeight="false" outlineLevel="0" collapsed="false">
      <c r="A1185" s="62" t="n">
        <v>0</v>
      </c>
      <c r="B1185" s="62" t="s">
        <v>386</v>
      </c>
      <c r="C1185" s="62" t="s">
        <v>60</v>
      </c>
      <c r="D1185" s="62" t="s">
        <v>72</v>
      </c>
      <c r="E1185" s="62" t="s">
        <v>382</v>
      </c>
      <c r="F1185" s="63" t="s">
        <v>452</v>
      </c>
      <c r="G1185" s="64" t="n">
        <v>0</v>
      </c>
      <c r="H1185" s="62" t="s">
        <v>138</v>
      </c>
    </row>
    <row r="1186" customFormat="false" ht="15" hidden="false" customHeight="false" outlineLevel="0" collapsed="false">
      <c r="A1186" s="62" t="n">
        <v>0</v>
      </c>
      <c r="B1186" s="62" t="s">
        <v>387</v>
      </c>
      <c r="C1186" s="62" t="s">
        <v>60</v>
      </c>
      <c r="D1186" s="62" t="s">
        <v>72</v>
      </c>
      <c r="E1186" s="62" t="s">
        <v>382</v>
      </c>
      <c r="F1186" s="63" t="s">
        <v>452</v>
      </c>
      <c r="G1186" s="64" t="n">
        <v>0</v>
      </c>
      <c r="H1186" s="62" t="s">
        <v>138</v>
      </c>
    </row>
    <row r="1187" customFormat="false" ht="15" hidden="false" customHeight="false" outlineLevel="0" collapsed="false">
      <c r="A1187" s="62" t="n">
        <v>0</v>
      </c>
      <c r="B1187" s="62" t="s">
        <v>388</v>
      </c>
      <c r="C1187" s="62" t="s">
        <v>60</v>
      </c>
      <c r="D1187" s="62" t="s">
        <v>72</v>
      </c>
      <c r="E1187" s="62" t="s">
        <v>382</v>
      </c>
      <c r="F1187" s="63" t="s">
        <v>452</v>
      </c>
      <c r="G1187" s="64" t="n">
        <v>0</v>
      </c>
      <c r="H1187" s="62" t="s">
        <v>138</v>
      </c>
    </row>
    <row r="1188" customFormat="false" ht="15" hidden="false" customHeight="false" outlineLevel="0" collapsed="false">
      <c r="A1188" s="62" t="n">
        <v>0</v>
      </c>
      <c r="B1188" s="62" t="s">
        <v>381</v>
      </c>
      <c r="C1188" s="62" t="s">
        <v>60</v>
      </c>
      <c r="D1188" s="62" t="s">
        <v>72</v>
      </c>
      <c r="E1188" s="62" t="s">
        <v>382</v>
      </c>
      <c r="F1188" s="63" t="s">
        <v>439</v>
      </c>
      <c r="G1188" s="64" t="n">
        <v>-600000</v>
      </c>
      <c r="H1188" s="62" t="s">
        <v>138</v>
      </c>
    </row>
    <row r="1189" customFormat="false" ht="15" hidden="false" customHeight="false" outlineLevel="0" collapsed="false">
      <c r="A1189" s="62" t="n">
        <v>0</v>
      </c>
      <c r="B1189" s="62" t="s">
        <v>383</v>
      </c>
      <c r="C1189" s="62" t="s">
        <v>60</v>
      </c>
      <c r="D1189" s="62" t="s">
        <v>72</v>
      </c>
      <c r="E1189" s="62" t="s">
        <v>382</v>
      </c>
      <c r="F1189" s="63" t="s">
        <v>439</v>
      </c>
      <c r="G1189" s="64" t="n">
        <v>-600000</v>
      </c>
      <c r="H1189" s="62" t="s">
        <v>138</v>
      </c>
    </row>
    <row r="1190" customFormat="false" ht="15" hidden="false" customHeight="false" outlineLevel="0" collapsed="false">
      <c r="A1190" s="62" t="n">
        <v>0</v>
      </c>
      <c r="B1190" s="62" t="s">
        <v>384</v>
      </c>
      <c r="C1190" s="62" t="s">
        <v>60</v>
      </c>
      <c r="D1190" s="62" t="s">
        <v>72</v>
      </c>
      <c r="E1190" s="62" t="s">
        <v>382</v>
      </c>
      <c r="F1190" s="63" t="s">
        <v>439</v>
      </c>
      <c r="G1190" s="64" t="n">
        <v>-600000</v>
      </c>
      <c r="H1190" s="62" t="s">
        <v>138</v>
      </c>
    </row>
    <row r="1191" customFormat="false" ht="15" hidden="false" customHeight="false" outlineLevel="0" collapsed="false">
      <c r="A1191" s="62" t="n">
        <v>0</v>
      </c>
      <c r="B1191" s="62" t="s">
        <v>385</v>
      </c>
      <c r="C1191" s="62" t="s">
        <v>60</v>
      </c>
      <c r="D1191" s="62" t="s">
        <v>72</v>
      </c>
      <c r="E1191" s="62" t="s">
        <v>382</v>
      </c>
      <c r="F1191" s="63" t="s">
        <v>439</v>
      </c>
      <c r="G1191" s="64" t="n">
        <v>-600000</v>
      </c>
      <c r="H1191" s="62" t="s">
        <v>138</v>
      </c>
    </row>
    <row r="1192" customFormat="false" ht="15" hidden="false" customHeight="false" outlineLevel="0" collapsed="false">
      <c r="A1192" s="62" t="n">
        <v>0</v>
      </c>
      <c r="B1192" s="62" t="s">
        <v>386</v>
      </c>
      <c r="C1192" s="62" t="s">
        <v>60</v>
      </c>
      <c r="D1192" s="62" t="s">
        <v>72</v>
      </c>
      <c r="E1192" s="62" t="s">
        <v>382</v>
      </c>
      <c r="F1192" s="63" t="s">
        <v>439</v>
      </c>
      <c r="G1192" s="64" t="n">
        <v>-600000</v>
      </c>
      <c r="H1192" s="62" t="s">
        <v>138</v>
      </c>
    </row>
    <row r="1193" customFormat="false" ht="15" hidden="false" customHeight="false" outlineLevel="0" collapsed="false">
      <c r="A1193" s="62" t="n">
        <v>0</v>
      </c>
      <c r="B1193" s="62" t="s">
        <v>387</v>
      </c>
      <c r="C1193" s="62" t="s">
        <v>60</v>
      </c>
      <c r="D1193" s="62" t="s">
        <v>72</v>
      </c>
      <c r="E1193" s="62" t="s">
        <v>382</v>
      </c>
      <c r="F1193" s="63" t="s">
        <v>439</v>
      </c>
      <c r="G1193" s="64" t="n">
        <v>-600000</v>
      </c>
      <c r="H1193" s="62" t="s">
        <v>138</v>
      </c>
    </row>
    <row r="1194" customFormat="false" ht="15" hidden="false" customHeight="false" outlineLevel="0" collapsed="false">
      <c r="A1194" s="62" t="n">
        <v>0</v>
      </c>
      <c r="B1194" s="62" t="s">
        <v>388</v>
      </c>
      <c r="C1194" s="62" t="s">
        <v>60</v>
      </c>
      <c r="D1194" s="62" t="s">
        <v>72</v>
      </c>
      <c r="E1194" s="62" t="s">
        <v>382</v>
      </c>
      <c r="F1194" s="63" t="s">
        <v>439</v>
      </c>
      <c r="G1194" s="64" t="n">
        <v>-600000</v>
      </c>
      <c r="H1194" s="62" t="s">
        <v>138</v>
      </c>
    </row>
    <row r="1195" customFormat="false" ht="15" hidden="false" customHeight="false" outlineLevel="0" collapsed="false">
      <c r="A1195" s="62" t="n">
        <v>0</v>
      </c>
      <c r="B1195" s="62" t="s">
        <v>381</v>
      </c>
      <c r="C1195" s="62" t="s">
        <v>60</v>
      </c>
      <c r="D1195" s="62" t="s">
        <v>72</v>
      </c>
      <c r="E1195" s="62" t="s">
        <v>382</v>
      </c>
      <c r="F1195" s="63" t="s">
        <v>453</v>
      </c>
      <c r="G1195" s="64" t="n">
        <v>-552240.165253233</v>
      </c>
      <c r="H1195" s="62" t="s">
        <v>138</v>
      </c>
    </row>
    <row r="1196" customFormat="false" ht="15" hidden="false" customHeight="false" outlineLevel="0" collapsed="false">
      <c r="A1196" s="62" t="n">
        <v>0</v>
      </c>
      <c r="B1196" s="62" t="s">
        <v>383</v>
      </c>
      <c r="C1196" s="62" t="s">
        <v>60</v>
      </c>
      <c r="D1196" s="62" t="s">
        <v>72</v>
      </c>
      <c r="E1196" s="62" t="s">
        <v>382</v>
      </c>
      <c r="F1196" s="63" t="s">
        <v>453</v>
      </c>
      <c r="G1196" s="64" t="n">
        <v>-552240.165253233</v>
      </c>
      <c r="H1196" s="62" t="s">
        <v>138</v>
      </c>
    </row>
    <row r="1197" customFormat="false" ht="15" hidden="false" customHeight="false" outlineLevel="0" collapsed="false">
      <c r="A1197" s="62" t="n">
        <v>0</v>
      </c>
      <c r="B1197" s="62" t="s">
        <v>384</v>
      </c>
      <c r="C1197" s="62" t="s">
        <v>60</v>
      </c>
      <c r="D1197" s="62" t="s">
        <v>72</v>
      </c>
      <c r="E1197" s="62" t="s">
        <v>382</v>
      </c>
      <c r="F1197" s="63" t="s">
        <v>453</v>
      </c>
      <c r="G1197" s="64" t="n">
        <v>-552240.165253233</v>
      </c>
      <c r="H1197" s="62" t="s">
        <v>138</v>
      </c>
    </row>
    <row r="1198" customFormat="false" ht="15" hidden="false" customHeight="false" outlineLevel="0" collapsed="false">
      <c r="A1198" s="62" t="n">
        <v>0</v>
      </c>
      <c r="B1198" s="62" t="s">
        <v>385</v>
      </c>
      <c r="C1198" s="62" t="s">
        <v>60</v>
      </c>
      <c r="D1198" s="62" t="s">
        <v>72</v>
      </c>
      <c r="E1198" s="62" t="s">
        <v>382</v>
      </c>
      <c r="F1198" s="63" t="s">
        <v>453</v>
      </c>
      <c r="G1198" s="64" t="n">
        <v>-552240.165253233</v>
      </c>
      <c r="H1198" s="62" t="s">
        <v>138</v>
      </c>
    </row>
    <row r="1199" customFormat="false" ht="15" hidden="false" customHeight="false" outlineLevel="0" collapsed="false">
      <c r="A1199" s="62" t="n">
        <v>0</v>
      </c>
      <c r="B1199" s="62" t="s">
        <v>386</v>
      </c>
      <c r="C1199" s="62" t="s">
        <v>60</v>
      </c>
      <c r="D1199" s="62" t="s">
        <v>72</v>
      </c>
      <c r="E1199" s="62" t="s">
        <v>382</v>
      </c>
      <c r="F1199" s="63" t="s">
        <v>453</v>
      </c>
      <c r="G1199" s="64" t="n">
        <v>-552240.165253233</v>
      </c>
      <c r="H1199" s="62" t="s">
        <v>138</v>
      </c>
    </row>
    <row r="1200" customFormat="false" ht="15" hidden="false" customHeight="false" outlineLevel="0" collapsed="false">
      <c r="A1200" s="62" t="n">
        <v>0</v>
      </c>
      <c r="B1200" s="62" t="s">
        <v>387</v>
      </c>
      <c r="C1200" s="62" t="s">
        <v>60</v>
      </c>
      <c r="D1200" s="62" t="s">
        <v>72</v>
      </c>
      <c r="E1200" s="62" t="s">
        <v>382</v>
      </c>
      <c r="F1200" s="63" t="s">
        <v>453</v>
      </c>
      <c r="G1200" s="64" t="n">
        <v>-552240.165253233</v>
      </c>
      <c r="H1200" s="62" t="s">
        <v>138</v>
      </c>
    </row>
    <row r="1201" customFormat="false" ht="15" hidden="false" customHeight="false" outlineLevel="0" collapsed="false">
      <c r="A1201" s="62" t="n">
        <v>0</v>
      </c>
      <c r="B1201" s="62" t="s">
        <v>388</v>
      </c>
      <c r="C1201" s="62" t="s">
        <v>60</v>
      </c>
      <c r="D1201" s="62" t="s">
        <v>72</v>
      </c>
      <c r="E1201" s="62" t="s">
        <v>382</v>
      </c>
      <c r="F1201" s="63" t="s">
        <v>453</v>
      </c>
      <c r="G1201" s="64" t="n">
        <v>-552240.165253233</v>
      </c>
      <c r="H1201" s="62" t="s">
        <v>138</v>
      </c>
    </row>
    <row r="1202" customFormat="false" ht="15" hidden="false" customHeight="false" outlineLevel="0" collapsed="false">
      <c r="A1202" s="62" t="n">
        <v>0</v>
      </c>
      <c r="B1202" s="62" t="s">
        <v>381</v>
      </c>
      <c r="C1202" s="62" t="s">
        <v>60</v>
      </c>
      <c r="D1202" s="62" t="s">
        <v>72</v>
      </c>
      <c r="E1202" s="62" t="s">
        <v>382</v>
      </c>
      <c r="F1202" s="63" t="s">
        <v>454</v>
      </c>
      <c r="G1202" s="64" t="n">
        <v>1730444</v>
      </c>
      <c r="H1202" s="62" t="s">
        <v>138</v>
      </c>
    </row>
    <row r="1203" customFormat="false" ht="15" hidden="false" customHeight="false" outlineLevel="0" collapsed="false">
      <c r="A1203" s="62" t="n">
        <v>0</v>
      </c>
      <c r="B1203" s="62" t="s">
        <v>383</v>
      </c>
      <c r="C1203" s="62" t="s">
        <v>60</v>
      </c>
      <c r="D1203" s="62" t="s">
        <v>72</v>
      </c>
      <c r="E1203" s="62" t="s">
        <v>382</v>
      </c>
      <c r="F1203" s="63" t="s">
        <v>454</v>
      </c>
      <c r="G1203" s="64" t="n">
        <v>1730444</v>
      </c>
      <c r="H1203" s="62" t="s">
        <v>138</v>
      </c>
    </row>
    <row r="1204" customFormat="false" ht="15" hidden="false" customHeight="false" outlineLevel="0" collapsed="false">
      <c r="A1204" s="62" t="n">
        <v>0</v>
      </c>
      <c r="B1204" s="62" t="s">
        <v>384</v>
      </c>
      <c r="C1204" s="62" t="s">
        <v>60</v>
      </c>
      <c r="D1204" s="62" t="s">
        <v>72</v>
      </c>
      <c r="E1204" s="62" t="s">
        <v>382</v>
      </c>
      <c r="F1204" s="63" t="s">
        <v>454</v>
      </c>
      <c r="G1204" s="64" t="n">
        <v>1730444</v>
      </c>
      <c r="H1204" s="62" t="s">
        <v>138</v>
      </c>
    </row>
    <row r="1205" customFormat="false" ht="15" hidden="false" customHeight="false" outlineLevel="0" collapsed="false">
      <c r="A1205" s="62" t="n">
        <v>0</v>
      </c>
      <c r="B1205" s="62" t="s">
        <v>385</v>
      </c>
      <c r="C1205" s="62" t="s">
        <v>60</v>
      </c>
      <c r="D1205" s="62" t="s">
        <v>72</v>
      </c>
      <c r="E1205" s="62" t="s">
        <v>382</v>
      </c>
      <c r="F1205" s="63" t="s">
        <v>454</v>
      </c>
      <c r="G1205" s="64" t="n">
        <v>1730444</v>
      </c>
      <c r="H1205" s="62" t="s">
        <v>138</v>
      </c>
    </row>
    <row r="1206" customFormat="false" ht="15" hidden="false" customHeight="false" outlineLevel="0" collapsed="false">
      <c r="A1206" s="62" t="n">
        <v>0</v>
      </c>
      <c r="B1206" s="62" t="s">
        <v>386</v>
      </c>
      <c r="C1206" s="62" t="s">
        <v>60</v>
      </c>
      <c r="D1206" s="62" t="s">
        <v>72</v>
      </c>
      <c r="E1206" s="62" t="s">
        <v>382</v>
      </c>
      <c r="F1206" s="63" t="s">
        <v>454</v>
      </c>
      <c r="G1206" s="64" t="n">
        <v>1730444</v>
      </c>
      <c r="H1206" s="62" t="s">
        <v>138</v>
      </c>
    </row>
    <row r="1207" customFormat="false" ht="15" hidden="false" customHeight="false" outlineLevel="0" collapsed="false">
      <c r="A1207" s="62" t="n">
        <v>0</v>
      </c>
      <c r="B1207" s="62" t="s">
        <v>387</v>
      </c>
      <c r="C1207" s="62" t="s">
        <v>60</v>
      </c>
      <c r="D1207" s="62" t="s">
        <v>72</v>
      </c>
      <c r="E1207" s="62" t="s">
        <v>382</v>
      </c>
      <c r="F1207" s="63" t="s">
        <v>454</v>
      </c>
      <c r="G1207" s="64" t="n">
        <v>1730444</v>
      </c>
      <c r="H1207" s="62" t="s">
        <v>138</v>
      </c>
    </row>
    <row r="1208" customFormat="false" ht="15" hidden="false" customHeight="false" outlineLevel="0" collapsed="false">
      <c r="A1208" s="62" t="n">
        <v>0</v>
      </c>
      <c r="B1208" s="62" t="s">
        <v>388</v>
      </c>
      <c r="C1208" s="62" t="s">
        <v>60</v>
      </c>
      <c r="D1208" s="62" t="s">
        <v>72</v>
      </c>
      <c r="E1208" s="62" t="s">
        <v>382</v>
      </c>
      <c r="F1208" s="63" t="s">
        <v>454</v>
      </c>
      <c r="G1208" s="64" t="n">
        <v>1730444</v>
      </c>
      <c r="H1208" s="62" t="s">
        <v>138</v>
      </c>
    </row>
    <row r="1209" customFormat="false" ht="15" hidden="false" customHeight="false" outlineLevel="0" collapsed="false">
      <c r="A1209" s="62" t="n">
        <v>0</v>
      </c>
      <c r="B1209" s="62" t="s">
        <v>381</v>
      </c>
      <c r="C1209" s="62" t="s">
        <v>60</v>
      </c>
      <c r="D1209" s="62" t="s">
        <v>72</v>
      </c>
      <c r="E1209" s="62" t="s">
        <v>382</v>
      </c>
      <c r="F1209" s="63" t="s">
        <v>455</v>
      </c>
      <c r="G1209" s="64" t="n">
        <v>1178203.83474677</v>
      </c>
      <c r="H1209" s="62" t="s">
        <v>138</v>
      </c>
    </row>
    <row r="1210" customFormat="false" ht="15" hidden="false" customHeight="false" outlineLevel="0" collapsed="false">
      <c r="A1210" s="62" t="n">
        <v>0</v>
      </c>
      <c r="B1210" s="62" t="s">
        <v>383</v>
      </c>
      <c r="C1210" s="62" t="s">
        <v>60</v>
      </c>
      <c r="D1210" s="62" t="s">
        <v>72</v>
      </c>
      <c r="E1210" s="62" t="s">
        <v>382</v>
      </c>
      <c r="F1210" s="63" t="s">
        <v>455</v>
      </c>
      <c r="G1210" s="64" t="n">
        <v>1178203.83474677</v>
      </c>
      <c r="H1210" s="62" t="s">
        <v>138</v>
      </c>
    </row>
    <row r="1211" customFormat="false" ht="15" hidden="false" customHeight="false" outlineLevel="0" collapsed="false">
      <c r="A1211" s="62" t="n">
        <v>0</v>
      </c>
      <c r="B1211" s="62" t="s">
        <v>384</v>
      </c>
      <c r="C1211" s="62" t="s">
        <v>60</v>
      </c>
      <c r="D1211" s="62" t="s">
        <v>72</v>
      </c>
      <c r="E1211" s="62" t="s">
        <v>382</v>
      </c>
      <c r="F1211" s="63" t="s">
        <v>455</v>
      </c>
      <c r="G1211" s="64" t="n">
        <v>1178203.83474677</v>
      </c>
      <c r="H1211" s="62" t="s">
        <v>138</v>
      </c>
    </row>
    <row r="1212" customFormat="false" ht="15" hidden="false" customHeight="false" outlineLevel="0" collapsed="false">
      <c r="A1212" s="62" t="n">
        <v>0</v>
      </c>
      <c r="B1212" s="62" t="s">
        <v>385</v>
      </c>
      <c r="C1212" s="62" t="s">
        <v>60</v>
      </c>
      <c r="D1212" s="62" t="s">
        <v>72</v>
      </c>
      <c r="E1212" s="62" t="s">
        <v>382</v>
      </c>
      <c r="F1212" s="63" t="s">
        <v>455</v>
      </c>
      <c r="G1212" s="64" t="n">
        <v>1178203.83474677</v>
      </c>
      <c r="H1212" s="62" t="s">
        <v>138</v>
      </c>
    </row>
    <row r="1213" customFormat="false" ht="15" hidden="false" customHeight="false" outlineLevel="0" collapsed="false">
      <c r="A1213" s="62" t="n">
        <v>0</v>
      </c>
      <c r="B1213" s="62" t="s">
        <v>386</v>
      </c>
      <c r="C1213" s="62" t="s">
        <v>60</v>
      </c>
      <c r="D1213" s="62" t="s">
        <v>72</v>
      </c>
      <c r="E1213" s="62" t="s">
        <v>382</v>
      </c>
      <c r="F1213" s="63" t="s">
        <v>455</v>
      </c>
      <c r="G1213" s="64" t="n">
        <v>1178203.83474677</v>
      </c>
      <c r="H1213" s="62" t="s">
        <v>138</v>
      </c>
    </row>
    <row r="1214" customFormat="false" ht="15" hidden="false" customHeight="false" outlineLevel="0" collapsed="false">
      <c r="A1214" s="62" t="n">
        <v>0</v>
      </c>
      <c r="B1214" s="62" t="s">
        <v>387</v>
      </c>
      <c r="C1214" s="62" t="s">
        <v>60</v>
      </c>
      <c r="D1214" s="62" t="s">
        <v>72</v>
      </c>
      <c r="E1214" s="62" t="s">
        <v>382</v>
      </c>
      <c r="F1214" s="63" t="s">
        <v>455</v>
      </c>
      <c r="G1214" s="64" t="n">
        <v>1178203.83474677</v>
      </c>
      <c r="H1214" s="62" t="s">
        <v>138</v>
      </c>
    </row>
    <row r="1215" customFormat="false" ht="15" hidden="false" customHeight="false" outlineLevel="0" collapsed="false">
      <c r="A1215" s="62" t="n">
        <v>0</v>
      </c>
      <c r="B1215" s="62" t="s">
        <v>388</v>
      </c>
      <c r="C1215" s="62" t="s">
        <v>60</v>
      </c>
      <c r="D1215" s="62" t="s">
        <v>72</v>
      </c>
      <c r="E1215" s="62" t="s">
        <v>382</v>
      </c>
      <c r="F1215" s="63" t="s">
        <v>455</v>
      </c>
      <c r="G1215" s="64" t="n">
        <v>1178203.83474677</v>
      </c>
      <c r="H1215" s="62" t="s">
        <v>138</v>
      </c>
    </row>
    <row r="1216" customFormat="false" ht="15" hidden="false" customHeight="false" outlineLevel="0" collapsed="false">
      <c r="A1216" s="62" t="n">
        <v>0</v>
      </c>
      <c r="B1216" s="62" t="s">
        <v>381</v>
      </c>
      <c r="C1216" s="62" t="s">
        <v>60</v>
      </c>
      <c r="D1216" s="62" t="s">
        <v>72</v>
      </c>
      <c r="E1216" s="62" t="s">
        <v>382</v>
      </c>
      <c r="F1216" s="63" t="s">
        <v>457</v>
      </c>
      <c r="G1216" s="64" t="n">
        <v>1741617.98389484</v>
      </c>
      <c r="H1216" s="62" t="s">
        <v>138</v>
      </c>
    </row>
    <row r="1217" customFormat="false" ht="15" hidden="false" customHeight="false" outlineLevel="0" collapsed="false">
      <c r="A1217" s="62" t="n">
        <v>0</v>
      </c>
      <c r="B1217" s="62" t="s">
        <v>383</v>
      </c>
      <c r="C1217" s="62" t="s">
        <v>60</v>
      </c>
      <c r="D1217" s="62" t="s">
        <v>72</v>
      </c>
      <c r="E1217" s="62" t="s">
        <v>382</v>
      </c>
      <c r="F1217" s="63" t="s">
        <v>457</v>
      </c>
      <c r="G1217" s="64" t="n">
        <v>1741617.98389484</v>
      </c>
      <c r="H1217" s="62" t="s">
        <v>138</v>
      </c>
    </row>
    <row r="1218" customFormat="false" ht="15" hidden="false" customHeight="false" outlineLevel="0" collapsed="false">
      <c r="A1218" s="62" t="n">
        <v>0</v>
      </c>
      <c r="B1218" s="62" t="s">
        <v>384</v>
      </c>
      <c r="C1218" s="62" t="s">
        <v>60</v>
      </c>
      <c r="D1218" s="62" t="s">
        <v>72</v>
      </c>
      <c r="E1218" s="62" t="s">
        <v>382</v>
      </c>
      <c r="F1218" s="63" t="s">
        <v>457</v>
      </c>
      <c r="G1218" s="64" t="n">
        <v>1741617.98389484</v>
      </c>
      <c r="H1218" s="62" t="s">
        <v>138</v>
      </c>
    </row>
    <row r="1219" customFormat="false" ht="15" hidden="false" customHeight="false" outlineLevel="0" collapsed="false">
      <c r="A1219" s="62" t="n">
        <v>0</v>
      </c>
      <c r="B1219" s="62" t="s">
        <v>385</v>
      </c>
      <c r="C1219" s="62" t="s">
        <v>60</v>
      </c>
      <c r="D1219" s="62" t="s">
        <v>72</v>
      </c>
      <c r="E1219" s="62" t="s">
        <v>382</v>
      </c>
      <c r="F1219" s="63" t="s">
        <v>457</v>
      </c>
      <c r="G1219" s="64" t="n">
        <v>1741617.98389484</v>
      </c>
      <c r="H1219" s="62" t="s">
        <v>138</v>
      </c>
    </row>
    <row r="1220" customFormat="false" ht="15" hidden="false" customHeight="false" outlineLevel="0" collapsed="false">
      <c r="A1220" s="62" t="n">
        <v>0</v>
      </c>
      <c r="B1220" s="62" t="s">
        <v>386</v>
      </c>
      <c r="C1220" s="62" t="s">
        <v>60</v>
      </c>
      <c r="D1220" s="62" t="s">
        <v>72</v>
      </c>
      <c r="E1220" s="62" t="s">
        <v>382</v>
      </c>
      <c r="F1220" s="63" t="s">
        <v>457</v>
      </c>
      <c r="G1220" s="64" t="n">
        <v>1741617.98389484</v>
      </c>
      <c r="H1220" s="62" t="s">
        <v>138</v>
      </c>
    </row>
    <row r="1221" customFormat="false" ht="15" hidden="false" customHeight="false" outlineLevel="0" collapsed="false">
      <c r="A1221" s="62" t="n">
        <v>0</v>
      </c>
      <c r="B1221" s="62" t="s">
        <v>387</v>
      </c>
      <c r="C1221" s="62" t="s">
        <v>60</v>
      </c>
      <c r="D1221" s="62" t="s">
        <v>72</v>
      </c>
      <c r="E1221" s="62" t="s">
        <v>382</v>
      </c>
      <c r="F1221" s="63" t="s">
        <v>457</v>
      </c>
      <c r="G1221" s="64" t="n">
        <v>1741617.98389484</v>
      </c>
      <c r="H1221" s="62" t="s">
        <v>138</v>
      </c>
    </row>
    <row r="1222" customFormat="false" ht="15" hidden="false" customHeight="false" outlineLevel="0" collapsed="false">
      <c r="A1222" s="62" t="n">
        <v>0</v>
      </c>
      <c r="B1222" s="62" t="s">
        <v>388</v>
      </c>
      <c r="C1222" s="62" t="s">
        <v>60</v>
      </c>
      <c r="D1222" s="62" t="s">
        <v>72</v>
      </c>
      <c r="E1222" s="62" t="s">
        <v>382</v>
      </c>
      <c r="F1222" s="63" t="s">
        <v>457</v>
      </c>
      <c r="G1222" s="64" t="n">
        <v>1741617.98389484</v>
      </c>
      <c r="H1222" s="62" t="s">
        <v>138</v>
      </c>
    </row>
    <row r="1223" customFormat="false" ht="15" hidden="false" customHeight="false" outlineLevel="0" collapsed="false">
      <c r="A1223" s="62" t="n">
        <v>0</v>
      </c>
      <c r="B1223" s="62" t="s">
        <v>381</v>
      </c>
      <c r="C1223" s="62" t="s">
        <v>60</v>
      </c>
      <c r="D1223" s="62" t="s">
        <v>72</v>
      </c>
      <c r="E1223" s="62" t="s">
        <v>382</v>
      </c>
      <c r="F1223" s="63" t="s">
        <v>458</v>
      </c>
      <c r="G1223" s="64" t="n">
        <v>54587585.1614142</v>
      </c>
      <c r="H1223" s="62" t="s">
        <v>138</v>
      </c>
    </row>
    <row r="1224" customFormat="false" ht="15" hidden="false" customHeight="false" outlineLevel="0" collapsed="false">
      <c r="A1224" s="62" t="n">
        <v>0</v>
      </c>
      <c r="B1224" s="62" t="s">
        <v>383</v>
      </c>
      <c r="C1224" s="62" t="s">
        <v>60</v>
      </c>
      <c r="D1224" s="62" t="s">
        <v>72</v>
      </c>
      <c r="E1224" s="62" t="s">
        <v>382</v>
      </c>
      <c r="F1224" s="63" t="s">
        <v>458</v>
      </c>
      <c r="G1224" s="64" t="n">
        <v>54587585.1614142</v>
      </c>
      <c r="H1224" s="62" t="s">
        <v>138</v>
      </c>
    </row>
    <row r="1225" customFormat="false" ht="15" hidden="false" customHeight="false" outlineLevel="0" collapsed="false">
      <c r="A1225" s="62" t="n">
        <v>0</v>
      </c>
      <c r="B1225" s="62" t="s">
        <v>384</v>
      </c>
      <c r="C1225" s="62" t="s">
        <v>60</v>
      </c>
      <c r="D1225" s="62" t="s">
        <v>72</v>
      </c>
      <c r="E1225" s="62" t="s">
        <v>382</v>
      </c>
      <c r="F1225" s="63" t="s">
        <v>458</v>
      </c>
      <c r="G1225" s="64" t="n">
        <v>54587585.1614142</v>
      </c>
      <c r="H1225" s="62" t="s">
        <v>138</v>
      </c>
    </row>
    <row r="1226" customFormat="false" ht="15" hidden="false" customHeight="false" outlineLevel="0" collapsed="false">
      <c r="A1226" s="62" t="n">
        <v>0</v>
      </c>
      <c r="B1226" s="62" t="s">
        <v>385</v>
      </c>
      <c r="C1226" s="62" t="s">
        <v>60</v>
      </c>
      <c r="D1226" s="62" t="s">
        <v>72</v>
      </c>
      <c r="E1226" s="62" t="s">
        <v>382</v>
      </c>
      <c r="F1226" s="63" t="s">
        <v>458</v>
      </c>
      <c r="G1226" s="64" t="n">
        <v>54587585.1614142</v>
      </c>
      <c r="H1226" s="62" t="s">
        <v>138</v>
      </c>
    </row>
    <row r="1227" customFormat="false" ht="15" hidden="false" customHeight="false" outlineLevel="0" collapsed="false">
      <c r="A1227" s="62" t="n">
        <v>0</v>
      </c>
      <c r="B1227" s="62" t="s">
        <v>386</v>
      </c>
      <c r="C1227" s="62" t="s">
        <v>60</v>
      </c>
      <c r="D1227" s="62" t="s">
        <v>72</v>
      </c>
      <c r="E1227" s="62" t="s">
        <v>382</v>
      </c>
      <c r="F1227" s="63" t="s">
        <v>458</v>
      </c>
      <c r="G1227" s="64" t="n">
        <v>54587585.1614142</v>
      </c>
      <c r="H1227" s="62" t="s">
        <v>138</v>
      </c>
    </row>
    <row r="1228" customFormat="false" ht="15" hidden="false" customHeight="false" outlineLevel="0" collapsed="false">
      <c r="A1228" s="62" t="n">
        <v>0</v>
      </c>
      <c r="B1228" s="62" t="s">
        <v>387</v>
      </c>
      <c r="C1228" s="62" t="s">
        <v>60</v>
      </c>
      <c r="D1228" s="62" t="s">
        <v>72</v>
      </c>
      <c r="E1228" s="62" t="s">
        <v>382</v>
      </c>
      <c r="F1228" s="63" t="s">
        <v>458</v>
      </c>
      <c r="G1228" s="64" t="n">
        <v>54587585.1614142</v>
      </c>
      <c r="H1228" s="62" t="s">
        <v>138</v>
      </c>
    </row>
    <row r="1229" customFormat="false" ht="15" hidden="false" customHeight="false" outlineLevel="0" collapsed="false">
      <c r="A1229" s="62" t="n">
        <v>0</v>
      </c>
      <c r="B1229" s="62" t="s">
        <v>388</v>
      </c>
      <c r="C1229" s="62" t="s">
        <v>60</v>
      </c>
      <c r="D1229" s="62" t="s">
        <v>72</v>
      </c>
      <c r="E1229" s="62" t="s">
        <v>382</v>
      </c>
      <c r="F1229" s="63" t="s">
        <v>458</v>
      </c>
      <c r="G1229" s="64" t="n">
        <v>54587585.1614142</v>
      </c>
      <c r="H1229" s="62" t="s">
        <v>138</v>
      </c>
    </row>
    <row r="1230" customFormat="false" ht="15" hidden="false" customHeight="false" outlineLevel="0" collapsed="false">
      <c r="A1230" s="62" t="n">
        <v>0</v>
      </c>
      <c r="B1230" s="62" t="s">
        <v>381</v>
      </c>
      <c r="C1230" s="62" t="s">
        <v>60</v>
      </c>
      <c r="D1230" s="62" t="s">
        <v>72</v>
      </c>
      <c r="E1230" s="62" t="s">
        <v>382</v>
      </c>
      <c r="F1230" s="63" t="s">
        <v>459</v>
      </c>
      <c r="G1230" s="64" t="n">
        <v>1625000</v>
      </c>
      <c r="H1230" s="62" t="s">
        <v>138</v>
      </c>
    </row>
    <row r="1231" customFormat="false" ht="15" hidden="false" customHeight="false" outlineLevel="0" collapsed="false">
      <c r="A1231" s="62" t="n">
        <v>0</v>
      </c>
      <c r="B1231" s="62" t="s">
        <v>383</v>
      </c>
      <c r="C1231" s="62" t="s">
        <v>60</v>
      </c>
      <c r="D1231" s="62" t="s">
        <v>72</v>
      </c>
      <c r="E1231" s="62" t="s">
        <v>382</v>
      </c>
      <c r="F1231" s="63" t="s">
        <v>459</v>
      </c>
      <c r="G1231" s="64" t="n">
        <v>1625000</v>
      </c>
      <c r="H1231" s="62" t="s">
        <v>138</v>
      </c>
    </row>
    <row r="1232" customFormat="false" ht="15" hidden="false" customHeight="false" outlineLevel="0" collapsed="false">
      <c r="A1232" s="62" t="n">
        <v>0</v>
      </c>
      <c r="B1232" s="62" t="s">
        <v>384</v>
      </c>
      <c r="C1232" s="62" t="s">
        <v>60</v>
      </c>
      <c r="D1232" s="62" t="s">
        <v>72</v>
      </c>
      <c r="E1232" s="62" t="s">
        <v>382</v>
      </c>
      <c r="F1232" s="63" t="s">
        <v>459</v>
      </c>
      <c r="G1232" s="64" t="n">
        <v>1625000</v>
      </c>
      <c r="H1232" s="62" t="s">
        <v>138</v>
      </c>
    </row>
    <row r="1233" customFormat="false" ht="15" hidden="false" customHeight="false" outlineLevel="0" collapsed="false">
      <c r="A1233" s="62" t="n">
        <v>0</v>
      </c>
      <c r="B1233" s="62" t="s">
        <v>385</v>
      </c>
      <c r="C1233" s="62" t="s">
        <v>60</v>
      </c>
      <c r="D1233" s="62" t="s">
        <v>72</v>
      </c>
      <c r="E1233" s="62" t="s">
        <v>382</v>
      </c>
      <c r="F1233" s="63" t="s">
        <v>459</v>
      </c>
      <c r="G1233" s="64" t="n">
        <v>1625000</v>
      </c>
      <c r="H1233" s="62" t="s">
        <v>138</v>
      </c>
    </row>
    <row r="1234" customFormat="false" ht="15" hidden="false" customHeight="false" outlineLevel="0" collapsed="false">
      <c r="A1234" s="62" t="n">
        <v>0</v>
      </c>
      <c r="B1234" s="62" t="s">
        <v>386</v>
      </c>
      <c r="C1234" s="62" t="s">
        <v>60</v>
      </c>
      <c r="D1234" s="62" t="s">
        <v>72</v>
      </c>
      <c r="E1234" s="62" t="s">
        <v>382</v>
      </c>
      <c r="F1234" s="63" t="s">
        <v>459</v>
      </c>
      <c r="G1234" s="64" t="n">
        <v>1625000</v>
      </c>
      <c r="H1234" s="62" t="s">
        <v>138</v>
      </c>
    </row>
    <row r="1235" customFormat="false" ht="15" hidden="false" customHeight="false" outlineLevel="0" collapsed="false">
      <c r="A1235" s="62" t="n">
        <v>0</v>
      </c>
      <c r="B1235" s="62" t="s">
        <v>387</v>
      </c>
      <c r="C1235" s="62" t="s">
        <v>60</v>
      </c>
      <c r="D1235" s="62" t="s">
        <v>72</v>
      </c>
      <c r="E1235" s="62" t="s">
        <v>382</v>
      </c>
      <c r="F1235" s="63" t="s">
        <v>459</v>
      </c>
      <c r="G1235" s="64" t="n">
        <v>1625000</v>
      </c>
      <c r="H1235" s="62" t="s">
        <v>138</v>
      </c>
    </row>
    <row r="1236" customFormat="false" ht="15" hidden="false" customHeight="false" outlineLevel="0" collapsed="false">
      <c r="A1236" s="62" t="n">
        <v>0</v>
      </c>
      <c r="B1236" s="62" t="s">
        <v>388</v>
      </c>
      <c r="C1236" s="62" t="s">
        <v>60</v>
      </c>
      <c r="D1236" s="62" t="s">
        <v>72</v>
      </c>
      <c r="E1236" s="62" t="s">
        <v>382</v>
      </c>
      <c r="F1236" s="63" t="s">
        <v>459</v>
      </c>
      <c r="G1236" s="64" t="n">
        <v>1625000</v>
      </c>
      <c r="H1236" s="62" t="s">
        <v>138</v>
      </c>
    </row>
    <row r="1237" customFormat="false" ht="15" hidden="false" customHeight="false" outlineLevel="0" collapsed="false">
      <c r="A1237" s="62" t="n">
        <v>0</v>
      </c>
      <c r="B1237" s="62" t="s">
        <v>381</v>
      </c>
      <c r="C1237" s="62" t="s">
        <v>60</v>
      </c>
      <c r="D1237" s="62" t="s">
        <v>72</v>
      </c>
      <c r="E1237" s="62" t="s">
        <v>382</v>
      </c>
      <c r="F1237" s="63" t="s">
        <v>460</v>
      </c>
      <c r="G1237" s="64" t="n">
        <v>33.5923600993318</v>
      </c>
      <c r="H1237" s="62" t="s">
        <v>138</v>
      </c>
    </row>
    <row r="1238" customFormat="false" ht="15" hidden="false" customHeight="false" outlineLevel="0" collapsed="false">
      <c r="A1238" s="62" t="n">
        <v>0</v>
      </c>
      <c r="B1238" s="62" t="s">
        <v>383</v>
      </c>
      <c r="C1238" s="62" t="s">
        <v>60</v>
      </c>
      <c r="D1238" s="62" t="s">
        <v>72</v>
      </c>
      <c r="E1238" s="62" t="s">
        <v>382</v>
      </c>
      <c r="F1238" s="63" t="s">
        <v>460</v>
      </c>
      <c r="G1238" s="64" t="n">
        <v>33.5923600993318</v>
      </c>
      <c r="H1238" s="62" t="s">
        <v>138</v>
      </c>
    </row>
    <row r="1239" customFormat="false" ht="15" hidden="false" customHeight="false" outlineLevel="0" collapsed="false">
      <c r="A1239" s="62" t="n">
        <v>0</v>
      </c>
      <c r="B1239" s="62" t="s">
        <v>384</v>
      </c>
      <c r="C1239" s="62" t="s">
        <v>60</v>
      </c>
      <c r="D1239" s="62" t="s">
        <v>72</v>
      </c>
      <c r="E1239" s="62" t="s">
        <v>382</v>
      </c>
      <c r="F1239" s="63" t="s">
        <v>460</v>
      </c>
      <c r="G1239" s="64" t="n">
        <v>33.5923600993318</v>
      </c>
      <c r="H1239" s="62" t="s">
        <v>138</v>
      </c>
    </row>
    <row r="1240" customFormat="false" ht="15" hidden="false" customHeight="false" outlineLevel="0" collapsed="false">
      <c r="A1240" s="62" t="n">
        <v>0</v>
      </c>
      <c r="B1240" s="62" t="s">
        <v>385</v>
      </c>
      <c r="C1240" s="62" t="s">
        <v>60</v>
      </c>
      <c r="D1240" s="62" t="s">
        <v>72</v>
      </c>
      <c r="E1240" s="62" t="s">
        <v>382</v>
      </c>
      <c r="F1240" s="63" t="s">
        <v>460</v>
      </c>
      <c r="G1240" s="64" t="n">
        <v>33.5923600993318</v>
      </c>
      <c r="H1240" s="62" t="s">
        <v>138</v>
      </c>
    </row>
    <row r="1241" customFormat="false" ht="15" hidden="false" customHeight="false" outlineLevel="0" collapsed="false">
      <c r="A1241" s="62" t="n">
        <v>0</v>
      </c>
      <c r="B1241" s="62" t="s">
        <v>386</v>
      </c>
      <c r="C1241" s="62" t="s">
        <v>60</v>
      </c>
      <c r="D1241" s="62" t="s">
        <v>72</v>
      </c>
      <c r="E1241" s="62" t="s">
        <v>382</v>
      </c>
      <c r="F1241" s="63" t="s">
        <v>460</v>
      </c>
      <c r="G1241" s="64" t="n">
        <v>33.5923600993318</v>
      </c>
      <c r="H1241" s="62" t="s">
        <v>138</v>
      </c>
    </row>
    <row r="1242" customFormat="false" ht="15" hidden="false" customHeight="false" outlineLevel="0" collapsed="false">
      <c r="A1242" s="62" t="n">
        <v>0</v>
      </c>
      <c r="B1242" s="62" t="s">
        <v>387</v>
      </c>
      <c r="C1242" s="62" t="s">
        <v>60</v>
      </c>
      <c r="D1242" s="62" t="s">
        <v>72</v>
      </c>
      <c r="E1242" s="62" t="s">
        <v>382</v>
      </c>
      <c r="F1242" s="63" t="s">
        <v>460</v>
      </c>
      <c r="G1242" s="64" t="n">
        <v>33.5923600993318</v>
      </c>
      <c r="H1242" s="62" t="s">
        <v>138</v>
      </c>
    </row>
    <row r="1243" customFormat="false" ht="15" hidden="false" customHeight="false" outlineLevel="0" collapsed="false">
      <c r="A1243" s="62" t="n">
        <v>0</v>
      </c>
      <c r="B1243" s="62" t="s">
        <v>388</v>
      </c>
      <c r="C1243" s="62" t="s">
        <v>60</v>
      </c>
      <c r="D1243" s="62" t="s">
        <v>72</v>
      </c>
      <c r="E1243" s="62" t="s">
        <v>382</v>
      </c>
      <c r="F1243" s="63" t="s">
        <v>460</v>
      </c>
      <c r="G1243" s="64" t="n">
        <v>33.5923600993318</v>
      </c>
      <c r="H1243" s="62" t="s">
        <v>138</v>
      </c>
    </row>
    <row r="1244" customFormat="false" ht="15" hidden="false" customHeight="false" outlineLevel="0" collapsed="false">
      <c r="A1244" s="62" t="n">
        <v>0</v>
      </c>
      <c r="B1244" s="62" t="s">
        <v>381</v>
      </c>
      <c r="C1244" s="62" t="s">
        <v>60</v>
      </c>
      <c r="D1244" s="62" t="s">
        <v>72</v>
      </c>
      <c r="E1244" s="62" t="s">
        <v>382</v>
      </c>
      <c r="F1244" s="63" t="s">
        <v>461</v>
      </c>
      <c r="G1244" s="64" t="n">
        <v>2.76923076923077</v>
      </c>
      <c r="H1244" s="62" t="s">
        <v>138</v>
      </c>
    </row>
    <row r="1245" customFormat="false" ht="15" hidden="false" customHeight="false" outlineLevel="0" collapsed="false">
      <c r="A1245" s="62" t="n">
        <v>0</v>
      </c>
      <c r="B1245" s="62" t="s">
        <v>383</v>
      </c>
      <c r="C1245" s="62" t="s">
        <v>60</v>
      </c>
      <c r="D1245" s="62" t="s">
        <v>72</v>
      </c>
      <c r="E1245" s="62" t="s">
        <v>382</v>
      </c>
      <c r="F1245" s="63" t="s">
        <v>461</v>
      </c>
      <c r="G1245" s="64" t="n">
        <v>2.76923076923077</v>
      </c>
      <c r="H1245" s="62" t="s">
        <v>138</v>
      </c>
    </row>
    <row r="1246" customFormat="false" ht="15" hidden="false" customHeight="false" outlineLevel="0" collapsed="false">
      <c r="A1246" s="62" t="n">
        <v>0</v>
      </c>
      <c r="B1246" s="62" t="s">
        <v>384</v>
      </c>
      <c r="C1246" s="62" t="s">
        <v>60</v>
      </c>
      <c r="D1246" s="62" t="s">
        <v>72</v>
      </c>
      <c r="E1246" s="62" t="s">
        <v>382</v>
      </c>
      <c r="F1246" s="63" t="s">
        <v>461</v>
      </c>
      <c r="G1246" s="64" t="n">
        <v>2.76923076923077</v>
      </c>
      <c r="H1246" s="62" t="s">
        <v>138</v>
      </c>
    </row>
    <row r="1247" customFormat="false" ht="15" hidden="false" customHeight="false" outlineLevel="0" collapsed="false">
      <c r="A1247" s="62" t="n">
        <v>0</v>
      </c>
      <c r="B1247" s="62" t="s">
        <v>385</v>
      </c>
      <c r="C1247" s="62" t="s">
        <v>60</v>
      </c>
      <c r="D1247" s="62" t="s">
        <v>72</v>
      </c>
      <c r="E1247" s="62" t="s">
        <v>382</v>
      </c>
      <c r="F1247" s="63" t="s">
        <v>461</v>
      </c>
      <c r="G1247" s="64" t="n">
        <v>2.76923076923077</v>
      </c>
      <c r="H1247" s="62" t="s">
        <v>138</v>
      </c>
    </row>
    <row r="1248" customFormat="false" ht="15" hidden="false" customHeight="false" outlineLevel="0" collapsed="false">
      <c r="A1248" s="62" t="n">
        <v>0</v>
      </c>
      <c r="B1248" s="62" t="s">
        <v>386</v>
      </c>
      <c r="C1248" s="62" t="s">
        <v>60</v>
      </c>
      <c r="D1248" s="62" t="s">
        <v>72</v>
      </c>
      <c r="E1248" s="62" t="s">
        <v>382</v>
      </c>
      <c r="F1248" s="63" t="s">
        <v>461</v>
      </c>
      <c r="G1248" s="64" t="n">
        <v>2.76923076923077</v>
      </c>
      <c r="H1248" s="62" t="s">
        <v>138</v>
      </c>
    </row>
    <row r="1249" customFormat="false" ht="15" hidden="false" customHeight="false" outlineLevel="0" collapsed="false">
      <c r="A1249" s="62" t="n">
        <v>0</v>
      </c>
      <c r="B1249" s="62" t="s">
        <v>387</v>
      </c>
      <c r="C1249" s="62" t="s">
        <v>60</v>
      </c>
      <c r="D1249" s="62" t="s">
        <v>72</v>
      </c>
      <c r="E1249" s="62" t="s">
        <v>382</v>
      </c>
      <c r="F1249" s="63" t="s">
        <v>461</v>
      </c>
      <c r="G1249" s="64" t="n">
        <v>2.76923076923077</v>
      </c>
      <c r="H1249" s="62" t="s">
        <v>138</v>
      </c>
    </row>
    <row r="1250" customFormat="false" ht="15" hidden="false" customHeight="false" outlineLevel="0" collapsed="false">
      <c r="A1250" s="62" t="n">
        <v>0</v>
      </c>
      <c r="B1250" s="62" t="s">
        <v>388</v>
      </c>
      <c r="C1250" s="62" t="s">
        <v>60</v>
      </c>
      <c r="D1250" s="62" t="s">
        <v>72</v>
      </c>
      <c r="E1250" s="62" t="s">
        <v>382</v>
      </c>
      <c r="F1250" s="63" t="s">
        <v>461</v>
      </c>
      <c r="G1250" s="64" t="n">
        <v>2.76923076923077</v>
      </c>
      <c r="H1250" s="62" t="s">
        <v>138</v>
      </c>
    </row>
    <row r="1251" customFormat="false" ht="15" hidden="false" customHeight="false" outlineLevel="0" collapsed="false">
      <c r="A1251" s="62" t="n">
        <v>0</v>
      </c>
      <c r="B1251" s="62" t="s">
        <v>381</v>
      </c>
      <c r="C1251" s="62" t="s">
        <v>60</v>
      </c>
      <c r="D1251" s="62" t="s">
        <v>72</v>
      </c>
      <c r="E1251" s="62" t="s">
        <v>382</v>
      </c>
      <c r="F1251" s="63" t="s">
        <v>462</v>
      </c>
      <c r="G1251" s="64" t="n">
        <v>0</v>
      </c>
      <c r="H1251" s="62" t="s">
        <v>138</v>
      </c>
    </row>
    <row r="1252" customFormat="false" ht="15" hidden="false" customHeight="false" outlineLevel="0" collapsed="false">
      <c r="A1252" s="62" t="n">
        <v>0</v>
      </c>
      <c r="B1252" s="62" t="s">
        <v>383</v>
      </c>
      <c r="C1252" s="62" t="s">
        <v>60</v>
      </c>
      <c r="D1252" s="62" t="s">
        <v>72</v>
      </c>
      <c r="E1252" s="62" t="s">
        <v>382</v>
      </c>
      <c r="F1252" s="63" t="s">
        <v>462</v>
      </c>
      <c r="G1252" s="64" t="n">
        <v>0</v>
      </c>
      <c r="H1252" s="62" t="s">
        <v>138</v>
      </c>
    </row>
    <row r="1253" customFormat="false" ht="15" hidden="false" customHeight="false" outlineLevel="0" collapsed="false">
      <c r="A1253" s="62" t="n">
        <v>0</v>
      </c>
      <c r="B1253" s="62" t="s">
        <v>384</v>
      </c>
      <c r="C1253" s="62" t="s">
        <v>60</v>
      </c>
      <c r="D1253" s="62" t="s">
        <v>72</v>
      </c>
      <c r="E1253" s="62" t="s">
        <v>382</v>
      </c>
      <c r="F1253" s="63" t="s">
        <v>462</v>
      </c>
      <c r="G1253" s="64" t="n">
        <v>0</v>
      </c>
      <c r="H1253" s="62" t="s">
        <v>138</v>
      </c>
    </row>
    <row r="1254" customFormat="false" ht="15" hidden="false" customHeight="false" outlineLevel="0" collapsed="false">
      <c r="A1254" s="62" t="n">
        <v>0</v>
      </c>
      <c r="B1254" s="62" t="s">
        <v>385</v>
      </c>
      <c r="C1254" s="62" t="s">
        <v>60</v>
      </c>
      <c r="D1254" s="62" t="s">
        <v>72</v>
      </c>
      <c r="E1254" s="62" t="s">
        <v>382</v>
      </c>
      <c r="F1254" s="63" t="s">
        <v>462</v>
      </c>
      <c r="G1254" s="64" t="n">
        <v>0</v>
      </c>
      <c r="H1254" s="62" t="s">
        <v>138</v>
      </c>
    </row>
    <row r="1255" customFormat="false" ht="15" hidden="false" customHeight="false" outlineLevel="0" collapsed="false">
      <c r="A1255" s="62" t="n">
        <v>0</v>
      </c>
      <c r="B1255" s="62" t="s">
        <v>386</v>
      </c>
      <c r="C1255" s="62" t="s">
        <v>60</v>
      </c>
      <c r="D1255" s="62" t="s">
        <v>72</v>
      </c>
      <c r="E1255" s="62" t="s">
        <v>382</v>
      </c>
      <c r="F1255" s="63" t="s">
        <v>462</v>
      </c>
      <c r="G1255" s="64" t="n">
        <v>0</v>
      </c>
      <c r="H1255" s="62" t="s">
        <v>138</v>
      </c>
    </row>
    <row r="1256" customFormat="false" ht="15" hidden="false" customHeight="false" outlineLevel="0" collapsed="false">
      <c r="A1256" s="62" t="n">
        <v>0</v>
      </c>
      <c r="B1256" s="62" t="s">
        <v>387</v>
      </c>
      <c r="C1256" s="62" t="s">
        <v>60</v>
      </c>
      <c r="D1256" s="62" t="s">
        <v>72</v>
      </c>
      <c r="E1256" s="62" t="s">
        <v>382</v>
      </c>
      <c r="F1256" s="63" t="s">
        <v>462</v>
      </c>
      <c r="G1256" s="64" t="n">
        <v>0</v>
      </c>
      <c r="H1256" s="62" t="s">
        <v>138</v>
      </c>
    </row>
    <row r="1257" customFormat="false" ht="15" hidden="false" customHeight="false" outlineLevel="0" collapsed="false">
      <c r="A1257" s="62" t="n">
        <v>0</v>
      </c>
      <c r="B1257" s="62" t="s">
        <v>388</v>
      </c>
      <c r="C1257" s="62" t="s">
        <v>60</v>
      </c>
      <c r="D1257" s="62" t="s">
        <v>72</v>
      </c>
      <c r="E1257" s="62" t="s">
        <v>382</v>
      </c>
      <c r="F1257" s="63" t="s">
        <v>462</v>
      </c>
      <c r="G1257" s="64" t="n">
        <v>0</v>
      </c>
      <c r="H1257" s="62" t="s">
        <v>138</v>
      </c>
    </row>
    <row r="1258" customFormat="false" ht="15" hidden="false" customHeight="false" outlineLevel="0" collapsed="false">
      <c r="A1258" s="62" t="n">
        <v>0</v>
      </c>
      <c r="B1258" s="62" t="s">
        <v>381</v>
      </c>
      <c r="C1258" s="62" t="s">
        <v>60</v>
      </c>
      <c r="D1258" s="62" t="s">
        <v>72</v>
      </c>
      <c r="E1258" s="62" t="s">
        <v>382</v>
      </c>
      <c r="F1258" s="63" t="s">
        <v>463</v>
      </c>
      <c r="G1258" s="64" t="n">
        <v>31.3430302547394</v>
      </c>
      <c r="H1258" s="62" t="s">
        <v>138</v>
      </c>
    </row>
    <row r="1259" customFormat="false" ht="15" hidden="false" customHeight="false" outlineLevel="0" collapsed="false">
      <c r="A1259" s="62" t="n">
        <v>0</v>
      </c>
      <c r="B1259" s="62" t="s">
        <v>383</v>
      </c>
      <c r="C1259" s="62" t="s">
        <v>60</v>
      </c>
      <c r="D1259" s="62" t="s">
        <v>72</v>
      </c>
      <c r="E1259" s="62" t="s">
        <v>382</v>
      </c>
      <c r="F1259" s="63" t="s">
        <v>463</v>
      </c>
      <c r="G1259" s="64" t="n">
        <v>31.3430302547394</v>
      </c>
      <c r="H1259" s="62" t="s">
        <v>138</v>
      </c>
    </row>
    <row r="1260" customFormat="false" ht="15" hidden="false" customHeight="false" outlineLevel="0" collapsed="false">
      <c r="A1260" s="62" t="n">
        <v>0</v>
      </c>
      <c r="B1260" s="62" t="s">
        <v>384</v>
      </c>
      <c r="C1260" s="62" t="s">
        <v>60</v>
      </c>
      <c r="D1260" s="62" t="s">
        <v>72</v>
      </c>
      <c r="E1260" s="62" t="s">
        <v>382</v>
      </c>
      <c r="F1260" s="63" t="s">
        <v>463</v>
      </c>
      <c r="G1260" s="64" t="n">
        <v>31.3430302547394</v>
      </c>
      <c r="H1260" s="62" t="s">
        <v>138</v>
      </c>
    </row>
    <row r="1261" customFormat="false" ht="15" hidden="false" customHeight="false" outlineLevel="0" collapsed="false">
      <c r="A1261" s="62" t="n">
        <v>0</v>
      </c>
      <c r="B1261" s="62" t="s">
        <v>385</v>
      </c>
      <c r="C1261" s="62" t="s">
        <v>60</v>
      </c>
      <c r="D1261" s="62" t="s">
        <v>72</v>
      </c>
      <c r="E1261" s="62" t="s">
        <v>382</v>
      </c>
      <c r="F1261" s="63" t="s">
        <v>463</v>
      </c>
      <c r="G1261" s="64" t="n">
        <v>31.3430302547394</v>
      </c>
      <c r="H1261" s="62" t="s">
        <v>138</v>
      </c>
    </row>
    <row r="1262" customFormat="false" ht="15" hidden="false" customHeight="false" outlineLevel="0" collapsed="false">
      <c r="A1262" s="62" t="n">
        <v>0</v>
      </c>
      <c r="B1262" s="62" t="s">
        <v>386</v>
      </c>
      <c r="C1262" s="62" t="s">
        <v>60</v>
      </c>
      <c r="D1262" s="62" t="s">
        <v>72</v>
      </c>
      <c r="E1262" s="62" t="s">
        <v>382</v>
      </c>
      <c r="F1262" s="63" t="s">
        <v>463</v>
      </c>
      <c r="G1262" s="64" t="n">
        <v>31.3430302547394</v>
      </c>
      <c r="H1262" s="62" t="s">
        <v>138</v>
      </c>
    </row>
    <row r="1263" customFormat="false" ht="15" hidden="false" customHeight="false" outlineLevel="0" collapsed="false">
      <c r="A1263" s="62" t="n">
        <v>0</v>
      </c>
      <c r="B1263" s="62" t="s">
        <v>387</v>
      </c>
      <c r="C1263" s="62" t="s">
        <v>60</v>
      </c>
      <c r="D1263" s="62" t="s">
        <v>72</v>
      </c>
      <c r="E1263" s="62" t="s">
        <v>382</v>
      </c>
      <c r="F1263" s="63" t="s">
        <v>463</v>
      </c>
      <c r="G1263" s="64" t="n">
        <v>31.3430302547394</v>
      </c>
      <c r="H1263" s="62" t="s">
        <v>138</v>
      </c>
    </row>
    <row r="1264" customFormat="false" ht="15" hidden="false" customHeight="false" outlineLevel="0" collapsed="false">
      <c r="A1264" s="62" t="n">
        <v>0</v>
      </c>
      <c r="B1264" s="62" t="s">
        <v>388</v>
      </c>
      <c r="C1264" s="62" t="s">
        <v>60</v>
      </c>
      <c r="D1264" s="62" t="s">
        <v>72</v>
      </c>
      <c r="E1264" s="62" t="s">
        <v>382</v>
      </c>
      <c r="F1264" s="63" t="s">
        <v>463</v>
      </c>
      <c r="G1264" s="64" t="n">
        <v>31.3430302547394</v>
      </c>
      <c r="H1264" s="62" t="s">
        <v>138</v>
      </c>
    </row>
    <row r="1265" customFormat="false" ht="15" hidden="false" customHeight="false" outlineLevel="0" collapsed="false">
      <c r="A1265" s="62" t="n">
        <v>0</v>
      </c>
      <c r="B1265" s="62" t="s">
        <v>381</v>
      </c>
      <c r="C1265" s="62" t="s">
        <v>60</v>
      </c>
      <c r="D1265" s="62" t="s">
        <v>72</v>
      </c>
      <c r="E1265" s="62" t="s">
        <v>382</v>
      </c>
      <c r="F1265" s="63" t="s">
        <v>464</v>
      </c>
      <c r="G1265" s="64" t="n">
        <v>0</v>
      </c>
      <c r="H1265" s="62" t="s">
        <v>138</v>
      </c>
    </row>
    <row r="1266" customFormat="false" ht="15" hidden="false" customHeight="false" outlineLevel="0" collapsed="false">
      <c r="A1266" s="62" t="n">
        <v>0</v>
      </c>
      <c r="B1266" s="62" t="s">
        <v>383</v>
      </c>
      <c r="C1266" s="62" t="s">
        <v>60</v>
      </c>
      <c r="D1266" s="62" t="s">
        <v>72</v>
      </c>
      <c r="E1266" s="62" t="s">
        <v>382</v>
      </c>
      <c r="F1266" s="63" t="s">
        <v>464</v>
      </c>
      <c r="G1266" s="64" t="n">
        <v>0</v>
      </c>
      <c r="H1266" s="62" t="s">
        <v>138</v>
      </c>
    </row>
    <row r="1267" customFormat="false" ht="15" hidden="false" customHeight="false" outlineLevel="0" collapsed="false">
      <c r="A1267" s="62" t="n">
        <v>0</v>
      </c>
      <c r="B1267" s="62" t="s">
        <v>384</v>
      </c>
      <c r="C1267" s="62" t="s">
        <v>60</v>
      </c>
      <c r="D1267" s="62" t="s">
        <v>72</v>
      </c>
      <c r="E1267" s="62" t="s">
        <v>382</v>
      </c>
      <c r="F1267" s="63" t="s">
        <v>464</v>
      </c>
      <c r="G1267" s="64" t="n">
        <v>0</v>
      </c>
      <c r="H1267" s="62" t="s">
        <v>138</v>
      </c>
    </row>
    <row r="1268" customFormat="false" ht="15" hidden="false" customHeight="false" outlineLevel="0" collapsed="false">
      <c r="A1268" s="62" t="n">
        <v>0</v>
      </c>
      <c r="B1268" s="62" t="s">
        <v>385</v>
      </c>
      <c r="C1268" s="62" t="s">
        <v>60</v>
      </c>
      <c r="D1268" s="62" t="s">
        <v>72</v>
      </c>
      <c r="E1268" s="62" t="s">
        <v>382</v>
      </c>
      <c r="F1268" s="63" t="s">
        <v>464</v>
      </c>
      <c r="G1268" s="64" t="n">
        <v>0</v>
      </c>
      <c r="H1268" s="62" t="s">
        <v>138</v>
      </c>
    </row>
    <row r="1269" customFormat="false" ht="15" hidden="false" customHeight="false" outlineLevel="0" collapsed="false">
      <c r="A1269" s="62" t="n">
        <v>0</v>
      </c>
      <c r="B1269" s="62" t="s">
        <v>386</v>
      </c>
      <c r="C1269" s="62" t="s">
        <v>60</v>
      </c>
      <c r="D1269" s="62" t="s">
        <v>72</v>
      </c>
      <c r="E1269" s="62" t="s">
        <v>382</v>
      </c>
      <c r="F1269" s="63" t="s">
        <v>464</v>
      </c>
      <c r="G1269" s="64" t="n">
        <v>0</v>
      </c>
      <c r="H1269" s="62" t="s">
        <v>138</v>
      </c>
    </row>
    <row r="1270" customFormat="false" ht="15" hidden="false" customHeight="false" outlineLevel="0" collapsed="false">
      <c r="A1270" s="62" t="n">
        <v>0</v>
      </c>
      <c r="B1270" s="62" t="s">
        <v>387</v>
      </c>
      <c r="C1270" s="62" t="s">
        <v>60</v>
      </c>
      <c r="D1270" s="62" t="s">
        <v>72</v>
      </c>
      <c r="E1270" s="62" t="s">
        <v>382</v>
      </c>
      <c r="F1270" s="63" t="s">
        <v>464</v>
      </c>
      <c r="G1270" s="64" t="n">
        <v>0</v>
      </c>
      <c r="H1270" s="62" t="s">
        <v>138</v>
      </c>
    </row>
    <row r="1271" customFormat="false" ht="15" hidden="false" customHeight="false" outlineLevel="0" collapsed="false">
      <c r="A1271" s="62" t="n">
        <v>0</v>
      </c>
      <c r="B1271" s="62" t="s">
        <v>388</v>
      </c>
      <c r="C1271" s="62" t="s">
        <v>60</v>
      </c>
      <c r="D1271" s="62" t="s">
        <v>72</v>
      </c>
      <c r="E1271" s="62" t="s">
        <v>382</v>
      </c>
      <c r="F1271" s="63" t="s">
        <v>464</v>
      </c>
      <c r="G1271" s="64" t="n">
        <v>0</v>
      </c>
      <c r="H1271" s="62" t="s">
        <v>138</v>
      </c>
    </row>
    <row r="1272" customFormat="false" ht="15" hidden="false" customHeight="false" outlineLevel="0" collapsed="false">
      <c r="A1272" s="62" t="n">
        <v>0</v>
      </c>
      <c r="B1272" s="62" t="s">
        <v>381</v>
      </c>
      <c r="C1272" s="62" t="s">
        <v>60</v>
      </c>
      <c r="D1272" s="62" t="s">
        <v>105</v>
      </c>
      <c r="E1272" s="62" t="s">
        <v>382</v>
      </c>
      <c r="F1272" s="63" t="s">
        <v>465</v>
      </c>
      <c r="G1272" s="64" t="n">
        <v>16.9725868811426</v>
      </c>
      <c r="H1272" s="62" t="s">
        <v>42</v>
      </c>
    </row>
    <row r="1273" customFormat="false" ht="15" hidden="false" customHeight="false" outlineLevel="0" collapsed="false">
      <c r="A1273" s="62" t="n">
        <v>0</v>
      </c>
      <c r="B1273" s="62" t="s">
        <v>383</v>
      </c>
      <c r="C1273" s="62" t="s">
        <v>60</v>
      </c>
      <c r="D1273" s="62" t="s">
        <v>105</v>
      </c>
      <c r="E1273" s="62" t="s">
        <v>382</v>
      </c>
      <c r="F1273" s="63" t="s">
        <v>465</v>
      </c>
      <c r="G1273" s="64" t="n">
        <v>16.9725868811426</v>
      </c>
      <c r="H1273" s="62" t="s">
        <v>42</v>
      </c>
    </row>
    <row r="1274" customFormat="false" ht="15" hidden="false" customHeight="false" outlineLevel="0" collapsed="false">
      <c r="A1274" s="62" t="n">
        <v>0</v>
      </c>
      <c r="B1274" s="62" t="s">
        <v>384</v>
      </c>
      <c r="C1274" s="62" t="s">
        <v>60</v>
      </c>
      <c r="D1274" s="62" t="s">
        <v>105</v>
      </c>
      <c r="E1274" s="62" t="s">
        <v>382</v>
      </c>
      <c r="F1274" s="63" t="s">
        <v>465</v>
      </c>
      <c r="G1274" s="64" t="n">
        <v>16.9725868811426</v>
      </c>
      <c r="H1274" s="62" t="s">
        <v>42</v>
      </c>
    </row>
    <row r="1275" customFormat="false" ht="15" hidden="false" customHeight="false" outlineLevel="0" collapsed="false">
      <c r="A1275" s="62" t="n">
        <v>0</v>
      </c>
      <c r="B1275" s="62" t="s">
        <v>385</v>
      </c>
      <c r="C1275" s="62" t="s">
        <v>60</v>
      </c>
      <c r="D1275" s="62" t="s">
        <v>105</v>
      </c>
      <c r="E1275" s="62" t="s">
        <v>382</v>
      </c>
      <c r="F1275" s="63" t="s">
        <v>465</v>
      </c>
      <c r="G1275" s="64" t="n">
        <v>16.9725868811426</v>
      </c>
      <c r="H1275" s="62" t="s">
        <v>42</v>
      </c>
    </row>
    <row r="1276" customFormat="false" ht="15" hidden="false" customHeight="false" outlineLevel="0" collapsed="false">
      <c r="A1276" s="62" t="n">
        <v>0</v>
      </c>
      <c r="B1276" s="62" t="s">
        <v>386</v>
      </c>
      <c r="C1276" s="62" t="s">
        <v>60</v>
      </c>
      <c r="D1276" s="62" t="s">
        <v>105</v>
      </c>
      <c r="E1276" s="62" t="s">
        <v>382</v>
      </c>
      <c r="F1276" s="63" t="s">
        <v>465</v>
      </c>
      <c r="G1276" s="64" t="n">
        <v>16.9725868811426</v>
      </c>
      <c r="H1276" s="62" t="s">
        <v>42</v>
      </c>
    </row>
    <row r="1277" customFormat="false" ht="15" hidden="false" customHeight="false" outlineLevel="0" collapsed="false">
      <c r="A1277" s="62" t="n">
        <v>0</v>
      </c>
      <c r="B1277" s="62" t="s">
        <v>387</v>
      </c>
      <c r="C1277" s="62" t="s">
        <v>60</v>
      </c>
      <c r="D1277" s="62" t="s">
        <v>105</v>
      </c>
      <c r="E1277" s="62" t="s">
        <v>382</v>
      </c>
      <c r="F1277" s="63" t="s">
        <v>465</v>
      </c>
      <c r="G1277" s="64" t="n">
        <v>16.9725868811426</v>
      </c>
      <c r="H1277" s="62" t="s">
        <v>42</v>
      </c>
    </row>
    <row r="1278" customFormat="false" ht="15" hidden="false" customHeight="false" outlineLevel="0" collapsed="false">
      <c r="A1278" s="62" t="n">
        <v>0</v>
      </c>
      <c r="B1278" s="62" t="s">
        <v>388</v>
      </c>
      <c r="C1278" s="62" t="s">
        <v>60</v>
      </c>
      <c r="D1278" s="62" t="s">
        <v>105</v>
      </c>
      <c r="E1278" s="62" t="s">
        <v>382</v>
      </c>
      <c r="F1278" s="63" t="s">
        <v>465</v>
      </c>
      <c r="G1278" s="64" t="n">
        <v>16.9725868811426</v>
      </c>
      <c r="H1278" s="62" t="s">
        <v>42</v>
      </c>
    </row>
    <row r="1279" customFormat="false" ht="15" hidden="false" customHeight="false" outlineLevel="0" collapsed="false">
      <c r="A1279" s="62" t="n">
        <v>0</v>
      </c>
      <c r="B1279" s="62" t="s">
        <v>381</v>
      </c>
      <c r="C1279" s="62" t="s">
        <v>60</v>
      </c>
      <c r="D1279" s="62" t="s">
        <v>105</v>
      </c>
      <c r="E1279" s="62" t="s">
        <v>382</v>
      </c>
      <c r="F1279" s="63" t="s">
        <v>307</v>
      </c>
      <c r="G1279" s="64" t="n">
        <v>10.5121699269388</v>
      </c>
      <c r="H1279" s="62" t="s">
        <v>42</v>
      </c>
    </row>
    <row r="1280" customFormat="false" ht="15" hidden="false" customHeight="false" outlineLevel="0" collapsed="false">
      <c r="A1280" s="62" t="n">
        <v>0</v>
      </c>
      <c r="B1280" s="62" t="s">
        <v>383</v>
      </c>
      <c r="C1280" s="62" t="s">
        <v>60</v>
      </c>
      <c r="D1280" s="62" t="s">
        <v>105</v>
      </c>
      <c r="E1280" s="62" t="s">
        <v>382</v>
      </c>
      <c r="F1280" s="63" t="s">
        <v>307</v>
      </c>
      <c r="G1280" s="64" t="n">
        <v>10.5121699269388</v>
      </c>
      <c r="H1280" s="62" t="s">
        <v>42</v>
      </c>
    </row>
    <row r="1281" customFormat="false" ht="15" hidden="false" customHeight="false" outlineLevel="0" collapsed="false">
      <c r="A1281" s="62" t="n">
        <v>0</v>
      </c>
      <c r="B1281" s="62" t="s">
        <v>384</v>
      </c>
      <c r="C1281" s="62" t="s">
        <v>60</v>
      </c>
      <c r="D1281" s="62" t="s">
        <v>105</v>
      </c>
      <c r="E1281" s="62" t="s">
        <v>382</v>
      </c>
      <c r="F1281" s="63" t="s">
        <v>307</v>
      </c>
      <c r="G1281" s="64" t="n">
        <v>10.5121699269388</v>
      </c>
      <c r="H1281" s="62" t="s">
        <v>42</v>
      </c>
    </row>
    <row r="1282" customFormat="false" ht="15" hidden="false" customHeight="false" outlineLevel="0" collapsed="false">
      <c r="A1282" s="62" t="n">
        <v>0</v>
      </c>
      <c r="B1282" s="62" t="s">
        <v>385</v>
      </c>
      <c r="C1282" s="62" t="s">
        <v>60</v>
      </c>
      <c r="D1282" s="62" t="s">
        <v>105</v>
      </c>
      <c r="E1282" s="62" t="s">
        <v>382</v>
      </c>
      <c r="F1282" s="63" t="s">
        <v>307</v>
      </c>
      <c r="G1282" s="64" t="n">
        <v>10.5121699269388</v>
      </c>
      <c r="H1282" s="62" t="s">
        <v>42</v>
      </c>
    </row>
    <row r="1283" customFormat="false" ht="15" hidden="false" customHeight="false" outlineLevel="0" collapsed="false">
      <c r="A1283" s="62" t="n">
        <v>0</v>
      </c>
      <c r="B1283" s="62" t="s">
        <v>386</v>
      </c>
      <c r="C1283" s="62" t="s">
        <v>60</v>
      </c>
      <c r="D1283" s="62" t="s">
        <v>105</v>
      </c>
      <c r="E1283" s="62" t="s">
        <v>382</v>
      </c>
      <c r="F1283" s="63" t="s">
        <v>307</v>
      </c>
      <c r="G1283" s="64" t="n">
        <v>10.5121699269388</v>
      </c>
      <c r="H1283" s="62" t="s">
        <v>42</v>
      </c>
    </row>
    <row r="1284" customFormat="false" ht="15" hidden="false" customHeight="false" outlineLevel="0" collapsed="false">
      <c r="A1284" s="62" t="n">
        <v>0</v>
      </c>
      <c r="B1284" s="62" t="s">
        <v>387</v>
      </c>
      <c r="C1284" s="62" t="s">
        <v>60</v>
      </c>
      <c r="D1284" s="62" t="s">
        <v>105</v>
      </c>
      <c r="E1284" s="62" t="s">
        <v>382</v>
      </c>
      <c r="F1284" s="63" t="s">
        <v>307</v>
      </c>
      <c r="G1284" s="64" t="n">
        <v>10.5121699269388</v>
      </c>
      <c r="H1284" s="62" t="s">
        <v>42</v>
      </c>
    </row>
    <row r="1285" customFormat="false" ht="15" hidden="false" customHeight="false" outlineLevel="0" collapsed="false">
      <c r="A1285" s="62" t="n">
        <v>0</v>
      </c>
      <c r="B1285" s="62" t="s">
        <v>388</v>
      </c>
      <c r="C1285" s="62" t="s">
        <v>60</v>
      </c>
      <c r="D1285" s="62" t="s">
        <v>105</v>
      </c>
      <c r="E1285" s="62" t="s">
        <v>382</v>
      </c>
      <c r="F1285" s="63" t="s">
        <v>307</v>
      </c>
      <c r="G1285" s="64" t="n">
        <v>10.5121699269388</v>
      </c>
      <c r="H1285" s="62" t="s">
        <v>42</v>
      </c>
    </row>
    <row r="1286" customFormat="false" ht="15" hidden="false" customHeight="false" outlineLevel="0" collapsed="false">
      <c r="A1286" s="62" t="n">
        <v>0</v>
      </c>
      <c r="B1286" s="62" t="s">
        <v>381</v>
      </c>
      <c r="C1286" s="62" t="s">
        <v>60</v>
      </c>
      <c r="D1286" s="62" t="s">
        <v>105</v>
      </c>
      <c r="E1286" s="62" t="s">
        <v>382</v>
      </c>
      <c r="F1286" s="63" t="s">
        <v>466</v>
      </c>
      <c r="G1286" s="64" t="n">
        <v>7.46541310858435</v>
      </c>
      <c r="H1286" s="62" t="s">
        <v>42</v>
      </c>
    </row>
    <row r="1287" customFormat="false" ht="15" hidden="false" customHeight="false" outlineLevel="0" collapsed="false">
      <c r="A1287" s="62" t="n">
        <v>0</v>
      </c>
      <c r="B1287" s="62" t="s">
        <v>383</v>
      </c>
      <c r="C1287" s="62" t="s">
        <v>60</v>
      </c>
      <c r="D1287" s="62" t="s">
        <v>105</v>
      </c>
      <c r="E1287" s="62" t="s">
        <v>382</v>
      </c>
      <c r="F1287" s="63" t="s">
        <v>466</v>
      </c>
      <c r="G1287" s="64" t="n">
        <v>7.46541310858435</v>
      </c>
      <c r="H1287" s="62" t="s">
        <v>42</v>
      </c>
    </row>
    <row r="1288" customFormat="false" ht="15" hidden="false" customHeight="false" outlineLevel="0" collapsed="false">
      <c r="A1288" s="62" t="n">
        <v>0</v>
      </c>
      <c r="B1288" s="62" t="s">
        <v>384</v>
      </c>
      <c r="C1288" s="62" t="s">
        <v>60</v>
      </c>
      <c r="D1288" s="62" t="s">
        <v>105</v>
      </c>
      <c r="E1288" s="62" t="s">
        <v>382</v>
      </c>
      <c r="F1288" s="63" t="s">
        <v>466</v>
      </c>
      <c r="G1288" s="64" t="n">
        <v>7.46541310858435</v>
      </c>
      <c r="H1288" s="62" t="s">
        <v>42</v>
      </c>
    </row>
    <row r="1289" customFormat="false" ht="15" hidden="false" customHeight="false" outlineLevel="0" collapsed="false">
      <c r="A1289" s="62" t="n">
        <v>0</v>
      </c>
      <c r="B1289" s="62" t="s">
        <v>385</v>
      </c>
      <c r="C1289" s="62" t="s">
        <v>60</v>
      </c>
      <c r="D1289" s="62" t="s">
        <v>105</v>
      </c>
      <c r="E1289" s="62" t="s">
        <v>382</v>
      </c>
      <c r="F1289" s="63" t="s">
        <v>466</v>
      </c>
      <c r="G1289" s="64" t="n">
        <v>7.46541310858435</v>
      </c>
      <c r="H1289" s="62" t="s">
        <v>42</v>
      </c>
    </row>
    <row r="1290" customFormat="false" ht="15" hidden="false" customHeight="false" outlineLevel="0" collapsed="false">
      <c r="A1290" s="62" t="n">
        <v>0</v>
      </c>
      <c r="B1290" s="62" t="s">
        <v>386</v>
      </c>
      <c r="C1290" s="62" t="s">
        <v>60</v>
      </c>
      <c r="D1290" s="62" t="s">
        <v>105</v>
      </c>
      <c r="E1290" s="62" t="s">
        <v>382</v>
      </c>
      <c r="F1290" s="63" t="s">
        <v>466</v>
      </c>
      <c r="G1290" s="64" t="n">
        <v>7.46541310858435</v>
      </c>
      <c r="H1290" s="62" t="s">
        <v>42</v>
      </c>
    </row>
    <row r="1291" customFormat="false" ht="15" hidden="false" customHeight="false" outlineLevel="0" collapsed="false">
      <c r="A1291" s="62" t="n">
        <v>0</v>
      </c>
      <c r="B1291" s="62" t="s">
        <v>387</v>
      </c>
      <c r="C1291" s="62" t="s">
        <v>60</v>
      </c>
      <c r="D1291" s="62" t="s">
        <v>105</v>
      </c>
      <c r="E1291" s="62" t="s">
        <v>382</v>
      </c>
      <c r="F1291" s="63" t="s">
        <v>466</v>
      </c>
      <c r="G1291" s="64" t="n">
        <v>7.46541310858435</v>
      </c>
      <c r="H1291" s="62" t="s">
        <v>42</v>
      </c>
    </row>
    <row r="1292" customFormat="false" ht="15" hidden="false" customHeight="false" outlineLevel="0" collapsed="false">
      <c r="A1292" s="62" t="n">
        <v>0</v>
      </c>
      <c r="B1292" s="62" t="s">
        <v>388</v>
      </c>
      <c r="C1292" s="62" t="s">
        <v>60</v>
      </c>
      <c r="D1292" s="62" t="s">
        <v>105</v>
      </c>
      <c r="E1292" s="62" t="s">
        <v>382</v>
      </c>
      <c r="F1292" s="63" t="s">
        <v>466</v>
      </c>
      <c r="G1292" s="64" t="n">
        <v>7.46541310858435</v>
      </c>
      <c r="H1292" s="62" t="s">
        <v>42</v>
      </c>
    </row>
    <row r="1293" customFormat="false" ht="15" hidden="false" customHeight="false" outlineLevel="0" collapsed="false">
      <c r="A1293" s="62" t="n">
        <v>0</v>
      </c>
      <c r="B1293" s="62" t="s">
        <v>381</v>
      </c>
      <c r="C1293" s="62" t="s">
        <v>60</v>
      </c>
      <c r="D1293" s="62" t="s">
        <v>105</v>
      </c>
      <c r="E1293" s="62" t="s">
        <v>382</v>
      </c>
      <c r="F1293" s="63" t="s">
        <v>467</v>
      </c>
      <c r="G1293" s="64" t="n">
        <v>4.41038766212069</v>
      </c>
      <c r="H1293" s="62" t="s">
        <v>42</v>
      </c>
    </row>
    <row r="1294" customFormat="false" ht="15" hidden="false" customHeight="false" outlineLevel="0" collapsed="false">
      <c r="A1294" s="62" t="n">
        <v>0</v>
      </c>
      <c r="B1294" s="62" t="s">
        <v>383</v>
      </c>
      <c r="C1294" s="62" t="s">
        <v>60</v>
      </c>
      <c r="D1294" s="62" t="s">
        <v>105</v>
      </c>
      <c r="E1294" s="62" t="s">
        <v>382</v>
      </c>
      <c r="F1294" s="63" t="s">
        <v>467</v>
      </c>
      <c r="G1294" s="64" t="n">
        <v>4.41038766212069</v>
      </c>
      <c r="H1294" s="62" t="s">
        <v>42</v>
      </c>
    </row>
    <row r="1295" customFormat="false" ht="15" hidden="false" customHeight="false" outlineLevel="0" collapsed="false">
      <c r="A1295" s="62" t="n">
        <v>0</v>
      </c>
      <c r="B1295" s="62" t="s">
        <v>384</v>
      </c>
      <c r="C1295" s="62" t="s">
        <v>60</v>
      </c>
      <c r="D1295" s="62" t="s">
        <v>105</v>
      </c>
      <c r="E1295" s="62" t="s">
        <v>382</v>
      </c>
      <c r="F1295" s="63" t="s">
        <v>467</v>
      </c>
      <c r="G1295" s="64" t="n">
        <v>4.41038766212069</v>
      </c>
      <c r="H1295" s="62" t="s">
        <v>42</v>
      </c>
    </row>
    <row r="1296" customFormat="false" ht="15" hidden="false" customHeight="false" outlineLevel="0" collapsed="false">
      <c r="A1296" s="62" t="n">
        <v>0</v>
      </c>
      <c r="B1296" s="62" t="s">
        <v>385</v>
      </c>
      <c r="C1296" s="62" t="s">
        <v>60</v>
      </c>
      <c r="D1296" s="62" t="s">
        <v>105</v>
      </c>
      <c r="E1296" s="62" t="s">
        <v>382</v>
      </c>
      <c r="F1296" s="63" t="s">
        <v>467</v>
      </c>
      <c r="G1296" s="64" t="n">
        <v>4.41038766212069</v>
      </c>
      <c r="H1296" s="62" t="s">
        <v>42</v>
      </c>
    </row>
    <row r="1297" customFormat="false" ht="15" hidden="false" customHeight="false" outlineLevel="0" collapsed="false">
      <c r="A1297" s="62" t="n">
        <v>0</v>
      </c>
      <c r="B1297" s="62" t="s">
        <v>386</v>
      </c>
      <c r="C1297" s="62" t="s">
        <v>60</v>
      </c>
      <c r="D1297" s="62" t="s">
        <v>105</v>
      </c>
      <c r="E1297" s="62" t="s">
        <v>382</v>
      </c>
      <c r="F1297" s="63" t="s">
        <v>467</v>
      </c>
      <c r="G1297" s="64" t="n">
        <v>4.41038766212069</v>
      </c>
      <c r="H1297" s="62" t="s">
        <v>42</v>
      </c>
    </row>
    <row r="1298" customFormat="false" ht="15" hidden="false" customHeight="false" outlineLevel="0" collapsed="false">
      <c r="A1298" s="62" t="n">
        <v>0</v>
      </c>
      <c r="B1298" s="62" t="s">
        <v>387</v>
      </c>
      <c r="C1298" s="62" t="s">
        <v>60</v>
      </c>
      <c r="D1298" s="62" t="s">
        <v>105</v>
      </c>
      <c r="E1298" s="62" t="s">
        <v>382</v>
      </c>
      <c r="F1298" s="63" t="s">
        <v>467</v>
      </c>
      <c r="G1298" s="64" t="n">
        <v>4.41038766212069</v>
      </c>
      <c r="H1298" s="62" t="s">
        <v>42</v>
      </c>
    </row>
    <row r="1299" customFormat="false" ht="15" hidden="false" customHeight="false" outlineLevel="0" collapsed="false">
      <c r="A1299" s="62" t="n">
        <v>0</v>
      </c>
      <c r="B1299" s="62" t="s">
        <v>388</v>
      </c>
      <c r="C1299" s="62" t="s">
        <v>60</v>
      </c>
      <c r="D1299" s="62" t="s">
        <v>105</v>
      </c>
      <c r="E1299" s="62" t="s">
        <v>382</v>
      </c>
      <c r="F1299" s="63" t="s">
        <v>467</v>
      </c>
      <c r="G1299" s="64" t="n">
        <v>4.41038766212069</v>
      </c>
      <c r="H1299" s="62" t="s">
        <v>42</v>
      </c>
    </row>
    <row r="1300" customFormat="false" ht="15" hidden="false" customHeight="false" outlineLevel="0" collapsed="false">
      <c r="A1300" s="62" t="n">
        <v>0</v>
      </c>
      <c r="B1300" s="62" t="s">
        <v>381</v>
      </c>
      <c r="C1300" s="62" t="s">
        <v>60</v>
      </c>
      <c r="D1300" s="62" t="s">
        <v>105</v>
      </c>
      <c r="E1300" s="62" t="s">
        <v>382</v>
      </c>
      <c r="F1300" s="63" t="s">
        <v>468</v>
      </c>
      <c r="G1300" s="64" t="n">
        <v>43.1823658220979</v>
      </c>
      <c r="H1300" s="62" t="s">
        <v>42</v>
      </c>
    </row>
    <row r="1301" customFormat="false" ht="15" hidden="false" customHeight="false" outlineLevel="0" collapsed="false">
      <c r="A1301" s="62" t="n">
        <v>0</v>
      </c>
      <c r="B1301" s="62" t="s">
        <v>383</v>
      </c>
      <c r="C1301" s="62" t="s">
        <v>60</v>
      </c>
      <c r="D1301" s="62" t="s">
        <v>105</v>
      </c>
      <c r="E1301" s="62" t="s">
        <v>382</v>
      </c>
      <c r="F1301" s="63" t="s">
        <v>468</v>
      </c>
      <c r="G1301" s="64" t="n">
        <v>43.1823658220979</v>
      </c>
      <c r="H1301" s="62" t="s">
        <v>42</v>
      </c>
    </row>
    <row r="1302" customFormat="false" ht="15" hidden="false" customHeight="false" outlineLevel="0" collapsed="false">
      <c r="A1302" s="62" t="n">
        <v>0</v>
      </c>
      <c r="B1302" s="62" t="s">
        <v>384</v>
      </c>
      <c r="C1302" s="62" t="s">
        <v>60</v>
      </c>
      <c r="D1302" s="62" t="s">
        <v>105</v>
      </c>
      <c r="E1302" s="62" t="s">
        <v>382</v>
      </c>
      <c r="F1302" s="63" t="s">
        <v>468</v>
      </c>
      <c r="G1302" s="64" t="n">
        <v>43.1823658220979</v>
      </c>
      <c r="H1302" s="62" t="s">
        <v>42</v>
      </c>
    </row>
    <row r="1303" customFormat="false" ht="15" hidden="false" customHeight="false" outlineLevel="0" collapsed="false">
      <c r="A1303" s="62" t="n">
        <v>0</v>
      </c>
      <c r="B1303" s="62" t="s">
        <v>385</v>
      </c>
      <c r="C1303" s="62" t="s">
        <v>60</v>
      </c>
      <c r="D1303" s="62" t="s">
        <v>105</v>
      </c>
      <c r="E1303" s="62" t="s">
        <v>382</v>
      </c>
      <c r="F1303" s="63" t="s">
        <v>468</v>
      </c>
      <c r="G1303" s="64" t="n">
        <v>43.1823658220979</v>
      </c>
      <c r="H1303" s="62" t="s">
        <v>42</v>
      </c>
    </row>
    <row r="1304" customFormat="false" ht="15" hidden="false" customHeight="false" outlineLevel="0" collapsed="false">
      <c r="A1304" s="62" t="n">
        <v>0</v>
      </c>
      <c r="B1304" s="62" t="s">
        <v>386</v>
      </c>
      <c r="C1304" s="62" t="s">
        <v>60</v>
      </c>
      <c r="D1304" s="62" t="s">
        <v>105</v>
      </c>
      <c r="E1304" s="62" t="s">
        <v>382</v>
      </c>
      <c r="F1304" s="63" t="s">
        <v>468</v>
      </c>
      <c r="G1304" s="64" t="n">
        <v>43.1823658220979</v>
      </c>
      <c r="H1304" s="62" t="s">
        <v>42</v>
      </c>
    </row>
    <row r="1305" customFormat="false" ht="15" hidden="false" customHeight="false" outlineLevel="0" collapsed="false">
      <c r="A1305" s="62" t="n">
        <v>0</v>
      </c>
      <c r="B1305" s="62" t="s">
        <v>387</v>
      </c>
      <c r="C1305" s="62" t="s">
        <v>60</v>
      </c>
      <c r="D1305" s="62" t="s">
        <v>105</v>
      </c>
      <c r="E1305" s="62" t="s">
        <v>382</v>
      </c>
      <c r="F1305" s="63" t="s">
        <v>468</v>
      </c>
      <c r="G1305" s="64" t="n">
        <v>43.1823658220979</v>
      </c>
      <c r="H1305" s="62" t="s">
        <v>42</v>
      </c>
    </row>
    <row r="1306" customFormat="false" ht="15" hidden="false" customHeight="false" outlineLevel="0" collapsed="false">
      <c r="A1306" s="62" t="n">
        <v>0</v>
      </c>
      <c r="B1306" s="62" t="s">
        <v>388</v>
      </c>
      <c r="C1306" s="62" t="s">
        <v>60</v>
      </c>
      <c r="D1306" s="62" t="s">
        <v>105</v>
      </c>
      <c r="E1306" s="62" t="s">
        <v>382</v>
      </c>
      <c r="F1306" s="63" t="s">
        <v>468</v>
      </c>
      <c r="G1306" s="64" t="n">
        <v>43.1823658220979</v>
      </c>
      <c r="H1306" s="62" t="s">
        <v>42</v>
      </c>
    </row>
    <row r="1307" customFormat="false" ht="15" hidden="false" customHeight="false" outlineLevel="0" collapsed="false">
      <c r="A1307" s="62" t="n">
        <v>0</v>
      </c>
      <c r="B1307" s="62" t="s">
        <v>381</v>
      </c>
      <c r="C1307" s="62" t="s">
        <v>60</v>
      </c>
      <c r="D1307" s="62" t="s">
        <v>105</v>
      </c>
      <c r="E1307" s="62" t="s">
        <v>382</v>
      </c>
      <c r="F1307" s="63" t="s">
        <v>469</v>
      </c>
      <c r="G1307" s="64" t="n">
        <v>10.8229544030192</v>
      </c>
      <c r="H1307" s="62" t="s">
        <v>42</v>
      </c>
    </row>
    <row r="1308" customFormat="false" ht="15" hidden="false" customHeight="false" outlineLevel="0" collapsed="false">
      <c r="A1308" s="62" t="n">
        <v>0</v>
      </c>
      <c r="B1308" s="62" t="s">
        <v>383</v>
      </c>
      <c r="C1308" s="62" t="s">
        <v>60</v>
      </c>
      <c r="D1308" s="62" t="s">
        <v>105</v>
      </c>
      <c r="E1308" s="62" t="s">
        <v>382</v>
      </c>
      <c r="F1308" s="63" t="s">
        <v>469</v>
      </c>
      <c r="G1308" s="64" t="n">
        <v>10.8229544030192</v>
      </c>
      <c r="H1308" s="62" t="s">
        <v>42</v>
      </c>
    </row>
    <row r="1309" customFormat="false" ht="15" hidden="false" customHeight="false" outlineLevel="0" collapsed="false">
      <c r="A1309" s="62" t="n">
        <v>0</v>
      </c>
      <c r="B1309" s="62" t="s">
        <v>384</v>
      </c>
      <c r="C1309" s="62" t="s">
        <v>60</v>
      </c>
      <c r="D1309" s="62" t="s">
        <v>105</v>
      </c>
      <c r="E1309" s="62" t="s">
        <v>382</v>
      </c>
      <c r="F1309" s="63" t="s">
        <v>469</v>
      </c>
      <c r="G1309" s="64" t="n">
        <v>10.8229544030192</v>
      </c>
      <c r="H1309" s="62" t="s">
        <v>42</v>
      </c>
    </row>
    <row r="1310" customFormat="false" ht="15" hidden="false" customHeight="false" outlineLevel="0" collapsed="false">
      <c r="A1310" s="62" t="n">
        <v>0</v>
      </c>
      <c r="B1310" s="62" t="s">
        <v>385</v>
      </c>
      <c r="C1310" s="62" t="s">
        <v>60</v>
      </c>
      <c r="D1310" s="62" t="s">
        <v>105</v>
      </c>
      <c r="E1310" s="62" t="s">
        <v>382</v>
      </c>
      <c r="F1310" s="63" t="s">
        <v>469</v>
      </c>
      <c r="G1310" s="64" t="n">
        <v>10.8229544030192</v>
      </c>
      <c r="H1310" s="62" t="s">
        <v>42</v>
      </c>
    </row>
    <row r="1311" customFormat="false" ht="15" hidden="false" customHeight="false" outlineLevel="0" collapsed="false">
      <c r="A1311" s="62" t="n">
        <v>0</v>
      </c>
      <c r="B1311" s="62" t="s">
        <v>386</v>
      </c>
      <c r="C1311" s="62" t="s">
        <v>60</v>
      </c>
      <c r="D1311" s="62" t="s">
        <v>105</v>
      </c>
      <c r="E1311" s="62" t="s">
        <v>382</v>
      </c>
      <c r="F1311" s="63" t="s">
        <v>469</v>
      </c>
      <c r="G1311" s="64" t="n">
        <v>10.8229544030192</v>
      </c>
      <c r="H1311" s="62" t="s">
        <v>42</v>
      </c>
    </row>
    <row r="1312" customFormat="false" ht="15" hidden="false" customHeight="false" outlineLevel="0" collapsed="false">
      <c r="A1312" s="62" t="n">
        <v>0</v>
      </c>
      <c r="B1312" s="62" t="s">
        <v>387</v>
      </c>
      <c r="C1312" s="62" t="s">
        <v>60</v>
      </c>
      <c r="D1312" s="62" t="s">
        <v>105</v>
      </c>
      <c r="E1312" s="62" t="s">
        <v>382</v>
      </c>
      <c r="F1312" s="63" t="s">
        <v>469</v>
      </c>
      <c r="G1312" s="64" t="n">
        <v>10.8229544030192</v>
      </c>
      <c r="H1312" s="62" t="s">
        <v>42</v>
      </c>
    </row>
    <row r="1313" customFormat="false" ht="15" hidden="false" customHeight="false" outlineLevel="0" collapsed="false">
      <c r="A1313" s="62" t="n">
        <v>0</v>
      </c>
      <c r="B1313" s="62" t="s">
        <v>388</v>
      </c>
      <c r="C1313" s="62" t="s">
        <v>60</v>
      </c>
      <c r="D1313" s="62" t="s">
        <v>105</v>
      </c>
      <c r="E1313" s="62" t="s">
        <v>382</v>
      </c>
      <c r="F1313" s="63" t="s">
        <v>469</v>
      </c>
      <c r="G1313" s="64" t="n">
        <v>10.8229544030192</v>
      </c>
      <c r="H1313" s="62" t="s">
        <v>42</v>
      </c>
    </row>
    <row r="1314" customFormat="false" ht="15" hidden="false" customHeight="false" outlineLevel="0" collapsed="false">
      <c r="A1314" s="62" t="n">
        <v>0</v>
      </c>
      <c r="B1314" s="62" t="s">
        <v>381</v>
      </c>
      <c r="C1314" s="62" t="s">
        <v>60</v>
      </c>
      <c r="D1314" s="62" t="s">
        <v>105</v>
      </c>
      <c r="E1314" s="62" t="s">
        <v>382</v>
      </c>
      <c r="F1314" s="63" t="s">
        <v>470</v>
      </c>
      <c r="G1314" s="64" t="n">
        <v>13.054285203846</v>
      </c>
      <c r="H1314" s="62" t="s">
        <v>42</v>
      </c>
    </row>
    <row r="1315" customFormat="false" ht="15" hidden="false" customHeight="false" outlineLevel="0" collapsed="false">
      <c r="A1315" s="62" t="n">
        <v>0</v>
      </c>
      <c r="B1315" s="62" t="s">
        <v>383</v>
      </c>
      <c r="C1315" s="62" t="s">
        <v>60</v>
      </c>
      <c r="D1315" s="62" t="s">
        <v>105</v>
      </c>
      <c r="E1315" s="62" t="s">
        <v>382</v>
      </c>
      <c r="F1315" s="63" t="s">
        <v>470</v>
      </c>
      <c r="G1315" s="64" t="n">
        <v>13.054285203846</v>
      </c>
      <c r="H1315" s="62" t="s">
        <v>42</v>
      </c>
    </row>
    <row r="1316" customFormat="false" ht="15" hidden="false" customHeight="false" outlineLevel="0" collapsed="false">
      <c r="A1316" s="62" t="n">
        <v>0</v>
      </c>
      <c r="B1316" s="62" t="s">
        <v>384</v>
      </c>
      <c r="C1316" s="62" t="s">
        <v>60</v>
      </c>
      <c r="D1316" s="62" t="s">
        <v>105</v>
      </c>
      <c r="E1316" s="62" t="s">
        <v>382</v>
      </c>
      <c r="F1316" s="63" t="s">
        <v>470</v>
      </c>
      <c r="G1316" s="64" t="n">
        <v>13.054285203846</v>
      </c>
      <c r="H1316" s="62" t="s">
        <v>42</v>
      </c>
    </row>
    <row r="1317" customFormat="false" ht="15" hidden="false" customHeight="false" outlineLevel="0" collapsed="false">
      <c r="A1317" s="62" t="n">
        <v>0</v>
      </c>
      <c r="B1317" s="62" t="s">
        <v>385</v>
      </c>
      <c r="C1317" s="62" t="s">
        <v>60</v>
      </c>
      <c r="D1317" s="62" t="s">
        <v>105</v>
      </c>
      <c r="E1317" s="62" t="s">
        <v>382</v>
      </c>
      <c r="F1317" s="63" t="s">
        <v>470</v>
      </c>
      <c r="G1317" s="64" t="n">
        <v>13.054285203846</v>
      </c>
      <c r="H1317" s="62" t="s">
        <v>42</v>
      </c>
    </row>
    <row r="1318" customFormat="false" ht="15" hidden="false" customHeight="false" outlineLevel="0" collapsed="false">
      <c r="A1318" s="62" t="n">
        <v>0</v>
      </c>
      <c r="B1318" s="62" t="s">
        <v>386</v>
      </c>
      <c r="C1318" s="62" t="s">
        <v>60</v>
      </c>
      <c r="D1318" s="62" t="s">
        <v>105</v>
      </c>
      <c r="E1318" s="62" t="s">
        <v>382</v>
      </c>
      <c r="F1318" s="63" t="s">
        <v>470</v>
      </c>
      <c r="G1318" s="64" t="n">
        <v>13.054285203846</v>
      </c>
      <c r="H1318" s="62" t="s">
        <v>42</v>
      </c>
    </row>
    <row r="1319" customFormat="false" ht="15" hidden="false" customHeight="false" outlineLevel="0" collapsed="false">
      <c r="A1319" s="62" t="n">
        <v>0</v>
      </c>
      <c r="B1319" s="62" t="s">
        <v>387</v>
      </c>
      <c r="C1319" s="62" t="s">
        <v>60</v>
      </c>
      <c r="D1319" s="62" t="s">
        <v>105</v>
      </c>
      <c r="E1319" s="62" t="s">
        <v>382</v>
      </c>
      <c r="F1319" s="63" t="s">
        <v>470</v>
      </c>
      <c r="G1319" s="64" t="n">
        <v>13.054285203846</v>
      </c>
      <c r="H1319" s="62" t="s">
        <v>42</v>
      </c>
    </row>
    <row r="1320" customFormat="false" ht="15" hidden="false" customHeight="false" outlineLevel="0" collapsed="false">
      <c r="A1320" s="62" t="n">
        <v>0</v>
      </c>
      <c r="B1320" s="62" t="s">
        <v>388</v>
      </c>
      <c r="C1320" s="62" t="s">
        <v>60</v>
      </c>
      <c r="D1320" s="62" t="s">
        <v>105</v>
      </c>
      <c r="E1320" s="62" t="s">
        <v>382</v>
      </c>
      <c r="F1320" s="63" t="s">
        <v>470</v>
      </c>
      <c r="G1320" s="64" t="n">
        <v>13.054285203846</v>
      </c>
      <c r="H1320" s="62" t="s">
        <v>42</v>
      </c>
    </row>
    <row r="1321" customFormat="false" ht="15" hidden="false" customHeight="false" outlineLevel="0" collapsed="false">
      <c r="A1321" s="62" t="n">
        <v>0</v>
      </c>
      <c r="B1321" s="62" t="s">
        <v>381</v>
      </c>
      <c r="C1321" s="62" t="s">
        <v>60</v>
      </c>
      <c r="D1321" s="62" t="s">
        <v>105</v>
      </c>
      <c r="E1321" s="62" t="s">
        <v>382</v>
      </c>
      <c r="F1321" s="63" t="s">
        <v>471</v>
      </c>
      <c r="G1321" s="64" t="n">
        <v>19.07</v>
      </c>
      <c r="H1321" s="62" t="s">
        <v>42</v>
      </c>
    </row>
    <row r="1322" customFormat="false" ht="15" hidden="false" customHeight="false" outlineLevel="0" collapsed="false">
      <c r="A1322" s="62" t="n">
        <v>0</v>
      </c>
      <c r="B1322" s="62" t="s">
        <v>383</v>
      </c>
      <c r="C1322" s="62" t="s">
        <v>60</v>
      </c>
      <c r="D1322" s="62" t="s">
        <v>105</v>
      </c>
      <c r="E1322" s="62" t="s">
        <v>382</v>
      </c>
      <c r="F1322" s="63" t="s">
        <v>471</v>
      </c>
      <c r="G1322" s="64" t="n">
        <v>19.07</v>
      </c>
      <c r="H1322" s="62" t="s">
        <v>42</v>
      </c>
    </row>
    <row r="1323" customFormat="false" ht="15" hidden="false" customHeight="false" outlineLevel="0" collapsed="false">
      <c r="A1323" s="62" t="n">
        <v>0</v>
      </c>
      <c r="B1323" s="62" t="s">
        <v>384</v>
      </c>
      <c r="C1323" s="62" t="s">
        <v>60</v>
      </c>
      <c r="D1323" s="62" t="s">
        <v>105</v>
      </c>
      <c r="E1323" s="62" t="s">
        <v>382</v>
      </c>
      <c r="F1323" s="63" t="s">
        <v>471</v>
      </c>
      <c r="G1323" s="64" t="n">
        <v>19.07</v>
      </c>
      <c r="H1323" s="62" t="s">
        <v>42</v>
      </c>
    </row>
    <row r="1324" customFormat="false" ht="15" hidden="false" customHeight="false" outlineLevel="0" collapsed="false">
      <c r="A1324" s="62" t="n">
        <v>0</v>
      </c>
      <c r="B1324" s="62" t="s">
        <v>385</v>
      </c>
      <c r="C1324" s="62" t="s">
        <v>60</v>
      </c>
      <c r="D1324" s="62" t="s">
        <v>105</v>
      </c>
      <c r="E1324" s="62" t="s">
        <v>382</v>
      </c>
      <c r="F1324" s="63" t="s">
        <v>471</v>
      </c>
      <c r="G1324" s="64" t="n">
        <v>19.07</v>
      </c>
      <c r="H1324" s="62" t="s">
        <v>42</v>
      </c>
    </row>
    <row r="1325" customFormat="false" ht="15" hidden="false" customHeight="false" outlineLevel="0" collapsed="false">
      <c r="A1325" s="62" t="n">
        <v>0</v>
      </c>
      <c r="B1325" s="62" t="s">
        <v>386</v>
      </c>
      <c r="C1325" s="62" t="s">
        <v>60</v>
      </c>
      <c r="D1325" s="62" t="s">
        <v>105</v>
      </c>
      <c r="E1325" s="62" t="s">
        <v>382</v>
      </c>
      <c r="F1325" s="63" t="s">
        <v>471</v>
      </c>
      <c r="G1325" s="64" t="n">
        <v>19.07</v>
      </c>
      <c r="H1325" s="62" t="s">
        <v>42</v>
      </c>
    </row>
    <row r="1326" customFormat="false" ht="15" hidden="false" customHeight="false" outlineLevel="0" collapsed="false">
      <c r="A1326" s="62" t="n">
        <v>0</v>
      </c>
      <c r="B1326" s="62" t="s">
        <v>387</v>
      </c>
      <c r="C1326" s="62" t="s">
        <v>60</v>
      </c>
      <c r="D1326" s="62" t="s">
        <v>105</v>
      </c>
      <c r="E1326" s="62" t="s">
        <v>382</v>
      </c>
      <c r="F1326" s="63" t="s">
        <v>471</v>
      </c>
      <c r="G1326" s="64" t="n">
        <v>19.07</v>
      </c>
      <c r="H1326" s="62" t="s">
        <v>42</v>
      </c>
    </row>
    <row r="1327" customFormat="false" ht="15" hidden="false" customHeight="false" outlineLevel="0" collapsed="false">
      <c r="A1327" s="62" t="n">
        <v>0</v>
      </c>
      <c r="B1327" s="62" t="s">
        <v>388</v>
      </c>
      <c r="C1327" s="62" t="s">
        <v>60</v>
      </c>
      <c r="D1327" s="62" t="s">
        <v>105</v>
      </c>
      <c r="E1327" s="62" t="s">
        <v>382</v>
      </c>
      <c r="F1327" s="63" t="s">
        <v>471</v>
      </c>
      <c r="G1327" s="64" t="n">
        <v>19.07</v>
      </c>
      <c r="H1327" s="62" t="s">
        <v>42</v>
      </c>
    </row>
    <row r="1328" customFormat="false" ht="15" hidden="false" customHeight="false" outlineLevel="0" collapsed="false">
      <c r="A1328" s="62" t="n">
        <v>0</v>
      </c>
      <c r="B1328" s="62" t="s">
        <v>381</v>
      </c>
      <c r="C1328" s="62" t="s">
        <v>60</v>
      </c>
      <c r="D1328" s="62" t="s">
        <v>105</v>
      </c>
      <c r="E1328" s="62" t="s">
        <v>382</v>
      </c>
      <c r="F1328" s="63" t="s">
        <v>472</v>
      </c>
      <c r="G1328" s="64" t="n">
        <v>1.07176491316605</v>
      </c>
      <c r="H1328" s="62" t="s">
        <v>42</v>
      </c>
    </row>
    <row r="1329" customFormat="false" ht="15" hidden="false" customHeight="false" outlineLevel="0" collapsed="false">
      <c r="A1329" s="62" t="n">
        <v>0</v>
      </c>
      <c r="B1329" s="62" t="s">
        <v>383</v>
      </c>
      <c r="C1329" s="62" t="s">
        <v>60</v>
      </c>
      <c r="D1329" s="62" t="s">
        <v>105</v>
      </c>
      <c r="E1329" s="62" t="s">
        <v>382</v>
      </c>
      <c r="F1329" s="63" t="s">
        <v>472</v>
      </c>
      <c r="G1329" s="64" t="n">
        <v>1.07176491316605</v>
      </c>
      <c r="H1329" s="62" t="s">
        <v>42</v>
      </c>
    </row>
    <row r="1330" customFormat="false" ht="15" hidden="false" customHeight="false" outlineLevel="0" collapsed="false">
      <c r="A1330" s="62" t="n">
        <v>0</v>
      </c>
      <c r="B1330" s="62" t="s">
        <v>384</v>
      </c>
      <c r="C1330" s="62" t="s">
        <v>60</v>
      </c>
      <c r="D1330" s="62" t="s">
        <v>105</v>
      </c>
      <c r="E1330" s="62" t="s">
        <v>382</v>
      </c>
      <c r="F1330" s="63" t="s">
        <v>472</v>
      </c>
      <c r="G1330" s="64" t="n">
        <v>1.07176491316605</v>
      </c>
      <c r="H1330" s="62" t="s">
        <v>42</v>
      </c>
    </row>
    <row r="1331" customFormat="false" ht="15" hidden="false" customHeight="false" outlineLevel="0" collapsed="false">
      <c r="A1331" s="62" t="n">
        <v>0</v>
      </c>
      <c r="B1331" s="62" t="s">
        <v>385</v>
      </c>
      <c r="C1331" s="62" t="s">
        <v>60</v>
      </c>
      <c r="D1331" s="62" t="s">
        <v>105</v>
      </c>
      <c r="E1331" s="62" t="s">
        <v>382</v>
      </c>
      <c r="F1331" s="63" t="s">
        <v>472</v>
      </c>
      <c r="G1331" s="64" t="n">
        <v>1.07176491316605</v>
      </c>
      <c r="H1331" s="62" t="s">
        <v>42</v>
      </c>
    </row>
    <row r="1332" customFormat="false" ht="15" hidden="false" customHeight="false" outlineLevel="0" collapsed="false">
      <c r="A1332" s="62" t="n">
        <v>0</v>
      </c>
      <c r="B1332" s="62" t="s">
        <v>386</v>
      </c>
      <c r="C1332" s="62" t="s">
        <v>60</v>
      </c>
      <c r="D1332" s="62" t="s">
        <v>105</v>
      </c>
      <c r="E1332" s="62" t="s">
        <v>382</v>
      </c>
      <c r="F1332" s="63" t="s">
        <v>472</v>
      </c>
      <c r="G1332" s="64" t="n">
        <v>1.07176491316605</v>
      </c>
      <c r="H1332" s="62" t="s">
        <v>42</v>
      </c>
    </row>
    <row r="1333" customFormat="false" ht="15" hidden="false" customHeight="false" outlineLevel="0" collapsed="false">
      <c r="A1333" s="62" t="n">
        <v>0</v>
      </c>
      <c r="B1333" s="62" t="s">
        <v>387</v>
      </c>
      <c r="C1333" s="62" t="s">
        <v>60</v>
      </c>
      <c r="D1333" s="62" t="s">
        <v>105</v>
      </c>
      <c r="E1333" s="62" t="s">
        <v>382</v>
      </c>
      <c r="F1333" s="63" t="s">
        <v>472</v>
      </c>
      <c r="G1333" s="64" t="n">
        <v>1.07176491316605</v>
      </c>
      <c r="H1333" s="62" t="s">
        <v>42</v>
      </c>
    </row>
    <row r="1334" customFormat="false" ht="15" hidden="false" customHeight="false" outlineLevel="0" collapsed="false">
      <c r="A1334" s="62" t="n">
        <v>0</v>
      </c>
      <c r="B1334" s="62" t="s">
        <v>388</v>
      </c>
      <c r="C1334" s="62" t="s">
        <v>60</v>
      </c>
      <c r="D1334" s="62" t="s">
        <v>105</v>
      </c>
      <c r="E1334" s="62" t="s">
        <v>382</v>
      </c>
      <c r="F1334" s="63" t="s">
        <v>472</v>
      </c>
      <c r="G1334" s="64" t="n">
        <v>1.07176491316605</v>
      </c>
      <c r="H1334" s="62" t="s">
        <v>42</v>
      </c>
    </row>
    <row r="1335" customFormat="false" ht="15" hidden="false" customHeight="false" outlineLevel="0" collapsed="false">
      <c r="A1335" s="62" t="n">
        <v>0</v>
      </c>
      <c r="B1335" s="62" t="s">
        <v>381</v>
      </c>
      <c r="C1335" s="62" t="s">
        <v>60</v>
      </c>
      <c r="D1335" s="62" t="s">
        <v>105</v>
      </c>
      <c r="E1335" s="62" t="s">
        <v>382</v>
      </c>
      <c r="F1335" s="63" t="s">
        <v>473</v>
      </c>
      <c r="G1335" s="64" t="s">
        <v>474</v>
      </c>
      <c r="H1335" s="62" t="s">
        <v>42</v>
      </c>
    </row>
    <row r="1336" customFormat="false" ht="15" hidden="false" customHeight="false" outlineLevel="0" collapsed="false">
      <c r="A1336" s="62" t="n">
        <v>0</v>
      </c>
      <c r="B1336" s="62" t="s">
        <v>383</v>
      </c>
      <c r="C1336" s="62" t="s">
        <v>60</v>
      </c>
      <c r="D1336" s="62" t="s">
        <v>105</v>
      </c>
      <c r="E1336" s="62" t="s">
        <v>382</v>
      </c>
      <c r="F1336" s="63" t="s">
        <v>473</v>
      </c>
      <c r="G1336" s="64" t="s">
        <v>474</v>
      </c>
      <c r="H1336" s="62" t="s">
        <v>42</v>
      </c>
    </row>
    <row r="1337" customFormat="false" ht="15" hidden="false" customHeight="false" outlineLevel="0" collapsed="false">
      <c r="A1337" s="62" t="n">
        <v>0</v>
      </c>
      <c r="B1337" s="62" t="s">
        <v>384</v>
      </c>
      <c r="C1337" s="62" t="s">
        <v>60</v>
      </c>
      <c r="D1337" s="62" t="s">
        <v>105</v>
      </c>
      <c r="E1337" s="62" t="s">
        <v>382</v>
      </c>
      <c r="F1337" s="63" t="s">
        <v>473</v>
      </c>
      <c r="G1337" s="64" t="s">
        <v>474</v>
      </c>
      <c r="H1337" s="62" t="s">
        <v>42</v>
      </c>
    </row>
    <row r="1338" customFormat="false" ht="15" hidden="false" customHeight="false" outlineLevel="0" collapsed="false">
      <c r="A1338" s="62" t="n">
        <v>0</v>
      </c>
      <c r="B1338" s="62" t="s">
        <v>385</v>
      </c>
      <c r="C1338" s="62" t="s">
        <v>60</v>
      </c>
      <c r="D1338" s="62" t="s">
        <v>105</v>
      </c>
      <c r="E1338" s="62" t="s">
        <v>382</v>
      </c>
      <c r="F1338" s="63" t="s">
        <v>473</v>
      </c>
      <c r="G1338" s="64" t="s">
        <v>474</v>
      </c>
      <c r="H1338" s="62" t="s">
        <v>42</v>
      </c>
    </row>
    <row r="1339" customFormat="false" ht="15" hidden="false" customHeight="false" outlineLevel="0" collapsed="false">
      <c r="A1339" s="62" t="n">
        <v>0</v>
      </c>
      <c r="B1339" s="62" t="s">
        <v>386</v>
      </c>
      <c r="C1339" s="62" t="s">
        <v>60</v>
      </c>
      <c r="D1339" s="62" t="s">
        <v>105</v>
      </c>
      <c r="E1339" s="62" t="s">
        <v>382</v>
      </c>
      <c r="F1339" s="63" t="s">
        <v>473</v>
      </c>
      <c r="G1339" s="64" t="s">
        <v>474</v>
      </c>
      <c r="H1339" s="62" t="s">
        <v>42</v>
      </c>
    </row>
    <row r="1340" customFormat="false" ht="15" hidden="false" customHeight="false" outlineLevel="0" collapsed="false">
      <c r="A1340" s="62" t="n">
        <v>0</v>
      </c>
      <c r="B1340" s="62" t="s">
        <v>387</v>
      </c>
      <c r="C1340" s="62" t="s">
        <v>60</v>
      </c>
      <c r="D1340" s="62" t="s">
        <v>105</v>
      </c>
      <c r="E1340" s="62" t="s">
        <v>382</v>
      </c>
      <c r="F1340" s="63" t="s">
        <v>473</v>
      </c>
      <c r="G1340" s="64" t="s">
        <v>474</v>
      </c>
      <c r="H1340" s="62" t="s">
        <v>42</v>
      </c>
    </row>
    <row r="1341" customFormat="false" ht="15" hidden="false" customHeight="false" outlineLevel="0" collapsed="false">
      <c r="A1341" s="62" t="n">
        <v>0</v>
      </c>
      <c r="B1341" s="62" t="s">
        <v>388</v>
      </c>
      <c r="C1341" s="62" t="s">
        <v>60</v>
      </c>
      <c r="D1341" s="62" t="s">
        <v>105</v>
      </c>
      <c r="E1341" s="62" t="s">
        <v>382</v>
      </c>
      <c r="F1341" s="63" t="s">
        <v>473</v>
      </c>
      <c r="G1341" s="64" t="s">
        <v>474</v>
      </c>
      <c r="H1341" s="62" t="s">
        <v>42</v>
      </c>
    </row>
    <row r="1342" customFormat="false" ht="15" hidden="false" customHeight="false" outlineLevel="0" collapsed="false">
      <c r="A1342" s="62" t="n">
        <v>0</v>
      </c>
      <c r="B1342" s="62" t="s">
        <v>381</v>
      </c>
      <c r="C1342" s="62" t="s">
        <v>60</v>
      </c>
      <c r="D1342" s="62" t="s">
        <v>382</v>
      </c>
      <c r="E1342" s="62" t="s">
        <v>382</v>
      </c>
      <c r="F1342" s="63" t="s">
        <v>475</v>
      </c>
      <c r="G1342" s="64" t="n">
        <v>7.05537628559167</v>
      </c>
      <c r="H1342" s="62" t="s">
        <v>42</v>
      </c>
    </row>
    <row r="1343" customFormat="false" ht="15" hidden="false" customHeight="false" outlineLevel="0" collapsed="false">
      <c r="A1343" s="62" t="n">
        <v>0</v>
      </c>
      <c r="B1343" s="62" t="s">
        <v>383</v>
      </c>
      <c r="C1343" s="62" t="s">
        <v>60</v>
      </c>
      <c r="D1343" s="62" t="s">
        <v>382</v>
      </c>
      <c r="E1343" s="62" t="s">
        <v>382</v>
      </c>
      <c r="F1343" s="63" t="s">
        <v>475</v>
      </c>
      <c r="G1343" s="64" t="n">
        <v>7.05537628559167</v>
      </c>
      <c r="H1343" s="62" t="s">
        <v>42</v>
      </c>
    </row>
    <row r="1344" customFormat="false" ht="15" hidden="false" customHeight="false" outlineLevel="0" collapsed="false">
      <c r="A1344" s="62" t="n">
        <v>0</v>
      </c>
      <c r="B1344" s="62" t="s">
        <v>384</v>
      </c>
      <c r="C1344" s="62" t="s">
        <v>60</v>
      </c>
      <c r="D1344" s="62" t="s">
        <v>382</v>
      </c>
      <c r="E1344" s="62" t="s">
        <v>382</v>
      </c>
      <c r="F1344" s="63" t="s">
        <v>475</v>
      </c>
      <c r="G1344" s="64" t="n">
        <v>7.05537628559167</v>
      </c>
      <c r="H1344" s="62" t="s">
        <v>42</v>
      </c>
    </row>
    <row r="1345" customFormat="false" ht="15" hidden="false" customHeight="false" outlineLevel="0" collapsed="false">
      <c r="A1345" s="62" t="n">
        <v>0</v>
      </c>
      <c r="B1345" s="62" t="s">
        <v>385</v>
      </c>
      <c r="C1345" s="62" t="s">
        <v>60</v>
      </c>
      <c r="D1345" s="62" t="s">
        <v>382</v>
      </c>
      <c r="E1345" s="62" t="s">
        <v>382</v>
      </c>
      <c r="F1345" s="63" t="s">
        <v>475</v>
      </c>
      <c r="G1345" s="64" t="n">
        <v>7.05537628559167</v>
      </c>
      <c r="H1345" s="62" t="s">
        <v>42</v>
      </c>
    </row>
    <row r="1346" customFormat="false" ht="15" hidden="false" customHeight="false" outlineLevel="0" collapsed="false">
      <c r="A1346" s="62" t="n">
        <v>0</v>
      </c>
      <c r="B1346" s="62" t="s">
        <v>386</v>
      </c>
      <c r="C1346" s="62" t="s">
        <v>60</v>
      </c>
      <c r="D1346" s="62" t="s">
        <v>382</v>
      </c>
      <c r="E1346" s="62" t="s">
        <v>382</v>
      </c>
      <c r="F1346" s="63" t="s">
        <v>475</v>
      </c>
      <c r="G1346" s="64" t="n">
        <v>7.05537628559167</v>
      </c>
      <c r="H1346" s="62" t="s">
        <v>42</v>
      </c>
    </row>
    <row r="1347" customFormat="false" ht="15" hidden="false" customHeight="false" outlineLevel="0" collapsed="false">
      <c r="A1347" s="62" t="n">
        <v>0</v>
      </c>
      <c r="B1347" s="62" t="s">
        <v>387</v>
      </c>
      <c r="C1347" s="62" t="s">
        <v>60</v>
      </c>
      <c r="D1347" s="62" t="s">
        <v>382</v>
      </c>
      <c r="E1347" s="62" t="s">
        <v>382</v>
      </c>
      <c r="F1347" s="63" t="s">
        <v>475</v>
      </c>
      <c r="G1347" s="64" t="n">
        <v>7.05537628559167</v>
      </c>
      <c r="H1347" s="62" t="s">
        <v>42</v>
      </c>
    </row>
    <row r="1348" customFormat="false" ht="15" hidden="false" customHeight="false" outlineLevel="0" collapsed="false">
      <c r="A1348" s="62" t="n">
        <v>0</v>
      </c>
      <c r="B1348" s="62" t="s">
        <v>388</v>
      </c>
      <c r="C1348" s="62" t="s">
        <v>60</v>
      </c>
      <c r="D1348" s="62" t="s">
        <v>382</v>
      </c>
      <c r="E1348" s="62" t="s">
        <v>382</v>
      </c>
      <c r="F1348" s="63" t="s">
        <v>475</v>
      </c>
      <c r="G1348" s="64" t="n">
        <v>7.05537628559167</v>
      </c>
      <c r="H1348" s="62" t="s">
        <v>42</v>
      </c>
    </row>
    <row r="1349" customFormat="false" ht="15" hidden="false" customHeight="false" outlineLevel="0" collapsed="false">
      <c r="A1349" s="62" t="n">
        <v>0</v>
      </c>
      <c r="B1349" s="62" t="s">
        <v>381</v>
      </c>
      <c r="C1349" s="62" t="s">
        <v>60</v>
      </c>
      <c r="D1349" s="62" t="s">
        <v>382</v>
      </c>
      <c r="E1349" s="62" t="s">
        <v>382</v>
      </c>
      <c r="F1349" s="63" t="s">
        <v>476</v>
      </c>
      <c r="G1349" s="64" t="n">
        <v>12.0553762855917</v>
      </c>
      <c r="H1349" s="62" t="s">
        <v>42</v>
      </c>
    </row>
    <row r="1350" customFormat="false" ht="15" hidden="false" customHeight="false" outlineLevel="0" collapsed="false">
      <c r="A1350" s="62" t="n">
        <v>0</v>
      </c>
      <c r="B1350" s="62" t="s">
        <v>383</v>
      </c>
      <c r="C1350" s="62" t="s">
        <v>60</v>
      </c>
      <c r="D1350" s="62" t="s">
        <v>382</v>
      </c>
      <c r="E1350" s="62" t="s">
        <v>382</v>
      </c>
      <c r="F1350" s="63" t="s">
        <v>476</v>
      </c>
      <c r="G1350" s="64" t="n">
        <v>12.0553762855917</v>
      </c>
      <c r="H1350" s="62" t="s">
        <v>42</v>
      </c>
    </row>
    <row r="1351" customFormat="false" ht="15" hidden="false" customHeight="false" outlineLevel="0" collapsed="false">
      <c r="A1351" s="62" t="n">
        <v>0</v>
      </c>
      <c r="B1351" s="62" t="s">
        <v>384</v>
      </c>
      <c r="C1351" s="62" t="s">
        <v>60</v>
      </c>
      <c r="D1351" s="62" t="s">
        <v>382</v>
      </c>
      <c r="E1351" s="62" t="s">
        <v>382</v>
      </c>
      <c r="F1351" s="63" t="s">
        <v>476</v>
      </c>
      <c r="G1351" s="64" t="n">
        <v>12.0553762855917</v>
      </c>
      <c r="H1351" s="62" t="s">
        <v>42</v>
      </c>
    </row>
    <row r="1352" customFormat="false" ht="15" hidden="false" customHeight="false" outlineLevel="0" collapsed="false">
      <c r="A1352" s="62" t="n">
        <v>0</v>
      </c>
      <c r="B1352" s="62" t="s">
        <v>385</v>
      </c>
      <c r="C1352" s="62" t="s">
        <v>60</v>
      </c>
      <c r="D1352" s="62" t="s">
        <v>382</v>
      </c>
      <c r="E1352" s="62" t="s">
        <v>382</v>
      </c>
      <c r="F1352" s="63" t="s">
        <v>476</v>
      </c>
      <c r="G1352" s="64" t="n">
        <v>12.0553762855917</v>
      </c>
      <c r="H1352" s="62" t="s">
        <v>42</v>
      </c>
    </row>
    <row r="1353" customFormat="false" ht="15" hidden="false" customHeight="false" outlineLevel="0" collapsed="false">
      <c r="A1353" s="62" t="n">
        <v>0</v>
      </c>
      <c r="B1353" s="62" t="s">
        <v>386</v>
      </c>
      <c r="C1353" s="62" t="s">
        <v>60</v>
      </c>
      <c r="D1353" s="62" t="s">
        <v>382</v>
      </c>
      <c r="E1353" s="62" t="s">
        <v>382</v>
      </c>
      <c r="F1353" s="63" t="s">
        <v>476</v>
      </c>
      <c r="G1353" s="64" t="n">
        <v>12.0553762855917</v>
      </c>
      <c r="H1353" s="62" t="s">
        <v>42</v>
      </c>
    </row>
    <row r="1354" customFormat="false" ht="15" hidden="false" customHeight="false" outlineLevel="0" collapsed="false">
      <c r="A1354" s="62" t="n">
        <v>0</v>
      </c>
      <c r="B1354" s="62" t="s">
        <v>387</v>
      </c>
      <c r="C1354" s="62" t="s">
        <v>60</v>
      </c>
      <c r="D1354" s="62" t="s">
        <v>382</v>
      </c>
      <c r="E1354" s="62" t="s">
        <v>382</v>
      </c>
      <c r="F1354" s="63" t="s">
        <v>476</v>
      </c>
      <c r="G1354" s="64" t="n">
        <v>12.0553762855917</v>
      </c>
      <c r="H1354" s="62" t="s">
        <v>42</v>
      </c>
    </row>
    <row r="1355" customFormat="false" ht="15" hidden="false" customHeight="false" outlineLevel="0" collapsed="false">
      <c r="A1355" s="62" t="n">
        <v>0</v>
      </c>
      <c r="B1355" s="62" t="s">
        <v>388</v>
      </c>
      <c r="C1355" s="62" t="s">
        <v>60</v>
      </c>
      <c r="D1355" s="62" t="s">
        <v>382</v>
      </c>
      <c r="E1355" s="62" t="s">
        <v>382</v>
      </c>
      <c r="F1355" s="63" t="s">
        <v>476</v>
      </c>
      <c r="G1355" s="64" t="n">
        <v>12.0553762855917</v>
      </c>
      <c r="H1355" s="62" t="s">
        <v>42</v>
      </c>
    </row>
    <row r="1356" customFormat="false" ht="15" hidden="false" customHeight="false" outlineLevel="0" collapsed="false">
      <c r="A1356" s="62" t="n">
        <v>0</v>
      </c>
      <c r="B1356" s="62" t="s">
        <v>381</v>
      </c>
      <c r="C1356" s="62" t="s">
        <v>60</v>
      </c>
      <c r="D1356" s="62" t="s">
        <v>382</v>
      </c>
      <c r="E1356" s="62" t="s">
        <v>382</v>
      </c>
      <c r="F1356" s="63" t="s">
        <v>477</v>
      </c>
      <c r="G1356" s="64" t="n">
        <v>14.1419575465528</v>
      </c>
      <c r="H1356" s="62" t="s">
        <v>42</v>
      </c>
    </row>
    <row r="1357" customFormat="false" ht="15" hidden="false" customHeight="false" outlineLevel="0" collapsed="false">
      <c r="A1357" s="62" t="n">
        <v>0</v>
      </c>
      <c r="B1357" s="62" t="s">
        <v>383</v>
      </c>
      <c r="C1357" s="62" t="s">
        <v>60</v>
      </c>
      <c r="D1357" s="62" t="s">
        <v>382</v>
      </c>
      <c r="E1357" s="62" t="s">
        <v>382</v>
      </c>
      <c r="F1357" s="63" t="s">
        <v>477</v>
      </c>
      <c r="G1357" s="64" t="n">
        <v>14.1419575465528</v>
      </c>
      <c r="H1357" s="62" t="s">
        <v>42</v>
      </c>
    </row>
    <row r="1358" customFormat="false" ht="15" hidden="false" customHeight="false" outlineLevel="0" collapsed="false">
      <c r="A1358" s="62" t="n">
        <v>0</v>
      </c>
      <c r="B1358" s="62" t="s">
        <v>384</v>
      </c>
      <c r="C1358" s="62" t="s">
        <v>60</v>
      </c>
      <c r="D1358" s="62" t="s">
        <v>382</v>
      </c>
      <c r="E1358" s="62" t="s">
        <v>382</v>
      </c>
      <c r="F1358" s="63" t="s">
        <v>477</v>
      </c>
      <c r="G1358" s="64" t="n">
        <v>14.1419575465528</v>
      </c>
      <c r="H1358" s="62" t="s">
        <v>42</v>
      </c>
    </row>
    <row r="1359" customFormat="false" ht="15" hidden="false" customHeight="false" outlineLevel="0" collapsed="false">
      <c r="A1359" s="62" t="n">
        <v>0</v>
      </c>
      <c r="B1359" s="62" t="s">
        <v>385</v>
      </c>
      <c r="C1359" s="62" t="s">
        <v>60</v>
      </c>
      <c r="D1359" s="62" t="s">
        <v>382</v>
      </c>
      <c r="E1359" s="62" t="s">
        <v>382</v>
      </c>
      <c r="F1359" s="63" t="s">
        <v>477</v>
      </c>
      <c r="G1359" s="64" t="n">
        <v>14.1419575465528</v>
      </c>
      <c r="H1359" s="62" t="s">
        <v>42</v>
      </c>
    </row>
    <row r="1360" customFormat="false" ht="15" hidden="false" customHeight="false" outlineLevel="0" collapsed="false">
      <c r="A1360" s="62" t="n">
        <v>0</v>
      </c>
      <c r="B1360" s="62" t="s">
        <v>386</v>
      </c>
      <c r="C1360" s="62" t="s">
        <v>60</v>
      </c>
      <c r="D1360" s="62" t="s">
        <v>382</v>
      </c>
      <c r="E1360" s="62" t="s">
        <v>382</v>
      </c>
      <c r="F1360" s="63" t="s">
        <v>477</v>
      </c>
      <c r="G1360" s="64" t="n">
        <v>14.1419575465528</v>
      </c>
      <c r="H1360" s="62" t="s">
        <v>42</v>
      </c>
    </row>
    <row r="1361" customFormat="false" ht="15" hidden="false" customHeight="false" outlineLevel="0" collapsed="false">
      <c r="A1361" s="62" t="n">
        <v>0</v>
      </c>
      <c r="B1361" s="62" t="s">
        <v>387</v>
      </c>
      <c r="C1361" s="62" t="s">
        <v>60</v>
      </c>
      <c r="D1361" s="62" t="s">
        <v>382</v>
      </c>
      <c r="E1361" s="62" t="s">
        <v>382</v>
      </c>
      <c r="F1361" s="63" t="s">
        <v>477</v>
      </c>
      <c r="G1361" s="64" t="n">
        <v>14.1419575465528</v>
      </c>
      <c r="H1361" s="62" t="s">
        <v>42</v>
      </c>
    </row>
    <row r="1362" customFormat="false" ht="15" hidden="false" customHeight="false" outlineLevel="0" collapsed="false">
      <c r="A1362" s="62" t="n">
        <v>0</v>
      </c>
      <c r="B1362" s="62" t="s">
        <v>388</v>
      </c>
      <c r="C1362" s="62" t="s">
        <v>60</v>
      </c>
      <c r="D1362" s="62" t="s">
        <v>382</v>
      </c>
      <c r="E1362" s="62" t="s">
        <v>382</v>
      </c>
      <c r="F1362" s="63" t="s">
        <v>477</v>
      </c>
      <c r="G1362" s="64" t="n">
        <v>14.1419575465528</v>
      </c>
      <c r="H1362" s="62" t="s">
        <v>42</v>
      </c>
    </row>
    <row r="1363" customFormat="false" ht="15" hidden="false" customHeight="false" outlineLevel="0" collapsed="false">
      <c r="A1363" s="62" t="n">
        <v>0</v>
      </c>
      <c r="B1363" s="62" t="s">
        <v>381</v>
      </c>
      <c r="C1363" s="62" t="s">
        <v>60</v>
      </c>
      <c r="D1363" s="62" t="s">
        <v>382</v>
      </c>
      <c r="E1363" s="62" t="s">
        <v>382</v>
      </c>
      <c r="F1363" s="63" t="s">
        <v>478</v>
      </c>
      <c r="G1363" s="64" t="n">
        <v>12.5770216008319</v>
      </c>
      <c r="H1363" s="62" t="s">
        <v>42</v>
      </c>
    </row>
    <row r="1364" customFormat="false" ht="15" hidden="false" customHeight="false" outlineLevel="0" collapsed="false">
      <c r="A1364" s="62" t="n">
        <v>0</v>
      </c>
      <c r="B1364" s="62" t="s">
        <v>383</v>
      </c>
      <c r="C1364" s="62" t="s">
        <v>60</v>
      </c>
      <c r="D1364" s="62" t="s">
        <v>382</v>
      </c>
      <c r="E1364" s="62" t="s">
        <v>382</v>
      </c>
      <c r="F1364" s="63" t="s">
        <v>478</v>
      </c>
      <c r="G1364" s="64" t="n">
        <v>12.5770216008319</v>
      </c>
      <c r="H1364" s="62" t="s">
        <v>42</v>
      </c>
    </row>
    <row r="1365" customFormat="false" ht="15" hidden="false" customHeight="false" outlineLevel="0" collapsed="false">
      <c r="A1365" s="62" t="n">
        <v>0</v>
      </c>
      <c r="B1365" s="62" t="s">
        <v>384</v>
      </c>
      <c r="C1365" s="62" t="s">
        <v>60</v>
      </c>
      <c r="D1365" s="62" t="s">
        <v>382</v>
      </c>
      <c r="E1365" s="62" t="s">
        <v>382</v>
      </c>
      <c r="F1365" s="63" t="s">
        <v>478</v>
      </c>
      <c r="G1365" s="64" t="n">
        <v>12.5770216008319</v>
      </c>
      <c r="H1365" s="62" t="s">
        <v>42</v>
      </c>
    </row>
    <row r="1366" customFormat="false" ht="15" hidden="false" customHeight="false" outlineLevel="0" collapsed="false">
      <c r="A1366" s="62" t="n">
        <v>0</v>
      </c>
      <c r="B1366" s="62" t="s">
        <v>385</v>
      </c>
      <c r="C1366" s="62" t="s">
        <v>60</v>
      </c>
      <c r="D1366" s="62" t="s">
        <v>382</v>
      </c>
      <c r="E1366" s="62" t="s">
        <v>382</v>
      </c>
      <c r="F1366" s="63" t="s">
        <v>478</v>
      </c>
      <c r="G1366" s="64" t="n">
        <v>12.5770216008319</v>
      </c>
      <c r="H1366" s="62" t="s">
        <v>42</v>
      </c>
    </row>
    <row r="1367" customFormat="false" ht="15" hidden="false" customHeight="false" outlineLevel="0" collapsed="false">
      <c r="A1367" s="62" t="n">
        <v>0</v>
      </c>
      <c r="B1367" s="62" t="s">
        <v>386</v>
      </c>
      <c r="C1367" s="62" t="s">
        <v>60</v>
      </c>
      <c r="D1367" s="62" t="s">
        <v>382</v>
      </c>
      <c r="E1367" s="62" t="s">
        <v>382</v>
      </c>
      <c r="F1367" s="63" t="s">
        <v>478</v>
      </c>
      <c r="G1367" s="64" t="n">
        <v>12.5770216008319</v>
      </c>
      <c r="H1367" s="62" t="s">
        <v>42</v>
      </c>
    </row>
    <row r="1368" customFormat="false" ht="15" hidden="false" customHeight="false" outlineLevel="0" collapsed="false">
      <c r="A1368" s="62" t="n">
        <v>0</v>
      </c>
      <c r="B1368" s="62" t="s">
        <v>387</v>
      </c>
      <c r="C1368" s="62" t="s">
        <v>60</v>
      </c>
      <c r="D1368" s="62" t="s">
        <v>382</v>
      </c>
      <c r="E1368" s="62" t="s">
        <v>382</v>
      </c>
      <c r="F1368" s="63" t="s">
        <v>478</v>
      </c>
      <c r="G1368" s="64" t="n">
        <v>12.5770216008319</v>
      </c>
      <c r="H1368" s="62" t="s">
        <v>42</v>
      </c>
    </row>
    <row r="1369" customFormat="false" ht="15" hidden="false" customHeight="false" outlineLevel="0" collapsed="false">
      <c r="A1369" s="62" t="n">
        <v>0</v>
      </c>
      <c r="B1369" s="62" t="s">
        <v>388</v>
      </c>
      <c r="C1369" s="62" t="s">
        <v>60</v>
      </c>
      <c r="D1369" s="62" t="s">
        <v>382</v>
      </c>
      <c r="E1369" s="62" t="s">
        <v>382</v>
      </c>
      <c r="F1369" s="63" t="s">
        <v>478</v>
      </c>
      <c r="G1369" s="64" t="n">
        <v>12.5770216008319</v>
      </c>
      <c r="H1369" s="62" t="s">
        <v>42</v>
      </c>
    </row>
    <row r="1370" customFormat="false" ht="15" hidden="false" customHeight="false" outlineLevel="0" collapsed="false">
      <c r="A1370" s="62" t="n">
        <v>0</v>
      </c>
      <c r="B1370" s="62" t="s">
        <v>381</v>
      </c>
      <c r="C1370" s="62" t="s">
        <v>60</v>
      </c>
      <c r="D1370" s="62" t="s">
        <v>105</v>
      </c>
      <c r="E1370" s="62" t="s">
        <v>92</v>
      </c>
      <c r="F1370" s="63" t="s">
        <v>479</v>
      </c>
      <c r="G1370" s="64" t="n">
        <v>14.2857142857143</v>
      </c>
      <c r="H1370" s="62" t="s">
        <v>42</v>
      </c>
    </row>
    <row r="1371" customFormat="false" ht="15" hidden="false" customHeight="false" outlineLevel="0" collapsed="false">
      <c r="A1371" s="62" t="n">
        <v>0</v>
      </c>
      <c r="B1371" s="62" t="s">
        <v>383</v>
      </c>
      <c r="C1371" s="62" t="s">
        <v>60</v>
      </c>
      <c r="D1371" s="62" t="s">
        <v>105</v>
      </c>
      <c r="E1371" s="62" t="s">
        <v>92</v>
      </c>
      <c r="F1371" s="63" t="s">
        <v>479</v>
      </c>
      <c r="G1371" s="64" t="n">
        <v>14.2857142857143</v>
      </c>
      <c r="H1371" s="62" t="s">
        <v>42</v>
      </c>
    </row>
    <row r="1372" customFormat="false" ht="15" hidden="false" customHeight="false" outlineLevel="0" collapsed="false">
      <c r="A1372" s="62" t="n">
        <v>0</v>
      </c>
      <c r="B1372" s="62" t="s">
        <v>384</v>
      </c>
      <c r="C1372" s="62" t="s">
        <v>60</v>
      </c>
      <c r="D1372" s="62" t="s">
        <v>105</v>
      </c>
      <c r="E1372" s="62" t="s">
        <v>92</v>
      </c>
      <c r="F1372" s="63" t="s">
        <v>479</v>
      </c>
      <c r="G1372" s="64" t="n">
        <v>14.2857142857143</v>
      </c>
      <c r="H1372" s="62" t="s">
        <v>42</v>
      </c>
    </row>
    <row r="1373" customFormat="false" ht="15" hidden="false" customHeight="false" outlineLevel="0" collapsed="false">
      <c r="A1373" s="62" t="n">
        <v>0</v>
      </c>
      <c r="B1373" s="62" t="s">
        <v>385</v>
      </c>
      <c r="C1373" s="62" t="s">
        <v>60</v>
      </c>
      <c r="D1373" s="62" t="s">
        <v>105</v>
      </c>
      <c r="E1373" s="62" t="s">
        <v>92</v>
      </c>
      <c r="F1373" s="63" t="s">
        <v>479</v>
      </c>
      <c r="G1373" s="64" t="n">
        <v>14.2857142857143</v>
      </c>
      <c r="H1373" s="62" t="s">
        <v>42</v>
      </c>
    </row>
    <row r="1374" customFormat="false" ht="15" hidden="false" customHeight="false" outlineLevel="0" collapsed="false">
      <c r="A1374" s="62" t="n">
        <v>0</v>
      </c>
      <c r="B1374" s="62" t="s">
        <v>386</v>
      </c>
      <c r="C1374" s="62" t="s">
        <v>60</v>
      </c>
      <c r="D1374" s="62" t="s">
        <v>105</v>
      </c>
      <c r="E1374" s="62" t="s">
        <v>92</v>
      </c>
      <c r="F1374" s="63" t="s">
        <v>479</v>
      </c>
      <c r="G1374" s="64" t="n">
        <v>14.2857142857143</v>
      </c>
      <c r="H1374" s="62" t="s">
        <v>42</v>
      </c>
    </row>
    <row r="1375" customFormat="false" ht="15" hidden="false" customHeight="false" outlineLevel="0" collapsed="false">
      <c r="A1375" s="62" t="n">
        <v>0</v>
      </c>
      <c r="B1375" s="62" t="s">
        <v>387</v>
      </c>
      <c r="C1375" s="62" t="s">
        <v>60</v>
      </c>
      <c r="D1375" s="62" t="s">
        <v>105</v>
      </c>
      <c r="E1375" s="62" t="s">
        <v>92</v>
      </c>
      <c r="F1375" s="63" t="s">
        <v>479</v>
      </c>
      <c r="G1375" s="64" t="n">
        <v>14.2857142857143</v>
      </c>
      <c r="H1375" s="62" t="s">
        <v>42</v>
      </c>
    </row>
    <row r="1376" customFormat="false" ht="15" hidden="false" customHeight="false" outlineLevel="0" collapsed="false">
      <c r="A1376" s="62" t="n">
        <v>0</v>
      </c>
      <c r="B1376" s="62" t="s">
        <v>388</v>
      </c>
      <c r="C1376" s="62" t="s">
        <v>60</v>
      </c>
      <c r="D1376" s="62" t="s">
        <v>105</v>
      </c>
      <c r="E1376" s="62" t="s">
        <v>92</v>
      </c>
      <c r="F1376" s="63" t="s">
        <v>479</v>
      </c>
      <c r="G1376" s="64" t="n">
        <v>14.2857142857143</v>
      </c>
      <c r="H1376" s="62" t="s">
        <v>42</v>
      </c>
    </row>
    <row r="1377" customFormat="false" ht="15" hidden="false" customHeight="false" outlineLevel="0" collapsed="false">
      <c r="A1377" s="62" t="n">
        <v>0</v>
      </c>
      <c r="B1377" s="62" t="s">
        <v>381</v>
      </c>
      <c r="C1377" s="62" t="s">
        <v>60</v>
      </c>
      <c r="D1377" s="62" t="s">
        <v>105</v>
      </c>
      <c r="E1377" s="62" t="s">
        <v>94</v>
      </c>
      <c r="F1377" s="63" t="s">
        <v>479</v>
      </c>
      <c r="G1377" s="64" t="n">
        <v>0</v>
      </c>
      <c r="H1377" s="62" t="s">
        <v>42</v>
      </c>
    </row>
    <row r="1378" customFormat="false" ht="15" hidden="false" customHeight="false" outlineLevel="0" collapsed="false">
      <c r="A1378" s="62" t="n">
        <v>0</v>
      </c>
      <c r="B1378" s="62" t="s">
        <v>383</v>
      </c>
      <c r="C1378" s="62" t="s">
        <v>60</v>
      </c>
      <c r="D1378" s="62" t="s">
        <v>105</v>
      </c>
      <c r="E1378" s="62" t="s">
        <v>94</v>
      </c>
      <c r="F1378" s="63" t="s">
        <v>479</v>
      </c>
      <c r="G1378" s="64" t="n">
        <v>0</v>
      </c>
      <c r="H1378" s="62" t="s">
        <v>42</v>
      </c>
    </row>
    <row r="1379" customFormat="false" ht="15" hidden="false" customHeight="false" outlineLevel="0" collapsed="false">
      <c r="A1379" s="62" t="n">
        <v>0</v>
      </c>
      <c r="B1379" s="62" t="s">
        <v>384</v>
      </c>
      <c r="C1379" s="62" t="s">
        <v>60</v>
      </c>
      <c r="D1379" s="62" t="s">
        <v>105</v>
      </c>
      <c r="E1379" s="62" t="s">
        <v>94</v>
      </c>
      <c r="F1379" s="63" t="s">
        <v>479</v>
      </c>
      <c r="G1379" s="64" t="n">
        <v>0</v>
      </c>
      <c r="H1379" s="62" t="s">
        <v>42</v>
      </c>
    </row>
    <row r="1380" customFormat="false" ht="15" hidden="false" customHeight="false" outlineLevel="0" collapsed="false">
      <c r="A1380" s="62" t="n">
        <v>0</v>
      </c>
      <c r="B1380" s="62" t="s">
        <v>385</v>
      </c>
      <c r="C1380" s="62" t="s">
        <v>60</v>
      </c>
      <c r="D1380" s="62" t="s">
        <v>105</v>
      </c>
      <c r="E1380" s="62" t="s">
        <v>94</v>
      </c>
      <c r="F1380" s="63" t="s">
        <v>479</v>
      </c>
      <c r="G1380" s="64" t="n">
        <v>0</v>
      </c>
      <c r="H1380" s="62" t="s">
        <v>42</v>
      </c>
    </row>
    <row r="1381" customFormat="false" ht="15" hidden="false" customHeight="false" outlineLevel="0" collapsed="false">
      <c r="A1381" s="62" t="n">
        <v>0</v>
      </c>
      <c r="B1381" s="62" t="s">
        <v>386</v>
      </c>
      <c r="C1381" s="62" t="s">
        <v>60</v>
      </c>
      <c r="D1381" s="62" t="s">
        <v>105</v>
      </c>
      <c r="E1381" s="62" t="s">
        <v>94</v>
      </c>
      <c r="F1381" s="63" t="s">
        <v>479</v>
      </c>
      <c r="G1381" s="64" t="n">
        <v>0</v>
      </c>
      <c r="H1381" s="62" t="s">
        <v>42</v>
      </c>
    </row>
    <row r="1382" customFormat="false" ht="15" hidden="false" customHeight="false" outlineLevel="0" collapsed="false">
      <c r="A1382" s="62" t="n">
        <v>0</v>
      </c>
      <c r="B1382" s="62" t="s">
        <v>387</v>
      </c>
      <c r="C1382" s="62" t="s">
        <v>60</v>
      </c>
      <c r="D1382" s="62" t="s">
        <v>105</v>
      </c>
      <c r="E1382" s="62" t="s">
        <v>94</v>
      </c>
      <c r="F1382" s="63" t="s">
        <v>479</v>
      </c>
      <c r="G1382" s="64" t="n">
        <v>0</v>
      </c>
      <c r="H1382" s="62" t="s">
        <v>42</v>
      </c>
    </row>
    <row r="1383" customFormat="false" ht="15" hidden="false" customHeight="false" outlineLevel="0" collapsed="false">
      <c r="A1383" s="62" t="n">
        <v>0</v>
      </c>
      <c r="B1383" s="62" t="s">
        <v>388</v>
      </c>
      <c r="C1383" s="62" t="s">
        <v>60</v>
      </c>
      <c r="D1383" s="62" t="s">
        <v>105</v>
      </c>
      <c r="E1383" s="62" t="s">
        <v>94</v>
      </c>
      <c r="F1383" s="63" t="s">
        <v>479</v>
      </c>
      <c r="G1383" s="64" t="n">
        <v>0</v>
      </c>
      <c r="H1383" s="62" t="s">
        <v>42</v>
      </c>
    </row>
    <row r="1384" customFormat="false" ht="15" hidden="false" customHeight="false" outlineLevel="0" collapsed="false">
      <c r="A1384" s="62" t="n">
        <v>0</v>
      </c>
      <c r="B1384" s="62" t="s">
        <v>381</v>
      </c>
      <c r="C1384" s="62" t="s">
        <v>60</v>
      </c>
      <c r="D1384" s="62" t="s">
        <v>105</v>
      </c>
      <c r="E1384" s="62" t="s">
        <v>95</v>
      </c>
      <c r="F1384" s="63" t="s">
        <v>479</v>
      </c>
      <c r="G1384" s="64" t="n">
        <v>0</v>
      </c>
      <c r="H1384" s="62" t="s">
        <v>42</v>
      </c>
    </row>
    <row r="1385" customFormat="false" ht="15" hidden="false" customHeight="false" outlineLevel="0" collapsed="false">
      <c r="A1385" s="62" t="n">
        <v>0</v>
      </c>
      <c r="B1385" s="62" t="s">
        <v>383</v>
      </c>
      <c r="C1385" s="62" t="s">
        <v>60</v>
      </c>
      <c r="D1385" s="62" t="s">
        <v>105</v>
      </c>
      <c r="E1385" s="62" t="s">
        <v>95</v>
      </c>
      <c r="F1385" s="63" t="s">
        <v>479</v>
      </c>
      <c r="G1385" s="64" t="n">
        <v>0</v>
      </c>
      <c r="H1385" s="62" t="s">
        <v>42</v>
      </c>
    </row>
    <row r="1386" customFormat="false" ht="15" hidden="false" customHeight="false" outlineLevel="0" collapsed="false">
      <c r="A1386" s="62" t="n">
        <v>0</v>
      </c>
      <c r="B1386" s="62" t="s">
        <v>384</v>
      </c>
      <c r="C1386" s="62" t="s">
        <v>60</v>
      </c>
      <c r="D1386" s="62" t="s">
        <v>105</v>
      </c>
      <c r="E1386" s="62" t="s">
        <v>95</v>
      </c>
      <c r="F1386" s="63" t="s">
        <v>479</v>
      </c>
      <c r="G1386" s="64" t="n">
        <v>0</v>
      </c>
      <c r="H1386" s="62" t="s">
        <v>42</v>
      </c>
    </row>
    <row r="1387" customFormat="false" ht="15" hidden="false" customHeight="false" outlineLevel="0" collapsed="false">
      <c r="A1387" s="62" t="n">
        <v>0</v>
      </c>
      <c r="B1387" s="62" t="s">
        <v>385</v>
      </c>
      <c r="C1387" s="62" t="s">
        <v>60</v>
      </c>
      <c r="D1387" s="62" t="s">
        <v>105</v>
      </c>
      <c r="E1387" s="62" t="s">
        <v>95</v>
      </c>
      <c r="F1387" s="63" t="s">
        <v>479</v>
      </c>
      <c r="G1387" s="64" t="n">
        <v>0</v>
      </c>
      <c r="H1387" s="62" t="s">
        <v>42</v>
      </c>
    </row>
    <row r="1388" customFormat="false" ht="15" hidden="false" customHeight="false" outlineLevel="0" collapsed="false">
      <c r="A1388" s="62" t="n">
        <v>0</v>
      </c>
      <c r="B1388" s="62" t="s">
        <v>386</v>
      </c>
      <c r="C1388" s="62" t="s">
        <v>60</v>
      </c>
      <c r="D1388" s="62" t="s">
        <v>105</v>
      </c>
      <c r="E1388" s="62" t="s">
        <v>95</v>
      </c>
      <c r="F1388" s="63" t="s">
        <v>479</v>
      </c>
      <c r="G1388" s="64" t="n">
        <v>0</v>
      </c>
      <c r="H1388" s="62" t="s">
        <v>42</v>
      </c>
    </row>
    <row r="1389" customFormat="false" ht="15" hidden="false" customHeight="false" outlineLevel="0" collapsed="false">
      <c r="A1389" s="62" t="n">
        <v>0</v>
      </c>
      <c r="B1389" s="62" t="s">
        <v>387</v>
      </c>
      <c r="C1389" s="62" t="s">
        <v>60</v>
      </c>
      <c r="D1389" s="62" t="s">
        <v>105</v>
      </c>
      <c r="E1389" s="62" t="s">
        <v>95</v>
      </c>
      <c r="F1389" s="63" t="s">
        <v>479</v>
      </c>
      <c r="G1389" s="64" t="n">
        <v>0</v>
      </c>
      <c r="H1389" s="62" t="s">
        <v>42</v>
      </c>
    </row>
    <row r="1390" customFormat="false" ht="15" hidden="false" customHeight="false" outlineLevel="0" collapsed="false">
      <c r="A1390" s="62" t="n">
        <v>0</v>
      </c>
      <c r="B1390" s="62" t="s">
        <v>388</v>
      </c>
      <c r="C1390" s="62" t="s">
        <v>60</v>
      </c>
      <c r="D1390" s="62" t="s">
        <v>105</v>
      </c>
      <c r="E1390" s="62" t="s">
        <v>95</v>
      </c>
      <c r="F1390" s="63" t="s">
        <v>479</v>
      </c>
      <c r="G1390" s="64" t="n">
        <v>0</v>
      </c>
      <c r="H1390" s="62" t="s">
        <v>42</v>
      </c>
    </row>
    <row r="1391" customFormat="false" ht="15" hidden="false" customHeight="false" outlineLevel="0" collapsed="false">
      <c r="A1391" s="62" t="n">
        <v>0</v>
      </c>
      <c r="B1391" s="62" t="s">
        <v>381</v>
      </c>
      <c r="C1391" s="62" t="s">
        <v>60</v>
      </c>
      <c r="D1391" s="62" t="s">
        <v>105</v>
      </c>
      <c r="E1391" s="62" t="s">
        <v>97</v>
      </c>
      <c r="F1391" s="63" t="s">
        <v>479</v>
      </c>
      <c r="G1391" s="64" t="n">
        <v>0</v>
      </c>
      <c r="H1391" s="62" t="s">
        <v>42</v>
      </c>
    </row>
    <row r="1392" customFormat="false" ht="15" hidden="false" customHeight="false" outlineLevel="0" collapsed="false">
      <c r="A1392" s="62" t="n">
        <v>0</v>
      </c>
      <c r="B1392" s="62" t="s">
        <v>383</v>
      </c>
      <c r="C1392" s="62" t="s">
        <v>60</v>
      </c>
      <c r="D1392" s="62" t="s">
        <v>105</v>
      </c>
      <c r="E1392" s="62" t="s">
        <v>97</v>
      </c>
      <c r="F1392" s="63" t="s">
        <v>479</v>
      </c>
      <c r="G1392" s="64" t="n">
        <v>0</v>
      </c>
      <c r="H1392" s="62" t="s">
        <v>42</v>
      </c>
    </row>
    <row r="1393" customFormat="false" ht="15" hidden="false" customHeight="false" outlineLevel="0" collapsed="false">
      <c r="A1393" s="62" t="n">
        <v>0</v>
      </c>
      <c r="B1393" s="62" t="s">
        <v>384</v>
      </c>
      <c r="C1393" s="62" t="s">
        <v>60</v>
      </c>
      <c r="D1393" s="62" t="s">
        <v>105</v>
      </c>
      <c r="E1393" s="62" t="s">
        <v>97</v>
      </c>
      <c r="F1393" s="63" t="s">
        <v>479</v>
      </c>
      <c r="G1393" s="64" t="n">
        <v>0</v>
      </c>
      <c r="H1393" s="62" t="s">
        <v>42</v>
      </c>
    </row>
    <row r="1394" customFormat="false" ht="15" hidden="false" customHeight="false" outlineLevel="0" collapsed="false">
      <c r="A1394" s="62" t="n">
        <v>0</v>
      </c>
      <c r="B1394" s="62" t="s">
        <v>385</v>
      </c>
      <c r="C1394" s="62" t="s">
        <v>60</v>
      </c>
      <c r="D1394" s="62" t="s">
        <v>105</v>
      </c>
      <c r="E1394" s="62" t="s">
        <v>97</v>
      </c>
      <c r="F1394" s="63" t="s">
        <v>479</v>
      </c>
      <c r="G1394" s="64" t="n">
        <v>0</v>
      </c>
      <c r="H1394" s="62" t="s">
        <v>42</v>
      </c>
    </row>
    <row r="1395" customFormat="false" ht="15" hidden="false" customHeight="false" outlineLevel="0" collapsed="false">
      <c r="A1395" s="62" t="n">
        <v>0</v>
      </c>
      <c r="B1395" s="62" t="s">
        <v>386</v>
      </c>
      <c r="C1395" s="62" t="s">
        <v>60</v>
      </c>
      <c r="D1395" s="62" t="s">
        <v>105</v>
      </c>
      <c r="E1395" s="62" t="s">
        <v>97</v>
      </c>
      <c r="F1395" s="63" t="s">
        <v>479</v>
      </c>
      <c r="G1395" s="64" t="n">
        <v>0</v>
      </c>
      <c r="H1395" s="62" t="s">
        <v>42</v>
      </c>
    </row>
    <row r="1396" customFormat="false" ht="15" hidden="false" customHeight="false" outlineLevel="0" collapsed="false">
      <c r="A1396" s="62" t="n">
        <v>0</v>
      </c>
      <c r="B1396" s="62" t="s">
        <v>387</v>
      </c>
      <c r="C1396" s="62" t="s">
        <v>60</v>
      </c>
      <c r="D1396" s="62" t="s">
        <v>105</v>
      </c>
      <c r="E1396" s="62" t="s">
        <v>97</v>
      </c>
      <c r="F1396" s="63" t="s">
        <v>479</v>
      </c>
      <c r="G1396" s="64" t="n">
        <v>0</v>
      </c>
      <c r="H1396" s="62" t="s">
        <v>42</v>
      </c>
    </row>
    <row r="1397" customFormat="false" ht="15" hidden="false" customHeight="false" outlineLevel="0" collapsed="false">
      <c r="A1397" s="62" t="n">
        <v>0</v>
      </c>
      <c r="B1397" s="62" t="s">
        <v>388</v>
      </c>
      <c r="C1397" s="62" t="s">
        <v>60</v>
      </c>
      <c r="D1397" s="62" t="s">
        <v>105</v>
      </c>
      <c r="E1397" s="62" t="s">
        <v>97</v>
      </c>
      <c r="F1397" s="63" t="s">
        <v>479</v>
      </c>
      <c r="G1397" s="64" t="n">
        <v>0</v>
      </c>
      <c r="H1397" s="62" t="s">
        <v>42</v>
      </c>
    </row>
    <row r="1398" customFormat="false" ht="15" hidden="false" customHeight="false" outlineLevel="0" collapsed="false">
      <c r="A1398" s="62" t="n">
        <v>0</v>
      </c>
      <c r="B1398" s="62" t="s">
        <v>381</v>
      </c>
      <c r="C1398" s="62" t="s">
        <v>60</v>
      </c>
      <c r="D1398" s="62" t="s">
        <v>105</v>
      </c>
      <c r="E1398" s="62" t="s">
        <v>382</v>
      </c>
      <c r="F1398" s="63" t="s">
        <v>480</v>
      </c>
      <c r="G1398" s="64" t="n">
        <v>14.2857142857143</v>
      </c>
      <c r="H1398" s="62" t="s">
        <v>42</v>
      </c>
    </row>
    <row r="1399" customFormat="false" ht="15" hidden="false" customHeight="false" outlineLevel="0" collapsed="false">
      <c r="A1399" s="62" t="n">
        <v>0</v>
      </c>
      <c r="B1399" s="62" t="s">
        <v>383</v>
      </c>
      <c r="C1399" s="62" t="s">
        <v>60</v>
      </c>
      <c r="D1399" s="62" t="s">
        <v>105</v>
      </c>
      <c r="E1399" s="62" t="s">
        <v>382</v>
      </c>
      <c r="F1399" s="63" t="s">
        <v>480</v>
      </c>
      <c r="G1399" s="64" t="n">
        <v>14.29</v>
      </c>
      <c r="H1399" s="62" t="s">
        <v>42</v>
      </c>
    </row>
    <row r="1400" customFormat="false" ht="15" hidden="false" customHeight="false" outlineLevel="0" collapsed="false">
      <c r="A1400" s="62" t="n">
        <v>0</v>
      </c>
      <c r="B1400" s="62" t="s">
        <v>384</v>
      </c>
      <c r="C1400" s="62" t="s">
        <v>60</v>
      </c>
      <c r="D1400" s="62" t="s">
        <v>105</v>
      </c>
      <c r="E1400" s="62" t="s">
        <v>382</v>
      </c>
      <c r="F1400" s="63" t="s">
        <v>480</v>
      </c>
      <c r="G1400" s="64" t="n">
        <v>14.29</v>
      </c>
      <c r="H1400" s="62" t="s">
        <v>42</v>
      </c>
    </row>
    <row r="1401" customFormat="false" ht="15" hidden="false" customHeight="false" outlineLevel="0" collapsed="false">
      <c r="A1401" s="62" t="n">
        <v>0</v>
      </c>
      <c r="B1401" s="62" t="s">
        <v>385</v>
      </c>
      <c r="C1401" s="62" t="s">
        <v>60</v>
      </c>
      <c r="D1401" s="62" t="s">
        <v>105</v>
      </c>
      <c r="E1401" s="62" t="s">
        <v>382</v>
      </c>
      <c r="F1401" s="63" t="s">
        <v>480</v>
      </c>
      <c r="G1401" s="64" t="n">
        <v>14.29</v>
      </c>
      <c r="H1401" s="62" t="s">
        <v>42</v>
      </c>
    </row>
    <row r="1402" customFormat="false" ht="15" hidden="false" customHeight="false" outlineLevel="0" collapsed="false">
      <c r="A1402" s="62" t="n">
        <v>0</v>
      </c>
      <c r="B1402" s="62" t="s">
        <v>386</v>
      </c>
      <c r="C1402" s="62" t="s">
        <v>60</v>
      </c>
      <c r="D1402" s="62" t="s">
        <v>105</v>
      </c>
      <c r="E1402" s="62" t="s">
        <v>382</v>
      </c>
      <c r="F1402" s="63" t="s">
        <v>480</v>
      </c>
      <c r="G1402" s="64" t="n">
        <v>14.29</v>
      </c>
      <c r="H1402" s="62" t="s">
        <v>42</v>
      </c>
    </row>
    <row r="1403" customFormat="false" ht="15" hidden="false" customHeight="false" outlineLevel="0" collapsed="false">
      <c r="A1403" s="62" t="n">
        <v>0</v>
      </c>
      <c r="B1403" s="62" t="s">
        <v>387</v>
      </c>
      <c r="C1403" s="62" t="s">
        <v>60</v>
      </c>
      <c r="D1403" s="62" t="s">
        <v>105</v>
      </c>
      <c r="E1403" s="62" t="s">
        <v>382</v>
      </c>
      <c r="F1403" s="63" t="s">
        <v>480</v>
      </c>
      <c r="G1403" s="64" t="n">
        <v>14.29</v>
      </c>
      <c r="H1403" s="62" t="s">
        <v>42</v>
      </c>
    </row>
    <row r="1404" customFormat="false" ht="15" hidden="false" customHeight="false" outlineLevel="0" collapsed="false">
      <c r="A1404" s="62" t="n">
        <v>0</v>
      </c>
      <c r="B1404" s="62" t="s">
        <v>388</v>
      </c>
      <c r="C1404" s="62" t="s">
        <v>60</v>
      </c>
      <c r="D1404" s="62" t="s">
        <v>105</v>
      </c>
      <c r="E1404" s="62" t="s">
        <v>382</v>
      </c>
      <c r="F1404" s="63" t="s">
        <v>480</v>
      </c>
      <c r="G1404" s="64" t="n">
        <v>14.29</v>
      </c>
      <c r="H1404" s="62" t="s">
        <v>42</v>
      </c>
    </row>
    <row r="1405" customFormat="false" ht="15" hidden="false" customHeight="false" outlineLevel="0" collapsed="false">
      <c r="A1405" s="62" t="n">
        <v>0</v>
      </c>
      <c r="B1405" s="62" t="s">
        <v>381</v>
      </c>
      <c r="C1405" s="62" t="s">
        <v>60</v>
      </c>
      <c r="D1405" s="62" t="s">
        <v>67</v>
      </c>
      <c r="E1405" s="62" t="s">
        <v>382</v>
      </c>
      <c r="F1405" s="63" t="s">
        <v>481</v>
      </c>
      <c r="G1405" s="64" t="n">
        <v>18500</v>
      </c>
      <c r="H1405" s="62"/>
    </row>
    <row r="1406" customFormat="false" ht="15" hidden="false" customHeight="false" outlineLevel="0" collapsed="false">
      <c r="A1406" s="62" t="n">
        <v>0</v>
      </c>
      <c r="B1406" s="62" t="s">
        <v>383</v>
      </c>
      <c r="C1406" s="62" t="s">
        <v>60</v>
      </c>
      <c r="D1406" s="62" t="s">
        <v>67</v>
      </c>
      <c r="E1406" s="62" t="s">
        <v>382</v>
      </c>
      <c r="F1406" s="63" t="s">
        <v>481</v>
      </c>
      <c r="G1406" s="64" t="n">
        <v>18500</v>
      </c>
      <c r="H1406" s="62"/>
    </row>
    <row r="1407" customFormat="false" ht="15" hidden="false" customHeight="false" outlineLevel="0" collapsed="false">
      <c r="A1407" s="62" t="n">
        <v>0</v>
      </c>
      <c r="B1407" s="62" t="s">
        <v>384</v>
      </c>
      <c r="C1407" s="62" t="s">
        <v>60</v>
      </c>
      <c r="D1407" s="62" t="s">
        <v>67</v>
      </c>
      <c r="E1407" s="62" t="s">
        <v>382</v>
      </c>
      <c r="F1407" s="63" t="s">
        <v>481</v>
      </c>
      <c r="G1407" s="64" t="n">
        <v>18500</v>
      </c>
      <c r="H1407" s="62"/>
    </row>
    <row r="1408" customFormat="false" ht="15" hidden="false" customHeight="false" outlineLevel="0" collapsed="false">
      <c r="A1408" s="62" t="n">
        <v>0</v>
      </c>
      <c r="B1408" s="62" t="s">
        <v>385</v>
      </c>
      <c r="C1408" s="62" t="s">
        <v>60</v>
      </c>
      <c r="D1408" s="62" t="s">
        <v>67</v>
      </c>
      <c r="E1408" s="62" t="s">
        <v>382</v>
      </c>
      <c r="F1408" s="63" t="s">
        <v>481</v>
      </c>
      <c r="G1408" s="64" t="n">
        <v>18500</v>
      </c>
      <c r="H1408" s="62"/>
    </row>
    <row r="1409" customFormat="false" ht="15" hidden="false" customHeight="false" outlineLevel="0" collapsed="false">
      <c r="A1409" s="62" t="n">
        <v>0</v>
      </c>
      <c r="B1409" s="62" t="s">
        <v>386</v>
      </c>
      <c r="C1409" s="62" t="s">
        <v>60</v>
      </c>
      <c r="D1409" s="62" t="s">
        <v>67</v>
      </c>
      <c r="E1409" s="62" t="s">
        <v>382</v>
      </c>
      <c r="F1409" s="63" t="s">
        <v>481</v>
      </c>
      <c r="G1409" s="64" t="n">
        <v>18500</v>
      </c>
      <c r="H1409" s="62"/>
    </row>
    <row r="1410" customFormat="false" ht="15" hidden="false" customHeight="false" outlineLevel="0" collapsed="false">
      <c r="A1410" s="62" t="n">
        <v>0</v>
      </c>
      <c r="B1410" s="62" t="s">
        <v>387</v>
      </c>
      <c r="C1410" s="62" t="s">
        <v>60</v>
      </c>
      <c r="D1410" s="62" t="s">
        <v>67</v>
      </c>
      <c r="E1410" s="62" t="s">
        <v>382</v>
      </c>
      <c r="F1410" s="63" t="s">
        <v>481</v>
      </c>
      <c r="G1410" s="64" t="n">
        <v>18500</v>
      </c>
      <c r="H1410" s="62"/>
    </row>
    <row r="1411" customFormat="false" ht="15" hidden="false" customHeight="false" outlineLevel="0" collapsed="false">
      <c r="A1411" s="62" t="n">
        <v>0</v>
      </c>
      <c r="B1411" s="62" t="s">
        <v>388</v>
      </c>
      <c r="C1411" s="62" t="s">
        <v>60</v>
      </c>
      <c r="D1411" s="62" t="s">
        <v>67</v>
      </c>
      <c r="E1411" s="62" t="s">
        <v>382</v>
      </c>
      <c r="F1411" s="63" t="s">
        <v>481</v>
      </c>
      <c r="G1411" s="64" t="n">
        <v>18500</v>
      </c>
      <c r="H1411" s="62"/>
    </row>
    <row r="1412" customFormat="false" ht="15" hidden="false" customHeight="false" outlineLevel="0" collapsed="false">
      <c r="A1412" s="62" t="n">
        <v>0</v>
      </c>
      <c r="B1412" s="62" t="s">
        <v>381</v>
      </c>
      <c r="C1412" s="62" t="s">
        <v>60</v>
      </c>
      <c r="D1412" s="62" t="s">
        <v>67</v>
      </c>
      <c r="E1412" s="62" t="s">
        <v>382</v>
      </c>
      <c r="F1412" s="63" t="s">
        <v>482</v>
      </c>
      <c r="G1412" s="64" t="n">
        <v>3</v>
      </c>
      <c r="H1412" s="62"/>
    </row>
    <row r="1413" customFormat="false" ht="15" hidden="false" customHeight="false" outlineLevel="0" collapsed="false">
      <c r="A1413" s="62" t="n">
        <v>0</v>
      </c>
      <c r="B1413" s="62" t="s">
        <v>383</v>
      </c>
      <c r="C1413" s="62" t="s">
        <v>60</v>
      </c>
      <c r="D1413" s="62" t="s">
        <v>67</v>
      </c>
      <c r="E1413" s="62" t="s">
        <v>382</v>
      </c>
      <c r="F1413" s="63" t="s">
        <v>482</v>
      </c>
      <c r="G1413" s="64" t="n">
        <v>3</v>
      </c>
      <c r="H1413" s="62"/>
    </row>
    <row r="1414" customFormat="false" ht="15" hidden="false" customHeight="false" outlineLevel="0" collapsed="false">
      <c r="A1414" s="62" t="n">
        <v>0</v>
      </c>
      <c r="B1414" s="62" t="s">
        <v>384</v>
      </c>
      <c r="C1414" s="62" t="s">
        <v>60</v>
      </c>
      <c r="D1414" s="62" t="s">
        <v>67</v>
      </c>
      <c r="E1414" s="62" t="s">
        <v>382</v>
      </c>
      <c r="F1414" s="63" t="s">
        <v>482</v>
      </c>
      <c r="G1414" s="64" t="n">
        <v>3</v>
      </c>
      <c r="H1414" s="62"/>
    </row>
    <row r="1415" customFormat="false" ht="15" hidden="false" customHeight="false" outlineLevel="0" collapsed="false">
      <c r="A1415" s="62" t="n">
        <v>0</v>
      </c>
      <c r="B1415" s="62" t="s">
        <v>385</v>
      </c>
      <c r="C1415" s="62" t="s">
        <v>60</v>
      </c>
      <c r="D1415" s="62" t="s">
        <v>67</v>
      </c>
      <c r="E1415" s="62" t="s">
        <v>382</v>
      </c>
      <c r="F1415" s="63" t="s">
        <v>482</v>
      </c>
      <c r="G1415" s="64" t="n">
        <v>3</v>
      </c>
      <c r="H1415" s="62"/>
    </row>
    <row r="1416" customFormat="false" ht="15" hidden="false" customHeight="false" outlineLevel="0" collapsed="false">
      <c r="A1416" s="62" t="n">
        <v>0</v>
      </c>
      <c r="B1416" s="62" t="s">
        <v>386</v>
      </c>
      <c r="C1416" s="62" t="s">
        <v>60</v>
      </c>
      <c r="D1416" s="62" t="s">
        <v>67</v>
      </c>
      <c r="E1416" s="62" t="s">
        <v>382</v>
      </c>
      <c r="F1416" s="63" t="s">
        <v>482</v>
      </c>
      <c r="G1416" s="64" t="n">
        <v>3</v>
      </c>
      <c r="H1416" s="62"/>
    </row>
    <row r="1417" customFormat="false" ht="15" hidden="false" customHeight="false" outlineLevel="0" collapsed="false">
      <c r="A1417" s="62" t="n">
        <v>0</v>
      </c>
      <c r="B1417" s="62" t="s">
        <v>387</v>
      </c>
      <c r="C1417" s="62" t="s">
        <v>60</v>
      </c>
      <c r="D1417" s="62" t="s">
        <v>67</v>
      </c>
      <c r="E1417" s="62" t="s">
        <v>382</v>
      </c>
      <c r="F1417" s="63" t="s">
        <v>482</v>
      </c>
      <c r="G1417" s="64" t="n">
        <v>3</v>
      </c>
      <c r="H1417" s="62"/>
    </row>
    <row r="1418" customFormat="false" ht="15" hidden="false" customHeight="false" outlineLevel="0" collapsed="false">
      <c r="A1418" s="62" t="n">
        <v>0</v>
      </c>
      <c r="B1418" s="62" t="s">
        <v>388</v>
      </c>
      <c r="C1418" s="62" t="s">
        <v>60</v>
      </c>
      <c r="D1418" s="62" t="s">
        <v>67</v>
      </c>
      <c r="E1418" s="62" t="s">
        <v>382</v>
      </c>
      <c r="F1418" s="63" t="s">
        <v>482</v>
      </c>
      <c r="G1418" s="64" t="n">
        <v>3</v>
      </c>
      <c r="H1418" s="62"/>
    </row>
    <row r="1419" customFormat="false" ht="15" hidden="false" customHeight="false" outlineLevel="0" collapsed="false">
      <c r="A1419" s="62" t="n">
        <v>0</v>
      </c>
      <c r="B1419" s="62" t="s">
        <v>381</v>
      </c>
      <c r="C1419" s="62" t="s">
        <v>60</v>
      </c>
      <c r="D1419" s="62" t="s">
        <v>67</v>
      </c>
      <c r="E1419" s="62" t="s">
        <v>382</v>
      </c>
      <c r="F1419" s="63" t="s">
        <v>483</v>
      </c>
      <c r="G1419" s="64" t="s">
        <v>29</v>
      </c>
      <c r="H1419" s="62"/>
    </row>
    <row r="1420" customFormat="false" ht="15" hidden="false" customHeight="false" outlineLevel="0" collapsed="false">
      <c r="A1420" s="62" t="n">
        <v>0</v>
      </c>
      <c r="B1420" s="62" t="s">
        <v>383</v>
      </c>
      <c r="C1420" s="62" t="s">
        <v>60</v>
      </c>
      <c r="D1420" s="62" t="s">
        <v>67</v>
      </c>
      <c r="E1420" s="62" t="s">
        <v>382</v>
      </c>
      <c r="F1420" s="63" t="s">
        <v>483</v>
      </c>
      <c r="G1420" s="64" t="s">
        <v>29</v>
      </c>
      <c r="H1420" s="62"/>
    </row>
    <row r="1421" customFormat="false" ht="15" hidden="false" customHeight="false" outlineLevel="0" collapsed="false">
      <c r="A1421" s="62" t="n">
        <v>0</v>
      </c>
      <c r="B1421" s="62" t="s">
        <v>384</v>
      </c>
      <c r="C1421" s="62" t="s">
        <v>60</v>
      </c>
      <c r="D1421" s="62" t="s">
        <v>67</v>
      </c>
      <c r="E1421" s="62" t="s">
        <v>382</v>
      </c>
      <c r="F1421" s="63" t="s">
        <v>483</v>
      </c>
      <c r="G1421" s="64" t="s">
        <v>29</v>
      </c>
      <c r="H1421" s="62"/>
    </row>
    <row r="1422" customFormat="false" ht="15" hidden="false" customHeight="false" outlineLevel="0" collapsed="false">
      <c r="A1422" s="62" t="n">
        <v>0</v>
      </c>
      <c r="B1422" s="62" t="s">
        <v>385</v>
      </c>
      <c r="C1422" s="62" t="s">
        <v>60</v>
      </c>
      <c r="D1422" s="62" t="s">
        <v>67</v>
      </c>
      <c r="E1422" s="62" t="s">
        <v>382</v>
      </c>
      <c r="F1422" s="63" t="s">
        <v>483</v>
      </c>
      <c r="G1422" s="64" t="s">
        <v>29</v>
      </c>
      <c r="H1422" s="62"/>
    </row>
    <row r="1423" customFormat="false" ht="15" hidden="false" customHeight="false" outlineLevel="0" collapsed="false">
      <c r="A1423" s="62" t="n">
        <v>0</v>
      </c>
      <c r="B1423" s="62" t="s">
        <v>386</v>
      </c>
      <c r="C1423" s="62" t="s">
        <v>60</v>
      </c>
      <c r="D1423" s="62" t="s">
        <v>67</v>
      </c>
      <c r="E1423" s="62" t="s">
        <v>382</v>
      </c>
      <c r="F1423" s="63" t="s">
        <v>483</v>
      </c>
      <c r="G1423" s="64" t="s">
        <v>29</v>
      </c>
      <c r="H1423" s="62"/>
    </row>
    <row r="1424" customFormat="false" ht="15" hidden="false" customHeight="false" outlineLevel="0" collapsed="false">
      <c r="A1424" s="62" t="n">
        <v>0</v>
      </c>
      <c r="B1424" s="62" t="s">
        <v>387</v>
      </c>
      <c r="C1424" s="62" t="s">
        <v>60</v>
      </c>
      <c r="D1424" s="62" t="s">
        <v>67</v>
      </c>
      <c r="E1424" s="62" t="s">
        <v>382</v>
      </c>
      <c r="F1424" s="63" t="s">
        <v>483</v>
      </c>
      <c r="G1424" s="64" t="s">
        <v>29</v>
      </c>
      <c r="H1424" s="62"/>
    </row>
    <row r="1425" customFormat="false" ht="15" hidden="false" customHeight="false" outlineLevel="0" collapsed="false">
      <c r="A1425" s="62" t="n">
        <v>0</v>
      </c>
      <c r="B1425" s="62" t="s">
        <v>388</v>
      </c>
      <c r="C1425" s="62" t="s">
        <v>60</v>
      </c>
      <c r="D1425" s="62" t="s">
        <v>67</v>
      </c>
      <c r="E1425" s="62" t="s">
        <v>382</v>
      </c>
      <c r="F1425" s="63" t="s">
        <v>483</v>
      </c>
      <c r="G1425" s="64" t="s">
        <v>29</v>
      </c>
      <c r="H1425" s="62"/>
    </row>
    <row r="1426" customFormat="false" ht="15" hidden="false" customHeight="false" outlineLevel="0" collapsed="false">
      <c r="A1426" s="62" t="n">
        <v>0</v>
      </c>
      <c r="B1426" s="62" t="s">
        <v>381</v>
      </c>
      <c r="C1426" s="62" t="s">
        <v>60</v>
      </c>
      <c r="D1426" s="62" t="s">
        <v>67</v>
      </c>
      <c r="E1426" s="62" t="s">
        <v>382</v>
      </c>
      <c r="F1426" s="63" t="s">
        <v>484</v>
      </c>
      <c r="G1426" s="64" t="n">
        <v>725</v>
      </c>
      <c r="H1426" s="62"/>
    </row>
    <row r="1427" customFormat="false" ht="15" hidden="false" customHeight="false" outlineLevel="0" collapsed="false">
      <c r="A1427" s="62" t="n">
        <v>0</v>
      </c>
      <c r="B1427" s="62" t="s">
        <v>383</v>
      </c>
      <c r="C1427" s="62" t="s">
        <v>60</v>
      </c>
      <c r="D1427" s="62" t="s">
        <v>67</v>
      </c>
      <c r="E1427" s="62" t="s">
        <v>382</v>
      </c>
      <c r="F1427" s="63" t="s">
        <v>484</v>
      </c>
      <c r="G1427" s="64" t="n">
        <v>725</v>
      </c>
      <c r="H1427" s="62"/>
    </row>
    <row r="1428" customFormat="false" ht="15" hidden="false" customHeight="false" outlineLevel="0" collapsed="false">
      <c r="A1428" s="62" t="n">
        <v>0</v>
      </c>
      <c r="B1428" s="62" t="s">
        <v>384</v>
      </c>
      <c r="C1428" s="62" t="s">
        <v>60</v>
      </c>
      <c r="D1428" s="62" t="s">
        <v>67</v>
      </c>
      <c r="E1428" s="62" t="s">
        <v>382</v>
      </c>
      <c r="F1428" s="63" t="s">
        <v>484</v>
      </c>
      <c r="G1428" s="64" t="n">
        <v>725</v>
      </c>
      <c r="H1428" s="62"/>
    </row>
    <row r="1429" customFormat="false" ht="15" hidden="false" customHeight="false" outlineLevel="0" collapsed="false">
      <c r="A1429" s="62" t="n">
        <v>0</v>
      </c>
      <c r="B1429" s="62" t="s">
        <v>385</v>
      </c>
      <c r="C1429" s="62" t="s">
        <v>60</v>
      </c>
      <c r="D1429" s="62" t="s">
        <v>67</v>
      </c>
      <c r="E1429" s="62" t="s">
        <v>382</v>
      </c>
      <c r="F1429" s="63" t="s">
        <v>484</v>
      </c>
      <c r="G1429" s="64" t="n">
        <v>725</v>
      </c>
      <c r="H1429" s="62"/>
    </row>
    <row r="1430" customFormat="false" ht="15" hidden="false" customHeight="false" outlineLevel="0" collapsed="false">
      <c r="A1430" s="62" t="n">
        <v>0</v>
      </c>
      <c r="B1430" s="62" t="s">
        <v>386</v>
      </c>
      <c r="C1430" s="62" t="s">
        <v>60</v>
      </c>
      <c r="D1430" s="62" t="s">
        <v>67</v>
      </c>
      <c r="E1430" s="62" t="s">
        <v>382</v>
      </c>
      <c r="F1430" s="63" t="s">
        <v>484</v>
      </c>
      <c r="G1430" s="64" t="n">
        <v>725</v>
      </c>
      <c r="H1430" s="62"/>
    </row>
    <row r="1431" customFormat="false" ht="15" hidden="false" customHeight="false" outlineLevel="0" collapsed="false">
      <c r="A1431" s="62" t="n">
        <v>0</v>
      </c>
      <c r="B1431" s="62" t="s">
        <v>387</v>
      </c>
      <c r="C1431" s="62" t="s">
        <v>60</v>
      </c>
      <c r="D1431" s="62" t="s">
        <v>67</v>
      </c>
      <c r="E1431" s="62" t="s">
        <v>382</v>
      </c>
      <c r="F1431" s="63" t="s">
        <v>484</v>
      </c>
      <c r="G1431" s="64" t="n">
        <v>725</v>
      </c>
      <c r="H1431" s="62"/>
    </row>
    <row r="1432" customFormat="false" ht="15" hidden="false" customHeight="false" outlineLevel="0" collapsed="false">
      <c r="A1432" s="62" t="n">
        <v>0</v>
      </c>
      <c r="B1432" s="62" t="s">
        <v>388</v>
      </c>
      <c r="C1432" s="62" t="s">
        <v>60</v>
      </c>
      <c r="D1432" s="62" t="s">
        <v>67</v>
      </c>
      <c r="E1432" s="62" t="s">
        <v>382</v>
      </c>
      <c r="F1432" s="63" t="s">
        <v>484</v>
      </c>
      <c r="G1432" s="64" t="n">
        <v>725</v>
      </c>
      <c r="H1432" s="62"/>
    </row>
    <row r="1433" customFormat="false" ht="15" hidden="false" customHeight="false" outlineLevel="0" collapsed="false">
      <c r="A1433" s="62" t="n">
        <v>0</v>
      </c>
      <c r="B1433" s="62" t="s">
        <v>381</v>
      </c>
      <c r="C1433" s="62" t="s">
        <v>60</v>
      </c>
      <c r="D1433" s="62" t="s">
        <v>67</v>
      </c>
      <c r="E1433" s="62" t="s">
        <v>382</v>
      </c>
      <c r="F1433" s="63" t="s">
        <v>485</v>
      </c>
      <c r="G1433" s="64" t="n">
        <v>725</v>
      </c>
      <c r="H1433" s="62"/>
    </row>
    <row r="1434" customFormat="false" ht="15" hidden="false" customHeight="false" outlineLevel="0" collapsed="false">
      <c r="A1434" s="62" t="n">
        <v>0</v>
      </c>
      <c r="B1434" s="62" t="s">
        <v>383</v>
      </c>
      <c r="C1434" s="62" t="s">
        <v>60</v>
      </c>
      <c r="D1434" s="62" t="s">
        <v>67</v>
      </c>
      <c r="E1434" s="62" t="s">
        <v>382</v>
      </c>
      <c r="F1434" s="63" t="s">
        <v>485</v>
      </c>
      <c r="G1434" s="64" t="n">
        <v>725</v>
      </c>
      <c r="H1434" s="62"/>
    </row>
    <row r="1435" customFormat="false" ht="15" hidden="false" customHeight="false" outlineLevel="0" collapsed="false">
      <c r="A1435" s="62" t="n">
        <v>0</v>
      </c>
      <c r="B1435" s="62" t="s">
        <v>384</v>
      </c>
      <c r="C1435" s="62" t="s">
        <v>60</v>
      </c>
      <c r="D1435" s="62" t="s">
        <v>67</v>
      </c>
      <c r="E1435" s="62" t="s">
        <v>382</v>
      </c>
      <c r="F1435" s="63" t="s">
        <v>485</v>
      </c>
      <c r="G1435" s="64" t="n">
        <v>725</v>
      </c>
      <c r="H1435" s="62"/>
    </row>
    <row r="1436" customFormat="false" ht="15" hidden="false" customHeight="false" outlineLevel="0" collapsed="false">
      <c r="A1436" s="62" t="n">
        <v>0</v>
      </c>
      <c r="B1436" s="62" t="s">
        <v>385</v>
      </c>
      <c r="C1436" s="62" t="s">
        <v>60</v>
      </c>
      <c r="D1436" s="62" t="s">
        <v>67</v>
      </c>
      <c r="E1436" s="62" t="s">
        <v>382</v>
      </c>
      <c r="F1436" s="63" t="s">
        <v>485</v>
      </c>
      <c r="G1436" s="64" t="n">
        <v>725</v>
      </c>
      <c r="H1436" s="62"/>
    </row>
    <row r="1437" customFormat="false" ht="15" hidden="false" customHeight="false" outlineLevel="0" collapsed="false">
      <c r="A1437" s="62" t="n">
        <v>0</v>
      </c>
      <c r="B1437" s="62" t="s">
        <v>386</v>
      </c>
      <c r="C1437" s="62" t="s">
        <v>60</v>
      </c>
      <c r="D1437" s="62" t="s">
        <v>67</v>
      </c>
      <c r="E1437" s="62" t="s">
        <v>382</v>
      </c>
      <c r="F1437" s="63" t="s">
        <v>485</v>
      </c>
      <c r="G1437" s="64" t="n">
        <v>725</v>
      </c>
      <c r="H1437" s="62"/>
    </row>
    <row r="1438" customFormat="false" ht="15" hidden="false" customHeight="false" outlineLevel="0" collapsed="false">
      <c r="A1438" s="62" t="n">
        <v>0</v>
      </c>
      <c r="B1438" s="62" t="s">
        <v>387</v>
      </c>
      <c r="C1438" s="62" t="s">
        <v>60</v>
      </c>
      <c r="D1438" s="62" t="s">
        <v>67</v>
      </c>
      <c r="E1438" s="62" t="s">
        <v>382</v>
      </c>
      <c r="F1438" s="63" t="s">
        <v>485</v>
      </c>
      <c r="G1438" s="64" t="n">
        <v>725</v>
      </c>
      <c r="H1438" s="62"/>
    </row>
    <row r="1439" customFormat="false" ht="15" hidden="false" customHeight="false" outlineLevel="0" collapsed="false">
      <c r="A1439" s="62" t="n">
        <v>0</v>
      </c>
      <c r="B1439" s="62" t="s">
        <v>388</v>
      </c>
      <c r="C1439" s="62" t="s">
        <v>60</v>
      </c>
      <c r="D1439" s="62" t="s">
        <v>67</v>
      </c>
      <c r="E1439" s="62" t="s">
        <v>382</v>
      </c>
      <c r="F1439" s="63" t="s">
        <v>485</v>
      </c>
      <c r="G1439" s="64" t="n">
        <v>725</v>
      </c>
      <c r="H1439" s="62"/>
    </row>
    <row r="1440" customFormat="false" ht="15" hidden="false" customHeight="false" outlineLevel="0" collapsed="false">
      <c r="A1440" s="62" t="n">
        <v>0</v>
      </c>
      <c r="B1440" s="62" t="s">
        <v>381</v>
      </c>
      <c r="C1440" s="62" t="s">
        <v>60</v>
      </c>
      <c r="D1440" s="62" t="s">
        <v>67</v>
      </c>
      <c r="E1440" s="62" t="s">
        <v>92</v>
      </c>
      <c r="F1440" s="63" t="s">
        <v>479</v>
      </c>
      <c r="G1440" s="64" t="n">
        <v>14.2857142857143</v>
      </c>
      <c r="H1440" s="62" t="s">
        <v>42</v>
      </c>
    </row>
    <row r="1441" customFormat="false" ht="15" hidden="false" customHeight="false" outlineLevel="0" collapsed="false">
      <c r="A1441" s="62" t="n">
        <v>0</v>
      </c>
      <c r="B1441" s="62" t="s">
        <v>383</v>
      </c>
      <c r="C1441" s="62" t="s">
        <v>60</v>
      </c>
      <c r="D1441" s="62" t="s">
        <v>67</v>
      </c>
      <c r="E1441" s="62" t="s">
        <v>92</v>
      </c>
      <c r="F1441" s="63" t="s">
        <v>479</v>
      </c>
      <c r="G1441" s="64" t="n">
        <v>14.2857142857143</v>
      </c>
      <c r="H1441" s="62" t="s">
        <v>42</v>
      </c>
    </row>
    <row r="1442" customFormat="false" ht="15" hidden="false" customHeight="false" outlineLevel="0" collapsed="false">
      <c r="A1442" s="62" t="n">
        <v>0</v>
      </c>
      <c r="B1442" s="62" t="s">
        <v>384</v>
      </c>
      <c r="C1442" s="62" t="s">
        <v>60</v>
      </c>
      <c r="D1442" s="62" t="s">
        <v>67</v>
      </c>
      <c r="E1442" s="62" t="s">
        <v>92</v>
      </c>
      <c r="F1442" s="63" t="s">
        <v>479</v>
      </c>
      <c r="G1442" s="64" t="n">
        <v>14.2857142857143</v>
      </c>
      <c r="H1442" s="62" t="s">
        <v>42</v>
      </c>
    </row>
    <row r="1443" customFormat="false" ht="15" hidden="false" customHeight="false" outlineLevel="0" collapsed="false">
      <c r="A1443" s="62" t="n">
        <v>0</v>
      </c>
      <c r="B1443" s="62" t="s">
        <v>385</v>
      </c>
      <c r="C1443" s="62" t="s">
        <v>60</v>
      </c>
      <c r="D1443" s="62" t="s">
        <v>67</v>
      </c>
      <c r="E1443" s="62" t="s">
        <v>92</v>
      </c>
      <c r="F1443" s="63" t="s">
        <v>479</v>
      </c>
      <c r="G1443" s="64" t="n">
        <v>14.2857142857143</v>
      </c>
      <c r="H1443" s="62" t="s">
        <v>42</v>
      </c>
    </row>
    <row r="1444" customFormat="false" ht="15" hidden="false" customHeight="false" outlineLevel="0" collapsed="false">
      <c r="A1444" s="62" t="n">
        <v>0</v>
      </c>
      <c r="B1444" s="62" t="s">
        <v>386</v>
      </c>
      <c r="C1444" s="62" t="s">
        <v>60</v>
      </c>
      <c r="D1444" s="62" t="s">
        <v>67</v>
      </c>
      <c r="E1444" s="62" t="s">
        <v>92</v>
      </c>
      <c r="F1444" s="63" t="s">
        <v>479</v>
      </c>
      <c r="G1444" s="64" t="n">
        <v>14.2857142857143</v>
      </c>
      <c r="H1444" s="62" t="s">
        <v>42</v>
      </c>
    </row>
    <row r="1445" customFormat="false" ht="15" hidden="false" customHeight="false" outlineLevel="0" collapsed="false">
      <c r="A1445" s="62" t="n">
        <v>0</v>
      </c>
      <c r="B1445" s="62" t="s">
        <v>387</v>
      </c>
      <c r="C1445" s="62" t="s">
        <v>60</v>
      </c>
      <c r="D1445" s="62" t="s">
        <v>67</v>
      </c>
      <c r="E1445" s="62" t="s">
        <v>92</v>
      </c>
      <c r="F1445" s="63" t="s">
        <v>479</v>
      </c>
      <c r="G1445" s="64" t="n">
        <v>14.2857142857143</v>
      </c>
      <c r="H1445" s="62" t="s">
        <v>42</v>
      </c>
    </row>
    <row r="1446" customFormat="false" ht="15" hidden="false" customHeight="false" outlineLevel="0" collapsed="false">
      <c r="A1446" s="62" t="n">
        <v>0</v>
      </c>
      <c r="B1446" s="62" t="s">
        <v>388</v>
      </c>
      <c r="C1446" s="62" t="s">
        <v>60</v>
      </c>
      <c r="D1446" s="62" t="s">
        <v>67</v>
      </c>
      <c r="E1446" s="62" t="s">
        <v>92</v>
      </c>
      <c r="F1446" s="63" t="s">
        <v>479</v>
      </c>
      <c r="G1446" s="64" t="n">
        <v>14.2857142857143</v>
      </c>
      <c r="H1446" s="62" t="s">
        <v>42</v>
      </c>
    </row>
    <row r="1447" customFormat="false" ht="15" hidden="false" customHeight="false" outlineLevel="0" collapsed="false">
      <c r="A1447" s="62" t="n">
        <v>0</v>
      </c>
      <c r="B1447" s="62" t="s">
        <v>381</v>
      </c>
      <c r="C1447" s="62" t="s">
        <v>60</v>
      </c>
      <c r="D1447" s="62" t="s">
        <v>67</v>
      </c>
      <c r="E1447" s="62" t="s">
        <v>94</v>
      </c>
      <c r="F1447" s="63" t="s">
        <v>479</v>
      </c>
      <c r="G1447" s="64" t="n">
        <v>0</v>
      </c>
      <c r="H1447" s="62" t="s">
        <v>42</v>
      </c>
    </row>
    <row r="1448" customFormat="false" ht="15" hidden="false" customHeight="false" outlineLevel="0" collapsed="false">
      <c r="A1448" s="62" t="n">
        <v>0</v>
      </c>
      <c r="B1448" s="62" t="s">
        <v>383</v>
      </c>
      <c r="C1448" s="62" t="s">
        <v>60</v>
      </c>
      <c r="D1448" s="62" t="s">
        <v>67</v>
      </c>
      <c r="E1448" s="62" t="s">
        <v>94</v>
      </c>
      <c r="F1448" s="63" t="s">
        <v>479</v>
      </c>
      <c r="G1448" s="64" t="n">
        <v>0</v>
      </c>
      <c r="H1448" s="62" t="s">
        <v>42</v>
      </c>
    </row>
    <row r="1449" customFormat="false" ht="15" hidden="false" customHeight="false" outlineLevel="0" collapsed="false">
      <c r="A1449" s="62" t="n">
        <v>0</v>
      </c>
      <c r="B1449" s="62" t="s">
        <v>384</v>
      </c>
      <c r="C1449" s="62" t="s">
        <v>60</v>
      </c>
      <c r="D1449" s="62" t="s">
        <v>67</v>
      </c>
      <c r="E1449" s="62" t="s">
        <v>94</v>
      </c>
      <c r="F1449" s="63" t="s">
        <v>479</v>
      </c>
      <c r="G1449" s="64" t="n">
        <v>0</v>
      </c>
      <c r="H1449" s="62" t="s">
        <v>42</v>
      </c>
    </row>
    <row r="1450" customFormat="false" ht="15" hidden="false" customHeight="false" outlineLevel="0" collapsed="false">
      <c r="A1450" s="62" t="n">
        <v>0</v>
      </c>
      <c r="B1450" s="62" t="s">
        <v>385</v>
      </c>
      <c r="C1450" s="62" t="s">
        <v>60</v>
      </c>
      <c r="D1450" s="62" t="s">
        <v>67</v>
      </c>
      <c r="E1450" s="62" t="s">
        <v>94</v>
      </c>
      <c r="F1450" s="63" t="s">
        <v>479</v>
      </c>
      <c r="G1450" s="64" t="n">
        <v>0</v>
      </c>
      <c r="H1450" s="62" t="s">
        <v>42</v>
      </c>
    </row>
    <row r="1451" customFormat="false" ht="15" hidden="false" customHeight="false" outlineLevel="0" collapsed="false">
      <c r="A1451" s="62" t="n">
        <v>0</v>
      </c>
      <c r="B1451" s="62" t="s">
        <v>386</v>
      </c>
      <c r="C1451" s="62" t="s">
        <v>60</v>
      </c>
      <c r="D1451" s="62" t="s">
        <v>67</v>
      </c>
      <c r="E1451" s="62" t="s">
        <v>94</v>
      </c>
      <c r="F1451" s="63" t="s">
        <v>479</v>
      </c>
      <c r="G1451" s="64" t="n">
        <v>0</v>
      </c>
      <c r="H1451" s="62" t="s">
        <v>42</v>
      </c>
    </row>
    <row r="1452" customFormat="false" ht="15" hidden="false" customHeight="false" outlineLevel="0" collapsed="false">
      <c r="A1452" s="62" t="n">
        <v>0</v>
      </c>
      <c r="B1452" s="62" t="s">
        <v>387</v>
      </c>
      <c r="C1452" s="62" t="s">
        <v>60</v>
      </c>
      <c r="D1452" s="62" t="s">
        <v>67</v>
      </c>
      <c r="E1452" s="62" t="s">
        <v>94</v>
      </c>
      <c r="F1452" s="63" t="s">
        <v>479</v>
      </c>
      <c r="G1452" s="64" t="n">
        <v>0</v>
      </c>
      <c r="H1452" s="62" t="s">
        <v>42</v>
      </c>
    </row>
    <row r="1453" customFormat="false" ht="15" hidden="false" customHeight="false" outlineLevel="0" collapsed="false">
      <c r="A1453" s="62" t="n">
        <v>0</v>
      </c>
      <c r="B1453" s="62" t="s">
        <v>388</v>
      </c>
      <c r="C1453" s="62" t="s">
        <v>60</v>
      </c>
      <c r="D1453" s="62" t="s">
        <v>67</v>
      </c>
      <c r="E1453" s="62" t="s">
        <v>94</v>
      </c>
      <c r="F1453" s="63" t="s">
        <v>479</v>
      </c>
      <c r="G1453" s="64" t="n">
        <v>0</v>
      </c>
      <c r="H1453" s="62" t="s">
        <v>42</v>
      </c>
    </row>
    <row r="1454" customFormat="false" ht="15" hidden="false" customHeight="false" outlineLevel="0" collapsed="false">
      <c r="A1454" s="62" t="n">
        <v>0</v>
      </c>
      <c r="B1454" s="62" t="s">
        <v>381</v>
      </c>
      <c r="C1454" s="62" t="s">
        <v>60</v>
      </c>
      <c r="D1454" s="62" t="s">
        <v>67</v>
      </c>
      <c r="E1454" s="62" t="s">
        <v>95</v>
      </c>
      <c r="F1454" s="63" t="s">
        <v>479</v>
      </c>
      <c r="G1454" s="64" t="n">
        <v>0</v>
      </c>
      <c r="H1454" s="62" t="s">
        <v>42</v>
      </c>
    </row>
    <row r="1455" customFormat="false" ht="15" hidden="false" customHeight="false" outlineLevel="0" collapsed="false">
      <c r="A1455" s="62" t="n">
        <v>0</v>
      </c>
      <c r="B1455" s="62" t="s">
        <v>383</v>
      </c>
      <c r="C1455" s="62" t="s">
        <v>60</v>
      </c>
      <c r="D1455" s="62" t="s">
        <v>67</v>
      </c>
      <c r="E1455" s="62" t="s">
        <v>95</v>
      </c>
      <c r="F1455" s="63" t="s">
        <v>479</v>
      </c>
      <c r="G1455" s="64" t="n">
        <v>0</v>
      </c>
      <c r="H1455" s="62" t="s">
        <v>42</v>
      </c>
    </row>
    <row r="1456" customFormat="false" ht="15" hidden="false" customHeight="false" outlineLevel="0" collapsed="false">
      <c r="A1456" s="62" t="n">
        <v>0</v>
      </c>
      <c r="B1456" s="62" t="s">
        <v>384</v>
      </c>
      <c r="C1456" s="62" t="s">
        <v>60</v>
      </c>
      <c r="D1456" s="62" t="s">
        <v>67</v>
      </c>
      <c r="E1456" s="62" t="s">
        <v>95</v>
      </c>
      <c r="F1456" s="63" t="s">
        <v>479</v>
      </c>
      <c r="G1456" s="64" t="n">
        <v>0</v>
      </c>
      <c r="H1456" s="62" t="s">
        <v>42</v>
      </c>
    </row>
    <row r="1457" customFormat="false" ht="15" hidden="false" customHeight="false" outlineLevel="0" collapsed="false">
      <c r="A1457" s="62" t="n">
        <v>0</v>
      </c>
      <c r="B1457" s="62" t="s">
        <v>385</v>
      </c>
      <c r="C1457" s="62" t="s">
        <v>60</v>
      </c>
      <c r="D1457" s="62" t="s">
        <v>67</v>
      </c>
      <c r="E1457" s="62" t="s">
        <v>95</v>
      </c>
      <c r="F1457" s="63" t="s">
        <v>479</v>
      </c>
      <c r="G1457" s="64" t="n">
        <v>0</v>
      </c>
      <c r="H1457" s="62" t="s">
        <v>42</v>
      </c>
    </row>
    <row r="1458" customFormat="false" ht="15" hidden="false" customHeight="false" outlineLevel="0" collapsed="false">
      <c r="A1458" s="62" t="n">
        <v>0</v>
      </c>
      <c r="B1458" s="62" t="s">
        <v>386</v>
      </c>
      <c r="C1458" s="62" t="s">
        <v>60</v>
      </c>
      <c r="D1458" s="62" t="s">
        <v>67</v>
      </c>
      <c r="E1458" s="62" t="s">
        <v>95</v>
      </c>
      <c r="F1458" s="63" t="s">
        <v>479</v>
      </c>
      <c r="G1458" s="64" t="n">
        <v>0</v>
      </c>
      <c r="H1458" s="62" t="s">
        <v>42</v>
      </c>
    </row>
    <row r="1459" customFormat="false" ht="15" hidden="false" customHeight="false" outlineLevel="0" collapsed="false">
      <c r="A1459" s="62" t="n">
        <v>0</v>
      </c>
      <c r="B1459" s="62" t="s">
        <v>387</v>
      </c>
      <c r="C1459" s="62" t="s">
        <v>60</v>
      </c>
      <c r="D1459" s="62" t="s">
        <v>67</v>
      </c>
      <c r="E1459" s="62" t="s">
        <v>95</v>
      </c>
      <c r="F1459" s="63" t="s">
        <v>479</v>
      </c>
      <c r="G1459" s="64" t="n">
        <v>0</v>
      </c>
      <c r="H1459" s="62" t="s">
        <v>42</v>
      </c>
    </row>
    <row r="1460" customFormat="false" ht="15" hidden="false" customHeight="false" outlineLevel="0" collapsed="false">
      <c r="A1460" s="62" t="n">
        <v>0</v>
      </c>
      <c r="B1460" s="62" t="s">
        <v>388</v>
      </c>
      <c r="C1460" s="62" t="s">
        <v>60</v>
      </c>
      <c r="D1460" s="62" t="s">
        <v>67</v>
      </c>
      <c r="E1460" s="62" t="s">
        <v>95</v>
      </c>
      <c r="F1460" s="63" t="s">
        <v>479</v>
      </c>
      <c r="G1460" s="64" t="n">
        <v>0</v>
      </c>
      <c r="H1460" s="62" t="s">
        <v>42</v>
      </c>
    </row>
    <row r="1461" customFormat="false" ht="15" hidden="false" customHeight="false" outlineLevel="0" collapsed="false">
      <c r="A1461" s="62" t="n">
        <v>0</v>
      </c>
      <c r="B1461" s="62" t="s">
        <v>381</v>
      </c>
      <c r="C1461" s="62" t="s">
        <v>60</v>
      </c>
      <c r="D1461" s="62" t="s">
        <v>67</v>
      </c>
      <c r="E1461" s="62" t="s">
        <v>97</v>
      </c>
      <c r="F1461" s="63" t="s">
        <v>479</v>
      </c>
      <c r="G1461" s="64" t="n">
        <v>0</v>
      </c>
      <c r="H1461" s="62" t="s">
        <v>42</v>
      </c>
    </row>
    <row r="1462" customFormat="false" ht="15" hidden="false" customHeight="false" outlineLevel="0" collapsed="false">
      <c r="A1462" s="62" t="n">
        <v>0</v>
      </c>
      <c r="B1462" s="62" t="s">
        <v>383</v>
      </c>
      <c r="C1462" s="62" t="s">
        <v>60</v>
      </c>
      <c r="D1462" s="62" t="s">
        <v>67</v>
      </c>
      <c r="E1462" s="62" t="s">
        <v>97</v>
      </c>
      <c r="F1462" s="63" t="s">
        <v>479</v>
      </c>
      <c r="G1462" s="64" t="n">
        <v>0</v>
      </c>
      <c r="H1462" s="62" t="s">
        <v>42</v>
      </c>
    </row>
    <row r="1463" customFormat="false" ht="15" hidden="false" customHeight="false" outlineLevel="0" collapsed="false">
      <c r="A1463" s="62" t="n">
        <v>0</v>
      </c>
      <c r="B1463" s="62" t="s">
        <v>384</v>
      </c>
      <c r="C1463" s="62" t="s">
        <v>60</v>
      </c>
      <c r="D1463" s="62" t="s">
        <v>67</v>
      </c>
      <c r="E1463" s="62" t="s">
        <v>97</v>
      </c>
      <c r="F1463" s="63" t="s">
        <v>479</v>
      </c>
      <c r="G1463" s="64" t="n">
        <v>0</v>
      </c>
      <c r="H1463" s="62" t="s">
        <v>42</v>
      </c>
    </row>
    <row r="1464" customFormat="false" ht="15" hidden="false" customHeight="false" outlineLevel="0" collapsed="false">
      <c r="A1464" s="62" t="n">
        <v>0</v>
      </c>
      <c r="B1464" s="62" t="s">
        <v>385</v>
      </c>
      <c r="C1464" s="62" t="s">
        <v>60</v>
      </c>
      <c r="D1464" s="62" t="s">
        <v>67</v>
      </c>
      <c r="E1464" s="62" t="s">
        <v>97</v>
      </c>
      <c r="F1464" s="63" t="s">
        <v>479</v>
      </c>
      <c r="G1464" s="64" t="n">
        <v>0</v>
      </c>
      <c r="H1464" s="62" t="s">
        <v>42</v>
      </c>
    </row>
    <row r="1465" customFormat="false" ht="15" hidden="false" customHeight="false" outlineLevel="0" collapsed="false">
      <c r="A1465" s="62" t="n">
        <v>0</v>
      </c>
      <c r="B1465" s="62" t="s">
        <v>386</v>
      </c>
      <c r="C1465" s="62" t="s">
        <v>60</v>
      </c>
      <c r="D1465" s="62" t="s">
        <v>67</v>
      </c>
      <c r="E1465" s="62" t="s">
        <v>97</v>
      </c>
      <c r="F1465" s="63" t="s">
        <v>479</v>
      </c>
      <c r="G1465" s="64" t="n">
        <v>0</v>
      </c>
      <c r="H1465" s="62" t="s">
        <v>42</v>
      </c>
    </row>
    <row r="1466" customFormat="false" ht="15" hidden="false" customHeight="false" outlineLevel="0" collapsed="false">
      <c r="A1466" s="62" t="n">
        <v>0</v>
      </c>
      <c r="B1466" s="62" t="s">
        <v>387</v>
      </c>
      <c r="C1466" s="62" t="s">
        <v>60</v>
      </c>
      <c r="D1466" s="62" t="s">
        <v>67</v>
      </c>
      <c r="E1466" s="62" t="s">
        <v>97</v>
      </c>
      <c r="F1466" s="63" t="s">
        <v>479</v>
      </c>
      <c r="G1466" s="64" t="n">
        <v>0</v>
      </c>
      <c r="H1466" s="62" t="s">
        <v>42</v>
      </c>
    </row>
    <row r="1467" customFormat="false" ht="15" hidden="false" customHeight="false" outlineLevel="0" collapsed="false">
      <c r="A1467" s="62" t="n">
        <v>0</v>
      </c>
      <c r="B1467" s="62" t="s">
        <v>388</v>
      </c>
      <c r="C1467" s="62" t="s">
        <v>60</v>
      </c>
      <c r="D1467" s="62" t="s">
        <v>67</v>
      </c>
      <c r="E1467" s="62" t="s">
        <v>97</v>
      </c>
      <c r="F1467" s="63" t="s">
        <v>479</v>
      </c>
      <c r="G1467" s="64" t="n">
        <v>0</v>
      </c>
      <c r="H1467" s="62" t="s">
        <v>42</v>
      </c>
    </row>
    <row r="1468" customFormat="false" ht="15" hidden="false" customHeight="false" outlineLevel="0" collapsed="false">
      <c r="A1468" s="62" t="n">
        <v>0</v>
      </c>
      <c r="B1468" s="62" t="s">
        <v>381</v>
      </c>
      <c r="C1468" s="62" t="s">
        <v>60</v>
      </c>
      <c r="D1468" s="62" t="s">
        <v>67</v>
      </c>
      <c r="E1468" s="62" t="s">
        <v>382</v>
      </c>
      <c r="F1468" s="63" t="s">
        <v>486</v>
      </c>
      <c r="G1468" s="64" t="n">
        <v>14.2857142857143</v>
      </c>
      <c r="H1468" s="62" t="s">
        <v>42</v>
      </c>
    </row>
    <row r="1469" customFormat="false" ht="15" hidden="false" customHeight="false" outlineLevel="0" collapsed="false">
      <c r="A1469" s="62" t="n">
        <v>0</v>
      </c>
      <c r="B1469" s="62" t="s">
        <v>383</v>
      </c>
      <c r="C1469" s="62" t="s">
        <v>60</v>
      </c>
      <c r="D1469" s="62" t="s">
        <v>67</v>
      </c>
      <c r="E1469" s="62" t="s">
        <v>382</v>
      </c>
      <c r="F1469" s="63" t="s">
        <v>486</v>
      </c>
      <c r="G1469" s="64" t="n">
        <v>14.2857142857143</v>
      </c>
      <c r="H1469" s="62" t="s">
        <v>42</v>
      </c>
    </row>
    <row r="1470" customFormat="false" ht="15" hidden="false" customHeight="false" outlineLevel="0" collapsed="false">
      <c r="A1470" s="62" t="n">
        <v>0</v>
      </c>
      <c r="B1470" s="62" t="s">
        <v>384</v>
      </c>
      <c r="C1470" s="62" t="s">
        <v>60</v>
      </c>
      <c r="D1470" s="62" t="s">
        <v>67</v>
      </c>
      <c r="E1470" s="62" t="s">
        <v>382</v>
      </c>
      <c r="F1470" s="63" t="s">
        <v>486</v>
      </c>
      <c r="G1470" s="64" t="n">
        <v>14.2857142857143</v>
      </c>
      <c r="H1470" s="62" t="s">
        <v>42</v>
      </c>
    </row>
    <row r="1471" customFormat="false" ht="15" hidden="false" customHeight="false" outlineLevel="0" collapsed="false">
      <c r="A1471" s="62" t="n">
        <v>0</v>
      </c>
      <c r="B1471" s="62" t="s">
        <v>385</v>
      </c>
      <c r="C1471" s="62" t="s">
        <v>60</v>
      </c>
      <c r="D1471" s="62" t="s">
        <v>67</v>
      </c>
      <c r="E1471" s="62" t="s">
        <v>382</v>
      </c>
      <c r="F1471" s="63" t="s">
        <v>486</v>
      </c>
      <c r="G1471" s="64" t="n">
        <v>14.2857142857143</v>
      </c>
      <c r="H1471" s="62" t="s">
        <v>42</v>
      </c>
    </row>
    <row r="1472" customFormat="false" ht="15" hidden="false" customHeight="false" outlineLevel="0" collapsed="false">
      <c r="A1472" s="62" t="n">
        <v>0</v>
      </c>
      <c r="B1472" s="62" t="s">
        <v>386</v>
      </c>
      <c r="C1472" s="62" t="s">
        <v>60</v>
      </c>
      <c r="D1472" s="62" t="s">
        <v>67</v>
      </c>
      <c r="E1472" s="62" t="s">
        <v>382</v>
      </c>
      <c r="F1472" s="63" t="s">
        <v>486</v>
      </c>
      <c r="G1472" s="64" t="n">
        <v>14.2857142857143</v>
      </c>
      <c r="H1472" s="62" t="s">
        <v>42</v>
      </c>
    </row>
    <row r="1473" customFormat="false" ht="15" hidden="false" customHeight="false" outlineLevel="0" collapsed="false">
      <c r="A1473" s="62" t="n">
        <v>0</v>
      </c>
      <c r="B1473" s="62" t="s">
        <v>387</v>
      </c>
      <c r="C1473" s="62" t="s">
        <v>60</v>
      </c>
      <c r="D1473" s="62" t="s">
        <v>67</v>
      </c>
      <c r="E1473" s="62" t="s">
        <v>382</v>
      </c>
      <c r="F1473" s="63" t="s">
        <v>486</v>
      </c>
      <c r="G1473" s="64" t="n">
        <v>14.2857142857143</v>
      </c>
      <c r="H1473" s="62" t="s">
        <v>42</v>
      </c>
    </row>
    <row r="1474" customFormat="false" ht="15" hidden="false" customHeight="false" outlineLevel="0" collapsed="false">
      <c r="A1474" s="62" t="n">
        <v>0</v>
      </c>
      <c r="B1474" s="62" t="s">
        <v>388</v>
      </c>
      <c r="C1474" s="62" t="s">
        <v>60</v>
      </c>
      <c r="D1474" s="62" t="s">
        <v>67</v>
      </c>
      <c r="E1474" s="62" t="s">
        <v>382</v>
      </c>
      <c r="F1474" s="63" t="s">
        <v>486</v>
      </c>
      <c r="G1474" s="64" t="n">
        <v>14.2857142857143</v>
      </c>
      <c r="H1474" s="62" t="s">
        <v>42</v>
      </c>
    </row>
    <row r="1475" customFormat="false" ht="15" hidden="false" customHeight="false" outlineLevel="0" collapsed="false">
      <c r="A1475" s="62" t="n">
        <v>0</v>
      </c>
      <c r="B1475" s="62" t="s">
        <v>381</v>
      </c>
      <c r="C1475" s="62" t="s">
        <v>60</v>
      </c>
      <c r="D1475" s="62" t="s">
        <v>71</v>
      </c>
      <c r="E1475" s="62" t="s">
        <v>382</v>
      </c>
      <c r="F1475" s="63" t="s">
        <v>487</v>
      </c>
      <c r="G1475" s="64" t="n">
        <v>125000</v>
      </c>
      <c r="H1475" s="62"/>
    </row>
    <row r="1476" customFormat="false" ht="15" hidden="false" customHeight="false" outlineLevel="0" collapsed="false">
      <c r="A1476" s="62" t="n">
        <v>0</v>
      </c>
      <c r="B1476" s="62" t="s">
        <v>383</v>
      </c>
      <c r="C1476" s="62" t="s">
        <v>60</v>
      </c>
      <c r="D1476" s="62" t="s">
        <v>71</v>
      </c>
      <c r="E1476" s="62" t="s">
        <v>382</v>
      </c>
      <c r="F1476" s="63" t="s">
        <v>487</v>
      </c>
      <c r="G1476" s="64" t="n">
        <v>125000</v>
      </c>
      <c r="H1476" s="62"/>
    </row>
    <row r="1477" customFormat="false" ht="15" hidden="false" customHeight="false" outlineLevel="0" collapsed="false">
      <c r="A1477" s="62" t="n">
        <v>0</v>
      </c>
      <c r="B1477" s="62" t="s">
        <v>384</v>
      </c>
      <c r="C1477" s="62" t="s">
        <v>60</v>
      </c>
      <c r="D1477" s="62" t="s">
        <v>71</v>
      </c>
      <c r="E1477" s="62" t="s">
        <v>382</v>
      </c>
      <c r="F1477" s="63" t="s">
        <v>487</v>
      </c>
      <c r="G1477" s="64" t="n">
        <v>125000</v>
      </c>
      <c r="H1477" s="62"/>
    </row>
    <row r="1478" customFormat="false" ht="15" hidden="false" customHeight="false" outlineLevel="0" collapsed="false">
      <c r="A1478" s="62" t="n">
        <v>0</v>
      </c>
      <c r="B1478" s="62" t="s">
        <v>385</v>
      </c>
      <c r="C1478" s="62" t="s">
        <v>60</v>
      </c>
      <c r="D1478" s="62" t="s">
        <v>71</v>
      </c>
      <c r="E1478" s="62" t="s">
        <v>382</v>
      </c>
      <c r="F1478" s="63" t="s">
        <v>487</v>
      </c>
      <c r="G1478" s="64" t="n">
        <v>125000</v>
      </c>
      <c r="H1478" s="62"/>
    </row>
    <row r="1479" customFormat="false" ht="15" hidden="false" customHeight="false" outlineLevel="0" collapsed="false">
      <c r="A1479" s="62" t="n">
        <v>0</v>
      </c>
      <c r="B1479" s="62" t="s">
        <v>386</v>
      </c>
      <c r="C1479" s="62" t="s">
        <v>60</v>
      </c>
      <c r="D1479" s="62" t="s">
        <v>71</v>
      </c>
      <c r="E1479" s="62" t="s">
        <v>382</v>
      </c>
      <c r="F1479" s="63" t="s">
        <v>487</v>
      </c>
      <c r="G1479" s="64" t="n">
        <v>125000</v>
      </c>
      <c r="H1479" s="62"/>
    </row>
    <row r="1480" customFormat="false" ht="15" hidden="false" customHeight="false" outlineLevel="0" collapsed="false">
      <c r="A1480" s="62" t="n">
        <v>0</v>
      </c>
      <c r="B1480" s="62" t="s">
        <v>387</v>
      </c>
      <c r="C1480" s="62" t="s">
        <v>60</v>
      </c>
      <c r="D1480" s="62" t="s">
        <v>71</v>
      </c>
      <c r="E1480" s="62" t="s">
        <v>382</v>
      </c>
      <c r="F1480" s="63" t="s">
        <v>487</v>
      </c>
      <c r="G1480" s="64" t="n">
        <v>125000</v>
      </c>
      <c r="H1480" s="62"/>
    </row>
    <row r="1481" customFormat="false" ht="15" hidden="false" customHeight="false" outlineLevel="0" collapsed="false">
      <c r="A1481" s="62" t="n">
        <v>0</v>
      </c>
      <c r="B1481" s="62" t="s">
        <v>388</v>
      </c>
      <c r="C1481" s="62" t="s">
        <v>60</v>
      </c>
      <c r="D1481" s="62" t="s">
        <v>71</v>
      </c>
      <c r="E1481" s="62" t="s">
        <v>382</v>
      </c>
      <c r="F1481" s="63" t="s">
        <v>487</v>
      </c>
      <c r="G1481" s="64" t="n">
        <v>125000</v>
      </c>
      <c r="H1481" s="62"/>
    </row>
    <row r="1482" customFormat="false" ht="15" hidden="false" customHeight="false" outlineLevel="0" collapsed="false">
      <c r="A1482" s="62" t="n">
        <v>0</v>
      </c>
      <c r="B1482" s="62" t="s">
        <v>381</v>
      </c>
      <c r="C1482" s="62" t="s">
        <v>60</v>
      </c>
      <c r="D1482" s="62" t="s">
        <v>71</v>
      </c>
      <c r="E1482" s="62" t="s">
        <v>382</v>
      </c>
      <c r="F1482" s="63" t="s">
        <v>482</v>
      </c>
      <c r="G1482" s="64" t="n">
        <v>4</v>
      </c>
      <c r="H1482" s="62"/>
    </row>
    <row r="1483" customFormat="false" ht="15" hidden="false" customHeight="false" outlineLevel="0" collapsed="false">
      <c r="A1483" s="62" t="n">
        <v>0</v>
      </c>
      <c r="B1483" s="62" t="s">
        <v>383</v>
      </c>
      <c r="C1483" s="62" t="s">
        <v>60</v>
      </c>
      <c r="D1483" s="62" t="s">
        <v>71</v>
      </c>
      <c r="E1483" s="62" t="s">
        <v>382</v>
      </c>
      <c r="F1483" s="63" t="s">
        <v>482</v>
      </c>
      <c r="G1483" s="64" t="n">
        <v>4</v>
      </c>
      <c r="H1483" s="62"/>
    </row>
    <row r="1484" customFormat="false" ht="15" hidden="false" customHeight="false" outlineLevel="0" collapsed="false">
      <c r="A1484" s="62" t="n">
        <v>0</v>
      </c>
      <c r="B1484" s="62" t="s">
        <v>384</v>
      </c>
      <c r="C1484" s="62" t="s">
        <v>60</v>
      </c>
      <c r="D1484" s="62" t="s">
        <v>71</v>
      </c>
      <c r="E1484" s="62" t="s">
        <v>382</v>
      </c>
      <c r="F1484" s="63" t="s">
        <v>482</v>
      </c>
      <c r="G1484" s="64" t="n">
        <v>4</v>
      </c>
      <c r="H1484" s="62"/>
    </row>
    <row r="1485" customFormat="false" ht="15" hidden="false" customHeight="false" outlineLevel="0" collapsed="false">
      <c r="A1485" s="62" t="n">
        <v>0</v>
      </c>
      <c r="B1485" s="62" t="s">
        <v>385</v>
      </c>
      <c r="C1485" s="62" t="s">
        <v>60</v>
      </c>
      <c r="D1485" s="62" t="s">
        <v>71</v>
      </c>
      <c r="E1485" s="62" t="s">
        <v>382</v>
      </c>
      <c r="F1485" s="63" t="s">
        <v>482</v>
      </c>
      <c r="G1485" s="64" t="n">
        <v>4</v>
      </c>
      <c r="H1485" s="62"/>
    </row>
    <row r="1486" customFormat="false" ht="15" hidden="false" customHeight="false" outlineLevel="0" collapsed="false">
      <c r="A1486" s="62" t="n">
        <v>0</v>
      </c>
      <c r="B1486" s="62" t="s">
        <v>386</v>
      </c>
      <c r="C1486" s="62" t="s">
        <v>60</v>
      </c>
      <c r="D1486" s="62" t="s">
        <v>71</v>
      </c>
      <c r="E1486" s="62" t="s">
        <v>382</v>
      </c>
      <c r="F1486" s="63" t="s">
        <v>482</v>
      </c>
      <c r="G1486" s="64" t="n">
        <v>4</v>
      </c>
      <c r="H1486" s="62"/>
    </row>
    <row r="1487" customFormat="false" ht="15" hidden="false" customHeight="false" outlineLevel="0" collapsed="false">
      <c r="A1487" s="62" t="n">
        <v>0</v>
      </c>
      <c r="B1487" s="62" t="s">
        <v>387</v>
      </c>
      <c r="C1487" s="62" t="s">
        <v>60</v>
      </c>
      <c r="D1487" s="62" t="s">
        <v>71</v>
      </c>
      <c r="E1487" s="62" t="s">
        <v>382</v>
      </c>
      <c r="F1487" s="63" t="s">
        <v>482</v>
      </c>
      <c r="G1487" s="64" t="n">
        <v>4</v>
      </c>
      <c r="H1487" s="62"/>
    </row>
    <row r="1488" customFormat="false" ht="15" hidden="false" customHeight="false" outlineLevel="0" collapsed="false">
      <c r="A1488" s="62" t="n">
        <v>0</v>
      </c>
      <c r="B1488" s="62" t="s">
        <v>388</v>
      </c>
      <c r="C1488" s="62" t="s">
        <v>60</v>
      </c>
      <c r="D1488" s="62" t="s">
        <v>71</v>
      </c>
      <c r="E1488" s="62" t="s">
        <v>382</v>
      </c>
      <c r="F1488" s="63" t="s">
        <v>482</v>
      </c>
      <c r="G1488" s="64" t="n">
        <v>4</v>
      </c>
      <c r="H1488" s="62"/>
    </row>
    <row r="1489" customFormat="false" ht="15" hidden="false" customHeight="false" outlineLevel="0" collapsed="false">
      <c r="A1489" s="62" t="n">
        <v>0</v>
      </c>
      <c r="B1489" s="62" t="s">
        <v>381</v>
      </c>
      <c r="C1489" s="62" t="s">
        <v>60</v>
      </c>
      <c r="D1489" s="62" t="s">
        <v>71</v>
      </c>
      <c r="E1489" s="62" t="s">
        <v>382</v>
      </c>
      <c r="F1489" s="63" t="s">
        <v>483</v>
      </c>
      <c r="G1489" s="64" t="s">
        <v>29</v>
      </c>
      <c r="H1489" s="62"/>
    </row>
    <row r="1490" customFormat="false" ht="15" hidden="false" customHeight="false" outlineLevel="0" collapsed="false">
      <c r="A1490" s="62" t="n">
        <v>0</v>
      </c>
      <c r="B1490" s="62" t="s">
        <v>383</v>
      </c>
      <c r="C1490" s="62" t="s">
        <v>60</v>
      </c>
      <c r="D1490" s="62" t="s">
        <v>71</v>
      </c>
      <c r="E1490" s="62" t="s">
        <v>382</v>
      </c>
      <c r="F1490" s="63" t="s">
        <v>483</v>
      </c>
      <c r="G1490" s="64" t="s">
        <v>29</v>
      </c>
      <c r="H1490" s="62"/>
    </row>
    <row r="1491" customFormat="false" ht="15" hidden="false" customHeight="false" outlineLevel="0" collapsed="false">
      <c r="A1491" s="62" t="n">
        <v>0</v>
      </c>
      <c r="B1491" s="62" t="s">
        <v>384</v>
      </c>
      <c r="C1491" s="62" t="s">
        <v>60</v>
      </c>
      <c r="D1491" s="62" t="s">
        <v>71</v>
      </c>
      <c r="E1491" s="62" t="s">
        <v>382</v>
      </c>
      <c r="F1491" s="63" t="s">
        <v>483</v>
      </c>
      <c r="G1491" s="64" t="s">
        <v>29</v>
      </c>
      <c r="H1491" s="62"/>
    </row>
    <row r="1492" customFormat="false" ht="15" hidden="false" customHeight="false" outlineLevel="0" collapsed="false">
      <c r="A1492" s="62" t="n">
        <v>0</v>
      </c>
      <c r="B1492" s="62" t="s">
        <v>385</v>
      </c>
      <c r="C1492" s="62" t="s">
        <v>60</v>
      </c>
      <c r="D1492" s="62" t="s">
        <v>71</v>
      </c>
      <c r="E1492" s="62" t="s">
        <v>382</v>
      </c>
      <c r="F1492" s="63" t="s">
        <v>483</v>
      </c>
      <c r="G1492" s="64" t="s">
        <v>29</v>
      </c>
      <c r="H1492" s="62"/>
    </row>
    <row r="1493" customFormat="false" ht="15" hidden="false" customHeight="false" outlineLevel="0" collapsed="false">
      <c r="A1493" s="62" t="n">
        <v>0</v>
      </c>
      <c r="B1493" s="62" t="s">
        <v>386</v>
      </c>
      <c r="C1493" s="62" t="s">
        <v>60</v>
      </c>
      <c r="D1493" s="62" t="s">
        <v>71</v>
      </c>
      <c r="E1493" s="62" t="s">
        <v>382</v>
      </c>
      <c r="F1493" s="63" t="s">
        <v>483</v>
      </c>
      <c r="G1493" s="64" t="s">
        <v>29</v>
      </c>
      <c r="H1493" s="62"/>
    </row>
    <row r="1494" customFormat="false" ht="15" hidden="false" customHeight="false" outlineLevel="0" collapsed="false">
      <c r="A1494" s="62" t="n">
        <v>0</v>
      </c>
      <c r="B1494" s="62" t="s">
        <v>387</v>
      </c>
      <c r="C1494" s="62" t="s">
        <v>60</v>
      </c>
      <c r="D1494" s="62" t="s">
        <v>71</v>
      </c>
      <c r="E1494" s="62" t="s">
        <v>382</v>
      </c>
      <c r="F1494" s="63" t="s">
        <v>483</v>
      </c>
      <c r="G1494" s="64" t="s">
        <v>29</v>
      </c>
      <c r="H1494" s="62"/>
    </row>
    <row r="1495" customFormat="false" ht="15" hidden="false" customHeight="false" outlineLevel="0" collapsed="false">
      <c r="A1495" s="62" t="n">
        <v>0</v>
      </c>
      <c r="B1495" s="62" t="s">
        <v>388</v>
      </c>
      <c r="C1495" s="62" t="s">
        <v>60</v>
      </c>
      <c r="D1495" s="62" t="s">
        <v>71</v>
      </c>
      <c r="E1495" s="62" t="s">
        <v>382</v>
      </c>
      <c r="F1495" s="63" t="s">
        <v>483</v>
      </c>
      <c r="G1495" s="64" t="s">
        <v>29</v>
      </c>
      <c r="H1495" s="62"/>
    </row>
    <row r="1496" customFormat="false" ht="15" hidden="false" customHeight="false" outlineLevel="0" collapsed="false">
      <c r="A1496" s="62" t="n">
        <v>0</v>
      </c>
      <c r="B1496" s="62" t="s">
        <v>381</v>
      </c>
      <c r="C1496" s="62" t="s">
        <v>60</v>
      </c>
      <c r="D1496" s="62" t="s">
        <v>71</v>
      </c>
      <c r="E1496" s="62" t="s">
        <v>382</v>
      </c>
      <c r="F1496" s="63" t="s">
        <v>484</v>
      </c>
      <c r="G1496" s="64" t="n">
        <v>515</v>
      </c>
      <c r="H1496" s="62"/>
    </row>
    <row r="1497" customFormat="false" ht="15" hidden="false" customHeight="false" outlineLevel="0" collapsed="false">
      <c r="A1497" s="62" t="n">
        <v>0</v>
      </c>
      <c r="B1497" s="62" t="s">
        <v>383</v>
      </c>
      <c r="C1497" s="62" t="s">
        <v>60</v>
      </c>
      <c r="D1497" s="62" t="s">
        <v>71</v>
      </c>
      <c r="E1497" s="62" t="s">
        <v>382</v>
      </c>
      <c r="F1497" s="63" t="s">
        <v>484</v>
      </c>
      <c r="G1497" s="64" t="n">
        <v>515</v>
      </c>
      <c r="H1497" s="62"/>
    </row>
    <row r="1498" customFormat="false" ht="15" hidden="false" customHeight="false" outlineLevel="0" collapsed="false">
      <c r="A1498" s="62" t="n">
        <v>0</v>
      </c>
      <c r="B1498" s="62" t="s">
        <v>384</v>
      </c>
      <c r="C1498" s="62" t="s">
        <v>60</v>
      </c>
      <c r="D1498" s="62" t="s">
        <v>71</v>
      </c>
      <c r="E1498" s="62" t="s">
        <v>382</v>
      </c>
      <c r="F1498" s="63" t="s">
        <v>484</v>
      </c>
      <c r="G1498" s="64" t="n">
        <v>515</v>
      </c>
      <c r="H1498" s="62"/>
    </row>
    <row r="1499" customFormat="false" ht="15" hidden="false" customHeight="false" outlineLevel="0" collapsed="false">
      <c r="A1499" s="62" t="n">
        <v>0</v>
      </c>
      <c r="B1499" s="62" t="s">
        <v>385</v>
      </c>
      <c r="C1499" s="62" t="s">
        <v>60</v>
      </c>
      <c r="D1499" s="62" t="s">
        <v>71</v>
      </c>
      <c r="E1499" s="62" t="s">
        <v>382</v>
      </c>
      <c r="F1499" s="63" t="s">
        <v>484</v>
      </c>
      <c r="G1499" s="64" t="n">
        <v>515</v>
      </c>
      <c r="H1499" s="62"/>
    </row>
    <row r="1500" customFormat="false" ht="15" hidden="false" customHeight="false" outlineLevel="0" collapsed="false">
      <c r="A1500" s="62" t="n">
        <v>0</v>
      </c>
      <c r="B1500" s="62" t="s">
        <v>386</v>
      </c>
      <c r="C1500" s="62" t="s">
        <v>60</v>
      </c>
      <c r="D1500" s="62" t="s">
        <v>71</v>
      </c>
      <c r="E1500" s="62" t="s">
        <v>382</v>
      </c>
      <c r="F1500" s="63" t="s">
        <v>484</v>
      </c>
      <c r="G1500" s="64" t="n">
        <v>515</v>
      </c>
      <c r="H1500" s="62"/>
    </row>
    <row r="1501" customFormat="false" ht="15" hidden="false" customHeight="false" outlineLevel="0" collapsed="false">
      <c r="A1501" s="62" t="n">
        <v>0</v>
      </c>
      <c r="B1501" s="62" t="s">
        <v>387</v>
      </c>
      <c r="C1501" s="62" t="s">
        <v>60</v>
      </c>
      <c r="D1501" s="62" t="s">
        <v>71</v>
      </c>
      <c r="E1501" s="62" t="s">
        <v>382</v>
      </c>
      <c r="F1501" s="63" t="s">
        <v>484</v>
      </c>
      <c r="G1501" s="64" t="n">
        <v>515</v>
      </c>
      <c r="H1501" s="62"/>
    </row>
    <row r="1502" customFormat="false" ht="15" hidden="false" customHeight="false" outlineLevel="0" collapsed="false">
      <c r="A1502" s="62" t="n">
        <v>0</v>
      </c>
      <c r="B1502" s="62" t="s">
        <v>388</v>
      </c>
      <c r="C1502" s="62" t="s">
        <v>60</v>
      </c>
      <c r="D1502" s="62" t="s">
        <v>71</v>
      </c>
      <c r="E1502" s="62" t="s">
        <v>382</v>
      </c>
      <c r="F1502" s="63" t="s">
        <v>484</v>
      </c>
      <c r="G1502" s="64" t="n">
        <v>515</v>
      </c>
      <c r="H1502" s="62"/>
    </row>
    <row r="1503" customFormat="false" ht="15" hidden="false" customHeight="false" outlineLevel="0" collapsed="false">
      <c r="A1503" s="62" t="n">
        <v>0</v>
      </c>
      <c r="B1503" s="62" t="s">
        <v>381</v>
      </c>
      <c r="C1503" s="62" t="s">
        <v>60</v>
      </c>
      <c r="D1503" s="62" t="s">
        <v>71</v>
      </c>
      <c r="E1503" s="62" t="s">
        <v>382</v>
      </c>
      <c r="F1503" s="63" t="s">
        <v>485</v>
      </c>
      <c r="G1503" s="64" t="n">
        <v>515</v>
      </c>
      <c r="H1503" s="62"/>
    </row>
    <row r="1504" customFormat="false" ht="15" hidden="false" customHeight="false" outlineLevel="0" collapsed="false">
      <c r="A1504" s="62" t="n">
        <v>0</v>
      </c>
      <c r="B1504" s="62" t="s">
        <v>383</v>
      </c>
      <c r="C1504" s="62" t="s">
        <v>60</v>
      </c>
      <c r="D1504" s="62" t="s">
        <v>71</v>
      </c>
      <c r="E1504" s="62" t="s">
        <v>382</v>
      </c>
      <c r="F1504" s="63" t="s">
        <v>485</v>
      </c>
      <c r="G1504" s="64" t="n">
        <v>515</v>
      </c>
      <c r="H1504" s="62"/>
    </row>
    <row r="1505" customFormat="false" ht="15" hidden="false" customHeight="false" outlineLevel="0" collapsed="false">
      <c r="A1505" s="62" t="n">
        <v>0</v>
      </c>
      <c r="B1505" s="62" t="s">
        <v>384</v>
      </c>
      <c r="C1505" s="62" t="s">
        <v>60</v>
      </c>
      <c r="D1505" s="62" t="s">
        <v>71</v>
      </c>
      <c r="E1505" s="62" t="s">
        <v>382</v>
      </c>
      <c r="F1505" s="63" t="s">
        <v>485</v>
      </c>
      <c r="G1505" s="64" t="n">
        <v>515</v>
      </c>
      <c r="H1505" s="62"/>
    </row>
    <row r="1506" customFormat="false" ht="15" hidden="false" customHeight="false" outlineLevel="0" collapsed="false">
      <c r="A1506" s="62" t="n">
        <v>0</v>
      </c>
      <c r="B1506" s="62" t="s">
        <v>385</v>
      </c>
      <c r="C1506" s="62" t="s">
        <v>60</v>
      </c>
      <c r="D1506" s="62" t="s">
        <v>71</v>
      </c>
      <c r="E1506" s="62" t="s">
        <v>382</v>
      </c>
      <c r="F1506" s="63" t="s">
        <v>485</v>
      </c>
      <c r="G1506" s="64" t="n">
        <v>515</v>
      </c>
      <c r="H1506" s="62"/>
    </row>
    <row r="1507" customFormat="false" ht="15" hidden="false" customHeight="false" outlineLevel="0" collapsed="false">
      <c r="A1507" s="62" t="n">
        <v>0</v>
      </c>
      <c r="B1507" s="62" t="s">
        <v>386</v>
      </c>
      <c r="C1507" s="62" t="s">
        <v>60</v>
      </c>
      <c r="D1507" s="62" t="s">
        <v>71</v>
      </c>
      <c r="E1507" s="62" t="s">
        <v>382</v>
      </c>
      <c r="F1507" s="63" t="s">
        <v>485</v>
      </c>
      <c r="G1507" s="64" t="n">
        <v>515</v>
      </c>
      <c r="H1507" s="62"/>
    </row>
    <row r="1508" customFormat="false" ht="15" hidden="false" customHeight="false" outlineLevel="0" collapsed="false">
      <c r="A1508" s="62" t="n">
        <v>0</v>
      </c>
      <c r="B1508" s="62" t="s">
        <v>387</v>
      </c>
      <c r="C1508" s="62" t="s">
        <v>60</v>
      </c>
      <c r="D1508" s="62" t="s">
        <v>71</v>
      </c>
      <c r="E1508" s="62" t="s">
        <v>382</v>
      </c>
      <c r="F1508" s="63" t="s">
        <v>485</v>
      </c>
      <c r="G1508" s="64" t="n">
        <v>515</v>
      </c>
      <c r="H1508" s="62"/>
    </row>
    <row r="1509" customFormat="false" ht="15" hidden="false" customHeight="false" outlineLevel="0" collapsed="false">
      <c r="A1509" s="62" t="n">
        <v>0</v>
      </c>
      <c r="B1509" s="62" t="s">
        <v>388</v>
      </c>
      <c r="C1509" s="62" t="s">
        <v>60</v>
      </c>
      <c r="D1509" s="62" t="s">
        <v>71</v>
      </c>
      <c r="E1509" s="62" t="s">
        <v>382</v>
      </c>
      <c r="F1509" s="63" t="s">
        <v>485</v>
      </c>
      <c r="G1509" s="64" t="n">
        <v>515</v>
      </c>
      <c r="H1509" s="62"/>
    </row>
    <row r="1510" customFormat="false" ht="15" hidden="false" customHeight="false" outlineLevel="0" collapsed="false">
      <c r="A1510" s="62" t="n">
        <v>0</v>
      </c>
      <c r="B1510" s="62" t="s">
        <v>381</v>
      </c>
      <c r="C1510" s="62" t="s">
        <v>60</v>
      </c>
      <c r="D1510" s="62" t="s">
        <v>71</v>
      </c>
      <c r="E1510" s="62" t="s">
        <v>92</v>
      </c>
      <c r="F1510" s="63" t="s">
        <v>479</v>
      </c>
      <c r="G1510" s="64" t="n">
        <v>14.2857142857143</v>
      </c>
      <c r="H1510" s="62" t="s">
        <v>42</v>
      </c>
    </row>
    <row r="1511" customFormat="false" ht="15" hidden="false" customHeight="false" outlineLevel="0" collapsed="false">
      <c r="A1511" s="62" t="n">
        <v>0</v>
      </c>
      <c r="B1511" s="62" t="s">
        <v>383</v>
      </c>
      <c r="C1511" s="62" t="s">
        <v>60</v>
      </c>
      <c r="D1511" s="62" t="s">
        <v>71</v>
      </c>
      <c r="E1511" s="62" t="s">
        <v>92</v>
      </c>
      <c r="F1511" s="63" t="s">
        <v>479</v>
      </c>
      <c r="G1511" s="64" t="n">
        <v>14.2857142857143</v>
      </c>
      <c r="H1511" s="62" t="s">
        <v>42</v>
      </c>
    </row>
    <row r="1512" customFormat="false" ht="15" hidden="false" customHeight="false" outlineLevel="0" collapsed="false">
      <c r="A1512" s="62" t="n">
        <v>0</v>
      </c>
      <c r="B1512" s="62" t="s">
        <v>384</v>
      </c>
      <c r="C1512" s="62" t="s">
        <v>60</v>
      </c>
      <c r="D1512" s="62" t="s">
        <v>71</v>
      </c>
      <c r="E1512" s="62" t="s">
        <v>92</v>
      </c>
      <c r="F1512" s="63" t="s">
        <v>479</v>
      </c>
      <c r="G1512" s="64" t="n">
        <v>14.2857142857143</v>
      </c>
      <c r="H1512" s="62" t="s">
        <v>42</v>
      </c>
    </row>
    <row r="1513" customFormat="false" ht="15" hidden="false" customHeight="false" outlineLevel="0" collapsed="false">
      <c r="A1513" s="62" t="n">
        <v>0</v>
      </c>
      <c r="B1513" s="62" t="s">
        <v>385</v>
      </c>
      <c r="C1513" s="62" t="s">
        <v>60</v>
      </c>
      <c r="D1513" s="62" t="s">
        <v>71</v>
      </c>
      <c r="E1513" s="62" t="s">
        <v>92</v>
      </c>
      <c r="F1513" s="63" t="s">
        <v>479</v>
      </c>
      <c r="G1513" s="64" t="n">
        <v>14.2857142857143</v>
      </c>
      <c r="H1513" s="62" t="s">
        <v>42</v>
      </c>
    </row>
    <row r="1514" customFormat="false" ht="15" hidden="false" customHeight="false" outlineLevel="0" collapsed="false">
      <c r="A1514" s="62" t="n">
        <v>0</v>
      </c>
      <c r="B1514" s="62" t="s">
        <v>386</v>
      </c>
      <c r="C1514" s="62" t="s">
        <v>60</v>
      </c>
      <c r="D1514" s="62" t="s">
        <v>71</v>
      </c>
      <c r="E1514" s="62" t="s">
        <v>92</v>
      </c>
      <c r="F1514" s="63" t="s">
        <v>479</v>
      </c>
      <c r="G1514" s="64" t="n">
        <v>14.2857142857143</v>
      </c>
      <c r="H1514" s="62" t="s">
        <v>42</v>
      </c>
    </row>
    <row r="1515" customFormat="false" ht="15" hidden="false" customHeight="false" outlineLevel="0" collapsed="false">
      <c r="A1515" s="62" t="n">
        <v>0</v>
      </c>
      <c r="B1515" s="62" t="s">
        <v>387</v>
      </c>
      <c r="C1515" s="62" t="s">
        <v>60</v>
      </c>
      <c r="D1515" s="62" t="s">
        <v>71</v>
      </c>
      <c r="E1515" s="62" t="s">
        <v>92</v>
      </c>
      <c r="F1515" s="63" t="s">
        <v>479</v>
      </c>
      <c r="G1515" s="64" t="n">
        <v>14.2857142857143</v>
      </c>
      <c r="H1515" s="62" t="s">
        <v>42</v>
      </c>
    </row>
    <row r="1516" customFormat="false" ht="15" hidden="false" customHeight="false" outlineLevel="0" collapsed="false">
      <c r="A1516" s="62" t="n">
        <v>0</v>
      </c>
      <c r="B1516" s="62" t="s">
        <v>388</v>
      </c>
      <c r="C1516" s="62" t="s">
        <v>60</v>
      </c>
      <c r="D1516" s="62" t="s">
        <v>71</v>
      </c>
      <c r="E1516" s="62" t="s">
        <v>92</v>
      </c>
      <c r="F1516" s="63" t="s">
        <v>479</v>
      </c>
      <c r="G1516" s="64" t="n">
        <v>14.2857142857143</v>
      </c>
      <c r="H1516" s="62" t="s">
        <v>42</v>
      </c>
    </row>
    <row r="1517" customFormat="false" ht="15" hidden="false" customHeight="false" outlineLevel="0" collapsed="false">
      <c r="A1517" s="62" t="n">
        <v>0</v>
      </c>
      <c r="B1517" s="62" t="s">
        <v>381</v>
      </c>
      <c r="C1517" s="62" t="s">
        <v>60</v>
      </c>
      <c r="D1517" s="62" t="s">
        <v>71</v>
      </c>
      <c r="E1517" s="62" t="s">
        <v>94</v>
      </c>
      <c r="F1517" s="63" t="s">
        <v>479</v>
      </c>
      <c r="G1517" s="64" t="n">
        <v>0</v>
      </c>
      <c r="H1517" s="62" t="s">
        <v>42</v>
      </c>
    </row>
    <row r="1518" customFormat="false" ht="15" hidden="false" customHeight="false" outlineLevel="0" collapsed="false">
      <c r="A1518" s="62" t="n">
        <v>0</v>
      </c>
      <c r="B1518" s="62" t="s">
        <v>383</v>
      </c>
      <c r="C1518" s="62" t="s">
        <v>60</v>
      </c>
      <c r="D1518" s="62" t="s">
        <v>71</v>
      </c>
      <c r="E1518" s="62" t="s">
        <v>94</v>
      </c>
      <c r="F1518" s="63" t="s">
        <v>479</v>
      </c>
      <c r="G1518" s="64" t="n">
        <v>0</v>
      </c>
      <c r="H1518" s="62" t="s">
        <v>42</v>
      </c>
    </row>
    <row r="1519" customFormat="false" ht="15" hidden="false" customHeight="false" outlineLevel="0" collapsed="false">
      <c r="A1519" s="62" t="n">
        <v>0</v>
      </c>
      <c r="B1519" s="62" t="s">
        <v>384</v>
      </c>
      <c r="C1519" s="62" t="s">
        <v>60</v>
      </c>
      <c r="D1519" s="62" t="s">
        <v>71</v>
      </c>
      <c r="E1519" s="62" t="s">
        <v>94</v>
      </c>
      <c r="F1519" s="63" t="s">
        <v>479</v>
      </c>
      <c r="G1519" s="64" t="n">
        <v>0</v>
      </c>
      <c r="H1519" s="62" t="s">
        <v>42</v>
      </c>
    </row>
    <row r="1520" customFormat="false" ht="15" hidden="false" customHeight="false" outlineLevel="0" collapsed="false">
      <c r="A1520" s="62" t="n">
        <v>0</v>
      </c>
      <c r="B1520" s="62" t="s">
        <v>385</v>
      </c>
      <c r="C1520" s="62" t="s">
        <v>60</v>
      </c>
      <c r="D1520" s="62" t="s">
        <v>71</v>
      </c>
      <c r="E1520" s="62" t="s">
        <v>94</v>
      </c>
      <c r="F1520" s="63" t="s">
        <v>479</v>
      </c>
      <c r="G1520" s="64" t="n">
        <v>0</v>
      </c>
      <c r="H1520" s="62" t="s">
        <v>42</v>
      </c>
    </row>
    <row r="1521" customFormat="false" ht="15" hidden="false" customHeight="false" outlineLevel="0" collapsed="false">
      <c r="A1521" s="62" t="n">
        <v>0</v>
      </c>
      <c r="B1521" s="62" t="s">
        <v>386</v>
      </c>
      <c r="C1521" s="62" t="s">
        <v>60</v>
      </c>
      <c r="D1521" s="62" t="s">
        <v>71</v>
      </c>
      <c r="E1521" s="62" t="s">
        <v>94</v>
      </c>
      <c r="F1521" s="63" t="s">
        <v>479</v>
      </c>
      <c r="G1521" s="64" t="n">
        <v>0</v>
      </c>
      <c r="H1521" s="62" t="s">
        <v>42</v>
      </c>
    </row>
    <row r="1522" customFormat="false" ht="15" hidden="false" customHeight="false" outlineLevel="0" collapsed="false">
      <c r="A1522" s="62" t="n">
        <v>0</v>
      </c>
      <c r="B1522" s="62" t="s">
        <v>387</v>
      </c>
      <c r="C1522" s="62" t="s">
        <v>60</v>
      </c>
      <c r="D1522" s="62" t="s">
        <v>71</v>
      </c>
      <c r="E1522" s="62" t="s">
        <v>94</v>
      </c>
      <c r="F1522" s="63" t="s">
        <v>479</v>
      </c>
      <c r="G1522" s="64" t="n">
        <v>0</v>
      </c>
      <c r="H1522" s="62" t="s">
        <v>42</v>
      </c>
    </row>
    <row r="1523" customFormat="false" ht="15" hidden="false" customHeight="false" outlineLevel="0" collapsed="false">
      <c r="A1523" s="62" t="n">
        <v>0</v>
      </c>
      <c r="B1523" s="62" t="s">
        <v>388</v>
      </c>
      <c r="C1523" s="62" t="s">
        <v>60</v>
      </c>
      <c r="D1523" s="62" t="s">
        <v>71</v>
      </c>
      <c r="E1523" s="62" t="s">
        <v>94</v>
      </c>
      <c r="F1523" s="63" t="s">
        <v>479</v>
      </c>
      <c r="G1523" s="64" t="n">
        <v>0</v>
      </c>
      <c r="H1523" s="62" t="s">
        <v>42</v>
      </c>
    </row>
    <row r="1524" customFormat="false" ht="15" hidden="false" customHeight="false" outlineLevel="0" collapsed="false">
      <c r="A1524" s="62" t="n">
        <v>0</v>
      </c>
      <c r="B1524" s="62" t="s">
        <v>381</v>
      </c>
      <c r="C1524" s="62" t="s">
        <v>60</v>
      </c>
      <c r="D1524" s="62" t="s">
        <v>71</v>
      </c>
      <c r="E1524" s="62" t="s">
        <v>95</v>
      </c>
      <c r="F1524" s="63" t="s">
        <v>479</v>
      </c>
      <c r="G1524" s="64" t="n">
        <v>0</v>
      </c>
      <c r="H1524" s="62" t="s">
        <v>42</v>
      </c>
    </row>
    <row r="1525" customFormat="false" ht="15" hidden="false" customHeight="false" outlineLevel="0" collapsed="false">
      <c r="A1525" s="62" t="n">
        <v>0</v>
      </c>
      <c r="B1525" s="62" t="s">
        <v>383</v>
      </c>
      <c r="C1525" s="62" t="s">
        <v>60</v>
      </c>
      <c r="D1525" s="62" t="s">
        <v>71</v>
      </c>
      <c r="E1525" s="62" t="s">
        <v>95</v>
      </c>
      <c r="F1525" s="63" t="s">
        <v>479</v>
      </c>
      <c r="G1525" s="64" t="n">
        <v>0</v>
      </c>
      <c r="H1525" s="62" t="s">
        <v>42</v>
      </c>
    </row>
    <row r="1526" customFormat="false" ht="15" hidden="false" customHeight="false" outlineLevel="0" collapsed="false">
      <c r="A1526" s="62" t="n">
        <v>0</v>
      </c>
      <c r="B1526" s="62" t="s">
        <v>384</v>
      </c>
      <c r="C1526" s="62" t="s">
        <v>60</v>
      </c>
      <c r="D1526" s="62" t="s">
        <v>71</v>
      </c>
      <c r="E1526" s="62" t="s">
        <v>95</v>
      </c>
      <c r="F1526" s="63" t="s">
        <v>479</v>
      </c>
      <c r="G1526" s="64" t="n">
        <v>0</v>
      </c>
      <c r="H1526" s="62" t="s">
        <v>42</v>
      </c>
    </row>
    <row r="1527" customFormat="false" ht="15" hidden="false" customHeight="false" outlineLevel="0" collapsed="false">
      <c r="A1527" s="62" t="n">
        <v>0</v>
      </c>
      <c r="B1527" s="62" t="s">
        <v>385</v>
      </c>
      <c r="C1527" s="62" t="s">
        <v>60</v>
      </c>
      <c r="D1527" s="62" t="s">
        <v>71</v>
      </c>
      <c r="E1527" s="62" t="s">
        <v>95</v>
      </c>
      <c r="F1527" s="63" t="s">
        <v>479</v>
      </c>
      <c r="G1527" s="64" t="n">
        <v>0</v>
      </c>
      <c r="H1527" s="62" t="s">
        <v>42</v>
      </c>
    </row>
    <row r="1528" customFormat="false" ht="15" hidden="false" customHeight="false" outlineLevel="0" collapsed="false">
      <c r="A1528" s="62" t="n">
        <v>0</v>
      </c>
      <c r="B1528" s="62" t="s">
        <v>386</v>
      </c>
      <c r="C1528" s="62" t="s">
        <v>60</v>
      </c>
      <c r="D1528" s="62" t="s">
        <v>71</v>
      </c>
      <c r="E1528" s="62" t="s">
        <v>95</v>
      </c>
      <c r="F1528" s="63" t="s">
        <v>479</v>
      </c>
      <c r="G1528" s="64" t="n">
        <v>0</v>
      </c>
      <c r="H1528" s="62" t="s">
        <v>42</v>
      </c>
    </row>
    <row r="1529" customFormat="false" ht="15" hidden="false" customHeight="false" outlineLevel="0" collapsed="false">
      <c r="A1529" s="62" t="n">
        <v>0</v>
      </c>
      <c r="B1529" s="62" t="s">
        <v>387</v>
      </c>
      <c r="C1529" s="62" t="s">
        <v>60</v>
      </c>
      <c r="D1529" s="62" t="s">
        <v>71</v>
      </c>
      <c r="E1529" s="62" t="s">
        <v>95</v>
      </c>
      <c r="F1529" s="63" t="s">
        <v>479</v>
      </c>
      <c r="G1529" s="64" t="n">
        <v>0</v>
      </c>
      <c r="H1529" s="62" t="s">
        <v>42</v>
      </c>
    </row>
    <row r="1530" customFormat="false" ht="15" hidden="false" customHeight="false" outlineLevel="0" collapsed="false">
      <c r="A1530" s="62" t="n">
        <v>0</v>
      </c>
      <c r="B1530" s="62" t="s">
        <v>388</v>
      </c>
      <c r="C1530" s="62" t="s">
        <v>60</v>
      </c>
      <c r="D1530" s="62" t="s">
        <v>71</v>
      </c>
      <c r="E1530" s="62" t="s">
        <v>95</v>
      </c>
      <c r="F1530" s="63" t="s">
        <v>479</v>
      </c>
      <c r="G1530" s="64" t="n">
        <v>0</v>
      </c>
      <c r="H1530" s="62" t="s">
        <v>42</v>
      </c>
    </row>
    <row r="1531" customFormat="false" ht="15" hidden="false" customHeight="false" outlineLevel="0" collapsed="false">
      <c r="A1531" s="62" t="n">
        <v>0</v>
      </c>
      <c r="B1531" s="62" t="s">
        <v>381</v>
      </c>
      <c r="C1531" s="62" t="s">
        <v>60</v>
      </c>
      <c r="D1531" s="62" t="s">
        <v>71</v>
      </c>
      <c r="E1531" s="62" t="s">
        <v>97</v>
      </c>
      <c r="F1531" s="63" t="s">
        <v>479</v>
      </c>
      <c r="G1531" s="64" t="n">
        <v>0</v>
      </c>
      <c r="H1531" s="62" t="s">
        <v>42</v>
      </c>
    </row>
    <row r="1532" customFormat="false" ht="15" hidden="false" customHeight="false" outlineLevel="0" collapsed="false">
      <c r="A1532" s="62" t="n">
        <v>0</v>
      </c>
      <c r="B1532" s="62" t="s">
        <v>383</v>
      </c>
      <c r="C1532" s="62" t="s">
        <v>60</v>
      </c>
      <c r="D1532" s="62" t="s">
        <v>71</v>
      </c>
      <c r="E1532" s="62" t="s">
        <v>97</v>
      </c>
      <c r="F1532" s="63" t="s">
        <v>479</v>
      </c>
      <c r="G1532" s="64" t="n">
        <v>0</v>
      </c>
      <c r="H1532" s="62" t="s">
        <v>42</v>
      </c>
    </row>
    <row r="1533" customFormat="false" ht="15" hidden="false" customHeight="false" outlineLevel="0" collapsed="false">
      <c r="A1533" s="62" t="n">
        <v>0</v>
      </c>
      <c r="B1533" s="62" t="s">
        <v>384</v>
      </c>
      <c r="C1533" s="62" t="s">
        <v>60</v>
      </c>
      <c r="D1533" s="62" t="s">
        <v>71</v>
      </c>
      <c r="E1533" s="62" t="s">
        <v>97</v>
      </c>
      <c r="F1533" s="63" t="s">
        <v>479</v>
      </c>
      <c r="G1533" s="64" t="n">
        <v>0</v>
      </c>
      <c r="H1533" s="62" t="s">
        <v>42</v>
      </c>
    </row>
    <row r="1534" customFormat="false" ht="15" hidden="false" customHeight="false" outlineLevel="0" collapsed="false">
      <c r="A1534" s="62" t="n">
        <v>0</v>
      </c>
      <c r="B1534" s="62" t="s">
        <v>385</v>
      </c>
      <c r="C1534" s="62" t="s">
        <v>60</v>
      </c>
      <c r="D1534" s="62" t="s">
        <v>71</v>
      </c>
      <c r="E1534" s="62" t="s">
        <v>97</v>
      </c>
      <c r="F1534" s="63" t="s">
        <v>479</v>
      </c>
      <c r="G1534" s="64" t="n">
        <v>0</v>
      </c>
      <c r="H1534" s="62" t="s">
        <v>42</v>
      </c>
    </row>
    <row r="1535" customFormat="false" ht="15" hidden="false" customHeight="false" outlineLevel="0" collapsed="false">
      <c r="A1535" s="62" t="n">
        <v>0</v>
      </c>
      <c r="B1535" s="62" t="s">
        <v>386</v>
      </c>
      <c r="C1535" s="62" t="s">
        <v>60</v>
      </c>
      <c r="D1535" s="62" t="s">
        <v>71</v>
      </c>
      <c r="E1535" s="62" t="s">
        <v>97</v>
      </c>
      <c r="F1535" s="63" t="s">
        <v>479</v>
      </c>
      <c r="G1535" s="64" t="n">
        <v>0</v>
      </c>
      <c r="H1535" s="62" t="s">
        <v>42</v>
      </c>
    </row>
    <row r="1536" customFormat="false" ht="15" hidden="false" customHeight="false" outlineLevel="0" collapsed="false">
      <c r="A1536" s="62" t="n">
        <v>0</v>
      </c>
      <c r="B1536" s="62" t="s">
        <v>387</v>
      </c>
      <c r="C1536" s="62" t="s">
        <v>60</v>
      </c>
      <c r="D1536" s="62" t="s">
        <v>71</v>
      </c>
      <c r="E1536" s="62" t="s">
        <v>97</v>
      </c>
      <c r="F1536" s="63" t="s">
        <v>479</v>
      </c>
      <c r="G1536" s="64" t="n">
        <v>0</v>
      </c>
      <c r="H1536" s="62" t="s">
        <v>42</v>
      </c>
    </row>
    <row r="1537" customFormat="false" ht="15" hidden="false" customHeight="false" outlineLevel="0" collapsed="false">
      <c r="A1537" s="62" t="n">
        <v>0</v>
      </c>
      <c r="B1537" s="62" t="s">
        <v>388</v>
      </c>
      <c r="C1537" s="62" t="s">
        <v>60</v>
      </c>
      <c r="D1537" s="62" t="s">
        <v>71</v>
      </c>
      <c r="E1537" s="62" t="s">
        <v>97</v>
      </c>
      <c r="F1537" s="63" t="s">
        <v>479</v>
      </c>
      <c r="G1537" s="64" t="n">
        <v>0</v>
      </c>
      <c r="H1537" s="62" t="s">
        <v>42</v>
      </c>
    </row>
    <row r="1538" customFormat="false" ht="15" hidden="false" customHeight="false" outlineLevel="0" collapsed="false">
      <c r="A1538" s="62" t="n">
        <v>0</v>
      </c>
      <c r="B1538" s="62" t="s">
        <v>381</v>
      </c>
      <c r="C1538" s="62" t="s">
        <v>60</v>
      </c>
      <c r="D1538" s="62" t="s">
        <v>71</v>
      </c>
      <c r="E1538" s="62" t="s">
        <v>382</v>
      </c>
      <c r="F1538" s="63" t="s">
        <v>486</v>
      </c>
      <c r="G1538" s="64" t="n">
        <v>14.2857142857143</v>
      </c>
      <c r="H1538" s="62" t="s">
        <v>42</v>
      </c>
    </row>
    <row r="1539" customFormat="false" ht="15" hidden="false" customHeight="false" outlineLevel="0" collapsed="false">
      <c r="A1539" s="62" t="n">
        <v>0</v>
      </c>
      <c r="B1539" s="62" t="s">
        <v>383</v>
      </c>
      <c r="C1539" s="62" t="s">
        <v>60</v>
      </c>
      <c r="D1539" s="62" t="s">
        <v>71</v>
      </c>
      <c r="E1539" s="62" t="s">
        <v>382</v>
      </c>
      <c r="F1539" s="63" t="s">
        <v>486</v>
      </c>
      <c r="G1539" s="64" t="n">
        <v>14.2857142857143</v>
      </c>
      <c r="H1539" s="62" t="s">
        <v>42</v>
      </c>
    </row>
    <row r="1540" customFormat="false" ht="15" hidden="false" customHeight="false" outlineLevel="0" collapsed="false">
      <c r="A1540" s="62" t="n">
        <v>0</v>
      </c>
      <c r="B1540" s="62" t="s">
        <v>384</v>
      </c>
      <c r="C1540" s="62" t="s">
        <v>60</v>
      </c>
      <c r="D1540" s="62" t="s">
        <v>71</v>
      </c>
      <c r="E1540" s="62" t="s">
        <v>382</v>
      </c>
      <c r="F1540" s="63" t="s">
        <v>486</v>
      </c>
      <c r="G1540" s="64" t="n">
        <v>14.2857142857143</v>
      </c>
      <c r="H1540" s="62" t="s">
        <v>42</v>
      </c>
    </row>
    <row r="1541" customFormat="false" ht="15" hidden="false" customHeight="false" outlineLevel="0" collapsed="false">
      <c r="A1541" s="62" t="n">
        <v>0</v>
      </c>
      <c r="B1541" s="62" t="s">
        <v>385</v>
      </c>
      <c r="C1541" s="62" t="s">
        <v>60</v>
      </c>
      <c r="D1541" s="62" t="s">
        <v>71</v>
      </c>
      <c r="E1541" s="62" t="s">
        <v>382</v>
      </c>
      <c r="F1541" s="63" t="s">
        <v>486</v>
      </c>
      <c r="G1541" s="64" t="n">
        <v>14.2857142857143</v>
      </c>
      <c r="H1541" s="62" t="s">
        <v>42</v>
      </c>
    </row>
    <row r="1542" customFormat="false" ht="15" hidden="false" customHeight="false" outlineLevel="0" collapsed="false">
      <c r="A1542" s="62" t="n">
        <v>0</v>
      </c>
      <c r="B1542" s="62" t="s">
        <v>386</v>
      </c>
      <c r="C1542" s="62" t="s">
        <v>60</v>
      </c>
      <c r="D1542" s="62" t="s">
        <v>71</v>
      </c>
      <c r="E1542" s="62" t="s">
        <v>382</v>
      </c>
      <c r="F1542" s="63" t="s">
        <v>486</v>
      </c>
      <c r="G1542" s="64" t="n">
        <v>14.2857142857143</v>
      </c>
      <c r="H1542" s="62" t="s">
        <v>42</v>
      </c>
    </row>
    <row r="1543" customFormat="false" ht="15" hidden="false" customHeight="false" outlineLevel="0" collapsed="false">
      <c r="A1543" s="62" t="n">
        <v>0</v>
      </c>
      <c r="B1543" s="62" t="s">
        <v>387</v>
      </c>
      <c r="C1543" s="62" t="s">
        <v>60</v>
      </c>
      <c r="D1543" s="62" t="s">
        <v>71</v>
      </c>
      <c r="E1543" s="62" t="s">
        <v>382</v>
      </c>
      <c r="F1543" s="63" t="s">
        <v>486</v>
      </c>
      <c r="G1543" s="64" t="n">
        <v>14.2857142857143</v>
      </c>
      <c r="H1543" s="62" t="s">
        <v>42</v>
      </c>
    </row>
    <row r="1544" customFormat="false" ht="15" hidden="false" customHeight="false" outlineLevel="0" collapsed="false">
      <c r="A1544" s="62" t="n">
        <v>0</v>
      </c>
      <c r="B1544" s="62" t="s">
        <v>388</v>
      </c>
      <c r="C1544" s="62" t="s">
        <v>60</v>
      </c>
      <c r="D1544" s="62" t="s">
        <v>71</v>
      </c>
      <c r="E1544" s="62" t="s">
        <v>382</v>
      </c>
      <c r="F1544" s="63" t="s">
        <v>486</v>
      </c>
      <c r="G1544" s="64" t="n">
        <v>14.2857142857143</v>
      </c>
      <c r="H1544" s="62" t="s">
        <v>42</v>
      </c>
    </row>
    <row r="1545" customFormat="false" ht="15" hidden="false" customHeight="false" outlineLevel="0" collapsed="false">
      <c r="A1545" s="62" t="n">
        <v>0</v>
      </c>
      <c r="B1545" s="62" t="s">
        <v>381</v>
      </c>
      <c r="C1545" s="62" t="s">
        <v>60</v>
      </c>
      <c r="D1545" s="62" t="s">
        <v>72</v>
      </c>
      <c r="E1545" s="62" t="s">
        <v>382</v>
      </c>
      <c r="F1545" s="63" t="s">
        <v>488</v>
      </c>
      <c r="G1545" s="64" t="n">
        <v>20000</v>
      </c>
      <c r="H1545" s="62"/>
    </row>
    <row r="1546" customFormat="false" ht="15" hidden="false" customHeight="false" outlineLevel="0" collapsed="false">
      <c r="A1546" s="62" t="n">
        <v>0</v>
      </c>
      <c r="B1546" s="62" t="s">
        <v>383</v>
      </c>
      <c r="C1546" s="62" t="s">
        <v>60</v>
      </c>
      <c r="D1546" s="62" t="s">
        <v>72</v>
      </c>
      <c r="E1546" s="62" t="s">
        <v>382</v>
      </c>
      <c r="F1546" s="63" t="s">
        <v>488</v>
      </c>
      <c r="G1546" s="64" t="n">
        <v>20000</v>
      </c>
      <c r="H1546" s="62"/>
    </row>
    <row r="1547" customFormat="false" ht="15" hidden="false" customHeight="false" outlineLevel="0" collapsed="false">
      <c r="A1547" s="62" t="n">
        <v>0</v>
      </c>
      <c r="B1547" s="62" t="s">
        <v>384</v>
      </c>
      <c r="C1547" s="62" t="s">
        <v>60</v>
      </c>
      <c r="D1547" s="62" t="s">
        <v>72</v>
      </c>
      <c r="E1547" s="62" t="s">
        <v>382</v>
      </c>
      <c r="F1547" s="63" t="s">
        <v>488</v>
      </c>
      <c r="G1547" s="64" t="n">
        <v>20000</v>
      </c>
      <c r="H1547" s="62"/>
    </row>
    <row r="1548" customFormat="false" ht="15" hidden="false" customHeight="false" outlineLevel="0" collapsed="false">
      <c r="A1548" s="62" t="n">
        <v>0</v>
      </c>
      <c r="B1548" s="62" t="s">
        <v>385</v>
      </c>
      <c r="C1548" s="62" t="s">
        <v>60</v>
      </c>
      <c r="D1548" s="62" t="s">
        <v>72</v>
      </c>
      <c r="E1548" s="62" t="s">
        <v>382</v>
      </c>
      <c r="F1548" s="63" t="s">
        <v>488</v>
      </c>
      <c r="G1548" s="64" t="n">
        <v>20000</v>
      </c>
      <c r="H1548" s="62"/>
    </row>
    <row r="1549" customFormat="false" ht="15" hidden="false" customHeight="false" outlineLevel="0" collapsed="false">
      <c r="A1549" s="62" t="n">
        <v>0</v>
      </c>
      <c r="B1549" s="62" t="s">
        <v>386</v>
      </c>
      <c r="C1549" s="62" t="s">
        <v>60</v>
      </c>
      <c r="D1549" s="62" t="s">
        <v>72</v>
      </c>
      <c r="E1549" s="62" t="s">
        <v>382</v>
      </c>
      <c r="F1549" s="63" t="s">
        <v>488</v>
      </c>
      <c r="G1549" s="64" t="n">
        <v>20000</v>
      </c>
      <c r="H1549" s="62"/>
    </row>
    <row r="1550" customFormat="false" ht="15" hidden="false" customHeight="false" outlineLevel="0" collapsed="false">
      <c r="A1550" s="62" t="n">
        <v>0</v>
      </c>
      <c r="B1550" s="62" t="s">
        <v>387</v>
      </c>
      <c r="C1550" s="62" t="s">
        <v>60</v>
      </c>
      <c r="D1550" s="62" t="s">
        <v>72</v>
      </c>
      <c r="E1550" s="62" t="s">
        <v>382</v>
      </c>
      <c r="F1550" s="63" t="s">
        <v>488</v>
      </c>
      <c r="G1550" s="64" t="n">
        <v>20000</v>
      </c>
      <c r="H1550" s="62"/>
    </row>
    <row r="1551" customFormat="false" ht="15" hidden="false" customHeight="false" outlineLevel="0" collapsed="false">
      <c r="A1551" s="62" t="n">
        <v>0</v>
      </c>
      <c r="B1551" s="62" t="s">
        <v>388</v>
      </c>
      <c r="C1551" s="62" t="s">
        <v>60</v>
      </c>
      <c r="D1551" s="62" t="s">
        <v>72</v>
      </c>
      <c r="E1551" s="62" t="s">
        <v>382</v>
      </c>
      <c r="F1551" s="63" t="s">
        <v>488</v>
      </c>
      <c r="G1551" s="64" t="n">
        <v>20000</v>
      </c>
      <c r="H1551" s="62"/>
    </row>
    <row r="1552" customFormat="false" ht="15" hidden="false" customHeight="false" outlineLevel="0" collapsed="false">
      <c r="A1552" s="62" t="n">
        <v>0</v>
      </c>
      <c r="B1552" s="62" t="s">
        <v>381</v>
      </c>
      <c r="C1552" s="62" t="s">
        <v>60</v>
      </c>
      <c r="D1552" s="62" t="s">
        <v>72</v>
      </c>
      <c r="E1552" s="62" t="s">
        <v>382</v>
      </c>
      <c r="F1552" s="63" t="s">
        <v>482</v>
      </c>
      <c r="G1552" s="64" t="n">
        <v>2</v>
      </c>
      <c r="H1552" s="62"/>
    </row>
    <row r="1553" customFormat="false" ht="15" hidden="false" customHeight="false" outlineLevel="0" collapsed="false">
      <c r="A1553" s="62" t="n">
        <v>0</v>
      </c>
      <c r="B1553" s="62" t="s">
        <v>383</v>
      </c>
      <c r="C1553" s="62" t="s">
        <v>60</v>
      </c>
      <c r="D1553" s="62" t="s">
        <v>72</v>
      </c>
      <c r="E1553" s="62" t="s">
        <v>382</v>
      </c>
      <c r="F1553" s="63" t="s">
        <v>482</v>
      </c>
      <c r="G1553" s="64" t="n">
        <v>2</v>
      </c>
      <c r="H1553" s="62"/>
    </row>
    <row r="1554" customFormat="false" ht="15" hidden="false" customHeight="false" outlineLevel="0" collapsed="false">
      <c r="A1554" s="62" t="n">
        <v>0</v>
      </c>
      <c r="B1554" s="62" t="s">
        <v>384</v>
      </c>
      <c r="C1554" s="62" t="s">
        <v>60</v>
      </c>
      <c r="D1554" s="62" t="s">
        <v>72</v>
      </c>
      <c r="E1554" s="62" t="s">
        <v>382</v>
      </c>
      <c r="F1554" s="63" t="s">
        <v>482</v>
      </c>
      <c r="G1554" s="64" t="n">
        <v>2</v>
      </c>
      <c r="H1554" s="62"/>
    </row>
    <row r="1555" customFormat="false" ht="15" hidden="false" customHeight="false" outlineLevel="0" collapsed="false">
      <c r="A1555" s="62" t="n">
        <v>0</v>
      </c>
      <c r="B1555" s="62" t="s">
        <v>385</v>
      </c>
      <c r="C1555" s="62" t="s">
        <v>60</v>
      </c>
      <c r="D1555" s="62" t="s">
        <v>72</v>
      </c>
      <c r="E1555" s="62" t="s">
        <v>382</v>
      </c>
      <c r="F1555" s="63" t="s">
        <v>482</v>
      </c>
      <c r="G1555" s="64" t="n">
        <v>2</v>
      </c>
      <c r="H1555" s="62"/>
    </row>
    <row r="1556" customFormat="false" ht="15" hidden="false" customHeight="false" outlineLevel="0" collapsed="false">
      <c r="A1556" s="62" t="n">
        <v>0</v>
      </c>
      <c r="B1556" s="62" t="s">
        <v>386</v>
      </c>
      <c r="C1556" s="62" t="s">
        <v>60</v>
      </c>
      <c r="D1556" s="62" t="s">
        <v>72</v>
      </c>
      <c r="E1556" s="62" t="s">
        <v>382</v>
      </c>
      <c r="F1556" s="63" t="s">
        <v>482</v>
      </c>
      <c r="G1556" s="64" t="n">
        <v>2</v>
      </c>
      <c r="H1556" s="62"/>
    </row>
    <row r="1557" customFormat="false" ht="15" hidden="false" customHeight="false" outlineLevel="0" collapsed="false">
      <c r="A1557" s="62" t="n">
        <v>0</v>
      </c>
      <c r="B1557" s="62" t="s">
        <v>387</v>
      </c>
      <c r="C1557" s="62" t="s">
        <v>60</v>
      </c>
      <c r="D1557" s="62" t="s">
        <v>72</v>
      </c>
      <c r="E1557" s="62" t="s">
        <v>382</v>
      </c>
      <c r="F1557" s="63" t="s">
        <v>482</v>
      </c>
      <c r="G1557" s="64" t="n">
        <v>2</v>
      </c>
      <c r="H1557" s="62"/>
    </row>
    <row r="1558" customFormat="false" ht="15" hidden="false" customHeight="false" outlineLevel="0" collapsed="false">
      <c r="A1558" s="62" t="n">
        <v>0</v>
      </c>
      <c r="B1558" s="62" t="s">
        <v>388</v>
      </c>
      <c r="C1558" s="62" t="s">
        <v>60</v>
      </c>
      <c r="D1558" s="62" t="s">
        <v>72</v>
      </c>
      <c r="E1558" s="62" t="s">
        <v>382</v>
      </c>
      <c r="F1558" s="63" t="s">
        <v>482</v>
      </c>
      <c r="G1558" s="64" t="n">
        <v>2</v>
      </c>
      <c r="H1558" s="62"/>
    </row>
    <row r="1559" customFormat="false" ht="15" hidden="false" customHeight="false" outlineLevel="0" collapsed="false">
      <c r="A1559" s="62" t="n">
        <v>0</v>
      </c>
      <c r="B1559" s="62" t="s">
        <v>381</v>
      </c>
      <c r="C1559" s="62" t="s">
        <v>60</v>
      </c>
      <c r="D1559" s="62" t="s">
        <v>72</v>
      </c>
      <c r="E1559" s="62" t="s">
        <v>382</v>
      </c>
      <c r="F1559" s="63" t="s">
        <v>483</v>
      </c>
      <c r="G1559" s="64" t="s">
        <v>29</v>
      </c>
      <c r="H1559" s="62"/>
    </row>
    <row r="1560" customFormat="false" ht="15" hidden="false" customHeight="false" outlineLevel="0" collapsed="false">
      <c r="A1560" s="62" t="n">
        <v>0</v>
      </c>
      <c r="B1560" s="62" t="s">
        <v>383</v>
      </c>
      <c r="C1560" s="62" t="s">
        <v>60</v>
      </c>
      <c r="D1560" s="62" t="s">
        <v>72</v>
      </c>
      <c r="E1560" s="62" t="s">
        <v>382</v>
      </c>
      <c r="F1560" s="63" t="s">
        <v>483</v>
      </c>
      <c r="G1560" s="64" t="s">
        <v>29</v>
      </c>
      <c r="H1560" s="62"/>
    </row>
    <row r="1561" customFormat="false" ht="15" hidden="false" customHeight="false" outlineLevel="0" collapsed="false">
      <c r="A1561" s="62" t="n">
        <v>0</v>
      </c>
      <c r="B1561" s="62" t="s">
        <v>384</v>
      </c>
      <c r="C1561" s="62" t="s">
        <v>60</v>
      </c>
      <c r="D1561" s="62" t="s">
        <v>72</v>
      </c>
      <c r="E1561" s="62" t="s">
        <v>382</v>
      </c>
      <c r="F1561" s="63" t="s">
        <v>483</v>
      </c>
      <c r="G1561" s="64" t="s">
        <v>29</v>
      </c>
      <c r="H1561" s="62"/>
    </row>
    <row r="1562" customFormat="false" ht="15" hidden="false" customHeight="false" outlineLevel="0" collapsed="false">
      <c r="A1562" s="62" t="n">
        <v>0</v>
      </c>
      <c r="B1562" s="62" t="s">
        <v>385</v>
      </c>
      <c r="C1562" s="62" t="s">
        <v>60</v>
      </c>
      <c r="D1562" s="62" t="s">
        <v>72</v>
      </c>
      <c r="E1562" s="62" t="s">
        <v>382</v>
      </c>
      <c r="F1562" s="63" t="s">
        <v>483</v>
      </c>
      <c r="G1562" s="64" t="s">
        <v>29</v>
      </c>
      <c r="H1562" s="62"/>
    </row>
    <row r="1563" customFormat="false" ht="15" hidden="false" customHeight="false" outlineLevel="0" collapsed="false">
      <c r="A1563" s="62" t="n">
        <v>0</v>
      </c>
      <c r="B1563" s="62" t="s">
        <v>386</v>
      </c>
      <c r="C1563" s="62" t="s">
        <v>60</v>
      </c>
      <c r="D1563" s="62" t="s">
        <v>72</v>
      </c>
      <c r="E1563" s="62" t="s">
        <v>382</v>
      </c>
      <c r="F1563" s="63" t="s">
        <v>483</v>
      </c>
      <c r="G1563" s="64" t="s">
        <v>29</v>
      </c>
      <c r="H1563" s="62"/>
    </row>
    <row r="1564" customFormat="false" ht="15" hidden="false" customHeight="false" outlineLevel="0" collapsed="false">
      <c r="A1564" s="62" t="n">
        <v>0</v>
      </c>
      <c r="B1564" s="62" t="s">
        <v>387</v>
      </c>
      <c r="C1564" s="62" t="s">
        <v>60</v>
      </c>
      <c r="D1564" s="62" t="s">
        <v>72</v>
      </c>
      <c r="E1564" s="62" t="s">
        <v>382</v>
      </c>
      <c r="F1564" s="63" t="s">
        <v>483</v>
      </c>
      <c r="G1564" s="64" t="s">
        <v>29</v>
      </c>
      <c r="H1564" s="62"/>
    </row>
    <row r="1565" customFormat="false" ht="15" hidden="false" customHeight="false" outlineLevel="0" collapsed="false">
      <c r="A1565" s="62" t="n">
        <v>0</v>
      </c>
      <c r="B1565" s="62" t="s">
        <v>388</v>
      </c>
      <c r="C1565" s="62" t="s">
        <v>60</v>
      </c>
      <c r="D1565" s="62" t="s">
        <v>72</v>
      </c>
      <c r="E1565" s="62" t="s">
        <v>382</v>
      </c>
      <c r="F1565" s="63" t="s">
        <v>483</v>
      </c>
      <c r="G1565" s="64" t="s">
        <v>29</v>
      </c>
      <c r="H1565" s="62"/>
    </row>
    <row r="1566" customFormat="false" ht="15" hidden="false" customHeight="false" outlineLevel="0" collapsed="false">
      <c r="A1566" s="62" t="n">
        <v>0</v>
      </c>
      <c r="B1566" s="62" t="s">
        <v>381</v>
      </c>
      <c r="C1566" s="62" t="s">
        <v>60</v>
      </c>
      <c r="D1566" s="62" t="s">
        <v>72</v>
      </c>
      <c r="E1566" s="62" t="s">
        <v>382</v>
      </c>
      <c r="F1566" s="63" t="s">
        <v>484</v>
      </c>
      <c r="G1566" s="64" t="n">
        <v>790</v>
      </c>
      <c r="H1566" s="62"/>
    </row>
    <row r="1567" customFormat="false" ht="15" hidden="false" customHeight="false" outlineLevel="0" collapsed="false">
      <c r="A1567" s="62" t="n">
        <v>0</v>
      </c>
      <c r="B1567" s="62" t="s">
        <v>383</v>
      </c>
      <c r="C1567" s="62" t="s">
        <v>60</v>
      </c>
      <c r="D1567" s="62" t="s">
        <v>72</v>
      </c>
      <c r="E1567" s="62" t="s">
        <v>382</v>
      </c>
      <c r="F1567" s="63" t="s">
        <v>484</v>
      </c>
      <c r="G1567" s="64" t="n">
        <v>790</v>
      </c>
      <c r="H1567" s="62"/>
    </row>
    <row r="1568" customFormat="false" ht="15" hidden="false" customHeight="false" outlineLevel="0" collapsed="false">
      <c r="A1568" s="62" t="n">
        <v>0</v>
      </c>
      <c r="B1568" s="62" t="s">
        <v>384</v>
      </c>
      <c r="C1568" s="62" t="s">
        <v>60</v>
      </c>
      <c r="D1568" s="62" t="s">
        <v>72</v>
      </c>
      <c r="E1568" s="62" t="s">
        <v>382</v>
      </c>
      <c r="F1568" s="63" t="s">
        <v>484</v>
      </c>
      <c r="G1568" s="64" t="n">
        <v>790</v>
      </c>
      <c r="H1568" s="62"/>
    </row>
    <row r="1569" customFormat="false" ht="15" hidden="false" customHeight="false" outlineLevel="0" collapsed="false">
      <c r="A1569" s="62" t="n">
        <v>0</v>
      </c>
      <c r="B1569" s="62" t="s">
        <v>385</v>
      </c>
      <c r="C1569" s="62" t="s">
        <v>60</v>
      </c>
      <c r="D1569" s="62" t="s">
        <v>72</v>
      </c>
      <c r="E1569" s="62" t="s">
        <v>382</v>
      </c>
      <c r="F1569" s="63" t="s">
        <v>484</v>
      </c>
      <c r="G1569" s="64" t="n">
        <v>790</v>
      </c>
      <c r="H1569" s="62"/>
    </row>
    <row r="1570" customFormat="false" ht="15" hidden="false" customHeight="false" outlineLevel="0" collapsed="false">
      <c r="A1570" s="62" t="n">
        <v>0</v>
      </c>
      <c r="B1570" s="62" t="s">
        <v>386</v>
      </c>
      <c r="C1570" s="62" t="s">
        <v>60</v>
      </c>
      <c r="D1570" s="62" t="s">
        <v>72</v>
      </c>
      <c r="E1570" s="62" t="s">
        <v>382</v>
      </c>
      <c r="F1570" s="63" t="s">
        <v>484</v>
      </c>
      <c r="G1570" s="64" t="n">
        <v>790</v>
      </c>
      <c r="H1570" s="62"/>
    </row>
    <row r="1571" customFormat="false" ht="15" hidden="false" customHeight="false" outlineLevel="0" collapsed="false">
      <c r="A1571" s="62" t="n">
        <v>0</v>
      </c>
      <c r="B1571" s="62" t="s">
        <v>387</v>
      </c>
      <c r="C1571" s="62" t="s">
        <v>60</v>
      </c>
      <c r="D1571" s="62" t="s">
        <v>72</v>
      </c>
      <c r="E1571" s="62" t="s">
        <v>382</v>
      </c>
      <c r="F1571" s="63" t="s">
        <v>484</v>
      </c>
      <c r="G1571" s="64" t="n">
        <v>790</v>
      </c>
      <c r="H1571" s="62"/>
    </row>
    <row r="1572" customFormat="false" ht="15" hidden="false" customHeight="false" outlineLevel="0" collapsed="false">
      <c r="A1572" s="62" t="n">
        <v>0</v>
      </c>
      <c r="B1572" s="62" t="s">
        <v>388</v>
      </c>
      <c r="C1572" s="62" t="s">
        <v>60</v>
      </c>
      <c r="D1572" s="62" t="s">
        <v>72</v>
      </c>
      <c r="E1572" s="62" t="s">
        <v>382</v>
      </c>
      <c r="F1572" s="63" t="s">
        <v>484</v>
      </c>
      <c r="G1572" s="64" t="n">
        <v>790</v>
      </c>
      <c r="H1572" s="62"/>
    </row>
    <row r="1573" customFormat="false" ht="15" hidden="false" customHeight="false" outlineLevel="0" collapsed="false">
      <c r="A1573" s="62" t="n">
        <v>0</v>
      </c>
      <c r="B1573" s="62" t="s">
        <v>381</v>
      </c>
      <c r="C1573" s="62" t="s">
        <v>60</v>
      </c>
      <c r="D1573" s="62" t="s">
        <v>72</v>
      </c>
      <c r="E1573" s="62" t="s">
        <v>382</v>
      </c>
      <c r="F1573" s="63" t="s">
        <v>485</v>
      </c>
      <c r="G1573" s="64" t="n">
        <v>945</v>
      </c>
      <c r="H1573" s="62"/>
    </row>
    <row r="1574" customFormat="false" ht="15" hidden="false" customHeight="false" outlineLevel="0" collapsed="false">
      <c r="A1574" s="62" t="n">
        <v>0</v>
      </c>
      <c r="B1574" s="62" t="s">
        <v>383</v>
      </c>
      <c r="C1574" s="62" t="s">
        <v>60</v>
      </c>
      <c r="D1574" s="62" t="s">
        <v>72</v>
      </c>
      <c r="E1574" s="62" t="s">
        <v>382</v>
      </c>
      <c r="F1574" s="63" t="s">
        <v>485</v>
      </c>
      <c r="G1574" s="64" t="n">
        <v>945</v>
      </c>
      <c r="H1574" s="62"/>
    </row>
    <row r="1575" customFormat="false" ht="15" hidden="false" customHeight="false" outlineLevel="0" collapsed="false">
      <c r="A1575" s="62" t="n">
        <v>0</v>
      </c>
      <c r="B1575" s="62" t="s">
        <v>384</v>
      </c>
      <c r="C1575" s="62" t="s">
        <v>60</v>
      </c>
      <c r="D1575" s="62" t="s">
        <v>72</v>
      </c>
      <c r="E1575" s="62" t="s">
        <v>382</v>
      </c>
      <c r="F1575" s="63" t="s">
        <v>485</v>
      </c>
      <c r="G1575" s="64" t="n">
        <v>945</v>
      </c>
      <c r="H1575" s="62"/>
    </row>
    <row r="1576" customFormat="false" ht="15" hidden="false" customHeight="false" outlineLevel="0" collapsed="false">
      <c r="A1576" s="62" t="n">
        <v>0</v>
      </c>
      <c r="B1576" s="62" t="s">
        <v>385</v>
      </c>
      <c r="C1576" s="62" t="s">
        <v>60</v>
      </c>
      <c r="D1576" s="62" t="s">
        <v>72</v>
      </c>
      <c r="E1576" s="62" t="s">
        <v>382</v>
      </c>
      <c r="F1576" s="63" t="s">
        <v>485</v>
      </c>
      <c r="G1576" s="64" t="n">
        <v>945</v>
      </c>
      <c r="H1576" s="62"/>
    </row>
    <row r="1577" customFormat="false" ht="15" hidden="false" customHeight="false" outlineLevel="0" collapsed="false">
      <c r="A1577" s="62" t="n">
        <v>0</v>
      </c>
      <c r="B1577" s="62" t="s">
        <v>386</v>
      </c>
      <c r="C1577" s="62" t="s">
        <v>60</v>
      </c>
      <c r="D1577" s="62" t="s">
        <v>72</v>
      </c>
      <c r="E1577" s="62" t="s">
        <v>382</v>
      </c>
      <c r="F1577" s="63" t="s">
        <v>485</v>
      </c>
      <c r="G1577" s="64" t="n">
        <v>945</v>
      </c>
      <c r="H1577" s="62"/>
    </row>
    <row r="1578" customFormat="false" ht="15" hidden="false" customHeight="false" outlineLevel="0" collapsed="false">
      <c r="A1578" s="62" t="n">
        <v>0</v>
      </c>
      <c r="B1578" s="62" t="s">
        <v>387</v>
      </c>
      <c r="C1578" s="62" t="s">
        <v>60</v>
      </c>
      <c r="D1578" s="62" t="s">
        <v>72</v>
      </c>
      <c r="E1578" s="62" t="s">
        <v>382</v>
      </c>
      <c r="F1578" s="63" t="s">
        <v>485</v>
      </c>
      <c r="G1578" s="64" t="n">
        <v>945</v>
      </c>
      <c r="H1578" s="62"/>
    </row>
    <row r="1579" customFormat="false" ht="15" hidden="false" customHeight="false" outlineLevel="0" collapsed="false">
      <c r="A1579" s="62" t="n">
        <v>0</v>
      </c>
      <c r="B1579" s="62" t="s">
        <v>388</v>
      </c>
      <c r="C1579" s="62" t="s">
        <v>60</v>
      </c>
      <c r="D1579" s="62" t="s">
        <v>72</v>
      </c>
      <c r="E1579" s="62" t="s">
        <v>382</v>
      </c>
      <c r="F1579" s="63" t="s">
        <v>485</v>
      </c>
      <c r="G1579" s="64" t="n">
        <v>945</v>
      </c>
      <c r="H1579" s="62"/>
    </row>
    <row r="1580" customFormat="false" ht="15" hidden="false" customHeight="false" outlineLevel="0" collapsed="false">
      <c r="A1580" s="62" t="n">
        <v>0</v>
      </c>
      <c r="B1580" s="62" t="s">
        <v>381</v>
      </c>
      <c r="C1580" s="62" t="s">
        <v>60</v>
      </c>
      <c r="D1580" s="62" t="s">
        <v>72</v>
      </c>
      <c r="E1580" s="62" t="s">
        <v>92</v>
      </c>
      <c r="F1580" s="63" t="s">
        <v>479</v>
      </c>
      <c r="G1580" s="64" t="n">
        <v>14.2857142857143</v>
      </c>
      <c r="H1580" s="62" t="s">
        <v>42</v>
      </c>
    </row>
    <row r="1581" customFormat="false" ht="15" hidden="false" customHeight="false" outlineLevel="0" collapsed="false">
      <c r="A1581" s="62" t="n">
        <v>0</v>
      </c>
      <c r="B1581" s="62" t="s">
        <v>383</v>
      </c>
      <c r="C1581" s="62" t="s">
        <v>60</v>
      </c>
      <c r="D1581" s="62" t="s">
        <v>72</v>
      </c>
      <c r="E1581" s="62" t="s">
        <v>92</v>
      </c>
      <c r="F1581" s="63" t="s">
        <v>479</v>
      </c>
      <c r="G1581" s="64" t="n">
        <v>14.2857142857143</v>
      </c>
      <c r="H1581" s="62" t="s">
        <v>42</v>
      </c>
    </row>
    <row r="1582" customFormat="false" ht="15" hidden="false" customHeight="false" outlineLevel="0" collapsed="false">
      <c r="A1582" s="62" t="n">
        <v>0</v>
      </c>
      <c r="B1582" s="62" t="s">
        <v>384</v>
      </c>
      <c r="C1582" s="62" t="s">
        <v>60</v>
      </c>
      <c r="D1582" s="62" t="s">
        <v>72</v>
      </c>
      <c r="E1582" s="62" t="s">
        <v>92</v>
      </c>
      <c r="F1582" s="63" t="s">
        <v>479</v>
      </c>
      <c r="G1582" s="64" t="n">
        <v>14.2857142857143</v>
      </c>
      <c r="H1582" s="62" t="s">
        <v>42</v>
      </c>
    </row>
    <row r="1583" customFormat="false" ht="15" hidden="false" customHeight="false" outlineLevel="0" collapsed="false">
      <c r="A1583" s="62" t="n">
        <v>0</v>
      </c>
      <c r="B1583" s="62" t="s">
        <v>385</v>
      </c>
      <c r="C1583" s="62" t="s">
        <v>60</v>
      </c>
      <c r="D1583" s="62" t="s">
        <v>72</v>
      </c>
      <c r="E1583" s="62" t="s">
        <v>92</v>
      </c>
      <c r="F1583" s="63" t="s">
        <v>479</v>
      </c>
      <c r="G1583" s="64" t="n">
        <v>14.2857142857143</v>
      </c>
      <c r="H1583" s="62" t="s">
        <v>42</v>
      </c>
    </row>
    <row r="1584" customFormat="false" ht="15" hidden="false" customHeight="false" outlineLevel="0" collapsed="false">
      <c r="A1584" s="62" t="n">
        <v>0</v>
      </c>
      <c r="B1584" s="62" t="s">
        <v>386</v>
      </c>
      <c r="C1584" s="62" t="s">
        <v>60</v>
      </c>
      <c r="D1584" s="62" t="s">
        <v>72</v>
      </c>
      <c r="E1584" s="62" t="s">
        <v>92</v>
      </c>
      <c r="F1584" s="63" t="s">
        <v>479</v>
      </c>
      <c r="G1584" s="64" t="n">
        <v>14.2857142857143</v>
      </c>
      <c r="H1584" s="62" t="s">
        <v>42</v>
      </c>
    </row>
    <row r="1585" customFormat="false" ht="15" hidden="false" customHeight="false" outlineLevel="0" collapsed="false">
      <c r="A1585" s="62" t="n">
        <v>0</v>
      </c>
      <c r="B1585" s="62" t="s">
        <v>387</v>
      </c>
      <c r="C1585" s="62" t="s">
        <v>60</v>
      </c>
      <c r="D1585" s="62" t="s">
        <v>72</v>
      </c>
      <c r="E1585" s="62" t="s">
        <v>92</v>
      </c>
      <c r="F1585" s="63" t="s">
        <v>479</v>
      </c>
      <c r="G1585" s="64" t="n">
        <v>14.2857142857143</v>
      </c>
      <c r="H1585" s="62" t="s">
        <v>42</v>
      </c>
    </row>
    <row r="1586" customFormat="false" ht="15" hidden="false" customHeight="false" outlineLevel="0" collapsed="false">
      <c r="A1586" s="62" t="n">
        <v>0</v>
      </c>
      <c r="B1586" s="62" t="s">
        <v>388</v>
      </c>
      <c r="C1586" s="62" t="s">
        <v>60</v>
      </c>
      <c r="D1586" s="62" t="s">
        <v>72</v>
      </c>
      <c r="E1586" s="62" t="s">
        <v>92</v>
      </c>
      <c r="F1586" s="63" t="s">
        <v>479</v>
      </c>
      <c r="G1586" s="64" t="n">
        <v>14.2857142857143</v>
      </c>
      <c r="H1586" s="62" t="s">
        <v>42</v>
      </c>
    </row>
    <row r="1587" customFormat="false" ht="15" hidden="false" customHeight="false" outlineLevel="0" collapsed="false">
      <c r="A1587" s="62" t="n">
        <v>0</v>
      </c>
      <c r="B1587" s="62" t="s">
        <v>381</v>
      </c>
      <c r="C1587" s="62" t="s">
        <v>60</v>
      </c>
      <c r="D1587" s="62" t="s">
        <v>72</v>
      </c>
      <c r="E1587" s="62" t="s">
        <v>94</v>
      </c>
      <c r="F1587" s="63" t="s">
        <v>479</v>
      </c>
      <c r="G1587" s="64" t="n">
        <v>0</v>
      </c>
      <c r="H1587" s="62" t="s">
        <v>42</v>
      </c>
    </row>
    <row r="1588" customFormat="false" ht="15" hidden="false" customHeight="false" outlineLevel="0" collapsed="false">
      <c r="A1588" s="62" t="n">
        <v>0</v>
      </c>
      <c r="B1588" s="62" t="s">
        <v>383</v>
      </c>
      <c r="C1588" s="62" t="s">
        <v>60</v>
      </c>
      <c r="D1588" s="62" t="s">
        <v>72</v>
      </c>
      <c r="E1588" s="62" t="s">
        <v>94</v>
      </c>
      <c r="F1588" s="63" t="s">
        <v>479</v>
      </c>
      <c r="G1588" s="64" t="n">
        <v>0</v>
      </c>
      <c r="H1588" s="62" t="s">
        <v>42</v>
      </c>
    </row>
    <row r="1589" customFormat="false" ht="15" hidden="false" customHeight="false" outlineLevel="0" collapsed="false">
      <c r="A1589" s="62" t="n">
        <v>0</v>
      </c>
      <c r="B1589" s="62" t="s">
        <v>384</v>
      </c>
      <c r="C1589" s="62" t="s">
        <v>60</v>
      </c>
      <c r="D1589" s="62" t="s">
        <v>72</v>
      </c>
      <c r="E1589" s="62" t="s">
        <v>94</v>
      </c>
      <c r="F1589" s="63" t="s">
        <v>479</v>
      </c>
      <c r="G1589" s="64" t="n">
        <v>0</v>
      </c>
      <c r="H1589" s="62" t="s">
        <v>42</v>
      </c>
    </row>
    <row r="1590" customFormat="false" ht="15" hidden="false" customHeight="false" outlineLevel="0" collapsed="false">
      <c r="A1590" s="62" t="n">
        <v>0</v>
      </c>
      <c r="B1590" s="62" t="s">
        <v>385</v>
      </c>
      <c r="C1590" s="62" t="s">
        <v>60</v>
      </c>
      <c r="D1590" s="62" t="s">
        <v>72</v>
      </c>
      <c r="E1590" s="62" t="s">
        <v>94</v>
      </c>
      <c r="F1590" s="63" t="s">
        <v>479</v>
      </c>
      <c r="G1590" s="64" t="n">
        <v>0</v>
      </c>
      <c r="H1590" s="62" t="s">
        <v>42</v>
      </c>
    </row>
    <row r="1591" customFormat="false" ht="15" hidden="false" customHeight="false" outlineLevel="0" collapsed="false">
      <c r="A1591" s="62" t="n">
        <v>0</v>
      </c>
      <c r="B1591" s="62" t="s">
        <v>386</v>
      </c>
      <c r="C1591" s="62" t="s">
        <v>60</v>
      </c>
      <c r="D1591" s="62" t="s">
        <v>72</v>
      </c>
      <c r="E1591" s="62" t="s">
        <v>94</v>
      </c>
      <c r="F1591" s="63" t="s">
        <v>479</v>
      </c>
      <c r="G1591" s="64" t="n">
        <v>0</v>
      </c>
      <c r="H1591" s="62" t="s">
        <v>42</v>
      </c>
    </row>
    <row r="1592" customFormat="false" ht="15" hidden="false" customHeight="false" outlineLevel="0" collapsed="false">
      <c r="A1592" s="62" t="n">
        <v>0</v>
      </c>
      <c r="B1592" s="62" t="s">
        <v>387</v>
      </c>
      <c r="C1592" s="62" t="s">
        <v>60</v>
      </c>
      <c r="D1592" s="62" t="s">
        <v>72</v>
      </c>
      <c r="E1592" s="62" t="s">
        <v>94</v>
      </c>
      <c r="F1592" s="63" t="s">
        <v>479</v>
      </c>
      <c r="G1592" s="64" t="n">
        <v>0</v>
      </c>
      <c r="H1592" s="62" t="s">
        <v>42</v>
      </c>
    </row>
    <row r="1593" customFormat="false" ht="15" hidden="false" customHeight="false" outlineLevel="0" collapsed="false">
      <c r="A1593" s="62" t="n">
        <v>0</v>
      </c>
      <c r="B1593" s="62" t="s">
        <v>388</v>
      </c>
      <c r="C1593" s="62" t="s">
        <v>60</v>
      </c>
      <c r="D1593" s="62" t="s">
        <v>72</v>
      </c>
      <c r="E1593" s="62" t="s">
        <v>94</v>
      </c>
      <c r="F1593" s="63" t="s">
        <v>479</v>
      </c>
      <c r="G1593" s="64" t="n">
        <v>0</v>
      </c>
      <c r="H1593" s="62" t="s">
        <v>42</v>
      </c>
    </row>
    <row r="1594" customFormat="false" ht="15" hidden="false" customHeight="false" outlineLevel="0" collapsed="false">
      <c r="A1594" s="62" t="n">
        <v>0</v>
      </c>
      <c r="B1594" s="62" t="s">
        <v>381</v>
      </c>
      <c r="C1594" s="62" t="s">
        <v>60</v>
      </c>
      <c r="D1594" s="62" t="s">
        <v>72</v>
      </c>
      <c r="E1594" s="62" t="s">
        <v>95</v>
      </c>
      <c r="F1594" s="63" t="s">
        <v>479</v>
      </c>
      <c r="G1594" s="64" t="n">
        <v>0</v>
      </c>
      <c r="H1594" s="62" t="s">
        <v>42</v>
      </c>
    </row>
    <row r="1595" customFormat="false" ht="15" hidden="false" customHeight="false" outlineLevel="0" collapsed="false">
      <c r="A1595" s="62" t="n">
        <v>0</v>
      </c>
      <c r="B1595" s="62" t="s">
        <v>383</v>
      </c>
      <c r="C1595" s="62" t="s">
        <v>60</v>
      </c>
      <c r="D1595" s="62" t="s">
        <v>72</v>
      </c>
      <c r="E1595" s="62" t="s">
        <v>95</v>
      </c>
      <c r="F1595" s="63" t="s">
        <v>479</v>
      </c>
      <c r="G1595" s="64" t="n">
        <v>0</v>
      </c>
      <c r="H1595" s="62" t="s">
        <v>42</v>
      </c>
    </row>
    <row r="1596" customFormat="false" ht="15" hidden="false" customHeight="false" outlineLevel="0" collapsed="false">
      <c r="A1596" s="62" t="n">
        <v>0</v>
      </c>
      <c r="B1596" s="62" t="s">
        <v>384</v>
      </c>
      <c r="C1596" s="62" t="s">
        <v>60</v>
      </c>
      <c r="D1596" s="62" t="s">
        <v>72</v>
      </c>
      <c r="E1596" s="62" t="s">
        <v>95</v>
      </c>
      <c r="F1596" s="63" t="s">
        <v>479</v>
      </c>
      <c r="G1596" s="64" t="n">
        <v>0</v>
      </c>
      <c r="H1596" s="62" t="s">
        <v>42</v>
      </c>
    </row>
    <row r="1597" customFormat="false" ht="15" hidden="false" customHeight="false" outlineLevel="0" collapsed="false">
      <c r="A1597" s="62" t="n">
        <v>0</v>
      </c>
      <c r="B1597" s="62" t="s">
        <v>385</v>
      </c>
      <c r="C1597" s="62" t="s">
        <v>60</v>
      </c>
      <c r="D1597" s="62" t="s">
        <v>72</v>
      </c>
      <c r="E1597" s="62" t="s">
        <v>95</v>
      </c>
      <c r="F1597" s="63" t="s">
        <v>479</v>
      </c>
      <c r="G1597" s="64" t="n">
        <v>0</v>
      </c>
      <c r="H1597" s="62" t="s">
        <v>42</v>
      </c>
    </row>
    <row r="1598" customFormat="false" ht="15" hidden="false" customHeight="false" outlineLevel="0" collapsed="false">
      <c r="A1598" s="62" t="n">
        <v>0</v>
      </c>
      <c r="B1598" s="62" t="s">
        <v>386</v>
      </c>
      <c r="C1598" s="62" t="s">
        <v>60</v>
      </c>
      <c r="D1598" s="62" t="s">
        <v>72</v>
      </c>
      <c r="E1598" s="62" t="s">
        <v>95</v>
      </c>
      <c r="F1598" s="63" t="s">
        <v>479</v>
      </c>
      <c r="G1598" s="64" t="n">
        <v>0</v>
      </c>
      <c r="H1598" s="62" t="s">
        <v>42</v>
      </c>
    </row>
    <row r="1599" customFormat="false" ht="15" hidden="false" customHeight="false" outlineLevel="0" collapsed="false">
      <c r="A1599" s="62" t="n">
        <v>0</v>
      </c>
      <c r="B1599" s="62" t="s">
        <v>387</v>
      </c>
      <c r="C1599" s="62" t="s">
        <v>60</v>
      </c>
      <c r="D1599" s="62" t="s">
        <v>72</v>
      </c>
      <c r="E1599" s="62" t="s">
        <v>95</v>
      </c>
      <c r="F1599" s="63" t="s">
        <v>479</v>
      </c>
      <c r="G1599" s="64" t="n">
        <v>0</v>
      </c>
      <c r="H1599" s="62" t="s">
        <v>42</v>
      </c>
    </row>
    <row r="1600" customFormat="false" ht="15" hidden="false" customHeight="false" outlineLevel="0" collapsed="false">
      <c r="A1600" s="62" t="n">
        <v>0</v>
      </c>
      <c r="B1600" s="62" t="s">
        <v>388</v>
      </c>
      <c r="C1600" s="62" t="s">
        <v>60</v>
      </c>
      <c r="D1600" s="62" t="s">
        <v>72</v>
      </c>
      <c r="E1600" s="62" t="s">
        <v>95</v>
      </c>
      <c r="F1600" s="63" t="s">
        <v>479</v>
      </c>
      <c r="G1600" s="64" t="n">
        <v>0</v>
      </c>
      <c r="H1600" s="62" t="s">
        <v>42</v>
      </c>
    </row>
    <row r="1601" customFormat="false" ht="15" hidden="false" customHeight="false" outlineLevel="0" collapsed="false">
      <c r="A1601" s="62" t="n">
        <v>0</v>
      </c>
      <c r="B1601" s="62" t="s">
        <v>381</v>
      </c>
      <c r="C1601" s="62" t="s">
        <v>60</v>
      </c>
      <c r="D1601" s="62" t="s">
        <v>72</v>
      </c>
      <c r="E1601" s="62" t="s">
        <v>97</v>
      </c>
      <c r="F1601" s="63" t="s">
        <v>479</v>
      </c>
      <c r="G1601" s="64" t="n">
        <v>0</v>
      </c>
      <c r="H1601" s="62" t="s">
        <v>42</v>
      </c>
    </row>
    <row r="1602" customFormat="false" ht="15" hidden="false" customHeight="false" outlineLevel="0" collapsed="false">
      <c r="A1602" s="62" t="n">
        <v>0</v>
      </c>
      <c r="B1602" s="62" t="s">
        <v>383</v>
      </c>
      <c r="C1602" s="62" t="s">
        <v>60</v>
      </c>
      <c r="D1602" s="62" t="s">
        <v>72</v>
      </c>
      <c r="E1602" s="62" t="s">
        <v>97</v>
      </c>
      <c r="F1602" s="63" t="s">
        <v>479</v>
      </c>
      <c r="G1602" s="64" t="n">
        <v>0</v>
      </c>
      <c r="H1602" s="62" t="s">
        <v>42</v>
      </c>
    </row>
    <row r="1603" customFormat="false" ht="15" hidden="false" customHeight="false" outlineLevel="0" collapsed="false">
      <c r="A1603" s="62" t="n">
        <v>0</v>
      </c>
      <c r="B1603" s="62" t="s">
        <v>384</v>
      </c>
      <c r="C1603" s="62" t="s">
        <v>60</v>
      </c>
      <c r="D1603" s="62" t="s">
        <v>72</v>
      </c>
      <c r="E1603" s="62" t="s">
        <v>97</v>
      </c>
      <c r="F1603" s="63" t="s">
        <v>479</v>
      </c>
      <c r="G1603" s="64" t="n">
        <v>0</v>
      </c>
      <c r="H1603" s="62" t="s">
        <v>42</v>
      </c>
    </row>
    <row r="1604" customFormat="false" ht="15" hidden="false" customHeight="false" outlineLevel="0" collapsed="false">
      <c r="A1604" s="62" t="n">
        <v>0</v>
      </c>
      <c r="B1604" s="62" t="s">
        <v>385</v>
      </c>
      <c r="C1604" s="62" t="s">
        <v>60</v>
      </c>
      <c r="D1604" s="62" t="s">
        <v>72</v>
      </c>
      <c r="E1604" s="62" t="s">
        <v>97</v>
      </c>
      <c r="F1604" s="63" t="s">
        <v>479</v>
      </c>
      <c r="G1604" s="64" t="n">
        <v>0</v>
      </c>
      <c r="H1604" s="62" t="s">
        <v>42</v>
      </c>
    </row>
    <row r="1605" customFormat="false" ht="15" hidden="false" customHeight="false" outlineLevel="0" collapsed="false">
      <c r="A1605" s="62" t="n">
        <v>0</v>
      </c>
      <c r="B1605" s="62" t="s">
        <v>386</v>
      </c>
      <c r="C1605" s="62" t="s">
        <v>60</v>
      </c>
      <c r="D1605" s="62" t="s">
        <v>72</v>
      </c>
      <c r="E1605" s="62" t="s">
        <v>97</v>
      </c>
      <c r="F1605" s="63" t="s">
        <v>479</v>
      </c>
      <c r="G1605" s="64" t="n">
        <v>0</v>
      </c>
      <c r="H1605" s="62" t="s">
        <v>42</v>
      </c>
    </row>
    <row r="1606" customFormat="false" ht="15" hidden="false" customHeight="false" outlineLevel="0" collapsed="false">
      <c r="A1606" s="62" t="n">
        <v>0</v>
      </c>
      <c r="B1606" s="62" t="s">
        <v>387</v>
      </c>
      <c r="C1606" s="62" t="s">
        <v>60</v>
      </c>
      <c r="D1606" s="62" t="s">
        <v>72</v>
      </c>
      <c r="E1606" s="62" t="s">
        <v>97</v>
      </c>
      <c r="F1606" s="63" t="s">
        <v>479</v>
      </c>
      <c r="G1606" s="64" t="n">
        <v>0</v>
      </c>
      <c r="H1606" s="62" t="s">
        <v>42</v>
      </c>
    </row>
    <row r="1607" customFormat="false" ht="15" hidden="false" customHeight="false" outlineLevel="0" collapsed="false">
      <c r="A1607" s="62" t="n">
        <v>0</v>
      </c>
      <c r="B1607" s="62" t="s">
        <v>388</v>
      </c>
      <c r="C1607" s="62" t="s">
        <v>60</v>
      </c>
      <c r="D1607" s="62" t="s">
        <v>72</v>
      </c>
      <c r="E1607" s="62" t="s">
        <v>97</v>
      </c>
      <c r="F1607" s="63" t="s">
        <v>479</v>
      </c>
      <c r="G1607" s="64" t="n">
        <v>0</v>
      </c>
      <c r="H1607" s="62" t="s">
        <v>42</v>
      </c>
    </row>
    <row r="1608" customFormat="false" ht="15" hidden="false" customHeight="false" outlineLevel="0" collapsed="false">
      <c r="A1608" s="62" t="n">
        <v>0</v>
      </c>
      <c r="B1608" s="62" t="s">
        <v>381</v>
      </c>
      <c r="C1608" s="62" t="s">
        <v>60</v>
      </c>
      <c r="D1608" s="62" t="s">
        <v>72</v>
      </c>
      <c r="E1608" s="62" t="s">
        <v>382</v>
      </c>
      <c r="F1608" s="63" t="s">
        <v>486</v>
      </c>
      <c r="G1608" s="64" t="n">
        <v>14.2857142857143</v>
      </c>
      <c r="H1608" s="62" t="s">
        <v>42</v>
      </c>
    </row>
    <row r="1609" customFormat="false" ht="15" hidden="false" customHeight="false" outlineLevel="0" collapsed="false">
      <c r="A1609" s="62" t="n">
        <v>0</v>
      </c>
      <c r="B1609" s="62" t="s">
        <v>383</v>
      </c>
      <c r="C1609" s="62" t="s">
        <v>60</v>
      </c>
      <c r="D1609" s="62" t="s">
        <v>72</v>
      </c>
      <c r="E1609" s="62" t="s">
        <v>382</v>
      </c>
      <c r="F1609" s="63" t="s">
        <v>486</v>
      </c>
      <c r="G1609" s="64" t="n">
        <v>14.2857142857143</v>
      </c>
      <c r="H1609" s="62" t="s">
        <v>42</v>
      </c>
    </row>
    <row r="1610" customFormat="false" ht="15" hidden="false" customHeight="false" outlineLevel="0" collapsed="false">
      <c r="A1610" s="62" t="n">
        <v>0</v>
      </c>
      <c r="B1610" s="62" t="s">
        <v>384</v>
      </c>
      <c r="C1610" s="62" t="s">
        <v>60</v>
      </c>
      <c r="D1610" s="62" t="s">
        <v>72</v>
      </c>
      <c r="E1610" s="62" t="s">
        <v>382</v>
      </c>
      <c r="F1610" s="63" t="s">
        <v>486</v>
      </c>
      <c r="G1610" s="64" t="n">
        <v>14.2857142857143</v>
      </c>
      <c r="H1610" s="62" t="s">
        <v>42</v>
      </c>
    </row>
    <row r="1611" customFormat="false" ht="15" hidden="false" customHeight="false" outlineLevel="0" collapsed="false">
      <c r="A1611" s="62" t="n">
        <v>0</v>
      </c>
      <c r="B1611" s="62" t="s">
        <v>385</v>
      </c>
      <c r="C1611" s="62" t="s">
        <v>60</v>
      </c>
      <c r="D1611" s="62" t="s">
        <v>72</v>
      </c>
      <c r="E1611" s="62" t="s">
        <v>382</v>
      </c>
      <c r="F1611" s="63" t="s">
        <v>486</v>
      </c>
      <c r="G1611" s="64" t="n">
        <v>14.2857142857143</v>
      </c>
      <c r="H1611" s="62" t="s">
        <v>42</v>
      </c>
    </row>
    <row r="1612" customFormat="false" ht="15" hidden="false" customHeight="false" outlineLevel="0" collapsed="false">
      <c r="A1612" s="62" t="n">
        <v>0</v>
      </c>
      <c r="B1612" s="62" t="s">
        <v>386</v>
      </c>
      <c r="C1612" s="62" t="s">
        <v>60</v>
      </c>
      <c r="D1612" s="62" t="s">
        <v>72</v>
      </c>
      <c r="E1612" s="62" t="s">
        <v>382</v>
      </c>
      <c r="F1612" s="63" t="s">
        <v>486</v>
      </c>
      <c r="G1612" s="64" t="n">
        <v>14.2857142857143</v>
      </c>
      <c r="H1612" s="62" t="s">
        <v>42</v>
      </c>
    </row>
    <row r="1613" customFormat="false" ht="15" hidden="false" customHeight="false" outlineLevel="0" collapsed="false">
      <c r="A1613" s="62" t="n">
        <v>0</v>
      </c>
      <c r="B1613" s="62" t="s">
        <v>387</v>
      </c>
      <c r="C1613" s="62" t="s">
        <v>60</v>
      </c>
      <c r="D1613" s="62" t="s">
        <v>72</v>
      </c>
      <c r="E1613" s="62" t="s">
        <v>382</v>
      </c>
      <c r="F1613" s="63" t="s">
        <v>486</v>
      </c>
      <c r="G1613" s="64" t="n">
        <v>14.2857142857143</v>
      </c>
      <c r="H1613" s="62" t="s">
        <v>42</v>
      </c>
    </row>
    <row r="1614" customFormat="false" ht="15" hidden="false" customHeight="false" outlineLevel="0" collapsed="false">
      <c r="A1614" s="62" t="n">
        <v>0</v>
      </c>
      <c r="B1614" s="62" t="s">
        <v>388</v>
      </c>
      <c r="C1614" s="62" t="s">
        <v>60</v>
      </c>
      <c r="D1614" s="62" t="s">
        <v>72</v>
      </c>
      <c r="E1614" s="62" t="s">
        <v>382</v>
      </c>
      <c r="F1614" s="63" t="s">
        <v>486</v>
      </c>
      <c r="G1614" s="64" t="n">
        <v>14.2857142857143</v>
      </c>
      <c r="H1614" s="62" t="s">
        <v>42</v>
      </c>
    </row>
    <row r="1615" customFormat="false" ht="15" hidden="false" customHeight="false" outlineLevel="0" collapsed="false">
      <c r="A1615" s="62" t="n">
        <v>0</v>
      </c>
      <c r="B1615" s="62" t="s">
        <v>381</v>
      </c>
      <c r="C1615" s="62" t="s">
        <v>60</v>
      </c>
      <c r="D1615" s="62" t="s">
        <v>382</v>
      </c>
      <c r="E1615" s="62" t="s">
        <v>382</v>
      </c>
      <c r="F1615" s="63" t="s">
        <v>489</v>
      </c>
      <c r="G1615" s="64" t="n">
        <v>5000</v>
      </c>
      <c r="H1615" s="62"/>
    </row>
    <row r="1616" customFormat="false" ht="15" hidden="false" customHeight="false" outlineLevel="0" collapsed="false">
      <c r="A1616" s="62" t="n">
        <v>0</v>
      </c>
      <c r="B1616" s="62" t="s">
        <v>383</v>
      </c>
      <c r="C1616" s="62" t="s">
        <v>60</v>
      </c>
      <c r="D1616" s="62" t="s">
        <v>382</v>
      </c>
      <c r="E1616" s="62" t="s">
        <v>382</v>
      </c>
      <c r="F1616" s="63" t="s">
        <v>489</v>
      </c>
      <c r="G1616" s="64" t="n">
        <v>5000</v>
      </c>
      <c r="H1616" s="62"/>
    </row>
    <row r="1617" customFormat="false" ht="15" hidden="false" customHeight="false" outlineLevel="0" collapsed="false">
      <c r="A1617" s="62" t="n">
        <v>0</v>
      </c>
      <c r="B1617" s="62" t="s">
        <v>384</v>
      </c>
      <c r="C1617" s="62" t="s">
        <v>60</v>
      </c>
      <c r="D1617" s="62" t="s">
        <v>382</v>
      </c>
      <c r="E1617" s="62" t="s">
        <v>382</v>
      </c>
      <c r="F1617" s="63" t="s">
        <v>489</v>
      </c>
      <c r="G1617" s="64" t="n">
        <v>5000</v>
      </c>
      <c r="H1617" s="62"/>
    </row>
    <row r="1618" customFormat="false" ht="15" hidden="false" customHeight="false" outlineLevel="0" collapsed="false">
      <c r="A1618" s="62" t="n">
        <v>0</v>
      </c>
      <c r="B1618" s="62" t="s">
        <v>385</v>
      </c>
      <c r="C1618" s="62" t="s">
        <v>60</v>
      </c>
      <c r="D1618" s="62" t="s">
        <v>382</v>
      </c>
      <c r="E1618" s="62" t="s">
        <v>382</v>
      </c>
      <c r="F1618" s="63" t="s">
        <v>489</v>
      </c>
      <c r="G1618" s="64" t="n">
        <v>5000</v>
      </c>
      <c r="H1618" s="62"/>
    </row>
    <row r="1619" customFormat="false" ht="15" hidden="false" customHeight="false" outlineLevel="0" collapsed="false">
      <c r="A1619" s="62" t="n">
        <v>0</v>
      </c>
      <c r="B1619" s="62" t="s">
        <v>386</v>
      </c>
      <c r="C1619" s="62" t="s">
        <v>60</v>
      </c>
      <c r="D1619" s="62" t="s">
        <v>382</v>
      </c>
      <c r="E1619" s="62" t="s">
        <v>382</v>
      </c>
      <c r="F1619" s="63" t="s">
        <v>489</v>
      </c>
      <c r="G1619" s="64" t="n">
        <v>5000</v>
      </c>
      <c r="H1619" s="62"/>
    </row>
    <row r="1620" customFormat="false" ht="15" hidden="false" customHeight="false" outlineLevel="0" collapsed="false">
      <c r="A1620" s="62" t="n">
        <v>0</v>
      </c>
      <c r="B1620" s="62" t="s">
        <v>387</v>
      </c>
      <c r="C1620" s="62" t="s">
        <v>60</v>
      </c>
      <c r="D1620" s="62" t="s">
        <v>382</v>
      </c>
      <c r="E1620" s="62" t="s">
        <v>382</v>
      </c>
      <c r="F1620" s="63" t="s">
        <v>489</v>
      </c>
      <c r="G1620" s="64" t="n">
        <v>5000</v>
      </c>
      <c r="H1620" s="62"/>
    </row>
    <row r="1621" customFormat="false" ht="15" hidden="false" customHeight="false" outlineLevel="0" collapsed="false">
      <c r="A1621" s="62" t="n">
        <v>0</v>
      </c>
      <c r="B1621" s="62" t="s">
        <v>388</v>
      </c>
      <c r="C1621" s="62" t="s">
        <v>60</v>
      </c>
      <c r="D1621" s="62" t="s">
        <v>382</v>
      </c>
      <c r="E1621" s="62" t="s">
        <v>382</v>
      </c>
      <c r="F1621" s="63" t="s">
        <v>489</v>
      </c>
      <c r="G1621" s="64" t="n">
        <v>5000</v>
      </c>
      <c r="H1621" s="62"/>
    </row>
    <row r="1622" customFormat="false" ht="15" hidden="false" customHeight="false" outlineLevel="0" collapsed="false">
      <c r="A1622" s="62" t="n">
        <v>0</v>
      </c>
      <c r="B1622" s="62" t="s">
        <v>381</v>
      </c>
      <c r="C1622" s="62" t="s">
        <v>60</v>
      </c>
      <c r="D1622" s="62" t="s">
        <v>382</v>
      </c>
      <c r="E1622" s="62" t="s">
        <v>382</v>
      </c>
      <c r="F1622" s="63" t="s">
        <v>490</v>
      </c>
      <c r="G1622" s="64" t="n">
        <v>500</v>
      </c>
      <c r="H1622" s="62"/>
    </row>
    <row r="1623" customFormat="false" ht="15" hidden="false" customHeight="false" outlineLevel="0" collapsed="false">
      <c r="A1623" s="62" t="n">
        <v>0</v>
      </c>
      <c r="B1623" s="62" t="s">
        <v>383</v>
      </c>
      <c r="C1623" s="62" t="s">
        <v>60</v>
      </c>
      <c r="D1623" s="62" t="s">
        <v>382</v>
      </c>
      <c r="E1623" s="62" t="s">
        <v>382</v>
      </c>
      <c r="F1623" s="63" t="s">
        <v>490</v>
      </c>
      <c r="G1623" s="64" t="n">
        <v>500</v>
      </c>
      <c r="H1623" s="62"/>
    </row>
    <row r="1624" customFormat="false" ht="15" hidden="false" customHeight="false" outlineLevel="0" collapsed="false">
      <c r="A1624" s="62" t="n">
        <v>0</v>
      </c>
      <c r="B1624" s="62" t="s">
        <v>384</v>
      </c>
      <c r="C1624" s="62" t="s">
        <v>60</v>
      </c>
      <c r="D1624" s="62" t="s">
        <v>382</v>
      </c>
      <c r="E1624" s="62" t="s">
        <v>382</v>
      </c>
      <c r="F1624" s="63" t="s">
        <v>490</v>
      </c>
      <c r="G1624" s="64" t="n">
        <v>500</v>
      </c>
      <c r="H1624" s="62"/>
    </row>
    <row r="1625" customFormat="false" ht="15" hidden="false" customHeight="false" outlineLevel="0" collapsed="false">
      <c r="A1625" s="62" t="n">
        <v>0</v>
      </c>
      <c r="B1625" s="62" t="s">
        <v>385</v>
      </c>
      <c r="C1625" s="62" t="s">
        <v>60</v>
      </c>
      <c r="D1625" s="62" t="s">
        <v>382</v>
      </c>
      <c r="E1625" s="62" t="s">
        <v>382</v>
      </c>
      <c r="F1625" s="63" t="s">
        <v>490</v>
      </c>
      <c r="G1625" s="64" t="n">
        <v>500</v>
      </c>
      <c r="H1625" s="62"/>
    </row>
    <row r="1626" customFormat="false" ht="15" hidden="false" customHeight="false" outlineLevel="0" collapsed="false">
      <c r="A1626" s="62" t="n">
        <v>0</v>
      </c>
      <c r="B1626" s="62" t="s">
        <v>386</v>
      </c>
      <c r="C1626" s="62" t="s">
        <v>60</v>
      </c>
      <c r="D1626" s="62" t="s">
        <v>382</v>
      </c>
      <c r="E1626" s="62" t="s">
        <v>382</v>
      </c>
      <c r="F1626" s="63" t="s">
        <v>490</v>
      </c>
      <c r="G1626" s="64" t="n">
        <v>500</v>
      </c>
      <c r="H1626" s="62"/>
    </row>
    <row r="1627" customFormat="false" ht="15" hidden="false" customHeight="false" outlineLevel="0" collapsed="false">
      <c r="A1627" s="62" t="n">
        <v>0</v>
      </c>
      <c r="B1627" s="62" t="s">
        <v>387</v>
      </c>
      <c r="C1627" s="62" t="s">
        <v>60</v>
      </c>
      <c r="D1627" s="62" t="s">
        <v>382</v>
      </c>
      <c r="E1627" s="62" t="s">
        <v>382</v>
      </c>
      <c r="F1627" s="63" t="s">
        <v>490</v>
      </c>
      <c r="G1627" s="64" t="n">
        <v>500</v>
      </c>
      <c r="H1627" s="62"/>
    </row>
    <row r="1628" customFormat="false" ht="15" hidden="false" customHeight="false" outlineLevel="0" collapsed="false">
      <c r="A1628" s="62" t="n">
        <v>0</v>
      </c>
      <c r="B1628" s="62" t="s">
        <v>388</v>
      </c>
      <c r="C1628" s="62" t="s">
        <v>60</v>
      </c>
      <c r="D1628" s="62" t="s">
        <v>382</v>
      </c>
      <c r="E1628" s="62" t="s">
        <v>382</v>
      </c>
      <c r="F1628" s="63" t="s">
        <v>490</v>
      </c>
      <c r="G1628" s="64" t="n">
        <v>500</v>
      </c>
      <c r="H1628" s="62"/>
    </row>
    <row r="1629" customFormat="false" ht="15" hidden="false" customHeight="false" outlineLevel="0" collapsed="false">
      <c r="A1629" s="62" t="n">
        <v>0</v>
      </c>
      <c r="B1629" s="62" t="s">
        <v>381</v>
      </c>
      <c r="C1629" s="62" t="s">
        <v>60</v>
      </c>
      <c r="D1629" s="62" t="s">
        <v>382</v>
      </c>
      <c r="E1629" s="62" t="s">
        <v>382</v>
      </c>
      <c r="F1629" s="63" t="s">
        <v>491</v>
      </c>
      <c r="G1629" s="64" t="n">
        <v>56</v>
      </c>
      <c r="H1629" s="62"/>
    </row>
    <row r="1630" customFormat="false" ht="15" hidden="false" customHeight="false" outlineLevel="0" collapsed="false">
      <c r="A1630" s="62" t="n">
        <v>0</v>
      </c>
      <c r="B1630" s="62" t="s">
        <v>383</v>
      </c>
      <c r="C1630" s="62" t="s">
        <v>60</v>
      </c>
      <c r="D1630" s="62" t="s">
        <v>382</v>
      </c>
      <c r="E1630" s="62" t="s">
        <v>382</v>
      </c>
      <c r="F1630" s="63" t="s">
        <v>491</v>
      </c>
      <c r="G1630" s="64" t="n">
        <v>56</v>
      </c>
      <c r="H1630" s="62"/>
    </row>
    <row r="1631" customFormat="false" ht="15" hidden="false" customHeight="false" outlineLevel="0" collapsed="false">
      <c r="A1631" s="62" t="n">
        <v>0</v>
      </c>
      <c r="B1631" s="62" t="s">
        <v>384</v>
      </c>
      <c r="C1631" s="62" t="s">
        <v>60</v>
      </c>
      <c r="D1631" s="62" t="s">
        <v>382</v>
      </c>
      <c r="E1631" s="62" t="s">
        <v>382</v>
      </c>
      <c r="F1631" s="63" t="s">
        <v>491</v>
      </c>
      <c r="G1631" s="64" t="n">
        <v>56</v>
      </c>
      <c r="H1631" s="62"/>
    </row>
    <row r="1632" customFormat="false" ht="15" hidden="false" customHeight="false" outlineLevel="0" collapsed="false">
      <c r="A1632" s="62" t="n">
        <v>0</v>
      </c>
      <c r="B1632" s="62" t="s">
        <v>385</v>
      </c>
      <c r="C1632" s="62" t="s">
        <v>60</v>
      </c>
      <c r="D1632" s="62" t="s">
        <v>382</v>
      </c>
      <c r="E1632" s="62" t="s">
        <v>382</v>
      </c>
      <c r="F1632" s="63" t="s">
        <v>491</v>
      </c>
      <c r="G1632" s="64" t="n">
        <v>56</v>
      </c>
      <c r="H1632" s="62"/>
    </row>
    <row r="1633" customFormat="false" ht="15" hidden="false" customHeight="false" outlineLevel="0" collapsed="false">
      <c r="A1633" s="62" t="n">
        <v>0</v>
      </c>
      <c r="B1633" s="62" t="s">
        <v>386</v>
      </c>
      <c r="C1633" s="62" t="s">
        <v>60</v>
      </c>
      <c r="D1633" s="62" t="s">
        <v>382</v>
      </c>
      <c r="E1633" s="62" t="s">
        <v>382</v>
      </c>
      <c r="F1633" s="63" t="s">
        <v>491</v>
      </c>
      <c r="G1633" s="64" t="n">
        <v>56</v>
      </c>
      <c r="H1633" s="62"/>
    </row>
    <row r="1634" customFormat="false" ht="15" hidden="false" customHeight="false" outlineLevel="0" collapsed="false">
      <c r="A1634" s="62" t="n">
        <v>0</v>
      </c>
      <c r="B1634" s="62" t="s">
        <v>387</v>
      </c>
      <c r="C1634" s="62" t="s">
        <v>60</v>
      </c>
      <c r="D1634" s="62" t="s">
        <v>382</v>
      </c>
      <c r="E1634" s="62" t="s">
        <v>382</v>
      </c>
      <c r="F1634" s="63" t="s">
        <v>491</v>
      </c>
      <c r="G1634" s="64" t="n">
        <v>56</v>
      </c>
      <c r="H1634" s="62"/>
    </row>
    <row r="1635" customFormat="false" ht="15" hidden="false" customHeight="false" outlineLevel="0" collapsed="false">
      <c r="A1635" s="62" t="n">
        <v>0</v>
      </c>
      <c r="B1635" s="62" t="s">
        <v>388</v>
      </c>
      <c r="C1635" s="62" t="s">
        <v>60</v>
      </c>
      <c r="D1635" s="62" t="s">
        <v>382</v>
      </c>
      <c r="E1635" s="62" t="s">
        <v>382</v>
      </c>
      <c r="F1635" s="63" t="s">
        <v>491</v>
      </c>
      <c r="G1635" s="64" t="n">
        <v>56</v>
      </c>
      <c r="H1635" s="62"/>
    </row>
    <row r="1636" customFormat="false" ht="15" hidden="false" customHeight="false" outlineLevel="0" collapsed="false">
      <c r="A1636" s="62" t="n">
        <v>0</v>
      </c>
      <c r="B1636" s="62" t="s">
        <v>381</v>
      </c>
      <c r="C1636" s="62" t="s">
        <v>60</v>
      </c>
      <c r="D1636" s="62" t="s">
        <v>382</v>
      </c>
      <c r="E1636" s="62" t="s">
        <v>382</v>
      </c>
      <c r="F1636" s="63" t="s">
        <v>492</v>
      </c>
      <c r="G1636" s="64" t="n">
        <v>1.02893235439932</v>
      </c>
      <c r="H1636" s="62"/>
    </row>
    <row r="1637" customFormat="false" ht="15" hidden="false" customHeight="false" outlineLevel="0" collapsed="false">
      <c r="A1637" s="62" t="n">
        <v>0</v>
      </c>
      <c r="B1637" s="62" t="s">
        <v>383</v>
      </c>
      <c r="C1637" s="62" t="s">
        <v>60</v>
      </c>
      <c r="D1637" s="62" t="s">
        <v>382</v>
      </c>
      <c r="E1637" s="62" t="s">
        <v>382</v>
      </c>
      <c r="F1637" s="63" t="s">
        <v>492</v>
      </c>
      <c r="G1637" s="64" t="n">
        <v>1.02893235439932</v>
      </c>
      <c r="H1637" s="62"/>
    </row>
    <row r="1638" customFormat="false" ht="15" hidden="false" customHeight="false" outlineLevel="0" collapsed="false">
      <c r="A1638" s="62" t="n">
        <v>0</v>
      </c>
      <c r="B1638" s="62" t="s">
        <v>384</v>
      </c>
      <c r="C1638" s="62" t="s">
        <v>60</v>
      </c>
      <c r="D1638" s="62" t="s">
        <v>382</v>
      </c>
      <c r="E1638" s="62" t="s">
        <v>382</v>
      </c>
      <c r="F1638" s="63" t="s">
        <v>492</v>
      </c>
      <c r="G1638" s="64" t="n">
        <v>1.02893235439932</v>
      </c>
      <c r="H1638" s="62"/>
    </row>
    <row r="1639" customFormat="false" ht="15" hidden="false" customHeight="false" outlineLevel="0" collapsed="false">
      <c r="A1639" s="62" t="n">
        <v>0</v>
      </c>
      <c r="B1639" s="62" t="s">
        <v>385</v>
      </c>
      <c r="C1639" s="62" t="s">
        <v>60</v>
      </c>
      <c r="D1639" s="62" t="s">
        <v>382</v>
      </c>
      <c r="E1639" s="62" t="s">
        <v>382</v>
      </c>
      <c r="F1639" s="63" t="s">
        <v>492</v>
      </c>
      <c r="G1639" s="64" t="n">
        <v>1.02893235439932</v>
      </c>
      <c r="H1639" s="62"/>
    </row>
    <row r="1640" customFormat="false" ht="15" hidden="false" customHeight="false" outlineLevel="0" collapsed="false">
      <c r="A1640" s="62" t="n">
        <v>0</v>
      </c>
      <c r="B1640" s="62" t="s">
        <v>386</v>
      </c>
      <c r="C1640" s="62" t="s">
        <v>60</v>
      </c>
      <c r="D1640" s="62" t="s">
        <v>382</v>
      </c>
      <c r="E1640" s="62" t="s">
        <v>382</v>
      </c>
      <c r="F1640" s="63" t="s">
        <v>492</v>
      </c>
      <c r="G1640" s="64" t="n">
        <v>1.02893235439932</v>
      </c>
      <c r="H1640" s="62"/>
    </row>
    <row r="1641" customFormat="false" ht="15" hidden="false" customHeight="false" outlineLevel="0" collapsed="false">
      <c r="A1641" s="62" t="n">
        <v>0</v>
      </c>
      <c r="B1641" s="62" t="s">
        <v>387</v>
      </c>
      <c r="C1641" s="62" t="s">
        <v>60</v>
      </c>
      <c r="D1641" s="62" t="s">
        <v>382</v>
      </c>
      <c r="E1641" s="62" t="s">
        <v>382</v>
      </c>
      <c r="F1641" s="63" t="s">
        <v>492</v>
      </c>
      <c r="G1641" s="64" t="n">
        <v>1.02893235439932</v>
      </c>
      <c r="H1641" s="62"/>
    </row>
    <row r="1642" customFormat="false" ht="15" hidden="false" customHeight="false" outlineLevel="0" collapsed="false">
      <c r="A1642" s="62" t="n">
        <v>0</v>
      </c>
      <c r="B1642" s="62" t="s">
        <v>388</v>
      </c>
      <c r="C1642" s="62" t="s">
        <v>60</v>
      </c>
      <c r="D1642" s="62" t="s">
        <v>382</v>
      </c>
      <c r="E1642" s="62" t="s">
        <v>382</v>
      </c>
      <c r="F1642" s="63" t="s">
        <v>492</v>
      </c>
      <c r="G1642" s="64" t="n">
        <v>1.02893235439932</v>
      </c>
      <c r="H1642" s="62"/>
    </row>
    <row r="1643" customFormat="false" ht="15" hidden="false" customHeight="false" outlineLevel="0" collapsed="false">
      <c r="A1643" s="62" t="n">
        <v>0</v>
      </c>
      <c r="B1643" s="62" t="s">
        <v>381</v>
      </c>
      <c r="C1643" s="62" t="s">
        <v>60</v>
      </c>
      <c r="D1643" s="62" t="s">
        <v>382</v>
      </c>
      <c r="E1643" s="62" t="s">
        <v>382</v>
      </c>
      <c r="F1643" s="63" t="s">
        <v>493</v>
      </c>
      <c r="G1643" s="64" t="n">
        <v>5000</v>
      </c>
      <c r="H1643" s="62"/>
    </row>
    <row r="1644" customFormat="false" ht="15" hidden="false" customHeight="false" outlineLevel="0" collapsed="false">
      <c r="A1644" s="62" t="n">
        <v>0</v>
      </c>
      <c r="B1644" s="62" t="s">
        <v>383</v>
      </c>
      <c r="C1644" s="62" t="s">
        <v>60</v>
      </c>
      <c r="D1644" s="62" t="s">
        <v>382</v>
      </c>
      <c r="E1644" s="62" t="s">
        <v>382</v>
      </c>
      <c r="F1644" s="63" t="s">
        <v>493</v>
      </c>
      <c r="G1644" s="64" t="n">
        <v>5000</v>
      </c>
      <c r="H1644" s="62"/>
    </row>
    <row r="1645" customFormat="false" ht="15" hidden="false" customHeight="false" outlineLevel="0" collapsed="false">
      <c r="A1645" s="62" t="n">
        <v>0</v>
      </c>
      <c r="B1645" s="62" t="s">
        <v>384</v>
      </c>
      <c r="C1645" s="62" t="s">
        <v>60</v>
      </c>
      <c r="D1645" s="62" t="s">
        <v>382</v>
      </c>
      <c r="E1645" s="62" t="s">
        <v>382</v>
      </c>
      <c r="F1645" s="63" t="s">
        <v>493</v>
      </c>
      <c r="G1645" s="64" t="n">
        <v>5000</v>
      </c>
      <c r="H1645" s="62"/>
    </row>
    <row r="1646" customFormat="false" ht="15" hidden="false" customHeight="false" outlineLevel="0" collapsed="false">
      <c r="A1646" s="62" t="n">
        <v>0</v>
      </c>
      <c r="B1646" s="62" t="s">
        <v>385</v>
      </c>
      <c r="C1646" s="62" t="s">
        <v>60</v>
      </c>
      <c r="D1646" s="62" t="s">
        <v>382</v>
      </c>
      <c r="E1646" s="62" t="s">
        <v>382</v>
      </c>
      <c r="F1646" s="63" t="s">
        <v>493</v>
      </c>
      <c r="G1646" s="64" t="n">
        <v>5000</v>
      </c>
      <c r="H1646" s="62"/>
    </row>
    <row r="1647" customFormat="false" ht="15" hidden="false" customHeight="false" outlineLevel="0" collapsed="false">
      <c r="A1647" s="62" t="n">
        <v>0</v>
      </c>
      <c r="B1647" s="62" t="s">
        <v>386</v>
      </c>
      <c r="C1647" s="62" t="s">
        <v>60</v>
      </c>
      <c r="D1647" s="62" t="s">
        <v>382</v>
      </c>
      <c r="E1647" s="62" t="s">
        <v>382</v>
      </c>
      <c r="F1647" s="63" t="s">
        <v>493</v>
      </c>
      <c r="G1647" s="64" t="n">
        <v>5000</v>
      </c>
      <c r="H1647" s="62"/>
    </row>
    <row r="1648" customFormat="false" ht="15" hidden="false" customHeight="false" outlineLevel="0" collapsed="false">
      <c r="A1648" s="62" t="n">
        <v>0</v>
      </c>
      <c r="B1648" s="62" t="s">
        <v>387</v>
      </c>
      <c r="C1648" s="62" t="s">
        <v>60</v>
      </c>
      <c r="D1648" s="62" t="s">
        <v>382</v>
      </c>
      <c r="E1648" s="62" t="s">
        <v>382</v>
      </c>
      <c r="F1648" s="63" t="s">
        <v>493</v>
      </c>
      <c r="G1648" s="64" t="n">
        <v>5000</v>
      </c>
      <c r="H1648" s="62"/>
    </row>
    <row r="1649" customFormat="false" ht="15" hidden="false" customHeight="false" outlineLevel="0" collapsed="false">
      <c r="A1649" s="62" t="n">
        <v>0</v>
      </c>
      <c r="B1649" s="62" t="s">
        <v>388</v>
      </c>
      <c r="C1649" s="62" t="s">
        <v>60</v>
      </c>
      <c r="D1649" s="62" t="s">
        <v>382</v>
      </c>
      <c r="E1649" s="62" t="s">
        <v>382</v>
      </c>
      <c r="F1649" s="63" t="s">
        <v>493</v>
      </c>
      <c r="G1649" s="64" t="n">
        <v>5000</v>
      </c>
      <c r="H1649" s="62"/>
    </row>
    <row r="1650" customFormat="false" ht="15" hidden="false" customHeight="false" outlineLevel="0" collapsed="false">
      <c r="A1650" s="62" t="n">
        <v>0</v>
      </c>
      <c r="B1650" s="62" t="s">
        <v>381</v>
      </c>
      <c r="C1650" s="62" t="s">
        <v>60</v>
      </c>
      <c r="D1650" s="62" t="s">
        <v>382</v>
      </c>
      <c r="E1650" s="62" t="s">
        <v>382</v>
      </c>
      <c r="F1650" s="63" t="s">
        <v>494</v>
      </c>
      <c r="G1650" s="64" t="n">
        <v>-281</v>
      </c>
      <c r="H1650" s="62"/>
    </row>
    <row r="1651" customFormat="false" ht="15" hidden="false" customHeight="false" outlineLevel="0" collapsed="false">
      <c r="A1651" s="62" t="n">
        <v>0</v>
      </c>
      <c r="B1651" s="62" t="s">
        <v>383</v>
      </c>
      <c r="C1651" s="62" t="s">
        <v>60</v>
      </c>
      <c r="D1651" s="62" t="s">
        <v>382</v>
      </c>
      <c r="E1651" s="62" t="s">
        <v>382</v>
      </c>
      <c r="F1651" s="63" t="s">
        <v>494</v>
      </c>
      <c r="G1651" s="64" t="n">
        <v>-281</v>
      </c>
      <c r="H1651" s="62"/>
    </row>
    <row r="1652" customFormat="false" ht="15" hidden="false" customHeight="false" outlineLevel="0" collapsed="false">
      <c r="A1652" s="62" t="n">
        <v>0</v>
      </c>
      <c r="B1652" s="62" t="s">
        <v>384</v>
      </c>
      <c r="C1652" s="62" t="s">
        <v>60</v>
      </c>
      <c r="D1652" s="62" t="s">
        <v>382</v>
      </c>
      <c r="E1652" s="62" t="s">
        <v>382</v>
      </c>
      <c r="F1652" s="63" t="s">
        <v>494</v>
      </c>
      <c r="G1652" s="64" t="n">
        <v>-281</v>
      </c>
      <c r="H1652" s="62"/>
    </row>
    <row r="1653" customFormat="false" ht="15" hidden="false" customHeight="false" outlineLevel="0" collapsed="false">
      <c r="A1653" s="62" t="n">
        <v>0</v>
      </c>
      <c r="B1653" s="62" t="s">
        <v>385</v>
      </c>
      <c r="C1653" s="62" t="s">
        <v>60</v>
      </c>
      <c r="D1653" s="62" t="s">
        <v>382</v>
      </c>
      <c r="E1653" s="62" t="s">
        <v>382</v>
      </c>
      <c r="F1653" s="63" t="s">
        <v>494</v>
      </c>
      <c r="G1653" s="64" t="n">
        <v>-281</v>
      </c>
      <c r="H1653" s="62"/>
    </row>
    <row r="1654" customFormat="false" ht="15" hidden="false" customHeight="false" outlineLevel="0" collapsed="false">
      <c r="A1654" s="62" t="n">
        <v>0</v>
      </c>
      <c r="B1654" s="62" t="s">
        <v>386</v>
      </c>
      <c r="C1654" s="62" t="s">
        <v>60</v>
      </c>
      <c r="D1654" s="62" t="s">
        <v>382</v>
      </c>
      <c r="E1654" s="62" t="s">
        <v>382</v>
      </c>
      <c r="F1654" s="63" t="s">
        <v>494</v>
      </c>
      <c r="G1654" s="64" t="n">
        <v>-281</v>
      </c>
      <c r="H1654" s="62"/>
    </row>
    <row r="1655" customFormat="false" ht="15" hidden="false" customHeight="false" outlineLevel="0" collapsed="false">
      <c r="A1655" s="62" t="n">
        <v>0</v>
      </c>
      <c r="B1655" s="62" t="s">
        <v>387</v>
      </c>
      <c r="C1655" s="62" t="s">
        <v>60</v>
      </c>
      <c r="D1655" s="62" t="s">
        <v>382</v>
      </c>
      <c r="E1655" s="62" t="s">
        <v>382</v>
      </c>
      <c r="F1655" s="63" t="s">
        <v>494</v>
      </c>
      <c r="G1655" s="64" t="n">
        <v>-281</v>
      </c>
      <c r="H1655" s="62"/>
    </row>
    <row r="1656" customFormat="false" ht="15" hidden="false" customHeight="false" outlineLevel="0" collapsed="false">
      <c r="A1656" s="62" t="n">
        <v>0</v>
      </c>
      <c r="B1656" s="62" t="s">
        <v>388</v>
      </c>
      <c r="C1656" s="62" t="s">
        <v>60</v>
      </c>
      <c r="D1656" s="62" t="s">
        <v>382</v>
      </c>
      <c r="E1656" s="62" t="s">
        <v>382</v>
      </c>
      <c r="F1656" s="63" t="s">
        <v>494</v>
      </c>
      <c r="G1656" s="64" t="n">
        <v>-281</v>
      </c>
      <c r="H1656" s="62"/>
    </row>
    <row r="1657" customFormat="false" ht="15" hidden="false" customHeight="false" outlineLevel="0" collapsed="false">
      <c r="A1657" s="62" t="n">
        <v>0</v>
      </c>
      <c r="B1657" s="62" t="s">
        <v>381</v>
      </c>
      <c r="C1657" s="62" t="s">
        <v>60</v>
      </c>
      <c r="D1657" s="62" t="s">
        <v>382</v>
      </c>
      <c r="E1657" s="62" t="s">
        <v>382</v>
      </c>
      <c r="F1657" s="63" t="s">
        <v>495</v>
      </c>
      <c r="G1657" s="64" t="n">
        <v>281</v>
      </c>
      <c r="H1657" s="62"/>
    </row>
    <row r="1658" customFormat="false" ht="15" hidden="false" customHeight="false" outlineLevel="0" collapsed="false">
      <c r="A1658" s="62" t="n">
        <v>0</v>
      </c>
      <c r="B1658" s="62" t="s">
        <v>383</v>
      </c>
      <c r="C1658" s="62" t="s">
        <v>60</v>
      </c>
      <c r="D1658" s="62" t="s">
        <v>382</v>
      </c>
      <c r="E1658" s="62" t="s">
        <v>382</v>
      </c>
      <c r="F1658" s="63" t="s">
        <v>495</v>
      </c>
      <c r="G1658" s="64" t="n">
        <v>281</v>
      </c>
      <c r="H1658" s="62"/>
    </row>
    <row r="1659" customFormat="false" ht="15" hidden="false" customHeight="false" outlineLevel="0" collapsed="false">
      <c r="A1659" s="62" t="n">
        <v>0</v>
      </c>
      <c r="B1659" s="62" t="s">
        <v>384</v>
      </c>
      <c r="C1659" s="62" t="s">
        <v>60</v>
      </c>
      <c r="D1659" s="62" t="s">
        <v>382</v>
      </c>
      <c r="E1659" s="62" t="s">
        <v>382</v>
      </c>
      <c r="F1659" s="63" t="s">
        <v>495</v>
      </c>
      <c r="G1659" s="64" t="n">
        <v>281</v>
      </c>
      <c r="H1659" s="62"/>
    </row>
    <row r="1660" customFormat="false" ht="15" hidden="false" customHeight="false" outlineLevel="0" collapsed="false">
      <c r="A1660" s="62" t="n">
        <v>0</v>
      </c>
      <c r="B1660" s="62" t="s">
        <v>385</v>
      </c>
      <c r="C1660" s="62" t="s">
        <v>60</v>
      </c>
      <c r="D1660" s="62" t="s">
        <v>382</v>
      </c>
      <c r="E1660" s="62" t="s">
        <v>382</v>
      </c>
      <c r="F1660" s="63" t="s">
        <v>495</v>
      </c>
      <c r="G1660" s="64" t="n">
        <v>281</v>
      </c>
      <c r="H1660" s="62"/>
    </row>
    <row r="1661" customFormat="false" ht="15" hidden="false" customHeight="false" outlineLevel="0" collapsed="false">
      <c r="A1661" s="62" t="n">
        <v>0</v>
      </c>
      <c r="B1661" s="62" t="s">
        <v>386</v>
      </c>
      <c r="C1661" s="62" t="s">
        <v>60</v>
      </c>
      <c r="D1661" s="62" t="s">
        <v>382</v>
      </c>
      <c r="E1661" s="62" t="s">
        <v>382</v>
      </c>
      <c r="F1661" s="63" t="s">
        <v>495</v>
      </c>
      <c r="G1661" s="64" t="n">
        <v>281</v>
      </c>
      <c r="H1661" s="62"/>
    </row>
    <row r="1662" customFormat="false" ht="15" hidden="false" customHeight="false" outlineLevel="0" collapsed="false">
      <c r="A1662" s="62" t="n">
        <v>0</v>
      </c>
      <c r="B1662" s="62" t="s">
        <v>387</v>
      </c>
      <c r="C1662" s="62" t="s">
        <v>60</v>
      </c>
      <c r="D1662" s="62" t="s">
        <v>382</v>
      </c>
      <c r="E1662" s="62" t="s">
        <v>382</v>
      </c>
      <c r="F1662" s="63" t="s">
        <v>495</v>
      </c>
      <c r="G1662" s="64" t="n">
        <v>281</v>
      </c>
      <c r="H1662" s="62"/>
    </row>
    <row r="1663" customFormat="false" ht="15" hidden="false" customHeight="false" outlineLevel="0" collapsed="false">
      <c r="A1663" s="62" t="n">
        <v>0</v>
      </c>
      <c r="B1663" s="62" t="s">
        <v>388</v>
      </c>
      <c r="C1663" s="62" t="s">
        <v>60</v>
      </c>
      <c r="D1663" s="62" t="s">
        <v>382</v>
      </c>
      <c r="E1663" s="62" t="s">
        <v>382</v>
      </c>
      <c r="F1663" s="63" t="s">
        <v>495</v>
      </c>
      <c r="G1663" s="64" t="n">
        <v>281</v>
      </c>
      <c r="H1663" s="62"/>
    </row>
    <row r="1664" customFormat="false" ht="15" hidden="false" customHeight="false" outlineLevel="0" collapsed="false">
      <c r="A1664" s="62" t="n">
        <v>0</v>
      </c>
      <c r="B1664" s="62" t="s">
        <v>381</v>
      </c>
      <c r="C1664" s="62" t="s">
        <v>60</v>
      </c>
      <c r="D1664" s="62" t="s">
        <v>382</v>
      </c>
      <c r="E1664" s="62" t="s">
        <v>382</v>
      </c>
      <c r="F1664" s="63" t="s">
        <v>496</v>
      </c>
      <c r="G1664" s="64" t="n">
        <v>5000</v>
      </c>
      <c r="H1664" s="62"/>
    </row>
    <row r="1665" customFormat="false" ht="15" hidden="false" customHeight="false" outlineLevel="0" collapsed="false">
      <c r="A1665" s="62" t="n">
        <v>0</v>
      </c>
      <c r="B1665" s="62" t="s">
        <v>383</v>
      </c>
      <c r="C1665" s="62" t="s">
        <v>60</v>
      </c>
      <c r="D1665" s="62" t="s">
        <v>382</v>
      </c>
      <c r="E1665" s="62" t="s">
        <v>382</v>
      </c>
      <c r="F1665" s="63" t="s">
        <v>496</v>
      </c>
      <c r="G1665" s="64" t="n">
        <v>5000</v>
      </c>
      <c r="H1665" s="62"/>
    </row>
    <row r="1666" customFormat="false" ht="15" hidden="false" customHeight="false" outlineLevel="0" collapsed="false">
      <c r="A1666" s="62" t="n">
        <v>0</v>
      </c>
      <c r="B1666" s="62" t="s">
        <v>384</v>
      </c>
      <c r="C1666" s="62" t="s">
        <v>60</v>
      </c>
      <c r="D1666" s="62" t="s">
        <v>382</v>
      </c>
      <c r="E1666" s="62" t="s">
        <v>382</v>
      </c>
      <c r="F1666" s="63" t="s">
        <v>496</v>
      </c>
      <c r="G1666" s="64" t="n">
        <v>5000</v>
      </c>
      <c r="H1666" s="62"/>
    </row>
    <row r="1667" customFormat="false" ht="15" hidden="false" customHeight="false" outlineLevel="0" collapsed="false">
      <c r="A1667" s="62" t="n">
        <v>0</v>
      </c>
      <c r="B1667" s="62" t="s">
        <v>385</v>
      </c>
      <c r="C1667" s="62" t="s">
        <v>60</v>
      </c>
      <c r="D1667" s="62" t="s">
        <v>382</v>
      </c>
      <c r="E1667" s="62" t="s">
        <v>382</v>
      </c>
      <c r="F1667" s="63" t="s">
        <v>496</v>
      </c>
      <c r="G1667" s="64" t="n">
        <v>5000</v>
      </c>
      <c r="H1667" s="62"/>
    </row>
    <row r="1668" customFormat="false" ht="15" hidden="false" customHeight="false" outlineLevel="0" collapsed="false">
      <c r="A1668" s="62" t="n">
        <v>0</v>
      </c>
      <c r="B1668" s="62" t="s">
        <v>386</v>
      </c>
      <c r="C1668" s="62" t="s">
        <v>60</v>
      </c>
      <c r="D1668" s="62" t="s">
        <v>382</v>
      </c>
      <c r="E1668" s="62" t="s">
        <v>382</v>
      </c>
      <c r="F1668" s="63" t="s">
        <v>496</v>
      </c>
      <c r="G1668" s="64" t="n">
        <v>5000</v>
      </c>
      <c r="H1668" s="62"/>
    </row>
    <row r="1669" customFormat="false" ht="15" hidden="false" customHeight="false" outlineLevel="0" collapsed="false">
      <c r="A1669" s="62" t="n">
        <v>0</v>
      </c>
      <c r="B1669" s="62" t="s">
        <v>387</v>
      </c>
      <c r="C1669" s="62" t="s">
        <v>60</v>
      </c>
      <c r="D1669" s="62" t="s">
        <v>382</v>
      </c>
      <c r="E1669" s="62" t="s">
        <v>382</v>
      </c>
      <c r="F1669" s="63" t="s">
        <v>496</v>
      </c>
      <c r="G1669" s="64" t="n">
        <v>5000</v>
      </c>
      <c r="H1669" s="62"/>
    </row>
    <row r="1670" customFormat="false" ht="15" hidden="false" customHeight="false" outlineLevel="0" collapsed="false">
      <c r="A1670" s="62" t="n">
        <v>0</v>
      </c>
      <c r="B1670" s="62" t="s">
        <v>388</v>
      </c>
      <c r="C1670" s="62" t="s">
        <v>60</v>
      </c>
      <c r="D1670" s="62" t="s">
        <v>382</v>
      </c>
      <c r="E1670" s="62" t="s">
        <v>382</v>
      </c>
      <c r="F1670" s="63" t="s">
        <v>496</v>
      </c>
      <c r="G1670" s="64" t="n">
        <v>5000</v>
      </c>
      <c r="H1670" s="62"/>
    </row>
    <row r="1671" customFormat="false" ht="15" hidden="false" customHeight="false" outlineLevel="0" collapsed="false">
      <c r="A1671" s="62" t="n">
        <v>0</v>
      </c>
      <c r="B1671" s="62" t="s">
        <v>381</v>
      </c>
      <c r="C1671" s="62" t="s">
        <v>60</v>
      </c>
      <c r="D1671" s="62" t="s">
        <v>382</v>
      </c>
      <c r="E1671" s="62" t="s">
        <v>382</v>
      </c>
      <c r="F1671" s="63" t="s">
        <v>497</v>
      </c>
      <c r="G1671" s="64" t="n">
        <v>5.62</v>
      </c>
      <c r="H1671" s="62"/>
    </row>
    <row r="1672" customFormat="false" ht="15" hidden="false" customHeight="false" outlineLevel="0" collapsed="false">
      <c r="A1672" s="62" t="n">
        <v>0</v>
      </c>
      <c r="B1672" s="62" t="s">
        <v>383</v>
      </c>
      <c r="C1672" s="62" t="s">
        <v>60</v>
      </c>
      <c r="D1672" s="62" t="s">
        <v>382</v>
      </c>
      <c r="E1672" s="62" t="s">
        <v>382</v>
      </c>
      <c r="F1672" s="63" t="s">
        <v>497</v>
      </c>
      <c r="G1672" s="64" t="n">
        <v>5.62</v>
      </c>
      <c r="H1672" s="62"/>
    </row>
    <row r="1673" customFormat="false" ht="15" hidden="false" customHeight="false" outlineLevel="0" collapsed="false">
      <c r="A1673" s="62" t="n">
        <v>0</v>
      </c>
      <c r="B1673" s="62" t="s">
        <v>384</v>
      </c>
      <c r="C1673" s="62" t="s">
        <v>60</v>
      </c>
      <c r="D1673" s="62" t="s">
        <v>382</v>
      </c>
      <c r="E1673" s="62" t="s">
        <v>382</v>
      </c>
      <c r="F1673" s="63" t="s">
        <v>497</v>
      </c>
      <c r="G1673" s="64" t="n">
        <v>5.62</v>
      </c>
      <c r="H1673" s="62"/>
    </row>
    <row r="1674" customFormat="false" ht="15" hidden="false" customHeight="false" outlineLevel="0" collapsed="false">
      <c r="A1674" s="62" t="n">
        <v>0</v>
      </c>
      <c r="B1674" s="62" t="s">
        <v>385</v>
      </c>
      <c r="C1674" s="62" t="s">
        <v>60</v>
      </c>
      <c r="D1674" s="62" t="s">
        <v>382</v>
      </c>
      <c r="E1674" s="62" t="s">
        <v>382</v>
      </c>
      <c r="F1674" s="63" t="s">
        <v>497</v>
      </c>
      <c r="G1674" s="64" t="n">
        <v>5.62</v>
      </c>
      <c r="H1674" s="62"/>
    </row>
    <row r="1675" customFormat="false" ht="15" hidden="false" customHeight="false" outlineLevel="0" collapsed="false">
      <c r="A1675" s="62" t="n">
        <v>0</v>
      </c>
      <c r="B1675" s="62" t="s">
        <v>386</v>
      </c>
      <c r="C1675" s="62" t="s">
        <v>60</v>
      </c>
      <c r="D1675" s="62" t="s">
        <v>382</v>
      </c>
      <c r="E1675" s="62" t="s">
        <v>382</v>
      </c>
      <c r="F1675" s="63" t="s">
        <v>497</v>
      </c>
      <c r="G1675" s="64" t="n">
        <v>5.62</v>
      </c>
      <c r="H1675" s="62"/>
    </row>
    <row r="1676" customFormat="false" ht="15" hidden="false" customHeight="false" outlineLevel="0" collapsed="false">
      <c r="A1676" s="62" t="n">
        <v>0</v>
      </c>
      <c r="B1676" s="62" t="s">
        <v>387</v>
      </c>
      <c r="C1676" s="62" t="s">
        <v>60</v>
      </c>
      <c r="D1676" s="62" t="s">
        <v>382</v>
      </c>
      <c r="E1676" s="62" t="s">
        <v>382</v>
      </c>
      <c r="F1676" s="63" t="s">
        <v>497</v>
      </c>
      <c r="G1676" s="64" t="n">
        <v>5.62</v>
      </c>
      <c r="H1676" s="62"/>
    </row>
    <row r="1677" customFormat="false" ht="15" hidden="false" customHeight="false" outlineLevel="0" collapsed="false">
      <c r="A1677" s="62" t="n">
        <v>0</v>
      </c>
      <c r="B1677" s="62" t="s">
        <v>388</v>
      </c>
      <c r="C1677" s="62" t="s">
        <v>60</v>
      </c>
      <c r="D1677" s="62" t="s">
        <v>382</v>
      </c>
      <c r="E1677" s="62" t="s">
        <v>382</v>
      </c>
      <c r="F1677" s="63" t="s">
        <v>497</v>
      </c>
      <c r="G1677" s="64" t="n">
        <v>5.62</v>
      </c>
      <c r="H1677" s="62"/>
    </row>
    <row r="1678" customFormat="false" ht="15" hidden="false" customHeight="false" outlineLevel="0" collapsed="false">
      <c r="A1678" s="62" t="n">
        <v>0</v>
      </c>
      <c r="B1678" s="62" t="s">
        <v>381</v>
      </c>
      <c r="C1678" s="62" t="s">
        <v>60</v>
      </c>
      <c r="D1678" s="62" t="s">
        <v>382</v>
      </c>
      <c r="E1678" s="62" t="s">
        <v>382</v>
      </c>
      <c r="F1678" s="63" t="s">
        <v>498</v>
      </c>
      <c r="G1678" s="64" t="n">
        <v>0</v>
      </c>
      <c r="H1678" s="62"/>
    </row>
    <row r="1679" customFormat="false" ht="15" hidden="false" customHeight="false" outlineLevel="0" collapsed="false">
      <c r="A1679" s="62" t="n">
        <v>0</v>
      </c>
      <c r="B1679" s="62" t="s">
        <v>383</v>
      </c>
      <c r="C1679" s="62" t="s">
        <v>60</v>
      </c>
      <c r="D1679" s="62" t="s">
        <v>382</v>
      </c>
      <c r="E1679" s="62" t="s">
        <v>382</v>
      </c>
      <c r="F1679" s="63" t="s">
        <v>498</v>
      </c>
      <c r="G1679" s="64" t="n">
        <v>0</v>
      </c>
      <c r="H1679" s="62"/>
    </row>
    <row r="1680" customFormat="false" ht="15" hidden="false" customHeight="false" outlineLevel="0" collapsed="false">
      <c r="A1680" s="62" t="n">
        <v>0</v>
      </c>
      <c r="B1680" s="62" t="s">
        <v>384</v>
      </c>
      <c r="C1680" s="62" t="s">
        <v>60</v>
      </c>
      <c r="D1680" s="62" t="s">
        <v>382</v>
      </c>
      <c r="E1680" s="62" t="s">
        <v>382</v>
      </c>
      <c r="F1680" s="63" t="s">
        <v>498</v>
      </c>
      <c r="G1680" s="64" t="n">
        <v>0</v>
      </c>
      <c r="H1680" s="62"/>
    </row>
    <row r="1681" customFormat="false" ht="15" hidden="false" customHeight="false" outlineLevel="0" collapsed="false">
      <c r="A1681" s="62" t="n">
        <v>0</v>
      </c>
      <c r="B1681" s="62" t="s">
        <v>385</v>
      </c>
      <c r="C1681" s="62" t="s">
        <v>60</v>
      </c>
      <c r="D1681" s="62" t="s">
        <v>382</v>
      </c>
      <c r="E1681" s="62" t="s">
        <v>382</v>
      </c>
      <c r="F1681" s="63" t="s">
        <v>498</v>
      </c>
      <c r="G1681" s="64" t="n">
        <v>0</v>
      </c>
      <c r="H1681" s="62"/>
    </row>
    <row r="1682" customFormat="false" ht="15" hidden="false" customHeight="false" outlineLevel="0" collapsed="false">
      <c r="A1682" s="62" t="n">
        <v>0</v>
      </c>
      <c r="B1682" s="62" t="s">
        <v>386</v>
      </c>
      <c r="C1682" s="62" t="s">
        <v>60</v>
      </c>
      <c r="D1682" s="62" t="s">
        <v>382</v>
      </c>
      <c r="E1682" s="62" t="s">
        <v>382</v>
      </c>
      <c r="F1682" s="63" t="s">
        <v>498</v>
      </c>
      <c r="G1682" s="64" t="n">
        <v>0</v>
      </c>
      <c r="H1682" s="62"/>
    </row>
    <row r="1683" customFormat="false" ht="15" hidden="false" customHeight="false" outlineLevel="0" collapsed="false">
      <c r="A1683" s="62" t="n">
        <v>0</v>
      </c>
      <c r="B1683" s="62" t="s">
        <v>387</v>
      </c>
      <c r="C1683" s="62" t="s">
        <v>60</v>
      </c>
      <c r="D1683" s="62" t="s">
        <v>382</v>
      </c>
      <c r="E1683" s="62" t="s">
        <v>382</v>
      </c>
      <c r="F1683" s="63" t="s">
        <v>498</v>
      </c>
      <c r="G1683" s="64" t="n">
        <v>0</v>
      </c>
      <c r="H1683" s="62"/>
    </row>
    <row r="1684" customFormat="false" ht="15" hidden="false" customHeight="false" outlineLevel="0" collapsed="false">
      <c r="A1684" s="62" t="n">
        <v>0</v>
      </c>
      <c r="B1684" s="62" t="s">
        <v>388</v>
      </c>
      <c r="C1684" s="62" t="s">
        <v>60</v>
      </c>
      <c r="D1684" s="62" t="s">
        <v>382</v>
      </c>
      <c r="E1684" s="62" t="s">
        <v>382</v>
      </c>
      <c r="F1684" s="63" t="s">
        <v>498</v>
      </c>
      <c r="G1684" s="64" t="n">
        <v>0</v>
      </c>
      <c r="H1684" s="62"/>
    </row>
    <row r="1685" customFormat="false" ht="15" hidden="false" customHeight="false" outlineLevel="0" collapsed="false">
      <c r="A1685" s="62" t="n">
        <v>0</v>
      </c>
      <c r="B1685" s="62" t="s">
        <v>381</v>
      </c>
      <c r="C1685" s="62" t="s">
        <v>60</v>
      </c>
      <c r="D1685" s="62" t="s">
        <v>382</v>
      </c>
      <c r="E1685" s="62" t="s">
        <v>382</v>
      </c>
      <c r="F1685" s="63" t="s">
        <v>499</v>
      </c>
      <c r="G1685" s="64" t="n">
        <v>5.62</v>
      </c>
      <c r="H1685" s="62"/>
    </row>
    <row r="1686" customFormat="false" ht="15" hidden="false" customHeight="false" outlineLevel="0" collapsed="false">
      <c r="A1686" s="62" t="n">
        <v>0</v>
      </c>
      <c r="B1686" s="62" t="s">
        <v>383</v>
      </c>
      <c r="C1686" s="62" t="s">
        <v>60</v>
      </c>
      <c r="D1686" s="62" t="s">
        <v>382</v>
      </c>
      <c r="E1686" s="62" t="s">
        <v>382</v>
      </c>
      <c r="F1686" s="63" t="s">
        <v>499</v>
      </c>
      <c r="G1686" s="64" t="n">
        <v>5.62</v>
      </c>
      <c r="H1686" s="62"/>
    </row>
    <row r="1687" customFormat="false" ht="15" hidden="false" customHeight="false" outlineLevel="0" collapsed="false">
      <c r="A1687" s="62" t="n">
        <v>0</v>
      </c>
      <c r="B1687" s="62" t="s">
        <v>384</v>
      </c>
      <c r="C1687" s="62" t="s">
        <v>60</v>
      </c>
      <c r="D1687" s="62" t="s">
        <v>382</v>
      </c>
      <c r="E1687" s="62" t="s">
        <v>382</v>
      </c>
      <c r="F1687" s="63" t="s">
        <v>499</v>
      </c>
      <c r="G1687" s="64" t="n">
        <v>5.62</v>
      </c>
      <c r="H1687" s="62"/>
    </row>
    <row r="1688" customFormat="false" ht="15" hidden="false" customHeight="false" outlineLevel="0" collapsed="false">
      <c r="A1688" s="62" t="n">
        <v>0</v>
      </c>
      <c r="B1688" s="62" t="s">
        <v>385</v>
      </c>
      <c r="C1688" s="62" t="s">
        <v>60</v>
      </c>
      <c r="D1688" s="62" t="s">
        <v>382</v>
      </c>
      <c r="E1688" s="62" t="s">
        <v>382</v>
      </c>
      <c r="F1688" s="63" t="s">
        <v>499</v>
      </c>
      <c r="G1688" s="64" t="n">
        <v>5.62</v>
      </c>
      <c r="H1688" s="62"/>
    </row>
    <row r="1689" customFormat="false" ht="15" hidden="false" customHeight="false" outlineLevel="0" collapsed="false">
      <c r="A1689" s="62" t="n">
        <v>0</v>
      </c>
      <c r="B1689" s="62" t="s">
        <v>386</v>
      </c>
      <c r="C1689" s="62" t="s">
        <v>60</v>
      </c>
      <c r="D1689" s="62" t="s">
        <v>382</v>
      </c>
      <c r="E1689" s="62" t="s">
        <v>382</v>
      </c>
      <c r="F1689" s="63" t="s">
        <v>499</v>
      </c>
      <c r="G1689" s="64" t="n">
        <v>5.62</v>
      </c>
      <c r="H1689" s="62"/>
    </row>
    <row r="1690" customFormat="false" ht="15" hidden="false" customHeight="false" outlineLevel="0" collapsed="false">
      <c r="A1690" s="62" t="n">
        <v>0</v>
      </c>
      <c r="B1690" s="62" t="s">
        <v>387</v>
      </c>
      <c r="C1690" s="62" t="s">
        <v>60</v>
      </c>
      <c r="D1690" s="62" t="s">
        <v>382</v>
      </c>
      <c r="E1690" s="62" t="s">
        <v>382</v>
      </c>
      <c r="F1690" s="63" t="s">
        <v>499</v>
      </c>
      <c r="G1690" s="64" t="n">
        <v>5.62</v>
      </c>
      <c r="H1690" s="62"/>
    </row>
    <row r="1691" customFormat="false" ht="15" hidden="false" customHeight="false" outlineLevel="0" collapsed="false">
      <c r="A1691" s="62" t="n">
        <v>0</v>
      </c>
      <c r="B1691" s="62" t="s">
        <v>388</v>
      </c>
      <c r="C1691" s="62" t="s">
        <v>60</v>
      </c>
      <c r="D1691" s="62" t="s">
        <v>382</v>
      </c>
      <c r="E1691" s="62" t="s">
        <v>382</v>
      </c>
      <c r="F1691" s="63" t="s">
        <v>499</v>
      </c>
      <c r="G1691" s="64" t="n">
        <v>5.62</v>
      </c>
      <c r="H1691" s="62"/>
    </row>
    <row r="1692" customFormat="false" ht="15" hidden="false" customHeight="false" outlineLevel="0" collapsed="false">
      <c r="A1692" s="62" t="n">
        <v>0</v>
      </c>
      <c r="B1692" s="62" t="s">
        <v>381</v>
      </c>
      <c r="C1692" s="62" t="s">
        <v>60</v>
      </c>
      <c r="D1692" s="62" t="s">
        <v>382</v>
      </c>
      <c r="E1692" s="62" t="s">
        <v>382</v>
      </c>
      <c r="F1692" s="63" t="s">
        <v>500</v>
      </c>
      <c r="G1692" s="64" t="n">
        <v>0</v>
      </c>
      <c r="H1692" s="62" t="s">
        <v>138</v>
      </c>
    </row>
    <row r="1693" customFormat="false" ht="15" hidden="false" customHeight="false" outlineLevel="0" collapsed="false">
      <c r="A1693" s="62" t="n">
        <v>0</v>
      </c>
      <c r="B1693" s="62" t="s">
        <v>383</v>
      </c>
      <c r="C1693" s="62" t="s">
        <v>60</v>
      </c>
      <c r="D1693" s="62" t="s">
        <v>382</v>
      </c>
      <c r="E1693" s="62" t="s">
        <v>382</v>
      </c>
      <c r="F1693" s="63" t="s">
        <v>500</v>
      </c>
      <c r="G1693" s="64" t="n">
        <v>0</v>
      </c>
      <c r="H1693" s="62" t="s">
        <v>138</v>
      </c>
    </row>
    <row r="1694" customFormat="false" ht="15" hidden="false" customHeight="false" outlineLevel="0" collapsed="false">
      <c r="A1694" s="62" t="n">
        <v>0</v>
      </c>
      <c r="B1694" s="62" t="s">
        <v>384</v>
      </c>
      <c r="C1694" s="62" t="s">
        <v>60</v>
      </c>
      <c r="D1694" s="62" t="s">
        <v>382</v>
      </c>
      <c r="E1694" s="62" t="s">
        <v>382</v>
      </c>
      <c r="F1694" s="63" t="s">
        <v>500</v>
      </c>
      <c r="G1694" s="64" t="n">
        <v>0</v>
      </c>
      <c r="H1694" s="62" t="s">
        <v>138</v>
      </c>
    </row>
    <row r="1695" customFormat="false" ht="15" hidden="false" customHeight="false" outlineLevel="0" collapsed="false">
      <c r="A1695" s="62" t="n">
        <v>0</v>
      </c>
      <c r="B1695" s="62" t="s">
        <v>385</v>
      </c>
      <c r="C1695" s="62" t="s">
        <v>60</v>
      </c>
      <c r="D1695" s="62" t="s">
        <v>382</v>
      </c>
      <c r="E1695" s="62" t="s">
        <v>382</v>
      </c>
      <c r="F1695" s="63" t="s">
        <v>500</v>
      </c>
      <c r="G1695" s="64" t="n">
        <v>0</v>
      </c>
      <c r="H1695" s="62" t="s">
        <v>138</v>
      </c>
    </row>
    <row r="1696" customFormat="false" ht="15" hidden="false" customHeight="false" outlineLevel="0" collapsed="false">
      <c r="A1696" s="62" t="n">
        <v>0</v>
      </c>
      <c r="B1696" s="62" t="s">
        <v>386</v>
      </c>
      <c r="C1696" s="62" t="s">
        <v>60</v>
      </c>
      <c r="D1696" s="62" t="s">
        <v>382</v>
      </c>
      <c r="E1696" s="62" t="s">
        <v>382</v>
      </c>
      <c r="F1696" s="63" t="s">
        <v>500</v>
      </c>
      <c r="G1696" s="64" t="n">
        <v>0</v>
      </c>
      <c r="H1696" s="62" t="s">
        <v>138</v>
      </c>
    </row>
    <row r="1697" customFormat="false" ht="15" hidden="false" customHeight="false" outlineLevel="0" collapsed="false">
      <c r="A1697" s="62" t="n">
        <v>0</v>
      </c>
      <c r="B1697" s="62" t="s">
        <v>387</v>
      </c>
      <c r="C1697" s="62" t="s">
        <v>60</v>
      </c>
      <c r="D1697" s="62" t="s">
        <v>382</v>
      </c>
      <c r="E1697" s="62" t="s">
        <v>382</v>
      </c>
      <c r="F1697" s="63" t="s">
        <v>500</v>
      </c>
      <c r="G1697" s="64" t="n">
        <v>0</v>
      </c>
      <c r="H1697" s="62" t="s">
        <v>138</v>
      </c>
    </row>
    <row r="1698" customFormat="false" ht="15" hidden="false" customHeight="false" outlineLevel="0" collapsed="false">
      <c r="A1698" s="62" t="n">
        <v>0</v>
      </c>
      <c r="B1698" s="62" t="s">
        <v>388</v>
      </c>
      <c r="C1698" s="62" t="s">
        <v>60</v>
      </c>
      <c r="D1698" s="62" t="s">
        <v>382</v>
      </c>
      <c r="E1698" s="62" t="s">
        <v>382</v>
      </c>
      <c r="F1698" s="63" t="s">
        <v>500</v>
      </c>
      <c r="G1698" s="64" t="n">
        <v>0</v>
      </c>
      <c r="H1698" s="62" t="s">
        <v>138</v>
      </c>
    </row>
    <row r="1699" customFormat="false" ht="15" hidden="false" customHeight="false" outlineLevel="0" collapsed="false">
      <c r="A1699" s="62" t="n">
        <v>0</v>
      </c>
      <c r="B1699" s="62" t="s">
        <v>381</v>
      </c>
      <c r="C1699" s="62" t="s">
        <v>60</v>
      </c>
      <c r="D1699" s="62" t="s">
        <v>382</v>
      </c>
      <c r="E1699" s="62" t="s">
        <v>382</v>
      </c>
      <c r="F1699" s="63" t="s">
        <v>501</v>
      </c>
      <c r="G1699" s="64" t="n">
        <v>2248</v>
      </c>
      <c r="H1699" s="62" t="s">
        <v>138</v>
      </c>
    </row>
    <row r="1700" customFormat="false" ht="15" hidden="false" customHeight="false" outlineLevel="0" collapsed="false">
      <c r="A1700" s="62" t="n">
        <v>0</v>
      </c>
      <c r="B1700" s="62" t="s">
        <v>383</v>
      </c>
      <c r="C1700" s="62" t="s">
        <v>60</v>
      </c>
      <c r="D1700" s="62" t="s">
        <v>382</v>
      </c>
      <c r="E1700" s="62" t="s">
        <v>382</v>
      </c>
      <c r="F1700" s="63" t="s">
        <v>501</v>
      </c>
      <c r="G1700" s="64" t="n">
        <v>2248</v>
      </c>
      <c r="H1700" s="62" t="s">
        <v>138</v>
      </c>
    </row>
    <row r="1701" customFormat="false" ht="15" hidden="false" customHeight="false" outlineLevel="0" collapsed="false">
      <c r="A1701" s="62" t="n">
        <v>0</v>
      </c>
      <c r="B1701" s="62" t="s">
        <v>384</v>
      </c>
      <c r="C1701" s="62" t="s">
        <v>60</v>
      </c>
      <c r="D1701" s="62" t="s">
        <v>382</v>
      </c>
      <c r="E1701" s="62" t="s">
        <v>382</v>
      </c>
      <c r="F1701" s="63" t="s">
        <v>501</v>
      </c>
      <c r="G1701" s="64" t="n">
        <v>2248</v>
      </c>
      <c r="H1701" s="62" t="s">
        <v>138</v>
      </c>
    </row>
    <row r="1702" customFormat="false" ht="15" hidden="false" customHeight="false" outlineLevel="0" collapsed="false">
      <c r="A1702" s="62" t="n">
        <v>0</v>
      </c>
      <c r="B1702" s="62" t="s">
        <v>385</v>
      </c>
      <c r="C1702" s="62" t="s">
        <v>60</v>
      </c>
      <c r="D1702" s="62" t="s">
        <v>382</v>
      </c>
      <c r="E1702" s="62" t="s">
        <v>382</v>
      </c>
      <c r="F1702" s="63" t="s">
        <v>501</v>
      </c>
      <c r="G1702" s="64" t="n">
        <v>2248</v>
      </c>
      <c r="H1702" s="62" t="s">
        <v>138</v>
      </c>
    </row>
    <row r="1703" customFormat="false" ht="15" hidden="false" customHeight="false" outlineLevel="0" collapsed="false">
      <c r="A1703" s="62" t="n">
        <v>0</v>
      </c>
      <c r="B1703" s="62" t="s">
        <v>386</v>
      </c>
      <c r="C1703" s="62" t="s">
        <v>60</v>
      </c>
      <c r="D1703" s="62" t="s">
        <v>382</v>
      </c>
      <c r="E1703" s="62" t="s">
        <v>382</v>
      </c>
      <c r="F1703" s="63" t="s">
        <v>501</v>
      </c>
      <c r="G1703" s="64" t="n">
        <v>2248</v>
      </c>
      <c r="H1703" s="62" t="s">
        <v>138</v>
      </c>
    </row>
    <row r="1704" customFormat="false" ht="15" hidden="false" customHeight="false" outlineLevel="0" collapsed="false">
      <c r="A1704" s="62" t="n">
        <v>0</v>
      </c>
      <c r="B1704" s="62" t="s">
        <v>387</v>
      </c>
      <c r="C1704" s="62" t="s">
        <v>60</v>
      </c>
      <c r="D1704" s="62" t="s">
        <v>382</v>
      </c>
      <c r="E1704" s="62" t="s">
        <v>382</v>
      </c>
      <c r="F1704" s="63" t="s">
        <v>501</v>
      </c>
      <c r="G1704" s="64" t="n">
        <v>2248</v>
      </c>
      <c r="H1704" s="62" t="s">
        <v>138</v>
      </c>
    </row>
    <row r="1705" customFormat="false" ht="15" hidden="false" customHeight="false" outlineLevel="0" collapsed="false">
      <c r="A1705" s="62" t="n">
        <v>0</v>
      </c>
      <c r="B1705" s="62" t="s">
        <v>388</v>
      </c>
      <c r="C1705" s="62" t="s">
        <v>60</v>
      </c>
      <c r="D1705" s="62" t="s">
        <v>382</v>
      </c>
      <c r="E1705" s="62" t="s">
        <v>382</v>
      </c>
      <c r="F1705" s="63" t="s">
        <v>501</v>
      </c>
      <c r="G1705" s="64" t="n">
        <v>2248</v>
      </c>
      <c r="H1705" s="62" t="s">
        <v>138</v>
      </c>
    </row>
    <row r="1706" customFormat="false" ht="15" hidden="false" customHeight="false" outlineLevel="0" collapsed="false">
      <c r="A1706" s="62" t="n">
        <v>0</v>
      </c>
      <c r="B1706" s="62" t="s">
        <v>381</v>
      </c>
      <c r="C1706" s="62" t="s">
        <v>60</v>
      </c>
      <c r="D1706" s="62" t="s">
        <v>382</v>
      </c>
      <c r="E1706" s="62" t="s">
        <v>382</v>
      </c>
      <c r="F1706" s="63" t="s">
        <v>502</v>
      </c>
      <c r="G1706" s="64" t="n">
        <v>428571.428571429</v>
      </c>
      <c r="H1706" s="62" t="s">
        <v>138</v>
      </c>
    </row>
    <row r="1707" customFormat="false" ht="15" hidden="false" customHeight="false" outlineLevel="0" collapsed="false">
      <c r="A1707" s="62" t="n">
        <v>0</v>
      </c>
      <c r="B1707" s="62" t="s">
        <v>383</v>
      </c>
      <c r="C1707" s="62" t="s">
        <v>60</v>
      </c>
      <c r="D1707" s="62" t="s">
        <v>382</v>
      </c>
      <c r="E1707" s="62" t="s">
        <v>382</v>
      </c>
      <c r="F1707" s="63" t="s">
        <v>502</v>
      </c>
      <c r="G1707" s="64" t="n">
        <v>428571.428571429</v>
      </c>
      <c r="H1707" s="62" t="s">
        <v>138</v>
      </c>
    </row>
    <row r="1708" customFormat="false" ht="15" hidden="false" customHeight="false" outlineLevel="0" collapsed="false">
      <c r="A1708" s="62" t="n">
        <v>0</v>
      </c>
      <c r="B1708" s="62" t="s">
        <v>384</v>
      </c>
      <c r="C1708" s="62" t="s">
        <v>60</v>
      </c>
      <c r="D1708" s="62" t="s">
        <v>382</v>
      </c>
      <c r="E1708" s="62" t="s">
        <v>382</v>
      </c>
      <c r="F1708" s="63" t="s">
        <v>502</v>
      </c>
      <c r="G1708" s="64" t="n">
        <v>428571.428571429</v>
      </c>
      <c r="H1708" s="62" t="s">
        <v>138</v>
      </c>
    </row>
    <row r="1709" customFormat="false" ht="15" hidden="false" customHeight="false" outlineLevel="0" collapsed="false">
      <c r="A1709" s="62" t="n">
        <v>0</v>
      </c>
      <c r="B1709" s="62" t="s">
        <v>385</v>
      </c>
      <c r="C1709" s="62" t="s">
        <v>60</v>
      </c>
      <c r="D1709" s="62" t="s">
        <v>382</v>
      </c>
      <c r="E1709" s="62" t="s">
        <v>382</v>
      </c>
      <c r="F1709" s="63" t="s">
        <v>502</v>
      </c>
      <c r="G1709" s="64" t="n">
        <v>428571.428571429</v>
      </c>
      <c r="H1709" s="62" t="s">
        <v>138</v>
      </c>
    </row>
    <row r="1710" customFormat="false" ht="15" hidden="false" customHeight="false" outlineLevel="0" collapsed="false">
      <c r="A1710" s="62" t="n">
        <v>0</v>
      </c>
      <c r="B1710" s="62" t="s">
        <v>386</v>
      </c>
      <c r="C1710" s="62" t="s">
        <v>60</v>
      </c>
      <c r="D1710" s="62" t="s">
        <v>382</v>
      </c>
      <c r="E1710" s="62" t="s">
        <v>382</v>
      </c>
      <c r="F1710" s="63" t="s">
        <v>502</v>
      </c>
      <c r="G1710" s="64" t="n">
        <v>428571.428571429</v>
      </c>
      <c r="H1710" s="62" t="s">
        <v>138</v>
      </c>
    </row>
    <row r="1711" customFormat="false" ht="15" hidden="false" customHeight="false" outlineLevel="0" collapsed="false">
      <c r="A1711" s="62" t="n">
        <v>0</v>
      </c>
      <c r="B1711" s="62" t="s">
        <v>387</v>
      </c>
      <c r="C1711" s="62" t="s">
        <v>60</v>
      </c>
      <c r="D1711" s="62" t="s">
        <v>382</v>
      </c>
      <c r="E1711" s="62" t="s">
        <v>382</v>
      </c>
      <c r="F1711" s="63" t="s">
        <v>502</v>
      </c>
      <c r="G1711" s="64" t="n">
        <v>428571.428571429</v>
      </c>
      <c r="H1711" s="62" t="s">
        <v>138</v>
      </c>
    </row>
    <row r="1712" customFormat="false" ht="15" hidden="false" customHeight="false" outlineLevel="0" collapsed="false">
      <c r="A1712" s="62" t="n">
        <v>0</v>
      </c>
      <c r="B1712" s="62" t="s">
        <v>388</v>
      </c>
      <c r="C1712" s="62" t="s">
        <v>60</v>
      </c>
      <c r="D1712" s="62" t="s">
        <v>382</v>
      </c>
      <c r="E1712" s="62" t="s">
        <v>382</v>
      </c>
      <c r="F1712" s="63" t="s">
        <v>502</v>
      </c>
      <c r="G1712" s="64" t="n">
        <v>428571.428571429</v>
      </c>
      <c r="H1712" s="62" t="s">
        <v>138</v>
      </c>
    </row>
    <row r="1713" customFormat="false" ht="15" hidden="false" customHeight="false" outlineLevel="0" collapsed="false">
      <c r="A1713" s="62" t="n">
        <v>0</v>
      </c>
      <c r="B1713" s="62" t="s">
        <v>381</v>
      </c>
      <c r="C1713" s="62" t="s">
        <v>60</v>
      </c>
      <c r="D1713" s="62" t="s">
        <v>382</v>
      </c>
      <c r="E1713" s="62" t="s">
        <v>382</v>
      </c>
      <c r="F1713" s="63" t="s">
        <v>503</v>
      </c>
      <c r="G1713" s="64" t="n">
        <v>30000</v>
      </c>
      <c r="H1713" s="62" t="s">
        <v>138</v>
      </c>
    </row>
    <row r="1714" customFormat="false" ht="15" hidden="false" customHeight="false" outlineLevel="0" collapsed="false">
      <c r="A1714" s="62" t="n">
        <v>0</v>
      </c>
      <c r="B1714" s="62" t="s">
        <v>383</v>
      </c>
      <c r="C1714" s="62" t="s">
        <v>60</v>
      </c>
      <c r="D1714" s="62" t="s">
        <v>382</v>
      </c>
      <c r="E1714" s="62" t="s">
        <v>382</v>
      </c>
      <c r="F1714" s="63" t="s">
        <v>503</v>
      </c>
      <c r="G1714" s="64" t="n">
        <v>30000</v>
      </c>
      <c r="H1714" s="62" t="s">
        <v>138</v>
      </c>
    </row>
    <row r="1715" customFormat="false" ht="15" hidden="false" customHeight="false" outlineLevel="0" collapsed="false">
      <c r="A1715" s="62" t="n">
        <v>0</v>
      </c>
      <c r="B1715" s="62" t="s">
        <v>384</v>
      </c>
      <c r="C1715" s="62" t="s">
        <v>60</v>
      </c>
      <c r="D1715" s="62" t="s">
        <v>382</v>
      </c>
      <c r="E1715" s="62" t="s">
        <v>382</v>
      </c>
      <c r="F1715" s="63" t="s">
        <v>503</v>
      </c>
      <c r="G1715" s="64" t="n">
        <v>30000</v>
      </c>
      <c r="H1715" s="62" t="s">
        <v>138</v>
      </c>
    </row>
    <row r="1716" customFormat="false" ht="15" hidden="false" customHeight="false" outlineLevel="0" collapsed="false">
      <c r="A1716" s="62" t="n">
        <v>0</v>
      </c>
      <c r="B1716" s="62" t="s">
        <v>385</v>
      </c>
      <c r="C1716" s="62" t="s">
        <v>60</v>
      </c>
      <c r="D1716" s="62" t="s">
        <v>382</v>
      </c>
      <c r="E1716" s="62" t="s">
        <v>382</v>
      </c>
      <c r="F1716" s="63" t="s">
        <v>503</v>
      </c>
      <c r="G1716" s="64" t="n">
        <v>30000</v>
      </c>
      <c r="H1716" s="62" t="s">
        <v>138</v>
      </c>
    </row>
    <row r="1717" customFormat="false" ht="15" hidden="false" customHeight="false" outlineLevel="0" collapsed="false">
      <c r="A1717" s="62" t="n">
        <v>0</v>
      </c>
      <c r="B1717" s="62" t="s">
        <v>386</v>
      </c>
      <c r="C1717" s="62" t="s">
        <v>60</v>
      </c>
      <c r="D1717" s="62" t="s">
        <v>382</v>
      </c>
      <c r="E1717" s="62" t="s">
        <v>382</v>
      </c>
      <c r="F1717" s="63" t="s">
        <v>503</v>
      </c>
      <c r="G1717" s="64" t="n">
        <v>30000</v>
      </c>
      <c r="H1717" s="62" t="s">
        <v>138</v>
      </c>
    </row>
    <row r="1718" customFormat="false" ht="15" hidden="false" customHeight="false" outlineLevel="0" collapsed="false">
      <c r="A1718" s="62" t="n">
        <v>0</v>
      </c>
      <c r="B1718" s="62" t="s">
        <v>387</v>
      </c>
      <c r="C1718" s="62" t="s">
        <v>60</v>
      </c>
      <c r="D1718" s="62" t="s">
        <v>382</v>
      </c>
      <c r="E1718" s="62" t="s">
        <v>382</v>
      </c>
      <c r="F1718" s="63" t="s">
        <v>503</v>
      </c>
      <c r="G1718" s="64" t="n">
        <v>30000</v>
      </c>
      <c r="H1718" s="62" t="s">
        <v>138</v>
      </c>
    </row>
    <row r="1719" customFormat="false" ht="15" hidden="false" customHeight="false" outlineLevel="0" collapsed="false">
      <c r="A1719" s="62" t="n">
        <v>0</v>
      </c>
      <c r="B1719" s="62" t="s">
        <v>388</v>
      </c>
      <c r="C1719" s="62" t="s">
        <v>60</v>
      </c>
      <c r="D1719" s="62" t="s">
        <v>382</v>
      </c>
      <c r="E1719" s="62" t="s">
        <v>382</v>
      </c>
      <c r="F1719" s="63" t="s">
        <v>503</v>
      </c>
      <c r="G1719" s="64" t="n">
        <v>30000</v>
      </c>
      <c r="H1719" s="62" t="s">
        <v>138</v>
      </c>
    </row>
    <row r="1720" customFormat="false" ht="15" hidden="false" customHeight="false" outlineLevel="0" collapsed="false">
      <c r="A1720" s="62" t="n">
        <v>0</v>
      </c>
      <c r="B1720" s="62" t="s">
        <v>381</v>
      </c>
      <c r="C1720" s="62" t="s">
        <v>60</v>
      </c>
      <c r="D1720" s="62" t="s">
        <v>382</v>
      </c>
      <c r="E1720" s="62" t="s">
        <v>382</v>
      </c>
      <c r="F1720" s="63" t="s">
        <v>504</v>
      </c>
      <c r="G1720" s="64" t="n">
        <v>40000</v>
      </c>
      <c r="H1720" s="62" t="s">
        <v>138</v>
      </c>
    </row>
    <row r="1721" customFormat="false" ht="15" hidden="false" customHeight="false" outlineLevel="0" collapsed="false">
      <c r="A1721" s="62" t="n">
        <v>0</v>
      </c>
      <c r="B1721" s="62" t="s">
        <v>383</v>
      </c>
      <c r="C1721" s="62" t="s">
        <v>60</v>
      </c>
      <c r="D1721" s="62" t="s">
        <v>382</v>
      </c>
      <c r="E1721" s="62" t="s">
        <v>382</v>
      </c>
      <c r="F1721" s="63" t="s">
        <v>504</v>
      </c>
      <c r="G1721" s="64" t="n">
        <v>40000</v>
      </c>
      <c r="H1721" s="62" t="s">
        <v>138</v>
      </c>
    </row>
    <row r="1722" customFormat="false" ht="15" hidden="false" customHeight="false" outlineLevel="0" collapsed="false">
      <c r="A1722" s="62" t="n">
        <v>0</v>
      </c>
      <c r="B1722" s="62" t="s">
        <v>384</v>
      </c>
      <c r="C1722" s="62" t="s">
        <v>60</v>
      </c>
      <c r="D1722" s="62" t="s">
        <v>382</v>
      </c>
      <c r="E1722" s="62" t="s">
        <v>382</v>
      </c>
      <c r="F1722" s="63" t="s">
        <v>504</v>
      </c>
      <c r="G1722" s="64" t="n">
        <v>40000</v>
      </c>
      <c r="H1722" s="62" t="s">
        <v>138</v>
      </c>
    </row>
    <row r="1723" customFormat="false" ht="15" hidden="false" customHeight="false" outlineLevel="0" collapsed="false">
      <c r="A1723" s="62" t="n">
        <v>0</v>
      </c>
      <c r="B1723" s="62" t="s">
        <v>385</v>
      </c>
      <c r="C1723" s="62" t="s">
        <v>60</v>
      </c>
      <c r="D1723" s="62" t="s">
        <v>382</v>
      </c>
      <c r="E1723" s="62" t="s">
        <v>382</v>
      </c>
      <c r="F1723" s="63" t="s">
        <v>504</v>
      </c>
      <c r="G1723" s="64" t="n">
        <v>40000</v>
      </c>
      <c r="H1723" s="62" t="s">
        <v>138</v>
      </c>
    </row>
    <row r="1724" customFormat="false" ht="15" hidden="false" customHeight="false" outlineLevel="0" collapsed="false">
      <c r="A1724" s="62" t="n">
        <v>0</v>
      </c>
      <c r="B1724" s="62" t="s">
        <v>386</v>
      </c>
      <c r="C1724" s="62" t="s">
        <v>60</v>
      </c>
      <c r="D1724" s="62" t="s">
        <v>382</v>
      </c>
      <c r="E1724" s="62" t="s">
        <v>382</v>
      </c>
      <c r="F1724" s="63" t="s">
        <v>504</v>
      </c>
      <c r="G1724" s="64" t="n">
        <v>40000</v>
      </c>
      <c r="H1724" s="62" t="s">
        <v>138</v>
      </c>
    </row>
    <row r="1725" customFormat="false" ht="15" hidden="false" customHeight="false" outlineLevel="0" collapsed="false">
      <c r="A1725" s="62" t="n">
        <v>0</v>
      </c>
      <c r="B1725" s="62" t="s">
        <v>387</v>
      </c>
      <c r="C1725" s="62" t="s">
        <v>60</v>
      </c>
      <c r="D1725" s="62" t="s">
        <v>382</v>
      </c>
      <c r="E1725" s="62" t="s">
        <v>382</v>
      </c>
      <c r="F1725" s="63" t="s">
        <v>504</v>
      </c>
      <c r="G1725" s="64" t="n">
        <v>40000</v>
      </c>
      <c r="H1725" s="62" t="s">
        <v>138</v>
      </c>
    </row>
    <row r="1726" customFormat="false" ht="15" hidden="false" customHeight="false" outlineLevel="0" collapsed="false">
      <c r="A1726" s="62" t="n">
        <v>0</v>
      </c>
      <c r="B1726" s="62" t="s">
        <v>388</v>
      </c>
      <c r="C1726" s="62" t="s">
        <v>60</v>
      </c>
      <c r="D1726" s="62" t="s">
        <v>382</v>
      </c>
      <c r="E1726" s="62" t="s">
        <v>382</v>
      </c>
      <c r="F1726" s="63" t="s">
        <v>504</v>
      </c>
      <c r="G1726" s="64" t="n">
        <v>40000</v>
      </c>
      <c r="H1726" s="62" t="s">
        <v>138</v>
      </c>
    </row>
    <row r="1727" customFormat="false" ht="15" hidden="false" customHeight="false" outlineLevel="0" collapsed="false">
      <c r="A1727" s="62" t="n">
        <v>0</v>
      </c>
      <c r="B1727" s="62" t="s">
        <v>381</v>
      </c>
      <c r="C1727" s="62" t="s">
        <v>60</v>
      </c>
      <c r="D1727" s="62" t="s">
        <v>382</v>
      </c>
      <c r="E1727" s="62" t="s">
        <v>382</v>
      </c>
      <c r="F1727" s="63" t="s">
        <v>505</v>
      </c>
      <c r="G1727" s="64" t="n">
        <v>0</v>
      </c>
      <c r="H1727" s="62" t="s">
        <v>138</v>
      </c>
    </row>
    <row r="1728" customFormat="false" ht="15" hidden="false" customHeight="false" outlineLevel="0" collapsed="false">
      <c r="A1728" s="62" t="n">
        <v>0</v>
      </c>
      <c r="B1728" s="62" t="s">
        <v>383</v>
      </c>
      <c r="C1728" s="62" t="s">
        <v>60</v>
      </c>
      <c r="D1728" s="62" t="s">
        <v>382</v>
      </c>
      <c r="E1728" s="62" t="s">
        <v>382</v>
      </c>
      <c r="F1728" s="63" t="s">
        <v>505</v>
      </c>
      <c r="G1728" s="64" t="n">
        <v>0</v>
      </c>
      <c r="H1728" s="62" t="s">
        <v>138</v>
      </c>
    </row>
    <row r="1729" customFormat="false" ht="15" hidden="false" customHeight="false" outlineLevel="0" collapsed="false">
      <c r="A1729" s="62" t="n">
        <v>0</v>
      </c>
      <c r="B1729" s="62" t="s">
        <v>384</v>
      </c>
      <c r="C1729" s="62" t="s">
        <v>60</v>
      </c>
      <c r="D1729" s="62" t="s">
        <v>382</v>
      </c>
      <c r="E1729" s="62" t="s">
        <v>382</v>
      </c>
      <c r="F1729" s="63" t="s">
        <v>505</v>
      </c>
      <c r="G1729" s="64" t="n">
        <v>0</v>
      </c>
      <c r="H1729" s="62" t="s">
        <v>138</v>
      </c>
    </row>
    <row r="1730" customFormat="false" ht="15" hidden="false" customHeight="false" outlineLevel="0" collapsed="false">
      <c r="A1730" s="62" t="n">
        <v>0</v>
      </c>
      <c r="B1730" s="62" t="s">
        <v>385</v>
      </c>
      <c r="C1730" s="62" t="s">
        <v>60</v>
      </c>
      <c r="D1730" s="62" t="s">
        <v>382</v>
      </c>
      <c r="E1730" s="62" t="s">
        <v>382</v>
      </c>
      <c r="F1730" s="63" t="s">
        <v>505</v>
      </c>
      <c r="G1730" s="64" t="n">
        <v>0</v>
      </c>
      <c r="H1730" s="62" t="s">
        <v>138</v>
      </c>
    </row>
    <row r="1731" customFormat="false" ht="15" hidden="false" customHeight="false" outlineLevel="0" collapsed="false">
      <c r="A1731" s="62" t="n">
        <v>0</v>
      </c>
      <c r="B1731" s="62" t="s">
        <v>386</v>
      </c>
      <c r="C1731" s="62" t="s">
        <v>60</v>
      </c>
      <c r="D1731" s="62" t="s">
        <v>382</v>
      </c>
      <c r="E1731" s="62" t="s">
        <v>382</v>
      </c>
      <c r="F1731" s="63" t="s">
        <v>505</v>
      </c>
      <c r="G1731" s="64" t="n">
        <v>0</v>
      </c>
      <c r="H1731" s="62" t="s">
        <v>138</v>
      </c>
    </row>
    <row r="1732" customFormat="false" ht="15" hidden="false" customHeight="false" outlineLevel="0" collapsed="false">
      <c r="A1732" s="62" t="n">
        <v>0</v>
      </c>
      <c r="B1732" s="62" t="s">
        <v>387</v>
      </c>
      <c r="C1732" s="62" t="s">
        <v>60</v>
      </c>
      <c r="D1732" s="62" t="s">
        <v>382</v>
      </c>
      <c r="E1732" s="62" t="s">
        <v>382</v>
      </c>
      <c r="F1732" s="63" t="s">
        <v>505</v>
      </c>
      <c r="G1732" s="64" t="n">
        <v>0</v>
      </c>
      <c r="H1732" s="62" t="s">
        <v>138</v>
      </c>
    </row>
    <row r="1733" customFormat="false" ht="15" hidden="false" customHeight="false" outlineLevel="0" collapsed="false">
      <c r="A1733" s="62" t="n">
        <v>0</v>
      </c>
      <c r="B1733" s="62" t="s">
        <v>388</v>
      </c>
      <c r="C1733" s="62" t="s">
        <v>60</v>
      </c>
      <c r="D1733" s="62" t="s">
        <v>382</v>
      </c>
      <c r="E1733" s="62" t="s">
        <v>382</v>
      </c>
      <c r="F1733" s="63" t="s">
        <v>505</v>
      </c>
      <c r="G1733" s="64" t="n">
        <v>0</v>
      </c>
      <c r="H1733" s="62" t="s">
        <v>138</v>
      </c>
    </row>
    <row r="1734" customFormat="false" ht="15" hidden="false" customHeight="false" outlineLevel="0" collapsed="false">
      <c r="A1734" s="62" t="n">
        <v>0</v>
      </c>
      <c r="B1734" s="62" t="s">
        <v>381</v>
      </c>
      <c r="C1734" s="62" t="s">
        <v>60</v>
      </c>
      <c r="D1734" s="62" t="s">
        <v>382</v>
      </c>
      <c r="E1734" s="62" t="s">
        <v>382</v>
      </c>
      <c r="F1734" s="63" t="s">
        <v>506</v>
      </c>
      <c r="G1734" s="64" t="n">
        <v>500819.428571429</v>
      </c>
      <c r="H1734" s="62" t="s">
        <v>138</v>
      </c>
    </row>
    <row r="1735" customFormat="false" ht="15" hidden="false" customHeight="false" outlineLevel="0" collapsed="false">
      <c r="A1735" s="62" t="n">
        <v>0</v>
      </c>
      <c r="B1735" s="62" t="s">
        <v>383</v>
      </c>
      <c r="C1735" s="62" t="s">
        <v>60</v>
      </c>
      <c r="D1735" s="62" t="s">
        <v>382</v>
      </c>
      <c r="E1735" s="62" t="s">
        <v>382</v>
      </c>
      <c r="F1735" s="63" t="s">
        <v>506</v>
      </c>
      <c r="G1735" s="64" t="n">
        <v>500819.428571429</v>
      </c>
      <c r="H1735" s="62" t="s">
        <v>138</v>
      </c>
    </row>
    <row r="1736" customFormat="false" ht="15" hidden="false" customHeight="false" outlineLevel="0" collapsed="false">
      <c r="A1736" s="62" t="n">
        <v>0</v>
      </c>
      <c r="B1736" s="62" t="s">
        <v>384</v>
      </c>
      <c r="C1736" s="62" t="s">
        <v>60</v>
      </c>
      <c r="D1736" s="62" t="s">
        <v>382</v>
      </c>
      <c r="E1736" s="62" t="s">
        <v>382</v>
      </c>
      <c r="F1736" s="63" t="s">
        <v>506</v>
      </c>
      <c r="G1736" s="64" t="n">
        <v>500819.428571429</v>
      </c>
      <c r="H1736" s="62" t="s">
        <v>138</v>
      </c>
    </row>
    <row r="1737" customFormat="false" ht="15" hidden="false" customHeight="false" outlineLevel="0" collapsed="false">
      <c r="A1737" s="62" t="n">
        <v>0</v>
      </c>
      <c r="B1737" s="62" t="s">
        <v>385</v>
      </c>
      <c r="C1737" s="62" t="s">
        <v>60</v>
      </c>
      <c r="D1737" s="62" t="s">
        <v>382</v>
      </c>
      <c r="E1737" s="62" t="s">
        <v>382</v>
      </c>
      <c r="F1737" s="63" t="s">
        <v>506</v>
      </c>
      <c r="G1737" s="64" t="n">
        <v>500819.428571429</v>
      </c>
      <c r="H1737" s="62" t="s">
        <v>138</v>
      </c>
    </row>
    <row r="1738" customFormat="false" ht="15" hidden="false" customHeight="false" outlineLevel="0" collapsed="false">
      <c r="A1738" s="62" t="n">
        <v>0</v>
      </c>
      <c r="B1738" s="62" t="s">
        <v>386</v>
      </c>
      <c r="C1738" s="62" t="s">
        <v>60</v>
      </c>
      <c r="D1738" s="62" t="s">
        <v>382</v>
      </c>
      <c r="E1738" s="62" t="s">
        <v>382</v>
      </c>
      <c r="F1738" s="63" t="s">
        <v>506</v>
      </c>
      <c r="G1738" s="64" t="n">
        <v>500819.428571429</v>
      </c>
      <c r="H1738" s="62" t="s">
        <v>138</v>
      </c>
    </row>
    <row r="1739" customFormat="false" ht="15" hidden="false" customHeight="false" outlineLevel="0" collapsed="false">
      <c r="A1739" s="62" t="n">
        <v>0</v>
      </c>
      <c r="B1739" s="62" t="s">
        <v>387</v>
      </c>
      <c r="C1739" s="62" t="s">
        <v>60</v>
      </c>
      <c r="D1739" s="62" t="s">
        <v>382</v>
      </c>
      <c r="E1739" s="62" t="s">
        <v>382</v>
      </c>
      <c r="F1739" s="63" t="s">
        <v>506</v>
      </c>
      <c r="G1739" s="64" t="n">
        <v>500819.428571429</v>
      </c>
      <c r="H1739" s="62" t="s">
        <v>138</v>
      </c>
    </row>
    <row r="1740" customFormat="false" ht="15" hidden="false" customHeight="false" outlineLevel="0" collapsed="false">
      <c r="A1740" s="62" t="n">
        <v>0</v>
      </c>
      <c r="B1740" s="62" t="s">
        <v>388</v>
      </c>
      <c r="C1740" s="62" t="s">
        <v>60</v>
      </c>
      <c r="D1740" s="62" t="s">
        <v>382</v>
      </c>
      <c r="E1740" s="62" t="s">
        <v>382</v>
      </c>
      <c r="F1740" s="63" t="s">
        <v>506</v>
      </c>
      <c r="G1740" s="64" t="n">
        <v>500819.428571429</v>
      </c>
      <c r="H1740" s="62" t="s">
        <v>138</v>
      </c>
    </row>
    <row r="1741" customFormat="false" ht="15" hidden="false" customHeight="false" outlineLevel="0" collapsed="false">
      <c r="A1741" s="62" t="n">
        <v>0</v>
      </c>
      <c r="B1741" s="62" t="s">
        <v>381</v>
      </c>
      <c r="C1741" s="62" t="s">
        <v>60</v>
      </c>
      <c r="D1741" s="62" t="s">
        <v>382</v>
      </c>
      <c r="E1741" s="62" t="s">
        <v>382</v>
      </c>
      <c r="F1741" s="63" t="s">
        <v>507</v>
      </c>
      <c r="G1741" s="64" t="n">
        <v>8346.99047619048</v>
      </c>
      <c r="H1741" s="62" t="s">
        <v>138</v>
      </c>
    </row>
    <row r="1742" customFormat="false" ht="15" hidden="false" customHeight="false" outlineLevel="0" collapsed="false">
      <c r="A1742" s="62" t="n">
        <v>0</v>
      </c>
      <c r="B1742" s="62" t="s">
        <v>383</v>
      </c>
      <c r="C1742" s="62" t="s">
        <v>60</v>
      </c>
      <c r="D1742" s="62" t="s">
        <v>382</v>
      </c>
      <c r="E1742" s="62" t="s">
        <v>382</v>
      </c>
      <c r="F1742" s="63" t="s">
        <v>507</v>
      </c>
      <c r="G1742" s="64" t="n">
        <v>8346.99047619048</v>
      </c>
      <c r="H1742" s="62" t="s">
        <v>138</v>
      </c>
    </row>
    <row r="1743" customFormat="false" ht="15" hidden="false" customHeight="false" outlineLevel="0" collapsed="false">
      <c r="A1743" s="62" t="n">
        <v>0</v>
      </c>
      <c r="B1743" s="62" t="s">
        <v>384</v>
      </c>
      <c r="C1743" s="62" t="s">
        <v>60</v>
      </c>
      <c r="D1743" s="62" t="s">
        <v>382</v>
      </c>
      <c r="E1743" s="62" t="s">
        <v>382</v>
      </c>
      <c r="F1743" s="63" t="s">
        <v>507</v>
      </c>
      <c r="G1743" s="64" t="n">
        <v>8346.99047619048</v>
      </c>
      <c r="H1743" s="62" t="s">
        <v>138</v>
      </c>
    </row>
    <row r="1744" customFormat="false" ht="15" hidden="false" customHeight="false" outlineLevel="0" collapsed="false">
      <c r="A1744" s="62" t="n">
        <v>0</v>
      </c>
      <c r="B1744" s="62" t="s">
        <v>385</v>
      </c>
      <c r="C1744" s="62" t="s">
        <v>60</v>
      </c>
      <c r="D1744" s="62" t="s">
        <v>382</v>
      </c>
      <c r="E1744" s="62" t="s">
        <v>382</v>
      </c>
      <c r="F1744" s="63" t="s">
        <v>507</v>
      </c>
      <c r="G1744" s="64" t="n">
        <v>8346.99047619048</v>
      </c>
      <c r="H1744" s="62" t="s">
        <v>138</v>
      </c>
    </row>
    <row r="1745" customFormat="false" ht="15" hidden="false" customHeight="false" outlineLevel="0" collapsed="false">
      <c r="A1745" s="62" t="n">
        <v>0</v>
      </c>
      <c r="B1745" s="62" t="s">
        <v>386</v>
      </c>
      <c r="C1745" s="62" t="s">
        <v>60</v>
      </c>
      <c r="D1745" s="62" t="s">
        <v>382</v>
      </c>
      <c r="E1745" s="62" t="s">
        <v>382</v>
      </c>
      <c r="F1745" s="63" t="s">
        <v>507</v>
      </c>
      <c r="G1745" s="64" t="n">
        <v>8346.99047619048</v>
      </c>
      <c r="H1745" s="62" t="s">
        <v>138</v>
      </c>
    </row>
    <row r="1746" customFormat="false" ht="15" hidden="false" customHeight="false" outlineLevel="0" collapsed="false">
      <c r="A1746" s="62" t="n">
        <v>0</v>
      </c>
      <c r="B1746" s="62" t="s">
        <v>387</v>
      </c>
      <c r="C1746" s="62" t="s">
        <v>60</v>
      </c>
      <c r="D1746" s="62" t="s">
        <v>382</v>
      </c>
      <c r="E1746" s="62" t="s">
        <v>382</v>
      </c>
      <c r="F1746" s="63" t="s">
        <v>507</v>
      </c>
      <c r="G1746" s="64" t="n">
        <v>8346.99047619048</v>
      </c>
      <c r="H1746" s="62" t="s">
        <v>138</v>
      </c>
    </row>
    <row r="1747" customFormat="false" ht="15" hidden="false" customHeight="false" outlineLevel="0" collapsed="false">
      <c r="A1747" s="62" t="n">
        <v>0</v>
      </c>
      <c r="B1747" s="62" t="s">
        <v>388</v>
      </c>
      <c r="C1747" s="62" t="s">
        <v>60</v>
      </c>
      <c r="D1747" s="62" t="s">
        <v>382</v>
      </c>
      <c r="E1747" s="62" t="s">
        <v>382</v>
      </c>
      <c r="F1747" s="63" t="s">
        <v>507</v>
      </c>
      <c r="G1747" s="64" t="n">
        <v>8346.99047619048</v>
      </c>
      <c r="H1747" s="62" t="s">
        <v>138</v>
      </c>
    </row>
    <row r="1748" customFormat="false" ht="15" hidden="false" customHeight="false" outlineLevel="0" collapsed="false">
      <c r="A1748" s="62" t="n">
        <v>0</v>
      </c>
      <c r="B1748" s="62" t="s">
        <v>381</v>
      </c>
      <c r="C1748" s="62" t="s">
        <v>60</v>
      </c>
      <c r="D1748" s="62" t="s">
        <v>382</v>
      </c>
      <c r="E1748" s="62" t="s">
        <v>382</v>
      </c>
      <c r="F1748" s="63" t="s">
        <v>508</v>
      </c>
      <c r="G1748" s="64" t="s">
        <v>509</v>
      </c>
      <c r="H1748" s="62" t="s">
        <v>138</v>
      </c>
    </row>
    <row r="1749" customFormat="false" ht="15" hidden="false" customHeight="false" outlineLevel="0" collapsed="false">
      <c r="A1749" s="62" t="n">
        <v>0</v>
      </c>
      <c r="B1749" s="62" t="s">
        <v>383</v>
      </c>
      <c r="C1749" s="62" t="s">
        <v>60</v>
      </c>
      <c r="D1749" s="62" t="s">
        <v>382</v>
      </c>
      <c r="E1749" s="62" t="s">
        <v>382</v>
      </c>
      <c r="F1749" s="63" t="s">
        <v>508</v>
      </c>
      <c r="G1749" s="64" t="s">
        <v>509</v>
      </c>
      <c r="H1749" s="62" t="s">
        <v>138</v>
      </c>
    </row>
    <row r="1750" customFormat="false" ht="15" hidden="false" customHeight="false" outlineLevel="0" collapsed="false">
      <c r="A1750" s="62" t="n">
        <v>0</v>
      </c>
      <c r="B1750" s="62" t="s">
        <v>384</v>
      </c>
      <c r="C1750" s="62" t="s">
        <v>60</v>
      </c>
      <c r="D1750" s="62" t="s">
        <v>382</v>
      </c>
      <c r="E1750" s="62" t="s">
        <v>382</v>
      </c>
      <c r="F1750" s="63" t="s">
        <v>508</v>
      </c>
      <c r="G1750" s="64" t="s">
        <v>509</v>
      </c>
      <c r="H1750" s="62" t="s">
        <v>138</v>
      </c>
    </row>
    <row r="1751" customFormat="false" ht="15" hidden="false" customHeight="false" outlineLevel="0" collapsed="false">
      <c r="A1751" s="62" t="n">
        <v>0</v>
      </c>
      <c r="B1751" s="62" t="s">
        <v>385</v>
      </c>
      <c r="C1751" s="62" t="s">
        <v>60</v>
      </c>
      <c r="D1751" s="62" t="s">
        <v>382</v>
      </c>
      <c r="E1751" s="62" t="s">
        <v>382</v>
      </c>
      <c r="F1751" s="63" t="s">
        <v>508</v>
      </c>
      <c r="G1751" s="64" t="s">
        <v>509</v>
      </c>
      <c r="H1751" s="62" t="s">
        <v>138</v>
      </c>
    </row>
    <row r="1752" customFormat="false" ht="15" hidden="false" customHeight="false" outlineLevel="0" collapsed="false">
      <c r="A1752" s="62" t="n">
        <v>0</v>
      </c>
      <c r="B1752" s="62" t="s">
        <v>386</v>
      </c>
      <c r="C1752" s="62" t="s">
        <v>60</v>
      </c>
      <c r="D1752" s="62" t="s">
        <v>382</v>
      </c>
      <c r="E1752" s="62" t="s">
        <v>382</v>
      </c>
      <c r="F1752" s="63" t="s">
        <v>508</v>
      </c>
      <c r="G1752" s="64" t="s">
        <v>509</v>
      </c>
      <c r="H1752" s="62" t="s">
        <v>138</v>
      </c>
    </row>
    <row r="1753" customFormat="false" ht="15" hidden="false" customHeight="false" outlineLevel="0" collapsed="false">
      <c r="A1753" s="62" t="n">
        <v>0</v>
      </c>
      <c r="B1753" s="62" t="s">
        <v>387</v>
      </c>
      <c r="C1753" s="62" t="s">
        <v>60</v>
      </c>
      <c r="D1753" s="62" t="s">
        <v>382</v>
      </c>
      <c r="E1753" s="62" t="s">
        <v>382</v>
      </c>
      <c r="F1753" s="63" t="s">
        <v>508</v>
      </c>
      <c r="G1753" s="64" t="s">
        <v>509</v>
      </c>
      <c r="H1753" s="62" t="s">
        <v>138</v>
      </c>
    </row>
    <row r="1754" customFormat="false" ht="15" hidden="false" customHeight="false" outlineLevel="0" collapsed="false">
      <c r="A1754" s="62" t="n">
        <v>0</v>
      </c>
      <c r="B1754" s="62" t="s">
        <v>388</v>
      </c>
      <c r="C1754" s="62" t="s">
        <v>60</v>
      </c>
      <c r="D1754" s="62" t="s">
        <v>382</v>
      </c>
      <c r="E1754" s="62" t="s">
        <v>382</v>
      </c>
      <c r="F1754" s="63" t="s">
        <v>508</v>
      </c>
      <c r="G1754" s="64" t="s">
        <v>509</v>
      </c>
      <c r="H1754" s="62" t="s">
        <v>138</v>
      </c>
    </row>
    <row r="1755" customFormat="false" ht="15" hidden="false" customHeight="false" outlineLevel="0" collapsed="false">
      <c r="A1755" s="62" t="n">
        <v>0</v>
      </c>
      <c r="B1755" s="62" t="s">
        <v>381</v>
      </c>
      <c r="C1755" s="62" t="s">
        <v>60</v>
      </c>
      <c r="D1755" s="62" t="s">
        <v>382</v>
      </c>
      <c r="E1755" s="62" t="s">
        <v>382</v>
      </c>
      <c r="F1755" s="63" t="s">
        <v>510</v>
      </c>
      <c r="G1755" s="64" t="s">
        <v>509</v>
      </c>
      <c r="H1755" s="62" t="s">
        <v>138</v>
      </c>
    </row>
    <row r="1756" customFormat="false" ht="15" hidden="false" customHeight="false" outlineLevel="0" collapsed="false">
      <c r="A1756" s="62" t="n">
        <v>0</v>
      </c>
      <c r="B1756" s="62" t="s">
        <v>383</v>
      </c>
      <c r="C1756" s="62" t="s">
        <v>60</v>
      </c>
      <c r="D1756" s="62" t="s">
        <v>382</v>
      </c>
      <c r="E1756" s="62" t="s">
        <v>382</v>
      </c>
      <c r="F1756" s="63" t="s">
        <v>510</v>
      </c>
      <c r="G1756" s="64" t="s">
        <v>509</v>
      </c>
      <c r="H1756" s="62" t="s">
        <v>138</v>
      </c>
    </row>
    <row r="1757" customFormat="false" ht="15" hidden="false" customHeight="false" outlineLevel="0" collapsed="false">
      <c r="A1757" s="62" t="n">
        <v>0</v>
      </c>
      <c r="B1757" s="62" t="s">
        <v>384</v>
      </c>
      <c r="C1757" s="62" t="s">
        <v>60</v>
      </c>
      <c r="D1757" s="62" t="s">
        <v>382</v>
      </c>
      <c r="E1757" s="62" t="s">
        <v>382</v>
      </c>
      <c r="F1757" s="63" t="s">
        <v>510</v>
      </c>
      <c r="G1757" s="64" t="s">
        <v>509</v>
      </c>
      <c r="H1757" s="62" t="s">
        <v>138</v>
      </c>
    </row>
    <row r="1758" customFormat="false" ht="15" hidden="false" customHeight="false" outlineLevel="0" collapsed="false">
      <c r="A1758" s="62" t="n">
        <v>0</v>
      </c>
      <c r="B1758" s="62" t="s">
        <v>385</v>
      </c>
      <c r="C1758" s="62" t="s">
        <v>60</v>
      </c>
      <c r="D1758" s="62" t="s">
        <v>382</v>
      </c>
      <c r="E1758" s="62" t="s">
        <v>382</v>
      </c>
      <c r="F1758" s="63" t="s">
        <v>510</v>
      </c>
      <c r="G1758" s="64" t="s">
        <v>509</v>
      </c>
      <c r="H1758" s="62" t="s">
        <v>138</v>
      </c>
    </row>
    <row r="1759" customFormat="false" ht="15" hidden="false" customHeight="false" outlineLevel="0" collapsed="false">
      <c r="A1759" s="62" t="n">
        <v>0</v>
      </c>
      <c r="B1759" s="62" t="s">
        <v>386</v>
      </c>
      <c r="C1759" s="62" t="s">
        <v>60</v>
      </c>
      <c r="D1759" s="62" t="s">
        <v>382</v>
      </c>
      <c r="E1759" s="62" t="s">
        <v>382</v>
      </c>
      <c r="F1759" s="63" t="s">
        <v>510</v>
      </c>
      <c r="G1759" s="64" t="s">
        <v>509</v>
      </c>
      <c r="H1759" s="62" t="s">
        <v>138</v>
      </c>
    </row>
    <row r="1760" customFormat="false" ht="15" hidden="false" customHeight="false" outlineLevel="0" collapsed="false">
      <c r="A1760" s="62" t="n">
        <v>0</v>
      </c>
      <c r="B1760" s="62" t="s">
        <v>387</v>
      </c>
      <c r="C1760" s="62" t="s">
        <v>60</v>
      </c>
      <c r="D1760" s="62" t="s">
        <v>382</v>
      </c>
      <c r="E1760" s="62" t="s">
        <v>382</v>
      </c>
      <c r="F1760" s="63" t="s">
        <v>510</v>
      </c>
      <c r="G1760" s="64" t="s">
        <v>509</v>
      </c>
      <c r="H1760" s="62" t="s">
        <v>138</v>
      </c>
    </row>
    <row r="1761" customFormat="false" ht="15" hidden="false" customHeight="false" outlineLevel="0" collapsed="false">
      <c r="A1761" s="62" t="n">
        <v>0</v>
      </c>
      <c r="B1761" s="62" t="s">
        <v>388</v>
      </c>
      <c r="C1761" s="62" t="s">
        <v>60</v>
      </c>
      <c r="D1761" s="62" t="s">
        <v>382</v>
      </c>
      <c r="E1761" s="62" t="s">
        <v>382</v>
      </c>
      <c r="F1761" s="63" t="s">
        <v>510</v>
      </c>
      <c r="G1761" s="64" t="s">
        <v>509</v>
      </c>
      <c r="H1761" s="62" t="s">
        <v>138</v>
      </c>
    </row>
    <row r="1762" customFormat="false" ht="15" hidden="false" customHeight="false" outlineLevel="0" collapsed="false">
      <c r="A1762" s="62" t="n">
        <v>0</v>
      </c>
      <c r="B1762" s="62" t="s">
        <v>381</v>
      </c>
      <c r="C1762" s="62" t="s">
        <v>60</v>
      </c>
      <c r="D1762" s="62" t="s">
        <v>382</v>
      </c>
      <c r="E1762" s="62" t="s">
        <v>382</v>
      </c>
      <c r="F1762" s="63" t="s">
        <v>511</v>
      </c>
      <c r="G1762" s="64" t="s">
        <v>509</v>
      </c>
      <c r="H1762" s="62" t="s">
        <v>138</v>
      </c>
    </row>
    <row r="1763" customFormat="false" ht="15" hidden="false" customHeight="false" outlineLevel="0" collapsed="false">
      <c r="A1763" s="62" t="n">
        <v>0</v>
      </c>
      <c r="B1763" s="62" t="s">
        <v>383</v>
      </c>
      <c r="C1763" s="62" t="s">
        <v>60</v>
      </c>
      <c r="D1763" s="62" t="s">
        <v>382</v>
      </c>
      <c r="E1763" s="62" t="s">
        <v>382</v>
      </c>
      <c r="F1763" s="63" t="s">
        <v>511</v>
      </c>
      <c r="G1763" s="64" t="s">
        <v>509</v>
      </c>
      <c r="H1763" s="62" t="s">
        <v>138</v>
      </c>
    </row>
    <row r="1764" customFormat="false" ht="15" hidden="false" customHeight="false" outlineLevel="0" collapsed="false">
      <c r="A1764" s="62" t="n">
        <v>0</v>
      </c>
      <c r="B1764" s="62" t="s">
        <v>384</v>
      </c>
      <c r="C1764" s="62" t="s">
        <v>60</v>
      </c>
      <c r="D1764" s="62" t="s">
        <v>382</v>
      </c>
      <c r="E1764" s="62" t="s">
        <v>382</v>
      </c>
      <c r="F1764" s="63" t="s">
        <v>511</v>
      </c>
      <c r="G1764" s="64" t="s">
        <v>509</v>
      </c>
      <c r="H1764" s="62" t="s">
        <v>138</v>
      </c>
    </row>
    <row r="1765" customFormat="false" ht="15" hidden="false" customHeight="false" outlineLevel="0" collapsed="false">
      <c r="A1765" s="62" t="n">
        <v>0</v>
      </c>
      <c r="B1765" s="62" t="s">
        <v>385</v>
      </c>
      <c r="C1765" s="62" t="s">
        <v>60</v>
      </c>
      <c r="D1765" s="62" t="s">
        <v>382</v>
      </c>
      <c r="E1765" s="62" t="s">
        <v>382</v>
      </c>
      <c r="F1765" s="63" t="s">
        <v>511</v>
      </c>
      <c r="G1765" s="64" t="s">
        <v>509</v>
      </c>
      <c r="H1765" s="62" t="s">
        <v>138</v>
      </c>
    </row>
    <row r="1766" customFormat="false" ht="15" hidden="false" customHeight="false" outlineLevel="0" collapsed="false">
      <c r="A1766" s="62" t="n">
        <v>0</v>
      </c>
      <c r="B1766" s="62" t="s">
        <v>386</v>
      </c>
      <c r="C1766" s="62" t="s">
        <v>60</v>
      </c>
      <c r="D1766" s="62" t="s">
        <v>382</v>
      </c>
      <c r="E1766" s="62" t="s">
        <v>382</v>
      </c>
      <c r="F1766" s="63" t="s">
        <v>511</v>
      </c>
      <c r="G1766" s="64" t="s">
        <v>509</v>
      </c>
      <c r="H1766" s="62" t="s">
        <v>138</v>
      </c>
    </row>
    <row r="1767" customFormat="false" ht="15" hidden="false" customHeight="false" outlineLevel="0" collapsed="false">
      <c r="A1767" s="62" t="n">
        <v>0</v>
      </c>
      <c r="B1767" s="62" t="s">
        <v>387</v>
      </c>
      <c r="C1767" s="62" t="s">
        <v>60</v>
      </c>
      <c r="D1767" s="62" t="s">
        <v>382</v>
      </c>
      <c r="E1767" s="62" t="s">
        <v>382</v>
      </c>
      <c r="F1767" s="63" t="s">
        <v>511</v>
      </c>
      <c r="G1767" s="64" t="s">
        <v>509</v>
      </c>
      <c r="H1767" s="62" t="s">
        <v>138</v>
      </c>
    </row>
    <row r="1768" customFormat="false" ht="15" hidden="false" customHeight="false" outlineLevel="0" collapsed="false">
      <c r="A1768" s="62" t="n">
        <v>0</v>
      </c>
      <c r="B1768" s="62" t="s">
        <v>388</v>
      </c>
      <c r="C1768" s="62" t="s">
        <v>60</v>
      </c>
      <c r="D1768" s="62" t="s">
        <v>382</v>
      </c>
      <c r="E1768" s="62" t="s">
        <v>382</v>
      </c>
      <c r="F1768" s="63" t="s">
        <v>511</v>
      </c>
      <c r="G1768" s="64" t="s">
        <v>509</v>
      </c>
      <c r="H1768" s="62" t="s">
        <v>138</v>
      </c>
    </row>
    <row r="1769" customFormat="false" ht="15" hidden="false" customHeight="false" outlineLevel="0" collapsed="false">
      <c r="A1769" s="62" t="n">
        <v>0</v>
      </c>
      <c r="B1769" s="62" t="s">
        <v>381</v>
      </c>
      <c r="C1769" s="62" t="s">
        <v>60</v>
      </c>
      <c r="D1769" s="62" t="s">
        <v>382</v>
      </c>
      <c r="E1769" s="62" t="s">
        <v>382</v>
      </c>
      <c r="F1769" s="63" t="s">
        <v>512</v>
      </c>
      <c r="G1769" s="64" t="s">
        <v>509</v>
      </c>
      <c r="H1769" s="62" t="s">
        <v>138</v>
      </c>
    </row>
    <row r="1770" customFormat="false" ht="15" hidden="false" customHeight="false" outlineLevel="0" collapsed="false">
      <c r="A1770" s="62" t="n">
        <v>0</v>
      </c>
      <c r="B1770" s="62" t="s">
        <v>383</v>
      </c>
      <c r="C1770" s="62" t="s">
        <v>60</v>
      </c>
      <c r="D1770" s="62" t="s">
        <v>382</v>
      </c>
      <c r="E1770" s="62" t="s">
        <v>382</v>
      </c>
      <c r="F1770" s="63" t="s">
        <v>512</v>
      </c>
      <c r="G1770" s="64" t="s">
        <v>509</v>
      </c>
      <c r="H1770" s="62" t="s">
        <v>138</v>
      </c>
    </row>
    <row r="1771" customFormat="false" ht="15" hidden="false" customHeight="false" outlineLevel="0" collapsed="false">
      <c r="A1771" s="62" t="n">
        <v>0</v>
      </c>
      <c r="B1771" s="62" t="s">
        <v>384</v>
      </c>
      <c r="C1771" s="62" t="s">
        <v>60</v>
      </c>
      <c r="D1771" s="62" t="s">
        <v>382</v>
      </c>
      <c r="E1771" s="62" t="s">
        <v>382</v>
      </c>
      <c r="F1771" s="63" t="s">
        <v>512</v>
      </c>
      <c r="G1771" s="64" t="s">
        <v>509</v>
      </c>
      <c r="H1771" s="62" t="s">
        <v>138</v>
      </c>
    </row>
    <row r="1772" customFormat="false" ht="15" hidden="false" customHeight="false" outlineLevel="0" collapsed="false">
      <c r="A1772" s="62" t="n">
        <v>0</v>
      </c>
      <c r="B1772" s="62" t="s">
        <v>385</v>
      </c>
      <c r="C1772" s="62" t="s">
        <v>60</v>
      </c>
      <c r="D1772" s="62" t="s">
        <v>382</v>
      </c>
      <c r="E1772" s="62" t="s">
        <v>382</v>
      </c>
      <c r="F1772" s="63" t="s">
        <v>512</v>
      </c>
      <c r="G1772" s="64" t="s">
        <v>509</v>
      </c>
      <c r="H1772" s="62" t="s">
        <v>138</v>
      </c>
    </row>
    <row r="1773" customFormat="false" ht="15" hidden="false" customHeight="false" outlineLevel="0" collapsed="false">
      <c r="A1773" s="62" t="n">
        <v>0</v>
      </c>
      <c r="B1773" s="62" t="s">
        <v>386</v>
      </c>
      <c r="C1773" s="62" t="s">
        <v>60</v>
      </c>
      <c r="D1773" s="62" t="s">
        <v>382</v>
      </c>
      <c r="E1773" s="62" t="s">
        <v>382</v>
      </c>
      <c r="F1773" s="63" t="s">
        <v>512</v>
      </c>
      <c r="G1773" s="64" t="s">
        <v>509</v>
      </c>
      <c r="H1773" s="62" t="s">
        <v>138</v>
      </c>
    </row>
    <row r="1774" customFormat="false" ht="15" hidden="false" customHeight="false" outlineLevel="0" collapsed="false">
      <c r="A1774" s="62" t="n">
        <v>0</v>
      </c>
      <c r="B1774" s="62" t="s">
        <v>387</v>
      </c>
      <c r="C1774" s="62" t="s">
        <v>60</v>
      </c>
      <c r="D1774" s="62" t="s">
        <v>382</v>
      </c>
      <c r="E1774" s="62" t="s">
        <v>382</v>
      </c>
      <c r="F1774" s="63" t="s">
        <v>512</v>
      </c>
      <c r="G1774" s="64" t="s">
        <v>509</v>
      </c>
      <c r="H1774" s="62" t="s">
        <v>138</v>
      </c>
    </row>
    <row r="1775" customFormat="false" ht="15" hidden="false" customHeight="false" outlineLevel="0" collapsed="false">
      <c r="A1775" s="62" t="n">
        <v>0</v>
      </c>
      <c r="B1775" s="62" t="s">
        <v>388</v>
      </c>
      <c r="C1775" s="62" t="s">
        <v>60</v>
      </c>
      <c r="D1775" s="62" t="s">
        <v>382</v>
      </c>
      <c r="E1775" s="62" t="s">
        <v>382</v>
      </c>
      <c r="F1775" s="63" t="s">
        <v>512</v>
      </c>
      <c r="G1775" s="64" t="s">
        <v>509</v>
      </c>
      <c r="H1775" s="62" t="s">
        <v>138</v>
      </c>
    </row>
    <row r="1776" customFormat="false" ht="15" hidden="false" customHeight="false" outlineLevel="0" collapsed="false">
      <c r="A1776" s="62" t="n">
        <v>0</v>
      </c>
      <c r="B1776" s="62" t="s">
        <v>381</v>
      </c>
      <c r="C1776" s="62" t="s">
        <v>60</v>
      </c>
      <c r="D1776" s="62" t="s">
        <v>382</v>
      </c>
      <c r="E1776" s="62" t="s">
        <v>382</v>
      </c>
      <c r="F1776" s="63" t="s">
        <v>513</v>
      </c>
      <c r="G1776" s="64" t="s">
        <v>509</v>
      </c>
      <c r="H1776" s="62" t="s">
        <v>138</v>
      </c>
    </row>
    <row r="1777" customFormat="false" ht="15" hidden="false" customHeight="false" outlineLevel="0" collapsed="false">
      <c r="A1777" s="62" t="n">
        <v>0</v>
      </c>
      <c r="B1777" s="62" t="s">
        <v>383</v>
      </c>
      <c r="C1777" s="62" t="s">
        <v>60</v>
      </c>
      <c r="D1777" s="62" t="s">
        <v>382</v>
      </c>
      <c r="E1777" s="62" t="s">
        <v>382</v>
      </c>
      <c r="F1777" s="63" t="s">
        <v>513</v>
      </c>
      <c r="G1777" s="64" t="s">
        <v>509</v>
      </c>
      <c r="H1777" s="62" t="s">
        <v>138</v>
      </c>
    </row>
    <row r="1778" customFormat="false" ht="15" hidden="false" customHeight="false" outlineLevel="0" collapsed="false">
      <c r="A1778" s="62" t="n">
        <v>0</v>
      </c>
      <c r="B1778" s="62" t="s">
        <v>384</v>
      </c>
      <c r="C1778" s="62" t="s">
        <v>60</v>
      </c>
      <c r="D1778" s="62" t="s">
        <v>382</v>
      </c>
      <c r="E1778" s="62" t="s">
        <v>382</v>
      </c>
      <c r="F1778" s="63" t="s">
        <v>513</v>
      </c>
      <c r="G1778" s="64" t="s">
        <v>509</v>
      </c>
      <c r="H1778" s="62" t="s">
        <v>138</v>
      </c>
    </row>
    <row r="1779" customFormat="false" ht="15" hidden="false" customHeight="false" outlineLevel="0" collapsed="false">
      <c r="A1779" s="62" t="n">
        <v>0</v>
      </c>
      <c r="B1779" s="62" t="s">
        <v>385</v>
      </c>
      <c r="C1779" s="62" t="s">
        <v>60</v>
      </c>
      <c r="D1779" s="62" t="s">
        <v>382</v>
      </c>
      <c r="E1779" s="62" t="s">
        <v>382</v>
      </c>
      <c r="F1779" s="63" t="s">
        <v>513</v>
      </c>
      <c r="G1779" s="64" t="s">
        <v>509</v>
      </c>
      <c r="H1779" s="62" t="s">
        <v>138</v>
      </c>
    </row>
    <row r="1780" customFormat="false" ht="15" hidden="false" customHeight="false" outlineLevel="0" collapsed="false">
      <c r="A1780" s="62" t="n">
        <v>0</v>
      </c>
      <c r="B1780" s="62" t="s">
        <v>386</v>
      </c>
      <c r="C1780" s="62" t="s">
        <v>60</v>
      </c>
      <c r="D1780" s="62" t="s">
        <v>382</v>
      </c>
      <c r="E1780" s="62" t="s">
        <v>382</v>
      </c>
      <c r="F1780" s="63" t="s">
        <v>513</v>
      </c>
      <c r="G1780" s="64" t="s">
        <v>509</v>
      </c>
      <c r="H1780" s="62" t="s">
        <v>138</v>
      </c>
    </row>
    <row r="1781" customFormat="false" ht="15" hidden="false" customHeight="false" outlineLevel="0" collapsed="false">
      <c r="A1781" s="62" t="n">
        <v>0</v>
      </c>
      <c r="B1781" s="62" t="s">
        <v>387</v>
      </c>
      <c r="C1781" s="62" t="s">
        <v>60</v>
      </c>
      <c r="D1781" s="62" t="s">
        <v>382</v>
      </c>
      <c r="E1781" s="62" t="s">
        <v>382</v>
      </c>
      <c r="F1781" s="63" t="s">
        <v>513</v>
      </c>
      <c r="G1781" s="64" t="s">
        <v>509</v>
      </c>
      <c r="H1781" s="62" t="s">
        <v>138</v>
      </c>
    </row>
    <row r="1782" customFormat="false" ht="15" hidden="false" customHeight="false" outlineLevel="0" collapsed="false">
      <c r="A1782" s="62" t="n">
        <v>0</v>
      </c>
      <c r="B1782" s="62" t="s">
        <v>388</v>
      </c>
      <c r="C1782" s="62" t="s">
        <v>60</v>
      </c>
      <c r="D1782" s="62" t="s">
        <v>382</v>
      </c>
      <c r="E1782" s="62" t="s">
        <v>382</v>
      </c>
      <c r="F1782" s="63" t="s">
        <v>513</v>
      </c>
      <c r="G1782" s="64" t="s">
        <v>509</v>
      </c>
      <c r="H1782" s="62" t="s">
        <v>138</v>
      </c>
    </row>
    <row r="1783" customFormat="false" ht="15" hidden="false" customHeight="false" outlineLevel="0" collapsed="false">
      <c r="A1783" s="62" t="n">
        <v>0</v>
      </c>
      <c r="B1783" s="62" t="s">
        <v>381</v>
      </c>
      <c r="C1783" s="62" t="s">
        <v>60</v>
      </c>
      <c r="D1783" s="62" t="s">
        <v>382</v>
      </c>
      <c r="E1783" s="62" t="s">
        <v>382</v>
      </c>
      <c r="F1783" s="63" t="s">
        <v>514</v>
      </c>
      <c r="G1783" s="64" t="s">
        <v>509</v>
      </c>
      <c r="H1783" s="62" t="s">
        <v>138</v>
      </c>
    </row>
    <row r="1784" customFormat="false" ht="15" hidden="false" customHeight="false" outlineLevel="0" collapsed="false">
      <c r="A1784" s="62" t="n">
        <v>0</v>
      </c>
      <c r="B1784" s="62" t="s">
        <v>383</v>
      </c>
      <c r="C1784" s="62" t="s">
        <v>60</v>
      </c>
      <c r="D1784" s="62" t="s">
        <v>382</v>
      </c>
      <c r="E1784" s="62" t="s">
        <v>382</v>
      </c>
      <c r="F1784" s="63" t="s">
        <v>514</v>
      </c>
      <c r="G1784" s="64" t="s">
        <v>509</v>
      </c>
      <c r="H1784" s="62" t="s">
        <v>138</v>
      </c>
    </row>
    <row r="1785" customFormat="false" ht="15" hidden="false" customHeight="false" outlineLevel="0" collapsed="false">
      <c r="A1785" s="62" t="n">
        <v>0</v>
      </c>
      <c r="B1785" s="62" t="s">
        <v>384</v>
      </c>
      <c r="C1785" s="62" t="s">
        <v>60</v>
      </c>
      <c r="D1785" s="62" t="s">
        <v>382</v>
      </c>
      <c r="E1785" s="62" t="s">
        <v>382</v>
      </c>
      <c r="F1785" s="63" t="s">
        <v>514</v>
      </c>
      <c r="G1785" s="64" t="s">
        <v>509</v>
      </c>
      <c r="H1785" s="62" t="s">
        <v>138</v>
      </c>
    </row>
    <row r="1786" customFormat="false" ht="15" hidden="false" customHeight="false" outlineLevel="0" collapsed="false">
      <c r="A1786" s="62" t="n">
        <v>0</v>
      </c>
      <c r="B1786" s="62" t="s">
        <v>385</v>
      </c>
      <c r="C1786" s="62" t="s">
        <v>60</v>
      </c>
      <c r="D1786" s="62" t="s">
        <v>382</v>
      </c>
      <c r="E1786" s="62" t="s">
        <v>382</v>
      </c>
      <c r="F1786" s="63" t="s">
        <v>514</v>
      </c>
      <c r="G1786" s="64" t="s">
        <v>509</v>
      </c>
      <c r="H1786" s="62" t="s">
        <v>138</v>
      </c>
    </row>
    <row r="1787" customFormat="false" ht="15" hidden="false" customHeight="false" outlineLevel="0" collapsed="false">
      <c r="A1787" s="62" t="n">
        <v>0</v>
      </c>
      <c r="B1787" s="62" t="s">
        <v>386</v>
      </c>
      <c r="C1787" s="62" t="s">
        <v>60</v>
      </c>
      <c r="D1787" s="62" t="s">
        <v>382</v>
      </c>
      <c r="E1787" s="62" t="s">
        <v>382</v>
      </c>
      <c r="F1787" s="63" t="s">
        <v>514</v>
      </c>
      <c r="G1787" s="64" t="s">
        <v>509</v>
      </c>
      <c r="H1787" s="62" t="s">
        <v>138</v>
      </c>
    </row>
    <row r="1788" customFormat="false" ht="15" hidden="false" customHeight="false" outlineLevel="0" collapsed="false">
      <c r="A1788" s="62" t="n">
        <v>0</v>
      </c>
      <c r="B1788" s="62" t="s">
        <v>387</v>
      </c>
      <c r="C1788" s="62" t="s">
        <v>60</v>
      </c>
      <c r="D1788" s="62" t="s">
        <v>382</v>
      </c>
      <c r="E1788" s="62" t="s">
        <v>382</v>
      </c>
      <c r="F1788" s="63" t="s">
        <v>514</v>
      </c>
      <c r="G1788" s="64" t="s">
        <v>509</v>
      </c>
      <c r="H1788" s="62" t="s">
        <v>138</v>
      </c>
    </row>
    <row r="1789" customFormat="false" ht="15" hidden="false" customHeight="false" outlineLevel="0" collapsed="false">
      <c r="A1789" s="62" t="n">
        <v>0</v>
      </c>
      <c r="B1789" s="62" t="s">
        <v>388</v>
      </c>
      <c r="C1789" s="62" t="s">
        <v>60</v>
      </c>
      <c r="D1789" s="62" t="s">
        <v>382</v>
      </c>
      <c r="E1789" s="62" t="s">
        <v>382</v>
      </c>
      <c r="F1789" s="63" t="s">
        <v>514</v>
      </c>
      <c r="G1789" s="64" t="s">
        <v>509</v>
      </c>
      <c r="H1789" s="62" t="s">
        <v>138</v>
      </c>
    </row>
    <row r="1790" customFormat="false" ht="15" hidden="false" customHeight="false" outlineLevel="0" collapsed="false">
      <c r="A1790" s="62" t="n">
        <v>0</v>
      </c>
      <c r="B1790" s="62" t="s">
        <v>381</v>
      </c>
      <c r="C1790" s="62" t="s">
        <v>60</v>
      </c>
      <c r="D1790" s="62" t="s">
        <v>382</v>
      </c>
      <c r="E1790" s="62" t="s">
        <v>382</v>
      </c>
      <c r="F1790" s="63" t="s">
        <v>515</v>
      </c>
      <c r="G1790" s="64" t="s">
        <v>509</v>
      </c>
      <c r="H1790" s="62" t="s">
        <v>138</v>
      </c>
    </row>
    <row r="1791" customFormat="false" ht="15" hidden="false" customHeight="false" outlineLevel="0" collapsed="false">
      <c r="A1791" s="62" t="n">
        <v>0</v>
      </c>
      <c r="B1791" s="62" t="s">
        <v>383</v>
      </c>
      <c r="C1791" s="62" t="s">
        <v>60</v>
      </c>
      <c r="D1791" s="62" t="s">
        <v>382</v>
      </c>
      <c r="E1791" s="62" t="s">
        <v>382</v>
      </c>
      <c r="F1791" s="63" t="s">
        <v>515</v>
      </c>
      <c r="G1791" s="64" t="s">
        <v>509</v>
      </c>
      <c r="H1791" s="62" t="s">
        <v>138</v>
      </c>
    </row>
    <row r="1792" customFormat="false" ht="15" hidden="false" customHeight="false" outlineLevel="0" collapsed="false">
      <c r="A1792" s="62" t="n">
        <v>0</v>
      </c>
      <c r="B1792" s="62" t="s">
        <v>384</v>
      </c>
      <c r="C1792" s="62" t="s">
        <v>60</v>
      </c>
      <c r="D1792" s="62" t="s">
        <v>382</v>
      </c>
      <c r="E1792" s="62" t="s">
        <v>382</v>
      </c>
      <c r="F1792" s="63" t="s">
        <v>515</v>
      </c>
      <c r="G1792" s="64" t="s">
        <v>509</v>
      </c>
      <c r="H1792" s="62" t="s">
        <v>138</v>
      </c>
    </row>
    <row r="1793" customFormat="false" ht="15" hidden="false" customHeight="false" outlineLevel="0" collapsed="false">
      <c r="A1793" s="62" t="n">
        <v>0</v>
      </c>
      <c r="B1793" s="62" t="s">
        <v>385</v>
      </c>
      <c r="C1793" s="62" t="s">
        <v>60</v>
      </c>
      <c r="D1793" s="62" t="s">
        <v>382</v>
      </c>
      <c r="E1793" s="62" t="s">
        <v>382</v>
      </c>
      <c r="F1793" s="63" t="s">
        <v>515</v>
      </c>
      <c r="G1793" s="64" t="s">
        <v>509</v>
      </c>
      <c r="H1793" s="62" t="s">
        <v>138</v>
      </c>
    </row>
    <row r="1794" customFormat="false" ht="15" hidden="false" customHeight="false" outlineLevel="0" collapsed="false">
      <c r="A1794" s="62" t="n">
        <v>0</v>
      </c>
      <c r="B1794" s="62" t="s">
        <v>386</v>
      </c>
      <c r="C1794" s="62" t="s">
        <v>60</v>
      </c>
      <c r="D1794" s="62" t="s">
        <v>382</v>
      </c>
      <c r="E1794" s="62" t="s">
        <v>382</v>
      </c>
      <c r="F1794" s="63" t="s">
        <v>515</v>
      </c>
      <c r="G1794" s="64" t="s">
        <v>509</v>
      </c>
      <c r="H1794" s="62" t="s">
        <v>138</v>
      </c>
    </row>
    <row r="1795" customFormat="false" ht="15" hidden="false" customHeight="false" outlineLevel="0" collapsed="false">
      <c r="A1795" s="62" t="n">
        <v>0</v>
      </c>
      <c r="B1795" s="62" t="s">
        <v>387</v>
      </c>
      <c r="C1795" s="62" t="s">
        <v>60</v>
      </c>
      <c r="D1795" s="62" t="s">
        <v>382</v>
      </c>
      <c r="E1795" s="62" t="s">
        <v>382</v>
      </c>
      <c r="F1795" s="63" t="s">
        <v>515</v>
      </c>
      <c r="G1795" s="64" t="s">
        <v>509</v>
      </c>
      <c r="H1795" s="62" t="s">
        <v>138</v>
      </c>
    </row>
    <row r="1796" customFormat="false" ht="15" hidden="false" customHeight="false" outlineLevel="0" collapsed="false">
      <c r="A1796" s="62" t="n">
        <v>0</v>
      </c>
      <c r="B1796" s="62" t="s">
        <v>388</v>
      </c>
      <c r="C1796" s="62" t="s">
        <v>60</v>
      </c>
      <c r="D1796" s="62" t="s">
        <v>382</v>
      </c>
      <c r="E1796" s="62" t="s">
        <v>382</v>
      </c>
      <c r="F1796" s="63" t="s">
        <v>515</v>
      </c>
      <c r="G1796" s="64" t="s">
        <v>509</v>
      </c>
      <c r="H1796" s="62" t="s">
        <v>138</v>
      </c>
    </row>
    <row r="1797" customFormat="false" ht="15" hidden="false" customHeight="false" outlineLevel="0" collapsed="false">
      <c r="A1797" s="62" t="n">
        <v>0</v>
      </c>
      <c r="B1797" s="62" t="s">
        <v>381</v>
      </c>
      <c r="C1797" s="62" t="s">
        <v>60</v>
      </c>
      <c r="D1797" s="62" t="s">
        <v>382</v>
      </c>
      <c r="E1797" s="62" t="s">
        <v>382</v>
      </c>
      <c r="F1797" s="63" t="s">
        <v>516</v>
      </c>
      <c r="G1797" s="64" t="s">
        <v>509</v>
      </c>
      <c r="H1797" s="62" t="s">
        <v>138</v>
      </c>
    </row>
    <row r="1798" customFormat="false" ht="15" hidden="false" customHeight="false" outlineLevel="0" collapsed="false">
      <c r="A1798" s="62" t="n">
        <v>0</v>
      </c>
      <c r="B1798" s="62" t="s">
        <v>383</v>
      </c>
      <c r="C1798" s="62" t="s">
        <v>60</v>
      </c>
      <c r="D1798" s="62" t="s">
        <v>382</v>
      </c>
      <c r="E1798" s="62" t="s">
        <v>382</v>
      </c>
      <c r="F1798" s="63" t="s">
        <v>516</v>
      </c>
      <c r="G1798" s="64" t="s">
        <v>509</v>
      </c>
      <c r="H1798" s="62" t="s">
        <v>138</v>
      </c>
    </row>
    <row r="1799" customFormat="false" ht="15" hidden="false" customHeight="false" outlineLevel="0" collapsed="false">
      <c r="A1799" s="62" t="n">
        <v>0</v>
      </c>
      <c r="B1799" s="62" t="s">
        <v>384</v>
      </c>
      <c r="C1799" s="62" t="s">
        <v>60</v>
      </c>
      <c r="D1799" s="62" t="s">
        <v>382</v>
      </c>
      <c r="E1799" s="62" t="s">
        <v>382</v>
      </c>
      <c r="F1799" s="63" t="s">
        <v>516</v>
      </c>
      <c r="G1799" s="64" t="s">
        <v>509</v>
      </c>
      <c r="H1799" s="62" t="s">
        <v>138</v>
      </c>
    </row>
    <row r="1800" customFormat="false" ht="15" hidden="false" customHeight="false" outlineLevel="0" collapsed="false">
      <c r="A1800" s="62" t="n">
        <v>0</v>
      </c>
      <c r="B1800" s="62" t="s">
        <v>385</v>
      </c>
      <c r="C1800" s="62" t="s">
        <v>60</v>
      </c>
      <c r="D1800" s="62" t="s">
        <v>382</v>
      </c>
      <c r="E1800" s="62" t="s">
        <v>382</v>
      </c>
      <c r="F1800" s="63" t="s">
        <v>516</v>
      </c>
      <c r="G1800" s="64" t="s">
        <v>509</v>
      </c>
      <c r="H1800" s="62" t="s">
        <v>138</v>
      </c>
    </row>
    <row r="1801" customFormat="false" ht="15" hidden="false" customHeight="false" outlineLevel="0" collapsed="false">
      <c r="A1801" s="62" t="n">
        <v>0</v>
      </c>
      <c r="B1801" s="62" t="s">
        <v>386</v>
      </c>
      <c r="C1801" s="62" t="s">
        <v>60</v>
      </c>
      <c r="D1801" s="62" t="s">
        <v>382</v>
      </c>
      <c r="E1801" s="62" t="s">
        <v>382</v>
      </c>
      <c r="F1801" s="63" t="s">
        <v>516</v>
      </c>
      <c r="G1801" s="64" t="s">
        <v>509</v>
      </c>
      <c r="H1801" s="62" t="s">
        <v>138</v>
      </c>
    </row>
    <row r="1802" customFormat="false" ht="15" hidden="false" customHeight="false" outlineLevel="0" collapsed="false">
      <c r="A1802" s="62" t="n">
        <v>0</v>
      </c>
      <c r="B1802" s="62" t="s">
        <v>387</v>
      </c>
      <c r="C1802" s="62" t="s">
        <v>60</v>
      </c>
      <c r="D1802" s="62" t="s">
        <v>382</v>
      </c>
      <c r="E1802" s="62" t="s">
        <v>382</v>
      </c>
      <c r="F1802" s="63" t="s">
        <v>516</v>
      </c>
      <c r="G1802" s="64" t="s">
        <v>509</v>
      </c>
      <c r="H1802" s="62" t="s">
        <v>138</v>
      </c>
    </row>
    <row r="1803" customFormat="false" ht="15" hidden="false" customHeight="false" outlineLevel="0" collapsed="false">
      <c r="A1803" s="62" t="n">
        <v>0</v>
      </c>
      <c r="B1803" s="62" t="s">
        <v>388</v>
      </c>
      <c r="C1803" s="62" t="s">
        <v>60</v>
      </c>
      <c r="D1803" s="62" t="s">
        <v>382</v>
      </c>
      <c r="E1803" s="62" t="s">
        <v>382</v>
      </c>
      <c r="F1803" s="63" t="s">
        <v>516</v>
      </c>
      <c r="G1803" s="64" t="s">
        <v>509</v>
      </c>
      <c r="H1803" s="62" t="s">
        <v>138</v>
      </c>
    </row>
    <row r="1804" customFormat="false" ht="15" hidden="false" customHeight="false" outlineLevel="0" collapsed="false">
      <c r="A1804" s="62" t="n">
        <v>0</v>
      </c>
      <c r="B1804" s="62" t="s">
        <v>381</v>
      </c>
      <c r="C1804" s="62" t="s">
        <v>60</v>
      </c>
      <c r="D1804" s="62" t="s">
        <v>382</v>
      </c>
      <c r="E1804" s="62" t="s">
        <v>382</v>
      </c>
      <c r="F1804" s="63" t="s">
        <v>517</v>
      </c>
      <c r="G1804" s="64" t="s">
        <v>509</v>
      </c>
      <c r="H1804" s="62" t="s">
        <v>138</v>
      </c>
    </row>
    <row r="1805" customFormat="false" ht="15" hidden="false" customHeight="false" outlineLevel="0" collapsed="false">
      <c r="A1805" s="62" t="n">
        <v>0</v>
      </c>
      <c r="B1805" s="62" t="s">
        <v>383</v>
      </c>
      <c r="C1805" s="62" t="s">
        <v>60</v>
      </c>
      <c r="D1805" s="62" t="s">
        <v>382</v>
      </c>
      <c r="E1805" s="62" t="s">
        <v>382</v>
      </c>
      <c r="F1805" s="63" t="s">
        <v>517</v>
      </c>
      <c r="G1805" s="64" t="s">
        <v>509</v>
      </c>
      <c r="H1805" s="62" t="s">
        <v>138</v>
      </c>
    </row>
    <row r="1806" customFormat="false" ht="15" hidden="false" customHeight="false" outlineLevel="0" collapsed="false">
      <c r="A1806" s="62" t="n">
        <v>0</v>
      </c>
      <c r="B1806" s="62" t="s">
        <v>384</v>
      </c>
      <c r="C1806" s="62" t="s">
        <v>60</v>
      </c>
      <c r="D1806" s="62" t="s">
        <v>382</v>
      </c>
      <c r="E1806" s="62" t="s">
        <v>382</v>
      </c>
      <c r="F1806" s="63" t="s">
        <v>517</v>
      </c>
      <c r="G1806" s="64" t="s">
        <v>509</v>
      </c>
      <c r="H1806" s="62" t="s">
        <v>138</v>
      </c>
    </row>
    <row r="1807" customFormat="false" ht="15" hidden="false" customHeight="false" outlineLevel="0" collapsed="false">
      <c r="A1807" s="62" t="n">
        <v>0</v>
      </c>
      <c r="B1807" s="62" t="s">
        <v>385</v>
      </c>
      <c r="C1807" s="62" t="s">
        <v>60</v>
      </c>
      <c r="D1807" s="62" t="s">
        <v>382</v>
      </c>
      <c r="E1807" s="62" t="s">
        <v>382</v>
      </c>
      <c r="F1807" s="63" t="s">
        <v>517</v>
      </c>
      <c r="G1807" s="64" t="s">
        <v>509</v>
      </c>
      <c r="H1807" s="62" t="s">
        <v>138</v>
      </c>
    </row>
    <row r="1808" customFormat="false" ht="15" hidden="false" customHeight="false" outlineLevel="0" collapsed="false">
      <c r="A1808" s="62" t="n">
        <v>0</v>
      </c>
      <c r="B1808" s="62" t="s">
        <v>386</v>
      </c>
      <c r="C1808" s="62" t="s">
        <v>60</v>
      </c>
      <c r="D1808" s="62" t="s">
        <v>382</v>
      </c>
      <c r="E1808" s="62" t="s">
        <v>382</v>
      </c>
      <c r="F1808" s="63" t="s">
        <v>517</v>
      </c>
      <c r="G1808" s="64" t="s">
        <v>509</v>
      </c>
      <c r="H1808" s="62" t="s">
        <v>138</v>
      </c>
    </row>
    <row r="1809" customFormat="false" ht="15" hidden="false" customHeight="false" outlineLevel="0" collapsed="false">
      <c r="A1809" s="62" t="n">
        <v>0</v>
      </c>
      <c r="B1809" s="62" t="s">
        <v>387</v>
      </c>
      <c r="C1809" s="62" t="s">
        <v>60</v>
      </c>
      <c r="D1809" s="62" t="s">
        <v>382</v>
      </c>
      <c r="E1809" s="62" t="s">
        <v>382</v>
      </c>
      <c r="F1809" s="63" t="s">
        <v>517</v>
      </c>
      <c r="G1809" s="64" t="s">
        <v>509</v>
      </c>
      <c r="H1809" s="62" t="s">
        <v>138</v>
      </c>
    </row>
    <row r="1810" customFormat="false" ht="15" hidden="false" customHeight="false" outlineLevel="0" collapsed="false">
      <c r="A1810" s="62" t="n">
        <v>0</v>
      </c>
      <c r="B1810" s="62" t="s">
        <v>388</v>
      </c>
      <c r="C1810" s="62" t="s">
        <v>60</v>
      </c>
      <c r="D1810" s="62" t="s">
        <v>382</v>
      </c>
      <c r="E1810" s="62" t="s">
        <v>382</v>
      </c>
      <c r="F1810" s="63" t="s">
        <v>517</v>
      </c>
      <c r="G1810" s="64" t="s">
        <v>509</v>
      </c>
      <c r="H1810" s="62" t="s">
        <v>138</v>
      </c>
    </row>
    <row r="1811" customFormat="false" ht="15" hidden="false" customHeight="false" outlineLevel="0" collapsed="false">
      <c r="A1811" s="62" t="n">
        <v>0</v>
      </c>
      <c r="B1811" s="62" t="s">
        <v>381</v>
      </c>
      <c r="C1811" s="62" t="s">
        <v>60</v>
      </c>
      <c r="D1811" s="62" t="s">
        <v>382</v>
      </c>
      <c r="E1811" s="62" t="s">
        <v>382</v>
      </c>
      <c r="F1811" s="63" t="s">
        <v>518</v>
      </c>
      <c r="G1811" s="64" t="s">
        <v>509</v>
      </c>
      <c r="H1811" s="62" t="s">
        <v>138</v>
      </c>
    </row>
    <row r="1812" customFormat="false" ht="15" hidden="false" customHeight="false" outlineLevel="0" collapsed="false">
      <c r="A1812" s="62" t="n">
        <v>0</v>
      </c>
      <c r="B1812" s="62" t="s">
        <v>383</v>
      </c>
      <c r="C1812" s="62" t="s">
        <v>60</v>
      </c>
      <c r="D1812" s="62" t="s">
        <v>382</v>
      </c>
      <c r="E1812" s="62" t="s">
        <v>382</v>
      </c>
      <c r="F1812" s="63" t="s">
        <v>518</v>
      </c>
      <c r="G1812" s="64" t="s">
        <v>509</v>
      </c>
      <c r="H1812" s="62" t="s">
        <v>138</v>
      </c>
    </row>
    <row r="1813" customFormat="false" ht="15" hidden="false" customHeight="false" outlineLevel="0" collapsed="false">
      <c r="A1813" s="62" t="n">
        <v>0</v>
      </c>
      <c r="B1813" s="62" t="s">
        <v>384</v>
      </c>
      <c r="C1813" s="62" t="s">
        <v>60</v>
      </c>
      <c r="D1813" s="62" t="s">
        <v>382</v>
      </c>
      <c r="E1813" s="62" t="s">
        <v>382</v>
      </c>
      <c r="F1813" s="63" t="s">
        <v>518</v>
      </c>
      <c r="G1813" s="64" t="s">
        <v>509</v>
      </c>
      <c r="H1813" s="62" t="s">
        <v>138</v>
      </c>
    </row>
    <row r="1814" customFormat="false" ht="15" hidden="false" customHeight="false" outlineLevel="0" collapsed="false">
      <c r="A1814" s="62" t="n">
        <v>0</v>
      </c>
      <c r="B1814" s="62" t="s">
        <v>385</v>
      </c>
      <c r="C1814" s="62" t="s">
        <v>60</v>
      </c>
      <c r="D1814" s="62" t="s">
        <v>382</v>
      </c>
      <c r="E1814" s="62" t="s">
        <v>382</v>
      </c>
      <c r="F1814" s="63" t="s">
        <v>518</v>
      </c>
      <c r="G1814" s="64" t="s">
        <v>509</v>
      </c>
      <c r="H1814" s="62" t="s">
        <v>138</v>
      </c>
    </row>
    <row r="1815" customFormat="false" ht="15" hidden="false" customHeight="false" outlineLevel="0" collapsed="false">
      <c r="A1815" s="62" t="n">
        <v>0</v>
      </c>
      <c r="B1815" s="62" t="s">
        <v>386</v>
      </c>
      <c r="C1815" s="62" t="s">
        <v>60</v>
      </c>
      <c r="D1815" s="62" t="s">
        <v>382</v>
      </c>
      <c r="E1815" s="62" t="s">
        <v>382</v>
      </c>
      <c r="F1815" s="63" t="s">
        <v>518</v>
      </c>
      <c r="G1815" s="64" t="s">
        <v>509</v>
      </c>
      <c r="H1815" s="62" t="s">
        <v>138</v>
      </c>
    </row>
    <row r="1816" customFormat="false" ht="15" hidden="false" customHeight="false" outlineLevel="0" collapsed="false">
      <c r="A1816" s="62" t="n">
        <v>0</v>
      </c>
      <c r="B1816" s="62" t="s">
        <v>387</v>
      </c>
      <c r="C1816" s="62" t="s">
        <v>60</v>
      </c>
      <c r="D1816" s="62" t="s">
        <v>382</v>
      </c>
      <c r="E1816" s="62" t="s">
        <v>382</v>
      </c>
      <c r="F1816" s="63" t="s">
        <v>518</v>
      </c>
      <c r="G1816" s="64" t="s">
        <v>509</v>
      </c>
      <c r="H1816" s="62" t="s">
        <v>138</v>
      </c>
    </row>
    <row r="1817" customFormat="false" ht="15" hidden="false" customHeight="false" outlineLevel="0" collapsed="false">
      <c r="A1817" s="62" t="n">
        <v>0</v>
      </c>
      <c r="B1817" s="62" t="s">
        <v>388</v>
      </c>
      <c r="C1817" s="62" t="s">
        <v>60</v>
      </c>
      <c r="D1817" s="62" t="s">
        <v>382</v>
      </c>
      <c r="E1817" s="62" t="s">
        <v>382</v>
      </c>
      <c r="F1817" s="63" t="s">
        <v>518</v>
      </c>
      <c r="G1817" s="64" t="s">
        <v>509</v>
      </c>
      <c r="H1817" s="62" t="s">
        <v>138</v>
      </c>
    </row>
    <row r="1818" customFormat="false" ht="15" hidden="false" customHeight="false" outlineLevel="0" collapsed="false">
      <c r="A1818" s="62" t="n">
        <v>0</v>
      </c>
      <c r="B1818" s="62" t="s">
        <v>381</v>
      </c>
      <c r="C1818" s="62" t="s">
        <v>60</v>
      </c>
      <c r="D1818" s="62" t="s">
        <v>382</v>
      </c>
      <c r="E1818" s="62" t="s">
        <v>382</v>
      </c>
      <c r="F1818" s="63" t="s">
        <v>519</v>
      </c>
      <c r="G1818" s="64" t="s">
        <v>509</v>
      </c>
      <c r="H1818" s="62" t="s">
        <v>138</v>
      </c>
    </row>
    <row r="1819" customFormat="false" ht="15" hidden="false" customHeight="false" outlineLevel="0" collapsed="false">
      <c r="A1819" s="62" t="n">
        <v>0</v>
      </c>
      <c r="B1819" s="62" t="s">
        <v>383</v>
      </c>
      <c r="C1819" s="62" t="s">
        <v>60</v>
      </c>
      <c r="D1819" s="62" t="s">
        <v>382</v>
      </c>
      <c r="E1819" s="62" t="s">
        <v>382</v>
      </c>
      <c r="F1819" s="63" t="s">
        <v>519</v>
      </c>
      <c r="G1819" s="64" t="s">
        <v>509</v>
      </c>
      <c r="H1819" s="62" t="s">
        <v>138</v>
      </c>
    </row>
    <row r="1820" customFormat="false" ht="15" hidden="false" customHeight="false" outlineLevel="0" collapsed="false">
      <c r="A1820" s="62" t="n">
        <v>0</v>
      </c>
      <c r="B1820" s="62" t="s">
        <v>384</v>
      </c>
      <c r="C1820" s="62" t="s">
        <v>60</v>
      </c>
      <c r="D1820" s="62" t="s">
        <v>382</v>
      </c>
      <c r="E1820" s="62" t="s">
        <v>382</v>
      </c>
      <c r="F1820" s="63" t="s">
        <v>519</v>
      </c>
      <c r="G1820" s="64" t="s">
        <v>509</v>
      </c>
      <c r="H1820" s="62" t="s">
        <v>138</v>
      </c>
    </row>
    <row r="1821" customFormat="false" ht="15" hidden="false" customHeight="false" outlineLevel="0" collapsed="false">
      <c r="A1821" s="62" t="n">
        <v>0</v>
      </c>
      <c r="B1821" s="62" t="s">
        <v>385</v>
      </c>
      <c r="C1821" s="62" t="s">
        <v>60</v>
      </c>
      <c r="D1821" s="62" t="s">
        <v>382</v>
      </c>
      <c r="E1821" s="62" t="s">
        <v>382</v>
      </c>
      <c r="F1821" s="63" t="s">
        <v>519</v>
      </c>
      <c r="G1821" s="64" t="s">
        <v>509</v>
      </c>
      <c r="H1821" s="62" t="s">
        <v>138</v>
      </c>
    </row>
    <row r="1822" customFormat="false" ht="15" hidden="false" customHeight="false" outlineLevel="0" collapsed="false">
      <c r="A1822" s="62" t="n">
        <v>0</v>
      </c>
      <c r="B1822" s="62" t="s">
        <v>386</v>
      </c>
      <c r="C1822" s="62" t="s">
        <v>60</v>
      </c>
      <c r="D1822" s="62" t="s">
        <v>382</v>
      </c>
      <c r="E1822" s="62" t="s">
        <v>382</v>
      </c>
      <c r="F1822" s="63" t="s">
        <v>519</v>
      </c>
      <c r="G1822" s="64" t="s">
        <v>509</v>
      </c>
      <c r="H1822" s="62" t="s">
        <v>138</v>
      </c>
    </row>
    <row r="1823" customFormat="false" ht="15" hidden="false" customHeight="false" outlineLevel="0" collapsed="false">
      <c r="A1823" s="62" t="n">
        <v>0</v>
      </c>
      <c r="B1823" s="62" t="s">
        <v>387</v>
      </c>
      <c r="C1823" s="62" t="s">
        <v>60</v>
      </c>
      <c r="D1823" s="62" t="s">
        <v>382</v>
      </c>
      <c r="E1823" s="62" t="s">
        <v>382</v>
      </c>
      <c r="F1823" s="63" t="s">
        <v>519</v>
      </c>
      <c r="G1823" s="64" t="s">
        <v>509</v>
      </c>
      <c r="H1823" s="62" t="s">
        <v>138</v>
      </c>
    </row>
    <row r="1824" customFormat="false" ht="15" hidden="false" customHeight="false" outlineLevel="0" collapsed="false">
      <c r="A1824" s="62" t="n">
        <v>0</v>
      </c>
      <c r="B1824" s="62" t="s">
        <v>388</v>
      </c>
      <c r="C1824" s="62" t="s">
        <v>60</v>
      </c>
      <c r="D1824" s="62" t="s">
        <v>382</v>
      </c>
      <c r="E1824" s="62" t="s">
        <v>382</v>
      </c>
      <c r="F1824" s="63" t="s">
        <v>519</v>
      </c>
      <c r="G1824" s="64" t="s">
        <v>509</v>
      </c>
      <c r="H1824" s="62" t="s">
        <v>138</v>
      </c>
    </row>
    <row r="1825" customFormat="false" ht="15" hidden="false" customHeight="false" outlineLevel="0" collapsed="false">
      <c r="A1825" s="62" t="n">
        <v>0</v>
      </c>
      <c r="B1825" s="62" t="s">
        <v>381</v>
      </c>
      <c r="C1825" s="62" t="s">
        <v>60</v>
      </c>
      <c r="D1825" s="62" t="s">
        <v>382</v>
      </c>
      <c r="E1825" s="62" t="s">
        <v>382</v>
      </c>
      <c r="F1825" s="63" t="s">
        <v>520</v>
      </c>
      <c r="G1825" s="64" t="n">
        <v>3</v>
      </c>
      <c r="H1825" s="62" t="s">
        <v>138</v>
      </c>
    </row>
    <row r="1826" customFormat="false" ht="15" hidden="false" customHeight="false" outlineLevel="0" collapsed="false">
      <c r="A1826" s="62" t="n">
        <v>0</v>
      </c>
      <c r="B1826" s="62" t="s">
        <v>383</v>
      </c>
      <c r="C1826" s="62" t="s">
        <v>60</v>
      </c>
      <c r="D1826" s="62" t="s">
        <v>382</v>
      </c>
      <c r="E1826" s="62" t="s">
        <v>382</v>
      </c>
      <c r="F1826" s="63" t="s">
        <v>520</v>
      </c>
      <c r="G1826" s="64" t="n">
        <v>3</v>
      </c>
      <c r="H1826" s="62" t="s">
        <v>138</v>
      </c>
    </row>
    <row r="1827" customFormat="false" ht="15" hidden="false" customHeight="false" outlineLevel="0" collapsed="false">
      <c r="A1827" s="62" t="n">
        <v>0</v>
      </c>
      <c r="B1827" s="62" t="s">
        <v>384</v>
      </c>
      <c r="C1827" s="62" t="s">
        <v>60</v>
      </c>
      <c r="D1827" s="62" t="s">
        <v>382</v>
      </c>
      <c r="E1827" s="62" t="s">
        <v>382</v>
      </c>
      <c r="F1827" s="63" t="s">
        <v>520</v>
      </c>
      <c r="G1827" s="64" t="n">
        <v>3</v>
      </c>
      <c r="H1827" s="62" t="s">
        <v>138</v>
      </c>
    </row>
    <row r="1828" customFormat="false" ht="15" hidden="false" customHeight="false" outlineLevel="0" collapsed="false">
      <c r="A1828" s="62" t="n">
        <v>0</v>
      </c>
      <c r="B1828" s="62" t="s">
        <v>385</v>
      </c>
      <c r="C1828" s="62" t="s">
        <v>60</v>
      </c>
      <c r="D1828" s="62" t="s">
        <v>382</v>
      </c>
      <c r="E1828" s="62" t="s">
        <v>382</v>
      </c>
      <c r="F1828" s="63" t="s">
        <v>520</v>
      </c>
      <c r="G1828" s="64" t="n">
        <v>3</v>
      </c>
      <c r="H1828" s="62" t="s">
        <v>138</v>
      </c>
    </row>
    <row r="1829" customFormat="false" ht="15" hidden="false" customHeight="false" outlineLevel="0" collapsed="false">
      <c r="A1829" s="62" t="n">
        <v>0</v>
      </c>
      <c r="B1829" s="62" t="s">
        <v>386</v>
      </c>
      <c r="C1829" s="62" t="s">
        <v>60</v>
      </c>
      <c r="D1829" s="62" t="s">
        <v>382</v>
      </c>
      <c r="E1829" s="62" t="s">
        <v>382</v>
      </c>
      <c r="F1829" s="63" t="s">
        <v>520</v>
      </c>
      <c r="G1829" s="64" t="n">
        <v>3</v>
      </c>
      <c r="H1829" s="62" t="s">
        <v>138</v>
      </c>
    </row>
    <row r="1830" customFormat="false" ht="15" hidden="false" customHeight="false" outlineLevel="0" collapsed="false">
      <c r="A1830" s="62" t="n">
        <v>0</v>
      </c>
      <c r="B1830" s="62" t="s">
        <v>387</v>
      </c>
      <c r="C1830" s="62" t="s">
        <v>60</v>
      </c>
      <c r="D1830" s="62" t="s">
        <v>382</v>
      </c>
      <c r="E1830" s="62" t="s">
        <v>382</v>
      </c>
      <c r="F1830" s="63" t="s">
        <v>520</v>
      </c>
      <c r="G1830" s="64" t="n">
        <v>3</v>
      </c>
      <c r="H1830" s="62" t="s">
        <v>138</v>
      </c>
    </row>
    <row r="1831" customFormat="false" ht="15" hidden="false" customHeight="false" outlineLevel="0" collapsed="false">
      <c r="A1831" s="62" t="n">
        <v>0</v>
      </c>
      <c r="B1831" s="62" t="s">
        <v>388</v>
      </c>
      <c r="C1831" s="62" t="s">
        <v>60</v>
      </c>
      <c r="D1831" s="62" t="s">
        <v>382</v>
      </c>
      <c r="E1831" s="62" t="s">
        <v>382</v>
      </c>
      <c r="F1831" s="63" t="s">
        <v>520</v>
      </c>
      <c r="G1831" s="64" t="n">
        <v>3</v>
      </c>
      <c r="H1831" s="62" t="s">
        <v>138</v>
      </c>
    </row>
    <row r="1832" customFormat="false" ht="15" hidden="false" customHeight="false" outlineLevel="0" collapsed="false">
      <c r="A1832" s="62" t="n">
        <v>0</v>
      </c>
      <c r="B1832" s="62" t="s">
        <v>381</v>
      </c>
      <c r="C1832" s="62" t="s">
        <v>60</v>
      </c>
      <c r="D1832" s="62" t="s">
        <v>382</v>
      </c>
      <c r="E1832" s="62" t="s">
        <v>382</v>
      </c>
      <c r="F1832" s="63" t="s">
        <v>521</v>
      </c>
      <c r="G1832" s="64" t="n">
        <v>3</v>
      </c>
      <c r="H1832" s="62" t="s">
        <v>138</v>
      </c>
    </row>
    <row r="1833" customFormat="false" ht="15" hidden="false" customHeight="false" outlineLevel="0" collapsed="false">
      <c r="A1833" s="62" t="n">
        <v>0</v>
      </c>
      <c r="B1833" s="62" t="s">
        <v>383</v>
      </c>
      <c r="C1833" s="62" t="s">
        <v>60</v>
      </c>
      <c r="D1833" s="62" t="s">
        <v>382</v>
      </c>
      <c r="E1833" s="62" t="s">
        <v>382</v>
      </c>
      <c r="F1833" s="63" t="s">
        <v>521</v>
      </c>
      <c r="G1833" s="64" t="n">
        <v>3</v>
      </c>
      <c r="H1833" s="62" t="s">
        <v>138</v>
      </c>
    </row>
    <row r="1834" customFormat="false" ht="15" hidden="false" customHeight="false" outlineLevel="0" collapsed="false">
      <c r="A1834" s="62" t="n">
        <v>0</v>
      </c>
      <c r="B1834" s="62" t="s">
        <v>384</v>
      </c>
      <c r="C1834" s="62" t="s">
        <v>60</v>
      </c>
      <c r="D1834" s="62" t="s">
        <v>382</v>
      </c>
      <c r="E1834" s="62" t="s">
        <v>382</v>
      </c>
      <c r="F1834" s="63" t="s">
        <v>521</v>
      </c>
      <c r="G1834" s="64" t="n">
        <v>3</v>
      </c>
      <c r="H1834" s="62" t="s">
        <v>138</v>
      </c>
    </row>
    <row r="1835" customFormat="false" ht="15" hidden="false" customHeight="false" outlineLevel="0" collapsed="false">
      <c r="A1835" s="62" t="n">
        <v>0</v>
      </c>
      <c r="B1835" s="62" t="s">
        <v>385</v>
      </c>
      <c r="C1835" s="62" t="s">
        <v>60</v>
      </c>
      <c r="D1835" s="62" t="s">
        <v>382</v>
      </c>
      <c r="E1835" s="62" t="s">
        <v>382</v>
      </c>
      <c r="F1835" s="63" t="s">
        <v>521</v>
      </c>
      <c r="G1835" s="64" t="n">
        <v>3</v>
      </c>
      <c r="H1835" s="62" t="s">
        <v>138</v>
      </c>
    </row>
    <row r="1836" customFormat="false" ht="15" hidden="false" customHeight="false" outlineLevel="0" collapsed="false">
      <c r="A1836" s="62" t="n">
        <v>0</v>
      </c>
      <c r="B1836" s="62" t="s">
        <v>386</v>
      </c>
      <c r="C1836" s="62" t="s">
        <v>60</v>
      </c>
      <c r="D1836" s="62" t="s">
        <v>382</v>
      </c>
      <c r="E1836" s="62" t="s">
        <v>382</v>
      </c>
      <c r="F1836" s="63" t="s">
        <v>521</v>
      </c>
      <c r="G1836" s="64" t="n">
        <v>3</v>
      </c>
      <c r="H1836" s="62" t="s">
        <v>138</v>
      </c>
    </row>
    <row r="1837" customFormat="false" ht="15" hidden="false" customHeight="false" outlineLevel="0" collapsed="false">
      <c r="A1837" s="62" t="n">
        <v>0</v>
      </c>
      <c r="B1837" s="62" t="s">
        <v>387</v>
      </c>
      <c r="C1837" s="62" t="s">
        <v>60</v>
      </c>
      <c r="D1837" s="62" t="s">
        <v>382</v>
      </c>
      <c r="E1837" s="62" t="s">
        <v>382</v>
      </c>
      <c r="F1837" s="63" t="s">
        <v>521</v>
      </c>
      <c r="G1837" s="64" t="n">
        <v>3</v>
      </c>
      <c r="H1837" s="62" t="s">
        <v>138</v>
      </c>
    </row>
    <row r="1838" customFormat="false" ht="15" hidden="false" customHeight="false" outlineLevel="0" collapsed="false">
      <c r="A1838" s="62" t="n">
        <v>0</v>
      </c>
      <c r="B1838" s="62" t="s">
        <v>388</v>
      </c>
      <c r="C1838" s="62" t="s">
        <v>60</v>
      </c>
      <c r="D1838" s="62" t="s">
        <v>382</v>
      </c>
      <c r="E1838" s="62" t="s">
        <v>382</v>
      </c>
      <c r="F1838" s="63" t="s">
        <v>521</v>
      </c>
      <c r="G1838" s="64" t="n">
        <v>3</v>
      </c>
      <c r="H1838" s="62" t="s">
        <v>138</v>
      </c>
    </row>
    <row r="1839" customFormat="false" ht="15" hidden="false" customHeight="false" outlineLevel="0" collapsed="false">
      <c r="A1839" s="62" t="n">
        <v>0</v>
      </c>
      <c r="B1839" s="62" t="s">
        <v>381</v>
      </c>
      <c r="C1839" s="62" t="s">
        <v>60</v>
      </c>
      <c r="D1839" s="62" t="s">
        <v>382</v>
      </c>
      <c r="E1839" s="62" t="s">
        <v>382</v>
      </c>
      <c r="F1839" s="63" t="s">
        <v>522</v>
      </c>
      <c r="G1839" s="64" t="n">
        <v>3</v>
      </c>
      <c r="H1839" s="62" t="s">
        <v>138</v>
      </c>
    </row>
    <row r="1840" customFormat="false" ht="15" hidden="false" customHeight="false" outlineLevel="0" collapsed="false">
      <c r="A1840" s="62" t="n">
        <v>0</v>
      </c>
      <c r="B1840" s="62" t="s">
        <v>383</v>
      </c>
      <c r="C1840" s="62" t="s">
        <v>60</v>
      </c>
      <c r="D1840" s="62" t="s">
        <v>382</v>
      </c>
      <c r="E1840" s="62" t="s">
        <v>382</v>
      </c>
      <c r="F1840" s="63" t="s">
        <v>522</v>
      </c>
      <c r="G1840" s="64" t="n">
        <v>3</v>
      </c>
      <c r="H1840" s="62" t="s">
        <v>138</v>
      </c>
    </row>
    <row r="1841" customFormat="false" ht="15" hidden="false" customHeight="false" outlineLevel="0" collapsed="false">
      <c r="A1841" s="62" t="n">
        <v>0</v>
      </c>
      <c r="B1841" s="62" t="s">
        <v>384</v>
      </c>
      <c r="C1841" s="62" t="s">
        <v>60</v>
      </c>
      <c r="D1841" s="62" t="s">
        <v>382</v>
      </c>
      <c r="E1841" s="62" t="s">
        <v>382</v>
      </c>
      <c r="F1841" s="63" t="s">
        <v>522</v>
      </c>
      <c r="G1841" s="64" t="n">
        <v>3</v>
      </c>
      <c r="H1841" s="62" t="s">
        <v>138</v>
      </c>
    </row>
    <row r="1842" customFormat="false" ht="15" hidden="false" customHeight="false" outlineLevel="0" collapsed="false">
      <c r="A1842" s="62" t="n">
        <v>0</v>
      </c>
      <c r="B1842" s="62" t="s">
        <v>385</v>
      </c>
      <c r="C1842" s="62" t="s">
        <v>60</v>
      </c>
      <c r="D1842" s="62" t="s">
        <v>382</v>
      </c>
      <c r="E1842" s="62" t="s">
        <v>382</v>
      </c>
      <c r="F1842" s="63" t="s">
        <v>522</v>
      </c>
      <c r="G1842" s="64" t="n">
        <v>3</v>
      </c>
      <c r="H1842" s="62" t="s">
        <v>138</v>
      </c>
    </row>
    <row r="1843" customFormat="false" ht="15" hidden="false" customHeight="false" outlineLevel="0" collapsed="false">
      <c r="A1843" s="62" t="n">
        <v>0</v>
      </c>
      <c r="B1843" s="62" t="s">
        <v>386</v>
      </c>
      <c r="C1843" s="62" t="s">
        <v>60</v>
      </c>
      <c r="D1843" s="62" t="s">
        <v>382</v>
      </c>
      <c r="E1843" s="62" t="s">
        <v>382</v>
      </c>
      <c r="F1843" s="63" t="s">
        <v>522</v>
      </c>
      <c r="G1843" s="64" t="n">
        <v>3</v>
      </c>
      <c r="H1843" s="62" t="s">
        <v>138</v>
      </c>
    </row>
    <row r="1844" customFormat="false" ht="15" hidden="false" customHeight="false" outlineLevel="0" collapsed="false">
      <c r="A1844" s="62" t="n">
        <v>0</v>
      </c>
      <c r="B1844" s="62" t="s">
        <v>387</v>
      </c>
      <c r="C1844" s="62" t="s">
        <v>60</v>
      </c>
      <c r="D1844" s="62" t="s">
        <v>382</v>
      </c>
      <c r="E1844" s="62" t="s">
        <v>382</v>
      </c>
      <c r="F1844" s="63" t="s">
        <v>522</v>
      </c>
      <c r="G1844" s="64" t="n">
        <v>3</v>
      </c>
      <c r="H1844" s="62" t="s">
        <v>138</v>
      </c>
    </row>
    <row r="1845" customFormat="false" ht="15" hidden="false" customHeight="false" outlineLevel="0" collapsed="false">
      <c r="A1845" s="62" t="n">
        <v>0</v>
      </c>
      <c r="B1845" s="62" t="s">
        <v>388</v>
      </c>
      <c r="C1845" s="62" t="s">
        <v>60</v>
      </c>
      <c r="D1845" s="62" t="s">
        <v>382</v>
      </c>
      <c r="E1845" s="62" t="s">
        <v>382</v>
      </c>
      <c r="F1845" s="63" t="s">
        <v>522</v>
      </c>
      <c r="G1845" s="64" t="n">
        <v>3</v>
      </c>
      <c r="H1845" s="62" t="s">
        <v>138</v>
      </c>
    </row>
    <row r="1846" customFormat="false" ht="15" hidden="false" customHeight="false" outlineLevel="0" collapsed="false">
      <c r="A1846" s="62" t="n">
        <v>0</v>
      </c>
      <c r="B1846" s="62" t="s">
        <v>381</v>
      </c>
      <c r="C1846" s="62" t="s">
        <v>60</v>
      </c>
      <c r="D1846" s="62" t="s">
        <v>382</v>
      </c>
      <c r="E1846" s="62" t="s">
        <v>382</v>
      </c>
      <c r="F1846" s="63" t="s">
        <v>523</v>
      </c>
      <c r="G1846" s="64" t="n">
        <v>3</v>
      </c>
      <c r="H1846" s="62" t="s">
        <v>138</v>
      </c>
    </row>
    <row r="1847" customFormat="false" ht="15" hidden="false" customHeight="false" outlineLevel="0" collapsed="false">
      <c r="A1847" s="62" t="n">
        <v>0</v>
      </c>
      <c r="B1847" s="62" t="s">
        <v>383</v>
      </c>
      <c r="C1847" s="62" t="s">
        <v>60</v>
      </c>
      <c r="D1847" s="62" t="s">
        <v>382</v>
      </c>
      <c r="E1847" s="62" t="s">
        <v>382</v>
      </c>
      <c r="F1847" s="63" t="s">
        <v>523</v>
      </c>
      <c r="G1847" s="64" t="n">
        <v>3</v>
      </c>
      <c r="H1847" s="62" t="s">
        <v>138</v>
      </c>
    </row>
    <row r="1848" customFormat="false" ht="15" hidden="false" customHeight="false" outlineLevel="0" collapsed="false">
      <c r="A1848" s="62" t="n">
        <v>0</v>
      </c>
      <c r="B1848" s="62" t="s">
        <v>384</v>
      </c>
      <c r="C1848" s="62" t="s">
        <v>60</v>
      </c>
      <c r="D1848" s="62" t="s">
        <v>382</v>
      </c>
      <c r="E1848" s="62" t="s">
        <v>382</v>
      </c>
      <c r="F1848" s="63" t="s">
        <v>523</v>
      </c>
      <c r="G1848" s="64" t="n">
        <v>3</v>
      </c>
      <c r="H1848" s="62" t="s">
        <v>138</v>
      </c>
    </row>
    <row r="1849" customFormat="false" ht="15" hidden="false" customHeight="false" outlineLevel="0" collapsed="false">
      <c r="A1849" s="62" t="n">
        <v>0</v>
      </c>
      <c r="B1849" s="62" t="s">
        <v>385</v>
      </c>
      <c r="C1849" s="62" t="s">
        <v>60</v>
      </c>
      <c r="D1849" s="62" t="s">
        <v>382</v>
      </c>
      <c r="E1849" s="62" t="s">
        <v>382</v>
      </c>
      <c r="F1849" s="63" t="s">
        <v>523</v>
      </c>
      <c r="G1849" s="64" t="n">
        <v>3</v>
      </c>
      <c r="H1849" s="62" t="s">
        <v>138</v>
      </c>
    </row>
    <row r="1850" customFormat="false" ht="15" hidden="false" customHeight="false" outlineLevel="0" collapsed="false">
      <c r="A1850" s="62" t="n">
        <v>0</v>
      </c>
      <c r="B1850" s="62" t="s">
        <v>386</v>
      </c>
      <c r="C1850" s="62" t="s">
        <v>60</v>
      </c>
      <c r="D1850" s="62" t="s">
        <v>382</v>
      </c>
      <c r="E1850" s="62" t="s">
        <v>382</v>
      </c>
      <c r="F1850" s="63" t="s">
        <v>523</v>
      </c>
      <c r="G1850" s="64" t="n">
        <v>3</v>
      </c>
      <c r="H1850" s="62" t="s">
        <v>138</v>
      </c>
    </row>
    <row r="1851" customFormat="false" ht="15" hidden="false" customHeight="false" outlineLevel="0" collapsed="false">
      <c r="A1851" s="62" t="n">
        <v>0</v>
      </c>
      <c r="B1851" s="62" t="s">
        <v>387</v>
      </c>
      <c r="C1851" s="62" t="s">
        <v>60</v>
      </c>
      <c r="D1851" s="62" t="s">
        <v>382</v>
      </c>
      <c r="E1851" s="62" t="s">
        <v>382</v>
      </c>
      <c r="F1851" s="63" t="s">
        <v>523</v>
      </c>
      <c r="G1851" s="64" t="n">
        <v>3</v>
      </c>
      <c r="H1851" s="62" t="s">
        <v>138</v>
      </c>
    </row>
    <row r="1852" customFormat="false" ht="15" hidden="false" customHeight="false" outlineLevel="0" collapsed="false">
      <c r="A1852" s="62" t="n">
        <v>0</v>
      </c>
      <c r="B1852" s="62" t="s">
        <v>388</v>
      </c>
      <c r="C1852" s="62" t="s">
        <v>60</v>
      </c>
      <c r="D1852" s="62" t="s">
        <v>382</v>
      </c>
      <c r="E1852" s="62" t="s">
        <v>382</v>
      </c>
      <c r="F1852" s="63" t="s">
        <v>523</v>
      </c>
      <c r="G1852" s="64" t="n">
        <v>3</v>
      </c>
      <c r="H1852" s="62" t="s">
        <v>138</v>
      </c>
    </row>
    <row r="1853" customFormat="false" ht="15" hidden="false" customHeight="false" outlineLevel="0" collapsed="false">
      <c r="A1853" s="62" t="n">
        <v>0</v>
      </c>
      <c r="B1853" s="62" t="s">
        <v>381</v>
      </c>
      <c r="C1853" s="62" t="s">
        <v>60</v>
      </c>
      <c r="D1853" s="62" t="s">
        <v>382</v>
      </c>
      <c r="E1853" s="62" t="s">
        <v>382</v>
      </c>
      <c r="F1853" s="63" t="s">
        <v>524</v>
      </c>
      <c r="G1853" s="64" t="n">
        <v>41</v>
      </c>
      <c r="H1853" s="62" t="s">
        <v>138</v>
      </c>
    </row>
    <row r="1854" customFormat="false" ht="15" hidden="false" customHeight="false" outlineLevel="0" collapsed="false">
      <c r="A1854" s="62" t="n">
        <v>0</v>
      </c>
      <c r="B1854" s="62" t="s">
        <v>383</v>
      </c>
      <c r="C1854" s="62" t="s">
        <v>60</v>
      </c>
      <c r="D1854" s="62" t="s">
        <v>382</v>
      </c>
      <c r="E1854" s="62" t="s">
        <v>382</v>
      </c>
      <c r="F1854" s="63" t="s">
        <v>524</v>
      </c>
      <c r="G1854" s="64" t="n">
        <v>41</v>
      </c>
      <c r="H1854" s="62" t="s">
        <v>138</v>
      </c>
    </row>
    <row r="1855" customFormat="false" ht="15" hidden="false" customHeight="false" outlineLevel="0" collapsed="false">
      <c r="A1855" s="62" t="n">
        <v>0</v>
      </c>
      <c r="B1855" s="62" t="s">
        <v>384</v>
      </c>
      <c r="C1855" s="62" t="s">
        <v>60</v>
      </c>
      <c r="D1855" s="62" t="s">
        <v>382</v>
      </c>
      <c r="E1855" s="62" t="s">
        <v>382</v>
      </c>
      <c r="F1855" s="63" t="s">
        <v>524</v>
      </c>
      <c r="G1855" s="64" t="n">
        <v>41</v>
      </c>
      <c r="H1855" s="62" t="s">
        <v>138</v>
      </c>
    </row>
    <row r="1856" customFormat="false" ht="15" hidden="false" customHeight="false" outlineLevel="0" collapsed="false">
      <c r="A1856" s="62" t="n">
        <v>0</v>
      </c>
      <c r="B1856" s="62" t="s">
        <v>385</v>
      </c>
      <c r="C1856" s="62" t="s">
        <v>60</v>
      </c>
      <c r="D1856" s="62" t="s">
        <v>382</v>
      </c>
      <c r="E1856" s="62" t="s">
        <v>382</v>
      </c>
      <c r="F1856" s="63" t="s">
        <v>524</v>
      </c>
      <c r="G1856" s="64" t="n">
        <v>41</v>
      </c>
      <c r="H1856" s="62" t="s">
        <v>138</v>
      </c>
    </row>
    <row r="1857" customFormat="false" ht="15" hidden="false" customHeight="false" outlineLevel="0" collapsed="false">
      <c r="A1857" s="62" t="n">
        <v>0</v>
      </c>
      <c r="B1857" s="62" t="s">
        <v>386</v>
      </c>
      <c r="C1857" s="62" t="s">
        <v>60</v>
      </c>
      <c r="D1857" s="62" t="s">
        <v>382</v>
      </c>
      <c r="E1857" s="62" t="s">
        <v>382</v>
      </c>
      <c r="F1857" s="63" t="s">
        <v>524</v>
      </c>
      <c r="G1857" s="64" t="n">
        <v>41</v>
      </c>
      <c r="H1857" s="62" t="s">
        <v>138</v>
      </c>
    </row>
    <row r="1858" customFormat="false" ht="15" hidden="false" customHeight="false" outlineLevel="0" collapsed="false">
      <c r="A1858" s="62" t="n">
        <v>0</v>
      </c>
      <c r="B1858" s="62" t="s">
        <v>387</v>
      </c>
      <c r="C1858" s="62" t="s">
        <v>60</v>
      </c>
      <c r="D1858" s="62" t="s">
        <v>382</v>
      </c>
      <c r="E1858" s="62" t="s">
        <v>382</v>
      </c>
      <c r="F1858" s="63" t="s">
        <v>524</v>
      </c>
      <c r="G1858" s="64" t="n">
        <v>41</v>
      </c>
      <c r="H1858" s="62" t="s">
        <v>138</v>
      </c>
    </row>
    <row r="1859" customFormat="false" ht="15" hidden="false" customHeight="false" outlineLevel="0" collapsed="false">
      <c r="A1859" s="62" t="n">
        <v>0</v>
      </c>
      <c r="B1859" s="62" t="s">
        <v>388</v>
      </c>
      <c r="C1859" s="62" t="s">
        <v>60</v>
      </c>
      <c r="D1859" s="62" t="s">
        <v>382</v>
      </c>
      <c r="E1859" s="62" t="s">
        <v>382</v>
      </c>
      <c r="F1859" s="63" t="s">
        <v>524</v>
      </c>
      <c r="G1859" s="64" t="n">
        <v>41</v>
      </c>
      <c r="H1859" s="62" t="s">
        <v>138</v>
      </c>
    </row>
    <row r="1860" customFormat="false" ht="15" hidden="false" customHeight="false" outlineLevel="0" collapsed="false">
      <c r="A1860" s="62" t="n">
        <v>0</v>
      </c>
      <c r="B1860" s="62" t="s">
        <v>381</v>
      </c>
      <c r="C1860" s="62" t="s">
        <v>60</v>
      </c>
      <c r="D1860" s="62" t="s">
        <v>382</v>
      </c>
      <c r="E1860" s="62" t="s">
        <v>382</v>
      </c>
      <c r="F1860" s="63" t="s">
        <v>525</v>
      </c>
      <c r="G1860" s="64" t="n">
        <v>0.0416869918699187</v>
      </c>
      <c r="H1860" s="62" t="s">
        <v>138</v>
      </c>
    </row>
    <row r="1861" customFormat="false" ht="15" hidden="false" customHeight="false" outlineLevel="0" collapsed="false">
      <c r="A1861" s="62" t="n">
        <v>0</v>
      </c>
      <c r="B1861" s="62" t="s">
        <v>383</v>
      </c>
      <c r="C1861" s="62" t="s">
        <v>60</v>
      </c>
      <c r="D1861" s="62" t="s">
        <v>382</v>
      </c>
      <c r="E1861" s="62" t="s">
        <v>382</v>
      </c>
      <c r="F1861" s="63" t="s">
        <v>525</v>
      </c>
      <c r="G1861" s="64" t="n">
        <v>0.0416869918699187</v>
      </c>
      <c r="H1861" s="62" t="s">
        <v>138</v>
      </c>
    </row>
    <row r="1862" customFormat="false" ht="15" hidden="false" customHeight="false" outlineLevel="0" collapsed="false">
      <c r="A1862" s="62" t="n">
        <v>0</v>
      </c>
      <c r="B1862" s="62" t="s">
        <v>384</v>
      </c>
      <c r="C1862" s="62" t="s">
        <v>60</v>
      </c>
      <c r="D1862" s="62" t="s">
        <v>382</v>
      </c>
      <c r="E1862" s="62" t="s">
        <v>382</v>
      </c>
      <c r="F1862" s="63" t="s">
        <v>525</v>
      </c>
      <c r="G1862" s="64" t="n">
        <v>0.0416869918699187</v>
      </c>
      <c r="H1862" s="62" t="s">
        <v>138</v>
      </c>
    </row>
    <row r="1863" customFormat="false" ht="15" hidden="false" customHeight="false" outlineLevel="0" collapsed="false">
      <c r="A1863" s="62" t="n">
        <v>0</v>
      </c>
      <c r="B1863" s="62" t="s">
        <v>385</v>
      </c>
      <c r="C1863" s="62" t="s">
        <v>60</v>
      </c>
      <c r="D1863" s="62" t="s">
        <v>382</v>
      </c>
      <c r="E1863" s="62" t="s">
        <v>382</v>
      </c>
      <c r="F1863" s="63" t="s">
        <v>525</v>
      </c>
      <c r="G1863" s="64" t="n">
        <v>0.0416869918699187</v>
      </c>
      <c r="H1863" s="62" t="s">
        <v>138</v>
      </c>
    </row>
    <row r="1864" customFormat="false" ht="15" hidden="false" customHeight="false" outlineLevel="0" collapsed="false">
      <c r="A1864" s="62" t="n">
        <v>0</v>
      </c>
      <c r="B1864" s="62" t="s">
        <v>386</v>
      </c>
      <c r="C1864" s="62" t="s">
        <v>60</v>
      </c>
      <c r="D1864" s="62" t="s">
        <v>382</v>
      </c>
      <c r="E1864" s="62" t="s">
        <v>382</v>
      </c>
      <c r="F1864" s="63" t="s">
        <v>525</v>
      </c>
      <c r="G1864" s="64" t="n">
        <v>0.0416869918699187</v>
      </c>
      <c r="H1864" s="62" t="s">
        <v>138</v>
      </c>
    </row>
    <row r="1865" customFormat="false" ht="15" hidden="false" customHeight="false" outlineLevel="0" collapsed="false">
      <c r="A1865" s="62" t="n">
        <v>0</v>
      </c>
      <c r="B1865" s="62" t="s">
        <v>387</v>
      </c>
      <c r="C1865" s="62" t="s">
        <v>60</v>
      </c>
      <c r="D1865" s="62" t="s">
        <v>382</v>
      </c>
      <c r="E1865" s="62" t="s">
        <v>382</v>
      </c>
      <c r="F1865" s="63" t="s">
        <v>525</v>
      </c>
      <c r="G1865" s="64" t="n">
        <v>0.0416869918699187</v>
      </c>
      <c r="H1865" s="62" t="s">
        <v>138</v>
      </c>
    </row>
    <row r="1866" customFormat="false" ht="15" hidden="false" customHeight="false" outlineLevel="0" collapsed="false">
      <c r="A1866" s="62" t="n">
        <v>0</v>
      </c>
      <c r="B1866" s="62" t="s">
        <v>388</v>
      </c>
      <c r="C1866" s="62" t="s">
        <v>60</v>
      </c>
      <c r="D1866" s="62" t="s">
        <v>382</v>
      </c>
      <c r="E1866" s="62" t="s">
        <v>382</v>
      </c>
      <c r="F1866" s="63" t="s">
        <v>525</v>
      </c>
      <c r="G1866" s="64" t="n">
        <v>0.0416869918699187</v>
      </c>
      <c r="H1866" s="62" t="s">
        <v>138</v>
      </c>
    </row>
    <row r="1867" customFormat="false" ht="15" hidden="false" customHeight="false" outlineLevel="0" collapsed="false">
      <c r="A1867" s="62" t="n">
        <v>0</v>
      </c>
      <c r="B1867" s="62" t="s">
        <v>381</v>
      </c>
      <c r="C1867" s="62" t="s">
        <v>60</v>
      </c>
      <c r="D1867" s="62" t="s">
        <v>382</v>
      </c>
      <c r="E1867" s="62" t="s">
        <v>382</v>
      </c>
      <c r="F1867" s="63" t="s">
        <v>526</v>
      </c>
      <c r="G1867" s="64" t="n">
        <v>50481.275</v>
      </c>
      <c r="H1867" s="62" t="s">
        <v>138</v>
      </c>
    </row>
    <row r="1868" customFormat="false" ht="15" hidden="false" customHeight="false" outlineLevel="0" collapsed="false">
      <c r="A1868" s="62" t="n">
        <v>0</v>
      </c>
      <c r="B1868" s="62" t="s">
        <v>383</v>
      </c>
      <c r="C1868" s="62" t="s">
        <v>60</v>
      </c>
      <c r="D1868" s="62" t="s">
        <v>382</v>
      </c>
      <c r="E1868" s="62" t="s">
        <v>382</v>
      </c>
      <c r="F1868" s="63" t="s">
        <v>526</v>
      </c>
      <c r="G1868" s="64" t="n">
        <v>50481.275</v>
      </c>
      <c r="H1868" s="62" t="s">
        <v>138</v>
      </c>
    </row>
    <row r="1869" customFormat="false" ht="15" hidden="false" customHeight="false" outlineLevel="0" collapsed="false">
      <c r="A1869" s="62" t="n">
        <v>0</v>
      </c>
      <c r="B1869" s="62" t="s">
        <v>384</v>
      </c>
      <c r="C1869" s="62" t="s">
        <v>60</v>
      </c>
      <c r="D1869" s="62" t="s">
        <v>382</v>
      </c>
      <c r="E1869" s="62" t="s">
        <v>382</v>
      </c>
      <c r="F1869" s="63" t="s">
        <v>526</v>
      </c>
      <c r="G1869" s="64" t="n">
        <v>50481.275</v>
      </c>
      <c r="H1869" s="62" t="s">
        <v>138</v>
      </c>
    </row>
    <row r="1870" customFormat="false" ht="15" hidden="false" customHeight="false" outlineLevel="0" collapsed="false">
      <c r="A1870" s="62" t="n">
        <v>0</v>
      </c>
      <c r="B1870" s="62" t="s">
        <v>385</v>
      </c>
      <c r="C1870" s="62" t="s">
        <v>60</v>
      </c>
      <c r="D1870" s="62" t="s">
        <v>382</v>
      </c>
      <c r="E1870" s="62" t="s">
        <v>382</v>
      </c>
      <c r="F1870" s="63" t="s">
        <v>526</v>
      </c>
      <c r="G1870" s="64" t="n">
        <v>50481.275</v>
      </c>
      <c r="H1870" s="62" t="s">
        <v>138</v>
      </c>
    </row>
    <row r="1871" customFormat="false" ht="15" hidden="false" customHeight="false" outlineLevel="0" collapsed="false">
      <c r="A1871" s="62" t="n">
        <v>0</v>
      </c>
      <c r="B1871" s="62" t="s">
        <v>386</v>
      </c>
      <c r="C1871" s="62" t="s">
        <v>60</v>
      </c>
      <c r="D1871" s="62" t="s">
        <v>382</v>
      </c>
      <c r="E1871" s="62" t="s">
        <v>382</v>
      </c>
      <c r="F1871" s="63" t="s">
        <v>526</v>
      </c>
      <c r="G1871" s="64" t="n">
        <v>50481.275</v>
      </c>
      <c r="H1871" s="62" t="s">
        <v>138</v>
      </c>
    </row>
    <row r="1872" customFormat="false" ht="15" hidden="false" customHeight="false" outlineLevel="0" collapsed="false">
      <c r="A1872" s="62" t="n">
        <v>0</v>
      </c>
      <c r="B1872" s="62" t="s">
        <v>387</v>
      </c>
      <c r="C1872" s="62" t="s">
        <v>60</v>
      </c>
      <c r="D1872" s="62" t="s">
        <v>382</v>
      </c>
      <c r="E1872" s="62" t="s">
        <v>382</v>
      </c>
      <c r="F1872" s="63" t="s">
        <v>526</v>
      </c>
      <c r="G1872" s="64" t="n">
        <v>50481.275</v>
      </c>
      <c r="H1872" s="62" t="s">
        <v>138</v>
      </c>
    </row>
    <row r="1873" customFormat="false" ht="15" hidden="false" customHeight="false" outlineLevel="0" collapsed="false">
      <c r="A1873" s="62" t="n">
        <v>0</v>
      </c>
      <c r="B1873" s="62" t="s">
        <v>388</v>
      </c>
      <c r="C1873" s="62" t="s">
        <v>60</v>
      </c>
      <c r="D1873" s="62" t="s">
        <v>382</v>
      </c>
      <c r="E1873" s="62" t="s">
        <v>382</v>
      </c>
      <c r="F1873" s="63" t="s">
        <v>526</v>
      </c>
      <c r="G1873" s="64" t="n">
        <v>50481.275</v>
      </c>
      <c r="H1873" s="62" t="s">
        <v>138</v>
      </c>
    </row>
    <row r="1874" customFormat="false" ht="15" hidden="false" customHeight="false" outlineLevel="0" collapsed="false">
      <c r="A1874" s="62" t="n">
        <v>0</v>
      </c>
      <c r="B1874" s="62" t="s">
        <v>381</v>
      </c>
      <c r="C1874" s="62" t="s">
        <v>60</v>
      </c>
      <c r="D1874" s="62" t="s">
        <v>382</v>
      </c>
      <c r="E1874" s="62" t="s">
        <v>382</v>
      </c>
      <c r="F1874" s="63" t="s">
        <v>527</v>
      </c>
      <c r="G1874" s="64" t="n">
        <v>58</v>
      </c>
      <c r="H1874" s="62" t="s">
        <v>138</v>
      </c>
    </row>
    <row r="1875" customFormat="false" ht="15" hidden="false" customHeight="false" outlineLevel="0" collapsed="false">
      <c r="A1875" s="62" t="n">
        <v>0</v>
      </c>
      <c r="B1875" s="62" t="s">
        <v>383</v>
      </c>
      <c r="C1875" s="62" t="s">
        <v>60</v>
      </c>
      <c r="D1875" s="62" t="s">
        <v>382</v>
      </c>
      <c r="E1875" s="62" t="s">
        <v>382</v>
      </c>
      <c r="F1875" s="63" t="s">
        <v>527</v>
      </c>
      <c r="G1875" s="64" t="n">
        <v>58</v>
      </c>
      <c r="H1875" s="62" t="s">
        <v>138</v>
      </c>
    </row>
    <row r="1876" customFormat="false" ht="15" hidden="false" customHeight="false" outlineLevel="0" collapsed="false">
      <c r="A1876" s="62" t="n">
        <v>0</v>
      </c>
      <c r="B1876" s="62" t="s">
        <v>384</v>
      </c>
      <c r="C1876" s="62" t="s">
        <v>60</v>
      </c>
      <c r="D1876" s="62" t="s">
        <v>382</v>
      </c>
      <c r="E1876" s="62" t="s">
        <v>382</v>
      </c>
      <c r="F1876" s="63" t="s">
        <v>527</v>
      </c>
      <c r="G1876" s="64" t="n">
        <v>58</v>
      </c>
      <c r="H1876" s="62" t="s">
        <v>138</v>
      </c>
    </row>
    <row r="1877" customFormat="false" ht="15" hidden="false" customHeight="false" outlineLevel="0" collapsed="false">
      <c r="A1877" s="62" t="n">
        <v>0</v>
      </c>
      <c r="B1877" s="62" t="s">
        <v>385</v>
      </c>
      <c r="C1877" s="62" t="s">
        <v>60</v>
      </c>
      <c r="D1877" s="62" t="s">
        <v>382</v>
      </c>
      <c r="E1877" s="62" t="s">
        <v>382</v>
      </c>
      <c r="F1877" s="63" t="s">
        <v>527</v>
      </c>
      <c r="G1877" s="64" t="n">
        <v>58</v>
      </c>
      <c r="H1877" s="62" t="s">
        <v>138</v>
      </c>
    </row>
    <row r="1878" customFormat="false" ht="15" hidden="false" customHeight="false" outlineLevel="0" collapsed="false">
      <c r="A1878" s="62" t="n">
        <v>0</v>
      </c>
      <c r="B1878" s="62" t="s">
        <v>386</v>
      </c>
      <c r="C1878" s="62" t="s">
        <v>60</v>
      </c>
      <c r="D1878" s="62" t="s">
        <v>382</v>
      </c>
      <c r="E1878" s="62" t="s">
        <v>382</v>
      </c>
      <c r="F1878" s="63" t="s">
        <v>527</v>
      </c>
      <c r="G1878" s="64" t="n">
        <v>58</v>
      </c>
      <c r="H1878" s="62" t="s">
        <v>138</v>
      </c>
    </row>
    <row r="1879" customFormat="false" ht="15" hidden="false" customHeight="false" outlineLevel="0" collapsed="false">
      <c r="A1879" s="62" t="n">
        <v>0</v>
      </c>
      <c r="B1879" s="62" t="s">
        <v>387</v>
      </c>
      <c r="C1879" s="62" t="s">
        <v>60</v>
      </c>
      <c r="D1879" s="62" t="s">
        <v>382</v>
      </c>
      <c r="E1879" s="62" t="s">
        <v>382</v>
      </c>
      <c r="F1879" s="63" t="s">
        <v>527</v>
      </c>
      <c r="G1879" s="64" t="n">
        <v>58</v>
      </c>
      <c r="H1879" s="62" t="s">
        <v>138</v>
      </c>
    </row>
    <row r="1880" customFormat="false" ht="15" hidden="false" customHeight="false" outlineLevel="0" collapsed="false">
      <c r="A1880" s="62" t="n">
        <v>0</v>
      </c>
      <c r="B1880" s="62" t="s">
        <v>388</v>
      </c>
      <c r="C1880" s="62" t="s">
        <v>60</v>
      </c>
      <c r="D1880" s="62" t="s">
        <v>382</v>
      </c>
      <c r="E1880" s="62" t="s">
        <v>382</v>
      </c>
      <c r="F1880" s="63" t="s">
        <v>527</v>
      </c>
      <c r="G1880" s="64" t="n">
        <v>58</v>
      </c>
      <c r="H1880" s="62" t="s">
        <v>138</v>
      </c>
    </row>
    <row r="1881" customFormat="false" ht="15" hidden="false" customHeight="false" outlineLevel="0" collapsed="false">
      <c r="A1881" s="62" t="n">
        <v>0</v>
      </c>
      <c r="B1881" s="62" t="s">
        <v>381</v>
      </c>
      <c r="C1881" s="62" t="s">
        <v>60</v>
      </c>
      <c r="D1881" s="62" t="s">
        <v>382</v>
      </c>
      <c r="E1881" s="62" t="s">
        <v>382</v>
      </c>
      <c r="F1881" s="63" t="s">
        <v>528</v>
      </c>
      <c r="G1881" s="64" t="n">
        <v>71340</v>
      </c>
      <c r="H1881" s="62" t="s">
        <v>138</v>
      </c>
    </row>
    <row r="1882" customFormat="false" ht="15" hidden="false" customHeight="false" outlineLevel="0" collapsed="false">
      <c r="A1882" s="62" t="n">
        <v>0</v>
      </c>
      <c r="B1882" s="62" t="s">
        <v>383</v>
      </c>
      <c r="C1882" s="62" t="s">
        <v>60</v>
      </c>
      <c r="D1882" s="62" t="s">
        <v>382</v>
      </c>
      <c r="E1882" s="62" t="s">
        <v>382</v>
      </c>
      <c r="F1882" s="63" t="s">
        <v>528</v>
      </c>
      <c r="G1882" s="64" t="n">
        <v>71340</v>
      </c>
      <c r="H1882" s="62" t="s">
        <v>138</v>
      </c>
    </row>
    <row r="1883" customFormat="false" ht="15" hidden="false" customHeight="false" outlineLevel="0" collapsed="false">
      <c r="A1883" s="62" t="n">
        <v>0</v>
      </c>
      <c r="B1883" s="62" t="s">
        <v>384</v>
      </c>
      <c r="C1883" s="62" t="s">
        <v>60</v>
      </c>
      <c r="D1883" s="62" t="s">
        <v>382</v>
      </c>
      <c r="E1883" s="62" t="s">
        <v>382</v>
      </c>
      <c r="F1883" s="63" t="s">
        <v>528</v>
      </c>
      <c r="G1883" s="64" t="n">
        <v>71340</v>
      </c>
      <c r="H1883" s="62" t="s">
        <v>138</v>
      </c>
    </row>
    <row r="1884" customFormat="false" ht="15" hidden="false" customHeight="false" outlineLevel="0" collapsed="false">
      <c r="A1884" s="62" t="n">
        <v>0</v>
      </c>
      <c r="B1884" s="62" t="s">
        <v>385</v>
      </c>
      <c r="C1884" s="62" t="s">
        <v>60</v>
      </c>
      <c r="D1884" s="62" t="s">
        <v>382</v>
      </c>
      <c r="E1884" s="62" t="s">
        <v>382</v>
      </c>
      <c r="F1884" s="63" t="s">
        <v>528</v>
      </c>
      <c r="G1884" s="64" t="n">
        <v>71340</v>
      </c>
      <c r="H1884" s="62" t="s">
        <v>138</v>
      </c>
    </row>
    <row r="1885" customFormat="false" ht="15" hidden="false" customHeight="false" outlineLevel="0" collapsed="false">
      <c r="A1885" s="62" t="n">
        <v>0</v>
      </c>
      <c r="B1885" s="62" t="s">
        <v>386</v>
      </c>
      <c r="C1885" s="62" t="s">
        <v>60</v>
      </c>
      <c r="D1885" s="62" t="s">
        <v>382</v>
      </c>
      <c r="E1885" s="62" t="s">
        <v>382</v>
      </c>
      <c r="F1885" s="63" t="s">
        <v>528</v>
      </c>
      <c r="G1885" s="64" t="n">
        <v>71340</v>
      </c>
      <c r="H1885" s="62" t="s">
        <v>138</v>
      </c>
    </row>
    <row r="1886" customFormat="false" ht="15" hidden="false" customHeight="false" outlineLevel="0" collapsed="false">
      <c r="A1886" s="62" t="n">
        <v>0</v>
      </c>
      <c r="B1886" s="62" t="s">
        <v>387</v>
      </c>
      <c r="C1886" s="62" t="s">
        <v>60</v>
      </c>
      <c r="D1886" s="62" t="s">
        <v>382</v>
      </c>
      <c r="E1886" s="62" t="s">
        <v>382</v>
      </c>
      <c r="F1886" s="63" t="s">
        <v>528</v>
      </c>
      <c r="G1886" s="64" t="n">
        <v>71340</v>
      </c>
      <c r="H1886" s="62" t="s">
        <v>138</v>
      </c>
    </row>
    <row r="1887" customFormat="false" ht="15" hidden="false" customHeight="false" outlineLevel="0" collapsed="false">
      <c r="A1887" s="62" t="n">
        <v>0</v>
      </c>
      <c r="B1887" s="62" t="s">
        <v>388</v>
      </c>
      <c r="C1887" s="62" t="s">
        <v>60</v>
      </c>
      <c r="D1887" s="62" t="s">
        <v>382</v>
      </c>
      <c r="E1887" s="62" t="s">
        <v>382</v>
      </c>
      <c r="F1887" s="63" t="s">
        <v>528</v>
      </c>
      <c r="G1887" s="64" t="n">
        <v>71340</v>
      </c>
      <c r="H1887" s="62" t="s">
        <v>138</v>
      </c>
    </row>
    <row r="1888" customFormat="false" ht="15" hidden="false" customHeight="false" outlineLevel="0" collapsed="false">
      <c r="A1888" s="62" t="n">
        <v>0</v>
      </c>
      <c r="B1888" s="62" t="s">
        <v>381</v>
      </c>
      <c r="C1888" s="62" t="s">
        <v>60</v>
      </c>
      <c r="D1888" s="62" t="s">
        <v>382</v>
      </c>
      <c r="E1888" s="62" t="s">
        <v>382</v>
      </c>
      <c r="F1888" s="63" t="s">
        <v>529</v>
      </c>
      <c r="G1888" s="64" t="n">
        <v>7.5</v>
      </c>
      <c r="H1888" s="62" t="s">
        <v>138</v>
      </c>
    </row>
    <row r="1889" customFormat="false" ht="15" hidden="false" customHeight="false" outlineLevel="0" collapsed="false">
      <c r="A1889" s="62" t="n">
        <v>0</v>
      </c>
      <c r="B1889" s="62" t="s">
        <v>383</v>
      </c>
      <c r="C1889" s="62" t="s">
        <v>60</v>
      </c>
      <c r="D1889" s="62" t="s">
        <v>382</v>
      </c>
      <c r="E1889" s="62" t="s">
        <v>382</v>
      </c>
      <c r="F1889" s="63" t="s">
        <v>529</v>
      </c>
      <c r="G1889" s="64" t="n">
        <v>7.5</v>
      </c>
      <c r="H1889" s="62" t="s">
        <v>138</v>
      </c>
    </row>
    <row r="1890" customFormat="false" ht="15" hidden="false" customHeight="false" outlineLevel="0" collapsed="false">
      <c r="A1890" s="62" t="n">
        <v>0</v>
      </c>
      <c r="B1890" s="62" t="s">
        <v>384</v>
      </c>
      <c r="C1890" s="62" t="s">
        <v>60</v>
      </c>
      <c r="D1890" s="62" t="s">
        <v>382</v>
      </c>
      <c r="E1890" s="62" t="s">
        <v>382</v>
      </c>
      <c r="F1890" s="63" t="s">
        <v>529</v>
      </c>
      <c r="G1890" s="64" t="n">
        <v>7.5</v>
      </c>
      <c r="H1890" s="62" t="s">
        <v>138</v>
      </c>
    </row>
    <row r="1891" customFormat="false" ht="15" hidden="false" customHeight="false" outlineLevel="0" collapsed="false">
      <c r="A1891" s="62" t="n">
        <v>0</v>
      </c>
      <c r="B1891" s="62" t="s">
        <v>385</v>
      </c>
      <c r="C1891" s="62" t="s">
        <v>60</v>
      </c>
      <c r="D1891" s="62" t="s">
        <v>382</v>
      </c>
      <c r="E1891" s="62" t="s">
        <v>382</v>
      </c>
      <c r="F1891" s="63" t="s">
        <v>529</v>
      </c>
      <c r="G1891" s="64" t="n">
        <v>7.5</v>
      </c>
      <c r="H1891" s="62" t="s">
        <v>138</v>
      </c>
    </row>
    <row r="1892" customFormat="false" ht="15" hidden="false" customHeight="false" outlineLevel="0" collapsed="false">
      <c r="A1892" s="62" t="n">
        <v>0</v>
      </c>
      <c r="B1892" s="62" t="s">
        <v>386</v>
      </c>
      <c r="C1892" s="62" t="s">
        <v>60</v>
      </c>
      <c r="D1892" s="62" t="s">
        <v>382</v>
      </c>
      <c r="E1892" s="62" t="s">
        <v>382</v>
      </c>
      <c r="F1892" s="63" t="s">
        <v>529</v>
      </c>
      <c r="G1892" s="64" t="n">
        <v>7.5</v>
      </c>
      <c r="H1892" s="62" t="s">
        <v>138</v>
      </c>
    </row>
    <row r="1893" customFormat="false" ht="15" hidden="false" customHeight="false" outlineLevel="0" collapsed="false">
      <c r="A1893" s="62" t="n">
        <v>0</v>
      </c>
      <c r="B1893" s="62" t="s">
        <v>387</v>
      </c>
      <c r="C1893" s="62" t="s">
        <v>60</v>
      </c>
      <c r="D1893" s="62" t="s">
        <v>382</v>
      </c>
      <c r="E1893" s="62" t="s">
        <v>382</v>
      </c>
      <c r="F1893" s="63" t="s">
        <v>529</v>
      </c>
      <c r="G1893" s="64" t="n">
        <v>7.5</v>
      </c>
      <c r="H1893" s="62" t="s">
        <v>138</v>
      </c>
    </row>
    <row r="1894" customFormat="false" ht="15" hidden="false" customHeight="false" outlineLevel="0" collapsed="false">
      <c r="A1894" s="62" t="n">
        <v>0</v>
      </c>
      <c r="B1894" s="62" t="s">
        <v>388</v>
      </c>
      <c r="C1894" s="62" t="s">
        <v>60</v>
      </c>
      <c r="D1894" s="62" t="s">
        <v>382</v>
      </c>
      <c r="E1894" s="62" t="s">
        <v>382</v>
      </c>
      <c r="F1894" s="63" t="s">
        <v>529</v>
      </c>
      <c r="G1894" s="64" t="n">
        <v>7.5</v>
      </c>
      <c r="H1894" s="62" t="s">
        <v>138</v>
      </c>
    </row>
    <row r="1895" customFormat="false" ht="15" hidden="false" customHeight="false" outlineLevel="0" collapsed="false">
      <c r="A1895" s="62" t="n">
        <v>0</v>
      </c>
      <c r="B1895" s="62" t="s">
        <v>381</v>
      </c>
      <c r="C1895" s="62" t="s">
        <v>60</v>
      </c>
      <c r="D1895" s="62" t="s">
        <v>382</v>
      </c>
      <c r="E1895" s="62" t="s">
        <v>382</v>
      </c>
      <c r="F1895" s="63" t="s">
        <v>530</v>
      </c>
      <c r="G1895" s="64" t="n">
        <v>9225</v>
      </c>
      <c r="H1895" s="62" t="s">
        <v>138</v>
      </c>
    </row>
    <row r="1896" customFormat="false" ht="15" hidden="false" customHeight="false" outlineLevel="0" collapsed="false">
      <c r="A1896" s="62" t="n">
        <v>0</v>
      </c>
      <c r="B1896" s="62" t="s">
        <v>383</v>
      </c>
      <c r="C1896" s="62" t="s">
        <v>60</v>
      </c>
      <c r="D1896" s="62" t="s">
        <v>382</v>
      </c>
      <c r="E1896" s="62" t="s">
        <v>382</v>
      </c>
      <c r="F1896" s="63" t="s">
        <v>530</v>
      </c>
      <c r="G1896" s="64" t="n">
        <v>9225</v>
      </c>
      <c r="H1896" s="62" t="s">
        <v>138</v>
      </c>
    </row>
    <row r="1897" customFormat="false" ht="15" hidden="false" customHeight="false" outlineLevel="0" collapsed="false">
      <c r="A1897" s="62" t="n">
        <v>0</v>
      </c>
      <c r="B1897" s="62" t="s">
        <v>384</v>
      </c>
      <c r="C1897" s="62" t="s">
        <v>60</v>
      </c>
      <c r="D1897" s="62" t="s">
        <v>382</v>
      </c>
      <c r="E1897" s="62" t="s">
        <v>382</v>
      </c>
      <c r="F1897" s="63" t="s">
        <v>530</v>
      </c>
      <c r="G1897" s="64" t="n">
        <v>9225</v>
      </c>
      <c r="H1897" s="62" t="s">
        <v>138</v>
      </c>
    </row>
    <row r="1898" customFormat="false" ht="15" hidden="false" customHeight="false" outlineLevel="0" collapsed="false">
      <c r="A1898" s="62" t="n">
        <v>0</v>
      </c>
      <c r="B1898" s="62" t="s">
        <v>385</v>
      </c>
      <c r="C1898" s="62" t="s">
        <v>60</v>
      </c>
      <c r="D1898" s="62" t="s">
        <v>382</v>
      </c>
      <c r="E1898" s="62" t="s">
        <v>382</v>
      </c>
      <c r="F1898" s="63" t="s">
        <v>530</v>
      </c>
      <c r="G1898" s="64" t="n">
        <v>9225</v>
      </c>
      <c r="H1898" s="62" t="s">
        <v>138</v>
      </c>
    </row>
    <row r="1899" customFormat="false" ht="15" hidden="false" customHeight="false" outlineLevel="0" collapsed="false">
      <c r="A1899" s="62" t="n">
        <v>0</v>
      </c>
      <c r="B1899" s="62" t="s">
        <v>386</v>
      </c>
      <c r="C1899" s="62" t="s">
        <v>60</v>
      </c>
      <c r="D1899" s="62" t="s">
        <v>382</v>
      </c>
      <c r="E1899" s="62" t="s">
        <v>382</v>
      </c>
      <c r="F1899" s="63" t="s">
        <v>530</v>
      </c>
      <c r="G1899" s="64" t="n">
        <v>9225</v>
      </c>
      <c r="H1899" s="62" t="s">
        <v>138</v>
      </c>
    </row>
    <row r="1900" customFormat="false" ht="15" hidden="false" customHeight="false" outlineLevel="0" collapsed="false">
      <c r="A1900" s="62" t="n">
        <v>0</v>
      </c>
      <c r="B1900" s="62" t="s">
        <v>387</v>
      </c>
      <c r="C1900" s="62" t="s">
        <v>60</v>
      </c>
      <c r="D1900" s="62" t="s">
        <v>382</v>
      </c>
      <c r="E1900" s="62" t="s">
        <v>382</v>
      </c>
      <c r="F1900" s="63" t="s">
        <v>530</v>
      </c>
      <c r="G1900" s="64" t="n">
        <v>9225</v>
      </c>
      <c r="H1900" s="62" t="s">
        <v>138</v>
      </c>
    </row>
    <row r="1901" customFormat="false" ht="15" hidden="false" customHeight="false" outlineLevel="0" collapsed="false">
      <c r="A1901" s="62" t="n">
        <v>0</v>
      </c>
      <c r="B1901" s="62" t="s">
        <v>388</v>
      </c>
      <c r="C1901" s="62" t="s">
        <v>60</v>
      </c>
      <c r="D1901" s="62" t="s">
        <v>382</v>
      </c>
      <c r="E1901" s="62" t="s">
        <v>382</v>
      </c>
      <c r="F1901" s="63" t="s">
        <v>530</v>
      </c>
      <c r="G1901" s="64" t="n">
        <v>9225</v>
      </c>
      <c r="H1901" s="62" t="s">
        <v>138</v>
      </c>
    </row>
    <row r="1902" customFormat="false" ht="15" hidden="false" customHeight="false" outlineLevel="0" collapsed="false">
      <c r="A1902" s="62" t="n">
        <v>0</v>
      </c>
      <c r="B1902" s="62" t="s">
        <v>381</v>
      </c>
      <c r="C1902" s="62" t="s">
        <v>60</v>
      </c>
      <c r="D1902" s="62" t="s">
        <v>382</v>
      </c>
      <c r="E1902" s="62" t="s">
        <v>382</v>
      </c>
      <c r="F1902" s="63" t="s">
        <v>531</v>
      </c>
      <c r="G1902" s="64" t="n">
        <v>49</v>
      </c>
      <c r="H1902" s="62" t="s">
        <v>138</v>
      </c>
    </row>
    <row r="1903" customFormat="false" ht="15" hidden="false" customHeight="false" outlineLevel="0" collapsed="false">
      <c r="A1903" s="62" t="n">
        <v>0</v>
      </c>
      <c r="B1903" s="62" t="s">
        <v>383</v>
      </c>
      <c r="C1903" s="62" t="s">
        <v>60</v>
      </c>
      <c r="D1903" s="62" t="s">
        <v>382</v>
      </c>
      <c r="E1903" s="62" t="s">
        <v>382</v>
      </c>
      <c r="F1903" s="63" t="s">
        <v>531</v>
      </c>
      <c r="G1903" s="64" t="n">
        <v>49</v>
      </c>
      <c r="H1903" s="62" t="s">
        <v>138</v>
      </c>
    </row>
    <row r="1904" customFormat="false" ht="15" hidden="false" customHeight="false" outlineLevel="0" collapsed="false">
      <c r="A1904" s="62" t="n">
        <v>0</v>
      </c>
      <c r="B1904" s="62" t="s">
        <v>384</v>
      </c>
      <c r="C1904" s="62" t="s">
        <v>60</v>
      </c>
      <c r="D1904" s="62" t="s">
        <v>382</v>
      </c>
      <c r="E1904" s="62" t="s">
        <v>382</v>
      </c>
      <c r="F1904" s="63" t="s">
        <v>531</v>
      </c>
      <c r="G1904" s="64" t="n">
        <v>49</v>
      </c>
      <c r="H1904" s="62" t="s">
        <v>138</v>
      </c>
    </row>
    <row r="1905" customFormat="false" ht="15" hidden="false" customHeight="false" outlineLevel="0" collapsed="false">
      <c r="A1905" s="62" t="n">
        <v>0</v>
      </c>
      <c r="B1905" s="62" t="s">
        <v>385</v>
      </c>
      <c r="C1905" s="62" t="s">
        <v>60</v>
      </c>
      <c r="D1905" s="62" t="s">
        <v>382</v>
      </c>
      <c r="E1905" s="62" t="s">
        <v>382</v>
      </c>
      <c r="F1905" s="63" t="s">
        <v>531</v>
      </c>
      <c r="G1905" s="64" t="n">
        <v>49</v>
      </c>
      <c r="H1905" s="62" t="s">
        <v>138</v>
      </c>
    </row>
    <row r="1906" customFormat="false" ht="15" hidden="false" customHeight="false" outlineLevel="0" collapsed="false">
      <c r="A1906" s="62" t="n">
        <v>0</v>
      </c>
      <c r="B1906" s="62" t="s">
        <v>386</v>
      </c>
      <c r="C1906" s="62" t="s">
        <v>60</v>
      </c>
      <c r="D1906" s="62" t="s">
        <v>382</v>
      </c>
      <c r="E1906" s="62" t="s">
        <v>382</v>
      </c>
      <c r="F1906" s="63" t="s">
        <v>531</v>
      </c>
      <c r="G1906" s="64" t="n">
        <v>49</v>
      </c>
      <c r="H1906" s="62" t="s">
        <v>138</v>
      </c>
    </row>
    <row r="1907" customFormat="false" ht="15" hidden="false" customHeight="false" outlineLevel="0" collapsed="false">
      <c r="A1907" s="62" t="n">
        <v>0</v>
      </c>
      <c r="B1907" s="62" t="s">
        <v>387</v>
      </c>
      <c r="C1907" s="62" t="s">
        <v>60</v>
      </c>
      <c r="D1907" s="62" t="s">
        <v>382</v>
      </c>
      <c r="E1907" s="62" t="s">
        <v>382</v>
      </c>
      <c r="F1907" s="63" t="s">
        <v>531</v>
      </c>
      <c r="G1907" s="64" t="n">
        <v>49</v>
      </c>
      <c r="H1907" s="62" t="s">
        <v>138</v>
      </c>
    </row>
    <row r="1908" customFormat="false" ht="15" hidden="false" customHeight="false" outlineLevel="0" collapsed="false">
      <c r="A1908" s="62" t="n">
        <v>0</v>
      </c>
      <c r="B1908" s="62" t="s">
        <v>388</v>
      </c>
      <c r="C1908" s="62" t="s">
        <v>60</v>
      </c>
      <c r="D1908" s="62" t="s">
        <v>382</v>
      </c>
      <c r="E1908" s="62" t="s">
        <v>382</v>
      </c>
      <c r="F1908" s="63" t="s">
        <v>531</v>
      </c>
      <c r="G1908" s="64" t="n">
        <v>49</v>
      </c>
      <c r="H1908" s="62" t="s">
        <v>138</v>
      </c>
    </row>
    <row r="1909" customFormat="false" ht="15" hidden="false" customHeight="false" outlineLevel="0" collapsed="false">
      <c r="A1909" s="62" t="n">
        <v>0</v>
      </c>
      <c r="B1909" s="62" t="s">
        <v>381</v>
      </c>
      <c r="C1909" s="62" t="s">
        <v>60</v>
      </c>
      <c r="D1909" s="62" t="s">
        <v>382</v>
      </c>
      <c r="E1909" s="62" t="s">
        <v>382</v>
      </c>
      <c r="F1909" s="63" t="s">
        <v>532</v>
      </c>
      <c r="G1909" s="64" t="n">
        <v>39230.25</v>
      </c>
      <c r="H1909" s="62" t="s">
        <v>138</v>
      </c>
    </row>
    <row r="1910" customFormat="false" ht="15" hidden="false" customHeight="false" outlineLevel="0" collapsed="false">
      <c r="A1910" s="62" t="n">
        <v>0</v>
      </c>
      <c r="B1910" s="62" t="s">
        <v>383</v>
      </c>
      <c r="C1910" s="62" t="s">
        <v>60</v>
      </c>
      <c r="D1910" s="62" t="s">
        <v>382</v>
      </c>
      <c r="E1910" s="62" t="s">
        <v>382</v>
      </c>
      <c r="F1910" s="63" t="s">
        <v>532</v>
      </c>
      <c r="G1910" s="64" t="n">
        <v>39230.25</v>
      </c>
      <c r="H1910" s="62" t="s">
        <v>138</v>
      </c>
    </row>
    <row r="1911" customFormat="false" ht="15" hidden="false" customHeight="false" outlineLevel="0" collapsed="false">
      <c r="A1911" s="62" t="n">
        <v>0</v>
      </c>
      <c r="B1911" s="62" t="s">
        <v>384</v>
      </c>
      <c r="C1911" s="62" t="s">
        <v>60</v>
      </c>
      <c r="D1911" s="62" t="s">
        <v>382</v>
      </c>
      <c r="E1911" s="62" t="s">
        <v>382</v>
      </c>
      <c r="F1911" s="63" t="s">
        <v>532</v>
      </c>
      <c r="G1911" s="64" t="n">
        <v>39230.25</v>
      </c>
      <c r="H1911" s="62" t="s">
        <v>138</v>
      </c>
    </row>
    <row r="1912" customFormat="false" ht="15" hidden="false" customHeight="false" outlineLevel="0" collapsed="false">
      <c r="A1912" s="62" t="n">
        <v>0</v>
      </c>
      <c r="B1912" s="62" t="s">
        <v>385</v>
      </c>
      <c r="C1912" s="62" t="s">
        <v>60</v>
      </c>
      <c r="D1912" s="62" t="s">
        <v>382</v>
      </c>
      <c r="E1912" s="62" t="s">
        <v>382</v>
      </c>
      <c r="F1912" s="63" t="s">
        <v>532</v>
      </c>
      <c r="G1912" s="64" t="n">
        <v>39230.25</v>
      </c>
      <c r="H1912" s="62" t="s">
        <v>138</v>
      </c>
    </row>
    <row r="1913" customFormat="false" ht="15" hidden="false" customHeight="false" outlineLevel="0" collapsed="false">
      <c r="A1913" s="62" t="n">
        <v>0</v>
      </c>
      <c r="B1913" s="62" t="s">
        <v>386</v>
      </c>
      <c r="C1913" s="62" t="s">
        <v>60</v>
      </c>
      <c r="D1913" s="62" t="s">
        <v>382</v>
      </c>
      <c r="E1913" s="62" t="s">
        <v>382</v>
      </c>
      <c r="F1913" s="63" t="s">
        <v>532</v>
      </c>
      <c r="G1913" s="64" t="n">
        <v>39230.25</v>
      </c>
      <c r="H1913" s="62" t="s">
        <v>138</v>
      </c>
    </row>
    <row r="1914" customFormat="false" ht="15" hidden="false" customHeight="false" outlineLevel="0" collapsed="false">
      <c r="A1914" s="62" t="n">
        <v>0</v>
      </c>
      <c r="B1914" s="62" t="s">
        <v>387</v>
      </c>
      <c r="C1914" s="62" t="s">
        <v>60</v>
      </c>
      <c r="D1914" s="62" t="s">
        <v>382</v>
      </c>
      <c r="E1914" s="62" t="s">
        <v>382</v>
      </c>
      <c r="F1914" s="63" t="s">
        <v>532</v>
      </c>
      <c r="G1914" s="64" t="n">
        <v>39230.25</v>
      </c>
      <c r="H1914" s="62" t="s">
        <v>138</v>
      </c>
    </row>
    <row r="1915" customFormat="false" ht="15" hidden="false" customHeight="false" outlineLevel="0" collapsed="false">
      <c r="A1915" s="62" t="n">
        <v>0</v>
      </c>
      <c r="B1915" s="62" t="s">
        <v>388</v>
      </c>
      <c r="C1915" s="62" t="s">
        <v>60</v>
      </c>
      <c r="D1915" s="62" t="s">
        <v>382</v>
      </c>
      <c r="E1915" s="62" t="s">
        <v>382</v>
      </c>
      <c r="F1915" s="63" t="s">
        <v>532</v>
      </c>
      <c r="G1915" s="64" t="n">
        <v>39230.25</v>
      </c>
      <c r="H1915" s="62" t="s">
        <v>138</v>
      </c>
    </row>
    <row r="1916" customFormat="false" ht="15" hidden="false" customHeight="false" outlineLevel="0" collapsed="false">
      <c r="A1916" s="62" t="n">
        <v>0</v>
      </c>
      <c r="B1916" s="62" t="s">
        <v>381</v>
      </c>
      <c r="C1916" s="62" t="s">
        <v>60</v>
      </c>
      <c r="D1916" s="62" t="s">
        <v>382</v>
      </c>
      <c r="E1916" s="62" t="s">
        <v>382</v>
      </c>
      <c r="F1916" s="63" t="s">
        <v>533</v>
      </c>
      <c r="G1916" s="64" t="n">
        <v>70</v>
      </c>
      <c r="H1916" s="62" t="s">
        <v>138</v>
      </c>
    </row>
    <row r="1917" customFormat="false" ht="15" hidden="false" customHeight="false" outlineLevel="0" collapsed="false">
      <c r="A1917" s="62" t="n">
        <v>0</v>
      </c>
      <c r="B1917" s="62" t="s">
        <v>383</v>
      </c>
      <c r="C1917" s="62" t="s">
        <v>60</v>
      </c>
      <c r="D1917" s="62" t="s">
        <v>382</v>
      </c>
      <c r="E1917" s="62" t="s">
        <v>382</v>
      </c>
      <c r="F1917" s="63" t="s">
        <v>533</v>
      </c>
      <c r="G1917" s="64" t="n">
        <v>70</v>
      </c>
      <c r="H1917" s="62" t="s">
        <v>138</v>
      </c>
    </row>
    <row r="1918" customFormat="false" ht="15" hidden="false" customHeight="false" outlineLevel="0" collapsed="false">
      <c r="A1918" s="62" t="n">
        <v>0</v>
      </c>
      <c r="B1918" s="62" t="s">
        <v>384</v>
      </c>
      <c r="C1918" s="62" t="s">
        <v>60</v>
      </c>
      <c r="D1918" s="62" t="s">
        <v>382</v>
      </c>
      <c r="E1918" s="62" t="s">
        <v>382</v>
      </c>
      <c r="F1918" s="63" t="s">
        <v>533</v>
      </c>
      <c r="G1918" s="64" t="n">
        <v>70</v>
      </c>
      <c r="H1918" s="62" t="s">
        <v>138</v>
      </c>
    </row>
    <row r="1919" customFormat="false" ht="15" hidden="false" customHeight="false" outlineLevel="0" collapsed="false">
      <c r="A1919" s="62" t="n">
        <v>0</v>
      </c>
      <c r="B1919" s="62" t="s">
        <v>385</v>
      </c>
      <c r="C1919" s="62" t="s">
        <v>60</v>
      </c>
      <c r="D1919" s="62" t="s">
        <v>382</v>
      </c>
      <c r="E1919" s="62" t="s">
        <v>382</v>
      </c>
      <c r="F1919" s="63" t="s">
        <v>533</v>
      </c>
      <c r="G1919" s="64" t="n">
        <v>70</v>
      </c>
      <c r="H1919" s="62" t="s">
        <v>138</v>
      </c>
    </row>
    <row r="1920" customFormat="false" ht="15" hidden="false" customHeight="false" outlineLevel="0" collapsed="false">
      <c r="A1920" s="62" t="n">
        <v>0</v>
      </c>
      <c r="B1920" s="62" t="s">
        <v>386</v>
      </c>
      <c r="C1920" s="62" t="s">
        <v>60</v>
      </c>
      <c r="D1920" s="62" t="s">
        <v>382</v>
      </c>
      <c r="E1920" s="62" t="s">
        <v>382</v>
      </c>
      <c r="F1920" s="63" t="s">
        <v>533</v>
      </c>
      <c r="G1920" s="64" t="n">
        <v>70</v>
      </c>
      <c r="H1920" s="62" t="s">
        <v>138</v>
      </c>
    </row>
    <row r="1921" customFormat="false" ht="15" hidden="false" customHeight="false" outlineLevel="0" collapsed="false">
      <c r="A1921" s="62" t="n">
        <v>0</v>
      </c>
      <c r="B1921" s="62" t="s">
        <v>387</v>
      </c>
      <c r="C1921" s="62" t="s">
        <v>60</v>
      </c>
      <c r="D1921" s="62" t="s">
        <v>382</v>
      </c>
      <c r="E1921" s="62" t="s">
        <v>382</v>
      </c>
      <c r="F1921" s="63" t="s">
        <v>533</v>
      </c>
      <c r="G1921" s="64" t="n">
        <v>70</v>
      </c>
      <c r="H1921" s="62" t="s">
        <v>138</v>
      </c>
    </row>
    <row r="1922" customFormat="false" ht="15" hidden="false" customHeight="false" outlineLevel="0" collapsed="false">
      <c r="A1922" s="62" t="n">
        <v>0</v>
      </c>
      <c r="B1922" s="62" t="s">
        <v>388</v>
      </c>
      <c r="C1922" s="62" t="s">
        <v>60</v>
      </c>
      <c r="D1922" s="62" t="s">
        <v>382</v>
      </c>
      <c r="E1922" s="62" t="s">
        <v>382</v>
      </c>
      <c r="F1922" s="63" t="s">
        <v>533</v>
      </c>
      <c r="G1922" s="64" t="n">
        <v>70</v>
      </c>
      <c r="H1922" s="62" t="s">
        <v>138</v>
      </c>
    </row>
    <row r="1923" customFormat="false" ht="15" hidden="false" customHeight="false" outlineLevel="0" collapsed="false">
      <c r="A1923" s="62" t="n">
        <v>0</v>
      </c>
      <c r="B1923" s="62" t="s">
        <v>381</v>
      </c>
      <c r="C1923" s="62" t="s">
        <v>60</v>
      </c>
      <c r="D1923" s="62" t="s">
        <v>382</v>
      </c>
      <c r="E1923" s="62" t="s">
        <v>382</v>
      </c>
      <c r="F1923" s="63" t="s">
        <v>534</v>
      </c>
      <c r="G1923" s="64" t="n">
        <v>56000</v>
      </c>
      <c r="H1923" s="62" t="s">
        <v>138</v>
      </c>
    </row>
    <row r="1924" customFormat="false" ht="15" hidden="false" customHeight="false" outlineLevel="0" collapsed="false">
      <c r="A1924" s="62" t="n">
        <v>0</v>
      </c>
      <c r="B1924" s="62" t="s">
        <v>383</v>
      </c>
      <c r="C1924" s="62" t="s">
        <v>60</v>
      </c>
      <c r="D1924" s="62" t="s">
        <v>382</v>
      </c>
      <c r="E1924" s="62" t="s">
        <v>382</v>
      </c>
      <c r="F1924" s="63" t="s">
        <v>534</v>
      </c>
      <c r="G1924" s="64" t="n">
        <v>56000</v>
      </c>
      <c r="H1924" s="62" t="s">
        <v>138</v>
      </c>
    </row>
    <row r="1925" customFormat="false" ht="15" hidden="false" customHeight="false" outlineLevel="0" collapsed="false">
      <c r="A1925" s="62" t="n">
        <v>0</v>
      </c>
      <c r="B1925" s="62" t="s">
        <v>384</v>
      </c>
      <c r="C1925" s="62" t="s">
        <v>60</v>
      </c>
      <c r="D1925" s="62" t="s">
        <v>382</v>
      </c>
      <c r="E1925" s="62" t="s">
        <v>382</v>
      </c>
      <c r="F1925" s="63" t="s">
        <v>534</v>
      </c>
      <c r="G1925" s="64" t="n">
        <v>56000</v>
      </c>
      <c r="H1925" s="62" t="s">
        <v>138</v>
      </c>
    </row>
    <row r="1926" customFormat="false" ht="15" hidden="false" customHeight="false" outlineLevel="0" collapsed="false">
      <c r="A1926" s="62" t="n">
        <v>0</v>
      </c>
      <c r="B1926" s="62" t="s">
        <v>385</v>
      </c>
      <c r="C1926" s="62" t="s">
        <v>60</v>
      </c>
      <c r="D1926" s="62" t="s">
        <v>382</v>
      </c>
      <c r="E1926" s="62" t="s">
        <v>382</v>
      </c>
      <c r="F1926" s="63" t="s">
        <v>534</v>
      </c>
      <c r="G1926" s="64" t="n">
        <v>56000</v>
      </c>
      <c r="H1926" s="62" t="s">
        <v>138</v>
      </c>
    </row>
    <row r="1927" customFormat="false" ht="15" hidden="false" customHeight="false" outlineLevel="0" collapsed="false">
      <c r="A1927" s="62" t="n">
        <v>0</v>
      </c>
      <c r="B1927" s="62" t="s">
        <v>386</v>
      </c>
      <c r="C1927" s="62" t="s">
        <v>60</v>
      </c>
      <c r="D1927" s="62" t="s">
        <v>382</v>
      </c>
      <c r="E1927" s="62" t="s">
        <v>382</v>
      </c>
      <c r="F1927" s="63" t="s">
        <v>534</v>
      </c>
      <c r="G1927" s="64" t="n">
        <v>56000</v>
      </c>
      <c r="H1927" s="62" t="s">
        <v>138</v>
      </c>
    </row>
    <row r="1928" customFormat="false" ht="15" hidden="false" customHeight="false" outlineLevel="0" collapsed="false">
      <c r="A1928" s="62" t="n">
        <v>0</v>
      </c>
      <c r="B1928" s="62" t="s">
        <v>387</v>
      </c>
      <c r="C1928" s="62" t="s">
        <v>60</v>
      </c>
      <c r="D1928" s="62" t="s">
        <v>382</v>
      </c>
      <c r="E1928" s="62" t="s">
        <v>382</v>
      </c>
      <c r="F1928" s="63" t="s">
        <v>534</v>
      </c>
      <c r="G1928" s="64" t="n">
        <v>56000</v>
      </c>
      <c r="H1928" s="62" t="s">
        <v>138</v>
      </c>
    </row>
    <row r="1929" customFormat="false" ht="15" hidden="false" customHeight="false" outlineLevel="0" collapsed="false">
      <c r="A1929" s="62" t="n">
        <v>0</v>
      </c>
      <c r="B1929" s="62" t="s">
        <v>388</v>
      </c>
      <c r="C1929" s="62" t="s">
        <v>60</v>
      </c>
      <c r="D1929" s="62" t="s">
        <v>382</v>
      </c>
      <c r="E1929" s="62" t="s">
        <v>382</v>
      </c>
      <c r="F1929" s="63" t="s">
        <v>534</v>
      </c>
      <c r="G1929" s="64" t="n">
        <v>56000</v>
      </c>
      <c r="H1929" s="62" t="s">
        <v>138</v>
      </c>
    </row>
    <row r="1930" customFormat="false" ht="15" hidden="false" customHeight="false" outlineLevel="0" collapsed="false">
      <c r="A1930" s="62" t="n">
        <v>0</v>
      </c>
      <c r="B1930" s="62" t="s">
        <v>381</v>
      </c>
      <c r="C1930" s="62" t="s">
        <v>60</v>
      </c>
      <c r="D1930" s="62" t="s">
        <v>382</v>
      </c>
      <c r="E1930" s="62" t="s">
        <v>382</v>
      </c>
      <c r="F1930" s="63" t="s">
        <v>535</v>
      </c>
      <c r="G1930" s="64" t="n">
        <v>9</v>
      </c>
      <c r="H1930" s="62" t="s">
        <v>138</v>
      </c>
    </row>
    <row r="1931" customFormat="false" ht="15" hidden="false" customHeight="false" outlineLevel="0" collapsed="false">
      <c r="A1931" s="62" t="n">
        <v>0</v>
      </c>
      <c r="B1931" s="62" t="s">
        <v>383</v>
      </c>
      <c r="C1931" s="62" t="s">
        <v>60</v>
      </c>
      <c r="D1931" s="62" t="s">
        <v>382</v>
      </c>
      <c r="E1931" s="62" t="s">
        <v>382</v>
      </c>
      <c r="F1931" s="63" t="s">
        <v>535</v>
      </c>
      <c r="G1931" s="64" t="n">
        <v>9</v>
      </c>
      <c r="H1931" s="62" t="s">
        <v>138</v>
      </c>
    </row>
    <row r="1932" customFormat="false" ht="15" hidden="false" customHeight="false" outlineLevel="0" collapsed="false">
      <c r="A1932" s="62" t="n">
        <v>0</v>
      </c>
      <c r="B1932" s="62" t="s">
        <v>384</v>
      </c>
      <c r="C1932" s="62" t="s">
        <v>60</v>
      </c>
      <c r="D1932" s="62" t="s">
        <v>382</v>
      </c>
      <c r="E1932" s="62" t="s">
        <v>382</v>
      </c>
      <c r="F1932" s="63" t="s">
        <v>535</v>
      </c>
      <c r="G1932" s="64" t="n">
        <v>9</v>
      </c>
      <c r="H1932" s="62" t="s">
        <v>138</v>
      </c>
    </row>
    <row r="1933" customFormat="false" ht="15" hidden="false" customHeight="false" outlineLevel="0" collapsed="false">
      <c r="A1933" s="62" t="n">
        <v>0</v>
      </c>
      <c r="B1933" s="62" t="s">
        <v>385</v>
      </c>
      <c r="C1933" s="62" t="s">
        <v>60</v>
      </c>
      <c r="D1933" s="62" t="s">
        <v>382</v>
      </c>
      <c r="E1933" s="62" t="s">
        <v>382</v>
      </c>
      <c r="F1933" s="63" t="s">
        <v>535</v>
      </c>
      <c r="G1933" s="64" t="n">
        <v>9</v>
      </c>
      <c r="H1933" s="62" t="s">
        <v>138</v>
      </c>
    </row>
    <row r="1934" customFormat="false" ht="15" hidden="false" customHeight="false" outlineLevel="0" collapsed="false">
      <c r="A1934" s="62" t="n">
        <v>0</v>
      </c>
      <c r="B1934" s="62" t="s">
        <v>386</v>
      </c>
      <c r="C1934" s="62" t="s">
        <v>60</v>
      </c>
      <c r="D1934" s="62" t="s">
        <v>382</v>
      </c>
      <c r="E1934" s="62" t="s">
        <v>382</v>
      </c>
      <c r="F1934" s="63" t="s">
        <v>535</v>
      </c>
      <c r="G1934" s="64" t="n">
        <v>9</v>
      </c>
      <c r="H1934" s="62" t="s">
        <v>138</v>
      </c>
    </row>
    <row r="1935" customFormat="false" ht="15" hidden="false" customHeight="false" outlineLevel="0" collapsed="false">
      <c r="A1935" s="62" t="n">
        <v>0</v>
      </c>
      <c r="B1935" s="62" t="s">
        <v>387</v>
      </c>
      <c r="C1935" s="62" t="s">
        <v>60</v>
      </c>
      <c r="D1935" s="62" t="s">
        <v>382</v>
      </c>
      <c r="E1935" s="62" t="s">
        <v>382</v>
      </c>
      <c r="F1935" s="63" t="s">
        <v>535</v>
      </c>
      <c r="G1935" s="64" t="n">
        <v>9</v>
      </c>
      <c r="H1935" s="62" t="s">
        <v>138</v>
      </c>
    </row>
    <row r="1936" customFormat="false" ht="15" hidden="false" customHeight="false" outlineLevel="0" collapsed="false">
      <c r="A1936" s="62" t="n">
        <v>0</v>
      </c>
      <c r="B1936" s="62" t="s">
        <v>388</v>
      </c>
      <c r="C1936" s="62" t="s">
        <v>60</v>
      </c>
      <c r="D1936" s="62" t="s">
        <v>382</v>
      </c>
      <c r="E1936" s="62" t="s">
        <v>382</v>
      </c>
      <c r="F1936" s="63" t="s">
        <v>535</v>
      </c>
      <c r="G1936" s="64" t="n">
        <v>9</v>
      </c>
      <c r="H1936" s="62" t="s">
        <v>138</v>
      </c>
    </row>
    <row r="1937" customFormat="false" ht="15" hidden="false" customHeight="false" outlineLevel="0" collapsed="false">
      <c r="A1937" s="62" t="n">
        <v>0</v>
      </c>
      <c r="B1937" s="62" t="s">
        <v>381</v>
      </c>
      <c r="C1937" s="62" t="s">
        <v>60</v>
      </c>
      <c r="D1937" s="62" t="s">
        <v>382</v>
      </c>
      <c r="E1937" s="62" t="s">
        <v>382</v>
      </c>
      <c r="F1937" s="63" t="s">
        <v>536</v>
      </c>
      <c r="G1937" s="64" t="n">
        <v>7200</v>
      </c>
      <c r="H1937" s="62" t="s">
        <v>138</v>
      </c>
    </row>
    <row r="1938" customFormat="false" ht="15" hidden="false" customHeight="false" outlineLevel="0" collapsed="false">
      <c r="A1938" s="62" t="n">
        <v>0</v>
      </c>
      <c r="B1938" s="62" t="s">
        <v>383</v>
      </c>
      <c r="C1938" s="62" t="s">
        <v>60</v>
      </c>
      <c r="D1938" s="62" t="s">
        <v>382</v>
      </c>
      <c r="E1938" s="62" t="s">
        <v>382</v>
      </c>
      <c r="F1938" s="63" t="s">
        <v>536</v>
      </c>
      <c r="G1938" s="64" t="n">
        <v>7200</v>
      </c>
      <c r="H1938" s="62" t="s">
        <v>138</v>
      </c>
    </row>
    <row r="1939" customFormat="false" ht="15" hidden="false" customHeight="false" outlineLevel="0" collapsed="false">
      <c r="A1939" s="62" t="n">
        <v>0</v>
      </c>
      <c r="B1939" s="62" t="s">
        <v>384</v>
      </c>
      <c r="C1939" s="62" t="s">
        <v>60</v>
      </c>
      <c r="D1939" s="62" t="s">
        <v>382</v>
      </c>
      <c r="E1939" s="62" t="s">
        <v>382</v>
      </c>
      <c r="F1939" s="63" t="s">
        <v>536</v>
      </c>
      <c r="G1939" s="64" t="n">
        <v>7200</v>
      </c>
      <c r="H1939" s="62" t="s">
        <v>138</v>
      </c>
    </row>
    <row r="1940" customFormat="false" ht="15" hidden="false" customHeight="false" outlineLevel="0" collapsed="false">
      <c r="A1940" s="62" t="n">
        <v>0</v>
      </c>
      <c r="B1940" s="62" t="s">
        <v>385</v>
      </c>
      <c r="C1940" s="62" t="s">
        <v>60</v>
      </c>
      <c r="D1940" s="62" t="s">
        <v>382</v>
      </c>
      <c r="E1940" s="62" t="s">
        <v>382</v>
      </c>
      <c r="F1940" s="63" t="s">
        <v>536</v>
      </c>
      <c r="G1940" s="64" t="n">
        <v>7200</v>
      </c>
      <c r="H1940" s="62" t="s">
        <v>138</v>
      </c>
    </row>
    <row r="1941" customFormat="false" ht="15" hidden="false" customHeight="false" outlineLevel="0" collapsed="false">
      <c r="A1941" s="62" t="n">
        <v>0</v>
      </c>
      <c r="B1941" s="62" t="s">
        <v>386</v>
      </c>
      <c r="C1941" s="62" t="s">
        <v>60</v>
      </c>
      <c r="D1941" s="62" t="s">
        <v>382</v>
      </c>
      <c r="E1941" s="62" t="s">
        <v>382</v>
      </c>
      <c r="F1941" s="63" t="s">
        <v>536</v>
      </c>
      <c r="G1941" s="64" t="n">
        <v>7200</v>
      </c>
      <c r="H1941" s="62" t="s">
        <v>138</v>
      </c>
    </row>
    <row r="1942" customFormat="false" ht="15" hidden="false" customHeight="false" outlineLevel="0" collapsed="false">
      <c r="A1942" s="62" t="n">
        <v>0</v>
      </c>
      <c r="B1942" s="62" t="s">
        <v>387</v>
      </c>
      <c r="C1942" s="62" t="s">
        <v>60</v>
      </c>
      <c r="D1942" s="62" t="s">
        <v>382</v>
      </c>
      <c r="E1942" s="62" t="s">
        <v>382</v>
      </c>
      <c r="F1942" s="63" t="s">
        <v>536</v>
      </c>
      <c r="G1942" s="64" t="n">
        <v>7200</v>
      </c>
      <c r="H1942" s="62" t="s">
        <v>138</v>
      </c>
    </row>
    <row r="1943" customFormat="false" ht="15" hidden="false" customHeight="false" outlineLevel="0" collapsed="false">
      <c r="A1943" s="62" t="n">
        <v>0</v>
      </c>
      <c r="B1943" s="62" t="s">
        <v>388</v>
      </c>
      <c r="C1943" s="62" t="s">
        <v>60</v>
      </c>
      <c r="D1943" s="62" t="s">
        <v>382</v>
      </c>
      <c r="E1943" s="62" t="s">
        <v>382</v>
      </c>
      <c r="F1943" s="63" t="s">
        <v>536</v>
      </c>
      <c r="G1943" s="64" t="n">
        <v>7200</v>
      </c>
      <c r="H1943" s="62" t="s">
        <v>138</v>
      </c>
    </row>
    <row r="1944" customFormat="false" ht="15" hidden="false" customHeight="false" outlineLevel="0" collapsed="false">
      <c r="A1944" s="62" t="n">
        <v>0</v>
      </c>
      <c r="B1944" s="62" t="s">
        <v>381</v>
      </c>
      <c r="C1944" s="62" t="s">
        <v>60</v>
      </c>
      <c r="D1944" s="62" t="s">
        <v>382</v>
      </c>
      <c r="E1944" s="62" t="s">
        <v>382</v>
      </c>
      <c r="F1944" s="63" t="s">
        <v>537</v>
      </c>
      <c r="G1944" s="64" t="s">
        <v>538</v>
      </c>
      <c r="H1944" s="62" t="s">
        <v>138</v>
      </c>
    </row>
    <row r="1945" customFormat="false" ht="15" hidden="false" customHeight="false" outlineLevel="0" collapsed="false">
      <c r="A1945" s="62" t="n">
        <v>0</v>
      </c>
      <c r="B1945" s="62" t="s">
        <v>383</v>
      </c>
      <c r="C1945" s="62" t="s">
        <v>60</v>
      </c>
      <c r="D1945" s="62" t="s">
        <v>382</v>
      </c>
      <c r="E1945" s="62" t="s">
        <v>382</v>
      </c>
      <c r="F1945" s="63" t="s">
        <v>537</v>
      </c>
      <c r="G1945" s="64" t="s">
        <v>538</v>
      </c>
      <c r="H1945" s="62" t="s">
        <v>138</v>
      </c>
    </row>
    <row r="1946" customFormat="false" ht="15" hidden="false" customHeight="false" outlineLevel="0" collapsed="false">
      <c r="A1946" s="62" t="n">
        <v>0</v>
      </c>
      <c r="B1946" s="62" t="s">
        <v>384</v>
      </c>
      <c r="C1946" s="62" t="s">
        <v>60</v>
      </c>
      <c r="D1946" s="62" t="s">
        <v>382</v>
      </c>
      <c r="E1946" s="62" t="s">
        <v>382</v>
      </c>
      <c r="F1946" s="63" t="s">
        <v>537</v>
      </c>
      <c r="G1946" s="64" t="s">
        <v>538</v>
      </c>
      <c r="H1946" s="62" t="s">
        <v>138</v>
      </c>
    </row>
    <row r="1947" customFormat="false" ht="15" hidden="false" customHeight="false" outlineLevel="0" collapsed="false">
      <c r="A1947" s="62" t="n">
        <v>0</v>
      </c>
      <c r="B1947" s="62" t="s">
        <v>385</v>
      </c>
      <c r="C1947" s="62" t="s">
        <v>60</v>
      </c>
      <c r="D1947" s="62" t="s">
        <v>382</v>
      </c>
      <c r="E1947" s="62" t="s">
        <v>382</v>
      </c>
      <c r="F1947" s="63" t="s">
        <v>537</v>
      </c>
      <c r="G1947" s="64" t="s">
        <v>538</v>
      </c>
      <c r="H1947" s="62" t="s">
        <v>138</v>
      </c>
    </row>
    <row r="1948" customFormat="false" ht="15" hidden="false" customHeight="false" outlineLevel="0" collapsed="false">
      <c r="A1948" s="62" t="n">
        <v>0</v>
      </c>
      <c r="B1948" s="62" t="s">
        <v>386</v>
      </c>
      <c r="C1948" s="62" t="s">
        <v>60</v>
      </c>
      <c r="D1948" s="62" t="s">
        <v>382</v>
      </c>
      <c r="E1948" s="62" t="s">
        <v>382</v>
      </c>
      <c r="F1948" s="63" t="s">
        <v>537</v>
      </c>
      <c r="G1948" s="64" t="s">
        <v>538</v>
      </c>
      <c r="H1948" s="62" t="s">
        <v>138</v>
      </c>
    </row>
    <row r="1949" customFormat="false" ht="15" hidden="false" customHeight="false" outlineLevel="0" collapsed="false">
      <c r="A1949" s="62" t="n">
        <v>0</v>
      </c>
      <c r="B1949" s="62" t="s">
        <v>387</v>
      </c>
      <c r="C1949" s="62" t="s">
        <v>60</v>
      </c>
      <c r="D1949" s="62" t="s">
        <v>382</v>
      </c>
      <c r="E1949" s="62" t="s">
        <v>382</v>
      </c>
      <c r="F1949" s="63" t="s">
        <v>537</v>
      </c>
      <c r="G1949" s="64" t="s">
        <v>538</v>
      </c>
      <c r="H1949" s="62" t="s">
        <v>138</v>
      </c>
    </row>
    <row r="1950" customFormat="false" ht="15" hidden="false" customHeight="false" outlineLevel="0" collapsed="false">
      <c r="A1950" s="62" t="n">
        <v>0</v>
      </c>
      <c r="B1950" s="62" t="s">
        <v>388</v>
      </c>
      <c r="C1950" s="62" t="s">
        <v>60</v>
      </c>
      <c r="D1950" s="62" t="s">
        <v>382</v>
      </c>
      <c r="E1950" s="62" t="s">
        <v>382</v>
      </c>
      <c r="F1950" s="63" t="s">
        <v>537</v>
      </c>
      <c r="G1950" s="64" t="s">
        <v>538</v>
      </c>
      <c r="H1950" s="62" t="s">
        <v>138</v>
      </c>
    </row>
    <row r="1951" customFormat="false" ht="15" hidden="false" customHeight="false" outlineLevel="0" collapsed="false">
      <c r="A1951" s="62" t="n">
        <v>0</v>
      </c>
      <c r="B1951" s="62" t="s">
        <v>381</v>
      </c>
      <c r="C1951" s="62" t="s">
        <v>60</v>
      </c>
      <c r="D1951" s="62" t="s">
        <v>382</v>
      </c>
      <c r="E1951" s="62" t="s">
        <v>382</v>
      </c>
      <c r="F1951" s="63" t="s">
        <v>539</v>
      </c>
      <c r="G1951" s="64" t="s">
        <v>540</v>
      </c>
      <c r="H1951" s="62" t="s">
        <v>138</v>
      </c>
    </row>
    <row r="1952" customFormat="false" ht="15" hidden="false" customHeight="false" outlineLevel="0" collapsed="false">
      <c r="A1952" s="62" t="n">
        <v>0</v>
      </c>
      <c r="B1952" s="62" t="s">
        <v>383</v>
      </c>
      <c r="C1952" s="62" t="s">
        <v>60</v>
      </c>
      <c r="D1952" s="62" t="s">
        <v>382</v>
      </c>
      <c r="E1952" s="62" t="s">
        <v>382</v>
      </c>
      <c r="F1952" s="63" t="s">
        <v>539</v>
      </c>
      <c r="G1952" s="64" t="s">
        <v>540</v>
      </c>
      <c r="H1952" s="62" t="s">
        <v>138</v>
      </c>
    </row>
    <row r="1953" customFormat="false" ht="15" hidden="false" customHeight="false" outlineLevel="0" collapsed="false">
      <c r="A1953" s="62" t="n">
        <v>0</v>
      </c>
      <c r="B1953" s="62" t="s">
        <v>384</v>
      </c>
      <c r="C1953" s="62" t="s">
        <v>60</v>
      </c>
      <c r="D1953" s="62" t="s">
        <v>382</v>
      </c>
      <c r="E1953" s="62" t="s">
        <v>382</v>
      </c>
      <c r="F1953" s="63" t="s">
        <v>539</v>
      </c>
      <c r="G1953" s="64" t="s">
        <v>540</v>
      </c>
      <c r="H1953" s="62" t="s">
        <v>138</v>
      </c>
    </row>
    <row r="1954" customFormat="false" ht="15" hidden="false" customHeight="false" outlineLevel="0" collapsed="false">
      <c r="A1954" s="62" t="n">
        <v>0</v>
      </c>
      <c r="B1954" s="62" t="s">
        <v>385</v>
      </c>
      <c r="C1954" s="62" t="s">
        <v>60</v>
      </c>
      <c r="D1954" s="62" t="s">
        <v>382</v>
      </c>
      <c r="E1954" s="62" t="s">
        <v>382</v>
      </c>
      <c r="F1954" s="63" t="s">
        <v>539</v>
      </c>
      <c r="G1954" s="64" t="s">
        <v>540</v>
      </c>
      <c r="H1954" s="62" t="s">
        <v>138</v>
      </c>
    </row>
    <row r="1955" customFormat="false" ht="15" hidden="false" customHeight="false" outlineLevel="0" collapsed="false">
      <c r="A1955" s="62" t="n">
        <v>0</v>
      </c>
      <c r="B1955" s="62" t="s">
        <v>386</v>
      </c>
      <c r="C1955" s="62" t="s">
        <v>60</v>
      </c>
      <c r="D1955" s="62" t="s">
        <v>382</v>
      </c>
      <c r="E1955" s="62" t="s">
        <v>382</v>
      </c>
      <c r="F1955" s="63" t="s">
        <v>539</v>
      </c>
      <c r="G1955" s="64" t="s">
        <v>540</v>
      </c>
      <c r="H1955" s="62" t="s">
        <v>138</v>
      </c>
    </row>
    <row r="1956" customFormat="false" ht="15" hidden="false" customHeight="false" outlineLevel="0" collapsed="false">
      <c r="A1956" s="62" t="n">
        <v>0</v>
      </c>
      <c r="B1956" s="62" t="s">
        <v>387</v>
      </c>
      <c r="C1956" s="62" t="s">
        <v>60</v>
      </c>
      <c r="D1956" s="62" t="s">
        <v>382</v>
      </c>
      <c r="E1956" s="62" t="s">
        <v>382</v>
      </c>
      <c r="F1956" s="63" t="s">
        <v>539</v>
      </c>
      <c r="G1956" s="64" t="s">
        <v>540</v>
      </c>
      <c r="H1956" s="62" t="s">
        <v>138</v>
      </c>
    </row>
    <row r="1957" customFormat="false" ht="15" hidden="false" customHeight="false" outlineLevel="0" collapsed="false">
      <c r="A1957" s="62" t="n">
        <v>0</v>
      </c>
      <c r="B1957" s="62" t="s">
        <v>388</v>
      </c>
      <c r="C1957" s="62" t="s">
        <v>60</v>
      </c>
      <c r="D1957" s="62" t="s">
        <v>382</v>
      </c>
      <c r="E1957" s="62" t="s">
        <v>382</v>
      </c>
      <c r="F1957" s="63" t="s">
        <v>539</v>
      </c>
      <c r="G1957" s="64" t="s">
        <v>540</v>
      </c>
      <c r="H1957" s="62" t="s">
        <v>138</v>
      </c>
    </row>
    <row r="1958" customFormat="false" ht="15" hidden="false" customHeight="false" outlineLevel="0" collapsed="false">
      <c r="A1958" s="62" t="n">
        <v>0</v>
      </c>
      <c r="B1958" s="62" t="s">
        <v>381</v>
      </c>
      <c r="C1958" s="62" t="s">
        <v>60</v>
      </c>
      <c r="D1958" s="62" t="s">
        <v>382</v>
      </c>
      <c r="E1958" s="62" t="s">
        <v>382</v>
      </c>
      <c r="F1958" s="63" t="s">
        <v>541</v>
      </c>
      <c r="G1958" s="64" t="s">
        <v>542</v>
      </c>
      <c r="H1958" s="62" t="s">
        <v>138</v>
      </c>
    </row>
    <row r="1959" customFormat="false" ht="15" hidden="false" customHeight="false" outlineLevel="0" collapsed="false">
      <c r="A1959" s="62" t="n">
        <v>0</v>
      </c>
      <c r="B1959" s="62" t="s">
        <v>383</v>
      </c>
      <c r="C1959" s="62" t="s">
        <v>60</v>
      </c>
      <c r="D1959" s="62" t="s">
        <v>382</v>
      </c>
      <c r="E1959" s="62" t="s">
        <v>382</v>
      </c>
      <c r="F1959" s="63" t="s">
        <v>541</v>
      </c>
      <c r="G1959" s="64" t="s">
        <v>542</v>
      </c>
      <c r="H1959" s="62" t="s">
        <v>138</v>
      </c>
    </row>
    <row r="1960" customFormat="false" ht="15" hidden="false" customHeight="false" outlineLevel="0" collapsed="false">
      <c r="A1960" s="62" t="n">
        <v>0</v>
      </c>
      <c r="B1960" s="62" t="s">
        <v>384</v>
      </c>
      <c r="C1960" s="62" t="s">
        <v>60</v>
      </c>
      <c r="D1960" s="62" t="s">
        <v>382</v>
      </c>
      <c r="E1960" s="62" t="s">
        <v>382</v>
      </c>
      <c r="F1960" s="63" t="s">
        <v>541</v>
      </c>
      <c r="G1960" s="64" t="s">
        <v>542</v>
      </c>
      <c r="H1960" s="62" t="s">
        <v>138</v>
      </c>
    </row>
    <row r="1961" customFormat="false" ht="15" hidden="false" customHeight="false" outlineLevel="0" collapsed="false">
      <c r="A1961" s="62" t="n">
        <v>0</v>
      </c>
      <c r="B1961" s="62" t="s">
        <v>385</v>
      </c>
      <c r="C1961" s="62" t="s">
        <v>60</v>
      </c>
      <c r="D1961" s="62" t="s">
        <v>382</v>
      </c>
      <c r="E1961" s="62" t="s">
        <v>382</v>
      </c>
      <c r="F1961" s="63" t="s">
        <v>541</v>
      </c>
      <c r="G1961" s="64" t="s">
        <v>542</v>
      </c>
      <c r="H1961" s="62" t="s">
        <v>138</v>
      </c>
    </row>
    <row r="1962" customFormat="false" ht="15" hidden="false" customHeight="false" outlineLevel="0" collapsed="false">
      <c r="A1962" s="62" t="n">
        <v>0</v>
      </c>
      <c r="B1962" s="62" t="s">
        <v>386</v>
      </c>
      <c r="C1962" s="62" t="s">
        <v>60</v>
      </c>
      <c r="D1962" s="62" t="s">
        <v>382</v>
      </c>
      <c r="E1962" s="62" t="s">
        <v>382</v>
      </c>
      <c r="F1962" s="63" t="s">
        <v>541</v>
      </c>
      <c r="G1962" s="64" t="s">
        <v>542</v>
      </c>
      <c r="H1962" s="62" t="s">
        <v>138</v>
      </c>
    </row>
    <row r="1963" customFormat="false" ht="15" hidden="false" customHeight="false" outlineLevel="0" collapsed="false">
      <c r="A1963" s="62" t="n">
        <v>0</v>
      </c>
      <c r="B1963" s="62" t="s">
        <v>387</v>
      </c>
      <c r="C1963" s="62" t="s">
        <v>60</v>
      </c>
      <c r="D1963" s="62" t="s">
        <v>382</v>
      </c>
      <c r="E1963" s="62" t="s">
        <v>382</v>
      </c>
      <c r="F1963" s="63" t="s">
        <v>541</v>
      </c>
      <c r="G1963" s="64" t="s">
        <v>542</v>
      </c>
      <c r="H1963" s="62" t="s">
        <v>138</v>
      </c>
    </row>
    <row r="1964" customFormat="false" ht="15" hidden="false" customHeight="false" outlineLevel="0" collapsed="false">
      <c r="A1964" s="62" t="n">
        <v>0</v>
      </c>
      <c r="B1964" s="62" t="s">
        <v>388</v>
      </c>
      <c r="C1964" s="62" t="s">
        <v>60</v>
      </c>
      <c r="D1964" s="62" t="s">
        <v>382</v>
      </c>
      <c r="E1964" s="62" t="s">
        <v>382</v>
      </c>
      <c r="F1964" s="63" t="s">
        <v>541</v>
      </c>
      <c r="G1964" s="64" t="s">
        <v>542</v>
      </c>
      <c r="H1964" s="62" t="s">
        <v>138</v>
      </c>
    </row>
    <row r="1965" customFormat="false" ht="15" hidden="false" customHeight="false" outlineLevel="0" collapsed="false">
      <c r="A1965" s="62" t="n">
        <v>0</v>
      </c>
      <c r="B1965" s="62" t="s">
        <v>381</v>
      </c>
      <c r="C1965" s="62" t="s">
        <v>60</v>
      </c>
      <c r="D1965" s="62" t="s">
        <v>382</v>
      </c>
      <c r="E1965" s="62" t="s">
        <v>382</v>
      </c>
      <c r="F1965" s="63" t="s">
        <v>543</v>
      </c>
      <c r="G1965" s="64" t="s">
        <v>544</v>
      </c>
      <c r="H1965" s="62" t="s">
        <v>138</v>
      </c>
    </row>
    <row r="1966" customFormat="false" ht="15" hidden="false" customHeight="false" outlineLevel="0" collapsed="false">
      <c r="A1966" s="62" t="n">
        <v>0</v>
      </c>
      <c r="B1966" s="62" t="s">
        <v>383</v>
      </c>
      <c r="C1966" s="62" t="s">
        <v>60</v>
      </c>
      <c r="D1966" s="62" t="s">
        <v>382</v>
      </c>
      <c r="E1966" s="62" t="s">
        <v>382</v>
      </c>
      <c r="F1966" s="63" t="s">
        <v>543</v>
      </c>
      <c r="G1966" s="64" t="s">
        <v>544</v>
      </c>
      <c r="H1966" s="62" t="s">
        <v>138</v>
      </c>
    </row>
    <row r="1967" customFormat="false" ht="15" hidden="false" customHeight="false" outlineLevel="0" collapsed="false">
      <c r="A1967" s="62" t="n">
        <v>0</v>
      </c>
      <c r="B1967" s="62" t="s">
        <v>384</v>
      </c>
      <c r="C1967" s="62" t="s">
        <v>60</v>
      </c>
      <c r="D1967" s="62" t="s">
        <v>382</v>
      </c>
      <c r="E1967" s="62" t="s">
        <v>382</v>
      </c>
      <c r="F1967" s="63" t="s">
        <v>543</v>
      </c>
      <c r="G1967" s="64" t="s">
        <v>544</v>
      </c>
      <c r="H1967" s="62" t="s">
        <v>138</v>
      </c>
    </row>
    <row r="1968" customFormat="false" ht="15" hidden="false" customHeight="false" outlineLevel="0" collapsed="false">
      <c r="A1968" s="62" t="n">
        <v>0</v>
      </c>
      <c r="B1968" s="62" t="s">
        <v>385</v>
      </c>
      <c r="C1968" s="62" t="s">
        <v>60</v>
      </c>
      <c r="D1968" s="62" t="s">
        <v>382</v>
      </c>
      <c r="E1968" s="62" t="s">
        <v>382</v>
      </c>
      <c r="F1968" s="63" t="s">
        <v>543</v>
      </c>
      <c r="G1968" s="64" t="s">
        <v>544</v>
      </c>
      <c r="H1968" s="62" t="s">
        <v>138</v>
      </c>
    </row>
    <row r="1969" customFormat="false" ht="15" hidden="false" customHeight="false" outlineLevel="0" collapsed="false">
      <c r="A1969" s="62" t="n">
        <v>0</v>
      </c>
      <c r="B1969" s="62" t="s">
        <v>386</v>
      </c>
      <c r="C1969" s="62" t="s">
        <v>60</v>
      </c>
      <c r="D1969" s="62" t="s">
        <v>382</v>
      </c>
      <c r="E1969" s="62" t="s">
        <v>382</v>
      </c>
      <c r="F1969" s="63" t="s">
        <v>543</v>
      </c>
      <c r="G1969" s="64" t="s">
        <v>544</v>
      </c>
      <c r="H1969" s="62" t="s">
        <v>138</v>
      </c>
    </row>
    <row r="1970" customFormat="false" ht="15" hidden="false" customHeight="false" outlineLevel="0" collapsed="false">
      <c r="A1970" s="62" t="n">
        <v>0</v>
      </c>
      <c r="B1970" s="62" t="s">
        <v>387</v>
      </c>
      <c r="C1970" s="62" t="s">
        <v>60</v>
      </c>
      <c r="D1970" s="62" t="s">
        <v>382</v>
      </c>
      <c r="E1970" s="62" t="s">
        <v>382</v>
      </c>
      <c r="F1970" s="63" t="s">
        <v>543</v>
      </c>
      <c r="G1970" s="64" t="s">
        <v>544</v>
      </c>
      <c r="H1970" s="62" t="s">
        <v>138</v>
      </c>
    </row>
    <row r="1971" customFormat="false" ht="15" hidden="false" customHeight="false" outlineLevel="0" collapsed="false">
      <c r="A1971" s="62" t="n">
        <v>0</v>
      </c>
      <c r="B1971" s="62" t="s">
        <v>388</v>
      </c>
      <c r="C1971" s="62" t="s">
        <v>60</v>
      </c>
      <c r="D1971" s="62" t="s">
        <v>382</v>
      </c>
      <c r="E1971" s="62" t="s">
        <v>382</v>
      </c>
      <c r="F1971" s="63" t="s">
        <v>543</v>
      </c>
      <c r="G1971" s="64" t="s">
        <v>544</v>
      </c>
      <c r="H1971" s="62" t="s">
        <v>138</v>
      </c>
    </row>
    <row r="1972" customFormat="false" ht="15" hidden="false" customHeight="false" outlineLevel="0" collapsed="false">
      <c r="A1972" s="62" t="n">
        <v>0</v>
      </c>
      <c r="B1972" s="62" t="s">
        <v>381</v>
      </c>
      <c r="C1972" s="62" t="s">
        <v>60</v>
      </c>
      <c r="D1972" s="62" t="s">
        <v>382</v>
      </c>
      <c r="E1972" s="62" t="s">
        <v>382</v>
      </c>
      <c r="F1972" s="63" t="s">
        <v>545</v>
      </c>
      <c r="G1972" s="64" t="s">
        <v>546</v>
      </c>
      <c r="H1972" s="62" t="s">
        <v>138</v>
      </c>
    </row>
    <row r="1973" customFormat="false" ht="15" hidden="false" customHeight="false" outlineLevel="0" collapsed="false">
      <c r="A1973" s="62" t="n">
        <v>0</v>
      </c>
      <c r="B1973" s="62" t="s">
        <v>383</v>
      </c>
      <c r="C1973" s="62" t="s">
        <v>60</v>
      </c>
      <c r="D1973" s="62" t="s">
        <v>382</v>
      </c>
      <c r="E1973" s="62" t="s">
        <v>382</v>
      </c>
      <c r="F1973" s="63" t="s">
        <v>545</v>
      </c>
      <c r="G1973" s="64" t="s">
        <v>546</v>
      </c>
      <c r="H1973" s="62" t="s">
        <v>138</v>
      </c>
    </row>
    <row r="1974" customFormat="false" ht="15" hidden="false" customHeight="false" outlineLevel="0" collapsed="false">
      <c r="A1974" s="62" t="n">
        <v>0</v>
      </c>
      <c r="B1974" s="62" t="s">
        <v>384</v>
      </c>
      <c r="C1974" s="62" t="s">
        <v>60</v>
      </c>
      <c r="D1974" s="62" t="s">
        <v>382</v>
      </c>
      <c r="E1974" s="62" t="s">
        <v>382</v>
      </c>
      <c r="F1974" s="63" t="s">
        <v>545</v>
      </c>
      <c r="G1974" s="64" t="s">
        <v>546</v>
      </c>
      <c r="H1974" s="62" t="s">
        <v>138</v>
      </c>
    </row>
    <row r="1975" customFormat="false" ht="15" hidden="false" customHeight="false" outlineLevel="0" collapsed="false">
      <c r="A1975" s="62" t="n">
        <v>0</v>
      </c>
      <c r="B1975" s="62" t="s">
        <v>385</v>
      </c>
      <c r="C1975" s="62" t="s">
        <v>60</v>
      </c>
      <c r="D1975" s="62" t="s">
        <v>382</v>
      </c>
      <c r="E1975" s="62" t="s">
        <v>382</v>
      </c>
      <c r="F1975" s="63" t="s">
        <v>545</v>
      </c>
      <c r="G1975" s="64" t="s">
        <v>546</v>
      </c>
      <c r="H1975" s="62" t="s">
        <v>138</v>
      </c>
    </row>
    <row r="1976" customFormat="false" ht="15" hidden="false" customHeight="false" outlineLevel="0" collapsed="false">
      <c r="A1976" s="62" t="n">
        <v>0</v>
      </c>
      <c r="B1976" s="62" t="s">
        <v>386</v>
      </c>
      <c r="C1976" s="62" t="s">
        <v>60</v>
      </c>
      <c r="D1976" s="62" t="s">
        <v>382</v>
      </c>
      <c r="E1976" s="62" t="s">
        <v>382</v>
      </c>
      <c r="F1976" s="63" t="s">
        <v>545</v>
      </c>
      <c r="G1976" s="64" t="s">
        <v>546</v>
      </c>
      <c r="H1976" s="62" t="s">
        <v>138</v>
      </c>
    </row>
    <row r="1977" customFormat="false" ht="15" hidden="false" customHeight="false" outlineLevel="0" collapsed="false">
      <c r="A1977" s="62" t="n">
        <v>0</v>
      </c>
      <c r="B1977" s="62" t="s">
        <v>387</v>
      </c>
      <c r="C1977" s="62" t="s">
        <v>60</v>
      </c>
      <c r="D1977" s="62" t="s">
        <v>382</v>
      </c>
      <c r="E1977" s="62" t="s">
        <v>382</v>
      </c>
      <c r="F1977" s="63" t="s">
        <v>545</v>
      </c>
      <c r="G1977" s="64" t="s">
        <v>546</v>
      </c>
      <c r="H1977" s="62" t="s">
        <v>138</v>
      </c>
    </row>
    <row r="1978" customFormat="false" ht="15" hidden="false" customHeight="false" outlineLevel="0" collapsed="false">
      <c r="A1978" s="62" t="n">
        <v>0</v>
      </c>
      <c r="B1978" s="62" t="s">
        <v>388</v>
      </c>
      <c r="C1978" s="62" t="s">
        <v>60</v>
      </c>
      <c r="D1978" s="62" t="s">
        <v>382</v>
      </c>
      <c r="E1978" s="62" t="s">
        <v>382</v>
      </c>
      <c r="F1978" s="63" t="s">
        <v>545</v>
      </c>
      <c r="G1978" s="64" t="s">
        <v>546</v>
      </c>
      <c r="H1978" s="62" t="s">
        <v>138</v>
      </c>
    </row>
    <row r="1979" customFormat="false" ht="15" hidden="false" customHeight="false" outlineLevel="0" collapsed="false">
      <c r="A1979" s="62" t="n">
        <v>0</v>
      </c>
      <c r="B1979" s="62" t="s">
        <v>381</v>
      </c>
      <c r="C1979" s="62" t="s">
        <v>60</v>
      </c>
      <c r="D1979" s="62" t="s">
        <v>382</v>
      </c>
      <c r="E1979" s="62" t="s">
        <v>382</v>
      </c>
      <c r="F1979" s="63" t="s">
        <v>547</v>
      </c>
      <c r="G1979" s="64" t="s">
        <v>548</v>
      </c>
      <c r="H1979" s="62" t="s">
        <v>138</v>
      </c>
    </row>
    <row r="1980" customFormat="false" ht="15" hidden="false" customHeight="false" outlineLevel="0" collapsed="false">
      <c r="A1980" s="62" t="n">
        <v>0</v>
      </c>
      <c r="B1980" s="62" t="s">
        <v>383</v>
      </c>
      <c r="C1980" s="62" t="s">
        <v>60</v>
      </c>
      <c r="D1980" s="62" t="s">
        <v>382</v>
      </c>
      <c r="E1980" s="62" t="s">
        <v>382</v>
      </c>
      <c r="F1980" s="63" t="s">
        <v>547</v>
      </c>
      <c r="G1980" s="64" t="s">
        <v>548</v>
      </c>
      <c r="H1980" s="62" t="s">
        <v>138</v>
      </c>
    </row>
    <row r="1981" customFormat="false" ht="15" hidden="false" customHeight="false" outlineLevel="0" collapsed="false">
      <c r="A1981" s="62" t="n">
        <v>0</v>
      </c>
      <c r="B1981" s="62" t="s">
        <v>384</v>
      </c>
      <c r="C1981" s="62" t="s">
        <v>60</v>
      </c>
      <c r="D1981" s="62" t="s">
        <v>382</v>
      </c>
      <c r="E1981" s="62" t="s">
        <v>382</v>
      </c>
      <c r="F1981" s="63" t="s">
        <v>547</v>
      </c>
      <c r="G1981" s="64" t="s">
        <v>548</v>
      </c>
      <c r="H1981" s="62" t="s">
        <v>138</v>
      </c>
    </row>
    <row r="1982" customFormat="false" ht="15" hidden="false" customHeight="false" outlineLevel="0" collapsed="false">
      <c r="A1982" s="62" t="n">
        <v>0</v>
      </c>
      <c r="B1982" s="62" t="s">
        <v>385</v>
      </c>
      <c r="C1982" s="62" t="s">
        <v>60</v>
      </c>
      <c r="D1982" s="62" t="s">
        <v>382</v>
      </c>
      <c r="E1982" s="62" t="s">
        <v>382</v>
      </c>
      <c r="F1982" s="63" t="s">
        <v>547</v>
      </c>
      <c r="G1982" s="64" t="s">
        <v>548</v>
      </c>
      <c r="H1982" s="62" t="s">
        <v>138</v>
      </c>
    </row>
    <row r="1983" customFormat="false" ht="15" hidden="false" customHeight="false" outlineLevel="0" collapsed="false">
      <c r="A1983" s="62" t="n">
        <v>0</v>
      </c>
      <c r="B1983" s="62" t="s">
        <v>386</v>
      </c>
      <c r="C1983" s="62" t="s">
        <v>60</v>
      </c>
      <c r="D1983" s="62" t="s">
        <v>382</v>
      </c>
      <c r="E1983" s="62" t="s">
        <v>382</v>
      </c>
      <c r="F1983" s="63" t="s">
        <v>547</v>
      </c>
      <c r="G1983" s="64" t="s">
        <v>548</v>
      </c>
      <c r="H1983" s="62" t="s">
        <v>138</v>
      </c>
    </row>
    <row r="1984" customFormat="false" ht="15" hidden="false" customHeight="false" outlineLevel="0" collapsed="false">
      <c r="A1984" s="62" t="n">
        <v>0</v>
      </c>
      <c r="B1984" s="62" t="s">
        <v>387</v>
      </c>
      <c r="C1984" s="62" t="s">
        <v>60</v>
      </c>
      <c r="D1984" s="62" t="s">
        <v>382</v>
      </c>
      <c r="E1984" s="62" t="s">
        <v>382</v>
      </c>
      <c r="F1984" s="63" t="s">
        <v>547</v>
      </c>
      <c r="G1984" s="64" t="s">
        <v>548</v>
      </c>
      <c r="H1984" s="62" t="s">
        <v>138</v>
      </c>
    </row>
    <row r="1985" customFormat="false" ht="15" hidden="false" customHeight="false" outlineLevel="0" collapsed="false">
      <c r="A1985" s="62" t="n">
        <v>0</v>
      </c>
      <c r="B1985" s="62" t="s">
        <v>388</v>
      </c>
      <c r="C1985" s="62" t="s">
        <v>60</v>
      </c>
      <c r="D1985" s="62" t="s">
        <v>382</v>
      </c>
      <c r="E1985" s="62" t="s">
        <v>382</v>
      </c>
      <c r="F1985" s="63" t="s">
        <v>547</v>
      </c>
      <c r="G1985" s="64" t="s">
        <v>548</v>
      </c>
      <c r="H1985" s="62" t="s">
        <v>138</v>
      </c>
    </row>
    <row r="1986" customFormat="false" ht="15" hidden="false" customHeight="false" outlineLevel="0" collapsed="false">
      <c r="A1986" s="62" t="n">
        <v>0</v>
      </c>
      <c r="B1986" s="62" t="s">
        <v>381</v>
      </c>
      <c r="C1986" s="62" t="s">
        <v>60</v>
      </c>
      <c r="D1986" s="62" t="s">
        <v>382</v>
      </c>
      <c r="E1986" s="62" t="s">
        <v>382</v>
      </c>
      <c r="F1986" s="63" t="s">
        <v>549</v>
      </c>
      <c r="G1986" s="64" t="s">
        <v>550</v>
      </c>
      <c r="H1986" s="62"/>
    </row>
    <row r="1987" customFormat="false" ht="15" hidden="false" customHeight="false" outlineLevel="0" collapsed="false">
      <c r="A1987" s="62" t="n">
        <v>0</v>
      </c>
      <c r="B1987" s="62" t="s">
        <v>383</v>
      </c>
      <c r="C1987" s="62" t="s">
        <v>60</v>
      </c>
      <c r="D1987" s="62" t="s">
        <v>382</v>
      </c>
      <c r="E1987" s="62" t="s">
        <v>382</v>
      </c>
      <c r="F1987" s="63" t="s">
        <v>549</v>
      </c>
      <c r="G1987" s="64" t="s">
        <v>550</v>
      </c>
      <c r="H1987" s="62"/>
    </row>
    <row r="1988" customFormat="false" ht="15" hidden="false" customHeight="false" outlineLevel="0" collapsed="false">
      <c r="A1988" s="62" t="n">
        <v>0</v>
      </c>
      <c r="B1988" s="62" t="s">
        <v>384</v>
      </c>
      <c r="C1988" s="62" t="s">
        <v>60</v>
      </c>
      <c r="D1988" s="62" t="s">
        <v>382</v>
      </c>
      <c r="E1988" s="62" t="s">
        <v>382</v>
      </c>
      <c r="F1988" s="63" t="s">
        <v>549</v>
      </c>
      <c r="G1988" s="64" t="s">
        <v>550</v>
      </c>
      <c r="H1988" s="62"/>
    </row>
    <row r="1989" customFormat="false" ht="15" hidden="false" customHeight="false" outlineLevel="0" collapsed="false">
      <c r="A1989" s="62" t="n">
        <v>0</v>
      </c>
      <c r="B1989" s="62" t="s">
        <v>385</v>
      </c>
      <c r="C1989" s="62" t="s">
        <v>60</v>
      </c>
      <c r="D1989" s="62" t="s">
        <v>382</v>
      </c>
      <c r="E1989" s="62" t="s">
        <v>382</v>
      </c>
      <c r="F1989" s="63" t="s">
        <v>549</v>
      </c>
      <c r="G1989" s="64" t="s">
        <v>550</v>
      </c>
      <c r="H1989" s="62"/>
    </row>
    <row r="1990" customFormat="false" ht="15" hidden="false" customHeight="false" outlineLevel="0" collapsed="false">
      <c r="A1990" s="62" t="n">
        <v>0</v>
      </c>
      <c r="B1990" s="62" t="s">
        <v>386</v>
      </c>
      <c r="C1990" s="62" t="s">
        <v>60</v>
      </c>
      <c r="D1990" s="62" t="s">
        <v>382</v>
      </c>
      <c r="E1990" s="62" t="s">
        <v>382</v>
      </c>
      <c r="F1990" s="63" t="s">
        <v>549</v>
      </c>
      <c r="G1990" s="64" t="s">
        <v>550</v>
      </c>
      <c r="H1990" s="62"/>
    </row>
    <row r="1991" customFormat="false" ht="15" hidden="false" customHeight="false" outlineLevel="0" collapsed="false">
      <c r="A1991" s="62" t="n">
        <v>0</v>
      </c>
      <c r="B1991" s="62" t="s">
        <v>387</v>
      </c>
      <c r="C1991" s="62" t="s">
        <v>60</v>
      </c>
      <c r="D1991" s="62" t="s">
        <v>382</v>
      </c>
      <c r="E1991" s="62" t="s">
        <v>382</v>
      </c>
      <c r="F1991" s="63" t="s">
        <v>549</v>
      </c>
      <c r="G1991" s="64" t="s">
        <v>550</v>
      </c>
      <c r="H1991" s="62"/>
    </row>
    <row r="1992" customFormat="false" ht="15" hidden="false" customHeight="false" outlineLevel="0" collapsed="false">
      <c r="A1992" s="62" t="n">
        <v>0</v>
      </c>
      <c r="B1992" s="62" t="s">
        <v>388</v>
      </c>
      <c r="C1992" s="62" t="s">
        <v>60</v>
      </c>
      <c r="D1992" s="62" t="s">
        <v>382</v>
      </c>
      <c r="E1992" s="62" t="s">
        <v>382</v>
      </c>
      <c r="F1992" s="63" t="s">
        <v>549</v>
      </c>
      <c r="G1992" s="64" t="s">
        <v>550</v>
      </c>
      <c r="H1992" s="62"/>
    </row>
    <row r="1993" customFormat="false" ht="15" hidden="false" customHeight="false" outlineLevel="0" collapsed="false">
      <c r="A1993" s="62" t="n">
        <v>0</v>
      </c>
      <c r="B1993" s="62" t="s">
        <v>381</v>
      </c>
      <c r="C1993" s="62" t="s">
        <v>60</v>
      </c>
      <c r="D1993" s="62" t="s">
        <v>382</v>
      </c>
      <c r="E1993" s="62" t="s">
        <v>382</v>
      </c>
      <c r="F1993" s="63" t="s">
        <v>551</v>
      </c>
      <c r="G1993" s="64" t="s">
        <v>550</v>
      </c>
      <c r="H1993" s="62"/>
    </row>
    <row r="1994" customFormat="false" ht="15" hidden="false" customHeight="false" outlineLevel="0" collapsed="false">
      <c r="A1994" s="62" t="n">
        <v>0</v>
      </c>
      <c r="B1994" s="62" t="s">
        <v>383</v>
      </c>
      <c r="C1994" s="62" t="s">
        <v>60</v>
      </c>
      <c r="D1994" s="62" t="s">
        <v>382</v>
      </c>
      <c r="E1994" s="62" t="s">
        <v>382</v>
      </c>
      <c r="F1994" s="63" t="s">
        <v>551</v>
      </c>
      <c r="G1994" s="64" t="s">
        <v>550</v>
      </c>
      <c r="H1994" s="62"/>
    </row>
    <row r="1995" customFormat="false" ht="15" hidden="false" customHeight="false" outlineLevel="0" collapsed="false">
      <c r="A1995" s="62" t="n">
        <v>0</v>
      </c>
      <c r="B1995" s="62" t="s">
        <v>384</v>
      </c>
      <c r="C1995" s="62" t="s">
        <v>60</v>
      </c>
      <c r="D1995" s="62" t="s">
        <v>382</v>
      </c>
      <c r="E1995" s="62" t="s">
        <v>382</v>
      </c>
      <c r="F1995" s="63" t="s">
        <v>551</v>
      </c>
      <c r="G1995" s="64" t="s">
        <v>550</v>
      </c>
      <c r="H1995" s="62"/>
    </row>
    <row r="1996" customFormat="false" ht="15" hidden="false" customHeight="false" outlineLevel="0" collapsed="false">
      <c r="A1996" s="62" t="n">
        <v>0</v>
      </c>
      <c r="B1996" s="62" t="s">
        <v>385</v>
      </c>
      <c r="C1996" s="62" t="s">
        <v>60</v>
      </c>
      <c r="D1996" s="62" t="s">
        <v>382</v>
      </c>
      <c r="E1996" s="62" t="s">
        <v>382</v>
      </c>
      <c r="F1996" s="63" t="s">
        <v>551</v>
      </c>
      <c r="G1996" s="64" t="s">
        <v>550</v>
      </c>
      <c r="H1996" s="62"/>
    </row>
    <row r="1997" customFormat="false" ht="15" hidden="false" customHeight="false" outlineLevel="0" collapsed="false">
      <c r="A1997" s="62" t="n">
        <v>0</v>
      </c>
      <c r="B1997" s="62" t="s">
        <v>386</v>
      </c>
      <c r="C1997" s="62" t="s">
        <v>60</v>
      </c>
      <c r="D1997" s="62" t="s">
        <v>382</v>
      </c>
      <c r="E1997" s="62" t="s">
        <v>382</v>
      </c>
      <c r="F1997" s="63" t="s">
        <v>551</v>
      </c>
      <c r="G1997" s="64" t="s">
        <v>550</v>
      </c>
      <c r="H1997" s="62"/>
    </row>
    <row r="1998" customFormat="false" ht="15" hidden="false" customHeight="false" outlineLevel="0" collapsed="false">
      <c r="A1998" s="62" t="n">
        <v>0</v>
      </c>
      <c r="B1998" s="62" t="s">
        <v>387</v>
      </c>
      <c r="C1998" s="62" t="s">
        <v>60</v>
      </c>
      <c r="D1998" s="62" t="s">
        <v>382</v>
      </c>
      <c r="E1998" s="62" t="s">
        <v>382</v>
      </c>
      <c r="F1998" s="63" t="s">
        <v>551</v>
      </c>
      <c r="G1998" s="64" t="s">
        <v>550</v>
      </c>
      <c r="H1998" s="62"/>
    </row>
    <row r="1999" customFormat="false" ht="15" hidden="false" customHeight="false" outlineLevel="0" collapsed="false">
      <c r="A1999" s="62" t="n">
        <v>0</v>
      </c>
      <c r="B1999" s="62" t="s">
        <v>388</v>
      </c>
      <c r="C1999" s="62" t="s">
        <v>60</v>
      </c>
      <c r="D1999" s="62" t="s">
        <v>382</v>
      </c>
      <c r="E1999" s="62" t="s">
        <v>382</v>
      </c>
      <c r="F1999" s="63" t="s">
        <v>551</v>
      </c>
      <c r="G1999" s="64" t="s">
        <v>550</v>
      </c>
      <c r="H1999" s="62"/>
    </row>
    <row r="2000" customFormat="false" ht="15" hidden="false" customHeight="false" outlineLevel="0" collapsed="false">
      <c r="A2000" s="62" t="n">
        <v>0</v>
      </c>
      <c r="B2000" s="62" t="s">
        <v>381</v>
      </c>
      <c r="C2000" s="62" t="s">
        <v>60</v>
      </c>
      <c r="D2000" s="62" t="s">
        <v>382</v>
      </c>
      <c r="E2000" s="62" t="s">
        <v>382</v>
      </c>
      <c r="F2000" s="63" t="s">
        <v>552</v>
      </c>
      <c r="G2000" s="64" t="s">
        <v>550</v>
      </c>
      <c r="H2000" s="62"/>
    </row>
    <row r="2001" customFormat="false" ht="15" hidden="false" customHeight="false" outlineLevel="0" collapsed="false">
      <c r="A2001" s="62" t="n">
        <v>0</v>
      </c>
      <c r="B2001" s="62" t="s">
        <v>383</v>
      </c>
      <c r="C2001" s="62" t="s">
        <v>60</v>
      </c>
      <c r="D2001" s="62" t="s">
        <v>382</v>
      </c>
      <c r="E2001" s="62" t="s">
        <v>382</v>
      </c>
      <c r="F2001" s="63" t="s">
        <v>552</v>
      </c>
      <c r="G2001" s="64" t="s">
        <v>550</v>
      </c>
      <c r="H2001" s="62"/>
    </row>
    <row r="2002" customFormat="false" ht="15" hidden="false" customHeight="false" outlineLevel="0" collapsed="false">
      <c r="A2002" s="62" t="n">
        <v>0</v>
      </c>
      <c r="B2002" s="62" t="s">
        <v>384</v>
      </c>
      <c r="C2002" s="62" t="s">
        <v>60</v>
      </c>
      <c r="D2002" s="62" t="s">
        <v>382</v>
      </c>
      <c r="E2002" s="62" t="s">
        <v>382</v>
      </c>
      <c r="F2002" s="63" t="s">
        <v>552</v>
      </c>
      <c r="G2002" s="64" t="s">
        <v>550</v>
      </c>
      <c r="H2002" s="62"/>
    </row>
    <row r="2003" customFormat="false" ht="15" hidden="false" customHeight="false" outlineLevel="0" collapsed="false">
      <c r="A2003" s="62" t="n">
        <v>0</v>
      </c>
      <c r="B2003" s="62" t="s">
        <v>385</v>
      </c>
      <c r="C2003" s="62" t="s">
        <v>60</v>
      </c>
      <c r="D2003" s="62" t="s">
        <v>382</v>
      </c>
      <c r="E2003" s="62" t="s">
        <v>382</v>
      </c>
      <c r="F2003" s="63" t="s">
        <v>552</v>
      </c>
      <c r="G2003" s="64" t="s">
        <v>550</v>
      </c>
      <c r="H2003" s="62"/>
    </row>
    <row r="2004" customFormat="false" ht="15" hidden="false" customHeight="false" outlineLevel="0" collapsed="false">
      <c r="A2004" s="62" t="n">
        <v>0</v>
      </c>
      <c r="B2004" s="62" t="s">
        <v>386</v>
      </c>
      <c r="C2004" s="62" t="s">
        <v>60</v>
      </c>
      <c r="D2004" s="62" t="s">
        <v>382</v>
      </c>
      <c r="E2004" s="62" t="s">
        <v>382</v>
      </c>
      <c r="F2004" s="63" t="s">
        <v>552</v>
      </c>
      <c r="G2004" s="64" t="s">
        <v>550</v>
      </c>
      <c r="H2004" s="62"/>
    </row>
    <row r="2005" customFormat="false" ht="15" hidden="false" customHeight="false" outlineLevel="0" collapsed="false">
      <c r="A2005" s="62" t="n">
        <v>0</v>
      </c>
      <c r="B2005" s="62" t="s">
        <v>387</v>
      </c>
      <c r="C2005" s="62" t="s">
        <v>60</v>
      </c>
      <c r="D2005" s="62" t="s">
        <v>382</v>
      </c>
      <c r="E2005" s="62" t="s">
        <v>382</v>
      </c>
      <c r="F2005" s="63" t="s">
        <v>552</v>
      </c>
      <c r="G2005" s="64" t="s">
        <v>550</v>
      </c>
      <c r="H2005" s="62"/>
    </row>
    <row r="2006" customFormat="false" ht="15" hidden="false" customHeight="false" outlineLevel="0" collapsed="false">
      <c r="A2006" s="62" t="n">
        <v>0</v>
      </c>
      <c r="B2006" s="62" t="s">
        <v>388</v>
      </c>
      <c r="C2006" s="62" t="s">
        <v>60</v>
      </c>
      <c r="D2006" s="62" t="s">
        <v>382</v>
      </c>
      <c r="E2006" s="62" t="s">
        <v>382</v>
      </c>
      <c r="F2006" s="63" t="s">
        <v>552</v>
      </c>
      <c r="G2006" s="64" t="s">
        <v>550</v>
      </c>
      <c r="H2006" s="62"/>
    </row>
    <row r="2007" customFormat="false" ht="15" hidden="false" customHeight="false" outlineLevel="0" collapsed="false">
      <c r="A2007" s="62" t="n">
        <v>0</v>
      </c>
      <c r="B2007" s="62" t="s">
        <v>381</v>
      </c>
      <c r="C2007" s="62" t="s">
        <v>60</v>
      </c>
      <c r="D2007" s="62" t="s">
        <v>382</v>
      </c>
      <c r="E2007" s="62" t="s">
        <v>382</v>
      </c>
      <c r="F2007" s="63" t="s">
        <v>553</v>
      </c>
      <c r="G2007" s="64" t="s">
        <v>550</v>
      </c>
      <c r="H2007" s="62"/>
    </row>
    <row r="2008" customFormat="false" ht="15" hidden="false" customHeight="false" outlineLevel="0" collapsed="false">
      <c r="A2008" s="62" t="n">
        <v>0</v>
      </c>
      <c r="B2008" s="62" t="s">
        <v>383</v>
      </c>
      <c r="C2008" s="62" t="s">
        <v>60</v>
      </c>
      <c r="D2008" s="62" t="s">
        <v>382</v>
      </c>
      <c r="E2008" s="62" t="s">
        <v>382</v>
      </c>
      <c r="F2008" s="63" t="s">
        <v>553</v>
      </c>
      <c r="G2008" s="64" t="s">
        <v>550</v>
      </c>
      <c r="H2008" s="62"/>
    </row>
    <row r="2009" customFormat="false" ht="15" hidden="false" customHeight="false" outlineLevel="0" collapsed="false">
      <c r="A2009" s="62" t="n">
        <v>0</v>
      </c>
      <c r="B2009" s="62" t="s">
        <v>384</v>
      </c>
      <c r="C2009" s="62" t="s">
        <v>60</v>
      </c>
      <c r="D2009" s="62" t="s">
        <v>382</v>
      </c>
      <c r="E2009" s="62" t="s">
        <v>382</v>
      </c>
      <c r="F2009" s="63" t="s">
        <v>553</v>
      </c>
      <c r="G2009" s="64" t="s">
        <v>550</v>
      </c>
      <c r="H2009" s="62"/>
    </row>
    <row r="2010" customFormat="false" ht="15" hidden="false" customHeight="false" outlineLevel="0" collapsed="false">
      <c r="A2010" s="62" t="n">
        <v>0</v>
      </c>
      <c r="B2010" s="62" t="s">
        <v>385</v>
      </c>
      <c r="C2010" s="62" t="s">
        <v>60</v>
      </c>
      <c r="D2010" s="62" t="s">
        <v>382</v>
      </c>
      <c r="E2010" s="62" t="s">
        <v>382</v>
      </c>
      <c r="F2010" s="63" t="s">
        <v>553</v>
      </c>
      <c r="G2010" s="64" t="s">
        <v>550</v>
      </c>
      <c r="H2010" s="62"/>
    </row>
    <row r="2011" customFormat="false" ht="15" hidden="false" customHeight="false" outlineLevel="0" collapsed="false">
      <c r="A2011" s="62" t="n">
        <v>0</v>
      </c>
      <c r="B2011" s="62" t="s">
        <v>386</v>
      </c>
      <c r="C2011" s="62" t="s">
        <v>60</v>
      </c>
      <c r="D2011" s="62" t="s">
        <v>382</v>
      </c>
      <c r="E2011" s="62" t="s">
        <v>382</v>
      </c>
      <c r="F2011" s="63" t="s">
        <v>553</v>
      </c>
      <c r="G2011" s="64" t="s">
        <v>550</v>
      </c>
      <c r="H2011" s="62"/>
    </row>
    <row r="2012" customFormat="false" ht="15" hidden="false" customHeight="false" outlineLevel="0" collapsed="false">
      <c r="A2012" s="62" t="n">
        <v>0</v>
      </c>
      <c r="B2012" s="62" t="s">
        <v>387</v>
      </c>
      <c r="C2012" s="62" t="s">
        <v>60</v>
      </c>
      <c r="D2012" s="62" t="s">
        <v>382</v>
      </c>
      <c r="E2012" s="62" t="s">
        <v>382</v>
      </c>
      <c r="F2012" s="63" t="s">
        <v>553</v>
      </c>
      <c r="G2012" s="64" t="s">
        <v>550</v>
      </c>
      <c r="H2012" s="62"/>
    </row>
    <row r="2013" customFormat="false" ht="15" hidden="false" customHeight="false" outlineLevel="0" collapsed="false">
      <c r="A2013" s="62" t="n">
        <v>0</v>
      </c>
      <c r="B2013" s="62" t="s">
        <v>388</v>
      </c>
      <c r="C2013" s="62" t="s">
        <v>60</v>
      </c>
      <c r="D2013" s="62" t="s">
        <v>382</v>
      </c>
      <c r="E2013" s="62" t="s">
        <v>382</v>
      </c>
      <c r="F2013" s="63" t="s">
        <v>553</v>
      </c>
      <c r="G2013" s="64" t="s">
        <v>550</v>
      </c>
      <c r="H2013" s="62"/>
    </row>
    <row r="2014" customFormat="false" ht="15" hidden="false" customHeight="false" outlineLevel="0" collapsed="false">
      <c r="A2014" s="62" t="n">
        <v>0</v>
      </c>
      <c r="B2014" s="62" t="s">
        <v>381</v>
      </c>
      <c r="C2014" s="62" t="s">
        <v>60</v>
      </c>
      <c r="D2014" s="62" t="s">
        <v>382</v>
      </c>
      <c r="E2014" s="62" t="s">
        <v>382</v>
      </c>
      <c r="F2014" s="63" t="s">
        <v>554</v>
      </c>
      <c r="G2014" s="64" t="s">
        <v>550</v>
      </c>
      <c r="H2014" s="62"/>
    </row>
    <row r="2015" customFormat="false" ht="15" hidden="false" customHeight="false" outlineLevel="0" collapsed="false">
      <c r="A2015" s="62" t="n">
        <v>0</v>
      </c>
      <c r="B2015" s="62" t="s">
        <v>383</v>
      </c>
      <c r="C2015" s="62" t="s">
        <v>60</v>
      </c>
      <c r="D2015" s="62" t="s">
        <v>382</v>
      </c>
      <c r="E2015" s="62" t="s">
        <v>382</v>
      </c>
      <c r="F2015" s="63" t="s">
        <v>554</v>
      </c>
      <c r="G2015" s="64" t="s">
        <v>550</v>
      </c>
      <c r="H2015" s="62"/>
    </row>
    <row r="2016" customFormat="false" ht="15" hidden="false" customHeight="false" outlineLevel="0" collapsed="false">
      <c r="A2016" s="62" t="n">
        <v>0</v>
      </c>
      <c r="B2016" s="62" t="s">
        <v>384</v>
      </c>
      <c r="C2016" s="62" t="s">
        <v>60</v>
      </c>
      <c r="D2016" s="62" t="s">
        <v>382</v>
      </c>
      <c r="E2016" s="62" t="s">
        <v>382</v>
      </c>
      <c r="F2016" s="63" t="s">
        <v>554</v>
      </c>
      <c r="G2016" s="64" t="s">
        <v>550</v>
      </c>
      <c r="H2016" s="62"/>
    </row>
    <row r="2017" customFormat="false" ht="15" hidden="false" customHeight="false" outlineLevel="0" collapsed="false">
      <c r="A2017" s="62" t="n">
        <v>0</v>
      </c>
      <c r="B2017" s="62" t="s">
        <v>385</v>
      </c>
      <c r="C2017" s="62" t="s">
        <v>60</v>
      </c>
      <c r="D2017" s="62" t="s">
        <v>382</v>
      </c>
      <c r="E2017" s="62" t="s">
        <v>382</v>
      </c>
      <c r="F2017" s="63" t="s">
        <v>554</v>
      </c>
      <c r="G2017" s="64" t="s">
        <v>550</v>
      </c>
      <c r="H2017" s="62"/>
    </row>
    <row r="2018" customFormat="false" ht="15" hidden="false" customHeight="false" outlineLevel="0" collapsed="false">
      <c r="A2018" s="62" t="n">
        <v>0</v>
      </c>
      <c r="B2018" s="62" t="s">
        <v>386</v>
      </c>
      <c r="C2018" s="62" t="s">
        <v>60</v>
      </c>
      <c r="D2018" s="62" t="s">
        <v>382</v>
      </c>
      <c r="E2018" s="62" t="s">
        <v>382</v>
      </c>
      <c r="F2018" s="63" t="s">
        <v>554</v>
      </c>
      <c r="G2018" s="64" t="s">
        <v>550</v>
      </c>
      <c r="H2018" s="62"/>
    </row>
    <row r="2019" customFormat="false" ht="15" hidden="false" customHeight="false" outlineLevel="0" collapsed="false">
      <c r="A2019" s="62" t="n">
        <v>0</v>
      </c>
      <c r="B2019" s="62" t="s">
        <v>387</v>
      </c>
      <c r="C2019" s="62" t="s">
        <v>60</v>
      </c>
      <c r="D2019" s="62" t="s">
        <v>382</v>
      </c>
      <c r="E2019" s="62" t="s">
        <v>382</v>
      </c>
      <c r="F2019" s="63" t="s">
        <v>554</v>
      </c>
      <c r="G2019" s="64" t="s">
        <v>550</v>
      </c>
      <c r="H2019" s="62"/>
    </row>
    <row r="2020" customFormat="false" ht="15" hidden="false" customHeight="false" outlineLevel="0" collapsed="false">
      <c r="A2020" s="62" t="n">
        <v>0</v>
      </c>
      <c r="B2020" s="62" t="s">
        <v>388</v>
      </c>
      <c r="C2020" s="62" t="s">
        <v>60</v>
      </c>
      <c r="D2020" s="62" t="s">
        <v>382</v>
      </c>
      <c r="E2020" s="62" t="s">
        <v>382</v>
      </c>
      <c r="F2020" s="63" t="s">
        <v>554</v>
      </c>
      <c r="G2020" s="64" t="s">
        <v>550</v>
      </c>
      <c r="H2020" s="62"/>
    </row>
    <row r="2021" customFormat="false" ht="15" hidden="false" customHeight="false" outlineLevel="0" collapsed="false">
      <c r="A2021" s="62" t="n">
        <v>0</v>
      </c>
      <c r="B2021" s="62" t="s">
        <v>381</v>
      </c>
      <c r="C2021" s="62" t="s">
        <v>60</v>
      </c>
      <c r="D2021" s="62" t="s">
        <v>382</v>
      </c>
      <c r="E2021" s="62" t="s">
        <v>382</v>
      </c>
      <c r="F2021" s="63" t="s">
        <v>555</v>
      </c>
      <c r="G2021" s="64" t="n">
        <v>3</v>
      </c>
      <c r="H2021" s="62"/>
    </row>
    <row r="2022" customFormat="false" ht="15" hidden="false" customHeight="false" outlineLevel="0" collapsed="false">
      <c r="A2022" s="62" t="n">
        <v>0</v>
      </c>
      <c r="B2022" s="62" t="s">
        <v>383</v>
      </c>
      <c r="C2022" s="62" t="s">
        <v>60</v>
      </c>
      <c r="D2022" s="62" t="s">
        <v>382</v>
      </c>
      <c r="E2022" s="62" t="s">
        <v>382</v>
      </c>
      <c r="F2022" s="63" t="s">
        <v>555</v>
      </c>
      <c r="G2022" s="64" t="n">
        <v>3</v>
      </c>
      <c r="H2022" s="62"/>
    </row>
    <row r="2023" customFormat="false" ht="15" hidden="false" customHeight="false" outlineLevel="0" collapsed="false">
      <c r="A2023" s="62" t="n">
        <v>0</v>
      </c>
      <c r="B2023" s="62" t="s">
        <v>384</v>
      </c>
      <c r="C2023" s="62" t="s">
        <v>60</v>
      </c>
      <c r="D2023" s="62" t="s">
        <v>382</v>
      </c>
      <c r="E2023" s="62" t="s">
        <v>382</v>
      </c>
      <c r="F2023" s="63" t="s">
        <v>555</v>
      </c>
      <c r="G2023" s="64" t="n">
        <v>3</v>
      </c>
      <c r="H2023" s="62"/>
    </row>
    <row r="2024" customFormat="false" ht="15" hidden="false" customHeight="false" outlineLevel="0" collapsed="false">
      <c r="A2024" s="62" t="n">
        <v>0</v>
      </c>
      <c r="B2024" s="62" t="s">
        <v>385</v>
      </c>
      <c r="C2024" s="62" t="s">
        <v>60</v>
      </c>
      <c r="D2024" s="62" t="s">
        <v>382</v>
      </c>
      <c r="E2024" s="62" t="s">
        <v>382</v>
      </c>
      <c r="F2024" s="63" t="s">
        <v>555</v>
      </c>
      <c r="G2024" s="64" t="n">
        <v>3</v>
      </c>
      <c r="H2024" s="62"/>
    </row>
    <row r="2025" customFormat="false" ht="15" hidden="false" customHeight="false" outlineLevel="0" collapsed="false">
      <c r="A2025" s="62" t="n">
        <v>0</v>
      </c>
      <c r="B2025" s="62" t="s">
        <v>386</v>
      </c>
      <c r="C2025" s="62" t="s">
        <v>60</v>
      </c>
      <c r="D2025" s="62" t="s">
        <v>382</v>
      </c>
      <c r="E2025" s="62" t="s">
        <v>382</v>
      </c>
      <c r="F2025" s="63" t="s">
        <v>555</v>
      </c>
      <c r="G2025" s="64" t="n">
        <v>3</v>
      </c>
      <c r="H2025" s="62"/>
    </row>
    <row r="2026" customFormat="false" ht="15" hidden="false" customHeight="false" outlineLevel="0" collapsed="false">
      <c r="A2026" s="62" t="n">
        <v>0</v>
      </c>
      <c r="B2026" s="62" t="s">
        <v>387</v>
      </c>
      <c r="C2026" s="62" t="s">
        <v>60</v>
      </c>
      <c r="D2026" s="62" t="s">
        <v>382</v>
      </c>
      <c r="E2026" s="62" t="s">
        <v>382</v>
      </c>
      <c r="F2026" s="63" t="s">
        <v>555</v>
      </c>
      <c r="G2026" s="64" t="n">
        <v>3</v>
      </c>
      <c r="H2026" s="62"/>
    </row>
    <row r="2027" customFormat="false" ht="15" hidden="false" customHeight="false" outlineLevel="0" collapsed="false">
      <c r="A2027" s="62" t="n">
        <v>0</v>
      </c>
      <c r="B2027" s="62" t="s">
        <v>388</v>
      </c>
      <c r="C2027" s="62" t="s">
        <v>60</v>
      </c>
      <c r="D2027" s="62" t="s">
        <v>382</v>
      </c>
      <c r="E2027" s="62" t="s">
        <v>382</v>
      </c>
      <c r="F2027" s="63" t="s">
        <v>555</v>
      </c>
      <c r="G2027" s="64" t="n">
        <v>3</v>
      </c>
      <c r="H2027" s="62"/>
    </row>
    <row r="2028" customFormat="false" ht="15" hidden="false" customHeight="false" outlineLevel="0" collapsed="false">
      <c r="A2028" s="62" t="n">
        <v>0</v>
      </c>
      <c r="B2028" s="62" t="s">
        <v>381</v>
      </c>
      <c r="C2028" s="62" t="s">
        <v>60</v>
      </c>
      <c r="D2028" s="62" t="s">
        <v>382</v>
      </c>
      <c r="E2028" s="62" t="s">
        <v>382</v>
      </c>
      <c r="F2028" s="63" t="s">
        <v>556</v>
      </c>
      <c r="G2028" s="64" t="n">
        <v>3.3</v>
      </c>
      <c r="H2028" s="62"/>
    </row>
    <row r="2029" customFormat="false" ht="15" hidden="false" customHeight="false" outlineLevel="0" collapsed="false">
      <c r="A2029" s="62" t="n">
        <v>0</v>
      </c>
      <c r="B2029" s="62" t="s">
        <v>383</v>
      </c>
      <c r="C2029" s="62" t="s">
        <v>60</v>
      </c>
      <c r="D2029" s="62" t="s">
        <v>382</v>
      </c>
      <c r="E2029" s="62" t="s">
        <v>382</v>
      </c>
      <c r="F2029" s="63" t="s">
        <v>556</v>
      </c>
      <c r="G2029" s="64" t="n">
        <v>3.3</v>
      </c>
      <c r="H2029" s="62"/>
    </row>
    <row r="2030" customFormat="false" ht="15" hidden="false" customHeight="false" outlineLevel="0" collapsed="false">
      <c r="A2030" s="62" t="n">
        <v>0</v>
      </c>
      <c r="B2030" s="62" t="s">
        <v>384</v>
      </c>
      <c r="C2030" s="62" t="s">
        <v>60</v>
      </c>
      <c r="D2030" s="62" t="s">
        <v>382</v>
      </c>
      <c r="E2030" s="62" t="s">
        <v>382</v>
      </c>
      <c r="F2030" s="63" t="s">
        <v>556</v>
      </c>
      <c r="G2030" s="64" t="n">
        <v>3.3</v>
      </c>
      <c r="H2030" s="62"/>
    </row>
    <row r="2031" customFormat="false" ht="15" hidden="false" customHeight="false" outlineLevel="0" collapsed="false">
      <c r="A2031" s="62" t="n">
        <v>0</v>
      </c>
      <c r="B2031" s="62" t="s">
        <v>385</v>
      </c>
      <c r="C2031" s="62" t="s">
        <v>60</v>
      </c>
      <c r="D2031" s="62" t="s">
        <v>382</v>
      </c>
      <c r="E2031" s="62" t="s">
        <v>382</v>
      </c>
      <c r="F2031" s="63" t="s">
        <v>556</v>
      </c>
      <c r="G2031" s="64" t="n">
        <v>3.3</v>
      </c>
      <c r="H2031" s="62"/>
    </row>
    <row r="2032" customFormat="false" ht="15" hidden="false" customHeight="false" outlineLevel="0" collapsed="false">
      <c r="A2032" s="62" t="n">
        <v>0</v>
      </c>
      <c r="B2032" s="62" t="s">
        <v>386</v>
      </c>
      <c r="C2032" s="62" t="s">
        <v>60</v>
      </c>
      <c r="D2032" s="62" t="s">
        <v>382</v>
      </c>
      <c r="E2032" s="62" t="s">
        <v>382</v>
      </c>
      <c r="F2032" s="63" t="s">
        <v>556</v>
      </c>
      <c r="G2032" s="64" t="n">
        <v>3.3</v>
      </c>
      <c r="H2032" s="62"/>
    </row>
    <row r="2033" customFormat="false" ht="15" hidden="false" customHeight="false" outlineLevel="0" collapsed="false">
      <c r="A2033" s="62" t="n">
        <v>0</v>
      </c>
      <c r="B2033" s="62" t="s">
        <v>387</v>
      </c>
      <c r="C2033" s="62" t="s">
        <v>60</v>
      </c>
      <c r="D2033" s="62" t="s">
        <v>382</v>
      </c>
      <c r="E2033" s="62" t="s">
        <v>382</v>
      </c>
      <c r="F2033" s="63" t="s">
        <v>556</v>
      </c>
      <c r="G2033" s="64" t="n">
        <v>3.3</v>
      </c>
      <c r="H2033" s="62"/>
    </row>
    <row r="2034" customFormat="false" ht="15" hidden="false" customHeight="false" outlineLevel="0" collapsed="false">
      <c r="A2034" s="62" t="n">
        <v>0</v>
      </c>
      <c r="B2034" s="62" t="s">
        <v>388</v>
      </c>
      <c r="C2034" s="62" t="s">
        <v>60</v>
      </c>
      <c r="D2034" s="62" t="s">
        <v>382</v>
      </c>
      <c r="E2034" s="62" t="s">
        <v>382</v>
      </c>
      <c r="F2034" s="63" t="s">
        <v>556</v>
      </c>
      <c r="G2034" s="64" t="n">
        <v>3.3</v>
      </c>
      <c r="H2034" s="62"/>
    </row>
    <row r="2035" customFormat="false" ht="15" hidden="false" customHeight="false" outlineLevel="0" collapsed="false">
      <c r="A2035" s="62" t="n">
        <v>0</v>
      </c>
      <c r="B2035" s="62" t="s">
        <v>381</v>
      </c>
      <c r="C2035" s="62" t="s">
        <v>60</v>
      </c>
      <c r="D2035" s="62" t="s">
        <v>382</v>
      </c>
      <c r="E2035" s="62" t="s">
        <v>382</v>
      </c>
      <c r="F2035" s="63" t="s">
        <v>557</v>
      </c>
      <c r="G2035" s="64" t="n">
        <v>2040</v>
      </c>
      <c r="H2035" s="62"/>
    </row>
    <row r="2036" customFormat="false" ht="15" hidden="false" customHeight="false" outlineLevel="0" collapsed="false">
      <c r="A2036" s="62" t="n">
        <v>0</v>
      </c>
      <c r="B2036" s="62" t="s">
        <v>383</v>
      </c>
      <c r="C2036" s="62" t="s">
        <v>60</v>
      </c>
      <c r="D2036" s="62" t="s">
        <v>382</v>
      </c>
      <c r="E2036" s="62" t="s">
        <v>382</v>
      </c>
      <c r="F2036" s="63" t="s">
        <v>557</v>
      </c>
      <c r="G2036" s="64" t="n">
        <v>2040</v>
      </c>
      <c r="H2036" s="62"/>
    </row>
    <row r="2037" customFormat="false" ht="15" hidden="false" customHeight="false" outlineLevel="0" collapsed="false">
      <c r="A2037" s="62" t="n">
        <v>0</v>
      </c>
      <c r="B2037" s="62" t="s">
        <v>384</v>
      </c>
      <c r="C2037" s="62" t="s">
        <v>60</v>
      </c>
      <c r="D2037" s="62" t="s">
        <v>382</v>
      </c>
      <c r="E2037" s="62" t="s">
        <v>382</v>
      </c>
      <c r="F2037" s="63" t="s">
        <v>557</v>
      </c>
      <c r="G2037" s="64" t="n">
        <v>2040</v>
      </c>
      <c r="H2037" s="62"/>
    </row>
    <row r="2038" customFormat="false" ht="15" hidden="false" customHeight="false" outlineLevel="0" collapsed="false">
      <c r="A2038" s="62" t="n">
        <v>0</v>
      </c>
      <c r="B2038" s="62" t="s">
        <v>385</v>
      </c>
      <c r="C2038" s="62" t="s">
        <v>60</v>
      </c>
      <c r="D2038" s="62" t="s">
        <v>382</v>
      </c>
      <c r="E2038" s="62" t="s">
        <v>382</v>
      </c>
      <c r="F2038" s="63" t="s">
        <v>557</v>
      </c>
      <c r="G2038" s="64" t="n">
        <v>2040</v>
      </c>
      <c r="H2038" s="62"/>
    </row>
    <row r="2039" customFormat="false" ht="15" hidden="false" customHeight="false" outlineLevel="0" collapsed="false">
      <c r="A2039" s="62" t="n">
        <v>0</v>
      </c>
      <c r="B2039" s="62" t="s">
        <v>386</v>
      </c>
      <c r="C2039" s="62" t="s">
        <v>60</v>
      </c>
      <c r="D2039" s="62" t="s">
        <v>382</v>
      </c>
      <c r="E2039" s="62" t="s">
        <v>382</v>
      </c>
      <c r="F2039" s="63" t="s">
        <v>557</v>
      </c>
      <c r="G2039" s="64" t="n">
        <v>2040</v>
      </c>
      <c r="H2039" s="62"/>
    </row>
    <row r="2040" customFormat="false" ht="15" hidden="false" customHeight="false" outlineLevel="0" collapsed="false">
      <c r="A2040" s="62" t="n">
        <v>0</v>
      </c>
      <c r="B2040" s="62" t="s">
        <v>387</v>
      </c>
      <c r="C2040" s="62" t="s">
        <v>60</v>
      </c>
      <c r="D2040" s="62" t="s">
        <v>382</v>
      </c>
      <c r="E2040" s="62" t="s">
        <v>382</v>
      </c>
      <c r="F2040" s="63" t="s">
        <v>557</v>
      </c>
      <c r="G2040" s="64" t="n">
        <v>2040</v>
      </c>
      <c r="H2040" s="62"/>
    </row>
    <row r="2041" customFormat="false" ht="15" hidden="false" customHeight="false" outlineLevel="0" collapsed="false">
      <c r="A2041" s="62" t="n">
        <v>0</v>
      </c>
      <c r="B2041" s="62" t="s">
        <v>388</v>
      </c>
      <c r="C2041" s="62" t="s">
        <v>60</v>
      </c>
      <c r="D2041" s="62" t="s">
        <v>382</v>
      </c>
      <c r="E2041" s="62" t="s">
        <v>382</v>
      </c>
      <c r="F2041" s="63" t="s">
        <v>557</v>
      </c>
      <c r="G2041" s="64" t="n">
        <v>2040</v>
      </c>
      <c r="H2041" s="62"/>
    </row>
    <row r="2042" customFormat="false" ht="15" hidden="false" customHeight="false" outlineLevel="0" collapsed="false">
      <c r="A2042" s="62" t="n">
        <v>0</v>
      </c>
      <c r="B2042" s="62" t="s">
        <v>381</v>
      </c>
      <c r="C2042" s="62" t="s">
        <v>60</v>
      </c>
      <c r="D2042" s="62" t="s">
        <v>382</v>
      </c>
      <c r="E2042" s="62" t="s">
        <v>382</v>
      </c>
      <c r="F2042" s="63" t="s">
        <v>558</v>
      </c>
      <c r="G2042" s="64" t="n">
        <v>4.5</v>
      </c>
      <c r="H2042" s="62"/>
    </row>
    <row r="2043" customFormat="false" ht="15" hidden="false" customHeight="false" outlineLevel="0" collapsed="false">
      <c r="A2043" s="62" t="n">
        <v>0</v>
      </c>
      <c r="B2043" s="62" t="s">
        <v>381</v>
      </c>
      <c r="C2043" s="62" t="s">
        <v>60</v>
      </c>
      <c r="D2043" s="62" t="s">
        <v>382</v>
      </c>
      <c r="E2043" s="62" t="s">
        <v>382</v>
      </c>
      <c r="F2043" s="63" t="s">
        <v>559</v>
      </c>
      <c r="G2043" s="64" t="n">
        <v>2</v>
      </c>
      <c r="H2043" s="62"/>
    </row>
    <row r="2044" customFormat="false" ht="15" hidden="false" customHeight="false" outlineLevel="0" collapsed="false">
      <c r="A2044" s="62" t="n">
        <v>0</v>
      </c>
      <c r="B2044" s="62" t="s">
        <v>381</v>
      </c>
      <c r="C2044" s="62" t="s">
        <v>60</v>
      </c>
      <c r="D2044" s="62" t="s">
        <v>382</v>
      </c>
      <c r="E2044" s="62" t="s">
        <v>382</v>
      </c>
      <c r="F2044" s="63" t="s">
        <v>560</v>
      </c>
      <c r="G2044" s="64" t="n">
        <v>1.75</v>
      </c>
      <c r="H2044" s="62"/>
    </row>
    <row r="2045" customFormat="false" ht="15" hidden="false" customHeight="false" outlineLevel="0" collapsed="false">
      <c r="A2045" s="62" t="n">
        <v>0</v>
      </c>
      <c r="B2045" s="62" t="s">
        <v>381</v>
      </c>
      <c r="C2045" s="62" t="s">
        <v>60</v>
      </c>
      <c r="D2045" s="62" t="s">
        <v>382</v>
      </c>
      <c r="E2045" s="62" t="s">
        <v>382</v>
      </c>
      <c r="F2045" s="63" t="s">
        <v>561</v>
      </c>
      <c r="G2045" s="64" t="n">
        <v>4</v>
      </c>
      <c r="H2045" s="62"/>
    </row>
    <row r="2046" customFormat="false" ht="15" hidden="false" customHeight="false" outlineLevel="0" collapsed="false">
      <c r="A2046" s="62" t="n">
        <v>0</v>
      </c>
      <c r="B2046" s="62" t="s">
        <v>381</v>
      </c>
      <c r="C2046" s="62" t="s">
        <v>60</v>
      </c>
      <c r="D2046" s="62" t="s">
        <v>382</v>
      </c>
      <c r="E2046" s="62" t="s">
        <v>382</v>
      </c>
      <c r="F2046" s="63" t="s">
        <v>562</v>
      </c>
      <c r="G2046" s="64" t="n">
        <v>3.5</v>
      </c>
      <c r="H2046" s="62"/>
    </row>
    <row r="2047" customFormat="false" ht="15" hidden="false" customHeight="false" outlineLevel="0" collapsed="false">
      <c r="A2047" s="62" t="n">
        <v>0</v>
      </c>
      <c r="B2047" s="62" t="s">
        <v>381</v>
      </c>
      <c r="C2047" s="62" t="s">
        <v>60</v>
      </c>
      <c r="D2047" s="62" t="s">
        <v>382</v>
      </c>
      <c r="E2047" s="62" t="s">
        <v>382</v>
      </c>
      <c r="F2047" s="63" t="s">
        <v>563</v>
      </c>
      <c r="G2047" s="64" t="n">
        <v>2250</v>
      </c>
      <c r="H2047" s="62"/>
    </row>
    <row r="2048" customFormat="false" ht="15" hidden="false" customHeight="false" outlineLevel="0" collapsed="false">
      <c r="A2048" s="62" t="n">
        <v>0</v>
      </c>
      <c r="B2048" s="62" t="s">
        <v>381</v>
      </c>
      <c r="C2048" s="62" t="s">
        <v>60</v>
      </c>
      <c r="D2048" s="62" t="s">
        <v>382</v>
      </c>
      <c r="E2048" s="62" t="s">
        <v>382</v>
      </c>
      <c r="F2048" s="63" t="s">
        <v>564</v>
      </c>
      <c r="G2048" s="64" t="n">
        <v>1700</v>
      </c>
      <c r="H2048" s="62"/>
    </row>
    <row r="2049" customFormat="false" ht="15" hidden="false" customHeight="false" outlineLevel="0" collapsed="false">
      <c r="A2049" s="62" t="n">
        <v>0</v>
      </c>
      <c r="B2049" s="62" t="s">
        <v>381</v>
      </c>
      <c r="C2049" s="62" t="s">
        <v>60</v>
      </c>
      <c r="D2049" s="62" t="s">
        <v>382</v>
      </c>
      <c r="E2049" s="62" t="s">
        <v>382</v>
      </c>
      <c r="F2049" s="63" t="s">
        <v>565</v>
      </c>
      <c r="G2049" s="64" t="n">
        <v>2000</v>
      </c>
      <c r="H2049" s="62"/>
    </row>
    <row r="2050" customFormat="false" ht="15" hidden="false" customHeight="false" outlineLevel="0" collapsed="false">
      <c r="A2050" s="62" t="n">
        <v>0</v>
      </c>
      <c r="B2050" s="62" t="s">
        <v>381</v>
      </c>
      <c r="C2050" s="62" t="s">
        <v>60</v>
      </c>
      <c r="D2050" s="62" t="s">
        <v>382</v>
      </c>
      <c r="E2050" s="62" t="s">
        <v>382</v>
      </c>
      <c r="F2050" s="63" t="s">
        <v>566</v>
      </c>
      <c r="G2050" s="64" t="n">
        <v>2250</v>
      </c>
      <c r="H2050" s="62"/>
    </row>
    <row r="2051" customFormat="false" ht="15" hidden="false" customHeight="false" outlineLevel="0" collapsed="false">
      <c r="A2051" s="62" t="n">
        <v>0</v>
      </c>
      <c r="B2051" s="62" t="s">
        <v>381</v>
      </c>
      <c r="C2051" s="62" t="s">
        <v>60</v>
      </c>
      <c r="D2051" s="62" t="s">
        <v>382</v>
      </c>
      <c r="E2051" s="62" t="s">
        <v>382</v>
      </c>
      <c r="F2051" s="63" t="s">
        <v>567</v>
      </c>
      <c r="G2051" s="64" t="n">
        <v>2000</v>
      </c>
      <c r="H2051" s="62"/>
    </row>
    <row r="2052" customFormat="false" ht="15" hidden="false" customHeight="false" outlineLevel="0" collapsed="false">
      <c r="A2052" s="62" t="n">
        <v>0</v>
      </c>
      <c r="B2052" s="62" t="s">
        <v>381</v>
      </c>
      <c r="C2052" s="62" t="s">
        <v>60</v>
      </c>
      <c r="D2052" s="62" t="s">
        <v>382</v>
      </c>
      <c r="E2052" s="62" t="s">
        <v>382</v>
      </c>
      <c r="F2052" s="63" t="s">
        <v>568</v>
      </c>
      <c r="G2052" s="64" t="n">
        <v>980</v>
      </c>
      <c r="H2052" s="62"/>
    </row>
    <row r="2053" customFormat="false" ht="15" hidden="false" customHeight="false" outlineLevel="0" collapsed="false">
      <c r="A2053" s="62" t="n">
        <v>0</v>
      </c>
      <c r="B2053" s="62" t="s">
        <v>383</v>
      </c>
      <c r="C2053" s="62" t="s">
        <v>60</v>
      </c>
      <c r="D2053" s="62" t="s">
        <v>382</v>
      </c>
      <c r="E2053" s="62" t="s">
        <v>382</v>
      </c>
      <c r="F2053" s="63" t="s">
        <v>568</v>
      </c>
      <c r="G2053" s="64" t="n">
        <v>980</v>
      </c>
      <c r="H2053" s="62"/>
    </row>
    <row r="2054" customFormat="false" ht="15" hidden="false" customHeight="false" outlineLevel="0" collapsed="false">
      <c r="A2054" s="62" t="n">
        <v>0</v>
      </c>
      <c r="B2054" s="62" t="s">
        <v>384</v>
      </c>
      <c r="C2054" s="62" t="s">
        <v>60</v>
      </c>
      <c r="D2054" s="62" t="s">
        <v>382</v>
      </c>
      <c r="E2054" s="62" t="s">
        <v>382</v>
      </c>
      <c r="F2054" s="63" t="s">
        <v>568</v>
      </c>
      <c r="G2054" s="64" t="n">
        <v>980</v>
      </c>
      <c r="H2054" s="62"/>
    </row>
    <row r="2055" customFormat="false" ht="15" hidden="false" customHeight="false" outlineLevel="0" collapsed="false">
      <c r="A2055" s="62" t="n">
        <v>0</v>
      </c>
      <c r="B2055" s="62" t="s">
        <v>385</v>
      </c>
      <c r="C2055" s="62" t="s">
        <v>60</v>
      </c>
      <c r="D2055" s="62" t="s">
        <v>382</v>
      </c>
      <c r="E2055" s="62" t="s">
        <v>382</v>
      </c>
      <c r="F2055" s="63" t="s">
        <v>568</v>
      </c>
      <c r="G2055" s="64" t="n">
        <v>980</v>
      </c>
      <c r="H2055" s="62"/>
    </row>
    <row r="2056" customFormat="false" ht="15" hidden="false" customHeight="false" outlineLevel="0" collapsed="false">
      <c r="A2056" s="62" t="n">
        <v>0</v>
      </c>
      <c r="B2056" s="62" t="s">
        <v>386</v>
      </c>
      <c r="C2056" s="62" t="s">
        <v>60</v>
      </c>
      <c r="D2056" s="62" t="s">
        <v>382</v>
      </c>
      <c r="E2056" s="62" t="s">
        <v>382</v>
      </c>
      <c r="F2056" s="63" t="s">
        <v>568</v>
      </c>
      <c r="G2056" s="64" t="n">
        <v>980</v>
      </c>
      <c r="H2056" s="62"/>
    </row>
    <row r="2057" customFormat="false" ht="15" hidden="false" customHeight="false" outlineLevel="0" collapsed="false">
      <c r="A2057" s="62" t="n">
        <v>0</v>
      </c>
      <c r="B2057" s="62" t="s">
        <v>387</v>
      </c>
      <c r="C2057" s="62" t="s">
        <v>60</v>
      </c>
      <c r="D2057" s="62" t="s">
        <v>382</v>
      </c>
      <c r="E2057" s="62" t="s">
        <v>382</v>
      </c>
      <c r="F2057" s="63" t="s">
        <v>568</v>
      </c>
      <c r="G2057" s="64" t="n">
        <v>980</v>
      </c>
      <c r="H2057" s="62"/>
    </row>
    <row r="2058" customFormat="false" ht="15" hidden="false" customHeight="false" outlineLevel="0" collapsed="false">
      <c r="A2058" s="62" t="n">
        <v>0</v>
      </c>
      <c r="B2058" s="62" t="s">
        <v>388</v>
      </c>
      <c r="C2058" s="62" t="s">
        <v>60</v>
      </c>
      <c r="D2058" s="62" t="s">
        <v>382</v>
      </c>
      <c r="E2058" s="62" t="s">
        <v>382</v>
      </c>
      <c r="F2058" s="63" t="s">
        <v>568</v>
      </c>
      <c r="G2058" s="64" t="n">
        <v>980</v>
      </c>
      <c r="H2058" s="62"/>
    </row>
    <row r="2059" customFormat="false" ht="15" hidden="false" customHeight="false" outlineLevel="0" collapsed="false">
      <c r="A2059" s="62" t="n">
        <v>0</v>
      </c>
      <c r="B2059" s="62" t="s">
        <v>381</v>
      </c>
      <c r="C2059" s="62" t="s">
        <v>60</v>
      </c>
      <c r="D2059" s="62" t="s">
        <v>382</v>
      </c>
      <c r="E2059" s="62" t="s">
        <v>382</v>
      </c>
      <c r="F2059" s="63" t="s">
        <v>569</v>
      </c>
      <c r="G2059" s="64" t="n">
        <v>400</v>
      </c>
      <c r="H2059" s="62"/>
    </row>
    <row r="2060" customFormat="false" ht="15" hidden="false" customHeight="false" outlineLevel="0" collapsed="false">
      <c r="A2060" s="62" t="n">
        <v>0</v>
      </c>
      <c r="B2060" s="62" t="s">
        <v>383</v>
      </c>
      <c r="C2060" s="62" t="s">
        <v>60</v>
      </c>
      <c r="D2060" s="62" t="s">
        <v>382</v>
      </c>
      <c r="E2060" s="62" t="s">
        <v>382</v>
      </c>
      <c r="F2060" s="63" t="s">
        <v>569</v>
      </c>
      <c r="G2060" s="64" t="n">
        <v>400</v>
      </c>
      <c r="H2060" s="62"/>
    </row>
    <row r="2061" customFormat="false" ht="15" hidden="false" customHeight="false" outlineLevel="0" collapsed="false">
      <c r="A2061" s="62" t="n">
        <v>0</v>
      </c>
      <c r="B2061" s="62" t="s">
        <v>384</v>
      </c>
      <c r="C2061" s="62" t="s">
        <v>60</v>
      </c>
      <c r="D2061" s="62" t="s">
        <v>382</v>
      </c>
      <c r="E2061" s="62" t="s">
        <v>382</v>
      </c>
      <c r="F2061" s="63" t="s">
        <v>569</v>
      </c>
      <c r="G2061" s="64" t="n">
        <v>400</v>
      </c>
      <c r="H2061" s="62"/>
    </row>
    <row r="2062" customFormat="false" ht="15" hidden="false" customHeight="false" outlineLevel="0" collapsed="false">
      <c r="A2062" s="62" t="n">
        <v>0</v>
      </c>
      <c r="B2062" s="62" t="s">
        <v>385</v>
      </c>
      <c r="C2062" s="62" t="s">
        <v>60</v>
      </c>
      <c r="D2062" s="62" t="s">
        <v>382</v>
      </c>
      <c r="E2062" s="62" t="s">
        <v>382</v>
      </c>
      <c r="F2062" s="63" t="s">
        <v>569</v>
      </c>
      <c r="G2062" s="64" t="n">
        <v>400</v>
      </c>
      <c r="H2062" s="62"/>
    </row>
    <row r="2063" customFormat="false" ht="15" hidden="false" customHeight="false" outlineLevel="0" collapsed="false">
      <c r="A2063" s="62" t="n">
        <v>0</v>
      </c>
      <c r="B2063" s="62" t="s">
        <v>386</v>
      </c>
      <c r="C2063" s="62" t="s">
        <v>60</v>
      </c>
      <c r="D2063" s="62" t="s">
        <v>382</v>
      </c>
      <c r="E2063" s="62" t="s">
        <v>382</v>
      </c>
      <c r="F2063" s="63" t="s">
        <v>569</v>
      </c>
      <c r="G2063" s="64" t="n">
        <v>400</v>
      </c>
      <c r="H2063" s="62"/>
    </row>
    <row r="2064" customFormat="false" ht="15" hidden="false" customHeight="false" outlineLevel="0" collapsed="false">
      <c r="A2064" s="62" t="n">
        <v>0</v>
      </c>
      <c r="B2064" s="62" t="s">
        <v>387</v>
      </c>
      <c r="C2064" s="62" t="s">
        <v>60</v>
      </c>
      <c r="D2064" s="62" t="s">
        <v>382</v>
      </c>
      <c r="E2064" s="62" t="s">
        <v>382</v>
      </c>
      <c r="F2064" s="63" t="s">
        <v>569</v>
      </c>
      <c r="G2064" s="64" t="n">
        <v>400</v>
      </c>
      <c r="H2064" s="62"/>
    </row>
    <row r="2065" customFormat="false" ht="15" hidden="false" customHeight="false" outlineLevel="0" collapsed="false">
      <c r="A2065" s="62" t="n">
        <v>0</v>
      </c>
      <c r="B2065" s="62" t="s">
        <v>388</v>
      </c>
      <c r="C2065" s="62" t="s">
        <v>60</v>
      </c>
      <c r="D2065" s="62" t="s">
        <v>382</v>
      </c>
      <c r="E2065" s="62" t="s">
        <v>382</v>
      </c>
      <c r="F2065" s="63" t="s">
        <v>569</v>
      </c>
      <c r="G2065" s="64" t="n">
        <v>400</v>
      </c>
      <c r="H2065" s="62"/>
    </row>
    <row r="2066" customFormat="false" ht="15" hidden="false" customHeight="false" outlineLevel="0" collapsed="false">
      <c r="A2066" s="62" t="n">
        <v>0</v>
      </c>
      <c r="B2066" s="62" t="s">
        <v>381</v>
      </c>
      <c r="C2066" s="62" t="s">
        <v>60</v>
      </c>
      <c r="D2066" s="62" t="s">
        <v>382</v>
      </c>
      <c r="E2066" s="62" t="s">
        <v>382</v>
      </c>
      <c r="F2066" s="63" t="s">
        <v>570</v>
      </c>
      <c r="G2066" s="64" t="n">
        <v>250</v>
      </c>
      <c r="H2066" s="62"/>
    </row>
    <row r="2067" customFormat="false" ht="15" hidden="false" customHeight="false" outlineLevel="0" collapsed="false">
      <c r="A2067" s="62" t="n">
        <v>0</v>
      </c>
      <c r="B2067" s="62" t="s">
        <v>383</v>
      </c>
      <c r="C2067" s="62" t="s">
        <v>60</v>
      </c>
      <c r="D2067" s="62" t="s">
        <v>382</v>
      </c>
      <c r="E2067" s="62" t="s">
        <v>382</v>
      </c>
      <c r="F2067" s="63" t="s">
        <v>570</v>
      </c>
      <c r="G2067" s="64" t="n">
        <v>250</v>
      </c>
      <c r="H2067" s="62"/>
    </row>
    <row r="2068" customFormat="false" ht="15" hidden="false" customHeight="false" outlineLevel="0" collapsed="false">
      <c r="A2068" s="62" t="n">
        <v>0</v>
      </c>
      <c r="B2068" s="62" t="s">
        <v>384</v>
      </c>
      <c r="C2068" s="62" t="s">
        <v>60</v>
      </c>
      <c r="D2068" s="62" t="s">
        <v>382</v>
      </c>
      <c r="E2068" s="62" t="s">
        <v>382</v>
      </c>
      <c r="F2068" s="63" t="s">
        <v>570</v>
      </c>
      <c r="G2068" s="64" t="n">
        <v>250</v>
      </c>
      <c r="H2068" s="62"/>
    </row>
    <row r="2069" customFormat="false" ht="15" hidden="false" customHeight="false" outlineLevel="0" collapsed="false">
      <c r="A2069" s="62" t="n">
        <v>0</v>
      </c>
      <c r="B2069" s="62" t="s">
        <v>385</v>
      </c>
      <c r="C2069" s="62" t="s">
        <v>60</v>
      </c>
      <c r="D2069" s="62" t="s">
        <v>382</v>
      </c>
      <c r="E2069" s="62" t="s">
        <v>382</v>
      </c>
      <c r="F2069" s="63" t="s">
        <v>570</v>
      </c>
      <c r="G2069" s="64" t="n">
        <v>250</v>
      </c>
      <c r="H2069" s="62"/>
    </row>
    <row r="2070" customFormat="false" ht="15" hidden="false" customHeight="false" outlineLevel="0" collapsed="false">
      <c r="A2070" s="62" t="n">
        <v>0</v>
      </c>
      <c r="B2070" s="62" t="s">
        <v>386</v>
      </c>
      <c r="C2070" s="62" t="s">
        <v>60</v>
      </c>
      <c r="D2070" s="62" t="s">
        <v>382</v>
      </c>
      <c r="E2070" s="62" t="s">
        <v>382</v>
      </c>
      <c r="F2070" s="63" t="s">
        <v>570</v>
      </c>
      <c r="G2070" s="64" t="n">
        <v>250</v>
      </c>
      <c r="H2070" s="62"/>
    </row>
    <row r="2071" customFormat="false" ht="15" hidden="false" customHeight="false" outlineLevel="0" collapsed="false">
      <c r="A2071" s="62" t="n">
        <v>0</v>
      </c>
      <c r="B2071" s="62" t="s">
        <v>387</v>
      </c>
      <c r="C2071" s="62" t="s">
        <v>60</v>
      </c>
      <c r="D2071" s="62" t="s">
        <v>382</v>
      </c>
      <c r="E2071" s="62" t="s">
        <v>382</v>
      </c>
      <c r="F2071" s="63" t="s">
        <v>570</v>
      </c>
      <c r="G2071" s="64" t="n">
        <v>250</v>
      </c>
      <c r="H2071" s="62"/>
    </row>
    <row r="2072" customFormat="false" ht="15" hidden="false" customHeight="false" outlineLevel="0" collapsed="false">
      <c r="A2072" s="62" t="n">
        <v>0</v>
      </c>
      <c r="B2072" s="62" t="s">
        <v>388</v>
      </c>
      <c r="C2072" s="62" t="s">
        <v>60</v>
      </c>
      <c r="D2072" s="62" t="s">
        <v>382</v>
      </c>
      <c r="E2072" s="62" t="s">
        <v>382</v>
      </c>
      <c r="F2072" s="63" t="s">
        <v>570</v>
      </c>
      <c r="G2072" s="64" t="n">
        <v>250</v>
      </c>
      <c r="H2072" s="62"/>
    </row>
    <row r="2073" customFormat="false" ht="15" hidden="false" customHeight="false" outlineLevel="0" collapsed="false">
      <c r="A2073" s="62" t="n">
        <v>0</v>
      </c>
      <c r="B2073" s="62" t="s">
        <v>381</v>
      </c>
      <c r="C2073" s="62" t="s">
        <v>60</v>
      </c>
      <c r="D2073" s="62" t="s">
        <v>382</v>
      </c>
      <c r="E2073" s="62" t="s">
        <v>382</v>
      </c>
      <c r="F2073" s="63" t="s">
        <v>571</v>
      </c>
      <c r="G2073" s="64" t="n">
        <v>70</v>
      </c>
      <c r="H2073" s="62" t="s">
        <v>42</v>
      </c>
    </row>
    <row r="2074" customFormat="false" ht="15" hidden="false" customHeight="false" outlineLevel="0" collapsed="false">
      <c r="A2074" s="62" t="n">
        <v>0</v>
      </c>
      <c r="B2074" s="62" t="s">
        <v>383</v>
      </c>
      <c r="C2074" s="62" t="s">
        <v>60</v>
      </c>
      <c r="D2074" s="62" t="s">
        <v>382</v>
      </c>
      <c r="E2074" s="62" t="s">
        <v>382</v>
      </c>
      <c r="F2074" s="63" t="s">
        <v>571</v>
      </c>
      <c r="G2074" s="64" t="n">
        <v>70</v>
      </c>
      <c r="H2074" s="62" t="s">
        <v>42</v>
      </c>
    </row>
    <row r="2075" customFormat="false" ht="15" hidden="false" customHeight="false" outlineLevel="0" collapsed="false">
      <c r="A2075" s="62" t="n">
        <v>0</v>
      </c>
      <c r="B2075" s="62" t="s">
        <v>384</v>
      </c>
      <c r="C2075" s="62" t="s">
        <v>60</v>
      </c>
      <c r="D2075" s="62" t="s">
        <v>382</v>
      </c>
      <c r="E2075" s="62" t="s">
        <v>382</v>
      </c>
      <c r="F2075" s="63" t="s">
        <v>571</v>
      </c>
      <c r="G2075" s="64" t="n">
        <v>70</v>
      </c>
      <c r="H2075" s="62" t="s">
        <v>42</v>
      </c>
    </row>
    <row r="2076" customFormat="false" ht="15" hidden="false" customHeight="false" outlineLevel="0" collapsed="false">
      <c r="A2076" s="62" t="n">
        <v>0</v>
      </c>
      <c r="B2076" s="62" t="s">
        <v>385</v>
      </c>
      <c r="C2076" s="62" t="s">
        <v>60</v>
      </c>
      <c r="D2076" s="62" t="s">
        <v>382</v>
      </c>
      <c r="E2076" s="62" t="s">
        <v>382</v>
      </c>
      <c r="F2076" s="63" t="s">
        <v>571</v>
      </c>
      <c r="G2076" s="64" t="n">
        <v>70</v>
      </c>
      <c r="H2076" s="62" t="s">
        <v>42</v>
      </c>
    </row>
    <row r="2077" customFormat="false" ht="15" hidden="false" customHeight="false" outlineLevel="0" collapsed="false">
      <c r="A2077" s="62" t="n">
        <v>0</v>
      </c>
      <c r="B2077" s="62" t="s">
        <v>386</v>
      </c>
      <c r="C2077" s="62" t="s">
        <v>60</v>
      </c>
      <c r="D2077" s="62" t="s">
        <v>382</v>
      </c>
      <c r="E2077" s="62" t="s">
        <v>382</v>
      </c>
      <c r="F2077" s="63" t="s">
        <v>571</v>
      </c>
      <c r="G2077" s="64" t="n">
        <v>70</v>
      </c>
      <c r="H2077" s="62" t="s">
        <v>42</v>
      </c>
    </row>
    <row r="2078" customFormat="false" ht="15" hidden="false" customHeight="false" outlineLevel="0" collapsed="false">
      <c r="A2078" s="62" t="n">
        <v>0</v>
      </c>
      <c r="B2078" s="62" t="s">
        <v>387</v>
      </c>
      <c r="C2078" s="62" t="s">
        <v>60</v>
      </c>
      <c r="D2078" s="62" t="s">
        <v>382</v>
      </c>
      <c r="E2078" s="62" t="s">
        <v>382</v>
      </c>
      <c r="F2078" s="63" t="s">
        <v>571</v>
      </c>
      <c r="G2078" s="64" t="n">
        <v>70</v>
      </c>
      <c r="H2078" s="62" t="s">
        <v>42</v>
      </c>
    </row>
    <row r="2079" customFormat="false" ht="15" hidden="false" customHeight="false" outlineLevel="0" collapsed="false">
      <c r="A2079" s="62" t="n">
        <v>0</v>
      </c>
      <c r="B2079" s="62" t="s">
        <v>388</v>
      </c>
      <c r="C2079" s="62" t="s">
        <v>60</v>
      </c>
      <c r="D2079" s="62" t="s">
        <v>382</v>
      </c>
      <c r="E2079" s="62" t="s">
        <v>382</v>
      </c>
      <c r="F2079" s="63" t="s">
        <v>571</v>
      </c>
      <c r="G2079" s="64" t="n">
        <v>70</v>
      </c>
      <c r="H2079" s="62" t="s">
        <v>42</v>
      </c>
    </row>
    <row r="2080" customFormat="false" ht="15" hidden="false" customHeight="false" outlineLevel="0" collapsed="false">
      <c r="A2080" s="62" t="n">
        <v>0</v>
      </c>
      <c r="B2080" s="62" t="s">
        <v>381</v>
      </c>
      <c r="C2080" s="62" t="s">
        <v>60</v>
      </c>
      <c r="D2080" s="62" t="s">
        <v>382</v>
      </c>
      <c r="E2080" s="62" t="s">
        <v>382</v>
      </c>
      <c r="F2080" s="63" t="s">
        <v>572</v>
      </c>
      <c r="G2080" s="64" t="n">
        <v>30</v>
      </c>
      <c r="H2080" s="62" t="s">
        <v>42</v>
      </c>
    </row>
    <row r="2081" customFormat="false" ht="15" hidden="false" customHeight="false" outlineLevel="0" collapsed="false">
      <c r="A2081" s="62" t="n">
        <v>0</v>
      </c>
      <c r="B2081" s="62" t="s">
        <v>383</v>
      </c>
      <c r="C2081" s="62" t="s">
        <v>60</v>
      </c>
      <c r="D2081" s="62" t="s">
        <v>382</v>
      </c>
      <c r="E2081" s="62" t="s">
        <v>382</v>
      </c>
      <c r="F2081" s="63" t="s">
        <v>572</v>
      </c>
      <c r="G2081" s="64" t="n">
        <v>30</v>
      </c>
      <c r="H2081" s="62" t="s">
        <v>42</v>
      </c>
    </row>
    <row r="2082" customFormat="false" ht="15" hidden="false" customHeight="false" outlineLevel="0" collapsed="false">
      <c r="A2082" s="62" t="n">
        <v>0</v>
      </c>
      <c r="B2082" s="62" t="s">
        <v>384</v>
      </c>
      <c r="C2082" s="62" t="s">
        <v>60</v>
      </c>
      <c r="D2082" s="62" t="s">
        <v>382</v>
      </c>
      <c r="E2082" s="62" t="s">
        <v>382</v>
      </c>
      <c r="F2082" s="63" t="s">
        <v>572</v>
      </c>
      <c r="G2082" s="64" t="n">
        <v>30</v>
      </c>
      <c r="H2082" s="62" t="s">
        <v>42</v>
      </c>
    </row>
    <row r="2083" customFormat="false" ht="15" hidden="false" customHeight="false" outlineLevel="0" collapsed="false">
      <c r="A2083" s="62" t="n">
        <v>0</v>
      </c>
      <c r="B2083" s="62" t="s">
        <v>385</v>
      </c>
      <c r="C2083" s="62" t="s">
        <v>60</v>
      </c>
      <c r="D2083" s="62" t="s">
        <v>382</v>
      </c>
      <c r="E2083" s="62" t="s">
        <v>382</v>
      </c>
      <c r="F2083" s="63" t="s">
        <v>572</v>
      </c>
      <c r="G2083" s="64" t="n">
        <v>30</v>
      </c>
      <c r="H2083" s="62" t="s">
        <v>42</v>
      </c>
    </row>
    <row r="2084" customFormat="false" ht="15" hidden="false" customHeight="false" outlineLevel="0" collapsed="false">
      <c r="A2084" s="62" t="n">
        <v>0</v>
      </c>
      <c r="B2084" s="62" t="s">
        <v>386</v>
      </c>
      <c r="C2084" s="62" t="s">
        <v>60</v>
      </c>
      <c r="D2084" s="62" t="s">
        <v>382</v>
      </c>
      <c r="E2084" s="62" t="s">
        <v>382</v>
      </c>
      <c r="F2084" s="63" t="s">
        <v>572</v>
      </c>
      <c r="G2084" s="64" t="n">
        <v>30</v>
      </c>
      <c r="H2084" s="62" t="s">
        <v>42</v>
      </c>
    </row>
    <row r="2085" customFormat="false" ht="15" hidden="false" customHeight="false" outlineLevel="0" collapsed="false">
      <c r="A2085" s="62" t="n">
        <v>0</v>
      </c>
      <c r="B2085" s="62" t="s">
        <v>387</v>
      </c>
      <c r="C2085" s="62" t="s">
        <v>60</v>
      </c>
      <c r="D2085" s="62" t="s">
        <v>382</v>
      </c>
      <c r="E2085" s="62" t="s">
        <v>382</v>
      </c>
      <c r="F2085" s="63" t="s">
        <v>572</v>
      </c>
      <c r="G2085" s="64" t="n">
        <v>30</v>
      </c>
      <c r="H2085" s="62" t="s">
        <v>42</v>
      </c>
    </row>
    <row r="2086" customFormat="false" ht="15" hidden="false" customHeight="false" outlineLevel="0" collapsed="false">
      <c r="A2086" s="62" t="n">
        <v>0</v>
      </c>
      <c r="B2086" s="62" t="s">
        <v>388</v>
      </c>
      <c r="C2086" s="62" t="s">
        <v>60</v>
      </c>
      <c r="D2086" s="62" t="s">
        <v>382</v>
      </c>
      <c r="E2086" s="62" t="s">
        <v>382</v>
      </c>
      <c r="F2086" s="63" t="s">
        <v>572</v>
      </c>
      <c r="G2086" s="64" t="n">
        <v>30</v>
      </c>
      <c r="H2086" s="62" t="s">
        <v>42</v>
      </c>
    </row>
    <row r="2087" customFormat="false" ht="15" hidden="false" customHeight="false" outlineLevel="0" collapsed="false">
      <c r="A2087" s="62" t="n">
        <v>0</v>
      </c>
      <c r="B2087" s="62" t="s">
        <v>381</v>
      </c>
      <c r="C2087" s="62" t="s">
        <v>60</v>
      </c>
      <c r="D2087" s="62" t="s">
        <v>382</v>
      </c>
      <c r="E2087" s="62" t="s">
        <v>382</v>
      </c>
      <c r="F2087" s="63" t="s">
        <v>573</v>
      </c>
      <c r="G2087" s="64" t="n">
        <v>80</v>
      </c>
      <c r="H2087" s="62" t="s">
        <v>42</v>
      </c>
    </row>
    <row r="2088" customFormat="false" ht="15" hidden="false" customHeight="false" outlineLevel="0" collapsed="false">
      <c r="A2088" s="62" t="n">
        <v>0</v>
      </c>
      <c r="B2088" s="62" t="s">
        <v>383</v>
      </c>
      <c r="C2088" s="62" t="s">
        <v>60</v>
      </c>
      <c r="D2088" s="62" t="s">
        <v>382</v>
      </c>
      <c r="E2088" s="62" t="s">
        <v>382</v>
      </c>
      <c r="F2088" s="63" t="s">
        <v>573</v>
      </c>
      <c r="G2088" s="64" t="n">
        <v>80</v>
      </c>
      <c r="H2088" s="62" t="s">
        <v>42</v>
      </c>
    </row>
    <row r="2089" customFormat="false" ht="15" hidden="false" customHeight="false" outlineLevel="0" collapsed="false">
      <c r="A2089" s="62" t="n">
        <v>0</v>
      </c>
      <c r="B2089" s="62" t="s">
        <v>384</v>
      </c>
      <c r="C2089" s="62" t="s">
        <v>60</v>
      </c>
      <c r="D2089" s="62" t="s">
        <v>382</v>
      </c>
      <c r="E2089" s="62" t="s">
        <v>382</v>
      </c>
      <c r="F2089" s="63" t="s">
        <v>573</v>
      </c>
      <c r="G2089" s="64" t="n">
        <v>80</v>
      </c>
      <c r="H2089" s="62" t="s">
        <v>42</v>
      </c>
    </row>
    <row r="2090" customFormat="false" ht="15" hidden="false" customHeight="false" outlineLevel="0" collapsed="false">
      <c r="A2090" s="62" t="n">
        <v>0</v>
      </c>
      <c r="B2090" s="62" t="s">
        <v>385</v>
      </c>
      <c r="C2090" s="62" t="s">
        <v>60</v>
      </c>
      <c r="D2090" s="62" t="s">
        <v>382</v>
      </c>
      <c r="E2090" s="62" t="s">
        <v>382</v>
      </c>
      <c r="F2090" s="63" t="s">
        <v>573</v>
      </c>
      <c r="G2090" s="64" t="n">
        <v>80</v>
      </c>
      <c r="H2090" s="62" t="s">
        <v>42</v>
      </c>
    </row>
    <row r="2091" customFormat="false" ht="15" hidden="false" customHeight="false" outlineLevel="0" collapsed="false">
      <c r="A2091" s="62" t="n">
        <v>0</v>
      </c>
      <c r="B2091" s="62" t="s">
        <v>386</v>
      </c>
      <c r="C2091" s="62" t="s">
        <v>60</v>
      </c>
      <c r="D2091" s="62" t="s">
        <v>382</v>
      </c>
      <c r="E2091" s="62" t="s">
        <v>382</v>
      </c>
      <c r="F2091" s="63" t="s">
        <v>573</v>
      </c>
      <c r="G2091" s="64" t="n">
        <v>80</v>
      </c>
      <c r="H2091" s="62" t="s">
        <v>42</v>
      </c>
    </row>
    <row r="2092" customFormat="false" ht="15" hidden="false" customHeight="false" outlineLevel="0" collapsed="false">
      <c r="A2092" s="62" t="n">
        <v>0</v>
      </c>
      <c r="B2092" s="62" t="s">
        <v>387</v>
      </c>
      <c r="C2092" s="62" t="s">
        <v>60</v>
      </c>
      <c r="D2092" s="62" t="s">
        <v>382</v>
      </c>
      <c r="E2092" s="62" t="s">
        <v>382</v>
      </c>
      <c r="F2092" s="63" t="s">
        <v>573</v>
      </c>
      <c r="G2092" s="64" t="n">
        <v>80</v>
      </c>
      <c r="H2092" s="62" t="s">
        <v>42</v>
      </c>
    </row>
    <row r="2093" customFormat="false" ht="15" hidden="false" customHeight="false" outlineLevel="0" collapsed="false">
      <c r="A2093" s="62" t="n">
        <v>0</v>
      </c>
      <c r="B2093" s="62" t="s">
        <v>388</v>
      </c>
      <c r="C2093" s="62" t="s">
        <v>60</v>
      </c>
      <c r="D2093" s="62" t="s">
        <v>382</v>
      </c>
      <c r="E2093" s="62" t="s">
        <v>382</v>
      </c>
      <c r="F2093" s="63" t="s">
        <v>573</v>
      </c>
      <c r="G2093" s="64" t="n">
        <v>80</v>
      </c>
      <c r="H2093" s="62" t="s">
        <v>42</v>
      </c>
    </row>
    <row r="2094" customFormat="false" ht="15" hidden="false" customHeight="false" outlineLevel="0" collapsed="false">
      <c r="A2094" s="62" t="n">
        <v>0</v>
      </c>
      <c r="B2094" s="62" t="s">
        <v>381</v>
      </c>
      <c r="C2094" s="62" t="s">
        <v>60</v>
      </c>
      <c r="D2094" s="62" t="s">
        <v>382</v>
      </c>
      <c r="E2094" s="62" t="s">
        <v>382</v>
      </c>
      <c r="F2094" s="63" t="s">
        <v>574</v>
      </c>
      <c r="G2094" s="64" t="n">
        <v>20</v>
      </c>
      <c r="H2094" s="62" t="s">
        <v>42</v>
      </c>
    </row>
    <row r="2095" customFormat="false" ht="15" hidden="false" customHeight="false" outlineLevel="0" collapsed="false">
      <c r="A2095" s="62" t="n">
        <v>0</v>
      </c>
      <c r="B2095" s="62" t="s">
        <v>383</v>
      </c>
      <c r="C2095" s="62" t="s">
        <v>60</v>
      </c>
      <c r="D2095" s="62" t="s">
        <v>382</v>
      </c>
      <c r="E2095" s="62" t="s">
        <v>382</v>
      </c>
      <c r="F2095" s="63" t="s">
        <v>574</v>
      </c>
      <c r="G2095" s="64" t="n">
        <v>20</v>
      </c>
      <c r="H2095" s="62" t="s">
        <v>42</v>
      </c>
    </row>
    <row r="2096" customFormat="false" ht="15" hidden="false" customHeight="false" outlineLevel="0" collapsed="false">
      <c r="A2096" s="62" t="n">
        <v>0</v>
      </c>
      <c r="B2096" s="62" t="s">
        <v>384</v>
      </c>
      <c r="C2096" s="62" t="s">
        <v>60</v>
      </c>
      <c r="D2096" s="62" t="s">
        <v>382</v>
      </c>
      <c r="E2096" s="62" t="s">
        <v>382</v>
      </c>
      <c r="F2096" s="63" t="s">
        <v>574</v>
      </c>
      <c r="G2096" s="64" t="n">
        <v>20</v>
      </c>
      <c r="H2096" s="62" t="s">
        <v>42</v>
      </c>
    </row>
    <row r="2097" customFormat="false" ht="15" hidden="false" customHeight="false" outlineLevel="0" collapsed="false">
      <c r="A2097" s="62" t="n">
        <v>0</v>
      </c>
      <c r="B2097" s="62" t="s">
        <v>385</v>
      </c>
      <c r="C2097" s="62" t="s">
        <v>60</v>
      </c>
      <c r="D2097" s="62" t="s">
        <v>382</v>
      </c>
      <c r="E2097" s="62" t="s">
        <v>382</v>
      </c>
      <c r="F2097" s="63" t="s">
        <v>574</v>
      </c>
      <c r="G2097" s="64" t="n">
        <v>20</v>
      </c>
      <c r="H2097" s="62" t="s">
        <v>42</v>
      </c>
    </row>
    <row r="2098" customFormat="false" ht="15" hidden="false" customHeight="false" outlineLevel="0" collapsed="false">
      <c r="A2098" s="62" t="n">
        <v>0</v>
      </c>
      <c r="B2098" s="62" t="s">
        <v>386</v>
      </c>
      <c r="C2098" s="62" t="s">
        <v>60</v>
      </c>
      <c r="D2098" s="62" t="s">
        <v>382</v>
      </c>
      <c r="E2098" s="62" t="s">
        <v>382</v>
      </c>
      <c r="F2098" s="63" t="s">
        <v>574</v>
      </c>
      <c r="G2098" s="64" t="n">
        <v>20</v>
      </c>
      <c r="H2098" s="62" t="s">
        <v>42</v>
      </c>
    </row>
    <row r="2099" customFormat="false" ht="15" hidden="false" customHeight="false" outlineLevel="0" collapsed="false">
      <c r="A2099" s="62" t="n">
        <v>0</v>
      </c>
      <c r="B2099" s="62" t="s">
        <v>387</v>
      </c>
      <c r="C2099" s="62" t="s">
        <v>60</v>
      </c>
      <c r="D2099" s="62" t="s">
        <v>382</v>
      </c>
      <c r="E2099" s="62" t="s">
        <v>382</v>
      </c>
      <c r="F2099" s="63" t="s">
        <v>574</v>
      </c>
      <c r="G2099" s="64" t="n">
        <v>20</v>
      </c>
      <c r="H2099" s="62" t="s">
        <v>42</v>
      </c>
    </row>
    <row r="2100" customFormat="false" ht="15" hidden="false" customHeight="false" outlineLevel="0" collapsed="false">
      <c r="A2100" s="62" t="n">
        <v>0</v>
      </c>
      <c r="B2100" s="62" t="s">
        <v>388</v>
      </c>
      <c r="C2100" s="62" t="s">
        <v>60</v>
      </c>
      <c r="D2100" s="62" t="s">
        <v>382</v>
      </c>
      <c r="E2100" s="62" t="s">
        <v>382</v>
      </c>
      <c r="F2100" s="63" t="s">
        <v>574</v>
      </c>
      <c r="G2100" s="64" t="n">
        <v>20</v>
      </c>
      <c r="H2100" s="62" t="s">
        <v>42</v>
      </c>
    </row>
    <row r="2101" customFormat="false" ht="15" hidden="false" customHeight="false" outlineLevel="0" collapsed="false">
      <c r="A2101" s="62" t="n">
        <v>0</v>
      </c>
      <c r="B2101" s="62" t="s">
        <v>381</v>
      </c>
      <c r="C2101" s="62" t="s">
        <v>60</v>
      </c>
      <c r="D2101" s="62" t="s">
        <v>382</v>
      </c>
      <c r="E2101" s="62" t="s">
        <v>382</v>
      </c>
      <c r="F2101" s="63" t="s">
        <v>575</v>
      </c>
      <c r="G2101" s="64" t="n">
        <v>0</v>
      </c>
      <c r="H2101" s="62" t="s">
        <v>42</v>
      </c>
    </row>
    <row r="2102" customFormat="false" ht="15" hidden="false" customHeight="false" outlineLevel="0" collapsed="false">
      <c r="A2102" s="62" t="n">
        <v>0</v>
      </c>
      <c r="B2102" s="62" t="s">
        <v>383</v>
      </c>
      <c r="C2102" s="62" t="s">
        <v>60</v>
      </c>
      <c r="D2102" s="62" t="s">
        <v>382</v>
      </c>
      <c r="E2102" s="62" t="s">
        <v>382</v>
      </c>
      <c r="F2102" s="63" t="s">
        <v>575</v>
      </c>
      <c r="G2102" s="64" t="n">
        <v>0</v>
      </c>
      <c r="H2102" s="62" t="s">
        <v>42</v>
      </c>
    </row>
    <row r="2103" customFormat="false" ht="15" hidden="false" customHeight="false" outlineLevel="0" collapsed="false">
      <c r="A2103" s="62" t="n">
        <v>0</v>
      </c>
      <c r="B2103" s="62" t="s">
        <v>384</v>
      </c>
      <c r="C2103" s="62" t="s">
        <v>60</v>
      </c>
      <c r="D2103" s="62" t="s">
        <v>382</v>
      </c>
      <c r="E2103" s="62" t="s">
        <v>382</v>
      </c>
      <c r="F2103" s="63" t="s">
        <v>575</v>
      </c>
      <c r="G2103" s="64" t="n">
        <v>0</v>
      </c>
      <c r="H2103" s="62" t="s">
        <v>42</v>
      </c>
    </row>
    <row r="2104" customFormat="false" ht="15" hidden="false" customHeight="false" outlineLevel="0" collapsed="false">
      <c r="A2104" s="62" t="n">
        <v>0</v>
      </c>
      <c r="B2104" s="62" t="s">
        <v>385</v>
      </c>
      <c r="C2104" s="62" t="s">
        <v>60</v>
      </c>
      <c r="D2104" s="62" t="s">
        <v>382</v>
      </c>
      <c r="E2104" s="62" t="s">
        <v>382</v>
      </c>
      <c r="F2104" s="63" t="s">
        <v>575</v>
      </c>
      <c r="G2104" s="64" t="n">
        <v>0</v>
      </c>
      <c r="H2104" s="62" t="s">
        <v>42</v>
      </c>
    </row>
    <row r="2105" customFormat="false" ht="15" hidden="false" customHeight="false" outlineLevel="0" collapsed="false">
      <c r="A2105" s="62" t="n">
        <v>0</v>
      </c>
      <c r="B2105" s="62" t="s">
        <v>386</v>
      </c>
      <c r="C2105" s="62" t="s">
        <v>60</v>
      </c>
      <c r="D2105" s="62" t="s">
        <v>382</v>
      </c>
      <c r="E2105" s="62" t="s">
        <v>382</v>
      </c>
      <c r="F2105" s="63" t="s">
        <v>575</v>
      </c>
      <c r="G2105" s="64" t="n">
        <v>0</v>
      </c>
      <c r="H2105" s="62" t="s">
        <v>42</v>
      </c>
    </row>
    <row r="2106" customFormat="false" ht="15" hidden="false" customHeight="false" outlineLevel="0" collapsed="false">
      <c r="A2106" s="62" t="n">
        <v>0</v>
      </c>
      <c r="B2106" s="62" t="s">
        <v>387</v>
      </c>
      <c r="C2106" s="62" t="s">
        <v>60</v>
      </c>
      <c r="D2106" s="62" t="s">
        <v>382</v>
      </c>
      <c r="E2106" s="62" t="s">
        <v>382</v>
      </c>
      <c r="F2106" s="63" t="s">
        <v>575</v>
      </c>
      <c r="G2106" s="64" t="n">
        <v>0</v>
      </c>
      <c r="H2106" s="62" t="s">
        <v>42</v>
      </c>
    </row>
    <row r="2107" customFormat="false" ht="15" hidden="false" customHeight="false" outlineLevel="0" collapsed="false">
      <c r="A2107" s="62" t="n">
        <v>0</v>
      </c>
      <c r="B2107" s="62" t="s">
        <v>388</v>
      </c>
      <c r="C2107" s="62" t="s">
        <v>60</v>
      </c>
      <c r="D2107" s="62" t="s">
        <v>382</v>
      </c>
      <c r="E2107" s="62" t="s">
        <v>382</v>
      </c>
      <c r="F2107" s="63" t="s">
        <v>575</v>
      </c>
      <c r="G2107" s="64" t="n">
        <v>0</v>
      </c>
      <c r="H2107" s="62" t="s">
        <v>42</v>
      </c>
    </row>
    <row r="2108" customFormat="false" ht="15" hidden="false" customHeight="false" outlineLevel="0" collapsed="false">
      <c r="A2108" s="62" t="n">
        <v>0</v>
      </c>
      <c r="B2108" s="62" t="s">
        <v>381</v>
      </c>
      <c r="C2108" s="62" t="s">
        <v>60</v>
      </c>
      <c r="D2108" s="62" t="s">
        <v>382</v>
      </c>
      <c r="E2108" s="62" t="s">
        <v>382</v>
      </c>
      <c r="F2108" s="63" t="s">
        <v>576</v>
      </c>
      <c r="G2108" s="64" t="n">
        <v>0</v>
      </c>
      <c r="H2108" s="62" t="s">
        <v>42</v>
      </c>
    </row>
    <row r="2109" customFormat="false" ht="15" hidden="false" customHeight="false" outlineLevel="0" collapsed="false">
      <c r="A2109" s="62" t="n">
        <v>0</v>
      </c>
      <c r="B2109" s="62" t="s">
        <v>383</v>
      </c>
      <c r="C2109" s="62" t="s">
        <v>60</v>
      </c>
      <c r="D2109" s="62" t="s">
        <v>382</v>
      </c>
      <c r="E2109" s="62" t="s">
        <v>382</v>
      </c>
      <c r="F2109" s="63" t="s">
        <v>576</v>
      </c>
      <c r="G2109" s="64" t="n">
        <v>0</v>
      </c>
      <c r="H2109" s="62" t="s">
        <v>42</v>
      </c>
    </row>
    <row r="2110" customFormat="false" ht="15" hidden="false" customHeight="false" outlineLevel="0" collapsed="false">
      <c r="A2110" s="62" t="n">
        <v>0</v>
      </c>
      <c r="B2110" s="62" t="s">
        <v>384</v>
      </c>
      <c r="C2110" s="62" t="s">
        <v>60</v>
      </c>
      <c r="D2110" s="62" t="s">
        <v>382</v>
      </c>
      <c r="E2110" s="62" t="s">
        <v>382</v>
      </c>
      <c r="F2110" s="63" t="s">
        <v>576</v>
      </c>
      <c r="G2110" s="64" t="n">
        <v>0</v>
      </c>
      <c r="H2110" s="62" t="s">
        <v>42</v>
      </c>
    </row>
    <row r="2111" customFormat="false" ht="15" hidden="false" customHeight="false" outlineLevel="0" collapsed="false">
      <c r="A2111" s="62" t="n">
        <v>0</v>
      </c>
      <c r="B2111" s="62" t="s">
        <v>385</v>
      </c>
      <c r="C2111" s="62" t="s">
        <v>60</v>
      </c>
      <c r="D2111" s="62" t="s">
        <v>382</v>
      </c>
      <c r="E2111" s="62" t="s">
        <v>382</v>
      </c>
      <c r="F2111" s="63" t="s">
        <v>576</v>
      </c>
      <c r="G2111" s="64" t="n">
        <v>0</v>
      </c>
      <c r="H2111" s="62" t="s">
        <v>42</v>
      </c>
    </row>
    <row r="2112" customFormat="false" ht="15" hidden="false" customHeight="false" outlineLevel="0" collapsed="false">
      <c r="A2112" s="62" t="n">
        <v>0</v>
      </c>
      <c r="B2112" s="62" t="s">
        <v>386</v>
      </c>
      <c r="C2112" s="62" t="s">
        <v>60</v>
      </c>
      <c r="D2112" s="62" t="s">
        <v>382</v>
      </c>
      <c r="E2112" s="62" t="s">
        <v>382</v>
      </c>
      <c r="F2112" s="63" t="s">
        <v>576</v>
      </c>
      <c r="G2112" s="64" t="n">
        <v>0</v>
      </c>
      <c r="H2112" s="62" t="s">
        <v>42</v>
      </c>
    </row>
    <row r="2113" customFormat="false" ht="15" hidden="false" customHeight="false" outlineLevel="0" collapsed="false">
      <c r="A2113" s="62" t="n">
        <v>0</v>
      </c>
      <c r="B2113" s="62" t="s">
        <v>387</v>
      </c>
      <c r="C2113" s="62" t="s">
        <v>60</v>
      </c>
      <c r="D2113" s="62" t="s">
        <v>382</v>
      </c>
      <c r="E2113" s="62" t="s">
        <v>382</v>
      </c>
      <c r="F2113" s="63" t="s">
        <v>576</v>
      </c>
      <c r="G2113" s="64" t="n">
        <v>0</v>
      </c>
      <c r="H2113" s="62" t="s">
        <v>42</v>
      </c>
    </row>
    <row r="2114" customFormat="false" ht="15" hidden="false" customHeight="false" outlineLevel="0" collapsed="false">
      <c r="A2114" s="62" t="n">
        <v>0</v>
      </c>
      <c r="B2114" s="62" t="s">
        <v>388</v>
      </c>
      <c r="C2114" s="62" t="s">
        <v>60</v>
      </c>
      <c r="D2114" s="62" t="s">
        <v>382</v>
      </c>
      <c r="E2114" s="62" t="s">
        <v>382</v>
      </c>
      <c r="F2114" s="63" t="s">
        <v>576</v>
      </c>
      <c r="G2114" s="64" t="n">
        <v>0</v>
      </c>
      <c r="H2114" s="62" t="s">
        <v>42</v>
      </c>
    </row>
    <row r="2115" customFormat="false" ht="15" hidden="false" customHeight="false" outlineLevel="0" collapsed="false">
      <c r="A2115" s="62" t="n">
        <v>0</v>
      </c>
      <c r="B2115" s="62" t="s">
        <v>381</v>
      </c>
      <c r="C2115" s="62" t="s">
        <v>60</v>
      </c>
      <c r="D2115" s="62" t="s">
        <v>382</v>
      </c>
      <c r="E2115" s="62" t="s">
        <v>382</v>
      </c>
      <c r="F2115" s="63" t="s">
        <v>577</v>
      </c>
      <c r="G2115" s="64" t="n">
        <v>0</v>
      </c>
      <c r="H2115" s="62" t="s">
        <v>42</v>
      </c>
    </row>
    <row r="2116" customFormat="false" ht="15" hidden="false" customHeight="false" outlineLevel="0" collapsed="false">
      <c r="A2116" s="62" t="n">
        <v>0</v>
      </c>
      <c r="B2116" s="62" t="s">
        <v>383</v>
      </c>
      <c r="C2116" s="62" t="s">
        <v>60</v>
      </c>
      <c r="D2116" s="62" t="s">
        <v>382</v>
      </c>
      <c r="E2116" s="62" t="s">
        <v>382</v>
      </c>
      <c r="F2116" s="63" t="s">
        <v>577</v>
      </c>
      <c r="G2116" s="64" t="n">
        <v>0</v>
      </c>
      <c r="H2116" s="62" t="s">
        <v>42</v>
      </c>
    </row>
    <row r="2117" customFormat="false" ht="15" hidden="false" customHeight="false" outlineLevel="0" collapsed="false">
      <c r="A2117" s="62" t="n">
        <v>0</v>
      </c>
      <c r="B2117" s="62" t="s">
        <v>384</v>
      </c>
      <c r="C2117" s="62" t="s">
        <v>60</v>
      </c>
      <c r="D2117" s="62" t="s">
        <v>382</v>
      </c>
      <c r="E2117" s="62" t="s">
        <v>382</v>
      </c>
      <c r="F2117" s="63" t="s">
        <v>577</v>
      </c>
      <c r="G2117" s="64" t="n">
        <v>0</v>
      </c>
      <c r="H2117" s="62" t="s">
        <v>42</v>
      </c>
    </row>
    <row r="2118" customFormat="false" ht="15" hidden="false" customHeight="false" outlineLevel="0" collapsed="false">
      <c r="A2118" s="62" t="n">
        <v>0</v>
      </c>
      <c r="B2118" s="62" t="s">
        <v>385</v>
      </c>
      <c r="C2118" s="62" t="s">
        <v>60</v>
      </c>
      <c r="D2118" s="62" t="s">
        <v>382</v>
      </c>
      <c r="E2118" s="62" t="s">
        <v>382</v>
      </c>
      <c r="F2118" s="63" t="s">
        <v>577</v>
      </c>
      <c r="G2118" s="64" t="n">
        <v>0</v>
      </c>
      <c r="H2118" s="62" t="s">
        <v>42</v>
      </c>
    </row>
    <row r="2119" customFormat="false" ht="15" hidden="false" customHeight="false" outlineLevel="0" collapsed="false">
      <c r="A2119" s="62" t="n">
        <v>0</v>
      </c>
      <c r="B2119" s="62" t="s">
        <v>386</v>
      </c>
      <c r="C2119" s="62" t="s">
        <v>60</v>
      </c>
      <c r="D2119" s="62" t="s">
        <v>382</v>
      </c>
      <c r="E2119" s="62" t="s">
        <v>382</v>
      </c>
      <c r="F2119" s="63" t="s">
        <v>577</v>
      </c>
      <c r="G2119" s="64" t="n">
        <v>0</v>
      </c>
      <c r="H2119" s="62" t="s">
        <v>42</v>
      </c>
    </row>
    <row r="2120" customFormat="false" ht="15" hidden="false" customHeight="false" outlineLevel="0" collapsed="false">
      <c r="A2120" s="62" t="n">
        <v>0</v>
      </c>
      <c r="B2120" s="62" t="s">
        <v>387</v>
      </c>
      <c r="C2120" s="62" t="s">
        <v>60</v>
      </c>
      <c r="D2120" s="62" t="s">
        <v>382</v>
      </c>
      <c r="E2120" s="62" t="s">
        <v>382</v>
      </c>
      <c r="F2120" s="63" t="s">
        <v>577</v>
      </c>
      <c r="G2120" s="64" t="n">
        <v>0</v>
      </c>
      <c r="H2120" s="62" t="s">
        <v>42</v>
      </c>
    </row>
    <row r="2121" customFormat="false" ht="15" hidden="false" customHeight="false" outlineLevel="0" collapsed="false">
      <c r="A2121" s="62" t="n">
        <v>0</v>
      </c>
      <c r="B2121" s="62" t="s">
        <v>388</v>
      </c>
      <c r="C2121" s="62" t="s">
        <v>60</v>
      </c>
      <c r="D2121" s="62" t="s">
        <v>382</v>
      </c>
      <c r="E2121" s="62" t="s">
        <v>382</v>
      </c>
      <c r="F2121" s="63" t="s">
        <v>577</v>
      </c>
      <c r="G2121" s="64" t="n">
        <v>0</v>
      </c>
      <c r="H2121" s="62" t="s">
        <v>42</v>
      </c>
    </row>
    <row r="2122" customFormat="false" ht="15" hidden="false" customHeight="false" outlineLevel="0" collapsed="false">
      <c r="A2122" s="62" t="n">
        <v>0</v>
      </c>
      <c r="B2122" s="62" t="s">
        <v>381</v>
      </c>
      <c r="C2122" s="62" t="s">
        <v>60</v>
      </c>
      <c r="D2122" s="62" t="s">
        <v>382</v>
      </c>
      <c r="E2122" s="62" t="s">
        <v>382</v>
      </c>
      <c r="F2122" s="63" t="s">
        <v>578</v>
      </c>
      <c r="G2122" s="64" t="n">
        <v>0</v>
      </c>
      <c r="H2122" s="62" t="s">
        <v>42</v>
      </c>
    </row>
    <row r="2123" customFormat="false" ht="15" hidden="false" customHeight="false" outlineLevel="0" collapsed="false">
      <c r="A2123" s="62" t="n">
        <v>0</v>
      </c>
      <c r="B2123" s="62" t="s">
        <v>383</v>
      </c>
      <c r="C2123" s="62" t="s">
        <v>60</v>
      </c>
      <c r="D2123" s="62" t="s">
        <v>382</v>
      </c>
      <c r="E2123" s="62" t="s">
        <v>382</v>
      </c>
      <c r="F2123" s="63" t="s">
        <v>578</v>
      </c>
      <c r="G2123" s="64" t="n">
        <v>0</v>
      </c>
      <c r="H2123" s="62" t="s">
        <v>42</v>
      </c>
    </row>
    <row r="2124" customFormat="false" ht="15" hidden="false" customHeight="false" outlineLevel="0" collapsed="false">
      <c r="A2124" s="62" t="n">
        <v>0</v>
      </c>
      <c r="B2124" s="62" t="s">
        <v>384</v>
      </c>
      <c r="C2124" s="62" t="s">
        <v>60</v>
      </c>
      <c r="D2124" s="62" t="s">
        <v>382</v>
      </c>
      <c r="E2124" s="62" t="s">
        <v>382</v>
      </c>
      <c r="F2124" s="63" t="s">
        <v>578</v>
      </c>
      <c r="G2124" s="64" t="n">
        <v>0</v>
      </c>
      <c r="H2124" s="62" t="s">
        <v>42</v>
      </c>
    </row>
    <row r="2125" customFormat="false" ht="15" hidden="false" customHeight="false" outlineLevel="0" collapsed="false">
      <c r="A2125" s="62" t="n">
        <v>0</v>
      </c>
      <c r="B2125" s="62" t="s">
        <v>385</v>
      </c>
      <c r="C2125" s="62" t="s">
        <v>60</v>
      </c>
      <c r="D2125" s="62" t="s">
        <v>382</v>
      </c>
      <c r="E2125" s="62" t="s">
        <v>382</v>
      </c>
      <c r="F2125" s="63" t="s">
        <v>578</v>
      </c>
      <c r="G2125" s="64" t="n">
        <v>0</v>
      </c>
      <c r="H2125" s="62" t="s">
        <v>42</v>
      </c>
    </row>
    <row r="2126" customFormat="false" ht="15" hidden="false" customHeight="false" outlineLevel="0" collapsed="false">
      <c r="A2126" s="62" t="n">
        <v>0</v>
      </c>
      <c r="B2126" s="62" t="s">
        <v>386</v>
      </c>
      <c r="C2126" s="62" t="s">
        <v>60</v>
      </c>
      <c r="D2126" s="62" t="s">
        <v>382</v>
      </c>
      <c r="E2126" s="62" t="s">
        <v>382</v>
      </c>
      <c r="F2126" s="63" t="s">
        <v>578</v>
      </c>
      <c r="G2126" s="64" t="n">
        <v>0</v>
      </c>
      <c r="H2126" s="62" t="s">
        <v>42</v>
      </c>
    </row>
    <row r="2127" customFormat="false" ht="15" hidden="false" customHeight="false" outlineLevel="0" collapsed="false">
      <c r="A2127" s="62" t="n">
        <v>0</v>
      </c>
      <c r="B2127" s="62" t="s">
        <v>387</v>
      </c>
      <c r="C2127" s="62" t="s">
        <v>60</v>
      </c>
      <c r="D2127" s="62" t="s">
        <v>382</v>
      </c>
      <c r="E2127" s="62" t="s">
        <v>382</v>
      </c>
      <c r="F2127" s="63" t="s">
        <v>578</v>
      </c>
      <c r="G2127" s="64" t="n">
        <v>0</v>
      </c>
      <c r="H2127" s="62" t="s">
        <v>42</v>
      </c>
    </row>
    <row r="2128" customFormat="false" ht="15" hidden="false" customHeight="false" outlineLevel="0" collapsed="false">
      <c r="A2128" s="62" t="n">
        <v>0</v>
      </c>
      <c r="B2128" s="62" t="s">
        <v>388</v>
      </c>
      <c r="C2128" s="62" t="s">
        <v>60</v>
      </c>
      <c r="D2128" s="62" t="s">
        <v>382</v>
      </c>
      <c r="E2128" s="62" t="s">
        <v>382</v>
      </c>
      <c r="F2128" s="63" t="s">
        <v>578</v>
      </c>
      <c r="G2128" s="64" t="n">
        <v>0</v>
      </c>
      <c r="H2128" s="62" t="s">
        <v>42</v>
      </c>
    </row>
    <row r="2129" customFormat="false" ht="15" hidden="false" customHeight="false" outlineLevel="0" collapsed="false">
      <c r="A2129" s="62" t="n">
        <v>0</v>
      </c>
      <c r="B2129" s="62" t="s">
        <v>381</v>
      </c>
      <c r="C2129" s="62" t="s">
        <v>60</v>
      </c>
      <c r="D2129" s="62" t="s">
        <v>382</v>
      </c>
      <c r="E2129" s="62" t="s">
        <v>382</v>
      </c>
      <c r="F2129" s="63" t="s">
        <v>579</v>
      </c>
      <c r="G2129" s="64" t="n">
        <v>150</v>
      </c>
      <c r="H2129" s="62" t="s">
        <v>42</v>
      </c>
    </row>
    <row r="2130" customFormat="false" ht="15" hidden="false" customHeight="false" outlineLevel="0" collapsed="false">
      <c r="A2130" s="62" t="n">
        <v>0</v>
      </c>
      <c r="B2130" s="62" t="s">
        <v>383</v>
      </c>
      <c r="C2130" s="62" t="s">
        <v>60</v>
      </c>
      <c r="D2130" s="62" t="s">
        <v>382</v>
      </c>
      <c r="E2130" s="62" t="s">
        <v>382</v>
      </c>
      <c r="F2130" s="63" t="s">
        <v>579</v>
      </c>
      <c r="G2130" s="64" t="n">
        <v>150</v>
      </c>
      <c r="H2130" s="62" t="s">
        <v>42</v>
      </c>
    </row>
    <row r="2131" customFormat="false" ht="15" hidden="false" customHeight="false" outlineLevel="0" collapsed="false">
      <c r="A2131" s="62" t="n">
        <v>0</v>
      </c>
      <c r="B2131" s="62" t="s">
        <v>384</v>
      </c>
      <c r="C2131" s="62" t="s">
        <v>60</v>
      </c>
      <c r="D2131" s="62" t="s">
        <v>382</v>
      </c>
      <c r="E2131" s="62" t="s">
        <v>382</v>
      </c>
      <c r="F2131" s="63" t="s">
        <v>579</v>
      </c>
      <c r="G2131" s="64" t="n">
        <v>150</v>
      </c>
      <c r="H2131" s="62" t="s">
        <v>42</v>
      </c>
    </row>
    <row r="2132" customFormat="false" ht="15" hidden="false" customHeight="false" outlineLevel="0" collapsed="false">
      <c r="A2132" s="62" t="n">
        <v>0</v>
      </c>
      <c r="B2132" s="62" t="s">
        <v>385</v>
      </c>
      <c r="C2132" s="62" t="s">
        <v>60</v>
      </c>
      <c r="D2132" s="62" t="s">
        <v>382</v>
      </c>
      <c r="E2132" s="62" t="s">
        <v>382</v>
      </c>
      <c r="F2132" s="63" t="s">
        <v>579</v>
      </c>
      <c r="G2132" s="64" t="n">
        <v>150</v>
      </c>
      <c r="H2132" s="62" t="s">
        <v>42</v>
      </c>
    </row>
    <row r="2133" customFormat="false" ht="15" hidden="false" customHeight="false" outlineLevel="0" collapsed="false">
      <c r="A2133" s="62" t="n">
        <v>0</v>
      </c>
      <c r="B2133" s="62" t="s">
        <v>386</v>
      </c>
      <c r="C2133" s="62" t="s">
        <v>60</v>
      </c>
      <c r="D2133" s="62" t="s">
        <v>382</v>
      </c>
      <c r="E2133" s="62" t="s">
        <v>382</v>
      </c>
      <c r="F2133" s="63" t="s">
        <v>579</v>
      </c>
      <c r="G2133" s="64" t="n">
        <v>150</v>
      </c>
      <c r="H2133" s="62" t="s">
        <v>42</v>
      </c>
    </row>
    <row r="2134" customFormat="false" ht="15" hidden="false" customHeight="false" outlineLevel="0" collapsed="false">
      <c r="A2134" s="62" t="n">
        <v>0</v>
      </c>
      <c r="B2134" s="62" t="s">
        <v>387</v>
      </c>
      <c r="C2134" s="62" t="s">
        <v>60</v>
      </c>
      <c r="D2134" s="62" t="s">
        <v>382</v>
      </c>
      <c r="E2134" s="62" t="s">
        <v>382</v>
      </c>
      <c r="F2134" s="63" t="s">
        <v>579</v>
      </c>
      <c r="G2134" s="64" t="n">
        <v>150</v>
      </c>
      <c r="H2134" s="62" t="s">
        <v>42</v>
      </c>
    </row>
    <row r="2135" customFormat="false" ht="15" hidden="false" customHeight="false" outlineLevel="0" collapsed="false">
      <c r="A2135" s="62" t="n">
        <v>0</v>
      </c>
      <c r="B2135" s="62" t="s">
        <v>388</v>
      </c>
      <c r="C2135" s="62" t="s">
        <v>60</v>
      </c>
      <c r="D2135" s="62" t="s">
        <v>382</v>
      </c>
      <c r="E2135" s="62" t="s">
        <v>382</v>
      </c>
      <c r="F2135" s="63" t="s">
        <v>579</v>
      </c>
      <c r="G2135" s="64" t="n">
        <v>150</v>
      </c>
      <c r="H2135" s="62" t="s">
        <v>42</v>
      </c>
    </row>
    <row r="2136" customFormat="false" ht="15" hidden="false" customHeight="false" outlineLevel="0" collapsed="false">
      <c r="A2136" s="62" t="n">
        <v>0</v>
      </c>
      <c r="B2136" s="62" t="s">
        <v>381</v>
      </c>
      <c r="C2136" s="62" t="s">
        <v>60</v>
      </c>
      <c r="D2136" s="62" t="s">
        <v>382</v>
      </c>
      <c r="E2136" s="62" t="s">
        <v>382</v>
      </c>
      <c r="F2136" s="63" t="s">
        <v>580</v>
      </c>
      <c r="G2136" s="64" t="n">
        <v>95</v>
      </c>
      <c r="H2136" s="62" t="s">
        <v>42</v>
      </c>
    </row>
    <row r="2137" customFormat="false" ht="15" hidden="false" customHeight="false" outlineLevel="0" collapsed="false">
      <c r="A2137" s="62" t="n">
        <v>0</v>
      </c>
      <c r="B2137" s="62" t="s">
        <v>383</v>
      </c>
      <c r="C2137" s="62" t="s">
        <v>60</v>
      </c>
      <c r="D2137" s="62" t="s">
        <v>382</v>
      </c>
      <c r="E2137" s="62" t="s">
        <v>382</v>
      </c>
      <c r="F2137" s="63" t="s">
        <v>580</v>
      </c>
      <c r="G2137" s="64" t="n">
        <v>95</v>
      </c>
      <c r="H2137" s="62" t="s">
        <v>42</v>
      </c>
    </row>
    <row r="2138" customFormat="false" ht="15" hidden="false" customHeight="false" outlineLevel="0" collapsed="false">
      <c r="A2138" s="62" t="n">
        <v>0</v>
      </c>
      <c r="B2138" s="62" t="s">
        <v>384</v>
      </c>
      <c r="C2138" s="62" t="s">
        <v>60</v>
      </c>
      <c r="D2138" s="62" t="s">
        <v>382</v>
      </c>
      <c r="E2138" s="62" t="s">
        <v>382</v>
      </c>
      <c r="F2138" s="63" t="s">
        <v>580</v>
      </c>
      <c r="G2138" s="64" t="n">
        <v>95</v>
      </c>
      <c r="H2138" s="62" t="s">
        <v>42</v>
      </c>
    </row>
    <row r="2139" customFormat="false" ht="15" hidden="false" customHeight="false" outlineLevel="0" collapsed="false">
      <c r="A2139" s="62" t="n">
        <v>0</v>
      </c>
      <c r="B2139" s="62" t="s">
        <v>385</v>
      </c>
      <c r="C2139" s="62" t="s">
        <v>60</v>
      </c>
      <c r="D2139" s="62" t="s">
        <v>382</v>
      </c>
      <c r="E2139" s="62" t="s">
        <v>382</v>
      </c>
      <c r="F2139" s="63" t="s">
        <v>580</v>
      </c>
      <c r="G2139" s="64" t="n">
        <v>95</v>
      </c>
      <c r="H2139" s="62" t="s">
        <v>42</v>
      </c>
    </row>
    <row r="2140" customFormat="false" ht="15" hidden="false" customHeight="false" outlineLevel="0" collapsed="false">
      <c r="A2140" s="62" t="n">
        <v>0</v>
      </c>
      <c r="B2140" s="62" t="s">
        <v>386</v>
      </c>
      <c r="C2140" s="62" t="s">
        <v>60</v>
      </c>
      <c r="D2140" s="62" t="s">
        <v>382</v>
      </c>
      <c r="E2140" s="62" t="s">
        <v>382</v>
      </c>
      <c r="F2140" s="63" t="s">
        <v>580</v>
      </c>
      <c r="G2140" s="64" t="n">
        <v>95</v>
      </c>
      <c r="H2140" s="62" t="s">
        <v>42</v>
      </c>
    </row>
    <row r="2141" customFormat="false" ht="15" hidden="false" customHeight="false" outlineLevel="0" collapsed="false">
      <c r="A2141" s="62" t="n">
        <v>0</v>
      </c>
      <c r="B2141" s="62" t="s">
        <v>387</v>
      </c>
      <c r="C2141" s="62" t="s">
        <v>60</v>
      </c>
      <c r="D2141" s="62" t="s">
        <v>382</v>
      </c>
      <c r="E2141" s="62" t="s">
        <v>382</v>
      </c>
      <c r="F2141" s="63" t="s">
        <v>580</v>
      </c>
      <c r="G2141" s="64" t="n">
        <v>95</v>
      </c>
      <c r="H2141" s="62" t="s">
        <v>42</v>
      </c>
    </row>
    <row r="2142" customFormat="false" ht="15" hidden="false" customHeight="false" outlineLevel="0" collapsed="false">
      <c r="A2142" s="62" t="n">
        <v>0</v>
      </c>
      <c r="B2142" s="62" t="s">
        <v>388</v>
      </c>
      <c r="C2142" s="62" t="s">
        <v>60</v>
      </c>
      <c r="D2142" s="62" t="s">
        <v>382</v>
      </c>
      <c r="E2142" s="62" t="s">
        <v>382</v>
      </c>
      <c r="F2142" s="63" t="s">
        <v>580</v>
      </c>
      <c r="G2142" s="64" t="n">
        <v>95</v>
      </c>
      <c r="H2142" s="62" t="s">
        <v>42</v>
      </c>
    </row>
    <row r="2143" customFormat="false" ht="15" hidden="false" customHeight="false" outlineLevel="0" collapsed="false">
      <c r="A2143" s="62" t="n">
        <v>0</v>
      </c>
      <c r="B2143" s="62" t="s">
        <v>381</v>
      </c>
      <c r="C2143" s="62" t="s">
        <v>60</v>
      </c>
      <c r="D2143" s="62" t="s">
        <v>382</v>
      </c>
      <c r="E2143" s="62" t="s">
        <v>382</v>
      </c>
      <c r="F2143" s="63" t="s">
        <v>581</v>
      </c>
      <c r="G2143" s="64" t="n">
        <v>7</v>
      </c>
      <c r="H2143" s="62" t="s">
        <v>42</v>
      </c>
    </row>
    <row r="2144" customFormat="false" ht="15" hidden="false" customHeight="false" outlineLevel="0" collapsed="false">
      <c r="A2144" s="62" t="n">
        <v>0</v>
      </c>
      <c r="B2144" s="62" t="s">
        <v>383</v>
      </c>
      <c r="C2144" s="62" t="s">
        <v>60</v>
      </c>
      <c r="D2144" s="62" t="s">
        <v>382</v>
      </c>
      <c r="E2144" s="62" t="s">
        <v>382</v>
      </c>
      <c r="F2144" s="63" t="s">
        <v>581</v>
      </c>
      <c r="G2144" s="64" t="n">
        <v>7</v>
      </c>
      <c r="H2144" s="62" t="s">
        <v>42</v>
      </c>
    </row>
    <row r="2145" customFormat="false" ht="15" hidden="false" customHeight="false" outlineLevel="0" collapsed="false">
      <c r="A2145" s="62" t="n">
        <v>0</v>
      </c>
      <c r="B2145" s="62" t="s">
        <v>384</v>
      </c>
      <c r="C2145" s="62" t="s">
        <v>60</v>
      </c>
      <c r="D2145" s="62" t="s">
        <v>382</v>
      </c>
      <c r="E2145" s="62" t="s">
        <v>382</v>
      </c>
      <c r="F2145" s="63" t="s">
        <v>581</v>
      </c>
      <c r="G2145" s="64" t="n">
        <v>7</v>
      </c>
      <c r="H2145" s="62" t="s">
        <v>42</v>
      </c>
    </row>
    <row r="2146" customFormat="false" ht="15" hidden="false" customHeight="false" outlineLevel="0" collapsed="false">
      <c r="A2146" s="62" t="n">
        <v>0</v>
      </c>
      <c r="B2146" s="62" t="s">
        <v>385</v>
      </c>
      <c r="C2146" s="62" t="s">
        <v>60</v>
      </c>
      <c r="D2146" s="62" t="s">
        <v>382</v>
      </c>
      <c r="E2146" s="62" t="s">
        <v>382</v>
      </c>
      <c r="F2146" s="63" t="s">
        <v>581</v>
      </c>
      <c r="G2146" s="64" t="n">
        <v>7</v>
      </c>
      <c r="H2146" s="62" t="s">
        <v>42</v>
      </c>
    </row>
    <row r="2147" customFormat="false" ht="15" hidden="false" customHeight="false" outlineLevel="0" collapsed="false">
      <c r="A2147" s="62" t="n">
        <v>0</v>
      </c>
      <c r="B2147" s="62" t="s">
        <v>386</v>
      </c>
      <c r="C2147" s="62" t="s">
        <v>60</v>
      </c>
      <c r="D2147" s="62" t="s">
        <v>382</v>
      </c>
      <c r="E2147" s="62" t="s">
        <v>382</v>
      </c>
      <c r="F2147" s="63" t="s">
        <v>581</v>
      </c>
      <c r="G2147" s="64" t="n">
        <v>7</v>
      </c>
      <c r="H2147" s="62" t="s">
        <v>42</v>
      </c>
    </row>
    <row r="2148" customFormat="false" ht="15" hidden="false" customHeight="false" outlineLevel="0" collapsed="false">
      <c r="A2148" s="62" t="n">
        <v>0</v>
      </c>
      <c r="B2148" s="62" t="s">
        <v>387</v>
      </c>
      <c r="C2148" s="62" t="s">
        <v>60</v>
      </c>
      <c r="D2148" s="62" t="s">
        <v>382</v>
      </c>
      <c r="E2148" s="62" t="s">
        <v>382</v>
      </c>
      <c r="F2148" s="63" t="s">
        <v>581</v>
      </c>
      <c r="G2148" s="64" t="n">
        <v>7</v>
      </c>
      <c r="H2148" s="62" t="s">
        <v>42</v>
      </c>
    </row>
    <row r="2149" customFormat="false" ht="15" hidden="false" customHeight="false" outlineLevel="0" collapsed="false">
      <c r="A2149" s="62" t="n">
        <v>0</v>
      </c>
      <c r="B2149" s="62" t="s">
        <v>388</v>
      </c>
      <c r="C2149" s="62" t="s">
        <v>60</v>
      </c>
      <c r="D2149" s="62" t="s">
        <v>382</v>
      </c>
      <c r="E2149" s="62" t="s">
        <v>382</v>
      </c>
      <c r="F2149" s="63" t="s">
        <v>581</v>
      </c>
      <c r="G2149" s="64" t="n">
        <v>7</v>
      </c>
      <c r="H2149" s="62" t="s">
        <v>42</v>
      </c>
    </row>
    <row r="2150" customFormat="false" ht="15" hidden="false" customHeight="false" outlineLevel="0" collapsed="false">
      <c r="A2150" s="62" t="n">
        <v>0</v>
      </c>
      <c r="B2150" s="62" t="s">
        <v>381</v>
      </c>
      <c r="C2150" s="62" t="s">
        <v>60</v>
      </c>
      <c r="D2150" s="62" t="s">
        <v>382</v>
      </c>
      <c r="E2150" s="62" t="s">
        <v>382</v>
      </c>
      <c r="F2150" s="63" t="s">
        <v>582</v>
      </c>
      <c r="G2150" s="64" t="n">
        <v>2</v>
      </c>
      <c r="H2150" s="62" t="s">
        <v>42</v>
      </c>
    </row>
    <row r="2151" customFormat="false" ht="15" hidden="false" customHeight="false" outlineLevel="0" collapsed="false">
      <c r="A2151" s="62" t="n">
        <v>0</v>
      </c>
      <c r="B2151" s="62" t="s">
        <v>383</v>
      </c>
      <c r="C2151" s="62" t="s">
        <v>60</v>
      </c>
      <c r="D2151" s="62" t="s">
        <v>382</v>
      </c>
      <c r="E2151" s="62" t="s">
        <v>382</v>
      </c>
      <c r="F2151" s="63" t="s">
        <v>582</v>
      </c>
      <c r="G2151" s="64" t="n">
        <v>2</v>
      </c>
      <c r="H2151" s="62" t="s">
        <v>42</v>
      </c>
    </row>
    <row r="2152" customFormat="false" ht="15" hidden="false" customHeight="false" outlineLevel="0" collapsed="false">
      <c r="A2152" s="62" t="n">
        <v>0</v>
      </c>
      <c r="B2152" s="62" t="s">
        <v>384</v>
      </c>
      <c r="C2152" s="62" t="s">
        <v>60</v>
      </c>
      <c r="D2152" s="62" t="s">
        <v>382</v>
      </c>
      <c r="E2152" s="62" t="s">
        <v>382</v>
      </c>
      <c r="F2152" s="63" t="s">
        <v>582</v>
      </c>
      <c r="G2152" s="64" t="n">
        <v>2</v>
      </c>
      <c r="H2152" s="62" t="s">
        <v>42</v>
      </c>
    </row>
    <row r="2153" customFormat="false" ht="15" hidden="false" customHeight="false" outlineLevel="0" collapsed="false">
      <c r="A2153" s="62" t="n">
        <v>0</v>
      </c>
      <c r="B2153" s="62" t="s">
        <v>385</v>
      </c>
      <c r="C2153" s="62" t="s">
        <v>60</v>
      </c>
      <c r="D2153" s="62" t="s">
        <v>382</v>
      </c>
      <c r="E2153" s="62" t="s">
        <v>382</v>
      </c>
      <c r="F2153" s="63" t="s">
        <v>582</v>
      </c>
      <c r="G2153" s="64" t="n">
        <v>2</v>
      </c>
      <c r="H2153" s="62" t="s">
        <v>42</v>
      </c>
    </row>
    <row r="2154" customFormat="false" ht="15" hidden="false" customHeight="false" outlineLevel="0" collapsed="false">
      <c r="A2154" s="62" t="n">
        <v>0</v>
      </c>
      <c r="B2154" s="62" t="s">
        <v>386</v>
      </c>
      <c r="C2154" s="62" t="s">
        <v>60</v>
      </c>
      <c r="D2154" s="62" t="s">
        <v>382</v>
      </c>
      <c r="E2154" s="62" t="s">
        <v>382</v>
      </c>
      <c r="F2154" s="63" t="s">
        <v>582</v>
      </c>
      <c r="G2154" s="64" t="n">
        <v>2</v>
      </c>
      <c r="H2154" s="62" t="s">
        <v>42</v>
      </c>
    </row>
    <row r="2155" customFormat="false" ht="15" hidden="false" customHeight="false" outlineLevel="0" collapsed="false">
      <c r="A2155" s="62" t="n">
        <v>0</v>
      </c>
      <c r="B2155" s="62" t="s">
        <v>387</v>
      </c>
      <c r="C2155" s="62" t="s">
        <v>60</v>
      </c>
      <c r="D2155" s="62" t="s">
        <v>382</v>
      </c>
      <c r="E2155" s="62" t="s">
        <v>382</v>
      </c>
      <c r="F2155" s="63" t="s">
        <v>582</v>
      </c>
      <c r="G2155" s="64" t="n">
        <v>2</v>
      </c>
      <c r="H2155" s="62" t="s">
        <v>42</v>
      </c>
    </row>
    <row r="2156" customFormat="false" ht="15" hidden="false" customHeight="false" outlineLevel="0" collapsed="false">
      <c r="A2156" s="62" t="n">
        <v>0</v>
      </c>
      <c r="B2156" s="62" t="s">
        <v>388</v>
      </c>
      <c r="C2156" s="62" t="s">
        <v>60</v>
      </c>
      <c r="D2156" s="62" t="s">
        <v>382</v>
      </c>
      <c r="E2156" s="62" t="s">
        <v>382</v>
      </c>
      <c r="F2156" s="63" t="s">
        <v>582</v>
      </c>
      <c r="G2156" s="64" t="n">
        <v>2</v>
      </c>
      <c r="H2156" s="62" t="s">
        <v>42</v>
      </c>
    </row>
    <row r="2157" customFormat="false" ht="15" hidden="false" customHeight="false" outlineLevel="0" collapsed="false">
      <c r="A2157" s="62" t="n">
        <v>0</v>
      </c>
      <c r="B2157" s="62" t="s">
        <v>381</v>
      </c>
      <c r="C2157" s="62" t="s">
        <v>60</v>
      </c>
      <c r="D2157" s="62" t="s">
        <v>382</v>
      </c>
      <c r="E2157" s="62" t="s">
        <v>382</v>
      </c>
      <c r="F2157" s="63" t="s">
        <v>583</v>
      </c>
      <c r="G2157" s="64" t="n">
        <v>0</v>
      </c>
      <c r="H2157" s="62" t="s">
        <v>42</v>
      </c>
    </row>
    <row r="2158" customFormat="false" ht="15" hidden="false" customHeight="false" outlineLevel="0" collapsed="false">
      <c r="A2158" s="62" t="n">
        <v>0</v>
      </c>
      <c r="B2158" s="62" t="s">
        <v>383</v>
      </c>
      <c r="C2158" s="62" t="s">
        <v>60</v>
      </c>
      <c r="D2158" s="62" t="s">
        <v>382</v>
      </c>
      <c r="E2158" s="62" t="s">
        <v>382</v>
      </c>
      <c r="F2158" s="63" t="s">
        <v>583</v>
      </c>
      <c r="G2158" s="64" t="n">
        <v>0</v>
      </c>
      <c r="H2158" s="62" t="s">
        <v>42</v>
      </c>
    </row>
    <row r="2159" customFormat="false" ht="15" hidden="false" customHeight="false" outlineLevel="0" collapsed="false">
      <c r="A2159" s="62" t="n">
        <v>0</v>
      </c>
      <c r="B2159" s="62" t="s">
        <v>384</v>
      </c>
      <c r="C2159" s="62" t="s">
        <v>60</v>
      </c>
      <c r="D2159" s="62" t="s">
        <v>382</v>
      </c>
      <c r="E2159" s="62" t="s">
        <v>382</v>
      </c>
      <c r="F2159" s="63" t="s">
        <v>583</v>
      </c>
      <c r="G2159" s="64" t="n">
        <v>0</v>
      </c>
      <c r="H2159" s="62" t="s">
        <v>42</v>
      </c>
    </row>
    <row r="2160" customFormat="false" ht="15" hidden="false" customHeight="false" outlineLevel="0" collapsed="false">
      <c r="A2160" s="62" t="n">
        <v>0</v>
      </c>
      <c r="B2160" s="62" t="s">
        <v>385</v>
      </c>
      <c r="C2160" s="62" t="s">
        <v>60</v>
      </c>
      <c r="D2160" s="62" t="s">
        <v>382</v>
      </c>
      <c r="E2160" s="62" t="s">
        <v>382</v>
      </c>
      <c r="F2160" s="63" t="s">
        <v>583</v>
      </c>
      <c r="G2160" s="64" t="n">
        <v>0</v>
      </c>
      <c r="H2160" s="62" t="s">
        <v>42</v>
      </c>
    </row>
    <row r="2161" customFormat="false" ht="15" hidden="false" customHeight="false" outlineLevel="0" collapsed="false">
      <c r="A2161" s="62" t="n">
        <v>0</v>
      </c>
      <c r="B2161" s="62" t="s">
        <v>386</v>
      </c>
      <c r="C2161" s="62" t="s">
        <v>60</v>
      </c>
      <c r="D2161" s="62" t="s">
        <v>382</v>
      </c>
      <c r="E2161" s="62" t="s">
        <v>382</v>
      </c>
      <c r="F2161" s="63" t="s">
        <v>583</v>
      </c>
      <c r="G2161" s="64" t="n">
        <v>0</v>
      </c>
      <c r="H2161" s="62" t="s">
        <v>42</v>
      </c>
    </row>
    <row r="2162" customFormat="false" ht="15" hidden="false" customHeight="false" outlineLevel="0" collapsed="false">
      <c r="A2162" s="62" t="n">
        <v>0</v>
      </c>
      <c r="B2162" s="62" t="s">
        <v>387</v>
      </c>
      <c r="C2162" s="62" t="s">
        <v>60</v>
      </c>
      <c r="D2162" s="62" t="s">
        <v>382</v>
      </c>
      <c r="E2162" s="62" t="s">
        <v>382</v>
      </c>
      <c r="F2162" s="63" t="s">
        <v>583</v>
      </c>
      <c r="G2162" s="64" t="n">
        <v>0</v>
      </c>
      <c r="H2162" s="62" t="s">
        <v>42</v>
      </c>
    </row>
    <row r="2163" customFormat="false" ht="15" hidden="false" customHeight="false" outlineLevel="0" collapsed="false">
      <c r="A2163" s="62" t="n">
        <v>0</v>
      </c>
      <c r="B2163" s="62" t="s">
        <v>388</v>
      </c>
      <c r="C2163" s="62" t="s">
        <v>60</v>
      </c>
      <c r="D2163" s="62" t="s">
        <v>382</v>
      </c>
      <c r="E2163" s="62" t="s">
        <v>382</v>
      </c>
      <c r="F2163" s="63" t="s">
        <v>583</v>
      </c>
      <c r="G2163" s="64" t="n">
        <v>0</v>
      </c>
      <c r="H2163" s="62" t="s">
        <v>42</v>
      </c>
    </row>
    <row r="2164" customFormat="false" ht="15" hidden="false" customHeight="false" outlineLevel="0" collapsed="false">
      <c r="A2164" s="62" t="n">
        <v>0</v>
      </c>
      <c r="B2164" s="62" t="s">
        <v>381</v>
      </c>
      <c r="C2164" s="62" t="s">
        <v>60</v>
      </c>
      <c r="D2164" s="62" t="s">
        <v>382</v>
      </c>
      <c r="E2164" s="62" t="s">
        <v>382</v>
      </c>
      <c r="F2164" s="63" t="s">
        <v>584</v>
      </c>
      <c r="G2164" s="64" t="n">
        <v>980</v>
      </c>
      <c r="H2164" s="62" t="s">
        <v>42</v>
      </c>
    </row>
    <row r="2165" customFormat="false" ht="15" hidden="false" customHeight="false" outlineLevel="0" collapsed="false">
      <c r="A2165" s="62" t="n">
        <v>0</v>
      </c>
      <c r="B2165" s="62" t="s">
        <v>383</v>
      </c>
      <c r="C2165" s="62" t="s">
        <v>60</v>
      </c>
      <c r="D2165" s="62" t="s">
        <v>382</v>
      </c>
      <c r="E2165" s="62" t="s">
        <v>382</v>
      </c>
      <c r="F2165" s="63" t="s">
        <v>584</v>
      </c>
      <c r="G2165" s="64" t="n">
        <v>980</v>
      </c>
      <c r="H2165" s="62" t="s">
        <v>42</v>
      </c>
    </row>
    <row r="2166" customFormat="false" ht="15" hidden="false" customHeight="false" outlineLevel="0" collapsed="false">
      <c r="A2166" s="62" t="n">
        <v>0</v>
      </c>
      <c r="B2166" s="62" t="s">
        <v>384</v>
      </c>
      <c r="C2166" s="62" t="s">
        <v>60</v>
      </c>
      <c r="D2166" s="62" t="s">
        <v>382</v>
      </c>
      <c r="E2166" s="62" t="s">
        <v>382</v>
      </c>
      <c r="F2166" s="63" t="s">
        <v>584</v>
      </c>
      <c r="G2166" s="64" t="n">
        <v>980</v>
      </c>
      <c r="H2166" s="62" t="s">
        <v>42</v>
      </c>
    </row>
    <row r="2167" customFormat="false" ht="15" hidden="false" customHeight="false" outlineLevel="0" collapsed="false">
      <c r="A2167" s="62" t="n">
        <v>0</v>
      </c>
      <c r="B2167" s="62" t="s">
        <v>385</v>
      </c>
      <c r="C2167" s="62" t="s">
        <v>60</v>
      </c>
      <c r="D2167" s="62" t="s">
        <v>382</v>
      </c>
      <c r="E2167" s="62" t="s">
        <v>382</v>
      </c>
      <c r="F2167" s="63" t="s">
        <v>584</v>
      </c>
      <c r="G2167" s="64" t="n">
        <v>980</v>
      </c>
      <c r="H2167" s="62" t="s">
        <v>42</v>
      </c>
    </row>
    <row r="2168" customFormat="false" ht="15" hidden="false" customHeight="false" outlineLevel="0" collapsed="false">
      <c r="A2168" s="62" t="n">
        <v>0</v>
      </c>
      <c r="B2168" s="62" t="s">
        <v>386</v>
      </c>
      <c r="C2168" s="62" t="s">
        <v>60</v>
      </c>
      <c r="D2168" s="62" t="s">
        <v>382</v>
      </c>
      <c r="E2168" s="62" t="s">
        <v>382</v>
      </c>
      <c r="F2168" s="63" t="s">
        <v>584</v>
      </c>
      <c r="G2168" s="64" t="n">
        <v>980</v>
      </c>
      <c r="H2168" s="62" t="s">
        <v>42</v>
      </c>
    </row>
    <row r="2169" customFormat="false" ht="15" hidden="false" customHeight="false" outlineLevel="0" collapsed="false">
      <c r="A2169" s="62" t="n">
        <v>0</v>
      </c>
      <c r="B2169" s="62" t="s">
        <v>387</v>
      </c>
      <c r="C2169" s="62" t="s">
        <v>60</v>
      </c>
      <c r="D2169" s="62" t="s">
        <v>382</v>
      </c>
      <c r="E2169" s="62" t="s">
        <v>382</v>
      </c>
      <c r="F2169" s="63" t="s">
        <v>584</v>
      </c>
      <c r="G2169" s="64" t="n">
        <v>980</v>
      </c>
      <c r="H2169" s="62" t="s">
        <v>42</v>
      </c>
    </row>
    <row r="2170" customFormat="false" ht="15" hidden="false" customHeight="false" outlineLevel="0" collapsed="false">
      <c r="A2170" s="62" t="n">
        <v>0</v>
      </c>
      <c r="B2170" s="62" t="s">
        <v>388</v>
      </c>
      <c r="C2170" s="62" t="s">
        <v>60</v>
      </c>
      <c r="D2170" s="62" t="s">
        <v>382</v>
      </c>
      <c r="E2170" s="62" t="s">
        <v>382</v>
      </c>
      <c r="F2170" s="63" t="s">
        <v>584</v>
      </c>
      <c r="G2170" s="64" t="n">
        <v>980</v>
      </c>
      <c r="H2170" s="62" t="s">
        <v>42</v>
      </c>
    </row>
    <row r="2171" customFormat="false" ht="15" hidden="false" customHeight="false" outlineLevel="0" collapsed="false">
      <c r="A2171" s="62" t="n">
        <v>0</v>
      </c>
      <c r="B2171" s="62" t="s">
        <v>381</v>
      </c>
      <c r="C2171" s="62" t="s">
        <v>60</v>
      </c>
      <c r="D2171" s="62" t="s">
        <v>382</v>
      </c>
      <c r="E2171" s="62" t="s">
        <v>382</v>
      </c>
      <c r="F2171" s="63" t="s">
        <v>585</v>
      </c>
      <c r="G2171" s="64" t="n">
        <v>250</v>
      </c>
      <c r="H2171" s="62" t="s">
        <v>42</v>
      </c>
    </row>
    <row r="2172" customFormat="false" ht="15" hidden="false" customHeight="false" outlineLevel="0" collapsed="false">
      <c r="A2172" s="62" t="n">
        <v>0</v>
      </c>
      <c r="B2172" s="62" t="s">
        <v>383</v>
      </c>
      <c r="C2172" s="62" t="s">
        <v>60</v>
      </c>
      <c r="D2172" s="62" t="s">
        <v>382</v>
      </c>
      <c r="E2172" s="62" t="s">
        <v>382</v>
      </c>
      <c r="F2172" s="63" t="s">
        <v>585</v>
      </c>
      <c r="G2172" s="64" t="n">
        <v>250</v>
      </c>
      <c r="H2172" s="62" t="s">
        <v>42</v>
      </c>
    </row>
    <row r="2173" customFormat="false" ht="15" hidden="false" customHeight="false" outlineLevel="0" collapsed="false">
      <c r="A2173" s="62" t="n">
        <v>0</v>
      </c>
      <c r="B2173" s="62" t="s">
        <v>384</v>
      </c>
      <c r="C2173" s="62" t="s">
        <v>60</v>
      </c>
      <c r="D2173" s="62" t="s">
        <v>382</v>
      </c>
      <c r="E2173" s="62" t="s">
        <v>382</v>
      </c>
      <c r="F2173" s="63" t="s">
        <v>585</v>
      </c>
      <c r="G2173" s="64" t="n">
        <v>250</v>
      </c>
      <c r="H2173" s="62" t="s">
        <v>42</v>
      </c>
    </row>
    <row r="2174" customFormat="false" ht="15" hidden="false" customHeight="false" outlineLevel="0" collapsed="false">
      <c r="A2174" s="62" t="n">
        <v>0</v>
      </c>
      <c r="B2174" s="62" t="s">
        <v>385</v>
      </c>
      <c r="C2174" s="62" t="s">
        <v>60</v>
      </c>
      <c r="D2174" s="62" t="s">
        <v>382</v>
      </c>
      <c r="E2174" s="62" t="s">
        <v>382</v>
      </c>
      <c r="F2174" s="63" t="s">
        <v>585</v>
      </c>
      <c r="G2174" s="64" t="n">
        <v>250</v>
      </c>
      <c r="H2174" s="62" t="s">
        <v>42</v>
      </c>
    </row>
    <row r="2175" customFormat="false" ht="15" hidden="false" customHeight="false" outlineLevel="0" collapsed="false">
      <c r="A2175" s="62" t="n">
        <v>0</v>
      </c>
      <c r="B2175" s="62" t="s">
        <v>386</v>
      </c>
      <c r="C2175" s="62" t="s">
        <v>60</v>
      </c>
      <c r="D2175" s="62" t="s">
        <v>382</v>
      </c>
      <c r="E2175" s="62" t="s">
        <v>382</v>
      </c>
      <c r="F2175" s="63" t="s">
        <v>585</v>
      </c>
      <c r="G2175" s="64" t="n">
        <v>250</v>
      </c>
      <c r="H2175" s="62" t="s">
        <v>42</v>
      </c>
    </row>
    <row r="2176" customFormat="false" ht="15" hidden="false" customHeight="false" outlineLevel="0" collapsed="false">
      <c r="A2176" s="62" t="n">
        <v>0</v>
      </c>
      <c r="B2176" s="62" t="s">
        <v>387</v>
      </c>
      <c r="C2176" s="62" t="s">
        <v>60</v>
      </c>
      <c r="D2176" s="62" t="s">
        <v>382</v>
      </c>
      <c r="E2176" s="62" t="s">
        <v>382</v>
      </c>
      <c r="F2176" s="63" t="s">
        <v>585</v>
      </c>
      <c r="G2176" s="64" t="n">
        <v>250</v>
      </c>
      <c r="H2176" s="62" t="s">
        <v>42</v>
      </c>
    </row>
    <row r="2177" customFormat="false" ht="15" hidden="false" customHeight="false" outlineLevel="0" collapsed="false">
      <c r="A2177" s="62" t="n">
        <v>0</v>
      </c>
      <c r="B2177" s="62" t="s">
        <v>388</v>
      </c>
      <c r="C2177" s="62" t="s">
        <v>60</v>
      </c>
      <c r="D2177" s="62" t="s">
        <v>382</v>
      </c>
      <c r="E2177" s="62" t="s">
        <v>382</v>
      </c>
      <c r="F2177" s="63" t="s">
        <v>585</v>
      </c>
      <c r="G2177" s="64" t="n">
        <v>250</v>
      </c>
      <c r="H2177" s="62" t="s">
        <v>42</v>
      </c>
    </row>
    <row r="2178" customFormat="false" ht="15" hidden="false" customHeight="false" outlineLevel="0" collapsed="false">
      <c r="A2178" s="62" t="n">
        <v>0</v>
      </c>
      <c r="B2178" s="62" t="s">
        <v>381</v>
      </c>
      <c r="C2178" s="62" t="s">
        <v>60</v>
      </c>
      <c r="D2178" s="62" t="s">
        <v>382</v>
      </c>
      <c r="E2178" s="62" t="s">
        <v>382</v>
      </c>
      <c r="F2178" s="63" t="s">
        <v>586</v>
      </c>
      <c r="G2178" s="64" t="n">
        <v>0</v>
      </c>
      <c r="H2178" s="62" t="s">
        <v>42</v>
      </c>
    </row>
    <row r="2179" customFormat="false" ht="15" hidden="false" customHeight="false" outlineLevel="0" collapsed="false">
      <c r="A2179" s="62" t="n">
        <v>0</v>
      </c>
      <c r="B2179" s="62" t="s">
        <v>383</v>
      </c>
      <c r="C2179" s="62" t="s">
        <v>60</v>
      </c>
      <c r="D2179" s="62" t="s">
        <v>382</v>
      </c>
      <c r="E2179" s="62" t="s">
        <v>382</v>
      </c>
      <c r="F2179" s="63" t="s">
        <v>586</v>
      </c>
      <c r="G2179" s="64" t="n">
        <v>0</v>
      </c>
      <c r="H2179" s="62" t="s">
        <v>42</v>
      </c>
    </row>
    <row r="2180" customFormat="false" ht="15" hidden="false" customHeight="false" outlineLevel="0" collapsed="false">
      <c r="A2180" s="62" t="n">
        <v>0</v>
      </c>
      <c r="B2180" s="62" t="s">
        <v>384</v>
      </c>
      <c r="C2180" s="62" t="s">
        <v>60</v>
      </c>
      <c r="D2180" s="62" t="s">
        <v>382</v>
      </c>
      <c r="E2180" s="62" t="s">
        <v>382</v>
      </c>
      <c r="F2180" s="63" t="s">
        <v>586</v>
      </c>
      <c r="G2180" s="64" t="n">
        <v>0</v>
      </c>
      <c r="H2180" s="62" t="s">
        <v>42</v>
      </c>
    </row>
    <row r="2181" customFormat="false" ht="15" hidden="false" customHeight="false" outlineLevel="0" collapsed="false">
      <c r="A2181" s="62" t="n">
        <v>0</v>
      </c>
      <c r="B2181" s="62" t="s">
        <v>385</v>
      </c>
      <c r="C2181" s="62" t="s">
        <v>60</v>
      </c>
      <c r="D2181" s="62" t="s">
        <v>382</v>
      </c>
      <c r="E2181" s="62" t="s">
        <v>382</v>
      </c>
      <c r="F2181" s="63" t="s">
        <v>586</v>
      </c>
      <c r="G2181" s="64" t="n">
        <v>0</v>
      </c>
      <c r="H2181" s="62" t="s">
        <v>42</v>
      </c>
    </row>
    <row r="2182" customFormat="false" ht="15" hidden="false" customHeight="false" outlineLevel="0" collapsed="false">
      <c r="A2182" s="62" t="n">
        <v>0</v>
      </c>
      <c r="B2182" s="62" t="s">
        <v>386</v>
      </c>
      <c r="C2182" s="62" t="s">
        <v>60</v>
      </c>
      <c r="D2182" s="62" t="s">
        <v>382</v>
      </c>
      <c r="E2182" s="62" t="s">
        <v>382</v>
      </c>
      <c r="F2182" s="63" t="s">
        <v>586</v>
      </c>
      <c r="G2182" s="64" t="n">
        <v>0</v>
      </c>
      <c r="H2182" s="62" t="s">
        <v>42</v>
      </c>
    </row>
    <row r="2183" customFormat="false" ht="15" hidden="false" customHeight="false" outlineLevel="0" collapsed="false">
      <c r="A2183" s="62" t="n">
        <v>0</v>
      </c>
      <c r="B2183" s="62" t="s">
        <v>387</v>
      </c>
      <c r="C2183" s="62" t="s">
        <v>60</v>
      </c>
      <c r="D2183" s="62" t="s">
        <v>382</v>
      </c>
      <c r="E2183" s="62" t="s">
        <v>382</v>
      </c>
      <c r="F2183" s="63" t="s">
        <v>586</v>
      </c>
      <c r="G2183" s="64" t="n">
        <v>0</v>
      </c>
      <c r="H2183" s="62" t="s">
        <v>42</v>
      </c>
    </row>
    <row r="2184" customFormat="false" ht="15" hidden="false" customHeight="false" outlineLevel="0" collapsed="false">
      <c r="A2184" s="62" t="n">
        <v>0</v>
      </c>
      <c r="B2184" s="62" t="s">
        <v>388</v>
      </c>
      <c r="C2184" s="62" t="s">
        <v>60</v>
      </c>
      <c r="D2184" s="62" t="s">
        <v>382</v>
      </c>
      <c r="E2184" s="62" t="s">
        <v>382</v>
      </c>
      <c r="F2184" s="63" t="s">
        <v>586</v>
      </c>
      <c r="G2184" s="64" t="n">
        <v>0</v>
      </c>
      <c r="H2184" s="62" t="s">
        <v>42</v>
      </c>
    </row>
    <row r="2185" customFormat="false" ht="15" hidden="false" customHeight="false" outlineLevel="0" collapsed="false">
      <c r="A2185" s="62" t="n">
        <v>0</v>
      </c>
      <c r="B2185" s="62" t="s">
        <v>381</v>
      </c>
      <c r="C2185" s="62" t="s">
        <v>60</v>
      </c>
      <c r="D2185" s="62" t="s">
        <v>382</v>
      </c>
      <c r="E2185" s="62" t="s">
        <v>382</v>
      </c>
      <c r="F2185" s="63" t="s">
        <v>587</v>
      </c>
      <c r="G2185" s="64" t="n">
        <v>1230</v>
      </c>
      <c r="H2185" s="62" t="s">
        <v>42</v>
      </c>
    </row>
    <row r="2186" customFormat="false" ht="15" hidden="false" customHeight="false" outlineLevel="0" collapsed="false">
      <c r="A2186" s="62" t="n">
        <v>0</v>
      </c>
      <c r="B2186" s="62" t="s">
        <v>383</v>
      </c>
      <c r="C2186" s="62" t="s">
        <v>60</v>
      </c>
      <c r="D2186" s="62" t="s">
        <v>382</v>
      </c>
      <c r="E2186" s="62" t="s">
        <v>382</v>
      </c>
      <c r="F2186" s="63" t="s">
        <v>587</v>
      </c>
      <c r="G2186" s="64" t="n">
        <v>1230</v>
      </c>
      <c r="H2186" s="62" t="s">
        <v>42</v>
      </c>
    </row>
    <row r="2187" customFormat="false" ht="15" hidden="false" customHeight="false" outlineLevel="0" collapsed="false">
      <c r="A2187" s="62" t="n">
        <v>0</v>
      </c>
      <c r="B2187" s="62" t="s">
        <v>384</v>
      </c>
      <c r="C2187" s="62" t="s">
        <v>60</v>
      </c>
      <c r="D2187" s="62" t="s">
        <v>382</v>
      </c>
      <c r="E2187" s="62" t="s">
        <v>382</v>
      </c>
      <c r="F2187" s="63" t="s">
        <v>587</v>
      </c>
      <c r="G2187" s="64" t="n">
        <v>1230</v>
      </c>
      <c r="H2187" s="62" t="s">
        <v>42</v>
      </c>
    </row>
    <row r="2188" customFormat="false" ht="15" hidden="false" customHeight="false" outlineLevel="0" collapsed="false">
      <c r="A2188" s="62" t="n">
        <v>0</v>
      </c>
      <c r="B2188" s="62" t="s">
        <v>385</v>
      </c>
      <c r="C2188" s="62" t="s">
        <v>60</v>
      </c>
      <c r="D2188" s="62" t="s">
        <v>382</v>
      </c>
      <c r="E2188" s="62" t="s">
        <v>382</v>
      </c>
      <c r="F2188" s="63" t="s">
        <v>587</v>
      </c>
      <c r="G2188" s="64" t="n">
        <v>1230</v>
      </c>
      <c r="H2188" s="62" t="s">
        <v>42</v>
      </c>
    </row>
    <row r="2189" customFormat="false" ht="15" hidden="false" customHeight="false" outlineLevel="0" collapsed="false">
      <c r="A2189" s="62" t="n">
        <v>0</v>
      </c>
      <c r="B2189" s="62" t="s">
        <v>386</v>
      </c>
      <c r="C2189" s="62" t="s">
        <v>60</v>
      </c>
      <c r="D2189" s="62" t="s">
        <v>382</v>
      </c>
      <c r="E2189" s="62" t="s">
        <v>382</v>
      </c>
      <c r="F2189" s="63" t="s">
        <v>587</v>
      </c>
      <c r="G2189" s="64" t="n">
        <v>1230</v>
      </c>
      <c r="H2189" s="62" t="s">
        <v>42</v>
      </c>
    </row>
    <row r="2190" customFormat="false" ht="15" hidden="false" customHeight="false" outlineLevel="0" collapsed="false">
      <c r="A2190" s="62" t="n">
        <v>0</v>
      </c>
      <c r="B2190" s="62" t="s">
        <v>387</v>
      </c>
      <c r="C2190" s="62" t="s">
        <v>60</v>
      </c>
      <c r="D2190" s="62" t="s">
        <v>382</v>
      </c>
      <c r="E2190" s="62" t="s">
        <v>382</v>
      </c>
      <c r="F2190" s="63" t="s">
        <v>587</v>
      </c>
      <c r="G2190" s="64" t="n">
        <v>1230</v>
      </c>
      <c r="H2190" s="62" t="s">
        <v>42</v>
      </c>
    </row>
    <row r="2191" customFormat="false" ht="15" hidden="false" customHeight="false" outlineLevel="0" collapsed="false">
      <c r="A2191" s="62" t="n">
        <v>0</v>
      </c>
      <c r="B2191" s="62" t="s">
        <v>388</v>
      </c>
      <c r="C2191" s="62" t="s">
        <v>60</v>
      </c>
      <c r="D2191" s="62" t="s">
        <v>382</v>
      </c>
      <c r="E2191" s="62" t="s">
        <v>382</v>
      </c>
      <c r="F2191" s="63" t="s">
        <v>587</v>
      </c>
      <c r="G2191" s="64" t="n">
        <v>1230</v>
      </c>
      <c r="H2191" s="62" t="s">
        <v>42</v>
      </c>
    </row>
    <row r="2192" customFormat="false" ht="15" hidden="false" customHeight="false" outlineLevel="0" collapsed="false">
      <c r="A2192" s="62" t="n">
        <v>0</v>
      </c>
      <c r="B2192" s="62" t="s">
        <v>381</v>
      </c>
      <c r="C2192" s="62" t="s">
        <v>60</v>
      </c>
      <c r="D2192" s="62" t="s">
        <v>382</v>
      </c>
      <c r="E2192" s="62" t="s">
        <v>382</v>
      </c>
      <c r="F2192" s="63" t="s">
        <v>588</v>
      </c>
      <c r="G2192" s="64" t="n">
        <v>-725</v>
      </c>
      <c r="H2192" s="62" t="s">
        <v>42</v>
      </c>
    </row>
    <row r="2193" customFormat="false" ht="15" hidden="false" customHeight="false" outlineLevel="0" collapsed="false">
      <c r="A2193" s="62" t="n">
        <v>0</v>
      </c>
      <c r="B2193" s="62" t="s">
        <v>383</v>
      </c>
      <c r="C2193" s="62" t="s">
        <v>60</v>
      </c>
      <c r="D2193" s="62" t="s">
        <v>382</v>
      </c>
      <c r="E2193" s="62" t="s">
        <v>382</v>
      </c>
      <c r="F2193" s="63" t="s">
        <v>588</v>
      </c>
      <c r="G2193" s="64" t="n">
        <v>-725</v>
      </c>
      <c r="H2193" s="62" t="s">
        <v>42</v>
      </c>
    </row>
    <row r="2194" customFormat="false" ht="15" hidden="false" customHeight="false" outlineLevel="0" collapsed="false">
      <c r="A2194" s="62" t="n">
        <v>0</v>
      </c>
      <c r="B2194" s="62" t="s">
        <v>384</v>
      </c>
      <c r="C2194" s="62" t="s">
        <v>60</v>
      </c>
      <c r="D2194" s="62" t="s">
        <v>382</v>
      </c>
      <c r="E2194" s="62" t="s">
        <v>382</v>
      </c>
      <c r="F2194" s="63" t="s">
        <v>588</v>
      </c>
      <c r="G2194" s="64" t="n">
        <v>-725</v>
      </c>
      <c r="H2194" s="62" t="s">
        <v>42</v>
      </c>
    </row>
    <row r="2195" customFormat="false" ht="15" hidden="false" customHeight="false" outlineLevel="0" collapsed="false">
      <c r="A2195" s="62" t="n">
        <v>0</v>
      </c>
      <c r="B2195" s="62" t="s">
        <v>385</v>
      </c>
      <c r="C2195" s="62" t="s">
        <v>60</v>
      </c>
      <c r="D2195" s="62" t="s">
        <v>382</v>
      </c>
      <c r="E2195" s="62" t="s">
        <v>382</v>
      </c>
      <c r="F2195" s="63" t="s">
        <v>588</v>
      </c>
      <c r="G2195" s="64" t="n">
        <v>-725</v>
      </c>
      <c r="H2195" s="62" t="s">
        <v>42</v>
      </c>
    </row>
    <row r="2196" customFormat="false" ht="15" hidden="false" customHeight="false" outlineLevel="0" collapsed="false">
      <c r="A2196" s="62" t="n">
        <v>0</v>
      </c>
      <c r="B2196" s="62" t="s">
        <v>386</v>
      </c>
      <c r="C2196" s="62" t="s">
        <v>60</v>
      </c>
      <c r="D2196" s="62" t="s">
        <v>382</v>
      </c>
      <c r="E2196" s="62" t="s">
        <v>382</v>
      </c>
      <c r="F2196" s="63" t="s">
        <v>588</v>
      </c>
      <c r="G2196" s="64" t="n">
        <v>-725</v>
      </c>
      <c r="H2196" s="62" t="s">
        <v>42</v>
      </c>
    </row>
    <row r="2197" customFormat="false" ht="15" hidden="false" customHeight="false" outlineLevel="0" collapsed="false">
      <c r="A2197" s="62" t="n">
        <v>0</v>
      </c>
      <c r="B2197" s="62" t="s">
        <v>387</v>
      </c>
      <c r="C2197" s="62" t="s">
        <v>60</v>
      </c>
      <c r="D2197" s="62" t="s">
        <v>382</v>
      </c>
      <c r="E2197" s="62" t="s">
        <v>382</v>
      </c>
      <c r="F2197" s="63" t="s">
        <v>588</v>
      </c>
      <c r="G2197" s="64" t="n">
        <v>-725</v>
      </c>
      <c r="H2197" s="62" t="s">
        <v>42</v>
      </c>
    </row>
    <row r="2198" customFormat="false" ht="15" hidden="false" customHeight="false" outlineLevel="0" collapsed="false">
      <c r="A2198" s="62" t="n">
        <v>0</v>
      </c>
      <c r="B2198" s="62" t="s">
        <v>388</v>
      </c>
      <c r="C2198" s="62" t="s">
        <v>60</v>
      </c>
      <c r="D2198" s="62" t="s">
        <v>382</v>
      </c>
      <c r="E2198" s="62" t="s">
        <v>382</v>
      </c>
      <c r="F2198" s="63" t="s">
        <v>588</v>
      </c>
      <c r="G2198" s="64" t="n">
        <v>-725</v>
      </c>
      <c r="H2198" s="62" t="s">
        <v>42</v>
      </c>
    </row>
    <row r="2199" customFormat="false" ht="15" hidden="false" customHeight="false" outlineLevel="0" collapsed="false">
      <c r="A2199" s="62" t="n">
        <v>0</v>
      </c>
      <c r="B2199" s="62" t="s">
        <v>381</v>
      </c>
      <c r="C2199" s="62" t="s">
        <v>60</v>
      </c>
      <c r="D2199" s="62" t="s">
        <v>382</v>
      </c>
      <c r="E2199" s="62" t="s">
        <v>382</v>
      </c>
      <c r="F2199" s="63" t="s">
        <v>589</v>
      </c>
      <c r="G2199" s="64" t="n">
        <v>0</v>
      </c>
      <c r="H2199" s="62" t="s">
        <v>42</v>
      </c>
    </row>
    <row r="2200" customFormat="false" ht="15" hidden="false" customHeight="false" outlineLevel="0" collapsed="false">
      <c r="A2200" s="62" t="n">
        <v>0</v>
      </c>
      <c r="B2200" s="62" t="s">
        <v>383</v>
      </c>
      <c r="C2200" s="62" t="s">
        <v>60</v>
      </c>
      <c r="D2200" s="62" t="s">
        <v>382</v>
      </c>
      <c r="E2200" s="62" t="s">
        <v>382</v>
      </c>
      <c r="F2200" s="63" t="s">
        <v>589</v>
      </c>
      <c r="G2200" s="64" t="n">
        <v>0</v>
      </c>
      <c r="H2200" s="62" t="s">
        <v>42</v>
      </c>
    </row>
    <row r="2201" customFormat="false" ht="15" hidden="false" customHeight="false" outlineLevel="0" collapsed="false">
      <c r="A2201" s="62" t="n">
        <v>0</v>
      </c>
      <c r="B2201" s="62" t="s">
        <v>384</v>
      </c>
      <c r="C2201" s="62" t="s">
        <v>60</v>
      </c>
      <c r="D2201" s="62" t="s">
        <v>382</v>
      </c>
      <c r="E2201" s="62" t="s">
        <v>382</v>
      </c>
      <c r="F2201" s="63" t="s">
        <v>589</v>
      </c>
      <c r="G2201" s="64" t="n">
        <v>0</v>
      </c>
      <c r="H2201" s="62" t="s">
        <v>42</v>
      </c>
    </row>
    <row r="2202" customFormat="false" ht="15" hidden="false" customHeight="false" outlineLevel="0" collapsed="false">
      <c r="A2202" s="62" t="n">
        <v>0</v>
      </c>
      <c r="B2202" s="62" t="s">
        <v>385</v>
      </c>
      <c r="C2202" s="62" t="s">
        <v>60</v>
      </c>
      <c r="D2202" s="62" t="s">
        <v>382</v>
      </c>
      <c r="E2202" s="62" t="s">
        <v>382</v>
      </c>
      <c r="F2202" s="63" t="s">
        <v>589</v>
      </c>
      <c r="G2202" s="64" t="n">
        <v>0</v>
      </c>
      <c r="H2202" s="62" t="s">
        <v>42</v>
      </c>
    </row>
    <row r="2203" customFormat="false" ht="15" hidden="false" customHeight="false" outlineLevel="0" collapsed="false">
      <c r="A2203" s="62" t="n">
        <v>0</v>
      </c>
      <c r="B2203" s="62" t="s">
        <v>386</v>
      </c>
      <c r="C2203" s="62" t="s">
        <v>60</v>
      </c>
      <c r="D2203" s="62" t="s">
        <v>382</v>
      </c>
      <c r="E2203" s="62" t="s">
        <v>382</v>
      </c>
      <c r="F2203" s="63" t="s">
        <v>589</v>
      </c>
      <c r="G2203" s="64" t="n">
        <v>0</v>
      </c>
      <c r="H2203" s="62" t="s">
        <v>42</v>
      </c>
    </row>
    <row r="2204" customFormat="false" ht="15" hidden="false" customHeight="false" outlineLevel="0" collapsed="false">
      <c r="A2204" s="62" t="n">
        <v>0</v>
      </c>
      <c r="B2204" s="62" t="s">
        <v>387</v>
      </c>
      <c r="C2204" s="62" t="s">
        <v>60</v>
      </c>
      <c r="D2204" s="62" t="s">
        <v>382</v>
      </c>
      <c r="E2204" s="62" t="s">
        <v>382</v>
      </c>
      <c r="F2204" s="63" t="s">
        <v>589</v>
      </c>
      <c r="G2204" s="64" t="n">
        <v>0</v>
      </c>
      <c r="H2204" s="62" t="s">
        <v>42</v>
      </c>
    </row>
    <row r="2205" customFormat="false" ht="15" hidden="false" customHeight="false" outlineLevel="0" collapsed="false">
      <c r="A2205" s="62" t="n">
        <v>0</v>
      </c>
      <c r="B2205" s="62" t="s">
        <v>388</v>
      </c>
      <c r="C2205" s="62" t="s">
        <v>60</v>
      </c>
      <c r="D2205" s="62" t="s">
        <v>382</v>
      </c>
      <c r="E2205" s="62" t="s">
        <v>382</v>
      </c>
      <c r="F2205" s="63" t="s">
        <v>589</v>
      </c>
      <c r="G2205" s="64" t="n">
        <v>0</v>
      </c>
      <c r="H2205" s="62" t="s">
        <v>42</v>
      </c>
    </row>
    <row r="2206" customFormat="false" ht="15" hidden="false" customHeight="false" outlineLevel="0" collapsed="false">
      <c r="A2206" s="62" t="n">
        <v>0</v>
      </c>
      <c r="B2206" s="62" t="s">
        <v>381</v>
      </c>
      <c r="C2206" s="62" t="s">
        <v>60</v>
      </c>
      <c r="D2206" s="62" t="s">
        <v>382</v>
      </c>
      <c r="E2206" s="62" t="s">
        <v>382</v>
      </c>
      <c r="F2206" s="63" t="s">
        <v>590</v>
      </c>
      <c r="G2206" s="64" t="n">
        <v>-505</v>
      </c>
      <c r="H2206" s="62" t="s">
        <v>42</v>
      </c>
    </row>
    <row r="2207" customFormat="false" ht="15" hidden="false" customHeight="false" outlineLevel="0" collapsed="false">
      <c r="A2207" s="62" t="n">
        <v>0</v>
      </c>
      <c r="B2207" s="62" t="s">
        <v>383</v>
      </c>
      <c r="C2207" s="62" t="s">
        <v>60</v>
      </c>
      <c r="D2207" s="62" t="s">
        <v>382</v>
      </c>
      <c r="E2207" s="62" t="s">
        <v>382</v>
      </c>
      <c r="F2207" s="63" t="s">
        <v>590</v>
      </c>
      <c r="G2207" s="64" t="n">
        <v>-505</v>
      </c>
      <c r="H2207" s="62" t="s">
        <v>42</v>
      </c>
    </row>
    <row r="2208" customFormat="false" ht="15" hidden="false" customHeight="false" outlineLevel="0" collapsed="false">
      <c r="A2208" s="62" t="n">
        <v>0</v>
      </c>
      <c r="B2208" s="62" t="s">
        <v>384</v>
      </c>
      <c r="C2208" s="62" t="s">
        <v>60</v>
      </c>
      <c r="D2208" s="62" t="s">
        <v>382</v>
      </c>
      <c r="E2208" s="62" t="s">
        <v>382</v>
      </c>
      <c r="F2208" s="63" t="s">
        <v>590</v>
      </c>
      <c r="G2208" s="64" t="n">
        <v>-505</v>
      </c>
      <c r="H2208" s="62" t="s">
        <v>42</v>
      </c>
    </row>
    <row r="2209" customFormat="false" ht="15" hidden="false" customHeight="false" outlineLevel="0" collapsed="false">
      <c r="A2209" s="62" t="n">
        <v>0</v>
      </c>
      <c r="B2209" s="62" t="s">
        <v>385</v>
      </c>
      <c r="C2209" s="62" t="s">
        <v>60</v>
      </c>
      <c r="D2209" s="62" t="s">
        <v>382</v>
      </c>
      <c r="E2209" s="62" t="s">
        <v>382</v>
      </c>
      <c r="F2209" s="63" t="s">
        <v>590</v>
      </c>
      <c r="G2209" s="64" t="n">
        <v>-505</v>
      </c>
      <c r="H2209" s="62" t="s">
        <v>42</v>
      </c>
    </row>
    <row r="2210" customFormat="false" ht="15" hidden="false" customHeight="false" outlineLevel="0" collapsed="false">
      <c r="A2210" s="62" t="n">
        <v>0</v>
      </c>
      <c r="B2210" s="62" t="s">
        <v>386</v>
      </c>
      <c r="C2210" s="62" t="s">
        <v>60</v>
      </c>
      <c r="D2210" s="62" t="s">
        <v>382</v>
      </c>
      <c r="E2210" s="62" t="s">
        <v>382</v>
      </c>
      <c r="F2210" s="63" t="s">
        <v>590</v>
      </c>
      <c r="G2210" s="64" t="n">
        <v>-505</v>
      </c>
      <c r="H2210" s="62" t="s">
        <v>42</v>
      </c>
    </row>
    <row r="2211" customFormat="false" ht="15" hidden="false" customHeight="false" outlineLevel="0" collapsed="false">
      <c r="A2211" s="62" t="n">
        <v>0</v>
      </c>
      <c r="B2211" s="62" t="s">
        <v>387</v>
      </c>
      <c r="C2211" s="62" t="s">
        <v>60</v>
      </c>
      <c r="D2211" s="62" t="s">
        <v>382</v>
      </c>
      <c r="E2211" s="62" t="s">
        <v>382</v>
      </c>
      <c r="F2211" s="63" t="s">
        <v>590</v>
      </c>
      <c r="G2211" s="64" t="n">
        <v>-505</v>
      </c>
      <c r="H2211" s="62" t="s">
        <v>42</v>
      </c>
    </row>
    <row r="2212" customFormat="false" ht="15" hidden="false" customHeight="false" outlineLevel="0" collapsed="false">
      <c r="A2212" s="62" t="n">
        <v>0</v>
      </c>
      <c r="B2212" s="62" t="s">
        <v>388</v>
      </c>
      <c r="C2212" s="62" t="s">
        <v>60</v>
      </c>
      <c r="D2212" s="62" t="s">
        <v>382</v>
      </c>
      <c r="E2212" s="62" t="s">
        <v>382</v>
      </c>
      <c r="F2212" s="63" t="s">
        <v>590</v>
      </c>
      <c r="G2212" s="64" t="n">
        <v>-505</v>
      </c>
      <c r="H2212" s="62" t="s">
        <v>42</v>
      </c>
    </row>
    <row r="2213" customFormat="false" ht="15" hidden="false" customHeight="false" outlineLevel="0" collapsed="false">
      <c r="A2213" s="62" t="n">
        <v>0</v>
      </c>
      <c r="B2213" s="62" t="s">
        <v>381</v>
      </c>
      <c r="C2213" s="62" t="s">
        <v>60</v>
      </c>
      <c r="D2213" s="62" t="s">
        <v>382</v>
      </c>
      <c r="E2213" s="62" t="s">
        <v>382</v>
      </c>
      <c r="F2213" s="63" t="s">
        <v>591</v>
      </c>
      <c r="G2213" s="64" t="n">
        <v>0</v>
      </c>
      <c r="H2213" s="62" t="s">
        <v>42</v>
      </c>
    </row>
    <row r="2214" customFormat="false" ht="15" hidden="false" customHeight="false" outlineLevel="0" collapsed="false">
      <c r="A2214" s="62" t="n">
        <v>0</v>
      </c>
      <c r="B2214" s="62" t="s">
        <v>383</v>
      </c>
      <c r="C2214" s="62" t="s">
        <v>60</v>
      </c>
      <c r="D2214" s="62" t="s">
        <v>382</v>
      </c>
      <c r="E2214" s="62" t="s">
        <v>382</v>
      </c>
      <c r="F2214" s="63" t="s">
        <v>591</v>
      </c>
      <c r="G2214" s="64" t="n">
        <v>0</v>
      </c>
      <c r="H2214" s="62" t="s">
        <v>42</v>
      </c>
    </row>
    <row r="2215" customFormat="false" ht="15" hidden="false" customHeight="false" outlineLevel="0" collapsed="false">
      <c r="A2215" s="62" t="n">
        <v>0</v>
      </c>
      <c r="B2215" s="62" t="s">
        <v>384</v>
      </c>
      <c r="C2215" s="62" t="s">
        <v>60</v>
      </c>
      <c r="D2215" s="62" t="s">
        <v>382</v>
      </c>
      <c r="E2215" s="62" t="s">
        <v>382</v>
      </c>
      <c r="F2215" s="63" t="s">
        <v>591</v>
      </c>
      <c r="G2215" s="64" t="n">
        <v>0</v>
      </c>
      <c r="H2215" s="62" t="s">
        <v>42</v>
      </c>
    </row>
    <row r="2216" customFormat="false" ht="15" hidden="false" customHeight="false" outlineLevel="0" collapsed="false">
      <c r="A2216" s="62" t="n">
        <v>0</v>
      </c>
      <c r="B2216" s="62" t="s">
        <v>385</v>
      </c>
      <c r="C2216" s="62" t="s">
        <v>60</v>
      </c>
      <c r="D2216" s="62" t="s">
        <v>382</v>
      </c>
      <c r="E2216" s="62" t="s">
        <v>382</v>
      </c>
      <c r="F2216" s="63" t="s">
        <v>591</v>
      </c>
      <c r="G2216" s="64" t="n">
        <v>0</v>
      </c>
      <c r="H2216" s="62" t="s">
        <v>42</v>
      </c>
    </row>
    <row r="2217" customFormat="false" ht="15" hidden="false" customHeight="false" outlineLevel="0" collapsed="false">
      <c r="A2217" s="62" t="n">
        <v>0</v>
      </c>
      <c r="B2217" s="62" t="s">
        <v>386</v>
      </c>
      <c r="C2217" s="62" t="s">
        <v>60</v>
      </c>
      <c r="D2217" s="62" t="s">
        <v>382</v>
      </c>
      <c r="E2217" s="62" t="s">
        <v>382</v>
      </c>
      <c r="F2217" s="63" t="s">
        <v>591</v>
      </c>
      <c r="G2217" s="64" t="n">
        <v>0</v>
      </c>
      <c r="H2217" s="62" t="s">
        <v>42</v>
      </c>
    </row>
    <row r="2218" customFormat="false" ht="15" hidden="false" customHeight="false" outlineLevel="0" collapsed="false">
      <c r="A2218" s="62" t="n">
        <v>0</v>
      </c>
      <c r="B2218" s="62" t="s">
        <v>387</v>
      </c>
      <c r="C2218" s="62" t="s">
        <v>60</v>
      </c>
      <c r="D2218" s="62" t="s">
        <v>382</v>
      </c>
      <c r="E2218" s="62" t="s">
        <v>382</v>
      </c>
      <c r="F2218" s="63" t="s">
        <v>591</v>
      </c>
      <c r="G2218" s="64" t="n">
        <v>0</v>
      </c>
      <c r="H2218" s="62" t="s">
        <v>42</v>
      </c>
    </row>
    <row r="2219" customFormat="false" ht="15" hidden="false" customHeight="false" outlineLevel="0" collapsed="false">
      <c r="A2219" s="62" t="n">
        <v>0</v>
      </c>
      <c r="B2219" s="62" t="s">
        <v>388</v>
      </c>
      <c r="C2219" s="62" t="s">
        <v>60</v>
      </c>
      <c r="D2219" s="62" t="s">
        <v>382</v>
      </c>
      <c r="E2219" s="62" t="s">
        <v>382</v>
      </c>
      <c r="F2219" s="63" t="s">
        <v>591</v>
      </c>
      <c r="G2219" s="64" t="n">
        <v>0</v>
      </c>
      <c r="H2219" s="62" t="s">
        <v>42</v>
      </c>
    </row>
    <row r="2220" customFormat="false" ht="15" hidden="false" customHeight="false" outlineLevel="0" collapsed="false">
      <c r="A2220" s="62" t="n">
        <v>0</v>
      </c>
      <c r="B2220" s="62" t="s">
        <v>381</v>
      </c>
      <c r="C2220" s="62" t="s">
        <v>60</v>
      </c>
      <c r="D2220" s="62" t="s">
        <v>382</v>
      </c>
      <c r="E2220" s="62" t="s">
        <v>382</v>
      </c>
      <c r="F2220" s="63" t="s">
        <v>592</v>
      </c>
      <c r="G2220" s="64" t="n">
        <v>0</v>
      </c>
      <c r="H2220" s="62" t="s">
        <v>42</v>
      </c>
    </row>
    <row r="2221" customFormat="false" ht="15" hidden="false" customHeight="false" outlineLevel="0" collapsed="false">
      <c r="A2221" s="62" t="n">
        <v>0</v>
      </c>
      <c r="B2221" s="62" t="s">
        <v>383</v>
      </c>
      <c r="C2221" s="62" t="s">
        <v>60</v>
      </c>
      <c r="D2221" s="62" t="s">
        <v>382</v>
      </c>
      <c r="E2221" s="62" t="s">
        <v>382</v>
      </c>
      <c r="F2221" s="63" t="s">
        <v>592</v>
      </c>
      <c r="G2221" s="64" t="n">
        <v>0</v>
      </c>
      <c r="H2221" s="62" t="s">
        <v>42</v>
      </c>
    </row>
    <row r="2222" customFormat="false" ht="15" hidden="false" customHeight="false" outlineLevel="0" collapsed="false">
      <c r="A2222" s="62" t="n">
        <v>0</v>
      </c>
      <c r="B2222" s="62" t="s">
        <v>384</v>
      </c>
      <c r="C2222" s="62" t="s">
        <v>60</v>
      </c>
      <c r="D2222" s="62" t="s">
        <v>382</v>
      </c>
      <c r="E2222" s="62" t="s">
        <v>382</v>
      </c>
      <c r="F2222" s="63" t="s">
        <v>592</v>
      </c>
      <c r="G2222" s="64" t="n">
        <v>0</v>
      </c>
      <c r="H2222" s="62" t="s">
        <v>42</v>
      </c>
    </row>
    <row r="2223" customFormat="false" ht="15" hidden="false" customHeight="false" outlineLevel="0" collapsed="false">
      <c r="A2223" s="62" t="n">
        <v>0</v>
      </c>
      <c r="B2223" s="62" t="s">
        <v>385</v>
      </c>
      <c r="C2223" s="62" t="s">
        <v>60</v>
      </c>
      <c r="D2223" s="62" t="s">
        <v>382</v>
      </c>
      <c r="E2223" s="62" t="s">
        <v>382</v>
      </c>
      <c r="F2223" s="63" t="s">
        <v>592</v>
      </c>
      <c r="G2223" s="64" t="n">
        <v>0</v>
      </c>
      <c r="H2223" s="62" t="s">
        <v>42</v>
      </c>
    </row>
    <row r="2224" customFormat="false" ht="15" hidden="false" customHeight="false" outlineLevel="0" collapsed="false">
      <c r="A2224" s="62" t="n">
        <v>0</v>
      </c>
      <c r="B2224" s="62" t="s">
        <v>386</v>
      </c>
      <c r="C2224" s="62" t="s">
        <v>60</v>
      </c>
      <c r="D2224" s="62" t="s">
        <v>382</v>
      </c>
      <c r="E2224" s="62" t="s">
        <v>382</v>
      </c>
      <c r="F2224" s="63" t="s">
        <v>592</v>
      </c>
      <c r="G2224" s="64" t="n">
        <v>0</v>
      </c>
      <c r="H2224" s="62" t="s">
        <v>42</v>
      </c>
    </row>
    <row r="2225" customFormat="false" ht="15" hidden="false" customHeight="false" outlineLevel="0" collapsed="false">
      <c r="A2225" s="62" t="n">
        <v>0</v>
      </c>
      <c r="B2225" s="62" t="s">
        <v>387</v>
      </c>
      <c r="C2225" s="62" t="s">
        <v>60</v>
      </c>
      <c r="D2225" s="62" t="s">
        <v>382</v>
      </c>
      <c r="E2225" s="62" t="s">
        <v>382</v>
      </c>
      <c r="F2225" s="63" t="s">
        <v>592</v>
      </c>
      <c r="G2225" s="64" t="n">
        <v>0</v>
      </c>
      <c r="H2225" s="62" t="s">
        <v>42</v>
      </c>
    </row>
    <row r="2226" customFormat="false" ht="15" hidden="false" customHeight="false" outlineLevel="0" collapsed="false">
      <c r="A2226" s="62" t="n">
        <v>0</v>
      </c>
      <c r="B2226" s="62" t="s">
        <v>388</v>
      </c>
      <c r="C2226" s="62" t="s">
        <v>60</v>
      </c>
      <c r="D2226" s="62" t="s">
        <v>382</v>
      </c>
      <c r="E2226" s="62" t="s">
        <v>382</v>
      </c>
      <c r="F2226" s="63" t="s">
        <v>592</v>
      </c>
      <c r="G2226" s="64" t="n">
        <v>0</v>
      </c>
      <c r="H2226" s="62" t="s">
        <v>42</v>
      </c>
    </row>
    <row r="2227" customFormat="false" ht="15" hidden="false" customHeight="false" outlineLevel="0" collapsed="false">
      <c r="A2227" s="62" t="n">
        <v>0</v>
      </c>
      <c r="B2227" s="62" t="s">
        <v>381</v>
      </c>
      <c r="C2227" s="62" t="s">
        <v>60</v>
      </c>
      <c r="D2227" s="62" t="s">
        <v>382</v>
      </c>
      <c r="E2227" s="62" t="s">
        <v>382</v>
      </c>
      <c r="F2227" s="63" t="s">
        <v>593</v>
      </c>
      <c r="G2227" s="64" t="n">
        <v>400</v>
      </c>
      <c r="H2227" s="62" t="s">
        <v>42</v>
      </c>
    </row>
    <row r="2228" customFormat="false" ht="15" hidden="false" customHeight="false" outlineLevel="0" collapsed="false">
      <c r="A2228" s="62" t="n">
        <v>0</v>
      </c>
      <c r="B2228" s="62" t="s">
        <v>383</v>
      </c>
      <c r="C2228" s="62" t="s">
        <v>60</v>
      </c>
      <c r="D2228" s="62" t="s">
        <v>382</v>
      </c>
      <c r="E2228" s="62" t="s">
        <v>382</v>
      </c>
      <c r="F2228" s="63" t="s">
        <v>593</v>
      </c>
      <c r="G2228" s="64" t="n">
        <v>400</v>
      </c>
      <c r="H2228" s="62" t="s">
        <v>42</v>
      </c>
    </row>
    <row r="2229" customFormat="false" ht="15" hidden="false" customHeight="false" outlineLevel="0" collapsed="false">
      <c r="A2229" s="62" t="n">
        <v>0</v>
      </c>
      <c r="B2229" s="62" t="s">
        <v>384</v>
      </c>
      <c r="C2229" s="62" t="s">
        <v>60</v>
      </c>
      <c r="D2229" s="62" t="s">
        <v>382</v>
      </c>
      <c r="E2229" s="62" t="s">
        <v>382</v>
      </c>
      <c r="F2229" s="63" t="s">
        <v>593</v>
      </c>
      <c r="G2229" s="64" t="n">
        <v>400</v>
      </c>
      <c r="H2229" s="62" t="s">
        <v>42</v>
      </c>
    </row>
    <row r="2230" customFormat="false" ht="15" hidden="false" customHeight="false" outlineLevel="0" collapsed="false">
      <c r="A2230" s="62" t="n">
        <v>0</v>
      </c>
      <c r="B2230" s="62" t="s">
        <v>385</v>
      </c>
      <c r="C2230" s="62" t="s">
        <v>60</v>
      </c>
      <c r="D2230" s="62" t="s">
        <v>382</v>
      </c>
      <c r="E2230" s="62" t="s">
        <v>382</v>
      </c>
      <c r="F2230" s="63" t="s">
        <v>593</v>
      </c>
      <c r="G2230" s="64" t="n">
        <v>400</v>
      </c>
      <c r="H2230" s="62" t="s">
        <v>42</v>
      </c>
    </row>
    <row r="2231" customFormat="false" ht="15" hidden="false" customHeight="false" outlineLevel="0" collapsed="false">
      <c r="A2231" s="62" t="n">
        <v>0</v>
      </c>
      <c r="B2231" s="62" t="s">
        <v>386</v>
      </c>
      <c r="C2231" s="62" t="s">
        <v>60</v>
      </c>
      <c r="D2231" s="62" t="s">
        <v>382</v>
      </c>
      <c r="E2231" s="62" t="s">
        <v>382</v>
      </c>
      <c r="F2231" s="63" t="s">
        <v>593</v>
      </c>
      <c r="G2231" s="64" t="n">
        <v>400</v>
      </c>
      <c r="H2231" s="62" t="s">
        <v>42</v>
      </c>
    </row>
    <row r="2232" customFormat="false" ht="15" hidden="false" customHeight="false" outlineLevel="0" collapsed="false">
      <c r="A2232" s="62" t="n">
        <v>0</v>
      </c>
      <c r="B2232" s="62" t="s">
        <v>387</v>
      </c>
      <c r="C2232" s="62" t="s">
        <v>60</v>
      </c>
      <c r="D2232" s="62" t="s">
        <v>382</v>
      </c>
      <c r="E2232" s="62" t="s">
        <v>382</v>
      </c>
      <c r="F2232" s="63" t="s">
        <v>593</v>
      </c>
      <c r="G2232" s="64" t="n">
        <v>400</v>
      </c>
      <c r="H2232" s="62" t="s">
        <v>42</v>
      </c>
    </row>
    <row r="2233" customFormat="false" ht="15" hidden="false" customHeight="false" outlineLevel="0" collapsed="false">
      <c r="A2233" s="62" t="n">
        <v>0</v>
      </c>
      <c r="B2233" s="62" t="s">
        <v>388</v>
      </c>
      <c r="C2233" s="62" t="s">
        <v>60</v>
      </c>
      <c r="D2233" s="62" t="s">
        <v>382</v>
      </c>
      <c r="E2233" s="62" t="s">
        <v>382</v>
      </c>
      <c r="F2233" s="63" t="s">
        <v>593</v>
      </c>
      <c r="G2233" s="64" t="n">
        <v>400</v>
      </c>
      <c r="H2233" s="62" t="s">
        <v>42</v>
      </c>
    </row>
    <row r="2234" customFormat="false" ht="15" hidden="false" customHeight="false" outlineLevel="0" collapsed="false">
      <c r="A2234" s="62" t="n">
        <v>0</v>
      </c>
      <c r="B2234" s="62" t="s">
        <v>381</v>
      </c>
      <c r="C2234" s="62" t="s">
        <v>60</v>
      </c>
      <c r="D2234" s="62" t="s">
        <v>382</v>
      </c>
      <c r="E2234" s="62" t="s">
        <v>382</v>
      </c>
      <c r="F2234" s="63" t="s">
        <v>594</v>
      </c>
      <c r="G2234" s="64" t="n">
        <v>400</v>
      </c>
      <c r="H2234" s="62" t="s">
        <v>42</v>
      </c>
    </row>
    <row r="2235" customFormat="false" ht="15" hidden="false" customHeight="false" outlineLevel="0" collapsed="false">
      <c r="A2235" s="62" t="n">
        <v>0</v>
      </c>
      <c r="B2235" s="62" t="s">
        <v>383</v>
      </c>
      <c r="C2235" s="62" t="s">
        <v>60</v>
      </c>
      <c r="D2235" s="62" t="s">
        <v>382</v>
      </c>
      <c r="E2235" s="62" t="s">
        <v>382</v>
      </c>
      <c r="F2235" s="63" t="s">
        <v>594</v>
      </c>
      <c r="G2235" s="64" t="n">
        <v>400</v>
      </c>
      <c r="H2235" s="62" t="s">
        <v>42</v>
      </c>
    </row>
    <row r="2236" customFormat="false" ht="15" hidden="false" customHeight="false" outlineLevel="0" collapsed="false">
      <c r="A2236" s="62" t="n">
        <v>0</v>
      </c>
      <c r="B2236" s="62" t="s">
        <v>384</v>
      </c>
      <c r="C2236" s="62" t="s">
        <v>60</v>
      </c>
      <c r="D2236" s="62" t="s">
        <v>382</v>
      </c>
      <c r="E2236" s="62" t="s">
        <v>382</v>
      </c>
      <c r="F2236" s="63" t="s">
        <v>594</v>
      </c>
      <c r="G2236" s="64" t="n">
        <v>400</v>
      </c>
      <c r="H2236" s="62" t="s">
        <v>42</v>
      </c>
    </row>
    <row r="2237" customFormat="false" ht="15" hidden="false" customHeight="false" outlineLevel="0" collapsed="false">
      <c r="A2237" s="62" t="n">
        <v>0</v>
      </c>
      <c r="B2237" s="62" t="s">
        <v>385</v>
      </c>
      <c r="C2237" s="62" t="s">
        <v>60</v>
      </c>
      <c r="D2237" s="62" t="s">
        <v>382</v>
      </c>
      <c r="E2237" s="62" t="s">
        <v>382</v>
      </c>
      <c r="F2237" s="63" t="s">
        <v>594</v>
      </c>
      <c r="G2237" s="64" t="n">
        <v>400</v>
      </c>
      <c r="H2237" s="62" t="s">
        <v>42</v>
      </c>
    </row>
    <row r="2238" customFormat="false" ht="15" hidden="false" customHeight="false" outlineLevel="0" collapsed="false">
      <c r="A2238" s="62" t="n">
        <v>0</v>
      </c>
      <c r="B2238" s="62" t="s">
        <v>386</v>
      </c>
      <c r="C2238" s="62" t="s">
        <v>60</v>
      </c>
      <c r="D2238" s="62" t="s">
        <v>382</v>
      </c>
      <c r="E2238" s="62" t="s">
        <v>382</v>
      </c>
      <c r="F2238" s="63" t="s">
        <v>594</v>
      </c>
      <c r="G2238" s="64" t="n">
        <v>400</v>
      </c>
      <c r="H2238" s="62" t="s">
        <v>42</v>
      </c>
    </row>
    <row r="2239" customFormat="false" ht="15" hidden="false" customHeight="false" outlineLevel="0" collapsed="false">
      <c r="A2239" s="62" t="n">
        <v>0</v>
      </c>
      <c r="B2239" s="62" t="s">
        <v>387</v>
      </c>
      <c r="C2239" s="62" t="s">
        <v>60</v>
      </c>
      <c r="D2239" s="62" t="s">
        <v>382</v>
      </c>
      <c r="E2239" s="62" t="s">
        <v>382</v>
      </c>
      <c r="F2239" s="63" t="s">
        <v>594</v>
      </c>
      <c r="G2239" s="64" t="n">
        <v>400</v>
      </c>
      <c r="H2239" s="62" t="s">
        <v>42</v>
      </c>
    </row>
    <row r="2240" customFormat="false" ht="15" hidden="false" customHeight="false" outlineLevel="0" collapsed="false">
      <c r="A2240" s="62" t="n">
        <v>0</v>
      </c>
      <c r="B2240" s="62" t="s">
        <v>388</v>
      </c>
      <c r="C2240" s="62" t="s">
        <v>60</v>
      </c>
      <c r="D2240" s="62" t="s">
        <v>382</v>
      </c>
      <c r="E2240" s="62" t="s">
        <v>382</v>
      </c>
      <c r="F2240" s="63" t="s">
        <v>594</v>
      </c>
      <c r="G2240" s="64" t="n">
        <v>400</v>
      </c>
      <c r="H2240" s="62" t="s">
        <v>42</v>
      </c>
    </row>
    <row r="2241" customFormat="false" ht="15" hidden="false" customHeight="false" outlineLevel="0" collapsed="false">
      <c r="A2241" s="62" t="n">
        <v>0</v>
      </c>
      <c r="B2241" s="62" t="s">
        <v>381</v>
      </c>
      <c r="C2241" s="62" t="s">
        <v>60</v>
      </c>
      <c r="D2241" s="62" t="s">
        <v>382</v>
      </c>
      <c r="E2241" s="62" t="s">
        <v>382</v>
      </c>
      <c r="F2241" s="63" t="s">
        <v>595</v>
      </c>
      <c r="G2241" s="64" t="n">
        <v>0</v>
      </c>
      <c r="H2241" s="62" t="s">
        <v>42</v>
      </c>
    </row>
    <row r="2242" customFormat="false" ht="15" hidden="false" customHeight="false" outlineLevel="0" collapsed="false">
      <c r="A2242" s="62" t="n">
        <v>0</v>
      </c>
      <c r="B2242" s="62" t="s">
        <v>383</v>
      </c>
      <c r="C2242" s="62" t="s">
        <v>60</v>
      </c>
      <c r="D2242" s="62" t="s">
        <v>382</v>
      </c>
      <c r="E2242" s="62" t="s">
        <v>382</v>
      </c>
      <c r="F2242" s="63" t="s">
        <v>595</v>
      </c>
      <c r="G2242" s="64" t="n">
        <v>0</v>
      </c>
      <c r="H2242" s="62" t="s">
        <v>42</v>
      </c>
    </row>
    <row r="2243" customFormat="false" ht="15" hidden="false" customHeight="false" outlineLevel="0" collapsed="false">
      <c r="A2243" s="62" t="n">
        <v>0</v>
      </c>
      <c r="B2243" s="62" t="s">
        <v>384</v>
      </c>
      <c r="C2243" s="62" t="s">
        <v>60</v>
      </c>
      <c r="D2243" s="62" t="s">
        <v>382</v>
      </c>
      <c r="E2243" s="62" t="s">
        <v>382</v>
      </c>
      <c r="F2243" s="63" t="s">
        <v>595</v>
      </c>
      <c r="G2243" s="64" t="n">
        <v>0</v>
      </c>
      <c r="H2243" s="62" t="s">
        <v>42</v>
      </c>
    </row>
    <row r="2244" customFormat="false" ht="15" hidden="false" customHeight="false" outlineLevel="0" collapsed="false">
      <c r="A2244" s="62" t="n">
        <v>0</v>
      </c>
      <c r="B2244" s="62" t="s">
        <v>385</v>
      </c>
      <c r="C2244" s="62" t="s">
        <v>60</v>
      </c>
      <c r="D2244" s="62" t="s">
        <v>382</v>
      </c>
      <c r="E2244" s="62" t="s">
        <v>382</v>
      </c>
      <c r="F2244" s="63" t="s">
        <v>595</v>
      </c>
      <c r="G2244" s="64" t="n">
        <v>0</v>
      </c>
      <c r="H2244" s="62" t="s">
        <v>42</v>
      </c>
    </row>
    <row r="2245" customFormat="false" ht="15" hidden="false" customHeight="false" outlineLevel="0" collapsed="false">
      <c r="A2245" s="62" t="n">
        <v>0</v>
      </c>
      <c r="B2245" s="62" t="s">
        <v>386</v>
      </c>
      <c r="C2245" s="62" t="s">
        <v>60</v>
      </c>
      <c r="D2245" s="62" t="s">
        <v>382</v>
      </c>
      <c r="E2245" s="62" t="s">
        <v>382</v>
      </c>
      <c r="F2245" s="63" t="s">
        <v>595</v>
      </c>
      <c r="G2245" s="64" t="n">
        <v>0</v>
      </c>
      <c r="H2245" s="62" t="s">
        <v>42</v>
      </c>
    </row>
    <row r="2246" customFormat="false" ht="15" hidden="false" customHeight="false" outlineLevel="0" collapsed="false">
      <c r="A2246" s="62" t="n">
        <v>0</v>
      </c>
      <c r="B2246" s="62" t="s">
        <v>387</v>
      </c>
      <c r="C2246" s="62" t="s">
        <v>60</v>
      </c>
      <c r="D2246" s="62" t="s">
        <v>382</v>
      </c>
      <c r="E2246" s="62" t="s">
        <v>382</v>
      </c>
      <c r="F2246" s="63" t="s">
        <v>595</v>
      </c>
      <c r="G2246" s="64" t="n">
        <v>0</v>
      </c>
      <c r="H2246" s="62" t="s">
        <v>42</v>
      </c>
    </row>
    <row r="2247" customFormat="false" ht="15" hidden="false" customHeight="false" outlineLevel="0" collapsed="false">
      <c r="A2247" s="62" t="n">
        <v>0</v>
      </c>
      <c r="B2247" s="62" t="s">
        <v>388</v>
      </c>
      <c r="C2247" s="62" t="s">
        <v>60</v>
      </c>
      <c r="D2247" s="62" t="s">
        <v>382</v>
      </c>
      <c r="E2247" s="62" t="s">
        <v>382</v>
      </c>
      <c r="F2247" s="63" t="s">
        <v>595</v>
      </c>
      <c r="G2247" s="64" t="n">
        <v>0</v>
      </c>
      <c r="H2247" s="62" t="s">
        <v>42</v>
      </c>
    </row>
    <row r="2248" customFormat="false" ht="15" hidden="false" customHeight="false" outlineLevel="0" collapsed="false">
      <c r="A2248" s="62" t="n">
        <v>0</v>
      </c>
      <c r="B2248" s="62" t="s">
        <v>381</v>
      </c>
      <c r="C2248" s="62" t="s">
        <v>60</v>
      </c>
      <c r="D2248" s="62" t="s">
        <v>382</v>
      </c>
      <c r="E2248" s="62" t="s">
        <v>382</v>
      </c>
      <c r="F2248" s="63" t="s">
        <v>596</v>
      </c>
      <c r="G2248" s="64" t="n">
        <v>800</v>
      </c>
      <c r="H2248" s="62" t="s">
        <v>42</v>
      </c>
    </row>
    <row r="2249" customFormat="false" ht="15" hidden="false" customHeight="false" outlineLevel="0" collapsed="false">
      <c r="A2249" s="62" t="n">
        <v>0</v>
      </c>
      <c r="B2249" s="62" t="s">
        <v>383</v>
      </c>
      <c r="C2249" s="62" t="s">
        <v>60</v>
      </c>
      <c r="D2249" s="62" t="s">
        <v>382</v>
      </c>
      <c r="E2249" s="62" t="s">
        <v>382</v>
      </c>
      <c r="F2249" s="63" t="s">
        <v>596</v>
      </c>
      <c r="G2249" s="64" t="n">
        <v>800</v>
      </c>
      <c r="H2249" s="62" t="s">
        <v>42</v>
      </c>
    </row>
    <row r="2250" customFormat="false" ht="15" hidden="false" customHeight="false" outlineLevel="0" collapsed="false">
      <c r="A2250" s="62" t="n">
        <v>0</v>
      </c>
      <c r="B2250" s="62" t="s">
        <v>384</v>
      </c>
      <c r="C2250" s="62" t="s">
        <v>60</v>
      </c>
      <c r="D2250" s="62" t="s">
        <v>382</v>
      </c>
      <c r="E2250" s="62" t="s">
        <v>382</v>
      </c>
      <c r="F2250" s="63" t="s">
        <v>596</v>
      </c>
      <c r="G2250" s="64" t="n">
        <v>800</v>
      </c>
      <c r="H2250" s="62" t="s">
        <v>42</v>
      </c>
    </row>
    <row r="2251" customFormat="false" ht="15" hidden="false" customHeight="false" outlineLevel="0" collapsed="false">
      <c r="A2251" s="62" t="n">
        <v>0</v>
      </c>
      <c r="B2251" s="62" t="s">
        <v>385</v>
      </c>
      <c r="C2251" s="62" t="s">
        <v>60</v>
      </c>
      <c r="D2251" s="62" t="s">
        <v>382</v>
      </c>
      <c r="E2251" s="62" t="s">
        <v>382</v>
      </c>
      <c r="F2251" s="63" t="s">
        <v>596</v>
      </c>
      <c r="G2251" s="64" t="n">
        <v>800</v>
      </c>
      <c r="H2251" s="62" t="s">
        <v>42</v>
      </c>
    </row>
    <row r="2252" customFormat="false" ht="15" hidden="false" customHeight="false" outlineLevel="0" collapsed="false">
      <c r="A2252" s="62" t="n">
        <v>0</v>
      </c>
      <c r="B2252" s="62" t="s">
        <v>386</v>
      </c>
      <c r="C2252" s="62" t="s">
        <v>60</v>
      </c>
      <c r="D2252" s="62" t="s">
        <v>382</v>
      </c>
      <c r="E2252" s="62" t="s">
        <v>382</v>
      </c>
      <c r="F2252" s="63" t="s">
        <v>596</v>
      </c>
      <c r="G2252" s="64" t="n">
        <v>800</v>
      </c>
      <c r="H2252" s="62" t="s">
        <v>42</v>
      </c>
    </row>
    <row r="2253" customFormat="false" ht="15" hidden="false" customHeight="false" outlineLevel="0" collapsed="false">
      <c r="A2253" s="62" t="n">
        <v>0</v>
      </c>
      <c r="B2253" s="62" t="s">
        <v>387</v>
      </c>
      <c r="C2253" s="62" t="s">
        <v>60</v>
      </c>
      <c r="D2253" s="62" t="s">
        <v>382</v>
      </c>
      <c r="E2253" s="62" t="s">
        <v>382</v>
      </c>
      <c r="F2253" s="63" t="s">
        <v>596</v>
      </c>
      <c r="G2253" s="64" t="n">
        <v>800</v>
      </c>
      <c r="H2253" s="62" t="s">
        <v>42</v>
      </c>
    </row>
    <row r="2254" customFormat="false" ht="15" hidden="false" customHeight="false" outlineLevel="0" collapsed="false">
      <c r="A2254" s="62" t="n">
        <v>0</v>
      </c>
      <c r="B2254" s="62" t="s">
        <v>388</v>
      </c>
      <c r="C2254" s="62" t="s">
        <v>60</v>
      </c>
      <c r="D2254" s="62" t="s">
        <v>382</v>
      </c>
      <c r="E2254" s="62" t="s">
        <v>382</v>
      </c>
      <c r="F2254" s="63" t="s">
        <v>596</v>
      </c>
      <c r="G2254" s="64" t="n">
        <v>800</v>
      </c>
      <c r="H2254" s="62" t="s">
        <v>42</v>
      </c>
    </row>
    <row r="2255" customFormat="false" ht="15" hidden="false" customHeight="false" outlineLevel="0" collapsed="false">
      <c r="A2255" s="62" t="n">
        <v>0</v>
      </c>
      <c r="B2255" s="62" t="s">
        <v>381</v>
      </c>
      <c r="C2255" s="62" t="s">
        <v>60</v>
      </c>
      <c r="D2255" s="62" t="s">
        <v>382</v>
      </c>
      <c r="E2255" s="62" t="s">
        <v>382</v>
      </c>
      <c r="F2255" s="63" t="s">
        <v>597</v>
      </c>
      <c r="G2255" s="64" t="n">
        <v>-515</v>
      </c>
      <c r="H2255" s="62" t="s">
        <v>42</v>
      </c>
    </row>
    <row r="2256" customFormat="false" ht="15" hidden="false" customHeight="false" outlineLevel="0" collapsed="false">
      <c r="A2256" s="62" t="n">
        <v>0</v>
      </c>
      <c r="B2256" s="62" t="s">
        <v>383</v>
      </c>
      <c r="C2256" s="62" t="s">
        <v>60</v>
      </c>
      <c r="D2256" s="62" t="s">
        <v>382</v>
      </c>
      <c r="E2256" s="62" t="s">
        <v>382</v>
      </c>
      <c r="F2256" s="63" t="s">
        <v>597</v>
      </c>
      <c r="G2256" s="64" t="n">
        <v>-515</v>
      </c>
      <c r="H2256" s="62" t="s">
        <v>42</v>
      </c>
    </row>
    <row r="2257" customFormat="false" ht="15" hidden="false" customHeight="false" outlineLevel="0" collapsed="false">
      <c r="A2257" s="62" t="n">
        <v>0</v>
      </c>
      <c r="B2257" s="62" t="s">
        <v>384</v>
      </c>
      <c r="C2257" s="62" t="s">
        <v>60</v>
      </c>
      <c r="D2257" s="62" t="s">
        <v>382</v>
      </c>
      <c r="E2257" s="62" t="s">
        <v>382</v>
      </c>
      <c r="F2257" s="63" t="s">
        <v>597</v>
      </c>
      <c r="G2257" s="64" t="n">
        <v>-515</v>
      </c>
      <c r="H2257" s="62" t="s">
        <v>42</v>
      </c>
    </row>
    <row r="2258" customFormat="false" ht="15" hidden="false" customHeight="false" outlineLevel="0" collapsed="false">
      <c r="A2258" s="62" t="n">
        <v>0</v>
      </c>
      <c r="B2258" s="62" t="s">
        <v>385</v>
      </c>
      <c r="C2258" s="62" t="s">
        <v>60</v>
      </c>
      <c r="D2258" s="62" t="s">
        <v>382</v>
      </c>
      <c r="E2258" s="62" t="s">
        <v>382</v>
      </c>
      <c r="F2258" s="63" t="s">
        <v>597</v>
      </c>
      <c r="G2258" s="64" t="n">
        <v>-515</v>
      </c>
      <c r="H2258" s="62" t="s">
        <v>42</v>
      </c>
    </row>
    <row r="2259" customFormat="false" ht="15" hidden="false" customHeight="false" outlineLevel="0" collapsed="false">
      <c r="A2259" s="62" t="n">
        <v>0</v>
      </c>
      <c r="B2259" s="62" t="s">
        <v>386</v>
      </c>
      <c r="C2259" s="62" t="s">
        <v>60</v>
      </c>
      <c r="D2259" s="62" t="s">
        <v>382</v>
      </c>
      <c r="E2259" s="62" t="s">
        <v>382</v>
      </c>
      <c r="F2259" s="63" t="s">
        <v>597</v>
      </c>
      <c r="G2259" s="64" t="n">
        <v>-515</v>
      </c>
      <c r="H2259" s="62" t="s">
        <v>42</v>
      </c>
    </row>
    <row r="2260" customFormat="false" ht="15" hidden="false" customHeight="false" outlineLevel="0" collapsed="false">
      <c r="A2260" s="62" t="n">
        <v>0</v>
      </c>
      <c r="B2260" s="62" t="s">
        <v>387</v>
      </c>
      <c r="C2260" s="62" t="s">
        <v>60</v>
      </c>
      <c r="D2260" s="62" t="s">
        <v>382</v>
      </c>
      <c r="E2260" s="62" t="s">
        <v>382</v>
      </c>
      <c r="F2260" s="63" t="s">
        <v>597</v>
      </c>
      <c r="G2260" s="64" t="n">
        <v>-515</v>
      </c>
      <c r="H2260" s="62" t="s">
        <v>42</v>
      </c>
    </row>
    <row r="2261" customFormat="false" ht="15" hidden="false" customHeight="false" outlineLevel="0" collapsed="false">
      <c r="A2261" s="62" t="n">
        <v>0</v>
      </c>
      <c r="B2261" s="62" t="s">
        <v>388</v>
      </c>
      <c r="C2261" s="62" t="s">
        <v>60</v>
      </c>
      <c r="D2261" s="62" t="s">
        <v>382</v>
      </c>
      <c r="E2261" s="62" t="s">
        <v>382</v>
      </c>
      <c r="F2261" s="63" t="s">
        <v>597</v>
      </c>
      <c r="G2261" s="64" t="n">
        <v>-515</v>
      </c>
      <c r="H2261" s="62" t="s">
        <v>42</v>
      </c>
    </row>
    <row r="2262" customFormat="false" ht="15" hidden="false" customHeight="false" outlineLevel="0" collapsed="false">
      <c r="A2262" s="62" t="n">
        <v>0</v>
      </c>
      <c r="B2262" s="62" t="s">
        <v>381</v>
      </c>
      <c r="C2262" s="62" t="s">
        <v>60</v>
      </c>
      <c r="D2262" s="62" t="s">
        <v>382</v>
      </c>
      <c r="E2262" s="62" t="s">
        <v>382</v>
      </c>
      <c r="F2262" s="63" t="s">
        <v>598</v>
      </c>
      <c r="G2262" s="64" t="n">
        <v>0</v>
      </c>
      <c r="H2262" s="62" t="s">
        <v>42</v>
      </c>
    </row>
    <row r="2263" customFormat="false" ht="15" hidden="false" customHeight="false" outlineLevel="0" collapsed="false">
      <c r="A2263" s="62" t="n">
        <v>0</v>
      </c>
      <c r="B2263" s="62" t="s">
        <v>383</v>
      </c>
      <c r="C2263" s="62" t="s">
        <v>60</v>
      </c>
      <c r="D2263" s="62" t="s">
        <v>382</v>
      </c>
      <c r="E2263" s="62" t="s">
        <v>382</v>
      </c>
      <c r="F2263" s="63" t="s">
        <v>598</v>
      </c>
      <c r="G2263" s="64" t="n">
        <v>0</v>
      </c>
      <c r="H2263" s="62" t="s">
        <v>42</v>
      </c>
    </row>
    <row r="2264" customFormat="false" ht="15" hidden="false" customHeight="false" outlineLevel="0" collapsed="false">
      <c r="A2264" s="62" t="n">
        <v>0</v>
      </c>
      <c r="B2264" s="62" t="s">
        <v>384</v>
      </c>
      <c r="C2264" s="62" t="s">
        <v>60</v>
      </c>
      <c r="D2264" s="62" t="s">
        <v>382</v>
      </c>
      <c r="E2264" s="62" t="s">
        <v>382</v>
      </c>
      <c r="F2264" s="63" t="s">
        <v>598</v>
      </c>
      <c r="G2264" s="64" t="n">
        <v>0</v>
      </c>
      <c r="H2264" s="62" t="s">
        <v>42</v>
      </c>
    </row>
    <row r="2265" customFormat="false" ht="15" hidden="false" customHeight="false" outlineLevel="0" collapsed="false">
      <c r="A2265" s="62" t="n">
        <v>0</v>
      </c>
      <c r="B2265" s="62" t="s">
        <v>385</v>
      </c>
      <c r="C2265" s="62" t="s">
        <v>60</v>
      </c>
      <c r="D2265" s="62" t="s">
        <v>382</v>
      </c>
      <c r="E2265" s="62" t="s">
        <v>382</v>
      </c>
      <c r="F2265" s="63" t="s">
        <v>598</v>
      </c>
      <c r="G2265" s="64" t="n">
        <v>0</v>
      </c>
      <c r="H2265" s="62" t="s">
        <v>42</v>
      </c>
    </row>
    <row r="2266" customFormat="false" ht="15" hidden="false" customHeight="false" outlineLevel="0" collapsed="false">
      <c r="A2266" s="62" t="n">
        <v>0</v>
      </c>
      <c r="B2266" s="62" t="s">
        <v>386</v>
      </c>
      <c r="C2266" s="62" t="s">
        <v>60</v>
      </c>
      <c r="D2266" s="62" t="s">
        <v>382</v>
      </c>
      <c r="E2266" s="62" t="s">
        <v>382</v>
      </c>
      <c r="F2266" s="63" t="s">
        <v>598</v>
      </c>
      <c r="G2266" s="64" t="n">
        <v>0</v>
      </c>
      <c r="H2266" s="62" t="s">
        <v>42</v>
      </c>
    </row>
    <row r="2267" customFormat="false" ht="15" hidden="false" customHeight="false" outlineLevel="0" collapsed="false">
      <c r="A2267" s="62" t="n">
        <v>0</v>
      </c>
      <c r="B2267" s="62" t="s">
        <v>387</v>
      </c>
      <c r="C2267" s="62" t="s">
        <v>60</v>
      </c>
      <c r="D2267" s="62" t="s">
        <v>382</v>
      </c>
      <c r="E2267" s="62" t="s">
        <v>382</v>
      </c>
      <c r="F2267" s="63" t="s">
        <v>598</v>
      </c>
      <c r="G2267" s="64" t="n">
        <v>0</v>
      </c>
      <c r="H2267" s="62" t="s">
        <v>42</v>
      </c>
    </row>
    <row r="2268" customFormat="false" ht="15" hidden="false" customHeight="false" outlineLevel="0" collapsed="false">
      <c r="A2268" s="62" t="n">
        <v>0</v>
      </c>
      <c r="B2268" s="62" t="s">
        <v>388</v>
      </c>
      <c r="C2268" s="62" t="s">
        <v>60</v>
      </c>
      <c r="D2268" s="62" t="s">
        <v>382</v>
      </c>
      <c r="E2268" s="62" t="s">
        <v>382</v>
      </c>
      <c r="F2268" s="63" t="s">
        <v>598</v>
      </c>
      <c r="G2268" s="64" t="n">
        <v>0</v>
      </c>
      <c r="H2268" s="62" t="s">
        <v>42</v>
      </c>
    </row>
    <row r="2269" customFormat="false" ht="15" hidden="false" customHeight="false" outlineLevel="0" collapsed="false">
      <c r="A2269" s="62" t="n">
        <v>0</v>
      </c>
      <c r="B2269" s="62" t="s">
        <v>381</v>
      </c>
      <c r="C2269" s="62" t="s">
        <v>60</v>
      </c>
      <c r="D2269" s="62" t="s">
        <v>382</v>
      </c>
      <c r="E2269" s="62" t="s">
        <v>382</v>
      </c>
      <c r="F2269" s="63" t="s">
        <v>599</v>
      </c>
      <c r="G2269" s="64" t="n">
        <v>-285</v>
      </c>
      <c r="H2269" s="62" t="s">
        <v>42</v>
      </c>
    </row>
    <row r="2270" customFormat="false" ht="15" hidden="false" customHeight="false" outlineLevel="0" collapsed="false">
      <c r="A2270" s="62" t="n">
        <v>0</v>
      </c>
      <c r="B2270" s="62" t="s">
        <v>383</v>
      </c>
      <c r="C2270" s="62" t="s">
        <v>60</v>
      </c>
      <c r="D2270" s="62" t="s">
        <v>382</v>
      </c>
      <c r="E2270" s="62" t="s">
        <v>382</v>
      </c>
      <c r="F2270" s="63" t="s">
        <v>599</v>
      </c>
      <c r="G2270" s="64" t="n">
        <v>-285</v>
      </c>
      <c r="H2270" s="62" t="s">
        <v>42</v>
      </c>
    </row>
    <row r="2271" customFormat="false" ht="15" hidden="false" customHeight="false" outlineLevel="0" collapsed="false">
      <c r="A2271" s="62" t="n">
        <v>0</v>
      </c>
      <c r="B2271" s="62" t="s">
        <v>384</v>
      </c>
      <c r="C2271" s="62" t="s">
        <v>60</v>
      </c>
      <c r="D2271" s="62" t="s">
        <v>382</v>
      </c>
      <c r="E2271" s="62" t="s">
        <v>382</v>
      </c>
      <c r="F2271" s="63" t="s">
        <v>599</v>
      </c>
      <c r="G2271" s="64" t="n">
        <v>-285</v>
      </c>
      <c r="H2271" s="62" t="s">
        <v>42</v>
      </c>
    </row>
    <row r="2272" customFormat="false" ht="15" hidden="false" customHeight="false" outlineLevel="0" collapsed="false">
      <c r="A2272" s="62" t="n">
        <v>0</v>
      </c>
      <c r="B2272" s="62" t="s">
        <v>385</v>
      </c>
      <c r="C2272" s="62" t="s">
        <v>60</v>
      </c>
      <c r="D2272" s="62" t="s">
        <v>382</v>
      </c>
      <c r="E2272" s="62" t="s">
        <v>382</v>
      </c>
      <c r="F2272" s="63" t="s">
        <v>599</v>
      </c>
      <c r="G2272" s="64" t="n">
        <v>-285</v>
      </c>
      <c r="H2272" s="62" t="s">
        <v>42</v>
      </c>
    </row>
    <row r="2273" customFormat="false" ht="15" hidden="false" customHeight="false" outlineLevel="0" collapsed="false">
      <c r="A2273" s="62" t="n">
        <v>0</v>
      </c>
      <c r="B2273" s="62" t="s">
        <v>386</v>
      </c>
      <c r="C2273" s="62" t="s">
        <v>60</v>
      </c>
      <c r="D2273" s="62" t="s">
        <v>382</v>
      </c>
      <c r="E2273" s="62" t="s">
        <v>382</v>
      </c>
      <c r="F2273" s="63" t="s">
        <v>599</v>
      </c>
      <c r="G2273" s="64" t="n">
        <v>-285</v>
      </c>
      <c r="H2273" s="62" t="s">
        <v>42</v>
      </c>
    </row>
    <row r="2274" customFormat="false" ht="15" hidden="false" customHeight="false" outlineLevel="0" collapsed="false">
      <c r="A2274" s="62" t="n">
        <v>0</v>
      </c>
      <c r="B2274" s="62" t="s">
        <v>387</v>
      </c>
      <c r="C2274" s="62" t="s">
        <v>60</v>
      </c>
      <c r="D2274" s="62" t="s">
        <v>382</v>
      </c>
      <c r="E2274" s="62" t="s">
        <v>382</v>
      </c>
      <c r="F2274" s="63" t="s">
        <v>599</v>
      </c>
      <c r="G2274" s="64" t="n">
        <v>-285</v>
      </c>
      <c r="H2274" s="62" t="s">
        <v>42</v>
      </c>
    </row>
    <row r="2275" customFormat="false" ht="15" hidden="false" customHeight="false" outlineLevel="0" collapsed="false">
      <c r="A2275" s="62" t="n">
        <v>0</v>
      </c>
      <c r="B2275" s="62" t="s">
        <v>388</v>
      </c>
      <c r="C2275" s="62" t="s">
        <v>60</v>
      </c>
      <c r="D2275" s="62" t="s">
        <v>382</v>
      </c>
      <c r="E2275" s="62" t="s">
        <v>382</v>
      </c>
      <c r="F2275" s="63" t="s">
        <v>599</v>
      </c>
      <c r="G2275" s="64" t="n">
        <v>-285</v>
      </c>
      <c r="H2275" s="62" t="s">
        <v>42</v>
      </c>
    </row>
    <row r="2276" customFormat="false" ht="15" hidden="false" customHeight="false" outlineLevel="0" collapsed="false">
      <c r="A2276" s="62" t="n">
        <v>0</v>
      </c>
      <c r="B2276" s="62" t="s">
        <v>381</v>
      </c>
      <c r="C2276" s="62" t="s">
        <v>60</v>
      </c>
      <c r="D2276" s="62" t="s">
        <v>382</v>
      </c>
      <c r="E2276" s="62" t="s">
        <v>382</v>
      </c>
      <c r="F2276" s="63" t="s">
        <v>600</v>
      </c>
      <c r="G2276" s="64" t="n">
        <v>505</v>
      </c>
      <c r="H2276" s="62" t="s">
        <v>42</v>
      </c>
    </row>
    <row r="2277" customFormat="false" ht="15" hidden="false" customHeight="false" outlineLevel="0" collapsed="false">
      <c r="A2277" s="62" t="n">
        <v>0</v>
      </c>
      <c r="B2277" s="62" t="s">
        <v>383</v>
      </c>
      <c r="C2277" s="62" t="s">
        <v>60</v>
      </c>
      <c r="D2277" s="62" t="s">
        <v>382</v>
      </c>
      <c r="E2277" s="62" t="s">
        <v>382</v>
      </c>
      <c r="F2277" s="63" t="s">
        <v>600</v>
      </c>
      <c r="G2277" s="64" t="n">
        <v>505</v>
      </c>
      <c r="H2277" s="62" t="s">
        <v>42</v>
      </c>
    </row>
    <row r="2278" customFormat="false" ht="15" hidden="false" customHeight="false" outlineLevel="0" collapsed="false">
      <c r="A2278" s="62" t="n">
        <v>0</v>
      </c>
      <c r="B2278" s="62" t="s">
        <v>384</v>
      </c>
      <c r="C2278" s="62" t="s">
        <v>60</v>
      </c>
      <c r="D2278" s="62" t="s">
        <v>382</v>
      </c>
      <c r="E2278" s="62" t="s">
        <v>382</v>
      </c>
      <c r="F2278" s="63" t="s">
        <v>600</v>
      </c>
      <c r="G2278" s="64" t="n">
        <v>505</v>
      </c>
      <c r="H2278" s="62" t="s">
        <v>42</v>
      </c>
    </row>
    <row r="2279" customFormat="false" ht="15" hidden="false" customHeight="false" outlineLevel="0" collapsed="false">
      <c r="A2279" s="62" t="n">
        <v>0</v>
      </c>
      <c r="B2279" s="62" t="s">
        <v>385</v>
      </c>
      <c r="C2279" s="62" t="s">
        <v>60</v>
      </c>
      <c r="D2279" s="62" t="s">
        <v>382</v>
      </c>
      <c r="E2279" s="62" t="s">
        <v>382</v>
      </c>
      <c r="F2279" s="63" t="s">
        <v>600</v>
      </c>
      <c r="G2279" s="64" t="n">
        <v>505</v>
      </c>
      <c r="H2279" s="62" t="s">
        <v>42</v>
      </c>
    </row>
    <row r="2280" customFormat="false" ht="15" hidden="false" customHeight="false" outlineLevel="0" collapsed="false">
      <c r="A2280" s="62" t="n">
        <v>0</v>
      </c>
      <c r="B2280" s="62" t="s">
        <v>386</v>
      </c>
      <c r="C2280" s="62" t="s">
        <v>60</v>
      </c>
      <c r="D2280" s="62" t="s">
        <v>382</v>
      </c>
      <c r="E2280" s="62" t="s">
        <v>382</v>
      </c>
      <c r="F2280" s="63" t="s">
        <v>600</v>
      </c>
      <c r="G2280" s="64" t="n">
        <v>505</v>
      </c>
      <c r="H2280" s="62" t="s">
        <v>42</v>
      </c>
    </row>
    <row r="2281" customFormat="false" ht="15" hidden="false" customHeight="false" outlineLevel="0" collapsed="false">
      <c r="A2281" s="62" t="n">
        <v>0</v>
      </c>
      <c r="B2281" s="62" t="s">
        <v>387</v>
      </c>
      <c r="C2281" s="62" t="s">
        <v>60</v>
      </c>
      <c r="D2281" s="62" t="s">
        <v>382</v>
      </c>
      <c r="E2281" s="62" t="s">
        <v>382</v>
      </c>
      <c r="F2281" s="63" t="s">
        <v>600</v>
      </c>
      <c r="G2281" s="64" t="n">
        <v>505</v>
      </c>
      <c r="H2281" s="62" t="s">
        <v>42</v>
      </c>
    </row>
    <row r="2282" customFormat="false" ht="15" hidden="false" customHeight="false" outlineLevel="0" collapsed="false">
      <c r="A2282" s="62" t="n">
        <v>0</v>
      </c>
      <c r="B2282" s="62" t="s">
        <v>388</v>
      </c>
      <c r="C2282" s="62" t="s">
        <v>60</v>
      </c>
      <c r="D2282" s="62" t="s">
        <v>382</v>
      </c>
      <c r="E2282" s="62" t="s">
        <v>382</v>
      </c>
      <c r="F2282" s="63" t="s">
        <v>600</v>
      </c>
      <c r="G2282" s="64" t="n">
        <v>505</v>
      </c>
      <c r="H2282" s="62" t="s">
        <v>42</v>
      </c>
    </row>
    <row r="2283" customFormat="false" ht="15" hidden="false" customHeight="false" outlineLevel="0" collapsed="false">
      <c r="A2283" s="62" t="n">
        <v>0</v>
      </c>
      <c r="B2283" s="62" t="s">
        <v>381</v>
      </c>
      <c r="C2283" s="62" t="s">
        <v>60</v>
      </c>
      <c r="D2283" s="62" t="s">
        <v>382</v>
      </c>
      <c r="E2283" s="62" t="s">
        <v>382</v>
      </c>
      <c r="F2283" s="63" t="s">
        <v>601</v>
      </c>
      <c r="G2283" s="64" t="n">
        <v>285</v>
      </c>
      <c r="H2283" s="62" t="s">
        <v>42</v>
      </c>
    </row>
    <row r="2284" customFormat="false" ht="15" hidden="false" customHeight="false" outlineLevel="0" collapsed="false">
      <c r="A2284" s="62" t="n">
        <v>0</v>
      </c>
      <c r="B2284" s="62" t="s">
        <v>383</v>
      </c>
      <c r="C2284" s="62" t="s">
        <v>60</v>
      </c>
      <c r="D2284" s="62" t="s">
        <v>382</v>
      </c>
      <c r="E2284" s="62" t="s">
        <v>382</v>
      </c>
      <c r="F2284" s="63" t="s">
        <v>601</v>
      </c>
      <c r="G2284" s="64" t="n">
        <v>285</v>
      </c>
      <c r="H2284" s="62" t="s">
        <v>42</v>
      </c>
    </row>
    <row r="2285" customFormat="false" ht="15" hidden="false" customHeight="false" outlineLevel="0" collapsed="false">
      <c r="A2285" s="62" t="n">
        <v>0</v>
      </c>
      <c r="B2285" s="62" t="s">
        <v>384</v>
      </c>
      <c r="C2285" s="62" t="s">
        <v>60</v>
      </c>
      <c r="D2285" s="62" t="s">
        <v>382</v>
      </c>
      <c r="E2285" s="62" t="s">
        <v>382</v>
      </c>
      <c r="F2285" s="63" t="s">
        <v>601</v>
      </c>
      <c r="G2285" s="64" t="n">
        <v>285</v>
      </c>
      <c r="H2285" s="62" t="s">
        <v>42</v>
      </c>
    </row>
    <row r="2286" customFormat="false" ht="15" hidden="false" customHeight="false" outlineLevel="0" collapsed="false">
      <c r="A2286" s="62" t="n">
        <v>0</v>
      </c>
      <c r="B2286" s="62" t="s">
        <v>385</v>
      </c>
      <c r="C2286" s="62" t="s">
        <v>60</v>
      </c>
      <c r="D2286" s="62" t="s">
        <v>382</v>
      </c>
      <c r="E2286" s="62" t="s">
        <v>382</v>
      </c>
      <c r="F2286" s="63" t="s">
        <v>601</v>
      </c>
      <c r="G2286" s="64" t="n">
        <v>285</v>
      </c>
      <c r="H2286" s="62" t="s">
        <v>42</v>
      </c>
    </row>
    <row r="2287" customFormat="false" ht="15" hidden="false" customHeight="false" outlineLevel="0" collapsed="false">
      <c r="A2287" s="62" t="n">
        <v>0</v>
      </c>
      <c r="B2287" s="62" t="s">
        <v>386</v>
      </c>
      <c r="C2287" s="62" t="s">
        <v>60</v>
      </c>
      <c r="D2287" s="62" t="s">
        <v>382</v>
      </c>
      <c r="E2287" s="62" t="s">
        <v>382</v>
      </c>
      <c r="F2287" s="63" t="s">
        <v>601</v>
      </c>
      <c r="G2287" s="64" t="n">
        <v>285</v>
      </c>
      <c r="H2287" s="62" t="s">
        <v>42</v>
      </c>
    </row>
    <row r="2288" customFormat="false" ht="15" hidden="false" customHeight="false" outlineLevel="0" collapsed="false">
      <c r="A2288" s="62" t="n">
        <v>0</v>
      </c>
      <c r="B2288" s="62" t="s">
        <v>387</v>
      </c>
      <c r="C2288" s="62" t="s">
        <v>60</v>
      </c>
      <c r="D2288" s="62" t="s">
        <v>382</v>
      </c>
      <c r="E2288" s="62" t="s">
        <v>382</v>
      </c>
      <c r="F2288" s="63" t="s">
        <v>601</v>
      </c>
      <c r="G2288" s="64" t="n">
        <v>285</v>
      </c>
      <c r="H2288" s="62" t="s">
        <v>42</v>
      </c>
    </row>
    <row r="2289" customFormat="false" ht="15" hidden="false" customHeight="false" outlineLevel="0" collapsed="false">
      <c r="A2289" s="62" t="n">
        <v>0</v>
      </c>
      <c r="B2289" s="62" t="s">
        <v>388</v>
      </c>
      <c r="C2289" s="62" t="s">
        <v>60</v>
      </c>
      <c r="D2289" s="62" t="s">
        <v>382</v>
      </c>
      <c r="E2289" s="62" t="s">
        <v>382</v>
      </c>
      <c r="F2289" s="63" t="s">
        <v>601</v>
      </c>
      <c r="G2289" s="64" t="n">
        <v>285</v>
      </c>
      <c r="H2289" s="62" t="s">
        <v>42</v>
      </c>
    </row>
    <row r="2290" customFormat="false" ht="15" hidden="false" customHeight="false" outlineLevel="0" collapsed="false">
      <c r="A2290" s="62" t="n">
        <v>0</v>
      </c>
      <c r="B2290" s="62" t="s">
        <v>381</v>
      </c>
      <c r="C2290" s="62" t="s">
        <v>60</v>
      </c>
      <c r="D2290" s="62" t="s">
        <v>382</v>
      </c>
      <c r="E2290" s="62" t="s">
        <v>382</v>
      </c>
      <c r="F2290" s="63" t="s">
        <v>602</v>
      </c>
      <c r="G2290" s="64" t="n">
        <v>790</v>
      </c>
      <c r="H2290" s="62" t="s">
        <v>42</v>
      </c>
    </row>
    <row r="2291" customFormat="false" ht="15" hidden="false" customHeight="false" outlineLevel="0" collapsed="false">
      <c r="A2291" s="62" t="n">
        <v>0</v>
      </c>
      <c r="B2291" s="62" t="s">
        <v>383</v>
      </c>
      <c r="C2291" s="62" t="s">
        <v>60</v>
      </c>
      <c r="D2291" s="62" t="s">
        <v>382</v>
      </c>
      <c r="E2291" s="62" t="s">
        <v>382</v>
      </c>
      <c r="F2291" s="63" t="s">
        <v>602</v>
      </c>
      <c r="G2291" s="64" t="n">
        <v>790</v>
      </c>
      <c r="H2291" s="62" t="s">
        <v>42</v>
      </c>
    </row>
    <row r="2292" customFormat="false" ht="15" hidden="false" customHeight="false" outlineLevel="0" collapsed="false">
      <c r="A2292" s="62" t="n">
        <v>0</v>
      </c>
      <c r="B2292" s="62" t="s">
        <v>384</v>
      </c>
      <c r="C2292" s="62" t="s">
        <v>60</v>
      </c>
      <c r="D2292" s="62" t="s">
        <v>382</v>
      </c>
      <c r="E2292" s="62" t="s">
        <v>382</v>
      </c>
      <c r="F2292" s="63" t="s">
        <v>602</v>
      </c>
      <c r="G2292" s="64" t="n">
        <v>790</v>
      </c>
      <c r="H2292" s="62" t="s">
        <v>42</v>
      </c>
    </row>
    <row r="2293" customFormat="false" ht="15" hidden="false" customHeight="false" outlineLevel="0" collapsed="false">
      <c r="A2293" s="62" t="n">
        <v>0</v>
      </c>
      <c r="B2293" s="62" t="s">
        <v>385</v>
      </c>
      <c r="C2293" s="62" t="s">
        <v>60</v>
      </c>
      <c r="D2293" s="62" t="s">
        <v>382</v>
      </c>
      <c r="E2293" s="62" t="s">
        <v>382</v>
      </c>
      <c r="F2293" s="63" t="s">
        <v>602</v>
      </c>
      <c r="G2293" s="64" t="n">
        <v>790</v>
      </c>
      <c r="H2293" s="62" t="s">
        <v>42</v>
      </c>
    </row>
    <row r="2294" customFormat="false" ht="15" hidden="false" customHeight="false" outlineLevel="0" collapsed="false">
      <c r="A2294" s="62" t="n">
        <v>0</v>
      </c>
      <c r="B2294" s="62" t="s">
        <v>386</v>
      </c>
      <c r="C2294" s="62" t="s">
        <v>60</v>
      </c>
      <c r="D2294" s="62" t="s">
        <v>382</v>
      </c>
      <c r="E2294" s="62" t="s">
        <v>382</v>
      </c>
      <c r="F2294" s="63" t="s">
        <v>602</v>
      </c>
      <c r="G2294" s="64" t="n">
        <v>790</v>
      </c>
      <c r="H2294" s="62" t="s">
        <v>42</v>
      </c>
    </row>
    <row r="2295" customFormat="false" ht="15" hidden="false" customHeight="false" outlineLevel="0" collapsed="false">
      <c r="A2295" s="62" t="n">
        <v>0</v>
      </c>
      <c r="B2295" s="62" t="s">
        <v>387</v>
      </c>
      <c r="C2295" s="62" t="s">
        <v>60</v>
      </c>
      <c r="D2295" s="62" t="s">
        <v>382</v>
      </c>
      <c r="E2295" s="62" t="s">
        <v>382</v>
      </c>
      <c r="F2295" s="63" t="s">
        <v>602</v>
      </c>
      <c r="G2295" s="64" t="n">
        <v>790</v>
      </c>
      <c r="H2295" s="62" t="s">
        <v>42</v>
      </c>
    </row>
    <row r="2296" customFormat="false" ht="15" hidden="false" customHeight="false" outlineLevel="0" collapsed="false">
      <c r="A2296" s="62" t="n">
        <v>0</v>
      </c>
      <c r="B2296" s="62" t="s">
        <v>388</v>
      </c>
      <c r="C2296" s="62" t="s">
        <v>60</v>
      </c>
      <c r="D2296" s="62" t="s">
        <v>382</v>
      </c>
      <c r="E2296" s="62" t="s">
        <v>382</v>
      </c>
      <c r="F2296" s="63" t="s">
        <v>602</v>
      </c>
      <c r="G2296" s="64" t="n">
        <v>790</v>
      </c>
      <c r="H2296" s="62" t="s">
        <v>42</v>
      </c>
    </row>
    <row r="2297" customFormat="false" ht="15" hidden="false" customHeight="false" outlineLevel="0" collapsed="false">
      <c r="A2297" s="62" t="n">
        <v>0</v>
      </c>
      <c r="B2297" s="62" t="s">
        <v>381</v>
      </c>
      <c r="C2297" s="62" t="s">
        <v>60</v>
      </c>
      <c r="D2297" s="62" t="s">
        <v>382</v>
      </c>
      <c r="E2297" s="62" t="s">
        <v>382</v>
      </c>
      <c r="F2297" s="63" t="s">
        <v>603</v>
      </c>
      <c r="G2297" s="64" t="n">
        <v>-790</v>
      </c>
      <c r="H2297" s="62" t="s">
        <v>42</v>
      </c>
    </row>
    <row r="2298" customFormat="false" ht="15" hidden="false" customHeight="false" outlineLevel="0" collapsed="false">
      <c r="A2298" s="62" t="n">
        <v>0</v>
      </c>
      <c r="B2298" s="62" t="s">
        <v>383</v>
      </c>
      <c r="C2298" s="62" t="s">
        <v>60</v>
      </c>
      <c r="D2298" s="62" t="s">
        <v>382</v>
      </c>
      <c r="E2298" s="62" t="s">
        <v>382</v>
      </c>
      <c r="F2298" s="63" t="s">
        <v>603</v>
      </c>
      <c r="G2298" s="64" t="n">
        <v>-790</v>
      </c>
      <c r="H2298" s="62" t="s">
        <v>42</v>
      </c>
    </row>
    <row r="2299" customFormat="false" ht="15" hidden="false" customHeight="false" outlineLevel="0" collapsed="false">
      <c r="A2299" s="62" t="n">
        <v>0</v>
      </c>
      <c r="B2299" s="62" t="s">
        <v>384</v>
      </c>
      <c r="C2299" s="62" t="s">
        <v>60</v>
      </c>
      <c r="D2299" s="62" t="s">
        <v>382</v>
      </c>
      <c r="E2299" s="62" t="s">
        <v>382</v>
      </c>
      <c r="F2299" s="63" t="s">
        <v>603</v>
      </c>
      <c r="G2299" s="64" t="n">
        <v>-790</v>
      </c>
      <c r="H2299" s="62" t="s">
        <v>42</v>
      </c>
    </row>
    <row r="2300" customFormat="false" ht="15" hidden="false" customHeight="false" outlineLevel="0" collapsed="false">
      <c r="A2300" s="62" t="n">
        <v>0</v>
      </c>
      <c r="B2300" s="62" t="s">
        <v>385</v>
      </c>
      <c r="C2300" s="62" t="s">
        <v>60</v>
      </c>
      <c r="D2300" s="62" t="s">
        <v>382</v>
      </c>
      <c r="E2300" s="62" t="s">
        <v>382</v>
      </c>
      <c r="F2300" s="63" t="s">
        <v>603</v>
      </c>
      <c r="G2300" s="64" t="n">
        <v>-790</v>
      </c>
      <c r="H2300" s="62" t="s">
        <v>42</v>
      </c>
    </row>
    <row r="2301" customFormat="false" ht="15" hidden="false" customHeight="false" outlineLevel="0" collapsed="false">
      <c r="A2301" s="62" t="n">
        <v>0</v>
      </c>
      <c r="B2301" s="62" t="s">
        <v>386</v>
      </c>
      <c r="C2301" s="62" t="s">
        <v>60</v>
      </c>
      <c r="D2301" s="62" t="s">
        <v>382</v>
      </c>
      <c r="E2301" s="62" t="s">
        <v>382</v>
      </c>
      <c r="F2301" s="63" t="s">
        <v>603</v>
      </c>
      <c r="G2301" s="64" t="n">
        <v>-790</v>
      </c>
      <c r="H2301" s="62" t="s">
        <v>42</v>
      </c>
    </row>
    <row r="2302" customFormat="false" ht="15" hidden="false" customHeight="false" outlineLevel="0" collapsed="false">
      <c r="A2302" s="62" t="n">
        <v>0</v>
      </c>
      <c r="B2302" s="62" t="s">
        <v>387</v>
      </c>
      <c r="C2302" s="62" t="s">
        <v>60</v>
      </c>
      <c r="D2302" s="62" t="s">
        <v>382</v>
      </c>
      <c r="E2302" s="62" t="s">
        <v>382</v>
      </c>
      <c r="F2302" s="63" t="s">
        <v>603</v>
      </c>
      <c r="G2302" s="64" t="n">
        <v>-790</v>
      </c>
      <c r="H2302" s="62" t="s">
        <v>42</v>
      </c>
    </row>
    <row r="2303" customFormat="false" ht="15" hidden="false" customHeight="false" outlineLevel="0" collapsed="false">
      <c r="A2303" s="62" t="n">
        <v>0</v>
      </c>
      <c r="B2303" s="62" t="s">
        <v>388</v>
      </c>
      <c r="C2303" s="62" t="s">
        <v>60</v>
      </c>
      <c r="D2303" s="62" t="s">
        <v>382</v>
      </c>
      <c r="E2303" s="62" t="s">
        <v>382</v>
      </c>
      <c r="F2303" s="63" t="s">
        <v>603</v>
      </c>
      <c r="G2303" s="64" t="n">
        <v>-790</v>
      </c>
      <c r="H2303" s="62" t="s">
        <v>42</v>
      </c>
    </row>
    <row r="2304" customFormat="false" ht="15" hidden="false" customHeight="false" outlineLevel="0" collapsed="false">
      <c r="A2304" s="62" t="n">
        <v>0</v>
      </c>
      <c r="B2304" s="62" t="s">
        <v>381</v>
      </c>
      <c r="C2304" s="62" t="s">
        <v>60</v>
      </c>
      <c r="D2304" s="62" t="s">
        <v>382</v>
      </c>
      <c r="E2304" s="62" t="s">
        <v>382</v>
      </c>
      <c r="F2304" s="63" t="s">
        <v>604</v>
      </c>
      <c r="G2304" s="64" t="n">
        <v>155</v>
      </c>
      <c r="H2304" s="62" t="s">
        <v>42</v>
      </c>
    </row>
    <row r="2305" customFormat="false" ht="15" hidden="false" customHeight="false" outlineLevel="0" collapsed="false">
      <c r="A2305" s="62" t="n">
        <v>0</v>
      </c>
      <c r="B2305" s="62" t="s">
        <v>383</v>
      </c>
      <c r="C2305" s="62" t="s">
        <v>60</v>
      </c>
      <c r="D2305" s="62" t="s">
        <v>382</v>
      </c>
      <c r="E2305" s="62" t="s">
        <v>382</v>
      </c>
      <c r="F2305" s="63" t="s">
        <v>604</v>
      </c>
      <c r="G2305" s="64" t="n">
        <v>155</v>
      </c>
      <c r="H2305" s="62" t="s">
        <v>42</v>
      </c>
    </row>
    <row r="2306" customFormat="false" ht="15" hidden="false" customHeight="false" outlineLevel="0" collapsed="false">
      <c r="A2306" s="62" t="n">
        <v>0</v>
      </c>
      <c r="B2306" s="62" t="s">
        <v>384</v>
      </c>
      <c r="C2306" s="62" t="s">
        <v>60</v>
      </c>
      <c r="D2306" s="62" t="s">
        <v>382</v>
      </c>
      <c r="E2306" s="62" t="s">
        <v>382</v>
      </c>
      <c r="F2306" s="63" t="s">
        <v>604</v>
      </c>
      <c r="G2306" s="64" t="n">
        <v>155</v>
      </c>
      <c r="H2306" s="62" t="s">
        <v>42</v>
      </c>
    </row>
    <row r="2307" customFormat="false" ht="15" hidden="false" customHeight="false" outlineLevel="0" collapsed="false">
      <c r="A2307" s="62" t="n">
        <v>0</v>
      </c>
      <c r="B2307" s="62" t="s">
        <v>385</v>
      </c>
      <c r="C2307" s="62" t="s">
        <v>60</v>
      </c>
      <c r="D2307" s="62" t="s">
        <v>382</v>
      </c>
      <c r="E2307" s="62" t="s">
        <v>382</v>
      </c>
      <c r="F2307" s="63" t="s">
        <v>604</v>
      </c>
      <c r="G2307" s="64" t="n">
        <v>155</v>
      </c>
      <c r="H2307" s="62" t="s">
        <v>42</v>
      </c>
    </row>
    <row r="2308" customFormat="false" ht="15" hidden="false" customHeight="false" outlineLevel="0" collapsed="false">
      <c r="A2308" s="62" t="n">
        <v>0</v>
      </c>
      <c r="B2308" s="62" t="s">
        <v>386</v>
      </c>
      <c r="C2308" s="62" t="s">
        <v>60</v>
      </c>
      <c r="D2308" s="62" t="s">
        <v>382</v>
      </c>
      <c r="E2308" s="62" t="s">
        <v>382</v>
      </c>
      <c r="F2308" s="63" t="s">
        <v>604</v>
      </c>
      <c r="G2308" s="64" t="n">
        <v>155</v>
      </c>
      <c r="H2308" s="62" t="s">
        <v>42</v>
      </c>
    </row>
    <row r="2309" customFormat="false" ht="15" hidden="false" customHeight="false" outlineLevel="0" collapsed="false">
      <c r="A2309" s="62" t="n">
        <v>0</v>
      </c>
      <c r="B2309" s="62" t="s">
        <v>387</v>
      </c>
      <c r="C2309" s="62" t="s">
        <v>60</v>
      </c>
      <c r="D2309" s="62" t="s">
        <v>382</v>
      </c>
      <c r="E2309" s="62" t="s">
        <v>382</v>
      </c>
      <c r="F2309" s="63" t="s">
        <v>604</v>
      </c>
      <c r="G2309" s="64" t="n">
        <v>155</v>
      </c>
      <c r="H2309" s="62" t="s">
        <v>42</v>
      </c>
    </row>
    <row r="2310" customFormat="false" ht="15" hidden="false" customHeight="false" outlineLevel="0" collapsed="false">
      <c r="A2310" s="62" t="n">
        <v>0</v>
      </c>
      <c r="B2310" s="62" t="s">
        <v>388</v>
      </c>
      <c r="C2310" s="62" t="s">
        <v>60</v>
      </c>
      <c r="D2310" s="62" t="s">
        <v>382</v>
      </c>
      <c r="E2310" s="62" t="s">
        <v>382</v>
      </c>
      <c r="F2310" s="63" t="s">
        <v>604</v>
      </c>
      <c r="G2310" s="64" t="n">
        <v>155</v>
      </c>
      <c r="H2310" s="62" t="s">
        <v>42</v>
      </c>
    </row>
    <row r="2311" customFormat="false" ht="15" hidden="false" customHeight="false" outlineLevel="0" collapsed="false">
      <c r="A2311" s="62" t="n">
        <v>0</v>
      </c>
      <c r="B2311" s="62" t="s">
        <v>381</v>
      </c>
      <c r="C2311" s="62" t="s">
        <v>60</v>
      </c>
      <c r="D2311" s="62" t="s">
        <v>382</v>
      </c>
      <c r="E2311" s="62" t="s">
        <v>382</v>
      </c>
      <c r="F2311" s="63" t="s">
        <v>605</v>
      </c>
      <c r="G2311" s="64" t="n">
        <v>725</v>
      </c>
      <c r="H2311" s="62" t="s">
        <v>42</v>
      </c>
    </row>
    <row r="2312" customFormat="false" ht="15" hidden="false" customHeight="false" outlineLevel="0" collapsed="false">
      <c r="A2312" s="62" t="n">
        <v>0</v>
      </c>
      <c r="B2312" s="62" t="s">
        <v>383</v>
      </c>
      <c r="C2312" s="62" t="s">
        <v>60</v>
      </c>
      <c r="D2312" s="62" t="s">
        <v>382</v>
      </c>
      <c r="E2312" s="62" t="s">
        <v>382</v>
      </c>
      <c r="F2312" s="63" t="s">
        <v>605</v>
      </c>
      <c r="G2312" s="64" t="n">
        <v>725</v>
      </c>
      <c r="H2312" s="62" t="s">
        <v>42</v>
      </c>
    </row>
    <row r="2313" customFormat="false" ht="15" hidden="false" customHeight="false" outlineLevel="0" collapsed="false">
      <c r="A2313" s="62" t="n">
        <v>0</v>
      </c>
      <c r="B2313" s="62" t="s">
        <v>384</v>
      </c>
      <c r="C2313" s="62" t="s">
        <v>60</v>
      </c>
      <c r="D2313" s="62" t="s">
        <v>382</v>
      </c>
      <c r="E2313" s="62" t="s">
        <v>382</v>
      </c>
      <c r="F2313" s="63" t="s">
        <v>605</v>
      </c>
      <c r="G2313" s="64" t="n">
        <v>725</v>
      </c>
      <c r="H2313" s="62" t="s">
        <v>42</v>
      </c>
    </row>
    <row r="2314" customFormat="false" ht="15" hidden="false" customHeight="false" outlineLevel="0" collapsed="false">
      <c r="A2314" s="62" t="n">
        <v>0</v>
      </c>
      <c r="B2314" s="62" t="s">
        <v>385</v>
      </c>
      <c r="C2314" s="62" t="s">
        <v>60</v>
      </c>
      <c r="D2314" s="62" t="s">
        <v>382</v>
      </c>
      <c r="E2314" s="62" t="s">
        <v>382</v>
      </c>
      <c r="F2314" s="63" t="s">
        <v>605</v>
      </c>
      <c r="G2314" s="64" t="n">
        <v>725</v>
      </c>
      <c r="H2314" s="62" t="s">
        <v>42</v>
      </c>
    </row>
    <row r="2315" customFormat="false" ht="15" hidden="false" customHeight="false" outlineLevel="0" collapsed="false">
      <c r="A2315" s="62" t="n">
        <v>0</v>
      </c>
      <c r="B2315" s="62" t="s">
        <v>386</v>
      </c>
      <c r="C2315" s="62" t="s">
        <v>60</v>
      </c>
      <c r="D2315" s="62" t="s">
        <v>382</v>
      </c>
      <c r="E2315" s="62" t="s">
        <v>382</v>
      </c>
      <c r="F2315" s="63" t="s">
        <v>605</v>
      </c>
      <c r="G2315" s="64" t="n">
        <v>725</v>
      </c>
      <c r="H2315" s="62" t="s">
        <v>42</v>
      </c>
    </row>
    <row r="2316" customFormat="false" ht="15" hidden="false" customHeight="false" outlineLevel="0" collapsed="false">
      <c r="A2316" s="62" t="n">
        <v>0</v>
      </c>
      <c r="B2316" s="62" t="s">
        <v>387</v>
      </c>
      <c r="C2316" s="62" t="s">
        <v>60</v>
      </c>
      <c r="D2316" s="62" t="s">
        <v>382</v>
      </c>
      <c r="E2316" s="62" t="s">
        <v>382</v>
      </c>
      <c r="F2316" s="63" t="s">
        <v>605</v>
      </c>
      <c r="G2316" s="64" t="n">
        <v>725</v>
      </c>
      <c r="H2316" s="62" t="s">
        <v>42</v>
      </c>
    </row>
    <row r="2317" customFormat="false" ht="15" hidden="false" customHeight="false" outlineLevel="0" collapsed="false">
      <c r="A2317" s="62" t="n">
        <v>0</v>
      </c>
      <c r="B2317" s="62" t="s">
        <v>388</v>
      </c>
      <c r="C2317" s="62" t="s">
        <v>60</v>
      </c>
      <c r="D2317" s="62" t="s">
        <v>382</v>
      </c>
      <c r="E2317" s="62" t="s">
        <v>382</v>
      </c>
      <c r="F2317" s="63" t="s">
        <v>605</v>
      </c>
      <c r="G2317" s="64" t="n">
        <v>725</v>
      </c>
      <c r="H2317" s="62" t="s">
        <v>42</v>
      </c>
    </row>
    <row r="2318" customFormat="false" ht="15" hidden="false" customHeight="false" outlineLevel="0" collapsed="false">
      <c r="A2318" s="62" t="n">
        <v>0</v>
      </c>
      <c r="B2318" s="62" t="s">
        <v>381</v>
      </c>
      <c r="C2318" s="62" t="s">
        <v>60</v>
      </c>
      <c r="D2318" s="62" t="s">
        <v>382</v>
      </c>
      <c r="E2318" s="62" t="s">
        <v>382</v>
      </c>
      <c r="F2318" s="63" t="s">
        <v>606</v>
      </c>
      <c r="G2318" s="64" t="n">
        <v>515</v>
      </c>
      <c r="H2318" s="62" t="s">
        <v>42</v>
      </c>
    </row>
    <row r="2319" customFormat="false" ht="15" hidden="false" customHeight="false" outlineLevel="0" collapsed="false">
      <c r="A2319" s="62" t="n">
        <v>0</v>
      </c>
      <c r="B2319" s="62" t="s">
        <v>383</v>
      </c>
      <c r="C2319" s="62" t="s">
        <v>60</v>
      </c>
      <c r="D2319" s="62" t="s">
        <v>382</v>
      </c>
      <c r="E2319" s="62" t="s">
        <v>382</v>
      </c>
      <c r="F2319" s="63" t="s">
        <v>606</v>
      </c>
      <c r="G2319" s="64" t="n">
        <v>515</v>
      </c>
      <c r="H2319" s="62" t="s">
        <v>42</v>
      </c>
    </row>
    <row r="2320" customFormat="false" ht="15" hidden="false" customHeight="false" outlineLevel="0" collapsed="false">
      <c r="A2320" s="62" t="n">
        <v>0</v>
      </c>
      <c r="B2320" s="62" t="s">
        <v>384</v>
      </c>
      <c r="C2320" s="62" t="s">
        <v>60</v>
      </c>
      <c r="D2320" s="62" t="s">
        <v>382</v>
      </c>
      <c r="E2320" s="62" t="s">
        <v>382</v>
      </c>
      <c r="F2320" s="63" t="s">
        <v>606</v>
      </c>
      <c r="G2320" s="64" t="n">
        <v>515</v>
      </c>
      <c r="H2320" s="62" t="s">
        <v>42</v>
      </c>
    </row>
    <row r="2321" customFormat="false" ht="15" hidden="false" customHeight="false" outlineLevel="0" collapsed="false">
      <c r="A2321" s="62" t="n">
        <v>0</v>
      </c>
      <c r="B2321" s="62" t="s">
        <v>385</v>
      </c>
      <c r="C2321" s="62" t="s">
        <v>60</v>
      </c>
      <c r="D2321" s="62" t="s">
        <v>382</v>
      </c>
      <c r="E2321" s="62" t="s">
        <v>382</v>
      </c>
      <c r="F2321" s="63" t="s">
        <v>606</v>
      </c>
      <c r="G2321" s="64" t="n">
        <v>515</v>
      </c>
      <c r="H2321" s="62" t="s">
        <v>42</v>
      </c>
    </row>
    <row r="2322" customFormat="false" ht="15" hidden="false" customHeight="false" outlineLevel="0" collapsed="false">
      <c r="A2322" s="62" t="n">
        <v>0</v>
      </c>
      <c r="B2322" s="62" t="s">
        <v>386</v>
      </c>
      <c r="C2322" s="62" t="s">
        <v>60</v>
      </c>
      <c r="D2322" s="62" t="s">
        <v>382</v>
      </c>
      <c r="E2322" s="62" t="s">
        <v>382</v>
      </c>
      <c r="F2322" s="63" t="s">
        <v>606</v>
      </c>
      <c r="G2322" s="64" t="n">
        <v>515</v>
      </c>
      <c r="H2322" s="62" t="s">
        <v>42</v>
      </c>
    </row>
    <row r="2323" customFormat="false" ht="15" hidden="false" customHeight="false" outlineLevel="0" collapsed="false">
      <c r="A2323" s="62" t="n">
        <v>0</v>
      </c>
      <c r="B2323" s="62" t="s">
        <v>387</v>
      </c>
      <c r="C2323" s="62" t="s">
        <v>60</v>
      </c>
      <c r="D2323" s="62" t="s">
        <v>382</v>
      </c>
      <c r="E2323" s="62" t="s">
        <v>382</v>
      </c>
      <c r="F2323" s="63" t="s">
        <v>606</v>
      </c>
      <c r="G2323" s="64" t="n">
        <v>515</v>
      </c>
      <c r="H2323" s="62" t="s">
        <v>42</v>
      </c>
    </row>
    <row r="2324" customFormat="false" ht="15" hidden="false" customHeight="false" outlineLevel="0" collapsed="false">
      <c r="A2324" s="62" t="n">
        <v>0</v>
      </c>
      <c r="B2324" s="62" t="s">
        <v>388</v>
      </c>
      <c r="C2324" s="62" t="s">
        <v>60</v>
      </c>
      <c r="D2324" s="62" t="s">
        <v>382</v>
      </c>
      <c r="E2324" s="62" t="s">
        <v>382</v>
      </c>
      <c r="F2324" s="63" t="s">
        <v>606</v>
      </c>
      <c r="G2324" s="64" t="n">
        <v>515</v>
      </c>
      <c r="H2324" s="62" t="s">
        <v>42</v>
      </c>
    </row>
    <row r="2325" customFormat="false" ht="15" hidden="false" customHeight="false" outlineLevel="0" collapsed="false">
      <c r="A2325" s="62" t="n">
        <v>0</v>
      </c>
      <c r="B2325" s="62" t="s">
        <v>381</v>
      </c>
      <c r="C2325" s="62" t="s">
        <v>60</v>
      </c>
      <c r="D2325" s="62" t="s">
        <v>382</v>
      </c>
      <c r="E2325" s="62" t="s">
        <v>382</v>
      </c>
      <c r="F2325" s="63" t="s">
        <v>607</v>
      </c>
      <c r="G2325" s="64" t="n">
        <v>505</v>
      </c>
      <c r="H2325" s="62" t="s">
        <v>42</v>
      </c>
    </row>
    <row r="2326" customFormat="false" ht="15" hidden="false" customHeight="false" outlineLevel="0" collapsed="false">
      <c r="A2326" s="62" t="n">
        <v>0</v>
      </c>
      <c r="B2326" s="62" t="s">
        <v>383</v>
      </c>
      <c r="C2326" s="62" t="s">
        <v>60</v>
      </c>
      <c r="D2326" s="62" t="s">
        <v>382</v>
      </c>
      <c r="E2326" s="62" t="s">
        <v>382</v>
      </c>
      <c r="F2326" s="63" t="s">
        <v>607</v>
      </c>
      <c r="G2326" s="64" t="n">
        <v>505</v>
      </c>
      <c r="H2326" s="62" t="s">
        <v>42</v>
      </c>
    </row>
    <row r="2327" customFormat="false" ht="15" hidden="false" customHeight="false" outlineLevel="0" collapsed="false">
      <c r="A2327" s="62" t="n">
        <v>0</v>
      </c>
      <c r="B2327" s="62" t="s">
        <v>384</v>
      </c>
      <c r="C2327" s="62" t="s">
        <v>60</v>
      </c>
      <c r="D2327" s="62" t="s">
        <v>382</v>
      </c>
      <c r="E2327" s="62" t="s">
        <v>382</v>
      </c>
      <c r="F2327" s="63" t="s">
        <v>607</v>
      </c>
      <c r="G2327" s="64" t="n">
        <v>505</v>
      </c>
      <c r="H2327" s="62" t="s">
        <v>42</v>
      </c>
    </row>
    <row r="2328" customFormat="false" ht="15" hidden="false" customHeight="false" outlineLevel="0" collapsed="false">
      <c r="A2328" s="62" t="n">
        <v>0</v>
      </c>
      <c r="B2328" s="62" t="s">
        <v>385</v>
      </c>
      <c r="C2328" s="62" t="s">
        <v>60</v>
      </c>
      <c r="D2328" s="62" t="s">
        <v>382</v>
      </c>
      <c r="E2328" s="62" t="s">
        <v>382</v>
      </c>
      <c r="F2328" s="63" t="s">
        <v>607</v>
      </c>
      <c r="G2328" s="64" t="n">
        <v>505</v>
      </c>
      <c r="H2328" s="62" t="s">
        <v>42</v>
      </c>
    </row>
    <row r="2329" customFormat="false" ht="15" hidden="false" customHeight="false" outlineLevel="0" collapsed="false">
      <c r="A2329" s="62" t="n">
        <v>0</v>
      </c>
      <c r="B2329" s="62" t="s">
        <v>386</v>
      </c>
      <c r="C2329" s="62" t="s">
        <v>60</v>
      </c>
      <c r="D2329" s="62" t="s">
        <v>382</v>
      </c>
      <c r="E2329" s="62" t="s">
        <v>382</v>
      </c>
      <c r="F2329" s="63" t="s">
        <v>607</v>
      </c>
      <c r="G2329" s="64" t="n">
        <v>505</v>
      </c>
      <c r="H2329" s="62" t="s">
        <v>42</v>
      </c>
    </row>
    <row r="2330" customFormat="false" ht="15" hidden="false" customHeight="false" outlineLevel="0" collapsed="false">
      <c r="A2330" s="62" t="n">
        <v>0</v>
      </c>
      <c r="B2330" s="62" t="s">
        <v>387</v>
      </c>
      <c r="C2330" s="62" t="s">
        <v>60</v>
      </c>
      <c r="D2330" s="62" t="s">
        <v>382</v>
      </c>
      <c r="E2330" s="62" t="s">
        <v>382</v>
      </c>
      <c r="F2330" s="63" t="s">
        <v>607</v>
      </c>
      <c r="G2330" s="64" t="n">
        <v>505</v>
      </c>
      <c r="H2330" s="62" t="s">
        <v>42</v>
      </c>
    </row>
    <row r="2331" customFormat="false" ht="15" hidden="false" customHeight="false" outlineLevel="0" collapsed="false">
      <c r="A2331" s="62" t="n">
        <v>0</v>
      </c>
      <c r="B2331" s="62" t="s">
        <v>388</v>
      </c>
      <c r="C2331" s="62" t="s">
        <v>60</v>
      </c>
      <c r="D2331" s="62" t="s">
        <v>382</v>
      </c>
      <c r="E2331" s="62" t="s">
        <v>382</v>
      </c>
      <c r="F2331" s="63" t="s">
        <v>607</v>
      </c>
      <c r="G2331" s="64" t="n">
        <v>505</v>
      </c>
      <c r="H2331" s="62" t="s">
        <v>42</v>
      </c>
    </row>
    <row r="2332" customFormat="false" ht="15" hidden="false" customHeight="false" outlineLevel="0" collapsed="false">
      <c r="A2332" s="62" t="n">
        <v>0</v>
      </c>
      <c r="B2332" s="62" t="s">
        <v>381</v>
      </c>
      <c r="C2332" s="62" t="s">
        <v>60</v>
      </c>
      <c r="D2332" s="62" t="s">
        <v>382</v>
      </c>
      <c r="E2332" s="62" t="s">
        <v>382</v>
      </c>
      <c r="F2332" s="63" t="s">
        <v>608</v>
      </c>
      <c r="G2332" s="64" t="n">
        <v>285</v>
      </c>
      <c r="H2332" s="62" t="s">
        <v>42</v>
      </c>
    </row>
    <row r="2333" customFormat="false" ht="15" hidden="false" customHeight="false" outlineLevel="0" collapsed="false">
      <c r="A2333" s="62" t="n">
        <v>0</v>
      </c>
      <c r="B2333" s="62" t="s">
        <v>383</v>
      </c>
      <c r="C2333" s="62" t="s">
        <v>60</v>
      </c>
      <c r="D2333" s="62" t="s">
        <v>382</v>
      </c>
      <c r="E2333" s="62" t="s">
        <v>382</v>
      </c>
      <c r="F2333" s="63" t="s">
        <v>608</v>
      </c>
      <c r="G2333" s="64" t="n">
        <v>285</v>
      </c>
      <c r="H2333" s="62" t="s">
        <v>42</v>
      </c>
    </row>
    <row r="2334" customFormat="false" ht="15" hidden="false" customHeight="false" outlineLevel="0" collapsed="false">
      <c r="A2334" s="62" t="n">
        <v>0</v>
      </c>
      <c r="B2334" s="62" t="s">
        <v>384</v>
      </c>
      <c r="C2334" s="62" t="s">
        <v>60</v>
      </c>
      <c r="D2334" s="62" t="s">
        <v>382</v>
      </c>
      <c r="E2334" s="62" t="s">
        <v>382</v>
      </c>
      <c r="F2334" s="63" t="s">
        <v>608</v>
      </c>
      <c r="G2334" s="64" t="n">
        <v>285</v>
      </c>
      <c r="H2334" s="62" t="s">
        <v>42</v>
      </c>
    </row>
    <row r="2335" customFormat="false" ht="15" hidden="false" customHeight="false" outlineLevel="0" collapsed="false">
      <c r="A2335" s="62" t="n">
        <v>0</v>
      </c>
      <c r="B2335" s="62" t="s">
        <v>385</v>
      </c>
      <c r="C2335" s="62" t="s">
        <v>60</v>
      </c>
      <c r="D2335" s="62" t="s">
        <v>382</v>
      </c>
      <c r="E2335" s="62" t="s">
        <v>382</v>
      </c>
      <c r="F2335" s="63" t="s">
        <v>608</v>
      </c>
      <c r="G2335" s="64" t="n">
        <v>285</v>
      </c>
      <c r="H2335" s="62" t="s">
        <v>42</v>
      </c>
    </row>
    <row r="2336" customFormat="false" ht="15" hidden="false" customHeight="false" outlineLevel="0" collapsed="false">
      <c r="A2336" s="62" t="n">
        <v>0</v>
      </c>
      <c r="B2336" s="62" t="s">
        <v>386</v>
      </c>
      <c r="C2336" s="62" t="s">
        <v>60</v>
      </c>
      <c r="D2336" s="62" t="s">
        <v>382</v>
      </c>
      <c r="E2336" s="62" t="s">
        <v>382</v>
      </c>
      <c r="F2336" s="63" t="s">
        <v>608</v>
      </c>
      <c r="G2336" s="64" t="n">
        <v>285</v>
      </c>
      <c r="H2336" s="62" t="s">
        <v>42</v>
      </c>
    </row>
    <row r="2337" customFormat="false" ht="15" hidden="false" customHeight="false" outlineLevel="0" collapsed="false">
      <c r="A2337" s="62" t="n">
        <v>0</v>
      </c>
      <c r="B2337" s="62" t="s">
        <v>387</v>
      </c>
      <c r="C2337" s="62" t="s">
        <v>60</v>
      </c>
      <c r="D2337" s="62" t="s">
        <v>382</v>
      </c>
      <c r="E2337" s="62" t="s">
        <v>382</v>
      </c>
      <c r="F2337" s="63" t="s">
        <v>608</v>
      </c>
      <c r="G2337" s="64" t="n">
        <v>285</v>
      </c>
      <c r="H2337" s="62" t="s">
        <v>42</v>
      </c>
    </row>
    <row r="2338" customFormat="false" ht="15" hidden="false" customHeight="false" outlineLevel="0" collapsed="false">
      <c r="A2338" s="62" t="n">
        <v>0</v>
      </c>
      <c r="B2338" s="62" t="s">
        <v>388</v>
      </c>
      <c r="C2338" s="62" t="s">
        <v>60</v>
      </c>
      <c r="D2338" s="62" t="s">
        <v>382</v>
      </c>
      <c r="E2338" s="62" t="s">
        <v>382</v>
      </c>
      <c r="F2338" s="63" t="s">
        <v>608</v>
      </c>
      <c r="G2338" s="64" t="n">
        <v>285</v>
      </c>
      <c r="H2338" s="62" t="s">
        <v>42</v>
      </c>
    </row>
    <row r="2339" customFormat="false" ht="15" hidden="false" customHeight="false" outlineLevel="0" collapsed="false">
      <c r="A2339" s="62" t="n">
        <v>0</v>
      </c>
      <c r="B2339" s="62" t="s">
        <v>381</v>
      </c>
      <c r="C2339" s="62" t="s">
        <v>60</v>
      </c>
      <c r="D2339" s="62" t="s">
        <v>382</v>
      </c>
      <c r="E2339" s="62" t="s">
        <v>382</v>
      </c>
      <c r="F2339" s="63" t="s">
        <v>609</v>
      </c>
      <c r="G2339" s="64" t="n">
        <v>0</v>
      </c>
      <c r="H2339" s="62"/>
    </row>
    <row r="2340" customFormat="false" ht="15" hidden="false" customHeight="false" outlineLevel="0" collapsed="false">
      <c r="A2340" s="62" t="n">
        <v>0</v>
      </c>
      <c r="B2340" s="62" t="s">
        <v>383</v>
      </c>
      <c r="C2340" s="62" t="s">
        <v>60</v>
      </c>
      <c r="D2340" s="62" t="s">
        <v>382</v>
      </c>
      <c r="E2340" s="62" t="s">
        <v>382</v>
      </c>
      <c r="F2340" s="63" t="s">
        <v>609</v>
      </c>
      <c r="G2340" s="64" t="n">
        <v>0</v>
      </c>
      <c r="H2340" s="62"/>
    </row>
    <row r="2341" customFormat="false" ht="15" hidden="false" customHeight="false" outlineLevel="0" collapsed="false">
      <c r="A2341" s="62" t="n">
        <v>0</v>
      </c>
      <c r="B2341" s="62" t="s">
        <v>384</v>
      </c>
      <c r="C2341" s="62" t="s">
        <v>60</v>
      </c>
      <c r="D2341" s="62" t="s">
        <v>382</v>
      </c>
      <c r="E2341" s="62" t="s">
        <v>382</v>
      </c>
      <c r="F2341" s="63" t="s">
        <v>609</v>
      </c>
      <c r="G2341" s="64" t="n">
        <v>0</v>
      </c>
      <c r="H2341" s="62"/>
    </row>
    <row r="2342" customFormat="false" ht="15" hidden="false" customHeight="false" outlineLevel="0" collapsed="false">
      <c r="A2342" s="62" t="n">
        <v>0</v>
      </c>
      <c r="B2342" s="62" t="s">
        <v>385</v>
      </c>
      <c r="C2342" s="62" t="s">
        <v>60</v>
      </c>
      <c r="D2342" s="62" t="s">
        <v>382</v>
      </c>
      <c r="E2342" s="62" t="s">
        <v>382</v>
      </c>
      <c r="F2342" s="63" t="s">
        <v>609</v>
      </c>
      <c r="G2342" s="64" t="n">
        <v>0</v>
      </c>
      <c r="H2342" s="62"/>
    </row>
    <row r="2343" customFormat="false" ht="15" hidden="false" customHeight="false" outlineLevel="0" collapsed="false">
      <c r="A2343" s="62" t="n">
        <v>0</v>
      </c>
      <c r="B2343" s="62" t="s">
        <v>386</v>
      </c>
      <c r="C2343" s="62" t="s">
        <v>60</v>
      </c>
      <c r="D2343" s="62" t="s">
        <v>382</v>
      </c>
      <c r="E2343" s="62" t="s">
        <v>382</v>
      </c>
      <c r="F2343" s="63" t="s">
        <v>609</v>
      </c>
      <c r="G2343" s="64" t="n">
        <v>0</v>
      </c>
      <c r="H2343" s="62"/>
    </row>
    <row r="2344" customFormat="false" ht="15" hidden="false" customHeight="false" outlineLevel="0" collapsed="false">
      <c r="A2344" s="62" t="n">
        <v>0</v>
      </c>
      <c r="B2344" s="62" t="s">
        <v>387</v>
      </c>
      <c r="C2344" s="62" t="s">
        <v>60</v>
      </c>
      <c r="D2344" s="62" t="s">
        <v>382</v>
      </c>
      <c r="E2344" s="62" t="s">
        <v>382</v>
      </c>
      <c r="F2344" s="63" t="s">
        <v>609</v>
      </c>
      <c r="G2344" s="64" t="n">
        <v>0</v>
      </c>
      <c r="H2344" s="62"/>
    </row>
    <row r="2345" customFormat="false" ht="15" hidden="false" customHeight="false" outlineLevel="0" collapsed="false">
      <c r="A2345" s="62" t="n">
        <v>0</v>
      </c>
      <c r="B2345" s="62" t="s">
        <v>388</v>
      </c>
      <c r="C2345" s="62" t="s">
        <v>60</v>
      </c>
      <c r="D2345" s="62" t="s">
        <v>382</v>
      </c>
      <c r="E2345" s="62" t="s">
        <v>382</v>
      </c>
      <c r="F2345" s="63" t="s">
        <v>609</v>
      </c>
      <c r="G2345" s="64" t="n">
        <v>0</v>
      </c>
      <c r="H2345" s="62"/>
    </row>
    <row r="2346" customFormat="false" ht="15" hidden="false" customHeight="false" outlineLevel="0" collapsed="false">
      <c r="A2346" s="62" t="n">
        <v>0</v>
      </c>
      <c r="B2346" s="62" t="s">
        <v>381</v>
      </c>
      <c r="C2346" s="62" t="s">
        <v>60</v>
      </c>
      <c r="D2346" s="62" t="s">
        <v>382</v>
      </c>
      <c r="E2346" s="62" t="s">
        <v>382</v>
      </c>
      <c r="F2346" s="63" t="s">
        <v>610</v>
      </c>
      <c r="G2346" s="64" t="n">
        <v>0</v>
      </c>
      <c r="H2346" s="62"/>
    </row>
    <row r="2347" customFormat="false" ht="15" hidden="false" customHeight="false" outlineLevel="0" collapsed="false">
      <c r="A2347" s="62" t="n">
        <v>0</v>
      </c>
      <c r="B2347" s="62" t="s">
        <v>383</v>
      </c>
      <c r="C2347" s="62" t="s">
        <v>60</v>
      </c>
      <c r="D2347" s="62" t="s">
        <v>382</v>
      </c>
      <c r="E2347" s="62" t="s">
        <v>382</v>
      </c>
      <c r="F2347" s="63" t="s">
        <v>610</v>
      </c>
      <c r="G2347" s="64" t="n">
        <v>0</v>
      </c>
      <c r="H2347" s="62"/>
    </row>
    <row r="2348" customFormat="false" ht="15" hidden="false" customHeight="false" outlineLevel="0" collapsed="false">
      <c r="A2348" s="62" t="n">
        <v>0</v>
      </c>
      <c r="B2348" s="62" t="s">
        <v>384</v>
      </c>
      <c r="C2348" s="62" t="s">
        <v>60</v>
      </c>
      <c r="D2348" s="62" t="s">
        <v>382</v>
      </c>
      <c r="E2348" s="62" t="s">
        <v>382</v>
      </c>
      <c r="F2348" s="63" t="s">
        <v>610</v>
      </c>
      <c r="G2348" s="64" t="n">
        <v>0</v>
      </c>
      <c r="H2348" s="62"/>
    </row>
    <row r="2349" customFormat="false" ht="15" hidden="false" customHeight="false" outlineLevel="0" collapsed="false">
      <c r="A2349" s="62" t="n">
        <v>0</v>
      </c>
      <c r="B2349" s="62" t="s">
        <v>385</v>
      </c>
      <c r="C2349" s="62" t="s">
        <v>60</v>
      </c>
      <c r="D2349" s="62" t="s">
        <v>382</v>
      </c>
      <c r="E2349" s="62" t="s">
        <v>382</v>
      </c>
      <c r="F2349" s="63" t="s">
        <v>610</v>
      </c>
      <c r="G2349" s="64" t="n">
        <v>0</v>
      </c>
      <c r="H2349" s="62"/>
    </row>
    <row r="2350" customFormat="false" ht="15" hidden="false" customHeight="false" outlineLevel="0" collapsed="false">
      <c r="A2350" s="62" t="n">
        <v>0</v>
      </c>
      <c r="B2350" s="62" t="s">
        <v>386</v>
      </c>
      <c r="C2350" s="62" t="s">
        <v>60</v>
      </c>
      <c r="D2350" s="62" t="s">
        <v>382</v>
      </c>
      <c r="E2350" s="62" t="s">
        <v>382</v>
      </c>
      <c r="F2350" s="63" t="s">
        <v>610</v>
      </c>
      <c r="G2350" s="64" t="n">
        <v>0</v>
      </c>
      <c r="H2350" s="62"/>
    </row>
    <row r="2351" customFormat="false" ht="15" hidden="false" customHeight="false" outlineLevel="0" collapsed="false">
      <c r="A2351" s="62" t="n">
        <v>0</v>
      </c>
      <c r="B2351" s="62" t="s">
        <v>387</v>
      </c>
      <c r="C2351" s="62" t="s">
        <v>60</v>
      </c>
      <c r="D2351" s="62" t="s">
        <v>382</v>
      </c>
      <c r="E2351" s="62" t="s">
        <v>382</v>
      </c>
      <c r="F2351" s="63" t="s">
        <v>610</v>
      </c>
      <c r="G2351" s="64" t="n">
        <v>0</v>
      </c>
      <c r="H2351" s="62"/>
    </row>
    <row r="2352" customFormat="false" ht="15" hidden="false" customHeight="false" outlineLevel="0" collapsed="false">
      <c r="A2352" s="62" t="n">
        <v>0</v>
      </c>
      <c r="B2352" s="62" t="s">
        <v>388</v>
      </c>
      <c r="C2352" s="62" t="s">
        <v>60</v>
      </c>
      <c r="D2352" s="62" t="s">
        <v>382</v>
      </c>
      <c r="E2352" s="62" t="s">
        <v>382</v>
      </c>
      <c r="F2352" s="63" t="s">
        <v>610</v>
      </c>
      <c r="G2352" s="64" t="n">
        <v>0</v>
      </c>
      <c r="H2352" s="62"/>
    </row>
    <row r="2353" customFormat="false" ht="15" hidden="false" customHeight="false" outlineLevel="0" collapsed="false">
      <c r="A2353" s="62" t="n">
        <v>0</v>
      </c>
      <c r="B2353" s="62" t="s">
        <v>381</v>
      </c>
      <c r="C2353" s="62" t="s">
        <v>60</v>
      </c>
      <c r="D2353" s="62" t="s">
        <v>382</v>
      </c>
      <c r="E2353" s="62" t="s">
        <v>382</v>
      </c>
      <c r="F2353" s="63" t="s">
        <v>611</v>
      </c>
      <c r="G2353" s="64" t="n">
        <v>1985.29761950203</v>
      </c>
      <c r="H2353" s="62"/>
    </row>
    <row r="2354" customFormat="false" ht="15" hidden="false" customHeight="false" outlineLevel="0" collapsed="false">
      <c r="A2354" s="62" t="n">
        <v>0</v>
      </c>
      <c r="B2354" s="62" t="s">
        <v>383</v>
      </c>
      <c r="C2354" s="62" t="s">
        <v>60</v>
      </c>
      <c r="D2354" s="62" t="s">
        <v>382</v>
      </c>
      <c r="E2354" s="62" t="s">
        <v>382</v>
      </c>
      <c r="F2354" s="63" t="s">
        <v>611</v>
      </c>
      <c r="G2354" s="64" t="n">
        <v>1985.29761950203</v>
      </c>
      <c r="H2354" s="62"/>
    </row>
    <row r="2355" customFormat="false" ht="15" hidden="false" customHeight="false" outlineLevel="0" collapsed="false">
      <c r="A2355" s="62" t="n">
        <v>0</v>
      </c>
      <c r="B2355" s="62" t="s">
        <v>384</v>
      </c>
      <c r="C2355" s="62" t="s">
        <v>60</v>
      </c>
      <c r="D2355" s="62" t="s">
        <v>382</v>
      </c>
      <c r="E2355" s="62" t="s">
        <v>382</v>
      </c>
      <c r="F2355" s="63" t="s">
        <v>611</v>
      </c>
      <c r="G2355" s="64" t="n">
        <v>1985.29761950203</v>
      </c>
      <c r="H2355" s="62"/>
    </row>
    <row r="2356" customFormat="false" ht="15" hidden="false" customHeight="false" outlineLevel="0" collapsed="false">
      <c r="A2356" s="62" t="n">
        <v>0</v>
      </c>
      <c r="B2356" s="62" t="s">
        <v>385</v>
      </c>
      <c r="C2356" s="62" t="s">
        <v>60</v>
      </c>
      <c r="D2356" s="62" t="s">
        <v>382</v>
      </c>
      <c r="E2356" s="62" t="s">
        <v>382</v>
      </c>
      <c r="F2356" s="63" t="s">
        <v>611</v>
      </c>
      <c r="G2356" s="64" t="n">
        <v>1985.29761950203</v>
      </c>
      <c r="H2356" s="62"/>
    </row>
    <row r="2357" customFormat="false" ht="15" hidden="false" customHeight="false" outlineLevel="0" collapsed="false">
      <c r="A2357" s="62" t="n">
        <v>0</v>
      </c>
      <c r="B2357" s="62" t="s">
        <v>386</v>
      </c>
      <c r="C2357" s="62" t="s">
        <v>60</v>
      </c>
      <c r="D2357" s="62" t="s">
        <v>382</v>
      </c>
      <c r="E2357" s="62" t="s">
        <v>382</v>
      </c>
      <c r="F2357" s="63" t="s">
        <v>611</v>
      </c>
      <c r="G2357" s="64" t="n">
        <v>1985.29761950203</v>
      </c>
      <c r="H2357" s="62"/>
    </row>
    <row r="2358" customFormat="false" ht="15" hidden="false" customHeight="false" outlineLevel="0" collapsed="false">
      <c r="A2358" s="62" t="n">
        <v>0</v>
      </c>
      <c r="B2358" s="62" t="s">
        <v>387</v>
      </c>
      <c r="C2358" s="62" t="s">
        <v>60</v>
      </c>
      <c r="D2358" s="62" t="s">
        <v>382</v>
      </c>
      <c r="E2358" s="62" t="s">
        <v>382</v>
      </c>
      <c r="F2358" s="63" t="s">
        <v>611</v>
      </c>
      <c r="G2358" s="64" t="n">
        <v>1985.29761950203</v>
      </c>
      <c r="H2358" s="62"/>
    </row>
    <row r="2359" customFormat="false" ht="15" hidden="false" customHeight="false" outlineLevel="0" collapsed="false">
      <c r="A2359" s="62" t="n">
        <v>0</v>
      </c>
      <c r="B2359" s="62" t="s">
        <v>388</v>
      </c>
      <c r="C2359" s="62" t="s">
        <v>60</v>
      </c>
      <c r="D2359" s="62" t="s">
        <v>382</v>
      </c>
      <c r="E2359" s="62" t="s">
        <v>382</v>
      </c>
      <c r="F2359" s="63" t="s">
        <v>611</v>
      </c>
      <c r="G2359" s="64" t="n">
        <v>1985.29761950203</v>
      </c>
      <c r="H2359" s="62"/>
    </row>
    <row r="2360" customFormat="false" ht="15" hidden="false" customHeight="false" outlineLevel="0" collapsed="false">
      <c r="A2360" s="62" t="n">
        <v>0</v>
      </c>
      <c r="B2360" s="62" t="s">
        <v>381</v>
      </c>
      <c r="C2360" s="62" t="s">
        <v>60</v>
      </c>
      <c r="D2360" s="62" t="s">
        <v>382</v>
      </c>
      <c r="E2360" s="62" t="s">
        <v>382</v>
      </c>
      <c r="F2360" s="63" t="s">
        <v>612</v>
      </c>
      <c r="G2360" s="64" t="n">
        <v>1985.29761950203</v>
      </c>
      <c r="H2360" s="62"/>
    </row>
    <row r="2361" customFormat="false" ht="15" hidden="false" customHeight="false" outlineLevel="0" collapsed="false">
      <c r="A2361" s="62" t="n">
        <v>0</v>
      </c>
      <c r="B2361" s="62" t="s">
        <v>383</v>
      </c>
      <c r="C2361" s="62" t="s">
        <v>60</v>
      </c>
      <c r="D2361" s="62" t="s">
        <v>382</v>
      </c>
      <c r="E2361" s="62" t="s">
        <v>382</v>
      </c>
      <c r="F2361" s="63" t="s">
        <v>612</v>
      </c>
      <c r="G2361" s="64" t="n">
        <v>1985.29761950203</v>
      </c>
      <c r="H2361" s="62"/>
    </row>
    <row r="2362" customFormat="false" ht="15" hidden="false" customHeight="false" outlineLevel="0" collapsed="false">
      <c r="A2362" s="62" t="n">
        <v>0</v>
      </c>
      <c r="B2362" s="62" t="s">
        <v>384</v>
      </c>
      <c r="C2362" s="62" t="s">
        <v>60</v>
      </c>
      <c r="D2362" s="62" t="s">
        <v>382</v>
      </c>
      <c r="E2362" s="62" t="s">
        <v>382</v>
      </c>
      <c r="F2362" s="63" t="s">
        <v>612</v>
      </c>
      <c r="G2362" s="64" t="n">
        <v>1985.29761950203</v>
      </c>
      <c r="H2362" s="62"/>
    </row>
    <row r="2363" customFormat="false" ht="15" hidden="false" customHeight="false" outlineLevel="0" collapsed="false">
      <c r="A2363" s="62" t="n">
        <v>0</v>
      </c>
      <c r="B2363" s="62" t="s">
        <v>385</v>
      </c>
      <c r="C2363" s="62" t="s">
        <v>60</v>
      </c>
      <c r="D2363" s="62" t="s">
        <v>382</v>
      </c>
      <c r="E2363" s="62" t="s">
        <v>382</v>
      </c>
      <c r="F2363" s="63" t="s">
        <v>612</v>
      </c>
      <c r="G2363" s="64" t="n">
        <v>1985.29761950203</v>
      </c>
      <c r="H2363" s="62"/>
    </row>
    <row r="2364" customFormat="false" ht="15" hidden="false" customHeight="false" outlineLevel="0" collapsed="false">
      <c r="A2364" s="62" t="n">
        <v>0</v>
      </c>
      <c r="B2364" s="62" t="s">
        <v>386</v>
      </c>
      <c r="C2364" s="62" t="s">
        <v>60</v>
      </c>
      <c r="D2364" s="62" t="s">
        <v>382</v>
      </c>
      <c r="E2364" s="62" t="s">
        <v>382</v>
      </c>
      <c r="F2364" s="63" t="s">
        <v>612</v>
      </c>
      <c r="G2364" s="64" t="n">
        <v>1985.29761950203</v>
      </c>
      <c r="H2364" s="62"/>
    </row>
    <row r="2365" customFormat="false" ht="15" hidden="false" customHeight="false" outlineLevel="0" collapsed="false">
      <c r="A2365" s="62" t="n">
        <v>0</v>
      </c>
      <c r="B2365" s="62" t="s">
        <v>387</v>
      </c>
      <c r="C2365" s="62" t="s">
        <v>60</v>
      </c>
      <c r="D2365" s="62" t="s">
        <v>382</v>
      </c>
      <c r="E2365" s="62" t="s">
        <v>382</v>
      </c>
      <c r="F2365" s="63" t="s">
        <v>612</v>
      </c>
      <c r="G2365" s="64" t="n">
        <v>1985.29761950203</v>
      </c>
      <c r="H2365" s="62"/>
    </row>
    <row r="2366" customFormat="false" ht="15" hidden="false" customHeight="false" outlineLevel="0" collapsed="false">
      <c r="A2366" s="62" t="n">
        <v>0</v>
      </c>
      <c r="B2366" s="62" t="s">
        <v>388</v>
      </c>
      <c r="C2366" s="62" t="s">
        <v>60</v>
      </c>
      <c r="D2366" s="62" t="s">
        <v>382</v>
      </c>
      <c r="E2366" s="62" t="s">
        <v>382</v>
      </c>
      <c r="F2366" s="63" t="s">
        <v>612</v>
      </c>
      <c r="G2366" s="64" t="n">
        <v>1985.29761950203</v>
      </c>
      <c r="H2366" s="62"/>
    </row>
    <row r="2367" customFormat="false" ht="15" hidden="false" customHeight="false" outlineLevel="0" collapsed="false">
      <c r="A2367" s="62" t="n">
        <v>0</v>
      </c>
      <c r="B2367" s="62" t="s">
        <v>381</v>
      </c>
      <c r="C2367" s="62" t="s">
        <v>60</v>
      </c>
      <c r="D2367" s="62" t="s">
        <v>382</v>
      </c>
      <c r="E2367" s="62" t="s">
        <v>382</v>
      </c>
      <c r="F2367" s="63" t="s">
        <v>613</v>
      </c>
      <c r="G2367" s="64" t="n">
        <v>14886.7970205094</v>
      </c>
      <c r="H2367" s="62"/>
    </row>
    <row r="2368" customFormat="false" ht="15" hidden="false" customHeight="false" outlineLevel="0" collapsed="false">
      <c r="A2368" s="62" t="n">
        <v>0</v>
      </c>
      <c r="B2368" s="62" t="s">
        <v>383</v>
      </c>
      <c r="C2368" s="62" t="s">
        <v>60</v>
      </c>
      <c r="D2368" s="62" t="s">
        <v>382</v>
      </c>
      <c r="E2368" s="62" t="s">
        <v>382</v>
      </c>
      <c r="F2368" s="63" t="s">
        <v>613</v>
      </c>
      <c r="G2368" s="64" t="n">
        <v>14886.7970205094</v>
      </c>
      <c r="H2368" s="62"/>
    </row>
    <row r="2369" customFormat="false" ht="15" hidden="false" customHeight="false" outlineLevel="0" collapsed="false">
      <c r="A2369" s="62" t="n">
        <v>0</v>
      </c>
      <c r="B2369" s="62" t="s">
        <v>384</v>
      </c>
      <c r="C2369" s="62" t="s">
        <v>60</v>
      </c>
      <c r="D2369" s="62" t="s">
        <v>382</v>
      </c>
      <c r="E2369" s="62" t="s">
        <v>382</v>
      </c>
      <c r="F2369" s="63" t="s">
        <v>613</v>
      </c>
      <c r="G2369" s="64" t="n">
        <v>14886.7970205094</v>
      </c>
      <c r="H2369" s="62"/>
    </row>
    <row r="2370" customFormat="false" ht="15" hidden="false" customHeight="false" outlineLevel="0" collapsed="false">
      <c r="A2370" s="62" t="n">
        <v>0</v>
      </c>
      <c r="B2370" s="62" t="s">
        <v>385</v>
      </c>
      <c r="C2370" s="62" t="s">
        <v>60</v>
      </c>
      <c r="D2370" s="62" t="s">
        <v>382</v>
      </c>
      <c r="E2370" s="62" t="s">
        <v>382</v>
      </c>
      <c r="F2370" s="63" t="s">
        <v>613</v>
      </c>
      <c r="G2370" s="64" t="n">
        <v>14886.7970205094</v>
      </c>
      <c r="H2370" s="62"/>
    </row>
    <row r="2371" customFormat="false" ht="15" hidden="false" customHeight="false" outlineLevel="0" collapsed="false">
      <c r="A2371" s="62" t="n">
        <v>0</v>
      </c>
      <c r="B2371" s="62" t="s">
        <v>386</v>
      </c>
      <c r="C2371" s="62" t="s">
        <v>60</v>
      </c>
      <c r="D2371" s="62" t="s">
        <v>382</v>
      </c>
      <c r="E2371" s="62" t="s">
        <v>382</v>
      </c>
      <c r="F2371" s="63" t="s">
        <v>613</v>
      </c>
      <c r="G2371" s="64" t="n">
        <v>14886.7970205094</v>
      </c>
      <c r="H2371" s="62"/>
    </row>
    <row r="2372" customFormat="false" ht="15" hidden="false" customHeight="false" outlineLevel="0" collapsed="false">
      <c r="A2372" s="62" t="n">
        <v>0</v>
      </c>
      <c r="B2372" s="62" t="s">
        <v>387</v>
      </c>
      <c r="C2372" s="62" t="s">
        <v>60</v>
      </c>
      <c r="D2372" s="62" t="s">
        <v>382</v>
      </c>
      <c r="E2372" s="62" t="s">
        <v>382</v>
      </c>
      <c r="F2372" s="63" t="s">
        <v>613</v>
      </c>
      <c r="G2372" s="64" t="n">
        <v>14886.7970205094</v>
      </c>
      <c r="H2372" s="62"/>
    </row>
    <row r="2373" customFormat="false" ht="15" hidden="false" customHeight="false" outlineLevel="0" collapsed="false">
      <c r="A2373" s="62" t="n">
        <v>0</v>
      </c>
      <c r="B2373" s="62" t="s">
        <v>388</v>
      </c>
      <c r="C2373" s="62" t="s">
        <v>60</v>
      </c>
      <c r="D2373" s="62" t="s">
        <v>382</v>
      </c>
      <c r="E2373" s="62" t="s">
        <v>382</v>
      </c>
      <c r="F2373" s="63" t="s">
        <v>613</v>
      </c>
      <c r="G2373" s="64" t="n">
        <v>14886.7970205094</v>
      </c>
      <c r="H2373" s="62"/>
    </row>
    <row r="2374" customFormat="false" ht="15" hidden="false" customHeight="false" outlineLevel="0" collapsed="false">
      <c r="A2374" s="62" t="n">
        <v>0</v>
      </c>
      <c r="B2374" s="62" t="s">
        <v>381</v>
      </c>
      <c r="C2374" s="62" t="s">
        <v>60</v>
      </c>
      <c r="D2374" s="62" t="s">
        <v>382</v>
      </c>
      <c r="E2374" s="62" t="s">
        <v>382</v>
      </c>
      <c r="F2374" s="63" t="s">
        <v>614</v>
      </c>
      <c r="G2374" s="64" t="n">
        <v>14051.3756273759</v>
      </c>
      <c r="H2374" s="62"/>
    </row>
    <row r="2375" customFormat="false" ht="15" hidden="false" customHeight="false" outlineLevel="0" collapsed="false">
      <c r="A2375" s="62" t="n">
        <v>0</v>
      </c>
      <c r="B2375" s="62" t="s">
        <v>383</v>
      </c>
      <c r="C2375" s="62" t="s">
        <v>60</v>
      </c>
      <c r="D2375" s="62" t="s">
        <v>382</v>
      </c>
      <c r="E2375" s="62" t="s">
        <v>382</v>
      </c>
      <c r="F2375" s="63" t="s">
        <v>614</v>
      </c>
      <c r="G2375" s="64" t="n">
        <v>14051.3756273759</v>
      </c>
      <c r="H2375" s="62"/>
    </row>
    <row r="2376" customFormat="false" ht="15" hidden="false" customHeight="false" outlineLevel="0" collapsed="false">
      <c r="A2376" s="62" t="n">
        <v>0</v>
      </c>
      <c r="B2376" s="62" t="s">
        <v>384</v>
      </c>
      <c r="C2376" s="62" t="s">
        <v>60</v>
      </c>
      <c r="D2376" s="62" t="s">
        <v>382</v>
      </c>
      <c r="E2376" s="62" t="s">
        <v>382</v>
      </c>
      <c r="F2376" s="63" t="s">
        <v>614</v>
      </c>
      <c r="G2376" s="64" t="n">
        <v>14051.3756273759</v>
      </c>
      <c r="H2376" s="62"/>
    </row>
    <row r="2377" customFormat="false" ht="15" hidden="false" customHeight="false" outlineLevel="0" collapsed="false">
      <c r="A2377" s="62" t="n">
        <v>0</v>
      </c>
      <c r="B2377" s="62" t="s">
        <v>385</v>
      </c>
      <c r="C2377" s="62" t="s">
        <v>60</v>
      </c>
      <c r="D2377" s="62" t="s">
        <v>382</v>
      </c>
      <c r="E2377" s="62" t="s">
        <v>382</v>
      </c>
      <c r="F2377" s="63" t="s">
        <v>614</v>
      </c>
      <c r="G2377" s="64" t="n">
        <v>14051.3756273759</v>
      </c>
      <c r="H2377" s="62"/>
    </row>
    <row r="2378" customFormat="false" ht="15" hidden="false" customHeight="false" outlineLevel="0" collapsed="false">
      <c r="A2378" s="62" t="n">
        <v>0</v>
      </c>
      <c r="B2378" s="62" t="s">
        <v>386</v>
      </c>
      <c r="C2378" s="62" t="s">
        <v>60</v>
      </c>
      <c r="D2378" s="62" t="s">
        <v>382</v>
      </c>
      <c r="E2378" s="62" t="s">
        <v>382</v>
      </c>
      <c r="F2378" s="63" t="s">
        <v>614</v>
      </c>
      <c r="G2378" s="64" t="n">
        <v>14051.3756273759</v>
      </c>
      <c r="H2378" s="62"/>
    </row>
    <row r="2379" customFormat="false" ht="15" hidden="false" customHeight="false" outlineLevel="0" collapsed="false">
      <c r="A2379" s="62" t="n">
        <v>0</v>
      </c>
      <c r="B2379" s="62" t="s">
        <v>387</v>
      </c>
      <c r="C2379" s="62" t="s">
        <v>60</v>
      </c>
      <c r="D2379" s="62" t="s">
        <v>382</v>
      </c>
      <c r="E2379" s="62" t="s">
        <v>382</v>
      </c>
      <c r="F2379" s="63" t="s">
        <v>614</v>
      </c>
      <c r="G2379" s="64" t="n">
        <v>14051.3756273759</v>
      </c>
      <c r="H2379" s="62"/>
    </row>
    <row r="2380" customFormat="false" ht="15" hidden="false" customHeight="false" outlineLevel="0" collapsed="false">
      <c r="A2380" s="62" t="n">
        <v>0</v>
      </c>
      <c r="B2380" s="62" t="s">
        <v>388</v>
      </c>
      <c r="C2380" s="62" t="s">
        <v>60</v>
      </c>
      <c r="D2380" s="62" t="s">
        <v>382</v>
      </c>
      <c r="E2380" s="62" t="s">
        <v>382</v>
      </c>
      <c r="F2380" s="63" t="s">
        <v>614</v>
      </c>
      <c r="G2380" s="64" t="n">
        <v>14051.3756273759</v>
      </c>
      <c r="H2380" s="62"/>
    </row>
    <row r="2381" customFormat="false" ht="15" hidden="false" customHeight="false" outlineLevel="0" collapsed="false">
      <c r="A2381" s="62" t="n">
        <v>0</v>
      </c>
      <c r="B2381" s="62" t="s">
        <v>381</v>
      </c>
      <c r="C2381" s="62" t="s">
        <v>60</v>
      </c>
      <c r="D2381" s="62" t="s">
        <v>382</v>
      </c>
      <c r="E2381" s="62" t="s">
        <v>382</v>
      </c>
      <c r="F2381" s="63" t="s">
        <v>615</v>
      </c>
      <c r="G2381" s="64" t="n">
        <v>11425.6408888889</v>
      </c>
      <c r="H2381" s="62"/>
    </row>
    <row r="2382" customFormat="false" ht="15" hidden="false" customHeight="false" outlineLevel="0" collapsed="false">
      <c r="A2382" s="62" t="n">
        <v>0</v>
      </c>
      <c r="B2382" s="62" t="s">
        <v>383</v>
      </c>
      <c r="C2382" s="62" t="s">
        <v>60</v>
      </c>
      <c r="D2382" s="62" t="s">
        <v>382</v>
      </c>
      <c r="E2382" s="62" t="s">
        <v>382</v>
      </c>
      <c r="F2382" s="63" t="s">
        <v>615</v>
      </c>
      <c r="G2382" s="64" t="n">
        <v>11425.6408888889</v>
      </c>
      <c r="H2382" s="62"/>
    </row>
    <row r="2383" customFormat="false" ht="15" hidden="false" customHeight="false" outlineLevel="0" collapsed="false">
      <c r="A2383" s="62" t="n">
        <v>0</v>
      </c>
      <c r="B2383" s="62" t="s">
        <v>384</v>
      </c>
      <c r="C2383" s="62" t="s">
        <v>60</v>
      </c>
      <c r="D2383" s="62" t="s">
        <v>382</v>
      </c>
      <c r="E2383" s="62" t="s">
        <v>382</v>
      </c>
      <c r="F2383" s="63" t="s">
        <v>615</v>
      </c>
      <c r="G2383" s="64" t="n">
        <v>11425.6408888889</v>
      </c>
      <c r="H2383" s="62"/>
    </row>
    <row r="2384" customFormat="false" ht="15" hidden="false" customHeight="false" outlineLevel="0" collapsed="false">
      <c r="A2384" s="62" t="n">
        <v>0</v>
      </c>
      <c r="B2384" s="62" t="s">
        <v>385</v>
      </c>
      <c r="C2384" s="62" t="s">
        <v>60</v>
      </c>
      <c r="D2384" s="62" t="s">
        <v>382</v>
      </c>
      <c r="E2384" s="62" t="s">
        <v>382</v>
      </c>
      <c r="F2384" s="63" t="s">
        <v>615</v>
      </c>
      <c r="G2384" s="64" t="n">
        <v>11425.6408888889</v>
      </c>
      <c r="H2384" s="62"/>
    </row>
    <row r="2385" customFormat="false" ht="15" hidden="false" customHeight="false" outlineLevel="0" collapsed="false">
      <c r="A2385" s="62" t="n">
        <v>0</v>
      </c>
      <c r="B2385" s="62" t="s">
        <v>386</v>
      </c>
      <c r="C2385" s="62" t="s">
        <v>60</v>
      </c>
      <c r="D2385" s="62" t="s">
        <v>382</v>
      </c>
      <c r="E2385" s="62" t="s">
        <v>382</v>
      </c>
      <c r="F2385" s="63" t="s">
        <v>615</v>
      </c>
      <c r="G2385" s="64" t="n">
        <v>11425.6408888889</v>
      </c>
      <c r="H2385" s="62"/>
    </row>
    <row r="2386" customFormat="false" ht="15" hidden="false" customHeight="false" outlineLevel="0" collapsed="false">
      <c r="A2386" s="62" t="n">
        <v>0</v>
      </c>
      <c r="B2386" s="62" t="s">
        <v>387</v>
      </c>
      <c r="C2386" s="62" t="s">
        <v>60</v>
      </c>
      <c r="D2386" s="62" t="s">
        <v>382</v>
      </c>
      <c r="E2386" s="62" t="s">
        <v>382</v>
      </c>
      <c r="F2386" s="63" t="s">
        <v>615</v>
      </c>
      <c r="G2386" s="64" t="n">
        <v>11425.6408888889</v>
      </c>
      <c r="H2386" s="62"/>
    </row>
    <row r="2387" customFormat="false" ht="15" hidden="false" customHeight="false" outlineLevel="0" collapsed="false">
      <c r="A2387" s="62" t="n">
        <v>0</v>
      </c>
      <c r="B2387" s="62" t="s">
        <v>388</v>
      </c>
      <c r="C2387" s="62" t="s">
        <v>60</v>
      </c>
      <c r="D2387" s="62" t="s">
        <v>382</v>
      </c>
      <c r="E2387" s="62" t="s">
        <v>382</v>
      </c>
      <c r="F2387" s="63" t="s">
        <v>615</v>
      </c>
      <c r="G2387" s="64" t="n">
        <v>11425.6408888889</v>
      </c>
      <c r="H2387" s="62"/>
    </row>
    <row r="2388" customFormat="false" ht="15" hidden="false" customHeight="false" outlineLevel="0" collapsed="false">
      <c r="A2388" s="62" t="n">
        <v>0</v>
      </c>
      <c r="B2388" s="62" t="s">
        <v>381</v>
      </c>
      <c r="C2388" s="62" t="s">
        <v>60</v>
      </c>
      <c r="D2388" s="62" t="s">
        <v>382</v>
      </c>
      <c r="E2388" s="62" t="s">
        <v>382</v>
      </c>
      <c r="F2388" s="63" t="s">
        <v>616</v>
      </c>
      <c r="G2388" s="64" t="n">
        <v>10264.4712345679</v>
      </c>
      <c r="H2388" s="62"/>
    </row>
    <row r="2389" customFormat="false" ht="15" hidden="false" customHeight="false" outlineLevel="0" collapsed="false">
      <c r="A2389" s="62" t="n">
        <v>0</v>
      </c>
      <c r="B2389" s="62" t="s">
        <v>383</v>
      </c>
      <c r="C2389" s="62" t="s">
        <v>60</v>
      </c>
      <c r="D2389" s="62" t="s">
        <v>382</v>
      </c>
      <c r="E2389" s="62" t="s">
        <v>382</v>
      </c>
      <c r="F2389" s="63" t="s">
        <v>616</v>
      </c>
      <c r="G2389" s="64" t="n">
        <v>10264.4712345679</v>
      </c>
      <c r="H2389" s="62"/>
    </row>
    <row r="2390" customFormat="false" ht="15" hidden="false" customHeight="false" outlineLevel="0" collapsed="false">
      <c r="A2390" s="62" t="n">
        <v>0</v>
      </c>
      <c r="B2390" s="62" t="s">
        <v>384</v>
      </c>
      <c r="C2390" s="62" t="s">
        <v>60</v>
      </c>
      <c r="D2390" s="62" t="s">
        <v>382</v>
      </c>
      <c r="E2390" s="62" t="s">
        <v>382</v>
      </c>
      <c r="F2390" s="63" t="s">
        <v>616</v>
      </c>
      <c r="G2390" s="64" t="n">
        <v>10264.4712345679</v>
      </c>
      <c r="H2390" s="62"/>
    </row>
    <row r="2391" customFormat="false" ht="15" hidden="false" customHeight="false" outlineLevel="0" collapsed="false">
      <c r="A2391" s="62" t="n">
        <v>0</v>
      </c>
      <c r="B2391" s="62" t="s">
        <v>385</v>
      </c>
      <c r="C2391" s="62" t="s">
        <v>60</v>
      </c>
      <c r="D2391" s="62" t="s">
        <v>382</v>
      </c>
      <c r="E2391" s="62" t="s">
        <v>382</v>
      </c>
      <c r="F2391" s="63" t="s">
        <v>616</v>
      </c>
      <c r="G2391" s="64" t="n">
        <v>10264.4712345679</v>
      </c>
      <c r="H2391" s="62"/>
    </row>
    <row r="2392" customFormat="false" ht="15" hidden="false" customHeight="false" outlineLevel="0" collapsed="false">
      <c r="A2392" s="62" t="n">
        <v>0</v>
      </c>
      <c r="B2392" s="62" t="s">
        <v>386</v>
      </c>
      <c r="C2392" s="62" t="s">
        <v>60</v>
      </c>
      <c r="D2392" s="62" t="s">
        <v>382</v>
      </c>
      <c r="E2392" s="62" t="s">
        <v>382</v>
      </c>
      <c r="F2392" s="63" t="s">
        <v>616</v>
      </c>
      <c r="G2392" s="64" t="n">
        <v>10264.4712345679</v>
      </c>
      <c r="H2392" s="62"/>
    </row>
    <row r="2393" customFormat="false" ht="15" hidden="false" customHeight="false" outlineLevel="0" collapsed="false">
      <c r="A2393" s="62" t="n">
        <v>0</v>
      </c>
      <c r="B2393" s="62" t="s">
        <v>387</v>
      </c>
      <c r="C2393" s="62" t="s">
        <v>60</v>
      </c>
      <c r="D2393" s="62" t="s">
        <v>382</v>
      </c>
      <c r="E2393" s="62" t="s">
        <v>382</v>
      </c>
      <c r="F2393" s="63" t="s">
        <v>616</v>
      </c>
      <c r="G2393" s="64" t="n">
        <v>10264.4712345679</v>
      </c>
      <c r="H2393" s="62"/>
    </row>
    <row r="2394" customFormat="false" ht="15" hidden="false" customHeight="false" outlineLevel="0" collapsed="false">
      <c r="A2394" s="62" t="n">
        <v>0</v>
      </c>
      <c r="B2394" s="62" t="s">
        <v>388</v>
      </c>
      <c r="C2394" s="62" t="s">
        <v>60</v>
      </c>
      <c r="D2394" s="62" t="s">
        <v>382</v>
      </c>
      <c r="E2394" s="62" t="s">
        <v>382</v>
      </c>
      <c r="F2394" s="63" t="s">
        <v>616</v>
      </c>
      <c r="G2394" s="64" t="n">
        <v>10264.4712345679</v>
      </c>
      <c r="H2394" s="62"/>
    </row>
    <row r="2395" customFormat="false" ht="15" hidden="false" customHeight="false" outlineLevel="0" collapsed="false">
      <c r="A2395" s="62" t="n">
        <v>0</v>
      </c>
      <c r="B2395" s="62" t="s">
        <v>381</v>
      </c>
      <c r="C2395" s="62" t="s">
        <v>60</v>
      </c>
      <c r="D2395" s="62" t="s">
        <v>382</v>
      </c>
      <c r="E2395" s="62" t="s">
        <v>382</v>
      </c>
      <c r="F2395" s="63" t="s">
        <v>617</v>
      </c>
      <c r="G2395" s="64" t="n">
        <v>14183.3100018874</v>
      </c>
      <c r="H2395" s="62"/>
    </row>
    <row r="2396" customFormat="false" ht="15" hidden="false" customHeight="false" outlineLevel="0" collapsed="false">
      <c r="A2396" s="62" t="n">
        <v>0</v>
      </c>
      <c r="B2396" s="62" t="s">
        <v>383</v>
      </c>
      <c r="C2396" s="62" t="s">
        <v>60</v>
      </c>
      <c r="D2396" s="62" t="s">
        <v>382</v>
      </c>
      <c r="E2396" s="62" t="s">
        <v>382</v>
      </c>
      <c r="F2396" s="63" t="s">
        <v>617</v>
      </c>
      <c r="G2396" s="64" t="n">
        <v>14183.3100018874</v>
      </c>
      <c r="H2396" s="62"/>
    </row>
    <row r="2397" customFormat="false" ht="15" hidden="false" customHeight="false" outlineLevel="0" collapsed="false">
      <c r="A2397" s="62" t="n">
        <v>0</v>
      </c>
      <c r="B2397" s="62" t="s">
        <v>384</v>
      </c>
      <c r="C2397" s="62" t="s">
        <v>60</v>
      </c>
      <c r="D2397" s="62" t="s">
        <v>382</v>
      </c>
      <c r="E2397" s="62" t="s">
        <v>382</v>
      </c>
      <c r="F2397" s="63" t="s">
        <v>617</v>
      </c>
      <c r="G2397" s="64" t="n">
        <v>14183.3100018874</v>
      </c>
      <c r="H2397" s="62"/>
    </row>
    <row r="2398" customFormat="false" ht="15" hidden="false" customHeight="false" outlineLevel="0" collapsed="false">
      <c r="A2398" s="62" t="n">
        <v>0</v>
      </c>
      <c r="B2398" s="62" t="s">
        <v>385</v>
      </c>
      <c r="C2398" s="62" t="s">
        <v>60</v>
      </c>
      <c r="D2398" s="62" t="s">
        <v>382</v>
      </c>
      <c r="E2398" s="62" t="s">
        <v>382</v>
      </c>
      <c r="F2398" s="63" t="s">
        <v>617</v>
      </c>
      <c r="G2398" s="64" t="n">
        <v>14183.3100018874</v>
      </c>
      <c r="H2398" s="62"/>
    </row>
    <row r="2399" customFormat="false" ht="15" hidden="false" customHeight="false" outlineLevel="0" collapsed="false">
      <c r="A2399" s="62" t="n">
        <v>0</v>
      </c>
      <c r="B2399" s="62" t="s">
        <v>386</v>
      </c>
      <c r="C2399" s="62" t="s">
        <v>60</v>
      </c>
      <c r="D2399" s="62" t="s">
        <v>382</v>
      </c>
      <c r="E2399" s="62" t="s">
        <v>382</v>
      </c>
      <c r="F2399" s="63" t="s">
        <v>617</v>
      </c>
      <c r="G2399" s="64" t="n">
        <v>14183.3100018874</v>
      </c>
      <c r="H2399" s="62"/>
    </row>
    <row r="2400" customFormat="false" ht="15" hidden="false" customHeight="false" outlineLevel="0" collapsed="false">
      <c r="A2400" s="62" t="n">
        <v>0</v>
      </c>
      <c r="B2400" s="62" t="s">
        <v>387</v>
      </c>
      <c r="C2400" s="62" t="s">
        <v>60</v>
      </c>
      <c r="D2400" s="62" t="s">
        <v>382</v>
      </c>
      <c r="E2400" s="62" t="s">
        <v>382</v>
      </c>
      <c r="F2400" s="63" t="s">
        <v>617</v>
      </c>
      <c r="G2400" s="64" t="n">
        <v>14183.3100018874</v>
      </c>
      <c r="H2400" s="62"/>
    </row>
    <row r="2401" customFormat="false" ht="15" hidden="false" customHeight="false" outlineLevel="0" collapsed="false">
      <c r="A2401" s="62" t="n">
        <v>0</v>
      </c>
      <c r="B2401" s="62" t="s">
        <v>388</v>
      </c>
      <c r="C2401" s="62" t="s">
        <v>60</v>
      </c>
      <c r="D2401" s="62" t="s">
        <v>382</v>
      </c>
      <c r="E2401" s="62" t="s">
        <v>382</v>
      </c>
      <c r="F2401" s="63" t="s">
        <v>617</v>
      </c>
      <c r="G2401" s="64" t="n">
        <v>14183.3100018874</v>
      </c>
      <c r="H2401" s="62"/>
    </row>
    <row r="2402" customFormat="false" ht="15" hidden="false" customHeight="false" outlineLevel="0" collapsed="false">
      <c r="A2402" s="62" t="n">
        <v>0</v>
      </c>
      <c r="B2402" s="62" t="s">
        <v>381</v>
      </c>
      <c r="C2402" s="62" t="s">
        <v>60</v>
      </c>
      <c r="D2402" s="62" t="s">
        <v>382</v>
      </c>
      <c r="E2402" s="62" t="s">
        <v>382</v>
      </c>
      <c r="F2402" s="63" t="s">
        <v>618</v>
      </c>
      <c r="G2402" s="64" t="n">
        <v>14183.3100018874</v>
      </c>
      <c r="H2402" s="62"/>
    </row>
    <row r="2403" customFormat="false" ht="15" hidden="false" customHeight="false" outlineLevel="0" collapsed="false">
      <c r="A2403" s="62" t="n">
        <v>0</v>
      </c>
      <c r="B2403" s="62" t="s">
        <v>383</v>
      </c>
      <c r="C2403" s="62" t="s">
        <v>60</v>
      </c>
      <c r="D2403" s="62" t="s">
        <v>382</v>
      </c>
      <c r="E2403" s="62" t="s">
        <v>382</v>
      </c>
      <c r="F2403" s="63" t="s">
        <v>618</v>
      </c>
      <c r="G2403" s="64" t="n">
        <v>14183.3100018874</v>
      </c>
      <c r="H2403" s="62"/>
    </row>
    <row r="2404" customFormat="false" ht="15" hidden="false" customHeight="false" outlineLevel="0" collapsed="false">
      <c r="A2404" s="62" t="n">
        <v>0</v>
      </c>
      <c r="B2404" s="62" t="s">
        <v>384</v>
      </c>
      <c r="C2404" s="62" t="s">
        <v>60</v>
      </c>
      <c r="D2404" s="62" t="s">
        <v>382</v>
      </c>
      <c r="E2404" s="62" t="s">
        <v>382</v>
      </c>
      <c r="F2404" s="63" t="s">
        <v>618</v>
      </c>
      <c r="G2404" s="64" t="n">
        <v>14183.3100018874</v>
      </c>
      <c r="H2404" s="62"/>
    </row>
    <row r="2405" customFormat="false" ht="15" hidden="false" customHeight="false" outlineLevel="0" collapsed="false">
      <c r="A2405" s="62" t="n">
        <v>0</v>
      </c>
      <c r="B2405" s="62" t="s">
        <v>385</v>
      </c>
      <c r="C2405" s="62" t="s">
        <v>60</v>
      </c>
      <c r="D2405" s="62" t="s">
        <v>382</v>
      </c>
      <c r="E2405" s="62" t="s">
        <v>382</v>
      </c>
      <c r="F2405" s="63" t="s">
        <v>618</v>
      </c>
      <c r="G2405" s="64" t="n">
        <v>14183.3100018874</v>
      </c>
      <c r="H2405" s="62"/>
    </row>
    <row r="2406" customFormat="false" ht="15" hidden="false" customHeight="false" outlineLevel="0" collapsed="false">
      <c r="A2406" s="62" t="n">
        <v>0</v>
      </c>
      <c r="B2406" s="62" t="s">
        <v>386</v>
      </c>
      <c r="C2406" s="62" t="s">
        <v>60</v>
      </c>
      <c r="D2406" s="62" t="s">
        <v>382</v>
      </c>
      <c r="E2406" s="62" t="s">
        <v>382</v>
      </c>
      <c r="F2406" s="63" t="s">
        <v>618</v>
      </c>
      <c r="G2406" s="64" t="n">
        <v>14183.3100018874</v>
      </c>
      <c r="H2406" s="62"/>
    </row>
    <row r="2407" customFormat="false" ht="15" hidden="false" customHeight="false" outlineLevel="0" collapsed="false">
      <c r="A2407" s="62" t="n">
        <v>0</v>
      </c>
      <c r="B2407" s="62" t="s">
        <v>387</v>
      </c>
      <c r="C2407" s="62" t="s">
        <v>60</v>
      </c>
      <c r="D2407" s="62" t="s">
        <v>382</v>
      </c>
      <c r="E2407" s="62" t="s">
        <v>382</v>
      </c>
      <c r="F2407" s="63" t="s">
        <v>618</v>
      </c>
      <c r="G2407" s="64" t="n">
        <v>14183.3100018874</v>
      </c>
      <c r="H2407" s="62"/>
    </row>
    <row r="2408" customFormat="false" ht="15" hidden="false" customHeight="false" outlineLevel="0" collapsed="false">
      <c r="A2408" s="62" t="n">
        <v>0</v>
      </c>
      <c r="B2408" s="62" t="s">
        <v>388</v>
      </c>
      <c r="C2408" s="62" t="s">
        <v>60</v>
      </c>
      <c r="D2408" s="62" t="s">
        <v>382</v>
      </c>
      <c r="E2408" s="62" t="s">
        <v>382</v>
      </c>
      <c r="F2408" s="63" t="s">
        <v>618</v>
      </c>
      <c r="G2408" s="64" t="n">
        <v>14183.3100018874</v>
      </c>
      <c r="H2408" s="62"/>
    </row>
    <row r="2409" customFormat="false" ht="15" hidden="false" customHeight="false" outlineLevel="0" collapsed="false">
      <c r="A2409" s="62" t="n">
        <v>0</v>
      </c>
      <c r="B2409" s="62" t="s">
        <v>381</v>
      </c>
      <c r="C2409" s="62" t="s">
        <v>60</v>
      </c>
      <c r="D2409" s="62" t="s">
        <v>382</v>
      </c>
      <c r="E2409" s="62" t="s">
        <v>382</v>
      </c>
      <c r="F2409" s="63" t="s">
        <v>619</v>
      </c>
      <c r="G2409" s="64" t="n">
        <v>12157.9234309719</v>
      </c>
      <c r="H2409" s="62"/>
    </row>
    <row r="2410" customFormat="false" ht="15" hidden="false" customHeight="false" outlineLevel="0" collapsed="false">
      <c r="A2410" s="62" t="n">
        <v>0</v>
      </c>
      <c r="B2410" s="62" t="s">
        <v>383</v>
      </c>
      <c r="C2410" s="62" t="s">
        <v>60</v>
      </c>
      <c r="D2410" s="62" t="s">
        <v>382</v>
      </c>
      <c r="E2410" s="62" t="s">
        <v>382</v>
      </c>
      <c r="F2410" s="63" t="s">
        <v>619</v>
      </c>
      <c r="G2410" s="64" t="n">
        <v>12157.9234309719</v>
      </c>
      <c r="H2410" s="62"/>
    </row>
    <row r="2411" customFormat="false" ht="15" hidden="false" customHeight="false" outlineLevel="0" collapsed="false">
      <c r="A2411" s="62" t="n">
        <v>0</v>
      </c>
      <c r="B2411" s="62" t="s">
        <v>384</v>
      </c>
      <c r="C2411" s="62" t="s">
        <v>60</v>
      </c>
      <c r="D2411" s="62" t="s">
        <v>382</v>
      </c>
      <c r="E2411" s="62" t="s">
        <v>382</v>
      </c>
      <c r="F2411" s="63" t="s">
        <v>619</v>
      </c>
      <c r="G2411" s="64" t="n">
        <v>12157.9234309719</v>
      </c>
      <c r="H2411" s="62"/>
    </row>
    <row r="2412" customFormat="false" ht="15" hidden="false" customHeight="false" outlineLevel="0" collapsed="false">
      <c r="A2412" s="62" t="n">
        <v>0</v>
      </c>
      <c r="B2412" s="62" t="s">
        <v>385</v>
      </c>
      <c r="C2412" s="62" t="s">
        <v>60</v>
      </c>
      <c r="D2412" s="62" t="s">
        <v>382</v>
      </c>
      <c r="E2412" s="62" t="s">
        <v>382</v>
      </c>
      <c r="F2412" s="63" t="s">
        <v>619</v>
      </c>
      <c r="G2412" s="64" t="n">
        <v>12157.9234309719</v>
      </c>
      <c r="H2412" s="62"/>
    </row>
    <row r="2413" customFormat="false" ht="15" hidden="false" customHeight="false" outlineLevel="0" collapsed="false">
      <c r="A2413" s="62" t="n">
        <v>0</v>
      </c>
      <c r="B2413" s="62" t="s">
        <v>386</v>
      </c>
      <c r="C2413" s="62" t="s">
        <v>60</v>
      </c>
      <c r="D2413" s="62" t="s">
        <v>382</v>
      </c>
      <c r="E2413" s="62" t="s">
        <v>382</v>
      </c>
      <c r="F2413" s="63" t="s">
        <v>619</v>
      </c>
      <c r="G2413" s="64" t="n">
        <v>12157.9234309719</v>
      </c>
      <c r="H2413" s="62"/>
    </row>
    <row r="2414" customFormat="false" ht="15" hidden="false" customHeight="false" outlineLevel="0" collapsed="false">
      <c r="A2414" s="62" t="n">
        <v>0</v>
      </c>
      <c r="B2414" s="62" t="s">
        <v>387</v>
      </c>
      <c r="C2414" s="62" t="s">
        <v>60</v>
      </c>
      <c r="D2414" s="62" t="s">
        <v>382</v>
      </c>
      <c r="E2414" s="62" t="s">
        <v>382</v>
      </c>
      <c r="F2414" s="63" t="s">
        <v>619</v>
      </c>
      <c r="G2414" s="64" t="n">
        <v>12157.9234309719</v>
      </c>
      <c r="H2414" s="62"/>
    </row>
    <row r="2415" customFormat="false" ht="15" hidden="false" customHeight="false" outlineLevel="0" collapsed="false">
      <c r="A2415" s="62" t="n">
        <v>0</v>
      </c>
      <c r="B2415" s="62" t="s">
        <v>388</v>
      </c>
      <c r="C2415" s="62" t="s">
        <v>60</v>
      </c>
      <c r="D2415" s="62" t="s">
        <v>382</v>
      </c>
      <c r="E2415" s="62" t="s">
        <v>382</v>
      </c>
      <c r="F2415" s="63" t="s">
        <v>619</v>
      </c>
      <c r="G2415" s="64" t="n">
        <v>12157.9234309719</v>
      </c>
      <c r="H2415" s="62"/>
    </row>
    <row r="2416" customFormat="false" ht="15" hidden="false" customHeight="false" outlineLevel="0" collapsed="false">
      <c r="A2416" s="62" t="n">
        <v>0</v>
      </c>
      <c r="B2416" s="62" t="s">
        <v>381</v>
      </c>
      <c r="C2416" s="62" t="s">
        <v>60</v>
      </c>
      <c r="D2416" s="62" t="s">
        <v>382</v>
      </c>
      <c r="E2416" s="62" t="s">
        <v>382</v>
      </c>
      <c r="F2416" s="63" t="s">
        <v>620</v>
      </c>
      <c r="G2416" s="64" t="n">
        <v>12157.9234309719</v>
      </c>
      <c r="H2416" s="62"/>
    </row>
    <row r="2417" customFormat="false" ht="15" hidden="false" customHeight="false" outlineLevel="0" collapsed="false">
      <c r="A2417" s="62" t="n">
        <v>0</v>
      </c>
      <c r="B2417" s="62" t="s">
        <v>383</v>
      </c>
      <c r="C2417" s="62" t="s">
        <v>60</v>
      </c>
      <c r="D2417" s="62" t="s">
        <v>382</v>
      </c>
      <c r="E2417" s="62" t="s">
        <v>382</v>
      </c>
      <c r="F2417" s="63" t="s">
        <v>620</v>
      </c>
      <c r="G2417" s="64" t="n">
        <v>12157.9234309719</v>
      </c>
      <c r="H2417" s="62"/>
    </row>
    <row r="2418" customFormat="false" ht="15" hidden="false" customHeight="false" outlineLevel="0" collapsed="false">
      <c r="A2418" s="62" t="n">
        <v>0</v>
      </c>
      <c r="B2418" s="62" t="s">
        <v>384</v>
      </c>
      <c r="C2418" s="62" t="s">
        <v>60</v>
      </c>
      <c r="D2418" s="62" t="s">
        <v>382</v>
      </c>
      <c r="E2418" s="62" t="s">
        <v>382</v>
      </c>
      <c r="F2418" s="63" t="s">
        <v>620</v>
      </c>
      <c r="G2418" s="64" t="n">
        <v>12157.9234309719</v>
      </c>
      <c r="H2418" s="62"/>
    </row>
    <row r="2419" customFormat="false" ht="15" hidden="false" customHeight="false" outlineLevel="0" collapsed="false">
      <c r="A2419" s="62" t="n">
        <v>0</v>
      </c>
      <c r="B2419" s="62" t="s">
        <v>385</v>
      </c>
      <c r="C2419" s="62" t="s">
        <v>60</v>
      </c>
      <c r="D2419" s="62" t="s">
        <v>382</v>
      </c>
      <c r="E2419" s="62" t="s">
        <v>382</v>
      </c>
      <c r="F2419" s="63" t="s">
        <v>620</v>
      </c>
      <c r="G2419" s="64" t="n">
        <v>12157.9234309719</v>
      </c>
      <c r="H2419" s="62"/>
    </row>
    <row r="2420" customFormat="false" ht="15" hidden="false" customHeight="false" outlineLevel="0" collapsed="false">
      <c r="A2420" s="62" t="n">
        <v>0</v>
      </c>
      <c r="B2420" s="62" t="s">
        <v>386</v>
      </c>
      <c r="C2420" s="62" t="s">
        <v>60</v>
      </c>
      <c r="D2420" s="62" t="s">
        <v>382</v>
      </c>
      <c r="E2420" s="62" t="s">
        <v>382</v>
      </c>
      <c r="F2420" s="63" t="s">
        <v>620</v>
      </c>
      <c r="G2420" s="64" t="n">
        <v>12157.9234309719</v>
      </c>
      <c r="H2420" s="62"/>
    </row>
    <row r="2421" customFormat="false" ht="15" hidden="false" customHeight="false" outlineLevel="0" collapsed="false">
      <c r="A2421" s="62" t="n">
        <v>0</v>
      </c>
      <c r="B2421" s="62" t="s">
        <v>387</v>
      </c>
      <c r="C2421" s="62" t="s">
        <v>60</v>
      </c>
      <c r="D2421" s="62" t="s">
        <v>382</v>
      </c>
      <c r="E2421" s="62" t="s">
        <v>382</v>
      </c>
      <c r="F2421" s="63" t="s">
        <v>620</v>
      </c>
      <c r="G2421" s="64" t="n">
        <v>12157.9234309719</v>
      </c>
      <c r="H2421" s="62"/>
    </row>
    <row r="2422" customFormat="false" ht="15" hidden="false" customHeight="false" outlineLevel="0" collapsed="false">
      <c r="A2422" s="62" t="n">
        <v>0</v>
      </c>
      <c r="B2422" s="62" t="s">
        <v>388</v>
      </c>
      <c r="C2422" s="62" t="s">
        <v>60</v>
      </c>
      <c r="D2422" s="62" t="s">
        <v>382</v>
      </c>
      <c r="E2422" s="62" t="s">
        <v>382</v>
      </c>
      <c r="F2422" s="63" t="s">
        <v>620</v>
      </c>
      <c r="G2422" s="64" t="n">
        <v>12157.9234309719</v>
      </c>
      <c r="H2422" s="62"/>
    </row>
    <row r="2423" customFormat="false" ht="15" hidden="false" customHeight="false" outlineLevel="0" collapsed="false">
      <c r="A2423" s="62" t="n">
        <v>0</v>
      </c>
      <c r="B2423" s="62" t="s">
        <v>381</v>
      </c>
      <c r="C2423" s="62" t="s">
        <v>60</v>
      </c>
      <c r="D2423" s="62" t="s">
        <v>382</v>
      </c>
      <c r="E2423" s="62" t="s">
        <v>382</v>
      </c>
      <c r="F2423" s="63" t="s">
        <v>621</v>
      </c>
      <c r="G2423" s="64" t="n">
        <v>13452.6325680761</v>
      </c>
      <c r="H2423" s="62"/>
    </row>
    <row r="2424" customFormat="false" ht="15" hidden="false" customHeight="false" outlineLevel="0" collapsed="false">
      <c r="A2424" s="62" t="n">
        <v>0</v>
      </c>
      <c r="B2424" s="62" t="s">
        <v>383</v>
      </c>
      <c r="C2424" s="62" t="s">
        <v>60</v>
      </c>
      <c r="D2424" s="62" t="s">
        <v>382</v>
      </c>
      <c r="E2424" s="62" t="s">
        <v>382</v>
      </c>
      <c r="F2424" s="63" t="s">
        <v>621</v>
      </c>
      <c r="G2424" s="64" t="n">
        <v>13452.6325680761</v>
      </c>
      <c r="H2424" s="62"/>
    </row>
    <row r="2425" customFormat="false" ht="15" hidden="false" customHeight="false" outlineLevel="0" collapsed="false">
      <c r="A2425" s="62" t="n">
        <v>0</v>
      </c>
      <c r="B2425" s="62" t="s">
        <v>384</v>
      </c>
      <c r="C2425" s="62" t="s">
        <v>60</v>
      </c>
      <c r="D2425" s="62" t="s">
        <v>382</v>
      </c>
      <c r="E2425" s="62" t="s">
        <v>382</v>
      </c>
      <c r="F2425" s="63" t="s">
        <v>621</v>
      </c>
      <c r="G2425" s="64" t="n">
        <v>13452.6325680761</v>
      </c>
      <c r="H2425" s="62"/>
    </row>
    <row r="2426" customFormat="false" ht="15" hidden="false" customHeight="false" outlineLevel="0" collapsed="false">
      <c r="A2426" s="62" t="n">
        <v>0</v>
      </c>
      <c r="B2426" s="62" t="s">
        <v>385</v>
      </c>
      <c r="C2426" s="62" t="s">
        <v>60</v>
      </c>
      <c r="D2426" s="62" t="s">
        <v>382</v>
      </c>
      <c r="E2426" s="62" t="s">
        <v>382</v>
      </c>
      <c r="F2426" s="63" t="s">
        <v>621</v>
      </c>
      <c r="G2426" s="64" t="n">
        <v>13452.6325680761</v>
      </c>
      <c r="H2426" s="62"/>
    </row>
    <row r="2427" customFormat="false" ht="15" hidden="false" customHeight="false" outlineLevel="0" collapsed="false">
      <c r="A2427" s="62" t="n">
        <v>0</v>
      </c>
      <c r="B2427" s="62" t="s">
        <v>386</v>
      </c>
      <c r="C2427" s="62" t="s">
        <v>60</v>
      </c>
      <c r="D2427" s="62" t="s">
        <v>382</v>
      </c>
      <c r="E2427" s="62" t="s">
        <v>382</v>
      </c>
      <c r="F2427" s="63" t="s">
        <v>621</v>
      </c>
      <c r="G2427" s="64" t="n">
        <v>13452.6325680761</v>
      </c>
      <c r="H2427" s="62"/>
    </row>
    <row r="2428" customFormat="false" ht="15" hidden="false" customHeight="false" outlineLevel="0" collapsed="false">
      <c r="A2428" s="62" t="n">
        <v>0</v>
      </c>
      <c r="B2428" s="62" t="s">
        <v>387</v>
      </c>
      <c r="C2428" s="62" t="s">
        <v>60</v>
      </c>
      <c r="D2428" s="62" t="s">
        <v>382</v>
      </c>
      <c r="E2428" s="62" t="s">
        <v>382</v>
      </c>
      <c r="F2428" s="63" t="s">
        <v>621</v>
      </c>
      <c r="G2428" s="64" t="n">
        <v>13452.6325680761</v>
      </c>
      <c r="H2428" s="62"/>
    </row>
    <row r="2429" customFormat="false" ht="15" hidden="false" customHeight="false" outlineLevel="0" collapsed="false">
      <c r="A2429" s="62" t="n">
        <v>0</v>
      </c>
      <c r="B2429" s="62" t="s">
        <v>388</v>
      </c>
      <c r="C2429" s="62" t="s">
        <v>60</v>
      </c>
      <c r="D2429" s="62" t="s">
        <v>382</v>
      </c>
      <c r="E2429" s="62" t="s">
        <v>382</v>
      </c>
      <c r="F2429" s="63" t="s">
        <v>621</v>
      </c>
      <c r="G2429" s="64" t="n">
        <v>13452.6325680761</v>
      </c>
      <c r="H2429" s="62"/>
    </row>
    <row r="2430" customFormat="false" ht="15" hidden="false" customHeight="false" outlineLevel="0" collapsed="false">
      <c r="A2430" s="62" t="n">
        <v>0</v>
      </c>
      <c r="B2430" s="62" t="s">
        <v>381</v>
      </c>
      <c r="C2430" s="62" t="s">
        <v>60</v>
      </c>
      <c r="D2430" s="62" t="s">
        <v>382</v>
      </c>
      <c r="E2430" s="62" t="s">
        <v>382</v>
      </c>
      <c r="F2430" s="63" t="s">
        <v>622</v>
      </c>
      <c r="G2430" s="64" t="n">
        <v>13452.6325680761</v>
      </c>
      <c r="H2430" s="62"/>
    </row>
    <row r="2431" customFormat="false" ht="15" hidden="false" customHeight="false" outlineLevel="0" collapsed="false">
      <c r="A2431" s="62" t="n">
        <v>0</v>
      </c>
      <c r="B2431" s="62" t="s">
        <v>383</v>
      </c>
      <c r="C2431" s="62" t="s">
        <v>60</v>
      </c>
      <c r="D2431" s="62" t="s">
        <v>382</v>
      </c>
      <c r="E2431" s="62" t="s">
        <v>382</v>
      </c>
      <c r="F2431" s="63" t="s">
        <v>622</v>
      </c>
      <c r="G2431" s="64" t="n">
        <v>13452.6325680761</v>
      </c>
      <c r="H2431" s="62"/>
    </row>
    <row r="2432" customFormat="false" ht="15" hidden="false" customHeight="false" outlineLevel="0" collapsed="false">
      <c r="A2432" s="62" t="n">
        <v>0</v>
      </c>
      <c r="B2432" s="62" t="s">
        <v>384</v>
      </c>
      <c r="C2432" s="62" t="s">
        <v>60</v>
      </c>
      <c r="D2432" s="62" t="s">
        <v>382</v>
      </c>
      <c r="E2432" s="62" t="s">
        <v>382</v>
      </c>
      <c r="F2432" s="63" t="s">
        <v>622</v>
      </c>
      <c r="G2432" s="64" t="n">
        <v>13452.6325680761</v>
      </c>
      <c r="H2432" s="62"/>
    </row>
    <row r="2433" customFormat="false" ht="15" hidden="false" customHeight="false" outlineLevel="0" collapsed="false">
      <c r="A2433" s="62" t="n">
        <v>0</v>
      </c>
      <c r="B2433" s="62" t="s">
        <v>385</v>
      </c>
      <c r="C2433" s="62" t="s">
        <v>60</v>
      </c>
      <c r="D2433" s="62" t="s">
        <v>382</v>
      </c>
      <c r="E2433" s="62" t="s">
        <v>382</v>
      </c>
      <c r="F2433" s="63" t="s">
        <v>622</v>
      </c>
      <c r="G2433" s="64" t="n">
        <v>13452.6325680761</v>
      </c>
      <c r="H2433" s="62"/>
    </row>
    <row r="2434" customFormat="false" ht="15" hidden="false" customHeight="false" outlineLevel="0" collapsed="false">
      <c r="A2434" s="62" t="n">
        <v>0</v>
      </c>
      <c r="B2434" s="62" t="s">
        <v>386</v>
      </c>
      <c r="C2434" s="62" t="s">
        <v>60</v>
      </c>
      <c r="D2434" s="62" t="s">
        <v>382</v>
      </c>
      <c r="E2434" s="62" t="s">
        <v>382</v>
      </c>
      <c r="F2434" s="63" t="s">
        <v>622</v>
      </c>
      <c r="G2434" s="64" t="n">
        <v>13452.6325680761</v>
      </c>
      <c r="H2434" s="62"/>
    </row>
    <row r="2435" customFormat="false" ht="15" hidden="false" customHeight="false" outlineLevel="0" collapsed="false">
      <c r="A2435" s="62" t="n">
        <v>0</v>
      </c>
      <c r="B2435" s="62" t="s">
        <v>387</v>
      </c>
      <c r="C2435" s="62" t="s">
        <v>60</v>
      </c>
      <c r="D2435" s="62" t="s">
        <v>382</v>
      </c>
      <c r="E2435" s="62" t="s">
        <v>382</v>
      </c>
      <c r="F2435" s="63" t="s">
        <v>622</v>
      </c>
      <c r="G2435" s="64" t="n">
        <v>13452.6325680761</v>
      </c>
      <c r="H2435" s="62"/>
    </row>
    <row r="2436" customFormat="false" ht="15" hidden="false" customHeight="false" outlineLevel="0" collapsed="false">
      <c r="A2436" s="62" t="n">
        <v>0</v>
      </c>
      <c r="B2436" s="62" t="s">
        <v>388</v>
      </c>
      <c r="C2436" s="62" t="s">
        <v>60</v>
      </c>
      <c r="D2436" s="62" t="s">
        <v>382</v>
      </c>
      <c r="E2436" s="62" t="s">
        <v>382</v>
      </c>
      <c r="F2436" s="63" t="s">
        <v>622</v>
      </c>
      <c r="G2436" s="64" t="n">
        <v>13452.6325680761</v>
      </c>
      <c r="H2436" s="62"/>
    </row>
    <row r="2437" customFormat="false" ht="15" hidden="false" customHeight="false" outlineLevel="0" collapsed="false">
      <c r="A2437" s="62" t="n">
        <v>0</v>
      </c>
      <c r="B2437" s="62" t="s">
        <v>381</v>
      </c>
      <c r="C2437" s="62" t="s">
        <v>60</v>
      </c>
      <c r="D2437" s="62" t="s">
        <v>382</v>
      </c>
      <c r="E2437" s="62" t="s">
        <v>382</v>
      </c>
      <c r="F2437" s="63" t="s">
        <v>623</v>
      </c>
      <c r="G2437" s="64" t="n">
        <v>5.44993783334979</v>
      </c>
      <c r="H2437" s="62" t="s">
        <v>42</v>
      </c>
    </row>
    <row r="2438" customFormat="false" ht="15" hidden="false" customHeight="false" outlineLevel="0" collapsed="false">
      <c r="A2438" s="62" t="n">
        <v>0</v>
      </c>
      <c r="B2438" s="62" t="s">
        <v>383</v>
      </c>
      <c r="C2438" s="62" t="s">
        <v>60</v>
      </c>
      <c r="D2438" s="62" t="s">
        <v>382</v>
      </c>
      <c r="E2438" s="62" t="s">
        <v>382</v>
      </c>
      <c r="F2438" s="63" t="s">
        <v>623</v>
      </c>
      <c r="G2438" s="64" t="n">
        <v>5.44993783334979</v>
      </c>
      <c r="H2438" s="62" t="s">
        <v>42</v>
      </c>
    </row>
    <row r="2439" customFormat="false" ht="15" hidden="false" customHeight="false" outlineLevel="0" collapsed="false">
      <c r="A2439" s="62" t="n">
        <v>0</v>
      </c>
      <c r="B2439" s="62" t="s">
        <v>384</v>
      </c>
      <c r="C2439" s="62" t="s">
        <v>60</v>
      </c>
      <c r="D2439" s="62" t="s">
        <v>382</v>
      </c>
      <c r="E2439" s="62" t="s">
        <v>382</v>
      </c>
      <c r="F2439" s="63" t="s">
        <v>623</v>
      </c>
      <c r="G2439" s="64" t="n">
        <v>5.44993783334979</v>
      </c>
      <c r="H2439" s="62" t="s">
        <v>42</v>
      </c>
    </row>
    <row r="2440" customFormat="false" ht="15" hidden="false" customHeight="false" outlineLevel="0" collapsed="false">
      <c r="A2440" s="62" t="n">
        <v>0</v>
      </c>
      <c r="B2440" s="62" t="s">
        <v>385</v>
      </c>
      <c r="C2440" s="62" t="s">
        <v>60</v>
      </c>
      <c r="D2440" s="62" t="s">
        <v>382</v>
      </c>
      <c r="E2440" s="62" t="s">
        <v>382</v>
      </c>
      <c r="F2440" s="63" t="s">
        <v>623</v>
      </c>
      <c r="G2440" s="64" t="n">
        <v>5.44993783334979</v>
      </c>
      <c r="H2440" s="62" t="s">
        <v>42</v>
      </c>
    </row>
    <row r="2441" customFormat="false" ht="15" hidden="false" customHeight="false" outlineLevel="0" collapsed="false">
      <c r="A2441" s="62" t="n">
        <v>0</v>
      </c>
      <c r="B2441" s="62" t="s">
        <v>386</v>
      </c>
      <c r="C2441" s="62" t="s">
        <v>60</v>
      </c>
      <c r="D2441" s="62" t="s">
        <v>382</v>
      </c>
      <c r="E2441" s="62" t="s">
        <v>382</v>
      </c>
      <c r="F2441" s="63" t="s">
        <v>623</v>
      </c>
      <c r="G2441" s="64" t="n">
        <v>5.44993783334979</v>
      </c>
      <c r="H2441" s="62" t="s">
        <v>42</v>
      </c>
    </row>
    <row r="2442" customFormat="false" ht="15" hidden="false" customHeight="false" outlineLevel="0" collapsed="false">
      <c r="A2442" s="62" t="n">
        <v>0</v>
      </c>
      <c r="B2442" s="62" t="s">
        <v>387</v>
      </c>
      <c r="C2442" s="62" t="s">
        <v>60</v>
      </c>
      <c r="D2442" s="62" t="s">
        <v>382</v>
      </c>
      <c r="E2442" s="62" t="s">
        <v>382</v>
      </c>
      <c r="F2442" s="63" t="s">
        <v>623</v>
      </c>
      <c r="G2442" s="64" t="n">
        <v>5.44993783334979</v>
      </c>
      <c r="H2442" s="62" t="s">
        <v>42</v>
      </c>
    </row>
    <row r="2443" customFormat="false" ht="15" hidden="false" customHeight="false" outlineLevel="0" collapsed="false">
      <c r="A2443" s="62" t="n">
        <v>0</v>
      </c>
      <c r="B2443" s="62" t="s">
        <v>388</v>
      </c>
      <c r="C2443" s="62" t="s">
        <v>60</v>
      </c>
      <c r="D2443" s="62" t="s">
        <v>382</v>
      </c>
      <c r="E2443" s="62" t="s">
        <v>382</v>
      </c>
      <c r="F2443" s="63" t="s">
        <v>623</v>
      </c>
      <c r="G2443" s="64" t="n">
        <v>5.44993783334979</v>
      </c>
      <c r="H2443" s="62" t="s">
        <v>42</v>
      </c>
    </row>
    <row r="2444" customFormat="false" ht="15" hidden="false" customHeight="false" outlineLevel="0" collapsed="false">
      <c r="A2444" s="62" t="n">
        <v>0</v>
      </c>
      <c r="B2444" s="62" t="s">
        <v>381</v>
      </c>
      <c r="C2444" s="62" t="s">
        <v>60</v>
      </c>
      <c r="D2444" s="62" t="s">
        <v>382</v>
      </c>
      <c r="E2444" s="62" t="s">
        <v>382</v>
      </c>
      <c r="F2444" s="63" t="s">
        <v>624</v>
      </c>
      <c r="G2444" s="64" t="n">
        <v>8.62051371235546</v>
      </c>
      <c r="H2444" s="62" t="s">
        <v>42</v>
      </c>
    </row>
    <row r="2445" customFormat="false" ht="15" hidden="false" customHeight="false" outlineLevel="0" collapsed="false">
      <c r="A2445" s="62" t="n">
        <v>0</v>
      </c>
      <c r="B2445" s="62" t="s">
        <v>383</v>
      </c>
      <c r="C2445" s="62" t="s">
        <v>60</v>
      </c>
      <c r="D2445" s="62" t="s">
        <v>382</v>
      </c>
      <c r="E2445" s="62" t="s">
        <v>382</v>
      </c>
      <c r="F2445" s="63" t="s">
        <v>624</v>
      </c>
      <c r="G2445" s="64" t="n">
        <v>8.62051371235546</v>
      </c>
      <c r="H2445" s="62" t="s">
        <v>42</v>
      </c>
    </row>
    <row r="2446" customFormat="false" ht="15" hidden="false" customHeight="false" outlineLevel="0" collapsed="false">
      <c r="A2446" s="62" t="n">
        <v>0</v>
      </c>
      <c r="B2446" s="62" t="s">
        <v>384</v>
      </c>
      <c r="C2446" s="62" t="s">
        <v>60</v>
      </c>
      <c r="D2446" s="62" t="s">
        <v>382</v>
      </c>
      <c r="E2446" s="62" t="s">
        <v>382</v>
      </c>
      <c r="F2446" s="63" t="s">
        <v>624</v>
      </c>
      <c r="G2446" s="64" t="n">
        <v>8.62051371235546</v>
      </c>
      <c r="H2446" s="62" t="s">
        <v>42</v>
      </c>
    </row>
    <row r="2447" customFormat="false" ht="15" hidden="false" customHeight="false" outlineLevel="0" collapsed="false">
      <c r="A2447" s="62" t="n">
        <v>0</v>
      </c>
      <c r="B2447" s="62" t="s">
        <v>385</v>
      </c>
      <c r="C2447" s="62" t="s">
        <v>60</v>
      </c>
      <c r="D2447" s="62" t="s">
        <v>382</v>
      </c>
      <c r="E2447" s="62" t="s">
        <v>382</v>
      </c>
      <c r="F2447" s="63" t="s">
        <v>624</v>
      </c>
      <c r="G2447" s="64" t="n">
        <v>8.62051371235546</v>
      </c>
      <c r="H2447" s="62" t="s">
        <v>42</v>
      </c>
    </row>
    <row r="2448" customFormat="false" ht="15" hidden="false" customHeight="false" outlineLevel="0" collapsed="false">
      <c r="A2448" s="62" t="n">
        <v>0</v>
      </c>
      <c r="B2448" s="62" t="s">
        <v>386</v>
      </c>
      <c r="C2448" s="62" t="s">
        <v>60</v>
      </c>
      <c r="D2448" s="62" t="s">
        <v>382</v>
      </c>
      <c r="E2448" s="62" t="s">
        <v>382</v>
      </c>
      <c r="F2448" s="63" t="s">
        <v>624</v>
      </c>
      <c r="G2448" s="64" t="n">
        <v>8.62051371235546</v>
      </c>
      <c r="H2448" s="62" t="s">
        <v>42</v>
      </c>
    </row>
    <row r="2449" customFormat="false" ht="15" hidden="false" customHeight="false" outlineLevel="0" collapsed="false">
      <c r="A2449" s="62" t="n">
        <v>0</v>
      </c>
      <c r="B2449" s="62" t="s">
        <v>387</v>
      </c>
      <c r="C2449" s="62" t="s">
        <v>60</v>
      </c>
      <c r="D2449" s="62" t="s">
        <v>382</v>
      </c>
      <c r="E2449" s="62" t="s">
        <v>382</v>
      </c>
      <c r="F2449" s="63" t="s">
        <v>624</v>
      </c>
      <c r="G2449" s="64" t="n">
        <v>8.62051371235546</v>
      </c>
      <c r="H2449" s="62" t="s">
        <v>42</v>
      </c>
    </row>
    <row r="2450" customFormat="false" ht="15" hidden="false" customHeight="false" outlineLevel="0" collapsed="false">
      <c r="A2450" s="62" t="n">
        <v>0</v>
      </c>
      <c r="B2450" s="62" t="s">
        <v>388</v>
      </c>
      <c r="C2450" s="62" t="s">
        <v>60</v>
      </c>
      <c r="D2450" s="62" t="s">
        <v>382</v>
      </c>
      <c r="E2450" s="62" t="s">
        <v>382</v>
      </c>
      <c r="F2450" s="63" t="s">
        <v>624</v>
      </c>
      <c r="G2450" s="64" t="n">
        <v>8.62051371235546</v>
      </c>
      <c r="H2450" s="62" t="s">
        <v>42</v>
      </c>
    </row>
    <row r="2451" customFormat="false" ht="15" hidden="false" customHeight="false" outlineLevel="0" collapsed="false">
      <c r="A2451" s="62" t="n">
        <v>0</v>
      </c>
      <c r="B2451" s="62" t="s">
        <v>381</v>
      </c>
      <c r="C2451" s="62" t="s">
        <v>60</v>
      </c>
      <c r="D2451" s="62" t="s">
        <v>67</v>
      </c>
      <c r="E2451" s="62" t="s">
        <v>382</v>
      </c>
      <c r="F2451" s="63" t="s">
        <v>625</v>
      </c>
      <c r="G2451" s="64" t="n">
        <v>13412500</v>
      </c>
      <c r="H2451" s="62" t="s">
        <v>138</v>
      </c>
    </row>
    <row r="2452" customFormat="false" ht="15" hidden="false" customHeight="false" outlineLevel="0" collapsed="false">
      <c r="A2452" s="62" t="n">
        <v>0</v>
      </c>
      <c r="B2452" s="62" t="s">
        <v>383</v>
      </c>
      <c r="C2452" s="62" t="s">
        <v>60</v>
      </c>
      <c r="D2452" s="62" t="s">
        <v>67</v>
      </c>
      <c r="E2452" s="62" t="s">
        <v>382</v>
      </c>
      <c r="F2452" s="63" t="s">
        <v>625</v>
      </c>
      <c r="G2452" s="64" t="n">
        <v>13412500</v>
      </c>
      <c r="H2452" s="62" t="s">
        <v>138</v>
      </c>
    </row>
    <row r="2453" customFormat="false" ht="15" hidden="false" customHeight="false" outlineLevel="0" collapsed="false">
      <c r="A2453" s="62" t="n">
        <v>0</v>
      </c>
      <c r="B2453" s="62" t="s">
        <v>384</v>
      </c>
      <c r="C2453" s="62" t="s">
        <v>60</v>
      </c>
      <c r="D2453" s="62" t="s">
        <v>67</v>
      </c>
      <c r="E2453" s="62" t="s">
        <v>382</v>
      </c>
      <c r="F2453" s="63" t="s">
        <v>625</v>
      </c>
      <c r="G2453" s="64" t="n">
        <v>13412500</v>
      </c>
      <c r="H2453" s="62" t="s">
        <v>138</v>
      </c>
    </row>
    <row r="2454" customFormat="false" ht="15" hidden="false" customHeight="false" outlineLevel="0" collapsed="false">
      <c r="A2454" s="62" t="n">
        <v>0</v>
      </c>
      <c r="B2454" s="62" t="s">
        <v>385</v>
      </c>
      <c r="C2454" s="62" t="s">
        <v>60</v>
      </c>
      <c r="D2454" s="62" t="s">
        <v>67</v>
      </c>
      <c r="E2454" s="62" t="s">
        <v>382</v>
      </c>
      <c r="F2454" s="63" t="s">
        <v>625</v>
      </c>
      <c r="G2454" s="64" t="n">
        <v>13412500</v>
      </c>
      <c r="H2454" s="62" t="s">
        <v>138</v>
      </c>
    </row>
    <row r="2455" customFormat="false" ht="15" hidden="false" customHeight="false" outlineLevel="0" collapsed="false">
      <c r="A2455" s="62" t="n">
        <v>0</v>
      </c>
      <c r="B2455" s="62" t="s">
        <v>386</v>
      </c>
      <c r="C2455" s="62" t="s">
        <v>60</v>
      </c>
      <c r="D2455" s="62" t="s">
        <v>67</v>
      </c>
      <c r="E2455" s="62" t="s">
        <v>382</v>
      </c>
      <c r="F2455" s="63" t="s">
        <v>625</v>
      </c>
      <c r="G2455" s="64" t="n">
        <v>13412500</v>
      </c>
      <c r="H2455" s="62" t="s">
        <v>138</v>
      </c>
    </row>
    <row r="2456" customFormat="false" ht="15" hidden="false" customHeight="false" outlineLevel="0" collapsed="false">
      <c r="A2456" s="62" t="n">
        <v>0</v>
      </c>
      <c r="B2456" s="62" t="s">
        <v>387</v>
      </c>
      <c r="C2456" s="62" t="s">
        <v>60</v>
      </c>
      <c r="D2456" s="62" t="s">
        <v>67</v>
      </c>
      <c r="E2456" s="62" t="s">
        <v>382</v>
      </c>
      <c r="F2456" s="63" t="s">
        <v>625</v>
      </c>
      <c r="G2456" s="64" t="n">
        <v>13412500</v>
      </c>
      <c r="H2456" s="62" t="s">
        <v>138</v>
      </c>
    </row>
    <row r="2457" customFormat="false" ht="15" hidden="false" customHeight="false" outlineLevel="0" collapsed="false">
      <c r="A2457" s="62" t="n">
        <v>0</v>
      </c>
      <c r="B2457" s="62" t="s">
        <v>388</v>
      </c>
      <c r="C2457" s="62" t="s">
        <v>60</v>
      </c>
      <c r="D2457" s="62" t="s">
        <v>67</v>
      </c>
      <c r="E2457" s="62" t="s">
        <v>382</v>
      </c>
      <c r="F2457" s="63" t="s">
        <v>625</v>
      </c>
      <c r="G2457" s="64" t="n">
        <v>13412500</v>
      </c>
      <c r="H2457" s="62" t="s">
        <v>138</v>
      </c>
    </row>
    <row r="2458" customFormat="false" ht="15" hidden="false" customHeight="false" outlineLevel="0" collapsed="false">
      <c r="A2458" s="62" t="n">
        <v>0</v>
      </c>
      <c r="B2458" s="62" t="s">
        <v>381</v>
      </c>
      <c r="C2458" s="62" t="s">
        <v>60</v>
      </c>
      <c r="D2458" s="62" t="s">
        <v>67</v>
      </c>
      <c r="E2458" s="62" t="s">
        <v>382</v>
      </c>
      <c r="F2458" s="63" t="s">
        <v>626</v>
      </c>
      <c r="G2458" s="64" t="n">
        <v>10282899.7513683</v>
      </c>
      <c r="H2458" s="62" t="s">
        <v>138</v>
      </c>
    </row>
    <row r="2459" customFormat="false" ht="15" hidden="false" customHeight="false" outlineLevel="0" collapsed="false">
      <c r="A2459" s="62" t="n">
        <v>0</v>
      </c>
      <c r="B2459" s="62" t="s">
        <v>383</v>
      </c>
      <c r="C2459" s="62" t="s">
        <v>60</v>
      </c>
      <c r="D2459" s="62" t="s">
        <v>67</v>
      </c>
      <c r="E2459" s="62" t="s">
        <v>382</v>
      </c>
      <c r="F2459" s="63" t="s">
        <v>626</v>
      </c>
      <c r="G2459" s="64" t="n">
        <v>10282899.7513683</v>
      </c>
      <c r="H2459" s="62" t="s">
        <v>138</v>
      </c>
    </row>
    <row r="2460" customFormat="false" ht="15" hidden="false" customHeight="false" outlineLevel="0" collapsed="false">
      <c r="A2460" s="62" t="n">
        <v>0</v>
      </c>
      <c r="B2460" s="62" t="s">
        <v>384</v>
      </c>
      <c r="C2460" s="62" t="s">
        <v>60</v>
      </c>
      <c r="D2460" s="62" t="s">
        <v>67</v>
      </c>
      <c r="E2460" s="62" t="s">
        <v>382</v>
      </c>
      <c r="F2460" s="63" t="s">
        <v>626</v>
      </c>
      <c r="G2460" s="64" t="n">
        <v>10282899.7513683</v>
      </c>
      <c r="H2460" s="62" t="s">
        <v>138</v>
      </c>
    </row>
    <row r="2461" customFormat="false" ht="15" hidden="false" customHeight="false" outlineLevel="0" collapsed="false">
      <c r="A2461" s="62" t="n">
        <v>0</v>
      </c>
      <c r="B2461" s="62" t="s">
        <v>385</v>
      </c>
      <c r="C2461" s="62" t="s">
        <v>60</v>
      </c>
      <c r="D2461" s="62" t="s">
        <v>67</v>
      </c>
      <c r="E2461" s="62" t="s">
        <v>382</v>
      </c>
      <c r="F2461" s="63" t="s">
        <v>626</v>
      </c>
      <c r="G2461" s="64" t="n">
        <v>10282899.7513683</v>
      </c>
      <c r="H2461" s="62" t="s">
        <v>138</v>
      </c>
    </row>
    <row r="2462" customFormat="false" ht="15" hidden="false" customHeight="false" outlineLevel="0" collapsed="false">
      <c r="A2462" s="62" t="n">
        <v>0</v>
      </c>
      <c r="B2462" s="62" t="s">
        <v>386</v>
      </c>
      <c r="C2462" s="62" t="s">
        <v>60</v>
      </c>
      <c r="D2462" s="62" t="s">
        <v>67</v>
      </c>
      <c r="E2462" s="62" t="s">
        <v>382</v>
      </c>
      <c r="F2462" s="63" t="s">
        <v>626</v>
      </c>
      <c r="G2462" s="64" t="n">
        <v>10282899.7513683</v>
      </c>
      <c r="H2462" s="62" t="s">
        <v>138</v>
      </c>
    </row>
    <row r="2463" customFormat="false" ht="15" hidden="false" customHeight="false" outlineLevel="0" collapsed="false">
      <c r="A2463" s="62" t="n">
        <v>0</v>
      </c>
      <c r="B2463" s="62" t="s">
        <v>387</v>
      </c>
      <c r="C2463" s="62" t="s">
        <v>60</v>
      </c>
      <c r="D2463" s="62" t="s">
        <v>67</v>
      </c>
      <c r="E2463" s="62" t="s">
        <v>382</v>
      </c>
      <c r="F2463" s="63" t="s">
        <v>626</v>
      </c>
      <c r="G2463" s="64" t="n">
        <v>10282899.7513683</v>
      </c>
      <c r="H2463" s="62" t="s">
        <v>138</v>
      </c>
    </row>
    <row r="2464" customFormat="false" ht="15" hidden="false" customHeight="false" outlineLevel="0" collapsed="false">
      <c r="A2464" s="62" t="n">
        <v>0</v>
      </c>
      <c r="B2464" s="62" t="s">
        <v>388</v>
      </c>
      <c r="C2464" s="62" t="s">
        <v>60</v>
      </c>
      <c r="D2464" s="62" t="s">
        <v>67</v>
      </c>
      <c r="E2464" s="62" t="s">
        <v>382</v>
      </c>
      <c r="F2464" s="63" t="s">
        <v>626</v>
      </c>
      <c r="G2464" s="64" t="n">
        <v>10282899.7513683</v>
      </c>
      <c r="H2464" s="62" t="s">
        <v>138</v>
      </c>
    </row>
    <row r="2465" customFormat="false" ht="15" hidden="false" customHeight="false" outlineLevel="0" collapsed="false">
      <c r="A2465" s="62" t="n">
        <v>0</v>
      </c>
      <c r="B2465" s="62" t="s">
        <v>381</v>
      </c>
      <c r="C2465" s="62" t="s">
        <v>60</v>
      </c>
      <c r="D2465" s="62" t="s">
        <v>67</v>
      </c>
      <c r="E2465" s="62" t="s">
        <v>382</v>
      </c>
      <c r="F2465" s="63" t="s">
        <v>627</v>
      </c>
      <c r="G2465" s="64" t="n">
        <v>0</v>
      </c>
      <c r="H2465" s="62" t="s">
        <v>138</v>
      </c>
    </row>
    <row r="2466" customFormat="false" ht="15" hidden="false" customHeight="false" outlineLevel="0" collapsed="false">
      <c r="A2466" s="62" t="n">
        <v>0</v>
      </c>
      <c r="B2466" s="62" t="s">
        <v>383</v>
      </c>
      <c r="C2466" s="62" t="s">
        <v>60</v>
      </c>
      <c r="D2466" s="62" t="s">
        <v>67</v>
      </c>
      <c r="E2466" s="62" t="s">
        <v>382</v>
      </c>
      <c r="F2466" s="63" t="s">
        <v>627</v>
      </c>
      <c r="G2466" s="64" t="n">
        <v>0</v>
      </c>
      <c r="H2466" s="62" t="s">
        <v>138</v>
      </c>
    </row>
    <row r="2467" customFormat="false" ht="15" hidden="false" customHeight="false" outlineLevel="0" collapsed="false">
      <c r="A2467" s="62" t="n">
        <v>0</v>
      </c>
      <c r="B2467" s="62" t="s">
        <v>384</v>
      </c>
      <c r="C2467" s="62" t="s">
        <v>60</v>
      </c>
      <c r="D2467" s="62" t="s">
        <v>67</v>
      </c>
      <c r="E2467" s="62" t="s">
        <v>382</v>
      </c>
      <c r="F2467" s="63" t="s">
        <v>627</v>
      </c>
      <c r="G2467" s="64" t="n">
        <v>0</v>
      </c>
      <c r="H2467" s="62" t="s">
        <v>138</v>
      </c>
    </row>
    <row r="2468" customFormat="false" ht="15" hidden="false" customHeight="false" outlineLevel="0" collapsed="false">
      <c r="A2468" s="62" t="n">
        <v>0</v>
      </c>
      <c r="B2468" s="62" t="s">
        <v>385</v>
      </c>
      <c r="C2468" s="62" t="s">
        <v>60</v>
      </c>
      <c r="D2468" s="62" t="s">
        <v>67</v>
      </c>
      <c r="E2468" s="62" t="s">
        <v>382</v>
      </c>
      <c r="F2468" s="63" t="s">
        <v>627</v>
      </c>
      <c r="G2468" s="64" t="n">
        <v>0</v>
      </c>
      <c r="H2468" s="62" t="s">
        <v>138</v>
      </c>
    </row>
    <row r="2469" customFormat="false" ht="15" hidden="false" customHeight="false" outlineLevel="0" collapsed="false">
      <c r="A2469" s="62" t="n">
        <v>0</v>
      </c>
      <c r="B2469" s="62" t="s">
        <v>386</v>
      </c>
      <c r="C2469" s="62" t="s">
        <v>60</v>
      </c>
      <c r="D2469" s="62" t="s">
        <v>67</v>
      </c>
      <c r="E2469" s="62" t="s">
        <v>382</v>
      </c>
      <c r="F2469" s="63" t="s">
        <v>627</v>
      </c>
      <c r="G2469" s="64" t="n">
        <v>0</v>
      </c>
      <c r="H2469" s="62" t="s">
        <v>138</v>
      </c>
    </row>
    <row r="2470" customFormat="false" ht="15" hidden="false" customHeight="false" outlineLevel="0" collapsed="false">
      <c r="A2470" s="62" t="n">
        <v>0</v>
      </c>
      <c r="B2470" s="62" t="s">
        <v>387</v>
      </c>
      <c r="C2470" s="62" t="s">
        <v>60</v>
      </c>
      <c r="D2470" s="62" t="s">
        <v>67</v>
      </c>
      <c r="E2470" s="62" t="s">
        <v>382</v>
      </c>
      <c r="F2470" s="63" t="s">
        <v>627</v>
      </c>
      <c r="G2470" s="64" t="n">
        <v>0</v>
      </c>
      <c r="H2470" s="62" t="s">
        <v>138</v>
      </c>
    </row>
    <row r="2471" customFormat="false" ht="15" hidden="false" customHeight="false" outlineLevel="0" collapsed="false">
      <c r="A2471" s="62" t="n">
        <v>0</v>
      </c>
      <c r="B2471" s="62" t="s">
        <v>388</v>
      </c>
      <c r="C2471" s="62" t="s">
        <v>60</v>
      </c>
      <c r="D2471" s="62" t="s">
        <v>67</v>
      </c>
      <c r="E2471" s="62" t="s">
        <v>382</v>
      </c>
      <c r="F2471" s="63" t="s">
        <v>627</v>
      </c>
      <c r="G2471" s="64" t="n">
        <v>0</v>
      </c>
      <c r="H2471" s="62" t="s">
        <v>138</v>
      </c>
    </row>
    <row r="2472" customFormat="false" ht="15" hidden="false" customHeight="false" outlineLevel="0" collapsed="false">
      <c r="A2472" s="62" t="n">
        <v>0</v>
      </c>
      <c r="B2472" s="62" t="s">
        <v>381</v>
      </c>
      <c r="C2472" s="62" t="s">
        <v>60</v>
      </c>
      <c r="D2472" s="62" t="s">
        <v>67</v>
      </c>
      <c r="E2472" s="62" t="s">
        <v>382</v>
      </c>
      <c r="F2472" s="63" t="s">
        <v>628</v>
      </c>
      <c r="G2472" s="64" t="n">
        <v>0</v>
      </c>
      <c r="H2472" s="62" t="s">
        <v>138</v>
      </c>
    </row>
    <row r="2473" customFormat="false" ht="15" hidden="false" customHeight="false" outlineLevel="0" collapsed="false">
      <c r="A2473" s="62" t="n">
        <v>0</v>
      </c>
      <c r="B2473" s="62" t="s">
        <v>383</v>
      </c>
      <c r="C2473" s="62" t="s">
        <v>60</v>
      </c>
      <c r="D2473" s="62" t="s">
        <v>67</v>
      </c>
      <c r="E2473" s="62" t="s">
        <v>382</v>
      </c>
      <c r="F2473" s="63" t="s">
        <v>628</v>
      </c>
      <c r="G2473" s="64" t="n">
        <v>0</v>
      </c>
      <c r="H2473" s="62" t="s">
        <v>138</v>
      </c>
    </row>
    <row r="2474" customFormat="false" ht="15" hidden="false" customHeight="false" outlineLevel="0" collapsed="false">
      <c r="A2474" s="62" t="n">
        <v>0</v>
      </c>
      <c r="B2474" s="62" t="s">
        <v>384</v>
      </c>
      <c r="C2474" s="62" t="s">
        <v>60</v>
      </c>
      <c r="D2474" s="62" t="s">
        <v>67</v>
      </c>
      <c r="E2474" s="62" t="s">
        <v>382</v>
      </c>
      <c r="F2474" s="63" t="s">
        <v>628</v>
      </c>
      <c r="G2474" s="64" t="n">
        <v>0</v>
      </c>
      <c r="H2474" s="62" t="s">
        <v>138</v>
      </c>
    </row>
    <row r="2475" customFormat="false" ht="15" hidden="false" customHeight="false" outlineLevel="0" collapsed="false">
      <c r="A2475" s="62" t="n">
        <v>0</v>
      </c>
      <c r="B2475" s="62" t="s">
        <v>385</v>
      </c>
      <c r="C2475" s="62" t="s">
        <v>60</v>
      </c>
      <c r="D2475" s="62" t="s">
        <v>67</v>
      </c>
      <c r="E2475" s="62" t="s">
        <v>382</v>
      </c>
      <c r="F2475" s="63" t="s">
        <v>628</v>
      </c>
      <c r="G2475" s="64" t="n">
        <v>0</v>
      </c>
      <c r="H2475" s="62" t="s">
        <v>138</v>
      </c>
    </row>
    <row r="2476" customFormat="false" ht="15" hidden="false" customHeight="false" outlineLevel="0" collapsed="false">
      <c r="A2476" s="62" t="n">
        <v>0</v>
      </c>
      <c r="B2476" s="62" t="s">
        <v>386</v>
      </c>
      <c r="C2476" s="62" t="s">
        <v>60</v>
      </c>
      <c r="D2476" s="62" t="s">
        <v>67</v>
      </c>
      <c r="E2476" s="62" t="s">
        <v>382</v>
      </c>
      <c r="F2476" s="63" t="s">
        <v>628</v>
      </c>
      <c r="G2476" s="64" t="n">
        <v>0</v>
      </c>
      <c r="H2476" s="62" t="s">
        <v>138</v>
      </c>
    </row>
    <row r="2477" customFormat="false" ht="15" hidden="false" customHeight="false" outlineLevel="0" collapsed="false">
      <c r="A2477" s="62" t="n">
        <v>0</v>
      </c>
      <c r="B2477" s="62" t="s">
        <v>387</v>
      </c>
      <c r="C2477" s="62" t="s">
        <v>60</v>
      </c>
      <c r="D2477" s="62" t="s">
        <v>67</v>
      </c>
      <c r="E2477" s="62" t="s">
        <v>382</v>
      </c>
      <c r="F2477" s="63" t="s">
        <v>628</v>
      </c>
      <c r="G2477" s="64" t="n">
        <v>0</v>
      </c>
      <c r="H2477" s="62" t="s">
        <v>138</v>
      </c>
    </row>
    <row r="2478" customFormat="false" ht="15" hidden="false" customHeight="false" outlineLevel="0" collapsed="false">
      <c r="A2478" s="62" t="n">
        <v>0</v>
      </c>
      <c r="B2478" s="62" t="s">
        <v>388</v>
      </c>
      <c r="C2478" s="62" t="s">
        <v>60</v>
      </c>
      <c r="D2478" s="62" t="s">
        <v>67</v>
      </c>
      <c r="E2478" s="62" t="s">
        <v>382</v>
      </c>
      <c r="F2478" s="63" t="s">
        <v>628</v>
      </c>
      <c r="G2478" s="64" t="n">
        <v>0</v>
      </c>
      <c r="H2478" s="62" t="s">
        <v>138</v>
      </c>
    </row>
    <row r="2479" customFormat="false" ht="15" hidden="false" customHeight="false" outlineLevel="0" collapsed="false">
      <c r="A2479" s="62" t="n">
        <v>0</v>
      </c>
      <c r="B2479" s="62" t="s">
        <v>381</v>
      </c>
      <c r="C2479" s="62" t="s">
        <v>60</v>
      </c>
      <c r="D2479" s="62" t="s">
        <v>67</v>
      </c>
      <c r="E2479" s="62" t="s">
        <v>382</v>
      </c>
      <c r="F2479" s="63" t="s">
        <v>629</v>
      </c>
      <c r="G2479" s="64" t="n">
        <v>1522500</v>
      </c>
      <c r="H2479" s="62" t="s">
        <v>138</v>
      </c>
    </row>
    <row r="2480" customFormat="false" ht="15" hidden="false" customHeight="false" outlineLevel="0" collapsed="false">
      <c r="A2480" s="62" t="n">
        <v>0</v>
      </c>
      <c r="B2480" s="62" t="s">
        <v>383</v>
      </c>
      <c r="C2480" s="62" t="s">
        <v>60</v>
      </c>
      <c r="D2480" s="62" t="s">
        <v>67</v>
      </c>
      <c r="E2480" s="62" t="s">
        <v>382</v>
      </c>
      <c r="F2480" s="63" t="s">
        <v>629</v>
      </c>
      <c r="G2480" s="64" t="n">
        <v>1522500</v>
      </c>
      <c r="H2480" s="62" t="s">
        <v>138</v>
      </c>
    </row>
    <row r="2481" customFormat="false" ht="15" hidden="false" customHeight="false" outlineLevel="0" collapsed="false">
      <c r="A2481" s="62" t="n">
        <v>0</v>
      </c>
      <c r="B2481" s="62" t="s">
        <v>384</v>
      </c>
      <c r="C2481" s="62" t="s">
        <v>60</v>
      </c>
      <c r="D2481" s="62" t="s">
        <v>67</v>
      </c>
      <c r="E2481" s="62" t="s">
        <v>382</v>
      </c>
      <c r="F2481" s="63" t="s">
        <v>629</v>
      </c>
      <c r="G2481" s="64" t="n">
        <v>1522500</v>
      </c>
      <c r="H2481" s="62" t="s">
        <v>138</v>
      </c>
    </row>
    <row r="2482" customFormat="false" ht="15" hidden="false" customHeight="false" outlineLevel="0" collapsed="false">
      <c r="A2482" s="62" t="n">
        <v>0</v>
      </c>
      <c r="B2482" s="62" t="s">
        <v>385</v>
      </c>
      <c r="C2482" s="62" t="s">
        <v>60</v>
      </c>
      <c r="D2482" s="62" t="s">
        <v>67</v>
      </c>
      <c r="E2482" s="62" t="s">
        <v>382</v>
      </c>
      <c r="F2482" s="63" t="s">
        <v>629</v>
      </c>
      <c r="G2482" s="64" t="n">
        <v>1522500</v>
      </c>
      <c r="H2482" s="62" t="s">
        <v>138</v>
      </c>
    </row>
    <row r="2483" customFormat="false" ht="15" hidden="false" customHeight="false" outlineLevel="0" collapsed="false">
      <c r="A2483" s="62" t="n">
        <v>0</v>
      </c>
      <c r="B2483" s="62" t="s">
        <v>386</v>
      </c>
      <c r="C2483" s="62" t="s">
        <v>60</v>
      </c>
      <c r="D2483" s="62" t="s">
        <v>67</v>
      </c>
      <c r="E2483" s="62" t="s">
        <v>382</v>
      </c>
      <c r="F2483" s="63" t="s">
        <v>629</v>
      </c>
      <c r="G2483" s="64" t="n">
        <v>1522500</v>
      </c>
      <c r="H2483" s="62" t="s">
        <v>138</v>
      </c>
    </row>
    <row r="2484" customFormat="false" ht="15" hidden="false" customHeight="false" outlineLevel="0" collapsed="false">
      <c r="A2484" s="62" t="n">
        <v>0</v>
      </c>
      <c r="B2484" s="62" t="s">
        <v>387</v>
      </c>
      <c r="C2484" s="62" t="s">
        <v>60</v>
      </c>
      <c r="D2484" s="62" t="s">
        <v>67</v>
      </c>
      <c r="E2484" s="62" t="s">
        <v>382</v>
      </c>
      <c r="F2484" s="63" t="s">
        <v>629</v>
      </c>
      <c r="G2484" s="64" t="n">
        <v>1522500</v>
      </c>
      <c r="H2484" s="62" t="s">
        <v>138</v>
      </c>
    </row>
    <row r="2485" customFormat="false" ht="15" hidden="false" customHeight="false" outlineLevel="0" collapsed="false">
      <c r="A2485" s="62" t="n">
        <v>0</v>
      </c>
      <c r="B2485" s="62" t="s">
        <v>388</v>
      </c>
      <c r="C2485" s="62" t="s">
        <v>60</v>
      </c>
      <c r="D2485" s="62" t="s">
        <v>67</v>
      </c>
      <c r="E2485" s="62" t="s">
        <v>382</v>
      </c>
      <c r="F2485" s="63" t="s">
        <v>629</v>
      </c>
      <c r="G2485" s="64" t="n">
        <v>1522500</v>
      </c>
      <c r="H2485" s="62" t="s">
        <v>138</v>
      </c>
    </row>
    <row r="2486" customFormat="false" ht="15" hidden="false" customHeight="false" outlineLevel="0" collapsed="false">
      <c r="A2486" s="62" t="n">
        <v>0</v>
      </c>
      <c r="B2486" s="62" t="s">
        <v>381</v>
      </c>
      <c r="C2486" s="62" t="s">
        <v>60</v>
      </c>
      <c r="D2486" s="62" t="s">
        <v>67</v>
      </c>
      <c r="E2486" s="62" t="s">
        <v>382</v>
      </c>
      <c r="F2486" s="63" t="s">
        <v>630</v>
      </c>
      <c r="G2486" s="64" t="n">
        <v>11805399.7513683</v>
      </c>
      <c r="H2486" s="62" t="s">
        <v>138</v>
      </c>
    </row>
    <row r="2487" customFormat="false" ht="15" hidden="false" customHeight="false" outlineLevel="0" collapsed="false">
      <c r="A2487" s="62" t="n">
        <v>0</v>
      </c>
      <c r="B2487" s="62" t="s">
        <v>383</v>
      </c>
      <c r="C2487" s="62" t="s">
        <v>60</v>
      </c>
      <c r="D2487" s="62" t="s">
        <v>67</v>
      </c>
      <c r="E2487" s="62" t="s">
        <v>382</v>
      </c>
      <c r="F2487" s="63" t="s">
        <v>630</v>
      </c>
      <c r="G2487" s="64" t="n">
        <v>11805399.7513683</v>
      </c>
      <c r="H2487" s="62" t="s">
        <v>138</v>
      </c>
    </row>
    <row r="2488" customFormat="false" ht="15" hidden="false" customHeight="false" outlineLevel="0" collapsed="false">
      <c r="A2488" s="62" t="n">
        <v>0</v>
      </c>
      <c r="B2488" s="62" t="s">
        <v>384</v>
      </c>
      <c r="C2488" s="62" t="s">
        <v>60</v>
      </c>
      <c r="D2488" s="62" t="s">
        <v>67</v>
      </c>
      <c r="E2488" s="62" t="s">
        <v>382</v>
      </c>
      <c r="F2488" s="63" t="s">
        <v>630</v>
      </c>
      <c r="G2488" s="64" t="n">
        <v>11805399.7513683</v>
      </c>
      <c r="H2488" s="62" t="s">
        <v>138</v>
      </c>
    </row>
    <row r="2489" customFormat="false" ht="15" hidden="false" customHeight="false" outlineLevel="0" collapsed="false">
      <c r="A2489" s="62" t="n">
        <v>0</v>
      </c>
      <c r="B2489" s="62" t="s">
        <v>385</v>
      </c>
      <c r="C2489" s="62" t="s">
        <v>60</v>
      </c>
      <c r="D2489" s="62" t="s">
        <v>67</v>
      </c>
      <c r="E2489" s="62" t="s">
        <v>382</v>
      </c>
      <c r="F2489" s="63" t="s">
        <v>630</v>
      </c>
      <c r="G2489" s="64" t="n">
        <v>11805399.7513683</v>
      </c>
      <c r="H2489" s="62" t="s">
        <v>138</v>
      </c>
    </row>
    <row r="2490" customFormat="false" ht="15" hidden="false" customHeight="false" outlineLevel="0" collapsed="false">
      <c r="A2490" s="62" t="n">
        <v>0</v>
      </c>
      <c r="B2490" s="62" t="s">
        <v>386</v>
      </c>
      <c r="C2490" s="62" t="s">
        <v>60</v>
      </c>
      <c r="D2490" s="62" t="s">
        <v>67</v>
      </c>
      <c r="E2490" s="62" t="s">
        <v>382</v>
      </c>
      <c r="F2490" s="63" t="s">
        <v>630</v>
      </c>
      <c r="G2490" s="64" t="n">
        <v>11805399.7513683</v>
      </c>
      <c r="H2490" s="62" t="s">
        <v>138</v>
      </c>
    </row>
    <row r="2491" customFormat="false" ht="15" hidden="false" customHeight="false" outlineLevel="0" collapsed="false">
      <c r="A2491" s="62" t="n">
        <v>0</v>
      </c>
      <c r="B2491" s="62" t="s">
        <v>387</v>
      </c>
      <c r="C2491" s="62" t="s">
        <v>60</v>
      </c>
      <c r="D2491" s="62" t="s">
        <v>67</v>
      </c>
      <c r="E2491" s="62" t="s">
        <v>382</v>
      </c>
      <c r="F2491" s="63" t="s">
        <v>630</v>
      </c>
      <c r="G2491" s="64" t="n">
        <v>11805399.7513683</v>
      </c>
      <c r="H2491" s="62" t="s">
        <v>138</v>
      </c>
    </row>
    <row r="2492" customFormat="false" ht="15" hidden="false" customHeight="false" outlineLevel="0" collapsed="false">
      <c r="A2492" s="62" t="n">
        <v>0</v>
      </c>
      <c r="B2492" s="62" t="s">
        <v>388</v>
      </c>
      <c r="C2492" s="62" t="s">
        <v>60</v>
      </c>
      <c r="D2492" s="62" t="s">
        <v>67</v>
      </c>
      <c r="E2492" s="62" t="s">
        <v>382</v>
      </c>
      <c r="F2492" s="63" t="s">
        <v>630</v>
      </c>
      <c r="G2492" s="64" t="n">
        <v>11805399.7513683</v>
      </c>
      <c r="H2492" s="62" t="s">
        <v>138</v>
      </c>
    </row>
    <row r="2493" customFormat="false" ht="15" hidden="false" customHeight="false" outlineLevel="0" collapsed="false">
      <c r="A2493" s="62" t="n">
        <v>0</v>
      </c>
      <c r="B2493" s="62" t="s">
        <v>381</v>
      </c>
      <c r="C2493" s="62" t="s">
        <v>60</v>
      </c>
      <c r="D2493" s="62" t="s">
        <v>67</v>
      </c>
      <c r="E2493" s="62" t="s">
        <v>382</v>
      </c>
      <c r="F2493" s="63" t="s">
        <v>631</v>
      </c>
      <c r="G2493" s="64" t="n">
        <v>1607100.24863166</v>
      </c>
      <c r="H2493" s="62" t="s">
        <v>138</v>
      </c>
    </row>
    <row r="2494" customFormat="false" ht="15" hidden="false" customHeight="false" outlineLevel="0" collapsed="false">
      <c r="A2494" s="62" t="n">
        <v>0</v>
      </c>
      <c r="B2494" s="62" t="s">
        <v>383</v>
      </c>
      <c r="C2494" s="62" t="s">
        <v>60</v>
      </c>
      <c r="D2494" s="62" t="s">
        <v>67</v>
      </c>
      <c r="E2494" s="62" t="s">
        <v>382</v>
      </c>
      <c r="F2494" s="63" t="s">
        <v>631</v>
      </c>
      <c r="G2494" s="64" t="n">
        <v>1607100.24863166</v>
      </c>
      <c r="H2494" s="62" t="s">
        <v>138</v>
      </c>
    </row>
    <row r="2495" customFormat="false" ht="15" hidden="false" customHeight="false" outlineLevel="0" collapsed="false">
      <c r="A2495" s="62" t="n">
        <v>0</v>
      </c>
      <c r="B2495" s="62" t="s">
        <v>384</v>
      </c>
      <c r="C2495" s="62" t="s">
        <v>60</v>
      </c>
      <c r="D2495" s="62" t="s">
        <v>67</v>
      </c>
      <c r="E2495" s="62" t="s">
        <v>382</v>
      </c>
      <c r="F2495" s="63" t="s">
        <v>631</v>
      </c>
      <c r="G2495" s="64" t="n">
        <v>1607100.24863166</v>
      </c>
      <c r="H2495" s="62" t="s">
        <v>138</v>
      </c>
    </row>
    <row r="2496" customFormat="false" ht="15" hidden="false" customHeight="false" outlineLevel="0" collapsed="false">
      <c r="A2496" s="62" t="n">
        <v>0</v>
      </c>
      <c r="B2496" s="62" t="s">
        <v>385</v>
      </c>
      <c r="C2496" s="62" t="s">
        <v>60</v>
      </c>
      <c r="D2496" s="62" t="s">
        <v>67</v>
      </c>
      <c r="E2496" s="62" t="s">
        <v>382</v>
      </c>
      <c r="F2496" s="63" t="s">
        <v>631</v>
      </c>
      <c r="G2496" s="64" t="n">
        <v>1607100.24863166</v>
      </c>
      <c r="H2496" s="62" t="s">
        <v>138</v>
      </c>
    </row>
    <row r="2497" customFormat="false" ht="15" hidden="false" customHeight="false" outlineLevel="0" collapsed="false">
      <c r="A2497" s="62" t="n">
        <v>0</v>
      </c>
      <c r="B2497" s="62" t="s">
        <v>386</v>
      </c>
      <c r="C2497" s="62" t="s">
        <v>60</v>
      </c>
      <c r="D2497" s="62" t="s">
        <v>67</v>
      </c>
      <c r="E2497" s="62" t="s">
        <v>382</v>
      </c>
      <c r="F2497" s="63" t="s">
        <v>631</v>
      </c>
      <c r="G2497" s="64" t="n">
        <v>1607100.24863166</v>
      </c>
      <c r="H2497" s="62" t="s">
        <v>138</v>
      </c>
    </row>
    <row r="2498" customFormat="false" ht="15" hidden="false" customHeight="false" outlineLevel="0" collapsed="false">
      <c r="A2498" s="62" t="n">
        <v>0</v>
      </c>
      <c r="B2498" s="62" t="s">
        <v>387</v>
      </c>
      <c r="C2498" s="62" t="s">
        <v>60</v>
      </c>
      <c r="D2498" s="62" t="s">
        <v>67</v>
      </c>
      <c r="E2498" s="62" t="s">
        <v>382</v>
      </c>
      <c r="F2498" s="63" t="s">
        <v>631</v>
      </c>
      <c r="G2498" s="64" t="n">
        <v>1607100.24863166</v>
      </c>
      <c r="H2498" s="62" t="s">
        <v>138</v>
      </c>
    </row>
    <row r="2499" customFormat="false" ht="15" hidden="false" customHeight="false" outlineLevel="0" collapsed="false">
      <c r="A2499" s="62" t="n">
        <v>0</v>
      </c>
      <c r="B2499" s="62" t="s">
        <v>388</v>
      </c>
      <c r="C2499" s="62" t="s">
        <v>60</v>
      </c>
      <c r="D2499" s="62" t="s">
        <v>67</v>
      </c>
      <c r="E2499" s="62" t="s">
        <v>382</v>
      </c>
      <c r="F2499" s="63" t="s">
        <v>631</v>
      </c>
      <c r="G2499" s="64" t="n">
        <v>1607100.24863166</v>
      </c>
      <c r="H2499" s="62" t="s">
        <v>138</v>
      </c>
    </row>
    <row r="2500" customFormat="false" ht="15" hidden="false" customHeight="false" outlineLevel="0" collapsed="false">
      <c r="A2500" s="62" t="n">
        <v>0</v>
      </c>
      <c r="B2500" s="62" t="s">
        <v>381</v>
      </c>
      <c r="C2500" s="62" t="s">
        <v>60</v>
      </c>
      <c r="D2500" s="62" t="s">
        <v>67</v>
      </c>
      <c r="E2500" s="62" t="s">
        <v>382</v>
      </c>
      <c r="F2500" s="63" t="s">
        <v>632</v>
      </c>
      <c r="G2500" s="64" t="n">
        <v>600000</v>
      </c>
      <c r="H2500" s="62" t="s">
        <v>138</v>
      </c>
    </row>
    <row r="2501" customFormat="false" ht="15" hidden="false" customHeight="false" outlineLevel="0" collapsed="false">
      <c r="A2501" s="62" t="n">
        <v>0</v>
      </c>
      <c r="B2501" s="62" t="s">
        <v>383</v>
      </c>
      <c r="C2501" s="62" t="s">
        <v>60</v>
      </c>
      <c r="D2501" s="62" t="s">
        <v>67</v>
      </c>
      <c r="E2501" s="62" t="s">
        <v>382</v>
      </c>
      <c r="F2501" s="63" t="s">
        <v>632</v>
      </c>
      <c r="G2501" s="64" t="n">
        <v>600000</v>
      </c>
      <c r="H2501" s="62" t="s">
        <v>138</v>
      </c>
    </row>
    <row r="2502" customFormat="false" ht="15" hidden="false" customHeight="false" outlineLevel="0" collapsed="false">
      <c r="A2502" s="62" t="n">
        <v>0</v>
      </c>
      <c r="B2502" s="62" t="s">
        <v>384</v>
      </c>
      <c r="C2502" s="62" t="s">
        <v>60</v>
      </c>
      <c r="D2502" s="62" t="s">
        <v>67</v>
      </c>
      <c r="E2502" s="62" t="s">
        <v>382</v>
      </c>
      <c r="F2502" s="63" t="s">
        <v>632</v>
      </c>
      <c r="G2502" s="64" t="n">
        <v>600000</v>
      </c>
      <c r="H2502" s="62" t="s">
        <v>138</v>
      </c>
    </row>
    <row r="2503" customFormat="false" ht="15" hidden="false" customHeight="false" outlineLevel="0" collapsed="false">
      <c r="A2503" s="62" t="n">
        <v>0</v>
      </c>
      <c r="B2503" s="62" t="s">
        <v>385</v>
      </c>
      <c r="C2503" s="62" t="s">
        <v>60</v>
      </c>
      <c r="D2503" s="62" t="s">
        <v>67</v>
      </c>
      <c r="E2503" s="62" t="s">
        <v>382</v>
      </c>
      <c r="F2503" s="63" t="s">
        <v>632</v>
      </c>
      <c r="G2503" s="64" t="n">
        <v>600000</v>
      </c>
      <c r="H2503" s="62" t="s">
        <v>138</v>
      </c>
    </row>
    <row r="2504" customFormat="false" ht="15" hidden="false" customHeight="false" outlineLevel="0" collapsed="false">
      <c r="A2504" s="62" t="n">
        <v>0</v>
      </c>
      <c r="B2504" s="62" t="s">
        <v>386</v>
      </c>
      <c r="C2504" s="62" t="s">
        <v>60</v>
      </c>
      <c r="D2504" s="62" t="s">
        <v>67</v>
      </c>
      <c r="E2504" s="62" t="s">
        <v>382</v>
      </c>
      <c r="F2504" s="63" t="s">
        <v>632</v>
      </c>
      <c r="G2504" s="64" t="n">
        <v>600000</v>
      </c>
      <c r="H2504" s="62" t="s">
        <v>138</v>
      </c>
    </row>
    <row r="2505" customFormat="false" ht="15" hidden="false" customHeight="false" outlineLevel="0" collapsed="false">
      <c r="A2505" s="62" t="n">
        <v>0</v>
      </c>
      <c r="B2505" s="62" t="s">
        <v>387</v>
      </c>
      <c r="C2505" s="62" t="s">
        <v>60</v>
      </c>
      <c r="D2505" s="62" t="s">
        <v>67</v>
      </c>
      <c r="E2505" s="62" t="s">
        <v>382</v>
      </c>
      <c r="F2505" s="63" t="s">
        <v>632</v>
      </c>
      <c r="G2505" s="64" t="n">
        <v>600000</v>
      </c>
      <c r="H2505" s="62" t="s">
        <v>138</v>
      </c>
    </row>
    <row r="2506" customFormat="false" ht="15" hidden="false" customHeight="false" outlineLevel="0" collapsed="false">
      <c r="A2506" s="62" t="n">
        <v>0</v>
      </c>
      <c r="B2506" s="62" t="s">
        <v>388</v>
      </c>
      <c r="C2506" s="62" t="s">
        <v>60</v>
      </c>
      <c r="D2506" s="62" t="s">
        <v>67</v>
      </c>
      <c r="E2506" s="62" t="s">
        <v>382</v>
      </c>
      <c r="F2506" s="63" t="s">
        <v>632</v>
      </c>
      <c r="G2506" s="64" t="n">
        <v>600000</v>
      </c>
      <c r="H2506" s="62" t="s">
        <v>138</v>
      </c>
    </row>
    <row r="2507" customFormat="false" ht="15" hidden="false" customHeight="false" outlineLevel="0" collapsed="false">
      <c r="A2507" s="62" t="n">
        <v>0</v>
      </c>
      <c r="B2507" s="62" t="s">
        <v>381</v>
      </c>
      <c r="C2507" s="62" t="s">
        <v>60</v>
      </c>
      <c r="D2507" s="62" t="s">
        <v>67</v>
      </c>
      <c r="E2507" s="62" t="s">
        <v>382</v>
      </c>
      <c r="F2507" s="63" t="s">
        <v>633</v>
      </c>
      <c r="G2507" s="64" t="n">
        <v>1007100.24863166</v>
      </c>
      <c r="H2507" s="62" t="s">
        <v>138</v>
      </c>
    </row>
    <row r="2508" customFormat="false" ht="15" hidden="false" customHeight="false" outlineLevel="0" collapsed="false">
      <c r="A2508" s="62" t="n">
        <v>0</v>
      </c>
      <c r="B2508" s="62" t="s">
        <v>383</v>
      </c>
      <c r="C2508" s="62" t="s">
        <v>60</v>
      </c>
      <c r="D2508" s="62" t="s">
        <v>67</v>
      </c>
      <c r="E2508" s="62" t="s">
        <v>382</v>
      </c>
      <c r="F2508" s="63" t="s">
        <v>633</v>
      </c>
      <c r="G2508" s="64" t="n">
        <v>1007100.24863166</v>
      </c>
      <c r="H2508" s="62" t="s">
        <v>138</v>
      </c>
    </row>
    <row r="2509" customFormat="false" ht="15" hidden="false" customHeight="false" outlineLevel="0" collapsed="false">
      <c r="A2509" s="62" t="n">
        <v>0</v>
      </c>
      <c r="B2509" s="62" t="s">
        <v>384</v>
      </c>
      <c r="C2509" s="62" t="s">
        <v>60</v>
      </c>
      <c r="D2509" s="62" t="s">
        <v>67</v>
      </c>
      <c r="E2509" s="62" t="s">
        <v>382</v>
      </c>
      <c r="F2509" s="63" t="s">
        <v>633</v>
      </c>
      <c r="G2509" s="64" t="n">
        <v>1007100.24863166</v>
      </c>
      <c r="H2509" s="62" t="s">
        <v>138</v>
      </c>
    </row>
    <row r="2510" customFormat="false" ht="15" hidden="false" customHeight="false" outlineLevel="0" collapsed="false">
      <c r="A2510" s="62" t="n">
        <v>0</v>
      </c>
      <c r="B2510" s="62" t="s">
        <v>385</v>
      </c>
      <c r="C2510" s="62" t="s">
        <v>60</v>
      </c>
      <c r="D2510" s="62" t="s">
        <v>67</v>
      </c>
      <c r="E2510" s="62" t="s">
        <v>382</v>
      </c>
      <c r="F2510" s="63" t="s">
        <v>633</v>
      </c>
      <c r="G2510" s="64" t="n">
        <v>1007100.24863166</v>
      </c>
      <c r="H2510" s="62" t="s">
        <v>138</v>
      </c>
    </row>
    <row r="2511" customFormat="false" ht="15" hidden="false" customHeight="false" outlineLevel="0" collapsed="false">
      <c r="A2511" s="62" t="n">
        <v>0</v>
      </c>
      <c r="B2511" s="62" t="s">
        <v>386</v>
      </c>
      <c r="C2511" s="62" t="s">
        <v>60</v>
      </c>
      <c r="D2511" s="62" t="s">
        <v>67</v>
      </c>
      <c r="E2511" s="62" t="s">
        <v>382</v>
      </c>
      <c r="F2511" s="63" t="s">
        <v>633</v>
      </c>
      <c r="G2511" s="64" t="n">
        <v>1007100.24863166</v>
      </c>
      <c r="H2511" s="62" t="s">
        <v>138</v>
      </c>
    </row>
    <row r="2512" customFormat="false" ht="15" hidden="false" customHeight="false" outlineLevel="0" collapsed="false">
      <c r="A2512" s="62" t="n">
        <v>0</v>
      </c>
      <c r="B2512" s="62" t="s">
        <v>387</v>
      </c>
      <c r="C2512" s="62" t="s">
        <v>60</v>
      </c>
      <c r="D2512" s="62" t="s">
        <v>67</v>
      </c>
      <c r="E2512" s="62" t="s">
        <v>382</v>
      </c>
      <c r="F2512" s="63" t="s">
        <v>633</v>
      </c>
      <c r="G2512" s="64" t="n">
        <v>1007100.24863166</v>
      </c>
      <c r="H2512" s="62" t="s">
        <v>138</v>
      </c>
    </row>
    <row r="2513" customFormat="false" ht="15" hidden="false" customHeight="false" outlineLevel="0" collapsed="false">
      <c r="A2513" s="62" t="n">
        <v>0</v>
      </c>
      <c r="B2513" s="62" t="s">
        <v>388</v>
      </c>
      <c r="C2513" s="62" t="s">
        <v>60</v>
      </c>
      <c r="D2513" s="62" t="s">
        <v>67</v>
      </c>
      <c r="E2513" s="62" t="s">
        <v>382</v>
      </c>
      <c r="F2513" s="63" t="s">
        <v>633</v>
      </c>
      <c r="G2513" s="64" t="n">
        <v>1007100.24863166</v>
      </c>
      <c r="H2513" s="62" t="s">
        <v>138</v>
      </c>
    </row>
    <row r="2514" customFormat="false" ht="15" hidden="false" customHeight="false" outlineLevel="0" collapsed="false">
      <c r="A2514" s="62" t="n">
        <v>0</v>
      </c>
      <c r="B2514" s="62" t="s">
        <v>381</v>
      </c>
      <c r="C2514" s="62" t="s">
        <v>60</v>
      </c>
      <c r="D2514" s="62" t="s">
        <v>71</v>
      </c>
      <c r="E2514" s="62" t="s">
        <v>382</v>
      </c>
      <c r="F2514" s="63" t="s">
        <v>625</v>
      </c>
      <c r="G2514" s="64" t="n">
        <v>9012500</v>
      </c>
      <c r="H2514" s="62" t="s">
        <v>138</v>
      </c>
    </row>
    <row r="2515" customFormat="false" ht="15" hidden="false" customHeight="false" outlineLevel="0" collapsed="false">
      <c r="A2515" s="62" t="n">
        <v>0</v>
      </c>
      <c r="B2515" s="62" t="s">
        <v>383</v>
      </c>
      <c r="C2515" s="62" t="s">
        <v>60</v>
      </c>
      <c r="D2515" s="62" t="s">
        <v>71</v>
      </c>
      <c r="E2515" s="62" t="s">
        <v>382</v>
      </c>
      <c r="F2515" s="63" t="s">
        <v>625</v>
      </c>
      <c r="G2515" s="64" t="n">
        <v>9012500</v>
      </c>
      <c r="H2515" s="62" t="s">
        <v>138</v>
      </c>
    </row>
    <row r="2516" customFormat="false" ht="15" hidden="false" customHeight="false" outlineLevel="0" collapsed="false">
      <c r="A2516" s="62" t="n">
        <v>0</v>
      </c>
      <c r="B2516" s="62" t="s">
        <v>384</v>
      </c>
      <c r="C2516" s="62" t="s">
        <v>60</v>
      </c>
      <c r="D2516" s="62" t="s">
        <v>71</v>
      </c>
      <c r="E2516" s="62" t="s">
        <v>382</v>
      </c>
      <c r="F2516" s="63" t="s">
        <v>625</v>
      </c>
      <c r="G2516" s="64" t="n">
        <v>9012500</v>
      </c>
      <c r="H2516" s="62" t="s">
        <v>138</v>
      </c>
    </row>
    <row r="2517" customFormat="false" ht="15" hidden="false" customHeight="false" outlineLevel="0" collapsed="false">
      <c r="A2517" s="62" t="n">
        <v>0</v>
      </c>
      <c r="B2517" s="62" t="s">
        <v>385</v>
      </c>
      <c r="C2517" s="62" t="s">
        <v>60</v>
      </c>
      <c r="D2517" s="62" t="s">
        <v>71</v>
      </c>
      <c r="E2517" s="62" t="s">
        <v>382</v>
      </c>
      <c r="F2517" s="63" t="s">
        <v>625</v>
      </c>
      <c r="G2517" s="64" t="n">
        <v>9012500</v>
      </c>
      <c r="H2517" s="62" t="s">
        <v>138</v>
      </c>
    </row>
    <row r="2518" customFormat="false" ht="15" hidden="false" customHeight="false" outlineLevel="0" collapsed="false">
      <c r="A2518" s="62" t="n">
        <v>0</v>
      </c>
      <c r="B2518" s="62" t="s">
        <v>386</v>
      </c>
      <c r="C2518" s="62" t="s">
        <v>60</v>
      </c>
      <c r="D2518" s="62" t="s">
        <v>71</v>
      </c>
      <c r="E2518" s="62" t="s">
        <v>382</v>
      </c>
      <c r="F2518" s="63" t="s">
        <v>625</v>
      </c>
      <c r="G2518" s="64" t="n">
        <v>9012500</v>
      </c>
      <c r="H2518" s="62" t="s">
        <v>138</v>
      </c>
    </row>
    <row r="2519" customFormat="false" ht="15" hidden="false" customHeight="false" outlineLevel="0" collapsed="false">
      <c r="A2519" s="62" t="n">
        <v>0</v>
      </c>
      <c r="B2519" s="62" t="s">
        <v>387</v>
      </c>
      <c r="C2519" s="62" t="s">
        <v>60</v>
      </c>
      <c r="D2519" s="62" t="s">
        <v>71</v>
      </c>
      <c r="E2519" s="62" t="s">
        <v>382</v>
      </c>
      <c r="F2519" s="63" t="s">
        <v>625</v>
      </c>
      <c r="G2519" s="64" t="n">
        <v>9012500</v>
      </c>
      <c r="H2519" s="62" t="s">
        <v>138</v>
      </c>
    </row>
    <row r="2520" customFormat="false" ht="15" hidden="false" customHeight="false" outlineLevel="0" collapsed="false">
      <c r="A2520" s="62" t="n">
        <v>0</v>
      </c>
      <c r="B2520" s="62" t="s">
        <v>388</v>
      </c>
      <c r="C2520" s="62" t="s">
        <v>60</v>
      </c>
      <c r="D2520" s="62" t="s">
        <v>71</v>
      </c>
      <c r="E2520" s="62" t="s">
        <v>382</v>
      </c>
      <c r="F2520" s="63" t="s">
        <v>625</v>
      </c>
      <c r="G2520" s="64" t="n">
        <v>9012500</v>
      </c>
      <c r="H2520" s="62" t="s">
        <v>138</v>
      </c>
    </row>
    <row r="2521" customFormat="false" ht="15" hidden="false" customHeight="false" outlineLevel="0" collapsed="false">
      <c r="A2521" s="62" t="n">
        <v>0</v>
      </c>
      <c r="B2521" s="62" t="s">
        <v>381</v>
      </c>
      <c r="C2521" s="62" t="s">
        <v>60</v>
      </c>
      <c r="D2521" s="62" t="s">
        <v>71</v>
      </c>
      <c r="E2521" s="62" t="s">
        <v>382</v>
      </c>
      <c r="F2521" s="63" t="s">
        <v>626</v>
      </c>
      <c r="G2521" s="64" t="n">
        <v>6261330.56695054</v>
      </c>
      <c r="H2521" s="62" t="s">
        <v>138</v>
      </c>
    </row>
    <row r="2522" customFormat="false" ht="15" hidden="false" customHeight="false" outlineLevel="0" collapsed="false">
      <c r="A2522" s="62" t="n">
        <v>0</v>
      </c>
      <c r="B2522" s="62" t="s">
        <v>383</v>
      </c>
      <c r="C2522" s="62" t="s">
        <v>60</v>
      </c>
      <c r="D2522" s="62" t="s">
        <v>71</v>
      </c>
      <c r="E2522" s="62" t="s">
        <v>382</v>
      </c>
      <c r="F2522" s="63" t="s">
        <v>626</v>
      </c>
      <c r="G2522" s="64" t="n">
        <v>6261330.56695054</v>
      </c>
      <c r="H2522" s="62" t="s">
        <v>138</v>
      </c>
    </row>
    <row r="2523" customFormat="false" ht="15" hidden="false" customHeight="false" outlineLevel="0" collapsed="false">
      <c r="A2523" s="62" t="n">
        <v>0</v>
      </c>
      <c r="B2523" s="62" t="s">
        <v>384</v>
      </c>
      <c r="C2523" s="62" t="s">
        <v>60</v>
      </c>
      <c r="D2523" s="62" t="s">
        <v>71</v>
      </c>
      <c r="E2523" s="62" t="s">
        <v>382</v>
      </c>
      <c r="F2523" s="63" t="s">
        <v>626</v>
      </c>
      <c r="G2523" s="64" t="n">
        <v>6261330.56695054</v>
      </c>
      <c r="H2523" s="62" t="s">
        <v>138</v>
      </c>
    </row>
    <row r="2524" customFormat="false" ht="15" hidden="false" customHeight="false" outlineLevel="0" collapsed="false">
      <c r="A2524" s="62" t="n">
        <v>0</v>
      </c>
      <c r="B2524" s="62" t="s">
        <v>385</v>
      </c>
      <c r="C2524" s="62" t="s">
        <v>60</v>
      </c>
      <c r="D2524" s="62" t="s">
        <v>71</v>
      </c>
      <c r="E2524" s="62" t="s">
        <v>382</v>
      </c>
      <c r="F2524" s="63" t="s">
        <v>626</v>
      </c>
      <c r="G2524" s="64" t="n">
        <v>6261330.56695054</v>
      </c>
      <c r="H2524" s="62" t="s">
        <v>138</v>
      </c>
    </row>
    <row r="2525" customFormat="false" ht="15" hidden="false" customHeight="false" outlineLevel="0" collapsed="false">
      <c r="A2525" s="62" t="n">
        <v>0</v>
      </c>
      <c r="B2525" s="62" t="s">
        <v>386</v>
      </c>
      <c r="C2525" s="62" t="s">
        <v>60</v>
      </c>
      <c r="D2525" s="62" t="s">
        <v>71</v>
      </c>
      <c r="E2525" s="62" t="s">
        <v>382</v>
      </c>
      <c r="F2525" s="63" t="s">
        <v>626</v>
      </c>
      <c r="G2525" s="64" t="n">
        <v>6261330.56695054</v>
      </c>
      <c r="H2525" s="62" t="s">
        <v>138</v>
      </c>
    </row>
    <row r="2526" customFormat="false" ht="15" hidden="false" customHeight="false" outlineLevel="0" collapsed="false">
      <c r="A2526" s="62" t="n">
        <v>0</v>
      </c>
      <c r="B2526" s="62" t="s">
        <v>387</v>
      </c>
      <c r="C2526" s="62" t="s">
        <v>60</v>
      </c>
      <c r="D2526" s="62" t="s">
        <v>71</v>
      </c>
      <c r="E2526" s="62" t="s">
        <v>382</v>
      </c>
      <c r="F2526" s="63" t="s">
        <v>626</v>
      </c>
      <c r="G2526" s="64" t="n">
        <v>6261330.56695054</v>
      </c>
      <c r="H2526" s="62" t="s">
        <v>138</v>
      </c>
    </row>
    <row r="2527" customFormat="false" ht="15" hidden="false" customHeight="false" outlineLevel="0" collapsed="false">
      <c r="A2527" s="62" t="n">
        <v>0</v>
      </c>
      <c r="B2527" s="62" t="s">
        <v>388</v>
      </c>
      <c r="C2527" s="62" t="s">
        <v>60</v>
      </c>
      <c r="D2527" s="62" t="s">
        <v>71</v>
      </c>
      <c r="E2527" s="62" t="s">
        <v>382</v>
      </c>
      <c r="F2527" s="63" t="s">
        <v>626</v>
      </c>
      <c r="G2527" s="64" t="n">
        <v>6261330.56695054</v>
      </c>
      <c r="H2527" s="62" t="s">
        <v>138</v>
      </c>
    </row>
    <row r="2528" customFormat="false" ht="15" hidden="false" customHeight="false" outlineLevel="0" collapsed="false">
      <c r="A2528" s="62" t="n">
        <v>0</v>
      </c>
      <c r="B2528" s="62" t="s">
        <v>381</v>
      </c>
      <c r="C2528" s="62" t="s">
        <v>60</v>
      </c>
      <c r="D2528" s="62" t="s">
        <v>71</v>
      </c>
      <c r="E2528" s="62" t="s">
        <v>382</v>
      </c>
      <c r="F2528" s="63" t="s">
        <v>627</v>
      </c>
      <c r="G2528" s="64" t="n">
        <v>0</v>
      </c>
      <c r="H2528" s="62" t="s">
        <v>138</v>
      </c>
    </row>
    <row r="2529" customFormat="false" ht="15" hidden="false" customHeight="false" outlineLevel="0" collapsed="false">
      <c r="A2529" s="62" t="n">
        <v>0</v>
      </c>
      <c r="B2529" s="62" t="s">
        <v>383</v>
      </c>
      <c r="C2529" s="62" t="s">
        <v>60</v>
      </c>
      <c r="D2529" s="62" t="s">
        <v>71</v>
      </c>
      <c r="E2529" s="62" t="s">
        <v>382</v>
      </c>
      <c r="F2529" s="63" t="s">
        <v>627</v>
      </c>
      <c r="G2529" s="64" t="n">
        <v>0</v>
      </c>
      <c r="H2529" s="62" t="s">
        <v>138</v>
      </c>
    </row>
    <row r="2530" customFormat="false" ht="15" hidden="false" customHeight="false" outlineLevel="0" collapsed="false">
      <c r="A2530" s="62" t="n">
        <v>0</v>
      </c>
      <c r="B2530" s="62" t="s">
        <v>384</v>
      </c>
      <c r="C2530" s="62" t="s">
        <v>60</v>
      </c>
      <c r="D2530" s="62" t="s">
        <v>71</v>
      </c>
      <c r="E2530" s="62" t="s">
        <v>382</v>
      </c>
      <c r="F2530" s="63" t="s">
        <v>627</v>
      </c>
      <c r="G2530" s="64" t="n">
        <v>0</v>
      </c>
      <c r="H2530" s="62" t="s">
        <v>138</v>
      </c>
    </row>
    <row r="2531" customFormat="false" ht="15" hidden="false" customHeight="false" outlineLevel="0" collapsed="false">
      <c r="A2531" s="62" t="n">
        <v>0</v>
      </c>
      <c r="B2531" s="62" t="s">
        <v>385</v>
      </c>
      <c r="C2531" s="62" t="s">
        <v>60</v>
      </c>
      <c r="D2531" s="62" t="s">
        <v>71</v>
      </c>
      <c r="E2531" s="62" t="s">
        <v>382</v>
      </c>
      <c r="F2531" s="63" t="s">
        <v>627</v>
      </c>
      <c r="G2531" s="64" t="n">
        <v>0</v>
      </c>
      <c r="H2531" s="62" t="s">
        <v>138</v>
      </c>
    </row>
    <row r="2532" customFormat="false" ht="15" hidden="false" customHeight="false" outlineLevel="0" collapsed="false">
      <c r="A2532" s="62" t="n">
        <v>0</v>
      </c>
      <c r="B2532" s="62" t="s">
        <v>386</v>
      </c>
      <c r="C2532" s="62" t="s">
        <v>60</v>
      </c>
      <c r="D2532" s="62" t="s">
        <v>71</v>
      </c>
      <c r="E2532" s="62" t="s">
        <v>382</v>
      </c>
      <c r="F2532" s="63" t="s">
        <v>627</v>
      </c>
      <c r="G2532" s="64" t="n">
        <v>0</v>
      </c>
      <c r="H2532" s="62" t="s">
        <v>138</v>
      </c>
    </row>
    <row r="2533" customFormat="false" ht="15" hidden="false" customHeight="false" outlineLevel="0" collapsed="false">
      <c r="A2533" s="62" t="n">
        <v>0</v>
      </c>
      <c r="B2533" s="62" t="s">
        <v>387</v>
      </c>
      <c r="C2533" s="62" t="s">
        <v>60</v>
      </c>
      <c r="D2533" s="62" t="s">
        <v>71</v>
      </c>
      <c r="E2533" s="62" t="s">
        <v>382</v>
      </c>
      <c r="F2533" s="63" t="s">
        <v>627</v>
      </c>
      <c r="G2533" s="64" t="n">
        <v>0</v>
      </c>
      <c r="H2533" s="62" t="s">
        <v>138</v>
      </c>
    </row>
    <row r="2534" customFormat="false" ht="15" hidden="false" customHeight="false" outlineLevel="0" collapsed="false">
      <c r="A2534" s="62" t="n">
        <v>0</v>
      </c>
      <c r="B2534" s="62" t="s">
        <v>388</v>
      </c>
      <c r="C2534" s="62" t="s">
        <v>60</v>
      </c>
      <c r="D2534" s="62" t="s">
        <v>71</v>
      </c>
      <c r="E2534" s="62" t="s">
        <v>382</v>
      </c>
      <c r="F2534" s="63" t="s">
        <v>627</v>
      </c>
      <c r="G2534" s="64" t="n">
        <v>0</v>
      </c>
      <c r="H2534" s="62" t="s">
        <v>138</v>
      </c>
    </row>
    <row r="2535" customFormat="false" ht="15" hidden="false" customHeight="false" outlineLevel="0" collapsed="false">
      <c r="A2535" s="62" t="n">
        <v>0</v>
      </c>
      <c r="B2535" s="62" t="s">
        <v>381</v>
      </c>
      <c r="C2535" s="62" t="s">
        <v>60</v>
      </c>
      <c r="D2535" s="62" t="s">
        <v>71</v>
      </c>
      <c r="E2535" s="62" t="s">
        <v>382</v>
      </c>
      <c r="F2535" s="63" t="s">
        <v>628</v>
      </c>
      <c r="G2535" s="64" t="n">
        <v>0</v>
      </c>
      <c r="H2535" s="62" t="s">
        <v>138</v>
      </c>
    </row>
    <row r="2536" customFormat="false" ht="15" hidden="false" customHeight="false" outlineLevel="0" collapsed="false">
      <c r="A2536" s="62" t="n">
        <v>0</v>
      </c>
      <c r="B2536" s="62" t="s">
        <v>383</v>
      </c>
      <c r="C2536" s="62" t="s">
        <v>60</v>
      </c>
      <c r="D2536" s="62" t="s">
        <v>71</v>
      </c>
      <c r="E2536" s="62" t="s">
        <v>382</v>
      </c>
      <c r="F2536" s="63" t="s">
        <v>628</v>
      </c>
      <c r="G2536" s="64" t="n">
        <v>0</v>
      </c>
      <c r="H2536" s="62" t="s">
        <v>138</v>
      </c>
    </row>
    <row r="2537" customFormat="false" ht="15" hidden="false" customHeight="false" outlineLevel="0" collapsed="false">
      <c r="A2537" s="62" t="n">
        <v>0</v>
      </c>
      <c r="B2537" s="62" t="s">
        <v>384</v>
      </c>
      <c r="C2537" s="62" t="s">
        <v>60</v>
      </c>
      <c r="D2537" s="62" t="s">
        <v>71</v>
      </c>
      <c r="E2537" s="62" t="s">
        <v>382</v>
      </c>
      <c r="F2537" s="63" t="s">
        <v>628</v>
      </c>
      <c r="G2537" s="64" t="n">
        <v>0</v>
      </c>
      <c r="H2537" s="62" t="s">
        <v>138</v>
      </c>
    </row>
    <row r="2538" customFormat="false" ht="15" hidden="false" customHeight="false" outlineLevel="0" collapsed="false">
      <c r="A2538" s="62" t="n">
        <v>0</v>
      </c>
      <c r="B2538" s="62" t="s">
        <v>385</v>
      </c>
      <c r="C2538" s="62" t="s">
        <v>60</v>
      </c>
      <c r="D2538" s="62" t="s">
        <v>71</v>
      </c>
      <c r="E2538" s="62" t="s">
        <v>382</v>
      </c>
      <c r="F2538" s="63" t="s">
        <v>628</v>
      </c>
      <c r="G2538" s="64" t="n">
        <v>0</v>
      </c>
      <c r="H2538" s="62" t="s">
        <v>138</v>
      </c>
    </row>
    <row r="2539" customFormat="false" ht="15" hidden="false" customHeight="false" outlineLevel="0" collapsed="false">
      <c r="A2539" s="62" t="n">
        <v>0</v>
      </c>
      <c r="B2539" s="62" t="s">
        <v>386</v>
      </c>
      <c r="C2539" s="62" t="s">
        <v>60</v>
      </c>
      <c r="D2539" s="62" t="s">
        <v>71</v>
      </c>
      <c r="E2539" s="62" t="s">
        <v>382</v>
      </c>
      <c r="F2539" s="63" t="s">
        <v>628</v>
      </c>
      <c r="G2539" s="64" t="n">
        <v>0</v>
      </c>
      <c r="H2539" s="62" t="s">
        <v>138</v>
      </c>
    </row>
    <row r="2540" customFormat="false" ht="15" hidden="false" customHeight="false" outlineLevel="0" collapsed="false">
      <c r="A2540" s="62" t="n">
        <v>0</v>
      </c>
      <c r="B2540" s="62" t="s">
        <v>387</v>
      </c>
      <c r="C2540" s="62" t="s">
        <v>60</v>
      </c>
      <c r="D2540" s="62" t="s">
        <v>71</v>
      </c>
      <c r="E2540" s="62" t="s">
        <v>382</v>
      </c>
      <c r="F2540" s="63" t="s">
        <v>628</v>
      </c>
      <c r="G2540" s="64" t="n">
        <v>0</v>
      </c>
      <c r="H2540" s="62" t="s">
        <v>138</v>
      </c>
    </row>
    <row r="2541" customFormat="false" ht="15" hidden="false" customHeight="false" outlineLevel="0" collapsed="false">
      <c r="A2541" s="62" t="n">
        <v>0</v>
      </c>
      <c r="B2541" s="62" t="s">
        <v>388</v>
      </c>
      <c r="C2541" s="62" t="s">
        <v>60</v>
      </c>
      <c r="D2541" s="62" t="s">
        <v>71</v>
      </c>
      <c r="E2541" s="62" t="s">
        <v>382</v>
      </c>
      <c r="F2541" s="63" t="s">
        <v>628</v>
      </c>
      <c r="G2541" s="64" t="n">
        <v>0</v>
      </c>
      <c r="H2541" s="62" t="s">
        <v>138</v>
      </c>
    </row>
    <row r="2542" customFormat="false" ht="15" hidden="false" customHeight="false" outlineLevel="0" collapsed="false">
      <c r="A2542" s="62" t="n">
        <v>0</v>
      </c>
      <c r="B2542" s="62" t="s">
        <v>381</v>
      </c>
      <c r="C2542" s="62" t="s">
        <v>60</v>
      </c>
      <c r="D2542" s="62" t="s">
        <v>71</v>
      </c>
      <c r="E2542" s="62" t="s">
        <v>382</v>
      </c>
      <c r="F2542" s="63" t="s">
        <v>629</v>
      </c>
      <c r="G2542" s="64" t="n">
        <v>1339000</v>
      </c>
      <c r="H2542" s="62" t="s">
        <v>138</v>
      </c>
    </row>
    <row r="2543" customFormat="false" ht="15" hidden="false" customHeight="false" outlineLevel="0" collapsed="false">
      <c r="A2543" s="62" t="n">
        <v>0</v>
      </c>
      <c r="B2543" s="62" t="s">
        <v>383</v>
      </c>
      <c r="C2543" s="62" t="s">
        <v>60</v>
      </c>
      <c r="D2543" s="62" t="s">
        <v>71</v>
      </c>
      <c r="E2543" s="62" t="s">
        <v>382</v>
      </c>
      <c r="F2543" s="63" t="s">
        <v>629</v>
      </c>
      <c r="G2543" s="64" t="n">
        <v>1339000</v>
      </c>
      <c r="H2543" s="62" t="s">
        <v>138</v>
      </c>
    </row>
    <row r="2544" customFormat="false" ht="15" hidden="false" customHeight="false" outlineLevel="0" collapsed="false">
      <c r="A2544" s="62" t="n">
        <v>0</v>
      </c>
      <c r="B2544" s="62" t="s">
        <v>384</v>
      </c>
      <c r="C2544" s="62" t="s">
        <v>60</v>
      </c>
      <c r="D2544" s="62" t="s">
        <v>71</v>
      </c>
      <c r="E2544" s="62" t="s">
        <v>382</v>
      </c>
      <c r="F2544" s="63" t="s">
        <v>629</v>
      </c>
      <c r="G2544" s="64" t="n">
        <v>1339000</v>
      </c>
      <c r="H2544" s="62" t="s">
        <v>138</v>
      </c>
    </row>
    <row r="2545" customFormat="false" ht="15" hidden="false" customHeight="false" outlineLevel="0" collapsed="false">
      <c r="A2545" s="62" t="n">
        <v>0</v>
      </c>
      <c r="B2545" s="62" t="s">
        <v>385</v>
      </c>
      <c r="C2545" s="62" t="s">
        <v>60</v>
      </c>
      <c r="D2545" s="62" t="s">
        <v>71</v>
      </c>
      <c r="E2545" s="62" t="s">
        <v>382</v>
      </c>
      <c r="F2545" s="63" t="s">
        <v>629</v>
      </c>
      <c r="G2545" s="64" t="n">
        <v>1339000</v>
      </c>
      <c r="H2545" s="62" t="s">
        <v>138</v>
      </c>
    </row>
    <row r="2546" customFormat="false" ht="15" hidden="false" customHeight="false" outlineLevel="0" collapsed="false">
      <c r="A2546" s="62" t="n">
        <v>0</v>
      </c>
      <c r="B2546" s="62" t="s">
        <v>386</v>
      </c>
      <c r="C2546" s="62" t="s">
        <v>60</v>
      </c>
      <c r="D2546" s="62" t="s">
        <v>71</v>
      </c>
      <c r="E2546" s="62" t="s">
        <v>382</v>
      </c>
      <c r="F2546" s="63" t="s">
        <v>629</v>
      </c>
      <c r="G2546" s="64" t="n">
        <v>1339000</v>
      </c>
      <c r="H2546" s="62" t="s">
        <v>138</v>
      </c>
    </row>
    <row r="2547" customFormat="false" ht="15" hidden="false" customHeight="false" outlineLevel="0" collapsed="false">
      <c r="A2547" s="62" t="n">
        <v>0</v>
      </c>
      <c r="B2547" s="62" t="s">
        <v>387</v>
      </c>
      <c r="C2547" s="62" t="s">
        <v>60</v>
      </c>
      <c r="D2547" s="62" t="s">
        <v>71</v>
      </c>
      <c r="E2547" s="62" t="s">
        <v>382</v>
      </c>
      <c r="F2547" s="63" t="s">
        <v>629</v>
      </c>
      <c r="G2547" s="64" t="n">
        <v>1339000</v>
      </c>
      <c r="H2547" s="62" t="s">
        <v>138</v>
      </c>
    </row>
    <row r="2548" customFormat="false" ht="15" hidden="false" customHeight="false" outlineLevel="0" collapsed="false">
      <c r="A2548" s="62" t="n">
        <v>0</v>
      </c>
      <c r="B2548" s="62" t="s">
        <v>388</v>
      </c>
      <c r="C2548" s="62" t="s">
        <v>60</v>
      </c>
      <c r="D2548" s="62" t="s">
        <v>71</v>
      </c>
      <c r="E2548" s="62" t="s">
        <v>382</v>
      </c>
      <c r="F2548" s="63" t="s">
        <v>629</v>
      </c>
      <c r="G2548" s="64" t="n">
        <v>1339000</v>
      </c>
      <c r="H2548" s="62" t="s">
        <v>138</v>
      </c>
    </row>
    <row r="2549" customFormat="false" ht="15" hidden="false" customHeight="false" outlineLevel="0" collapsed="false">
      <c r="A2549" s="62" t="n">
        <v>0</v>
      </c>
      <c r="B2549" s="62" t="s">
        <v>381</v>
      </c>
      <c r="C2549" s="62" t="s">
        <v>60</v>
      </c>
      <c r="D2549" s="62" t="s">
        <v>71</v>
      </c>
      <c r="E2549" s="62" t="s">
        <v>382</v>
      </c>
      <c r="F2549" s="63" t="s">
        <v>630</v>
      </c>
      <c r="G2549" s="64" t="n">
        <v>7600330.56695054</v>
      </c>
      <c r="H2549" s="62" t="s">
        <v>138</v>
      </c>
    </row>
    <row r="2550" customFormat="false" ht="15" hidden="false" customHeight="false" outlineLevel="0" collapsed="false">
      <c r="A2550" s="62" t="n">
        <v>0</v>
      </c>
      <c r="B2550" s="62" t="s">
        <v>383</v>
      </c>
      <c r="C2550" s="62" t="s">
        <v>60</v>
      </c>
      <c r="D2550" s="62" t="s">
        <v>71</v>
      </c>
      <c r="E2550" s="62" t="s">
        <v>382</v>
      </c>
      <c r="F2550" s="63" t="s">
        <v>630</v>
      </c>
      <c r="G2550" s="64" t="n">
        <v>7600330.56695054</v>
      </c>
      <c r="H2550" s="62" t="s">
        <v>138</v>
      </c>
    </row>
    <row r="2551" customFormat="false" ht="15" hidden="false" customHeight="false" outlineLevel="0" collapsed="false">
      <c r="A2551" s="62" t="n">
        <v>0</v>
      </c>
      <c r="B2551" s="62" t="s">
        <v>384</v>
      </c>
      <c r="C2551" s="62" t="s">
        <v>60</v>
      </c>
      <c r="D2551" s="62" t="s">
        <v>71</v>
      </c>
      <c r="E2551" s="62" t="s">
        <v>382</v>
      </c>
      <c r="F2551" s="63" t="s">
        <v>630</v>
      </c>
      <c r="G2551" s="64" t="n">
        <v>7600330.56695054</v>
      </c>
      <c r="H2551" s="62" t="s">
        <v>138</v>
      </c>
    </row>
    <row r="2552" customFormat="false" ht="15" hidden="false" customHeight="false" outlineLevel="0" collapsed="false">
      <c r="A2552" s="62" t="n">
        <v>0</v>
      </c>
      <c r="B2552" s="62" t="s">
        <v>385</v>
      </c>
      <c r="C2552" s="62" t="s">
        <v>60</v>
      </c>
      <c r="D2552" s="62" t="s">
        <v>71</v>
      </c>
      <c r="E2552" s="62" t="s">
        <v>382</v>
      </c>
      <c r="F2552" s="63" t="s">
        <v>630</v>
      </c>
      <c r="G2552" s="64" t="n">
        <v>7600330.56695054</v>
      </c>
      <c r="H2552" s="62" t="s">
        <v>138</v>
      </c>
    </row>
    <row r="2553" customFormat="false" ht="15" hidden="false" customHeight="false" outlineLevel="0" collapsed="false">
      <c r="A2553" s="62" t="n">
        <v>0</v>
      </c>
      <c r="B2553" s="62" t="s">
        <v>386</v>
      </c>
      <c r="C2553" s="62" t="s">
        <v>60</v>
      </c>
      <c r="D2553" s="62" t="s">
        <v>71</v>
      </c>
      <c r="E2553" s="62" t="s">
        <v>382</v>
      </c>
      <c r="F2553" s="63" t="s">
        <v>630</v>
      </c>
      <c r="G2553" s="64" t="n">
        <v>7600330.56695054</v>
      </c>
      <c r="H2553" s="62" t="s">
        <v>138</v>
      </c>
    </row>
    <row r="2554" customFormat="false" ht="15" hidden="false" customHeight="false" outlineLevel="0" collapsed="false">
      <c r="A2554" s="62" t="n">
        <v>0</v>
      </c>
      <c r="B2554" s="62" t="s">
        <v>387</v>
      </c>
      <c r="C2554" s="62" t="s">
        <v>60</v>
      </c>
      <c r="D2554" s="62" t="s">
        <v>71</v>
      </c>
      <c r="E2554" s="62" t="s">
        <v>382</v>
      </c>
      <c r="F2554" s="63" t="s">
        <v>630</v>
      </c>
      <c r="G2554" s="64" t="n">
        <v>7600330.56695054</v>
      </c>
      <c r="H2554" s="62" t="s">
        <v>138</v>
      </c>
    </row>
    <row r="2555" customFormat="false" ht="15" hidden="false" customHeight="false" outlineLevel="0" collapsed="false">
      <c r="A2555" s="62" t="n">
        <v>0</v>
      </c>
      <c r="B2555" s="62" t="s">
        <v>388</v>
      </c>
      <c r="C2555" s="62" t="s">
        <v>60</v>
      </c>
      <c r="D2555" s="62" t="s">
        <v>71</v>
      </c>
      <c r="E2555" s="62" t="s">
        <v>382</v>
      </c>
      <c r="F2555" s="63" t="s">
        <v>630</v>
      </c>
      <c r="G2555" s="64" t="n">
        <v>7600330.56695054</v>
      </c>
      <c r="H2555" s="62" t="s">
        <v>138</v>
      </c>
    </row>
    <row r="2556" customFormat="false" ht="15" hidden="false" customHeight="false" outlineLevel="0" collapsed="false">
      <c r="A2556" s="62" t="n">
        <v>0</v>
      </c>
      <c r="B2556" s="62" t="s">
        <v>381</v>
      </c>
      <c r="C2556" s="62" t="s">
        <v>60</v>
      </c>
      <c r="D2556" s="62" t="s">
        <v>71</v>
      </c>
      <c r="E2556" s="62" t="s">
        <v>382</v>
      </c>
      <c r="F2556" s="63" t="s">
        <v>631</v>
      </c>
      <c r="G2556" s="64" t="n">
        <v>1412169.43304946</v>
      </c>
      <c r="H2556" s="62" t="s">
        <v>138</v>
      </c>
    </row>
    <row r="2557" customFormat="false" ht="15" hidden="false" customHeight="false" outlineLevel="0" collapsed="false">
      <c r="A2557" s="62" t="n">
        <v>0</v>
      </c>
      <c r="B2557" s="62" t="s">
        <v>383</v>
      </c>
      <c r="C2557" s="62" t="s">
        <v>60</v>
      </c>
      <c r="D2557" s="62" t="s">
        <v>71</v>
      </c>
      <c r="E2557" s="62" t="s">
        <v>382</v>
      </c>
      <c r="F2557" s="63" t="s">
        <v>631</v>
      </c>
      <c r="G2557" s="64" t="n">
        <v>1412169.43304946</v>
      </c>
      <c r="H2557" s="62" t="s">
        <v>138</v>
      </c>
    </row>
    <row r="2558" customFormat="false" ht="15" hidden="false" customHeight="false" outlineLevel="0" collapsed="false">
      <c r="A2558" s="62" t="n">
        <v>0</v>
      </c>
      <c r="B2558" s="62" t="s">
        <v>384</v>
      </c>
      <c r="C2558" s="62" t="s">
        <v>60</v>
      </c>
      <c r="D2558" s="62" t="s">
        <v>71</v>
      </c>
      <c r="E2558" s="62" t="s">
        <v>382</v>
      </c>
      <c r="F2558" s="63" t="s">
        <v>631</v>
      </c>
      <c r="G2558" s="64" t="n">
        <v>1412169.43304946</v>
      </c>
      <c r="H2558" s="62" t="s">
        <v>138</v>
      </c>
    </row>
    <row r="2559" customFormat="false" ht="15" hidden="false" customHeight="false" outlineLevel="0" collapsed="false">
      <c r="A2559" s="62" t="n">
        <v>0</v>
      </c>
      <c r="B2559" s="62" t="s">
        <v>385</v>
      </c>
      <c r="C2559" s="62" t="s">
        <v>60</v>
      </c>
      <c r="D2559" s="62" t="s">
        <v>71</v>
      </c>
      <c r="E2559" s="62" t="s">
        <v>382</v>
      </c>
      <c r="F2559" s="63" t="s">
        <v>631</v>
      </c>
      <c r="G2559" s="64" t="n">
        <v>1412169.43304946</v>
      </c>
      <c r="H2559" s="62" t="s">
        <v>138</v>
      </c>
    </row>
    <row r="2560" customFormat="false" ht="15" hidden="false" customHeight="false" outlineLevel="0" collapsed="false">
      <c r="A2560" s="62" t="n">
        <v>0</v>
      </c>
      <c r="B2560" s="62" t="s">
        <v>386</v>
      </c>
      <c r="C2560" s="62" t="s">
        <v>60</v>
      </c>
      <c r="D2560" s="62" t="s">
        <v>71</v>
      </c>
      <c r="E2560" s="62" t="s">
        <v>382</v>
      </c>
      <c r="F2560" s="63" t="s">
        <v>631</v>
      </c>
      <c r="G2560" s="64" t="n">
        <v>1412169.43304946</v>
      </c>
      <c r="H2560" s="62" t="s">
        <v>138</v>
      </c>
    </row>
    <row r="2561" customFormat="false" ht="15" hidden="false" customHeight="false" outlineLevel="0" collapsed="false">
      <c r="A2561" s="62" t="n">
        <v>0</v>
      </c>
      <c r="B2561" s="62" t="s">
        <v>387</v>
      </c>
      <c r="C2561" s="62" t="s">
        <v>60</v>
      </c>
      <c r="D2561" s="62" t="s">
        <v>71</v>
      </c>
      <c r="E2561" s="62" t="s">
        <v>382</v>
      </c>
      <c r="F2561" s="63" t="s">
        <v>631</v>
      </c>
      <c r="G2561" s="64" t="n">
        <v>1412169.43304946</v>
      </c>
      <c r="H2561" s="62" t="s">
        <v>138</v>
      </c>
    </row>
    <row r="2562" customFormat="false" ht="15" hidden="false" customHeight="false" outlineLevel="0" collapsed="false">
      <c r="A2562" s="62" t="n">
        <v>0</v>
      </c>
      <c r="B2562" s="62" t="s">
        <v>388</v>
      </c>
      <c r="C2562" s="62" t="s">
        <v>60</v>
      </c>
      <c r="D2562" s="62" t="s">
        <v>71</v>
      </c>
      <c r="E2562" s="62" t="s">
        <v>382</v>
      </c>
      <c r="F2562" s="63" t="s">
        <v>631</v>
      </c>
      <c r="G2562" s="64" t="n">
        <v>1412169.43304946</v>
      </c>
      <c r="H2562" s="62" t="s">
        <v>138</v>
      </c>
    </row>
    <row r="2563" customFormat="false" ht="15" hidden="false" customHeight="false" outlineLevel="0" collapsed="false">
      <c r="A2563" s="62" t="n">
        <v>0</v>
      </c>
      <c r="B2563" s="62" t="s">
        <v>381</v>
      </c>
      <c r="C2563" s="62" t="s">
        <v>60</v>
      </c>
      <c r="D2563" s="62" t="s">
        <v>71</v>
      </c>
      <c r="E2563" s="62" t="s">
        <v>382</v>
      </c>
      <c r="F2563" s="63" t="s">
        <v>632</v>
      </c>
      <c r="G2563" s="64" t="n">
        <v>300000</v>
      </c>
      <c r="H2563" s="62" t="s">
        <v>138</v>
      </c>
    </row>
    <row r="2564" customFormat="false" ht="15" hidden="false" customHeight="false" outlineLevel="0" collapsed="false">
      <c r="A2564" s="62" t="n">
        <v>0</v>
      </c>
      <c r="B2564" s="62" t="s">
        <v>383</v>
      </c>
      <c r="C2564" s="62" t="s">
        <v>60</v>
      </c>
      <c r="D2564" s="62" t="s">
        <v>71</v>
      </c>
      <c r="E2564" s="62" t="s">
        <v>382</v>
      </c>
      <c r="F2564" s="63" t="s">
        <v>632</v>
      </c>
      <c r="G2564" s="64" t="n">
        <v>300000</v>
      </c>
      <c r="H2564" s="62" t="s">
        <v>138</v>
      </c>
    </row>
    <row r="2565" customFormat="false" ht="15" hidden="false" customHeight="false" outlineLevel="0" collapsed="false">
      <c r="A2565" s="62" t="n">
        <v>0</v>
      </c>
      <c r="B2565" s="62" t="s">
        <v>384</v>
      </c>
      <c r="C2565" s="62" t="s">
        <v>60</v>
      </c>
      <c r="D2565" s="62" t="s">
        <v>71</v>
      </c>
      <c r="E2565" s="62" t="s">
        <v>382</v>
      </c>
      <c r="F2565" s="63" t="s">
        <v>632</v>
      </c>
      <c r="G2565" s="64" t="n">
        <v>300000</v>
      </c>
      <c r="H2565" s="62" t="s">
        <v>138</v>
      </c>
    </row>
    <row r="2566" customFormat="false" ht="15" hidden="false" customHeight="false" outlineLevel="0" collapsed="false">
      <c r="A2566" s="62" t="n">
        <v>0</v>
      </c>
      <c r="B2566" s="62" t="s">
        <v>385</v>
      </c>
      <c r="C2566" s="62" t="s">
        <v>60</v>
      </c>
      <c r="D2566" s="62" t="s">
        <v>71</v>
      </c>
      <c r="E2566" s="62" t="s">
        <v>382</v>
      </c>
      <c r="F2566" s="63" t="s">
        <v>632</v>
      </c>
      <c r="G2566" s="64" t="n">
        <v>300000</v>
      </c>
      <c r="H2566" s="62" t="s">
        <v>138</v>
      </c>
    </row>
    <row r="2567" customFormat="false" ht="15" hidden="false" customHeight="false" outlineLevel="0" collapsed="false">
      <c r="A2567" s="62" t="n">
        <v>0</v>
      </c>
      <c r="B2567" s="62" t="s">
        <v>386</v>
      </c>
      <c r="C2567" s="62" t="s">
        <v>60</v>
      </c>
      <c r="D2567" s="62" t="s">
        <v>71</v>
      </c>
      <c r="E2567" s="62" t="s">
        <v>382</v>
      </c>
      <c r="F2567" s="63" t="s">
        <v>632</v>
      </c>
      <c r="G2567" s="64" t="n">
        <v>300000</v>
      </c>
      <c r="H2567" s="62" t="s">
        <v>138</v>
      </c>
    </row>
    <row r="2568" customFormat="false" ht="15" hidden="false" customHeight="false" outlineLevel="0" collapsed="false">
      <c r="A2568" s="62" t="n">
        <v>0</v>
      </c>
      <c r="B2568" s="62" t="s">
        <v>387</v>
      </c>
      <c r="C2568" s="62" t="s">
        <v>60</v>
      </c>
      <c r="D2568" s="62" t="s">
        <v>71</v>
      </c>
      <c r="E2568" s="62" t="s">
        <v>382</v>
      </c>
      <c r="F2568" s="63" t="s">
        <v>632</v>
      </c>
      <c r="G2568" s="64" t="n">
        <v>300000</v>
      </c>
      <c r="H2568" s="62" t="s">
        <v>138</v>
      </c>
    </row>
    <row r="2569" customFormat="false" ht="15" hidden="false" customHeight="false" outlineLevel="0" collapsed="false">
      <c r="A2569" s="62" t="n">
        <v>0</v>
      </c>
      <c r="B2569" s="62" t="s">
        <v>388</v>
      </c>
      <c r="C2569" s="62" t="s">
        <v>60</v>
      </c>
      <c r="D2569" s="62" t="s">
        <v>71</v>
      </c>
      <c r="E2569" s="62" t="s">
        <v>382</v>
      </c>
      <c r="F2569" s="63" t="s">
        <v>632</v>
      </c>
      <c r="G2569" s="64" t="n">
        <v>300000</v>
      </c>
      <c r="H2569" s="62" t="s">
        <v>138</v>
      </c>
    </row>
    <row r="2570" customFormat="false" ht="15" hidden="false" customHeight="false" outlineLevel="0" collapsed="false">
      <c r="A2570" s="62" t="n">
        <v>0</v>
      </c>
      <c r="B2570" s="62" t="s">
        <v>381</v>
      </c>
      <c r="C2570" s="62" t="s">
        <v>60</v>
      </c>
      <c r="D2570" s="62" t="s">
        <v>71</v>
      </c>
      <c r="E2570" s="62" t="s">
        <v>382</v>
      </c>
      <c r="F2570" s="63" t="s">
        <v>633</v>
      </c>
      <c r="G2570" s="64" t="n">
        <v>1112169.43304946</v>
      </c>
      <c r="H2570" s="62" t="s">
        <v>138</v>
      </c>
    </row>
    <row r="2571" customFormat="false" ht="15" hidden="false" customHeight="false" outlineLevel="0" collapsed="false">
      <c r="A2571" s="62" t="n">
        <v>0</v>
      </c>
      <c r="B2571" s="62" t="s">
        <v>383</v>
      </c>
      <c r="C2571" s="62" t="s">
        <v>60</v>
      </c>
      <c r="D2571" s="62" t="s">
        <v>71</v>
      </c>
      <c r="E2571" s="62" t="s">
        <v>382</v>
      </c>
      <c r="F2571" s="63" t="s">
        <v>633</v>
      </c>
      <c r="G2571" s="64" t="n">
        <v>1112169.43304946</v>
      </c>
      <c r="H2571" s="62" t="s">
        <v>138</v>
      </c>
    </row>
    <row r="2572" customFormat="false" ht="15" hidden="false" customHeight="false" outlineLevel="0" collapsed="false">
      <c r="A2572" s="62" t="n">
        <v>0</v>
      </c>
      <c r="B2572" s="62" t="s">
        <v>384</v>
      </c>
      <c r="C2572" s="62" t="s">
        <v>60</v>
      </c>
      <c r="D2572" s="62" t="s">
        <v>71</v>
      </c>
      <c r="E2572" s="62" t="s">
        <v>382</v>
      </c>
      <c r="F2572" s="63" t="s">
        <v>633</v>
      </c>
      <c r="G2572" s="64" t="n">
        <v>1112169.43304946</v>
      </c>
      <c r="H2572" s="62" t="s">
        <v>138</v>
      </c>
    </row>
    <row r="2573" customFormat="false" ht="15" hidden="false" customHeight="false" outlineLevel="0" collapsed="false">
      <c r="A2573" s="62" t="n">
        <v>0</v>
      </c>
      <c r="B2573" s="62" t="s">
        <v>385</v>
      </c>
      <c r="C2573" s="62" t="s">
        <v>60</v>
      </c>
      <c r="D2573" s="62" t="s">
        <v>71</v>
      </c>
      <c r="E2573" s="62" t="s">
        <v>382</v>
      </c>
      <c r="F2573" s="63" t="s">
        <v>633</v>
      </c>
      <c r="G2573" s="64" t="n">
        <v>1112169.43304946</v>
      </c>
      <c r="H2573" s="62" t="s">
        <v>138</v>
      </c>
    </row>
    <row r="2574" customFormat="false" ht="15" hidden="false" customHeight="false" outlineLevel="0" collapsed="false">
      <c r="A2574" s="62" t="n">
        <v>0</v>
      </c>
      <c r="B2574" s="62" t="s">
        <v>386</v>
      </c>
      <c r="C2574" s="62" t="s">
        <v>60</v>
      </c>
      <c r="D2574" s="62" t="s">
        <v>71</v>
      </c>
      <c r="E2574" s="62" t="s">
        <v>382</v>
      </c>
      <c r="F2574" s="63" t="s">
        <v>633</v>
      </c>
      <c r="G2574" s="64" t="n">
        <v>1112169.43304946</v>
      </c>
      <c r="H2574" s="62" t="s">
        <v>138</v>
      </c>
    </row>
    <row r="2575" customFormat="false" ht="15" hidden="false" customHeight="false" outlineLevel="0" collapsed="false">
      <c r="A2575" s="62" t="n">
        <v>0</v>
      </c>
      <c r="B2575" s="62" t="s">
        <v>387</v>
      </c>
      <c r="C2575" s="62" t="s">
        <v>60</v>
      </c>
      <c r="D2575" s="62" t="s">
        <v>71</v>
      </c>
      <c r="E2575" s="62" t="s">
        <v>382</v>
      </c>
      <c r="F2575" s="63" t="s">
        <v>633</v>
      </c>
      <c r="G2575" s="64" t="n">
        <v>1112169.43304946</v>
      </c>
      <c r="H2575" s="62" t="s">
        <v>138</v>
      </c>
    </row>
    <row r="2576" customFormat="false" ht="15" hidden="false" customHeight="false" outlineLevel="0" collapsed="false">
      <c r="A2576" s="62" t="n">
        <v>0</v>
      </c>
      <c r="B2576" s="62" t="s">
        <v>388</v>
      </c>
      <c r="C2576" s="62" t="s">
        <v>60</v>
      </c>
      <c r="D2576" s="62" t="s">
        <v>71</v>
      </c>
      <c r="E2576" s="62" t="s">
        <v>382</v>
      </c>
      <c r="F2576" s="63" t="s">
        <v>633</v>
      </c>
      <c r="G2576" s="64" t="n">
        <v>1112169.43304946</v>
      </c>
      <c r="H2576" s="62" t="s">
        <v>138</v>
      </c>
    </row>
    <row r="2577" customFormat="false" ht="15" hidden="false" customHeight="false" outlineLevel="0" collapsed="false">
      <c r="A2577" s="62" t="n">
        <v>0</v>
      </c>
      <c r="B2577" s="62" t="s">
        <v>381</v>
      </c>
      <c r="C2577" s="62" t="s">
        <v>60</v>
      </c>
      <c r="D2577" s="62" t="s">
        <v>72</v>
      </c>
      <c r="E2577" s="62" t="s">
        <v>382</v>
      </c>
      <c r="F2577" s="63" t="s">
        <v>625</v>
      </c>
      <c r="G2577" s="64" t="n">
        <v>17064000</v>
      </c>
      <c r="H2577" s="62" t="s">
        <v>138</v>
      </c>
    </row>
    <row r="2578" customFormat="false" ht="15" hidden="false" customHeight="false" outlineLevel="0" collapsed="false">
      <c r="A2578" s="62" t="n">
        <v>0</v>
      </c>
      <c r="B2578" s="62" t="s">
        <v>383</v>
      </c>
      <c r="C2578" s="62" t="s">
        <v>60</v>
      </c>
      <c r="D2578" s="62" t="s">
        <v>72</v>
      </c>
      <c r="E2578" s="62" t="s">
        <v>382</v>
      </c>
      <c r="F2578" s="63" t="s">
        <v>625</v>
      </c>
      <c r="G2578" s="64" t="n">
        <v>17064000</v>
      </c>
      <c r="H2578" s="62" t="s">
        <v>138</v>
      </c>
    </row>
    <row r="2579" customFormat="false" ht="15" hidden="false" customHeight="false" outlineLevel="0" collapsed="false">
      <c r="A2579" s="62" t="n">
        <v>0</v>
      </c>
      <c r="B2579" s="62" t="s">
        <v>384</v>
      </c>
      <c r="C2579" s="62" t="s">
        <v>60</v>
      </c>
      <c r="D2579" s="62" t="s">
        <v>72</v>
      </c>
      <c r="E2579" s="62" t="s">
        <v>382</v>
      </c>
      <c r="F2579" s="63" t="s">
        <v>625</v>
      </c>
      <c r="G2579" s="64" t="n">
        <v>17064000</v>
      </c>
      <c r="H2579" s="62" t="s">
        <v>138</v>
      </c>
    </row>
    <row r="2580" customFormat="false" ht="15" hidden="false" customHeight="false" outlineLevel="0" collapsed="false">
      <c r="A2580" s="62" t="n">
        <v>0</v>
      </c>
      <c r="B2580" s="62" t="s">
        <v>385</v>
      </c>
      <c r="C2580" s="62" t="s">
        <v>60</v>
      </c>
      <c r="D2580" s="62" t="s">
        <v>72</v>
      </c>
      <c r="E2580" s="62" t="s">
        <v>382</v>
      </c>
      <c r="F2580" s="63" t="s">
        <v>625</v>
      </c>
      <c r="G2580" s="64" t="n">
        <v>17064000</v>
      </c>
      <c r="H2580" s="62" t="s">
        <v>138</v>
      </c>
    </row>
    <row r="2581" customFormat="false" ht="15" hidden="false" customHeight="false" outlineLevel="0" collapsed="false">
      <c r="A2581" s="62" t="n">
        <v>0</v>
      </c>
      <c r="B2581" s="62" t="s">
        <v>386</v>
      </c>
      <c r="C2581" s="62" t="s">
        <v>60</v>
      </c>
      <c r="D2581" s="62" t="s">
        <v>72</v>
      </c>
      <c r="E2581" s="62" t="s">
        <v>382</v>
      </c>
      <c r="F2581" s="63" t="s">
        <v>625</v>
      </c>
      <c r="G2581" s="64" t="n">
        <v>17064000</v>
      </c>
      <c r="H2581" s="62" t="s">
        <v>138</v>
      </c>
    </row>
    <row r="2582" customFormat="false" ht="15" hidden="false" customHeight="false" outlineLevel="0" collapsed="false">
      <c r="A2582" s="62" t="n">
        <v>0</v>
      </c>
      <c r="B2582" s="62" t="s">
        <v>387</v>
      </c>
      <c r="C2582" s="62" t="s">
        <v>60</v>
      </c>
      <c r="D2582" s="62" t="s">
        <v>72</v>
      </c>
      <c r="E2582" s="62" t="s">
        <v>382</v>
      </c>
      <c r="F2582" s="63" t="s">
        <v>625</v>
      </c>
      <c r="G2582" s="64" t="n">
        <v>17064000</v>
      </c>
      <c r="H2582" s="62" t="s">
        <v>138</v>
      </c>
    </row>
    <row r="2583" customFormat="false" ht="15" hidden="false" customHeight="false" outlineLevel="0" collapsed="false">
      <c r="A2583" s="62" t="n">
        <v>0</v>
      </c>
      <c r="B2583" s="62" t="s">
        <v>388</v>
      </c>
      <c r="C2583" s="62" t="s">
        <v>60</v>
      </c>
      <c r="D2583" s="62" t="s">
        <v>72</v>
      </c>
      <c r="E2583" s="62" t="s">
        <v>382</v>
      </c>
      <c r="F2583" s="63" t="s">
        <v>625</v>
      </c>
      <c r="G2583" s="64" t="n">
        <v>17064000</v>
      </c>
      <c r="H2583" s="62" t="s">
        <v>138</v>
      </c>
    </row>
    <row r="2584" customFormat="false" ht="15" hidden="false" customHeight="false" outlineLevel="0" collapsed="false">
      <c r="A2584" s="62" t="n">
        <v>0</v>
      </c>
      <c r="B2584" s="62" t="s">
        <v>381</v>
      </c>
      <c r="C2584" s="62" t="s">
        <v>60</v>
      </c>
      <c r="D2584" s="62" t="s">
        <v>72</v>
      </c>
      <c r="E2584" s="62" t="s">
        <v>382</v>
      </c>
      <c r="F2584" s="63" t="s">
        <v>626</v>
      </c>
      <c r="G2584" s="64" t="n">
        <v>0</v>
      </c>
      <c r="H2584" s="62" t="s">
        <v>138</v>
      </c>
    </row>
    <row r="2585" customFormat="false" ht="15" hidden="false" customHeight="false" outlineLevel="0" collapsed="false">
      <c r="A2585" s="62" t="n">
        <v>0</v>
      </c>
      <c r="B2585" s="62" t="s">
        <v>383</v>
      </c>
      <c r="C2585" s="62" t="s">
        <v>60</v>
      </c>
      <c r="D2585" s="62" t="s">
        <v>72</v>
      </c>
      <c r="E2585" s="62" t="s">
        <v>382</v>
      </c>
      <c r="F2585" s="63" t="s">
        <v>626</v>
      </c>
      <c r="G2585" s="64" t="n">
        <v>0</v>
      </c>
      <c r="H2585" s="62" t="s">
        <v>138</v>
      </c>
    </row>
    <row r="2586" customFormat="false" ht="15" hidden="false" customHeight="false" outlineLevel="0" collapsed="false">
      <c r="A2586" s="62" t="n">
        <v>0</v>
      </c>
      <c r="B2586" s="62" t="s">
        <v>384</v>
      </c>
      <c r="C2586" s="62" t="s">
        <v>60</v>
      </c>
      <c r="D2586" s="62" t="s">
        <v>72</v>
      </c>
      <c r="E2586" s="62" t="s">
        <v>382</v>
      </c>
      <c r="F2586" s="63" t="s">
        <v>626</v>
      </c>
      <c r="G2586" s="64" t="n">
        <v>0</v>
      </c>
      <c r="H2586" s="62" t="s">
        <v>138</v>
      </c>
    </row>
    <row r="2587" customFormat="false" ht="15" hidden="false" customHeight="false" outlineLevel="0" collapsed="false">
      <c r="A2587" s="62" t="n">
        <v>0</v>
      </c>
      <c r="B2587" s="62" t="s">
        <v>385</v>
      </c>
      <c r="C2587" s="62" t="s">
        <v>60</v>
      </c>
      <c r="D2587" s="62" t="s">
        <v>72</v>
      </c>
      <c r="E2587" s="62" t="s">
        <v>382</v>
      </c>
      <c r="F2587" s="63" t="s">
        <v>626</v>
      </c>
      <c r="G2587" s="64" t="n">
        <v>0</v>
      </c>
      <c r="H2587" s="62" t="s">
        <v>138</v>
      </c>
    </row>
    <row r="2588" customFormat="false" ht="15" hidden="false" customHeight="false" outlineLevel="0" collapsed="false">
      <c r="A2588" s="62" t="n">
        <v>0</v>
      </c>
      <c r="B2588" s="62" t="s">
        <v>386</v>
      </c>
      <c r="C2588" s="62" t="s">
        <v>60</v>
      </c>
      <c r="D2588" s="62" t="s">
        <v>72</v>
      </c>
      <c r="E2588" s="62" t="s">
        <v>382</v>
      </c>
      <c r="F2588" s="63" t="s">
        <v>626</v>
      </c>
      <c r="G2588" s="64" t="n">
        <v>0</v>
      </c>
      <c r="H2588" s="62" t="s">
        <v>138</v>
      </c>
    </row>
    <row r="2589" customFormat="false" ht="15" hidden="false" customHeight="false" outlineLevel="0" collapsed="false">
      <c r="A2589" s="62" t="n">
        <v>0</v>
      </c>
      <c r="B2589" s="62" t="s">
        <v>387</v>
      </c>
      <c r="C2589" s="62" t="s">
        <v>60</v>
      </c>
      <c r="D2589" s="62" t="s">
        <v>72</v>
      </c>
      <c r="E2589" s="62" t="s">
        <v>382</v>
      </c>
      <c r="F2589" s="63" t="s">
        <v>626</v>
      </c>
      <c r="G2589" s="64" t="n">
        <v>0</v>
      </c>
      <c r="H2589" s="62" t="s">
        <v>138</v>
      </c>
    </row>
    <row r="2590" customFormat="false" ht="15" hidden="false" customHeight="false" outlineLevel="0" collapsed="false">
      <c r="A2590" s="62" t="n">
        <v>0</v>
      </c>
      <c r="B2590" s="62" t="s">
        <v>388</v>
      </c>
      <c r="C2590" s="62" t="s">
        <v>60</v>
      </c>
      <c r="D2590" s="62" t="s">
        <v>72</v>
      </c>
      <c r="E2590" s="62" t="s">
        <v>382</v>
      </c>
      <c r="F2590" s="63" t="s">
        <v>626</v>
      </c>
      <c r="G2590" s="64" t="n">
        <v>0</v>
      </c>
      <c r="H2590" s="62" t="s">
        <v>138</v>
      </c>
    </row>
    <row r="2591" customFormat="false" ht="15" hidden="false" customHeight="false" outlineLevel="0" collapsed="false">
      <c r="A2591" s="62" t="n">
        <v>0</v>
      </c>
      <c r="B2591" s="62" t="s">
        <v>381</v>
      </c>
      <c r="C2591" s="62" t="s">
        <v>60</v>
      </c>
      <c r="D2591" s="62" t="s">
        <v>72</v>
      </c>
      <c r="E2591" s="62" t="s">
        <v>382</v>
      </c>
      <c r="F2591" s="63" t="s">
        <v>627</v>
      </c>
      <c r="G2591" s="64" t="n">
        <v>10627579.7287801</v>
      </c>
      <c r="H2591" s="62" t="s">
        <v>138</v>
      </c>
    </row>
    <row r="2592" customFormat="false" ht="15" hidden="false" customHeight="false" outlineLevel="0" collapsed="false">
      <c r="A2592" s="62" t="n">
        <v>0</v>
      </c>
      <c r="B2592" s="62" t="s">
        <v>383</v>
      </c>
      <c r="C2592" s="62" t="s">
        <v>60</v>
      </c>
      <c r="D2592" s="62" t="s">
        <v>72</v>
      </c>
      <c r="E2592" s="62" t="s">
        <v>382</v>
      </c>
      <c r="F2592" s="63" t="s">
        <v>627</v>
      </c>
      <c r="G2592" s="64" t="n">
        <v>10627579.7287801</v>
      </c>
      <c r="H2592" s="62" t="s">
        <v>138</v>
      </c>
    </row>
    <row r="2593" customFormat="false" ht="15" hidden="false" customHeight="false" outlineLevel="0" collapsed="false">
      <c r="A2593" s="62" t="n">
        <v>0</v>
      </c>
      <c r="B2593" s="62" t="s">
        <v>384</v>
      </c>
      <c r="C2593" s="62" t="s">
        <v>60</v>
      </c>
      <c r="D2593" s="62" t="s">
        <v>72</v>
      </c>
      <c r="E2593" s="62" t="s">
        <v>382</v>
      </c>
      <c r="F2593" s="63" t="s">
        <v>627</v>
      </c>
      <c r="G2593" s="64" t="n">
        <v>10627579.7287801</v>
      </c>
      <c r="H2593" s="62" t="s">
        <v>138</v>
      </c>
    </row>
    <row r="2594" customFormat="false" ht="15" hidden="false" customHeight="false" outlineLevel="0" collapsed="false">
      <c r="A2594" s="62" t="n">
        <v>0</v>
      </c>
      <c r="B2594" s="62" t="s">
        <v>385</v>
      </c>
      <c r="C2594" s="62" t="s">
        <v>60</v>
      </c>
      <c r="D2594" s="62" t="s">
        <v>72</v>
      </c>
      <c r="E2594" s="62" t="s">
        <v>382</v>
      </c>
      <c r="F2594" s="63" t="s">
        <v>627</v>
      </c>
      <c r="G2594" s="64" t="n">
        <v>10627579.7287801</v>
      </c>
      <c r="H2594" s="62" t="s">
        <v>138</v>
      </c>
    </row>
    <row r="2595" customFormat="false" ht="15" hidden="false" customHeight="false" outlineLevel="0" collapsed="false">
      <c r="A2595" s="62" t="n">
        <v>0</v>
      </c>
      <c r="B2595" s="62" t="s">
        <v>386</v>
      </c>
      <c r="C2595" s="62" t="s">
        <v>60</v>
      </c>
      <c r="D2595" s="62" t="s">
        <v>72</v>
      </c>
      <c r="E2595" s="62" t="s">
        <v>382</v>
      </c>
      <c r="F2595" s="63" t="s">
        <v>627</v>
      </c>
      <c r="G2595" s="64" t="n">
        <v>10627579.7287801</v>
      </c>
      <c r="H2595" s="62" t="s">
        <v>138</v>
      </c>
    </row>
    <row r="2596" customFormat="false" ht="15" hidden="false" customHeight="false" outlineLevel="0" collapsed="false">
      <c r="A2596" s="62" t="n">
        <v>0</v>
      </c>
      <c r="B2596" s="62" t="s">
        <v>387</v>
      </c>
      <c r="C2596" s="62" t="s">
        <v>60</v>
      </c>
      <c r="D2596" s="62" t="s">
        <v>72</v>
      </c>
      <c r="E2596" s="62" t="s">
        <v>382</v>
      </c>
      <c r="F2596" s="63" t="s">
        <v>627</v>
      </c>
      <c r="G2596" s="64" t="n">
        <v>10627579.7287801</v>
      </c>
      <c r="H2596" s="62" t="s">
        <v>138</v>
      </c>
    </row>
    <row r="2597" customFormat="false" ht="15" hidden="false" customHeight="false" outlineLevel="0" collapsed="false">
      <c r="A2597" s="62" t="n">
        <v>0</v>
      </c>
      <c r="B2597" s="62" t="s">
        <v>388</v>
      </c>
      <c r="C2597" s="62" t="s">
        <v>60</v>
      </c>
      <c r="D2597" s="62" t="s">
        <v>72</v>
      </c>
      <c r="E2597" s="62" t="s">
        <v>382</v>
      </c>
      <c r="F2597" s="63" t="s">
        <v>627</v>
      </c>
      <c r="G2597" s="64" t="n">
        <v>10627579.7287801</v>
      </c>
      <c r="H2597" s="62" t="s">
        <v>138</v>
      </c>
    </row>
    <row r="2598" customFormat="false" ht="15" hidden="false" customHeight="false" outlineLevel="0" collapsed="false">
      <c r="A2598" s="62" t="n">
        <v>0</v>
      </c>
      <c r="B2598" s="62" t="s">
        <v>381</v>
      </c>
      <c r="C2598" s="62" t="s">
        <v>60</v>
      </c>
      <c r="D2598" s="62" t="s">
        <v>72</v>
      </c>
      <c r="E2598" s="62" t="s">
        <v>382</v>
      </c>
      <c r="F2598" s="63" t="s">
        <v>628</v>
      </c>
      <c r="G2598" s="64" t="n">
        <v>1353507.97287801</v>
      </c>
      <c r="H2598" s="62" t="s">
        <v>138</v>
      </c>
    </row>
    <row r="2599" customFormat="false" ht="15" hidden="false" customHeight="false" outlineLevel="0" collapsed="false">
      <c r="A2599" s="62" t="n">
        <v>0</v>
      </c>
      <c r="B2599" s="62" t="s">
        <v>383</v>
      </c>
      <c r="C2599" s="62" t="s">
        <v>60</v>
      </c>
      <c r="D2599" s="62" t="s">
        <v>72</v>
      </c>
      <c r="E2599" s="62" t="s">
        <v>382</v>
      </c>
      <c r="F2599" s="63" t="s">
        <v>628</v>
      </c>
      <c r="G2599" s="64" t="n">
        <v>1353507.97287801</v>
      </c>
      <c r="H2599" s="62" t="s">
        <v>138</v>
      </c>
    </row>
    <row r="2600" customFormat="false" ht="15" hidden="false" customHeight="false" outlineLevel="0" collapsed="false">
      <c r="A2600" s="62" t="n">
        <v>0</v>
      </c>
      <c r="B2600" s="62" t="s">
        <v>384</v>
      </c>
      <c r="C2600" s="62" t="s">
        <v>60</v>
      </c>
      <c r="D2600" s="62" t="s">
        <v>72</v>
      </c>
      <c r="E2600" s="62" t="s">
        <v>382</v>
      </c>
      <c r="F2600" s="63" t="s">
        <v>628</v>
      </c>
      <c r="G2600" s="64" t="n">
        <v>1353507.97287801</v>
      </c>
      <c r="H2600" s="62" t="s">
        <v>138</v>
      </c>
    </row>
    <row r="2601" customFormat="false" ht="15" hidden="false" customHeight="false" outlineLevel="0" collapsed="false">
      <c r="A2601" s="62" t="n">
        <v>0</v>
      </c>
      <c r="B2601" s="62" t="s">
        <v>385</v>
      </c>
      <c r="C2601" s="62" t="s">
        <v>60</v>
      </c>
      <c r="D2601" s="62" t="s">
        <v>72</v>
      </c>
      <c r="E2601" s="62" t="s">
        <v>382</v>
      </c>
      <c r="F2601" s="63" t="s">
        <v>628</v>
      </c>
      <c r="G2601" s="64" t="n">
        <v>1353507.97287801</v>
      </c>
      <c r="H2601" s="62" t="s">
        <v>138</v>
      </c>
    </row>
    <row r="2602" customFormat="false" ht="15" hidden="false" customHeight="false" outlineLevel="0" collapsed="false">
      <c r="A2602" s="62" t="n">
        <v>0</v>
      </c>
      <c r="B2602" s="62" t="s">
        <v>386</v>
      </c>
      <c r="C2602" s="62" t="s">
        <v>60</v>
      </c>
      <c r="D2602" s="62" t="s">
        <v>72</v>
      </c>
      <c r="E2602" s="62" t="s">
        <v>382</v>
      </c>
      <c r="F2602" s="63" t="s">
        <v>628</v>
      </c>
      <c r="G2602" s="64" t="n">
        <v>1353507.97287801</v>
      </c>
      <c r="H2602" s="62" t="s">
        <v>138</v>
      </c>
    </row>
    <row r="2603" customFormat="false" ht="15" hidden="false" customHeight="false" outlineLevel="0" collapsed="false">
      <c r="A2603" s="62" t="n">
        <v>0</v>
      </c>
      <c r="B2603" s="62" t="s">
        <v>387</v>
      </c>
      <c r="C2603" s="62" t="s">
        <v>60</v>
      </c>
      <c r="D2603" s="62" t="s">
        <v>72</v>
      </c>
      <c r="E2603" s="62" t="s">
        <v>382</v>
      </c>
      <c r="F2603" s="63" t="s">
        <v>628</v>
      </c>
      <c r="G2603" s="64" t="n">
        <v>1353507.97287801</v>
      </c>
      <c r="H2603" s="62" t="s">
        <v>138</v>
      </c>
    </row>
    <row r="2604" customFormat="false" ht="15" hidden="false" customHeight="false" outlineLevel="0" collapsed="false">
      <c r="A2604" s="62" t="n">
        <v>0</v>
      </c>
      <c r="B2604" s="62" t="s">
        <v>388</v>
      </c>
      <c r="C2604" s="62" t="s">
        <v>60</v>
      </c>
      <c r="D2604" s="62" t="s">
        <v>72</v>
      </c>
      <c r="E2604" s="62" t="s">
        <v>382</v>
      </c>
      <c r="F2604" s="63" t="s">
        <v>628</v>
      </c>
      <c r="G2604" s="64" t="n">
        <v>1353507.97287801</v>
      </c>
      <c r="H2604" s="62" t="s">
        <v>138</v>
      </c>
    </row>
    <row r="2605" customFormat="false" ht="15" hidden="false" customHeight="false" outlineLevel="0" collapsed="false">
      <c r="A2605" s="62" t="n">
        <v>0</v>
      </c>
      <c r="B2605" s="62" t="s">
        <v>381</v>
      </c>
      <c r="C2605" s="62" t="s">
        <v>60</v>
      </c>
      <c r="D2605" s="62" t="s">
        <v>72</v>
      </c>
      <c r="E2605" s="62" t="s">
        <v>382</v>
      </c>
      <c r="F2605" s="63" t="s">
        <v>629</v>
      </c>
      <c r="G2605" s="64" t="n">
        <v>1185000</v>
      </c>
      <c r="H2605" s="62" t="s">
        <v>138</v>
      </c>
    </row>
    <row r="2606" customFormat="false" ht="15" hidden="false" customHeight="false" outlineLevel="0" collapsed="false">
      <c r="A2606" s="62" t="n">
        <v>0</v>
      </c>
      <c r="B2606" s="62" t="s">
        <v>383</v>
      </c>
      <c r="C2606" s="62" t="s">
        <v>60</v>
      </c>
      <c r="D2606" s="62" t="s">
        <v>72</v>
      </c>
      <c r="E2606" s="62" t="s">
        <v>382</v>
      </c>
      <c r="F2606" s="63" t="s">
        <v>629</v>
      </c>
      <c r="G2606" s="64" t="n">
        <v>1185000</v>
      </c>
      <c r="H2606" s="62" t="s">
        <v>138</v>
      </c>
    </row>
    <row r="2607" customFormat="false" ht="15" hidden="false" customHeight="false" outlineLevel="0" collapsed="false">
      <c r="A2607" s="62" t="n">
        <v>0</v>
      </c>
      <c r="B2607" s="62" t="s">
        <v>384</v>
      </c>
      <c r="C2607" s="62" t="s">
        <v>60</v>
      </c>
      <c r="D2607" s="62" t="s">
        <v>72</v>
      </c>
      <c r="E2607" s="62" t="s">
        <v>382</v>
      </c>
      <c r="F2607" s="63" t="s">
        <v>629</v>
      </c>
      <c r="G2607" s="64" t="n">
        <v>1185000</v>
      </c>
      <c r="H2607" s="62" t="s">
        <v>138</v>
      </c>
    </row>
    <row r="2608" customFormat="false" ht="15" hidden="false" customHeight="false" outlineLevel="0" collapsed="false">
      <c r="A2608" s="62" t="n">
        <v>0</v>
      </c>
      <c r="B2608" s="62" t="s">
        <v>385</v>
      </c>
      <c r="C2608" s="62" t="s">
        <v>60</v>
      </c>
      <c r="D2608" s="62" t="s">
        <v>72</v>
      </c>
      <c r="E2608" s="62" t="s">
        <v>382</v>
      </c>
      <c r="F2608" s="63" t="s">
        <v>629</v>
      </c>
      <c r="G2608" s="64" t="n">
        <v>1185000</v>
      </c>
      <c r="H2608" s="62" t="s">
        <v>138</v>
      </c>
    </row>
    <row r="2609" customFormat="false" ht="15" hidden="false" customHeight="false" outlineLevel="0" collapsed="false">
      <c r="A2609" s="62" t="n">
        <v>0</v>
      </c>
      <c r="B2609" s="62" t="s">
        <v>386</v>
      </c>
      <c r="C2609" s="62" t="s">
        <v>60</v>
      </c>
      <c r="D2609" s="62" t="s">
        <v>72</v>
      </c>
      <c r="E2609" s="62" t="s">
        <v>382</v>
      </c>
      <c r="F2609" s="63" t="s">
        <v>629</v>
      </c>
      <c r="G2609" s="64" t="n">
        <v>1185000</v>
      </c>
      <c r="H2609" s="62" t="s">
        <v>138</v>
      </c>
    </row>
    <row r="2610" customFormat="false" ht="15" hidden="false" customHeight="false" outlineLevel="0" collapsed="false">
      <c r="A2610" s="62" t="n">
        <v>0</v>
      </c>
      <c r="B2610" s="62" t="s">
        <v>387</v>
      </c>
      <c r="C2610" s="62" t="s">
        <v>60</v>
      </c>
      <c r="D2610" s="62" t="s">
        <v>72</v>
      </c>
      <c r="E2610" s="62" t="s">
        <v>382</v>
      </c>
      <c r="F2610" s="63" t="s">
        <v>629</v>
      </c>
      <c r="G2610" s="64" t="n">
        <v>1185000</v>
      </c>
      <c r="H2610" s="62" t="s">
        <v>138</v>
      </c>
    </row>
    <row r="2611" customFormat="false" ht="15" hidden="false" customHeight="false" outlineLevel="0" collapsed="false">
      <c r="A2611" s="62" t="n">
        <v>0</v>
      </c>
      <c r="B2611" s="62" t="s">
        <v>388</v>
      </c>
      <c r="C2611" s="62" t="s">
        <v>60</v>
      </c>
      <c r="D2611" s="62" t="s">
        <v>72</v>
      </c>
      <c r="E2611" s="62" t="s">
        <v>382</v>
      </c>
      <c r="F2611" s="63" t="s">
        <v>629</v>
      </c>
      <c r="G2611" s="64" t="n">
        <v>1185000</v>
      </c>
      <c r="H2611" s="62" t="s">
        <v>138</v>
      </c>
    </row>
    <row r="2612" customFormat="false" ht="15" hidden="false" customHeight="false" outlineLevel="0" collapsed="false">
      <c r="A2612" s="62" t="n">
        <v>0</v>
      </c>
      <c r="B2612" s="62" t="s">
        <v>381</v>
      </c>
      <c r="C2612" s="62" t="s">
        <v>60</v>
      </c>
      <c r="D2612" s="62" t="s">
        <v>72</v>
      </c>
      <c r="E2612" s="62" t="s">
        <v>382</v>
      </c>
      <c r="F2612" s="63" t="s">
        <v>630</v>
      </c>
      <c r="G2612" s="64" t="n">
        <v>13166087.7016581</v>
      </c>
      <c r="H2612" s="62" t="s">
        <v>138</v>
      </c>
    </row>
    <row r="2613" customFormat="false" ht="15" hidden="false" customHeight="false" outlineLevel="0" collapsed="false">
      <c r="A2613" s="62" t="n">
        <v>0</v>
      </c>
      <c r="B2613" s="62" t="s">
        <v>383</v>
      </c>
      <c r="C2613" s="62" t="s">
        <v>60</v>
      </c>
      <c r="D2613" s="62" t="s">
        <v>72</v>
      </c>
      <c r="E2613" s="62" t="s">
        <v>382</v>
      </c>
      <c r="F2613" s="63" t="s">
        <v>630</v>
      </c>
      <c r="G2613" s="64" t="n">
        <v>13166087.7016581</v>
      </c>
      <c r="H2613" s="62" t="s">
        <v>138</v>
      </c>
    </row>
    <row r="2614" customFormat="false" ht="15" hidden="false" customHeight="false" outlineLevel="0" collapsed="false">
      <c r="A2614" s="62" t="n">
        <v>0</v>
      </c>
      <c r="B2614" s="62" t="s">
        <v>384</v>
      </c>
      <c r="C2614" s="62" t="s">
        <v>60</v>
      </c>
      <c r="D2614" s="62" t="s">
        <v>72</v>
      </c>
      <c r="E2614" s="62" t="s">
        <v>382</v>
      </c>
      <c r="F2614" s="63" t="s">
        <v>630</v>
      </c>
      <c r="G2614" s="64" t="n">
        <v>13166087.7016581</v>
      </c>
      <c r="H2614" s="62" t="s">
        <v>138</v>
      </c>
    </row>
    <row r="2615" customFormat="false" ht="15" hidden="false" customHeight="false" outlineLevel="0" collapsed="false">
      <c r="A2615" s="62" t="n">
        <v>0</v>
      </c>
      <c r="B2615" s="62" t="s">
        <v>385</v>
      </c>
      <c r="C2615" s="62" t="s">
        <v>60</v>
      </c>
      <c r="D2615" s="62" t="s">
        <v>72</v>
      </c>
      <c r="E2615" s="62" t="s">
        <v>382</v>
      </c>
      <c r="F2615" s="63" t="s">
        <v>630</v>
      </c>
      <c r="G2615" s="64" t="n">
        <v>13166087.7016581</v>
      </c>
      <c r="H2615" s="62" t="s">
        <v>138</v>
      </c>
    </row>
    <row r="2616" customFormat="false" ht="15" hidden="false" customHeight="false" outlineLevel="0" collapsed="false">
      <c r="A2616" s="62" t="n">
        <v>0</v>
      </c>
      <c r="B2616" s="62" t="s">
        <v>386</v>
      </c>
      <c r="C2616" s="62" t="s">
        <v>60</v>
      </c>
      <c r="D2616" s="62" t="s">
        <v>72</v>
      </c>
      <c r="E2616" s="62" t="s">
        <v>382</v>
      </c>
      <c r="F2616" s="63" t="s">
        <v>630</v>
      </c>
      <c r="G2616" s="64" t="n">
        <v>13166087.7016581</v>
      </c>
      <c r="H2616" s="62" t="s">
        <v>138</v>
      </c>
    </row>
    <row r="2617" customFormat="false" ht="15" hidden="false" customHeight="false" outlineLevel="0" collapsed="false">
      <c r="A2617" s="62" t="n">
        <v>0</v>
      </c>
      <c r="B2617" s="62" t="s">
        <v>387</v>
      </c>
      <c r="C2617" s="62" t="s">
        <v>60</v>
      </c>
      <c r="D2617" s="62" t="s">
        <v>72</v>
      </c>
      <c r="E2617" s="62" t="s">
        <v>382</v>
      </c>
      <c r="F2617" s="63" t="s">
        <v>630</v>
      </c>
      <c r="G2617" s="64" t="n">
        <v>13166087.7016581</v>
      </c>
      <c r="H2617" s="62" t="s">
        <v>138</v>
      </c>
    </row>
    <row r="2618" customFormat="false" ht="15" hidden="false" customHeight="false" outlineLevel="0" collapsed="false">
      <c r="A2618" s="62" t="n">
        <v>0</v>
      </c>
      <c r="B2618" s="62" t="s">
        <v>388</v>
      </c>
      <c r="C2618" s="62" t="s">
        <v>60</v>
      </c>
      <c r="D2618" s="62" t="s">
        <v>72</v>
      </c>
      <c r="E2618" s="62" t="s">
        <v>382</v>
      </c>
      <c r="F2618" s="63" t="s">
        <v>630</v>
      </c>
      <c r="G2618" s="64" t="n">
        <v>13166087.7016581</v>
      </c>
      <c r="H2618" s="62" t="s">
        <v>138</v>
      </c>
    </row>
    <row r="2619" customFormat="false" ht="15" hidden="false" customHeight="false" outlineLevel="0" collapsed="false">
      <c r="A2619" s="62" t="n">
        <v>0</v>
      </c>
      <c r="B2619" s="62" t="s">
        <v>381</v>
      </c>
      <c r="C2619" s="62" t="s">
        <v>60</v>
      </c>
      <c r="D2619" s="62" t="s">
        <v>72</v>
      </c>
      <c r="E2619" s="62" t="s">
        <v>382</v>
      </c>
      <c r="F2619" s="63" t="s">
        <v>631</v>
      </c>
      <c r="G2619" s="64" t="n">
        <v>3897912.29834187</v>
      </c>
      <c r="H2619" s="62" t="s">
        <v>138</v>
      </c>
    </row>
    <row r="2620" customFormat="false" ht="15" hidden="false" customHeight="false" outlineLevel="0" collapsed="false">
      <c r="A2620" s="62" t="n">
        <v>0</v>
      </c>
      <c r="B2620" s="62" t="s">
        <v>383</v>
      </c>
      <c r="C2620" s="62" t="s">
        <v>60</v>
      </c>
      <c r="D2620" s="62" t="s">
        <v>72</v>
      </c>
      <c r="E2620" s="62" t="s">
        <v>382</v>
      </c>
      <c r="F2620" s="63" t="s">
        <v>631</v>
      </c>
      <c r="G2620" s="64" t="n">
        <v>3897912.29834187</v>
      </c>
      <c r="H2620" s="62" t="s">
        <v>138</v>
      </c>
    </row>
    <row r="2621" customFormat="false" ht="15" hidden="false" customHeight="false" outlineLevel="0" collapsed="false">
      <c r="A2621" s="62" t="n">
        <v>0</v>
      </c>
      <c r="B2621" s="62" t="s">
        <v>384</v>
      </c>
      <c r="C2621" s="62" t="s">
        <v>60</v>
      </c>
      <c r="D2621" s="62" t="s">
        <v>72</v>
      </c>
      <c r="E2621" s="62" t="s">
        <v>382</v>
      </c>
      <c r="F2621" s="63" t="s">
        <v>631</v>
      </c>
      <c r="G2621" s="64" t="n">
        <v>3897912.29834187</v>
      </c>
      <c r="H2621" s="62" t="s">
        <v>138</v>
      </c>
    </row>
    <row r="2622" customFormat="false" ht="15" hidden="false" customHeight="false" outlineLevel="0" collapsed="false">
      <c r="A2622" s="62" t="n">
        <v>0</v>
      </c>
      <c r="B2622" s="62" t="s">
        <v>385</v>
      </c>
      <c r="C2622" s="62" t="s">
        <v>60</v>
      </c>
      <c r="D2622" s="62" t="s">
        <v>72</v>
      </c>
      <c r="E2622" s="62" t="s">
        <v>382</v>
      </c>
      <c r="F2622" s="63" t="s">
        <v>631</v>
      </c>
      <c r="G2622" s="64" t="n">
        <v>3897912.29834187</v>
      </c>
      <c r="H2622" s="62" t="s">
        <v>138</v>
      </c>
    </row>
    <row r="2623" customFormat="false" ht="15" hidden="false" customHeight="false" outlineLevel="0" collapsed="false">
      <c r="A2623" s="62" t="n">
        <v>0</v>
      </c>
      <c r="B2623" s="62" t="s">
        <v>386</v>
      </c>
      <c r="C2623" s="62" t="s">
        <v>60</v>
      </c>
      <c r="D2623" s="62" t="s">
        <v>72</v>
      </c>
      <c r="E2623" s="62" t="s">
        <v>382</v>
      </c>
      <c r="F2623" s="63" t="s">
        <v>631</v>
      </c>
      <c r="G2623" s="64" t="n">
        <v>3897912.29834187</v>
      </c>
      <c r="H2623" s="62" t="s">
        <v>138</v>
      </c>
    </row>
    <row r="2624" customFormat="false" ht="15" hidden="false" customHeight="false" outlineLevel="0" collapsed="false">
      <c r="A2624" s="62" t="n">
        <v>0</v>
      </c>
      <c r="B2624" s="62" t="s">
        <v>387</v>
      </c>
      <c r="C2624" s="62" t="s">
        <v>60</v>
      </c>
      <c r="D2624" s="62" t="s">
        <v>72</v>
      </c>
      <c r="E2624" s="62" t="s">
        <v>382</v>
      </c>
      <c r="F2624" s="63" t="s">
        <v>631</v>
      </c>
      <c r="G2624" s="64" t="n">
        <v>3897912.29834187</v>
      </c>
      <c r="H2624" s="62" t="s">
        <v>138</v>
      </c>
    </row>
    <row r="2625" customFormat="false" ht="15" hidden="false" customHeight="false" outlineLevel="0" collapsed="false">
      <c r="A2625" s="62" t="n">
        <v>0</v>
      </c>
      <c r="B2625" s="62" t="s">
        <v>388</v>
      </c>
      <c r="C2625" s="62" t="s">
        <v>60</v>
      </c>
      <c r="D2625" s="62" t="s">
        <v>72</v>
      </c>
      <c r="E2625" s="62" t="s">
        <v>382</v>
      </c>
      <c r="F2625" s="63" t="s">
        <v>631</v>
      </c>
      <c r="G2625" s="64" t="n">
        <v>3897912.29834187</v>
      </c>
      <c r="H2625" s="62" t="s">
        <v>138</v>
      </c>
    </row>
    <row r="2626" customFormat="false" ht="15" hidden="false" customHeight="false" outlineLevel="0" collapsed="false">
      <c r="A2626" s="62" t="n">
        <v>0</v>
      </c>
      <c r="B2626" s="62" t="s">
        <v>381</v>
      </c>
      <c r="C2626" s="62" t="s">
        <v>60</v>
      </c>
      <c r="D2626" s="62" t="s">
        <v>72</v>
      </c>
      <c r="E2626" s="62" t="s">
        <v>382</v>
      </c>
      <c r="F2626" s="63" t="s">
        <v>632</v>
      </c>
      <c r="G2626" s="64" t="n">
        <v>700000</v>
      </c>
      <c r="H2626" s="62" t="s">
        <v>138</v>
      </c>
    </row>
    <row r="2627" customFormat="false" ht="15" hidden="false" customHeight="false" outlineLevel="0" collapsed="false">
      <c r="A2627" s="62" t="n">
        <v>0</v>
      </c>
      <c r="B2627" s="62" t="s">
        <v>383</v>
      </c>
      <c r="C2627" s="62" t="s">
        <v>60</v>
      </c>
      <c r="D2627" s="62" t="s">
        <v>72</v>
      </c>
      <c r="E2627" s="62" t="s">
        <v>382</v>
      </c>
      <c r="F2627" s="63" t="s">
        <v>632</v>
      </c>
      <c r="G2627" s="64" t="n">
        <v>700000</v>
      </c>
      <c r="H2627" s="62" t="s">
        <v>138</v>
      </c>
    </row>
    <row r="2628" customFormat="false" ht="15" hidden="false" customHeight="false" outlineLevel="0" collapsed="false">
      <c r="A2628" s="62" t="n">
        <v>0</v>
      </c>
      <c r="B2628" s="62" t="s">
        <v>384</v>
      </c>
      <c r="C2628" s="62" t="s">
        <v>60</v>
      </c>
      <c r="D2628" s="62" t="s">
        <v>72</v>
      </c>
      <c r="E2628" s="62" t="s">
        <v>382</v>
      </c>
      <c r="F2628" s="63" t="s">
        <v>632</v>
      </c>
      <c r="G2628" s="64" t="n">
        <v>700000</v>
      </c>
      <c r="H2628" s="62" t="s">
        <v>138</v>
      </c>
    </row>
    <row r="2629" customFormat="false" ht="15" hidden="false" customHeight="false" outlineLevel="0" collapsed="false">
      <c r="A2629" s="62" t="n">
        <v>0</v>
      </c>
      <c r="B2629" s="62" t="s">
        <v>385</v>
      </c>
      <c r="C2629" s="62" t="s">
        <v>60</v>
      </c>
      <c r="D2629" s="62" t="s">
        <v>72</v>
      </c>
      <c r="E2629" s="62" t="s">
        <v>382</v>
      </c>
      <c r="F2629" s="63" t="s">
        <v>632</v>
      </c>
      <c r="G2629" s="64" t="n">
        <v>700000</v>
      </c>
      <c r="H2629" s="62" t="s">
        <v>138</v>
      </c>
    </row>
    <row r="2630" customFormat="false" ht="15" hidden="false" customHeight="false" outlineLevel="0" collapsed="false">
      <c r="A2630" s="62" t="n">
        <v>0</v>
      </c>
      <c r="B2630" s="62" t="s">
        <v>386</v>
      </c>
      <c r="C2630" s="62" t="s">
        <v>60</v>
      </c>
      <c r="D2630" s="62" t="s">
        <v>72</v>
      </c>
      <c r="E2630" s="62" t="s">
        <v>382</v>
      </c>
      <c r="F2630" s="63" t="s">
        <v>632</v>
      </c>
      <c r="G2630" s="64" t="n">
        <v>700000</v>
      </c>
      <c r="H2630" s="62" t="s">
        <v>138</v>
      </c>
    </row>
    <row r="2631" customFormat="false" ht="15" hidden="false" customHeight="false" outlineLevel="0" collapsed="false">
      <c r="A2631" s="62" t="n">
        <v>0</v>
      </c>
      <c r="B2631" s="62" t="s">
        <v>387</v>
      </c>
      <c r="C2631" s="62" t="s">
        <v>60</v>
      </c>
      <c r="D2631" s="62" t="s">
        <v>72</v>
      </c>
      <c r="E2631" s="62" t="s">
        <v>382</v>
      </c>
      <c r="F2631" s="63" t="s">
        <v>632</v>
      </c>
      <c r="G2631" s="64" t="n">
        <v>700000</v>
      </c>
      <c r="H2631" s="62" t="s">
        <v>138</v>
      </c>
    </row>
    <row r="2632" customFormat="false" ht="15" hidden="false" customHeight="false" outlineLevel="0" collapsed="false">
      <c r="A2632" s="62" t="n">
        <v>0</v>
      </c>
      <c r="B2632" s="62" t="s">
        <v>388</v>
      </c>
      <c r="C2632" s="62" t="s">
        <v>60</v>
      </c>
      <c r="D2632" s="62" t="s">
        <v>72</v>
      </c>
      <c r="E2632" s="62" t="s">
        <v>382</v>
      </c>
      <c r="F2632" s="63" t="s">
        <v>632</v>
      </c>
      <c r="G2632" s="64" t="n">
        <v>700000</v>
      </c>
      <c r="H2632" s="62" t="s">
        <v>138</v>
      </c>
    </row>
    <row r="2633" customFormat="false" ht="15" hidden="false" customHeight="false" outlineLevel="0" collapsed="false">
      <c r="A2633" s="62" t="n">
        <v>0</v>
      </c>
      <c r="B2633" s="62" t="s">
        <v>381</v>
      </c>
      <c r="C2633" s="62" t="s">
        <v>60</v>
      </c>
      <c r="D2633" s="62" t="s">
        <v>72</v>
      </c>
      <c r="E2633" s="62" t="s">
        <v>382</v>
      </c>
      <c r="F2633" s="63" t="s">
        <v>633</v>
      </c>
      <c r="G2633" s="64" t="n">
        <v>3197912.29834187</v>
      </c>
      <c r="H2633" s="62" t="s">
        <v>138</v>
      </c>
    </row>
    <row r="2634" customFormat="false" ht="15" hidden="false" customHeight="false" outlineLevel="0" collapsed="false">
      <c r="A2634" s="62" t="n">
        <v>0</v>
      </c>
      <c r="B2634" s="62" t="s">
        <v>383</v>
      </c>
      <c r="C2634" s="62" t="s">
        <v>60</v>
      </c>
      <c r="D2634" s="62" t="s">
        <v>72</v>
      </c>
      <c r="E2634" s="62" t="s">
        <v>382</v>
      </c>
      <c r="F2634" s="63" t="s">
        <v>633</v>
      </c>
      <c r="G2634" s="64" t="n">
        <v>3197912.29834187</v>
      </c>
      <c r="H2634" s="62" t="s">
        <v>138</v>
      </c>
    </row>
    <row r="2635" customFormat="false" ht="15" hidden="false" customHeight="false" outlineLevel="0" collapsed="false">
      <c r="A2635" s="62" t="n">
        <v>0</v>
      </c>
      <c r="B2635" s="62" t="s">
        <v>384</v>
      </c>
      <c r="C2635" s="62" t="s">
        <v>60</v>
      </c>
      <c r="D2635" s="62" t="s">
        <v>72</v>
      </c>
      <c r="E2635" s="62" t="s">
        <v>382</v>
      </c>
      <c r="F2635" s="63" t="s">
        <v>633</v>
      </c>
      <c r="G2635" s="64" t="n">
        <v>3197912.29834187</v>
      </c>
      <c r="H2635" s="62" t="s">
        <v>138</v>
      </c>
    </row>
    <row r="2636" customFormat="false" ht="15" hidden="false" customHeight="false" outlineLevel="0" collapsed="false">
      <c r="A2636" s="62" t="n">
        <v>0</v>
      </c>
      <c r="B2636" s="62" t="s">
        <v>385</v>
      </c>
      <c r="C2636" s="62" t="s">
        <v>60</v>
      </c>
      <c r="D2636" s="62" t="s">
        <v>72</v>
      </c>
      <c r="E2636" s="62" t="s">
        <v>382</v>
      </c>
      <c r="F2636" s="63" t="s">
        <v>633</v>
      </c>
      <c r="G2636" s="64" t="n">
        <v>3197912.29834187</v>
      </c>
      <c r="H2636" s="62" t="s">
        <v>138</v>
      </c>
    </row>
    <row r="2637" customFormat="false" ht="15" hidden="false" customHeight="false" outlineLevel="0" collapsed="false">
      <c r="A2637" s="62" t="n">
        <v>0</v>
      </c>
      <c r="B2637" s="62" t="s">
        <v>386</v>
      </c>
      <c r="C2637" s="62" t="s">
        <v>60</v>
      </c>
      <c r="D2637" s="62" t="s">
        <v>72</v>
      </c>
      <c r="E2637" s="62" t="s">
        <v>382</v>
      </c>
      <c r="F2637" s="63" t="s">
        <v>633</v>
      </c>
      <c r="G2637" s="64" t="n">
        <v>3197912.29834187</v>
      </c>
      <c r="H2637" s="62" t="s">
        <v>138</v>
      </c>
    </row>
    <row r="2638" customFormat="false" ht="15" hidden="false" customHeight="false" outlineLevel="0" collapsed="false">
      <c r="A2638" s="62" t="n">
        <v>0</v>
      </c>
      <c r="B2638" s="62" t="s">
        <v>387</v>
      </c>
      <c r="C2638" s="62" t="s">
        <v>60</v>
      </c>
      <c r="D2638" s="62" t="s">
        <v>72</v>
      </c>
      <c r="E2638" s="62" t="s">
        <v>382</v>
      </c>
      <c r="F2638" s="63" t="s">
        <v>633</v>
      </c>
      <c r="G2638" s="64" t="n">
        <v>3197912.29834187</v>
      </c>
      <c r="H2638" s="62" t="s">
        <v>138</v>
      </c>
    </row>
    <row r="2639" customFormat="false" ht="15" hidden="false" customHeight="false" outlineLevel="0" collapsed="false">
      <c r="A2639" s="62" t="n">
        <v>0</v>
      </c>
      <c r="B2639" s="62" t="s">
        <v>388</v>
      </c>
      <c r="C2639" s="62" t="s">
        <v>60</v>
      </c>
      <c r="D2639" s="62" t="s">
        <v>72</v>
      </c>
      <c r="E2639" s="62" t="s">
        <v>382</v>
      </c>
      <c r="F2639" s="63" t="s">
        <v>633</v>
      </c>
      <c r="G2639" s="64" t="n">
        <v>3197912.29834187</v>
      </c>
      <c r="H2639" s="62" t="s">
        <v>138</v>
      </c>
    </row>
    <row r="2640" customFormat="false" ht="15" hidden="false" customHeight="false" outlineLevel="0" collapsed="false">
      <c r="A2640" s="62" t="n">
        <v>0</v>
      </c>
      <c r="B2640" s="62" t="s">
        <v>381</v>
      </c>
      <c r="C2640" s="62" t="s">
        <v>60</v>
      </c>
      <c r="D2640" s="62" t="s">
        <v>72</v>
      </c>
      <c r="E2640" s="62" t="s">
        <v>382</v>
      </c>
      <c r="F2640" s="63" t="s">
        <v>634</v>
      </c>
      <c r="G2640" s="64" t="n">
        <v>54512278.812778</v>
      </c>
      <c r="H2640" s="62" t="s">
        <v>138</v>
      </c>
    </row>
    <row r="2641" customFormat="false" ht="15" hidden="false" customHeight="false" outlineLevel="0" collapsed="false">
      <c r="A2641" s="62" t="n">
        <v>0</v>
      </c>
      <c r="B2641" s="62" t="s">
        <v>383</v>
      </c>
      <c r="C2641" s="62" t="s">
        <v>60</v>
      </c>
      <c r="D2641" s="62" t="s">
        <v>72</v>
      </c>
      <c r="E2641" s="62" t="s">
        <v>382</v>
      </c>
      <c r="F2641" s="63" t="s">
        <v>634</v>
      </c>
      <c r="G2641" s="64" t="n">
        <v>54512278.812778</v>
      </c>
      <c r="H2641" s="62" t="s">
        <v>138</v>
      </c>
    </row>
    <row r="2642" customFormat="false" ht="15" hidden="false" customHeight="false" outlineLevel="0" collapsed="false">
      <c r="A2642" s="62" t="n">
        <v>0</v>
      </c>
      <c r="B2642" s="62" t="s">
        <v>384</v>
      </c>
      <c r="C2642" s="62" t="s">
        <v>60</v>
      </c>
      <c r="D2642" s="62" t="s">
        <v>72</v>
      </c>
      <c r="E2642" s="62" t="s">
        <v>382</v>
      </c>
      <c r="F2642" s="63" t="s">
        <v>634</v>
      </c>
      <c r="G2642" s="64" t="n">
        <v>54512278.812778</v>
      </c>
      <c r="H2642" s="62" t="s">
        <v>138</v>
      </c>
    </row>
    <row r="2643" customFormat="false" ht="15" hidden="false" customHeight="false" outlineLevel="0" collapsed="false">
      <c r="A2643" s="62" t="n">
        <v>0</v>
      </c>
      <c r="B2643" s="62" t="s">
        <v>385</v>
      </c>
      <c r="C2643" s="62" t="s">
        <v>60</v>
      </c>
      <c r="D2643" s="62" t="s">
        <v>72</v>
      </c>
      <c r="E2643" s="62" t="s">
        <v>382</v>
      </c>
      <c r="F2643" s="63" t="s">
        <v>634</v>
      </c>
      <c r="G2643" s="64" t="n">
        <v>54512278.812778</v>
      </c>
      <c r="H2643" s="62" t="s">
        <v>138</v>
      </c>
    </row>
    <row r="2644" customFormat="false" ht="15" hidden="false" customHeight="false" outlineLevel="0" collapsed="false">
      <c r="A2644" s="62" t="n">
        <v>0</v>
      </c>
      <c r="B2644" s="62" t="s">
        <v>386</v>
      </c>
      <c r="C2644" s="62" t="s">
        <v>60</v>
      </c>
      <c r="D2644" s="62" t="s">
        <v>72</v>
      </c>
      <c r="E2644" s="62" t="s">
        <v>382</v>
      </c>
      <c r="F2644" s="63" t="s">
        <v>634</v>
      </c>
      <c r="G2644" s="64" t="n">
        <v>54512278.812778</v>
      </c>
      <c r="H2644" s="62" t="s">
        <v>138</v>
      </c>
    </row>
    <row r="2645" customFormat="false" ht="15" hidden="false" customHeight="false" outlineLevel="0" collapsed="false">
      <c r="A2645" s="62" t="n">
        <v>0</v>
      </c>
      <c r="B2645" s="62" t="s">
        <v>387</v>
      </c>
      <c r="C2645" s="62" t="s">
        <v>60</v>
      </c>
      <c r="D2645" s="62" t="s">
        <v>72</v>
      </c>
      <c r="E2645" s="62" t="s">
        <v>382</v>
      </c>
      <c r="F2645" s="63" t="s">
        <v>634</v>
      </c>
      <c r="G2645" s="64" t="n">
        <v>54512278.812778</v>
      </c>
      <c r="H2645" s="62" t="s">
        <v>138</v>
      </c>
    </row>
    <row r="2646" customFormat="false" ht="15" hidden="false" customHeight="false" outlineLevel="0" collapsed="false">
      <c r="A2646" s="62" t="n">
        <v>0</v>
      </c>
      <c r="B2646" s="62" t="s">
        <v>388</v>
      </c>
      <c r="C2646" s="62" t="s">
        <v>60</v>
      </c>
      <c r="D2646" s="62" t="s">
        <v>72</v>
      </c>
      <c r="E2646" s="62" t="s">
        <v>382</v>
      </c>
      <c r="F2646" s="63" t="s">
        <v>634</v>
      </c>
      <c r="G2646" s="64" t="n">
        <v>54512278.812778</v>
      </c>
      <c r="H2646" s="62" t="s">
        <v>138</v>
      </c>
    </row>
    <row r="2647" customFormat="false" ht="15" hidden="false" customHeight="false" outlineLevel="0" collapsed="false">
      <c r="A2647" s="62" t="n">
        <v>0</v>
      </c>
      <c r="B2647" s="62" t="s">
        <v>381</v>
      </c>
      <c r="C2647" s="62" t="s">
        <v>60</v>
      </c>
      <c r="D2647" s="62" t="s">
        <v>72</v>
      </c>
      <c r="E2647" s="62" t="s">
        <v>382</v>
      </c>
      <c r="F2647" s="63" t="s">
        <v>635</v>
      </c>
      <c r="G2647" s="64" t="n">
        <v>10811319.0478053</v>
      </c>
      <c r="H2647" s="62" t="s">
        <v>138</v>
      </c>
    </row>
    <row r="2648" customFormat="false" ht="15" hidden="false" customHeight="false" outlineLevel="0" collapsed="false">
      <c r="A2648" s="62" t="n">
        <v>0</v>
      </c>
      <c r="B2648" s="62" t="s">
        <v>383</v>
      </c>
      <c r="C2648" s="62" t="s">
        <v>60</v>
      </c>
      <c r="D2648" s="62" t="s">
        <v>72</v>
      </c>
      <c r="E2648" s="62" t="s">
        <v>382</v>
      </c>
      <c r="F2648" s="63" t="s">
        <v>635</v>
      </c>
      <c r="G2648" s="64" t="n">
        <v>10811319.0478053</v>
      </c>
      <c r="H2648" s="62" t="s">
        <v>138</v>
      </c>
    </row>
    <row r="2649" customFormat="false" ht="15" hidden="false" customHeight="false" outlineLevel="0" collapsed="false">
      <c r="A2649" s="62" t="n">
        <v>0</v>
      </c>
      <c r="B2649" s="62" t="s">
        <v>384</v>
      </c>
      <c r="C2649" s="62" t="s">
        <v>60</v>
      </c>
      <c r="D2649" s="62" t="s">
        <v>72</v>
      </c>
      <c r="E2649" s="62" t="s">
        <v>382</v>
      </c>
      <c r="F2649" s="63" t="s">
        <v>635</v>
      </c>
      <c r="G2649" s="64" t="n">
        <v>10811319.0478053</v>
      </c>
      <c r="H2649" s="62" t="s">
        <v>138</v>
      </c>
    </row>
    <row r="2650" customFormat="false" ht="15" hidden="false" customHeight="false" outlineLevel="0" collapsed="false">
      <c r="A2650" s="62" t="n">
        <v>0</v>
      </c>
      <c r="B2650" s="62" t="s">
        <v>385</v>
      </c>
      <c r="C2650" s="62" t="s">
        <v>60</v>
      </c>
      <c r="D2650" s="62" t="s">
        <v>72</v>
      </c>
      <c r="E2650" s="62" t="s">
        <v>382</v>
      </c>
      <c r="F2650" s="63" t="s">
        <v>635</v>
      </c>
      <c r="G2650" s="64" t="n">
        <v>10811319.0478053</v>
      </c>
      <c r="H2650" s="62" t="s">
        <v>138</v>
      </c>
    </row>
    <row r="2651" customFormat="false" ht="15" hidden="false" customHeight="false" outlineLevel="0" collapsed="false">
      <c r="A2651" s="62" t="n">
        <v>0</v>
      </c>
      <c r="B2651" s="62" t="s">
        <v>386</v>
      </c>
      <c r="C2651" s="62" t="s">
        <v>60</v>
      </c>
      <c r="D2651" s="62" t="s">
        <v>72</v>
      </c>
      <c r="E2651" s="62" t="s">
        <v>382</v>
      </c>
      <c r="F2651" s="63" t="s">
        <v>635</v>
      </c>
      <c r="G2651" s="64" t="n">
        <v>10811319.0478053</v>
      </c>
      <c r="H2651" s="62" t="s">
        <v>138</v>
      </c>
    </row>
    <row r="2652" customFormat="false" ht="15" hidden="false" customHeight="false" outlineLevel="0" collapsed="false">
      <c r="A2652" s="62" t="n">
        <v>0</v>
      </c>
      <c r="B2652" s="62" t="s">
        <v>387</v>
      </c>
      <c r="C2652" s="62" t="s">
        <v>60</v>
      </c>
      <c r="D2652" s="62" t="s">
        <v>72</v>
      </c>
      <c r="E2652" s="62" t="s">
        <v>382</v>
      </c>
      <c r="F2652" s="63" t="s">
        <v>635</v>
      </c>
      <c r="G2652" s="64" t="n">
        <v>10811319.0478053</v>
      </c>
      <c r="H2652" s="62" t="s">
        <v>138</v>
      </c>
    </row>
    <row r="2653" customFormat="false" ht="15" hidden="false" customHeight="false" outlineLevel="0" collapsed="false">
      <c r="A2653" s="62" t="n">
        <v>0</v>
      </c>
      <c r="B2653" s="62" t="s">
        <v>388</v>
      </c>
      <c r="C2653" s="62" t="s">
        <v>60</v>
      </c>
      <c r="D2653" s="62" t="s">
        <v>72</v>
      </c>
      <c r="E2653" s="62" t="s">
        <v>382</v>
      </c>
      <c r="F2653" s="63" t="s">
        <v>635</v>
      </c>
      <c r="G2653" s="64" t="n">
        <v>10811319.0478053</v>
      </c>
      <c r="H2653" s="62" t="s">
        <v>138</v>
      </c>
    </row>
    <row r="2654" customFormat="false" ht="15" hidden="false" customHeight="false" outlineLevel="0" collapsed="false">
      <c r="A2654" s="62" t="n">
        <v>0</v>
      </c>
      <c r="B2654" s="62" t="s">
        <v>381</v>
      </c>
      <c r="C2654" s="62" t="s">
        <v>60</v>
      </c>
      <c r="D2654" s="62" t="s">
        <v>72</v>
      </c>
      <c r="E2654" s="62" t="s">
        <v>382</v>
      </c>
      <c r="F2654" s="63" t="s">
        <v>636</v>
      </c>
      <c r="G2654" s="64" t="n">
        <v>-10736012.699169</v>
      </c>
      <c r="H2654" s="62" t="s">
        <v>138</v>
      </c>
    </row>
    <row r="2655" customFormat="false" ht="15" hidden="false" customHeight="false" outlineLevel="0" collapsed="false">
      <c r="A2655" s="62" t="n">
        <v>0</v>
      </c>
      <c r="B2655" s="62" t="s">
        <v>383</v>
      </c>
      <c r="C2655" s="62" t="s">
        <v>60</v>
      </c>
      <c r="D2655" s="62" t="s">
        <v>72</v>
      </c>
      <c r="E2655" s="62" t="s">
        <v>382</v>
      </c>
      <c r="F2655" s="63" t="s">
        <v>636</v>
      </c>
      <c r="G2655" s="64" t="n">
        <v>-10736012.699169</v>
      </c>
      <c r="H2655" s="62" t="s">
        <v>138</v>
      </c>
    </row>
    <row r="2656" customFormat="false" ht="15" hidden="false" customHeight="false" outlineLevel="0" collapsed="false">
      <c r="A2656" s="62" t="n">
        <v>0</v>
      </c>
      <c r="B2656" s="62" t="s">
        <v>384</v>
      </c>
      <c r="C2656" s="62" t="s">
        <v>60</v>
      </c>
      <c r="D2656" s="62" t="s">
        <v>72</v>
      </c>
      <c r="E2656" s="62" t="s">
        <v>382</v>
      </c>
      <c r="F2656" s="63" t="s">
        <v>636</v>
      </c>
      <c r="G2656" s="64" t="n">
        <v>-10736012.699169</v>
      </c>
      <c r="H2656" s="62" t="s">
        <v>138</v>
      </c>
    </row>
    <row r="2657" customFormat="false" ht="15" hidden="false" customHeight="false" outlineLevel="0" collapsed="false">
      <c r="A2657" s="62" t="n">
        <v>0</v>
      </c>
      <c r="B2657" s="62" t="s">
        <v>385</v>
      </c>
      <c r="C2657" s="62" t="s">
        <v>60</v>
      </c>
      <c r="D2657" s="62" t="s">
        <v>72</v>
      </c>
      <c r="E2657" s="62" t="s">
        <v>382</v>
      </c>
      <c r="F2657" s="63" t="s">
        <v>636</v>
      </c>
      <c r="G2657" s="64" t="n">
        <v>-10736012.699169</v>
      </c>
      <c r="H2657" s="62" t="s">
        <v>138</v>
      </c>
    </row>
    <row r="2658" customFormat="false" ht="15" hidden="false" customHeight="false" outlineLevel="0" collapsed="false">
      <c r="A2658" s="62" t="n">
        <v>0</v>
      </c>
      <c r="B2658" s="62" t="s">
        <v>386</v>
      </c>
      <c r="C2658" s="62" t="s">
        <v>60</v>
      </c>
      <c r="D2658" s="62" t="s">
        <v>72</v>
      </c>
      <c r="E2658" s="62" t="s">
        <v>382</v>
      </c>
      <c r="F2658" s="63" t="s">
        <v>636</v>
      </c>
      <c r="G2658" s="64" t="n">
        <v>-10736012.699169</v>
      </c>
      <c r="H2658" s="62" t="s">
        <v>138</v>
      </c>
    </row>
    <row r="2659" customFormat="false" ht="15" hidden="false" customHeight="false" outlineLevel="0" collapsed="false">
      <c r="A2659" s="62" t="n">
        <v>0</v>
      </c>
      <c r="B2659" s="62" t="s">
        <v>387</v>
      </c>
      <c r="C2659" s="62" t="s">
        <v>60</v>
      </c>
      <c r="D2659" s="62" t="s">
        <v>72</v>
      </c>
      <c r="E2659" s="62" t="s">
        <v>382</v>
      </c>
      <c r="F2659" s="63" t="s">
        <v>636</v>
      </c>
      <c r="G2659" s="64" t="n">
        <v>-10736012.699169</v>
      </c>
      <c r="H2659" s="62" t="s">
        <v>138</v>
      </c>
    </row>
    <row r="2660" customFormat="false" ht="15" hidden="false" customHeight="false" outlineLevel="0" collapsed="false">
      <c r="A2660" s="62" t="n">
        <v>0</v>
      </c>
      <c r="B2660" s="62" t="s">
        <v>388</v>
      </c>
      <c r="C2660" s="62" t="s">
        <v>60</v>
      </c>
      <c r="D2660" s="62" t="s">
        <v>72</v>
      </c>
      <c r="E2660" s="62" t="s">
        <v>382</v>
      </c>
      <c r="F2660" s="63" t="s">
        <v>636</v>
      </c>
      <c r="G2660" s="64" t="n">
        <v>-10736012.699169</v>
      </c>
      <c r="H2660" s="62" t="s">
        <v>138</v>
      </c>
    </row>
    <row r="2661" customFormat="false" ht="15" hidden="false" customHeight="false" outlineLevel="0" collapsed="false">
      <c r="A2661" s="62" t="n">
        <v>0</v>
      </c>
      <c r="B2661" s="62" t="s">
        <v>381</v>
      </c>
      <c r="C2661" s="62" t="s">
        <v>60</v>
      </c>
      <c r="D2661" s="62" t="s">
        <v>72</v>
      </c>
      <c r="E2661" s="62" t="s">
        <v>382</v>
      </c>
      <c r="F2661" s="63" t="s">
        <v>637</v>
      </c>
      <c r="G2661" s="64" t="n">
        <v>54587585.1614142</v>
      </c>
      <c r="H2661" s="62" t="s">
        <v>138</v>
      </c>
    </row>
    <row r="2662" customFormat="false" ht="15" hidden="false" customHeight="false" outlineLevel="0" collapsed="false">
      <c r="A2662" s="62" t="n">
        <v>0</v>
      </c>
      <c r="B2662" s="62" t="s">
        <v>383</v>
      </c>
      <c r="C2662" s="62" t="s">
        <v>60</v>
      </c>
      <c r="D2662" s="62" t="s">
        <v>72</v>
      </c>
      <c r="E2662" s="62" t="s">
        <v>382</v>
      </c>
      <c r="F2662" s="63" t="s">
        <v>637</v>
      </c>
      <c r="G2662" s="64" t="n">
        <v>54587585.1614142</v>
      </c>
      <c r="H2662" s="62" t="s">
        <v>138</v>
      </c>
    </row>
    <row r="2663" customFormat="false" ht="15" hidden="false" customHeight="false" outlineLevel="0" collapsed="false">
      <c r="A2663" s="62" t="n">
        <v>0</v>
      </c>
      <c r="B2663" s="62" t="s">
        <v>384</v>
      </c>
      <c r="C2663" s="62" t="s">
        <v>60</v>
      </c>
      <c r="D2663" s="62" t="s">
        <v>72</v>
      </c>
      <c r="E2663" s="62" t="s">
        <v>382</v>
      </c>
      <c r="F2663" s="63" t="s">
        <v>637</v>
      </c>
      <c r="G2663" s="64" t="n">
        <v>54587585.1614142</v>
      </c>
      <c r="H2663" s="62" t="s">
        <v>138</v>
      </c>
    </row>
    <row r="2664" customFormat="false" ht="15" hidden="false" customHeight="false" outlineLevel="0" collapsed="false">
      <c r="A2664" s="62" t="n">
        <v>0</v>
      </c>
      <c r="B2664" s="62" t="s">
        <v>385</v>
      </c>
      <c r="C2664" s="62" t="s">
        <v>60</v>
      </c>
      <c r="D2664" s="62" t="s">
        <v>72</v>
      </c>
      <c r="E2664" s="62" t="s">
        <v>382</v>
      </c>
      <c r="F2664" s="63" t="s">
        <v>637</v>
      </c>
      <c r="G2664" s="64" t="n">
        <v>54587585.1614142</v>
      </c>
      <c r="H2664" s="62" t="s">
        <v>138</v>
      </c>
    </row>
    <row r="2665" customFormat="false" ht="15" hidden="false" customHeight="false" outlineLevel="0" collapsed="false">
      <c r="A2665" s="62" t="n">
        <v>0</v>
      </c>
      <c r="B2665" s="62" t="s">
        <v>386</v>
      </c>
      <c r="C2665" s="62" t="s">
        <v>60</v>
      </c>
      <c r="D2665" s="62" t="s">
        <v>72</v>
      </c>
      <c r="E2665" s="62" t="s">
        <v>382</v>
      </c>
      <c r="F2665" s="63" t="s">
        <v>637</v>
      </c>
      <c r="G2665" s="64" t="n">
        <v>54587585.1614142</v>
      </c>
      <c r="H2665" s="62" t="s">
        <v>138</v>
      </c>
    </row>
    <row r="2666" customFormat="false" ht="15" hidden="false" customHeight="false" outlineLevel="0" collapsed="false">
      <c r="A2666" s="62" t="n">
        <v>0</v>
      </c>
      <c r="B2666" s="62" t="s">
        <v>387</v>
      </c>
      <c r="C2666" s="62" t="s">
        <v>60</v>
      </c>
      <c r="D2666" s="62" t="s">
        <v>72</v>
      </c>
      <c r="E2666" s="62" t="s">
        <v>382</v>
      </c>
      <c r="F2666" s="63" t="s">
        <v>637</v>
      </c>
      <c r="G2666" s="64" t="n">
        <v>54587585.1614142</v>
      </c>
      <c r="H2666" s="62" t="s">
        <v>138</v>
      </c>
    </row>
    <row r="2667" customFormat="false" ht="15" hidden="false" customHeight="false" outlineLevel="0" collapsed="false">
      <c r="A2667" s="62" t="n">
        <v>0</v>
      </c>
      <c r="B2667" s="62" t="s">
        <v>388</v>
      </c>
      <c r="C2667" s="62" t="s">
        <v>60</v>
      </c>
      <c r="D2667" s="62" t="s">
        <v>72</v>
      </c>
      <c r="E2667" s="62" t="s">
        <v>382</v>
      </c>
      <c r="F2667" s="63" t="s">
        <v>637</v>
      </c>
      <c r="G2667" s="64" t="n">
        <v>54587585.1614142</v>
      </c>
      <c r="H2667" s="62" t="s">
        <v>138</v>
      </c>
    </row>
    <row r="2668" customFormat="false" ht="15" hidden="false" customHeight="false" outlineLevel="0" collapsed="false">
      <c r="A2668" s="62" t="n">
        <v>0</v>
      </c>
      <c r="B2668" s="62" t="s">
        <v>381</v>
      </c>
      <c r="C2668" s="62" t="s">
        <v>60</v>
      </c>
      <c r="D2668" s="62" t="s">
        <v>72</v>
      </c>
      <c r="E2668" s="62" t="s">
        <v>382</v>
      </c>
      <c r="F2668" s="63" t="s">
        <v>638</v>
      </c>
      <c r="G2668" s="64" t="n">
        <v>1.22654253272992</v>
      </c>
      <c r="H2668" s="62" t="s">
        <v>138</v>
      </c>
    </row>
    <row r="2669" customFormat="false" ht="15" hidden="false" customHeight="false" outlineLevel="0" collapsed="false">
      <c r="A2669" s="62" t="n">
        <v>0</v>
      </c>
      <c r="B2669" s="62" t="s">
        <v>383</v>
      </c>
      <c r="C2669" s="62" t="s">
        <v>60</v>
      </c>
      <c r="D2669" s="62" t="s">
        <v>72</v>
      </c>
      <c r="E2669" s="62" t="s">
        <v>382</v>
      </c>
      <c r="F2669" s="63" t="s">
        <v>638</v>
      </c>
      <c r="G2669" s="64" t="n">
        <v>1.22654253272992</v>
      </c>
      <c r="H2669" s="62" t="s">
        <v>138</v>
      </c>
    </row>
    <row r="2670" customFormat="false" ht="15" hidden="false" customHeight="false" outlineLevel="0" collapsed="false">
      <c r="A2670" s="62" t="n">
        <v>0</v>
      </c>
      <c r="B2670" s="62" t="s">
        <v>384</v>
      </c>
      <c r="C2670" s="62" t="s">
        <v>60</v>
      </c>
      <c r="D2670" s="62" t="s">
        <v>72</v>
      </c>
      <c r="E2670" s="62" t="s">
        <v>382</v>
      </c>
      <c r="F2670" s="63" t="s">
        <v>638</v>
      </c>
      <c r="G2670" s="64" t="n">
        <v>1.22654253272992</v>
      </c>
      <c r="H2670" s="62" t="s">
        <v>138</v>
      </c>
    </row>
    <row r="2671" customFormat="false" ht="15" hidden="false" customHeight="false" outlineLevel="0" collapsed="false">
      <c r="A2671" s="62" t="n">
        <v>0</v>
      </c>
      <c r="B2671" s="62" t="s">
        <v>385</v>
      </c>
      <c r="C2671" s="62" t="s">
        <v>60</v>
      </c>
      <c r="D2671" s="62" t="s">
        <v>72</v>
      </c>
      <c r="E2671" s="62" t="s">
        <v>382</v>
      </c>
      <c r="F2671" s="63" t="s">
        <v>638</v>
      </c>
      <c r="G2671" s="64" t="n">
        <v>1.22654253272992</v>
      </c>
      <c r="H2671" s="62" t="s">
        <v>138</v>
      </c>
    </row>
    <row r="2672" customFormat="false" ht="15" hidden="false" customHeight="false" outlineLevel="0" collapsed="false">
      <c r="A2672" s="62" t="n">
        <v>0</v>
      </c>
      <c r="B2672" s="62" t="s">
        <v>386</v>
      </c>
      <c r="C2672" s="62" t="s">
        <v>60</v>
      </c>
      <c r="D2672" s="62" t="s">
        <v>72</v>
      </c>
      <c r="E2672" s="62" t="s">
        <v>382</v>
      </c>
      <c r="F2672" s="63" t="s">
        <v>638</v>
      </c>
      <c r="G2672" s="64" t="n">
        <v>1.22654253272992</v>
      </c>
      <c r="H2672" s="62" t="s">
        <v>138</v>
      </c>
    </row>
    <row r="2673" customFormat="false" ht="15" hidden="false" customHeight="false" outlineLevel="0" collapsed="false">
      <c r="A2673" s="62" t="n">
        <v>0</v>
      </c>
      <c r="B2673" s="62" t="s">
        <v>387</v>
      </c>
      <c r="C2673" s="62" t="s">
        <v>60</v>
      </c>
      <c r="D2673" s="62" t="s">
        <v>72</v>
      </c>
      <c r="E2673" s="62" t="s">
        <v>382</v>
      </c>
      <c r="F2673" s="63" t="s">
        <v>638</v>
      </c>
      <c r="G2673" s="64" t="n">
        <v>1.22654253272992</v>
      </c>
      <c r="H2673" s="62" t="s">
        <v>138</v>
      </c>
    </row>
    <row r="2674" customFormat="false" ht="15" hidden="false" customHeight="false" outlineLevel="0" collapsed="false">
      <c r="A2674" s="62" t="n">
        <v>0</v>
      </c>
      <c r="B2674" s="62" t="s">
        <v>388</v>
      </c>
      <c r="C2674" s="62" t="s">
        <v>60</v>
      </c>
      <c r="D2674" s="62" t="s">
        <v>72</v>
      </c>
      <c r="E2674" s="62" t="s">
        <v>382</v>
      </c>
      <c r="F2674" s="63" t="s">
        <v>638</v>
      </c>
      <c r="G2674" s="64" t="n">
        <v>1.22654253272992</v>
      </c>
      <c r="H2674" s="62" t="s">
        <v>138</v>
      </c>
    </row>
    <row r="2675" customFormat="false" ht="15" hidden="false" customHeight="false" outlineLevel="0" collapsed="false">
      <c r="A2675" s="62" t="n">
        <v>0</v>
      </c>
      <c r="B2675" s="62" t="s">
        <v>381</v>
      </c>
      <c r="C2675" s="62" t="s">
        <v>60</v>
      </c>
      <c r="D2675" s="62" t="s">
        <v>72</v>
      </c>
      <c r="E2675" s="62" t="s">
        <v>382</v>
      </c>
      <c r="F2675" s="63" t="s">
        <v>639</v>
      </c>
      <c r="G2675" s="64" t="n">
        <v>12.2530169188966</v>
      </c>
      <c r="H2675" s="62" t="s">
        <v>138</v>
      </c>
    </row>
    <row r="2676" customFormat="false" ht="15" hidden="false" customHeight="false" outlineLevel="0" collapsed="false">
      <c r="A2676" s="62" t="n">
        <v>0</v>
      </c>
      <c r="B2676" s="62" t="s">
        <v>383</v>
      </c>
      <c r="C2676" s="62" t="s">
        <v>60</v>
      </c>
      <c r="D2676" s="62" t="s">
        <v>72</v>
      </c>
      <c r="E2676" s="62" t="s">
        <v>382</v>
      </c>
      <c r="F2676" s="63" t="s">
        <v>639</v>
      </c>
      <c r="G2676" s="64" t="n">
        <v>12.2530169188966</v>
      </c>
      <c r="H2676" s="62" t="s">
        <v>138</v>
      </c>
    </row>
    <row r="2677" customFormat="false" ht="15" hidden="false" customHeight="false" outlineLevel="0" collapsed="false">
      <c r="A2677" s="62" t="n">
        <v>0</v>
      </c>
      <c r="B2677" s="62" t="s">
        <v>384</v>
      </c>
      <c r="C2677" s="62" t="s">
        <v>60</v>
      </c>
      <c r="D2677" s="62" t="s">
        <v>72</v>
      </c>
      <c r="E2677" s="62" t="s">
        <v>382</v>
      </c>
      <c r="F2677" s="63" t="s">
        <v>639</v>
      </c>
      <c r="G2677" s="64" t="n">
        <v>12.2530169188966</v>
      </c>
      <c r="H2677" s="62" t="s">
        <v>138</v>
      </c>
    </row>
    <row r="2678" customFormat="false" ht="15" hidden="false" customHeight="false" outlineLevel="0" collapsed="false">
      <c r="A2678" s="62" t="n">
        <v>0</v>
      </c>
      <c r="B2678" s="62" t="s">
        <v>385</v>
      </c>
      <c r="C2678" s="62" t="s">
        <v>60</v>
      </c>
      <c r="D2678" s="62" t="s">
        <v>72</v>
      </c>
      <c r="E2678" s="62" t="s">
        <v>382</v>
      </c>
      <c r="F2678" s="63" t="s">
        <v>639</v>
      </c>
      <c r="G2678" s="64" t="n">
        <v>12.2530169188966</v>
      </c>
      <c r="H2678" s="62" t="s">
        <v>138</v>
      </c>
    </row>
    <row r="2679" customFormat="false" ht="15" hidden="false" customHeight="false" outlineLevel="0" collapsed="false">
      <c r="A2679" s="62" t="n">
        <v>0</v>
      </c>
      <c r="B2679" s="62" t="s">
        <v>386</v>
      </c>
      <c r="C2679" s="62" t="s">
        <v>60</v>
      </c>
      <c r="D2679" s="62" t="s">
        <v>72</v>
      </c>
      <c r="E2679" s="62" t="s">
        <v>382</v>
      </c>
      <c r="F2679" s="63" t="s">
        <v>639</v>
      </c>
      <c r="G2679" s="64" t="n">
        <v>12.2530169188966</v>
      </c>
      <c r="H2679" s="62" t="s">
        <v>138</v>
      </c>
    </row>
    <row r="2680" customFormat="false" ht="15" hidden="false" customHeight="false" outlineLevel="0" collapsed="false">
      <c r="A2680" s="62" t="n">
        <v>0</v>
      </c>
      <c r="B2680" s="62" t="s">
        <v>387</v>
      </c>
      <c r="C2680" s="62" t="s">
        <v>60</v>
      </c>
      <c r="D2680" s="62" t="s">
        <v>72</v>
      </c>
      <c r="E2680" s="62" t="s">
        <v>382</v>
      </c>
      <c r="F2680" s="63" t="s">
        <v>639</v>
      </c>
      <c r="G2680" s="64" t="n">
        <v>12.2530169188966</v>
      </c>
      <c r="H2680" s="62" t="s">
        <v>138</v>
      </c>
    </row>
    <row r="2681" customFormat="false" ht="15" hidden="false" customHeight="false" outlineLevel="0" collapsed="false">
      <c r="A2681" s="62" t="n">
        <v>0</v>
      </c>
      <c r="B2681" s="62" t="s">
        <v>388</v>
      </c>
      <c r="C2681" s="62" t="s">
        <v>60</v>
      </c>
      <c r="D2681" s="62" t="s">
        <v>72</v>
      </c>
      <c r="E2681" s="62" t="s">
        <v>382</v>
      </c>
      <c r="F2681" s="63" t="s">
        <v>639</v>
      </c>
      <c r="G2681" s="64" t="n">
        <v>12.2530169188966</v>
      </c>
      <c r="H2681" s="62" t="s">
        <v>138</v>
      </c>
    </row>
    <row r="2682" customFormat="false" ht="15" hidden="false" customHeight="false" outlineLevel="0" collapsed="false">
      <c r="A2682" s="62" t="n">
        <v>0</v>
      </c>
      <c r="B2682" s="62" t="s">
        <v>381</v>
      </c>
      <c r="C2682" s="62" t="s">
        <v>60</v>
      </c>
      <c r="D2682" s="62" t="s">
        <v>72</v>
      </c>
      <c r="E2682" s="62" t="s">
        <v>382</v>
      </c>
      <c r="F2682" s="63" t="s">
        <v>640</v>
      </c>
      <c r="G2682" s="64" t="n">
        <v>5.85532973853825</v>
      </c>
      <c r="H2682" s="62" t="s">
        <v>138</v>
      </c>
    </row>
    <row r="2683" customFormat="false" ht="15" hidden="false" customHeight="false" outlineLevel="0" collapsed="false">
      <c r="A2683" s="62" t="n">
        <v>0</v>
      </c>
      <c r="B2683" s="62" t="s">
        <v>383</v>
      </c>
      <c r="C2683" s="62" t="s">
        <v>60</v>
      </c>
      <c r="D2683" s="62" t="s">
        <v>72</v>
      </c>
      <c r="E2683" s="62" t="s">
        <v>382</v>
      </c>
      <c r="F2683" s="63" t="s">
        <v>640</v>
      </c>
      <c r="G2683" s="64" t="n">
        <v>5.85532973853825</v>
      </c>
      <c r="H2683" s="62" t="s">
        <v>138</v>
      </c>
    </row>
    <row r="2684" customFormat="false" ht="15" hidden="false" customHeight="false" outlineLevel="0" collapsed="false">
      <c r="A2684" s="62" t="n">
        <v>0</v>
      </c>
      <c r="B2684" s="62" t="s">
        <v>384</v>
      </c>
      <c r="C2684" s="62" t="s">
        <v>60</v>
      </c>
      <c r="D2684" s="62" t="s">
        <v>72</v>
      </c>
      <c r="E2684" s="62" t="s">
        <v>382</v>
      </c>
      <c r="F2684" s="63" t="s">
        <v>640</v>
      </c>
      <c r="G2684" s="64" t="n">
        <v>5.85532973853825</v>
      </c>
      <c r="H2684" s="62" t="s">
        <v>138</v>
      </c>
    </row>
    <row r="2685" customFormat="false" ht="15" hidden="false" customHeight="false" outlineLevel="0" collapsed="false">
      <c r="A2685" s="62" t="n">
        <v>0</v>
      </c>
      <c r="B2685" s="62" t="s">
        <v>385</v>
      </c>
      <c r="C2685" s="62" t="s">
        <v>60</v>
      </c>
      <c r="D2685" s="62" t="s">
        <v>72</v>
      </c>
      <c r="E2685" s="62" t="s">
        <v>382</v>
      </c>
      <c r="F2685" s="63" t="s">
        <v>640</v>
      </c>
      <c r="G2685" s="64" t="n">
        <v>5.85532973853825</v>
      </c>
      <c r="H2685" s="62" t="s">
        <v>138</v>
      </c>
    </row>
    <row r="2686" customFormat="false" ht="15" hidden="false" customHeight="false" outlineLevel="0" collapsed="false">
      <c r="A2686" s="62" t="n">
        <v>0</v>
      </c>
      <c r="B2686" s="62" t="s">
        <v>386</v>
      </c>
      <c r="C2686" s="62" t="s">
        <v>60</v>
      </c>
      <c r="D2686" s="62" t="s">
        <v>72</v>
      </c>
      <c r="E2686" s="62" t="s">
        <v>382</v>
      </c>
      <c r="F2686" s="63" t="s">
        <v>640</v>
      </c>
      <c r="G2686" s="64" t="n">
        <v>5.85532973853825</v>
      </c>
      <c r="H2686" s="62" t="s">
        <v>138</v>
      </c>
    </row>
    <row r="2687" customFormat="false" ht="15" hidden="false" customHeight="false" outlineLevel="0" collapsed="false">
      <c r="A2687" s="62" t="n">
        <v>0</v>
      </c>
      <c r="B2687" s="62" t="s">
        <v>387</v>
      </c>
      <c r="C2687" s="62" t="s">
        <v>60</v>
      </c>
      <c r="D2687" s="62" t="s">
        <v>72</v>
      </c>
      <c r="E2687" s="62" t="s">
        <v>382</v>
      </c>
      <c r="F2687" s="63" t="s">
        <v>640</v>
      </c>
      <c r="G2687" s="64" t="n">
        <v>5.85532973853825</v>
      </c>
      <c r="H2687" s="62" t="s">
        <v>138</v>
      </c>
    </row>
    <row r="2688" customFormat="false" ht="15" hidden="false" customHeight="false" outlineLevel="0" collapsed="false">
      <c r="A2688" s="62" t="n">
        <v>0</v>
      </c>
      <c r="B2688" s="62" t="s">
        <v>388</v>
      </c>
      <c r="C2688" s="62" t="s">
        <v>60</v>
      </c>
      <c r="D2688" s="62" t="s">
        <v>72</v>
      </c>
      <c r="E2688" s="62" t="s">
        <v>382</v>
      </c>
      <c r="F2688" s="63" t="s">
        <v>640</v>
      </c>
      <c r="G2688" s="64" t="n">
        <v>5.85532973853825</v>
      </c>
      <c r="H2688" s="62" t="s">
        <v>138</v>
      </c>
    </row>
    <row r="2689" customFormat="false" ht="15" hidden="false" customHeight="false" outlineLevel="0" collapsed="false">
      <c r="A2689" s="62" t="n">
        <v>0</v>
      </c>
      <c r="B2689" s="62" t="s">
        <v>381</v>
      </c>
      <c r="C2689" s="62" t="s">
        <v>60</v>
      </c>
      <c r="D2689" s="62" t="s">
        <v>72</v>
      </c>
      <c r="E2689" s="62" t="s">
        <v>382</v>
      </c>
      <c r="F2689" s="63" t="s">
        <v>641</v>
      </c>
      <c r="G2689" s="64" t="n">
        <v>1.18957627484673</v>
      </c>
      <c r="H2689" s="62" t="s">
        <v>138</v>
      </c>
    </row>
    <row r="2690" customFormat="false" ht="15" hidden="false" customHeight="false" outlineLevel="0" collapsed="false">
      <c r="A2690" s="62" t="n">
        <v>0</v>
      </c>
      <c r="B2690" s="62" t="s">
        <v>383</v>
      </c>
      <c r="C2690" s="62" t="s">
        <v>60</v>
      </c>
      <c r="D2690" s="62" t="s">
        <v>72</v>
      </c>
      <c r="E2690" s="62" t="s">
        <v>382</v>
      </c>
      <c r="F2690" s="63" t="s">
        <v>641</v>
      </c>
      <c r="G2690" s="64" t="n">
        <v>1.18957627484673</v>
      </c>
      <c r="H2690" s="62" t="s">
        <v>138</v>
      </c>
    </row>
    <row r="2691" customFormat="false" ht="15" hidden="false" customHeight="false" outlineLevel="0" collapsed="false">
      <c r="A2691" s="62" t="n">
        <v>0</v>
      </c>
      <c r="B2691" s="62" t="s">
        <v>384</v>
      </c>
      <c r="C2691" s="62" t="s">
        <v>60</v>
      </c>
      <c r="D2691" s="62" t="s">
        <v>72</v>
      </c>
      <c r="E2691" s="62" t="s">
        <v>382</v>
      </c>
      <c r="F2691" s="63" t="s">
        <v>641</v>
      </c>
      <c r="G2691" s="64" t="n">
        <v>1.18957627484673</v>
      </c>
      <c r="H2691" s="62" t="s">
        <v>138</v>
      </c>
    </row>
    <row r="2692" customFormat="false" ht="15" hidden="false" customHeight="false" outlineLevel="0" collapsed="false">
      <c r="A2692" s="62" t="n">
        <v>0</v>
      </c>
      <c r="B2692" s="62" t="s">
        <v>385</v>
      </c>
      <c r="C2692" s="62" t="s">
        <v>60</v>
      </c>
      <c r="D2692" s="62" t="s">
        <v>72</v>
      </c>
      <c r="E2692" s="62" t="s">
        <v>382</v>
      </c>
      <c r="F2692" s="63" t="s">
        <v>641</v>
      </c>
      <c r="G2692" s="64" t="n">
        <v>1.18957627484673</v>
      </c>
      <c r="H2692" s="62" t="s">
        <v>138</v>
      </c>
    </row>
    <row r="2693" customFormat="false" ht="15" hidden="false" customHeight="false" outlineLevel="0" collapsed="false">
      <c r="A2693" s="62" t="n">
        <v>0</v>
      </c>
      <c r="B2693" s="62" t="s">
        <v>386</v>
      </c>
      <c r="C2693" s="62" t="s">
        <v>60</v>
      </c>
      <c r="D2693" s="62" t="s">
        <v>72</v>
      </c>
      <c r="E2693" s="62" t="s">
        <v>382</v>
      </c>
      <c r="F2693" s="63" t="s">
        <v>641</v>
      </c>
      <c r="G2693" s="64" t="n">
        <v>1.18957627484673</v>
      </c>
      <c r="H2693" s="62" t="s">
        <v>138</v>
      </c>
    </row>
    <row r="2694" customFormat="false" ht="15" hidden="false" customHeight="false" outlineLevel="0" collapsed="false">
      <c r="A2694" s="62" t="n">
        <v>0</v>
      </c>
      <c r="B2694" s="62" t="s">
        <v>387</v>
      </c>
      <c r="C2694" s="62" t="s">
        <v>60</v>
      </c>
      <c r="D2694" s="62" t="s">
        <v>72</v>
      </c>
      <c r="E2694" s="62" t="s">
        <v>382</v>
      </c>
      <c r="F2694" s="63" t="s">
        <v>641</v>
      </c>
      <c r="G2694" s="64" t="n">
        <v>1.18957627484673</v>
      </c>
      <c r="H2694" s="62" t="s">
        <v>138</v>
      </c>
    </row>
    <row r="2695" customFormat="false" ht="15" hidden="false" customHeight="false" outlineLevel="0" collapsed="false">
      <c r="A2695" s="62" t="n">
        <v>0</v>
      </c>
      <c r="B2695" s="62" t="s">
        <v>388</v>
      </c>
      <c r="C2695" s="62" t="s">
        <v>60</v>
      </c>
      <c r="D2695" s="62" t="s">
        <v>72</v>
      </c>
      <c r="E2695" s="62" t="s">
        <v>382</v>
      </c>
      <c r="F2695" s="63" t="s">
        <v>641</v>
      </c>
      <c r="G2695" s="64" t="n">
        <v>1.18957627484673</v>
      </c>
      <c r="H2695" s="62" t="s">
        <v>138</v>
      </c>
    </row>
    <row r="2696" customFormat="false" ht="15" hidden="false" customHeight="false" outlineLevel="0" collapsed="false">
      <c r="A2696" s="62" t="n">
        <v>0</v>
      </c>
      <c r="B2696" s="62" t="s">
        <v>381</v>
      </c>
      <c r="C2696" s="62" t="s">
        <v>60</v>
      </c>
      <c r="D2696" s="62" t="s">
        <v>72</v>
      </c>
      <c r="E2696" s="62" t="s">
        <v>382</v>
      </c>
      <c r="F2696" s="63" t="s">
        <v>642</v>
      </c>
      <c r="G2696" s="64" t="n">
        <v>8.7772134170624</v>
      </c>
      <c r="H2696" s="62" t="s">
        <v>138</v>
      </c>
    </row>
    <row r="2697" customFormat="false" ht="15" hidden="false" customHeight="false" outlineLevel="0" collapsed="false">
      <c r="A2697" s="62" t="n">
        <v>0</v>
      </c>
      <c r="B2697" s="62" t="s">
        <v>383</v>
      </c>
      <c r="C2697" s="62" t="s">
        <v>60</v>
      </c>
      <c r="D2697" s="62" t="s">
        <v>72</v>
      </c>
      <c r="E2697" s="62" t="s">
        <v>382</v>
      </c>
      <c r="F2697" s="63" t="s">
        <v>642</v>
      </c>
      <c r="G2697" s="64" t="n">
        <v>8.7772134170624</v>
      </c>
      <c r="H2697" s="62" t="s">
        <v>138</v>
      </c>
    </row>
    <row r="2698" customFormat="false" ht="15" hidden="false" customHeight="false" outlineLevel="0" collapsed="false">
      <c r="A2698" s="62" t="n">
        <v>0</v>
      </c>
      <c r="B2698" s="62" t="s">
        <v>384</v>
      </c>
      <c r="C2698" s="62" t="s">
        <v>60</v>
      </c>
      <c r="D2698" s="62" t="s">
        <v>72</v>
      </c>
      <c r="E2698" s="62" t="s">
        <v>382</v>
      </c>
      <c r="F2698" s="63" t="s">
        <v>642</v>
      </c>
      <c r="G2698" s="64" t="n">
        <v>8.7772134170624</v>
      </c>
      <c r="H2698" s="62" t="s">
        <v>138</v>
      </c>
    </row>
    <row r="2699" customFormat="false" ht="15" hidden="false" customHeight="false" outlineLevel="0" collapsed="false">
      <c r="A2699" s="62" t="n">
        <v>0</v>
      </c>
      <c r="B2699" s="62" t="s">
        <v>385</v>
      </c>
      <c r="C2699" s="62" t="s">
        <v>60</v>
      </c>
      <c r="D2699" s="62" t="s">
        <v>72</v>
      </c>
      <c r="E2699" s="62" t="s">
        <v>382</v>
      </c>
      <c r="F2699" s="63" t="s">
        <v>642</v>
      </c>
      <c r="G2699" s="64" t="n">
        <v>8.7772134170624</v>
      </c>
      <c r="H2699" s="62" t="s">
        <v>138</v>
      </c>
    </row>
    <row r="2700" customFormat="false" ht="15" hidden="false" customHeight="false" outlineLevel="0" collapsed="false">
      <c r="A2700" s="62" t="n">
        <v>0</v>
      </c>
      <c r="B2700" s="62" t="s">
        <v>386</v>
      </c>
      <c r="C2700" s="62" t="s">
        <v>60</v>
      </c>
      <c r="D2700" s="62" t="s">
        <v>72</v>
      </c>
      <c r="E2700" s="62" t="s">
        <v>382</v>
      </c>
      <c r="F2700" s="63" t="s">
        <v>642</v>
      </c>
      <c r="G2700" s="64" t="n">
        <v>8.7772134170624</v>
      </c>
      <c r="H2700" s="62" t="s">
        <v>138</v>
      </c>
    </row>
    <row r="2701" customFormat="false" ht="15" hidden="false" customHeight="false" outlineLevel="0" collapsed="false">
      <c r="A2701" s="62" t="n">
        <v>0</v>
      </c>
      <c r="B2701" s="62" t="s">
        <v>387</v>
      </c>
      <c r="C2701" s="62" t="s">
        <v>60</v>
      </c>
      <c r="D2701" s="62" t="s">
        <v>72</v>
      </c>
      <c r="E2701" s="62" t="s">
        <v>382</v>
      </c>
      <c r="F2701" s="63" t="s">
        <v>642</v>
      </c>
      <c r="G2701" s="64" t="n">
        <v>8.7772134170624</v>
      </c>
      <c r="H2701" s="62" t="s">
        <v>138</v>
      </c>
    </row>
    <row r="2702" customFormat="false" ht="15" hidden="false" customHeight="false" outlineLevel="0" collapsed="false">
      <c r="A2702" s="62" t="n">
        <v>0</v>
      </c>
      <c r="B2702" s="62" t="s">
        <v>388</v>
      </c>
      <c r="C2702" s="62" t="s">
        <v>60</v>
      </c>
      <c r="D2702" s="62" t="s">
        <v>72</v>
      </c>
      <c r="E2702" s="62" t="s">
        <v>382</v>
      </c>
      <c r="F2702" s="63" t="s">
        <v>642</v>
      </c>
      <c r="G2702" s="64" t="n">
        <v>8.7772134170624</v>
      </c>
      <c r="H2702" s="62" t="s">
        <v>138</v>
      </c>
    </row>
    <row r="2703" customFormat="false" ht="15" hidden="false" customHeight="false" outlineLevel="0" collapsed="false">
      <c r="A2703" s="62" t="n">
        <v>0</v>
      </c>
      <c r="B2703" s="62" t="s">
        <v>381</v>
      </c>
      <c r="C2703" s="62" t="s">
        <v>60</v>
      </c>
      <c r="D2703" s="62" t="s">
        <v>72</v>
      </c>
      <c r="E2703" s="62" t="s">
        <v>382</v>
      </c>
      <c r="F2703" s="63" t="s">
        <v>643</v>
      </c>
      <c r="G2703" s="64" t="n">
        <v>48492130.2016113</v>
      </c>
      <c r="H2703" s="62" t="s">
        <v>138</v>
      </c>
    </row>
    <row r="2704" customFormat="false" ht="15" hidden="false" customHeight="false" outlineLevel="0" collapsed="false">
      <c r="A2704" s="62" t="n">
        <v>0</v>
      </c>
      <c r="B2704" s="62" t="s">
        <v>383</v>
      </c>
      <c r="C2704" s="62" t="s">
        <v>60</v>
      </c>
      <c r="D2704" s="62" t="s">
        <v>72</v>
      </c>
      <c r="E2704" s="62" t="s">
        <v>382</v>
      </c>
      <c r="F2704" s="63" t="s">
        <v>643</v>
      </c>
      <c r="G2704" s="64" t="n">
        <v>48492130.2016113</v>
      </c>
      <c r="H2704" s="62" t="s">
        <v>138</v>
      </c>
    </row>
    <row r="2705" customFormat="false" ht="15" hidden="false" customHeight="false" outlineLevel="0" collapsed="false">
      <c r="A2705" s="62" t="n">
        <v>0</v>
      </c>
      <c r="B2705" s="62" t="s">
        <v>384</v>
      </c>
      <c r="C2705" s="62" t="s">
        <v>60</v>
      </c>
      <c r="D2705" s="62" t="s">
        <v>72</v>
      </c>
      <c r="E2705" s="62" t="s">
        <v>382</v>
      </c>
      <c r="F2705" s="63" t="s">
        <v>643</v>
      </c>
      <c r="G2705" s="64" t="n">
        <v>48492130.2016113</v>
      </c>
      <c r="H2705" s="62" t="s">
        <v>138</v>
      </c>
    </row>
    <row r="2706" customFormat="false" ht="15" hidden="false" customHeight="false" outlineLevel="0" collapsed="false">
      <c r="A2706" s="62" t="n">
        <v>0</v>
      </c>
      <c r="B2706" s="62" t="s">
        <v>385</v>
      </c>
      <c r="C2706" s="62" t="s">
        <v>60</v>
      </c>
      <c r="D2706" s="62" t="s">
        <v>72</v>
      </c>
      <c r="E2706" s="62" t="s">
        <v>382</v>
      </c>
      <c r="F2706" s="63" t="s">
        <v>643</v>
      </c>
      <c r="G2706" s="64" t="n">
        <v>48492130.2016113</v>
      </c>
      <c r="H2706" s="62" t="s">
        <v>138</v>
      </c>
    </row>
    <row r="2707" customFormat="false" ht="15" hidden="false" customHeight="false" outlineLevel="0" collapsed="false">
      <c r="A2707" s="62" t="n">
        <v>0</v>
      </c>
      <c r="B2707" s="62" t="s">
        <v>386</v>
      </c>
      <c r="C2707" s="62" t="s">
        <v>60</v>
      </c>
      <c r="D2707" s="62" t="s">
        <v>72</v>
      </c>
      <c r="E2707" s="62" t="s">
        <v>382</v>
      </c>
      <c r="F2707" s="63" t="s">
        <v>643</v>
      </c>
      <c r="G2707" s="64" t="n">
        <v>48492130.2016113</v>
      </c>
      <c r="H2707" s="62" t="s">
        <v>138</v>
      </c>
    </row>
    <row r="2708" customFormat="false" ht="15" hidden="false" customHeight="false" outlineLevel="0" collapsed="false">
      <c r="A2708" s="62" t="n">
        <v>0</v>
      </c>
      <c r="B2708" s="62" t="s">
        <v>387</v>
      </c>
      <c r="C2708" s="62" t="s">
        <v>60</v>
      </c>
      <c r="D2708" s="62" t="s">
        <v>72</v>
      </c>
      <c r="E2708" s="62" t="s">
        <v>382</v>
      </c>
      <c r="F2708" s="63" t="s">
        <v>643</v>
      </c>
      <c r="G2708" s="64" t="n">
        <v>48492130.2016113</v>
      </c>
      <c r="H2708" s="62" t="s">
        <v>138</v>
      </c>
    </row>
    <row r="2709" customFormat="false" ht="15" hidden="false" customHeight="false" outlineLevel="0" collapsed="false">
      <c r="A2709" s="62" t="n">
        <v>0</v>
      </c>
      <c r="B2709" s="62" t="s">
        <v>388</v>
      </c>
      <c r="C2709" s="62" t="s">
        <v>60</v>
      </c>
      <c r="D2709" s="62" t="s">
        <v>72</v>
      </c>
      <c r="E2709" s="62" t="s">
        <v>382</v>
      </c>
      <c r="F2709" s="63" t="s">
        <v>643</v>
      </c>
      <c r="G2709" s="64" t="n">
        <v>48492130.2016113</v>
      </c>
      <c r="H2709" s="62" t="s">
        <v>138</v>
      </c>
    </row>
    <row r="2710" customFormat="false" ht="15" hidden="false" customHeight="false" outlineLevel="0" collapsed="false">
      <c r="A2710" s="62" t="n">
        <v>0</v>
      </c>
      <c r="B2710" s="62" t="s">
        <v>381</v>
      </c>
      <c r="C2710" s="62" t="s">
        <v>60</v>
      </c>
      <c r="D2710" s="62" t="s">
        <v>72</v>
      </c>
      <c r="E2710" s="62" t="s">
        <v>382</v>
      </c>
      <c r="F2710" s="63" t="s">
        <v>644</v>
      </c>
      <c r="G2710" s="64" t="n">
        <v>4</v>
      </c>
      <c r="H2710" s="62" t="s">
        <v>138</v>
      </c>
    </row>
    <row r="2711" customFormat="false" ht="15" hidden="false" customHeight="false" outlineLevel="0" collapsed="false">
      <c r="A2711" s="62" t="n">
        <v>0</v>
      </c>
      <c r="B2711" s="62" t="s">
        <v>383</v>
      </c>
      <c r="C2711" s="62" t="s">
        <v>60</v>
      </c>
      <c r="D2711" s="62" t="s">
        <v>72</v>
      </c>
      <c r="E2711" s="62" t="s">
        <v>382</v>
      </c>
      <c r="F2711" s="63" t="s">
        <v>644</v>
      </c>
      <c r="G2711" s="64" t="n">
        <v>4</v>
      </c>
      <c r="H2711" s="62" t="s">
        <v>138</v>
      </c>
    </row>
    <row r="2712" customFormat="false" ht="15" hidden="false" customHeight="false" outlineLevel="0" collapsed="false">
      <c r="A2712" s="62" t="n">
        <v>0</v>
      </c>
      <c r="B2712" s="62" t="s">
        <v>384</v>
      </c>
      <c r="C2712" s="62" t="s">
        <v>60</v>
      </c>
      <c r="D2712" s="62" t="s">
        <v>72</v>
      </c>
      <c r="E2712" s="62" t="s">
        <v>382</v>
      </c>
      <c r="F2712" s="63" t="s">
        <v>644</v>
      </c>
      <c r="G2712" s="64" t="n">
        <v>4</v>
      </c>
      <c r="H2712" s="62" t="s">
        <v>138</v>
      </c>
    </row>
    <row r="2713" customFormat="false" ht="15" hidden="false" customHeight="false" outlineLevel="0" collapsed="false">
      <c r="A2713" s="62" t="n">
        <v>0</v>
      </c>
      <c r="B2713" s="62" t="s">
        <v>385</v>
      </c>
      <c r="C2713" s="62" t="s">
        <v>60</v>
      </c>
      <c r="D2713" s="62" t="s">
        <v>72</v>
      </c>
      <c r="E2713" s="62" t="s">
        <v>382</v>
      </c>
      <c r="F2713" s="63" t="s">
        <v>644</v>
      </c>
      <c r="G2713" s="64" t="n">
        <v>4</v>
      </c>
      <c r="H2713" s="62" t="s">
        <v>138</v>
      </c>
    </row>
    <row r="2714" customFormat="false" ht="15" hidden="false" customHeight="false" outlineLevel="0" collapsed="false">
      <c r="A2714" s="62" t="n">
        <v>0</v>
      </c>
      <c r="B2714" s="62" t="s">
        <v>386</v>
      </c>
      <c r="C2714" s="62" t="s">
        <v>60</v>
      </c>
      <c r="D2714" s="62" t="s">
        <v>72</v>
      </c>
      <c r="E2714" s="62" t="s">
        <v>382</v>
      </c>
      <c r="F2714" s="63" t="s">
        <v>644</v>
      </c>
      <c r="G2714" s="64" t="n">
        <v>4</v>
      </c>
      <c r="H2714" s="62" t="s">
        <v>138</v>
      </c>
    </row>
    <row r="2715" customFormat="false" ht="15" hidden="false" customHeight="false" outlineLevel="0" collapsed="false">
      <c r="A2715" s="62" t="n">
        <v>0</v>
      </c>
      <c r="B2715" s="62" t="s">
        <v>387</v>
      </c>
      <c r="C2715" s="62" t="s">
        <v>60</v>
      </c>
      <c r="D2715" s="62" t="s">
        <v>72</v>
      </c>
      <c r="E2715" s="62" t="s">
        <v>382</v>
      </c>
      <c r="F2715" s="63" t="s">
        <v>644</v>
      </c>
      <c r="G2715" s="64" t="n">
        <v>4</v>
      </c>
      <c r="H2715" s="62" t="s">
        <v>138</v>
      </c>
    </row>
    <row r="2716" customFormat="false" ht="15" hidden="false" customHeight="false" outlineLevel="0" collapsed="false">
      <c r="A2716" s="62" t="n">
        <v>0</v>
      </c>
      <c r="B2716" s="62" t="s">
        <v>388</v>
      </c>
      <c r="C2716" s="62" t="s">
        <v>60</v>
      </c>
      <c r="D2716" s="62" t="s">
        <v>72</v>
      </c>
      <c r="E2716" s="62" t="s">
        <v>382</v>
      </c>
      <c r="F2716" s="63" t="s">
        <v>644</v>
      </c>
      <c r="G2716" s="64" t="n">
        <v>4</v>
      </c>
      <c r="H2716" s="62" t="s">
        <v>138</v>
      </c>
    </row>
    <row r="2717" customFormat="false" ht="15" hidden="false" customHeight="false" outlineLevel="0" collapsed="false">
      <c r="A2717" s="62" t="n">
        <v>0</v>
      </c>
      <c r="B2717" s="62" t="s">
        <v>381</v>
      </c>
      <c r="C2717" s="62" t="s">
        <v>60</v>
      </c>
      <c r="D2717" s="62" t="s">
        <v>72</v>
      </c>
      <c r="E2717" s="62" t="s">
        <v>382</v>
      </c>
      <c r="F2717" s="63" t="s">
        <v>645</v>
      </c>
      <c r="G2717" s="64" t="n">
        <v>39489000</v>
      </c>
      <c r="H2717" s="62" t="s">
        <v>138</v>
      </c>
    </row>
    <row r="2718" customFormat="false" ht="15" hidden="false" customHeight="false" outlineLevel="0" collapsed="false">
      <c r="A2718" s="62" t="n">
        <v>0</v>
      </c>
      <c r="B2718" s="62" t="s">
        <v>383</v>
      </c>
      <c r="C2718" s="62" t="s">
        <v>60</v>
      </c>
      <c r="D2718" s="62" t="s">
        <v>72</v>
      </c>
      <c r="E2718" s="62" t="s">
        <v>382</v>
      </c>
      <c r="F2718" s="63" t="s">
        <v>645</v>
      </c>
      <c r="G2718" s="64" t="n">
        <v>39489000</v>
      </c>
      <c r="H2718" s="62" t="s">
        <v>138</v>
      </c>
    </row>
    <row r="2719" customFormat="false" ht="15" hidden="false" customHeight="false" outlineLevel="0" collapsed="false">
      <c r="A2719" s="62" t="n">
        <v>0</v>
      </c>
      <c r="B2719" s="62" t="s">
        <v>384</v>
      </c>
      <c r="C2719" s="62" t="s">
        <v>60</v>
      </c>
      <c r="D2719" s="62" t="s">
        <v>72</v>
      </c>
      <c r="E2719" s="62" t="s">
        <v>382</v>
      </c>
      <c r="F2719" s="63" t="s">
        <v>645</v>
      </c>
      <c r="G2719" s="64" t="n">
        <v>39489000</v>
      </c>
      <c r="H2719" s="62" t="s">
        <v>138</v>
      </c>
    </row>
    <row r="2720" customFormat="false" ht="15" hidden="false" customHeight="false" outlineLevel="0" collapsed="false">
      <c r="A2720" s="62" t="n">
        <v>0</v>
      </c>
      <c r="B2720" s="62" t="s">
        <v>385</v>
      </c>
      <c r="C2720" s="62" t="s">
        <v>60</v>
      </c>
      <c r="D2720" s="62" t="s">
        <v>72</v>
      </c>
      <c r="E2720" s="62" t="s">
        <v>382</v>
      </c>
      <c r="F2720" s="63" t="s">
        <v>645</v>
      </c>
      <c r="G2720" s="64" t="n">
        <v>39489000</v>
      </c>
      <c r="H2720" s="62" t="s">
        <v>138</v>
      </c>
    </row>
    <row r="2721" customFormat="false" ht="15" hidden="false" customHeight="false" outlineLevel="0" collapsed="false">
      <c r="A2721" s="62" t="n">
        <v>0</v>
      </c>
      <c r="B2721" s="62" t="s">
        <v>386</v>
      </c>
      <c r="C2721" s="62" t="s">
        <v>60</v>
      </c>
      <c r="D2721" s="62" t="s">
        <v>72</v>
      </c>
      <c r="E2721" s="62" t="s">
        <v>382</v>
      </c>
      <c r="F2721" s="63" t="s">
        <v>645</v>
      </c>
      <c r="G2721" s="64" t="n">
        <v>39489000</v>
      </c>
      <c r="H2721" s="62" t="s">
        <v>138</v>
      </c>
    </row>
    <row r="2722" customFormat="false" ht="15" hidden="false" customHeight="false" outlineLevel="0" collapsed="false">
      <c r="A2722" s="62" t="n">
        <v>0</v>
      </c>
      <c r="B2722" s="62" t="s">
        <v>387</v>
      </c>
      <c r="C2722" s="62" t="s">
        <v>60</v>
      </c>
      <c r="D2722" s="62" t="s">
        <v>72</v>
      </c>
      <c r="E2722" s="62" t="s">
        <v>382</v>
      </c>
      <c r="F2722" s="63" t="s">
        <v>645</v>
      </c>
      <c r="G2722" s="64" t="n">
        <v>39489000</v>
      </c>
      <c r="H2722" s="62" t="s">
        <v>138</v>
      </c>
    </row>
    <row r="2723" customFormat="false" ht="15" hidden="false" customHeight="false" outlineLevel="0" collapsed="false">
      <c r="A2723" s="62" t="n">
        <v>0</v>
      </c>
      <c r="B2723" s="62" t="s">
        <v>388</v>
      </c>
      <c r="C2723" s="62" t="s">
        <v>60</v>
      </c>
      <c r="D2723" s="62" t="s">
        <v>72</v>
      </c>
      <c r="E2723" s="62" t="s">
        <v>382</v>
      </c>
      <c r="F2723" s="63" t="s">
        <v>645</v>
      </c>
      <c r="G2723" s="64" t="n">
        <v>39489000</v>
      </c>
      <c r="H2723" s="62" t="s">
        <v>138</v>
      </c>
    </row>
    <row r="2724" customFormat="false" ht="15" hidden="false" customHeight="false" outlineLevel="0" collapsed="false">
      <c r="A2724" s="62" t="n">
        <v>0</v>
      </c>
      <c r="B2724" s="62" t="s">
        <v>381</v>
      </c>
      <c r="C2724" s="62" t="s">
        <v>60</v>
      </c>
      <c r="D2724" s="62" t="s">
        <v>72</v>
      </c>
      <c r="E2724" s="62" t="s">
        <v>382</v>
      </c>
      <c r="F2724" s="63" t="s">
        <v>646</v>
      </c>
      <c r="G2724" s="64" t="n">
        <v>157956000</v>
      </c>
      <c r="H2724" s="62" t="s">
        <v>138</v>
      </c>
    </row>
    <row r="2725" customFormat="false" ht="15" hidden="false" customHeight="false" outlineLevel="0" collapsed="false">
      <c r="A2725" s="62" t="n">
        <v>0</v>
      </c>
      <c r="B2725" s="62" t="s">
        <v>383</v>
      </c>
      <c r="C2725" s="62" t="s">
        <v>60</v>
      </c>
      <c r="D2725" s="62" t="s">
        <v>72</v>
      </c>
      <c r="E2725" s="62" t="s">
        <v>382</v>
      </c>
      <c r="F2725" s="63" t="s">
        <v>646</v>
      </c>
      <c r="G2725" s="64" t="n">
        <v>157956000</v>
      </c>
      <c r="H2725" s="62" t="s">
        <v>138</v>
      </c>
    </row>
    <row r="2726" customFormat="false" ht="15" hidden="false" customHeight="false" outlineLevel="0" collapsed="false">
      <c r="A2726" s="62" t="n">
        <v>0</v>
      </c>
      <c r="B2726" s="62" t="s">
        <v>384</v>
      </c>
      <c r="C2726" s="62" t="s">
        <v>60</v>
      </c>
      <c r="D2726" s="62" t="s">
        <v>72</v>
      </c>
      <c r="E2726" s="62" t="s">
        <v>382</v>
      </c>
      <c r="F2726" s="63" t="s">
        <v>646</v>
      </c>
      <c r="G2726" s="64" t="n">
        <v>157956000</v>
      </c>
      <c r="H2726" s="62" t="s">
        <v>138</v>
      </c>
    </row>
    <row r="2727" customFormat="false" ht="15" hidden="false" customHeight="false" outlineLevel="0" collapsed="false">
      <c r="A2727" s="62" t="n">
        <v>0</v>
      </c>
      <c r="B2727" s="62" t="s">
        <v>385</v>
      </c>
      <c r="C2727" s="62" t="s">
        <v>60</v>
      </c>
      <c r="D2727" s="62" t="s">
        <v>72</v>
      </c>
      <c r="E2727" s="62" t="s">
        <v>382</v>
      </c>
      <c r="F2727" s="63" t="s">
        <v>646</v>
      </c>
      <c r="G2727" s="64" t="n">
        <v>157956000</v>
      </c>
      <c r="H2727" s="62" t="s">
        <v>138</v>
      </c>
    </row>
    <row r="2728" customFormat="false" ht="15" hidden="false" customHeight="false" outlineLevel="0" collapsed="false">
      <c r="A2728" s="62" t="n">
        <v>0</v>
      </c>
      <c r="B2728" s="62" t="s">
        <v>386</v>
      </c>
      <c r="C2728" s="62" t="s">
        <v>60</v>
      </c>
      <c r="D2728" s="62" t="s">
        <v>72</v>
      </c>
      <c r="E2728" s="62" t="s">
        <v>382</v>
      </c>
      <c r="F2728" s="63" t="s">
        <v>646</v>
      </c>
      <c r="G2728" s="64" t="n">
        <v>157956000</v>
      </c>
      <c r="H2728" s="62" t="s">
        <v>138</v>
      </c>
    </row>
    <row r="2729" customFormat="false" ht="15" hidden="false" customHeight="false" outlineLevel="0" collapsed="false">
      <c r="A2729" s="62" t="n">
        <v>0</v>
      </c>
      <c r="B2729" s="62" t="s">
        <v>387</v>
      </c>
      <c r="C2729" s="62" t="s">
        <v>60</v>
      </c>
      <c r="D2729" s="62" t="s">
        <v>72</v>
      </c>
      <c r="E2729" s="62" t="s">
        <v>382</v>
      </c>
      <c r="F2729" s="63" t="s">
        <v>646</v>
      </c>
      <c r="G2729" s="64" t="n">
        <v>157956000</v>
      </c>
      <c r="H2729" s="62" t="s">
        <v>138</v>
      </c>
    </row>
    <row r="2730" customFormat="false" ht="15" hidden="false" customHeight="false" outlineLevel="0" collapsed="false">
      <c r="A2730" s="62" t="n">
        <v>0</v>
      </c>
      <c r="B2730" s="62" t="s">
        <v>388</v>
      </c>
      <c r="C2730" s="62" t="s">
        <v>60</v>
      </c>
      <c r="D2730" s="62" t="s">
        <v>72</v>
      </c>
      <c r="E2730" s="62" t="s">
        <v>382</v>
      </c>
      <c r="F2730" s="63" t="s">
        <v>646</v>
      </c>
      <c r="G2730" s="64" t="n">
        <v>157956000</v>
      </c>
      <c r="H2730" s="62" t="s">
        <v>138</v>
      </c>
    </row>
    <row r="2731" customFormat="false" ht="15" hidden="false" customHeight="false" outlineLevel="0" collapsed="false">
      <c r="A2731" s="62" t="n">
        <v>0</v>
      </c>
      <c r="B2731" s="62" t="s">
        <v>381</v>
      </c>
      <c r="C2731" s="62" t="s">
        <v>60</v>
      </c>
      <c r="D2731" s="62" t="s">
        <v>72</v>
      </c>
      <c r="E2731" s="62" t="s">
        <v>382</v>
      </c>
      <c r="F2731" s="63" t="s">
        <v>647</v>
      </c>
      <c r="G2731" s="64" t="n">
        <v>11.65</v>
      </c>
      <c r="H2731" s="62" t="s">
        <v>138</v>
      </c>
    </row>
    <row r="2732" customFormat="false" ht="15" hidden="false" customHeight="false" outlineLevel="0" collapsed="false">
      <c r="A2732" s="62" t="n">
        <v>0</v>
      </c>
      <c r="B2732" s="62" t="s">
        <v>383</v>
      </c>
      <c r="C2732" s="62" t="s">
        <v>60</v>
      </c>
      <c r="D2732" s="62" t="s">
        <v>72</v>
      </c>
      <c r="E2732" s="62" t="s">
        <v>382</v>
      </c>
      <c r="F2732" s="63" t="s">
        <v>647</v>
      </c>
      <c r="G2732" s="64" t="n">
        <v>11.65</v>
      </c>
      <c r="H2732" s="62" t="s">
        <v>138</v>
      </c>
    </row>
    <row r="2733" customFormat="false" ht="15" hidden="false" customHeight="false" outlineLevel="0" collapsed="false">
      <c r="A2733" s="62" t="n">
        <v>0</v>
      </c>
      <c r="B2733" s="62" t="s">
        <v>384</v>
      </c>
      <c r="C2733" s="62" t="s">
        <v>60</v>
      </c>
      <c r="D2733" s="62" t="s">
        <v>72</v>
      </c>
      <c r="E2733" s="62" t="s">
        <v>382</v>
      </c>
      <c r="F2733" s="63" t="s">
        <v>647</v>
      </c>
      <c r="G2733" s="64" t="n">
        <v>11.65</v>
      </c>
      <c r="H2733" s="62" t="s">
        <v>138</v>
      </c>
    </row>
    <row r="2734" customFormat="false" ht="15" hidden="false" customHeight="false" outlineLevel="0" collapsed="false">
      <c r="A2734" s="62" t="n">
        <v>0</v>
      </c>
      <c r="B2734" s="62" t="s">
        <v>385</v>
      </c>
      <c r="C2734" s="62" t="s">
        <v>60</v>
      </c>
      <c r="D2734" s="62" t="s">
        <v>72</v>
      </c>
      <c r="E2734" s="62" t="s">
        <v>382</v>
      </c>
      <c r="F2734" s="63" t="s">
        <v>647</v>
      </c>
      <c r="G2734" s="64" t="n">
        <v>11.65</v>
      </c>
      <c r="H2734" s="62" t="s">
        <v>138</v>
      </c>
    </row>
    <row r="2735" customFormat="false" ht="15" hidden="false" customHeight="false" outlineLevel="0" collapsed="false">
      <c r="A2735" s="62" t="n">
        <v>0</v>
      </c>
      <c r="B2735" s="62" t="s">
        <v>386</v>
      </c>
      <c r="C2735" s="62" t="s">
        <v>60</v>
      </c>
      <c r="D2735" s="62" t="s">
        <v>72</v>
      </c>
      <c r="E2735" s="62" t="s">
        <v>382</v>
      </c>
      <c r="F2735" s="63" t="s">
        <v>647</v>
      </c>
      <c r="G2735" s="64" t="n">
        <v>11.65</v>
      </c>
      <c r="H2735" s="62" t="s">
        <v>138</v>
      </c>
    </row>
    <row r="2736" customFormat="false" ht="15" hidden="false" customHeight="false" outlineLevel="0" collapsed="false">
      <c r="A2736" s="62" t="n">
        <v>0</v>
      </c>
      <c r="B2736" s="62" t="s">
        <v>387</v>
      </c>
      <c r="C2736" s="62" t="s">
        <v>60</v>
      </c>
      <c r="D2736" s="62" t="s">
        <v>72</v>
      </c>
      <c r="E2736" s="62" t="s">
        <v>382</v>
      </c>
      <c r="F2736" s="63" t="s">
        <v>647</v>
      </c>
      <c r="G2736" s="64" t="n">
        <v>11.65</v>
      </c>
      <c r="H2736" s="62" t="s">
        <v>138</v>
      </c>
    </row>
    <row r="2737" customFormat="false" ht="15" hidden="false" customHeight="false" outlineLevel="0" collapsed="false">
      <c r="A2737" s="62" t="n">
        <v>0</v>
      </c>
      <c r="B2737" s="62" t="s">
        <v>388</v>
      </c>
      <c r="C2737" s="62" t="s">
        <v>60</v>
      </c>
      <c r="D2737" s="62" t="s">
        <v>72</v>
      </c>
      <c r="E2737" s="62" t="s">
        <v>382</v>
      </c>
      <c r="F2737" s="63" t="s">
        <v>647</v>
      </c>
      <c r="G2737" s="64" t="n">
        <v>11.65</v>
      </c>
      <c r="H2737" s="62" t="s">
        <v>138</v>
      </c>
    </row>
    <row r="2738" customFormat="false" ht="15" hidden="false" customHeight="false" outlineLevel="0" collapsed="false">
      <c r="A2738" s="62" t="n">
        <v>0</v>
      </c>
      <c r="B2738" s="62" t="s">
        <v>381</v>
      </c>
      <c r="C2738" s="62" t="s">
        <v>60</v>
      </c>
      <c r="D2738" s="62" t="s">
        <v>72</v>
      </c>
      <c r="E2738" s="62" t="s">
        <v>382</v>
      </c>
      <c r="F2738" s="63" t="s">
        <v>648</v>
      </c>
      <c r="G2738" s="64" t="n">
        <v>4623144.99139401</v>
      </c>
      <c r="H2738" s="62" t="s">
        <v>138</v>
      </c>
    </row>
    <row r="2739" customFormat="false" ht="15" hidden="false" customHeight="false" outlineLevel="0" collapsed="false">
      <c r="A2739" s="62" t="n">
        <v>0</v>
      </c>
      <c r="B2739" s="62" t="s">
        <v>383</v>
      </c>
      <c r="C2739" s="62" t="s">
        <v>60</v>
      </c>
      <c r="D2739" s="62" t="s">
        <v>72</v>
      </c>
      <c r="E2739" s="62" t="s">
        <v>382</v>
      </c>
      <c r="F2739" s="63" t="s">
        <v>648</v>
      </c>
      <c r="G2739" s="64" t="n">
        <v>4623144.99139401</v>
      </c>
      <c r="H2739" s="62" t="s">
        <v>138</v>
      </c>
    </row>
    <row r="2740" customFormat="false" ht="15" hidden="false" customHeight="false" outlineLevel="0" collapsed="false">
      <c r="A2740" s="62" t="n">
        <v>0</v>
      </c>
      <c r="B2740" s="62" t="s">
        <v>384</v>
      </c>
      <c r="C2740" s="62" t="s">
        <v>60</v>
      </c>
      <c r="D2740" s="62" t="s">
        <v>72</v>
      </c>
      <c r="E2740" s="62" t="s">
        <v>382</v>
      </c>
      <c r="F2740" s="63" t="s">
        <v>648</v>
      </c>
      <c r="G2740" s="64" t="n">
        <v>4623144.99139401</v>
      </c>
      <c r="H2740" s="62" t="s">
        <v>138</v>
      </c>
    </row>
    <row r="2741" customFormat="false" ht="15" hidden="false" customHeight="false" outlineLevel="0" collapsed="false">
      <c r="A2741" s="62" t="n">
        <v>0</v>
      </c>
      <c r="B2741" s="62" t="s">
        <v>385</v>
      </c>
      <c r="C2741" s="62" t="s">
        <v>60</v>
      </c>
      <c r="D2741" s="62" t="s">
        <v>72</v>
      </c>
      <c r="E2741" s="62" t="s">
        <v>382</v>
      </c>
      <c r="F2741" s="63" t="s">
        <v>648</v>
      </c>
      <c r="G2741" s="64" t="n">
        <v>4623144.99139401</v>
      </c>
      <c r="H2741" s="62" t="s">
        <v>138</v>
      </c>
    </row>
    <row r="2742" customFormat="false" ht="15" hidden="false" customHeight="false" outlineLevel="0" collapsed="false">
      <c r="A2742" s="62" t="n">
        <v>0</v>
      </c>
      <c r="B2742" s="62" t="s">
        <v>386</v>
      </c>
      <c r="C2742" s="62" t="s">
        <v>60</v>
      </c>
      <c r="D2742" s="62" t="s">
        <v>72</v>
      </c>
      <c r="E2742" s="62" t="s">
        <v>382</v>
      </c>
      <c r="F2742" s="63" t="s">
        <v>648</v>
      </c>
      <c r="G2742" s="64" t="n">
        <v>4623144.99139401</v>
      </c>
      <c r="H2742" s="62" t="s">
        <v>138</v>
      </c>
    </row>
    <row r="2743" customFormat="false" ht="15" hidden="false" customHeight="false" outlineLevel="0" collapsed="false">
      <c r="A2743" s="62" t="n">
        <v>0</v>
      </c>
      <c r="B2743" s="62" t="s">
        <v>387</v>
      </c>
      <c r="C2743" s="62" t="s">
        <v>60</v>
      </c>
      <c r="D2743" s="62" t="s">
        <v>72</v>
      </c>
      <c r="E2743" s="62" t="s">
        <v>382</v>
      </c>
      <c r="F2743" s="63" t="s">
        <v>648</v>
      </c>
      <c r="G2743" s="64" t="n">
        <v>4623144.99139401</v>
      </c>
      <c r="H2743" s="62" t="s">
        <v>138</v>
      </c>
    </row>
    <row r="2744" customFormat="false" ht="15" hidden="false" customHeight="false" outlineLevel="0" collapsed="false">
      <c r="A2744" s="62" t="n">
        <v>0</v>
      </c>
      <c r="B2744" s="62" t="s">
        <v>388</v>
      </c>
      <c r="C2744" s="62" t="s">
        <v>60</v>
      </c>
      <c r="D2744" s="62" t="s">
        <v>72</v>
      </c>
      <c r="E2744" s="62" t="s">
        <v>382</v>
      </c>
      <c r="F2744" s="63" t="s">
        <v>648</v>
      </c>
      <c r="G2744" s="64" t="n">
        <v>4623144.99139401</v>
      </c>
      <c r="H2744" s="62" t="s">
        <v>138</v>
      </c>
    </row>
    <row r="2745" customFormat="false" ht="15" hidden="false" customHeight="false" outlineLevel="0" collapsed="false">
      <c r="A2745" s="62" t="n">
        <v>0</v>
      </c>
      <c r="B2745" s="62" t="s">
        <v>381</v>
      </c>
      <c r="C2745" s="62" t="s">
        <v>60</v>
      </c>
      <c r="D2745" s="62" t="s">
        <v>72</v>
      </c>
      <c r="E2745" s="62" t="s">
        <v>382</v>
      </c>
      <c r="F2745" s="63" t="s">
        <v>649</v>
      </c>
      <c r="G2745" s="64" t="n">
        <v>53859639.1497402</v>
      </c>
      <c r="H2745" s="62" t="s">
        <v>138</v>
      </c>
    </row>
    <row r="2746" customFormat="false" ht="15" hidden="false" customHeight="false" outlineLevel="0" collapsed="false">
      <c r="A2746" s="62" t="n">
        <v>0</v>
      </c>
      <c r="B2746" s="62" t="s">
        <v>383</v>
      </c>
      <c r="C2746" s="62" t="s">
        <v>60</v>
      </c>
      <c r="D2746" s="62" t="s">
        <v>72</v>
      </c>
      <c r="E2746" s="62" t="s">
        <v>382</v>
      </c>
      <c r="F2746" s="63" t="s">
        <v>649</v>
      </c>
      <c r="G2746" s="64" t="n">
        <v>53859639.1497402</v>
      </c>
      <c r="H2746" s="62" t="s">
        <v>138</v>
      </c>
    </row>
    <row r="2747" customFormat="false" ht="15" hidden="false" customHeight="false" outlineLevel="0" collapsed="false">
      <c r="A2747" s="62" t="n">
        <v>0</v>
      </c>
      <c r="B2747" s="62" t="s">
        <v>384</v>
      </c>
      <c r="C2747" s="62" t="s">
        <v>60</v>
      </c>
      <c r="D2747" s="62" t="s">
        <v>72</v>
      </c>
      <c r="E2747" s="62" t="s">
        <v>382</v>
      </c>
      <c r="F2747" s="63" t="s">
        <v>649</v>
      </c>
      <c r="G2747" s="64" t="n">
        <v>53859639.1497402</v>
      </c>
      <c r="H2747" s="62" t="s">
        <v>138</v>
      </c>
    </row>
    <row r="2748" customFormat="false" ht="15" hidden="false" customHeight="false" outlineLevel="0" collapsed="false">
      <c r="A2748" s="62" t="n">
        <v>0</v>
      </c>
      <c r="B2748" s="62" t="s">
        <v>385</v>
      </c>
      <c r="C2748" s="62" t="s">
        <v>60</v>
      </c>
      <c r="D2748" s="62" t="s">
        <v>72</v>
      </c>
      <c r="E2748" s="62" t="s">
        <v>382</v>
      </c>
      <c r="F2748" s="63" t="s">
        <v>649</v>
      </c>
      <c r="G2748" s="64" t="n">
        <v>53859639.1497402</v>
      </c>
      <c r="H2748" s="62" t="s">
        <v>138</v>
      </c>
    </row>
    <row r="2749" customFormat="false" ht="15" hidden="false" customHeight="false" outlineLevel="0" collapsed="false">
      <c r="A2749" s="62" t="n">
        <v>0</v>
      </c>
      <c r="B2749" s="62" t="s">
        <v>386</v>
      </c>
      <c r="C2749" s="62" t="s">
        <v>60</v>
      </c>
      <c r="D2749" s="62" t="s">
        <v>72</v>
      </c>
      <c r="E2749" s="62" t="s">
        <v>382</v>
      </c>
      <c r="F2749" s="63" t="s">
        <v>649</v>
      </c>
      <c r="G2749" s="64" t="n">
        <v>53859639.1497402</v>
      </c>
      <c r="H2749" s="62" t="s">
        <v>138</v>
      </c>
    </row>
    <row r="2750" customFormat="false" ht="15" hidden="false" customHeight="false" outlineLevel="0" collapsed="false">
      <c r="A2750" s="62" t="n">
        <v>0</v>
      </c>
      <c r="B2750" s="62" t="s">
        <v>387</v>
      </c>
      <c r="C2750" s="62" t="s">
        <v>60</v>
      </c>
      <c r="D2750" s="62" t="s">
        <v>72</v>
      </c>
      <c r="E2750" s="62" t="s">
        <v>382</v>
      </c>
      <c r="F2750" s="63" t="s">
        <v>649</v>
      </c>
      <c r="G2750" s="64" t="n">
        <v>53859639.1497402</v>
      </c>
      <c r="H2750" s="62" t="s">
        <v>138</v>
      </c>
    </row>
    <row r="2751" customFormat="false" ht="15" hidden="false" customHeight="false" outlineLevel="0" collapsed="false">
      <c r="A2751" s="62" t="n">
        <v>0</v>
      </c>
      <c r="B2751" s="62" t="s">
        <v>388</v>
      </c>
      <c r="C2751" s="62" t="s">
        <v>60</v>
      </c>
      <c r="D2751" s="62" t="s">
        <v>72</v>
      </c>
      <c r="E2751" s="62" t="s">
        <v>382</v>
      </c>
      <c r="F2751" s="63" t="s">
        <v>649</v>
      </c>
      <c r="G2751" s="64" t="n">
        <v>53859639.1497402</v>
      </c>
      <c r="H2751" s="62" t="s">
        <v>138</v>
      </c>
    </row>
    <row r="2752" customFormat="false" ht="15" hidden="false" customHeight="false" outlineLevel="0" collapsed="false">
      <c r="A2752" s="62" t="n">
        <v>0</v>
      </c>
      <c r="B2752" s="62" t="s">
        <v>381</v>
      </c>
      <c r="C2752" s="62" t="s">
        <v>60</v>
      </c>
      <c r="D2752" s="62" t="s">
        <v>72</v>
      </c>
      <c r="E2752" s="62" t="s">
        <v>382</v>
      </c>
      <c r="F2752" s="63" t="s">
        <v>650</v>
      </c>
      <c r="G2752" s="64" t="n">
        <v>14.63</v>
      </c>
      <c r="H2752" s="62" t="s">
        <v>138</v>
      </c>
    </row>
    <row r="2753" customFormat="false" ht="15" hidden="false" customHeight="false" outlineLevel="0" collapsed="false">
      <c r="A2753" s="62" t="n">
        <v>0</v>
      </c>
      <c r="B2753" s="62" t="s">
        <v>383</v>
      </c>
      <c r="C2753" s="62" t="s">
        <v>60</v>
      </c>
      <c r="D2753" s="62" t="s">
        <v>72</v>
      </c>
      <c r="E2753" s="62" t="s">
        <v>382</v>
      </c>
      <c r="F2753" s="63" t="s">
        <v>650</v>
      </c>
      <c r="G2753" s="64" t="n">
        <v>14.63</v>
      </c>
      <c r="H2753" s="62" t="s">
        <v>138</v>
      </c>
    </row>
    <row r="2754" customFormat="false" ht="15" hidden="false" customHeight="false" outlineLevel="0" collapsed="false">
      <c r="A2754" s="62" t="n">
        <v>0</v>
      </c>
      <c r="B2754" s="62" t="s">
        <v>384</v>
      </c>
      <c r="C2754" s="62" t="s">
        <v>60</v>
      </c>
      <c r="D2754" s="62" t="s">
        <v>72</v>
      </c>
      <c r="E2754" s="62" t="s">
        <v>382</v>
      </c>
      <c r="F2754" s="63" t="s">
        <v>650</v>
      </c>
      <c r="G2754" s="64" t="n">
        <v>14.63</v>
      </c>
      <c r="H2754" s="62" t="s">
        <v>138</v>
      </c>
    </row>
    <row r="2755" customFormat="false" ht="15" hidden="false" customHeight="false" outlineLevel="0" collapsed="false">
      <c r="A2755" s="62" t="n">
        <v>0</v>
      </c>
      <c r="B2755" s="62" t="s">
        <v>385</v>
      </c>
      <c r="C2755" s="62" t="s">
        <v>60</v>
      </c>
      <c r="D2755" s="62" t="s">
        <v>72</v>
      </c>
      <c r="E2755" s="62" t="s">
        <v>382</v>
      </c>
      <c r="F2755" s="63" t="s">
        <v>650</v>
      </c>
      <c r="G2755" s="64" t="n">
        <v>14.63</v>
      </c>
      <c r="H2755" s="62" t="s">
        <v>138</v>
      </c>
    </row>
    <row r="2756" customFormat="false" ht="15" hidden="false" customHeight="false" outlineLevel="0" collapsed="false">
      <c r="A2756" s="62" t="n">
        <v>0</v>
      </c>
      <c r="B2756" s="62" t="s">
        <v>386</v>
      </c>
      <c r="C2756" s="62" t="s">
        <v>60</v>
      </c>
      <c r="D2756" s="62" t="s">
        <v>72</v>
      </c>
      <c r="E2756" s="62" t="s">
        <v>382</v>
      </c>
      <c r="F2756" s="63" t="s">
        <v>650</v>
      </c>
      <c r="G2756" s="64" t="n">
        <v>14.63</v>
      </c>
      <c r="H2756" s="62" t="s">
        <v>138</v>
      </c>
    </row>
    <row r="2757" customFormat="false" ht="15" hidden="false" customHeight="false" outlineLevel="0" collapsed="false">
      <c r="A2757" s="62" t="n">
        <v>0</v>
      </c>
      <c r="B2757" s="62" t="s">
        <v>387</v>
      </c>
      <c r="C2757" s="62" t="s">
        <v>60</v>
      </c>
      <c r="D2757" s="62" t="s">
        <v>72</v>
      </c>
      <c r="E2757" s="62" t="s">
        <v>382</v>
      </c>
      <c r="F2757" s="63" t="s">
        <v>650</v>
      </c>
      <c r="G2757" s="64" t="n">
        <v>14.63</v>
      </c>
      <c r="H2757" s="62" t="s">
        <v>138</v>
      </c>
    </row>
    <row r="2758" customFormat="false" ht="15" hidden="false" customHeight="false" outlineLevel="0" collapsed="false">
      <c r="A2758" s="62" t="n">
        <v>0</v>
      </c>
      <c r="B2758" s="62" t="s">
        <v>388</v>
      </c>
      <c r="C2758" s="62" t="s">
        <v>60</v>
      </c>
      <c r="D2758" s="62" t="s">
        <v>72</v>
      </c>
      <c r="E2758" s="62" t="s">
        <v>382</v>
      </c>
      <c r="F2758" s="63" t="s">
        <v>650</v>
      </c>
      <c r="G2758" s="64" t="n">
        <v>14.63</v>
      </c>
      <c r="H2758" s="62" t="s">
        <v>138</v>
      </c>
    </row>
    <row r="2759" customFormat="false" ht="15" hidden="false" customHeight="false" outlineLevel="0" collapsed="false">
      <c r="A2759" s="62" t="n">
        <v>0</v>
      </c>
      <c r="B2759" s="62" t="s">
        <v>381</v>
      </c>
      <c r="C2759" s="62" t="s">
        <v>60</v>
      </c>
      <c r="D2759" s="62" t="s">
        <v>72</v>
      </c>
      <c r="E2759" s="62" t="s">
        <v>382</v>
      </c>
      <c r="F2759" s="63" t="s">
        <v>651</v>
      </c>
      <c r="G2759" s="64" t="n">
        <v>3420011.19139401</v>
      </c>
      <c r="H2759" s="62" t="s">
        <v>138</v>
      </c>
    </row>
    <row r="2760" customFormat="false" ht="15" hidden="false" customHeight="false" outlineLevel="0" collapsed="false">
      <c r="A2760" s="62" t="n">
        <v>0</v>
      </c>
      <c r="B2760" s="62" t="s">
        <v>383</v>
      </c>
      <c r="C2760" s="62" t="s">
        <v>60</v>
      </c>
      <c r="D2760" s="62" t="s">
        <v>72</v>
      </c>
      <c r="E2760" s="62" t="s">
        <v>382</v>
      </c>
      <c r="F2760" s="63" t="s">
        <v>651</v>
      </c>
      <c r="G2760" s="64" t="n">
        <v>3420011.19139401</v>
      </c>
      <c r="H2760" s="62" t="s">
        <v>138</v>
      </c>
    </row>
    <row r="2761" customFormat="false" ht="15" hidden="false" customHeight="false" outlineLevel="0" collapsed="false">
      <c r="A2761" s="62" t="n">
        <v>0</v>
      </c>
      <c r="B2761" s="62" t="s">
        <v>384</v>
      </c>
      <c r="C2761" s="62" t="s">
        <v>60</v>
      </c>
      <c r="D2761" s="62" t="s">
        <v>72</v>
      </c>
      <c r="E2761" s="62" t="s">
        <v>382</v>
      </c>
      <c r="F2761" s="63" t="s">
        <v>651</v>
      </c>
      <c r="G2761" s="64" t="n">
        <v>3420011.19139401</v>
      </c>
      <c r="H2761" s="62" t="s">
        <v>138</v>
      </c>
    </row>
    <row r="2762" customFormat="false" ht="15" hidden="false" customHeight="false" outlineLevel="0" collapsed="false">
      <c r="A2762" s="62" t="n">
        <v>0</v>
      </c>
      <c r="B2762" s="62" t="s">
        <v>385</v>
      </c>
      <c r="C2762" s="62" t="s">
        <v>60</v>
      </c>
      <c r="D2762" s="62" t="s">
        <v>72</v>
      </c>
      <c r="E2762" s="62" t="s">
        <v>382</v>
      </c>
      <c r="F2762" s="63" t="s">
        <v>651</v>
      </c>
      <c r="G2762" s="64" t="n">
        <v>3420011.19139401</v>
      </c>
      <c r="H2762" s="62" t="s">
        <v>138</v>
      </c>
    </row>
    <row r="2763" customFormat="false" ht="15" hidden="false" customHeight="false" outlineLevel="0" collapsed="false">
      <c r="A2763" s="62" t="n">
        <v>0</v>
      </c>
      <c r="B2763" s="62" t="s">
        <v>386</v>
      </c>
      <c r="C2763" s="62" t="s">
        <v>60</v>
      </c>
      <c r="D2763" s="62" t="s">
        <v>72</v>
      </c>
      <c r="E2763" s="62" t="s">
        <v>382</v>
      </c>
      <c r="F2763" s="63" t="s">
        <v>651</v>
      </c>
      <c r="G2763" s="64" t="n">
        <v>3420011.19139401</v>
      </c>
      <c r="H2763" s="62" t="s">
        <v>138</v>
      </c>
    </row>
    <row r="2764" customFormat="false" ht="15" hidden="false" customHeight="false" outlineLevel="0" collapsed="false">
      <c r="A2764" s="62" t="n">
        <v>0</v>
      </c>
      <c r="B2764" s="62" t="s">
        <v>387</v>
      </c>
      <c r="C2764" s="62" t="s">
        <v>60</v>
      </c>
      <c r="D2764" s="62" t="s">
        <v>72</v>
      </c>
      <c r="E2764" s="62" t="s">
        <v>382</v>
      </c>
      <c r="F2764" s="63" t="s">
        <v>651</v>
      </c>
      <c r="G2764" s="64" t="n">
        <v>3420011.19139401</v>
      </c>
      <c r="H2764" s="62" t="s">
        <v>138</v>
      </c>
    </row>
    <row r="2765" customFormat="false" ht="15" hidden="false" customHeight="false" outlineLevel="0" collapsed="false">
      <c r="A2765" s="62" t="n">
        <v>0</v>
      </c>
      <c r="B2765" s="62" t="s">
        <v>388</v>
      </c>
      <c r="C2765" s="62" t="s">
        <v>60</v>
      </c>
      <c r="D2765" s="62" t="s">
        <v>72</v>
      </c>
      <c r="E2765" s="62" t="s">
        <v>382</v>
      </c>
      <c r="F2765" s="63" t="s">
        <v>651</v>
      </c>
      <c r="G2765" s="64" t="n">
        <v>3420011.19139401</v>
      </c>
      <c r="H2765" s="62" t="s">
        <v>138</v>
      </c>
    </row>
    <row r="2766" customFormat="false" ht="15" hidden="false" customHeight="false" outlineLevel="0" collapsed="false">
      <c r="A2766" s="62" t="n">
        <v>0</v>
      </c>
      <c r="B2766" s="62" t="s">
        <v>381</v>
      </c>
      <c r="C2766" s="62" t="s">
        <v>60</v>
      </c>
      <c r="D2766" s="62" t="s">
        <v>72</v>
      </c>
      <c r="E2766" s="62" t="s">
        <v>382</v>
      </c>
      <c r="F2766" s="63" t="s">
        <v>652</v>
      </c>
      <c r="G2766" s="64" t="n">
        <v>50034763.7300943</v>
      </c>
      <c r="H2766" s="62" t="s">
        <v>138</v>
      </c>
    </row>
    <row r="2767" customFormat="false" ht="15" hidden="false" customHeight="false" outlineLevel="0" collapsed="false">
      <c r="A2767" s="62" t="n">
        <v>0</v>
      </c>
      <c r="B2767" s="62" t="s">
        <v>383</v>
      </c>
      <c r="C2767" s="62" t="s">
        <v>60</v>
      </c>
      <c r="D2767" s="62" t="s">
        <v>72</v>
      </c>
      <c r="E2767" s="62" t="s">
        <v>382</v>
      </c>
      <c r="F2767" s="63" t="s">
        <v>652</v>
      </c>
      <c r="G2767" s="64" t="n">
        <v>50034763.7300943</v>
      </c>
      <c r="H2767" s="62" t="s">
        <v>138</v>
      </c>
    </row>
    <row r="2768" customFormat="false" ht="15" hidden="false" customHeight="false" outlineLevel="0" collapsed="false">
      <c r="A2768" s="62" t="n">
        <v>0</v>
      </c>
      <c r="B2768" s="62" t="s">
        <v>384</v>
      </c>
      <c r="C2768" s="62" t="s">
        <v>60</v>
      </c>
      <c r="D2768" s="62" t="s">
        <v>72</v>
      </c>
      <c r="E2768" s="62" t="s">
        <v>382</v>
      </c>
      <c r="F2768" s="63" t="s">
        <v>652</v>
      </c>
      <c r="G2768" s="64" t="n">
        <v>50034763.7300943</v>
      </c>
      <c r="H2768" s="62" t="s">
        <v>138</v>
      </c>
    </row>
    <row r="2769" customFormat="false" ht="15" hidden="false" customHeight="false" outlineLevel="0" collapsed="false">
      <c r="A2769" s="62" t="n">
        <v>0</v>
      </c>
      <c r="B2769" s="62" t="s">
        <v>385</v>
      </c>
      <c r="C2769" s="62" t="s">
        <v>60</v>
      </c>
      <c r="D2769" s="62" t="s">
        <v>72</v>
      </c>
      <c r="E2769" s="62" t="s">
        <v>382</v>
      </c>
      <c r="F2769" s="63" t="s">
        <v>652</v>
      </c>
      <c r="G2769" s="64" t="n">
        <v>50034763.7300943</v>
      </c>
      <c r="H2769" s="62" t="s">
        <v>138</v>
      </c>
    </row>
    <row r="2770" customFormat="false" ht="15" hidden="false" customHeight="false" outlineLevel="0" collapsed="false">
      <c r="A2770" s="62" t="n">
        <v>0</v>
      </c>
      <c r="B2770" s="62" t="s">
        <v>386</v>
      </c>
      <c r="C2770" s="62" t="s">
        <v>60</v>
      </c>
      <c r="D2770" s="62" t="s">
        <v>72</v>
      </c>
      <c r="E2770" s="62" t="s">
        <v>382</v>
      </c>
      <c r="F2770" s="63" t="s">
        <v>652</v>
      </c>
      <c r="G2770" s="64" t="n">
        <v>50034763.7300943</v>
      </c>
      <c r="H2770" s="62" t="s">
        <v>138</v>
      </c>
    </row>
    <row r="2771" customFormat="false" ht="15" hidden="false" customHeight="false" outlineLevel="0" collapsed="false">
      <c r="A2771" s="62" t="n">
        <v>0</v>
      </c>
      <c r="B2771" s="62" t="s">
        <v>387</v>
      </c>
      <c r="C2771" s="62" t="s">
        <v>60</v>
      </c>
      <c r="D2771" s="62" t="s">
        <v>72</v>
      </c>
      <c r="E2771" s="62" t="s">
        <v>382</v>
      </c>
      <c r="F2771" s="63" t="s">
        <v>652</v>
      </c>
      <c r="G2771" s="64" t="n">
        <v>50034763.7300943</v>
      </c>
      <c r="H2771" s="62" t="s">
        <v>138</v>
      </c>
    </row>
    <row r="2772" customFormat="false" ht="15" hidden="false" customHeight="false" outlineLevel="0" collapsed="false">
      <c r="A2772" s="62" t="n">
        <v>0</v>
      </c>
      <c r="B2772" s="62" t="s">
        <v>388</v>
      </c>
      <c r="C2772" s="62" t="s">
        <v>60</v>
      </c>
      <c r="D2772" s="62" t="s">
        <v>72</v>
      </c>
      <c r="E2772" s="62" t="s">
        <v>382</v>
      </c>
      <c r="F2772" s="63" t="s">
        <v>652</v>
      </c>
      <c r="G2772" s="64" t="n">
        <v>50034763.7300943</v>
      </c>
      <c r="H2772" s="62" t="s">
        <v>138</v>
      </c>
    </row>
    <row r="2773" customFormat="false" ht="15" hidden="false" customHeight="false" outlineLevel="0" collapsed="false">
      <c r="A2773" s="62" t="n">
        <v>0</v>
      </c>
      <c r="B2773" s="62" t="s">
        <v>381</v>
      </c>
      <c r="C2773" s="62" t="s">
        <v>60</v>
      </c>
      <c r="D2773" s="62" t="s">
        <v>72</v>
      </c>
      <c r="E2773" s="62" t="s">
        <v>382</v>
      </c>
      <c r="F2773" s="63" t="s">
        <v>653</v>
      </c>
      <c r="G2773" s="64" t="n">
        <v>17.3</v>
      </c>
      <c r="H2773" s="62" t="s">
        <v>138</v>
      </c>
    </row>
    <row r="2774" customFormat="false" ht="15" hidden="false" customHeight="false" outlineLevel="0" collapsed="false">
      <c r="A2774" s="62" t="n">
        <v>0</v>
      </c>
      <c r="B2774" s="62" t="s">
        <v>383</v>
      </c>
      <c r="C2774" s="62" t="s">
        <v>60</v>
      </c>
      <c r="D2774" s="62" t="s">
        <v>72</v>
      </c>
      <c r="E2774" s="62" t="s">
        <v>382</v>
      </c>
      <c r="F2774" s="63" t="s">
        <v>653</v>
      </c>
      <c r="G2774" s="64" t="n">
        <v>17.3</v>
      </c>
      <c r="H2774" s="62" t="s">
        <v>138</v>
      </c>
    </row>
    <row r="2775" customFormat="false" ht="15" hidden="false" customHeight="false" outlineLevel="0" collapsed="false">
      <c r="A2775" s="62" t="n">
        <v>0</v>
      </c>
      <c r="B2775" s="62" t="s">
        <v>384</v>
      </c>
      <c r="C2775" s="62" t="s">
        <v>60</v>
      </c>
      <c r="D2775" s="62" t="s">
        <v>72</v>
      </c>
      <c r="E2775" s="62" t="s">
        <v>382</v>
      </c>
      <c r="F2775" s="63" t="s">
        <v>653</v>
      </c>
      <c r="G2775" s="64" t="n">
        <v>17.3</v>
      </c>
      <c r="H2775" s="62" t="s">
        <v>138</v>
      </c>
    </row>
    <row r="2776" customFormat="false" ht="15" hidden="false" customHeight="false" outlineLevel="0" collapsed="false">
      <c r="A2776" s="62" t="n">
        <v>0</v>
      </c>
      <c r="B2776" s="62" t="s">
        <v>385</v>
      </c>
      <c r="C2776" s="62" t="s">
        <v>60</v>
      </c>
      <c r="D2776" s="62" t="s">
        <v>72</v>
      </c>
      <c r="E2776" s="62" t="s">
        <v>382</v>
      </c>
      <c r="F2776" s="63" t="s">
        <v>653</v>
      </c>
      <c r="G2776" s="64" t="n">
        <v>17.3</v>
      </c>
      <c r="H2776" s="62" t="s">
        <v>138</v>
      </c>
    </row>
    <row r="2777" customFormat="false" ht="15" hidden="false" customHeight="false" outlineLevel="0" collapsed="false">
      <c r="A2777" s="62" t="n">
        <v>0</v>
      </c>
      <c r="B2777" s="62" t="s">
        <v>386</v>
      </c>
      <c r="C2777" s="62" t="s">
        <v>60</v>
      </c>
      <c r="D2777" s="62" t="s">
        <v>72</v>
      </c>
      <c r="E2777" s="62" t="s">
        <v>382</v>
      </c>
      <c r="F2777" s="63" t="s">
        <v>653</v>
      </c>
      <c r="G2777" s="64" t="n">
        <v>17.3</v>
      </c>
      <c r="H2777" s="62" t="s">
        <v>138</v>
      </c>
    </row>
    <row r="2778" customFormat="false" ht="15" hidden="false" customHeight="false" outlineLevel="0" collapsed="false">
      <c r="A2778" s="62" t="n">
        <v>0</v>
      </c>
      <c r="B2778" s="62" t="s">
        <v>387</v>
      </c>
      <c r="C2778" s="62" t="s">
        <v>60</v>
      </c>
      <c r="D2778" s="62" t="s">
        <v>72</v>
      </c>
      <c r="E2778" s="62" t="s">
        <v>382</v>
      </c>
      <c r="F2778" s="63" t="s">
        <v>653</v>
      </c>
      <c r="G2778" s="64" t="n">
        <v>17.3</v>
      </c>
      <c r="H2778" s="62" t="s">
        <v>138</v>
      </c>
    </row>
    <row r="2779" customFormat="false" ht="15" hidden="false" customHeight="false" outlineLevel="0" collapsed="false">
      <c r="A2779" s="62" t="n">
        <v>0</v>
      </c>
      <c r="B2779" s="62" t="s">
        <v>388</v>
      </c>
      <c r="C2779" s="62" t="s">
        <v>60</v>
      </c>
      <c r="D2779" s="62" t="s">
        <v>72</v>
      </c>
      <c r="E2779" s="62" t="s">
        <v>382</v>
      </c>
      <c r="F2779" s="63" t="s">
        <v>653</v>
      </c>
      <c r="G2779" s="64" t="n">
        <v>17.3</v>
      </c>
      <c r="H2779" s="62" t="s">
        <v>138</v>
      </c>
    </row>
    <row r="2780" customFormat="false" ht="15" hidden="false" customHeight="false" outlineLevel="0" collapsed="false">
      <c r="A2780" s="62" t="n">
        <v>0</v>
      </c>
      <c r="B2780" s="62" t="s">
        <v>381</v>
      </c>
      <c r="C2780" s="62" t="s">
        <v>60</v>
      </c>
      <c r="D2780" s="62" t="s">
        <v>72</v>
      </c>
      <c r="E2780" s="62" t="s">
        <v>382</v>
      </c>
      <c r="F2780" s="63" t="s">
        <v>654</v>
      </c>
      <c r="G2780" s="64" t="n">
        <v>2764326.91917418</v>
      </c>
      <c r="H2780" s="62" t="s">
        <v>138</v>
      </c>
    </row>
    <row r="2781" customFormat="false" ht="15" hidden="false" customHeight="false" outlineLevel="0" collapsed="false">
      <c r="A2781" s="62" t="n">
        <v>0</v>
      </c>
      <c r="B2781" s="62" t="s">
        <v>383</v>
      </c>
      <c r="C2781" s="62" t="s">
        <v>60</v>
      </c>
      <c r="D2781" s="62" t="s">
        <v>72</v>
      </c>
      <c r="E2781" s="62" t="s">
        <v>382</v>
      </c>
      <c r="F2781" s="63" t="s">
        <v>654</v>
      </c>
      <c r="G2781" s="64" t="n">
        <v>2764326.91917418</v>
      </c>
      <c r="H2781" s="62" t="s">
        <v>138</v>
      </c>
    </row>
    <row r="2782" customFormat="false" ht="15" hidden="false" customHeight="false" outlineLevel="0" collapsed="false">
      <c r="A2782" s="62" t="n">
        <v>0</v>
      </c>
      <c r="B2782" s="62" t="s">
        <v>384</v>
      </c>
      <c r="C2782" s="62" t="s">
        <v>60</v>
      </c>
      <c r="D2782" s="62" t="s">
        <v>72</v>
      </c>
      <c r="E2782" s="62" t="s">
        <v>382</v>
      </c>
      <c r="F2782" s="63" t="s">
        <v>654</v>
      </c>
      <c r="G2782" s="64" t="n">
        <v>2764326.91917418</v>
      </c>
      <c r="H2782" s="62" t="s">
        <v>138</v>
      </c>
    </row>
    <row r="2783" customFormat="false" ht="15" hidden="false" customHeight="false" outlineLevel="0" collapsed="false">
      <c r="A2783" s="62" t="n">
        <v>0</v>
      </c>
      <c r="B2783" s="62" t="s">
        <v>385</v>
      </c>
      <c r="C2783" s="62" t="s">
        <v>60</v>
      </c>
      <c r="D2783" s="62" t="s">
        <v>72</v>
      </c>
      <c r="E2783" s="62" t="s">
        <v>382</v>
      </c>
      <c r="F2783" s="63" t="s">
        <v>654</v>
      </c>
      <c r="G2783" s="64" t="n">
        <v>2764326.91917418</v>
      </c>
      <c r="H2783" s="62" t="s">
        <v>138</v>
      </c>
    </row>
    <row r="2784" customFormat="false" ht="15" hidden="false" customHeight="false" outlineLevel="0" collapsed="false">
      <c r="A2784" s="62" t="n">
        <v>0</v>
      </c>
      <c r="B2784" s="62" t="s">
        <v>386</v>
      </c>
      <c r="C2784" s="62" t="s">
        <v>60</v>
      </c>
      <c r="D2784" s="62" t="s">
        <v>72</v>
      </c>
      <c r="E2784" s="62" t="s">
        <v>382</v>
      </c>
      <c r="F2784" s="63" t="s">
        <v>654</v>
      </c>
      <c r="G2784" s="64" t="n">
        <v>2764326.91917418</v>
      </c>
      <c r="H2784" s="62" t="s">
        <v>138</v>
      </c>
    </row>
    <row r="2785" customFormat="false" ht="15" hidden="false" customHeight="false" outlineLevel="0" collapsed="false">
      <c r="A2785" s="62" t="n">
        <v>0</v>
      </c>
      <c r="B2785" s="62" t="s">
        <v>387</v>
      </c>
      <c r="C2785" s="62" t="s">
        <v>60</v>
      </c>
      <c r="D2785" s="62" t="s">
        <v>72</v>
      </c>
      <c r="E2785" s="62" t="s">
        <v>382</v>
      </c>
      <c r="F2785" s="63" t="s">
        <v>654</v>
      </c>
      <c r="G2785" s="64" t="n">
        <v>2764326.91917418</v>
      </c>
      <c r="H2785" s="62" t="s">
        <v>138</v>
      </c>
    </row>
    <row r="2786" customFormat="false" ht="15" hidden="false" customHeight="false" outlineLevel="0" collapsed="false">
      <c r="A2786" s="62" t="n">
        <v>0</v>
      </c>
      <c r="B2786" s="62" t="s">
        <v>388</v>
      </c>
      <c r="C2786" s="62" t="s">
        <v>60</v>
      </c>
      <c r="D2786" s="62" t="s">
        <v>72</v>
      </c>
      <c r="E2786" s="62" t="s">
        <v>382</v>
      </c>
      <c r="F2786" s="63" t="s">
        <v>654</v>
      </c>
      <c r="G2786" s="64" t="n">
        <v>2764326.91917418</v>
      </c>
      <c r="H2786" s="62" t="s">
        <v>138</v>
      </c>
    </row>
    <row r="2787" customFormat="false" ht="15" hidden="false" customHeight="false" outlineLevel="0" collapsed="false">
      <c r="A2787" s="62" t="n">
        <v>0</v>
      </c>
      <c r="B2787" s="62" t="s">
        <v>381</v>
      </c>
      <c r="C2787" s="62" t="s">
        <v>60</v>
      </c>
      <c r="D2787" s="62" t="s">
        <v>72</v>
      </c>
      <c r="E2787" s="62" t="s">
        <v>382</v>
      </c>
      <c r="F2787" s="63" t="s">
        <v>655</v>
      </c>
      <c r="G2787" s="64" t="n">
        <v>47822855.7017134</v>
      </c>
      <c r="H2787" s="62" t="s">
        <v>138</v>
      </c>
    </row>
    <row r="2788" customFormat="false" ht="15" hidden="false" customHeight="false" outlineLevel="0" collapsed="false">
      <c r="A2788" s="62" t="n">
        <v>0</v>
      </c>
      <c r="B2788" s="62" t="s">
        <v>383</v>
      </c>
      <c r="C2788" s="62" t="s">
        <v>60</v>
      </c>
      <c r="D2788" s="62" t="s">
        <v>72</v>
      </c>
      <c r="E2788" s="62" t="s">
        <v>382</v>
      </c>
      <c r="F2788" s="63" t="s">
        <v>655</v>
      </c>
      <c r="G2788" s="64" t="n">
        <v>47822855.7017134</v>
      </c>
      <c r="H2788" s="62" t="s">
        <v>138</v>
      </c>
    </row>
    <row r="2789" customFormat="false" ht="15" hidden="false" customHeight="false" outlineLevel="0" collapsed="false">
      <c r="A2789" s="62" t="n">
        <v>0</v>
      </c>
      <c r="B2789" s="62" t="s">
        <v>384</v>
      </c>
      <c r="C2789" s="62" t="s">
        <v>60</v>
      </c>
      <c r="D2789" s="62" t="s">
        <v>72</v>
      </c>
      <c r="E2789" s="62" t="s">
        <v>382</v>
      </c>
      <c r="F2789" s="63" t="s">
        <v>655</v>
      </c>
      <c r="G2789" s="64" t="n">
        <v>47822855.7017134</v>
      </c>
      <c r="H2789" s="62" t="s">
        <v>138</v>
      </c>
    </row>
    <row r="2790" customFormat="false" ht="15" hidden="false" customHeight="false" outlineLevel="0" collapsed="false">
      <c r="A2790" s="62" t="n">
        <v>0</v>
      </c>
      <c r="B2790" s="62" t="s">
        <v>385</v>
      </c>
      <c r="C2790" s="62" t="s">
        <v>60</v>
      </c>
      <c r="D2790" s="62" t="s">
        <v>72</v>
      </c>
      <c r="E2790" s="62" t="s">
        <v>382</v>
      </c>
      <c r="F2790" s="63" t="s">
        <v>655</v>
      </c>
      <c r="G2790" s="64" t="n">
        <v>47822855.7017134</v>
      </c>
      <c r="H2790" s="62" t="s">
        <v>138</v>
      </c>
    </row>
    <row r="2791" customFormat="false" ht="15" hidden="false" customHeight="false" outlineLevel="0" collapsed="false">
      <c r="A2791" s="62" t="n">
        <v>0</v>
      </c>
      <c r="B2791" s="62" t="s">
        <v>386</v>
      </c>
      <c r="C2791" s="62" t="s">
        <v>60</v>
      </c>
      <c r="D2791" s="62" t="s">
        <v>72</v>
      </c>
      <c r="E2791" s="62" t="s">
        <v>382</v>
      </c>
      <c r="F2791" s="63" t="s">
        <v>655</v>
      </c>
      <c r="G2791" s="64" t="n">
        <v>47822855.7017134</v>
      </c>
      <c r="H2791" s="62" t="s">
        <v>138</v>
      </c>
    </row>
    <row r="2792" customFormat="false" ht="15" hidden="false" customHeight="false" outlineLevel="0" collapsed="false">
      <c r="A2792" s="62" t="n">
        <v>0</v>
      </c>
      <c r="B2792" s="62" t="s">
        <v>387</v>
      </c>
      <c r="C2792" s="62" t="s">
        <v>60</v>
      </c>
      <c r="D2792" s="62" t="s">
        <v>72</v>
      </c>
      <c r="E2792" s="62" t="s">
        <v>382</v>
      </c>
      <c r="F2792" s="63" t="s">
        <v>655</v>
      </c>
      <c r="G2792" s="64" t="n">
        <v>47822855.7017134</v>
      </c>
      <c r="H2792" s="62" t="s">
        <v>138</v>
      </c>
    </row>
    <row r="2793" customFormat="false" ht="15" hidden="false" customHeight="false" outlineLevel="0" collapsed="false">
      <c r="A2793" s="62" t="n">
        <v>0</v>
      </c>
      <c r="B2793" s="62" t="s">
        <v>388</v>
      </c>
      <c r="C2793" s="62" t="s">
        <v>60</v>
      </c>
      <c r="D2793" s="62" t="s">
        <v>72</v>
      </c>
      <c r="E2793" s="62" t="s">
        <v>382</v>
      </c>
      <c r="F2793" s="63" t="s">
        <v>655</v>
      </c>
      <c r="G2793" s="64" t="n">
        <v>47822855.7017134</v>
      </c>
      <c r="H2793" s="62" t="s">
        <v>138</v>
      </c>
    </row>
    <row r="2794" customFormat="false" ht="15" hidden="false" customHeight="false" outlineLevel="0" collapsed="false">
      <c r="A2794" s="62" t="n">
        <v>0</v>
      </c>
      <c r="B2794" s="62" t="s">
        <v>381</v>
      </c>
      <c r="C2794" s="62" t="s">
        <v>60</v>
      </c>
      <c r="D2794" s="62" t="s">
        <v>72</v>
      </c>
      <c r="E2794" s="62" t="s">
        <v>382</v>
      </c>
      <c r="F2794" s="63" t="s">
        <v>656</v>
      </c>
      <c r="G2794" s="64" t="s">
        <v>474</v>
      </c>
      <c r="H2794" s="62" t="s">
        <v>138</v>
      </c>
    </row>
    <row r="2795" customFormat="false" ht="15" hidden="false" customHeight="false" outlineLevel="0" collapsed="false">
      <c r="A2795" s="62" t="n">
        <v>0</v>
      </c>
      <c r="B2795" s="62" t="s">
        <v>383</v>
      </c>
      <c r="C2795" s="62" t="s">
        <v>60</v>
      </c>
      <c r="D2795" s="62" t="s">
        <v>72</v>
      </c>
      <c r="E2795" s="62" t="s">
        <v>382</v>
      </c>
      <c r="F2795" s="63" t="s">
        <v>656</v>
      </c>
      <c r="G2795" s="64" t="s">
        <v>474</v>
      </c>
      <c r="H2795" s="62" t="s">
        <v>138</v>
      </c>
    </row>
    <row r="2796" customFormat="false" ht="15" hidden="false" customHeight="false" outlineLevel="0" collapsed="false">
      <c r="A2796" s="62" t="n">
        <v>0</v>
      </c>
      <c r="B2796" s="62" t="s">
        <v>384</v>
      </c>
      <c r="C2796" s="62" t="s">
        <v>60</v>
      </c>
      <c r="D2796" s="62" t="s">
        <v>72</v>
      </c>
      <c r="E2796" s="62" t="s">
        <v>382</v>
      </c>
      <c r="F2796" s="63" t="s">
        <v>656</v>
      </c>
      <c r="G2796" s="64" t="s">
        <v>474</v>
      </c>
      <c r="H2796" s="62" t="s">
        <v>138</v>
      </c>
    </row>
    <row r="2797" customFormat="false" ht="15" hidden="false" customHeight="false" outlineLevel="0" collapsed="false">
      <c r="A2797" s="62" t="n">
        <v>0</v>
      </c>
      <c r="B2797" s="62" t="s">
        <v>385</v>
      </c>
      <c r="C2797" s="62" t="s">
        <v>60</v>
      </c>
      <c r="D2797" s="62" t="s">
        <v>72</v>
      </c>
      <c r="E2797" s="62" t="s">
        <v>382</v>
      </c>
      <c r="F2797" s="63" t="s">
        <v>656</v>
      </c>
      <c r="G2797" s="64" t="s">
        <v>474</v>
      </c>
      <c r="H2797" s="62" t="s">
        <v>138</v>
      </c>
    </row>
    <row r="2798" customFormat="false" ht="15" hidden="false" customHeight="false" outlineLevel="0" collapsed="false">
      <c r="A2798" s="62" t="n">
        <v>0</v>
      </c>
      <c r="B2798" s="62" t="s">
        <v>386</v>
      </c>
      <c r="C2798" s="62" t="s">
        <v>60</v>
      </c>
      <c r="D2798" s="62" t="s">
        <v>72</v>
      </c>
      <c r="E2798" s="62" t="s">
        <v>382</v>
      </c>
      <c r="F2798" s="63" t="s">
        <v>656</v>
      </c>
      <c r="G2798" s="64" t="s">
        <v>474</v>
      </c>
      <c r="H2798" s="62" t="s">
        <v>138</v>
      </c>
    </row>
    <row r="2799" customFormat="false" ht="15" hidden="false" customHeight="false" outlineLevel="0" collapsed="false">
      <c r="A2799" s="62" t="n">
        <v>0</v>
      </c>
      <c r="B2799" s="62" t="s">
        <v>387</v>
      </c>
      <c r="C2799" s="62" t="s">
        <v>60</v>
      </c>
      <c r="D2799" s="62" t="s">
        <v>72</v>
      </c>
      <c r="E2799" s="62" t="s">
        <v>382</v>
      </c>
      <c r="F2799" s="63" t="s">
        <v>656</v>
      </c>
      <c r="G2799" s="64" t="s">
        <v>474</v>
      </c>
      <c r="H2799" s="62" t="s">
        <v>138</v>
      </c>
    </row>
    <row r="2800" customFormat="false" ht="15" hidden="false" customHeight="false" outlineLevel="0" collapsed="false">
      <c r="A2800" s="62" t="n">
        <v>0</v>
      </c>
      <c r="B2800" s="62" t="s">
        <v>388</v>
      </c>
      <c r="C2800" s="62" t="s">
        <v>60</v>
      </c>
      <c r="D2800" s="62" t="s">
        <v>72</v>
      </c>
      <c r="E2800" s="62" t="s">
        <v>382</v>
      </c>
      <c r="F2800" s="63" t="s">
        <v>656</v>
      </c>
      <c r="G2800" s="64" t="s">
        <v>474</v>
      </c>
      <c r="H2800" s="62" t="s">
        <v>138</v>
      </c>
    </row>
    <row r="2801" customFormat="false" ht="15" hidden="false" customHeight="false" outlineLevel="0" collapsed="false">
      <c r="A2801" s="62" t="n">
        <v>0</v>
      </c>
      <c r="B2801" s="62" t="s">
        <v>381</v>
      </c>
      <c r="C2801" s="62" t="s">
        <v>60</v>
      </c>
      <c r="D2801" s="62" t="s">
        <v>72</v>
      </c>
      <c r="E2801" s="62" t="s">
        <v>382</v>
      </c>
      <c r="F2801" s="63" t="s">
        <v>657</v>
      </c>
      <c r="G2801" s="64" t="n">
        <v>34086620.85931</v>
      </c>
      <c r="H2801" s="62" t="s">
        <v>138</v>
      </c>
    </row>
    <row r="2802" customFormat="false" ht="15" hidden="false" customHeight="false" outlineLevel="0" collapsed="false">
      <c r="A2802" s="62" t="n">
        <v>0</v>
      </c>
      <c r="B2802" s="62" t="s">
        <v>383</v>
      </c>
      <c r="C2802" s="62" t="s">
        <v>60</v>
      </c>
      <c r="D2802" s="62" t="s">
        <v>72</v>
      </c>
      <c r="E2802" s="62" t="s">
        <v>382</v>
      </c>
      <c r="F2802" s="63" t="s">
        <v>657</v>
      </c>
      <c r="G2802" s="64" t="n">
        <v>34086620.85931</v>
      </c>
      <c r="H2802" s="62" t="s">
        <v>138</v>
      </c>
    </row>
    <row r="2803" customFormat="false" ht="15" hidden="false" customHeight="false" outlineLevel="0" collapsed="false">
      <c r="A2803" s="62" t="n">
        <v>0</v>
      </c>
      <c r="B2803" s="62" t="s">
        <v>384</v>
      </c>
      <c r="C2803" s="62" t="s">
        <v>60</v>
      </c>
      <c r="D2803" s="62" t="s">
        <v>72</v>
      </c>
      <c r="E2803" s="62" t="s">
        <v>382</v>
      </c>
      <c r="F2803" s="63" t="s">
        <v>657</v>
      </c>
      <c r="G2803" s="64" t="n">
        <v>34086620.85931</v>
      </c>
      <c r="H2803" s="62" t="s">
        <v>138</v>
      </c>
    </row>
    <row r="2804" customFormat="false" ht="15" hidden="false" customHeight="false" outlineLevel="0" collapsed="false">
      <c r="A2804" s="62" t="n">
        <v>0</v>
      </c>
      <c r="B2804" s="62" t="s">
        <v>385</v>
      </c>
      <c r="C2804" s="62" t="s">
        <v>60</v>
      </c>
      <c r="D2804" s="62" t="s">
        <v>72</v>
      </c>
      <c r="E2804" s="62" t="s">
        <v>382</v>
      </c>
      <c r="F2804" s="63" t="s">
        <v>657</v>
      </c>
      <c r="G2804" s="64" t="n">
        <v>34086620.85931</v>
      </c>
      <c r="H2804" s="62" t="s">
        <v>138</v>
      </c>
    </row>
    <row r="2805" customFormat="false" ht="15" hidden="false" customHeight="false" outlineLevel="0" collapsed="false">
      <c r="A2805" s="62" t="n">
        <v>0</v>
      </c>
      <c r="B2805" s="62" t="s">
        <v>386</v>
      </c>
      <c r="C2805" s="62" t="s">
        <v>60</v>
      </c>
      <c r="D2805" s="62" t="s">
        <v>72</v>
      </c>
      <c r="E2805" s="62" t="s">
        <v>382</v>
      </c>
      <c r="F2805" s="63" t="s">
        <v>657</v>
      </c>
      <c r="G2805" s="64" t="n">
        <v>34086620.85931</v>
      </c>
      <c r="H2805" s="62" t="s">
        <v>138</v>
      </c>
    </row>
    <row r="2806" customFormat="false" ht="15" hidden="false" customHeight="false" outlineLevel="0" collapsed="false">
      <c r="A2806" s="62" t="n">
        <v>0</v>
      </c>
      <c r="B2806" s="62" t="s">
        <v>387</v>
      </c>
      <c r="C2806" s="62" t="s">
        <v>60</v>
      </c>
      <c r="D2806" s="62" t="s">
        <v>72</v>
      </c>
      <c r="E2806" s="62" t="s">
        <v>382</v>
      </c>
      <c r="F2806" s="63" t="s">
        <v>657</v>
      </c>
      <c r="G2806" s="64" t="n">
        <v>34086620.85931</v>
      </c>
      <c r="H2806" s="62" t="s">
        <v>138</v>
      </c>
    </row>
    <row r="2807" customFormat="false" ht="15" hidden="false" customHeight="false" outlineLevel="0" collapsed="false">
      <c r="A2807" s="62" t="n">
        <v>0</v>
      </c>
      <c r="B2807" s="62" t="s">
        <v>388</v>
      </c>
      <c r="C2807" s="62" t="s">
        <v>60</v>
      </c>
      <c r="D2807" s="62" t="s">
        <v>72</v>
      </c>
      <c r="E2807" s="62" t="s">
        <v>382</v>
      </c>
      <c r="F2807" s="63" t="s">
        <v>657</v>
      </c>
      <c r="G2807" s="64" t="n">
        <v>34086620.85931</v>
      </c>
      <c r="H2807" s="62" t="s">
        <v>138</v>
      </c>
    </row>
    <row r="2808" customFormat="false" ht="15" hidden="false" customHeight="false" outlineLevel="0" collapsed="false">
      <c r="A2808" s="62" t="n">
        <v>0</v>
      </c>
      <c r="B2808" s="62" t="s">
        <v>381</v>
      </c>
      <c r="C2808" s="62" t="s">
        <v>60</v>
      </c>
      <c r="D2808" s="62" t="s">
        <v>72</v>
      </c>
      <c r="E2808" s="62" t="s">
        <v>382</v>
      </c>
      <c r="F2808" s="63" t="s">
        <v>658</v>
      </c>
      <c r="G2808" s="64" t="n">
        <v>9272082.78533571</v>
      </c>
      <c r="H2808" s="62" t="s">
        <v>138</v>
      </c>
    </row>
    <row r="2809" customFormat="false" ht="15" hidden="false" customHeight="false" outlineLevel="0" collapsed="false">
      <c r="A2809" s="62" t="n">
        <v>0</v>
      </c>
      <c r="B2809" s="62" t="s">
        <v>383</v>
      </c>
      <c r="C2809" s="62" t="s">
        <v>60</v>
      </c>
      <c r="D2809" s="62" t="s">
        <v>72</v>
      </c>
      <c r="E2809" s="62" t="s">
        <v>382</v>
      </c>
      <c r="F2809" s="63" t="s">
        <v>658</v>
      </c>
      <c r="G2809" s="64" t="n">
        <v>9272082.78533571</v>
      </c>
      <c r="H2809" s="62" t="s">
        <v>138</v>
      </c>
    </row>
    <row r="2810" customFormat="false" ht="15" hidden="false" customHeight="false" outlineLevel="0" collapsed="false">
      <c r="A2810" s="62" t="n">
        <v>0</v>
      </c>
      <c r="B2810" s="62" t="s">
        <v>384</v>
      </c>
      <c r="C2810" s="62" t="s">
        <v>60</v>
      </c>
      <c r="D2810" s="62" t="s">
        <v>72</v>
      </c>
      <c r="E2810" s="62" t="s">
        <v>382</v>
      </c>
      <c r="F2810" s="63" t="s">
        <v>658</v>
      </c>
      <c r="G2810" s="64" t="n">
        <v>9272082.78533571</v>
      </c>
      <c r="H2810" s="62" t="s">
        <v>138</v>
      </c>
    </row>
    <row r="2811" customFormat="false" ht="15" hidden="false" customHeight="false" outlineLevel="0" collapsed="false">
      <c r="A2811" s="62" t="n">
        <v>0</v>
      </c>
      <c r="B2811" s="62" t="s">
        <v>385</v>
      </c>
      <c r="C2811" s="62" t="s">
        <v>60</v>
      </c>
      <c r="D2811" s="62" t="s">
        <v>72</v>
      </c>
      <c r="E2811" s="62" t="s">
        <v>382</v>
      </c>
      <c r="F2811" s="63" t="s">
        <v>658</v>
      </c>
      <c r="G2811" s="64" t="n">
        <v>9272082.78533571</v>
      </c>
      <c r="H2811" s="62" t="s">
        <v>138</v>
      </c>
    </row>
    <row r="2812" customFormat="false" ht="15" hidden="false" customHeight="false" outlineLevel="0" collapsed="false">
      <c r="A2812" s="62" t="n">
        <v>0</v>
      </c>
      <c r="B2812" s="62" t="s">
        <v>386</v>
      </c>
      <c r="C2812" s="62" t="s">
        <v>60</v>
      </c>
      <c r="D2812" s="62" t="s">
        <v>72</v>
      </c>
      <c r="E2812" s="62" t="s">
        <v>382</v>
      </c>
      <c r="F2812" s="63" t="s">
        <v>658</v>
      </c>
      <c r="G2812" s="64" t="n">
        <v>9272082.78533571</v>
      </c>
      <c r="H2812" s="62" t="s">
        <v>138</v>
      </c>
    </row>
    <row r="2813" customFormat="false" ht="15" hidden="false" customHeight="false" outlineLevel="0" collapsed="false">
      <c r="A2813" s="62" t="n">
        <v>0</v>
      </c>
      <c r="B2813" s="62" t="s">
        <v>387</v>
      </c>
      <c r="C2813" s="62" t="s">
        <v>60</v>
      </c>
      <c r="D2813" s="62" t="s">
        <v>72</v>
      </c>
      <c r="E2813" s="62" t="s">
        <v>382</v>
      </c>
      <c r="F2813" s="63" t="s">
        <v>658</v>
      </c>
      <c r="G2813" s="64" t="n">
        <v>9272082.78533571</v>
      </c>
      <c r="H2813" s="62" t="s">
        <v>138</v>
      </c>
    </row>
    <row r="2814" customFormat="false" ht="15" hidden="false" customHeight="false" outlineLevel="0" collapsed="false">
      <c r="A2814" s="62" t="n">
        <v>0</v>
      </c>
      <c r="B2814" s="62" t="s">
        <v>388</v>
      </c>
      <c r="C2814" s="62" t="s">
        <v>60</v>
      </c>
      <c r="D2814" s="62" t="s">
        <v>72</v>
      </c>
      <c r="E2814" s="62" t="s">
        <v>382</v>
      </c>
      <c r="F2814" s="63" t="s">
        <v>658</v>
      </c>
      <c r="G2814" s="64" t="n">
        <v>9272082.78533571</v>
      </c>
      <c r="H2814" s="62" t="s">
        <v>138</v>
      </c>
    </row>
    <row r="2815" customFormat="false" ht="15" hidden="false" customHeight="false" outlineLevel="0" collapsed="false">
      <c r="A2815" s="62" t="n">
        <v>0</v>
      </c>
      <c r="B2815" s="62" t="s">
        <v>381</v>
      </c>
      <c r="C2815" s="62" t="s">
        <v>60</v>
      </c>
      <c r="D2815" s="62" t="s">
        <v>72</v>
      </c>
      <c r="E2815" s="62" t="s">
        <v>382</v>
      </c>
      <c r="F2815" s="63" t="s">
        <v>659</v>
      </c>
      <c r="G2815" s="64" t="n">
        <v>-11436012.699169</v>
      </c>
      <c r="H2815" s="62" t="s">
        <v>138</v>
      </c>
    </row>
    <row r="2816" customFormat="false" ht="15" hidden="false" customHeight="false" outlineLevel="0" collapsed="false">
      <c r="A2816" s="62" t="n">
        <v>0</v>
      </c>
      <c r="B2816" s="62" t="s">
        <v>383</v>
      </c>
      <c r="C2816" s="62" t="s">
        <v>60</v>
      </c>
      <c r="D2816" s="62" t="s">
        <v>72</v>
      </c>
      <c r="E2816" s="62" t="s">
        <v>382</v>
      </c>
      <c r="F2816" s="63" t="s">
        <v>659</v>
      </c>
      <c r="G2816" s="64" t="n">
        <v>-11436012.699169</v>
      </c>
      <c r="H2816" s="62" t="s">
        <v>138</v>
      </c>
    </row>
    <row r="2817" customFormat="false" ht="15" hidden="false" customHeight="false" outlineLevel="0" collapsed="false">
      <c r="A2817" s="62" t="n">
        <v>0</v>
      </c>
      <c r="B2817" s="62" t="s">
        <v>384</v>
      </c>
      <c r="C2817" s="62" t="s">
        <v>60</v>
      </c>
      <c r="D2817" s="62" t="s">
        <v>72</v>
      </c>
      <c r="E2817" s="62" t="s">
        <v>382</v>
      </c>
      <c r="F2817" s="63" t="s">
        <v>659</v>
      </c>
      <c r="G2817" s="64" t="n">
        <v>-11436012.699169</v>
      </c>
      <c r="H2817" s="62" t="s">
        <v>138</v>
      </c>
    </row>
    <row r="2818" customFormat="false" ht="15" hidden="false" customHeight="false" outlineLevel="0" collapsed="false">
      <c r="A2818" s="62" t="n">
        <v>0</v>
      </c>
      <c r="B2818" s="62" t="s">
        <v>385</v>
      </c>
      <c r="C2818" s="62" t="s">
        <v>60</v>
      </c>
      <c r="D2818" s="62" t="s">
        <v>72</v>
      </c>
      <c r="E2818" s="62" t="s">
        <v>382</v>
      </c>
      <c r="F2818" s="63" t="s">
        <v>659</v>
      </c>
      <c r="G2818" s="64" t="n">
        <v>-11436012.699169</v>
      </c>
      <c r="H2818" s="62" t="s">
        <v>138</v>
      </c>
    </row>
    <row r="2819" customFormat="false" ht="15" hidden="false" customHeight="false" outlineLevel="0" collapsed="false">
      <c r="A2819" s="62" t="n">
        <v>0</v>
      </c>
      <c r="B2819" s="62" t="s">
        <v>386</v>
      </c>
      <c r="C2819" s="62" t="s">
        <v>60</v>
      </c>
      <c r="D2819" s="62" t="s">
        <v>72</v>
      </c>
      <c r="E2819" s="62" t="s">
        <v>382</v>
      </c>
      <c r="F2819" s="63" t="s">
        <v>659</v>
      </c>
      <c r="G2819" s="64" t="n">
        <v>-11436012.699169</v>
      </c>
      <c r="H2819" s="62" t="s">
        <v>138</v>
      </c>
    </row>
    <row r="2820" customFormat="false" ht="15" hidden="false" customHeight="false" outlineLevel="0" collapsed="false">
      <c r="A2820" s="62" t="n">
        <v>0</v>
      </c>
      <c r="B2820" s="62" t="s">
        <v>387</v>
      </c>
      <c r="C2820" s="62" t="s">
        <v>60</v>
      </c>
      <c r="D2820" s="62" t="s">
        <v>72</v>
      </c>
      <c r="E2820" s="62" t="s">
        <v>382</v>
      </c>
      <c r="F2820" s="63" t="s">
        <v>659</v>
      </c>
      <c r="G2820" s="64" t="n">
        <v>-11436012.699169</v>
      </c>
      <c r="H2820" s="62" t="s">
        <v>138</v>
      </c>
    </row>
    <row r="2821" customFormat="false" ht="15" hidden="false" customHeight="false" outlineLevel="0" collapsed="false">
      <c r="A2821" s="62" t="n">
        <v>0</v>
      </c>
      <c r="B2821" s="62" t="s">
        <v>388</v>
      </c>
      <c r="C2821" s="62" t="s">
        <v>60</v>
      </c>
      <c r="D2821" s="62" t="s">
        <v>72</v>
      </c>
      <c r="E2821" s="62" t="s">
        <v>382</v>
      </c>
      <c r="F2821" s="63" t="s">
        <v>659</v>
      </c>
      <c r="G2821" s="64" t="n">
        <v>-11436012.699169</v>
      </c>
      <c r="H2821" s="62" t="s">
        <v>138</v>
      </c>
    </row>
    <row r="2822" customFormat="false" ht="15" hidden="false" customHeight="false" outlineLevel="0" collapsed="false">
      <c r="A2822" s="62" t="n">
        <v>0</v>
      </c>
      <c r="B2822" s="62" t="s">
        <v>381</v>
      </c>
      <c r="C2822" s="62" t="s">
        <v>60</v>
      </c>
      <c r="D2822" s="62" t="s">
        <v>72</v>
      </c>
      <c r="E2822" s="62" t="s">
        <v>382</v>
      </c>
      <c r="F2822" s="63" t="s">
        <v>660</v>
      </c>
      <c r="G2822" s="64" t="n">
        <v>31922690.9454767</v>
      </c>
      <c r="H2822" s="62" t="s">
        <v>138</v>
      </c>
    </row>
    <row r="2823" customFormat="false" ht="15" hidden="false" customHeight="false" outlineLevel="0" collapsed="false">
      <c r="A2823" s="62" t="n">
        <v>0</v>
      </c>
      <c r="B2823" s="62" t="s">
        <v>383</v>
      </c>
      <c r="C2823" s="62" t="s">
        <v>60</v>
      </c>
      <c r="D2823" s="62" t="s">
        <v>72</v>
      </c>
      <c r="E2823" s="62" t="s">
        <v>382</v>
      </c>
      <c r="F2823" s="63" t="s">
        <v>660</v>
      </c>
      <c r="G2823" s="64" t="n">
        <v>31922690.9454767</v>
      </c>
      <c r="H2823" s="62" t="s">
        <v>138</v>
      </c>
    </row>
    <row r="2824" customFormat="false" ht="15" hidden="false" customHeight="false" outlineLevel="0" collapsed="false">
      <c r="A2824" s="62" t="n">
        <v>0</v>
      </c>
      <c r="B2824" s="62" t="s">
        <v>384</v>
      </c>
      <c r="C2824" s="62" t="s">
        <v>60</v>
      </c>
      <c r="D2824" s="62" t="s">
        <v>72</v>
      </c>
      <c r="E2824" s="62" t="s">
        <v>382</v>
      </c>
      <c r="F2824" s="63" t="s">
        <v>660</v>
      </c>
      <c r="G2824" s="64" t="n">
        <v>31922690.9454767</v>
      </c>
      <c r="H2824" s="62" t="s">
        <v>138</v>
      </c>
    </row>
    <row r="2825" customFormat="false" ht="15" hidden="false" customHeight="false" outlineLevel="0" collapsed="false">
      <c r="A2825" s="62" t="n">
        <v>0</v>
      </c>
      <c r="B2825" s="62" t="s">
        <v>385</v>
      </c>
      <c r="C2825" s="62" t="s">
        <v>60</v>
      </c>
      <c r="D2825" s="62" t="s">
        <v>72</v>
      </c>
      <c r="E2825" s="62" t="s">
        <v>382</v>
      </c>
      <c r="F2825" s="63" t="s">
        <v>660</v>
      </c>
      <c r="G2825" s="64" t="n">
        <v>31922690.9454767</v>
      </c>
      <c r="H2825" s="62" t="s">
        <v>138</v>
      </c>
    </row>
    <row r="2826" customFormat="false" ht="15" hidden="false" customHeight="false" outlineLevel="0" collapsed="false">
      <c r="A2826" s="62" t="n">
        <v>0</v>
      </c>
      <c r="B2826" s="62" t="s">
        <v>386</v>
      </c>
      <c r="C2826" s="62" t="s">
        <v>60</v>
      </c>
      <c r="D2826" s="62" t="s">
        <v>72</v>
      </c>
      <c r="E2826" s="62" t="s">
        <v>382</v>
      </c>
      <c r="F2826" s="63" t="s">
        <v>660</v>
      </c>
      <c r="G2826" s="64" t="n">
        <v>31922690.9454767</v>
      </c>
      <c r="H2826" s="62" t="s">
        <v>138</v>
      </c>
    </row>
    <row r="2827" customFormat="false" ht="15" hidden="false" customHeight="false" outlineLevel="0" collapsed="false">
      <c r="A2827" s="62" t="n">
        <v>0</v>
      </c>
      <c r="B2827" s="62" t="s">
        <v>387</v>
      </c>
      <c r="C2827" s="62" t="s">
        <v>60</v>
      </c>
      <c r="D2827" s="62" t="s">
        <v>72</v>
      </c>
      <c r="E2827" s="62" t="s">
        <v>382</v>
      </c>
      <c r="F2827" s="63" t="s">
        <v>660</v>
      </c>
      <c r="G2827" s="64" t="n">
        <v>31922690.9454767</v>
      </c>
      <c r="H2827" s="62" t="s">
        <v>138</v>
      </c>
    </row>
    <row r="2828" customFormat="false" ht="15" hidden="false" customHeight="false" outlineLevel="0" collapsed="false">
      <c r="A2828" s="62" t="n">
        <v>0</v>
      </c>
      <c r="B2828" s="62" t="s">
        <v>388</v>
      </c>
      <c r="C2828" s="62" t="s">
        <v>60</v>
      </c>
      <c r="D2828" s="62" t="s">
        <v>72</v>
      </c>
      <c r="E2828" s="62" t="s">
        <v>382</v>
      </c>
      <c r="F2828" s="63" t="s">
        <v>660</v>
      </c>
      <c r="G2828" s="64" t="n">
        <v>31922690.9454767</v>
      </c>
      <c r="H2828" s="62" t="s">
        <v>138</v>
      </c>
    </row>
    <row r="2829" customFormat="false" ht="15" hidden="false" customHeight="false" outlineLevel="0" collapsed="false">
      <c r="A2829" s="62" t="n">
        <v>0</v>
      </c>
      <c r="B2829" s="62" t="s">
        <v>381</v>
      </c>
      <c r="C2829" s="62" t="s">
        <v>60</v>
      </c>
      <c r="D2829" s="62" t="s">
        <v>72</v>
      </c>
      <c r="E2829" s="62" t="s">
        <v>382</v>
      </c>
      <c r="F2829" s="63" t="s">
        <v>661</v>
      </c>
      <c r="G2829" s="64" t="n">
        <v>22723843.0162391</v>
      </c>
      <c r="H2829" s="62" t="s">
        <v>138</v>
      </c>
    </row>
    <row r="2830" customFormat="false" ht="15" hidden="false" customHeight="false" outlineLevel="0" collapsed="false">
      <c r="A2830" s="62" t="n">
        <v>0</v>
      </c>
      <c r="B2830" s="62" t="s">
        <v>383</v>
      </c>
      <c r="C2830" s="62" t="s">
        <v>60</v>
      </c>
      <c r="D2830" s="62" t="s">
        <v>72</v>
      </c>
      <c r="E2830" s="62" t="s">
        <v>382</v>
      </c>
      <c r="F2830" s="63" t="s">
        <v>661</v>
      </c>
      <c r="G2830" s="64" t="n">
        <v>22723843.0162391</v>
      </c>
      <c r="H2830" s="62" t="s">
        <v>138</v>
      </c>
    </row>
    <row r="2831" customFormat="false" ht="15" hidden="false" customHeight="false" outlineLevel="0" collapsed="false">
      <c r="A2831" s="62" t="n">
        <v>0</v>
      </c>
      <c r="B2831" s="62" t="s">
        <v>384</v>
      </c>
      <c r="C2831" s="62" t="s">
        <v>60</v>
      </c>
      <c r="D2831" s="62" t="s">
        <v>72</v>
      </c>
      <c r="E2831" s="62" t="s">
        <v>382</v>
      </c>
      <c r="F2831" s="63" t="s">
        <v>661</v>
      </c>
      <c r="G2831" s="64" t="n">
        <v>22723843.0162391</v>
      </c>
      <c r="H2831" s="62" t="s">
        <v>138</v>
      </c>
    </row>
    <row r="2832" customFormat="false" ht="15" hidden="false" customHeight="false" outlineLevel="0" collapsed="false">
      <c r="A2832" s="62" t="n">
        <v>0</v>
      </c>
      <c r="B2832" s="62" t="s">
        <v>385</v>
      </c>
      <c r="C2832" s="62" t="s">
        <v>60</v>
      </c>
      <c r="D2832" s="62" t="s">
        <v>72</v>
      </c>
      <c r="E2832" s="62" t="s">
        <v>382</v>
      </c>
      <c r="F2832" s="63" t="s">
        <v>661</v>
      </c>
      <c r="G2832" s="64" t="n">
        <v>22723843.0162391</v>
      </c>
      <c r="H2832" s="62" t="s">
        <v>138</v>
      </c>
    </row>
    <row r="2833" customFormat="false" ht="15" hidden="false" customHeight="false" outlineLevel="0" collapsed="false">
      <c r="A2833" s="62" t="n">
        <v>0</v>
      </c>
      <c r="B2833" s="62" t="s">
        <v>386</v>
      </c>
      <c r="C2833" s="62" t="s">
        <v>60</v>
      </c>
      <c r="D2833" s="62" t="s">
        <v>72</v>
      </c>
      <c r="E2833" s="62" t="s">
        <v>382</v>
      </c>
      <c r="F2833" s="63" t="s">
        <v>661</v>
      </c>
      <c r="G2833" s="64" t="n">
        <v>22723843.0162391</v>
      </c>
      <c r="H2833" s="62" t="s">
        <v>138</v>
      </c>
    </row>
    <row r="2834" customFormat="false" ht="15" hidden="false" customHeight="false" outlineLevel="0" collapsed="false">
      <c r="A2834" s="62" t="n">
        <v>0</v>
      </c>
      <c r="B2834" s="62" t="s">
        <v>387</v>
      </c>
      <c r="C2834" s="62" t="s">
        <v>60</v>
      </c>
      <c r="D2834" s="62" t="s">
        <v>72</v>
      </c>
      <c r="E2834" s="62" t="s">
        <v>382</v>
      </c>
      <c r="F2834" s="63" t="s">
        <v>661</v>
      </c>
      <c r="G2834" s="64" t="n">
        <v>22723843.0162391</v>
      </c>
      <c r="H2834" s="62" t="s">
        <v>138</v>
      </c>
    </row>
    <row r="2835" customFormat="false" ht="15" hidden="false" customHeight="false" outlineLevel="0" collapsed="false">
      <c r="A2835" s="62" t="n">
        <v>0</v>
      </c>
      <c r="B2835" s="62" t="s">
        <v>388</v>
      </c>
      <c r="C2835" s="62" t="s">
        <v>60</v>
      </c>
      <c r="D2835" s="62" t="s">
        <v>72</v>
      </c>
      <c r="E2835" s="62" t="s">
        <v>382</v>
      </c>
      <c r="F2835" s="63" t="s">
        <v>661</v>
      </c>
      <c r="G2835" s="64" t="n">
        <v>22723843.0162391</v>
      </c>
      <c r="H2835" s="62" t="s">
        <v>138</v>
      </c>
    </row>
    <row r="2836" customFormat="false" ht="15" hidden="false" customHeight="false" outlineLevel="0" collapsed="false">
      <c r="A2836" s="62" t="n">
        <v>0</v>
      </c>
      <c r="B2836" s="62" t="s">
        <v>381</v>
      </c>
      <c r="C2836" s="62" t="s">
        <v>60</v>
      </c>
      <c r="D2836" s="62" t="s">
        <v>72</v>
      </c>
      <c r="E2836" s="62" t="s">
        <v>382</v>
      </c>
      <c r="F2836" s="63" t="s">
        <v>662</v>
      </c>
      <c r="G2836" s="64" t="n">
        <v>12.2036951086323</v>
      </c>
      <c r="H2836" s="62" t="s">
        <v>138</v>
      </c>
    </row>
    <row r="2837" customFormat="false" ht="15" hidden="false" customHeight="false" outlineLevel="0" collapsed="false">
      <c r="A2837" s="62" t="n">
        <v>0</v>
      </c>
      <c r="B2837" s="62" t="s">
        <v>383</v>
      </c>
      <c r="C2837" s="62" t="s">
        <v>60</v>
      </c>
      <c r="D2837" s="62" t="s">
        <v>72</v>
      </c>
      <c r="E2837" s="62" t="s">
        <v>382</v>
      </c>
      <c r="F2837" s="63" t="s">
        <v>662</v>
      </c>
      <c r="G2837" s="64" t="n">
        <v>12.2036951086323</v>
      </c>
      <c r="H2837" s="62" t="s">
        <v>138</v>
      </c>
    </row>
    <row r="2838" customFormat="false" ht="15" hidden="false" customHeight="false" outlineLevel="0" collapsed="false">
      <c r="A2838" s="62" t="n">
        <v>0</v>
      </c>
      <c r="B2838" s="62" t="s">
        <v>384</v>
      </c>
      <c r="C2838" s="62" t="s">
        <v>60</v>
      </c>
      <c r="D2838" s="62" t="s">
        <v>72</v>
      </c>
      <c r="E2838" s="62" t="s">
        <v>382</v>
      </c>
      <c r="F2838" s="63" t="s">
        <v>662</v>
      </c>
      <c r="G2838" s="64" t="n">
        <v>12.2036951086323</v>
      </c>
      <c r="H2838" s="62" t="s">
        <v>138</v>
      </c>
    </row>
    <row r="2839" customFormat="false" ht="15" hidden="false" customHeight="false" outlineLevel="0" collapsed="false">
      <c r="A2839" s="62" t="n">
        <v>0</v>
      </c>
      <c r="B2839" s="62" t="s">
        <v>385</v>
      </c>
      <c r="C2839" s="62" t="s">
        <v>60</v>
      </c>
      <c r="D2839" s="62" t="s">
        <v>72</v>
      </c>
      <c r="E2839" s="62" t="s">
        <v>382</v>
      </c>
      <c r="F2839" s="63" t="s">
        <v>662</v>
      </c>
      <c r="G2839" s="64" t="n">
        <v>12.2036951086323</v>
      </c>
      <c r="H2839" s="62" t="s">
        <v>138</v>
      </c>
    </row>
    <row r="2840" customFormat="false" ht="15" hidden="false" customHeight="false" outlineLevel="0" collapsed="false">
      <c r="A2840" s="62" t="n">
        <v>0</v>
      </c>
      <c r="B2840" s="62" t="s">
        <v>386</v>
      </c>
      <c r="C2840" s="62" t="s">
        <v>60</v>
      </c>
      <c r="D2840" s="62" t="s">
        <v>72</v>
      </c>
      <c r="E2840" s="62" t="s">
        <v>382</v>
      </c>
      <c r="F2840" s="63" t="s">
        <v>662</v>
      </c>
      <c r="G2840" s="64" t="n">
        <v>12.2036951086323</v>
      </c>
      <c r="H2840" s="62" t="s">
        <v>138</v>
      </c>
    </row>
    <row r="2841" customFormat="false" ht="15" hidden="false" customHeight="false" outlineLevel="0" collapsed="false">
      <c r="A2841" s="62" t="n">
        <v>0</v>
      </c>
      <c r="B2841" s="62" t="s">
        <v>387</v>
      </c>
      <c r="C2841" s="62" t="s">
        <v>60</v>
      </c>
      <c r="D2841" s="62" t="s">
        <v>72</v>
      </c>
      <c r="E2841" s="62" t="s">
        <v>382</v>
      </c>
      <c r="F2841" s="63" t="s">
        <v>662</v>
      </c>
      <c r="G2841" s="64" t="n">
        <v>12.2036951086323</v>
      </c>
      <c r="H2841" s="62" t="s">
        <v>138</v>
      </c>
    </row>
    <row r="2842" customFormat="false" ht="15" hidden="false" customHeight="false" outlineLevel="0" collapsed="false">
      <c r="A2842" s="62" t="n">
        <v>0</v>
      </c>
      <c r="B2842" s="62" t="s">
        <v>388</v>
      </c>
      <c r="C2842" s="62" t="s">
        <v>60</v>
      </c>
      <c r="D2842" s="62" t="s">
        <v>72</v>
      </c>
      <c r="E2842" s="62" t="s">
        <v>382</v>
      </c>
      <c r="F2842" s="63" t="s">
        <v>662</v>
      </c>
      <c r="G2842" s="64" t="n">
        <v>12.2036951086323</v>
      </c>
      <c r="H2842" s="62" t="s">
        <v>138</v>
      </c>
    </row>
    <row r="2843" customFormat="false" ht="15" hidden="false" customHeight="false" outlineLevel="0" collapsed="false">
      <c r="A2843" s="62" t="n">
        <v>0</v>
      </c>
      <c r="B2843" s="62" t="s">
        <v>381</v>
      </c>
      <c r="C2843" s="62" t="s">
        <v>60</v>
      </c>
      <c r="D2843" s="62" t="s">
        <v>72</v>
      </c>
      <c r="E2843" s="62" t="s">
        <v>382</v>
      </c>
      <c r="F2843" s="63" t="s">
        <v>663</v>
      </c>
      <c r="G2843" s="64" t="n">
        <v>358612.589676336</v>
      </c>
      <c r="H2843" s="62" t="s">
        <v>138</v>
      </c>
    </row>
    <row r="2844" customFormat="false" ht="15" hidden="false" customHeight="false" outlineLevel="0" collapsed="false">
      <c r="A2844" s="62" t="n">
        <v>0</v>
      </c>
      <c r="B2844" s="62" t="s">
        <v>383</v>
      </c>
      <c r="C2844" s="62" t="s">
        <v>60</v>
      </c>
      <c r="D2844" s="62" t="s">
        <v>72</v>
      </c>
      <c r="E2844" s="62" t="s">
        <v>382</v>
      </c>
      <c r="F2844" s="63" t="s">
        <v>663</v>
      </c>
      <c r="G2844" s="64" t="n">
        <v>358612.589676336</v>
      </c>
      <c r="H2844" s="62" t="s">
        <v>138</v>
      </c>
    </row>
    <row r="2845" customFormat="false" ht="15" hidden="false" customHeight="false" outlineLevel="0" collapsed="false">
      <c r="A2845" s="62" t="n">
        <v>0</v>
      </c>
      <c r="B2845" s="62" t="s">
        <v>384</v>
      </c>
      <c r="C2845" s="62" t="s">
        <v>60</v>
      </c>
      <c r="D2845" s="62" t="s">
        <v>72</v>
      </c>
      <c r="E2845" s="62" t="s">
        <v>382</v>
      </c>
      <c r="F2845" s="63" t="s">
        <v>663</v>
      </c>
      <c r="G2845" s="64" t="n">
        <v>358612.589676336</v>
      </c>
      <c r="H2845" s="62" t="s">
        <v>138</v>
      </c>
    </row>
    <row r="2846" customFormat="false" ht="15" hidden="false" customHeight="false" outlineLevel="0" collapsed="false">
      <c r="A2846" s="62" t="n">
        <v>0</v>
      </c>
      <c r="B2846" s="62" t="s">
        <v>385</v>
      </c>
      <c r="C2846" s="62" t="s">
        <v>60</v>
      </c>
      <c r="D2846" s="62" t="s">
        <v>72</v>
      </c>
      <c r="E2846" s="62" t="s">
        <v>382</v>
      </c>
      <c r="F2846" s="63" t="s">
        <v>663</v>
      </c>
      <c r="G2846" s="64" t="n">
        <v>358612.589676336</v>
      </c>
      <c r="H2846" s="62" t="s">
        <v>138</v>
      </c>
    </row>
    <row r="2847" customFormat="false" ht="15" hidden="false" customHeight="false" outlineLevel="0" collapsed="false">
      <c r="A2847" s="62" t="n">
        <v>0</v>
      </c>
      <c r="B2847" s="62" t="s">
        <v>386</v>
      </c>
      <c r="C2847" s="62" t="s">
        <v>60</v>
      </c>
      <c r="D2847" s="62" t="s">
        <v>72</v>
      </c>
      <c r="E2847" s="62" t="s">
        <v>382</v>
      </c>
      <c r="F2847" s="63" t="s">
        <v>663</v>
      </c>
      <c r="G2847" s="64" t="n">
        <v>358612.589676336</v>
      </c>
      <c r="H2847" s="62" t="s">
        <v>138</v>
      </c>
    </row>
    <row r="2848" customFormat="false" ht="15" hidden="false" customHeight="false" outlineLevel="0" collapsed="false">
      <c r="A2848" s="62" t="n">
        <v>0</v>
      </c>
      <c r="B2848" s="62" t="s">
        <v>387</v>
      </c>
      <c r="C2848" s="62" t="s">
        <v>60</v>
      </c>
      <c r="D2848" s="62" t="s">
        <v>72</v>
      </c>
      <c r="E2848" s="62" t="s">
        <v>382</v>
      </c>
      <c r="F2848" s="63" t="s">
        <v>663</v>
      </c>
      <c r="G2848" s="64" t="n">
        <v>358612.589676336</v>
      </c>
      <c r="H2848" s="62" t="s">
        <v>138</v>
      </c>
    </row>
    <row r="2849" customFormat="false" ht="15" hidden="false" customHeight="false" outlineLevel="0" collapsed="false">
      <c r="A2849" s="62" t="n">
        <v>0</v>
      </c>
      <c r="B2849" s="62" t="s">
        <v>388</v>
      </c>
      <c r="C2849" s="62" t="s">
        <v>60</v>
      </c>
      <c r="D2849" s="62" t="s">
        <v>72</v>
      </c>
      <c r="E2849" s="62" t="s">
        <v>382</v>
      </c>
      <c r="F2849" s="63" t="s">
        <v>663</v>
      </c>
      <c r="G2849" s="64" t="n">
        <v>358612.589676336</v>
      </c>
      <c r="H2849" s="62" t="s">
        <v>138</v>
      </c>
    </row>
    <row r="2850" customFormat="false" ht="15" hidden="false" customHeight="false" outlineLevel="0" collapsed="false">
      <c r="A2850" s="62" t="n">
        <v>0</v>
      </c>
      <c r="B2850" s="62" t="s">
        <v>381</v>
      </c>
      <c r="C2850" s="62" t="s">
        <v>60</v>
      </c>
      <c r="D2850" s="62" t="s">
        <v>72</v>
      </c>
      <c r="E2850" s="62" t="s">
        <v>382</v>
      </c>
      <c r="F2850" s="63" t="s">
        <v>664</v>
      </c>
      <c r="G2850" s="64" t="n">
        <v>34703997.9076009</v>
      </c>
      <c r="H2850" s="62" t="s">
        <v>138</v>
      </c>
    </row>
    <row r="2851" customFormat="false" ht="15" hidden="false" customHeight="false" outlineLevel="0" collapsed="false">
      <c r="A2851" s="62" t="n">
        <v>0</v>
      </c>
      <c r="B2851" s="62" t="s">
        <v>383</v>
      </c>
      <c r="C2851" s="62" t="s">
        <v>60</v>
      </c>
      <c r="D2851" s="62" t="s">
        <v>72</v>
      </c>
      <c r="E2851" s="62" t="s">
        <v>382</v>
      </c>
      <c r="F2851" s="63" t="s">
        <v>664</v>
      </c>
      <c r="G2851" s="64" t="n">
        <v>34703997.9076009</v>
      </c>
      <c r="H2851" s="62" t="s">
        <v>138</v>
      </c>
    </row>
    <row r="2852" customFormat="false" ht="15" hidden="false" customHeight="false" outlineLevel="0" collapsed="false">
      <c r="A2852" s="62" t="n">
        <v>0</v>
      </c>
      <c r="B2852" s="62" t="s">
        <v>384</v>
      </c>
      <c r="C2852" s="62" t="s">
        <v>60</v>
      </c>
      <c r="D2852" s="62" t="s">
        <v>72</v>
      </c>
      <c r="E2852" s="62" t="s">
        <v>382</v>
      </c>
      <c r="F2852" s="63" t="s">
        <v>664</v>
      </c>
      <c r="G2852" s="64" t="n">
        <v>34703997.9076009</v>
      </c>
      <c r="H2852" s="62" t="s">
        <v>138</v>
      </c>
    </row>
    <row r="2853" customFormat="false" ht="15" hidden="false" customHeight="false" outlineLevel="0" collapsed="false">
      <c r="A2853" s="62" t="n">
        <v>0</v>
      </c>
      <c r="B2853" s="62" t="s">
        <v>385</v>
      </c>
      <c r="C2853" s="62" t="s">
        <v>60</v>
      </c>
      <c r="D2853" s="62" t="s">
        <v>72</v>
      </c>
      <c r="E2853" s="62" t="s">
        <v>382</v>
      </c>
      <c r="F2853" s="63" t="s">
        <v>664</v>
      </c>
      <c r="G2853" s="64" t="n">
        <v>34703997.9076009</v>
      </c>
      <c r="H2853" s="62" t="s">
        <v>138</v>
      </c>
    </row>
    <row r="2854" customFormat="false" ht="15" hidden="false" customHeight="false" outlineLevel="0" collapsed="false">
      <c r="A2854" s="62" t="n">
        <v>0</v>
      </c>
      <c r="B2854" s="62" t="s">
        <v>386</v>
      </c>
      <c r="C2854" s="62" t="s">
        <v>60</v>
      </c>
      <c r="D2854" s="62" t="s">
        <v>72</v>
      </c>
      <c r="E2854" s="62" t="s">
        <v>382</v>
      </c>
      <c r="F2854" s="63" t="s">
        <v>664</v>
      </c>
      <c r="G2854" s="64" t="n">
        <v>34703997.9076009</v>
      </c>
      <c r="H2854" s="62" t="s">
        <v>138</v>
      </c>
    </row>
    <row r="2855" customFormat="false" ht="15" hidden="false" customHeight="false" outlineLevel="0" collapsed="false">
      <c r="A2855" s="62" t="n">
        <v>0</v>
      </c>
      <c r="B2855" s="62" t="s">
        <v>387</v>
      </c>
      <c r="C2855" s="62" t="s">
        <v>60</v>
      </c>
      <c r="D2855" s="62" t="s">
        <v>72</v>
      </c>
      <c r="E2855" s="62" t="s">
        <v>382</v>
      </c>
      <c r="F2855" s="63" t="s">
        <v>664</v>
      </c>
      <c r="G2855" s="64" t="n">
        <v>34703997.9076009</v>
      </c>
      <c r="H2855" s="62" t="s">
        <v>138</v>
      </c>
    </row>
    <row r="2856" customFormat="false" ht="15" hidden="false" customHeight="false" outlineLevel="0" collapsed="false">
      <c r="A2856" s="62" t="n">
        <v>0</v>
      </c>
      <c r="B2856" s="62" t="s">
        <v>388</v>
      </c>
      <c r="C2856" s="62" t="s">
        <v>60</v>
      </c>
      <c r="D2856" s="62" t="s">
        <v>72</v>
      </c>
      <c r="E2856" s="62" t="s">
        <v>382</v>
      </c>
      <c r="F2856" s="63" t="s">
        <v>664</v>
      </c>
      <c r="G2856" s="64" t="n">
        <v>34703997.9076009</v>
      </c>
      <c r="H2856" s="62" t="s">
        <v>138</v>
      </c>
    </row>
    <row r="2857" customFormat="false" ht="15" hidden="false" customHeight="false" outlineLevel="0" collapsed="false">
      <c r="A2857" s="62" t="n">
        <v>0</v>
      </c>
      <c r="B2857" s="62" t="s">
        <v>381</v>
      </c>
      <c r="C2857" s="62" t="s">
        <v>60</v>
      </c>
      <c r="D2857" s="62" t="s">
        <v>72</v>
      </c>
      <c r="E2857" s="62" t="s">
        <v>382</v>
      </c>
      <c r="F2857" s="63" t="s">
        <v>665</v>
      </c>
      <c r="G2857" s="64" t="n">
        <v>13412500</v>
      </c>
      <c r="H2857" s="62" t="s">
        <v>138</v>
      </c>
    </row>
    <row r="2858" customFormat="false" ht="15" hidden="false" customHeight="false" outlineLevel="0" collapsed="false">
      <c r="A2858" s="62" t="n">
        <v>0</v>
      </c>
      <c r="B2858" s="62" t="s">
        <v>383</v>
      </c>
      <c r="C2858" s="62" t="s">
        <v>60</v>
      </c>
      <c r="D2858" s="62" t="s">
        <v>72</v>
      </c>
      <c r="E2858" s="62" t="s">
        <v>382</v>
      </c>
      <c r="F2858" s="63" t="s">
        <v>665</v>
      </c>
      <c r="G2858" s="64" t="n">
        <v>13412500</v>
      </c>
      <c r="H2858" s="62" t="s">
        <v>138</v>
      </c>
    </row>
    <row r="2859" customFormat="false" ht="15" hidden="false" customHeight="false" outlineLevel="0" collapsed="false">
      <c r="A2859" s="62" t="n">
        <v>0</v>
      </c>
      <c r="B2859" s="62" t="s">
        <v>384</v>
      </c>
      <c r="C2859" s="62" t="s">
        <v>60</v>
      </c>
      <c r="D2859" s="62" t="s">
        <v>72</v>
      </c>
      <c r="E2859" s="62" t="s">
        <v>382</v>
      </c>
      <c r="F2859" s="63" t="s">
        <v>665</v>
      </c>
      <c r="G2859" s="64" t="n">
        <v>13412500</v>
      </c>
      <c r="H2859" s="62" t="s">
        <v>138</v>
      </c>
    </row>
    <row r="2860" customFormat="false" ht="15" hidden="false" customHeight="false" outlineLevel="0" collapsed="false">
      <c r="A2860" s="62" t="n">
        <v>0</v>
      </c>
      <c r="B2860" s="62" t="s">
        <v>385</v>
      </c>
      <c r="C2860" s="62" t="s">
        <v>60</v>
      </c>
      <c r="D2860" s="62" t="s">
        <v>72</v>
      </c>
      <c r="E2860" s="62" t="s">
        <v>382</v>
      </c>
      <c r="F2860" s="63" t="s">
        <v>665</v>
      </c>
      <c r="G2860" s="64" t="n">
        <v>13412500</v>
      </c>
      <c r="H2860" s="62" t="s">
        <v>138</v>
      </c>
    </row>
    <row r="2861" customFormat="false" ht="15" hidden="false" customHeight="false" outlineLevel="0" collapsed="false">
      <c r="A2861" s="62" t="n">
        <v>0</v>
      </c>
      <c r="B2861" s="62" t="s">
        <v>386</v>
      </c>
      <c r="C2861" s="62" t="s">
        <v>60</v>
      </c>
      <c r="D2861" s="62" t="s">
        <v>72</v>
      </c>
      <c r="E2861" s="62" t="s">
        <v>382</v>
      </c>
      <c r="F2861" s="63" t="s">
        <v>665</v>
      </c>
      <c r="G2861" s="64" t="n">
        <v>13412500</v>
      </c>
      <c r="H2861" s="62" t="s">
        <v>138</v>
      </c>
    </row>
    <row r="2862" customFormat="false" ht="15" hidden="false" customHeight="false" outlineLevel="0" collapsed="false">
      <c r="A2862" s="62" t="n">
        <v>0</v>
      </c>
      <c r="B2862" s="62" t="s">
        <v>387</v>
      </c>
      <c r="C2862" s="62" t="s">
        <v>60</v>
      </c>
      <c r="D2862" s="62" t="s">
        <v>72</v>
      </c>
      <c r="E2862" s="62" t="s">
        <v>382</v>
      </c>
      <c r="F2862" s="63" t="s">
        <v>665</v>
      </c>
      <c r="G2862" s="64" t="n">
        <v>13412500</v>
      </c>
      <c r="H2862" s="62" t="s">
        <v>138</v>
      </c>
    </row>
    <row r="2863" customFormat="false" ht="15" hidden="false" customHeight="false" outlineLevel="0" collapsed="false">
      <c r="A2863" s="62" t="n">
        <v>0</v>
      </c>
      <c r="B2863" s="62" t="s">
        <v>388</v>
      </c>
      <c r="C2863" s="62" t="s">
        <v>60</v>
      </c>
      <c r="D2863" s="62" t="s">
        <v>72</v>
      </c>
      <c r="E2863" s="62" t="s">
        <v>382</v>
      </c>
      <c r="F2863" s="63" t="s">
        <v>665</v>
      </c>
      <c r="G2863" s="64" t="n">
        <v>13412500</v>
      </c>
      <c r="H2863" s="62" t="s">
        <v>138</v>
      </c>
    </row>
    <row r="2864" customFormat="false" ht="15" hidden="false" customHeight="false" outlineLevel="0" collapsed="false">
      <c r="A2864" s="62" t="n">
        <v>0</v>
      </c>
      <c r="B2864" s="62" t="s">
        <v>381</v>
      </c>
      <c r="C2864" s="62" t="s">
        <v>60</v>
      </c>
      <c r="D2864" s="62" t="s">
        <v>72</v>
      </c>
      <c r="E2864" s="62" t="s">
        <v>382</v>
      </c>
      <c r="F2864" s="63" t="s">
        <v>666</v>
      </c>
      <c r="G2864" s="64" t="n">
        <v>53650000</v>
      </c>
      <c r="H2864" s="62" t="s">
        <v>138</v>
      </c>
    </row>
    <row r="2865" customFormat="false" ht="15" hidden="false" customHeight="false" outlineLevel="0" collapsed="false">
      <c r="A2865" s="62" t="n">
        <v>0</v>
      </c>
      <c r="B2865" s="62" t="s">
        <v>383</v>
      </c>
      <c r="C2865" s="62" t="s">
        <v>60</v>
      </c>
      <c r="D2865" s="62" t="s">
        <v>72</v>
      </c>
      <c r="E2865" s="62" t="s">
        <v>382</v>
      </c>
      <c r="F2865" s="63" t="s">
        <v>666</v>
      </c>
      <c r="G2865" s="64" t="n">
        <v>53650000</v>
      </c>
      <c r="H2865" s="62" t="s">
        <v>138</v>
      </c>
    </row>
    <row r="2866" customFormat="false" ht="15" hidden="false" customHeight="false" outlineLevel="0" collapsed="false">
      <c r="A2866" s="62" t="n">
        <v>0</v>
      </c>
      <c r="B2866" s="62" t="s">
        <v>384</v>
      </c>
      <c r="C2866" s="62" t="s">
        <v>60</v>
      </c>
      <c r="D2866" s="62" t="s">
        <v>72</v>
      </c>
      <c r="E2866" s="62" t="s">
        <v>382</v>
      </c>
      <c r="F2866" s="63" t="s">
        <v>666</v>
      </c>
      <c r="G2866" s="64" t="n">
        <v>53650000</v>
      </c>
      <c r="H2866" s="62" t="s">
        <v>138</v>
      </c>
    </row>
    <row r="2867" customFormat="false" ht="15" hidden="false" customHeight="false" outlineLevel="0" collapsed="false">
      <c r="A2867" s="62" t="n">
        <v>0</v>
      </c>
      <c r="B2867" s="62" t="s">
        <v>385</v>
      </c>
      <c r="C2867" s="62" t="s">
        <v>60</v>
      </c>
      <c r="D2867" s="62" t="s">
        <v>72</v>
      </c>
      <c r="E2867" s="62" t="s">
        <v>382</v>
      </c>
      <c r="F2867" s="63" t="s">
        <v>666</v>
      </c>
      <c r="G2867" s="64" t="n">
        <v>53650000</v>
      </c>
      <c r="H2867" s="62" t="s">
        <v>138</v>
      </c>
    </row>
    <row r="2868" customFormat="false" ht="15" hidden="false" customHeight="false" outlineLevel="0" collapsed="false">
      <c r="A2868" s="62" t="n">
        <v>0</v>
      </c>
      <c r="B2868" s="62" t="s">
        <v>386</v>
      </c>
      <c r="C2868" s="62" t="s">
        <v>60</v>
      </c>
      <c r="D2868" s="62" t="s">
        <v>72</v>
      </c>
      <c r="E2868" s="62" t="s">
        <v>382</v>
      </c>
      <c r="F2868" s="63" t="s">
        <v>666</v>
      </c>
      <c r="G2868" s="64" t="n">
        <v>53650000</v>
      </c>
      <c r="H2868" s="62" t="s">
        <v>138</v>
      </c>
    </row>
    <row r="2869" customFormat="false" ht="15" hidden="false" customHeight="false" outlineLevel="0" collapsed="false">
      <c r="A2869" s="62" t="n">
        <v>0</v>
      </c>
      <c r="B2869" s="62" t="s">
        <v>387</v>
      </c>
      <c r="C2869" s="62" t="s">
        <v>60</v>
      </c>
      <c r="D2869" s="62" t="s">
        <v>72</v>
      </c>
      <c r="E2869" s="62" t="s">
        <v>382</v>
      </c>
      <c r="F2869" s="63" t="s">
        <v>666</v>
      </c>
      <c r="G2869" s="64" t="n">
        <v>53650000</v>
      </c>
      <c r="H2869" s="62" t="s">
        <v>138</v>
      </c>
    </row>
    <row r="2870" customFormat="false" ht="15" hidden="false" customHeight="false" outlineLevel="0" collapsed="false">
      <c r="A2870" s="62" t="n">
        <v>0</v>
      </c>
      <c r="B2870" s="62" t="s">
        <v>388</v>
      </c>
      <c r="C2870" s="62" t="s">
        <v>60</v>
      </c>
      <c r="D2870" s="62" t="s">
        <v>72</v>
      </c>
      <c r="E2870" s="62" t="s">
        <v>382</v>
      </c>
      <c r="F2870" s="63" t="s">
        <v>666</v>
      </c>
      <c r="G2870" s="64" t="n">
        <v>53650000</v>
      </c>
      <c r="H2870" s="62" t="s">
        <v>138</v>
      </c>
    </row>
    <row r="2871" customFormat="false" ht="15" hidden="false" customHeight="false" outlineLevel="0" collapsed="false">
      <c r="A2871" s="62" t="n">
        <v>0</v>
      </c>
      <c r="B2871" s="62" t="s">
        <v>381</v>
      </c>
      <c r="C2871" s="62" t="s">
        <v>60</v>
      </c>
      <c r="D2871" s="62" t="s">
        <v>72</v>
      </c>
      <c r="E2871" s="62" t="s">
        <v>382</v>
      </c>
      <c r="F2871" s="63" t="s">
        <v>667</v>
      </c>
      <c r="G2871" s="64" t="n">
        <v>2773148.51866604</v>
      </c>
      <c r="H2871" s="62" t="s">
        <v>138</v>
      </c>
    </row>
    <row r="2872" customFormat="false" ht="15" hidden="false" customHeight="false" outlineLevel="0" collapsed="false">
      <c r="A2872" s="62" t="n">
        <v>0</v>
      </c>
      <c r="B2872" s="62" t="s">
        <v>383</v>
      </c>
      <c r="C2872" s="62" t="s">
        <v>60</v>
      </c>
      <c r="D2872" s="62" t="s">
        <v>72</v>
      </c>
      <c r="E2872" s="62" t="s">
        <v>382</v>
      </c>
      <c r="F2872" s="63" t="s">
        <v>667</v>
      </c>
      <c r="G2872" s="64" t="n">
        <v>2773148.51866604</v>
      </c>
      <c r="H2872" s="62" t="s">
        <v>138</v>
      </c>
    </row>
    <row r="2873" customFormat="false" ht="15" hidden="false" customHeight="false" outlineLevel="0" collapsed="false">
      <c r="A2873" s="62" t="n">
        <v>0</v>
      </c>
      <c r="B2873" s="62" t="s">
        <v>384</v>
      </c>
      <c r="C2873" s="62" t="s">
        <v>60</v>
      </c>
      <c r="D2873" s="62" t="s">
        <v>72</v>
      </c>
      <c r="E2873" s="62" t="s">
        <v>382</v>
      </c>
      <c r="F2873" s="63" t="s">
        <v>667</v>
      </c>
      <c r="G2873" s="64" t="n">
        <v>2773148.51866604</v>
      </c>
      <c r="H2873" s="62" t="s">
        <v>138</v>
      </c>
    </row>
    <row r="2874" customFormat="false" ht="15" hidden="false" customHeight="false" outlineLevel="0" collapsed="false">
      <c r="A2874" s="62" t="n">
        <v>0</v>
      </c>
      <c r="B2874" s="62" t="s">
        <v>385</v>
      </c>
      <c r="C2874" s="62" t="s">
        <v>60</v>
      </c>
      <c r="D2874" s="62" t="s">
        <v>72</v>
      </c>
      <c r="E2874" s="62" t="s">
        <v>382</v>
      </c>
      <c r="F2874" s="63" t="s">
        <v>667</v>
      </c>
      <c r="G2874" s="64" t="n">
        <v>2773148.51866604</v>
      </c>
      <c r="H2874" s="62" t="s">
        <v>138</v>
      </c>
    </row>
    <row r="2875" customFormat="false" ht="15" hidden="false" customHeight="false" outlineLevel="0" collapsed="false">
      <c r="A2875" s="62" t="n">
        <v>0</v>
      </c>
      <c r="B2875" s="62" t="s">
        <v>386</v>
      </c>
      <c r="C2875" s="62" t="s">
        <v>60</v>
      </c>
      <c r="D2875" s="62" t="s">
        <v>72</v>
      </c>
      <c r="E2875" s="62" t="s">
        <v>382</v>
      </c>
      <c r="F2875" s="63" t="s">
        <v>667</v>
      </c>
      <c r="G2875" s="64" t="n">
        <v>2773148.51866604</v>
      </c>
      <c r="H2875" s="62" t="s">
        <v>138</v>
      </c>
    </row>
    <row r="2876" customFormat="false" ht="15" hidden="false" customHeight="false" outlineLevel="0" collapsed="false">
      <c r="A2876" s="62" t="n">
        <v>0</v>
      </c>
      <c r="B2876" s="62" t="s">
        <v>387</v>
      </c>
      <c r="C2876" s="62" t="s">
        <v>60</v>
      </c>
      <c r="D2876" s="62" t="s">
        <v>72</v>
      </c>
      <c r="E2876" s="62" t="s">
        <v>382</v>
      </c>
      <c r="F2876" s="63" t="s">
        <v>667</v>
      </c>
      <c r="G2876" s="64" t="n">
        <v>2773148.51866604</v>
      </c>
      <c r="H2876" s="62" t="s">
        <v>138</v>
      </c>
    </row>
    <row r="2877" customFormat="false" ht="15" hidden="false" customHeight="false" outlineLevel="0" collapsed="false">
      <c r="A2877" s="62" t="n">
        <v>0</v>
      </c>
      <c r="B2877" s="62" t="s">
        <v>388</v>
      </c>
      <c r="C2877" s="62" t="s">
        <v>60</v>
      </c>
      <c r="D2877" s="62" t="s">
        <v>72</v>
      </c>
      <c r="E2877" s="62" t="s">
        <v>382</v>
      </c>
      <c r="F2877" s="63" t="s">
        <v>667</v>
      </c>
      <c r="G2877" s="64" t="n">
        <v>2773148.51866604</v>
      </c>
      <c r="H2877" s="62" t="s">
        <v>138</v>
      </c>
    </row>
    <row r="2878" customFormat="false" ht="15" hidden="false" customHeight="false" outlineLevel="0" collapsed="false">
      <c r="A2878" s="62" t="n">
        <v>0</v>
      </c>
      <c r="B2878" s="62" t="s">
        <v>381</v>
      </c>
      <c r="C2878" s="62" t="s">
        <v>60</v>
      </c>
      <c r="D2878" s="62" t="s">
        <v>72</v>
      </c>
      <c r="E2878" s="62" t="s">
        <v>382</v>
      </c>
      <c r="F2878" s="63" t="s">
        <v>668</v>
      </c>
      <c r="G2878" s="64" t="n">
        <v>32307180.2424594</v>
      </c>
      <c r="H2878" s="62" t="s">
        <v>138</v>
      </c>
    </row>
    <row r="2879" customFormat="false" ht="15" hidden="false" customHeight="false" outlineLevel="0" collapsed="false">
      <c r="A2879" s="62" t="n">
        <v>0</v>
      </c>
      <c r="B2879" s="62" t="s">
        <v>383</v>
      </c>
      <c r="C2879" s="62" t="s">
        <v>60</v>
      </c>
      <c r="D2879" s="62" t="s">
        <v>72</v>
      </c>
      <c r="E2879" s="62" t="s">
        <v>382</v>
      </c>
      <c r="F2879" s="63" t="s">
        <v>668</v>
      </c>
      <c r="G2879" s="64" t="n">
        <v>32307180.2424594</v>
      </c>
      <c r="H2879" s="62" t="s">
        <v>138</v>
      </c>
    </row>
    <row r="2880" customFormat="false" ht="15" hidden="false" customHeight="false" outlineLevel="0" collapsed="false">
      <c r="A2880" s="62" t="n">
        <v>0</v>
      </c>
      <c r="B2880" s="62" t="s">
        <v>384</v>
      </c>
      <c r="C2880" s="62" t="s">
        <v>60</v>
      </c>
      <c r="D2880" s="62" t="s">
        <v>72</v>
      </c>
      <c r="E2880" s="62" t="s">
        <v>382</v>
      </c>
      <c r="F2880" s="63" t="s">
        <v>668</v>
      </c>
      <c r="G2880" s="64" t="n">
        <v>32307180.2424594</v>
      </c>
      <c r="H2880" s="62" t="s">
        <v>138</v>
      </c>
    </row>
    <row r="2881" customFormat="false" ht="15" hidden="false" customHeight="false" outlineLevel="0" collapsed="false">
      <c r="A2881" s="62" t="n">
        <v>0</v>
      </c>
      <c r="B2881" s="62" t="s">
        <v>385</v>
      </c>
      <c r="C2881" s="62" t="s">
        <v>60</v>
      </c>
      <c r="D2881" s="62" t="s">
        <v>72</v>
      </c>
      <c r="E2881" s="62" t="s">
        <v>382</v>
      </c>
      <c r="F2881" s="63" t="s">
        <v>668</v>
      </c>
      <c r="G2881" s="64" t="n">
        <v>32307180.2424594</v>
      </c>
      <c r="H2881" s="62" t="s">
        <v>138</v>
      </c>
    </row>
    <row r="2882" customFormat="false" ht="15" hidden="false" customHeight="false" outlineLevel="0" collapsed="false">
      <c r="A2882" s="62" t="n">
        <v>0</v>
      </c>
      <c r="B2882" s="62" t="s">
        <v>386</v>
      </c>
      <c r="C2882" s="62" t="s">
        <v>60</v>
      </c>
      <c r="D2882" s="62" t="s">
        <v>72</v>
      </c>
      <c r="E2882" s="62" t="s">
        <v>382</v>
      </c>
      <c r="F2882" s="63" t="s">
        <v>668</v>
      </c>
      <c r="G2882" s="64" t="n">
        <v>32307180.2424594</v>
      </c>
      <c r="H2882" s="62" t="s">
        <v>138</v>
      </c>
    </row>
    <row r="2883" customFormat="false" ht="15" hidden="false" customHeight="false" outlineLevel="0" collapsed="false">
      <c r="A2883" s="62" t="n">
        <v>0</v>
      </c>
      <c r="B2883" s="62" t="s">
        <v>387</v>
      </c>
      <c r="C2883" s="62" t="s">
        <v>60</v>
      </c>
      <c r="D2883" s="62" t="s">
        <v>72</v>
      </c>
      <c r="E2883" s="62" t="s">
        <v>382</v>
      </c>
      <c r="F2883" s="63" t="s">
        <v>668</v>
      </c>
      <c r="G2883" s="64" t="n">
        <v>32307180.2424594</v>
      </c>
      <c r="H2883" s="62" t="s">
        <v>138</v>
      </c>
    </row>
    <row r="2884" customFormat="false" ht="15" hidden="false" customHeight="false" outlineLevel="0" collapsed="false">
      <c r="A2884" s="62" t="n">
        <v>0</v>
      </c>
      <c r="B2884" s="62" t="s">
        <v>388</v>
      </c>
      <c r="C2884" s="62" t="s">
        <v>60</v>
      </c>
      <c r="D2884" s="62" t="s">
        <v>72</v>
      </c>
      <c r="E2884" s="62" t="s">
        <v>382</v>
      </c>
      <c r="F2884" s="63" t="s">
        <v>668</v>
      </c>
      <c r="G2884" s="64" t="n">
        <v>32307180.2424594</v>
      </c>
      <c r="H2884" s="62" t="s">
        <v>138</v>
      </c>
    </row>
    <row r="2885" customFormat="false" ht="15" hidden="false" customHeight="false" outlineLevel="0" collapsed="false">
      <c r="A2885" s="62" t="n">
        <v>0</v>
      </c>
      <c r="B2885" s="62" t="s">
        <v>381</v>
      </c>
      <c r="C2885" s="62" t="s">
        <v>60</v>
      </c>
      <c r="D2885" s="62" t="s">
        <v>72</v>
      </c>
      <c r="E2885" s="62" t="s">
        <v>382</v>
      </c>
      <c r="F2885" s="63" t="s">
        <v>669</v>
      </c>
      <c r="G2885" s="64" t="n">
        <v>1768080.11866604</v>
      </c>
      <c r="H2885" s="62" t="s">
        <v>138</v>
      </c>
    </row>
    <row r="2886" customFormat="false" ht="15" hidden="false" customHeight="false" outlineLevel="0" collapsed="false">
      <c r="A2886" s="62" t="n">
        <v>0</v>
      </c>
      <c r="B2886" s="62" t="s">
        <v>383</v>
      </c>
      <c r="C2886" s="62" t="s">
        <v>60</v>
      </c>
      <c r="D2886" s="62" t="s">
        <v>72</v>
      </c>
      <c r="E2886" s="62" t="s">
        <v>382</v>
      </c>
      <c r="F2886" s="63" t="s">
        <v>669</v>
      </c>
      <c r="G2886" s="64" t="n">
        <v>1768080.11866604</v>
      </c>
      <c r="H2886" s="62" t="s">
        <v>138</v>
      </c>
    </row>
    <row r="2887" customFormat="false" ht="15" hidden="false" customHeight="false" outlineLevel="0" collapsed="false">
      <c r="A2887" s="62" t="n">
        <v>0</v>
      </c>
      <c r="B2887" s="62" t="s">
        <v>384</v>
      </c>
      <c r="C2887" s="62" t="s">
        <v>60</v>
      </c>
      <c r="D2887" s="62" t="s">
        <v>72</v>
      </c>
      <c r="E2887" s="62" t="s">
        <v>382</v>
      </c>
      <c r="F2887" s="63" t="s">
        <v>669</v>
      </c>
      <c r="G2887" s="64" t="n">
        <v>1768080.11866604</v>
      </c>
      <c r="H2887" s="62" t="s">
        <v>138</v>
      </c>
    </row>
    <row r="2888" customFormat="false" ht="15" hidden="false" customHeight="false" outlineLevel="0" collapsed="false">
      <c r="A2888" s="62" t="n">
        <v>0</v>
      </c>
      <c r="B2888" s="62" t="s">
        <v>385</v>
      </c>
      <c r="C2888" s="62" t="s">
        <v>60</v>
      </c>
      <c r="D2888" s="62" t="s">
        <v>72</v>
      </c>
      <c r="E2888" s="62" t="s">
        <v>382</v>
      </c>
      <c r="F2888" s="63" t="s">
        <v>669</v>
      </c>
      <c r="G2888" s="64" t="n">
        <v>1768080.11866604</v>
      </c>
      <c r="H2888" s="62" t="s">
        <v>138</v>
      </c>
    </row>
    <row r="2889" customFormat="false" ht="15" hidden="false" customHeight="false" outlineLevel="0" collapsed="false">
      <c r="A2889" s="62" t="n">
        <v>0</v>
      </c>
      <c r="B2889" s="62" t="s">
        <v>386</v>
      </c>
      <c r="C2889" s="62" t="s">
        <v>60</v>
      </c>
      <c r="D2889" s="62" t="s">
        <v>72</v>
      </c>
      <c r="E2889" s="62" t="s">
        <v>382</v>
      </c>
      <c r="F2889" s="63" t="s">
        <v>669</v>
      </c>
      <c r="G2889" s="64" t="n">
        <v>1768080.11866604</v>
      </c>
      <c r="H2889" s="62" t="s">
        <v>138</v>
      </c>
    </row>
    <row r="2890" customFormat="false" ht="15" hidden="false" customHeight="false" outlineLevel="0" collapsed="false">
      <c r="A2890" s="62" t="n">
        <v>0</v>
      </c>
      <c r="B2890" s="62" t="s">
        <v>387</v>
      </c>
      <c r="C2890" s="62" t="s">
        <v>60</v>
      </c>
      <c r="D2890" s="62" t="s">
        <v>72</v>
      </c>
      <c r="E2890" s="62" t="s">
        <v>382</v>
      </c>
      <c r="F2890" s="63" t="s">
        <v>669</v>
      </c>
      <c r="G2890" s="64" t="n">
        <v>1768080.11866604</v>
      </c>
      <c r="H2890" s="62" t="s">
        <v>138</v>
      </c>
    </row>
    <row r="2891" customFormat="false" ht="15" hidden="false" customHeight="false" outlineLevel="0" collapsed="false">
      <c r="A2891" s="62" t="n">
        <v>0</v>
      </c>
      <c r="B2891" s="62" t="s">
        <v>388</v>
      </c>
      <c r="C2891" s="62" t="s">
        <v>60</v>
      </c>
      <c r="D2891" s="62" t="s">
        <v>72</v>
      </c>
      <c r="E2891" s="62" t="s">
        <v>382</v>
      </c>
      <c r="F2891" s="63" t="s">
        <v>669</v>
      </c>
      <c r="G2891" s="64" t="n">
        <v>1768080.11866604</v>
      </c>
      <c r="H2891" s="62" t="s">
        <v>138</v>
      </c>
    </row>
    <row r="2892" customFormat="false" ht="15" hidden="false" customHeight="false" outlineLevel="0" collapsed="false">
      <c r="A2892" s="62" t="n">
        <v>0</v>
      </c>
      <c r="B2892" s="62" t="s">
        <v>381</v>
      </c>
      <c r="C2892" s="62" t="s">
        <v>60</v>
      </c>
      <c r="D2892" s="62" t="s">
        <v>72</v>
      </c>
      <c r="E2892" s="62" t="s">
        <v>382</v>
      </c>
      <c r="F2892" s="63" t="s">
        <v>670</v>
      </c>
      <c r="G2892" s="64" t="n">
        <v>25867012.1360842</v>
      </c>
      <c r="H2892" s="62" t="s">
        <v>138</v>
      </c>
    </row>
    <row r="2893" customFormat="false" ht="15" hidden="false" customHeight="false" outlineLevel="0" collapsed="false">
      <c r="A2893" s="62" t="n">
        <v>0</v>
      </c>
      <c r="B2893" s="62" t="s">
        <v>383</v>
      </c>
      <c r="C2893" s="62" t="s">
        <v>60</v>
      </c>
      <c r="D2893" s="62" t="s">
        <v>72</v>
      </c>
      <c r="E2893" s="62" t="s">
        <v>382</v>
      </c>
      <c r="F2893" s="63" t="s">
        <v>670</v>
      </c>
      <c r="G2893" s="64" t="n">
        <v>25867012.1360842</v>
      </c>
      <c r="H2893" s="62" t="s">
        <v>138</v>
      </c>
    </row>
    <row r="2894" customFormat="false" ht="15" hidden="false" customHeight="false" outlineLevel="0" collapsed="false">
      <c r="A2894" s="62" t="n">
        <v>0</v>
      </c>
      <c r="B2894" s="62" t="s">
        <v>384</v>
      </c>
      <c r="C2894" s="62" t="s">
        <v>60</v>
      </c>
      <c r="D2894" s="62" t="s">
        <v>72</v>
      </c>
      <c r="E2894" s="62" t="s">
        <v>382</v>
      </c>
      <c r="F2894" s="63" t="s">
        <v>670</v>
      </c>
      <c r="G2894" s="64" t="n">
        <v>25867012.1360842</v>
      </c>
      <c r="H2894" s="62" t="s">
        <v>138</v>
      </c>
    </row>
    <row r="2895" customFormat="false" ht="15" hidden="false" customHeight="false" outlineLevel="0" collapsed="false">
      <c r="A2895" s="62" t="n">
        <v>0</v>
      </c>
      <c r="B2895" s="62" t="s">
        <v>385</v>
      </c>
      <c r="C2895" s="62" t="s">
        <v>60</v>
      </c>
      <c r="D2895" s="62" t="s">
        <v>72</v>
      </c>
      <c r="E2895" s="62" t="s">
        <v>382</v>
      </c>
      <c r="F2895" s="63" t="s">
        <v>670</v>
      </c>
      <c r="G2895" s="64" t="n">
        <v>25867012.1360842</v>
      </c>
      <c r="H2895" s="62" t="s">
        <v>138</v>
      </c>
    </row>
    <row r="2896" customFormat="false" ht="15" hidden="false" customHeight="false" outlineLevel="0" collapsed="false">
      <c r="A2896" s="62" t="n">
        <v>0</v>
      </c>
      <c r="B2896" s="62" t="s">
        <v>386</v>
      </c>
      <c r="C2896" s="62" t="s">
        <v>60</v>
      </c>
      <c r="D2896" s="62" t="s">
        <v>72</v>
      </c>
      <c r="E2896" s="62" t="s">
        <v>382</v>
      </c>
      <c r="F2896" s="63" t="s">
        <v>670</v>
      </c>
      <c r="G2896" s="64" t="n">
        <v>25867012.1360842</v>
      </c>
      <c r="H2896" s="62" t="s">
        <v>138</v>
      </c>
    </row>
    <row r="2897" customFormat="false" ht="15" hidden="false" customHeight="false" outlineLevel="0" collapsed="false">
      <c r="A2897" s="62" t="n">
        <v>0</v>
      </c>
      <c r="B2897" s="62" t="s">
        <v>387</v>
      </c>
      <c r="C2897" s="62" t="s">
        <v>60</v>
      </c>
      <c r="D2897" s="62" t="s">
        <v>72</v>
      </c>
      <c r="E2897" s="62" t="s">
        <v>382</v>
      </c>
      <c r="F2897" s="63" t="s">
        <v>670</v>
      </c>
      <c r="G2897" s="64" t="n">
        <v>25867012.1360842</v>
      </c>
      <c r="H2897" s="62" t="s">
        <v>138</v>
      </c>
    </row>
    <row r="2898" customFormat="false" ht="15" hidden="false" customHeight="false" outlineLevel="0" collapsed="false">
      <c r="A2898" s="62" t="n">
        <v>0</v>
      </c>
      <c r="B2898" s="62" t="s">
        <v>388</v>
      </c>
      <c r="C2898" s="62" t="s">
        <v>60</v>
      </c>
      <c r="D2898" s="62" t="s">
        <v>72</v>
      </c>
      <c r="E2898" s="62" t="s">
        <v>382</v>
      </c>
      <c r="F2898" s="63" t="s">
        <v>670</v>
      </c>
      <c r="G2898" s="64" t="n">
        <v>25867012.1360842</v>
      </c>
      <c r="H2898" s="62" t="s">
        <v>138</v>
      </c>
    </row>
    <row r="2899" customFormat="false" ht="15" hidden="false" customHeight="false" outlineLevel="0" collapsed="false">
      <c r="A2899" s="62" t="n">
        <v>0</v>
      </c>
      <c r="B2899" s="62" t="s">
        <v>381</v>
      </c>
      <c r="C2899" s="62" t="s">
        <v>60</v>
      </c>
      <c r="D2899" s="62" t="s">
        <v>72</v>
      </c>
      <c r="E2899" s="62" t="s">
        <v>382</v>
      </c>
      <c r="F2899" s="63" t="s">
        <v>671</v>
      </c>
      <c r="G2899" s="64" t="n">
        <v>1495522.36586083</v>
      </c>
      <c r="H2899" s="62" t="s">
        <v>138</v>
      </c>
    </row>
    <row r="2900" customFormat="false" ht="15" hidden="false" customHeight="false" outlineLevel="0" collapsed="false">
      <c r="A2900" s="62" t="n">
        <v>0</v>
      </c>
      <c r="B2900" s="62" t="s">
        <v>383</v>
      </c>
      <c r="C2900" s="62" t="s">
        <v>60</v>
      </c>
      <c r="D2900" s="62" t="s">
        <v>72</v>
      </c>
      <c r="E2900" s="62" t="s">
        <v>382</v>
      </c>
      <c r="F2900" s="63" t="s">
        <v>671</v>
      </c>
      <c r="G2900" s="64" t="n">
        <v>1495522.36586083</v>
      </c>
      <c r="H2900" s="62" t="s">
        <v>138</v>
      </c>
    </row>
    <row r="2901" customFormat="false" ht="15" hidden="false" customHeight="false" outlineLevel="0" collapsed="false">
      <c r="A2901" s="62" t="n">
        <v>0</v>
      </c>
      <c r="B2901" s="62" t="s">
        <v>384</v>
      </c>
      <c r="C2901" s="62" t="s">
        <v>60</v>
      </c>
      <c r="D2901" s="62" t="s">
        <v>72</v>
      </c>
      <c r="E2901" s="62" t="s">
        <v>382</v>
      </c>
      <c r="F2901" s="63" t="s">
        <v>671</v>
      </c>
      <c r="G2901" s="64" t="n">
        <v>1495522.36586083</v>
      </c>
      <c r="H2901" s="62" t="s">
        <v>138</v>
      </c>
    </row>
    <row r="2902" customFormat="false" ht="15" hidden="false" customHeight="false" outlineLevel="0" collapsed="false">
      <c r="A2902" s="62" t="n">
        <v>0</v>
      </c>
      <c r="B2902" s="62" t="s">
        <v>385</v>
      </c>
      <c r="C2902" s="62" t="s">
        <v>60</v>
      </c>
      <c r="D2902" s="62" t="s">
        <v>72</v>
      </c>
      <c r="E2902" s="62" t="s">
        <v>382</v>
      </c>
      <c r="F2902" s="63" t="s">
        <v>671</v>
      </c>
      <c r="G2902" s="64" t="n">
        <v>1495522.36586083</v>
      </c>
      <c r="H2902" s="62" t="s">
        <v>138</v>
      </c>
    </row>
    <row r="2903" customFormat="false" ht="15" hidden="false" customHeight="false" outlineLevel="0" collapsed="false">
      <c r="A2903" s="62" t="n">
        <v>0</v>
      </c>
      <c r="B2903" s="62" t="s">
        <v>386</v>
      </c>
      <c r="C2903" s="62" t="s">
        <v>60</v>
      </c>
      <c r="D2903" s="62" t="s">
        <v>72</v>
      </c>
      <c r="E2903" s="62" t="s">
        <v>382</v>
      </c>
      <c r="F2903" s="63" t="s">
        <v>671</v>
      </c>
      <c r="G2903" s="64" t="n">
        <v>1495522.36586083</v>
      </c>
      <c r="H2903" s="62" t="s">
        <v>138</v>
      </c>
    </row>
    <row r="2904" customFormat="false" ht="15" hidden="false" customHeight="false" outlineLevel="0" collapsed="false">
      <c r="A2904" s="62" t="n">
        <v>0</v>
      </c>
      <c r="B2904" s="62" t="s">
        <v>387</v>
      </c>
      <c r="C2904" s="62" t="s">
        <v>60</v>
      </c>
      <c r="D2904" s="62" t="s">
        <v>72</v>
      </c>
      <c r="E2904" s="62" t="s">
        <v>382</v>
      </c>
      <c r="F2904" s="63" t="s">
        <v>671</v>
      </c>
      <c r="G2904" s="64" t="n">
        <v>1495522.36586083</v>
      </c>
      <c r="H2904" s="62" t="s">
        <v>138</v>
      </c>
    </row>
    <row r="2905" customFormat="false" ht="15" hidden="false" customHeight="false" outlineLevel="0" collapsed="false">
      <c r="A2905" s="62" t="n">
        <v>0</v>
      </c>
      <c r="B2905" s="62" t="s">
        <v>388</v>
      </c>
      <c r="C2905" s="62" t="s">
        <v>60</v>
      </c>
      <c r="D2905" s="62" t="s">
        <v>72</v>
      </c>
      <c r="E2905" s="62" t="s">
        <v>382</v>
      </c>
      <c r="F2905" s="63" t="s">
        <v>671</v>
      </c>
      <c r="G2905" s="64" t="n">
        <v>1495522.36586083</v>
      </c>
      <c r="H2905" s="62" t="s">
        <v>138</v>
      </c>
    </row>
    <row r="2906" customFormat="false" ht="15" hidden="false" customHeight="false" outlineLevel="0" collapsed="false">
      <c r="A2906" s="62" t="n">
        <v>0</v>
      </c>
      <c r="B2906" s="62" t="s">
        <v>381</v>
      </c>
      <c r="C2906" s="62" t="s">
        <v>60</v>
      </c>
      <c r="D2906" s="62" t="s">
        <v>72</v>
      </c>
      <c r="E2906" s="62" t="s">
        <v>382</v>
      </c>
      <c r="F2906" s="63" t="s">
        <v>672</v>
      </c>
      <c r="G2906" s="64" t="n">
        <v>25872536.9293923</v>
      </c>
      <c r="H2906" s="62" t="s">
        <v>138</v>
      </c>
    </row>
    <row r="2907" customFormat="false" ht="15" hidden="false" customHeight="false" outlineLevel="0" collapsed="false">
      <c r="A2907" s="62" t="n">
        <v>0</v>
      </c>
      <c r="B2907" s="62" t="s">
        <v>383</v>
      </c>
      <c r="C2907" s="62" t="s">
        <v>60</v>
      </c>
      <c r="D2907" s="62" t="s">
        <v>72</v>
      </c>
      <c r="E2907" s="62" t="s">
        <v>382</v>
      </c>
      <c r="F2907" s="63" t="s">
        <v>672</v>
      </c>
      <c r="G2907" s="64" t="n">
        <v>25872536.9293923</v>
      </c>
      <c r="H2907" s="62" t="s">
        <v>138</v>
      </c>
    </row>
    <row r="2908" customFormat="false" ht="15" hidden="false" customHeight="false" outlineLevel="0" collapsed="false">
      <c r="A2908" s="62" t="n">
        <v>0</v>
      </c>
      <c r="B2908" s="62" t="s">
        <v>384</v>
      </c>
      <c r="C2908" s="62" t="s">
        <v>60</v>
      </c>
      <c r="D2908" s="62" t="s">
        <v>72</v>
      </c>
      <c r="E2908" s="62" t="s">
        <v>382</v>
      </c>
      <c r="F2908" s="63" t="s">
        <v>672</v>
      </c>
      <c r="G2908" s="64" t="n">
        <v>25872536.9293923</v>
      </c>
      <c r="H2908" s="62" t="s">
        <v>138</v>
      </c>
    </row>
    <row r="2909" customFormat="false" ht="15" hidden="false" customHeight="false" outlineLevel="0" collapsed="false">
      <c r="A2909" s="62" t="n">
        <v>0</v>
      </c>
      <c r="B2909" s="62" t="s">
        <v>385</v>
      </c>
      <c r="C2909" s="62" t="s">
        <v>60</v>
      </c>
      <c r="D2909" s="62" t="s">
        <v>72</v>
      </c>
      <c r="E2909" s="62" t="s">
        <v>382</v>
      </c>
      <c r="F2909" s="63" t="s">
        <v>672</v>
      </c>
      <c r="G2909" s="64" t="n">
        <v>25872536.9293923</v>
      </c>
      <c r="H2909" s="62" t="s">
        <v>138</v>
      </c>
    </row>
    <row r="2910" customFormat="false" ht="15" hidden="false" customHeight="false" outlineLevel="0" collapsed="false">
      <c r="A2910" s="62" t="n">
        <v>0</v>
      </c>
      <c r="B2910" s="62" t="s">
        <v>386</v>
      </c>
      <c r="C2910" s="62" t="s">
        <v>60</v>
      </c>
      <c r="D2910" s="62" t="s">
        <v>72</v>
      </c>
      <c r="E2910" s="62" t="s">
        <v>382</v>
      </c>
      <c r="F2910" s="63" t="s">
        <v>672</v>
      </c>
      <c r="G2910" s="64" t="n">
        <v>25872536.9293923</v>
      </c>
      <c r="H2910" s="62" t="s">
        <v>138</v>
      </c>
    </row>
    <row r="2911" customFormat="false" ht="15" hidden="false" customHeight="false" outlineLevel="0" collapsed="false">
      <c r="A2911" s="62" t="n">
        <v>0</v>
      </c>
      <c r="B2911" s="62" t="s">
        <v>387</v>
      </c>
      <c r="C2911" s="62" t="s">
        <v>60</v>
      </c>
      <c r="D2911" s="62" t="s">
        <v>72</v>
      </c>
      <c r="E2911" s="62" t="s">
        <v>382</v>
      </c>
      <c r="F2911" s="63" t="s">
        <v>672</v>
      </c>
      <c r="G2911" s="64" t="n">
        <v>25872536.9293923</v>
      </c>
      <c r="H2911" s="62" t="s">
        <v>138</v>
      </c>
    </row>
    <row r="2912" customFormat="false" ht="15" hidden="false" customHeight="false" outlineLevel="0" collapsed="false">
      <c r="A2912" s="62" t="n">
        <v>0</v>
      </c>
      <c r="B2912" s="62" t="s">
        <v>388</v>
      </c>
      <c r="C2912" s="62" t="s">
        <v>60</v>
      </c>
      <c r="D2912" s="62" t="s">
        <v>72</v>
      </c>
      <c r="E2912" s="62" t="s">
        <v>382</v>
      </c>
      <c r="F2912" s="63" t="s">
        <v>672</v>
      </c>
      <c r="G2912" s="64" t="n">
        <v>25872536.9293923</v>
      </c>
      <c r="H2912" s="62" t="s">
        <v>138</v>
      </c>
    </row>
    <row r="2913" customFormat="false" ht="15" hidden="false" customHeight="false" outlineLevel="0" collapsed="false">
      <c r="A2913" s="62" t="n">
        <v>0</v>
      </c>
      <c r="B2913" s="62" t="s">
        <v>381</v>
      </c>
      <c r="C2913" s="62" t="s">
        <v>60</v>
      </c>
      <c r="D2913" s="62" t="s">
        <v>72</v>
      </c>
      <c r="E2913" s="62" t="s">
        <v>382</v>
      </c>
      <c r="F2913" s="63" t="s">
        <v>673</v>
      </c>
      <c r="G2913" s="64" t="n">
        <v>19785391.1297046</v>
      </c>
      <c r="H2913" s="62" t="s">
        <v>138</v>
      </c>
    </row>
    <row r="2914" customFormat="false" ht="15" hidden="false" customHeight="false" outlineLevel="0" collapsed="false">
      <c r="A2914" s="62" t="n">
        <v>0</v>
      </c>
      <c r="B2914" s="62" t="s">
        <v>383</v>
      </c>
      <c r="C2914" s="62" t="s">
        <v>60</v>
      </c>
      <c r="D2914" s="62" t="s">
        <v>72</v>
      </c>
      <c r="E2914" s="62" t="s">
        <v>382</v>
      </c>
      <c r="F2914" s="63" t="s">
        <v>673</v>
      </c>
      <c r="G2914" s="64" t="n">
        <v>19785391.1297046</v>
      </c>
      <c r="H2914" s="62" t="s">
        <v>138</v>
      </c>
    </row>
    <row r="2915" customFormat="false" ht="15" hidden="false" customHeight="false" outlineLevel="0" collapsed="false">
      <c r="A2915" s="62" t="n">
        <v>0</v>
      </c>
      <c r="B2915" s="62" t="s">
        <v>384</v>
      </c>
      <c r="C2915" s="62" t="s">
        <v>60</v>
      </c>
      <c r="D2915" s="62" t="s">
        <v>72</v>
      </c>
      <c r="E2915" s="62" t="s">
        <v>382</v>
      </c>
      <c r="F2915" s="63" t="s">
        <v>673</v>
      </c>
      <c r="G2915" s="64" t="n">
        <v>19785391.1297046</v>
      </c>
      <c r="H2915" s="62" t="s">
        <v>138</v>
      </c>
    </row>
    <row r="2916" customFormat="false" ht="15" hidden="false" customHeight="false" outlineLevel="0" collapsed="false">
      <c r="A2916" s="62" t="n">
        <v>0</v>
      </c>
      <c r="B2916" s="62" t="s">
        <v>385</v>
      </c>
      <c r="C2916" s="62" t="s">
        <v>60</v>
      </c>
      <c r="D2916" s="62" t="s">
        <v>72</v>
      </c>
      <c r="E2916" s="62" t="s">
        <v>382</v>
      </c>
      <c r="F2916" s="63" t="s">
        <v>673</v>
      </c>
      <c r="G2916" s="64" t="n">
        <v>19785391.1297046</v>
      </c>
      <c r="H2916" s="62" t="s">
        <v>138</v>
      </c>
    </row>
    <row r="2917" customFormat="false" ht="15" hidden="false" customHeight="false" outlineLevel="0" collapsed="false">
      <c r="A2917" s="62" t="n">
        <v>0</v>
      </c>
      <c r="B2917" s="62" t="s">
        <v>386</v>
      </c>
      <c r="C2917" s="62" t="s">
        <v>60</v>
      </c>
      <c r="D2917" s="62" t="s">
        <v>72</v>
      </c>
      <c r="E2917" s="62" t="s">
        <v>382</v>
      </c>
      <c r="F2917" s="63" t="s">
        <v>673</v>
      </c>
      <c r="G2917" s="64" t="n">
        <v>19785391.1297046</v>
      </c>
      <c r="H2917" s="62" t="s">
        <v>138</v>
      </c>
    </row>
    <row r="2918" customFormat="false" ht="15" hidden="false" customHeight="false" outlineLevel="0" collapsed="false">
      <c r="A2918" s="62" t="n">
        <v>0</v>
      </c>
      <c r="B2918" s="62" t="s">
        <v>387</v>
      </c>
      <c r="C2918" s="62" t="s">
        <v>60</v>
      </c>
      <c r="D2918" s="62" t="s">
        <v>72</v>
      </c>
      <c r="E2918" s="62" t="s">
        <v>382</v>
      </c>
      <c r="F2918" s="63" t="s">
        <v>673</v>
      </c>
      <c r="G2918" s="64" t="n">
        <v>19785391.1297046</v>
      </c>
      <c r="H2918" s="62" t="s">
        <v>138</v>
      </c>
    </row>
    <row r="2919" customFormat="false" ht="15" hidden="false" customHeight="false" outlineLevel="0" collapsed="false">
      <c r="A2919" s="62" t="n">
        <v>0</v>
      </c>
      <c r="B2919" s="62" t="s">
        <v>388</v>
      </c>
      <c r="C2919" s="62" t="s">
        <v>60</v>
      </c>
      <c r="D2919" s="62" t="s">
        <v>72</v>
      </c>
      <c r="E2919" s="62" t="s">
        <v>382</v>
      </c>
      <c r="F2919" s="63" t="s">
        <v>673</v>
      </c>
      <c r="G2919" s="64" t="n">
        <v>19785391.1297046</v>
      </c>
      <c r="H2919" s="62" t="s">
        <v>138</v>
      </c>
    </row>
    <row r="2920" customFormat="false" ht="15" hidden="false" customHeight="false" outlineLevel="0" collapsed="false">
      <c r="A2920" s="62" t="n">
        <v>0</v>
      </c>
      <c r="B2920" s="62" t="s">
        <v>381</v>
      </c>
      <c r="C2920" s="62" t="s">
        <v>60</v>
      </c>
      <c r="D2920" s="62" t="s">
        <v>72</v>
      </c>
      <c r="E2920" s="62" t="s">
        <v>382</v>
      </c>
      <c r="F2920" s="63" t="s">
        <v>674</v>
      </c>
      <c r="G2920" s="64" t="n">
        <v>363032.427722816</v>
      </c>
      <c r="H2920" s="62" t="s">
        <v>138</v>
      </c>
    </row>
    <row r="2921" customFormat="false" ht="15" hidden="false" customHeight="false" outlineLevel="0" collapsed="false">
      <c r="A2921" s="62" t="n">
        <v>0</v>
      </c>
      <c r="B2921" s="62" t="s">
        <v>383</v>
      </c>
      <c r="C2921" s="62" t="s">
        <v>60</v>
      </c>
      <c r="D2921" s="62" t="s">
        <v>72</v>
      </c>
      <c r="E2921" s="62" t="s">
        <v>382</v>
      </c>
      <c r="F2921" s="63" t="s">
        <v>674</v>
      </c>
      <c r="G2921" s="64" t="n">
        <v>363032.427722816</v>
      </c>
      <c r="H2921" s="62" t="s">
        <v>138</v>
      </c>
    </row>
    <row r="2922" customFormat="false" ht="15" hidden="false" customHeight="false" outlineLevel="0" collapsed="false">
      <c r="A2922" s="62" t="n">
        <v>0</v>
      </c>
      <c r="B2922" s="62" t="s">
        <v>384</v>
      </c>
      <c r="C2922" s="62" t="s">
        <v>60</v>
      </c>
      <c r="D2922" s="62" t="s">
        <v>72</v>
      </c>
      <c r="E2922" s="62" t="s">
        <v>382</v>
      </c>
      <c r="F2922" s="63" t="s">
        <v>674</v>
      </c>
      <c r="G2922" s="64" t="n">
        <v>363032.427722816</v>
      </c>
      <c r="H2922" s="62" t="s">
        <v>138</v>
      </c>
    </row>
    <row r="2923" customFormat="false" ht="15" hidden="false" customHeight="false" outlineLevel="0" collapsed="false">
      <c r="A2923" s="62" t="n">
        <v>0</v>
      </c>
      <c r="B2923" s="62" t="s">
        <v>385</v>
      </c>
      <c r="C2923" s="62" t="s">
        <v>60</v>
      </c>
      <c r="D2923" s="62" t="s">
        <v>72</v>
      </c>
      <c r="E2923" s="62" t="s">
        <v>382</v>
      </c>
      <c r="F2923" s="63" t="s">
        <v>674</v>
      </c>
      <c r="G2923" s="64" t="n">
        <v>363032.427722816</v>
      </c>
      <c r="H2923" s="62" t="s">
        <v>138</v>
      </c>
    </row>
    <row r="2924" customFormat="false" ht="15" hidden="false" customHeight="false" outlineLevel="0" collapsed="false">
      <c r="A2924" s="62" t="n">
        <v>0</v>
      </c>
      <c r="B2924" s="62" t="s">
        <v>386</v>
      </c>
      <c r="C2924" s="62" t="s">
        <v>60</v>
      </c>
      <c r="D2924" s="62" t="s">
        <v>72</v>
      </c>
      <c r="E2924" s="62" t="s">
        <v>382</v>
      </c>
      <c r="F2924" s="63" t="s">
        <v>674</v>
      </c>
      <c r="G2924" s="64" t="n">
        <v>363032.427722816</v>
      </c>
      <c r="H2924" s="62" t="s">
        <v>138</v>
      </c>
    </row>
    <row r="2925" customFormat="false" ht="15" hidden="false" customHeight="false" outlineLevel="0" collapsed="false">
      <c r="A2925" s="62" t="n">
        <v>0</v>
      </c>
      <c r="B2925" s="62" t="s">
        <v>387</v>
      </c>
      <c r="C2925" s="62" t="s">
        <v>60</v>
      </c>
      <c r="D2925" s="62" t="s">
        <v>72</v>
      </c>
      <c r="E2925" s="62" t="s">
        <v>382</v>
      </c>
      <c r="F2925" s="63" t="s">
        <v>674</v>
      </c>
      <c r="G2925" s="64" t="n">
        <v>363032.427722816</v>
      </c>
      <c r="H2925" s="62" t="s">
        <v>138</v>
      </c>
    </row>
    <row r="2926" customFormat="false" ht="15" hidden="false" customHeight="false" outlineLevel="0" collapsed="false">
      <c r="A2926" s="62" t="n">
        <v>0</v>
      </c>
      <c r="B2926" s="62" t="s">
        <v>388</v>
      </c>
      <c r="C2926" s="62" t="s">
        <v>60</v>
      </c>
      <c r="D2926" s="62" t="s">
        <v>72</v>
      </c>
      <c r="E2926" s="62" t="s">
        <v>382</v>
      </c>
      <c r="F2926" s="63" t="s">
        <v>674</v>
      </c>
      <c r="G2926" s="64" t="n">
        <v>363032.427722816</v>
      </c>
      <c r="H2926" s="62" t="s">
        <v>138</v>
      </c>
    </row>
    <row r="2927" customFormat="false" ht="15" hidden="false" customHeight="false" outlineLevel="0" collapsed="false">
      <c r="A2927" s="62" t="n">
        <v>0</v>
      </c>
      <c r="B2927" s="62" t="s">
        <v>381</v>
      </c>
      <c r="C2927" s="62" t="s">
        <v>60</v>
      </c>
      <c r="D2927" s="62" t="s">
        <v>72</v>
      </c>
      <c r="E2927" s="62" t="s">
        <v>382</v>
      </c>
      <c r="F2927" s="63" t="s">
        <v>675</v>
      </c>
      <c r="G2927" s="64" t="n">
        <v>600000</v>
      </c>
      <c r="H2927" s="62" t="s">
        <v>138</v>
      </c>
    </row>
    <row r="2928" customFormat="false" ht="15" hidden="false" customHeight="false" outlineLevel="0" collapsed="false">
      <c r="A2928" s="62" t="n">
        <v>0</v>
      </c>
      <c r="B2928" s="62" t="s">
        <v>383</v>
      </c>
      <c r="C2928" s="62" t="s">
        <v>60</v>
      </c>
      <c r="D2928" s="62" t="s">
        <v>72</v>
      </c>
      <c r="E2928" s="62" t="s">
        <v>382</v>
      </c>
      <c r="F2928" s="63" t="s">
        <v>675</v>
      </c>
      <c r="G2928" s="64" t="n">
        <v>600000</v>
      </c>
      <c r="H2928" s="62" t="s">
        <v>138</v>
      </c>
    </row>
    <row r="2929" customFormat="false" ht="15" hidden="false" customHeight="false" outlineLevel="0" collapsed="false">
      <c r="A2929" s="62" t="n">
        <v>0</v>
      </c>
      <c r="B2929" s="62" t="s">
        <v>384</v>
      </c>
      <c r="C2929" s="62" t="s">
        <v>60</v>
      </c>
      <c r="D2929" s="62" t="s">
        <v>72</v>
      </c>
      <c r="E2929" s="62" t="s">
        <v>382</v>
      </c>
      <c r="F2929" s="63" t="s">
        <v>675</v>
      </c>
      <c r="G2929" s="64" t="n">
        <v>600000</v>
      </c>
      <c r="H2929" s="62" t="s">
        <v>138</v>
      </c>
    </row>
    <row r="2930" customFormat="false" ht="15" hidden="false" customHeight="false" outlineLevel="0" collapsed="false">
      <c r="A2930" s="62" t="n">
        <v>0</v>
      </c>
      <c r="B2930" s="62" t="s">
        <v>385</v>
      </c>
      <c r="C2930" s="62" t="s">
        <v>60</v>
      </c>
      <c r="D2930" s="62" t="s">
        <v>72</v>
      </c>
      <c r="E2930" s="62" t="s">
        <v>382</v>
      </c>
      <c r="F2930" s="63" t="s">
        <v>675</v>
      </c>
      <c r="G2930" s="64" t="n">
        <v>600000</v>
      </c>
      <c r="H2930" s="62" t="s">
        <v>138</v>
      </c>
    </row>
    <row r="2931" customFormat="false" ht="15" hidden="false" customHeight="false" outlineLevel="0" collapsed="false">
      <c r="A2931" s="62" t="n">
        <v>0</v>
      </c>
      <c r="B2931" s="62" t="s">
        <v>386</v>
      </c>
      <c r="C2931" s="62" t="s">
        <v>60</v>
      </c>
      <c r="D2931" s="62" t="s">
        <v>72</v>
      </c>
      <c r="E2931" s="62" t="s">
        <v>382</v>
      </c>
      <c r="F2931" s="63" t="s">
        <v>675</v>
      </c>
      <c r="G2931" s="64" t="n">
        <v>600000</v>
      </c>
      <c r="H2931" s="62" t="s">
        <v>138</v>
      </c>
    </row>
    <row r="2932" customFormat="false" ht="15" hidden="false" customHeight="false" outlineLevel="0" collapsed="false">
      <c r="A2932" s="62" t="n">
        <v>0</v>
      </c>
      <c r="B2932" s="62" t="s">
        <v>387</v>
      </c>
      <c r="C2932" s="62" t="s">
        <v>60</v>
      </c>
      <c r="D2932" s="62" t="s">
        <v>72</v>
      </c>
      <c r="E2932" s="62" t="s">
        <v>382</v>
      </c>
      <c r="F2932" s="63" t="s">
        <v>675</v>
      </c>
      <c r="G2932" s="64" t="n">
        <v>600000</v>
      </c>
      <c r="H2932" s="62" t="s">
        <v>138</v>
      </c>
    </row>
    <row r="2933" customFormat="false" ht="15" hidden="false" customHeight="false" outlineLevel="0" collapsed="false">
      <c r="A2933" s="62" t="n">
        <v>0</v>
      </c>
      <c r="B2933" s="62" t="s">
        <v>388</v>
      </c>
      <c r="C2933" s="62" t="s">
        <v>60</v>
      </c>
      <c r="D2933" s="62" t="s">
        <v>72</v>
      </c>
      <c r="E2933" s="62" t="s">
        <v>382</v>
      </c>
      <c r="F2933" s="63" t="s">
        <v>675</v>
      </c>
      <c r="G2933" s="64" t="n">
        <v>600000</v>
      </c>
      <c r="H2933" s="62" t="s">
        <v>138</v>
      </c>
    </row>
    <row r="2934" customFormat="false" ht="15" hidden="false" customHeight="false" outlineLevel="0" collapsed="false">
      <c r="A2934" s="62" t="n">
        <v>0</v>
      </c>
      <c r="B2934" s="62" t="s">
        <v>381</v>
      </c>
      <c r="C2934" s="62" t="s">
        <v>60</v>
      </c>
      <c r="D2934" s="62" t="s">
        <v>72</v>
      </c>
      <c r="E2934" s="62" t="s">
        <v>382</v>
      </c>
      <c r="F2934" s="63" t="s">
        <v>676</v>
      </c>
      <c r="G2934" s="64" t="n">
        <v>20748423.5574274</v>
      </c>
      <c r="H2934" s="62" t="s">
        <v>138</v>
      </c>
    </row>
    <row r="2935" customFormat="false" ht="15" hidden="false" customHeight="false" outlineLevel="0" collapsed="false">
      <c r="A2935" s="62" t="n">
        <v>0</v>
      </c>
      <c r="B2935" s="62" t="s">
        <v>383</v>
      </c>
      <c r="C2935" s="62" t="s">
        <v>60</v>
      </c>
      <c r="D2935" s="62" t="s">
        <v>72</v>
      </c>
      <c r="E2935" s="62" t="s">
        <v>382</v>
      </c>
      <c r="F2935" s="63" t="s">
        <v>676</v>
      </c>
      <c r="G2935" s="64" t="n">
        <v>20748423.5574274</v>
      </c>
      <c r="H2935" s="62" t="s">
        <v>138</v>
      </c>
    </row>
    <row r="2936" customFormat="false" ht="15" hidden="false" customHeight="false" outlineLevel="0" collapsed="false">
      <c r="A2936" s="62" t="n">
        <v>0</v>
      </c>
      <c r="B2936" s="62" t="s">
        <v>384</v>
      </c>
      <c r="C2936" s="62" t="s">
        <v>60</v>
      </c>
      <c r="D2936" s="62" t="s">
        <v>72</v>
      </c>
      <c r="E2936" s="62" t="s">
        <v>382</v>
      </c>
      <c r="F2936" s="63" t="s">
        <v>676</v>
      </c>
      <c r="G2936" s="64" t="n">
        <v>20748423.5574274</v>
      </c>
      <c r="H2936" s="62" t="s">
        <v>138</v>
      </c>
    </row>
    <row r="2937" customFormat="false" ht="15" hidden="false" customHeight="false" outlineLevel="0" collapsed="false">
      <c r="A2937" s="62" t="n">
        <v>0</v>
      </c>
      <c r="B2937" s="62" t="s">
        <v>385</v>
      </c>
      <c r="C2937" s="62" t="s">
        <v>60</v>
      </c>
      <c r="D2937" s="62" t="s">
        <v>72</v>
      </c>
      <c r="E2937" s="62" t="s">
        <v>382</v>
      </c>
      <c r="F2937" s="63" t="s">
        <v>676</v>
      </c>
      <c r="G2937" s="64" t="n">
        <v>20748423.5574274</v>
      </c>
      <c r="H2937" s="62" t="s">
        <v>138</v>
      </c>
    </row>
    <row r="2938" customFormat="false" ht="15" hidden="false" customHeight="false" outlineLevel="0" collapsed="false">
      <c r="A2938" s="62" t="n">
        <v>0</v>
      </c>
      <c r="B2938" s="62" t="s">
        <v>386</v>
      </c>
      <c r="C2938" s="62" t="s">
        <v>60</v>
      </c>
      <c r="D2938" s="62" t="s">
        <v>72</v>
      </c>
      <c r="E2938" s="62" t="s">
        <v>382</v>
      </c>
      <c r="F2938" s="63" t="s">
        <v>676</v>
      </c>
      <c r="G2938" s="64" t="n">
        <v>20748423.5574274</v>
      </c>
      <c r="H2938" s="62" t="s">
        <v>138</v>
      </c>
    </row>
    <row r="2939" customFormat="false" ht="15" hidden="false" customHeight="false" outlineLevel="0" collapsed="false">
      <c r="A2939" s="62" t="n">
        <v>0</v>
      </c>
      <c r="B2939" s="62" t="s">
        <v>387</v>
      </c>
      <c r="C2939" s="62" t="s">
        <v>60</v>
      </c>
      <c r="D2939" s="62" t="s">
        <v>72</v>
      </c>
      <c r="E2939" s="62" t="s">
        <v>382</v>
      </c>
      <c r="F2939" s="63" t="s">
        <v>676</v>
      </c>
      <c r="G2939" s="64" t="n">
        <v>20748423.5574274</v>
      </c>
      <c r="H2939" s="62" t="s">
        <v>138</v>
      </c>
    </row>
    <row r="2940" customFormat="false" ht="15" hidden="false" customHeight="false" outlineLevel="0" collapsed="false">
      <c r="A2940" s="62" t="n">
        <v>0</v>
      </c>
      <c r="B2940" s="62" t="s">
        <v>388</v>
      </c>
      <c r="C2940" s="62" t="s">
        <v>60</v>
      </c>
      <c r="D2940" s="62" t="s">
        <v>72</v>
      </c>
      <c r="E2940" s="62" t="s">
        <v>382</v>
      </c>
      <c r="F2940" s="63" t="s">
        <v>676</v>
      </c>
      <c r="G2940" s="64" t="n">
        <v>20748423.5574274</v>
      </c>
      <c r="H2940" s="62" t="s">
        <v>138</v>
      </c>
    </row>
    <row r="2941" customFormat="false" ht="15" hidden="false" customHeight="false" outlineLevel="0" collapsed="false">
      <c r="A2941" s="62" t="n">
        <v>0</v>
      </c>
      <c r="B2941" s="62" t="s">
        <v>381</v>
      </c>
      <c r="C2941" s="62" t="s">
        <v>60</v>
      </c>
      <c r="D2941" s="62" t="s">
        <v>72</v>
      </c>
      <c r="E2941" s="62" t="s">
        <v>382</v>
      </c>
      <c r="F2941" s="63" t="s">
        <v>677</v>
      </c>
      <c r="G2941" s="64" t="n">
        <v>14.1962203543563</v>
      </c>
      <c r="H2941" s="62" t="s">
        <v>138</v>
      </c>
    </row>
    <row r="2942" customFormat="false" ht="15" hidden="false" customHeight="false" outlineLevel="0" collapsed="false">
      <c r="A2942" s="62" t="n">
        <v>0</v>
      </c>
      <c r="B2942" s="62" t="s">
        <v>383</v>
      </c>
      <c r="C2942" s="62" t="s">
        <v>60</v>
      </c>
      <c r="D2942" s="62" t="s">
        <v>72</v>
      </c>
      <c r="E2942" s="62" t="s">
        <v>382</v>
      </c>
      <c r="F2942" s="63" t="s">
        <v>677</v>
      </c>
      <c r="G2942" s="64" t="n">
        <v>14.1962203543563</v>
      </c>
      <c r="H2942" s="62" t="s">
        <v>138</v>
      </c>
    </row>
    <row r="2943" customFormat="false" ht="15" hidden="false" customHeight="false" outlineLevel="0" collapsed="false">
      <c r="A2943" s="62" t="n">
        <v>0</v>
      </c>
      <c r="B2943" s="62" t="s">
        <v>384</v>
      </c>
      <c r="C2943" s="62" t="s">
        <v>60</v>
      </c>
      <c r="D2943" s="62" t="s">
        <v>72</v>
      </c>
      <c r="E2943" s="62" t="s">
        <v>382</v>
      </c>
      <c r="F2943" s="63" t="s">
        <v>677</v>
      </c>
      <c r="G2943" s="64" t="n">
        <v>14.1962203543563</v>
      </c>
      <c r="H2943" s="62" t="s">
        <v>138</v>
      </c>
    </row>
    <row r="2944" customFormat="false" ht="15" hidden="false" customHeight="false" outlineLevel="0" collapsed="false">
      <c r="A2944" s="62" t="n">
        <v>0</v>
      </c>
      <c r="B2944" s="62" t="s">
        <v>385</v>
      </c>
      <c r="C2944" s="62" t="s">
        <v>60</v>
      </c>
      <c r="D2944" s="62" t="s">
        <v>72</v>
      </c>
      <c r="E2944" s="62" t="s">
        <v>382</v>
      </c>
      <c r="F2944" s="63" t="s">
        <v>677</v>
      </c>
      <c r="G2944" s="64" t="n">
        <v>14.1962203543563</v>
      </c>
      <c r="H2944" s="62" t="s">
        <v>138</v>
      </c>
    </row>
    <row r="2945" customFormat="false" ht="15" hidden="false" customHeight="false" outlineLevel="0" collapsed="false">
      <c r="A2945" s="62" t="n">
        <v>0</v>
      </c>
      <c r="B2945" s="62" t="s">
        <v>386</v>
      </c>
      <c r="C2945" s="62" t="s">
        <v>60</v>
      </c>
      <c r="D2945" s="62" t="s">
        <v>72</v>
      </c>
      <c r="E2945" s="62" t="s">
        <v>382</v>
      </c>
      <c r="F2945" s="63" t="s">
        <v>677</v>
      </c>
      <c r="G2945" s="64" t="n">
        <v>14.1962203543563</v>
      </c>
      <c r="H2945" s="62" t="s">
        <v>138</v>
      </c>
    </row>
    <row r="2946" customFormat="false" ht="15" hidden="false" customHeight="false" outlineLevel="0" collapsed="false">
      <c r="A2946" s="62" t="n">
        <v>0</v>
      </c>
      <c r="B2946" s="62" t="s">
        <v>387</v>
      </c>
      <c r="C2946" s="62" t="s">
        <v>60</v>
      </c>
      <c r="D2946" s="62" t="s">
        <v>72</v>
      </c>
      <c r="E2946" s="62" t="s">
        <v>382</v>
      </c>
      <c r="F2946" s="63" t="s">
        <v>677</v>
      </c>
      <c r="G2946" s="64" t="n">
        <v>14.1962203543563</v>
      </c>
      <c r="H2946" s="62" t="s">
        <v>138</v>
      </c>
    </row>
    <row r="2947" customFormat="false" ht="15" hidden="false" customHeight="false" outlineLevel="0" collapsed="false">
      <c r="A2947" s="62" t="n">
        <v>0</v>
      </c>
      <c r="B2947" s="62" t="s">
        <v>388</v>
      </c>
      <c r="C2947" s="62" t="s">
        <v>60</v>
      </c>
      <c r="D2947" s="62" t="s">
        <v>72</v>
      </c>
      <c r="E2947" s="62" t="s">
        <v>382</v>
      </c>
      <c r="F2947" s="63" t="s">
        <v>677</v>
      </c>
      <c r="G2947" s="64" t="n">
        <v>14.1962203543563</v>
      </c>
      <c r="H2947" s="62" t="s">
        <v>138</v>
      </c>
    </row>
    <row r="2948" customFormat="false" ht="15" hidden="false" customHeight="false" outlineLevel="0" collapsed="false">
      <c r="A2948" s="62" t="n">
        <v>0</v>
      </c>
      <c r="B2948" s="62" t="s">
        <v>381</v>
      </c>
      <c r="C2948" s="62" t="s">
        <v>60</v>
      </c>
      <c r="D2948" s="62" t="s">
        <v>72</v>
      </c>
      <c r="E2948" s="62" t="s">
        <v>382</v>
      </c>
      <c r="F2948" s="63" t="s">
        <v>678</v>
      </c>
      <c r="G2948" s="64" t="n">
        <v>6.85646815991457</v>
      </c>
      <c r="H2948" s="62" t="s">
        <v>138</v>
      </c>
    </row>
    <row r="2949" customFormat="false" ht="15" hidden="false" customHeight="false" outlineLevel="0" collapsed="false">
      <c r="A2949" s="62" t="n">
        <v>0</v>
      </c>
      <c r="B2949" s="62" t="s">
        <v>383</v>
      </c>
      <c r="C2949" s="62" t="s">
        <v>60</v>
      </c>
      <c r="D2949" s="62" t="s">
        <v>72</v>
      </c>
      <c r="E2949" s="62" t="s">
        <v>382</v>
      </c>
      <c r="F2949" s="63" t="s">
        <v>678</v>
      </c>
      <c r="G2949" s="64" t="n">
        <v>6.85646815991457</v>
      </c>
      <c r="H2949" s="62" t="s">
        <v>138</v>
      </c>
    </row>
    <row r="2950" customFormat="false" ht="15" hidden="false" customHeight="false" outlineLevel="0" collapsed="false">
      <c r="A2950" s="62" t="n">
        <v>0</v>
      </c>
      <c r="B2950" s="62" t="s">
        <v>384</v>
      </c>
      <c r="C2950" s="62" t="s">
        <v>60</v>
      </c>
      <c r="D2950" s="62" t="s">
        <v>72</v>
      </c>
      <c r="E2950" s="62" t="s">
        <v>382</v>
      </c>
      <c r="F2950" s="63" t="s">
        <v>678</v>
      </c>
      <c r="G2950" s="64" t="n">
        <v>6.85646815991457</v>
      </c>
      <c r="H2950" s="62" t="s">
        <v>138</v>
      </c>
    </row>
    <row r="2951" customFormat="false" ht="15" hidden="false" customHeight="false" outlineLevel="0" collapsed="false">
      <c r="A2951" s="62" t="n">
        <v>0</v>
      </c>
      <c r="B2951" s="62" t="s">
        <v>385</v>
      </c>
      <c r="C2951" s="62" t="s">
        <v>60</v>
      </c>
      <c r="D2951" s="62" t="s">
        <v>72</v>
      </c>
      <c r="E2951" s="62" t="s">
        <v>382</v>
      </c>
      <c r="F2951" s="63" t="s">
        <v>678</v>
      </c>
      <c r="G2951" s="64" t="n">
        <v>6.85646815991457</v>
      </c>
      <c r="H2951" s="62" t="s">
        <v>138</v>
      </c>
    </row>
    <row r="2952" customFormat="false" ht="15" hidden="false" customHeight="false" outlineLevel="0" collapsed="false">
      <c r="A2952" s="62" t="n">
        <v>0</v>
      </c>
      <c r="B2952" s="62" t="s">
        <v>386</v>
      </c>
      <c r="C2952" s="62" t="s">
        <v>60</v>
      </c>
      <c r="D2952" s="62" t="s">
        <v>72</v>
      </c>
      <c r="E2952" s="62" t="s">
        <v>382</v>
      </c>
      <c r="F2952" s="63" t="s">
        <v>678</v>
      </c>
      <c r="G2952" s="64" t="n">
        <v>6.85646815991457</v>
      </c>
      <c r="H2952" s="62" t="s">
        <v>138</v>
      </c>
    </row>
    <row r="2953" customFormat="false" ht="15" hidden="false" customHeight="false" outlineLevel="0" collapsed="false">
      <c r="A2953" s="62" t="n">
        <v>0</v>
      </c>
      <c r="B2953" s="62" t="s">
        <v>387</v>
      </c>
      <c r="C2953" s="62" t="s">
        <v>60</v>
      </c>
      <c r="D2953" s="62" t="s">
        <v>72</v>
      </c>
      <c r="E2953" s="62" t="s">
        <v>382</v>
      </c>
      <c r="F2953" s="63" t="s">
        <v>678</v>
      </c>
      <c r="G2953" s="64" t="n">
        <v>6.85646815991457</v>
      </c>
      <c r="H2953" s="62" t="s">
        <v>138</v>
      </c>
    </row>
    <row r="2954" customFormat="false" ht="15" hidden="false" customHeight="false" outlineLevel="0" collapsed="false">
      <c r="A2954" s="62" t="n">
        <v>0</v>
      </c>
      <c r="B2954" s="62" t="s">
        <v>388</v>
      </c>
      <c r="C2954" s="62" t="s">
        <v>60</v>
      </c>
      <c r="D2954" s="62" t="s">
        <v>72</v>
      </c>
      <c r="E2954" s="62" t="s">
        <v>382</v>
      </c>
      <c r="F2954" s="63" t="s">
        <v>678</v>
      </c>
      <c r="G2954" s="64" t="n">
        <v>6.85646815991457</v>
      </c>
      <c r="H2954" s="62" t="s">
        <v>138</v>
      </c>
    </row>
    <row r="2955" customFormat="false" ht="15" hidden="false" customHeight="false" outlineLevel="0" collapsed="false">
      <c r="A2955" s="62" t="n">
        <v>0</v>
      </c>
      <c r="B2955" s="62" t="s">
        <v>381</v>
      </c>
      <c r="C2955" s="62" t="s">
        <v>60</v>
      </c>
      <c r="D2955" s="62" t="s">
        <v>72</v>
      </c>
      <c r="E2955" s="62" t="s">
        <v>382</v>
      </c>
      <c r="F2955" s="63" t="s">
        <v>679</v>
      </c>
      <c r="G2955" s="64" t="n">
        <v>10.2086017570671</v>
      </c>
      <c r="H2955" s="62" t="s">
        <v>138</v>
      </c>
    </row>
    <row r="2956" customFormat="false" ht="15" hidden="false" customHeight="false" outlineLevel="0" collapsed="false">
      <c r="A2956" s="62" t="n">
        <v>0</v>
      </c>
      <c r="B2956" s="62" t="s">
        <v>383</v>
      </c>
      <c r="C2956" s="62" t="s">
        <v>60</v>
      </c>
      <c r="D2956" s="62" t="s">
        <v>72</v>
      </c>
      <c r="E2956" s="62" t="s">
        <v>382</v>
      </c>
      <c r="F2956" s="63" t="s">
        <v>679</v>
      </c>
      <c r="G2956" s="64" t="n">
        <v>10.2086017570671</v>
      </c>
      <c r="H2956" s="62" t="s">
        <v>138</v>
      </c>
    </row>
    <row r="2957" customFormat="false" ht="15" hidden="false" customHeight="false" outlineLevel="0" collapsed="false">
      <c r="A2957" s="62" t="n">
        <v>0</v>
      </c>
      <c r="B2957" s="62" t="s">
        <v>384</v>
      </c>
      <c r="C2957" s="62" t="s">
        <v>60</v>
      </c>
      <c r="D2957" s="62" t="s">
        <v>72</v>
      </c>
      <c r="E2957" s="62" t="s">
        <v>382</v>
      </c>
      <c r="F2957" s="63" t="s">
        <v>679</v>
      </c>
      <c r="G2957" s="64" t="n">
        <v>10.2086017570671</v>
      </c>
      <c r="H2957" s="62" t="s">
        <v>138</v>
      </c>
    </row>
    <row r="2958" customFormat="false" ht="15" hidden="false" customHeight="false" outlineLevel="0" collapsed="false">
      <c r="A2958" s="62" t="n">
        <v>0</v>
      </c>
      <c r="B2958" s="62" t="s">
        <v>385</v>
      </c>
      <c r="C2958" s="62" t="s">
        <v>60</v>
      </c>
      <c r="D2958" s="62" t="s">
        <v>72</v>
      </c>
      <c r="E2958" s="62" t="s">
        <v>382</v>
      </c>
      <c r="F2958" s="63" t="s">
        <v>679</v>
      </c>
      <c r="G2958" s="64" t="n">
        <v>10.2086017570671</v>
      </c>
      <c r="H2958" s="62" t="s">
        <v>138</v>
      </c>
    </row>
    <row r="2959" customFormat="false" ht="15" hidden="false" customHeight="false" outlineLevel="0" collapsed="false">
      <c r="A2959" s="62" t="n">
        <v>0</v>
      </c>
      <c r="B2959" s="62" t="s">
        <v>386</v>
      </c>
      <c r="C2959" s="62" t="s">
        <v>60</v>
      </c>
      <c r="D2959" s="62" t="s">
        <v>72</v>
      </c>
      <c r="E2959" s="62" t="s">
        <v>382</v>
      </c>
      <c r="F2959" s="63" t="s">
        <v>679</v>
      </c>
      <c r="G2959" s="64" t="n">
        <v>10.2086017570671</v>
      </c>
      <c r="H2959" s="62" t="s">
        <v>138</v>
      </c>
    </row>
    <row r="2960" customFormat="false" ht="15" hidden="false" customHeight="false" outlineLevel="0" collapsed="false">
      <c r="A2960" s="62" t="n">
        <v>0</v>
      </c>
      <c r="B2960" s="62" t="s">
        <v>387</v>
      </c>
      <c r="C2960" s="62" t="s">
        <v>60</v>
      </c>
      <c r="D2960" s="62" t="s">
        <v>72</v>
      </c>
      <c r="E2960" s="62" t="s">
        <v>382</v>
      </c>
      <c r="F2960" s="63" t="s">
        <v>679</v>
      </c>
      <c r="G2960" s="64" t="n">
        <v>10.2086017570671</v>
      </c>
      <c r="H2960" s="62" t="s">
        <v>138</v>
      </c>
    </row>
    <row r="2961" customFormat="false" ht="15" hidden="false" customHeight="false" outlineLevel="0" collapsed="false">
      <c r="A2961" s="62" t="n">
        <v>0</v>
      </c>
      <c r="B2961" s="62" t="s">
        <v>388</v>
      </c>
      <c r="C2961" s="62" t="s">
        <v>60</v>
      </c>
      <c r="D2961" s="62" t="s">
        <v>72</v>
      </c>
      <c r="E2961" s="62" t="s">
        <v>382</v>
      </c>
      <c r="F2961" s="63" t="s">
        <v>679</v>
      </c>
      <c r="G2961" s="64" t="n">
        <v>10.2086017570671</v>
      </c>
      <c r="H2961" s="62" t="s">
        <v>138</v>
      </c>
    </row>
    <row r="2962" customFormat="false" ht="15" hidden="false" customHeight="false" outlineLevel="0" collapsed="false">
      <c r="A2962" s="62" t="n">
        <v>0</v>
      </c>
      <c r="B2962" s="62" t="s">
        <v>381</v>
      </c>
      <c r="C2962" s="62" t="s">
        <v>60</v>
      </c>
      <c r="D2962" s="62" t="s">
        <v>72</v>
      </c>
      <c r="E2962" s="62" t="s">
        <v>382</v>
      </c>
      <c r="F2962" s="63" t="s">
        <v>680</v>
      </c>
      <c r="G2962" s="64" t="n">
        <v>13517010.6311751</v>
      </c>
      <c r="H2962" s="62" t="s">
        <v>138</v>
      </c>
    </row>
    <row r="2963" customFormat="false" ht="15" hidden="false" customHeight="false" outlineLevel="0" collapsed="false">
      <c r="A2963" s="62" t="n">
        <v>0</v>
      </c>
      <c r="B2963" s="62" t="s">
        <v>383</v>
      </c>
      <c r="C2963" s="62" t="s">
        <v>60</v>
      </c>
      <c r="D2963" s="62" t="s">
        <v>72</v>
      </c>
      <c r="E2963" s="62" t="s">
        <v>382</v>
      </c>
      <c r="F2963" s="63" t="s">
        <v>680</v>
      </c>
      <c r="G2963" s="64" t="n">
        <v>13517010.6311751</v>
      </c>
      <c r="H2963" s="62" t="s">
        <v>138</v>
      </c>
    </row>
    <row r="2964" customFormat="false" ht="15" hidden="false" customHeight="false" outlineLevel="0" collapsed="false">
      <c r="A2964" s="62" t="n">
        <v>0</v>
      </c>
      <c r="B2964" s="62" t="s">
        <v>384</v>
      </c>
      <c r="C2964" s="62" t="s">
        <v>60</v>
      </c>
      <c r="D2964" s="62" t="s">
        <v>72</v>
      </c>
      <c r="E2964" s="62" t="s">
        <v>382</v>
      </c>
      <c r="F2964" s="63" t="s">
        <v>680</v>
      </c>
      <c r="G2964" s="64" t="n">
        <v>13517010.6311751</v>
      </c>
      <c r="H2964" s="62" t="s">
        <v>138</v>
      </c>
    </row>
    <row r="2965" customFormat="false" ht="15" hidden="false" customHeight="false" outlineLevel="0" collapsed="false">
      <c r="A2965" s="62" t="n">
        <v>0</v>
      </c>
      <c r="B2965" s="62" t="s">
        <v>385</v>
      </c>
      <c r="C2965" s="62" t="s">
        <v>60</v>
      </c>
      <c r="D2965" s="62" t="s">
        <v>72</v>
      </c>
      <c r="E2965" s="62" t="s">
        <v>382</v>
      </c>
      <c r="F2965" s="63" t="s">
        <v>680</v>
      </c>
      <c r="G2965" s="64" t="n">
        <v>13517010.6311751</v>
      </c>
      <c r="H2965" s="62" t="s">
        <v>138</v>
      </c>
    </row>
    <row r="2966" customFormat="false" ht="15" hidden="false" customHeight="false" outlineLevel="0" collapsed="false">
      <c r="A2966" s="62" t="n">
        <v>0</v>
      </c>
      <c r="B2966" s="62" t="s">
        <v>386</v>
      </c>
      <c r="C2966" s="62" t="s">
        <v>60</v>
      </c>
      <c r="D2966" s="62" t="s">
        <v>72</v>
      </c>
      <c r="E2966" s="62" t="s">
        <v>382</v>
      </c>
      <c r="F2966" s="63" t="s">
        <v>680</v>
      </c>
      <c r="G2966" s="64" t="n">
        <v>13517010.6311751</v>
      </c>
      <c r="H2966" s="62" t="s">
        <v>138</v>
      </c>
    </row>
    <row r="2967" customFormat="false" ht="15" hidden="false" customHeight="false" outlineLevel="0" collapsed="false">
      <c r="A2967" s="62" t="n">
        <v>0</v>
      </c>
      <c r="B2967" s="62" t="s">
        <v>387</v>
      </c>
      <c r="C2967" s="62" t="s">
        <v>60</v>
      </c>
      <c r="D2967" s="62" t="s">
        <v>72</v>
      </c>
      <c r="E2967" s="62" t="s">
        <v>382</v>
      </c>
      <c r="F2967" s="63" t="s">
        <v>680</v>
      </c>
      <c r="G2967" s="64" t="n">
        <v>13517010.6311751</v>
      </c>
      <c r="H2967" s="62" t="s">
        <v>138</v>
      </c>
    </row>
    <row r="2968" customFormat="false" ht="15" hidden="false" customHeight="false" outlineLevel="0" collapsed="false">
      <c r="A2968" s="62" t="n">
        <v>0</v>
      </c>
      <c r="B2968" s="62" t="s">
        <v>388</v>
      </c>
      <c r="C2968" s="62" t="s">
        <v>60</v>
      </c>
      <c r="D2968" s="62" t="s">
        <v>72</v>
      </c>
      <c r="E2968" s="62" t="s">
        <v>382</v>
      </c>
      <c r="F2968" s="63" t="s">
        <v>680</v>
      </c>
      <c r="G2968" s="64" t="n">
        <v>13517010.6311751</v>
      </c>
      <c r="H2968" s="62" t="s">
        <v>138</v>
      </c>
    </row>
    <row r="2969" customFormat="false" ht="15" hidden="false" customHeight="false" outlineLevel="0" collapsed="false">
      <c r="A2969" s="62" t="n">
        <v>0</v>
      </c>
      <c r="B2969" s="62" t="s">
        <v>381</v>
      </c>
      <c r="C2969" s="62" t="s">
        <v>60</v>
      </c>
      <c r="D2969" s="62" t="s">
        <v>72</v>
      </c>
      <c r="E2969" s="62" t="s">
        <v>382</v>
      </c>
      <c r="F2969" s="63" t="s">
        <v>681</v>
      </c>
      <c r="G2969" s="64" t="n">
        <v>13.6864320315115</v>
      </c>
      <c r="H2969" s="62" t="s">
        <v>138</v>
      </c>
    </row>
    <row r="2970" customFormat="false" ht="15" hidden="false" customHeight="false" outlineLevel="0" collapsed="false">
      <c r="A2970" s="62" t="n">
        <v>0</v>
      </c>
      <c r="B2970" s="62" t="s">
        <v>383</v>
      </c>
      <c r="C2970" s="62" t="s">
        <v>60</v>
      </c>
      <c r="D2970" s="62" t="s">
        <v>72</v>
      </c>
      <c r="E2970" s="62" t="s">
        <v>382</v>
      </c>
      <c r="F2970" s="63" t="s">
        <v>681</v>
      </c>
      <c r="G2970" s="64" t="n">
        <v>13.6864320315115</v>
      </c>
      <c r="H2970" s="62" t="s">
        <v>138</v>
      </c>
    </row>
    <row r="2971" customFormat="false" ht="15" hidden="false" customHeight="false" outlineLevel="0" collapsed="false">
      <c r="A2971" s="62" t="n">
        <v>0</v>
      </c>
      <c r="B2971" s="62" t="s">
        <v>384</v>
      </c>
      <c r="C2971" s="62" t="s">
        <v>60</v>
      </c>
      <c r="D2971" s="62" t="s">
        <v>72</v>
      </c>
      <c r="E2971" s="62" t="s">
        <v>382</v>
      </c>
      <c r="F2971" s="63" t="s">
        <v>681</v>
      </c>
      <c r="G2971" s="64" t="n">
        <v>13.6864320315115</v>
      </c>
      <c r="H2971" s="62" t="s">
        <v>138</v>
      </c>
    </row>
    <row r="2972" customFormat="false" ht="15" hidden="false" customHeight="false" outlineLevel="0" collapsed="false">
      <c r="A2972" s="62" t="n">
        <v>0</v>
      </c>
      <c r="B2972" s="62" t="s">
        <v>385</v>
      </c>
      <c r="C2972" s="62" t="s">
        <v>60</v>
      </c>
      <c r="D2972" s="62" t="s">
        <v>72</v>
      </c>
      <c r="E2972" s="62" t="s">
        <v>382</v>
      </c>
      <c r="F2972" s="63" t="s">
        <v>681</v>
      </c>
      <c r="G2972" s="64" t="n">
        <v>13.6864320315115</v>
      </c>
      <c r="H2972" s="62" t="s">
        <v>138</v>
      </c>
    </row>
    <row r="2973" customFormat="false" ht="15" hidden="false" customHeight="false" outlineLevel="0" collapsed="false">
      <c r="A2973" s="62" t="n">
        <v>0</v>
      </c>
      <c r="B2973" s="62" t="s">
        <v>386</v>
      </c>
      <c r="C2973" s="62" t="s">
        <v>60</v>
      </c>
      <c r="D2973" s="62" t="s">
        <v>72</v>
      </c>
      <c r="E2973" s="62" t="s">
        <v>382</v>
      </c>
      <c r="F2973" s="63" t="s">
        <v>681</v>
      </c>
      <c r="G2973" s="64" t="n">
        <v>13.6864320315115</v>
      </c>
      <c r="H2973" s="62" t="s">
        <v>138</v>
      </c>
    </row>
    <row r="2974" customFormat="false" ht="15" hidden="false" customHeight="false" outlineLevel="0" collapsed="false">
      <c r="A2974" s="62" t="n">
        <v>0</v>
      </c>
      <c r="B2974" s="62" t="s">
        <v>387</v>
      </c>
      <c r="C2974" s="62" t="s">
        <v>60</v>
      </c>
      <c r="D2974" s="62" t="s">
        <v>72</v>
      </c>
      <c r="E2974" s="62" t="s">
        <v>382</v>
      </c>
      <c r="F2974" s="63" t="s">
        <v>681</v>
      </c>
      <c r="G2974" s="64" t="n">
        <v>13.6864320315115</v>
      </c>
      <c r="H2974" s="62" t="s">
        <v>138</v>
      </c>
    </row>
    <row r="2975" customFormat="false" ht="15" hidden="false" customHeight="false" outlineLevel="0" collapsed="false">
      <c r="A2975" s="62" t="n">
        <v>0</v>
      </c>
      <c r="B2975" s="62" t="s">
        <v>388</v>
      </c>
      <c r="C2975" s="62" t="s">
        <v>60</v>
      </c>
      <c r="D2975" s="62" t="s">
        <v>72</v>
      </c>
      <c r="E2975" s="62" t="s">
        <v>382</v>
      </c>
      <c r="F2975" s="63" t="s">
        <v>681</v>
      </c>
      <c r="G2975" s="64" t="n">
        <v>13.6864320315115</v>
      </c>
      <c r="H2975" s="62" t="s">
        <v>138</v>
      </c>
    </row>
    <row r="2976" customFormat="false" ht="15" hidden="false" customHeight="false" outlineLevel="0" collapsed="false">
      <c r="A2976" s="62" t="n">
        <v>0</v>
      </c>
      <c r="B2976" s="62" t="s">
        <v>381</v>
      </c>
      <c r="C2976" s="62" t="s">
        <v>60</v>
      </c>
      <c r="D2976" s="62" t="s">
        <v>72</v>
      </c>
      <c r="E2976" s="62" t="s">
        <v>382</v>
      </c>
      <c r="F2976" s="63" t="s">
        <v>682</v>
      </c>
      <c r="G2976" s="64" t="n">
        <v>210476.396770717</v>
      </c>
      <c r="H2976" s="62" t="s">
        <v>138</v>
      </c>
    </row>
    <row r="2977" customFormat="false" ht="15" hidden="false" customHeight="false" outlineLevel="0" collapsed="false">
      <c r="A2977" s="62" t="n">
        <v>0</v>
      </c>
      <c r="B2977" s="62" t="s">
        <v>383</v>
      </c>
      <c r="C2977" s="62" t="s">
        <v>60</v>
      </c>
      <c r="D2977" s="62" t="s">
        <v>72</v>
      </c>
      <c r="E2977" s="62" t="s">
        <v>382</v>
      </c>
      <c r="F2977" s="63" t="s">
        <v>682</v>
      </c>
      <c r="G2977" s="64" t="n">
        <v>210476.396770717</v>
      </c>
      <c r="H2977" s="62" t="s">
        <v>138</v>
      </c>
    </row>
    <row r="2978" customFormat="false" ht="15" hidden="false" customHeight="false" outlineLevel="0" collapsed="false">
      <c r="A2978" s="62" t="n">
        <v>0</v>
      </c>
      <c r="B2978" s="62" t="s">
        <v>384</v>
      </c>
      <c r="C2978" s="62" t="s">
        <v>60</v>
      </c>
      <c r="D2978" s="62" t="s">
        <v>72</v>
      </c>
      <c r="E2978" s="62" t="s">
        <v>382</v>
      </c>
      <c r="F2978" s="63" t="s">
        <v>682</v>
      </c>
      <c r="G2978" s="64" t="n">
        <v>210476.396770717</v>
      </c>
      <c r="H2978" s="62" t="s">
        <v>138</v>
      </c>
    </row>
    <row r="2979" customFormat="false" ht="15" hidden="false" customHeight="false" outlineLevel="0" collapsed="false">
      <c r="A2979" s="62" t="n">
        <v>0</v>
      </c>
      <c r="B2979" s="62" t="s">
        <v>385</v>
      </c>
      <c r="C2979" s="62" t="s">
        <v>60</v>
      </c>
      <c r="D2979" s="62" t="s">
        <v>72</v>
      </c>
      <c r="E2979" s="62" t="s">
        <v>382</v>
      </c>
      <c r="F2979" s="63" t="s">
        <v>682</v>
      </c>
      <c r="G2979" s="64" t="n">
        <v>210476.396770717</v>
      </c>
      <c r="H2979" s="62" t="s">
        <v>138</v>
      </c>
    </row>
    <row r="2980" customFormat="false" ht="15" hidden="false" customHeight="false" outlineLevel="0" collapsed="false">
      <c r="A2980" s="62" t="n">
        <v>0</v>
      </c>
      <c r="B2980" s="62" t="s">
        <v>386</v>
      </c>
      <c r="C2980" s="62" t="s">
        <v>60</v>
      </c>
      <c r="D2980" s="62" t="s">
        <v>72</v>
      </c>
      <c r="E2980" s="62" t="s">
        <v>382</v>
      </c>
      <c r="F2980" s="63" t="s">
        <v>682</v>
      </c>
      <c r="G2980" s="64" t="n">
        <v>210476.396770717</v>
      </c>
      <c r="H2980" s="62" t="s">
        <v>138</v>
      </c>
    </row>
    <row r="2981" customFormat="false" ht="15" hidden="false" customHeight="false" outlineLevel="0" collapsed="false">
      <c r="A2981" s="62" t="n">
        <v>0</v>
      </c>
      <c r="B2981" s="62" t="s">
        <v>387</v>
      </c>
      <c r="C2981" s="62" t="s">
        <v>60</v>
      </c>
      <c r="D2981" s="62" t="s">
        <v>72</v>
      </c>
      <c r="E2981" s="62" t="s">
        <v>382</v>
      </c>
      <c r="F2981" s="63" t="s">
        <v>682</v>
      </c>
      <c r="G2981" s="64" t="n">
        <v>210476.396770717</v>
      </c>
      <c r="H2981" s="62" t="s">
        <v>138</v>
      </c>
    </row>
    <row r="2982" customFormat="false" ht="15" hidden="false" customHeight="false" outlineLevel="0" collapsed="false">
      <c r="A2982" s="62" t="n">
        <v>0</v>
      </c>
      <c r="B2982" s="62" t="s">
        <v>388</v>
      </c>
      <c r="C2982" s="62" t="s">
        <v>60</v>
      </c>
      <c r="D2982" s="62" t="s">
        <v>72</v>
      </c>
      <c r="E2982" s="62" t="s">
        <v>382</v>
      </c>
      <c r="F2982" s="63" t="s">
        <v>682</v>
      </c>
      <c r="G2982" s="64" t="n">
        <v>210476.396770717</v>
      </c>
      <c r="H2982" s="62" t="s">
        <v>138</v>
      </c>
    </row>
    <row r="2983" customFormat="false" ht="15" hidden="false" customHeight="false" outlineLevel="0" collapsed="false">
      <c r="A2983" s="62" t="n">
        <v>0</v>
      </c>
      <c r="B2983" s="62" t="s">
        <v>381</v>
      </c>
      <c r="C2983" s="62" t="s">
        <v>60</v>
      </c>
      <c r="D2983" s="62" t="s">
        <v>72</v>
      </c>
      <c r="E2983" s="62" t="s">
        <v>382</v>
      </c>
      <c r="F2983" s="63" t="s">
        <v>683</v>
      </c>
      <c r="G2983" s="64" t="n">
        <v>17748893.9743485</v>
      </c>
      <c r="H2983" s="62" t="s">
        <v>138</v>
      </c>
    </row>
    <row r="2984" customFormat="false" ht="15" hidden="false" customHeight="false" outlineLevel="0" collapsed="false">
      <c r="A2984" s="62" t="n">
        <v>0</v>
      </c>
      <c r="B2984" s="62" t="s">
        <v>383</v>
      </c>
      <c r="C2984" s="62" t="s">
        <v>60</v>
      </c>
      <c r="D2984" s="62" t="s">
        <v>72</v>
      </c>
      <c r="E2984" s="62" t="s">
        <v>382</v>
      </c>
      <c r="F2984" s="63" t="s">
        <v>683</v>
      </c>
      <c r="G2984" s="64" t="n">
        <v>17748893.9743485</v>
      </c>
      <c r="H2984" s="62" t="s">
        <v>138</v>
      </c>
    </row>
    <row r="2985" customFormat="false" ht="15" hidden="false" customHeight="false" outlineLevel="0" collapsed="false">
      <c r="A2985" s="62" t="n">
        <v>0</v>
      </c>
      <c r="B2985" s="62" t="s">
        <v>384</v>
      </c>
      <c r="C2985" s="62" t="s">
        <v>60</v>
      </c>
      <c r="D2985" s="62" t="s">
        <v>72</v>
      </c>
      <c r="E2985" s="62" t="s">
        <v>382</v>
      </c>
      <c r="F2985" s="63" t="s">
        <v>683</v>
      </c>
      <c r="G2985" s="64" t="n">
        <v>17748893.9743485</v>
      </c>
      <c r="H2985" s="62" t="s">
        <v>138</v>
      </c>
    </row>
    <row r="2986" customFormat="false" ht="15" hidden="false" customHeight="false" outlineLevel="0" collapsed="false">
      <c r="A2986" s="62" t="n">
        <v>0</v>
      </c>
      <c r="B2986" s="62" t="s">
        <v>385</v>
      </c>
      <c r="C2986" s="62" t="s">
        <v>60</v>
      </c>
      <c r="D2986" s="62" t="s">
        <v>72</v>
      </c>
      <c r="E2986" s="62" t="s">
        <v>382</v>
      </c>
      <c r="F2986" s="63" t="s">
        <v>683</v>
      </c>
      <c r="G2986" s="64" t="n">
        <v>17748893.9743485</v>
      </c>
      <c r="H2986" s="62" t="s">
        <v>138</v>
      </c>
    </row>
    <row r="2987" customFormat="false" ht="15" hidden="false" customHeight="false" outlineLevel="0" collapsed="false">
      <c r="A2987" s="62" t="n">
        <v>0</v>
      </c>
      <c r="B2987" s="62" t="s">
        <v>386</v>
      </c>
      <c r="C2987" s="62" t="s">
        <v>60</v>
      </c>
      <c r="D2987" s="62" t="s">
        <v>72</v>
      </c>
      <c r="E2987" s="62" t="s">
        <v>382</v>
      </c>
      <c r="F2987" s="63" t="s">
        <v>683</v>
      </c>
      <c r="G2987" s="64" t="n">
        <v>17748893.9743485</v>
      </c>
      <c r="H2987" s="62" t="s">
        <v>138</v>
      </c>
    </row>
    <row r="2988" customFormat="false" ht="15" hidden="false" customHeight="false" outlineLevel="0" collapsed="false">
      <c r="A2988" s="62" t="n">
        <v>0</v>
      </c>
      <c r="B2988" s="62" t="s">
        <v>387</v>
      </c>
      <c r="C2988" s="62" t="s">
        <v>60</v>
      </c>
      <c r="D2988" s="62" t="s">
        <v>72</v>
      </c>
      <c r="E2988" s="62" t="s">
        <v>382</v>
      </c>
      <c r="F2988" s="63" t="s">
        <v>683</v>
      </c>
      <c r="G2988" s="64" t="n">
        <v>17748893.9743485</v>
      </c>
      <c r="H2988" s="62" t="s">
        <v>138</v>
      </c>
    </row>
    <row r="2989" customFormat="false" ht="15" hidden="false" customHeight="false" outlineLevel="0" collapsed="false">
      <c r="A2989" s="62" t="n">
        <v>0</v>
      </c>
      <c r="B2989" s="62" t="s">
        <v>388</v>
      </c>
      <c r="C2989" s="62" t="s">
        <v>60</v>
      </c>
      <c r="D2989" s="62" t="s">
        <v>72</v>
      </c>
      <c r="E2989" s="62" t="s">
        <v>382</v>
      </c>
      <c r="F2989" s="63" t="s">
        <v>683</v>
      </c>
      <c r="G2989" s="64" t="n">
        <v>17748893.9743485</v>
      </c>
      <c r="H2989" s="62" t="s">
        <v>138</v>
      </c>
    </row>
    <row r="2990" customFormat="false" ht="15" hidden="false" customHeight="false" outlineLevel="0" collapsed="false">
      <c r="A2990" s="62" t="n">
        <v>0</v>
      </c>
      <c r="B2990" s="62" t="s">
        <v>381</v>
      </c>
      <c r="C2990" s="62" t="s">
        <v>60</v>
      </c>
      <c r="D2990" s="62" t="s">
        <v>72</v>
      </c>
      <c r="E2990" s="62" t="s">
        <v>382</v>
      </c>
      <c r="F2990" s="63" t="s">
        <v>684</v>
      </c>
      <c r="G2990" s="64" t="n">
        <v>9012500</v>
      </c>
      <c r="H2990" s="62" t="s">
        <v>138</v>
      </c>
    </row>
    <row r="2991" customFormat="false" ht="15" hidden="false" customHeight="false" outlineLevel="0" collapsed="false">
      <c r="A2991" s="62" t="n">
        <v>0</v>
      </c>
      <c r="B2991" s="62" t="s">
        <v>383</v>
      </c>
      <c r="C2991" s="62" t="s">
        <v>60</v>
      </c>
      <c r="D2991" s="62" t="s">
        <v>72</v>
      </c>
      <c r="E2991" s="62" t="s">
        <v>382</v>
      </c>
      <c r="F2991" s="63" t="s">
        <v>684</v>
      </c>
      <c r="G2991" s="64" t="n">
        <v>9012500</v>
      </c>
      <c r="H2991" s="62" t="s">
        <v>138</v>
      </c>
    </row>
    <row r="2992" customFormat="false" ht="15" hidden="false" customHeight="false" outlineLevel="0" collapsed="false">
      <c r="A2992" s="62" t="n">
        <v>0</v>
      </c>
      <c r="B2992" s="62" t="s">
        <v>384</v>
      </c>
      <c r="C2992" s="62" t="s">
        <v>60</v>
      </c>
      <c r="D2992" s="62" t="s">
        <v>72</v>
      </c>
      <c r="E2992" s="62" t="s">
        <v>382</v>
      </c>
      <c r="F2992" s="63" t="s">
        <v>684</v>
      </c>
      <c r="G2992" s="64" t="n">
        <v>9012500</v>
      </c>
      <c r="H2992" s="62" t="s">
        <v>138</v>
      </c>
    </row>
    <row r="2993" customFormat="false" ht="15" hidden="false" customHeight="false" outlineLevel="0" collapsed="false">
      <c r="A2993" s="62" t="n">
        <v>0</v>
      </c>
      <c r="B2993" s="62" t="s">
        <v>385</v>
      </c>
      <c r="C2993" s="62" t="s">
        <v>60</v>
      </c>
      <c r="D2993" s="62" t="s">
        <v>72</v>
      </c>
      <c r="E2993" s="62" t="s">
        <v>382</v>
      </c>
      <c r="F2993" s="63" t="s">
        <v>684</v>
      </c>
      <c r="G2993" s="64" t="n">
        <v>9012500</v>
      </c>
      <c r="H2993" s="62" t="s">
        <v>138</v>
      </c>
    </row>
    <row r="2994" customFormat="false" ht="15" hidden="false" customHeight="false" outlineLevel="0" collapsed="false">
      <c r="A2994" s="62" t="n">
        <v>0</v>
      </c>
      <c r="B2994" s="62" t="s">
        <v>386</v>
      </c>
      <c r="C2994" s="62" t="s">
        <v>60</v>
      </c>
      <c r="D2994" s="62" t="s">
        <v>72</v>
      </c>
      <c r="E2994" s="62" t="s">
        <v>382</v>
      </c>
      <c r="F2994" s="63" t="s">
        <v>684</v>
      </c>
      <c r="G2994" s="64" t="n">
        <v>9012500</v>
      </c>
      <c r="H2994" s="62" t="s">
        <v>138</v>
      </c>
    </row>
    <row r="2995" customFormat="false" ht="15" hidden="false" customHeight="false" outlineLevel="0" collapsed="false">
      <c r="A2995" s="62" t="n">
        <v>0</v>
      </c>
      <c r="B2995" s="62" t="s">
        <v>387</v>
      </c>
      <c r="C2995" s="62" t="s">
        <v>60</v>
      </c>
      <c r="D2995" s="62" t="s">
        <v>72</v>
      </c>
      <c r="E2995" s="62" t="s">
        <v>382</v>
      </c>
      <c r="F2995" s="63" t="s">
        <v>684</v>
      </c>
      <c r="G2995" s="64" t="n">
        <v>9012500</v>
      </c>
      <c r="H2995" s="62" t="s">
        <v>138</v>
      </c>
    </row>
    <row r="2996" customFormat="false" ht="15" hidden="false" customHeight="false" outlineLevel="0" collapsed="false">
      <c r="A2996" s="62" t="n">
        <v>0</v>
      </c>
      <c r="B2996" s="62" t="s">
        <v>388</v>
      </c>
      <c r="C2996" s="62" t="s">
        <v>60</v>
      </c>
      <c r="D2996" s="62" t="s">
        <v>72</v>
      </c>
      <c r="E2996" s="62" t="s">
        <v>382</v>
      </c>
      <c r="F2996" s="63" t="s">
        <v>684</v>
      </c>
      <c r="G2996" s="64" t="n">
        <v>9012500</v>
      </c>
      <c r="H2996" s="62" t="s">
        <v>138</v>
      </c>
    </row>
    <row r="2997" customFormat="false" ht="15" hidden="false" customHeight="false" outlineLevel="0" collapsed="false">
      <c r="A2997" s="62" t="n">
        <v>0</v>
      </c>
      <c r="B2997" s="62" t="s">
        <v>381</v>
      </c>
      <c r="C2997" s="62" t="s">
        <v>60</v>
      </c>
      <c r="D2997" s="62" t="s">
        <v>72</v>
      </c>
      <c r="E2997" s="62" t="s">
        <v>382</v>
      </c>
      <c r="F2997" s="63" t="s">
        <v>685</v>
      </c>
      <c r="G2997" s="64" t="n">
        <v>36050000</v>
      </c>
      <c r="H2997" s="62" t="s">
        <v>138</v>
      </c>
    </row>
    <row r="2998" customFormat="false" ht="15" hidden="false" customHeight="false" outlineLevel="0" collapsed="false">
      <c r="A2998" s="62" t="n">
        <v>0</v>
      </c>
      <c r="B2998" s="62" t="s">
        <v>383</v>
      </c>
      <c r="C2998" s="62" t="s">
        <v>60</v>
      </c>
      <c r="D2998" s="62" t="s">
        <v>72</v>
      </c>
      <c r="E2998" s="62" t="s">
        <v>382</v>
      </c>
      <c r="F2998" s="63" t="s">
        <v>685</v>
      </c>
      <c r="G2998" s="64" t="n">
        <v>36050000</v>
      </c>
      <c r="H2998" s="62" t="s">
        <v>138</v>
      </c>
    </row>
    <row r="2999" customFormat="false" ht="15" hidden="false" customHeight="false" outlineLevel="0" collapsed="false">
      <c r="A2999" s="62" t="n">
        <v>0</v>
      </c>
      <c r="B2999" s="62" t="s">
        <v>384</v>
      </c>
      <c r="C2999" s="62" t="s">
        <v>60</v>
      </c>
      <c r="D2999" s="62" t="s">
        <v>72</v>
      </c>
      <c r="E2999" s="62" t="s">
        <v>382</v>
      </c>
      <c r="F2999" s="63" t="s">
        <v>685</v>
      </c>
      <c r="G2999" s="64" t="n">
        <v>36050000</v>
      </c>
      <c r="H2999" s="62" t="s">
        <v>138</v>
      </c>
    </row>
    <row r="3000" customFormat="false" ht="15" hidden="false" customHeight="false" outlineLevel="0" collapsed="false">
      <c r="A3000" s="62" t="n">
        <v>0</v>
      </c>
      <c r="B3000" s="62" t="s">
        <v>385</v>
      </c>
      <c r="C3000" s="62" t="s">
        <v>60</v>
      </c>
      <c r="D3000" s="62" t="s">
        <v>72</v>
      </c>
      <c r="E3000" s="62" t="s">
        <v>382</v>
      </c>
      <c r="F3000" s="63" t="s">
        <v>685</v>
      </c>
      <c r="G3000" s="64" t="n">
        <v>36050000</v>
      </c>
      <c r="H3000" s="62" t="s">
        <v>138</v>
      </c>
    </row>
    <row r="3001" customFormat="false" ht="15" hidden="false" customHeight="false" outlineLevel="0" collapsed="false">
      <c r="A3001" s="62" t="n">
        <v>0</v>
      </c>
      <c r="B3001" s="62" t="s">
        <v>386</v>
      </c>
      <c r="C3001" s="62" t="s">
        <v>60</v>
      </c>
      <c r="D3001" s="62" t="s">
        <v>72</v>
      </c>
      <c r="E3001" s="62" t="s">
        <v>382</v>
      </c>
      <c r="F3001" s="63" t="s">
        <v>685</v>
      </c>
      <c r="G3001" s="64" t="n">
        <v>36050000</v>
      </c>
      <c r="H3001" s="62" t="s">
        <v>138</v>
      </c>
    </row>
    <row r="3002" customFormat="false" ht="15" hidden="false" customHeight="false" outlineLevel="0" collapsed="false">
      <c r="A3002" s="62" t="n">
        <v>0</v>
      </c>
      <c r="B3002" s="62" t="s">
        <v>387</v>
      </c>
      <c r="C3002" s="62" t="s">
        <v>60</v>
      </c>
      <c r="D3002" s="62" t="s">
        <v>72</v>
      </c>
      <c r="E3002" s="62" t="s">
        <v>382</v>
      </c>
      <c r="F3002" s="63" t="s">
        <v>685</v>
      </c>
      <c r="G3002" s="64" t="n">
        <v>36050000</v>
      </c>
      <c r="H3002" s="62" t="s">
        <v>138</v>
      </c>
    </row>
    <row r="3003" customFormat="false" ht="15" hidden="false" customHeight="false" outlineLevel="0" collapsed="false">
      <c r="A3003" s="62" t="n">
        <v>0</v>
      </c>
      <c r="B3003" s="62" t="s">
        <v>388</v>
      </c>
      <c r="C3003" s="62" t="s">
        <v>60</v>
      </c>
      <c r="D3003" s="62" t="s">
        <v>72</v>
      </c>
      <c r="E3003" s="62" t="s">
        <v>382</v>
      </c>
      <c r="F3003" s="63" t="s">
        <v>685</v>
      </c>
      <c r="G3003" s="64" t="n">
        <v>36050000</v>
      </c>
      <c r="H3003" s="62" t="s">
        <v>138</v>
      </c>
    </row>
    <row r="3004" customFormat="false" ht="15" hidden="false" customHeight="false" outlineLevel="0" collapsed="false">
      <c r="A3004" s="62" t="n">
        <v>0</v>
      </c>
      <c r="B3004" s="62" t="s">
        <v>381</v>
      </c>
      <c r="C3004" s="62" t="s">
        <v>60</v>
      </c>
      <c r="D3004" s="62" t="s">
        <v>72</v>
      </c>
      <c r="E3004" s="62" t="s">
        <v>382</v>
      </c>
      <c r="F3004" s="63" t="s">
        <v>686</v>
      </c>
      <c r="G3004" s="64" t="n">
        <v>1849996.47272796</v>
      </c>
      <c r="H3004" s="62" t="s">
        <v>138</v>
      </c>
    </row>
    <row r="3005" customFormat="false" ht="15" hidden="false" customHeight="false" outlineLevel="0" collapsed="false">
      <c r="A3005" s="62" t="n">
        <v>0</v>
      </c>
      <c r="B3005" s="62" t="s">
        <v>383</v>
      </c>
      <c r="C3005" s="62" t="s">
        <v>60</v>
      </c>
      <c r="D3005" s="62" t="s">
        <v>72</v>
      </c>
      <c r="E3005" s="62" t="s">
        <v>382</v>
      </c>
      <c r="F3005" s="63" t="s">
        <v>686</v>
      </c>
      <c r="G3005" s="64" t="n">
        <v>1849996.47272796</v>
      </c>
      <c r="H3005" s="62" t="s">
        <v>138</v>
      </c>
    </row>
    <row r="3006" customFormat="false" ht="15" hidden="false" customHeight="false" outlineLevel="0" collapsed="false">
      <c r="A3006" s="62" t="n">
        <v>0</v>
      </c>
      <c r="B3006" s="62" t="s">
        <v>384</v>
      </c>
      <c r="C3006" s="62" t="s">
        <v>60</v>
      </c>
      <c r="D3006" s="62" t="s">
        <v>72</v>
      </c>
      <c r="E3006" s="62" t="s">
        <v>382</v>
      </c>
      <c r="F3006" s="63" t="s">
        <v>686</v>
      </c>
      <c r="G3006" s="64" t="n">
        <v>1849996.47272796</v>
      </c>
      <c r="H3006" s="62" t="s">
        <v>138</v>
      </c>
    </row>
    <row r="3007" customFormat="false" ht="15" hidden="false" customHeight="false" outlineLevel="0" collapsed="false">
      <c r="A3007" s="62" t="n">
        <v>0</v>
      </c>
      <c r="B3007" s="62" t="s">
        <v>385</v>
      </c>
      <c r="C3007" s="62" t="s">
        <v>60</v>
      </c>
      <c r="D3007" s="62" t="s">
        <v>72</v>
      </c>
      <c r="E3007" s="62" t="s">
        <v>382</v>
      </c>
      <c r="F3007" s="63" t="s">
        <v>686</v>
      </c>
      <c r="G3007" s="64" t="n">
        <v>1849996.47272796</v>
      </c>
      <c r="H3007" s="62" t="s">
        <v>138</v>
      </c>
    </row>
    <row r="3008" customFormat="false" ht="15" hidden="false" customHeight="false" outlineLevel="0" collapsed="false">
      <c r="A3008" s="62" t="n">
        <v>0</v>
      </c>
      <c r="B3008" s="62" t="s">
        <v>386</v>
      </c>
      <c r="C3008" s="62" t="s">
        <v>60</v>
      </c>
      <c r="D3008" s="62" t="s">
        <v>72</v>
      </c>
      <c r="E3008" s="62" t="s">
        <v>382</v>
      </c>
      <c r="F3008" s="63" t="s">
        <v>686</v>
      </c>
      <c r="G3008" s="64" t="n">
        <v>1849996.47272796</v>
      </c>
      <c r="H3008" s="62" t="s">
        <v>138</v>
      </c>
    </row>
    <row r="3009" customFormat="false" ht="15" hidden="false" customHeight="false" outlineLevel="0" collapsed="false">
      <c r="A3009" s="62" t="n">
        <v>0</v>
      </c>
      <c r="B3009" s="62" t="s">
        <v>387</v>
      </c>
      <c r="C3009" s="62" t="s">
        <v>60</v>
      </c>
      <c r="D3009" s="62" t="s">
        <v>72</v>
      </c>
      <c r="E3009" s="62" t="s">
        <v>382</v>
      </c>
      <c r="F3009" s="63" t="s">
        <v>686</v>
      </c>
      <c r="G3009" s="64" t="n">
        <v>1849996.47272796</v>
      </c>
      <c r="H3009" s="62" t="s">
        <v>138</v>
      </c>
    </row>
    <row r="3010" customFormat="false" ht="15" hidden="false" customHeight="false" outlineLevel="0" collapsed="false">
      <c r="A3010" s="62" t="n">
        <v>0</v>
      </c>
      <c r="B3010" s="62" t="s">
        <v>388</v>
      </c>
      <c r="C3010" s="62" t="s">
        <v>60</v>
      </c>
      <c r="D3010" s="62" t="s">
        <v>72</v>
      </c>
      <c r="E3010" s="62" t="s">
        <v>382</v>
      </c>
      <c r="F3010" s="63" t="s">
        <v>686</v>
      </c>
      <c r="G3010" s="64" t="n">
        <v>1849996.47272796</v>
      </c>
      <c r="H3010" s="62" t="s">
        <v>138</v>
      </c>
    </row>
    <row r="3011" customFormat="false" ht="15" hidden="false" customHeight="false" outlineLevel="0" collapsed="false">
      <c r="A3011" s="62" t="n">
        <v>0</v>
      </c>
      <c r="B3011" s="62" t="s">
        <v>381</v>
      </c>
      <c r="C3011" s="62" t="s">
        <v>60</v>
      </c>
      <c r="D3011" s="62" t="s">
        <v>72</v>
      </c>
      <c r="E3011" s="62" t="s">
        <v>382</v>
      </c>
      <c r="F3011" s="63" t="s">
        <v>687</v>
      </c>
      <c r="G3011" s="64" t="n">
        <v>21552458.9072808</v>
      </c>
      <c r="H3011" s="62" t="s">
        <v>138</v>
      </c>
    </row>
    <row r="3012" customFormat="false" ht="15" hidden="false" customHeight="false" outlineLevel="0" collapsed="false">
      <c r="A3012" s="62" t="n">
        <v>0</v>
      </c>
      <c r="B3012" s="62" t="s">
        <v>383</v>
      </c>
      <c r="C3012" s="62" t="s">
        <v>60</v>
      </c>
      <c r="D3012" s="62" t="s">
        <v>72</v>
      </c>
      <c r="E3012" s="62" t="s">
        <v>382</v>
      </c>
      <c r="F3012" s="63" t="s">
        <v>687</v>
      </c>
      <c r="G3012" s="64" t="n">
        <v>21552458.9072808</v>
      </c>
      <c r="H3012" s="62" t="s">
        <v>138</v>
      </c>
    </row>
    <row r="3013" customFormat="false" ht="15" hidden="false" customHeight="false" outlineLevel="0" collapsed="false">
      <c r="A3013" s="62" t="n">
        <v>0</v>
      </c>
      <c r="B3013" s="62" t="s">
        <v>384</v>
      </c>
      <c r="C3013" s="62" t="s">
        <v>60</v>
      </c>
      <c r="D3013" s="62" t="s">
        <v>72</v>
      </c>
      <c r="E3013" s="62" t="s">
        <v>382</v>
      </c>
      <c r="F3013" s="63" t="s">
        <v>687</v>
      </c>
      <c r="G3013" s="64" t="n">
        <v>21552458.9072808</v>
      </c>
      <c r="H3013" s="62" t="s">
        <v>138</v>
      </c>
    </row>
    <row r="3014" customFormat="false" ht="15" hidden="false" customHeight="false" outlineLevel="0" collapsed="false">
      <c r="A3014" s="62" t="n">
        <v>0</v>
      </c>
      <c r="B3014" s="62" t="s">
        <v>385</v>
      </c>
      <c r="C3014" s="62" t="s">
        <v>60</v>
      </c>
      <c r="D3014" s="62" t="s">
        <v>72</v>
      </c>
      <c r="E3014" s="62" t="s">
        <v>382</v>
      </c>
      <c r="F3014" s="63" t="s">
        <v>687</v>
      </c>
      <c r="G3014" s="64" t="n">
        <v>21552458.9072808</v>
      </c>
      <c r="H3014" s="62" t="s">
        <v>138</v>
      </c>
    </row>
    <row r="3015" customFormat="false" ht="15" hidden="false" customHeight="false" outlineLevel="0" collapsed="false">
      <c r="A3015" s="62" t="n">
        <v>0</v>
      </c>
      <c r="B3015" s="62" t="s">
        <v>386</v>
      </c>
      <c r="C3015" s="62" t="s">
        <v>60</v>
      </c>
      <c r="D3015" s="62" t="s">
        <v>72</v>
      </c>
      <c r="E3015" s="62" t="s">
        <v>382</v>
      </c>
      <c r="F3015" s="63" t="s">
        <v>687</v>
      </c>
      <c r="G3015" s="64" t="n">
        <v>21552458.9072808</v>
      </c>
      <c r="H3015" s="62" t="s">
        <v>138</v>
      </c>
    </row>
    <row r="3016" customFormat="false" ht="15" hidden="false" customHeight="false" outlineLevel="0" collapsed="false">
      <c r="A3016" s="62" t="n">
        <v>0</v>
      </c>
      <c r="B3016" s="62" t="s">
        <v>387</v>
      </c>
      <c r="C3016" s="62" t="s">
        <v>60</v>
      </c>
      <c r="D3016" s="62" t="s">
        <v>72</v>
      </c>
      <c r="E3016" s="62" t="s">
        <v>382</v>
      </c>
      <c r="F3016" s="63" t="s">
        <v>687</v>
      </c>
      <c r="G3016" s="64" t="n">
        <v>21552458.9072808</v>
      </c>
      <c r="H3016" s="62" t="s">
        <v>138</v>
      </c>
    </row>
    <row r="3017" customFormat="false" ht="15" hidden="false" customHeight="false" outlineLevel="0" collapsed="false">
      <c r="A3017" s="62" t="n">
        <v>0</v>
      </c>
      <c r="B3017" s="62" t="s">
        <v>388</v>
      </c>
      <c r="C3017" s="62" t="s">
        <v>60</v>
      </c>
      <c r="D3017" s="62" t="s">
        <v>72</v>
      </c>
      <c r="E3017" s="62" t="s">
        <v>382</v>
      </c>
      <c r="F3017" s="63" t="s">
        <v>687</v>
      </c>
      <c r="G3017" s="64" t="n">
        <v>21552458.9072808</v>
      </c>
      <c r="H3017" s="62" t="s">
        <v>138</v>
      </c>
    </row>
    <row r="3018" customFormat="false" ht="15" hidden="false" customHeight="false" outlineLevel="0" collapsed="false">
      <c r="A3018" s="62" t="n">
        <v>0</v>
      </c>
      <c r="B3018" s="62" t="s">
        <v>381</v>
      </c>
      <c r="C3018" s="62" t="s">
        <v>60</v>
      </c>
      <c r="D3018" s="62" t="s">
        <v>72</v>
      </c>
      <c r="E3018" s="62" t="s">
        <v>382</v>
      </c>
      <c r="F3018" s="63" t="s">
        <v>688</v>
      </c>
      <c r="G3018" s="64" t="n">
        <v>1651931.07272796</v>
      </c>
      <c r="H3018" s="62" t="s">
        <v>138</v>
      </c>
    </row>
    <row r="3019" customFormat="false" ht="15" hidden="false" customHeight="false" outlineLevel="0" collapsed="false">
      <c r="A3019" s="62" t="n">
        <v>0</v>
      </c>
      <c r="B3019" s="62" t="s">
        <v>383</v>
      </c>
      <c r="C3019" s="62" t="s">
        <v>60</v>
      </c>
      <c r="D3019" s="62" t="s">
        <v>72</v>
      </c>
      <c r="E3019" s="62" t="s">
        <v>382</v>
      </c>
      <c r="F3019" s="63" t="s">
        <v>688</v>
      </c>
      <c r="G3019" s="64" t="n">
        <v>1651931.07272796</v>
      </c>
      <c r="H3019" s="62" t="s">
        <v>138</v>
      </c>
    </row>
    <row r="3020" customFormat="false" ht="15" hidden="false" customHeight="false" outlineLevel="0" collapsed="false">
      <c r="A3020" s="62" t="n">
        <v>0</v>
      </c>
      <c r="B3020" s="62" t="s">
        <v>384</v>
      </c>
      <c r="C3020" s="62" t="s">
        <v>60</v>
      </c>
      <c r="D3020" s="62" t="s">
        <v>72</v>
      </c>
      <c r="E3020" s="62" t="s">
        <v>382</v>
      </c>
      <c r="F3020" s="63" t="s">
        <v>688</v>
      </c>
      <c r="G3020" s="64" t="n">
        <v>1651931.07272796</v>
      </c>
      <c r="H3020" s="62" t="s">
        <v>138</v>
      </c>
    </row>
    <row r="3021" customFormat="false" ht="15" hidden="false" customHeight="false" outlineLevel="0" collapsed="false">
      <c r="A3021" s="62" t="n">
        <v>0</v>
      </c>
      <c r="B3021" s="62" t="s">
        <v>385</v>
      </c>
      <c r="C3021" s="62" t="s">
        <v>60</v>
      </c>
      <c r="D3021" s="62" t="s">
        <v>72</v>
      </c>
      <c r="E3021" s="62" t="s">
        <v>382</v>
      </c>
      <c r="F3021" s="63" t="s">
        <v>688</v>
      </c>
      <c r="G3021" s="64" t="n">
        <v>1651931.07272796</v>
      </c>
      <c r="H3021" s="62" t="s">
        <v>138</v>
      </c>
    </row>
    <row r="3022" customFormat="false" ht="15" hidden="false" customHeight="false" outlineLevel="0" collapsed="false">
      <c r="A3022" s="62" t="n">
        <v>0</v>
      </c>
      <c r="B3022" s="62" t="s">
        <v>386</v>
      </c>
      <c r="C3022" s="62" t="s">
        <v>60</v>
      </c>
      <c r="D3022" s="62" t="s">
        <v>72</v>
      </c>
      <c r="E3022" s="62" t="s">
        <v>382</v>
      </c>
      <c r="F3022" s="63" t="s">
        <v>688</v>
      </c>
      <c r="G3022" s="64" t="n">
        <v>1651931.07272796</v>
      </c>
      <c r="H3022" s="62" t="s">
        <v>138</v>
      </c>
    </row>
    <row r="3023" customFormat="false" ht="15" hidden="false" customHeight="false" outlineLevel="0" collapsed="false">
      <c r="A3023" s="62" t="n">
        <v>0</v>
      </c>
      <c r="B3023" s="62" t="s">
        <v>387</v>
      </c>
      <c r="C3023" s="62" t="s">
        <v>60</v>
      </c>
      <c r="D3023" s="62" t="s">
        <v>72</v>
      </c>
      <c r="E3023" s="62" t="s">
        <v>382</v>
      </c>
      <c r="F3023" s="63" t="s">
        <v>688</v>
      </c>
      <c r="G3023" s="64" t="n">
        <v>1651931.07272796</v>
      </c>
      <c r="H3023" s="62" t="s">
        <v>138</v>
      </c>
    </row>
    <row r="3024" customFormat="false" ht="15" hidden="false" customHeight="false" outlineLevel="0" collapsed="false">
      <c r="A3024" s="62" t="n">
        <v>0</v>
      </c>
      <c r="B3024" s="62" t="s">
        <v>388</v>
      </c>
      <c r="C3024" s="62" t="s">
        <v>60</v>
      </c>
      <c r="D3024" s="62" t="s">
        <v>72</v>
      </c>
      <c r="E3024" s="62" t="s">
        <v>382</v>
      </c>
      <c r="F3024" s="63" t="s">
        <v>688</v>
      </c>
      <c r="G3024" s="64" t="n">
        <v>1651931.07272796</v>
      </c>
      <c r="H3024" s="62" t="s">
        <v>138</v>
      </c>
    </row>
    <row r="3025" customFormat="false" ht="15" hidden="false" customHeight="false" outlineLevel="0" collapsed="false">
      <c r="A3025" s="62" t="n">
        <v>0</v>
      </c>
      <c r="B3025" s="62" t="s">
        <v>381</v>
      </c>
      <c r="C3025" s="62" t="s">
        <v>60</v>
      </c>
      <c r="D3025" s="62" t="s">
        <v>72</v>
      </c>
      <c r="E3025" s="62" t="s">
        <v>382</v>
      </c>
      <c r="F3025" s="63" t="s">
        <v>689</v>
      </c>
      <c r="G3025" s="64" t="n">
        <v>24167751.5940101</v>
      </c>
      <c r="H3025" s="62" t="s">
        <v>138</v>
      </c>
    </row>
    <row r="3026" customFormat="false" ht="15" hidden="false" customHeight="false" outlineLevel="0" collapsed="false">
      <c r="A3026" s="62" t="n">
        <v>0</v>
      </c>
      <c r="B3026" s="62" t="s">
        <v>383</v>
      </c>
      <c r="C3026" s="62" t="s">
        <v>60</v>
      </c>
      <c r="D3026" s="62" t="s">
        <v>72</v>
      </c>
      <c r="E3026" s="62" t="s">
        <v>382</v>
      </c>
      <c r="F3026" s="63" t="s">
        <v>689</v>
      </c>
      <c r="G3026" s="64" t="n">
        <v>24167751.5940101</v>
      </c>
      <c r="H3026" s="62" t="s">
        <v>138</v>
      </c>
    </row>
    <row r="3027" customFormat="false" ht="15" hidden="false" customHeight="false" outlineLevel="0" collapsed="false">
      <c r="A3027" s="62" t="n">
        <v>0</v>
      </c>
      <c r="B3027" s="62" t="s">
        <v>384</v>
      </c>
      <c r="C3027" s="62" t="s">
        <v>60</v>
      </c>
      <c r="D3027" s="62" t="s">
        <v>72</v>
      </c>
      <c r="E3027" s="62" t="s">
        <v>382</v>
      </c>
      <c r="F3027" s="63" t="s">
        <v>689</v>
      </c>
      <c r="G3027" s="64" t="n">
        <v>24167751.5940101</v>
      </c>
      <c r="H3027" s="62" t="s">
        <v>138</v>
      </c>
    </row>
    <row r="3028" customFormat="false" ht="15" hidden="false" customHeight="false" outlineLevel="0" collapsed="false">
      <c r="A3028" s="62" t="n">
        <v>0</v>
      </c>
      <c r="B3028" s="62" t="s">
        <v>385</v>
      </c>
      <c r="C3028" s="62" t="s">
        <v>60</v>
      </c>
      <c r="D3028" s="62" t="s">
        <v>72</v>
      </c>
      <c r="E3028" s="62" t="s">
        <v>382</v>
      </c>
      <c r="F3028" s="63" t="s">
        <v>689</v>
      </c>
      <c r="G3028" s="64" t="n">
        <v>24167751.5940101</v>
      </c>
      <c r="H3028" s="62" t="s">
        <v>138</v>
      </c>
    </row>
    <row r="3029" customFormat="false" ht="15" hidden="false" customHeight="false" outlineLevel="0" collapsed="false">
      <c r="A3029" s="62" t="n">
        <v>0</v>
      </c>
      <c r="B3029" s="62" t="s">
        <v>386</v>
      </c>
      <c r="C3029" s="62" t="s">
        <v>60</v>
      </c>
      <c r="D3029" s="62" t="s">
        <v>72</v>
      </c>
      <c r="E3029" s="62" t="s">
        <v>382</v>
      </c>
      <c r="F3029" s="63" t="s">
        <v>689</v>
      </c>
      <c r="G3029" s="64" t="n">
        <v>24167751.5940101</v>
      </c>
      <c r="H3029" s="62" t="s">
        <v>138</v>
      </c>
    </row>
    <row r="3030" customFormat="false" ht="15" hidden="false" customHeight="false" outlineLevel="0" collapsed="false">
      <c r="A3030" s="62" t="n">
        <v>0</v>
      </c>
      <c r="B3030" s="62" t="s">
        <v>387</v>
      </c>
      <c r="C3030" s="62" t="s">
        <v>60</v>
      </c>
      <c r="D3030" s="62" t="s">
        <v>72</v>
      </c>
      <c r="E3030" s="62" t="s">
        <v>382</v>
      </c>
      <c r="F3030" s="63" t="s">
        <v>689</v>
      </c>
      <c r="G3030" s="64" t="n">
        <v>24167751.5940101</v>
      </c>
      <c r="H3030" s="62" t="s">
        <v>138</v>
      </c>
    </row>
    <row r="3031" customFormat="false" ht="15" hidden="false" customHeight="false" outlineLevel="0" collapsed="false">
      <c r="A3031" s="62" t="n">
        <v>0</v>
      </c>
      <c r="B3031" s="62" t="s">
        <v>388</v>
      </c>
      <c r="C3031" s="62" t="s">
        <v>60</v>
      </c>
      <c r="D3031" s="62" t="s">
        <v>72</v>
      </c>
      <c r="E3031" s="62" t="s">
        <v>382</v>
      </c>
      <c r="F3031" s="63" t="s">
        <v>689</v>
      </c>
      <c r="G3031" s="64" t="n">
        <v>24167751.5940101</v>
      </c>
      <c r="H3031" s="62" t="s">
        <v>138</v>
      </c>
    </row>
    <row r="3032" customFormat="false" ht="15" hidden="false" customHeight="false" outlineLevel="0" collapsed="false">
      <c r="A3032" s="62" t="n">
        <v>0</v>
      </c>
      <c r="B3032" s="62" t="s">
        <v>381</v>
      </c>
      <c r="C3032" s="62" t="s">
        <v>60</v>
      </c>
      <c r="D3032" s="62" t="s">
        <v>72</v>
      </c>
      <c r="E3032" s="62" t="s">
        <v>382</v>
      </c>
      <c r="F3032" s="63" t="s">
        <v>690</v>
      </c>
      <c r="G3032" s="64" t="n">
        <v>1268804.55331336</v>
      </c>
      <c r="H3032" s="62" t="s">
        <v>138</v>
      </c>
    </row>
    <row r="3033" customFormat="false" ht="15" hidden="false" customHeight="false" outlineLevel="0" collapsed="false">
      <c r="A3033" s="62" t="n">
        <v>0</v>
      </c>
      <c r="B3033" s="62" t="s">
        <v>383</v>
      </c>
      <c r="C3033" s="62" t="s">
        <v>60</v>
      </c>
      <c r="D3033" s="62" t="s">
        <v>72</v>
      </c>
      <c r="E3033" s="62" t="s">
        <v>382</v>
      </c>
      <c r="F3033" s="63" t="s">
        <v>690</v>
      </c>
      <c r="G3033" s="64" t="n">
        <v>1268804.55331336</v>
      </c>
      <c r="H3033" s="62" t="s">
        <v>138</v>
      </c>
    </row>
    <row r="3034" customFormat="false" ht="15" hidden="false" customHeight="false" outlineLevel="0" collapsed="false">
      <c r="A3034" s="62" t="n">
        <v>0</v>
      </c>
      <c r="B3034" s="62" t="s">
        <v>384</v>
      </c>
      <c r="C3034" s="62" t="s">
        <v>60</v>
      </c>
      <c r="D3034" s="62" t="s">
        <v>72</v>
      </c>
      <c r="E3034" s="62" t="s">
        <v>382</v>
      </c>
      <c r="F3034" s="63" t="s">
        <v>690</v>
      </c>
      <c r="G3034" s="64" t="n">
        <v>1268804.55331336</v>
      </c>
      <c r="H3034" s="62" t="s">
        <v>138</v>
      </c>
    </row>
    <row r="3035" customFormat="false" ht="15" hidden="false" customHeight="false" outlineLevel="0" collapsed="false">
      <c r="A3035" s="62" t="n">
        <v>0</v>
      </c>
      <c r="B3035" s="62" t="s">
        <v>385</v>
      </c>
      <c r="C3035" s="62" t="s">
        <v>60</v>
      </c>
      <c r="D3035" s="62" t="s">
        <v>72</v>
      </c>
      <c r="E3035" s="62" t="s">
        <v>382</v>
      </c>
      <c r="F3035" s="63" t="s">
        <v>690</v>
      </c>
      <c r="G3035" s="64" t="n">
        <v>1268804.55331336</v>
      </c>
      <c r="H3035" s="62" t="s">
        <v>138</v>
      </c>
    </row>
    <row r="3036" customFormat="false" ht="15" hidden="false" customHeight="false" outlineLevel="0" collapsed="false">
      <c r="A3036" s="62" t="n">
        <v>0</v>
      </c>
      <c r="B3036" s="62" t="s">
        <v>386</v>
      </c>
      <c r="C3036" s="62" t="s">
        <v>60</v>
      </c>
      <c r="D3036" s="62" t="s">
        <v>72</v>
      </c>
      <c r="E3036" s="62" t="s">
        <v>382</v>
      </c>
      <c r="F3036" s="63" t="s">
        <v>690</v>
      </c>
      <c r="G3036" s="64" t="n">
        <v>1268804.55331336</v>
      </c>
      <c r="H3036" s="62" t="s">
        <v>138</v>
      </c>
    </row>
    <row r="3037" customFormat="false" ht="15" hidden="false" customHeight="false" outlineLevel="0" collapsed="false">
      <c r="A3037" s="62" t="n">
        <v>0</v>
      </c>
      <c r="B3037" s="62" t="s">
        <v>387</v>
      </c>
      <c r="C3037" s="62" t="s">
        <v>60</v>
      </c>
      <c r="D3037" s="62" t="s">
        <v>72</v>
      </c>
      <c r="E3037" s="62" t="s">
        <v>382</v>
      </c>
      <c r="F3037" s="63" t="s">
        <v>690</v>
      </c>
      <c r="G3037" s="64" t="n">
        <v>1268804.55331336</v>
      </c>
      <c r="H3037" s="62" t="s">
        <v>138</v>
      </c>
    </row>
    <row r="3038" customFormat="false" ht="15" hidden="false" customHeight="false" outlineLevel="0" collapsed="false">
      <c r="A3038" s="62" t="n">
        <v>0</v>
      </c>
      <c r="B3038" s="62" t="s">
        <v>388</v>
      </c>
      <c r="C3038" s="62" t="s">
        <v>60</v>
      </c>
      <c r="D3038" s="62" t="s">
        <v>72</v>
      </c>
      <c r="E3038" s="62" t="s">
        <v>382</v>
      </c>
      <c r="F3038" s="63" t="s">
        <v>690</v>
      </c>
      <c r="G3038" s="64" t="n">
        <v>1268804.55331336</v>
      </c>
      <c r="H3038" s="62" t="s">
        <v>138</v>
      </c>
    </row>
    <row r="3039" customFormat="false" ht="15" hidden="false" customHeight="false" outlineLevel="0" collapsed="false">
      <c r="A3039" s="62" t="n">
        <v>0</v>
      </c>
      <c r="B3039" s="62" t="s">
        <v>381</v>
      </c>
      <c r="C3039" s="62" t="s">
        <v>60</v>
      </c>
      <c r="D3039" s="62" t="s">
        <v>72</v>
      </c>
      <c r="E3039" s="62" t="s">
        <v>382</v>
      </c>
      <c r="F3039" s="63" t="s">
        <v>691</v>
      </c>
      <c r="G3039" s="64" t="n">
        <v>21950318.7723211</v>
      </c>
      <c r="H3039" s="62" t="s">
        <v>138</v>
      </c>
    </row>
    <row r="3040" customFormat="false" ht="15" hidden="false" customHeight="false" outlineLevel="0" collapsed="false">
      <c r="A3040" s="62" t="n">
        <v>0</v>
      </c>
      <c r="B3040" s="62" t="s">
        <v>383</v>
      </c>
      <c r="C3040" s="62" t="s">
        <v>60</v>
      </c>
      <c r="D3040" s="62" t="s">
        <v>72</v>
      </c>
      <c r="E3040" s="62" t="s">
        <v>382</v>
      </c>
      <c r="F3040" s="63" t="s">
        <v>691</v>
      </c>
      <c r="G3040" s="64" t="n">
        <v>21950318.7723211</v>
      </c>
      <c r="H3040" s="62" t="s">
        <v>138</v>
      </c>
    </row>
    <row r="3041" customFormat="false" ht="15" hidden="false" customHeight="false" outlineLevel="0" collapsed="false">
      <c r="A3041" s="62" t="n">
        <v>0</v>
      </c>
      <c r="B3041" s="62" t="s">
        <v>384</v>
      </c>
      <c r="C3041" s="62" t="s">
        <v>60</v>
      </c>
      <c r="D3041" s="62" t="s">
        <v>72</v>
      </c>
      <c r="E3041" s="62" t="s">
        <v>382</v>
      </c>
      <c r="F3041" s="63" t="s">
        <v>691</v>
      </c>
      <c r="G3041" s="64" t="n">
        <v>21950318.7723211</v>
      </c>
      <c r="H3041" s="62" t="s">
        <v>138</v>
      </c>
    </row>
    <row r="3042" customFormat="false" ht="15" hidden="false" customHeight="false" outlineLevel="0" collapsed="false">
      <c r="A3042" s="62" t="n">
        <v>0</v>
      </c>
      <c r="B3042" s="62" t="s">
        <v>385</v>
      </c>
      <c r="C3042" s="62" t="s">
        <v>60</v>
      </c>
      <c r="D3042" s="62" t="s">
        <v>72</v>
      </c>
      <c r="E3042" s="62" t="s">
        <v>382</v>
      </c>
      <c r="F3042" s="63" t="s">
        <v>691</v>
      </c>
      <c r="G3042" s="64" t="n">
        <v>21950318.7723211</v>
      </c>
      <c r="H3042" s="62" t="s">
        <v>138</v>
      </c>
    </row>
    <row r="3043" customFormat="false" ht="15" hidden="false" customHeight="false" outlineLevel="0" collapsed="false">
      <c r="A3043" s="62" t="n">
        <v>0</v>
      </c>
      <c r="B3043" s="62" t="s">
        <v>386</v>
      </c>
      <c r="C3043" s="62" t="s">
        <v>60</v>
      </c>
      <c r="D3043" s="62" t="s">
        <v>72</v>
      </c>
      <c r="E3043" s="62" t="s">
        <v>382</v>
      </c>
      <c r="F3043" s="63" t="s">
        <v>691</v>
      </c>
      <c r="G3043" s="64" t="n">
        <v>21950318.7723211</v>
      </c>
      <c r="H3043" s="62" t="s">
        <v>138</v>
      </c>
    </row>
    <row r="3044" customFormat="false" ht="15" hidden="false" customHeight="false" outlineLevel="0" collapsed="false">
      <c r="A3044" s="62" t="n">
        <v>0</v>
      </c>
      <c r="B3044" s="62" t="s">
        <v>387</v>
      </c>
      <c r="C3044" s="62" t="s">
        <v>60</v>
      </c>
      <c r="D3044" s="62" t="s">
        <v>72</v>
      </c>
      <c r="E3044" s="62" t="s">
        <v>382</v>
      </c>
      <c r="F3044" s="63" t="s">
        <v>691</v>
      </c>
      <c r="G3044" s="64" t="n">
        <v>21950318.7723211</v>
      </c>
      <c r="H3044" s="62" t="s">
        <v>138</v>
      </c>
    </row>
    <row r="3045" customFormat="false" ht="15" hidden="false" customHeight="false" outlineLevel="0" collapsed="false">
      <c r="A3045" s="62" t="n">
        <v>0</v>
      </c>
      <c r="B3045" s="62" t="s">
        <v>388</v>
      </c>
      <c r="C3045" s="62" t="s">
        <v>60</v>
      </c>
      <c r="D3045" s="62" t="s">
        <v>72</v>
      </c>
      <c r="E3045" s="62" t="s">
        <v>382</v>
      </c>
      <c r="F3045" s="63" t="s">
        <v>691</v>
      </c>
      <c r="G3045" s="64" t="n">
        <v>21950318.7723211</v>
      </c>
      <c r="H3045" s="62" t="s">
        <v>138</v>
      </c>
    </row>
    <row r="3046" customFormat="false" ht="15" hidden="false" customHeight="false" outlineLevel="0" collapsed="false">
      <c r="A3046" s="62" t="n">
        <v>0</v>
      </c>
      <c r="B3046" s="62" t="s">
        <v>381</v>
      </c>
      <c r="C3046" s="62" t="s">
        <v>60</v>
      </c>
      <c r="D3046" s="62" t="s">
        <v>72</v>
      </c>
      <c r="E3046" s="62" t="s">
        <v>382</v>
      </c>
      <c r="F3046" s="63" t="s">
        <v>692</v>
      </c>
      <c r="G3046" s="64" t="n">
        <v>640266.82376334</v>
      </c>
      <c r="H3046" s="62" t="s">
        <v>138</v>
      </c>
    </row>
    <row r="3047" customFormat="false" ht="15" hidden="false" customHeight="false" outlineLevel="0" collapsed="false">
      <c r="A3047" s="62" t="n">
        <v>0</v>
      </c>
      <c r="B3047" s="62" t="s">
        <v>383</v>
      </c>
      <c r="C3047" s="62" t="s">
        <v>60</v>
      </c>
      <c r="D3047" s="62" t="s">
        <v>72</v>
      </c>
      <c r="E3047" s="62" t="s">
        <v>382</v>
      </c>
      <c r="F3047" s="63" t="s">
        <v>692</v>
      </c>
      <c r="G3047" s="64" t="n">
        <v>640266.82376334</v>
      </c>
      <c r="H3047" s="62" t="s">
        <v>138</v>
      </c>
    </row>
    <row r="3048" customFormat="false" ht="15" hidden="false" customHeight="false" outlineLevel="0" collapsed="false">
      <c r="A3048" s="62" t="n">
        <v>0</v>
      </c>
      <c r="B3048" s="62" t="s">
        <v>384</v>
      </c>
      <c r="C3048" s="62" t="s">
        <v>60</v>
      </c>
      <c r="D3048" s="62" t="s">
        <v>72</v>
      </c>
      <c r="E3048" s="62" t="s">
        <v>382</v>
      </c>
      <c r="F3048" s="63" t="s">
        <v>692</v>
      </c>
      <c r="G3048" s="64" t="n">
        <v>640266.82376334</v>
      </c>
      <c r="H3048" s="62" t="s">
        <v>138</v>
      </c>
    </row>
    <row r="3049" customFormat="false" ht="15" hidden="false" customHeight="false" outlineLevel="0" collapsed="false">
      <c r="A3049" s="62" t="n">
        <v>0</v>
      </c>
      <c r="B3049" s="62" t="s">
        <v>385</v>
      </c>
      <c r="C3049" s="62" t="s">
        <v>60</v>
      </c>
      <c r="D3049" s="62" t="s">
        <v>72</v>
      </c>
      <c r="E3049" s="62" t="s">
        <v>382</v>
      </c>
      <c r="F3049" s="63" t="s">
        <v>692</v>
      </c>
      <c r="G3049" s="64" t="n">
        <v>640266.82376334</v>
      </c>
      <c r="H3049" s="62" t="s">
        <v>138</v>
      </c>
    </row>
    <row r="3050" customFormat="false" ht="15" hidden="false" customHeight="false" outlineLevel="0" collapsed="false">
      <c r="A3050" s="62" t="n">
        <v>0</v>
      </c>
      <c r="B3050" s="62" t="s">
        <v>386</v>
      </c>
      <c r="C3050" s="62" t="s">
        <v>60</v>
      </c>
      <c r="D3050" s="62" t="s">
        <v>72</v>
      </c>
      <c r="E3050" s="62" t="s">
        <v>382</v>
      </c>
      <c r="F3050" s="63" t="s">
        <v>692</v>
      </c>
      <c r="G3050" s="64" t="n">
        <v>640266.82376334</v>
      </c>
      <c r="H3050" s="62" t="s">
        <v>138</v>
      </c>
    </row>
    <row r="3051" customFormat="false" ht="15" hidden="false" customHeight="false" outlineLevel="0" collapsed="false">
      <c r="A3051" s="62" t="n">
        <v>0</v>
      </c>
      <c r="B3051" s="62" t="s">
        <v>387</v>
      </c>
      <c r="C3051" s="62" t="s">
        <v>60</v>
      </c>
      <c r="D3051" s="62" t="s">
        <v>72</v>
      </c>
      <c r="E3051" s="62" t="s">
        <v>382</v>
      </c>
      <c r="F3051" s="63" t="s">
        <v>692</v>
      </c>
      <c r="G3051" s="64" t="n">
        <v>640266.82376334</v>
      </c>
      <c r="H3051" s="62" t="s">
        <v>138</v>
      </c>
    </row>
    <row r="3052" customFormat="false" ht="15" hidden="false" customHeight="false" outlineLevel="0" collapsed="false">
      <c r="A3052" s="62" t="n">
        <v>0</v>
      </c>
      <c r="B3052" s="62" t="s">
        <v>388</v>
      </c>
      <c r="C3052" s="62" t="s">
        <v>60</v>
      </c>
      <c r="D3052" s="62" t="s">
        <v>72</v>
      </c>
      <c r="E3052" s="62" t="s">
        <v>382</v>
      </c>
      <c r="F3052" s="63" t="s">
        <v>692</v>
      </c>
      <c r="G3052" s="64" t="n">
        <v>640266.82376334</v>
      </c>
      <c r="H3052" s="62" t="s">
        <v>138</v>
      </c>
    </row>
    <row r="3053" customFormat="false" ht="15" hidden="false" customHeight="false" outlineLevel="0" collapsed="false">
      <c r="A3053" s="62" t="n">
        <v>0</v>
      </c>
      <c r="B3053" s="62" t="s">
        <v>381</v>
      </c>
      <c r="C3053" s="62" t="s">
        <v>60</v>
      </c>
      <c r="D3053" s="62" t="s">
        <v>72</v>
      </c>
      <c r="E3053" s="62" t="s">
        <v>382</v>
      </c>
      <c r="F3053" s="63" t="s">
        <v>693</v>
      </c>
      <c r="G3053" s="64" t="n">
        <v>1176203.83474677</v>
      </c>
      <c r="H3053" s="62" t="s">
        <v>138</v>
      </c>
    </row>
    <row r="3054" customFormat="false" ht="15" hidden="false" customHeight="false" outlineLevel="0" collapsed="false">
      <c r="A3054" s="62" t="n">
        <v>0</v>
      </c>
      <c r="B3054" s="62" t="s">
        <v>383</v>
      </c>
      <c r="C3054" s="62" t="s">
        <v>60</v>
      </c>
      <c r="D3054" s="62" t="s">
        <v>72</v>
      </c>
      <c r="E3054" s="62" t="s">
        <v>382</v>
      </c>
      <c r="F3054" s="63" t="s">
        <v>693</v>
      </c>
      <c r="G3054" s="64" t="n">
        <v>1176203.83474677</v>
      </c>
      <c r="H3054" s="62" t="s">
        <v>138</v>
      </c>
    </row>
    <row r="3055" customFormat="false" ht="15" hidden="false" customHeight="false" outlineLevel="0" collapsed="false">
      <c r="A3055" s="62" t="n">
        <v>0</v>
      </c>
      <c r="B3055" s="62" t="s">
        <v>384</v>
      </c>
      <c r="C3055" s="62" t="s">
        <v>60</v>
      </c>
      <c r="D3055" s="62" t="s">
        <v>72</v>
      </c>
      <c r="E3055" s="62" t="s">
        <v>382</v>
      </c>
      <c r="F3055" s="63" t="s">
        <v>693</v>
      </c>
      <c r="G3055" s="64" t="n">
        <v>1176203.83474677</v>
      </c>
      <c r="H3055" s="62" t="s">
        <v>138</v>
      </c>
    </row>
    <row r="3056" customFormat="false" ht="15" hidden="false" customHeight="false" outlineLevel="0" collapsed="false">
      <c r="A3056" s="62" t="n">
        <v>0</v>
      </c>
      <c r="B3056" s="62" t="s">
        <v>385</v>
      </c>
      <c r="C3056" s="62" t="s">
        <v>60</v>
      </c>
      <c r="D3056" s="62" t="s">
        <v>72</v>
      </c>
      <c r="E3056" s="62" t="s">
        <v>382</v>
      </c>
      <c r="F3056" s="63" t="s">
        <v>693</v>
      </c>
      <c r="G3056" s="64" t="n">
        <v>1176203.83474677</v>
      </c>
      <c r="H3056" s="62" t="s">
        <v>138</v>
      </c>
    </row>
    <row r="3057" customFormat="false" ht="15" hidden="false" customHeight="false" outlineLevel="0" collapsed="false">
      <c r="A3057" s="62" t="n">
        <v>0</v>
      </c>
      <c r="B3057" s="62" t="s">
        <v>386</v>
      </c>
      <c r="C3057" s="62" t="s">
        <v>60</v>
      </c>
      <c r="D3057" s="62" t="s">
        <v>72</v>
      </c>
      <c r="E3057" s="62" t="s">
        <v>382</v>
      </c>
      <c r="F3057" s="63" t="s">
        <v>693</v>
      </c>
      <c r="G3057" s="64" t="n">
        <v>1176203.83474677</v>
      </c>
      <c r="H3057" s="62" t="s">
        <v>138</v>
      </c>
    </row>
    <row r="3058" customFormat="false" ht="15" hidden="false" customHeight="false" outlineLevel="0" collapsed="false">
      <c r="A3058" s="62" t="n">
        <v>0</v>
      </c>
      <c r="B3058" s="62" t="s">
        <v>387</v>
      </c>
      <c r="C3058" s="62" t="s">
        <v>60</v>
      </c>
      <c r="D3058" s="62" t="s">
        <v>72</v>
      </c>
      <c r="E3058" s="62" t="s">
        <v>382</v>
      </c>
      <c r="F3058" s="63" t="s">
        <v>693</v>
      </c>
      <c r="G3058" s="64" t="n">
        <v>1176203.83474677</v>
      </c>
      <c r="H3058" s="62" t="s">
        <v>138</v>
      </c>
    </row>
    <row r="3059" customFormat="false" ht="15" hidden="false" customHeight="false" outlineLevel="0" collapsed="false">
      <c r="A3059" s="62" t="n">
        <v>0</v>
      </c>
      <c r="B3059" s="62" t="s">
        <v>388</v>
      </c>
      <c r="C3059" s="62" t="s">
        <v>60</v>
      </c>
      <c r="D3059" s="62" t="s">
        <v>72</v>
      </c>
      <c r="E3059" s="62" t="s">
        <v>382</v>
      </c>
      <c r="F3059" s="63" t="s">
        <v>693</v>
      </c>
      <c r="G3059" s="64" t="n">
        <v>1176203.83474677</v>
      </c>
      <c r="H3059" s="62" t="s">
        <v>138</v>
      </c>
    </row>
    <row r="3060" customFormat="false" ht="15" hidden="false" customHeight="false" outlineLevel="0" collapsed="false">
      <c r="A3060" s="62" t="n">
        <v>0</v>
      </c>
      <c r="B3060" s="62" t="s">
        <v>381</v>
      </c>
      <c r="C3060" s="62" t="s">
        <v>60</v>
      </c>
      <c r="D3060" s="62" t="s">
        <v>72</v>
      </c>
      <c r="E3060" s="62" t="s">
        <v>382</v>
      </c>
      <c r="F3060" s="63" t="s">
        <v>694</v>
      </c>
      <c r="G3060" s="64" t="n">
        <v>100000</v>
      </c>
      <c r="H3060" s="62" t="s">
        <v>138</v>
      </c>
    </row>
    <row r="3061" customFormat="false" ht="15" hidden="false" customHeight="false" outlineLevel="0" collapsed="false">
      <c r="A3061" s="62" t="n">
        <v>0</v>
      </c>
      <c r="B3061" s="62" t="s">
        <v>383</v>
      </c>
      <c r="C3061" s="62" t="s">
        <v>60</v>
      </c>
      <c r="D3061" s="62" t="s">
        <v>72</v>
      </c>
      <c r="E3061" s="62" t="s">
        <v>382</v>
      </c>
      <c r="F3061" s="63" t="s">
        <v>694</v>
      </c>
      <c r="G3061" s="64" t="n">
        <v>100000</v>
      </c>
      <c r="H3061" s="62" t="s">
        <v>138</v>
      </c>
    </row>
    <row r="3062" customFormat="false" ht="15" hidden="false" customHeight="false" outlineLevel="0" collapsed="false">
      <c r="A3062" s="62" t="n">
        <v>0</v>
      </c>
      <c r="B3062" s="62" t="s">
        <v>384</v>
      </c>
      <c r="C3062" s="62" t="s">
        <v>60</v>
      </c>
      <c r="D3062" s="62" t="s">
        <v>72</v>
      </c>
      <c r="E3062" s="62" t="s">
        <v>382</v>
      </c>
      <c r="F3062" s="63" t="s">
        <v>694</v>
      </c>
      <c r="G3062" s="64" t="n">
        <v>100000</v>
      </c>
      <c r="H3062" s="62" t="s">
        <v>138</v>
      </c>
    </row>
    <row r="3063" customFormat="false" ht="15" hidden="false" customHeight="false" outlineLevel="0" collapsed="false">
      <c r="A3063" s="62" t="n">
        <v>0</v>
      </c>
      <c r="B3063" s="62" t="s">
        <v>385</v>
      </c>
      <c r="C3063" s="62" t="s">
        <v>60</v>
      </c>
      <c r="D3063" s="62" t="s">
        <v>72</v>
      </c>
      <c r="E3063" s="62" t="s">
        <v>382</v>
      </c>
      <c r="F3063" s="63" t="s">
        <v>694</v>
      </c>
      <c r="G3063" s="64" t="n">
        <v>100000</v>
      </c>
      <c r="H3063" s="62" t="s">
        <v>138</v>
      </c>
    </row>
    <row r="3064" customFormat="false" ht="15" hidden="false" customHeight="false" outlineLevel="0" collapsed="false">
      <c r="A3064" s="62" t="n">
        <v>0</v>
      </c>
      <c r="B3064" s="62" t="s">
        <v>386</v>
      </c>
      <c r="C3064" s="62" t="s">
        <v>60</v>
      </c>
      <c r="D3064" s="62" t="s">
        <v>72</v>
      </c>
      <c r="E3064" s="62" t="s">
        <v>382</v>
      </c>
      <c r="F3064" s="63" t="s">
        <v>694</v>
      </c>
      <c r="G3064" s="64" t="n">
        <v>100000</v>
      </c>
      <c r="H3064" s="62" t="s">
        <v>138</v>
      </c>
    </row>
    <row r="3065" customFormat="false" ht="15" hidden="false" customHeight="false" outlineLevel="0" collapsed="false">
      <c r="A3065" s="62" t="n">
        <v>0</v>
      </c>
      <c r="B3065" s="62" t="s">
        <v>387</v>
      </c>
      <c r="C3065" s="62" t="s">
        <v>60</v>
      </c>
      <c r="D3065" s="62" t="s">
        <v>72</v>
      </c>
      <c r="E3065" s="62" t="s">
        <v>382</v>
      </c>
      <c r="F3065" s="63" t="s">
        <v>694</v>
      </c>
      <c r="G3065" s="64" t="n">
        <v>100000</v>
      </c>
      <c r="H3065" s="62" t="s">
        <v>138</v>
      </c>
    </row>
    <row r="3066" customFormat="false" ht="15" hidden="false" customHeight="false" outlineLevel="0" collapsed="false">
      <c r="A3066" s="62" t="n">
        <v>0</v>
      </c>
      <c r="B3066" s="62" t="s">
        <v>388</v>
      </c>
      <c r="C3066" s="62" t="s">
        <v>60</v>
      </c>
      <c r="D3066" s="62" t="s">
        <v>72</v>
      </c>
      <c r="E3066" s="62" t="s">
        <v>382</v>
      </c>
      <c r="F3066" s="63" t="s">
        <v>694</v>
      </c>
      <c r="G3066" s="64" t="n">
        <v>100000</v>
      </c>
      <c r="H3066" s="62" t="s">
        <v>138</v>
      </c>
    </row>
    <row r="3067" customFormat="false" ht="15" hidden="false" customHeight="false" outlineLevel="0" collapsed="false">
      <c r="A3067" s="62" t="n">
        <v>0</v>
      </c>
      <c r="B3067" s="62" t="s">
        <v>381</v>
      </c>
      <c r="C3067" s="62" t="s">
        <v>60</v>
      </c>
      <c r="D3067" s="62" t="s">
        <v>72</v>
      </c>
      <c r="E3067" s="62" t="s">
        <v>382</v>
      </c>
      <c r="F3067" s="63" t="s">
        <v>695</v>
      </c>
      <c r="G3067" s="64" t="n">
        <v>1916470.65851011</v>
      </c>
      <c r="H3067" s="62" t="s">
        <v>138</v>
      </c>
    </row>
    <row r="3068" customFormat="false" ht="15" hidden="false" customHeight="false" outlineLevel="0" collapsed="false">
      <c r="A3068" s="62" t="n">
        <v>0</v>
      </c>
      <c r="B3068" s="62" t="s">
        <v>383</v>
      </c>
      <c r="C3068" s="62" t="s">
        <v>60</v>
      </c>
      <c r="D3068" s="62" t="s">
        <v>72</v>
      </c>
      <c r="E3068" s="62" t="s">
        <v>382</v>
      </c>
      <c r="F3068" s="63" t="s">
        <v>695</v>
      </c>
      <c r="G3068" s="64" t="n">
        <v>1916470.65851011</v>
      </c>
      <c r="H3068" s="62" t="s">
        <v>138</v>
      </c>
    </row>
    <row r="3069" customFormat="false" ht="15" hidden="false" customHeight="false" outlineLevel="0" collapsed="false">
      <c r="A3069" s="62" t="n">
        <v>0</v>
      </c>
      <c r="B3069" s="62" t="s">
        <v>384</v>
      </c>
      <c r="C3069" s="62" t="s">
        <v>60</v>
      </c>
      <c r="D3069" s="62" t="s">
        <v>72</v>
      </c>
      <c r="E3069" s="62" t="s">
        <v>382</v>
      </c>
      <c r="F3069" s="63" t="s">
        <v>695</v>
      </c>
      <c r="G3069" s="64" t="n">
        <v>1916470.65851011</v>
      </c>
      <c r="H3069" s="62" t="s">
        <v>138</v>
      </c>
    </row>
    <row r="3070" customFormat="false" ht="15" hidden="false" customHeight="false" outlineLevel="0" collapsed="false">
      <c r="A3070" s="62" t="n">
        <v>0</v>
      </c>
      <c r="B3070" s="62" t="s">
        <v>385</v>
      </c>
      <c r="C3070" s="62" t="s">
        <v>60</v>
      </c>
      <c r="D3070" s="62" t="s">
        <v>72</v>
      </c>
      <c r="E3070" s="62" t="s">
        <v>382</v>
      </c>
      <c r="F3070" s="63" t="s">
        <v>695</v>
      </c>
      <c r="G3070" s="64" t="n">
        <v>1916470.65851011</v>
      </c>
      <c r="H3070" s="62" t="s">
        <v>138</v>
      </c>
    </row>
    <row r="3071" customFormat="false" ht="15" hidden="false" customHeight="false" outlineLevel="0" collapsed="false">
      <c r="A3071" s="62" t="n">
        <v>0</v>
      </c>
      <c r="B3071" s="62" t="s">
        <v>386</v>
      </c>
      <c r="C3071" s="62" t="s">
        <v>60</v>
      </c>
      <c r="D3071" s="62" t="s">
        <v>72</v>
      </c>
      <c r="E3071" s="62" t="s">
        <v>382</v>
      </c>
      <c r="F3071" s="63" t="s">
        <v>695</v>
      </c>
      <c r="G3071" s="64" t="n">
        <v>1916470.65851011</v>
      </c>
      <c r="H3071" s="62" t="s">
        <v>138</v>
      </c>
    </row>
    <row r="3072" customFormat="false" ht="15" hidden="false" customHeight="false" outlineLevel="0" collapsed="false">
      <c r="A3072" s="62" t="n">
        <v>0</v>
      </c>
      <c r="B3072" s="62" t="s">
        <v>387</v>
      </c>
      <c r="C3072" s="62" t="s">
        <v>60</v>
      </c>
      <c r="D3072" s="62" t="s">
        <v>72</v>
      </c>
      <c r="E3072" s="62" t="s">
        <v>382</v>
      </c>
      <c r="F3072" s="63" t="s">
        <v>695</v>
      </c>
      <c r="G3072" s="64" t="n">
        <v>1916470.65851011</v>
      </c>
      <c r="H3072" s="62" t="s">
        <v>138</v>
      </c>
    </row>
    <row r="3073" customFormat="false" ht="15" hidden="false" customHeight="false" outlineLevel="0" collapsed="false">
      <c r="A3073" s="62" t="n">
        <v>0</v>
      </c>
      <c r="B3073" s="62" t="s">
        <v>388</v>
      </c>
      <c r="C3073" s="62" t="s">
        <v>60</v>
      </c>
      <c r="D3073" s="62" t="s">
        <v>72</v>
      </c>
      <c r="E3073" s="62" t="s">
        <v>382</v>
      </c>
      <c r="F3073" s="63" t="s">
        <v>695</v>
      </c>
      <c r="G3073" s="64" t="n">
        <v>1916470.65851011</v>
      </c>
      <c r="H3073" s="62" t="s">
        <v>138</v>
      </c>
    </row>
    <row r="3074" customFormat="false" ht="15" hidden="false" customHeight="false" outlineLevel="0" collapsed="false">
      <c r="A3074" s="62" t="n">
        <v>0</v>
      </c>
      <c r="B3074" s="62" t="s">
        <v>381</v>
      </c>
      <c r="C3074" s="62" t="s">
        <v>60</v>
      </c>
      <c r="D3074" s="62" t="s">
        <v>72</v>
      </c>
      <c r="E3074" s="62" t="s">
        <v>382</v>
      </c>
      <c r="F3074" s="63" t="s">
        <v>696</v>
      </c>
      <c r="G3074" s="64" t="n">
        <v>17064000</v>
      </c>
      <c r="H3074" s="62" t="s">
        <v>138</v>
      </c>
    </row>
    <row r="3075" customFormat="false" ht="15" hidden="false" customHeight="false" outlineLevel="0" collapsed="false">
      <c r="A3075" s="62" t="n">
        <v>0</v>
      </c>
      <c r="B3075" s="62" t="s">
        <v>383</v>
      </c>
      <c r="C3075" s="62" t="s">
        <v>60</v>
      </c>
      <c r="D3075" s="62" t="s">
        <v>72</v>
      </c>
      <c r="E3075" s="62" t="s">
        <v>382</v>
      </c>
      <c r="F3075" s="63" t="s">
        <v>696</v>
      </c>
      <c r="G3075" s="64" t="n">
        <v>17064000</v>
      </c>
      <c r="H3075" s="62" t="s">
        <v>138</v>
      </c>
    </row>
    <row r="3076" customFormat="false" ht="15" hidden="false" customHeight="false" outlineLevel="0" collapsed="false">
      <c r="A3076" s="62" t="n">
        <v>0</v>
      </c>
      <c r="B3076" s="62" t="s">
        <v>384</v>
      </c>
      <c r="C3076" s="62" t="s">
        <v>60</v>
      </c>
      <c r="D3076" s="62" t="s">
        <v>72</v>
      </c>
      <c r="E3076" s="62" t="s">
        <v>382</v>
      </c>
      <c r="F3076" s="63" t="s">
        <v>696</v>
      </c>
      <c r="G3076" s="64" t="n">
        <v>17064000</v>
      </c>
      <c r="H3076" s="62" t="s">
        <v>138</v>
      </c>
    </row>
    <row r="3077" customFormat="false" ht="15" hidden="false" customHeight="false" outlineLevel="0" collapsed="false">
      <c r="A3077" s="62" t="n">
        <v>0</v>
      </c>
      <c r="B3077" s="62" t="s">
        <v>385</v>
      </c>
      <c r="C3077" s="62" t="s">
        <v>60</v>
      </c>
      <c r="D3077" s="62" t="s">
        <v>72</v>
      </c>
      <c r="E3077" s="62" t="s">
        <v>382</v>
      </c>
      <c r="F3077" s="63" t="s">
        <v>696</v>
      </c>
      <c r="G3077" s="64" t="n">
        <v>17064000</v>
      </c>
      <c r="H3077" s="62" t="s">
        <v>138</v>
      </c>
    </row>
    <row r="3078" customFormat="false" ht="15" hidden="false" customHeight="false" outlineLevel="0" collapsed="false">
      <c r="A3078" s="62" t="n">
        <v>0</v>
      </c>
      <c r="B3078" s="62" t="s">
        <v>386</v>
      </c>
      <c r="C3078" s="62" t="s">
        <v>60</v>
      </c>
      <c r="D3078" s="62" t="s">
        <v>72</v>
      </c>
      <c r="E3078" s="62" t="s">
        <v>382</v>
      </c>
      <c r="F3078" s="63" t="s">
        <v>696</v>
      </c>
      <c r="G3078" s="64" t="n">
        <v>17064000</v>
      </c>
      <c r="H3078" s="62" t="s">
        <v>138</v>
      </c>
    </row>
    <row r="3079" customFormat="false" ht="15" hidden="false" customHeight="false" outlineLevel="0" collapsed="false">
      <c r="A3079" s="62" t="n">
        <v>0</v>
      </c>
      <c r="B3079" s="62" t="s">
        <v>387</v>
      </c>
      <c r="C3079" s="62" t="s">
        <v>60</v>
      </c>
      <c r="D3079" s="62" t="s">
        <v>72</v>
      </c>
      <c r="E3079" s="62" t="s">
        <v>382</v>
      </c>
      <c r="F3079" s="63" t="s">
        <v>696</v>
      </c>
      <c r="G3079" s="64" t="n">
        <v>17064000</v>
      </c>
      <c r="H3079" s="62" t="s">
        <v>138</v>
      </c>
    </row>
    <row r="3080" customFormat="false" ht="15" hidden="false" customHeight="false" outlineLevel="0" collapsed="false">
      <c r="A3080" s="62" t="n">
        <v>0</v>
      </c>
      <c r="B3080" s="62" t="s">
        <v>388</v>
      </c>
      <c r="C3080" s="62" t="s">
        <v>60</v>
      </c>
      <c r="D3080" s="62" t="s">
        <v>72</v>
      </c>
      <c r="E3080" s="62" t="s">
        <v>382</v>
      </c>
      <c r="F3080" s="63" t="s">
        <v>696</v>
      </c>
      <c r="G3080" s="64" t="n">
        <v>17064000</v>
      </c>
      <c r="H3080" s="62" t="s">
        <v>138</v>
      </c>
    </row>
    <row r="3081" customFormat="false" ht="15" hidden="false" customHeight="false" outlineLevel="0" collapsed="false">
      <c r="A3081" s="62" t="n">
        <v>0</v>
      </c>
      <c r="B3081" s="62" t="s">
        <v>381</v>
      </c>
      <c r="C3081" s="62" t="s">
        <v>60</v>
      </c>
      <c r="D3081" s="62" t="s">
        <v>72</v>
      </c>
      <c r="E3081" s="62" t="s">
        <v>382</v>
      </c>
      <c r="F3081" s="63" t="s">
        <v>697</v>
      </c>
      <c r="G3081" s="64" t="n">
        <v>-2.76602325917215</v>
      </c>
      <c r="H3081" s="62" t="s">
        <v>138</v>
      </c>
    </row>
    <row r="3082" customFormat="false" ht="15" hidden="false" customHeight="false" outlineLevel="0" collapsed="false">
      <c r="A3082" s="62" t="n">
        <v>0</v>
      </c>
      <c r="B3082" s="62" t="s">
        <v>383</v>
      </c>
      <c r="C3082" s="62" t="s">
        <v>60</v>
      </c>
      <c r="D3082" s="62" t="s">
        <v>72</v>
      </c>
      <c r="E3082" s="62" t="s">
        <v>382</v>
      </c>
      <c r="F3082" s="63" t="s">
        <v>697</v>
      </c>
      <c r="G3082" s="64" t="n">
        <v>-2.76602325917215</v>
      </c>
      <c r="H3082" s="62" t="s">
        <v>138</v>
      </c>
    </row>
    <row r="3083" customFormat="false" ht="15" hidden="false" customHeight="false" outlineLevel="0" collapsed="false">
      <c r="A3083" s="62" t="n">
        <v>0</v>
      </c>
      <c r="B3083" s="62" t="s">
        <v>384</v>
      </c>
      <c r="C3083" s="62" t="s">
        <v>60</v>
      </c>
      <c r="D3083" s="62" t="s">
        <v>72</v>
      </c>
      <c r="E3083" s="62" t="s">
        <v>382</v>
      </c>
      <c r="F3083" s="63" t="s">
        <v>697</v>
      </c>
      <c r="G3083" s="64" t="n">
        <v>-2.76602325917215</v>
      </c>
      <c r="H3083" s="62" t="s">
        <v>138</v>
      </c>
    </row>
    <row r="3084" customFormat="false" ht="15" hidden="false" customHeight="false" outlineLevel="0" collapsed="false">
      <c r="A3084" s="62" t="n">
        <v>0</v>
      </c>
      <c r="B3084" s="62" t="s">
        <v>385</v>
      </c>
      <c r="C3084" s="62" t="s">
        <v>60</v>
      </c>
      <c r="D3084" s="62" t="s">
        <v>72</v>
      </c>
      <c r="E3084" s="62" t="s">
        <v>382</v>
      </c>
      <c r="F3084" s="63" t="s">
        <v>697</v>
      </c>
      <c r="G3084" s="64" t="n">
        <v>-2.76602325917215</v>
      </c>
      <c r="H3084" s="62" t="s">
        <v>138</v>
      </c>
    </row>
    <row r="3085" customFormat="false" ht="15" hidden="false" customHeight="false" outlineLevel="0" collapsed="false">
      <c r="A3085" s="62" t="n">
        <v>0</v>
      </c>
      <c r="B3085" s="62" t="s">
        <v>386</v>
      </c>
      <c r="C3085" s="62" t="s">
        <v>60</v>
      </c>
      <c r="D3085" s="62" t="s">
        <v>72</v>
      </c>
      <c r="E3085" s="62" t="s">
        <v>382</v>
      </c>
      <c r="F3085" s="63" t="s">
        <v>697</v>
      </c>
      <c r="G3085" s="64" t="n">
        <v>-2.76602325917215</v>
      </c>
      <c r="H3085" s="62" t="s">
        <v>138</v>
      </c>
    </row>
    <row r="3086" customFormat="false" ht="15" hidden="false" customHeight="false" outlineLevel="0" collapsed="false">
      <c r="A3086" s="62" t="n">
        <v>0</v>
      </c>
      <c r="B3086" s="62" t="s">
        <v>387</v>
      </c>
      <c r="C3086" s="62" t="s">
        <v>60</v>
      </c>
      <c r="D3086" s="62" t="s">
        <v>72</v>
      </c>
      <c r="E3086" s="62" t="s">
        <v>382</v>
      </c>
      <c r="F3086" s="63" t="s">
        <v>697</v>
      </c>
      <c r="G3086" s="64" t="n">
        <v>-2.76602325917215</v>
      </c>
      <c r="H3086" s="62" t="s">
        <v>138</v>
      </c>
    </row>
    <row r="3087" customFormat="false" ht="15" hidden="false" customHeight="false" outlineLevel="0" collapsed="false">
      <c r="A3087" s="62" t="n">
        <v>0</v>
      </c>
      <c r="B3087" s="62" t="s">
        <v>388</v>
      </c>
      <c r="C3087" s="62" t="s">
        <v>60</v>
      </c>
      <c r="D3087" s="62" t="s">
        <v>72</v>
      </c>
      <c r="E3087" s="62" t="s">
        <v>382</v>
      </c>
      <c r="F3087" s="63" t="s">
        <v>697</v>
      </c>
      <c r="G3087" s="64" t="n">
        <v>-2.76602325917215</v>
      </c>
      <c r="H3087" s="62" t="s">
        <v>138</v>
      </c>
    </row>
    <row r="3088" customFormat="false" ht="15" hidden="false" customHeight="false" outlineLevel="0" collapsed="false">
      <c r="A3088" s="62" t="n">
        <v>0</v>
      </c>
      <c r="B3088" s="62" t="s">
        <v>381</v>
      </c>
      <c r="C3088" s="62" t="s">
        <v>60</v>
      </c>
      <c r="D3088" s="62" t="s">
        <v>72</v>
      </c>
      <c r="E3088" s="62" t="s">
        <v>382</v>
      </c>
      <c r="F3088" s="63" t="s">
        <v>698</v>
      </c>
      <c r="G3088" s="64" t="n">
        <v>281767.942124376</v>
      </c>
      <c r="H3088" s="62" t="s">
        <v>138</v>
      </c>
    </row>
    <row r="3089" customFormat="false" ht="15" hidden="false" customHeight="false" outlineLevel="0" collapsed="false">
      <c r="A3089" s="62" t="n">
        <v>0</v>
      </c>
      <c r="B3089" s="62" t="s">
        <v>383</v>
      </c>
      <c r="C3089" s="62" t="s">
        <v>60</v>
      </c>
      <c r="D3089" s="62" t="s">
        <v>72</v>
      </c>
      <c r="E3089" s="62" t="s">
        <v>382</v>
      </c>
      <c r="F3089" s="63" t="s">
        <v>698</v>
      </c>
      <c r="G3089" s="64" t="n">
        <v>281767.942124376</v>
      </c>
      <c r="H3089" s="62" t="s">
        <v>138</v>
      </c>
    </row>
    <row r="3090" customFormat="false" ht="15" hidden="false" customHeight="false" outlineLevel="0" collapsed="false">
      <c r="A3090" s="62" t="n">
        <v>0</v>
      </c>
      <c r="B3090" s="62" t="s">
        <v>384</v>
      </c>
      <c r="C3090" s="62" t="s">
        <v>60</v>
      </c>
      <c r="D3090" s="62" t="s">
        <v>72</v>
      </c>
      <c r="E3090" s="62" t="s">
        <v>382</v>
      </c>
      <c r="F3090" s="63" t="s">
        <v>698</v>
      </c>
      <c r="G3090" s="64" t="n">
        <v>281767.942124376</v>
      </c>
      <c r="H3090" s="62" t="s">
        <v>138</v>
      </c>
    </row>
    <row r="3091" customFormat="false" ht="15" hidden="false" customHeight="false" outlineLevel="0" collapsed="false">
      <c r="A3091" s="62" t="n">
        <v>0</v>
      </c>
      <c r="B3091" s="62" t="s">
        <v>385</v>
      </c>
      <c r="C3091" s="62" t="s">
        <v>60</v>
      </c>
      <c r="D3091" s="62" t="s">
        <v>72</v>
      </c>
      <c r="E3091" s="62" t="s">
        <v>382</v>
      </c>
      <c r="F3091" s="63" t="s">
        <v>698</v>
      </c>
      <c r="G3091" s="64" t="n">
        <v>281767.942124376</v>
      </c>
      <c r="H3091" s="62" t="s">
        <v>138</v>
      </c>
    </row>
    <row r="3092" customFormat="false" ht="15" hidden="false" customHeight="false" outlineLevel="0" collapsed="false">
      <c r="A3092" s="62" t="n">
        <v>0</v>
      </c>
      <c r="B3092" s="62" t="s">
        <v>386</v>
      </c>
      <c r="C3092" s="62" t="s">
        <v>60</v>
      </c>
      <c r="D3092" s="62" t="s">
        <v>72</v>
      </c>
      <c r="E3092" s="62" t="s">
        <v>382</v>
      </c>
      <c r="F3092" s="63" t="s">
        <v>698</v>
      </c>
      <c r="G3092" s="64" t="n">
        <v>281767.942124376</v>
      </c>
      <c r="H3092" s="62" t="s">
        <v>138</v>
      </c>
    </row>
    <row r="3093" customFormat="false" ht="15" hidden="false" customHeight="false" outlineLevel="0" collapsed="false">
      <c r="A3093" s="62" t="n">
        <v>0</v>
      </c>
      <c r="B3093" s="62" t="s">
        <v>387</v>
      </c>
      <c r="C3093" s="62" t="s">
        <v>60</v>
      </c>
      <c r="D3093" s="62" t="s">
        <v>72</v>
      </c>
      <c r="E3093" s="62" t="s">
        <v>382</v>
      </c>
      <c r="F3093" s="63" t="s">
        <v>698</v>
      </c>
      <c r="G3093" s="64" t="n">
        <v>281767.942124376</v>
      </c>
      <c r="H3093" s="62" t="s">
        <v>138</v>
      </c>
    </row>
    <row r="3094" customFormat="false" ht="15" hidden="false" customHeight="false" outlineLevel="0" collapsed="false">
      <c r="A3094" s="62" t="n">
        <v>0</v>
      </c>
      <c r="B3094" s="62" t="s">
        <v>388</v>
      </c>
      <c r="C3094" s="62" t="s">
        <v>60</v>
      </c>
      <c r="D3094" s="62" t="s">
        <v>72</v>
      </c>
      <c r="E3094" s="62" t="s">
        <v>382</v>
      </c>
      <c r="F3094" s="63" t="s">
        <v>698</v>
      </c>
      <c r="G3094" s="64" t="n">
        <v>281767.942124376</v>
      </c>
      <c r="H3094" s="62" t="s">
        <v>138</v>
      </c>
    </row>
    <row r="3095" customFormat="false" ht="15" hidden="false" customHeight="false" outlineLevel="0" collapsed="false">
      <c r="A3095" s="62" t="n">
        <v>0</v>
      </c>
      <c r="B3095" s="62" t="s">
        <v>381</v>
      </c>
      <c r="C3095" s="62" t="s">
        <v>60</v>
      </c>
      <c r="D3095" s="62" t="s">
        <v>72</v>
      </c>
      <c r="E3095" s="62" t="s">
        <v>382</v>
      </c>
      <c r="F3095" s="63" t="s">
        <v>699</v>
      </c>
      <c r="G3095" s="64" t="n">
        <v>-3960761.68033809</v>
      </c>
      <c r="H3095" s="62" t="s">
        <v>138</v>
      </c>
    </row>
    <row r="3096" customFormat="false" ht="15" hidden="false" customHeight="false" outlineLevel="0" collapsed="false">
      <c r="A3096" s="62" t="n">
        <v>0</v>
      </c>
      <c r="B3096" s="62" t="s">
        <v>383</v>
      </c>
      <c r="C3096" s="62" t="s">
        <v>60</v>
      </c>
      <c r="D3096" s="62" t="s">
        <v>72</v>
      </c>
      <c r="E3096" s="62" t="s">
        <v>382</v>
      </c>
      <c r="F3096" s="63" t="s">
        <v>699</v>
      </c>
      <c r="G3096" s="64" t="n">
        <v>-3960761.68033809</v>
      </c>
      <c r="H3096" s="62" t="s">
        <v>138</v>
      </c>
    </row>
    <row r="3097" customFormat="false" ht="15" hidden="false" customHeight="false" outlineLevel="0" collapsed="false">
      <c r="A3097" s="62" t="n">
        <v>0</v>
      </c>
      <c r="B3097" s="62" t="s">
        <v>384</v>
      </c>
      <c r="C3097" s="62" t="s">
        <v>60</v>
      </c>
      <c r="D3097" s="62" t="s">
        <v>72</v>
      </c>
      <c r="E3097" s="62" t="s">
        <v>382</v>
      </c>
      <c r="F3097" s="63" t="s">
        <v>699</v>
      </c>
      <c r="G3097" s="64" t="n">
        <v>-3960761.68033809</v>
      </c>
      <c r="H3097" s="62" t="s">
        <v>138</v>
      </c>
    </row>
    <row r="3098" customFormat="false" ht="15" hidden="false" customHeight="false" outlineLevel="0" collapsed="false">
      <c r="A3098" s="62" t="n">
        <v>0</v>
      </c>
      <c r="B3098" s="62" t="s">
        <v>385</v>
      </c>
      <c r="C3098" s="62" t="s">
        <v>60</v>
      </c>
      <c r="D3098" s="62" t="s">
        <v>72</v>
      </c>
      <c r="E3098" s="62" t="s">
        <v>382</v>
      </c>
      <c r="F3098" s="63" t="s">
        <v>699</v>
      </c>
      <c r="G3098" s="64" t="n">
        <v>-3960761.68033809</v>
      </c>
      <c r="H3098" s="62" t="s">
        <v>138</v>
      </c>
    </row>
    <row r="3099" customFormat="false" ht="15" hidden="false" customHeight="false" outlineLevel="0" collapsed="false">
      <c r="A3099" s="62" t="n">
        <v>0</v>
      </c>
      <c r="B3099" s="62" t="s">
        <v>386</v>
      </c>
      <c r="C3099" s="62" t="s">
        <v>60</v>
      </c>
      <c r="D3099" s="62" t="s">
        <v>72</v>
      </c>
      <c r="E3099" s="62" t="s">
        <v>382</v>
      </c>
      <c r="F3099" s="63" t="s">
        <v>699</v>
      </c>
      <c r="G3099" s="64" t="n">
        <v>-3960761.68033809</v>
      </c>
      <c r="H3099" s="62" t="s">
        <v>138</v>
      </c>
    </row>
    <row r="3100" customFormat="false" ht="15" hidden="false" customHeight="false" outlineLevel="0" collapsed="false">
      <c r="A3100" s="62" t="n">
        <v>0</v>
      </c>
      <c r="B3100" s="62" t="s">
        <v>387</v>
      </c>
      <c r="C3100" s="62" t="s">
        <v>60</v>
      </c>
      <c r="D3100" s="62" t="s">
        <v>72</v>
      </c>
      <c r="E3100" s="62" t="s">
        <v>382</v>
      </c>
      <c r="F3100" s="63" t="s">
        <v>699</v>
      </c>
      <c r="G3100" s="64" t="n">
        <v>-3960761.68033809</v>
      </c>
      <c r="H3100" s="62" t="s">
        <v>138</v>
      </c>
    </row>
    <row r="3101" customFormat="false" ht="15" hidden="false" customHeight="false" outlineLevel="0" collapsed="false">
      <c r="A3101" s="62" t="n">
        <v>0</v>
      </c>
      <c r="B3101" s="62" t="s">
        <v>388</v>
      </c>
      <c r="C3101" s="62" t="s">
        <v>60</v>
      </c>
      <c r="D3101" s="62" t="s">
        <v>72</v>
      </c>
      <c r="E3101" s="62" t="s">
        <v>382</v>
      </c>
      <c r="F3101" s="63" t="s">
        <v>699</v>
      </c>
      <c r="G3101" s="64" t="n">
        <v>-3960761.68033809</v>
      </c>
      <c r="H3101" s="62" t="s">
        <v>138</v>
      </c>
    </row>
    <row r="3102" customFormat="false" ht="15" hidden="false" customHeight="false" outlineLevel="0" collapsed="false">
      <c r="A3102" s="62" t="n">
        <v>0</v>
      </c>
      <c r="B3102" s="62" t="s">
        <v>381</v>
      </c>
      <c r="C3102" s="62" t="s">
        <v>60</v>
      </c>
      <c r="D3102" s="62" t="s">
        <v>72</v>
      </c>
      <c r="E3102" s="62" t="s">
        <v>382</v>
      </c>
      <c r="F3102" s="63" t="s">
        <v>700</v>
      </c>
      <c r="G3102" s="64" t="n">
        <v>17064000</v>
      </c>
      <c r="H3102" s="62" t="s">
        <v>138</v>
      </c>
    </row>
    <row r="3103" customFormat="false" ht="15" hidden="false" customHeight="false" outlineLevel="0" collapsed="false">
      <c r="A3103" s="62" t="n">
        <v>0</v>
      </c>
      <c r="B3103" s="62" t="s">
        <v>383</v>
      </c>
      <c r="C3103" s="62" t="s">
        <v>60</v>
      </c>
      <c r="D3103" s="62" t="s">
        <v>72</v>
      </c>
      <c r="E3103" s="62" t="s">
        <v>382</v>
      </c>
      <c r="F3103" s="63" t="s">
        <v>700</v>
      </c>
      <c r="G3103" s="64" t="n">
        <v>17064000</v>
      </c>
      <c r="H3103" s="62" t="s">
        <v>138</v>
      </c>
    </row>
    <row r="3104" customFormat="false" ht="15" hidden="false" customHeight="false" outlineLevel="0" collapsed="false">
      <c r="A3104" s="62" t="n">
        <v>0</v>
      </c>
      <c r="B3104" s="62" t="s">
        <v>384</v>
      </c>
      <c r="C3104" s="62" t="s">
        <v>60</v>
      </c>
      <c r="D3104" s="62" t="s">
        <v>72</v>
      </c>
      <c r="E3104" s="62" t="s">
        <v>382</v>
      </c>
      <c r="F3104" s="63" t="s">
        <v>700</v>
      </c>
      <c r="G3104" s="64" t="n">
        <v>17064000</v>
      </c>
      <c r="H3104" s="62" t="s">
        <v>138</v>
      </c>
    </row>
    <row r="3105" customFormat="false" ht="15" hidden="false" customHeight="false" outlineLevel="0" collapsed="false">
      <c r="A3105" s="62" t="n">
        <v>0</v>
      </c>
      <c r="B3105" s="62" t="s">
        <v>385</v>
      </c>
      <c r="C3105" s="62" t="s">
        <v>60</v>
      </c>
      <c r="D3105" s="62" t="s">
        <v>72</v>
      </c>
      <c r="E3105" s="62" t="s">
        <v>382</v>
      </c>
      <c r="F3105" s="63" t="s">
        <v>700</v>
      </c>
      <c r="G3105" s="64" t="n">
        <v>17064000</v>
      </c>
      <c r="H3105" s="62" t="s">
        <v>138</v>
      </c>
    </row>
    <row r="3106" customFormat="false" ht="15" hidden="false" customHeight="false" outlineLevel="0" collapsed="false">
      <c r="A3106" s="62" t="n">
        <v>0</v>
      </c>
      <c r="B3106" s="62" t="s">
        <v>386</v>
      </c>
      <c r="C3106" s="62" t="s">
        <v>60</v>
      </c>
      <c r="D3106" s="62" t="s">
        <v>72</v>
      </c>
      <c r="E3106" s="62" t="s">
        <v>382</v>
      </c>
      <c r="F3106" s="63" t="s">
        <v>700</v>
      </c>
      <c r="G3106" s="64" t="n">
        <v>17064000</v>
      </c>
      <c r="H3106" s="62" t="s">
        <v>138</v>
      </c>
    </row>
    <row r="3107" customFormat="false" ht="15" hidden="false" customHeight="false" outlineLevel="0" collapsed="false">
      <c r="A3107" s="62" t="n">
        <v>0</v>
      </c>
      <c r="B3107" s="62" t="s">
        <v>387</v>
      </c>
      <c r="C3107" s="62" t="s">
        <v>60</v>
      </c>
      <c r="D3107" s="62" t="s">
        <v>72</v>
      </c>
      <c r="E3107" s="62" t="s">
        <v>382</v>
      </c>
      <c r="F3107" s="63" t="s">
        <v>700</v>
      </c>
      <c r="G3107" s="64" t="n">
        <v>17064000</v>
      </c>
      <c r="H3107" s="62" t="s">
        <v>138</v>
      </c>
    </row>
    <row r="3108" customFormat="false" ht="15" hidden="false" customHeight="false" outlineLevel="0" collapsed="false">
      <c r="A3108" s="62" t="n">
        <v>0</v>
      </c>
      <c r="B3108" s="62" t="s">
        <v>388</v>
      </c>
      <c r="C3108" s="62" t="s">
        <v>60</v>
      </c>
      <c r="D3108" s="62" t="s">
        <v>72</v>
      </c>
      <c r="E3108" s="62" t="s">
        <v>382</v>
      </c>
      <c r="F3108" s="63" t="s">
        <v>700</v>
      </c>
      <c r="G3108" s="64" t="n">
        <v>17064000</v>
      </c>
      <c r="H3108" s="62" t="s">
        <v>138</v>
      </c>
    </row>
    <row r="3109" customFormat="false" ht="15" hidden="false" customHeight="false" outlineLevel="0" collapsed="false">
      <c r="A3109" s="62" t="n">
        <v>0</v>
      </c>
      <c r="B3109" s="62" t="s">
        <v>381</v>
      </c>
      <c r="C3109" s="62" t="s">
        <v>60</v>
      </c>
      <c r="D3109" s="62" t="s">
        <v>72</v>
      </c>
      <c r="E3109" s="62" t="s">
        <v>382</v>
      </c>
      <c r="F3109" s="63" t="s">
        <v>701</v>
      </c>
      <c r="G3109" s="64" t="n">
        <v>68256000</v>
      </c>
      <c r="H3109" s="62" t="s">
        <v>138</v>
      </c>
    </row>
    <row r="3110" customFormat="false" ht="15" hidden="false" customHeight="false" outlineLevel="0" collapsed="false">
      <c r="A3110" s="62" t="n">
        <v>0</v>
      </c>
      <c r="B3110" s="62" t="s">
        <v>383</v>
      </c>
      <c r="C3110" s="62" t="s">
        <v>60</v>
      </c>
      <c r="D3110" s="62" t="s">
        <v>72</v>
      </c>
      <c r="E3110" s="62" t="s">
        <v>382</v>
      </c>
      <c r="F3110" s="63" t="s">
        <v>701</v>
      </c>
      <c r="G3110" s="64" t="n">
        <v>68256000</v>
      </c>
      <c r="H3110" s="62" t="s">
        <v>138</v>
      </c>
    </row>
    <row r="3111" customFormat="false" ht="15" hidden="false" customHeight="false" outlineLevel="0" collapsed="false">
      <c r="A3111" s="62" t="n">
        <v>0</v>
      </c>
      <c r="B3111" s="62" t="s">
        <v>384</v>
      </c>
      <c r="C3111" s="62" t="s">
        <v>60</v>
      </c>
      <c r="D3111" s="62" t="s">
        <v>72</v>
      </c>
      <c r="E3111" s="62" t="s">
        <v>382</v>
      </c>
      <c r="F3111" s="63" t="s">
        <v>701</v>
      </c>
      <c r="G3111" s="64" t="n">
        <v>68256000</v>
      </c>
      <c r="H3111" s="62" t="s">
        <v>138</v>
      </c>
    </row>
    <row r="3112" customFormat="false" ht="15" hidden="false" customHeight="false" outlineLevel="0" collapsed="false">
      <c r="A3112" s="62" t="n">
        <v>0</v>
      </c>
      <c r="B3112" s="62" t="s">
        <v>385</v>
      </c>
      <c r="C3112" s="62" t="s">
        <v>60</v>
      </c>
      <c r="D3112" s="62" t="s">
        <v>72</v>
      </c>
      <c r="E3112" s="62" t="s">
        <v>382</v>
      </c>
      <c r="F3112" s="63" t="s">
        <v>701</v>
      </c>
      <c r="G3112" s="64" t="n">
        <v>68256000</v>
      </c>
      <c r="H3112" s="62" t="s">
        <v>138</v>
      </c>
    </row>
    <row r="3113" customFormat="false" ht="15" hidden="false" customHeight="false" outlineLevel="0" collapsed="false">
      <c r="A3113" s="62" t="n">
        <v>0</v>
      </c>
      <c r="B3113" s="62" t="s">
        <v>386</v>
      </c>
      <c r="C3113" s="62" t="s">
        <v>60</v>
      </c>
      <c r="D3113" s="62" t="s">
        <v>72</v>
      </c>
      <c r="E3113" s="62" t="s">
        <v>382</v>
      </c>
      <c r="F3113" s="63" t="s">
        <v>701</v>
      </c>
      <c r="G3113" s="64" t="n">
        <v>68256000</v>
      </c>
      <c r="H3113" s="62" t="s">
        <v>138</v>
      </c>
    </row>
    <row r="3114" customFormat="false" ht="15" hidden="false" customHeight="false" outlineLevel="0" collapsed="false">
      <c r="A3114" s="62" t="n">
        <v>0</v>
      </c>
      <c r="B3114" s="62" t="s">
        <v>387</v>
      </c>
      <c r="C3114" s="62" t="s">
        <v>60</v>
      </c>
      <c r="D3114" s="62" t="s">
        <v>72</v>
      </c>
      <c r="E3114" s="62" t="s">
        <v>382</v>
      </c>
      <c r="F3114" s="63" t="s">
        <v>701</v>
      </c>
      <c r="G3114" s="64" t="n">
        <v>68256000</v>
      </c>
      <c r="H3114" s="62" t="s">
        <v>138</v>
      </c>
    </row>
    <row r="3115" customFormat="false" ht="15" hidden="false" customHeight="false" outlineLevel="0" collapsed="false">
      <c r="A3115" s="62" t="n">
        <v>0</v>
      </c>
      <c r="B3115" s="62" t="s">
        <v>388</v>
      </c>
      <c r="C3115" s="62" t="s">
        <v>60</v>
      </c>
      <c r="D3115" s="62" t="s">
        <v>72</v>
      </c>
      <c r="E3115" s="62" t="s">
        <v>382</v>
      </c>
      <c r="F3115" s="63" t="s">
        <v>701</v>
      </c>
      <c r="G3115" s="64" t="n">
        <v>68256000</v>
      </c>
      <c r="H3115" s="62" t="s">
        <v>138</v>
      </c>
    </row>
    <row r="3116" customFormat="false" ht="15" hidden="false" customHeight="false" outlineLevel="0" collapsed="false">
      <c r="A3116" s="62" t="n">
        <v>0</v>
      </c>
      <c r="B3116" s="62" t="s">
        <v>381</v>
      </c>
      <c r="C3116" s="62" t="s">
        <v>60</v>
      </c>
      <c r="D3116" s="62" t="s">
        <v>72</v>
      </c>
      <c r="E3116" s="62" t="s">
        <v>382</v>
      </c>
      <c r="F3116" s="63" t="s">
        <v>702</v>
      </c>
      <c r="G3116" s="64" t="s">
        <v>51</v>
      </c>
      <c r="H3116" s="62" t="s">
        <v>138</v>
      </c>
    </row>
    <row r="3117" customFormat="false" ht="15" hidden="false" customHeight="false" outlineLevel="0" collapsed="false">
      <c r="A3117" s="62" t="n">
        <v>0</v>
      </c>
      <c r="B3117" s="62" t="s">
        <v>383</v>
      </c>
      <c r="C3117" s="62" t="s">
        <v>60</v>
      </c>
      <c r="D3117" s="62" t="s">
        <v>72</v>
      </c>
      <c r="E3117" s="62" t="s">
        <v>382</v>
      </c>
      <c r="F3117" s="63" t="s">
        <v>702</v>
      </c>
      <c r="G3117" s="64" t="s">
        <v>51</v>
      </c>
      <c r="H3117" s="62" t="s">
        <v>138</v>
      </c>
    </row>
    <row r="3118" customFormat="false" ht="15" hidden="false" customHeight="false" outlineLevel="0" collapsed="false">
      <c r="A3118" s="62" t="n">
        <v>0</v>
      </c>
      <c r="B3118" s="62" t="s">
        <v>384</v>
      </c>
      <c r="C3118" s="62" t="s">
        <v>60</v>
      </c>
      <c r="D3118" s="62" t="s">
        <v>72</v>
      </c>
      <c r="E3118" s="62" t="s">
        <v>382</v>
      </c>
      <c r="F3118" s="63" t="s">
        <v>702</v>
      </c>
      <c r="G3118" s="64" t="s">
        <v>51</v>
      </c>
      <c r="H3118" s="62" t="s">
        <v>138</v>
      </c>
    </row>
    <row r="3119" customFormat="false" ht="15" hidden="false" customHeight="false" outlineLevel="0" collapsed="false">
      <c r="A3119" s="62" t="n">
        <v>0</v>
      </c>
      <c r="B3119" s="62" t="s">
        <v>385</v>
      </c>
      <c r="C3119" s="62" t="s">
        <v>60</v>
      </c>
      <c r="D3119" s="62" t="s">
        <v>72</v>
      </c>
      <c r="E3119" s="62" t="s">
        <v>382</v>
      </c>
      <c r="F3119" s="63" t="s">
        <v>702</v>
      </c>
      <c r="G3119" s="64" t="s">
        <v>51</v>
      </c>
      <c r="H3119" s="62" t="s">
        <v>138</v>
      </c>
    </row>
    <row r="3120" customFormat="false" ht="15" hidden="false" customHeight="false" outlineLevel="0" collapsed="false">
      <c r="A3120" s="62" t="n">
        <v>0</v>
      </c>
      <c r="B3120" s="62" t="s">
        <v>386</v>
      </c>
      <c r="C3120" s="62" t="s">
        <v>60</v>
      </c>
      <c r="D3120" s="62" t="s">
        <v>72</v>
      </c>
      <c r="E3120" s="62" t="s">
        <v>382</v>
      </c>
      <c r="F3120" s="63" t="s">
        <v>702</v>
      </c>
      <c r="G3120" s="64" t="s">
        <v>51</v>
      </c>
      <c r="H3120" s="62" t="s">
        <v>138</v>
      </c>
    </row>
    <row r="3121" customFormat="false" ht="15" hidden="false" customHeight="false" outlineLevel="0" collapsed="false">
      <c r="A3121" s="62" t="n">
        <v>0</v>
      </c>
      <c r="B3121" s="62" t="s">
        <v>387</v>
      </c>
      <c r="C3121" s="62" t="s">
        <v>60</v>
      </c>
      <c r="D3121" s="62" t="s">
        <v>72</v>
      </c>
      <c r="E3121" s="62" t="s">
        <v>382</v>
      </c>
      <c r="F3121" s="63" t="s">
        <v>702</v>
      </c>
      <c r="G3121" s="64" t="s">
        <v>51</v>
      </c>
      <c r="H3121" s="62" t="s">
        <v>138</v>
      </c>
    </row>
    <row r="3122" customFormat="false" ht="15" hidden="false" customHeight="false" outlineLevel="0" collapsed="false">
      <c r="A3122" s="62" t="n">
        <v>0</v>
      </c>
      <c r="B3122" s="62" t="s">
        <v>388</v>
      </c>
      <c r="C3122" s="62" t="s">
        <v>60</v>
      </c>
      <c r="D3122" s="62" t="s">
        <v>72</v>
      </c>
      <c r="E3122" s="62" t="s">
        <v>382</v>
      </c>
      <c r="F3122" s="63" t="s">
        <v>702</v>
      </c>
      <c r="G3122" s="64" t="s">
        <v>51</v>
      </c>
      <c r="H3122" s="62" t="s">
        <v>138</v>
      </c>
    </row>
    <row r="3123" customFormat="false" ht="15" hidden="false" customHeight="false" outlineLevel="0" collapsed="false">
      <c r="A3123" s="62" t="n">
        <v>0</v>
      </c>
      <c r="B3123" s="62" t="s">
        <v>381</v>
      </c>
      <c r="C3123" s="62" t="s">
        <v>60</v>
      </c>
      <c r="D3123" s="62" t="s">
        <v>72</v>
      </c>
      <c r="E3123" s="62" t="s">
        <v>382</v>
      </c>
      <c r="F3123" s="63" t="s">
        <v>703</v>
      </c>
      <c r="G3123" s="64" t="n">
        <v>0</v>
      </c>
      <c r="H3123" s="62" t="s">
        <v>138</v>
      </c>
    </row>
    <row r="3124" customFormat="false" ht="15" hidden="false" customHeight="false" outlineLevel="0" collapsed="false">
      <c r="A3124" s="62" t="n">
        <v>0</v>
      </c>
      <c r="B3124" s="62" t="s">
        <v>383</v>
      </c>
      <c r="C3124" s="62" t="s">
        <v>60</v>
      </c>
      <c r="D3124" s="62" t="s">
        <v>72</v>
      </c>
      <c r="E3124" s="62" t="s">
        <v>382</v>
      </c>
      <c r="F3124" s="63" t="s">
        <v>703</v>
      </c>
      <c r="G3124" s="64" t="n">
        <v>0</v>
      </c>
      <c r="H3124" s="62" t="s">
        <v>138</v>
      </c>
    </row>
    <row r="3125" customFormat="false" ht="15" hidden="false" customHeight="false" outlineLevel="0" collapsed="false">
      <c r="A3125" s="62" t="n">
        <v>0</v>
      </c>
      <c r="B3125" s="62" t="s">
        <v>384</v>
      </c>
      <c r="C3125" s="62" t="s">
        <v>60</v>
      </c>
      <c r="D3125" s="62" t="s">
        <v>72</v>
      </c>
      <c r="E3125" s="62" t="s">
        <v>382</v>
      </c>
      <c r="F3125" s="63" t="s">
        <v>703</v>
      </c>
      <c r="G3125" s="64" t="n">
        <v>0</v>
      </c>
      <c r="H3125" s="62" t="s">
        <v>138</v>
      </c>
    </row>
    <row r="3126" customFormat="false" ht="15" hidden="false" customHeight="false" outlineLevel="0" collapsed="false">
      <c r="A3126" s="62" t="n">
        <v>0</v>
      </c>
      <c r="B3126" s="62" t="s">
        <v>385</v>
      </c>
      <c r="C3126" s="62" t="s">
        <v>60</v>
      </c>
      <c r="D3126" s="62" t="s">
        <v>72</v>
      </c>
      <c r="E3126" s="62" t="s">
        <v>382</v>
      </c>
      <c r="F3126" s="63" t="s">
        <v>703</v>
      </c>
      <c r="G3126" s="64" t="n">
        <v>0</v>
      </c>
      <c r="H3126" s="62" t="s">
        <v>138</v>
      </c>
    </row>
    <row r="3127" customFormat="false" ht="15" hidden="false" customHeight="false" outlineLevel="0" collapsed="false">
      <c r="A3127" s="62" t="n">
        <v>0</v>
      </c>
      <c r="B3127" s="62" t="s">
        <v>386</v>
      </c>
      <c r="C3127" s="62" t="s">
        <v>60</v>
      </c>
      <c r="D3127" s="62" t="s">
        <v>72</v>
      </c>
      <c r="E3127" s="62" t="s">
        <v>382</v>
      </c>
      <c r="F3127" s="63" t="s">
        <v>703</v>
      </c>
      <c r="G3127" s="64" t="n">
        <v>0</v>
      </c>
      <c r="H3127" s="62" t="s">
        <v>138</v>
      </c>
    </row>
    <row r="3128" customFormat="false" ht="15" hidden="false" customHeight="false" outlineLevel="0" collapsed="false">
      <c r="A3128" s="62" t="n">
        <v>0</v>
      </c>
      <c r="B3128" s="62" t="s">
        <v>387</v>
      </c>
      <c r="C3128" s="62" t="s">
        <v>60</v>
      </c>
      <c r="D3128" s="62" t="s">
        <v>72</v>
      </c>
      <c r="E3128" s="62" t="s">
        <v>382</v>
      </c>
      <c r="F3128" s="63" t="s">
        <v>703</v>
      </c>
      <c r="G3128" s="64" t="n">
        <v>0</v>
      </c>
      <c r="H3128" s="62" t="s">
        <v>138</v>
      </c>
    </row>
    <row r="3129" customFormat="false" ht="15" hidden="false" customHeight="false" outlineLevel="0" collapsed="false">
      <c r="A3129" s="62" t="n">
        <v>0</v>
      </c>
      <c r="B3129" s="62" t="s">
        <v>388</v>
      </c>
      <c r="C3129" s="62" t="s">
        <v>60</v>
      </c>
      <c r="D3129" s="62" t="s">
        <v>72</v>
      </c>
      <c r="E3129" s="62" t="s">
        <v>382</v>
      </c>
      <c r="F3129" s="63" t="s">
        <v>703</v>
      </c>
      <c r="G3129" s="64" t="n">
        <v>0</v>
      </c>
      <c r="H3129" s="62" t="s">
        <v>138</v>
      </c>
    </row>
    <row r="3130" customFormat="false" ht="15" hidden="false" customHeight="false" outlineLevel="0" collapsed="false">
      <c r="A3130" s="62" t="n">
        <v>0</v>
      </c>
      <c r="B3130" s="62" t="s">
        <v>381</v>
      </c>
      <c r="C3130" s="62" t="s">
        <v>60</v>
      </c>
      <c r="D3130" s="62" t="s">
        <v>72</v>
      </c>
      <c r="E3130" s="62" t="s">
        <v>382</v>
      </c>
      <c r="F3130" s="63" t="s">
        <v>704</v>
      </c>
      <c r="G3130" s="64" t="s">
        <v>51</v>
      </c>
      <c r="H3130" s="62" t="s">
        <v>138</v>
      </c>
    </row>
    <row r="3131" customFormat="false" ht="15" hidden="false" customHeight="false" outlineLevel="0" collapsed="false">
      <c r="A3131" s="62" t="n">
        <v>0</v>
      </c>
      <c r="B3131" s="62" t="s">
        <v>383</v>
      </c>
      <c r="C3131" s="62" t="s">
        <v>60</v>
      </c>
      <c r="D3131" s="62" t="s">
        <v>72</v>
      </c>
      <c r="E3131" s="62" t="s">
        <v>382</v>
      </c>
      <c r="F3131" s="63" t="s">
        <v>704</v>
      </c>
      <c r="G3131" s="64" t="s">
        <v>51</v>
      </c>
      <c r="H3131" s="62" t="s">
        <v>138</v>
      </c>
    </row>
    <row r="3132" customFormat="false" ht="15" hidden="false" customHeight="false" outlineLevel="0" collapsed="false">
      <c r="A3132" s="62" t="n">
        <v>0</v>
      </c>
      <c r="B3132" s="62" t="s">
        <v>384</v>
      </c>
      <c r="C3132" s="62" t="s">
        <v>60</v>
      </c>
      <c r="D3132" s="62" t="s">
        <v>72</v>
      </c>
      <c r="E3132" s="62" t="s">
        <v>382</v>
      </c>
      <c r="F3132" s="63" t="s">
        <v>704</v>
      </c>
      <c r="G3132" s="64" t="s">
        <v>51</v>
      </c>
      <c r="H3132" s="62" t="s">
        <v>138</v>
      </c>
    </row>
    <row r="3133" customFormat="false" ht="15" hidden="false" customHeight="false" outlineLevel="0" collapsed="false">
      <c r="A3133" s="62" t="n">
        <v>0</v>
      </c>
      <c r="B3133" s="62" t="s">
        <v>385</v>
      </c>
      <c r="C3133" s="62" t="s">
        <v>60</v>
      </c>
      <c r="D3133" s="62" t="s">
        <v>72</v>
      </c>
      <c r="E3133" s="62" t="s">
        <v>382</v>
      </c>
      <c r="F3133" s="63" t="s">
        <v>704</v>
      </c>
      <c r="G3133" s="64" t="s">
        <v>51</v>
      </c>
      <c r="H3133" s="62" t="s">
        <v>138</v>
      </c>
    </row>
    <row r="3134" customFormat="false" ht="15" hidden="false" customHeight="false" outlineLevel="0" collapsed="false">
      <c r="A3134" s="62" t="n">
        <v>0</v>
      </c>
      <c r="B3134" s="62" t="s">
        <v>386</v>
      </c>
      <c r="C3134" s="62" t="s">
        <v>60</v>
      </c>
      <c r="D3134" s="62" t="s">
        <v>72</v>
      </c>
      <c r="E3134" s="62" t="s">
        <v>382</v>
      </c>
      <c r="F3134" s="63" t="s">
        <v>704</v>
      </c>
      <c r="G3134" s="64" t="s">
        <v>51</v>
      </c>
      <c r="H3134" s="62" t="s">
        <v>138</v>
      </c>
    </row>
    <row r="3135" customFormat="false" ht="15" hidden="false" customHeight="false" outlineLevel="0" collapsed="false">
      <c r="A3135" s="62" t="n">
        <v>0</v>
      </c>
      <c r="B3135" s="62" t="s">
        <v>387</v>
      </c>
      <c r="C3135" s="62" t="s">
        <v>60</v>
      </c>
      <c r="D3135" s="62" t="s">
        <v>72</v>
      </c>
      <c r="E3135" s="62" t="s">
        <v>382</v>
      </c>
      <c r="F3135" s="63" t="s">
        <v>704</v>
      </c>
      <c r="G3135" s="64" t="s">
        <v>51</v>
      </c>
      <c r="H3135" s="62" t="s">
        <v>138</v>
      </c>
    </row>
    <row r="3136" customFormat="false" ht="15" hidden="false" customHeight="false" outlineLevel="0" collapsed="false">
      <c r="A3136" s="62" t="n">
        <v>0</v>
      </c>
      <c r="B3136" s="62" t="s">
        <v>388</v>
      </c>
      <c r="C3136" s="62" t="s">
        <v>60</v>
      </c>
      <c r="D3136" s="62" t="s">
        <v>72</v>
      </c>
      <c r="E3136" s="62" t="s">
        <v>382</v>
      </c>
      <c r="F3136" s="63" t="s">
        <v>704</v>
      </c>
      <c r="G3136" s="64" t="s">
        <v>51</v>
      </c>
      <c r="H3136" s="62" t="s">
        <v>138</v>
      </c>
    </row>
    <row r="3137" customFormat="false" ht="15" hidden="false" customHeight="false" outlineLevel="0" collapsed="false">
      <c r="A3137" s="62" t="n">
        <v>0</v>
      </c>
      <c r="B3137" s="62" t="s">
        <v>381</v>
      </c>
      <c r="C3137" s="62" t="s">
        <v>60</v>
      </c>
      <c r="D3137" s="62" t="s">
        <v>72</v>
      </c>
      <c r="E3137" s="62" t="s">
        <v>382</v>
      </c>
      <c r="F3137" s="63" t="s">
        <v>705</v>
      </c>
      <c r="G3137" s="64" t="s">
        <v>51</v>
      </c>
      <c r="H3137" s="62" t="s">
        <v>138</v>
      </c>
    </row>
    <row r="3138" customFormat="false" ht="15" hidden="false" customHeight="false" outlineLevel="0" collapsed="false">
      <c r="A3138" s="62" t="n">
        <v>0</v>
      </c>
      <c r="B3138" s="62" t="s">
        <v>383</v>
      </c>
      <c r="C3138" s="62" t="s">
        <v>60</v>
      </c>
      <c r="D3138" s="62" t="s">
        <v>72</v>
      </c>
      <c r="E3138" s="62" t="s">
        <v>382</v>
      </c>
      <c r="F3138" s="63" t="s">
        <v>705</v>
      </c>
      <c r="G3138" s="64" t="s">
        <v>51</v>
      </c>
      <c r="H3138" s="62" t="s">
        <v>138</v>
      </c>
    </row>
    <row r="3139" customFormat="false" ht="15" hidden="false" customHeight="false" outlineLevel="0" collapsed="false">
      <c r="A3139" s="62" t="n">
        <v>0</v>
      </c>
      <c r="B3139" s="62" t="s">
        <v>384</v>
      </c>
      <c r="C3139" s="62" t="s">
        <v>60</v>
      </c>
      <c r="D3139" s="62" t="s">
        <v>72</v>
      </c>
      <c r="E3139" s="62" t="s">
        <v>382</v>
      </c>
      <c r="F3139" s="63" t="s">
        <v>705</v>
      </c>
      <c r="G3139" s="64" t="s">
        <v>51</v>
      </c>
      <c r="H3139" s="62" t="s">
        <v>138</v>
      </c>
    </row>
    <row r="3140" customFormat="false" ht="15" hidden="false" customHeight="false" outlineLevel="0" collapsed="false">
      <c r="A3140" s="62" t="n">
        <v>0</v>
      </c>
      <c r="B3140" s="62" t="s">
        <v>385</v>
      </c>
      <c r="C3140" s="62" t="s">
        <v>60</v>
      </c>
      <c r="D3140" s="62" t="s">
        <v>72</v>
      </c>
      <c r="E3140" s="62" t="s">
        <v>382</v>
      </c>
      <c r="F3140" s="63" t="s">
        <v>705</v>
      </c>
      <c r="G3140" s="64" t="s">
        <v>51</v>
      </c>
      <c r="H3140" s="62" t="s">
        <v>138</v>
      </c>
    </row>
    <row r="3141" customFormat="false" ht="15" hidden="false" customHeight="false" outlineLevel="0" collapsed="false">
      <c r="A3141" s="62" t="n">
        <v>0</v>
      </c>
      <c r="B3141" s="62" t="s">
        <v>386</v>
      </c>
      <c r="C3141" s="62" t="s">
        <v>60</v>
      </c>
      <c r="D3141" s="62" t="s">
        <v>72</v>
      </c>
      <c r="E3141" s="62" t="s">
        <v>382</v>
      </c>
      <c r="F3141" s="63" t="s">
        <v>705</v>
      </c>
      <c r="G3141" s="64" t="s">
        <v>51</v>
      </c>
      <c r="H3141" s="62" t="s">
        <v>138</v>
      </c>
    </row>
    <row r="3142" customFormat="false" ht="15" hidden="false" customHeight="false" outlineLevel="0" collapsed="false">
      <c r="A3142" s="62" t="n">
        <v>0</v>
      </c>
      <c r="B3142" s="62" t="s">
        <v>387</v>
      </c>
      <c r="C3142" s="62" t="s">
        <v>60</v>
      </c>
      <c r="D3142" s="62" t="s">
        <v>72</v>
      </c>
      <c r="E3142" s="62" t="s">
        <v>382</v>
      </c>
      <c r="F3142" s="63" t="s">
        <v>705</v>
      </c>
      <c r="G3142" s="64" t="s">
        <v>51</v>
      </c>
      <c r="H3142" s="62" t="s">
        <v>138</v>
      </c>
    </row>
    <row r="3143" customFormat="false" ht="15" hidden="false" customHeight="false" outlineLevel="0" collapsed="false">
      <c r="A3143" s="62" t="n">
        <v>0</v>
      </c>
      <c r="B3143" s="62" t="s">
        <v>388</v>
      </c>
      <c r="C3143" s="62" t="s">
        <v>60</v>
      </c>
      <c r="D3143" s="62" t="s">
        <v>72</v>
      </c>
      <c r="E3143" s="62" t="s">
        <v>382</v>
      </c>
      <c r="F3143" s="63" t="s">
        <v>705</v>
      </c>
      <c r="G3143" s="64" t="s">
        <v>51</v>
      </c>
      <c r="H3143" s="62" t="s">
        <v>138</v>
      </c>
    </row>
    <row r="3144" customFormat="false" ht="15" hidden="false" customHeight="false" outlineLevel="0" collapsed="false">
      <c r="A3144" s="62" t="n">
        <v>0</v>
      </c>
      <c r="B3144" s="62" t="s">
        <v>381</v>
      </c>
      <c r="C3144" s="62" t="s">
        <v>60</v>
      </c>
      <c r="D3144" s="62" t="s">
        <v>72</v>
      </c>
      <c r="E3144" s="62" t="s">
        <v>382</v>
      </c>
      <c r="F3144" s="63" t="s">
        <v>706</v>
      </c>
      <c r="G3144" s="64" t="n">
        <v>0</v>
      </c>
      <c r="H3144" s="62" t="s">
        <v>138</v>
      </c>
    </row>
    <row r="3145" customFormat="false" ht="15" hidden="false" customHeight="false" outlineLevel="0" collapsed="false">
      <c r="A3145" s="62" t="n">
        <v>0</v>
      </c>
      <c r="B3145" s="62" t="s">
        <v>383</v>
      </c>
      <c r="C3145" s="62" t="s">
        <v>60</v>
      </c>
      <c r="D3145" s="62" t="s">
        <v>72</v>
      </c>
      <c r="E3145" s="62" t="s">
        <v>382</v>
      </c>
      <c r="F3145" s="63" t="s">
        <v>706</v>
      </c>
      <c r="G3145" s="64" t="n">
        <v>0</v>
      </c>
      <c r="H3145" s="62" t="s">
        <v>138</v>
      </c>
    </row>
    <row r="3146" customFormat="false" ht="15" hidden="false" customHeight="false" outlineLevel="0" collapsed="false">
      <c r="A3146" s="62" t="n">
        <v>0</v>
      </c>
      <c r="B3146" s="62" t="s">
        <v>384</v>
      </c>
      <c r="C3146" s="62" t="s">
        <v>60</v>
      </c>
      <c r="D3146" s="62" t="s">
        <v>72</v>
      </c>
      <c r="E3146" s="62" t="s">
        <v>382</v>
      </c>
      <c r="F3146" s="63" t="s">
        <v>706</v>
      </c>
      <c r="G3146" s="64" t="n">
        <v>0</v>
      </c>
      <c r="H3146" s="62" t="s">
        <v>138</v>
      </c>
    </row>
    <row r="3147" customFormat="false" ht="15" hidden="false" customHeight="false" outlineLevel="0" collapsed="false">
      <c r="A3147" s="62" t="n">
        <v>0</v>
      </c>
      <c r="B3147" s="62" t="s">
        <v>385</v>
      </c>
      <c r="C3147" s="62" t="s">
        <v>60</v>
      </c>
      <c r="D3147" s="62" t="s">
        <v>72</v>
      </c>
      <c r="E3147" s="62" t="s">
        <v>382</v>
      </c>
      <c r="F3147" s="63" t="s">
        <v>706</v>
      </c>
      <c r="G3147" s="64" t="n">
        <v>0</v>
      </c>
      <c r="H3147" s="62" t="s">
        <v>138</v>
      </c>
    </row>
    <row r="3148" customFormat="false" ht="15" hidden="false" customHeight="false" outlineLevel="0" collapsed="false">
      <c r="A3148" s="62" t="n">
        <v>0</v>
      </c>
      <c r="B3148" s="62" t="s">
        <v>386</v>
      </c>
      <c r="C3148" s="62" t="s">
        <v>60</v>
      </c>
      <c r="D3148" s="62" t="s">
        <v>72</v>
      </c>
      <c r="E3148" s="62" t="s">
        <v>382</v>
      </c>
      <c r="F3148" s="63" t="s">
        <v>706</v>
      </c>
      <c r="G3148" s="64" t="n">
        <v>0</v>
      </c>
      <c r="H3148" s="62" t="s">
        <v>138</v>
      </c>
    </row>
    <row r="3149" customFormat="false" ht="15" hidden="false" customHeight="false" outlineLevel="0" collapsed="false">
      <c r="A3149" s="62" t="n">
        <v>0</v>
      </c>
      <c r="B3149" s="62" t="s">
        <v>387</v>
      </c>
      <c r="C3149" s="62" t="s">
        <v>60</v>
      </c>
      <c r="D3149" s="62" t="s">
        <v>72</v>
      </c>
      <c r="E3149" s="62" t="s">
        <v>382</v>
      </c>
      <c r="F3149" s="63" t="s">
        <v>706</v>
      </c>
      <c r="G3149" s="64" t="n">
        <v>0</v>
      </c>
      <c r="H3149" s="62" t="s">
        <v>138</v>
      </c>
    </row>
    <row r="3150" customFormat="false" ht="15" hidden="false" customHeight="false" outlineLevel="0" collapsed="false">
      <c r="A3150" s="62" t="n">
        <v>0</v>
      </c>
      <c r="B3150" s="62" t="s">
        <v>388</v>
      </c>
      <c r="C3150" s="62" t="s">
        <v>60</v>
      </c>
      <c r="D3150" s="62" t="s">
        <v>72</v>
      </c>
      <c r="E3150" s="62" t="s">
        <v>382</v>
      </c>
      <c r="F3150" s="63" t="s">
        <v>706</v>
      </c>
      <c r="G3150" s="64" t="n">
        <v>0</v>
      </c>
      <c r="H3150" s="62" t="s">
        <v>138</v>
      </c>
    </row>
    <row r="3151" customFormat="false" ht="15" hidden="false" customHeight="false" outlineLevel="0" collapsed="false">
      <c r="A3151" s="62" t="n">
        <v>0</v>
      </c>
      <c r="B3151" s="62" t="s">
        <v>381</v>
      </c>
      <c r="C3151" s="62" t="s">
        <v>60</v>
      </c>
      <c r="D3151" s="62" t="s">
        <v>72</v>
      </c>
      <c r="E3151" s="62" t="s">
        <v>382</v>
      </c>
      <c r="F3151" s="63" t="s">
        <v>707</v>
      </c>
      <c r="G3151" s="64" t="s">
        <v>51</v>
      </c>
      <c r="H3151" s="62" t="s">
        <v>138</v>
      </c>
    </row>
    <row r="3152" customFormat="false" ht="15" hidden="false" customHeight="false" outlineLevel="0" collapsed="false">
      <c r="A3152" s="62" t="n">
        <v>0</v>
      </c>
      <c r="B3152" s="62" t="s">
        <v>383</v>
      </c>
      <c r="C3152" s="62" t="s">
        <v>60</v>
      </c>
      <c r="D3152" s="62" t="s">
        <v>72</v>
      </c>
      <c r="E3152" s="62" t="s">
        <v>382</v>
      </c>
      <c r="F3152" s="63" t="s">
        <v>707</v>
      </c>
      <c r="G3152" s="64" t="s">
        <v>51</v>
      </c>
      <c r="H3152" s="62" t="s">
        <v>138</v>
      </c>
    </row>
    <row r="3153" customFormat="false" ht="15" hidden="false" customHeight="false" outlineLevel="0" collapsed="false">
      <c r="A3153" s="62" t="n">
        <v>0</v>
      </c>
      <c r="B3153" s="62" t="s">
        <v>384</v>
      </c>
      <c r="C3153" s="62" t="s">
        <v>60</v>
      </c>
      <c r="D3153" s="62" t="s">
        <v>72</v>
      </c>
      <c r="E3153" s="62" t="s">
        <v>382</v>
      </c>
      <c r="F3153" s="63" t="s">
        <v>707</v>
      </c>
      <c r="G3153" s="64" t="s">
        <v>51</v>
      </c>
      <c r="H3153" s="62" t="s">
        <v>138</v>
      </c>
    </row>
    <row r="3154" customFormat="false" ht="15" hidden="false" customHeight="false" outlineLevel="0" collapsed="false">
      <c r="A3154" s="62" t="n">
        <v>0</v>
      </c>
      <c r="B3154" s="62" t="s">
        <v>385</v>
      </c>
      <c r="C3154" s="62" t="s">
        <v>60</v>
      </c>
      <c r="D3154" s="62" t="s">
        <v>72</v>
      </c>
      <c r="E3154" s="62" t="s">
        <v>382</v>
      </c>
      <c r="F3154" s="63" t="s">
        <v>707</v>
      </c>
      <c r="G3154" s="64" t="s">
        <v>51</v>
      </c>
      <c r="H3154" s="62" t="s">
        <v>138</v>
      </c>
    </row>
    <row r="3155" customFormat="false" ht="15" hidden="false" customHeight="false" outlineLevel="0" collapsed="false">
      <c r="A3155" s="62" t="n">
        <v>0</v>
      </c>
      <c r="B3155" s="62" t="s">
        <v>386</v>
      </c>
      <c r="C3155" s="62" t="s">
        <v>60</v>
      </c>
      <c r="D3155" s="62" t="s">
        <v>72</v>
      </c>
      <c r="E3155" s="62" t="s">
        <v>382</v>
      </c>
      <c r="F3155" s="63" t="s">
        <v>707</v>
      </c>
      <c r="G3155" s="64" t="s">
        <v>51</v>
      </c>
      <c r="H3155" s="62" t="s">
        <v>138</v>
      </c>
    </row>
    <row r="3156" customFormat="false" ht="15" hidden="false" customHeight="false" outlineLevel="0" collapsed="false">
      <c r="A3156" s="62" t="n">
        <v>0</v>
      </c>
      <c r="B3156" s="62" t="s">
        <v>387</v>
      </c>
      <c r="C3156" s="62" t="s">
        <v>60</v>
      </c>
      <c r="D3156" s="62" t="s">
        <v>72</v>
      </c>
      <c r="E3156" s="62" t="s">
        <v>382</v>
      </c>
      <c r="F3156" s="63" t="s">
        <v>707</v>
      </c>
      <c r="G3156" s="64" t="s">
        <v>51</v>
      </c>
      <c r="H3156" s="62" t="s">
        <v>138</v>
      </c>
    </row>
    <row r="3157" customFormat="false" ht="15" hidden="false" customHeight="false" outlineLevel="0" collapsed="false">
      <c r="A3157" s="62" t="n">
        <v>0</v>
      </c>
      <c r="B3157" s="62" t="s">
        <v>388</v>
      </c>
      <c r="C3157" s="62" t="s">
        <v>60</v>
      </c>
      <c r="D3157" s="62" t="s">
        <v>72</v>
      </c>
      <c r="E3157" s="62" t="s">
        <v>382</v>
      </c>
      <c r="F3157" s="63" t="s">
        <v>707</v>
      </c>
      <c r="G3157" s="64" t="s">
        <v>51</v>
      </c>
      <c r="H3157" s="62" t="s">
        <v>138</v>
      </c>
    </row>
    <row r="3158" customFormat="false" ht="15" hidden="false" customHeight="false" outlineLevel="0" collapsed="false">
      <c r="A3158" s="62" t="n">
        <v>0</v>
      </c>
      <c r="B3158" s="62" t="s">
        <v>381</v>
      </c>
      <c r="C3158" s="62" t="s">
        <v>60</v>
      </c>
      <c r="D3158" s="62" t="s">
        <v>72</v>
      </c>
      <c r="E3158" s="62" t="s">
        <v>382</v>
      </c>
      <c r="F3158" s="63" t="s">
        <v>708</v>
      </c>
      <c r="G3158" s="64" t="n">
        <v>0</v>
      </c>
      <c r="H3158" s="62" t="s">
        <v>138</v>
      </c>
    </row>
    <row r="3159" customFormat="false" ht="15" hidden="false" customHeight="false" outlineLevel="0" collapsed="false">
      <c r="A3159" s="62" t="n">
        <v>0</v>
      </c>
      <c r="B3159" s="62" t="s">
        <v>383</v>
      </c>
      <c r="C3159" s="62" t="s">
        <v>60</v>
      </c>
      <c r="D3159" s="62" t="s">
        <v>72</v>
      </c>
      <c r="E3159" s="62" t="s">
        <v>382</v>
      </c>
      <c r="F3159" s="63" t="s">
        <v>708</v>
      </c>
      <c r="G3159" s="64" t="n">
        <v>0</v>
      </c>
      <c r="H3159" s="62" t="s">
        <v>138</v>
      </c>
    </row>
    <row r="3160" customFormat="false" ht="15" hidden="false" customHeight="false" outlineLevel="0" collapsed="false">
      <c r="A3160" s="62" t="n">
        <v>0</v>
      </c>
      <c r="B3160" s="62" t="s">
        <v>384</v>
      </c>
      <c r="C3160" s="62" t="s">
        <v>60</v>
      </c>
      <c r="D3160" s="62" t="s">
        <v>72</v>
      </c>
      <c r="E3160" s="62" t="s">
        <v>382</v>
      </c>
      <c r="F3160" s="63" t="s">
        <v>708</v>
      </c>
      <c r="G3160" s="64" t="n">
        <v>0</v>
      </c>
      <c r="H3160" s="62" t="s">
        <v>138</v>
      </c>
    </row>
    <row r="3161" customFormat="false" ht="15" hidden="false" customHeight="false" outlineLevel="0" collapsed="false">
      <c r="A3161" s="62" t="n">
        <v>0</v>
      </c>
      <c r="B3161" s="62" t="s">
        <v>385</v>
      </c>
      <c r="C3161" s="62" t="s">
        <v>60</v>
      </c>
      <c r="D3161" s="62" t="s">
        <v>72</v>
      </c>
      <c r="E3161" s="62" t="s">
        <v>382</v>
      </c>
      <c r="F3161" s="63" t="s">
        <v>708</v>
      </c>
      <c r="G3161" s="64" t="n">
        <v>0</v>
      </c>
      <c r="H3161" s="62" t="s">
        <v>138</v>
      </c>
    </row>
    <row r="3162" customFormat="false" ht="15" hidden="false" customHeight="false" outlineLevel="0" collapsed="false">
      <c r="A3162" s="62" t="n">
        <v>0</v>
      </c>
      <c r="B3162" s="62" t="s">
        <v>386</v>
      </c>
      <c r="C3162" s="62" t="s">
        <v>60</v>
      </c>
      <c r="D3162" s="62" t="s">
        <v>72</v>
      </c>
      <c r="E3162" s="62" t="s">
        <v>382</v>
      </c>
      <c r="F3162" s="63" t="s">
        <v>708</v>
      </c>
      <c r="G3162" s="64" t="n">
        <v>0</v>
      </c>
      <c r="H3162" s="62" t="s">
        <v>138</v>
      </c>
    </row>
    <row r="3163" customFormat="false" ht="15" hidden="false" customHeight="false" outlineLevel="0" collapsed="false">
      <c r="A3163" s="62" t="n">
        <v>0</v>
      </c>
      <c r="B3163" s="62" t="s">
        <v>387</v>
      </c>
      <c r="C3163" s="62" t="s">
        <v>60</v>
      </c>
      <c r="D3163" s="62" t="s">
        <v>72</v>
      </c>
      <c r="E3163" s="62" t="s">
        <v>382</v>
      </c>
      <c r="F3163" s="63" t="s">
        <v>708</v>
      </c>
      <c r="G3163" s="64" t="n">
        <v>0</v>
      </c>
      <c r="H3163" s="62" t="s">
        <v>138</v>
      </c>
    </row>
    <row r="3164" customFormat="false" ht="15" hidden="false" customHeight="false" outlineLevel="0" collapsed="false">
      <c r="A3164" s="62" t="n">
        <v>0</v>
      </c>
      <c r="B3164" s="62" t="s">
        <v>388</v>
      </c>
      <c r="C3164" s="62" t="s">
        <v>60</v>
      </c>
      <c r="D3164" s="62" t="s">
        <v>72</v>
      </c>
      <c r="E3164" s="62" t="s">
        <v>382</v>
      </c>
      <c r="F3164" s="63" t="s">
        <v>708</v>
      </c>
      <c r="G3164" s="64" t="n">
        <v>0</v>
      </c>
      <c r="H3164" s="62" t="s">
        <v>138</v>
      </c>
    </row>
    <row r="3165" customFormat="false" ht="15" hidden="false" customHeight="false" outlineLevel="0" collapsed="false">
      <c r="A3165" s="62" t="n">
        <v>0</v>
      </c>
      <c r="B3165" s="62" t="s">
        <v>381</v>
      </c>
      <c r="C3165" s="62" t="s">
        <v>60</v>
      </c>
      <c r="D3165" s="62" t="s">
        <v>382</v>
      </c>
      <c r="E3165" s="62" t="s">
        <v>382</v>
      </c>
      <c r="F3165" s="63" t="s">
        <v>709</v>
      </c>
      <c r="G3165" s="64" t="n">
        <v>755018.74019634</v>
      </c>
      <c r="H3165" s="62" t="s">
        <v>138</v>
      </c>
    </row>
    <row r="3166" customFormat="false" ht="15" hidden="false" customHeight="false" outlineLevel="0" collapsed="false">
      <c r="A3166" s="62" t="n">
        <v>0</v>
      </c>
      <c r="B3166" s="62" t="s">
        <v>383</v>
      </c>
      <c r="C3166" s="62" t="s">
        <v>60</v>
      </c>
      <c r="D3166" s="62" t="s">
        <v>382</v>
      </c>
      <c r="E3166" s="62" t="s">
        <v>382</v>
      </c>
      <c r="F3166" s="63" t="s">
        <v>709</v>
      </c>
      <c r="G3166" s="64" t="n">
        <v>755018.74019634</v>
      </c>
      <c r="H3166" s="62" t="s">
        <v>138</v>
      </c>
    </row>
    <row r="3167" customFormat="false" ht="15" hidden="false" customHeight="false" outlineLevel="0" collapsed="false">
      <c r="A3167" s="62" t="n">
        <v>0</v>
      </c>
      <c r="B3167" s="62" t="s">
        <v>384</v>
      </c>
      <c r="C3167" s="62" t="s">
        <v>60</v>
      </c>
      <c r="D3167" s="62" t="s">
        <v>382</v>
      </c>
      <c r="E3167" s="62" t="s">
        <v>382</v>
      </c>
      <c r="F3167" s="63" t="s">
        <v>709</v>
      </c>
      <c r="G3167" s="64" t="n">
        <v>755018.74019634</v>
      </c>
      <c r="H3167" s="62" t="s">
        <v>138</v>
      </c>
    </row>
    <row r="3168" customFormat="false" ht="15" hidden="false" customHeight="false" outlineLevel="0" collapsed="false">
      <c r="A3168" s="62" t="n">
        <v>0</v>
      </c>
      <c r="B3168" s="62" t="s">
        <v>385</v>
      </c>
      <c r="C3168" s="62" t="s">
        <v>60</v>
      </c>
      <c r="D3168" s="62" t="s">
        <v>382</v>
      </c>
      <c r="E3168" s="62" t="s">
        <v>382</v>
      </c>
      <c r="F3168" s="63" t="s">
        <v>709</v>
      </c>
      <c r="G3168" s="64" t="n">
        <v>755018.74019634</v>
      </c>
      <c r="H3168" s="62" t="s">
        <v>138</v>
      </c>
    </row>
    <row r="3169" customFormat="false" ht="15" hidden="false" customHeight="false" outlineLevel="0" collapsed="false">
      <c r="A3169" s="62" t="n">
        <v>0</v>
      </c>
      <c r="B3169" s="62" t="s">
        <v>386</v>
      </c>
      <c r="C3169" s="62" t="s">
        <v>60</v>
      </c>
      <c r="D3169" s="62" t="s">
        <v>382</v>
      </c>
      <c r="E3169" s="62" t="s">
        <v>382</v>
      </c>
      <c r="F3169" s="63" t="s">
        <v>709</v>
      </c>
      <c r="G3169" s="64" t="n">
        <v>755018.74019634</v>
      </c>
      <c r="H3169" s="62" t="s">
        <v>138</v>
      </c>
    </row>
    <row r="3170" customFormat="false" ht="15" hidden="false" customHeight="false" outlineLevel="0" collapsed="false">
      <c r="A3170" s="62" t="n">
        <v>0</v>
      </c>
      <c r="B3170" s="62" t="s">
        <v>387</v>
      </c>
      <c r="C3170" s="62" t="s">
        <v>60</v>
      </c>
      <c r="D3170" s="62" t="s">
        <v>382</v>
      </c>
      <c r="E3170" s="62" t="s">
        <v>382</v>
      </c>
      <c r="F3170" s="63" t="s">
        <v>709</v>
      </c>
      <c r="G3170" s="64" t="n">
        <v>755018.74019634</v>
      </c>
      <c r="H3170" s="62" t="s">
        <v>138</v>
      </c>
    </row>
    <row r="3171" customFormat="false" ht="15" hidden="false" customHeight="false" outlineLevel="0" collapsed="false">
      <c r="A3171" s="62" t="n">
        <v>0</v>
      </c>
      <c r="B3171" s="62" t="s">
        <v>388</v>
      </c>
      <c r="C3171" s="62" t="s">
        <v>60</v>
      </c>
      <c r="D3171" s="62" t="s">
        <v>382</v>
      </c>
      <c r="E3171" s="62" t="s">
        <v>382</v>
      </c>
      <c r="F3171" s="63" t="s">
        <v>709</v>
      </c>
      <c r="G3171" s="64" t="n">
        <v>755018.74019634</v>
      </c>
      <c r="H3171" s="62" t="s">
        <v>138</v>
      </c>
    </row>
    <row r="3172" customFormat="false" ht="15" hidden="false" customHeight="false" outlineLevel="0" collapsed="false">
      <c r="A3172" s="62" t="n">
        <v>0</v>
      </c>
      <c r="B3172" s="62" t="s">
        <v>381</v>
      </c>
      <c r="C3172" s="62" t="s">
        <v>60</v>
      </c>
      <c r="D3172" s="62" t="s">
        <v>382</v>
      </c>
      <c r="E3172" s="62" t="s">
        <v>382</v>
      </c>
      <c r="F3172" s="63" t="s">
        <v>710</v>
      </c>
      <c r="G3172" s="64" t="n">
        <v>387880.736048881</v>
      </c>
      <c r="H3172" s="62" t="s">
        <v>138</v>
      </c>
    </row>
    <row r="3173" customFormat="false" ht="15" hidden="false" customHeight="false" outlineLevel="0" collapsed="false">
      <c r="A3173" s="62" t="n">
        <v>0</v>
      </c>
      <c r="B3173" s="62" t="s">
        <v>383</v>
      </c>
      <c r="C3173" s="62" t="s">
        <v>60</v>
      </c>
      <c r="D3173" s="62" t="s">
        <v>382</v>
      </c>
      <c r="E3173" s="62" t="s">
        <v>382</v>
      </c>
      <c r="F3173" s="63" t="s">
        <v>710</v>
      </c>
      <c r="G3173" s="64" t="n">
        <v>387880.736048881</v>
      </c>
      <c r="H3173" s="62" t="s">
        <v>138</v>
      </c>
    </row>
    <row r="3174" customFormat="false" ht="15" hidden="false" customHeight="false" outlineLevel="0" collapsed="false">
      <c r="A3174" s="62" t="n">
        <v>0</v>
      </c>
      <c r="B3174" s="62" t="s">
        <v>384</v>
      </c>
      <c r="C3174" s="62" t="s">
        <v>60</v>
      </c>
      <c r="D3174" s="62" t="s">
        <v>382</v>
      </c>
      <c r="E3174" s="62" t="s">
        <v>382</v>
      </c>
      <c r="F3174" s="63" t="s">
        <v>710</v>
      </c>
      <c r="G3174" s="64" t="n">
        <v>387880.736048881</v>
      </c>
      <c r="H3174" s="62" t="s">
        <v>138</v>
      </c>
    </row>
    <row r="3175" customFormat="false" ht="15" hidden="false" customHeight="false" outlineLevel="0" collapsed="false">
      <c r="A3175" s="62" t="n">
        <v>0</v>
      </c>
      <c r="B3175" s="62" t="s">
        <v>385</v>
      </c>
      <c r="C3175" s="62" t="s">
        <v>60</v>
      </c>
      <c r="D3175" s="62" t="s">
        <v>382</v>
      </c>
      <c r="E3175" s="62" t="s">
        <v>382</v>
      </c>
      <c r="F3175" s="63" t="s">
        <v>710</v>
      </c>
      <c r="G3175" s="64" t="n">
        <v>387880.736048881</v>
      </c>
      <c r="H3175" s="62" t="s">
        <v>138</v>
      </c>
    </row>
    <row r="3176" customFormat="false" ht="15" hidden="false" customHeight="false" outlineLevel="0" collapsed="false">
      <c r="A3176" s="62" t="n">
        <v>0</v>
      </c>
      <c r="B3176" s="62" t="s">
        <v>386</v>
      </c>
      <c r="C3176" s="62" t="s">
        <v>60</v>
      </c>
      <c r="D3176" s="62" t="s">
        <v>382</v>
      </c>
      <c r="E3176" s="62" t="s">
        <v>382</v>
      </c>
      <c r="F3176" s="63" t="s">
        <v>710</v>
      </c>
      <c r="G3176" s="64" t="n">
        <v>387880.736048881</v>
      </c>
      <c r="H3176" s="62" t="s">
        <v>138</v>
      </c>
    </row>
    <row r="3177" customFormat="false" ht="15" hidden="false" customHeight="false" outlineLevel="0" collapsed="false">
      <c r="A3177" s="62" t="n">
        <v>0</v>
      </c>
      <c r="B3177" s="62" t="s">
        <v>387</v>
      </c>
      <c r="C3177" s="62" t="s">
        <v>60</v>
      </c>
      <c r="D3177" s="62" t="s">
        <v>382</v>
      </c>
      <c r="E3177" s="62" t="s">
        <v>382</v>
      </c>
      <c r="F3177" s="63" t="s">
        <v>710</v>
      </c>
      <c r="G3177" s="64" t="n">
        <v>387880.736048881</v>
      </c>
      <c r="H3177" s="62" t="s">
        <v>138</v>
      </c>
    </row>
    <row r="3178" customFormat="false" ht="15" hidden="false" customHeight="false" outlineLevel="0" collapsed="false">
      <c r="A3178" s="62" t="n">
        <v>0</v>
      </c>
      <c r="B3178" s="62" t="s">
        <v>388</v>
      </c>
      <c r="C3178" s="62" t="s">
        <v>60</v>
      </c>
      <c r="D3178" s="62" t="s">
        <v>382</v>
      </c>
      <c r="E3178" s="62" t="s">
        <v>382</v>
      </c>
      <c r="F3178" s="63" t="s">
        <v>710</v>
      </c>
      <c r="G3178" s="64" t="n">
        <v>387880.736048881</v>
      </c>
      <c r="H3178" s="62" t="s">
        <v>138</v>
      </c>
    </row>
    <row r="3179" customFormat="false" ht="15" hidden="false" customHeight="false" outlineLevel="0" collapsed="false">
      <c r="A3179" s="62" t="n">
        <v>0</v>
      </c>
      <c r="B3179" s="62" t="s">
        <v>381</v>
      </c>
      <c r="C3179" s="62" t="s">
        <v>60</v>
      </c>
      <c r="D3179" s="62" t="s">
        <v>382</v>
      </c>
      <c r="E3179" s="62" t="s">
        <v>382</v>
      </c>
      <c r="F3179" s="63" t="s">
        <v>711</v>
      </c>
      <c r="G3179" s="64" t="n">
        <v>598718.507649613</v>
      </c>
      <c r="H3179" s="62" t="s">
        <v>138</v>
      </c>
    </row>
    <row r="3180" customFormat="false" ht="15" hidden="false" customHeight="false" outlineLevel="0" collapsed="false">
      <c r="A3180" s="62" t="n">
        <v>0</v>
      </c>
      <c r="B3180" s="62" t="s">
        <v>383</v>
      </c>
      <c r="C3180" s="62" t="s">
        <v>60</v>
      </c>
      <c r="D3180" s="62" t="s">
        <v>382</v>
      </c>
      <c r="E3180" s="62" t="s">
        <v>382</v>
      </c>
      <c r="F3180" s="63" t="s">
        <v>711</v>
      </c>
      <c r="G3180" s="64" t="n">
        <v>598718.507649613</v>
      </c>
      <c r="H3180" s="62" t="s">
        <v>138</v>
      </c>
    </row>
    <row r="3181" customFormat="false" ht="15" hidden="false" customHeight="false" outlineLevel="0" collapsed="false">
      <c r="A3181" s="62" t="n">
        <v>0</v>
      </c>
      <c r="B3181" s="62" t="s">
        <v>384</v>
      </c>
      <c r="C3181" s="62" t="s">
        <v>60</v>
      </c>
      <c r="D3181" s="62" t="s">
        <v>382</v>
      </c>
      <c r="E3181" s="62" t="s">
        <v>382</v>
      </c>
      <c r="F3181" s="63" t="s">
        <v>711</v>
      </c>
      <c r="G3181" s="64" t="n">
        <v>598718.507649613</v>
      </c>
      <c r="H3181" s="62" t="s">
        <v>138</v>
      </c>
    </row>
    <row r="3182" customFormat="false" ht="15" hidden="false" customHeight="false" outlineLevel="0" collapsed="false">
      <c r="A3182" s="62" t="n">
        <v>0</v>
      </c>
      <c r="B3182" s="62" t="s">
        <v>385</v>
      </c>
      <c r="C3182" s="62" t="s">
        <v>60</v>
      </c>
      <c r="D3182" s="62" t="s">
        <v>382</v>
      </c>
      <c r="E3182" s="62" t="s">
        <v>382</v>
      </c>
      <c r="F3182" s="63" t="s">
        <v>711</v>
      </c>
      <c r="G3182" s="64" t="n">
        <v>598718.507649613</v>
      </c>
      <c r="H3182" s="62" t="s">
        <v>138</v>
      </c>
    </row>
    <row r="3183" customFormat="false" ht="15" hidden="false" customHeight="false" outlineLevel="0" collapsed="false">
      <c r="A3183" s="62" t="n">
        <v>0</v>
      </c>
      <c r="B3183" s="62" t="s">
        <v>386</v>
      </c>
      <c r="C3183" s="62" t="s">
        <v>60</v>
      </c>
      <c r="D3183" s="62" t="s">
        <v>382</v>
      </c>
      <c r="E3183" s="62" t="s">
        <v>382</v>
      </c>
      <c r="F3183" s="63" t="s">
        <v>711</v>
      </c>
      <c r="G3183" s="64" t="n">
        <v>598718.507649613</v>
      </c>
      <c r="H3183" s="62" t="s">
        <v>138</v>
      </c>
    </row>
    <row r="3184" customFormat="false" ht="15" hidden="false" customHeight="false" outlineLevel="0" collapsed="false">
      <c r="A3184" s="62" t="n">
        <v>0</v>
      </c>
      <c r="B3184" s="62" t="s">
        <v>387</v>
      </c>
      <c r="C3184" s="62" t="s">
        <v>60</v>
      </c>
      <c r="D3184" s="62" t="s">
        <v>382</v>
      </c>
      <c r="E3184" s="62" t="s">
        <v>382</v>
      </c>
      <c r="F3184" s="63" t="s">
        <v>711</v>
      </c>
      <c r="G3184" s="64" t="n">
        <v>598718.507649613</v>
      </c>
      <c r="H3184" s="62" t="s">
        <v>138</v>
      </c>
    </row>
    <row r="3185" customFormat="false" ht="15" hidden="false" customHeight="false" outlineLevel="0" collapsed="false">
      <c r="A3185" s="62" t="n">
        <v>0</v>
      </c>
      <c r="B3185" s="62" t="s">
        <v>388</v>
      </c>
      <c r="C3185" s="62" t="s">
        <v>60</v>
      </c>
      <c r="D3185" s="62" t="s">
        <v>382</v>
      </c>
      <c r="E3185" s="62" t="s">
        <v>382</v>
      </c>
      <c r="F3185" s="63" t="s">
        <v>711</v>
      </c>
      <c r="G3185" s="64" t="n">
        <v>598718.507649613</v>
      </c>
      <c r="H3185" s="62" t="s">
        <v>138</v>
      </c>
    </row>
    <row r="3186" customFormat="false" ht="15" hidden="false" customHeight="false" outlineLevel="0" collapsed="false">
      <c r="A3186" s="62" t="n">
        <v>0</v>
      </c>
      <c r="B3186" s="62" t="s">
        <v>381</v>
      </c>
      <c r="C3186" s="62" t="s">
        <v>60</v>
      </c>
      <c r="D3186" s="62" t="s">
        <v>382</v>
      </c>
      <c r="E3186" s="62" t="s">
        <v>382</v>
      </c>
      <c r="F3186" s="63" t="s">
        <v>712</v>
      </c>
      <c r="G3186" s="64" t="n">
        <v>1741617.98389484</v>
      </c>
      <c r="H3186" s="62" t="s">
        <v>138</v>
      </c>
    </row>
    <row r="3187" customFormat="false" ht="15" hidden="false" customHeight="false" outlineLevel="0" collapsed="false">
      <c r="A3187" s="62" t="n">
        <v>0</v>
      </c>
      <c r="B3187" s="62" t="s">
        <v>383</v>
      </c>
      <c r="C3187" s="62" t="s">
        <v>60</v>
      </c>
      <c r="D3187" s="62" t="s">
        <v>382</v>
      </c>
      <c r="E3187" s="62" t="s">
        <v>382</v>
      </c>
      <c r="F3187" s="63" t="s">
        <v>712</v>
      </c>
      <c r="G3187" s="64" t="n">
        <v>1741617.98389484</v>
      </c>
      <c r="H3187" s="62" t="s">
        <v>138</v>
      </c>
    </row>
    <row r="3188" customFormat="false" ht="15" hidden="false" customHeight="false" outlineLevel="0" collapsed="false">
      <c r="A3188" s="62" t="n">
        <v>0</v>
      </c>
      <c r="B3188" s="62" t="s">
        <v>384</v>
      </c>
      <c r="C3188" s="62" t="s">
        <v>60</v>
      </c>
      <c r="D3188" s="62" t="s">
        <v>382</v>
      </c>
      <c r="E3188" s="62" t="s">
        <v>382</v>
      </c>
      <c r="F3188" s="63" t="s">
        <v>712</v>
      </c>
      <c r="G3188" s="64" t="n">
        <v>1741617.98389484</v>
      </c>
      <c r="H3188" s="62" t="s">
        <v>138</v>
      </c>
    </row>
    <row r="3189" customFormat="false" ht="15" hidden="false" customHeight="false" outlineLevel="0" collapsed="false">
      <c r="A3189" s="62" t="n">
        <v>0</v>
      </c>
      <c r="B3189" s="62" t="s">
        <v>385</v>
      </c>
      <c r="C3189" s="62" t="s">
        <v>60</v>
      </c>
      <c r="D3189" s="62" t="s">
        <v>382</v>
      </c>
      <c r="E3189" s="62" t="s">
        <v>382</v>
      </c>
      <c r="F3189" s="63" t="s">
        <v>712</v>
      </c>
      <c r="G3189" s="64" t="n">
        <v>1741617.98389484</v>
      </c>
      <c r="H3189" s="62" t="s">
        <v>138</v>
      </c>
    </row>
    <row r="3190" customFormat="false" ht="15" hidden="false" customHeight="false" outlineLevel="0" collapsed="false">
      <c r="A3190" s="62" t="n">
        <v>0</v>
      </c>
      <c r="B3190" s="62" t="s">
        <v>386</v>
      </c>
      <c r="C3190" s="62" t="s">
        <v>60</v>
      </c>
      <c r="D3190" s="62" t="s">
        <v>382</v>
      </c>
      <c r="E3190" s="62" t="s">
        <v>382</v>
      </c>
      <c r="F3190" s="63" t="s">
        <v>712</v>
      </c>
      <c r="G3190" s="64" t="n">
        <v>1741617.98389484</v>
      </c>
      <c r="H3190" s="62" t="s">
        <v>138</v>
      </c>
    </row>
    <row r="3191" customFormat="false" ht="15" hidden="false" customHeight="false" outlineLevel="0" collapsed="false">
      <c r="A3191" s="62" t="n">
        <v>0</v>
      </c>
      <c r="B3191" s="62" t="s">
        <v>387</v>
      </c>
      <c r="C3191" s="62" t="s">
        <v>60</v>
      </c>
      <c r="D3191" s="62" t="s">
        <v>382</v>
      </c>
      <c r="E3191" s="62" t="s">
        <v>382</v>
      </c>
      <c r="F3191" s="63" t="s">
        <v>712</v>
      </c>
      <c r="G3191" s="64" t="n">
        <v>1741617.98389484</v>
      </c>
      <c r="H3191" s="62" t="s">
        <v>138</v>
      </c>
    </row>
    <row r="3192" customFormat="false" ht="15" hidden="false" customHeight="false" outlineLevel="0" collapsed="false">
      <c r="A3192" s="62" t="n">
        <v>0</v>
      </c>
      <c r="B3192" s="62" t="s">
        <v>388</v>
      </c>
      <c r="C3192" s="62" t="s">
        <v>60</v>
      </c>
      <c r="D3192" s="62" t="s">
        <v>382</v>
      </c>
      <c r="E3192" s="62" t="s">
        <v>382</v>
      </c>
      <c r="F3192" s="63" t="s">
        <v>712</v>
      </c>
      <c r="G3192" s="64" t="n">
        <v>1741617.98389484</v>
      </c>
      <c r="H3192" s="62" t="s">
        <v>138</v>
      </c>
    </row>
    <row r="3193" customFormat="false" ht="15" hidden="false" customHeight="false" outlineLevel="0" collapsed="false">
      <c r="A3193" s="62" t="n">
        <v>0</v>
      </c>
      <c r="B3193" s="62" t="s">
        <v>381</v>
      </c>
      <c r="C3193" s="62" t="s">
        <v>60</v>
      </c>
      <c r="D3193" s="62" t="s">
        <v>382</v>
      </c>
      <c r="E3193" s="62" t="s">
        <v>382</v>
      </c>
      <c r="F3193" s="63" t="s">
        <v>713</v>
      </c>
      <c r="G3193" s="64" t="n">
        <v>529181.242278694</v>
      </c>
      <c r="H3193" s="62" t="s">
        <v>138</v>
      </c>
    </row>
    <row r="3194" customFormat="false" ht="15" hidden="false" customHeight="false" outlineLevel="0" collapsed="false">
      <c r="A3194" s="62" t="n">
        <v>0</v>
      </c>
      <c r="B3194" s="62" t="s">
        <v>383</v>
      </c>
      <c r="C3194" s="62" t="s">
        <v>60</v>
      </c>
      <c r="D3194" s="62" t="s">
        <v>382</v>
      </c>
      <c r="E3194" s="62" t="s">
        <v>382</v>
      </c>
      <c r="F3194" s="63" t="s">
        <v>713</v>
      </c>
      <c r="G3194" s="64" t="n">
        <v>529181.242278694</v>
      </c>
      <c r="H3194" s="62" t="s">
        <v>138</v>
      </c>
    </row>
    <row r="3195" customFormat="false" ht="15" hidden="false" customHeight="false" outlineLevel="0" collapsed="false">
      <c r="A3195" s="62" t="n">
        <v>0</v>
      </c>
      <c r="B3195" s="62" t="s">
        <v>384</v>
      </c>
      <c r="C3195" s="62" t="s">
        <v>60</v>
      </c>
      <c r="D3195" s="62" t="s">
        <v>382</v>
      </c>
      <c r="E3195" s="62" t="s">
        <v>382</v>
      </c>
      <c r="F3195" s="63" t="s">
        <v>713</v>
      </c>
      <c r="G3195" s="64" t="n">
        <v>529181.242278694</v>
      </c>
      <c r="H3195" s="62" t="s">
        <v>138</v>
      </c>
    </row>
    <row r="3196" customFormat="false" ht="15" hidden="false" customHeight="false" outlineLevel="0" collapsed="false">
      <c r="A3196" s="62" t="n">
        <v>0</v>
      </c>
      <c r="B3196" s="62" t="s">
        <v>385</v>
      </c>
      <c r="C3196" s="62" t="s">
        <v>60</v>
      </c>
      <c r="D3196" s="62" t="s">
        <v>382</v>
      </c>
      <c r="E3196" s="62" t="s">
        <v>382</v>
      </c>
      <c r="F3196" s="63" t="s">
        <v>713</v>
      </c>
      <c r="G3196" s="64" t="n">
        <v>529181.242278694</v>
      </c>
      <c r="H3196" s="62" t="s">
        <v>138</v>
      </c>
    </row>
    <row r="3197" customFormat="false" ht="15" hidden="false" customHeight="false" outlineLevel="0" collapsed="false">
      <c r="A3197" s="62" t="n">
        <v>0</v>
      </c>
      <c r="B3197" s="62" t="s">
        <v>386</v>
      </c>
      <c r="C3197" s="62" t="s">
        <v>60</v>
      </c>
      <c r="D3197" s="62" t="s">
        <v>382</v>
      </c>
      <c r="E3197" s="62" t="s">
        <v>382</v>
      </c>
      <c r="F3197" s="63" t="s">
        <v>713</v>
      </c>
      <c r="G3197" s="64" t="n">
        <v>529181.242278694</v>
      </c>
      <c r="H3197" s="62" t="s">
        <v>138</v>
      </c>
    </row>
    <row r="3198" customFormat="false" ht="15" hidden="false" customHeight="false" outlineLevel="0" collapsed="false">
      <c r="A3198" s="62" t="n">
        <v>0</v>
      </c>
      <c r="B3198" s="62" t="s">
        <v>387</v>
      </c>
      <c r="C3198" s="62" t="s">
        <v>60</v>
      </c>
      <c r="D3198" s="62" t="s">
        <v>382</v>
      </c>
      <c r="E3198" s="62" t="s">
        <v>382</v>
      </c>
      <c r="F3198" s="63" t="s">
        <v>713</v>
      </c>
      <c r="G3198" s="64" t="n">
        <v>529181.242278694</v>
      </c>
      <c r="H3198" s="62" t="s">
        <v>138</v>
      </c>
    </row>
    <row r="3199" customFormat="false" ht="15" hidden="false" customHeight="false" outlineLevel="0" collapsed="false">
      <c r="A3199" s="62" t="n">
        <v>0</v>
      </c>
      <c r="B3199" s="62" t="s">
        <v>388</v>
      </c>
      <c r="C3199" s="62" t="s">
        <v>60</v>
      </c>
      <c r="D3199" s="62" t="s">
        <v>382</v>
      </c>
      <c r="E3199" s="62" t="s">
        <v>382</v>
      </c>
      <c r="F3199" s="63" t="s">
        <v>713</v>
      </c>
      <c r="G3199" s="64" t="n">
        <v>529181.242278694</v>
      </c>
      <c r="H3199" s="62" t="s">
        <v>138</v>
      </c>
    </row>
    <row r="3200" customFormat="false" ht="15" hidden="false" customHeight="false" outlineLevel="0" collapsed="false">
      <c r="A3200" s="62" t="n">
        <v>0</v>
      </c>
      <c r="B3200" s="62" t="s">
        <v>381</v>
      </c>
      <c r="C3200" s="62" t="s">
        <v>60</v>
      </c>
      <c r="D3200" s="62" t="s">
        <v>382</v>
      </c>
      <c r="E3200" s="62" t="s">
        <v>382</v>
      </c>
      <c r="F3200" s="63" t="s">
        <v>714</v>
      </c>
      <c r="G3200" s="64" t="n">
        <v>119424.995069532</v>
      </c>
      <c r="H3200" s="62" t="s">
        <v>138</v>
      </c>
    </row>
    <row r="3201" customFormat="false" ht="15" hidden="false" customHeight="false" outlineLevel="0" collapsed="false">
      <c r="A3201" s="62" t="n">
        <v>0</v>
      </c>
      <c r="B3201" s="62" t="s">
        <v>383</v>
      </c>
      <c r="C3201" s="62" t="s">
        <v>60</v>
      </c>
      <c r="D3201" s="62" t="s">
        <v>382</v>
      </c>
      <c r="E3201" s="62" t="s">
        <v>382</v>
      </c>
      <c r="F3201" s="63" t="s">
        <v>714</v>
      </c>
      <c r="G3201" s="64" t="n">
        <v>119424.995069532</v>
      </c>
      <c r="H3201" s="62" t="s">
        <v>138</v>
      </c>
    </row>
    <row r="3202" customFormat="false" ht="15" hidden="false" customHeight="false" outlineLevel="0" collapsed="false">
      <c r="A3202" s="62" t="n">
        <v>0</v>
      </c>
      <c r="B3202" s="62" t="s">
        <v>384</v>
      </c>
      <c r="C3202" s="62" t="s">
        <v>60</v>
      </c>
      <c r="D3202" s="62" t="s">
        <v>382</v>
      </c>
      <c r="E3202" s="62" t="s">
        <v>382</v>
      </c>
      <c r="F3202" s="63" t="s">
        <v>714</v>
      </c>
      <c r="G3202" s="64" t="n">
        <v>119424.995069532</v>
      </c>
      <c r="H3202" s="62" t="s">
        <v>138</v>
      </c>
    </row>
    <row r="3203" customFormat="false" ht="15" hidden="false" customHeight="false" outlineLevel="0" collapsed="false">
      <c r="A3203" s="62" t="n">
        <v>0</v>
      </c>
      <c r="B3203" s="62" t="s">
        <v>385</v>
      </c>
      <c r="C3203" s="62" t="s">
        <v>60</v>
      </c>
      <c r="D3203" s="62" t="s">
        <v>382</v>
      </c>
      <c r="E3203" s="62" t="s">
        <v>382</v>
      </c>
      <c r="F3203" s="63" t="s">
        <v>714</v>
      </c>
      <c r="G3203" s="64" t="n">
        <v>119424.995069532</v>
      </c>
      <c r="H3203" s="62" t="s">
        <v>138</v>
      </c>
    </row>
    <row r="3204" customFormat="false" ht="15" hidden="false" customHeight="false" outlineLevel="0" collapsed="false">
      <c r="A3204" s="62" t="n">
        <v>0</v>
      </c>
      <c r="B3204" s="62" t="s">
        <v>386</v>
      </c>
      <c r="C3204" s="62" t="s">
        <v>60</v>
      </c>
      <c r="D3204" s="62" t="s">
        <v>382</v>
      </c>
      <c r="E3204" s="62" t="s">
        <v>382</v>
      </c>
      <c r="F3204" s="63" t="s">
        <v>714</v>
      </c>
      <c r="G3204" s="64" t="n">
        <v>119424.995069532</v>
      </c>
      <c r="H3204" s="62" t="s">
        <v>138</v>
      </c>
    </row>
    <row r="3205" customFormat="false" ht="15" hidden="false" customHeight="false" outlineLevel="0" collapsed="false">
      <c r="A3205" s="62" t="n">
        <v>0</v>
      </c>
      <c r="B3205" s="62" t="s">
        <v>387</v>
      </c>
      <c r="C3205" s="62" t="s">
        <v>60</v>
      </c>
      <c r="D3205" s="62" t="s">
        <v>382</v>
      </c>
      <c r="E3205" s="62" t="s">
        <v>382</v>
      </c>
      <c r="F3205" s="63" t="s">
        <v>714</v>
      </c>
      <c r="G3205" s="64" t="n">
        <v>119424.995069532</v>
      </c>
      <c r="H3205" s="62" t="s">
        <v>138</v>
      </c>
    </row>
    <row r="3206" customFormat="false" ht="15" hidden="false" customHeight="false" outlineLevel="0" collapsed="false">
      <c r="A3206" s="62" t="n">
        <v>0</v>
      </c>
      <c r="B3206" s="62" t="s">
        <v>388</v>
      </c>
      <c r="C3206" s="62" t="s">
        <v>60</v>
      </c>
      <c r="D3206" s="62" t="s">
        <v>382</v>
      </c>
      <c r="E3206" s="62" t="s">
        <v>382</v>
      </c>
      <c r="F3206" s="63" t="s">
        <v>714</v>
      </c>
      <c r="G3206" s="64" t="n">
        <v>119424.995069532</v>
      </c>
      <c r="H3206" s="62" t="s">
        <v>138</v>
      </c>
    </row>
    <row r="3207" customFormat="false" ht="15" hidden="false" customHeight="false" outlineLevel="0" collapsed="false">
      <c r="A3207" s="62" t="n">
        <v>0</v>
      </c>
      <c r="B3207" s="62" t="s">
        <v>381</v>
      </c>
      <c r="C3207" s="62" t="s">
        <v>60</v>
      </c>
      <c r="D3207" s="62" t="s">
        <v>382</v>
      </c>
      <c r="E3207" s="62" t="s">
        <v>382</v>
      </c>
      <c r="F3207" s="63" t="s">
        <v>715</v>
      </c>
      <c r="G3207" s="64" t="n">
        <v>-5898.65271870569</v>
      </c>
      <c r="H3207" s="62" t="s">
        <v>138</v>
      </c>
    </row>
    <row r="3208" customFormat="false" ht="15" hidden="false" customHeight="false" outlineLevel="0" collapsed="false">
      <c r="A3208" s="62" t="n">
        <v>0</v>
      </c>
      <c r="B3208" s="62" t="s">
        <v>383</v>
      </c>
      <c r="C3208" s="62" t="s">
        <v>60</v>
      </c>
      <c r="D3208" s="62" t="s">
        <v>382</v>
      </c>
      <c r="E3208" s="62" t="s">
        <v>382</v>
      </c>
      <c r="F3208" s="63" t="s">
        <v>715</v>
      </c>
      <c r="G3208" s="64" t="n">
        <v>-5898.65271870569</v>
      </c>
      <c r="H3208" s="62" t="s">
        <v>138</v>
      </c>
    </row>
    <row r="3209" customFormat="false" ht="15" hidden="false" customHeight="false" outlineLevel="0" collapsed="false">
      <c r="A3209" s="62" t="n">
        <v>0</v>
      </c>
      <c r="B3209" s="62" t="s">
        <v>384</v>
      </c>
      <c r="C3209" s="62" t="s">
        <v>60</v>
      </c>
      <c r="D3209" s="62" t="s">
        <v>382</v>
      </c>
      <c r="E3209" s="62" t="s">
        <v>382</v>
      </c>
      <c r="F3209" s="63" t="s">
        <v>715</v>
      </c>
      <c r="G3209" s="64" t="n">
        <v>-5898.65271870569</v>
      </c>
      <c r="H3209" s="62" t="s">
        <v>138</v>
      </c>
    </row>
    <row r="3210" customFormat="false" ht="15" hidden="false" customHeight="false" outlineLevel="0" collapsed="false">
      <c r="A3210" s="62" t="n">
        <v>0</v>
      </c>
      <c r="B3210" s="62" t="s">
        <v>385</v>
      </c>
      <c r="C3210" s="62" t="s">
        <v>60</v>
      </c>
      <c r="D3210" s="62" t="s">
        <v>382</v>
      </c>
      <c r="E3210" s="62" t="s">
        <v>382</v>
      </c>
      <c r="F3210" s="63" t="s">
        <v>715</v>
      </c>
      <c r="G3210" s="64" t="n">
        <v>-5898.65271870569</v>
      </c>
      <c r="H3210" s="62" t="s">
        <v>138</v>
      </c>
    </row>
    <row r="3211" customFormat="false" ht="15" hidden="false" customHeight="false" outlineLevel="0" collapsed="false">
      <c r="A3211" s="62" t="n">
        <v>0</v>
      </c>
      <c r="B3211" s="62" t="s">
        <v>386</v>
      </c>
      <c r="C3211" s="62" t="s">
        <v>60</v>
      </c>
      <c r="D3211" s="62" t="s">
        <v>382</v>
      </c>
      <c r="E3211" s="62" t="s">
        <v>382</v>
      </c>
      <c r="F3211" s="63" t="s">
        <v>715</v>
      </c>
      <c r="G3211" s="64" t="n">
        <v>-5898.65271870569</v>
      </c>
      <c r="H3211" s="62" t="s">
        <v>138</v>
      </c>
    </row>
    <row r="3212" customFormat="false" ht="15" hidden="false" customHeight="false" outlineLevel="0" collapsed="false">
      <c r="A3212" s="62" t="n">
        <v>0</v>
      </c>
      <c r="B3212" s="62" t="s">
        <v>387</v>
      </c>
      <c r="C3212" s="62" t="s">
        <v>60</v>
      </c>
      <c r="D3212" s="62" t="s">
        <v>382</v>
      </c>
      <c r="E3212" s="62" t="s">
        <v>382</v>
      </c>
      <c r="F3212" s="63" t="s">
        <v>715</v>
      </c>
      <c r="G3212" s="64" t="n">
        <v>-5898.65271870569</v>
      </c>
      <c r="H3212" s="62" t="s">
        <v>138</v>
      </c>
    </row>
    <row r="3213" customFormat="false" ht="15" hidden="false" customHeight="false" outlineLevel="0" collapsed="false">
      <c r="A3213" s="62" t="n">
        <v>0</v>
      </c>
      <c r="B3213" s="62" t="s">
        <v>388</v>
      </c>
      <c r="C3213" s="62" t="s">
        <v>60</v>
      </c>
      <c r="D3213" s="62" t="s">
        <v>382</v>
      </c>
      <c r="E3213" s="62" t="s">
        <v>382</v>
      </c>
      <c r="F3213" s="63" t="s">
        <v>715</v>
      </c>
      <c r="G3213" s="64" t="n">
        <v>-5898.65271870569</v>
      </c>
      <c r="H3213" s="62" t="s">
        <v>138</v>
      </c>
    </row>
    <row r="3214" customFormat="false" ht="15" hidden="false" customHeight="false" outlineLevel="0" collapsed="false">
      <c r="A3214" s="62" t="n">
        <v>0</v>
      </c>
      <c r="B3214" s="62" t="s">
        <v>381</v>
      </c>
      <c r="C3214" s="62" t="s">
        <v>60</v>
      </c>
      <c r="D3214" s="62" t="s">
        <v>382</v>
      </c>
      <c r="E3214" s="62" t="s">
        <v>382</v>
      </c>
      <c r="F3214" s="63" t="s">
        <v>716</v>
      </c>
      <c r="G3214" s="64" t="n">
        <v>642707.58462952</v>
      </c>
      <c r="H3214" s="62" t="s">
        <v>138</v>
      </c>
    </row>
    <row r="3215" customFormat="false" ht="15" hidden="false" customHeight="false" outlineLevel="0" collapsed="false">
      <c r="A3215" s="62" t="n">
        <v>0</v>
      </c>
      <c r="B3215" s="62" t="s">
        <v>383</v>
      </c>
      <c r="C3215" s="62" t="s">
        <v>60</v>
      </c>
      <c r="D3215" s="62" t="s">
        <v>382</v>
      </c>
      <c r="E3215" s="62" t="s">
        <v>382</v>
      </c>
      <c r="F3215" s="63" t="s">
        <v>716</v>
      </c>
      <c r="G3215" s="64" t="n">
        <v>642707.58462952</v>
      </c>
      <c r="H3215" s="62" t="s">
        <v>138</v>
      </c>
    </row>
    <row r="3216" customFormat="false" ht="15" hidden="false" customHeight="false" outlineLevel="0" collapsed="false">
      <c r="A3216" s="62" t="n">
        <v>0</v>
      </c>
      <c r="B3216" s="62" t="s">
        <v>384</v>
      </c>
      <c r="C3216" s="62" t="s">
        <v>60</v>
      </c>
      <c r="D3216" s="62" t="s">
        <v>382</v>
      </c>
      <c r="E3216" s="62" t="s">
        <v>382</v>
      </c>
      <c r="F3216" s="63" t="s">
        <v>716</v>
      </c>
      <c r="G3216" s="64" t="n">
        <v>642707.58462952</v>
      </c>
      <c r="H3216" s="62" t="s">
        <v>138</v>
      </c>
    </row>
    <row r="3217" customFormat="false" ht="15" hidden="false" customHeight="false" outlineLevel="0" collapsed="false">
      <c r="A3217" s="62" t="n">
        <v>0</v>
      </c>
      <c r="B3217" s="62" t="s">
        <v>385</v>
      </c>
      <c r="C3217" s="62" t="s">
        <v>60</v>
      </c>
      <c r="D3217" s="62" t="s">
        <v>382</v>
      </c>
      <c r="E3217" s="62" t="s">
        <v>382</v>
      </c>
      <c r="F3217" s="63" t="s">
        <v>716</v>
      </c>
      <c r="G3217" s="64" t="n">
        <v>642707.58462952</v>
      </c>
      <c r="H3217" s="62" t="s">
        <v>138</v>
      </c>
    </row>
    <row r="3218" customFormat="false" ht="15" hidden="false" customHeight="false" outlineLevel="0" collapsed="false">
      <c r="A3218" s="62" t="n">
        <v>0</v>
      </c>
      <c r="B3218" s="62" t="s">
        <v>386</v>
      </c>
      <c r="C3218" s="62" t="s">
        <v>60</v>
      </c>
      <c r="D3218" s="62" t="s">
        <v>382</v>
      </c>
      <c r="E3218" s="62" t="s">
        <v>382</v>
      </c>
      <c r="F3218" s="63" t="s">
        <v>716</v>
      </c>
      <c r="G3218" s="64" t="n">
        <v>642707.58462952</v>
      </c>
      <c r="H3218" s="62" t="s">
        <v>138</v>
      </c>
    </row>
    <row r="3219" customFormat="false" ht="15" hidden="false" customHeight="false" outlineLevel="0" collapsed="false">
      <c r="A3219" s="62" t="n">
        <v>0</v>
      </c>
      <c r="B3219" s="62" t="s">
        <v>387</v>
      </c>
      <c r="C3219" s="62" t="s">
        <v>60</v>
      </c>
      <c r="D3219" s="62" t="s">
        <v>382</v>
      </c>
      <c r="E3219" s="62" t="s">
        <v>382</v>
      </c>
      <c r="F3219" s="63" t="s">
        <v>716</v>
      </c>
      <c r="G3219" s="64" t="n">
        <v>642707.58462952</v>
      </c>
      <c r="H3219" s="62" t="s">
        <v>138</v>
      </c>
    </row>
    <row r="3220" customFormat="false" ht="15" hidden="false" customHeight="false" outlineLevel="0" collapsed="false">
      <c r="A3220" s="62" t="n">
        <v>0</v>
      </c>
      <c r="B3220" s="62" t="s">
        <v>388</v>
      </c>
      <c r="C3220" s="62" t="s">
        <v>60</v>
      </c>
      <c r="D3220" s="62" t="s">
        <v>382</v>
      </c>
      <c r="E3220" s="62" t="s">
        <v>382</v>
      </c>
      <c r="F3220" s="63" t="s">
        <v>716</v>
      </c>
      <c r="G3220" s="64" t="n">
        <v>642707.58462952</v>
      </c>
      <c r="H3220" s="62" t="s">
        <v>138</v>
      </c>
    </row>
    <row r="3221" customFormat="false" ht="15" hidden="false" customHeight="false" outlineLevel="0" collapsed="false">
      <c r="A3221" s="62" t="n">
        <v>0</v>
      </c>
      <c r="B3221" s="62" t="s">
        <v>381</v>
      </c>
      <c r="C3221" s="62" t="s">
        <v>60</v>
      </c>
      <c r="D3221" s="62" t="s">
        <v>382</v>
      </c>
      <c r="E3221" s="62" t="s">
        <v>382</v>
      </c>
      <c r="F3221" s="63" t="s">
        <v>717</v>
      </c>
      <c r="G3221" s="64" t="n">
        <v>770819.428571429</v>
      </c>
      <c r="H3221" s="62" t="s">
        <v>138</v>
      </c>
    </row>
    <row r="3222" customFormat="false" ht="15" hidden="false" customHeight="false" outlineLevel="0" collapsed="false">
      <c r="A3222" s="62" t="n">
        <v>0</v>
      </c>
      <c r="B3222" s="62" t="s">
        <v>383</v>
      </c>
      <c r="C3222" s="62" t="s">
        <v>60</v>
      </c>
      <c r="D3222" s="62" t="s">
        <v>382</v>
      </c>
      <c r="E3222" s="62" t="s">
        <v>382</v>
      </c>
      <c r="F3222" s="63" t="s">
        <v>717</v>
      </c>
      <c r="G3222" s="64" t="n">
        <v>770819.428571429</v>
      </c>
      <c r="H3222" s="62" t="s">
        <v>138</v>
      </c>
    </row>
    <row r="3223" customFormat="false" ht="15" hidden="false" customHeight="false" outlineLevel="0" collapsed="false">
      <c r="A3223" s="62" t="n">
        <v>0</v>
      </c>
      <c r="B3223" s="62" t="s">
        <v>384</v>
      </c>
      <c r="C3223" s="62" t="s">
        <v>60</v>
      </c>
      <c r="D3223" s="62" t="s">
        <v>382</v>
      </c>
      <c r="E3223" s="62" t="s">
        <v>382</v>
      </c>
      <c r="F3223" s="63" t="s">
        <v>717</v>
      </c>
      <c r="G3223" s="64" t="n">
        <v>770819.428571429</v>
      </c>
      <c r="H3223" s="62" t="s">
        <v>138</v>
      </c>
    </row>
    <row r="3224" customFormat="false" ht="15" hidden="false" customHeight="false" outlineLevel="0" collapsed="false">
      <c r="A3224" s="62" t="n">
        <v>0</v>
      </c>
      <c r="B3224" s="62" t="s">
        <v>385</v>
      </c>
      <c r="C3224" s="62" t="s">
        <v>60</v>
      </c>
      <c r="D3224" s="62" t="s">
        <v>382</v>
      </c>
      <c r="E3224" s="62" t="s">
        <v>382</v>
      </c>
      <c r="F3224" s="63" t="s">
        <v>717</v>
      </c>
      <c r="G3224" s="64" t="n">
        <v>770819.428571429</v>
      </c>
      <c r="H3224" s="62" t="s">
        <v>138</v>
      </c>
    </row>
    <row r="3225" customFormat="false" ht="15" hidden="false" customHeight="false" outlineLevel="0" collapsed="false">
      <c r="A3225" s="62" t="n">
        <v>0</v>
      </c>
      <c r="B3225" s="62" t="s">
        <v>386</v>
      </c>
      <c r="C3225" s="62" t="s">
        <v>60</v>
      </c>
      <c r="D3225" s="62" t="s">
        <v>382</v>
      </c>
      <c r="E3225" s="62" t="s">
        <v>382</v>
      </c>
      <c r="F3225" s="63" t="s">
        <v>717</v>
      </c>
      <c r="G3225" s="64" t="n">
        <v>770819.428571429</v>
      </c>
      <c r="H3225" s="62" t="s">
        <v>138</v>
      </c>
    </row>
    <row r="3226" customFormat="false" ht="15" hidden="false" customHeight="false" outlineLevel="0" collapsed="false">
      <c r="A3226" s="62" t="n">
        <v>0</v>
      </c>
      <c r="B3226" s="62" t="s">
        <v>387</v>
      </c>
      <c r="C3226" s="62" t="s">
        <v>60</v>
      </c>
      <c r="D3226" s="62" t="s">
        <v>382</v>
      </c>
      <c r="E3226" s="62" t="s">
        <v>382</v>
      </c>
      <c r="F3226" s="63" t="s">
        <v>717</v>
      </c>
      <c r="G3226" s="64" t="n">
        <v>770819.428571429</v>
      </c>
      <c r="H3226" s="62" t="s">
        <v>138</v>
      </c>
    </row>
    <row r="3227" customFormat="false" ht="15" hidden="false" customHeight="false" outlineLevel="0" collapsed="false">
      <c r="A3227" s="62" t="n">
        <v>0</v>
      </c>
      <c r="B3227" s="62" t="s">
        <v>388</v>
      </c>
      <c r="C3227" s="62" t="s">
        <v>60</v>
      </c>
      <c r="D3227" s="62" t="s">
        <v>382</v>
      </c>
      <c r="E3227" s="62" t="s">
        <v>382</v>
      </c>
      <c r="F3227" s="63" t="s">
        <v>717</v>
      </c>
      <c r="G3227" s="64" t="n">
        <v>770819.428571429</v>
      </c>
      <c r="H3227" s="62" t="s">
        <v>138</v>
      </c>
    </row>
    <row r="3228" customFormat="false" ht="15" hidden="false" customHeight="false" outlineLevel="0" collapsed="false">
      <c r="A3228" s="62" t="n">
        <v>0</v>
      </c>
      <c r="B3228" s="62" t="s">
        <v>381</v>
      </c>
      <c r="C3228" s="62" t="s">
        <v>60</v>
      </c>
      <c r="D3228" s="62" t="s">
        <v>382</v>
      </c>
      <c r="E3228" s="62" t="s">
        <v>382</v>
      </c>
      <c r="F3228" s="63" t="s">
        <v>718</v>
      </c>
      <c r="G3228" s="64" t="n">
        <v>4041922.26620992</v>
      </c>
      <c r="H3228" s="62" t="s">
        <v>138</v>
      </c>
    </row>
    <row r="3229" customFormat="false" ht="15" hidden="false" customHeight="false" outlineLevel="0" collapsed="false">
      <c r="A3229" s="62" t="n">
        <v>0</v>
      </c>
      <c r="B3229" s="62" t="s">
        <v>383</v>
      </c>
      <c r="C3229" s="62" t="s">
        <v>60</v>
      </c>
      <c r="D3229" s="62" t="s">
        <v>382</v>
      </c>
      <c r="E3229" s="62" t="s">
        <v>382</v>
      </c>
      <c r="F3229" s="63" t="s">
        <v>718</v>
      </c>
      <c r="G3229" s="64" t="n">
        <v>4041922.26620992</v>
      </c>
      <c r="H3229" s="62" t="s">
        <v>138</v>
      </c>
    </row>
    <row r="3230" customFormat="false" ht="15" hidden="false" customHeight="false" outlineLevel="0" collapsed="false">
      <c r="A3230" s="62" t="n">
        <v>0</v>
      </c>
      <c r="B3230" s="62" t="s">
        <v>384</v>
      </c>
      <c r="C3230" s="62" t="s">
        <v>60</v>
      </c>
      <c r="D3230" s="62" t="s">
        <v>382</v>
      </c>
      <c r="E3230" s="62" t="s">
        <v>382</v>
      </c>
      <c r="F3230" s="63" t="s">
        <v>718</v>
      </c>
      <c r="G3230" s="64" t="n">
        <v>4041922.26620992</v>
      </c>
      <c r="H3230" s="62" t="s">
        <v>138</v>
      </c>
    </row>
    <row r="3231" customFormat="false" ht="15" hidden="false" customHeight="false" outlineLevel="0" collapsed="false">
      <c r="A3231" s="62" t="n">
        <v>0</v>
      </c>
      <c r="B3231" s="62" t="s">
        <v>385</v>
      </c>
      <c r="C3231" s="62" t="s">
        <v>60</v>
      </c>
      <c r="D3231" s="62" t="s">
        <v>382</v>
      </c>
      <c r="E3231" s="62" t="s">
        <v>382</v>
      </c>
      <c r="F3231" s="63" t="s">
        <v>718</v>
      </c>
      <c r="G3231" s="64" t="n">
        <v>4041922.26620992</v>
      </c>
      <c r="H3231" s="62" t="s">
        <v>138</v>
      </c>
    </row>
    <row r="3232" customFormat="false" ht="15" hidden="false" customHeight="false" outlineLevel="0" collapsed="false">
      <c r="A3232" s="62" t="n">
        <v>0</v>
      </c>
      <c r="B3232" s="62" t="s">
        <v>386</v>
      </c>
      <c r="C3232" s="62" t="s">
        <v>60</v>
      </c>
      <c r="D3232" s="62" t="s">
        <v>382</v>
      </c>
      <c r="E3232" s="62" t="s">
        <v>382</v>
      </c>
      <c r="F3232" s="63" t="s">
        <v>718</v>
      </c>
      <c r="G3232" s="64" t="n">
        <v>4041922.26620992</v>
      </c>
      <c r="H3232" s="62" t="s">
        <v>138</v>
      </c>
    </row>
    <row r="3233" customFormat="false" ht="15" hidden="false" customHeight="false" outlineLevel="0" collapsed="false">
      <c r="A3233" s="62" t="n">
        <v>0</v>
      </c>
      <c r="B3233" s="62" t="s">
        <v>387</v>
      </c>
      <c r="C3233" s="62" t="s">
        <v>60</v>
      </c>
      <c r="D3233" s="62" t="s">
        <v>382</v>
      </c>
      <c r="E3233" s="62" t="s">
        <v>382</v>
      </c>
      <c r="F3233" s="63" t="s">
        <v>718</v>
      </c>
      <c r="G3233" s="64" t="n">
        <v>4041922.26620992</v>
      </c>
      <c r="H3233" s="62" t="s">
        <v>138</v>
      </c>
    </row>
    <row r="3234" customFormat="false" ht="15" hidden="false" customHeight="false" outlineLevel="0" collapsed="false">
      <c r="A3234" s="62" t="n">
        <v>0</v>
      </c>
      <c r="B3234" s="62" t="s">
        <v>388</v>
      </c>
      <c r="C3234" s="62" t="s">
        <v>60</v>
      </c>
      <c r="D3234" s="62" t="s">
        <v>382</v>
      </c>
      <c r="E3234" s="62" t="s">
        <v>382</v>
      </c>
      <c r="F3234" s="63" t="s">
        <v>718</v>
      </c>
      <c r="G3234" s="64" t="n">
        <v>4041922.26620992</v>
      </c>
      <c r="H3234" s="62" t="s">
        <v>138</v>
      </c>
    </row>
    <row r="3235" customFormat="false" ht="15" hidden="false" customHeight="false" outlineLevel="0" collapsed="false">
      <c r="A3235" s="62" t="n">
        <v>0</v>
      </c>
      <c r="B3235" s="62" t="s">
        <v>381</v>
      </c>
      <c r="C3235" s="62" t="s">
        <v>60</v>
      </c>
      <c r="D3235" s="62" t="s">
        <v>382</v>
      </c>
      <c r="E3235" s="62" t="s">
        <v>382</v>
      </c>
      <c r="F3235" s="63" t="s">
        <v>719</v>
      </c>
      <c r="G3235" s="64" t="n">
        <v>4812741.69478135</v>
      </c>
      <c r="H3235" s="62" t="s">
        <v>138</v>
      </c>
    </row>
    <row r="3236" customFormat="false" ht="15" hidden="false" customHeight="false" outlineLevel="0" collapsed="false">
      <c r="A3236" s="62" t="n">
        <v>0</v>
      </c>
      <c r="B3236" s="62" t="s">
        <v>383</v>
      </c>
      <c r="C3236" s="62" t="s">
        <v>60</v>
      </c>
      <c r="D3236" s="62" t="s">
        <v>382</v>
      </c>
      <c r="E3236" s="62" t="s">
        <v>382</v>
      </c>
      <c r="F3236" s="63" t="s">
        <v>719</v>
      </c>
      <c r="G3236" s="64" t="n">
        <v>4812741.69478135</v>
      </c>
      <c r="H3236" s="62" t="s">
        <v>138</v>
      </c>
    </row>
    <row r="3237" customFormat="false" ht="15" hidden="false" customHeight="false" outlineLevel="0" collapsed="false">
      <c r="A3237" s="62" t="n">
        <v>0</v>
      </c>
      <c r="B3237" s="62" t="s">
        <v>384</v>
      </c>
      <c r="C3237" s="62" t="s">
        <v>60</v>
      </c>
      <c r="D3237" s="62" t="s">
        <v>382</v>
      </c>
      <c r="E3237" s="62" t="s">
        <v>382</v>
      </c>
      <c r="F3237" s="63" t="s">
        <v>719</v>
      </c>
      <c r="G3237" s="64" t="n">
        <v>4812741.69478135</v>
      </c>
      <c r="H3237" s="62" t="s">
        <v>138</v>
      </c>
    </row>
    <row r="3238" customFormat="false" ht="15" hidden="false" customHeight="false" outlineLevel="0" collapsed="false">
      <c r="A3238" s="62" t="n">
        <v>0</v>
      </c>
      <c r="B3238" s="62" t="s">
        <v>385</v>
      </c>
      <c r="C3238" s="62" t="s">
        <v>60</v>
      </c>
      <c r="D3238" s="62" t="s">
        <v>382</v>
      </c>
      <c r="E3238" s="62" t="s">
        <v>382</v>
      </c>
      <c r="F3238" s="63" t="s">
        <v>719</v>
      </c>
      <c r="G3238" s="64" t="n">
        <v>4812741.69478135</v>
      </c>
      <c r="H3238" s="62" t="s">
        <v>138</v>
      </c>
    </row>
    <row r="3239" customFormat="false" ht="15" hidden="false" customHeight="false" outlineLevel="0" collapsed="false">
      <c r="A3239" s="62" t="n">
        <v>0</v>
      </c>
      <c r="B3239" s="62" t="s">
        <v>386</v>
      </c>
      <c r="C3239" s="62" t="s">
        <v>60</v>
      </c>
      <c r="D3239" s="62" t="s">
        <v>382</v>
      </c>
      <c r="E3239" s="62" t="s">
        <v>382</v>
      </c>
      <c r="F3239" s="63" t="s">
        <v>719</v>
      </c>
      <c r="G3239" s="64" t="n">
        <v>4812741.69478135</v>
      </c>
      <c r="H3239" s="62" t="s">
        <v>138</v>
      </c>
    </row>
    <row r="3240" customFormat="false" ht="15" hidden="false" customHeight="false" outlineLevel="0" collapsed="false">
      <c r="A3240" s="62" t="n">
        <v>0</v>
      </c>
      <c r="B3240" s="62" t="s">
        <v>387</v>
      </c>
      <c r="C3240" s="62" t="s">
        <v>60</v>
      </c>
      <c r="D3240" s="62" t="s">
        <v>382</v>
      </c>
      <c r="E3240" s="62" t="s">
        <v>382</v>
      </c>
      <c r="F3240" s="63" t="s">
        <v>719</v>
      </c>
      <c r="G3240" s="64" t="n">
        <v>4812741.69478135</v>
      </c>
      <c r="H3240" s="62" t="s">
        <v>138</v>
      </c>
    </row>
    <row r="3241" customFormat="false" ht="15" hidden="false" customHeight="false" outlineLevel="0" collapsed="false">
      <c r="A3241" s="62" t="n">
        <v>0</v>
      </c>
      <c r="B3241" s="62" t="s">
        <v>388</v>
      </c>
      <c r="C3241" s="62" t="s">
        <v>60</v>
      </c>
      <c r="D3241" s="62" t="s">
        <v>382</v>
      </c>
      <c r="E3241" s="62" t="s">
        <v>382</v>
      </c>
      <c r="F3241" s="63" t="s">
        <v>719</v>
      </c>
      <c r="G3241" s="64" t="n">
        <v>4812741.69478135</v>
      </c>
      <c r="H3241" s="62" t="s">
        <v>138</v>
      </c>
    </row>
    <row r="3242" customFormat="false" ht="15" hidden="false" customHeight="false" outlineLevel="0" collapsed="false">
      <c r="A3242" s="62" t="n">
        <v>0</v>
      </c>
      <c r="B3242" s="62" t="s">
        <v>381</v>
      </c>
      <c r="C3242" s="62" t="s">
        <v>60</v>
      </c>
      <c r="D3242" s="62" t="s">
        <v>382</v>
      </c>
      <c r="E3242" s="62" t="s">
        <v>382</v>
      </c>
      <c r="F3242" s="63" t="s">
        <v>720</v>
      </c>
      <c r="G3242" s="64" t="n">
        <v>212954.003645122</v>
      </c>
      <c r="H3242" s="62" t="s">
        <v>138</v>
      </c>
    </row>
    <row r="3243" customFormat="false" ht="15" hidden="false" customHeight="false" outlineLevel="0" collapsed="false">
      <c r="A3243" s="62" t="n">
        <v>0</v>
      </c>
      <c r="B3243" s="62" t="s">
        <v>383</v>
      </c>
      <c r="C3243" s="62" t="s">
        <v>60</v>
      </c>
      <c r="D3243" s="62" t="s">
        <v>382</v>
      </c>
      <c r="E3243" s="62" t="s">
        <v>382</v>
      </c>
      <c r="F3243" s="63" t="s">
        <v>720</v>
      </c>
      <c r="G3243" s="64" t="n">
        <v>212954.003645122</v>
      </c>
      <c r="H3243" s="62" t="s">
        <v>138</v>
      </c>
    </row>
    <row r="3244" customFormat="false" ht="15" hidden="false" customHeight="false" outlineLevel="0" collapsed="false">
      <c r="A3244" s="62" t="n">
        <v>0</v>
      </c>
      <c r="B3244" s="62" t="s">
        <v>384</v>
      </c>
      <c r="C3244" s="62" t="s">
        <v>60</v>
      </c>
      <c r="D3244" s="62" t="s">
        <v>382</v>
      </c>
      <c r="E3244" s="62" t="s">
        <v>382</v>
      </c>
      <c r="F3244" s="63" t="s">
        <v>720</v>
      </c>
      <c r="G3244" s="64" t="n">
        <v>212954.003645122</v>
      </c>
      <c r="H3244" s="62" t="s">
        <v>138</v>
      </c>
    </row>
    <row r="3245" customFormat="false" ht="15" hidden="false" customHeight="false" outlineLevel="0" collapsed="false">
      <c r="A3245" s="62" t="n">
        <v>0</v>
      </c>
      <c r="B3245" s="62" t="s">
        <v>385</v>
      </c>
      <c r="C3245" s="62" t="s">
        <v>60</v>
      </c>
      <c r="D3245" s="62" t="s">
        <v>382</v>
      </c>
      <c r="E3245" s="62" t="s">
        <v>382</v>
      </c>
      <c r="F3245" s="63" t="s">
        <v>720</v>
      </c>
      <c r="G3245" s="64" t="n">
        <v>212954.003645122</v>
      </c>
      <c r="H3245" s="62" t="s">
        <v>138</v>
      </c>
    </row>
    <row r="3246" customFormat="false" ht="15" hidden="false" customHeight="false" outlineLevel="0" collapsed="false">
      <c r="A3246" s="62" t="n">
        <v>0</v>
      </c>
      <c r="B3246" s="62" t="s">
        <v>386</v>
      </c>
      <c r="C3246" s="62" t="s">
        <v>60</v>
      </c>
      <c r="D3246" s="62" t="s">
        <v>382</v>
      </c>
      <c r="E3246" s="62" t="s">
        <v>382</v>
      </c>
      <c r="F3246" s="63" t="s">
        <v>720</v>
      </c>
      <c r="G3246" s="64" t="n">
        <v>212954.003645122</v>
      </c>
      <c r="H3246" s="62" t="s">
        <v>138</v>
      </c>
    </row>
    <row r="3247" customFormat="false" ht="15" hidden="false" customHeight="false" outlineLevel="0" collapsed="false">
      <c r="A3247" s="62" t="n">
        <v>0</v>
      </c>
      <c r="B3247" s="62" t="s">
        <v>387</v>
      </c>
      <c r="C3247" s="62" t="s">
        <v>60</v>
      </c>
      <c r="D3247" s="62" t="s">
        <v>382</v>
      </c>
      <c r="E3247" s="62" t="s">
        <v>382</v>
      </c>
      <c r="F3247" s="63" t="s">
        <v>720</v>
      </c>
      <c r="G3247" s="64" t="n">
        <v>212954.003645122</v>
      </c>
      <c r="H3247" s="62" t="s">
        <v>138</v>
      </c>
    </row>
    <row r="3248" customFormat="false" ht="15" hidden="false" customHeight="false" outlineLevel="0" collapsed="false">
      <c r="A3248" s="62" t="n">
        <v>0</v>
      </c>
      <c r="B3248" s="62" t="s">
        <v>388</v>
      </c>
      <c r="C3248" s="62" t="s">
        <v>60</v>
      </c>
      <c r="D3248" s="62" t="s">
        <v>382</v>
      </c>
      <c r="E3248" s="62" t="s">
        <v>382</v>
      </c>
      <c r="F3248" s="63" t="s">
        <v>720</v>
      </c>
      <c r="G3248" s="64" t="n">
        <v>212954.003645122</v>
      </c>
      <c r="H3248" s="62" t="s">
        <v>138</v>
      </c>
    </row>
    <row r="3249" customFormat="false" ht="15" hidden="false" customHeight="false" outlineLevel="0" collapsed="false">
      <c r="A3249" s="62" t="n">
        <v>0</v>
      </c>
      <c r="B3249" s="62" t="s">
        <v>381</v>
      </c>
      <c r="C3249" s="62" t="s">
        <v>60</v>
      </c>
      <c r="D3249" s="62" t="s">
        <v>382</v>
      </c>
      <c r="E3249" s="62" t="s">
        <v>382</v>
      </c>
      <c r="F3249" s="63" t="s">
        <v>721</v>
      </c>
      <c r="G3249" s="64" t="n">
        <v>129293.578682961</v>
      </c>
      <c r="H3249" s="62" t="s">
        <v>138</v>
      </c>
    </row>
    <row r="3250" customFormat="false" ht="15" hidden="false" customHeight="false" outlineLevel="0" collapsed="false">
      <c r="A3250" s="62" t="n">
        <v>0</v>
      </c>
      <c r="B3250" s="62" t="s">
        <v>383</v>
      </c>
      <c r="C3250" s="62" t="s">
        <v>60</v>
      </c>
      <c r="D3250" s="62" t="s">
        <v>382</v>
      </c>
      <c r="E3250" s="62" t="s">
        <v>382</v>
      </c>
      <c r="F3250" s="63" t="s">
        <v>721</v>
      </c>
      <c r="G3250" s="64" t="n">
        <v>129293.578682961</v>
      </c>
      <c r="H3250" s="62" t="s">
        <v>138</v>
      </c>
    </row>
    <row r="3251" customFormat="false" ht="15" hidden="false" customHeight="false" outlineLevel="0" collapsed="false">
      <c r="A3251" s="62" t="n">
        <v>0</v>
      </c>
      <c r="B3251" s="62" t="s">
        <v>384</v>
      </c>
      <c r="C3251" s="62" t="s">
        <v>60</v>
      </c>
      <c r="D3251" s="62" t="s">
        <v>382</v>
      </c>
      <c r="E3251" s="62" t="s">
        <v>382</v>
      </c>
      <c r="F3251" s="63" t="s">
        <v>721</v>
      </c>
      <c r="G3251" s="64" t="n">
        <v>129293.578682961</v>
      </c>
      <c r="H3251" s="62" t="s">
        <v>138</v>
      </c>
    </row>
    <row r="3252" customFormat="false" ht="15" hidden="false" customHeight="false" outlineLevel="0" collapsed="false">
      <c r="A3252" s="62" t="n">
        <v>0</v>
      </c>
      <c r="B3252" s="62" t="s">
        <v>385</v>
      </c>
      <c r="C3252" s="62" t="s">
        <v>60</v>
      </c>
      <c r="D3252" s="62" t="s">
        <v>382</v>
      </c>
      <c r="E3252" s="62" t="s">
        <v>382</v>
      </c>
      <c r="F3252" s="63" t="s">
        <v>721</v>
      </c>
      <c r="G3252" s="64" t="n">
        <v>129293.578682961</v>
      </c>
      <c r="H3252" s="62" t="s">
        <v>138</v>
      </c>
    </row>
    <row r="3253" customFormat="false" ht="15" hidden="false" customHeight="false" outlineLevel="0" collapsed="false">
      <c r="A3253" s="62" t="n">
        <v>0</v>
      </c>
      <c r="B3253" s="62" t="s">
        <v>386</v>
      </c>
      <c r="C3253" s="62" t="s">
        <v>60</v>
      </c>
      <c r="D3253" s="62" t="s">
        <v>382</v>
      </c>
      <c r="E3253" s="62" t="s">
        <v>382</v>
      </c>
      <c r="F3253" s="63" t="s">
        <v>721</v>
      </c>
      <c r="G3253" s="64" t="n">
        <v>129293.578682961</v>
      </c>
      <c r="H3253" s="62" t="s">
        <v>138</v>
      </c>
    </row>
    <row r="3254" customFormat="false" ht="15" hidden="false" customHeight="false" outlineLevel="0" collapsed="false">
      <c r="A3254" s="62" t="n">
        <v>0</v>
      </c>
      <c r="B3254" s="62" t="s">
        <v>387</v>
      </c>
      <c r="C3254" s="62" t="s">
        <v>60</v>
      </c>
      <c r="D3254" s="62" t="s">
        <v>382</v>
      </c>
      <c r="E3254" s="62" t="s">
        <v>382</v>
      </c>
      <c r="F3254" s="63" t="s">
        <v>721</v>
      </c>
      <c r="G3254" s="64" t="n">
        <v>129293.578682961</v>
      </c>
      <c r="H3254" s="62" t="s">
        <v>138</v>
      </c>
    </row>
    <row r="3255" customFormat="false" ht="15" hidden="false" customHeight="false" outlineLevel="0" collapsed="false">
      <c r="A3255" s="62" t="n">
        <v>0</v>
      </c>
      <c r="B3255" s="62" t="s">
        <v>388</v>
      </c>
      <c r="C3255" s="62" t="s">
        <v>60</v>
      </c>
      <c r="D3255" s="62" t="s">
        <v>382</v>
      </c>
      <c r="E3255" s="62" t="s">
        <v>382</v>
      </c>
      <c r="F3255" s="63" t="s">
        <v>721</v>
      </c>
      <c r="G3255" s="64" t="n">
        <v>129293.578682961</v>
      </c>
      <c r="H3255" s="62" t="s">
        <v>138</v>
      </c>
    </row>
    <row r="3256" customFormat="false" ht="15" hidden="false" customHeight="false" outlineLevel="0" collapsed="false">
      <c r="A3256" s="62" t="n">
        <v>0</v>
      </c>
      <c r="B3256" s="62" t="s">
        <v>381</v>
      </c>
      <c r="C3256" s="62" t="s">
        <v>60</v>
      </c>
      <c r="D3256" s="62" t="s">
        <v>382</v>
      </c>
      <c r="E3256" s="62" t="s">
        <v>382</v>
      </c>
      <c r="F3256" s="63" t="s">
        <v>722</v>
      </c>
      <c r="G3256" s="64" t="n">
        <v>221443.831596432</v>
      </c>
      <c r="H3256" s="62" t="s">
        <v>138</v>
      </c>
    </row>
    <row r="3257" customFormat="false" ht="15" hidden="false" customHeight="false" outlineLevel="0" collapsed="false">
      <c r="A3257" s="62" t="n">
        <v>0</v>
      </c>
      <c r="B3257" s="62" t="s">
        <v>383</v>
      </c>
      <c r="C3257" s="62" t="s">
        <v>60</v>
      </c>
      <c r="D3257" s="62" t="s">
        <v>382</v>
      </c>
      <c r="E3257" s="62" t="s">
        <v>382</v>
      </c>
      <c r="F3257" s="63" t="s">
        <v>722</v>
      </c>
      <c r="G3257" s="64" t="n">
        <v>221443.831596432</v>
      </c>
      <c r="H3257" s="62" t="s">
        <v>138</v>
      </c>
    </row>
    <row r="3258" customFormat="false" ht="15" hidden="false" customHeight="false" outlineLevel="0" collapsed="false">
      <c r="A3258" s="62" t="n">
        <v>0</v>
      </c>
      <c r="B3258" s="62" t="s">
        <v>384</v>
      </c>
      <c r="C3258" s="62" t="s">
        <v>60</v>
      </c>
      <c r="D3258" s="62" t="s">
        <v>382</v>
      </c>
      <c r="E3258" s="62" t="s">
        <v>382</v>
      </c>
      <c r="F3258" s="63" t="s">
        <v>722</v>
      </c>
      <c r="G3258" s="64" t="n">
        <v>221443.831596432</v>
      </c>
      <c r="H3258" s="62" t="s">
        <v>138</v>
      </c>
    </row>
    <row r="3259" customFormat="false" ht="15" hidden="false" customHeight="false" outlineLevel="0" collapsed="false">
      <c r="A3259" s="62" t="n">
        <v>0</v>
      </c>
      <c r="B3259" s="62" t="s">
        <v>385</v>
      </c>
      <c r="C3259" s="62" t="s">
        <v>60</v>
      </c>
      <c r="D3259" s="62" t="s">
        <v>382</v>
      </c>
      <c r="E3259" s="62" t="s">
        <v>382</v>
      </c>
      <c r="F3259" s="63" t="s">
        <v>722</v>
      </c>
      <c r="G3259" s="64" t="n">
        <v>221443.831596432</v>
      </c>
      <c r="H3259" s="62" t="s">
        <v>138</v>
      </c>
    </row>
    <row r="3260" customFormat="false" ht="15" hidden="false" customHeight="false" outlineLevel="0" collapsed="false">
      <c r="A3260" s="62" t="n">
        <v>0</v>
      </c>
      <c r="B3260" s="62" t="s">
        <v>386</v>
      </c>
      <c r="C3260" s="62" t="s">
        <v>60</v>
      </c>
      <c r="D3260" s="62" t="s">
        <v>382</v>
      </c>
      <c r="E3260" s="62" t="s">
        <v>382</v>
      </c>
      <c r="F3260" s="63" t="s">
        <v>722</v>
      </c>
      <c r="G3260" s="64" t="n">
        <v>221443.831596432</v>
      </c>
      <c r="H3260" s="62" t="s">
        <v>138</v>
      </c>
    </row>
    <row r="3261" customFormat="false" ht="15" hidden="false" customHeight="false" outlineLevel="0" collapsed="false">
      <c r="A3261" s="62" t="n">
        <v>0</v>
      </c>
      <c r="B3261" s="62" t="s">
        <v>387</v>
      </c>
      <c r="C3261" s="62" t="s">
        <v>60</v>
      </c>
      <c r="D3261" s="62" t="s">
        <v>382</v>
      </c>
      <c r="E3261" s="62" t="s">
        <v>382</v>
      </c>
      <c r="F3261" s="63" t="s">
        <v>722</v>
      </c>
      <c r="G3261" s="64" t="n">
        <v>221443.831596432</v>
      </c>
      <c r="H3261" s="62" t="s">
        <v>138</v>
      </c>
    </row>
    <row r="3262" customFormat="false" ht="15" hidden="false" customHeight="false" outlineLevel="0" collapsed="false">
      <c r="A3262" s="62" t="n">
        <v>0</v>
      </c>
      <c r="B3262" s="62" t="s">
        <v>388</v>
      </c>
      <c r="C3262" s="62" t="s">
        <v>60</v>
      </c>
      <c r="D3262" s="62" t="s">
        <v>382</v>
      </c>
      <c r="E3262" s="62" t="s">
        <v>382</v>
      </c>
      <c r="F3262" s="63" t="s">
        <v>722</v>
      </c>
      <c r="G3262" s="64" t="n">
        <v>221443.831596432</v>
      </c>
      <c r="H3262" s="62" t="s">
        <v>138</v>
      </c>
    </row>
    <row r="3263" customFormat="false" ht="15" hidden="false" customHeight="false" outlineLevel="0" collapsed="false">
      <c r="A3263" s="62" t="n">
        <v>0</v>
      </c>
      <c r="B3263" s="62" t="s">
        <v>381</v>
      </c>
      <c r="C3263" s="62" t="s">
        <v>60</v>
      </c>
      <c r="D3263" s="62" t="s">
        <v>382</v>
      </c>
      <c r="E3263" s="62" t="s">
        <v>382</v>
      </c>
      <c r="F3263" s="63" t="s">
        <v>723</v>
      </c>
      <c r="G3263" s="64" t="n">
        <v>563691.413924514</v>
      </c>
      <c r="H3263" s="62" t="s">
        <v>138</v>
      </c>
    </row>
    <row r="3264" customFormat="false" ht="15" hidden="false" customHeight="false" outlineLevel="0" collapsed="false">
      <c r="A3264" s="62" t="n">
        <v>0</v>
      </c>
      <c r="B3264" s="62" t="s">
        <v>383</v>
      </c>
      <c r="C3264" s="62" t="s">
        <v>60</v>
      </c>
      <c r="D3264" s="62" t="s">
        <v>382</v>
      </c>
      <c r="E3264" s="62" t="s">
        <v>382</v>
      </c>
      <c r="F3264" s="63" t="s">
        <v>723</v>
      </c>
      <c r="G3264" s="64" t="n">
        <v>563691.413924514</v>
      </c>
      <c r="H3264" s="62" t="s">
        <v>138</v>
      </c>
    </row>
    <row r="3265" customFormat="false" ht="15" hidden="false" customHeight="false" outlineLevel="0" collapsed="false">
      <c r="A3265" s="62" t="n">
        <v>0</v>
      </c>
      <c r="B3265" s="62" t="s">
        <v>384</v>
      </c>
      <c r="C3265" s="62" t="s">
        <v>60</v>
      </c>
      <c r="D3265" s="62" t="s">
        <v>382</v>
      </c>
      <c r="E3265" s="62" t="s">
        <v>382</v>
      </c>
      <c r="F3265" s="63" t="s">
        <v>723</v>
      </c>
      <c r="G3265" s="64" t="n">
        <v>563691.413924514</v>
      </c>
      <c r="H3265" s="62" t="s">
        <v>138</v>
      </c>
    </row>
    <row r="3266" customFormat="false" ht="15" hidden="false" customHeight="false" outlineLevel="0" collapsed="false">
      <c r="A3266" s="62" t="n">
        <v>0</v>
      </c>
      <c r="B3266" s="62" t="s">
        <v>385</v>
      </c>
      <c r="C3266" s="62" t="s">
        <v>60</v>
      </c>
      <c r="D3266" s="62" t="s">
        <v>382</v>
      </c>
      <c r="E3266" s="62" t="s">
        <v>382</v>
      </c>
      <c r="F3266" s="63" t="s">
        <v>723</v>
      </c>
      <c r="G3266" s="64" t="n">
        <v>563691.413924514</v>
      </c>
      <c r="H3266" s="62" t="s">
        <v>138</v>
      </c>
    </row>
    <row r="3267" customFormat="false" ht="15" hidden="false" customHeight="false" outlineLevel="0" collapsed="false">
      <c r="A3267" s="62" t="n">
        <v>0</v>
      </c>
      <c r="B3267" s="62" t="s">
        <v>386</v>
      </c>
      <c r="C3267" s="62" t="s">
        <v>60</v>
      </c>
      <c r="D3267" s="62" t="s">
        <v>382</v>
      </c>
      <c r="E3267" s="62" t="s">
        <v>382</v>
      </c>
      <c r="F3267" s="63" t="s">
        <v>723</v>
      </c>
      <c r="G3267" s="64" t="n">
        <v>563691.413924514</v>
      </c>
      <c r="H3267" s="62" t="s">
        <v>138</v>
      </c>
    </row>
    <row r="3268" customFormat="false" ht="15" hidden="false" customHeight="false" outlineLevel="0" collapsed="false">
      <c r="A3268" s="62" t="n">
        <v>0</v>
      </c>
      <c r="B3268" s="62" t="s">
        <v>387</v>
      </c>
      <c r="C3268" s="62" t="s">
        <v>60</v>
      </c>
      <c r="D3268" s="62" t="s">
        <v>382</v>
      </c>
      <c r="E3268" s="62" t="s">
        <v>382</v>
      </c>
      <c r="F3268" s="63" t="s">
        <v>723</v>
      </c>
      <c r="G3268" s="64" t="n">
        <v>563691.413924514</v>
      </c>
      <c r="H3268" s="62" t="s">
        <v>138</v>
      </c>
    </row>
    <row r="3269" customFormat="false" ht="15" hidden="false" customHeight="false" outlineLevel="0" collapsed="false">
      <c r="A3269" s="62" t="n">
        <v>0</v>
      </c>
      <c r="B3269" s="62" t="s">
        <v>388</v>
      </c>
      <c r="C3269" s="62" t="s">
        <v>60</v>
      </c>
      <c r="D3269" s="62" t="s">
        <v>382</v>
      </c>
      <c r="E3269" s="62" t="s">
        <v>382</v>
      </c>
      <c r="F3269" s="63" t="s">
        <v>723</v>
      </c>
      <c r="G3269" s="64" t="n">
        <v>563691.413924514</v>
      </c>
      <c r="H3269" s="62" t="s">
        <v>138</v>
      </c>
    </row>
    <row r="3270" customFormat="false" ht="15" hidden="false" customHeight="false" outlineLevel="0" collapsed="false">
      <c r="A3270" s="62" t="n">
        <v>0</v>
      </c>
      <c r="B3270" s="62" t="s">
        <v>381</v>
      </c>
      <c r="C3270" s="62" t="s">
        <v>60</v>
      </c>
      <c r="D3270" s="62" t="s">
        <v>382</v>
      </c>
      <c r="E3270" s="62" t="s">
        <v>382</v>
      </c>
      <c r="F3270" s="63" t="s">
        <v>724</v>
      </c>
      <c r="G3270" s="64" t="n">
        <v>16167689.0648397</v>
      </c>
      <c r="H3270" s="62" t="s">
        <v>138</v>
      </c>
    </row>
    <row r="3271" customFormat="false" ht="15" hidden="false" customHeight="false" outlineLevel="0" collapsed="false">
      <c r="A3271" s="62" t="n">
        <v>0</v>
      </c>
      <c r="B3271" s="62" t="s">
        <v>383</v>
      </c>
      <c r="C3271" s="62" t="s">
        <v>60</v>
      </c>
      <c r="D3271" s="62" t="s">
        <v>382</v>
      </c>
      <c r="E3271" s="62" t="s">
        <v>382</v>
      </c>
      <c r="F3271" s="63" t="s">
        <v>724</v>
      </c>
      <c r="G3271" s="64" t="n">
        <v>16167689.0648397</v>
      </c>
      <c r="H3271" s="62" t="s">
        <v>138</v>
      </c>
    </row>
    <row r="3272" customFormat="false" ht="15" hidden="false" customHeight="false" outlineLevel="0" collapsed="false">
      <c r="A3272" s="62" t="n">
        <v>0</v>
      </c>
      <c r="B3272" s="62" t="s">
        <v>384</v>
      </c>
      <c r="C3272" s="62" t="s">
        <v>60</v>
      </c>
      <c r="D3272" s="62" t="s">
        <v>382</v>
      </c>
      <c r="E3272" s="62" t="s">
        <v>382</v>
      </c>
      <c r="F3272" s="63" t="s">
        <v>724</v>
      </c>
      <c r="G3272" s="64" t="n">
        <v>16167689.0648397</v>
      </c>
      <c r="H3272" s="62" t="s">
        <v>138</v>
      </c>
    </row>
    <row r="3273" customFormat="false" ht="15" hidden="false" customHeight="false" outlineLevel="0" collapsed="false">
      <c r="A3273" s="62" t="n">
        <v>0</v>
      </c>
      <c r="B3273" s="62" t="s">
        <v>385</v>
      </c>
      <c r="C3273" s="62" t="s">
        <v>60</v>
      </c>
      <c r="D3273" s="62" t="s">
        <v>382</v>
      </c>
      <c r="E3273" s="62" t="s">
        <v>382</v>
      </c>
      <c r="F3273" s="63" t="s">
        <v>724</v>
      </c>
      <c r="G3273" s="64" t="n">
        <v>16167689.0648397</v>
      </c>
      <c r="H3273" s="62" t="s">
        <v>138</v>
      </c>
    </row>
    <row r="3274" customFormat="false" ht="15" hidden="false" customHeight="false" outlineLevel="0" collapsed="false">
      <c r="A3274" s="62" t="n">
        <v>0</v>
      </c>
      <c r="B3274" s="62" t="s">
        <v>386</v>
      </c>
      <c r="C3274" s="62" t="s">
        <v>60</v>
      </c>
      <c r="D3274" s="62" t="s">
        <v>382</v>
      </c>
      <c r="E3274" s="62" t="s">
        <v>382</v>
      </c>
      <c r="F3274" s="63" t="s">
        <v>724</v>
      </c>
      <c r="G3274" s="64" t="n">
        <v>16167689.0648397</v>
      </c>
      <c r="H3274" s="62" t="s">
        <v>138</v>
      </c>
    </row>
    <row r="3275" customFormat="false" ht="15" hidden="false" customHeight="false" outlineLevel="0" collapsed="false">
      <c r="A3275" s="62" t="n">
        <v>0</v>
      </c>
      <c r="B3275" s="62" t="s">
        <v>387</v>
      </c>
      <c r="C3275" s="62" t="s">
        <v>60</v>
      </c>
      <c r="D3275" s="62" t="s">
        <v>382</v>
      </c>
      <c r="E3275" s="62" t="s">
        <v>382</v>
      </c>
      <c r="F3275" s="63" t="s">
        <v>724</v>
      </c>
      <c r="G3275" s="64" t="n">
        <v>16167689.0648397</v>
      </c>
      <c r="H3275" s="62" t="s">
        <v>138</v>
      </c>
    </row>
    <row r="3276" customFormat="false" ht="15" hidden="false" customHeight="false" outlineLevel="0" collapsed="false">
      <c r="A3276" s="62" t="n">
        <v>0</v>
      </c>
      <c r="B3276" s="62" t="s">
        <v>388</v>
      </c>
      <c r="C3276" s="62" t="s">
        <v>60</v>
      </c>
      <c r="D3276" s="62" t="s">
        <v>382</v>
      </c>
      <c r="E3276" s="62" t="s">
        <v>382</v>
      </c>
      <c r="F3276" s="63" t="s">
        <v>724</v>
      </c>
      <c r="G3276" s="64" t="n">
        <v>16167689.0648397</v>
      </c>
      <c r="H3276" s="62" t="s">
        <v>138</v>
      </c>
    </row>
    <row r="3277" customFormat="false" ht="15" hidden="false" customHeight="false" outlineLevel="0" collapsed="false">
      <c r="A3277" s="62" t="n">
        <v>0</v>
      </c>
      <c r="B3277" s="62" t="s">
        <v>381</v>
      </c>
      <c r="C3277" s="62" t="s">
        <v>60</v>
      </c>
      <c r="D3277" s="62" t="s">
        <v>382</v>
      </c>
      <c r="E3277" s="62" t="s">
        <v>382</v>
      </c>
      <c r="F3277" s="63" t="s">
        <v>725</v>
      </c>
      <c r="G3277" s="64" t="n">
        <v>4046500</v>
      </c>
      <c r="H3277" s="62" t="s">
        <v>138</v>
      </c>
    </row>
    <row r="3278" customFormat="false" ht="15" hidden="false" customHeight="false" outlineLevel="0" collapsed="false">
      <c r="A3278" s="62" t="n">
        <v>0</v>
      </c>
      <c r="B3278" s="62" t="s">
        <v>383</v>
      </c>
      <c r="C3278" s="62" t="s">
        <v>60</v>
      </c>
      <c r="D3278" s="62" t="s">
        <v>382</v>
      </c>
      <c r="E3278" s="62" t="s">
        <v>382</v>
      </c>
      <c r="F3278" s="63" t="s">
        <v>725</v>
      </c>
      <c r="G3278" s="64" t="n">
        <v>4046500</v>
      </c>
      <c r="H3278" s="62" t="s">
        <v>138</v>
      </c>
    </row>
    <row r="3279" customFormat="false" ht="15" hidden="false" customHeight="false" outlineLevel="0" collapsed="false">
      <c r="A3279" s="62" t="n">
        <v>0</v>
      </c>
      <c r="B3279" s="62" t="s">
        <v>384</v>
      </c>
      <c r="C3279" s="62" t="s">
        <v>60</v>
      </c>
      <c r="D3279" s="62" t="s">
        <v>382</v>
      </c>
      <c r="E3279" s="62" t="s">
        <v>382</v>
      </c>
      <c r="F3279" s="63" t="s">
        <v>725</v>
      </c>
      <c r="G3279" s="64" t="n">
        <v>4046500</v>
      </c>
      <c r="H3279" s="62" t="s">
        <v>138</v>
      </c>
    </row>
    <row r="3280" customFormat="false" ht="15" hidden="false" customHeight="false" outlineLevel="0" collapsed="false">
      <c r="A3280" s="62" t="n">
        <v>0</v>
      </c>
      <c r="B3280" s="62" t="s">
        <v>385</v>
      </c>
      <c r="C3280" s="62" t="s">
        <v>60</v>
      </c>
      <c r="D3280" s="62" t="s">
        <v>382</v>
      </c>
      <c r="E3280" s="62" t="s">
        <v>382</v>
      </c>
      <c r="F3280" s="63" t="s">
        <v>725</v>
      </c>
      <c r="G3280" s="64" t="n">
        <v>4046500</v>
      </c>
      <c r="H3280" s="62" t="s">
        <v>138</v>
      </c>
    </row>
    <row r="3281" customFormat="false" ht="15" hidden="false" customHeight="false" outlineLevel="0" collapsed="false">
      <c r="A3281" s="62" t="n">
        <v>0</v>
      </c>
      <c r="B3281" s="62" t="s">
        <v>386</v>
      </c>
      <c r="C3281" s="62" t="s">
        <v>60</v>
      </c>
      <c r="D3281" s="62" t="s">
        <v>382</v>
      </c>
      <c r="E3281" s="62" t="s">
        <v>382</v>
      </c>
      <c r="F3281" s="63" t="s">
        <v>725</v>
      </c>
      <c r="G3281" s="64" t="n">
        <v>4046500</v>
      </c>
      <c r="H3281" s="62" t="s">
        <v>138</v>
      </c>
    </row>
    <row r="3282" customFormat="false" ht="15" hidden="false" customHeight="false" outlineLevel="0" collapsed="false">
      <c r="A3282" s="62" t="n">
        <v>0</v>
      </c>
      <c r="B3282" s="62" t="s">
        <v>387</v>
      </c>
      <c r="C3282" s="62" t="s">
        <v>60</v>
      </c>
      <c r="D3282" s="62" t="s">
        <v>382</v>
      </c>
      <c r="E3282" s="62" t="s">
        <v>382</v>
      </c>
      <c r="F3282" s="63" t="s">
        <v>725</v>
      </c>
      <c r="G3282" s="64" t="n">
        <v>4046500</v>
      </c>
      <c r="H3282" s="62" t="s">
        <v>138</v>
      </c>
    </row>
    <row r="3283" customFormat="false" ht="15" hidden="false" customHeight="false" outlineLevel="0" collapsed="false">
      <c r="A3283" s="62" t="n">
        <v>0</v>
      </c>
      <c r="B3283" s="62" t="s">
        <v>388</v>
      </c>
      <c r="C3283" s="62" t="s">
        <v>60</v>
      </c>
      <c r="D3283" s="62" t="s">
        <v>382</v>
      </c>
      <c r="E3283" s="62" t="s">
        <v>382</v>
      </c>
      <c r="F3283" s="63" t="s">
        <v>725</v>
      </c>
      <c r="G3283" s="64" t="n">
        <v>4046500</v>
      </c>
      <c r="H3283" s="62" t="s">
        <v>138</v>
      </c>
    </row>
    <row r="3284" customFormat="false" ht="15" hidden="false" customHeight="false" outlineLevel="0" collapsed="false">
      <c r="A3284" s="62" t="n">
        <v>0</v>
      </c>
      <c r="B3284" s="62" t="s">
        <v>381</v>
      </c>
      <c r="C3284" s="62" t="s">
        <v>60</v>
      </c>
      <c r="D3284" s="62" t="s">
        <v>382</v>
      </c>
      <c r="E3284" s="62" t="s">
        <v>382</v>
      </c>
      <c r="F3284" s="63" t="s">
        <v>726</v>
      </c>
      <c r="G3284" s="64" t="n">
        <v>6962198.71604938</v>
      </c>
      <c r="H3284" s="62" t="s">
        <v>138</v>
      </c>
    </row>
    <row r="3285" customFormat="false" ht="15" hidden="false" customHeight="false" outlineLevel="0" collapsed="false">
      <c r="A3285" s="62" t="n">
        <v>0</v>
      </c>
      <c r="B3285" s="62" t="s">
        <v>383</v>
      </c>
      <c r="C3285" s="62" t="s">
        <v>60</v>
      </c>
      <c r="D3285" s="62" t="s">
        <v>382</v>
      </c>
      <c r="E3285" s="62" t="s">
        <v>382</v>
      </c>
      <c r="F3285" s="63" t="s">
        <v>726</v>
      </c>
      <c r="G3285" s="64" t="n">
        <v>6962198.71604938</v>
      </c>
      <c r="H3285" s="62" t="s">
        <v>138</v>
      </c>
    </row>
    <row r="3286" customFormat="false" ht="15" hidden="false" customHeight="false" outlineLevel="0" collapsed="false">
      <c r="A3286" s="62" t="n">
        <v>0</v>
      </c>
      <c r="B3286" s="62" t="s">
        <v>384</v>
      </c>
      <c r="C3286" s="62" t="s">
        <v>60</v>
      </c>
      <c r="D3286" s="62" t="s">
        <v>382</v>
      </c>
      <c r="E3286" s="62" t="s">
        <v>382</v>
      </c>
      <c r="F3286" s="63" t="s">
        <v>726</v>
      </c>
      <c r="G3286" s="64" t="n">
        <v>6962198.71604938</v>
      </c>
      <c r="H3286" s="62" t="s">
        <v>138</v>
      </c>
    </row>
    <row r="3287" customFormat="false" ht="15" hidden="false" customHeight="false" outlineLevel="0" collapsed="false">
      <c r="A3287" s="62" t="n">
        <v>0</v>
      </c>
      <c r="B3287" s="62" t="s">
        <v>385</v>
      </c>
      <c r="C3287" s="62" t="s">
        <v>60</v>
      </c>
      <c r="D3287" s="62" t="s">
        <v>382</v>
      </c>
      <c r="E3287" s="62" t="s">
        <v>382</v>
      </c>
      <c r="F3287" s="63" t="s">
        <v>726</v>
      </c>
      <c r="G3287" s="64" t="n">
        <v>6962198.71604938</v>
      </c>
      <c r="H3287" s="62" t="s">
        <v>138</v>
      </c>
    </row>
    <row r="3288" customFormat="false" ht="15" hidden="false" customHeight="false" outlineLevel="0" collapsed="false">
      <c r="A3288" s="62" t="n">
        <v>0</v>
      </c>
      <c r="B3288" s="62" t="s">
        <v>386</v>
      </c>
      <c r="C3288" s="62" t="s">
        <v>60</v>
      </c>
      <c r="D3288" s="62" t="s">
        <v>382</v>
      </c>
      <c r="E3288" s="62" t="s">
        <v>382</v>
      </c>
      <c r="F3288" s="63" t="s">
        <v>726</v>
      </c>
      <c r="G3288" s="64" t="n">
        <v>6962198.71604938</v>
      </c>
      <c r="H3288" s="62" t="s">
        <v>138</v>
      </c>
    </row>
    <row r="3289" customFormat="false" ht="15" hidden="false" customHeight="false" outlineLevel="0" collapsed="false">
      <c r="A3289" s="62" t="n">
        <v>0</v>
      </c>
      <c r="B3289" s="62" t="s">
        <v>387</v>
      </c>
      <c r="C3289" s="62" t="s">
        <v>60</v>
      </c>
      <c r="D3289" s="62" t="s">
        <v>382</v>
      </c>
      <c r="E3289" s="62" t="s">
        <v>382</v>
      </c>
      <c r="F3289" s="63" t="s">
        <v>726</v>
      </c>
      <c r="G3289" s="64" t="n">
        <v>6962198.71604938</v>
      </c>
      <c r="H3289" s="62" t="s">
        <v>138</v>
      </c>
    </row>
    <row r="3290" customFormat="false" ht="15" hidden="false" customHeight="false" outlineLevel="0" collapsed="false">
      <c r="A3290" s="62" t="n">
        <v>0</v>
      </c>
      <c r="B3290" s="62" t="s">
        <v>388</v>
      </c>
      <c r="C3290" s="62" t="s">
        <v>60</v>
      </c>
      <c r="D3290" s="62" t="s">
        <v>382</v>
      </c>
      <c r="E3290" s="62" t="s">
        <v>382</v>
      </c>
      <c r="F3290" s="63" t="s">
        <v>726</v>
      </c>
      <c r="G3290" s="64" t="n">
        <v>6962198.71604938</v>
      </c>
      <c r="H3290" s="62" t="s">
        <v>138</v>
      </c>
    </row>
    <row r="3291" customFormat="false" ht="15" hidden="false" customHeight="false" outlineLevel="0" collapsed="false">
      <c r="A3291" s="62" t="n">
        <v>0</v>
      </c>
      <c r="B3291" s="62" t="s">
        <v>381</v>
      </c>
      <c r="C3291" s="62" t="s">
        <v>60</v>
      </c>
      <c r="D3291" s="62" t="s">
        <v>382</v>
      </c>
      <c r="E3291" s="62" t="s">
        <v>382</v>
      </c>
      <c r="F3291" s="63" t="s">
        <v>727</v>
      </c>
      <c r="G3291" s="64" t="n">
        <v>0</v>
      </c>
      <c r="H3291" s="62" t="s">
        <v>138</v>
      </c>
    </row>
    <row r="3292" customFormat="false" ht="15" hidden="false" customHeight="false" outlineLevel="0" collapsed="false">
      <c r="A3292" s="62" t="n">
        <v>0</v>
      </c>
      <c r="B3292" s="62" t="s">
        <v>383</v>
      </c>
      <c r="C3292" s="62" t="s">
        <v>60</v>
      </c>
      <c r="D3292" s="62" t="s">
        <v>382</v>
      </c>
      <c r="E3292" s="62" t="s">
        <v>382</v>
      </c>
      <c r="F3292" s="63" t="s">
        <v>727</v>
      </c>
      <c r="G3292" s="64" t="n">
        <v>0</v>
      </c>
      <c r="H3292" s="62" t="s">
        <v>138</v>
      </c>
    </row>
    <row r="3293" customFormat="false" ht="15" hidden="false" customHeight="false" outlineLevel="0" collapsed="false">
      <c r="A3293" s="62" t="n">
        <v>0</v>
      </c>
      <c r="B3293" s="62" t="s">
        <v>384</v>
      </c>
      <c r="C3293" s="62" t="s">
        <v>60</v>
      </c>
      <c r="D3293" s="62" t="s">
        <v>382</v>
      </c>
      <c r="E3293" s="62" t="s">
        <v>382</v>
      </c>
      <c r="F3293" s="63" t="s">
        <v>727</v>
      </c>
      <c r="G3293" s="64" t="n">
        <v>0</v>
      </c>
      <c r="H3293" s="62" t="s">
        <v>138</v>
      </c>
    </row>
    <row r="3294" customFormat="false" ht="15" hidden="false" customHeight="false" outlineLevel="0" collapsed="false">
      <c r="A3294" s="62" t="n">
        <v>0</v>
      </c>
      <c r="B3294" s="62" t="s">
        <v>385</v>
      </c>
      <c r="C3294" s="62" t="s">
        <v>60</v>
      </c>
      <c r="D3294" s="62" t="s">
        <v>382</v>
      </c>
      <c r="E3294" s="62" t="s">
        <v>382</v>
      </c>
      <c r="F3294" s="63" t="s">
        <v>727</v>
      </c>
      <c r="G3294" s="64" t="n">
        <v>0</v>
      </c>
      <c r="H3294" s="62" t="s">
        <v>138</v>
      </c>
    </row>
    <row r="3295" customFormat="false" ht="15" hidden="false" customHeight="false" outlineLevel="0" collapsed="false">
      <c r="A3295" s="62" t="n">
        <v>0</v>
      </c>
      <c r="B3295" s="62" t="s">
        <v>386</v>
      </c>
      <c r="C3295" s="62" t="s">
        <v>60</v>
      </c>
      <c r="D3295" s="62" t="s">
        <v>382</v>
      </c>
      <c r="E3295" s="62" t="s">
        <v>382</v>
      </c>
      <c r="F3295" s="63" t="s">
        <v>727</v>
      </c>
      <c r="G3295" s="64" t="n">
        <v>0</v>
      </c>
      <c r="H3295" s="62" t="s">
        <v>138</v>
      </c>
    </row>
    <row r="3296" customFormat="false" ht="15" hidden="false" customHeight="false" outlineLevel="0" collapsed="false">
      <c r="A3296" s="62" t="n">
        <v>0</v>
      </c>
      <c r="B3296" s="62" t="s">
        <v>387</v>
      </c>
      <c r="C3296" s="62" t="s">
        <v>60</v>
      </c>
      <c r="D3296" s="62" t="s">
        <v>382</v>
      </c>
      <c r="E3296" s="62" t="s">
        <v>382</v>
      </c>
      <c r="F3296" s="63" t="s">
        <v>727</v>
      </c>
      <c r="G3296" s="64" t="n">
        <v>0</v>
      </c>
      <c r="H3296" s="62" t="s">
        <v>138</v>
      </c>
    </row>
    <row r="3297" customFormat="false" ht="15" hidden="false" customHeight="false" outlineLevel="0" collapsed="false">
      <c r="A3297" s="62" t="n">
        <v>0</v>
      </c>
      <c r="B3297" s="62" t="s">
        <v>388</v>
      </c>
      <c r="C3297" s="62" t="s">
        <v>60</v>
      </c>
      <c r="D3297" s="62" t="s">
        <v>382</v>
      </c>
      <c r="E3297" s="62" t="s">
        <v>382</v>
      </c>
      <c r="F3297" s="63" t="s">
        <v>727</v>
      </c>
      <c r="G3297" s="64" t="n">
        <v>0</v>
      </c>
      <c r="H3297" s="62" t="s">
        <v>138</v>
      </c>
    </row>
    <row r="3298" customFormat="false" ht="15" hidden="false" customHeight="false" outlineLevel="0" collapsed="false">
      <c r="A3298" s="62" t="n">
        <v>0</v>
      </c>
      <c r="B3298" s="62" t="s">
        <v>381</v>
      </c>
      <c r="C3298" s="62" t="s">
        <v>60</v>
      </c>
      <c r="D3298" s="62" t="s">
        <v>382</v>
      </c>
      <c r="E3298" s="62" t="s">
        <v>382</v>
      </c>
      <c r="F3298" s="63" t="s">
        <v>728</v>
      </c>
      <c r="G3298" s="64" t="n">
        <v>27176387.7808891</v>
      </c>
      <c r="H3298" s="62" t="s">
        <v>138</v>
      </c>
    </row>
    <row r="3299" customFormat="false" ht="15" hidden="false" customHeight="false" outlineLevel="0" collapsed="false">
      <c r="A3299" s="62" t="n">
        <v>0</v>
      </c>
      <c r="B3299" s="62" t="s">
        <v>383</v>
      </c>
      <c r="C3299" s="62" t="s">
        <v>60</v>
      </c>
      <c r="D3299" s="62" t="s">
        <v>382</v>
      </c>
      <c r="E3299" s="62" t="s">
        <v>382</v>
      </c>
      <c r="F3299" s="63" t="s">
        <v>728</v>
      </c>
      <c r="G3299" s="64" t="n">
        <v>27176387.7808891</v>
      </c>
      <c r="H3299" s="62" t="s">
        <v>138</v>
      </c>
    </row>
    <row r="3300" customFormat="false" ht="15" hidden="false" customHeight="false" outlineLevel="0" collapsed="false">
      <c r="A3300" s="62" t="n">
        <v>0</v>
      </c>
      <c r="B3300" s="62" t="s">
        <v>384</v>
      </c>
      <c r="C3300" s="62" t="s">
        <v>60</v>
      </c>
      <c r="D3300" s="62" t="s">
        <v>382</v>
      </c>
      <c r="E3300" s="62" t="s">
        <v>382</v>
      </c>
      <c r="F3300" s="63" t="s">
        <v>728</v>
      </c>
      <c r="G3300" s="64" t="n">
        <v>27176387.7808891</v>
      </c>
      <c r="H3300" s="62" t="s">
        <v>138</v>
      </c>
    </row>
    <row r="3301" customFormat="false" ht="15" hidden="false" customHeight="false" outlineLevel="0" collapsed="false">
      <c r="A3301" s="62" t="n">
        <v>0</v>
      </c>
      <c r="B3301" s="62" t="s">
        <v>385</v>
      </c>
      <c r="C3301" s="62" t="s">
        <v>60</v>
      </c>
      <c r="D3301" s="62" t="s">
        <v>382</v>
      </c>
      <c r="E3301" s="62" t="s">
        <v>382</v>
      </c>
      <c r="F3301" s="63" t="s">
        <v>728</v>
      </c>
      <c r="G3301" s="64" t="n">
        <v>27176387.7808891</v>
      </c>
      <c r="H3301" s="62" t="s">
        <v>138</v>
      </c>
    </row>
    <row r="3302" customFormat="false" ht="15" hidden="false" customHeight="false" outlineLevel="0" collapsed="false">
      <c r="A3302" s="62" t="n">
        <v>0</v>
      </c>
      <c r="B3302" s="62" t="s">
        <v>386</v>
      </c>
      <c r="C3302" s="62" t="s">
        <v>60</v>
      </c>
      <c r="D3302" s="62" t="s">
        <v>382</v>
      </c>
      <c r="E3302" s="62" t="s">
        <v>382</v>
      </c>
      <c r="F3302" s="63" t="s">
        <v>728</v>
      </c>
      <c r="G3302" s="64" t="n">
        <v>27176387.7808891</v>
      </c>
      <c r="H3302" s="62" t="s">
        <v>138</v>
      </c>
    </row>
    <row r="3303" customFormat="false" ht="15" hidden="false" customHeight="false" outlineLevel="0" collapsed="false">
      <c r="A3303" s="62" t="n">
        <v>0</v>
      </c>
      <c r="B3303" s="62" t="s">
        <v>387</v>
      </c>
      <c r="C3303" s="62" t="s">
        <v>60</v>
      </c>
      <c r="D3303" s="62" t="s">
        <v>382</v>
      </c>
      <c r="E3303" s="62" t="s">
        <v>382</v>
      </c>
      <c r="F3303" s="63" t="s">
        <v>728</v>
      </c>
      <c r="G3303" s="64" t="n">
        <v>27176387.7808891</v>
      </c>
      <c r="H3303" s="62" t="s">
        <v>138</v>
      </c>
    </row>
    <row r="3304" customFormat="false" ht="15" hidden="false" customHeight="false" outlineLevel="0" collapsed="false">
      <c r="A3304" s="62" t="n">
        <v>0</v>
      </c>
      <c r="B3304" s="62" t="s">
        <v>388</v>
      </c>
      <c r="C3304" s="62" t="s">
        <v>60</v>
      </c>
      <c r="D3304" s="62" t="s">
        <v>382</v>
      </c>
      <c r="E3304" s="62" t="s">
        <v>382</v>
      </c>
      <c r="F3304" s="63" t="s">
        <v>728</v>
      </c>
      <c r="G3304" s="64" t="n">
        <v>27176387.7808891</v>
      </c>
      <c r="H3304" s="62" t="s">
        <v>138</v>
      </c>
    </row>
    <row r="3305" customFormat="false" ht="15" hidden="false" customHeight="false" outlineLevel="0" collapsed="false">
      <c r="A3305" s="62" t="n">
        <v>0</v>
      </c>
      <c r="B3305" s="62" t="s">
        <v>381</v>
      </c>
      <c r="C3305" s="62" t="s">
        <v>60</v>
      </c>
      <c r="D3305" s="62" t="s">
        <v>382</v>
      </c>
      <c r="E3305" s="62" t="s">
        <v>382</v>
      </c>
      <c r="F3305" s="63" t="s">
        <v>729</v>
      </c>
      <c r="G3305" s="64" t="n">
        <v>34937146.4581193</v>
      </c>
      <c r="H3305" s="62" t="s">
        <v>138</v>
      </c>
    </row>
    <row r="3306" customFormat="false" ht="15" hidden="false" customHeight="false" outlineLevel="0" collapsed="false">
      <c r="A3306" s="62" t="n">
        <v>0</v>
      </c>
      <c r="B3306" s="62" t="s">
        <v>383</v>
      </c>
      <c r="C3306" s="62" t="s">
        <v>60</v>
      </c>
      <c r="D3306" s="62" t="s">
        <v>382</v>
      </c>
      <c r="E3306" s="62" t="s">
        <v>382</v>
      </c>
      <c r="F3306" s="63" t="s">
        <v>729</v>
      </c>
      <c r="G3306" s="64" t="n">
        <v>34937146.4581193</v>
      </c>
      <c r="H3306" s="62" t="s">
        <v>138</v>
      </c>
    </row>
    <row r="3307" customFormat="false" ht="15" hidden="false" customHeight="false" outlineLevel="0" collapsed="false">
      <c r="A3307" s="62" t="n">
        <v>0</v>
      </c>
      <c r="B3307" s="62" t="s">
        <v>384</v>
      </c>
      <c r="C3307" s="62" t="s">
        <v>60</v>
      </c>
      <c r="D3307" s="62" t="s">
        <v>382</v>
      </c>
      <c r="E3307" s="62" t="s">
        <v>382</v>
      </c>
      <c r="F3307" s="63" t="s">
        <v>729</v>
      </c>
      <c r="G3307" s="64" t="n">
        <v>34937146.4581193</v>
      </c>
      <c r="H3307" s="62" t="s">
        <v>138</v>
      </c>
    </row>
    <row r="3308" customFormat="false" ht="15" hidden="false" customHeight="false" outlineLevel="0" collapsed="false">
      <c r="A3308" s="62" t="n">
        <v>0</v>
      </c>
      <c r="B3308" s="62" t="s">
        <v>385</v>
      </c>
      <c r="C3308" s="62" t="s">
        <v>60</v>
      </c>
      <c r="D3308" s="62" t="s">
        <v>382</v>
      </c>
      <c r="E3308" s="62" t="s">
        <v>382</v>
      </c>
      <c r="F3308" s="63" t="s">
        <v>729</v>
      </c>
      <c r="G3308" s="64" t="n">
        <v>34937146.4581193</v>
      </c>
      <c r="H3308" s="62" t="s">
        <v>138</v>
      </c>
    </row>
    <row r="3309" customFormat="false" ht="15" hidden="false" customHeight="false" outlineLevel="0" collapsed="false">
      <c r="A3309" s="62" t="n">
        <v>0</v>
      </c>
      <c r="B3309" s="62" t="s">
        <v>386</v>
      </c>
      <c r="C3309" s="62" t="s">
        <v>60</v>
      </c>
      <c r="D3309" s="62" t="s">
        <v>382</v>
      </c>
      <c r="E3309" s="62" t="s">
        <v>382</v>
      </c>
      <c r="F3309" s="63" t="s">
        <v>729</v>
      </c>
      <c r="G3309" s="64" t="n">
        <v>34937146.4581193</v>
      </c>
      <c r="H3309" s="62" t="s">
        <v>138</v>
      </c>
    </row>
    <row r="3310" customFormat="false" ht="15" hidden="false" customHeight="false" outlineLevel="0" collapsed="false">
      <c r="A3310" s="62" t="n">
        <v>0</v>
      </c>
      <c r="B3310" s="62" t="s">
        <v>387</v>
      </c>
      <c r="C3310" s="62" t="s">
        <v>60</v>
      </c>
      <c r="D3310" s="62" t="s">
        <v>382</v>
      </c>
      <c r="E3310" s="62" t="s">
        <v>382</v>
      </c>
      <c r="F3310" s="63" t="s">
        <v>729</v>
      </c>
      <c r="G3310" s="64" t="n">
        <v>34937146.4581193</v>
      </c>
      <c r="H3310" s="62" t="s">
        <v>138</v>
      </c>
    </row>
    <row r="3311" customFormat="false" ht="15" hidden="false" customHeight="false" outlineLevel="0" collapsed="false">
      <c r="A3311" s="62" t="n">
        <v>0</v>
      </c>
      <c r="B3311" s="62" t="s">
        <v>388</v>
      </c>
      <c r="C3311" s="62" t="s">
        <v>60</v>
      </c>
      <c r="D3311" s="62" t="s">
        <v>382</v>
      </c>
      <c r="E3311" s="62" t="s">
        <v>382</v>
      </c>
      <c r="F3311" s="63" t="s">
        <v>729</v>
      </c>
      <c r="G3311" s="64" t="n">
        <v>34937146.4581193</v>
      </c>
      <c r="H3311" s="62" t="s">
        <v>138</v>
      </c>
    </row>
    <row r="3312" customFormat="false" ht="15" hidden="false" customHeight="false" outlineLevel="0" collapsed="false">
      <c r="A3312" s="62" t="n">
        <v>0</v>
      </c>
      <c r="B3312" s="62" t="s">
        <v>381</v>
      </c>
      <c r="C3312" s="62" t="s">
        <v>60</v>
      </c>
      <c r="D3312" s="62" t="s">
        <v>382</v>
      </c>
      <c r="E3312" s="62" t="s">
        <v>382</v>
      </c>
      <c r="F3312" s="63" t="s">
        <v>730</v>
      </c>
      <c r="G3312" s="64" t="n">
        <v>0</v>
      </c>
      <c r="H3312" s="62" t="s">
        <v>138</v>
      </c>
    </row>
    <row r="3313" customFormat="false" ht="15" hidden="false" customHeight="false" outlineLevel="0" collapsed="false">
      <c r="A3313" s="62" t="n">
        <v>0</v>
      </c>
      <c r="B3313" s="62" t="s">
        <v>383</v>
      </c>
      <c r="C3313" s="62" t="s">
        <v>60</v>
      </c>
      <c r="D3313" s="62" t="s">
        <v>382</v>
      </c>
      <c r="E3313" s="62" t="s">
        <v>382</v>
      </c>
      <c r="F3313" s="63" t="s">
        <v>730</v>
      </c>
      <c r="G3313" s="64" t="n">
        <v>0</v>
      </c>
      <c r="H3313" s="62" t="s">
        <v>138</v>
      </c>
    </row>
    <row r="3314" customFormat="false" ht="15" hidden="false" customHeight="false" outlineLevel="0" collapsed="false">
      <c r="A3314" s="62" t="n">
        <v>0</v>
      </c>
      <c r="B3314" s="62" t="s">
        <v>384</v>
      </c>
      <c r="C3314" s="62" t="s">
        <v>60</v>
      </c>
      <c r="D3314" s="62" t="s">
        <v>382</v>
      </c>
      <c r="E3314" s="62" t="s">
        <v>382</v>
      </c>
      <c r="F3314" s="63" t="s">
        <v>730</v>
      </c>
      <c r="G3314" s="64" t="n">
        <v>0</v>
      </c>
      <c r="H3314" s="62" t="s">
        <v>138</v>
      </c>
    </row>
    <row r="3315" customFormat="false" ht="15" hidden="false" customHeight="false" outlineLevel="0" collapsed="false">
      <c r="A3315" s="62" t="n">
        <v>0</v>
      </c>
      <c r="B3315" s="62" t="s">
        <v>385</v>
      </c>
      <c r="C3315" s="62" t="s">
        <v>60</v>
      </c>
      <c r="D3315" s="62" t="s">
        <v>382</v>
      </c>
      <c r="E3315" s="62" t="s">
        <v>382</v>
      </c>
      <c r="F3315" s="63" t="s">
        <v>730</v>
      </c>
      <c r="G3315" s="64" t="n">
        <v>0</v>
      </c>
      <c r="H3315" s="62" t="s">
        <v>138</v>
      </c>
    </row>
    <row r="3316" customFormat="false" ht="15" hidden="false" customHeight="false" outlineLevel="0" collapsed="false">
      <c r="A3316" s="62" t="n">
        <v>0</v>
      </c>
      <c r="B3316" s="62" t="s">
        <v>386</v>
      </c>
      <c r="C3316" s="62" t="s">
        <v>60</v>
      </c>
      <c r="D3316" s="62" t="s">
        <v>382</v>
      </c>
      <c r="E3316" s="62" t="s">
        <v>382</v>
      </c>
      <c r="F3316" s="63" t="s">
        <v>730</v>
      </c>
      <c r="G3316" s="64" t="n">
        <v>0</v>
      </c>
      <c r="H3316" s="62" t="s">
        <v>138</v>
      </c>
    </row>
    <row r="3317" customFormat="false" ht="15" hidden="false" customHeight="false" outlineLevel="0" collapsed="false">
      <c r="A3317" s="62" t="n">
        <v>0</v>
      </c>
      <c r="B3317" s="62" t="s">
        <v>387</v>
      </c>
      <c r="C3317" s="62" t="s">
        <v>60</v>
      </c>
      <c r="D3317" s="62" t="s">
        <v>382</v>
      </c>
      <c r="E3317" s="62" t="s">
        <v>382</v>
      </c>
      <c r="F3317" s="63" t="s">
        <v>730</v>
      </c>
      <c r="G3317" s="64" t="n">
        <v>0</v>
      </c>
      <c r="H3317" s="62" t="s">
        <v>138</v>
      </c>
    </row>
    <row r="3318" customFormat="false" ht="15" hidden="false" customHeight="false" outlineLevel="0" collapsed="false">
      <c r="A3318" s="62" t="n">
        <v>0</v>
      </c>
      <c r="B3318" s="62" t="s">
        <v>388</v>
      </c>
      <c r="C3318" s="62" t="s">
        <v>60</v>
      </c>
      <c r="D3318" s="62" t="s">
        <v>382</v>
      </c>
      <c r="E3318" s="62" t="s">
        <v>382</v>
      </c>
      <c r="F3318" s="63" t="s">
        <v>730</v>
      </c>
      <c r="G3318" s="64" t="n">
        <v>0</v>
      </c>
      <c r="H3318" s="62" t="s">
        <v>138</v>
      </c>
    </row>
    <row r="3319" customFormat="false" ht="15" hidden="false" customHeight="false" outlineLevel="0" collapsed="false">
      <c r="A3319" s="62" t="n">
        <v>0</v>
      </c>
      <c r="B3319" s="62" t="s">
        <v>381</v>
      </c>
      <c r="C3319" s="62" t="s">
        <v>60</v>
      </c>
      <c r="D3319" s="62" t="s">
        <v>382</v>
      </c>
      <c r="E3319" s="62" t="s">
        <v>382</v>
      </c>
      <c r="F3319" s="63" t="s">
        <v>731</v>
      </c>
      <c r="G3319" s="64" t="n">
        <v>0</v>
      </c>
      <c r="H3319" s="62" t="s">
        <v>138</v>
      </c>
    </row>
    <row r="3320" customFormat="false" ht="15" hidden="false" customHeight="false" outlineLevel="0" collapsed="false">
      <c r="A3320" s="62" t="n">
        <v>0</v>
      </c>
      <c r="B3320" s="62" t="s">
        <v>383</v>
      </c>
      <c r="C3320" s="62" t="s">
        <v>60</v>
      </c>
      <c r="D3320" s="62" t="s">
        <v>382</v>
      </c>
      <c r="E3320" s="62" t="s">
        <v>382</v>
      </c>
      <c r="F3320" s="63" t="s">
        <v>731</v>
      </c>
      <c r="G3320" s="64" t="n">
        <v>0</v>
      </c>
      <c r="H3320" s="62" t="s">
        <v>138</v>
      </c>
    </row>
    <row r="3321" customFormat="false" ht="15" hidden="false" customHeight="false" outlineLevel="0" collapsed="false">
      <c r="A3321" s="62" t="n">
        <v>0</v>
      </c>
      <c r="B3321" s="62" t="s">
        <v>384</v>
      </c>
      <c r="C3321" s="62" t="s">
        <v>60</v>
      </c>
      <c r="D3321" s="62" t="s">
        <v>382</v>
      </c>
      <c r="E3321" s="62" t="s">
        <v>382</v>
      </c>
      <c r="F3321" s="63" t="s">
        <v>731</v>
      </c>
      <c r="G3321" s="64" t="n">
        <v>0</v>
      </c>
      <c r="H3321" s="62" t="s">
        <v>138</v>
      </c>
    </row>
    <row r="3322" customFormat="false" ht="15" hidden="false" customHeight="false" outlineLevel="0" collapsed="false">
      <c r="A3322" s="62" t="n">
        <v>0</v>
      </c>
      <c r="B3322" s="62" t="s">
        <v>385</v>
      </c>
      <c r="C3322" s="62" t="s">
        <v>60</v>
      </c>
      <c r="D3322" s="62" t="s">
        <v>382</v>
      </c>
      <c r="E3322" s="62" t="s">
        <v>382</v>
      </c>
      <c r="F3322" s="63" t="s">
        <v>731</v>
      </c>
      <c r="G3322" s="64" t="n">
        <v>0</v>
      </c>
      <c r="H3322" s="62" t="s">
        <v>138</v>
      </c>
    </row>
    <row r="3323" customFormat="false" ht="15" hidden="false" customHeight="false" outlineLevel="0" collapsed="false">
      <c r="A3323" s="62" t="n">
        <v>0</v>
      </c>
      <c r="B3323" s="62" t="s">
        <v>386</v>
      </c>
      <c r="C3323" s="62" t="s">
        <v>60</v>
      </c>
      <c r="D3323" s="62" t="s">
        <v>382</v>
      </c>
      <c r="E3323" s="62" t="s">
        <v>382</v>
      </c>
      <c r="F3323" s="63" t="s">
        <v>731</v>
      </c>
      <c r="G3323" s="64" t="n">
        <v>0</v>
      </c>
      <c r="H3323" s="62" t="s">
        <v>138</v>
      </c>
    </row>
    <row r="3324" customFormat="false" ht="15" hidden="false" customHeight="false" outlineLevel="0" collapsed="false">
      <c r="A3324" s="62" t="n">
        <v>0</v>
      </c>
      <c r="B3324" s="62" t="s">
        <v>387</v>
      </c>
      <c r="C3324" s="62" t="s">
        <v>60</v>
      </c>
      <c r="D3324" s="62" t="s">
        <v>382</v>
      </c>
      <c r="E3324" s="62" t="s">
        <v>382</v>
      </c>
      <c r="F3324" s="63" t="s">
        <v>731</v>
      </c>
      <c r="G3324" s="64" t="n">
        <v>0</v>
      </c>
      <c r="H3324" s="62" t="s">
        <v>138</v>
      </c>
    </row>
    <row r="3325" customFormat="false" ht="15" hidden="false" customHeight="false" outlineLevel="0" collapsed="false">
      <c r="A3325" s="62" t="n">
        <v>0</v>
      </c>
      <c r="B3325" s="62" t="s">
        <v>388</v>
      </c>
      <c r="C3325" s="62" t="s">
        <v>60</v>
      </c>
      <c r="D3325" s="62" t="s">
        <v>382</v>
      </c>
      <c r="E3325" s="62" t="s">
        <v>382</v>
      </c>
      <c r="F3325" s="63" t="s">
        <v>731</v>
      </c>
      <c r="G3325" s="64" t="n">
        <v>0</v>
      </c>
      <c r="H3325" s="62" t="s">
        <v>138</v>
      </c>
    </row>
    <row r="3326" customFormat="false" ht="15" hidden="false" customHeight="false" outlineLevel="0" collapsed="false">
      <c r="A3326" s="62" t="n">
        <v>0</v>
      </c>
      <c r="B3326" s="62" t="s">
        <v>381</v>
      </c>
      <c r="C3326" s="62" t="s">
        <v>60</v>
      </c>
      <c r="D3326" s="62" t="s">
        <v>382</v>
      </c>
      <c r="E3326" s="62" t="s">
        <v>382</v>
      </c>
      <c r="F3326" s="63" t="s">
        <v>732</v>
      </c>
      <c r="G3326" s="64" t="n">
        <v>0</v>
      </c>
      <c r="H3326" s="62" t="s">
        <v>138</v>
      </c>
    </row>
    <row r="3327" customFormat="false" ht="15" hidden="false" customHeight="false" outlineLevel="0" collapsed="false">
      <c r="A3327" s="62" t="n">
        <v>0</v>
      </c>
      <c r="B3327" s="62" t="s">
        <v>383</v>
      </c>
      <c r="C3327" s="62" t="s">
        <v>60</v>
      </c>
      <c r="D3327" s="62" t="s">
        <v>382</v>
      </c>
      <c r="E3327" s="62" t="s">
        <v>382</v>
      </c>
      <c r="F3327" s="63" t="s">
        <v>732</v>
      </c>
      <c r="G3327" s="64" t="n">
        <v>0</v>
      </c>
      <c r="H3327" s="62" t="s">
        <v>138</v>
      </c>
    </row>
    <row r="3328" customFormat="false" ht="15" hidden="false" customHeight="false" outlineLevel="0" collapsed="false">
      <c r="A3328" s="62" t="n">
        <v>0</v>
      </c>
      <c r="B3328" s="62" t="s">
        <v>384</v>
      </c>
      <c r="C3328" s="62" t="s">
        <v>60</v>
      </c>
      <c r="D3328" s="62" t="s">
        <v>382</v>
      </c>
      <c r="E3328" s="62" t="s">
        <v>382</v>
      </c>
      <c r="F3328" s="63" t="s">
        <v>732</v>
      </c>
      <c r="G3328" s="64" t="n">
        <v>0</v>
      </c>
      <c r="H3328" s="62" t="s">
        <v>138</v>
      </c>
    </row>
    <row r="3329" customFormat="false" ht="15" hidden="false" customHeight="false" outlineLevel="0" collapsed="false">
      <c r="A3329" s="62" t="n">
        <v>0</v>
      </c>
      <c r="B3329" s="62" t="s">
        <v>385</v>
      </c>
      <c r="C3329" s="62" t="s">
        <v>60</v>
      </c>
      <c r="D3329" s="62" t="s">
        <v>382</v>
      </c>
      <c r="E3329" s="62" t="s">
        <v>382</v>
      </c>
      <c r="F3329" s="63" t="s">
        <v>732</v>
      </c>
      <c r="G3329" s="64" t="n">
        <v>0</v>
      </c>
      <c r="H3329" s="62" t="s">
        <v>138</v>
      </c>
    </row>
    <row r="3330" customFormat="false" ht="15" hidden="false" customHeight="false" outlineLevel="0" collapsed="false">
      <c r="A3330" s="62" t="n">
        <v>0</v>
      </c>
      <c r="B3330" s="62" t="s">
        <v>386</v>
      </c>
      <c r="C3330" s="62" t="s">
        <v>60</v>
      </c>
      <c r="D3330" s="62" t="s">
        <v>382</v>
      </c>
      <c r="E3330" s="62" t="s">
        <v>382</v>
      </c>
      <c r="F3330" s="63" t="s">
        <v>732</v>
      </c>
      <c r="G3330" s="64" t="n">
        <v>0</v>
      </c>
      <c r="H3330" s="62" t="s">
        <v>138</v>
      </c>
    </row>
    <row r="3331" customFormat="false" ht="15" hidden="false" customHeight="false" outlineLevel="0" collapsed="false">
      <c r="A3331" s="62" t="n">
        <v>0</v>
      </c>
      <c r="B3331" s="62" t="s">
        <v>387</v>
      </c>
      <c r="C3331" s="62" t="s">
        <v>60</v>
      </c>
      <c r="D3331" s="62" t="s">
        <v>382</v>
      </c>
      <c r="E3331" s="62" t="s">
        <v>382</v>
      </c>
      <c r="F3331" s="63" t="s">
        <v>732</v>
      </c>
      <c r="G3331" s="64" t="n">
        <v>0</v>
      </c>
      <c r="H3331" s="62" t="s">
        <v>138</v>
      </c>
    </row>
    <row r="3332" customFormat="false" ht="15" hidden="false" customHeight="false" outlineLevel="0" collapsed="false">
      <c r="A3332" s="62" t="n">
        <v>0</v>
      </c>
      <c r="B3332" s="62" t="s">
        <v>388</v>
      </c>
      <c r="C3332" s="62" t="s">
        <v>60</v>
      </c>
      <c r="D3332" s="62" t="s">
        <v>382</v>
      </c>
      <c r="E3332" s="62" t="s">
        <v>382</v>
      </c>
      <c r="F3332" s="63" t="s">
        <v>732</v>
      </c>
      <c r="G3332" s="64" t="n">
        <v>0</v>
      </c>
      <c r="H3332" s="62" t="s">
        <v>138</v>
      </c>
    </row>
    <row r="3333" customFormat="false" ht="15" hidden="false" customHeight="false" outlineLevel="0" collapsed="false">
      <c r="A3333" s="62" t="n">
        <v>0</v>
      </c>
      <c r="B3333" s="62" t="s">
        <v>381</v>
      </c>
      <c r="C3333" s="62" t="s">
        <v>60</v>
      </c>
      <c r="D3333" s="62" t="s">
        <v>382</v>
      </c>
      <c r="E3333" s="62" t="s">
        <v>382</v>
      </c>
      <c r="F3333" s="63" t="s">
        <v>733</v>
      </c>
      <c r="G3333" s="64" t="n">
        <v>0</v>
      </c>
      <c r="H3333" s="62" t="s">
        <v>138</v>
      </c>
    </row>
    <row r="3334" customFormat="false" ht="15" hidden="false" customHeight="false" outlineLevel="0" collapsed="false">
      <c r="A3334" s="62" t="n">
        <v>0</v>
      </c>
      <c r="B3334" s="62" t="s">
        <v>383</v>
      </c>
      <c r="C3334" s="62" t="s">
        <v>60</v>
      </c>
      <c r="D3334" s="62" t="s">
        <v>382</v>
      </c>
      <c r="E3334" s="62" t="s">
        <v>382</v>
      </c>
      <c r="F3334" s="63" t="s">
        <v>733</v>
      </c>
      <c r="G3334" s="64" t="n">
        <v>0</v>
      </c>
      <c r="H3334" s="62" t="s">
        <v>138</v>
      </c>
    </row>
    <row r="3335" customFormat="false" ht="15" hidden="false" customHeight="false" outlineLevel="0" collapsed="false">
      <c r="A3335" s="62" t="n">
        <v>0</v>
      </c>
      <c r="B3335" s="62" t="s">
        <v>384</v>
      </c>
      <c r="C3335" s="62" t="s">
        <v>60</v>
      </c>
      <c r="D3335" s="62" t="s">
        <v>382</v>
      </c>
      <c r="E3335" s="62" t="s">
        <v>382</v>
      </c>
      <c r="F3335" s="63" t="s">
        <v>733</v>
      </c>
      <c r="G3335" s="64" t="n">
        <v>0</v>
      </c>
      <c r="H3335" s="62" t="s">
        <v>138</v>
      </c>
    </row>
    <row r="3336" customFormat="false" ht="15" hidden="false" customHeight="false" outlineLevel="0" collapsed="false">
      <c r="A3336" s="62" t="n">
        <v>0</v>
      </c>
      <c r="B3336" s="62" t="s">
        <v>385</v>
      </c>
      <c r="C3336" s="62" t="s">
        <v>60</v>
      </c>
      <c r="D3336" s="62" t="s">
        <v>382</v>
      </c>
      <c r="E3336" s="62" t="s">
        <v>382</v>
      </c>
      <c r="F3336" s="63" t="s">
        <v>733</v>
      </c>
      <c r="G3336" s="64" t="n">
        <v>0</v>
      </c>
      <c r="H3336" s="62" t="s">
        <v>138</v>
      </c>
    </row>
    <row r="3337" customFormat="false" ht="15" hidden="false" customHeight="false" outlineLevel="0" collapsed="false">
      <c r="A3337" s="62" t="n">
        <v>0</v>
      </c>
      <c r="B3337" s="62" t="s">
        <v>386</v>
      </c>
      <c r="C3337" s="62" t="s">
        <v>60</v>
      </c>
      <c r="D3337" s="62" t="s">
        <v>382</v>
      </c>
      <c r="E3337" s="62" t="s">
        <v>382</v>
      </c>
      <c r="F3337" s="63" t="s">
        <v>733</v>
      </c>
      <c r="G3337" s="64" t="n">
        <v>0</v>
      </c>
      <c r="H3337" s="62" t="s">
        <v>138</v>
      </c>
    </row>
    <row r="3338" customFormat="false" ht="15" hidden="false" customHeight="false" outlineLevel="0" collapsed="false">
      <c r="A3338" s="62" t="n">
        <v>0</v>
      </c>
      <c r="B3338" s="62" t="s">
        <v>387</v>
      </c>
      <c r="C3338" s="62" t="s">
        <v>60</v>
      </c>
      <c r="D3338" s="62" t="s">
        <v>382</v>
      </c>
      <c r="E3338" s="62" t="s">
        <v>382</v>
      </c>
      <c r="F3338" s="63" t="s">
        <v>733</v>
      </c>
      <c r="G3338" s="64" t="n">
        <v>0</v>
      </c>
      <c r="H3338" s="62" t="s">
        <v>138</v>
      </c>
    </row>
    <row r="3339" customFormat="false" ht="15" hidden="false" customHeight="false" outlineLevel="0" collapsed="false">
      <c r="A3339" s="62" t="n">
        <v>0</v>
      </c>
      <c r="B3339" s="62" t="s">
        <v>388</v>
      </c>
      <c r="C3339" s="62" t="s">
        <v>60</v>
      </c>
      <c r="D3339" s="62" t="s">
        <v>382</v>
      </c>
      <c r="E3339" s="62" t="s">
        <v>382</v>
      </c>
      <c r="F3339" s="63" t="s">
        <v>733</v>
      </c>
      <c r="G3339" s="64" t="n">
        <v>0</v>
      </c>
      <c r="H3339" s="62" t="s">
        <v>138</v>
      </c>
    </row>
    <row r="3340" customFormat="false" ht="15" hidden="false" customHeight="false" outlineLevel="0" collapsed="false">
      <c r="A3340" s="62" t="n">
        <v>0</v>
      </c>
      <c r="B3340" s="62" t="s">
        <v>381</v>
      </c>
      <c r="C3340" s="62" t="s">
        <v>60</v>
      </c>
      <c r="D3340" s="62" t="s">
        <v>382</v>
      </c>
      <c r="E3340" s="62" t="s">
        <v>382</v>
      </c>
      <c r="F3340" s="63" t="s">
        <v>734</v>
      </c>
      <c r="G3340" s="64" t="n">
        <v>18500</v>
      </c>
      <c r="H3340" s="62" t="s">
        <v>138</v>
      </c>
    </row>
    <row r="3341" customFormat="false" ht="15" hidden="false" customHeight="false" outlineLevel="0" collapsed="false">
      <c r="A3341" s="62" t="n">
        <v>0</v>
      </c>
      <c r="B3341" s="62" t="s">
        <v>383</v>
      </c>
      <c r="C3341" s="62" t="s">
        <v>60</v>
      </c>
      <c r="D3341" s="62" t="s">
        <v>382</v>
      </c>
      <c r="E3341" s="62" t="s">
        <v>382</v>
      </c>
      <c r="F3341" s="63" t="s">
        <v>734</v>
      </c>
      <c r="G3341" s="64" t="n">
        <v>18500</v>
      </c>
      <c r="H3341" s="62" t="s">
        <v>138</v>
      </c>
    </row>
    <row r="3342" customFormat="false" ht="15" hidden="false" customHeight="false" outlineLevel="0" collapsed="false">
      <c r="A3342" s="62" t="n">
        <v>0</v>
      </c>
      <c r="B3342" s="62" t="s">
        <v>384</v>
      </c>
      <c r="C3342" s="62" t="s">
        <v>60</v>
      </c>
      <c r="D3342" s="62" t="s">
        <v>382</v>
      </c>
      <c r="E3342" s="62" t="s">
        <v>382</v>
      </c>
      <c r="F3342" s="63" t="s">
        <v>734</v>
      </c>
      <c r="G3342" s="64" t="n">
        <v>18500</v>
      </c>
      <c r="H3342" s="62" t="s">
        <v>138</v>
      </c>
    </row>
    <row r="3343" customFormat="false" ht="15" hidden="false" customHeight="false" outlineLevel="0" collapsed="false">
      <c r="A3343" s="62" t="n">
        <v>0</v>
      </c>
      <c r="B3343" s="62" t="s">
        <v>385</v>
      </c>
      <c r="C3343" s="62" t="s">
        <v>60</v>
      </c>
      <c r="D3343" s="62" t="s">
        <v>382</v>
      </c>
      <c r="E3343" s="62" t="s">
        <v>382</v>
      </c>
      <c r="F3343" s="63" t="s">
        <v>734</v>
      </c>
      <c r="G3343" s="64" t="n">
        <v>18500</v>
      </c>
      <c r="H3343" s="62" t="s">
        <v>138</v>
      </c>
    </row>
    <row r="3344" customFormat="false" ht="15" hidden="false" customHeight="false" outlineLevel="0" collapsed="false">
      <c r="A3344" s="62" t="n">
        <v>0</v>
      </c>
      <c r="B3344" s="62" t="s">
        <v>386</v>
      </c>
      <c r="C3344" s="62" t="s">
        <v>60</v>
      </c>
      <c r="D3344" s="62" t="s">
        <v>382</v>
      </c>
      <c r="E3344" s="62" t="s">
        <v>382</v>
      </c>
      <c r="F3344" s="63" t="s">
        <v>734</v>
      </c>
      <c r="G3344" s="64" t="n">
        <v>18500</v>
      </c>
      <c r="H3344" s="62" t="s">
        <v>138</v>
      </c>
    </row>
    <row r="3345" customFormat="false" ht="15" hidden="false" customHeight="false" outlineLevel="0" collapsed="false">
      <c r="A3345" s="62" t="n">
        <v>0</v>
      </c>
      <c r="B3345" s="62" t="s">
        <v>387</v>
      </c>
      <c r="C3345" s="62" t="s">
        <v>60</v>
      </c>
      <c r="D3345" s="62" t="s">
        <v>382</v>
      </c>
      <c r="E3345" s="62" t="s">
        <v>382</v>
      </c>
      <c r="F3345" s="63" t="s">
        <v>734</v>
      </c>
      <c r="G3345" s="64" t="n">
        <v>18500</v>
      </c>
      <c r="H3345" s="62" t="s">
        <v>138</v>
      </c>
    </row>
    <row r="3346" customFormat="false" ht="15" hidden="false" customHeight="false" outlineLevel="0" collapsed="false">
      <c r="A3346" s="62" t="n">
        <v>0</v>
      </c>
      <c r="B3346" s="62" t="s">
        <v>388</v>
      </c>
      <c r="C3346" s="62" t="s">
        <v>60</v>
      </c>
      <c r="D3346" s="62" t="s">
        <v>382</v>
      </c>
      <c r="E3346" s="62" t="s">
        <v>382</v>
      </c>
      <c r="F3346" s="63" t="s">
        <v>734</v>
      </c>
      <c r="G3346" s="64" t="n">
        <v>18500</v>
      </c>
      <c r="H3346" s="62" t="s">
        <v>138</v>
      </c>
    </row>
    <row r="3347" customFormat="false" ht="15" hidden="false" customHeight="false" outlineLevel="0" collapsed="false">
      <c r="A3347" s="62" t="n">
        <v>0</v>
      </c>
      <c r="B3347" s="62" t="s">
        <v>381</v>
      </c>
      <c r="C3347" s="62" t="s">
        <v>60</v>
      </c>
      <c r="D3347" s="62" t="s">
        <v>382</v>
      </c>
      <c r="E3347" s="62" t="s">
        <v>382</v>
      </c>
      <c r="F3347" s="63" t="s">
        <v>735</v>
      </c>
      <c r="G3347" s="64" t="n">
        <v>0</v>
      </c>
      <c r="H3347" s="62" t="s">
        <v>138</v>
      </c>
    </row>
    <row r="3348" customFormat="false" ht="15" hidden="false" customHeight="false" outlineLevel="0" collapsed="false">
      <c r="A3348" s="62" t="n">
        <v>0</v>
      </c>
      <c r="B3348" s="62" t="s">
        <v>383</v>
      </c>
      <c r="C3348" s="62" t="s">
        <v>60</v>
      </c>
      <c r="D3348" s="62" t="s">
        <v>382</v>
      </c>
      <c r="E3348" s="62" t="s">
        <v>382</v>
      </c>
      <c r="F3348" s="63" t="s">
        <v>735</v>
      </c>
      <c r="G3348" s="64" t="n">
        <v>0</v>
      </c>
      <c r="H3348" s="62" t="s">
        <v>138</v>
      </c>
    </row>
    <row r="3349" customFormat="false" ht="15" hidden="false" customHeight="false" outlineLevel="0" collapsed="false">
      <c r="A3349" s="62" t="n">
        <v>0</v>
      </c>
      <c r="B3349" s="62" t="s">
        <v>384</v>
      </c>
      <c r="C3349" s="62" t="s">
        <v>60</v>
      </c>
      <c r="D3349" s="62" t="s">
        <v>382</v>
      </c>
      <c r="E3349" s="62" t="s">
        <v>382</v>
      </c>
      <c r="F3349" s="63" t="s">
        <v>735</v>
      </c>
      <c r="G3349" s="64" t="n">
        <v>0</v>
      </c>
      <c r="H3349" s="62" t="s">
        <v>138</v>
      </c>
    </row>
    <row r="3350" customFormat="false" ht="15" hidden="false" customHeight="false" outlineLevel="0" collapsed="false">
      <c r="A3350" s="62" t="n">
        <v>0</v>
      </c>
      <c r="B3350" s="62" t="s">
        <v>385</v>
      </c>
      <c r="C3350" s="62" t="s">
        <v>60</v>
      </c>
      <c r="D3350" s="62" t="s">
        <v>382</v>
      </c>
      <c r="E3350" s="62" t="s">
        <v>382</v>
      </c>
      <c r="F3350" s="63" t="s">
        <v>735</v>
      </c>
      <c r="G3350" s="64" t="n">
        <v>0</v>
      </c>
      <c r="H3350" s="62" t="s">
        <v>138</v>
      </c>
    </row>
    <row r="3351" customFormat="false" ht="15" hidden="false" customHeight="false" outlineLevel="0" collapsed="false">
      <c r="A3351" s="62" t="n">
        <v>0</v>
      </c>
      <c r="B3351" s="62" t="s">
        <v>386</v>
      </c>
      <c r="C3351" s="62" t="s">
        <v>60</v>
      </c>
      <c r="D3351" s="62" t="s">
        <v>382</v>
      </c>
      <c r="E3351" s="62" t="s">
        <v>382</v>
      </c>
      <c r="F3351" s="63" t="s">
        <v>735</v>
      </c>
      <c r="G3351" s="64" t="n">
        <v>0</v>
      </c>
      <c r="H3351" s="62" t="s">
        <v>138</v>
      </c>
    </row>
    <row r="3352" customFormat="false" ht="15" hidden="false" customHeight="false" outlineLevel="0" collapsed="false">
      <c r="A3352" s="62" t="n">
        <v>0</v>
      </c>
      <c r="B3352" s="62" t="s">
        <v>387</v>
      </c>
      <c r="C3352" s="62" t="s">
        <v>60</v>
      </c>
      <c r="D3352" s="62" t="s">
        <v>382</v>
      </c>
      <c r="E3352" s="62" t="s">
        <v>382</v>
      </c>
      <c r="F3352" s="63" t="s">
        <v>735</v>
      </c>
      <c r="G3352" s="64" t="n">
        <v>0</v>
      </c>
      <c r="H3352" s="62" t="s">
        <v>138</v>
      </c>
    </row>
    <row r="3353" customFormat="false" ht="15" hidden="false" customHeight="false" outlineLevel="0" collapsed="false">
      <c r="A3353" s="62" t="n">
        <v>0</v>
      </c>
      <c r="B3353" s="62" t="s">
        <v>388</v>
      </c>
      <c r="C3353" s="62" t="s">
        <v>60</v>
      </c>
      <c r="D3353" s="62" t="s">
        <v>382</v>
      </c>
      <c r="E3353" s="62" t="s">
        <v>382</v>
      </c>
      <c r="F3353" s="63" t="s">
        <v>735</v>
      </c>
      <c r="G3353" s="64" t="n">
        <v>0</v>
      </c>
      <c r="H3353" s="62" t="s">
        <v>138</v>
      </c>
    </row>
    <row r="3354" customFormat="false" ht="15" hidden="false" customHeight="false" outlineLevel="0" collapsed="false">
      <c r="A3354" s="62" t="n">
        <v>0</v>
      </c>
      <c r="B3354" s="62" t="s">
        <v>381</v>
      </c>
      <c r="C3354" s="62" t="s">
        <v>60</v>
      </c>
      <c r="D3354" s="62" t="s">
        <v>382</v>
      </c>
      <c r="E3354" s="62" t="s">
        <v>382</v>
      </c>
      <c r="F3354" s="63" t="s">
        <v>736</v>
      </c>
      <c r="G3354" s="64" t="n">
        <v>0</v>
      </c>
      <c r="H3354" s="62" t="s">
        <v>138</v>
      </c>
    </row>
    <row r="3355" customFormat="false" ht="15" hidden="false" customHeight="false" outlineLevel="0" collapsed="false">
      <c r="A3355" s="62" t="n">
        <v>0</v>
      </c>
      <c r="B3355" s="62" t="s">
        <v>383</v>
      </c>
      <c r="C3355" s="62" t="s">
        <v>60</v>
      </c>
      <c r="D3355" s="62" t="s">
        <v>382</v>
      </c>
      <c r="E3355" s="62" t="s">
        <v>382</v>
      </c>
      <c r="F3355" s="63" t="s">
        <v>736</v>
      </c>
      <c r="G3355" s="64" t="n">
        <v>0</v>
      </c>
      <c r="H3355" s="62" t="s">
        <v>138</v>
      </c>
    </row>
    <row r="3356" customFormat="false" ht="15" hidden="false" customHeight="false" outlineLevel="0" collapsed="false">
      <c r="A3356" s="62" t="n">
        <v>0</v>
      </c>
      <c r="B3356" s="62" t="s">
        <v>384</v>
      </c>
      <c r="C3356" s="62" t="s">
        <v>60</v>
      </c>
      <c r="D3356" s="62" t="s">
        <v>382</v>
      </c>
      <c r="E3356" s="62" t="s">
        <v>382</v>
      </c>
      <c r="F3356" s="63" t="s">
        <v>736</v>
      </c>
      <c r="G3356" s="64" t="n">
        <v>0</v>
      </c>
      <c r="H3356" s="62" t="s">
        <v>138</v>
      </c>
    </row>
    <row r="3357" customFormat="false" ht="15" hidden="false" customHeight="false" outlineLevel="0" collapsed="false">
      <c r="A3357" s="62" t="n">
        <v>0</v>
      </c>
      <c r="B3357" s="62" t="s">
        <v>385</v>
      </c>
      <c r="C3357" s="62" t="s">
        <v>60</v>
      </c>
      <c r="D3357" s="62" t="s">
        <v>382</v>
      </c>
      <c r="E3357" s="62" t="s">
        <v>382</v>
      </c>
      <c r="F3357" s="63" t="s">
        <v>736</v>
      </c>
      <c r="G3357" s="64" t="n">
        <v>0</v>
      </c>
      <c r="H3357" s="62" t="s">
        <v>138</v>
      </c>
    </row>
    <row r="3358" customFormat="false" ht="15" hidden="false" customHeight="false" outlineLevel="0" collapsed="false">
      <c r="A3358" s="62" t="n">
        <v>0</v>
      </c>
      <c r="B3358" s="62" t="s">
        <v>386</v>
      </c>
      <c r="C3358" s="62" t="s">
        <v>60</v>
      </c>
      <c r="D3358" s="62" t="s">
        <v>382</v>
      </c>
      <c r="E3358" s="62" t="s">
        <v>382</v>
      </c>
      <c r="F3358" s="63" t="s">
        <v>736</v>
      </c>
      <c r="G3358" s="64" t="n">
        <v>0</v>
      </c>
      <c r="H3358" s="62" t="s">
        <v>138</v>
      </c>
    </row>
    <row r="3359" customFormat="false" ht="15" hidden="false" customHeight="false" outlineLevel="0" collapsed="false">
      <c r="A3359" s="62" t="n">
        <v>0</v>
      </c>
      <c r="B3359" s="62" t="s">
        <v>387</v>
      </c>
      <c r="C3359" s="62" t="s">
        <v>60</v>
      </c>
      <c r="D3359" s="62" t="s">
        <v>382</v>
      </c>
      <c r="E3359" s="62" t="s">
        <v>382</v>
      </c>
      <c r="F3359" s="63" t="s">
        <v>736</v>
      </c>
      <c r="G3359" s="64" t="n">
        <v>0</v>
      </c>
      <c r="H3359" s="62" t="s">
        <v>138</v>
      </c>
    </row>
    <row r="3360" customFormat="false" ht="15" hidden="false" customHeight="false" outlineLevel="0" collapsed="false">
      <c r="A3360" s="62" t="n">
        <v>0</v>
      </c>
      <c r="B3360" s="62" t="s">
        <v>388</v>
      </c>
      <c r="C3360" s="62" t="s">
        <v>60</v>
      </c>
      <c r="D3360" s="62" t="s">
        <v>382</v>
      </c>
      <c r="E3360" s="62" t="s">
        <v>382</v>
      </c>
      <c r="F3360" s="63" t="s">
        <v>736</v>
      </c>
      <c r="G3360" s="64" t="n">
        <v>0</v>
      </c>
      <c r="H3360" s="62" t="s">
        <v>138</v>
      </c>
    </row>
    <row r="3361" customFormat="false" ht="15" hidden="false" customHeight="false" outlineLevel="0" collapsed="false">
      <c r="A3361" s="62" t="n">
        <v>0</v>
      </c>
      <c r="B3361" s="62" t="s">
        <v>381</v>
      </c>
      <c r="C3361" s="62" t="s">
        <v>60</v>
      </c>
      <c r="D3361" s="62" t="s">
        <v>382</v>
      </c>
      <c r="E3361" s="62" t="s">
        <v>382</v>
      </c>
      <c r="F3361" s="63" t="s">
        <v>737</v>
      </c>
      <c r="G3361" s="64" t="n">
        <v>0</v>
      </c>
      <c r="H3361" s="62" t="s">
        <v>138</v>
      </c>
    </row>
    <row r="3362" customFormat="false" ht="15" hidden="false" customHeight="false" outlineLevel="0" collapsed="false">
      <c r="A3362" s="62" t="n">
        <v>0</v>
      </c>
      <c r="B3362" s="62" t="s">
        <v>383</v>
      </c>
      <c r="C3362" s="62" t="s">
        <v>60</v>
      </c>
      <c r="D3362" s="62" t="s">
        <v>382</v>
      </c>
      <c r="E3362" s="62" t="s">
        <v>382</v>
      </c>
      <c r="F3362" s="63" t="s">
        <v>737</v>
      </c>
      <c r="G3362" s="64" t="n">
        <v>0</v>
      </c>
      <c r="H3362" s="62" t="s">
        <v>138</v>
      </c>
    </row>
    <row r="3363" customFormat="false" ht="15" hidden="false" customHeight="false" outlineLevel="0" collapsed="false">
      <c r="A3363" s="62" t="n">
        <v>0</v>
      </c>
      <c r="B3363" s="62" t="s">
        <v>384</v>
      </c>
      <c r="C3363" s="62" t="s">
        <v>60</v>
      </c>
      <c r="D3363" s="62" t="s">
        <v>382</v>
      </c>
      <c r="E3363" s="62" t="s">
        <v>382</v>
      </c>
      <c r="F3363" s="63" t="s">
        <v>737</v>
      </c>
      <c r="G3363" s="64" t="n">
        <v>0</v>
      </c>
      <c r="H3363" s="62" t="s">
        <v>138</v>
      </c>
    </row>
    <row r="3364" customFormat="false" ht="15" hidden="false" customHeight="false" outlineLevel="0" collapsed="false">
      <c r="A3364" s="62" t="n">
        <v>0</v>
      </c>
      <c r="B3364" s="62" t="s">
        <v>385</v>
      </c>
      <c r="C3364" s="62" t="s">
        <v>60</v>
      </c>
      <c r="D3364" s="62" t="s">
        <v>382</v>
      </c>
      <c r="E3364" s="62" t="s">
        <v>382</v>
      </c>
      <c r="F3364" s="63" t="s">
        <v>737</v>
      </c>
      <c r="G3364" s="64" t="n">
        <v>0</v>
      </c>
      <c r="H3364" s="62" t="s">
        <v>138</v>
      </c>
    </row>
    <row r="3365" customFormat="false" ht="15" hidden="false" customHeight="false" outlineLevel="0" collapsed="false">
      <c r="A3365" s="62" t="n">
        <v>0</v>
      </c>
      <c r="B3365" s="62" t="s">
        <v>386</v>
      </c>
      <c r="C3365" s="62" t="s">
        <v>60</v>
      </c>
      <c r="D3365" s="62" t="s">
        <v>382</v>
      </c>
      <c r="E3365" s="62" t="s">
        <v>382</v>
      </c>
      <c r="F3365" s="63" t="s">
        <v>737</v>
      </c>
      <c r="G3365" s="64" t="n">
        <v>0</v>
      </c>
      <c r="H3365" s="62" t="s">
        <v>138</v>
      </c>
    </row>
    <row r="3366" customFormat="false" ht="15" hidden="false" customHeight="false" outlineLevel="0" collapsed="false">
      <c r="A3366" s="62" t="n">
        <v>0</v>
      </c>
      <c r="B3366" s="62" t="s">
        <v>387</v>
      </c>
      <c r="C3366" s="62" t="s">
        <v>60</v>
      </c>
      <c r="D3366" s="62" t="s">
        <v>382</v>
      </c>
      <c r="E3366" s="62" t="s">
        <v>382</v>
      </c>
      <c r="F3366" s="63" t="s">
        <v>737</v>
      </c>
      <c r="G3366" s="64" t="n">
        <v>0</v>
      </c>
      <c r="H3366" s="62" t="s">
        <v>138</v>
      </c>
    </row>
    <row r="3367" customFormat="false" ht="15" hidden="false" customHeight="false" outlineLevel="0" collapsed="false">
      <c r="A3367" s="62" t="n">
        <v>0</v>
      </c>
      <c r="B3367" s="62" t="s">
        <v>388</v>
      </c>
      <c r="C3367" s="62" t="s">
        <v>60</v>
      </c>
      <c r="D3367" s="62" t="s">
        <v>382</v>
      </c>
      <c r="E3367" s="62" t="s">
        <v>382</v>
      </c>
      <c r="F3367" s="63" t="s">
        <v>737</v>
      </c>
      <c r="G3367" s="64" t="n">
        <v>0</v>
      </c>
      <c r="H3367" s="62" t="s">
        <v>138</v>
      </c>
    </row>
    <row r="3368" customFormat="false" ht="15" hidden="false" customHeight="false" outlineLevel="0" collapsed="false">
      <c r="A3368" s="62" t="n">
        <v>0</v>
      </c>
      <c r="B3368" s="62" t="s">
        <v>381</v>
      </c>
      <c r="C3368" s="62" t="s">
        <v>60</v>
      </c>
      <c r="D3368" s="62" t="s">
        <v>382</v>
      </c>
      <c r="E3368" s="62" t="s">
        <v>382</v>
      </c>
      <c r="F3368" s="63" t="s">
        <v>738</v>
      </c>
      <c r="G3368" s="64" t="n">
        <v>125000</v>
      </c>
      <c r="H3368" s="62" t="s">
        <v>138</v>
      </c>
    </row>
    <row r="3369" customFormat="false" ht="15" hidden="false" customHeight="false" outlineLevel="0" collapsed="false">
      <c r="A3369" s="62" t="n">
        <v>0</v>
      </c>
      <c r="B3369" s="62" t="s">
        <v>383</v>
      </c>
      <c r="C3369" s="62" t="s">
        <v>60</v>
      </c>
      <c r="D3369" s="62" t="s">
        <v>382</v>
      </c>
      <c r="E3369" s="62" t="s">
        <v>382</v>
      </c>
      <c r="F3369" s="63" t="s">
        <v>738</v>
      </c>
      <c r="G3369" s="64" t="n">
        <v>125000</v>
      </c>
      <c r="H3369" s="62" t="s">
        <v>138</v>
      </c>
    </row>
    <row r="3370" customFormat="false" ht="15" hidden="false" customHeight="false" outlineLevel="0" collapsed="false">
      <c r="A3370" s="62" t="n">
        <v>0</v>
      </c>
      <c r="B3370" s="62" t="s">
        <v>384</v>
      </c>
      <c r="C3370" s="62" t="s">
        <v>60</v>
      </c>
      <c r="D3370" s="62" t="s">
        <v>382</v>
      </c>
      <c r="E3370" s="62" t="s">
        <v>382</v>
      </c>
      <c r="F3370" s="63" t="s">
        <v>738</v>
      </c>
      <c r="G3370" s="64" t="n">
        <v>125000</v>
      </c>
      <c r="H3370" s="62" t="s">
        <v>138</v>
      </c>
    </row>
    <row r="3371" customFormat="false" ht="15" hidden="false" customHeight="false" outlineLevel="0" collapsed="false">
      <c r="A3371" s="62" t="n">
        <v>0</v>
      </c>
      <c r="B3371" s="62" t="s">
        <v>385</v>
      </c>
      <c r="C3371" s="62" t="s">
        <v>60</v>
      </c>
      <c r="D3371" s="62" t="s">
        <v>382</v>
      </c>
      <c r="E3371" s="62" t="s">
        <v>382</v>
      </c>
      <c r="F3371" s="63" t="s">
        <v>738</v>
      </c>
      <c r="G3371" s="64" t="n">
        <v>125000</v>
      </c>
      <c r="H3371" s="62" t="s">
        <v>138</v>
      </c>
    </row>
    <row r="3372" customFormat="false" ht="15" hidden="false" customHeight="false" outlineLevel="0" collapsed="false">
      <c r="A3372" s="62" t="n">
        <v>0</v>
      </c>
      <c r="B3372" s="62" t="s">
        <v>386</v>
      </c>
      <c r="C3372" s="62" t="s">
        <v>60</v>
      </c>
      <c r="D3372" s="62" t="s">
        <v>382</v>
      </c>
      <c r="E3372" s="62" t="s">
        <v>382</v>
      </c>
      <c r="F3372" s="63" t="s">
        <v>738</v>
      </c>
      <c r="G3372" s="64" t="n">
        <v>125000</v>
      </c>
      <c r="H3372" s="62" t="s">
        <v>138</v>
      </c>
    </row>
    <row r="3373" customFormat="false" ht="15" hidden="false" customHeight="false" outlineLevel="0" collapsed="false">
      <c r="A3373" s="62" t="n">
        <v>0</v>
      </c>
      <c r="B3373" s="62" t="s">
        <v>387</v>
      </c>
      <c r="C3373" s="62" t="s">
        <v>60</v>
      </c>
      <c r="D3373" s="62" t="s">
        <v>382</v>
      </c>
      <c r="E3373" s="62" t="s">
        <v>382</v>
      </c>
      <c r="F3373" s="63" t="s">
        <v>738</v>
      </c>
      <c r="G3373" s="64" t="n">
        <v>125000</v>
      </c>
      <c r="H3373" s="62" t="s">
        <v>138</v>
      </c>
    </row>
    <row r="3374" customFormat="false" ht="15" hidden="false" customHeight="false" outlineLevel="0" collapsed="false">
      <c r="A3374" s="62" t="n">
        <v>0</v>
      </c>
      <c r="B3374" s="62" t="s">
        <v>388</v>
      </c>
      <c r="C3374" s="62" t="s">
        <v>60</v>
      </c>
      <c r="D3374" s="62" t="s">
        <v>382</v>
      </c>
      <c r="E3374" s="62" t="s">
        <v>382</v>
      </c>
      <c r="F3374" s="63" t="s">
        <v>738</v>
      </c>
      <c r="G3374" s="64" t="n">
        <v>125000</v>
      </c>
      <c r="H3374" s="62" t="s">
        <v>138</v>
      </c>
    </row>
    <row r="3375" customFormat="false" ht="15" hidden="false" customHeight="false" outlineLevel="0" collapsed="false">
      <c r="A3375" s="62" t="n">
        <v>0</v>
      </c>
      <c r="B3375" s="62" t="s">
        <v>381</v>
      </c>
      <c r="C3375" s="62" t="s">
        <v>60</v>
      </c>
      <c r="D3375" s="62" t="s">
        <v>382</v>
      </c>
      <c r="E3375" s="62" t="s">
        <v>382</v>
      </c>
      <c r="F3375" s="63" t="s">
        <v>739</v>
      </c>
      <c r="G3375" s="64" t="n">
        <v>0</v>
      </c>
      <c r="H3375" s="62" t="s">
        <v>138</v>
      </c>
    </row>
    <row r="3376" customFormat="false" ht="15" hidden="false" customHeight="false" outlineLevel="0" collapsed="false">
      <c r="A3376" s="62" t="n">
        <v>0</v>
      </c>
      <c r="B3376" s="62" t="s">
        <v>383</v>
      </c>
      <c r="C3376" s="62" t="s">
        <v>60</v>
      </c>
      <c r="D3376" s="62" t="s">
        <v>382</v>
      </c>
      <c r="E3376" s="62" t="s">
        <v>382</v>
      </c>
      <c r="F3376" s="63" t="s">
        <v>739</v>
      </c>
      <c r="G3376" s="64" t="n">
        <v>0</v>
      </c>
      <c r="H3376" s="62" t="s">
        <v>138</v>
      </c>
    </row>
    <row r="3377" customFormat="false" ht="15" hidden="false" customHeight="false" outlineLevel="0" collapsed="false">
      <c r="A3377" s="62" t="n">
        <v>0</v>
      </c>
      <c r="B3377" s="62" t="s">
        <v>384</v>
      </c>
      <c r="C3377" s="62" t="s">
        <v>60</v>
      </c>
      <c r="D3377" s="62" t="s">
        <v>382</v>
      </c>
      <c r="E3377" s="62" t="s">
        <v>382</v>
      </c>
      <c r="F3377" s="63" t="s">
        <v>739</v>
      </c>
      <c r="G3377" s="64" t="n">
        <v>0</v>
      </c>
      <c r="H3377" s="62" t="s">
        <v>138</v>
      </c>
    </row>
    <row r="3378" customFormat="false" ht="15" hidden="false" customHeight="false" outlineLevel="0" collapsed="false">
      <c r="A3378" s="62" t="n">
        <v>0</v>
      </c>
      <c r="B3378" s="62" t="s">
        <v>385</v>
      </c>
      <c r="C3378" s="62" t="s">
        <v>60</v>
      </c>
      <c r="D3378" s="62" t="s">
        <v>382</v>
      </c>
      <c r="E3378" s="62" t="s">
        <v>382</v>
      </c>
      <c r="F3378" s="63" t="s">
        <v>739</v>
      </c>
      <c r="G3378" s="64" t="n">
        <v>0</v>
      </c>
      <c r="H3378" s="62" t="s">
        <v>138</v>
      </c>
    </row>
    <row r="3379" customFormat="false" ht="15" hidden="false" customHeight="false" outlineLevel="0" collapsed="false">
      <c r="A3379" s="62" t="n">
        <v>0</v>
      </c>
      <c r="B3379" s="62" t="s">
        <v>386</v>
      </c>
      <c r="C3379" s="62" t="s">
        <v>60</v>
      </c>
      <c r="D3379" s="62" t="s">
        <v>382</v>
      </c>
      <c r="E3379" s="62" t="s">
        <v>382</v>
      </c>
      <c r="F3379" s="63" t="s">
        <v>739</v>
      </c>
      <c r="G3379" s="64" t="n">
        <v>0</v>
      </c>
      <c r="H3379" s="62" t="s">
        <v>138</v>
      </c>
    </row>
    <row r="3380" customFormat="false" ht="15" hidden="false" customHeight="false" outlineLevel="0" collapsed="false">
      <c r="A3380" s="62" t="n">
        <v>0</v>
      </c>
      <c r="B3380" s="62" t="s">
        <v>387</v>
      </c>
      <c r="C3380" s="62" t="s">
        <v>60</v>
      </c>
      <c r="D3380" s="62" t="s">
        <v>382</v>
      </c>
      <c r="E3380" s="62" t="s">
        <v>382</v>
      </c>
      <c r="F3380" s="63" t="s">
        <v>739</v>
      </c>
      <c r="G3380" s="64" t="n">
        <v>0</v>
      </c>
      <c r="H3380" s="62" t="s">
        <v>138</v>
      </c>
    </row>
    <row r="3381" customFormat="false" ht="15" hidden="false" customHeight="false" outlineLevel="0" collapsed="false">
      <c r="A3381" s="62" t="n">
        <v>0</v>
      </c>
      <c r="B3381" s="62" t="s">
        <v>388</v>
      </c>
      <c r="C3381" s="62" t="s">
        <v>60</v>
      </c>
      <c r="D3381" s="62" t="s">
        <v>382</v>
      </c>
      <c r="E3381" s="62" t="s">
        <v>382</v>
      </c>
      <c r="F3381" s="63" t="s">
        <v>739</v>
      </c>
      <c r="G3381" s="64" t="n">
        <v>0</v>
      </c>
      <c r="H3381" s="62" t="s">
        <v>138</v>
      </c>
    </row>
    <row r="3382" customFormat="false" ht="15" hidden="false" customHeight="false" outlineLevel="0" collapsed="false">
      <c r="A3382" s="62" t="n">
        <v>0</v>
      </c>
      <c r="B3382" s="62" t="s">
        <v>381</v>
      </c>
      <c r="C3382" s="62" t="s">
        <v>60</v>
      </c>
      <c r="D3382" s="62" t="s">
        <v>382</v>
      </c>
      <c r="E3382" s="62" t="s">
        <v>382</v>
      </c>
      <c r="F3382" s="63" t="s">
        <v>740</v>
      </c>
      <c r="G3382" s="64" t="n">
        <v>0</v>
      </c>
      <c r="H3382" s="62" t="s">
        <v>138</v>
      </c>
    </row>
    <row r="3383" customFormat="false" ht="15" hidden="false" customHeight="false" outlineLevel="0" collapsed="false">
      <c r="A3383" s="62" t="n">
        <v>0</v>
      </c>
      <c r="B3383" s="62" t="s">
        <v>383</v>
      </c>
      <c r="C3383" s="62" t="s">
        <v>60</v>
      </c>
      <c r="D3383" s="62" t="s">
        <v>382</v>
      </c>
      <c r="E3383" s="62" t="s">
        <v>382</v>
      </c>
      <c r="F3383" s="63" t="s">
        <v>740</v>
      </c>
      <c r="G3383" s="64" t="n">
        <v>0</v>
      </c>
      <c r="H3383" s="62" t="s">
        <v>138</v>
      </c>
    </row>
    <row r="3384" customFormat="false" ht="15" hidden="false" customHeight="false" outlineLevel="0" collapsed="false">
      <c r="A3384" s="62" t="n">
        <v>0</v>
      </c>
      <c r="B3384" s="62" t="s">
        <v>384</v>
      </c>
      <c r="C3384" s="62" t="s">
        <v>60</v>
      </c>
      <c r="D3384" s="62" t="s">
        <v>382</v>
      </c>
      <c r="E3384" s="62" t="s">
        <v>382</v>
      </c>
      <c r="F3384" s="63" t="s">
        <v>740</v>
      </c>
      <c r="G3384" s="64" t="n">
        <v>0</v>
      </c>
      <c r="H3384" s="62" t="s">
        <v>138</v>
      </c>
    </row>
    <row r="3385" customFormat="false" ht="15" hidden="false" customHeight="false" outlineLevel="0" collapsed="false">
      <c r="A3385" s="62" t="n">
        <v>0</v>
      </c>
      <c r="B3385" s="62" t="s">
        <v>385</v>
      </c>
      <c r="C3385" s="62" t="s">
        <v>60</v>
      </c>
      <c r="D3385" s="62" t="s">
        <v>382</v>
      </c>
      <c r="E3385" s="62" t="s">
        <v>382</v>
      </c>
      <c r="F3385" s="63" t="s">
        <v>740</v>
      </c>
      <c r="G3385" s="64" t="n">
        <v>0</v>
      </c>
      <c r="H3385" s="62" t="s">
        <v>138</v>
      </c>
    </row>
    <row r="3386" customFormat="false" ht="15" hidden="false" customHeight="false" outlineLevel="0" collapsed="false">
      <c r="A3386" s="62" t="n">
        <v>0</v>
      </c>
      <c r="B3386" s="62" t="s">
        <v>386</v>
      </c>
      <c r="C3386" s="62" t="s">
        <v>60</v>
      </c>
      <c r="D3386" s="62" t="s">
        <v>382</v>
      </c>
      <c r="E3386" s="62" t="s">
        <v>382</v>
      </c>
      <c r="F3386" s="63" t="s">
        <v>740</v>
      </c>
      <c r="G3386" s="64" t="n">
        <v>0</v>
      </c>
      <c r="H3386" s="62" t="s">
        <v>138</v>
      </c>
    </row>
    <row r="3387" customFormat="false" ht="15" hidden="false" customHeight="false" outlineLevel="0" collapsed="false">
      <c r="A3387" s="62" t="n">
        <v>0</v>
      </c>
      <c r="B3387" s="62" t="s">
        <v>387</v>
      </c>
      <c r="C3387" s="62" t="s">
        <v>60</v>
      </c>
      <c r="D3387" s="62" t="s">
        <v>382</v>
      </c>
      <c r="E3387" s="62" t="s">
        <v>382</v>
      </c>
      <c r="F3387" s="63" t="s">
        <v>740</v>
      </c>
      <c r="G3387" s="64" t="n">
        <v>0</v>
      </c>
      <c r="H3387" s="62" t="s">
        <v>138</v>
      </c>
    </row>
    <row r="3388" customFormat="false" ht="15" hidden="false" customHeight="false" outlineLevel="0" collapsed="false">
      <c r="A3388" s="62" t="n">
        <v>0</v>
      </c>
      <c r="B3388" s="62" t="s">
        <v>388</v>
      </c>
      <c r="C3388" s="62" t="s">
        <v>60</v>
      </c>
      <c r="D3388" s="62" t="s">
        <v>382</v>
      </c>
      <c r="E3388" s="62" t="s">
        <v>382</v>
      </c>
      <c r="F3388" s="63" t="s">
        <v>740</v>
      </c>
      <c r="G3388" s="64" t="n">
        <v>0</v>
      </c>
      <c r="H3388" s="62" t="s">
        <v>138</v>
      </c>
    </row>
    <row r="3389" customFormat="false" ht="15" hidden="false" customHeight="false" outlineLevel="0" collapsed="false">
      <c r="A3389" s="62" t="n">
        <v>0</v>
      </c>
      <c r="B3389" s="62" t="s">
        <v>381</v>
      </c>
      <c r="C3389" s="62" t="s">
        <v>60</v>
      </c>
      <c r="D3389" s="62" t="s">
        <v>382</v>
      </c>
      <c r="E3389" s="62" t="s">
        <v>382</v>
      </c>
      <c r="F3389" s="63" t="s">
        <v>741</v>
      </c>
      <c r="G3389" s="64" t="n">
        <v>0</v>
      </c>
      <c r="H3389" s="62" t="s">
        <v>138</v>
      </c>
    </row>
    <row r="3390" customFormat="false" ht="15" hidden="false" customHeight="false" outlineLevel="0" collapsed="false">
      <c r="A3390" s="62" t="n">
        <v>0</v>
      </c>
      <c r="B3390" s="62" t="s">
        <v>383</v>
      </c>
      <c r="C3390" s="62" t="s">
        <v>60</v>
      </c>
      <c r="D3390" s="62" t="s">
        <v>382</v>
      </c>
      <c r="E3390" s="62" t="s">
        <v>382</v>
      </c>
      <c r="F3390" s="63" t="s">
        <v>741</v>
      </c>
      <c r="G3390" s="64" t="n">
        <v>0</v>
      </c>
      <c r="H3390" s="62" t="s">
        <v>138</v>
      </c>
    </row>
    <row r="3391" customFormat="false" ht="15" hidden="false" customHeight="false" outlineLevel="0" collapsed="false">
      <c r="A3391" s="62" t="n">
        <v>0</v>
      </c>
      <c r="B3391" s="62" t="s">
        <v>384</v>
      </c>
      <c r="C3391" s="62" t="s">
        <v>60</v>
      </c>
      <c r="D3391" s="62" t="s">
        <v>382</v>
      </c>
      <c r="E3391" s="62" t="s">
        <v>382</v>
      </c>
      <c r="F3391" s="63" t="s">
        <v>741</v>
      </c>
      <c r="G3391" s="64" t="n">
        <v>0</v>
      </c>
      <c r="H3391" s="62" t="s">
        <v>138</v>
      </c>
    </row>
    <row r="3392" customFormat="false" ht="15" hidden="false" customHeight="false" outlineLevel="0" collapsed="false">
      <c r="A3392" s="62" t="n">
        <v>0</v>
      </c>
      <c r="B3392" s="62" t="s">
        <v>385</v>
      </c>
      <c r="C3392" s="62" t="s">
        <v>60</v>
      </c>
      <c r="D3392" s="62" t="s">
        <v>382</v>
      </c>
      <c r="E3392" s="62" t="s">
        <v>382</v>
      </c>
      <c r="F3392" s="63" t="s">
        <v>741</v>
      </c>
      <c r="G3392" s="64" t="n">
        <v>0</v>
      </c>
      <c r="H3392" s="62" t="s">
        <v>138</v>
      </c>
    </row>
    <row r="3393" customFormat="false" ht="15" hidden="false" customHeight="false" outlineLevel="0" collapsed="false">
      <c r="A3393" s="62" t="n">
        <v>0</v>
      </c>
      <c r="B3393" s="62" t="s">
        <v>386</v>
      </c>
      <c r="C3393" s="62" t="s">
        <v>60</v>
      </c>
      <c r="D3393" s="62" t="s">
        <v>382</v>
      </c>
      <c r="E3393" s="62" t="s">
        <v>382</v>
      </c>
      <c r="F3393" s="63" t="s">
        <v>741</v>
      </c>
      <c r="G3393" s="64" t="n">
        <v>0</v>
      </c>
      <c r="H3393" s="62" t="s">
        <v>138</v>
      </c>
    </row>
    <row r="3394" customFormat="false" ht="15" hidden="false" customHeight="false" outlineLevel="0" collapsed="false">
      <c r="A3394" s="62" t="n">
        <v>0</v>
      </c>
      <c r="B3394" s="62" t="s">
        <v>387</v>
      </c>
      <c r="C3394" s="62" t="s">
        <v>60</v>
      </c>
      <c r="D3394" s="62" t="s">
        <v>382</v>
      </c>
      <c r="E3394" s="62" t="s">
        <v>382</v>
      </c>
      <c r="F3394" s="63" t="s">
        <v>741</v>
      </c>
      <c r="G3394" s="64" t="n">
        <v>0</v>
      </c>
      <c r="H3394" s="62" t="s">
        <v>138</v>
      </c>
    </row>
    <row r="3395" customFormat="false" ht="15" hidden="false" customHeight="false" outlineLevel="0" collapsed="false">
      <c r="A3395" s="62" t="n">
        <v>0</v>
      </c>
      <c r="B3395" s="62" t="s">
        <v>388</v>
      </c>
      <c r="C3395" s="62" t="s">
        <v>60</v>
      </c>
      <c r="D3395" s="62" t="s">
        <v>382</v>
      </c>
      <c r="E3395" s="62" t="s">
        <v>382</v>
      </c>
      <c r="F3395" s="63" t="s">
        <v>741</v>
      </c>
      <c r="G3395" s="64" t="n">
        <v>0</v>
      </c>
      <c r="H3395" s="62" t="s">
        <v>138</v>
      </c>
    </row>
    <row r="3396" customFormat="false" ht="15" hidden="false" customHeight="false" outlineLevel="0" collapsed="false">
      <c r="A3396" s="62" t="n">
        <v>0</v>
      </c>
      <c r="B3396" s="62" t="s">
        <v>381</v>
      </c>
      <c r="C3396" s="62" t="s">
        <v>60</v>
      </c>
      <c r="D3396" s="62" t="s">
        <v>382</v>
      </c>
      <c r="E3396" s="62" t="s">
        <v>382</v>
      </c>
      <c r="F3396" s="63" t="s">
        <v>742</v>
      </c>
      <c r="G3396" s="64" t="n">
        <v>20000</v>
      </c>
      <c r="H3396" s="62" t="s">
        <v>138</v>
      </c>
    </row>
    <row r="3397" customFormat="false" ht="15" hidden="false" customHeight="false" outlineLevel="0" collapsed="false">
      <c r="A3397" s="62" t="n">
        <v>0</v>
      </c>
      <c r="B3397" s="62" t="s">
        <v>383</v>
      </c>
      <c r="C3397" s="62" t="s">
        <v>60</v>
      </c>
      <c r="D3397" s="62" t="s">
        <v>382</v>
      </c>
      <c r="E3397" s="62" t="s">
        <v>382</v>
      </c>
      <c r="F3397" s="63" t="s">
        <v>742</v>
      </c>
      <c r="G3397" s="64" t="n">
        <v>20000</v>
      </c>
      <c r="H3397" s="62" t="s">
        <v>138</v>
      </c>
    </row>
    <row r="3398" customFormat="false" ht="15" hidden="false" customHeight="false" outlineLevel="0" collapsed="false">
      <c r="A3398" s="62" t="n">
        <v>0</v>
      </c>
      <c r="B3398" s="62" t="s">
        <v>384</v>
      </c>
      <c r="C3398" s="62" t="s">
        <v>60</v>
      </c>
      <c r="D3398" s="62" t="s">
        <v>382</v>
      </c>
      <c r="E3398" s="62" t="s">
        <v>382</v>
      </c>
      <c r="F3398" s="63" t="s">
        <v>742</v>
      </c>
      <c r="G3398" s="64" t="n">
        <v>20000</v>
      </c>
      <c r="H3398" s="62" t="s">
        <v>138</v>
      </c>
    </row>
    <row r="3399" customFormat="false" ht="15" hidden="false" customHeight="false" outlineLevel="0" collapsed="false">
      <c r="A3399" s="62" t="n">
        <v>0</v>
      </c>
      <c r="B3399" s="62" t="s">
        <v>385</v>
      </c>
      <c r="C3399" s="62" t="s">
        <v>60</v>
      </c>
      <c r="D3399" s="62" t="s">
        <v>382</v>
      </c>
      <c r="E3399" s="62" t="s">
        <v>382</v>
      </c>
      <c r="F3399" s="63" t="s">
        <v>742</v>
      </c>
      <c r="G3399" s="64" t="n">
        <v>20000</v>
      </c>
      <c r="H3399" s="62" t="s">
        <v>138</v>
      </c>
    </row>
    <row r="3400" customFormat="false" ht="15" hidden="false" customHeight="false" outlineLevel="0" collapsed="false">
      <c r="A3400" s="62" t="n">
        <v>0</v>
      </c>
      <c r="B3400" s="62" t="s">
        <v>386</v>
      </c>
      <c r="C3400" s="62" t="s">
        <v>60</v>
      </c>
      <c r="D3400" s="62" t="s">
        <v>382</v>
      </c>
      <c r="E3400" s="62" t="s">
        <v>382</v>
      </c>
      <c r="F3400" s="63" t="s">
        <v>742</v>
      </c>
      <c r="G3400" s="64" t="n">
        <v>20000</v>
      </c>
      <c r="H3400" s="62" t="s">
        <v>138</v>
      </c>
    </row>
    <row r="3401" customFormat="false" ht="15" hidden="false" customHeight="false" outlineLevel="0" collapsed="false">
      <c r="A3401" s="62" t="n">
        <v>0</v>
      </c>
      <c r="B3401" s="62" t="s">
        <v>387</v>
      </c>
      <c r="C3401" s="62" t="s">
        <v>60</v>
      </c>
      <c r="D3401" s="62" t="s">
        <v>382</v>
      </c>
      <c r="E3401" s="62" t="s">
        <v>382</v>
      </c>
      <c r="F3401" s="63" t="s">
        <v>742</v>
      </c>
      <c r="G3401" s="64" t="n">
        <v>20000</v>
      </c>
      <c r="H3401" s="62" t="s">
        <v>138</v>
      </c>
    </row>
    <row r="3402" customFormat="false" ht="15" hidden="false" customHeight="false" outlineLevel="0" collapsed="false">
      <c r="A3402" s="62" t="n">
        <v>0</v>
      </c>
      <c r="B3402" s="62" t="s">
        <v>388</v>
      </c>
      <c r="C3402" s="62" t="s">
        <v>60</v>
      </c>
      <c r="D3402" s="62" t="s">
        <v>382</v>
      </c>
      <c r="E3402" s="62" t="s">
        <v>382</v>
      </c>
      <c r="F3402" s="63" t="s">
        <v>742</v>
      </c>
      <c r="G3402" s="64" t="n">
        <v>20000</v>
      </c>
      <c r="H3402" s="62" t="s">
        <v>138</v>
      </c>
    </row>
    <row r="3403" customFormat="false" ht="15" hidden="false" customHeight="false" outlineLevel="0" collapsed="false">
      <c r="A3403" s="62" t="n">
        <v>0</v>
      </c>
      <c r="B3403" s="62" t="s">
        <v>381</v>
      </c>
      <c r="C3403" s="62" t="s">
        <v>60</v>
      </c>
      <c r="D3403" s="62" t="s">
        <v>382</v>
      </c>
      <c r="E3403" s="62" t="s">
        <v>382</v>
      </c>
      <c r="F3403" s="63" t="s">
        <v>743</v>
      </c>
      <c r="G3403" s="64" t="n">
        <v>0</v>
      </c>
      <c r="H3403" s="62" t="s">
        <v>138</v>
      </c>
    </row>
    <row r="3404" customFormat="false" ht="15" hidden="false" customHeight="false" outlineLevel="0" collapsed="false">
      <c r="A3404" s="62" t="n">
        <v>0</v>
      </c>
      <c r="B3404" s="62" t="s">
        <v>383</v>
      </c>
      <c r="C3404" s="62" t="s">
        <v>60</v>
      </c>
      <c r="D3404" s="62" t="s">
        <v>382</v>
      </c>
      <c r="E3404" s="62" t="s">
        <v>382</v>
      </c>
      <c r="F3404" s="63" t="s">
        <v>743</v>
      </c>
      <c r="G3404" s="64" t="n">
        <v>0</v>
      </c>
      <c r="H3404" s="62" t="s">
        <v>138</v>
      </c>
    </row>
    <row r="3405" customFormat="false" ht="15" hidden="false" customHeight="false" outlineLevel="0" collapsed="false">
      <c r="A3405" s="62" t="n">
        <v>0</v>
      </c>
      <c r="B3405" s="62" t="s">
        <v>384</v>
      </c>
      <c r="C3405" s="62" t="s">
        <v>60</v>
      </c>
      <c r="D3405" s="62" t="s">
        <v>382</v>
      </c>
      <c r="E3405" s="62" t="s">
        <v>382</v>
      </c>
      <c r="F3405" s="63" t="s">
        <v>743</v>
      </c>
      <c r="G3405" s="64" t="n">
        <v>0</v>
      </c>
      <c r="H3405" s="62" t="s">
        <v>138</v>
      </c>
    </row>
    <row r="3406" customFormat="false" ht="15" hidden="false" customHeight="false" outlineLevel="0" collapsed="false">
      <c r="A3406" s="62" t="n">
        <v>0</v>
      </c>
      <c r="B3406" s="62" t="s">
        <v>385</v>
      </c>
      <c r="C3406" s="62" t="s">
        <v>60</v>
      </c>
      <c r="D3406" s="62" t="s">
        <v>382</v>
      </c>
      <c r="E3406" s="62" t="s">
        <v>382</v>
      </c>
      <c r="F3406" s="63" t="s">
        <v>743</v>
      </c>
      <c r="G3406" s="64" t="n">
        <v>0</v>
      </c>
      <c r="H3406" s="62" t="s">
        <v>138</v>
      </c>
    </row>
    <row r="3407" customFormat="false" ht="15" hidden="false" customHeight="false" outlineLevel="0" collapsed="false">
      <c r="A3407" s="62" t="n">
        <v>0</v>
      </c>
      <c r="B3407" s="62" t="s">
        <v>386</v>
      </c>
      <c r="C3407" s="62" t="s">
        <v>60</v>
      </c>
      <c r="D3407" s="62" t="s">
        <v>382</v>
      </c>
      <c r="E3407" s="62" t="s">
        <v>382</v>
      </c>
      <c r="F3407" s="63" t="s">
        <v>743</v>
      </c>
      <c r="G3407" s="64" t="n">
        <v>0</v>
      </c>
      <c r="H3407" s="62" t="s">
        <v>138</v>
      </c>
    </row>
    <row r="3408" customFormat="false" ht="15" hidden="false" customHeight="false" outlineLevel="0" collapsed="false">
      <c r="A3408" s="62" t="n">
        <v>0</v>
      </c>
      <c r="B3408" s="62" t="s">
        <v>387</v>
      </c>
      <c r="C3408" s="62" t="s">
        <v>60</v>
      </c>
      <c r="D3408" s="62" t="s">
        <v>382</v>
      </c>
      <c r="E3408" s="62" t="s">
        <v>382</v>
      </c>
      <c r="F3408" s="63" t="s">
        <v>743</v>
      </c>
      <c r="G3408" s="64" t="n">
        <v>0</v>
      </c>
      <c r="H3408" s="62" t="s">
        <v>138</v>
      </c>
    </row>
    <row r="3409" customFormat="false" ht="15" hidden="false" customHeight="false" outlineLevel="0" collapsed="false">
      <c r="A3409" s="62" t="n">
        <v>0</v>
      </c>
      <c r="B3409" s="62" t="s">
        <v>388</v>
      </c>
      <c r="C3409" s="62" t="s">
        <v>60</v>
      </c>
      <c r="D3409" s="62" t="s">
        <v>382</v>
      </c>
      <c r="E3409" s="62" t="s">
        <v>382</v>
      </c>
      <c r="F3409" s="63" t="s">
        <v>743</v>
      </c>
      <c r="G3409" s="64" t="n">
        <v>0</v>
      </c>
      <c r="H3409" s="62" t="s">
        <v>138</v>
      </c>
    </row>
    <row r="3410" customFormat="false" ht="15" hidden="false" customHeight="false" outlineLevel="0" collapsed="false">
      <c r="A3410" s="62" t="n">
        <v>0</v>
      </c>
      <c r="B3410" s="62" t="s">
        <v>381</v>
      </c>
      <c r="C3410" s="62" t="s">
        <v>60</v>
      </c>
      <c r="D3410" s="62" t="s">
        <v>382</v>
      </c>
      <c r="E3410" s="62" t="s">
        <v>382</v>
      </c>
      <c r="F3410" s="63" t="s">
        <v>744</v>
      </c>
      <c r="G3410" s="64" t="n">
        <v>0</v>
      </c>
      <c r="H3410" s="62" t="s">
        <v>138</v>
      </c>
    </row>
    <row r="3411" customFormat="false" ht="15" hidden="false" customHeight="false" outlineLevel="0" collapsed="false">
      <c r="A3411" s="62" t="n">
        <v>0</v>
      </c>
      <c r="B3411" s="62" t="s">
        <v>383</v>
      </c>
      <c r="C3411" s="62" t="s">
        <v>60</v>
      </c>
      <c r="D3411" s="62" t="s">
        <v>382</v>
      </c>
      <c r="E3411" s="62" t="s">
        <v>382</v>
      </c>
      <c r="F3411" s="63" t="s">
        <v>744</v>
      </c>
      <c r="G3411" s="64" t="n">
        <v>0</v>
      </c>
      <c r="H3411" s="62" t="s">
        <v>138</v>
      </c>
    </row>
    <row r="3412" customFormat="false" ht="15" hidden="false" customHeight="false" outlineLevel="0" collapsed="false">
      <c r="A3412" s="62" t="n">
        <v>0</v>
      </c>
      <c r="B3412" s="62" t="s">
        <v>384</v>
      </c>
      <c r="C3412" s="62" t="s">
        <v>60</v>
      </c>
      <c r="D3412" s="62" t="s">
        <v>382</v>
      </c>
      <c r="E3412" s="62" t="s">
        <v>382</v>
      </c>
      <c r="F3412" s="63" t="s">
        <v>744</v>
      </c>
      <c r="G3412" s="64" t="n">
        <v>0</v>
      </c>
      <c r="H3412" s="62" t="s">
        <v>138</v>
      </c>
    </row>
    <row r="3413" customFormat="false" ht="15" hidden="false" customHeight="false" outlineLevel="0" collapsed="false">
      <c r="A3413" s="62" t="n">
        <v>0</v>
      </c>
      <c r="B3413" s="62" t="s">
        <v>385</v>
      </c>
      <c r="C3413" s="62" t="s">
        <v>60</v>
      </c>
      <c r="D3413" s="62" t="s">
        <v>382</v>
      </c>
      <c r="E3413" s="62" t="s">
        <v>382</v>
      </c>
      <c r="F3413" s="63" t="s">
        <v>744</v>
      </c>
      <c r="G3413" s="64" t="n">
        <v>0</v>
      </c>
      <c r="H3413" s="62" t="s">
        <v>138</v>
      </c>
    </row>
    <row r="3414" customFormat="false" ht="15" hidden="false" customHeight="false" outlineLevel="0" collapsed="false">
      <c r="A3414" s="62" t="n">
        <v>0</v>
      </c>
      <c r="B3414" s="62" t="s">
        <v>386</v>
      </c>
      <c r="C3414" s="62" t="s">
        <v>60</v>
      </c>
      <c r="D3414" s="62" t="s">
        <v>382</v>
      </c>
      <c r="E3414" s="62" t="s">
        <v>382</v>
      </c>
      <c r="F3414" s="63" t="s">
        <v>744</v>
      </c>
      <c r="G3414" s="64" t="n">
        <v>0</v>
      </c>
      <c r="H3414" s="62" t="s">
        <v>138</v>
      </c>
    </row>
    <row r="3415" customFormat="false" ht="15" hidden="false" customHeight="false" outlineLevel="0" collapsed="false">
      <c r="A3415" s="62" t="n">
        <v>0</v>
      </c>
      <c r="B3415" s="62" t="s">
        <v>387</v>
      </c>
      <c r="C3415" s="62" t="s">
        <v>60</v>
      </c>
      <c r="D3415" s="62" t="s">
        <v>382</v>
      </c>
      <c r="E3415" s="62" t="s">
        <v>382</v>
      </c>
      <c r="F3415" s="63" t="s">
        <v>744</v>
      </c>
      <c r="G3415" s="64" t="n">
        <v>0</v>
      </c>
      <c r="H3415" s="62" t="s">
        <v>138</v>
      </c>
    </row>
    <row r="3416" customFormat="false" ht="15" hidden="false" customHeight="false" outlineLevel="0" collapsed="false">
      <c r="A3416" s="62" t="n">
        <v>0</v>
      </c>
      <c r="B3416" s="62" t="s">
        <v>388</v>
      </c>
      <c r="C3416" s="62" t="s">
        <v>60</v>
      </c>
      <c r="D3416" s="62" t="s">
        <v>382</v>
      </c>
      <c r="E3416" s="62" t="s">
        <v>382</v>
      </c>
      <c r="F3416" s="63" t="s">
        <v>744</v>
      </c>
      <c r="G3416" s="64" t="n">
        <v>0</v>
      </c>
      <c r="H3416" s="62" t="s">
        <v>138</v>
      </c>
    </row>
    <row r="3417" customFormat="false" ht="15" hidden="false" customHeight="false" outlineLevel="0" collapsed="false">
      <c r="A3417" s="62" t="n">
        <v>0</v>
      </c>
      <c r="B3417" s="62" t="s">
        <v>381</v>
      </c>
      <c r="C3417" s="62" t="s">
        <v>60</v>
      </c>
      <c r="D3417" s="62" t="s">
        <v>382</v>
      </c>
      <c r="E3417" s="62" t="s">
        <v>382</v>
      </c>
      <c r="F3417" s="63" t="s">
        <v>745</v>
      </c>
      <c r="G3417" s="64" t="n">
        <v>0</v>
      </c>
      <c r="H3417" s="62" t="s">
        <v>138</v>
      </c>
    </row>
    <row r="3418" customFormat="false" ht="15" hidden="false" customHeight="false" outlineLevel="0" collapsed="false">
      <c r="A3418" s="62" t="n">
        <v>0</v>
      </c>
      <c r="B3418" s="62" t="s">
        <v>383</v>
      </c>
      <c r="C3418" s="62" t="s">
        <v>60</v>
      </c>
      <c r="D3418" s="62" t="s">
        <v>382</v>
      </c>
      <c r="E3418" s="62" t="s">
        <v>382</v>
      </c>
      <c r="F3418" s="63" t="s">
        <v>745</v>
      </c>
      <c r="G3418" s="64" t="n">
        <v>0</v>
      </c>
      <c r="H3418" s="62" t="s">
        <v>138</v>
      </c>
    </row>
    <row r="3419" customFormat="false" ht="15" hidden="false" customHeight="false" outlineLevel="0" collapsed="false">
      <c r="A3419" s="62" t="n">
        <v>0</v>
      </c>
      <c r="B3419" s="62" t="s">
        <v>384</v>
      </c>
      <c r="C3419" s="62" t="s">
        <v>60</v>
      </c>
      <c r="D3419" s="62" t="s">
        <v>382</v>
      </c>
      <c r="E3419" s="62" t="s">
        <v>382</v>
      </c>
      <c r="F3419" s="63" t="s">
        <v>745</v>
      </c>
      <c r="G3419" s="64" t="n">
        <v>0</v>
      </c>
      <c r="H3419" s="62" t="s">
        <v>138</v>
      </c>
    </row>
    <row r="3420" customFormat="false" ht="15" hidden="false" customHeight="false" outlineLevel="0" collapsed="false">
      <c r="A3420" s="62" t="n">
        <v>0</v>
      </c>
      <c r="B3420" s="62" t="s">
        <v>385</v>
      </c>
      <c r="C3420" s="62" t="s">
        <v>60</v>
      </c>
      <c r="D3420" s="62" t="s">
        <v>382</v>
      </c>
      <c r="E3420" s="62" t="s">
        <v>382</v>
      </c>
      <c r="F3420" s="63" t="s">
        <v>745</v>
      </c>
      <c r="G3420" s="64" t="n">
        <v>0</v>
      </c>
      <c r="H3420" s="62" t="s">
        <v>138</v>
      </c>
    </row>
    <row r="3421" customFormat="false" ht="15" hidden="false" customHeight="false" outlineLevel="0" collapsed="false">
      <c r="A3421" s="62" t="n">
        <v>0</v>
      </c>
      <c r="B3421" s="62" t="s">
        <v>386</v>
      </c>
      <c r="C3421" s="62" t="s">
        <v>60</v>
      </c>
      <c r="D3421" s="62" t="s">
        <v>382</v>
      </c>
      <c r="E3421" s="62" t="s">
        <v>382</v>
      </c>
      <c r="F3421" s="63" t="s">
        <v>745</v>
      </c>
      <c r="G3421" s="64" t="n">
        <v>0</v>
      </c>
      <c r="H3421" s="62" t="s">
        <v>138</v>
      </c>
    </row>
    <row r="3422" customFormat="false" ht="15" hidden="false" customHeight="false" outlineLevel="0" collapsed="false">
      <c r="A3422" s="62" t="n">
        <v>0</v>
      </c>
      <c r="B3422" s="62" t="s">
        <v>387</v>
      </c>
      <c r="C3422" s="62" t="s">
        <v>60</v>
      </c>
      <c r="D3422" s="62" t="s">
        <v>382</v>
      </c>
      <c r="E3422" s="62" t="s">
        <v>382</v>
      </c>
      <c r="F3422" s="63" t="s">
        <v>745</v>
      </c>
      <c r="G3422" s="64" t="n">
        <v>0</v>
      </c>
      <c r="H3422" s="62" t="s">
        <v>138</v>
      </c>
    </row>
    <row r="3423" customFormat="false" ht="15" hidden="false" customHeight="false" outlineLevel="0" collapsed="false">
      <c r="A3423" s="62" t="n">
        <v>0</v>
      </c>
      <c r="B3423" s="62" t="s">
        <v>388</v>
      </c>
      <c r="C3423" s="62" t="s">
        <v>60</v>
      </c>
      <c r="D3423" s="62" t="s">
        <v>382</v>
      </c>
      <c r="E3423" s="62" t="s">
        <v>382</v>
      </c>
      <c r="F3423" s="63" t="s">
        <v>745</v>
      </c>
      <c r="G3423" s="64" t="n">
        <v>0</v>
      </c>
      <c r="H3423" s="62" t="s">
        <v>138</v>
      </c>
    </row>
    <row r="3424" customFormat="false" ht="15" hidden="false" customHeight="false" outlineLevel="0" collapsed="false">
      <c r="A3424" s="62" t="n">
        <v>0</v>
      </c>
      <c r="B3424" s="62" t="s">
        <v>381</v>
      </c>
      <c r="C3424" s="62" t="s">
        <v>60</v>
      </c>
      <c r="D3424" s="62" t="s">
        <v>382</v>
      </c>
      <c r="E3424" s="62" t="s">
        <v>382</v>
      </c>
      <c r="F3424" s="63" t="s">
        <v>746</v>
      </c>
      <c r="G3424" s="64" t="n">
        <v>0</v>
      </c>
      <c r="H3424" s="62" t="s">
        <v>138</v>
      </c>
    </row>
    <row r="3425" customFormat="false" ht="15" hidden="false" customHeight="false" outlineLevel="0" collapsed="false">
      <c r="A3425" s="62" t="n">
        <v>0</v>
      </c>
      <c r="B3425" s="62" t="s">
        <v>383</v>
      </c>
      <c r="C3425" s="62" t="s">
        <v>60</v>
      </c>
      <c r="D3425" s="62" t="s">
        <v>382</v>
      </c>
      <c r="E3425" s="62" t="s">
        <v>382</v>
      </c>
      <c r="F3425" s="63" t="s">
        <v>746</v>
      </c>
      <c r="G3425" s="64" t="n">
        <v>0</v>
      </c>
      <c r="H3425" s="62" t="s">
        <v>138</v>
      </c>
    </row>
    <row r="3426" customFormat="false" ht="15" hidden="false" customHeight="false" outlineLevel="0" collapsed="false">
      <c r="A3426" s="62" t="n">
        <v>0</v>
      </c>
      <c r="B3426" s="62" t="s">
        <v>384</v>
      </c>
      <c r="C3426" s="62" t="s">
        <v>60</v>
      </c>
      <c r="D3426" s="62" t="s">
        <v>382</v>
      </c>
      <c r="E3426" s="62" t="s">
        <v>382</v>
      </c>
      <c r="F3426" s="63" t="s">
        <v>746</v>
      </c>
      <c r="G3426" s="64" t="n">
        <v>0</v>
      </c>
      <c r="H3426" s="62" t="s">
        <v>138</v>
      </c>
    </row>
    <row r="3427" customFormat="false" ht="15" hidden="false" customHeight="false" outlineLevel="0" collapsed="false">
      <c r="A3427" s="62" t="n">
        <v>0</v>
      </c>
      <c r="B3427" s="62" t="s">
        <v>385</v>
      </c>
      <c r="C3427" s="62" t="s">
        <v>60</v>
      </c>
      <c r="D3427" s="62" t="s">
        <v>382</v>
      </c>
      <c r="E3427" s="62" t="s">
        <v>382</v>
      </c>
      <c r="F3427" s="63" t="s">
        <v>746</v>
      </c>
      <c r="G3427" s="64" t="n">
        <v>0</v>
      </c>
      <c r="H3427" s="62" t="s">
        <v>138</v>
      </c>
    </row>
    <row r="3428" customFormat="false" ht="15" hidden="false" customHeight="false" outlineLevel="0" collapsed="false">
      <c r="A3428" s="62" t="n">
        <v>0</v>
      </c>
      <c r="B3428" s="62" t="s">
        <v>386</v>
      </c>
      <c r="C3428" s="62" t="s">
        <v>60</v>
      </c>
      <c r="D3428" s="62" t="s">
        <v>382</v>
      </c>
      <c r="E3428" s="62" t="s">
        <v>382</v>
      </c>
      <c r="F3428" s="63" t="s">
        <v>746</v>
      </c>
      <c r="G3428" s="64" t="n">
        <v>0</v>
      </c>
      <c r="H3428" s="62" t="s">
        <v>138</v>
      </c>
    </row>
    <row r="3429" customFormat="false" ht="15" hidden="false" customHeight="false" outlineLevel="0" collapsed="false">
      <c r="A3429" s="62" t="n">
        <v>0</v>
      </c>
      <c r="B3429" s="62" t="s">
        <v>387</v>
      </c>
      <c r="C3429" s="62" t="s">
        <v>60</v>
      </c>
      <c r="D3429" s="62" t="s">
        <v>382</v>
      </c>
      <c r="E3429" s="62" t="s">
        <v>382</v>
      </c>
      <c r="F3429" s="63" t="s">
        <v>746</v>
      </c>
      <c r="G3429" s="64" t="n">
        <v>0</v>
      </c>
      <c r="H3429" s="62" t="s">
        <v>138</v>
      </c>
    </row>
    <row r="3430" customFormat="false" ht="15" hidden="false" customHeight="false" outlineLevel="0" collapsed="false">
      <c r="A3430" s="62" t="n">
        <v>0</v>
      </c>
      <c r="B3430" s="62" t="s">
        <v>388</v>
      </c>
      <c r="C3430" s="62" t="s">
        <v>60</v>
      </c>
      <c r="D3430" s="62" t="s">
        <v>382</v>
      </c>
      <c r="E3430" s="62" t="s">
        <v>382</v>
      </c>
      <c r="F3430" s="63" t="s">
        <v>746</v>
      </c>
      <c r="G3430" s="64" t="n">
        <v>0</v>
      </c>
      <c r="H3430" s="62" t="s">
        <v>138</v>
      </c>
    </row>
    <row r="3431" customFormat="false" ht="15" hidden="false" customHeight="false" outlineLevel="0" collapsed="false">
      <c r="A3431" s="62" t="n">
        <v>0</v>
      </c>
      <c r="B3431" s="62" t="s">
        <v>381</v>
      </c>
      <c r="C3431" s="62" t="s">
        <v>60</v>
      </c>
      <c r="D3431" s="62" t="s">
        <v>382</v>
      </c>
      <c r="E3431" s="62" t="s">
        <v>382</v>
      </c>
      <c r="F3431" s="63" t="s">
        <v>747</v>
      </c>
      <c r="G3431" s="64" t="n">
        <v>0</v>
      </c>
      <c r="H3431" s="62" t="s">
        <v>138</v>
      </c>
    </row>
    <row r="3432" customFormat="false" ht="15" hidden="false" customHeight="false" outlineLevel="0" collapsed="false">
      <c r="A3432" s="62" t="n">
        <v>0</v>
      </c>
      <c r="B3432" s="62" t="s">
        <v>383</v>
      </c>
      <c r="C3432" s="62" t="s">
        <v>60</v>
      </c>
      <c r="D3432" s="62" t="s">
        <v>382</v>
      </c>
      <c r="E3432" s="62" t="s">
        <v>382</v>
      </c>
      <c r="F3432" s="63" t="s">
        <v>747</v>
      </c>
      <c r="G3432" s="64" t="n">
        <v>0</v>
      </c>
      <c r="H3432" s="62" t="s">
        <v>138</v>
      </c>
    </row>
    <row r="3433" customFormat="false" ht="15" hidden="false" customHeight="false" outlineLevel="0" collapsed="false">
      <c r="A3433" s="62" t="n">
        <v>0</v>
      </c>
      <c r="B3433" s="62" t="s">
        <v>384</v>
      </c>
      <c r="C3433" s="62" t="s">
        <v>60</v>
      </c>
      <c r="D3433" s="62" t="s">
        <v>382</v>
      </c>
      <c r="E3433" s="62" t="s">
        <v>382</v>
      </c>
      <c r="F3433" s="63" t="s">
        <v>747</v>
      </c>
      <c r="G3433" s="64" t="n">
        <v>0</v>
      </c>
      <c r="H3433" s="62" t="s">
        <v>138</v>
      </c>
    </row>
    <row r="3434" customFormat="false" ht="15" hidden="false" customHeight="false" outlineLevel="0" collapsed="false">
      <c r="A3434" s="62" t="n">
        <v>0</v>
      </c>
      <c r="B3434" s="62" t="s">
        <v>385</v>
      </c>
      <c r="C3434" s="62" t="s">
        <v>60</v>
      </c>
      <c r="D3434" s="62" t="s">
        <v>382</v>
      </c>
      <c r="E3434" s="62" t="s">
        <v>382</v>
      </c>
      <c r="F3434" s="63" t="s">
        <v>747</v>
      </c>
      <c r="G3434" s="64" t="n">
        <v>0</v>
      </c>
      <c r="H3434" s="62" t="s">
        <v>138</v>
      </c>
    </row>
    <row r="3435" customFormat="false" ht="15" hidden="false" customHeight="false" outlineLevel="0" collapsed="false">
      <c r="A3435" s="62" t="n">
        <v>0</v>
      </c>
      <c r="B3435" s="62" t="s">
        <v>386</v>
      </c>
      <c r="C3435" s="62" t="s">
        <v>60</v>
      </c>
      <c r="D3435" s="62" t="s">
        <v>382</v>
      </c>
      <c r="E3435" s="62" t="s">
        <v>382</v>
      </c>
      <c r="F3435" s="63" t="s">
        <v>747</v>
      </c>
      <c r="G3435" s="64" t="n">
        <v>0</v>
      </c>
      <c r="H3435" s="62" t="s">
        <v>138</v>
      </c>
    </row>
    <row r="3436" customFormat="false" ht="15" hidden="false" customHeight="false" outlineLevel="0" collapsed="false">
      <c r="A3436" s="62" t="n">
        <v>0</v>
      </c>
      <c r="B3436" s="62" t="s">
        <v>387</v>
      </c>
      <c r="C3436" s="62" t="s">
        <v>60</v>
      </c>
      <c r="D3436" s="62" t="s">
        <v>382</v>
      </c>
      <c r="E3436" s="62" t="s">
        <v>382</v>
      </c>
      <c r="F3436" s="63" t="s">
        <v>747</v>
      </c>
      <c r="G3436" s="64" t="n">
        <v>0</v>
      </c>
      <c r="H3436" s="62" t="s">
        <v>138</v>
      </c>
    </row>
    <row r="3437" customFormat="false" ht="15" hidden="false" customHeight="false" outlineLevel="0" collapsed="false">
      <c r="A3437" s="62" t="n">
        <v>0</v>
      </c>
      <c r="B3437" s="62" t="s">
        <v>388</v>
      </c>
      <c r="C3437" s="62" t="s">
        <v>60</v>
      </c>
      <c r="D3437" s="62" t="s">
        <v>382</v>
      </c>
      <c r="E3437" s="62" t="s">
        <v>382</v>
      </c>
      <c r="F3437" s="63" t="s">
        <v>747</v>
      </c>
      <c r="G3437" s="64" t="n">
        <v>0</v>
      </c>
      <c r="H3437" s="62" t="s">
        <v>138</v>
      </c>
    </row>
    <row r="3438" customFormat="false" ht="15" hidden="false" customHeight="false" outlineLevel="0" collapsed="false">
      <c r="A3438" s="62" t="n">
        <v>1</v>
      </c>
      <c r="B3438" s="62" t="s">
        <v>381</v>
      </c>
      <c r="C3438" s="62" t="s">
        <v>60</v>
      </c>
      <c r="D3438" s="62" t="s">
        <v>105</v>
      </c>
      <c r="E3438" s="62" t="s">
        <v>382</v>
      </c>
      <c r="F3438" s="63" t="s">
        <v>267</v>
      </c>
      <c r="G3438" s="64" t="n">
        <v>46479518.4049282</v>
      </c>
      <c r="H3438" s="62" t="s">
        <v>138</v>
      </c>
    </row>
    <row r="3439" customFormat="false" ht="15" hidden="false" customHeight="false" outlineLevel="0" collapsed="false">
      <c r="A3439" s="62" t="n">
        <v>1</v>
      </c>
      <c r="B3439" s="62" t="s">
        <v>383</v>
      </c>
      <c r="C3439" s="62" t="s">
        <v>60</v>
      </c>
      <c r="D3439" s="62" t="s">
        <v>105</v>
      </c>
      <c r="E3439" s="62" t="s">
        <v>382</v>
      </c>
      <c r="F3439" s="63" t="s">
        <v>267</v>
      </c>
      <c r="G3439" s="64" t="n">
        <v>63664086.2783436</v>
      </c>
      <c r="H3439" s="62" t="s">
        <v>138</v>
      </c>
    </row>
    <row r="3440" customFormat="false" ht="15" hidden="false" customHeight="false" outlineLevel="0" collapsed="false">
      <c r="A3440" s="62" t="n">
        <v>1</v>
      </c>
      <c r="B3440" s="62" t="s">
        <v>384</v>
      </c>
      <c r="C3440" s="62" t="s">
        <v>60</v>
      </c>
      <c r="D3440" s="62" t="s">
        <v>105</v>
      </c>
      <c r="E3440" s="62" t="s">
        <v>382</v>
      </c>
      <c r="F3440" s="63" t="s">
        <v>267</v>
      </c>
      <c r="G3440" s="64" t="n">
        <v>48983960.3928447</v>
      </c>
      <c r="H3440" s="62" t="s">
        <v>138</v>
      </c>
    </row>
    <row r="3441" customFormat="false" ht="15" hidden="false" customHeight="false" outlineLevel="0" collapsed="false">
      <c r="A3441" s="62" t="n">
        <v>1</v>
      </c>
      <c r="B3441" s="62" t="s">
        <v>385</v>
      </c>
      <c r="C3441" s="62" t="s">
        <v>60</v>
      </c>
      <c r="D3441" s="62" t="s">
        <v>105</v>
      </c>
      <c r="E3441" s="62" t="s">
        <v>382</v>
      </c>
      <c r="F3441" s="63" t="s">
        <v>267</v>
      </c>
      <c r="G3441" s="64" t="n">
        <v>32965268.9904068</v>
      </c>
      <c r="H3441" s="62" t="s">
        <v>138</v>
      </c>
    </row>
    <row r="3442" customFormat="false" ht="15" hidden="false" customHeight="false" outlineLevel="0" collapsed="false">
      <c r="A3442" s="62" t="n">
        <v>1</v>
      </c>
      <c r="B3442" s="62" t="s">
        <v>386</v>
      </c>
      <c r="C3442" s="62" t="s">
        <v>60</v>
      </c>
      <c r="D3442" s="62" t="s">
        <v>105</v>
      </c>
      <c r="E3442" s="62" t="s">
        <v>382</v>
      </c>
      <c r="F3442" s="63" t="s">
        <v>267</v>
      </c>
      <c r="G3442" s="64" t="n">
        <v>36513302.1120522</v>
      </c>
      <c r="H3442" s="62" t="s">
        <v>138</v>
      </c>
    </row>
    <row r="3443" customFormat="false" ht="15" hidden="false" customHeight="false" outlineLevel="0" collapsed="false">
      <c r="A3443" s="62" t="n">
        <v>1</v>
      </c>
      <c r="B3443" s="62" t="s">
        <v>387</v>
      </c>
      <c r="C3443" s="62" t="s">
        <v>60</v>
      </c>
      <c r="D3443" s="62" t="s">
        <v>105</v>
      </c>
      <c r="E3443" s="62" t="s">
        <v>382</v>
      </c>
      <c r="F3443" s="63" t="s">
        <v>267</v>
      </c>
      <c r="G3443" s="64" t="n">
        <v>47893222.1706776</v>
      </c>
      <c r="H3443" s="62" t="s">
        <v>138</v>
      </c>
    </row>
    <row r="3444" customFormat="false" ht="15" hidden="false" customHeight="false" outlineLevel="0" collapsed="false">
      <c r="A3444" s="62" t="n">
        <v>1</v>
      </c>
      <c r="B3444" s="62" t="s">
        <v>388</v>
      </c>
      <c r="C3444" s="62" t="s">
        <v>60</v>
      </c>
      <c r="D3444" s="62" t="s">
        <v>105</v>
      </c>
      <c r="E3444" s="62" t="s">
        <v>382</v>
      </c>
      <c r="F3444" s="63" t="s">
        <v>267</v>
      </c>
      <c r="G3444" s="64" t="n">
        <v>27472487.364</v>
      </c>
      <c r="H3444" s="62" t="s">
        <v>138</v>
      </c>
    </row>
    <row r="3445" customFormat="false" ht="15" hidden="false" customHeight="false" outlineLevel="0" collapsed="false">
      <c r="A3445" s="62" t="n">
        <v>1</v>
      </c>
      <c r="B3445" s="62" t="s">
        <v>381</v>
      </c>
      <c r="C3445" s="62" t="s">
        <v>60</v>
      </c>
      <c r="D3445" s="62" t="s">
        <v>105</v>
      </c>
      <c r="E3445" s="62" t="s">
        <v>382</v>
      </c>
      <c r="F3445" s="63" t="s">
        <v>389</v>
      </c>
      <c r="G3445" s="64" t="n">
        <v>16759035.9175582</v>
      </c>
      <c r="H3445" s="62" t="s">
        <v>138</v>
      </c>
    </row>
    <row r="3446" customFormat="false" ht="15" hidden="false" customHeight="false" outlineLevel="0" collapsed="false">
      <c r="A3446" s="62" t="n">
        <v>1</v>
      </c>
      <c r="B3446" s="62" t="s">
        <v>383</v>
      </c>
      <c r="C3446" s="62" t="s">
        <v>60</v>
      </c>
      <c r="D3446" s="62" t="s">
        <v>105</v>
      </c>
      <c r="E3446" s="62" t="s">
        <v>382</v>
      </c>
      <c r="F3446" s="63" t="s">
        <v>389</v>
      </c>
      <c r="G3446" s="64" t="n">
        <v>23541969.5190922</v>
      </c>
      <c r="H3446" s="62" t="s">
        <v>138</v>
      </c>
    </row>
    <row r="3447" customFormat="false" ht="15" hidden="false" customHeight="false" outlineLevel="0" collapsed="false">
      <c r="A3447" s="62" t="n">
        <v>1</v>
      </c>
      <c r="B3447" s="62" t="s">
        <v>384</v>
      </c>
      <c r="C3447" s="62" t="s">
        <v>60</v>
      </c>
      <c r="D3447" s="62" t="s">
        <v>105</v>
      </c>
      <c r="E3447" s="62" t="s">
        <v>382</v>
      </c>
      <c r="F3447" s="63" t="s">
        <v>389</v>
      </c>
      <c r="G3447" s="64" t="n">
        <v>14544627.6874323</v>
      </c>
      <c r="H3447" s="62" t="s">
        <v>138</v>
      </c>
    </row>
    <row r="3448" customFormat="false" ht="15" hidden="false" customHeight="false" outlineLevel="0" collapsed="false">
      <c r="A3448" s="62" t="n">
        <v>1</v>
      </c>
      <c r="B3448" s="62" t="s">
        <v>385</v>
      </c>
      <c r="C3448" s="62" t="s">
        <v>60</v>
      </c>
      <c r="D3448" s="62" t="s">
        <v>105</v>
      </c>
      <c r="E3448" s="62" t="s">
        <v>382</v>
      </c>
      <c r="F3448" s="63" t="s">
        <v>389</v>
      </c>
      <c r="G3448" s="64" t="n">
        <v>14110073.5881497</v>
      </c>
      <c r="H3448" s="62" t="s">
        <v>138</v>
      </c>
    </row>
    <row r="3449" customFormat="false" ht="15" hidden="false" customHeight="false" outlineLevel="0" collapsed="false">
      <c r="A3449" s="62" t="n">
        <v>1</v>
      </c>
      <c r="B3449" s="62" t="s">
        <v>386</v>
      </c>
      <c r="C3449" s="62" t="s">
        <v>60</v>
      </c>
      <c r="D3449" s="62" t="s">
        <v>105</v>
      </c>
      <c r="E3449" s="62" t="s">
        <v>382</v>
      </c>
      <c r="F3449" s="63" t="s">
        <v>389</v>
      </c>
      <c r="G3449" s="64" t="n">
        <v>12615972.0057305</v>
      </c>
      <c r="H3449" s="62" t="s">
        <v>138</v>
      </c>
    </row>
    <row r="3450" customFormat="false" ht="15" hidden="false" customHeight="false" outlineLevel="0" collapsed="false">
      <c r="A3450" s="62" t="n">
        <v>1</v>
      </c>
      <c r="B3450" s="62" t="s">
        <v>387</v>
      </c>
      <c r="C3450" s="62" t="s">
        <v>60</v>
      </c>
      <c r="D3450" s="62" t="s">
        <v>105</v>
      </c>
      <c r="E3450" s="62" t="s">
        <v>382</v>
      </c>
      <c r="F3450" s="63" t="s">
        <v>389</v>
      </c>
      <c r="G3450" s="64" t="n">
        <v>21559958.1977851</v>
      </c>
      <c r="H3450" s="62" t="s">
        <v>138</v>
      </c>
    </row>
    <row r="3451" customFormat="false" ht="15" hidden="false" customHeight="false" outlineLevel="0" collapsed="false">
      <c r="A3451" s="62" t="n">
        <v>1</v>
      </c>
      <c r="B3451" s="62" t="s">
        <v>388</v>
      </c>
      <c r="C3451" s="62" t="s">
        <v>60</v>
      </c>
      <c r="D3451" s="62" t="s">
        <v>105</v>
      </c>
      <c r="E3451" s="62" t="s">
        <v>382</v>
      </c>
      <c r="F3451" s="63" t="s">
        <v>389</v>
      </c>
      <c r="G3451" s="64" t="n">
        <v>16362214.1434808</v>
      </c>
      <c r="H3451" s="62" t="s">
        <v>138</v>
      </c>
    </row>
    <row r="3452" customFormat="false" ht="15" hidden="false" customHeight="false" outlineLevel="0" collapsed="false">
      <c r="A3452" s="62" t="n">
        <v>1</v>
      </c>
      <c r="B3452" s="62" t="s">
        <v>381</v>
      </c>
      <c r="C3452" s="62" t="s">
        <v>60</v>
      </c>
      <c r="D3452" s="62" t="s">
        <v>105</v>
      </c>
      <c r="E3452" s="62" t="s">
        <v>382</v>
      </c>
      <c r="F3452" s="63" t="s">
        <v>390</v>
      </c>
      <c r="G3452" s="64" t="n">
        <v>6342543.86115284</v>
      </c>
      <c r="H3452" s="62" t="s">
        <v>138</v>
      </c>
    </row>
    <row r="3453" customFormat="false" ht="15" hidden="false" customHeight="false" outlineLevel="0" collapsed="false">
      <c r="A3453" s="62" t="n">
        <v>1</v>
      </c>
      <c r="B3453" s="62" t="s">
        <v>383</v>
      </c>
      <c r="C3453" s="62" t="s">
        <v>60</v>
      </c>
      <c r="D3453" s="62" t="s">
        <v>105</v>
      </c>
      <c r="E3453" s="62" t="s">
        <v>382</v>
      </c>
      <c r="F3453" s="63" t="s">
        <v>390</v>
      </c>
      <c r="G3453" s="64" t="n">
        <v>6967709.42575127</v>
      </c>
      <c r="H3453" s="62" t="s">
        <v>138</v>
      </c>
    </row>
    <row r="3454" customFormat="false" ht="15" hidden="false" customHeight="false" outlineLevel="0" collapsed="false">
      <c r="A3454" s="62" t="n">
        <v>1</v>
      </c>
      <c r="B3454" s="62" t="s">
        <v>384</v>
      </c>
      <c r="C3454" s="62" t="s">
        <v>60</v>
      </c>
      <c r="D3454" s="62" t="s">
        <v>105</v>
      </c>
      <c r="E3454" s="62" t="s">
        <v>382</v>
      </c>
      <c r="F3454" s="63" t="s">
        <v>390</v>
      </c>
      <c r="G3454" s="64" t="n">
        <v>8448149.97637876</v>
      </c>
      <c r="H3454" s="62" t="s">
        <v>138</v>
      </c>
    </row>
    <row r="3455" customFormat="false" ht="15" hidden="false" customHeight="false" outlineLevel="0" collapsed="false">
      <c r="A3455" s="62" t="n">
        <v>1</v>
      </c>
      <c r="B3455" s="62" t="s">
        <v>385</v>
      </c>
      <c r="C3455" s="62" t="s">
        <v>60</v>
      </c>
      <c r="D3455" s="62" t="s">
        <v>105</v>
      </c>
      <c r="E3455" s="62" t="s">
        <v>382</v>
      </c>
      <c r="F3455" s="63" t="s">
        <v>390</v>
      </c>
      <c r="G3455" s="64" t="n">
        <v>4896289.74378424</v>
      </c>
      <c r="H3455" s="62" t="s">
        <v>138</v>
      </c>
    </row>
    <row r="3456" customFormat="false" ht="15" hidden="false" customHeight="false" outlineLevel="0" collapsed="false">
      <c r="A3456" s="62" t="n">
        <v>1</v>
      </c>
      <c r="B3456" s="62" t="s">
        <v>386</v>
      </c>
      <c r="C3456" s="62" t="s">
        <v>60</v>
      </c>
      <c r="D3456" s="62" t="s">
        <v>105</v>
      </c>
      <c r="E3456" s="62" t="s">
        <v>382</v>
      </c>
      <c r="F3456" s="63" t="s">
        <v>390</v>
      </c>
      <c r="G3456" s="64" t="n">
        <v>5791359.86366864</v>
      </c>
      <c r="H3456" s="62" t="s">
        <v>138</v>
      </c>
    </row>
    <row r="3457" customFormat="false" ht="15" hidden="false" customHeight="false" outlineLevel="0" collapsed="false">
      <c r="A3457" s="62" t="n">
        <v>1</v>
      </c>
      <c r="B3457" s="62" t="s">
        <v>387</v>
      </c>
      <c r="C3457" s="62" t="s">
        <v>60</v>
      </c>
      <c r="D3457" s="62" t="s">
        <v>105</v>
      </c>
      <c r="E3457" s="62" t="s">
        <v>382</v>
      </c>
      <c r="F3457" s="63" t="s">
        <v>390</v>
      </c>
      <c r="G3457" s="64" t="n">
        <v>5860003.87690102</v>
      </c>
      <c r="H3457" s="62" t="s">
        <v>138</v>
      </c>
    </row>
    <row r="3458" customFormat="false" ht="15" hidden="false" customHeight="false" outlineLevel="0" collapsed="false">
      <c r="A3458" s="62" t="n">
        <v>1</v>
      </c>
      <c r="B3458" s="62" t="s">
        <v>388</v>
      </c>
      <c r="C3458" s="62" t="s">
        <v>60</v>
      </c>
      <c r="D3458" s="62" t="s">
        <v>105</v>
      </c>
      <c r="E3458" s="62" t="s">
        <v>382</v>
      </c>
      <c r="F3458" s="63" t="s">
        <v>390</v>
      </c>
      <c r="G3458" s="64" t="n">
        <v>4839520</v>
      </c>
      <c r="H3458" s="62" t="s">
        <v>138</v>
      </c>
    </row>
    <row r="3459" customFormat="false" ht="15" hidden="false" customHeight="false" outlineLevel="0" collapsed="false">
      <c r="A3459" s="62" t="n">
        <v>1</v>
      </c>
      <c r="B3459" s="62" t="s">
        <v>381</v>
      </c>
      <c r="C3459" s="62" t="s">
        <v>60</v>
      </c>
      <c r="D3459" s="62" t="s">
        <v>105</v>
      </c>
      <c r="E3459" s="62" t="s">
        <v>382</v>
      </c>
      <c r="F3459" s="63" t="s">
        <v>391</v>
      </c>
      <c r="G3459" s="64" t="n">
        <v>12927498.4318747</v>
      </c>
      <c r="H3459" s="62" t="s">
        <v>138</v>
      </c>
    </row>
    <row r="3460" customFormat="false" ht="15" hidden="false" customHeight="false" outlineLevel="0" collapsed="false">
      <c r="A3460" s="62" t="n">
        <v>1</v>
      </c>
      <c r="B3460" s="62" t="s">
        <v>383</v>
      </c>
      <c r="C3460" s="62" t="s">
        <v>60</v>
      </c>
      <c r="D3460" s="62" t="s">
        <v>105</v>
      </c>
      <c r="E3460" s="62" t="s">
        <v>382</v>
      </c>
      <c r="F3460" s="63" t="s">
        <v>391</v>
      </c>
      <c r="G3460" s="64" t="n">
        <v>4189208.77178431</v>
      </c>
      <c r="H3460" s="62" t="s">
        <v>138</v>
      </c>
    </row>
    <row r="3461" customFormat="false" ht="15" hidden="false" customHeight="false" outlineLevel="0" collapsed="false">
      <c r="A3461" s="62" t="n">
        <v>1</v>
      </c>
      <c r="B3461" s="62" t="s">
        <v>384</v>
      </c>
      <c r="C3461" s="62" t="s">
        <v>60</v>
      </c>
      <c r="D3461" s="62" t="s">
        <v>105</v>
      </c>
      <c r="E3461" s="62" t="s">
        <v>382</v>
      </c>
      <c r="F3461" s="63" t="s">
        <v>391</v>
      </c>
      <c r="G3461" s="64" t="n">
        <v>7157343.07256458</v>
      </c>
      <c r="H3461" s="62" t="s">
        <v>138</v>
      </c>
    </row>
    <row r="3462" customFormat="false" ht="15" hidden="false" customHeight="false" outlineLevel="0" collapsed="false">
      <c r="A3462" s="62" t="n">
        <v>1</v>
      </c>
      <c r="B3462" s="62" t="s">
        <v>385</v>
      </c>
      <c r="C3462" s="62" t="s">
        <v>60</v>
      </c>
      <c r="D3462" s="62" t="s">
        <v>105</v>
      </c>
      <c r="E3462" s="62" t="s">
        <v>382</v>
      </c>
      <c r="F3462" s="63" t="s">
        <v>391</v>
      </c>
      <c r="G3462" s="64" t="n">
        <v>0</v>
      </c>
      <c r="H3462" s="62" t="s">
        <v>138</v>
      </c>
    </row>
    <row r="3463" customFormat="false" ht="15" hidden="false" customHeight="false" outlineLevel="0" collapsed="false">
      <c r="A3463" s="62" t="n">
        <v>1</v>
      </c>
      <c r="B3463" s="62" t="s">
        <v>386</v>
      </c>
      <c r="C3463" s="62" t="s">
        <v>60</v>
      </c>
      <c r="D3463" s="62" t="s">
        <v>105</v>
      </c>
      <c r="E3463" s="62" t="s">
        <v>382</v>
      </c>
      <c r="F3463" s="63" t="s">
        <v>391</v>
      </c>
      <c r="G3463" s="64" t="n">
        <v>5663654.66726401</v>
      </c>
      <c r="H3463" s="62" t="s">
        <v>138</v>
      </c>
    </row>
    <row r="3464" customFormat="false" ht="15" hidden="false" customHeight="false" outlineLevel="0" collapsed="false">
      <c r="A3464" s="62" t="n">
        <v>1</v>
      </c>
      <c r="B3464" s="62" t="s">
        <v>387</v>
      </c>
      <c r="C3464" s="62" t="s">
        <v>60</v>
      </c>
      <c r="D3464" s="62" t="s">
        <v>105</v>
      </c>
      <c r="E3464" s="62" t="s">
        <v>382</v>
      </c>
      <c r="F3464" s="63" t="s">
        <v>391</v>
      </c>
      <c r="G3464" s="64" t="n">
        <v>2882275.80023416</v>
      </c>
      <c r="H3464" s="62" t="s">
        <v>138</v>
      </c>
    </row>
    <row r="3465" customFormat="false" ht="15" hidden="false" customHeight="false" outlineLevel="0" collapsed="false">
      <c r="A3465" s="62" t="n">
        <v>1</v>
      </c>
      <c r="B3465" s="62" t="s">
        <v>388</v>
      </c>
      <c r="C3465" s="62" t="s">
        <v>60</v>
      </c>
      <c r="D3465" s="62" t="s">
        <v>105</v>
      </c>
      <c r="E3465" s="62" t="s">
        <v>382</v>
      </c>
      <c r="F3465" s="63" t="s">
        <v>391</v>
      </c>
      <c r="G3465" s="64" t="n">
        <v>0</v>
      </c>
      <c r="H3465" s="62" t="s">
        <v>138</v>
      </c>
    </row>
    <row r="3466" customFormat="false" ht="15" hidden="false" customHeight="false" outlineLevel="0" collapsed="false">
      <c r="A3466" s="62" t="n">
        <v>1</v>
      </c>
      <c r="B3466" s="62" t="s">
        <v>381</v>
      </c>
      <c r="C3466" s="62" t="s">
        <v>60</v>
      </c>
      <c r="D3466" s="62" t="s">
        <v>105</v>
      </c>
      <c r="E3466" s="62" t="s">
        <v>382</v>
      </c>
      <c r="F3466" s="63" t="s">
        <v>392</v>
      </c>
      <c r="G3466" s="64" t="n">
        <v>1160295.92581436</v>
      </c>
      <c r="H3466" s="62" t="s">
        <v>138</v>
      </c>
    </row>
    <row r="3467" customFormat="false" ht="15" hidden="false" customHeight="false" outlineLevel="0" collapsed="false">
      <c r="A3467" s="62" t="n">
        <v>1</v>
      </c>
      <c r="B3467" s="62" t="s">
        <v>383</v>
      </c>
      <c r="C3467" s="62" t="s">
        <v>60</v>
      </c>
      <c r="D3467" s="62" t="s">
        <v>105</v>
      </c>
      <c r="E3467" s="62" t="s">
        <v>382</v>
      </c>
      <c r="F3467" s="63" t="s">
        <v>392</v>
      </c>
      <c r="G3467" s="64" t="n">
        <v>1939295.78710139</v>
      </c>
      <c r="H3467" s="62" t="s">
        <v>138</v>
      </c>
    </row>
    <row r="3468" customFormat="false" ht="15" hidden="false" customHeight="false" outlineLevel="0" collapsed="false">
      <c r="A3468" s="62" t="n">
        <v>1</v>
      </c>
      <c r="B3468" s="62" t="s">
        <v>384</v>
      </c>
      <c r="C3468" s="62" t="s">
        <v>60</v>
      </c>
      <c r="D3468" s="62" t="s">
        <v>105</v>
      </c>
      <c r="E3468" s="62" t="s">
        <v>382</v>
      </c>
      <c r="F3468" s="63" t="s">
        <v>392</v>
      </c>
      <c r="G3468" s="64" t="n">
        <v>1567067.33230724</v>
      </c>
      <c r="H3468" s="62" t="s">
        <v>138</v>
      </c>
    </row>
    <row r="3469" customFormat="false" ht="15" hidden="false" customHeight="false" outlineLevel="0" collapsed="false">
      <c r="A3469" s="62" t="n">
        <v>1</v>
      </c>
      <c r="B3469" s="62" t="s">
        <v>385</v>
      </c>
      <c r="C3469" s="62" t="s">
        <v>60</v>
      </c>
      <c r="D3469" s="62" t="s">
        <v>105</v>
      </c>
      <c r="E3469" s="62" t="s">
        <v>382</v>
      </c>
      <c r="F3469" s="63" t="s">
        <v>392</v>
      </c>
      <c r="G3469" s="64" t="n">
        <v>855919.875908831</v>
      </c>
      <c r="H3469" s="62" t="s">
        <v>138</v>
      </c>
    </row>
    <row r="3470" customFormat="false" ht="15" hidden="false" customHeight="false" outlineLevel="0" collapsed="false">
      <c r="A3470" s="62" t="n">
        <v>1</v>
      </c>
      <c r="B3470" s="62" t="s">
        <v>386</v>
      </c>
      <c r="C3470" s="62" t="s">
        <v>60</v>
      </c>
      <c r="D3470" s="62" t="s">
        <v>105</v>
      </c>
      <c r="E3470" s="62" t="s">
        <v>382</v>
      </c>
      <c r="F3470" s="63" t="s">
        <v>392</v>
      </c>
      <c r="G3470" s="64" t="n">
        <v>330943.875469526</v>
      </c>
      <c r="H3470" s="62" t="s">
        <v>138</v>
      </c>
    </row>
    <row r="3471" customFormat="false" ht="15" hidden="false" customHeight="false" outlineLevel="0" collapsed="false">
      <c r="A3471" s="62" t="n">
        <v>1</v>
      </c>
      <c r="B3471" s="62" t="s">
        <v>387</v>
      </c>
      <c r="C3471" s="62" t="s">
        <v>60</v>
      </c>
      <c r="D3471" s="62" t="s">
        <v>105</v>
      </c>
      <c r="E3471" s="62" t="s">
        <v>382</v>
      </c>
      <c r="F3471" s="63" t="s">
        <v>392</v>
      </c>
      <c r="G3471" s="64" t="n">
        <v>1765281.99836599</v>
      </c>
      <c r="H3471" s="62" t="s">
        <v>138</v>
      </c>
    </row>
    <row r="3472" customFormat="false" ht="15" hidden="false" customHeight="false" outlineLevel="0" collapsed="false">
      <c r="A3472" s="62" t="n">
        <v>1</v>
      </c>
      <c r="B3472" s="62" t="s">
        <v>388</v>
      </c>
      <c r="C3472" s="62" t="s">
        <v>60</v>
      </c>
      <c r="D3472" s="62" t="s">
        <v>105</v>
      </c>
      <c r="E3472" s="62" t="s">
        <v>382</v>
      </c>
      <c r="F3472" s="63" t="s">
        <v>392</v>
      </c>
      <c r="G3472" s="64" t="n">
        <v>0</v>
      </c>
      <c r="H3472" s="62" t="s">
        <v>138</v>
      </c>
    </row>
    <row r="3473" customFormat="false" ht="15" hidden="false" customHeight="false" outlineLevel="0" collapsed="false">
      <c r="A3473" s="62" t="n">
        <v>1</v>
      </c>
      <c r="B3473" s="62" t="s">
        <v>381</v>
      </c>
      <c r="C3473" s="62" t="s">
        <v>60</v>
      </c>
      <c r="D3473" s="62" t="s">
        <v>105</v>
      </c>
      <c r="E3473" s="62" t="s">
        <v>382</v>
      </c>
      <c r="F3473" s="63" t="s">
        <v>393</v>
      </c>
      <c r="G3473" s="64" t="n">
        <v>1122191.85714286</v>
      </c>
      <c r="H3473" s="62" t="s">
        <v>138</v>
      </c>
    </row>
    <row r="3474" customFormat="false" ht="15" hidden="false" customHeight="false" outlineLevel="0" collapsed="false">
      <c r="A3474" s="62" t="n">
        <v>1</v>
      </c>
      <c r="B3474" s="62" t="s">
        <v>383</v>
      </c>
      <c r="C3474" s="62" t="s">
        <v>60</v>
      </c>
      <c r="D3474" s="62" t="s">
        <v>105</v>
      </c>
      <c r="E3474" s="62" t="s">
        <v>382</v>
      </c>
      <c r="F3474" s="63" t="s">
        <v>393</v>
      </c>
      <c r="G3474" s="64" t="n">
        <v>1813270.42857143</v>
      </c>
      <c r="H3474" s="62" t="s">
        <v>138</v>
      </c>
    </row>
    <row r="3475" customFormat="false" ht="15" hidden="false" customHeight="false" outlineLevel="0" collapsed="false">
      <c r="A3475" s="62" t="n">
        <v>1</v>
      </c>
      <c r="B3475" s="62" t="s">
        <v>384</v>
      </c>
      <c r="C3475" s="62" t="s">
        <v>60</v>
      </c>
      <c r="D3475" s="62" t="s">
        <v>105</v>
      </c>
      <c r="E3475" s="62" t="s">
        <v>382</v>
      </c>
      <c r="F3475" s="63" t="s">
        <v>393</v>
      </c>
      <c r="G3475" s="64" t="n">
        <v>720207.657142857</v>
      </c>
      <c r="H3475" s="62" t="s">
        <v>138</v>
      </c>
    </row>
    <row r="3476" customFormat="false" ht="15" hidden="false" customHeight="false" outlineLevel="0" collapsed="false">
      <c r="A3476" s="62" t="n">
        <v>1</v>
      </c>
      <c r="B3476" s="62" t="s">
        <v>385</v>
      </c>
      <c r="C3476" s="62" t="s">
        <v>60</v>
      </c>
      <c r="D3476" s="62" t="s">
        <v>105</v>
      </c>
      <c r="E3476" s="62" t="s">
        <v>382</v>
      </c>
      <c r="F3476" s="63" t="s">
        <v>393</v>
      </c>
      <c r="G3476" s="64" t="n">
        <v>667136.571428572</v>
      </c>
      <c r="H3476" s="62" t="s">
        <v>138</v>
      </c>
    </row>
    <row r="3477" customFormat="false" ht="15" hidden="false" customHeight="false" outlineLevel="0" collapsed="false">
      <c r="A3477" s="62" t="n">
        <v>1</v>
      </c>
      <c r="B3477" s="62" t="s">
        <v>386</v>
      </c>
      <c r="C3477" s="62" t="s">
        <v>60</v>
      </c>
      <c r="D3477" s="62" t="s">
        <v>105</v>
      </c>
      <c r="E3477" s="62" t="s">
        <v>382</v>
      </c>
      <c r="F3477" s="63" t="s">
        <v>393</v>
      </c>
      <c r="G3477" s="64" t="n">
        <v>802446.571428572</v>
      </c>
      <c r="H3477" s="62" t="s">
        <v>138</v>
      </c>
    </row>
    <row r="3478" customFormat="false" ht="15" hidden="false" customHeight="false" outlineLevel="0" collapsed="false">
      <c r="A3478" s="62" t="n">
        <v>1</v>
      </c>
      <c r="B3478" s="62" t="s">
        <v>387</v>
      </c>
      <c r="C3478" s="62" t="s">
        <v>60</v>
      </c>
      <c r="D3478" s="62" t="s">
        <v>105</v>
      </c>
      <c r="E3478" s="62" t="s">
        <v>382</v>
      </c>
      <c r="F3478" s="63" t="s">
        <v>393</v>
      </c>
      <c r="G3478" s="64" t="n">
        <v>2957886</v>
      </c>
      <c r="H3478" s="62" t="s">
        <v>138</v>
      </c>
    </row>
    <row r="3479" customFormat="false" ht="15" hidden="false" customHeight="false" outlineLevel="0" collapsed="false">
      <c r="A3479" s="62" t="n">
        <v>1</v>
      </c>
      <c r="B3479" s="62" t="s">
        <v>388</v>
      </c>
      <c r="C3479" s="62" t="s">
        <v>60</v>
      </c>
      <c r="D3479" s="62" t="s">
        <v>105</v>
      </c>
      <c r="E3479" s="62" t="s">
        <v>382</v>
      </c>
      <c r="F3479" s="63" t="s">
        <v>393</v>
      </c>
      <c r="G3479" s="64" t="n">
        <v>1666575.71428571</v>
      </c>
      <c r="H3479" s="62" t="s">
        <v>138</v>
      </c>
    </row>
    <row r="3480" customFormat="false" ht="15" hidden="false" customHeight="false" outlineLevel="0" collapsed="false">
      <c r="A3480" s="62" t="n">
        <v>1</v>
      </c>
      <c r="B3480" s="62" t="s">
        <v>381</v>
      </c>
      <c r="C3480" s="62" t="s">
        <v>60</v>
      </c>
      <c r="D3480" s="62" t="s">
        <v>105</v>
      </c>
      <c r="E3480" s="62" t="s">
        <v>382</v>
      </c>
      <c r="F3480" s="63" t="s">
        <v>394</v>
      </c>
      <c r="G3480" s="64" t="n">
        <v>1600000</v>
      </c>
      <c r="H3480" s="62" t="s">
        <v>138</v>
      </c>
    </row>
    <row r="3481" customFormat="false" ht="15" hidden="false" customHeight="false" outlineLevel="0" collapsed="false">
      <c r="A3481" s="62" t="n">
        <v>1</v>
      </c>
      <c r="B3481" s="62" t="s">
        <v>383</v>
      </c>
      <c r="C3481" s="62" t="s">
        <v>60</v>
      </c>
      <c r="D3481" s="62" t="s">
        <v>105</v>
      </c>
      <c r="E3481" s="62" t="s">
        <v>382</v>
      </c>
      <c r="F3481" s="63" t="s">
        <v>394</v>
      </c>
      <c r="G3481" s="64" t="n">
        <v>6954052</v>
      </c>
      <c r="H3481" s="62" t="s">
        <v>138</v>
      </c>
    </row>
    <row r="3482" customFormat="false" ht="15" hidden="false" customHeight="false" outlineLevel="0" collapsed="false">
      <c r="A3482" s="62" t="n">
        <v>1</v>
      </c>
      <c r="B3482" s="62" t="s">
        <v>384</v>
      </c>
      <c r="C3482" s="62" t="s">
        <v>60</v>
      </c>
      <c r="D3482" s="62" t="s">
        <v>105</v>
      </c>
      <c r="E3482" s="62" t="s">
        <v>382</v>
      </c>
      <c r="F3482" s="63" t="s">
        <v>394</v>
      </c>
      <c r="G3482" s="64" t="n">
        <v>1730505</v>
      </c>
      <c r="H3482" s="62" t="s">
        <v>138</v>
      </c>
    </row>
    <row r="3483" customFormat="false" ht="15" hidden="false" customHeight="false" outlineLevel="0" collapsed="false">
      <c r="A3483" s="62" t="n">
        <v>1</v>
      </c>
      <c r="B3483" s="62" t="s">
        <v>385</v>
      </c>
      <c r="C3483" s="62" t="s">
        <v>60</v>
      </c>
      <c r="D3483" s="62" t="s">
        <v>105</v>
      </c>
      <c r="E3483" s="62" t="s">
        <v>382</v>
      </c>
      <c r="F3483" s="63" t="s">
        <v>394</v>
      </c>
      <c r="G3483" s="64" t="n">
        <v>1931857</v>
      </c>
      <c r="H3483" s="62" t="s">
        <v>138</v>
      </c>
    </row>
    <row r="3484" customFormat="false" ht="15" hidden="false" customHeight="false" outlineLevel="0" collapsed="false">
      <c r="A3484" s="62" t="n">
        <v>1</v>
      </c>
      <c r="B3484" s="62" t="s">
        <v>386</v>
      </c>
      <c r="C3484" s="62" t="s">
        <v>60</v>
      </c>
      <c r="D3484" s="62" t="s">
        <v>105</v>
      </c>
      <c r="E3484" s="62" t="s">
        <v>382</v>
      </c>
      <c r="F3484" s="63" t="s">
        <v>394</v>
      </c>
      <c r="G3484" s="64" t="n">
        <v>2350000</v>
      </c>
      <c r="H3484" s="62" t="s">
        <v>138</v>
      </c>
    </row>
    <row r="3485" customFormat="false" ht="15" hidden="false" customHeight="false" outlineLevel="0" collapsed="false">
      <c r="A3485" s="62" t="n">
        <v>1</v>
      </c>
      <c r="B3485" s="62" t="s">
        <v>387</v>
      </c>
      <c r="C3485" s="62" t="s">
        <v>60</v>
      </c>
      <c r="D3485" s="62" t="s">
        <v>105</v>
      </c>
      <c r="E3485" s="62" t="s">
        <v>382</v>
      </c>
      <c r="F3485" s="63" t="s">
        <v>394</v>
      </c>
      <c r="G3485" s="64" t="n">
        <v>2108580</v>
      </c>
      <c r="H3485" s="62" t="s">
        <v>138</v>
      </c>
    </row>
    <row r="3486" customFormat="false" ht="15" hidden="false" customHeight="false" outlineLevel="0" collapsed="false">
      <c r="A3486" s="62" t="n">
        <v>1</v>
      </c>
      <c r="B3486" s="62" t="s">
        <v>388</v>
      </c>
      <c r="C3486" s="62" t="s">
        <v>60</v>
      </c>
      <c r="D3486" s="62" t="s">
        <v>105</v>
      </c>
      <c r="E3486" s="62" t="s">
        <v>382</v>
      </c>
      <c r="F3486" s="63" t="s">
        <v>394</v>
      </c>
      <c r="G3486" s="64" t="n">
        <v>2425449</v>
      </c>
      <c r="H3486" s="62" t="s">
        <v>138</v>
      </c>
    </row>
    <row r="3487" customFormat="false" ht="15" hidden="false" customHeight="false" outlineLevel="0" collapsed="false">
      <c r="A3487" s="62" t="n">
        <v>1</v>
      </c>
      <c r="B3487" s="62" t="s">
        <v>381</v>
      </c>
      <c r="C3487" s="62" t="s">
        <v>60</v>
      </c>
      <c r="D3487" s="62" t="s">
        <v>105</v>
      </c>
      <c r="E3487" s="62" t="s">
        <v>382</v>
      </c>
      <c r="F3487" s="63" t="s">
        <v>395</v>
      </c>
      <c r="G3487" s="64" t="n">
        <v>362726.306152728</v>
      </c>
      <c r="H3487" s="62" t="s">
        <v>138</v>
      </c>
    </row>
    <row r="3488" customFormat="false" ht="15" hidden="false" customHeight="false" outlineLevel="0" collapsed="false">
      <c r="A3488" s="62" t="n">
        <v>1</v>
      </c>
      <c r="B3488" s="62" t="s">
        <v>383</v>
      </c>
      <c r="C3488" s="62" t="s">
        <v>60</v>
      </c>
      <c r="D3488" s="62" t="s">
        <v>105</v>
      </c>
      <c r="E3488" s="62" t="s">
        <v>382</v>
      </c>
      <c r="F3488" s="63" t="s">
        <v>395</v>
      </c>
      <c r="G3488" s="64" t="n">
        <v>262472.131222349</v>
      </c>
      <c r="H3488" s="62" t="s">
        <v>138</v>
      </c>
    </row>
    <row r="3489" customFormat="false" ht="15" hidden="false" customHeight="false" outlineLevel="0" collapsed="false">
      <c r="A3489" s="62" t="n">
        <v>1</v>
      </c>
      <c r="B3489" s="62" t="s">
        <v>384</v>
      </c>
      <c r="C3489" s="62" t="s">
        <v>60</v>
      </c>
      <c r="D3489" s="62" t="s">
        <v>105</v>
      </c>
      <c r="E3489" s="62" t="s">
        <v>382</v>
      </c>
      <c r="F3489" s="63" t="s">
        <v>395</v>
      </c>
      <c r="G3489" s="64" t="n">
        <v>278953.396183612</v>
      </c>
      <c r="H3489" s="62" t="s">
        <v>138</v>
      </c>
    </row>
    <row r="3490" customFormat="false" ht="15" hidden="false" customHeight="false" outlineLevel="0" collapsed="false">
      <c r="A3490" s="62" t="n">
        <v>1</v>
      </c>
      <c r="B3490" s="62" t="s">
        <v>385</v>
      </c>
      <c r="C3490" s="62" t="s">
        <v>60</v>
      </c>
      <c r="D3490" s="62" t="s">
        <v>105</v>
      </c>
      <c r="E3490" s="62" t="s">
        <v>382</v>
      </c>
      <c r="F3490" s="63" t="s">
        <v>395</v>
      </c>
      <c r="G3490" s="64" t="n">
        <v>344113.181205255</v>
      </c>
      <c r="H3490" s="62" t="s">
        <v>138</v>
      </c>
    </row>
    <row r="3491" customFormat="false" ht="15" hidden="false" customHeight="false" outlineLevel="0" collapsed="false">
      <c r="A3491" s="62" t="n">
        <v>1</v>
      </c>
      <c r="B3491" s="62" t="s">
        <v>386</v>
      </c>
      <c r="C3491" s="62" t="s">
        <v>60</v>
      </c>
      <c r="D3491" s="62" t="s">
        <v>105</v>
      </c>
      <c r="E3491" s="62" t="s">
        <v>382</v>
      </c>
      <c r="F3491" s="63" t="s">
        <v>395</v>
      </c>
      <c r="G3491" s="64" t="n">
        <v>217593.521347505</v>
      </c>
      <c r="H3491" s="62" t="s">
        <v>138</v>
      </c>
    </row>
    <row r="3492" customFormat="false" ht="15" hidden="false" customHeight="false" outlineLevel="0" collapsed="false">
      <c r="A3492" s="62" t="n">
        <v>1</v>
      </c>
      <c r="B3492" s="62" t="s">
        <v>387</v>
      </c>
      <c r="C3492" s="62" t="s">
        <v>60</v>
      </c>
      <c r="D3492" s="62" t="s">
        <v>105</v>
      </c>
      <c r="E3492" s="62" t="s">
        <v>382</v>
      </c>
      <c r="F3492" s="63" t="s">
        <v>395</v>
      </c>
      <c r="G3492" s="64" t="n">
        <v>299104.749670388</v>
      </c>
      <c r="H3492" s="62" t="s">
        <v>138</v>
      </c>
    </row>
    <row r="3493" customFormat="false" ht="15" hidden="false" customHeight="false" outlineLevel="0" collapsed="false">
      <c r="A3493" s="62" t="n">
        <v>1</v>
      </c>
      <c r="B3493" s="62" t="s">
        <v>388</v>
      </c>
      <c r="C3493" s="62" t="s">
        <v>60</v>
      </c>
      <c r="D3493" s="62" t="s">
        <v>105</v>
      </c>
      <c r="E3493" s="62" t="s">
        <v>382</v>
      </c>
      <c r="F3493" s="63" t="s">
        <v>395</v>
      </c>
      <c r="G3493" s="64" t="n">
        <v>222593.521347505</v>
      </c>
      <c r="H3493" s="62" t="s">
        <v>138</v>
      </c>
    </row>
    <row r="3494" customFormat="false" ht="15" hidden="false" customHeight="false" outlineLevel="0" collapsed="false">
      <c r="A3494" s="62" t="n">
        <v>1</v>
      </c>
      <c r="B3494" s="62" t="s">
        <v>381</v>
      </c>
      <c r="C3494" s="62" t="s">
        <v>60</v>
      </c>
      <c r="D3494" s="62" t="s">
        <v>105</v>
      </c>
      <c r="E3494" s="62" t="s">
        <v>382</v>
      </c>
      <c r="F3494" s="63" t="s">
        <v>271</v>
      </c>
      <c r="G3494" s="64" t="n">
        <v>40274292.2996956</v>
      </c>
      <c r="H3494" s="62" t="s">
        <v>138</v>
      </c>
    </row>
    <row r="3495" customFormat="false" ht="15" hidden="false" customHeight="false" outlineLevel="0" collapsed="false">
      <c r="A3495" s="62" t="n">
        <v>1</v>
      </c>
      <c r="B3495" s="62" t="s">
        <v>383</v>
      </c>
      <c r="C3495" s="62" t="s">
        <v>60</v>
      </c>
      <c r="D3495" s="62" t="s">
        <v>105</v>
      </c>
      <c r="E3495" s="62" t="s">
        <v>382</v>
      </c>
      <c r="F3495" s="63" t="s">
        <v>271</v>
      </c>
      <c r="G3495" s="64" t="n">
        <v>45667978.063523</v>
      </c>
      <c r="H3495" s="62" t="s">
        <v>138</v>
      </c>
    </row>
    <row r="3496" customFormat="false" ht="15" hidden="false" customHeight="false" outlineLevel="0" collapsed="false">
      <c r="A3496" s="62" t="n">
        <v>1</v>
      </c>
      <c r="B3496" s="62" t="s">
        <v>384</v>
      </c>
      <c r="C3496" s="62" t="s">
        <v>60</v>
      </c>
      <c r="D3496" s="62" t="s">
        <v>105</v>
      </c>
      <c r="E3496" s="62" t="s">
        <v>382</v>
      </c>
      <c r="F3496" s="63" t="s">
        <v>271</v>
      </c>
      <c r="G3496" s="64" t="n">
        <v>34446854.1220093</v>
      </c>
      <c r="H3496" s="62" t="s">
        <v>138</v>
      </c>
    </row>
    <row r="3497" customFormat="false" ht="15" hidden="false" customHeight="false" outlineLevel="0" collapsed="false">
      <c r="A3497" s="62" t="n">
        <v>1</v>
      </c>
      <c r="B3497" s="62" t="s">
        <v>385</v>
      </c>
      <c r="C3497" s="62" t="s">
        <v>60</v>
      </c>
      <c r="D3497" s="62" t="s">
        <v>105</v>
      </c>
      <c r="E3497" s="62" t="s">
        <v>382</v>
      </c>
      <c r="F3497" s="63" t="s">
        <v>271</v>
      </c>
      <c r="G3497" s="64" t="n">
        <v>22805389.9604766</v>
      </c>
      <c r="H3497" s="62" t="s">
        <v>138</v>
      </c>
    </row>
    <row r="3498" customFormat="false" ht="15" hidden="false" customHeight="false" outlineLevel="0" collapsed="false">
      <c r="A3498" s="62" t="n">
        <v>1</v>
      </c>
      <c r="B3498" s="62" t="s">
        <v>386</v>
      </c>
      <c r="C3498" s="62" t="s">
        <v>60</v>
      </c>
      <c r="D3498" s="62" t="s">
        <v>105</v>
      </c>
      <c r="E3498" s="62" t="s">
        <v>382</v>
      </c>
      <c r="F3498" s="63" t="s">
        <v>271</v>
      </c>
      <c r="G3498" s="64" t="n">
        <v>27771970.5049088</v>
      </c>
      <c r="H3498" s="62" t="s">
        <v>138</v>
      </c>
    </row>
    <row r="3499" customFormat="false" ht="15" hidden="false" customHeight="false" outlineLevel="0" collapsed="false">
      <c r="A3499" s="62" t="n">
        <v>1</v>
      </c>
      <c r="B3499" s="62" t="s">
        <v>387</v>
      </c>
      <c r="C3499" s="62" t="s">
        <v>60</v>
      </c>
      <c r="D3499" s="62" t="s">
        <v>105</v>
      </c>
      <c r="E3499" s="62" t="s">
        <v>382</v>
      </c>
      <c r="F3499" s="63" t="s">
        <v>271</v>
      </c>
      <c r="G3499" s="64" t="n">
        <v>37433090.6229567</v>
      </c>
      <c r="H3499" s="62" t="s">
        <v>138</v>
      </c>
    </row>
    <row r="3500" customFormat="false" ht="15" hidden="false" customHeight="false" outlineLevel="0" collapsed="false">
      <c r="A3500" s="62" t="n">
        <v>1</v>
      </c>
      <c r="B3500" s="62" t="s">
        <v>388</v>
      </c>
      <c r="C3500" s="62" t="s">
        <v>60</v>
      </c>
      <c r="D3500" s="62" t="s">
        <v>105</v>
      </c>
      <c r="E3500" s="62" t="s">
        <v>382</v>
      </c>
      <c r="F3500" s="63" t="s">
        <v>271</v>
      </c>
      <c r="G3500" s="64" t="n">
        <v>25516352.3791141</v>
      </c>
      <c r="H3500" s="62" t="s">
        <v>138</v>
      </c>
    </row>
    <row r="3501" customFormat="false" ht="15" hidden="false" customHeight="false" outlineLevel="0" collapsed="false">
      <c r="A3501" s="62" t="n">
        <v>1</v>
      </c>
      <c r="B3501" s="62" t="s">
        <v>381</v>
      </c>
      <c r="C3501" s="62" t="s">
        <v>60</v>
      </c>
      <c r="D3501" s="62" t="s">
        <v>105</v>
      </c>
      <c r="E3501" s="62" t="s">
        <v>382</v>
      </c>
      <c r="F3501" s="63" t="s">
        <v>272</v>
      </c>
      <c r="G3501" s="64" t="n">
        <v>6205226.10523255</v>
      </c>
      <c r="H3501" s="62" t="s">
        <v>138</v>
      </c>
    </row>
    <row r="3502" customFormat="false" ht="15" hidden="false" customHeight="false" outlineLevel="0" collapsed="false">
      <c r="A3502" s="62" t="n">
        <v>1</v>
      </c>
      <c r="B3502" s="62" t="s">
        <v>383</v>
      </c>
      <c r="C3502" s="62" t="s">
        <v>60</v>
      </c>
      <c r="D3502" s="62" t="s">
        <v>105</v>
      </c>
      <c r="E3502" s="62" t="s">
        <v>382</v>
      </c>
      <c r="F3502" s="63" t="s">
        <v>272</v>
      </c>
      <c r="G3502" s="64" t="n">
        <v>17996108.2148206</v>
      </c>
      <c r="H3502" s="62" t="s">
        <v>138</v>
      </c>
    </row>
    <row r="3503" customFormat="false" ht="15" hidden="false" customHeight="false" outlineLevel="0" collapsed="false">
      <c r="A3503" s="62" t="n">
        <v>1</v>
      </c>
      <c r="B3503" s="62" t="s">
        <v>384</v>
      </c>
      <c r="C3503" s="62" t="s">
        <v>60</v>
      </c>
      <c r="D3503" s="62" t="s">
        <v>105</v>
      </c>
      <c r="E3503" s="62" t="s">
        <v>382</v>
      </c>
      <c r="F3503" s="63" t="s">
        <v>272</v>
      </c>
      <c r="G3503" s="64" t="n">
        <v>14537106.2708354</v>
      </c>
      <c r="H3503" s="62" t="s">
        <v>138</v>
      </c>
    </row>
    <row r="3504" customFormat="false" ht="15" hidden="false" customHeight="false" outlineLevel="0" collapsed="false">
      <c r="A3504" s="62" t="n">
        <v>1</v>
      </c>
      <c r="B3504" s="62" t="s">
        <v>385</v>
      </c>
      <c r="C3504" s="62" t="s">
        <v>60</v>
      </c>
      <c r="D3504" s="62" t="s">
        <v>105</v>
      </c>
      <c r="E3504" s="62" t="s">
        <v>382</v>
      </c>
      <c r="F3504" s="63" t="s">
        <v>272</v>
      </c>
      <c r="G3504" s="64" t="n">
        <v>10159879.0299302</v>
      </c>
      <c r="H3504" s="62" t="s">
        <v>138</v>
      </c>
    </row>
    <row r="3505" customFormat="false" ht="15" hidden="false" customHeight="false" outlineLevel="0" collapsed="false">
      <c r="A3505" s="62" t="n">
        <v>1</v>
      </c>
      <c r="B3505" s="62" t="s">
        <v>386</v>
      </c>
      <c r="C3505" s="62" t="s">
        <v>60</v>
      </c>
      <c r="D3505" s="62" t="s">
        <v>105</v>
      </c>
      <c r="E3505" s="62" t="s">
        <v>382</v>
      </c>
      <c r="F3505" s="63" t="s">
        <v>272</v>
      </c>
      <c r="G3505" s="64" t="n">
        <v>8741331.60714341</v>
      </c>
      <c r="H3505" s="62" t="s">
        <v>138</v>
      </c>
    </row>
    <row r="3506" customFormat="false" ht="15" hidden="false" customHeight="false" outlineLevel="0" collapsed="false">
      <c r="A3506" s="62" t="n">
        <v>1</v>
      </c>
      <c r="B3506" s="62" t="s">
        <v>387</v>
      </c>
      <c r="C3506" s="62" t="s">
        <v>60</v>
      </c>
      <c r="D3506" s="62" t="s">
        <v>105</v>
      </c>
      <c r="E3506" s="62" t="s">
        <v>382</v>
      </c>
      <c r="F3506" s="63" t="s">
        <v>272</v>
      </c>
      <c r="G3506" s="64" t="n">
        <v>10460131.5477209</v>
      </c>
      <c r="H3506" s="62" t="s">
        <v>138</v>
      </c>
    </row>
    <row r="3507" customFormat="false" ht="15" hidden="false" customHeight="false" outlineLevel="0" collapsed="false">
      <c r="A3507" s="62" t="n">
        <v>1</v>
      </c>
      <c r="B3507" s="62" t="s">
        <v>388</v>
      </c>
      <c r="C3507" s="62" t="s">
        <v>60</v>
      </c>
      <c r="D3507" s="62" t="s">
        <v>105</v>
      </c>
      <c r="E3507" s="62" t="s">
        <v>382</v>
      </c>
      <c r="F3507" s="63" t="s">
        <v>272</v>
      </c>
      <c r="G3507" s="64" t="n">
        <v>1956134.98488595</v>
      </c>
      <c r="H3507" s="62" t="s">
        <v>138</v>
      </c>
    </row>
    <row r="3508" customFormat="false" ht="15" hidden="false" customHeight="false" outlineLevel="0" collapsed="false">
      <c r="A3508" s="62" t="n">
        <v>1</v>
      </c>
      <c r="B3508" s="62" t="s">
        <v>381</v>
      </c>
      <c r="C3508" s="62" t="s">
        <v>60</v>
      </c>
      <c r="D3508" s="62" t="s">
        <v>105</v>
      </c>
      <c r="E3508" s="62" t="s">
        <v>382</v>
      </c>
      <c r="F3508" s="63" t="s">
        <v>274</v>
      </c>
      <c r="G3508" s="64" t="n">
        <v>1082820.42</v>
      </c>
      <c r="H3508" s="62" t="s">
        <v>138</v>
      </c>
    </row>
    <row r="3509" customFormat="false" ht="15" hidden="false" customHeight="false" outlineLevel="0" collapsed="false">
      <c r="A3509" s="62" t="n">
        <v>1</v>
      </c>
      <c r="B3509" s="62" t="s">
        <v>383</v>
      </c>
      <c r="C3509" s="62" t="s">
        <v>60</v>
      </c>
      <c r="D3509" s="62" t="s">
        <v>105</v>
      </c>
      <c r="E3509" s="62" t="s">
        <v>382</v>
      </c>
      <c r="F3509" s="63" t="s">
        <v>274</v>
      </c>
      <c r="G3509" s="64" t="n">
        <v>1082820.42</v>
      </c>
      <c r="H3509" s="62" t="s">
        <v>138</v>
      </c>
    </row>
    <row r="3510" customFormat="false" ht="15" hidden="false" customHeight="false" outlineLevel="0" collapsed="false">
      <c r="A3510" s="62" t="n">
        <v>1</v>
      </c>
      <c r="B3510" s="62" t="s">
        <v>384</v>
      </c>
      <c r="C3510" s="62" t="s">
        <v>60</v>
      </c>
      <c r="D3510" s="62" t="s">
        <v>105</v>
      </c>
      <c r="E3510" s="62" t="s">
        <v>382</v>
      </c>
      <c r="F3510" s="63" t="s">
        <v>274</v>
      </c>
      <c r="G3510" s="64" t="n">
        <v>1082820.42</v>
      </c>
      <c r="H3510" s="62" t="s">
        <v>138</v>
      </c>
    </row>
    <row r="3511" customFormat="false" ht="15" hidden="false" customHeight="false" outlineLevel="0" collapsed="false">
      <c r="A3511" s="62" t="n">
        <v>1</v>
      </c>
      <c r="B3511" s="62" t="s">
        <v>385</v>
      </c>
      <c r="C3511" s="62" t="s">
        <v>60</v>
      </c>
      <c r="D3511" s="62" t="s">
        <v>105</v>
      </c>
      <c r="E3511" s="62" t="s">
        <v>382</v>
      </c>
      <c r="F3511" s="63" t="s">
        <v>274</v>
      </c>
      <c r="G3511" s="64" t="n">
        <v>1082820.42</v>
      </c>
      <c r="H3511" s="62" t="s">
        <v>138</v>
      </c>
    </row>
    <row r="3512" customFormat="false" ht="15" hidden="false" customHeight="false" outlineLevel="0" collapsed="false">
      <c r="A3512" s="62" t="n">
        <v>1</v>
      </c>
      <c r="B3512" s="62" t="s">
        <v>386</v>
      </c>
      <c r="C3512" s="62" t="s">
        <v>60</v>
      </c>
      <c r="D3512" s="62" t="s">
        <v>105</v>
      </c>
      <c r="E3512" s="62" t="s">
        <v>382</v>
      </c>
      <c r="F3512" s="63" t="s">
        <v>274</v>
      </c>
      <c r="G3512" s="64" t="n">
        <v>1082820.42</v>
      </c>
      <c r="H3512" s="62" t="s">
        <v>138</v>
      </c>
    </row>
    <row r="3513" customFormat="false" ht="15" hidden="false" customHeight="false" outlineLevel="0" collapsed="false">
      <c r="A3513" s="62" t="n">
        <v>1</v>
      </c>
      <c r="B3513" s="62" t="s">
        <v>387</v>
      </c>
      <c r="C3513" s="62" t="s">
        <v>60</v>
      </c>
      <c r="D3513" s="62" t="s">
        <v>105</v>
      </c>
      <c r="E3513" s="62" t="s">
        <v>382</v>
      </c>
      <c r="F3513" s="63" t="s">
        <v>274</v>
      </c>
      <c r="G3513" s="64" t="n">
        <v>1082820.42</v>
      </c>
      <c r="H3513" s="62" t="s">
        <v>138</v>
      </c>
    </row>
    <row r="3514" customFormat="false" ht="15" hidden="false" customHeight="false" outlineLevel="0" collapsed="false">
      <c r="A3514" s="62" t="n">
        <v>1</v>
      </c>
      <c r="B3514" s="62" t="s">
        <v>388</v>
      </c>
      <c r="C3514" s="62" t="s">
        <v>60</v>
      </c>
      <c r="D3514" s="62" t="s">
        <v>105</v>
      </c>
      <c r="E3514" s="62" t="s">
        <v>382</v>
      </c>
      <c r="F3514" s="63" t="s">
        <v>274</v>
      </c>
      <c r="G3514" s="64" t="n">
        <v>1082820.42</v>
      </c>
      <c r="H3514" s="62" t="s">
        <v>138</v>
      </c>
    </row>
    <row r="3515" customFormat="false" ht="15" hidden="false" customHeight="false" outlineLevel="0" collapsed="false">
      <c r="A3515" s="62" t="n">
        <v>1</v>
      </c>
      <c r="B3515" s="62" t="s">
        <v>381</v>
      </c>
      <c r="C3515" s="62" t="s">
        <v>60</v>
      </c>
      <c r="D3515" s="62" t="s">
        <v>105</v>
      </c>
      <c r="E3515" s="62" t="s">
        <v>382</v>
      </c>
      <c r="F3515" s="63" t="s">
        <v>275</v>
      </c>
      <c r="G3515" s="64" t="n">
        <v>5122405.68523255</v>
      </c>
      <c r="H3515" s="62" t="s">
        <v>138</v>
      </c>
    </row>
    <row r="3516" customFormat="false" ht="15" hidden="false" customHeight="false" outlineLevel="0" collapsed="false">
      <c r="A3516" s="62" t="n">
        <v>1</v>
      </c>
      <c r="B3516" s="62" t="s">
        <v>383</v>
      </c>
      <c r="C3516" s="62" t="s">
        <v>60</v>
      </c>
      <c r="D3516" s="62" t="s">
        <v>105</v>
      </c>
      <c r="E3516" s="62" t="s">
        <v>382</v>
      </c>
      <c r="F3516" s="63" t="s">
        <v>275</v>
      </c>
      <c r="G3516" s="64" t="n">
        <v>16913287.7948206</v>
      </c>
      <c r="H3516" s="62" t="s">
        <v>138</v>
      </c>
    </row>
    <row r="3517" customFormat="false" ht="15" hidden="false" customHeight="false" outlineLevel="0" collapsed="false">
      <c r="A3517" s="62" t="n">
        <v>1</v>
      </c>
      <c r="B3517" s="62" t="s">
        <v>384</v>
      </c>
      <c r="C3517" s="62" t="s">
        <v>60</v>
      </c>
      <c r="D3517" s="62" t="s">
        <v>105</v>
      </c>
      <c r="E3517" s="62" t="s">
        <v>382</v>
      </c>
      <c r="F3517" s="63" t="s">
        <v>275</v>
      </c>
      <c r="G3517" s="64" t="n">
        <v>13454285.8508354</v>
      </c>
      <c r="H3517" s="62" t="s">
        <v>138</v>
      </c>
    </row>
    <row r="3518" customFormat="false" ht="15" hidden="false" customHeight="false" outlineLevel="0" collapsed="false">
      <c r="A3518" s="62" t="n">
        <v>1</v>
      </c>
      <c r="B3518" s="62" t="s">
        <v>385</v>
      </c>
      <c r="C3518" s="62" t="s">
        <v>60</v>
      </c>
      <c r="D3518" s="62" t="s">
        <v>105</v>
      </c>
      <c r="E3518" s="62" t="s">
        <v>382</v>
      </c>
      <c r="F3518" s="63" t="s">
        <v>275</v>
      </c>
      <c r="G3518" s="64" t="n">
        <v>9077058.6099302</v>
      </c>
      <c r="H3518" s="62" t="s">
        <v>138</v>
      </c>
    </row>
    <row r="3519" customFormat="false" ht="15" hidden="false" customHeight="false" outlineLevel="0" collapsed="false">
      <c r="A3519" s="62" t="n">
        <v>1</v>
      </c>
      <c r="B3519" s="62" t="s">
        <v>386</v>
      </c>
      <c r="C3519" s="62" t="s">
        <v>60</v>
      </c>
      <c r="D3519" s="62" t="s">
        <v>105</v>
      </c>
      <c r="E3519" s="62" t="s">
        <v>382</v>
      </c>
      <c r="F3519" s="63" t="s">
        <v>275</v>
      </c>
      <c r="G3519" s="64" t="n">
        <v>7658511.18714341</v>
      </c>
      <c r="H3519" s="62" t="s">
        <v>138</v>
      </c>
    </row>
    <row r="3520" customFormat="false" ht="15" hidden="false" customHeight="false" outlineLevel="0" collapsed="false">
      <c r="A3520" s="62" t="n">
        <v>1</v>
      </c>
      <c r="B3520" s="62" t="s">
        <v>387</v>
      </c>
      <c r="C3520" s="62" t="s">
        <v>60</v>
      </c>
      <c r="D3520" s="62" t="s">
        <v>105</v>
      </c>
      <c r="E3520" s="62" t="s">
        <v>382</v>
      </c>
      <c r="F3520" s="63" t="s">
        <v>275</v>
      </c>
      <c r="G3520" s="64" t="n">
        <v>9377311.12772091</v>
      </c>
      <c r="H3520" s="62" t="s">
        <v>138</v>
      </c>
    </row>
    <row r="3521" customFormat="false" ht="15" hidden="false" customHeight="false" outlineLevel="0" collapsed="false">
      <c r="A3521" s="62" t="n">
        <v>1</v>
      </c>
      <c r="B3521" s="62" t="s">
        <v>388</v>
      </c>
      <c r="C3521" s="62" t="s">
        <v>60</v>
      </c>
      <c r="D3521" s="62" t="s">
        <v>105</v>
      </c>
      <c r="E3521" s="62" t="s">
        <v>382</v>
      </c>
      <c r="F3521" s="63" t="s">
        <v>275</v>
      </c>
      <c r="G3521" s="64" t="n">
        <v>873314.564885953</v>
      </c>
      <c r="H3521" s="62" t="s">
        <v>138</v>
      </c>
    </row>
    <row r="3522" customFormat="false" ht="15" hidden="false" customHeight="false" outlineLevel="0" collapsed="false">
      <c r="A3522" s="62" t="n">
        <v>1</v>
      </c>
      <c r="B3522" s="62" t="s">
        <v>381</v>
      </c>
      <c r="C3522" s="62" t="s">
        <v>60</v>
      </c>
      <c r="D3522" s="62" t="s">
        <v>105</v>
      </c>
      <c r="E3522" s="62" t="s">
        <v>382</v>
      </c>
      <c r="F3522" s="63" t="s">
        <v>276</v>
      </c>
      <c r="G3522" s="64" t="n">
        <v>337553.462017924</v>
      </c>
      <c r="H3522" s="62" t="s">
        <v>138</v>
      </c>
    </row>
    <row r="3523" customFormat="false" ht="15" hidden="false" customHeight="false" outlineLevel="0" collapsed="false">
      <c r="A3523" s="62" t="n">
        <v>1</v>
      </c>
      <c r="B3523" s="62" t="s">
        <v>383</v>
      </c>
      <c r="C3523" s="62" t="s">
        <v>60</v>
      </c>
      <c r="D3523" s="62" t="s">
        <v>105</v>
      </c>
      <c r="E3523" s="62" t="s">
        <v>382</v>
      </c>
      <c r="F3523" s="63" t="s">
        <v>276</v>
      </c>
      <c r="G3523" s="64" t="n">
        <v>-69174.8017443487</v>
      </c>
      <c r="H3523" s="62" t="s">
        <v>138</v>
      </c>
    </row>
    <row r="3524" customFormat="false" ht="15" hidden="false" customHeight="false" outlineLevel="0" collapsed="false">
      <c r="A3524" s="62" t="n">
        <v>1</v>
      </c>
      <c r="B3524" s="62" t="s">
        <v>384</v>
      </c>
      <c r="C3524" s="62" t="s">
        <v>60</v>
      </c>
      <c r="D3524" s="62" t="s">
        <v>105</v>
      </c>
      <c r="E3524" s="62" t="s">
        <v>382</v>
      </c>
      <c r="F3524" s="63" t="s">
        <v>276</v>
      </c>
      <c r="G3524" s="64" t="n">
        <v>163.264345389063</v>
      </c>
      <c r="H3524" s="62" t="s">
        <v>138</v>
      </c>
    </row>
    <row r="3525" customFormat="false" ht="15" hidden="false" customHeight="false" outlineLevel="0" collapsed="false">
      <c r="A3525" s="62" t="n">
        <v>1</v>
      </c>
      <c r="B3525" s="62" t="s">
        <v>385</v>
      </c>
      <c r="C3525" s="62" t="s">
        <v>60</v>
      </c>
      <c r="D3525" s="62" t="s">
        <v>105</v>
      </c>
      <c r="E3525" s="62" t="s">
        <v>382</v>
      </c>
      <c r="F3525" s="63" t="s">
        <v>276</v>
      </c>
      <c r="G3525" s="64" t="n">
        <v>122042.281056413</v>
      </c>
      <c r="H3525" s="62" t="s">
        <v>138</v>
      </c>
    </row>
    <row r="3526" customFormat="false" ht="15" hidden="false" customHeight="false" outlineLevel="0" collapsed="false">
      <c r="A3526" s="62" t="n">
        <v>1</v>
      </c>
      <c r="B3526" s="62" t="s">
        <v>386</v>
      </c>
      <c r="C3526" s="62" t="s">
        <v>60</v>
      </c>
      <c r="D3526" s="62" t="s">
        <v>105</v>
      </c>
      <c r="E3526" s="62" t="s">
        <v>382</v>
      </c>
      <c r="F3526" s="63" t="s">
        <v>276</v>
      </c>
      <c r="G3526" s="64" t="n">
        <v>170004.417974786</v>
      </c>
      <c r="H3526" s="62" t="s">
        <v>138</v>
      </c>
    </row>
    <row r="3527" customFormat="false" ht="15" hidden="false" customHeight="false" outlineLevel="0" collapsed="false">
      <c r="A3527" s="62" t="n">
        <v>1</v>
      </c>
      <c r="B3527" s="62" t="s">
        <v>387</v>
      </c>
      <c r="C3527" s="62" t="s">
        <v>60</v>
      </c>
      <c r="D3527" s="62" t="s">
        <v>105</v>
      </c>
      <c r="E3527" s="62" t="s">
        <v>382</v>
      </c>
      <c r="F3527" s="63" t="s">
        <v>276</v>
      </c>
      <c r="G3527" s="64" t="n">
        <v>38369.9088881416</v>
      </c>
      <c r="H3527" s="62" t="s">
        <v>138</v>
      </c>
    </row>
    <row r="3528" customFormat="false" ht="15" hidden="false" customHeight="false" outlineLevel="0" collapsed="false">
      <c r="A3528" s="62" t="n">
        <v>1</v>
      </c>
      <c r="B3528" s="62" t="s">
        <v>388</v>
      </c>
      <c r="C3528" s="62" t="s">
        <v>60</v>
      </c>
      <c r="D3528" s="62" t="s">
        <v>105</v>
      </c>
      <c r="E3528" s="62" t="s">
        <v>382</v>
      </c>
      <c r="F3528" s="63" t="s">
        <v>276</v>
      </c>
      <c r="G3528" s="64" t="n">
        <v>625574.722489692</v>
      </c>
      <c r="H3528" s="62" t="s">
        <v>138</v>
      </c>
    </row>
    <row r="3529" customFormat="false" ht="15" hidden="false" customHeight="false" outlineLevel="0" collapsed="false">
      <c r="A3529" s="62" t="n">
        <v>1</v>
      </c>
      <c r="B3529" s="62" t="s">
        <v>381</v>
      </c>
      <c r="C3529" s="62" t="s">
        <v>60</v>
      </c>
      <c r="D3529" s="62" t="s">
        <v>105</v>
      </c>
      <c r="E3529" s="62" t="s">
        <v>382</v>
      </c>
      <c r="F3529" s="63" t="s">
        <v>277</v>
      </c>
      <c r="G3529" s="64" t="n">
        <v>4784852.22321463</v>
      </c>
      <c r="H3529" s="62" t="s">
        <v>138</v>
      </c>
    </row>
    <row r="3530" customFormat="false" ht="15" hidden="false" customHeight="false" outlineLevel="0" collapsed="false">
      <c r="A3530" s="62" t="n">
        <v>1</v>
      </c>
      <c r="B3530" s="62" t="s">
        <v>383</v>
      </c>
      <c r="C3530" s="62" t="s">
        <v>60</v>
      </c>
      <c r="D3530" s="62" t="s">
        <v>105</v>
      </c>
      <c r="E3530" s="62" t="s">
        <v>382</v>
      </c>
      <c r="F3530" s="63" t="s">
        <v>277</v>
      </c>
      <c r="G3530" s="64" t="n">
        <v>16982462.5965649</v>
      </c>
      <c r="H3530" s="62" t="s">
        <v>138</v>
      </c>
    </row>
    <row r="3531" customFormat="false" ht="15" hidden="false" customHeight="false" outlineLevel="0" collapsed="false">
      <c r="A3531" s="62" t="n">
        <v>1</v>
      </c>
      <c r="B3531" s="62" t="s">
        <v>384</v>
      </c>
      <c r="C3531" s="62" t="s">
        <v>60</v>
      </c>
      <c r="D3531" s="62" t="s">
        <v>105</v>
      </c>
      <c r="E3531" s="62" t="s">
        <v>382</v>
      </c>
      <c r="F3531" s="63" t="s">
        <v>277</v>
      </c>
      <c r="G3531" s="64" t="n">
        <v>13454122.58649</v>
      </c>
      <c r="H3531" s="62" t="s">
        <v>138</v>
      </c>
    </row>
    <row r="3532" customFormat="false" ht="15" hidden="false" customHeight="false" outlineLevel="0" collapsed="false">
      <c r="A3532" s="62" t="n">
        <v>1</v>
      </c>
      <c r="B3532" s="62" t="s">
        <v>385</v>
      </c>
      <c r="C3532" s="62" t="s">
        <v>60</v>
      </c>
      <c r="D3532" s="62" t="s">
        <v>105</v>
      </c>
      <c r="E3532" s="62" t="s">
        <v>382</v>
      </c>
      <c r="F3532" s="63" t="s">
        <v>277</v>
      </c>
      <c r="G3532" s="64" t="n">
        <v>8955016.32887379</v>
      </c>
      <c r="H3532" s="62" t="s">
        <v>138</v>
      </c>
    </row>
    <row r="3533" customFormat="false" ht="15" hidden="false" customHeight="false" outlineLevel="0" collapsed="false">
      <c r="A3533" s="62" t="n">
        <v>1</v>
      </c>
      <c r="B3533" s="62" t="s">
        <v>386</v>
      </c>
      <c r="C3533" s="62" t="s">
        <v>60</v>
      </c>
      <c r="D3533" s="62" t="s">
        <v>105</v>
      </c>
      <c r="E3533" s="62" t="s">
        <v>382</v>
      </c>
      <c r="F3533" s="63" t="s">
        <v>277</v>
      </c>
      <c r="G3533" s="64" t="n">
        <v>7488506.76916863</v>
      </c>
      <c r="H3533" s="62" t="s">
        <v>138</v>
      </c>
    </row>
    <row r="3534" customFormat="false" ht="15" hidden="false" customHeight="false" outlineLevel="0" collapsed="false">
      <c r="A3534" s="62" t="n">
        <v>1</v>
      </c>
      <c r="B3534" s="62" t="s">
        <v>387</v>
      </c>
      <c r="C3534" s="62" t="s">
        <v>60</v>
      </c>
      <c r="D3534" s="62" t="s">
        <v>105</v>
      </c>
      <c r="E3534" s="62" t="s">
        <v>382</v>
      </c>
      <c r="F3534" s="63" t="s">
        <v>277</v>
      </c>
      <c r="G3534" s="64" t="n">
        <v>9338941.21883277</v>
      </c>
      <c r="H3534" s="62" t="s">
        <v>138</v>
      </c>
    </row>
    <row r="3535" customFormat="false" ht="15" hidden="false" customHeight="false" outlineLevel="0" collapsed="false">
      <c r="A3535" s="62" t="n">
        <v>1</v>
      </c>
      <c r="B3535" s="62" t="s">
        <v>388</v>
      </c>
      <c r="C3535" s="62" t="s">
        <v>60</v>
      </c>
      <c r="D3535" s="62" t="s">
        <v>105</v>
      </c>
      <c r="E3535" s="62" t="s">
        <v>382</v>
      </c>
      <c r="F3535" s="63" t="s">
        <v>277</v>
      </c>
      <c r="G3535" s="64" t="n">
        <v>247739.842396261</v>
      </c>
      <c r="H3535" s="62" t="s">
        <v>138</v>
      </c>
    </row>
    <row r="3536" customFormat="false" ht="15" hidden="false" customHeight="false" outlineLevel="0" collapsed="false">
      <c r="A3536" s="62" t="n">
        <v>1</v>
      </c>
      <c r="B3536" s="62" t="s">
        <v>381</v>
      </c>
      <c r="C3536" s="62" t="s">
        <v>60</v>
      </c>
      <c r="D3536" s="62" t="s">
        <v>105</v>
      </c>
      <c r="E3536" s="62" t="s">
        <v>382</v>
      </c>
      <c r="F3536" s="63" t="s">
        <v>278</v>
      </c>
      <c r="G3536" s="64" t="n">
        <v>1175515.74893371</v>
      </c>
      <c r="H3536" s="62" t="s">
        <v>138</v>
      </c>
    </row>
    <row r="3537" customFormat="false" ht="15" hidden="false" customHeight="false" outlineLevel="0" collapsed="false">
      <c r="A3537" s="62" t="n">
        <v>1</v>
      </c>
      <c r="B3537" s="62" t="s">
        <v>383</v>
      </c>
      <c r="C3537" s="62" t="s">
        <v>60</v>
      </c>
      <c r="D3537" s="62" t="s">
        <v>105</v>
      </c>
      <c r="E3537" s="62" t="s">
        <v>382</v>
      </c>
      <c r="F3537" s="63" t="s">
        <v>278</v>
      </c>
      <c r="G3537" s="64" t="n">
        <v>4449016.99332739</v>
      </c>
      <c r="H3537" s="62" t="s">
        <v>138</v>
      </c>
    </row>
    <row r="3538" customFormat="false" ht="15" hidden="false" customHeight="false" outlineLevel="0" collapsed="false">
      <c r="A3538" s="62" t="n">
        <v>1</v>
      </c>
      <c r="B3538" s="62" t="s">
        <v>384</v>
      </c>
      <c r="C3538" s="62" t="s">
        <v>60</v>
      </c>
      <c r="D3538" s="62" t="s">
        <v>105</v>
      </c>
      <c r="E3538" s="62" t="s">
        <v>382</v>
      </c>
      <c r="F3538" s="63" t="s">
        <v>278</v>
      </c>
      <c r="G3538" s="64" t="n">
        <v>3486391.06913948</v>
      </c>
      <c r="H3538" s="62" t="s">
        <v>138</v>
      </c>
    </row>
    <row r="3539" customFormat="false" ht="15" hidden="false" customHeight="false" outlineLevel="0" collapsed="false">
      <c r="A3539" s="62" t="n">
        <v>1</v>
      </c>
      <c r="B3539" s="62" t="s">
        <v>385</v>
      </c>
      <c r="C3539" s="62" t="s">
        <v>60</v>
      </c>
      <c r="D3539" s="62" t="s">
        <v>105</v>
      </c>
      <c r="E3539" s="62" t="s">
        <v>382</v>
      </c>
      <c r="F3539" s="63" t="s">
        <v>278</v>
      </c>
      <c r="G3539" s="64" t="n">
        <v>2174683.84390881</v>
      </c>
      <c r="H3539" s="62" t="s">
        <v>138</v>
      </c>
    </row>
    <row r="3540" customFormat="false" ht="15" hidden="false" customHeight="false" outlineLevel="0" collapsed="false">
      <c r="A3540" s="62" t="n">
        <v>1</v>
      </c>
      <c r="B3540" s="62" t="s">
        <v>386</v>
      </c>
      <c r="C3540" s="62" t="s">
        <v>60</v>
      </c>
      <c r="D3540" s="62" t="s">
        <v>105</v>
      </c>
      <c r="E3540" s="62" t="s">
        <v>382</v>
      </c>
      <c r="F3540" s="63" t="s">
        <v>278</v>
      </c>
      <c r="G3540" s="64" t="n">
        <v>1802625.81470303</v>
      </c>
      <c r="H3540" s="62" t="s">
        <v>138</v>
      </c>
    </row>
    <row r="3541" customFormat="false" ht="15" hidden="false" customHeight="false" outlineLevel="0" collapsed="false">
      <c r="A3541" s="62" t="n">
        <v>1</v>
      </c>
      <c r="B3541" s="62" t="s">
        <v>387</v>
      </c>
      <c r="C3541" s="62" t="s">
        <v>60</v>
      </c>
      <c r="D3541" s="62" t="s">
        <v>105</v>
      </c>
      <c r="E3541" s="62" t="s">
        <v>382</v>
      </c>
      <c r="F3541" s="63" t="s">
        <v>278</v>
      </c>
      <c r="G3541" s="64" t="n">
        <v>2157698.48081882</v>
      </c>
      <c r="H3541" s="62" t="s">
        <v>138</v>
      </c>
    </row>
    <row r="3542" customFormat="false" ht="15" hidden="false" customHeight="false" outlineLevel="0" collapsed="false">
      <c r="A3542" s="62" t="n">
        <v>1</v>
      </c>
      <c r="B3542" s="62" t="s">
        <v>388</v>
      </c>
      <c r="C3542" s="62" t="s">
        <v>60</v>
      </c>
      <c r="D3542" s="62" t="s">
        <v>105</v>
      </c>
      <c r="E3542" s="62" t="s">
        <v>382</v>
      </c>
      <c r="F3542" s="63" t="s">
        <v>278</v>
      </c>
      <c r="G3542" s="64" t="n">
        <v>193806.115392853</v>
      </c>
      <c r="H3542" s="62" t="s">
        <v>138</v>
      </c>
    </row>
    <row r="3543" customFormat="false" ht="15" hidden="false" customHeight="false" outlineLevel="0" collapsed="false">
      <c r="A3543" s="62" t="n">
        <v>1</v>
      </c>
      <c r="B3543" s="62" t="s">
        <v>381</v>
      </c>
      <c r="C3543" s="62" t="s">
        <v>60</v>
      </c>
      <c r="D3543" s="62" t="s">
        <v>105</v>
      </c>
      <c r="E3543" s="62" t="s">
        <v>382</v>
      </c>
      <c r="F3543" s="63" t="s">
        <v>279</v>
      </c>
      <c r="G3543" s="64" t="n">
        <v>3609336.47428092</v>
      </c>
      <c r="H3543" s="62" t="s">
        <v>138</v>
      </c>
    </row>
    <row r="3544" customFormat="false" ht="15" hidden="false" customHeight="false" outlineLevel="0" collapsed="false">
      <c r="A3544" s="62" t="n">
        <v>1</v>
      </c>
      <c r="B3544" s="62" t="s">
        <v>383</v>
      </c>
      <c r="C3544" s="62" t="s">
        <v>60</v>
      </c>
      <c r="D3544" s="62" t="s">
        <v>105</v>
      </c>
      <c r="E3544" s="62" t="s">
        <v>382</v>
      </c>
      <c r="F3544" s="63" t="s">
        <v>279</v>
      </c>
      <c r="G3544" s="64" t="n">
        <v>12533445.6032376</v>
      </c>
      <c r="H3544" s="62" t="s">
        <v>138</v>
      </c>
    </row>
    <row r="3545" customFormat="false" ht="15" hidden="false" customHeight="false" outlineLevel="0" collapsed="false">
      <c r="A3545" s="62" t="n">
        <v>1</v>
      </c>
      <c r="B3545" s="62" t="s">
        <v>384</v>
      </c>
      <c r="C3545" s="62" t="s">
        <v>60</v>
      </c>
      <c r="D3545" s="62" t="s">
        <v>105</v>
      </c>
      <c r="E3545" s="62" t="s">
        <v>382</v>
      </c>
      <c r="F3545" s="63" t="s">
        <v>279</v>
      </c>
      <c r="G3545" s="64" t="n">
        <v>9967731.51735053</v>
      </c>
      <c r="H3545" s="62" t="s">
        <v>138</v>
      </c>
    </row>
    <row r="3546" customFormat="false" ht="15" hidden="false" customHeight="false" outlineLevel="0" collapsed="false">
      <c r="A3546" s="62" t="n">
        <v>1</v>
      </c>
      <c r="B3546" s="62" t="s">
        <v>385</v>
      </c>
      <c r="C3546" s="62" t="s">
        <v>60</v>
      </c>
      <c r="D3546" s="62" t="s">
        <v>105</v>
      </c>
      <c r="E3546" s="62" t="s">
        <v>382</v>
      </c>
      <c r="F3546" s="63" t="s">
        <v>279</v>
      </c>
      <c r="G3546" s="64" t="n">
        <v>6780332.48496499</v>
      </c>
      <c r="H3546" s="62" t="s">
        <v>138</v>
      </c>
    </row>
    <row r="3547" customFormat="false" ht="15" hidden="false" customHeight="false" outlineLevel="0" collapsed="false">
      <c r="A3547" s="62" t="n">
        <v>1</v>
      </c>
      <c r="B3547" s="62" t="s">
        <v>386</v>
      </c>
      <c r="C3547" s="62" t="s">
        <v>60</v>
      </c>
      <c r="D3547" s="62" t="s">
        <v>105</v>
      </c>
      <c r="E3547" s="62" t="s">
        <v>382</v>
      </c>
      <c r="F3547" s="63" t="s">
        <v>279</v>
      </c>
      <c r="G3547" s="64" t="n">
        <v>5685880.9544656</v>
      </c>
      <c r="H3547" s="62" t="s">
        <v>138</v>
      </c>
    </row>
    <row r="3548" customFormat="false" ht="15" hidden="false" customHeight="false" outlineLevel="0" collapsed="false">
      <c r="A3548" s="62" t="n">
        <v>1</v>
      </c>
      <c r="B3548" s="62" t="s">
        <v>387</v>
      </c>
      <c r="C3548" s="62" t="s">
        <v>60</v>
      </c>
      <c r="D3548" s="62" t="s">
        <v>105</v>
      </c>
      <c r="E3548" s="62" t="s">
        <v>382</v>
      </c>
      <c r="F3548" s="63" t="s">
        <v>279</v>
      </c>
      <c r="G3548" s="64" t="n">
        <v>7181242.73801395</v>
      </c>
      <c r="H3548" s="62" t="s">
        <v>138</v>
      </c>
    </row>
    <row r="3549" customFormat="false" ht="15" hidden="false" customHeight="false" outlineLevel="0" collapsed="false">
      <c r="A3549" s="62" t="n">
        <v>1</v>
      </c>
      <c r="B3549" s="62" t="s">
        <v>388</v>
      </c>
      <c r="C3549" s="62" t="s">
        <v>60</v>
      </c>
      <c r="D3549" s="62" t="s">
        <v>105</v>
      </c>
      <c r="E3549" s="62" t="s">
        <v>382</v>
      </c>
      <c r="F3549" s="63" t="s">
        <v>279</v>
      </c>
      <c r="G3549" s="64" t="n">
        <v>53933.7270034078</v>
      </c>
      <c r="H3549" s="62" t="s">
        <v>138</v>
      </c>
    </row>
    <row r="3550" customFormat="false" ht="15" hidden="false" customHeight="false" outlineLevel="0" collapsed="false">
      <c r="A3550" s="62" t="n">
        <v>1</v>
      </c>
      <c r="B3550" s="62" t="s">
        <v>381</v>
      </c>
      <c r="C3550" s="62" t="s">
        <v>60</v>
      </c>
      <c r="D3550" s="62" t="s">
        <v>105</v>
      </c>
      <c r="E3550" s="62" t="s">
        <v>382</v>
      </c>
      <c r="F3550" s="63" t="s">
        <v>281</v>
      </c>
      <c r="G3550" s="64" t="n">
        <v>9763383.78</v>
      </c>
      <c r="H3550" s="62" t="s">
        <v>138</v>
      </c>
    </row>
    <row r="3551" customFormat="false" ht="15" hidden="false" customHeight="false" outlineLevel="0" collapsed="false">
      <c r="A3551" s="62" t="n">
        <v>1</v>
      </c>
      <c r="B3551" s="62" t="s">
        <v>383</v>
      </c>
      <c r="C3551" s="62" t="s">
        <v>60</v>
      </c>
      <c r="D3551" s="62" t="s">
        <v>105</v>
      </c>
      <c r="E3551" s="62" t="s">
        <v>382</v>
      </c>
      <c r="F3551" s="63" t="s">
        <v>281</v>
      </c>
      <c r="G3551" s="64" t="n">
        <v>9767883.78</v>
      </c>
      <c r="H3551" s="62" t="s">
        <v>138</v>
      </c>
    </row>
    <row r="3552" customFormat="false" ht="15" hidden="false" customHeight="false" outlineLevel="0" collapsed="false">
      <c r="A3552" s="62" t="n">
        <v>1</v>
      </c>
      <c r="B3552" s="62" t="s">
        <v>384</v>
      </c>
      <c r="C3552" s="62" t="s">
        <v>60</v>
      </c>
      <c r="D3552" s="62" t="s">
        <v>105</v>
      </c>
      <c r="E3552" s="62" t="s">
        <v>382</v>
      </c>
      <c r="F3552" s="63" t="s">
        <v>281</v>
      </c>
      <c r="G3552" s="64" t="n">
        <v>9763383.78</v>
      </c>
      <c r="H3552" s="62" t="s">
        <v>138</v>
      </c>
    </row>
    <row r="3553" customFormat="false" ht="15" hidden="false" customHeight="false" outlineLevel="0" collapsed="false">
      <c r="A3553" s="62" t="n">
        <v>1</v>
      </c>
      <c r="B3553" s="62" t="s">
        <v>385</v>
      </c>
      <c r="C3553" s="62" t="s">
        <v>60</v>
      </c>
      <c r="D3553" s="62" t="s">
        <v>105</v>
      </c>
      <c r="E3553" s="62" t="s">
        <v>382</v>
      </c>
      <c r="F3553" s="63" t="s">
        <v>281</v>
      </c>
      <c r="G3553" s="64" t="n">
        <v>9767883.78</v>
      </c>
      <c r="H3553" s="62" t="s">
        <v>138</v>
      </c>
    </row>
    <row r="3554" customFormat="false" ht="15" hidden="false" customHeight="false" outlineLevel="0" collapsed="false">
      <c r="A3554" s="62" t="n">
        <v>1</v>
      </c>
      <c r="B3554" s="62" t="s">
        <v>386</v>
      </c>
      <c r="C3554" s="62" t="s">
        <v>60</v>
      </c>
      <c r="D3554" s="62" t="s">
        <v>105</v>
      </c>
      <c r="E3554" s="62" t="s">
        <v>382</v>
      </c>
      <c r="F3554" s="63" t="s">
        <v>281</v>
      </c>
      <c r="G3554" s="64" t="n">
        <v>9812883.78</v>
      </c>
      <c r="H3554" s="62" t="s">
        <v>138</v>
      </c>
    </row>
    <row r="3555" customFormat="false" ht="15" hidden="false" customHeight="false" outlineLevel="0" collapsed="false">
      <c r="A3555" s="62" t="n">
        <v>1</v>
      </c>
      <c r="B3555" s="62" t="s">
        <v>387</v>
      </c>
      <c r="C3555" s="62" t="s">
        <v>60</v>
      </c>
      <c r="D3555" s="62" t="s">
        <v>105</v>
      </c>
      <c r="E3555" s="62" t="s">
        <v>382</v>
      </c>
      <c r="F3555" s="63" t="s">
        <v>281</v>
      </c>
      <c r="G3555" s="64" t="n">
        <v>9763383.78</v>
      </c>
      <c r="H3555" s="62" t="s">
        <v>138</v>
      </c>
    </row>
    <row r="3556" customFormat="false" ht="15" hidden="false" customHeight="false" outlineLevel="0" collapsed="false">
      <c r="A3556" s="62" t="n">
        <v>1</v>
      </c>
      <c r="B3556" s="62" t="s">
        <v>388</v>
      </c>
      <c r="C3556" s="62" t="s">
        <v>60</v>
      </c>
      <c r="D3556" s="62" t="s">
        <v>105</v>
      </c>
      <c r="E3556" s="62" t="s">
        <v>382</v>
      </c>
      <c r="F3556" s="63" t="s">
        <v>281</v>
      </c>
      <c r="G3556" s="64" t="n">
        <v>9785883.78</v>
      </c>
      <c r="H3556" s="62" t="s">
        <v>138</v>
      </c>
    </row>
    <row r="3557" customFormat="false" ht="15" hidden="false" customHeight="false" outlineLevel="0" collapsed="false">
      <c r="A3557" s="62" t="n">
        <v>1</v>
      </c>
      <c r="B3557" s="62" t="s">
        <v>381</v>
      </c>
      <c r="C3557" s="62" t="s">
        <v>60</v>
      </c>
      <c r="D3557" s="62" t="s">
        <v>105</v>
      </c>
      <c r="E3557" s="62" t="s">
        <v>382</v>
      </c>
      <c r="F3557" s="63" t="s">
        <v>282</v>
      </c>
      <c r="G3557" s="64" t="n">
        <v>8313255.33345181</v>
      </c>
      <c r="H3557" s="62" t="s">
        <v>138</v>
      </c>
    </row>
    <row r="3558" customFormat="false" ht="15" hidden="false" customHeight="false" outlineLevel="0" collapsed="false">
      <c r="A3558" s="62" t="n">
        <v>1</v>
      </c>
      <c r="B3558" s="62" t="s">
        <v>383</v>
      </c>
      <c r="C3558" s="62" t="s">
        <v>60</v>
      </c>
      <c r="D3558" s="62" t="s">
        <v>105</v>
      </c>
      <c r="E3558" s="62" t="s">
        <v>382</v>
      </c>
      <c r="F3558" s="63" t="s">
        <v>282</v>
      </c>
      <c r="G3558" s="64" t="n">
        <v>2596845.75782328</v>
      </c>
      <c r="H3558" s="62" t="s">
        <v>138</v>
      </c>
    </row>
    <row r="3559" customFormat="false" ht="15" hidden="false" customHeight="false" outlineLevel="0" collapsed="false">
      <c r="A3559" s="62" t="n">
        <v>1</v>
      </c>
      <c r="B3559" s="62" t="s">
        <v>384</v>
      </c>
      <c r="C3559" s="62" t="s">
        <v>60</v>
      </c>
      <c r="D3559" s="62" t="s">
        <v>105</v>
      </c>
      <c r="E3559" s="62" t="s">
        <v>382</v>
      </c>
      <c r="F3559" s="63" t="s">
        <v>282</v>
      </c>
      <c r="G3559" s="64" t="n">
        <v>2060407.08922184</v>
      </c>
      <c r="H3559" s="62" t="s">
        <v>138</v>
      </c>
    </row>
    <row r="3560" customFormat="false" ht="15" hidden="false" customHeight="false" outlineLevel="0" collapsed="false">
      <c r="A3560" s="62" t="n">
        <v>1</v>
      </c>
      <c r="B3560" s="62" t="s">
        <v>385</v>
      </c>
      <c r="C3560" s="62" t="s">
        <v>60</v>
      </c>
      <c r="D3560" s="62" t="s">
        <v>105</v>
      </c>
      <c r="E3560" s="62" t="s">
        <v>382</v>
      </c>
      <c r="F3560" s="63" t="s">
        <v>282</v>
      </c>
      <c r="G3560" s="64" t="n">
        <v>5056256.09030618</v>
      </c>
      <c r="H3560" s="62" t="s">
        <v>138</v>
      </c>
    </row>
    <row r="3561" customFormat="false" ht="15" hidden="false" customHeight="false" outlineLevel="0" collapsed="false">
      <c r="A3561" s="62" t="n">
        <v>1</v>
      </c>
      <c r="B3561" s="62" t="s">
        <v>386</v>
      </c>
      <c r="C3561" s="62" t="s">
        <v>60</v>
      </c>
      <c r="D3561" s="62" t="s">
        <v>105</v>
      </c>
      <c r="E3561" s="62" t="s">
        <v>382</v>
      </c>
      <c r="F3561" s="63" t="s">
        <v>282</v>
      </c>
      <c r="G3561" s="64" t="n">
        <v>0</v>
      </c>
      <c r="H3561" s="62" t="s">
        <v>138</v>
      </c>
    </row>
    <row r="3562" customFormat="false" ht="15" hidden="false" customHeight="false" outlineLevel="0" collapsed="false">
      <c r="A3562" s="62" t="n">
        <v>1</v>
      </c>
      <c r="B3562" s="62" t="s">
        <v>387</v>
      </c>
      <c r="C3562" s="62" t="s">
        <v>60</v>
      </c>
      <c r="D3562" s="62" t="s">
        <v>105</v>
      </c>
      <c r="E3562" s="62" t="s">
        <v>382</v>
      </c>
      <c r="F3562" s="63" t="s">
        <v>282</v>
      </c>
      <c r="G3562" s="64" t="n">
        <v>3001607.24711275</v>
      </c>
      <c r="H3562" s="62" t="s">
        <v>138</v>
      </c>
    </row>
    <row r="3563" customFormat="false" ht="15" hidden="false" customHeight="false" outlineLevel="0" collapsed="false">
      <c r="A3563" s="62" t="n">
        <v>1</v>
      </c>
      <c r="B3563" s="62" t="s">
        <v>388</v>
      </c>
      <c r="C3563" s="62" t="s">
        <v>60</v>
      </c>
      <c r="D3563" s="62" t="s">
        <v>105</v>
      </c>
      <c r="E3563" s="62" t="s">
        <v>382</v>
      </c>
      <c r="F3563" s="63" t="s">
        <v>282</v>
      </c>
      <c r="G3563" s="64" t="n">
        <v>0</v>
      </c>
      <c r="H3563" s="62" t="s">
        <v>138</v>
      </c>
    </row>
    <row r="3564" customFormat="false" ht="15" hidden="false" customHeight="false" outlineLevel="0" collapsed="false">
      <c r="A3564" s="62" t="n">
        <v>1</v>
      </c>
      <c r="B3564" s="62" t="s">
        <v>381</v>
      </c>
      <c r="C3564" s="62" t="s">
        <v>60</v>
      </c>
      <c r="D3564" s="62" t="s">
        <v>105</v>
      </c>
      <c r="E3564" s="62" t="s">
        <v>382</v>
      </c>
      <c r="F3564" s="63" t="s">
        <v>283</v>
      </c>
      <c r="G3564" s="64" t="n">
        <v>1789461.45858974</v>
      </c>
      <c r="H3564" s="62" t="s">
        <v>138</v>
      </c>
    </row>
    <row r="3565" customFormat="false" ht="15" hidden="false" customHeight="false" outlineLevel="0" collapsed="false">
      <c r="A3565" s="62" t="n">
        <v>1</v>
      </c>
      <c r="B3565" s="62" t="s">
        <v>383</v>
      </c>
      <c r="C3565" s="62" t="s">
        <v>60</v>
      </c>
      <c r="D3565" s="62" t="s">
        <v>105</v>
      </c>
      <c r="E3565" s="62" t="s">
        <v>382</v>
      </c>
      <c r="F3565" s="63" t="s">
        <v>283</v>
      </c>
      <c r="G3565" s="64" t="n">
        <v>2451067.32171623</v>
      </c>
      <c r="H3565" s="62" t="s">
        <v>138</v>
      </c>
    </row>
    <row r="3566" customFormat="false" ht="15" hidden="false" customHeight="false" outlineLevel="0" collapsed="false">
      <c r="A3566" s="62" t="n">
        <v>1</v>
      </c>
      <c r="B3566" s="62" t="s">
        <v>384</v>
      </c>
      <c r="C3566" s="62" t="s">
        <v>60</v>
      </c>
      <c r="D3566" s="62" t="s">
        <v>105</v>
      </c>
      <c r="E3566" s="62" t="s">
        <v>382</v>
      </c>
      <c r="F3566" s="63" t="s">
        <v>283</v>
      </c>
      <c r="G3566" s="64" t="n">
        <v>1885882.47512452</v>
      </c>
      <c r="H3566" s="62" t="s">
        <v>138</v>
      </c>
    </row>
    <row r="3567" customFormat="false" ht="15" hidden="false" customHeight="false" outlineLevel="0" collapsed="false">
      <c r="A3567" s="62" t="n">
        <v>1</v>
      </c>
      <c r="B3567" s="62" t="s">
        <v>385</v>
      </c>
      <c r="C3567" s="62" t="s">
        <v>60</v>
      </c>
      <c r="D3567" s="62" t="s">
        <v>105</v>
      </c>
      <c r="E3567" s="62" t="s">
        <v>382</v>
      </c>
      <c r="F3567" s="63" t="s">
        <v>283</v>
      </c>
      <c r="G3567" s="64" t="n">
        <v>1269162.85613066</v>
      </c>
      <c r="H3567" s="62" t="s">
        <v>138</v>
      </c>
    </row>
    <row r="3568" customFormat="false" ht="15" hidden="false" customHeight="false" outlineLevel="0" collapsed="false">
      <c r="A3568" s="62" t="n">
        <v>1</v>
      </c>
      <c r="B3568" s="62" t="s">
        <v>386</v>
      </c>
      <c r="C3568" s="62" t="s">
        <v>60</v>
      </c>
      <c r="D3568" s="62" t="s">
        <v>105</v>
      </c>
      <c r="E3568" s="62" t="s">
        <v>382</v>
      </c>
      <c r="F3568" s="63" t="s">
        <v>283</v>
      </c>
      <c r="G3568" s="64" t="n">
        <v>1405762.13131401</v>
      </c>
      <c r="H3568" s="62" t="s">
        <v>138</v>
      </c>
    </row>
    <row r="3569" customFormat="false" ht="15" hidden="false" customHeight="false" outlineLevel="0" collapsed="false">
      <c r="A3569" s="62" t="n">
        <v>1</v>
      </c>
      <c r="B3569" s="62" t="s">
        <v>387</v>
      </c>
      <c r="C3569" s="62" t="s">
        <v>60</v>
      </c>
      <c r="D3569" s="62" t="s">
        <v>105</v>
      </c>
      <c r="E3569" s="62" t="s">
        <v>382</v>
      </c>
      <c r="F3569" s="63" t="s">
        <v>283</v>
      </c>
      <c r="G3569" s="64" t="n">
        <v>1843889.05357109</v>
      </c>
      <c r="H3569" s="62" t="s">
        <v>138</v>
      </c>
    </row>
    <row r="3570" customFormat="false" ht="15" hidden="false" customHeight="false" outlineLevel="0" collapsed="false">
      <c r="A3570" s="62" t="n">
        <v>1</v>
      </c>
      <c r="B3570" s="62" t="s">
        <v>388</v>
      </c>
      <c r="C3570" s="62" t="s">
        <v>60</v>
      </c>
      <c r="D3570" s="62" t="s">
        <v>105</v>
      </c>
      <c r="E3570" s="62" t="s">
        <v>382</v>
      </c>
      <c r="F3570" s="63" t="s">
        <v>283</v>
      </c>
      <c r="G3570" s="64" t="n">
        <v>1057690.763514</v>
      </c>
      <c r="H3570" s="62" t="s">
        <v>138</v>
      </c>
    </row>
    <row r="3571" customFormat="false" ht="15" hidden="false" customHeight="false" outlineLevel="0" collapsed="false">
      <c r="A3571" s="62" t="n">
        <v>1</v>
      </c>
      <c r="B3571" s="62" t="s">
        <v>381</v>
      </c>
      <c r="C3571" s="62" t="s">
        <v>60</v>
      </c>
      <c r="D3571" s="62" t="s">
        <v>105</v>
      </c>
      <c r="E3571" s="62" t="s">
        <v>382</v>
      </c>
      <c r="F3571" s="63" t="s">
        <v>284</v>
      </c>
      <c r="G3571" s="64" t="n">
        <v>5078588.79038561</v>
      </c>
      <c r="H3571" s="62" t="s">
        <v>138</v>
      </c>
    </row>
    <row r="3572" customFormat="false" ht="15" hidden="false" customHeight="false" outlineLevel="0" collapsed="false">
      <c r="A3572" s="62" t="n">
        <v>1</v>
      </c>
      <c r="B3572" s="62" t="s">
        <v>383</v>
      </c>
      <c r="C3572" s="62" t="s">
        <v>60</v>
      </c>
      <c r="D3572" s="62" t="s">
        <v>105</v>
      </c>
      <c r="E3572" s="62" t="s">
        <v>382</v>
      </c>
      <c r="F3572" s="63" t="s">
        <v>284</v>
      </c>
      <c r="G3572" s="64" t="n">
        <v>20203197.7924865</v>
      </c>
      <c r="H3572" s="62" t="s">
        <v>138</v>
      </c>
    </row>
    <row r="3573" customFormat="false" ht="15" hidden="false" customHeight="false" outlineLevel="0" collapsed="false">
      <c r="A3573" s="62" t="n">
        <v>1</v>
      </c>
      <c r="B3573" s="62" t="s">
        <v>384</v>
      </c>
      <c r="C3573" s="62" t="s">
        <v>60</v>
      </c>
      <c r="D3573" s="62" t="s">
        <v>105</v>
      </c>
      <c r="E3573" s="62" t="s">
        <v>382</v>
      </c>
      <c r="F3573" s="63" t="s">
        <v>284</v>
      </c>
      <c r="G3573" s="64" t="n">
        <v>15238818.8975433</v>
      </c>
      <c r="H3573" s="62" t="s">
        <v>138</v>
      </c>
    </row>
    <row r="3574" customFormat="false" ht="15" hidden="false" customHeight="false" outlineLevel="0" collapsed="false">
      <c r="A3574" s="62" t="n">
        <v>1</v>
      </c>
      <c r="B3574" s="62" t="s">
        <v>385</v>
      </c>
      <c r="C3574" s="62" t="s">
        <v>60</v>
      </c>
      <c r="D3574" s="62" t="s">
        <v>105</v>
      </c>
      <c r="E3574" s="62" t="s">
        <v>382</v>
      </c>
      <c r="F3574" s="63" t="s">
        <v>284</v>
      </c>
      <c r="G3574" s="64" t="n">
        <v>11079095.6459249</v>
      </c>
      <c r="H3574" s="62" t="s">
        <v>138</v>
      </c>
    </row>
    <row r="3575" customFormat="false" ht="15" hidden="false" customHeight="false" outlineLevel="0" collapsed="false">
      <c r="A3575" s="62" t="n">
        <v>1</v>
      </c>
      <c r="B3575" s="62" t="s">
        <v>386</v>
      </c>
      <c r="C3575" s="62" t="s">
        <v>60</v>
      </c>
      <c r="D3575" s="62" t="s">
        <v>105</v>
      </c>
      <c r="E3575" s="62" t="s">
        <v>382</v>
      </c>
      <c r="F3575" s="63" t="s">
        <v>284</v>
      </c>
      <c r="G3575" s="64" t="n">
        <v>12274171.4842365</v>
      </c>
      <c r="H3575" s="62" t="s">
        <v>138</v>
      </c>
    </row>
    <row r="3576" customFormat="false" ht="15" hidden="false" customHeight="false" outlineLevel="0" collapsed="false">
      <c r="A3576" s="62" t="n">
        <v>1</v>
      </c>
      <c r="B3576" s="62" t="s">
        <v>387</v>
      </c>
      <c r="C3576" s="62" t="s">
        <v>60</v>
      </c>
      <c r="D3576" s="62" t="s">
        <v>105</v>
      </c>
      <c r="E3576" s="62" t="s">
        <v>382</v>
      </c>
      <c r="F3576" s="63" t="s">
        <v>284</v>
      </c>
      <c r="G3576" s="64" t="n">
        <v>14605746.1563465</v>
      </c>
      <c r="H3576" s="62" t="s">
        <v>138</v>
      </c>
    </row>
    <row r="3577" customFormat="false" ht="15" hidden="false" customHeight="false" outlineLevel="0" collapsed="false">
      <c r="A3577" s="62" t="n">
        <v>1</v>
      </c>
      <c r="B3577" s="62" t="s">
        <v>388</v>
      </c>
      <c r="C3577" s="62" t="s">
        <v>60</v>
      </c>
      <c r="D3577" s="62" t="s">
        <v>105</v>
      </c>
      <c r="E3577" s="62" t="s">
        <v>382</v>
      </c>
      <c r="F3577" s="63" t="s">
        <v>284</v>
      </c>
      <c r="G3577" s="64" t="n">
        <v>9344724.93190826</v>
      </c>
      <c r="H3577" s="62" t="s">
        <v>138</v>
      </c>
    </row>
    <row r="3578" customFormat="false" ht="15" hidden="false" customHeight="false" outlineLevel="0" collapsed="false">
      <c r="A3578" s="62" t="n">
        <v>1</v>
      </c>
      <c r="B3578" s="62" t="s">
        <v>381</v>
      </c>
      <c r="C3578" s="62" t="s">
        <v>60</v>
      </c>
      <c r="D3578" s="62" t="s">
        <v>105</v>
      </c>
      <c r="E3578" s="62" t="s">
        <v>382</v>
      </c>
      <c r="F3578" s="63" t="s">
        <v>285</v>
      </c>
      <c r="G3578" s="64" t="n">
        <v>24944689.3624272</v>
      </c>
      <c r="H3578" s="62" t="s">
        <v>138</v>
      </c>
    </row>
    <row r="3579" customFormat="false" ht="15" hidden="false" customHeight="false" outlineLevel="0" collapsed="false">
      <c r="A3579" s="62" t="n">
        <v>1</v>
      </c>
      <c r="B3579" s="62" t="s">
        <v>383</v>
      </c>
      <c r="C3579" s="62" t="s">
        <v>60</v>
      </c>
      <c r="D3579" s="62" t="s">
        <v>105</v>
      </c>
      <c r="E3579" s="62" t="s">
        <v>382</v>
      </c>
      <c r="F3579" s="63" t="s">
        <v>285</v>
      </c>
      <c r="G3579" s="64" t="n">
        <v>35018994.652026</v>
      </c>
      <c r="H3579" s="62" t="s">
        <v>138</v>
      </c>
    </row>
    <row r="3580" customFormat="false" ht="15" hidden="false" customHeight="false" outlineLevel="0" collapsed="false">
      <c r="A3580" s="62" t="n">
        <v>1</v>
      </c>
      <c r="B3580" s="62" t="s">
        <v>384</v>
      </c>
      <c r="C3580" s="62" t="s">
        <v>60</v>
      </c>
      <c r="D3580" s="62" t="s">
        <v>105</v>
      </c>
      <c r="E3580" s="62" t="s">
        <v>382</v>
      </c>
      <c r="F3580" s="63" t="s">
        <v>285</v>
      </c>
      <c r="G3580" s="64" t="n">
        <v>28948492.2418897</v>
      </c>
      <c r="H3580" s="62" t="s">
        <v>138</v>
      </c>
    </row>
    <row r="3581" customFormat="false" ht="15" hidden="false" customHeight="false" outlineLevel="0" collapsed="false">
      <c r="A3581" s="62" t="n">
        <v>1</v>
      </c>
      <c r="B3581" s="62" t="s">
        <v>385</v>
      </c>
      <c r="C3581" s="62" t="s">
        <v>60</v>
      </c>
      <c r="D3581" s="62" t="s">
        <v>105</v>
      </c>
      <c r="E3581" s="62" t="s">
        <v>382</v>
      </c>
      <c r="F3581" s="63" t="s">
        <v>285</v>
      </c>
      <c r="G3581" s="64" t="n">
        <v>27172398.3723618</v>
      </c>
      <c r="H3581" s="62" t="s">
        <v>138</v>
      </c>
    </row>
    <row r="3582" customFormat="false" ht="15" hidden="false" customHeight="false" outlineLevel="0" collapsed="false">
      <c r="A3582" s="62" t="n">
        <v>1</v>
      </c>
      <c r="B3582" s="62" t="s">
        <v>386</v>
      </c>
      <c r="C3582" s="62" t="s">
        <v>60</v>
      </c>
      <c r="D3582" s="62" t="s">
        <v>105</v>
      </c>
      <c r="E3582" s="62" t="s">
        <v>382</v>
      </c>
      <c r="F3582" s="63" t="s">
        <v>285</v>
      </c>
      <c r="G3582" s="64" t="n">
        <v>23492817.3955505</v>
      </c>
      <c r="H3582" s="62" t="s">
        <v>138</v>
      </c>
    </row>
    <row r="3583" customFormat="false" ht="15" hidden="false" customHeight="false" outlineLevel="0" collapsed="false">
      <c r="A3583" s="62" t="n">
        <v>1</v>
      </c>
      <c r="B3583" s="62" t="s">
        <v>387</v>
      </c>
      <c r="C3583" s="62" t="s">
        <v>60</v>
      </c>
      <c r="D3583" s="62" t="s">
        <v>105</v>
      </c>
      <c r="E3583" s="62" t="s">
        <v>382</v>
      </c>
      <c r="F3583" s="63" t="s">
        <v>285</v>
      </c>
      <c r="G3583" s="64" t="n">
        <v>29214626.2370303</v>
      </c>
      <c r="H3583" s="62" t="s">
        <v>138</v>
      </c>
    </row>
    <row r="3584" customFormat="false" ht="15" hidden="false" customHeight="false" outlineLevel="0" collapsed="false">
      <c r="A3584" s="62" t="n">
        <v>1</v>
      </c>
      <c r="B3584" s="62" t="s">
        <v>388</v>
      </c>
      <c r="C3584" s="62" t="s">
        <v>60</v>
      </c>
      <c r="D3584" s="62" t="s">
        <v>105</v>
      </c>
      <c r="E3584" s="62" t="s">
        <v>382</v>
      </c>
      <c r="F3584" s="63" t="s">
        <v>285</v>
      </c>
      <c r="G3584" s="64" t="n">
        <v>20188299.4754223</v>
      </c>
      <c r="H3584" s="62" t="s">
        <v>138</v>
      </c>
    </row>
    <row r="3585" customFormat="false" ht="15" hidden="false" customHeight="false" outlineLevel="0" collapsed="false">
      <c r="A3585" s="62" t="n">
        <v>1</v>
      </c>
      <c r="B3585" s="62" t="s">
        <v>381</v>
      </c>
      <c r="C3585" s="62" t="s">
        <v>60</v>
      </c>
      <c r="D3585" s="62" t="s">
        <v>105</v>
      </c>
      <c r="E3585" s="62" t="s">
        <v>382</v>
      </c>
      <c r="F3585" s="63" t="s">
        <v>396</v>
      </c>
      <c r="G3585" s="64" t="n">
        <v>5500000</v>
      </c>
      <c r="H3585" s="62" t="s">
        <v>138</v>
      </c>
    </row>
    <row r="3586" customFormat="false" ht="15" hidden="false" customHeight="false" outlineLevel="0" collapsed="false">
      <c r="A3586" s="62" t="n">
        <v>1</v>
      </c>
      <c r="B3586" s="62" t="s">
        <v>383</v>
      </c>
      <c r="C3586" s="62" t="s">
        <v>60</v>
      </c>
      <c r="D3586" s="62" t="s">
        <v>105</v>
      </c>
      <c r="E3586" s="62" t="s">
        <v>382</v>
      </c>
      <c r="F3586" s="63" t="s">
        <v>396</v>
      </c>
      <c r="G3586" s="64" t="n">
        <v>5500000</v>
      </c>
      <c r="H3586" s="62" t="s">
        <v>138</v>
      </c>
    </row>
    <row r="3587" customFormat="false" ht="15" hidden="false" customHeight="false" outlineLevel="0" collapsed="false">
      <c r="A3587" s="62" t="n">
        <v>1</v>
      </c>
      <c r="B3587" s="62" t="s">
        <v>384</v>
      </c>
      <c r="C3587" s="62" t="s">
        <v>60</v>
      </c>
      <c r="D3587" s="62" t="s">
        <v>105</v>
      </c>
      <c r="E3587" s="62" t="s">
        <v>382</v>
      </c>
      <c r="F3587" s="63" t="s">
        <v>396</v>
      </c>
      <c r="G3587" s="64" t="n">
        <v>5500000</v>
      </c>
      <c r="H3587" s="62" t="s">
        <v>138</v>
      </c>
    </row>
    <row r="3588" customFormat="false" ht="15" hidden="false" customHeight="false" outlineLevel="0" collapsed="false">
      <c r="A3588" s="62" t="n">
        <v>1</v>
      </c>
      <c r="B3588" s="62" t="s">
        <v>385</v>
      </c>
      <c r="C3588" s="62" t="s">
        <v>60</v>
      </c>
      <c r="D3588" s="62" t="s">
        <v>105</v>
      </c>
      <c r="E3588" s="62" t="s">
        <v>382</v>
      </c>
      <c r="F3588" s="63" t="s">
        <v>396</v>
      </c>
      <c r="G3588" s="64" t="n">
        <v>5500000</v>
      </c>
      <c r="H3588" s="62" t="s">
        <v>138</v>
      </c>
    </row>
    <row r="3589" customFormat="false" ht="15" hidden="false" customHeight="false" outlineLevel="0" collapsed="false">
      <c r="A3589" s="62" t="n">
        <v>1</v>
      </c>
      <c r="B3589" s="62" t="s">
        <v>386</v>
      </c>
      <c r="C3589" s="62" t="s">
        <v>60</v>
      </c>
      <c r="D3589" s="62" t="s">
        <v>105</v>
      </c>
      <c r="E3589" s="62" t="s">
        <v>382</v>
      </c>
      <c r="F3589" s="63" t="s">
        <v>396</v>
      </c>
      <c r="G3589" s="64" t="n">
        <v>5500000</v>
      </c>
      <c r="H3589" s="62" t="s">
        <v>138</v>
      </c>
    </row>
    <row r="3590" customFormat="false" ht="15" hidden="false" customHeight="false" outlineLevel="0" collapsed="false">
      <c r="A3590" s="62" t="n">
        <v>1</v>
      </c>
      <c r="B3590" s="62" t="s">
        <v>387</v>
      </c>
      <c r="C3590" s="62" t="s">
        <v>60</v>
      </c>
      <c r="D3590" s="62" t="s">
        <v>105</v>
      </c>
      <c r="E3590" s="62" t="s">
        <v>382</v>
      </c>
      <c r="F3590" s="63" t="s">
        <v>396</v>
      </c>
      <c r="G3590" s="64" t="n">
        <v>5500000</v>
      </c>
      <c r="H3590" s="62" t="s">
        <v>138</v>
      </c>
    </row>
    <row r="3591" customFormat="false" ht="15" hidden="false" customHeight="false" outlineLevel="0" collapsed="false">
      <c r="A3591" s="62" t="n">
        <v>1</v>
      </c>
      <c r="B3591" s="62" t="s">
        <v>388</v>
      </c>
      <c r="C3591" s="62" t="s">
        <v>60</v>
      </c>
      <c r="D3591" s="62" t="s">
        <v>105</v>
      </c>
      <c r="E3591" s="62" t="s">
        <v>382</v>
      </c>
      <c r="F3591" s="63" t="s">
        <v>396</v>
      </c>
      <c r="G3591" s="64" t="n">
        <v>5500000</v>
      </c>
      <c r="H3591" s="62" t="s">
        <v>138</v>
      </c>
    </row>
    <row r="3592" customFormat="false" ht="15" hidden="false" customHeight="false" outlineLevel="0" collapsed="false">
      <c r="A3592" s="62" t="n">
        <v>1</v>
      </c>
      <c r="B3592" s="62" t="s">
        <v>381</v>
      </c>
      <c r="C3592" s="62" t="s">
        <v>60</v>
      </c>
      <c r="D3592" s="62" t="s">
        <v>105</v>
      </c>
      <c r="E3592" s="62" t="s">
        <v>382</v>
      </c>
      <c r="F3592" s="63" t="s">
        <v>397</v>
      </c>
      <c r="G3592" s="64" t="n">
        <v>0</v>
      </c>
      <c r="H3592" s="62" t="s">
        <v>138</v>
      </c>
    </row>
    <row r="3593" customFormat="false" ht="15" hidden="false" customHeight="false" outlineLevel="0" collapsed="false">
      <c r="A3593" s="62" t="n">
        <v>1</v>
      </c>
      <c r="B3593" s="62" t="s">
        <v>383</v>
      </c>
      <c r="C3593" s="62" t="s">
        <v>60</v>
      </c>
      <c r="D3593" s="62" t="s">
        <v>105</v>
      </c>
      <c r="E3593" s="62" t="s">
        <v>382</v>
      </c>
      <c r="F3593" s="63" t="s">
        <v>397</v>
      </c>
      <c r="G3593" s="64" t="n">
        <v>0</v>
      </c>
      <c r="H3593" s="62" t="s">
        <v>138</v>
      </c>
    </row>
    <row r="3594" customFormat="false" ht="15" hidden="false" customHeight="false" outlineLevel="0" collapsed="false">
      <c r="A3594" s="62" t="n">
        <v>1</v>
      </c>
      <c r="B3594" s="62" t="s">
        <v>384</v>
      </c>
      <c r="C3594" s="62" t="s">
        <v>60</v>
      </c>
      <c r="D3594" s="62" t="s">
        <v>105</v>
      </c>
      <c r="E3594" s="62" t="s">
        <v>382</v>
      </c>
      <c r="F3594" s="63" t="s">
        <v>397</v>
      </c>
      <c r="G3594" s="64" t="n">
        <v>0</v>
      </c>
      <c r="H3594" s="62" t="s">
        <v>138</v>
      </c>
    </row>
    <row r="3595" customFormat="false" ht="15" hidden="false" customHeight="false" outlineLevel="0" collapsed="false">
      <c r="A3595" s="62" t="n">
        <v>1</v>
      </c>
      <c r="B3595" s="62" t="s">
        <v>385</v>
      </c>
      <c r="C3595" s="62" t="s">
        <v>60</v>
      </c>
      <c r="D3595" s="62" t="s">
        <v>105</v>
      </c>
      <c r="E3595" s="62" t="s">
        <v>382</v>
      </c>
      <c r="F3595" s="63" t="s">
        <v>397</v>
      </c>
      <c r="G3595" s="64" t="n">
        <v>0</v>
      </c>
      <c r="H3595" s="62" t="s">
        <v>138</v>
      </c>
    </row>
    <row r="3596" customFormat="false" ht="15" hidden="false" customHeight="false" outlineLevel="0" collapsed="false">
      <c r="A3596" s="62" t="n">
        <v>1</v>
      </c>
      <c r="B3596" s="62" t="s">
        <v>386</v>
      </c>
      <c r="C3596" s="62" t="s">
        <v>60</v>
      </c>
      <c r="D3596" s="62" t="s">
        <v>105</v>
      </c>
      <c r="E3596" s="62" t="s">
        <v>382</v>
      </c>
      <c r="F3596" s="63" t="s">
        <v>397</v>
      </c>
      <c r="G3596" s="64" t="n">
        <v>0</v>
      </c>
      <c r="H3596" s="62" t="s">
        <v>138</v>
      </c>
    </row>
    <row r="3597" customFormat="false" ht="15" hidden="false" customHeight="false" outlineLevel="0" collapsed="false">
      <c r="A3597" s="62" t="n">
        <v>1</v>
      </c>
      <c r="B3597" s="62" t="s">
        <v>387</v>
      </c>
      <c r="C3597" s="62" t="s">
        <v>60</v>
      </c>
      <c r="D3597" s="62" t="s">
        <v>105</v>
      </c>
      <c r="E3597" s="62" t="s">
        <v>382</v>
      </c>
      <c r="F3597" s="63" t="s">
        <v>397</v>
      </c>
      <c r="G3597" s="64" t="n">
        <v>0</v>
      </c>
      <c r="H3597" s="62" t="s">
        <v>138</v>
      </c>
    </row>
    <row r="3598" customFormat="false" ht="15" hidden="false" customHeight="false" outlineLevel="0" collapsed="false">
      <c r="A3598" s="62" t="n">
        <v>1</v>
      </c>
      <c r="B3598" s="62" t="s">
        <v>388</v>
      </c>
      <c r="C3598" s="62" t="s">
        <v>60</v>
      </c>
      <c r="D3598" s="62" t="s">
        <v>105</v>
      </c>
      <c r="E3598" s="62" t="s">
        <v>382</v>
      </c>
      <c r="F3598" s="63" t="s">
        <v>397</v>
      </c>
      <c r="G3598" s="64" t="n">
        <v>0</v>
      </c>
      <c r="H3598" s="62" t="s">
        <v>138</v>
      </c>
    </row>
    <row r="3599" customFormat="false" ht="15" hidden="false" customHeight="false" outlineLevel="0" collapsed="false">
      <c r="A3599" s="62" t="n">
        <v>1</v>
      </c>
      <c r="B3599" s="62" t="s">
        <v>381</v>
      </c>
      <c r="C3599" s="62" t="s">
        <v>60</v>
      </c>
      <c r="D3599" s="62" t="s">
        <v>105</v>
      </c>
      <c r="E3599" s="62" t="s">
        <v>382</v>
      </c>
      <c r="F3599" s="63" t="s">
        <v>398</v>
      </c>
      <c r="G3599" s="64" t="n">
        <v>2503561.98389483</v>
      </c>
      <c r="H3599" s="62" t="s">
        <v>138</v>
      </c>
    </row>
    <row r="3600" customFormat="false" ht="15" hidden="false" customHeight="false" outlineLevel="0" collapsed="false">
      <c r="A3600" s="62" t="n">
        <v>1</v>
      </c>
      <c r="B3600" s="62" t="s">
        <v>383</v>
      </c>
      <c r="C3600" s="62" t="s">
        <v>60</v>
      </c>
      <c r="D3600" s="62" t="s">
        <v>105</v>
      </c>
      <c r="E3600" s="62" t="s">
        <v>382</v>
      </c>
      <c r="F3600" s="63" t="s">
        <v>398</v>
      </c>
      <c r="G3600" s="64" t="n">
        <v>3674978.98389483</v>
      </c>
      <c r="H3600" s="62" t="s">
        <v>138</v>
      </c>
    </row>
    <row r="3601" customFormat="false" ht="15" hidden="false" customHeight="false" outlineLevel="0" collapsed="false">
      <c r="A3601" s="62" t="n">
        <v>1</v>
      </c>
      <c r="B3601" s="62" t="s">
        <v>384</v>
      </c>
      <c r="C3601" s="62" t="s">
        <v>60</v>
      </c>
      <c r="D3601" s="62" t="s">
        <v>105</v>
      </c>
      <c r="E3601" s="62" t="s">
        <v>382</v>
      </c>
      <c r="F3601" s="63" t="s">
        <v>398</v>
      </c>
      <c r="G3601" s="64" t="n">
        <v>2845996.98389483</v>
      </c>
      <c r="H3601" s="62" t="s">
        <v>138</v>
      </c>
    </row>
    <row r="3602" customFormat="false" ht="15" hidden="false" customHeight="false" outlineLevel="0" collapsed="false">
      <c r="A3602" s="62" t="n">
        <v>1</v>
      </c>
      <c r="B3602" s="62" t="s">
        <v>385</v>
      </c>
      <c r="C3602" s="62" t="s">
        <v>60</v>
      </c>
      <c r="D3602" s="62" t="s">
        <v>105</v>
      </c>
      <c r="E3602" s="62" t="s">
        <v>382</v>
      </c>
      <c r="F3602" s="63" t="s">
        <v>398</v>
      </c>
      <c r="G3602" s="64" t="n">
        <v>4227367.98389483</v>
      </c>
      <c r="H3602" s="62" t="s">
        <v>138</v>
      </c>
    </row>
    <row r="3603" customFormat="false" ht="15" hidden="false" customHeight="false" outlineLevel="0" collapsed="false">
      <c r="A3603" s="62" t="n">
        <v>1</v>
      </c>
      <c r="B3603" s="62" t="s">
        <v>386</v>
      </c>
      <c r="C3603" s="62" t="s">
        <v>60</v>
      </c>
      <c r="D3603" s="62" t="s">
        <v>105</v>
      </c>
      <c r="E3603" s="62" t="s">
        <v>382</v>
      </c>
      <c r="F3603" s="63" t="s">
        <v>398</v>
      </c>
      <c r="G3603" s="64" t="n">
        <v>3561.9838948343</v>
      </c>
      <c r="H3603" s="62" t="s">
        <v>138</v>
      </c>
    </row>
    <row r="3604" customFormat="false" ht="15" hidden="false" customHeight="false" outlineLevel="0" collapsed="false">
      <c r="A3604" s="62" t="n">
        <v>1</v>
      </c>
      <c r="B3604" s="62" t="s">
        <v>387</v>
      </c>
      <c r="C3604" s="62" t="s">
        <v>60</v>
      </c>
      <c r="D3604" s="62" t="s">
        <v>105</v>
      </c>
      <c r="E3604" s="62" t="s">
        <v>382</v>
      </c>
      <c r="F3604" s="63" t="s">
        <v>398</v>
      </c>
      <c r="G3604" s="64" t="n">
        <v>3398783.98389483</v>
      </c>
      <c r="H3604" s="62" t="s">
        <v>138</v>
      </c>
    </row>
    <row r="3605" customFormat="false" ht="15" hidden="false" customHeight="false" outlineLevel="0" collapsed="false">
      <c r="A3605" s="62" t="n">
        <v>1</v>
      </c>
      <c r="B3605" s="62" t="s">
        <v>388</v>
      </c>
      <c r="C3605" s="62" t="s">
        <v>60</v>
      </c>
      <c r="D3605" s="62" t="s">
        <v>105</v>
      </c>
      <c r="E3605" s="62" t="s">
        <v>382</v>
      </c>
      <c r="F3605" s="63" t="s">
        <v>398</v>
      </c>
      <c r="G3605" s="64" t="n">
        <v>3918098.98389483</v>
      </c>
      <c r="H3605" s="62" t="s">
        <v>138</v>
      </c>
    </row>
    <row r="3606" customFormat="false" ht="15" hidden="false" customHeight="false" outlineLevel="0" collapsed="false">
      <c r="A3606" s="62" t="n">
        <v>1</v>
      </c>
      <c r="B3606" s="62" t="s">
        <v>381</v>
      </c>
      <c r="C3606" s="62" t="s">
        <v>60</v>
      </c>
      <c r="D3606" s="62" t="s">
        <v>105</v>
      </c>
      <c r="E3606" s="62" t="s">
        <v>382</v>
      </c>
      <c r="F3606" s="63" t="s">
        <v>293</v>
      </c>
      <c r="G3606" s="64" t="n">
        <v>11612898.4581758</v>
      </c>
      <c r="H3606" s="62" t="s">
        <v>138</v>
      </c>
    </row>
    <row r="3607" customFormat="false" ht="15" hidden="false" customHeight="false" outlineLevel="0" collapsed="false">
      <c r="A3607" s="62" t="n">
        <v>1</v>
      </c>
      <c r="B3607" s="62" t="s">
        <v>383</v>
      </c>
      <c r="C3607" s="62" t="s">
        <v>60</v>
      </c>
      <c r="D3607" s="62" t="s">
        <v>105</v>
      </c>
      <c r="E3607" s="62" t="s">
        <v>382</v>
      </c>
      <c r="F3607" s="63" t="s">
        <v>293</v>
      </c>
      <c r="G3607" s="64" t="n">
        <v>21708424.5871324</v>
      </c>
      <c r="H3607" s="62" t="s">
        <v>138</v>
      </c>
    </row>
    <row r="3608" customFormat="false" ht="15" hidden="false" customHeight="false" outlineLevel="0" collapsed="false">
      <c r="A3608" s="62" t="n">
        <v>1</v>
      </c>
      <c r="B3608" s="62" t="s">
        <v>384</v>
      </c>
      <c r="C3608" s="62" t="s">
        <v>60</v>
      </c>
      <c r="D3608" s="62" t="s">
        <v>105</v>
      </c>
      <c r="E3608" s="62" t="s">
        <v>382</v>
      </c>
      <c r="F3608" s="63" t="s">
        <v>293</v>
      </c>
      <c r="G3608" s="64" t="n">
        <v>18313728.5012454</v>
      </c>
      <c r="H3608" s="62" t="s">
        <v>138</v>
      </c>
    </row>
    <row r="3609" customFormat="false" ht="15" hidden="false" customHeight="false" outlineLevel="0" collapsed="false">
      <c r="A3609" s="62" t="n">
        <v>1</v>
      </c>
      <c r="B3609" s="62" t="s">
        <v>385</v>
      </c>
      <c r="C3609" s="62" t="s">
        <v>60</v>
      </c>
      <c r="D3609" s="62" t="s">
        <v>105</v>
      </c>
      <c r="E3609" s="62" t="s">
        <v>382</v>
      </c>
      <c r="F3609" s="63" t="s">
        <v>293</v>
      </c>
      <c r="G3609" s="64" t="n">
        <v>16507700.4688598</v>
      </c>
      <c r="H3609" s="62" t="s">
        <v>138</v>
      </c>
    </row>
    <row r="3610" customFormat="false" ht="15" hidden="false" customHeight="false" outlineLevel="0" collapsed="false">
      <c r="A3610" s="62" t="n">
        <v>1</v>
      </c>
      <c r="B3610" s="62" t="s">
        <v>386</v>
      </c>
      <c r="C3610" s="62" t="s">
        <v>60</v>
      </c>
      <c r="D3610" s="62" t="s">
        <v>105</v>
      </c>
      <c r="E3610" s="62" t="s">
        <v>382</v>
      </c>
      <c r="F3610" s="63" t="s">
        <v>293</v>
      </c>
      <c r="G3610" s="64" t="n">
        <v>11189442.9383604</v>
      </c>
      <c r="H3610" s="62" t="s">
        <v>138</v>
      </c>
    </row>
    <row r="3611" customFormat="false" ht="15" hidden="false" customHeight="false" outlineLevel="0" collapsed="false">
      <c r="A3611" s="62" t="n">
        <v>1</v>
      </c>
      <c r="B3611" s="62" t="s">
        <v>387</v>
      </c>
      <c r="C3611" s="62" t="s">
        <v>60</v>
      </c>
      <c r="D3611" s="62" t="s">
        <v>105</v>
      </c>
      <c r="E3611" s="62" t="s">
        <v>382</v>
      </c>
      <c r="F3611" s="63" t="s">
        <v>293</v>
      </c>
      <c r="G3611" s="64" t="n">
        <v>16080026.7219088</v>
      </c>
      <c r="H3611" s="62" t="s">
        <v>138</v>
      </c>
    </row>
    <row r="3612" customFormat="false" ht="15" hidden="false" customHeight="false" outlineLevel="0" collapsed="false">
      <c r="A3612" s="62" t="n">
        <v>1</v>
      </c>
      <c r="B3612" s="62" t="s">
        <v>388</v>
      </c>
      <c r="C3612" s="62" t="s">
        <v>60</v>
      </c>
      <c r="D3612" s="62" t="s">
        <v>105</v>
      </c>
      <c r="E3612" s="62" t="s">
        <v>382</v>
      </c>
      <c r="F3612" s="63" t="s">
        <v>293</v>
      </c>
      <c r="G3612" s="64" t="n">
        <v>9472032.71089824</v>
      </c>
      <c r="H3612" s="62" t="s">
        <v>138</v>
      </c>
    </row>
    <row r="3613" customFormat="false" ht="15" hidden="false" customHeight="false" outlineLevel="0" collapsed="false">
      <c r="A3613" s="62" t="n">
        <v>1</v>
      </c>
      <c r="B3613" s="62" t="s">
        <v>381</v>
      </c>
      <c r="C3613" s="62" t="s">
        <v>60</v>
      </c>
      <c r="D3613" s="62" t="s">
        <v>105</v>
      </c>
      <c r="E3613" s="62" t="s">
        <v>382</v>
      </c>
      <c r="F3613" s="63" t="s">
        <v>286</v>
      </c>
      <c r="G3613" s="64" t="n">
        <v>11900000</v>
      </c>
      <c r="H3613" s="62" t="s">
        <v>138</v>
      </c>
    </row>
    <row r="3614" customFormat="false" ht="15" hidden="false" customHeight="false" outlineLevel="0" collapsed="false">
      <c r="A3614" s="62" t="n">
        <v>1</v>
      </c>
      <c r="B3614" s="62" t="s">
        <v>383</v>
      </c>
      <c r="C3614" s="62" t="s">
        <v>60</v>
      </c>
      <c r="D3614" s="62" t="s">
        <v>105</v>
      </c>
      <c r="E3614" s="62" t="s">
        <v>382</v>
      </c>
      <c r="F3614" s="63" t="s">
        <v>286</v>
      </c>
      <c r="G3614" s="64" t="n">
        <v>11900000</v>
      </c>
      <c r="H3614" s="62" t="s">
        <v>138</v>
      </c>
    </row>
    <row r="3615" customFormat="false" ht="15" hidden="false" customHeight="false" outlineLevel="0" collapsed="false">
      <c r="A3615" s="62" t="n">
        <v>1</v>
      </c>
      <c r="B3615" s="62" t="s">
        <v>384</v>
      </c>
      <c r="C3615" s="62" t="s">
        <v>60</v>
      </c>
      <c r="D3615" s="62" t="s">
        <v>105</v>
      </c>
      <c r="E3615" s="62" t="s">
        <v>382</v>
      </c>
      <c r="F3615" s="63" t="s">
        <v>286</v>
      </c>
      <c r="G3615" s="64" t="n">
        <v>9413652</v>
      </c>
      <c r="H3615" s="62" t="s">
        <v>138</v>
      </c>
    </row>
    <row r="3616" customFormat="false" ht="15" hidden="false" customHeight="false" outlineLevel="0" collapsed="false">
      <c r="A3616" s="62" t="n">
        <v>1</v>
      </c>
      <c r="B3616" s="62" t="s">
        <v>385</v>
      </c>
      <c r="C3616" s="62" t="s">
        <v>60</v>
      </c>
      <c r="D3616" s="62" t="s">
        <v>105</v>
      </c>
      <c r="E3616" s="62" t="s">
        <v>382</v>
      </c>
      <c r="F3616" s="63" t="s">
        <v>286</v>
      </c>
      <c r="G3616" s="64" t="n">
        <v>9900000</v>
      </c>
      <c r="H3616" s="62" t="s">
        <v>138</v>
      </c>
    </row>
    <row r="3617" customFormat="false" ht="15" hidden="false" customHeight="false" outlineLevel="0" collapsed="false">
      <c r="A3617" s="62" t="n">
        <v>1</v>
      </c>
      <c r="B3617" s="62" t="s">
        <v>386</v>
      </c>
      <c r="C3617" s="62" t="s">
        <v>60</v>
      </c>
      <c r="D3617" s="62" t="s">
        <v>105</v>
      </c>
      <c r="E3617" s="62" t="s">
        <v>382</v>
      </c>
      <c r="F3617" s="63" t="s">
        <v>286</v>
      </c>
      <c r="G3617" s="64" t="n">
        <v>10400000</v>
      </c>
      <c r="H3617" s="62" t="s">
        <v>138</v>
      </c>
    </row>
    <row r="3618" customFormat="false" ht="15" hidden="false" customHeight="false" outlineLevel="0" collapsed="false">
      <c r="A3618" s="62" t="n">
        <v>1</v>
      </c>
      <c r="B3618" s="62" t="s">
        <v>387</v>
      </c>
      <c r="C3618" s="62" t="s">
        <v>60</v>
      </c>
      <c r="D3618" s="62" t="s">
        <v>105</v>
      </c>
      <c r="E3618" s="62" t="s">
        <v>382</v>
      </c>
      <c r="F3618" s="63" t="s">
        <v>286</v>
      </c>
      <c r="G3618" s="64" t="n">
        <v>11900000</v>
      </c>
      <c r="H3618" s="62" t="s">
        <v>138</v>
      </c>
    </row>
    <row r="3619" customFormat="false" ht="15" hidden="false" customHeight="false" outlineLevel="0" collapsed="false">
      <c r="A3619" s="62" t="n">
        <v>1</v>
      </c>
      <c r="B3619" s="62" t="s">
        <v>388</v>
      </c>
      <c r="C3619" s="62" t="s">
        <v>60</v>
      </c>
      <c r="D3619" s="62" t="s">
        <v>105</v>
      </c>
      <c r="E3619" s="62" t="s">
        <v>382</v>
      </c>
      <c r="F3619" s="63" t="s">
        <v>286</v>
      </c>
      <c r="G3619" s="64" t="n">
        <v>9900000</v>
      </c>
      <c r="H3619" s="62" t="s">
        <v>138</v>
      </c>
    </row>
    <row r="3620" customFormat="false" ht="15" hidden="false" customHeight="false" outlineLevel="0" collapsed="false">
      <c r="A3620" s="62" t="n">
        <v>1</v>
      </c>
      <c r="B3620" s="62" t="s">
        <v>381</v>
      </c>
      <c r="C3620" s="62" t="s">
        <v>60</v>
      </c>
      <c r="D3620" s="62" t="s">
        <v>105</v>
      </c>
      <c r="E3620" s="62" t="s">
        <v>382</v>
      </c>
      <c r="F3620" s="63" t="s">
        <v>287</v>
      </c>
      <c r="G3620" s="64" t="n">
        <v>0</v>
      </c>
      <c r="H3620" s="62" t="s">
        <v>138</v>
      </c>
    </row>
    <row r="3621" customFormat="false" ht="15" hidden="false" customHeight="false" outlineLevel="0" collapsed="false">
      <c r="A3621" s="62" t="n">
        <v>1</v>
      </c>
      <c r="B3621" s="62" t="s">
        <v>383</v>
      </c>
      <c r="C3621" s="62" t="s">
        <v>60</v>
      </c>
      <c r="D3621" s="62" t="s">
        <v>105</v>
      </c>
      <c r="E3621" s="62" t="s">
        <v>382</v>
      </c>
      <c r="F3621" s="63" t="s">
        <v>287</v>
      </c>
      <c r="G3621" s="64" t="n">
        <v>0</v>
      </c>
      <c r="H3621" s="62" t="s">
        <v>138</v>
      </c>
    </row>
    <row r="3622" customFormat="false" ht="15" hidden="false" customHeight="false" outlineLevel="0" collapsed="false">
      <c r="A3622" s="62" t="n">
        <v>1</v>
      </c>
      <c r="B3622" s="62" t="s">
        <v>384</v>
      </c>
      <c r="C3622" s="62" t="s">
        <v>60</v>
      </c>
      <c r="D3622" s="62" t="s">
        <v>105</v>
      </c>
      <c r="E3622" s="62" t="s">
        <v>382</v>
      </c>
      <c r="F3622" s="63" t="s">
        <v>287</v>
      </c>
      <c r="G3622" s="64" t="n">
        <v>0</v>
      </c>
      <c r="H3622" s="62" t="s">
        <v>138</v>
      </c>
    </row>
    <row r="3623" customFormat="false" ht="15" hidden="false" customHeight="false" outlineLevel="0" collapsed="false">
      <c r="A3623" s="62" t="n">
        <v>1</v>
      </c>
      <c r="B3623" s="62" t="s">
        <v>385</v>
      </c>
      <c r="C3623" s="62" t="s">
        <v>60</v>
      </c>
      <c r="D3623" s="62" t="s">
        <v>105</v>
      </c>
      <c r="E3623" s="62" t="s">
        <v>382</v>
      </c>
      <c r="F3623" s="63" t="s">
        <v>287</v>
      </c>
      <c r="G3623" s="64" t="n">
        <v>0</v>
      </c>
      <c r="H3623" s="62" t="s">
        <v>138</v>
      </c>
    </row>
    <row r="3624" customFormat="false" ht="15" hidden="false" customHeight="false" outlineLevel="0" collapsed="false">
      <c r="A3624" s="62" t="n">
        <v>1</v>
      </c>
      <c r="B3624" s="62" t="s">
        <v>386</v>
      </c>
      <c r="C3624" s="62" t="s">
        <v>60</v>
      </c>
      <c r="D3624" s="62" t="s">
        <v>105</v>
      </c>
      <c r="E3624" s="62" t="s">
        <v>382</v>
      </c>
      <c r="F3624" s="63" t="s">
        <v>287</v>
      </c>
      <c r="G3624" s="64" t="n">
        <v>963900.136322961</v>
      </c>
      <c r="H3624" s="62" t="s">
        <v>138</v>
      </c>
    </row>
    <row r="3625" customFormat="false" ht="15" hidden="false" customHeight="false" outlineLevel="0" collapsed="false">
      <c r="A3625" s="62" t="n">
        <v>1</v>
      </c>
      <c r="B3625" s="62" t="s">
        <v>387</v>
      </c>
      <c r="C3625" s="62" t="s">
        <v>60</v>
      </c>
      <c r="D3625" s="62" t="s">
        <v>105</v>
      </c>
      <c r="E3625" s="62" t="s">
        <v>382</v>
      </c>
      <c r="F3625" s="63" t="s">
        <v>287</v>
      </c>
      <c r="G3625" s="64" t="n">
        <v>0</v>
      </c>
      <c r="H3625" s="62" t="s">
        <v>138</v>
      </c>
    </row>
    <row r="3626" customFormat="false" ht="15" hidden="false" customHeight="false" outlineLevel="0" collapsed="false">
      <c r="A3626" s="62" t="n">
        <v>1</v>
      </c>
      <c r="B3626" s="62" t="s">
        <v>388</v>
      </c>
      <c r="C3626" s="62" t="s">
        <v>60</v>
      </c>
      <c r="D3626" s="62" t="s">
        <v>105</v>
      </c>
      <c r="E3626" s="62" t="s">
        <v>382</v>
      </c>
      <c r="F3626" s="63" t="s">
        <v>287</v>
      </c>
      <c r="G3626" s="64" t="n">
        <v>0</v>
      </c>
      <c r="H3626" s="62" t="s">
        <v>138</v>
      </c>
    </row>
    <row r="3627" customFormat="false" ht="15" hidden="false" customHeight="false" outlineLevel="0" collapsed="false">
      <c r="A3627" s="62" t="n">
        <v>1</v>
      </c>
      <c r="B3627" s="62" t="s">
        <v>381</v>
      </c>
      <c r="C3627" s="62" t="s">
        <v>60</v>
      </c>
      <c r="D3627" s="62" t="s">
        <v>105</v>
      </c>
      <c r="E3627" s="62" t="s">
        <v>382</v>
      </c>
      <c r="F3627" s="63" t="s">
        <v>288</v>
      </c>
      <c r="G3627" s="64" t="n">
        <v>1431790.9042514</v>
      </c>
      <c r="H3627" s="62" t="s">
        <v>138</v>
      </c>
    </row>
    <row r="3628" customFormat="false" ht="15" hidden="false" customHeight="false" outlineLevel="0" collapsed="false">
      <c r="A3628" s="62" t="n">
        <v>1</v>
      </c>
      <c r="B3628" s="62" t="s">
        <v>383</v>
      </c>
      <c r="C3628" s="62" t="s">
        <v>60</v>
      </c>
      <c r="D3628" s="62" t="s">
        <v>105</v>
      </c>
      <c r="E3628" s="62" t="s">
        <v>382</v>
      </c>
      <c r="F3628" s="63" t="s">
        <v>288</v>
      </c>
      <c r="G3628" s="64" t="n">
        <v>1410570.06489357</v>
      </c>
      <c r="H3628" s="62" t="s">
        <v>138</v>
      </c>
    </row>
    <row r="3629" customFormat="false" ht="15" hidden="false" customHeight="false" outlineLevel="0" collapsed="false">
      <c r="A3629" s="62" t="n">
        <v>1</v>
      </c>
      <c r="B3629" s="62" t="s">
        <v>384</v>
      </c>
      <c r="C3629" s="62" t="s">
        <v>60</v>
      </c>
      <c r="D3629" s="62" t="s">
        <v>105</v>
      </c>
      <c r="E3629" s="62" t="s">
        <v>382</v>
      </c>
      <c r="F3629" s="63" t="s">
        <v>288</v>
      </c>
      <c r="G3629" s="64" t="n">
        <v>1221111.74064429</v>
      </c>
      <c r="H3629" s="62" t="s">
        <v>138</v>
      </c>
    </row>
    <row r="3630" customFormat="false" ht="15" hidden="false" customHeight="false" outlineLevel="0" collapsed="false">
      <c r="A3630" s="62" t="n">
        <v>1</v>
      </c>
      <c r="B3630" s="62" t="s">
        <v>385</v>
      </c>
      <c r="C3630" s="62" t="s">
        <v>60</v>
      </c>
      <c r="D3630" s="62" t="s">
        <v>105</v>
      </c>
      <c r="E3630" s="62" t="s">
        <v>382</v>
      </c>
      <c r="F3630" s="63" t="s">
        <v>288</v>
      </c>
      <c r="G3630" s="64" t="n">
        <v>764697.903501946</v>
      </c>
      <c r="H3630" s="62" t="s">
        <v>138</v>
      </c>
    </row>
    <row r="3631" customFormat="false" ht="15" hidden="false" customHeight="false" outlineLevel="0" collapsed="false">
      <c r="A3631" s="62" t="n">
        <v>1</v>
      </c>
      <c r="B3631" s="62" t="s">
        <v>386</v>
      </c>
      <c r="C3631" s="62" t="s">
        <v>60</v>
      </c>
      <c r="D3631" s="62" t="s">
        <v>105</v>
      </c>
      <c r="E3631" s="62" t="s">
        <v>382</v>
      </c>
      <c r="F3631" s="63" t="s">
        <v>288</v>
      </c>
      <c r="G3631" s="64" t="n">
        <v>939474.320867109</v>
      </c>
      <c r="H3631" s="62" t="s">
        <v>138</v>
      </c>
    </row>
    <row r="3632" customFormat="false" ht="15" hidden="false" customHeight="false" outlineLevel="0" collapsed="false">
      <c r="A3632" s="62" t="n">
        <v>1</v>
      </c>
      <c r="B3632" s="62" t="s">
        <v>387</v>
      </c>
      <c r="C3632" s="62" t="s">
        <v>60</v>
      </c>
      <c r="D3632" s="62" t="s">
        <v>105</v>
      </c>
      <c r="E3632" s="62" t="s">
        <v>382</v>
      </c>
      <c r="F3632" s="63" t="s">
        <v>288</v>
      </c>
      <c r="G3632" s="64" t="n">
        <v>1234599.51512152</v>
      </c>
      <c r="H3632" s="62" t="s">
        <v>138</v>
      </c>
    </row>
    <row r="3633" customFormat="false" ht="15" hidden="false" customHeight="false" outlineLevel="0" collapsed="false">
      <c r="A3633" s="62" t="n">
        <v>1</v>
      </c>
      <c r="B3633" s="62" t="s">
        <v>388</v>
      </c>
      <c r="C3633" s="62" t="s">
        <v>60</v>
      </c>
      <c r="D3633" s="62" t="s">
        <v>105</v>
      </c>
      <c r="E3633" s="62" t="s">
        <v>382</v>
      </c>
      <c r="F3633" s="63" t="s">
        <v>288</v>
      </c>
      <c r="G3633" s="64" t="n">
        <v>816266.764524012</v>
      </c>
      <c r="H3633" s="62" t="s">
        <v>138</v>
      </c>
    </row>
    <row r="3634" customFormat="false" ht="15" hidden="false" customHeight="false" outlineLevel="0" collapsed="false">
      <c r="A3634" s="62" t="n">
        <v>1</v>
      </c>
      <c r="B3634" s="62" t="s">
        <v>381</v>
      </c>
      <c r="C3634" s="62" t="s">
        <v>60</v>
      </c>
      <c r="D3634" s="62" t="s">
        <v>105</v>
      </c>
      <c r="E3634" s="62" t="s">
        <v>382</v>
      </c>
      <c r="F3634" s="63" t="s">
        <v>289</v>
      </c>
      <c r="G3634" s="64" t="n">
        <v>13331790.9042514</v>
      </c>
      <c r="H3634" s="62" t="s">
        <v>138</v>
      </c>
    </row>
    <row r="3635" customFormat="false" ht="15" hidden="false" customHeight="false" outlineLevel="0" collapsed="false">
      <c r="A3635" s="62" t="n">
        <v>1</v>
      </c>
      <c r="B3635" s="62" t="s">
        <v>383</v>
      </c>
      <c r="C3635" s="62" t="s">
        <v>60</v>
      </c>
      <c r="D3635" s="62" t="s">
        <v>105</v>
      </c>
      <c r="E3635" s="62" t="s">
        <v>382</v>
      </c>
      <c r="F3635" s="63" t="s">
        <v>289</v>
      </c>
      <c r="G3635" s="64" t="n">
        <v>13310570.0648936</v>
      </c>
      <c r="H3635" s="62" t="s">
        <v>138</v>
      </c>
    </row>
    <row r="3636" customFormat="false" ht="15" hidden="false" customHeight="false" outlineLevel="0" collapsed="false">
      <c r="A3636" s="62" t="n">
        <v>1</v>
      </c>
      <c r="B3636" s="62" t="s">
        <v>384</v>
      </c>
      <c r="C3636" s="62" t="s">
        <v>60</v>
      </c>
      <c r="D3636" s="62" t="s">
        <v>105</v>
      </c>
      <c r="E3636" s="62" t="s">
        <v>382</v>
      </c>
      <c r="F3636" s="63" t="s">
        <v>289</v>
      </c>
      <c r="G3636" s="64" t="n">
        <v>10634763.7406443</v>
      </c>
      <c r="H3636" s="62" t="s">
        <v>138</v>
      </c>
    </row>
    <row r="3637" customFormat="false" ht="15" hidden="false" customHeight="false" outlineLevel="0" collapsed="false">
      <c r="A3637" s="62" t="n">
        <v>1</v>
      </c>
      <c r="B3637" s="62" t="s">
        <v>385</v>
      </c>
      <c r="C3637" s="62" t="s">
        <v>60</v>
      </c>
      <c r="D3637" s="62" t="s">
        <v>105</v>
      </c>
      <c r="E3637" s="62" t="s">
        <v>382</v>
      </c>
      <c r="F3637" s="63" t="s">
        <v>289</v>
      </c>
      <c r="G3637" s="64" t="n">
        <v>10664697.903502</v>
      </c>
      <c r="H3637" s="62" t="s">
        <v>138</v>
      </c>
    </row>
    <row r="3638" customFormat="false" ht="15" hidden="false" customHeight="false" outlineLevel="0" collapsed="false">
      <c r="A3638" s="62" t="n">
        <v>1</v>
      </c>
      <c r="B3638" s="62" t="s">
        <v>386</v>
      </c>
      <c r="C3638" s="62" t="s">
        <v>60</v>
      </c>
      <c r="D3638" s="62" t="s">
        <v>105</v>
      </c>
      <c r="E3638" s="62" t="s">
        <v>382</v>
      </c>
      <c r="F3638" s="63" t="s">
        <v>289</v>
      </c>
      <c r="G3638" s="64" t="n">
        <v>12303374.4571901</v>
      </c>
      <c r="H3638" s="62" t="s">
        <v>138</v>
      </c>
    </row>
    <row r="3639" customFormat="false" ht="15" hidden="false" customHeight="false" outlineLevel="0" collapsed="false">
      <c r="A3639" s="62" t="n">
        <v>1</v>
      </c>
      <c r="B3639" s="62" t="s">
        <v>387</v>
      </c>
      <c r="C3639" s="62" t="s">
        <v>60</v>
      </c>
      <c r="D3639" s="62" t="s">
        <v>105</v>
      </c>
      <c r="E3639" s="62" t="s">
        <v>382</v>
      </c>
      <c r="F3639" s="63" t="s">
        <v>289</v>
      </c>
      <c r="G3639" s="64" t="n">
        <v>13134599.5151215</v>
      </c>
      <c r="H3639" s="62" t="s">
        <v>138</v>
      </c>
    </row>
    <row r="3640" customFormat="false" ht="15" hidden="false" customHeight="false" outlineLevel="0" collapsed="false">
      <c r="A3640" s="62" t="n">
        <v>1</v>
      </c>
      <c r="B3640" s="62" t="s">
        <v>388</v>
      </c>
      <c r="C3640" s="62" t="s">
        <v>60</v>
      </c>
      <c r="D3640" s="62" t="s">
        <v>105</v>
      </c>
      <c r="E3640" s="62" t="s">
        <v>382</v>
      </c>
      <c r="F3640" s="63" t="s">
        <v>289</v>
      </c>
      <c r="G3640" s="64" t="n">
        <v>10716266.764524</v>
      </c>
      <c r="H3640" s="62" t="s">
        <v>138</v>
      </c>
    </row>
    <row r="3641" customFormat="false" ht="15" hidden="false" customHeight="false" outlineLevel="0" collapsed="false">
      <c r="A3641" s="62" t="n">
        <v>1</v>
      </c>
      <c r="B3641" s="62" t="s">
        <v>381</v>
      </c>
      <c r="C3641" s="62" t="s">
        <v>60</v>
      </c>
      <c r="D3641" s="62" t="s">
        <v>105</v>
      </c>
      <c r="E3641" s="62" t="s">
        <v>382</v>
      </c>
      <c r="F3641" s="63" t="s">
        <v>399</v>
      </c>
      <c r="G3641" s="64" t="n">
        <v>24944689.3624272</v>
      </c>
      <c r="H3641" s="62" t="s">
        <v>138</v>
      </c>
    </row>
    <row r="3642" customFormat="false" ht="15" hidden="false" customHeight="false" outlineLevel="0" collapsed="false">
      <c r="A3642" s="62" t="n">
        <v>1</v>
      </c>
      <c r="B3642" s="62" t="s">
        <v>383</v>
      </c>
      <c r="C3642" s="62" t="s">
        <v>60</v>
      </c>
      <c r="D3642" s="62" t="s">
        <v>105</v>
      </c>
      <c r="E3642" s="62" t="s">
        <v>382</v>
      </c>
      <c r="F3642" s="63" t="s">
        <v>399</v>
      </c>
      <c r="G3642" s="64" t="n">
        <v>35018994.652026</v>
      </c>
      <c r="H3642" s="62" t="s">
        <v>138</v>
      </c>
    </row>
    <row r="3643" customFormat="false" ht="15" hidden="false" customHeight="false" outlineLevel="0" collapsed="false">
      <c r="A3643" s="62" t="n">
        <v>1</v>
      </c>
      <c r="B3643" s="62" t="s">
        <v>384</v>
      </c>
      <c r="C3643" s="62" t="s">
        <v>60</v>
      </c>
      <c r="D3643" s="62" t="s">
        <v>105</v>
      </c>
      <c r="E3643" s="62" t="s">
        <v>382</v>
      </c>
      <c r="F3643" s="63" t="s">
        <v>399</v>
      </c>
      <c r="G3643" s="64" t="n">
        <v>28948492.2418897</v>
      </c>
      <c r="H3643" s="62" t="s">
        <v>138</v>
      </c>
    </row>
    <row r="3644" customFormat="false" ht="15" hidden="false" customHeight="false" outlineLevel="0" collapsed="false">
      <c r="A3644" s="62" t="n">
        <v>1</v>
      </c>
      <c r="B3644" s="62" t="s">
        <v>385</v>
      </c>
      <c r="C3644" s="62" t="s">
        <v>60</v>
      </c>
      <c r="D3644" s="62" t="s">
        <v>105</v>
      </c>
      <c r="E3644" s="62" t="s">
        <v>382</v>
      </c>
      <c r="F3644" s="63" t="s">
        <v>399</v>
      </c>
      <c r="G3644" s="64" t="n">
        <v>27172398.3723618</v>
      </c>
      <c r="H3644" s="62" t="s">
        <v>138</v>
      </c>
    </row>
    <row r="3645" customFormat="false" ht="15" hidden="false" customHeight="false" outlineLevel="0" collapsed="false">
      <c r="A3645" s="62" t="n">
        <v>1</v>
      </c>
      <c r="B3645" s="62" t="s">
        <v>386</v>
      </c>
      <c r="C3645" s="62" t="s">
        <v>60</v>
      </c>
      <c r="D3645" s="62" t="s">
        <v>105</v>
      </c>
      <c r="E3645" s="62" t="s">
        <v>382</v>
      </c>
      <c r="F3645" s="63" t="s">
        <v>399</v>
      </c>
      <c r="G3645" s="64" t="n">
        <v>23492817.3955505</v>
      </c>
      <c r="H3645" s="62" t="s">
        <v>138</v>
      </c>
    </row>
    <row r="3646" customFormat="false" ht="15" hidden="false" customHeight="false" outlineLevel="0" collapsed="false">
      <c r="A3646" s="62" t="n">
        <v>1</v>
      </c>
      <c r="B3646" s="62" t="s">
        <v>387</v>
      </c>
      <c r="C3646" s="62" t="s">
        <v>60</v>
      </c>
      <c r="D3646" s="62" t="s">
        <v>105</v>
      </c>
      <c r="E3646" s="62" t="s">
        <v>382</v>
      </c>
      <c r="F3646" s="63" t="s">
        <v>399</v>
      </c>
      <c r="G3646" s="64" t="n">
        <v>29214626.2370303</v>
      </c>
      <c r="H3646" s="62" t="s">
        <v>138</v>
      </c>
    </row>
    <row r="3647" customFormat="false" ht="15" hidden="false" customHeight="false" outlineLevel="0" collapsed="false">
      <c r="A3647" s="62" t="n">
        <v>1</v>
      </c>
      <c r="B3647" s="62" t="s">
        <v>388</v>
      </c>
      <c r="C3647" s="62" t="s">
        <v>60</v>
      </c>
      <c r="D3647" s="62" t="s">
        <v>105</v>
      </c>
      <c r="E3647" s="62" t="s">
        <v>382</v>
      </c>
      <c r="F3647" s="63" t="s">
        <v>399</v>
      </c>
      <c r="G3647" s="64" t="n">
        <v>20188299.4754223</v>
      </c>
      <c r="H3647" s="62" t="s">
        <v>138</v>
      </c>
    </row>
    <row r="3648" customFormat="false" ht="15" hidden="false" customHeight="false" outlineLevel="0" collapsed="false">
      <c r="A3648" s="62" t="n">
        <v>1</v>
      </c>
      <c r="B3648" s="62" t="s">
        <v>381</v>
      </c>
      <c r="C3648" s="62" t="s">
        <v>60</v>
      </c>
      <c r="D3648" s="62" t="s">
        <v>67</v>
      </c>
      <c r="E3648" s="62" t="s">
        <v>382</v>
      </c>
      <c r="F3648" s="63" t="s">
        <v>400</v>
      </c>
      <c r="G3648" s="64" t="n">
        <v>19650080.5683672</v>
      </c>
      <c r="H3648" s="62" t="s">
        <v>138</v>
      </c>
    </row>
    <row r="3649" customFormat="false" ht="15" hidden="false" customHeight="false" outlineLevel="0" collapsed="false">
      <c r="A3649" s="62" t="n">
        <v>1</v>
      </c>
      <c r="B3649" s="62" t="s">
        <v>383</v>
      </c>
      <c r="C3649" s="62" t="s">
        <v>60</v>
      </c>
      <c r="D3649" s="62" t="s">
        <v>67</v>
      </c>
      <c r="E3649" s="62" t="s">
        <v>382</v>
      </c>
      <c r="F3649" s="63" t="s">
        <v>400</v>
      </c>
      <c r="G3649" s="64" t="n">
        <v>21412244.5340313</v>
      </c>
      <c r="H3649" s="62" t="s">
        <v>138</v>
      </c>
    </row>
    <row r="3650" customFormat="false" ht="15" hidden="false" customHeight="false" outlineLevel="0" collapsed="false">
      <c r="A3650" s="62" t="n">
        <v>1</v>
      </c>
      <c r="B3650" s="62" t="s">
        <v>384</v>
      </c>
      <c r="C3650" s="62" t="s">
        <v>60</v>
      </c>
      <c r="D3650" s="62" t="s">
        <v>67</v>
      </c>
      <c r="E3650" s="62" t="s">
        <v>382</v>
      </c>
      <c r="F3650" s="63" t="s">
        <v>400</v>
      </c>
      <c r="G3650" s="64" t="n">
        <v>12900363.3823954</v>
      </c>
      <c r="H3650" s="62" t="s">
        <v>138</v>
      </c>
    </row>
    <row r="3651" customFormat="false" ht="15" hidden="false" customHeight="false" outlineLevel="0" collapsed="false">
      <c r="A3651" s="62" t="n">
        <v>1</v>
      </c>
      <c r="B3651" s="62" t="s">
        <v>385</v>
      </c>
      <c r="C3651" s="62" t="s">
        <v>60</v>
      </c>
      <c r="D3651" s="62" t="s">
        <v>67</v>
      </c>
      <c r="E3651" s="62" t="s">
        <v>382</v>
      </c>
      <c r="F3651" s="63" t="s">
        <v>400</v>
      </c>
      <c r="G3651" s="64" t="n">
        <v>12635937.6355892</v>
      </c>
      <c r="H3651" s="62" t="s">
        <v>138</v>
      </c>
    </row>
    <row r="3652" customFormat="false" ht="15" hidden="false" customHeight="false" outlineLevel="0" collapsed="false">
      <c r="A3652" s="62" t="n">
        <v>1</v>
      </c>
      <c r="B3652" s="62" t="s">
        <v>386</v>
      </c>
      <c r="C3652" s="62" t="s">
        <v>60</v>
      </c>
      <c r="D3652" s="62" t="s">
        <v>67</v>
      </c>
      <c r="E3652" s="62" t="s">
        <v>382</v>
      </c>
      <c r="F3652" s="63" t="s">
        <v>400</v>
      </c>
      <c r="G3652" s="64" t="n">
        <v>19285175</v>
      </c>
      <c r="H3652" s="62" t="s">
        <v>138</v>
      </c>
    </row>
    <row r="3653" customFormat="false" ht="15" hidden="false" customHeight="false" outlineLevel="0" collapsed="false">
      <c r="A3653" s="62" t="n">
        <v>1</v>
      </c>
      <c r="B3653" s="62" t="s">
        <v>387</v>
      </c>
      <c r="C3653" s="62" t="s">
        <v>60</v>
      </c>
      <c r="D3653" s="62" t="s">
        <v>67</v>
      </c>
      <c r="E3653" s="62" t="s">
        <v>382</v>
      </c>
      <c r="F3653" s="63" t="s">
        <v>400</v>
      </c>
      <c r="G3653" s="64" t="n">
        <v>16978103.1837933</v>
      </c>
      <c r="H3653" s="62" t="s">
        <v>138</v>
      </c>
    </row>
    <row r="3654" customFormat="false" ht="15" hidden="false" customHeight="false" outlineLevel="0" collapsed="false">
      <c r="A3654" s="62" t="n">
        <v>1</v>
      </c>
      <c r="B3654" s="62" t="s">
        <v>388</v>
      </c>
      <c r="C3654" s="62" t="s">
        <v>60</v>
      </c>
      <c r="D3654" s="62" t="s">
        <v>67</v>
      </c>
      <c r="E3654" s="62" t="s">
        <v>382</v>
      </c>
      <c r="F3654" s="63" t="s">
        <v>400</v>
      </c>
      <c r="G3654" s="64" t="n">
        <v>20356560</v>
      </c>
      <c r="H3654" s="62" t="s">
        <v>138</v>
      </c>
    </row>
    <row r="3655" customFormat="false" ht="15" hidden="false" customHeight="false" outlineLevel="0" collapsed="false">
      <c r="A3655" s="62" t="n">
        <v>1</v>
      </c>
      <c r="B3655" s="62" t="s">
        <v>381</v>
      </c>
      <c r="C3655" s="62" t="s">
        <v>60</v>
      </c>
      <c r="D3655" s="62" t="s">
        <v>67</v>
      </c>
      <c r="E3655" s="62" t="s">
        <v>382</v>
      </c>
      <c r="F3655" s="63" t="s">
        <v>401</v>
      </c>
      <c r="G3655" s="64" t="n">
        <v>8295420.82348767</v>
      </c>
      <c r="H3655" s="62" t="s">
        <v>138</v>
      </c>
    </row>
    <row r="3656" customFormat="false" ht="15" hidden="false" customHeight="false" outlineLevel="0" collapsed="false">
      <c r="A3656" s="62" t="n">
        <v>1</v>
      </c>
      <c r="B3656" s="62" t="s">
        <v>383</v>
      </c>
      <c r="C3656" s="62" t="s">
        <v>60</v>
      </c>
      <c r="D3656" s="62" t="s">
        <v>67</v>
      </c>
      <c r="E3656" s="62" t="s">
        <v>382</v>
      </c>
      <c r="F3656" s="63" t="s">
        <v>401</v>
      </c>
      <c r="G3656" s="64" t="n">
        <v>5732837.27017176</v>
      </c>
      <c r="H3656" s="62" t="s">
        <v>138</v>
      </c>
    </row>
    <row r="3657" customFormat="false" ht="15" hidden="false" customHeight="false" outlineLevel="0" collapsed="false">
      <c r="A3657" s="62" t="n">
        <v>1</v>
      </c>
      <c r="B3657" s="62" t="s">
        <v>384</v>
      </c>
      <c r="C3657" s="62" t="s">
        <v>60</v>
      </c>
      <c r="D3657" s="62" t="s">
        <v>67</v>
      </c>
      <c r="E3657" s="62" t="s">
        <v>382</v>
      </c>
      <c r="F3657" s="63" t="s">
        <v>401</v>
      </c>
      <c r="G3657" s="64" t="n">
        <v>5149916.42756612</v>
      </c>
      <c r="H3657" s="62" t="s">
        <v>138</v>
      </c>
    </row>
    <row r="3658" customFormat="false" ht="15" hidden="false" customHeight="false" outlineLevel="0" collapsed="false">
      <c r="A3658" s="62" t="n">
        <v>1</v>
      </c>
      <c r="B3658" s="62" t="s">
        <v>385</v>
      </c>
      <c r="C3658" s="62" t="s">
        <v>60</v>
      </c>
      <c r="D3658" s="62" t="s">
        <v>67</v>
      </c>
      <c r="E3658" s="62" t="s">
        <v>382</v>
      </c>
      <c r="F3658" s="63" t="s">
        <v>401</v>
      </c>
      <c r="G3658" s="64" t="n">
        <v>6899574.30435038</v>
      </c>
      <c r="H3658" s="62" t="s">
        <v>138</v>
      </c>
    </row>
    <row r="3659" customFormat="false" ht="15" hidden="false" customHeight="false" outlineLevel="0" collapsed="false">
      <c r="A3659" s="62" t="n">
        <v>1</v>
      </c>
      <c r="B3659" s="62" t="s">
        <v>386</v>
      </c>
      <c r="C3659" s="62" t="s">
        <v>60</v>
      </c>
      <c r="D3659" s="62" t="s">
        <v>67</v>
      </c>
      <c r="E3659" s="62" t="s">
        <v>382</v>
      </c>
      <c r="F3659" s="63" t="s">
        <v>401</v>
      </c>
      <c r="G3659" s="64" t="n">
        <v>0</v>
      </c>
      <c r="H3659" s="62" t="s">
        <v>138</v>
      </c>
    </row>
    <row r="3660" customFormat="false" ht="15" hidden="false" customHeight="false" outlineLevel="0" collapsed="false">
      <c r="A3660" s="62" t="n">
        <v>1</v>
      </c>
      <c r="B3660" s="62" t="s">
        <v>387</v>
      </c>
      <c r="C3660" s="62" t="s">
        <v>60</v>
      </c>
      <c r="D3660" s="62" t="s">
        <v>67</v>
      </c>
      <c r="E3660" s="62" t="s">
        <v>382</v>
      </c>
      <c r="F3660" s="63" t="s">
        <v>401</v>
      </c>
      <c r="G3660" s="64" t="n">
        <v>12591695.1758629</v>
      </c>
      <c r="H3660" s="62" t="s">
        <v>138</v>
      </c>
    </row>
    <row r="3661" customFormat="false" ht="15" hidden="false" customHeight="false" outlineLevel="0" collapsed="false">
      <c r="A3661" s="62" t="n">
        <v>1</v>
      </c>
      <c r="B3661" s="62" t="s">
        <v>388</v>
      </c>
      <c r="C3661" s="62" t="s">
        <v>60</v>
      </c>
      <c r="D3661" s="62" t="s">
        <v>67</v>
      </c>
      <c r="E3661" s="62" t="s">
        <v>382</v>
      </c>
      <c r="F3661" s="63" t="s">
        <v>401</v>
      </c>
      <c r="G3661" s="64" t="n">
        <v>0</v>
      </c>
      <c r="H3661" s="62" t="s">
        <v>138</v>
      </c>
    </row>
    <row r="3662" customFormat="false" ht="15" hidden="false" customHeight="false" outlineLevel="0" collapsed="false">
      <c r="A3662" s="62" t="n">
        <v>1</v>
      </c>
      <c r="B3662" s="62" t="s">
        <v>381</v>
      </c>
      <c r="C3662" s="62" t="s">
        <v>60</v>
      </c>
      <c r="D3662" s="62" t="s">
        <v>67</v>
      </c>
      <c r="E3662" s="62" t="s">
        <v>382</v>
      </c>
      <c r="F3662" s="63" t="s">
        <v>402</v>
      </c>
      <c r="G3662" s="64" t="n">
        <v>27945501.3918549</v>
      </c>
      <c r="H3662" s="62" t="s">
        <v>138</v>
      </c>
    </row>
    <row r="3663" customFormat="false" ht="15" hidden="false" customHeight="false" outlineLevel="0" collapsed="false">
      <c r="A3663" s="62" t="n">
        <v>1</v>
      </c>
      <c r="B3663" s="62" t="s">
        <v>383</v>
      </c>
      <c r="C3663" s="62" t="s">
        <v>60</v>
      </c>
      <c r="D3663" s="62" t="s">
        <v>67</v>
      </c>
      <c r="E3663" s="62" t="s">
        <v>382</v>
      </c>
      <c r="F3663" s="63" t="s">
        <v>402</v>
      </c>
      <c r="G3663" s="64" t="n">
        <v>27145081.804203</v>
      </c>
      <c r="H3663" s="62" t="s">
        <v>138</v>
      </c>
    </row>
    <row r="3664" customFormat="false" ht="15" hidden="false" customHeight="false" outlineLevel="0" collapsed="false">
      <c r="A3664" s="62" t="n">
        <v>1</v>
      </c>
      <c r="B3664" s="62" t="s">
        <v>384</v>
      </c>
      <c r="C3664" s="62" t="s">
        <v>60</v>
      </c>
      <c r="D3664" s="62" t="s">
        <v>67</v>
      </c>
      <c r="E3664" s="62" t="s">
        <v>382</v>
      </c>
      <c r="F3664" s="63" t="s">
        <v>402</v>
      </c>
      <c r="G3664" s="64" t="n">
        <v>18050279.8099615</v>
      </c>
      <c r="H3664" s="62" t="s">
        <v>138</v>
      </c>
    </row>
    <row r="3665" customFormat="false" ht="15" hidden="false" customHeight="false" outlineLevel="0" collapsed="false">
      <c r="A3665" s="62" t="n">
        <v>1</v>
      </c>
      <c r="B3665" s="62" t="s">
        <v>385</v>
      </c>
      <c r="C3665" s="62" t="s">
        <v>60</v>
      </c>
      <c r="D3665" s="62" t="s">
        <v>67</v>
      </c>
      <c r="E3665" s="62" t="s">
        <v>382</v>
      </c>
      <c r="F3665" s="63" t="s">
        <v>402</v>
      </c>
      <c r="G3665" s="64" t="n">
        <v>19535511.9399396</v>
      </c>
      <c r="H3665" s="62" t="s">
        <v>138</v>
      </c>
    </row>
    <row r="3666" customFormat="false" ht="15" hidden="false" customHeight="false" outlineLevel="0" collapsed="false">
      <c r="A3666" s="62" t="n">
        <v>1</v>
      </c>
      <c r="B3666" s="62" t="s">
        <v>386</v>
      </c>
      <c r="C3666" s="62" t="s">
        <v>60</v>
      </c>
      <c r="D3666" s="62" t="s">
        <v>67</v>
      </c>
      <c r="E3666" s="62" t="s">
        <v>382</v>
      </c>
      <c r="F3666" s="63" t="s">
        <v>402</v>
      </c>
      <c r="G3666" s="64" t="n">
        <v>19285175</v>
      </c>
      <c r="H3666" s="62" t="s">
        <v>138</v>
      </c>
    </row>
    <row r="3667" customFormat="false" ht="15" hidden="false" customHeight="false" outlineLevel="0" collapsed="false">
      <c r="A3667" s="62" t="n">
        <v>1</v>
      </c>
      <c r="B3667" s="62" t="s">
        <v>387</v>
      </c>
      <c r="C3667" s="62" t="s">
        <v>60</v>
      </c>
      <c r="D3667" s="62" t="s">
        <v>67</v>
      </c>
      <c r="E3667" s="62" t="s">
        <v>382</v>
      </c>
      <c r="F3667" s="63" t="s">
        <v>402</v>
      </c>
      <c r="G3667" s="64" t="n">
        <v>29569798.3596562</v>
      </c>
      <c r="H3667" s="62" t="s">
        <v>138</v>
      </c>
    </row>
    <row r="3668" customFormat="false" ht="15" hidden="false" customHeight="false" outlineLevel="0" collapsed="false">
      <c r="A3668" s="62" t="n">
        <v>1</v>
      </c>
      <c r="B3668" s="62" t="s">
        <v>388</v>
      </c>
      <c r="C3668" s="62" t="s">
        <v>60</v>
      </c>
      <c r="D3668" s="62" t="s">
        <v>67</v>
      </c>
      <c r="E3668" s="62" t="s">
        <v>382</v>
      </c>
      <c r="F3668" s="63" t="s">
        <v>402</v>
      </c>
      <c r="G3668" s="64" t="n">
        <v>20356560</v>
      </c>
      <c r="H3668" s="62" t="s">
        <v>138</v>
      </c>
    </row>
    <row r="3669" customFormat="false" ht="15" hidden="false" customHeight="false" outlineLevel="0" collapsed="false">
      <c r="A3669" s="62" t="n">
        <v>1</v>
      </c>
      <c r="B3669" s="62" t="s">
        <v>381</v>
      </c>
      <c r="C3669" s="62" t="s">
        <v>60</v>
      </c>
      <c r="D3669" s="62" t="s">
        <v>67</v>
      </c>
      <c r="E3669" s="62" t="s">
        <v>382</v>
      </c>
      <c r="F3669" s="63" t="s">
        <v>389</v>
      </c>
      <c r="G3669" s="64" t="n">
        <v>12836450.9867767</v>
      </c>
      <c r="H3669" s="62" t="s">
        <v>138</v>
      </c>
    </row>
    <row r="3670" customFormat="false" ht="15" hidden="false" customHeight="false" outlineLevel="0" collapsed="false">
      <c r="A3670" s="62" t="n">
        <v>1</v>
      </c>
      <c r="B3670" s="62" t="s">
        <v>383</v>
      </c>
      <c r="C3670" s="62" t="s">
        <v>60</v>
      </c>
      <c r="D3670" s="62" t="s">
        <v>67</v>
      </c>
      <c r="E3670" s="62" t="s">
        <v>382</v>
      </c>
      <c r="F3670" s="63" t="s">
        <v>389</v>
      </c>
      <c r="G3670" s="64" t="n">
        <v>17465684.5262309</v>
      </c>
      <c r="H3670" s="62" t="s">
        <v>138</v>
      </c>
    </row>
    <row r="3671" customFormat="false" ht="15" hidden="false" customHeight="false" outlineLevel="0" collapsed="false">
      <c r="A3671" s="62" t="n">
        <v>1</v>
      </c>
      <c r="B3671" s="62" t="s">
        <v>384</v>
      </c>
      <c r="C3671" s="62" t="s">
        <v>60</v>
      </c>
      <c r="D3671" s="62" t="s">
        <v>67</v>
      </c>
      <c r="E3671" s="62" t="s">
        <v>382</v>
      </c>
      <c r="F3671" s="63" t="s">
        <v>389</v>
      </c>
      <c r="G3671" s="64" t="n">
        <v>11610256.8474949</v>
      </c>
      <c r="H3671" s="62" t="s">
        <v>138</v>
      </c>
    </row>
    <row r="3672" customFormat="false" ht="15" hidden="false" customHeight="false" outlineLevel="0" collapsed="false">
      <c r="A3672" s="62" t="n">
        <v>1</v>
      </c>
      <c r="B3672" s="62" t="s">
        <v>385</v>
      </c>
      <c r="C3672" s="62" t="s">
        <v>60</v>
      </c>
      <c r="D3672" s="62" t="s">
        <v>67</v>
      </c>
      <c r="E3672" s="62" t="s">
        <v>382</v>
      </c>
      <c r="F3672" s="63" t="s">
        <v>389</v>
      </c>
      <c r="G3672" s="64" t="n">
        <v>10418890.2366287</v>
      </c>
      <c r="H3672" s="62" t="s">
        <v>138</v>
      </c>
    </row>
    <row r="3673" customFormat="false" ht="15" hidden="false" customHeight="false" outlineLevel="0" collapsed="false">
      <c r="A3673" s="62" t="n">
        <v>1</v>
      </c>
      <c r="B3673" s="62" t="s">
        <v>386</v>
      </c>
      <c r="C3673" s="62" t="s">
        <v>60</v>
      </c>
      <c r="D3673" s="62" t="s">
        <v>67</v>
      </c>
      <c r="E3673" s="62" t="s">
        <v>382</v>
      </c>
      <c r="F3673" s="63" t="s">
        <v>389</v>
      </c>
      <c r="G3673" s="64" t="n">
        <v>9661871.01260454</v>
      </c>
      <c r="H3673" s="62" t="s">
        <v>138</v>
      </c>
    </row>
    <row r="3674" customFormat="false" ht="15" hidden="false" customHeight="false" outlineLevel="0" collapsed="false">
      <c r="A3674" s="62" t="n">
        <v>1</v>
      </c>
      <c r="B3674" s="62" t="s">
        <v>387</v>
      </c>
      <c r="C3674" s="62" t="s">
        <v>60</v>
      </c>
      <c r="D3674" s="62" t="s">
        <v>67</v>
      </c>
      <c r="E3674" s="62" t="s">
        <v>382</v>
      </c>
      <c r="F3674" s="63" t="s">
        <v>389</v>
      </c>
      <c r="G3674" s="64" t="n">
        <v>16689035.7361018</v>
      </c>
      <c r="H3674" s="62" t="s">
        <v>138</v>
      </c>
    </row>
    <row r="3675" customFormat="false" ht="15" hidden="false" customHeight="false" outlineLevel="0" collapsed="false">
      <c r="A3675" s="62" t="n">
        <v>1</v>
      </c>
      <c r="B3675" s="62" t="s">
        <v>388</v>
      </c>
      <c r="C3675" s="62" t="s">
        <v>60</v>
      </c>
      <c r="D3675" s="62" t="s">
        <v>67</v>
      </c>
      <c r="E3675" s="62" t="s">
        <v>382</v>
      </c>
      <c r="F3675" s="63" t="s">
        <v>389</v>
      </c>
      <c r="G3675" s="64" t="n">
        <v>12055532.6620681</v>
      </c>
      <c r="H3675" s="62" t="s">
        <v>138</v>
      </c>
    </row>
    <row r="3676" customFormat="false" ht="15" hidden="false" customHeight="false" outlineLevel="0" collapsed="false">
      <c r="A3676" s="62" t="n">
        <v>1</v>
      </c>
      <c r="B3676" s="62" t="s">
        <v>381</v>
      </c>
      <c r="C3676" s="62" t="s">
        <v>60</v>
      </c>
      <c r="D3676" s="62" t="s">
        <v>67</v>
      </c>
      <c r="E3676" s="62" t="s">
        <v>382</v>
      </c>
      <c r="F3676" s="63" t="s">
        <v>390</v>
      </c>
      <c r="G3676" s="64" t="n">
        <v>2973399.26554344</v>
      </c>
      <c r="H3676" s="62" t="s">
        <v>138</v>
      </c>
    </row>
    <row r="3677" customFormat="false" ht="15" hidden="false" customHeight="false" outlineLevel="0" collapsed="false">
      <c r="A3677" s="62" t="n">
        <v>1</v>
      </c>
      <c r="B3677" s="62" t="s">
        <v>383</v>
      </c>
      <c r="C3677" s="62" t="s">
        <v>60</v>
      </c>
      <c r="D3677" s="62" t="s">
        <v>67</v>
      </c>
      <c r="E3677" s="62" t="s">
        <v>382</v>
      </c>
      <c r="F3677" s="63" t="s">
        <v>390</v>
      </c>
      <c r="G3677" s="64" t="n">
        <v>2633532.85177101</v>
      </c>
      <c r="H3677" s="62" t="s">
        <v>138</v>
      </c>
    </row>
    <row r="3678" customFormat="false" ht="15" hidden="false" customHeight="false" outlineLevel="0" collapsed="false">
      <c r="A3678" s="62" t="n">
        <v>1</v>
      </c>
      <c r="B3678" s="62" t="s">
        <v>384</v>
      </c>
      <c r="C3678" s="62" t="s">
        <v>60</v>
      </c>
      <c r="D3678" s="62" t="s">
        <v>67</v>
      </c>
      <c r="E3678" s="62" t="s">
        <v>382</v>
      </c>
      <c r="F3678" s="63" t="s">
        <v>390</v>
      </c>
      <c r="G3678" s="64" t="n">
        <v>1963098.77558191</v>
      </c>
      <c r="H3678" s="62" t="s">
        <v>138</v>
      </c>
    </row>
    <row r="3679" customFormat="false" ht="15" hidden="false" customHeight="false" outlineLevel="0" collapsed="false">
      <c r="A3679" s="62" t="n">
        <v>1</v>
      </c>
      <c r="B3679" s="62" t="s">
        <v>385</v>
      </c>
      <c r="C3679" s="62" t="s">
        <v>60</v>
      </c>
      <c r="D3679" s="62" t="s">
        <v>67</v>
      </c>
      <c r="E3679" s="62" t="s">
        <v>382</v>
      </c>
      <c r="F3679" s="63" t="s">
        <v>390</v>
      </c>
      <c r="G3679" s="64" t="n">
        <v>2412315.3667943</v>
      </c>
      <c r="H3679" s="62" t="s">
        <v>138</v>
      </c>
    </row>
    <row r="3680" customFormat="false" ht="15" hidden="false" customHeight="false" outlineLevel="0" collapsed="false">
      <c r="A3680" s="62" t="n">
        <v>1</v>
      </c>
      <c r="B3680" s="62" t="s">
        <v>386</v>
      </c>
      <c r="C3680" s="62" t="s">
        <v>60</v>
      </c>
      <c r="D3680" s="62" t="s">
        <v>67</v>
      </c>
      <c r="E3680" s="62" t="s">
        <v>382</v>
      </c>
      <c r="F3680" s="63" t="s">
        <v>390</v>
      </c>
      <c r="G3680" s="64" t="n">
        <v>3306030</v>
      </c>
      <c r="H3680" s="62" t="s">
        <v>138</v>
      </c>
    </row>
    <row r="3681" customFormat="false" ht="15" hidden="false" customHeight="false" outlineLevel="0" collapsed="false">
      <c r="A3681" s="62" t="n">
        <v>1</v>
      </c>
      <c r="B3681" s="62" t="s">
        <v>387</v>
      </c>
      <c r="C3681" s="62" t="s">
        <v>60</v>
      </c>
      <c r="D3681" s="62" t="s">
        <v>67</v>
      </c>
      <c r="E3681" s="62" t="s">
        <v>382</v>
      </c>
      <c r="F3681" s="63" t="s">
        <v>390</v>
      </c>
      <c r="G3681" s="64" t="n">
        <v>2031306.7809108</v>
      </c>
      <c r="H3681" s="62" t="s">
        <v>138</v>
      </c>
    </row>
    <row r="3682" customFormat="false" ht="15" hidden="false" customHeight="false" outlineLevel="0" collapsed="false">
      <c r="A3682" s="62" t="n">
        <v>1</v>
      </c>
      <c r="B3682" s="62" t="s">
        <v>388</v>
      </c>
      <c r="C3682" s="62" t="s">
        <v>60</v>
      </c>
      <c r="D3682" s="62" t="s">
        <v>67</v>
      </c>
      <c r="E3682" s="62" t="s">
        <v>382</v>
      </c>
      <c r="F3682" s="63" t="s">
        <v>390</v>
      </c>
      <c r="G3682" s="64" t="n">
        <v>3747520</v>
      </c>
      <c r="H3682" s="62" t="s">
        <v>138</v>
      </c>
    </row>
    <row r="3683" customFormat="false" ht="15" hidden="false" customHeight="false" outlineLevel="0" collapsed="false">
      <c r="A3683" s="62" t="n">
        <v>1</v>
      </c>
      <c r="B3683" s="62" t="s">
        <v>381</v>
      </c>
      <c r="C3683" s="62" t="s">
        <v>60</v>
      </c>
      <c r="D3683" s="62" t="s">
        <v>67</v>
      </c>
      <c r="E3683" s="62" t="s">
        <v>382</v>
      </c>
      <c r="F3683" s="63" t="s">
        <v>391</v>
      </c>
      <c r="G3683" s="64" t="n">
        <v>7598674.83076082</v>
      </c>
      <c r="H3683" s="62" t="s">
        <v>138</v>
      </c>
    </row>
    <row r="3684" customFormat="false" ht="15" hidden="false" customHeight="false" outlineLevel="0" collapsed="false">
      <c r="A3684" s="62" t="n">
        <v>1</v>
      </c>
      <c r="B3684" s="62" t="s">
        <v>383</v>
      </c>
      <c r="C3684" s="62" t="s">
        <v>60</v>
      </c>
      <c r="D3684" s="62" t="s">
        <v>67</v>
      </c>
      <c r="E3684" s="62" t="s">
        <v>382</v>
      </c>
      <c r="F3684" s="63" t="s">
        <v>391</v>
      </c>
      <c r="G3684" s="64" t="n">
        <v>0</v>
      </c>
      <c r="H3684" s="62" t="s">
        <v>138</v>
      </c>
    </row>
    <row r="3685" customFormat="false" ht="15" hidden="false" customHeight="false" outlineLevel="0" collapsed="false">
      <c r="A3685" s="62" t="n">
        <v>1</v>
      </c>
      <c r="B3685" s="62" t="s">
        <v>384</v>
      </c>
      <c r="C3685" s="62" t="s">
        <v>60</v>
      </c>
      <c r="D3685" s="62" t="s">
        <v>67</v>
      </c>
      <c r="E3685" s="62" t="s">
        <v>382</v>
      </c>
      <c r="F3685" s="63" t="s">
        <v>391</v>
      </c>
      <c r="G3685" s="64" t="n">
        <v>0</v>
      </c>
      <c r="H3685" s="62" t="s">
        <v>138</v>
      </c>
    </row>
    <row r="3686" customFormat="false" ht="15" hidden="false" customHeight="false" outlineLevel="0" collapsed="false">
      <c r="A3686" s="62" t="n">
        <v>1</v>
      </c>
      <c r="B3686" s="62" t="s">
        <v>385</v>
      </c>
      <c r="C3686" s="62" t="s">
        <v>60</v>
      </c>
      <c r="D3686" s="62" t="s">
        <v>67</v>
      </c>
      <c r="E3686" s="62" t="s">
        <v>382</v>
      </c>
      <c r="F3686" s="63" t="s">
        <v>391</v>
      </c>
      <c r="G3686" s="64" t="n">
        <v>0</v>
      </c>
      <c r="H3686" s="62" t="s">
        <v>138</v>
      </c>
    </row>
    <row r="3687" customFormat="false" ht="15" hidden="false" customHeight="false" outlineLevel="0" collapsed="false">
      <c r="A3687" s="62" t="n">
        <v>1</v>
      </c>
      <c r="B3687" s="62" t="s">
        <v>386</v>
      </c>
      <c r="C3687" s="62" t="s">
        <v>60</v>
      </c>
      <c r="D3687" s="62" t="s">
        <v>67</v>
      </c>
      <c r="E3687" s="62" t="s">
        <v>382</v>
      </c>
      <c r="F3687" s="63" t="s">
        <v>391</v>
      </c>
      <c r="G3687" s="64" t="n">
        <v>0</v>
      </c>
      <c r="H3687" s="62" t="s">
        <v>138</v>
      </c>
    </row>
    <row r="3688" customFormat="false" ht="15" hidden="false" customHeight="false" outlineLevel="0" collapsed="false">
      <c r="A3688" s="62" t="n">
        <v>1</v>
      </c>
      <c r="B3688" s="62" t="s">
        <v>387</v>
      </c>
      <c r="C3688" s="62" t="s">
        <v>60</v>
      </c>
      <c r="D3688" s="62" t="s">
        <v>67</v>
      </c>
      <c r="E3688" s="62" t="s">
        <v>382</v>
      </c>
      <c r="F3688" s="63" t="s">
        <v>391</v>
      </c>
      <c r="G3688" s="64" t="n">
        <v>0</v>
      </c>
      <c r="H3688" s="62" t="s">
        <v>138</v>
      </c>
    </row>
    <row r="3689" customFormat="false" ht="15" hidden="false" customHeight="false" outlineLevel="0" collapsed="false">
      <c r="A3689" s="62" t="n">
        <v>1</v>
      </c>
      <c r="B3689" s="62" t="s">
        <v>388</v>
      </c>
      <c r="C3689" s="62" t="s">
        <v>60</v>
      </c>
      <c r="D3689" s="62" t="s">
        <v>67</v>
      </c>
      <c r="E3689" s="62" t="s">
        <v>382</v>
      </c>
      <c r="F3689" s="63" t="s">
        <v>391</v>
      </c>
      <c r="G3689" s="64" t="n">
        <v>0</v>
      </c>
      <c r="H3689" s="62" t="s">
        <v>138</v>
      </c>
    </row>
    <row r="3690" customFormat="false" ht="15" hidden="false" customHeight="false" outlineLevel="0" collapsed="false">
      <c r="A3690" s="62" t="n">
        <v>1</v>
      </c>
      <c r="B3690" s="62" t="s">
        <v>381</v>
      </c>
      <c r="C3690" s="62" t="s">
        <v>60</v>
      </c>
      <c r="D3690" s="62" t="s">
        <v>67</v>
      </c>
      <c r="E3690" s="62" t="s">
        <v>382</v>
      </c>
      <c r="F3690" s="63" t="s">
        <v>392</v>
      </c>
      <c r="G3690" s="64" t="n">
        <v>0</v>
      </c>
      <c r="H3690" s="62" t="s">
        <v>138</v>
      </c>
    </row>
    <row r="3691" customFormat="false" ht="15" hidden="false" customHeight="false" outlineLevel="0" collapsed="false">
      <c r="A3691" s="62" t="n">
        <v>1</v>
      </c>
      <c r="B3691" s="62" t="s">
        <v>383</v>
      </c>
      <c r="C3691" s="62" t="s">
        <v>60</v>
      </c>
      <c r="D3691" s="62" t="s">
        <v>67</v>
      </c>
      <c r="E3691" s="62" t="s">
        <v>382</v>
      </c>
      <c r="F3691" s="63" t="s">
        <v>392</v>
      </c>
      <c r="G3691" s="64" t="n">
        <v>0</v>
      </c>
      <c r="H3691" s="62" t="s">
        <v>138</v>
      </c>
    </row>
    <row r="3692" customFormat="false" ht="15" hidden="false" customHeight="false" outlineLevel="0" collapsed="false">
      <c r="A3692" s="62" t="n">
        <v>1</v>
      </c>
      <c r="B3692" s="62" t="s">
        <v>384</v>
      </c>
      <c r="C3692" s="62" t="s">
        <v>60</v>
      </c>
      <c r="D3692" s="62" t="s">
        <v>67</v>
      </c>
      <c r="E3692" s="62" t="s">
        <v>382</v>
      </c>
      <c r="F3692" s="63" t="s">
        <v>392</v>
      </c>
      <c r="G3692" s="64" t="n">
        <v>0</v>
      </c>
      <c r="H3692" s="62" t="s">
        <v>138</v>
      </c>
    </row>
    <row r="3693" customFormat="false" ht="15" hidden="false" customHeight="false" outlineLevel="0" collapsed="false">
      <c r="A3693" s="62" t="n">
        <v>1</v>
      </c>
      <c r="B3693" s="62" t="s">
        <v>385</v>
      </c>
      <c r="C3693" s="62" t="s">
        <v>60</v>
      </c>
      <c r="D3693" s="62" t="s">
        <v>67</v>
      </c>
      <c r="E3693" s="62" t="s">
        <v>382</v>
      </c>
      <c r="F3693" s="63" t="s">
        <v>392</v>
      </c>
      <c r="G3693" s="64" t="n">
        <v>0</v>
      </c>
      <c r="H3693" s="62" t="s">
        <v>138</v>
      </c>
    </row>
    <row r="3694" customFormat="false" ht="15" hidden="false" customHeight="false" outlineLevel="0" collapsed="false">
      <c r="A3694" s="62" t="n">
        <v>1</v>
      </c>
      <c r="B3694" s="62" t="s">
        <v>386</v>
      </c>
      <c r="C3694" s="62" t="s">
        <v>60</v>
      </c>
      <c r="D3694" s="62" t="s">
        <v>67</v>
      </c>
      <c r="E3694" s="62" t="s">
        <v>382</v>
      </c>
      <c r="F3694" s="63" t="s">
        <v>392</v>
      </c>
      <c r="G3694" s="64" t="n">
        <v>0</v>
      </c>
      <c r="H3694" s="62" t="s">
        <v>138</v>
      </c>
    </row>
    <row r="3695" customFormat="false" ht="15" hidden="false" customHeight="false" outlineLevel="0" collapsed="false">
      <c r="A3695" s="62" t="n">
        <v>1</v>
      </c>
      <c r="B3695" s="62" t="s">
        <v>387</v>
      </c>
      <c r="C3695" s="62" t="s">
        <v>60</v>
      </c>
      <c r="D3695" s="62" t="s">
        <v>67</v>
      </c>
      <c r="E3695" s="62" t="s">
        <v>382</v>
      </c>
      <c r="F3695" s="63" t="s">
        <v>392</v>
      </c>
      <c r="G3695" s="64" t="n">
        <v>0</v>
      </c>
      <c r="H3695" s="62" t="s">
        <v>138</v>
      </c>
    </row>
    <row r="3696" customFormat="false" ht="15" hidden="false" customHeight="false" outlineLevel="0" collapsed="false">
      <c r="A3696" s="62" t="n">
        <v>1</v>
      </c>
      <c r="B3696" s="62" t="s">
        <v>388</v>
      </c>
      <c r="C3696" s="62" t="s">
        <v>60</v>
      </c>
      <c r="D3696" s="62" t="s">
        <v>67</v>
      </c>
      <c r="E3696" s="62" t="s">
        <v>382</v>
      </c>
      <c r="F3696" s="63" t="s">
        <v>392</v>
      </c>
      <c r="G3696" s="64" t="n">
        <v>0</v>
      </c>
      <c r="H3696" s="62" t="s">
        <v>138</v>
      </c>
    </row>
    <row r="3697" customFormat="false" ht="15" hidden="false" customHeight="false" outlineLevel="0" collapsed="false">
      <c r="A3697" s="62" t="n">
        <v>1</v>
      </c>
      <c r="B3697" s="62" t="s">
        <v>381</v>
      </c>
      <c r="C3697" s="62" t="s">
        <v>60</v>
      </c>
      <c r="D3697" s="62" t="s">
        <v>67</v>
      </c>
      <c r="E3697" s="62" t="s">
        <v>382</v>
      </c>
      <c r="F3697" s="63" t="s">
        <v>393</v>
      </c>
      <c r="G3697" s="64" t="n">
        <v>872815.888888889</v>
      </c>
      <c r="H3697" s="62" t="s">
        <v>138</v>
      </c>
    </row>
    <row r="3698" customFormat="false" ht="15" hidden="false" customHeight="false" outlineLevel="0" collapsed="false">
      <c r="A3698" s="62" t="n">
        <v>1</v>
      </c>
      <c r="B3698" s="62" t="s">
        <v>383</v>
      </c>
      <c r="C3698" s="62" t="s">
        <v>60</v>
      </c>
      <c r="D3698" s="62" t="s">
        <v>67</v>
      </c>
      <c r="E3698" s="62" t="s">
        <v>382</v>
      </c>
      <c r="F3698" s="63" t="s">
        <v>393</v>
      </c>
      <c r="G3698" s="64" t="n">
        <v>1410321.44444444</v>
      </c>
      <c r="H3698" s="62" t="s">
        <v>138</v>
      </c>
    </row>
    <row r="3699" customFormat="false" ht="15" hidden="false" customHeight="false" outlineLevel="0" collapsed="false">
      <c r="A3699" s="62" t="n">
        <v>1</v>
      </c>
      <c r="B3699" s="62" t="s">
        <v>384</v>
      </c>
      <c r="C3699" s="62" t="s">
        <v>60</v>
      </c>
      <c r="D3699" s="62" t="s">
        <v>67</v>
      </c>
      <c r="E3699" s="62" t="s">
        <v>382</v>
      </c>
      <c r="F3699" s="63" t="s">
        <v>393</v>
      </c>
      <c r="G3699" s="64" t="n">
        <v>560161.511111111</v>
      </c>
      <c r="H3699" s="62" t="s">
        <v>138</v>
      </c>
    </row>
    <row r="3700" customFormat="false" ht="15" hidden="false" customHeight="false" outlineLevel="0" collapsed="false">
      <c r="A3700" s="62" t="n">
        <v>1</v>
      </c>
      <c r="B3700" s="62" t="s">
        <v>385</v>
      </c>
      <c r="C3700" s="62" t="s">
        <v>60</v>
      </c>
      <c r="D3700" s="62" t="s">
        <v>67</v>
      </c>
      <c r="E3700" s="62" t="s">
        <v>382</v>
      </c>
      <c r="F3700" s="63" t="s">
        <v>393</v>
      </c>
      <c r="G3700" s="64" t="n">
        <v>518884</v>
      </c>
      <c r="H3700" s="62" t="s">
        <v>138</v>
      </c>
    </row>
    <row r="3701" customFormat="false" ht="15" hidden="false" customHeight="false" outlineLevel="0" collapsed="false">
      <c r="A3701" s="62" t="n">
        <v>1</v>
      </c>
      <c r="B3701" s="62" t="s">
        <v>386</v>
      </c>
      <c r="C3701" s="62" t="s">
        <v>60</v>
      </c>
      <c r="D3701" s="62" t="s">
        <v>67</v>
      </c>
      <c r="E3701" s="62" t="s">
        <v>382</v>
      </c>
      <c r="F3701" s="63" t="s">
        <v>393</v>
      </c>
      <c r="G3701" s="64" t="n">
        <v>624125.111111111</v>
      </c>
      <c r="H3701" s="62" t="s">
        <v>138</v>
      </c>
    </row>
    <row r="3702" customFormat="false" ht="15" hidden="false" customHeight="false" outlineLevel="0" collapsed="false">
      <c r="A3702" s="62" t="n">
        <v>1</v>
      </c>
      <c r="B3702" s="62" t="s">
        <v>387</v>
      </c>
      <c r="C3702" s="62" t="s">
        <v>60</v>
      </c>
      <c r="D3702" s="62" t="s">
        <v>67</v>
      </c>
      <c r="E3702" s="62" t="s">
        <v>382</v>
      </c>
      <c r="F3702" s="63" t="s">
        <v>393</v>
      </c>
      <c r="G3702" s="64" t="n">
        <v>2300578</v>
      </c>
      <c r="H3702" s="62" t="s">
        <v>138</v>
      </c>
    </row>
    <row r="3703" customFormat="false" ht="15" hidden="false" customHeight="false" outlineLevel="0" collapsed="false">
      <c r="A3703" s="62" t="n">
        <v>1</v>
      </c>
      <c r="B3703" s="62" t="s">
        <v>388</v>
      </c>
      <c r="C3703" s="62" t="s">
        <v>60</v>
      </c>
      <c r="D3703" s="62" t="s">
        <v>67</v>
      </c>
      <c r="E3703" s="62" t="s">
        <v>382</v>
      </c>
      <c r="F3703" s="63" t="s">
        <v>393</v>
      </c>
      <c r="G3703" s="64" t="n">
        <v>1296225.55555556</v>
      </c>
      <c r="H3703" s="62" t="s">
        <v>138</v>
      </c>
    </row>
    <row r="3704" customFormat="false" ht="15" hidden="false" customHeight="false" outlineLevel="0" collapsed="false">
      <c r="A3704" s="62" t="n">
        <v>1</v>
      </c>
      <c r="B3704" s="62" t="s">
        <v>381</v>
      </c>
      <c r="C3704" s="62" t="s">
        <v>60</v>
      </c>
      <c r="D3704" s="62" t="s">
        <v>67</v>
      </c>
      <c r="E3704" s="62" t="s">
        <v>382</v>
      </c>
      <c r="F3704" s="63" t="s">
        <v>394</v>
      </c>
      <c r="G3704" s="64" t="n">
        <v>600000</v>
      </c>
      <c r="H3704" s="62" t="s">
        <v>138</v>
      </c>
    </row>
    <row r="3705" customFormat="false" ht="15" hidden="false" customHeight="false" outlineLevel="0" collapsed="false">
      <c r="A3705" s="62" t="n">
        <v>1</v>
      </c>
      <c r="B3705" s="62" t="s">
        <v>383</v>
      </c>
      <c r="C3705" s="62" t="s">
        <v>60</v>
      </c>
      <c r="D3705" s="62" t="s">
        <v>67</v>
      </c>
      <c r="E3705" s="62" t="s">
        <v>382</v>
      </c>
      <c r="F3705" s="63" t="s">
        <v>394</v>
      </c>
      <c r="G3705" s="64" t="n">
        <v>1885600</v>
      </c>
      <c r="H3705" s="62" t="s">
        <v>138</v>
      </c>
    </row>
    <row r="3706" customFormat="false" ht="15" hidden="false" customHeight="false" outlineLevel="0" collapsed="false">
      <c r="A3706" s="62" t="n">
        <v>1</v>
      </c>
      <c r="B3706" s="62" t="s">
        <v>384</v>
      </c>
      <c r="C3706" s="62" t="s">
        <v>60</v>
      </c>
      <c r="D3706" s="62" t="s">
        <v>67</v>
      </c>
      <c r="E3706" s="62" t="s">
        <v>382</v>
      </c>
      <c r="F3706" s="63" t="s">
        <v>394</v>
      </c>
      <c r="G3706" s="64" t="n">
        <v>703011</v>
      </c>
      <c r="H3706" s="62" t="s">
        <v>138</v>
      </c>
    </row>
    <row r="3707" customFormat="false" ht="15" hidden="false" customHeight="false" outlineLevel="0" collapsed="false">
      <c r="A3707" s="62" t="n">
        <v>1</v>
      </c>
      <c r="B3707" s="62" t="s">
        <v>385</v>
      </c>
      <c r="C3707" s="62" t="s">
        <v>60</v>
      </c>
      <c r="D3707" s="62" t="s">
        <v>67</v>
      </c>
      <c r="E3707" s="62" t="s">
        <v>382</v>
      </c>
      <c r="F3707" s="63" t="s">
        <v>394</v>
      </c>
      <c r="G3707" s="64" t="n">
        <v>703395</v>
      </c>
      <c r="H3707" s="62" t="s">
        <v>138</v>
      </c>
    </row>
    <row r="3708" customFormat="false" ht="15" hidden="false" customHeight="false" outlineLevel="0" collapsed="false">
      <c r="A3708" s="62" t="n">
        <v>1</v>
      </c>
      <c r="B3708" s="62" t="s">
        <v>386</v>
      </c>
      <c r="C3708" s="62" t="s">
        <v>60</v>
      </c>
      <c r="D3708" s="62" t="s">
        <v>67</v>
      </c>
      <c r="E3708" s="62" t="s">
        <v>382</v>
      </c>
      <c r="F3708" s="63" t="s">
        <v>394</v>
      </c>
      <c r="G3708" s="64" t="n">
        <v>1150000</v>
      </c>
      <c r="H3708" s="62" t="s">
        <v>138</v>
      </c>
    </row>
    <row r="3709" customFormat="false" ht="15" hidden="false" customHeight="false" outlineLevel="0" collapsed="false">
      <c r="A3709" s="62" t="n">
        <v>1</v>
      </c>
      <c r="B3709" s="62" t="s">
        <v>387</v>
      </c>
      <c r="C3709" s="62" t="s">
        <v>60</v>
      </c>
      <c r="D3709" s="62" t="s">
        <v>67</v>
      </c>
      <c r="E3709" s="62" t="s">
        <v>382</v>
      </c>
      <c r="F3709" s="63" t="s">
        <v>394</v>
      </c>
      <c r="G3709" s="64" t="n">
        <v>751383</v>
      </c>
      <c r="H3709" s="62" t="s">
        <v>138</v>
      </c>
    </row>
    <row r="3710" customFormat="false" ht="15" hidden="false" customHeight="false" outlineLevel="0" collapsed="false">
      <c r="A3710" s="62" t="n">
        <v>1</v>
      </c>
      <c r="B3710" s="62" t="s">
        <v>388</v>
      </c>
      <c r="C3710" s="62" t="s">
        <v>60</v>
      </c>
      <c r="D3710" s="62" t="s">
        <v>67</v>
      </c>
      <c r="E3710" s="62" t="s">
        <v>382</v>
      </c>
      <c r="F3710" s="63" t="s">
        <v>394</v>
      </c>
      <c r="G3710" s="64" t="n">
        <v>1267862</v>
      </c>
      <c r="H3710" s="62" t="s">
        <v>138</v>
      </c>
    </row>
    <row r="3711" customFormat="false" ht="15" hidden="false" customHeight="false" outlineLevel="0" collapsed="false">
      <c r="A3711" s="62" t="n">
        <v>1</v>
      </c>
      <c r="B3711" s="62" t="s">
        <v>381</v>
      </c>
      <c r="C3711" s="62" t="s">
        <v>60</v>
      </c>
      <c r="D3711" s="62" t="s">
        <v>67</v>
      </c>
      <c r="E3711" s="62" t="s">
        <v>382</v>
      </c>
      <c r="F3711" s="63" t="s">
        <v>395</v>
      </c>
      <c r="G3711" s="64" t="n">
        <v>204207.410440965</v>
      </c>
      <c r="H3711" s="62" t="s">
        <v>138</v>
      </c>
    </row>
    <row r="3712" customFormat="false" ht="15" hidden="false" customHeight="false" outlineLevel="0" collapsed="false">
      <c r="A3712" s="62" t="n">
        <v>1</v>
      </c>
      <c r="B3712" s="62" t="s">
        <v>383</v>
      </c>
      <c r="C3712" s="62" t="s">
        <v>60</v>
      </c>
      <c r="D3712" s="62" t="s">
        <v>67</v>
      </c>
      <c r="E3712" s="62" t="s">
        <v>382</v>
      </c>
      <c r="F3712" s="63" t="s">
        <v>395</v>
      </c>
      <c r="G3712" s="64" t="n">
        <v>60011.9944641024</v>
      </c>
      <c r="H3712" s="62" t="s">
        <v>138</v>
      </c>
    </row>
    <row r="3713" customFormat="false" ht="15" hidden="false" customHeight="false" outlineLevel="0" collapsed="false">
      <c r="A3713" s="62" t="n">
        <v>1</v>
      </c>
      <c r="B3713" s="62" t="s">
        <v>384</v>
      </c>
      <c r="C3713" s="62" t="s">
        <v>60</v>
      </c>
      <c r="D3713" s="62" t="s">
        <v>67</v>
      </c>
      <c r="E3713" s="62" t="s">
        <v>382</v>
      </c>
      <c r="F3713" s="63" t="s">
        <v>395</v>
      </c>
      <c r="G3713" s="64" t="n">
        <v>86123.1055752135</v>
      </c>
      <c r="H3713" s="62" t="s">
        <v>138</v>
      </c>
    </row>
    <row r="3714" customFormat="false" ht="15" hidden="false" customHeight="false" outlineLevel="0" collapsed="false">
      <c r="A3714" s="62" t="n">
        <v>1</v>
      </c>
      <c r="B3714" s="62" t="s">
        <v>385</v>
      </c>
      <c r="C3714" s="62" t="s">
        <v>60</v>
      </c>
      <c r="D3714" s="62" t="s">
        <v>67</v>
      </c>
      <c r="E3714" s="62" t="s">
        <v>382</v>
      </c>
      <c r="F3714" s="63" t="s">
        <v>395</v>
      </c>
      <c r="G3714" s="64" t="n">
        <v>201318.648946368</v>
      </c>
      <c r="H3714" s="62" t="s">
        <v>138</v>
      </c>
    </row>
    <row r="3715" customFormat="false" ht="15" hidden="false" customHeight="false" outlineLevel="0" collapsed="false">
      <c r="A3715" s="62" t="n">
        <v>1</v>
      </c>
      <c r="B3715" s="62" t="s">
        <v>386</v>
      </c>
      <c r="C3715" s="62" t="s">
        <v>60</v>
      </c>
      <c r="D3715" s="62" t="s">
        <v>67</v>
      </c>
      <c r="E3715" s="62" t="s">
        <v>382</v>
      </c>
      <c r="F3715" s="63" t="s">
        <v>395</v>
      </c>
      <c r="G3715" s="64" t="n">
        <v>93900.8833529913</v>
      </c>
      <c r="H3715" s="62" t="s">
        <v>138</v>
      </c>
    </row>
    <row r="3716" customFormat="false" ht="15" hidden="false" customHeight="false" outlineLevel="0" collapsed="false">
      <c r="A3716" s="62" t="n">
        <v>1</v>
      </c>
      <c r="B3716" s="62" t="s">
        <v>387</v>
      </c>
      <c r="C3716" s="62" t="s">
        <v>60</v>
      </c>
      <c r="D3716" s="62" t="s">
        <v>67</v>
      </c>
      <c r="E3716" s="62" t="s">
        <v>382</v>
      </c>
      <c r="F3716" s="63" t="s">
        <v>395</v>
      </c>
      <c r="G3716" s="64" t="n">
        <v>86123.1055752135</v>
      </c>
      <c r="H3716" s="62" t="s">
        <v>138</v>
      </c>
    </row>
    <row r="3717" customFormat="false" ht="15" hidden="false" customHeight="false" outlineLevel="0" collapsed="false">
      <c r="A3717" s="62" t="n">
        <v>1</v>
      </c>
      <c r="B3717" s="62" t="s">
        <v>388</v>
      </c>
      <c r="C3717" s="62" t="s">
        <v>60</v>
      </c>
      <c r="D3717" s="62" t="s">
        <v>67</v>
      </c>
      <c r="E3717" s="62" t="s">
        <v>382</v>
      </c>
      <c r="F3717" s="63" t="s">
        <v>395</v>
      </c>
      <c r="G3717" s="64" t="n">
        <v>97789.7722418801</v>
      </c>
      <c r="H3717" s="62" t="s">
        <v>138</v>
      </c>
    </row>
    <row r="3718" customFormat="false" ht="15" hidden="false" customHeight="false" outlineLevel="0" collapsed="false">
      <c r="A3718" s="62" t="n">
        <v>1</v>
      </c>
      <c r="B3718" s="62" t="s">
        <v>381</v>
      </c>
      <c r="C3718" s="62" t="s">
        <v>60</v>
      </c>
      <c r="D3718" s="62" t="s">
        <v>67</v>
      </c>
      <c r="E3718" s="62" t="s">
        <v>382</v>
      </c>
      <c r="F3718" s="63" t="s">
        <v>403</v>
      </c>
      <c r="G3718" s="64" t="n">
        <v>0</v>
      </c>
      <c r="H3718" s="62" t="s">
        <v>138</v>
      </c>
    </row>
    <row r="3719" customFormat="false" ht="15" hidden="false" customHeight="false" outlineLevel="0" collapsed="false">
      <c r="A3719" s="62" t="n">
        <v>1</v>
      </c>
      <c r="B3719" s="62" t="s">
        <v>383</v>
      </c>
      <c r="C3719" s="62" t="s">
        <v>60</v>
      </c>
      <c r="D3719" s="62" t="s">
        <v>67</v>
      </c>
      <c r="E3719" s="62" t="s">
        <v>382</v>
      </c>
      <c r="F3719" s="63" t="s">
        <v>403</v>
      </c>
      <c r="G3719" s="64" t="n">
        <v>0</v>
      </c>
      <c r="H3719" s="62" t="s">
        <v>138</v>
      </c>
    </row>
    <row r="3720" customFormat="false" ht="15" hidden="false" customHeight="false" outlineLevel="0" collapsed="false">
      <c r="A3720" s="62" t="n">
        <v>1</v>
      </c>
      <c r="B3720" s="62" t="s">
        <v>384</v>
      </c>
      <c r="C3720" s="62" t="s">
        <v>60</v>
      </c>
      <c r="D3720" s="62" t="s">
        <v>67</v>
      </c>
      <c r="E3720" s="62" t="s">
        <v>382</v>
      </c>
      <c r="F3720" s="63" t="s">
        <v>403</v>
      </c>
      <c r="G3720" s="64" t="n">
        <v>0</v>
      </c>
      <c r="H3720" s="62" t="s">
        <v>138</v>
      </c>
    </row>
    <row r="3721" customFormat="false" ht="15" hidden="false" customHeight="false" outlineLevel="0" collapsed="false">
      <c r="A3721" s="62" t="n">
        <v>1</v>
      </c>
      <c r="B3721" s="62" t="s">
        <v>385</v>
      </c>
      <c r="C3721" s="62" t="s">
        <v>60</v>
      </c>
      <c r="D3721" s="62" t="s">
        <v>67</v>
      </c>
      <c r="E3721" s="62" t="s">
        <v>382</v>
      </c>
      <c r="F3721" s="63" t="s">
        <v>403</v>
      </c>
      <c r="G3721" s="64" t="n">
        <v>0</v>
      </c>
      <c r="H3721" s="62" t="s">
        <v>138</v>
      </c>
    </row>
    <row r="3722" customFormat="false" ht="15" hidden="false" customHeight="false" outlineLevel="0" collapsed="false">
      <c r="A3722" s="62" t="n">
        <v>1</v>
      </c>
      <c r="B3722" s="62" t="s">
        <v>386</v>
      </c>
      <c r="C3722" s="62" t="s">
        <v>60</v>
      </c>
      <c r="D3722" s="62" t="s">
        <v>67</v>
      </c>
      <c r="E3722" s="62" t="s">
        <v>382</v>
      </c>
      <c r="F3722" s="63" t="s">
        <v>403</v>
      </c>
      <c r="G3722" s="64" t="n">
        <v>0</v>
      </c>
      <c r="H3722" s="62" t="s">
        <v>138</v>
      </c>
    </row>
    <row r="3723" customFormat="false" ht="15" hidden="false" customHeight="false" outlineLevel="0" collapsed="false">
      <c r="A3723" s="62" t="n">
        <v>1</v>
      </c>
      <c r="B3723" s="62" t="s">
        <v>387</v>
      </c>
      <c r="C3723" s="62" t="s">
        <v>60</v>
      </c>
      <c r="D3723" s="62" t="s">
        <v>67</v>
      </c>
      <c r="E3723" s="62" t="s">
        <v>382</v>
      </c>
      <c r="F3723" s="63" t="s">
        <v>403</v>
      </c>
      <c r="G3723" s="64" t="n">
        <v>0</v>
      </c>
      <c r="H3723" s="62" t="s">
        <v>138</v>
      </c>
    </row>
    <row r="3724" customFormat="false" ht="15" hidden="false" customHeight="false" outlineLevel="0" collapsed="false">
      <c r="A3724" s="62" t="n">
        <v>1</v>
      </c>
      <c r="B3724" s="62" t="s">
        <v>388</v>
      </c>
      <c r="C3724" s="62" t="s">
        <v>60</v>
      </c>
      <c r="D3724" s="62" t="s">
        <v>67</v>
      </c>
      <c r="E3724" s="62" t="s">
        <v>382</v>
      </c>
      <c r="F3724" s="63" t="s">
        <v>403</v>
      </c>
      <c r="G3724" s="64" t="n">
        <v>0</v>
      </c>
      <c r="H3724" s="62" t="s">
        <v>138</v>
      </c>
    </row>
    <row r="3725" customFormat="false" ht="15" hidden="false" customHeight="false" outlineLevel="0" collapsed="false">
      <c r="A3725" s="62" t="n">
        <v>1</v>
      </c>
      <c r="B3725" s="62" t="s">
        <v>381</v>
      </c>
      <c r="C3725" s="62" t="s">
        <v>60</v>
      </c>
      <c r="D3725" s="62" t="s">
        <v>67</v>
      </c>
      <c r="E3725" s="62" t="s">
        <v>382</v>
      </c>
      <c r="F3725" s="63" t="s">
        <v>404</v>
      </c>
      <c r="G3725" s="64" t="n">
        <v>25085548.3824108</v>
      </c>
      <c r="H3725" s="62" t="s">
        <v>138</v>
      </c>
    </row>
    <row r="3726" customFormat="false" ht="15" hidden="false" customHeight="false" outlineLevel="0" collapsed="false">
      <c r="A3726" s="62" t="n">
        <v>1</v>
      </c>
      <c r="B3726" s="62" t="s">
        <v>383</v>
      </c>
      <c r="C3726" s="62" t="s">
        <v>60</v>
      </c>
      <c r="D3726" s="62" t="s">
        <v>67</v>
      </c>
      <c r="E3726" s="62" t="s">
        <v>382</v>
      </c>
      <c r="F3726" s="63" t="s">
        <v>404</v>
      </c>
      <c r="G3726" s="64" t="n">
        <v>23455150.8169104</v>
      </c>
      <c r="H3726" s="62" t="s">
        <v>138</v>
      </c>
    </row>
    <row r="3727" customFormat="false" ht="15" hidden="false" customHeight="false" outlineLevel="0" collapsed="false">
      <c r="A3727" s="62" t="n">
        <v>1</v>
      </c>
      <c r="B3727" s="62" t="s">
        <v>384</v>
      </c>
      <c r="C3727" s="62" t="s">
        <v>60</v>
      </c>
      <c r="D3727" s="62" t="s">
        <v>67</v>
      </c>
      <c r="E3727" s="62" t="s">
        <v>382</v>
      </c>
      <c r="F3727" s="63" t="s">
        <v>404</v>
      </c>
      <c r="G3727" s="64" t="n">
        <v>14922651.2397631</v>
      </c>
      <c r="H3727" s="62" t="s">
        <v>138</v>
      </c>
    </row>
    <row r="3728" customFormat="false" ht="15" hidden="false" customHeight="false" outlineLevel="0" collapsed="false">
      <c r="A3728" s="62" t="n">
        <v>1</v>
      </c>
      <c r="B3728" s="62" t="s">
        <v>385</v>
      </c>
      <c r="C3728" s="62" t="s">
        <v>60</v>
      </c>
      <c r="D3728" s="62" t="s">
        <v>67</v>
      </c>
      <c r="E3728" s="62" t="s">
        <v>382</v>
      </c>
      <c r="F3728" s="63" t="s">
        <v>404</v>
      </c>
      <c r="G3728" s="64" t="n">
        <v>14254803.2523693</v>
      </c>
      <c r="H3728" s="62" t="s">
        <v>138</v>
      </c>
    </row>
    <row r="3729" customFormat="false" ht="15" hidden="false" customHeight="false" outlineLevel="0" collapsed="false">
      <c r="A3729" s="62" t="n">
        <v>1</v>
      </c>
      <c r="B3729" s="62" t="s">
        <v>386</v>
      </c>
      <c r="C3729" s="62" t="s">
        <v>60</v>
      </c>
      <c r="D3729" s="62" t="s">
        <v>67</v>
      </c>
      <c r="E3729" s="62" t="s">
        <v>382</v>
      </c>
      <c r="F3729" s="63" t="s">
        <v>404</v>
      </c>
      <c r="G3729" s="64" t="n">
        <v>14835927.0070687</v>
      </c>
      <c r="H3729" s="62" t="s">
        <v>138</v>
      </c>
    </row>
    <row r="3730" customFormat="false" ht="15" hidden="false" customHeight="false" outlineLevel="0" collapsed="false">
      <c r="A3730" s="62" t="n">
        <v>1</v>
      </c>
      <c r="B3730" s="62" t="s">
        <v>387</v>
      </c>
      <c r="C3730" s="62" t="s">
        <v>60</v>
      </c>
      <c r="D3730" s="62" t="s">
        <v>67</v>
      </c>
      <c r="E3730" s="62" t="s">
        <v>382</v>
      </c>
      <c r="F3730" s="63" t="s">
        <v>404</v>
      </c>
      <c r="G3730" s="64" t="n">
        <v>21858426.6225878</v>
      </c>
      <c r="H3730" s="62" t="s">
        <v>138</v>
      </c>
    </row>
    <row r="3731" customFormat="false" ht="15" hidden="false" customHeight="false" outlineLevel="0" collapsed="false">
      <c r="A3731" s="62" t="n">
        <v>1</v>
      </c>
      <c r="B3731" s="62" t="s">
        <v>388</v>
      </c>
      <c r="C3731" s="62" t="s">
        <v>60</v>
      </c>
      <c r="D3731" s="62" t="s">
        <v>67</v>
      </c>
      <c r="E3731" s="62" t="s">
        <v>382</v>
      </c>
      <c r="F3731" s="63" t="s">
        <v>404</v>
      </c>
      <c r="G3731" s="64" t="n">
        <v>18464929.9898655</v>
      </c>
      <c r="H3731" s="62" t="s">
        <v>138</v>
      </c>
    </row>
    <row r="3732" customFormat="false" ht="15" hidden="false" customHeight="false" outlineLevel="0" collapsed="false">
      <c r="A3732" s="62" t="n">
        <v>1</v>
      </c>
      <c r="B3732" s="62" t="s">
        <v>381</v>
      </c>
      <c r="C3732" s="62" t="s">
        <v>60</v>
      </c>
      <c r="D3732" s="62" t="s">
        <v>67</v>
      </c>
      <c r="E3732" s="62" t="s">
        <v>382</v>
      </c>
      <c r="F3732" s="63" t="s">
        <v>405</v>
      </c>
      <c r="G3732" s="64" t="n">
        <v>2859953.00944407</v>
      </c>
      <c r="H3732" s="62" t="s">
        <v>138</v>
      </c>
    </row>
    <row r="3733" customFormat="false" ht="15" hidden="false" customHeight="false" outlineLevel="0" collapsed="false">
      <c r="A3733" s="62" t="n">
        <v>1</v>
      </c>
      <c r="B3733" s="62" t="s">
        <v>383</v>
      </c>
      <c r="C3733" s="62" t="s">
        <v>60</v>
      </c>
      <c r="D3733" s="62" t="s">
        <v>67</v>
      </c>
      <c r="E3733" s="62" t="s">
        <v>382</v>
      </c>
      <c r="F3733" s="63" t="s">
        <v>405</v>
      </c>
      <c r="G3733" s="64" t="n">
        <v>3689930.9872926</v>
      </c>
      <c r="H3733" s="62" t="s">
        <v>138</v>
      </c>
    </row>
    <row r="3734" customFormat="false" ht="15" hidden="false" customHeight="false" outlineLevel="0" collapsed="false">
      <c r="A3734" s="62" t="n">
        <v>1</v>
      </c>
      <c r="B3734" s="62" t="s">
        <v>384</v>
      </c>
      <c r="C3734" s="62" t="s">
        <v>60</v>
      </c>
      <c r="D3734" s="62" t="s">
        <v>67</v>
      </c>
      <c r="E3734" s="62" t="s">
        <v>382</v>
      </c>
      <c r="F3734" s="63" t="s">
        <v>405</v>
      </c>
      <c r="G3734" s="64" t="n">
        <v>3127628.57019841</v>
      </c>
      <c r="H3734" s="62" t="s">
        <v>138</v>
      </c>
    </row>
    <row r="3735" customFormat="false" ht="15" hidden="false" customHeight="false" outlineLevel="0" collapsed="false">
      <c r="A3735" s="62" t="n">
        <v>1</v>
      </c>
      <c r="B3735" s="62" t="s">
        <v>385</v>
      </c>
      <c r="C3735" s="62" t="s">
        <v>60</v>
      </c>
      <c r="D3735" s="62" t="s">
        <v>67</v>
      </c>
      <c r="E3735" s="62" t="s">
        <v>382</v>
      </c>
      <c r="F3735" s="63" t="s">
        <v>405</v>
      </c>
      <c r="G3735" s="64" t="n">
        <v>5280708.68757026</v>
      </c>
      <c r="H3735" s="62" t="s">
        <v>138</v>
      </c>
    </row>
    <row r="3736" customFormat="false" ht="15" hidden="false" customHeight="false" outlineLevel="0" collapsed="false">
      <c r="A3736" s="62" t="n">
        <v>1</v>
      </c>
      <c r="B3736" s="62" t="s">
        <v>386</v>
      </c>
      <c r="C3736" s="62" t="s">
        <v>60</v>
      </c>
      <c r="D3736" s="62" t="s">
        <v>67</v>
      </c>
      <c r="E3736" s="62" t="s">
        <v>382</v>
      </c>
      <c r="F3736" s="63" t="s">
        <v>405</v>
      </c>
      <c r="G3736" s="64" t="n">
        <v>4449247.99293136</v>
      </c>
      <c r="H3736" s="62" t="s">
        <v>138</v>
      </c>
    </row>
    <row r="3737" customFormat="false" ht="15" hidden="false" customHeight="false" outlineLevel="0" collapsed="false">
      <c r="A3737" s="62" t="n">
        <v>1</v>
      </c>
      <c r="B3737" s="62" t="s">
        <v>387</v>
      </c>
      <c r="C3737" s="62" t="s">
        <v>60</v>
      </c>
      <c r="D3737" s="62" t="s">
        <v>67</v>
      </c>
      <c r="E3737" s="62" t="s">
        <v>382</v>
      </c>
      <c r="F3737" s="63" t="s">
        <v>405</v>
      </c>
      <c r="G3737" s="64" t="n">
        <v>7711371.73706837</v>
      </c>
      <c r="H3737" s="62" t="s">
        <v>138</v>
      </c>
    </row>
    <row r="3738" customFormat="false" ht="15" hidden="false" customHeight="false" outlineLevel="0" collapsed="false">
      <c r="A3738" s="62" t="n">
        <v>1</v>
      </c>
      <c r="B3738" s="62" t="s">
        <v>388</v>
      </c>
      <c r="C3738" s="62" t="s">
        <v>60</v>
      </c>
      <c r="D3738" s="62" t="s">
        <v>67</v>
      </c>
      <c r="E3738" s="62" t="s">
        <v>382</v>
      </c>
      <c r="F3738" s="63" t="s">
        <v>405</v>
      </c>
      <c r="G3738" s="64" t="n">
        <v>1891630.0101345</v>
      </c>
      <c r="H3738" s="62" t="s">
        <v>138</v>
      </c>
    </row>
    <row r="3739" customFormat="false" ht="15" hidden="false" customHeight="false" outlineLevel="0" collapsed="false">
      <c r="A3739" s="62" t="n">
        <v>1</v>
      </c>
      <c r="B3739" s="62" t="s">
        <v>381</v>
      </c>
      <c r="C3739" s="62" t="s">
        <v>60</v>
      </c>
      <c r="D3739" s="62" t="s">
        <v>67</v>
      </c>
      <c r="E3739" s="62" t="s">
        <v>382</v>
      </c>
      <c r="F3739" s="63" t="s">
        <v>406</v>
      </c>
      <c r="G3739" s="64" t="n">
        <v>904561.56</v>
      </c>
      <c r="H3739" s="62" t="s">
        <v>138</v>
      </c>
    </row>
    <row r="3740" customFormat="false" ht="15" hidden="false" customHeight="false" outlineLevel="0" collapsed="false">
      <c r="A3740" s="62" t="n">
        <v>1</v>
      </c>
      <c r="B3740" s="62" t="s">
        <v>383</v>
      </c>
      <c r="C3740" s="62" t="s">
        <v>60</v>
      </c>
      <c r="D3740" s="62" t="s">
        <v>67</v>
      </c>
      <c r="E3740" s="62" t="s">
        <v>382</v>
      </c>
      <c r="F3740" s="63" t="s">
        <v>406</v>
      </c>
      <c r="G3740" s="64" t="n">
        <v>904561.56</v>
      </c>
      <c r="H3740" s="62" t="s">
        <v>138</v>
      </c>
    </row>
    <row r="3741" customFormat="false" ht="15" hidden="false" customHeight="false" outlineLevel="0" collapsed="false">
      <c r="A3741" s="62" t="n">
        <v>1</v>
      </c>
      <c r="B3741" s="62" t="s">
        <v>384</v>
      </c>
      <c r="C3741" s="62" t="s">
        <v>60</v>
      </c>
      <c r="D3741" s="62" t="s">
        <v>67</v>
      </c>
      <c r="E3741" s="62" t="s">
        <v>382</v>
      </c>
      <c r="F3741" s="63" t="s">
        <v>406</v>
      </c>
      <c r="G3741" s="64" t="n">
        <v>904561.56</v>
      </c>
      <c r="H3741" s="62" t="s">
        <v>138</v>
      </c>
    </row>
    <row r="3742" customFormat="false" ht="15" hidden="false" customHeight="false" outlineLevel="0" collapsed="false">
      <c r="A3742" s="62" t="n">
        <v>1</v>
      </c>
      <c r="B3742" s="62" t="s">
        <v>385</v>
      </c>
      <c r="C3742" s="62" t="s">
        <v>60</v>
      </c>
      <c r="D3742" s="62" t="s">
        <v>67</v>
      </c>
      <c r="E3742" s="62" t="s">
        <v>382</v>
      </c>
      <c r="F3742" s="63" t="s">
        <v>406</v>
      </c>
      <c r="G3742" s="64" t="n">
        <v>904561.56</v>
      </c>
      <c r="H3742" s="62" t="s">
        <v>138</v>
      </c>
    </row>
    <row r="3743" customFormat="false" ht="15" hidden="false" customHeight="false" outlineLevel="0" collapsed="false">
      <c r="A3743" s="62" t="n">
        <v>1</v>
      </c>
      <c r="B3743" s="62" t="s">
        <v>386</v>
      </c>
      <c r="C3743" s="62" t="s">
        <v>60</v>
      </c>
      <c r="D3743" s="62" t="s">
        <v>67</v>
      </c>
      <c r="E3743" s="62" t="s">
        <v>382</v>
      </c>
      <c r="F3743" s="63" t="s">
        <v>406</v>
      </c>
      <c r="G3743" s="64" t="n">
        <v>904561.56</v>
      </c>
      <c r="H3743" s="62" t="s">
        <v>138</v>
      </c>
    </row>
    <row r="3744" customFormat="false" ht="15" hidden="false" customHeight="false" outlineLevel="0" collapsed="false">
      <c r="A3744" s="62" t="n">
        <v>1</v>
      </c>
      <c r="B3744" s="62" t="s">
        <v>387</v>
      </c>
      <c r="C3744" s="62" t="s">
        <v>60</v>
      </c>
      <c r="D3744" s="62" t="s">
        <v>67</v>
      </c>
      <c r="E3744" s="62" t="s">
        <v>382</v>
      </c>
      <c r="F3744" s="63" t="s">
        <v>406</v>
      </c>
      <c r="G3744" s="64" t="n">
        <v>904561.56</v>
      </c>
      <c r="H3744" s="62" t="s">
        <v>138</v>
      </c>
    </row>
    <row r="3745" customFormat="false" ht="15" hidden="false" customHeight="false" outlineLevel="0" collapsed="false">
      <c r="A3745" s="62" t="n">
        <v>1</v>
      </c>
      <c r="B3745" s="62" t="s">
        <v>388</v>
      </c>
      <c r="C3745" s="62" t="s">
        <v>60</v>
      </c>
      <c r="D3745" s="62" t="s">
        <v>67</v>
      </c>
      <c r="E3745" s="62" t="s">
        <v>382</v>
      </c>
      <c r="F3745" s="63" t="s">
        <v>406</v>
      </c>
      <c r="G3745" s="64" t="n">
        <v>904561.56</v>
      </c>
      <c r="H3745" s="62" t="s">
        <v>138</v>
      </c>
    </row>
    <row r="3746" customFormat="false" ht="15" hidden="false" customHeight="false" outlineLevel="0" collapsed="false">
      <c r="A3746" s="62" t="n">
        <v>1</v>
      </c>
      <c r="B3746" s="62" t="s">
        <v>381</v>
      </c>
      <c r="C3746" s="62" t="s">
        <v>60</v>
      </c>
      <c r="D3746" s="62" t="s">
        <v>67</v>
      </c>
      <c r="E3746" s="62" t="s">
        <v>382</v>
      </c>
      <c r="F3746" s="63" t="s">
        <v>407</v>
      </c>
      <c r="G3746" s="64" t="n">
        <v>1955391.44944407</v>
      </c>
      <c r="H3746" s="62" t="s">
        <v>138</v>
      </c>
    </row>
    <row r="3747" customFormat="false" ht="15" hidden="false" customHeight="false" outlineLevel="0" collapsed="false">
      <c r="A3747" s="62" t="n">
        <v>1</v>
      </c>
      <c r="B3747" s="62" t="s">
        <v>383</v>
      </c>
      <c r="C3747" s="62" t="s">
        <v>60</v>
      </c>
      <c r="D3747" s="62" t="s">
        <v>67</v>
      </c>
      <c r="E3747" s="62" t="s">
        <v>382</v>
      </c>
      <c r="F3747" s="63" t="s">
        <v>407</v>
      </c>
      <c r="G3747" s="64" t="n">
        <v>2785369.4272926</v>
      </c>
      <c r="H3747" s="62" t="s">
        <v>138</v>
      </c>
    </row>
    <row r="3748" customFormat="false" ht="15" hidden="false" customHeight="false" outlineLevel="0" collapsed="false">
      <c r="A3748" s="62" t="n">
        <v>1</v>
      </c>
      <c r="B3748" s="62" t="s">
        <v>384</v>
      </c>
      <c r="C3748" s="62" t="s">
        <v>60</v>
      </c>
      <c r="D3748" s="62" t="s">
        <v>67</v>
      </c>
      <c r="E3748" s="62" t="s">
        <v>382</v>
      </c>
      <c r="F3748" s="63" t="s">
        <v>407</v>
      </c>
      <c r="G3748" s="64" t="n">
        <v>2223067.01019841</v>
      </c>
      <c r="H3748" s="62" t="s">
        <v>138</v>
      </c>
    </row>
    <row r="3749" customFormat="false" ht="15" hidden="false" customHeight="false" outlineLevel="0" collapsed="false">
      <c r="A3749" s="62" t="n">
        <v>1</v>
      </c>
      <c r="B3749" s="62" t="s">
        <v>385</v>
      </c>
      <c r="C3749" s="62" t="s">
        <v>60</v>
      </c>
      <c r="D3749" s="62" t="s">
        <v>67</v>
      </c>
      <c r="E3749" s="62" t="s">
        <v>382</v>
      </c>
      <c r="F3749" s="63" t="s">
        <v>407</v>
      </c>
      <c r="G3749" s="64" t="n">
        <v>4376147.12757026</v>
      </c>
      <c r="H3749" s="62" t="s">
        <v>138</v>
      </c>
    </row>
    <row r="3750" customFormat="false" ht="15" hidden="false" customHeight="false" outlineLevel="0" collapsed="false">
      <c r="A3750" s="62" t="n">
        <v>1</v>
      </c>
      <c r="B3750" s="62" t="s">
        <v>386</v>
      </c>
      <c r="C3750" s="62" t="s">
        <v>60</v>
      </c>
      <c r="D3750" s="62" t="s">
        <v>67</v>
      </c>
      <c r="E3750" s="62" t="s">
        <v>382</v>
      </c>
      <c r="F3750" s="63" t="s">
        <v>407</v>
      </c>
      <c r="G3750" s="64" t="n">
        <v>3544686.43293136</v>
      </c>
      <c r="H3750" s="62" t="s">
        <v>138</v>
      </c>
    </row>
    <row r="3751" customFormat="false" ht="15" hidden="false" customHeight="false" outlineLevel="0" collapsed="false">
      <c r="A3751" s="62" t="n">
        <v>1</v>
      </c>
      <c r="B3751" s="62" t="s">
        <v>387</v>
      </c>
      <c r="C3751" s="62" t="s">
        <v>60</v>
      </c>
      <c r="D3751" s="62" t="s">
        <v>67</v>
      </c>
      <c r="E3751" s="62" t="s">
        <v>382</v>
      </c>
      <c r="F3751" s="63" t="s">
        <v>407</v>
      </c>
      <c r="G3751" s="64" t="n">
        <v>6806810.17706837</v>
      </c>
      <c r="H3751" s="62" t="s">
        <v>138</v>
      </c>
    </row>
    <row r="3752" customFormat="false" ht="15" hidden="false" customHeight="false" outlineLevel="0" collapsed="false">
      <c r="A3752" s="62" t="n">
        <v>1</v>
      </c>
      <c r="B3752" s="62" t="s">
        <v>388</v>
      </c>
      <c r="C3752" s="62" t="s">
        <v>60</v>
      </c>
      <c r="D3752" s="62" t="s">
        <v>67</v>
      </c>
      <c r="E3752" s="62" t="s">
        <v>382</v>
      </c>
      <c r="F3752" s="63" t="s">
        <v>407</v>
      </c>
      <c r="G3752" s="64" t="n">
        <v>987068.4501345</v>
      </c>
      <c r="H3752" s="62" t="s">
        <v>138</v>
      </c>
    </row>
    <row r="3753" customFormat="false" ht="15" hidden="false" customHeight="false" outlineLevel="0" collapsed="false">
      <c r="A3753" s="62" t="n">
        <v>1</v>
      </c>
      <c r="B3753" s="62" t="s">
        <v>381</v>
      </c>
      <c r="C3753" s="62" t="s">
        <v>60</v>
      </c>
      <c r="D3753" s="62" t="s">
        <v>67</v>
      </c>
      <c r="E3753" s="62" t="s">
        <v>382</v>
      </c>
      <c r="F3753" s="63" t="s">
        <v>408</v>
      </c>
      <c r="G3753" s="64" t="n">
        <v>453584.115025126</v>
      </c>
      <c r="H3753" s="62" t="s">
        <v>138</v>
      </c>
    </row>
    <row r="3754" customFormat="false" ht="15" hidden="false" customHeight="false" outlineLevel="0" collapsed="false">
      <c r="A3754" s="62" t="n">
        <v>1</v>
      </c>
      <c r="B3754" s="62" t="s">
        <v>383</v>
      </c>
      <c r="C3754" s="62" t="s">
        <v>60</v>
      </c>
      <c r="D3754" s="62" t="s">
        <v>67</v>
      </c>
      <c r="E3754" s="62" t="s">
        <v>382</v>
      </c>
      <c r="F3754" s="63" t="s">
        <v>408</v>
      </c>
      <c r="G3754" s="64" t="n">
        <v>285504.10294371</v>
      </c>
      <c r="H3754" s="62" t="s">
        <v>138</v>
      </c>
    </row>
    <row r="3755" customFormat="false" ht="15" hidden="false" customHeight="false" outlineLevel="0" collapsed="false">
      <c r="A3755" s="62" t="n">
        <v>1</v>
      </c>
      <c r="B3755" s="62" t="s">
        <v>384</v>
      </c>
      <c r="C3755" s="62" t="s">
        <v>60</v>
      </c>
      <c r="D3755" s="62" t="s">
        <v>67</v>
      </c>
      <c r="E3755" s="62" t="s">
        <v>382</v>
      </c>
      <c r="F3755" s="63" t="s">
        <v>408</v>
      </c>
      <c r="G3755" s="64" t="n">
        <v>265023.478648551</v>
      </c>
      <c r="H3755" s="62" t="s">
        <v>138</v>
      </c>
    </row>
    <row r="3756" customFormat="false" ht="15" hidden="false" customHeight="false" outlineLevel="0" collapsed="false">
      <c r="A3756" s="62" t="n">
        <v>1</v>
      </c>
      <c r="B3756" s="62" t="s">
        <v>385</v>
      </c>
      <c r="C3756" s="62" t="s">
        <v>60</v>
      </c>
      <c r="D3756" s="62" t="s">
        <v>67</v>
      </c>
      <c r="E3756" s="62" t="s">
        <v>382</v>
      </c>
      <c r="F3756" s="63" t="s">
        <v>408</v>
      </c>
      <c r="G3756" s="64" t="n">
        <v>256303.605687244</v>
      </c>
      <c r="H3756" s="62" t="s">
        <v>138</v>
      </c>
    </row>
    <row r="3757" customFormat="false" ht="15" hidden="false" customHeight="false" outlineLevel="0" collapsed="false">
      <c r="A3757" s="62" t="n">
        <v>1</v>
      </c>
      <c r="B3757" s="62" t="s">
        <v>386</v>
      </c>
      <c r="C3757" s="62" t="s">
        <v>60</v>
      </c>
      <c r="D3757" s="62" t="s">
        <v>67</v>
      </c>
      <c r="E3757" s="62" t="s">
        <v>382</v>
      </c>
      <c r="F3757" s="63" t="s">
        <v>408</v>
      </c>
      <c r="G3757" s="64" t="n">
        <v>249237.759523399</v>
      </c>
      <c r="H3757" s="62" t="s">
        <v>138</v>
      </c>
    </row>
    <row r="3758" customFormat="false" ht="15" hidden="false" customHeight="false" outlineLevel="0" collapsed="false">
      <c r="A3758" s="62" t="n">
        <v>1</v>
      </c>
      <c r="B3758" s="62" t="s">
        <v>387</v>
      </c>
      <c r="C3758" s="62" t="s">
        <v>60</v>
      </c>
      <c r="D3758" s="62" t="s">
        <v>67</v>
      </c>
      <c r="E3758" s="62" t="s">
        <v>382</v>
      </c>
      <c r="F3758" s="63" t="s">
        <v>408</v>
      </c>
      <c r="G3758" s="64" t="n">
        <v>403944.478547804</v>
      </c>
      <c r="H3758" s="62" t="s">
        <v>138</v>
      </c>
    </row>
    <row r="3759" customFormat="false" ht="15" hidden="false" customHeight="false" outlineLevel="0" collapsed="false">
      <c r="A3759" s="62" t="n">
        <v>1</v>
      </c>
      <c r="B3759" s="62" t="s">
        <v>388</v>
      </c>
      <c r="C3759" s="62" t="s">
        <v>60</v>
      </c>
      <c r="D3759" s="62" t="s">
        <v>67</v>
      </c>
      <c r="E3759" s="62" t="s">
        <v>382</v>
      </c>
      <c r="F3759" s="63" t="s">
        <v>408</v>
      </c>
      <c r="G3759" s="64" t="n">
        <v>741827.150148787</v>
      </c>
      <c r="H3759" s="62" t="s">
        <v>138</v>
      </c>
    </row>
    <row r="3760" customFormat="false" ht="15" hidden="false" customHeight="false" outlineLevel="0" collapsed="false">
      <c r="A3760" s="62" t="n">
        <v>1</v>
      </c>
      <c r="B3760" s="62" t="s">
        <v>381</v>
      </c>
      <c r="C3760" s="62" t="s">
        <v>60</v>
      </c>
      <c r="D3760" s="62" t="s">
        <v>67</v>
      </c>
      <c r="E3760" s="62" t="s">
        <v>382</v>
      </c>
      <c r="F3760" s="63" t="s">
        <v>409</v>
      </c>
      <c r="G3760" s="64" t="n">
        <v>1501807.33441894</v>
      </c>
      <c r="H3760" s="62" t="s">
        <v>138</v>
      </c>
    </row>
    <row r="3761" customFormat="false" ht="15" hidden="false" customHeight="false" outlineLevel="0" collapsed="false">
      <c r="A3761" s="62" t="n">
        <v>1</v>
      </c>
      <c r="B3761" s="62" t="s">
        <v>383</v>
      </c>
      <c r="C3761" s="62" t="s">
        <v>60</v>
      </c>
      <c r="D3761" s="62" t="s">
        <v>67</v>
      </c>
      <c r="E3761" s="62" t="s">
        <v>382</v>
      </c>
      <c r="F3761" s="63" t="s">
        <v>409</v>
      </c>
      <c r="G3761" s="64" t="n">
        <v>2499865.32434889</v>
      </c>
      <c r="H3761" s="62" t="s">
        <v>138</v>
      </c>
    </row>
    <row r="3762" customFormat="false" ht="15" hidden="false" customHeight="false" outlineLevel="0" collapsed="false">
      <c r="A3762" s="62" t="n">
        <v>1</v>
      </c>
      <c r="B3762" s="62" t="s">
        <v>384</v>
      </c>
      <c r="C3762" s="62" t="s">
        <v>60</v>
      </c>
      <c r="D3762" s="62" t="s">
        <v>67</v>
      </c>
      <c r="E3762" s="62" t="s">
        <v>382</v>
      </c>
      <c r="F3762" s="63" t="s">
        <v>409</v>
      </c>
      <c r="G3762" s="64" t="n">
        <v>1958043.53154986</v>
      </c>
      <c r="H3762" s="62" t="s">
        <v>138</v>
      </c>
    </row>
    <row r="3763" customFormat="false" ht="15" hidden="false" customHeight="false" outlineLevel="0" collapsed="false">
      <c r="A3763" s="62" t="n">
        <v>1</v>
      </c>
      <c r="B3763" s="62" t="s">
        <v>385</v>
      </c>
      <c r="C3763" s="62" t="s">
        <v>60</v>
      </c>
      <c r="D3763" s="62" t="s">
        <v>67</v>
      </c>
      <c r="E3763" s="62" t="s">
        <v>382</v>
      </c>
      <c r="F3763" s="63" t="s">
        <v>409</v>
      </c>
      <c r="G3763" s="64" t="n">
        <v>4119843.52188302</v>
      </c>
      <c r="H3763" s="62" t="s">
        <v>138</v>
      </c>
    </row>
    <row r="3764" customFormat="false" ht="15" hidden="false" customHeight="false" outlineLevel="0" collapsed="false">
      <c r="A3764" s="62" t="n">
        <v>1</v>
      </c>
      <c r="B3764" s="62" t="s">
        <v>386</v>
      </c>
      <c r="C3764" s="62" t="s">
        <v>60</v>
      </c>
      <c r="D3764" s="62" t="s">
        <v>67</v>
      </c>
      <c r="E3764" s="62" t="s">
        <v>382</v>
      </c>
      <c r="F3764" s="63" t="s">
        <v>409</v>
      </c>
      <c r="G3764" s="64" t="n">
        <v>3295448.67340796</v>
      </c>
      <c r="H3764" s="62" t="s">
        <v>138</v>
      </c>
    </row>
    <row r="3765" customFormat="false" ht="15" hidden="false" customHeight="false" outlineLevel="0" collapsed="false">
      <c r="A3765" s="62" t="n">
        <v>1</v>
      </c>
      <c r="B3765" s="62" t="s">
        <v>387</v>
      </c>
      <c r="C3765" s="62" t="s">
        <v>60</v>
      </c>
      <c r="D3765" s="62" t="s">
        <v>67</v>
      </c>
      <c r="E3765" s="62" t="s">
        <v>382</v>
      </c>
      <c r="F3765" s="63" t="s">
        <v>409</v>
      </c>
      <c r="G3765" s="64" t="n">
        <v>6402865.69852056</v>
      </c>
      <c r="H3765" s="62" t="s">
        <v>138</v>
      </c>
    </row>
    <row r="3766" customFormat="false" ht="15" hidden="false" customHeight="false" outlineLevel="0" collapsed="false">
      <c r="A3766" s="62" t="n">
        <v>1</v>
      </c>
      <c r="B3766" s="62" t="s">
        <v>388</v>
      </c>
      <c r="C3766" s="62" t="s">
        <v>60</v>
      </c>
      <c r="D3766" s="62" t="s">
        <v>67</v>
      </c>
      <c r="E3766" s="62" t="s">
        <v>382</v>
      </c>
      <c r="F3766" s="63" t="s">
        <v>409</v>
      </c>
      <c r="G3766" s="64" t="n">
        <v>245241.299985713</v>
      </c>
      <c r="H3766" s="62" t="s">
        <v>138</v>
      </c>
    </row>
    <row r="3767" customFormat="false" ht="15" hidden="false" customHeight="false" outlineLevel="0" collapsed="false">
      <c r="A3767" s="62" t="n">
        <v>1</v>
      </c>
      <c r="B3767" s="62" t="s">
        <v>381</v>
      </c>
      <c r="C3767" s="62" t="s">
        <v>60</v>
      </c>
      <c r="D3767" s="62" t="s">
        <v>67</v>
      </c>
      <c r="E3767" s="62" t="s">
        <v>382</v>
      </c>
      <c r="F3767" s="63" t="s">
        <v>410</v>
      </c>
      <c r="G3767" s="64" t="n">
        <v>330397.613572167</v>
      </c>
      <c r="H3767" s="62" t="s">
        <v>138</v>
      </c>
    </row>
    <row r="3768" customFormat="false" ht="15" hidden="false" customHeight="false" outlineLevel="0" collapsed="false">
      <c r="A3768" s="62" t="n">
        <v>1</v>
      </c>
      <c r="B3768" s="62" t="s">
        <v>383</v>
      </c>
      <c r="C3768" s="62" t="s">
        <v>60</v>
      </c>
      <c r="D3768" s="62" t="s">
        <v>67</v>
      </c>
      <c r="E3768" s="62" t="s">
        <v>382</v>
      </c>
      <c r="F3768" s="63" t="s">
        <v>410</v>
      </c>
      <c r="G3768" s="64" t="n">
        <v>549970.371356756</v>
      </c>
      <c r="H3768" s="62" t="s">
        <v>138</v>
      </c>
    </row>
    <row r="3769" customFormat="false" ht="15" hidden="false" customHeight="false" outlineLevel="0" collapsed="false">
      <c r="A3769" s="62" t="n">
        <v>1</v>
      </c>
      <c r="B3769" s="62" t="s">
        <v>384</v>
      </c>
      <c r="C3769" s="62" t="s">
        <v>60</v>
      </c>
      <c r="D3769" s="62" t="s">
        <v>67</v>
      </c>
      <c r="E3769" s="62" t="s">
        <v>382</v>
      </c>
      <c r="F3769" s="63" t="s">
        <v>410</v>
      </c>
      <c r="G3769" s="64" t="n">
        <v>430769.576940968</v>
      </c>
      <c r="H3769" s="62" t="s">
        <v>138</v>
      </c>
    </row>
    <row r="3770" customFormat="false" ht="15" hidden="false" customHeight="false" outlineLevel="0" collapsed="false">
      <c r="A3770" s="62" t="n">
        <v>1</v>
      </c>
      <c r="B3770" s="62" t="s">
        <v>385</v>
      </c>
      <c r="C3770" s="62" t="s">
        <v>60</v>
      </c>
      <c r="D3770" s="62" t="s">
        <v>67</v>
      </c>
      <c r="E3770" s="62" t="s">
        <v>382</v>
      </c>
      <c r="F3770" s="63" t="s">
        <v>410</v>
      </c>
      <c r="G3770" s="64" t="n">
        <v>906365.574814264</v>
      </c>
      <c r="H3770" s="62" t="s">
        <v>138</v>
      </c>
    </row>
    <row r="3771" customFormat="false" ht="15" hidden="false" customHeight="false" outlineLevel="0" collapsed="false">
      <c r="A3771" s="62" t="n">
        <v>1</v>
      </c>
      <c r="B3771" s="62" t="s">
        <v>386</v>
      </c>
      <c r="C3771" s="62" t="s">
        <v>60</v>
      </c>
      <c r="D3771" s="62" t="s">
        <v>67</v>
      </c>
      <c r="E3771" s="62" t="s">
        <v>382</v>
      </c>
      <c r="F3771" s="63" t="s">
        <v>410</v>
      </c>
      <c r="G3771" s="64" t="n">
        <v>724998.70814975</v>
      </c>
      <c r="H3771" s="62" t="s">
        <v>138</v>
      </c>
    </row>
    <row r="3772" customFormat="false" ht="15" hidden="false" customHeight="false" outlineLevel="0" collapsed="false">
      <c r="A3772" s="62" t="n">
        <v>1</v>
      </c>
      <c r="B3772" s="62" t="s">
        <v>387</v>
      </c>
      <c r="C3772" s="62" t="s">
        <v>60</v>
      </c>
      <c r="D3772" s="62" t="s">
        <v>67</v>
      </c>
      <c r="E3772" s="62" t="s">
        <v>382</v>
      </c>
      <c r="F3772" s="63" t="s">
        <v>410</v>
      </c>
      <c r="G3772" s="64" t="n">
        <v>1408630.45367452</v>
      </c>
      <c r="H3772" s="62" t="s">
        <v>138</v>
      </c>
    </row>
    <row r="3773" customFormat="false" ht="15" hidden="false" customHeight="false" outlineLevel="0" collapsed="false">
      <c r="A3773" s="62" t="n">
        <v>1</v>
      </c>
      <c r="B3773" s="62" t="s">
        <v>388</v>
      </c>
      <c r="C3773" s="62" t="s">
        <v>60</v>
      </c>
      <c r="D3773" s="62" t="s">
        <v>67</v>
      </c>
      <c r="E3773" s="62" t="s">
        <v>382</v>
      </c>
      <c r="F3773" s="63" t="s">
        <v>410</v>
      </c>
      <c r="G3773" s="64" t="n">
        <v>53953.0859968569</v>
      </c>
      <c r="H3773" s="62" t="s">
        <v>138</v>
      </c>
    </row>
    <row r="3774" customFormat="false" ht="15" hidden="false" customHeight="false" outlineLevel="0" collapsed="false">
      <c r="A3774" s="62" t="n">
        <v>1</v>
      </c>
      <c r="B3774" s="62" t="s">
        <v>381</v>
      </c>
      <c r="C3774" s="62" t="s">
        <v>60</v>
      </c>
      <c r="D3774" s="62" t="s">
        <v>67</v>
      </c>
      <c r="E3774" s="62" t="s">
        <v>382</v>
      </c>
      <c r="F3774" s="63" t="s">
        <v>411</v>
      </c>
      <c r="G3774" s="64" t="n">
        <v>1171409.72084677</v>
      </c>
      <c r="H3774" s="62" t="s">
        <v>138</v>
      </c>
    </row>
    <row r="3775" customFormat="false" ht="15" hidden="false" customHeight="false" outlineLevel="0" collapsed="false">
      <c r="A3775" s="62" t="n">
        <v>1</v>
      </c>
      <c r="B3775" s="62" t="s">
        <v>383</v>
      </c>
      <c r="C3775" s="62" t="s">
        <v>60</v>
      </c>
      <c r="D3775" s="62" t="s">
        <v>67</v>
      </c>
      <c r="E3775" s="62" t="s">
        <v>382</v>
      </c>
      <c r="F3775" s="63" t="s">
        <v>411</v>
      </c>
      <c r="G3775" s="64" t="n">
        <v>1949894.95299213</v>
      </c>
      <c r="H3775" s="62" t="s">
        <v>138</v>
      </c>
    </row>
    <row r="3776" customFormat="false" ht="15" hidden="false" customHeight="false" outlineLevel="0" collapsed="false">
      <c r="A3776" s="62" t="n">
        <v>1</v>
      </c>
      <c r="B3776" s="62" t="s">
        <v>384</v>
      </c>
      <c r="C3776" s="62" t="s">
        <v>60</v>
      </c>
      <c r="D3776" s="62" t="s">
        <v>67</v>
      </c>
      <c r="E3776" s="62" t="s">
        <v>382</v>
      </c>
      <c r="F3776" s="63" t="s">
        <v>411</v>
      </c>
      <c r="G3776" s="64" t="n">
        <v>1527273.95460889</v>
      </c>
      <c r="H3776" s="62" t="s">
        <v>138</v>
      </c>
    </row>
    <row r="3777" customFormat="false" ht="15" hidden="false" customHeight="false" outlineLevel="0" collapsed="false">
      <c r="A3777" s="62" t="n">
        <v>1</v>
      </c>
      <c r="B3777" s="62" t="s">
        <v>385</v>
      </c>
      <c r="C3777" s="62" t="s">
        <v>60</v>
      </c>
      <c r="D3777" s="62" t="s">
        <v>67</v>
      </c>
      <c r="E3777" s="62" t="s">
        <v>382</v>
      </c>
      <c r="F3777" s="63" t="s">
        <v>411</v>
      </c>
      <c r="G3777" s="64" t="n">
        <v>3213477.94706875</v>
      </c>
      <c r="H3777" s="62" t="s">
        <v>138</v>
      </c>
    </row>
    <row r="3778" customFormat="false" ht="15" hidden="false" customHeight="false" outlineLevel="0" collapsed="false">
      <c r="A3778" s="62" t="n">
        <v>1</v>
      </c>
      <c r="B3778" s="62" t="s">
        <v>386</v>
      </c>
      <c r="C3778" s="62" t="s">
        <v>60</v>
      </c>
      <c r="D3778" s="62" t="s">
        <v>67</v>
      </c>
      <c r="E3778" s="62" t="s">
        <v>382</v>
      </c>
      <c r="F3778" s="63" t="s">
        <v>411</v>
      </c>
      <c r="G3778" s="64" t="n">
        <v>2570449.96525821</v>
      </c>
      <c r="H3778" s="62" t="s">
        <v>138</v>
      </c>
    </row>
    <row r="3779" customFormat="false" ht="15" hidden="false" customHeight="false" outlineLevel="0" collapsed="false">
      <c r="A3779" s="62" t="n">
        <v>1</v>
      </c>
      <c r="B3779" s="62" t="s">
        <v>387</v>
      </c>
      <c r="C3779" s="62" t="s">
        <v>60</v>
      </c>
      <c r="D3779" s="62" t="s">
        <v>67</v>
      </c>
      <c r="E3779" s="62" t="s">
        <v>382</v>
      </c>
      <c r="F3779" s="63" t="s">
        <v>411</v>
      </c>
      <c r="G3779" s="64" t="n">
        <v>4994235.24484604</v>
      </c>
      <c r="H3779" s="62" t="s">
        <v>138</v>
      </c>
    </row>
    <row r="3780" customFormat="false" ht="15" hidden="false" customHeight="false" outlineLevel="0" collapsed="false">
      <c r="A3780" s="62" t="n">
        <v>1</v>
      </c>
      <c r="B3780" s="62" t="s">
        <v>388</v>
      </c>
      <c r="C3780" s="62" t="s">
        <v>60</v>
      </c>
      <c r="D3780" s="62" t="s">
        <v>67</v>
      </c>
      <c r="E3780" s="62" t="s">
        <v>382</v>
      </c>
      <c r="F3780" s="63" t="s">
        <v>411</v>
      </c>
      <c r="G3780" s="64" t="n">
        <v>191288.213988856</v>
      </c>
      <c r="H3780" s="62" t="s">
        <v>138</v>
      </c>
    </row>
    <row r="3781" customFormat="false" ht="15" hidden="false" customHeight="false" outlineLevel="0" collapsed="false">
      <c r="A3781" s="62" t="n">
        <v>1</v>
      </c>
      <c r="B3781" s="62" t="s">
        <v>381</v>
      </c>
      <c r="C3781" s="62" t="s">
        <v>60</v>
      </c>
      <c r="D3781" s="62" t="s">
        <v>67</v>
      </c>
      <c r="E3781" s="62" t="s">
        <v>382</v>
      </c>
      <c r="F3781" s="63" t="s">
        <v>412</v>
      </c>
      <c r="G3781" s="64" t="n">
        <v>8155054.04</v>
      </c>
      <c r="H3781" s="62" t="s">
        <v>138</v>
      </c>
    </row>
    <row r="3782" customFormat="false" ht="15" hidden="false" customHeight="false" outlineLevel="0" collapsed="false">
      <c r="A3782" s="62" t="n">
        <v>1</v>
      </c>
      <c r="B3782" s="62" t="s">
        <v>383</v>
      </c>
      <c r="C3782" s="62" t="s">
        <v>60</v>
      </c>
      <c r="D3782" s="62" t="s">
        <v>67</v>
      </c>
      <c r="E3782" s="62" t="s">
        <v>382</v>
      </c>
      <c r="F3782" s="63" t="s">
        <v>412</v>
      </c>
      <c r="G3782" s="64" t="n">
        <v>8158554.04</v>
      </c>
      <c r="H3782" s="62" t="s">
        <v>138</v>
      </c>
    </row>
    <row r="3783" customFormat="false" ht="15" hidden="false" customHeight="false" outlineLevel="0" collapsed="false">
      <c r="A3783" s="62" t="n">
        <v>1</v>
      </c>
      <c r="B3783" s="62" t="s">
        <v>384</v>
      </c>
      <c r="C3783" s="62" t="s">
        <v>60</v>
      </c>
      <c r="D3783" s="62" t="s">
        <v>67</v>
      </c>
      <c r="E3783" s="62" t="s">
        <v>382</v>
      </c>
      <c r="F3783" s="63" t="s">
        <v>412</v>
      </c>
      <c r="G3783" s="64" t="n">
        <v>8155054.04</v>
      </c>
      <c r="H3783" s="62" t="s">
        <v>138</v>
      </c>
    </row>
    <row r="3784" customFormat="false" ht="15" hidden="false" customHeight="false" outlineLevel="0" collapsed="false">
      <c r="A3784" s="62" t="n">
        <v>1</v>
      </c>
      <c r="B3784" s="62" t="s">
        <v>385</v>
      </c>
      <c r="C3784" s="62" t="s">
        <v>60</v>
      </c>
      <c r="D3784" s="62" t="s">
        <v>67</v>
      </c>
      <c r="E3784" s="62" t="s">
        <v>382</v>
      </c>
      <c r="F3784" s="63" t="s">
        <v>412</v>
      </c>
      <c r="G3784" s="64" t="n">
        <v>8158554.04</v>
      </c>
      <c r="H3784" s="62" t="s">
        <v>138</v>
      </c>
    </row>
    <row r="3785" customFormat="false" ht="15" hidden="false" customHeight="false" outlineLevel="0" collapsed="false">
      <c r="A3785" s="62" t="n">
        <v>1</v>
      </c>
      <c r="B3785" s="62" t="s">
        <v>386</v>
      </c>
      <c r="C3785" s="62" t="s">
        <v>60</v>
      </c>
      <c r="D3785" s="62" t="s">
        <v>67</v>
      </c>
      <c r="E3785" s="62" t="s">
        <v>382</v>
      </c>
      <c r="F3785" s="63" t="s">
        <v>412</v>
      </c>
      <c r="G3785" s="64" t="n">
        <v>8193554.04</v>
      </c>
      <c r="H3785" s="62" t="s">
        <v>138</v>
      </c>
    </row>
    <row r="3786" customFormat="false" ht="15" hidden="false" customHeight="false" outlineLevel="0" collapsed="false">
      <c r="A3786" s="62" t="n">
        <v>1</v>
      </c>
      <c r="B3786" s="62" t="s">
        <v>387</v>
      </c>
      <c r="C3786" s="62" t="s">
        <v>60</v>
      </c>
      <c r="D3786" s="62" t="s">
        <v>67</v>
      </c>
      <c r="E3786" s="62" t="s">
        <v>382</v>
      </c>
      <c r="F3786" s="63" t="s">
        <v>412</v>
      </c>
      <c r="G3786" s="64" t="n">
        <v>8155054.04</v>
      </c>
      <c r="H3786" s="62" t="s">
        <v>138</v>
      </c>
    </row>
    <row r="3787" customFormat="false" ht="15" hidden="false" customHeight="false" outlineLevel="0" collapsed="false">
      <c r="A3787" s="62" t="n">
        <v>1</v>
      </c>
      <c r="B3787" s="62" t="s">
        <v>388</v>
      </c>
      <c r="C3787" s="62" t="s">
        <v>60</v>
      </c>
      <c r="D3787" s="62" t="s">
        <v>67</v>
      </c>
      <c r="E3787" s="62" t="s">
        <v>382</v>
      </c>
      <c r="F3787" s="63" t="s">
        <v>412</v>
      </c>
      <c r="G3787" s="64" t="n">
        <v>8172554.04</v>
      </c>
      <c r="H3787" s="62" t="s">
        <v>138</v>
      </c>
    </row>
    <row r="3788" customFormat="false" ht="15" hidden="false" customHeight="false" outlineLevel="0" collapsed="false">
      <c r="A3788" s="62" t="n">
        <v>1</v>
      </c>
      <c r="B3788" s="62" t="s">
        <v>381</v>
      </c>
      <c r="C3788" s="62" t="s">
        <v>60</v>
      </c>
      <c r="D3788" s="62" t="s">
        <v>67</v>
      </c>
      <c r="E3788" s="62" t="s">
        <v>382</v>
      </c>
      <c r="F3788" s="63" t="s">
        <v>413</v>
      </c>
      <c r="G3788" s="64" t="n">
        <v>6174792.08460297</v>
      </c>
      <c r="H3788" s="62" t="s">
        <v>138</v>
      </c>
    </row>
    <row r="3789" customFormat="false" ht="15" hidden="false" customHeight="false" outlineLevel="0" collapsed="false">
      <c r="A3789" s="62" t="n">
        <v>1</v>
      </c>
      <c r="B3789" s="62" t="s">
        <v>383</v>
      </c>
      <c r="C3789" s="62" t="s">
        <v>60</v>
      </c>
      <c r="D3789" s="62" t="s">
        <v>67</v>
      </c>
      <c r="E3789" s="62" t="s">
        <v>382</v>
      </c>
      <c r="F3789" s="63" t="s">
        <v>413</v>
      </c>
      <c r="G3789" s="64" t="n">
        <v>0</v>
      </c>
      <c r="H3789" s="62" t="s">
        <v>138</v>
      </c>
    </row>
    <row r="3790" customFormat="false" ht="15" hidden="false" customHeight="false" outlineLevel="0" collapsed="false">
      <c r="A3790" s="62" t="n">
        <v>1</v>
      </c>
      <c r="B3790" s="62" t="s">
        <v>384</v>
      </c>
      <c r="C3790" s="62" t="s">
        <v>60</v>
      </c>
      <c r="D3790" s="62" t="s">
        <v>67</v>
      </c>
      <c r="E3790" s="62" t="s">
        <v>382</v>
      </c>
      <c r="F3790" s="63" t="s">
        <v>413</v>
      </c>
      <c r="G3790" s="64" t="n">
        <v>0</v>
      </c>
      <c r="H3790" s="62" t="s">
        <v>138</v>
      </c>
    </row>
    <row r="3791" customFormat="false" ht="15" hidden="false" customHeight="false" outlineLevel="0" collapsed="false">
      <c r="A3791" s="62" t="n">
        <v>1</v>
      </c>
      <c r="B3791" s="62" t="s">
        <v>385</v>
      </c>
      <c r="C3791" s="62" t="s">
        <v>60</v>
      </c>
      <c r="D3791" s="62" t="s">
        <v>67</v>
      </c>
      <c r="E3791" s="62" t="s">
        <v>382</v>
      </c>
      <c r="F3791" s="63" t="s">
        <v>413</v>
      </c>
      <c r="G3791" s="64" t="n">
        <v>4382363.72413941</v>
      </c>
      <c r="H3791" s="62" t="s">
        <v>138</v>
      </c>
    </row>
    <row r="3792" customFormat="false" ht="15" hidden="false" customHeight="false" outlineLevel="0" collapsed="false">
      <c r="A3792" s="62" t="n">
        <v>1</v>
      </c>
      <c r="B3792" s="62" t="s">
        <v>386</v>
      </c>
      <c r="C3792" s="62" t="s">
        <v>60</v>
      </c>
      <c r="D3792" s="62" t="s">
        <v>67</v>
      </c>
      <c r="E3792" s="62" t="s">
        <v>382</v>
      </c>
      <c r="F3792" s="63" t="s">
        <v>413</v>
      </c>
      <c r="G3792" s="64" t="n">
        <v>0</v>
      </c>
      <c r="H3792" s="62" t="s">
        <v>138</v>
      </c>
    </row>
    <row r="3793" customFormat="false" ht="15" hidden="false" customHeight="false" outlineLevel="0" collapsed="false">
      <c r="A3793" s="62" t="n">
        <v>1</v>
      </c>
      <c r="B3793" s="62" t="s">
        <v>387</v>
      </c>
      <c r="C3793" s="62" t="s">
        <v>60</v>
      </c>
      <c r="D3793" s="62" t="s">
        <v>67</v>
      </c>
      <c r="E3793" s="62" t="s">
        <v>382</v>
      </c>
      <c r="F3793" s="63" t="s">
        <v>413</v>
      </c>
      <c r="G3793" s="64" t="n">
        <v>0</v>
      </c>
      <c r="H3793" s="62" t="s">
        <v>138</v>
      </c>
    </row>
    <row r="3794" customFormat="false" ht="15" hidden="false" customHeight="false" outlineLevel="0" collapsed="false">
      <c r="A3794" s="62" t="n">
        <v>1</v>
      </c>
      <c r="B3794" s="62" t="s">
        <v>388</v>
      </c>
      <c r="C3794" s="62" t="s">
        <v>60</v>
      </c>
      <c r="D3794" s="62" t="s">
        <v>67</v>
      </c>
      <c r="E3794" s="62" t="s">
        <v>382</v>
      </c>
      <c r="F3794" s="63" t="s">
        <v>413</v>
      </c>
      <c r="G3794" s="64" t="n">
        <v>0</v>
      </c>
      <c r="H3794" s="62" t="s">
        <v>138</v>
      </c>
    </row>
    <row r="3795" customFormat="false" ht="15" hidden="false" customHeight="false" outlineLevel="0" collapsed="false">
      <c r="A3795" s="62" t="n">
        <v>1</v>
      </c>
      <c r="B3795" s="62" t="s">
        <v>381</v>
      </c>
      <c r="C3795" s="62" t="s">
        <v>60</v>
      </c>
      <c r="D3795" s="62" t="s">
        <v>67</v>
      </c>
      <c r="E3795" s="62" t="s">
        <v>382</v>
      </c>
      <c r="F3795" s="63" t="s">
        <v>414</v>
      </c>
      <c r="G3795" s="64" t="n">
        <v>756528.101882137</v>
      </c>
      <c r="H3795" s="62" t="s">
        <v>138</v>
      </c>
    </row>
    <row r="3796" customFormat="false" ht="15" hidden="false" customHeight="false" outlineLevel="0" collapsed="false">
      <c r="A3796" s="62" t="n">
        <v>1</v>
      </c>
      <c r="B3796" s="62" t="s">
        <v>383</v>
      </c>
      <c r="C3796" s="62" t="s">
        <v>60</v>
      </c>
      <c r="D3796" s="62" t="s">
        <v>67</v>
      </c>
      <c r="E3796" s="62" t="s">
        <v>382</v>
      </c>
      <c r="F3796" s="63" t="s">
        <v>414</v>
      </c>
      <c r="G3796" s="64" t="n">
        <v>824371.414560203</v>
      </c>
      <c r="H3796" s="62" t="s">
        <v>138</v>
      </c>
    </row>
    <row r="3797" customFormat="false" ht="15" hidden="false" customHeight="false" outlineLevel="0" collapsed="false">
      <c r="A3797" s="62" t="n">
        <v>1</v>
      </c>
      <c r="B3797" s="62" t="s">
        <v>384</v>
      </c>
      <c r="C3797" s="62" t="s">
        <v>60</v>
      </c>
      <c r="D3797" s="62" t="s">
        <v>67</v>
      </c>
      <c r="E3797" s="62" t="s">
        <v>382</v>
      </c>
      <c r="F3797" s="63" t="s">
        <v>414</v>
      </c>
      <c r="G3797" s="64" t="n">
        <v>496663.990222222</v>
      </c>
      <c r="H3797" s="62" t="s">
        <v>138</v>
      </c>
    </row>
    <row r="3798" customFormat="false" ht="15" hidden="false" customHeight="false" outlineLevel="0" collapsed="false">
      <c r="A3798" s="62" t="n">
        <v>1</v>
      </c>
      <c r="B3798" s="62" t="s">
        <v>385</v>
      </c>
      <c r="C3798" s="62" t="s">
        <v>60</v>
      </c>
      <c r="D3798" s="62" t="s">
        <v>67</v>
      </c>
      <c r="E3798" s="62" t="s">
        <v>382</v>
      </c>
      <c r="F3798" s="63" t="s">
        <v>414</v>
      </c>
      <c r="G3798" s="64" t="n">
        <v>486483.598970184</v>
      </c>
      <c r="H3798" s="62" t="s">
        <v>138</v>
      </c>
    </row>
    <row r="3799" customFormat="false" ht="15" hidden="false" customHeight="false" outlineLevel="0" collapsed="false">
      <c r="A3799" s="62" t="n">
        <v>1</v>
      </c>
      <c r="B3799" s="62" t="s">
        <v>386</v>
      </c>
      <c r="C3799" s="62" t="s">
        <v>60</v>
      </c>
      <c r="D3799" s="62" t="s">
        <v>67</v>
      </c>
      <c r="E3799" s="62" t="s">
        <v>382</v>
      </c>
      <c r="F3799" s="63" t="s">
        <v>414</v>
      </c>
      <c r="G3799" s="64" t="n">
        <v>742479.2375</v>
      </c>
      <c r="H3799" s="62" t="s">
        <v>138</v>
      </c>
    </row>
    <row r="3800" customFormat="false" ht="15" hidden="false" customHeight="false" outlineLevel="0" collapsed="false">
      <c r="A3800" s="62" t="n">
        <v>1</v>
      </c>
      <c r="B3800" s="62" t="s">
        <v>387</v>
      </c>
      <c r="C3800" s="62" t="s">
        <v>60</v>
      </c>
      <c r="D3800" s="62" t="s">
        <v>67</v>
      </c>
      <c r="E3800" s="62" t="s">
        <v>382</v>
      </c>
      <c r="F3800" s="63" t="s">
        <v>414</v>
      </c>
      <c r="G3800" s="64" t="n">
        <v>653656.972576042</v>
      </c>
      <c r="H3800" s="62" t="s">
        <v>138</v>
      </c>
    </row>
    <row r="3801" customFormat="false" ht="15" hidden="false" customHeight="false" outlineLevel="0" collapsed="false">
      <c r="A3801" s="62" t="n">
        <v>1</v>
      </c>
      <c r="B3801" s="62" t="s">
        <v>388</v>
      </c>
      <c r="C3801" s="62" t="s">
        <v>60</v>
      </c>
      <c r="D3801" s="62" t="s">
        <v>67</v>
      </c>
      <c r="E3801" s="62" t="s">
        <v>382</v>
      </c>
      <c r="F3801" s="63" t="s">
        <v>414</v>
      </c>
      <c r="G3801" s="64" t="n">
        <v>783727.56</v>
      </c>
      <c r="H3801" s="62" t="s">
        <v>138</v>
      </c>
    </row>
    <row r="3802" customFormat="false" ht="15" hidden="false" customHeight="false" outlineLevel="0" collapsed="false">
      <c r="A3802" s="62" t="n">
        <v>1</v>
      </c>
      <c r="B3802" s="62" t="s">
        <v>381</v>
      </c>
      <c r="C3802" s="62" t="s">
        <v>60</v>
      </c>
      <c r="D3802" s="62" t="s">
        <v>67</v>
      </c>
      <c r="E3802" s="62" t="s">
        <v>382</v>
      </c>
      <c r="F3802" s="63" t="s">
        <v>415</v>
      </c>
      <c r="G3802" s="64" t="n">
        <v>1090285.97939674</v>
      </c>
      <c r="H3802" s="62" t="s">
        <v>138</v>
      </c>
    </row>
    <row r="3803" customFormat="false" ht="15" hidden="false" customHeight="false" outlineLevel="0" collapsed="false">
      <c r="A3803" s="62" t="n">
        <v>1</v>
      </c>
      <c r="B3803" s="62" t="s">
        <v>383</v>
      </c>
      <c r="C3803" s="62" t="s">
        <v>60</v>
      </c>
      <c r="D3803" s="62" t="s">
        <v>67</v>
      </c>
      <c r="E3803" s="62" t="s">
        <v>382</v>
      </c>
      <c r="F3803" s="63" t="s">
        <v>415</v>
      </c>
      <c r="G3803" s="64" t="n">
        <v>6531568.8308231</v>
      </c>
      <c r="H3803" s="62" t="s">
        <v>138</v>
      </c>
    </row>
    <row r="3804" customFormat="false" ht="15" hidden="false" customHeight="false" outlineLevel="0" collapsed="false">
      <c r="A3804" s="62" t="n">
        <v>1</v>
      </c>
      <c r="B3804" s="62" t="s">
        <v>384</v>
      </c>
      <c r="C3804" s="62" t="s">
        <v>60</v>
      </c>
      <c r="D3804" s="62" t="s">
        <v>67</v>
      </c>
      <c r="E3804" s="62" t="s">
        <v>382</v>
      </c>
      <c r="F3804" s="63" t="s">
        <v>415</v>
      </c>
      <c r="G3804" s="64" t="n">
        <v>4287328.44515603</v>
      </c>
      <c r="H3804" s="62" t="s">
        <v>138</v>
      </c>
    </row>
    <row r="3805" customFormat="false" ht="15" hidden="false" customHeight="false" outlineLevel="0" collapsed="false">
      <c r="A3805" s="62" t="n">
        <v>1</v>
      </c>
      <c r="B3805" s="62" t="s">
        <v>385</v>
      </c>
      <c r="C3805" s="62" t="s">
        <v>60</v>
      </c>
      <c r="D3805" s="62" t="s">
        <v>67</v>
      </c>
      <c r="E3805" s="62" t="s">
        <v>382</v>
      </c>
      <c r="F3805" s="63" t="s">
        <v>415</v>
      </c>
      <c r="G3805" s="64" t="n">
        <v>5647546.48123295</v>
      </c>
      <c r="H3805" s="62" t="s">
        <v>138</v>
      </c>
    </row>
    <row r="3806" customFormat="false" ht="15" hidden="false" customHeight="false" outlineLevel="0" collapsed="false">
      <c r="A3806" s="62" t="n">
        <v>1</v>
      </c>
      <c r="B3806" s="62" t="s">
        <v>386</v>
      </c>
      <c r="C3806" s="62" t="s">
        <v>60</v>
      </c>
      <c r="D3806" s="62" t="s">
        <v>67</v>
      </c>
      <c r="E3806" s="62" t="s">
        <v>382</v>
      </c>
      <c r="F3806" s="63" t="s">
        <v>415</v>
      </c>
      <c r="G3806" s="64" t="n">
        <v>8485465.05750508</v>
      </c>
      <c r="H3806" s="62" t="s">
        <v>138</v>
      </c>
    </row>
    <row r="3807" customFormat="false" ht="15" hidden="false" customHeight="false" outlineLevel="0" collapsed="false">
      <c r="A3807" s="62" t="n">
        <v>1</v>
      </c>
      <c r="B3807" s="62" t="s">
        <v>387</v>
      </c>
      <c r="C3807" s="62" t="s">
        <v>60</v>
      </c>
      <c r="D3807" s="62" t="s">
        <v>67</v>
      </c>
      <c r="E3807" s="62" t="s">
        <v>382</v>
      </c>
      <c r="F3807" s="63" t="s">
        <v>415</v>
      </c>
      <c r="G3807" s="64" t="n">
        <v>1458692.1229635</v>
      </c>
      <c r="H3807" s="62" t="s">
        <v>138</v>
      </c>
    </row>
    <row r="3808" customFormat="false" ht="15" hidden="false" customHeight="false" outlineLevel="0" collapsed="false">
      <c r="A3808" s="62" t="n">
        <v>1</v>
      </c>
      <c r="B3808" s="62" t="s">
        <v>388</v>
      </c>
      <c r="C3808" s="62" t="s">
        <v>60</v>
      </c>
      <c r="D3808" s="62" t="s">
        <v>67</v>
      </c>
      <c r="E3808" s="62" t="s">
        <v>382</v>
      </c>
      <c r="F3808" s="63" t="s">
        <v>415</v>
      </c>
      <c r="G3808" s="64" t="n">
        <v>5655981.2544543</v>
      </c>
      <c r="H3808" s="62" t="s">
        <v>138</v>
      </c>
    </row>
    <row r="3809" customFormat="false" ht="15" hidden="false" customHeight="false" outlineLevel="0" collapsed="false">
      <c r="A3809" s="62" t="n">
        <v>1</v>
      </c>
      <c r="B3809" s="62" t="s">
        <v>381</v>
      </c>
      <c r="C3809" s="62" t="s">
        <v>60</v>
      </c>
      <c r="D3809" s="62" t="s">
        <v>67</v>
      </c>
      <c r="E3809" s="62" t="s">
        <v>382</v>
      </c>
      <c r="F3809" s="63" t="s">
        <v>416</v>
      </c>
      <c r="G3809" s="64" t="n">
        <v>16176660.2058819</v>
      </c>
      <c r="H3809" s="62" t="s">
        <v>138</v>
      </c>
    </row>
    <row r="3810" customFormat="false" ht="15" hidden="false" customHeight="false" outlineLevel="0" collapsed="false">
      <c r="A3810" s="62" t="n">
        <v>1</v>
      </c>
      <c r="B3810" s="62" t="s">
        <v>383</v>
      </c>
      <c r="C3810" s="62" t="s">
        <v>60</v>
      </c>
      <c r="D3810" s="62" t="s">
        <v>67</v>
      </c>
      <c r="E3810" s="62" t="s">
        <v>382</v>
      </c>
      <c r="F3810" s="63" t="s">
        <v>416</v>
      </c>
      <c r="G3810" s="64" t="n">
        <v>15514494.2853833</v>
      </c>
      <c r="H3810" s="62" t="s">
        <v>138</v>
      </c>
    </row>
    <row r="3811" customFormat="false" ht="15" hidden="false" customHeight="false" outlineLevel="0" collapsed="false">
      <c r="A3811" s="62" t="n">
        <v>1</v>
      </c>
      <c r="B3811" s="62" t="s">
        <v>384</v>
      </c>
      <c r="C3811" s="62" t="s">
        <v>60</v>
      </c>
      <c r="D3811" s="62" t="s">
        <v>67</v>
      </c>
      <c r="E3811" s="62" t="s">
        <v>382</v>
      </c>
      <c r="F3811" s="63" t="s">
        <v>416</v>
      </c>
      <c r="G3811" s="64" t="n">
        <v>12939046.4753783</v>
      </c>
      <c r="H3811" s="62" t="s">
        <v>138</v>
      </c>
    </row>
    <row r="3812" customFormat="false" ht="15" hidden="false" customHeight="false" outlineLevel="0" collapsed="false">
      <c r="A3812" s="62" t="n">
        <v>1</v>
      </c>
      <c r="B3812" s="62" t="s">
        <v>385</v>
      </c>
      <c r="C3812" s="62" t="s">
        <v>60</v>
      </c>
      <c r="D3812" s="62" t="s">
        <v>67</v>
      </c>
      <c r="E3812" s="62" t="s">
        <v>382</v>
      </c>
      <c r="F3812" s="63" t="s">
        <v>416</v>
      </c>
      <c r="G3812" s="64" t="n">
        <v>18674947.8443425</v>
      </c>
      <c r="H3812" s="62" t="s">
        <v>138</v>
      </c>
    </row>
    <row r="3813" customFormat="false" ht="15" hidden="false" customHeight="false" outlineLevel="0" collapsed="false">
      <c r="A3813" s="62" t="n">
        <v>1</v>
      </c>
      <c r="B3813" s="62" t="s">
        <v>386</v>
      </c>
      <c r="C3813" s="62" t="s">
        <v>60</v>
      </c>
      <c r="D3813" s="62" t="s">
        <v>67</v>
      </c>
      <c r="E3813" s="62" t="s">
        <v>382</v>
      </c>
      <c r="F3813" s="63" t="s">
        <v>416</v>
      </c>
      <c r="G3813" s="64" t="n">
        <v>17421498.3350051</v>
      </c>
      <c r="H3813" s="62" t="s">
        <v>138</v>
      </c>
    </row>
    <row r="3814" customFormat="false" ht="15" hidden="false" customHeight="false" outlineLevel="0" collapsed="false">
      <c r="A3814" s="62" t="n">
        <v>1</v>
      </c>
      <c r="B3814" s="62" t="s">
        <v>387</v>
      </c>
      <c r="C3814" s="62" t="s">
        <v>60</v>
      </c>
      <c r="D3814" s="62" t="s">
        <v>67</v>
      </c>
      <c r="E3814" s="62" t="s">
        <v>382</v>
      </c>
      <c r="F3814" s="63" t="s">
        <v>416</v>
      </c>
      <c r="G3814" s="64" t="n">
        <v>10267403.1355395</v>
      </c>
      <c r="H3814" s="62" t="s">
        <v>138</v>
      </c>
    </row>
    <row r="3815" customFormat="false" ht="15" hidden="false" customHeight="false" outlineLevel="0" collapsed="false">
      <c r="A3815" s="62" t="n">
        <v>1</v>
      </c>
      <c r="B3815" s="62" t="s">
        <v>388</v>
      </c>
      <c r="C3815" s="62" t="s">
        <v>60</v>
      </c>
      <c r="D3815" s="62" t="s">
        <v>67</v>
      </c>
      <c r="E3815" s="62" t="s">
        <v>382</v>
      </c>
      <c r="F3815" s="63" t="s">
        <v>416</v>
      </c>
      <c r="G3815" s="64" t="n">
        <v>14612262.8544543</v>
      </c>
      <c r="H3815" s="62" t="s">
        <v>138</v>
      </c>
    </row>
    <row r="3816" customFormat="false" ht="15" hidden="false" customHeight="false" outlineLevel="0" collapsed="false">
      <c r="A3816" s="62" t="n">
        <v>1</v>
      </c>
      <c r="B3816" s="62" t="s">
        <v>381</v>
      </c>
      <c r="C3816" s="62" t="s">
        <v>60</v>
      </c>
      <c r="D3816" s="62" t="s">
        <v>67</v>
      </c>
      <c r="E3816" s="62" t="s">
        <v>382</v>
      </c>
      <c r="F3816" s="63" t="s">
        <v>396</v>
      </c>
      <c r="G3816" s="64" t="n">
        <v>3250000</v>
      </c>
      <c r="H3816" s="62" t="s">
        <v>138</v>
      </c>
    </row>
    <row r="3817" customFormat="false" ht="15" hidden="false" customHeight="false" outlineLevel="0" collapsed="false">
      <c r="A3817" s="62" t="n">
        <v>1</v>
      </c>
      <c r="B3817" s="62" t="s">
        <v>383</v>
      </c>
      <c r="C3817" s="62" t="s">
        <v>60</v>
      </c>
      <c r="D3817" s="62" t="s">
        <v>67</v>
      </c>
      <c r="E3817" s="62" t="s">
        <v>382</v>
      </c>
      <c r="F3817" s="63" t="s">
        <v>396</v>
      </c>
      <c r="G3817" s="64" t="n">
        <v>3250000</v>
      </c>
      <c r="H3817" s="62" t="s">
        <v>138</v>
      </c>
    </row>
    <row r="3818" customFormat="false" ht="15" hidden="false" customHeight="false" outlineLevel="0" collapsed="false">
      <c r="A3818" s="62" t="n">
        <v>1</v>
      </c>
      <c r="B3818" s="62" t="s">
        <v>384</v>
      </c>
      <c r="C3818" s="62" t="s">
        <v>60</v>
      </c>
      <c r="D3818" s="62" t="s">
        <v>67</v>
      </c>
      <c r="E3818" s="62" t="s">
        <v>382</v>
      </c>
      <c r="F3818" s="63" t="s">
        <v>396</v>
      </c>
      <c r="G3818" s="64" t="n">
        <v>3250000</v>
      </c>
      <c r="H3818" s="62" t="s">
        <v>138</v>
      </c>
    </row>
    <row r="3819" customFormat="false" ht="15" hidden="false" customHeight="false" outlineLevel="0" collapsed="false">
      <c r="A3819" s="62" t="n">
        <v>1</v>
      </c>
      <c r="B3819" s="62" t="s">
        <v>385</v>
      </c>
      <c r="C3819" s="62" t="s">
        <v>60</v>
      </c>
      <c r="D3819" s="62" t="s">
        <v>67</v>
      </c>
      <c r="E3819" s="62" t="s">
        <v>382</v>
      </c>
      <c r="F3819" s="63" t="s">
        <v>396</v>
      </c>
      <c r="G3819" s="64" t="n">
        <v>3250000</v>
      </c>
      <c r="H3819" s="62" t="s">
        <v>138</v>
      </c>
    </row>
    <row r="3820" customFormat="false" ht="15" hidden="false" customHeight="false" outlineLevel="0" collapsed="false">
      <c r="A3820" s="62" t="n">
        <v>1</v>
      </c>
      <c r="B3820" s="62" t="s">
        <v>386</v>
      </c>
      <c r="C3820" s="62" t="s">
        <v>60</v>
      </c>
      <c r="D3820" s="62" t="s">
        <v>67</v>
      </c>
      <c r="E3820" s="62" t="s">
        <v>382</v>
      </c>
      <c r="F3820" s="63" t="s">
        <v>396</v>
      </c>
      <c r="G3820" s="64" t="n">
        <v>3250000</v>
      </c>
      <c r="H3820" s="62" t="s">
        <v>138</v>
      </c>
    </row>
    <row r="3821" customFormat="false" ht="15" hidden="false" customHeight="false" outlineLevel="0" collapsed="false">
      <c r="A3821" s="62" t="n">
        <v>1</v>
      </c>
      <c r="B3821" s="62" t="s">
        <v>387</v>
      </c>
      <c r="C3821" s="62" t="s">
        <v>60</v>
      </c>
      <c r="D3821" s="62" t="s">
        <v>67</v>
      </c>
      <c r="E3821" s="62" t="s">
        <v>382</v>
      </c>
      <c r="F3821" s="63" t="s">
        <v>396</v>
      </c>
      <c r="G3821" s="64" t="n">
        <v>3250000</v>
      </c>
      <c r="H3821" s="62" t="s">
        <v>138</v>
      </c>
    </row>
    <row r="3822" customFormat="false" ht="15" hidden="false" customHeight="false" outlineLevel="0" collapsed="false">
      <c r="A3822" s="62" t="n">
        <v>1</v>
      </c>
      <c r="B3822" s="62" t="s">
        <v>388</v>
      </c>
      <c r="C3822" s="62" t="s">
        <v>60</v>
      </c>
      <c r="D3822" s="62" t="s">
        <v>67</v>
      </c>
      <c r="E3822" s="62" t="s">
        <v>382</v>
      </c>
      <c r="F3822" s="63" t="s">
        <v>396</v>
      </c>
      <c r="G3822" s="64" t="n">
        <v>3250000</v>
      </c>
      <c r="H3822" s="62" t="s">
        <v>138</v>
      </c>
    </row>
    <row r="3823" customFormat="false" ht="15" hidden="false" customHeight="false" outlineLevel="0" collapsed="false">
      <c r="A3823" s="62" t="n">
        <v>1</v>
      </c>
      <c r="B3823" s="62" t="s">
        <v>381</v>
      </c>
      <c r="C3823" s="62" t="s">
        <v>60</v>
      </c>
      <c r="D3823" s="62" t="s">
        <v>67</v>
      </c>
      <c r="E3823" s="62" t="s">
        <v>382</v>
      </c>
      <c r="F3823" s="63" t="s">
        <v>397</v>
      </c>
      <c r="G3823" s="64" t="n">
        <v>0</v>
      </c>
      <c r="H3823" s="62" t="s">
        <v>138</v>
      </c>
    </row>
    <row r="3824" customFormat="false" ht="15" hidden="false" customHeight="false" outlineLevel="0" collapsed="false">
      <c r="A3824" s="62" t="n">
        <v>1</v>
      </c>
      <c r="B3824" s="62" t="s">
        <v>383</v>
      </c>
      <c r="C3824" s="62" t="s">
        <v>60</v>
      </c>
      <c r="D3824" s="62" t="s">
        <v>67</v>
      </c>
      <c r="E3824" s="62" t="s">
        <v>382</v>
      </c>
      <c r="F3824" s="63" t="s">
        <v>397</v>
      </c>
      <c r="G3824" s="64" t="n">
        <v>0</v>
      </c>
      <c r="H3824" s="62" t="s">
        <v>138</v>
      </c>
    </row>
    <row r="3825" customFormat="false" ht="15" hidden="false" customHeight="false" outlineLevel="0" collapsed="false">
      <c r="A3825" s="62" t="n">
        <v>1</v>
      </c>
      <c r="B3825" s="62" t="s">
        <v>384</v>
      </c>
      <c r="C3825" s="62" t="s">
        <v>60</v>
      </c>
      <c r="D3825" s="62" t="s">
        <v>67</v>
      </c>
      <c r="E3825" s="62" t="s">
        <v>382</v>
      </c>
      <c r="F3825" s="63" t="s">
        <v>397</v>
      </c>
      <c r="G3825" s="64" t="n">
        <v>0</v>
      </c>
      <c r="H3825" s="62" t="s">
        <v>138</v>
      </c>
    </row>
    <row r="3826" customFormat="false" ht="15" hidden="false" customHeight="false" outlineLevel="0" collapsed="false">
      <c r="A3826" s="62" t="n">
        <v>1</v>
      </c>
      <c r="B3826" s="62" t="s">
        <v>385</v>
      </c>
      <c r="C3826" s="62" t="s">
        <v>60</v>
      </c>
      <c r="D3826" s="62" t="s">
        <v>67</v>
      </c>
      <c r="E3826" s="62" t="s">
        <v>382</v>
      </c>
      <c r="F3826" s="63" t="s">
        <v>397</v>
      </c>
      <c r="G3826" s="64" t="n">
        <v>0</v>
      </c>
      <c r="H3826" s="62" t="s">
        <v>138</v>
      </c>
    </row>
    <row r="3827" customFormat="false" ht="15" hidden="false" customHeight="false" outlineLevel="0" collapsed="false">
      <c r="A3827" s="62" t="n">
        <v>1</v>
      </c>
      <c r="B3827" s="62" t="s">
        <v>386</v>
      </c>
      <c r="C3827" s="62" t="s">
        <v>60</v>
      </c>
      <c r="D3827" s="62" t="s">
        <v>67</v>
      </c>
      <c r="E3827" s="62" t="s">
        <v>382</v>
      </c>
      <c r="F3827" s="63" t="s">
        <v>397</v>
      </c>
      <c r="G3827" s="64" t="n">
        <v>0</v>
      </c>
      <c r="H3827" s="62" t="s">
        <v>138</v>
      </c>
    </row>
    <row r="3828" customFormat="false" ht="15" hidden="false" customHeight="false" outlineLevel="0" collapsed="false">
      <c r="A3828" s="62" t="n">
        <v>1</v>
      </c>
      <c r="B3828" s="62" t="s">
        <v>387</v>
      </c>
      <c r="C3828" s="62" t="s">
        <v>60</v>
      </c>
      <c r="D3828" s="62" t="s">
        <v>67</v>
      </c>
      <c r="E3828" s="62" t="s">
        <v>382</v>
      </c>
      <c r="F3828" s="63" t="s">
        <v>397</v>
      </c>
      <c r="G3828" s="64" t="n">
        <v>0</v>
      </c>
      <c r="H3828" s="62" t="s">
        <v>138</v>
      </c>
    </row>
    <row r="3829" customFormat="false" ht="15" hidden="false" customHeight="false" outlineLevel="0" collapsed="false">
      <c r="A3829" s="62" t="n">
        <v>1</v>
      </c>
      <c r="B3829" s="62" t="s">
        <v>388</v>
      </c>
      <c r="C3829" s="62" t="s">
        <v>60</v>
      </c>
      <c r="D3829" s="62" t="s">
        <v>67</v>
      </c>
      <c r="E3829" s="62" t="s">
        <v>382</v>
      </c>
      <c r="F3829" s="63" t="s">
        <v>397</v>
      </c>
      <c r="G3829" s="64" t="n">
        <v>0</v>
      </c>
      <c r="H3829" s="62" t="s">
        <v>138</v>
      </c>
    </row>
    <row r="3830" customFormat="false" ht="15" hidden="false" customHeight="false" outlineLevel="0" collapsed="false">
      <c r="A3830" s="62" t="n">
        <v>1</v>
      </c>
      <c r="B3830" s="62" t="s">
        <v>381</v>
      </c>
      <c r="C3830" s="62" t="s">
        <v>60</v>
      </c>
      <c r="D3830" s="62" t="s">
        <v>67</v>
      </c>
      <c r="E3830" s="62" t="s">
        <v>382</v>
      </c>
      <c r="F3830" s="63" t="s">
        <v>417</v>
      </c>
      <c r="G3830" s="64" t="n">
        <v>1171409.72084677</v>
      </c>
      <c r="H3830" s="62" t="s">
        <v>138</v>
      </c>
    </row>
    <row r="3831" customFormat="false" ht="15" hidden="false" customHeight="false" outlineLevel="0" collapsed="false">
      <c r="A3831" s="62" t="n">
        <v>1</v>
      </c>
      <c r="B3831" s="62" t="s">
        <v>383</v>
      </c>
      <c r="C3831" s="62" t="s">
        <v>60</v>
      </c>
      <c r="D3831" s="62" t="s">
        <v>67</v>
      </c>
      <c r="E3831" s="62" t="s">
        <v>382</v>
      </c>
      <c r="F3831" s="63" t="s">
        <v>417</v>
      </c>
      <c r="G3831" s="64" t="n">
        <v>1949894.95299213</v>
      </c>
      <c r="H3831" s="62" t="s">
        <v>138</v>
      </c>
    </row>
    <row r="3832" customFormat="false" ht="15" hidden="false" customHeight="false" outlineLevel="0" collapsed="false">
      <c r="A3832" s="62" t="n">
        <v>1</v>
      </c>
      <c r="B3832" s="62" t="s">
        <v>384</v>
      </c>
      <c r="C3832" s="62" t="s">
        <v>60</v>
      </c>
      <c r="D3832" s="62" t="s">
        <v>67</v>
      </c>
      <c r="E3832" s="62" t="s">
        <v>382</v>
      </c>
      <c r="F3832" s="63" t="s">
        <v>417</v>
      </c>
      <c r="G3832" s="64" t="n">
        <v>1527273.95460889</v>
      </c>
      <c r="H3832" s="62" t="s">
        <v>138</v>
      </c>
    </row>
    <row r="3833" customFormat="false" ht="15" hidden="false" customHeight="false" outlineLevel="0" collapsed="false">
      <c r="A3833" s="62" t="n">
        <v>1</v>
      </c>
      <c r="B3833" s="62" t="s">
        <v>385</v>
      </c>
      <c r="C3833" s="62" t="s">
        <v>60</v>
      </c>
      <c r="D3833" s="62" t="s">
        <v>67</v>
      </c>
      <c r="E3833" s="62" t="s">
        <v>382</v>
      </c>
      <c r="F3833" s="63" t="s">
        <v>417</v>
      </c>
      <c r="G3833" s="64" t="n">
        <v>3213477.94706875</v>
      </c>
      <c r="H3833" s="62" t="s">
        <v>138</v>
      </c>
    </row>
    <row r="3834" customFormat="false" ht="15" hidden="false" customHeight="false" outlineLevel="0" collapsed="false">
      <c r="A3834" s="62" t="n">
        <v>1</v>
      </c>
      <c r="B3834" s="62" t="s">
        <v>386</v>
      </c>
      <c r="C3834" s="62" t="s">
        <v>60</v>
      </c>
      <c r="D3834" s="62" t="s">
        <v>67</v>
      </c>
      <c r="E3834" s="62" t="s">
        <v>382</v>
      </c>
      <c r="F3834" s="63" t="s">
        <v>417</v>
      </c>
      <c r="G3834" s="64" t="n">
        <v>2570449.96525821</v>
      </c>
      <c r="H3834" s="62" t="s">
        <v>138</v>
      </c>
    </row>
    <row r="3835" customFormat="false" ht="15" hidden="false" customHeight="false" outlineLevel="0" collapsed="false">
      <c r="A3835" s="62" t="n">
        <v>1</v>
      </c>
      <c r="B3835" s="62" t="s">
        <v>387</v>
      </c>
      <c r="C3835" s="62" t="s">
        <v>60</v>
      </c>
      <c r="D3835" s="62" t="s">
        <v>67</v>
      </c>
      <c r="E3835" s="62" t="s">
        <v>382</v>
      </c>
      <c r="F3835" s="63" t="s">
        <v>417</v>
      </c>
      <c r="G3835" s="64" t="n">
        <v>4994235.24484604</v>
      </c>
      <c r="H3835" s="62" t="s">
        <v>138</v>
      </c>
    </row>
    <row r="3836" customFormat="false" ht="15" hidden="false" customHeight="false" outlineLevel="0" collapsed="false">
      <c r="A3836" s="62" t="n">
        <v>1</v>
      </c>
      <c r="B3836" s="62" t="s">
        <v>388</v>
      </c>
      <c r="C3836" s="62" t="s">
        <v>60</v>
      </c>
      <c r="D3836" s="62" t="s">
        <v>67</v>
      </c>
      <c r="E3836" s="62" t="s">
        <v>382</v>
      </c>
      <c r="F3836" s="63" t="s">
        <v>417</v>
      </c>
      <c r="G3836" s="64" t="n">
        <v>191288.213988856</v>
      </c>
      <c r="H3836" s="62" t="s">
        <v>138</v>
      </c>
    </row>
    <row r="3837" customFormat="false" ht="15" hidden="false" customHeight="false" outlineLevel="0" collapsed="false">
      <c r="A3837" s="62" t="n">
        <v>1</v>
      </c>
      <c r="B3837" s="62" t="s">
        <v>381</v>
      </c>
      <c r="C3837" s="62" t="s">
        <v>60</v>
      </c>
      <c r="D3837" s="62" t="s">
        <v>67</v>
      </c>
      <c r="E3837" s="62" t="s">
        <v>382</v>
      </c>
      <c r="F3837" s="63" t="s">
        <v>398</v>
      </c>
      <c r="G3837" s="64" t="n">
        <v>1254022.26933646</v>
      </c>
      <c r="H3837" s="62" t="s">
        <v>138</v>
      </c>
    </row>
    <row r="3838" customFormat="false" ht="15" hidden="false" customHeight="false" outlineLevel="0" collapsed="false">
      <c r="A3838" s="62" t="n">
        <v>1</v>
      </c>
      <c r="B3838" s="62" t="s">
        <v>383</v>
      </c>
      <c r="C3838" s="62" t="s">
        <v>60</v>
      </c>
      <c r="D3838" s="62" t="s">
        <v>67</v>
      </c>
      <c r="E3838" s="62" t="s">
        <v>382</v>
      </c>
      <c r="F3838" s="63" t="s">
        <v>398</v>
      </c>
      <c r="G3838" s="64" t="n">
        <v>1840779.46333809</v>
      </c>
      <c r="H3838" s="62" t="s">
        <v>138</v>
      </c>
    </row>
    <row r="3839" customFormat="false" ht="15" hidden="false" customHeight="false" outlineLevel="0" collapsed="false">
      <c r="A3839" s="62" t="n">
        <v>1</v>
      </c>
      <c r="B3839" s="62" t="s">
        <v>384</v>
      </c>
      <c r="C3839" s="62" t="s">
        <v>60</v>
      </c>
      <c r="D3839" s="62" t="s">
        <v>67</v>
      </c>
      <c r="E3839" s="62" t="s">
        <v>382</v>
      </c>
      <c r="F3839" s="63" t="s">
        <v>398</v>
      </c>
      <c r="G3839" s="64" t="n">
        <v>1425546.32928091</v>
      </c>
      <c r="H3839" s="62" t="s">
        <v>138</v>
      </c>
    </row>
    <row r="3840" customFormat="false" ht="15" hidden="false" customHeight="false" outlineLevel="0" collapsed="false">
      <c r="A3840" s="62" t="n">
        <v>1</v>
      </c>
      <c r="B3840" s="62" t="s">
        <v>385</v>
      </c>
      <c r="C3840" s="62" t="s">
        <v>60</v>
      </c>
      <c r="D3840" s="62" t="s">
        <v>67</v>
      </c>
      <c r="E3840" s="62" t="s">
        <v>382</v>
      </c>
      <c r="F3840" s="63" t="s">
        <v>398</v>
      </c>
      <c r="G3840" s="64" t="n">
        <v>2117468.481542</v>
      </c>
      <c r="H3840" s="62" t="s">
        <v>138</v>
      </c>
    </row>
    <row r="3841" customFormat="false" ht="15" hidden="false" customHeight="false" outlineLevel="0" collapsed="false">
      <c r="A3841" s="62" t="n">
        <v>1</v>
      </c>
      <c r="B3841" s="62" t="s">
        <v>386</v>
      </c>
      <c r="C3841" s="62" t="s">
        <v>60</v>
      </c>
      <c r="D3841" s="62" t="s">
        <v>67</v>
      </c>
      <c r="E3841" s="62" t="s">
        <v>382</v>
      </c>
      <c r="F3841" s="63" t="s">
        <v>398</v>
      </c>
      <c r="G3841" s="64" t="n">
        <v>1784.18076160077</v>
      </c>
      <c r="H3841" s="62" t="s">
        <v>138</v>
      </c>
    </row>
    <row r="3842" customFormat="false" ht="15" hidden="false" customHeight="false" outlineLevel="0" collapsed="false">
      <c r="A3842" s="62" t="n">
        <v>1</v>
      </c>
      <c r="B3842" s="62" t="s">
        <v>387</v>
      </c>
      <c r="C3842" s="62" t="s">
        <v>60</v>
      </c>
      <c r="D3842" s="62" t="s">
        <v>67</v>
      </c>
      <c r="E3842" s="62" t="s">
        <v>382</v>
      </c>
      <c r="F3842" s="63" t="s">
        <v>398</v>
      </c>
      <c r="G3842" s="64" t="n">
        <v>1702434.70378852</v>
      </c>
      <c r="H3842" s="62" t="s">
        <v>138</v>
      </c>
    </row>
    <row r="3843" customFormat="false" ht="15" hidden="false" customHeight="false" outlineLevel="0" collapsed="false">
      <c r="A3843" s="62" t="n">
        <v>1</v>
      </c>
      <c r="B3843" s="62" t="s">
        <v>388</v>
      </c>
      <c r="C3843" s="62" t="s">
        <v>60</v>
      </c>
      <c r="D3843" s="62" t="s">
        <v>67</v>
      </c>
      <c r="E3843" s="62" t="s">
        <v>382</v>
      </c>
      <c r="F3843" s="63" t="s">
        <v>398</v>
      </c>
      <c r="G3843" s="64" t="n">
        <v>1962557.11297582</v>
      </c>
      <c r="H3843" s="62" t="s">
        <v>138</v>
      </c>
    </row>
    <row r="3844" customFormat="false" ht="15" hidden="false" customHeight="false" outlineLevel="0" collapsed="false">
      <c r="A3844" s="62" t="n">
        <v>1</v>
      </c>
      <c r="B3844" s="62" t="s">
        <v>381</v>
      </c>
      <c r="C3844" s="62" t="s">
        <v>60</v>
      </c>
      <c r="D3844" s="62" t="s">
        <v>67</v>
      </c>
      <c r="E3844" s="62" t="s">
        <v>382</v>
      </c>
      <c r="F3844" s="63" t="s">
        <v>418</v>
      </c>
      <c r="G3844" s="64" t="n">
        <v>5675431.99018323</v>
      </c>
      <c r="H3844" s="62" t="s">
        <v>138</v>
      </c>
    </row>
    <row r="3845" customFormat="false" ht="15" hidden="false" customHeight="false" outlineLevel="0" collapsed="false">
      <c r="A3845" s="62" t="n">
        <v>1</v>
      </c>
      <c r="B3845" s="62" t="s">
        <v>383</v>
      </c>
      <c r="C3845" s="62" t="s">
        <v>60</v>
      </c>
      <c r="D3845" s="62" t="s">
        <v>67</v>
      </c>
      <c r="E3845" s="62" t="s">
        <v>382</v>
      </c>
      <c r="F3845" s="63" t="s">
        <v>418</v>
      </c>
      <c r="G3845" s="64" t="n">
        <v>7040674.41633023</v>
      </c>
      <c r="H3845" s="62" t="s">
        <v>138</v>
      </c>
    </row>
    <row r="3846" customFormat="false" ht="15" hidden="false" customHeight="false" outlineLevel="0" collapsed="false">
      <c r="A3846" s="62" t="n">
        <v>1</v>
      </c>
      <c r="B3846" s="62" t="s">
        <v>384</v>
      </c>
      <c r="C3846" s="62" t="s">
        <v>60</v>
      </c>
      <c r="D3846" s="62" t="s">
        <v>67</v>
      </c>
      <c r="E3846" s="62" t="s">
        <v>382</v>
      </c>
      <c r="F3846" s="63" t="s">
        <v>418</v>
      </c>
      <c r="G3846" s="64" t="n">
        <v>6202820.2838898</v>
      </c>
      <c r="H3846" s="62" t="s">
        <v>138</v>
      </c>
    </row>
    <row r="3847" customFormat="false" ht="15" hidden="false" customHeight="false" outlineLevel="0" collapsed="false">
      <c r="A3847" s="62" t="n">
        <v>1</v>
      </c>
      <c r="B3847" s="62" t="s">
        <v>385</v>
      </c>
      <c r="C3847" s="62" t="s">
        <v>60</v>
      </c>
      <c r="D3847" s="62" t="s">
        <v>67</v>
      </c>
      <c r="E3847" s="62" t="s">
        <v>382</v>
      </c>
      <c r="F3847" s="63" t="s">
        <v>418</v>
      </c>
      <c r="G3847" s="64" t="n">
        <v>8580946.42861076</v>
      </c>
      <c r="H3847" s="62" t="s">
        <v>138</v>
      </c>
    </row>
    <row r="3848" customFormat="false" ht="15" hidden="false" customHeight="false" outlineLevel="0" collapsed="false">
      <c r="A3848" s="62" t="n">
        <v>1</v>
      </c>
      <c r="B3848" s="62" t="s">
        <v>386</v>
      </c>
      <c r="C3848" s="62" t="s">
        <v>60</v>
      </c>
      <c r="D3848" s="62" t="s">
        <v>67</v>
      </c>
      <c r="E3848" s="62" t="s">
        <v>382</v>
      </c>
      <c r="F3848" s="63" t="s">
        <v>418</v>
      </c>
      <c r="G3848" s="64" t="n">
        <v>5822234.14601981</v>
      </c>
      <c r="H3848" s="62" t="s">
        <v>138</v>
      </c>
    </row>
    <row r="3849" customFormat="false" ht="15" hidden="false" customHeight="false" outlineLevel="0" collapsed="false">
      <c r="A3849" s="62" t="n">
        <v>1</v>
      </c>
      <c r="B3849" s="62" t="s">
        <v>387</v>
      </c>
      <c r="C3849" s="62" t="s">
        <v>60</v>
      </c>
      <c r="D3849" s="62" t="s">
        <v>67</v>
      </c>
      <c r="E3849" s="62" t="s">
        <v>382</v>
      </c>
      <c r="F3849" s="63" t="s">
        <v>418</v>
      </c>
      <c r="G3849" s="64" t="n">
        <v>9946669.94863456</v>
      </c>
      <c r="H3849" s="62" t="s">
        <v>138</v>
      </c>
    </row>
    <row r="3850" customFormat="false" ht="15" hidden="false" customHeight="false" outlineLevel="0" collapsed="false">
      <c r="A3850" s="62" t="n">
        <v>1</v>
      </c>
      <c r="B3850" s="62" t="s">
        <v>388</v>
      </c>
      <c r="C3850" s="62" t="s">
        <v>60</v>
      </c>
      <c r="D3850" s="62" t="s">
        <v>67</v>
      </c>
      <c r="E3850" s="62" t="s">
        <v>382</v>
      </c>
      <c r="F3850" s="63" t="s">
        <v>418</v>
      </c>
      <c r="G3850" s="64" t="n">
        <v>5403845.32696468</v>
      </c>
      <c r="H3850" s="62" t="s">
        <v>138</v>
      </c>
    </row>
    <row r="3851" customFormat="false" ht="15" hidden="false" customHeight="false" outlineLevel="0" collapsed="false">
      <c r="A3851" s="62" t="n">
        <v>1</v>
      </c>
      <c r="B3851" s="62" t="s">
        <v>381</v>
      </c>
      <c r="C3851" s="62" t="s">
        <v>60</v>
      </c>
      <c r="D3851" s="62" t="s">
        <v>67</v>
      </c>
      <c r="E3851" s="62" t="s">
        <v>382</v>
      </c>
      <c r="F3851" s="63" t="s">
        <v>419</v>
      </c>
      <c r="G3851" s="64" t="n">
        <v>11900000</v>
      </c>
      <c r="H3851" s="62" t="s">
        <v>138</v>
      </c>
    </row>
    <row r="3852" customFormat="false" ht="15" hidden="false" customHeight="false" outlineLevel="0" collapsed="false">
      <c r="A3852" s="62" t="n">
        <v>1</v>
      </c>
      <c r="B3852" s="62" t="s">
        <v>383</v>
      </c>
      <c r="C3852" s="62" t="s">
        <v>60</v>
      </c>
      <c r="D3852" s="62" t="s">
        <v>67</v>
      </c>
      <c r="E3852" s="62" t="s">
        <v>382</v>
      </c>
      <c r="F3852" s="63" t="s">
        <v>419</v>
      </c>
      <c r="G3852" s="64" t="n">
        <v>11900000</v>
      </c>
      <c r="H3852" s="62" t="s">
        <v>138</v>
      </c>
    </row>
    <row r="3853" customFormat="false" ht="15" hidden="false" customHeight="false" outlineLevel="0" collapsed="false">
      <c r="A3853" s="62" t="n">
        <v>1</v>
      </c>
      <c r="B3853" s="62" t="s">
        <v>384</v>
      </c>
      <c r="C3853" s="62" t="s">
        <v>60</v>
      </c>
      <c r="D3853" s="62" t="s">
        <v>67</v>
      </c>
      <c r="E3853" s="62" t="s">
        <v>382</v>
      </c>
      <c r="F3853" s="63" t="s">
        <v>419</v>
      </c>
      <c r="G3853" s="64" t="n">
        <v>9413652</v>
      </c>
      <c r="H3853" s="62" t="s">
        <v>138</v>
      </c>
    </row>
    <row r="3854" customFormat="false" ht="15" hidden="false" customHeight="false" outlineLevel="0" collapsed="false">
      <c r="A3854" s="62" t="n">
        <v>1</v>
      </c>
      <c r="B3854" s="62" t="s">
        <v>385</v>
      </c>
      <c r="C3854" s="62" t="s">
        <v>60</v>
      </c>
      <c r="D3854" s="62" t="s">
        <v>67</v>
      </c>
      <c r="E3854" s="62" t="s">
        <v>382</v>
      </c>
      <c r="F3854" s="63" t="s">
        <v>419</v>
      </c>
      <c r="G3854" s="64" t="n">
        <v>9900000</v>
      </c>
      <c r="H3854" s="62" t="s">
        <v>138</v>
      </c>
    </row>
    <row r="3855" customFormat="false" ht="15" hidden="false" customHeight="false" outlineLevel="0" collapsed="false">
      <c r="A3855" s="62" t="n">
        <v>1</v>
      </c>
      <c r="B3855" s="62" t="s">
        <v>386</v>
      </c>
      <c r="C3855" s="62" t="s">
        <v>60</v>
      </c>
      <c r="D3855" s="62" t="s">
        <v>67</v>
      </c>
      <c r="E3855" s="62" t="s">
        <v>382</v>
      </c>
      <c r="F3855" s="63" t="s">
        <v>419</v>
      </c>
      <c r="G3855" s="64" t="n">
        <v>10400000</v>
      </c>
      <c r="H3855" s="62" t="s">
        <v>138</v>
      </c>
    </row>
    <row r="3856" customFormat="false" ht="15" hidden="false" customHeight="false" outlineLevel="0" collapsed="false">
      <c r="A3856" s="62" t="n">
        <v>1</v>
      </c>
      <c r="B3856" s="62" t="s">
        <v>387</v>
      </c>
      <c r="C3856" s="62" t="s">
        <v>60</v>
      </c>
      <c r="D3856" s="62" t="s">
        <v>67</v>
      </c>
      <c r="E3856" s="62" t="s">
        <v>382</v>
      </c>
      <c r="F3856" s="63" t="s">
        <v>419</v>
      </c>
      <c r="G3856" s="64" t="n">
        <v>11900000</v>
      </c>
      <c r="H3856" s="62" t="s">
        <v>138</v>
      </c>
    </row>
    <row r="3857" customFormat="false" ht="15" hidden="false" customHeight="false" outlineLevel="0" collapsed="false">
      <c r="A3857" s="62" t="n">
        <v>1</v>
      </c>
      <c r="B3857" s="62" t="s">
        <v>388</v>
      </c>
      <c r="C3857" s="62" t="s">
        <v>60</v>
      </c>
      <c r="D3857" s="62" t="s">
        <v>67</v>
      </c>
      <c r="E3857" s="62" t="s">
        <v>382</v>
      </c>
      <c r="F3857" s="63" t="s">
        <v>419</v>
      </c>
      <c r="G3857" s="64" t="n">
        <v>9900000</v>
      </c>
      <c r="H3857" s="62" t="s">
        <v>138</v>
      </c>
    </row>
    <row r="3858" customFormat="false" ht="15" hidden="false" customHeight="false" outlineLevel="0" collapsed="false">
      <c r="A3858" s="62" t="n">
        <v>1</v>
      </c>
      <c r="B3858" s="62" t="s">
        <v>381</v>
      </c>
      <c r="C3858" s="62" t="s">
        <v>60</v>
      </c>
      <c r="D3858" s="62" t="s">
        <v>67</v>
      </c>
      <c r="E3858" s="62" t="s">
        <v>382</v>
      </c>
      <c r="F3858" s="63" t="s">
        <v>420</v>
      </c>
      <c r="G3858" s="64" t="n">
        <v>0</v>
      </c>
      <c r="H3858" s="62" t="s">
        <v>138</v>
      </c>
    </row>
    <row r="3859" customFormat="false" ht="15" hidden="false" customHeight="false" outlineLevel="0" collapsed="false">
      <c r="A3859" s="62" t="n">
        <v>1</v>
      </c>
      <c r="B3859" s="62" t="s">
        <v>383</v>
      </c>
      <c r="C3859" s="62" t="s">
        <v>60</v>
      </c>
      <c r="D3859" s="62" t="s">
        <v>67</v>
      </c>
      <c r="E3859" s="62" t="s">
        <v>382</v>
      </c>
      <c r="F3859" s="63" t="s">
        <v>420</v>
      </c>
      <c r="G3859" s="64" t="n">
        <v>0</v>
      </c>
      <c r="H3859" s="62" t="s">
        <v>138</v>
      </c>
    </row>
    <row r="3860" customFormat="false" ht="15" hidden="false" customHeight="false" outlineLevel="0" collapsed="false">
      <c r="A3860" s="62" t="n">
        <v>1</v>
      </c>
      <c r="B3860" s="62" t="s">
        <v>384</v>
      </c>
      <c r="C3860" s="62" t="s">
        <v>60</v>
      </c>
      <c r="D3860" s="62" t="s">
        <v>67</v>
      </c>
      <c r="E3860" s="62" t="s">
        <v>382</v>
      </c>
      <c r="F3860" s="63" t="s">
        <v>420</v>
      </c>
      <c r="G3860" s="64" t="n">
        <v>0</v>
      </c>
      <c r="H3860" s="62" t="s">
        <v>138</v>
      </c>
    </row>
    <row r="3861" customFormat="false" ht="15" hidden="false" customHeight="false" outlineLevel="0" collapsed="false">
      <c r="A3861" s="62" t="n">
        <v>1</v>
      </c>
      <c r="B3861" s="62" t="s">
        <v>385</v>
      </c>
      <c r="C3861" s="62" t="s">
        <v>60</v>
      </c>
      <c r="D3861" s="62" t="s">
        <v>67</v>
      </c>
      <c r="E3861" s="62" t="s">
        <v>382</v>
      </c>
      <c r="F3861" s="63" t="s">
        <v>420</v>
      </c>
      <c r="G3861" s="64" t="n">
        <v>0</v>
      </c>
      <c r="H3861" s="62" t="s">
        <v>138</v>
      </c>
    </row>
    <row r="3862" customFormat="false" ht="15" hidden="false" customHeight="false" outlineLevel="0" collapsed="false">
      <c r="A3862" s="62" t="n">
        <v>1</v>
      </c>
      <c r="B3862" s="62" t="s">
        <v>386</v>
      </c>
      <c r="C3862" s="62" t="s">
        <v>60</v>
      </c>
      <c r="D3862" s="62" t="s">
        <v>67</v>
      </c>
      <c r="E3862" s="62" t="s">
        <v>382</v>
      </c>
      <c r="F3862" s="63" t="s">
        <v>420</v>
      </c>
      <c r="G3862" s="64" t="n">
        <v>0</v>
      </c>
      <c r="H3862" s="62" t="s">
        <v>138</v>
      </c>
    </row>
    <row r="3863" customFormat="false" ht="15" hidden="false" customHeight="false" outlineLevel="0" collapsed="false">
      <c r="A3863" s="62" t="n">
        <v>1</v>
      </c>
      <c r="B3863" s="62" t="s">
        <v>387</v>
      </c>
      <c r="C3863" s="62" t="s">
        <v>60</v>
      </c>
      <c r="D3863" s="62" t="s">
        <v>67</v>
      </c>
      <c r="E3863" s="62" t="s">
        <v>382</v>
      </c>
      <c r="F3863" s="63" t="s">
        <v>420</v>
      </c>
      <c r="G3863" s="64" t="n">
        <v>0</v>
      </c>
      <c r="H3863" s="62" t="s">
        <v>138</v>
      </c>
    </row>
    <row r="3864" customFormat="false" ht="15" hidden="false" customHeight="false" outlineLevel="0" collapsed="false">
      <c r="A3864" s="62" t="n">
        <v>1</v>
      </c>
      <c r="B3864" s="62" t="s">
        <v>388</v>
      </c>
      <c r="C3864" s="62" t="s">
        <v>60</v>
      </c>
      <c r="D3864" s="62" t="s">
        <v>67</v>
      </c>
      <c r="E3864" s="62" t="s">
        <v>382</v>
      </c>
      <c r="F3864" s="63" t="s">
        <v>420</v>
      </c>
      <c r="G3864" s="64" t="n">
        <v>0</v>
      </c>
      <c r="H3864" s="62" t="s">
        <v>138</v>
      </c>
    </row>
    <row r="3865" customFormat="false" ht="15" hidden="false" customHeight="false" outlineLevel="0" collapsed="false">
      <c r="A3865" s="62" t="n">
        <v>1</v>
      </c>
      <c r="B3865" s="62" t="s">
        <v>381</v>
      </c>
      <c r="C3865" s="62" t="s">
        <v>60</v>
      </c>
      <c r="D3865" s="62" t="s">
        <v>67</v>
      </c>
      <c r="E3865" s="62" t="s">
        <v>382</v>
      </c>
      <c r="F3865" s="63" t="s">
        <v>421</v>
      </c>
      <c r="G3865" s="64" t="n">
        <v>-2300000</v>
      </c>
      <c r="H3865" s="62" t="s">
        <v>138</v>
      </c>
    </row>
    <row r="3866" customFormat="false" ht="15" hidden="false" customHeight="false" outlineLevel="0" collapsed="false">
      <c r="A3866" s="62" t="n">
        <v>1</v>
      </c>
      <c r="B3866" s="62" t="s">
        <v>383</v>
      </c>
      <c r="C3866" s="62" t="s">
        <v>60</v>
      </c>
      <c r="D3866" s="62" t="s">
        <v>67</v>
      </c>
      <c r="E3866" s="62" t="s">
        <v>382</v>
      </c>
      <c r="F3866" s="63" t="s">
        <v>421</v>
      </c>
      <c r="G3866" s="64" t="n">
        <v>-4200000</v>
      </c>
      <c r="H3866" s="62" t="s">
        <v>138</v>
      </c>
    </row>
    <row r="3867" customFormat="false" ht="15" hidden="false" customHeight="false" outlineLevel="0" collapsed="false">
      <c r="A3867" s="62" t="n">
        <v>1</v>
      </c>
      <c r="B3867" s="62" t="s">
        <v>384</v>
      </c>
      <c r="C3867" s="62" t="s">
        <v>60</v>
      </c>
      <c r="D3867" s="62" t="s">
        <v>67</v>
      </c>
      <c r="E3867" s="62" t="s">
        <v>382</v>
      </c>
      <c r="F3867" s="63" t="s">
        <v>421</v>
      </c>
      <c r="G3867" s="64" t="n">
        <v>-3200000</v>
      </c>
      <c r="H3867" s="62" t="s">
        <v>138</v>
      </c>
    </row>
    <row r="3868" customFormat="false" ht="15" hidden="false" customHeight="false" outlineLevel="0" collapsed="false">
      <c r="A3868" s="62" t="n">
        <v>1</v>
      </c>
      <c r="B3868" s="62" t="s">
        <v>385</v>
      </c>
      <c r="C3868" s="62" t="s">
        <v>60</v>
      </c>
      <c r="D3868" s="62" t="s">
        <v>67</v>
      </c>
      <c r="E3868" s="62" t="s">
        <v>382</v>
      </c>
      <c r="F3868" s="63" t="s">
        <v>421</v>
      </c>
      <c r="G3868" s="64" t="n">
        <v>-300000</v>
      </c>
      <c r="H3868" s="62" t="s">
        <v>138</v>
      </c>
    </row>
    <row r="3869" customFormat="false" ht="15" hidden="false" customHeight="false" outlineLevel="0" collapsed="false">
      <c r="A3869" s="62" t="n">
        <v>1</v>
      </c>
      <c r="B3869" s="62" t="s">
        <v>386</v>
      </c>
      <c r="C3869" s="62" t="s">
        <v>60</v>
      </c>
      <c r="D3869" s="62" t="s">
        <v>67</v>
      </c>
      <c r="E3869" s="62" t="s">
        <v>382</v>
      </c>
      <c r="F3869" s="63" t="s">
        <v>421</v>
      </c>
      <c r="G3869" s="64" t="n">
        <v>700000</v>
      </c>
      <c r="H3869" s="62" t="s">
        <v>138</v>
      </c>
    </row>
    <row r="3870" customFormat="false" ht="15" hidden="false" customHeight="false" outlineLevel="0" collapsed="false">
      <c r="A3870" s="62" t="n">
        <v>1</v>
      </c>
      <c r="B3870" s="62" t="s">
        <v>387</v>
      </c>
      <c r="C3870" s="62" t="s">
        <v>60</v>
      </c>
      <c r="D3870" s="62" t="s">
        <v>67</v>
      </c>
      <c r="E3870" s="62" t="s">
        <v>382</v>
      </c>
      <c r="F3870" s="63" t="s">
        <v>421</v>
      </c>
      <c r="G3870" s="64" t="n">
        <v>-12300000</v>
      </c>
      <c r="H3870" s="62" t="s">
        <v>138</v>
      </c>
    </row>
    <row r="3871" customFormat="false" ht="15" hidden="false" customHeight="false" outlineLevel="0" collapsed="false">
      <c r="A3871" s="62" t="n">
        <v>1</v>
      </c>
      <c r="B3871" s="62" t="s">
        <v>388</v>
      </c>
      <c r="C3871" s="62" t="s">
        <v>60</v>
      </c>
      <c r="D3871" s="62" t="s">
        <v>67</v>
      </c>
      <c r="E3871" s="62" t="s">
        <v>382</v>
      </c>
      <c r="F3871" s="63" t="s">
        <v>421</v>
      </c>
      <c r="G3871" s="64" t="n">
        <v>-1300000</v>
      </c>
      <c r="H3871" s="62" t="s">
        <v>138</v>
      </c>
    </row>
    <row r="3872" customFormat="false" ht="15" hidden="false" customHeight="false" outlineLevel="0" collapsed="false">
      <c r="A3872" s="62" t="n">
        <v>1</v>
      </c>
      <c r="B3872" s="62" t="s">
        <v>381</v>
      </c>
      <c r="C3872" s="62" t="s">
        <v>60</v>
      </c>
      <c r="D3872" s="62" t="s">
        <v>67</v>
      </c>
      <c r="E3872" s="62" t="s">
        <v>382</v>
      </c>
      <c r="F3872" s="63" t="s">
        <v>422</v>
      </c>
      <c r="G3872" s="64" t="n">
        <v>901228.215698617</v>
      </c>
      <c r="H3872" s="62" t="s">
        <v>138</v>
      </c>
    </row>
    <row r="3873" customFormat="false" ht="15" hidden="false" customHeight="false" outlineLevel="0" collapsed="false">
      <c r="A3873" s="62" t="n">
        <v>1</v>
      </c>
      <c r="B3873" s="62" t="s">
        <v>383</v>
      </c>
      <c r="C3873" s="62" t="s">
        <v>60</v>
      </c>
      <c r="D3873" s="62" t="s">
        <v>67</v>
      </c>
      <c r="E3873" s="62" t="s">
        <v>382</v>
      </c>
      <c r="F3873" s="63" t="s">
        <v>422</v>
      </c>
      <c r="G3873" s="64" t="n">
        <v>773819.869053072</v>
      </c>
      <c r="H3873" s="62" t="s">
        <v>138</v>
      </c>
    </row>
    <row r="3874" customFormat="false" ht="15" hidden="false" customHeight="false" outlineLevel="0" collapsed="false">
      <c r="A3874" s="62" t="n">
        <v>1</v>
      </c>
      <c r="B3874" s="62" t="s">
        <v>384</v>
      </c>
      <c r="C3874" s="62" t="s">
        <v>60</v>
      </c>
      <c r="D3874" s="62" t="s">
        <v>67</v>
      </c>
      <c r="E3874" s="62" t="s">
        <v>382</v>
      </c>
      <c r="F3874" s="63" t="s">
        <v>422</v>
      </c>
      <c r="G3874" s="64" t="n">
        <v>522574.191488456</v>
      </c>
      <c r="H3874" s="62" t="s">
        <v>138</v>
      </c>
    </row>
    <row r="3875" customFormat="false" ht="15" hidden="false" customHeight="false" outlineLevel="0" collapsed="false">
      <c r="A3875" s="62" t="n">
        <v>1</v>
      </c>
      <c r="B3875" s="62" t="s">
        <v>385</v>
      </c>
      <c r="C3875" s="62" t="s">
        <v>60</v>
      </c>
      <c r="D3875" s="62" t="s">
        <v>67</v>
      </c>
      <c r="E3875" s="62" t="s">
        <v>382</v>
      </c>
      <c r="F3875" s="63" t="s">
        <v>422</v>
      </c>
      <c r="G3875" s="64" t="n">
        <v>494001.415731784</v>
      </c>
      <c r="H3875" s="62" t="s">
        <v>138</v>
      </c>
    </row>
    <row r="3876" customFormat="false" ht="15" hidden="false" customHeight="false" outlineLevel="0" collapsed="false">
      <c r="A3876" s="62" t="n">
        <v>1</v>
      </c>
      <c r="B3876" s="62" t="s">
        <v>386</v>
      </c>
      <c r="C3876" s="62" t="s">
        <v>60</v>
      </c>
      <c r="D3876" s="62" t="s">
        <v>67</v>
      </c>
      <c r="E3876" s="62" t="s">
        <v>382</v>
      </c>
      <c r="F3876" s="63" t="s">
        <v>422</v>
      </c>
      <c r="G3876" s="64" t="n">
        <v>499264.188985275</v>
      </c>
      <c r="H3876" s="62" t="s">
        <v>138</v>
      </c>
    </row>
    <row r="3877" customFormat="false" ht="15" hidden="false" customHeight="false" outlineLevel="0" collapsed="false">
      <c r="A3877" s="62" t="n">
        <v>1</v>
      </c>
      <c r="B3877" s="62" t="s">
        <v>387</v>
      </c>
      <c r="C3877" s="62" t="s">
        <v>60</v>
      </c>
      <c r="D3877" s="62" t="s">
        <v>67</v>
      </c>
      <c r="E3877" s="62" t="s">
        <v>382</v>
      </c>
      <c r="F3877" s="63" t="s">
        <v>422</v>
      </c>
      <c r="G3877" s="64" t="n">
        <v>720733.186904984</v>
      </c>
      <c r="H3877" s="62" t="s">
        <v>138</v>
      </c>
    </row>
    <row r="3878" customFormat="false" ht="15" hidden="false" customHeight="false" outlineLevel="0" collapsed="false">
      <c r="A3878" s="62" t="n">
        <v>1</v>
      </c>
      <c r="B3878" s="62" t="s">
        <v>388</v>
      </c>
      <c r="C3878" s="62" t="s">
        <v>60</v>
      </c>
      <c r="D3878" s="62" t="s">
        <v>67</v>
      </c>
      <c r="E3878" s="62" t="s">
        <v>382</v>
      </c>
      <c r="F3878" s="63" t="s">
        <v>422</v>
      </c>
      <c r="G3878" s="64" t="n">
        <v>608417.527489621</v>
      </c>
      <c r="H3878" s="62" t="s">
        <v>138</v>
      </c>
    </row>
    <row r="3879" customFormat="false" ht="15" hidden="false" customHeight="false" outlineLevel="0" collapsed="false">
      <c r="A3879" s="62" t="n">
        <v>1</v>
      </c>
      <c r="B3879" s="62" t="s">
        <v>381</v>
      </c>
      <c r="C3879" s="62" t="s">
        <v>60</v>
      </c>
      <c r="D3879" s="62" t="s">
        <v>67</v>
      </c>
      <c r="E3879" s="62" t="s">
        <v>382</v>
      </c>
      <c r="F3879" s="63" t="s">
        <v>423</v>
      </c>
      <c r="G3879" s="64" t="n">
        <v>10501228.2156986</v>
      </c>
      <c r="H3879" s="62" t="s">
        <v>138</v>
      </c>
    </row>
    <row r="3880" customFormat="false" ht="15" hidden="false" customHeight="false" outlineLevel="0" collapsed="false">
      <c r="A3880" s="62" t="n">
        <v>1</v>
      </c>
      <c r="B3880" s="62" t="s">
        <v>383</v>
      </c>
      <c r="C3880" s="62" t="s">
        <v>60</v>
      </c>
      <c r="D3880" s="62" t="s">
        <v>67</v>
      </c>
      <c r="E3880" s="62" t="s">
        <v>382</v>
      </c>
      <c r="F3880" s="63" t="s">
        <v>423</v>
      </c>
      <c r="G3880" s="64" t="n">
        <v>8473819.86905307</v>
      </c>
      <c r="H3880" s="62" t="s">
        <v>138</v>
      </c>
    </row>
    <row r="3881" customFormat="false" ht="15" hidden="false" customHeight="false" outlineLevel="0" collapsed="false">
      <c r="A3881" s="62" t="n">
        <v>1</v>
      </c>
      <c r="B3881" s="62" t="s">
        <v>384</v>
      </c>
      <c r="C3881" s="62" t="s">
        <v>60</v>
      </c>
      <c r="D3881" s="62" t="s">
        <v>67</v>
      </c>
      <c r="E3881" s="62" t="s">
        <v>382</v>
      </c>
      <c r="F3881" s="63" t="s">
        <v>423</v>
      </c>
      <c r="G3881" s="64" t="n">
        <v>6736226.19148846</v>
      </c>
      <c r="H3881" s="62" t="s">
        <v>138</v>
      </c>
    </row>
    <row r="3882" customFormat="false" ht="15" hidden="false" customHeight="false" outlineLevel="0" collapsed="false">
      <c r="A3882" s="62" t="n">
        <v>1</v>
      </c>
      <c r="B3882" s="62" t="s">
        <v>385</v>
      </c>
      <c r="C3882" s="62" t="s">
        <v>60</v>
      </c>
      <c r="D3882" s="62" t="s">
        <v>67</v>
      </c>
      <c r="E3882" s="62" t="s">
        <v>382</v>
      </c>
      <c r="F3882" s="63" t="s">
        <v>423</v>
      </c>
      <c r="G3882" s="64" t="n">
        <v>10094001.4157318</v>
      </c>
      <c r="H3882" s="62" t="s">
        <v>138</v>
      </c>
    </row>
    <row r="3883" customFormat="false" ht="15" hidden="false" customHeight="false" outlineLevel="0" collapsed="false">
      <c r="A3883" s="62" t="n">
        <v>1</v>
      </c>
      <c r="B3883" s="62" t="s">
        <v>386</v>
      </c>
      <c r="C3883" s="62" t="s">
        <v>60</v>
      </c>
      <c r="D3883" s="62" t="s">
        <v>67</v>
      </c>
      <c r="E3883" s="62" t="s">
        <v>382</v>
      </c>
      <c r="F3883" s="63" t="s">
        <v>423</v>
      </c>
      <c r="G3883" s="64" t="n">
        <v>11599264.1889853</v>
      </c>
      <c r="H3883" s="62" t="s">
        <v>138</v>
      </c>
    </row>
    <row r="3884" customFormat="false" ht="15" hidden="false" customHeight="false" outlineLevel="0" collapsed="false">
      <c r="A3884" s="62" t="n">
        <v>1</v>
      </c>
      <c r="B3884" s="62" t="s">
        <v>387</v>
      </c>
      <c r="C3884" s="62" t="s">
        <v>60</v>
      </c>
      <c r="D3884" s="62" t="s">
        <v>67</v>
      </c>
      <c r="E3884" s="62" t="s">
        <v>382</v>
      </c>
      <c r="F3884" s="63" t="s">
        <v>423</v>
      </c>
      <c r="G3884" s="64" t="n">
        <v>320733.186904984</v>
      </c>
      <c r="H3884" s="62" t="s">
        <v>138</v>
      </c>
    </row>
    <row r="3885" customFormat="false" ht="15" hidden="false" customHeight="false" outlineLevel="0" collapsed="false">
      <c r="A3885" s="62" t="n">
        <v>1</v>
      </c>
      <c r="B3885" s="62" t="s">
        <v>388</v>
      </c>
      <c r="C3885" s="62" t="s">
        <v>60</v>
      </c>
      <c r="D3885" s="62" t="s">
        <v>67</v>
      </c>
      <c r="E3885" s="62" t="s">
        <v>382</v>
      </c>
      <c r="F3885" s="63" t="s">
        <v>423</v>
      </c>
      <c r="G3885" s="64" t="n">
        <v>9208417.52748962</v>
      </c>
      <c r="H3885" s="62" t="s">
        <v>138</v>
      </c>
    </row>
    <row r="3886" customFormat="false" ht="15" hidden="false" customHeight="false" outlineLevel="0" collapsed="false">
      <c r="A3886" s="62" t="n">
        <v>1</v>
      </c>
      <c r="B3886" s="62" t="s">
        <v>381</v>
      </c>
      <c r="C3886" s="62" t="s">
        <v>60</v>
      </c>
      <c r="D3886" s="62" t="s">
        <v>67</v>
      </c>
      <c r="E3886" s="62" t="s">
        <v>382</v>
      </c>
      <c r="F3886" s="63" t="s">
        <v>399</v>
      </c>
      <c r="G3886" s="64" t="n">
        <v>16176660.2058819</v>
      </c>
      <c r="H3886" s="62" t="s">
        <v>138</v>
      </c>
    </row>
    <row r="3887" customFormat="false" ht="15" hidden="false" customHeight="false" outlineLevel="0" collapsed="false">
      <c r="A3887" s="62" t="n">
        <v>1</v>
      </c>
      <c r="B3887" s="62" t="s">
        <v>383</v>
      </c>
      <c r="C3887" s="62" t="s">
        <v>60</v>
      </c>
      <c r="D3887" s="62" t="s">
        <v>67</v>
      </c>
      <c r="E3887" s="62" t="s">
        <v>382</v>
      </c>
      <c r="F3887" s="63" t="s">
        <v>399</v>
      </c>
      <c r="G3887" s="64" t="n">
        <v>15514494.2853833</v>
      </c>
      <c r="H3887" s="62" t="s">
        <v>138</v>
      </c>
    </row>
    <row r="3888" customFormat="false" ht="15" hidden="false" customHeight="false" outlineLevel="0" collapsed="false">
      <c r="A3888" s="62" t="n">
        <v>1</v>
      </c>
      <c r="B3888" s="62" t="s">
        <v>384</v>
      </c>
      <c r="C3888" s="62" t="s">
        <v>60</v>
      </c>
      <c r="D3888" s="62" t="s">
        <v>67</v>
      </c>
      <c r="E3888" s="62" t="s">
        <v>382</v>
      </c>
      <c r="F3888" s="63" t="s">
        <v>399</v>
      </c>
      <c r="G3888" s="64" t="n">
        <v>12939046.4753783</v>
      </c>
      <c r="H3888" s="62" t="s">
        <v>138</v>
      </c>
    </row>
    <row r="3889" customFormat="false" ht="15" hidden="false" customHeight="false" outlineLevel="0" collapsed="false">
      <c r="A3889" s="62" t="n">
        <v>1</v>
      </c>
      <c r="B3889" s="62" t="s">
        <v>385</v>
      </c>
      <c r="C3889" s="62" t="s">
        <v>60</v>
      </c>
      <c r="D3889" s="62" t="s">
        <v>67</v>
      </c>
      <c r="E3889" s="62" t="s">
        <v>382</v>
      </c>
      <c r="F3889" s="63" t="s">
        <v>399</v>
      </c>
      <c r="G3889" s="64" t="n">
        <v>18674947.8443425</v>
      </c>
      <c r="H3889" s="62" t="s">
        <v>138</v>
      </c>
    </row>
    <row r="3890" customFormat="false" ht="15" hidden="false" customHeight="false" outlineLevel="0" collapsed="false">
      <c r="A3890" s="62" t="n">
        <v>1</v>
      </c>
      <c r="B3890" s="62" t="s">
        <v>386</v>
      </c>
      <c r="C3890" s="62" t="s">
        <v>60</v>
      </c>
      <c r="D3890" s="62" t="s">
        <v>67</v>
      </c>
      <c r="E3890" s="62" t="s">
        <v>382</v>
      </c>
      <c r="F3890" s="63" t="s">
        <v>399</v>
      </c>
      <c r="G3890" s="64" t="n">
        <v>17421498.3350051</v>
      </c>
      <c r="H3890" s="62" t="s">
        <v>138</v>
      </c>
    </row>
    <row r="3891" customFormat="false" ht="15" hidden="false" customHeight="false" outlineLevel="0" collapsed="false">
      <c r="A3891" s="62" t="n">
        <v>1</v>
      </c>
      <c r="B3891" s="62" t="s">
        <v>387</v>
      </c>
      <c r="C3891" s="62" t="s">
        <v>60</v>
      </c>
      <c r="D3891" s="62" t="s">
        <v>67</v>
      </c>
      <c r="E3891" s="62" t="s">
        <v>382</v>
      </c>
      <c r="F3891" s="63" t="s">
        <v>399</v>
      </c>
      <c r="G3891" s="64" t="n">
        <v>10267403.1355395</v>
      </c>
      <c r="H3891" s="62" t="s">
        <v>138</v>
      </c>
    </row>
    <row r="3892" customFormat="false" ht="15" hidden="false" customHeight="false" outlineLevel="0" collapsed="false">
      <c r="A3892" s="62" t="n">
        <v>1</v>
      </c>
      <c r="B3892" s="62" t="s">
        <v>388</v>
      </c>
      <c r="C3892" s="62" t="s">
        <v>60</v>
      </c>
      <c r="D3892" s="62" t="s">
        <v>67</v>
      </c>
      <c r="E3892" s="62" t="s">
        <v>382</v>
      </c>
      <c r="F3892" s="63" t="s">
        <v>399</v>
      </c>
      <c r="G3892" s="64" t="n">
        <v>14612262.8544543</v>
      </c>
      <c r="H3892" s="62" t="s">
        <v>138</v>
      </c>
    </row>
    <row r="3893" customFormat="false" ht="15" hidden="false" customHeight="false" outlineLevel="0" collapsed="false">
      <c r="A3893" s="62" t="n">
        <v>1</v>
      </c>
      <c r="B3893" s="62" t="s">
        <v>381</v>
      </c>
      <c r="C3893" s="62" t="s">
        <v>60</v>
      </c>
      <c r="D3893" s="62" t="s">
        <v>67</v>
      </c>
      <c r="E3893" s="62" t="s">
        <v>382</v>
      </c>
      <c r="F3893" s="63" t="s">
        <v>424</v>
      </c>
      <c r="G3893" s="64" t="n">
        <v>2859953.00944407</v>
      </c>
      <c r="H3893" s="62" t="s">
        <v>138</v>
      </c>
    </row>
    <row r="3894" customFormat="false" ht="15" hidden="false" customHeight="false" outlineLevel="0" collapsed="false">
      <c r="A3894" s="62" t="n">
        <v>1</v>
      </c>
      <c r="B3894" s="62" t="s">
        <v>383</v>
      </c>
      <c r="C3894" s="62" t="s">
        <v>60</v>
      </c>
      <c r="D3894" s="62" t="s">
        <v>67</v>
      </c>
      <c r="E3894" s="62" t="s">
        <v>382</v>
      </c>
      <c r="F3894" s="63" t="s">
        <v>424</v>
      </c>
      <c r="G3894" s="64" t="n">
        <v>3689930.9872926</v>
      </c>
      <c r="H3894" s="62" t="s">
        <v>138</v>
      </c>
    </row>
    <row r="3895" customFormat="false" ht="15" hidden="false" customHeight="false" outlineLevel="0" collapsed="false">
      <c r="A3895" s="62" t="n">
        <v>1</v>
      </c>
      <c r="B3895" s="62" t="s">
        <v>384</v>
      </c>
      <c r="C3895" s="62" t="s">
        <v>60</v>
      </c>
      <c r="D3895" s="62" t="s">
        <v>67</v>
      </c>
      <c r="E3895" s="62" t="s">
        <v>382</v>
      </c>
      <c r="F3895" s="63" t="s">
        <v>424</v>
      </c>
      <c r="G3895" s="64" t="n">
        <v>3127628.57019841</v>
      </c>
      <c r="H3895" s="62" t="s">
        <v>138</v>
      </c>
    </row>
    <row r="3896" customFormat="false" ht="15" hidden="false" customHeight="false" outlineLevel="0" collapsed="false">
      <c r="A3896" s="62" t="n">
        <v>1</v>
      </c>
      <c r="B3896" s="62" t="s">
        <v>385</v>
      </c>
      <c r="C3896" s="62" t="s">
        <v>60</v>
      </c>
      <c r="D3896" s="62" t="s">
        <v>67</v>
      </c>
      <c r="E3896" s="62" t="s">
        <v>382</v>
      </c>
      <c r="F3896" s="63" t="s">
        <v>424</v>
      </c>
      <c r="G3896" s="64" t="n">
        <v>5280708.68757026</v>
      </c>
      <c r="H3896" s="62" t="s">
        <v>138</v>
      </c>
    </row>
    <row r="3897" customFormat="false" ht="15" hidden="false" customHeight="false" outlineLevel="0" collapsed="false">
      <c r="A3897" s="62" t="n">
        <v>1</v>
      </c>
      <c r="B3897" s="62" t="s">
        <v>386</v>
      </c>
      <c r="C3897" s="62" t="s">
        <v>60</v>
      </c>
      <c r="D3897" s="62" t="s">
        <v>67</v>
      </c>
      <c r="E3897" s="62" t="s">
        <v>382</v>
      </c>
      <c r="F3897" s="63" t="s">
        <v>424</v>
      </c>
      <c r="G3897" s="64" t="n">
        <v>4449247.99293136</v>
      </c>
      <c r="H3897" s="62" t="s">
        <v>138</v>
      </c>
    </row>
    <row r="3898" customFormat="false" ht="15" hidden="false" customHeight="false" outlineLevel="0" collapsed="false">
      <c r="A3898" s="62" t="n">
        <v>1</v>
      </c>
      <c r="B3898" s="62" t="s">
        <v>387</v>
      </c>
      <c r="C3898" s="62" t="s">
        <v>60</v>
      </c>
      <c r="D3898" s="62" t="s">
        <v>67</v>
      </c>
      <c r="E3898" s="62" t="s">
        <v>382</v>
      </c>
      <c r="F3898" s="63" t="s">
        <v>424</v>
      </c>
      <c r="G3898" s="64" t="n">
        <v>7711371.73706837</v>
      </c>
      <c r="H3898" s="62" t="s">
        <v>138</v>
      </c>
    </row>
    <row r="3899" customFormat="false" ht="15" hidden="false" customHeight="false" outlineLevel="0" collapsed="false">
      <c r="A3899" s="62" t="n">
        <v>1</v>
      </c>
      <c r="B3899" s="62" t="s">
        <v>388</v>
      </c>
      <c r="C3899" s="62" t="s">
        <v>60</v>
      </c>
      <c r="D3899" s="62" t="s">
        <v>67</v>
      </c>
      <c r="E3899" s="62" t="s">
        <v>382</v>
      </c>
      <c r="F3899" s="63" t="s">
        <v>424</v>
      </c>
      <c r="G3899" s="64" t="n">
        <v>1891630.0101345</v>
      </c>
      <c r="H3899" s="62" t="s">
        <v>138</v>
      </c>
    </row>
    <row r="3900" customFormat="false" ht="15" hidden="false" customHeight="false" outlineLevel="0" collapsed="false">
      <c r="A3900" s="62" t="n">
        <v>1</v>
      </c>
      <c r="B3900" s="62" t="s">
        <v>381</v>
      </c>
      <c r="C3900" s="62" t="s">
        <v>60</v>
      </c>
      <c r="D3900" s="62" t="s">
        <v>67</v>
      </c>
      <c r="E3900" s="62" t="s">
        <v>382</v>
      </c>
      <c r="F3900" s="63" t="s">
        <v>425</v>
      </c>
      <c r="G3900" s="64" t="n">
        <v>-240146.851882137</v>
      </c>
      <c r="H3900" s="62" t="s">
        <v>138</v>
      </c>
    </row>
    <row r="3901" customFormat="false" ht="15" hidden="false" customHeight="false" outlineLevel="0" collapsed="false">
      <c r="A3901" s="62" t="n">
        <v>1</v>
      </c>
      <c r="B3901" s="62" t="s">
        <v>383</v>
      </c>
      <c r="C3901" s="62" t="s">
        <v>60</v>
      </c>
      <c r="D3901" s="62" t="s">
        <v>67</v>
      </c>
      <c r="E3901" s="62" t="s">
        <v>382</v>
      </c>
      <c r="F3901" s="63" t="s">
        <v>425</v>
      </c>
      <c r="G3901" s="64" t="n">
        <v>-307990.164560203</v>
      </c>
      <c r="H3901" s="62" t="s">
        <v>138</v>
      </c>
    </row>
    <row r="3902" customFormat="false" ht="15" hidden="false" customHeight="false" outlineLevel="0" collapsed="false">
      <c r="A3902" s="62" t="n">
        <v>1</v>
      </c>
      <c r="B3902" s="62" t="s">
        <v>384</v>
      </c>
      <c r="C3902" s="62" t="s">
        <v>60</v>
      </c>
      <c r="D3902" s="62" t="s">
        <v>67</v>
      </c>
      <c r="E3902" s="62" t="s">
        <v>382</v>
      </c>
      <c r="F3902" s="63" t="s">
        <v>425</v>
      </c>
      <c r="G3902" s="64" t="n">
        <v>19717.2597777779</v>
      </c>
      <c r="H3902" s="62" t="s">
        <v>138</v>
      </c>
    </row>
    <row r="3903" customFormat="false" ht="15" hidden="false" customHeight="false" outlineLevel="0" collapsed="false">
      <c r="A3903" s="62" t="n">
        <v>1</v>
      </c>
      <c r="B3903" s="62" t="s">
        <v>385</v>
      </c>
      <c r="C3903" s="62" t="s">
        <v>60</v>
      </c>
      <c r="D3903" s="62" t="s">
        <v>67</v>
      </c>
      <c r="E3903" s="62" t="s">
        <v>382</v>
      </c>
      <c r="F3903" s="63" t="s">
        <v>425</v>
      </c>
      <c r="G3903" s="64" t="n">
        <v>29897.6510298158</v>
      </c>
      <c r="H3903" s="62" t="s">
        <v>138</v>
      </c>
    </row>
    <row r="3904" customFormat="false" ht="15" hidden="false" customHeight="false" outlineLevel="0" collapsed="false">
      <c r="A3904" s="62" t="n">
        <v>1</v>
      </c>
      <c r="B3904" s="62" t="s">
        <v>386</v>
      </c>
      <c r="C3904" s="62" t="s">
        <v>60</v>
      </c>
      <c r="D3904" s="62" t="s">
        <v>67</v>
      </c>
      <c r="E3904" s="62" t="s">
        <v>382</v>
      </c>
      <c r="F3904" s="63" t="s">
        <v>425</v>
      </c>
      <c r="G3904" s="64" t="n">
        <v>-226097.9875</v>
      </c>
      <c r="H3904" s="62" t="s">
        <v>138</v>
      </c>
    </row>
    <row r="3905" customFormat="false" ht="15" hidden="false" customHeight="false" outlineLevel="0" collapsed="false">
      <c r="A3905" s="62" t="n">
        <v>1</v>
      </c>
      <c r="B3905" s="62" t="s">
        <v>387</v>
      </c>
      <c r="C3905" s="62" t="s">
        <v>60</v>
      </c>
      <c r="D3905" s="62" t="s">
        <v>67</v>
      </c>
      <c r="E3905" s="62" t="s">
        <v>382</v>
      </c>
      <c r="F3905" s="63" t="s">
        <v>425</v>
      </c>
      <c r="G3905" s="64" t="n">
        <v>-137275.722576042</v>
      </c>
      <c r="H3905" s="62" t="s">
        <v>138</v>
      </c>
    </row>
    <row r="3906" customFormat="false" ht="15" hidden="false" customHeight="false" outlineLevel="0" collapsed="false">
      <c r="A3906" s="62" t="n">
        <v>1</v>
      </c>
      <c r="B3906" s="62" t="s">
        <v>388</v>
      </c>
      <c r="C3906" s="62" t="s">
        <v>60</v>
      </c>
      <c r="D3906" s="62" t="s">
        <v>67</v>
      </c>
      <c r="E3906" s="62" t="s">
        <v>382</v>
      </c>
      <c r="F3906" s="63" t="s">
        <v>425</v>
      </c>
      <c r="G3906" s="64" t="n">
        <v>-267346.31</v>
      </c>
      <c r="H3906" s="62" t="s">
        <v>138</v>
      </c>
    </row>
    <row r="3907" customFormat="false" ht="15" hidden="false" customHeight="false" outlineLevel="0" collapsed="false">
      <c r="A3907" s="62" t="n">
        <v>1</v>
      </c>
      <c r="B3907" s="62" t="s">
        <v>381</v>
      </c>
      <c r="C3907" s="62" t="s">
        <v>60</v>
      </c>
      <c r="D3907" s="62" t="s">
        <v>67</v>
      </c>
      <c r="E3907" s="62" t="s">
        <v>382</v>
      </c>
      <c r="F3907" s="63" t="s">
        <v>426</v>
      </c>
      <c r="G3907" s="64" t="n">
        <v>-6174792.08460297</v>
      </c>
      <c r="H3907" s="62" t="s">
        <v>138</v>
      </c>
    </row>
    <row r="3908" customFormat="false" ht="15" hidden="false" customHeight="false" outlineLevel="0" collapsed="false">
      <c r="A3908" s="62" t="n">
        <v>1</v>
      </c>
      <c r="B3908" s="62" t="s">
        <v>383</v>
      </c>
      <c r="C3908" s="62" t="s">
        <v>60</v>
      </c>
      <c r="D3908" s="62" t="s">
        <v>67</v>
      </c>
      <c r="E3908" s="62" t="s">
        <v>382</v>
      </c>
      <c r="F3908" s="63" t="s">
        <v>426</v>
      </c>
      <c r="G3908" s="64" t="n">
        <v>0</v>
      </c>
      <c r="H3908" s="62" t="s">
        <v>138</v>
      </c>
    </row>
    <row r="3909" customFormat="false" ht="15" hidden="false" customHeight="false" outlineLevel="0" collapsed="false">
      <c r="A3909" s="62" t="n">
        <v>1</v>
      </c>
      <c r="B3909" s="62" t="s">
        <v>384</v>
      </c>
      <c r="C3909" s="62" t="s">
        <v>60</v>
      </c>
      <c r="D3909" s="62" t="s">
        <v>67</v>
      </c>
      <c r="E3909" s="62" t="s">
        <v>382</v>
      </c>
      <c r="F3909" s="63" t="s">
        <v>426</v>
      </c>
      <c r="G3909" s="64" t="n">
        <v>0</v>
      </c>
      <c r="H3909" s="62" t="s">
        <v>138</v>
      </c>
    </row>
    <row r="3910" customFormat="false" ht="15" hidden="false" customHeight="false" outlineLevel="0" collapsed="false">
      <c r="A3910" s="62" t="n">
        <v>1</v>
      </c>
      <c r="B3910" s="62" t="s">
        <v>385</v>
      </c>
      <c r="C3910" s="62" t="s">
        <v>60</v>
      </c>
      <c r="D3910" s="62" t="s">
        <v>67</v>
      </c>
      <c r="E3910" s="62" t="s">
        <v>382</v>
      </c>
      <c r="F3910" s="63" t="s">
        <v>426</v>
      </c>
      <c r="G3910" s="64" t="n">
        <v>-4382363.72413941</v>
      </c>
      <c r="H3910" s="62" t="s">
        <v>138</v>
      </c>
    </row>
    <row r="3911" customFormat="false" ht="15" hidden="false" customHeight="false" outlineLevel="0" collapsed="false">
      <c r="A3911" s="62" t="n">
        <v>1</v>
      </c>
      <c r="B3911" s="62" t="s">
        <v>386</v>
      </c>
      <c r="C3911" s="62" t="s">
        <v>60</v>
      </c>
      <c r="D3911" s="62" t="s">
        <v>67</v>
      </c>
      <c r="E3911" s="62" t="s">
        <v>382</v>
      </c>
      <c r="F3911" s="63" t="s">
        <v>426</v>
      </c>
      <c r="G3911" s="64" t="n">
        <v>0</v>
      </c>
      <c r="H3911" s="62" t="s">
        <v>138</v>
      </c>
    </row>
    <row r="3912" customFormat="false" ht="15" hidden="false" customHeight="false" outlineLevel="0" collapsed="false">
      <c r="A3912" s="62" t="n">
        <v>1</v>
      </c>
      <c r="B3912" s="62" t="s">
        <v>387</v>
      </c>
      <c r="C3912" s="62" t="s">
        <v>60</v>
      </c>
      <c r="D3912" s="62" t="s">
        <v>67</v>
      </c>
      <c r="E3912" s="62" t="s">
        <v>382</v>
      </c>
      <c r="F3912" s="63" t="s">
        <v>426</v>
      </c>
      <c r="G3912" s="64" t="n">
        <v>0</v>
      </c>
      <c r="H3912" s="62" t="s">
        <v>138</v>
      </c>
    </row>
    <row r="3913" customFormat="false" ht="15" hidden="false" customHeight="false" outlineLevel="0" collapsed="false">
      <c r="A3913" s="62" t="n">
        <v>1</v>
      </c>
      <c r="B3913" s="62" t="s">
        <v>388</v>
      </c>
      <c r="C3913" s="62" t="s">
        <v>60</v>
      </c>
      <c r="D3913" s="62" t="s">
        <v>67</v>
      </c>
      <c r="E3913" s="62" t="s">
        <v>382</v>
      </c>
      <c r="F3913" s="63" t="s">
        <v>426</v>
      </c>
      <c r="G3913" s="64" t="n">
        <v>0</v>
      </c>
      <c r="H3913" s="62" t="s">
        <v>138</v>
      </c>
    </row>
    <row r="3914" customFormat="false" ht="15" hidden="false" customHeight="false" outlineLevel="0" collapsed="false">
      <c r="A3914" s="62" t="n">
        <v>1</v>
      </c>
      <c r="B3914" s="62" t="s">
        <v>381</v>
      </c>
      <c r="C3914" s="62" t="s">
        <v>60</v>
      </c>
      <c r="D3914" s="62" t="s">
        <v>67</v>
      </c>
      <c r="E3914" s="62" t="s">
        <v>382</v>
      </c>
      <c r="F3914" s="63" t="s">
        <v>427</v>
      </c>
      <c r="G3914" s="64" t="n">
        <v>170961.32055924</v>
      </c>
      <c r="H3914" s="62" t="s">
        <v>138</v>
      </c>
    </row>
    <row r="3915" customFormat="false" ht="15" hidden="false" customHeight="false" outlineLevel="0" collapsed="false">
      <c r="A3915" s="62" t="n">
        <v>1</v>
      </c>
      <c r="B3915" s="62" t="s">
        <v>383</v>
      </c>
      <c r="C3915" s="62" t="s">
        <v>60</v>
      </c>
      <c r="D3915" s="62" t="s">
        <v>67</v>
      </c>
      <c r="E3915" s="62" t="s">
        <v>382</v>
      </c>
      <c r="F3915" s="63" t="s">
        <v>427</v>
      </c>
      <c r="G3915" s="64" t="n">
        <v>43552.9739136953</v>
      </c>
      <c r="H3915" s="62" t="s">
        <v>138</v>
      </c>
    </row>
    <row r="3916" customFormat="false" ht="15" hidden="false" customHeight="false" outlineLevel="0" collapsed="false">
      <c r="A3916" s="62" t="n">
        <v>1</v>
      </c>
      <c r="B3916" s="62" t="s">
        <v>384</v>
      </c>
      <c r="C3916" s="62" t="s">
        <v>60</v>
      </c>
      <c r="D3916" s="62" t="s">
        <v>67</v>
      </c>
      <c r="E3916" s="62" t="s">
        <v>382</v>
      </c>
      <c r="F3916" s="63" t="s">
        <v>427</v>
      </c>
      <c r="G3916" s="64" t="n">
        <v>-207692.703650921</v>
      </c>
      <c r="H3916" s="62" t="s">
        <v>138</v>
      </c>
    </row>
    <row r="3917" customFormat="false" ht="15" hidden="false" customHeight="false" outlineLevel="0" collapsed="false">
      <c r="A3917" s="62" t="n">
        <v>1</v>
      </c>
      <c r="B3917" s="62" t="s">
        <v>385</v>
      </c>
      <c r="C3917" s="62" t="s">
        <v>60</v>
      </c>
      <c r="D3917" s="62" t="s">
        <v>67</v>
      </c>
      <c r="E3917" s="62" t="s">
        <v>382</v>
      </c>
      <c r="F3917" s="63" t="s">
        <v>427</v>
      </c>
      <c r="G3917" s="64" t="n">
        <v>-236265.479407593</v>
      </c>
      <c r="H3917" s="62" t="s">
        <v>138</v>
      </c>
    </row>
    <row r="3918" customFormat="false" ht="15" hidden="false" customHeight="false" outlineLevel="0" collapsed="false">
      <c r="A3918" s="62" t="n">
        <v>1</v>
      </c>
      <c r="B3918" s="62" t="s">
        <v>386</v>
      </c>
      <c r="C3918" s="62" t="s">
        <v>60</v>
      </c>
      <c r="D3918" s="62" t="s">
        <v>67</v>
      </c>
      <c r="E3918" s="62" t="s">
        <v>382</v>
      </c>
      <c r="F3918" s="63" t="s">
        <v>427</v>
      </c>
      <c r="G3918" s="64" t="n">
        <v>-231002.706154102</v>
      </c>
      <c r="H3918" s="62" t="s">
        <v>138</v>
      </c>
    </row>
    <row r="3919" customFormat="false" ht="15" hidden="false" customHeight="false" outlineLevel="0" collapsed="false">
      <c r="A3919" s="62" t="n">
        <v>1</v>
      </c>
      <c r="B3919" s="62" t="s">
        <v>387</v>
      </c>
      <c r="C3919" s="62" t="s">
        <v>60</v>
      </c>
      <c r="D3919" s="62" t="s">
        <v>67</v>
      </c>
      <c r="E3919" s="62" t="s">
        <v>382</v>
      </c>
      <c r="F3919" s="63" t="s">
        <v>427</v>
      </c>
      <c r="G3919" s="64" t="n">
        <v>-9533.70823439234</v>
      </c>
      <c r="H3919" s="62" t="s">
        <v>138</v>
      </c>
    </row>
    <row r="3920" customFormat="false" ht="15" hidden="false" customHeight="false" outlineLevel="0" collapsed="false">
      <c r="A3920" s="62" t="n">
        <v>1</v>
      </c>
      <c r="B3920" s="62" t="s">
        <v>388</v>
      </c>
      <c r="C3920" s="62" t="s">
        <v>60</v>
      </c>
      <c r="D3920" s="62" t="s">
        <v>67</v>
      </c>
      <c r="E3920" s="62" t="s">
        <v>382</v>
      </c>
      <c r="F3920" s="63" t="s">
        <v>427</v>
      </c>
      <c r="G3920" s="64" t="n">
        <v>-121849.367649756</v>
      </c>
      <c r="H3920" s="62" t="s">
        <v>138</v>
      </c>
    </row>
    <row r="3921" customFormat="false" ht="15" hidden="false" customHeight="false" outlineLevel="0" collapsed="false">
      <c r="A3921" s="62" t="n">
        <v>1</v>
      </c>
      <c r="B3921" s="62" t="s">
        <v>381</v>
      </c>
      <c r="C3921" s="62" t="s">
        <v>60</v>
      </c>
      <c r="D3921" s="62" t="s">
        <v>67</v>
      </c>
      <c r="E3921" s="62" t="s">
        <v>382</v>
      </c>
      <c r="F3921" s="63" t="s">
        <v>428</v>
      </c>
      <c r="G3921" s="64" t="n">
        <v>-453584.115025126</v>
      </c>
      <c r="H3921" s="62" t="s">
        <v>138</v>
      </c>
    </row>
    <row r="3922" customFormat="false" ht="15" hidden="false" customHeight="false" outlineLevel="0" collapsed="false">
      <c r="A3922" s="62" t="n">
        <v>1</v>
      </c>
      <c r="B3922" s="62" t="s">
        <v>383</v>
      </c>
      <c r="C3922" s="62" t="s">
        <v>60</v>
      </c>
      <c r="D3922" s="62" t="s">
        <v>67</v>
      </c>
      <c r="E3922" s="62" t="s">
        <v>382</v>
      </c>
      <c r="F3922" s="63" t="s">
        <v>428</v>
      </c>
      <c r="G3922" s="64" t="n">
        <v>-285504.10294371</v>
      </c>
      <c r="H3922" s="62" t="s">
        <v>138</v>
      </c>
    </row>
    <row r="3923" customFormat="false" ht="15" hidden="false" customHeight="false" outlineLevel="0" collapsed="false">
      <c r="A3923" s="62" t="n">
        <v>1</v>
      </c>
      <c r="B3923" s="62" t="s">
        <v>384</v>
      </c>
      <c r="C3923" s="62" t="s">
        <v>60</v>
      </c>
      <c r="D3923" s="62" t="s">
        <v>67</v>
      </c>
      <c r="E3923" s="62" t="s">
        <v>382</v>
      </c>
      <c r="F3923" s="63" t="s">
        <v>428</v>
      </c>
      <c r="G3923" s="64" t="n">
        <v>-265023.478648551</v>
      </c>
      <c r="H3923" s="62" t="s">
        <v>138</v>
      </c>
    </row>
    <row r="3924" customFormat="false" ht="15" hidden="false" customHeight="false" outlineLevel="0" collapsed="false">
      <c r="A3924" s="62" t="n">
        <v>1</v>
      </c>
      <c r="B3924" s="62" t="s">
        <v>385</v>
      </c>
      <c r="C3924" s="62" t="s">
        <v>60</v>
      </c>
      <c r="D3924" s="62" t="s">
        <v>67</v>
      </c>
      <c r="E3924" s="62" t="s">
        <v>382</v>
      </c>
      <c r="F3924" s="63" t="s">
        <v>428</v>
      </c>
      <c r="G3924" s="64" t="n">
        <v>-256303.605687244</v>
      </c>
      <c r="H3924" s="62" t="s">
        <v>138</v>
      </c>
    </row>
    <row r="3925" customFormat="false" ht="15" hidden="false" customHeight="false" outlineLevel="0" collapsed="false">
      <c r="A3925" s="62" t="n">
        <v>1</v>
      </c>
      <c r="B3925" s="62" t="s">
        <v>386</v>
      </c>
      <c r="C3925" s="62" t="s">
        <v>60</v>
      </c>
      <c r="D3925" s="62" t="s">
        <v>67</v>
      </c>
      <c r="E3925" s="62" t="s">
        <v>382</v>
      </c>
      <c r="F3925" s="63" t="s">
        <v>428</v>
      </c>
      <c r="G3925" s="64" t="n">
        <v>-249237.759523399</v>
      </c>
      <c r="H3925" s="62" t="s">
        <v>138</v>
      </c>
    </row>
    <row r="3926" customFormat="false" ht="15" hidden="false" customHeight="false" outlineLevel="0" collapsed="false">
      <c r="A3926" s="62" t="n">
        <v>1</v>
      </c>
      <c r="B3926" s="62" t="s">
        <v>387</v>
      </c>
      <c r="C3926" s="62" t="s">
        <v>60</v>
      </c>
      <c r="D3926" s="62" t="s">
        <v>67</v>
      </c>
      <c r="E3926" s="62" t="s">
        <v>382</v>
      </c>
      <c r="F3926" s="63" t="s">
        <v>428</v>
      </c>
      <c r="G3926" s="64" t="n">
        <v>-403944.478547804</v>
      </c>
      <c r="H3926" s="62" t="s">
        <v>138</v>
      </c>
    </row>
    <row r="3927" customFormat="false" ht="15" hidden="false" customHeight="false" outlineLevel="0" collapsed="false">
      <c r="A3927" s="62" t="n">
        <v>1</v>
      </c>
      <c r="B3927" s="62" t="s">
        <v>388</v>
      </c>
      <c r="C3927" s="62" t="s">
        <v>60</v>
      </c>
      <c r="D3927" s="62" t="s">
        <v>67</v>
      </c>
      <c r="E3927" s="62" t="s">
        <v>382</v>
      </c>
      <c r="F3927" s="63" t="s">
        <v>428</v>
      </c>
      <c r="G3927" s="64" t="n">
        <v>-741827.150148787</v>
      </c>
      <c r="H3927" s="62" t="s">
        <v>138</v>
      </c>
    </row>
    <row r="3928" customFormat="false" ht="15" hidden="false" customHeight="false" outlineLevel="0" collapsed="false">
      <c r="A3928" s="62" t="n">
        <v>1</v>
      </c>
      <c r="B3928" s="62" t="s">
        <v>381</v>
      </c>
      <c r="C3928" s="62" t="s">
        <v>60</v>
      </c>
      <c r="D3928" s="62" t="s">
        <v>67</v>
      </c>
      <c r="E3928" s="62" t="s">
        <v>382</v>
      </c>
      <c r="F3928" s="63" t="s">
        <v>429</v>
      </c>
      <c r="G3928" s="64" t="n">
        <v>-330397.613572167</v>
      </c>
      <c r="H3928" s="62" t="s">
        <v>138</v>
      </c>
    </row>
    <row r="3929" customFormat="false" ht="15" hidden="false" customHeight="false" outlineLevel="0" collapsed="false">
      <c r="A3929" s="62" t="n">
        <v>1</v>
      </c>
      <c r="B3929" s="62" t="s">
        <v>383</v>
      </c>
      <c r="C3929" s="62" t="s">
        <v>60</v>
      </c>
      <c r="D3929" s="62" t="s">
        <v>67</v>
      </c>
      <c r="E3929" s="62" t="s">
        <v>382</v>
      </c>
      <c r="F3929" s="63" t="s">
        <v>429</v>
      </c>
      <c r="G3929" s="64" t="n">
        <v>-549970.371356756</v>
      </c>
      <c r="H3929" s="62" t="s">
        <v>138</v>
      </c>
    </row>
    <row r="3930" customFormat="false" ht="15" hidden="false" customHeight="false" outlineLevel="0" collapsed="false">
      <c r="A3930" s="62" t="n">
        <v>1</v>
      </c>
      <c r="B3930" s="62" t="s">
        <v>384</v>
      </c>
      <c r="C3930" s="62" t="s">
        <v>60</v>
      </c>
      <c r="D3930" s="62" t="s">
        <v>67</v>
      </c>
      <c r="E3930" s="62" t="s">
        <v>382</v>
      </c>
      <c r="F3930" s="63" t="s">
        <v>429</v>
      </c>
      <c r="G3930" s="64" t="n">
        <v>-430769.576940968</v>
      </c>
      <c r="H3930" s="62" t="s">
        <v>138</v>
      </c>
    </row>
    <row r="3931" customFormat="false" ht="15" hidden="false" customHeight="false" outlineLevel="0" collapsed="false">
      <c r="A3931" s="62" t="n">
        <v>1</v>
      </c>
      <c r="B3931" s="62" t="s">
        <v>385</v>
      </c>
      <c r="C3931" s="62" t="s">
        <v>60</v>
      </c>
      <c r="D3931" s="62" t="s">
        <v>67</v>
      </c>
      <c r="E3931" s="62" t="s">
        <v>382</v>
      </c>
      <c r="F3931" s="63" t="s">
        <v>429</v>
      </c>
      <c r="G3931" s="64" t="n">
        <v>-906365.574814264</v>
      </c>
      <c r="H3931" s="62" t="s">
        <v>138</v>
      </c>
    </row>
    <row r="3932" customFormat="false" ht="15" hidden="false" customHeight="false" outlineLevel="0" collapsed="false">
      <c r="A3932" s="62" t="n">
        <v>1</v>
      </c>
      <c r="B3932" s="62" t="s">
        <v>386</v>
      </c>
      <c r="C3932" s="62" t="s">
        <v>60</v>
      </c>
      <c r="D3932" s="62" t="s">
        <v>67</v>
      </c>
      <c r="E3932" s="62" t="s">
        <v>382</v>
      </c>
      <c r="F3932" s="63" t="s">
        <v>429</v>
      </c>
      <c r="G3932" s="64" t="n">
        <v>-724998.70814975</v>
      </c>
      <c r="H3932" s="62" t="s">
        <v>138</v>
      </c>
    </row>
    <row r="3933" customFormat="false" ht="15" hidden="false" customHeight="false" outlineLevel="0" collapsed="false">
      <c r="A3933" s="62" t="n">
        <v>1</v>
      </c>
      <c r="B3933" s="62" t="s">
        <v>387</v>
      </c>
      <c r="C3933" s="62" t="s">
        <v>60</v>
      </c>
      <c r="D3933" s="62" t="s">
        <v>67</v>
      </c>
      <c r="E3933" s="62" t="s">
        <v>382</v>
      </c>
      <c r="F3933" s="63" t="s">
        <v>429</v>
      </c>
      <c r="G3933" s="64" t="n">
        <v>-1408630.45367452</v>
      </c>
      <c r="H3933" s="62" t="s">
        <v>138</v>
      </c>
    </row>
    <row r="3934" customFormat="false" ht="15" hidden="false" customHeight="false" outlineLevel="0" collapsed="false">
      <c r="A3934" s="62" t="n">
        <v>1</v>
      </c>
      <c r="B3934" s="62" t="s">
        <v>388</v>
      </c>
      <c r="C3934" s="62" t="s">
        <v>60</v>
      </c>
      <c r="D3934" s="62" t="s">
        <v>67</v>
      </c>
      <c r="E3934" s="62" t="s">
        <v>382</v>
      </c>
      <c r="F3934" s="63" t="s">
        <v>429</v>
      </c>
      <c r="G3934" s="64" t="n">
        <v>-53953.0859968569</v>
      </c>
      <c r="H3934" s="62" t="s">
        <v>138</v>
      </c>
    </row>
    <row r="3935" customFormat="false" ht="15" hidden="false" customHeight="false" outlineLevel="0" collapsed="false">
      <c r="A3935" s="62" t="n">
        <v>1</v>
      </c>
      <c r="B3935" s="62" t="s">
        <v>381</v>
      </c>
      <c r="C3935" s="62" t="s">
        <v>60</v>
      </c>
      <c r="D3935" s="62" t="s">
        <v>67</v>
      </c>
      <c r="E3935" s="62" t="s">
        <v>382</v>
      </c>
      <c r="F3935" s="63" t="s">
        <v>430</v>
      </c>
      <c r="G3935" s="64" t="n">
        <v>-4168006.3350791</v>
      </c>
      <c r="H3935" s="62" t="s">
        <v>138</v>
      </c>
    </row>
    <row r="3936" customFormat="false" ht="15" hidden="false" customHeight="false" outlineLevel="0" collapsed="false">
      <c r="A3936" s="62" t="n">
        <v>1</v>
      </c>
      <c r="B3936" s="62" t="s">
        <v>383</v>
      </c>
      <c r="C3936" s="62" t="s">
        <v>60</v>
      </c>
      <c r="D3936" s="62" t="s">
        <v>67</v>
      </c>
      <c r="E3936" s="62" t="s">
        <v>382</v>
      </c>
      <c r="F3936" s="63" t="s">
        <v>430</v>
      </c>
      <c r="G3936" s="64" t="n">
        <v>2590019.32234563</v>
      </c>
      <c r="H3936" s="62" t="s">
        <v>138</v>
      </c>
    </row>
    <row r="3937" customFormat="false" ht="15" hidden="false" customHeight="false" outlineLevel="0" collapsed="false">
      <c r="A3937" s="62" t="n">
        <v>1</v>
      </c>
      <c r="B3937" s="62" t="s">
        <v>384</v>
      </c>
      <c r="C3937" s="62" t="s">
        <v>60</v>
      </c>
      <c r="D3937" s="62" t="s">
        <v>67</v>
      </c>
      <c r="E3937" s="62" t="s">
        <v>382</v>
      </c>
      <c r="F3937" s="63" t="s">
        <v>430</v>
      </c>
      <c r="G3937" s="64" t="n">
        <v>2243860.07073575</v>
      </c>
      <c r="H3937" s="62" t="s">
        <v>138</v>
      </c>
    </row>
    <row r="3938" customFormat="false" ht="15" hidden="false" customHeight="false" outlineLevel="0" collapsed="false">
      <c r="A3938" s="62" t="n">
        <v>1</v>
      </c>
      <c r="B3938" s="62" t="s">
        <v>385</v>
      </c>
      <c r="C3938" s="62" t="s">
        <v>60</v>
      </c>
      <c r="D3938" s="62" t="s">
        <v>67</v>
      </c>
      <c r="E3938" s="62" t="s">
        <v>382</v>
      </c>
      <c r="F3938" s="63" t="s">
        <v>430</v>
      </c>
      <c r="G3938" s="64" t="n">
        <v>-470692.045448434</v>
      </c>
      <c r="H3938" s="62" t="s">
        <v>138</v>
      </c>
    </row>
    <row r="3939" customFormat="false" ht="15" hidden="false" customHeight="false" outlineLevel="0" collapsed="false">
      <c r="A3939" s="62" t="n">
        <v>1</v>
      </c>
      <c r="B3939" s="62" t="s">
        <v>386</v>
      </c>
      <c r="C3939" s="62" t="s">
        <v>60</v>
      </c>
      <c r="D3939" s="62" t="s">
        <v>67</v>
      </c>
      <c r="E3939" s="62" t="s">
        <v>382</v>
      </c>
      <c r="F3939" s="63" t="s">
        <v>430</v>
      </c>
      <c r="G3939" s="64" t="n">
        <v>3017910.8316041</v>
      </c>
      <c r="H3939" s="62" t="s">
        <v>138</v>
      </c>
    </row>
    <row r="3940" customFormat="false" ht="15" hidden="false" customHeight="false" outlineLevel="0" collapsed="false">
      <c r="A3940" s="62" t="n">
        <v>1</v>
      </c>
      <c r="B3940" s="62" t="s">
        <v>387</v>
      </c>
      <c r="C3940" s="62" t="s">
        <v>60</v>
      </c>
      <c r="D3940" s="62" t="s">
        <v>67</v>
      </c>
      <c r="E3940" s="62" t="s">
        <v>382</v>
      </c>
      <c r="F3940" s="63" t="s">
        <v>430</v>
      </c>
      <c r="G3940" s="64" t="n">
        <v>5751987.37403561</v>
      </c>
      <c r="H3940" s="62" t="s">
        <v>138</v>
      </c>
    </row>
    <row r="3941" customFormat="false" ht="15" hidden="false" customHeight="false" outlineLevel="0" collapsed="false">
      <c r="A3941" s="62" t="n">
        <v>1</v>
      </c>
      <c r="B3941" s="62" t="s">
        <v>388</v>
      </c>
      <c r="C3941" s="62" t="s">
        <v>60</v>
      </c>
      <c r="D3941" s="62" t="s">
        <v>67</v>
      </c>
      <c r="E3941" s="62" t="s">
        <v>382</v>
      </c>
      <c r="F3941" s="63" t="s">
        <v>430</v>
      </c>
      <c r="G3941" s="64" t="n">
        <v>706654.0963391</v>
      </c>
      <c r="H3941" s="62" t="s">
        <v>138</v>
      </c>
    </row>
    <row r="3942" customFormat="false" ht="15" hidden="false" customHeight="false" outlineLevel="0" collapsed="false">
      <c r="A3942" s="62" t="n">
        <v>1</v>
      </c>
      <c r="B3942" s="62" t="s">
        <v>381</v>
      </c>
      <c r="C3942" s="62" t="s">
        <v>60</v>
      </c>
      <c r="D3942" s="62" t="s">
        <v>67</v>
      </c>
      <c r="E3942" s="62" t="s">
        <v>382</v>
      </c>
      <c r="F3942" s="63" t="s">
        <v>431</v>
      </c>
      <c r="G3942" s="64" t="n">
        <v>-14000</v>
      </c>
      <c r="H3942" s="62" t="s">
        <v>138</v>
      </c>
    </row>
    <row r="3943" customFormat="false" ht="15" hidden="false" customHeight="false" outlineLevel="0" collapsed="false">
      <c r="A3943" s="62" t="n">
        <v>1</v>
      </c>
      <c r="B3943" s="62" t="s">
        <v>383</v>
      </c>
      <c r="C3943" s="62" t="s">
        <v>60</v>
      </c>
      <c r="D3943" s="62" t="s">
        <v>67</v>
      </c>
      <c r="E3943" s="62" t="s">
        <v>382</v>
      </c>
      <c r="F3943" s="63" t="s">
        <v>431</v>
      </c>
      <c r="G3943" s="64" t="n">
        <v>-17500</v>
      </c>
      <c r="H3943" s="62" t="s">
        <v>138</v>
      </c>
    </row>
    <row r="3944" customFormat="false" ht="15" hidden="false" customHeight="false" outlineLevel="0" collapsed="false">
      <c r="A3944" s="62" t="n">
        <v>1</v>
      </c>
      <c r="B3944" s="62" t="s">
        <v>384</v>
      </c>
      <c r="C3944" s="62" t="s">
        <v>60</v>
      </c>
      <c r="D3944" s="62" t="s">
        <v>67</v>
      </c>
      <c r="E3944" s="62" t="s">
        <v>382</v>
      </c>
      <c r="F3944" s="63" t="s">
        <v>431</v>
      </c>
      <c r="G3944" s="64" t="n">
        <v>-14000</v>
      </c>
      <c r="H3944" s="62" t="s">
        <v>138</v>
      </c>
    </row>
    <row r="3945" customFormat="false" ht="15" hidden="false" customHeight="false" outlineLevel="0" collapsed="false">
      <c r="A3945" s="62" t="n">
        <v>1</v>
      </c>
      <c r="B3945" s="62" t="s">
        <v>385</v>
      </c>
      <c r="C3945" s="62" t="s">
        <v>60</v>
      </c>
      <c r="D3945" s="62" t="s">
        <v>67</v>
      </c>
      <c r="E3945" s="62" t="s">
        <v>382</v>
      </c>
      <c r="F3945" s="63" t="s">
        <v>431</v>
      </c>
      <c r="G3945" s="64" t="n">
        <v>-17500</v>
      </c>
      <c r="H3945" s="62" t="s">
        <v>138</v>
      </c>
    </row>
    <row r="3946" customFormat="false" ht="15" hidden="false" customHeight="false" outlineLevel="0" collapsed="false">
      <c r="A3946" s="62" t="n">
        <v>1</v>
      </c>
      <c r="B3946" s="62" t="s">
        <v>386</v>
      </c>
      <c r="C3946" s="62" t="s">
        <v>60</v>
      </c>
      <c r="D3946" s="62" t="s">
        <v>67</v>
      </c>
      <c r="E3946" s="62" t="s">
        <v>382</v>
      </c>
      <c r="F3946" s="63" t="s">
        <v>431</v>
      </c>
      <c r="G3946" s="64" t="n">
        <v>-52500</v>
      </c>
      <c r="H3946" s="62" t="s">
        <v>138</v>
      </c>
    </row>
    <row r="3947" customFormat="false" ht="15" hidden="false" customHeight="false" outlineLevel="0" collapsed="false">
      <c r="A3947" s="62" t="n">
        <v>1</v>
      </c>
      <c r="B3947" s="62" t="s">
        <v>387</v>
      </c>
      <c r="C3947" s="62" t="s">
        <v>60</v>
      </c>
      <c r="D3947" s="62" t="s">
        <v>67</v>
      </c>
      <c r="E3947" s="62" t="s">
        <v>382</v>
      </c>
      <c r="F3947" s="63" t="s">
        <v>431</v>
      </c>
      <c r="G3947" s="64" t="n">
        <v>-14000</v>
      </c>
      <c r="H3947" s="62" t="s">
        <v>138</v>
      </c>
    </row>
    <row r="3948" customFormat="false" ht="15" hidden="false" customHeight="false" outlineLevel="0" collapsed="false">
      <c r="A3948" s="62" t="n">
        <v>1</v>
      </c>
      <c r="B3948" s="62" t="s">
        <v>388</v>
      </c>
      <c r="C3948" s="62" t="s">
        <v>60</v>
      </c>
      <c r="D3948" s="62" t="s">
        <v>67</v>
      </c>
      <c r="E3948" s="62" t="s">
        <v>382</v>
      </c>
      <c r="F3948" s="63" t="s">
        <v>431</v>
      </c>
      <c r="G3948" s="64" t="n">
        <v>-31500</v>
      </c>
      <c r="H3948" s="62" t="s">
        <v>138</v>
      </c>
    </row>
    <row r="3949" customFormat="false" ht="15" hidden="false" customHeight="false" outlineLevel="0" collapsed="false">
      <c r="A3949" s="62" t="n">
        <v>1</v>
      </c>
      <c r="B3949" s="62" t="s">
        <v>381</v>
      </c>
      <c r="C3949" s="62" t="s">
        <v>60</v>
      </c>
      <c r="D3949" s="62" t="s">
        <v>67</v>
      </c>
      <c r="E3949" s="62" t="s">
        <v>382</v>
      </c>
      <c r="F3949" s="63" t="s">
        <v>432</v>
      </c>
      <c r="G3949" s="64" t="n">
        <v>-4182006.3350791</v>
      </c>
      <c r="H3949" s="62" t="s">
        <v>138</v>
      </c>
    </row>
    <row r="3950" customFormat="false" ht="15" hidden="false" customHeight="false" outlineLevel="0" collapsed="false">
      <c r="A3950" s="62" t="n">
        <v>1</v>
      </c>
      <c r="B3950" s="62" t="s">
        <v>383</v>
      </c>
      <c r="C3950" s="62" t="s">
        <v>60</v>
      </c>
      <c r="D3950" s="62" t="s">
        <v>67</v>
      </c>
      <c r="E3950" s="62" t="s">
        <v>382</v>
      </c>
      <c r="F3950" s="63" t="s">
        <v>432</v>
      </c>
      <c r="G3950" s="64" t="n">
        <v>2572519.32234563</v>
      </c>
      <c r="H3950" s="62" t="s">
        <v>138</v>
      </c>
    </row>
    <row r="3951" customFormat="false" ht="15" hidden="false" customHeight="false" outlineLevel="0" collapsed="false">
      <c r="A3951" s="62" t="n">
        <v>1</v>
      </c>
      <c r="B3951" s="62" t="s">
        <v>384</v>
      </c>
      <c r="C3951" s="62" t="s">
        <v>60</v>
      </c>
      <c r="D3951" s="62" t="s">
        <v>67</v>
      </c>
      <c r="E3951" s="62" t="s">
        <v>382</v>
      </c>
      <c r="F3951" s="63" t="s">
        <v>432</v>
      </c>
      <c r="G3951" s="64" t="n">
        <v>2229860.07073575</v>
      </c>
      <c r="H3951" s="62" t="s">
        <v>138</v>
      </c>
    </row>
    <row r="3952" customFormat="false" ht="15" hidden="false" customHeight="false" outlineLevel="0" collapsed="false">
      <c r="A3952" s="62" t="n">
        <v>1</v>
      </c>
      <c r="B3952" s="62" t="s">
        <v>385</v>
      </c>
      <c r="C3952" s="62" t="s">
        <v>60</v>
      </c>
      <c r="D3952" s="62" t="s">
        <v>67</v>
      </c>
      <c r="E3952" s="62" t="s">
        <v>382</v>
      </c>
      <c r="F3952" s="63" t="s">
        <v>432</v>
      </c>
      <c r="G3952" s="64" t="n">
        <v>-488192.045448434</v>
      </c>
      <c r="H3952" s="62" t="s">
        <v>138</v>
      </c>
    </row>
    <row r="3953" customFormat="false" ht="15" hidden="false" customHeight="false" outlineLevel="0" collapsed="false">
      <c r="A3953" s="62" t="n">
        <v>1</v>
      </c>
      <c r="B3953" s="62" t="s">
        <v>386</v>
      </c>
      <c r="C3953" s="62" t="s">
        <v>60</v>
      </c>
      <c r="D3953" s="62" t="s">
        <v>67</v>
      </c>
      <c r="E3953" s="62" t="s">
        <v>382</v>
      </c>
      <c r="F3953" s="63" t="s">
        <v>432</v>
      </c>
      <c r="G3953" s="64" t="n">
        <v>2965410.8316041</v>
      </c>
      <c r="H3953" s="62" t="s">
        <v>138</v>
      </c>
    </row>
    <row r="3954" customFormat="false" ht="15" hidden="false" customHeight="false" outlineLevel="0" collapsed="false">
      <c r="A3954" s="62" t="n">
        <v>1</v>
      </c>
      <c r="B3954" s="62" t="s">
        <v>387</v>
      </c>
      <c r="C3954" s="62" t="s">
        <v>60</v>
      </c>
      <c r="D3954" s="62" t="s">
        <v>67</v>
      </c>
      <c r="E3954" s="62" t="s">
        <v>382</v>
      </c>
      <c r="F3954" s="63" t="s">
        <v>432</v>
      </c>
      <c r="G3954" s="64" t="n">
        <v>5737987.37403561</v>
      </c>
      <c r="H3954" s="62" t="s">
        <v>138</v>
      </c>
    </row>
    <row r="3955" customFormat="false" ht="15" hidden="false" customHeight="false" outlineLevel="0" collapsed="false">
      <c r="A3955" s="62" t="n">
        <v>1</v>
      </c>
      <c r="B3955" s="62" t="s">
        <v>388</v>
      </c>
      <c r="C3955" s="62" t="s">
        <v>60</v>
      </c>
      <c r="D3955" s="62" t="s">
        <v>67</v>
      </c>
      <c r="E3955" s="62" t="s">
        <v>382</v>
      </c>
      <c r="F3955" s="63" t="s">
        <v>432</v>
      </c>
      <c r="G3955" s="64" t="n">
        <v>675154.0963391</v>
      </c>
      <c r="H3955" s="62" t="s">
        <v>138</v>
      </c>
    </row>
    <row r="3956" customFormat="false" ht="15" hidden="false" customHeight="false" outlineLevel="0" collapsed="false">
      <c r="A3956" s="62" t="n">
        <v>1</v>
      </c>
      <c r="B3956" s="62" t="s">
        <v>381</v>
      </c>
      <c r="C3956" s="62" t="s">
        <v>60</v>
      </c>
      <c r="D3956" s="62" t="s">
        <v>67</v>
      </c>
      <c r="E3956" s="62" t="s">
        <v>382</v>
      </c>
      <c r="F3956" s="63" t="s">
        <v>433</v>
      </c>
      <c r="G3956" s="64" t="n">
        <v>-2000000</v>
      </c>
      <c r="H3956" s="62" t="s">
        <v>138</v>
      </c>
    </row>
    <row r="3957" customFormat="false" ht="15" hidden="false" customHeight="false" outlineLevel="0" collapsed="false">
      <c r="A3957" s="62" t="n">
        <v>1</v>
      </c>
      <c r="B3957" s="62" t="s">
        <v>383</v>
      </c>
      <c r="C3957" s="62" t="s">
        <v>60</v>
      </c>
      <c r="D3957" s="62" t="s">
        <v>67</v>
      </c>
      <c r="E3957" s="62" t="s">
        <v>382</v>
      </c>
      <c r="F3957" s="63" t="s">
        <v>433</v>
      </c>
      <c r="G3957" s="64" t="n">
        <v>-828583</v>
      </c>
      <c r="H3957" s="62" t="s">
        <v>138</v>
      </c>
    </row>
    <row r="3958" customFormat="false" ht="15" hidden="false" customHeight="false" outlineLevel="0" collapsed="false">
      <c r="A3958" s="62" t="n">
        <v>1</v>
      </c>
      <c r="B3958" s="62" t="s">
        <v>384</v>
      </c>
      <c r="C3958" s="62" t="s">
        <v>60</v>
      </c>
      <c r="D3958" s="62" t="s">
        <v>67</v>
      </c>
      <c r="E3958" s="62" t="s">
        <v>382</v>
      </c>
      <c r="F3958" s="63" t="s">
        <v>433</v>
      </c>
      <c r="G3958" s="64" t="n">
        <v>-1657565</v>
      </c>
      <c r="H3958" s="62" t="s">
        <v>138</v>
      </c>
    </row>
    <row r="3959" customFormat="false" ht="15" hidden="false" customHeight="false" outlineLevel="0" collapsed="false">
      <c r="A3959" s="62" t="n">
        <v>1</v>
      </c>
      <c r="B3959" s="62" t="s">
        <v>385</v>
      </c>
      <c r="C3959" s="62" t="s">
        <v>60</v>
      </c>
      <c r="D3959" s="62" t="s">
        <v>67</v>
      </c>
      <c r="E3959" s="62" t="s">
        <v>382</v>
      </c>
      <c r="F3959" s="63" t="s">
        <v>433</v>
      </c>
      <c r="G3959" s="64" t="n">
        <v>-276194</v>
      </c>
      <c r="H3959" s="62" t="s">
        <v>138</v>
      </c>
    </row>
    <row r="3960" customFormat="false" ht="15" hidden="false" customHeight="false" outlineLevel="0" collapsed="false">
      <c r="A3960" s="62" t="n">
        <v>1</v>
      </c>
      <c r="B3960" s="62" t="s">
        <v>386</v>
      </c>
      <c r="C3960" s="62" t="s">
        <v>60</v>
      </c>
      <c r="D3960" s="62" t="s">
        <v>67</v>
      </c>
      <c r="E3960" s="62" t="s">
        <v>382</v>
      </c>
      <c r="F3960" s="63" t="s">
        <v>433</v>
      </c>
      <c r="G3960" s="64" t="n">
        <v>-4500000</v>
      </c>
      <c r="H3960" s="62" t="s">
        <v>138</v>
      </c>
    </row>
    <row r="3961" customFormat="false" ht="15" hidden="false" customHeight="false" outlineLevel="0" collapsed="false">
      <c r="A3961" s="62" t="n">
        <v>1</v>
      </c>
      <c r="B3961" s="62" t="s">
        <v>387</v>
      </c>
      <c r="C3961" s="62" t="s">
        <v>60</v>
      </c>
      <c r="D3961" s="62" t="s">
        <v>67</v>
      </c>
      <c r="E3961" s="62" t="s">
        <v>382</v>
      </c>
      <c r="F3961" s="63" t="s">
        <v>433</v>
      </c>
      <c r="G3961" s="64" t="n">
        <v>-1104778</v>
      </c>
      <c r="H3961" s="62" t="s">
        <v>138</v>
      </c>
    </row>
    <row r="3962" customFormat="false" ht="15" hidden="false" customHeight="false" outlineLevel="0" collapsed="false">
      <c r="A3962" s="62" t="n">
        <v>1</v>
      </c>
      <c r="B3962" s="62" t="s">
        <v>388</v>
      </c>
      <c r="C3962" s="62" t="s">
        <v>60</v>
      </c>
      <c r="D3962" s="62" t="s">
        <v>67</v>
      </c>
      <c r="E3962" s="62" t="s">
        <v>382</v>
      </c>
      <c r="F3962" s="63" t="s">
        <v>433</v>
      </c>
      <c r="G3962" s="64" t="n">
        <v>-585463</v>
      </c>
      <c r="H3962" s="62" t="s">
        <v>138</v>
      </c>
    </row>
    <row r="3963" customFormat="false" ht="15" hidden="false" customHeight="false" outlineLevel="0" collapsed="false">
      <c r="A3963" s="62" t="n">
        <v>1</v>
      </c>
      <c r="B3963" s="62" t="s">
        <v>381</v>
      </c>
      <c r="C3963" s="62" t="s">
        <v>60</v>
      </c>
      <c r="D3963" s="62" t="s">
        <v>67</v>
      </c>
      <c r="E3963" s="62" t="s">
        <v>382</v>
      </c>
      <c r="F3963" s="63" t="s">
        <v>434</v>
      </c>
      <c r="G3963" s="64" t="n">
        <v>0</v>
      </c>
      <c r="H3963" s="62" t="s">
        <v>138</v>
      </c>
    </row>
    <row r="3964" customFormat="false" ht="15" hidden="false" customHeight="false" outlineLevel="0" collapsed="false">
      <c r="A3964" s="62" t="n">
        <v>1</v>
      </c>
      <c r="B3964" s="62" t="s">
        <v>383</v>
      </c>
      <c r="C3964" s="62" t="s">
        <v>60</v>
      </c>
      <c r="D3964" s="62" t="s">
        <v>67</v>
      </c>
      <c r="E3964" s="62" t="s">
        <v>382</v>
      </c>
      <c r="F3964" s="63" t="s">
        <v>434</v>
      </c>
      <c r="G3964" s="64" t="n">
        <v>0</v>
      </c>
      <c r="H3964" s="62" t="s">
        <v>138</v>
      </c>
    </row>
    <row r="3965" customFormat="false" ht="15" hidden="false" customHeight="false" outlineLevel="0" collapsed="false">
      <c r="A3965" s="62" t="n">
        <v>1</v>
      </c>
      <c r="B3965" s="62" t="s">
        <v>384</v>
      </c>
      <c r="C3965" s="62" t="s">
        <v>60</v>
      </c>
      <c r="D3965" s="62" t="s">
        <v>67</v>
      </c>
      <c r="E3965" s="62" t="s">
        <v>382</v>
      </c>
      <c r="F3965" s="63" t="s">
        <v>434</v>
      </c>
      <c r="G3965" s="64" t="n">
        <v>0</v>
      </c>
      <c r="H3965" s="62" t="s">
        <v>138</v>
      </c>
    </row>
    <row r="3966" customFormat="false" ht="15" hidden="false" customHeight="false" outlineLevel="0" collapsed="false">
      <c r="A3966" s="62" t="n">
        <v>1</v>
      </c>
      <c r="B3966" s="62" t="s">
        <v>385</v>
      </c>
      <c r="C3966" s="62" t="s">
        <v>60</v>
      </c>
      <c r="D3966" s="62" t="s">
        <v>67</v>
      </c>
      <c r="E3966" s="62" t="s">
        <v>382</v>
      </c>
      <c r="F3966" s="63" t="s">
        <v>434</v>
      </c>
      <c r="G3966" s="64" t="n">
        <v>0</v>
      </c>
      <c r="H3966" s="62" t="s">
        <v>138</v>
      </c>
    </row>
    <row r="3967" customFormat="false" ht="15" hidden="false" customHeight="false" outlineLevel="0" collapsed="false">
      <c r="A3967" s="62" t="n">
        <v>1</v>
      </c>
      <c r="B3967" s="62" t="s">
        <v>386</v>
      </c>
      <c r="C3967" s="62" t="s">
        <v>60</v>
      </c>
      <c r="D3967" s="62" t="s">
        <v>67</v>
      </c>
      <c r="E3967" s="62" t="s">
        <v>382</v>
      </c>
      <c r="F3967" s="63" t="s">
        <v>434</v>
      </c>
      <c r="G3967" s="64" t="n">
        <v>0</v>
      </c>
      <c r="H3967" s="62" t="s">
        <v>138</v>
      </c>
    </row>
    <row r="3968" customFormat="false" ht="15" hidden="false" customHeight="false" outlineLevel="0" collapsed="false">
      <c r="A3968" s="62" t="n">
        <v>1</v>
      </c>
      <c r="B3968" s="62" t="s">
        <v>387</v>
      </c>
      <c r="C3968" s="62" t="s">
        <v>60</v>
      </c>
      <c r="D3968" s="62" t="s">
        <v>67</v>
      </c>
      <c r="E3968" s="62" t="s">
        <v>382</v>
      </c>
      <c r="F3968" s="63" t="s">
        <v>434</v>
      </c>
      <c r="G3968" s="64" t="n">
        <v>0</v>
      </c>
      <c r="H3968" s="62" t="s">
        <v>138</v>
      </c>
    </row>
    <row r="3969" customFormat="false" ht="15" hidden="false" customHeight="false" outlineLevel="0" collapsed="false">
      <c r="A3969" s="62" t="n">
        <v>1</v>
      </c>
      <c r="B3969" s="62" t="s">
        <v>388</v>
      </c>
      <c r="C3969" s="62" t="s">
        <v>60</v>
      </c>
      <c r="D3969" s="62" t="s">
        <v>67</v>
      </c>
      <c r="E3969" s="62" t="s">
        <v>382</v>
      </c>
      <c r="F3969" s="63" t="s">
        <v>434</v>
      </c>
      <c r="G3969" s="64" t="n">
        <v>0</v>
      </c>
      <c r="H3969" s="62" t="s">
        <v>138</v>
      </c>
    </row>
    <row r="3970" customFormat="false" ht="15" hidden="false" customHeight="false" outlineLevel="0" collapsed="false">
      <c r="A3970" s="62" t="n">
        <v>1</v>
      </c>
      <c r="B3970" s="62" t="s">
        <v>381</v>
      </c>
      <c r="C3970" s="62" t="s">
        <v>60</v>
      </c>
      <c r="D3970" s="62" t="s">
        <v>67</v>
      </c>
      <c r="E3970" s="62" t="s">
        <v>382</v>
      </c>
      <c r="F3970" s="63" t="s">
        <v>435</v>
      </c>
      <c r="G3970" s="64" t="n">
        <v>998209.529140116</v>
      </c>
      <c r="H3970" s="62" t="s">
        <v>138</v>
      </c>
    </row>
    <row r="3971" customFormat="false" ht="15" hidden="false" customHeight="false" outlineLevel="0" collapsed="false">
      <c r="A3971" s="62" t="n">
        <v>1</v>
      </c>
      <c r="B3971" s="62" t="s">
        <v>383</v>
      </c>
      <c r="C3971" s="62" t="s">
        <v>60</v>
      </c>
      <c r="D3971" s="62" t="s">
        <v>67</v>
      </c>
      <c r="E3971" s="62" t="s">
        <v>382</v>
      </c>
      <c r="F3971" s="63" t="s">
        <v>435</v>
      </c>
      <c r="G3971" s="64" t="n">
        <v>413549.723141752</v>
      </c>
      <c r="H3971" s="62" t="s">
        <v>138</v>
      </c>
    </row>
    <row r="3972" customFormat="false" ht="15" hidden="false" customHeight="false" outlineLevel="0" collapsed="false">
      <c r="A3972" s="62" t="n">
        <v>1</v>
      </c>
      <c r="B3972" s="62" t="s">
        <v>384</v>
      </c>
      <c r="C3972" s="62" t="s">
        <v>60</v>
      </c>
      <c r="D3972" s="62" t="s">
        <v>67</v>
      </c>
      <c r="E3972" s="62" t="s">
        <v>382</v>
      </c>
      <c r="F3972" s="63" t="s">
        <v>435</v>
      </c>
      <c r="G3972" s="64" t="n">
        <v>827298.589084568</v>
      </c>
      <c r="H3972" s="62" t="s">
        <v>138</v>
      </c>
    </row>
    <row r="3973" customFormat="false" ht="15" hidden="false" customHeight="false" outlineLevel="0" collapsed="false">
      <c r="A3973" s="62" t="n">
        <v>1</v>
      </c>
      <c r="B3973" s="62" t="s">
        <v>385</v>
      </c>
      <c r="C3973" s="62" t="s">
        <v>60</v>
      </c>
      <c r="D3973" s="62" t="s">
        <v>67</v>
      </c>
      <c r="E3973" s="62" t="s">
        <v>382</v>
      </c>
      <c r="F3973" s="63" t="s">
        <v>435</v>
      </c>
      <c r="G3973" s="64" t="n">
        <v>137849.741345663</v>
      </c>
      <c r="H3973" s="62" t="s">
        <v>138</v>
      </c>
    </row>
    <row r="3974" customFormat="false" ht="15" hidden="false" customHeight="false" outlineLevel="0" collapsed="false">
      <c r="A3974" s="62" t="n">
        <v>1</v>
      </c>
      <c r="B3974" s="62" t="s">
        <v>386</v>
      </c>
      <c r="C3974" s="62" t="s">
        <v>60</v>
      </c>
      <c r="D3974" s="62" t="s">
        <v>67</v>
      </c>
      <c r="E3974" s="62" t="s">
        <v>382</v>
      </c>
      <c r="F3974" s="63" t="s">
        <v>435</v>
      </c>
      <c r="G3974" s="64" t="n">
        <v>2245971.44056526</v>
      </c>
      <c r="H3974" s="62" t="s">
        <v>138</v>
      </c>
    </row>
    <row r="3975" customFormat="false" ht="15" hidden="false" customHeight="false" outlineLevel="0" collapsed="false">
      <c r="A3975" s="62" t="n">
        <v>1</v>
      </c>
      <c r="B3975" s="62" t="s">
        <v>387</v>
      </c>
      <c r="C3975" s="62" t="s">
        <v>60</v>
      </c>
      <c r="D3975" s="62" t="s">
        <v>67</v>
      </c>
      <c r="E3975" s="62" t="s">
        <v>382</v>
      </c>
      <c r="F3975" s="63" t="s">
        <v>435</v>
      </c>
      <c r="G3975" s="64" t="n">
        <v>551399.96359218</v>
      </c>
      <c r="H3975" s="62" t="s">
        <v>138</v>
      </c>
    </row>
    <row r="3976" customFormat="false" ht="15" hidden="false" customHeight="false" outlineLevel="0" collapsed="false">
      <c r="A3976" s="62" t="n">
        <v>1</v>
      </c>
      <c r="B3976" s="62" t="s">
        <v>388</v>
      </c>
      <c r="C3976" s="62" t="s">
        <v>60</v>
      </c>
      <c r="D3976" s="62" t="s">
        <v>67</v>
      </c>
      <c r="E3976" s="62" t="s">
        <v>382</v>
      </c>
      <c r="F3976" s="63" t="s">
        <v>435</v>
      </c>
      <c r="G3976" s="64" t="n">
        <v>292207.37277948</v>
      </c>
      <c r="H3976" s="62" t="s">
        <v>138</v>
      </c>
    </row>
    <row r="3977" customFormat="false" ht="15" hidden="false" customHeight="false" outlineLevel="0" collapsed="false">
      <c r="A3977" s="62" t="n">
        <v>1</v>
      </c>
      <c r="B3977" s="62" t="s">
        <v>381</v>
      </c>
      <c r="C3977" s="62" t="s">
        <v>60</v>
      </c>
      <c r="D3977" s="62" t="s">
        <v>67</v>
      </c>
      <c r="E3977" s="62" t="s">
        <v>382</v>
      </c>
      <c r="F3977" s="63" t="s">
        <v>436</v>
      </c>
      <c r="G3977" s="64" t="n">
        <v>0</v>
      </c>
      <c r="H3977" s="62" t="s">
        <v>138</v>
      </c>
    </row>
    <row r="3978" customFormat="false" ht="15" hidden="false" customHeight="false" outlineLevel="0" collapsed="false">
      <c r="A3978" s="62" t="n">
        <v>1</v>
      </c>
      <c r="B3978" s="62" t="s">
        <v>383</v>
      </c>
      <c r="C3978" s="62" t="s">
        <v>60</v>
      </c>
      <c r="D3978" s="62" t="s">
        <v>67</v>
      </c>
      <c r="E3978" s="62" t="s">
        <v>382</v>
      </c>
      <c r="F3978" s="63" t="s">
        <v>436</v>
      </c>
      <c r="G3978" s="64" t="n">
        <v>0</v>
      </c>
      <c r="H3978" s="62" t="s">
        <v>138</v>
      </c>
    </row>
    <row r="3979" customFormat="false" ht="15" hidden="false" customHeight="false" outlineLevel="0" collapsed="false">
      <c r="A3979" s="62" t="n">
        <v>1</v>
      </c>
      <c r="B3979" s="62" t="s">
        <v>384</v>
      </c>
      <c r="C3979" s="62" t="s">
        <v>60</v>
      </c>
      <c r="D3979" s="62" t="s">
        <v>67</v>
      </c>
      <c r="E3979" s="62" t="s">
        <v>382</v>
      </c>
      <c r="F3979" s="63" t="s">
        <v>436</v>
      </c>
      <c r="G3979" s="64" t="n">
        <v>-2486348</v>
      </c>
      <c r="H3979" s="62" t="s">
        <v>138</v>
      </c>
    </row>
    <row r="3980" customFormat="false" ht="15" hidden="false" customHeight="false" outlineLevel="0" collapsed="false">
      <c r="A3980" s="62" t="n">
        <v>1</v>
      </c>
      <c r="B3980" s="62" t="s">
        <v>385</v>
      </c>
      <c r="C3980" s="62" t="s">
        <v>60</v>
      </c>
      <c r="D3980" s="62" t="s">
        <v>67</v>
      </c>
      <c r="E3980" s="62" t="s">
        <v>382</v>
      </c>
      <c r="F3980" s="63" t="s">
        <v>436</v>
      </c>
      <c r="G3980" s="64" t="n">
        <v>-2000000</v>
      </c>
      <c r="H3980" s="62" t="s">
        <v>138</v>
      </c>
    </row>
    <row r="3981" customFormat="false" ht="15" hidden="false" customHeight="false" outlineLevel="0" collapsed="false">
      <c r="A3981" s="62" t="n">
        <v>1</v>
      </c>
      <c r="B3981" s="62" t="s">
        <v>386</v>
      </c>
      <c r="C3981" s="62" t="s">
        <v>60</v>
      </c>
      <c r="D3981" s="62" t="s">
        <v>67</v>
      </c>
      <c r="E3981" s="62" t="s">
        <v>382</v>
      </c>
      <c r="F3981" s="63" t="s">
        <v>436</v>
      </c>
      <c r="G3981" s="64" t="n">
        <v>-1500000</v>
      </c>
      <c r="H3981" s="62" t="s">
        <v>138</v>
      </c>
    </row>
    <row r="3982" customFormat="false" ht="15" hidden="false" customHeight="false" outlineLevel="0" collapsed="false">
      <c r="A3982" s="62" t="n">
        <v>1</v>
      </c>
      <c r="B3982" s="62" t="s">
        <v>387</v>
      </c>
      <c r="C3982" s="62" t="s">
        <v>60</v>
      </c>
      <c r="D3982" s="62" t="s">
        <v>67</v>
      </c>
      <c r="E3982" s="62" t="s">
        <v>382</v>
      </c>
      <c r="F3982" s="63" t="s">
        <v>436</v>
      </c>
      <c r="G3982" s="64" t="n">
        <v>0</v>
      </c>
      <c r="H3982" s="62" t="s">
        <v>138</v>
      </c>
    </row>
    <row r="3983" customFormat="false" ht="15" hidden="false" customHeight="false" outlineLevel="0" collapsed="false">
      <c r="A3983" s="62" t="n">
        <v>1</v>
      </c>
      <c r="B3983" s="62" t="s">
        <v>388</v>
      </c>
      <c r="C3983" s="62" t="s">
        <v>60</v>
      </c>
      <c r="D3983" s="62" t="s">
        <v>67</v>
      </c>
      <c r="E3983" s="62" t="s">
        <v>382</v>
      </c>
      <c r="F3983" s="63" t="s">
        <v>436</v>
      </c>
      <c r="G3983" s="64" t="n">
        <v>-2000000</v>
      </c>
      <c r="H3983" s="62" t="s">
        <v>138</v>
      </c>
    </row>
    <row r="3984" customFormat="false" ht="15" hidden="false" customHeight="false" outlineLevel="0" collapsed="false">
      <c r="A3984" s="62" t="n">
        <v>1</v>
      </c>
      <c r="B3984" s="62" t="s">
        <v>381</v>
      </c>
      <c r="C3984" s="62" t="s">
        <v>60</v>
      </c>
      <c r="D3984" s="62" t="s">
        <v>67</v>
      </c>
      <c r="E3984" s="62" t="s">
        <v>382</v>
      </c>
      <c r="F3984" s="63" t="s">
        <v>437</v>
      </c>
      <c r="G3984" s="64" t="n">
        <v>0</v>
      </c>
      <c r="H3984" s="62" t="s">
        <v>138</v>
      </c>
    </row>
    <row r="3985" customFormat="false" ht="15" hidden="false" customHeight="false" outlineLevel="0" collapsed="false">
      <c r="A3985" s="62" t="n">
        <v>1</v>
      </c>
      <c r="B3985" s="62" t="s">
        <v>383</v>
      </c>
      <c r="C3985" s="62" t="s">
        <v>60</v>
      </c>
      <c r="D3985" s="62" t="s">
        <v>67</v>
      </c>
      <c r="E3985" s="62" t="s">
        <v>382</v>
      </c>
      <c r="F3985" s="63" t="s">
        <v>437</v>
      </c>
      <c r="G3985" s="64" t="n">
        <v>0</v>
      </c>
      <c r="H3985" s="62" t="s">
        <v>138</v>
      </c>
    </row>
    <row r="3986" customFormat="false" ht="15" hidden="false" customHeight="false" outlineLevel="0" collapsed="false">
      <c r="A3986" s="62" t="n">
        <v>1</v>
      </c>
      <c r="B3986" s="62" t="s">
        <v>384</v>
      </c>
      <c r="C3986" s="62" t="s">
        <v>60</v>
      </c>
      <c r="D3986" s="62" t="s">
        <v>67</v>
      </c>
      <c r="E3986" s="62" t="s">
        <v>382</v>
      </c>
      <c r="F3986" s="63" t="s">
        <v>437</v>
      </c>
      <c r="G3986" s="64" t="n">
        <v>0</v>
      </c>
      <c r="H3986" s="62" t="s">
        <v>138</v>
      </c>
    </row>
    <row r="3987" customFormat="false" ht="15" hidden="false" customHeight="false" outlineLevel="0" collapsed="false">
      <c r="A3987" s="62" t="n">
        <v>1</v>
      </c>
      <c r="B3987" s="62" t="s">
        <v>385</v>
      </c>
      <c r="C3987" s="62" t="s">
        <v>60</v>
      </c>
      <c r="D3987" s="62" t="s">
        <v>67</v>
      </c>
      <c r="E3987" s="62" t="s">
        <v>382</v>
      </c>
      <c r="F3987" s="63" t="s">
        <v>437</v>
      </c>
      <c r="G3987" s="64" t="n">
        <v>0</v>
      </c>
      <c r="H3987" s="62" t="s">
        <v>138</v>
      </c>
    </row>
    <row r="3988" customFormat="false" ht="15" hidden="false" customHeight="false" outlineLevel="0" collapsed="false">
      <c r="A3988" s="62" t="n">
        <v>1</v>
      </c>
      <c r="B3988" s="62" t="s">
        <v>386</v>
      </c>
      <c r="C3988" s="62" t="s">
        <v>60</v>
      </c>
      <c r="D3988" s="62" t="s">
        <v>67</v>
      </c>
      <c r="E3988" s="62" t="s">
        <v>382</v>
      </c>
      <c r="F3988" s="63" t="s">
        <v>437</v>
      </c>
      <c r="G3988" s="64" t="n">
        <v>0</v>
      </c>
      <c r="H3988" s="62" t="s">
        <v>138</v>
      </c>
    </row>
    <row r="3989" customFormat="false" ht="15" hidden="false" customHeight="false" outlineLevel="0" collapsed="false">
      <c r="A3989" s="62" t="n">
        <v>1</v>
      </c>
      <c r="B3989" s="62" t="s">
        <v>387</v>
      </c>
      <c r="C3989" s="62" t="s">
        <v>60</v>
      </c>
      <c r="D3989" s="62" t="s">
        <v>67</v>
      </c>
      <c r="E3989" s="62" t="s">
        <v>382</v>
      </c>
      <c r="F3989" s="63" t="s">
        <v>437</v>
      </c>
      <c r="G3989" s="64" t="n">
        <v>0</v>
      </c>
      <c r="H3989" s="62" t="s">
        <v>138</v>
      </c>
    </row>
    <row r="3990" customFormat="false" ht="15" hidden="false" customHeight="false" outlineLevel="0" collapsed="false">
      <c r="A3990" s="62" t="n">
        <v>1</v>
      </c>
      <c r="B3990" s="62" t="s">
        <v>388</v>
      </c>
      <c r="C3990" s="62" t="s">
        <v>60</v>
      </c>
      <c r="D3990" s="62" t="s">
        <v>67</v>
      </c>
      <c r="E3990" s="62" t="s">
        <v>382</v>
      </c>
      <c r="F3990" s="63" t="s">
        <v>437</v>
      </c>
      <c r="G3990" s="64" t="n">
        <v>0</v>
      </c>
      <c r="H3990" s="62" t="s">
        <v>138</v>
      </c>
    </row>
    <row r="3991" customFormat="false" ht="15" hidden="false" customHeight="false" outlineLevel="0" collapsed="false">
      <c r="A3991" s="62" t="n">
        <v>1</v>
      </c>
      <c r="B3991" s="62" t="s">
        <v>381</v>
      </c>
      <c r="C3991" s="62" t="s">
        <v>60</v>
      </c>
      <c r="D3991" s="62" t="s">
        <v>67</v>
      </c>
      <c r="E3991" s="62" t="s">
        <v>382</v>
      </c>
      <c r="F3991" s="63" t="s">
        <v>438</v>
      </c>
      <c r="G3991" s="64" t="n">
        <v>-3000000</v>
      </c>
      <c r="H3991" s="62" t="s">
        <v>138</v>
      </c>
    </row>
    <row r="3992" customFormat="false" ht="15" hidden="false" customHeight="false" outlineLevel="0" collapsed="false">
      <c r="A3992" s="62" t="n">
        <v>1</v>
      </c>
      <c r="B3992" s="62" t="s">
        <v>383</v>
      </c>
      <c r="C3992" s="62" t="s">
        <v>60</v>
      </c>
      <c r="D3992" s="62" t="s">
        <v>67</v>
      </c>
      <c r="E3992" s="62" t="s">
        <v>382</v>
      </c>
      <c r="F3992" s="63" t="s">
        <v>438</v>
      </c>
      <c r="G3992" s="64" t="n">
        <v>-4900000</v>
      </c>
      <c r="H3992" s="62" t="s">
        <v>138</v>
      </c>
    </row>
    <row r="3993" customFormat="false" ht="15" hidden="false" customHeight="false" outlineLevel="0" collapsed="false">
      <c r="A3993" s="62" t="n">
        <v>1</v>
      </c>
      <c r="B3993" s="62" t="s">
        <v>384</v>
      </c>
      <c r="C3993" s="62" t="s">
        <v>60</v>
      </c>
      <c r="D3993" s="62" t="s">
        <v>67</v>
      </c>
      <c r="E3993" s="62" t="s">
        <v>382</v>
      </c>
      <c r="F3993" s="63" t="s">
        <v>438</v>
      </c>
      <c r="G3993" s="64" t="n">
        <v>-3900000</v>
      </c>
      <c r="H3993" s="62" t="s">
        <v>138</v>
      </c>
    </row>
    <row r="3994" customFormat="false" ht="15" hidden="false" customHeight="false" outlineLevel="0" collapsed="false">
      <c r="A3994" s="62" t="n">
        <v>1</v>
      </c>
      <c r="B3994" s="62" t="s">
        <v>385</v>
      </c>
      <c r="C3994" s="62" t="s">
        <v>60</v>
      </c>
      <c r="D3994" s="62" t="s">
        <v>67</v>
      </c>
      <c r="E3994" s="62" t="s">
        <v>382</v>
      </c>
      <c r="F3994" s="63" t="s">
        <v>438</v>
      </c>
      <c r="G3994" s="64" t="n">
        <v>-1000000</v>
      </c>
      <c r="H3994" s="62" t="s">
        <v>138</v>
      </c>
    </row>
    <row r="3995" customFormat="false" ht="15" hidden="false" customHeight="false" outlineLevel="0" collapsed="false">
      <c r="A3995" s="62" t="n">
        <v>1</v>
      </c>
      <c r="B3995" s="62" t="s">
        <v>386</v>
      </c>
      <c r="C3995" s="62" t="s">
        <v>60</v>
      </c>
      <c r="D3995" s="62" t="s">
        <v>67</v>
      </c>
      <c r="E3995" s="62" t="s">
        <v>382</v>
      </c>
      <c r="F3995" s="63" t="s">
        <v>438</v>
      </c>
      <c r="G3995" s="64" t="n">
        <v>0</v>
      </c>
      <c r="H3995" s="62" t="s">
        <v>138</v>
      </c>
    </row>
    <row r="3996" customFormat="false" ht="15" hidden="false" customHeight="false" outlineLevel="0" collapsed="false">
      <c r="A3996" s="62" t="n">
        <v>1</v>
      </c>
      <c r="B3996" s="62" t="s">
        <v>387</v>
      </c>
      <c r="C3996" s="62" t="s">
        <v>60</v>
      </c>
      <c r="D3996" s="62" t="s">
        <v>67</v>
      </c>
      <c r="E3996" s="62" t="s">
        <v>382</v>
      </c>
      <c r="F3996" s="63" t="s">
        <v>438</v>
      </c>
      <c r="G3996" s="64" t="n">
        <v>-13000000</v>
      </c>
      <c r="H3996" s="62" t="s">
        <v>138</v>
      </c>
    </row>
    <row r="3997" customFormat="false" ht="15" hidden="false" customHeight="false" outlineLevel="0" collapsed="false">
      <c r="A3997" s="62" t="n">
        <v>1</v>
      </c>
      <c r="B3997" s="62" t="s">
        <v>388</v>
      </c>
      <c r="C3997" s="62" t="s">
        <v>60</v>
      </c>
      <c r="D3997" s="62" t="s">
        <v>67</v>
      </c>
      <c r="E3997" s="62" t="s">
        <v>382</v>
      </c>
      <c r="F3997" s="63" t="s">
        <v>438</v>
      </c>
      <c r="G3997" s="64" t="n">
        <v>-2000000</v>
      </c>
      <c r="H3997" s="62" t="s">
        <v>138</v>
      </c>
    </row>
    <row r="3998" customFormat="false" ht="15" hidden="false" customHeight="false" outlineLevel="0" collapsed="false">
      <c r="A3998" s="62" t="n">
        <v>1</v>
      </c>
      <c r="B3998" s="62" t="s">
        <v>381</v>
      </c>
      <c r="C3998" s="62" t="s">
        <v>60</v>
      </c>
      <c r="D3998" s="62" t="s">
        <v>67</v>
      </c>
      <c r="E3998" s="62" t="s">
        <v>382</v>
      </c>
      <c r="F3998" s="63" t="s">
        <v>439</v>
      </c>
      <c r="G3998" s="64" t="n">
        <v>-4001790.47085988</v>
      </c>
      <c r="H3998" s="62" t="s">
        <v>138</v>
      </c>
    </row>
    <row r="3999" customFormat="false" ht="15" hidden="false" customHeight="false" outlineLevel="0" collapsed="false">
      <c r="A3999" s="62" t="n">
        <v>1</v>
      </c>
      <c r="B3999" s="62" t="s">
        <v>383</v>
      </c>
      <c r="C3999" s="62" t="s">
        <v>60</v>
      </c>
      <c r="D3999" s="62" t="s">
        <v>67</v>
      </c>
      <c r="E3999" s="62" t="s">
        <v>382</v>
      </c>
      <c r="F3999" s="63" t="s">
        <v>439</v>
      </c>
      <c r="G3999" s="64" t="n">
        <v>-5315033.27685825</v>
      </c>
      <c r="H3999" s="62" t="s">
        <v>138</v>
      </c>
    </row>
    <row r="4000" customFormat="false" ht="15" hidden="false" customHeight="false" outlineLevel="0" collapsed="false">
      <c r="A4000" s="62" t="n">
        <v>1</v>
      </c>
      <c r="B4000" s="62" t="s">
        <v>384</v>
      </c>
      <c r="C4000" s="62" t="s">
        <v>60</v>
      </c>
      <c r="D4000" s="62" t="s">
        <v>67</v>
      </c>
      <c r="E4000" s="62" t="s">
        <v>382</v>
      </c>
      <c r="F4000" s="63" t="s">
        <v>439</v>
      </c>
      <c r="G4000" s="64" t="n">
        <v>-7216614.41091543</v>
      </c>
      <c r="H4000" s="62" t="s">
        <v>138</v>
      </c>
    </row>
    <row r="4001" customFormat="false" ht="15" hidden="false" customHeight="false" outlineLevel="0" collapsed="false">
      <c r="A4001" s="62" t="n">
        <v>1</v>
      </c>
      <c r="B4001" s="62" t="s">
        <v>385</v>
      </c>
      <c r="C4001" s="62" t="s">
        <v>60</v>
      </c>
      <c r="D4001" s="62" t="s">
        <v>67</v>
      </c>
      <c r="E4001" s="62" t="s">
        <v>382</v>
      </c>
      <c r="F4001" s="63" t="s">
        <v>439</v>
      </c>
      <c r="G4001" s="64" t="n">
        <v>-3138344.25865434</v>
      </c>
      <c r="H4001" s="62" t="s">
        <v>138</v>
      </c>
    </row>
    <row r="4002" customFormat="false" ht="15" hidden="false" customHeight="false" outlineLevel="0" collapsed="false">
      <c r="A4002" s="62" t="n">
        <v>1</v>
      </c>
      <c r="B4002" s="62" t="s">
        <v>386</v>
      </c>
      <c r="C4002" s="62" t="s">
        <v>60</v>
      </c>
      <c r="D4002" s="62" t="s">
        <v>67</v>
      </c>
      <c r="E4002" s="62" t="s">
        <v>382</v>
      </c>
      <c r="F4002" s="63" t="s">
        <v>439</v>
      </c>
      <c r="G4002" s="64" t="n">
        <v>-3754028.55943474</v>
      </c>
      <c r="H4002" s="62" t="s">
        <v>138</v>
      </c>
    </row>
    <row r="4003" customFormat="false" ht="15" hidden="false" customHeight="false" outlineLevel="0" collapsed="false">
      <c r="A4003" s="62" t="n">
        <v>1</v>
      </c>
      <c r="B4003" s="62" t="s">
        <v>387</v>
      </c>
      <c r="C4003" s="62" t="s">
        <v>60</v>
      </c>
      <c r="D4003" s="62" t="s">
        <v>67</v>
      </c>
      <c r="E4003" s="62" t="s">
        <v>382</v>
      </c>
      <c r="F4003" s="63" t="s">
        <v>439</v>
      </c>
      <c r="G4003" s="64" t="n">
        <v>-13553378.0364078</v>
      </c>
      <c r="H4003" s="62" t="s">
        <v>138</v>
      </c>
    </row>
    <row r="4004" customFormat="false" ht="15" hidden="false" customHeight="false" outlineLevel="0" collapsed="false">
      <c r="A4004" s="62" t="n">
        <v>1</v>
      </c>
      <c r="B4004" s="62" t="s">
        <v>388</v>
      </c>
      <c r="C4004" s="62" t="s">
        <v>60</v>
      </c>
      <c r="D4004" s="62" t="s">
        <v>67</v>
      </c>
      <c r="E4004" s="62" t="s">
        <v>382</v>
      </c>
      <c r="F4004" s="63" t="s">
        <v>439</v>
      </c>
      <c r="G4004" s="64" t="n">
        <v>-4293255.62722052</v>
      </c>
      <c r="H4004" s="62" t="s">
        <v>138</v>
      </c>
    </row>
    <row r="4005" customFormat="false" ht="15" hidden="false" customHeight="false" outlineLevel="0" collapsed="false">
      <c r="A4005" s="62" t="n">
        <v>1</v>
      </c>
      <c r="B4005" s="62" t="s">
        <v>381</v>
      </c>
      <c r="C4005" s="62" t="s">
        <v>60</v>
      </c>
      <c r="D4005" s="62" t="s">
        <v>67</v>
      </c>
      <c r="E4005" s="62" t="s">
        <v>382</v>
      </c>
      <c r="F4005" s="63" t="s">
        <v>440</v>
      </c>
      <c r="G4005" s="64" t="n">
        <v>-8183796.80593898</v>
      </c>
      <c r="H4005" s="62" t="s">
        <v>138</v>
      </c>
    </row>
    <row r="4006" customFormat="false" ht="15" hidden="false" customHeight="false" outlineLevel="0" collapsed="false">
      <c r="A4006" s="62" t="n">
        <v>1</v>
      </c>
      <c r="B4006" s="62" t="s">
        <v>383</v>
      </c>
      <c r="C4006" s="62" t="s">
        <v>60</v>
      </c>
      <c r="D4006" s="62" t="s">
        <v>67</v>
      </c>
      <c r="E4006" s="62" t="s">
        <v>382</v>
      </c>
      <c r="F4006" s="63" t="s">
        <v>440</v>
      </c>
      <c r="G4006" s="64" t="n">
        <v>-2742513.95451262</v>
      </c>
      <c r="H4006" s="62" t="s">
        <v>138</v>
      </c>
    </row>
    <row r="4007" customFormat="false" ht="15" hidden="false" customHeight="false" outlineLevel="0" collapsed="false">
      <c r="A4007" s="62" t="n">
        <v>1</v>
      </c>
      <c r="B4007" s="62" t="s">
        <v>384</v>
      </c>
      <c r="C4007" s="62" t="s">
        <v>60</v>
      </c>
      <c r="D4007" s="62" t="s">
        <v>67</v>
      </c>
      <c r="E4007" s="62" t="s">
        <v>382</v>
      </c>
      <c r="F4007" s="63" t="s">
        <v>440</v>
      </c>
      <c r="G4007" s="64" t="n">
        <v>-4986754.34017969</v>
      </c>
      <c r="H4007" s="62" t="s">
        <v>138</v>
      </c>
    </row>
    <row r="4008" customFormat="false" ht="15" hidden="false" customHeight="false" outlineLevel="0" collapsed="false">
      <c r="A4008" s="62" t="n">
        <v>1</v>
      </c>
      <c r="B4008" s="62" t="s">
        <v>385</v>
      </c>
      <c r="C4008" s="62" t="s">
        <v>60</v>
      </c>
      <c r="D4008" s="62" t="s">
        <v>67</v>
      </c>
      <c r="E4008" s="62" t="s">
        <v>382</v>
      </c>
      <c r="F4008" s="63" t="s">
        <v>440</v>
      </c>
      <c r="G4008" s="64" t="n">
        <v>-3626536.30410277</v>
      </c>
      <c r="H4008" s="62" t="s">
        <v>138</v>
      </c>
    </row>
    <row r="4009" customFormat="false" ht="15" hidden="false" customHeight="false" outlineLevel="0" collapsed="false">
      <c r="A4009" s="62" t="n">
        <v>1</v>
      </c>
      <c r="B4009" s="62" t="s">
        <v>386</v>
      </c>
      <c r="C4009" s="62" t="s">
        <v>60</v>
      </c>
      <c r="D4009" s="62" t="s">
        <v>67</v>
      </c>
      <c r="E4009" s="62" t="s">
        <v>382</v>
      </c>
      <c r="F4009" s="63" t="s">
        <v>440</v>
      </c>
      <c r="G4009" s="64" t="n">
        <v>-788617.727830636</v>
      </c>
      <c r="H4009" s="62" t="s">
        <v>138</v>
      </c>
    </row>
    <row r="4010" customFormat="false" ht="15" hidden="false" customHeight="false" outlineLevel="0" collapsed="false">
      <c r="A4010" s="62" t="n">
        <v>1</v>
      </c>
      <c r="B4010" s="62" t="s">
        <v>387</v>
      </c>
      <c r="C4010" s="62" t="s">
        <v>60</v>
      </c>
      <c r="D4010" s="62" t="s">
        <v>67</v>
      </c>
      <c r="E4010" s="62" t="s">
        <v>382</v>
      </c>
      <c r="F4010" s="63" t="s">
        <v>440</v>
      </c>
      <c r="G4010" s="64" t="n">
        <v>-7815390.66237222</v>
      </c>
      <c r="H4010" s="62" t="s">
        <v>138</v>
      </c>
    </row>
    <row r="4011" customFormat="false" ht="15" hidden="false" customHeight="false" outlineLevel="0" collapsed="false">
      <c r="A4011" s="62" t="n">
        <v>1</v>
      </c>
      <c r="B4011" s="62" t="s">
        <v>388</v>
      </c>
      <c r="C4011" s="62" t="s">
        <v>60</v>
      </c>
      <c r="D4011" s="62" t="s">
        <v>67</v>
      </c>
      <c r="E4011" s="62" t="s">
        <v>382</v>
      </c>
      <c r="F4011" s="63" t="s">
        <v>440</v>
      </c>
      <c r="G4011" s="64" t="n">
        <v>-3618101.53088142</v>
      </c>
      <c r="H4011" s="62" t="s">
        <v>138</v>
      </c>
    </row>
    <row r="4012" customFormat="false" ht="15" hidden="false" customHeight="false" outlineLevel="0" collapsed="false">
      <c r="A4012" s="62" t="n">
        <v>1</v>
      </c>
      <c r="B4012" s="62" t="s">
        <v>381</v>
      </c>
      <c r="C4012" s="62" t="s">
        <v>60</v>
      </c>
      <c r="D4012" s="62" t="s">
        <v>67</v>
      </c>
      <c r="E4012" s="62" t="s">
        <v>382</v>
      </c>
      <c r="F4012" s="63" t="s">
        <v>441</v>
      </c>
      <c r="G4012" s="64" t="n">
        <v>9274082.78533571</v>
      </c>
      <c r="H4012" s="62" t="s">
        <v>138</v>
      </c>
    </row>
    <row r="4013" customFormat="false" ht="15" hidden="false" customHeight="false" outlineLevel="0" collapsed="false">
      <c r="A4013" s="62" t="n">
        <v>1</v>
      </c>
      <c r="B4013" s="62" t="s">
        <v>383</v>
      </c>
      <c r="C4013" s="62" t="s">
        <v>60</v>
      </c>
      <c r="D4013" s="62" t="s">
        <v>67</v>
      </c>
      <c r="E4013" s="62" t="s">
        <v>382</v>
      </c>
      <c r="F4013" s="63" t="s">
        <v>441</v>
      </c>
      <c r="G4013" s="64" t="n">
        <v>9274082.78533571</v>
      </c>
      <c r="H4013" s="62" t="s">
        <v>138</v>
      </c>
    </row>
    <row r="4014" customFormat="false" ht="15" hidden="false" customHeight="false" outlineLevel="0" collapsed="false">
      <c r="A4014" s="62" t="n">
        <v>1</v>
      </c>
      <c r="B4014" s="62" t="s">
        <v>384</v>
      </c>
      <c r="C4014" s="62" t="s">
        <v>60</v>
      </c>
      <c r="D4014" s="62" t="s">
        <v>67</v>
      </c>
      <c r="E4014" s="62" t="s">
        <v>382</v>
      </c>
      <c r="F4014" s="63" t="s">
        <v>441</v>
      </c>
      <c r="G4014" s="64" t="n">
        <v>9274082.78533571</v>
      </c>
      <c r="H4014" s="62" t="s">
        <v>138</v>
      </c>
    </row>
    <row r="4015" customFormat="false" ht="15" hidden="false" customHeight="false" outlineLevel="0" collapsed="false">
      <c r="A4015" s="62" t="n">
        <v>1</v>
      </c>
      <c r="B4015" s="62" t="s">
        <v>385</v>
      </c>
      <c r="C4015" s="62" t="s">
        <v>60</v>
      </c>
      <c r="D4015" s="62" t="s">
        <v>67</v>
      </c>
      <c r="E4015" s="62" t="s">
        <v>382</v>
      </c>
      <c r="F4015" s="63" t="s">
        <v>441</v>
      </c>
      <c r="G4015" s="64" t="n">
        <v>9274082.78533571</v>
      </c>
      <c r="H4015" s="62" t="s">
        <v>138</v>
      </c>
    </row>
    <row r="4016" customFormat="false" ht="15" hidden="false" customHeight="false" outlineLevel="0" collapsed="false">
      <c r="A4016" s="62" t="n">
        <v>1</v>
      </c>
      <c r="B4016" s="62" t="s">
        <v>386</v>
      </c>
      <c r="C4016" s="62" t="s">
        <v>60</v>
      </c>
      <c r="D4016" s="62" t="s">
        <v>67</v>
      </c>
      <c r="E4016" s="62" t="s">
        <v>382</v>
      </c>
      <c r="F4016" s="63" t="s">
        <v>441</v>
      </c>
      <c r="G4016" s="64" t="n">
        <v>9274082.78533571</v>
      </c>
      <c r="H4016" s="62" t="s">
        <v>138</v>
      </c>
    </row>
    <row r="4017" customFormat="false" ht="15" hidden="false" customHeight="false" outlineLevel="0" collapsed="false">
      <c r="A4017" s="62" t="n">
        <v>1</v>
      </c>
      <c r="B4017" s="62" t="s">
        <v>387</v>
      </c>
      <c r="C4017" s="62" t="s">
        <v>60</v>
      </c>
      <c r="D4017" s="62" t="s">
        <v>67</v>
      </c>
      <c r="E4017" s="62" t="s">
        <v>382</v>
      </c>
      <c r="F4017" s="63" t="s">
        <v>441</v>
      </c>
      <c r="G4017" s="64" t="n">
        <v>9274082.78533571</v>
      </c>
      <c r="H4017" s="62" t="s">
        <v>138</v>
      </c>
    </row>
    <row r="4018" customFormat="false" ht="15" hidden="false" customHeight="false" outlineLevel="0" collapsed="false">
      <c r="A4018" s="62" t="n">
        <v>1</v>
      </c>
      <c r="B4018" s="62" t="s">
        <v>388</v>
      </c>
      <c r="C4018" s="62" t="s">
        <v>60</v>
      </c>
      <c r="D4018" s="62" t="s">
        <v>67</v>
      </c>
      <c r="E4018" s="62" t="s">
        <v>382</v>
      </c>
      <c r="F4018" s="63" t="s">
        <v>441</v>
      </c>
      <c r="G4018" s="64" t="n">
        <v>9274082.78533571</v>
      </c>
      <c r="H4018" s="62" t="s">
        <v>138</v>
      </c>
    </row>
    <row r="4019" customFormat="false" ht="15" hidden="false" customHeight="false" outlineLevel="0" collapsed="false">
      <c r="A4019" s="62" t="n">
        <v>1</v>
      </c>
      <c r="B4019" s="62" t="s">
        <v>381</v>
      </c>
      <c r="C4019" s="62" t="s">
        <v>60</v>
      </c>
      <c r="D4019" s="62" t="s">
        <v>67</v>
      </c>
      <c r="E4019" s="62" t="s">
        <v>382</v>
      </c>
      <c r="F4019" s="63" t="s">
        <v>442</v>
      </c>
      <c r="G4019" s="64" t="n">
        <v>1090285.97939674</v>
      </c>
      <c r="H4019" s="62" t="s">
        <v>138</v>
      </c>
    </row>
    <row r="4020" customFormat="false" ht="15" hidden="false" customHeight="false" outlineLevel="0" collapsed="false">
      <c r="A4020" s="62" t="n">
        <v>1</v>
      </c>
      <c r="B4020" s="62" t="s">
        <v>383</v>
      </c>
      <c r="C4020" s="62" t="s">
        <v>60</v>
      </c>
      <c r="D4020" s="62" t="s">
        <v>67</v>
      </c>
      <c r="E4020" s="62" t="s">
        <v>382</v>
      </c>
      <c r="F4020" s="63" t="s">
        <v>442</v>
      </c>
      <c r="G4020" s="64" t="n">
        <v>6531568.8308231</v>
      </c>
      <c r="H4020" s="62" t="s">
        <v>138</v>
      </c>
    </row>
    <row r="4021" customFormat="false" ht="15" hidden="false" customHeight="false" outlineLevel="0" collapsed="false">
      <c r="A4021" s="62" t="n">
        <v>1</v>
      </c>
      <c r="B4021" s="62" t="s">
        <v>384</v>
      </c>
      <c r="C4021" s="62" t="s">
        <v>60</v>
      </c>
      <c r="D4021" s="62" t="s">
        <v>67</v>
      </c>
      <c r="E4021" s="62" t="s">
        <v>382</v>
      </c>
      <c r="F4021" s="63" t="s">
        <v>442</v>
      </c>
      <c r="G4021" s="64" t="n">
        <v>4287328.44515603</v>
      </c>
      <c r="H4021" s="62" t="s">
        <v>138</v>
      </c>
    </row>
    <row r="4022" customFormat="false" ht="15" hidden="false" customHeight="false" outlineLevel="0" collapsed="false">
      <c r="A4022" s="62" t="n">
        <v>1</v>
      </c>
      <c r="B4022" s="62" t="s">
        <v>385</v>
      </c>
      <c r="C4022" s="62" t="s">
        <v>60</v>
      </c>
      <c r="D4022" s="62" t="s">
        <v>67</v>
      </c>
      <c r="E4022" s="62" t="s">
        <v>382</v>
      </c>
      <c r="F4022" s="63" t="s">
        <v>442</v>
      </c>
      <c r="G4022" s="64" t="n">
        <v>5647546.48123295</v>
      </c>
      <c r="H4022" s="62" t="s">
        <v>138</v>
      </c>
    </row>
    <row r="4023" customFormat="false" ht="15" hidden="false" customHeight="false" outlineLevel="0" collapsed="false">
      <c r="A4023" s="62" t="n">
        <v>1</v>
      </c>
      <c r="B4023" s="62" t="s">
        <v>386</v>
      </c>
      <c r="C4023" s="62" t="s">
        <v>60</v>
      </c>
      <c r="D4023" s="62" t="s">
        <v>67</v>
      </c>
      <c r="E4023" s="62" t="s">
        <v>382</v>
      </c>
      <c r="F4023" s="63" t="s">
        <v>442</v>
      </c>
      <c r="G4023" s="64" t="n">
        <v>8485465.05750508</v>
      </c>
      <c r="H4023" s="62" t="s">
        <v>138</v>
      </c>
    </row>
    <row r="4024" customFormat="false" ht="15" hidden="false" customHeight="false" outlineLevel="0" collapsed="false">
      <c r="A4024" s="62" t="n">
        <v>1</v>
      </c>
      <c r="B4024" s="62" t="s">
        <v>387</v>
      </c>
      <c r="C4024" s="62" t="s">
        <v>60</v>
      </c>
      <c r="D4024" s="62" t="s">
        <v>67</v>
      </c>
      <c r="E4024" s="62" t="s">
        <v>382</v>
      </c>
      <c r="F4024" s="63" t="s">
        <v>442</v>
      </c>
      <c r="G4024" s="64" t="n">
        <v>1458692.1229635</v>
      </c>
      <c r="H4024" s="62" t="s">
        <v>138</v>
      </c>
    </row>
    <row r="4025" customFormat="false" ht="15" hidden="false" customHeight="false" outlineLevel="0" collapsed="false">
      <c r="A4025" s="62" t="n">
        <v>1</v>
      </c>
      <c r="B4025" s="62" t="s">
        <v>388</v>
      </c>
      <c r="C4025" s="62" t="s">
        <v>60</v>
      </c>
      <c r="D4025" s="62" t="s">
        <v>67</v>
      </c>
      <c r="E4025" s="62" t="s">
        <v>382</v>
      </c>
      <c r="F4025" s="63" t="s">
        <v>442</v>
      </c>
      <c r="G4025" s="64" t="n">
        <v>5655981.2544543</v>
      </c>
      <c r="H4025" s="62" t="s">
        <v>138</v>
      </c>
    </row>
    <row r="4026" customFormat="false" ht="15" hidden="false" customHeight="false" outlineLevel="0" collapsed="false">
      <c r="A4026" s="62" t="n">
        <v>1</v>
      </c>
      <c r="B4026" s="62" t="s">
        <v>381</v>
      </c>
      <c r="C4026" s="62" t="s">
        <v>60</v>
      </c>
      <c r="D4026" s="62" t="s">
        <v>71</v>
      </c>
      <c r="E4026" s="62" t="s">
        <v>382</v>
      </c>
      <c r="F4026" s="63" t="s">
        <v>400</v>
      </c>
      <c r="G4026" s="64" t="n">
        <v>13236000.5390654</v>
      </c>
      <c r="H4026" s="62" t="s">
        <v>138</v>
      </c>
    </row>
    <row r="4027" customFormat="false" ht="15" hidden="false" customHeight="false" outlineLevel="0" collapsed="false">
      <c r="A4027" s="62" t="n">
        <v>1</v>
      </c>
      <c r="B4027" s="62" t="s">
        <v>383</v>
      </c>
      <c r="C4027" s="62" t="s">
        <v>60</v>
      </c>
      <c r="D4027" s="62" t="s">
        <v>71</v>
      </c>
      <c r="E4027" s="62" t="s">
        <v>382</v>
      </c>
      <c r="F4027" s="63" t="s">
        <v>400</v>
      </c>
      <c r="G4027" s="64" t="n">
        <v>5712058.30832233</v>
      </c>
      <c r="H4027" s="62" t="s">
        <v>138</v>
      </c>
    </row>
    <row r="4028" customFormat="false" ht="15" hidden="false" customHeight="false" outlineLevel="0" collapsed="false">
      <c r="A4028" s="62" t="n">
        <v>1</v>
      </c>
      <c r="B4028" s="62" t="s">
        <v>384</v>
      </c>
      <c r="C4028" s="62" t="s">
        <v>60</v>
      </c>
      <c r="D4028" s="62" t="s">
        <v>71</v>
      </c>
      <c r="E4028" s="62" t="s">
        <v>382</v>
      </c>
      <c r="F4028" s="63" t="s">
        <v>400</v>
      </c>
      <c r="G4028" s="64" t="n">
        <v>11216873.9226851</v>
      </c>
      <c r="H4028" s="62" t="s">
        <v>138</v>
      </c>
    </row>
    <row r="4029" customFormat="false" ht="15" hidden="false" customHeight="false" outlineLevel="0" collapsed="false">
      <c r="A4029" s="62" t="n">
        <v>1</v>
      </c>
      <c r="B4029" s="62" t="s">
        <v>385</v>
      </c>
      <c r="C4029" s="62" t="s">
        <v>60</v>
      </c>
      <c r="D4029" s="62" t="s">
        <v>71</v>
      </c>
      <c r="E4029" s="62" t="s">
        <v>382</v>
      </c>
      <c r="F4029" s="63" t="s">
        <v>400</v>
      </c>
      <c r="G4029" s="64" t="n">
        <v>7735812.36192625</v>
      </c>
      <c r="H4029" s="62" t="s">
        <v>138</v>
      </c>
    </row>
    <row r="4030" customFormat="false" ht="15" hidden="false" customHeight="false" outlineLevel="0" collapsed="false">
      <c r="A4030" s="62" t="n">
        <v>1</v>
      </c>
      <c r="B4030" s="62" t="s">
        <v>386</v>
      </c>
      <c r="C4030" s="62" t="s">
        <v>60</v>
      </c>
      <c r="D4030" s="62" t="s">
        <v>71</v>
      </c>
      <c r="E4030" s="62" t="s">
        <v>382</v>
      </c>
      <c r="F4030" s="63" t="s">
        <v>400</v>
      </c>
      <c r="G4030" s="64" t="n">
        <v>11612366.8401114</v>
      </c>
      <c r="H4030" s="62" t="s">
        <v>138</v>
      </c>
    </row>
    <row r="4031" customFormat="false" ht="15" hidden="false" customHeight="false" outlineLevel="0" collapsed="false">
      <c r="A4031" s="62" t="n">
        <v>1</v>
      </c>
      <c r="B4031" s="62" t="s">
        <v>387</v>
      </c>
      <c r="C4031" s="62" t="s">
        <v>60</v>
      </c>
      <c r="D4031" s="62" t="s">
        <v>71</v>
      </c>
      <c r="E4031" s="62" t="s">
        <v>382</v>
      </c>
      <c r="F4031" s="63" t="s">
        <v>400</v>
      </c>
      <c r="G4031" s="64" t="n">
        <v>11033235.7740064</v>
      </c>
      <c r="H4031" s="62" t="s">
        <v>138</v>
      </c>
    </row>
    <row r="4032" customFormat="false" ht="15" hidden="false" customHeight="false" outlineLevel="0" collapsed="false">
      <c r="A4032" s="62" t="n">
        <v>1</v>
      </c>
      <c r="B4032" s="62" t="s">
        <v>388</v>
      </c>
      <c r="C4032" s="62" t="s">
        <v>60</v>
      </c>
      <c r="D4032" s="62" t="s">
        <v>71</v>
      </c>
      <c r="E4032" s="62" t="s">
        <v>382</v>
      </c>
      <c r="F4032" s="63" t="s">
        <v>400</v>
      </c>
      <c r="G4032" s="64" t="n">
        <v>7115927.364</v>
      </c>
      <c r="H4032" s="62" t="s">
        <v>138</v>
      </c>
    </row>
    <row r="4033" customFormat="false" ht="15" hidden="false" customHeight="false" outlineLevel="0" collapsed="false">
      <c r="A4033" s="62" t="n">
        <v>1</v>
      </c>
      <c r="B4033" s="62" t="s">
        <v>381</v>
      </c>
      <c r="C4033" s="62" t="s">
        <v>60</v>
      </c>
      <c r="D4033" s="62" t="s">
        <v>71</v>
      </c>
      <c r="E4033" s="62" t="s">
        <v>382</v>
      </c>
      <c r="F4033" s="63" t="s">
        <v>401</v>
      </c>
      <c r="G4033" s="64" t="n">
        <v>984362.736272263</v>
      </c>
      <c r="H4033" s="62" t="s">
        <v>138</v>
      </c>
    </row>
    <row r="4034" customFormat="false" ht="15" hidden="false" customHeight="false" outlineLevel="0" collapsed="false">
      <c r="A4034" s="62" t="n">
        <v>1</v>
      </c>
      <c r="B4034" s="62" t="s">
        <v>383</v>
      </c>
      <c r="C4034" s="62" t="s">
        <v>60</v>
      </c>
      <c r="D4034" s="62" t="s">
        <v>71</v>
      </c>
      <c r="E4034" s="62" t="s">
        <v>382</v>
      </c>
      <c r="F4034" s="63" t="s">
        <v>401</v>
      </c>
      <c r="G4034" s="64" t="n">
        <v>7921806.13837742</v>
      </c>
      <c r="H4034" s="62" t="s">
        <v>138</v>
      </c>
    </row>
    <row r="4035" customFormat="false" ht="15" hidden="false" customHeight="false" outlineLevel="0" collapsed="false">
      <c r="A4035" s="62" t="n">
        <v>1</v>
      </c>
      <c r="B4035" s="62" t="s">
        <v>384</v>
      </c>
      <c r="C4035" s="62" t="s">
        <v>60</v>
      </c>
      <c r="D4035" s="62" t="s">
        <v>71</v>
      </c>
      <c r="E4035" s="62" t="s">
        <v>382</v>
      </c>
      <c r="F4035" s="63" t="s">
        <v>401</v>
      </c>
      <c r="G4035" s="64" t="n">
        <v>4361216.97769722</v>
      </c>
      <c r="H4035" s="62" t="s">
        <v>138</v>
      </c>
    </row>
    <row r="4036" customFormat="false" ht="15" hidden="false" customHeight="false" outlineLevel="0" collapsed="false">
      <c r="A4036" s="62" t="n">
        <v>1</v>
      </c>
      <c r="B4036" s="62" t="s">
        <v>385</v>
      </c>
      <c r="C4036" s="62" t="s">
        <v>60</v>
      </c>
      <c r="D4036" s="62" t="s">
        <v>71</v>
      </c>
      <c r="E4036" s="62" t="s">
        <v>382</v>
      </c>
      <c r="F4036" s="63" t="s">
        <v>401</v>
      </c>
      <c r="G4036" s="64" t="n">
        <v>3.46792332855351E-009</v>
      </c>
      <c r="H4036" s="62" t="s">
        <v>138</v>
      </c>
    </row>
    <row r="4037" customFormat="false" ht="15" hidden="false" customHeight="false" outlineLevel="0" collapsed="false">
      <c r="A4037" s="62" t="n">
        <v>1</v>
      </c>
      <c r="B4037" s="62" t="s">
        <v>386</v>
      </c>
      <c r="C4037" s="62" t="s">
        <v>60</v>
      </c>
      <c r="D4037" s="62" t="s">
        <v>71</v>
      </c>
      <c r="E4037" s="62" t="s">
        <v>382</v>
      </c>
      <c r="F4037" s="63" t="s">
        <v>401</v>
      </c>
      <c r="G4037" s="64" t="n">
        <v>2268825.91962129</v>
      </c>
      <c r="H4037" s="62" t="s">
        <v>138</v>
      </c>
    </row>
    <row r="4038" customFormat="false" ht="15" hidden="false" customHeight="false" outlineLevel="0" collapsed="false">
      <c r="A4038" s="62" t="n">
        <v>1</v>
      </c>
      <c r="B4038" s="62" t="s">
        <v>387</v>
      </c>
      <c r="C4038" s="62" t="s">
        <v>60</v>
      </c>
      <c r="D4038" s="62" t="s">
        <v>71</v>
      </c>
      <c r="E4038" s="62" t="s">
        <v>382</v>
      </c>
      <c r="F4038" s="63" t="s">
        <v>401</v>
      </c>
      <c r="G4038" s="64" t="n">
        <v>1853270.84195211</v>
      </c>
      <c r="H4038" s="62" t="s">
        <v>138</v>
      </c>
    </row>
    <row r="4039" customFormat="false" ht="15" hidden="false" customHeight="false" outlineLevel="0" collapsed="false">
      <c r="A4039" s="62" t="n">
        <v>1</v>
      </c>
      <c r="B4039" s="62" t="s">
        <v>388</v>
      </c>
      <c r="C4039" s="62" t="s">
        <v>60</v>
      </c>
      <c r="D4039" s="62" t="s">
        <v>71</v>
      </c>
      <c r="E4039" s="62" t="s">
        <v>382</v>
      </c>
      <c r="F4039" s="63" t="s">
        <v>401</v>
      </c>
      <c r="G4039" s="64" t="n">
        <v>0</v>
      </c>
      <c r="H4039" s="62" t="s">
        <v>138</v>
      </c>
    </row>
    <row r="4040" customFormat="false" ht="15" hidden="false" customHeight="false" outlineLevel="0" collapsed="false">
      <c r="A4040" s="62" t="n">
        <v>1</v>
      </c>
      <c r="B4040" s="62" t="s">
        <v>381</v>
      </c>
      <c r="C4040" s="62" t="s">
        <v>60</v>
      </c>
      <c r="D4040" s="62" t="s">
        <v>71</v>
      </c>
      <c r="E4040" s="62" t="s">
        <v>382</v>
      </c>
      <c r="F4040" s="63" t="s">
        <v>402</v>
      </c>
      <c r="G4040" s="64" t="n">
        <v>14220363.2753377</v>
      </c>
      <c r="H4040" s="62" t="s">
        <v>138</v>
      </c>
    </row>
    <row r="4041" customFormat="false" ht="15" hidden="false" customHeight="false" outlineLevel="0" collapsed="false">
      <c r="A4041" s="62" t="n">
        <v>1</v>
      </c>
      <c r="B4041" s="62" t="s">
        <v>383</v>
      </c>
      <c r="C4041" s="62" t="s">
        <v>60</v>
      </c>
      <c r="D4041" s="62" t="s">
        <v>71</v>
      </c>
      <c r="E4041" s="62" t="s">
        <v>382</v>
      </c>
      <c r="F4041" s="63" t="s">
        <v>402</v>
      </c>
      <c r="G4041" s="64" t="n">
        <v>13633864.4466998</v>
      </c>
      <c r="H4041" s="62" t="s">
        <v>138</v>
      </c>
    </row>
    <row r="4042" customFormat="false" ht="15" hidden="false" customHeight="false" outlineLevel="0" collapsed="false">
      <c r="A4042" s="62" t="n">
        <v>1</v>
      </c>
      <c r="B4042" s="62" t="s">
        <v>384</v>
      </c>
      <c r="C4042" s="62" t="s">
        <v>60</v>
      </c>
      <c r="D4042" s="62" t="s">
        <v>71</v>
      </c>
      <c r="E4042" s="62" t="s">
        <v>382</v>
      </c>
      <c r="F4042" s="63" t="s">
        <v>402</v>
      </c>
      <c r="G4042" s="64" t="n">
        <v>15578090.9003823</v>
      </c>
      <c r="H4042" s="62" t="s">
        <v>138</v>
      </c>
    </row>
    <row r="4043" customFormat="false" ht="15" hidden="false" customHeight="false" outlineLevel="0" collapsed="false">
      <c r="A4043" s="62" t="n">
        <v>1</v>
      </c>
      <c r="B4043" s="62" t="s">
        <v>385</v>
      </c>
      <c r="C4043" s="62" t="s">
        <v>60</v>
      </c>
      <c r="D4043" s="62" t="s">
        <v>71</v>
      </c>
      <c r="E4043" s="62" t="s">
        <v>382</v>
      </c>
      <c r="F4043" s="63" t="s">
        <v>402</v>
      </c>
      <c r="G4043" s="64" t="n">
        <v>7735812.36192625</v>
      </c>
      <c r="H4043" s="62" t="s">
        <v>138</v>
      </c>
    </row>
    <row r="4044" customFormat="false" ht="15" hidden="false" customHeight="false" outlineLevel="0" collapsed="false">
      <c r="A4044" s="62" t="n">
        <v>1</v>
      </c>
      <c r="B4044" s="62" t="s">
        <v>386</v>
      </c>
      <c r="C4044" s="62" t="s">
        <v>60</v>
      </c>
      <c r="D4044" s="62" t="s">
        <v>71</v>
      </c>
      <c r="E4044" s="62" t="s">
        <v>382</v>
      </c>
      <c r="F4044" s="63" t="s">
        <v>402</v>
      </c>
      <c r="G4044" s="64" t="n">
        <v>13881192.7597327</v>
      </c>
      <c r="H4044" s="62" t="s">
        <v>138</v>
      </c>
    </row>
    <row r="4045" customFormat="false" ht="15" hidden="false" customHeight="false" outlineLevel="0" collapsed="false">
      <c r="A4045" s="62" t="n">
        <v>1</v>
      </c>
      <c r="B4045" s="62" t="s">
        <v>387</v>
      </c>
      <c r="C4045" s="62" t="s">
        <v>60</v>
      </c>
      <c r="D4045" s="62" t="s">
        <v>71</v>
      </c>
      <c r="E4045" s="62" t="s">
        <v>382</v>
      </c>
      <c r="F4045" s="63" t="s">
        <v>402</v>
      </c>
      <c r="G4045" s="64" t="n">
        <v>12886506.6159585</v>
      </c>
      <c r="H4045" s="62" t="s">
        <v>138</v>
      </c>
    </row>
    <row r="4046" customFormat="false" ht="15" hidden="false" customHeight="false" outlineLevel="0" collapsed="false">
      <c r="A4046" s="62" t="n">
        <v>1</v>
      </c>
      <c r="B4046" s="62" t="s">
        <v>388</v>
      </c>
      <c r="C4046" s="62" t="s">
        <v>60</v>
      </c>
      <c r="D4046" s="62" t="s">
        <v>71</v>
      </c>
      <c r="E4046" s="62" t="s">
        <v>382</v>
      </c>
      <c r="F4046" s="63" t="s">
        <v>402</v>
      </c>
      <c r="G4046" s="64" t="n">
        <v>7115927.364</v>
      </c>
      <c r="H4046" s="62" t="s">
        <v>138</v>
      </c>
    </row>
    <row r="4047" customFormat="false" ht="15" hidden="false" customHeight="false" outlineLevel="0" collapsed="false">
      <c r="A4047" s="62" t="n">
        <v>1</v>
      </c>
      <c r="B4047" s="62" t="s">
        <v>381</v>
      </c>
      <c r="C4047" s="62" t="s">
        <v>60</v>
      </c>
      <c r="D4047" s="62" t="s">
        <v>71</v>
      </c>
      <c r="E4047" s="62" t="s">
        <v>382</v>
      </c>
      <c r="F4047" s="63" t="s">
        <v>389</v>
      </c>
      <c r="G4047" s="64" t="n">
        <v>3922584.93078149</v>
      </c>
      <c r="H4047" s="62" t="s">
        <v>138</v>
      </c>
    </row>
    <row r="4048" customFormat="false" ht="15" hidden="false" customHeight="false" outlineLevel="0" collapsed="false">
      <c r="A4048" s="62" t="n">
        <v>1</v>
      </c>
      <c r="B4048" s="62" t="s">
        <v>383</v>
      </c>
      <c r="C4048" s="62" t="s">
        <v>60</v>
      </c>
      <c r="D4048" s="62" t="s">
        <v>71</v>
      </c>
      <c r="E4048" s="62" t="s">
        <v>382</v>
      </c>
      <c r="F4048" s="63" t="s">
        <v>389</v>
      </c>
      <c r="G4048" s="64" t="n">
        <v>6076284.99286137</v>
      </c>
      <c r="H4048" s="62" t="s">
        <v>138</v>
      </c>
    </row>
    <row r="4049" customFormat="false" ht="15" hidden="false" customHeight="false" outlineLevel="0" collapsed="false">
      <c r="A4049" s="62" t="n">
        <v>1</v>
      </c>
      <c r="B4049" s="62" t="s">
        <v>384</v>
      </c>
      <c r="C4049" s="62" t="s">
        <v>60</v>
      </c>
      <c r="D4049" s="62" t="s">
        <v>71</v>
      </c>
      <c r="E4049" s="62" t="s">
        <v>382</v>
      </c>
      <c r="F4049" s="63" t="s">
        <v>389</v>
      </c>
      <c r="G4049" s="64" t="n">
        <v>2934370.83993744</v>
      </c>
      <c r="H4049" s="62" t="s">
        <v>138</v>
      </c>
    </row>
    <row r="4050" customFormat="false" ht="15" hidden="false" customHeight="false" outlineLevel="0" collapsed="false">
      <c r="A4050" s="62" t="n">
        <v>1</v>
      </c>
      <c r="B4050" s="62" t="s">
        <v>385</v>
      </c>
      <c r="C4050" s="62" t="s">
        <v>60</v>
      </c>
      <c r="D4050" s="62" t="s">
        <v>71</v>
      </c>
      <c r="E4050" s="62" t="s">
        <v>382</v>
      </c>
      <c r="F4050" s="63" t="s">
        <v>389</v>
      </c>
      <c r="G4050" s="64" t="n">
        <v>3691183.35152104</v>
      </c>
      <c r="H4050" s="62" t="s">
        <v>138</v>
      </c>
    </row>
    <row r="4051" customFormat="false" ht="15" hidden="false" customHeight="false" outlineLevel="0" collapsed="false">
      <c r="A4051" s="62" t="n">
        <v>1</v>
      </c>
      <c r="B4051" s="62" t="s">
        <v>386</v>
      </c>
      <c r="C4051" s="62" t="s">
        <v>60</v>
      </c>
      <c r="D4051" s="62" t="s">
        <v>71</v>
      </c>
      <c r="E4051" s="62" t="s">
        <v>382</v>
      </c>
      <c r="F4051" s="63" t="s">
        <v>389</v>
      </c>
      <c r="G4051" s="64" t="n">
        <v>2954100.99312599</v>
      </c>
      <c r="H4051" s="62" t="s">
        <v>138</v>
      </c>
    </row>
    <row r="4052" customFormat="false" ht="15" hidden="false" customHeight="false" outlineLevel="0" collapsed="false">
      <c r="A4052" s="62" t="n">
        <v>1</v>
      </c>
      <c r="B4052" s="62" t="s">
        <v>387</v>
      </c>
      <c r="C4052" s="62" t="s">
        <v>60</v>
      </c>
      <c r="D4052" s="62" t="s">
        <v>71</v>
      </c>
      <c r="E4052" s="62" t="s">
        <v>382</v>
      </c>
      <c r="F4052" s="63" t="s">
        <v>389</v>
      </c>
      <c r="G4052" s="64" t="n">
        <v>4870922.46168332</v>
      </c>
      <c r="H4052" s="62" t="s">
        <v>138</v>
      </c>
    </row>
    <row r="4053" customFormat="false" ht="15" hidden="false" customHeight="false" outlineLevel="0" collapsed="false">
      <c r="A4053" s="62" t="n">
        <v>1</v>
      </c>
      <c r="B4053" s="62" t="s">
        <v>388</v>
      </c>
      <c r="C4053" s="62" t="s">
        <v>60</v>
      </c>
      <c r="D4053" s="62" t="s">
        <v>71</v>
      </c>
      <c r="E4053" s="62" t="s">
        <v>382</v>
      </c>
      <c r="F4053" s="63" t="s">
        <v>389</v>
      </c>
      <c r="G4053" s="64" t="n">
        <v>4306681.48141276</v>
      </c>
      <c r="H4053" s="62" t="s">
        <v>138</v>
      </c>
    </row>
    <row r="4054" customFormat="false" ht="15" hidden="false" customHeight="false" outlineLevel="0" collapsed="false">
      <c r="A4054" s="62" t="n">
        <v>1</v>
      </c>
      <c r="B4054" s="62" t="s">
        <v>381</v>
      </c>
      <c r="C4054" s="62" t="s">
        <v>60</v>
      </c>
      <c r="D4054" s="62" t="s">
        <v>71</v>
      </c>
      <c r="E4054" s="62" t="s">
        <v>382</v>
      </c>
      <c r="F4054" s="63" t="s">
        <v>390</v>
      </c>
      <c r="G4054" s="64" t="n">
        <v>2110328.43600366</v>
      </c>
      <c r="H4054" s="62" t="s">
        <v>138</v>
      </c>
    </row>
    <row r="4055" customFormat="false" ht="15" hidden="false" customHeight="false" outlineLevel="0" collapsed="false">
      <c r="A4055" s="62" t="n">
        <v>1</v>
      </c>
      <c r="B4055" s="62" t="s">
        <v>383</v>
      </c>
      <c r="C4055" s="62" t="s">
        <v>60</v>
      </c>
      <c r="D4055" s="62" t="s">
        <v>71</v>
      </c>
      <c r="E4055" s="62" t="s">
        <v>382</v>
      </c>
      <c r="F4055" s="63" t="s">
        <v>390</v>
      </c>
      <c r="G4055" s="64" t="n">
        <v>692864.662701387</v>
      </c>
      <c r="H4055" s="62" t="s">
        <v>138</v>
      </c>
    </row>
    <row r="4056" customFormat="false" ht="15" hidden="false" customHeight="false" outlineLevel="0" collapsed="false">
      <c r="A4056" s="62" t="n">
        <v>1</v>
      </c>
      <c r="B4056" s="62" t="s">
        <v>384</v>
      </c>
      <c r="C4056" s="62" t="s">
        <v>60</v>
      </c>
      <c r="D4056" s="62" t="s">
        <v>71</v>
      </c>
      <c r="E4056" s="62" t="s">
        <v>382</v>
      </c>
      <c r="F4056" s="63" t="s">
        <v>390</v>
      </c>
      <c r="G4056" s="64" t="n">
        <v>2381631.54935061</v>
      </c>
      <c r="H4056" s="62" t="s">
        <v>138</v>
      </c>
    </row>
    <row r="4057" customFormat="false" ht="15" hidden="false" customHeight="false" outlineLevel="0" collapsed="false">
      <c r="A4057" s="62" t="n">
        <v>1</v>
      </c>
      <c r="B4057" s="62" t="s">
        <v>385</v>
      </c>
      <c r="C4057" s="62" t="s">
        <v>60</v>
      </c>
      <c r="D4057" s="62" t="s">
        <v>71</v>
      </c>
      <c r="E4057" s="62" t="s">
        <v>382</v>
      </c>
      <c r="F4057" s="63" t="s">
        <v>390</v>
      </c>
      <c r="G4057" s="64" t="n">
        <v>1401610.60216085</v>
      </c>
      <c r="H4057" s="62" t="s">
        <v>138</v>
      </c>
    </row>
    <row r="4058" customFormat="false" ht="15" hidden="false" customHeight="false" outlineLevel="0" collapsed="false">
      <c r="A4058" s="62" t="n">
        <v>1</v>
      </c>
      <c r="B4058" s="62" t="s">
        <v>386</v>
      </c>
      <c r="C4058" s="62" t="s">
        <v>60</v>
      </c>
      <c r="D4058" s="62" t="s">
        <v>71</v>
      </c>
      <c r="E4058" s="62" t="s">
        <v>382</v>
      </c>
      <c r="F4058" s="63" t="s">
        <v>390</v>
      </c>
      <c r="G4058" s="64" t="n">
        <v>1992407.99442308</v>
      </c>
      <c r="H4058" s="62" t="s">
        <v>138</v>
      </c>
    </row>
    <row r="4059" customFormat="false" ht="15" hidden="false" customHeight="false" outlineLevel="0" collapsed="false">
      <c r="A4059" s="62" t="n">
        <v>1</v>
      </c>
      <c r="B4059" s="62" t="s">
        <v>387</v>
      </c>
      <c r="C4059" s="62" t="s">
        <v>60</v>
      </c>
      <c r="D4059" s="62" t="s">
        <v>71</v>
      </c>
      <c r="E4059" s="62" t="s">
        <v>382</v>
      </c>
      <c r="F4059" s="63" t="s">
        <v>390</v>
      </c>
      <c r="G4059" s="64" t="n">
        <v>1796656.15643419</v>
      </c>
      <c r="H4059" s="62" t="s">
        <v>138</v>
      </c>
    </row>
    <row r="4060" customFormat="false" ht="15" hidden="false" customHeight="false" outlineLevel="0" collapsed="false">
      <c r="A4060" s="62" t="n">
        <v>1</v>
      </c>
      <c r="B4060" s="62" t="s">
        <v>388</v>
      </c>
      <c r="C4060" s="62" t="s">
        <v>60</v>
      </c>
      <c r="D4060" s="62" t="s">
        <v>71</v>
      </c>
      <c r="E4060" s="62" t="s">
        <v>382</v>
      </c>
      <c r="F4060" s="63" t="s">
        <v>390</v>
      </c>
      <c r="G4060" s="64" t="n">
        <v>1092000</v>
      </c>
      <c r="H4060" s="62" t="s">
        <v>138</v>
      </c>
    </row>
    <row r="4061" customFormat="false" ht="15" hidden="false" customHeight="false" outlineLevel="0" collapsed="false">
      <c r="A4061" s="62" t="n">
        <v>1</v>
      </c>
      <c r="B4061" s="62" t="s">
        <v>381</v>
      </c>
      <c r="C4061" s="62" t="s">
        <v>60</v>
      </c>
      <c r="D4061" s="62" t="s">
        <v>71</v>
      </c>
      <c r="E4061" s="62" t="s">
        <v>382</v>
      </c>
      <c r="F4061" s="63" t="s">
        <v>391</v>
      </c>
      <c r="G4061" s="64" t="n">
        <v>5328823.60111385</v>
      </c>
      <c r="H4061" s="62" t="s">
        <v>138</v>
      </c>
    </row>
    <row r="4062" customFormat="false" ht="15" hidden="false" customHeight="false" outlineLevel="0" collapsed="false">
      <c r="A4062" s="62" t="n">
        <v>1</v>
      </c>
      <c r="B4062" s="62" t="s">
        <v>383</v>
      </c>
      <c r="C4062" s="62" t="s">
        <v>60</v>
      </c>
      <c r="D4062" s="62" t="s">
        <v>71</v>
      </c>
      <c r="E4062" s="62" t="s">
        <v>382</v>
      </c>
      <c r="F4062" s="63" t="s">
        <v>391</v>
      </c>
      <c r="G4062" s="64" t="n">
        <v>4189208.77178431</v>
      </c>
      <c r="H4062" s="62" t="s">
        <v>138</v>
      </c>
    </row>
    <row r="4063" customFormat="false" ht="15" hidden="false" customHeight="false" outlineLevel="0" collapsed="false">
      <c r="A4063" s="62" t="n">
        <v>1</v>
      </c>
      <c r="B4063" s="62" t="s">
        <v>384</v>
      </c>
      <c r="C4063" s="62" t="s">
        <v>60</v>
      </c>
      <c r="D4063" s="62" t="s">
        <v>71</v>
      </c>
      <c r="E4063" s="62" t="s">
        <v>382</v>
      </c>
      <c r="F4063" s="63" t="s">
        <v>391</v>
      </c>
      <c r="G4063" s="64" t="n">
        <v>7157343.07256458</v>
      </c>
      <c r="H4063" s="62" t="s">
        <v>138</v>
      </c>
    </row>
    <row r="4064" customFormat="false" ht="15" hidden="false" customHeight="false" outlineLevel="0" collapsed="false">
      <c r="A4064" s="62" t="n">
        <v>1</v>
      </c>
      <c r="B4064" s="62" t="s">
        <v>385</v>
      </c>
      <c r="C4064" s="62" t="s">
        <v>60</v>
      </c>
      <c r="D4064" s="62" t="s">
        <v>71</v>
      </c>
      <c r="E4064" s="62" t="s">
        <v>382</v>
      </c>
      <c r="F4064" s="63" t="s">
        <v>391</v>
      </c>
      <c r="G4064" s="64" t="n">
        <v>0</v>
      </c>
      <c r="H4064" s="62" t="s">
        <v>138</v>
      </c>
    </row>
    <row r="4065" customFormat="false" ht="15" hidden="false" customHeight="false" outlineLevel="0" collapsed="false">
      <c r="A4065" s="62" t="n">
        <v>1</v>
      </c>
      <c r="B4065" s="62" t="s">
        <v>386</v>
      </c>
      <c r="C4065" s="62" t="s">
        <v>60</v>
      </c>
      <c r="D4065" s="62" t="s">
        <v>71</v>
      </c>
      <c r="E4065" s="62" t="s">
        <v>382</v>
      </c>
      <c r="F4065" s="63" t="s">
        <v>391</v>
      </c>
      <c r="G4065" s="64" t="n">
        <v>5663654.66726401</v>
      </c>
      <c r="H4065" s="62" t="s">
        <v>138</v>
      </c>
    </row>
    <row r="4066" customFormat="false" ht="15" hidden="false" customHeight="false" outlineLevel="0" collapsed="false">
      <c r="A4066" s="62" t="n">
        <v>1</v>
      </c>
      <c r="B4066" s="62" t="s">
        <v>387</v>
      </c>
      <c r="C4066" s="62" t="s">
        <v>60</v>
      </c>
      <c r="D4066" s="62" t="s">
        <v>71</v>
      </c>
      <c r="E4066" s="62" t="s">
        <v>382</v>
      </c>
      <c r="F4066" s="63" t="s">
        <v>391</v>
      </c>
      <c r="G4066" s="64" t="n">
        <v>2882275.80023416</v>
      </c>
      <c r="H4066" s="62" t="s">
        <v>138</v>
      </c>
    </row>
    <row r="4067" customFormat="false" ht="15" hidden="false" customHeight="false" outlineLevel="0" collapsed="false">
      <c r="A4067" s="62" t="n">
        <v>1</v>
      </c>
      <c r="B4067" s="62" t="s">
        <v>388</v>
      </c>
      <c r="C4067" s="62" t="s">
        <v>60</v>
      </c>
      <c r="D4067" s="62" t="s">
        <v>71</v>
      </c>
      <c r="E4067" s="62" t="s">
        <v>382</v>
      </c>
      <c r="F4067" s="63" t="s">
        <v>391</v>
      </c>
      <c r="G4067" s="64" t="n">
        <v>0</v>
      </c>
      <c r="H4067" s="62" t="s">
        <v>138</v>
      </c>
    </row>
    <row r="4068" customFormat="false" ht="15" hidden="false" customHeight="false" outlineLevel="0" collapsed="false">
      <c r="A4068" s="62" t="n">
        <v>1</v>
      </c>
      <c r="B4068" s="62" t="s">
        <v>381</v>
      </c>
      <c r="C4068" s="62" t="s">
        <v>60</v>
      </c>
      <c r="D4068" s="62" t="s">
        <v>71</v>
      </c>
      <c r="E4068" s="62" t="s">
        <v>382</v>
      </c>
      <c r="F4068" s="63" t="s">
        <v>392</v>
      </c>
      <c r="G4068" s="64" t="n">
        <v>0</v>
      </c>
      <c r="H4068" s="62" t="s">
        <v>138</v>
      </c>
    </row>
    <row r="4069" customFormat="false" ht="15" hidden="false" customHeight="false" outlineLevel="0" collapsed="false">
      <c r="A4069" s="62" t="n">
        <v>1</v>
      </c>
      <c r="B4069" s="62" t="s">
        <v>383</v>
      </c>
      <c r="C4069" s="62" t="s">
        <v>60</v>
      </c>
      <c r="D4069" s="62" t="s">
        <v>71</v>
      </c>
      <c r="E4069" s="62" t="s">
        <v>382</v>
      </c>
      <c r="F4069" s="63" t="s">
        <v>392</v>
      </c>
      <c r="G4069" s="64" t="n">
        <v>0</v>
      </c>
      <c r="H4069" s="62" t="s">
        <v>138</v>
      </c>
    </row>
    <row r="4070" customFormat="false" ht="15" hidden="false" customHeight="false" outlineLevel="0" collapsed="false">
      <c r="A4070" s="62" t="n">
        <v>1</v>
      </c>
      <c r="B4070" s="62" t="s">
        <v>384</v>
      </c>
      <c r="C4070" s="62" t="s">
        <v>60</v>
      </c>
      <c r="D4070" s="62" t="s">
        <v>71</v>
      </c>
      <c r="E4070" s="62" t="s">
        <v>382</v>
      </c>
      <c r="F4070" s="63" t="s">
        <v>392</v>
      </c>
      <c r="G4070" s="64" t="n">
        <v>0</v>
      </c>
      <c r="H4070" s="62" t="s">
        <v>138</v>
      </c>
    </row>
    <row r="4071" customFormat="false" ht="15" hidden="false" customHeight="false" outlineLevel="0" collapsed="false">
      <c r="A4071" s="62" t="n">
        <v>1</v>
      </c>
      <c r="B4071" s="62" t="s">
        <v>385</v>
      </c>
      <c r="C4071" s="62" t="s">
        <v>60</v>
      </c>
      <c r="D4071" s="62" t="s">
        <v>71</v>
      </c>
      <c r="E4071" s="62" t="s">
        <v>382</v>
      </c>
      <c r="F4071" s="63" t="s">
        <v>392</v>
      </c>
      <c r="G4071" s="64" t="n">
        <v>0</v>
      </c>
      <c r="H4071" s="62" t="s">
        <v>138</v>
      </c>
    </row>
    <row r="4072" customFormat="false" ht="15" hidden="false" customHeight="false" outlineLevel="0" collapsed="false">
      <c r="A4072" s="62" t="n">
        <v>1</v>
      </c>
      <c r="B4072" s="62" t="s">
        <v>386</v>
      </c>
      <c r="C4072" s="62" t="s">
        <v>60</v>
      </c>
      <c r="D4072" s="62" t="s">
        <v>71</v>
      </c>
      <c r="E4072" s="62" t="s">
        <v>382</v>
      </c>
      <c r="F4072" s="63" t="s">
        <v>392</v>
      </c>
      <c r="G4072" s="64" t="n">
        <v>0</v>
      </c>
      <c r="H4072" s="62" t="s">
        <v>138</v>
      </c>
    </row>
    <row r="4073" customFormat="false" ht="15" hidden="false" customHeight="false" outlineLevel="0" collapsed="false">
      <c r="A4073" s="62" t="n">
        <v>1</v>
      </c>
      <c r="B4073" s="62" t="s">
        <v>387</v>
      </c>
      <c r="C4073" s="62" t="s">
        <v>60</v>
      </c>
      <c r="D4073" s="62" t="s">
        <v>71</v>
      </c>
      <c r="E4073" s="62" t="s">
        <v>382</v>
      </c>
      <c r="F4073" s="63" t="s">
        <v>392</v>
      </c>
      <c r="G4073" s="64" t="n">
        <v>0</v>
      </c>
      <c r="H4073" s="62" t="s">
        <v>138</v>
      </c>
    </row>
    <row r="4074" customFormat="false" ht="15" hidden="false" customHeight="false" outlineLevel="0" collapsed="false">
      <c r="A4074" s="62" t="n">
        <v>1</v>
      </c>
      <c r="B4074" s="62" t="s">
        <v>388</v>
      </c>
      <c r="C4074" s="62" t="s">
        <v>60</v>
      </c>
      <c r="D4074" s="62" t="s">
        <v>71</v>
      </c>
      <c r="E4074" s="62" t="s">
        <v>382</v>
      </c>
      <c r="F4074" s="63" t="s">
        <v>392</v>
      </c>
      <c r="G4074" s="64" t="n">
        <v>0</v>
      </c>
      <c r="H4074" s="62" t="s">
        <v>138</v>
      </c>
    </row>
    <row r="4075" customFormat="false" ht="15" hidden="false" customHeight="false" outlineLevel="0" collapsed="false">
      <c r="A4075" s="62" t="n">
        <v>1</v>
      </c>
      <c r="B4075" s="62" t="s">
        <v>381</v>
      </c>
      <c r="C4075" s="62" t="s">
        <v>60</v>
      </c>
      <c r="D4075" s="62" t="s">
        <v>71</v>
      </c>
      <c r="E4075" s="62" t="s">
        <v>382</v>
      </c>
      <c r="F4075" s="63" t="s">
        <v>393</v>
      </c>
      <c r="G4075" s="64" t="n">
        <v>249375.968253968</v>
      </c>
      <c r="H4075" s="62" t="s">
        <v>138</v>
      </c>
    </row>
    <row r="4076" customFormat="false" ht="15" hidden="false" customHeight="false" outlineLevel="0" collapsed="false">
      <c r="A4076" s="62" t="n">
        <v>1</v>
      </c>
      <c r="B4076" s="62" t="s">
        <v>383</v>
      </c>
      <c r="C4076" s="62" t="s">
        <v>60</v>
      </c>
      <c r="D4076" s="62" t="s">
        <v>71</v>
      </c>
      <c r="E4076" s="62" t="s">
        <v>382</v>
      </c>
      <c r="F4076" s="63" t="s">
        <v>393</v>
      </c>
      <c r="G4076" s="64" t="n">
        <v>402948.984126984</v>
      </c>
      <c r="H4076" s="62" t="s">
        <v>138</v>
      </c>
    </row>
    <row r="4077" customFormat="false" ht="15" hidden="false" customHeight="false" outlineLevel="0" collapsed="false">
      <c r="A4077" s="62" t="n">
        <v>1</v>
      </c>
      <c r="B4077" s="62" t="s">
        <v>384</v>
      </c>
      <c r="C4077" s="62" t="s">
        <v>60</v>
      </c>
      <c r="D4077" s="62" t="s">
        <v>71</v>
      </c>
      <c r="E4077" s="62" t="s">
        <v>382</v>
      </c>
      <c r="F4077" s="63" t="s">
        <v>393</v>
      </c>
      <c r="G4077" s="64" t="n">
        <v>160046.146031746</v>
      </c>
      <c r="H4077" s="62" t="s">
        <v>138</v>
      </c>
    </row>
    <row r="4078" customFormat="false" ht="15" hidden="false" customHeight="false" outlineLevel="0" collapsed="false">
      <c r="A4078" s="62" t="n">
        <v>1</v>
      </c>
      <c r="B4078" s="62" t="s">
        <v>385</v>
      </c>
      <c r="C4078" s="62" t="s">
        <v>60</v>
      </c>
      <c r="D4078" s="62" t="s">
        <v>71</v>
      </c>
      <c r="E4078" s="62" t="s">
        <v>382</v>
      </c>
      <c r="F4078" s="63" t="s">
        <v>393</v>
      </c>
      <c r="G4078" s="64" t="n">
        <v>148252.571428571</v>
      </c>
      <c r="H4078" s="62" t="s">
        <v>138</v>
      </c>
    </row>
    <row r="4079" customFormat="false" ht="15" hidden="false" customHeight="false" outlineLevel="0" collapsed="false">
      <c r="A4079" s="62" t="n">
        <v>1</v>
      </c>
      <c r="B4079" s="62" t="s">
        <v>386</v>
      </c>
      <c r="C4079" s="62" t="s">
        <v>60</v>
      </c>
      <c r="D4079" s="62" t="s">
        <v>71</v>
      </c>
      <c r="E4079" s="62" t="s">
        <v>382</v>
      </c>
      <c r="F4079" s="63" t="s">
        <v>393</v>
      </c>
      <c r="G4079" s="64" t="n">
        <v>178321.46031746</v>
      </c>
      <c r="H4079" s="62" t="s">
        <v>138</v>
      </c>
    </row>
    <row r="4080" customFormat="false" ht="15" hidden="false" customHeight="false" outlineLevel="0" collapsed="false">
      <c r="A4080" s="62" t="n">
        <v>1</v>
      </c>
      <c r="B4080" s="62" t="s">
        <v>387</v>
      </c>
      <c r="C4080" s="62" t="s">
        <v>60</v>
      </c>
      <c r="D4080" s="62" t="s">
        <v>71</v>
      </c>
      <c r="E4080" s="62" t="s">
        <v>382</v>
      </c>
      <c r="F4080" s="63" t="s">
        <v>393</v>
      </c>
      <c r="G4080" s="64" t="n">
        <v>657308</v>
      </c>
      <c r="H4080" s="62" t="s">
        <v>138</v>
      </c>
    </row>
    <row r="4081" customFormat="false" ht="15" hidden="false" customHeight="false" outlineLevel="0" collapsed="false">
      <c r="A4081" s="62" t="n">
        <v>1</v>
      </c>
      <c r="B4081" s="62" t="s">
        <v>388</v>
      </c>
      <c r="C4081" s="62" t="s">
        <v>60</v>
      </c>
      <c r="D4081" s="62" t="s">
        <v>71</v>
      </c>
      <c r="E4081" s="62" t="s">
        <v>382</v>
      </c>
      <c r="F4081" s="63" t="s">
        <v>393</v>
      </c>
      <c r="G4081" s="64" t="n">
        <v>370350.158730159</v>
      </c>
      <c r="H4081" s="62" t="s">
        <v>138</v>
      </c>
    </row>
    <row r="4082" customFormat="false" ht="15" hidden="false" customHeight="false" outlineLevel="0" collapsed="false">
      <c r="A4082" s="62" t="n">
        <v>1</v>
      </c>
      <c r="B4082" s="62" t="s">
        <v>381</v>
      </c>
      <c r="C4082" s="62" t="s">
        <v>60</v>
      </c>
      <c r="D4082" s="62" t="s">
        <v>71</v>
      </c>
      <c r="E4082" s="62" t="s">
        <v>382</v>
      </c>
      <c r="F4082" s="63" t="s">
        <v>394</v>
      </c>
      <c r="G4082" s="64" t="n">
        <v>300000</v>
      </c>
      <c r="H4082" s="62" t="s">
        <v>138</v>
      </c>
    </row>
    <row r="4083" customFormat="false" ht="15" hidden="false" customHeight="false" outlineLevel="0" collapsed="false">
      <c r="A4083" s="62" t="n">
        <v>1</v>
      </c>
      <c r="B4083" s="62" t="s">
        <v>383</v>
      </c>
      <c r="C4083" s="62" t="s">
        <v>60</v>
      </c>
      <c r="D4083" s="62" t="s">
        <v>71</v>
      </c>
      <c r="E4083" s="62" t="s">
        <v>382</v>
      </c>
      <c r="F4083" s="63" t="s">
        <v>394</v>
      </c>
      <c r="G4083" s="64" t="n">
        <v>1627309</v>
      </c>
      <c r="H4083" s="62" t="s">
        <v>138</v>
      </c>
    </row>
    <row r="4084" customFormat="false" ht="15" hidden="false" customHeight="false" outlineLevel="0" collapsed="false">
      <c r="A4084" s="62" t="n">
        <v>1</v>
      </c>
      <c r="B4084" s="62" t="s">
        <v>384</v>
      </c>
      <c r="C4084" s="62" t="s">
        <v>60</v>
      </c>
      <c r="D4084" s="62" t="s">
        <v>71</v>
      </c>
      <c r="E4084" s="62" t="s">
        <v>382</v>
      </c>
      <c r="F4084" s="63" t="s">
        <v>394</v>
      </c>
      <c r="G4084" s="64" t="n">
        <v>347984</v>
      </c>
      <c r="H4084" s="62" t="s">
        <v>138</v>
      </c>
    </row>
    <row r="4085" customFormat="false" ht="15" hidden="false" customHeight="false" outlineLevel="0" collapsed="false">
      <c r="A4085" s="62" t="n">
        <v>1</v>
      </c>
      <c r="B4085" s="62" t="s">
        <v>385</v>
      </c>
      <c r="C4085" s="62" t="s">
        <v>60</v>
      </c>
      <c r="D4085" s="62" t="s">
        <v>71</v>
      </c>
      <c r="E4085" s="62" t="s">
        <v>382</v>
      </c>
      <c r="F4085" s="63" t="s">
        <v>394</v>
      </c>
      <c r="G4085" s="64" t="n">
        <v>400000</v>
      </c>
      <c r="H4085" s="62" t="s">
        <v>138</v>
      </c>
    </row>
    <row r="4086" customFormat="false" ht="15" hidden="false" customHeight="false" outlineLevel="0" collapsed="false">
      <c r="A4086" s="62" t="n">
        <v>1</v>
      </c>
      <c r="B4086" s="62" t="s">
        <v>386</v>
      </c>
      <c r="C4086" s="62" t="s">
        <v>60</v>
      </c>
      <c r="D4086" s="62" t="s">
        <v>71</v>
      </c>
      <c r="E4086" s="62" t="s">
        <v>382</v>
      </c>
      <c r="F4086" s="63" t="s">
        <v>394</v>
      </c>
      <c r="G4086" s="64" t="n">
        <v>200000</v>
      </c>
      <c r="H4086" s="62" t="s">
        <v>138</v>
      </c>
    </row>
    <row r="4087" customFormat="false" ht="15" hidden="false" customHeight="false" outlineLevel="0" collapsed="false">
      <c r="A4087" s="62" t="n">
        <v>1</v>
      </c>
      <c r="B4087" s="62" t="s">
        <v>387</v>
      </c>
      <c r="C4087" s="62" t="s">
        <v>60</v>
      </c>
      <c r="D4087" s="62" t="s">
        <v>71</v>
      </c>
      <c r="E4087" s="62" t="s">
        <v>382</v>
      </c>
      <c r="F4087" s="63" t="s">
        <v>394</v>
      </c>
      <c r="G4087" s="64" t="n">
        <v>443970</v>
      </c>
      <c r="H4087" s="62" t="s">
        <v>138</v>
      </c>
    </row>
    <row r="4088" customFormat="false" ht="15" hidden="false" customHeight="false" outlineLevel="0" collapsed="false">
      <c r="A4088" s="62" t="n">
        <v>1</v>
      </c>
      <c r="B4088" s="62" t="s">
        <v>388</v>
      </c>
      <c r="C4088" s="62" t="s">
        <v>60</v>
      </c>
      <c r="D4088" s="62" t="s">
        <v>71</v>
      </c>
      <c r="E4088" s="62" t="s">
        <v>382</v>
      </c>
      <c r="F4088" s="63" t="s">
        <v>394</v>
      </c>
      <c r="G4088" s="64" t="n">
        <v>587521</v>
      </c>
      <c r="H4088" s="62" t="s">
        <v>138</v>
      </c>
    </row>
    <row r="4089" customFormat="false" ht="15" hidden="false" customHeight="false" outlineLevel="0" collapsed="false">
      <c r="A4089" s="62" t="n">
        <v>1</v>
      </c>
      <c r="B4089" s="62" t="s">
        <v>381</v>
      </c>
      <c r="C4089" s="62" t="s">
        <v>60</v>
      </c>
      <c r="D4089" s="62" t="s">
        <v>71</v>
      </c>
      <c r="E4089" s="62" t="s">
        <v>382</v>
      </c>
      <c r="F4089" s="63" t="s">
        <v>395</v>
      </c>
      <c r="G4089" s="64" t="n">
        <v>138518.895711763</v>
      </c>
      <c r="H4089" s="62" t="s">
        <v>138</v>
      </c>
    </row>
    <row r="4090" customFormat="false" ht="15" hidden="false" customHeight="false" outlineLevel="0" collapsed="false">
      <c r="A4090" s="62" t="n">
        <v>1</v>
      </c>
      <c r="B4090" s="62" t="s">
        <v>383</v>
      </c>
      <c r="C4090" s="62" t="s">
        <v>60</v>
      </c>
      <c r="D4090" s="62" t="s">
        <v>71</v>
      </c>
      <c r="E4090" s="62" t="s">
        <v>382</v>
      </c>
      <c r="F4090" s="63" t="s">
        <v>395</v>
      </c>
      <c r="G4090" s="64" t="n">
        <v>182460.136758247</v>
      </c>
      <c r="H4090" s="62" t="s">
        <v>138</v>
      </c>
    </row>
    <row r="4091" customFormat="false" ht="15" hidden="false" customHeight="false" outlineLevel="0" collapsed="false">
      <c r="A4091" s="62" t="n">
        <v>1</v>
      </c>
      <c r="B4091" s="62" t="s">
        <v>384</v>
      </c>
      <c r="C4091" s="62" t="s">
        <v>60</v>
      </c>
      <c r="D4091" s="62" t="s">
        <v>71</v>
      </c>
      <c r="E4091" s="62" t="s">
        <v>382</v>
      </c>
      <c r="F4091" s="63" t="s">
        <v>395</v>
      </c>
      <c r="G4091" s="64" t="n">
        <v>172830.290608399</v>
      </c>
      <c r="H4091" s="62" t="s">
        <v>138</v>
      </c>
    </row>
    <row r="4092" customFormat="false" ht="15" hidden="false" customHeight="false" outlineLevel="0" collapsed="false">
      <c r="A4092" s="62" t="n">
        <v>1</v>
      </c>
      <c r="B4092" s="62" t="s">
        <v>385</v>
      </c>
      <c r="C4092" s="62" t="s">
        <v>60</v>
      </c>
      <c r="D4092" s="62" t="s">
        <v>71</v>
      </c>
      <c r="E4092" s="62" t="s">
        <v>382</v>
      </c>
      <c r="F4092" s="63" t="s">
        <v>395</v>
      </c>
      <c r="G4092" s="64" t="n">
        <v>122794.532258887</v>
      </c>
      <c r="H4092" s="62" t="s">
        <v>138</v>
      </c>
    </row>
    <row r="4093" customFormat="false" ht="15" hidden="false" customHeight="false" outlineLevel="0" collapsed="false">
      <c r="A4093" s="62" t="n">
        <v>1</v>
      </c>
      <c r="B4093" s="62" t="s">
        <v>386</v>
      </c>
      <c r="C4093" s="62" t="s">
        <v>60</v>
      </c>
      <c r="D4093" s="62" t="s">
        <v>71</v>
      </c>
      <c r="E4093" s="62" t="s">
        <v>382</v>
      </c>
      <c r="F4093" s="63" t="s">
        <v>395</v>
      </c>
      <c r="G4093" s="64" t="n">
        <v>103692.637994514</v>
      </c>
      <c r="H4093" s="62" t="s">
        <v>138</v>
      </c>
    </row>
    <row r="4094" customFormat="false" ht="15" hidden="false" customHeight="false" outlineLevel="0" collapsed="false">
      <c r="A4094" s="62" t="n">
        <v>1</v>
      </c>
      <c r="B4094" s="62" t="s">
        <v>387</v>
      </c>
      <c r="C4094" s="62" t="s">
        <v>60</v>
      </c>
      <c r="D4094" s="62" t="s">
        <v>71</v>
      </c>
      <c r="E4094" s="62" t="s">
        <v>382</v>
      </c>
      <c r="F4094" s="63" t="s">
        <v>395</v>
      </c>
      <c r="G4094" s="64" t="n">
        <v>192981.644095175</v>
      </c>
      <c r="H4094" s="62" t="s">
        <v>138</v>
      </c>
    </row>
    <row r="4095" customFormat="false" ht="15" hidden="false" customHeight="false" outlineLevel="0" collapsed="false">
      <c r="A4095" s="62" t="n">
        <v>1</v>
      </c>
      <c r="B4095" s="62" t="s">
        <v>388</v>
      </c>
      <c r="C4095" s="62" t="s">
        <v>60</v>
      </c>
      <c r="D4095" s="62" t="s">
        <v>71</v>
      </c>
      <c r="E4095" s="62" t="s">
        <v>382</v>
      </c>
      <c r="F4095" s="63" t="s">
        <v>395</v>
      </c>
      <c r="G4095" s="64" t="n">
        <v>104803.749105625</v>
      </c>
      <c r="H4095" s="62" t="s">
        <v>138</v>
      </c>
    </row>
    <row r="4096" customFormat="false" ht="15" hidden="false" customHeight="false" outlineLevel="0" collapsed="false">
      <c r="A4096" s="62" t="n">
        <v>1</v>
      </c>
      <c r="B4096" s="62" t="s">
        <v>381</v>
      </c>
      <c r="C4096" s="62" t="s">
        <v>60</v>
      </c>
      <c r="D4096" s="62" t="s">
        <v>71</v>
      </c>
      <c r="E4096" s="62" t="s">
        <v>382</v>
      </c>
      <c r="F4096" s="63" t="s">
        <v>403</v>
      </c>
      <c r="G4096" s="64" t="n">
        <v>0</v>
      </c>
      <c r="H4096" s="62" t="s">
        <v>138</v>
      </c>
    </row>
    <row r="4097" customFormat="false" ht="15" hidden="false" customHeight="false" outlineLevel="0" collapsed="false">
      <c r="A4097" s="62" t="n">
        <v>1</v>
      </c>
      <c r="B4097" s="62" t="s">
        <v>383</v>
      </c>
      <c r="C4097" s="62" t="s">
        <v>60</v>
      </c>
      <c r="D4097" s="62" t="s">
        <v>71</v>
      </c>
      <c r="E4097" s="62" t="s">
        <v>382</v>
      </c>
      <c r="F4097" s="63" t="s">
        <v>403</v>
      </c>
      <c r="G4097" s="64" t="n">
        <v>0</v>
      </c>
      <c r="H4097" s="62" t="s">
        <v>138</v>
      </c>
    </row>
    <row r="4098" customFormat="false" ht="15" hidden="false" customHeight="false" outlineLevel="0" collapsed="false">
      <c r="A4098" s="62" t="n">
        <v>1</v>
      </c>
      <c r="B4098" s="62" t="s">
        <v>384</v>
      </c>
      <c r="C4098" s="62" t="s">
        <v>60</v>
      </c>
      <c r="D4098" s="62" t="s">
        <v>71</v>
      </c>
      <c r="E4098" s="62" t="s">
        <v>382</v>
      </c>
      <c r="F4098" s="63" t="s">
        <v>403</v>
      </c>
      <c r="G4098" s="64" t="n">
        <v>0</v>
      </c>
      <c r="H4098" s="62" t="s">
        <v>138</v>
      </c>
    </row>
    <row r="4099" customFormat="false" ht="15" hidden="false" customHeight="false" outlineLevel="0" collapsed="false">
      <c r="A4099" s="62" t="n">
        <v>1</v>
      </c>
      <c r="B4099" s="62" t="s">
        <v>385</v>
      </c>
      <c r="C4099" s="62" t="s">
        <v>60</v>
      </c>
      <c r="D4099" s="62" t="s">
        <v>71</v>
      </c>
      <c r="E4099" s="62" t="s">
        <v>382</v>
      </c>
      <c r="F4099" s="63" t="s">
        <v>403</v>
      </c>
      <c r="G4099" s="64" t="n">
        <v>0</v>
      </c>
      <c r="H4099" s="62" t="s">
        <v>138</v>
      </c>
    </row>
    <row r="4100" customFormat="false" ht="15" hidden="false" customHeight="false" outlineLevel="0" collapsed="false">
      <c r="A4100" s="62" t="n">
        <v>1</v>
      </c>
      <c r="B4100" s="62" t="s">
        <v>386</v>
      </c>
      <c r="C4100" s="62" t="s">
        <v>60</v>
      </c>
      <c r="D4100" s="62" t="s">
        <v>71</v>
      </c>
      <c r="E4100" s="62" t="s">
        <v>382</v>
      </c>
      <c r="F4100" s="63" t="s">
        <v>403</v>
      </c>
      <c r="G4100" s="64" t="n">
        <v>0</v>
      </c>
      <c r="H4100" s="62" t="s">
        <v>138</v>
      </c>
    </row>
    <row r="4101" customFormat="false" ht="15" hidden="false" customHeight="false" outlineLevel="0" collapsed="false">
      <c r="A4101" s="62" t="n">
        <v>1</v>
      </c>
      <c r="B4101" s="62" t="s">
        <v>387</v>
      </c>
      <c r="C4101" s="62" t="s">
        <v>60</v>
      </c>
      <c r="D4101" s="62" t="s">
        <v>71</v>
      </c>
      <c r="E4101" s="62" t="s">
        <v>382</v>
      </c>
      <c r="F4101" s="63" t="s">
        <v>403</v>
      </c>
      <c r="G4101" s="64" t="n">
        <v>0</v>
      </c>
      <c r="H4101" s="62" t="s">
        <v>138</v>
      </c>
    </row>
    <row r="4102" customFormat="false" ht="15" hidden="false" customHeight="false" outlineLevel="0" collapsed="false">
      <c r="A4102" s="62" t="n">
        <v>1</v>
      </c>
      <c r="B4102" s="62" t="s">
        <v>388</v>
      </c>
      <c r="C4102" s="62" t="s">
        <v>60</v>
      </c>
      <c r="D4102" s="62" t="s">
        <v>71</v>
      </c>
      <c r="E4102" s="62" t="s">
        <v>382</v>
      </c>
      <c r="F4102" s="63" t="s">
        <v>403</v>
      </c>
      <c r="G4102" s="64" t="n">
        <v>0</v>
      </c>
      <c r="H4102" s="62" t="s">
        <v>138</v>
      </c>
    </row>
    <row r="4103" customFormat="false" ht="15" hidden="false" customHeight="false" outlineLevel="0" collapsed="false">
      <c r="A4103" s="62" t="n">
        <v>1</v>
      </c>
      <c r="B4103" s="62" t="s">
        <v>381</v>
      </c>
      <c r="C4103" s="62" t="s">
        <v>60</v>
      </c>
      <c r="D4103" s="62" t="s">
        <v>71</v>
      </c>
      <c r="E4103" s="62" t="s">
        <v>382</v>
      </c>
      <c r="F4103" s="63" t="s">
        <v>404</v>
      </c>
      <c r="G4103" s="64" t="n">
        <v>12049631.8318647</v>
      </c>
      <c r="H4103" s="62" t="s">
        <v>138</v>
      </c>
    </row>
    <row r="4104" customFormat="false" ht="15" hidden="false" customHeight="false" outlineLevel="0" collapsed="false">
      <c r="A4104" s="62" t="n">
        <v>1</v>
      </c>
      <c r="B4104" s="62" t="s">
        <v>383</v>
      </c>
      <c r="C4104" s="62" t="s">
        <v>60</v>
      </c>
      <c r="D4104" s="62" t="s">
        <v>71</v>
      </c>
      <c r="E4104" s="62" t="s">
        <v>382</v>
      </c>
      <c r="F4104" s="63" t="s">
        <v>404</v>
      </c>
      <c r="G4104" s="64" t="n">
        <v>13171076.5482323</v>
      </c>
      <c r="H4104" s="62" t="s">
        <v>138</v>
      </c>
    </row>
    <row r="4105" customFormat="false" ht="15" hidden="false" customHeight="false" outlineLevel="0" collapsed="false">
      <c r="A4105" s="62" t="n">
        <v>1</v>
      </c>
      <c r="B4105" s="62" t="s">
        <v>384</v>
      </c>
      <c r="C4105" s="62" t="s">
        <v>60</v>
      </c>
      <c r="D4105" s="62" t="s">
        <v>71</v>
      </c>
      <c r="E4105" s="62" t="s">
        <v>382</v>
      </c>
      <c r="F4105" s="63" t="s">
        <v>404</v>
      </c>
      <c r="G4105" s="64" t="n">
        <v>13154205.8984928</v>
      </c>
      <c r="H4105" s="62" t="s">
        <v>138</v>
      </c>
    </row>
    <row r="4106" customFormat="false" ht="15" hidden="false" customHeight="false" outlineLevel="0" collapsed="false">
      <c r="A4106" s="62" t="n">
        <v>1</v>
      </c>
      <c r="B4106" s="62" t="s">
        <v>385</v>
      </c>
      <c r="C4106" s="62" t="s">
        <v>60</v>
      </c>
      <c r="D4106" s="62" t="s">
        <v>71</v>
      </c>
      <c r="E4106" s="62" t="s">
        <v>382</v>
      </c>
      <c r="F4106" s="63" t="s">
        <v>404</v>
      </c>
      <c r="G4106" s="64" t="n">
        <v>5763841.05736935</v>
      </c>
      <c r="H4106" s="62" t="s">
        <v>138</v>
      </c>
    </row>
    <row r="4107" customFormat="false" ht="15" hidden="false" customHeight="false" outlineLevel="0" collapsed="false">
      <c r="A4107" s="62" t="n">
        <v>1</v>
      </c>
      <c r="B4107" s="62" t="s">
        <v>386</v>
      </c>
      <c r="C4107" s="62" t="s">
        <v>60</v>
      </c>
      <c r="D4107" s="62" t="s">
        <v>71</v>
      </c>
      <c r="E4107" s="62" t="s">
        <v>382</v>
      </c>
      <c r="F4107" s="63" t="s">
        <v>404</v>
      </c>
      <c r="G4107" s="64" t="n">
        <v>11092177.7531251</v>
      </c>
      <c r="H4107" s="62" t="s">
        <v>138</v>
      </c>
    </row>
    <row r="4108" customFormat="false" ht="15" hidden="false" customHeight="false" outlineLevel="0" collapsed="false">
      <c r="A4108" s="62" t="n">
        <v>1</v>
      </c>
      <c r="B4108" s="62" t="s">
        <v>387</v>
      </c>
      <c r="C4108" s="62" t="s">
        <v>60</v>
      </c>
      <c r="D4108" s="62" t="s">
        <v>71</v>
      </c>
      <c r="E4108" s="62" t="s">
        <v>382</v>
      </c>
      <c r="F4108" s="63" t="s">
        <v>404</v>
      </c>
      <c r="G4108" s="64" t="n">
        <v>10844114.0624469</v>
      </c>
      <c r="H4108" s="62" t="s">
        <v>138</v>
      </c>
    </row>
    <row r="4109" customFormat="false" ht="15" hidden="false" customHeight="false" outlineLevel="0" collapsed="false">
      <c r="A4109" s="62" t="n">
        <v>1</v>
      </c>
      <c r="B4109" s="62" t="s">
        <v>388</v>
      </c>
      <c r="C4109" s="62" t="s">
        <v>60</v>
      </c>
      <c r="D4109" s="62" t="s">
        <v>71</v>
      </c>
      <c r="E4109" s="62" t="s">
        <v>382</v>
      </c>
      <c r="F4109" s="63" t="s">
        <v>404</v>
      </c>
      <c r="G4109" s="64" t="n">
        <v>6461356.38924854</v>
      </c>
      <c r="H4109" s="62" t="s">
        <v>138</v>
      </c>
    </row>
    <row r="4110" customFormat="false" ht="15" hidden="false" customHeight="false" outlineLevel="0" collapsed="false">
      <c r="A4110" s="62" t="n">
        <v>1</v>
      </c>
      <c r="B4110" s="62" t="s">
        <v>381</v>
      </c>
      <c r="C4110" s="62" t="s">
        <v>60</v>
      </c>
      <c r="D4110" s="62" t="s">
        <v>71</v>
      </c>
      <c r="E4110" s="62" t="s">
        <v>382</v>
      </c>
      <c r="F4110" s="63" t="s">
        <v>405</v>
      </c>
      <c r="G4110" s="64" t="n">
        <v>2170731.44347295</v>
      </c>
      <c r="H4110" s="62" t="s">
        <v>138</v>
      </c>
    </row>
    <row r="4111" customFormat="false" ht="15" hidden="false" customHeight="false" outlineLevel="0" collapsed="false">
      <c r="A4111" s="62" t="n">
        <v>1</v>
      </c>
      <c r="B4111" s="62" t="s">
        <v>383</v>
      </c>
      <c r="C4111" s="62" t="s">
        <v>60</v>
      </c>
      <c r="D4111" s="62" t="s">
        <v>71</v>
      </c>
      <c r="E4111" s="62" t="s">
        <v>382</v>
      </c>
      <c r="F4111" s="63" t="s">
        <v>405</v>
      </c>
      <c r="G4111" s="64" t="n">
        <v>462787.898467455</v>
      </c>
      <c r="H4111" s="62" t="s">
        <v>138</v>
      </c>
    </row>
    <row r="4112" customFormat="false" ht="15" hidden="false" customHeight="false" outlineLevel="0" collapsed="false">
      <c r="A4112" s="62" t="n">
        <v>1</v>
      </c>
      <c r="B4112" s="62" t="s">
        <v>384</v>
      </c>
      <c r="C4112" s="62" t="s">
        <v>60</v>
      </c>
      <c r="D4112" s="62" t="s">
        <v>71</v>
      </c>
      <c r="E4112" s="62" t="s">
        <v>382</v>
      </c>
      <c r="F4112" s="63" t="s">
        <v>405</v>
      </c>
      <c r="G4112" s="64" t="n">
        <v>2423885.00188956</v>
      </c>
      <c r="H4112" s="62" t="s">
        <v>138</v>
      </c>
    </row>
    <row r="4113" customFormat="false" ht="15" hidden="false" customHeight="false" outlineLevel="0" collapsed="false">
      <c r="A4113" s="62" t="n">
        <v>1</v>
      </c>
      <c r="B4113" s="62" t="s">
        <v>385</v>
      </c>
      <c r="C4113" s="62" t="s">
        <v>60</v>
      </c>
      <c r="D4113" s="62" t="s">
        <v>71</v>
      </c>
      <c r="E4113" s="62" t="s">
        <v>382</v>
      </c>
      <c r="F4113" s="63" t="s">
        <v>405</v>
      </c>
      <c r="G4113" s="64" t="n">
        <v>1971971.3045569</v>
      </c>
      <c r="H4113" s="62" t="s">
        <v>138</v>
      </c>
    </row>
    <row r="4114" customFormat="false" ht="15" hidden="false" customHeight="false" outlineLevel="0" collapsed="false">
      <c r="A4114" s="62" t="n">
        <v>1</v>
      </c>
      <c r="B4114" s="62" t="s">
        <v>386</v>
      </c>
      <c r="C4114" s="62" t="s">
        <v>60</v>
      </c>
      <c r="D4114" s="62" t="s">
        <v>71</v>
      </c>
      <c r="E4114" s="62" t="s">
        <v>382</v>
      </c>
      <c r="F4114" s="63" t="s">
        <v>405</v>
      </c>
      <c r="G4114" s="64" t="n">
        <v>2789015.00660761</v>
      </c>
      <c r="H4114" s="62" t="s">
        <v>138</v>
      </c>
    </row>
    <row r="4115" customFormat="false" ht="15" hidden="false" customHeight="false" outlineLevel="0" collapsed="false">
      <c r="A4115" s="62" t="n">
        <v>1</v>
      </c>
      <c r="B4115" s="62" t="s">
        <v>387</v>
      </c>
      <c r="C4115" s="62" t="s">
        <v>60</v>
      </c>
      <c r="D4115" s="62" t="s">
        <v>71</v>
      </c>
      <c r="E4115" s="62" t="s">
        <v>382</v>
      </c>
      <c r="F4115" s="63" t="s">
        <v>405</v>
      </c>
      <c r="G4115" s="64" t="n">
        <v>2042392.55351165</v>
      </c>
      <c r="H4115" s="62" t="s">
        <v>138</v>
      </c>
    </row>
    <row r="4116" customFormat="false" ht="15" hidden="false" customHeight="false" outlineLevel="0" collapsed="false">
      <c r="A4116" s="62" t="n">
        <v>1</v>
      </c>
      <c r="B4116" s="62" t="s">
        <v>388</v>
      </c>
      <c r="C4116" s="62" t="s">
        <v>60</v>
      </c>
      <c r="D4116" s="62" t="s">
        <v>71</v>
      </c>
      <c r="E4116" s="62" t="s">
        <v>382</v>
      </c>
      <c r="F4116" s="63" t="s">
        <v>405</v>
      </c>
      <c r="G4116" s="64" t="n">
        <v>654570.974751455</v>
      </c>
      <c r="H4116" s="62" t="s">
        <v>138</v>
      </c>
    </row>
    <row r="4117" customFormat="false" ht="15" hidden="false" customHeight="false" outlineLevel="0" collapsed="false">
      <c r="A4117" s="62" t="n">
        <v>1</v>
      </c>
      <c r="B4117" s="62" t="s">
        <v>381</v>
      </c>
      <c r="C4117" s="62" t="s">
        <v>60</v>
      </c>
      <c r="D4117" s="62" t="s">
        <v>71</v>
      </c>
      <c r="E4117" s="62" t="s">
        <v>382</v>
      </c>
      <c r="F4117" s="63" t="s">
        <v>406</v>
      </c>
      <c r="G4117" s="64" t="n">
        <v>178258.86</v>
      </c>
      <c r="H4117" s="62" t="s">
        <v>138</v>
      </c>
    </row>
    <row r="4118" customFormat="false" ht="15" hidden="false" customHeight="false" outlineLevel="0" collapsed="false">
      <c r="A4118" s="62" t="n">
        <v>1</v>
      </c>
      <c r="B4118" s="62" t="s">
        <v>383</v>
      </c>
      <c r="C4118" s="62" t="s">
        <v>60</v>
      </c>
      <c r="D4118" s="62" t="s">
        <v>71</v>
      </c>
      <c r="E4118" s="62" t="s">
        <v>382</v>
      </c>
      <c r="F4118" s="63" t="s">
        <v>406</v>
      </c>
      <c r="G4118" s="64" t="n">
        <v>178258.86</v>
      </c>
      <c r="H4118" s="62" t="s">
        <v>138</v>
      </c>
    </row>
    <row r="4119" customFormat="false" ht="15" hidden="false" customHeight="false" outlineLevel="0" collapsed="false">
      <c r="A4119" s="62" t="n">
        <v>1</v>
      </c>
      <c r="B4119" s="62" t="s">
        <v>384</v>
      </c>
      <c r="C4119" s="62" t="s">
        <v>60</v>
      </c>
      <c r="D4119" s="62" t="s">
        <v>71</v>
      </c>
      <c r="E4119" s="62" t="s">
        <v>382</v>
      </c>
      <c r="F4119" s="63" t="s">
        <v>406</v>
      </c>
      <c r="G4119" s="64" t="n">
        <v>178258.86</v>
      </c>
      <c r="H4119" s="62" t="s">
        <v>138</v>
      </c>
    </row>
    <row r="4120" customFormat="false" ht="15" hidden="false" customHeight="false" outlineLevel="0" collapsed="false">
      <c r="A4120" s="62" t="n">
        <v>1</v>
      </c>
      <c r="B4120" s="62" t="s">
        <v>385</v>
      </c>
      <c r="C4120" s="62" t="s">
        <v>60</v>
      </c>
      <c r="D4120" s="62" t="s">
        <v>71</v>
      </c>
      <c r="E4120" s="62" t="s">
        <v>382</v>
      </c>
      <c r="F4120" s="63" t="s">
        <v>406</v>
      </c>
      <c r="G4120" s="64" t="n">
        <v>178258.86</v>
      </c>
      <c r="H4120" s="62" t="s">
        <v>138</v>
      </c>
    </row>
    <row r="4121" customFormat="false" ht="15" hidden="false" customHeight="false" outlineLevel="0" collapsed="false">
      <c r="A4121" s="62" t="n">
        <v>1</v>
      </c>
      <c r="B4121" s="62" t="s">
        <v>386</v>
      </c>
      <c r="C4121" s="62" t="s">
        <v>60</v>
      </c>
      <c r="D4121" s="62" t="s">
        <v>71</v>
      </c>
      <c r="E4121" s="62" t="s">
        <v>382</v>
      </c>
      <c r="F4121" s="63" t="s">
        <v>406</v>
      </c>
      <c r="G4121" s="64" t="n">
        <v>178258.86</v>
      </c>
      <c r="H4121" s="62" t="s">
        <v>138</v>
      </c>
    </row>
    <row r="4122" customFormat="false" ht="15" hidden="false" customHeight="false" outlineLevel="0" collapsed="false">
      <c r="A4122" s="62" t="n">
        <v>1</v>
      </c>
      <c r="B4122" s="62" t="s">
        <v>387</v>
      </c>
      <c r="C4122" s="62" t="s">
        <v>60</v>
      </c>
      <c r="D4122" s="62" t="s">
        <v>71</v>
      </c>
      <c r="E4122" s="62" t="s">
        <v>382</v>
      </c>
      <c r="F4122" s="63" t="s">
        <v>406</v>
      </c>
      <c r="G4122" s="64" t="n">
        <v>178258.86</v>
      </c>
      <c r="H4122" s="62" t="s">
        <v>138</v>
      </c>
    </row>
    <row r="4123" customFormat="false" ht="15" hidden="false" customHeight="false" outlineLevel="0" collapsed="false">
      <c r="A4123" s="62" t="n">
        <v>1</v>
      </c>
      <c r="B4123" s="62" t="s">
        <v>388</v>
      </c>
      <c r="C4123" s="62" t="s">
        <v>60</v>
      </c>
      <c r="D4123" s="62" t="s">
        <v>71</v>
      </c>
      <c r="E4123" s="62" t="s">
        <v>382</v>
      </c>
      <c r="F4123" s="63" t="s">
        <v>406</v>
      </c>
      <c r="G4123" s="64" t="n">
        <v>178258.86</v>
      </c>
      <c r="H4123" s="62" t="s">
        <v>138</v>
      </c>
    </row>
    <row r="4124" customFormat="false" ht="15" hidden="false" customHeight="false" outlineLevel="0" collapsed="false">
      <c r="A4124" s="62" t="n">
        <v>1</v>
      </c>
      <c r="B4124" s="62" t="s">
        <v>381</v>
      </c>
      <c r="C4124" s="62" t="s">
        <v>60</v>
      </c>
      <c r="D4124" s="62" t="s">
        <v>71</v>
      </c>
      <c r="E4124" s="62" t="s">
        <v>382</v>
      </c>
      <c r="F4124" s="63" t="s">
        <v>407</v>
      </c>
      <c r="G4124" s="64" t="n">
        <v>1992472.58347295</v>
      </c>
      <c r="H4124" s="62" t="s">
        <v>138</v>
      </c>
    </row>
    <row r="4125" customFormat="false" ht="15" hidden="false" customHeight="false" outlineLevel="0" collapsed="false">
      <c r="A4125" s="62" t="n">
        <v>1</v>
      </c>
      <c r="B4125" s="62" t="s">
        <v>383</v>
      </c>
      <c r="C4125" s="62" t="s">
        <v>60</v>
      </c>
      <c r="D4125" s="62" t="s">
        <v>71</v>
      </c>
      <c r="E4125" s="62" t="s">
        <v>382</v>
      </c>
      <c r="F4125" s="63" t="s">
        <v>407</v>
      </c>
      <c r="G4125" s="64" t="n">
        <v>284529.038467455</v>
      </c>
      <c r="H4125" s="62" t="s">
        <v>138</v>
      </c>
    </row>
    <row r="4126" customFormat="false" ht="15" hidden="false" customHeight="false" outlineLevel="0" collapsed="false">
      <c r="A4126" s="62" t="n">
        <v>1</v>
      </c>
      <c r="B4126" s="62" t="s">
        <v>384</v>
      </c>
      <c r="C4126" s="62" t="s">
        <v>60</v>
      </c>
      <c r="D4126" s="62" t="s">
        <v>71</v>
      </c>
      <c r="E4126" s="62" t="s">
        <v>382</v>
      </c>
      <c r="F4126" s="63" t="s">
        <v>407</v>
      </c>
      <c r="G4126" s="64" t="n">
        <v>2245626.14188956</v>
      </c>
      <c r="H4126" s="62" t="s">
        <v>138</v>
      </c>
    </row>
    <row r="4127" customFormat="false" ht="15" hidden="false" customHeight="false" outlineLevel="0" collapsed="false">
      <c r="A4127" s="62" t="n">
        <v>1</v>
      </c>
      <c r="B4127" s="62" t="s">
        <v>385</v>
      </c>
      <c r="C4127" s="62" t="s">
        <v>60</v>
      </c>
      <c r="D4127" s="62" t="s">
        <v>71</v>
      </c>
      <c r="E4127" s="62" t="s">
        <v>382</v>
      </c>
      <c r="F4127" s="63" t="s">
        <v>407</v>
      </c>
      <c r="G4127" s="64" t="n">
        <v>1793712.4445569</v>
      </c>
      <c r="H4127" s="62" t="s">
        <v>138</v>
      </c>
    </row>
    <row r="4128" customFormat="false" ht="15" hidden="false" customHeight="false" outlineLevel="0" collapsed="false">
      <c r="A4128" s="62" t="n">
        <v>1</v>
      </c>
      <c r="B4128" s="62" t="s">
        <v>386</v>
      </c>
      <c r="C4128" s="62" t="s">
        <v>60</v>
      </c>
      <c r="D4128" s="62" t="s">
        <v>71</v>
      </c>
      <c r="E4128" s="62" t="s">
        <v>382</v>
      </c>
      <c r="F4128" s="63" t="s">
        <v>407</v>
      </c>
      <c r="G4128" s="64" t="n">
        <v>2610756.14660761</v>
      </c>
      <c r="H4128" s="62" t="s">
        <v>138</v>
      </c>
    </row>
    <row r="4129" customFormat="false" ht="15" hidden="false" customHeight="false" outlineLevel="0" collapsed="false">
      <c r="A4129" s="62" t="n">
        <v>1</v>
      </c>
      <c r="B4129" s="62" t="s">
        <v>387</v>
      </c>
      <c r="C4129" s="62" t="s">
        <v>60</v>
      </c>
      <c r="D4129" s="62" t="s">
        <v>71</v>
      </c>
      <c r="E4129" s="62" t="s">
        <v>382</v>
      </c>
      <c r="F4129" s="63" t="s">
        <v>407</v>
      </c>
      <c r="G4129" s="64" t="n">
        <v>1864133.69351165</v>
      </c>
      <c r="H4129" s="62" t="s">
        <v>138</v>
      </c>
    </row>
    <row r="4130" customFormat="false" ht="15" hidden="false" customHeight="false" outlineLevel="0" collapsed="false">
      <c r="A4130" s="62" t="n">
        <v>1</v>
      </c>
      <c r="B4130" s="62" t="s">
        <v>388</v>
      </c>
      <c r="C4130" s="62" t="s">
        <v>60</v>
      </c>
      <c r="D4130" s="62" t="s">
        <v>71</v>
      </c>
      <c r="E4130" s="62" t="s">
        <v>382</v>
      </c>
      <c r="F4130" s="63" t="s">
        <v>407</v>
      </c>
      <c r="G4130" s="64" t="n">
        <v>476312.114751455</v>
      </c>
      <c r="H4130" s="62" t="s">
        <v>138</v>
      </c>
    </row>
    <row r="4131" customFormat="false" ht="15" hidden="false" customHeight="false" outlineLevel="0" collapsed="false">
      <c r="A4131" s="62" t="n">
        <v>1</v>
      </c>
      <c r="B4131" s="62" t="s">
        <v>381</v>
      </c>
      <c r="C4131" s="62" t="s">
        <v>60</v>
      </c>
      <c r="D4131" s="62" t="s">
        <v>71</v>
      </c>
      <c r="E4131" s="62" t="s">
        <v>382</v>
      </c>
      <c r="F4131" s="63" t="s">
        <v>408</v>
      </c>
      <c r="G4131" s="64" t="n">
        <v>-72726.6471917144</v>
      </c>
      <c r="H4131" s="62" t="s">
        <v>138</v>
      </c>
    </row>
    <row r="4132" customFormat="false" ht="15" hidden="false" customHeight="false" outlineLevel="0" collapsed="false">
      <c r="A4132" s="62" t="n">
        <v>1</v>
      </c>
      <c r="B4132" s="62" t="s">
        <v>383</v>
      </c>
      <c r="C4132" s="62" t="s">
        <v>60</v>
      </c>
      <c r="D4132" s="62" t="s">
        <v>71</v>
      </c>
      <c r="E4132" s="62" t="s">
        <v>382</v>
      </c>
      <c r="F4132" s="63" t="s">
        <v>408</v>
      </c>
      <c r="G4132" s="64" t="n">
        <v>-278203.037917341</v>
      </c>
      <c r="H4132" s="62" t="s">
        <v>138</v>
      </c>
    </row>
    <row r="4133" customFormat="false" ht="15" hidden="false" customHeight="false" outlineLevel="0" collapsed="false">
      <c r="A4133" s="62" t="n">
        <v>1</v>
      </c>
      <c r="B4133" s="62" t="s">
        <v>384</v>
      </c>
      <c r="C4133" s="62" t="s">
        <v>60</v>
      </c>
      <c r="D4133" s="62" t="s">
        <v>71</v>
      </c>
      <c r="E4133" s="62" t="s">
        <v>382</v>
      </c>
      <c r="F4133" s="63" t="s">
        <v>408</v>
      </c>
      <c r="G4133" s="64" t="n">
        <v>-170366.489876681</v>
      </c>
      <c r="H4133" s="62" t="s">
        <v>138</v>
      </c>
    </row>
    <row r="4134" customFormat="false" ht="15" hidden="false" customHeight="false" outlineLevel="0" collapsed="false">
      <c r="A4134" s="62" t="n">
        <v>1</v>
      </c>
      <c r="B4134" s="62" t="s">
        <v>385</v>
      </c>
      <c r="C4134" s="62" t="s">
        <v>60</v>
      </c>
      <c r="D4134" s="62" t="s">
        <v>71</v>
      </c>
      <c r="E4134" s="62" t="s">
        <v>382</v>
      </c>
      <c r="F4134" s="63" t="s">
        <v>408</v>
      </c>
      <c r="G4134" s="64" t="n">
        <v>-65206.9950914953</v>
      </c>
      <c r="H4134" s="62" t="s">
        <v>138</v>
      </c>
    </row>
    <row r="4135" customFormat="false" ht="15" hidden="false" customHeight="false" outlineLevel="0" collapsed="false">
      <c r="A4135" s="62" t="n">
        <v>1</v>
      </c>
      <c r="B4135" s="62" t="s">
        <v>386</v>
      </c>
      <c r="C4135" s="62" t="s">
        <v>60</v>
      </c>
      <c r="D4135" s="62" t="s">
        <v>71</v>
      </c>
      <c r="E4135" s="62" t="s">
        <v>382</v>
      </c>
      <c r="F4135" s="63" t="s">
        <v>408</v>
      </c>
      <c r="G4135" s="64" t="n">
        <v>-114172.818497491</v>
      </c>
      <c r="H4135" s="62" t="s">
        <v>138</v>
      </c>
    </row>
    <row r="4136" customFormat="false" ht="15" hidden="false" customHeight="false" outlineLevel="0" collapsed="false">
      <c r="A4136" s="62" t="n">
        <v>1</v>
      </c>
      <c r="B4136" s="62" t="s">
        <v>387</v>
      </c>
      <c r="C4136" s="62" t="s">
        <v>60</v>
      </c>
      <c r="D4136" s="62" t="s">
        <v>71</v>
      </c>
      <c r="E4136" s="62" t="s">
        <v>382</v>
      </c>
      <c r="F4136" s="63" t="s">
        <v>408</v>
      </c>
      <c r="G4136" s="64" t="n">
        <v>-319484.473488123</v>
      </c>
      <c r="H4136" s="62" t="s">
        <v>138</v>
      </c>
    </row>
    <row r="4137" customFormat="false" ht="15" hidden="false" customHeight="false" outlineLevel="0" collapsed="false">
      <c r="A4137" s="62" t="n">
        <v>1</v>
      </c>
      <c r="B4137" s="62" t="s">
        <v>388</v>
      </c>
      <c r="C4137" s="62" t="s">
        <v>60</v>
      </c>
      <c r="D4137" s="62" t="s">
        <v>71</v>
      </c>
      <c r="E4137" s="62" t="s">
        <v>382</v>
      </c>
      <c r="F4137" s="63" t="s">
        <v>408</v>
      </c>
      <c r="G4137" s="64" t="n">
        <v>-83100.0028325305</v>
      </c>
      <c r="H4137" s="62" t="s">
        <v>138</v>
      </c>
    </row>
    <row r="4138" customFormat="false" ht="15" hidden="false" customHeight="false" outlineLevel="0" collapsed="false">
      <c r="A4138" s="62" t="n">
        <v>1</v>
      </c>
      <c r="B4138" s="62" t="s">
        <v>381</v>
      </c>
      <c r="C4138" s="62" t="s">
        <v>60</v>
      </c>
      <c r="D4138" s="62" t="s">
        <v>71</v>
      </c>
      <c r="E4138" s="62" t="s">
        <v>382</v>
      </c>
      <c r="F4138" s="63" t="s">
        <v>409</v>
      </c>
      <c r="G4138" s="64" t="n">
        <v>2065199.23066467</v>
      </c>
      <c r="H4138" s="62" t="s">
        <v>138</v>
      </c>
    </row>
    <row r="4139" customFormat="false" ht="15" hidden="false" customHeight="false" outlineLevel="0" collapsed="false">
      <c r="A4139" s="62" t="n">
        <v>1</v>
      </c>
      <c r="B4139" s="62" t="s">
        <v>383</v>
      </c>
      <c r="C4139" s="62" t="s">
        <v>60</v>
      </c>
      <c r="D4139" s="62" t="s">
        <v>71</v>
      </c>
      <c r="E4139" s="62" t="s">
        <v>382</v>
      </c>
      <c r="F4139" s="63" t="s">
        <v>409</v>
      </c>
      <c r="G4139" s="64" t="n">
        <v>562732.076384796</v>
      </c>
      <c r="H4139" s="62" t="s">
        <v>138</v>
      </c>
    </row>
    <row r="4140" customFormat="false" ht="15" hidden="false" customHeight="false" outlineLevel="0" collapsed="false">
      <c r="A4140" s="62" t="n">
        <v>1</v>
      </c>
      <c r="B4140" s="62" t="s">
        <v>384</v>
      </c>
      <c r="C4140" s="62" t="s">
        <v>60</v>
      </c>
      <c r="D4140" s="62" t="s">
        <v>71</v>
      </c>
      <c r="E4140" s="62" t="s">
        <v>382</v>
      </c>
      <c r="F4140" s="63" t="s">
        <v>409</v>
      </c>
      <c r="G4140" s="64" t="n">
        <v>2415992.63176624</v>
      </c>
      <c r="H4140" s="62" t="s">
        <v>138</v>
      </c>
    </row>
    <row r="4141" customFormat="false" ht="15" hidden="false" customHeight="false" outlineLevel="0" collapsed="false">
      <c r="A4141" s="62" t="n">
        <v>1</v>
      </c>
      <c r="B4141" s="62" t="s">
        <v>385</v>
      </c>
      <c r="C4141" s="62" t="s">
        <v>60</v>
      </c>
      <c r="D4141" s="62" t="s">
        <v>71</v>
      </c>
      <c r="E4141" s="62" t="s">
        <v>382</v>
      </c>
      <c r="F4141" s="63" t="s">
        <v>409</v>
      </c>
      <c r="G4141" s="64" t="n">
        <v>1858919.43964839</v>
      </c>
      <c r="H4141" s="62" t="s">
        <v>138</v>
      </c>
    </row>
    <row r="4142" customFormat="false" ht="15" hidden="false" customHeight="false" outlineLevel="0" collapsed="false">
      <c r="A4142" s="62" t="n">
        <v>1</v>
      </c>
      <c r="B4142" s="62" t="s">
        <v>386</v>
      </c>
      <c r="C4142" s="62" t="s">
        <v>60</v>
      </c>
      <c r="D4142" s="62" t="s">
        <v>71</v>
      </c>
      <c r="E4142" s="62" t="s">
        <v>382</v>
      </c>
      <c r="F4142" s="63" t="s">
        <v>409</v>
      </c>
      <c r="G4142" s="64" t="n">
        <v>2724928.9651051</v>
      </c>
      <c r="H4142" s="62" t="s">
        <v>138</v>
      </c>
    </row>
    <row r="4143" customFormat="false" ht="15" hidden="false" customHeight="false" outlineLevel="0" collapsed="false">
      <c r="A4143" s="62" t="n">
        <v>1</v>
      </c>
      <c r="B4143" s="62" t="s">
        <v>387</v>
      </c>
      <c r="C4143" s="62" t="s">
        <v>60</v>
      </c>
      <c r="D4143" s="62" t="s">
        <v>71</v>
      </c>
      <c r="E4143" s="62" t="s">
        <v>382</v>
      </c>
      <c r="F4143" s="63" t="s">
        <v>409</v>
      </c>
      <c r="G4143" s="64" t="n">
        <v>2183618.16699977</v>
      </c>
      <c r="H4143" s="62" t="s">
        <v>138</v>
      </c>
    </row>
    <row r="4144" customFormat="false" ht="15" hidden="false" customHeight="false" outlineLevel="0" collapsed="false">
      <c r="A4144" s="62" t="n">
        <v>1</v>
      </c>
      <c r="B4144" s="62" t="s">
        <v>388</v>
      </c>
      <c r="C4144" s="62" t="s">
        <v>60</v>
      </c>
      <c r="D4144" s="62" t="s">
        <v>71</v>
      </c>
      <c r="E4144" s="62" t="s">
        <v>382</v>
      </c>
      <c r="F4144" s="63" t="s">
        <v>409</v>
      </c>
      <c r="G4144" s="64" t="n">
        <v>559412.117583985</v>
      </c>
      <c r="H4144" s="62" t="s">
        <v>138</v>
      </c>
    </row>
    <row r="4145" customFormat="false" ht="15" hidden="false" customHeight="false" outlineLevel="0" collapsed="false">
      <c r="A4145" s="62" t="n">
        <v>1</v>
      </c>
      <c r="B4145" s="62" t="s">
        <v>381</v>
      </c>
      <c r="C4145" s="62" t="s">
        <v>60</v>
      </c>
      <c r="D4145" s="62" t="s">
        <v>71</v>
      </c>
      <c r="E4145" s="62" t="s">
        <v>382</v>
      </c>
      <c r="F4145" s="63" t="s">
        <v>410</v>
      </c>
      <c r="G4145" s="64" t="n">
        <v>516299.807666167</v>
      </c>
      <c r="H4145" s="62" t="s">
        <v>138</v>
      </c>
    </row>
    <row r="4146" customFormat="false" ht="15" hidden="false" customHeight="false" outlineLevel="0" collapsed="false">
      <c r="A4146" s="62" t="n">
        <v>1</v>
      </c>
      <c r="B4146" s="62" t="s">
        <v>383</v>
      </c>
      <c r="C4146" s="62" t="s">
        <v>60</v>
      </c>
      <c r="D4146" s="62" t="s">
        <v>71</v>
      </c>
      <c r="E4146" s="62" t="s">
        <v>382</v>
      </c>
      <c r="F4146" s="63" t="s">
        <v>410</v>
      </c>
      <c r="G4146" s="64" t="n">
        <v>140683.019096199</v>
      </c>
      <c r="H4146" s="62" t="s">
        <v>138</v>
      </c>
    </row>
    <row r="4147" customFormat="false" ht="15" hidden="false" customHeight="false" outlineLevel="0" collapsed="false">
      <c r="A4147" s="62" t="n">
        <v>1</v>
      </c>
      <c r="B4147" s="62" t="s">
        <v>384</v>
      </c>
      <c r="C4147" s="62" t="s">
        <v>60</v>
      </c>
      <c r="D4147" s="62" t="s">
        <v>71</v>
      </c>
      <c r="E4147" s="62" t="s">
        <v>382</v>
      </c>
      <c r="F4147" s="63" t="s">
        <v>410</v>
      </c>
      <c r="G4147" s="64" t="n">
        <v>603998.157941559</v>
      </c>
      <c r="H4147" s="62" t="s">
        <v>138</v>
      </c>
    </row>
    <row r="4148" customFormat="false" ht="15" hidden="false" customHeight="false" outlineLevel="0" collapsed="false">
      <c r="A4148" s="62" t="n">
        <v>1</v>
      </c>
      <c r="B4148" s="62" t="s">
        <v>385</v>
      </c>
      <c r="C4148" s="62" t="s">
        <v>60</v>
      </c>
      <c r="D4148" s="62" t="s">
        <v>71</v>
      </c>
      <c r="E4148" s="62" t="s">
        <v>382</v>
      </c>
      <c r="F4148" s="63" t="s">
        <v>410</v>
      </c>
      <c r="G4148" s="64" t="n">
        <v>464729.859912098</v>
      </c>
      <c r="H4148" s="62" t="s">
        <v>138</v>
      </c>
    </row>
    <row r="4149" customFormat="false" ht="15" hidden="false" customHeight="false" outlineLevel="0" collapsed="false">
      <c r="A4149" s="62" t="n">
        <v>1</v>
      </c>
      <c r="B4149" s="62" t="s">
        <v>386</v>
      </c>
      <c r="C4149" s="62" t="s">
        <v>60</v>
      </c>
      <c r="D4149" s="62" t="s">
        <v>71</v>
      </c>
      <c r="E4149" s="62" t="s">
        <v>382</v>
      </c>
      <c r="F4149" s="63" t="s">
        <v>410</v>
      </c>
      <c r="G4149" s="64" t="n">
        <v>681232.241276276</v>
      </c>
      <c r="H4149" s="62" t="s">
        <v>138</v>
      </c>
    </row>
    <row r="4150" customFormat="false" ht="15" hidden="false" customHeight="false" outlineLevel="0" collapsed="false">
      <c r="A4150" s="62" t="n">
        <v>1</v>
      </c>
      <c r="B4150" s="62" t="s">
        <v>387</v>
      </c>
      <c r="C4150" s="62" t="s">
        <v>60</v>
      </c>
      <c r="D4150" s="62" t="s">
        <v>71</v>
      </c>
      <c r="E4150" s="62" t="s">
        <v>382</v>
      </c>
      <c r="F4150" s="63" t="s">
        <v>410</v>
      </c>
      <c r="G4150" s="64" t="n">
        <v>545904.541749942</v>
      </c>
      <c r="H4150" s="62" t="s">
        <v>138</v>
      </c>
    </row>
    <row r="4151" customFormat="false" ht="15" hidden="false" customHeight="false" outlineLevel="0" collapsed="false">
      <c r="A4151" s="62" t="n">
        <v>1</v>
      </c>
      <c r="B4151" s="62" t="s">
        <v>388</v>
      </c>
      <c r="C4151" s="62" t="s">
        <v>60</v>
      </c>
      <c r="D4151" s="62" t="s">
        <v>71</v>
      </c>
      <c r="E4151" s="62" t="s">
        <v>382</v>
      </c>
      <c r="F4151" s="63" t="s">
        <v>410</v>
      </c>
      <c r="G4151" s="64" t="n">
        <v>139853.029395996</v>
      </c>
      <c r="H4151" s="62" t="s">
        <v>138</v>
      </c>
    </row>
    <row r="4152" customFormat="false" ht="15" hidden="false" customHeight="false" outlineLevel="0" collapsed="false">
      <c r="A4152" s="62" t="n">
        <v>1</v>
      </c>
      <c r="B4152" s="62" t="s">
        <v>381</v>
      </c>
      <c r="C4152" s="62" t="s">
        <v>60</v>
      </c>
      <c r="D4152" s="62" t="s">
        <v>71</v>
      </c>
      <c r="E4152" s="62" t="s">
        <v>382</v>
      </c>
      <c r="F4152" s="63" t="s">
        <v>411</v>
      </c>
      <c r="G4152" s="64" t="n">
        <v>1548899.4229985</v>
      </c>
      <c r="H4152" s="62" t="s">
        <v>138</v>
      </c>
    </row>
    <row r="4153" customFormat="false" ht="15" hidden="false" customHeight="false" outlineLevel="0" collapsed="false">
      <c r="A4153" s="62" t="n">
        <v>1</v>
      </c>
      <c r="B4153" s="62" t="s">
        <v>383</v>
      </c>
      <c r="C4153" s="62" t="s">
        <v>60</v>
      </c>
      <c r="D4153" s="62" t="s">
        <v>71</v>
      </c>
      <c r="E4153" s="62" t="s">
        <v>382</v>
      </c>
      <c r="F4153" s="63" t="s">
        <v>411</v>
      </c>
      <c r="G4153" s="64" t="n">
        <v>422049.057288597</v>
      </c>
      <c r="H4153" s="62" t="s">
        <v>138</v>
      </c>
    </row>
    <row r="4154" customFormat="false" ht="15" hidden="false" customHeight="false" outlineLevel="0" collapsed="false">
      <c r="A4154" s="62" t="n">
        <v>1</v>
      </c>
      <c r="B4154" s="62" t="s">
        <v>384</v>
      </c>
      <c r="C4154" s="62" t="s">
        <v>60</v>
      </c>
      <c r="D4154" s="62" t="s">
        <v>71</v>
      </c>
      <c r="E4154" s="62" t="s">
        <v>382</v>
      </c>
      <c r="F4154" s="63" t="s">
        <v>411</v>
      </c>
      <c r="G4154" s="64" t="n">
        <v>1811994.47382468</v>
      </c>
      <c r="H4154" s="62" t="s">
        <v>138</v>
      </c>
    </row>
    <row r="4155" customFormat="false" ht="15" hidden="false" customHeight="false" outlineLevel="0" collapsed="false">
      <c r="A4155" s="62" t="n">
        <v>1</v>
      </c>
      <c r="B4155" s="62" t="s">
        <v>385</v>
      </c>
      <c r="C4155" s="62" t="s">
        <v>60</v>
      </c>
      <c r="D4155" s="62" t="s">
        <v>71</v>
      </c>
      <c r="E4155" s="62" t="s">
        <v>382</v>
      </c>
      <c r="F4155" s="63" t="s">
        <v>411</v>
      </c>
      <c r="G4155" s="64" t="n">
        <v>1394189.57973629</v>
      </c>
      <c r="H4155" s="62" t="s">
        <v>138</v>
      </c>
    </row>
    <row r="4156" customFormat="false" ht="15" hidden="false" customHeight="false" outlineLevel="0" collapsed="false">
      <c r="A4156" s="62" t="n">
        <v>1</v>
      </c>
      <c r="B4156" s="62" t="s">
        <v>386</v>
      </c>
      <c r="C4156" s="62" t="s">
        <v>60</v>
      </c>
      <c r="D4156" s="62" t="s">
        <v>71</v>
      </c>
      <c r="E4156" s="62" t="s">
        <v>382</v>
      </c>
      <c r="F4156" s="63" t="s">
        <v>411</v>
      </c>
      <c r="G4156" s="64" t="n">
        <v>2043696.72382883</v>
      </c>
      <c r="H4156" s="62" t="s">
        <v>138</v>
      </c>
    </row>
    <row r="4157" customFormat="false" ht="15" hidden="false" customHeight="false" outlineLevel="0" collapsed="false">
      <c r="A4157" s="62" t="n">
        <v>1</v>
      </c>
      <c r="B4157" s="62" t="s">
        <v>387</v>
      </c>
      <c r="C4157" s="62" t="s">
        <v>60</v>
      </c>
      <c r="D4157" s="62" t="s">
        <v>71</v>
      </c>
      <c r="E4157" s="62" t="s">
        <v>382</v>
      </c>
      <c r="F4157" s="63" t="s">
        <v>411</v>
      </c>
      <c r="G4157" s="64" t="n">
        <v>1637713.62524983</v>
      </c>
      <c r="H4157" s="62" t="s">
        <v>138</v>
      </c>
    </row>
    <row r="4158" customFormat="false" ht="15" hidden="false" customHeight="false" outlineLevel="0" collapsed="false">
      <c r="A4158" s="62" t="n">
        <v>1</v>
      </c>
      <c r="B4158" s="62" t="s">
        <v>388</v>
      </c>
      <c r="C4158" s="62" t="s">
        <v>60</v>
      </c>
      <c r="D4158" s="62" t="s">
        <v>71</v>
      </c>
      <c r="E4158" s="62" t="s">
        <v>382</v>
      </c>
      <c r="F4158" s="63" t="s">
        <v>411</v>
      </c>
      <c r="G4158" s="64" t="n">
        <v>419559.088187989</v>
      </c>
      <c r="H4158" s="62" t="s">
        <v>138</v>
      </c>
    </row>
    <row r="4159" customFormat="false" ht="15" hidden="false" customHeight="false" outlineLevel="0" collapsed="false">
      <c r="A4159" s="62" t="n">
        <v>1</v>
      </c>
      <c r="B4159" s="62" t="s">
        <v>381</v>
      </c>
      <c r="C4159" s="62" t="s">
        <v>60</v>
      </c>
      <c r="D4159" s="62" t="s">
        <v>71</v>
      </c>
      <c r="E4159" s="62" t="s">
        <v>382</v>
      </c>
      <c r="F4159" s="63" t="s">
        <v>412</v>
      </c>
      <c r="G4159" s="64" t="n">
        <v>1608329.74</v>
      </c>
      <c r="H4159" s="62" t="s">
        <v>138</v>
      </c>
    </row>
    <row r="4160" customFormat="false" ht="15" hidden="false" customHeight="false" outlineLevel="0" collapsed="false">
      <c r="A4160" s="62" t="n">
        <v>1</v>
      </c>
      <c r="B4160" s="62" t="s">
        <v>383</v>
      </c>
      <c r="C4160" s="62" t="s">
        <v>60</v>
      </c>
      <c r="D4160" s="62" t="s">
        <v>71</v>
      </c>
      <c r="E4160" s="62" t="s">
        <v>382</v>
      </c>
      <c r="F4160" s="63" t="s">
        <v>412</v>
      </c>
      <c r="G4160" s="64" t="n">
        <v>1609329.74</v>
      </c>
      <c r="H4160" s="62" t="s">
        <v>138</v>
      </c>
    </row>
    <row r="4161" customFormat="false" ht="15" hidden="false" customHeight="false" outlineLevel="0" collapsed="false">
      <c r="A4161" s="62" t="n">
        <v>1</v>
      </c>
      <c r="B4161" s="62" t="s">
        <v>384</v>
      </c>
      <c r="C4161" s="62" t="s">
        <v>60</v>
      </c>
      <c r="D4161" s="62" t="s">
        <v>71</v>
      </c>
      <c r="E4161" s="62" t="s">
        <v>382</v>
      </c>
      <c r="F4161" s="63" t="s">
        <v>412</v>
      </c>
      <c r="G4161" s="64" t="n">
        <v>1608329.74</v>
      </c>
      <c r="H4161" s="62" t="s">
        <v>138</v>
      </c>
    </row>
    <row r="4162" customFormat="false" ht="15" hidden="false" customHeight="false" outlineLevel="0" collapsed="false">
      <c r="A4162" s="62" t="n">
        <v>1</v>
      </c>
      <c r="B4162" s="62" t="s">
        <v>385</v>
      </c>
      <c r="C4162" s="62" t="s">
        <v>60</v>
      </c>
      <c r="D4162" s="62" t="s">
        <v>71</v>
      </c>
      <c r="E4162" s="62" t="s">
        <v>382</v>
      </c>
      <c r="F4162" s="63" t="s">
        <v>412</v>
      </c>
      <c r="G4162" s="64" t="n">
        <v>1609329.74</v>
      </c>
      <c r="H4162" s="62" t="s">
        <v>138</v>
      </c>
    </row>
    <row r="4163" customFormat="false" ht="15" hidden="false" customHeight="false" outlineLevel="0" collapsed="false">
      <c r="A4163" s="62" t="n">
        <v>1</v>
      </c>
      <c r="B4163" s="62" t="s">
        <v>386</v>
      </c>
      <c r="C4163" s="62" t="s">
        <v>60</v>
      </c>
      <c r="D4163" s="62" t="s">
        <v>71</v>
      </c>
      <c r="E4163" s="62" t="s">
        <v>382</v>
      </c>
      <c r="F4163" s="63" t="s">
        <v>412</v>
      </c>
      <c r="G4163" s="64" t="n">
        <v>1619329.74</v>
      </c>
      <c r="H4163" s="62" t="s">
        <v>138</v>
      </c>
    </row>
    <row r="4164" customFormat="false" ht="15" hidden="false" customHeight="false" outlineLevel="0" collapsed="false">
      <c r="A4164" s="62" t="n">
        <v>1</v>
      </c>
      <c r="B4164" s="62" t="s">
        <v>387</v>
      </c>
      <c r="C4164" s="62" t="s">
        <v>60</v>
      </c>
      <c r="D4164" s="62" t="s">
        <v>71</v>
      </c>
      <c r="E4164" s="62" t="s">
        <v>382</v>
      </c>
      <c r="F4164" s="63" t="s">
        <v>412</v>
      </c>
      <c r="G4164" s="64" t="n">
        <v>1608329.74</v>
      </c>
      <c r="H4164" s="62" t="s">
        <v>138</v>
      </c>
    </row>
    <row r="4165" customFormat="false" ht="15" hidden="false" customHeight="false" outlineLevel="0" collapsed="false">
      <c r="A4165" s="62" t="n">
        <v>1</v>
      </c>
      <c r="B4165" s="62" t="s">
        <v>388</v>
      </c>
      <c r="C4165" s="62" t="s">
        <v>60</v>
      </c>
      <c r="D4165" s="62" t="s">
        <v>71</v>
      </c>
      <c r="E4165" s="62" t="s">
        <v>382</v>
      </c>
      <c r="F4165" s="63" t="s">
        <v>412</v>
      </c>
      <c r="G4165" s="64" t="n">
        <v>1613329.74</v>
      </c>
      <c r="H4165" s="62" t="s">
        <v>138</v>
      </c>
    </row>
    <row r="4166" customFormat="false" ht="15" hidden="false" customHeight="false" outlineLevel="0" collapsed="false">
      <c r="A4166" s="62" t="n">
        <v>1</v>
      </c>
      <c r="B4166" s="62" t="s">
        <v>381</v>
      </c>
      <c r="C4166" s="62" t="s">
        <v>60</v>
      </c>
      <c r="D4166" s="62" t="s">
        <v>71</v>
      </c>
      <c r="E4166" s="62" t="s">
        <v>382</v>
      </c>
      <c r="F4166" s="63" t="s">
        <v>413</v>
      </c>
      <c r="G4166" s="64" t="n">
        <v>2138463.24884884</v>
      </c>
      <c r="H4166" s="62" t="s">
        <v>138</v>
      </c>
    </row>
    <row r="4167" customFormat="false" ht="15" hidden="false" customHeight="false" outlineLevel="0" collapsed="false">
      <c r="A4167" s="62" t="n">
        <v>1</v>
      </c>
      <c r="B4167" s="62" t="s">
        <v>383</v>
      </c>
      <c r="C4167" s="62" t="s">
        <v>60</v>
      </c>
      <c r="D4167" s="62" t="s">
        <v>71</v>
      </c>
      <c r="E4167" s="62" t="s">
        <v>382</v>
      </c>
      <c r="F4167" s="63" t="s">
        <v>413</v>
      </c>
      <c r="G4167" s="64" t="n">
        <v>2596845.75782328</v>
      </c>
      <c r="H4167" s="62" t="s">
        <v>138</v>
      </c>
    </row>
    <row r="4168" customFormat="false" ht="15" hidden="false" customHeight="false" outlineLevel="0" collapsed="false">
      <c r="A4168" s="62" t="n">
        <v>1</v>
      </c>
      <c r="B4168" s="62" t="s">
        <v>384</v>
      </c>
      <c r="C4168" s="62" t="s">
        <v>60</v>
      </c>
      <c r="D4168" s="62" t="s">
        <v>71</v>
      </c>
      <c r="E4168" s="62" t="s">
        <v>382</v>
      </c>
      <c r="F4168" s="63" t="s">
        <v>413</v>
      </c>
      <c r="G4168" s="64" t="n">
        <v>2060407.08922184</v>
      </c>
      <c r="H4168" s="62" t="s">
        <v>138</v>
      </c>
    </row>
    <row r="4169" customFormat="false" ht="15" hidden="false" customHeight="false" outlineLevel="0" collapsed="false">
      <c r="A4169" s="62" t="n">
        <v>1</v>
      </c>
      <c r="B4169" s="62" t="s">
        <v>385</v>
      </c>
      <c r="C4169" s="62" t="s">
        <v>60</v>
      </c>
      <c r="D4169" s="62" t="s">
        <v>71</v>
      </c>
      <c r="E4169" s="62" t="s">
        <v>382</v>
      </c>
      <c r="F4169" s="63" t="s">
        <v>413</v>
      </c>
      <c r="G4169" s="64" t="n">
        <v>673892.366166765</v>
      </c>
      <c r="H4169" s="62" t="s">
        <v>138</v>
      </c>
    </row>
    <row r="4170" customFormat="false" ht="15" hidden="false" customHeight="false" outlineLevel="0" collapsed="false">
      <c r="A4170" s="62" t="n">
        <v>1</v>
      </c>
      <c r="B4170" s="62" t="s">
        <v>386</v>
      </c>
      <c r="C4170" s="62" t="s">
        <v>60</v>
      </c>
      <c r="D4170" s="62" t="s">
        <v>71</v>
      </c>
      <c r="E4170" s="62" t="s">
        <v>382</v>
      </c>
      <c r="F4170" s="63" t="s">
        <v>413</v>
      </c>
      <c r="G4170" s="64" t="n">
        <v>0</v>
      </c>
      <c r="H4170" s="62" t="s">
        <v>138</v>
      </c>
    </row>
    <row r="4171" customFormat="false" ht="15" hidden="false" customHeight="false" outlineLevel="0" collapsed="false">
      <c r="A4171" s="62" t="n">
        <v>1</v>
      </c>
      <c r="B4171" s="62" t="s">
        <v>387</v>
      </c>
      <c r="C4171" s="62" t="s">
        <v>60</v>
      </c>
      <c r="D4171" s="62" t="s">
        <v>71</v>
      </c>
      <c r="E4171" s="62" t="s">
        <v>382</v>
      </c>
      <c r="F4171" s="63" t="s">
        <v>413</v>
      </c>
      <c r="G4171" s="64" t="n">
        <v>3001607.24711275</v>
      </c>
      <c r="H4171" s="62" t="s">
        <v>138</v>
      </c>
    </row>
    <row r="4172" customFormat="false" ht="15" hidden="false" customHeight="false" outlineLevel="0" collapsed="false">
      <c r="A4172" s="62" t="n">
        <v>1</v>
      </c>
      <c r="B4172" s="62" t="s">
        <v>388</v>
      </c>
      <c r="C4172" s="62" t="s">
        <v>60</v>
      </c>
      <c r="D4172" s="62" t="s">
        <v>71</v>
      </c>
      <c r="E4172" s="62" t="s">
        <v>382</v>
      </c>
      <c r="F4172" s="63" t="s">
        <v>413</v>
      </c>
      <c r="G4172" s="64" t="n">
        <v>0</v>
      </c>
      <c r="H4172" s="62" t="s">
        <v>138</v>
      </c>
    </row>
    <row r="4173" customFormat="false" ht="15" hidden="false" customHeight="false" outlineLevel="0" collapsed="false">
      <c r="A4173" s="62" t="n">
        <v>1</v>
      </c>
      <c r="B4173" s="62" t="s">
        <v>381</v>
      </c>
      <c r="C4173" s="62" t="s">
        <v>60</v>
      </c>
      <c r="D4173" s="62" t="s">
        <v>71</v>
      </c>
      <c r="E4173" s="62" t="s">
        <v>382</v>
      </c>
      <c r="F4173" s="63" t="s">
        <v>414</v>
      </c>
      <c r="G4173" s="64" t="n">
        <v>509586.020754019</v>
      </c>
      <c r="H4173" s="62" t="s">
        <v>138</v>
      </c>
    </row>
    <row r="4174" customFormat="false" ht="15" hidden="false" customHeight="false" outlineLevel="0" collapsed="false">
      <c r="A4174" s="62" t="n">
        <v>1</v>
      </c>
      <c r="B4174" s="62" t="s">
        <v>383</v>
      </c>
      <c r="C4174" s="62" t="s">
        <v>60</v>
      </c>
      <c r="D4174" s="62" t="s">
        <v>71</v>
      </c>
      <c r="E4174" s="62" t="s">
        <v>382</v>
      </c>
      <c r="F4174" s="63" t="s">
        <v>414</v>
      </c>
      <c r="G4174" s="64" t="n">
        <v>219914.24487041</v>
      </c>
      <c r="H4174" s="62" t="s">
        <v>138</v>
      </c>
    </row>
    <row r="4175" customFormat="false" ht="15" hidden="false" customHeight="false" outlineLevel="0" collapsed="false">
      <c r="A4175" s="62" t="n">
        <v>1</v>
      </c>
      <c r="B4175" s="62" t="s">
        <v>384</v>
      </c>
      <c r="C4175" s="62" t="s">
        <v>60</v>
      </c>
      <c r="D4175" s="62" t="s">
        <v>71</v>
      </c>
      <c r="E4175" s="62" t="s">
        <v>382</v>
      </c>
      <c r="F4175" s="63" t="s">
        <v>414</v>
      </c>
      <c r="G4175" s="64" t="n">
        <v>431849.646023377</v>
      </c>
      <c r="H4175" s="62" t="s">
        <v>138</v>
      </c>
    </row>
    <row r="4176" customFormat="false" ht="15" hidden="false" customHeight="false" outlineLevel="0" collapsed="false">
      <c r="A4176" s="62" t="n">
        <v>1</v>
      </c>
      <c r="B4176" s="62" t="s">
        <v>385</v>
      </c>
      <c r="C4176" s="62" t="s">
        <v>60</v>
      </c>
      <c r="D4176" s="62" t="s">
        <v>71</v>
      </c>
      <c r="E4176" s="62" t="s">
        <v>382</v>
      </c>
      <c r="F4176" s="63" t="s">
        <v>414</v>
      </c>
      <c r="G4176" s="64" t="n">
        <v>297828.775934161</v>
      </c>
      <c r="H4176" s="62" t="s">
        <v>138</v>
      </c>
    </row>
    <row r="4177" customFormat="false" ht="15" hidden="false" customHeight="false" outlineLevel="0" collapsed="false">
      <c r="A4177" s="62" t="n">
        <v>1</v>
      </c>
      <c r="B4177" s="62" t="s">
        <v>386</v>
      </c>
      <c r="C4177" s="62" t="s">
        <v>60</v>
      </c>
      <c r="D4177" s="62" t="s">
        <v>71</v>
      </c>
      <c r="E4177" s="62" t="s">
        <v>382</v>
      </c>
      <c r="F4177" s="63" t="s">
        <v>414</v>
      </c>
      <c r="G4177" s="64" t="n">
        <v>447076.123344288</v>
      </c>
      <c r="H4177" s="62" t="s">
        <v>138</v>
      </c>
    </row>
    <row r="4178" customFormat="false" ht="15" hidden="false" customHeight="false" outlineLevel="0" collapsed="false">
      <c r="A4178" s="62" t="n">
        <v>1</v>
      </c>
      <c r="B4178" s="62" t="s">
        <v>387</v>
      </c>
      <c r="C4178" s="62" t="s">
        <v>60</v>
      </c>
      <c r="D4178" s="62" t="s">
        <v>71</v>
      </c>
      <c r="E4178" s="62" t="s">
        <v>382</v>
      </c>
      <c r="F4178" s="63" t="s">
        <v>414</v>
      </c>
      <c r="G4178" s="64" t="n">
        <v>424779.577299246</v>
      </c>
      <c r="H4178" s="62" t="s">
        <v>138</v>
      </c>
    </row>
    <row r="4179" customFormat="false" ht="15" hidden="false" customHeight="false" outlineLevel="0" collapsed="false">
      <c r="A4179" s="62" t="n">
        <v>1</v>
      </c>
      <c r="B4179" s="62" t="s">
        <v>388</v>
      </c>
      <c r="C4179" s="62" t="s">
        <v>60</v>
      </c>
      <c r="D4179" s="62" t="s">
        <v>71</v>
      </c>
      <c r="E4179" s="62" t="s">
        <v>382</v>
      </c>
      <c r="F4179" s="63" t="s">
        <v>414</v>
      </c>
      <c r="G4179" s="64" t="n">
        <v>273963.203514</v>
      </c>
      <c r="H4179" s="62" t="s">
        <v>138</v>
      </c>
    </row>
    <row r="4180" customFormat="false" ht="15" hidden="false" customHeight="false" outlineLevel="0" collapsed="false">
      <c r="A4180" s="62" t="n">
        <v>1</v>
      </c>
      <c r="B4180" s="62" t="s">
        <v>381</v>
      </c>
      <c r="C4180" s="62" t="s">
        <v>60</v>
      </c>
      <c r="D4180" s="62" t="s">
        <v>71</v>
      </c>
      <c r="E4180" s="62" t="s">
        <v>382</v>
      </c>
      <c r="F4180" s="63" t="s">
        <v>415</v>
      </c>
      <c r="G4180" s="64" t="n">
        <v>2279572.92470316</v>
      </c>
      <c r="H4180" s="62" t="s">
        <v>138</v>
      </c>
    </row>
    <row r="4181" customFormat="false" ht="15" hidden="false" customHeight="false" outlineLevel="0" collapsed="false">
      <c r="A4181" s="62" t="n">
        <v>1</v>
      </c>
      <c r="B4181" s="62" t="s">
        <v>383</v>
      </c>
      <c r="C4181" s="62" t="s">
        <v>60</v>
      </c>
      <c r="D4181" s="62" t="s">
        <v>71</v>
      </c>
      <c r="E4181" s="62" t="s">
        <v>382</v>
      </c>
      <c r="F4181" s="63" t="s">
        <v>415</v>
      </c>
      <c r="G4181" s="64" t="n">
        <v>9751441.67836232</v>
      </c>
      <c r="H4181" s="62" t="s">
        <v>138</v>
      </c>
    </row>
    <row r="4182" customFormat="false" ht="15" hidden="false" customHeight="false" outlineLevel="0" collapsed="false">
      <c r="A4182" s="62" t="n">
        <v>1</v>
      </c>
      <c r="B4182" s="62" t="s">
        <v>384</v>
      </c>
      <c r="C4182" s="62" t="s">
        <v>60</v>
      </c>
      <c r="D4182" s="62" t="s">
        <v>71</v>
      </c>
      <c r="E4182" s="62" t="s">
        <v>382</v>
      </c>
      <c r="F4182" s="63" t="s">
        <v>415</v>
      </c>
      <c r="G4182" s="64" t="n">
        <v>5830112.65870195</v>
      </c>
      <c r="H4182" s="62" t="s">
        <v>138</v>
      </c>
    </row>
    <row r="4183" customFormat="false" ht="15" hidden="false" customHeight="false" outlineLevel="0" collapsed="false">
      <c r="A4183" s="62" t="n">
        <v>1</v>
      </c>
      <c r="B4183" s="62" t="s">
        <v>385</v>
      </c>
      <c r="C4183" s="62" t="s">
        <v>60</v>
      </c>
      <c r="D4183" s="62" t="s">
        <v>71</v>
      </c>
      <c r="E4183" s="62" t="s">
        <v>382</v>
      </c>
      <c r="F4183" s="63" t="s">
        <v>415</v>
      </c>
      <c r="G4183" s="64" t="n">
        <v>2006131.03014974</v>
      </c>
      <c r="H4183" s="62" t="s">
        <v>138</v>
      </c>
    </row>
    <row r="4184" customFormat="false" ht="15" hidden="false" customHeight="false" outlineLevel="0" collapsed="false">
      <c r="A4184" s="62" t="n">
        <v>1</v>
      </c>
      <c r="B4184" s="62" t="s">
        <v>386</v>
      </c>
      <c r="C4184" s="62" t="s">
        <v>60</v>
      </c>
      <c r="D4184" s="62" t="s">
        <v>71</v>
      </c>
      <c r="E4184" s="62" t="s">
        <v>382</v>
      </c>
      <c r="F4184" s="63" t="s">
        <v>415</v>
      </c>
      <c r="G4184" s="64" t="n">
        <v>3786706.42673141</v>
      </c>
      <c r="H4184" s="62" t="s">
        <v>138</v>
      </c>
    </row>
    <row r="4185" customFormat="false" ht="15" hidden="false" customHeight="false" outlineLevel="0" collapsed="false">
      <c r="A4185" s="62" t="n">
        <v>1</v>
      </c>
      <c r="B4185" s="62" t="s">
        <v>387</v>
      </c>
      <c r="C4185" s="62" t="s">
        <v>60</v>
      </c>
      <c r="D4185" s="62" t="s">
        <v>71</v>
      </c>
      <c r="E4185" s="62" t="s">
        <v>382</v>
      </c>
      <c r="F4185" s="63" t="s">
        <v>415</v>
      </c>
      <c r="G4185" s="64" t="n">
        <v>11252584.7900271</v>
      </c>
      <c r="H4185" s="62" t="s">
        <v>138</v>
      </c>
    </row>
    <row r="4186" customFormat="false" ht="15" hidden="false" customHeight="false" outlineLevel="0" collapsed="false">
      <c r="A4186" s="62" t="n">
        <v>1</v>
      </c>
      <c r="B4186" s="62" t="s">
        <v>388</v>
      </c>
      <c r="C4186" s="62" t="s">
        <v>60</v>
      </c>
      <c r="D4186" s="62" t="s">
        <v>71</v>
      </c>
      <c r="E4186" s="62" t="s">
        <v>382</v>
      </c>
      <c r="F4186" s="63" t="s">
        <v>415</v>
      </c>
      <c r="G4186" s="64" t="n">
        <v>2656785.85709647</v>
      </c>
      <c r="H4186" s="62" t="s">
        <v>138</v>
      </c>
    </row>
    <row r="4187" customFormat="false" ht="15" hidden="false" customHeight="false" outlineLevel="0" collapsed="false">
      <c r="A4187" s="62" t="n">
        <v>1</v>
      </c>
      <c r="B4187" s="62" t="s">
        <v>381</v>
      </c>
      <c r="C4187" s="62" t="s">
        <v>60</v>
      </c>
      <c r="D4187" s="62" t="s">
        <v>71</v>
      </c>
      <c r="E4187" s="62" t="s">
        <v>382</v>
      </c>
      <c r="F4187" s="63" t="s">
        <v>416</v>
      </c>
      <c r="G4187" s="64" t="n">
        <v>6535951.93430602</v>
      </c>
      <c r="H4187" s="62" t="s">
        <v>138</v>
      </c>
    </row>
    <row r="4188" customFormat="false" ht="15" hidden="false" customHeight="false" outlineLevel="0" collapsed="false">
      <c r="A4188" s="62" t="n">
        <v>1</v>
      </c>
      <c r="B4188" s="62" t="s">
        <v>383</v>
      </c>
      <c r="C4188" s="62" t="s">
        <v>60</v>
      </c>
      <c r="D4188" s="62" t="s">
        <v>71</v>
      </c>
      <c r="E4188" s="62" t="s">
        <v>382</v>
      </c>
      <c r="F4188" s="63" t="s">
        <v>416</v>
      </c>
      <c r="G4188" s="64" t="n">
        <v>14177531.421056</v>
      </c>
      <c r="H4188" s="62" t="s">
        <v>138</v>
      </c>
    </row>
    <row r="4189" customFormat="false" ht="15" hidden="false" customHeight="false" outlineLevel="0" collapsed="false">
      <c r="A4189" s="62" t="n">
        <v>1</v>
      </c>
      <c r="B4189" s="62" t="s">
        <v>384</v>
      </c>
      <c r="C4189" s="62" t="s">
        <v>60</v>
      </c>
      <c r="D4189" s="62" t="s">
        <v>71</v>
      </c>
      <c r="E4189" s="62" t="s">
        <v>382</v>
      </c>
      <c r="F4189" s="63" t="s">
        <v>416</v>
      </c>
      <c r="G4189" s="64" t="n">
        <v>9930699.13394717</v>
      </c>
      <c r="H4189" s="62" t="s">
        <v>138</v>
      </c>
    </row>
    <row r="4190" customFormat="false" ht="15" hidden="false" customHeight="false" outlineLevel="0" collapsed="false">
      <c r="A4190" s="62" t="n">
        <v>1</v>
      </c>
      <c r="B4190" s="62" t="s">
        <v>385</v>
      </c>
      <c r="C4190" s="62" t="s">
        <v>60</v>
      </c>
      <c r="D4190" s="62" t="s">
        <v>71</v>
      </c>
      <c r="E4190" s="62" t="s">
        <v>382</v>
      </c>
      <c r="F4190" s="63" t="s">
        <v>416</v>
      </c>
      <c r="G4190" s="64" t="n">
        <v>4587181.91225067</v>
      </c>
      <c r="H4190" s="62" t="s">
        <v>138</v>
      </c>
    </row>
    <row r="4191" customFormat="false" ht="15" hidden="false" customHeight="false" outlineLevel="0" collapsed="false">
      <c r="A4191" s="62" t="n">
        <v>1</v>
      </c>
      <c r="B4191" s="62" t="s">
        <v>386</v>
      </c>
      <c r="C4191" s="62" t="s">
        <v>60</v>
      </c>
      <c r="D4191" s="62" t="s">
        <v>71</v>
      </c>
      <c r="E4191" s="62" t="s">
        <v>382</v>
      </c>
      <c r="F4191" s="63" t="s">
        <v>416</v>
      </c>
      <c r="G4191" s="64" t="n">
        <v>5853112.2900757</v>
      </c>
      <c r="H4191" s="62" t="s">
        <v>138</v>
      </c>
    </row>
    <row r="4192" customFormat="false" ht="15" hidden="false" customHeight="false" outlineLevel="0" collapsed="false">
      <c r="A4192" s="62" t="n">
        <v>1</v>
      </c>
      <c r="B4192" s="62" t="s">
        <v>387</v>
      </c>
      <c r="C4192" s="62" t="s">
        <v>60</v>
      </c>
      <c r="D4192" s="62" t="s">
        <v>71</v>
      </c>
      <c r="E4192" s="62" t="s">
        <v>382</v>
      </c>
      <c r="F4192" s="63" t="s">
        <v>416</v>
      </c>
      <c r="G4192" s="64" t="n">
        <v>16287301.3544391</v>
      </c>
      <c r="H4192" s="62" t="s">
        <v>138</v>
      </c>
    </row>
    <row r="4193" customFormat="false" ht="15" hidden="false" customHeight="false" outlineLevel="0" collapsed="false">
      <c r="A4193" s="62" t="n">
        <v>1</v>
      </c>
      <c r="B4193" s="62" t="s">
        <v>388</v>
      </c>
      <c r="C4193" s="62" t="s">
        <v>60</v>
      </c>
      <c r="D4193" s="62" t="s">
        <v>71</v>
      </c>
      <c r="E4193" s="62" t="s">
        <v>382</v>
      </c>
      <c r="F4193" s="63" t="s">
        <v>416</v>
      </c>
      <c r="G4193" s="64" t="n">
        <v>4544078.80061047</v>
      </c>
      <c r="H4193" s="62" t="s">
        <v>138</v>
      </c>
    </row>
    <row r="4194" customFormat="false" ht="15" hidden="false" customHeight="false" outlineLevel="0" collapsed="false">
      <c r="A4194" s="62" t="n">
        <v>1</v>
      </c>
      <c r="B4194" s="62" t="s">
        <v>381</v>
      </c>
      <c r="C4194" s="62" t="s">
        <v>60</v>
      </c>
      <c r="D4194" s="62" t="s">
        <v>71</v>
      </c>
      <c r="E4194" s="62" t="s">
        <v>382</v>
      </c>
      <c r="F4194" s="63" t="s">
        <v>396</v>
      </c>
      <c r="G4194" s="64" t="n">
        <v>1500000</v>
      </c>
      <c r="H4194" s="62" t="s">
        <v>138</v>
      </c>
    </row>
    <row r="4195" customFormat="false" ht="15" hidden="false" customHeight="false" outlineLevel="0" collapsed="false">
      <c r="A4195" s="62" t="n">
        <v>1</v>
      </c>
      <c r="B4195" s="62" t="s">
        <v>383</v>
      </c>
      <c r="C4195" s="62" t="s">
        <v>60</v>
      </c>
      <c r="D4195" s="62" t="s">
        <v>71</v>
      </c>
      <c r="E4195" s="62" t="s">
        <v>382</v>
      </c>
      <c r="F4195" s="63" t="s">
        <v>396</v>
      </c>
      <c r="G4195" s="64" t="n">
        <v>1500000</v>
      </c>
      <c r="H4195" s="62" t="s">
        <v>138</v>
      </c>
    </row>
    <row r="4196" customFormat="false" ht="15" hidden="false" customHeight="false" outlineLevel="0" collapsed="false">
      <c r="A4196" s="62" t="n">
        <v>1</v>
      </c>
      <c r="B4196" s="62" t="s">
        <v>384</v>
      </c>
      <c r="C4196" s="62" t="s">
        <v>60</v>
      </c>
      <c r="D4196" s="62" t="s">
        <v>71</v>
      </c>
      <c r="E4196" s="62" t="s">
        <v>382</v>
      </c>
      <c r="F4196" s="63" t="s">
        <v>396</v>
      </c>
      <c r="G4196" s="64" t="n">
        <v>1500000</v>
      </c>
      <c r="H4196" s="62" t="s">
        <v>138</v>
      </c>
    </row>
    <row r="4197" customFormat="false" ht="15" hidden="false" customHeight="false" outlineLevel="0" collapsed="false">
      <c r="A4197" s="62" t="n">
        <v>1</v>
      </c>
      <c r="B4197" s="62" t="s">
        <v>385</v>
      </c>
      <c r="C4197" s="62" t="s">
        <v>60</v>
      </c>
      <c r="D4197" s="62" t="s">
        <v>71</v>
      </c>
      <c r="E4197" s="62" t="s">
        <v>382</v>
      </c>
      <c r="F4197" s="63" t="s">
        <v>396</v>
      </c>
      <c r="G4197" s="64" t="n">
        <v>1500000</v>
      </c>
      <c r="H4197" s="62" t="s">
        <v>138</v>
      </c>
    </row>
    <row r="4198" customFormat="false" ht="15" hidden="false" customHeight="false" outlineLevel="0" collapsed="false">
      <c r="A4198" s="62" t="n">
        <v>1</v>
      </c>
      <c r="B4198" s="62" t="s">
        <v>386</v>
      </c>
      <c r="C4198" s="62" t="s">
        <v>60</v>
      </c>
      <c r="D4198" s="62" t="s">
        <v>71</v>
      </c>
      <c r="E4198" s="62" t="s">
        <v>382</v>
      </c>
      <c r="F4198" s="63" t="s">
        <v>396</v>
      </c>
      <c r="G4198" s="64" t="n">
        <v>1500000</v>
      </c>
      <c r="H4198" s="62" t="s">
        <v>138</v>
      </c>
    </row>
    <row r="4199" customFormat="false" ht="15" hidden="false" customHeight="false" outlineLevel="0" collapsed="false">
      <c r="A4199" s="62" t="n">
        <v>1</v>
      </c>
      <c r="B4199" s="62" t="s">
        <v>387</v>
      </c>
      <c r="C4199" s="62" t="s">
        <v>60</v>
      </c>
      <c r="D4199" s="62" t="s">
        <v>71</v>
      </c>
      <c r="E4199" s="62" t="s">
        <v>382</v>
      </c>
      <c r="F4199" s="63" t="s">
        <v>396</v>
      </c>
      <c r="G4199" s="64" t="n">
        <v>1500000</v>
      </c>
      <c r="H4199" s="62" t="s">
        <v>138</v>
      </c>
    </row>
    <row r="4200" customFormat="false" ht="15" hidden="false" customHeight="false" outlineLevel="0" collapsed="false">
      <c r="A4200" s="62" t="n">
        <v>1</v>
      </c>
      <c r="B4200" s="62" t="s">
        <v>388</v>
      </c>
      <c r="C4200" s="62" t="s">
        <v>60</v>
      </c>
      <c r="D4200" s="62" t="s">
        <v>71</v>
      </c>
      <c r="E4200" s="62" t="s">
        <v>382</v>
      </c>
      <c r="F4200" s="63" t="s">
        <v>396</v>
      </c>
      <c r="G4200" s="64" t="n">
        <v>1500000</v>
      </c>
      <c r="H4200" s="62" t="s">
        <v>138</v>
      </c>
    </row>
    <row r="4201" customFormat="false" ht="15" hidden="false" customHeight="false" outlineLevel="0" collapsed="false">
      <c r="A4201" s="62" t="n">
        <v>1</v>
      </c>
      <c r="B4201" s="62" t="s">
        <v>381</v>
      </c>
      <c r="C4201" s="62" t="s">
        <v>60</v>
      </c>
      <c r="D4201" s="62" t="s">
        <v>71</v>
      </c>
      <c r="E4201" s="62" t="s">
        <v>382</v>
      </c>
      <c r="F4201" s="63" t="s">
        <v>417</v>
      </c>
      <c r="G4201" s="64" t="n">
        <v>1548899.4229985</v>
      </c>
      <c r="H4201" s="62" t="s">
        <v>138</v>
      </c>
    </row>
    <row r="4202" customFormat="false" ht="15" hidden="false" customHeight="false" outlineLevel="0" collapsed="false">
      <c r="A4202" s="62" t="n">
        <v>1</v>
      </c>
      <c r="B4202" s="62" t="s">
        <v>383</v>
      </c>
      <c r="C4202" s="62" t="s">
        <v>60</v>
      </c>
      <c r="D4202" s="62" t="s">
        <v>71</v>
      </c>
      <c r="E4202" s="62" t="s">
        <v>382</v>
      </c>
      <c r="F4202" s="63" t="s">
        <v>417</v>
      </c>
      <c r="G4202" s="64" t="n">
        <v>422049.057288597</v>
      </c>
      <c r="H4202" s="62" t="s">
        <v>138</v>
      </c>
    </row>
    <row r="4203" customFormat="false" ht="15" hidden="false" customHeight="false" outlineLevel="0" collapsed="false">
      <c r="A4203" s="62" t="n">
        <v>1</v>
      </c>
      <c r="B4203" s="62" t="s">
        <v>384</v>
      </c>
      <c r="C4203" s="62" t="s">
        <v>60</v>
      </c>
      <c r="D4203" s="62" t="s">
        <v>71</v>
      </c>
      <c r="E4203" s="62" t="s">
        <v>382</v>
      </c>
      <c r="F4203" s="63" t="s">
        <v>417</v>
      </c>
      <c r="G4203" s="64" t="n">
        <v>1811994.47382468</v>
      </c>
      <c r="H4203" s="62" t="s">
        <v>138</v>
      </c>
    </row>
    <row r="4204" customFormat="false" ht="15" hidden="false" customHeight="false" outlineLevel="0" collapsed="false">
      <c r="A4204" s="62" t="n">
        <v>1</v>
      </c>
      <c r="B4204" s="62" t="s">
        <v>385</v>
      </c>
      <c r="C4204" s="62" t="s">
        <v>60</v>
      </c>
      <c r="D4204" s="62" t="s">
        <v>71</v>
      </c>
      <c r="E4204" s="62" t="s">
        <v>382</v>
      </c>
      <c r="F4204" s="63" t="s">
        <v>417</v>
      </c>
      <c r="G4204" s="64" t="n">
        <v>1394189.57973629</v>
      </c>
      <c r="H4204" s="62" t="s">
        <v>138</v>
      </c>
    </row>
    <row r="4205" customFormat="false" ht="15" hidden="false" customHeight="false" outlineLevel="0" collapsed="false">
      <c r="A4205" s="62" t="n">
        <v>1</v>
      </c>
      <c r="B4205" s="62" t="s">
        <v>386</v>
      </c>
      <c r="C4205" s="62" t="s">
        <v>60</v>
      </c>
      <c r="D4205" s="62" t="s">
        <v>71</v>
      </c>
      <c r="E4205" s="62" t="s">
        <v>382</v>
      </c>
      <c r="F4205" s="63" t="s">
        <v>417</v>
      </c>
      <c r="G4205" s="64" t="n">
        <v>2043696.72382883</v>
      </c>
      <c r="H4205" s="62" t="s">
        <v>138</v>
      </c>
    </row>
    <row r="4206" customFormat="false" ht="15" hidden="false" customHeight="false" outlineLevel="0" collapsed="false">
      <c r="A4206" s="62" t="n">
        <v>1</v>
      </c>
      <c r="B4206" s="62" t="s">
        <v>387</v>
      </c>
      <c r="C4206" s="62" t="s">
        <v>60</v>
      </c>
      <c r="D4206" s="62" t="s">
        <v>71</v>
      </c>
      <c r="E4206" s="62" t="s">
        <v>382</v>
      </c>
      <c r="F4206" s="63" t="s">
        <v>417</v>
      </c>
      <c r="G4206" s="64" t="n">
        <v>1637713.62524983</v>
      </c>
      <c r="H4206" s="62" t="s">
        <v>138</v>
      </c>
    </row>
    <row r="4207" customFormat="false" ht="15" hidden="false" customHeight="false" outlineLevel="0" collapsed="false">
      <c r="A4207" s="62" t="n">
        <v>1</v>
      </c>
      <c r="B4207" s="62" t="s">
        <v>388</v>
      </c>
      <c r="C4207" s="62" t="s">
        <v>60</v>
      </c>
      <c r="D4207" s="62" t="s">
        <v>71</v>
      </c>
      <c r="E4207" s="62" t="s">
        <v>382</v>
      </c>
      <c r="F4207" s="63" t="s">
        <v>417</v>
      </c>
      <c r="G4207" s="64" t="n">
        <v>419559.088187989</v>
      </c>
      <c r="H4207" s="62" t="s">
        <v>138</v>
      </c>
    </row>
    <row r="4208" customFormat="false" ht="15" hidden="false" customHeight="false" outlineLevel="0" collapsed="false">
      <c r="A4208" s="62" t="n">
        <v>1</v>
      </c>
      <c r="B4208" s="62" t="s">
        <v>381</v>
      </c>
      <c r="C4208" s="62" t="s">
        <v>60</v>
      </c>
      <c r="D4208" s="62" t="s">
        <v>71</v>
      </c>
      <c r="E4208" s="62" t="s">
        <v>382</v>
      </c>
      <c r="F4208" s="63" t="s">
        <v>398</v>
      </c>
      <c r="G4208" s="64" t="n">
        <v>649625.63804341</v>
      </c>
      <c r="H4208" s="62" t="s">
        <v>138</v>
      </c>
    </row>
    <row r="4209" customFormat="false" ht="15" hidden="false" customHeight="false" outlineLevel="0" collapsed="false">
      <c r="A4209" s="62" t="n">
        <v>1</v>
      </c>
      <c r="B4209" s="62" t="s">
        <v>383</v>
      </c>
      <c r="C4209" s="62" t="s">
        <v>60</v>
      </c>
      <c r="D4209" s="62" t="s">
        <v>71</v>
      </c>
      <c r="E4209" s="62" t="s">
        <v>382</v>
      </c>
      <c r="F4209" s="63" t="s">
        <v>398</v>
      </c>
      <c r="G4209" s="64" t="n">
        <v>953585.564314548</v>
      </c>
      <c r="H4209" s="62" t="s">
        <v>138</v>
      </c>
    </row>
    <row r="4210" customFormat="false" ht="15" hidden="false" customHeight="false" outlineLevel="0" collapsed="false">
      <c r="A4210" s="62" t="n">
        <v>1</v>
      </c>
      <c r="B4210" s="62" t="s">
        <v>384</v>
      </c>
      <c r="C4210" s="62" t="s">
        <v>60</v>
      </c>
      <c r="D4210" s="62" t="s">
        <v>71</v>
      </c>
      <c r="E4210" s="62" t="s">
        <v>382</v>
      </c>
      <c r="F4210" s="63" t="s">
        <v>398</v>
      </c>
      <c r="G4210" s="64" t="n">
        <v>738480.859841162</v>
      </c>
      <c r="H4210" s="62" t="s">
        <v>138</v>
      </c>
    </row>
    <row r="4211" customFormat="false" ht="15" hidden="false" customHeight="false" outlineLevel="0" collapsed="false">
      <c r="A4211" s="62" t="n">
        <v>1</v>
      </c>
      <c r="B4211" s="62" t="s">
        <v>385</v>
      </c>
      <c r="C4211" s="62" t="s">
        <v>60</v>
      </c>
      <c r="D4211" s="62" t="s">
        <v>71</v>
      </c>
      <c r="E4211" s="62" t="s">
        <v>382</v>
      </c>
      <c r="F4211" s="63" t="s">
        <v>398</v>
      </c>
      <c r="G4211" s="64" t="n">
        <v>1096919.76529762</v>
      </c>
      <c r="H4211" s="62" t="s">
        <v>138</v>
      </c>
    </row>
    <row r="4212" customFormat="false" ht="15" hidden="false" customHeight="false" outlineLevel="0" collapsed="false">
      <c r="A4212" s="62" t="n">
        <v>1</v>
      </c>
      <c r="B4212" s="62" t="s">
        <v>386</v>
      </c>
      <c r="C4212" s="62" t="s">
        <v>60</v>
      </c>
      <c r="D4212" s="62" t="s">
        <v>71</v>
      </c>
      <c r="E4212" s="62" t="s">
        <v>382</v>
      </c>
      <c r="F4212" s="63" t="s">
        <v>398</v>
      </c>
      <c r="G4212" s="64" t="n">
        <v>924.265536570551</v>
      </c>
      <c r="H4212" s="62" t="s">
        <v>138</v>
      </c>
    </row>
    <row r="4213" customFormat="false" ht="15" hidden="false" customHeight="false" outlineLevel="0" collapsed="false">
      <c r="A4213" s="62" t="n">
        <v>1</v>
      </c>
      <c r="B4213" s="62" t="s">
        <v>387</v>
      </c>
      <c r="C4213" s="62" t="s">
        <v>60</v>
      </c>
      <c r="D4213" s="62" t="s">
        <v>71</v>
      </c>
      <c r="E4213" s="62" t="s">
        <v>382</v>
      </c>
      <c r="F4213" s="63" t="s">
        <v>398</v>
      </c>
      <c r="G4213" s="64" t="n">
        <v>881918.334082737</v>
      </c>
      <c r="H4213" s="62" t="s">
        <v>138</v>
      </c>
    </row>
    <row r="4214" customFormat="false" ht="15" hidden="false" customHeight="false" outlineLevel="0" collapsed="false">
      <c r="A4214" s="62" t="n">
        <v>1</v>
      </c>
      <c r="B4214" s="62" t="s">
        <v>388</v>
      </c>
      <c r="C4214" s="62" t="s">
        <v>60</v>
      </c>
      <c r="D4214" s="62" t="s">
        <v>71</v>
      </c>
      <c r="E4214" s="62" t="s">
        <v>382</v>
      </c>
      <c r="F4214" s="63" t="s">
        <v>398</v>
      </c>
      <c r="G4214" s="64" t="n">
        <v>1016670.47538809</v>
      </c>
      <c r="H4214" s="62" t="s">
        <v>138</v>
      </c>
    </row>
    <row r="4215" customFormat="false" ht="15" hidden="false" customHeight="false" outlineLevel="0" collapsed="false">
      <c r="A4215" s="62" t="n">
        <v>1</v>
      </c>
      <c r="B4215" s="62" t="s">
        <v>381</v>
      </c>
      <c r="C4215" s="62" t="s">
        <v>60</v>
      </c>
      <c r="D4215" s="62" t="s">
        <v>71</v>
      </c>
      <c r="E4215" s="62" t="s">
        <v>382</v>
      </c>
      <c r="F4215" s="63" t="s">
        <v>418</v>
      </c>
      <c r="G4215" s="64" t="n">
        <v>3698525.06104191</v>
      </c>
      <c r="H4215" s="62" t="s">
        <v>138</v>
      </c>
    </row>
    <row r="4216" customFormat="false" ht="15" hidden="false" customHeight="false" outlineLevel="0" collapsed="false">
      <c r="A4216" s="62" t="n">
        <v>1</v>
      </c>
      <c r="B4216" s="62" t="s">
        <v>383</v>
      </c>
      <c r="C4216" s="62" t="s">
        <v>60</v>
      </c>
      <c r="D4216" s="62" t="s">
        <v>71</v>
      </c>
      <c r="E4216" s="62" t="s">
        <v>382</v>
      </c>
      <c r="F4216" s="63" t="s">
        <v>418</v>
      </c>
      <c r="G4216" s="64" t="n">
        <v>2875634.62160315</v>
      </c>
      <c r="H4216" s="62" t="s">
        <v>138</v>
      </c>
    </row>
    <row r="4217" customFormat="false" ht="15" hidden="false" customHeight="false" outlineLevel="0" collapsed="false">
      <c r="A4217" s="62" t="n">
        <v>1</v>
      </c>
      <c r="B4217" s="62" t="s">
        <v>384</v>
      </c>
      <c r="C4217" s="62" t="s">
        <v>60</v>
      </c>
      <c r="D4217" s="62" t="s">
        <v>71</v>
      </c>
      <c r="E4217" s="62" t="s">
        <v>382</v>
      </c>
      <c r="F4217" s="63" t="s">
        <v>418</v>
      </c>
      <c r="G4217" s="64" t="n">
        <v>4050475.33366584</v>
      </c>
      <c r="H4217" s="62" t="s">
        <v>138</v>
      </c>
    </row>
    <row r="4218" customFormat="false" ht="15" hidden="false" customHeight="false" outlineLevel="0" collapsed="false">
      <c r="A4218" s="62" t="n">
        <v>1</v>
      </c>
      <c r="B4218" s="62" t="s">
        <v>385</v>
      </c>
      <c r="C4218" s="62" t="s">
        <v>60</v>
      </c>
      <c r="D4218" s="62" t="s">
        <v>71</v>
      </c>
      <c r="E4218" s="62" t="s">
        <v>382</v>
      </c>
      <c r="F4218" s="63" t="s">
        <v>418</v>
      </c>
      <c r="G4218" s="64" t="n">
        <v>3991109.34503391</v>
      </c>
      <c r="H4218" s="62" t="s">
        <v>138</v>
      </c>
    </row>
    <row r="4219" customFormat="false" ht="15" hidden="false" customHeight="false" outlineLevel="0" collapsed="false">
      <c r="A4219" s="62" t="n">
        <v>1</v>
      </c>
      <c r="B4219" s="62" t="s">
        <v>386</v>
      </c>
      <c r="C4219" s="62" t="s">
        <v>60</v>
      </c>
      <c r="D4219" s="62" t="s">
        <v>71</v>
      </c>
      <c r="E4219" s="62" t="s">
        <v>382</v>
      </c>
      <c r="F4219" s="63" t="s">
        <v>418</v>
      </c>
      <c r="G4219" s="64" t="n">
        <v>3544620.9893654</v>
      </c>
      <c r="H4219" s="62" t="s">
        <v>138</v>
      </c>
    </row>
    <row r="4220" customFormat="false" ht="15" hidden="false" customHeight="false" outlineLevel="0" collapsed="false">
      <c r="A4220" s="62" t="n">
        <v>1</v>
      </c>
      <c r="B4220" s="62" t="s">
        <v>387</v>
      </c>
      <c r="C4220" s="62" t="s">
        <v>60</v>
      </c>
      <c r="D4220" s="62" t="s">
        <v>71</v>
      </c>
      <c r="E4220" s="62" t="s">
        <v>382</v>
      </c>
      <c r="F4220" s="63" t="s">
        <v>418</v>
      </c>
      <c r="G4220" s="64" t="n">
        <v>4019631.95933256</v>
      </c>
      <c r="H4220" s="62" t="s">
        <v>138</v>
      </c>
    </row>
    <row r="4221" customFormat="false" ht="15" hidden="false" customHeight="false" outlineLevel="0" collapsed="false">
      <c r="A4221" s="62" t="n">
        <v>1</v>
      </c>
      <c r="B4221" s="62" t="s">
        <v>388</v>
      </c>
      <c r="C4221" s="62" t="s">
        <v>60</v>
      </c>
      <c r="D4221" s="62" t="s">
        <v>71</v>
      </c>
      <c r="E4221" s="62" t="s">
        <v>382</v>
      </c>
      <c r="F4221" s="63" t="s">
        <v>418</v>
      </c>
      <c r="G4221" s="64" t="n">
        <v>2936229.56357608</v>
      </c>
      <c r="H4221" s="62" t="s">
        <v>138</v>
      </c>
    </row>
    <row r="4222" customFormat="false" ht="15" hidden="false" customHeight="false" outlineLevel="0" collapsed="false">
      <c r="A4222" s="62" t="n">
        <v>1</v>
      </c>
      <c r="B4222" s="62" t="s">
        <v>381</v>
      </c>
      <c r="C4222" s="62" t="s">
        <v>60</v>
      </c>
      <c r="D4222" s="62" t="s">
        <v>71</v>
      </c>
      <c r="E4222" s="62" t="s">
        <v>382</v>
      </c>
      <c r="F4222" s="63" t="s">
        <v>420</v>
      </c>
      <c r="G4222" s="64" t="n">
        <v>0</v>
      </c>
      <c r="H4222" s="62" t="s">
        <v>138</v>
      </c>
    </row>
    <row r="4223" customFormat="false" ht="15" hidden="false" customHeight="false" outlineLevel="0" collapsed="false">
      <c r="A4223" s="62" t="n">
        <v>1</v>
      </c>
      <c r="B4223" s="62" t="s">
        <v>383</v>
      </c>
      <c r="C4223" s="62" t="s">
        <v>60</v>
      </c>
      <c r="D4223" s="62" t="s">
        <v>71</v>
      </c>
      <c r="E4223" s="62" t="s">
        <v>382</v>
      </c>
      <c r="F4223" s="63" t="s">
        <v>420</v>
      </c>
      <c r="G4223" s="64" t="n">
        <v>0</v>
      </c>
      <c r="H4223" s="62" t="s">
        <v>138</v>
      </c>
    </row>
    <row r="4224" customFormat="false" ht="15" hidden="false" customHeight="false" outlineLevel="0" collapsed="false">
      <c r="A4224" s="62" t="n">
        <v>1</v>
      </c>
      <c r="B4224" s="62" t="s">
        <v>384</v>
      </c>
      <c r="C4224" s="62" t="s">
        <v>60</v>
      </c>
      <c r="D4224" s="62" t="s">
        <v>71</v>
      </c>
      <c r="E4224" s="62" t="s">
        <v>382</v>
      </c>
      <c r="F4224" s="63" t="s">
        <v>420</v>
      </c>
      <c r="G4224" s="64" t="n">
        <v>0</v>
      </c>
      <c r="H4224" s="62" t="s">
        <v>138</v>
      </c>
    </row>
    <row r="4225" customFormat="false" ht="15" hidden="false" customHeight="false" outlineLevel="0" collapsed="false">
      <c r="A4225" s="62" t="n">
        <v>1</v>
      </c>
      <c r="B4225" s="62" t="s">
        <v>385</v>
      </c>
      <c r="C4225" s="62" t="s">
        <v>60</v>
      </c>
      <c r="D4225" s="62" t="s">
        <v>71</v>
      </c>
      <c r="E4225" s="62" t="s">
        <v>382</v>
      </c>
      <c r="F4225" s="63" t="s">
        <v>420</v>
      </c>
      <c r="G4225" s="64" t="n">
        <v>0</v>
      </c>
      <c r="H4225" s="62" t="s">
        <v>138</v>
      </c>
    </row>
    <row r="4226" customFormat="false" ht="15" hidden="false" customHeight="false" outlineLevel="0" collapsed="false">
      <c r="A4226" s="62" t="n">
        <v>1</v>
      </c>
      <c r="B4226" s="62" t="s">
        <v>386</v>
      </c>
      <c r="C4226" s="62" t="s">
        <v>60</v>
      </c>
      <c r="D4226" s="62" t="s">
        <v>71</v>
      </c>
      <c r="E4226" s="62" t="s">
        <v>382</v>
      </c>
      <c r="F4226" s="63" t="s">
        <v>420</v>
      </c>
      <c r="G4226" s="64" t="n">
        <v>0</v>
      </c>
      <c r="H4226" s="62" t="s">
        <v>138</v>
      </c>
    </row>
    <row r="4227" customFormat="false" ht="15" hidden="false" customHeight="false" outlineLevel="0" collapsed="false">
      <c r="A4227" s="62" t="n">
        <v>1</v>
      </c>
      <c r="B4227" s="62" t="s">
        <v>387</v>
      </c>
      <c r="C4227" s="62" t="s">
        <v>60</v>
      </c>
      <c r="D4227" s="62" t="s">
        <v>71</v>
      </c>
      <c r="E4227" s="62" t="s">
        <v>382</v>
      </c>
      <c r="F4227" s="63" t="s">
        <v>420</v>
      </c>
      <c r="G4227" s="64" t="n">
        <v>0</v>
      </c>
      <c r="H4227" s="62" t="s">
        <v>138</v>
      </c>
    </row>
    <row r="4228" customFormat="false" ht="15" hidden="false" customHeight="false" outlineLevel="0" collapsed="false">
      <c r="A4228" s="62" t="n">
        <v>1</v>
      </c>
      <c r="B4228" s="62" t="s">
        <v>388</v>
      </c>
      <c r="C4228" s="62" t="s">
        <v>60</v>
      </c>
      <c r="D4228" s="62" t="s">
        <v>71</v>
      </c>
      <c r="E4228" s="62" t="s">
        <v>382</v>
      </c>
      <c r="F4228" s="63" t="s">
        <v>420</v>
      </c>
      <c r="G4228" s="64" t="n">
        <v>0</v>
      </c>
      <c r="H4228" s="62" t="s">
        <v>138</v>
      </c>
    </row>
    <row r="4229" customFormat="false" ht="15" hidden="false" customHeight="false" outlineLevel="0" collapsed="false">
      <c r="A4229" s="62" t="n">
        <v>1</v>
      </c>
      <c r="B4229" s="62" t="s">
        <v>381</v>
      </c>
      <c r="C4229" s="62" t="s">
        <v>60</v>
      </c>
      <c r="D4229" s="62" t="s">
        <v>71</v>
      </c>
      <c r="E4229" s="62" t="s">
        <v>382</v>
      </c>
      <c r="F4229" s="63" t="s">
        <v>421</v>
      </c>
      <c r="G4229" s="64" t="n">
        <v>2400000</v>
      </c>
      <c r="H4229" s="62" t="s">
        <v>138</v>
      </c>
    </row>
    <row r="4230" customFormat="false" ht="15" hidden="false" customHeight="false" outlineLevel="0" collapsed="false">
      <c r="A4230" s="62" t="n">
        <v>1</v>
      </c>
      <c r="B4230" s="62" t="s">
        <v>383</v>
      </c>
      <c r="C4230" s="62" t="s">
        <v>60</v>
      </c>
      <c r="D4230" s="62" t="s">
        <v>71</v>
      </c>
      <c r="E4230" s="62" t="s">
        <v>382</v>
      </c>
      <c r="F4230" s="63" t="s">
        <v>421</v>
      </c>
      <c r="G4230" s="64" t="n">
        <v>10880000</v>
      </c>
      <c r="H4230" s="62" t="s">
        <v>138</v>
      </c>
    </row>
    <row r="4231" customFormat="false" ht="15" hidden="false" customHeight="false" outlineLevel="0" collapsed="false">
      <c r="A4231" s="62" t="n">
        <v>1</v>
      </c>
      <c r="B4231" s="62" t="s">
        <v>384</v>
      </c>
      <c r="C4231" s="62" t="s">
        <v>60</v>
      </c>
      <c r="D4231" s="62" t="s">
        <v>71</v>
      </c>
      <c r="E4231" s="62" t="s">
        <v>382</v>
      </c>
      <c r="F4231" s="63" t="s">
        <v>421</v>
      </c>
      <c r="G4231" s="64" t="n">
        <v>5400000</v>
      </c>
      <c r="H4231" s="62" t="s">
        <v>138</v>
      </c>
    </row>
    <row r="4232" customFormat="false" ht="15" hidden="false" customHeight="false" outlineLevel="0" collapsed="false">
      <c r="A4232" s="62" t="n">
        <v>1</v>
      </c>
      <c r="B4232" s="62" t="s">
        <v>385</v>
      </c>
      <c r="C4232" s="62" t="s">
        <v>60</v>
      </c>
      <c r="D4232" s="62" t="s">
        <v>71</v>
      </c>
      <c r="E4232" s="62" t="s">
        <v>382</v>
      </c>
      <c r="F4232" s="63" t="s">
        <v>421</v>
      </c>
      <c r="G4232" s="64" t="n">
        <v>400000</v>
      </c>
      <c r="H4232" s="62" t="s">
        <v>138</v>
      </c>
    </row>
    <row r="4233" customFormat="false" ht="15" hidden="false" customHeight="false" outlineLevel="0" collapsed="false">
      <c r="A4233" s="62" t="n">
        <v>1</v>
      </c>
      <c r="B4233" s="62" t="s">
        <v>386</v>
      </c>
      <c r="C4233" s="62" t="s">
        <v>60</v>
      </c>
      <c r="D4233" s="62" t="s">
        <v>71</v>
      </c>
      <c r="E4233" s="62" t="s">
        <v>382</v>
      </c>
      <c r="F4233" s="63" t="s">
        <v>421</v>
      </c>
      <c r="G4233" s="64" t="n">
        <v>1900000</v>
      </c>
      <c r="H4233" s="62" t="s">
        <v>138</v>
      </c>
    </row>
    <row r="4234" customFormat="false" ht="15" hidden="false" customHeight="false" outlineLevel="0" collapsed="false">
      <c r="A4234" s="62" t="n">
        <v>1</v>
      </c>
      <c r="B4234" s="62" t="s">
        <v>387</v>
      </c>
      <c r="C4234" s="62" t="s">
        <v>60</v>
      </c>
      <c r="D4234" s="62" t="s">
        <v>71</v>
      </c>
      <c r="E4234" s="62" t="s">
        <v>382</v>
      </c>
      <c r="F4234" s="63" t="s">
        <v>421</v>
      </c>
      <c r="G4234" s="64" t="n">
        <v>11900000</v>
      </c>
      <c r="H4234" s="62" t="s">
        <v>138</v>
      </c>
    </row>
    <row r="4235" customFormat="false" ht="15" hidden="false" customHeight="false" outlineLevel="0" collapsed="false">
      <c r="A4235" s="62" t="n">
        <v>1</v>
      </c>
      <c r="B4235" s="62" t="s">
        <v>388</v>
      </c>
      <c r="C4235" s="62" t="s">
        <v>60</v>
      </c>
      <c r="D4235" s="62" t="s">
        <v>71</v>
      </c>
      <c r="E4235" s="62" t="s">
        <v>382</v>
      </c>
      <c r="F4235" s="63" t="s">
        <v>421</v>
      </c>
      <c r="G4235" s="64" t="n">
        <v>1400000</v>
      </c>
      <c r="H4235" s="62" t="s">
        <v>138</v>
      </c>
    </row>
    <row r="4236" customFormat="false" ht="15" hidden="false" customHeight="false" outlineLevel="0" collapsed="false">
      <c r="A4236" s="62" t="n">
        <v>1</v>
      </c>
      <c r="B4236" s="62" t="s">
        <v>381</v>
      </c>
      <c r="C4236" s="62" t="s">
        <v>60</v>
      </c>
      <c r="D4236" s="62" t="s">
        <v>71</v>
      </c>
      <c r="E4236" s="62" t="s">
        <v>382</v>
      </c>
      <c r="F4236" s="63" t="s">
        <v>422</v>
      </c>
      <c r="G4236" s="64" t="n">
        <v>437426.873264112</v>
      </c>
      <c r="H4236" s="62" t="s">
        <v>138</v>
      </c>
    </row>
    <row r="4237" customFormat="false" ht="15" hidden="false" customHeight="false" outlineLevel="0" collapsed="false">
      <c r="A4237" s="62" t="n">
        <v>1</v>
      </c>
      <c r="B4237" s="62" t="s">
        <v>383</v>
      </c>
      <c r="C4237" s="62" t="s">
        <v>60</v>
      </c>
      <c r="D4237" s="62" t="s">
        <v>71</v>
      </c>
      <c r="E4237" s="62" t="s">
        <v>382</v>
      </c>
      <c r="F4237" s="63" t="s">
        <v>422</v>
      </c>
      <c r="G4237" s="64" t="n">
        <v>421896.799452862</v>
      </c>
      <c r="H4237" s="62" t="s">
        <v>138</v>
      </c>
    </row>
    <row r="4238" customFormat="false" ht="15" hidden="false" customHeight="false" outlineLevel="0" collapsed="false">
      <c r="A4238" s="62" t="n">
        <v>1</v>
      </c>
      <c r="B4238" s="62" t="s">
        <v>384</v>
      </c>
      <c r="C4238" s="62" t="s">
        <v>60</v>
      </c>
      <c r="D4238" s="62" t="s">
        <v>71</v>
      </c>
      <c r="E4238" s="62" t="s">
        <v>382</v>
      </c>
      <c r="F4238" s="63" t="s">
        <v>422</v>
      </c>
      <c r="G4238" s="64" t="n">
        <v>480223.800281326</v>
      </c>
      <c r="H4238" s="62" t="s">
        <v>138</v>
      </c>
    </row>
    <row r="4239" customFormat="false" ht="15" hidden="false" customHeight="false" outlineLevel="0" collapsed="false">
      <c r="A4239" s="62" t="n">
        <v>1</v>
      </c>
      <c r="B4239" s="62" t="s">
        <v>385</v>
      </c>
      <c r="C4239" s="62" t="s">
        <v>60</v>
      </c>
      <c r="D4239" s="62" t="s">
        <v>71</v>
      </c>
      <c r="E4239" s="62" t="s">
        <v>382</v>
      </c>
      <c r="F4239" s="63" t="s">
        <v>422</v>
      </c>
      <c r="G4239" s="64" t="n">
        <v>196072.567216753</v>
      </c>
      <c r="H4239" s="62" t="s">
        <v>138</v>
      </c>
    </row>
    <row r="4240" customFormat="false" ht="15" hidden="false" customHeight="false" outlineLevel="0" collapsed="false">
      <c r="A4240" s="62" t="n">
        <v>1</v>
      </c>
      <c r="B4240" s="62" t="s">
        <v>386</v>
      </c>
      <c r="C4240" s="62" t="s">
        <v>60</v>
      </c>
      <c r="D4240" s="62" t="s">
        <v>71</v>
      </c>
      <c r="E4240" s="62" t="s">
        <v>382</v>
      </c>
      <c r="F4240" s="63" t="s">
        <v>422</v>
      </c>
      <c r="G4240" s="64" t="n">
        <v>408491.300710304</v>
      </c>
      <c r="H4240" s="62" t="s">
        <v>138</v>
      </c>
    </row>
    <row r="4241" customFormat="false" ht="15" hidden="false" customHeight="false" outlineLevel="0" collapsed="false">
      <c r="A4241" s="62" t="n">
        <v>1</v>
      </c>
      <c r="B4241" s="62" t="s">
        <v>387</v>
      </c>
      <c r="C4241" s="62" t="s">
        <v>60</v>
      </c>
      <c r="D4241" s="62" t="s">
        <v>71</v>
      </c>
      <c r="E4241" s="62" t="s">
        <v>382</v>
      </c>
      <c r="F4241" s="63" t="s">
        <v>422</v>
      </c>
      <c r="G4241" s="64" t="n">
        <v>367669.395106539</v>
      </c>
      <c r="H4241" s="62" t="s">
        <v>138</v>
      </c>
    </row>
    <row r="4242" customFormat="false" ht="15" hidden="false" customHeight="false" outlineLevel="0" collapsed="false">
      <c r="A4242" s="62" t="n">
        <v>1</v>
      </c>
      <c r="B4242" s="62" t="s">
        <v>388</v>
      </c>
      <c r="C4242" s="62" t="s">
        <v>60</v>
      </c>
      <c r="D4242" s="62" t="s">
        <v>71</v>
      </c>
      <c r="E4242" s="62" t="s">
        <v>382</v>
      </c>
      <c r="F4242" s="63" t="s">
        <v>422</v>
      </c>
      <c r="G4242" s="64" t="n">
        <v>207849.237034391</v>
      </c>
      <c r="H4242" s="62" t="s">
        <v>138</v>
      </c>
    </row>
    <row r="4243" customFormat="false" ht="15" hidden="false" customHeight="false" outlineLevel="0" collapsed="false">
      <c r="A4243" s="62" t="n">
        <v>1</v>
      </c>
      <c r="B4243" s="62" t="s">
        <v>381</v>
      </c>
      <c r="C4243" s="62" t="s">
        <v>60</v>
      </c>
      <c r="D4243" s="62" t="s">
        <v>71</v>
      </c>
      <c r="E4243" s="62" t="s">
        <v>382</v>
      </c>
      <c r="F4243" s="63" t="s">
        <v>423</v>
      </c>
      <c r="G4243" s="64" t="n">
        <v>2837426.87326411</v>
      </c>
      <c r="H4243" s="62" t="s">
        <v>138</v>
      </c>
    </row>
    <row r="4244" customFormat="false" ht="15" hidden="false" customHeight="false" outlineLevel="0" collapsed="false">
      <c r="A4244" s="62" t="n">
        <v>1</v>
      </c>
      <c r="B4244" s="62" t="s">
        <v>383</v>
      </c>
      <c r="C4244" s="62" t="s">
        <v>60</v>
      </c>
      <c r="D4244" s="62" t="s">
        <v>71</v>
      </c>
      <c r="E4244" s="62" t="s">
        <v>382</v>
      </c>
      <c r="F4244" s="63" t="s">
        <v>423</v>
      </c>
      <c r="G4244" s="64" t="n">
        <v>11301896.7994529</v>
      </c>
      <c r="H4244" s="62" t="s">
        <v>138</v>
      </c>
    </row>
    <row r="4245" customFormat="false" ht="15" hidden="false" customHeight="false" outlineLevel="0" collapsed="false">
      <c r="A4245" s="62" t="n">
        <v>1</v>
      </c>
      <c r="B4245" s="62" t="s">
        <v>384</v>
      </c>
      <c r="C4245" s="62" t="s">
        <v>60</v>
      </c>
      <c r="D4245" s="62" t="s">
        <v>71</v>
      </c>
      <c r="E4245" s="62" t="s">
        <v>382</v>
      </c>
      <c r="F4245" s="63" t="s">
        <v>423</v>
      </c>
      <c r="G4245" s="64" t="n">
        <v>5880223.80028133</v>
      </c>
      <c r="H4245" s="62" t="s">
        <v>138</v>
      </c>
    </row>
    <row r="4246" customFormat="false" ht="15" hidden="false" customHeight="false" outlineLevel="0" collapsed="false">
      <c r="A4246" s="62" t="n">
        <v>1</v>
      </c>
      <c r="B4246" s="62" t="s">
        <v>385</v>
      </c>
      <c r="C4246" s="62" t="s">
        <v>60</v>
      </c>
      <c r="D4246" s="62" t="s">
        <v>71</v>
      </c>
      <c r="E4246" s="62" t="s">
        <v>382</v>
      </c>
      <c r="F4246" s="63" t="s">
        <v>423</v>
      </c>
      <c r="G4246" s="64" t="n">
        <v>596072.567216753</v>
      </c>
      <c r="H4246" s="62" t="s">
        <v>138</v>
      </c>
    </row>
    <row r="4247" customFormat="false" ht="15" hidden="false" customHeight="false" outlineLevel="0" collapsed="false">
      <c r="A4247" s="62" t="n">
        <v>1</v>
      </c>
      <c r="B4247" s="62" t="s">
        <v>386</v>
      </c>
      <c r="C4247" s="62" t="s">
        <v>60</v>
      </c>
      <c r="D4247" s="62" t="s">
        <v>71</v>
      </c>
      <c r="E4247" s="62" t="s">
        <v>382</v>
      </c>
      <c r="F4247" s="63" t="s">
        <v>423</v>
      </c>
      <c r="G4247" s="64" t="n">
        <v>2308491.3007103</v>
      </c>
      <c r="H4247" s="62" t="s">
        <v>138</v>
      </c>
    </row>
    <row r="4248" customFormat="false" ht="15" hidden="false" customHeight="false" outlineLevel="0" collapsed="false">
      <c r="A4248" s="62" t="n">
        <v>1</v>
      </c>
      <c r="B4248" s="62" t="s">
        <v>387</v>
      </c>
      <c r="C4248" s="62" t="s">
        <v>60</v>
      </c>
      <c r="D4248" s="62" t="s">
        <v>71</v>
      </c>
      <c r="E4248" s="62" t="s">
        <v>382</v>
      </c>
      <c r="F4248" s="63" t="s">
        <v>423</v>
      </c>
      <c r="G4248" s="64" t="n">
        <v>12267669.3951065</v>
      </c>
      <c r="H4248" s="62" t="s">
        <v>138</v>
      </c>
    </row>
    <row r="4249" customFormat="false" ht="15" hidden="false" customHeight="false" outlineLevel="0" collapsed="false">
      <c r="A4249" s="62" t="n">
        <v>1</v>
      </c>
      <c r="B4249" s="62" t="s">
        <v>388</v>
      </c>
      <c r="C4249" s="62" t="s">
        <v>60</v>
      </c>
      <c r="D4249" s="62" t="s">
        <v>71</v>
      </c>
      <c r="E4249" s="62" t="s">
        <v>382</v>
      </c>
      <c r="F4249" s="63" t="s">
        <v>423</v>
      </c>
      <c r="G4249" s="64" t="n">
        <v>1607849.23703439</v>
      </c>
      <c r="H4249" s="62" t="s">
        <v>138</v>
      </c>
    </row>
    <row r="4250" customFormat="false" ht="15" hidden="false" customHeight="false" outlineLevel="0" collapsed="false">
      <c r="A4250" s="62" t="n">
        <v>1</v>
      </c>
      <c r="B4250" s="62" t="s">
        <v>381</v>
      </c>
      <c r="C4250" s="62" t="s">
        <v>60</v>
      </c>
      <c r="D4250" s="62" t="s">
        <v>71</v>
      </c>
      <c r="E4250" s="62" t="s">
        <v>382</v>
      </c>
      <c r="F4250" s="63" t="s">
        <v>399</v>
      </c>
      <c r="G4250" s="64" t="n">
        <v>6535951.93430602</v>
      </c>
      <c r="H4250" s="62" t="s">
        <v>138</v>
      </c>
    </row>
    <row r="4251" customFormat="false" ht="15" hidden="false" customHeight="false" outlineLevel="0" collapsed="false">
      <c r="A4251" s="62" t="n">
        <v>1</v>
      </c>
      <c r="B4251" s="62" t="s">
        <v>383</v>
      </c>
      <c r="C4251" s="62" t="s">
        <v>60</v>
      </c>
      <c r="D4251" s="62" t="s">
        <v>71</v>
      </c>
      <c r="E4251" s="62" t="s">
        <v>382</v>
      </c>
      <c r="F4251" s="63" t="s">
        <v>399</v>
      </c>
      <c r="G4251" s="64" t="n">
        <v>14177531.421056</v>
      </c>
      <c r="H4251" s="62" t="s">
        <v>138</v>
      </c>
    </row>
    <row r="4252" customFormat="false" ht="15" hidden="false" customHeight="false" outlineLevel="0" collapsed="false">
      <c r="A4252" s="62" t="n">
        <v>1</v>
      </c>
      <c r="B4252" s="62" t="s">
        <v>384</v>
      </c>
      <c r="C4252" s="62" t="s">
        <v>60</v>
      </c>
      <c r="D4252" s="62" t="s">
        <v>71</v>
      </c>
      <c r="E4252" s="62" t="s">
        <v>382</v>
      </c>
      <c r="F4252" s="63" t="s">
        <v>399</v>
      </c>
      <c r="G4252" s="64" t="n">
        <v>9930699.13394717</v>
      </c>
      <c r="H4252" s="62" t="s">
        <v>138</v>
      </c>
    </row>
    <row r="4253" customFormat="false" ht="15" hidden="false" customHeight="false" outlineLevel="0" collapsed="false">
      <c r="A4253" s="62" t="n">
        <v>1</v>
      </c>
      <c r="B4253" s="62" t="s">
        <v>385</v>
      </c>
      <c r="C4253" s="62" t="s">
        <v>60</v>
      </c>
      <c r="D4253" s="62" t="s">
        <v>71</v>
      </c>
      <c r="E4253" s="62" t="s">
        <v>382</v>
      </c>
      <c r="F4253" s="63" t="s">
        <v>399</v>
      </c>
      <c r="G4253" s="64" t="n">
        <v>4587181.91225067</v>
      </c>
      <c r="H4253" s="62" t="s">
        <v>138</v>
      </c>
    </row>
    <row r="4254" customFormat="false" ht="15" hidden="false" customHeight="false" outlineLevel="0" collapsed="false">
      <c r="A4254" s="62" t="n">
        <v>1</v>
      </c>
      <c r="B4254" s="62" t="s">
        <v>386</v>
      </c>
      <c r="C4254" s="62" t="s">
        <v>60</v>
      </c>
      <c r="D4254" s="62" t="s">
        <v>71</v>
      </c>
      <c r="E4254" s="62" t="s">
        <v>382</v>
      </c>
      <c r="F4254" s="63" t="s">
        <v>399</v>
      </c>
      <c r="G4254" s="64" t="n">
        <v>5853112.2900757</v>
      </c>
      <c r="H4254" s="62" t="s">
        <v>138</v>
      </c>
    </row>
    <row r="4255" customFormat="false" ht="15" hidden="false" customHeight="false" outlineLevel="0" collapsed="false">
      <c r="A4255" s="62" t="n">
        <v>1</v>
      </c>
      <c r="B4255" s="62" t="s">
        <v>387</v>
      </c>
      <c r="C4255" s="62" t="s">
        <v>60</v>
      </c>
      <c r="D4255" s="62" t="s">
        <v>71</v>
      </c>
      <c r="E4255" s="62" t="s">
        <v>382</v>
      </c>
      <c r="F4255" s="63" t="s">
        <v>399</v>
      </c>
      <c r="G4255" s="64" t="n">
        <v>16287301.3544391</v>
      </c>
      <c r="H4255" s="62" t="s">
        <v>138</v>
      </c>
    </row>
    <row r="4256" customFormat="false" ht="15" hidden="false" customHeight="false" outlineLevel="0" collapsed="false">
      <c r="A4256" s="62" t="n">
        <v>1</v>
      </c>
      <c r="B4256" s="62" t="s">
        <v>388</v>
      </c>
      <c r="C4256" s="62" t="s">
        <v>60</v>
      </c>
      <c r="D4256" s="62" t="s">
        <v>71</v>
      </c>
      <c r="E4256" s="62" t="s">
        <v>382</v>
      </c>
      <c r="F4256" s="63" t="s">
        <v>399</v>
      </c>
      <c r="G4256" s="64" t="n">
        <v>4544078.80061047</v>
      </c>
      <c r="H4256" s="62" t="s">
        <v>138</v>
      </c>
    </row>
    <row r="4257" customFormat="false" ht="15" hidden="false" customHeight="false" outlineLevel="0" collapsed="false">
      <c r="A4257" s="62" t="n">
        <v>1</v>
      </c>
      <c r="B4257" s="62" t="s">
        <v>381</v>
      </c>
      <c r="C4257" s="62" t="s">
        <v>60</v>
      </c>
      <c r="D4257" s="62" t="s">
        <v>71</v>
      </c>
      <c r="E4257" s="62" t="s">
        <v>382</v>
      </c>
      <c r="F4257" s="63" t="s">
        <v>443</v>
      </c>
      <c r="G4257" s="64" t="n">
        <v>2170731.44347295</v>
      </c>
      <c r="H4257" s="62" t="s">
        <v>138</v>
      </c>
    </row>
    <row r="4258" customFormat="false" ht="15" hidden="false" customHeight="false" outlineLevel="0" collapsed="false">
      <c r="A4258" s="62" t="n">
        <v>1</v>
      </c>
      <c r="B4258" s="62" t="s">
        <v>383</v>
      </c>
      <c r="C4258" s="62" t="s">
        <v>60</v>
      </c>
      <c r="D4258" s="62" t="s">
        <v>71</v>
      </c>
      <c r="E4258" s="62" t="s">
        <v>382</v>
      </c>
      <c r="F4258" s="63" t="s">
        <v>443</v>
      </c>
      <c r="G4258" s="64" t="n">
        <v>462787.898467455</v>
      </c>
      <c r="H4258" s="62" t="s">
        <v>138</v>
      </c>
    </row>
    <row r="4259" customFormat="false" ht="15" hidden="false" customHeight="false" outlineLevel="0" collapsed="false">
      <c r="A4259" s="62" t="n">
        <v>1</v>
      </c>
      <c r="B4259" s="62" t="s">
        <v>384</v>
      </c>
      <c r="C4259" s="62" t="s">
        <v>60</v>
      </c>
      <c r="D4259" s="62" t="s">
        <v>71</v>
      </c>
      <c r="E4259" s="62" t="s">
        <v>382</v>
      </c>
      <c r="F4259" s="63" t="s">
        <v>443</v>
      </c>
      <c r="G4259" s="64" t="n">
        <v>2423885.00188956</v>
      </c>
      <c r="H4259" s="62" t="s">
        <v>138</v>
      </c>
    </row>
    <row r="4260" customFormat="false" ht="15" hidden="false" customHeight="false" outlineLevel="0" collapsed="false">
      <c r="A4260" s="62" t="n">
        <v>1</v>
      </c>
      <c r="B4260" s="62" t="s">
        <v>385</v>
      </c>
      <c r="C4260" s="62" t="s">
        <v>60</v>
      </c>
      <c r="D4260" s="62" t="s">
        <v>71</v>
      </c>
      <c r="E4260" s="62" t="s">
        <v>382</v>
      </c>
      <c r="F4260" s="63" t="s">
        <v>443</v>
      </c>
      <c r="G4260" s="64" t="n">
        <v>1971971.3045569</v>
      </c>
      <c r="H4260" s="62" t="s">
        <v>138</v>
      </c>
    </row>
    <row r="4261" customFormat="false" ht="15" hidden="false" customHeight="false" outlineLevel="0" collapsed="false">
      <c r="A4261" s="62" t="n">
        <v>1</v>
      </c>
      <c r="B4261" s="62" t="s">
        <v>386</v>
      </c>
      <c r="C4261" s="62" t="s">
        <v>60</v>
      </c>
      <c r="D4261" s="62" t="s">
        <v>71</v>
      </c>
      <c r="E4261" s="62" t="s">
        <v>382</v>
      </c>
      <c r="F4261" s="63" t="s">
        <v>443</v>
      </c>
      <c r="G4261" s="64" t="n">
        <v>2789015.00660761</v>
      </c>
      <c r="H4261" s="62" t="s">
        <v>138</v>
      </c>
    </row>
    <row r="4262" customFormat="false" ht="15" hidden="false" customHeight="false" outlineLevel="0" collapsed="false">
      <c r="A4262" s="62" t="n">
        <v>1</v>
      </c>
      <c r="B4262" s="62" t="s">
        <v>387</v>
      </c>
      <c r="C4262" s="62" t="s">
        <v>60</v>
      </c>
      <c r="D4262" s="62" t="s">
        <v>71</v>
      </c>
      <c r="E4262" s="62" t="s">
        <v>382</v>
      </c>
      <c r="F4262" s="63" t="s">
        <v>443</v>
      </c>
      <c r="G4262" s="64" t="n">
        <v>2042392.55351165</v>
      </c>
      <c r="H4262" s="62" t="s">
        <v>138</v>
      </c>
    </row>
    <row r="4263" customFormat="false" ht="15" hidden="false" customHeight="false" outlineLevel="0" collapsed="false">
      <c r="A4263" s="62" t="n">
        <v>1</v>
      </c>
      <c r="B4263" s="62" t="s">
        <v>388</v>
      </c>
      <c r="C4263" s="62" t="s">
        <v>60</v>
      </c>
      <c r="D4263" s="62" t="s">
        <v>71</v>
      </c>
      <c r="E4263" s="62" t="s">
        <v>382</v>
      </c>
      <c r="F4263" s="63" t="s">
        <v>443</v>
      </c>
      <c r="G4263" s="64" t="n">
        <v>654570.974751455</v>
      </c>
      <c r="H4263" s="62" t="s">
        <v>138</v>
      </c>
    </row>
    <row r="4264" customFormat="false" ht="15" hidden="false" customHeight="false" outlineLevel="0" collapsed="false">
      <c r="A4264" s="62" t="n">
        <v>1</v>
      </c>
      <c r="B4264" s="62" t="s">
        <v>381</v>
      </c>
      <c r="C4264" s="62" t="s">
        <v>60</v>
      </c>
      <c r="D4264" s="62" t="s">
        <v>71</v>
      </c>
      <c r="E4264" s="62" t="s">
        <v>382</v>
      </c>
      <c r="F4264" s="63" t="s">
        <v>444</v>
      </c>
      <c r="G4264" s="64" t="n">
        <v>-162604.770754019</v>
      </c>
      <c r="H4264" s="62" t="s">
        <v>138</v>
      </c>
    </row>
    <row r="4265" customFormat="false" ht="15" hidden="false" customHeight="false" outlineLevel="0" collapsed="false">
      <c r="A4265" s="62" t="n">
        <v>1</v>
      </c>
      <c r="B4265" s="62" t="s">
        <v>383</v>
      </c>
      <c r="C4265" s="62" t="s">
        <v>60</v>
      </c>
      <c r="D4265" s="62" t="s">
        <v>71</v>
      </c>
      <c r="E4265" s="62" t="s">
        <v>382</v>
      </c>
      <c r="F4265" s="63" t="s">
        <v>444</v>
      </c>
      <c r="G4265" s="64" t="n">
        <v>127067.00512959</v>
      </c>
      <c r="H4265" s="62" t="s">
        <v>138</v>
      </c>
    </row>
    <row r="4266" customFormat="false" ht="15" hidden="false" customHeight="false" outlineLevel="0" collapsed="false">
      <c r="A4266" s="62" t="n">
        <v>1</v>
      </c>
      <c r="B4266" s="62" t="s">
        <v>384</v>
      </c>
      <c r="C4266" s="62" t="s">
        <v>60</v>
      </c>
      <c r="D4266" s="62" t="s">
        <v>71</v>
      </c>
      <c r="E4266" s="62" t="s">
        <v>382</v>
      </c>
      <c r="F4266" s="63" t="s">
        <v>444</v>
      </c>
      <c r="G4266" s="64" t="n">
        <v>-84868.3960233766</v>
      </c>
      <c r="H4266" s="62" t="s">
        <v>138</v>
      </c>
    </row>
    <row r="4267" customFormat="false" ht="15" hidden="false" customHeight="false" outlineLevel="0" collapsed="false">
      <c r="A4267" s="62" t="n">
        <v>1</v>
      </c>
      <c r="B4267" s="62" t="s">
        <v>385</v>
      </c>
      <c r="C4267" s="62" t="s">
        <v>60</v>
      </c>
      <c r="D4267" s="62" t="s">
        <v>71</v>
      </c>
      <c r="E4267" s="62" t="s">
        <v>382</v>
      </c>
      <c r="F4267" s="63" t="s">
        <v>444</v>
      </c>
      <c r="G4267" s="64" t="n">
        <v>49152.4740658396</v>
      </c>
      <c r="H4267" s="62" t="s">
        <v>138</v>
      </c>
    </row>
    <row r="4268" customFormat="false" ht="15" hidden="false" customHeight="false" outlineLevel="0" collapsed="false">
      <c r="A4268" s="62" t="n">
        <v>1</v>
      </c>
      <c r="B4268" s="62" t="s">
        <v>386</v>
      </c>
      <c r="C4268" s="62" t="s">
        <v>60</v>
      </c>
      <c r="D4268" s="62" t="s">
        <v>71</v>
      </c>
      <c r="E4268" s="62" t="s">
        <v>382</v>
      </c>
      <c r="F4268" s="63" t="s">
        <v>444</v>
      </c>
      <c r="G4268" s="64" t="n">
        <v>-100094.873344288</v>
      </c>
      <c r="H4268" s="62" t="s">
        <v>138</v>
      </c>
    </row>
    <row r="4269" customFormat="false" ht="15" hidden="false" customHeight="false" outlineLevel="0" collapsed="false">
      <c r="A4269" s="62" t="n">
        <v>1</v>
      </c>
      <c r="B4269" s="62" t="s">
        <v>387</v>
      </c>
      <c r="C4269" s="62" t="s">
        <v>60</v>
      </c>
      <c r="D4269" s="62" t="s">
        <v>71</v>
      </c>
      <c r="E4269" s="62" t="s">
        <v>382</v>
      </c>
      <c r="F4269" s="63" t="s">
        <v>444</v>
      </c>
      <c r="G4269" s="64" t="n">
        <v>-77798.327299246</v>
      </c>
      <c r="H4269" s="62" t="s">
        <v>138</v>
      </c>
    </row>
    <row r="4270" customFormat="false" ht="15" hidden="false" customHeight="false" outlineLevel="0" collapsed="false">
      <c r="A4270" s="62" t="n">
        <v>1</v>
      </c>
      <c r="B4270" s="62" t="s">
        <v>388</v>
      </c>
      <c r="C4270" s="62" t="s">
        <v>60</v>
      </c>
      <c r="D4270" s="62" t="s">
        <v>71</v>
      </c>
      <c r="E4270" s="62" t="s">
        <v>382</v>
      </c>
      <c r="F4270" s="63" t="s">
        <v>444</v>
      </c>
      <c r="G4270" s="64" t="n">
        <v>73018.0464860001</v>
      </c>
      <c r="H4270" s="62" t="s">
        <v>138</v>
      </c>
    </row>
    <row r="4271" customFormat="false" ht="15" hidden="false" customHeight="false" outlineLevel="0" collapsed="false">
      <c r="A4271" s="62" t="n">
        <v>1</v>
      </c>
      <c r="B4271" s="62" t="s">
        <v>381</v>
      </c>
      <c r="C4271" s="62" t="s">
        <v>60</v>
      </c>
      <c r="D4271" s="62" t="s">
        <v>71</v>
      </c>
      <c r="E4271" s="62" t="s">
        <v>382</v>
      </c>
      <c r="F4271" s="63" t="s">
        <v>445</v>
      </c>
      <c r="G4271" s="64" t="n">
        <v>-2138463.24884884</v>
      </c>
      <c r="H4271" s="62" t="s">
        <v>138</v>
      </c>
    </row>
    <row r="4272" customFormat="false" ht="15" hidden="false" customHeight="false" outlineLevel="0" collapsed="false">
      <c r="A4272" s="62" t="n">
        <v>1</v>
      </c>
      <c r="B4272" s="62" t="s">
        <v>383</v>
      </c>
      <c r="C4272" s="62" t="s">
        <v>60</v>
      </c>
      <c r="D4272" s="62" t="s">
        <v>71</v>
      </c>
      <c r="E4272" s="62" t="s">
        <v>382</v>
      </c>
      <c r="F4272" s="63" t="s">
        <v>445</v>
      </c>
      <c r="G4272" s="64" t="n">
        <v>-2596845.75782328</v>
      </c>
      <c r="H4272" s="62" t="s">
        <v>138</v>
      </c>
    </row>
    <row r="4273" customFormat="false" ht="15" hidden="false" customHeight="false" outlineLevel="0" collapsed="false">
      <c r="A4273" s="62" t="n">
        <v>1</v>
      </c>
      <c r="B4273" s="62" t="s">
        <v>384</v>
      </c>
      <c r="C4273" s="62" t="s">
        <v>60</v>
      </c>
      <c r="D4273" s="62" t="s">
        <v>71</v>
      </c>
      <c r="E4273" s="62" t="s">
        <v>382</v>
      </c>
      <c r="F4273" s="63" t="s">
        <v>445</v>
      </c>
      <c r="G4273" s="64" t="n">
        <v>-2060407.08922184</v>
      </c>
      <c r="H4273" s="62" t="s">
        <v>138</v>
      </c>
    </row>
    <row r="4274" customFormat="false" ht="15" hidden="false" customHeight="false" outlineLevel="0" collapsed="false">
      <c r="A4274" s="62" t="n">
        <v>1</v>
      </c>
      <c r="B4274" s="62" t="s">
        <v>385</v>
      </c>
      <c r="C4274" s="62" t="s">
        <v>60</v>
      </c>
      <c r="D4274" s="62" t="s">
        <v>71</v>
      </c>
      <c r="E4274" s="62" t="s">
        <v>382</v>
      </c>
      <c r="F4274" s="63" t="s">
        <v>445</v>
      </c>
      <c r="G4274" s="64" t="n">
        <v>-673892.366166765</v>
      </c>
      <c r="H4274" s="62" t="s">
        <v>138</v>
      </c>
    </row>
    <row r="4275" customFormat="false" ht="15" hidden="false" customHeight="false" outlineLevel="0" collapsed="false">
      <c r="A4275" s="62" t="n">
        <v>1</v>
      </c>
      <c r="B4275" s="62" t="s">
        <v>386</v>
      </c>
      <c r="C4275" s="62" t="s">
        <v>60</v>
      </c>
      <c r="D4275" s="62" t="s">
        <v>71</v>
      </c>
      <c r="E4275" s="62" t="s">
        <v>382</v>
      </c>
      <c r="F4275" s="63" t="s">
        <v>445</v>
      </c>
      <c r="G4275" s="64" t="n">
        <v>0</v>
      </c>
      <c r="H4275" s="62" t="s">
        <v>138</v>
      </c>
    </row>
    <row r="4276" customFormat="false" ht="15" hidden="false" customHeight="false" outlineLevel="0" collapsed="false">
      <c r="A4276" s="62" t="n">
        <v>1</v>
      </c>
      <c r="B4276" s="62" t="s">
        <v>387</v>
      </c>
      <c r="C4276" s="62" t="s">
        <v>60</v>
      </c>
      <c r="D4276" s="62" t="s">
        <v>71</v>
      </c>
      <c r="E4276" s="62" t="s">
        <v>382</v>
      </c>
      <c r="F4276" s="63" t="s">
        <v>445</v>
      </c>
      <c r="G4276" s="64" t="n">
        <v>-3001607.24711275</v>
      </c>
      <c r="H4276" s="62" t="s">
        <v>138</v>
      </c>
    </row>
    <row r="4277" customFormat="false" ht="15" hidden="false" customHeight="false" outlineLevel="0" collapsed="false">
      <c r="A4277" s="62" t="n">
        <v>1</v>
      </c>
      <c r="B4277" s="62" t="s">
        <v>388</v>
      </c>
      <c r="C4277" s="62" t="s">
        <v>60</v>
      </c>
      <c r="D4277" s="62" t="s">
        <v>71</v>
      </c>
      <c r="E4277" s="62" t="s">
        <v>382</v>
      </c>
      <c r="F4277" s="63" t="s">
        <v>445</v>
      </c>
      <c r="G4277" s="64" t="n">
        <v>0</v>
      </c>
      <c r="H4277" s="62" t="s">
        <v>138</v>
      </c>
    </row>
    <row r="4278" customFormat="false" ht="15" hidden="false" customHeight="false" outlineLevel="0" collapsed="false">
      <c r="A4278" s="62" t="n">
        <v>1</v>
      </c>
      <c r="B4278" s="62" t="s">
        <v>381</v>
      </c>
      <c r="C4278" s="62" t="s">
        <v>60</v>
      </c>
      <c r="D4278" s="62" t="s">
        <v>71</v>
      </c>
      <c r="E4278" s="62" t="s">
        <v>382</v>
      </c>
      <c r="F4278" s="63" t="s">
        <v>446</v>
      </c>
      <c r="G4278" s="64" t="n">
        <v>11411.3315901765</v>
      </c>
      <c r="H4278" s="62" t="s">
        <v>138</v>
      </c>
    </row>
    <row r="4279" customFormat="false" ht="15" hidden="false" customHeight="false" outlineLevel="0" collapsed="false">
      <c r="A4279" s="62" t="n">
        <v>1</v>
      </c>
      <c r="B4279" s="62" t="s">
        <v>383</v>
      </c>
      <c r="C4279" s="62" t="s">
        <v>60</v>
      </c>
      <c r="D4279" s="62" t="s">
        <v>71</v>
      </c>
      <c r="E4279" s="62" t="s">
        <v>382</v>
      </c>
      <c r="F4279" s="63" t="s">
        <v>446</v>
      </c>
      <c r="G4279" s="64" t="n">
        <v>-4118.74222107278</v>
      </c>
      <c r="H4279" s="62" t="s">
        <v>138</v>
      </c>
    </row>
    <row r="4280" customFormat="false" ht="15" hidden="false" customHeight="false" outlineLevel="0" collapsed="false">
      <c r="A4280" s="62" t="n">
        <v>1</v>
      </c>
      <c r="B4280" s="62" t="s">
        <v>384</v>
      </c>
      <c r="C4280" s="62" t="s">
        <v>60</v>
      </c>
      <c r="D4280" s="62" t="s">
        <v>71</v>
      </c>
      <c r="E4280" s="62" t="s">
        <v>382</v>
      </c>
      <c r="F4280" s="63" t="s">
        <v>446</v>
      </c>
      <c r="G4280" s="64" t="n">
        <v>54208.2586073911</v>
      </c>
      <c r="H4280" s="62" t="s">
        <v>138</v>
      </c>
    </row>
    <row r="4281" customFormat="false" ht="15" hidden="false" customHeight="false" outlineLevel="0" collapsed="false">
      <c r="A4281" s="62" t="n">
        <v>1</v>
      </c>
      <c r="B4281" s="62" t="s">
        <v>385</v>
      </c>
      <c r="C4281" s="62" t="s">
        <v>60</v>
      </c>
      <c r="D4281" s="62" t="s">
        <v>71</v>
      </c>
      <c r="E4281" s="62" t="s">
        <v>382</v>
      </c>
      <c r="F4281" s="63" t="s">
        <v>446</v>
      </c>
      <c r="G4281" s="64" t="n">
        <v>-229942.974457182</v>
      </c>
      <c r="H4281" s="62" t="s">
        <v>138</v>
      </c>
    </row>
    <row r="4282" customFormat="false" ht="15" hidden="false" customHeight="false" outlineLevel="0" collapsed="false">
      <c r="A4282" s="62" t="n">
        <v>1</v>
      </c>
      <c r="B4282" s="62" t="s">
        <v>386</v>
      </c>
      <c r="C4282" s="62" t="s">
        <v>60</v>
      </c>
      <c r="D4282" s="62" t="s">
        <v>71</v>
      </c>
      <c r="E4282" s="62" t="s">
        <v>382</v>
      </c>
      <c r="F4282" s="63" t="s">
        <v>446</v>
      </c>
      <c r="G4282" s="64" t="n">
        <v>-17524.2409636315</v>
      </c>
      <c r="H4282" s="62" t="s">
        <v>138</v>
      </c>
    </row>
    <row r="4283" customFormat="false" ht="15" hidden="false" customHeight="false" outlineLevel="0" collapsed="false">
      <c r="A4283" s="62" t="n">
        <v>1</v>
      </c>
      <c r="B4283" s="62" t="s">
        <v>387</v>
      </c>
      <c r="C4283" s="62" t="s">
        <v>60</v>
      </c>
      <c r="D4283" s="62" t="s">
        <v>71</v>
      </c>
      <c r="E4283" s="62" t="s">
        <v>382</v>
      </c>
      <c r="F4283" s="63" t="s">
        <v>446</v>
      </c>
      <c r="G4283" s="64" t="n">
        <v>-58346.1465673956</v>
      </c>
      <c r="H4283" s="62" t="s">
        <v>138</v>
      </c>
    </row>
    <row r="4284" customFormat="false" ht="15" hidden="false" customHeight="false" outlineLevel="0" collapsed="false">
      <c r="A4284" s="62" t="n">
        <v>1</v>
      </c>
      <c r="B4284" s="62" t="s">
        <v>388</v>
      </c>
      <c r="C4284" s="62" t="s">
        <v>60</v>
      </c>
      <c r="D4284" s="62" t="s">
        <v>71</v>
      </c>
      <c r="E4284" s="62" t="s">
        <v>382</v>
      </c>
      <c r="F4284" s="63" t="s">
        <v>446</v>
      </c>
      <c r="G4284" s="64" t="n">
        <v>-218166.304639544</v>
      </c>
      <c r="H4284" s="62" t="s">
        <v>138</v>
      </c>
    </row>
    <row r="4285" customFormat="false" ht="15" hidden="false" customHeight="false" outlineLevel="0" collapsed="false">
      <c r="A4285" s="62" t="n">
        <v>1</v>
      </c>
      <c r="B4285" s="62" t="s">
        <v>381</v>
      </c>
      <c r="C4285" s="62" t="s">
        <v>60</v>
      </c>
      <c r="D4285" s="62" t="s">
        <v>71</v>
      </c>
      <c r="E4285" s="62" t="s">
        <v>382</v>
      </c>
      <c r="F4285" s="63" t="s">
        <v>447</v>
      </c>
      <c r="G4285" s="64" t="n">
        <v>72726.6471917144</v>
      </c>
      <c r="H4285" s="62" t="s">
        <v>138</v>
      </c>
    </row>
    <row r="4286" customFormat="false" ht="15" hidden="false" customHeight="false" outlineLevel="0" collapsed="false">
      <c r="A4286" s="62" t="n">
        <v>1</v>
      </c>
      <c r="B4286" s="62" t="s">
        <v>383</v>
      </c>
      <c r="C4286" s="62" t="s">
        <v>60</v>
      </c>
      <c r="D4286" s="62" t="s">
        <v>71</v>
      </c>
      <c r="E4286" s="62" t="s">
        <v>382</v>
      </c>
      <c r="F4286" s="63" t="s">
        <v>447</v>
      </c>
      <c r="G4286" s="64" t="n">
        <v>278203.037917341</v>
      </c>
      <c r="H4286" s="62" t="s">
        <v>138</v>
      </c>
    </row>
    <row r="4287" customFormat="false" ht="15" hidden="false" customHeight="false" outlineLevel="0" collapsed="false">
      <c r="A4287" s="62" t="n">
        <v>1</v>
      </c>
      <c r="B4287" s="62" t="s">
        <v>384</v>
      </c>
      <c r="C4287" s="62" t="s">
        <v>60</v>
      </c>
      <c r="D4287" s="62" t="s">
        <v>71</v>
      </c>
      <c r="E4287" s="62" t="s">
        <v>382</v>
      </c>
      <c r="F4287" s="63" t="s">
        <v>447</v>
      </c>
      <c r="G4287" s="64" t="n">
        <v>170366.489876681</v>
      </c>
      <c r="H4287" s="62" t="s">
        <v>138</v>
      </c>
    </row>
    <row r="4288" customFormat="false" ht="15" hidden="false" customHeight="false" outlineLevel="0" collapsed="false">
      <c r="A4288" s="62" t="n">
        <v>1</v>
      </c>
      <c r="B4288" s="62" t="s">
        <v>385</v>
      </c>
      <c r="C4288" s="62" t="s">
        <v>60</v>
      </c>
      <c r="D4288" s="62" t="s">
        <v>71</v>
      </c>
      <c r="E4288" s="62" t="s">
        <v>382</v>
      </c>
      <c r="F4288" s="63" t="s">
        <v>447</v>
      </c>
      <c r="G4288" s="64" t="n">
        <v>65206.9950914953</v>
      </c>
      <c r="H4288" s="62" t="s">
        <v>138</v>
      </c>
    </row>
    <row r="4289" customFormat="false" ht="15" hidden="false" customHeight="false" outlineLevel="0" collapsed="false">
      <c r="A4289" s="62" t="n">
        <v>1</v>
      </c>
      <c r="B4289" s="62" t="s">
        <v>386</v>
      </c>
      <c r="C4289" s="62" t="s">
        <v>60</v>
      </c>
      <c r="D4289" s="62" t="s">
        <v>71</v>
      </c>
      <c r="E4289" s="62" t="s">
        <v>382</v>
      </c>
      <c r="F4289" s="63" t="s">
        <v>447</v>
      </c>
      <c r="G4289" s="64" t="n">
        <v>114172.818497491</v>
      </c>
      <c r="H4289" s="62" t="s">
        <v>138</v>
      </c>
    </row>
    <row r="4290" customFormat="false" ht="15" hidden="false" customHeight="false" outlineLevel="0" collapsed="false">
      <c r="A4290" s="62" t="n">
        <v>1</v>
      </c>
      <c r="B4290" s="62" t="s">
        <v>387</v>
      </c>
      <c r="C4290" s="62" t="s">
        <v>60</v>
      </c>
      <c r="D4290" s="62" t="s">
        <v>71</v>
      </c>
      <c r="E4290" s="62" t="s">
        <v>382</v>
      </c>
      <c r="F4290" s="63" t="s">
        <v>447</v>
      </c>
      <c r="G4290" s="64" t="n">
        <v>319484.473488123</v>
      </c>
      <c r="H4290" s="62" t="s">
        <v>138</v>
      </c>
    </row>
    <row r="4291" customFormat="false" ht="15" hidden="false" customHeight="false" outlineLevel="0" collapsed="false">
      <c r="A4291" s="62" t="n">
        <v>1</v>
      </c>
      <c r="B4291" s="62" t="s">
        <v>388</v>
      </c>
      <c r="C4291" s="62" t="s">
        <v>60</v>
      </c>
      <c r="D4291" s="62" t="s">
        <v>71</v>
      </c>
      <c r="E4291" s="62" t="s">
        <v>382</v>
      </c>
      <c r="F4291" s="63" t="s">
        <v>447</v>
      </c>
      <c r="G4291" s="64" t="n">
        <v>83100.0028325305</v>
      </c>
      <c r="H4291" s="62" t="s">
        <v>138</v>
      </c>
    </row>
    <row r="4292" customFormat="false" ht="15" hidden="false" customHeight="false" outlineLevel="0" collapsed="false">
      <c r="A4292" s="62" t="n">
        <v>1</v>
      </c>
      <c r="B4292" s="62" t="s">
        <v>381</v>
      </c>
      <c r="C4292" s="62" t="s">
        <v>60</v>
      </c>
      <c r="D4292" s="62" t="s">
        <v>71</v>
      </c>
      <c r="E4292" s="62" t="s">
        <v>382</v>
      </c>
      <c r="F4292" s="63" t="s">
        <v>448</v>
      </c>
      <c r="G4292" s="64" t="n">
        <v>-516299.807666167</v>
      </c>
      <c r="H4292" s="62" t="s">
        <v>138</v>
      </c>
    </row>
    <row r="4293" customFormat="false" ht="15" hidden="false" customHeight="false" outlineLevel="0" collapsed="false">
      <c r="A4293" s="62" t="n">
        <v>1</v>
      </c>
      <c r="B4293" s="62" t="s">
        <v>383</v>
      </c>
      <c r="C4293" s="62" t="s">
        <v>60</v>
      </c>
      <c r="D4293" s="62" t="s">
        <v>71</v>
      </c>
      <c r="E4293" s="62" t="s">
        <v>382</v>
      </c>
      <c r="F4293" s="63" t="s">
        <v>448</v>
      </c>
      <c r="G4293" s="64" t="n">
        <v>-140683.019096199</v>
      </c>
      <c r="H4293" s="62" t="s">
        <v>138</v>
      </c>
    </row>
    <row r="4294" customFormat="false" ht="15" hidden="false" customHeight="false" outlineLevel="0" collapsed="false">
      <c r="A4294" s="62" t="n">
        <v>1</v>
      </c>
      <c r="B4294" s="62" t="s">
        <v>384</v>
      </c>
      <c r="C4294" s="62" t="s">
        <v>60</v>
      </c>
      <c r="D4294" s="62" t="s">
        <v>71</v>
      </c>
      <c r="E4294" s="62" t="s">
        <v>382</v>
      </c>
      <c r="F4294" s="63" t="s">
        <v>448</v>
      </c>
      <c r="G4294" s="64" t="n">
        <v>-603998.157941559</v>
      </c>
      <c r="H4294" s="62" t="s">
        <v>138</v>
      </c>
    </row>
    <row r="4295" customFormat="false" ht="15" hidden="false" customHeight="false" outlineLevel="0" collapsed="false">
      <c r="A4295" s="62" t="n">
        <v>1</v>
      </c>
      <c r="B4295" s="62" t="s">
        <v>385</v>
      </c>
      <c r="C4295" s="62" t="s">
        <v>60</v>
      </c>
      <c r="D4295" s="62" t="s">
        <v>71</v>
      </c>
      <c r="E4295" s="62" t="s">
        <v>382</v>
      </c>
      <c r="F4295" s="63" t="s">
        <v>448</v>
      </c>
      <c r="G4295" s="64" t="n">
        <v>-464729.859912098</v>
      </c>
      <c r="H4295" s="62" t="s">
        <v>138</v>
      </c>
    </row>
    <row r="4296" customFormat="false" ht="15" hidden="false" customHeight="false" outlineLevel="0" collapsed="false">
      <c r="A4296" s="62" t="n">
        <v>1</v>
      </c>
      <c r="B4296" s="62" t="s">
        <v>386</v>
      </c>
      <c r="C4296" s="62" t="s">
        <v>60</v>
      </c>
      <c r="D4296" s="62" t="s">
        <v>71</v>
      </c>
      <c r="E4296" s="62" t="s">
        <v>382</v>
      </c>
      <c r="F4296" s="63" t="s">
        <v>448</v>
      </c>
      <c r="G4296" s="64" t="n">
        <v>-681232.241276276</v>
      </c>
      <c r="H4296" s="62" t="s">
        <v>138</v>
      </c>
    </row>
    <row r="4297" customFormat="false" ht="15" hidden="false" customHeight="false" outlineLevel="0" collapsed="false">
      <c r="A4297" s="62" t="n">
        <v>1</v>
      </c>
      <c r="B4297" s="62" t="s">
        <v>387</v>
      </c>
      <c r="C4297" s="62" t="s">
        <v>60</v>
      </c>
      <c r="D4297" s="62" t="s">
        <v>71</v>
      </c>
      <c r="E4297" s="62" t="s">
        <v>382</v>
      </c>
      <c r="F4297" s="63" t="s">
        <v>448</v>
      </c>
      <c r="G4297" s="64" t="n">
        <v>-545904.541749942</v>
      </c>
      <c r="H4297" s="62" t="s">
        <v>138</v>
      </c>
    </row>
    <row r="4298" customFormat="false" ht="15" hidden="false" customHeight="false" outlineLevel="0" collapsed="false">
      <c r="A4298" s="62" t="n">
        <v>1</v>
      </c>
      <c r="B4298" s="62" t="s">
        <v>388</v>
      </c>
      <c r="C4298" s="62" t="s">
        <v>60</v>
      </c>
      <c r="D4298" s="62" t="s">
        <v>71</v>
      </c>
      <c r="E4298" s="62" t="s">
        <v>382</v>
      </c>
      <c r="F4298" s="63" t="s">
        <v>448</v>
      </c>
      <c r="G4298" s="64" t="n">
        <v>-139853.029395996</v>
      </c>
      <c r="H4298" s="62" t="s">
        <v>138</v>
      </c>
    </row>
    <row r="4299" customFormat="false" ht="15" hidden="false" customHeight="false" outlineLevel="0" collapsed="false">
      <c r="A4299" s="62" t="n">
        <v>1</v>
      </c>
      <c r="B4299" s="62" t="s">
        <v>381</v>
      </c>
      <c r="C4299" s="62" t="s">
        <v>60</v>
      </c>
      <c r="D4299" s="62" t="s">
        <v>71</v>
      </c>
      <c r="E4299" s="62" t="s">
        <v>382</v>
      </c>
      <c r="F4299" s="63" t="s">
        <v>430</v>
      </c>
      <c r="G4299" s="64" t="n">
        <v>-562498.405014181</v>
      </c>
      <c r="H4299" s="62" t="s">
        <v>138</v>
      </c>
    </row>
    <row r="4300" customFormat="false" ht="15" hidden="false" customHeight="false" outlineLevel="0" collapsed="false">
      <c r="A4300" s="62" t="n">
        <v>1</v>
      </c>
      <c r="B4300" s="62" t="s">
        <v>383</v>
      </c>
      <c r="C4300" s="62" t="s">
        <v>60</v>
      </c>
      <c r="D4300" s="62" t="s">
        <v>71</v>
      </c>
      <c r="E4300" s="62" t="s">
        <v>382</v>
      </c>
      <c r="F4300" s="63" t="s">
        <v>430</v>
      </c>
      <c r="G4300" s="64" t="n">
        <v>-1873589.57762616</v>
      </c>
      <c r="H4300" s="62" t="s">
        <v>138</v>
      </c>
    </row>
    <row r="4301" customFormat="false" ht="15" hidden="false" customHeight="false" outlineLevel="0" collapsed="false">
      <c r="A4301" s="62" t="n">
        <v>1</v>
      </c>
      <c r="B4301" s="62" t="s">
        <v>384</v>
      </c>
      <c r="C4301" s="62" t="s">
        <v>60</v>
      </c>
      <c r="D4301" s="62" t="s">
        <v>71</v>
      </c>
      <c r="E4301" s="62" t="s">
        <v>382</v>
      </c>
      <c r="F4301" s="63" t="s">
        <v>430</v>
      </c>
      <c r="G4301" s="64" t="n">
        <v>-100813.892813152</v>
      </c>
      <c r="H4301" s="62" t="s">
        <v>138</v>
      </c>
    </row>
    <row r="4302" customFormat="false" ht="15" hidden="false" customHeight="false" outlineLevel="0" collapsed="false">
      <c r="A4302" s="62" t="n">
        <v>1</v>
      </c>
      <c r="B4302" s="62" t="s">
        <v>385</v>
      </c>
      <c r="C4302" s="62" t="s">
        <v>60</v>
      </c>
      <c r="D4302" s="62" t="s">
        <v>71</v>
      </c>
      <c r="E4302" s="62" t="s">
        <v>382</v>
      </c>
      <c r="F4302" s="63" t="s">
        <v>430</v>
      </c>
      <c r="G4302" s="64" t="n">
        <v>717765.573178186</v>
      </c>
      <c r="H4302" s="62" t="s">
        <v>138</v>
      </c>
    </row>
    <row r="4303" customFormat="false" ht="15" hidden="false" customHeight="false" outlineLevel="0" collapsed="false">
      <c r="A4303" s="62" t="n">
        <v>1</v>
      </c>
      <c r="B4303" s="62" t="s">
        <v>386</v>
      </c>
      <c r="C4303" s="62" t="s">
        <v>60</v>
      </c>
      <c r="D4303" s="62" t="s">
        <v>71</v>
      </c>
      <c r="E4303" s="62" t="s">
        <v>382</v>
      </c>
      <c r="F4303" s="63" t="s">
        <v>430</v>
      </c>
      <c r="G4303" s="64" t="n">
        <v>2104336.46952091</v>
      </c>
      <c r="H4303" s="62" t="s">
        <v>138</v>
      </c>
    </row>
    <row r="4304" customFormat="false" ht="15" hidden="false" customHeight="false" outlineLevel="0" collapsed="false">
      <c r="A4304" s="62" t="n">
        <v>1</v>
      </c>
      <c r="B4304" s="62" t="s">
        <v>387</v>
      </c>
      <c r="C4304" s="62" t="s">
        <v>60</v>
      </c>
      <c r="D4304" s="62" t="s">
        <v>71</v>
      </c>
      <c r="E4304" s="62" t="s">
        <v>382</v>
      </c>
      <c r="F4304" s="63" t="s">
        <v>430</v>
      </c>
      <c r="G4304" s="64" t="n">
        <v>-1321779.23572956</v>
      </c>
      <c r="H4304" s="62" t="s">
        <v>138</v>
      </c>
    </row>
    <row r="4305" customFormat="false" ht="15" hidden="false" customHeight="false" outlineLevel="0" collapsed="false">
      <c r="A4305" s="62" t="n">
        <v>1</v>
      </c>
      <c r="B4305" s="62" t="s">
        <v>388</v>
      </c>
      <c r="C4305" s="62" t="s">
        <v>60</v>
      </c>
      <c r="D4305" s="62" t="s">
        <v>71</v>
      </c>
      <c r="E4305" s="62" t="s">
        <v>382</v>
      </c>
      <c r="F4305" s="63" t="s">
        <v>430</v>
      </c>
      <c r="G4305" s="64" t="n">
        <v>452669.690034445</v>
      </c>
      <c r="H4305" s="62" t="s">
        <v>138</v>
      </c>
    </row>
    <row r="4306" customFormat="false" ht="15" hidden="false" customHeight="false" outlineLevel="0" collapsed="false">
      <c r="A4306" s="62" t="n">
        <v>1</v>
      </c>
      <c r="B4306" s="62" t="s">
        <v>381</v>
      </c>
      <c r="C4306" s="62" t="s">
        <v>60</v>
      </c>
      <c r="D4306" s="62" t="s">
        <v>71</v>
      </c>
      <c r="E4306" s="62" t="s">
        <v>382</v>
      </c>
      <c r="F4306" s="63" t="s">
        <v>431</v>
      </c>
      <c r="G4306" s="64" t="n">
        <v>-4000</v>
      </c>
      <c r="H4306" s="62" t="s">
        <v>138</v>
      </c>
    </row>
    <row r="4307" customFormat="false" ht="15" hidden="false" customHeight="false" outlineLevel="0" collapsed="false">
      <c r="A4307" s="62" t="n">
        <v>1</v>
      </c>
      <c r="B4307" s="62" t="s">
        <v>383</v>
      </c>
      <c r="C4307" s="62" t="s">
        <v>60</v>
      </c>
      <c r="D4307" s="62" t="s">
        <v>71</v>
      </c>
      <c r="E4307" s="62" t="s">
        <v>382</v>
      </c>
      <c r="F4307" s="63" t="s">
        <v>431</v>
      </c>
      <c r="G4307" s="64" t="n">
        <v>-5000</v>
      </c>
      <c r="H4307" s="62" t="s">
        <v>138</v>
      </c>
    </row>
    <row r="4308" customFormat="false" ht="15" hidden="false" customHeight="false" outlineLevel="0" collapsed="false">
      <c r="A4308" s="62" t="n">
        <v>1</v>
      </c>
      <c r="B4308" s="62" t="s">
        <v>384</v>
      </c>
      <c r="C4308" s="62" t="s">
        <v>60</v>
      </c>
      <c r="D4308" s="62" t="s">
        <v>71</v>
      </c>
      <c r="E4308" s="62" t="s">
        <v>382</v>
      </c>
      <c r="F4308" s="63" t="s">
        <v>431</v>
      </c>
      <c r="G4308" s="64" t="n">
        <v>-4000</v>
      </c>
      <c r="H4308" s="62" t="s">
        <v>138</v>
      </c>
    </row>
    <row r="4309" customFormat="false" ht="15" hidden="false" customHeight="false" outlineLevel="0" collapsed="false">
      <c r="A4309" s="62" t="n">
        <v>1</v>
      </c>
      <c r="B4309" s="62" t="s">
        <v>385</v>
      </c>
      <c r="C4309" s="62" t="s">
        <v>60</v>
      </c>
      <c r="D4309" s="62" t="s">
        <v>71</v>
      </c>
      <c r="E4309" s="62" t="s">
        <v>382</v>
      </c>
      <c r="F4309" s="63" t="s">
        <v>431</v>
      </c>
      <c r="G4309" s="64" t="n">
        <v>-5000</v>
      </c>
      <c r="H4309" s="62" t="s">
        <v>138</v>
      </c>
    </row>
    <row r="4310" customFormat="false" ht="15" hidden="false" customHeight="false" outlineLevel="0" collapsed="false">
      <c r="A4310" s="62" t="n">
        <v>1</v>
      </c>
      <c r="B4310" s="62" t="s">
        <v>386</v>
      </c>
      <c r="C4310" s="62" t="s">
        <v>60</v>
      </c>
      <c r="D4310" s="62" t="s">
        <v>71</v>
      </c>
      <c r="E4310" s="62" t="s">
        <v>382</v>
      </c>
      <c r="F4310" s="63" t="s">
        <v>431</v>
      </c>
      <c r="G4310" s="64" t="n">
        <v>-15000</v>
      </c>
      <c r="H4310" s="62" t="s">
        <v>138</v>
      </c>
    </row>
    <row r="4311" customFormat="false" ht="15" hidden="false" customHeight="false" outlineLevel="0" collapsed="false">
      <c r="A4311" s="62" t="n">
        <v>1</v>
      </c>
      <c r="B4311" s="62" t="s">
        <v>387</v>
      </c>
      <c r="C4311" s="62" t="s">
        <v>60</v>
      </c>
      <c r="D4311" s="62" t="s">
        <v>71</v>
      </c>
      <c r="E4311" s="62" t="s">
        <v>382</v>
      </c>
      <c r="F4311" s="63" t="s">
        <v>431</v>
      </c>
      <c r="G4311" s="64" t="n">
        <v>-4000</v>
      </c>
      <c r="H4311" s="62" t="s">
        <v>138</v>
      </c>
    </row>
    <row r="4312" customFormat="false" ht="15" hidden="false" customHeight="false" outlineLevel="0" collapsed="false">
      <c r="A4312" s="62" t="n">
        <v>1</v>
      </c>
      <c r="B4312" s="62" t="s">
        <v>388</v>
      </c>
      <c r="C4312" s="62" t="s">
        <v>60</v>
      </c>
      <c r="D4312" s="62" t="s">
        <v>71</v>
      </c>
      <c r="E4312" s="62" t="s">
        <v>382</v>
      </c>
      <c r="F4312" s="63" t="s">
        <v>431</v>
      </c>
      <c r="G4312" s="64" t="n">
        <v>-9000</v>
      </c>
      <c r="H4312" s="62" t="s">
        <v>138</v>
      </c>
    </row>
    <row r="4313" customFormat="false" ht="15" hidden="false" customHeight="false" outlineLevel="0" collapsed="false">
      <c r="A4313" s="62" t="n">
        <v>1</v>
      </c>
      <c r="B4313" s="62" t="s">
        <v>381</v>
      </c>
      <c r="C4313" s="62" t="s">
        <v>60</v>
      </c>
      <c r="D4313" s="62" t="s">
        <v>71</v>
      </c>
      <c r="E4313" s="62" t="s">
        <v>382</v>
      </c>
      <c r="F4313" s="63" t="s">
        <v>449</v>
      </c>
      <c r="G4313" s="64" t="n">
        <v>-566498.405014181</v>
      </c>
      <c r="H4313" s="62" t="s">
        <v>138</v>
      </c>
    </row>
    <row r="4314" customFormat="false" ht="15" hidden="false" customHeight="false" outlineLevel="0" collapsed="false">
      <c r="A4314" s="62" t="n">
        <v>1</v>
      </c>
      <c r="B4314" s="62" t="s">
        <v>383</v>
      </c>
      <c r="C4314" s="62" t="s">
        <v>60</v>
      </c>
      <c r="D4314" s="62" t="s">
        <v>71</v>
      </c>
      <c r="E4314" s="62" t="s">
        <v>382</v>
      </c>
      <c r="F4314" s="63" t="s">
        <v>449</v>
      </c>
      <c r="G4314" s="64" t="n">
        <v>-1878589.57762616</v>
      </c>
      <c r="H4314" s="62" t="s">
        <v>138</v>
      </c>
    </row>
    <row r="4315" customFormat="false" ht="15" hidden="false" customHeight="false" outlineLevel="0" collapsed="false">
      <c r="A4315" s="62" t="n">
        <v>1</v>
      </c>
      <c r="B4315" s="62" t="s">
        <v>384</v>
      </c>
      <c r="C4315" s="62" t="s">
        <v>60</v>
      </c>
      <c r="D4315" s="62" t="s">
        <v>71</v>
      </c>
      <c r="E4315" s="62" t="s">
        <v>382</v>
      </c>
      <c r="F4315" s="63" t="s">
        <v>449</v>
      </c>
      <c r="G4315" s="64" t="n">
        <v>-104813.892813152</v>
      </c>
      <c r="H4315" s="62" t="s">
        <v>138</v>
      </c>
    </row>
    <row r="4316" customFormat="false" ht="15" hidden="false" customHeight="false" outlineLevel="0" collapsed="false">
      <c r="A4316" s="62" t="n">
        <v>1</v>
      </c>
      <c r="B4316" s="62" t="s">
        <v>385</v>
      </c>
      <c r="C4316" s="62" t="s">
        <v>60</v>
      </c>
      <c r="D4316" s="62" t="s">
        <v>71</v>
      </c>
      <c r="E4316" s="62" t="s">
        <v>382</v>
      </c>
      <c r="F4316" s="63" t="s">
        <v>449</v>
      </c>
      <c r="G4316" s="64" t="n">
        <v>712765.573178186</v>
      </c>
      <c r="H4316" s="62" t="s">
        <v>138</v>
      </c>
    </row>
    <row r="4317" customFormat="false" ht="15" hidden="false" customHeight="false" outlineLevel="0" collapsed="false">
      <c r="A4317" s="62" t="n">
        <v>1</v>
      </c>
      <c r="B4317" s="62" t="s">
        <v>386</v>
      </c>
      <c r="C4317" s="62" t="s">
        <v>60</v>
      </c>
      <c r="D4317" s="62" t="s">
        <v>71</v>
      </c>
      <c r="E4317" s="62" t="s">
        <v>382</v>
      </c>
      <c r="F4317" s="63" t="s">
        <v>449</v>
      </c>
      <c r="G4317" s="64" t="n">
        <v>2089336.46952091</v>
      </c>
      <c r="H4317" s="62" t="s">
        <v>138</v>
      </c>
    </row>
    <row r="4318" customFormat="false" ht="15" hidden="false" customHeight="false" outlineLevel="0" collapsed="false">
      <c r="A4318" s="62" t="n">
        <v>1</v>
      </c>
      <c r="B4318" s="62" t="s">
        <v>387</v>
      </c>
      <c r="C4318" s="62" t="s">
        <v>60</v>
      </c>
      <c r="D4318" s="62" t="s">
        <v>71</v>
      </c>
      <c r="E4318" s="62" t="s">
        <v>382</v>
      </c>
      <c r="F4318" s="63" t="s">
        <v>449</v>
      </c>
      <c r="G4318" s="64" t="n">
        <v>-1325779.23572956</v>
      </c>
      <c r="H4318" s="62" t="s">
        <v>138</v>
      </c>
    </row>
    <row r="4319" customFormat="false" ht="15" hidden="false" customHeight="false" outlineLevel="0" collapsed="false">
      <c r="A4319" s="62" t="n">
        <v>1</v>
      </c>
      <c r="B4319" s="62" t="s">
        <v>388</v>
      </c>
      <c r="C4319" s="62" t="s">
        <v>60</v>
      </c>
      <c r="D4319" s="62" t="s">
        <v>71</v>
      </c>
      <c r="E4319" s="62" t="s">
        <v>382</v>
      </c>
      <c r="F4319" s="63" t="s">
        <v>449</v>
      </c>
      <c r="G4319" s="64" t="n">
        <v>443669.690034445</v>
      </c>
      <c r="H4319" s="62" t="s">
        <v>138</v>
      </c>
    </row>
    <row r="4320" customFormat="false" ht="15" hidden="false" customHeight="false" outlineLevel="0" collapsed="false">
      <c r="A4320" s="62" t="n">
        <v>1</v>
      </c>
      <c r="B4320" s="62" t="s">
        <v>381</v>
      </c>
      <c r="C4320" s="62" t="s">
        <v>60</v>
      </c>
      <c r="D4320" s="62" t="s">
        <v>71</v>
      </c>
      <c r="E4320" s="62" t="s">
        <v>382</v>
      </c>
      <c r="F4320" s="63" t="s">
        <v>450</v>
      </c>
      <c r="G4320" s="64" t="n">
        <v>-518961.098005472</v>
      </c>
      <c r="H4320" s="62" t="s">
        <v>138</v>
      </c>
    </row>
    <row r="4321" customFormat="false" ht="15" hidden="false" customHeight="false" outlineLevel="0" collapsed="false">
      <c r="A4321" s="62" t="n">
        <v>1</v>
      </c>
      <c r="B4321" s="62" t="s">
        <v>383</v>
      </c>
      <c r="C4321" s="62" t="s">
        <v>60</v>
      </c>
      <c r="D4321" s="62" t="s">
        <v>71</v>
      </c>
      <c r="E4321" s="62" t="s">
        <v>382</v>
      </c>
      <c r="F4321" s="63" t="s">
        <v>450</v>
      </c>
      <c r="G4321" s="64" t="n">
        <v>-215001.171734334</v>
      </c>
      <c r="H4321" s="62" t="s">
        <v>138</v>
      </c>
    </row>
    <row r="4322" customFormat="false" ht="15" hidden="false" customHeight="false" outlineLevel="0" collapsed="false">
      <c r="A4322" s="62" t="n">
        <v>1</v>
      </c>
      <c r="B4322" s="62" t="s">
        <v>384</v>
      </c>
      <c r="C4322" s="62" t="s">
        <v>60</v>
      </c>
      <c r="D4322" s="62" t="s">
        <v>71</v>
      </c>
      <c r="E4322" s="62" t="s">
        <v>382</v>
      </c>
      <c r="F4322" s="63" t="s">
        <v>450</v>
      </c>
      <c r="G4322" s="64" t="n">
        <v>-430105.87620772</v>
      </c>
      <c r="H4322" s="62" t="s">
        <v>138</v>
      </c>
    </row>
    <row r="4323" customFormat="false" ht="15" hidden="false" customHeight="false" outlineLevel="0" collapsed="false">
      <c r="A4323" s="62" t="n">
        <v>1</v>
      </c>
      <c r="B4323" s="62" t="s">
        <v>385</v>
      </c>
      <c r="C4323" s="62" t="s">
        <v>60</v>
      </c>
      <c r="D4323" s="62" t="s">
        <v>71</v>
      </c>
      <c r="E4323" s="62" t="s">
        <v>382</v>
      </c>
      <c r="F4323" s="63" t="s">
        <v>450</v>
      </c>
      <c r="G4323" s="64" t="n">
        <v>-71666.9707512616</v>
      </c>
      <c r="H4323" s="62" t="s">
        <v>138</v>
      </c>
    </row>
    <row r="4324" customFormat="false" ht="15" hidden="false" customHeight="false" outlineLevel="0" collapsed="false">
      <c r="A4324" s="62" t="n">
        <v>1</v>
      </c>
      <c r="B4324" s="62" t="s">
        <v>386</v>
      </c>
      <c r="C4324" s="62" t="s">
        <v>60</v>
      </c>
      <c r="D4324" s="62" t="s">
        <v>71</v>
      </c>
      <c r="E4324" s="62" t="s">
        <v>382</v>
      </c>
      <c r="F4324" s="63" t="s">
        <v>450</v>
      </c>
      <c r="G4324" s="64" t="n">
        <v>-1167662.47051231</v>
      </c>
      <c r="H4324" s="62" t="s">
        <v>138</v>
      </c>
    </row>
    <row r="4325" customFormat="false" ht="15" hidden="false" customHeight="false" outlineLevel="0" collapsed="false">
      <c r="A4325" s="62" t="n">
        <v>1</v>
      </c>
      <c r="B4325" s="62" t="s">
        <v>387</v>
      </c>
      <c r="C4325" s="62" t="s">
        <v>60</v>
      </c>
      <c r="D4325" s="62" t="s">
        <v>71</v>
      </c>
      <c r="E4325" s="62" t="s">
        <v>382</v>
      </c>
      <c r="F4325" s="63" t="s">
        <v>450</v>
      </c>
      <c r="G4325" s="64" t="n">
        <v>-286668.401966144</v>
      </c>
      <c r="H4325" s="62" t="s">
        <v>138</v>
      </c>
    </row>
    <row r="4326" customFormat="false" ht="15" hidden="false" customHeight="false" outlineLevel="0" collapsed="false">
      <c r="A4326" s="62" t="n">
        <v>1</v>
      </c>
      <c r="B4326" s="62" t="s">
        <v>388</v>
      </c>
      <c r="C4326" s="62" t="s">
        <v>60</v>
      </c>
      <c r="D4326" s="62" t="s">
        <v>71</v>
      </c>
      <c r="E4326" s="62" t="s">
        <v>382</v>
      </c>
      <c r="F4326" s="63" t="s">
        <v>450</v>
      </c>
      <c r="G4326" s="64" t="n">
        <v>-151916.260660789</v>
      </c>
      <c r="H4326" s="62" t="s">
        <v>138</v>
      </c>
    </row>
    <row r="4327" customFormat="false" ht="15" hidden="false" customHeight="false" outlineLevel="0" collapsed="false">
      <c r="A4327" s="62" t="n">
        <v>1</v>
      </c>
      <c r="B4327" s="62" t="s">
        <v>381</v>
      </c>
      <c r="C4327" s="62" t="s">
        <v>60</v>
      </c>
      <c r="D4327" s="62" t="s">
        <v>71</v>
      </c>
      <c r="E4327" s="62" t="s">
        <v>382</v>
      </c>
      <c r="F4327" s="63" t="s">
        <v>451</v>
      </c>
      <c r="G4327" s="64" t="n">
        <v>0</v>
      </c>
      <c r="H4327" s="62" t="s">
        <v>138</v>
      </c>
    </row>
    <row r="4328" customFormat="false" ht="15" hidden="false" customHeight="false" outlineLevel="0" collapsed="false">
      <c r="A4328" s="62" t="n">
        <v>1</v>
      </c>
      <c r="B4328" s="62" t="s">
        <v>383</v>
      </c>
      <c r="C4328" s="62" t="s">
        <v>60</v>
      </c>
      <c r="D4328" s="62" t="s">
        <v>71</v>
      </c>
      <c r="E4328" s="62" t="s">
        <v>382</v>
      </c>
      <c r="F4328" s="63" t="s">
        <v>451</v>
      </c>
      <c r="G4328" s="64" t="n">
        <v>0</v>
      </c>
      <c r="H4328" s="62" t="s">
        <v>138</v>
      </c>
    </row>
    <row r="4329" customFormat="false" ht="15" hidden="false" customHeight="false" outlineLevel="0" collapsed="false">
      <c r="A4329" s="62" t="n">
        <v>1</v>
      </c>
      <c r="B4329" s="62" t="s">
        <v>384</v>
      </c>
      <c r="C4329" s="62" t="s">
        <v>60</v>
      </c>
      <c r="D4329" s="62" t="s">
        <v>71</v>
      </c>
      <c r="E4329" s="62" t="s">
        <v>382</v>
      </c>
      <c r="F4329" s="63" t="s">
        <v>451</v>
      </c>
      <c r="G4329" s="64" t="n">
        <v>0</v>
      </c>
      <c r="H4329" s="62" t="s">
        <v>138</v>
      </c>
    </row>
    <row r="4330" customFormat="false" ht="15" hidden="false" customHeight="false" outlineLevel="0" collapsed="false">
      <c r="A4330" s="62" t="n">
        <v>1</v>
      </c>
      <c r="B4330" s="62" t="s">
        <v>385</v>
      </c>
      <c r="C4330" s="62" t="s">
        <v>60</v>
      </c>
      <c r="D4330" s="62" t="s">
        <v>71</v>
      </c>
      <c r="E4330" s="62" t="s">
        <v>382</v>
      </c>
      <c r="F4330" s="63" t="s">
        <v>451</v>
      </c>
      <c r="G4330" s="64" t="n">
        <v>0</v>
      </c>
      <c r="H4330" s="62" t="s">
        <v>138</v>
      </c>
    </row>
    <row r="4331" customFormat="false" ht="15" hidden="false" customHeight="false" outlineLevel="0" collapsed="false">
      <c r="A4331" s="62" t="n">
        <v>1</v>
      </c>
      <c r="B4331" s="62" t="s">
        <v>386</v>
      </c>
      <c r="C4331" s="62" t="s">
        <v>60</v>
      </c>
      <c r="D4331" s="62" t="s">
        <v>71</v>
      </c>
      <c r="E4331" s="62" t="s">
        <v>382</v>
      </c>
      <c r="F4331" s="63" t="s">
        <v>451</v>
      </c>
      <c r="G4331" s="64" t="n">
        <v>0</v>
      </c>
      <c r="H4331" s="62" t="s">
        <v>138</v>
      </c>
    </row>
    <row r="4332" customFormat="false" ht="15" hidden="false" customHeight="false" outlineLevel="0" collapsed="false">
      <c r="A4332" s="62" t="n">
        <v>1</v>
      </c>
      <c r="B4332" s="62" t="s">
        <v>387</v>
      </c>
      <c r="C4332" s="62" t="s">
        <v>60</v>
      </c>
      <c r="D4332" s="62" t="s">
        <v>71</v>
      </c>
      <c r="E4332" s="62" t="s">
        <v>382</v>
      </c>
      <c r="F4332" s="63" t="s">
        <v>451</v>
      </c>
      <c r="G4332" s="64" t="n">
        <v>0</v>
      </c>
      <c r="H4332" s="62" t="s">
        <v>138</v>
      </c>
    </row>
    <row r="4333" customFormat="false" ht="15" hidden="false" customHeight="false" outlineLevel="0" collapsed="false">
      <c r="A4333" s="62" t="n">
        <v>1</v>
      </c>
      <c r="B4333" s="62" t="s">
        <v>388</v>
      </c>
      <c r="C4333" s="62" t="s">
        <v>60</v>
      </c>
      <c r="D4333" s="62" t="s">
        <v>71</v>
      </c>
      <c r="E4333" s="62" t="s">
        <v>382</v>
      </c>
      <c r="F4333" s="63" t="s">
        <v>451</v>
      </c>
      <c r="G4333" s="64" t="n">
        <v>0</v>
      </c>
      <c r="H4333" s="62" t="s">
        <v>138</v>
      </c>
    </row>
    <row r="4334" customFormat="false" ht="15" hidden="false" customHeight="false" outlineLevel="0" collapsed="false">
      <c r="A4334" s="62" t="n">
        <v>1</v>
      </c>
      <c r="B4334" s="62" t="s">
        <v>381</v>
      </c>
      <c r="C4334" s="62" t="s">
        <v>60</v>
      </c>
      <c r="D4334" s="62" t="s">
        <v>71</v>
      </c>
      <c r="E4334" s="62" t="s">
        <v>382</v>
      </c>
      <c r="F4334" s="63" t="s">
        <v>452</v>
      </c>
      <c r="G4334" s="64" t="n">
        <v>3000000</v>
      </c>
      <c r="H4334" s="62" t="s">
        <v>138</v>
      </c>
    </row>
    <row r="4335" customFormat="false" ht="15" hidden="false" customHeight="false" outlineLevel="0" collapsed="false">
      <c r="A4335" s="62" t="n">
        <v>1</v>
      </c>
      <c r="B4335" s="62" t="s">
        <v>383</v>
      </c>
      <c r="C4335" s="62" t="s">
        <v>60</v>
      </c>
      <c r="D4335" s="62" t="s">
        <v>71</v>
      </c>
      <c r="E4335" s="62" t="s">
        <v>382</v>
      </c>
      <c r="F4335" s="63" t="s">
        <v>452</v>
      </c>
      <c r="G4335" s="64" t="n">
        <v>11480000</v>
      </c>
      <c r="H4335" s="62" t="s">
        <v>138</v>
      </c>
    </row>
    <row r="4336" customFormat="false" ht="15" hidden="false" customHeight="false" outlineLevel="0" collapsed="false">
      <c r="A4336" s="62" t="n">
        <v>1</v>
      </c>
      <c r="B4336" s="62" t="s">
        <v>384</v>
      </c>
      <c r="C4336" s="62" t="s">
        <v>60</v>
      </c>
      <c r="D4336" s="62" t="s">
        <v>71</v>
      </c>
      <c r="E4336" s="62" t="s">
        <v>382</v>
      </c>
      <c r="F4336" s="63" t="s">
        <v>452</v>
      </c>
      <c r="G4336" s="64" t="n">
        <v>6000000</v>
      </c>
      <c r="H4336" s="62" t="s">
        <v>138</v>
      </c>
    </row>
    <row r="4337" customFormat="false" ht="15" hidden="false" customHeight="false" outlineLevel="0" collapsed="false">
      <c r="A4337" s="62" t="n">
        <v>1</v>
      </c>
      <c r="B4337" s="62" t="s">
        <v>385</v>
      </c>
      <c r="C4337" s="62" t="s">
        <v>60</v>
      </c>
      <c r="D4337" s="62" t="s">
        <v>71</v>
      </c>
      <c r="E4337" s="62" t="s">
        <v>382</v>
      </c>
      <c r="F4337" s="63" t="s">
        <v>452</v>
      </c>
      <c r="G4337" s="64" t="n">
        <v>1000000</v>
      </c>
      <c r="H4337" s="62" t="s">
        <v>138</v>
      </c>
    </row>
    <row r="4338" customFormat="false" ht="15" hidden="false" customHeight="false" outlineLevel="0" collapsed="false">
      <c r="A4338" s="62" t="n">
        <v>1</v>
      </c>
      <c r="B4338" s="62" t="s">
        <v>386</v>
      </c>
      <c r="C4338" s="62" t="s">
        <v>60</v>
      </c>
      <c r="D4338" s="62" t="s">
        <v>71</v>
      </c>
      <c r="E4338" s="62" t="s">
        <v>382</v>
      </c>
      <c r="F4338" s="63" t="s">
        <v>452</v>
      </c>
      <c r="G4338" s="64" t="n">
        <v>2500000</v>
      </c>
      <c r="H4338" s="62" t="s">
        <v>138</v>
      </c>
    </row>
    <row r="4339" customFormat="false" ht="15" hidden="false" customHeight="false" outlineLevel="0" collapsed="false">
      <c r="A4339" s="62" t="n">
        <v>1</v>
      </c>
      <c r="B4339" s="62" t="s">
        <v>387</v>
      </c>
      <c r="C4339" s="62" t="s">
        <v>60</v>
      </c>
      <c r="D4339" s="62" t="s">
        <v>71</v>
      </c>
      <c r="E4339" s="62" t="s">
        <v>382</v>
      </c>
      <c r="F4339" s="63" t="s">
        <v>452</v>
      </c>
      <c r="G4339" s="64" t="n">
        <v>12500000</v>
      </c>
      <c r="H4339" s="62" t="s">
        <v>138</v>
      </c>
    </row>
    <row r="4340" customFormat="false" ht="15" hidden="false" customHeight="false" outlineLevel="0" collapsed="false">
      <c r="A4340" s="62" t="n">
        <v>1</v>
      </c>
      <c r="B4340" s="62" t="s">
        <v>388</v>
      </c>
      <c r="C4340" s="62" t="s">
        <v>60</v>
      </c>
      <c r="D4340" s="62" t="s">
        <v>71</v>
      </c>
      <c r="E4340" s="62" t="s">
        <v>382</v>
      </c>
      <c r="F4340" s="63" t="s">
        <v>452</v>
      </c>
      <c r="G4340" s="64" t="n">
        <v>2000000</v>
      </c>
      <c r="H4340" s="62" t="s">
        <v>138</v>
      </c>
    </row>
    <row r="4341" customFormat="false" ht="15" hidden="false" customHeight="false" outlineLevel="0" collapsed="false">
      <c r="A4341" s="62" t="n">
        <v>1</v>
      </c>
      <c r="B4341" s="62" t="s">
        <v>381</v>
      </c>
      <c r="C4341" s="62" t="s">
        <v>60</v>
      </c>
      <c r="D4341" s="62" t="s">
        <v>71</v>
      </c>
      <c r="E4341" s="62" t="s">
        <v>382</v>
      </c>
      <c r="F4341" s="63" t="s">
        <v>439</v>
      </c>
      <c r="G4341" s="64" t="n">
        <v>2481038.90199453</v>
      </c>
      <c r="H4341" s="62" t="s">
        <v>138</v>
      </c>
    </row>
    <row r="4342" customFormat="false" ht="15" hidden="false" customHeight="false" outlineLevel="0" collapsed="false">
      <c r="A4342" s="62" t="n">
        <v>1</v>
      </c>
      <c r="B4342" s="62" t="s">
        <v>383</v>
      </c>
      <c r="C4342" s="62" t="s">
        <v>60</v>
      </c>
      <c r="D4342" s="62" t="s">
        <v>71</v>
      </c>
      <c r="E4342" s="62" t="s">
        <v>382</v>
      </c>
      <c r="F4342" s="63" t="s">
        <v>439</v>
      </c>
      <c r="G4342" s="64" t="n">
        <v>11264998.8282657</v>
      </c>
      <c r="H4342" s="62" t="s">
        <v>138</v>
      </c>
    </row>
    <row r="4343" customFormat="false" ht="15" hidden="false" customHeight="false" outlineLevel="0" collapsed="false">
      <c r="A4343" s="62" t="n">
        <v>1</v>
      </c>
      <c r="B4343" s="62" t="s">
        <v>384</v>
      </c>
      <c r="C4343" s="62" t="s">
        <v>60</v>
      </c>
      <c r="D4343" s="62" t="s">
        <v>71</v>
      </c>
      <c r="E4343" s="62" t="s">
        <v>382</v>
      </c>
      <c r="F4343" s="63" t="s">
        <v>439</v>
      </c>
      <c r="G4343" s="64" t="n">
        <v>5569894.12379228</v>
      </c>
      <c r="H4343" s="62" t="s">
        <v>138</v>
      </c>
    </row>
    <row r="4344" customFormat="false" ht="15" hidden="false" customHeight="false" outlineLevel="0" collapsed="false">
      <c r="A4344" s="62" t="n">
        <v>1</v>
      </c>
      <c r="B4344" s="62" t="s">
        <v>385</v>
      </c>
      <c r="C4344" s="62" t="s">
        <v>60</v>
      </c>
      <c r="D4344" s="62" t="s">
        <v>71</v>
      </c>
      <c r="E4344" s="62" t="s">
        <v>382</v>
      </c>
      <c r="F4344" s="63" t="s">
        <v>439</v>
      </c>
      <c r="G4344" s="64" t="n">
        <v>928333.029248738</v>
      </c>
      <c r="H4344" s="62" t="s">
        <v>138</v>
      </c>
    </row>
    <row r="4345" customFormat="false" ht="15" hidden="false" customHeight="false" outlineLevel="0" collapsed="false">
      <c r="A4345" s="62" t="n">
        <v>1</v>
      </c>
      <c r="B4345" s="62" t="s">
        <v>386</v>
      </c>
      <c r="C4345" s="62" t="s">
        <v>60</v>
      </c>
      <c r="D4345" s="62" t="s">
        <v>71</v>
      </c>
      <c r="E4345" s="62" t="s">
        <v>382</v>
      </c>
      <c r="F4345" s="63" t="s">
        <v>439</v>
      </c>
      <c r="G4345" s="64" t="n">
        <v>1332337.52948769</v>
      </c>
      <c r="H4345" s="62" t="s">
        <v>138</v>
      </c>
    </row>
    <row r="4346" customFormat="false" ht="15" hidden="false" customHeight="false" outlineLevel="0" collapsed="false">
      <c r="A4346" s="62" t="n">
        <v>1</v>
      </c>
      <c r="B4346" s="62" t="s">
        <v>387</v>
      </c>
      <c r="C4346" s="62" t="s">
        <v>60</v>
      </c>
      <c r="D4346" s="62" t="s">
        <v>71</v>
      </c>
      <c r="E4346" s="62" t="s">
        <v>382</v>
      </c>
      <c r="F4346" s="63" t="s">
        <v>439</v>
      </c>
      <c r="G4346" s="64" t="n">
        <v>12213331.5980339</v>
      </c>
      <c r="H4346" s="62" t="s">
        <v>138</v>
      </c>
    </row>
    <row r="4347" customFormat="false" ht="15" hidden="false" customHeight="false" outlineLevel="0" collapsed="false">
      <c r="A4347" s="62" t="n">
        <v>1</v>
      </c>
      <c r="B4347" s="62" t="s">
        <v>388</v>
      </c>
      <c r="C4347" s="62" t="s">
        <v>60</v>
      </c>
      <c r="D4347" s="62" t="s">
        <v>71</v>
      </c>
      <c r="E4347" s="62" t="s">
        <v>382</v>
      </c>
      <c r="F4347" s="63" t="s">
        <v>439</v>
      </c>
      <c r="G4347" s="64" t="n">
        <v>1848083.73933921</v>
      </c>
      <c r="H4347" s="62" t="s">
        <v>138</v>
      </c>
    </row>
    <row r="4348" customFormat="false" ht="15" hidden="false" customHeight="false" outlineLevel="0" collapsed="false">
      <c r="A4348" s="62" t="n">
        <v>1</v>
      </c>
      <c r="B4348" s="62" t="s">
        <v>381</v>
      </c>
      <c r="C4348" s="62" t="s">
        <v>60</v>
      </c>
      <c r="D4348" s="62" t="s">
        <v>71</v>
      </c>
      <c r="E4348" s="62" t="s">
        <v>382</v>
      </c>
      <c r="F4348" s="63" t="s">
        <v>453</v>
      </c>
      <c r="G4348" s="64" t="n">
        <v>1914540.49698035</v>
      </c>
      <c r="H4348" s="62" t="s">
        <v>138</v>
      </c>
    </row>
    <row r="4349" customFormat="false" ht="15" hidden="false" customHeight="false" outlineLevel="0" collapsed="false">
      <c r="A4349" s="62" t="n">
        <v>1</v>
      </c>
      <c r="B4349" s="62" t="s">
        <v>383</v>
      </c>
      <c r="C4349" s="62" t="s">
        <v>60</v>
      </c>
      <c r="D4349" s="62" t="s">
        <v>71</v>
      </c>
      <c r="E4349" s="62" t="s">
        <v>382</v>
      </c>
      <c r="F4349" s="63" t="s">
        <v>453</v>
      </c>
      <c r="G4349" s="64" t="n">
        <v>9386409.2506395</v>
      </c>
      <c r="H4349" s="62" t="s">
        <v>138</v>
      </c>
    </row>
    <row r="4350" customFormat="false" ht="15" hidden="false" customHeight="false" outlineLevel="0" collapsed="false">
      <c r="A4350" s="62" t="n">
        <v>1</v>
      </c>
      <c r="B4350" s="62" t="s">
        <v>384</v>
      </c>
      <c r="C4350" s="62" t="s">
        <v>60</v>
      </c>
      <c r="D4350" s="62" t="s">
        <v>71</v>
      </c>
      <c r="E4350" s="62" t="s">
        <v>382</v>
      </c>
      <c r="F4350" s="63" t="s">
        <v>453</v>
      </c>
      <c r="G4350" s="64" t="n">
        <v>5465080.23097913</v>
      </c>
      <c r="H4350" s="62" t="s">
        <v>138</v>
      </c>
    </row>
    <row r="4351" customFormat="false" ht="15" hidden="false" customHeight="false" outlineLevel="0" collapsed="false">
      <c r="A4351" s="62" t="n">
        <v>1</v>
      </c>
      <c r="B4351" s="62" t="s">
        <v>385</v>
      </c>
      <c r="C4351" s="62" t="s">
        <v>60</v>
      </c>
      <c r="D4351" s="62" t="s">
        <v>71</v>
      </c>
      <c r="E4351" s="62" t="s">
        <v>382</v>
      </c>
      <c r="F4351" s="63" t="s">
        <v>453</v>
      </c>
      <c r="G4351" s="64" t="n">
        <v>1641098.60242693</v>
      </c>
      <c r="H4351" s="62" t="s">
        <v>138</v>
      </c>
    </row>
    <row r="4352" customFormat="false" ht="15" hidden="false" customHeight="false" outlineLevel="0" collapsed="false">
      <c r="A4352" s="62" t="n">
        <v>1</v>
      </c>
      <c r="B4352" s="62" t="s">
        <v>386</v>
      </c>
      <c r="C4352" s="62" t="s">
        <v>60</v>
      </c>
      <c r="D4352" s="62" t="s">
        <v>71</v>
      </c>
      <c r="E4352" s="62" t="s">
        <v>382</v>
      </c>
      <c r="F4352" s="63" t="s">
        <v>453</v>
      </c>
      <c r="G4352" s="64" t="n">
        <v>3421673.9990086</v>
      </c>
      <c r="H4352" s="62" t="s">
        <v>138</v>
      </c>
    </row>
    <row r="4353" customFormat="false" ht="15" hidden="false" customHeight="false" outlineLevel="0" collapsed="false">
      <c r="A4353" s="62" t="n">
        <v>1</v>
      </c>
      <c r="B4353" s="62" t="s">
        <v>387</v>
      </c>
      <c r="C4353" s="62" t="s">
        <v>60</v>
      </c>
      <c r="D4353" s="62" t="s">
        <v>71</v>
      </c>
      <c r="E4353" s="62" t="s">
        <v>382</v>
      </c>
      <c r="F4353" s="63" t="s">
        <v>453</v>
      </c>
      <c r="G4353" s="64" t="n">
        <v>10887552.3623043</v>
      </c>
      <c r="H4353" s="62" t="s">
        <v>138</v>
      </c>
    </row>
    <row r="4354" customFormat="false" ht="15" hidden="false" customHeight="false" outlineLevel="0" collapsed="false">
      <c r="A4354" s="62" t="n">
        <v>1</v>
      </c>
      <c r="B4354" s="62" t="s">
        <v>388</v>
      </c>
      <c r="C4354" s="62" t="s">
        <v>60</v>
      </c>
      <c r="D4354" s="62" t="s">
        <v>71</v>
      </c>
      <c r="E4354" s="62" t="s">
        <v>382</v>
      </c>
      <c r="F4354" s="63" t="s">
        <v>453</v>
      </c>
      <c r="G4354" s="64" t="n">
        <v>2291753.42937366</v>
      </c>
      <c r="H4354" s="62" t="s">
        <v>138</v>
      </c>
    </row>
    <row r="4355" customFormat="false" ht="15" hidden="false" customHeight="false" outlineLevel="0" collapsed="false">
      <c r="A4355" s="62" t="n">
        <v>1</v>
      </c>
      <c r="B4355" s="62" t="s">
        <v>381</v>
      </c>
      <c r="C4355" s="62" t="s">
        <v>60</v>
      </c>
      <c r="D4355" s="62" t="s">
        <v>71</v>
      </c>
      <c r="E4355" s="62" t="s">
        <v>382</v>
      </c>
      <c r="F4355" s="63" t="s">
        <v>454</v>
      </c>
      <c r="G4355" s="64" t="n">
        <v>365032.427722816</v>
      </c>
      <c r="H4355" s="62" t="s">
        <v>138</v>
      </c>
    </row>
    <row r="4356" customFormat="false" ht="15" hidden="false" customHeight="false" outlineLevel="0" collapsed="false">
      <c r="A4356" s="62" t="n">
        <v>1</v>
      </c>
      <c r="B4356" s="62" t="s">
        <v>383</v>
      </c>
      <c r="C4356" s="62" t="s">
        <v>60</v>
      </c>
      <c r="D4356" s="62" t="s">
        <v>71</v>
      </c>
      <c r="E4356" s="62" t="s">
        <v>382</v>
      </c>
      <c r="F4356" s="63" t="s">
        <v>454</v>
      </c>
      <c r="G4356" s="64" t="n">
        <v>365032.427722816</v>
      </c>
      <c r="H4356" s="62" t="s">
        <v>138</v>
      </c>
    </row>
    <row r="4357" customFormat="false" ht="15" hidden="false" customHeight="false" outlineLevel="0" collapsed="false">
      <c r="A4357" s="62" t="n">
        <v>1</v>
      </c>
      <c r="B4357" s="62" t="s">
        <v>384</v>
      </c>
      <c r="C4357" s="62" t="s">
        <v>60</v>
      </c>
      <c r="D4357" s="62" t="s">
        <v>71</v>
      </c>
      <c r="E4357" s="62" t="s">
        <v>382</v>
      </c>
      <c r="F4357" s="63" t="s">
        <v>454</v>
      </c>
      <c r="G4357" s="64" t="n">
        <v>365032.427722816</v>
      </c>
      <c r="H4357" s="62" t="s">
        <v>138</v>
      </c>
    </row>
    <row r="4358" customFormat="false" ht="15" hidden="false" customHeight="false" outlineLevel="0" collapsed="false">
      <c r="A4358" s="62" t="n">
        <v>1</v>
      </c>
      <c r="B4358" s="62" t="s">
        <v>385</v>
      </c>
      <c r="C4358" s="62" t="s">
        <v>60</v>
      </c>
      <c r="D4358" s="62" t="s">
        <v>71</v>
      </c>
      <c r="E4358" s="62" t="s">
        <v>382</v>
      </c>
      <c r="F4358" s="63" t="s">
        <v>454</v>
      </c>
      <c r="G4358" s="64" t="n">
        <v>365032.427722816</v>
      </c>
      <c r="H4358" s="62" t="s">
        <v>138</v>
      </c>
    </row>
    <row r="4359" customFormat="false" ht="15" hidden="false" customHeight="false" outlineLevel="0" collapsed="false">
      <c r="A4359" s="62" t="n">
        <v>1</v>
      </c>
      <c r="B4359" s="62" t="s">
        <v>386</v>
      </c>
      <c r="C4359" s="62" t="s">
        <v>60</v>
      </c>
      <c r="D4359" s="62" t="s">
        <v>71</v>
      </c>
      <c r="E4359" s="62" t="s">
        <v>382</v>
      </c>
      <c r="F4359" s="63" t="s">
        <v>454</v>
      </c>
      <c r="G4359" s="64" t="n">
        <v>365032.427722816</v>
      </c>
      <c r="H4359" s="62" t="s">
        <v>138</v>
      </c>
    </row>
    <row r="4360" customFormat="false" ht="15" hidden="false" customHeight="false" outlineLevel="0" collapsed="false">
      <c r="A4360" s="62" t="n">
        <v>1</v>
      </c>
      <c r="B4360" s="62" t="s">
        <v>387</v>
      </c>
      <c r="C4360" s="62" t="s">
        <v>60</v>
      </c>
      <c r="D4360" s="62" t="s">
        <v>71</v>
      </c>
      <c r="E4360" s="62" t="s">
        <v>382</v>
      </c>
      <c r="F4360" s="63" t="s">
        <v>454</v>
      </c>
      <c r="G4360" s="64" t="n">
        <v>365032.427722816</v>
      </c>
      <c r="H4360" s="62" t="s">
        <v>138</v>
      </c>
    </row>
    <row r="4361" customFormat="false" ht="15" hidden="false" customHeight="false" outlineLevel="0" collapsed="false">
      <c r="A4361" s="62" t="n">
        <v>1</v>
      </c>
      <c r="B4361" s="62" t="s">
        <v>388</v>
      </c>
      <c r="C4361" s="62" t="s">
        <v>60</v>
      </c>
      <c r="D4361" s="62" t="s">
        <v>71</v>
      </c>
      <c r="E4361" s="62" t="s">
        <v>382</v>
      </c>
      <c r="F4361" s="63" t="s">
        <v>454</v>
      </c>
      <c r="G4361" s="64" t="n">
        <v>365032.427722816</v>
      </c>
      <c r="H4361" s="62" t="s">
        <v>138</v>
      </c>
    </row>
    <row r="4362" customFormat="false" ht="15" hidden="false" customHeight="false" outlineLevel="0" collapsed="false">
      <c r="A4362" s="62" t="n">
        <v>1</v>
      </c>
      <c r="B4362" s="62" t="s">
        <v>381</v>
      </c>
      <c r="C4362" s="62" t="s">
        <v>60</v>
      </c>
      <c r="D4362" s="62" t="s">
        <v>71</v>
      </c>
      <c r="E4362" s="62" t="s">
        <v>382</v>
      </c>
      <c r="F4362" s="63" t="s">
        <v>455</v>
      </c>
      <c r="G4362" s="64" t="n">
        <v>2279572.92470316</v>
      </c>
      <c r="H4362" s="62" t="s">
        <v>138</v>
      </c>
    </row>
    <row r="4363" customFormat="false" ht="15" hidden="false" customHeight="false" outlineLevel="0" collapsed="false">
      <c r="A4363" s="62" t="n">
        <v>1</v>
      </c>
      <c r="B4363" s="62" t="s">
        <v>383</v>
      </c>
      <c r="C4363" s="62" t="s">
        <v>60</v>
      </c>
      <c r="D4363" s="62" t="s">
        <v>71</v>
      </c>
      <c r="E4363" s="62" t="s">
        <v>382</v>
      </c>
      <c r="F4363" s="63" t="s">
        <v>455</v>
      </c>
      <c r="G4363" s="64" t="n">
        <v>9751441.67836232</v>
      </c>
      <c r="H4363" s="62" t="s">
        <v>138</v>
      </c>
    </row>
    <row r="4364" customFormat="false" ht="15" hidden="false" customHeight="false" outlineLevel="0" collapsed="false">
      <c r="A4364" s="62" t="n">
        <v>1</v>
      </c>
      <c r="B4364" s="62" t="s">
        <v>384</v>
      </c>
      <c r="C4364" s="62" t="s">
        <v>60</v>
      </c>
      <c r="D4364" s="62" t="s">
        <v>71</v>
      </c>
      <c r="E4364" s="62" t="s">
        <v>382</v>
      </c>
      <c r="F4364" s="63" t="s">
        <v>455</v>
      </c>
      <c r="G4364" s="64" t="n">
        <v>5830112.65870195</v>
      </c>
      <c r="H4364" s="62" t="s">
        <v>138</v>
      </c>
    </row>
    <row r="4365" customFormat="false" ht="15" hidden="false" customHeight="false" outlineLevel="0" collapsed="false">
      <c r="A4365" s="62" t="n">
        <v>1</v>
      </c>
      <c r="B4365" s="62" t="s">
        <v>385</v>
      </c>
      <c r="C4365" s="62" t="s">
        <v>60</v>
      </c>
      <c r="D4365" s="62" t="s">
        <v>71</v>
      </c>
      <c r="E4365" s="62" t="s">
        <v>382</v>
      </c>
      <c r="F4365" s="63" t="s">
        <v>455</v>
      </c>
      <c r="G4365" s="64" t="n">
        <v>2006131.03014974</v>
      </c>
      <c r="H4365" s="62" t="s">
        <v>138</v>
      </c>
    </row>
    <row r="4366" customFormat="false" ht="15" hidden="false" customHeight="false" outlineLevel="0" collapsed="false">
      <c r="A4366" s="62" t="n">
        <v>1</v>
      </c>
      <c r="B4366" s="62" t="s">
        <v>386</v>
      </c>
      <c r="C4366" s="62" t="s">
        <v>60</v>
      </c>
      <c r="D4366" s="62" t="s">
        <v>71</v>
      </c>
      <c r="E4366" s="62" t="s">
        <v>382</v>
      </c>
      <c r="F4366" s="63" t="s">
        <v>455</v>
      </c>
      <c r="G4366" s="64" t="n">
        <v>3786706.42673141</v>
      </c>
      <c r="H4366" s="62" t="s">
        <v>138</v>
      </c>
    </row>
    <row r="4367" customFormat="false" ht="15" hidden="false" customHeight="false" outlineLevel="0" collapsed="false">
      <c r="A4367" s="62" t="n">
        <v>1</v>
      </c>
      <c r="B4367" s="62" t="s">
        <v>387</v>
      </c>
      <c r="C4367" s="62" t="s">
        <v>60</v>
      </c>
      <c r="D4367" s="62" t="s">
        <v>71</v>
      </c>
      <c r="E4367" s="62" t="s">
        <v>382</v>
      </c>
      <c r="F4367" s="63" t="s">
        <v>455</v>
      </c>
      <c r="G4367" s="64" t="n">
        <v>11252584.7900271</v>
      </c>
      <c r="H4367" s="62" t="s">
        <v>138</v>
      </c>
    </row>
    <row r="4368" customFormat="false" ht="15" hidden="false" customHeight="false" outlineLevel="0" collapsed="false">
      <c r="A4368" s="62" t="n">
        <v>1</v>
      </c>
      <c r="B4368" s="62" t="s">
        <v>388</v>
      </c>
      <c r="C4368" s="62" t="s">
        <v>60</v>
      </c>
      <c r="D4368" s="62" t="s">
        <v>71</v>
      </c>
      <c r="E4368" s="62" t="s">
        <v>382</v>
      </c>
      <c r="F4368" s="63" t="s">
        <v>455</v>
      </c>
      <c r="G4368" s="64" t="n">
        <v>2656785.85709647</v>
      </c>
      <c r="H4368" s="62" t="s">
        <v>138</v>
      </c>
    </row>
    <row r="4369" customFormat="false" ht="15" hidden="false" customHeight="false" outlineLevel="0" collapsed="false">
      <c r="A4369" s="62" t="n">
        <v>1</v>
      </c>
      <c r="B4369" s="62" t="s">
        <v>381</v>
      </c>
      <c r="C4369" s="62" t="s">
        <v>60</v>
      </c>
      <c r="D4369" s="62" t="s">
        <v>72</v>
      </c>
      <c r="E4369" s="62" t="s">
        <v>382</v>
      </c>
      <c r="F4369" s="63" t="s">
        <v>456</v>
      </c>
      <c r="G4369" s="64" t="n">
        <v>13593437.2974956</v>
      </c>
      <c r="H4369" s="62" t="s">
        <v>138</v>
      </c>
    </row>
    <row r="4370" customFormat="false" ht="15" hidden="false" customHeight="false" outlineLevel="0" collapsed="false">
      <c r="A4370" s="62" t="n">
        <v>1</v>
      </c>
      <c r="B4370" s="62" t="s">
        <v>383</v>
      </c>
      <c r="C4370" s="62" t="s">
        <v>60</v>
      </c>
      <c r="D4370" s="62" t="s">
        <v>72</v>
      </c>
      <c r="E4370" s="62" t="s">
        <v>382</v>
      </c>
      <c r="F4370" s="63" t="s">
        <v>456</v>
      </c>
      <c r="G4370" s="64" t="n">
        <v>36539783.43599</v>
      </c>
      <c r="H4370" s="62" t="s">
        <v>138</v>
      </c>
    </row>
    <row r="4371" customFormat="false" ht="15" hidden="false" customHeight="false" outlineLevel="0" collapsed="false">
      <c r="A4371" s="62" t="n">
        <v>1</v>
      </c>
      <c r="B4371" s="62" t="s">
        <v>384</v>
      </c>
      <c r="C4371" s="62" t="s">
        <v>60</v>
      </c>
      <c r="D4371" s="62" t="s">
        <v>72</v>
      </c>
      <c r="E4371" s="62" t="s">
        <v>382</v>
      </c>
      <c r="F4371" s="63" t="s">
        <v>456</v>
      </c>
      <c r="G4371" s="64" t="n">
        <v>24866723.0877643</v>
      </c>
      <c r="H4371" s="62" t="s">
        <v>138</v>
      </c>
    </row>
    <row r="4372" customFormat="false" ht="15" hidden="false" customHeight="false" outlineLevel="0" collapsed="false">
      <c r="A4372" s="62" t="n">
        <v>1</v>
      </c>
      <c r="B4372" s="62" t="s">
        <v>385</v>
      </c>
      <c r="C4372" s="62" t="s">
        <v>60</v>
      </c>
      <c r="D4372" s="62" t="s">
        <v>72</v>
      </c>
      <c r="E4372" s="62" t="s">
        <v>382</v>
      </c>
      <c r="F4372" s="63" t="s">
        <v>456</v>
      </c>
      <c r="G4372" s="64" t="n">
        <v>12593518.9928914</v>
      </c>
      <c r="H4372" s="62" t="s">
        <v>138</v>
      </c>
    </row>
    <row r="4373" customFormat="false" ht="15" hidden="false" customHeight="false" outlineLevel="0" collapsed="false">
      <c r="A4373" s="62" t="n">
        <v>1</v>
      </c>
      <c r="B4373" s="62" t="s">
        <v>386</v>
      </c>
      <c r="C4373" s="62" t="s">
        <v>60</v>
      </c>
      <c r="D4373" s="62" t="s">
        <v>72</v>
      </c>
      <c r="E4373" s="62" t="s">
        <v>382</v>
      </c>
      <c r="F4373" s="63" t="s">
        <v>456</v>
      </c>
      <c r="G4373" s="64" t="n">
        <v>5615760.27194083</v>
      </c>
      <c r="H4373" s="62" t="s">
        <v>138</v>
      </c>
    </row>
    <row r="4374" customFormat="false" ht="15" hidden="false" customHeight="false" outlineLevel="0" collapsed="false">
      <c r="A4374" s="62" t="n">
        <v>1</v>
      </c>
      <c r="B4374" s="62" t="s">
        <v>387</v>
      </c>
      <c r="C4374" s="62" t="s">
        <v>60</v>
      </c>
      <c r="D4374" s="62" t="s">
        <v>72</v>
      </c>
      <c r="E4374" s="62" t="s">
        <v>382</v>
      </c>
      <c r="F4374" s="63" t="s">
        <v>456</v>
      </c>
      <c r="G4374" s="64" t="n">
        <v>19881883.2128779</v>
      </c>
      <c r="H4374" s="62" t="s">
        <v>138</v>
      </c>
    </row>
    <row r="4375" customFormat="false" ht="15" hidden="false" customHeight="false" outlineLevel="0" collapsed="false">
      <c r="A4375" s="62" t="n">
        <v>1</v>
      </c>
      <c r="B4375" s="62" t="s">
        <v>388</v>
      </c>
      <c r="C4375" s="62" t="s">
        <v>60</v>
      </c>
      <c r="D4375" s="62" t="s">
        <v>72</v>
      </c>
      <c r="E4375" s="62" t="s">
        <v>382</v>
      </c>
      <c r="F4375" s="63" t="s">
        <v>456</v>
      </c>
      <c r="G4375" s="64" t="n">
        <v>0</v>
      </c>
      <c r="H4375" s="62" t="s">
        <v>138</v>
      </c>
    </row>
    <row r="4376" customFormat="false" ht="15" hidden="false" customHeight="false" outlineLevel="0" collapsed="false">
      <c r="A4376" s="62" t="n">
        <v>1</v>
      </c>
      <c r="B4376" s="62" t="s">
        <v>381</v>
      </c>
      <c r="C4376" s="62" t="s">
        <v>60</v>
      </c>
      <c r="D4376" s="62" t="s">
        <v>72</v>
      </c>
      <c r="E4376" s="62" t="s">
        <v>382</v>
      </c>
      <c r="F4376" s="63" t="s">
        <v>390</v>
      </c>
      <c r="G4376" s="64" t="n">
        <v>1258816.15960574</v>
      </c>
      <c r="H4376" s="62" t="s">
        <v>138</v>
      </c>
    </row>
    <row r="4377" customFormat="false" ht="15" hidden="false" customHeight="false" outlineLevel="0" collapsed="false">
      <c r="A4377" s="62" t="n">
        <v>1</v>
      </c>
      <c r="B4377" s="62" t="s">
        <v>383</v>
      </c>
      <c r="C4377" s="62" t="s">
        <v>60</v>
      </c>
      <c r="D4377" s="62" t="s">
        <v>72</v>
      </c>
      <c r="E4377" s="62" t="s">
        <v>382</v>
      </c>
      <c r="F4377" s="63" t="s">
        <v>390</v>
      </c>
      <c r="G4377" s="64" t="n">
        <v>3641311.91127887</v>
      </c>
      <c r="H4377" s="62" t="s">
        <v>138</v>
      </c>
    </row>
    <row r="4378" customFormat="false" ht="15" hidden="false" customHeight="false" outlineLevel="0" collapsed="false">
      <c r="A4378" s="62" t="n">
        <v>1</v>
      </c>
      <c r="B4378" s="62" t="s">
        <v>384</v>
      </c>
      <c r="C4378" s="62" t="s">
        <v>60</v>
      </c>
      <c r="D4378" s="62" t="s">
        <v>72</v>
      </c>
      <c r="E4378" s="62" t="s">
        <v>382</v>
      </c>
      <c r="F4378" s="63" t="s">
        <v>390</v>
      </c>
      <c r="G4378" s="64" t="n">
        <v>4103419.65144625</v>
      </c>
      <c r="H4378" s="62" t="s">
        <v>138</v>
      </c>
    </row>
    <row r="4379" customFormat="false" ht="15" hidden="false" customHeight="false" outlineLevel="0" collapsed="false">
      <c r="A4379" s="62" t="n">
        <v>1</v>
      </c>
      <c r="B4379" s="62" t="s">
        <v>385</v>
      </c>
      <c r="C4379" s="62" t="s">
        <v>60</v>
      </c>
      <c r="D4379" s="62" t="s">
        <v>72</v>
      </c>
      <c r="E4379" s="62" t="s">
        <v>382</v>
      </c>
      <c r="F4379" s="63" t="s">
        <v>390</v>
      </c>
      <c r="G4379" s="64" t="n">
        <v>1082363.77482908</v>
      </c>
      <c r="H4379" s="62" t="s">
        <v>138</v>
      </c>
    </row>
    <row r="4380" customFormat="false" ht="15" hidden="false" customHeight="false" outlineLevel="0" collapsed="false">
      <c r="A4380" s="62" t="n">
        <v>1</v>
      </c>
      <c r="B4380" s="62" t="s">
        <v>386</v>
      </c>
      <c r="C4380" s="62" t="s">
        <v>60</v>
      </c>
      <c r="D4380" s="62" t="s">
        <v>72</v>
      </c>
      <c r="E4380" s="62" t="s">
        <v>382</v>
      </c>
      <c r="F4380" s="63" t="s">
        <v>390</v>
      </c>
      <c r="G4380" s="64" t="n">
        <v>492921.869245561</v>
      </c>
      <c r="H4380" s="62" t="s">
        <v>138</v>
      </c>
    </row>
    <row r="4381" customFormat="false" ht="15" hidden="false" customHeight="false" outlineLevel="0" collapsed="false">
      <c r="A4381" s="62" t="n">
        <v>1</v>
      </c>
      <c r="B4381" s="62" t="s">
        <v>387</v>
      </c>
      <c r="C4381" s="62" t="s">
        <v>60</v>
      </c>
      <c r="D4381" s="62" t="s">
        <v>72</v>
      </c>
      <c r="E4381" s="62" t="s">
        <v>382</v>
      </c>
      <c r="F4381" s="63" t="s">
        <v>390</v>
      </c>
      <c r="G4381" s="64" t="n">
        <v>2032040.93955603</v>
      </c>
      <c r="H4381" s="62" t="s">
        <v>138</v>
      </c>
    </row>
    <row r="4382" customFormat="false" ht="15" hidden="false" customHeight="false" outlineLevel="0" collapsed="false">
      <c r="A4382" s="62" t="n">
        <v>1</v>
      </c>
      <c r="B4382" s="62" t="s">
        <v>388</v>
      </c>
      <c r="C4382" s="62" t="s">
        <v>60</v>
      </c>
      <c r="D4382" s="62" t="s">
        <v>72</v>
      </c>
      <c r="E4382" s="62" t="s">
        <v>382</v>
      </c>
      <c r="F4382" s="63" t="s">
        <v>390</v>
      </c>
      <c r="G4382" s="64" t="n">
        <v>0</v>
      </c>
      <c r="H4382" s="62" t="s">
        <v>138</v>
      </c>
    </row>
    <row r="4383" customFormat="false" ht="15" hidden="false" customHeight="false" outlineLevel="0" collapsed="false">
      <c r="A4383" s="62" t="n">
        <v>1</v>
      </c>
      <c r="B4383" s="62" t="s">
        <v>381</v>
      </c>
      <c r="C4383" s="62" t="s">
        <v>60</v>
      </c>
      <c r="D4383" s="62" t="s">
        <v>72</v>
      </c>
      <c r="E4383" s="62" t="s">
        <v>382</v>
      </c>
      <c r="F4383" s="63" t="s">
        <v>392</v>
      </c>
      <c r="G4383" s="64" t="n">
        <v>1160295.92581436</v>
      </c>
      <c r="H4383" s="62" t="s">
        <v>138</v>
      </c>
    </row>
    <row r="4384" customFormat="false" ht="15" hidden="false" customHeight="false" outlineLevel="0" collapsed="false">
      <c r="A4384" s="62" t="n">
        <v>1</v>
      </c>
      <c r="B4384" s="62" t="s">
        <v>383</v>
      </c>
      <c r="C4384" s="62" t="s">
        <v>60</v>
      </c>
      <c r="D4384" s="62" t="s">
        <v>72</v>
      </c>
      <c r="E4384" s="62" t="s">
        <v>382</v>
      </c>
      <c r="F4384" s="63" t="s">
        <v>392</v>
      </c>
      <c r="G4384" s="64" t="n">
        <v>1939295.78710139</v>
      </c>
      <c r="H4384" s="62" t="s">
        <v>138</v>
      </c>
    </row>
    <row r="4385" customFormat="false" ht="15" hidden="false" customHeight="false" outlineLevel="0" collapsed="false">
      <c r="A4385" s="62" t="n">
        <v>1</v>
      </c>
      <c r="B4385" s="62" t="s">
        <v>384</v>
      </c>
      <c r="C4385" s="62" t="s">
        <v>60</v>
      </c>
      <c r="D4385" s="62" t="s">
        <v>72</v>
      </c>
      <c r="E4385" s="62" t="s">
        <v>382</v>
      </c>
      <c r="F4385" s="63" t="s">
        <v>392</v>
      </c>
      <c r="G4385" s="64" t="n">
        <v>1567067.33230724</v>
      </c>
      <c r="H4385" s="62" t="s">
        <v>138</v>
      </c>
    </row>
    <row r="4386" customFormat="false" ht="15" hidden="false" customHeight="false" outlineLevel="0" collapsed="false">
      <c r="A4386" s="62" t="n">
        <v>1</v>
      </c>
      <c r="B4386" s="62" t="s">
        <v>385</v>
      </c>
      <c r="C4386" s="62" t="s">
        <v>60</v>
      </c>
      <c r="D4386" s="62" t="s">
        <v>72</v>
      </c>
      <c r="E4386" s="62" t="s">
        <v>382</v>
      </c>
      <c r="F4386" s="63" t="s">
        <v>392</v>
      </c>
      <c r="G4386" s="64" t="n">
        <v>855919.875908831</v>
      </c>
      <c r="H4386" s="62" t="s">
        <v>138</v>
      </c>
    </row>
    <row r="4387" customFormat="false" ht="15" hidden="false" customHeight="false" outlineLevel="0" collapsed="false">
      <c r="A4387" s="62" t="n">
        <v>1</v>
      </c>
      <c r="B4387" s="62" t="s">
        <v>386</v>
      </c>
      <c r="C4387" s="62" t="s">
        <v>60</v>
      </c>
      <c r="D4387" s="62" t="s">
        <v>72</v>
      </c>
      <c r="E4387" s="62" t="s">
        <v>382</v>
      </c>
      <c r="F4387" s="63" t="s">
        <v>392</v>
      </c>
      <c r="G4387" s="64" t="n">
        <v>330943.875469526</v>
      </c>
      <c r="H4387" s="62" t="s">
        <v>138</v>
      </c>
    </row>
    <row r="4388" customFormat="false" ht="15" hidden="false" customHeight="false" outlineLevel="0" collapsed="false">
      <c r="A4388" s="62" t="n">
        <v>1</v>
      </c>
      <c r="B4388" s="62" t="s">
        <v>387</v>
      </c>
      <c r="C4388" s="62" t="s">
        <v>60</v>
      </c>
      <c r="D4388" s="62" t="s">
        <v>72</v>
      </c>
      <c r="E4388" s="62" t="s">
        <v>382</v>
      </c>
      <c r="F4388" s="63" t="s">
        <v>392</v>
      </c>
      <c r="G4388" s="64" t="n">
        <v>1765281.99836599</v>
      </c>
      <c r="H4388" s="62" t="s">
        <v>138</v>
      </c>
    </row>
    <row r="4389" customFormat="false" ht="15" hidden="false" customHeight="false" outlineLevel="0" collapsed="false">
      <c r="A4389" s="62" t="n">
        <v>1</v>
      </c>
      <c r="B4389" s="62" t="s">
        <v>388</v>
      </c>
      <c r="C4389" s="62" t="s">
        <v>60</v>
      </c>
      <c r="D4389" s="62" t="s">
        <v>72</v>
      </c>
      <c r="E4389" s="62" t="s">
        <v>382</v>
      </c>
      <c r="F4389" s="63" t="s">
        <v>392</v>
      </c>
      <c r="G4389" s="64" t="n">
        <v>0</v>
      </c>
      <c r="H4389" s="62" t="s">
        <v>138</v>
      </c>
    </row>
    <row r="4390" customFormat="false" ht="15" hidden="false" customHeight="false" outlineLevel="0" collapsed="false">
      <c r="A4390" s="62" t="n">
        <v>1</v>
      </c>
      <c r="B4390" s="62" t="s">
        <v>381</v>
      </c>
      <c r="C4390" s="62" t="s">
        <v>60</v>
      </c>
      <c r="D4390" s="62" t="s">
        <v>72</v>
      </c>
      <c r="E4390" s="62" t="s">
        <v>382</v>
      </c>
      <c r="F4390" s="63" t="s">
        <v>394</v>
      </c>
      <c r="G4390" s="64" t="n">
        <v>700000</v>
      </c>
      <c r="H4390" s="62" t="s">
        <v>138</v>
      </c>
    </row>
    <row r="4391" customFormat="false" ht="15" hidden="false" customHeight="false" outlineLevel="0" collapsed="false">
      <c r="A4391" s="62" t="n">
        <v>1</v>
      </c>
      <c r="B4391" s="62" t="s">
        <v>383</v>
      </c>
      <c r="C4391" s="62" t="s">
        <v>60</v>
      </c>
      <c r="D4391" s="62" t="s">
        <v>72</v>
      </c>
      <c r="E4391" s="62" t="s">
        <v>382</v>
      </c>
      <c r="F4391" s="63" t="s">
        <v>394</v>
      </c>
      <c r="G4391" s="64" t="n">
        <v>3441143</v>
      </c>
      <c r="H4391" s="62" t="s">
        <v>138</v>
      </c>
    </row>
    <row r="4392" customFormat="false" ht="15" hidden="false" customHeight="false" outlineLevel="0" collapsed="false">
      <c r="A4392" s="62" t="n">
        <v>1</v>
      </c>
      <c r="B4392" s="62" t="s">
        <v>384</v>
      </c>
      <c r="C4392" s="62" t="s">
        <v>60</v>
      </c>
      <c r="D4392" s="62" t="s">
        <v>72</v>
      </c>
      <c r="E4392" s="62" t="s">
        <v>382</v>
      </c>
      <c r="F4392" s="63" t="s">
        <v>394</v>
      </c>
      <c r="G4392" s="64" t="n">
        <v>679510</v>
      </c>
      <c r="H4392" s="62" t="s">
        <v>138</v>
      </c>
    </row>
    <row r="4393" customFormat="false" ht="15" hidden="false" customHeight="false" outlineLevel="0" collapsed="false">
      <c r="A4393" s="62" t="n">
        <v>1</v>
      </c>
      <c r="B4393" s="62" t="s">
        <v>385</v>
      </c>
      <c r="C4393" s="62" t="s">
        <v>60</v>
      </c>
      <c r="D4393" s="62" t="s">
        <v>72</v>
      </c>
      <c r="E4393" s="62" t="s">
        <v>382</v>
      </c>
      <c r="F4393" s="63" t="s">
        <v>394</v>
      </c>
      <c r="G4393" s="64" t="n">
        <v>828462</v>
      </c>
      <c r="H4393" s="62" t="s">
        <v>138</v>
      </c>
    </row>
    <row r="4394" customFormat="false" ht="15" hidden="false" customHeight="false" outlineLevel="0" collapsed="false">
      <c r="A4394" s="62" t="n">
        <v>1</v>
      </c>
      <c r="B4394" s="62" t="s">
        <v>386</v>
      </c>
      <c r="C4394" s="62" t="s">
        <v>60</v>
      </c>
      <c r="D4394" s="62" t="s">
        <v>72</v>
      </c>
      <c r="E4394" s="62" t="s">
        <v>382</v>
      </c>
      <c r="F4394" s="63" t="s">
        <v>394</v>
      </c>
      <c r="G4394" s="64" t="n">
        <v>1000000</v>
      </c>
      <c r="H4394" s="62" t="s">
        <v>138</v>
      </c>
    </row>
    <row r="4395" customFormat="false" ht="15" hidden="false" customHeight="false" outlineLevel="0" collapsed="false">
      <c r="A4395" s="62" t="n">
        <v>1</v>
      </c>
      <c r="B4395" s="62" t="s">
        <v>387</v>
      </c>
      <c r="C4395" s="62" t="s">
        <v>60</v>
      </c>
      <c r="D4395" s="62" t="s">
        <v>72</v>
      </c>
      <c r="E4395" s="62" t="s">
        <v>382</v>
      </c>
      <c r="F4395" s="63" t="s">
        <v>394</v>
      </c>
      <c r="G4395" s="64" t="n">
        <v>913227</v>
      </c>
      <c r="H4395" s="62" t="s">
        <v>138</v>
      </c>
    </row>
    <row r="4396" customFormat="false" ht="15" hidden="false" customHeight="false" outlineLevel="0" collapsed="false">
      <c r="A4396" s="62" t="n">
        <v>1</v>
      </c>
      <c r="B4396" s="62" t="s">
        <v>388</v>
      </c>
      <c r="C4396" s="62" t="s">
        <v>60</v>
      </c>
      <c r="D4396" s="62" t="s">
        <v>72</v>
      </c>
      <c r="E4396" s="62" t="s">
        <v>382</v>
      </c>
      <c r="F4396" s="63" t="s">
        <v>394</v>
      </c>
      <c r="G4396" s="64" t="n">
        <v>570066</v>
      </c>
      <c r="H4396" s="62" t="s">
        <v>138</v>
      </c>
    </row>
    <row r="4397" customFormat="false" ht="15" hidden="false" customHeight="false" outlineLevel="0" collapsed="false">
      <c r="A4397" s="62" t="n">
        <v>1</v>
      </c>
      <c r="B4397" s="62" t="s">
        <v>381</v>
      </c>
      <c r="C4397" s="62" t="s">
        <v>60</v>
      </c>
      <c r="D4397" s="62" t="s">
        <v>72</v>
      </c>
      <c r="E4397" s="62" t="s">
        <v>382</v>
      </c>
      <c r="F4397" s="63" t="s">
        <v>395</v>
      </c>
      <c r="G4397" s="64" t="n">
        <v>20000</v>
      </c>
      <c r="H4397" s="62" t="s">
        <v>138</v>
      </c>
    </row>
    <row r="4398" customFormat="false" ht="15" hidden="false" customHeight="false" outlineLevel="0" collapsed="false">
      <c r="A4398" s="62" t="n">
        <v>1</v>
      </c>
      <c r="B4398" s="62" t="s">
        <v>383</v>
      </c>
      <c r="C4398" s="62" t="s">
        <v>60</v>
      </c>
      <c r="D4398" s="62" t="s">
        <v>72</v>
      </c>
      <c r="E4398" s="62" t="s">
        <v>382</v>
      </c>
      <c r="F4398" s="63" t="s">
        <v>395</v>
      </c>
      <c r="G4398" s="64" t="n">
        <v>20000</v>
      </c>
      <c r="H4398" s="62" t="s">
        <v>138</v>
      </c>
    </row>
    <row r="4399" customFormat="false" ht="15" hidden="false" customHeight="false" outlineLevel="0" collapsed="false">
      <c r="A4399" s="62" t="n">
        <v>1</v>
      </c>
      <c r="B4399" s="62" t="s">
        <v>384</v>
      </c>
      <c r="C4399" s="62" t="s">
        <v>60</v>
      </c>
      <c r="D4399" s="62" t="s">
        <v>72</v>
      </c>
      <c r="E4399" s="62" t="s">
        <v>382</v>
      </c>
      <c r="F4399" s="63" t="s">
        <v>395</v>
      </c>
      <c r="G4399" s="64" t="n">
        <v>20000</v>
      </c>
      <c r="H4399" s="62" t="s">
        <v>138</v>
      </c>
    </row>
    <row r="4400" customFormat="false" ht="15" hidden="false" customHeight="false" outlineLevel="0" collapsed="false">
      <c r="A4400" s="62" t="n">
        <v>1</v>
      </c>
      <c r="B4400" s="62" t="s">
        <v>385</v>
      </c>
      <c r="C4400" s="62" t="s">
        <v>60</v>
      </c>
      <c r="D4400" s="62" t="s">
        <v>72</v>
      </c>
      <c r="E4400" s="62" t="s">
        <v>382</v>
      </c>
      <c r="F4400" s="63" t="s">
        <v>395</v>
      </c>
      <c r="G4400" s="64" t="n">
        <v>20000</v>
      </c>
      <c r="H4400" s="62" t="s">
        <v>138</v>
      </c>
    </row>
    <row r="4401" customFormat="false" ht="15" hidden="false" customHeight="false" outlineLevel="0" collapsed="false">
      <c r="A4401" s="62" t="n">
        <v>1</v>
      </c>
      <c r="B4401" s="62" t="s">
        <v>386</v>
      </c>
      <c r="C4401" s="62" t="s">
        <v>60</v>
      </c>
      <c r="D4401" s="62" t="s">
        <v>72</v>
      </c>
      <c r="E4401" s="62" t="s">
        <v>382</v>
      </c>
      <c r="F4401" s="63" t="s">
        <v>395</v>
      </c>
      <c r="G4401" s="64" t="n">
        <v>20000</v>
      </c>
      <c r="H4401" s="62" t="s">
        <v>138</v>
      </c>
    </row>
    <row r="4402" customFormat="false" ht="15" hidden="false" customHeight="false" outlineLevel="0" collapsed="false">
      <c r="A4402" s="62" t="n">
        <v>1</v>
      </c>
      <c r="B4402" s="62" t="s">
        <v>387</v>
      </c>
      <c r="C4402" s="62" t="s">
        <v>60</v>
      </c>
      <c r="D4402" s="62" t="s">
        <v>72</v>
      </c>
      <c r="E4402" s="62" t="s">
        <v>382</v>
      </c>
      <c r="F4402" s="63" t="s">
        <v>395</v>
      </c>
      <c r="G4402" s="64" t="n">
        <v>20000</v>
      </c>
      <c r="H4402" s="62" t="s">
        <v>138</v>
      </c>
    </row>
    <row r="4403" customFormat="false" ht="15" hidden="false" customHeight="false" outlineLevel="0" collapsed="false">
      <c r="A4403" s="62" t="n">
        <v>1</v>
      </c>
      <c r="B4403" s="62" t="s">
        <v>388</v>
      </c>
      <c r="C4403" s="62" t="s">
        <v>60</v>
      </c>
      <c r="D4403" s="62" t="s">
        <v>72</v>
      </c>
      <c r="E4403" s="62" t="s">
        <v>382</v>
      </c>
      <c r="F4403" s="63" t="s">
        <v>395</v>
      </c>
      <c r="G4403" s="64" t="n">
        <v>20000</v>
      </c>
      <c r="H4403" s="62" t="s">
        <v>138</v>
      </c>
    </row>
    <row r="4404" customFormat="false" ht="15" hidden="false" customHeight="false" outlineLevel="0" collapsed="false">
      <c r="A4404" s="62" t="n">
        <v>1</v>
      </c>
      <c r="B4404" s="62" t="s">
        <v>381</v>
      </c>
      <c r="C4404" s="62" t="s">
        <v>60</v>
      </c>
      <c r="D4404" s="62" t="s">
        <v>72</v>
      </c>
      <c r="E4404" s="62" t="s">
        <v>382</v>
      </c>
      <c r="F4404" s="63" t="s">
        <v>403</v>
      </c>
      <c r="G4404" s="64" t="n">
        <v>9279783.55975993</v>
      </c>
      <c r="H4404" s="62" t="s">
        <v>138</v>
      </c>
    </row>
    <row r="4405" customFormat="false" ht="15" hidden="false" customHeight="false" outlineLevel="0" collapsed="false">
      <c r="A4405" s="62" t="n">
        <v>1</v>
      </c>
      <c r="B4405" s="62" t="s">
        <v>383</v>
      </c>
      <c r="C4405" s="62" t="s">
        <v>60</v>
      </c>
      <c r="D4405" s="62" t="s">
        <v>72</v>
      </c>
      <c r="E4405" s="62" t="s">
        <v>382</v>
      </c>
      <c r="F4405" s="63" t="s">
        <v>403</v>
      </c>
      <c r="G4405" s="64" t="n">
        <v>13654643.4085492</v>
      </c>
      <c r="H4405" s="62" t="s">
        <v>138</v>
      </c>
    </row>
    <row r="4406" customFormat="false" ht="15" hidden="false" customHeight="false" outlineLevel="0" collapsed="false">
      <c r="A4406" s="62" t="n">
        <v>1</v>
      </c>
      <c r="B4406" s="62" t="s">
        <v>384</v>
      </c>
      <c r="C4406" s="62" t="s">
        <v>60</v>
      </c>
      <c r="D4406" s="62" t="s">
        <v>72</v>
      </c>
      <c r="E4406" s="62" t="s">
        <v>382</v>
      </c>
      <c r="F4406" s="63" t="s">
        <v>403</v>
      </c>
      <c r="G4406" s="64" t="n">
        <v>9511133.40526334</v>
      </c>
      <c r="H4406" s="62" t="s">
        <v>138</v>
      </c>
    </row>
    <row r="4407" customFormat="false" ht="15" hidden="false" customHeight="false" outlineLevel="0" collapsed="false">
      <c r="A4407" s="62" t="n">
        <v>1</v>
      </c>
      <c r="B4407" s="62" t="s">
        <v>385</v>
      </c>
      <c r="C4407" s="62" t="s">
        <v>60</v>
      </c>
      <c r="D4407" s="62" t="s">
        <v>72</v>
      </c>
      <c r="E4407" s="62" t="s">
        <v>382</v>
      </c>
      <c r="F4407" s="63" t="s">
        <v>403</v>
      </c>
      <c r="G4407" s="64" t="n">
        <v>6899574.30435039</v>
      </c>
      <c r="H4407" s="62" t="s">
        <v>138</v>
      </c>
    </row>
    <row r="4408" customFormat="false" ht="15" hidden="false" customHeight="false" outlineLevel="0" collapsed="false">
      <c r="A4408" s="62" t="n">
        <v>1</v>
      </c>
      <c r="B4408" s="62" t="s">
        <v>386</v>
      </c>
      <c r="C4408" s="62" t="s">
        <v>60</v>
      </c>
      <c r="D4408" s="62" t="s">
        <v>72</v>
      </c>
      <c r="E4408" s="62" t="s">
        <v>382</v>
      </c>
      <c r="F4408" s="63" t="s">
        <v>403</v>
      </c>
      <c r="G4408" s="64" t="n">
        <v>2268825.91962129</v>
      </c>
      <c r="H4408" s="62" t="s">
        <v>138</v>
      </c>
    </row>
    <row r="4409" customFormat="false" ht="15" hidden="false" customHeight="false" outlineLevel="0" collapsed="false">
      <c r="A4409" s="62" t="n">
        <v>1</v>
      </c>
      <c r="B4409" s="62" t="s">
        <v>387</v>
      </c>
      <c r="C4409" s="62" t="s">
        <v>60</v>
      </c>
      <c r="D4409" s="62" t="s">
        <v>72</v>
      </c>
      <c r="E4409" s="62" t="s">
        <v>382</v>
      </c>
      <c r="F4409" s="63" t="s">
        <v>403</v>
      </c>
      <c r="G4409" s="64" t="n">
        <v>14444966.017815</v>
      </c>
      <c r="H4409" s="62" t="s">
        <v>138</v>
      </c>
    </row>
    <row r="4410" customFormat="false" ht="15" hidden="false" customHeight="false" outlineLevel="0" collapsed="false">
      <c r="A4410" s="62" t="n">
        <v>1</v>
      </c>
      <c r="B4410" s="62" t="s">
        <v>388</v>
      </c>
      <c r="C4410" s="62" t="s">
        <v>60</v>
      </c>
      <c r="D4410" s="62" t="s">
        <v>72</v>
      </c>
      <c r="E4410" s="62" t="s">
        <v>382</v>
      </c>
      <c r="F4410" s="63" t="s">
        <v>403</v>
      </c>
      <c r="G4410" s="64" t="n">
        <v>0</v>
      </c>
      <c r="H4410" s="62" t="s">
        <v>138</v>
      </c>
    </row>
    <row r="4411" customFormat="false" ht="15" hidden="false" customHeight="false" outlineLevel="0" collapsed="false">
      <c r="A4411" s="62" t="n">
        <v>1</v>
      </c>
      <c r="B4411" s="62" t="s">
        <v>381</v>
      </c>
      <c r="C4411" s="62" t="s">
        <v>60</v>
      </c>
      <c r="D4411" s="62" t="s">
        <v>72</v>
      </c>
      <c r="E4411" s="62" t="s">
        <v>382</v>
      </c>
      <c r="F4411" s="63" t="s">
        <v>404</v>
      </c>
      <c r="G4411" s="64" t="n">
        <v>12418895.64518</v>
      </c>
      <c r="H4411" s="62" t="s">
        <v>138</v>
      </c>
    </row>
    <row r="4412" customFormat="false" ht="15" hidden="false" customHeight="false" outlineLevel="0" collapsed="false">
      <c r="A4412" s="62" t="n">
        <v>1</v>
      </c>
      <c r="B4412" s="62" t="s">
        <v>383</v>
      </c>
      <c r="C4412" s="62" t="s">
        <v>60</v>
      </c>
      <c r="D4412" s="62" t="s">
        <v>72</v>
      </c>
      <c r="E4412" s="62" t="s">
        <v>382</v>
      </c>
      <c r="F4412" s="63" t="s">
        <v>404</v>
      </c>
      <c r="G4412" s="64" t="n">
        <v>22696394.1069294</v>
      </c>
      <c r="H4412" s="62" t="s">
        <v>138</v>
      </c>
    </row>
    <row r="4413" customFormat="false" ht="15" hidden="false" customHeight="false" outlineLevel="0" collapsed="false">
      <c r="A4413" s="62" t="n">
        <v>1</v>
      </c>
      <c r="B4413" s="62" t="s">
        <v>384</v>
      </c>
      <c r="C4413" s="62" t="s">
        <v>60</v>
      </c>
      <c r="D4413" s="62" t="s">
        <v>72</v>
      </c>
      <c r="E4413" s="62" t="s">
        <v>382</v>
      </c>
      <c r="F4413" s="63" t="s">
        <v>404</v>
      </c>
      <c r="G4413" s="64" t="n">
        <v>15881130.3890168</v>
      </c>
      <c r="H4413" s="62" t="s">
        <v>138</v>
      </c>
    </row>
    <row r="4414" customFormat="false" ht="15" hidden="false" customHeight="false" outlineLevel="0" collapsed="false">
      <c r="A4414" s="62" t="n">
        <v>1</v>
      </c>
      <c r="B4414" s="62" t="s">
        <v>385</v>
      </c>
      <c r="C4414" s="62" t="s">
        <v>60</v>
      </c>
      <c r="D4414" s="62" t="s">
        <v>72</v>
      </c>
      <c r="E4414" s="62" t="s">
        <v>382</v>
      </c>
      <c r="F4414" s="63" t="s">
        <v>404</v>
      </c>
      <c r="G4414" s="64" t="n">
        <v>9686319.9550883</v>
      </c>
      <c r="H4414" s="62" t="s">
        <v>138</v>
      </c>
    </row>
    <row r="4415" customFormat="false" ht="15" hidden="false" customHeight="false" outlineLevel="0" collapsed="false">
      <c r="A4415" s="62" t="n">
        <v>1</v>
      </c>
      <c r="B4415" s="62" t="s">
        <v>386</v>
      </c>
      <c r="C4415" s="62" t="s">
        <v>60</v>
      </c>
      <c r="D4415" s="62" t="s">
        <v>72</v>
      </c>
      <c r="E4415" s="62" t="s">
        <v>382</v>
      </c>
      <c r="F4415" s="63" t="s">
        <v>404</v>
      </c>
      <c r="G4415" s="64" t="n">
        <v>4112691.66433638</v>
      </c>
      <c r="H4415" s="62" t="s">
        <v>138</v>
      </c>
    </row>
    <row r="4416" customFormat="false" ht="15" hidden="false" customHeight="false" outlineLevel="0" collapsed="false">
      <c r="A4416" s="62" t="n">
        <v>1</v>
      </c>
      <c r="B4416" s="62" t="s">
        <v>387</v>
      </c>
      <c r="C4416" s="62" t="s">
        <v>60</v>
      </c>
      <c r="D4416" s="62" t="s">
        <v>72</v>
      </c>
      <c r="E4416" s="62" t="s">
        <v>382</v>
      </c>
      <c r="F4416" s="63" t="s">
        <v>404</v>
      </c>
      <c r="G4416" s="64" t="n">
        <v>19175515.955737</v>
      </c>
      <c r="H4416" s="62" t="s">
        <v>138</v>
      </c>
    </row>
    <row r="4417" customFormat="false" ht="15" hidden="false" customHeight="false" outlineLevel="0" collapsed="false">
      <c r="A4417" s="62" t="n">
        <v>1</v>
      </c>
      <c r="B4417" s="62" t="s">
        <v>388</v>
      </c>
      <c r="C4417" s="62" t="s">
        <v>60</v>
      </c>
      <c r="D4417" s="62" t="s">
        <v>72</v>
      </c>
      <c r="E4417" s="62" t="s">
        <v>382</v>
      </c>
      <c r="F4417" s="63" t="s">
        <v>404</v>
      </c>
      <c r="G4417" s="64" t="n">
        <v>590066</v>
      </c>
      <c r="H4417" s="62" t="s">
        <v>138</v>
      </c>
    </row>
    <row r="4418" customFormat="false" ht="15" hidden="false" customHeight="false" outlineLevel="0" collapsed="false">
      <c r="A4418" s="62" t="n">
        <v>1</v>
      </c>
      <c r="B4418" s="62" t="s">
        <v>381</v>
      </c>
      <c r="C4418" s="62" t="s">
        <v>60</v>
      </c>
      <c r="D4418" s="62" t="s">
        <v>72</v>
      </c>
      <c r="E4418" s="62" t="s">
        <v>382</v>
      </c>
      <c r="F4418" s="63" t="s">
        <v>405</v>
      </c>
      <c r="G4418" s="64" t="n">
        <v>1174541.65231553</v>
      </c>
      <c r="H4418" s="62" t="s">
        <v>138</v>
      </c>
    </row>
    <row r="4419" customFormat="false" ht="15" hidden="false" customHeight="false" outlineLevel="0" collapsed="false">
      <c r="A4419" s="62" t="n">
        <v>1</v>
      </c>
      <c r="B4419" s="62" t="s">
        <v>383</v>
      </c>
      <c r="C4419" s="62" t="s">
        <v>60</v>
      </c>
      <c r="D4419" s="62" t="s">
        <v>72</v>
      </c>
      <c r="E4419" s="62" t="s">
        <v>382</v>
      </c>
      <c r="F4419" s="63" t="s">
        <v>405</v>
      </c>
      <c r="G4419" s="64" t="n">
        <v>13843389.3290605</v>
      </c>
      <c r="H4419" s="62" t="s">
        <v>138</v>
      </c>
    </row>
    <row r="4420" customFormat="false" ht="15" hidden="false" customHeight="false" outlineLevel="0" collapsed="false">
      <c r="A4420" s="62" t="n">
        <v>1</v>
      </c>
      <c r="B4420" s="62" t="s">
        <v>384</v>
      </c>
      <c r="C4420" s="62" t="s">
        <v>60</v>
      </c>
      <c r="D4420" s="62" t="s">
        <v>72</v>
      </c>
      <c r="E4420" s="62" t="s">
        <v>382</v>
      </c>
      <c r="F4420" s="63" t="s">
        <v>405</v>
      </c>
      <c r="G4420" s="64" t="n">
        <v>8985592.69874743</v>
      </c>
      <c r="H4420" s="62" t="s">
        <v>138</v>
      </c>
    </row>
    <row r="4421" customFormat="false" ht="15" hidden="false" customHeight="false" outlineLevel="0" collapsed="false">
      <c r="A4421" s="62" t="n">
        <v>1</v>
      </c>
      <c r="B4421" s="62" t="s">
        <v>385</v>
      </c>
      <c r="C4421" s="62" t="s">
        <v>60</v>
      </c>
      <c r="D4421" s="62" t="s">
        <v>72</v>
      </c>
      <c r="E4421" s="62" t="s">
        <v>382</v>
      </c>
      <c r="F4421" s="63" t="s">
        <v>405</v>
      </c>
      <c r="G4421" s="64" t="n">
        <v>2907199.03780305</v>
      </c>
      <c r="H4421" s="62" t="s">
        <v>138</v>
      </c>
    </row>
    <row r="4422" customFormat="false" ht="15" hidden="false" customHeight="false" outlineLevel="0" collapsed="false">
      <c r="A4422" s="62" t="n">
        <v>1</v>
      </c>
      <c r="B4422" s="62" t="s">
        <v>386</v>
      </c>
      <c r="C4422" s="62" t="s">
        <v>60</v>
      </c>
      <c r="D4422" s="62" t="s">
        <v>72</v>
      </c>
      <c r="E4422" s="62" t="s">
        <v>382</v>
      </c>
      <c r="F4422" s="63" t="s">
        <v>405</v>
      </c>
      <c r="G4422" s="64" t="n">
        <v>1503068.60760445</v>
      </c>
      <c r="H4422" s="62" t="s">
        <v>138</v>
      </c>
    </row>
    <row r="4423" customFormat="false" ht="15" hidden="false" customHeight="false" outlineLevel="0" collapsed="false">
      <c r="A4423" s="62" t="n">
        <v>1</v>
      </c>
      <c r="B4423" s="62" t="s">
        <v>387</v>
      </c>
      <c r="C4423" s="62" t="s">
        <v>60</v>
      </c>
      <c r="D4423" s="62" t="s">
        <v>72</v>
      </c>
      <c r="E4423" s="62" t="s">
        <v>382</v>
      </c>
      <c r="F4423" s="63" t="s">
        <v>405</v>
      </c>
      <c r="G4423" s="64" t="n">
        <v>706367.257140882</v>
      </c>
      <c r="H4423" s="62" t="s">
        <v>138</v>
      </c>
    </row>
    <row r="4424" customFormat="false" ht="15" hidden="false" customHeight="false" outlineLevel="0" collapsed="false">
      <c r="A4424" s="62" t="n">
        <v>1</v>
      </c>
      <c r="B4424" s="62" t="s">
        <v>388</v>
      </c>
      <c r="C4424" s="62" t="s">
        <v>60</v>
      </c>
      <c r="D4424" s="62" t="s">
        <v>72</v>
      </c>
      <c r="E4424" s="62" t="s">
        <v>382</v>
      </c>
      <c r="F4424" s="63" t="s">
        <v>405</v>
      </c>
      <c r="G4424" s="64" t="n">
        <v>-590066</v>
      </c>
      <c r="H4424" s="62" t="s">
        <v>138</v>
      </c>
    </row>
    <row r="4425" customFormat="false" ht="15" hidden="false" customHeight="false" outlineLevel="0" collapsed="false">
      <c r="A4425" s="62" t="n">
        <v>1</v>
      </c>
      <c r="B4425" s="62" t="s">
        <v>381</v>
      </c>
      <c r="C4425" s="62" t="s">
        <v>60</v>
      </c>
      <c r="D4425" s="62" t="s">
        <v>72</v>
      </c>
      <c r="E4425" s="62" t="s">
        <v>382</v>
      </c>
      <c r="F4425" s="63" t="s">
        <v>406</v>
      </c>
      <c r="G4425" s="64" t="n">
        <v>0</v>
      </c>
      <c r="H4425" s="62" t="s">
        <v>138</v>
      </c>
    </row>
    <row r="4426" customFormat="false" ht="15" hidden="false" customHeight="false" outlineLevel="0" collapsed="false">
      <c r="A4426" s="62" t="n">
        <v>1</v>
      </c>
      <c r="B4426" s="62" t="s">
        <v>383</v>
      </c>
      <c r="C4426" s="62" t="s">
        <v>60</v>
      </c>
      <c r="D4426" s="62" t="s">
        <v>72</v>
      </c>
      <c r="E4426" s="62" t="s">
        <v>382</v>
      </c>
      <c r="F4426" s="63" t="s">
        <v>406</v>
      </c>
      <c r="G4426" s="64" t="n">
        <v>0</v>
      </c>
      <c r="H4426" s="62" t="s">
        <v>138</v>
      </c>
    </row>
    <row r="4427" customFormat="false" ht="15" hidden="false" customHeight="false" outlineLevel="0" collapsed="false">
      <c r="A4427" s="62" t="n">
        <v>1</v>
      </c>
      <c r="B4427" s="62" t="s">
        <v>384</v>
      </c>
      <c r="C4427" s="62" t="s">
        <v>60</v>
      </c>
      <c r="D4427" s="62" t="s">
        <v>72</v>
      </c>
      <c r="E4427" s="62" t="s">
        <v>382</v>
      </c>
      <c r="F4427" s="63" t="s">
        <v>406</v>
      </c>
      <c r="G4427" s="64" t="n">
        <v>0</v>
      </c>
      <c r="H4427" s="62" t="s">
        <v>138</v>
      </c>
    </row>
    <row r="4428" customFormat="false" ht="15" hidden="false" customHeight="false" outlineLevel="0" collapsed="false">
      <c r="A4428" s="62" t="n">
        <v>1</v>
      </c>
      <c r="B4428" s="62" t="s">
        <v>385</v>
      </c>
      <c r="C4428" s="62" t="s">
        <v>60</v>
      </c>
      <c r="D4428" s="62" t="s">
        <v>72</v>
      </c>
      <c r="E4428" s="62" t="s">
        <v>382</v>
      </c>
      <c r="F4428" s="63" t="s">
        <v>406</v>
      </c>
      <c r="G4428" s="64" t="n">
        <v>0</v>
      </c>
      <c r="H4428" s="62" t="s">
        <v>138</v>
      </c>
    </row>
    <row r="4429" customFormat="false" ht="15" hidden="false" customHeight="false" outlineLevel="0" collapsed="false">
      <c r="A4429" s="62" t="n">
        <v>1</v>
      </c>
      <c r="B4429" s="62" t="s">
        <v>386</v>
      </c>
      <c r="C4429" s="62" t="s">
        <v>60</v>
      </c>
      <c r="D4429" s="62" t="s">
        <v>72</v>
      </c>
      <c r="E4429" s="62" t="s">
        <v>382</v>
      </c>
      <c r="F4429" s="63" t="s">
        <v>406</v>
      </c>
      <c r="G4429" s="64" t="n">
        <v>0</v>
      </c>
      <c r="H4429" s="62" t="s">
        <v>138</v>
      </c>
    </row>
    <row r="4430" customFormat="false" ht="15" hidden="false" customHeight="false" outlineLevel="0" collapsed="false">
      <c r="A4430" s="62" t="n">
        <v>1</v>
      </c>
      <c r="B4430" s="62" t="s">
        <v>387</v>
      </c>
      <c r="C4430" s="62" t="s">
        <v>60</v>
      </c>
      <c r="D4430" s="62" t="s">
        <v>72</v>
      </c>
      <c r="E4430" s="62" t="s">
        <v>382</v>
      </c>
      <c r="F4430" s="63" t="s">
        <v>406</v>
      </c>
      <c r="G4430" s="64" t="n">
        <v>0</v>
      </c>
      <c r="H4430" s="62" t="s">
        <v>138</v>
      </c>
    </row>
    <row r="4431" customFormat="false" ht="15" hidden="false" customHeight="false" outlineLevel="0" collapsed="false">
      <c r="A4431" s="62" t="n">
        <v>1</v>
      </c>
      <c r="B4431" s="62" t="s">
        <v>388</v>
      </c>
      <c r="C4431" s="62" t="s">
        <v>60</v>
      </c>
      <c r="D4431" s="62" t="s">
        <v>72</v>
      </c>
      <c r="E4431" s="62" t="s">
        <v>382</v>
      </c>
      <c r="F4431" s="63" t="s">
        <v>406</v>
      </c>
      <c r="G4431" s="64" t="n">
        <v>0</v>
      </c>
      <c r="H4431" s="62" t="s">
        <v>138</v>
      </c>
    </row>
    <row r="4432" customFormat="false" ht="15" hidden="false" customHeight="false" outlineLevel="0" collapsed="false">
      <c r="A4432" s="62" t="n">
        <v>1</v>
      </c>
      <c r="B4432" s="62" t="s">
        <v>381</v>
      </c>
      <c r="C4432" s="62" t="s">
        <v>60</v>
      </c>
      <c r="D4432" s="62" t="s">
        <v>72</v>
      </c>
      <c r="E4432" s="62" t="s">
        <v>382</v>
      </c>
      <c r="F4432" s="63" t="s">
        <v>407</v>
      </c>
      <c r="G4432" s="64" t="n">
        <v>1174541.65231553</v>
      </c>
      <c r="H4432" s="62" t="s">
        <v>138</v>
      </c>
    </row>
    <row r="4433" customFormat="false" ht="15" hidden="false" customHeight="false" outlineLevel="0" collapsed="false">
      <c r="A4433" s="62" t="n">
        <v>1</v>
      </c>
      <c r="B4433" s="62" t="s">
        <v>383</v>
      </c>
      <c r="C4433" s="62" t="s">
        <v>60</v>
      </c>
      <c r="D4433" s="62" t="s">
        <v>72</v>
      </c>
      <c r="E4433" s="62" t="s">
        <v>382</v>
      </c>
      <c r="F4433" s="63" t="s">
        <v>407</v>
      </c>
      <c r="G4433" s="64" t="n">
        <v>13843389.3290605</v>
      </c>
      <c r="H4433" s="62" t="s">
        <v>138</v>
      </c>
    </row>
    <row r="4434" customFormat="false" ht="15" hidden="false" customHeight="false" outlineLevel="0" collapsed="false">
      <c r="A4434" s="62" t="n">
        <v>1</v>
      </c>
      <c r="B4434" s="62" t="s">
        <v>384</v>
      </c>
      <c r="C4434" s="62" t="s">
        <v>60</v>
      </c>
      <c r="D4434" s="62" t="s">
        <v>72</v>
      </c>
      <c r="E4434" s="62" t="s">
        <v>382</v>
      </c>
      <c r="F4434" s="63" t="s">
        <v>407</v>
      </c>
      <c r="G4434" s="64" t="n">
        <v>8985592.69874743</v>
      </c>
      <c r="H4434" s="62" t="s">
        <v>138</v>
      </c>
    </row>
    <row r="4435" customFormat="false" ht="15" hidden="false" customHeight="false" outlineLevel="0" collapsed="false">
      <c r="A4435" s="62" t="n">
        <v>1</v>
      </c>
      <c r="B4435" s="62" t="s">
        <v>385</v>
      </c>
      <c r="C4435" s="62" t="s">
        <v>60</v>
      </c>
      <c r="D4435" s="62" t="s">
        <v>72</v>
      </c>
      <c r="E4435" s="62" t="s">
        <v>382</v>
      </c>
      <c r="F4435" s="63" t="s">
        <v>407</v>
      </c>
      <c r="G4435" s="64" t="n">
        <v>2907199.03780305</v>
      </c>
      <c r="H4435" s="62" t="s">
        <v>138</v>
      </c>
    </row>
    <row r="4436" customFormat="false" ht="15" hidden="false" customHeight="false" outlineLevel="0" collapsed="false">
      <c r="A4436" s="62" t="n">
        <v>1</v>
      </c>
      <c r="B4436" s="62" t="s">
        <v>386</v>
      </c>
      <c r="C4436" s="62" t="s">
        <v>60</v>
      </c>
      <c r="D4436" s="62" t="s">
        <v>72</v>
      </c>
      <c r="E4436" s="62" t="s">
        <v>382</v>
      </c>
      <c r="F4436" s="63" t="s">
        <v>407</v>
      </c>
      <c r="G4436" s="64" t="n">
        <v>1503068.60760445</v>
      </c>
      <c r="H4436" s="62" t="s">
        <v>138</v>
      </c>
    </row>
    <row r="4437" customFormat="false" ht="15" hidden="false" customHeight="false" outlineLevel="0" collapsed="false">
      <c r="A4437" s="62" t="n">
        <v>1</v>
      </c>
      <c r="B4437" s="62" t="s">
        <v>387</v>
      </c>
      <c r="C4437" s="62" t="s">
        <v>60</v>
      </c>
      <c r="D4437" s="62" t="s">
        <v>72</v>
      </c>
      <c r="E4437" s="62" t="s">
        <v>382</v>
      </c>
      <c r="F4437" s="63" t="s">
        <v>407</v>
      </c>
      <c r="G4437" s="64" t="n">
        <v>706367.257140882</v>
      </c>
      <c r="H4437" s="62" t="s">
        <v>138</v>
      </c>
    </row>
    <row r="4438" customFormat="false" ht="15" hidden="false" customHeight="false" outlineLevel="0" collapsed="false">
      <c r="A4438" s="62" t="n">
        <v>1</v>
      </c>
      <c r="B4438" s="62" t="s">
        <v>388</v>
      </c>
      <c r="C4438" s="62" t="s">
        <v>60</v>
      </c>
      <c r="D4438" s="62" t="s">
        <v>72</v>
      </c>
      <c r="E4438" s="62" t="s">
        <v>382</v>
      </c>
      <c r="F4438" s="63" t="s">
        <v>407</v>
      </c>
      <c r="G4438" s="64" t="n">
        <v>-590066</v>
      </c>
      <c r="H4438" s="62" t="s">
        <v>138</v>
      </c>
    </row>
    <row r="4439" customFormat="false" ht="15" hidden="false" customHeight="false" outlineLevel="0" collapsed="false">
      <c r="A4439" s="62" t="n">
        <v>1</v>
      </c>
      <c r="B4439" s="62" t="s">
        <v>381</v>
      </c>
      <c r="C4439" s="62" t="s">
        <v>60</v>
      </c>
      <c r="D4439" s="62" t="s">
        <v>72</v>
      </c>
      <c r="E4439" s="62" t="s">
        <v>382</v>
      </c>
      <c r="F4439" s="63" t="s">
        <v>408</v>
      </c>
      <c r="G4439" s="64" t="n">
        <v>-43304.0058154871</v>
      </c>
      <c r="H4439" s="62" t="s">
        <v>138</v>
      </c>
    </row>
    <row r="4440" customFormat="false" ht="15" hidden="false" customHeight="false" outlineLevel="0" collapsed="false">
      <c r="A4440" s="62" t="n">
        <v>1</v>
      </c>
      <c r="B4440" s="62" t="s">
        <v>383</v>
      </c>
      <c r="C4440" s="62" t="s">
        <v>60</v>
      </c>
      <c r="D4440" s="62" t="s">
        <v>72</v>
      </c>
      <c r="E4440" s="62" t="s">
        <v>382</v>
      </c>
      <c r="F4440" s="63" t="s">
        <v>408</v>
      </c>
      <c r="G4440" s="64" t="n">
        <v>-76475.8667707171</v>
      </c>
      <c r="H4440" s="62" t="s">
        <v>138</v>
      </c>
    </row>
    <row r="4441" customFormat="false" ht="15" hidden="false" customHeight="false" outlineLevel="0" collapsed="false">
      <c r="A4441" s="62" t="n">
        <v>1</v>
      </c>
      <c r="B4441" s="62" t="s">
        <v>384</v>
      </c>
      <c r="C4441" s="62" t="s">
        <v>60</v>
      </c>
      <c r="D4441" s="62" t="s">
        <v>72</v>
      </c>
      <c r="E4441" s="62" t="s">
        <v>382</v>
      </c>
      <c r="F4441" s="63" t="s">
        <v>408</v>
      </c>
      <c r="G4441" s="64" t="n">
        <v>-94493.7244264811</v>
      </c>
      <c r="H4441" s="62" t="s">
        <v>138</v>
      </c>
    </row>
    <row r="4442" customFormat="false" ht="15" hidden="false" customHeight="false" outlineLevel="0" collapsed="false">
      <c r="A4442" s="62" t="n">
        <v>1</v>
      </c>
      <c r="B4442" s="62" t="s">
        <v>385</v>
      </c>
      <c r="C4442" s="62" t="s">
        <v>60</v>
      </c>
      <c r="D4442" s="62" t="s">
        <v>72</v>
      </c>
      <c r="E4442" s="62" t="s">
        <v>382</v>
      </c>
      <c r="F4442" s="63" t="s">
        <v>408</v>
      </c>
      <c r="G4442" s="64" t="n">
        <v>-69054.3295393352</v>
      </c>
      <c r="H4442" s="62" t="s">
        <v>138</v>
      </c>
    </row>
    <row r="4443" customFormat="false" ht="15" hidden="false" customHeight="false" outlineLevel="0" collapsed="false">
      <c r="A4443" s="62" t="n">
        <v>1</v>
      </c>
      <c r="B4443" s="62" t="s">
        <v>386</v>
      </c>
      <c r="C4443" s="62" t="s">
        <v>60</v>
      </c>
      <c r="D4443" s="62" t="s">
        <v>72</v>
      </c>
      <c r="E4443" s="62" t="s">
        <v>382</v>
      </c>
      <c r="F4443" s="63" t="s">
        <v>408</v>
      </c>
      <c r="G4443" s="64" t="n">
        <v>34939.4769488786</v>
      </c>
      <c r="H4443" s="62" t="s">
        <v>138</v>
      </c>
    </row>
    <row r="4444" customFormat="false" ht="15" hidden="false" customHeight="false" outlineLevel="0" collapsed="false">
      <c r="A4444" s="62" t="n">
        <v>1</v>
      </c>
      <c r="B4444" s="62" t="s">
        <v>387</v>
      </c>
      <c r="C4444" s="62" t="s">
        <v>60</v>
      </c>
      <c r="D4444" s="62" t="s">
        <v>72</v>
      </c>
      <c r="E4444" s="62" t="s">
        <v>382</v>
      </c>
      <c r="F4444" s="63" t="s">
        <v>408</v>
      </c>
      <c r="G4444" s="64" t="n">
        <v>-46090.0961715392</v>
      </c>
      <c r="H4444" s="62" t="s">
        <v>138</v>
      </c>
    </row>
    <row r="4445" customFormat="false" ht="15" hidden="false" customHeight="false" outlineLevel="0" collapsed="false">
      <c r="A4445" s="62" t="n">
        <v>1</v>
      </c>
      <c r="B4445" s="62" t="s">
        <v>388</v>
      </c>
      <c r="C4445" s="62" t="s">
        <v>60</v>
      </c>
      <c r="D4445" s="62" t="s">
        <v>72</v>
      </c>
      <c r="E4445" s="62" t="s">
        <v>382</v>
      </c>
      <c r="F4445" s="63" t="s">
        <v>408</v>
      </c>
      <c r="G4445" s="64" t="n">
        <v>-33152.4248265638</v>
      </c>
      <c r="H4445" s="62" t="s">
        <v>138</v>
      </c>
    </row>
    <row r="4446" customFormat="false" ht="15" hidden="false" customHeight="false" outlineLevel="0" collapsed="false">
      <c r="A4446" s="62" t="n">
        <v>1</v>
      </c>
      <c r="B4446" s="62" t="s">
        <v>381</v>
      </c>
      <c r="C4446" s="62" t="s">
        <v>60</v>
      </c>
      <c r="D4446" s="62" t="s">
        <v>72</v>
      </c>
      <c r="E4446" s="62" t="s">
        <v>382</v>
      </c>
      <c r="F4446" s="63" t="s">
        <v>409</v>
      </c>
      <c r="G4446" s="64" t="n">
        <v>1217845.65813102</v>
      </c>
      <c r="H4446" s="62" t="s">
        <v>138</v>
      </c>
    </row>
    <row r="4447" customFormat="false" ht="15" hidden="false" customHeight="false" outlineLevel="0" collapsed="false">
      <c r="A4447" s="62" t="n">
        <v>1</v>
      </c>
      <c r="B4447" s="62" t="s">
        <v>383</v>
      </c>
      <c r="C4447" s="62" t="s">
        <v>60</v>
      </c>
      <c r="D4447" s="62" t="s">
        <v>72</v>
      </c>
      <c r="E4447" s="62" t="s">
        <v>382</v>
      </c>
      <c r="F4447" s="63" t="s">
        <v>409</v>
      </c>
      <c r="G4447" s="64" t="n">
        <v>13919865.1958313</v>
      </c>
      <c r="H4447" s="62" t="s">
        <v>138</v>
      </c>
    </row>
    <row r="4448" customFormat="false" ht="15" hidden="false" customHeight="false" outlineLevel="0" collapsed="false">
      <c r="A4448" s="62" t="n">
        <v>1</v>
      </c>
      <c r="B4448" s="62" t="s">
        <v>384</v>
      </c>
      <c r="C4448" s="62" t="s">
        <v>60</v>
      </c>
      <c r="D4448" s="62" t="s">
        <v>72</v>
      </c>
      <c r="E4448" s="62" t="s">
        <v>382</v>
      </c>
      <c r="F4448" s="63" t="s">
        <v>409</v>
      </c>
      <c r="G4448" s="64" t="n">
        <v>9080086.42317391</v>
      </c>
      <c r="H4448" s="62" t="s">
        <v>138</v>
      </c>
    </row>
    <row r="4449" customFormat="false" ht="15" hidden="false" customHeight="false" outlineLevel="0" collapsed="false">
      <c r="A4449" s="62" t="n">
        <v>1</v>
      </c>
      <c r="B4449" s="62" t="s">
        <v>385</v>
      </c>
      <c r="C4449" s="62" t="s">
        <v>60</v>
      </c>
      <c r="D4449" s="62" t="s">
        <v>72</v>
      </c>
      <c r="E4449" s="62" t="s">
        <v>382</v>
      </c>
      <c r="F4449" s="63" t="s">
        <v>409</v>
      </c>
      <c r="G4449" s="64" t="n">
        <v>2976253.36734238</v>
      </c>
      <c r="H4449" s="62" t="s">
        <v>138</v>
      </c>
    </row>
    <row r="4450" customFormat="false" ht="15" hidden="false" customHeight="false" outlineLevel="0" collapsed="false">
      <c r="A4450" s="62" t="n">
        <v>1</v>
      </c>
      <c r="B4450" s="62" t="s">
        <v>386</v>
      </c>
      <c r="C4450" s="62" t="s">
        <v>60</v>
      </c>
      <c r="D4450" s="62" t="s">
        <v>72</v>
      </c>
      <c r="E4450" s="62" t="s">
        <v>382</v>
      </c>
      <c r="F4450" s="63" t="s">
        <v>409</v>
      </c>
      <c r="G4450" s="64" t="n">
        <v>1468129.13065557</v>
      </c>
      <c r="H4450" s="62" t="s">
        <v>138</v>
      </c>
    </row>
    <row r="4451" customFormat="false" ht="15" hidden="false" customHeight="false" outlineLevel="0" collapsed="false">
      <c r="A4451" s="62" t="n">
        <v>1</v>
      </c>
      <c r="B4451" s="62" t="s">
        <v>387</v>
      </c>
      <c r="C4451" s="62" t="s">
        <v>60</v>
      </c>
      <c r="D4451" s="62" t="s">
        <v>72</v>
      </c>
      <c r="E4451" s="62" t="s">
        <v>382</v>
      </c>
      <c r="F4451" s="63" t="s">
        <v>409</v>
      </c>
      <c r="G4451" s="64" t="n">
        <v>752457.353312422</v>
      </c>
      <c r="H4451" s="62" t="s">
        <v>138</v>
      </c>
    </row>
    <row r="4452" customFormat="false" ht="15" hidden="false" customHeight="false" outlineLevel="0" collapsed="false">
      <c r="A4452" s="62" t="n">
        <v>1</v>
      </c>
      <c r="B4452" s="62" t="s">
        <v>388</v>
      </c>
      <c r="C4452" s="62" t="s">
        <v>60</v>
      </c>
      <c r="D4452" s="62" t="s">
        <v>72</v>
      </c>
      <c r="E4452" s="62" t="s">
        <v>382</v>
      </c>
      <c r="F4452" s="63" t="s">
        <v>409</v>
      </c>
      <c r="G4452" s="64" t="n">
        <v>-556913.575173436</v>
      </c>
      <c r="H4452" s="62" t="s">
        <v>138</v>
      </c>
    </row>
    <row r="4453" customFormat="false" ht="15" hidden="false" customHeight="false" outlineLevel="0" collapsed="false">
      <c r="A4453" s="62" t="n">
        <v>1</v>
      </c>
      <c r="B4453" s="62" t="s">
        <v>381</v>
      </c>
      <c r="C4453" s="62" t="s">
        <v>60</v>
      </c>
      <c r="D4453" s="62" t="s">
        <v>72</v>
      </c>
      <c r="E4453" s="62" t="s">
        <v>382</v>
      </c>
      <c r="F4453" s="63" t="s">
        <v>410</v>
      </c>
      <c r="G4453" s="64" t="n">
        <v>328818.327695375</v>
      </c>
      <c r="H4453" s="62" t="s">
        <v>138</v>
      </c>
    </row>
    <row r="4454" customFormat="false" ht="15" hidden="false" customHeight="false" outlineLevel="0" collapsed="false">
      <c r="A4454" s="62" t="n">
        <v>1</v>
      </c>
      <c r="B4454" s="62" t="s">
        <v>383</v>
      </c>
      <c r="C4454" s="62" t="s">
        <v>60</v>
      </c>
      <c r="D4454" s="62" t="s">
        <v>72</v>
      </c>
      <c r="E4454" s="62" t="s">
        <v>382</v>
      </c>
      <c r="F4454" s="63" t="s">
        <v>410</v>
      </c>
      <c r="G4454" s="64" t="n">
        <v>3758363.60287444</v>
      </c>
      <c r="H4454" s="62" t="s">
        <v>138</v>
      </c>
    </row>
    <row r="4455" customFormat="false" ht="15" hidden="false" customHeight="false" outlineLevel="0" collapsed="false">
      <c r="A4455" s="62" t="n">
        <v>1</v>
      </c>
      <c r="B4455" s="62" t="s">
        <v>384</v>
      </c>
      <c r="C4455" s="62" t="s">
        <v>60</v>
      </c>
      <c r="D4455" s="62" t="s">
        <v>72</v>
      </c>
      <c r="E4455" s="62" t="s">
        <v>382</v>
      </c>
      <c r="F4455" s="63" t="s">
        <v>410</v>
      </c>
      <c r="G4455" s="64" t="n">
        <v>2451623.33425696</v>
      </c>
      <c r="H4455" s="62" t="s">
        <v>138</v>
      </c>
    </row>
    <row r="4456" customFormat="false" ht="15" hidden="false" customHeight="false" outlineLevel="0" collapsed="false">
      <c r="A4456" s="62" t="n">
        <v>1</v>
      </c>
      <c r="B4456" s="62" t="s">
        <v>385</v>
      </c>
      <c r="C4456" s="62" t="s">
        <v>60</v>
      </c>
      <c r="D4456" s="62" t="s">
        <v>72</v>
      </c>
      <c r="E4456" s="62" t="s">
        <v>382</v>
      </c>
      <c r="F4456" s="63" t="s">
        <v>410</v>
      </c>
      <c r="G4456" s="64" t="n">
        <v>803588.409182443</v>
      </c>
      <c r="H4456" s="62" t="s">
        <v>138</v>
      </c>
    </row>
    <row r="4457" customFormat="false" ht="15" hidden="false" customHeight="false" outlineLevel="0" collapsed="false">
      <c r="A4457" s="62" t="n">
        <v>1</v>
      </c>
      <c r="B4457" s="62" t="s">
        <v>386</v>
      </c>
      <c r="C4457" s="62" t="s">
        <v>60</v>
      </c>
      <c r="D4457" s="62" t="s">
        <v>72</v>
      </c>
      <c r="E4457" s="62" t="s">
        <v>382</v>
      </c>
      <c r="F4457" s="63" t="s">
        <v>410</v>
      </c>
      <c r="G4457" s="64" t="n">
        <v>396394.865277004</v>
      </c>
      <c r="H4457" s="62" t="s">
        <v>138</v>
      </c>
    </row>
    <row r="4458" customFormat="false" ht="15" hidden="false" customHeight="false" outlineLevel="0" collapsed="false">
      <c r="A4458" s="62" t="n">
        <v>1</v>
      </c>
      <c r="B4458" s="62" t="s">
        <v>387</v>
      </c>
      <c r="C4458" s="62" t="s">
        <v>60</v>
      </c>
      <c r="D4458" s="62" t="s">
        <v>72</v>
      </c>
      <c r="E4458" s="62" t="s">
        <v>382</v>
      </c>
      <c r="F4458" s="63" t="s">
        <v>410</v>
      </c>
      <c r="G4458" s="64" t="n">
        <v>203163.485394354</v>
      </c>
      <c r="H4458" s="62" t="s">
        <v>138</v>
      </c>
    </row>
    <row r="4459" customFormat="false" ht="15" hidden="false" customHeight="false" outlineLevel="0" collapsed="false">
      <c r="A4459" s="62" t="n">
        <v>1</v>
      </c>
      <c r="B4459" s="62" t="s">
        <v>388</v>
      </c>
      <c r="C4459" s="62" t="s">
        <v>60</v>
      </c>
      <c r="D4459" s="62" t="s">
        <v>72</v>
      </c>
      <c r="E4459" s="62" t="s">
        <v>382</v>
      </c>
      <c r="F4459" s="63" t="s">
        <v>410</v>
      </c>
      <c r="G4459" s="64" t="n">
        <v>0</v>
      </c>
      <c r="H4459" s="62" t="s">
        <v>138</v>
      </c>
    </row>
    <row r="4460" customFormat="false" ht="15" hidden="false" customHeight="false" outlineLevel="0" collapsed="false">
      <c r="A4460" s="62" t="n">
        <v>1</v>
      </c>
      <c r="B4460" s="62" t="s">
        <v>381</v>
      </c>
      <c r="C4460" s="62" t="s">
        <v>60</v>
      </c>
      <c r="D4460" s="62" t="s">
        <v>72</v>
      </c>
      <c r="E4460" s="62" t="s">
        <v>382</v>
      </c>
      <c r="F4460" s="63" t="s">
        <v>411</v>
      </c>
      <c r="G4460" s="64" t="n">
        <v>889027.330435643</v>
      </c>
      <c r="H4460" s="62" t="s">
        <v>138</v>
      </c>
    </row>
    <row r="4461" customFormat="false" ht="15" hidden="false" customHeight="false" outlineLevel="0" collapsed="false">
      <c r="A4461" s="62" t="n">
        <v>1</v>
      </c>
      <c r="B4461" s="62" t="s">
        <v>383</v>
      </c>
      <c r="C4461" s="62" t="s">
        <v>60</v>
      </c>
      <c r="D4461" s="62" t="s">
        <v>72</v>
      </c>
      <c r="E4461" s="62" t="s">
        <v>382</v>
      </c>
      <c r="F4461" s="63" t="s">
        <v>411</v>
      </c>
      <c r="G4461" s="64" t="n">
        <v>10161501.5929568</v>
      </c>
      <c r="H4461" s="62" t="s">
        <v>138</v>
      </c>
    </row>
    <row r="4462" customFormat="false" ht="15" hidden="false" customHeight="false" outlineLevel="0" collapsed="false">
      <c r="A4462" s="62" t="n">
        <v>1</v>
      </c>
      <c r="B4462" s="62" t="s">
        <v>384</v>
      </c>
      <c r="C4462" s="62" t="s">
        <v>60</v>
      </c>
      <c r="D4462" s="62" t="s">
        <v>72</v>
      </c>
      <c r="E4462" s="62" t="s">
        <v>382</v>
      </c>
      <c r="F4462" s="63" t="s">
        <v>411</v>
      </c>
      <c r="G4462" s="64" t="n">
        <v>6628463.08891696</v>
      </c>
      <c r="H4462" s="62" t="s">
        <v>138</v>
      </c>
    </row>
    <row r="4463" customFormat="false" ht="15" hidden="false" customHeight="false" outlineLevel="0" collapsed="false">
      <c r="A4463" s="62" t="n">
        <v>1</v>
      </c>
      <c r="B4463" s="62" t="s">
        <v>385</v>
      </c>
      <c r="C4463" s="62" t="s">
        <v>60</v>
      </c>
      <c r="D4463" s="62" t="s">
        <v>72</v>
      </c>
      <c r="E4463" s="62" t="s">
        <v>382</v>
      </c>
      <c r="F4463" s="63" t="s">
        <v>411</v>
      </c>
      <c r="G4463" s="64" t="n">
        <v>2172664.95815994</v>
      </c>
      <c r="H4463" s="62" t="s">
        <v>138</v>
      </c>
    </row>
    <row r="4464" customFormat="false" ht="15" hidden="false" customHeight="false" outlineLevel="0" collapsed="false">
      <c r="A4464" s="62" t="n">
        <v>1</v>
      </c>
      <c r="B4464" s="62" t="s">
        <v>386</v>
      </c>
      <c r="C4464" s="62" t="s">
        <v>60</v>
      </c>
      <c r="D4464" s="62" t="s">
        <v>72</v>
      </c>
      <c r="E4464" s="62" t="s">
        <v>382</v>
      </c>
      <c r="F4464" s="63" t="s">
        <v>411</v>
      </c>
      <c r="G4464" s="64" t="n">
        <v>1071734.26537857</v>
      </c>
      <c r="H4464" s="62" t="s">
        <v>138</v>
      </c>
    </row>
    <row r="4465" customFormat="false" ht="15" hidden="false" customHeight="false" outlineLevel="0" collapsed="false">
      <c r="A4465" s="62" t="n">
        <v>1</v>
      </c>
      <c r="B4465" s="62" t="s">
        <v>387</v>
      </c>
      <c r="C4465" s="62" t="s">
        <v>60</v>
      </c>
      <c r="D4465" s="62" t="s">
        <v>72</v>
      </c>
      <c r="E4465" s="62" t="s">
        <v>382</v>
      </c>
      <c r="F4465" s="63" t="s">
        <v>411</v>
      </c>
      <c r="G4465" s="64" t="n">
        <v>549293.867918068</v>
      </c>
      <c r="H4465" s="62" t="s">
        <v>138</v>
      </c>
    </row>
    <row r="4466" customFormat="false" ht="15" hidden="false" customHeight="false" outlineLevel="0" collapsed="false">
      <c r="A4466" s="62" t="n">
        <v>1</v>
      </c>
      <c r="B4466" s="62" t="s">
        <v>388</v>
      </c>
      <c r="C4466" s="62" t="s">
        <v>60</v>
      </c>
      <c r="D4466" s="62" t="s">
        <v>72</v>
      </c>
      <c r="E4466" s="62" t="s">
        <v>382</v>
      </c>
      <c r="F4466" s="63" t="s">
        <v>411</v>
      </c>
      <c r="G4466" s="64" t="n">
        <v>-556913.575173436</v>
      </c>
      <c r="H4466" s="62" t="s">
        <v>138</v>
      </c>
    </row>
    <row r="4467" customFormat="false" ht="15" hidden="false" customHeight="false" outlineLevel="0" collapsed="false">
      <c r="A4467" s="62" t="n">
        <v>1</v>
      </c>
      <c r="B4467" s="62" t="s">
        <v>381</v>
      </c>
      <c r="C4467" s="62" t="s">
        <v>60</v>
      </c>
      <c r="D4467" s="62" t="s">
        <v>72</v>
      </c>
      <c r="E4467" s="62" t="s">
        <v>382</v>
      </c>
      <c r="F4467" s="63" t="s">
        <v>412</v>
      </c>
      <c r="G4467" s="64" t="n">
        <v>0</v>
      </c>
      <c r="H4467" s="62" t="s">
        <v>138</v>
      </c>
    </row>
    <row r="4468" customFormat="false" ht="15" hidden="false" customHeight="false" outlineLevel="0" collapsed="false">
      <c r="A4468" s="62" t="n">
        <v>1</v>
      </c>
      <c r="B4468" s="62" t="s">
        <v>383</v>
      </c>
      <c r="C4468" s="62" t="s">
        <v>60</v>
      </c>
      <c r="D4468" s="62" t="s">
        <v>72</v>
      </c>
      <c r="E4468" s="62" t="s">
        <v>382</v>
      </c>
      <c r="F4468" s="63" t="s">
        <v>412</v>
      </c>
      <c r="G4468" s="64" t="n">
        <v>0</v>
      </c>
      <c r="H4468" s="62" t="s">
        <v>138</v>
      </c>
    </row>
    <row r="4469" customFormat="false" ht="15" hidden="false" customHeight="false" outlineLevel="0" collapsed="false">
      <c r="A4469" s="62" t="n">
        <v>1</v>
      </c>
      <c r="B4469" s="62" t="s">
        <v>384</v>
      </c>
      <c r="C4469" s="62" t="s">
        <v>60</v>
      </c>
      <c r="D4469" s="62" t="s">
        <v>72</v>
      </c>
      <c r="E4469" s="62" t="s">
        <v>382</v>
      </c>
      <c r="F4469" s="63" t="s">
        <v>412</v>
      </c>
      <c r="G4469" s="64" t="n">
        <v>0</v>
      </c>
      <c r="H4469" s="62" t="s">
        <v>138</v>
      </c>
    </row>
    <row r="4470" customFormat="false" ht="15" hidden="false" customHeight="false" outlineLevel="0" collapsed="false">
      <c r="A4470" s="62" t="n">
        <v>1</v>
      </c>
      <c r="B4470" s="62" t="s">
        <v>385</v>
      </c>
      <c r="C4470" s="62" t="s">
        <v>60</v>
      </c>
      <c r="D4470" s="62" t="s">
        <v>72</v>
      </c>
      <c r="E4470" s="62" t="s">
        <v>382</v>
      </c>
      <c r="F4470" s="63" t="s">
        <v>412</v>
      </c>
      <c r="G4470" s="64" t="n">
        <v>0</v>
      </c>
      <c r="H4470" s="62" t="s">
        <v>138</v>
      </c>
    </row>
    <row r="4471" customFormat="false" ht="15" hidden="false" customHeight="false" outlineLevel="0" collapsed="false">
      <c r="A4471" s="62" t="n">
        <v>1</v>
      </c>
      <c r="B4471" s="62" t="s">
        <v>386</v>
      </c>
      <c r="C4471" s="62" t="s">
        <v>60</v>
      </c>
      <c r="D4471" s="62" t="s">
        <v>72</v>
      </c>
      <c r="E4471" s="62" t="s">
        <v>382</v>
      </c>
      <c r="F4471" s="63" t="s">
        <v>412</v>
      </c>
      <c r="G4471" s="64" t="n">
        <v>0</v>
      </c>
      <c r="H4471" s="62" t="s">
        <v>138</v>
      </c>
    </row>
    <row r="4472" customFormat="false" ht="15" hidden="false" customHeight="false" outlineLevel="0" collapsed="false">
      <c r="A4472" s="62" t="n">
        <v>1</v>
      </c>
      <c r="B4472" s="62" t="s">
        <v>387</v>
      </c>
      <c r="C4472" s="62" t="s">
        <v>60</v>
      </c>
      <c r="D4472" s="62" t="s">
        <v>72</v>
      </c>
      <c r="E4472" s="62" t="s">
        <v>382</v>
      </c>
      <c r="F4472" s="63" t="s">
        <v>412</v>
      </c>
      <c r="G4472" s="64" t="n">
        <v>0</v>
      </c>
      <c r="H4472" s="62" t="s">
        <v>138</v>
      </c>
    </row>
    <row r="4473" customFormat="false" ht="15" hidden="false" customHeight="false" outlineLevel="0" collapsed="false">
      <c r="A4473" s="62" t="n">
        <v>1</v>
      </c>
      <c r="B4473" s="62" t="s">
        <v>388</v>
      </c>
      <c r="C4473" s="62" t="s">
        <v>60</v>
      </c>
      <c r="D4473" s="62" t="s">
        <v>72</v>
      </c>
      <c r="E4473" s="62" t="s">
        <v>382</v>
      </c>
      <c r="F4473" s="63" t="s">
        <v>412</v>
      </c>
      <c r="G4473" s="64" t="n">
        <v>0</v>
      </c>
      <c r="H4473" s="62" t="s">
        <v>138</v>
      </c>
    </row>
    <row r="4474" customFormat="false" ht="15" hidden="false" customHeight="false" outlineLevel="0" collapsed="false">
      <c r="A4474" s="62" t="n">
        <v>1</v>
      </c>
      <c r="B4474" s="62" t="s">
        <v>381</v>
      </c>
      <c r="C4474" s="62" t="s">
        <v>60</v>
      </c>
      <c r="D4474" s="62" t="s">
        <v>72</v>
      </c>
      <c r="E4474" s="62" t="s">
        <v>382</v>
      </c>
      <c r="F4474" s="63" t="s">
        <v>414</v>
      </c>
      <c r="G4474" s="64" t="n">
        <v>523347.335953579</v>
      </c>
      <c r="H4474" s="62" t="s">
        <v>138</v>
      </c>
    </row>
    <row r="4475" customFormat="false" ht="15" hidden="false" customHeight="false" outlineLevel="0" collapsed="false">
      <c r="A4475" s="62" t="n">
        <v>1</v>
      </c>
      <c r="B4475" s="62" t="s">
        <v>383</v>
      </c>
      <c r="C4475" s="62" t="s">
        <v>60</v>
      </c>
      <c r="D4475" s="62" t="s">
        <v>72</v>
      </c>
      <c r="E4475" s="62" t="s">
        <v>382</v>
      </c>
      <c r="F4475" s="63" t="s">
        <v>414</v>
      </c>
      <c r="G4475" s="64" t="n">
        <v>1406781.66228561</v>
      </c>
      <c r="H4475" s="62" t="s">
        <v>138</v>
      </c>
    </row>
    <row r="4476" customFormat="false" ht="15" hidden="false" customHeight="false" outlineLevel="0" collapsed="false">
      <c r="A4476" s="62" t="n">
        <v>1</v>
      </c>
      <c r="B4476" s="62" t="s">
        <v>384</v>
      </c>
      <c r="C4476" s="62" t="s">
        <v>60</v>
      </c>
      <c r="D4476" s="62" t="s">
        <v>72</v>
      </c>
      <c r="E4476" s="62" t="s">
        <v>382</v>
      </c>
      <c r="F4476" s="63" t="s">
        <v>414</v>
      </c>
      <c r="G4476" s="64" t="n">
        <v>957368.838878924</v>
      </c>
      <c r="H4476" s="62" t="s">
        <v>138</v>
      </c>
    </row>
    <row r="4477" customFormat="false" ht="15" hidden="false" customHeight="false" outlineLevel="0" collapsed="false">
      <c r="A4477" s="62" t="n">
        <v>1</v>
      </c>
      <c r="B4477" s="62" t="s">
        <v>385</v>
      </c>
      <c r="C4477" s="62" t="s">
        <v>60</v>
      </c>
      <c r="D4477" s="62" t="s">
        <v>72</v>
      </c>
      <c r="E4477" s="62" t="s">
        <v>382</v>
      </c>
      <c r="F4477" s="63" t="s">
        <v>414</v>
      </c>
      <c r="G4477" s="64" t="n">
        <v>484850.481226317</v>
      </c>
      <c r="H4477" s="62" t="s">
        <v>138</v>
      </c>
    </row>
    <row r="4478" customFormat="false" ht="15" hidden="false" customHeight="false" outlineLevel="0" collapsed="false">
      <c r="A4478" s="62" t="n">
        <v>1</v>
      </c>
      <c r="B4478" s="62" t="s">
        <v>386</v>
      </c>
      <c r="C4478" s="62" t="s">
        <v>60</v>
      </c>
      <c r="D4478" s="62" t="s">
        <v>72</v>
      </c>
      <c r="E4478" s="62" t="s">
        <v>382</v>
      </c>
      <c r="F4478" s="63" t="s">
        <v>414</v>
      </c>
      <c r="G4478" s="64" t="n">
        <v>216206.770469722</v>
      </c>
      <c r="H4478" s="62" t="s">
        <v>138</v>
      </c>
    </row>
    <row r="4479" customFormat="false" ht="15" hidden="false" customHeight="false" outlineLevel="0" collapsed="false">
      <c r="A4479" s="62" t="n">
        <v>1</v>
      </c>
      <c r="B4479" s="62" t="s">
        <v>387</v>
      </c>
      <c r="C4479" s="62" t="s">
        <v>60</v>
      </c>
      <c r="D4479" s="62" t="s">
        <v>72</v>
      </c>
      <c r="E4479" s="62" t="s">
        <v>382</v>
      </c>
      <c r="F4479" s="63" t="s">
        <v>414</v>
      </c>
      <c r="G4479" s="64" t="n">
        <v>765452.503695798</v>
      </c>
      <c r="H4479" s="62" t="s">
        <v>138</v>
      </c>
    </row>
    <row r="4480" customFormat="false" ht="15" hidden="false" customHeight="false" outlineLevel="0" collapsed="false">
      <c r="A4480" s="62" t="n">
        <v>1</v>
      </c>
      <c r="B4480" s="62" t="s">
        <v>388</v>
      </c>
      <c r="C4480" s="62" t="s">
        <v>60</v>
      </c>
      <c r="D4480" s="62" t="s">
        <v>72</v>
      </c>
      <c r="E4480" s="62" t="s">
        <v>382</v>
      </c>
      <c r="F4480" s="63" t="s">
        <v>414</v>
      </c>
      <c r="G4480" s="64" t="n">
        <v>0</v>
      </c>
      <c r="H4480" s="62" t="s">
        <v>138</v>
      </c>
    </row>
    <row r="4481" customFormat="false" ht="15" hidden="false" customHeight="false" outlineLevel="0" collapsed="false">
      <c r="A4481" s="62" t="n">
        <v>1</v>
      </c>
      <c r="B4481" s="62" t="s">
        <v>381</v>
      </c>
      <c r="C4481" s="62" t="s">
        <v>60</v>
      </c>
      <c r="D4481" s="62" t="s">
        <v>72</v>
      </c>
      <c r="E4481" s="62" t="s">
        <v>382</v>
      </c>
      <c r="F4481" s="63" t="s">
        <v>415</v>
      </c>
      <c r="G4481" s="64" t="n">
        <v>1708729.88628571</v>
      </c>
      <c r="H4481" s="62" t="s">
        <v>138</v>
      </c>
    </row>
    <row r="4482" customFormat="false" ht="15" hidden="false" customHeight="false" outlineLevel="0" collapsed="false">
      <c r="A4482" s="62" t="n">
        <v>1</v>
      </c>
      <c r="B4482" s="62" t="s">
        <v>383</v>
      </c>
      <c r="C4482" s="62" t="s">
        <v>60</v>
      </c>
      <c r="D4482" s="62" t="s">
        <v>72</v>
      </c>
      <c r="E4482" s="62" t="s">
        <v>382</v>
      </c>
      <c r="F4482" s="63" t="s">
        <v>415</v>
      </c>
      <c r="G4482" s="64" t="n">
        <v>3920187.28330104</v>
      </c>
      <c r="H4482" s="62" t="s">
        <v>138</v>
      </c>
    </row>
    <row r="4483" customFormat="false" ht="15" hidden="false" customHeight="false" outlineLevel="0" collapsed="false">
      <c r="A4483" s="62" t="n">
        <v>1</v>
      </c>
      <c r="B4483" s="62" t="s">
        <v>384</v>
      </c>
      <c r="C4483" s="62" t="s">
        <v>60</v>
      </c>
      <c r="D4483" s="62" t="s">
        <v>72</v>
      </c>
      <c r="E4483" s="62" t="s">
        <v>382</v>
      </c>
      <c r="F4483" s="63" t="s">
        <v>415</v>
      </c>
      <c r="G4483" s="64" t="n">
        <v>5121377.79368531</v>
      </c>
      <c r="H4483" s="62" t="s">
        <v>138</v>
      </c>
    </row>
    <row r="4484" customFormat="false" ht="15" hidden="false" customHeight="false" outlineLevel="0" collapsed="false">
      <c r="A4484" s="62" t="n">
        <v>1</v>
      </c>
      <c r="B4484" s="62" t="s">
        <v>385</v>
      </c>
      <c r="C4484" s="62" t="s">
        <v>60</v>
      </c>
      <c r="D4484" s="62" t="s">
        <v>72</v>
      </c>
      <c r="E4484" s="62" t="s">
        <v>382</v>
      </c>
      <c r="F4484" s="63" t="s">
        <v>415</v>
      </c>
      <c r="G4484" s="64" t="n">
        <v>3425418.13454224</v>
      </c>
      <c r="H4484" s="62" t="s">
        <v>138</v>
      </c>
    </row>
    <row r="4485" customFormat="false" ht="15" hidden="false" customHeight="false" outlineLevel="0" collapsed="false">
      <c r="A4485" s="62" t="n">
        <v>1</v>
      </c>
      <c r="B4485" s="62" t="s">
        <v>386</v>
      </c>
      <c r="C4485" s="62" t="s">
        <v>60</v>
      </c>
      <c r="D4485" s="62" t="s">
        <v>72</v>
      </c>
      <c r="E4485" s="62" t="s">
        <v>382</v>
      </c>
      <c r="F4485" s="63" t="s">
        <v>415</v>
      </c>
      <c r="G4485" s="64" t="n">
        <v>2000</v>
      </c>
      <c r="H4485" s="62" t="s">
        <v>138</v>
      </c>
    </row>
    <row r="4486" customFormat="false" ht="15" hidden="false" customHeight="false" outlineLevel="0" collapsed="false">
      <c r="A4486" s="62" t="n">
        <v>1</v>
      </c>
      <c r="B4486" s="62" t="s">
        <v>387</v>
      </c>
      <c r="C4486" s="62" t="s">
        <v>60</v>
      </c>
      <c r="D4486" s="62" t="s">
        <v>72</v>
      </c>
      <c r="E4486" s="62" t="s">
        <v>382</v>
      </c>
      <c r="F4486" s="63" t="s">
        <v>415</v>
      </c>
      <c r="G4486" s="64" t="n">
        <v>1894469.24335585</v>
      </c>
      <c r="H4486" s="62" t="s">
        <v>138</v>
      </c>
    </row>
    <row r="4487" customFormat="false" ht="15" hidden="false" customHeight="false" outlineLevel="0" collapsed="false">
      <c r="A4487" s="62" t="n">
        <v>1</v>
      </c>
      <c r="B4487" s="62" t="s">
        <v>388</v>
      </c>
      <c r="C4487" s="62" t="s">
        <v>60</v>
      </c>
      <c r="D4487" s="62" t="s">
        <v>72</v>
      </c>
      <c r="E4487" s="62" t="s">
        <v>382</v>
      </c>
      <c r="F4487" s="63" t="s">
        <v>415</v>
      </c>
      <c r="G4487" s="64" t="n">
        <v>1031957.82035749</v>
      </c>
      <c r="H4487" s="62" t="s">
        <v>138</v>
      </c>
    </row>
    <row r="4488" customFormat="false" ht="15" hidden="false" customHeight="false" outlineLevel="0" collapsed="false">
      <c r="A4488" s="62" t="n">
        <v>1</v>
      </c>
      <c r="B4488" s="62" t="s">
        <v>381</v>
      </c>
      <c r="C4488" s="62" t="s">
        <v>60</v>
      </c>
      <c r="D4488" s="62" t="s">
        <v>72</v>
      </c>
      <c r="E4488" s="62" t="s">
        <v>382</v>
      </c>
      <c r="F4488" s="63" t="s">
        <v>416</v>
      </c>
      <c r="G4488" s="64" t="n">
        <v>2232077.22223929</v>
      </c>
      <c r="H4488" s="62" t="s">
        <v>138</v>
      </c>
    </row>
    <row r="4489" customFormat="false" ht="15" hidden="false" customHeight="false" outlineLevel="0" collapsed="false">
      <c r="A4489" s="62" t="n">
        <v>1</v>
      </c>
      <c r="B4489" s="62" t="s">
        <v>383</v>
      </c>
      <c r="C4489" s="62" t="s">
        <v>60</v>
      </c>
      <c r="D4489" s="62" t="s">
        <v>72</v>
      </c>
      <c r="E4489" s="62" t="s">
        <v>382</v>
      </c>
      <c r="F4489" s="63" t="s">
        <v>416</v>
      </c>
      <c r="G4489" s="64" t="n">
        <v>5326968.94558665</v>
      </c>
      <c r="H4489" s="62" t="s">
        <v>138</v>
      </c>
    </row>
    <row r="4490" customFormat="false" ht="15" hidden="false" customHeight="false" outlineLevel="0" collapsed="false">
      <c r="A4490" s="62" t="n">
        <v>1</v>
      </c>
      <c r="B4490" s="62" t="s">
        <v>384</v>
      </c>
      <c r="C4490" s="62" t="s">
        <v>60</v>
      </c>
      <c r="D4490" s="62" t="s">
        <v>72</v>
      </c>
      <c r="E4490" s="62" t="s">
        <v>382</v>
      </c>
      <c r="F4490" s="63" t="s">
        <v>416</v>
      </c>
      <c r="G4490" s="64" t="n">
        <v>6078746.63256423</v>
      </c>
      <c r="H4490" s="62" t="s">
        <v>138</v>
      </c>
    </row>
    <row r="4491" customFormat="false" ht="15" hidden="false" customHeight="false" outlineLevel="0" collapsed="false">
      <c r="A4491" s="62" t="n">
        <v>1</v>
      </c>
      <c r="B4491" s="62" t="s">
        <v>385</v>
      </c>
      <c r="C4491" s="62" t="s">
        <v>60</v>
      </c>
      <c r="D4491" s="62" t="s">
        <v>72</v>
      </c>
      <c r="E4491" s="62" t="s">
        <v>382</v>
      </c>
      <c r="F4491" s="63" t="s">
        <v>416</v>
      </c>
      <c r="G4491" s="64" t="n">
        <v>3910268.61576856</v>
      </c>
      <c r="H4491" s="62" t="s">
        <v>138</v>
      </c>
    </row>
    <row r="4492" customFormat="false" ht="15" hidden="false" customHeight="false" outlineLevel="0" collapsed="false">
      <c r="A4492" s="62" t="n">
        <v>1</v>
      </c>
      <c r="B4492" s="62" t="s">
        <v>386</v>
      </c>
      <c r="C4492" s="62" t="s">
        <v>60</v>
      </c>
      <c r="D4492" s="62" t="s">
        <v>72</v>
      </c>
      <c r="E4492" s="62" t="s">
        <v>382</v>
      </c>
      <c r="F4492" s="63" t="s">
        <v>416</v>
      </c>
      <c r="G4492" s="64" t="n">
        <v>218206.770469722</v>
      </c>
      <c r="H4492" s="62" t="s">
        <v>138</v>
      </c>
    </row>
    <row r="4493" customFormat="false" ht="15" hidden="false" customHeight="false" outlineLevel="0" collapsed="false">
      <c r="A4493" s="62" t="n">
        <v>1</v>
      </c>
      <c r="B4493" s="62" t="s">
        <v>387</v>
      </c>
      <c r="C4493" s="62" t="s">
        <v>60</v>
      </c>
      <c r="D4493" s="62" t="s">
        <v>72</v>
      </c>
      <c r="E4493" s="62" t="s">
        <v>382</v>
      </c>
      <c r="F4493" s="63" t="s">
        <v>416</v>
      </c>
      <c r="G4493" s="64" t="n">
        <v>2659921.74705164</v>
      </c>
      <c r="H4493" s="62" t="s">
        <v>138</v>
      </c>
    </row>
    <row r="4494" customFormat="false" ht="15" hidden="false" customHeight="false" outlineLevel="0" collapsed="false">
      <c r="A4494" s="62" t="n">
        <v>1</v>
      </c>
      <c r="B4494" s="62" t="s">
        <v>388</v>
      </c>
      <c r="C4494" s="62" t="s">
        <v>60</v>
      </c>
      <c r="D4494" s="62" t="s">
        <v>72</v>
      </c>
      <c r="E4494" s="62" t="s">
        <v>382</v>
      </c>
      <c r="F4494" s="63" t="s">
        <v>416</v>
      </c>
      <c r="G4494" s="64" t="n">
        <v>1031957.82035749</v>
      </c>
      <c r="H4494" s="62" t="s">
        <v>138</v>
      </c>
    </row>
    <row r="4495" customFormat="false" ht="15" hidden="false" customHeight="false" outlineLevel="0" collapsed="false">
      <c r="A4495" s="62" t="n">
        <v>1</v>
      </c>
      <c r="B4495" s="62" t="s">
        <v>381</v>
      </c>
      <c r="C4495" s="62" t="s">
        <v>60</v>
      </c>
      <c r="D4495" s="62" t="s">
        <v>72</v>
      </c>
      <c r="E4495" s="62" t="s">
        <v>382</v>
      </c>
      <c r="F4495" s="63" t="s">
        <v>396</v>
      </c>
      <c r="G4495" s="64" t="n">
        <v>750000</v>
      </c>
      <c r="H4495" s="62" t="s">
        <v>138</v>
      </c>
    </row>
    <row r="4496" customFormat="false" ht="15" hidden="false" customHeight="false" outlineLevel="0" collapsed="false">
      <c r="A4496" s="62" t="n">
        <v>1</v>
      </c>
      <c r="B4496" s="62" t="s">
        <v>383</v>
      </c>
      <c r="C4496" s="62" t="s">
        <v>60</v>
      </c>
      <c r="D4496" s="62" t="s">
        <v>72</v>
      </c>
      <c r="E4496" s="62" t="s">
        <v>382</v>
      </c>
      <c r="F4496" s="63" t="s">
        <v>396</v>
      </c>
      <c r="G4496" s="64" t="n">
        <v>750000</v>
      </c>
      <c r="H4496" s="62" t="s">
        <v>138</v>
      </c>
    </row>
    <row r="4497" customFormat="false" ht="15" hidden="false" customHeight="false" outlineLevel="0" collapsed="false">
      <c r="A4497" s="62" t="n">
        <v>1</v>
      </c>
      <c r="B4497" s="62" t="s">
        <v>384</v>
      </c>
      <c r="C4497" s="62" t="s">
        <v>60</v>
      </c>
      <c r="D4497" s="62" t="s">
        <v>72</v>
      </c>
      <c r="E4497" s="62" t="s">
        <v>382</v>
      </c>
      <c r="F4497" s="63" t="s">
        <v>396</v>
      </c>
      <c r="G4497" s="64" t="n">
        <v>750000</v>
      </c>
      <c r="H4497" s="62" t="s">
        <v>138</v>
      </c>
    </row>
    <row r="4498" customFormat="false" ht="15" hidden="false" customHeight="false" outlineLevel="0" collapsed="false">
      <c r="A4498" s="62" t="n">
        <v>1</v>
      </c>
      <c r="B4498" s="62" t="s">
        <v>385</v>
      </c>
      <c r="C4498" s="62" t="s">
        <v>60</v>
      </c>
      <c r="D4498" s="62" t="s">
        <v>72</v>
      </c>
      <c r="E4498" s="62" t="s">
        <v>382</v>
      </c>
      <c r="F4498" s="63" t="s">
        <v>396</v>
      </c>
      <c r="G4498" s="64" t="n">
        <v>750000</v>
      </c>
      <c r="H4498" s="62" t="s">
        <v>138</v>
      </c>
    </row>
    <row r="4499" customFormat="false" ht="15" hidden="false" customHeight="false" outlineLevel="0" collapsed="false">
      <c r="A4499" s="62" t="n">
        <v>1</v>
      </c>
      <c r="B4499" s="62" t="s">
        <v>386</v>
      </c>
      <c r="C4499" s="62" t="s">
        <v>60</v>
      </c>
      <c r="D4499" s="62" t="s">
        <v>72</v>
      </c>
      <c r="E4499" s="62" t="s">
        <v>382</v>
      </c>
      <c r="F4499" s="63" t="s">
        <v>396</v>
      </c>
      <c r="G4499" s="64" t="n">
        <v>750000</v>
      </c>
      <c r="H4499" s="62" t="s">
        <v>138</v>
      </c>
    </row>
    <row r="4500" customFormat="false" ht="15" hidden="false" customHeight="false" outlineLevel="0" collapsed="false">
      <c r="A4500" s="62" t="n">
        <v>1</v>
      </c>
      <c r="B4500" s="62" t="s">
        <v>387</v>
      </c>
      <c r="C4500" s="62" t="s">
        <v>60</v>
      </c>
      <c r="D4500" s="62" t="s">
        <v>72</v>
      </c>
      <c r="E4500" s="62" t="s">
        <v>382</v>
      </c>
      <c r="F4500" s="63" t="s">
        <v>396</v>
      </c>
      <c r="G4500" s="64" t="n">
        <v>750000</v>
      </c>
      <c r="H4500" s="62" t="s">
        <v>138</v>
      </c>
    </row>
    <row r="4501" customFormat="false" ht="15" hidden="false" customHeight="false" outlineLevel="0" collapsed="false">
      <c r="A4501" s="62" t="n">
        <v>1</v>
      </c>
      <c r="B4501" s="62" t="s">
        <v>388</v>
      </c>
      <c r="C4501" s="62" t="s">
        <v>60</v>
      </c>
      <c r="D4501" s="62" t="s">
        <v>72</v>
      </c>
      <c r="E4501" s="62" t="s">
        <v>382</v>
      </c>
      <c r="F4501" s="63" t="s">
        <v>396</v>
      </c>
      <c r="G4501" s="64" t="n">
        <v>750000</v>
      </c>
      <c r="H4501" s="62" t="s">
        <v>138</v>
      </c>
    </row>
    <row r="4502" customFormat="false" ht="15" hidden="false" customHeight="false" outlineLevel="0" collapsed="false">
      <c r="A4502" s="62" t="n">
        <v>1</v>
      </c>
      <c r="B4502" s="62" t="s">
        <v>381</v>
      </c>
      <c r="C4502" s="62" t="s">
        <v>60</v>
      </c>
      <c r="D4502" s="62" t="s">
        <v>72</v>
      </c>
      <c r="E4502" s="62" t="s">
        <v>382</v>
      </c>
      <c r="F4502" s="63" t="s">
        <v>417</v>
      </c>
      <c r="G4502" s="64" t="n">
        <v>889027.330435643</v>
      </c>
      <c r="H4502" s="62" t="s">
        <v>138</v>
      </c>
    </row>
    <row r="4503" customFormat="false" ht="15" hidden="false" customHeight="false" outlineLevel="0" collapsed="false">
      <c r="A4503" s="62" t="n">
        <v>1</v>
      </c>
      <c r="B4503" s="62" t="s">
        <v>383</v>
      </c>
      <c r="C4503" s="62" t="s">
        <v>60</v>
      </c>
      <c r="D4503" s="62" t="s">
        <v>72</v>
      </c>
      <c r="E4503" s="62" t="s">
        <v>382</v>
      </c>
      <c r="F4503" s="63" t="s">
        <v>417</v>
      </c>
      <c r="G4503" s="64" t="n">
        <v>10161501.5929568</v>
      </c>
      <c r="H4503" s="62" t="s">
        <v>138</v>
      </c>
    </row>
    <row r="4504" customFormat="false" ht="15" hidden="false" customHeight="false" outlineLevel="0" collapsed="false">
      <c r="A4504" s="62" t="n">
        <v>1</v>
      </c>
      <c r="B4504" s="62" t="s">
        <v>384</v>
      </c>
      <c r="C4504" s="62" t="s">
        <v>60</v>
      </c>
      <c r="D4504" s="62" t="s">
        <v>72</v>
      </c>
      <c r="E4504" s="62" t="s">
        <v>382</v>
      </c>
      <c r="F4504" s="63" t="s">
        <v>417</v>
      </c>
      <c r="G4504" s="64" t="n">
        <v>6628463.08891696</v>
      </c>
      <c r="H4504" s="62" t="s">
        <v>138</v>
      </c>
    </row>
    <row r="4505" customFormat="false" ht="15" hidden="false" customHeight="false" outlineLevel="0" collapsed="false">
      <c r="A4505" s="62" t="n">
        <v>1</v>
      </c>
      <c r="B4505" s="62" t="s">
        <v>385</v>
      </c>
      <c r="C4505" s="62" t="s">
        <v>60</v>
      </c>
      <c r="D4505" s="62" t="s">
        <v>72</v>
      </c>
      <c r="E4505" s="62" t="s">
        <v>382</v>
      </c>
      <c r="F4505" s="63" t="s">
        <v>417</v>
      </c>
      <c r="G4505" s="64" t="n">
        <v>2172664.95815994</v>
      </c>
      <c r="H4505" s="62" t="s">
        <v>138</v>
      </c>
    </row>
    <row r="4506" customFormat="false" ht="15" hidden="false" customHeight="false" outlineLevel="0" collapsed="false">
      <c r="A4506" s="62" t="n">
        <v>1</v>
      </c>
      <c r="B4506" s="62" t="s">
        <v>386</v>
      </c>
      <c r="C4506" s="62" t="s">
        <v>60</v>
      </c>
      <c r="D4506" s="62" t="s">
        <v>72</v>
      </c>
      <c r="E4506" s="62" t="s">
        <v>382</v>
      </c>
      <c r="F4506" s="63" t="s">
        <v>417</v>
      </c>
      <c r="G4506" s="64" t="n">
        <v>1071734.26537857</v>
      </c>
      <c r="H4506" s="62" t="s">
        <v>138</v>
      </c>
    </row>
    <row r="4507" customFormat="false" ht="15" hidden="false" customHeight="false" outlineLevel="0" collapsed="false">
      <c r="A4507" s="62" t="n">
        <v>1</v>
      </c>
      <c r="B4507" s="62" t="s">
        <v>387</v>
      </c>
      <c r="C4507" s="62" t="s">
        <v>60</v>
      </c>
      <c r="D4507" s="62" t="s">
        <v>72</v>
      </c>
      <c r="E4507" s="62" t="s">
        <v>382</v>
      </c>
      <c r="F4507" s="63" t="s">
        <v>417</v>
      </c>
      <c r="G4507" s="64" t="n">
        <v>549293.867918068</v>
      </c>
      <c r="H4507" s="62" t="s">
        <v>138</v>
      </c>
    </row>
    <row r="4508" customFormat="false" ht="15" hidden="false" customHeight="false" outlineLevel="0" collapsed="false">
      <c r="A4508" s="62" t="n">
        <v>1</v>
      </c>
      <c r="B4508" s="62" t="s">
        <v>388</v>
      </c>
      <c r="C4508" s="62" t="s">
        <v>60</v>
      </c>
      <c r="D4508" s="62" t="s">
        <v>72</v>
      </c>
      <c r="E4508" s="62" t="s">
        <v>382</v>
      </c>
      <c r="F4508" s="63" t="s">
        <v>417</v>
      </c>
      <c r="G4508" s="64" t="n">
        <v>-556913.575173436</v>
      </c>
      <c r="H4508" s="62" t="s">
        <v>138</v>
      </c>
    </row>
    <row r="4509" customFormat="false" ht="15" hidden="false" customHeight="false" outlineLevel="0" collapsed="false">
      <c r="A4509" s="62" t="n">
        <v>1</v>
      </c>
      <c r="B4509" s="62" t="s">
        <v>381</v>
      </c>
      <c r="C4509" s="62" t="s">
        <v>60</v>
      </c>
      <c r="D4509" s="62" t="s">
        <v>72</v>
      </c>
      <c r="E4509" s="62" t="s">
        <v>382</v>
      </c>
      <c r="F4509" s="63" t="s">
        <v>398</v>
      </c>
      <c r="G4509" s="64" t="n">
        <v>599914.076514969</v>
      </c>
      <c r="H4509" s="62" t="s">
        <v>138</v>
      </c>
    </row>
    <row r="4510" customFormat="false" ht="15" hidden="false" customHeight="false" outlineLevel="0" collapsed="false">
      <c r="A4510" s="62" t="n">
        <v>1</v>
      </c>
      <c r="B4510" s="62" t="s">
        <v>383</v>
      </c>
      <c r="C4510" s="62" t="s">
        <v>60</v>
      </c>
      <c r="D4510" s="62" t="s">
        <v>72</v>
      </c>
      <c r="E4510" s="62" t="s">
        <v>382</v>
      </c>
      <c r="F4510" s="63" t="s">
        <v>398</v>
      </c>
      <c r="G4510" s="64" t="n">
        <v>880613.956242195</v>
      </c>
      <c r="H4510" s="62" t="s">
        <v>138</v>
      </c>
    </row>
    <row r="4511" customFormat="false" ht="15" hidden="false" customHeight="false" outlineLevel="0" collapsed="false">
      <c r="A4511" s="62" t="n">
        <v>1</v>
      </c>
      <c r="B4511" s="62" t="s">
        <v>384</v>
      </c>
      <c r="C4511" s="62" t="s">
        <v>60</v>
      </c>
      <c r="D4511" s="62" t="s">
        <v>72</v>
      </c>
      <c r="E4511" s="62" t="s">
        <v>382</v>
      </c>
      <c r="F4511" s="63" t="s">
        <v>398</v>
      </c>
      <c r="G4511" s="64" t="n">
        <v>681969.794772765</v>
      </c>
      <c r="H4511" s="62" t="s">
        <v>138</v>
      </c>
    </row>
    <row r="4512" customFormat="false" ht="15" hidden="false" customHeight="false" outlineLevel="0" collapsed="false">
      <c r="A4512" s="62" t="n">
        <v>1</v>
      </c>
      <c r="B4512" s="62" t="s">
        <v>385</v>
      </c>
      <c r="C4512" s="62" t="s">
        <v>60</v>
      </c>
      <c r="D4512" s="62" t="s">
        <v>72</v>
      </c>
      <c r="E4512" s="62" t="s">
        <v>382</v>
      </c>
      <c r="F4512" s="63" t="s">
        <v>398</v>
      </c>
      <c r="G4512" s="64" t="n">
        <v>1012979.73705521</v>
      </c>
      <c r="H4512" s="62" t="s">
        <v>138</v>
      </c>
    </row>
    <row r="4513" customFormat="false" ht="15" hidden="false" customHeight="false" outlineLevel="0" collapsed="false">
      <c r="A4513" s="62" t="n">
        <v>1</v>
      </c>
      <c r="B4513" s="62" t="s">
        <v>386</v>
      </c>
      <c r="C4513" s="62" t="s">
        <v>60</v>
      </c>
      <c r="D4513" s="62" t="s">
        <v>72</v>
      </c>
      <c r="E4513" s="62" t="s">
        <v>382</v>
      </c>
      <c r="F4513" s="63" t="s">
        <v>398</v>
      </c>
      <c r="G4513" s="64" t="n">
        <v>853.537596663145</v>
      </c>
      <c r="H4513" s="62" t="s">
        <v>138</v>
      </c>
    </row>
    <row r="4514" customFormat="false" ht="15" hidden="false" customHeight="false" outlineLevel="0" collapsed="false">
      <c r="A4514" s="62" t="n">
        <v>1</v>
      </c>
      <c r="B4514" s="62" t="s">
        <v>387</v>
      </c>
      <c r="C4514" s="62" t="s">
        <v>60</v>
      </c>
      <c r="D4514" s="62" t="s">
        <v>72</v>
      </c>
      <c r="E4514" s="62" t="s">
        <v>382</v>
      </c>
      <c r="F4514" s="63" t="s">
        <v>398</v>
      </c>
      <c r="G4514" s="64" t="n">
        <v>814430.946023578</v>
      </c>
      <c r="H4514" s="62" t="s">
        <v>138</v>
      </c>
    </row>
    <row r="4515" customFormat="false" ht="15" hidden="false" customHeight="false" outlineLevel="0" collapsed="false">
      <c r="A4515" s="62" t="n">
        <v>1</v>
      </c>
      <c r="B4515" s="62" t="s">
        <v>388</v>
      </c>
      <c r="C4515" s="62" t="s">
        <v>60</v>
      </c>
      <c r="D4515" s="62" t="s">
        <v>72</v>
      </c>
      <c r="E4515" s="62" t="s">
        <v>382</v>
      </c>
      <c r="F4515" s="63" t="s">
        <v>398</v>
      </c>
      <c r="G4515" s="64" t="n">
        <v>938871.395530922</v>
      </c>
      <c r="H4515" s="62" t="s">
        <v>138</v>
      </c>
    </row>
    <row r="4516" customFormat="false" ht="15" hidden="false" customHeight="false" outlineLevel="0" collapsed="false">
      <c r="A4516" s="62" t="n">
        <v>1</v>
      </c>
      <c r="B4516" s="62" t="s">
        <v>381</v>
      </c>
      <c r="C4516" s="62" t="s">
        <v>60</v>
      </c>
      <c r="D4516" s="62" t="s">
        <v>72</v>
      </c>
      <c r="E4516" s="62" t="s">
        <v>382</v>
      </c>
      <c r="F4516" s="63" t="s">
        <v>418</v>
      </c>
      <c r="G4516" s="64" t="n">
        <v>2238941.40695061</v>
      </c>
      <c r="H4516" s="62" t="s">
        <v>138</v>
      </c>
    </row>
    <row r="4517" customFormat="false" ht="15" hidden="false" customHeight="false" outlineLevel="0" collapsed="false">
      <c r="A4517" s="62" t="n">
        <v>1</v>
      </c>
      <c r="B4517" s="62" t="s">
        <v>383</v>
      </c>
      <c r="C4517" s="62" t="s">
        <v>60</v>
      </c>
      <c r="D4517" s="62" t="s">
        <v>72</v>
      </c>
      <c r="E4517" s="62" t="s">
        <v>382</v>
      </c>
      <c r="F4517" s="63" t="s">
        <v>418</v>
      </c>
      <c r="G4517" s="64" t="n">
        <v>11792115.549199</v>
      </c>
      <c r="H4517" s="62" t="s">
        <v>138</v>
      </c>
    </row>
    <row r="4518" customFormat="false" ht="15" hidden="false" customHeight="false" outlineLevel="0" collapsed="false">
      <c r="A4518" s="62" t="n">
        <v>1</v>
      </c>
      <c r="B4518" s="62" t="s">
        <v>384</v>
      </c>
      <c r="C4518" s="62" t="s">
        <v>60</v>
      </c>
      <c r="D4518" s="62" t="s">
        <v>72</v>
      </c>
      <c r="E4518" s="62" t="s">
        <v>382</v>
      </c>
      <c r="F4518" s="63" t="s">
        <v>418</v>
      </c>
      <c r="G4518" s="64" t="n">
        <v>8060432.88368972</v>
      </c>
      <c r="H4518" s="62" t="s">
        <v>138</v>
      </c>
    </row>
    <row r="4519" customFormat="false" ht="15" hidden="false" customHeight="false" outlineLevel="0" collapsed="false">
      <c r="A4519" s="62" t="n">
        <v>1</v>
      </c>
      <c r="B4519" s="62" t="s">
        <v>385</v>
      </c>
      <c r="C4519" s="62" t="s">
        <v>60</v>
      </c>
      <c r="D4519" s="62" t="s">
        <v>72</v>
      </c>
      <c r="E4519" s="62" t="s">
        <v>382</v>
      </c>
      <c r="F4519" s="63" t="s">
        <v>418</v>
      </c>
      <c r="G4519" s="64" t="n">
        <v>3935644.69521515</v>
      </c>
      <c r="H4519" s="62" t="s">
        <v>138</v>
      </c>
    </row>
    <row r="4520" customFormat="false" ht="15" hidden="false" customHeight="false" outlineLevel="0" collapsed="false">
      <c r="A4520" s="62" t="n">
        <v>1</v>
      </c>
      <c r="B4520" s="62" t="s">
        <v>386</v>
      </c>
      <c r="C4520" s="62" t="s">
        <v>60</v>
      </c>
      <c r="D4520" s="62" t="s">
        <v>72</v>
      </c>
      <c r="E4520" s="62" t="s">
        <v>382</v>
      </c>
      <c r="F4520" s="63" t="s">
        <v>418</v>
      </c>
      <c r="G4520" s="64" t="n">
        <v>1822587.80297523</v>
      </c>
      <c r="H4520" s="62" t="s">
        <v>138</v>
      </c>
    </row>
    <row r="4521" customFormat="false" ht="15" hidden="false" customHeight="false" outlineLevel="0" collapsed="false">
      <c r="A4521" s="62" t="n">
        <v>1</v>
      </c>
      <c r="B4521" s="62" t="s">
        <v>387</v>
      </c>
      <c r="C4521" s="62" t="s">
        <v>60</v>
      </c>
      <c r="D4521" s="62" t="s">
        <v>72</v>
      </c>
      <c r="E4521" s="62" t="s">
        <v>382</v>
      </c>
      <c r="F4521" s="63" t="s">
        <v>418</v>
      </c>
      <c r="G4521" s="64" t="n">
        <v>2113724.81394165</v>
      </c>
      <c r="H4521" s="62" t="s">
        <v>138</v>
      </c>
    </row>
    <row r="4522" customFormat="false" ht="15" hidden="false" customHeight="false" outlineLevel="0" collapsed="false">
      <c r="A4522" s="62" t="n">
        <v>1</v>
      </c>
      <c r="B4522" s="62" t="s">
        <v>388</v>
      </c>
      <c r="C4522" s="62" t="s">
        <v>60</v>
      </c>
      <c r="D4522" s="62" t="s">
        <v>72</v>
      </c>
      <c r="E4522" s="62" t="s">
        <v>382</v>
      </c>
      <c r="F4522" s="63" t="s">
        <v>418</v>
      </c>
      <c r="G4522" s="64" t="n">
        <v>1131957.82035749</v>
      </c>
      <c r="H4522" s="62" t="s">
        <v>138</v>
      </c>
    </row>
    <row r="4523" customFormat="false" ht="15" hidden="false" customHeight="false" outlineLevel="0" collapsed="false">
      <c r="A4523" s="62" t="n">
        <v>1</v>
      </c>
      <c r="B4523" s="62" t="s">
        <v>381</v>
      </c>
      <c r="C4523" s="62" t="s">
        <v>60</v>
      </c>
      <c r="D4523" s="62" t="s">
        <v>72</v>
      </c>
      <c r="E4523" s="62" t="s">
        <v>382</v>
      </c>
      <c r="F4523" s="63" t="s">
        <v>420</v>
      </c>
      <c r="G4523" s="64" t="n">
        <v>0</v>
      </c>
      <c r="H4523" s="62" t="s">
        <v>138</v>
      </c>
    </row>
    <row r="4524" customFormat="false" ht="15" hidden="false" customHeight="false" outlineLevel="0" collapsed="false">
      <c r="A4524" s="62" t="n">
        <v>1</v>
      </c>
      <c r="B4524" s="62" t="s">
        <v>383</v>
      </c>
      <c r="C4524" s="62" t="s">
        <v>60</v>
      </c>
      <c r="D4524" s="62" t="s">
        <v>72</v>
      </c>
      <c r="E4524" s="62" t="s">
        <v>382</v>
      </c>
      <c r="F4524" s="63" t="s">
        <v>420</v>
      </c>
      <c r="G4524" s="64" t="n">
        <v>0</v>
      </c>
      <c r="H4524" s="62" t="s">
        <v>138</v>
      </c>
    </row>
    <row r="4525" customFormat="false" ht="15" hidden="false" customHeight="false" outlineLevel="0" collapsed="false">
      <c r="A4525" s="62" t="n">
        <v>1</v>
      </c>
      <c r="B4525" s="62" t="s">
        <v>384</v>
      </c>
      <c r="C4525" s="62" t="s">
        <v>60</v>
      </c>
      <c r="D4525" s="62" t="s">
        <v>72</v>
      </c>
      <c r="E4525" s="62" t="s">
        <v>382</v>
      </c>
      <c r="F4525" s="63" t="s">
        <v>420</v>
      </c>
      <c r="G4525" s="64" t="n">
        <v>0</v>
      </c>
      <c r="H4525" s="62" t="s">
        <v>138</v>
      </c>
    </row>
    <row r="4526" customFormat="false" ht="15" hidden="false" customHeight="false" outlineLevel="0" collapsed="false">
      <c r="A4526" s="62" t="n">
        <v>1</v>
      </c>
      <c r="B4526" s="62" t="s">
        <v>385</v>
      </c>
      <c r="C4526" s="62" t="s">
        <v>60</v>
      </c>
      <c r="D4526" s="62" t="s">
        <v>72</v>
      </c>
      <c r="E4526" s="62" t="s">
        <v>382</v>
      </c>
      <c r="F4526" s="63" t="s">
        <v>420</v>
      </c>
      <c r="G4526" s="64" t="n">
        <v>0</v>
      </c>
      <c r="H4526" s="62" t="s">
        <v>138</v>
      </c>
    </row>
    <row r="4527" customFormat="false" ht="15" hidden="false" customHeight="false" outlineLevel="0" collapsed="false">
      <c r="A4527" s="62" t="n">
        <v>1</v>
      </c>
      <c r="B4527" s="62" t="s">
        <v>386</v>
      </c>
      <c r="C4527" s="62" t="s">
        <v>60</v>
      </c>
      <c r="D4527" s="62" t="s">
        <v>72</v>
      </c>
      <c r="E4527" s="62" t="s">
        <v>382</v>
      </c>
      <c r="F4527" s="63" t="s">
        <v>420</v>
      </c>
      <c r="G4527" s="64" t="n">
        <v>963900.136322961</v>
      </c>
      <c r="H4527" s="62" t="s">
        <v>138</v>
      </c>
    </row>
    <row r="4528" customFormat="false" ht="15" hidden="false" customHeight="false" outlineLevel="0" collapsed="false">
      <c r="A4528" s="62" t="n">
        <v>1</v>
      </c>
      <c r="B4528" s="62" t="s">
        <v>387</v>
      </c>
      <c r="C4528" s="62" t="s">
        <v>60</v>
      </c>
      <c r="D4528" s="62" t="s">
        <v>72</v>
      </c>
      <c r="E4528" s="62" t="s">
        <v>382</v>
      </c>
      <c r="F4528" s="63" t="s">
        <v>420</v>
      </c>
      <c r="G4528" s="64" t="n">
        <v>0</v>
      </c>
      <c r="H4528" s="62" t="s">
        <v>138</v>
      </c>
    </row>
    <row r="4529" customFormat="false" ht="15" hidden="false" customHeight="false" outlineLevel="0" collapsed="false">
      <c r="A4529" s="62" t="n">
        <v>1</v>
      </c>
      <c r="B4529" s="62" t="s">
        <v>388</v>
      </c>
      <c r="C4529" s="62" t="s">
        <v>60</v>
      </c>
      <c r="D4529" s="62" t="s">
        <v>72</v>
      </c>
      <c r="E4529" s="62" t="s">
        <v>382</v>
      </c>
      <c r="F4529" s="63" t="s">
        <v>420</v>
      </c>
      <c r="G4529" s="64" t="n">
        <v>0</v>
      </c>
      <c r="H4529" s="62" t="s">
        <v>138</v>
      </c>
    </row>
    <row r="4530" customFormat="false" ht="15" hidden="false" customHeight="false" outlineLevel="0" collapsed="false">
      <c r="A4530" s="62" t="n">
        <v>1</v>
      </c>
      <c r="B4530" s="62" t="s">
        <v>381</v>
      </c>
      <c r="C4530" s="62" t="s">
        <v>60</v>
      </c>
      <c r="D4530" s="62" t="s">
        <v>72</v>
      </c>
      <c r="E4530" s="62" t="s">
        <v>382</v>
      </c>
      <c r="F4530" s="63" t="s">
        <v>421</v>
      </c>
      <c r="G4530" s="64" t="n">
        <v>-100000</v>
      </c>
      <c r="H4530" s="62" t="s">
        <v>138</v>
      </c>
    </row>
    <row r="4531" customFormat="false" ht="15" hidden="false" customHeight="false" outlineLevel="0" collapsed="false">
      <c r="A4531" s="62" t="n">
        <v>1</v>
      </c>
      <c r="B4531" s="62" t="s">
        <v>383</v>
      </c>
      <c r="C4531" s="62" t="s">
        <v>60</v>
      </c>
      <c r="D4531" s="62" t="s">
        <v>72</v>
      </c>
      <c r="E4531" s="62" t="s">
        <v>382</v>
      </c>
      <c r="F4531" s="63" t="s">
        <v>421</v>
      </c>
      <c r="G4531" s="64" t="n">
        <v>-6680000</v>
      </c>
      <c r="H4531" s="62" t="s">
        <v>138</v>
      </c>
    </row>
    <row r="4532" customFormat="false" ht="15" hidden="false" customHeight="false" outlineLevel="0" collapsed="false">
      <c r="A4532" s="62" t="n">
        <v>1</v>
      </c>
      <c r="B4532" s="62" t="s">
        <v>384</v>
      </c>
      <c r="C4532" s="62" t="s">
        <v>60</v>
      </c>
      <c r="D4532" s="62" t="s">
        <v>72</v>
      </c>
      <c r="E4532" s="62" t="s">
        <v>382</v>
      </c>
      <c r="F4532" s="63" t="s">
        <v>421</v>
      </c>
      <c r="G4532" s="64" t="n">
        <v>-2200000</v>
      </c>
      <c r="H4532" s="62" t="s">
        <v>138</v>
      </c>
    </row>
    <row r="4533" customFormat="false" ht="15" hidden="false" customHeight="false" outlineLevel="0" collapsed="false">
      <c r="A4533" s="62" t="n">
        <v>1</v>
      </c>
      <c r="B4533" s="62" t="s">
        <v>385</v>
      </c>
      <c r="C4533" s="62" t="s">
        <v>60</v>
      </c>
      <c r="D4533" s="62" t="s">
        <v>72</v>
      </c>
      <c r="E4533" s="62" t="s">
        <v>382</v>
      </c>
      <c r="F4533" s="63" t="s">
        <v>421</v>
      </c>
      <c r="G4533" s="64" t="n">
        <v>-100000</v>
      </c>
      <c r="H4533" s="62" t="s">
        <v>138</v>
      </c>
    </row>
    <row r="4534" customFormat="false" ht="15" hidden="false" customHeight="false" outlineLevel="0" collapsed="false">
      <c r="A4534" s="62" t="n">
        <v>1</v>
      </c>
      <c r="B4534" s="62" t="s">
        <v>386</v>
      </c>
      <c r="C4534" s="62" t="s">
        <v>60</v>
      </c>
      <c r="D4534" s="62" t="s">
        <v>72</v>
      </c>
      <c r="E4534" s="62" t="s">
        <v>382</v>
      </c>
      <c r="F4534" s="63" t="s">
        <v>421</v>
      </c>
      <c r="G4534" s="64" t="n">
        <v>-2600000</v>
      </c>
      <c r="H4534" s="62" t="s">
        <v>138</v>
      </c>
    </row>
    <row r="4535" customFormat="false" ht="15" hidden="false" customHeight="false" outlineLevel="0" collapsed="false">
      <c r="A4535" s="62" t="n">
        <v>1</v>
      </c>
      <c r="B4535" s="62" t="s">
        <v>387</v>
      </c>
      <c r="C4535" s="62" t="s">
        <v>60</v>
      </c>
      <c r="D4535" s="62" t="s">
        <v>72</v>
      </c>
      <c r="E4535" s="62" t="s">
        <v>382</v>
      </c>
      <c r="F4535" s="63" t="s">
        <v>421</v>
      </c>
      <c r="G4535" s="64" t="n">
        <v>400000</v>
      </c>
      <c r="H4535" s="62" t="s">
        <v>138</v>
      </c>
    </row>
    <row r="4536" customFormat="false" ht="15" hidden="false" customHeight="false" outlineLevel="0" collapsed="false">
      <c r="A4536" s="62" t="n">
        <v>1</v>
      </c>
      <c r="B4536" s="62" t="s">
        <v>388</v>
      </c>
      <c r="C4536" s="62" t="s">
        <v>60</v>
      </c>
      <c r="D4536" s="62" t="s">
        <v>72</v>
      </c>
      <c r="E4536" s="62" t="s">
        <v>382</v>
      </c>
      <c r="F4536" s="63" t="s">
        <v>421</v>
      </c>
      <c r="G4536" s="64" t="n">
        <v>-100000</v>
      </c>
      <c r="H4536" s="62" t="s">
        <v>138</v>
      </c>
    </row>
    <row r="4537" customFormat="false" ht="15" hidden="false" customHeight="false" outlineLevel="0" collapsed="false">
      <c r="A4537" s="62" t="n">
        <v>1</v>
      </c>
      <c r="B4537" s="62" t="s">
        <v>381</v>
      </c>
      <c r="C4537" s="62" t="s">
        <v>60</v>
      </c>
      <c r="D4537" s="62" t="s">
        <v>72</v>
      </c>
      <c r="E4537" s="62" t="s">
        <v>382</v>
      </c>
      <c r="F4537" s="63" t="s">
        <v>422</v>
      </c>
      <c r="G4537" s="64" t="n">
        <v>93135.8152886739</v>
      </c>
      <c r="H4537" s="62" t="s">
        <v>138</v>
      </c>
    </row>
    <row r="4538" customFormat="false" ht="15" hidden="false" customHeight="false" outlineLevel="0" collapsed="false">
      <c r="A4538" s="62" t="n">
        <v>1</v>
      </c>
      <c r="B4538" s="62" t="s">
        <v>383</v>
      </c>
      <c r="C4538" s="62" t="s">
        <v>60</v>
      </c>
      <c r="D4538" s="62" t="s">
        <v>72</v>
      </c>
      <c r="E4538" s="62" t="s">
        <v>382</v>
      </c>
      <c r="F4538" s="63" t="s">
        <v>422</v>
      </c>
      <c r="G4538" s="64" t="n">
        <v>214853.39638764</v>
      </c>
      <c r="H4538" s="62" t="s">
        <v>138</v>
      </c>
    </row>
    <row r="4539" customFormat="false" ht="15" hidden="false" customHeight="false" outlineLevel="0" collapsed="false">
      <c r="A4539" s="62" t="n">
        <v>1</v>
      </c>
      <c r="B4539" s="62" t="s">
        <v>384</v>
      </c>
      <c r="C4539" s="62" t="s">
        <v>60</v>
      </c>
      <c r="D4539" s="62" t="s">
        <v>72</v>
      </c>
      <c r="E4539" s="62" t="s">
        <v>382</v>
      </c>
      <c r="F4539" s="63" t="s">
        <v>422</v>
      </c>
      <c r="G4539" s="64" t="n">
        <v>218313.748874509</v>
      </c>
      <c r="H4539" s="62" t="s">
        <v>138</v>
      </c>
    </row>
    <row r="4540" customFormat="false" ht="15" hidden="false" customHeight="false" outlineLevel="0" collapsed="false">
      <c r="A4540" s="62" t="n">
        <v>1</v>
      </c>
      <c r="B4540" s="62" t="s">
        <v>385</v>
      </c>
      <c r="C4540" s="62" t="s">
        <v>60</v>
      </c>
      <c r="D4540" s="62" t="s">
        <v>72</v>
      </c>
      <c r="E4540" s="62" t="s">
        <v>382</v>
      </c>
      <c r="F4540" s="63" t="s">
        <v>422</v>
      </c>
      <c r="G4540" s="64" t="n">
        <v>74623.9205534097</v>
      </c>
      <c r="H4540" s="62" t="s">
        <v>138</v>
      </c>
    </row>
    <row r="4541" customFormat="false" ht="15" hidden="false" customHeight="false" outlineLevel="0" collapsed="false">
      <c r="A4541" s="62" t="n">
        <v>1</v>
      </c>
      <c r="B4541" s="62" t="s">
        <v>386</v>
      </c>
      <c r="C4541" s="62" t="s">
        <v>60</v>
      </c>
      <c r="D4541" s="62" t="s">
        <v>72</v>
      </c>
      <c r="E4541" s="62" t="s">
        <v>382</v>
      </c>
      <c r="F4541" s="63" t="s">
        <v>422</v>
      </c>
      <c r="G4541" s="64" t="n">
        <v>31718.8311715308</v>
      </c>
      <c r="H4541" s="62" t="s">
        <v>138</v>
      </c>
    </row>
    <row r="4542" customFormat="false" ht="15" hidden="false" customHeight="false" outlineLevel="0" collapsed="false">
      <c r="A4542" s="62" t="n">
        <v>1</v>
      </c>
      <c r="B4542" s="62" t="s">
        <v>387</v>
      </c>
      <c r="C4542" s="62" t="s">
        <v>60</v>
      </c>
      <c r="D4542" s="62" t="s">
        <v>72</v>
      </c>
      <c r="E4542" s="62" t="s">
        <v>382</v>
      </c>
      <c r="F4542" s="63" t="s">
        <v>422</v>
      </c>
      <c r="G4542" s="64" t="n">
        <v>146196.933109998</v>
      </c>
      <c r="H4542" s="62" t="s">
        <v>138</v>
      </c>
    </row>
    <row r="4543" customFormat="false" ht="15" hidden="false" customHeight="false" outlineLevel="0" collapsed="false">
      <c r="A4543" s="62" t="n">
        <v>1</v>
      </c>
      <c r="B4543" s="62" t="s">
        <v>388</v>
      </c>
      <c r="C4543" s="62" t="s">
        <v>60</v>
      </c>
      <c r="D4543" s="62" t="s">
        <v>72</v>
      </c>
      <c r="E4543" s="62" t="s">
        <v>382</v>
      </c>
      <c r="F4543" s="63" t="s">
        <v>422</v>
      </c>
      <c r="G4543" s="64" t="n">
        <v>0</v>
      </c>
      <c r="H4543" s="62" t="s">
        <v>138</v>
      </c>
    </row>
    <row r="4544" customFormat="false" ht="15" hidden="false" customHeight="false" outlineLevel="0" collapsed="false">
      <c r="A4544" s="62" t="n">
        <v>1</v>
      </c>
      <c r="B4544" s="62" t="s">
        <v>381</v>
      </c>
      <c r="C4544" s="62" t="s">
        <v>60</v>
      </c>
      <c r="D4544" s="62" t="s">
        <v>72</v>
      </c>
      <c r="E4544" s="62" t="s">
        <v>382</v>
      </c>
      <c r="F4544" s="63" t="s">
        <v>423</v>
      </c>
      <c r="G4544" s="64" t="n">
        <v>-6864.18471132615</v>
      </c>
      <c r="H4544" s="62" t="s">
        <v>138</v>
      </c>
    </row>
    <row r="4545" customFormat="false" ht="15" hidden="false" customHeight="false" outlineLevel="0" collapsed="false">
      <c r="A4545" s="62" t="n">
        <v>1</v>
      </c>
      <c r="B4545" s="62" t="s">
        <v>383</v>
      </c>
      <c r="C4545" s="62" t="s">
        <v>60</v>
      </c>
      <c r="D4545" s="62" t="s">
        <v>72</v>
      </c>
      <c r="E4545" s="62" t="s">
        <v>382</v>
      </c>
      <c r="F4545" s="63" t="s">
        <v>423</v>
      </c>
      <c r="G4545" s="64" t="n">
        <v>-6465146.60361236</v>
      </c>
      <c r="H4545" s="62" t="s">
        <v>138</v>
      </c>
    </row>
    <row r="4546" customFormat="false" ht="15" hidden="false" customHeight="false" outlineLevel="0" collapsed="false">
      <c r="A4546" s="62" t="n">
        <v>1</v>
      </c>
      <c r="B4546" s="62" t="s">
        <v>384</v>
      </c>
      <c r="C4546" s="62" t="s">
        <v>60</v>
      </c>
      <c r="D4546" s="62" t="s">
        <v>72</v>
      </c>
      <c r="E4546" s="62" t="s">
        <v>382</v>
      </c>
      <c r="F4546" s="63" t="s">
        <v>423</v>
      </c>
      <c r="G4546" s="64" t="n">
        <v>-1981686.25112549</v>
      </c>
      <c r="H4546" s="62" t="s">
        <v>138</v>
      </c>
    </row>
    <row r="4547" customFormat="false" ht="15" hidden="false" customHeight="false" outlineLevel="0" collapsed="false">
      <c r="A4547" s="62" t="n">
        <v>1</v>
      </c>
      <c r="B4547" s="62" t="s">
        <v>385</v>
      </c>
      <c r="C4547" s="62" t="s">
        <v>60</v>
      </c>
      <c r="D4547" s="62" t="s">
        <v>72</v>
      </c>
      <c r="E4547" s="62" t="s">
        <v>382</v>
      </c>
      <c r="F4547" s="63" t="s">
        <v>423</v>
      </c>
      <c r="G4547" s="64" t="n">
        <v>-25376.0794465903</v>
      </c>
      <c r="H4547" s="62" t="s">
        <v>138</v>
      </c>
    </row>
    <row r="4548" customFormat="false" ht="15" hidden="false" customHeight="false" outlineLevel="0" collapsed="false">
      <c r="A4548" s="62" t="n">
        <v>1</v>
      </c>
      <c r="B4548" s="62" t="s">
        <v>386</v>
      </c>
      <c r="C4548" s="62" t="s">
        <v>60</v>
      </c>
      <c r="D4548" s="62" t="s">
        <v>72</v>
      </c>
      <c r="E4548" s="62" t="s">
        <v>382</v>
      </c>
      <c r="F4548" s="63" t="s">
        <v>423</v>
      </c>
      <c r="G4548" s="64" t="n">
        <v>-1604381.03250551</v>
      </c>
      <c r="H4548" s="62" t="s">
        <v>138</v>
      </c>
    </row>
    <row r="4549" customFormat="false" ht="15" hidden="false" customHeight="false" outlineLevel="0" collapsed="false">
      <c r="A4549" s="62" t="n">
        <v>1</v>
      </c>
      <c r="B4549" s="62" t="s">
        <v>387</v>
      </c>
      <c r="C4549" s="62" t="s">
        <v>60</v>
      </c>
      <c r="D4549" s="62" t="s">
        <v>72</v>
      </c>
      <c r="E4549" s="62" t="s">
        <v>382</v>
      </c>
      <c r="F4549" s="63" t="s">
        <v>423</v>
      </c>
      <c r="G4549" s="64" t="n">
        <v>546196.933109998</v>
      </c>
      <c r="H4549" s="62" t="s">
        <v>138</v>
      </c>
    </row>
    <row r="4550" customFormat="false" ht="15" hidden="false" customHeight="false" outlineLevel="0" collapsed="false">
      <c r="A4550" s="62" t="n">
        <v>1</v>
      </c>
      <c r="B4550" s="62" t="s">
        <v>388</v>
      </c>
      <c r="C4550" s="62" t="s">
        <v>60</v>
      </c>
      <c r="D4550" s="62" t="s">
        <v>72</v>
      </c>
      <c r="E4550" s="62" t="s">
        <v>382</v>
      </c>
      <c r="F4550" s="63" t="s">
        <v>423</v>
      </c>
      <c r="G4550" s="64" t="n">
        <v>-100000</v>
      </c>
      <c r="H4550" s="62" t="s">
        <v>138</v>
      </c>
    </row>
    <row r="4551" customFormat="false" ht="15" hidden="false" customHeight="false" outlineLevel="0" collapsed="false">
      <c r="A4551" s="62" t="n">
        <v>1</v>
      </c>
      <c r="B4551" s="62" t="s">
        <v>381</v>
      </c>
      <c r="C4551" s="62" t="s">
        <v>60</v>
      </c>
      <c r="D4551" s="62" t="s">
        <v>72</v>
      </c>
      <c r="E4551" s="62" t="s">
        <v>382</v>
      </c>
      <c r="F4551" s="63" t="s">
        <v>399</v>
      </c>
      <c r="G4551" s="64" t="n">
        <v>2232077.22223929</v>
      </c>
      <c r="H4551" s="62" t="s">
        <v>138</v>
      </c>
    </row>
    <row r="4552" customFormat="false" ht="15" hidden="false" customHeight="false" outlineLevel="0" collapsed="false">
      <c r="A4552" s="62" t="n">
        <v>1</v>
      </c>
      <c r="B4552" s="62" t="s">
        <v>383</v>
      </c>
      <c r="C4552" s="62" t="s">
        <v>60</v>
      </c>
      <c r="D4552" s="62" t="s">
        <v>72</v>
      </c>
      <c r="E4552" s="62" t="s">
        <v>382</v>
      </c>
      <c r="F4552" s="63" t="s">
        <v>399</v>
      </c>
      <c r="G4552" s="64" t="n">
        <v>5326968.94558665</v>
      </c>
      <c r="H4552" s="62" t="s">
        <v>138</v>
      </c>
    </row>
    <row r="4553" customFormat="false" ht="15" hidden="false" customHeight="false" outlineLevel="0" collapsed="false">
      <c r="A4553" s="62" t="n">
        <v>1</v>
      </c>
      <c r="B4553" s="62" t="s">
        <v>384</v>
      </c>
      <c r="C4553" s="62" t="s">
        <v>60</v>
      </c>
      <c r="D4553" s="62" t="s">
        <v>72</v>
      </c>
      <c r="E4553" s="62" t="s">
        <v>382</v>
      </c>
      <c r="F4553" s="63" t="s">
        <v>399</v>
      </c>
      <c r="G4553" s="64" t="n">
        <v>6078746.63256423</v>
      </c>
      <c r="H4553" s="62" t="s">
        <v>138</v>
      </c>
    </row>
    <row r="4554" customFormat="false" ht="15" hidden="false" customHeight="false" outlineLevel="0" collapsed="false">
      <c r="A4554" s="62" t="n">
        <v>1</v>
      </c>
      <c r="B4554" s="62" t="s">
        <v>385</v>
      </c>
      <c r="C4554" s="62" t="s">
        <v>60</v>
      </c>
      <c r="D4554" s="62" t="s">
        <v>72</v>
      </c>
      <c r="E4554" s="62" t="s">
        <v>382</v>
      </c>
      <c r="F4554" s="63" t="s">
        <v>399</v>
      </c>
      <c r="G4554" s="64" t="n">
        <v>3910268.61576856</v>
      </c>
      <c r="H4554" s="62" t="s">
        <v>138</v>
      </c>
    </row>
    <row r="4555" customFormat="false" ht="15" hidden="false" customHeight="false" outlineLevel="0" collapsed="false">
      <c r="A4555" s="62" t="n">
        <v>1</v>
      </c>
      <c r="B4555" s="62" t="s">
        <v>386</v>
      </c>
      <c r="C4555" s="62" t="s">
        <v>60</v>
      </c>
      <c r="D4555" s="62" t="s">
        <v>72</v>
      </c>
      <c r="E4555" s="62" t="s">
        <v>382</v>
      </c>
      <c r="F4555" s="63" t="s">
        <v>399</v>
      </c>
      <c r="G4555" s="64" t="n">
        <v>218206.770469722</v>
      </c>
      <c r="H4555" s="62" t="s">
        <v>138</v>
      </c>
    </row>
    <row r="4556" customFormat="false" ht="15" hidden="false" customHeight="false" outlineLevel="0" collapsed="false">
      <c r="A4556" s="62" t="n">
        <v>1</v>
      </c>
      <c r="B4556" s="62" t="s">
        <v>387</v>
      </c>
      <c r="C4556" s="62" t="s">
        <v>60</v>
      </c>
      <c r="D4556" s="62" t="s">
        <v>72</v>
      </c>
      <c r="E4556" s="62" t="s">
        <v>382</v>
      </c>
      <c r="F4556" s="63" t="s">
        <v>399</v>
      </c>
      <c r="G4556" s="64" t="n">
        <v>2659921.74705164</v>
      </c>
      <c r="H4556" s="62" t="s">
        <v>138</v>
      </c>
    </row>
    <row r="4557" customFormat="false" ht="15" hidden="false" customHeight="false" outlineLevel="0" collapsed="false">
      <c r="A4557" s="62" t="n">
        <v>1</v>
      </c>
      <c r="B4557" s="62" t="s">
        <v>388</v>
      </c>
      <c r="C4557" s="62" t="s">
        <v>60</v>
      </c>
      <c r="D4557" s="62" t="s">
        <v>72</v>
      </c>
      <c r="E4557" s="62" t="s">
        <v>382</v>
      </c>
      <c r="F4557" s="63" t="s">
        <v>399</v>
      </c>
      <c r="G4557" s="64" t="n">
        <v>1031957.82035749</v>
      </c>
      <c r="H4557" s="62" t="s">
        <v>138</v>
      </c>
    </row>
    <row r="4558" customFormat="false" ht="15" hidden="false" customHeight="false" outlineLevel="0" collapsed="false">
      <c r="A4558" s="62" t="n">
        <v>1</v>
      </c>
      <c r="B4558" s="62" t="s">
        <v>381</v>
      </c>
      <c r="C4558" s="62" t="s">
        <v>60</v>
      </c>
      <c r="D4558" s="62" t="s">
        <v>72</v>
      </c>
      <c r="E4558" s="62" t="s">
        <v>382</v>
      </c>
      <c r="F4558" s="63" t="s">
        <v>443</v>
      </c>
      <c r="G4558" s="64" t="n">
        <v>1174541.65231553</v>
      </c>
      <c r="H4558" s="62" t="s">
        <v>138</v>
      </c>
    </row>
    <row r="4559" customFormat="false" ht="15" hidden="false" customHeight="false" outlineLevel="0" collapsed="false">
      <c r="A4559" s="62" t="n">
        <v>1</v>
      </c>
      <c r="B4559" s="62" t="s">
        <v>383</v>
      </c>
      <c r="C4559" s="62" t="s">
        <v>60</v>
      </c>
      <c r="D4559" s="62" t="s">
        <v>72</v>
      </c>
      <c r="E4559" s="62" t="s">
        <v>382</v>
      </c>
      <c r="F4559" s="63" t="s">
        <v>443</v>
      </c>
      <c r="G4559" s="64" t="n">
        <v>13843389.3290605</v>
      </c>
      <c r="H4559" s="62" t="s">
        <v>138</v>
      </c>
    </row>
    <row r="4560" customFormat="false" ht="15" hidden="false" customHeight="false" outlineLevel="0" collapsed="false">
      <c r="A4560" s="62" t="n">
        <v>1</v>
      </c>
      <c r="B4560" s="62" t="s">
        <v>384</v>
      </c>
      <c r="C4560" s="62" t="s">
        <v>60</v>
      </c>
      <c r="D4560" s="62" t="s">
        <v>72</v>
      </c>
      <c r="E4560" s="62" t="s">
        <v>382</v>
      </c>
      <c r="F4560" s="63" t="s">
        <v>443</v>
      </c>
      <c r="G4560" s="64" t="n">
        <v>8985592.69874743</v>
      </c>
      <c r="H4560" s="62" t="s">
        <v>138</v>
      </c>
    </row>
    <row r="4561" customFormat="false" ht="15" hidden="false" customHeight="false" outlineLevel="0" collapsed="false">
      <c r="A4561" s="62" t="n">
        <v>1</v>
      </c>
      <c r="B4561" s="62" t="s">
        <v>385</v>
      </c>
      <c r="C4561" s="62" t="s">
        <v>60</v>
      </c>
      <c r="D4561" s="62" t="s">
        <v>72</v>
      </c>
      <c r="E4561" s="62" t="s">
        <v>382</v>
      </c>
      <c r="F4561" s="63" t="s">
        <v>443</v>
      </c>
      <c r="G4561" s="64" t="n">
        <v>2907199.03780305</v>
      </c>
      <c r="H4561" s="62" t="s">
        <v>138</v>
      </c>
    </row>
    <row r="4562" customFormat="false" ht="15" hidden="false" customHeight="false" outlineLevel="0" collapsed="false">
      <c r="A4562" s="62" t="n">
        <v>1</v>
      </c>
      <c r="B4562" s="62" t="s">
        <v>386</v>
      </c>
      <c r="C4562" s="62" t="s">
        <v>60</v>
      </c>
      <c r="D4562" s="62" t="s">
        <v>72</v>
      </c>
      <c r="E4562" s="62" t="s">
        <v>382</v>
      </c>
      <c r="F4562" s="63" t="s">
        <v>443</v>
      </c>
      <c r="G4562" s="64" t="n">
        <v>1503068.60760445</v>
      </c>
      <c r="H4562" s="62" t="s">
        <v>138</v>
      </c>
    </row>
    <row r="4563" customFormat="false" ht="15" hidden="false" customHeight="false" outlineLevel="0" collapsed="false">
      <c r="A4563" s="62" t="n">
        <v>1</v>
      </c>
      <c r="B4563" s="62" t="s">
        <v>387</v>
      </c>
      <c r="C4563" s="62" t="s">
        <v>60</v>
      </c>
      <c r="D4563" s="62" t="s">
        <v>72</v>
      </c>
      <c r="E4563" s="62" t="s">
        <v>382</v>
      </c>
      <c r="F4563" s="63" t="s">
        <v>443</v>
      </c>
      <c r="G4563" s="64" t="n">
        <v>706367.257140882</v>
      </c>
      <c r="H4563" s="62" t="s">
        <v>138</v>
      </c>
    </row>
    <row r="4564" customFormat="false" ht="15" hidden="false" customHeight="false" outlineLevel="0" collapsed="false">
      <c r="A4564" s="62" t="n">
        <v>1</v>
      </c>
      <c r="B4564" s="62" t="s">
        <v>388</v>
      </c>
      <c r="C4564" s="62" t="s">
        <v>60</v>
      </c>
      <c r="D4564" s="62" t="s">
        <v>72</v>
      </c>
      <c r="E4564" s="62" t="s">
        <v>382</v>
      </c>
      <c r="F4564" s="63" t="s">
        <v>443</v>
      </c>
      <c r="G4564" s="64" t="n">
        <v>-590066</v>
      </c>
      <c r="H4564" s="62" t="s">
        <v>138</v>
      </c>
    </row>
    <row r="4565" customFormat="false" ht="15" hidden="false" customHeight="false" outlineLevel="0" collapsed="false">
      <c r="A4565" s="62" t="n">
        <v>1</v>
      </c>
      <c r="B4565" s="62" t="s">
        <v>381</v>
      </c>
      <c r="C4565" s="62" t="s">
        <v>60</v>
      </c>
      <c r="D4565" s="62" t="s">
        <v>72</v>
      </c>
      <c r="E4565" s="62" t="s">
        <v>382</v>
      </c>
      <c r="F4565" s="63" t="s">
        <v>444</v>
      </c>
      <c r="G4565" s="64" t="n">
        <v>133616.664046421</v>
      </c>
      <c r="H4565" s="62" t="s">
        <v>138</v>
      </c>
    </row>
    <row r="4566" customFormat="false" ht="15" hidden="false" customHeight="false" outlineLevel="0" collapsed="false">
      <c r="A4566" s="62" t="n">
        <v>1</v>
      </c>
      <c r="B4566" s="62" t="s">
        <v>383</v>
      </c>
      <c r="C4566" s="62" t="s">
        <v>60</v>
      </c>
      <c r="D4566" s="62" t="s">
        <v>72</v>
      </c>
      <c r="E4566" s="62" t="s">
        <v>382</v>
      </c>
      <c r="F4566" s="63" t="s">
        <v>444</v>
      </c>
      <c r="G4566" s="64" t="n">
        <v>-749817.662285614</v>
      </c>
      <c r="H4566" s="62" t="s">
        <v>138</v>
      </c>
    </row>
    <row r="4567" customFormat="false" ht="15" hidden="false" customHeight="false" outlineLevel="0" collapsed="false">
      <c r="A4567" s="62" t="n">
        <v>1</v>
      </c>
      <c r="B4567" s="62" t="s">
        <v>384</v>
      </c>
      <c r="C4567" s="62" t="s">
        <v>60</v>
      </c>
      <c r="D4567" s="62" t="s">
        <v>72</v>
      </c>
      <c r="E4567" s="62" t="s">
        <v>382</v>
      </c>
      <c r="F4567" s="63" t="s">
        <v>444</v>
      </c>
      <c r="G4567" s="64" t="n">
        <v>-300404.838878924</v>
      </c>
      <c r="H4567" s="62" t="s">
        <v>138</v>
      </c>
    </row>
    <row r="4568" customFormat="false" ht="15" hidden="false" customHeight="false" outlineLevel="0" collapsed="false">
      <c r="A4568" s="62" t="n">
        <v>1</v>
      </c>
      <c r="B4568" s="62" t="s">
        <v>385</v>
      </c>
      <c r="C4568" s="62" t="s">
        <v>60</v>
      </c>
      <c r="D4568" s="62" t="s">
        <v>72</v>
      </c>
      <c r="E4568" s="62" t="s">
        <v>382</v>
      </c>
      <c r="F4568" s="63" t="s">
        <v>444</v>
      </c>
      <c r="G4568" s="64" t="n">
        <v>172113.518773683</v>
      </c>
      <c r="H4568" s="62" t="s">
        <v>138</v>
      </c>
    </row>
    <row r="4569" customFormat="false" ht="15" hidden="false" customHeight="false" outlineLevel="0" collapsed="false">
      <c r="A4569" s="62" t="n">
        <v>1</v>
      </c>
      <c r="B4569" s="62" t="s">
        <v>386</v>
      </c>
      <c r="C4569" s="62" t="s">
        <v>60</v>
      </c>
      <c r="D4569" s="62" t="s">
        <v>72</v>
      </c>
      <c r="E4569" s="62" t="s">
        <v>382</v>
      </c>
      <c r="F4569" s="63" t="s">
        <v>444</v>
      </c>
      <c r="G4569" s="64" t="n">
        <v>440757.229530278</v>
      </c>
      <c r="H4569" s="62" t="s">
        <v>138</v>
      </c>
    </row>
    <row r="4570" customFormat="false" ht="15" hidden="false" customHeight="false" outlineLevel="0" collapsed="false">
      <c r="A4570" s="62" t="n">
        <v>1</v>
      </c>
      <c r="B4570" s="62" t="s">
        <v>387</v>
      </c>
      <c r="C4570" s="62" t="s">
        <v>60</v>
      </c>
      <c r="D4570" s="62" t="s">
        <v>72</v>
      </c>
      <c r="E4570" s="62" t="s">
        <v>382</v>
      </c>
      <c r="F4570" s="63" t="s">
        <v>444</v>
      </c>
      <c r="G4570" s="64" t="n">
        <v>-108488.503695798</v>
      </c>
      <c r="H4570" s="62" t="s">
        <v>138</v>
      </c>
    </row>
    <row r="4571" customFormat="false" ht="15" hidden="false" customHeight="false" outlineLevel="0" collapsed="false">
      <c r="A4571" s="62" t="n">
        <v>1</v>
      </c>
      <c r="B4571" s="62" t="s">
        <v>388</v>
      </c>
      <c r="C4571" s="62" t="s">
        <v>60</v>
      </c>
      <c r="D4571" s="62" t="s">
        <v>72</v>
      </c>
      <c r="E4571" s="62" t="s">
        <v>382</v>
      </c>
      <c r="F4571" s="63" t="s">
        <v>444</v>
      </c>
      <c r="G4571" s="64" t="n">
        <v>656964</v>
      </c>
      <c r="H4571" s="62" t="s">
        <v>138</v>
      </c>
    </row>
    <row r="4572" customFormat="false" ht="15" hidden="false" customHeight="false" outlineLevel="0" collapsed="false">
      <c r="A4572" s="62" t="n">
        <v>1</v>
      </c>
      <c r="B4572" s="62" t="s">
        <v>381</v>
      </c>
      <c r="C4572" s="62" t="s">
        <v>60</v>
      </c>
      <c r="D4572" s="62" t="s">
        <v>72</v>
      </c>
      <c r="E4572" s="62" t="s">
        <v>382</v>
      </c>
      <c r="F4572" s="63" t="s">
        <v>446</v>
      </c>
      <c r="G4572" s="64" t="n">
        <v>-12869.5118084805</v>
      </c>
      <c r="H4572" s="62" t="s">
        <v>138</v>
      </c>
    </row>
    <row r="4573" customFormat="false" ht="15" hidden="false" customHeight="false" outlineLevel="0" collapsed="false">
      <c r="A4573" s="62" t="n">
        <v>1</v>
      </c>
      <c r="B4573" s="62" t="s">
        <v>383</v>
      </c>
      <c r="C4573" s="62" t="s">
        <v>60</v>
      </c>
      <c r="D4573" s="62" t="s">
        <v>72</v>
      </c>
      <c r="E4573" s="62" t="s">
        <v>382</v>
      </c>
      <c r="F4573" s="63" t="s">
        <v>446</v>
      </c>
      <c r="G4573" s="64" t="n">
        <v>108848.069290486</v>
      </c>
      <c r="H4573" s="62" t="s">
        <v>138</v>
      </c>
    </row>
    <row r="4574" customFormat="false" ht="15" hidden="false" customHeight="false" outlineLevel="0" collapsed="false">
      <c r="A4574" s="62" t="n">
        <v>1</v>
      </c>
      <c r="B4574" s="62" t="s">
        <v>384</v>
      </c>
      <c r="C4574" s="62" t="s">
        <v>60</v>
      </c>
      <c r="D4574" s="62" t="s">
        <v>72</v>
      </c>
      <c r="E4574" s="62" t="s">
        <v>382</v>
      </c>
      <c r="F4574" s="63" t="s">
        <v>446</v>
      </c>
      <c r="G4574" s="64" t="n">
        <v>112308.421777355</v>
      </c>
      <c r="H4574" s="62" t="s">
        <v>138</v>
      </c>
    </row>
    <row r="4575" customFormat="false" ht="15" hidden="false" customHeight="false" outlineLevel="0" collapsed="false">
      <c r="A4575" s="62" t="n">
        <v>1</v>
      </c>
      <c r="B4575" s="62" t="s">
        <v>385</v>
      </c>
      <c r="C4575" s="62" t="s">
        <v>60</v>
      </c>
      <c r="D4575" s="62" t="s">
        <v>72</v>
      </c>
      <c r="E4575" s="62" t="s">
        <v>382</v>
      </c>
      <c r="F4575" s="63" t="s">
        <v>446</v>
      </c>
      <c r="G4575" s="64" t="n">
        <v>-31381.4065437446</v>
      </c>
      <c r="H4575" s="62" t="s">
        <v>138</v>
      </c>
    </row>
    <row r="4576" customFormat="false" ht="15" hidden="false" customHeight="false" outlineLevel="0" collapsed="false">
      <c r="A4576" s="62" t="n">
        <v>1</v>
      </c>
      <c r="B4576" s="62" t="s">
        <v>386</v>
      </c>
      <c r="C4576" s="62" t="s">
        <v>60</v>
      </c>
      <c r="D4576" s="62" t="s">
        <v>72</v>
      </c>
      <c r="E4576" s="62" t="s">
        <v>382</v>
      </c>
      <c r="F4576" s="63" t="s">
        <v>446</v>
      </c>
      <c r="G4576" s="64" t="n">
        <v>-74286.4959256235</v>
      </c>
      <c r="H4576" s="62" t="s">
        <v>138</v>
      </c>
    </row>
    <row r="4577" customFormat="false" ht="15" hidden="false" customHeight="false" outlineLevel="0" collapsed="false">
      <c r="A4577" s="62" t="n">
        <v>1</v>
      </c>
      <c r="B4577" s="62" t="s">
        <v>387</v>
      </c>
      <c r="C4577" s="62" t="s">
        <v>60</v>
      </c>
      <c r="D4577" s="62" t="s">
        <v>72</v>
      </c>
      <c r="E4577" s="62" t="s">
        <v>382</v>
      </c>
      <c r="F4577" s="63" t="s">
        <v>446</v>
      </c>
      <c r="G4577" s="64" t="n">
        <v>40191.6060128434</v>
      </c>
      <c r="H4577" s="62" t="s">
        <v>138</v>
      </c>
    </row>
    <row r="4578" customFormat="false" ht="15" hidden="false" customHeight="false" outlineLevel="0" collapsed="false">
      <c r="A4578" s="62" t="n">
        <v>1</v>
      </c>
      <c r="B4578" s="62" t="s">
        <v>388</v>
      </c>
      <c r="C4578" s="62" t="s">
        <v>60</v>
      </c>
      <c r="D4578" s="62" t="s">
        <v>72</v>
      </c>
      <c r="E4578" s="62" t="s">
        <v>382</v>
      </c>
      <c r="F4578" s="63" t="s">
        <v>446</v>
      </c>
      <c r="G4578" s="64" t="n">
        <v>-106005.327097154</v>
      </c>
      <c r="H4578" s="62" t="s">
        <v>138</v>
      </c>
    </row>
    <row r="4579" customFormat="false" ht="15" hidden="false" customHeight="false" outlineLevel="0" collapsed="false">
      <c r="A4579" s="62" t="n">
        <v>1</v>
      </c>
      <c r="B4579" s="62" t="s">
        <v>381</v>
      </c>
      <c r="C4579" s="62" t="s">
        <v>60</v>
      </c>
      <c r="D4579" s="62" t="s">
        <v>72</v>
      </c>
      <c r="E4579" s="62" t="s">
        <v>382</v>
      </c>
      <c r="F4579" s="63" t="s">
        <v>447</v>
      </c>
      <c r="G4579" s="64" t="n">
        <v>43304.0058154871</v>
      </c>
      <c r="H4579" s="62" t="s">
        <v>138</v>
      </c>
    </row>
    <row r="4580" customFormat="false" ht="15" hidden="false" customHeight="false" outlineLevel="0" collapsed="false">
      <c r="A4580" s="62" t="n">
        <v>1</v>
      </c>
      <c r="B4580" s="62" t="s">
        <v>383</v>
      </c>
      <c r="C4580" s="62" t="s">
        <v>60</v>
      </c>
      <c r="D4580" s="62" t="s">
        <v>72</v>
      </c>
      <c r="E4580" s="62" t="s">
        <v>382</v>
      </c>
      <c r="F4580" s="63" t="s">
        <v>447</v>
      </c>
      <c r="G4580" s="64" t="n">
        <v>76475.8667707171</v>
      </c>
      <c r="H4580" s="62" t="s">
        <v>138</v>
      </c>
    </row>
    <row r="4581" customFormat="false" ht="15" hidden="false" customHeight="false" outlineLevel="0" collapsed="false">
      <c r="A4581" s="62" t="n">
        <v>1</v>
      </c>
      <c r="B4581" s="62" t="s">
        <v>384</v>
      </c>
      <c r="C4581" s="62" t="s">
        <v>60</v>
      </c>
      <c r="D4581" s="62" t="s">
        <v>72</v>
      </c>
      <c r="E4581" s="62" t="s">
        <v>382</v>
      </c>
      <c r="F4581" s="63" t="s">
        <v>447</v>
      </c>
      <c r="G4581" s="64" t="n">
        <v>94493.7244264811</v>
      </c>
      <c r="H4581" s="62" t="s">
        <v>138</v>
      </c>
    </row>
    <row r="4582" customFormat="false" ht="15" hidden="false" customHeight="false" outlineLevel="0" collapsed="false">
      <c r="A4582" s="62" t="n">
        <v>1</v>
      </c>
      <c r="B4582" s="62" t="s">
        <v>385</v>
      </c>
      <c r="C4582" s="62" t="s">
        <v>60</v>
      </c>
      <c r="D4582" s="62" t="s">
        <v>72</v>
      </c>
      <c r="E4582" s="62" t="s">
        <v>382</v>
      </c>
      <c r="F4582" s="63" t="s">
        <v>447</v>
      </c>
      <c r="G4582" s="64" t="n">
        <v>69054.3295393352</v>
      </c>
      <c r="H4582" s="62" t="s">
        <v>138</v>
      </c>
    </row>
    <row r="4583" customFormat="false" ht="15" hidden="false" customHeight="false" outlineLevel="0" collapsed="false">
      <c r="A4583" s="62" t="n">
        <v>1</v>
      </c>
      <c r="B4583" s="62" t="s">
        <v>386</v>
      </c>
      <c r="C4583" s="62" t="s">
        <v>60</v>
      </c>
      <c r="D4583" s="62" t="s">
        <v>72</v>
      </c>
      <c r="E4583" s="62" t="s">
        <v>382</v>
      </c>
      <c r="F4583" s="63" t="s">
        <v>447</v>
      </c>
      <c r="G4583" s="64" t="n">
        <v>-34939.4769488786</v>
      </c>
      <c r="H4583" s="62" t="s">
        <v>138</v>
      </c>
    </row>
    <row r="4584" customFormat="false" ht="15" hidden="false" customHeight="false" outlineLevel="0" collapsed="false">
      <c r="A4584" s="62" t="n">
        <v>1</v>
      </c>
      <c r="B4584" s="62" t="s">
        <v>387</v>
      </c>
      <c r="C4584" s="62" t="s">
        <v>60</v>
      </c>
      <c r="D4584" s="62" t="s">
        <v>72</v>
      </c>
      <c r="E4584" s="62" t="s">
        <v>382</v>
      </c>
      <c r="F4584" s="63" t="s">
        <v>447</v>
      </c>
      <c r="G4584" s="64" t="n">
        <v>46090.0961715392</v>
      </c>
      <c r="H4584" s="62" t="s">
        <v>138</v>
      </c>
    </row>
    <row r="4585" customFormat="false" ht="15" hidden="false" customHeight="false" outlineLevel="0" collapsed="false">
      <c r="A4585" s="62" t="n">
        <v>1</v>
      </c>
      <c r="B4585" s="62" t="s">
        <v>388</v>
      </c>
      <c r="C4585" s="62" t="s">
        <v>60</v>
      </c>
      <c r="D4585" s="62" t="s">
        <v>72</v>
      </c>
      <c r="E4585" s="62" t="s">
        <v>382</v>
      </c>
      <c r="F4585" s="63" t="s">
        <v>447</v>
      </c>
      <c r="G4585" s="64" t="n">
        <v>33152.4248265638</v>
      </c>
      <c r="H4585" s="62" t="s">
        <v>138</v>
      </c>
    </row>
    <row r="4586" customFormat="false" ht="15" hidden="false" customHeight="false" outlineLevel="0" collapsed="false">
      <c r="A4586" s="62" t="n">
        <v>1</v>
      </c>
      <c r="B4586" s="62" t="s">
        <v>381</v>
      </c>
      <c r="C4586" s="62" t="s">
        <v>60</v>
      </c>
      <c r="D4586" s="62" t="s">
        <v>72</v>
      </c>
      <c r="E4586" s="62" t="s">
        <v>382</v>
      </c>
      <c r="F4586" s="63" t="s">
        <v>448</v>
      </c>
      <c r="G4586" s="64" t="n">
        <v>-328818.327695375</v>
      </c>
      <c r="H4586" s="62" t="s">
        <v>138</v>
      </c>
    </row>
    <row r="4587" customFormat="false" ht="15" hidden="false" customHeight="false" outlineLevel="0" collapsed="false">
      <c r="A4587" s="62" t="n">
        <v>1</v>
      </c>
      <c r="B4587" s="62" t="s">
        <v>383</v>
      </c>
      <c r="C4587" s="62" t="s">
        <v>60</v>
      </c>
      <c r="D4587" s="62" t="s">
        <v>72</v>
      </c>
      <c r="E4587" s="62" t="s">
        <v>382</v>
      </c>
      <c r="F4587" s="63" t="s">
        <v>448</v>
      </c>
      <c r="G4587" s="64" t="n">
        <v>-3758363.60287444</v>
      </c>
      <c r="H4587" s="62" t="s">
        <v>138</v>
      </c>
    </row>
    <row r="4588" customFormat="false" ht="15" hidden="false" customHeight="false" outlineLevel="0" collapsed="false">
      <c r="A4588" s="62" t="n">
        <v>1</v>
      </c>
      <c r="B4588" s="62" t="s">
        <v>384</v>
      </c>
      <c r="C4588" s="62" t="s">
        <v>60</v>
      </c>
      <c r="D4588" s="62" t="s">
        <v>72</v>
      </c>
      <c r="E4588" s="62" t="s">
        <v>382</v>
      </c>
      <c r="F4588" s="63" t="s">
        <v>448</v>
      </c>
      <c r="G4588" s="64" t="n">
        <v>-2451623.33425696</v>
      </c>
      <c r="H4588" s="62" t="s">
        <v>138</v>
      </c>
    </row>
    <row r="4589" customFormat="false" ht="15" hidden="false" customHeight="false" outlineLevel="0" collapsed="false">
      <c r="A4589" s="62" t="n">
        <v>1</v>
      </c>
      <c r="B4589" s="62" t="s">
        <v>385</v>
      </c>
      <c r="C4589" s="62" t="s">
        <v>60</v>
      </c>
      <c r="D4589" s="62" t="s">
        <v>72</v>
      </c>
      <c r="E4589" s="62" t="s">
        <v>382</v>
      </c>
      <c r="F4589" s="63" t="s">
        <v>448</v>
      </c>
      <c r="G4589" s="64" t="n">
        <v>-803588.409182443</v>
      </c>
      <c r="H4589" s="62" t="s">
        <v>138</v>
      </c>
    </row>
    <row r="4590" customFormat="false" ht="15" hidden="false" customHeight="false" outlineLevel="0" collapsed="false">
      <c r="A4590" s="62" t="n">
        <v>1</v>
      </c>
      <c r="B4590" s="62" t="s">
        <v>386</v>
      </c>
      <c r="C4590" s="62" t="s">
        <v>60</v>
      </c>
      <c r="D4590" s="62" t="s">
        <v>72</v>
      </c>
      <c r="E4590" s="62" t="s">
        <v>382</v>
      </c>
      <c r="F4590" s="63" t="s">
        <v>448</v>
      </c>
      <c r="G4590" s="64" t="n">
        <v>-396394.865277004</v>
      </c>
      <c r="H4590" s="62" t="s">
        <v>138</v>
      </c>
    </row>
    <row r="4591" customFormat="false" ht="15" hidden="false" customHeight="false" outlineLevel="0" collapsed="false">
      <c r="A4591" s="62" t="n">
        <v>1</v>
      </c>
      <c r="B4591" s="62" t="s">
        <v>387</v>
      </c>
      <c r="C4591" s="62" t="s">
        <v>60</v>
      </c>
      <c r="D4591" s="62" t="s">
        <v>72</v>
      </c>
      <c r="E4591" s="62" t="s">
        <v>382</v>
      </c>
      <c r="F4591" s="63" t="s">
        <v>448</v>
      </c>
      <c r="G4591" s="64" t="n">
        <v>-203163.485394354</v>
      </c>
      <c r="H4591" s="62" t="s">
        <v>138</v>
      </c>
    </row>
    <row r="4592" customFormat="false" ht="15" hidden="false" customHeight="false" outlineLevel="0" collapsed="false">
      <c r="A4592" s="62" t="n">
        <v>1</v>
      </c>
      <c r="B4592" s="62" t="s">
        <v>388</v>
      </c>
      <c r="C4592" s="62" t="s">
        <v>60</v>
      </c>
      <c r="D4592" s="62" t="s">
        <v>72</v>
      </c>
      <c r="E4592" s="62" t="s">
        <v>382</v>
      </c>
      <c r="F4592" s="63" t="s">
        <v>448</v>
      </c>
      <c r="G4592" s="64" t="n">
        <v>0</v>
      </c>
      <c r="H4592" s="62" t="s">
        <v>138</v>
      </c>
    </row>
    <row r="4593" customFormat="false" ht="15" hidden="false" customHeight="false" outlineLevel="0" collapsed="false">
      <c r="A4593" s="62" t="n">
        <v>1</v>
      </c>
      <c r="B4593" s="62" t="s">
        <v>381</v>
      </c>
      <c r="C4593" s="62" t="s">
        <v>60</v>
      </c>
      <c r="D4593" s="62" t="s">
        <v>72</v>
      </c>
      <c r="E4593" s="62" t="s">
        <v>382</v>
      </c>
      <c r="F4593" s="63" t="s">
        <v>430</v>
      </c>
      <c r="G4593" s="64" t="n">
        <v>1009774.48267358</v>
      </c>
      <c r="H4593" s="62" t="s">
        <v>138</v>
      </c>
    </row>
    <row r="4594" customFormat="false" ht="15" hidden="false" customHeight="false" outlineLevel="0" collapsed="false">
      <c r="A4594" s="62" t="n">
        <v>1</v>
      </c>
      <c r="B4594" s="62" t="s">
        <v>383</v>
      </c>
      <c r="C4594" s="62" t="s">
        <v>60</v>
      </c>
      <c r="D4594" s="62" t="s">
        <v>72</v>
      </c>
      <c r="E4594" s="62" t="s">
        <v>382</v>
      </c>
      <c r="F4594" s="63" t="s">
        <v>430</v>
      </c>
      <c r="G4594" s="64" t="n">
        <v>9520531.99996169</v>
      </c>
      <c r="H4594" s="62" t="s">
        <v>138</v>
      </c>
    </row>
    <row r="4595" customFormat="false" ht="15" hidden="false" customHeight="false" outlineLevel="0" collapsed="false">
      <c r="A4595" s="62" t="n">
        <v>1</v>
      </c>
      <c r="B4595" s="62" t="s">
        <v>384</v>
      </c>
      <c r="C4595" s="62" t="s">
        <v>60</v>
      </c>
      <c r="D4595" s="62" t="s">
        <v>72</v>
      </c>
      <c r="E4595" s="62" t="s">
        <v>382</v>
      </c>
      <c r="F4595" s="63" t="s">
        <v>430</v>
      </c>
      <c r="G4595" s="64" t="n">
        <v>6440366.67181539</v>
      </c>
      <c r="H4595" s="62" t="s">
        <v>138</v>
      </c>
    </row>
    <row r="4596" customFormat="false" ht="15" hidden="false" customHeight="false" outlineLevel="0" collapsed="false">
      <c r="A4596" s="62" t="n">
        <v>1</v>
      </c>
      <c r="B4596" s="62" t="s">
        <v>385</v>
      </c>
      <c r="C4596" s="62" t="s">
        <v>60</v>
      </c>
      <c r="D4596" s="62" t="s">
        <v>72</v>
      </c>
      <c r="E4596" s="62" t="s">
        <v>382</v>
      </c>
      <c r="F4596" s="63" t="s">
        <v>430</v>
      </c>
      <c r="G4596" s="64" t="n">
        <v>2313397.07038988</v>
      </c>
      <c r="H4596" s="62" t="s">
        <v>138</v>
      </c>
    </row>
    <row r="4597" customFormat="false" ht="15" hidden="false" customHeight="false" outlineLevel="0" collapsed="false">
      <c r="A4597" s="62" t="n">
        <v>1</v>
      </c>
      <c r="B4597" s="62" t="s">
        <v>386</v>
      </c>
      <c r="C4597" s="62" t="s">
        <v>60</v>
      </c>
      <c r="D4597" s="62" t="s">
        <v>72</v>
      </c>
      <c r="E4597" s="62" t="s">
        <v>382</v>
      </c>
      <c r="F4597" s="63" t="s">
        <v>430</v>
      </c>
      <c r="G4597" s="64" t="n">
        <v>1438204.99898322</v>
      </c>
      <c r="H4597" s="62" t="s">
        <v>138</v>
      </c>
    </row>
    <row r="4598" customFormat="false" ht="15" hidden="false" customHeight="false" outlineLevel="0" collapsed="false">
      <c r="A4598" s="62" t="n">
        <v>1</v>
      </c>
      <c r="B4598" s="62" t="s">
        <v>387</v>
      </c>
      <c r="C4598" s="62" t="s">
        <v>60</v>
      </c>
      <c r="D4598" s="62" t="s">
        <v>72</v>
      </c>
      <c r="E4598" s="62" t="s">
        <v>382</v>
      </c>
      <c r="F4598" s="63" t="s">
        <v>430</v>
      </c>
      <c r="G4598" s="64" t="n">
        <v>480996.970235113</v>
      </c>
      <c r="H4598" s="62" t="s">
        <v>138</v>
      </c>
    </row>
    <row r="4599" customFormat="false" ht="15" hidden="false" customHeight="false" outlineLevel="0" collapsed="false">
      <c r="A4599" s="62" t="n">
        <v>1</v>
      </c>
      <c r="B4599" s="62" t="s">
        <v>388</v>
      </c>
      <c r="C4599" s="62" t="s">
        <v>60</v>
      </c>
      <c r="D4599" s="62" t="s">
        <v>72</v>
      </c>
      <c r="E4599" s="62" t="s">
        <v>382</v>
      </c>
      <c r="F4599" s="63" t="s">
        <v>430</v>
      </c>
      <c r="G4599" s="64" t="n">
        <v>-5954.90227059052</v>
      </c>
      <c r="H4599" s="62" t="s">
        <v>138</v>
      </c>
    </row>
    <row r="4600" customFormat="false" ht="15" hidden="false" customHeight="false" outlineLevel="0" collapsed="false">
      <c r="A4600" s="62" t="n">
        <v>1</v>
      </c>
      <c r="B4600" s="62" t="s">
        <v>381</v>
      </c>
      <c r="C4600" s="62" t="s">
        <v>60</v>
      </c>
      <c r="D4600" s="62" t="s">
        <v>72</v>
      </c>
      <c r="E4600" s="62" t="s">
        <v>382</v>
      </c>
      <c r="F4600" s="63" t="s">
        <v>450</v>
      </c>
      <c r="G4600" s="64" t="n">
        <v>-479248.431134644</v>
      </c>
      <c r="H4600" s="62" t="s">
        <v>138</v>
      </c>
    </row>
    <row r="4601" customFormat="false" ht="15" hidden="false" customHeight="false" outlineLevel="0" collapsed="false">
      <c r="A4601" s="62" t="n">
        <v>1</v>
      </c>
      <c r="B4601" s="62" t="s">
        <v>383</v>
      </c>
      <c r="C4601" s="62" t="s">
        <v>60</v>
      </c>
      <c r="D4601" s="62" t="s">
        <v>72</v>
      </c>
      <c r="E4601" s="62" t="s">
        <v>382</v>
      </c>
      <c r="F4601" s="63" t="s">
        <v>450</v>
      </c>
      <c r="G4601" s="64" t="n">
        <v>-198548.551407419</v>
      </c>
      <c r="H4601" s="62" t="s">
        <v>138</v>
      </c>
    </row>
    <row r="4602" customFormat="false" ht="15" hidden="false" customHeight="false" outlineLevel="0" collapsed="false">
      <c r="A4602" s="62" t="n">
        <v>1</v>
      </c>
      <c r="B4602" s="62" t="s">
        <v>384</v>
      </c>
      <c r="C4602" s="62" t="s">
        <v>60</v>
      </c>
      <c r="D4602" s="62" t="s">
        <v>72</v>
      </c>
      <c r="E4602" s="62" t="s">
        <v>382</v>
      </c>
      <c r="F4602" s="63" t="s">
        <v>450</v>
      </c>
      <c r="G4602" s="64" t="n">
        <v>-397192.712876848</v>
      </c>
      <c r="H4602" s="62" t="s">
        <v>138</v>
      </c>
    </row>
    <row r="4603" customFormat="false" ht="15" hidden="false" customHeight="false" outlineLevel="0" collapsed="false">
      <c r="A4603" s="62" t="n">
        <v>1</v>
      </c>
      <c r="B4603" s="62" t="s">
        <v>385</v>
      </c>
      <c r="C4603" s="62" t="s">
        <v>60</v>
      </c>
      <c r="D4603" s="62" t="s">
        <v>72</v>
      </c>
      <c r="E4603" s="62" t="s">
        <v>382</v>
      </c>
      <c r="F4603" s="63" t="s">
        <v>450</v>
      </c>
      <c r="G4603" s="64" t="n">
        <v>-66182.7705944011</v>
      </c>
      <c r="H4603" s="62" t="s">
        <v>138</v>
      </c>
    </row>
    <row r="4604" customFormat="false" ht="15" hidden="false" customHeight="false" outlineLevel="0" collapsed="false">
      <c r="A4604" s="62" t="n">
        <v>1</v>
      </c>
      <c r="B4604" s="62" t="s">
        <v>386</v>
      </c>
      <c r="C4604" s="62" t="s">
        <v>60</v>
      </c>
      <c r="D4604" s="62" t="s">
        <v>72</v>
      </c>
      <c r="E4604" s="62" t="s">
        <v>382</v>
      </c>
      <c r="F4604" s="63" t="s">
        <v>450</v>
      </c>
      <c r="G4604" s="64" t="n">
        <v>-1078308.97005295</v>
      </c>
      <c r="H4604" s="62" t="s">
        <v>138</v>
      </c>
    </row>
    <row r="4605" customFormat="false" ht="15" hidden="false" customHeight="false" outlineLevel="0" collapsed="false">
      <c r="A4605" s="62" t="n">
        <v>1</v>
      </c>
      <c r="B4605" s="62" t="s">
        <v>387</v>
      </c>
      <c r="C4605" s="62" t="s">
        <v>60</v>
      </c>
      <c r="D4605" s="62" t="s">
        <v>72</v>
      </c>
      <c r="E4605" s="62" t="s">
        <v>382</v>
      </c>
      <c r="F4605" s="63" t="s">
        <v>450</v>
      </c>
      <c r="G4605" s="64" t="n">
        <v>-264731.561626035</v>
      </c>
      <c r="H4605" s="62" t="s">
        <v>138</v>
      </c>
    </row>
    <row r="4606" customFormat="false" ht="15" hidden="false" customHeight="false" outlineLevel="0" collapsed="false">
      <c r="A4606" s="62" t="n">
        <v>1</v>
      </c>
      <c r="B4606" s="62" t="s">
        <v>388</v>
      </c>
      <c r="C4606" s="62" t="s">
        <v>60</v>
      </c>
      <c r="D4606" s="62" t="s">
        <v>72</v>
      </c>
      <c r="E4606" s="62" t="s">
        <v>382</v>
      </c>
      <c r="F4606" s="63" t="s">
        <v>450</v>
      </c>
      <c r="G4606" s="64" t="n">
        <v>-140291.112118691</v>
      </c>
      <c r="H4606" s="62" t="s">
        <v>138</v>
      </c>
    </row>
    <row r="4607" customFormat="false" ht="15" hidden="false" customHeight="false" outlineLevel="0" collapsed="false">
      <c r="A4607" s="62" t="n">
        <v>1</v>
      </c>
      <c r="B4607" s="62" t="s">
        <v>381</v>
      </c>
      <c r="C4607" s="62" t="s">
        <v>60</v>
      </c>
      <c r="D4607" s="62" t="s">
        <v>72</v>
      </c>
      <c r="E4607" s="62" t="s">
        <v>382</v>
      </c>
      <c r="F4607" s="63" t="s">
        <v>451</v>
      </c>
      <c r="G4607" s="64" t="n">
        <v>0</v>
      </c>
      <c r="H4607" s="62" t="s">
        <v>138</v>
      </c>
    </row>
    <row r="4608" customFormat="false" ht="15" hidden="false" customHeight="false" outlineLevel="0" collapsed="false">
      <c r="A4608" s="62" t="n">
        <v>1</v>
      </c>
      <c r="B4608" s="62" t="s">
        <v>383</v>
      </c>
      <c r="C4608" s="62" t="s">
        <v>60</v>
      </c>
      <c r="D4608" s="62" t="s">
        <v>72</v>
      </c>
      <c r="E4608" s="62" t="s">
        <v>382</v>
      </c>
      <c r="F4608" s="63" t="s">
        <v>451</v>
      </c>
      <c r="G4608" s="64" t="n">
        <v>0</v>
      </c>
      <c r="H4608" s="62" t="s">
        <v>138</v>
      </c>
    </row>
    <row r="4609" customFormat="false" ht="15" hidden="false" customHeight="false" outlineLevel="0" collapsed="false">
      <c r="A4609" s="62" t="n">
        <v>1</v>
      </c>
      <c r="B4609" s="62" t="s">
        <v>384</v>
      </c>
      <c r="C4609" s="62" t="s">
        <v>60</v>
      </c>
      <c r="D4609" s="62" t="s">
        <v>72</v>
      </c>
      <c r="E4609" s="62" t="s">
        <v>382</v>
      </c>
      <c r="F4609" s="63" t="s">
        <v>451</v>
      </c>
      <c r="G4609" s="64" t="n">
        <v>0</v>
      </c>
      <c r="H4609" s="62" t="s">
        <v>138</v>
      </c>
    </row>
    <row r="4610" customFormat="false" ht="15" hidden="false" customHeight="false" outlineLevel="0" collapsed="false">
      <c r="A4610" s="62" t="n">
        <v>1</v>
      </c>
      <c r="B4610" s="62" t="s">
        <v>385</v>
      </c>
      <c r="C4610" s="62" t="s">
        <v>60</v>
      </c>
      <c r="D4610" s="62" t="s">
        <v>72</v>
      </c>
      <c r="E4610" s="62" t="s">
        <v>382</v>
      </c>
      <c r="F4610" s="63" t="s">
        <v>451</v>
      </c>
      <c r="G4610" s="64" t="n">
        <v>0</v>
      </c>
      <c r="H4610" s="62" t="s">
        <v>138</v>
      </c>
    </row>
    <row r="4611" customFormat="false" ht="15" hidden="false" customHeight="false" outlineLevel="0" collapsed="false">
      <c r="A4611" s="62" t="n">
        <v>1</v>
      </c>
      <c r="B4611" s="62" t="s">
        <v>386</v>
      </c>
      <c r="C4611" s="62" t="s">
        <v>60</v>
      </c>
      <c r="D4611" s="62" t="s">
        <v>72</v>
      </c>
      <c r="E4611" s="62" t="s">
        <v>382</v>
      </c>
      <c r="F4611" s="63" t="s">
        <v>451</v>
      </c>
      <c r="G4611" s="64" t="n">
        <v>963900.136322961</v>
      </c>
      <c r="H4611" s="62" t="s">
        <v>138</v>
      </c>
    </row>
    <row r="4612" customFormat="false" ht="15" hidden="false" customHeight="false" outlineLevel="0" collapsed="false">
      <c r="A4612" s="62" t="n">
        <v>1</v>
      </c>
      <c r="B4612" s="62" t="s">
        <v>387</v>
      </c>
      <c r="C4612" s="62" t="s">
        <v>60</v>
      </c>
      <c r="D4612" s="62" t="s">
        <v>72</v>
      </c>
      <c r="E4612" s="62" t="s">
        <v>382</v>
      </c>
      <c r="F4612" s="63" t="s">
        <v>451</v>
      </c>
      <c r="G4612" s="64" t="n">
        <v>0</v>
      </c>
      <c r="H4612" s="62" t="s">
        <v>138</v>
      </c>
    </row>
    <row r="4613" customFormat="false" ht="15" hidden="false" customHeight="false" outlineLevel="0" collapsed="false">
      <c r="A4613" s="62" t="n">
        <v>1</v>
      </c>
      <c r="B4613" s="62" t="s">
        <v>388</v>
      </c>
      <c r="C4613" s="62" t="s">
        <v>60</v>
      </c>
      <c r="D4613" s="62" t="s">
        <v>72</v>
      </c>
      <c r="E4613" s="62" t="s">
        <v>382</v>
      </c>
      <c r="F4613" s="63" t="s">
        <v>451</v>
      </c>
      <c r="G4613" s="64" t="n">
        <v>0</v>
      </c>
      <c r="H4613" s="62" t="s">
        <v>138</v>
      </c>
    </row>
    <row r="4614" customFormat="false" ht="15" hidden="false" customHeight="false" outlineLevel="0" collapsed="false">
      <c r="A4614" s="62" t="n">
        <v>1</v>
      </c>
      <c r="B4614" s="62" t="s">
        <v>381</v>
      </c>
      <c r="C4614" s="62" t="s">
        <v>60</v>
      </c>
      <c r="D4614" s="62" t="s">
        <v>72</v>
      </c>
      <c r="E4614" s="62" t="s">
        <v>382</v>
      </c>
      <c r="F4614" s="63" t="s">
        <v>452</v>
      </c>
      <c r="G4614" s="64" t="n">
        <v>0</v>
      </c>
      <c r="H4614" s="62" t="s">
        <v>138</v>
      </c>
    </row>
    <row r="4615" customFormat="false" ht="15" hidden="false" customHeight="false" outlineLevel="0" collapsed="false">
      <c r="A4615" s="62" t="n">
        <v>1</v>
      </c>
      <c r="B4615" s="62" t="s">
        <v>383</v>
      </c>
      <c r="C4615" s="62" t="s">
        <v>60</v>
      </c>
      <c r="D4615" s="62" t="s">
        <v>72</v>
      </c>
      <c r="E4615" s="62" t="s">
        <v>382</v>
      </c>
      <c r="F4615" s="63" t="s">
        <v>452</v>
      </c>
      <c r="G4615" s="64" t="n">
        <v>-6580000</v>
      </c>
      <c r="H4615" s="62" t="s">
        <v>138</v>
      </c>
    </row>
    <row r="4616" customFormat="false" ht="15" hidden="false" customHeight="false" outlineLevel="0" collapsed="false">
      <c r="A4616" s="62" t="n">
        <v>1</v>
      </c>
      <c r="B4616" s="62" t="s">
        <v>384</v>
      </c>
      <c r="C4616" s="62" t="s">
        <v>60</v>
      </c>
      <c r="D4616" s="62" t="s">
        <v>72</v>
      </c>
      <c r="E4616" s="62" t="s">
        <v>382</v>
      </c>
      <c r="F4616" s="63" t="s">
        <v>452</v>
      </c>
      <c r="G4616" s="64" t="n">
        <v>-2100000</v>
      </c>
      <c r="H4616" s="62" t="s">
        <v>138</v>
      </c>
    </row>
    <row r="4617" customFormat="false" ht="15" hidden="false" customHeight="false" outlineLevel="0" collapsed="false">
      <c r="A4617" s="62" t="n">
        <v>1</v>
      </c>
      <c r="B4617" s="62" t="s">
        <v>385</v>
      </c>
      <c r="C4617" s="62" t="s">
        <v>60</v>
      </c>
      <c r="D4617" s="62" t="s">
        <v>72</v>
      </c>
      <c r="E4617" s="62" t="s">
        <v>382</v>
      </c>
      <c r="F4617" s="63" t="s">
        <v>452</v>
      </c>
      <c r="G4617" s="64" t="n">
        <v>0</v>
      </c>
      <c r="H4617" s="62" t="s">
        <v>138</v>
      </c>
    </row>
    <row r="4618" customFormat="false" ht="15" hidden="false" customHeight="false" outlineLevel="0" collapsed="false">
      <c r="A4618" s="62" t="n">
        <v>1</v>
      </c>
      <c r="B4618" s="62" t="s">
        <v>386</v>
      </c>
      <c r="C4618" s="62" t="s">
        <v>60</v>
      </c>
      <c r="D4618" s="62" t="s">
        <v>72</v>
      </c>
      <c r="E4618" s="62" t="s">
        <v>382</v>
      </c>
      <c r="F4618" s="63" t="s">
        <v>452</v>
      </c>
      <c r="G4618" s="64" t="n">
        <v>-2500000</v>
      </c>
      <c r="H4618" s="62" t="s">
        <v>138</v>
      </c>
    </row>
    <row r="4619" customFormat="false" ht="15" hidden="false" customHeight="false" outlineLevel="0" collapsed="false">
      <c r="A4619" s="62" t="n">
        <v>1</v>
      </c>
      <c r="B4619" s="62" t="s">
        <v>387</v>
      </c>
      <c r="C4619" s="62" t="s">
        <v>60</v>
      </c>
      <c r="D4619" s="62" t="s">
        <v>72</v>
      </c>
      <c r="E4619" s="62" t="s">
        <v>382</v>
      </c>
      <c r="F4619" s="63" t="s">
        <v>452</v>
      </c>
      <c r="G4619" s="64" t="n">
        <v>500000</v>
      </c>
      <c r="H4619" s="62" t="s">
        <v>138</v>
      </c>
    </row>
    <row r="4620" customFormat="false" ht="15" hidden="false" customHeight="false" outlineLevel="0" collapsed="false">
      <c r="A4620" s="62" t="n">
        <v>1</v>
      </c>
      <c r="B4620" s="62" t="s">
        <v>388</v>
      </c>
      <c r="C4620" s="62" t="s">
        <v>60</v>
      </c>
      <c r="D4620" s="62" t="s">
        <v>72</v>
      </c>
      <c r="E4620" s="62" t="s">
        <v>382</v>
      </c>
      <c r="F4620" s="63" t="s">
        <v>452</v>
      </c>
      <c r="G4620" s="64" t="n">
        <v>0</v>
      </c>
      <c r="H4620" s="62" t="s">
        <v>138</v>
      </c>
    </row>
    <row r="4621" customFormat="false" ht="15" hidden="false" customHeight="false" outlineLevel="0" collapsed="false">
      <c r="A4621" s="62" t="n">
        <v>1</v>
      </c>
      <c r="B4621" s="62" t="s">
        <v>381</v>
      </c>
      <c r="C4621" s="62" t="s">
        <v>60</v>
      </c>
      <c r="D4621" s="62" t="s">
        <v>72</v>
      </c>
      <c r="E4621" s="62" t="s">
        <v>382</v>
      </c>
      <c r="F4621" s="63" t="s">
        <v>439</v>
      </c>
      <c r="G4621" s="64" t="n">
        <v>-479248.431134644</v>
      </c>
      <c r="H4621" s="62" t="s">
        <v>138</v>
      </c>
    </row>
    <row r="4622" customFormat="false" ht="15" hidden="false" customHeight="false" outlineLevel="0" collapsed="false">
      <c r="A4622" s="62" t="n">
        <v>1</v>
      </c>
      <c r="B4622" s="62" t="s">
        <v>383</v>
      </c>
      <c r="C4622" s="62" t="s">
        <v>60</v>
      </c>
      <c r="D4622" s="62" t="s">
        <v>72</v>
      </c>
      <c r="E4622" s="62" t="s">
        <v>382</v>
      </c>
      <c r="F4622" s="63" t="s">
        <v>439</v>
      </c>
      <c r="G4622" s="64" t="n">
        <v>-6778548.55140742</v>
      </c>
      <c r="H4622" s="62" t="s">
        <v>138</v>
      </c>
    </row>
    <row r="4623" customFormat="false" ht="15" hidden="false" customHeight="false" outlineLevel="0" collapsed="false">
      <c r="A4623" s="62" t="n">
        <v>1</v>
      </c>
      <c r="B4623" s="62" t="s">
        <v>384</v>
      </c>
      <c r="C4623" s="62" t="s">
        <v>60</v>
      </c>
      <c r="D4623" s="62" t="s">
        <v>72</v>
      </c>
      <c r="E4623" s="62" t="s">
        <v>382</v>
      </c>
      <c r="F4623" s="63" t="s">
        <v>439</v>
      </c>
      <c r="G4623" s="64" t="n">
        <v>-2497192.71287685</v>
      </c>
      <c r="H4623" s="62" t="s">
        <v>138</v>
      </c>
    </row>
    <row r="4624" customFormat="false" ht="15" hidden="false" customHeight="false" outlineLevel="0" collapsed="false">
      <c r="A4624" s="62" t="n">
        <v>1</v>
      </c>
      <c r="B4624" s="62" t="s">
        <v>385</v>
      </c>
      <c r="C4624" s="62" t="s">
        <v>60</v>
      </c>
      <c r="D4624" s="62" t="s">
        <v>72</v>
      </c>
      <c r="E4624" s="62" t="s">
        <v>382</v>
      </c>
      <c r="F4624" s="63" t="s">
        <v>439</v>
      </c>
      <c r="G4624" s="64" t="n">
        <v>-66182.7705944011</v>
      </c>
      <c r="H4624" s="62" t="s">
        <v>138</v>
      </c>
    </row>
    <row r="4625" customFormat="false" ht="15" hidden="false" customHeight="false" outlineLevel="0" collapsed="false">
      <c r="A4625" s="62" t="n">
        <v>1</v>
      </c>
      <c r="B4625" s="62" t="s">
        <v>386</v>
      </c>
      <c r="C4625" s="62" t="s">
        <v>60</v>
      </c>
      <c r="D4625" s="62" t="s">
        <v>72</v>
      </c>
      <c r="E4625" s="62" t="s">
        <v>382</v>
      </c>
      <c r="F4625" s="63" t="s">
        <v>439</v>
      </c>
      <c r="G4625" s="64" t="n">
        <v>-2614408.83372999</v>
      </c>
      <c r="H4625" s="62" t="s">
        <v>138</v>
      </c>
    </row>
    <row r="4626" customFormat="false" ht="15" hidden="false" customHeight="false" outlineLevel="0" collapsed="false">
      <c r="A4626" s="62" t="n">
        <v>1</v>
      </c>
      <c r="B4626" s="62" t="s">
        <v>387</v>
      </c>
      <c r="C4626" s="62" t="s">
        <v>60</v>
      </c>
      <c r="D4626" s="62" t="s">
        <v>72</v>
      </c>
      <c r="E4626" s="62" t="s">
        <v>382</v>
      </c>
      <c r="F4626" s="63" t="s">
        <v>439</v>
      </c>
      <c r="G4626" s="64" t="n">
        <v>235268.438373965</v>
      </c>
      <c r="H4626" s="62" t="s">
        <v>138</v>
      </c>
    </row>
    <row r="4627" customFormat="false" ht="15" hidden="false" customHeight="false" outlineLevel="0" collapsed="false">
      <c r="A4627" s="62" t="n">
        <v>1</v>
      </c>
      <c r="B4627" s="62" t="s">
        <v>388</v>
      </c>
      <c r="C4627" s="62" t="s">
        <v>60</v>
      </c>
      <c r="D4627" s="62" t="s">
        <v>72</v>
      </c>
      <c r="E4627" s="62" t="s">
        <v>382</v>
      </c>
      <c r="F4627" s="63" t="s">
        <v>439</v>
      </c>
      <c r="G4627" s="64" t="n">
        <v>-140291.112118691</v>
      </c>
      <c r="H4627" s="62" t="s">
        <v>138</v>
      </c>
    </row>
    <row r="4628" customFormat="false" ht="15" hidden="false" customHeight="false" outlineLevel="0" collapsed="false">
      <c r="A4628" s="62" t="n">
        <v>1</v>
      </c>
      <c r="B4628" s="62" t="s">
        <v>381</v>
      </c>
      <c r="C4628" s="62" t="s">
        <v>60</v>
      </c>
      <c r="D4628" s="62" t="s">
        <v>72</v>
      </c>
      <c r="E4628" s="62" t="s">
        <v>382</v>
      </c>
      <c r="F4628" s="63" t="s">
        <v>453</v>
      </c>
      <c r="G4628" s="64" t="n">
        <v>530526.051538939</v>
      </c>
      <c r="H4628" s="62" t="s">
        <v>138</v>
      </c>
    </row>
    <row r="4629" customFormat="false" ht="15" hidden="false" customHeight="false" outlineLevel="0" collapsed="false">
      <c r="A4629" s="62" t="n">
        <v>1</v>
      </c>
      <c r="B4629" s="62" t="s">
        <v>383</v>
      </c>
      <c r="C4629" s="62" t="s">
        <v>60</v>
      </c>
      <c r="D4629" s="62" t="s">
        <v>72</v>
      </c>
      <c r="E4629" s="62" t="s">
        <v>382</v>
      </c>
      <c r="F4629" s="63" t="s">
        <v>453</v>
      </c>
      <c r="G4629" s="64" t="n">
        <v>2741983.44855427</v>
      </c>
      <c r="H4629" s="62" t="s">
        <v>138</v>
      </c>
    </row>
    <row r="4630" customFormat="false" ht="15" hidden="false" customHeight="false" outlineLevel="0" collapsed="false">
      <c r="A4630" s="62" t="n">
        <v>1</v>
      </c>
      <c r="B4630" s="62" t="s">
        <v>384</v>
      </c>
      <c r="C4630" s="62" t="s">
        <v>60</v>
      </c>
      <c r="D4630" s="62" t="s">
        <v>72</v>
      </c>
      <c r="E4630" s="62" t="s">
        <v>382</v>
      </c>
      <c r="F4630" s="63" t="s">
        <v>453</v>
      </c>
      <c r="G4630" s="64" t="n">
        <v>3943173.95893854</v>
      </c>
      <c r="H4630" s="62" t="s">
        <v>138</v>
      </c>
    </row>
    <row r="4631" customFormat="false" ht="15" hidden="false" customHeight="false" outlineLevel="0" collapsed="false">
      <c r="A4631" s="62" t="n">
        <v>1</v>
      </c>
      <c r="B4631" s="62" t="s">
        <v>385</v>
      </c>
      <c r="C4631" s="62" t="s">
        <v>60</v>
      </c>
      <c r="D4631" s="62" t="s">
        <v>72</v>
      </c>
      <c r="E4631" s="62" t="s">
        <v>382</v>
      </c>
      <c r="F4631" s="63" t="s">
        <v>453</v>
      </c>
      <c r="G4631" s="64" t="n">
        <v>2247214.29979548</v>
      </c>
      <c r="H4631" s="62" t="s">
        <v>138</v>
      </c>
    </row>
    <row r="4632" customFormat="false" ht="15" hidden="false" customHeight="false" outlineLevel="0" collapsed="false">
      <c r="A4632" s="62" t="n">
        <v>1</v>
      </c>
      <c r="B4632" s="62" t="s">
        <v>386</v>
      </c>
      <c r="C4632" s="62" t="s">
        <v>60</v>
      </c>
      <c r="D4632" s="62" t="s">
        <v>72</v>
      </c>
      <c r="E4632" s="62" t="s">
        <v>382</v>
      </c>
      <c r="F4632" s="63" t="s">
        <v>453</v>
      </c>
      <c r="G4632" s="64" t="n">
        <v>-1176203.83474677</v>
      </c>
      <c r="H4632" s="62" t="s">
        <v>138</v>
      </c>
    </row>
    <row r="4633" customFormat="false" ht="15" hidden="false" customHeight="false" outlineLevel="0" collapsed="false">
      <c r="A4633" s="62" t="n">
        <v>1</v>
      </c>
      <c r="B4633" s="62" t="s">
        <v>387</v>
      </c>
      <c r="C4633" s="62" t="s">
        <v>60</v>
      </c>
      <c r="D4633" s="62" t="s">
        <v>72</v>
      </c>
      <c r="E4633" s="62" t="s">
        <v>382</v>
      </c>
      <c r="F4633" s="63" t="s">
        <v>453</v>
      </c>
      <c r="G4633" s="64" t="n">
        <v>716265.408609078</v>
      </c>
      <c r="H4633" s="62" t="s">
        <v>138</v>
      </c>
    </row>
    <row r="4634" customFormat="false" ht="15" hidden="false" customHeight="false" outlineLevel="0" collapsed="false">
      <c r="A4634" s="62" t="n">
        <v>1</v>
      </c>
      <c r="B4634" s="62" t="s">
        <v>388</v>
      </c>
      <c r="C4634" s="62" t="s">
        <v>60</v>
      </c>
      <c r="D4634" s="62" t="s">
        <v>72</v>
      </c>
      <c r="E4634" s="62" t="s">
        <v>382</v>
      </c>
      <c r="F4634" s="63" t="s">
        <v>453</v>
      </c>
      <c r="G4634" s="64" t="n">
        <v>-146246.014389282</v>
      </c>
      <c r="H4634" s="62" t="s">
        <v>138</v>
      </c>
    </row>
    <row r="4635" customFormat="false" ht="15" hidden="false" customHeight="false" outlineLevel="0" collapsed="false">
      <c r="A4635" s="62" t="n">
        <v>1</v>
      </c>
      <c r="B4635" s="62" t="s">
        <v>381</v>
      </c>
      <c r="C4635" s="62" t="s">
        <v>60</v>
      </c>
      <c r="D4635" s="62" t="s">
        <v>72</v>
      </c>
      <c r="E4635" s="62" t="s">
        <v>382</v>
      </c>
      <c r="F4635" s="63" t="s">
        <v>454</v>
      </c>
      <c r="G4635" s="64" t="n">
        <v>1178203.83474677</v>
      </c>
      <c r="H4635" s="62" t="s">
        <v>138</v>
      </c>
    </row>
    <row r="4636" customFormat="false" ht="15" hidden="false" customHeight="false" outlineLevel="0" collapsed="false">
      <c r="A4636" s="62" t="n">
        <v>1</v>
      </c>
      <c r="B4636" s="62" t="s">
        <v>383</v>
      </c>
      <c r="C4636" s="62" t="s">
        <v>60</v>
      </c>
      <c r="D4636" s="62" t="s">
        <v>72</v>
      </c>
      <c r="E4636" s="62" t="s">
        <v>382</v>
      </c>
      <c r="F4636" s="63" t="s">
        <v>454</v>
      </c>
      <c r="G4636" s="64" t="n">
        <v>1178203.83474677</v>
      </c>
      <c r="H4636" s="62" t="s">
        <v>138</v>
      </c>
    </row>
    <row r="4637" customFormat="false" ht="15" hidden="false" customHeight="false" outlineLevel="0" collapsed="false">
      <c r="A4637" s="62" t="n">
        <v>1</v>
      </c>
      <c r="B4637" s="62" t="s">
        <v>384</v>
      </c>
      <c r="C4637" s="62" t="s">
        <v>60</v>
      </c>
      <c r="D4637" s="62" t="s">
        <v>72</v>
      </c>
      <c r="E4637" s="62" t="s">
        <v>382</v>
      </c>
      <c r="F4637" s="63" t="s">
        <v>454</v>
      </c>
      <c r="G4637" s="64" t="n">
        <v>1178203.83474677</v>
      </c>
      <c r="H4637" s="62" t="s">
        <v>138</v>
      </c>
    </row>
    <row r="4638" customFormat="false" ht="15" hidden="false" customHeight="false" outlineLevel="0" collapsed="false">
      <c r="A4638" s="62" t="n">
        <v>1</v>
      </c>
      <c r="B4638" s="62" t="s">
        <v>385</v>
      </c>
      <c r="C4638" s="62" t="s">
        <v>60</v>
      </c>
      <c r="D4638" s="62" t="s">
        <v>72</v>
      </c>
      <c r="E4638" s="62" t="s">
        <v>382</v>
      </c>
      <c r="F4638" s="63" t="s">
        <v>454</v>
      </c>
      <c r="G4638" s="64" t="n">
        <v>1178203.83474677</v>
      </c>
      <c r="H4638" s="62" t="s">
        <v>138</v>
      </c>
    </row>
    <row r="4639" customFormat="false" ht="15" hidden="false" customHeight="false" outlineLevel="0" collapsed="false">
      <c r="A4639" s="62" t="n">
        <v>1</v>
      </c>
      <c r="B4639" s="62" t="s">
        <v>386</v>
      </c>
      <c r="C4639" s="62" t="s">
        <v>60</v>
      </c>
      <c r="D4639" s="62" t="s">
        <v>72</v>
      </c>
      <c r="E4639" s="62" t="s">
        <v>382</v>
      </c>
      <c r="F4639" s="63" t="s">
        <v>454</v>
      </c>
      <c r="G4639" s="64" t="n">
        <v>1178203.83474677</v>
      </c>
      <c r="H4639" s="62" t="s">
        <v>138</v>
      </c>
    </row>
    <row r="4640" customFormat="false" ht="15" hidden="false" customHeight="false" outlineLevel="0" collapsed="false">
      <c r="A4640" s="62" t="n">
        <v>1</v>
      </c>
      <c r="B4640" s="62" t="s">
        <v>387</v>
      </c>
      <c r="C4640" s="62" t="s">
        <v>60</v>
      </c>
      <c r="D4640" s="62" t="s">
        <v>72</v>
      </c>
      <c r="E4640" s="62" t="s">
        <v>382</v>
      </c>
      <c r="F4640" s="63" t="s">
        <v>454</v>
      </c>
      <c r="G4640" s="64" t="n">
        <v>1178203.83474677</v>
      </c>
      <c r="H4640" s="62" t="s">
        <v>138</v>
      </c>
    </row>
    <row r="4641" customFormat="false" ht="15" hidden="false" customHeight="false" outlineLevel="0" collapsed="false">
      <c r="A4641" s="62" t="n">
        <v>1</v>
      </c>
      <c r="B4641" s="62" t="s">
        <v>388</v>
      </c>
      <c r="C4641" s="62" t="s">
        <v>60</v>
      </c>
      <c r="D4641" s="62" t="s">
        <v>72</v>
      </c>
      <c r="E4641" s="62" t="s">
        <v>382</v>
      </c>
      <c r="F4641" s="63" t="s">
        <v>454</v>
      </c>
      <c r="G4641" s="64" t="n">
        <v>1178203.83474677</v>
      </c>
      <c r="H4641" s="62" t="s">
        <v>138</v>
      </c>
    </row>
    <row r="4642" customFormat="false" ht="15" hidden="false" customHeight="false" outlineLevel="0" collapsed="false">
      <c r="A4642" s="62" t="n">
        <v>1</v>
      </c>
      <c r="B4642" s="62" t="s">
        <v>381</v>
      </c>
      <c r="C4642" s="62" t="s">
        <v>60</v>
      </c>
      <c r="D4642" s="62" t="s">
        <v>72</v>
      </c>
      <c r="E4642" s="62" t="s">
        <v>382</v>
      </c>
      <c r="F4642" s="63" t="s">
        <v>455</v>
      </c>
      <c r="G4642" s="64" t="n">
        <v>1708729.88628571</v>
      </c>
      <c r="H4642" s="62" t="s">
        <v>138</v>
      </c>
    </row>
    <row r="4643" customFormat="false" ht="15" hidden="false" customHeight="false" outlineLevel="0" collapsed="false">
      <c r="A4643" s="62" t="n">
        <v>1</v>
      </c>
      <c r="B4643" s="62" t="s">
        <v>383</v>
      </c>
      <c r="C4643" s="62" t="s">
        <v>60</v>
      </c>
      <c r="D4643" s="62" t="s">
        <v>72</v>
      </c>
      <c r="E4643" s="62" t="s">
        <v>382</v>
      </c>
      <c r="F4643" s="63" t="s">
        <v>455</v>
      </c>
      <c r="G4643" s="64" t="n">
        <v>3920187.28330104</v>
      </c>
      <c r="H4643" s="62" t="s">
        <v>138</v>
      </c>
    </row>
    <row r="4644" customFormat="false" ht="15" hidden="false" customHeight="false" outlineLevel="0" collapsed="false">
      <c r="A4644" s="62" t="n">
        <v>1</v>
      </c>
      <c r="B4644" s="62" t="s">
        <v>384</v>
      </c>
      <c r="C4644" s="62" t="s">
        <v>60</v>
      </c>
      <c r="D4644" s="62" t="s">
        <v>72</v>
      </c>
      <c r="E4644" s="62" t="s">
        <v>382</v>
      </c>
      <c r="F4644" s="63" t="s">
        <v>455</v>
      </c>
      <c r="G4644" s="64" t="n">
        <v>5121377.79368531</v>
      </c>
      <c r="H4644" s="62" t="s">
        <v>138</v>
      </c>
    </row>
    <row r="4645" customFormat="false" ht="15" hidden="false" customHeight="false" outlineLevel="0" collapsed="false">
      <c r="A4645" s="62" t="n">
        <v>1</v>
      </c>
      <c r="B4645" s="62" t="s">
        <v>385</v>
      </c>
      <c r="C4645" s="62" t="s">
        <v>60</v>
      </c>
      <c r="D4645" s="62" t="s">
        <v>72</v>
      </c>
      <c r="E4645" s="62" t="s">
        <v>382</v>
      </c>
      <c r="F4645" s="63" t="s">
        <v>455</v>
      </c>
      <c r="G4645" s="64" t="n">
        <v>3425418.13454224</v>
      </c>
      <c r="H4645" s="62" t="s">
        <v>138</v>
      </c>
    </row>
    <row r="4646" customFormat="false" ht="15" hidden="false" customHeight="false" outlineLevel="0" collapsed="false">
      <c r="A4646" s="62" t="n">
        <v>1</v>
      </c>
      <c r="B4646" s="62" t="s">
        <v>386</v>
      </c>
      <c r="C4646" s="62" t="s">
        <v>60</v>
      </c>
      <c r="D4646" s="62" t="s">
        <v>72</v>
      </c>
      <c r="E4646" s="62" t="s">
        <v>382</v>
      </c>
      <c r="F4646" s="63" t="s">
        <v>455</v>
      </c>
      <c r="G4646" s="64" t="n">
        <v>2000</v>
      </c>
      <c r="H4646" s="62" t="s">
        <v>138</v>
      </c>
    </row>
    <row r="4647" customFormat="false" ht="15" hidden="false" customHeight="false" outlineLevel="0" collapsed="false">
      <c r="A4647" s="62" t="n">
        <v>1</v>
      </c>
      <c r="B4647" s="62" t="s">
        <v>387</v>
      </c>
      <c r="C4647" s="62" t="s">
        <v>60</v>
      </c>
      <c r="D4647" s="62" t="s">
        <v>72</v>
      </c>
      <c r="E4647" s="62" t="s">
        <v>382</v>
      </c>
      <c r="F4647" s="63" t="s">
        <v>455</v>
      </c>
      <c r="G4647" s="64" t="n">
        <v>1894469.24335585</v>
      </c>
      <c r="H4647" s="62" t="s">
        <v>138</v>
      </c>
    </row>
    <row r="4648" customFormat="false" ht="15" hidden="false" customHeight="false" outlineLevel="0" collapsed="false">
      <c r="A4648" s="62" t="n">
        <v>1</v>
      </c>
      <c r="B4648" s="62" t="s">
        <v>388</v>
      </c>
      <c r="C4648" s="62" t="s">
        <v>60</v>
      </c>
      <c r="D4648" s="62" t="s">
        <v>72</v>
      </c>
      <c r="E4648" s="62" t="s">
        <v>382</v>
      </c>
      <c r="F4648" s="63" t="s">
        <v>455</v>
      </c>
      <c r="G4648" s="64" t="n">
        <v>1031957.82035749</v>
      </c>
      <c r="H4648" s="62" t="s">
        <v>138</v>
      </c>
    </row>
    <row r="4649" customFormat="false" ht="15" hidden="false" customHeight="false" outlineLevel="0" collapsed="false">
      <c r="A4649" s="62" t="n">
        <v>1</v>
      </c>
      <c r="B4649" s="62" t="s">
        <v>381</v>
      </c>
      <c r="C4649" s="62" t="s">
        <v>60</v>
      </c>
      <c r="D4649" s="62" t="s">
        <v>72</v>
      </c>
      <c r="E4649" s="62" t="s">
        <v>382</v>
      </c>
      <c r="F4649" s="63" t="s">
        <v>457</v>
      </c>
      <c r="G4649" s="64" t="n">
        <v>5350954.45817576</v>
      </c>
      <c r="H4649" s="62" t="s">
        <v>138</v>
      </c>
    </row>
    <row r="4650" customFormat="false" ht="15" hidden="false" customHeight="false" outlineLevel="0" collapsed="false">
      <c r="A4650" s="62" t="n">
        <v>1</v>
      </c>
      <c r="B4650" s="62" t="s">
        <v>383</v>
      </c>
      <c r="C4650" s="62" t="s">
        <v>60</v>
      </c>
      <c r="D4650" s="62" t="s">
        <v>72</v>
      </c>
      <c r="E4650" s="62" t="s">
        <v>382</v>
      </c>
      <c r="F4650" s="63" t="s">
        <v>457</v>
      </c>
      <c r="G4650" s="64" t="n">
        <v>14275063.5871324</v>
      </c>
      <c r="H4650" s="62" t="s">
        <v>138</v>
      </c>
    </row>
    <row r="4651" customFormat="false" ht="15" hidden="false" customHeight="false" outlineLevel="0" collapsed="false">
      <c r="A4651" s="62" t="n">
        <v>1</v>
      </c>
      <c r="B4651" s="62" t="s">
        <v>384</v>
      </c>
      <c r="C4651" s="62" t="s">
        <v>60</v>
      </c>
      <c r="D4651" s="62" t="s">
        <v>72</v>
      </c>
      <c r="E4651" s="62" t="s">
        <v>382</v>
      </c>
      <c r="F4651" s="63" t="s">
        <v>457</v>
      </c>
      <c r="G4651" s="64" t="n">
        <v>11709349.5012454</v>
      </c>
      <c r="H4651" s="62" t="s">
        <v>138</v>
      </c>
    </row>
    <row r="4652" customFormat="false" ht="15" hidden="false" customHeight="false" outlineLevel="0" collapsed="false">
      <c r="A4652" s="62" t="n">
        <v>1</v>
      </c>
      <c r="B4652" s="62" t="s">
        <v>385</v>
      </c>
      <c r="C4652" s="62" t="s">
        <v>60</v>
      </c>
      <c r="D4652" s="62" t="s">
        <v>72</v>
      </c>
      <c r="E4652" s="62" t="s">
        <v>382</v>
      </c>
      <c r="F4652" s="63" t="s">
        <v>457</v>
      </c>
      <c r="G4652" s="64" t="n">
        <v>8521950.46885982</v>
      </c>
      <c r="H4652" s="62" t="s">
        <v>138</v>
      </c>
    </row>
    <row r="4653" customFormat="false" ht="15" hidden="false" customHeight="false" outlineLevel="0" collapsed="false">
      <c r="A4653" s="62" t="n">
        <v>1</v>
      </c>
      <c r="B4653" s="62" t="s">
        <v>386</v>
      </c>
      <c r="C4653" s="62" t="s">
        <v>60</v>
      </c>
      <c r="D4653" s="62" t="s">
        <v>72</v>
      </c>
      <c r="E4653" s="62" t="s">
        <v>382</v>
      </c>
      <c r="F4653" s="63" t="s">
        <v>457</v>
      </c>
      <c r="G4653" s="64" t="n">
        <v>7427498.93836044</v>
      </c>
      <c r="H4653" s="62" t="s">
        <v>138</v>
      </c>
    </row>
    <row r="4654" customFormat="false" ht="15" hidden="false" customHeight="false" outlineLevel="0" collapsed="false">
      <c r="A4654" s="62" t="n">
        <v>1</v>
      </c>
      <c r="B4654" s="62" t="s">
        <v>387</v>
      </c>
      <c r="C4654" s="62" t="s">
        <v>60</v>
      </c>
      <c r="D4654" s="62" t="s">
        <v>72</v>
      </c>
      <c r="E4654" s="62" t="s">
        <v>382</v>
      </c>
      <c r="F4654" s="63" t="s">
        <v>457</v>
      </c>
      <c r="G4654" s="64" t="n">
        <v>8922860.72190879</v>
      </c>
      <c r="H4654" s="62" t="s">
        <v>138</v>
      </c>
    </row>
    <row r="4655" customFormat="false" ht="15" hidden="false" customHeight="false" outlineLevel="0" collapsed="false">
      <c r="A4655" s="62" t="n">
        <v>1</v>
      </c>
      <c r="B4655" s="62" t="s">
        <v>388</v>
      </c>
      <c r="C4655" s="62" t="s">
        <v>60</v>
      </c>
      <c r="D4655" s="62" t="s">
        <v>72</v>
      </c>
      <c r="E4655" s="62" t="s">
        <v>382</v>
      </c>
      <c r="F4655" s="63" t="s">
        <v>457</v>
      </c>
      <c r="G4655" s="64" t="n">
        <v>1795551.71089825</v>
      </c>
      <c r="H4655" s="62" t="s">
        <v>138</v>
      </c>
    </row>
    <row r="4656" customFormat="false" ht="15" hidden="false" customHeight="false" outlineLevel="0" collapsed="false">
      <c r="A4656" s="62" t="n">
        <v>1</v>
      </c>
      <c r="B4656" s="62" t="s">
        <v>381</v>
      </c>
      <c r="C4656" s="62" t="s">
        <v>60</v>
      </c>
      <c r="D4656" s="62" t="s">
        <v>72</v>
      </c>
      <c r="E4656" s="62" t="s">
        <v>382</v>
      </c>
      <c r="F4656" s="63" t="s">
        <v>458</v>
      </c>
      <c r="G4656" s="64" t="n">
        <v>62809166.7237419</v>
      </c>
      <c r="H4656" s="62" t="s">
        <v>138</v>
      </c>
    </row>
    <row r="4657" customFormat="false" ht="15" hidden="false" customHeight="false" outlineLevel="0" collapsed="false">
      <c r="A4657" s="62" t="n">
        <v>1</v>
      </c>
      <c r="B4657" s="62" t="s">
        <v>383</v>
      </c>
      <c r="C4657" s="62" t="s">
        <v>60</v>
      </c>
      <c r="D4657" s="62" t="s">
        <v>72</v>
      </c>
      <c r="E4657" s="62" t="s">
        <v>382</v>
      </c>
      <c r="F4657" s="63" t="s">
        <v>458</v>
      </c>
      <c r="G4657" s="64" t="n">
        <v>125366249.109054</v>
      </c>
      <c r="H4657" s="62" t="s">
        <v>138</v>
      </c>
    </row>
    <row r="4658" customFormat="false" ht="15" hidden="false" customHeight="false" outlineLevel="0" collapsed="false">
      <c r="A4658" s="62" t="n">
        <v>1</v>
      </c>
      <c r="B4658" s="62" t="s">
        <v>384</v>
      </c>
      <c r="C4658" s="62" t="s">
        <v>60</v>
      </c>
      <c r="D4658" s="62" t="s">
        <v>72</v>
      </c>
      <c r="E4658" s="62" t="s">
        <v>382</v>
      </c>
      <c r="F4658" s="63" t="s">
        <v>458</v>
      </c>
      <c r="G4658" s="64" t="n">
        <v>105125626.436938</v>
      </c>
      <c r="H4658" s="62" t="s">
        <v>138</v>
      </c>
    </row>
    <row r="4659" customFormat="false" ht="15" hidden="false" customHeight="false" outlineLevel="0" collapsed="false">
      <c r="A4659" s="62" t="n">
        <v>1</v>
      </c>
      <c r="B4659" s="62" t="s">
        <v>385</v>
      </c>
      <c r="C4659" s="62" t="s">
        <v>60</v>
      </c>
      <c r="D4659" s="62" t="s">
        <v>72</v>
      </c>
      <c r="E4659" s="62" t="s">
        <v>382</v>
      </c>
      <c r="F4659" s="63" t="s">
        <v>458</v>
      </c>
      <c r="G4659" s="64" t="n">
        <v>89435100.311436</v>
      </c>
      <c r="H4659" s="62" t="s">
        <v>138</v>
      </c>
    </row>
    <row r="4660" customFormat="false" ht="15" hidden="false" customHeight="false" outlineLevel="0" collapsed="false">
      <c r="A4660" s="62" t="n">
        <v>1</v>
      </c>
      <c r="B4660" s="62" t="s">
        <v>386</v>
      </c>
      <c r="C4660" s="62" t="s">
        <v>60</v>
      </c>
      <c r="D4660" s="62" t="s">
        <v>72</v>
      </c>
      <c r="E4660" s="62" t="s">
        <v>382</v>
      </c>
      <c r="F4660" s="63" t="s">
        <v>458</v>
      </c>
      <c r="G4660" s="64" t="n">
        <v>82557056.1670494</v>
      </c>
      <c r="H4660" s="62" t="s">
        <v>138</v>
      </c>
    </row>
    <row r="4661" customFormat="false" ht="15" hidden="false" customHeight="false" outlineLevel="0" collapsed="false">
      <c r="A4661" s="62" t="n">
        <v>1</v>
      </c>
      <c r="B4661" s="62" t="s">
        <v>387</v>
      </c>
      <c r="C4661" s="62" t="s">
        <v>60</v>
      </c>
      <c r="D4661" s="62" t="s">
        <v>72</v>
      </c>
      <c r="E4661" s="62" t="s">
        <v>382</v>
      </c>
      <c r="F4661" s="63" t="s">
        <v>458</v>
      </c>
      <c r="G4661" s="64" t="n">
        <v>98420899.2306509</v>
      </c>
      <c r="H4661" s="62" t="s">
        <v>138</v>
      </c>
    </row>
    <row r="4662" customFormat="false" ht="15" hidden="false" customHeight="false" outlineLevel="0" collapsed="false">
      <c r="A4662" s="62" t="n">
        <v>1</v>
      </c>
      <c r="B4662" s="62" t="s">
        <v>388</v>
      </c>
      <c r="C4662" s="62" t="s">
        <v>60</v>
      </c>
      <c r="D4662" s="62" t="s">
        <v>72</v>
      </c>
      <c r="E4662" s="62" t="s">
        <v>382</v>
      </c>
      <c r="F4662" s="63" t="s">
        <v>458</v>
      </c>
      <c r="G4662" s="64" t="n">
        <v>50425863.0349462</v>
      </c>
      <c r="H4662" s="62" t="s">
        <v>138</v>
      </c>
    </row>
    <row r="4663" customFormat="false" ht="15" hidden="false" customHeight="false" outlineLevel="0" collapsed="false">
      <c r="A4663" s="62" t="n">
        <v>1</v>
      </c>
      <c r="B4663" s="62" t="s">
        <v>381</v>
      </c>
      <c r="C4663" s="62" t="s">
        <v>60</v>
      </c>
      <c r="D4663" s="62" t="s">
        <v>72</v>
      </c>
      <c r="E4663" s="62" t="s">
        <v>382</v>
      </c>
      <c r="F4663" s="63" t="s">
        <v>459</v>
      </c>
      <c r="G4663" s="64" t="n">
        <v>1625000</v>
      </c>
      <c r="H4663" s="62" t="s">
        <v>138</v>
      </c>
    </row>
    <row r="4664" customFormat="false" ht="15" hidden="false" customHeight="false" outlineLevel="0" collapsed="false">
      <c r="A4664" s="62" t="n">
        <v>1</v>
      </c>
      <c r="B4664" s="62" t="s">
        <v>383</v>
      </c>
      <c r="C4664" s="62" t="s">
        <v>60</v>
      </c>
      <c r="D4664" s="62" t="s">
        <v>72</v>
      </c>
      <c r="E4664" s="62" t="s">
        <v>382</v>
      </c>
      <c r="F4664" s="63" t="s">
        <v>459</v>
      </c>
      <c r="G4664" s="64" t="n">
        <v>1625000</v>
      </c>
      <c r="H4664" s="62" t="s">
        <v>138</v>
      </c>
    </row>
    <row r="4665" customFormat="false" ht="15" hidden="false" customHeight="false" outlineLevel="0" collapsed="false">
      <c r="A4665" s="62" t="n">
        <v>1</v>
      </c>
      <c r="B4665" s="62" t="s">
        <v>384</v>
      </c>
      <c r="C4665" s="62" t="s">
        <v>60</v>
      </c>
      <c r="D4665" s="62" t="s">
        <v>72</v>
      </c>
      <c r="E4665" s="62" t="s">
        <v>382</v>
      </c>
      <c r="F4665" s="63" t="s">
        <v>459</v>
      </c>
      <c r="G4665" s="64" t="n">
        <v>1625000</v>
      </c>
      <c r="H4665" s="62" t="s">
        <v>138</v>
      </c>
    </row>
    <row r="4666" customFormat="false" ht="15" hidden="false" customHeight="false" outlineLevel="0" collapsed="false">
      <c r="A4666" s="62" t="n">
        <v>1</v>
      </c>
      <c r="B4666" s="62" t="s">
        <v>385</v>
      </c>
      <c r="C4666" s="62" t="s">
        <v>60</v>
      </c>
      <c r="D4666" s="62" t="s">
        <v>72</v>
      </c>
      <c r="E4666" s="62" t="s">
        <v>382</v>
      </c>
      <c r="F4666" s="63" t="s">
        <v>459</v>
      </c>
      <c r="G4666" s="64" t="n">
        <v>1625000</v>
      </c>
      <c r="H4666" s="62" t="s">
        <v>138</v>
      </c>
    </row>
    <row r="4667" customFormat="false" ht="15" hidden="false" customHeight="false" outlineLevel="0" collapsed="false">
      <c r="A4667" s="62" t="n">
        <v>1</v>
      </c>
      <c r="B4667" s="62" t="s">
        <v>386</v>
      </c>
      <c r="C4667" s="62" t="s">
        <v>60</v>
      </c>
      <c r="D4667" s="62" t="s">
        <v>72</v>
      </c>
      <c r="E4667" s="62" t="s">
        <v>382</v>
      </c>
      <c r="F4667" s="63" t="s">
        <v>459</v>
      </c>
      <c r="G4667" s="64" t="n">
        <v>1625000</v>
      </c>
      <c r="H4667" s="62" t="s">
        <v>138</v>
      </c>
    </row>
    <row r="4668" customFormat="false" ht="15" hidden="false" customHeight="false" outlineLevel="0" collapsed="false">
      <c r="A4668" s="62" t="n">
        <v>1</v>
      </c>
      <c r="B4668" s="62" t="s">
        <v>387</v>
      </c>
      <c r="C4668" s="62" t="s">
        <v>60</v>
      </c>
      <c r="D4668" s="62" t="s">
        <v>72</v>
      </c>
      <c r="E4668" s="62" t="s">
        <v>382</v>
      </c>
      <c r="F4668" s="63" t="s">
        <v>459</v>
      </c>
      <c r="G4668" s="64" t="n">
        <v>1625000</v>
      </c>
      <c r="H4668" s="62" t="s">
        <v>138</v>
      </c>
    </row>
    <row r="4669" customFormat="false" ht="15" hidden="false" customHeight="false" outlineLevel="0" collapsed="false">
      <c r="A4669" s="62" t="n">
        <v>1</v>
      </c>
      <c r="B4669" s="62" t="s">
        <v>388</v>
      </c>
      <c r="C4669" s="62" t="s">
        <v>60</v>
      </c>
      <c r="D4669" s="62" t="s">
        <v>72</v>
      </c>
      <c r="E4669" s="62" t="s">
        <v>382</v>
      </c>
      <c r="F4669" s="63" t="s">
        <v>459</v>
      </c>
      <c r="G4669" s="64" t="n">
        <v>1625000</v>
      </c>
      <c r="H4669" s="62" t="s">
        <v>138</v>
      </c>
    </row>
    <row r="4670" customFormat="false" ht="15" hidden="false" customHeight="false" outlineLevel="0" collapsed="false">
      <c r="A4670" s="62" t="n">
        <v>1</v>
      </c>
      <c r="B4670" s="62" t="s">
        <v>381</v>
      </c>
      <c r="C4670" s="62" t="s">
        <v>60</v>
      </c>
      <c r="D4670" s="62" t="s">
        <v>72</v>
      </c>
      <c r="E4670" s="62" t="s">
        <v>382</v>
      </c>
      <c r="F4670" s="63" t="s">
        <v>460</v>
      </c>
      <c r="G4670" s="64" t="n">
        <v>38.6517949069181</v>
      </c>
      <c r="H4670" s="62" t="s">
        <v>138</v>
      </c>
    </row>
    <row r="4671" customFormat="false" ht="15" hidden="false" customHeight="false" outlineLevel="0" collapsed="false">
      <c r="A4671" s="62" t="n">
        <v>1</v>
      </c>
      <c r="B4671" s="62" t="s">
        <v>383</v>
      </c>
      <c r="C4671" s="62" t="s">
        <v>60</v>
      </c>
      <c r="D4671" s="62" t="s">
        <v>72</v>
      </c>
      <c r="E4671" s="62" t="s">
        <v>382</v>
      </c>
      <c r="F4671" s="63" t="s">
        <v>460</v>
      </c>
      <c r="G4671" s="64" t="n">
        <v>77.1484609901871</v>
      </c>
      <c r="H4671" s="62" t="s">
        <v>138</v>
      </c>
    </row>
    <row r="4672" customFormat="false" ht="15" hidden="false" customHeight="false" outlineLevel="0" collapsed="false">
      <c r="A4672" s="62" t="n">
        <v>1</v>
      </c>
      <c r="B4672" s="62" t="s">
        <v>384</v>
      </c>
      <c r="C4672" s="62" t="s">
        <v>60</v>
      </c>
      <c r="D4672" s="62" t="s">
        <v>72</v>
      </c>
      <c r="E4672" s="62" t="s">
        <v>382</v>
      </c>
      <c r="F4672" s="63" t="s">
        <v>460</v>
      </c>
      <c r="G4672" s="64" t="n">
        <v>64.6926931919616</v>
      </c>
      <c r="H4672" s="62" t="s">
        <v>138</v>
      </c>
    </row>
    <row r="4673" customFormat="false" ht="15" hidden="false" customHeight="false" outlineLevel="0" collapsed="false">
      <c r="A4673" s="62" t="n">
        <v>1</v>
      </c>
      <c r="B4673" s="62" t="s">
        <v>385</v>
      </c>
      <c r="C4673" s="62" t="s">
        <v>60</v>
      </c>
      <c r="D4673" s="62" t="s">
        <v>72</v>
      </c>
      <c r="E4673" s="62" t="s">
        <v>382</v>
      </c>
      <c r="F4673" s="63" t="s">
        <v>460</v>
      </c>
      <c r="G4673" s="64" t="n">
        <v>55.0369848070375</v>
      </c>
      <c r="H4673" s="62" t="s">
        <v>138</v>
      </c>
    </row>
    <row r="4674" customFormat="false" ht="15" hidden="false" customHeight="false" outlineLevel="0" collapsed="false">
      <c r="A4674" s="62" t="n">
        <v>1</v>
      </c>
      <c r="B4674" s="62" t="s">
        <v>386</v>
      </c>
      <c r="C4674" s="62" t="s">
        <v>60</v>
      </c>
      <c r="D4674" s="62" t="s">
        <v>72</v>
      </c>
      <c r="E4674" s="62" t="s">
        <v>382</v>
      </c>
      <c r="F4674" s="63" t="s">
        <v>460</v>
      </c>
      <c r="G4674" s="64" t="n">
        <v>50.8043422566458</v>
      </c>
      <c r="H4674" s="62" t="s">
        <v>138</v>
      </c>
    </row>
    <row r="4675" customFormat="false" ht="15" hidden="false" customHeight="false" outlineLevel="0" collapsed="false">
      <c r="A4675" s="62" t="n">
        <v>1</v>
      </c>
      <c r="B4675" s="62" t="s">
        <v>387</v>
      </c>
      <c r="C4675" s="62" t="s">
        <v>60</v>
      </c>
      <c r="D4675" s="62" t="s">
        <v>72</v>
      </c>
      <c r="E4675" s="62" t="s">
        <v>382</v>
      </c>
      <c r="F4675" s="63" t="s">
        <v>460</v>
      </c>
      <c r="G4675" s="64" t="n">
        <v>60.5667072188621</v>
      </c>
      <c r="H4675" s="62" t="s">
        <v>138</v>
      </c>
    </row>
    <row r="4676" customFormat="false" ht="15" hidden="false" customHeight="false" outlineLevel="0" collapsed="false">
      <c r="A4676" s="62" t="n">
        <v>1</v>
      </c>
      <c r="B4676" s="62" t="s">
        <v>388</v>
      </c>
      <c r="C4676" s="62" t="s">
        <v>60</v>
      </c>
      <c r="D4676" s="62" t="s">
        <v>72</v>
      </c>
      <c r="E4676" s="62" t="s">
        <v>382</v>
      </c>
      <c r="F4676" s="63" t="s">
        <v>460</v>
      </c>
      <c r="G4676" s="64" t="n">
        <v>31.0313003291977</v>
      </c>
      <c r="H4676" s="62" t="s">
        <v>138</v>
      </c>
    </row>
    <row r="4677" customFormat="false" ht="15" hidden="false" customHeight="false" outlineLevel="0" collapsed="false">
      <c r="A4677" s="62" t="n">
        <v>1</v>
      </c>
      <c r="B4677" s="62" t="s">
        <v>381</v>
      </c>
      <c r="C4677" s="62" t="s">
        <v>60</v>
      </c>
      <c r="D4677" s="62" t="s">
        <v>72</v>
      </c>
      <c r="E4677" s="62" t="s">
        <v>382</v>
      </c>
      <c r="F4677" s="63" t="s">
        <v>461</v>
      </c>
      <c r="G4677" s="64" t="n">
        <v>33.5923600993318</v>
      </c>
      <c r="H4677" s="62" t="s">
        <v>138</v>
      </c>
    </row>
    <row r="4678" customFormat="false" ht="15" hidden="false" customHeight="false" outlineLevel="0" collapsed="false">
      <c r="A4678" s="62" t="n">
        <v>1</v>
      </c>
      <c r="B4678" s="62" t="s">
        <v>383</v>
      </c>
      <c r="C4678" s="62" t="s">
        <v>60</v>
      </c>
      <c r="D4678" s="62" t="s">
        <v>72</v>
      </c>
      <c r="E4678" s="62" t="s">
        <v>382</v>
      </c>
      <c r="F4678" s="63" t="s">
        <v>461</v>
      </c>
      <c r="G4678" s="64" t="n">
        <v>33.5923600993318</v>
      </c>
      <c r="H4678" s="62" t="s">
        <v>138</v>
      </c>
    </row>
    <row r="4679" customFormat="false" ht="15" hidden="false" customHeight="false" outlineLevel="0" collapsed="false">
      <c r="A4679" s="62" t="n">
        <v>1</v>
      </c>
      <c r="B4679" s="62" t="s">
        <v>384</v>
      </c>
      <c r="C4679" s="62" t="s">
        <v>60</v>
      </c>
      <c r="D4679" s="62" t="s">
        <v>72</v>
      </c>
      <c r="E4679" s="62" t="s">
        <v>382</v>
      </c>
      <c r="F4679" s="63" t="s">
        <v>461</v>
      </c>
      <c r="G4679" s="64" t="n">
        <v>33.5923600993318</v>
      </c>
      <c r="H4679" s="62" t="s">
        <v>138</v>
      </c>
    </row>
    <row r="4680" customFormat="false" ht="15" hidden="false" customHeight="false" outlineLevel="0" collapsed="false">
      <c r="A4680" s="62" t="n">
        <v>1</v>
      </c>
      <c r="B4680" s="62" t="s">
        <v>385</v>
      </c>
      <c r="C4680" s="62" t="s">
        <v>60</v>
      </c>
      <c r="D4680" s="62" t="s">
        <v>72</v>
      </c>
      <c r="E4680" s="62" t="s">
        <v>382</v>
      </c>
      <c r="F4680" s="63" t="s">
        <v>461</v>
      </c>
      <c r="G4680" s="64" t="n">
        <v>33.5923600993318</v>
      </c>
      <c r="H4680" s="62" t="s">
        <v>138</v>
      </c>
    </row>
    <row r="4681" customFormat="false" ht="15" hidden="false" customHeight="false" outlineLevel="0" collapsed="false">
      <c r="A4681" s="62" t="n">
        <v>1</v>
      </c>
      <c r="B4681" s="62" t="s">
        <v>386</v>
      </c>
      <c r="C4681" s="62" t="s">
        <v>60</v>
      </c>
      <c r="D4681" s="62" t="s">
        <v>72</v>
      </c>
      <c r="E4681" s="62" t="s">
        <v>382</v>
      </c>
      <c r="F4681" s="63" t="s">
        <v>461</v>
      </c>
      <c r="G4681" s="64" t="n">
        <v>33.5923600993318</v>
      </c>
      <c r="H4681" s="62" t="s">
        <v>138</v>
      </c>
    </row>
    <row r="4682" customFormat="false" ht="15" hidden="false" customHeight="false" outlineLevel="0" collapsed="false">
      <c r="A4682" s="62" t="n">
        <v>1</v>
      </c>
      <c r="B4682" s="62" t="s">
        <v>387</v>
      </c>
      <c r="C4682" s="62" t="s">
        <v>60</v>
      </c>
      <c r="D4682" s="62" t="s">
        <v>72</v>
      </c>
      <c r="E4682" s="62" t="s">
        <v>382</v>
      </c>
      <c r="F4682" s="63" t="s">
        <v>461</v>
      </c>
      <c r="G4682" s="64" t="n">
        <v>33.5923600993318</v>
      </c>
      <c r="H4682" s="62" t="s">
        <v>138</v>
      </c>
    </row>
    <row r="4683" customFormat="false" ht="15" hidden="false" customHeight="false" outlineLevel="0" collapsed="false">
      <c r="A4683" s="62" t="n">
        <v>1</v>
      </c>
      <c r="B4683" s="62" t="s">
        <v>388</v>
      </c>
      <c r="C4683" s="62" t="s">
        <v>60</v>
      </c>
      <c r="D4683" s="62" t="s">
        <v>72</v>
      </c>
      <c r="E4683" s="62" t="s">
        <v>382</v>
      </c>
      <c r="F4683" s="63" t="s">
        <v>461</v>
      </c>
      <c r="G4683" s="64" t="n">
        <v>33.5923600993318</v>
      </c>
      <c r="H4683" s="62" t="s">
        <v>138</v>
      </c>
    </row>
    <row r="4684" customFormat="false" ht="15" hidden="false" customHeight="false" outlineLevel="0" collapsed="false">
      <c r="A4684" s="62" t="n">
        <v>1</v>
      </c>
      <c r="B4684" s="62" t="s">
        <v>381</v>
      </c>
      <c r="C4684" s="62" t="s">
        <v>60</v>
      </c>
      <c r="D4684" s="62" t="s">
        <v>72</v>
      </c>
      <c r="E4684" s="62" t="s">
        <v>382</v>
      </c>
      <c r="F4684" s="63" t="s">
        <v>462</v>
      </c>
      <c r="G4684" s="64" t="n">
        <v>3.18424858077921</v>
      </c>
      <c r="H4684" s="62" t="s">
        <v>138</v>
      </c>
    </row>
    <row r="4685" customFormat="false" ht="15" hidden="false" customHeight="false" outlineLevel="0" collapsed="false">
      <c r="A4685" s="62" t="n">
        <v>1</v>
      </c>
      <c r="B4685" s="62" t="s">
        <v>383</v>
      </c>
      <c r="C4685" s="62" t="s">
        <v>60</v>
      </c>
      <c r="D4685" s="62" t="s">
        <v>72</v>
      </c>
      <c r="E4685" s="62" t="s">
        <v>382</v>
      </c>
      <c r="F4685" s="63" t="s">
        <v>462</v>
      </c>
      <c r="G4685" s="64" t="n">
        <v>0.660929880161948</v>
      </c>
      <c r="H4685" s="62" t="s">
        <v>138</v>
      </c>
    </row>
    <row r="4686" customFormat="false" ht="15" hidden="false" customHeight="false" outlineLevel="0" collapsed="false">
      <c r="A4686" s="62" t="n">
        <v>1</v>
      </c>
      <c r="B4686" s="62" t="s">
        <v>384</v>
      </c>
      <c r="C4686" s="62" t="s">
        <v>60</v>
      </c>
      <c r="D4686" s="62" t="s">
        <v>72</v>
      </c>
      <c r="E4686" s="62" t="s">
        <v>382</v>
      </c>
      <c r="F4686" s="63" t="s">
        <v>462</v>
      </c>
      <c r="G4686" s="64" t="n">
        <v>1.57674684677797</v>
      </c>
      <c r="H4686" s="62" t="s">
        <v>138</v>
      </c>
    </row>
    <row r="4687" customFormat="false" ht="15" hidden="false" customHeight="false" outlineLevel="0" collapsed="false">
      <c r="A4687" s="62" t="n">
        <v>1</v>
      </c>
      <c r="B4687" s="62" t="s">
        <v>385</v>
      </c>
      <c r="C4687" s="62" t="s">
        <v>60</v>
      </c>
      <c r="D4687" s="62" t="s">
        <v>72</v>
      </c>
      <c r="E4687" s="62" t="s">
        <v>382</v>
      </c>
      <c r="F4687" s="63" t="s">
        <v>462</v>
      </c>
      <c r="G4687" s="64" t="n">
        <v>0.30882058502559</v>
      </c>
      <c r="H4687" s="62" t="s">
        <v>138</v>
      </c>
    </row>
    <row r="4688" customFormat="false" ht="15" hidden="false" customHeight="false" outlineLevel="0" collapsed="false">
      <c r="A4688" s="62" t="n">
        <v>1</v>
      </c>
      <c r="B4688" s="62" t="s">
        <v>386</v>
      </c>
      <c r="C4688" s="62" t="s">
        <v>60</v>
      </c>
      <c r="D4688" s="62" t="s">
        <v>72</v>
      </c>
      <c r="E4688" s="62" t="s">
        <v>382</v>
      </c>
      <c r="F4688" s="63" t="s">
        <v>462</v>
      </c>
      <c r="G4688" s="64" t="n">
        <v>5.45077575306769</v>
      </c>
      <c r="H4688" s="62" t="s">
        <v>138</v>
      </c>
    </row>
    <row r="4689" customFormat="false" ht="15" hidden="false" customHeight="false" outlineLevel="0" collapsed="false">
      <c r="A4689" s="62" t="n">
        <v>1</v>
      </c>
      <c r="B4689" s="62" t="s">
        <v>387</v>
      </c>
      <c r="C4689" s="62" t="s">
        <v>60</v>
      </c>
      <c r="D4689" s="62" t="s">
        <v>72</v>
      </c>
      <c r="E4689" s="62" t="s">
        <v>382</v>
      </c>
      <c r="F4689" s="63" t="s">
        <v>462</v>
      </c>
      <c r="G4689" s="64" t="n">
        <v>1.12250346078523</v>
      </c>
      <c r="H4689" s="62" t="s">
        <v>138</v>
      </c>
    </row>
    <row r="4690" customFormat="false" ht="15" hidden="false" customHeight="false" outlineLevel="0" collapsed="false">
      <c r="A4690" s="62" t="n">
        <v>1</v>
      </c>
      <c r="B4690" s="62" t="s">
        <v>388</v>
      </c>
      <c r="C4690" s="62" t="s">
        <v>60</v>
      </c>
      <c r="D4690" s="62" t="s">
        <v>72</v>
      </c>
      <c r="E4690" s="62" t="s">
        <v>382</v>
      </c>
      <c r="F4690" s="63" t="s">
        <v>462</v>
      </c>
      <c r="G4690" s="64" t="n">
        <v>1.16103714396373</v>
      </c>
      <c r="H4690" s="62" t="s">
        <v>138</v>
      </c>
    </row>
    <row r="4691" customFormat="false" ht="15" hidden="false" customHeight="false" outlineLevel="0" collapsed="false">
      <c r="A4691" s="62" t="n">
        <v>1</v>
      </c>
      <c r="B4691" s="62" t="s">
        <v>381</v>
      </c>
      <c r="C4691" s="62" t="s">
        <v>60</v>
      </c>
      <c r="D4691" s="62" t="s">
        <v>72</v>
      </c>
      <c r="E4691" s="62" t="s">
        <v>382</v>
      </c>
      <c r="F4691" s="63" t="s">
        <v>463</v>
      </c>
      <c r="G4691" s="64" t="n">
        <v>17.4018596413224</v>
      </c>
      <c r="H4691" s="62" t="s">
        <v>138</v>
      </c>
    </row>
    <row r="4692" customFormat="false" ht="15" hidden="false" customHeight="false" outlineLevel="0" collapsed="false">
      <c r="A4692" s="62" t="n">
        <v>1</v>
      </c>
      <c r="B4692" s="62" t="s">
        <v>383</v>
      </c>
      <c r="C4692" s="62" t="s">
        <v>60</v>
      </c>
      <c r="D4692" s="62" t="s">
        <v>72</v>
      </c>
      <c r="E4692" s="62" t="s">
        <v>382</v>
      </c>
      <c r="F4692" s="63" t="s">
        <v>463</v>
      </c>
      <c r="G4692" s="64" t="n">
        <v>10.0025366589272</v>
      </c>
      <c r="H4692" s="62" t="s">
        <v>138</v>
      </c>
    </row>
    <row r="4693" customFormat="false" ht="15" hidden="false" customHeight="false" outlineLevel="0" collapsed="false">
      <c r="A4693" s="62" t="n">
        <v>1</v>
      </c>
      <c r="B4693" s="62" t="s">
        <v>384</v>
      </c>
      <c r="C4693" s="62" t="s">
        <v>60</v>
      </c>
      <c r="D4693" s="62" t="s">
        <v>72</v>
      </c>
      <c r="E4693" s="62" t="s">
        <v>382</v>
      </c>
      <c r="F4693" s="63" t="s">
        <v>463</v>
      </c>
      <c r="G4693" s="64" t="n">
        <v>10.5465949051646</v>
      </c>
      <c r="H4693" s="62" t="s">
        <v>138</v>
      </c>
    </row>
    <row r="4694" customFormat="false" ht="15" hidden="false" customHeight="false" outlineLevel="0" collapsed="false">
      <c r="A4694" s="62" t="n">
        <v>1</v>
      </c>
      <c r="B4694" s="62" t="s">
        <v>385</v>
      </c>
      <c r="C4694" s="62" t="s">
        <v>60</v>
      </c>
      <c r="D4694" s="62" t="s">
        <v>72</v>
      </c>
      <c r="E4694" s="62" t="s">
        <v>382</v>
      </c>
      <c r="F4694" s="63" t="s">
        <v>463</v>
      </c>
      <c r="G4694" s="64" t="n">
        <v>13.1903709013907</v>
      </c>
      <c r="H4694" s="62" t="s">
        <v>138</v>
      </c>
    </row>
    <row r="4695" customFormat="false" ht="15" hidden="false" customHeight="false" outlineLevel="0" collapsed="false">
      <c r="A4695" s="62" t="n">
        <v>1</v>
      </c>
      <c r="B4695" s="62" t="s">
        <v>386</v>
      </c>
      <c r="C4695" s="62" t="s">
        <v>60</v>
      </c>
      <c r="D4695" s="62" t="s">
        <v>72</v>
      </c>
      <c r="E4695" s="62" t="s">
        <v>382</v>
      </c>
      <c r="F4695" s="63" t="s">
        <v>463</v>
      </c>
      <c r="G4695" s="64" t="n">
        <v>14.5196596320242</v>
      </c>
      <c r="H4695" s="62" t="s">
        <v>138</v>
      </c>
    </row>
    <row r="4696" customFormat="false" ht="15" hidden="false" customHeight="false" outlineLevel="0" collapsed="false">
      <c r="A4696" s="62" t="n">
        <v>1</v>
      </c>
      <c r="B4696" s="62" t="s">
        <v>387</v>
      </c>
      <c r="C4696" s="62" t="s">
        <v>60</v>
      </c>
      <c r="D4696" s="62" t="s">
        <v>72</v>
      </c>
      <c r="E4696" s="62" t="s">
        <v>382</v>
      </c>
      <c r="F4696" s="63" t="s">
        <v>463</v>
      </c>
      <c r="G4696" s="64" t="n">
        <v>13.7052739785078</v>
      </c>
      <c r="H4696" s="62" t="s">
        <v>138</v>
      </c>
    </row>
    <row r="4697" customFormat="false" ht="15" hidden="false" customHeight="false" outlineLevel="0" collapsed="false">
      <c r="A4697" s="62" t="n">
        <v>1</v>
      </c>
      <c r="B4697" s="62" t="s">
        <v>388</v>
      </c>
      <c r="C4697" s="62" t="s">
        <v>60</v>
      </c>
      <c r="D4697" s="62" t="s">
        <v>72</v>
      </c>
      <c r="E4697" s="62" t="s">
        <v>382</v>
      </c>
      <c r="F4697" s="63" t="s">
        <v>463</v>
      </c>
      <c r="G4697" s="64" t="n">
        <v>934.959733670178</v>
      </c>
      <c r="H4697" s="62" t="s">
        <v>138</v>
      </c>
    </row>
    <row r="4698" customFormat="false" ht="15" hidden="false" customHeight="false" outlineLevel="0" collapsed="false">
      <c r="A4698" s="62" t="n">
        <v>1</v>
      </c>
      <c r="B4698" s="62" t="s">
        <v>381</v>
      </c>
      <c r="C4698" s="62" t="s">
        <v>60</v>
      </c>
      <c r="D4698" s="62" t="s">
        <v>72</v>
      </c>
      <c r="E4698" s="62" t="s">
        <v>382</v>
      </c>
      <c r="F4698" s="63" t="s">
        <v>464</v>
      </c>
      <c r="G4698" s="64" t="n">
        <v>18.7251030286515</v>
      </c>
      <c r="H4698" s="62" t="s">
        <v>138</v>
      </c>
    </row>
    <row r="4699" customFormat="false" ht="15" hidden="false" customHeight="false" outlineLevel="0" collapsed="false">
      <c r="A4699" s="62" t="n">
        <v>1</v>
      </c>
      <c r="B4699" s="62" t="s">
        <v>383</v>
      </c>
      <c r="C4699" s="62" t="s">
        <v>60</v>
      </c>
      <c r="D4699" s="62" t="s">
        <v>72</v>
      </c>
      <c r="E4699" s="62" t="s">
        <v>382</v>
      </c>
      <c r="F4699" s="63" t="s">
        <v>464</v>
      </c>
      <c r="G4699" s="64" t="n">
        <v>131.178631067667</v>
      </c>
      <c r="H4699" s="62" t="s">
        <v>138</v>
      </c>
    </row>
    <row r="4700" customFormat="false" ht="15" hidden="false" customHeight="false" outlineLevel="0" collapsed="false">
      <c r="A4700" s="62" t="n">
        <v>1</v>
      </c>
      <c r="B4700" s="62" t="s">
        <v>384</v>
      </c>
      <c r="C4700" s="62" t="s">
        <v>60</v>
      </c>
      <c r="D4700" s="62" t="s">
        <v>72</v>
      </c>
      <c r="E4700" s="62" t="s">
        <v>382</v>
      </c>
      <c r="F4700" s="63" t="s">
        <v>464</v>
      </c>
      <c r="G4700" s="64" t="n">
        <v>95.6180899396488</v>
      </c>
      <c r="H4700" s="62" t="s">
        <v>138</v>
      </c>
    </row>
    <row r="4701" customFormat="false" ht="15" hidden="false" customHeight="false" outlineLevel="0" collapsed="false">
      <c r="A4701" s="62" t="n">
        <v>1</v>
      </c>
      <c r="B4701" s="62" t="s">
        <v>385</v>
      </c>
      <c r="C4701" s="62" t="s">
        <v>60</v>
      </c>
      <c r="D4701" s="62" t="s">
        <v>72</v>
      </c>
      <c r="E4701" s="62" t="s">
        <v>382</v>
      </c>
      <c r="F4701" s="63" t="s">
        <v>464</v>
      </c>
      <c r="G4701" s="64" t="n">
        <v>64.3437679944291</v>
      </c>
      <c r="H4701" s="62" t="s">
        <v>138</v>
      </c>
    </row>
    <row r="4702" customFormat="false" ht="15" hidden="false" customHeight="false" outlineLevel="0" collapsed="false">
      <c r="A4702" s="62" t="n">
        <v>1</v>
      </c>
      <c r="B4702" s="62" t="s">
        <v>386</v>
      </c>
      <c r="C4702" s="62" t="s">
        <v>60</v>
      </c>
      <c r="D4702" s="62" t="s">
        <v>72</v>
      </c>
      <c r="E4702" s="62" t="s">
        <v>382</v>
      </c>
      <c r="F4702" s="63" t="s">
        <v>464</v>
      </c>
      <c r="G4702" s="64" t="n">
        <v>59.4814203808864</v>
      </c>
      <c r="H4702" s="62" t="s">
        <v>138</v>
      </c>
    </row>
    <row r="4703" customFormat="false" ht="15" hidden="false" customHeight="false" outlineLevel="0" collapsed="false">
      <c r="A4703" s="62" t="n">
        <v>1</v>
      </c>
      <c r="B4703" s="62" t="s">
        <v>387</v>
      </c>
      <c r="C4703" s="62" t="s">
        <v>60</v>
      </c>
      <c r="D4703" s="62" t="s">
        <v>72</v>
      </c>
      <c r="E4703" s="62" t="s">
        <v>382</v>
      </c>
      <c r="F4703" s="63" t="s">
        <v>464</v>
      </c>
      <c r="G4703" s="64" t="n">
        <v>82.3229163487555</v>
      </c>
      <c r="H4703" s="62" t="s">
        <v>138</v>
      </c>
    </row>
    <row r="4704" customFormat="false" ht="15" hidden="false" customHeight="false" outlineLevel="0" collapsed="false">
      <c r="A4704" s="62" t="n">
        <v>1</v>
      </c>
      <c r="B4704" s="62" t="s">
        <v>388</v>
      </c>
      <c r="C4704" s="62" t="s">
        <v>60</v>
      </c>
      <c r="D4704" s="62" t="s">
        <v>72</v>
      </c>
      <c r="E4704" s="62" t="s">
        <v>382</v>
      </c>
      <c r="F4704" s="63" t="s">
        <v>464</v>
      </c>
      <c r="G4704" s="64" t="n">
        <v>-6.55141478761717</v>
      </c>
      <c r="H4704" s="62" t="s">
        <v>138</v>
      </c>
    </row>
    <row r="4705" customFormat="false" ht="15" hidden="false" customHeight="false" outlineLevel="0" collapsed="false">
      <c r="A4705" s="62" t="n">
        <v>1</v>
      </c>
      <c r="B4705" s="62" t="s">
        <v>381</v>
      </c>
      <c r="C4705" s="62" t="s">
        <v>60</v>
      </c>
      <c r="D4705" s="62" t="s">
        <v>105</v>
      </c>
      <c r="E4705" s="62" t="s">
        <v>382</v>
      </c>
      <c r="F4705" s="63" t="s">
        <v>465</v>
      </c>
      <c r="G4705" s="64" t="n">
        <v>19.9876087088353</v>
      </c>
      <c r="H4705" s="62" t="s">
        <v>42</v>
      </c>
    </row>
    <row r="4706" customFormat="false" ht="15" hidden="false" customHeight="false" outlineLevel="0" collapsed="false">
      <c r="A4706" s="62" t="n">
        <v>1</v>
      </c>
      <c r="B4706" s="62" t="s">
        <v>383</v>
      </c>
      <c r="C4706" s="62" t="s">
        <v>60</v>
      </c>
      <c r="D4706" s="62" t="s">
        <v>105</v>
      </c>
      <c r="E4706" s="62" t="s">
        <v>382</v>
      </c>
      <c r="F4706" s="63" t="s">
        <v>465</v>
      </c>
      <c r="G4706" s="64" t="n">
        <v>42.450782465416</v>
      </c>
      <c r="H4706" s="62" t="s">
        <v>42</v>
      </c>
    </row>
    <row r="4707" customFormat="false" ht="15" hidden="false" customHeight="false" outlineLevel="0" collapsed="false">
      <c r="A4707" s="62" t="n">
        <v>1</v>
      </c>
      <c r="B4707" s="62" t="s">
        <v>384</v>
      </c>
      <c r="C4707" s="62" t="s">
        <v>60</v>
      </c>
      <c r="D4707" s="62" t="s">
        <v>105</v>
      </c>
      <c r="E4707" s="62" t="s">
        <v>382</v>
      </c>
      <c r="F4707" s="63" t="s">
        <v>465</v>
      </c>
      <c r="G4707" s="64" t="n">
        <v>35.2498495133605</v>
      </c>
      <c r="H4707" s="62" t="s">
        <v>42</v>
      </c>
    </row>
    <row r="4708" customFormat="false" ht="15" hidden="false" customHeight="false" outlineLevel="0" collapsed="false">
      <c r="A4708" s="62" t="n">
        <v>1</v>
      </c>
      <c r="B4708" s="62" t="s">
        <v>385</v>
      </c>
      <c r="C4708" s="62" t="s">
        <v>60</v>
      </c>
      <c r="D4708" s="62" t="s">
        <v>105</v>
      </c>
      <c r="E4708" s="62" t="s">
        <v>382</v>
      </c>
      <c r="F4708" s="63" t="s">
        <v>465</v>
      </c>
      <c r="G4708" s="64" t="n">
        <v>39.7478503402388</v>
      </c>
      <c r="H4708" s="62" t="s">
        <v>42</v>
      </c>
    </row>
    <row r="4709" customFormat="false" ht="15" hidden="false" customHeight="false" outlineLevel="0" collapsed="false">
      <c r="A4709" s="62" t="n">
        <v>1</v>
      </c>
      <c r="B4709" s="62" t="s">
        <v>386</v>
      </c>
      <c r="C4709" s="62" t="s">
        <v>60</v>
      </c>
      <c r="D4709" s="62" t="s">
        <v>105</v>
      </c>
      <c r="E4709" s="62" t="s">
        <v>382</v>
      </c>
      <c r="F4709" s="63" t="s">
        <v>465</v>
      </c>
      <c r="G4709" s="64" t="n">
        <v>33.1697518420877</v>
      </c>
      <c r="H4709" s="62" t="s">
        <v>42</v>
      </c>
    </row>
    <row r="4710" customFormat="false" ht="15" hidden="false" customHeight="false" outlineLevel="0" collapsed="false">
      <c r="A4710" s="62" t="n">
        <v>1</v>
      </c>
      <c r="B4710" s="62" t="s">
        <v>387</v>
      </c>
      <c r="C4710" s="62" t="s">
        <v>60</v>
      </c>
      <c r="D4710" s="62" t="s">
        <v>105</v>
      </c>
      <c r="E4710" s="62" t="s">
        <v>382</v>
      </c>
      <c r="F4710" s="63" t="s">
        <v>465</v>
      </c>
      <c r="G4710" s="64" t="n">
        <v>33.0437201343294</v>
      </c>
      <c r="H4710" s="62" t="s">
        <v>42</v>
      </c>
    </row>
    <row r="4711" customFormat="false" ht="15" hidden="false" customHeight="false" outlineLevel="0" collapsed="false">
      <c r="A4711" s="62" t="n">
        <v>1</v>
      </c>
      <c r="B4711" s="62" t="s">
        <v>388</v>
      </c>
      <c r="C4711" s="62" t="s">
        <v>60</v>
      </c>
      <c r="D4711" s="62" t="s">
        <v>105</v>
      </c>
      <c r="E4711" s="62" t="s">
        <v>382</v>
      </c>
      <c r="F4711" s="63" t="s">
        <v>465</v>
      </c>
      <c r="G4711" s="64" t="n">
        <v>22.8255750468972</v>
      </c>
      <c r="H4711" s="62" t="s">
        <v>42</v>
      </c>
    </row>
    <row r="4712" customFormat="false" ht="15" hidden="false" customHeight="false" outlineLevel="0" collapsed="false">
      <c r="A4712" s="62" t="n">
        <v>1</v>
      </c>
      <c r="B4712" s="62" t="s">
        <v>381</v>
      </c>
      <c r="C4712" s="62" t="s">
        <v>60</v>
      </c>
      <c r="D4712" s="62" t="s">
        <v>105</v>
      </c>
      <c r="E4712" s="62" t="s">
        <v>382</v>
      </c>
      <c r="F4712" s="63" t="s">
        <v>307</v>
      </c>
      <c r="G4712" s="64" t="n">
        <v>13.3504526685772</v>
      </c>
      <c r="H4712" s="62" t="s">
        <v>42</v>
      </c>
    </row>
    <row r="4713" customFormat="false" ht="15" hidden="false" customHeight="false" outlineLevel="0" collapsed="false">
      <c r="A4713" s="62" t="n">
        <v>1</v>
      </c>
      <c r="B4713" s="62" t="s">
        <v>383</v>
      </c>
      <c r="C4713" s="62" t="s">
        <v>60</v>
      </c>
      <c r="D4713" s="62" t="s">
        <v>105</v>
      </c>
      <c r="E4713" s="62" t="s">
        <v>382</v>
      </c>
      <c r="F4713" s="63" t="s">
        <v>307</v>
      </c>
      <c r="G4713" s="64" t="n">
        <v>28.267284220715</v>
      </c>
      <c r="H4713" s="62" t="s">
        <v>42</v>
      </c>
    </row>
    <row r="4714" customFormat="false" ht="15" hidden="false" customHeight="false" outlineLevel="0" collapsed="false">
      <c r="A4714" s="62" t="n">
        <v>1</v>
      </c>
      <c r="B4714" s="62" t="s">
        <v>384</v>
      </c>
      <c r="C4714" s="62" t="s">
        <v>60</v>
      </c>
      <c r="D4714" s="62" t="s">
        <v>105</v>
      </c>
      <c r="E4714" s="62" t="s">
        <v>382</v>
      </c>
      <c r="F4714" s="63" t="s">
        <v>307</v>
      </c>
      <c r="G4714" s="64" t="n">
        <v>29.6772783463195</v>
      </c>
      <c r="H4714" s="62" t="s">
        <v>42</v>
      </c>
    </row>
    <row r="4715" customFormat="false" ht="15" hidden="false" customHeight="false" outlineLevel="0" collapsed="false">
      <c r="A4715" s="62" t="n">
        <v>1</v>
      </c>
      <c r="B4715" s="62" t="s">
        <v>385</v>
      </c>
      <c r="C4715" s="62" t="s">
        <v>60</v>
      </c>
      <c r="D4715" s="62" t="s">
        <v>105</v>
      </c>
      <c r="E4715" s="62" t="s">
        <v>382</v>
      </c>
      <c r="F4715" s="63" t="s">
        <v>307</v>
      </c>
      <c r="G4715" s="64" t="n">
        <v>30.8199488160913</v>
      </c>
      <c r="H4715" s="62" t="s">
        <v>42</v>
      </c>
    </row>
    <row r="4716" customFormat="false" ht="15" hidden="false" customHeight="false" outlineLevel="0" collapsed="false">
      <c r="A4716" s="62" t="n">
        <v>1</v>
      </c>
      <c r="B4716" s="62" t="s">
        <v>386</v>
      </c>
      <c r="C4716" s="62" t="s">
        <v>60</v>
      </c>
      <c r="D4716" s="62" t="s">
        <v>105</v>
      </c>
      <c r="E4716" s="62" t="s">
        <v>382</v>
      </c>
      <c r="F4716" s="63" t="s">
        <v>307</v>
      </c>
      <c r="G4716" s="64" t="n">
        <v>23.9401289434683</v>
      </c>
      <c r="H4716" s="62" t="s">
        <v>42</v>
      </c>
    </row>
    <row r="4717" customFormat="false" ht="15" hidden="false" customHeight="false" outlineLevel="0" collapsed="false">
      <c r="A4717" s="62" t="n">
        <v>1</v>
      </c>
      <c r="B4717" s="62" t="s">
        <v>387</v>
      </c>
      <c r="C4717" s="62" t="s">
        <v>60</v>
      </c>
      <c r="D4717" s="62" t="s">
        <v>105</v>
      </c>
      <c r="E4717" s="62" t="s">
        <v>382</v>
      </c>
      <c r="F4717" s="63" t="s">
        <v>307</v>
      </c>
      <c r="G4717" s="64" t="n">
        <v>21.8405258064367</v>
      </c>
      <c r="H4717" s="62" t="s">
        <v>42</v>
      </c>
    </row>
    <row r="4718" customFormat="false" ht="15" hidden="false" customHeight="false" outlineLevel="0" collapsed="false">
      <c r="A4718" s="62" t="n">
        <v>1</v>
      </c>
      <c r="B4718" s="62" t="s">
        <v>388</v>
      </c>
      <c r="C4718" s="62" t="s">
        <v>60</v>
      </c>
      <c r="D4718" s="62" t="s">
        <v>105</v>
      </c>
      <c r="E4718" s="62" t="s">
        <v>382</v>
      </c>
      <c r="F4718" s="63" t="s">
        <v>307</v>
      </c>
      <c r="G4718" s="64" t="n">
        <v>7.12034174033064</v>
      </c>
      <c r="H4718" s="62" t="s">
        <v>42</v>
      </c>
    </row>
    <row r="4719" customFormat="false" ht="15" hidden="false" customHeight="false" outlineLevel="0" collapsed="false">
      <c r="A4719" s="62" t="n">
        <v>1</v>
      </c>
      <c r="B4719" s="62" t="s">
        <v>381</v>
      </c>
      <c r="C4719" s="62" t="s">
        <v>60</v>
      </c>
      <c r="D4719" s="62" t="s">
        <v>105</v>
      </c>
      <c r="E4719" s="62" t="s">
        <v>382</v>
      </c>
      <c r="F4719" s="63" t="s">
        <v>466</v>
      </c>
      <c r="G4719" s="64" t="n">
        <v>11.0207804663687</v>
      </c>
      <c r="H4719" s="62" t="s">
        <v>42</v>
      </c>
    </row>
    <row r="4720" customFormat="false" ht="15" hidden="false" customHeight="false" outlineLevel="0" collapsed="false">
      <c r="A4720" s="62" t="n">
        <v>1</v>
      </c>
      <c r="B4720" s="62" t="s">
        <v>383</v>
      </c>
      <c r="C4720" s="62" t="s">
        <v>60</v>
      </c>
      <c r="D4720" s="62" t="s">
        <v>105</v>
      </c>
      <c r="E4720" s="62" t="s">
        <v>382</v>
      </c>
      <c r="F4720" s="63" t="s">
        <v>466</v>
      </c>
      <c r="G4720" s="64" t="n">
        <v>26.5664502289008</v>
      </c>
      <c r="H4720" s="62" t="s">
        <v>42</v>
      </c>
    </row>
    <row r="4721" customFormat="false" ht="15" hidden="false" customHeight="false" outlineLevel="0" collapsed="false">
      <c r="A4721" s="62" t="n">
        <v>1</v>
      </c>
      <c r="B4721" s="62" t="s">
        <v>384</v>
      </c>
      <c r="C4721" s="62" t="s">
        <v>60</v>
      </c>
      <c r="D4721" s="62" t="s">
        <v>105</v>
      </c>
      <c r="E4721" s="62" t="s">
        <v>382</v>
      </c>
      <c r="F4721" s="63" t="s">
        <v>466</v>
      </c>
      <c r="G4721" s="64" t="n">
        <v>27.4667171517653</v>
      </c>
      <c r="H4721" s="62" t="s">
        <v>42</v>
      </c>
    </row>
    <row r="4722" customFormat="false" ht="15" hidden="false" customHeight="false" outlineLevel="0" collapsed="false">
      <c r="A4722" s="62" t="n">
        <v>1</v>
      </c>
      <c r="B4722" s="62" t="s">
        <v>385</v>
      </c>
      <c r="C4722" s="62" t="s">
        <v>60</v>
      </c>
      <c r="D4722" s="62" t="s">
        <v>105</v>
      </c>
      <c r="E4722" s="62" t="s">
        <v>382</v>
      </c>
      <c r="F4722" s="63" t="s">
        <v>466</v>
      </c>
      <c r="G4722" s="64" t="n">
        <v>27.5352177850322</v>
      </c>
      <c r="H4722" s="62" t="s">
        <v>42</v>
      </c>
    </row>
    <row r="4723" customFormat="false" ht="15" hidden="false" customHeight="false" outlineLevel="0" collapsed="false">
      <c r="A4723" s="62" t="n">
        <v>1</v>
      </c>
      <c r="B4723" s="62" t="s">
        <v>386</v>
      </c>
      <c r="C4723" s="62" t="s">
        <v>60</v>
      </c>
      <c r="D4723" s="62" t="s">
        <v>105</v>
      </c>
      <c r="E4723" s="62" t="s">
        <v>382</v>
      </c>
      <c r="F4723" s="63" t="s">
        <v>466</v>
      </c>
      <c r="G4723" s="64" t="n">
        <v>20.974578425257</v>
      </c>
      <c r="H4723" s="62" t="s">
        <v>42</v>
      </c>
    </row>
    <row r="4724" customFormat="false" ht="15" hidden="false" customHeight="false" outlineLevel="0" collapsed="false">
      <c r="A4724" s="62" t="n">
        <v>1</v>
      </c>
      <c r="B4724" s="62" t="s">
        <v>387</v>
      </c>
      <c r="C4724" s="62" t="s">
        <v>60</v>
      </c>
      <c r="D4724" s="62" t="s">
        <v>105</v>
      </c>
      <c r="E4724" s="62" t="s">
        <v>382</v>
      </c>
      <c r="F4724" s="63" t="s">
        <v>466</v>
      </c>
      <c r="G4724" s="64" t="n">
        <v>19.5796204613314</v>
      </c>
      <c r="H4724" s="62" t="s">
        <v>42</v>
      </c>
    </row>
    <row r="4725" customFormat="false" ht="15" hidden="false" customHeight="false" outlineLevel="0" collapsed="false">
      <c r="A4725" s="62" t="n">
        <v>1</v>
      </c>
      <c r="B4725" s="62" t="s">
        <v>388</v>
      </c>
      <c r="C4725" s="62" t="s">
        <v>60</v>
      </c>
      <c r="D4725" s="62" t="s">
        <v>105</v>
      </c>
      <c r="E4725" s="62" t="s">
        <v>382</v>
      </c>
      <c r="F4725" s="63" t="s">
        <v>466</v>
      </c>
      <c r="G4725" s="64" t="n">
        <v>3.1788696571769</v>
      </c>
      <c r="H4725" s="62" t="s">
        <v>42</v>
      </c>
    </row>
    <row r="4726" customFormat="false" ht="15" hidden="false" customHeight="false" outlineLevel="0" collapsed="false">
      <c r="A4726" s="62" t="n">
        <v>1</v>
      </c>
      <c r="B4726" s="62" t="s">
        <v>381</v>
      </c>
      <c r="C4726" s="62" t="s">
        <v>60</v>
      </c>
      <c r="D4726" s="62" t="s">
        <v>105</v>
      </c>
      <c r="E4726" s="62" t="s">
        <v>382</v>
      </c>
      <c r="F4726" s="63" t="s">
        <v>467</v>
      </c>
      <c r="G4726" s="64" t="n">
        <v>7.76543432063234</v>
      </c>
      <c r="H4726" s="62" t="s">
        <v>42</v>
      </c>
    </row>
    <row r="4727" customFormat="false" ht="15" hidden="false" customHeight="false" outlineLevel="0" collapsed="false">
      <c r="A4727" s="62" t="n">
        <v>1</v>
      </c>
      <c r="B4727" s="62" t="s">
        <v>383</v>
      </c>
      <c r="C4727" s="62" t="s">
        <v>60</v>
      </c>
      <c r="D4727" s="62" t="s">
        <v>105</v>
      </c>
      <c r="E4727" s="62" t="s">
        <v>382</v>
      </c>
      <c r="F4727" s="63" t="s">
        <v>467</v>
      </c>
      <c r="G4727" s="64" t="n">
        <v>19.6868381153552</v>
      </c>
      <c r="H4727" s="62" t="s">
        <v>42</v>
      </c>
    </row>
    <row r="4728" customFormat="false" ht="15" hidden="false" customHeight="false" outlineLevel="0" collapsed="false">
      <c r="A4728" s="62" t="n">
        <v>1</v>
      </c>
      <c r="B4728" s="62" t="s">
        <v>384</v>
      </c>
      <c r="C4728" s="62" t="s">
        <v>60</v>
      </c>
      <c r="D4728" s="62" t="s">
        <v>105</v>
      </c>
      <c r="E4728" s="62" t="s">
        <v>382</v>
      </c>
      <c r="F4728" s="63" t="s">
        <v>467</v>
      </c>
      <c r="G4728" s="64" t="n">
        <v>20.3489702290519</v>
      </c>
      <c r="H4728" s="62" t="s">
        <v>42</v>
      </c>
    </row>
    <row r="4729" customFormat="false" ht="15" hidden="false" customHeight="false" outlineLevel="0" collapsed="false">
      <c r="A4729" s="62" t="n">
        <v>1</v>
      </c>
      <c r="B4729" s="62" t="s">
        <v>385</v>
      </c>
      <c r="C4729" s="62" t="s">
        <v>60</v>
      </c>
      <c r="D4729" s="62" t="s">
        <v>105</v>
      </c>
      <c r="E4729" s="62" t="s">
        <v>382</v>
      </c>
      <c r="F4729" s="63" t="s">
        <v>467</v>
      </c>
      <c r="G4729" s="64" t="n">
        <v>20.5681090815249</v>
      </c>
      <c r="H4729" s="62" t="s">
        <v>42</v>
      </c>
    </row>
    <row r="4730" customFormat="false" ht="15" hidden="false" customHeight="false" outlineLevel="0" collapsed="false">
      <c r="A4730" s="62" t="n">
        <v>1</v>
      </c>
      <c r="B4730" s="62" t="s">
        <v>386</v>
      </c>
      <c r="C4730" s="62" t="s">
        <v>60</v>
      </c>
      <c r="D4730" s="62" t="s">
        <v>105</v>
      </c>
      <c r="E4730" s="62" t="s">
        <v>382</v>
      </c>
      <c r="F4730" s="63" t="s">
        <v>467</v>
      </c>
      <c r="G4730" s="64" t="n">
        <v>15.5720809282511</v>
      </c>
      <c r="H4730" s="62" t="s">
        <v>42</v>
      </c>
    </row>
    <row r="4731" customFormat="false" ht="15" hidden="false" customHeight="false" outlineLevel="0" collapsed="false">
      <c r="A4731" s="62" t="n">
        <v>1</v>
      </c>
      <c r="B4731" s="62" t="s">
        <v>387</v>
      </c>
      <c r="C4731" s="62" t="s">
        <v>60</v>
      </c>
      <c r="D4731" s="62" t="s">
        <v>105</v>
      </c>
      <c r="E4731" s="62" t="s">
        <v>382</v>
      </c>
      <c r="F4731" s="63" t="s">
        <v>467</v>
      </c>
      <c r="G4731" s="64" t="n">
        <v>14.9942777130803</v>
      </c>
      <c r="H4731" s="62" t="s">
        <v>42</v>
      </c>
    </row>
    <row r="4732" customFormat="false" ht="15" hidden="false" customHeight="false" outlineLevel="0" collapsed="false">
      <c r="A4732" s="62" t="n">
        <v>1</v>
      </c>
      <c r="B4732" s="62" t="s">
        <v>388</v>
      </c>
      <c r="C4732" s="62" t="s">
        <v>60</v>
      </c>
      <c r="D4732" s="62" t="s">
        <v>105</v>
      </c>
      <c r="E4732" s="62" t="s">
        <v>382</v>
      </c>
      <c r="F4732" s="63" t="s">
        <v>467</v>
      </c>
      <c r="G4732" s="64" t="n">
        <v>0.196319052908484</v>
      </c>
      <c r="H4732" s="62" t="s">
        <v>42</v>
      </c>
    </row>
    <row r="4733" customFormat="false" ht="15" hidden="false" customHeight="false" outlineLevel="0" collapsed="false">
      <c r="A4733" s="62" t="n">
        <v>1</v>
      </c>
      <c r="B4733" s="62" t="s">
        <v>381</v>
      </c>
      <c r="C4733" s="62" t="s">
        <v>60</v>
      </c>
      <c r="D4733" s="62" t="s">
        <v>105</v>
      </c>
      <c r="E4733" s="62" t="s">
        <v>382</v>
      </c>
      <c r="F4733" s="63" t="s">
        <v>468</v>
      </c>
      <c r="G4733" s="64" t="n">
        <v>46.554592400207</v>
      </c>
      <c r="H4733" s="62" t="s">
        <v>42</v>
      </c>
    </row>
    <row r="4734" customFormat="false" ht="15" hidden="false" customHeight="false" outlineLevel="0" collapsed="false">
      <c r="A4734" s="62" t="n">
        <v>1</v>
      </c>
      <c r="B4734" s="62" t="s">
        <v>383</v>
      </c>
      <c r="C4734" s="62" t="s">
        <v>60</v>
      </c>
      <c r="D4734" s="62" t="s">
        <v>105</v>
      </c>
      <c r="E4734" s="62" t="s">
        <v>382</v>
      </c>
      <c r="F4734" s="63" t="s">
        <v>468</v>
      </c>
      <c r="G4734" s="64" t="n">
        <v>61.9904277745349</v>
      </c>
      <c r="H4734" s="62" t="s">
        <v>42</v>
      </c>
    </row>
    <row r="4735" customFormat="false" ht="15" hidden="false" customHeight="false" outlineLevel="0" collapsed="false">
      <c r="A4735" s="62" t="n">
        <v>1</v>
      </c>
      <c r="B4735" s="62" t="s">
        <v>384</v>
      </c>
      <c r="C4735" s="62" t="s">
        <v>60</v>
      </c>
      <c r="D4735" s="62" t="s">
        <v>105</v>
      </c>
      <c r="E4735" s="62" t="s">
        <v>382</v>
      </c>
      <c r="F4735" s="63" t="s">
        <v>468</v>
      </c>
      <c r="G4735" s="64" t="n">
        <v>63.2631514906488</v>
      </c>
      <c r="H4735" s="62" t="s">
        <v>42</v>
      </c>
    </row>
    <row r="4736" customFormat="false" ht="15" hidden="false" customHeight="false" outlineLevel="0" collapsed="false">
      <c r="A4736" s="62" t="n">
        <v>1</v>
      </c>
      <c r="B4736" s="62" t="s">
        <v>385</v>
      </c>
      <c r="C4736" s="62" t="s">
        <v>60</v>
      </c>
      <c r="D4736" s="62" t="s">
        <v>105</v>
      </c>
      <c r="E4736" s="62" t="s">
        <v>382</v>
      </c>
      <c r="F4736" s="63" t="s">
        <v>468</v>
      </c>
      <c r="G4736" s="64" t="n">
        <v>60.7517240202489</v>
      </c>
      <c r="H4736" s="62" t="s">
        <v>42</v>
      </c>
    </row>
    <row r="4737" customFormat="false" ht="15" hidden="false" customHeight="false" outlineLevel="0" collapsed="false">
      <c r="A4737" s="62" t="n">
        <v>1</v>
      </c>
      <c r="B4737" s="62" t="s">
        <v>386</v>
      </c>
      <c r="C4737" s="62" t="s">
        <v>60</v>
      </c>
      <c r="D4737" s="62" t="s">
        <v>105</v>
      </c>
      <c r="E4737" s="62" t="s">
        <v>382</v>
      </c>
      <c r="F4737" s="63" t="s">
        <v>468</v>
      </c>
      <c r="G4737" s="64" t="n">
        <v>47.6292083233903</v>
      </c>
      <c r="H4737" s="62" t="s">
        <v>42</v>
      </c>
    </row>
    <row r="4738" customFormat="false" ht="15" hidden="false" customHeight="false" outlineLevel="0" collapsed="false">
      <c r="A4738" s="62" t="n">
        <v>1</v>
      </c>
      <c r="B4738" s="62" t="s">
        <v>387</v>
      </c>
      <c r="C4738" s="62" t="s">
        <v>60</v>
      </c>
      <c r="D4738" s="62" t="s">
        <v>105</v>
      </c>
      <c r="E4738" s="62" t="s">
        <v>382</v>
      </c>
      <c r="F4738" s="63" t="s">
        <v>468</v>
      </c>
      <c r="G4738" s="64" t="n">
        <v>55.041014700804</v>
      </c>
      <c r="H4738" s="62" t="s">
        <v>42</v>
      </c>
    </row>
    <row r="4739" customFormat="false" ht="15" hidden="false" customHeight="false" outlineLevel="0" collapsed="false">
      <c r="A4739" s="62" t="n">
        <v>1</v>
      </c>
      <c r="B4739" s="62" t="s">
        <v>388</v>
      </c>
      <c r="C4739" s="62" t="s">
        <v>60</v>
      </c>
      <c r="D4739" s="62" t="s">
        <v>105</v>
      </c>
      <c r="E4739" s="62" t="s">
        <v>382</v>
      </c>
      <c r="F4739" s="63" t="s">
        <v>468</v>
      </c>
      <c r="G4739" s="64" t="n">
        <v>46.9184277874901</v>
      </c>
      <c r="H4739" s="62" t="s">
        <v>42</v>
      </c>
    </row>
    <row r="4740" customFormat="false" ht="15" hidden="false" customHeight="false" outlineLevel="0" collapsed="false">
      <c r="A4740" s="62" t="n">
        <v>1</v>
      </c>
      <c r="B4740" s="62" t="s">
        <v>381</v>
      </c>
      <c r="C4740" s="62" t="s">
        <v>60</v>
      </c>
      <c r="D4740" s="62" t="s">
        <v>105</v>
      </c>
      <c r="E4740" s="62" t="s">
        <v>382</v>
      </c>
      <c r="F4740" s="63" t="s">
        <v>469</v>
      </c>
      <c r="G4740" s="64" t="n">
        <v>58.7399539760202</v>
      </c>
      <c r="H4740" s="62" t="s">
        <v>42</v>
      </c>
    </row>
    <row r="4741" customFormat="false" ht="15" hidden="false" customHeight="false" outlineLevel="0" collapsed="false">
      <c r="A4741" s="62" t="n">
        <v>1</v>
      </c>
      <c r="B4741" s="62" t="s">
        <v>383</v>
      </c>
      <c r="C4741" s="62" t="s">
        <v>60</v>
      </c>
      <c r="D4741" s="62" t="s">
        <v>105</v>
      </c>
      <c r="E4741" s="62" t="s">
        <v>382</v>
      </c>
      <c r="F4741" s="63" t="s">
        <v>469</v>
      </c>
      <c r="G4741" s="64" t="n">
        <v>-38.2487349976016</v>
      </c>
      <c r="H4741" s="62" t="s">
        <v>42</v>
      </c>
    </row>
    <row r="4742" customFormat="false" ht="15" hidden="false" customHeight="false" outlineLevel="0" collapsed="false">
      <c r="A4742" s="62" t="n">
        <v>1</v>
      </c>
      <c r="B4742" s="62" t="s">
        <v>384</v>
      </c>
      <c r="C4742" s="62" t="s">
        <v>60</v>
      </c>
      <c r="D4742" s="62" t="s">
        <v>105</v>
      </c>
      <c r="E4742" s="62" t="s">
        <v>382</v>
      </c>
      <c r="F4742" s="63" t="s">
        <v>469</v>
      </c>
      <c r="G4742" s="64" t="n">
        <v>-31.8076512772763</v>
      </c>
      <c r="H4742" s="62" t="s">
        <v>42</v>
      </c>
    </row>
    <row r="4743" customFormat="false" ht="15" hidden="false" customHeight="false" outlineLevel="0" collapsed="false">
      <c r="A4743" s="62" t="n">
        <v>1</v>
      </c>
      <c r="B4743" s="62" t="s">
        <v>385</v>
      </c>
      <c r="C4743" s="62" t="s">
        <v>60</v>
      </c>
      <c r="D4743" s="62" t="s">
        <v>105</v>
      </c>
      <c r="E4743" s="62" t="s">
        <v>382</v>
      </c>
      <c r="F4743" s="63" t="s">
        <v>469</v>
      </c>
      <c r="G4743" s="64" t="n">
        <v>-7.14270075440962</v>
      </c>
      <c r="H4743" s="62" t="s">
        <v>42</v>
      </c>
    </row>
    <row r="4744" customFormat="false" ht="15" hidden="false" customHeight="false" outlineLevel="0" collapsed="false">
      <c r="A4744" s="62" t="n">
        <v>1</v>
      </c>
      <c r="B4744" s="62" t="s">
        <v>386</v>
      </c>
      <c r="C4744" s="62" t="s">
        <v>60</v>
      </c>
      <c r="D4744" s="62" t="s">
        <v>105</v>
      </c>
      <c r="E4744" s="62" t="s">
        <v>382</v>
      </c>
      <c r="F4744" s="63" t="s">
        <v>469</v>
      </c>
      <c r="G4744" s="64" t="n">
        <v>-8.13509084346708</v>
      </c>
      <c r="H4744" s="62" t="s">
        <v>42</v>
      </c>
    </row>
    <row r="4745" customFormat="false" ht="15" hidden="false" customHeight="false" outlineLevel="0" collapsed="false">
      <c r="A4745" s="62" t="n">
        <v>1</v>
      </c>
      <c r="B4745" s="62" t="s">
        <v>387</v>
      </c>
      <c r="C4745" s="62" t="s">
        <v>60</v>
      </c>
      <c r="D4745" s="62" t="s">
        <v>105</v>
      </c>
      <c r="E4745" s="62" t="s">
        <v>382</v>
      </c>
      <c r="F4745" s="63" t="s">
        <v>469</v>
      </c>
      <c r="G4745" s="64" t="n">
        <v>-16.8267516164007</v>
      </c>
      <c r="H4745" s="62" t="s">
        <v>42</v>
      </c>
    </row>
    <row r="4746" customFormat="false" ht="15" hidden="false" customHeight="false" outlineLevel="0" collapsed="false">
      <c r="A4746" s="62" t="n">
        <v>1</v>
      </c>
      <c r="B4746" s="62" t="s">
        <v>388</v>
      </c>
      <c r="C4746" s="62" t="s">
        <v>60</v>
      </c>
      <c r="D4746" s="62" t="s">
        <v>105</v>
      </c>
      <c r="E4746" s="62" t="s">
        <v>382</v>
      </c>
      <c r="F4746" s="63" t="s">
        <v>469</v>
      </c>
      <c r="G4746" s="64" t="n">
        <v>5.86225876788685</v>
      </c>
      <c r="H4746" s="62" t="s">
        <v>42</v>
      </c>
    </row>
    <row r="4747" customFormat="false" ht="15" hidden="false" customHeight="false" outlineLevel="0" collapsed="false">
      <c r="A4747" s="62" t="n">
        <v>1</v>
      </c>
      <c r="B4747" s="62" t="s">
        <v>381</v>
      </c>
      <c r="C4747" s="62" t="s">
        <v>60</v>
      </c>
      <c r="D4747" s="62" t="s">
        <v>105</v>
      </c>
      <c r="E4747" s="62" t="s">
        <v>382</v>
      </c>
      <c r="F4747" s="63" t="s">
        <v>470</v>
      </c>
      <c r="G4747" s="64" t="n">
        <v>22.55748526139</v>
      </c>
      <c r="H4747" s="62" t="s">
        <v>42</v>
      </c>
    </row>
    <row r="4748" customFormat="false" ht="15" hidden="false" customHeight="false" outlineLevel="0" collapsed="false">
      <c r="A4748" s="62" t="n">
        <v>1</v>
      </c>
      <c r="B4748" s="62" t="s">
        <v>383</v>
      </c>
      <c r="C4748" s="62" t="s">
        <v>60</v>
      </c>
      <c r="D4748" s="62" t="s">
        <v>105</v>
      </c>
      <c r="E4748" s="62" t="s">
        <v>382</v>
      </c>
      <c r="F4748" s="63" t="s">
        <v>470</v>
      </c>
      <c r="G4748" s="64" t="n">
        <v>60.9356243202724</v>
      </c>
      <c r="H4748" s="62" t="s">
        <v>42</v>
      </c>
    </row>
    <row r="4749" customFormat="false" ht="15" hidden="false" customHeight="false" outlineLevel="0" collapsed="false">
      <c r="A4749" s="62" t="n">
        <v>1</v>
      </c>
      <c r="B4749" s="62" t="s">
        <v>384</v>
      </c>
      <c r="C4749" s="62" t="s">
        <v>60</v>
      </c>
      <c r="D4749" s="62" t="s">
        <v>105</v>
      </c>
      <c r="E4749" s="62" t="s">
        <v>382</v>
      </c>
      <c r="F4749" s="63" t="s">
        <v>470</v>
      </c>
      <c r="G4749" s="64" t="n">
        <v>54.2173296622916</v>
      </c>
      <c r="H4749" s="62" t="s">
        <v>42</v>
      </c>
    </row>
    <row r="4750" customFormat="false" ht="15" hidden="false" customHeight="false" outlineLevel="0" collapsed="false">
      <c r="A4750" s="62" t="n">
        <v>1</v>
      </c>
      <c r="B4750" s="62" t="s">
        <v>385</v>
      </c>
      <c r="C4750" s="62" t="s">
        <v>60</v>
      </c>
      <c r="D4750" s="62" t="s">
        <v>105</v>
      </c>
      <c r="E4750" s="62" t="s">
        <v>382</v>
      </c>
      <c r="F4750" s="63" t="s">
        <v>470</v>
      </c>
      <c r="G4750" s="64" t="n">
        <v>37.5774018276049</v>
      </c>
      <c r="H4750" s="62" t="s">
        <v>42</v>
      </c>
    </row>
    <row r="4751" customFormat="false" ht="15" hidden="false" customHeight="false" outlineLevel="0" collapsed="false">
      <c r="A4751" s="62" t="n">
        <v>1</v>
      </c>
      <c r="B4751" s="62" t="s">
        <v>386</v>
      </c>
      <c r="C4751" s="62" t="s">
        <v>60</v>
      </c>
      <c r="D4751" s="62" t="s">
        <v>105</v>
      </c>
      <c r="E4751" s="62" t="s">
        <v>382</v>
      </c>
      <c r="F4751" s="63" t="s">
        <v>470</v>
      </c>
      <c r="G4751" s="64" t="n">
        <v>34.4536407878697</v>
      </c>
      <c r="H4751" s="62" t="s">
        <v>42</v>
      </c>
    </row>
    <row r="4752" customFormat="false" ht="15" hidden="false" customHeight="false" outlineLevel="0" collapsed="false">
      <c r="A4752" s="62" t="n">
        <v>1</v>
      </c>
      <c r="B4752" s="62" t="s">
        <v>387</v>
      </c>
      <c r="C4752" s="62" t="s">
        <v>60</v>
      </c>
      <c r="D4752" s="62" t="s">
        <v>105</v>
      </c>
      <c r="E4752" s="62" t="s">
        <v>382</v>
      </c>
      <c r="F4752" s="63" t="s">
        <v>470</v>
      </c>
      <c r="G4752" s="64" t="n">
        <v>37.5967783032816</v>
      </c>
      <c r="H4752" s="62" t="s">
        <v>42</v>
      </c>
    </row>
    <row r="4753" customFormat="false" ht="15" hidden="false" customHeight="false" outlineLevel="0" collapsed="false">
      <c r="A4753" s="62" t="n">
        <v>1</v>
      </c>
      <c r="B4753" s="62" t="s">
        <v>388</v>
      </c>
      <c r="C4753" s="62" t="s">
        <v>60</v>
      </c>
      <c r="D4753" s="62" t="s">
        <v>105</v>
      </c>
      <c r="E4753" s="62" t="s">
        <v>382</v>
      </c>
      <c r="F4753" s="63" t="s">
        <v>470</v>
      </c>
      <c r="G4753" s="64" t="n">
        <v>4.23162680680224</v>
      </c>
      <c r="H4753" s="62" t="s">
        <v>42</v>
      </c>
    </row>
    <row r="4754" customFormat="false" ht="15" hidden="false" customHeight="false" outlineLevel="0" collapsed="false">
      <c r="A4754" s="62" t="n">
        <v>1</v>
      </c>
      <c r="B4754" s="62" t="s">
        <v>381</v>
      </c>
      <c r="C4754" s="62" t="s">
        <v>60</v>
      </c>
      <c r="D4754" s="62" t="s">
        <v>105</v>
      </c>
      <c r="E4754" s="62" t="s">
        <v>382</v>
      </c>
      <c r="F4754" s="63" t="s">
        <v>471</v>
      </c>
      <c r="G4754" s="64" t="n">
        <v>33.39</v>
      </c>
      <c r="H4754" s="62" t="s">
        <v>42</v>
      </c>
    </row>
    <row r="4755" customFormat="false" ht="15" hidden="false" customHeight="false" outlineLevel="0" collapsed="false">
      <c r="A4755" s="62" t="n">
        <v>1</v>
      </c>
      <c r="B4755" s="62" t="s">
        <v>383</v>
      </c>
      <c r="C4755" s="62" t="s">
        <v>60</v>
      </c>
      <c r="D4755" s="62" t="s">
        <v>105</v>
      </c>
      <c r="E4755" s="62" t="s">
        <v>382</v>
      </c>
      <c r="F4755" s="63" t="s">
        <v>471</v>
      </c>
      <c r="G4755" s="64" t="n">
        <v>79.05</v>
      </c>
      <c r="H4755" s="62" t="s">
        <v>42</v>
      </c>
    </row>
    <row r="4756" customFormat="false" ht="15" hidden="false" customHeight="false" outlineLevel="0" collapsed="false">
      <c r="A4756" s="62" t="n">
        <v>1</v>
      </c>
      <c r="B4756" s="62" t="s">
        <v>384</v>
      </c>
      <c r="C4756" s="62" t="s">
        <v>60</v>
      </c>
      <c r="D4756" s="62" t="s">
        <v>105</v>
      </c>
      <c r="E4756" s="62" t="s">
        <v>382</v>
      </c>
      <c r="F4756" s="63" t="s">
        <v>471</v>
      </c>
      <c r="G4756" s="64" t="n">
        <v>70.4</v>
      </c>
      <c r="H4756" s="62" t="s">
        <v>42</v>
      </c>
    </row>
    <row r="4757" customFormat="false" ht="15" hidden="false" customHeight="false" outlineLevel="0" collapsed="false">
      <c r="A4757" s="62" t="n">
        <v>1</v>
      </c>
      <c r="B4757" s="62" t="s">
        <v>385</v>
      </c>
      <c r="C4757" s="62" t="s">
        <v>60</v>
      </c>
      <c r="D4757" s="62" t="s">
        <v>105</v>
      </c>
      <c r="E4757" s="62" t="s">
        <v>382</v>
      </c>
      <c r="F4757" s="63" t="s">
        <v>471</v>
      </c>
      <c r="G4757" s="64" t="n">
        <v>51.15</v>
      </c>
      <c r="H4757" s="62" t="s">
        <v>42</v>
      </c>
    </row>
    <row r="4758" customFormat="false" ht="15" hidden="false" customHeight="false" outlineLevel="0" collapsed="false">
      <c r="A4758" s="62" t="n">
        <v>1</v>
      </c>
      <c r="B4758" s="62" t="s">
        <v>386</v>
      </c>
      <c r="C4758" s="62" t="s">
        <v>60</v>
      </c>
      <c r="D4758" s="62" t="s">
        <v>105</v>
      </c>
      <c r="E4758" s="62" t="s">
        <v>382</v>
      </c>
      <c r="F4758" s="63" t="s">
        <v>471</v>
      </c>
      <c r="G4758" s="64" t="n">
        <v>53.66</v>
      </c>
      <c r="H4758" s="62" t="s">
        <v>42</v>
      </c>
    </row>
    <row r="4759" customFormat="false" ht="15" hidden="false" customHeight="false" outlineLevel="0" collapsed="false">
      <c r="A4759" s="62" t="n">
        <v>1</v>
      </c>
      <c r="B4759" s="62" t="s">
        <v>387</v>
      </c>
      <c r="C4759" s="62" t="s">
        <v>60</v>
      </c>
      <c r="D4759" s="62" t="s">
        <v>105</v>
      </c>
      <c r="E4759" s="62" t="s">
        <v>382</v>
      </c>
      <c r="F4759" s="63" t="s">
        <v>471</v>
      </c>
      <c r="G4759" s="64" t="n">
        <v>55.06</v>
      </c>
      <c r="H4759" s="62" t="s">
        <v>42</v>
      </c>
    </row>
    <row r="4760" customFormat="false" ht="15" hidden="false" customHeight="false" outlineLevel="0" collapsed="false">
      <c r="A4760" s="62" t="n">
        <v>1</v>
      </c>
      <c r="B4760" s="62" t="s">
        <v>388</v>
      </c>
      <c r="C4760" s="62" t="s">
        <v>60</v>
      </c>
      <c r="D4760" s="62" t="s">
        <v>105</v>
      </c>
      <c r="E4760" s="62" t="s">
        <v>382</v>
      </c>
      <c r="F4760" s="63" t="s">
        <v>471</v>
      </c>
      <c r="G4760" s="64" t="n">
        <v>0.55</v>
      </c>
      <c r="H4760" s="62" t="s">
        <v>42</v>
      </c>
    </row>
    <row r="4761" customFormat="false" ht="15" hidden="false" customHeight="false" outlineLevel="0" collapsed="false">
      <c r="A4761" s="62" t="n">
        <v>1</v>
      </c>
      <c r="B4761" s="62" t="s">
        <v>381</v>
      </c>
      <c r="C4761" s="62" t="s">
        <v>60</v>
      </c>
      <c r="D4761" s="62" t="s">
        <v>105</v>
      </c>
      <c r="E4761" s="62" t="s">
        <v>382</v>
      </c>
      <c r="F4761" s="63" t="s">
        <v>472</v>
      </c>
      <c r="G4761" s="64" t="n">
        <v>2.22113013801903</v>
      </c>
      <c r="H4761" s="62" t="s">
        <v>42</v>
      </c>
    </row>
    <row r="4762" customFormat="false" ht="15" hidden="false" customHeight="false" outlineLevel="0" collapsed="false">
      <c r="A4762" s="62" t="n">
        <v>1</v>
      </c>
      <c r="B4762" s="62" t="s">
        <v>383</v>
      </c>
      <c r="C4762" s="62" t="s">
        <v>60</v>
      </c>
      <c r="D4762" s="62" t="s">
        <v>105</v>
      </c>
      <c r="E4762" s="62" t="s">
        <v>382</v>
      </c>
      <c r="F4762" s="63" t="s">
        <v>472</v>
      </c>
      <c r="G4762" s="64" t="n">
        <v>7.71288960199234</v>
      </c>
      <c r="H4762" s="62" t="s">
        <v>42</v>
      </c>
    </row>
    <row r="4763" customFormat="false" ht="15" hidden="false" customHeight="false" outlineLevel="0" collapsed="false">
      <c r="A4763" s="62" t="n">
        <v>1</v>
      </c>
      <c r="B4763" s="62" t="s">
        <v>384</v>
      </c>
      <c r="C4763" s="62" t="s">
        <v>60</v>
      </c>
      <c r="D4763" s="62" t="s">
        <v>105</v>
      </c>
      <c r="E4763" s="62" t="s">
        <v>382</v>
      </c>
      <c r="F4763" s="63" t="s">
        <v>472</v>
      </c>
      <c r="G4763" s="64" t="n">
        <v>6.13398862606187</v>
      </c>
      <c r="H4763" s="62" t="s">
        <v>42</v>
      </c>
    </row>
    <row r="4764" customFormat="false" ht="15" hidden="false" customHeight="false" outlineLevel="0" collapsed="false">
      <c r="A4764" s="62" t="n">
        <v>1</v>
      </c>
      <c r="B4764" s="62" t="s">
        <v>385</v>
      </c>
      <c r="C4764" s="62" t="s">
        <v>60</v>
      </c>
      <c r="D4764" s="62" t="s">
        <v>105</v>
      </c>
      <c r="E4764" s="62" t="s">
        <v>382</v>
      </c>
      <c r="F4764" s="63" t="s">
        <v>472</v>
      </c>
      <c r="G4764" s="64" t="n">
        <v>4.17251229843999</v>
      </c>
      <c r="H4764" s="62" t="s">
        <v>42</v>
      </c>
    </row>
    <row r="4765" customFormat="false" ht="15" hidden="false" customHeight="false" outlineLevel="0" collapsed="false">
      <c r="A4765" s="62" t="n">
        <v>1</v>
      </c>
      <c r="B4765" s="62" t="s">
        <v>386</v>
      </c>
      <c r="C4765" s="62" t="s">
        <v>60</v>
      </c>
      <c r="D4765" s="62" t="s">
        <v>105</v>
      </c>
      <c r="E4765" s="62" t="s">
        <v>382</v>
      </c>
      <c r="F4765" s="63" t="s">
        <v>472</v>
      </c>
      <c r="G4765" s="64" t="n">
        <v>3.49900366428652</v>
      </c>
      <c r="H4765" s="62" t="s">
        <v>42</v>
      </c>
    </row>
    <row r="4766" customFormat="false" ht="15" hidden="false" customHeight="false" outlineLevel="0" collapsed="false">
      <c r="A4766" s="62" t="n">
        <v>1</v>
      </c>
      <c r="B4766" s="62" t="s">
        <v>387</v>
      </c>
      <c r="C4766" s="62" t="s">
        <v>60</v>
      </c>
      <c r="D4766" s="62" t="s">
        <v>105</v>
      </c>
      <c r="E4766" s="62" t="s">
        <v>382</v>
      </c>
      <c r="F4766" s="63" t="s">
        <v>472</v>
      </c>
      <c r="G4766" s="64" t="n">
        <v>4.41922630031628</v>
      </c>
      <c r="H4766" s="62" t="s">
        <v>42</v>
      </c>
    </row>
    <row r="4767" customFormat="false" ht="15" hidden="false" customHeight="false" outlineLevel="0" collapsed="false">
      <c r="A4767" s="62" t="n">
        <v>1</v>
      </c>
      <c r="B4767" s="62" t="s">
        <v>388</v>
      </c>
      <c r="C4767" s="62" t="s">
        <v>60</v>
      </c>
      <c r="D4767" s="62" t="s">
        <v>105</v>
      </c>
      <c r="E4767" s="62" t="s">
        <v>382</v>
      </c>
      <c r="F4767" s="63" t="s">
        <v>472</v>
      </c>
      <c r="G4767" s="64" t="n">
        <v>0.0331899858482509</v>
      </c>
      <c r="H4767" s="62" t="s">
        <v>42</v>
      </c>
    </row>
    <row r="4768" customFormat="false" ht="15" hidden="false" customHeight="false" outlineLevel="0" collapsed="false">
      <c r="A4768" s="62" t="n">
        <v>1</v>
      </c>
      <c r="B4768" s="62" t="s">
        <v>381</v>
      </c>
      <c r="C4768" s="62" t="s">
        <v>60</v>
      </c>
      <c r="D4768" s="62" t="s">
        <v>105</v>
      </c>
      <c r="E4768" s="62" t="s">
        <v>382</v>
      </c>
      <c r="F4768" s="63" t="s">
        <v>473</v>
      </c>
      <c r="G4768" s="64" t="s">
        <v>57</v>
      </c>
      <c r="H4768" s="62" t="s">
        <v>42</v>
      </c>
    </row>
    <row r="4769" customFormat="false" ht="15" hidden="false" customHeight="false" outlineLevel="0" collapsed="false">
      <c r="A4769" s="62" t="n">
        <v>1</v>
      </c>
      <c r="B4769" s="62" t="s">
        <v>383</v>
      </c>
      <c r="C4769" s="62" t="s">
        <v>60</v>
      </c>
      <c r="D4769" s="62" t="s">
        <v>105</v>
      </c>
      <c r="E4769" s="62" t="s">
        <v>382</v>
      </c>
      <c r="F4769" s="63" t="s">
        <v>473</v>
      </c>
      <c r="G4769" s="64" t="s">
        <v>748</v>
      </c>
      <c r="H4769" s="62" t="s">
        <v>42</v>
      </c>
    </row>
    <row r="4770" customFormat="false" ht="15" hidden="false" customHeight="false" outlineLevel="0" collapsed="false">
      <c r="A4770" s="62" t="n">
        <v>1</v>
      </c>
      <c r="B4770" s="62" t="s">
        <v>384</v>
      </c>
      <c r="C4770" s="62" t="s">
        <v>60</v>
      </c>
      <c r="D4770" s="62" t="s">
        <v>105</v>
      </c>
      <c r="E4770" s="62" t="s">
        <v>382</v>
      </c>
      <c r="F4770" s="63" t="s">
        <v>473</v>
      </c>
      <c r="G4770" s="64" t="s">
        <v>748</v>
      </c>
      <c r="H4770" s="62" t="s">
        <v>42</v>
      </c>
    </row>
    <row r="4771" customFormat="false" ht="15" hidden="false" customHeight="false" outlineLevel="0" collapsed="false">
      <c r="A4771" s="62" t="n">
        <v>1</v>
      </c>
      <c r="B4771" s="62" t="s">
        <v>385</v>
      </c>
      <c r="C4771" s="62" t="s">
        <v>60</v>
      </c>
      <c r="D4771" s="62" t="s">
        <v>105</v>
      </c>
      <c r="E4771" s="62" t="s">
        <v>382</v>
      </c>
      <c r="F4771" s="63" t="s">
        <v>473</v>
      </c>
      <c r="G4771" s="64" t="s">
        <v>748</v>
      </c>
      <c r="H4771" s="62" t="s">
        <v>42</v>
      </c>
    </row>
    <row r="4772" customFormat="false" ht="15" hidden="false" customHeight="false" outlineLevel="0" collapsed="false">
      <c r="A4772" s="62" t="n">
        <v>1</v>
      </c>
      <c r="B4772" s="62" t="s">
        <v>386</v>
      </c>
      <c r="C4772" s="62" t="s">
        <v>60</v>
      </c>
      <c r="D4772" s="62" t="s">
        <v>105</v>
      </c>
      <c r="E4772" s="62" t="s">
        <v>382</v>
      </c>
      <c r="F4772" s="63" t="s">
        <v>473</v>
      </c>
      <c r="G4772" s="64" t="s">
        <v>57</v>
      </c>
      <c r="H4772" s="62" t="s">
        <v>42</v>
      </c>
    </row>
    <row r="4773" customFormat="false" ht="15" hidden="false" customHeight="false" outlineLevel="0" collapsed="false">
      <c r="A4773" s="62" t="n">
        <v>1</v>
      </c>
      <c r="B4773" s="62" t="s">
        <v>387</v>
      </c>
      <c r="C4773" s="62" t="s">
        <v>60</v>
      </c>
      <c r="D4773" s="62" t="s">
        <v>105</v>
      </c>
      <c r="E4773" s="62" t="s">
        <v>382</v>
      </c>
      <c r="F4773" s="63" t="s">
        <v>473</v>
      </c>
      <c r="G4773" s="64" t="s">
        <v>749</v>
      </c>
      <c r="H4773" s="62" t="s">
        <v>42</v>
      </c>
    </row>
    <row r="4774" customFormat="false" ht="15" hidden="false" customHeight="false" outlineLevel="0" collapsed="false">
      <c r="A4774" s="62" t="n">
        <v>1</v>
      </c>
      <c r="B4774" s="62" t="s">
        <v>388</v>
      </c>
      <c r="C4774" s="62" t="s">
        <v>60</v>
      </c>
      <c r="D4774" s="62" t="s">
        <v>105</v>
      </c>
      <c r="E4774" s="62" t="s">
        <v>382</v>
      </c>
      <c r="F4774" s="63" t="s">
        <v>473</v>
      </c>
      <c r="G4774" s="64" t="s">
        <v>750</v>
      </c>
      <c r="H4774" s="62" t="s">
        <v>42</v>
      </c>
    </row>
    <row r="4775" customFormat="false" ht="15" hidden="false" customHeight="false" outlineLevel="0" collapsed="false">
      <c r="A4775" s="62" t="n">
        <v>1</v>
      </c>
      <c r="B4775" s="62" t="s">
        <v>381</v>
      </c>
      <c r="C4775" s="62" t="s">
        <v>60</v>
      </c>
      <c r="D4775" s="62" t="s">
        <v>382</v>
      </c>
      <c r="E4775" s="62" t="s">
        <v>382</v>
      </c>
      <c r="F4775" s="63" t="s">
        <v>475</v>
      </c>
      <c r="G4775" s="64" t="n">
        <v>5.55354193546029</v>
      </c>
      <c r="H4775" s="62" t="s">
        <v>42</v>
      </c>
    </row>
    <row r="4776" customFormat="false" ht="15" hidden="false" customHeight="false" outlineLevel="0" collapsed="false">
      <c r="A4776" s="62" t="n">
        <v>1</v>
      </c>
      <c r="B4776" s="62" t="s">
        <v>383</v>
      </c>
      <c r="C4776" s="62" t="s">
        <v>60</v>
      </c>
      <c r="D4776" s="62" t="s">
        <v>382</v>
      </c>
      <c r="E4776" s="62" t="s">
        <v>382</v>
      </c>
      <c r="F4776" s="63" t="s">
        <v>475</v>
      </c>
      <c r="G4776" s="64" t="n">
        <v>5.05560617871333</v>
      </c>
      <c r="H4776" s="62" t="s">
        <v>42</v>
      </c>
    </row>
    <row r="4777" customFormat="false" ht="15" hidden="false" customHeight="false" outlineLevel="0" collapsed="false">
      <c r="A4777" s="62" t="n">
        <v>1</v>
      </c>
      <c r="B4777" s="62" t="s">
        <v>384</v>
      </c>
      <c r="C4777" s="62" t="s">
        <v>60</v>
      </c>
      <c r="D4777" s="62" t="s">
        <v>382</v>
      </c>
      <c r="E4777" s="62" t="s">
        <v>382</v>
      </c>
      <c r="F4777" s="63" t="s">
        <v>475</v>
      </c>
      <c r="G4777" s="64" t="n">
        <v>5.03200205444272</v>
      </c>
      <c r="H4777" s="62" t="s">
        <v>42</v>
      </c>
    </row>
    <row r="4778" customFormat="false" ht="15" hidden="false" customHeight="false" outlineLevel="0" collapsed="false">
      <c r="A4778" s="62" t="n">
        <v>1</v>
      </c>
      <c r="B4778" s="62" t="s">
        <v>385</v>
      </c>
      <c r="C4778" s="62" t="s">
        <v>60</v>
      </c>
      <c r="D4778" s="62" t="s">
        <v>382</v>
      </c>
      <c r="E4778" s="62" t="s">
        <v>382</v>
      </c>
      <c r="F4778" s="63" t="s">
        <v>475</v>
      </c>
      <c r="G4778" s="64" t="n">
        <v>5.08932285338181</v>
      </c>
      <c r="H4778" s="62" t="s">
        <v>42</v>
      </c>
    </row>
    <row r="4779" customFormat="false" ht="15" hidden="false" customHeight="false" outlineLevel="0" collapsed="false">
      <c r="A4779" s="62" t="n">
        <v>1</v>
      </c>
      <c r="B4779" s="62" t="s">
        <v>386</v>
      </c>
      <c r="C4779" s="62" t="s">
        <v>60</v>
      </c>
      <c r="D4779" s="62" t="s">
        <v>382</v>
      </c>
      <c r="E4779" s="62" t="s">
        <v>382</v>
      </c>
      <c r="F4779" s="63" t="s">
        <v>475</v>
      </c>
      <c r="G4779" s="64" t="n">
        <v>5.42088534870148</v>
      </c>
      <c r="H4779" s="62" t="s">
        <v>42</v>
      </c>
    </row>
    <row r="4780" customFormat="false" ht="15" hidden="false" customHeight="false" outlineLevel="0" collapsed="false">
      <c r="A4780" s="62" t="n">
        <v>1</v>
      </c>
      <c r="B4780" s="62" t="s">
        <v>387</v>
      </c>
      <c r="C4780" s="62" t="s">
        <v>60</v>
      </c>
      <c r="D4780" s="62" t="s">
        <v>382</v>
      </c>
      <c r="E4780" s="62" t="s">
        <v>382</v>
      </c>
      <c r="F4780" s="63" t="s">
        <v>475</v>
      </c>
      <c r="G4780" s="64" t="n">
        <v>5.19831913204864</v>
      </c>
      <c r="H4780" s="62" t="s">
        <v>42</v>
      </c>
    </row>
    <row r="4781" customFormat="false" ht="15" hidden="false" customHeight="false" outlineLevel="0" collapsed="false">
      <c r="A4781" s="62" t="n">
        <v>1</v>
      </c>
      <c r="B4781" s="62" t="s">
        <v>388</v>
      </c>
      <c r="C4781" s="62" t="s">
        <v>60</v>
      </c>
      <c r="D4781" s="62" t="s">
        <v>382</v>
      </c>
      <c r="E4781" s="62" t="s">
        <v>382</v>
      </c>
      <c r="F4781" s="63" t="s">
        <v>475</v>
      </c>
      <c r="G4781" s="64" t="n">
        <v>9.54521496279437</v>
      </c>
      <c r="H4781" s="62" t="s">
        <v>42</v>
      </c>
    </row>
    <row r="4782" customFormat="false" ht="15" hidden="false" customHeight="false" outlineLevel="0" collapsed="false">
      <c r="A4782" s="62" t="n">
        <v>1</v>
      </c>
      <c r="B4782" s="62" t="s">
        <v>381</v>
      </c>
      <c r="C4782" s="62" t="s">
        <v>60</v>
      </c>
      <c r="D4782" s="62" t="s">
        <v>382</v>
      </c>
      <c r="E4782" s="62" t="s">
        <v>382</v>
      </c>
      <c r="F4782" s="63" t="s">
        <v>476</v>
      </c>
      <c r="G4782" s="64" t="n">
        <v>10.5535419354603</v>
      </c>
      <c r="H4782" s="62" t="s">
        <v>42</v>
      </c>
    </row>
    <row r="4783" customFormat="false" ht="15" hidden="false" customHeight="false" outlineLevel="0" collapsed="false">
      <c r="A4783" s="62" t="n">
        <v>1</v>
      </c>
      <c r="B4783" s="62" t="s">
        <v>383</v>
      </c>
      <c r="C4783" s="62" t="s">
        <v>60</v>
      </c>
      <c r="D4783" s="62" t="s">
        <v>382</v>
      </c>
      <c r="E4783" s="62" t="s">
        <v>382</v>
      </c>
      <c r="F4783" s="63" t="s">
        <v>476</v>
      </c>
      <c r="G4783" s="64" t="n">
        <v>10.0556061787133</v>
      </c>
      <c r="H4783" s="62" t="s">
        <v>42</v>
      </c>
    </row>
    <row r="4784" customFormat="false" ht="15" hidden="false" customHeight="false" outlineLevel="0" collapsed="false">
      <c r="A4784" s="62" t="n">
        <v>1</v>
      </c>
      <c r="B4784" s="62" t="s">
        <v>384</v>
      </c>
      <c r="C4784" s="62" t="s">
        <v>60</v>
      </c>
      <c r="D4784" s="62" t="s">
        <v>382</v>
      </c>
      <c r="E4784" s="62" t="s">
        <v>382</v>
      </c>
      <c r="F4784" s="63" t="s">
        <v>476</v>
      </c>
      <c r="G4784" s="64" t="n">
        <v>10.0320020544427</v>
      </c>
      <c r="H4784" s="62" t="s">
        <v>42</v>
      </c>
    </row>
    <row r="4785" customFormat="false" ht="15" hidden="false" customHeight="false" outlineLevel="0" collapsed="false">
      <c r="A4785" s="62" t="n">
        <v>1</v>
      </c>
      <c r="B4785" s="62" t="s">
        <v>385</v>
      </c>
      <c r="C4785" s="62" t="s">
        <v>60</v>
      </c>
      <c r="D4785" s="62" t="s">
        <v>382</v>
      </c>
      <c r="E4785" s="62" t="s">
        <v>382</v>
      </c>
      <c r="F4785" s="63" t="s">
        <v>476</v>
      </c>
      <c r="G4785" s="64" t="n">
        <v>10.0893228533818</v>
      </c>
      <c r="H4785" s="62" t="s">
        <v>42</v>
      </c>
    </row>
    <row r="4786" customFormat="false" ht="15" hidden="false" customHeight="false" outlineLevel="0" collapsed="false">
      <c r="A4786" s="62" t="n">
        <v>1</v>
      </c>
      <c r="B4786" s="62" t="s">
        <v>386</v>
      </c>
      <c r="C4786" s="62" t="s">
        <v>60</v>
      </c>
      <c r="D4786" s="62" t="s">
        <v>382</v>
      </c>
      <c r="E4786" s="62" t="s">
        <v>382</v>
      </c>
      <c r="F4786" s="63" t="s">
        <v>476</v>
      </c>
      <c r="G4786" s="64" t="n">
        <v>10.4208853487015</v>
      </c>
      <c r="H4786" s="62" t="s">
        <v>42</v>
      </c>
    </row>
    <row r="4787" customFormat="false" ht="15" hidden="false" customHeight="false" outlineLevel="0" collapsed="false">
      <c r="A4787" s="62" t="n">
        <v>1</v>
      </c>
      <c r="B4787" s="62" t="s">
        <v>387</v>
      </c>
      <c r="C4787" s="62" t="s">
        <v>60</v>
      </c>
      <c r="D4787" s="62" t="s">
        <v>382</v>
      </c>
      <c r="E4787" s="62" t="s">
        <v>382</v>
      </c>
      <c r="F4787" s="63" t="s">
        <v>476</v>
      </c>
      <c r="G4787" s="64" t="n">
        <v>10.1983191320486</v>
      </c>
      <c r="H4787" s="62" t="s">
        <v>42</v>
      </c>
    </row>
    <row r="4788" customFormat="false" ht="15" hidden="false" customHeight="false" outlineLevel="0" collapsed="false">
      <c r="A4788" s="62" t="n">
        <v>1</v>
      </c>
      <c r="B4788" s="62" t="s">
        <v>388</v>
      </c>
      <c r="C4788" s="62" t="s">
        <v>60</v>
      </c>
      <c r="D4788" s="62" t="s">
        <v>382</v>
      </c>
      <c r="E4788" s="62" t="s">
        <v>382</v>
      </c>
      <c r="F4788" s="63" t="s">
        <v>476</v>
      </c>
      <c r="G4788" s="64" t="n">
        <v>14.5452149627944</v>
      </c>
      <c r="H4788" s="62" t="s">
        <v>42</v>
      </c>
    </row>
    <row r="4789" customFormat="false" ht="15" hidden="false" customHeight="false" outlineLevel="0" collapsed="false">
      <c r="A4789" s="62" t="n">
        <v>1</v>
      </c>
      <c r="B4789" s="62" t="s">
        <v>381</v>
      </c>
      <c r="C4789" s="62" t="s">
        <v>60</v>
      </c>
      <c r="D4789" s="62" t="s">
        <v>382</v>
      </c>
      <c r="E4789" s="62" t="s">
        <v>382</v>
      </c>
      <c r="F4789" s="63" t="s">
        <v>477</v>
      </c>
      <c r="G4789" s="64" t="n">
        <v>12.5657523204256</v>
      </c>
      <c r="H4789" s="62" t="s">
        <v>42</v>
      </c>
    </row>
    <row r="4790" customFormat="false" ht="15" hidden="false" customHeight="false" outlineLevel="0" collapsed="false">
      <c r="A4790" s="62" t="n">
        <v>1</v>
      </c>
      <c r="B4790" s="62" t="s">
        <v>383</v>
      </c>
      <c r="C4790" s="62" t="s">
        <v>60</v>
      </c>
      <c r="D4790" s="62" t="s">
        <v>382</v>
      </c>
      <c r="E4790" s="62" t="s">
        <v>382</v>
      </c>
      <c r="F4790" s="63" t="s">
        <v>477</v>
      </c>
      <c r="G4790" s="64" t="n">
        <v>12</v>
      </c>
      <c r="H4790" s="62" t="s">
        <v>42</v>
      </c>
    </row>
    <row r="4791" customFormat="false" ht="15" hidden="false" customHeight="false" outlineLevel="0" collapsed="false">
      <c r="A4791" s="62" t="n">
        <v>1</v>
      </c>
      <c r="B4791" s="62" t="s">
        <v>384</v>
      </c>
      <c r="C4791" s="62" t="s">
        <v>60</v>
      </c>
      <c r="D4791" s="62" t="s">
        <v>382</v>
      </c>
      <c r="E4791" s="62" t="s">
        <v>382</v>
      </c>
      <c r="F4791" s="63" t="s">
        <v>477</v>
      </c>
      <c r="G4791" s="64" t="n">
        <v>12</v>
      </c>
      <c r="H4791" s="62" t="s">
        <v>42</v>
      </c>
    </row>
    <row r="4792" customFormat="false" ht="15" hidden="false" customHeight="false" outlineLevel="0" collapsed="false">
      <c r="A4792" s="62" t="n">
        <v>1</v>
      </c>
      <c r="B4792" s="62" t="s">
        <v>385</v>
      </c>
      <c r="C4792" s="62" t="s">
        <v>60</v>
      </c>
      <c r="D4792" s="62" t="s">
        <v>382</v>
      </c>
      <c r="E4792" s="62" t="s">
        <v>382</v>
      </c>
      <c r="F4792" s="63" t="s">
        <v>477</v>
      </c>
      <c r="G4792" s="64" t="n">
        <v>12</v>
      </c>
      <c r="H4792" s="62" t="s">
        <v>42</v>
      </c>
    </row>
    <row r="4793" customFormat="false" ht="15" hidden="false" customHeight="false" outlineLevel="0" collapsed="false">
      <c r="A4793" s="62" t="n">
        <v>1</v>
      </c>
      <c r="B4793" s="62" t="s">
        <v>386</v>
      </c>
      <c r="C4793" s="62" t="s">
        <v>60</v>
      </c>
      <c r="D4793" s="62" t="s">
        <v>382</v>
      </c>
      <c r="E4793" s="62" t="s">
        <v>382</v>
      </c>
      <c r="F4793" s="63" t="s">
        <v>477</v>
      </c>
      <c r="G4793" s="64" t="n">
        <v>12.4286206630354</v>
      </c>
      <c r="H4793" s="62" t="s">
        <v>42</v>
      </c>
    </row>
    <row r="4794" customFormat="false" ht="15" hidden="false" customHeight="false" outlineLevel="0" collapsed="false">
      <c r="A4794" s="62" t="n">
        <v>1</v>
      </c>
      <c r="B4794" s="62" t="s">
        <v>387</v>
      </c>
      <c r="C4794" s="62" t="s">
        <v>60</v>
      </c>
      <c r="D4794" s="62" t="s">
        <v>382</v>
      </c>
      <c r="E4794" s="62" t="s">
        <v>382</v>
      </c>
      <c r="F4794" s="63" t="s">
        <v>477</v>
      </c>
      <c r="G4794" s="64" t="n">
        <v>12.1236225142889</v>
      </c>
      <c r="H4794" s="62" t="s">
        <v>42</v>
      </c>
    </row>
    <row r="4795" customFormat="false" ht="15" hidden="false" customHeight="false" outlineLevel="0" collapsed="false">
      <c r="A4795" s="62" t="n">
        <v>1</v>
      </c>
      <c r="B4795" s="62" t="s">
        <v>388</v>
      </c>
      <c r="C4795" s="62" t="s">
        <v>60</v>
      </c>
      <c r="D4795" s="62" t="s">
        <v>382</v>
      </c>
      <c r="E4795" s="62" t="s">
        <v>382</v>
      </c>
      <c r="F4795" s="63" t="s">
        <v>477</v>
      </c>
      <c r="G4795" s="64" t="n">
        <v>16.5673069804721</v>
      </c>
      <c r="H4795" s="62" t="s">
        <v>42</v>
      </c>
    </row>
    <row r="4796" customFormat="false" ht="15" hidden="false" customHeight="false" outlineLevel="0" collapsed="false">
      <c r="A4796" s="62" t="n">
        <v>1</v>
      </c>
      <c r="B4796" s="62" t="s">
        <v>381</v>
      </c>
      <c r="C4796" s="62" t="s">
        <v>60</v>
      </c>
      <c r="D4796" s="62" t="s">
        <v>382</v>
      </c>
      <c r="E4796" s="62" t="s">
        <v>382</v>
      </c>
      <c r="F4796" s="63" t="s">
        <v>478</v>
      </c>
      <c r="G4796" s="64" t="n">
        <v>11.0565945317016</v>
      </c>
      <c r="H4796" s="62" t="s">
        <v>42</v>
      </c>
    </row>
    <row r="4797" customFormat="false" ht="15" hidden="false" customHeight="false" outlineLevel="0" collapsed="false">
      <c r="A4797" s="62" t="n">
        <v>1</v>
      </c>
      <c r="B4797" s="62" t="s">
        <v>383</v>
      </c>
      <c r="C4797" s="62" t="s">
        <v>60</v>
      </c>
      <c r="D4797" s="62" t="s">
        <v>382</v>
      </c>
      <c r="E4797" s="62" t="s">
        <v>382</v>
      </c>
      <c r="F4797" s="63" t="s">
        <v>478</v>
      </c>
      <c r="G4797" s="64" t="n">
        <v>10.5237178619275</v>
      </c>
      <c r="H4797" s="62" t="s">
        <v>42</v>
      </c>
    </row>
    <row r="4798" customFormat="false" ht="15" hidden="false" customHeight="false" outlineLevel="0" collapsed="false">
      <c r="A4798" s="62" t="n">
        <v>1</v>
      </c>
      <c r="B4798" s="62" t="s">
        <v>384</v>
      </c>
      <c r="C4798" s="62" t="s">
        <v>60</v>
      </c>
      <c r="D4798" s="62" t="s">
        <v>382</v>
      </c>
      <c r="E4798" s="62" t="s">
        <v>382</v>
      </c>
      <c r="F4798" s="63" t="s">
        <v>478</v>
      </c>
      <c r="G4798" s="64" t="n">
        <v>10.5</v>
      </c>
      <c r="H4798" s="62" t="s">
        <v>42</v>
      </c>
    </row>
    <row r="4799" customFormat="false" ht="15" hidden="false" customHeight="false" outlineLevel="0" collapsed="false">
      <c r="A4799" s="62" t="n">
        <v>1</v>
      </c>
      <c r="B4799" s="62" t="s">
        <v>385</v>
      </c>
      <c r="C4799" s="62" t="s">
        <v>60</v>
      </c>
      <c r="D4799" s="62" t="s">
        <v>382</v>
      </c>
      <c r="E4799" s="62" t="s">
        <v>382</v>
      </c>
      <c r="F4799" s="63" t="s">
        <v>478</v>
      </c>
      <c r="G4799" s="64" t="n">
        <v>10.5605564509172</v>
      </c>
      <c r="H4799" s="62" t="s">
        <v>42</v>
      </c>
    </row>
    <row r="4800" customFormat="false" ht="15" hidden="false" customHeight="false" outlineLevel="0" collapsed="false">
      <c r="A4800" s="62" t="n">
        <v>1</v>
      </c>
      <c r="B4800" s="62" t="s">
        <v>386</v>
      </c>
      <c r="C4800" s="62" t="s">
        <v>60</v>
      </c>
      <c r="D4800" s="62" t="s">
        <v>382</v>
      </c>
      <c r="E4800" s="62" t="s">
        <v>382</v>
      </c>
      <c r="F4800" s="63" t="s">
        <v>478</v>
      </c>
      <c r="G4800" s="64" t="n">
        <v>10.922819177285</v>
      </c>
      <c r="H4800" s="62" t="s">
        <v>42</v>
      </c>
    </row>
    <row r="4801" customFormat="false" ht="15" hidden="false" customHeight="false" outlineLevel="0" collapsed="false">
      <c r="A4801" s="62" t="n">
        <v>1</v>
      </c>
      <c r="B4801" s="62" t="s">
        <v>387</v>
      </c>
      <c r="C4801" s="62" t="s">
        <v>60</v>
      </c>
      <c r="D4801" s="62" t="s">
        <v>382</v>
      </c>
      <c r="E4801" s="62" t="s">
        <v>382</v>
      </c>
      <c r="F4801" s="63" t="s">
        <v>478</v>
      </c>
      <c r="G4801" s="64" t="n">
        <v>10.6796449776087</v>
      </c>
      <c r="H4801" s="62" t="s">
        <v>42</v>
      </c>
    </row>
    <row r="4802" customFormat="false" ht="15" hidden="false" customHeight="false" outlineLevel="0" collapsed="false">
      <c r="A4802" s="62" t="n">
        <v>1</v>
      </c>
      <c r="B4802" s="62" t="s">
        <v>388</v>
      </c>
      <c r="C4802" s="62" t="s">
        <v>60</v>
      </c>
      <c r="D4802" s="62" t="s">
        <v>382</v>
      </c>
      <c r="E4802" s="62" t="s">
        <v>382</v>
      </c>
      <c r="F4802" s="63" t="s">
        <v>478</v>
      </c>
      <c r="G4802" s="64" t="n">
        <v>15.0507379672138</v>
      </c>
      <c r="H4802" s="62" t="s">
        <v>42</v>
      </c>
    </row>
    <row r="4803" customFormat="false" ht="15" hidden="false" customHeight="false" outlineLevel="0" collapsed="false">
      <c r="A4803" s="62" t="n">
        <v>1</v>
      </c>
      <c r="B4803" s="62" t="s">
        <v>381</v>
      </c>
      <c r="C4803" s="62" t="s">
        <v>60</v>
      </c>
      <c r="D4803" s="62" t="s">
        <v>105</v>
      </c>
      <c r="E4803" s="62" t="s">
        <v>92</v>
      </c>
      <c r="F4803" s="63" t="s">
        <v>479</v>
      </c>
      <c r="G4803" s="64" t="n">
        <v>14.450820919111</v>
      </c>
      <c r="H4803" s="62" t="s">
        <v>42</v>
      </c>
    </row>
    <row r="4804" customFormat="false" ht="15" hidden="false" customHeight="false" outlineLevel="0" collapsed="false">
      <c r="A4804" s="62" t="n">
        <v>1</v>
      </c>
      <c r="B4804" s="62" t="s">
        <v>383</v>
      </c>
      <c r="C4804" s="62" t="s">
        <v>60</v>
      </c>
      <c r="D4804" s="62" t="s">
        <v>105</v>
      </c>
      <c r="E4804" s="62" t="s">
        <v>92</v>
      </c>
      <c r="F4804" s="63" t="s">
        <v>479</v>
      </c>
      <c r="G4804" s="64" t="n">
        <v>14.0070874593334</v>
      </c>
      <c r="H4804" s="62" t="s">
        <v>42</v>
      </c>
    </row>
    <row r="4805" customFormat="false" ht="15" hidden="false" customHeight="false" outlineLevel="0" collapsed="false">
      <c r="A4805" s="62" t="n">
        <v>1</v>
      </c>
      <c r="B4805" s="62" t="s">
        <v>384</v>
      </c>
      <c r="C4805" s="62" t="s">
        <v>60</v>
      </c>
      <c r="D4805" s="62" t="s">
        <v>105</v>
      </c>
      <c r="E4805" s="62" t="s">
        <v>92</v>
      </c>
      <c r="F4805" s="63" t="s">
        <v>479</v>
      </c>
      <c r="G4805" s="64" t="n">
        <v>21.26221081131</v>
      </c>
      <c r="H4805" s="62" t="s">
        <v>42</v>
      </c>
    </row>
    <row r="4806" customFormat="false" ht="15" hidden="false" customHeight="false" outlineLevel="0" collapsed="false">
      <c r="A4806" s="62" t="n">
        <v>1</v>
      </c>
      <c r="B4806" s="62" t="s">
        <v>385</v>
      </c>
      <c r="C4806" s="62" t="s">
        <v>60</v>
      </c>
      <c r="D4806" s="62" t="s">
        <v>105</v>
      </c>
      <c r="E4806" s="62" t="s">
        <v>92</v>
      </c>
      <c r="F4806" s="63" t="s">
        <v>479</v>
      </c>
      <c r="G4806" s="64" t="n">
        <v>12.4748392967806</v>
      </c>
      <c r="H4806" s="62" t="s">
        <v>42</v>
      </c>
    </row>
    <row r="4807" customFormat="false" ht="15" hidden="false" customHeight="false" outlineLevel="0" collapsed="false">
      <c r="A4807" s="62" t="n">
        <v>1</v>
      </c>
      <c r="B4807" s="62" t="s">
        <v>386</v>
      </c>
      <c r="C4807" s="62" t="s">
        <v>60</v>
      </c>
      <c r="D4807" s="62" t="s">
        <v>105</v>
      </c>
      <c r="E4807" s="62" t="s">
        <v>92</v>
      </c>
      <c r="F4807" s="63" t="s">
        <v>479</v>
      </c>
      <c r="G4807" s="64" t="n">
        <v>16.5253199461819</v>
      </c>
      <c r="H4807" s="62" t="s">
        <v>42</v>
      </c>
    </row>
    <row r="4808" customFormat="false" ht="15" hidden="false" customHeight="false" outlineLevel="0" collapsed="false">
      <c r="A4808" s="62" t="n">
        <v>1</v>
      </c>
      <c r="B4808" s="62" t="s">
        <v>387</v>
      </c>
      <c r="C4808" s="62" t="s">
        <v>60</v>
      </c>
      <c r="D4808" s="62" t="s">
        <v>105</v>
      </c>
      <c r="E4808" s="62" t="s">
        <v>92</v>
      </c>
      <c r="F4808" s="63" t="s">
        <v>479</v>
      </c>
      <c r="G4808" s="64" t="n">
        <v>11.7601412329986</v>
      </c>
      <c r="H4808" s="62" t="s">
        <v>42</v>
      </c>
    </row>
    <row r="4809" customFormat="false" ht="15" hidden="false" customHeight="false" outlineLevel="0" collapsed="false">
      <c r="A4809" s="62" t="n">
        <v>1</v>
      </c>
      <c r="B4809" s="62" t="s">
        <v>388</v>
      </c>
      <c r="C4809" s="62" t="s">
        <v>60</v>
      </c>
      <c r="D4809" s="62" t="s">
        <v>105</v>
      </c>
      <c r="E4809" s="62" t="s">
        <v>92</v>
      </c>
      <c r="F4809" s="63" t="s">
        <v>479</v>
      </c>
      <c r="G4809" s="64" t="n">
        <v>9.51958033428445</v>
      </c>
      <c r="H4809" s="62" t="s">
        <v>42</v>
      </c>
    </row>
    <row r="4810" customFormat="false" ht="15" hidden="false" customHeight="false" outlineLevel="0" collapsed="false">
      <c r="A4810" s="62" t="n">
        <v>1</v>
      </c>
      <c r="B4810" s="62" t="s">
        <v>381</v>
      </c>
      <c r="C4810" s="62" t="s">
        <v>60</v>
      </c>
      <c r="D4810" s="62" t="s">
        <v>105</v>
      </c>
      <c r="E4810" s="62" t="s">
        <v>94</v>
      </c>
      <c r="F4810" s="63" t="s">
        <v>479</v>
      </c>
      <c r="G4810" s="64" t="n">
        <v>37.393790119412</v>
      </c>
      <c r="H4810" s="62" t="s">
        <v>42</v>
      </c>
    </row>
    <row r="4811" customFormat="false" ht="15" hidden="false" customHeight="false" outlineLevel="0" collapsed="false">
      <c r="A4811" s="62" t="n">
        <v>1</v>
      </c>
      <c r="B4811" s="62" t="s">
        <v>383</v>
      </c>
      <c r="C4811" s="62" t="s">
        <v>60</v>
      </c>
      <c r="D4811" s="62" t="s">
        <v>105</v>
      </c>
      <c r="E4811" s="62" t="s">
        <v>94</v>
      </c>
      <c r="F4811" s="63" t="s">
        <v>479</v>
      </c>
      <c r="G4811" s="64" t="n">
        <v>26.6698356649803</v>
      </c>
      <c r="H4811" s="62" t="s">
        <v>42</v>
      </c>
    </row>
    <row r="4812" customFormat="false" ht="15" hidden="false" customHeight="false" outlineLevel="0" collapsed="false">
      <c r="A4812" s="62" t="n">
        <v>1</v>
      </c>
      <c r="B4812" s="62" t="s">
        <v>384</v>
      </c>
      <c r="C4812" s="62" t="s">
        <v>60</v>
      </c>
      <c r="D4812" s="62" t="s">
        <v>105</v>
      </c>
      <c r="E4812" s="62" t="s">
        <v>94</v>
      </c>
      <c r="F4812" s="63" t="s">
        <v>479</v>
      </c>
      <c r="G4812" s="64" t="n">
        <v>0</v>
      </c>
      <c r="H4812" s="62" t="s">
        <v>42</v>
      </c>
    </row>
    <row r="4813" customFormat="false" ht="15" hidden="false" customHeight="false" outlineLevel="0" collapsed="false">
      <c r="A4813" s="62" t="n">
        <v>1</v>
      </c>
      <c r="B4813" s="62" t="s">
        <v>385</v>
      </c>
      <c r="C4813" s="62" t="s">
        <v>60</v>
      </c>
      <c r="D4813" s="62" t="s">
        <v>105</v>
      </c>
      <c r="E4813" s="62" t="s">
        <v>94</v>
      </c>
      <c r="F4813" s="63" t="s">
        <v>479</v>
      </c>
      <c r="G4813" s="64" t="n">
        <v>0</v>
      </c>
      <c r="H4813" s="62" t="s">
        <v>42</v>
      </c>
    </row>
    <row r="4814" customFormat="false" ht="15" hidden="false" customHeight="false" outlineLevel="0" collapsed="false">
      <c r="A4814" s="62" t="n">
        <v>1</v>
      </c>
      <c r="B4814" s="62" t="s">
        <v>386</v>
      </c>
      <c r="C4814" s="62" t="s">
        <v>60</v>
      </c>
      <c r="D4814" s="62" t="s">
        <v>105</v>
      </c>
      <c r="E4814" s="62" t="s">
        <v>94</v>
      </c>
      <c r="F4814" s="63" t="s">
        <v>479</v>
      </c>
      <c r="G4814" s="64" t="n">
        <v>0</v>
      </c>
      <c r="H4814" s="62" t="s">
        <v>42</v>
      </c>
    </row>
    <row r="4815" customFormat="false" ht="15" hidden="false" customHeight="false" outlineLevel="0" collapsed="false">
      <c r="A4815" s="62" t="n">
        <v>1</v>
      </c>
      <c r="B4815" s="62" t="s">
        <v>387</v>
      </c>
      <c r="C4815" s="62" t="s">
        <v>60</v>
      </c>
      <c r="D4815" s="62" t="s">
        <v>105</v>
      </c>
      <c r="E4815" s="62" t="s">
        <v>94</v>
      </c>
      <c r="F4815" s="63" t="s">
        <v>479</v>
      </c>
      <c r="G4815" s="64" t="n">
        <v>22.0130293066062</v>
      </c>
      <c r="H4815" s="62" t="s">
        <v>42</v>
      </c>
    </row>
    <row r="4816" customFormat="false" ht="15" hidden="false" customHeight="false" outlineLevel="0" collapsed="false">
      <c r="A4816" s="62" t="n">
        <v>1</v>
      </c>
      <c r="B4816" s="62" t="s">
        <v>388</v>
      </c>
      <c r="C4816" s="62" t="s">
        <v>60</v>
      </c>
      <c r="D4816" s="62" t="s">
        <v>105</v>
      </c>
      <c r="E4816" s="62" t="s">
        <v>94</v>
      </c>
      <c r="F4816" s="63" t="s">
        <v>479</v>
      </c>
      <c r="G4816" s="64" t="n">
        <v>13.9233449090015</v>
      </c>
      <c r="H4816" s="62" t="s">
        <v>42</v>
      </c>
    </row>
    <row r="4817" customFormat="false" ht="15" hidden="false" customHeight="false" outlineLevel="0" collapsed="false">
      <c r="A4817" s="62" t="n">
        <v>1</v>
      </c>
      <c r="B4817" s="62" t="s">
        <v>381</v>
      </c>
      <c r="C4817" s="62" t="s">
        <v>60</v>
      </c>
      <c r="D4817" s="62" t="s">
        <v>105</v>
      </c>
      <c r="E4817" s="62" t="s">
        <v>95</v>
      </c>
      <c r="F4817" s="63" t="s">
        <v>479</v>
      </c>
      <c r="G4817" s="64" t="n">
        <v>0</v>
      </c>
      <c r="H4817" s="62" t="s">
        <v>42</v>
      </c>
    </row>
    <row r="4818" customFormat="false" ht="15" hidden="false" customHeight="false" outlineLevel="0" collapsed="false">
      <c r="A4818" s="62" t="n">
        <v>1</v>
      </c>
      <c r="B4818" s="62" t="s">
        <v>383</v>
      </c>
      <c r="C4818" s="62" t="s">
        <v>60</v>
      </c>
      <c r="D4818" s="62" t="s">
        <v>105</v>
      </c>
      <c r="E4818" s="62" t="s">
        <v>95</v>
      </c>
      <c r="F4818" s="63" t="s">
        <v>479</v>
      </c>
      <c r="G4818" s="64" t="n">
        <v>0</v>
      </c>
      <c r="H4818" s="62" t="s">
        <v>42</v>
      </c>
    </row>
    <row r="4819" customFormat="false" ht="15" hidden="false" customHeight="false" outlineLevel="0" collapsed="false">
      <c r="A4819" s="62" t="n">
        <v>1</v>
      </c>
      <c r="B4819" s="62" t="s">
        <v>384</v>
      </c>
      <c r="C4819" s="62" t="s">
        <v>60</v>
      </c>
      <c r="D4819" s="62" t="s">
        <v>105</v>
      </c>
      <c r="E4819" s="62" t="s">
        <v>95</v>
      </c>
      <c r="F4819" s="63" t="s">
        <v>479</v>
      </c>
      <c r="G4819" s="64" t="n">
        <v>0</v>
      </c>
      <c r="H4819" s="62" t="s">
        <v>42</v>
      </c>
    </row>
    <row r="4820" customFormat="false" ht="15" hidden="false" customHeight="false" outlineLevel="0" collapsed="false">
      <c r="A4820" s="62" t="n">
        <v>1</v>
      </c>
      <c r="B4820" s="62" t="s">
        <v>385</v>
      </c>
      <c r="C4820" s="62" t="s">
        <v>60</v>
      </c>
      <c r="D4820" s="62" t="s">
        <v>105</v>
      </c>
      <c r="E4820" s="62" t="s">
        <v>95</v>
      </c>
      <c r="F4820" s="63" t="s">
        <v>479</v>
      </c>
      <c r="G4820" s="64" t="n">
        <v>0</v>
      </c>
      <c r="H4820" s="62" t="s">
        <v>42</v>
      </c>
    </row>
    <row r="4821" customFormat="false" ht="15" hidden="false" customHeight="false" outlineLevel="0" collapsed="false">
      <c r="A4821" s="62" t="n">
        <v>1</v>
      </c>
      <c r="B4821" s="62" t="s">
        <v>386</v>
      </c>
      <c r="C4821" s="62" t="s">
        <v>60</v>
      </c>
      <c r="D4821" s="62" t="s">
        <v>105</v>
      </c>
      <c r="E4821" s="62" t="s">
        <v>95</v>
      </c>
      <c r="F4821" s="63" t="s">
        <v>479</v>
      </c>
      <c r="G4821" s="64" t="n">
        <v>0</v>
      </c>
      <c r="H4821" s="62" t="s">
        <v>42</v>
      </c>
    </row>
    <row r="4822" customFormat="false" ht="15" hidden="false" customHeight="false" outlineLevel="0" collapsed="false">
      <c r="A4822" s="62" t="n">
        <v>1</v>
      </c>
      <c r="B4822" s="62" t="s">
        <v>387</v>
      </c>
      <c r="C4822" s="62" t="s">
        <v>60</v>
      </c>
      <c r="D4822" s="62" t="s">
        <v>105</v>
      </c>
      <c r="E4822" s="62" t="s">
        <v>95</v>
      </c>
      <c r="F4822" s="63" t="s">
        <v>479</v>
      </c>
      <c r="G4822" s="64" t="n">
        <v>0</v>
      </c>
      <c r="H4822" s="62" t="s">
        <v>42</v>
      </c>
    </row>
    <row r="4823" customFormat="false" ht="15" hidden="false" customHeight="false" outlineLevel="0" collapsed="false">
      <c r="A4823" s="62" t="n">
        <v>1</v>
      </c>
      <c r="B4823" s="62" t="s">
        <v>388</v>
      </c>
      <c r="C4823" s="62" t="s">
        <v>60</v>
      </c>
      <c r="D4823" s="62" t="s">
        <v>105</v>
      </c>
      <c r="E4823" s="62" t="s">
        <v>95</v>
      </c>
      <c r="F4823" s="63" t="s">
        <v>479</v>
      </c>
      <c r="G4823" s="64" t="n">
        <v>0</v>
      </c>
      <c r="H4823" s="62" t="s">
        <v>42</v>
      </c>
    </row>
    <row r="4824" customFormat="false" ht="15" hidden="false" customHeight="false" outlineLevel="0" collapsed="false">
      <c r="A4824" s="62" t="n">
        <v>1</v>
      </c>
      <c r="B4824" s="62" t="s">
        <v>381</v>
      </c>
      <c r="C4824" s="62" t="s">
        <v>60</v>
      </c>
      <c r="D4824" s="62" t="s">
        <v>105</v>
      </c>
      <c r="E4824" s="62" t="s">
        <v>97</v>
      </c>
      <c r="F4824" s="63" t="s">
        <v>479</v>
      </c>
      <c r="G4824" s="64" t="n">
        <v>0</v>
      </c>
      <c r="H4824" s="62" t="s">
        <v>42</v>
      </c>
    </row>
    <row r="4825" customFormat="false" ht="15" hidden="false" customHeight="false" outlineLevel="0" collapsed="false">
      <c r="A4825" s="62" t="n">
        <v>1</v>
      </c>
      <c r="B4825" s="62" t="s">
        <v>383</v>
      </c>
      <c r="C4825" s="62" t="s">
        <v>60</v>
      </c>
      <c r="D4825" s="62" t="s">
        <v>105</v>
      </c>
      <c r="E4825" s="62" t="s">
        <v>97</v>
      </c>
      <c r="F4825" s="63" t="s">
        <v>479</v>
      </c>
      <c r="G4825" s="64" t="n">
        <v>0</v>
      </c>
      <c r="H4825" s="62" t="s">
        <v>42</v>
      </c>
    </row>
    <row r="4826" customFormat="false" ht="15" hidden="false" customHeight="false" outlineLevel="0" collapsed="false">
      <c r="A4826" s="62" t="n">
        <v>1</v>
      </c>
      <c r="B4826" s="62" t="s">
        <v>384</v>
      </c>
      <c r="C4826" s="62" t="s">
        <v>60</v>
      </c>
      <c r="D4826" s="62" t="s">
        <v>105</v>
      </c>
      <c r="E4826" s="62" t="s">
        <v>97</v>
      </c>
      <c r="F4826" s="63" t="s">
        <v>479</v>
      </c>
      <c r="G4826" s="64" t="n">
        <v>0</v>
      </c>
      <c r="H4826" s="62" t="s">
        <v>42</v>
      </c>
    </row>
    <row r="4827" customFormat="false" ht="15" hidden="false" customHeight="false" outlineLevel="0" collapsed="false">
      <c r="A4827" s="62" t="n">
        <v>1</v>
      </c>
      <c r="B4827" s="62" t="s">
        <v>385</v>
      </c>
      <c r="C4827" s="62" t="s">
        <v>60</v>
      </c>
      <c r="D4827" s="62" t="s">
        <v>105</v>
      </c>
      <c r="E4827" s="62" t="s">
        <v>97</v>
      </c>
      <c r="F4827" s="63" t="s">
        <v>479</v>
      </c>
      <c r="G4827" s="64" t="n">
        <v>0</v>
      </c>
      <c r="H4827" s="62" t="s">
        <v>42</v>
      </c>
    </row>
    <row r="4828" customFormat="false" ht="15" hidden="false" customHeight="false" outlineLevel="0" collapsed="false">
      <c r="A4828" s="62" t="n">
        <v>1</v>
      </c>
      <c r="B4828" s="62" t="s">
        <v>386</v>
      </c>
      <c r="C4828" s="62" t="s">
        <v>60</v>
      </c>
      <c r="D4828" s="62" t="s">
        <v>105</v>
      </c>
      <c r="E4828" s="62" t="s">
        <v>97</v>
      </c>
      <c r="F4828" s="63" t="s">
        <v>479</v>
      </c>
      <c r="G4828" s="64" t="n">
        <v>0</v>
      </c>
      <c r="H4828" s="62" t="s">
        <v>42</v>
      </c>
    </row>
    <row r="4829" customFormat="false" ht="15" hidden="false" customHeight="false" outlineLevel="0" collapsed="false">
      <c r="A4829" s="62" t="n">
        <v>1</v>
      </c>
      <c r="B4829" s="62" t="s">
        <v>387</v>
      </c>
      <c r="C4829" s="62" t="s">
        <v>60</v>
      </c>
      <c r="D4829" s="62" t="s">
        <v>105</v>
      </c>
      <c r="E4829" s="62" t="s">
        <v>97</v>
      </c>
      <c r="F4829" s="63" t="s">
        <v>479</v>
      </c>
      <c r="G4829" s="64" t="n">
        <v>0</v>
      </c>
      <c r="H4829" s="62" t="s">
        <v>42</v>
      </c>
    </row>
    <row r="4830" customFormat="false" ht="15" hidden="false" customHeight="false" outlineLevel="0" collapsed="false">
      <c r="A4830" s="62" t="n">
        <v>1</v>
      </c>
      <c r="B4830" s="62" t="s">
        <v>388</v>
      </c>
      <c r="C4830" s="62" t="s">
        <v>60</v>
      </c>
      <c r="D4830" s="62" t="s">
        <v>105</v>
      </c>
      <c r="E4830" s="62" t="s">
        <v>97</v>
      </c>
      <c r="F4830" s="63" t="s">
        <v>479</v>
      </c>
      <c r="G4830" s="64" t="n">
        <v>0</v>
      </c>
      <c r="H4830" s="62" t="s">
        <v>42</v>
      </c>
    </row>
    <row r="4831" customFormat="false" ht="15" hidden="false" customHeight="false" outlineLevel="0" collapsed="false">
      <c r="A4831" s="62" t="n">
        <v>1</v>
      </c>
      <c r="B4831" s="62" t="s">
        <v>381</v>
      </c>
      <c r="C4831" s="62" t="s">
        <v>60</v>
      </c>
      <c r="D4831" s="62" t="s">
        <v>105</v>
      </c>
      <c r="E4831" s="62" t="s">
        <v>382</v>
      </c>
      <c r="F4831" s="63" t="s">
        <v>480</v>
      </c>
      <c r="G4831" s="64" t="n">
        <v>18.0278662588945</v>
      </c>
      <c r="H4831" s="62" t="s">
        <v>42</v>
      </c>
    </row>
    <row r="4832" customFormat="false" ht="15" hidden="false" customHeight="false" outlineLevel="0" collapsed="false">
      <c r="A4832" s="62" t="n">
        <v>1</v>
      </c>
      <c r="B4832" s="62" t="s">
        <v>383</v>
      </c>
      <c r="C4832" s="62" t="s">
        <v>60</v>
      </c>
      <c r="D4832" s="62" t="s">
        <v>105</v>
      </c>
      <c r="E4832" s="62" t="s">
        <v>382</v>
      </c>
      <c r="F4832" s="63" t="s">
        <v>480</v>
      </c>
      <c r="G4832" s="64" t="n">
        <v>15.98</v>
      </c>
      <c r="H4832" s="62" t="s">
        <v>42</v>
      </c>
    </row>
    <row r="4833" customFormat="false" ht="15" hidden="false" customHeight="false" outlineLevel="0" collapsed="false">
      <c r="A4833" s="62" t="n">
        <v>1</v>
      </c>
      <c r="B4833" s="62" t="s">
        <v>384</v>
      </c>
      <c r="C4833" s="62" t="s">
        <v>60</v>
      </c>
      <c r="D4833" s="62" t="s">
        <v>105</v>
      </c>
      <c r="E4833" s="62" t="s">
        <v>382</v>
      </c>
      <c r="F4833" s="63" t="s">
        <v>480</v>
      </c>
      <c r="G4833" s="64" t="n">
        <v>17.95</v>
      </c>
      <c r="H4833" s="62" t="s">
        <v>42</v>
      </c>
    </row>
    <row r="4834" customFormat="false" ht="15" hidden="false" customHeight="false" outlineLevel="0" collapsed="false">
      <c r="A4834" s="62" t="n">
        <v>1</v>
      </c>
      <c r="B4834" s="62" t="s">
        <v>385</v>
      </c>
      <c r="C4834" s="62" t="s">
        <v>60</v>
      </c>
      <c r="D4834" s="62" t="s">
        <v>105</v>
      </c>
      <c r="E4834" s="62" t="s">
        <v>382</v>
      </c>
      <c r="F4834" s="63" t="s">
        <v>480</v>
      </c>
      <c r="G4834" s="64" t="n">
        <v>10.53</v>
      </c>
      <c r="H4834" s="62" t="s">
        <v>42</v>
      </c>
    </row>
    <row r="4835" customFormat="false" ht="15" hidden="false" customHeight="false" outlineLevel="0" collapsed="false">
      <c r="A4835" s="62" t="n">
        <v>1</v>
      </c>
      <c r="B4835" s="62" t="s">
        <v>386</v>
      </c>
      <c r="C4835" s="62" t="s">
        <v>60</v>
      </c>
      <c r="D4835" s="62" t="s">
        <v>105</v>
      </c>
      <c r="E4835" s="62" t="s">
        <v>382</v>
      </c>
      <c r="F4835" s="63" t="s">
        <v>480</v>
      </c>
      <c r="G4835" s="64" t="n">
        <v>13.95</v>
      </c>
      <c r="H4835" s="62" t="s">
        <v>42</v>
      </c>
    </row>
    <row r="4836" customFormat="false" ht="15" hidden="false" customHeight="false" outlineLevel="0" collapsed="false">
      <c r="A4836" s="62" t="n">
        <v>1</v>
      </c>
      <c r="B4836" s="62" t="s">
        <v>387</v>
      </c>
      <c r="C4836" s="62" t="s">
        <v>60</v>
      </c>
      <c r="D4836" s="62" t="s">
        <v>105</v>
      </c>
      <c r="E4836" s="62" t="s">
        <v>382</v>
      </c>
      <c r="F4836" s="63" t="s">
        <v>480</v>
      </c>
      <c r="G4836" s="64" t="n">
        <v>13.36</v>
      </c>
      <c r="H4836" s="62" t="s">
        <v>42</v>
      </c>
    </row>
    <row r="4837" customFormat="false" ht="15" hidden="false" customHeight="false" outlineLevel="0" collapsed="false">
      <c r="A4837" s="62" t="n">
        <v>1</v>
      </c>
      <c r="B4837" s="62" t="s">
        <v>388</v>
      </c>
      <c r="C4837" s="62" t="s">
        <v>60</v>
      </c>
      <c r="D4837" s="62" t="s">
        <v>105</v>
      </c>
      <c r="E4837" s="62" t="s">
        <v>382</v>
      </c>
      <c r="F4837" s="63" t="s">
        <v>480</v>
      </c>
      <c r="G4837" s="64" t="n">
        <v>10.21</v>
      </c>
      <c r="H4837" s="62" t="s">
        <v>42</v>
      </c>
    </row>
    <row r="4838" customFormat="false" ht="15" hidden="false" customHeight="false" outlineLevel="0" collapsed="false">
      <c r="A4838" s="62" t="n">
        <v>1</v>
      </c>
      <c r="B4838" s="62" t="s">
        <v>381</v>
      </c>
      <c r="C4838" s="62" t="s">
        <v>60</v>
      </c>
      <c r="D4838" s="62" t="s">
        <v>67</v>
      </c>
      <c r="E4838" s="62" t="s">
        <v>382</v>
      </c>
      <c r="F4838" s="63" t="s">
        <v>481</v>
      </c>
      <c r="G4838" s="64" t="n">
        <v>20000</v>
      </c>
      <c r="H4838" s="62"/>
    </row>
    <row r="4839" customFormat="false" ht="15" hidden="false" customHeight="false" outlineLevel="0" collapsed="false">
      <c r="A4839" s="62" t="n">
        <v>1</v>
      </c>
      <c r="B4839" s="62" t="s">
        <v>383</v>
      </c>
      <c r="C4839" s="62" t="s">
        <v>60</v>
      </c>
      <c r="D4839" s="62" t="s">
        <v>67</v>
      </c>
      <c r="E4839" s="62" t="s">
        <v>382</v>
      </c>
      <c r="F4839" s="63" t="s">
        <v>481</v>
      </c>
      <c r="G4839" s="64" t="n">
        <v>26048</v>
      </c>
      <c r="H4839" s="62"/>
    </row>
    <row r="4840" customFormat="false" ht="15" hidden="false" customHeight="false" outlineLevel="0" collapsed="false">
      <c r="A4840" s="62" t="n">
        <v>1</v>
      </c>
      <c r="B4840" s="62" t="s">
        <v>384</v>
      </c>
      <c r="C4840" s="62" t="s">
        <v>60</v>
      </c>
      <c r="D4840" s="62" t="s">
        <v>67</v>
      </c>
      <c r="E4840" s="62" t="s">
        <v>382</v>
      </c>
      <c r="F4840" s="63" t="s">
        <v>481</v>
      </c>
      <c r="G4840" s="64" t="n">
        <v>23000</v>
      </c>
      <c r="H4840" s="62"/>
    </row>
    <row r="4841" customFormat="false" ht="15" hidden="false" customHeight="false" outlineLevel="0" collapsed="false">
      <c r="A4841" s="62" t="n">
        <v>1</v>
      </c>
      <c r="B4841" s="62" t="s">
        <v>385</v>
      </c>
      <c r="C4841" s="62" t="s">
        <v>60</v>
      </c>
      <c r="D4841" s="62" t="s">
        <v>67</v>
      </c>
      <c r="E4841" s="62" t="s">
        <v>382</v>
      </c>
      <c r="F4841" s="63" t="s">
        <v>481</v>
      </c>
      <c r="G4841" s="64" t="n">
        <v>22000</v>
      </c>
      <c r="H4841" s="62"/>
    </row>
    <row r="4842" customFormat="false" ht="15" hidden="false" customHeight="false" outlineLevel="0" collapsed="false">
      <c r="A4842" s="62" t="n">
        <v>1</v>
      </c>
      <c r="B4842" s="62" t="s">
        <v>386</v>
      </c>
      <c r="C4842" s="62" t="s">
        <v>60</v>
      </c>
      <c r="D4842" s="62" t="s">
        <v>67</v>
      </c>
      <c r="E4842" s="62" t="s">
        <v>382</v>
      </c>
      <c r="F4842" s="63" t="s">
        <v>481</v>
      </c>
      <c r="G4842" s="64" t="n">
        <v>24500</v>
      </c>
      <c r="H4842" s="62"/>
    </row>
    <row r="4843" customFormat="false" ht="15" hidden="false" customHeight="false" outlineLevel="0" collapsed="false">
      <c r="A4843" s="62" t="n">
        <v>1</v>
      </c>
      <c r="B4843" s="62" t="s">
        <v>387</v>
      </c>
      <c r="C4843" s="62" t="s">
        <v>60</v>
      </c>
      <c r="D4843" s="62" t="s">
        <v>67</v>
      </c>
      <c r="E4843" s="62" t="s">
        <v>382</v>
      </c>
      <c r="F4843" s="63" t="s">
        <v>481</v>
      </c>
      <c r="G4843" s="64" t="n">
        <v>27000</v>
      </c>
      <c r="H4843" s="62"/>
    </row>
    <row r="4844" customFormat="false" ht="15" hidden="false" customHeight="false" outlineLevel="0" collapsed="false">
      <c r="A4844" s="62" t="n">
        <v>1</v>
      </c>
      <c r="B4844" s="62" t="s">
        <v>388</v>
      </c>
      <c r="C4844" s="62" t="s">
        <v>60</v>
      </c>
      <c r="D4844" s="62" t="s">
        <v>67</v>
      </c>
      <c r="E4844" s="62" t="s">
        <v>382</v>
      </c>
      <c r="F4844" s="63" t="s">
        <v>481</v>
      </c>
      <c r="G4844" s="64" t="n">
        <v>21690</v>
      </c>
      <c r="H4844" s="62"/>
    </row>
    <row r="4845" customFormat="false" ht="15" hidden="false" customHeight="false" outlineLevel="0" collapsed="false">
      <c r="A4845" s="62" t="n">
        <v>1</v>
      </c>
      <c r="B4845" s="62" t="s">
        <v>381</v>
      </c>
      <c r="C4845" s="62" t="s">
        <v>60</v>
      </c>
      <c r="D4845" s="62" t="s">
        <v>67</v>
      </c>
      <c r="E4845" s="62" t="s">
        <v>382</v>
      </c>
      <c r="F4845" s="63" t="s">
        <v>482</v>
      </c>
      <c r="G4845" s="64" t="n">
        <v>6</v>
      </c>
      <c r="H4845" s="62"/>
    </row>
    <row r="4846" customFormat="false" ht="15" hidden="false" customHeight="false" outlineLevel="0" collapsed="false">
      <c r="A4846" s="62" t="n">
        <v>1</v>
      </c>
      <c r="B4846" s="62" t="s">
        <v>383</v>
      </c>
      <c r="C4846" s="62" t="s">
        <v>60</v>
      </c>
      <c r="D4846" s="62" t="s">
        <v>67</v>
      </c>
      <c r="E4846" s="62" t="s">
        <v>382</v>
      </c>
      <c r="F4846" s="63" t="s">
        <v>482</v>
      </c>
      <c r="G4846" s="64" t="n">
        <v>6</v>
      </c>
      <c r="H4846" s="62"/>
    </row>
    <row r="4847" customFormat="false" ht="15" hidden="false" customHeight="false" outlineLevel="0" collapsed="false">
      <c r="A4847" s="62" t="n">
        <v>1</v>
      </c>
      <c r="B4847" s="62" t="s">
        <v>384</v>
      </c>
      <c r="C4847" s="62" t="s">
        <v>60</v>
      </c>
      <c r="D4847" s="62" t="s">
        <v>67</v>
      </c>
      <c r="E4847" s="62" t="s">
        <v>382</v>
      </c>
      <c r="F4847" s="63" t="s">
        <v>482</v>
      </c>
      <c r="G4847" s="64" t="n">
        <v>5</v>
      </c>
      <c r="H4847" s="62"/>
    </row>
    <row r="4848" customFormat="false" ht="15" hidden="false" customHeight="false" outlineLevel="0" collapsed="false">
      <c r="A4848" s="62" t="n">
        <v>1</v>
      </c>
      <c r="B4848" s="62" t="s">
        <v>385</v>
      </c>
      <c r="C4848" s="62" t="s">
        <v>60</v>
      </c>
      <c r="D4848" s="62" t="s">
        <v>67</v>
      </c>
      <c r="E4848" s="62" t="s">
        <v>382</v>
      </c>
      <c r="F4848" s="63" t="s">
        <v>482</v>
      </c>
      <c r="G4848" s="64" t="n">
        <v>6</v>
      </c>
      <c r="H4848" s="62"/>
    </row>
    <row r="4849" customFormat="false" ht="15" hidden="false" customHeight="false" outlineLevel="0" collapsed="false">
      <c r="A4849" s="62" t="n">
        <v>1</v>
      </c>
      <c r="B4849" s="62" t="s">
        <v>386</v>
      </c>
      <c r="C4849" s="62" t="s">
        <v>60</v>
      </c>
      <c r="D4849" s="62" t="s">
        <v>67</v>
      </c>
      <c r="E4849" s="62" t="s">
        <v>382</v>
      </c>
      <c r="F4849" s="63" t="s">
        <v>482</v>
      </c>
      <c r="G4849" s="64" t="n">
        <v>6</v>
      </c>
      <c r="H4849" s="62"/>
    </row>
    <row r="4850" customFormat="false" ht="15" hidden="false" customHeight="false" outlineLevel="0" collapsed="false">
      <c r="A4850" s="62" t="n">
        <v>1</v>
      </c>
      <c r="B4850" s="62" t="s">
        <v>387</v>
      </c>
      <c r="C4850" s="62" t="s">
        <v>60</v>
      </c>
      <c r="D4850" s="62" t="s">
        <v>67</v>
      </c>
      <c r="E4850" s="62" t="s">
        <v>382</v>
      </c>
      <c r="F4850" s="63" t="s">
        <v>482</v>
      </c>
      <c r="G4850" s="64" t="n">
        <v>6</v>
      </c>
      <c r="H4850" s="62"/>
    </row>
    <row r="4851" customFormat="false" ht="15" hidden="false" customHeight="false" outlineLevel="0" collapsed="false">
      <c r="A4851" s="62" t="n">
        <v>1</v>
      </c>
      <c r="B4851" s="62" t="s">
        <v>388</v>
      </c>
      <c r="C4851" s="62" t="s">
        <v>60</v>
      </c>
      <c r="D4851" s="62" t="s">
        <v>67</v>
      </c>
      <c r="E4851" s="62" t="s">
        <v>382</v>
      </c>
      <c r="F4851" s="63" t="s">
        <v>482</v>
      </c>
      <c r="G4851" s="64" t="n">
        <v>7</v>
      </c>
      <c r="H4851" s="62"/>
    </row>
    <row r="4852" customFormat="false" ht="15" hidden="false" customHeight="false" outlineLevel="0" collapsed="false">
      <c r="A4852" s="62" t="n">
        <v>1</v>
      </c>
      <c r="B4852" s="62" t="s">
        <v>381</v>
      </c>
      <c r="C4852" s="62" t="s">
        <v>60</v>
      </c>
      <c r="D4852" s="62" t="s">
        <v>67</v>
      </c>
      <c r="E4852" s="62" t="s">
        <v>382</v>
      </c>
      <c r="F4852" s="63" t="s">
        <v>483</v>
      </c>
      <c r="G4852" s="64" t="s">
        <v>44</v>
      </c>
      <c r="H4852" s="62"/>
    </row>
    <row r="4853" customFormat="false" ht="15" hidden="false" customHeight="false" outlineLevel="0" collapsed="false">
      <c r="A4853" s="62" t="n">
        <v>1</v>
      </c>
      <c r="B4853" s="62" t="s">
        <v>383</v>
      </c>
      <c r="C4853" s="62" t="s">
        <v>60</v>
      </c>
      <c r="D4853" s="62" t="s">
        <v>67</v>
      </c>
      <c r="E4853" s="62" t="s">
        <v>382</v>
      </c>
      <c r="F4853" s="63" t="s">
        <v>483</v>
      </c>
      <c r="G4853" s="64" t="s">
        <v>35</v>
      </c>
      <c r="H4853" s="62"/>
    </row>
    <row r="4854" customFormat="false" ht="15" hidden="false" customHeight="false" outlineLevel="0" collapsed="false">
      <c r="A4854" s="62" t="n">
        <v>1</v>
      </c>
      <c r="B4854" s="62" t="s">
        <v>384</v>
      </c>
      <c r="C4854" s="62" t="s">
        <v>60</v>
      </c>
      <c r="D4854" s="62" t="s">
        <v>67</v>
      </c>
      <c r="E4854" s="62" t="s">
        <v>382</v>
      </c>
      <c r="F4854" s="63" t="s">
        <v>483</v>
      </c>
      <c r="G4854" s="64" t="s">
        <v>44</v>
      </c>
      <c r="H4854" s="62"/>
    </row>
    <row r="4855" customFormat="false" ht="15" hidden="false" customHeight="false" outlineLevel="0" collapsed="false">
      <c r="A4855" s="62" t="n">
        <v>1</v>
      </c>
      <c r="B4855" s="62" t="s">
        <v>385</v>
      </c>
      <c r="C4855" s="62" t="s">
        <v>60</v>
      </c>
      <c r="D4855" s="62" t="s">
        <v>67</v>
      </c>
      <c r="E4855" s="62" t="s">
        <v>382</v>
      </c>
      <c r="F4855" s="63" t="s">
        <v>483</v>
      </c>
      <c r="G4855" s="64" t="s">
        <v>44</v>
      </c>
      <c r="H4855" s="62"/>
    </row>
    <row r="4856" customFormat="false" ht="15" hidden="false" customHeight="false" outlineLevel="0" collapsed="false">
      <c r="A4856" s="62" t="n">
        <v>1</v>
      </c>
      <c r="B4856" s="62" t="s">
        <v>386</v>
      </c>
      <c r="C4856" s="62" t="s">
        <v>60</v>
      </c>
      <c r="D4856" s="62" t="s">
        <v>67</v>
      </c>
      <c r="E4856" s="62" t="s">
        <v>382</v>
      </c>
      <c r="F4856" s="63" t="s">
        <v>483</v>
      </c>
      <c r="G4856" s="64" t="s">
        <v>35</v>
      </c>
      <c r="H4856" s="62"/>
    </row>
    <row r="4857" customFormat="false" ht="15" hidden="false" customHeight="false" outlineLevel="0" collapsed="false">
      <c r="A4857" s="62" t="n">
        <v>1</v>
      </c>
      <c r="B4857" s="62" t="s">
        <v>387</v>
      </c>
      <c r="C4857" s="62" t="s">
        <v>60</v>
      </c>
      <c r="D4857" s="62" t="s">
        <v>67</v>
      </c>
      <c r="E4857" s="62" t="s">
        <v>382</v>
      </c>
      <c r="F4857" s="63" t="s">
        <v>483</v>
      </c>
      <c r="G4857" s="64" t="s">
        <v>35</v>
      </c>
      <c r="H4857" s="62"/>
    </row>
    <row r="4858" customFormat="false" ht="15" hidden="false" customHeight="false" outlineLevel="0" collapsed="false">
      <c r="A4858" s="62" t="n">
        <v>1</v>
      </c>
      <c r="B4858" s="62" t="s">
        <v>388</v>
      </c>
      <c r="C4858" s="62" t="s">
        <v>60</v>
      </c>
      <c r="D4858" s="62" t="s">
        <v>67</v>
      </c>
      <c r="E4858" s="62" t="s">
        <v>382</v>
      </c>
      <c r="F4858" s="63" t="s">
        <v>483</v>
      </c>
      <c r="G4858" s="64" t="s">
        <v>35</v>
      </c>
      <c r="H4858" s="62"/>
    </row>
    <row r="4859" customFormat="false" ht="15" hidden="false" customHeight="false" outlineLevel="0" collapsed="false">
      <c r="A4859" s="62" t="n">
        <v>1</v>
      </c>
      <c r="B4859" s="62" t="s">
        <v>381</v>
      </c>
      <c r="C4859" s="62" t="s">
        <v>60</v>
      </c>
      <c r="D4859" s="62" t="s">
        <v>67</v>
      </c>
      <c r="E4859" s="62" t="s">
        <v>382</v>
      </c>
      <c r="F4859" s="63" t="s">
        <v>484</v>
      </c>
      <c r="G4859" s="64" t="n">
        <v>667.398</v>
      </c>
      <c r="H4859" s="62"/>
    </row>
    <row r="4860" customFormat="false" ht="15" hidden="false" customHeight="false" outlineLevel="0" collapsed="false">
      <c r="A4860" s="62" t="n">
        <v>1</v>
      </c>
      <c r="B4860" s="62" t="s">
        <v>383</v>
      </c>
      <c r="C4860" s="62" t="s">
        <v>60</v>
      </c>
      <c r="D4860" s="62" t="s">
        <v>67</v>
      </c>
      <c r="E4860" s="62" t="s">
        <v>382</v>
      </c>
      <c r="F4860" s="63" t="s">
        <v>484</v>
      </c>
      <c r="G4860" s="64" t="n">
        <v>519.932</v>
      </c>
      <c r="H4860" s="62"/>
    </row>
    <row r="4861" customFormat="false" ht="15" hidden="false" customHeight="false" outlineLevel="0" collapsed="false">
      <c r="A4861" s="62" t="n">
        <v>1</v>
      </c>
      <c r="B4861" s="62" t="s">
        <v>384</v>
      </c>
      <c r="C4861" s="62" t="s">
        <v>60</v>
      </c>
      <c r="D4861" s="62" t="s">
        <v>67</v>
      </c>
      <c r="E4861" s="62" t="s">
        <v>382</v>
      </c>
      <c r="F4861" s="63" t="s">
        <v>484</v>
      </c>
      <c r="G4861" s="64" t="n">
        <v>560.885</v>
      </c>
      <c r="H4861" s="62"/>
    </row>
    <row r="4862" customFormat="false" ht="15" hidden="false" customHeight="false" outlineLevel="0" collapsed="false">
      <c r="A4862" s="62" t="n">
        <v>1</v>
      </c>
      <c r="B4862" s="62" t="s">
        <v>385</v>
      </c>
      <c r="C4862" s="62" t="s">
        <v>60</v>
      </c>
      <c r="D4862" s="62" t="s">
        <v>67</v>
      </c>
      <c r="E4862" s="62" t="s">
        <v>382</v>
      </c>
      <c r="F4862" s="63" t="s">
        <v>484</v>
      </c>
      <c r="G4862" s="64" t="n">
        <v>574.361</v>
      </c>
      <c r="H4862" s="62"/>
    </row>
    <row r="4863" customFormat="false" ht="15" hidden="false" customHeight="false" outlineLevel="0" collapsed="false">
      <c r="A4863" s="62" t="n">
        <v>1</v>
      </c>
      <c r="B4863" s="62" t="s">
        <v>386</v>
      </c>
      <c r="C4863" s="62" t="s">
        <v>60</v>
      </c>
      <c r="D4863" s="62" t="s">
        <v>67</v>
      </c>
      <c r="E4863" s="62" t="s">
        <v>382</v>
      </c>
      <c r="F4863" s="63" t="s">
        <v>484</v>
      </c>
      <c r="G4863" s="64" t="n">
        <v>787.15</v>
      </c>
      <c r="H4863" s="62"/>
    </row>
    <row r="4864" customFormat="false" ht="15" hidden="false" customHeight="false" outlineLevel="0" collapsed="false">
      <c r="A4864" s="62" t="n">
        <v>1</v>
      </c>
      <c r="B4864" s="62" t="s">
        <v>387</v>
      </c>
      <c r="C4864" s="62" t="s">
        <v>60</v>
      </c>
      <c r="D4864" s="62" t="s">
        <v>67</v>
      </c>
      <c r="E4864" s="62" t="s">
        <v>382</v>
      </c>
      <c r="F4864" s="63" t="s">
        <v>484</v>
      </c>
      <c r="G4864" s="64" t="n">
        <v>320.324</v>
      </c>
      <c r="H4864" s="62"/>
    </row>
    <row r="4865" customFormat="false" ht="15" hidden="false" customHeight="false" outlineLevel="0" collapsed="false">
      <c r="A4865" s="62" t="n">
        <v>1</v>
      </c>
      <c r="B4865" s="62" t="s">
        <v>388</v>
      </c>
      <c r="C4865" s="62" t="s">
        <v>60</v>
      </c>
      <c r="D4865" s="62" t="s">
        <v>67</v>
      </c>
      <c r="E4865" s="62" t="s">
        <v>382</v>
      </c>
      <c r="F4865" s="63" t="s">
        <v>484</v>
      </c>
      <c r="G4865" s="64" t="n">
        <v>716.8</v>
      </c>
      <c r="H4865" s="62"/>
    </row>
    <row r="4866" customFormat="false" ht="15" hidden="false" customHeight="false" outlineLevel="0" collapsed="false">
      <c r="A4866" s="62" t="n">
        <v>1</v>
      </c>
      <c r="B4866" s="62" t="s">
        <v>381</v>
      </c>
      <c r="C4866" s="62" t="s">
        <v>60</v>
      </c>
      <c r="D4866" s="62" t="s">
        <v>67</v>
      </c>
      <c r="E4866" s="62" t="s">
        <v>382</v>
      </c>
      <c r="F4866" s="63" t="s">
        <v>485</v>
      </c>
      <c r="G4866" s="64" t="n">
        <v>667.398</v>
      </c>
      <c r="H4866" s="62"/>
    </row>
    <row r="4867" customFormat="false" ht="15" hidden="false" customHeight="false" outlineLevel="0" collapsed="false">
      <c r="A4867" s="62" t="n">
        <v>1</v>
      </c>
      <c r="B4867" s="62" t="s">
        <v>383</v>
      </c>
      <c r="C4867" s="62" t="s">
        <v>60</v>
      </c>
      <c r="D4867" s="62" t="s">
        <v>67</v>
      </c>
      <c r="E4867" s="62" t="s">
        <v>382</v>
      </c>
      <c r="F4867" s="63" t="s">
        <v>485</v>
      </c>
      <c r="G4867" s="64" t="n">
        <v>519.932</v>
      </c>
      <c r="H4867" s="62"/>
    </row>
    <row r="4868" customFormat="false" ht="15" hidden="false" customHeight="false" outlineLevel="0" collapsed="false">
      <c r="A4868" s="62" t="n">
        <v>1</v>
      </c>
      <c r="B4868" s="62" t="s">
        <v>384</v>
      </c>
      <c r="C4868" s="62" t="s">
        <v>60</v>
      </c>
      <c r="D4868" s="62" t="s">
        <v>67</v>
      </c>
      <c r="E4868" s="62" t="s">
        <v>382</v>
      </c>
      <c r="F4868" s="63" t="s">
        <v>485</v>
      </c>
      <c r="G4868" s="64" t="n">
        <v>560.885</v>
      </c>
      <c r="H4868" s="62"/>
    </row>
    <row r="4869" customFormat="false" ht="15" hidden="false" customHeight="false" outlineLevel="0" collapsed="false">
      <c r="A4869" s="62" t="n">
        <v>1</v>
      </c>
      <c r="B4869" s="62" t="s">
        <v>385</v>
      </c>
      <c r="C4869" s="62" t="s">
        <v>60</v>
      </c>
      <c r="D4869" s="62" t="s">
        <v>67</v>
      </c>
      <c r="E4869" s="62" t="s">
        <v>382</v>
      </c>
      <c r="F4869" s="63" t="s">
        <v>485</v>
      </c>
      <c r="G4869" s="64" t="n">
        <v>574.361</v>
      </c>
      <c r="H4869" s="62"/>
    </row>
    <row r="4870" customFormat="false" ht="15" hidden="false" customHeight="false" outlineLevel="0" collapsed="false">
      <c r="A4870" s="62" t="n">
        <v>1</v>
      </c>
      <c r="B4870" s="62" t="s">
        <v>386</v>
      </c>
      <c r="C4870" s="62" t="s">
        <v>60</v>
      </c>
      <c r="D4870" s="62" t="s">
        <v>67</v>
      </c>
      <c r="E4870" s="62" t="s">
        <v>382</v>
      </c>
      <c r="F4870" s="63" t="s">
        <v>485</v>
      </c>
      <c r="G4870" s="64" t="n">
        <v>806.001</v>
      </c>
      <c r="H4870" s="62"/>
    </row>
    <row r="4871" customFormat="false" ht="15" hidden="false" customHeight="false" outlineLevel="0" collapsed="false">
      <c r="A4871" s="62" t="n">
        <v>1</v>
      </c>
      <c r="B4871" s="62" t="s">
        <v>387</v>
      </c>
      <c r="C4871" s="62" t="s">
        <v>60</v>
      </c>
      <c r="D4871" s="62" t="s">
        <v>67</v>
      </c>
      <c r="E4871" s="62" t="s">
        <v>382</v>
      </c>
      <c r="F4871" s="63" t="s">
        <v>485</v>
      </c>
      <c r="G4871" s="64" t="n">
        <v>320.324</v>
      </c>
      <c r="H4871" s="62"/>
    </row>
    <row r="4872" customFormat="false" ht="15" hidden="false" customHeight="false" outlineLevel="0" collapsed="false">
      <c r="A4872" s="62" t="n">
        <v>1</v>
      </c>
      <c r="B4872" s="62" t="s">
        <v>388</v>
      </c>
      <c r="C4872" s="62" t="s">
        <v>60</v>
      </c>
      <c r="D4872" s="62" t="s">
        <v>67</v>
      </c>
      <c r="E4872" s="62" t="s">
        <v>382</v>
      </c>
      <c r="F4872" s="63" t="s">
        <v>485</v>
      </c>
      <c r="G4872" s="64" t="n">
        <v>754.822</v>
      </c>
      <c r="H4872" s="62"/>
    </row>
    <row r="4873" customFormat="false" ht="15" hidden="false" customHeight="false" outlineLevel="0" collapsed="false">
      <c r="A4873" s="62" t="n">
        <v>1</v>
      </c>
      <c r="B4873" s="62" t="s">
        <v>381</v>
      </c>
      <c r="C4873" s="62" t="s">
        <v>60</v>
      </c>
      <c r="D4873" s="62" t="s">
        <v>67</v>
      </c>
      <c r="E4873" s="62" t="s">
        <v>382</v>
      </c>
      <c r="F4873" s="63" t="s">
        <v>751</v>
      </c>
      <c r="G4873" s="64" t="n">
        <v>25900</v>
      </c>
      <c r="H4873" s="62"/>
    </row>
    <row r="4874" customFormat="false" ht="15" hidden="false" customHeight="false" outlineLevel="0" collapsed="false">
      <c r="A4874" s="62" t="n">
        <v>1</v>
      </c>
      <c r="B4874" s="62" t="s">
        <v>383</v>
      </c>
      <c r="C4874" s="62" t="s">
        <v>60</v>
      </c>
      <c r="D4874" s="62" t="s">
        <v>67</v>
      </c>
      <c r="E4874" s="62" t="s">
        <v>382</v>
      </c>
      <c r="F4874" s="63" t="s">
        <v>751</v>
      </c>
      <c r="G4874" s="64" t="n">
        <v>36737</v>
      </c>
      <c r="H4874" s="62"/>
    </row>
    <row r="4875" customFormat="false" ht="15" hidden="false" customHeight="false" outlineLevel="0" collapsed="false">
      <c r="A4875" s="62" t="n">
        <v>1</v>
      </c>
      <c r="B4875" s="62" t="s">
        <v>387</v>
      </c>
      <c r="C4875" s="62" t="s">
        <v>60</v>
      </c>
      <c r="D4875" s="62" t="s">
        <v>67</v>
      </c>
      <c r="E4875" s="62" t="s">
        <v>382</v>
      </c>
      <c r="F4875" s="63" t="s">
        <v>751</v>
      </c>
      <c r="G4875" s="64" t="n">
        <v>34000</v>
      </c>
      <c r="H4875" s="62"/>
    </row>
    <row r="4876" customFormat="false" ht="15" hidden="false" customHeight="false" outlineLevel="0" collapsed="false">
      <c r="A4876" s="62" t="n">
        <v>1</v>
      </c>
      <c r="B4876" s="62" t="s">
        <v>388</v>
      </c>
      <c r="C4876" s="62" t="s">
        <v>60</v>
      </c>
      <c r="D4876" s="62" t="s">
        <v>67</v>
      </c>
      <c r="E4876" s="62" t="s">
        <v>382</v>
      </c>
      <c r="F4876" s="63" t="s">
        <v>751</v>
      </c>
      <c r="G4876" s="64" t="n">
        <v>28626</v>
      </c>
      <c r="H4876" s="62"/>
    </row>
    <row r="4877" customFormat="false" ht="15" hidden="false" customHeight="false" outlineLevel="0" collapsed="false">
      <c r="A4877" s="62" t="n">
        <v>1</v>
      </c>
      <c r="B4877" s="62" t="s">
        <v>381</v>
      </c>
      <c r="C4877" s="62" t="s">
        <v>60</v>
      </c>
      <c r="D4877" s="62" t="s">
        <v>67</v>
      </c>
      <c r="E4877" s="62" t="s">
        <v>382</v>
      </c>
      <c r="F4877" s="63" t="s">
        <v>752</v>
      </c>
      <c r="G4877" s="64" t="n">
        <v>1</v>
      </c>
      <c r="H4877" s="62"/>
    </row>
    <row r="4878" customFormat="false" ht="15" hidden="false" customHeight="false" outlineLevel="0" collapsed="false">
      <c r="A4878" s="62" t="n">
        <v>1</v>
      </c>
      <c r="B4878" s="62" t="s">
        <v>383</v>
      </c>
      <c r="C4878" s="62" t="s">
        <v>60</v>
      </c>
      <c r="D4878" s="62" t="s">
        <v>67</v>
      </c>
      <c r="E4878" s="62" t="s">
        <v>382</v>
      </c>
      <c r="F4878" s="63" t="s">
        <v>752</v>
      </c>
      <c r="G4878" s="64" t="n">
        <v>3</v>
      </c>
      <c r="H4878" s="62"/>
    </row>
    <row r="4879" customFormat="false" ht="15" hidden="false" customHeight="false" outlineLevel="0" collapsed="false">
      <c r="A4879" s="62" t="n">
        <v>1</v>
      </c>
      <c r="B4879" s="62" t="s">
        <v>387</v>
      </c>
      <c r="C4879" s="62" t="s">
        <v>60</v>
      </c>
      <c r="D4879" s="62" t="s">
        <v>67</v>
      </c>
      <c r="E4879" s="62" t="s">
        <v>382</v>
      </c>
      <c r="F4879" s="63" t="s">
        <v>752</v>
      </c>
      <c r="G4879" s="64" t="n">
        <v>4</v>
      </c>
      <c r="H4879" s="62"/>
    </row>
    <row r="4880" customFormat="false" ht="15" hidden="false" customHeight="false" outlineLevel="0" collapsed="false">
      <c r="A4880" s="62" t="n">
        <v>1</v>
      </c>
      <c r="B4880" s="62" t="s">
        <v>388</v>
      </c>
      <c r="C4880" s="62" t="s">
        <v>60</v>
      </c>
      <c r="D4880" s="62" t="s">
        <v>67</v>
      </c>
      <c r="E4880" s="62" t="s">
        <v>382</v>
      </c>
      <c r="F4880" s="63" t="s">
        <v>752</v>
      </c>
      <c r="G4880" s="64" t="n">
        <v>2</v>
      </c>
      <c r="H4880" s="62"/>
    </row>
    <row r="4881" customFormat="false" ht="15" hidden="false" customHeight="false" outlineLevel="0" collapsed="false">
      <c r="A4881" s="62" t="n">
        <v>1</v>
      </c>
      <c r="B4881" s="62" t="s">
        <v>381</v>
      </c>
      <c r="C4881" s="62" t="s">
        <v>60</v>
      </c>
      <c r="D4881" s="62" t="s">
        <v>67</v>
      </c>
      <c r="E4881" s="62" t="s">
        <v>382</v>
      </c>
      <c r="F4881" s="63" t="s">
        <v>753</v>
      </c>
      <c r="G4881" s="64" t="n">
        <v>243.325</v>
      </c>
      <c r="H4881" s="62"/>
    </row>
    <row r="4882" customFormat="false" ht="15" hidden="false" customHeight="false" outlineLevel="0" collapsed="false">
      <c r="A4882" s="62" t="n">
        <v>1</v>
      </c>
      <c r="B4882" s="62" t="s">
        <v>383</v>
      </c>
      <c r="C4882" s="62" t="s">
        <v>60</v>
      </c>
      <c r="D4882" s="62" t="s">
        <v>67</v>
      </c>
      <c r="E4882" s="62" t="s">
        <v>382</v>
      </c>
      <c r="F4882" s="63" t="s">
        <v>753</v>
      </c>
      <c r="G4882" s="64" t="n">
        <v>214.2</v>
      </c>
      <c r="H4882" s="62"/>
    </row>
    <row r="4883" customFormat="false" ht="15" hidden="false" customHeight="false" outlineLevel="0" collapsed="false">
      <c r="A4883" s="62" t="n">
        <v>1</v>
      </c>
      <c r="B4883" s="62" t="s">
        <v>387</v>
      </c>
      <c r="C4883" s="62" t="s">
        <v>60</v>
      </c>
      <c r="D4883" s="62" t="s">
        <v>67</v>
      </c>
      <c r="E4883" s="62" t="s">
        <v>382</v>
      </c>
      <c r="F4883" s="63" t="s">
        <v>753</v>
      </c>
      <c r="G4883" s="64" t="n">
        <v>244.981</v>
      </c>
      <c r="H4883" s="62"/>
    </row>
    <row r="4884" customFormat="false" ht="15" hidden="false" customHeight="false" outlineLevel="0" collapsed="false">
      <c r="A4884" s="62" t="n">
        <v>1</v>
      </c>
      <c r="B4884" s="62" t="s">
        <v>388</v>
      </c>
      <c r="C4884" s="62" t="s">
        <v>60</v>
      </c>
      <c r="D4884" s="62" t="s">
        <v>67</v>
      </c>
      <c r="E4884" s="62" t="s">
        <v>382</v>
      </c>
      <c r="F4884" s="63" t="s">
        <v>753</v>
      </c>
      <c r="G4884" s="64" t="n">
        <v>168</v>
      </c>
      <c r="H4884" s="62"/>
    </row>
    <row r="4885" customFormat="false" ht="15" hidden="false" customHeight="false" outlineLevel="0" collapsed="false">
      <c r="A4885" s="62" t="n">
        <v>1</v>
      </c>
      <c r="B4885" s="62" t="s">
        <v>381</v>
      </c>
      <c r="C4885" s="62" t="s">
        <v>60</v>
      </c>
      <c r="D4885" s="62" t="s">
        <v>67</v>
      </c>
      <c r="E4885" s="62" t="s">
        <v>382</v>
      </c>
      <c r="F4885" s="63" t="s">
        <v>754</v>
      </c>
      <c r="G4885" s="64" t="n">
        <v>243.325</v>
      </c>
      <c r="H4885" s="62"/>
    </row>
    <row r="4886" customFormat="false" ht="15" hidden="false" customHeight="false" outlineLevel="0" collapsed="false">
      <c r="A4886" s="62" t="n">
        <v>1</v>
      </c>
      <c r="B4886" s="62" t="s">
        <v>383</v>
      </c>
      <c r="C4886" s="62" t="s">
        <v>60</v>
      </c>
      <c r="D4886" s="62" t="s">
        <v>67</v>
      </c>
      <c r="E4886" s="62" t="s">
        <v>382</v>
      </c>
      <c r="F4886" s="63" t="s">
        <v>754</v>
      </c>
      <c r="G4886" s="64" t="n">
        <v>220.744</v>
      </c>
      <c r="H4886" s="62"/>
    </row>
    <row r="4887" customFormat="false" ht="15" hidden="false" customHeight="false" outlineLevel="0" collapsed="false">
      <c r="A4887" s="62" t="n">
        <v>1</v>
      </c>
      <c r="B4887" s="62" t="s">
        <v>387</v>
      </c>
      <c r="C4887" s="62" t="s">
        <v>60</v>
      </c>
      <c r="D4887" s="62" t="s">
        <v>67</v>
      </c>
      <c r="E4887" s="62" t="s">
        <v>382</v>
      </c>
      <c r="F4887" s="63" t="s">
        <v>754</v>
      </c>
      <c r="G4887" s="64" t="n">
        <v>244.981</v>
      </c>
      <c r="H4887" s="62"/>
    </row>
    <row r="4888" customFormat="false" ht="15" hidden="false" customHeight="false" outlineLevel="0" collapsed="false">
      <c r="A4888" s="62" t="n">
        <v>1</v>
      </c>
      <c r="B4888" s="62" t="s">
        <v>388</v>
      </c>
      <c r="C4888" s="62" t="s">
        <v>60</v>
      </c>
      <c r="D4888" s="62" t="s">
        <v>67</v>
      </c>
      <c r="E4888" s="62" t="s">
        <v>382</v>
      </c>
      <c r="F4888" s="63" t="s">
        <v>754</v>
      </c>
      <c r="G4888" s="64" t="n">
        <v>280.186</v>
      </c>
      <c r="H4888" s="62"/>
    </row>
    <row r="4889" customFormat="false" ht="15" hidden="false" customHeight="false" outlineLevel="0" collapsed="false">
      <c r="A4889" s="62" t="n">
        <v>1</v>
      </c>
      <c r="B4889" s="62" t="s">
        <v>381</v>
      </c>
      <c r="C4889" s="62" t="s">
        <v>60</v>
      </c>
      <c r="D4889" s="62" t="s">
        <v>67</v>
      </c>
      <c r="E4889" s="62" t="s">
        <v>92</v>
      </c>
      <c r="F4889" s="63" t="s">
        <v>479</v>
      </c>
      <c r="G4889" s="64" t="n">
        <v>16.0940985610149</v>
      </c>
      <c r="H4889" s="62" t="s">
        <v>42</v>
      </c>
    </row>
    <row r="4890" customFormat="false" ht="15" hidden="false" customHeight="false" outlineLevel="0" collapsed="false">
      <c r="A4890" s="62" t="n">
        <v>1</v>
      </c>
      <c r="B4890" s="62" t="s">
        <v>383</v>
      </c>
      <c r="C4890" s="62" t="s">
        <v>60</v>
      </c>
      <c r="D4890" s="62" t="s">
        <v>67</v>
      </c>
      <c r="E4890" s="62" t="s">
        <v>92</v>
      </c>
      <c r="F4890" s="63" t="s">
        <v>479</v>
      </c>
      <c r="G4890" s="64" t="n">
        <v>12.5379917789238</v>
      </c>
      <c r="H4890" s="62" t="s">
        <v>42</v>
      </c>
    </row>
    <row r="4891" customFormat="false" ht="15" hidden="false" customHeight="false" outlineLevel="0" collapsed="false">
      <c r="A4891" s="62" t="n">
        <v>1</v>
      </c>
      <c r="B4891" s="62" t="s">
        <v>384</v>
      </c>
      <c r="C4891" s="62" t="s">
        <v>60</v>
      </c>
      <c r="D4891" s="62" t="s">
        <v>67</v>
      </c>
      <c r="E4891" s="62" t="s">
        <v>92</v>
      </c>
      <c r="F4891" s="63" t="s">
        <v>479</v>
      </c>
      <c r="G4891" s="64" t="n">
        <v>13.5255784877575</v>
      </c>
      <c r="H4891" s="62" t="s">
        <v>42</v>
      </c>
    </row>
    <row r="4892" customFormat="false" ht="15" hidden="false" customHeight="false" outlineLevel="0" collapsed="false">
      <c r="A4892" s="62" t="n">
        <v>1</v>
      </c>
      <c r="B4892" s="62" t="s">
        <v>385</v>
      </c>
      <c r="C4892" s="62" t="s">
        <v>60</v>
      </c>
      <c r="D4892" s="62" t="s">
        <v>67</v>
      </c>
      <c r="E4892" s="62" t="s">
        <v>92</v>
      </c>
      <c r="F4892" s="63" t="s">
        <v>479</v>
      </c>
      <c r="G4892" s="64" t="n">
        <v>13.8505345208318</v>
      </c>
      <c r="H4892" s="62" t="s">
        <v>42</v>
      </c>
    </row>
    <row r="4893" customFormat="false" ht="15" hidden="false" customHeight="false" outlineLevel="0" collapsed="false">
      <c r="A4893" s="62" t="n">
        <v>1</v>
      </c>
      <c r="B4893" s="62" t="s">
        <v>386</v>
      </c>
      <c r="C4893" s="62" t="s">
        <v>60</v>
      </c>
      <c r="D4893" s="62" t="s">
        <v>67</v>
      </c>
      <c r="E4893" s="62" t="s">
        <v>92</v>
      </c>
      <c r="F4893" s="63" t="s">
        <v>479</v>
      </c>
      <c r="G4893" s="64" t="n">
        <v>18.9818807574715</v>
      </c>
      <c r="H4893" s="62" t="s">
        <v>42</v>
      </c>
    </row>
    <row r="4894" customFormat="false" ht="15" hidden="false" customHeight="false" outlineLevel="0" collapsed="false">
      <c r="A4894" s="62" t="n">
        <v>1</v>
      </c>
      <c r="B4894" s="62" t="s">
        <v>387</v>
      </c>
      <c r="C4894" s="62" t="s">
        <v>60</v>
      </c>
      <c r="D4894" s="62" t="s">
        <v>67</v>
      </c>
      <c r="E4894" s="62" t="s">
        <v>92</v>
      </c>
      <c r="F4894" s="63" t="s">
        <v>479</v>
      </c>
      <c r="G4894" s="64" t="n">
        <v>7.72450380360393</v>
      </c>
      <c r="H4894" s="62" t="s">
        <v>42</v>
      </c>
    </row>
    <row r="4895" customFormat="false" ht="15" hidden="false" customHeight="false" outlineLevel="0" collapsed="false">
      <c r="A4895" s="62" t="n">
        <v>1</v>
      </c>
      <c r="B4895" s="62" t="s">
        <v>388</v>
      </c>
      <c r="C4895" s="62" t="s">
        <v>60</v>
      </c>
      <c r="D4895" s="62" t="s">
        <v>67</v>
      </c>
      <c r="E4895" s="62" t="s">
        <v>92</v>
      </c>
      <c r="F4895" s="63" t="s">
        <v>479</v>
      </c>
      <c r="G4895" s="64" t="n">
        <v>17.2854120903965</v>
      </c>
      <c r="H4895" s="62" t="s">
        <v>42</v>
      </c>
    </row>
    <row r="4896" customFormat="false" ht="15" hidden="false" customHeight="false" outlineLevel="0" collapsed="false">
      <c r="A4896" s="62" t="n">
        <v>1</v>
      </c>
      <c r="B4896" s="62" t="s">
        <v>381</v>
      </c>
      <c r="C4896" s="62" t="s">
        <v>60</v>
      </c>
      <c r="D4896" s="62" t="s">
        <v>67</v>
      </c>
      <c r="E4896" s="62" t="s">
        <v>94</v>
      </c>
      <c r="F4896" s="63" t="s">
        <v>479</v>
      </c>
      <c r="G4896" s="64" t="n">
        <v>27.9521290058826</v>
      </c>
      <c r="H4896" s="62" t="s">
        <v>42</v>
      </c>
    </row>
    <row r="4897" customFormat="false" ht="15" hidden="false" customHeight="false" outlineLevel="0" collapsed="false">
      <c r="A4897" s="62" t="n">
        <v>1</v>
      </c>
      <c r="B4897" s="62" t="s">
        <v>383</v>
      </c>
      <c r="C4897" s="62" t="s">
        <v>60</v>
      </c>
      <c r="D4897" s="62" t="s">
        <v>67</v>
      </c>
      <c r="E4897" s="62" t="s">
        <v>94</v>
      </c>
      <c r="F4897" s="63" t="s">
        <v>479</v>
      </c>
      <c r="G4897" s="64" t="n">
        <v>24.6063641093613</v>
      </c>
      <c r="H4897" s="62" t="s">
        <v>42</v>
      </c>
    </row>
    <row r="4898" customFormat="false" ht="15" hidden="false" customHeight="false" outlineLevel="0" collapsed="false">
      <c r="A4898" s="62" t="n">
        <v>1</v>
      </c>
      <c r="B4898" s="62" t="s">
        <v>384</v>
      </c>
      <c r="C4898" s="62" t="s">
        <v>60</v>
      </c>
      <c r="D4898" s="62" t="s">
        <v>67</v>
      </c>
      <c r="E4898" s="62" t="s">
        <v>94</v>
      </c>
      <c r="F4898" s="63" t="s">
        <v>479</v>
      </c>
      <c r="G4898" s="64" t="n">
        <v>0</v>
      </c>
      <c r="H4898" s="62" t="s">
        <v>42</v>
      </c>
    </row>
    <row r="4899" customFormat="false" ht="15" hidden="false" customHeight="false" outlineLevel="0" collapsed="false">
      <c r="A4899" s="62" t="n">
        <v>1</v>
      </c>
      <c r="B4899" s="62" t="s">
        <v>385</v>
      </c>
      <c r="C4899" s="62" t="s">
        <v>60</v>
      </c>
      <c r="D4899" s="62" t="s">
        <v>67</v>
      </c>
      <c r="E4899" s="62" t="s">
        <v>94</v>
      </c>
      <c r="F4899" s="63" t="s">
        <v>479</v>
      </c>
      <c r="G4899" s="64" t="n">
        <v>0</v>
      </c>
      <c r="H4899" s="62" t="s">
        <v>42</v>
      </c>
    </row>
    <row r="4900" customFormat="false" ht="15" hidden="false" customHeight="false" outlineLevel="0" collapsed="false">
      <c r="A4900" s="62" t="n">
        <v>1</v>
      </c>
      <c r="B4900" s="62" t="s">
        <v>386</v>
      </c>
      <c r="C4900" s="62" t="s">
        <v>60</v>
      </c>
      <c r="D4900" s="62" t="s">
        <v>67</v>
      </c>
      <c r="E4900" s="62" t="s">
        <v>94</v>
      </c>
      <c r="F4900" s="63" t="s">
        <v>479</v>
      </c>
      <c r="G4900" s="64" t="n">
        <v>0</v>
      </c>
      <c r="H4900" s="62" t="s">
        <v>42</v>
      </c>
    </row>
    <row r="4901" customFormat="false" ht="15" hidden="false" customHeight="false" outlineLevel="0" collapsed="false">
      <c r="A4901" s="62" t="n">
        <v>1</v>
      </c>
      <c r="B4901" s="62" t="s">
        <v>387</v>
      </c>
      <c r="C4901" s="62" t="s">
        <v>60</v>
      </c>
      <c r="D4901" s="62" t="s">
        <v>67</v>
      </c>
      <c r="E4901" s="62" t="s">
        <v>94</v>
      </c>
      <c r="F4901" s="63" t="s">
        <v>479</v>
      </c>
      <c r="G4901" s="64" t="n">
        <v>28.1423977793747</v>
      </c>
      <c r="H4901" s="62" t="s">
        <v>42</v>
      </c>
    </row>
    <row r="4902" customFormat="false" ht="15" hidden="false" customHeight="false" outlineLevel="0" collapsed="false">
      <c r="A4902" s="62" t="n">
        <v>1</v>
      </c>
      <c r="B4902" s="62" t="s">
        <v>388</v>
      </c>
      <c r="C4902" s="62" t="s">
        <v>60</v>
      </c>
      <c r="D4902" s="62" t="s">
        <v>67</v>
      </c>
      <c r="E4902" s="62" t="s">
        <v>94</v>
      </c>
      <c r="F4902" s="63" t="s">
        <v>479</v>
      </c>
      <c r="G4902" s="64" t="n">
        <v>19.2991091053814</v>
      </c>
      <c r="H4902" s="62" t="s">
        <v>42</v>
      </c>
    </row>
    <row r="4903" customFormat="false" ht="15" hidden="false" customHeight="false" outlineLevel="0" collapsed="false">
      <c r="A4903" s="62" t="n">
        <v>1</v>
      </c>
      <c r="B4903" s="62" t="s">
        <v>381</v>
      </c>
      <c r="C4903" s="62" t="s">
        <v>60</v>
      </c>
      <c r="D4903" s="62" t="s">
        <v>67</v>
      </c>
      <c r="E4903" s="62" t="s">
        <v>95</v>
      </c>
      <c r="F4903" s="63" t="s">
        <v>479</v>
      </c>
      <c r="G4903" s="64" t="n">
        <v>0</v>
      </c>
      <c r="H4903" s="62" t="s">
        <v>42</v>
      </c>
    </row>
    <row r="4904" customFormat="false" ht="15" hidden="false" customHeight="false" outlineLevel="0" collapsed="false">
      <c r="A4904" s="62" t="n">
        <v>1</v>
      </c>
      <c r="B4904" s="62" t="s">
        <v>383</v>
      </c>
      <c r="C4904" s="62" t="s">
        <v>60</v>
      </c>
      <c r="D4904" s="62" t="s">
        <v>67</v>
      </c>
      <c r="E4904" s="62" t="s">
        <v>95</v>
      </c>
      <c r="F4904" s="63" t="s">
        <v>479</v>
      </c>
      <c r="G4904" s="64" t="n">
        <v>0</v>
      </c>
      <c r="H4904" s="62" t="s">
        <v>42</v>
      </c>
    </row>
    <row r="4905" customFormat="false" ht="15" hidden="false" customHeight="false" outlineLevel="0" collapsed="false">
      <c r="A4905" s="62" t="n">
        <v>1</v>
      </c>
      <c r="B4905" s="62" t="s">
        <v>384</v>
      </c>
      <c r="C4905" s="62" t="s">
        <v>60</v>
      </c>
      <c r="D4905" s="62" t="s">
        <v>67</v>
      </c>
      <c r="E4905" s="62" t="s">
        <v>95</v>
      </c>
      <c r="F4905" s="63" t="s">
        <v>479</v>
      </c>
      <c r="G4905" s="64" t="n">
        <v>0</v>
      </c>
      <c r="H4905" s="62" t="s">
        <v>42</v>
      </c>
    </row>
    <row r="4906" customFormat="false" ht="15" hidden="false" customHeight="false" outlineLevel="0" collapsed="false">
      <c r="A4906" s="62" t="n">
        <v>1</v>
      </c>
      <c r="B4906" s="62" t="s">
        <v>385</v>
      </c>
      <c r="C4906" s="62" t="s">
        <v>60</v>
      </c>
      <c r="D4906" s="62" t="s">
        <v>67</v>
      </c>
      <c r="E4906" s="62" t="s">
        <v>95</v>
      </c>
      <c r="F4906" s="63" t="s">
        <v>479</v>
      </c>
      <c r="G4906" s="64" t="n">
        <v>0</v>
      </c>
      <c r="H4906" s="62" t="s">
        <v>42</v>
      </c>
    </row>
    <row r="4907" customFormat="false" ht="15" hidden="false" customHeight="false" outlineLevel="0" collapsed="false">
      <c r="A4907" s="62" t="n">
        <v>1</v>
      </c>
      <c r="B4907" s="62" t="s">
        <v>386</v>
      </c>
      <c r="C4907" s="62" t="s">
        <v>60</v>
      </c>
      <c r="D4907" s="62" t="s">
        <v>67</v>
      </c>
      <c r="E4907" s="62" t="s">
        <v>95</v>
      </c>
      <c r="F4907" s="63" t="s">
        <v>479</v>
      </c>
      <c r="G4907" s="64" t="n">
        <v>0</v>
      </c>
      <c r="H4907" s="62" t="s">
        <v>42</v>
      </c>
    </row>
    <row r="4908" customFormat="false" ht="15" hidden="false" customHeight="false" outlineLevel="0" collapsed="false">
      <c r="A4908" s="62" t="n">
        <v>1</v>
      </c>
      <c r="B4908" s="62" t="s">
        <v>387</v>
      </c>
      <c r="C4908" s="62" t="s">
        <v>60</v>
      </c>
      <c r="D4908" s="62" t="s">
        <v>67</v>
      </c>
      <c r="E4908" s="62" t="s">
        <v>95</v>
      </c>
      <c r="F4908" s="63" t="s">
        <v>479</v>
      </c>
      <c r="G4908" s="64" t="n">
        <v>0</v>
      </c>
      <c r="H4908" s="62" t="s">
        <v>42</v>
      </c>
    </row>
    <row r="4909" customFormat="false" ht="15" hidden="false" customHeight="false" outlineLevel="0" collapsed="false">
      <c r="A4909" s="62" t="n">
        <v>1</v>
      </c>
      <c r="B4909" s="62" t="s">
        <v>388</v>
      </c>
      <c r="C4909" s="62" t="s">
        <v>60</v>
      </c>
      <c r="D4909" s="62" t="s">
        <v>67</v>
      </c>
      <c r="E4909" s="62" t="s">
        <v>95</v>
      </c>
      <c r="F4909" s="63" t="s">
        <v>479</v>
      </c>
      <c r="G4909" s="64" t="n">
        <v>0</v>
      </c>
      <c r="H4909" s="62" t="s">
        <v>42</v>
      </c>
    </row>
    <row r="4910" customFormat="false" ht="15" hidden="false" customHeight="false" outlineLevel="0" collapsed="false">
      <c r="A4910" s="62" t="n">
        <v>1</v>
      </c>
      <c r="B4910" s="62" t="s">
        <v>381</v>
      </c>
      <c r="C4910" s="62" t="s">
        <v>60</v>
      </c>
      <c r="D4910" s="62" t="s">
        <v>67</v>
      </c>
      <c r="E4910" s="62" t="s">
        <v>97</v>
      </c>
      <c r="F4910" s="63" t="s">
        <v>479</v>
      </c>
      <c r="G4910" s="64" t="n">
        <v>0</v>
      </c>
      <c r="H4910" s="62" t="s">
        <v>42</v>
      </c>
    </row>
    <row r="4911" customFormat="false" ht="15" hidden="false" customHeight="false" outlineLevel="0" collapsed="false">
      <c r="A4911" s="62" t="n">
        <v>1</v>
      </c>
      <c r="B4911" s="62" t="s">
        <v>383</v>
      </c>
      <c r="C4911" s="62" t="s">
        <v>60</v>
      </c>
      <c r="D4911" s="62" t="s">
        <v>67</v>
      </c>
      <c r="E4911" s="62" t="s">
        <v>97</v>
      </c>
      <c r="F4911" s="63" t="s">
        <v>479</v>
      </c>
      <c r="G4911" s="64" t="n">
        <v>0</v>
      </c>
      <c r="H4911" s="62" t="s">
        <v>42</v>
      </c>
    </row>
    <row r="4912" customFormat="false" ht="15" hidden="false" customHeight="false" outlineLevel="0" collapsed="false">
      <c r="A4912" s="62" t="n">
        <v>1</v>
      </c>
      <c r="B4912" s="62" t="s">
        <v>384</v>
      </c>
      <c r="C4912" s="62" t="s">
        <v>60</v>
      </c>
      <c r="D4912" s="62" t="s">
        <v>67</v>
      </c>
      <c r="E4912" s="62" t="s">
        <v>97</v>
      </c>
      <c r="F4912" s="63" t="s">
        <v>479</v>
      </c>
      <c r="G4912" s="64" t="n">
        <v>0</v>
      </c>
      <c r="H4912" s="62" t="s">
        <v>42</v>
      </c>
    </row>
    <row r="4913" customFormat="false" ht="15" hidden="false" customHeight="false" outlineLevel="0" collapsed="false">
      <c r="A4913" s="62" t="n">
        <v>1</v>
      </c>
      <c r="B4913" s="62" t="s">
        <v>385</v>
      </c>
      <c r="C4913" s="62" t="s">
        <v>60</v>
      </c>
      <c r="D4913" s="62" t="s">
        <v>67</v>
      </c>
      <c r="E4913" s="62" t="s">
        <v>97</v>
      </c>
      <c r="F4913" s="63" t="s">
        <v>479</v>
      </c>
      <c r="G4913" s="64" t="n">
        <v>0</v>
      </c>
      <c r="H4913" s="62" t="s">
        <v>42</v>
      </c>
    </row>
    <row r="4914" customFormat="false" ht="15" hidden="false" customHeight="false" outlineLevel="0" collapsed="false">
      <c r="A4914" s="62" t="n">
        <v>1</v>
      </c>
      <c r="B4914" s="62" t="s">
        <v>386</v>
      </c>
      <c r="C4914" s="62" t="s">
        <v>60</v>
      </c>
      <c r="D4914" s="62" t="s">
        <v>67</v>
      </c>
      <c r="E4914" s="62" t="s">
        <v>97</v>
      </c>
      <c r="F4914" s="63" t="s">
        <v>479</v>
      </c>
      <c r="G4914" s="64" t="n">
        <v>0</v>
      </c>
      <c r="H4914" s="62" t="s">
        <v>42</v>
      </c>
    </row>
    <row r="4915" customFormat="false" ht="15" hidden="false" customHeight="false" outlineLevel="0" collapsed="false">
      <c r="A4915" s="62" t="n">
        <v>1</v>
      </c>
      <c r="B4915" s="62" t="s">
        <v>387</v>
      </c>
      <c r="C4915" s="62" t="s">
        <v>60</v>
      </c>
      <c r="D4915" s="62" t="s">
        <v>67</v>
      </c>
      <c r="E4915" s="62" t="s">
        <v>97</v>
      </c>
      <c r="F4915" s="63" t="s">
        <v>479</v>
      </c>
      <c r="G4915" s="64" t="n">
        <v>0</v>
      </c>
      <c r="H4915" s="62" t="s">
        <v>42</v>
      </c>
    </row>
    <row r="4916" customFormat="false" ht="15" hidden="false" customHeight="false" outlineLevel="0" collapsed="false">
      <c r="A4916" s="62" t="n">
        <v>1</v>
      </c>
      <c r="B4916" s="62" t="s">
        <v>388</v>
      </c>
      <c r="C4916" s="62" t="s">
        <v>60</v>
      </c>
      <c r="D4916" s="62" t="s">
        <v>67</v>
      </c>
      <c r="E4916" s="62" t="s">
        <v>97</v>
      </c>
      <c r="F4916" s="63" t="s">
        <v>479</v>
      </c>
      <c r="G4916" s="64" t="n">
        <v>0</v>
      </c>
      <c r="H4916" s="62" t="s">
        <v>42</v>
      </c>
    </row>
    <row r="4917" customFormat="false" ht="15" hidden="false" customHeight="false" outlineLevel="0" collapsed="false">
      <c r="A4917" s="62" t="n">
        <v>1</v>
      </c>
      <c r="B4917" s="62" t="s">
        <v>381</v>
      </c>
      <c r="C4917" s="62" t="s">
        <v>60</v>
      </c>
      <c r="D4917" s="62" t="s">
        <v>67</v>
      </c>
      <c r="E4917" s="62" t="s">
        <v>382</v>
      </c>
      <c r="F4917" s="63" t="s">
        <v>486</v>
      </c>
      <c r="G4917" s="64" t="n">
        <v>18.151455646211</v>
      </c>
      <c r="H4917" s="62" t="s">
        <v>42</v>
      </c>
    </row>
    <row r="4918" customFormat="false" ht="15" hidden="false" customHeight="false" outlineLevel="0" collapsed="false">
      <c r="A4918" s="62" t="n">
        <v>1</v>
      </c>
      <c r="B4918" s="62" t="s">
        <v>383</v>
      </c>
      <c r="C4918" s="62" t="s">
        <v>60</v>
      </c>
      <c r="D4918" s="62" t="s">
        <v>67</v>
      </c>
      <c r="E4918" s="62" t="s">
        <v>382</v>
      </c>
      <c r="F4918" s="63" t="s">
        <v>486</v>
      </c>
      <c r="G4918" s="64" t="n">
        <v>14.6318429826501</v>
      </c>
      <c r="H4918" s="62" t="s">
        <v>42</v>
      </c>
    </row>
    <row r="4919" customFormat="false" ht="15" hidden="false" customHeight="false" outlineLevel="0" collapsed="false">
      <c r="A4919" s="62" t="n">
        <v>1</v>
      </c>
      <c r="B4919" s="62" t="s">
        <v>384</v>
      </c>
      <c r="C4919" s="62" t="s">
        <v>60</v>
      </c>
      <c r="D4919" s="62" t="s">
        <v>67</v>
      </c>
      <c r="E4919" s="62" t="s">
        <v>382</v>
      </c>
      <c r="F4919" s="63" t="s">
        <v>486</v>
      </c>
      <c r="G4919" s="64" t="n">
        <v>11.1789033917084</v>
      </c>
      <c r="H4919" s="62" t="s">
        <v>42</v>
      </c>
    </row>
    <row r="4920" customFormat="false" ht="15" hidden="false" customHeight="false" outlineLevel="0" collapsed="false">
      <c r="A4920" s="62" t="n">
        <v>1</v>
      </c>
      <c r="B4920" s="62" t="s">
        <v>385</v>
      </c>
      <c r="C4920" s="62" t="s">
        <v>60</v>
      </c>
      <c r="D4920" s="62" t="s">
        <v>67</v>
      </c>
      <c r="E4920" s="62" t="s">
        <v>382</v>
      </c>
      <c r="F4920" s="63" t="s">
        <v>486</v>
      </c>
      <c r="G4920" s="64" t="n">
        <v>11.4474798598852</v>
      </c>
      <c r="H4920" s="62" t="s">
        <v>42</v>
      </c>
    </row>
    <row r="4921" customFormat="false" ht="15" hidden="false" customHeight="false" outlineLevel="0" collapsed="false">
      <c r="A4921" s="62" t="n">
        <v>1</v>
      </c>
      <c r="B4921" s="62" t="s">
        <v>386</v>
      </c>
      <c r="C4921" s="62" t="s">
        <v>60</v>
      </c>
      <c r="D4921" s="62" t="s">
        <v>67</v>
      </c>
      <c r="E4921" s="62" t="s">
        <v>382</v>
      </c>
      <c r="F4921" s="63" t="s">
        <v>486</v>
      </c>
      <c r="G4921" s="64" t="n">
        <v>15.6885423697603</v>
      </c>
      <c r="H4921" s="62" t="s">
        <v>42</v>
      </c>
    </row>
    <row r="4922" customFormat="false" ht="15" hidden="false" customHeight="false" outlineLevel="0" collapsed="false">
      <c r="A4922" s="62" t="n">
        <v>1</v>
      </c>
      <c r="B4922" s="62" t="s">
        <v>387</v>
      </c>
      <c r="C4922" s="62" t="s">
        <v>60</v>
      </c>
      <c r="D4922" s="62" t="s">
        <v>67</v>
      </c>
      <c r="E4922" s="62" t="s">
        <v>382</v>
      </c>
      <c r="F4922" s="63" t="s">
        <v>486</v>
      </c>
      <c r="G4922" s="64" t="n">
        <v>11.2669891287293</v>
      </c>
      <c r="H4922" s="62" t="s">
        <v>42</v>
      </c>
    </row>
    <row r="4923" customFormat="false" ht="15" hidden="false" customHeight="false" outlineLevel="0" collapsed="false">
      <c r="A4923" s="62" t="n">
        <v>1</v>
      </c>
      <c r="B4923" s="62" t="s">
        <v>388</v>
      </c>
      <c r="C4923" s="62" t="s">
        <v>60</v>
      </c>
      <c r="D4923" s="62" t="s">
        <v>67</v>
      </c>
      <c r="E4923" s="62" t="s">
        <v>382</v>
      </c>
      <c r="F4923" s="63" t="s">
        <v>486</v>
      </c>
      <c r="G4923" s="64" t="n">
        <v>17.6347866210556</v>
      </c>
      <c r="H4923" s="62" t="s">
        <v>42</v>
      </c>
    </row>
    <row r="4924" customFormat="false" ht="15" hidden="false" customHeight="false" outlineLevel="0" collapsed="false">
      <c r="A4924" s="62" t="n">
        <v>1</v>
      </c>
      <c r="B4924" s="62" t="s">
        <v>381</v>
      </c>
      <c r="C4924" s="62" t="s">
        <v>60</v>
      </c>
      <c r="D4924" s="62" t="s">
        <v>71</v>
      </c>
      <c r="E4924" s="62" t="s">
        <v>382</v>
      </c>
      <c r="F4924" s="63" t="s">
        <v>487</v>
      </c>
      <c r="G4924" s="64" t="n">
        <v>130000</v>
      </c>
      <c r="H4924" s="62"/>
    </row>
    <row r="4925" customFormat="false" ht="15" hidden="false" customHeight="false" outlineLevel="0" collapsed="false">
      <c r="A4925" s="62" t="n">
        <v>1</v>
      </c>
      <c r="B4925" s="62" t="s">
        <v>383</v>
      </c>
      <c r="C4925" s="62" t="s">
        <v>60</v>
      </c>
      <c r="D4925" s="62" t="s">
        <v>71</v>
      </c>
      <c r="E4925" s="62" t="s">
        <v>382</v>
      </c>
      <c r="F4925" s="63" t="s">
        <v>487</v>
      </c>
      <c r="G4925" s="64" t="n">
        <v>200958</v>
      </c>
      <c r="H4925" s="62"/>
    </row>
    <row r="4926" customFormat="false" ht="15" hidden="false" customHeight="false" outlineLevel="0" collapsed="false">
      <c r="A4926" s="62" t="n">
        <v>1</v>
      </c>
      <c r="B4926" s="62" t="s">
        <v>384</v>
      </c>
      <c r="C4926" s="62" t="s">
        <v>60</v>
      </c>
      <c r="D4926" s="62" t="s">
        <v>71</v>
      </c>
      <c r="E4926" s="62" t="s">
        <v>382</v>
      </c>
      <c r="F4926" s="63" t="s">
        <v>487</v>
      </c>
      <c r="G4926" s="64" t="n">
        <v>128000</v>
      </c>
      <c r="H4926" s="62"/>
    </row>
    <row r="4927" customFormat="false" ht="15" hidden="false" customHeight="false" outlineLevel="0" collapsed="false">
      <c r="A4927" s="62" t="n">
        <v>1</v>
      </c>
      <c r="B4927" s="62" t="s">
        <v>385</v>
      </c>
      <c r="C4927" s="62" t="s">
        <v>60</v>
      </c>
      <c r="D4927" s="62" t="s">
        <v>71</v>
      </c>
      <c r="E4927" s="62" t="s">
        <v>382</v>
      </c>
      <c r="F4927" s="63" t="s">
        <v>487</v>
      </c>
      <c r="G4927" s="64" t="n">
        <v>150000</v>
      </c>
      <c r="H4927" s="62"/>
    </row>
    <row r="4928" customFormat="false" ht="15" hidden="false" customHeight="false" outlineLevel="0" collapsed="false">
      <c r="A4928" s="62" t="n">
        <v>1</v>
      </c>
      <c r="B4928" s="62" t="s">
        <v>386</v>
      </c>
      <c r="C4928" s="62" t="s">
        <v>60</v>
      </c>
      <c r="D4928" s="62" t="s">
        <v>71</v>
      </c>
      <c r="E4928" s="62" t="s">
        <v>382</v>
      </c>
      <c r="F4928" s="63" t="s">
        <v>487</v>
      </c>
      <c r="G4928" s="64" t="n">
        <v>132000</v>
      </c>
      <c r="H4928" s="62"/>
    </row>
    <row r="4929" customFormat="false" ht="15" hidden="false" customHeight="false" outlineLevel="0" collapsed="false">
      <c r="A4929" s="62" t="n">
        <v>1</v>
      </c>
      <c r="B4929" s="62" t="s">
        <v>387</v>
      </c>
      <c r="C4929" s="62" t="s">
        <v>60</v>
      </c>
      <c r="D4929" s="62" t="s">
        <v>71</v>
      </c>
      <c r="E4929" s="62" t="s">
        <v>382</v>
      </c>
      <c r="F4929" s="63" t="s">
        <v>487</v>
      </c>
      <c r="G4929" s="64" t="n">
        <v>160000</v>
      </c>
      <c r="H4929" s="62"/>
    </row>
    <row r="4930" customFormat="false" ht="15" hidden="false" customHeight="false" outlineLevel="0" collapsed="false">
      <c r="A4930" s="62" t="n">
        <v>1</v>
      </c>
      <c r="B4930" s="62" t="s">
        <v>388</v>
      </c>
      <c r="C4930" s="62" t="s">
        <v>60</v>
      </c>
      <c r="D4930" s="62" t="s">
        <v>71</v>
      </c>
      <c r="E4930" s="62" t="s">
        <v>382</v>
      </c>
      <c r="F4930" s="63" t="s">
        <v>487</v>
      </c>
      <c r="G4930" s="64" t="n">
        <v>143254</v>
      </c>
      <c r="H4930" s="62"/>
    </row>
    <row r="4931" customFormat="false" ht="15" hidden="false" customHeight="false" outlineLevel="0" collapsed="false">
      <c r="A4931" s="62" t="n">
        <v>1</v>
      </c>
      <c r="B4931" s="62" t="s">
        <v>381</v>
      </c>
      <c r="C4931" s="62" t="s">
        <v>60</v>
      </c>
      <c r="D4931" s="62" t="s">
        <v>71</v>
      </c>
      <c r="E4931" s="62" t="s">
        <v>382</v>
      </c>
      <c r="F4931" s="63" t="s">
        <v>482</v>
      </c>
      <c r="G4931" s="64" t="n">
        <v>6</v>
      </c>
      <c r="H4931" s="62"/>
    </row>
    <row r="4932" customFormat="false" ht="15" hidden="false" customHeight="false" outlineLevel="0" collapsed="false">
      <c r="A4932" s="62" t="n">
        <v>1</v>
      </c>
      <c r="B4932" s="62" t="s">
        <v>383</v>
      </c>
      <c r="C4932" s="62" t="s">
        <v>60</v>
      </c>
      <c r="D4932" s="62" t="s">
        <v>71</v>
      </c>
      <c r="E4932" s="62" t="s">
        <v>382</v>
      </c>
      <c r="F4932" s="63" t="s">
        <v>482</v>
      </c>
      <c r="G4932" s="64" t="n">
        <v>6</v>
      </c>
      <c r="H4932" s="62"/>
    </row>
    <row r="4933" customFormat="false" ht="15" hidden="false" customHeight="false" outlineLevel="0" collapsed="false">
      <c r="A4933" s="62" t="n">
        <v>1</v>
      </c>
      <c r="B4933" s="62" t="s">
        <v>384</v>
      </c>
      <c r="C4933" s="62" t="s">
        <v>60</v>
      </c>
      <c r="D4933" s="62" t="s">
        <v>71</v>
      </c>
      <c r="E4933" s="62" t="s">
        <v>382</v>
      </c>
      <c r="F4933" s="63" t="s">
        <v>482</v>
      </c>
      <c r="G4933" s="64" t="n">
        <v>6</v>
      </c>
      <c r="H4933" s="62"/>
    </row>
    <row r="4934" customFormat="false" ht="15" hidden="false" customHeight="false" outlineLevel="0" collapsed="false">
      <c r="A4934" s="62" t="n">
        <v>1</v>
      </c>
      <c r="B4934" s="62" t="s">
        <v>385</v>
      </c>
      <c r="C4934" s="62" t="s">
        <v>60</v>
      </c>
      <c r="D4934" s="62" t="s">
        <v>71</v>
      </c>
      <c r="E4934" s="62" t="s">
        <v>382</v>
      </c>
      <c r="F4934" s="63" t="s">
        <v>482</v>
      </c>
      <c r="G4934" s="64" t="n">
        <v>6</v>
      </c>
      <c r="H4934" s="62"/>
    </row>
    <row r="4935" customFormat="false" ht="15" hidden="false" customHeight="false" outlineLevel="0" collapsed="false">
      <c r="A4935" s="62" t="n">
        <v>1</v>
      </c>
      <c r="B4935" s="62" t="s">
        <v>386</v>
      </c>
      <c r="C4935" s="62" t="s">
        <v>60</v>
      </c>
      <c r="D4935" s="62" t="s">
        <v>71</v>
      </c>
      <c r="E4935" s="62" t="s">
        <v>382</v>
      </c>
      <c r="F4935" s="63" t="s">
        <v>482</v>
      </c>
      <c r="G4935" s="64" t="n">
        <v>5</v>
      </c>
      <c r="H4935" s="62"/>
    </row>
    <row r="4936" customFormat="false" ht="15" hidden="false" customHeight="false" outlineLevel="0" collapsed="false">
      <c r="A4936" s="62" t="n">
        <v>1</v>
      </c>
      <c r="B4936" s="62" t="s">
        <v>387</v>
      </c>
      <c r="C4936" s="62" t="s">
        <v>60</v>
      </c>
      <c r="D4936" s="62" t="s">
        <v>71</v>
      </c>
      <c r="E4936" s="62" t="s">
        <v>382</v>
      </c>
      <c r="F4936" s="63" t="s">
        <v>482</v>
      </c>
      <c r="G4936" s="64" t="n">
        <v>7</v>
      </c>
      <c r="H4936" s="62"/>
    </row>
    <row r="4937" customFormat="false" ht="15" hidden="false" customHeight="false" outlineLevel="0" collapsed="false">
      <c r="A4937" s="62" t="n">
        <v>1</v>
      </c>
      <c r="B4937" s="62" t="s">
        <v>388</v>
      </c>
      <c r="C4937" s="62" t="s">
        <v>60</v>
      </c>
      <c r="D4937" s="62" t="s">
        <v>71</v>
      </c>
      <c r="E4937" s="62" t="s">
        <v>382</v>
      </c>
      <c r="F4937" s="63" t="s">
        <v>482</v>
      </c>
      <c r="G4937" s="64" t="n">
        <v>7</v>
      </c>
      <c r="H4937" s="62"/>
    </row>
    <row r="4938" customFormat="false" ht="15" hidden="false" customHeight="false" outlineLevel="0" collapsed="false">
      <c r="A4938" s="62" t="n">
        <v>1</v>
      </c>
      <c r="B4938" s="62" t="s">
        <v>381</v>
      </c>
      <c r="C4938" s="62" t="s">
        <v>60</v>
      </c>
      <c r="D4938" s="62" t="s">
        <v>71</v>
      </c>
      <c r="E4938" s="62" t="s">
        <v>382</v>
      </c>
      <c r="F4938" s="63" t="s">
        <v>483</v>
      </c>
      <c r="G4938" s="64" t="s">
        <v>35</v>
      </c>
      <c r="H4938" s="62"/>
    </row>
    <row r="4939" customFormat="false" ht="15" hidden="false" customHeight="false" outlineLevel="0" collapsed="false">
      <c r="A4939" s="62" t="n">
        <v>1</v>
      </c>
      <c r="B4939" s="62" t="s">
        <v>383</v>
      </c>
      <c r="C4939" s="62" t="s">
        <v>60</v>
      </c>
      <c r="D4939" s="62" t="s">
        <v>71</v>
      </c>
      <c r="E4939" s="62" t="s">
        <v>382</v>
      </c>
      <c r="F4939" s="63" t="s">
        <v>483</v>
      </c>
      <c r="G4939" s="64" t="s">
        <v>35</v>
      </c>
      <c r="H4939" s="62"/>
    </row>
    <row r="4940" customFormat="false" ht="15" hidden="false" customHeight="false" outlineLevel="0" collapsed="false">
      <c r="A4940" s="62" t="n">
        <v>1</v>
      </c>
      <c r="B4940" s="62" t="s">
        <v>384</v>
      </c>
      <c r="C4940" s="62" t="s">
        <v>60</v>
      </c>
      <c r="D4940" s="62" t="s">
        <v>71</v>
      </c>
      <c r="E4940" s="62" t="s">
        <v>382</v>
      </c>
      <c r="F4940" s="63" t="s">
        <v>483</v>
      </c>
      <c r="G4940" s="64" t="s">
        <v>29</v>
      </c>
      <c r="H4940" s="62"/>
    </row>
    <row r="4941" customFormat="false" ht="15" hidden="false" customHeight="false" outlineLevel="0" collapsed="false">
      <c r="A4941" s="62" t="n">
        <v>1</v>
      </c>
      <c r="B4941" s="62" t="s">
        <v>385</v>
      </c>
      <c r="C4941" s="62" t="s">
        <v>60</v>
      </c>
      <c r="D4941" s="62" t="s">
        <v>71</v>
      </c>
      <c r="E4941" s="62" t="s">
        <v>382</v>
      </c>
      <c r="F4941" s="63" t="s">
        <v>483</v>
      </c>
      <c r="G4941" s="64" t="s">
        <v>35</v>
      </c>
      <c r="H4941" s="62"/>
    </row>
    <row r="4942" customFormat="false" ht="15" hidden="false" customHeight="false" outlineLevel="0" collapsed="false">
      <c r="A4942" s="62" t="n">
        <v>1</v>
      </c>
      <c r="B4942" s="62" t="s">
        <v>386</v>
      </c>
      <c r="C4942" s="62" t="s">
        <v>60</v>
      </c>
      <c r="D4942" s="62" t="s">
        <v>71</v>
      </c>
      <c r="E4942" s="62" t="s">
        <v>382</v>
      </c>
      <c r="F4942" s="63" t="s">
        <v>483</v>
      </c>
      <c r="G4942" s="64" t="s">
        <v>35</v>
      </c>
      <c r="H4942" s="62"/>
    </row>
    <row r="4943" customFormat="false" ht="15" hidden="false" customHeight="false" outlineLevel="0" collapsed="false">
      <c r="A4943" s="62" t="n">
        <v>1</v>
      </c>
      <c r="B4943" s="62" t="s">
        <v>387</v>
      </c>
      <c r="C4943" s="62" t="s">
        <v>60</v>
      </c>
      <c r="D4943" s="62" t="s">
        <v>71</v>
      </c>
      <c r="E4943" s="62" t="s">
        <v>382</v>
      </c>
      <c r="F4943" s="63" t="s">
        <v>483</v>
      </c>
      <c r="G4943" s="64" t="s">
        <v>35</v>
      </c>
      <c r="H4943" s="62"/>
    </row>
    <row r="4944" customFormat="false" ht="15" hidden="false" customHeight="false" outlineLevel="0" collapsed="false">
      <c r="A4944" s="62" t="n">
        <v>1</v>
      </c>
      <c r="B4944" s="62" t="s">
        <v>388</v>
      </c>
      <c r="C4944" s="62" t="s">
        <v>60</v>
      </c>
      <c r="D4944" s="62" t="s">
        <v>71</v>
      </c>
      <c r="E4944" s="62" t="s">
        <v>382</v>
      </c>
      <c r="F4944" s="63" t="s">
        <v>483</v>
      </c>
      <c r="G4944" s="64" t="s">
        <v>35</v>
      </c>
      <c r="H4944" s="62"/>
    </row>
    <row r="4945" customFormat="false" ht="15" hidden="false" customHeight="false" outlineLevel="0" collapsed="false">
      <c r="A4945" s="62" t="n">
        <v>1</v>
      </c>
      <c r="B4945" s="62" t="s">
        <v>381</v>
      </c>
      <c r="C4945" s="62" t="s">
        <v>60</v>
      </c>
      <c r="D4945" s="62" t="s">
        <v>71</v>
      </c>
      <c r="E4945" s="62" t="s">
        <v>382</v>
      </c>
      <c r="F4945" s="63" t="s">
        <v>484</v>
      </c>
      <c r="G4945" s="64" t="n">
        <v>515.109</v>
      </c>
      <c r="H4945" s="62"/>
    </row>
    <row r="4946" customFormat="false" ht="15" hidden="false" customHeight="false" outlineLevel="0" collapsed="false">
      <c r="A4946" s="62" t="n">
        <v>1</v>
      </c>
      <c r="B4946" s="62" t="s">
        <v>383</v>
      </c>
      <c r="C4946" s="62" t="s">
        <v>60</v>
      </c>
      <c r="D4946" s="62" t="s">
        <v>71</v>
      </c>
      <c r="E4946" s="62" t="s">
        <v>382</v>
      </c>
      <c r="F4946" s="63" t="s">
        <v>484</v>
      </c>
      <c r="G4946" s="64" t="n">
        <v>164.202</v>
      </c>
      <c r="H4946" s="62"/>
    </row>
    <row r="4947" customFormat="false" ht="15" hidden="false" customHeight="false" outlineLevel="0" collapsed="false">
      <c r="A4947" s="62" t="n">
        <v>1</v>
      </c>
      <c r="B4947" s="62" t="s">
        <v>384</v>
      </c>
      <c r="C4947" s="62" t="s">
        <v>60</v>
      </c>
      <c r="D4947" s="62" t="s">
        <v>71</v>
      </c>
      <c r="E4947" s="62" t="s">
        <v>382</v>
      </c>
      <c r="F4947" s="63" t="s">
        <v>484</v>
      </c>
      <c r="G4947" s="64" t="n">
        <v>610.675</v>
      </c>
      <c r="H4947" s="62"/>
    </row>
    <row r="4948" customFormat="false" ht="15" hidden="false" customHeight="false" outlineLevel="0" collapsed="false">
      <c r="A4948" s="62" t="n">
        <v>1</v>
      </c>
      <c r="B4948" s="62" t="s">
        <v>385</v>
      </c>
      <c r="C4948" s="62" t="s">
        <v>60</v>
      </c>
      <c r="D4948" s="62" t="s">
        <v>71</v>
      </c>
      <c r="E4948" s="62" t="s">
        <v>382</v>
      </c>
      <c r="F4948" s="63" t="s">
        <v>484</v>
      </c>
      <c r="G4948" s="64" t="n">
        <v>359.387</v>
      </c>
      <c r="H4948" s="62"/>
    </row>
    <row r="4949" customFormat="false" ht="15" hidden="false" customHeight="false" outlineLevel="0" collapsed="false">
      <c r="A4949" s="62" t="n">
        <v>1</v>
      </c>
      <c r="B4949" s="62" t="s">
        <v>386</v>
      </c>
      <c r="C4949" s="62" t="s">
        <v>60</v>
      </c>
      <c r="D4949" s="62" t="s">
        <v>71</v>
      </c>
      <c r="E4949" s="62" t="s">
        <v>382</v>
      </c>
      <c r="F4949" s="63" t="s">
        <v>484</v>
      </c>
      <c r="G4949" s="64" t="n">
        <v>613.049</v>
      </c>
      <c r="H4949" s="62"/>
    </row>
    <row r="4950" customFormat="false" ht="15" hidden="false" customHeight="false" outlineLevel="0" collapsed="false">
      <c r="A4950" s="62" t="n">
        <v>1</v>
      </c>
      <c r="B4950" s="62" t="s">
        <v>387</v>
      </c>
      <c r="C4950" s="62" t="s">
        <v>60</v>
      </c>
      <c r="D4950" s="62" t="s">
        <v>71</v>
      </c>
      <c r="E4950" s="62" t="s">
        <v>382</v>
      </c>
      <c r="F4950" s="63" t="s">
        <v>484</v>
      </c>
      <c r="G4950" s="64" t="n">
        <v>315.727</v>
      </c>
      <c r="H4950" s="62"/>
    </row>
    <row r="4951" customFormat="false" ht="15" hidden="false" customHeight="false" outlineLevel="0" collapsed="false">
      <c r="A4951" s="62" t="n">
        <v>1</v>
      </c>
      <c r="B4951" s="62" t="s">
        <v>388</v>
      </c>
      <c r="C4951" s="62" t="s">
        <v>60</v>
      </c>
      <c r="D4951" s="62" t="s">
        <v>71</v>
      </c>
      <c r="E4951" s="62" t="s">
        <v>382</v>
      </c>
      <c r="F4951" s="63" t="s">
        <v>484</v>
      </c>
      <c r="G4951" s="64" t="n">
        <v>216</v>
      </c>
      <c r="H4951" s="62"/>
    </row>
    <row r="4952" customFormat="false" ht="15" hidden="false" customHeight="false" outlineLevel="0" collapsed="false">
      <c r="A4952" s="62" t="n">
        <v>1</v>
      </c>
      <c r="B4952" s="62" t="s">
        <v>381</v>
      </c>
      <c r="C4952" s="62" t="s">
        <v>60</v>
      </c>
      <c r="D4952" s="62" t="s">
        <v>71</v>
      </c>
      <c r="E4952" s="62" t="s">
        <v>382</v>
      </c>
      <c r="F4952" s="63" t="s">
        <v>485</v>
      </c>
      <c r="G4952" s="64" t="n">
        <v>515.109</v>
      </c>
      <c r="H4952" s="62"/>
    </row>
    <row r="4953" customFormat="false" ht="15" hidden="false" customHeight="false" outlineLevel="0" collapsed="false">
      <c r="A4953" s="62" t="n">
        <v>1</v>
      </c>
      <c r="B4953" s="62" t="s">
        <v>383</v>
      </c>
      <c r="C4953" s="62" t="s">
        <v>60</v>
      </c>
      <c r="D4953" s="62" t="s">
        <v>71</v>
      </c>
      <c r="E4953" s="62" t="s">
        <v>382</v>
      </c>
      <c r="F4953" s="63" t="s">
        <v>485</v>
      </c>
      <c r="G4953" s="64" t="n">
        <v>164.202</v>
      </c>
      <c r="H4953" s="62"/>
    </row>
    <row r="4954" customFormat="false" ht="15" hidden="false" customHeight="false" outlineLevel="0" collapsed="false">
      <c r="A4954" s="62" t="n">
        <v>1</v>
      </c>
      <c r="B4954" s="62" t="s">
        <v>384</v>
      </c>
      <c r="C4954" s="62" t="s">
        <v>60</v>
      </c>
      <c r="D4954" s="62" t="s">
        <v>71</v>
      </c>
      <c r="E4954" s="62" t="s">
        <v>382</v>
      </c>
      <c r="F4954" s="63" t="s">
        <v>485</v>
      </c>
      <c r="G4954" s="64" t="n">
        <v>610.675</v>
      </c>
      <c r="H4954" s="62"/>
    </row>
    <row r="4955" customFormat="false" ht="15" hidden="false" customHeight="false" outlineLevel="0" collapsed="false">
      <c r="A4955" s="62" t="n">
        <v>1</v>
      </c>
      <c r="B4955" s="62" t="s">
        <v>385</v>
      </c>
      <c r="C4955" s="62" t="s">
        <v>60</v>
      </c>
      <c r="D4955" s="62" t="s">
        <v>71</v>
      </c>
      <c r="E4955" s="62" t="s">
        <v>382</v>
      </c>
      <c r="F4955" s="63" t="s">
        <v>485</v>
      </c>
      <c r="G4955" s="64" t="n">
        <v>359.387</v>
      </c>
      <c r="H4955" s="62"/>
    </row>
    <row r="4956" customFormat="false" ht="15" hidden="false" customHeight="false" outlineLevel="0" collapsed="false">
      <c r="A4956" s="62" t="n">
        <v>1</v>
      </c>
      <c r="B4956" s="62" t="s">
        <v>386</v>
      </c>
      <c r="C4956" s="62" t="s">
        <v>60</v>
      </c>
      <c r="D4956" s="62" t="s">
        <v>71</v>
      </c>
      <c r="E4956" s="62" t="s">
        <v>382</v>
      </c>
      <c r="F4956" s="63" t="s">
        <v>485</v>
      </c>
      <c r="G4956" s="64" t="n">
        <v>613.049</v>
      </c>
      <c r="H4956" s="62"/>
    </row>
    <row r="4957" customFormat="false" ht="15" hidden="false" customHeight="false" outlineLevel="0" collapsed="false">
      <c r="A4957" s="62" t="n">
        <v>1</v>
      </c>
      <c r="B4957" s="62" t="s">
        <v>387</v>
      </c>
      <c r="C4957" s="62" t="s">
        <v>60</v>
      </c>
      <c r="D4957" s="62" t="s">
        <v>71</v>
      </c>
      <c r="E4957" s="62" t="s">
        <v>382</v>
      </c>
      <c r="F4957" s="63" t="s">
        <v>485</v>
      </c>
      <c r="G4957" s="64" t="n">
        <v>315.727</v>
      </c>
      <c r="H4957" s="62"/>
    </row>
    <row r="4958" customFormat="false" ht="15" hidden="false" customHeight="false" outlineLevel="0" collapsed="false">
      <c r="A4958" s="62" t="n">
        <v>1</v>
      </c>
      <c r="B4958" s="62" t="s">
        <v>388</v>
      </c>
      <c r="C4958" s="62" t="s">
        <v>60</v>
      </c>
      <c r="D4958" s="62" t="s">
        <v>71</v>
      </c>
      <c r="E4958" s="62" t="s">
        <v>382</v>
      </c>
      <c r="F4958" s="63" t="s">
        <v>485</v>
      </c>
      <c r="G4958" s="64" t="n">
        <v>521.876</v>
      </c>
      <c r="H4958" s="62"/>
    </row>
    <row r="4959" customFormat="false" ht="15" hidden="false" customHeight="false" outlineLevel="0" collapsed="false">
      <c r="A4959" s="62" t="n">
        <v>1</v>
      </c>
      <c r="B4959" s="62" t="s">
        <v>381</v>
      </c>
      <c r="C4959" s="62" t="s">
        <v>60</v>
      </c>
      <c r="D4959" s="62" t="s">
        <v>71</v>
      </c>
      <c r="E4959" s="62" t="s">
        <v>382</v>
      </c>
      <c r="F4959" s="63" t="s">
        <v>755</v>
      </c>
      <c r="G4959" s="64" t="n">
        <v>162000</v>
      </c>
      <c r="H4959" s="62"/>
    </row>
    <row r="4960" customFormat="false" ht="15" hidden="false" customHeight="false" outlineLevel="0" collapsed="false">
      <c r="A4960" s="62" t="n">
        <v>1</v>
      </c>
      <c r="B4960" s="62" t="s">
        <v>383</v>
      </c>
      <c r="C4960" s="62" t="s">
        <v>60</v>
      </c>
      <c r="D4960" s="62" t="s">
        <v>71</v>
      </c>
      <c r="E4960" s="62" t="s">
        <v>382</v>
      </c>
      <c r="F4960" s="63" t="s">
        <v>755</v>
      </c>
      <c r="G4960" s="64" t="n">
        <v>252963</v>
      </c>
      <c r="H4960" s="62"/>
    </row>
    <row r="4961" customFormat="false" ht="15" hidden="false" customHeight="false" outlineLevel="0" collapsed="false">
      <c r="A4961" s="62" t="n">
        <v>1</v>
      </c>
      <c r="B4961" s="62" t="s">
        <v>387</v>
      </c>
      <c r="C4961" s="62" t="s">
        <v>60</v>
      </c>
      <c r="D4961" s="62" t="s">
        <v>71</v>
      </c>
      <c r="E4961" s="62" t="s">
        <v>382</v>
      </c>
      <c r="F4961" s="63" t="s">
        <v>755</v>
      </c>
      <c r="G4961" s="64" t="n">
        <v>238000</v>
      </c>
      <c r="H4961" s="62"/>
    </row>
    <row r="4962" customFormat="false" ht="15" hidden="false" customHeight="false" outlineLevel="0" collapsed="false">
      <c r="A4962" s="62" t="n">
        <v>1</v>
      </c>
      <c r="B4962" s="62" t="s">
        <v>388</v>
      </c>
      <c r="C4962" s="62" t="s">
        <v>60</v>
      </c>
      <c r="D4962" s="62" t="s">
        <v>71</v>
      </c>
      <c r="E4962" s="62" t="s">
        <v>382</v>
      </c>
      <c r="F4962" s="63" t="s">
        <v>755</v>
      </c>
      <c r="G4962" s="64" t="n">
        <v>221970</v>
      </c>
      <c r="H4962" s="62"/>
    </row>
    <row r="4963" customFormat="false" ht="15" hidden="false" customHeight="false" outlineLevel="0" collapsed="false">
      <c r="A4963" s="62" t="n">
        <v>1</v>
      </c>
      <c r="B4963" s="62" t="s">
        <v>381</v>
      </c>
      <c r="C4963" s="62" t="s">
        <v>60</v>
      </c>
      <c r="D4963" s="62" t="s">
        <v>71</v>
      </c>
      <c r="E4963" s="62" t="s">
        <v>382</v>
      </c>
      <c r="F4963" s="63" t="s">
        <v>752</v>
      </c>
      <c r="G4963" s="64" t="n">
        <v>1</v>
      </c>
      <c r="H4963" s="62"/>
    </row>
    <row r="4964" customFormat="false" ht="15" hidden="false" customHeight="false" outlineLevel="0" collapsed="false">
      <c r="A4964" s="62" t="n">
        <v>1</v>
      </c>
      <c r="B4964" s="62" t="s">
        <v>383</v>
      </c>
      <c r="C4964" s="62" t="s">
        <v>60</v>
      </c>
      <c r="D4964" s="62" t="s">
        <v>71</v>
      </c>
      <c r="E4964" s="62" t="s">
        <v>382</v>
      </c>
      <c r="F4964" s="63" t="s">
        <v>752</v>
      </c>
      <c r="G4964" s="64" t="n">
        <v>3</v>
      </c>
      <c r="H4964" s="62"/>
    </row>
    <row r="4965" customFormat="false" ht="15" hidden="false" customHeight="false" outlineLevel="0" collapsed="false">
      <c r="A4965" s="62" t="n">
        <v>1</v>
      </c>
      <c r="B4965" s="62" t="s">
        <v>387</v>
      </c>
      <c r="C4965" s="62" t="s">
        <v>60</v>
      </c>
      <c r="D4965" s="62" t="s">
        <v>71</v>
      </c>
      <c r="E4965" s="62" t="s">
        <v>382</v>
      </c>
      <c r="F4965" s="63" t="s">
        <v>752</v>
      </c>
      <c r="G4965" s="64" t="n">
        <v>5</v>
      </c>
      <c r="H4965" s="62"/>
    </row>
    <row r="4966" customFormat="false" ht="15" hidden="false" customHeight="false" outlineLevel="0" collapsed="false">
      <c r="A4966" s="62" t="n">
        <v>1</v>
      </c>
      <c r="B4966" s="62" t="s">
        <v>388</v>
      </c>
      <c r="C4966" s="62" t="s">
        <v>60</v>
      </c>
      <c r="D4966" s="62" t="s">
        <v>71</v>
      </c>
      <c r="E4966" s="62" t="s">
        <v>382</v>
      </c>
      <c r="F4966" s="63" t="s">
        <v>752</v>
      </c>
      <c r="G4966" s="64" t="n">
        <v>2</v>
      </c>
      <c r="H4966" s="62"/>
    </row>
    <row r="4967" customFormat="false" ht="15" hidden="false" customHeight="false" outlineLevel="0" collapsed="false">
      <c r="A4967" s="62" t="n">
        <v>1</v>
      </c>
      <c r="B4967" s="62" t="s">
        <v>381</v>
      </c>
      <c r="C4967" s="62" t="s">
        <v>60</v>
      </c>
      <c r="D4967" s="62" t="s">
        <v>71</v>
      </c>
      <c r="E4967" s="62" t="s">
        <v>382</v>
      </c>
      <c r="F4967" s="63" t="s">
        <v>753</v>
      </c>
      <c r="G4967" s="64" t="n">
        <v>156.005</v>
      </c>
      <c r="H4967" s="62"/>
    </row>
    <row r="4968" customFormat="false" ht="15" hidden="false" customHeight="false" outlineLevel="0" collapsed="false">
      <c r="A4968" s="62" t="n">
        <v>1</v>
      </c>
      <c r="B4968" s="62" t="s">
        <v>383</v>
      </c>
      <c r="C4968" s="62" t="s">
        <v>60</v>
      </c>
      <c r="D4968" s="62" t="s">
        <v>71</v>
      </c>
      <c r="E4968" s="62" t="s">
        <v>382</v>
      </c>
      <c r="F4968" s="63" t="s">
        <v>753</v>
      </c>
      <c r="G4968" s="64" t="n">
        <v>26.911</v>
      </c>
      <c r="H4968" s="62"/>
    </row>
    <row r="4969" customFormat="false" ht="15" hidden="false" customHeight="false" outlineLevel="0" collapsed="false">
      <c r="A4969" s="62" t="n">
        <v>1</v>
      </c>
      <c r="B4969" s="62" t="s">
        <v>387</v>
      </c>
      <c r="C4969" s="62" t="s">
        <v>60</v>
      </c>
      <c r="D4969" s="62" t="s">
        <v>71</v>
      </c>
      <c r="E4969" s="62" t="s">
        <v>382</v>
      </c>
      <c r="F4969" s="63" t="s">
        <v>753</v>
      </c>
      <c r="G4969" s="64" t="n">
        <v>110.8</v>
      </c>
      <c r="H4969" s="62"/>
    </row>
    <row r="4970" customFormat="false" ht="15" hidden="false" customHeight="false" outlineLevel="0" collapsed="false">
      <c r="A4970" s="62" t="n">
        <v>1</v>
      </c>
      <c r="B4970" s="62" t="s">
        <v>388</v>
      </c>
      <c r="C4970" s="62" t="s">
        <v>60</v>
      </c>
      <c r="D4970" s="62" t="s">
        <v>71</v>
      </c>
      <c r="E4970" s="62" t="s">
        <v>382</v>
      </c>
      <c r="F4970" s="63" t="s">
        <v>753</v>
      </c>
      <c r="G4970" s="64" t="n">
        <v>84</v>
      </c>
      <c r="H4970" s="62"/>
    </row>
    <row r="4971" customFormat="false" ht="15" hidden="false" customHeight="false" outlineLevel="0" collapsed="false">
      <c r="A4971" s="62" t="n">
        <v>1</v>
      </c>
      <c r="B4971" s="62" t="s">
        <v>381</v>
      </c>
      <c r="C4971" s="62" t="s">
        <v>60</v>
      </c>
      <c r="D4971" s="62" t="s">
        <v>71</v>
      </c>
      <c r="E4971" s="62" t="s">
        <v>382</v>
      </c>
      <c r="F4971" s="63" t="s">
        <v>754</v>
      </c>
      <c r="G4971" s="64" t="n">
        <v>156.005</v>
      </c>
      <c r="H4971" s="62"/>
    </row>
    <row r="4972" customFormat="false" ht="15" hidden="false" customHeight="false" outlineLevel="0" collapsed="false">
      <c r="A4972" s="62" t="n">
        <v>1</v>
      </c>
      <c r="B4972" s="62" t="s">
        <v>383</v>
      </c>
      <c r="C4972" s="62" t="s">
        <v>60</v>
      </c>
      <c r="D4972" s="62" t="s">
        <v>71</v>
      </c>
      <c r="E4972" s="62" t="s">
        <v>382</v>
      </c>
      <c r="F4972" s="63" t="s">
        <v>754</v>
      </c>
      <c r="G4972" s="64" t="n">
        <v>184.242</v>
      </c>
      <c r="H4972" s="62"/>
    </row>
    <row r="4973" customFormat="false" ht="15" hidden="false" customHeight="false" outlineLevel="0" collapsed="false">
      <c r="A4973" s="62" t="n">
        <v>1</v>
      </c>
      <c r="B4973" s="62" t="s">
        <v>387</v>
      </c>
      <c r="C4973" s="62" t="s">
        <v>60</v>
      </c>
      <c r="D4973" s="62" t="s">
        <v>71</v>
      </c>
      <c r="E4973" s="62" t="s">
        <v>382</v>
      </c>
      <c r="F4973" s="63" t="s">
        <v>754</v>
      </c>
      <c r="G4973" s="64" t="n">
        <v>212.938</v>
      </c>
      <c r="H4973" s="62"/>
    </row>
    <row r="4974" customFormat="false" ht="15" hidden="false" customHeight="false" outlineLevel="0" collapsed="false">
      <c r="A4974" s="62" t="n">
        <v>1</v>
      </c>
      <c r="B4974" s="62" t="s">
        <v>388</v>
      </c>
      <c r="C4974" s="62" t="s">
        <v>60</v>
      </c>
      <c r="D4974" s="62" t="s">
        <v>71</v>
      </c>
      <c r="E4974" s="62" t="s">
        <v>382</v>
      </c>
      <c r="F4974" s="63" t="s">
        <v>754</v>
      </c>
      <c r="G4974" s="64" t="n">
        <v>155.05</v>
      </c>
      <c r="H4974" s="62"/>
    </row>
    <row r="4975" customFormat="false" ht="15" hidden="false" customHeight="false" outlineLevel="0" collapsed="false">
      <c r="A4975" s="62" t="n">
        <v>1</v>
      </c>
      <c r="B4975" s="62" t="s">
        <v>381</v>
      </c>
      <c r="C4975" s="62" t="s">
        <v>60</v>
      </c>
      <c r="D4975" s="62" t="s">
        <v>71</v>
      </c>
      <c r="E4975" s="62" t="s">
        <v>92</v>
      </c>
      <c r="F4975" s="63" t="s">
        <v>479</v>
      </c>
      <c r="G4975" s="64" t="n">
        <v>18.4352805843572</v>
      </c>
      <c r="H4975" s="62" t="s">
        <v>42</v>
      </c>
    </row>
    <row r="4976" customFormat="false" ht="15" hidden="false" customHeight="false" outlineLevel="0" collapsed="false">
      <c r="A4976" s="62" t="n">
        <v>1</v>
      </c>
      <c r="B4976" s="62" t="s">
        <v>383</v>
      </c>
      <c r="C4976" s="62" t="s">
        <v>60</v>
      </c>
      <c r="D4976" s="62" t="s">
        <v>71</v>
      </c>
      <c r="E4976" s="62" t="s">
        <v>92</v>
      </c>
      <c r="F4976" s="63" t="s">
        <v>479</v>
      </c>
      <c r="G4976" s="64" t="n">
        <v>5.87663426116908</v>
      </c>
      <c r="H4976" s="62" t="s">
        <v>42</v>
      </c>
    </row>
    <row r="4977" customFormat="false" ht="15" hidden="false" customHeight="false" outlineLevel="0" collapsed="false">
      <c r="A4977" s="62" t="n">
        <v>1</v>
      </c>
      <c r="B4977" s="62" t="s">
        <v>384</v>
      </c>
      <c r="C4977" s="62" t="s">
        <v>60</v>
      </c>
      <c r="D4977" s="62" t="s">
        <v>71</v>
      </c>
      <c r="E4977" s="62" t="s">
        <v>92</v>
      </c>
      <c r="F4977" s="63" t="s">
        <v>479</v>
      </c>
      <c r="G4977" s="64" t="n">
        <v>21.855488486941</v>
      </c>
      <c r="H4977" s="62" t="s">
        <v>42</v>
      </c>
    </row>
    <row r="4978" customFormat="false" ht="15" hidden="false" customHeight="false" outlineLevel="0" collapsed="false">
      <c r="A4978" s="62" t="n">
        <v>1</v>
      </c>
      <c r="B4978" s="62" t="s">
        <v>385</v>
      </c>
      <c r="C4978" s="62" t="s">
        <v>60</v>
      </c>
      <c r="D4978" s="62" t="s">
        <v>71</v>
      </c>
      <c r="E4978" s="62" t="s">
        <v>92</v>
      </c>
      <c r="F4978" s="63" t="s">
        <v>479</v>
      </c>
      <c r="G4978" s="64" t="n">
        <v>12.8621425035512</v>
      </c>
      <c r="H4978" s="62" t="s">
        <v>42</v>
      </c>
    </row>
    <row r="4979" customFormat="false" ht="15" hidden="false" customHeight="false" outlineLevel="0" collapsed="false">
      <c r="A4979" s="62" t="n">
        <v>1</v>
      </c>
      <c r="B4979" s="62" t="s">
        <v>386</v>
      </c>
      <c r="C4979" s="62" t="s">
        <v>60</v>
      </c>
      <c r="D4979" s="62" t="s">
        <v>71</v>
      </c>
      <c r="E4979" s="62" t="s">
        <v>92</v>
      </c>
      <c r="F4979" s="63" t="s">
        <v>479</v>
      </c>
      <c r="G4979" s="64" t="n">
        <v>21.9404466632681</v>
      </c>
      <c r="H4979" s="62" t="s">
        <v>42</v>
      </c>
    </row>
    <row r="4980" customFormat="false" ht="15" hidden="false" customHeight="false" outlineLevel="0" collapsed="false">
      <c r="A4980" s="62" t="n">
        <v>1</v>
      </c>
      <c r="B4980" s="62" t="s">
        <v>387</v>
      </c>
      <c r="C4980" s="62" t="s">
        <v>60</v>
      </c>
      <c r="D4980" s="62" t="s">
        <v>71</v>
      </c>
      <c r="E4980" s="62" t="s">
        <v>92</v>
      </c>
      <c r="F4980" s="63" t="s">
        <v>479</v>
      </c>
      <c r="G4980" s="64" t="n">
        <v>11.2995659442018</v>
      </c>
      <c r="H4980" s="62" t="s">
        <v>42</v>
      </c>
    </row>
    <row r="4981" customFormat="false" ht="15" hidden="false" customHeight="false" outlineLevel="0" collapsed="false">
      <c r="A4981" s="62" t="n">
        <v>1</v>
      </c>
      <c r="B4981" s="62" t="s">
        <v>388</v>
      </c>
      <c r="C4981" s="62" t="s">
        <v>60</v>
      </c>
      <c r="D4981" s="62" t="s">
        <v>71</v>
      </c>
      <c r="E4981" s="62" t="s">
        <v>92</v>
      </c>
      <c r="F4981" s="63" t="s">
        <v>479</v>
      </c>
      <c r="G4981" s="64" t="n">
        <v>7.73044155651164</v>
      </c>
      <c r="H4981" s="62" t="s">
        <v>42</v>
      </c>
    </row>
    <row r="4982" customFormat="false" ht="15" hidden="false" customHeight="false" outlineLevel="0" collapsed="false">
      <c r="A4982" s="62" t="n">
        <v>1</v>
      </c>
      <c r="B4982" s="62" t="s">
        <v>381</v>
      </c>
      <c r="C4982" s="62" t="s">
        <v>60</v>
      </c>
      <c r="D4982" s="62" t="s">
        <v>71</v>
      </c>
      <c r="E4982" s="62" t="s">
        <v>94</v>
      </c>
      <c r="F4982" s="63" t="s">
        <v>479</v>
      </c>
      <c r="G4982" s="64" t="n">
        <v>41.3020947069299</v>
      </c>
      <c r="H4982" s="62" t="s">
        <v>42</v>
      </c>
    </row>
    <row r="4983" customFormat="false" ht="15" hidden="false" customHeight="false" outlineLevel="0" collapsed="false">
      <c r="A4983" s="62" t="n">
        <v>1</v>
      </c>
      <c r="B4983" s="62" t="s">
        <v>383</v>
      </c>
      <c r="C4983" s="62" t="s">
        <v>60</v>
      </c>
      <c r="D4983" s="62" t="s">
        <v>71</v>
      </c>
      <c r="E4983" s="62" t="s">
        <v>94</v>
      </c>
      <c r="F4983" s="63" t="s">
        <v>479</v>
      </c>
      <c r="G4983" s="64" t="n">
        <v>7.12478455084978</v>
      </c>
      <c r="H4983" s="62" t="s">
        <v>42</v>
      </c>
    </row>
    <row r="4984" customFormat="false" ht="15" hidden="false" customHeight="false" outlineLevel="0" collapsed="false">
      <c r="A4984" s="62" t="n">
        <v>1</v>
      </c>
      <c r="B4984" s="62" t="s">
        <v>384</v>
      </c>
      <c r="C4984" s="62" t="s">
        <v>60</v>
      </c>
      <c r="D4984" s="62" t="s">
        <v>71</v>
      </c>
      <c r="E4984" s="62" t="s">
        <v>94</v>
      </c>
      <c r="F4984" s="63" t="s">
        <v>479</v>
      </c>
      <c r="G4984" s="64" t="n">
        <v>0</v>
      </c>
      <c r="H4984" s="62" t="s">
        <v>42</v>
      </c>
    </row>
    <row r="4985" customFormat="false" ht="15" hidden="false" customHeight="false" outlineLevel="0" collapsed="false">
      <c r="A4985" s="62" t="n">
        <v>1</v>
      </c>
      <c r="B4985" s="62" t="s">
        <v>385</v>
      </c>
      <c r="C4985" s="62" t="s">
        <v>60</v>
      </c>
      <c r="D4985" s="62" t="s">
        <v>71</v>
      </c>
      <c r="E4985" s="62" t="s">
        <v>94</v>
      </c>
      <c r="F4985" s="63" t="s">
        <v>479</v>
      </c>
      <c r="G4985" s="64" t="n">
        <v>0</v>
      </c>
      <c r="H4985" s="62" t="s">
        <v>42</v>
      </c>
    </row>
    <row r="4986" customFormat="false" ht="15" hidden="false" customHeight="false" outlineLevel="0" collapsed="false">
      <c r="A4986" s="62" t="n">
        <v>1</v>
      </c>
      <c r="B4986" s="62" t="s">
        <v>386</v>
      </c>
      <c r="C4986" s="62" t="s">
        <v>60</v>
      </c>
      <c r="D4986" s="62" t="s">
        <v>71</v>
      </c>
      <c r="E4986" s="62" t="s">
        <v>94</v>
      </c>
      <c r="F4986" s="63" t="s">
        <v>479</v>
      </c>
      <c r="G4986" s="64" t="n">
        <v>0</v>
      </c>
      <c r="H4986" s="62" t="s">
        <v>42</v>
      </c>
    </row>
    <row r="4987" customFormat="false" ht="15" hidden="false" customHeight="false" outlineLevel="0" collapsed="false">
      <c r="A4987" s="62" t="n">
        <v>1</v>
      </c>
      <c r="B4987" s="62" t="s">
        <v>387</v>
      </c>
      <c r="C4987" s="62" t="s">
        <v>60</v>
      </c>
      <c r="D4987" s="62" t="s">
        <v>71</v>
      </c>
      <c r="E4987" s="62" t="s">
        <v>94</v>
      </c>
      <c r="F4987" s="63" t="s">
        <v>479</v>
      </c>
      <c r="G4987" s="64" t="n">
        <v>29.3341980402362</v>
      </c>
      <c r="H4987" s="62" t="s">
        <v>42</v>
      </c>
    </row>
    <row r="4988" customFormat="false" ht="15" hidden="false" customHeight="false" outlineLevel="0" collapsed="false">
      <c r="A4988" s="62" t="n">
        <v>1</v>
      </c>
      <c r="B4988" s="62" t="s">
        <v>388</v>
      </c>
      <c r="C4988" s="62" t="s">
        <v>60</v>
      </c>
      <c r="D4988" s="62" t="s">
        <v>71</v>
      </c>
      <c r="E4988" s="62" t="s">
        <v>94</v>
      </c>
      <c r="F4988" s="63" t="s">
        <v>479</v>
      </c>
      <c r="G4988" s="64" t="n">
        <v>22.2389227019841</v>
      </c>
      <c r="H4988" s="62" t="s">
        <v>42</v>
      </c>
    </row>
    <row r="4989" customFormat="false" ht="15" hidden="false" customHeight="false" outlineLevel="0" collapsed="false">
      <c r="A4989" s="62" t="n">
        <v>1</v>
      </c>
      <c r="B4989" s="62" t="s">
        <v>381</v>
      </c>
      <c r="C4989" s="62" t="s">
        <v>60</v>
      </c>
      <c r="D4989" s="62" t="s">
        <v>71</v>
      </c>
      <c r="E4989" s="62" t="s">
        <v>95</v>
      </c>
      <c r="F4989" s="63" t="s">
        <v>479</v>
      </c>
      <c r="G4989" s="64" t="n">
        <v>0</v>
      </c>
      <c r="H4989" s="62" t="s">
        <v>42</v>
      </c>
    </row>
    <row r="4990" customFormat="false" ht="15" hidden="false" customHeight="false" outlineLevel="0" collapsed="false">
      <c r="A4990" s="62" t="n">
        <v>1</v>
      </c>
      <c r="B4990" s="62" t="s">
        <v>383</v>
      </c>
      <c r="C4990" s="62" t="s">
        <v>60</v>
      </c>
      <c r="D4990" s="62" t="s">
        <v>71</v>
      </c>
      <c r="E4990" s="62" t="s">
        <v>95</v>
      </c>
      <c r="F4990" s="63" t="s">
        <v>479</v>
      </c>
      <c r="G4990" s="64" t="n">
        <v>0</v>
      </c>
      <c r="H4990" s="62" t="s">
        <v>42</v>
      </c>
    </row>
    <row r="4991" customFormat="false" ht="15" hidden="false" customHeight="false" outlineLevel="0" collapsed="false">
      <c r="A4991" s="62" t="n">
        <v>1</v>
      </c>
      <c r="B4991" s="62" t="s">
        <v>384</v>
      </c>
      <c r="C4991" s="62" t="s">
        <v>60</v>
      </c>
      <c r="D4991" s="62" t="s">
        <v>71</v>
      </c>
      <c r="E4991" s="62" t="s">
        <v>95</v>
      </c>
      <c r="F4991" s="63" t="s">
        <v>479</v>
      </c>
      <c r="G4991" s="64" t="n">
        <v>0</v>
      </c>
      <c r="H4991" s="62" t="s">
        <v>42</v>
      </c>
    </row>
    <row r="4992" customFormat="false" ht="15" hidden="false" customHeight="false" outlineLevel="0" collapsed="false">
      <c r="A4992" s="62" t="n">
        <v>1</v>
      </c>
      <c r="B4992" s="62" t="s">
        <v>385</v>
      </c>
      <c r="C4992" s="62" t="s">
        <v>60</v>
      </c>
      <c r="D4992" s="62" t="s">
        <v>71</v>
      </c>
      <c r="E4992" s="62" t="s">
        <v>95</v>
      </c>
      <c r="F4992" s="63" t="s">
        <v>479</v>
      </c>
      <c r="G4992" s="64" t="n">
        <v>0</v>
      </c>
      <c r="H4992" s="62" t="s">
        <v>42</v>
      </c>
    </row>
    <row r="4993" customFormat="false" ht="15" hidden="false" customHeight="false" outlineLevel="0" collapsed="false">
      <c r="A4993" s="62" t="n">
        <v>1</v>
      </c>
      <c r="B4993" s="62" t="s">
        <v>386</v>
      </c>
      <c r="C4993" s="62" t="s">
        <v>60</v>
      </c>
      <c r="D4993" s="62" t="s">
        <v>71</v>
      </c>
      <c r="E4993" s="62" t="s">
        <v>95</v>
      </c>
      <c r="F4993" s="63" t="s">
        <v>479</v>
      </c>
      <c r="G4993" s="64" t="n">
        <v>0</v>
      </c>
      <c r="H4993" s="62" t="s">
        <v>42</v>
      </c>
    </row>
    <row r="4994" customFormat="false" ht="15" hidden="false" customHeight="false" outlineLevel="0" collapsed="false">
      <c r="A4994" s="62" t="n">
        <v>1</v>
      </c>
      <c r="B4994" s="62" t="s">
        <v>387</v>
      </c>
      <c r="C4994" s="62" t="s">
        <v>60</v>
      </c>
      <c r="D4994" s="62" t="s">
        <v>71</v>
      </c>
      <c r="E4994" s="62" t="s">
        <v>95</v>
      </c>
      <c r="F4994" s="63" t="s">
        <v>479</v>
      </c>
      <c r="G4994" s="64" t="n">
        <v>0</v>
      </c>
      <c r="H4994" s="62" t="s">
        <v>42</v>
      </c>
    </row>
    <row r="4995" customFormat="false" ht="15" hidden="false" customHeight="false" outlineLevel="0" collapsed="false">
      <c r="A4995" s="62" t="n">
        <v>1</v>
      </c>
      <c r="B4995" s="62" t="s">
        <v>388</v>
      </c>
      <c r="C4995" s="62" t="s">
        <v>60</v>
      </c>
      <c r="D4995" s="62" t="s">
        <v>71</v>
      </c>
      <c r="E4995" s="62" t="s">
        <v>95</v>
      </c>
      <c r="F4995" s="63" t="s">
        <v>479</v>
      </c>
      <c r="G4995" s="64" t="n">
        <v>0</v>
      </c>
      <c r="H4995" s="62" t="s">
        <v>42</v>
      </c>
    </row>
    <row r="4996" customFormat="false" ht="15" hidden="false" customHeight="false" outlineLevel="0" collapsed="false">
      <c r="A4996" s="62" t="n">
        <v>1</v>
      </c>
      <c r="B4996" s="62" t="s">
        <v>381</v>
      </c>
      <c r="C4996" s="62" t="s">
        <v>60</v>
      </c>
      <c r="D4996" s="62" t="s">
        <v>71</v>
      </c>
      <c r="E4996" s="62" t="s">
        <v>97</v>
      </c>
      <c r="F4996" s="63" t="s">
        <v>479</v>
      </c>
      <c r="G4996" s="64" t="n">
        <v>0</v>
      </c>
      <c r="H4996" s="62" t="s">
        <v>42</v>
      </c>
    </row>
    <row r="4997" customFormat="false" ht="15" hidden="false" customHeight="false" outlineLevel="0" collapsed="false">
      <c r="A4997" s="62" t="n">
        <v>1</v>
      </c>
      <c r="B4997" s="62" t="s">
        <v>383</v>
      </c>
      <c r="C4997" s="62" t="s">
        <v>60</v>
      </c>
      <c r="D4997" s="62" t="s">
        <v>71</v>
      </c>
      <c r="E4997" s="62" t="s">
        <v>97</v>
      </c>
      <c r="F4997" s="63" t="s">
        <v>479</v>
      </c>
      <c r="G4997" s="64" t="n">
        <v>0</v>
      </c>
      <c r="H4997" s="62" t="s">
        <v>42</v>
      </c>
    </row>
    <row r="4998" customFormat="false" ht="15" hidden="false" customHeight="false" outlineLevel="0" collapsed="false">
      <c r="A4998" s="62" t="n">
        <v>1</v>
      </c>
      <c r="B4998" s="62" t="s">
        <v>384</v>
      </c>
      <c r="C4998" s="62" t="s">
        <v>60</v>
      </c>
      <c r="D4998" s="62" t="s">
        <v>71</v>
      </c>
      <c r="E4998" s="62" t="s">
        <v>97</v>
      </c>
      <c r="F4998" s="63" t="s">
        <v>479</v>
      </c>
      <c r="G4998" s="64" t="n">
        <v>0</v>
      </c>
      <c r="H4998" s="62" t="s">
        <v>42</v>
      </c>
    </row>
    <row r="4999" customFormat="false" ht="15" hidden="false" customHeight="false" outlineLevel="0" collapsed="false">
      <c r="A4999" s="62" t="n">
        <v>1</v>
      </c>
      <c r="B4999" s="62" t="s">
        <v>385</v>
      </c>
      <c r="C4999" s="62" t="s">
        <v>60</v>
      </c>
      <c r="D4999" s="62" t="s">
        <v>71</v>
      </c>
      <c r="E4999" s="62" t="s">
        <v>97</v>
      </c>
      <c r="F4999" s="63" t="s">
        <v>479</v>
      </c>
      <c r="G4999" s="64" t="n">
        <v>0</v>
      </c>
      <c r="H4999" s="62" t="s">
        <v>42</v>
      </c>
    </row>
    <row r="5000" customFormat="false" ht="15" hidden="false" customHeight="false" outlineLevel="0" collapsed="false">
      <c r="A5000" s="62" t="n">
        <v>1</v>
      </c>
      <c r="B5000" s="62" t="s">
        <v>386</v>
      </c>
      <c r="C5000" s="62" t="s">
        <v>60</v>
      </c>
      <c r="D5000" s="62" t="s">
        <v>71</v>
      </c>
      <c r="E5000" s="62" t="s">
        <v>97</v>
      </c>
      <c r="F5000" s="63" t="s">
        <v>479</v>
      </c>
      <c r="G5000" s="64" t="n">
        <v>0</v>
      </c>
      <c r="H5000" s="62" t="s">
        <v>42</v>
      </c>
    </row>
    <row r="5001" customFormat="false" ht="15" hidden="false" customHeight="false" outlineLevel="0" collapsed="false">
      <c r="A5001" s="62" t="n">
        <v>1</v>
      </c>
      <c r="B5001" s="62" t="s">
        <v>387</v>
      </c>
      <c r="C5001" s="62" t="s">
        <v>60</v>
      </c>
      <c r="D5001" s="62" t="s">
        <v>71</v>
      </c>
      <c r="E5001" s="62" t="s">
        <v>97</v>
      </c>
      <c r="F5001" s="63" t="s">
        <v>479</v>
      </c>
      <c r="G5001" s="64" t="n">
        <v>0</v>
      </c>
      <c r="H5001" s="62" t="s">
        <v>42</v>
      </c>
    </row>
    <row r="5002" customFormat="false" ht="15" hidden="false" customHeight="false" outlineLevel="0" collapsed="false">
      <c r="A5002" s="62" t="n">
        <v>1</v>
      </c>
      <c r="B5002" s="62" t="s">
        <v>388</v>
      </c>
      <c r="C5002" s="62" t="s">
        <v>60</v>
      </c>
      <c r="D5002" s="62" t="s">
        <v>71</v>
      </c>
      <c r="E5002" s="62" t="s">
        <v>97</v>
      </c>
      <c r="F5002" s="63" t="s">
        <v>479</v>
      </c>
      <c r="G5002" s="64" t="n">
        <v>0</v>
      </c>
      <c r="H5002" s="62" t="s">
        <v>42</v>
      </c>
    </row>
    <row r="5003" customFormat="false" ht="15" hidden="false" customHeight="false" outlineLevel="0" collapsed="false">
      <c r="A5003" s="62" t="n">
        <v>1</v>
      </c>
      <c r="B5003" s="62" t="s">
        <v>381</v>
      </c>
      <c r="C5003" s="62" t="s">
        <v>60</v>
      </c>
      <c r="D5003" s="62" t="s">
        <v>71</v>
      </c>
      <c r="E5003" s="62" t="s">
        <v>382</v>
      </c>
      <c r="F5003" s="63" t="s">
        <v>486</v>
      </c>
      <c r="G5003" s="64" t="n">
        <v>21.1583366726385</v>
      </c>
      <c r="H5003" s="62" t="s">
        <v>42</v>
      </c>
    </row>
    <row r="5004" customFormat="false" ht="15" hidden="false" customHeight="false" outlineLevel="0" collapsed="false">
      <c r="A5004" s="62" t="n">
        <v>1</v>
      </c>
      <c r="B5004" s="62" t="s">
        <v>383</v>
      </c>
      <c r="C5004" s="62" t="s">
        <v>60</v>
      </c>
      <c r="D5004" s="62" t="s">
        <v>71</v>
      </c>
      <c r="E5004" s="62" t="s">
        <v>382</v>
      </c>
      <c r="F5004" s="63" t="s">
        <v>486</v>
      </c>
      <c r="G5004" s="64" t="n">
        <v>6.02526813850707</v>
      </c>
      <c r="H5004" s="62" t="s">
        <v>42</v>
      </c>
    </row>
    <row r="5005" customFormat="false" ht="15" hidden="false" customHeight="false" outlineLevel="0" collapsed="false">
      <c r="A5005" s="62" t="n">
        <v>1</v>
      </c>
      <c r="B5005" s="62" t="s">
        <v>384</v>
      </c>
      <c r="C5005" s="62" t="s">
        <v>60</v>
      </c>
      <c r="D5005" s="62" t="s">
        <v>71</v>
      </c>
      <c r="E5005" s="62" t="s">
        <v>382</v>
      </c>
      <c r="F5005" s="63" t="s">
        <v>486</v>
      </c>
      <c r="G5005" s="64" t="n">
        <v>19.252864410508</v>
      </c>
      <c r="H5005" s="62" t="s">
        <v>42</v>
      </c>
    </row>
    <row r="5006" customFormat="false" ht="15" hidden="false" customHeight="false" outlineLevel="0" collapsed="false">
      <c r="A5006" s="62" t="n">
        <v>1</v>
      </c>
      <c r="B5006" s="62" t="s">
        <v>385</v>
      </c>
      <c r="C5006" s="62" t="s">
        <v>60</v>
      </c>
      <c r="D5006" s="62" t="s">
        <v>71</v>
      </c>
      <c r="E5006" s="62" t="s">
        <v>382</v>
      </c>
      <c r="F5006" s="63" t="s">
        <v>486</v>
      </c>
      <c r="G5006" s="64" t="n">
        <v>11.3304759029965</v>
      </c>
      <c r="H5006" s="62" t="s">
        <v>42</v>
      </c>
    </row>
    <row r="5007" customFormat="false" ht="15" hidden="false" customHeight="false" outlineLevel="0" collapsed="false">
      <c r="A5007" s="62" t="n">
        <v>1</v>
      </c>
      <c r="B5007" s="62" t="s">
        <v>386</v>
      </c>
      <c r="C5007" s="62" t="s">
        <v>60</v>
      </c>
      <c r="D5007" s="62" t="s">
        <v>71</v>
      </c>
      <c r="E5007" s="62" t="s">
        <v>382</v>
      </c>
      <c r="F5007" s="63" t="s">
        <v>486</v>
      </c>
      <c r="G5007" s="64" t="n">
        <v>19.3277054853421</v>
      </c>
      <c r="H5007" s="62" t="s">
        <v>42</v>
      </c>
    </row>
    <row r="5008" customFormat="false" ht="15" hidden="false" customHeight="false" outlineLevel="0" collapsed="false">
      <c r="A5008" s="62" t="n">
        <v>1</v>
      </c>
      <c r="B5008" s="62" t="s">
        <v>387</v>
      </c>
      <c r="C5008" s="62" t="s">
        <v>60</v>
      </c>
      <c r="D5008" s="62" t="s">
        <v>71</v>
      </c>
      <c r="E5008" s="62" t="s">
        <v>382</v>
      </c>
      <c r="F5008" s="63" t="s">
        <v>486</v>
      </c>
      <c r="G5008" s="64" t="n">
        <v>13.4471897655956</v>
      </c>
      <c r="H5008" s="62" t="s">
        <v>42</v>
      </c>
    </row>
    <row r="5009" customFormat="false" ht="15" hidden="false" customHeight="false" outlineLevel="0" collapsed="false">
      <c r="A5009" s="62" t="n">
        <v>1</v>
      </c>
      <c r="B5009" s="62" t="s">
        <v>388</v>
      </c>
      <c r="C5009" s="62" t="s">
        <v>60</v>
      </c>
      <c r="D5009" s="62" t="s">
        <v>71</v>
      </c>
      <c r="E5009" s="62" t="s">
        <v>382</v>
      </c>
      <c r="F5009" s="63" t="s">
        <v>486</v>
      </c>
      <c r="G5009" s="64" t="n">
        <v>9.45815962441226</v>
      </c>
      <c r="H5009" s="62" t="s">
        <v>42</v>
      </c>
    </row>
    <row r="5010" customFormat="false" ht="15" hidden="false" customHeight="false" outlineLevel="0" collapsed="false">
      <c r="A5010" s="62" t="n">
        <v>1</v>
      </c>
      <c r="B5010" s="62" t="s">
        <v>381</v>
      </c>
      <c r="C5010" s="62" t="s">
        <v>60</v>
      </c>
      <c r="D5010" s="62" t="s">
        <v>72</v>
      </c>
      <c r="E5010" s="62" t="s">
        <v>382</v>
      </c>
      <c r="F5010" s="63" t="s">
        <v>488</v>
      </c>
      <c r="G5010" s="64" t="n">
        <v>22000</v>
      </c>
      <c r="H5010" s="62"/>
    </row>
    <row r="5011" customFormat="false" ht="15" hidden="false" customHeight="false" outlineLevel="0" collapsed="false">
      <c r="A5011" s="62" t="n">
        <v>1</v>
      </c>
      <c r="B5011" s="62" t="s">
        <v>383</v>
      </c>
      <c r="C5011" s="62" t="s">
        <v>60</v>
      </c>
      <c r="D5011" s="62" t="s">
        <v>72</v>
      </c>
      <c r="E5011" s="62" t="s">
        <v>382</v>
      </c>
      <c r="F5011" s="63" t="s">
        <v>488</v>
      </c>
      <c r="G5011" s="64" t="n">
        <v>33683</v>
      </c>
      <c r="H5011" s="62"/>
    </row>
    <row r="5012" customFormat="false" ht="15" hidden="false" customHeight="false" outlineLevel="0" collapsed="false">
      <c r="A5012" s="62" t="n">
        <v>1</v>
      </c>
      <c r="B5012" s="62" t="s">
        <v>384</v>
      </c>
      <c r="C5012" s="62" t="s">
        <v>60</v>
      </c>
      <c r="D5012" s="62" t="s">
        <v>72</v>
      </c>
      <c r="E5012" s="62" t="s">
        <v>382</v>
      </c>
      <c r="F5012" s="63" t="s">
        <v>488</v>
      </c>
      <c r="G5012" s="64" t="n">
        <v>25000</v>
      </c>
      <c r="H5012" s="62"/>
    </row>
    <row r="5013" customFormat="false" ht="15" hidden="false" customHeight="false" outlineLevel="0" collapsed="false">
      <c r="A5013" s="62" t="n">
        <v>1</v>
      </c>
      <c r="B5013" s="62" t="s">
        <v>385</v>
      </c>
      <c r="C5013" s="62" t="s">
        <v>60</v>
      </c>
      <c r="D5013" s="62" t="s">
        <v>72</v>
      </c>
      <c r="E5013" s="62" t="s">
        <v>382</v>
      </c>
      <c r="F5013" s="63" t="s">
        <v>488</v>
      </c>
      <c r="G5013" s="64" t="n">
        <v>40000</v>
      </c>
      <c r="H5013" s="62"/>
    </row>
    <row r="5014" customFormat="false" ht="15" hidden="false" customHeight="false" outlineLevel="0" collapsed="false">
      <c r="A5014" s="62" t="n">
        <v>1</v>
      </c>
      <c r="B5014" s="62" t="s">
        <v>386</v>
      </c>
      <c r="C5014" s="62" t="s">
        <v>60</v>
      </c>
      <c r="D5014" s="62" t="s">
        <v>72</v>
      </c>
      <c r="E5014" s="62" t="s">
        <v>382</v>
      </c>
      <c r="F5014" s="63" t="s">
        <v>488</v>
      </c>
      <c r="G5014" s="64" t="n">
        <v>23500</v>
      </c>
      <c r="H5014" s="62"/>
    </row>
    <row r="5015" customFormat="false" ht="15" hidden="false" customHeight="false" outlineLevel="0" collapsed="false">
      <c r="A5015" s="62" t="n">
        <v>1</v>
      </c>
      <c r="B5015" s="62" t="s">
        <v>387</v>
      </c>
      <c r="C5015" s="62" t="s">
        <v>60</v>
      </c>
      <c r="D5015" s="62" t="s">
        <v>72</v>
      </c>
      <c r="E5015" s="62" t="s">
        <v>382</v>
      </c>
      <c r="F5015" s="63" t="s">
        <v>488</v>
      </c>
      <c r="G5015" s="64" t="n">
        <v>32000</v>
      </c>
      <c r="H5015" s="62"/>
    </row>
    <row r="5016" customFormat="false" ht="15" hidden="false" customHeight="false" outlineLevel="0" collapsed="false">
      <c r="A5016" s="62" t="n">
        <v>1</v>
      </c>
      <c r="B5016" s="62" t="s">
        <v>388</v>
      </c>
      <c r="C5016" s="62" t="s">
        <v>60</v>
      </c>
      <c r="D5016" s="62" t="s">
        <v>72</v>
      </c>
      <c r="E5016" s="62" t="s">
        <v>382</v>
      </c>
      <c r="F5016" s="63" t="s">
        <v>488</v>
      </c>
      <c r="G5016" s="64" t="n">
        <v>27650</v>
      </c>
      <c r="H5016" s="62"/>
    </row>
    <row r="5017" customFormat="false" ht="15" hidden="false" customHeight="false" outlineLevel="0" collapsed="false">
      <c r="A5017" s="62" t="n">
        <v>1</v>
      </c>
      <c r="B5017" s="62" t="s">
        <v>381</v>
      </c>
      <c r="C5017" s="62" t="s">
        <v>60</v>
      </c>
      <c r="D5017" s="62" t="s">
        <v>72</v>
      </c>
      <c r="E5017" s="62" t="s">
        <v>382</v>
      </c>
      <c r="F5017" s="63" t="s">
        <v>482</v>
      </c>
      <c r="G5017" s="64" t="n">
        <v>6</v>
      </c>
      <c r="H5017" s="62"/>
    </row>
    <row r="5018" customFormat="false" ht="15" hidden="false" customHeight="false" outlineLevel="0" collapsed="false">
      <c r="A5018" s="62" t="n">
        <v>1</v>
      </c>
      <c r="B5018" s="62" t="s">
        <v>383</v>
      </c>
      <c r="C5018" s="62" t="s">
        <v>60</v>
      </c>
      <c r="D5018" s="62" t="s">
        <v>72</v>
      </c>
      <c r="E5018" s="62" t="s">
        <v>382</v>
      </c>
      <c r="F5018" s="63" t="s">
        <v>482</v>
      </c>
      <c r="G5018" s="64" t="n">
        <v>6</v>
      </c>
      <c r="H5018" s="62"/>
    </row>
    <row r="5019" customFormat="false" ht="15" hidden="false" customHeight="false" outlineLevel="0" collapsed="false">
      <c r="A5019" s="62" t="n">
        <v>1</v>
      </c>
      <c r="B5019" s="62" t="s">
        <v>384</v>
      </c>
      <c r="C5019" s="62" t="s">
        <v>60</v>
      </c>
      <c r="D5019" s="62" t="s">
        <v>72</v>
      </c>
      <c r="E5019" s="62" t="s">
        <v>382</v>
      </c>
      <c r="F5019" s="63" t="s">
        <v>482</v>
      </c>
      <c r="G5019" s="64" t="n">
        <v>6</v>
      </c>
      <c r="H5019" s="62"/>
    </row>
    <row r="5020" customFormat="false" ht="15" hidden="false" customHeight="false" outlineLevel="0" collapsed="false">
      <c r="A5020" s="62" t="n">
        <v>1</v>
      </c>
      <c r="B5020" s="62" t="s">
        <v>385</v>
      </c>
      <c r="C5020" s="62" t="s">
        <v>60</v>
      </c>
      <c r="D5020" s="62" t="s">
        <v>72</v>
      </c>
      <c r="E5020" s="62" t="s">
        <v>382</v>
      </c>
      <c r="F5020" s="63" t="s">
        <v>482</v>
      </c>
      <c r="G5020" s="64" t="n">
        <v>5</v>
      </c>
      <c r="H5020" s="62"/>
    </row>
    <row r="5021" customFormat="false" ht="15" hidden="false" customHeight="false" outlineLevel="0" collapsed="false">
      <c r="A5021" s="62" t="n">
        <v>1</v>
      </c>
      <c r="B5021" s="62" t="s">
        <v>386</v>
      </c>
      <c r="C5021" s="62" t="s">
        <v>60</v>
      </c>
      <c r="D5021" s="62" t="s">
        <v>72</v>
      </c>
      <c r="E5021" s="62" t="s">
        <v>382</v>
      </c>
      <c r="F5021" s="63" t="s">
        <v>482</v>
      </c>
      <c r="G5021" s="64" t="n">
        <v>3</v>
      </c>
      <c r="H5021" s="62"/>
    </row>
    <row r="5022" customFormat="false" ht="15" hidden="false" customHeight="false" outlineLevel="0" collapsed="false">
      <c r="A5022" s="62" t="n">
        <v>1</v>
      </c>
      <c r="B5022" s="62" t="s">
        <v>387</v>
      </c>
      <c r="C5022" s="62" t="s">
        <v>60</v>
      </c>
      <c r="D5022" s="62" t="s">
        <v>72</v>
      </c>
      <c r="E5022" s="62" t="s">
        <v>382</v>
      </c>
      <c r="F5022" s="63" t="s">
        <v>482</v>
      </c>
      <c r="G5022" s="64" t="n">
        <v>5</v>
      </c>
      <c r="H5022" s="62"/>
    </row>
    <row r="5023" customFormat="false" ht="15" hidden="false" customHeight="false" outlineLevel="0" collapsed="false">
      <c r="A5023" s="62" t="n">
        <v>1</v>
      </c>
      <c r="B5023" s="62" t="s">
        <v>388</v>
      </c>
      <c r="C5023" s="62" t="s">
        <v>60</v>
      </c>
      <c r="D5023" s="62" t="s">
        <v>72</v>
      </c>
      <c r="E5023" s="62" t="s">
        <v>382</v>
      </c>
      <c r="F5023" s="63" t="s">
        <v>482</v>
      </c>
      <c r="G5023" s="64" t="n">
        <v>7</v>
      </c>
      <c r="H5023" s="62"/>
    </row>
    <row r="5024" customFormat="false" ht="15" hidden="false" customHeight="false" outlineLevel="0" collapsed="false">
      <c r="A5024" s="62" t="n">
        <v>1</v>
      </c>
      <c r="B5024" s="62" t="s">
        <v>381</v>
      </c>
      <c r="C5024" s="62" t="s">
        <v>60</v>
      </c>
      <c r="D5024" s="62" t="s">
        <v>72</v>
      </c>
      <c r="E5024" s="62" t="s">
        <v>382</v>
      </c>
      <c r="F5024" s="63" t="s">
        <v>483</v>
      </c>
      <c r="G5024" s="64" t="s">
        <v>44</v>
      </c>
      <c r="H5024" s="62"/>
    </row>
    <row r="5025" customFormat="false" ht="15" hidden="false" customHeight="false" outlineLevel="0" collapsed="false">
      <c r="A5025" s="62" t="n">
        <v>1</v>
      </c>
      <c r="B5025" s="62" t="s">
        <v>383</v>
      </c>
      <c r="C5025" s="62" t="s">
        <v>60</v>
      </c>
      <c r="D5025" s="62" t="s">
        <v>72</v>
      </c>
      <c r="E5025" s="62" t="s">
        <v>382</v>
      </c>
      <c r="F5025" s="63" t="s">
        <v>483</v>
      </c>
      <c r="G5025" s="64" t="s">
        <v>35</v>
      </c>
      <c r="H5025" s="62"/>
    </row>
    <row r="5026" customFormat="false" ht="15" hidden="false" customHeight="false" outlineLevel="0" collapsed="false">
      <c r="A5026" s="62" t="n">
        <v>1</v>
      </c>
      <c r="B5026" s="62" t="s">
        <v>384</v>
      </c>
      <c r="C5026" s="62" t="s">
        <v>60</v>
      </c>
      <c r="D5026" s="62" t="s">
        <v>72</v>
      </c>
      <c r="E5026" s="62" t="s">
        <v>382</v>
      </c>
      <c r="F5026" s="63" t="s">
        <v>483</v>
      </c>
      <c r="G5026" s="64" t="s">
        <v>35</v>
      </c>
      <c r="H5026" s="62"/>
    </row>
    <row r="5027" customFormat="false" ht="15" hidden="false" customHeight="false" outlineLevel="0" collapsed="false">
      <c r="A5027" s="62" t="n">
        <v>1</v>
      </c>
      <c r="B5027" s="62" t="s">
        <v>385</v>
      </c>
      <c r="C5027" s="62" t="s">
        <v>60</v>
      </c>
      <c r="D5027" s="62" t="s">
        <v>72</v>
      </c>
      <c r="E5027" s="62" t="s">
        <v>382</v>
      </c>
      <c r="F5027" s="63" t="s">
        <v>483</v>
      </c>
      <c r="G5027" s="64" t="s">
        <v>40</v>
      </c>
      <c r="H5027" s="62"/>
    </row>
    <row r="5028" customFormat="false" ht="15" hidden="false" customHeight="false" outlineLevel="0" collapsed="false">
      <c r="A5028" s="62" t="n">
        <v>1</v>
      </c>
      <c r="B5028" s="62" t="s">
        <v>386</v>
      </c>
      <c r="C5028" s="62" t="s">
        <v>60</v>
      </c>
      <c r="D5028" s="62" t="s">
        <v>72</v>
      </c>
      <c r="E5028" s="62" t="s">
        <v>382</v>
      </c>
      <c r="F5028" s="63" t="s">
        <v>483</v>
      </c>
      <c r="G5028" s="64" t="s">
        <v>44</v>
      </c>
      <c r="H5028" s="62"/>
    </row>
    <row r="5029" customFormat="false" ht="15" hidden="false" customHeight="false" outlineLevel="0" collapsed="false">
      <c r="A5029" s="62" t="n">
        <v>1</v>
      </c>
      <c r="B5029" s="62" t="s">
        <v>387</v>
      </c>
      <c r="C5029" s="62" t="s">
        <v>60</v>
      </c>
      <c r="D5029" s="62" t="s">
        <v>72</v>
      </c>
      <c r="E5029" s="62" t="s">
        <v>382</v>
      </c>
      <c r="F5029" s="63" t="s">
        <v>483</v>
      </c>
      <c r="G5029" s="64" t="s">
        <v>40</v>
      </c>
      <c r="H5029" s="62"/>
    </row>
    <row r="5030" customFormat="false" ht="15" hidden="false" customHeight="false" outlineLevel="0" collapsed="false">
      <c r="A5030" s="62" t="n">
        <v>1</v>
      </c>
      <c r="B5030" s="62" t="s">
        <v>388</v>
      </c>
      <c r="C5030" s="62" t="s">
        <v>60</v>
      </c>
      <c r="D5030" s="62" t="s">
        <v>72</v>
      </c>
      <c r="E5030" s="62" t="s">
        <v>382</v>
      </c>
      <c r="F5030" s="63" t="s">
        <v>483</v>
      </c>
      <c r="G5030" s="64" t="s">
        <v>35</v>
      </c>
      <c r="H5030" s="62"/>
    </row>
    <row r="5031" customFormat="false" ht="15" hidden="false" customHeight="false" outlineLevel="0" collapsed="false">
      <c r="A5031" s="62" t="n">
        <v>1</v>
      </c>
      <c r="B5031" s="62" t="s">
        <v>381</v>
      </c>
      <c r="C5031" s="62" t="s">
        <v>60</v>
      </c>
      <c r="D5031" s="62" t="s">
        <v>72</v>
      </c>
      <c r="E5031" s="62" t="s">
        <v>382</v>
      </c>
      <c r="F5031" s="63" t="s">
        <v>484</v>
      </c>
      <c r="G5031" s="64" t="n">
        <v>233.493</v>
      </c>
      <c r="H5031" s="62"/>
    </row>
    <row r="5032" customFormat="false" ht="15" hidden="false" customHeight="false" outlineLevel="0" collapsed="false">
      <c r="A5032" s="62" t="n">
        <v>1</v>
      </c>
      <c r="B5032" s="62" t="s">
        <v>383</v>
      </c>
      <c r="C5032" s="62" t="s">
        <v>60</v>
      </c>
      <c r="D5032" s="62" t="s">
        <v>72</v>
      </c>
      <c r="E5032" s="62" t="s">
        <v>382</v>
      </c>
      <c r="F5032" s="63" t="s">
        <v>484</v>
      </c>
      <c r="G5032" s="64" t="n">
        <v>688.386</v>
      </c>
      <c r="H5032" s="62"/>
    </row>
    <row r="5033" customFormat="false" ht="15" hidden="false" customHeight="false" outlineLevel="0" collapsed="false">
      <c r="A5033" s="62" t="n">
        <v>1</v>
      </c>
      <c r="B5033" s="62" t="s">
        <v>384</v>
      </c>
      <c r="C5033" s="62" t="s">
        <v>60</v>
      </c>
      <c r="D5033" s="62" t="s">
        <v>72</v>
      </c>
      <c r="E5033" s="62" t="s">
        <v>382</v>
      </c>
      <c r="F5033" s="63" t="s">
        <v>484</v>
      </c>
      <c r="G5033" s="64" t="n">
        <v>911.871</v>
      </c>
      <c r="H5033" s="62"/>
    </row>
    <row r="5034" customFormat="false" ht="15" hidden="false" customHeight="false" outlineLevel="0" collapsed="false">
      <c r="A5034" s="62" t="n">
        <v>1</v>
      </c>
      <c r="B5034" s="62" t="s">
        <v>385</v>
      </c>
      <c r="C5034" s="62" t="s">
        <v>60</v>
      </c>
      <c r="D5034" s="62" t="s">
        <v>72</v>
      </c>
      <c r="E5034" s="62" t="s">
        <v>382</v>
      </c>
      <c r="F5034" s="63" t="s">
        <v>484</v>
      </c>
      <c r="G5034" s="64" t="n">
        <v>288.63</v>
      </c>
      <c r="H5034" s="62"/>
    </row>
    <row r="5035" customFormat="false" ht="15" hidden="false" customHeight="false" outlineLevel="0" collapsed="false">
      <c r="A5035" s="62" t="n">
        <v>1</v>
      </c>
      <c r="B5035" s="62" t="s">
        <v>386</v>
      </c>
      <c r="C5035" s="62" t="s">
        <v>60</v>
      </c>
      <c r="D5035" s="62" t="s">
        <v>72</v>
      </c>
      <c r="E5035" s="62" t="s">
        <v>382</v>
      </c>
      <c r="F5035" s="63" t="s">
        <v>484</v>
      </c>
      <c r="G5035" s="64" t="n">
        <v>219.076</v>
      </c>
      <c r="H5035" s="62"/>
    </row>
    <row r="5036" customFormat="false" ht="15" hidden="false" customHeight="false" outlineLevel="0" collapsed="false">
      <c r="A5036" s="62" t="n">
        <v>1</v>
      </c>
      <c r="B5036" s="62" t="s">
        <v>387</v>
      </c>
      <c r="C5036" s="62" t="s">
        <v>60</v>
      </c>
      <c r="D5036" s="62" t="s">
        <v>72</v>
      </c>
      <c r="E5036" s="62" t="s">
        <v>382</v>
      </c>
      <c r="F5036" s="63" t="s">
        <v>484</v>
      </c>
      <c r="G5036" s="64" t="n">
        <v>516.297</v>
      </c>
      <c r="H5036" s="62"/>
    </row>
    <row r="5037" customFormat="false" ht="15" hidden="false" customHeight="false" outlineLevel="0" collapsed="false">
      <c r="A5037" s="62" t="n">
        <v>1</v>
      </c>
      <c r="B5037" s="62" t="s">
        <v>388</v>
      </c>
      <c r="C5037" s="62" t="s">
        <v>60</v>
      </c>
      <c r="D5037" s="62" t="s">
        <v>72</v>
      </c>
      <c r="E5037" s="62" t="s">
        <v>382</v>
      </c>
      <c r="F5037" s="63" t="s">
        <v>484</v>
      </c>
      <c r="G5037" s="64" t="n">
        <v>0</v>
      </c>
      <c r="H5037" s="62"/>
    </row>
    <row r="5038" customFormat="false" ht="15" hidden="false" customHeight="false" outlineLevel="0" collapsed="false">
      <c r="A5038" s="62" t="n">
        <v>1</v>
      </c>
      <c r="B5038" s="62" t="s">
        <v>381</v>
      </c>
      <c r="C5038" s="62" t="s">
        <v>60</v>
      </c>
      <c r="D5038" s="62" t="s">
        <v>72</v>
      </c>
      <c r="E5038" s="62" t="s">
        <v>382</v>
      </c>
      <c r="F5038" s="63" t="s">
        <v>485</v>
      </c>
      <c r="G5038" s="64" t="n">
        <v>1050.557</v>
      </c>
      <c r="H5038" s="62"/>
    </row>
    <row r="5039" customFormat="false" ht="15" hidden="false" customHeight="false" outlineLevel="0" collapsed="false">
      <c r="A5039" s="62" t="n">
        <v>1</v>
      </c>
      <c r="B5039" s="62" t="s">
        <v>383</v>
      </c>
      <c r="C5039" s="62" t="s">
        <v>60</v>
      </c>
      <c r="D5039" s="62" t="s">
        <v>72</v>
      </c>
      <c r="E5039" s="62" t="s">
        <v>382</v>
      </c>
      <c r="F5039" s="63" t="s">
        <v>485</v>
      </c>
      <c r="G5039" s="64" t="n">
        <v>688.386</v>
      </c>
      <c r="H5039" s="62"/>
    </row>
    <row r="5040" customFormat="false" ht="15" hidden="false" customHeight="false" outlineLevel="0" collapsed="false">
      <c r="A5040" s="62" t="n">
        <v>1</v>
      </c>
      <c r="B5040" s="62" t="s">
        <v>384</v>
      </c>
      <c r="C5040" s="62" t="s">
        <v>60</v>
      </c>
      <c r="D5040" s="62" t="s">
        <v>72</v>
      </c>
      <c r="E5040" s="62" t="s">
        <v>382</v>
      </c>
      <c r="F5040" s="63" t="s">
        <v>485</v>
      </c>
      <c r="G5040" s="64" t="n">
        <v>911.871</v>
      </c>
      <c r="H5040" s="62"/>
    </row>
    <row r="5041" customFormat="false" ht="15" hidden="false" customHeight="false" outlineLevel="0" collapsed="false">
      <c r="A5041" s="62" t="n">
        <v>1</v>
      </c>
      <c r="B5041" s="62" t="s">
        <v>385</v>
      </c>
      <c r="C5041" s="62" t="s">
        <v>60</v>
      </c>
      <c r="D5041" s="62" t="s">
        <v>72</v>
      </c>
      <c r="E5041" s="62" t="s">
        <v>382</v>
      </c>
      <c r="F5041" s="63" t="s">
        <v>485</v>
      </c>
      <c r="G5041" s="64" t="n">
        <v>288.63</v>
      </c>
      <c r="H5041" s="62"/>
    </row>
    <row r="5042" customFormat="false" ht="15" hidden="false" customHeight="false" outlineLevel="0" collapsed="false">
      <c r="A5042" s="62" t="n">
        <v>1</v>
      </c>
      <c r="B5042" s="62" t="s">
        <v>386</v>
      </c>
      <c r="C5042" s="62" t="s">
        <v>60</v>
      </c>
      <c r="D5042" s="62" t="s">
        <v>72</v>
      </c>
      <c r="E5042" s="62" t="s">
        <v>382</v>
      </c>
      <c r="F5042" s="63" t="s">
        <v>485</v>
      </c>
      <c r="G5042" s="64" t="n">
        <v>1489.912</v>
      </c>
      <c r="H5042" s="62"/>
    </row>
    <row r="5043" customFormat="false" ht="15" hidden="false" customHeight="false" outlineLevel="0" collapsed="false">
      <c r="A5043" s="62" t="n">
        <v>1</v>
      </c>
      <c r="B5043" s="62" t="s">
        <v>387</v>
      </c>
      <c r="C5043" s="62" t="s">
        <v>60</v>
      </c>
      <c r="D5043" s="62" t="s">
        <v>72</v>
      </c>
      <c r="E5043" s="62" t="s">
        <v>382</v>
      </c>
      <c r="F5043" s="63" t="s">
        <v>485</v>
      </c>
      <c r="G5043" s="64" t="n">
        <v>516.297</v>
      </c>
      <c r="H5043" s="62"/>
    </row>
    <row r="5044" customFormat="false" ht="15" hidden="false" customHeight="false" outlineLevel="0" collapsed="false">
      <c r="A5044" s="62" t="n">
        <v>1</v>
      </c>
      <c r="B5044" s="62" t="s">
        <v>388</v>
      </c>
      <c r="C5044" s="62" t="s">
        <v>60</v>
      </c>
      <c r="D5044" s="62" t="s">
        <v>72</v>
      </c>
      <c r="E5044" s="62" t="s">
        <v>382</v>
      </c>
      <c r="F5044" s="63" t="s">
        <v>485</v>
      </c>
      <c r="G5044" s="64" t="n">
        <v>784.144</v>
      </c>
      <c r="H5044" s="62"/>
    </row>
    <row r="5045" customFormat="false" ht="15" hidden="false" customHeight="false" outlineLevel="0" collapsed="false">
      <c r="A5045" s="62" t="n">
        <v>1</v>
      </c>
      <c r="B5045" s="62" t="s">
        <v>381</v>
      </c>
      <c r="C5045" s="62" t="s">
        <v>60</v>
      </c>
      <c r="D5045" s="62" t="s">
        <v>72</v>
      </c>
      <c r="E5045" s="62" t="s">
        <v>382</v>
      </c>
      <c r="F5045" s="63" t="s">
        <v>756</v>
      </c>
      <c r="G5045" s="64" t="n">
        <v>26400</v>
      </c>
      <c r="H5045" s="62"/>
    </row>
    <row r="5046" customFormat="false" ht="15" hidden="false" customHeight="false" outlineLevel="0" collapsed="false">
      <c r="A5046" s="62" t="n">
        <v>1</v>
      </c>
      <c r="B5046" s="62" t="s">
        <v>383</v>
      </c>
      <c r="C5046" s="62" t="s">
        <v>60</v>
      </c>
      <c r="D5046" s="62" t="s">
        <v>72</v>
      </c>
      <c r="E5046" s="62" t="s">
        <v>382</v>
      </c>
      <c r="F5046" s="63" t="s">
        <v>756</v>
      </c>
      <c r="G5046" s="64" t="n">
        <v>42681</v>
      </c>
      <c r="H5046" s="62"/>
    </row>
    <row r="5047" customFormat="false" ht="15" hidden="false" customHeight="false" outlineLevel="0" collapsed="false">
      <c r="A5047" s="62" t="n">
        <v>1</v>
      </c>
      <c r="B5047" s="62" t="s">
        <v>387</v>
      </c>
      <c r="C5047" s="62" t="s">
        <v>60</v>
      </c>
      <c r="D5047" s="62" t="s">
        <v>72</v>
      </c>
      <c r="E5047" s="62" t="s">
        <v>382</v>
      </c>
      <c r="F5047" s="63" t="s">
        <v>756</v>
      </c>
      <c r="G5047" s="64" t="n">
        <v>40000</v>
      </c>
      <c r="H5047" s="62"/>
    </row>
    <row r="5048" customFormat="false" ht="15" hidden="false" customHeight="false" outlineLevel="0" collapsed="false">
      <c r="A5048" s="62" t="n">
        <v>1</v>
      </c>
      <c r="B5048" s="62" t="s">
        <v>388</v>
      </c>
      <c r="C5048" s="62" t="s">
        <v>60</v>
      </c>
      <c r="D5048" s="62" t="s">
        <v>72</v>
      </c>
      <c r="E5048" s="62" t="s">
        <v>382</v>
      </c>
      <c r="F5048" s="63" t="s">
        <v>756</v>
      </c>
      <c r="G5048" s="64" t="n">
        <v>42806</v>
      </c>
      <c r="H5048" s="62"/>
    </row>
    <row r="5049" customFormat="false" ht="15" hidden="false" customHeight="false" outlineLevel="0" collapsed="false">
      <c r="A5049" s="62" t="n">
        <v>1</v>
      </c>
      <c r="B5049" s="62" t="s">
        <v>381</v>
      </c>
      <c r="C5049" s="62" t="s">
        <v>60</v>
      </c>
      <c r="D5049" s="62" t="s">
        <v>72</v>
      </c>
      <c r="E5049" s="62" t="s">
        <v>382</v>
      </c>
      <c r="F5049" s="63" t="s">
        <v>752</v>
      </c>
      <c r="G5049" s="64" t="n">
        <v>1</v>
      </c>
      <c r="H5049" s="62"/>
    </row>
    <row r="5050" customFormat="false" ht="15" hidden="false" customHeight="false" outlineLevel="0" collapsed="false">
      <c r="A5050" s="62" t="n">
        <v>1</v>
      </c>
      <c r="B5050" s="62" t="s">
        <v>383</v>
      </c>
      <c r="C5050" s="62" t="s">
        <v>60</v>
      </c>
      <c r="D5050" s="62" t="s">
        <v>72</v>
      </c>
      <c r="E5050" s="62" t="s">
        <v>382</v>
      </c>
      <c r="F5050" s="63" t="s">
        <v>752</v>
      </c>
      <c r="G5050" s="64" t="n">
        <v>3</v>
      </c>
      <c r="H5050" s="62"/>
    </row>
    <row r="5051" customFormat="false" ht="15" hidden="false" customHeight="false" outlineLevel="0" collapsed="false">
      <c r="A5051" s="62" t="n">
        <v>1</v>
      </c>
      <c r="B5051" s="62" t="s">
        <v>387</v>
      </c>
      <c r="C5051" s="62" t="s">
        <v>60</v>
      </c>
      <c r="D5051" s="62" t="s">
        <v>72</v>
      </c>
      <c r="E5051" s="62" t="s">
        <v>382</v>
      </c>
      <c r="F5051" s="63" t="s">
        <v>752</v>
      </c>
      <c r="G5051" s="64" t="n">
        <v>3</v>
      </c>
      <c r="H5051" s="62"/>
    </row>
    <row r="5052" customFormat="false" ht="15" hidden="false" customHeight="false" outlineLevel="0" collapsed="false">
      <c r="A5052" s="62" t="n">
        <v>1</v>
      </c>
      <c r="B5052" s="62" t="s">
        <v>388</v>
      </c>
      <c r="C5052" s="62" t="s">
        <v>60</v>
      </c>
      <c r="D5052" s="62" t="s">
        <v>72</v>
      </c>
      <c r="E5052" s="62" t="s">
        <v>382</v>
      </c>
      <c r="F5052" s="63" t="s">
        <v>752</v>
      </c>
      <c r="G5052" s="64" t="n">
        <v>2</v>
      </c>
      <c r="H5052" s="62"/>
    </row>
    <row r="5053" customFormat="false" ht="15" hidden="false" customHeight="false" outlineLevel="0" collapsed="false">
      <c r="A5053" s="62" t="n">
        <v>1</v>
      </c>
      <c r="B5053" s="62" t="s">
        <v>381</v>
      </c>
      <c r="C5053" s="62" t="s">
        <v>60</v>
      </c>
      <c r="D5053" s="62" t="s">
        <v>72</v>
      </c>
      <c r="E5053" s="62" t="s">
        <v>382</v>
      </c>
      <c r="F5053" s="63" t="s">
        <v>757</v>
      </c>
      <c r="G5053" s="64" t="s">
        <v>40</v>
      </c>
      <c r="H5053" s="62"/>
    </row>
    <row r="5054" customFormat="false" ht="15" hidden="false" customHeight="false" outlineLevel="0" collapsed="false">
      <c r="A5054" s="62" t="n">
        <v>1</v>
      </c>
      <c r="B5054" s="62" t="s">
        <v>381</v>
      </c>
      <c r="C5054" s="62" t="s">
        <v>60</v>
      </c>
      <c r="D5054" s="62" t="s">
        <v>72</v>
      </c>
      <c r="E5054" s="62" t="s">
        <v>382</v>
      </c>
      <c r="F5054" s="63" t="s">
        <v>753</v>
      </c>
      <c r="G5054" s="64" t="n">
        <v>277.464</v>
      </c>
      <c r="H5054" s="62"/>
    </row>
    <row r="5055" customFormat="false" ht="15" hidden="false" customHeight="false" outlineLevel="0" collapsed="false">
      <c r="A5055" s="62" t="n">
        <v>1</v>
      </c>
      <c r="B5055" s="62" t="s">
        <v>383</v>
      </c>
      <c r="C5055" s="62" t="s">
        <v>60</v>
      </c>
      <c r="D5055" s="62" t="s">
        <v>72</v>
      </c>
      <c r="E5055" s="62" t="s">
        <v>382</v>
      </c>
      <c r="F5055" s="63" t="s">
        <v>753</v>
      </c>
      <c r="G5055" s="64" t="n">
        <v>241.589</v>
      </c>
      <c r="H5055" s="62"/>
    </row>
    <row r="5056" customFormat="false" ht="15" hidden="false" customHeight="false" outlineLevel="0" collapsed="false">
      <c r="A5056" s="62" t="n">
        <v>1</v>
      </c>
      <c r="B5056" s="62" t="s">
        <v>387</v>
      </c>
      <c r="C5056" s="62" t="s">
        <v>60</v>
      </c>
      <c r="D5056" s="62" t="s">
        <v>72</v>
      </c>
      <c r="E5056" s="62" t="s">
        <v>382</v>
      </c>
      <c r="F5056" s="63" t="s">
        <v>753</v>
      </c>
      <c r="G5056" s="64" t="n">
        <v>42.635</v>
      </c>
      <c r="H5056" s="62"/>
    </row>
    <row r="5057" customFormat="false" ht="15" hidden="false" customHeight="false" outlineLevel="0" collapsed="false">
      <c r="A5057" s="62" t="n">
        <v>1</v>
      </c>
      <c r="B5057" s="62" t="s">
        <v>381</v>
      </c>
      <c r="C5057" s="62" t="s">
        <v>60</v>
      </c>
      <c r="D5057" s="62" t="s">
        <v>72</v>
      </c>
      <c r="E5057" s="62" t="s">
        <v>382</v>
      </c>
      <c r="F5057" s="63" t="s">
        <v>754</v>
      </c>
      <c r="G5057" s="64" t="n">
        <v>277.464</v>
      </c>
      <c r="H5057" s="62"/>
    </row>
    <row r="5058" customFormat="false" ht="15" hidden="false" customHeight="false" outlineLevel="0" collapsed="false">
      <c r="A5058" s="62" t="n">
        <v>1</v>
      </c>
      <c r="B5058" s="62" t="s">
        <v>383</v>
      </c>
      <c r="C5058" s="62" t="s">
        <v>60</v>
      </c>
      <c r="D5058" s="62" t="s">
        <v>72</v>
      </c>
      <c r="E5058" s="62" t="s">
        <v>382</v>
      </c>
      <c r="F5058" s="63" t="s">
        <v>754</v>
      </c>
      <c r="G5058" s="64" t="n">
        <v>241.589</v>
      </c>
      <c r="H5058" s="62"/>
    </row>
    <row r="5059" customFormat="false" ht="15" hidden="false" customHeight="false" outlineLevel="0" collapsed="false">
      <c r="A5059" s="62" t="n">
        <v>1</v>
      </c>
      <c r="B5059" s="62" t="s">
        <v>387</v>
      </c>
      <c r="C5059" s="62" t="s">
        <v>60</v>
      </c>
      <c r="D5059" s="62" t="s">
        <v>72</v>
      </c>
      <c r="E5059" s="62" t="s">
        <v>382</v>
      </c>
      <c r="F5059" s="63" t="s">
        <v>754</v>
      </c>
      <c r="G5059" s="64" t="n">
        <v>220.453</v>
      </c>
      <c r="H5059" s="62"/>
    </row>
    <row r="5060" customFormat="false" ht="15" hidden="false" customHeight="false" outlineLevel="0" collapsed="false">
      <c r="A5060" s="62" t="n">
        <v>1</v>
      </c>
      <c r="B5060" s="62" t="s">
        <v>388</v>
      </c>
      <c r="C5060" s="62" t="s">
        <v>60</v>
      </c>
      <c r="D5060" s="62" t="s">
        <v>72</v>
      </c>
      <c r="E5060" s="62" t="s">
        <v>382</v>
      </c>
      <c r="F5060" s="63" t="s">
        <v>754</v>
      </c>
      <c r="G5060" s="64" t="n">
        <v>177.481</v>
      </c>
      <c r="H5060" s="62"/>
    </row>
    <row r="5061" customFormat="false" ht="15" hidden="false" customHeight="false" outlineLevel="0" collapsed="false">
      <c r="A5061" s="62" t="n">
        <v>1</v>
      </c>
      <c r="B5061" s="62" t="s">
        <v>381</v>
      </c>
      <c r="C5061" s="62" t="s">
        <v>60</v>
      </c>
      <c r="D5061" s="62" t="s">
        <v>72</v>
      </c>
      <c r="E5061" s="62" t="s">
        <v>92</v>
      </c>
      <c r="F5061" s="63" t="s">
        <v>479</v>
      </c>
      <c r="G5061" s="64" t="n">
        <v>8.17050490586524</v>
      </c>
      <c r="H5061" s="62" t="s">
        <v>42</v>
      </c>
    </row>
    <row r="5062" customFormat="false" ht="15" hidden="false" customHeight="false" outlineLevel="0" collapsed="false">
      <c r="A5062" s="62" t="n">
        <v>1</v>
      </c>
      <c r="B5062" s="62" t="s">
        <v>383</v>
      </c>
      <c r="C5062" s="62" t="s">
        <v>60</v>
      </c>
      <c r="D5062" s="62" t="s">
        <v>72</v>
      </c>
      <c r="E5062" s="62" t="s">
        <v>92</v>
      </c>
      <c r="F5062" s="63" t="s">
        <v>479</v>
      </c>
      <c r="G5062" s="64" t="n">
        <v>24.088365946702</v>
      </c>
      <c r="H5062" s="62" t="s">
        <v>42</v>
      </c>
    </row>
    <row r="5063" customFormat="false" ht="15" hidden="false" customHeight="false" outlineLevel="0" collapsed="false">
      <c r="A5063" s="62" t="n">
        <v>1</v>
      </c>
      <c r="B5063" s="62" t="s">
        <v>384</v>
      </c>
      <c r="C5063" s="62" t="s">
        <v>60</v>
      </c>
      <c r="D5063" s="62" t="s">
        <v>72</v>
      </c>
      <c r="E5063" s="62" t="s">
        <v>92</v>
      </c>
      <c r="F5063" s="63" t="s">
        <v>479</v>
      </c>
      <c r="G5063" s="64" t="n">
        <v>31.9086649071956</v>
      </c>
      <c r="H5063" s="62" t="s">
        <v>42</v>
      </c>
    </row>
    <row r="5064" customFormat="false" ht="15" hidden="false" customHeight="false" outlineLevel="0" collapsed="false">
      <c r="A5064" s="62" t="n">
        <v>1</v>
      </c>
      <c r="B5064" s="62" t="s">
        <v>385</v>
      </c>
      <c r="C5064" s="62" t="s">
        <v>60</v>
      </c>
      <c r="D5064" s="62" t="s">
        <v>72</v>
      </c>
      <c r="E5064" s="62" t="s">
        <v>92</v>
      </c>
      <c r="F5064" s="63" t="s">
        <v>479</v>
      </c>
      <c r="G5064" s="64" t="n">
        <v>10.0999027929896</v>
      </c>
      <c r="H5064" s="62" t="s">
        <v>42</v>
      </c>
    </row>
    <row r="5065" customFormat="false" ht="15" hidden="false" customHeight="false" outlineLevel="0" collapsed="false">
      <c r="A5065" s="62" t="n">
        <v>1</v>
      </c>
      <c r="B5065" s="62" t="s">
        <v>386</v>
      </c>
      <c r="C5065" s="62" t="s">
        <v>60</v>
      </c>
      <c r="D5065" s="62" t="s">
        <v>72</v>
      </c>
      <c r="E5065" s="62" t="s">
        <v>92</v>
      </c>
      <c r="F5065" s="63" t="s">
        <v>479</v>
      </c>
      <c r="G5065" s="64" t="n">
        <v>7.66603471601624</v>
      </c>
      <c r="H5065" s="62" t="s">
        <v>42</v>
      </c>
    </row>
    <row r="5066" customFormat="false" ht="15" hidden="false" customHeight="false" outlineLevel="0" collapsed="false">
      <c r="A5066" s="62" t="n">
        <v>1</v>
      </c>
      <c r="B5066" s="62" t="s">
        <v>387</v>
      </c>
      <c r="C5066" s="62" t="s">
        <v>60</v>
      </c>
      <c r="D5066" s="62" t="s">
        <v>72</v>
      </c>
      <c r="E5066" s="62" t="s">
        <v>92</v>
      </c>
      <c r="F5066" s="63" t="s">
        <v>479</v>
      </c>
      <c r="G5066" s="64" t="n">
        <v>18.0665267312314</v>
      </c>
      <c r="H5066" s="62" t="s">
        <v>42</v>
      </c>
    </row>
    <row r="5067" customFormat="false" ht="15" hidden="false" customHeight="false" outlineLevel="0" collapsed="false">
      <c r="A5067" s="62" t="n">
        <v>1</v>
      </c>
      <c r="B5067" s="62" t="s">
        <v>388</v>
      </c>
      <c r="C5067" s="62" t="s">
        <v>60</v>
      </c>
      <c r="D5067" s="62" t="s">
        <v>72</v>
      </c>
      <c r="E5067" s="62" t="s">
        <v>92</v>
      </c>
      <c r="F5067" s="63" t="s">
        <v>479</v>
      </c>
      <c r="G5067" s="64" t="n">
        <v>0</v>
      </c>
      <c r="H5067" s="62" t="s">
        <v>42</v>
      </c>
    </row>
    <row r="5068" customFormat="false" ht="15" hidden="false" customHeight="false" outlineLevel="0" collapsed="false">
      <c r="A5068" s="62" t="n">
        <v>1</v>
      </c>
      <c r="B5068" s="62" t="s">
        <v>381</v>
      </c>
      <c r="C5068" s="62" t="s">
        <v>60</v>
      </c>
      <c r="D5068" s="62" t="s">
        <v>72</v>
      </c>
      <c r="E5068" s="62" t="s">
        <v>94</v>
      </c>
      <c r="F5068" s="63" t="s">
        <v>479</v>
      </c>
      <c r="G5068" s="64" t="n">
        <v>49.398330762807</v>
      </c>
      <c r="H5068" s="62" t="s">
        <v>42</v>
      </c>
    </row>
    <row r="5069" customFormat="false" ht="15" hidden="false" customHeight="false" outlineLevel="0" collapsed="false">
      <c r="A5069" s="62" t="n">
        <v>1</v>
      </c>
      <c r="B5069" s="62" t="s">
        <v>383</v>
      </c>
      <c r="C5069" s="62" t="s">
        <v>60</v>
      </c>
      <c r="D5069" s="62" t="s">
        <v>72</v>
      </c>
      <c r="E5069" s="62" t="s">
        <v>94</v>
      </c>
      <c r="F5069" s="63" t="s">
        <v>479</v>
      </c>
      <c r="G5069" s="64" t="n">
        <v>43.0112182887419</v>
      </c>
      <c r="H5069" s="62" t="s">
        <v>42</v>
      </c>
    </row>
    <row r="5070" customFormat="false" ht="15" hidden="false" customHeight="false" outlineLevel="0" collapsed="false">
      <c r="A5070" s="62" t="n">
        <v>1</v>
      </c>
      <c r="B5070" s="62" t="s">
        <v>384</v>
      </c>
      <c r="C5070" s="62" t="s">
        <v>60</v>
      </c>
      <c r="D5070" s="62" t="s">
        <v>72</v>
      </c>
      <c r="E5070" s="62" t="s">
        <v>94</v>
      </c>
      <c r="F5070" s="63" t="s">
        <v>479</v>
      </c>
      <c r="G5070" s="64" t="n">
        <v>0</v>
      </c>
      <c r="H5070" s="62" t="s">
        <v>42</v>
      </c>
    </row>
    <row r="5071" customFormat="false" ht="15" hidden="false" customHeight="false" outlineLevel="0" collapsed="false">
      <c r="A5071" s="62" t="n">
        <v>1</v>
      </c>
      <c r="B5071" s="62" t="s">
        <v>385</v>
      </c>
      <c r="C5071" s="62" t="s">
        <v>60</v>
      </c>
      <c r="D5071" s="62" t="s">
        <v>72</v>
      </c>
      <c r="E5071" s="62" t="s">
        <v>94</v>
      </c>
      <c r="F5071" s="63" t="s">
        <v>479</v>
      </c>
      <c r="G5071" s="64" t="n">
        <v>0</v>
      </c>
      <c r="H5071" s="62" t="s">
        <v>42</v>
      </c>
    </row>
    <row r="5072" customFormat="false" ht="15" hidden="false" customHeight="false" outlineLevel="0" collapsed="false">
      <c r="A5072" s="62" t="n">
        <v>1</v>
      </c>
      <c r="B5072" s="62" t="s">
        <v>386</v>
      </c>
      <c r="C5072" s="62" t="s">
        <v>60</v>
      </c>
      <c r="D5072" s="62" t="s">
        <v>72</v>
      </c>
      <c r="E5072" s="62" t="s">
        <v>94</v>
      </c>
      <c r="F5072" s="63" t="s">
        <v>479</v>
      </c>
      <c r="G5072" s="64" t="n">
        <v>0</v>
      </c>
      <c r="H5072" s="62" t="s">
        <v>42</v>
      </c>
    </row>
    <row r="5073" customFormat="false" ht="15" hidden="false" customHeight="false" outlineLevel="0" collapsed="false">
      <c r="A5073" s="62" t="n">
        <v>1</v>
      </c>
      <c r="B5073" s="62" t="s">
        <v>387</v>
      </c>
      <c r="C5073" s="62" t="s">
        <v>60</v>
      </c>
      <c r="D5073" s="62" t="s">
        <v>72</v>
      </c>
      <c r="E5073" s="62" t="s">
        <v>94</v>
      </c>
      <c r="F5073" s="63" t="s">
        <v>479</v>
      </c>
      <c r="G5073" s="64" t="n">
        <v>7.59045094845111</v>
      </c>
      <c r="H5073" s="62" t="s">
        <v>42</v>
      </c>
    </row>
    <row r="5074" customFormat="false" ht="15" hidden="false" customHeight="false" outlineLevel="0" collapsed="false">
      <c r="A5074" s="62" t="n">
        <v>1</v>
      </c>
      <c r="B5074" s="62" t="s">
        <v>388</v>
      </c>
      <c r="C5074" s="62" t="s">
        <v>60</v>
      </c>
      <c r="D5074" s="62" t="s">
        <v>72</v>
      </c>
      <c r="E5074" s="62" t="s">
        <v>94</v>
      </c>
      <c r="F5074" s="63" t="s">
        <v>479</v>
      </c>
      <c r="G5074" s="64" t="n">
        <v>0</v>
      </c>
      <c r="H5074" s="62" t="s">
        <v>42</v>
      </c>
    </row>
    <row r="5075" customFormat="false" ht="15" hidden="false" customHeight="false" outlineLevel="0" collapsed="false">
      <c r="A5075" s="62" t="n">
        <v>1</v>
      </c>
      <c r="B5075" s="62" t="s">
        <v>381</v>
      </c>
      <c r="C5075" s="62" t="s">
        <v>60</v>
      </c>
      <c r="D5075" s="62" t="s">
        <v>72</v>
      </c>
      <c r="E5075" s="62" t="s">
        <v>95</v>
      </c>
      <c r="F5075" s="63" t="s">
        <v>479</v>
      </c>
      <c r="G5075" s="64" t="n">
        <v>0</v>
      </c>
      <c r="H5075" s="62" t="s">
        <v>42</v>
      </c>
    </row>
    <row r="5076" customFormat="false" ht="15" hidden="false" customHeight="false" outlineLevel="0" collapsed="false">
      <c r="A5076" s="62" t="n">
        <v>1</v>
      </c>
      <c r="B5076" s="62" t="s">
        <v>383</v>
      </c>
      <c r="C5076" s="62" t="s">
        <v>60</v>
      </c>
      <c r="D5076" s="62" t="s">
        <v>72</v>
      </c>
      <c r="E5076" s="62" t="s">
        <v>95</v>
      </c>
      <c r="F5076" s="63" t="s">
        <v>479</v>
      </c>
      <c r="G5076" s="64" t="n">
        <v>0</v>
      </c>
      <c r="H5076" s="62" t="s">
        <v>42</v>
      </c>
    </row>
    <row r="5077" customFormat="false" ht="15" hidden="false" customHeight="false" outlineLevel="0" collapsed="false">
      <c r="A5077" s="62" t="n">
        <v>1</v>
      </c>
      <c r="B5077" s="62" t="s">
        <v>384</v>
      </c>
      <c r="C5077" s="62" t="s">
        <v>60</v>
      </c>
      <c r="D5077" s="62" t="s">
        <v>72</v>
      </c>
      <c r="E5077" s="62" t="s">
        <v>95</v>
      </c>
      <c r="F5077" s="63" t="s">
        <v>479</v>
      </c>
      <c r="G5077" s="64" t="n">
        <v>0</v>
      </c>
      <c r="H5077" s="62" t="s">
        <v>42</v>
      </c>
    </row>
    <row r="5078" customFormat="false" ht="15" hidden="false" customHeight="false" outlineLevel="0" collapsed="false">
      <c r="A5078" s="62" t="n">
        <v>1</v>
      </c>
      <c r="B5078" s="62" t="s">
        <v>385</v>
      </c>
      <c r="C5078" s="62" t="s">
        <v>60</v>
      </c>
      <c r="D5078" s="62" t="s">
        <v>72</v>
      </c>
      <c r="E5078" s="62" t="s">
        <v>95</v>
      </c>
      <c r="F5078" s="63" t="s">
        <v>479</v>
      </c>
      <c r="G5078" s="64" t="n">
        <v>0</v>
      </c>
      <c r="H5078" s="62" t="s">
        <v>42</v>
      </c>
    </row>
    <row r="5079" customFormat="false" ht="15" hidden="false" customHeight="false" outlineLevel="0" collapsed="false">
      <c r="A5079" s="62" t="n">
        <v>1</v>
      </c>
      <c r="B5079" s="62" t="s">
        <v>386</v>
      </c>
      <c r="C5079" s="62" t="s">
        <v>60</v>
      </c>
      <c r="D5079" s="62" t="s">
        <v>72</v>
      </c>
      <c r="E5079" s="62" t="s">
        <v>95</v>
      </c>
      <c r="F5079" s="63" t="s">
        <v>479</v>
      </c>
      <c r="G5079" s="64" t="n">
        <v>0</v>
      </c>
      <c r="H5079" s="62" t="s">
        <v>42</v>
      </c>
    </row>
    <row r="5080" customFormat="false" ht="15" hidden="false" customHeight="false" outlineLevel="0" collapsed="false">
      <c r="A5080" s="62" t="n">
        <v>1</v>
      </c>
      <c r="B5080" s="62" t="s">
        <v>387</v>
      </c>
      <c r="C5080" s="62" t="s">
        <v>60</v>
      </c>
      <c r="D5080" s="62" t="s">
        <v>72</v>
      </c>
      <c r="E5080" s="62" t="s">
        <v>95</v>
      </c>
      <c r="F5080" s="63" t="s">
        <v>479</v>
      </c>
      <c r="G5080" s="64" t="n">
        <v>0</v>
      </c>
      <c r="H5080" s="62" t="s">
        <v>42</v>
      </c>
    </row>
    <row r="5081" customFormat="false" ht="15" hidden="false" customHeight="false" outlineLevel="0" collapsed="false">
      <c r="A5081" s="62" t="n">
        <v>1</v>
      </c>
      <c r="B5081" s="62" t="s">
        <v>388</v>
      </c>
      <c r="C5081" s="62" t="s">
        <v>60</v>
      </c>
      <c r="D5081" s="62" t="s">
        <v>72</v>
      </c>
      <c r="E5081" s="62" t="s">
        <v>95</v>
      </c>
      <c r="F5081" s="63" t="s">
        <v>479</v>
      </c>
      <c r="G5081" s="64" t="n">
        <v>0</v>
      </c>
      <c r="H5081" s="62" t="s">
        <v>42</v>
      </c>
    </row>
    <row r="5082" customFormat="false" ht="15" hidden="false" customHeight="false" outlineLevel="0" collapsed="false">
      <c r="A5082" s="62" t="n">
        <v>1</v>
      </c>
      <c r="B5082" s="62" t="s">
        <v>381</v>
      </c>
      <c r="C5082" s="62" t="s">
        <v>60</v>
      </c>
      <c r="D5082" s="62" t="s">
        <v>72</v>
      </c>
      <c r="E5082" s="62" t="s">
        <v>97</v>
      </c>
      <c r="F5082" s="63" t="s">
        <v>479</v>
      </c>
      <c r="G5082" s="64" t="n">
        <v>0</v>
      </c>
      <c r="H5082" s="62" t="s">
        <v>42</v>
      </c>
    </row>
    <row r="5083" customFormat="false" ht="15" hidden="false" customHeight="false" outlineLevel="0" collapsed="false">
      <c r="A5083" s="62" t="n">
        <v>1</v>
      </c>
      <c r="B5083" s="62" t="s">
        <v>383</v>
      </c>
      <c r="C5083" s="62" t="s">
        <v>60</v>
      </c>
      <c r="D5083" s="62" t="s">
        <v>72</v>
      </c>
      <c r="E5083" s="62" t="s">
        <v>97</v>
      </c>
      <c r="F5083" s="63" t="s">
        <v>479</v>
      </c>
      <c r="G5083" s="64" t="n">
        <v>0</v>
      </c>
      <c r="H5083" s="62" t="s">
        <v>42</v>
      </c>
    </row>
    <row r="5084" customFormat="false" ht="15" hidden="false" customHeight="false" outlineLevel="0" collapsed="false">
      <c r="A5084" s="62" t="n">
        <v>1</v>
      </c>
      <c r="B5084" s="62" t="s">
        <v>384</v>
      </c>
      <c r="C5084" s="62" t="s">
        <v>60</v>
      </c>
      <c r="D5084" s="62" t="s">
        <v>72</v>
      </c>
      <c r="E5084" s="62" t="s">
        <v>97</v>
      </c>
      <c r="F5084" s="63" t="s">
        <v>479</v>
      </c>
      <c r="G5084" s="64" t="n">
        <v>0</v>
      </c>
      <c r="H5084" s="62" t="s">
        <v>42</v>
      </c>
    </row>
    <row r="5085" customFormat="false" ht="15" hidden="false" customHeight="false" outlineLevel="0" collapsed="false">
      <c r="A5085" s="62" t="n">
        <v>1</v>
      </c>
      <c r="B5085" s="62" t="s">
        <v>385</v>
      </c>
      <c r="C5085" s="62" t="s">
        <v>60</v>
      </c>
      <c r="D5085" s="62" t="s">
        <v>72</v>
      </c>
      <c r="E5085" s="62" t="s">
        <v>97</v>
      </c>
      <c r="F5085" s="63" t="s">
        <v>479</v>
      </c>
      <c r="G5085" s="64" t="n">
        <v>0</v>
      </c>
      <c r="H5085" s="62" t="s">
        <v>42</v>
      </c>
    </row>
    <row r="5086" customFormat="false" ht="15" hidden="false" customHeight="false" outlineLevel="0" collapsed="false">
      <c r="A5086" s="62" t="n">
        <v>1</v>
      </c>
      <c r="B5086" s="62" t="s">
        <v>386</v>
      </c>
      <c r="C5086" s="62" t="s">
        <v>60</v>
      </c>
      <c r="D5086" s="62" t="s">
        <v>72</v>
      </c>
      <c r="E5086" s="62" t="s">
        <v>97</v>
      </c>
      <c r="F5086" s="63" t="s">
        <v>479</v>
      </c>
      <c r="G5086" s="64" t="n">
        <v>0</v>
      </c>
      <c r="H5086" s="62" t="s">
        <v>42</v>
      </c>
    </row>
    <row r="5087" customFormat="false" ht="15" hidden="false" customHeight="false" outlineLevel="0" collapsed="false">
      <c r="A5087" s="62" t="n">
        <v>1</v>
      </c>
      <c r="B5087" s="62" t="s">
        <v>387</v>
      </c>
      <c r="C5087" s="62" t="s">
        <v>60</v>
      </c>
      <c r="D5087" s="62" t="s">
        <v>72</v>
      </c>
      <c r="E5087" s="62" t="s">
        <v>97</v>
      </c>
      <c r="F5087" s="63" t="s">
        <v>479</v>
      </c>
      <c r="G5087" s="64" t="n">
        <v>0</v>
      </c>
      <c r="H5087" s="62" t="s">
        <v>42</v>
      </c>
    </row>
    <row r="5088" customFormat="false" ht="15" hidden="false" customHeight="false" outlineLevel="0" collapsed="false">
      <c r="A5088" s="62" t="n">
        <v>1</v>
      </c>
      <c r="B5088" s="62" t="s">
        <v>388</v>
      </c>
      <c r="C5088" s="62" t="s">
        <v>60</v>
      </c>
      <c r="D5088" s="62" t="s">
        <v>72</v>
      </c>
      <c r="E5088" s="62" t="s">
        <v>97</v>
      </c>
      <c r="F5088" s="63" t="s">
        <v>479</v>
      </c>
      <c r="G5088" s="64" t="n">
        <v>0</v>
      </c>
      <c r="H5088" s="62" t="s">
        <v>42</v>
      </c>
    </row>
    <row r="5089" customFormat="false" ht="15" hidden="false" customHeight="false" outlineLevel="0" collapsed="false">
      <c r="A5089" s="62" t="n">
        <v>1</v>
      </c>
      <c r="B5089" s="62" t="s">
        <v>381</v>
      </c>
      <c r="C5089" s="62" t="s">
        <v>60</v>
      </c>
      <c r="D5089" s="62" t="s">
        <v>72</v>
      </c>
      <c r="E5089" s="62" t="s">
        <v>382</v>
      </c>
      <c r="F5089" s="63" t="s">
        <v>486</v>
      </c>
      <c r="G5089" s="64" t="n">
        <v>14.9427070400014</v>
      </c>
      <c r="H5089" s="62" t="s">
        <v>42</v>
      </c>
    </row>
    <row r="5090" customFormat="false" ht="15" hidden="false" customHeight="false" outlineLevel="0" collapsed="false">
      <c r="A5090" s="62" t="n">
        <v>1</v>
      </c>
      <c r="B5090" s="62" t="s">
        <v>383</v>
      </c>
      <c r="C5090" s="62" t="s">
        <v>60</v>
      </c>
      <c r="D5090" s="62" t="s">
        <v>72</v>
      </c>
      <c r="E5090" s="62" t="s">
        <v>382</v>
      </c>
      <c r="F5090" s="63" t="s">
        <v>486</v>
      </c>
      <c r="G5090" s="64" t="n">
        <v>27.1966885019436</v>
      </c>
      <c r="H5090" s="62" t="s">
        <v>42</v>
      </c>
    </row>
    <row r="5091" customFormat="false" ht="15" hidden="false" customHeight="false" outlineLevel="0" collapsed="false">
      <c r="A5091" s="62" t="n">
        <v>1</v>
      </c>
      <c r="B5091" s="62" t="s">
        <v>384</v>
      </c>
      <c r="C5091" s="62" t="s">
        <v>60</v>
      </c>
      <c r="D5091" s="62" t="s">
        <v>72</v>
      </c>
      <c r="E5091" s="62" t="s">
        <v>382</v>
      </c>
      <c r="F5091" s="63" t="s">
        <v>486</v>
      </c>
      <c r="G5091" s="64" t="n">
        <v>26.6672551532161</v>
      </c>
      <c r="H5091" s="62" t="s">
        <v>42</v>
      </c>
    </row>
    <row r="5092" customFormat="false" ht="15" hidden="false" customHeight="false" outlineLevel="0" collapsed="false">
      <c r="A5092" s="62" t="n">
        <v>1</v>
      </c>
      <c r="B5092" s="62" t="s">
        <v>385</v>
      </c>
      <c r="C5092" s="62" t="s">
        <v>60</v>
      </c>
      <c r="D5092" s="62" t="s">
        <v>72</v>
      </c>
      <c r="E5092" s="62" t="s">
        <v>382</v>
      </c>
      <c r="F5092" s="63" t="s">
        <v>486</v>
      </c>
      <c r="G5092" s="64" t="n">
        <v>8.44086349543867</v>
      </c>
      <c r="H5092" s="62" t="s">
        <v>42</v>
      </c>
    </row>
    <row r="5093" customFormat="false" ht="15" hidden="false" customHeight="false" outlineLevel="0" collapsed="false">
      <c r="A5093" s="62" t="n">
        <v>1</v>
      </c>
      <c r="B5093" s="62" t="s">
        <v>386</v>
      </c>
      <c r="C5093" s="62" t="s">
        <v>60</v>
      </c>
      <c r="D5093" s="62" t="s">
        <v>72</v>
      </c>
      <c r="E5093" s="62" t="s">
        <v>382</v>
      </c>
      <c r="F5093" s="63" t="s">
        <v>486</v>
      </c>
      <c r="G5093" s="64" t="n">
        <v>6.4067896409955</v>
      </c>
      <c r="H5093" s="62" t="s">
        <v>42</v>
      </c>
    </row>
    <row r="5094" customFormat="false" ht="15" hidden="false" customHeight="false" outlineLevel="0" collapsed="false">
      <c r="A5094" s="62" t="n">
        <v>1</v>
      </c>
      <c r="B5094" s="62" t="s">
        <v>387</v>
      </c>
      <c r="C5094" s="62" t="s">
        <v>60</v>
      </c>
      <c r="D5094" s="62" t="s">
        <v>72</v>
      </c>
      <c r="E5094" s="62" t="s">
        <v>382</v>
      </c>
      <c r="F5094" s="63" t="s">
        <v>486</v>
      </c>
      <c r="G5094" s="64" t="n">
        <v>16.3456961684048</v>
      </c>
      <c r="H5094" s="62" t="s">
        <v>42</v>
      </c>
    </row>
    <row r="5095" customFormat="false" ht="15" hidden="false" customHeight="false" outlineLevel="0" collapsed="false">
      <c r="A5095" s="62" t="n">
        <v>1</v>
      </c>
      <c r="B5095" s="62" t="s">
        <v>388</v>
      </c>
      <c r="C5095" s="62" t="s">
        <v>60</v>
      </c>
      <c r="D5095" s="62" t="s">
        <v>72</v>
      </c>
      <c r="E5095" s="62" t="s">
        <v>382</v>
      </c>
      <c r="F5095" s="63" t="s">
        <v>486</v>
      </c>
      <c r="G5095" s="64" t="n">
        <v>0</v>
      </c>
      <c r="H5095" s="62" t="s">
        <v>42</v>
      </c>
    </row>
    <row r="5096" customFormat="false" ht="15" hidden="false" customHeight="false" outlineLevel="0" collapsed="false">
      <c r="A5096" s="62" t="n">
        <v>1</v>
      </c>
      <c r="B5096" s="62" t="s">
        <v>381</v>
      </c>
      <c r="C5096" s="62" t="s">
        <v>60</v>
      </c>
      <c r="D5096" s="62" t="s">
        <v>382</v>
      </c>
      <c r="E5096" s="62" t="s">
        <v>382</v>
      </c>
      <c r="F5096" s="63" t="s">
        <v>489</v>
      </c>
      <c r="G5096" s="64" t="n">
        <v>5300</v>
      </c>
      <c r="H5096" s="62"/>
    </row>
    <row r="5097" customFormat="false" ht="15" hidden="false" customHeight="false" outlineLevel="0" collapsed="false">
      <c r="A5097" s="62" t="n">
        <v>1</v>
      </c>
      <c r="B5097" s="62" t="s">
        <v>383</v>
      </c>
      <c r="C5097" s="62" t="s">
        <v>60</v>
      </c>
      <c r="D5097" s="62" t="s">
        <v>382</v>
      </c>
      <c r="E5097" s="62" t="s">
        <v>382</v>
      </c>
      <c r="F5097" s="63" t="s">
        <v>489</v>
      </c>
      <c r="G5097" s="64" t="n">
        <v>5500</v>
      </c>
      <c r="H5097" s="62"/>
    </row>
    <row r="5098" customFormat="false" ht="15" hidden="false" customHeight="false" outlineLevel="0" collapsed="false">
      <c r="A5098" s="62" t="n">
        <v>1</v>
      </c>
      <c r="B5098" s="62" t="s">
        <v>384</v>
      </c>
      <c r="C5098" s="62" t="s">
        <v>60</v>
      </c>
      <c r="D5098" s="62" t="s">
        <v>382</v>
      </c>
      <c r="E5098" s="62" t="s">
        <v>382</v>
      </c>
      <c r="F5098" s="63" t="s">
        <v>489</v>
      </c>
      <c r="G5098" s="64" t="n">
        <v>6000</v>
      </c>
      <c r="H5098" s="62"/>
    </row>
    <row r="5099" customFormat="false" ht="15" hidden="false" customHeight="false" outlineLevel="0" collapsed="false">
      <c r="A5099" s="62" t="n">
        <v>1</v>
      </c>
      <c r="B5099" s="62" t="s">
        <v>385</v>
      </c>
      <c r="C5099" s="62" t="s">
        <v>60</v>
      </c>
      <c r="D5099" s="62" t="s">
        <v>382</v>
      </c>
      <c r="E5099" s="62" t="s">
        <v>382</v>
      </c>
      <c r="F5099" s="63" t="s">
        <v>489</v>
      </c>
      <c r="G5099" s="64" t="n">
        <v>6500</v>
      </c>
      <c r="H5099" s="62"/>
    </row>
    <row r="5100" customFormat="false" ht="15" hidden="false" customHeight="false" outlineLevel="0" collapsed="false">
      <c r="A5100" s="62" t="n">
        <v>1</v>
      </c>
      <c r="B5100" s="62" t="s">
        <v>386</v>
      </c>
      <c r="C5100" s="62" t="s">
        <v>60</v>
      </c>
      <c r="D5100" s="62" t="s">
        <v>382</v>
      </c>
      <c r="E5100" s="62" t="s">
        <v>382</v>
      </c>
      <c r="F5100" s="63" t="s">
        <v>489</v>
      </c>
      <c r="G5100" s="64" t="n">
        <v>5500</v>
      </c>
      <c r="H5100" s="62"/>
    </row>
    <row r="5101" customFormat="false" ht="15" hidden="false" customHeight="false" outlineLevel="0" collapsed="false">
      <c r="A5101" s="62" t="n">
        <v>1</v>
      </c>
      <c r="B5101" s="62" t="s">
        <v>387</v>
      </c>
      <c r="C5101" s="62" t="s">
        <v>60</v>
      </c>
      <c r="D5101" s="62" t="s">
        <v>382</v>
      </c>
      <c r="E5101" s="62" t="s">
        <v>382</v>
      </c>
      <c r="F5101" s="63" t="s">
        <v>489</v>
      </c>
      <c r="G5101" s="64" t="n">
        <v>7000</v>
      </c>
      <c r="H5101" s="62"/>
    </row>
    <row r="5102" customFormat="false" ht="15" hidden="false" customHeight="false" outlineLevel="0" collapsed="false">
      <c r="A5102" s="62" t="n">
        <v>1</v>
      </c>
      <c r="B5102" s="62" t="s">
        <v>388</v>
      </c>
      <c r="C5102" s="62" t="s">
        <v>60</v>
      </c>
      <c r="D5102" s="62" t="s">
        <v>382</v>
      </c>
      <c r="E5102" s="62" t="s">
        <v>382</v>
      </c>
      <c r="F5102" s="63" t="s">
        <v>489</v>
      </c>
      <c r="G5102" s="64" t="n">
        <v>6000</v>
      </c>
      <c r="H5102" s="62"/>
    </row>
    <row r="5103" customFormat="false" ht="15" hidden="false" customHeight="false" outlineLevel="0" collapsed="false">
      <c r="A5103" s="62" t="n">
        <v>1</v>
      </c>
      <c r="B5103" s="62" t="s">
        <v>381</v>
      </c>
      <c r="C5103" s="62" t="s">
        <v>60</v>
      </c>
      <c r="D5103" s="62" t="s">
        <v>382</v>
      </c>
      <c r="E5103" s="62" t="s">
        <v>382</v>
      </c>
      <c r="F5103" s="63" t="s">
        <v>490</v>
      </c>
      <c r="G5103" s="64" t="n">
        <v>700</v>
      </c>
      <c r="H5103" s="62"/>
    </row>
    <row r="5104" customFormat="false" ht="15" hidden="false" customHeight="false" outlineLevel="0" collapsed="false">
      <c r="A5104" s="62" t="n">
        <v>1</v>
      </c>
      <c r="B5104" s="62" t="s">
        <v>383</v>
      </c>
      <c r="C5104" s="62" t="s">
        <v>60</v>
      </c>
      <c r="D5104" s="62" t="s">
        <v>382</v>
      </c>
      <c r="E5104" s="62" t="s">
        <v>382</v>
      </c>
      <c r="F5104" s="63" t="s">
        <v>490</v>
      </c>
      <c r="G5104" s="64" t="n">
        <v>660</v>
      </c>
      <c r="H5104" s="62"/>
    </row>
    <row r="5105" customFormat="false" ht="15" hidden="false" customHeight="false" outlineLevel="0" collapsed="false">
      <c r="A5105" s="62" t="n">
        <v>1</v>
      </c>
      <c r="B5105" s="62" t="s">
        <v>384</v>
      </c>
      <c r="C5105" s="62" t="s">
        <v>60</v>
      </c>
      <c r="D5105" s="62" t="s">
        <v>382</v>
      </c>
      <c r="E5105" s="62" t="s">
        <v>382</v>
      </c>
      <c r="F5105" s="63" t="s">
        <v>490</v>
      </c>
      <c r="G5105" s="64" t="n">
        <v>600</v>
      </c>
      <c r="H5105" s="62"/>
    </row>
    <row r="5106" customFormat="false" ht="15" hidden="false" customHeight="false" outlineLevel="0" collapsed="false">
      <c r="A5106" s="62" t="n">
        <v>1</v>
      </c>
      <c r="B5106" s="62" t="s">
        <v>385</v>
      </c>
      <c r="C5106" s="62" t="s">
        <v>60</v>
      </c>
      <c r="D5106" s="62" t="s">
        <v>382</v>
      </c>
      <c r="E5106" s="62" t="s">
        <v>382</v>
      </c>
      <c r="F5106" s="63" t="s">
        <v>490</v>
      </c>
      <c r="G5106" s="64" t="n">
        <v>700</v>
      </c>
      <c r="H5106" s="62"/>
    </row>
    <row r="5107" customFormat="false" ht="15" hidden="false" customHeight="false" outlineLevel="0" collapsed="false">
      <c r="A5107" s="62" t="n">
        <v>1</v>
      </c>
      <c r="B5107" s="62" t="s">
        <v>386</v>
      </c>
      <c r="C5107" s="62" t="s">
        <v>60</v>
      </c>
      <c r="D5107" s="62" t="s">
        <v>382</v>
      </c>
      <c r="E5107" s="62" t="s">
        <v>382</v>
      </c>
      <c r="F5107" s="63" t="s">
        <v>490</v>
      </c>
      <c r="G5107" s="64" t="n">
        <v>1500</v>
      </c>
      <c r="H5107" s="62"/>
    </row>
    <row r="5108" customFormat="false" ht="15" hidden="false" customHeight="false" outlineLevel="0" collapsed="false">
      <c r="A5108" s="62" t="n">
        <v>1</v>
      </c>
      <c r="B5108" s="62" t="s">
        <v>387</v>
      </c>
      <c r="C5108" s="62" t="s">
        <v>60</v>
      </c>
      <c r="D5108" s="62" t="s">
        <v>382</v>
      </c>
      <c r="E5108" s="62" t="s">
        <v>382</v>
      </c>
      <c r="F5108" s="63" t="s">
        <v>490</v>
      </c>
      <c r="G5108" s="64" t="n">
        <v>1400</v>
      </c>
      <c r="H5108" s="62"/>
    </row>
    <row r="5109" customFormat="false" ht="15" hidden="false" customHeight="false" outlineLevel="0" collapsed="false">
      <c r="A5109" s="62" t="n">
        <v>1</v>
      </c>
      <c r="B5109" s="62" t="s">
        <v>388</v>
      </c>
      <c r="C5109" s="62" t="s">
        <v>60</v>
      </c>
      <c r="D5109" s="62" t="s">
        <v>382</v>
      </c>
      <c r="E5109" s="62" t="s">
        <v>382</v>
      </c>
      <c r="F5109" s="63" t="s">
        <v>490</v>
      </c>
      <c r="G5109" s="64" t="n">
        <v>600</v>
      </c>
      <c r="H5109" s="62"/>
    </row>
    <row r="5110" customFormat="false" ht="15" hidden="false" customHeight="false" outlineLevel="0" collapsed="false">
      <c r="A5110" s="62" t="n">
        <v>1</v>
      </c>
      <c r="B5110" s="62" t="s">
        <v>381</v>
      </c>
      <c r="C5110" s="62" t="s">
        <v>60</v>
      </c>
      <c r="D5110" s="62" t="s">
        <v>382</v>
      </c>
      <c r="E5110" s="62" t="s">
        <v>382</v>
      </c>
      <c r="F5110" s="63" t="s">
        <v>491</v>
      </c>
      <c r="G5110" s="64" t="n">
        <v>100</v>
      </c>
      <c r="H5110" s="62"/>
    </row>
    <row r="5111" customFormat="false" ht="15" hidden="false" customHeight="false" outlineLevel="0" collapsed="false">
      <c r="A5111" s="62" t="n">
        <v>1</v>
      </c>
      <c r="B5111" s="62" t="s">
        <v>383</v>
      </c>
      <c r="C5111" s="62" t="s">
        <v>60</v>
      </c>
      <c r="D5111" s="62" t="s">
        <v>382</v>
      </c>
      <c r="E5111" s="62" t="s">
        <v>382</v>
      </c>
      <c r="F5111" s="63" t="s">
        <v>491</v>
      </c>
      <c r="G5111" s="64" t="n">
        <v>100</v>
      </c>
      <c r="H5111" s="62"/>
    </row>
    <row r="5112" customFormat="false" ht="15" hidden="false" customHeight="false" outlineLevel="0" collapsed="false">
      <c r="A5112" s="62" t="n">
        <v>1</v>
      </c>
      <c r="B5112" s="62" t="s">
        <v>384</v>
      </c>
      <c r="C5112" s="62" t="s">
        <v>60</v>
      </c>
      <c r="D5112" s="62" t="s">
        <v>382</v>
      </c>
      <c r="E5112" s="62" t="s">
        <v>382</v>
      </c>
      <c r="F5112" s="63" t="s">
        <v>491</v>
      </c>
      <c r="G5112" s="64" t="n">
        <v>100</v>
      </c>
      <c r="H5112" s="62"/>
    </row>
    <row r="5113" customFormat="false" ht="15" hidden="false" customHeight="false" outlineLevel="0" collapsed="false">
      <c r="A5113" s="62" t="n">
        <v>1</v>
      </c>
      <c r="B5113" s="62" t="s">
        <v>385</v>
      </c>
      <c r="C5113" s="62" t="s">
        <v>60</v>
      </c>
      <c r="D5113" s="62" t="s">
        <v>382</v>
      </c>
      <c r="E5113" s="62" t="s">
        <v>382</v>
      </c>
      <c r="F5113" s="63" t="s">
        <v>491</v>
      </c>
      <c r="G5113" s="64" t="n">
        <v>100</v>
      </c>
      <c r="H5113" s="62"/>
    </row>
    <row r="5114" customFormat="false" ht="15" hidden="false" customHeight="false" outlineLevel="0" collapsed="false">
      <c r="A5114" s="62" t="n">
        <v>1</v>
      </c>
      <c r="B5114" s="62" t="s">
        <v>386</v>
      </c>
      <c r="C5114" s="62" t="s">
        <v>60</v>
      </c>
      <c r="D5114" s="62" t="s">
        <v>382</v>
      </c>
      <c r="E5114" s="62" t="s">
        <v>382</v>
      </c>
      <c r="F5114" s="63" t="s">
        <v>491</v>
      </c>
      <c r="G5114" s="64" t="n">
        <v>100</v>
      </c>
      <c r="H5114" s="62"/>
    </row>
    <row r="5115" customFormat="false" ht="15" hidden="false" customHeight="false" outlineLevel="0" collapsed="false">
      <c r="A5115" s="62" t="n">
        <v>1</v>
      </c>
      <c r="B5115" s="62" t="s">
        <v>387</v>
      </c>
      <c r="C5115" s="62" t="s">
        <v>60</v>
      </c>
      <c r="D5115" s="62" t="s">
        <v>382</v>
      </c>
      <c r="E5115" s="62" t="s">
        <v>382</v>
      </c>
      <c r="F5115" s="63" t="s">
        <v>491</v>
      </c>
      <c r="G5115" s="64" t="n">
        <v>100</v>
      </c>
      <c r="H5115" s="62"/>
    </row>
    <row r="5116" customFormat="false" ht="15" hidden="false" customHeight="false" outlineLevel="0" collapsed="false">
      <c r="A5116" s="62" t="n">
        <v>1</v>
      </c>
      <c r="B5116" s="62" t="s">
        <v>388</v>
      </c>
      <c r="C5116" s="62" t="s">
        <v>60</v>
      </c>
      <c r="D5116" s="62" t="s">
        <v>382</v>
      </c>
      <c r="E5116" s="62" t="s">
        <v>382</v>
      </c>
      <c r="F5116" s="63" t="s">
        <v>491</v>
      </c>
      <c r="G5116" s="64" t="n">
        <v>60.44824</v>
      </c>
      <c r="H5116" s="62"/>
    </row>
    <row r="5117" customFormat="false" ht="15" hidden="false" customHeight="false" outlineLevel="0" collapsed="false">
      <c r="A5117" s="62" t="n">
        <v>1</v>
      </c>
      <c r="B5117" s="62" t="s">
        <v>381</v>
      </c>
      <c r="C5117" s="62" t="s">
        <v>60</v>
      </c>
      <c r="D5117" s="62" t="s">
        <v>382</v>
      </c>
      <c r="E5117" s="62" t="s">
        <v>382</v>
      </c>
      <c r="F5117" s="63" t="s">
        <v>492</v>
      </c>
      <c r="G5117" s="64" t="n">
        <v>1.01767024622594</v>
      </c>
      <c r="H5117" s="62"/>
    </row>
    <row r="5118" customFormat="false" ht="15" hidden="false" customHeight="false" outlineLevel="0" collapsed="false">
      <c r="A5118" s="62" t="n">
        <v>1</v>
      </c>
      <c r="B5118" s="62" t="s">
        <v>383</v>
      </c>
      <c r="C5118" s="62" t="s">
        <v>60</v>
      </c>
      <c r="D5118" s="62" t="s">
        <v>382</v>
      </c>
      <c r="E5118" s="62" t="s">
        <v>382</v>
      </c>
      <c r="F5118" s="63" t="s">
        <v>492</v>
      </c>
      <c r="G5118" s="64" t="n">
        <v>1.05597045668794</v>
      </c>
      <c r="H5118" s="62"/>
    </row>
    <row r="5119" customFormat="false" ht="15" hidden="false" customHeight="false" outlineLevel="0" collapsed="false">
      <c r="A5119" s="62" t="n">
        <v>1</v>
      </c>
      <c r="B5119" s="62" t="s">
        <v>384</v>
      </c>
      <c r="C5119" s="62" t="s">
        <v>60</v>
      </c>
      <c r="D5119" s="62" t="s">
        <v>382</v>
      </c>
      <c r="E5119" s="62" t="s">
        <v>382</v>
      </c>
      <c r="F5119" s="63" t="s">
        <v>492</v>
      </c>
      <c r="G5119" s="64" t="n">
        <v>1.05255648922232</v>
      </c>
      <c r="H5119" s="62"/>
    </row>
    <row r="5120" customFormat="false" ht="15" hidden="false" customHeight="false" outlineLevel="0" collapsed="false">
      <c r="A5120" s="62" t="n">
        <v>1</v>
      </c>
      <c r="B5120" s="62" t="s">
        <v>385</v>
      </c>
      <c r="C5120" s="62" t="s">
        <v>60</v>
      </c>
      <c r="D5120" s="62" t="s">
        <v>382</v>
      </c>
      <c r="E5120" s="62" t="s">
        <v>382</v>
      </c>
      <c r="F5120" s="63" t="s">
        <v>492</v>
      </c>
      <c r="G5120" s="64" t="n">
        <v>1.0854910789394</v>
      </c>
      <c r="H5120" s="62"/>
    </row>
    <row r="5121" customFormat="false" ht="15" hidden="false" customHeight="false" outlineLevel="0" collapsed="false">
      <c r="A5121" s="62" t="n">
        <v>1</v>
      </c>
      <c r="B5121" s="62" t="s">
        <v>386</v>
      </c>
      <c r="C5121" s="62" t="s">
        <v>60</v>
      </c>
      <c r="D5121" s="62" t="s">
        <v>382</v>
      </c>
      <c r="E5121" s="62" t="s">
        <v>382</v>
      </c>
      <c r="F5121" s="63" t="s">
        <v>492</v>
      </c>
      <c r="G5121" s="64" t="n">
        <v>1.11039369906339</v>
      </c>
      <c r="H5121" s="62"/>
    </row>
    <row r="5122" customFormat="false" ht="15" hidden="false" customHeight="false" outlineLevel="0" collapsed="false">
      <c r="A5122" s="62" t="n">
        <v>1</v>
      </c>
      <c r="B5122" s="62" t="s">
        <v>387</v>
      </c>
      <c r="C5122" s="62" t="s">
        <v>60</v>
      </c>
      <c r="D5122" s="62" t="s">
        <v>382</v>
      </c>
      <c r="E5122" s="62" t="s">
        <v>382</v>
      </c>
      <c r="F5122" s="63" t="s">
        <v>492</v>
      </c>
      <c r="G5122" s="64" t="n">
        <v>1.14528048041727</v>
      </c>
      <c r="H5122" s="62"/>
    </row>
    <row r="5123" customFormat="false" ht="15" hidden="false" customHeight="false" outlineLevel="0" collapsed="false">
      <c r="A5123" s="62" t="n">
        <v>1</v>
      </c>
      <c r="B5123" s="62" t="s">
        <v>388</v>
      </c>
      <c r="C5123" s="62" t="s">
        <v>60</v>
      </c>
      <c r="D5123" s="62" t="s">
        <v>382</v>
      </c>
      <c r="E5123" s="62" t="s">
        <v>382</v>
      </c>
      <c r="F5123" s="63" t="s">
        <v>492</v>
      </c>
      <c r="G5123" s="64" t="n">
        <v>1.09718929900164</v>
      </c>
      <c r="H5123" s="62"/>
    </row>
    <row r="5124" customFormat="false" ht="15" hidden="false" customHeight="false" outlineLevel="0" collapsed="false">
      <c r="A5124" s="62" t="n">
        <v>1</v>
      </c>
      <c r="B5124" s="62" t="s">
        <v>381</v>
      </c>
      <c r="C5124" s="62" t="s">
        <v>60</v>
      </c>
      <c r="D5124" s="62" t="s">
        <v>382</v>
      </c>
      <c r="E5124" s="62" t="s">
        <v>382</v>
      </c>
      <c r="F5124" s="63" t="s">
        <v>493</v>
      </c>
      <c r="G5124" s="64" t="n">
        <v>5000</v>
      </c>
      <c r="H5124" s="62"/>
    </row>
    <row r="5125" customFormat="false" ht="15" hidden="false" customHeight="false" outlineLevel="0" collapsed="false">
      <c r="A5125" s="62" t="n">
        <v>1</v>
      </c>
      <c r="B5125" s="62" t="s">
        <v>383</v>
      </c>
      <c r="C5125" s="62" t="s">
        <v>60</v>
      </c>
      <c r="D5125" s="62" t="s">
        <v>382</v>
      </c>
      <c r="E5125" s="62" t="s">
        <v>382</v>
      </c>
      <c r="F5125" s="63" t="s">
        <v>493</v>
      </c>
      <c r="G5125" s="64" t="n">
        <v>5000</v>
      </c>
      <c r="H5125" s="62"/>
    </row>
    <row r="5126" customFormat="false" ht="15" hidden="false" customHeight="false" outlineLevel="0" collapsed="false">
      <c r="A5126" s="62" t="n">
        <v>1</v>
      </c>
      <c r="B5126" s="62" t="s">
        <v>384</v>
      </c>
      <c r="C5126" s="62" t="s">
        <v>60</v>
      </c>
      <c r="D5126" s="62" t="s">
        <v>382</v>
      </c>
      <c r="E5126" s="62" t="s">
        <v>382</v>
      </c>
      <c r="F5126" s="63" t="s">
        <v>493</v>
      </c>
      <c r="G5126" s="64" t="n">
        <v>5000</v>
      </c>
      <c r="H5126" s="62"/>
    </row>
    <row r="5127" customFormat="false" ht="15" hidden="false" customHeight="false" outlineLevel="0" collapsed="false">
      <c r="A5127" s="62" t="n">
        <v>1</v>
      </c>
      <c r="B5127" s="62" t="s">
        <v>385</v>
      </c>
      <c r="C5127" s="62" t="s">
        <v>60</v>
      </c>
      <c r="D5127" s="62" t="s">
        <v>382</v>
      </c>
      <c r="E5127" s="62" t="s">
        <v>382</v>
      </c>
      <c r="F5127" s="63" t="s">
        <v>493</v>
      </c>
      <c r="G5127" s="64" t="n">
        <v>5000</v>
      </c>
      <c r="H5127" s="62"/>
    </row>
    <row r="5128" customFormat="false" ht="15" hidden="false" customHeight="false" outlineLevel="0" collapsed="false">
      <c r="A5128" s="62" t="n">
        <v>1</v>
      </c>
      <c r="B5128" s="62" t="s">
        <v>386</v>
      </c>
      <c r="C5128" s="62" t="s">
        <v>60</v>
      </c>
      <c r="D5128" s="62" t="s">
        <v>382</v>
      </c>
      <c r="E5128" s="62" t="s">
        <v>382</v>
      </c>
      <c r="F5128" s="63" t="s">
        <v>493</v>
      </c>
      <c r="G5128" s="64" t="n">
        <v>5000</v>
      </c>
      <c r="H5128" s="62"/>
    </row>
    <row r="5129" customFormat="false" ht="15" hidden="false" customHeight="false" outlineLevel="0" collapsed="false">
      <c r="A5129" s="62" t="n">
        <v>1</v>
      </c>
      <c r="B5129" s="62" t="s">
        <v>387</v>
      </c>
      <c r="C5129" s="62" t="s">
        <v>60</v>
      </c>
      <c r="D5129" s="62" t="s">
        <v>382</v>
      </c>
      <c r="E5129" s="62" t="s">
        <v>382</v>
      </c>
      <c r="F5129" s="63" t="s">
        <v>493</v>
      </c>
      <c r="G5129" s="64" t="n">
        <v>5000</v>
      </c>
      <c r="H5129" s="62"/>
    </row>
    <row r="5130" customFormat="false" ht="15" hidden="false" customHeight="false" outlineLevel="0" collapsed="false">
      <c r="A5130" s="62" t="n">
        <v>1</v>
      </c>
      <c r="B5130" s="62" t="s">
        <v>388</v>
      </c>
      <c r="C5130" s="62" t="s">
        <v>60</v>
      </c>
      <c r="D5130" s="62" t="s">
        <v>382</v>
      </c>
      <c r="E5130" s="62" t="s">
        <v>382</v>
      </c>
      <c r="F5130" s="63" t="s">
        <v>493</v>
      </c>
      <c r="G5130" s="64" t="n">
        <v>5000</v>
      </c>
      <c r="H5130" s="62"/>
    </row>
    <row r="5131" customFormat="false" ht="15" hidden="false" customHeight="false" outlineLevel="0" collapsed="false">
      <c r="A5131" s="62" t="n">
        <v>1</v>
      </c>
      <c r="B5131" s="62" t="s">
        <v>381</v>
      </c>
      <c r="C5131" s="62" t="s">
        <v>60</v>
      </c>
      <c r="D5131" s="62" t="s">
        <v>382</v>
      </c>
      <c r="E5131" s="62" t="s">
        <v>382</v>
      </c>
      <c r="F5131" s="63" t="s">
        <v>494</v>
      </c>
      <c r="G5131" s="64" t="n">
        <v>-133</v>
      </c>
      <c r="H5131" s="62"/>
    </row>
    <row r="5132" customFormat="false" ht="15" hidden="false" customHeight="false" outlineLevel="0" collapsed="false">
      <c r="A5132" s="62" t="n">
        <v>1</v>
      </c>
      <c r="B5132" s="62" t="s">
        <v>383</v>
      </c>
      <c r="C5132" s="62" t="s">
        <v>60</v>
      </c>
      <c r="D5132" s="62" t="s">
        <v>382</v>
      </c>
      <c r="E5132" s="62" t="s">
        <v>382</v>
      </c>
      <c r="F5132" s="63" t="s">
        <v>494</v>
      </c>
      <c r="G5132" s="64" t="n">
        <v>-160</v>
      </c>
      <c r="H5132" s="62"/>
    </row>
    <row r="5133" customFormat="false" ht="15" hidden="false" customHeight="false" outlineLevel="0" collapsed="false">
      <c r="A5133" s="62" t="n">
        <v>1</v>
      </c>
      <c r="B5133" s="62" t="s">
        <v>384</v>
      </c>
      <c r="C5133" s="62" t="s">
        <v>60</v>
      </c>
      <c r="D5133" s="62" t="s">
        <v>382</v>
      </c>
      <c r="E5133" s="62" t="s">
        <v>382</v>
      </c>
      <c r="F5133" s="63" t="s">
        <v>494</v>
      </c>
      <c r="G5133" s="64" t="n">
        <v>-112</v>
      </c>
      <c r="H5133" s="62"/>
    </row>
    <row r="5134" customFormat="false" ht="15" hidden="false" customHeight="false" outlineLevel="0" collapsed="false">
      <c r="A5134" s="62" t="n">
        <v>1</v>
      </c>
      <c r="B5134" s="62" t="s">
        <v>385</v>
      </c>
      <c r="C5134" s="62" t="s">
        <v>60</v>
      </c>
      <c r="D5134" s="62" t="s">
        <v>382</v>
      </c>
      <c r="E5134" s="62" t="s">
        <v>382</v>
      </c>
      <c r="F5134" s="63" t="s">
        <v>494</v>
      </c>
      <c r="G5134" s="64" t="n">
        <v>-71</v>
      </c>
      <c r="H5134" s="62"/>
    </row>
    <row r="5135" customFormat="false" ht="15" hidden="false" customHeight="false" outlineLevel="0" collapsed="false">
      <c r="A5135" s="62" t="n">
        <v>1</v>
      </c>
      <c r="B5135" s="62" t="s">
        <v>386</v>
      </c>
      <c r="C5135" s="62" t="s">
        <v>60</v>
      </c>
      <c r="D5135" s="62" t="s">
        <v>382</v>
      </c>
      <c r="E5135" s="62" t="s">
        <v>382</v>
      </c>
      <c r="F5135" s="63" t="s">
        <v>494</v>
      </c>
      <c r="G5135" s="64" t="n">
        <v>-96</v>
      </c>
      <c r="H5135" s="62"/>
    </row>
    <row r="5136" customFormat="false" ht="15" hidden="false" customHeight="false" outlineLevel="0" collapsed="false">
      <c r="A5136" s="62" t="n">
        <v>1</v>
      </c>
      <c r="B5136" s="62" t="s">
        <v>387</v>
      </c>
      <c r="C5136" s="62" t="s">
        <v>60</v>
      </c>
      <c r="D5136" s="62" t="s">
        <v>382</v>
      </c>
      <c r="E5136" s="62" t="s">
        <v>382</v>
      </c>
      <c r="F5136" s="63" t="s">
        <v>494</v>
      </c>
      <c r="G5136" s="64" t="n">
        <v>-27</v>
      </c>
      <c r="H5136" s="62"/>
    </row>
    <row r="5137" customFormat="false" ht="15" hidden="false" customHeight="false" outlineLevel="0" collapsed="false">
      <c r="A5137" s="62" t="n">
        <v>1</v>
      </c>
      <c r="B5137" s="62" t="s">
        <v>388</v>
      </c>
      <c r="C5137" s="62" t="s">
        <v>60</v>
      </c>
      <c r="D5137" s="62" t="s">
        <v>382</v>
      </c>
      <c r="E5137" s="62" t="s">
        <v>382</v>
      </c>
      <c r="F5137" s="63" t="s">
        <v>494</v>
      </c>
      <c r="G5137" s="64" t="n">
        <v>-130</v>
      </c>
      <c r="H5137" s="62"/>
    </row>
    <row r="5138" customFormat="false" ht="15" hidden="false" customHeight="false" outlineLevel="0" collapsed="false">
      <c r="A5138" s="62" t="n">
        <v>1</v>
      </c>
      <c r="B5138" s="62" t="s">
        <v>381</v>
      </c>
      <c r="C5138" s="62" t="s">
        <v>60</v>
      </c>
      <c r="D5138" s="62" t="s">
        <v>382</v>
      </c>
      <c r="E5138" s="62" t="s">
        <v>382</v>
      </c>
      <c r="F5138" s="63" t="s">
        <v>495</v>
      </c>
      <c r="G5138" s="64" t="n">
        <v>433</v>
      </c>
      <c r="H5138" s="62"/>
    </row>
    <row r="5139" customFormat="false" ht="15" hidden="false" customHeight="false" outlineLevel="0" collapsed="false">
      <c r="A5139" s="62" t="n">
        <v>1</v>
      </c>
      <c r="B5139" s="62" t="s">
        <v>383</v>
      </c>
      <c r="C5139" s="62" t="s">
        <v>60</v>
      </c>
      <c r="D5139" s="62" t="s">
        <v>382</v>
      </c>
      <c r="E5139" s="62" t="s">
        <v>382</v>
      </c>
      <c r="F5139" s="63" t="s">
        <v>495</v>
      </c>
      <c r="G5139" s="64" t="n">
        <v>660</v>
      </c>
      <c r="H5139" s="62"/>
    </row>
    <row r="5140" customFormat="false" ht="15" hidden="false" customHeight="false" outlineLevel="0" collapsed="false">
      <c r="A5140" s="62" t="n">
        <v>1</v>
      </c>
      <c r="B5140" s="62" t="s">
        <v>384</v>
      </c>
      <c r="C5140" s="62" t="s">
        <v>60</v>
      </c>
      <c r="D5140" s="62" t="s">
        <v>382</v>
      </c>
      <c r="E5140" s="62" t="s">
        <v>382</v>
      </c>
      <c r="F5140" s="63" t="s">
        <v>495</v>
      </c>
      <c r="G5140" s="64" t="n">
        <v>1112</v>
      </c>
      <c r="H5140" s="62"/>
    </row>
    <row r="5141" customFormat="false" ht="15" hidden="false" customHeight="false" outlineLevel="0" collapsed="false">
      <c r="A5141" s="62" t="n">
        <v>1</v>
      </c>
      <c r="B5141" s="62" t="s">
        <v>385</v>
      </c>
      <c r="C5141" s="62" t="s">
        <v>60</v>
      </c>
      <c r="D5141" s="62" t="s">
        <v>382</v>
      </c>
      <c r="E5141" s="62" t="s">
        <v>382</v>
      </c>
      <c r="F5141" s="63" t="s">
        <v>495</v>
      </c>
      <c r="G5141" s="64" t="n">
        <v>271</v>
      </c>
      <c r="H5141" s="62"/>
    </row>
    <row r="5142" customFormat="false" ht="15" hidden="false" customHeight="false" outlineLevel="0" collapsed="false">
      <c r="A5142" s="62" t="n">
        <v>1</v>
      </c>
      <c r="B5142" s="62" t="s">
        <v>386</v>
      </c>
      <c r="C5142" s="62" t="s">
        <v>60</v>
      </c>
      <c r="D5142" s="62" t="s">
        <v>382</v>
      </c>
      <c r="E5142" s="62" t="s">
        <v>382</v>
      </c>
      <c r="F5142" s="63" t="s">
        <v>495</v>
      </c>
      <c r="G5142" s="64" t="n">
        <v>96</v>
      </c>
      <c r="H5142" s="62"/>
    </row>
    <row r="5143" customFormat="false" ht="15" hidden="false" customHeight="false" outlineLevel="0" collapsed="false">
      <c r="A5143" s="62" t="n">
        <v>1</v>
      </c>
      <c r="B5143" s="62" t="s">
        <v>387</v>
      </c>
      <c r="C5143" s="62" t="s">
        <v>60</v>
      </c>
      <c r="D5143" s="62" t="s">
        <v>382</v>
      </c>
      <c r="E5143" s="62" t="s">
        <v>382</v>
      </c>
      <c r="F5143" s="63" t="s">
        <v>495</v>
      </c>
      <c r="G5143" s="64" t="n">
        <v>1227</v>
      </c>
      <c r="H5143" s="62"/>
    </row>
    <row r="5144" customFormat="false" ht="15" hidden="false" customHeight="false" outlineLevel="0" collapsed="false">
      <c r="A5144" s="62" t="n">
        <v>1</v>
      </c>
      <c r="B5144" s="62" t="s">
        <v>388</v>
      </c>
      <c r="C5144" s="62" t="s">
        <v>60</v>
      </c>
      <c r="D5144" s="62" t="s">
        <v>382</v>
      </c>
      <c r="E5144" s="62" t="s">
        <v>382</v>
      </c>
      <c r="F5144" s="63" t="s">
        <v>495</v>
      </c>
      <c r="G5144" s="64" t="n">
        <v>130</v>
      </c>
      <c r="H5144" s="62"/>
    </row>
    <row r="5145" customFormat="false" ht="15" hidden="false" customHeight="false" outlineLevel="0" collapsed="false">
      <c r="A5145" s="62" t="n">
        <v>1</v>
      </c>
      <c r="B5145" s="62" t="s">
        <v>381</v>
      </c>
      <c r="C5145" s="62" t="s">
        <v>60</v>
      </c>
      <c r="D5145" s="62" t="s">
        <v>382</v>
      </c>
      <c r="E5145" s="62" t="s">
        <v>382</v>
      </c>
      <c r="F5145" s="63" t="s">
        <v>496</v>
      </c>
      <c r="G5145" s="64" t="n">
        <v>5300</v>
      </c>
      <c r="H5145" s="62"/>
    </row>
    <row r="5146" customFormat="false" ht="15" hidden="false" customHeight="false" outlineLevel="0" collapsed="false">
      <c r="A5146" s="62" t="n">
        <v>1</v>
      </c>
      <c r="B5146" s="62" t="s">
        <v>383</v>
      </c>
      <c r="C5146" s="62" t="s">
        <v>60</v>
      </c>
      <c r="D5146" s="62" t="s">
        <v>382</v>
      </c>
      <c r="E5146" s="62" t="s">
        <v>382</v>
      </c>
      <c r="F5146" s="63" t="s">
        <v>496</v>
      </c>
      <c r="G5146" s="64" t="n">
        <v>5500</v>
      </c>
      <c r="H5146" s="62"/>
    </row>
    <row r="5147" customFormat="false" ht="15" hidden="false" customHeight="false" outlineLevel="0" collapsed="false">
      <c r="A5147" s="62" t="n">
        <v>1</v>
      </c>
      <c r="B5147" s="62" t="s">
        <v>384</v>
      </c>
      <c r="C5147" s="62" t="s">
        <v>60</v>
      </c>
      <c r="D5147" s="62" t="s">
        <v>382</v>
      </c>
      <c r="E5147" s="62" t="s">
        <v>382</v>
      </c>
      <c r="F5147" s="63" t="s">
        <v>496</v>
      </c>
      <c r="G5147" s="64" t="n">
        <v>6000</v>
      </c>
      <c r="H5147" s="62"/>
    </row>
    <row r="5148" customFormat="false" ht="15" hidden="false" customHeight="false" outlineLevel="0" collapsed="false">
      <c r="A5148" s="62" t="n">
        <v>1</v>
      </c>
      <c r="B5148" s="62" t="s">
        <v>385</v>
      </c>
      <c r="C5148" s="62" t="s">
        <v>60</v>
      </c>
      <c r="D5148" s="62" t="s">
        <v>382</v>
      </c>
      <c r="E5148" s="62" t="s">
        <v>382</v>
      </c>
      <c r="F5148" s="63" t="s">
        <v>496</v>
      </c>
      <c r="G5148" s="64" t="n">
        <v>5200</v>
      </c>
      <c r="H5148" s="62"/>
    </row>
    <row r="5149" customFormat="false" ht="15" hidden="false" customHeight="false" outlineLevel="0" collapsed="false">
      <c r="A5149" s="62" t="n">
        <v>1</v>
      </c>
      <c r="B5149" s="62" t="s">
        <v>386</v>
      </c>
      <c r="C5149" s="62" t="s">
        <v>60</v>
      </c>
      <c r="D5149" s="62" t="s">
        <v>382</v>
      </c>
      <c r="E5149" s="62" t="s">
        <v>382</v>
      </c>
      <c r="F5149" s="63" t="s">
        <v>496</v>
      </c>
      <c r="G5149" s="64" t="n">
        <v>5000</v>
      </c>
      <c r="H5149" s="62"/>
    </row>
    <row r="5150" customFormat="false" ht="15" hidden="false" customHeight="false" outlineLevel="0" collapsed="false">
      <c r="A5150" s="62" t="n">
        <v>1</v>
      </c>
      <c r="B5150" s="62" t="s">
        <v>387</v>
      </c>
      <c r="C5150" s="62" t="s">
        <v>60</v>
      </c>
      <c r="D5150" s="62" t="s">
        <v>382</v>
      </c>
      <c r="E5150" s="62" t="s">
        <v>382</v>
      </c>
      <c r="F5150" s="63" t="s">
        <v>496</v>
      </c>
      <c r="G5150" s="64" t="n">
        <v>6200</v>
      </c>
      <c r="H5150" s="62"/>
    </row>
    <row r="5151" customFormat="false" ht="15" hidden="false" customHeight="false" outlineLevel="0" collapsed="false">
      <c r="A5151" s="62" t="n">
        <v>1</v>
      </c>
      <c r="B5151" s="62" t="s">
        <v>388</v>
      </c>
      <c r="C5151" s="62" t="s">
        <v>60</v>
      </c>
      <c r="D5151" s="62" t="s">
        <v>382</v>
      </c>
      <c r="E5151" s="62" t="s">
        <v>382</v>
      </c>
      <c r="F5151" s="63" t="s">
        <v>496</v>
      </c>
      <c r="G5151" s="64" t="n">
        <v>5000</v>
      </c>
      <c r="H5151" s="62"/>
    </row>
    <row r="5152" customFormat="false" ht="15" hidden="false" customHeight="false" outlineLevel="0" collapsed="false">
      <c r="A5152" s="62" t="n">
        <v>1</v>
      </c>
      <c r="B5152" s="62" t="s">
        <v>381</v>
      </c>
      <c r="C5152" s="62" t="s">
        <v>60</v>
      </c>
      <c r="D5152" s="62" t="s">
        <v>382</v>
      </c>
      <c r="E5152" s="62" t="s">
        <v>382</v>
      </c>
      <c r="F5152" s="63" t="s">
        <v>497</v>
      </c>
      <c r="G5152" s="64" t="n">
        <v>2.66</v>
      </c>
      <c r="H5152" s="62"/>
    </row>
    <row r="5153" customFormat="false" ht="15" hidden="false" customHeight="false" outlineLevel="0" collapsed="false">
      <c r="A5153" s="62" t="n">
        <v>1</v>
      </c>
      <c r="B5153" s="62" t="s">
        <v>383</v>
      </c>
      <c r="C5153" s="62" t="s">
        <v>60</v>
      </c>
      <c r="D5153" s="62" t="s">
        <v>382</v>
      </c>
      <c r="E5153" s="62" t="s">
        <v>382</v>
      </c>
      <c r="F5153" s="63" t="s">
        <v>497</v>
      </c>
      <c r="G5153" s="64" t="n">
        <v>3.2</v>
      </c>
      <c r="H5153" s="62"/>
    </row>
    <row r="5154" customFormat="false" ht="15" hidden="false" customHeight="false" outlineLevel="0" collapsed="false">
      <c r="A5154" s="62" t="n">
        <v>1</v>
      </c>
      <c r="B5154" s="62" t="s">
        <v>384</v>
      </c>
      <c r="C5154" s="62" t="s">
        <v>60</v>
      </c>
      <c r="D5154" s="62" t="s">
        <v>382</v>
      </c>
      <c r="E5154" s="62" t="s">
        <v>382</v>
      </c>
      <c r="F5154" s="63" t="s">
        <v>497</v>
      </c>
      <c r="G5154" s="64" t="n">
        <v>2.24</v>
      </c>
      <c r="H5154" s="62"/>
    </row>
    <row r="5155" customFormat="false" ht="15" hidden="false" customHeight="false" outlineLevel="0" collapsed="false">
      <c r="A5155" s="62" t="n">
        <v>1</v>
      </c>
      <c r="B5155" s="62" t="s">
        <v>385</v>
      </c>
      <c r="C5155" s="62" t="s">
        <v>60</v>
      </c>
      <c r="D5155" s="62" t="s">
        <v>382</v>
      </c>
      <c r="E5155" s="62" t="s">
        <v>382</v>
      </c>
      <c r="F5155" s="63" t="s">
        <v>497</v>
      </c>
      <c r="G5155" s="64" t="n">
        <v>1.42</v>
      </c>
      <c r="H5155" s="62"/>
    </row>
    <row r="5156" customFormat="false" ht="15" hidden="false" customHeight="false" outlineLevel="0" collapsed="false">
      <c r="A5156" s="62" t="n">
        <v>1</v>
      </c>
      <c r="B5156" s="62" t="s">
        <v>386</v>
      </c>
      <c r="C5156" s="62" t="s">
        <v>60</v>
      </c>
      <c r="D5156" s="62" t="s">
        <v>382</v>
      </c>
      <c r="E5156" s="62" t="s">
        <v>382</v>
      </c>
      <c r="F5156" s="63" t="s">
        <v>497</v>
      </c>
      <c r="G5156" s="64" t="n">
        <v>1.92</v>
      </c>
      <c r="H5156" s="62"/>
    </row>
    <row r="5157" customFormat="false" ht="15" hidden="false" customHeight="false" outlineLevel="0" collapsed="false">
      <c r="A5157" s="62" t="n">
        <v>1</v>
      </c>
      <c r="B5157" s="62" t="s">
        <v>387</v>
      </c>
      <c r="C5157" s="62" t="s">
        <v>60</v>
      </c>
      <c r="D5157" s="62" t="s">
        <v>382</v>
      </c>
      <c r="E5157" s="62" t="s">
        <v>382</v>
      </c>
      <c r="F5157" s="63" t="s">
        <v>497</v>
      </c>
      <c r="G5157" s="64" t="n">
        <v>0.54</v>
      </c>
      <c r="H5157" s="62"/>
    </row>
    <row r="5158" customFormat="false" ht="15" hidden="false" customHeight="false" outlineLevel="0" collapsed="false">
      <c r="A5158" s="62" t="n">
        <v>1</v>
      </c>
      <c r="B5158" s="62" t="s">
        <v>388</v>
      </c>
      <c r="C5158" s="62" t="s">
        <v>60</v>
      </c>
      <c r="D5158" s="62" t="s">
        <v>382</v>
      </c>
      <c r="E5158" s="62" t="s">
        <v>382</v>
      </c>
      <c r="F5158" s="63" t="s">
        <v>497</v>
      </c>
      <c r="G5158" s="64" t="n">
        <v>2.6</v>
      </c>
      <c r="H5158" s="62"/>
    </row>
    <row r="5159" customFormat="false" ht="15" hidden="false" customHeight="false" outlineLevel="0" collapsed="false">
      <c r="A5159" s="62" t="n">
        <v>1</v>
      </c>
      <c r="B5159" s="62" t="s">
        <v>381</v>
      </c>
      <c r="C5159" s="62" t="s">
        <v>60</v>
      </c>
      <c r="D5159" s="62" t="s">
        <v>382</v>
      </c>
      <c r="E5159" s="62" t="s">
        <v>382</v>
      </c>
      <c r="F5159" s="63" t="s">
        <v>498</v>
      </c>
      <c r="G5159" s="64" t="n">
        <v>0</v>
      </c>
      <c r="H5159" s="62"/>
    </row>
    <row r="5160" customFormat="false" ht="15" hidden="false" customHeight="false" outlineLevel="0" collapsed="false">
      <c r="A5160" s="62" t="n">
        <v>1</v>
      </c>
      <c r="B5160" s="62" t="s">
        <v>383</v>
      </c>
      <c r="C5160" s="62" t="s">
        <v>60</v>
      </c>
      <c r="D5160" s="62" t="s">
        <v>382</v>
      </c>
      <c r="E5160" s="62" t="s">
        <v>382</v>
      </c>
      <c r="F5160" s="63" t="s">
        <v>498</v>
      </c>
      <c r="G5160" s="64" t="n">
        <v>0</v>
      </c>
      <c r="H5160" s="62"/>
    </row>
    <row r="5161" customFormat="false" ht="15" hidden="false" customHeight="false" outlineLevel="0" collapsed="false">
      <c r="A5161" s="62" t="n">
        <v>1</v>
      </c>
      <c r="B5161" s="62" t="s">
        <v>384</v>
      </c>
      <c r="C5161" s="62" t="s">
        <v>60</v>
      </c>
      <c r="D5161" s="62" t="s">
        <v>382</v>
      </c>
      <c r="E5161" s="62" t="s">
        <v>382</v>
      </c>
      <c r="F5161" s="63" t="s">
        <v>498</v>
      </c>
      <c r="G5161" s="64" t="n">
        <v>0</v>
      </c>
      <c r="H5161" s="62"/>
    </row>
    <row r="5162" customFormat="false" ht="15" hidden="false" customHeight="false" outlineLevel="0" collapsed="false">
      <c r="A5162" s="62" t="n">
        <v>1</v>
      </c>
      <c r="B5162" s="62" t="s">
        <v>385</v>
      </c>
      <c r="C5162" s="62" t="s">
        <v>60</v>
      </c>
      <c r="D5162" s="62" t="s">
        <v>382</v>
      </c>
      <c r="E5162" s="62" t="s">
        <v>382</v>
      </c>
      <c r="F5162" s="63" t="s">
        <v>498</v>
      </c>
      <c r="G5162" s="64" t="n">
        <v>0</v>
      </c>
      <c r="H5162" s="62"/>
    </row>
    <row r="5163" customFormat="false" ht="15" hidden="false" customHeight="false" outlineLevel="0" collapsed="false">
      <c r="A5163" s="62" t="n">
        <v>1</v>
      </c>
      <c r="B5163" s="62" t="s">
        <v>386</v>
      </c>
      <c r="C5163" s="62" t="s">
        <v>60</v>
      </c>
      <c r="D5163" s="62" t="s">
        <v>382</v>
      </c>
      <c r="E5163" s="62" t="s">
        <v>382</v>
      </c>
      <c r="F5163" s="63" t="s">
        <v>498</v>
      </c>
      <c r="G5163" s="64" t="n">
        <v>0</v>
      </c>
      <c r="H5163" s="62"/>
    </row>
    <row r="5164" customFormat="false" ht="15" hidden="false" customHeight="false" outlineLevel="0" collapsed="false">
      <c r="A5164" s="62" t="n">
        <v>1</v>
      </c>
      <c r="B5164" s="62" t="s">
        <v>387</v>
      </c>
      <c r="C5164" s="62" t="s">
        <v>60</v>
      </c>
      <c r="D5164" s="62" t="s">
        <v>382</v>
      </c>
      <c r="E5164" s="62" t="s">
        <v>382</v>
      </c>
      <c r="F5164" s="63" t="s">
        <v>498</v>
      </c>
      <c r="G5164" s="64" t="n">
        <v>0</v>
      </c>
      <c r="H5164" s="62"/>
    </row>
    <row r="5165" customFormat="false" ht="15" hidden="false" customHeight="false" outlineLevel="0" collapsed="false">
      <c r="A5165" s="62" t="n">
        <v>1</v>
      </c>
      <c r="B5165" s="62" t="s">
        <v>388</v>
      </c>
      <c r="C5165" s="62" t="s">
        <v>60</v>
      </c>
      <c r="D5165" s="62" t="s">
        <v>382</v>
      </c>
      <c r="E5165" s="62" t="s">
        <v>382</v>
      </c>
      <c r="F5165" s="63" t="s">
        <v>498</v>
      </c>
      <c r="G5165" s="64" t="n">
        <v>0</v>
      </c>
      <c r="H5165" s="62"/>
    </row>
    <row r="5166" customFormat="false" ht="15" hidden="false" customHeight="false" outlineLevel="0" collapsed="false">
      <c r="A5166" s="62" t="n">
        <v>1</v>
      </c>
      <c r="B5166" s="62" t="s">
        <v>381</v>
      </c>
      <c r="C5166" s="62" t="s">
        <v>60</v>
      </c>
      <c r="D5166" s="62" t="s">
        <v>382</v>
      </c>
      <c r="E5166" s="62" t="s">
        <v>382</v>
      </c>
      <c r="F5166" s="63" t="s">
        <v>499</v>
      </c>
      <c r="G5166" s="64" t="n">
        <v>2.66</v>
      </c>
      <c r="H5166" s="62"/>
    </row>
    <row r="5167" customFormat="false" ht="15" hidden="false" customHeight="false" outlineLevel="0" collapsed="false">
      <c r="A5167" s="62" t="n">
        <v>1</v>
      </c>
      <c r="B5167" s="62" t="s">
        <v>383</v>
      </c>
      <c r="C5167" s="62" t="s">
        <v>60</v>
      </c>
      <c r="D5167" s="62" t="s">
        <v>382</v>
      </c>
      <c r="E5167" s="62" t="s">
        <v>382</v>
      </c>
      <c r="F5167" s="63" t="s">
        <v>499</v>
      </c>
      <c r="G5167" s="64" t="n">
        <v>3.2</v>
      </c>
      <c r="H5167" s="62"/>
    </row>
    <row r="5168" customFormat="false" ht="15" hidden="false" customHeight="false" outlineLevel="0" collapsed="false">
      <c r="A5168" s="62" t="n">
        <v>1</v>
      </c>
      <c r="B5168" s="62" t="s">
        <v>384</v>
      </c>
      <c r="C5168" s="62" t="s">
        <v>60</v>
      </c>
      <c r="D5168" s="62" t="s">
        <v>382</v>
      </c>
      <c r="E5168" s="62" t="s">
        <v>382</v>
      </c>
      <c r="F5168" s="63" t="s">
        <v>499</v>
      </c>
      <c r="G5168" s="64" t="n">
        <v>2.24</v>
      </c>
      <c r="H5168" s="62"/>
    </row>
    <row r="5169" customFormat="false" ht="15" hidden="false" customHeight="false" outlineLevel="0" collapsed="false">
      <c r="A5169" s="62" t="n">
        <v>1</v>
      </c>
      <c r="B5169" s="62" t="s">
        <v>385</v>
      </c>
      <c r="C5169" s="62" t="s">
        <v>60</v>
      </c>
      <c r="D5169" s="62" t="s">
        <v>382</v>
      </c>
      <c r="E5169" s="62" t="s">
        <v>382</v>
      </c>
      <c r="F5169" s="63" t="s">
        <v>499</v>
      </c>
      <c r="G5169" s="64" t="n">
        <v>1.42</v>
      </c>
      <c r="H5169" s="62"/>
    </row>
    <row r="5170" customFormat="false" ht="15" hidden="false" customHeight="false" outlineLevel="0" collapsed="false">
      <c r="A5170" s="62" t="n">
        <v>1</v>
      </c>
      <c r="B5170" s="62" t="s">
        <v>386</v>
      </c>
      <c r="C5170" s="62" t="s">
        <v>60</v>
      </c>
      <c r="D5170" s="62" t="s">
        <v>382</v>
      </c>
      <c r="E5170" s="62" t="s">
        <v>382</v>
      </c>
      <c r="F5170" s="63" t="s">
        <v>499</v>
      </c>
      <c r="G5170" s="64" t="n">
        <v>1.92</v>
      </c>
      <c r="H5170" s="62"/>
    </row>
    <row r="5171" customFormat="false" ht="15" hidden="false" customHeight="false" outlineLevel="0" collapsed="false">
      <c r="A5171" s="62" t="n">
        <v>1</v>
      </c>
      <c r="B5171" s="62" t="s">
        <v>387</v>
      </c>
      <c r="C5171" s="62" t="s">
        <v>60</v>
      </c>
      <c r="D5171" s="62" t="s">
        <v>382</v>
      </c>
      <c r="E5171" s="62" t="s">
        <v>382</v>
      </c>
      <c r="F5171" s="63" t="s">
        <v>499</v>
      </c>
      <c r="G5171" s="64" t="n">
        <v>0.54</v>
      </c>
      <c r="H5171" s="62"/>
    </row>
    <row r="5172" customFormat="false" ht="15" hidden="false" customHeight="false" outlineLevel="0" collapsed="false">
      <c r="A5172" s="62" t="n">
        <v>1</v>
      </c>
      <c r="B5172" s="62" t="s">
        <v>388</v>
      </c>
      <c r="C5172" s="62" t="s">
        <v>60</v>
      </c>
      <c r="D5172" s="62" t="s">
        <v>382</v>
      </c>
      <c r="E5172" s="62" t="s">
        <v>382</v>
      </c>
      <c r="F5172" s="63" t="s">
        <v>499</v>
      </c>
      <c r="G5172" s="64" t="n">
        <v>2.6</v>
      </c>
      <c r="H5172" s="62"/>
    </row>
    <row r="5173" customFormat="false" ht="15" hidden="false" customHeight="false" outlineLevel="0" collapsed="false">
      <c r="A5173" s="62" t="n">
        <v>1</v>
      </c>
      <c r="B5173" s="62" t="s">
        <v>381</v>
      </c>
      <c r="C5173" s="62" t="s">
        <v>60</v>
      </c>
      <c r="D5173" s="62" t="s">
        <v>382</v>
      </c>
      <c r="E5173" s="62" t="s">
        <v>382</v>
      </c>
      <c r="F5173" s="63" t="s">
        <v>500</v>
      </c>
      <c r="G5173" s="64" t="n">
        <v>0</v>
      </c>
      <c r="H5173" s="62" t="s">
        <v>138</v>
      </c>
    </row>
    <row r="5174" customFormat="false" ht="15" hidden="false" customHeight="false" outlineLevel="0" collapsed="false">
      <c r="A5174" s="62" t="n">
        <v>1</v>
      </c>
      <c r="B5174" s="62" t="s">
        <v>383</v>
      </c>
      <c r="C5174" s="62" t="s">
        <v>60</v>
      </c>
      <c r="D5174" s="62" t="s">
        <v>382</v>
      </c>
      <c r="E5174" s="62" t="s">
        <v>382</v>
      </c>
      <c r="F5174" s="63" t="s">
        <v>500</v>
      </c>
      <c r="G5174" s="64" t="n">
        <v>0</v>
      </c>
      <c r="H5174" s="62" t="s">
        <v>138</v>
      </c>
    </row>
    <row r="5175" customFormat="false" ht="15" hidden="false" customHeight="false" outlineLevel="0" collapsed="false">
      <c r="A5175" s="62" t="n">
        <v>1</v>
      </c>
      <c r="B5175" s="62" t="s">
        <v>384</v>
      </c>
      <c r="C5175" s="62" t="s">
        <v>60</v>
      </c>
      <c r="D5175" s="62" t="s">
        <v>382</v>
      </c>
      <c r="E5175" s="62" t="s">
        <v>382</v>
      </c>
      <c r="F5175" s="63" t="s">
        <v>500</v>
      </c>
      <c r="G5175" s="64" t="n">
        <v>0</v>
      </c>
      <c r="H5175" s="62" t="s">
        <v>138</v>
      </c>
    </row>
    <row r="5176" customFormat="false" ht="15" hidden="false" customHeight="false" outlineLevel="0" collapsed="false">
      <c r="A5176" s="62" t="n">
        <v>1</v>
      </c>
      <c r="B5176" s="62" t="s">
        <v>385</v>
      </c>
      <c r="C5176" s="62" t="s">
        <v>60</v>
      </c>
      <c r="D5176" s="62" t="s">
        <v>382</v>
      </c>
      <c r="E5176" s="62" t="s">
        <v>382</v>
      </c>
      <c r="F5176" s="63" t="s">
        <v>500</v>
      </c>
      <c r="G5176" s="64" t="n">
        <v>0</v>
      </c>
      <c r="H5176" s="62" t="s">
        <v>138</v>
      </c>
    </row>
    <row r="5177" customFormat="false" ht="15" hidden="false" customHeight="false" outlineLevel="0" collapsed="false">
      <c r="A5177" s="62" t="n">
        <v>1</v>
      </c>
      <c r="B5177" s="62" t="s">
        <v>386</v>
      </c>
      <c r="C5177" s="62" t="s">
        <v>60</v>
      </c>
      <c r="D5177" s="62" t="s">
        <v>382</v>
      </c>
      <c r="E5177" s="62" t="s">
        <v>382</v>
      </c>
      <c r="F5177" s="63" t="s">
        <v>500</v>
      </c>
      <c r="G5177" s="64" t="n">
        <v>0</v>
      </c>
      <c r="H5177" s="62" t="s">
        <v>138</v>
      </c>
    </row>
    <row r="5178" customFormat="false" ht="15" hidden="false" customHeight="false" outlineLevel="0" collapsed="false">
      <c r="A5178" s="62" t="n">
        <v>1</v>
      </c>
      <c r="B5178" s="62" t="s">
        <v>387</v>
      </c>
      <c r="C5178" s="62" t="s">
        <v>60</v>
      </c>
      <c r="D5178" s="62" t="s">
        <v>382</v>
      </c>
      <c r="E5178" s="62" t="s">
        <v>382</v>
      </c>
      <c r="F5178" s="63" t="s">
        <v>500</v>
      </c>
      <c r="G5178" s="64" t="n">
        <v>0</v>
      </c>
      <c r="H5178" s="62" t="s">
        <v>138</v>
      </c>
    </row>
    <row r="5179" customFormat="false" ht="15" hidden="false" customHeight="false" outlineLevel="0" collapsed="false">
      <c r="A5179" s="62" t="n">
        <v>1</v>
      </c>
      <c r="B5179" s="62" t="s">
        <v>388</v>
      </c>
      <c r="C5179" s="62" t="s">
        <v>60</v>
      </c>
      <c r="D5179" s="62" t="s">
        <v>382</v>
      </c>
      <c r="E5179" s="62" t="s">
        <v>382</v>
      </c>
      <c r="F5179" s="63" t="s">
        <v>500</v>
      </c>
      <c r="G5179" s="64" t="n">
        <v>0</v>
      </c>
      <c r="H5179" s="62" t="s">
        <v>138</v>
      </c>
    </row>
    <row r="5180" customFormat="false" ht="15" hidden="false" customHeight="false" outlineLevel="0" collapsed="false">
      <c r="A5180" s="62" t="n">
        <v>1</v>
      </c>
      <c r="B5180" s="62" t="s">
        <v>381</v>
      </c>
      <c r="C5180" s="62" t="s">
        <v>60</v>
      </c>
      <c r="D5180" s="62" t="s">
        <v>382</v>
      </c>
      <c r="E5180" s="62" t="s">
        <v>382</v>
      </c>
      <c r="F5180" s="63" t="s">
        <v>501</v>
      </c>
      <c r="G5180" s="64" t="n">
        <v>3464</v>
      </c>
      <c r="H5180" s="62" t="s">
        <v>138</v>
      </c>
    </row>
    <row r="5181" customFormat="false" ht="15" hidden="false" customHeight="false" outlineLevel="0" collapsed="false">
      <c r="A5181" s="62" t="n">
        <v>1</v>
      </c>
      <c r="B5181" s="62" t="s">
        <v>383</v>
      </c>
      <c r="C5181" s="62" t="s">
        <v>60</v>
      </c>
      <c r="D5181" s="62" t="s">
        <v>382</v>
      </c>
      <c r="E5181" s="62" t="s">
        <v>382</v>
      </c>
      <c r="F5181" s="63" t="s">
        <v>501</v>
      </c>
      <c r="G5181" s="64" t="n">
        <v>6864</v>
      </c>
      <c r="H5181" s="62" t="s">
        <v>138</v>
      </c>
    </row>
    <row r="5182" customFormat="false" ht="15" hidden="false" customHeight="false" outlineLevel="0" collapsed="false">
      <c r="A5182" s="62" t="n">
        <v>1</v>
      </c>
      <c r="B5182" s="62" t="s">
        <v>384</v>
      </c>
      <c r="C5182" s="62" t="s">
        <v>60</v>
      </c>
      <c r="D5182" s="62" t="s">
        <v>382</v>
      </c>
      <c r="E5182" s="62" t="s">
        <v>382</v>
      </c>
      <c r="F5182" s="63" t="s">
        <v>501</v>
      </c>
      <c r="G5182" s="64" t="n">
        <v>11564.8</v>
      </c>
      <c r="H5182" s="62" t="s">
        <v>138</v>
      </c>
    </row>
    <row r="5183" customFormat="false" ht="15" hidden="false" customHeight="false" outlineLevel="0" collapsed="false">
      <c r="A5183" s="62" t="n">
        <v>1</v>
      </c>
      <c r="B5183" s="62" t="s">
        <v>385</v>
      </c>
      <c r="C5183" s="62" t="s">
        <v>60</v>
      </c>
      <c r="D5183" s="62" t="s">
        <v>382</v>
      </c>
      <c r="E5183" s="62" t="s">
        <v>382</v>
      </c>
      <c r="F5183" s="63" t="s">
        <v>501</v>
      </c>
      <c r="G5183" s="64" t="n">
        <v>2168</v>
      </c>
      <c r="H5183" s="62" t="s">
        <v>138</v>
      </c>
    </row>
    <row r="5184" customFormat="false" ht="15" hidden="false" customHeight="false" outlineLevel="0" collapsed="false">
      <c r="A5184" s="62" t="n">
        <v>1</v>
      </c>
      <c r="B5184" s="62" t="s">
        <v>386</v>
      </c>
      <c r="C5184" s="62" t="s">
        <v>60</v>
      </c>
      <c r="D5184" s="62" t="s">
        <v>382</v>
      </c>
      <c r="E5184" s="62" t="s">
        <v>382</v>
      </c>
      <c r="F5184" s="63" t="s">
        <v>501</v>
      </c>
      <c r="G5184" s="64" t="n">
        <v>768</v>
      </c>
      <c r="H5184" s="62" t="s">
        <v>138</v>
      </c>
    </row>
    <row r="5185" customFormat="false" ht="15" hidden="false" customHeight="false" outlineLevel="0" collapsed="false">
      <c r="A5185" s="62" t="n">
        <v>1</v>
      </c>
      <c r="B5185" s="62" t="s">
        <v>387</v>
      </c>
      <c r="C5185" s="62" t="s">
        <v>60</v>
      </c>
      <c r="D5185" s="62" t="s">
        <v>382</v>
      </c>
      <c r="E5185" s="62" t="s">
        <v>382</v>
      </c>
      <c r="F5185" s="63" t="s">
        <v>501</v>
      </c>
      <c r="G5185" s="64" t="n">
        <v>9816</v>
      </c>
      <c r="H5185" s="62" t="s">
        <v>138</v>
      </c>
    </row>
    <row r="5186" customFormat="false" ht="15" hidden="false" customHeight="false" outlineLevel="0" collapsed="false">
      <c r="A5186" s="62" t="n">
        <v>1</v>
      </c>
      <c r="B5186" s="62" t="s">
        <v>388</v>
      </c>
      <c r="C5186" s="62" t="s">
        <v>60</v>
      </c>
      <c r="D5186" s="62" t="s">
        <v>382</v>
      </c>
      <c r="E5186" s="62" t="s">
        <v>382</v>
      </c>
      <c r="F5186" s="63" t="s">
        <v>501</v>
      </c>
      <c r="G5186" s="64" t="n">
        <v>1040</v>
      </c>
      <c r="H5186" s="62" t="s">
        <v>138</v>
      </c>
    </row>
    <row r="5187" customFormat="false" ht="15" hidden="false" customHeight="false" outlineLevel="0" collapsed="false">
      <c r="A5187" s="62" t="n">
        <v>1</v>
      </c>
      <c r="B5187" s="62" t="s">
        <v>381</v>
      </c>
      <c r="C5187" s="62" t="s">
        <v>60</v>
      </c>
      <c r="D5187" s="62" t="s">
        <v>382</v>
      </c>
      <c r="E5187" s="62" t="s">
        <v>382</v>
      </c>
      <c r="F5187" s="63" t="s">
        <v>502</v>
      </c>
      <c r="G5187" s="64" t="n">
        <v>481542.857142857</v>
      </c>
      <c r="H5187" s="62" t="s">
        <v>138</v>
      </c>
    </row>
    <row r="5188" customFormat="false" ht="15" hidden="false" customHeight="false" outlineLevel="0" collapsed="false">
      <c r="A5188" s="62" t="n">
        <v>1</v>
      </c>
      <c r="B5188" s="62" t="s">
        <v>383</v>
      </c>
      <c r="C5188" s="62" t="s">
        <v>60</v>
      </c>
      <c r="D5188" s="62" t="s">
        <v>382</v>
      </c>
      <c r="E5188" s="62" t="s">
        <v>382</v>
      </c>
      <c r="F5188" s="63" t="s">
        <v>502</v>
      </c>
      <c r="G5188" s="64" t="n">
        <v>518571.428571429</v>
      </c>
      <c r="H5188" s="62" t="s">
        <v>138</v>
      </c>
    </row>
    <row r="5189" customFormat="false" ht="15" hidden="false" customHeight="false" outlineLevel="0" collapsed="false">
      <c r="A5189" s="62" t="n">
        <v>1</v>
      </c>
      <c r="B5189" s="62" t="s">
        <v>384</v>
      </c>
      <c r="C5189" s="62" t="s">
        <v>60</v>
      </c>
      <c r="D5189" s="62" t="s">
        <v>382</v>
      </c>
      <c r="E5189" s="62" t="s">
        <v>382</v>
      </c>
      <c r="F5189" s="63" t="s">
        <v>502</v>
      </c>
      <c r="G5189" s="64" t="n">
        <v>617142.857142857</v>
      </c>
      <c r="H5189" s="62" t="s">
        <v>138</v>
      </c>
    </row>
    <row r="5190" customFormat="false" ht="15" hidden="false" customHeight="false" outlineLevel="0" collapsed="false">
      <c r="A5190" s="62" t="n">
        <v>1</v>
      </c>
      <c r="B5190" s="62" t="s">
        <v>385</v>
      </c>
      <c r="C5190" s="62" t="s">
        <v>60</v>
      </c>
      <c r="D5190" s="62" t="s">
        <v>382</v>
      </c>
      <c r="E5190" s="62" t="s">
        <v>382</v>
      </c>
      <c r="F5190" s="63" t="s">
        <v>502</v>
      </c>
      <c r="G5190" s="64" t="n">
        <v>579428.571428572</v>
      </c>
      <c r="H5190" s="62" t="s">
        <v>138</v>
      </c>
    </row>
    <row r="5191" customFormat="false" ht="15" hidden="false" customHeight="false" outlineLevel="0" collapsed="false">
      <c r="A5191" s="62" t="n">
        <v>1</v>
      </c>
      <c r="B5191" s="62" t="s">
        <v>386</v>
      </c>
      <c r="C5191" s="62" t="s">
        <v>60</v>
      </c>
      <c r="D5191" s="62" t="s">
        <v>382</v>
      </c>
      <c r="E5191" s="62" t="s">
        <v>382</v>
      </c>
      <c r="F5191" s="63" t="s">
        <v>502</v>
      </c>
      <c r="G5191" s="64" t="n">
        <v>471428.571428572</v>
      </c>
      <c r="H5191" s="62" t="s">
        <v>138</v>
      </c>
    </row>
    <row r="5192" customFormat="false" ht="15" hidden="false" customHeight="false" outlineLevel="0" collapsed="false">
      <c r="A5192" s="62" t="n">
        <v>1</v>
      </c>
      <c r="B5192" s="62" t="s">
        <v>387</v>
      </c>
      <c r="C5192" s="62" t="s">
        <v>60</v>
      </c>
      <c r="D5192" s="62" t="s">
        <v>382</v>
      </c>
      <c r="E5192" s="62" t="s">
        <v>382</v>
      </c>
      <c r="F5192" s="63" t="s">
        <v>502</v>
      </c>
      <c r="G5192" s="64" t="n">
        <v>744000</v>
      </c>
      <c r="H5192" s="62" t="s">
        <v>138</v>
      </c>
    </row>
    <row r="5193" customFormat="false" ht="15" hidden="false" customHeight="false" outlineLevel="0" collapsed="false">
      <c r="A5193" s="62" t="n">
        <v>1</v>
      </c>
      <c r="B5193" s="62" t="s">
        <v>388</v>
      </c>
      <c r="C5193" s="62" t="s">
        <v>60</v>
      </c>
      <c r="D5193" s="62" t="s">
        <v>382</v>
      </c>
      <c r="E5193" s="62" t="s">
        <v>382</v>
      </c>
      <c r="F5193" s="63" t="s">
        <v>502</v>
      </c>
      <c r="G5193" s="64" t="n">
        <v>514285.714285714</v>
      </c>
      <c r="H5193" s="62" t="s">
        <v>138</v>
      </c>
    </row>
    <row r="5194" customFormat="false" ht="15" hidden="false" customHeight="false" outlineLevel="0" collapsed="false">
      <c r="A5194" s="62" t="n">
        <v>1</v>
      </c>
      <c r="B5194" s="62" t="s">
        <v>381</v>
      </c>
      <c r="C5194" s="62" t="s">
        <v>60</v>
      </c>
      <c r="D5194" s="62" t="s">
        <v>382</v>
      </c>
      <c r="E5194" s="62" t="s">
        <v>382</v>
      </c>
      <c r="F5194" s="63" t="s">
        <v>503</v>
      </c>
      <c r="G5194" s="64" t="n">
        <v>44520</v>
      </c>
      <c r="H5194" s="62" t="s">
        <v>138</v>
      </c>
    </row>
    <row r="5195" customFormat="false" ht="15" hidden="false" customHeight="false" outlineLevel="0" collapsed="false">
      <c r="A5195" s="62" t="n">
        <v>1</v>
      </c>
      <c r="B5195" s="62" t="s">
        <v>383</v>
      </c>
      <c r="C5195" s="62" t="s">
        <v>60</v>
      </c>
      <c r="D5195" s="62" t="s">
        <v>382</v>
      </c>
      <c r="E5195" s="62" t="s">
        <v>382</v>
      </c>
      <c r="F5195" s="63" t="s">
        <v>503</v>
      </c>
      <c r="G5195" s="64" t="n">
        <v>43560</v>
      </c>
      <c r="H5195" s="62" t="s">
        <v>138</v>
      </c>
    </row>
    <row r="5196" customFormat="false" ht="15" hidden="false" customHeight="false" outlineLevel="0" collapsed="false">
      <c r="A5196" s="62" t="n">
        <v>1</v>
      </c>
      <c r="B5196" s="62" t="s">
        <v>384</v>
      </c>
      <c r="C5196" s="62" t="s">
        <v>60</v>
      </c>
      <c r="D5196" s="62" t="s">
        <v>382</v>
      </c>
      <c r="E5196" s="62" t="s">
        <v>382</v>
      </c>
      <c r="F5196" s="63" t="s">
        <v>503</v>
      </c>
      <c r="G5196" s="64" t="n">
        <v>43200</v>
      </c>
      <c r="H5196" s="62" t="s">
        <v>138</v>
      </c>
    </row>
    <row r="5197" customFormat="false" ht="15" hidden="false" customHeight="false" outlineLevel="0" collapsed="false">
      <c r="A5197" s="62" t="n">
        <v>1</v>
      </c>
      <c r="B5197" s="62" t="s">
        <v>385</v>
      </c>
      <c r="C5197" s="62" t="s">
        <v>60</v>
      </c>
      <c r="D5197" s="62" t="s">
        <v>382</v>
      </c>
      <c r="E5197" s="62" t="s">
        <v>382</v>
      </c>
      <c r="F5197" s="63" t="s">
        <v>503</v>
      </c>
      <c r="G5197" s="64" t="n">
        <v>43680</v>
      </c>
      <c r="H5197" s="62" t="s">
        <v>138</v>
      </c>
    </row>
    <row r="5198" customFormat="false" ht="15" hidden="false" customHeight="false" outlineLevel="0" collapsed="false">
      <c r="A5198" s="62" t="n">
        <v>1</v>
      </c>
      <c r="B5198" s="62" t="s">
        <v>386</v>
      </c>
      <c r="C5198" s="62" t="s">
        <v>60</v>
      </c>
      <c r="D5198" s="62" t="s">
        <v>382</v>
      </c>
      <c r="E5198" s="62" t="s">
        <v>382</v>
      </c>
      <c r="F5198" s="63" t="s">
        <v>503</v>
      </c>
      <c r="G5198" s="64" t="n">
        <v>90000</v>
      </c>
      <c r="H5198" s="62" t="s">
        <v>138</v>
      </c>
    </row>
    <row r="5199" customFormat="false" ht="15" hidden="false" customHeight="false" outlineLevel="0" collapsed="false">
      <c r="A5199" s="62" t="n">
        <v>1</v>
      </c>
      <c r="B5199" s="62" t="s">
        <v>387</v>
      </c>
      <c r="C5199" s="62" t="s">
        <v>60</v>
      </c>
      <c r="D5199" s="62" t="s">
        <v>382</v>
      </c>
      <c r="E5199" s="62" t="s">
        <v>382</v>
      </c>
      <c r="F5199" s="63" t="s">
        <v>503</v>
      </c>
      <c r="G5199" s="64" t="n">
        <v>104160</v>
      </c>
      <c r="H5199" s="62" t="s">
        <v>138</v>
      </c>
    </row>
    <row r="5200" customFormat="false" ht="15" hidden="false" customHeight="false" outlineLevel="0" collapsed="false">
      <c r="A5200" s="62" t="n">
        <v>1</v>
      </c>
      <c r="B5200" s="62" t="s">
        <v>388</v>
      </c>
      <c r="C5200" s="62" t="s">
        <v>60</v>
      </c>
      <c r="D5200" s="62" t="s">
        <v>382</v>
      </c>
      <c r="E5200" s="62" t="s">
        <v>382</v>
      </c>
      <c r="F5200" s="63" t="s">
        <v>503</v>
      </c>
      <c r="G5200" s="64" t="n">
        <v>36000</v>
      </c>
      <c r="H5200" s="62" t="s">
        <v>138</v>
      </c>
    </row>
    <row r="5201" customFormat="false" ht="15" hidden="false" customHeight="false" outlineLevel="0" collapsed="false">
      <c r="A5201" s="62" t="n">
        <v>1</v>
      </c>
      <c r="B5201" s="62" t="s">
        <v>381</v>
      </c>
      <c r="C5201" s="62" t="s">
        <v>60</v>
      </c>
      <c r="D5201" s="62" t="s">
        <v>382</v>
      </c>
      <c r="E5201" s="62" t="s">
        <v>382</v>
      </c>
      <c r="F5201" s="63" t="s">
        <v>504</v>
      </c>
      <c r="G5201" s="64" t="n">
        <v>42665</v>
      </c>
      <c r="H5201" s="62" t="s">
        <v>138</v>
      </c>
    </row>
    <row r="5202" customFormat="false" ht="15" hidden="false" customHeight="false" outlineLevel="0" collapsed="false">
      <c r="A5202" s="62" t="n">
        <v>1</v>
      </c>
      <c r="B5202" s="62" t="s">
        <v>383</v>
      </c>
      <c r="C5202" s="62" t="s">
        <v>60</v>
      </c>
      <c r="D5202" s="62" t="s">
        <v>382</v>
      </c>
      <c r="E5202" s="62" t="s">
        <v>382</v>
      </c>
      <c r="F5202" s="63" t="s">
        <v>504</v>
      </c>
      <c r="G5202" s="64" t="n">
        <v>44275</v>
      </c>
      <c r="H5202" s="62" t="s">
        <v>138</v>
      </c>
    </row>
    <row r="5203" customFormat="false" ht="15" hidden="false" customHeight="false" outlineLevel="0" collapsed="false">
      <c r="A5203" s="62" t="n">
        <v>1</v>
      </c>
      <c r="B5203" s="62" t="s">
        <v>384</v>
      </c>
      <c r="C5203" s="62" t="s">
        <v>60</v>
      </c>
      <c r="D5203" s="62" t="s">
        <v>382</v>
      </c>
      <c r="E5203" s="62" t="s">
        <v>382</v>
      </c>
      <c r="F5203" s="63" t="s">
        <v>504</v>
      </c>
      <c r="G5203" s="64" t="n">
        <v>48300</v>
      </c>
      <c r="H5203" s="62" t="s">
        <v>138</v>
      </c>
    </row>
    <row r="5204" customFormat="false" ht="15" hidden="false" customHeight="false" outlineLevel="0" collapsed="false">
      <c r="A5204" s="62" t="n">
        <v>1</v>
      </c>
      <c r="B5204" s="62" t="s">
        <v>385</v>
      </c>
      <c r="C5204" s="62" t="s">
        <v>60</v>
      </c>
      <c r="D5204" s="62" t="s">
        <v>382</v>
      </c>
      <c r="E5204" s="62" t="s">
        <v>382</v>
      </c>
      <c r="F5204" s="63" t="s">
        <v>504</v>
      </c>
      <c r="G5204" s="64" t="n">
        <v>41860</v>
      </c>
      <c r="H5204" s="62" t="s">
        <v>138</v>
      </c>
    </row>
    <row r="5205" customFormat="false" ht="15" hidden="false" customHeight="false" outlineLevel="0" collapsed="false">
      <c r="A5205" s="62" t="n">
        <v>1</v>
      </c>
      <c r="B5205" s="62" t="s">
        <v>386</v>
      </c>
      <c r="C5205" s="62" t="s">
        <v>60</v>
      </c>
      <c r="D5205" s="62" t="s">
        <v>382</v>
      </c>
      <c r="E5205" s="62" t="s">
        <v>382</v>
      </c>
      <c r="F5205" s="63" t="s">
        <v>504</v>
      </c>
      <c r="G5205" s="64" t="n">
        <v>40250</v>
      </c>
      <c r="H5205" s="62" t="s">
        <v>138</v>
      </c>
    </row>
    <row r="5206" customFormat="false" ht="15" hidden="false" customHeight="false" outlineLevel="0" collapsed="false">
      <c r="A5206" s="62" t="n">
        <v>1</v>
      </c>
      <c r="B5206" s="62" t="s">
        <v>387</v>
      </c>
      <c r="C5206" s="62" t="s">
        <v>60</v>
      </c>
      <c r="D5206" s="62" t="s">
        <v>382</v>
      </c>
      <c r="E5206" s="62" t="s">
        <v>382</v>
      </c>
      <c r="F5206" s="63" t="s">
        <v>504</v>
      </c>
      <c r="G5206" s="64" t="n">
        <v>49910</v>
      </c>
      <c r="H5206" s="62" t="s">
        <v>138</v>
      </c>
    </row>
    <row r="5207" customFormat="false" ht="15" hidden="false" customHeight="false" outlineLevel="0" collapsed="false">
      <c r="A5207" s="62" t="n">
        <v>1</v>
      </c>
      <c r="B5207" s="62" t="s">
        <v>388</v>
      </c>
      <c r="C5207" s="62" t="s">
        <v>60</v>
      </c>
      <c r="D5207" s="62" t="s">
        <v>382</v>
      </c>
      <c r="E5207" s="62" t="s">
        <v>382</v>
      </c>
      <c r="F5207" s="63" t="s">
        <v>504</v>
      </c>
      <c r="G5207" s="64" t="n">
        <v>40250</v>
      </c>
      <c r="H5207" s="62" t="s">
        <v>138</v>
      </c>
    </row>
    <row r="5208" customFormat="false" ht="15" hidden="false" customHeight="false" outlineLevel="0" collapsed="false">
      <c r="A5208" s="62" t="n">
        <v>1</v>
      </c>
      <c r="B5208" s="62" t="s">
        <v>381</v>
      </c>
      <c r="C5208" s="62" t="s">
        <v>60</v>
      </c>
      <c r="D5208" s="62" t="s">
        <v>382</v>
      </c>
      <c r="E5208" s="62" t="s">
        <v>382</v>
      </c>
      <c r="F5208" s="63" t="s">
        <v>505</v>
      </c>
      <c r="G5208" s="64" t="n">
        <v>0</v>
      </c>
      <c r="H5208" s="62" t="s">
        <v>138</v>
      </c>
    </row>
    <row r="5209" customFormat="false" ht="15" hidden="false" customHeight="false" outlineLevel="0" collapsed="false">
      <c r="A5209" s="62" t="n">
        <v>1</v>
      </c>
      <c r="B5209" s="62" t="s">
        <v>383</v>
      </c>
      <c r="C5209" s="62" t="s">
        <v>60</v>
      </c>
      <c r="D5209" s="62" t="s">
        <v>382</v>
      </c>
      <c r="E5209" s="62" t="s">
        <v>382</v>
      </c>
      <c r="F5209" s="63" t="s">
        <v>505</v>
      </c>
      <c r="G5209" s="64" t="n">
        <v>0</v>
      </c>
      <c r="H5209" s="62" t="s">
        <v>138</v>
      </c>
    </row>
    <row r="5210" customFormat="false" ht="15" hidden="false" customHeight="false" outlineLevel="0" collapsed="false">
      <c r="A5210" s="62" t="n">
        <v>1</v>
      </c>
      <c r="B5210" s="62" t="s">
        <v>384</v>
      </c>
      <c r="C5210" s="62" t="s">
        <v>60</v>
      </c>
      <c r="D5210" s="62" t="s">
        <v>382</v>
      </c>
      <c r="E5210" s="62" t="s">
        <v>382</v>
      </c>
      <c r="F5210" s="63" t="s">
        <v>505</v>
      </c>
      <c r="G5210" s="64" t="n">
        <v>0</v>
      </c>
      <c r="H5210" s="62" t="s">
        <v>138</v>
      </c>
    </row>
    <row r="5211" customFormat="false" ht="15" hidden="false" customHeight="false" outlineLevel="0" collapsed="false">
      <c r="A5211" s="62" t="n">
        <v>1</v>
      </c>
      <c r="B5211" s="62" t="s">
        <v>385</v>
      </c>
      <c r="C5211" s="62" t="s">
        <v>60</v>
      </c>
      <c r="D5211" s="62" t="s">
        <v>382</v>
      </c>
      <c r="E5211" s="62" t="s">
        <v>382</v>
      </c>
      <c r="F5211" s="63" t="s">
        <v>505</v>
      </c>
      <c r="G5211" s="64" t="n">
        <v>0</v>
      </c>
      <c r="H5211" s="62" t="s">
        <v>138</v>
      </c>
    </row>
    <row r="5212" customFormat="false" ht="15" hidden="false" customHeight="false" outlineLevel="0" collapsed="false">
      <c r="A5212" s="62" t="n">
        <v>1</v>
      </c>
      <c r="B5212" s="62" t="s">
        <v>386</v>
      </c>
      <c r="C5212" s="62" t="s">
        <v>60</v>
      </c>
      <c r="D5212" s="62" t="s">
        <v>382</v>
      </c>
      <c r="E5212" s="62" t="s">
        <v>382</v>
      </c>
      <c r="F5212" s="63" t="s">
        <v>505</v>
      </c>
      <c r="G5212" s="64" t="n">
        <v>0</v>
      </c>
      <c r="H5212" s="62" t="s">
        <v>138</v>
      </c>
    </row>
    <row r="5213" customFormat="false" ht="15" hidden="false" customHeight="false" outlineLevel="0" collapsed="false">
      <c r="A5213" s="62" t="n">
        <v>1</v>
      </c>
      <c r="B5213" s="62" t="s">
        <v>387</v>
      </c>
      <c r="C5213" s="62" t="s">
        <v>60</v>
      </c>
      <c r="D5213" s="62" t="s">
        <v>382</v>
      </c>
      <c r="E5213" s="62" t="s">
        <v>382</v>
      </c>
      <c r="F5213" s="63" t="s">
        <v>505</v>
      </c>
      <c r="G5213" s="64" t="n">
        <v>0</v>
      </c>
      <c r="H5213" s="62" t="s">
        <v>138</v>
      </c>
    </row>
    <row r="5214" customFormat="false" ht="15" hidden="false" customHeight="false" outlineLevel="0" collapsed="false">
      <c r="A5214" s="62" t="n">
        <v>1</v>
      </c>
      <c r="B5214" s="62" t="s">
        <v>388</v>
      </c>
      <c r="C5214" s="62" t="s">
        <v>60</v>
      </c>
      <c r="D5214" s="62" t="s">
        <v>382</v>
      </c>
      <c r="E5214" s="62" t="s">
        <v>382</v>
      </c>
      <c r="F5214" s="63" t="s">
        <v>505</v>
      </c>
      <c r="G5214" s="64" t="n">
        <v>0</v>
      </c>
      <c r="H5214" s="62" t="s">
        <v>138</v>
      </c>
    </row>
    <row r="5215" customFormat="false" ht="15" hidden="false" customHeight="false" outlineLevel="0" collapsed="false">
      <c r="A5215" s="62" t="n">
        <v>1</v>
      </c>
      <c r="B5215" s="62" t="s">
        <v>381</v>
      </c>
      <c r="C5215" s="62" t="s">
        <v>60</v>
      </c>
      <c r="D5215" s="62" t="s">
        <v>382</v>
      </c>
      <c r="E5215" s="62" t="s">
        <v>382</v>
      </c>
      <c r="F5215" s="63" t="s">
        <v>506</v>
      </c>
      <c r="G5215" s="64" t="n">
        <v>572191.857142857</v>
      </c>
      <c r="H5215" s="62" t="s">
        <v>138</v>
      </c>
    </row>
    <row r="5216" customFormat="false" ht="15" hidden="false" customHeight="false" outlineLevel="0" collapsed="false">
      <c r="A5216" s="62" t="n">
        <v>1</v>
      </c>
      <c r="B5216" s="62" t="s">
        <v>383</v>
      </c>
      <c r="C5216" s="62" t="s">
        <v>60</v>
      </c>
      <c r="D5216" s="62" t="s">
        <v>382</v>
      </c>
      <c r="E5216" s="62" t="s">
        <v>382</v>
      </c>
      <c r="F5216" s="63" t="s">
        <v>506</v>
      </c>
      <c r="G5216" s="64" t="n">
        <v>613270.428571429</v>
      </c>
      <c r="H5216" s="62" t="s">
        <v>138</v>
      </c>
    </row>
    <row r="5217" customFormat="false" ht="15" hidden="false" customHeight="false" outlineLevel="0" collapsed="false">
      <c r="A5217" s="62" t="n">
        <v>1</v>
      </c>
      <c r="B5217" s="62" t="s">
        <v>384</v>
      </c>
      <c r="C5217" s="62" t="s">
        <v>60</v>
      </c>
      <c r="D5217" s="62" t="s">
        <v>382</v>
      </c>
      <c r="E5217" s="62" t="s">
        <v>382</v>
      </c>
      <c r="F5217" s="63" t="s">
        <v>506</v>
      </c>
      <c r="G5217" s="64" t="n">
        <v>720207.657142857</v>
      </c>
      <c r="H5217" s="62" t="s">
        <v>138</v>
      </c>
    </row>
    <row r="5218" customFormat="false" ht="15" hidden="false" customHeight="false" outlineLevel="0" collapsed="false">
      <c r="A5218" s="62" t="n">
        <v>1</v>
      </c>
      <c r="B5218" s="62" t="s">
        <v>385</v>
      </c>
      <c r="C5218" s="62" t="s">
        <v>60</v>
      </c>
      <c r="D5218" s="62" t="s">
        <v>382</v>
      </c>
      <c r="E5218" s="62" t="s">
        <v>382</v>
      </c>
      <c r="F5218" s="63" t="s">
        <v>506</v>
      </c>
      <c r="G5218" s="64" t="n">
        <v>667136.571428572</v>
      </c>
      <c r="H5218" s="62" t="s">
        <v>138</v>
      </c>
    </row>
    <row r="5219" customFormat="false" ht="15" hidden="false" customHeight="false" outlineLevel="0" collapsed="false">
      <c r="A5219" s="62" t="n">
        <v>1</v>
      </c>
      <c r="B5219" s="62" t="s">
        <v>386</v>
      </c>
      <c r="C5219" s="62" t="s">
        <v>60</v>
      </c>
      <c r="D5219" s="62" t="s">
        <v>382</v>
      </c>
      <c r="E5219" s="62" t="s">
        <v>382</v>
      </c>
      <c r="F5219" s="63" t="s">
        <v>506</v>
      </c>
      <c r="G5219" s="64" t="n">
        <v>602446.571428572</v>
      </c>
      <c r="H5219" s="62" t="s">
        <v>138</v>
      </c>
    </row>
    <row r="5220" customFormat="false" ht="15" hidden="false" customHeight="false" outlineLevel="0" collapsed="false">
      <c r="A5220" s="62" t="n">
        <v>1</v>
      </c>
      <c r="B5220" s="62" t="s">
        <v>387</v>
      </c>
      <c r="C5220" s="62" t="s">
        <v>60</v>
      </c>
      <c r="D5220" s="62" t="s">
        <v>382</v>
      </c>
      <c r="E5220" s="62" t="s">
        <v>382</v>
      </c>
      <c r="F5220" s="63" t="s">
        <v>506</v>
      </c>
      <c r="G5220" s="64" t="n">
        <v>907886</v>
      </c>
      <c r="H5220" s="62" t="s">
        <v>138</v>
      </c>
    </row>
    <row r="5221" customFormat="false" ht="15" hidden="false" customHeight="false" outlineLevel="0" collapsed="false">
      <c r="A5221" s="62" t="n">
        <v>1</v>
      </c>
      <c r="B5221" s="62" t="s">
        <v>388</v>
      </c>
      <c r="C5221" s="62" t="s">
        <v>60</v>
      </c>
      <c r="D5221" s="62" t="s">
        <v>382</v>
      </c>
      <c r="E5221" s="62" t="s">
        <v>382</v>
      </c>
      <c r="F5221" s="63" t="s">
        <v>506</v>
      </c>
      <c r="G5221" s="64" t="n">
        <v>591575.714285714</v>
      </c>
      <c r="H5221" s="62" t="s">
        <v>138</v>
      </c>
    </row>
    <row r="5222" customFormat="false" ht="15" hidden="false" customHeight="false" outlineLevel="0" collapsed="false">
      <c r="A5222" s="62" t="n">
        <v>1</v>
      </c>
      <c r="B5222" s="62" t="s">
        <v>381</v>
      </c>
      <c r="C5222" s="62" t="s">
        <v>60</v>
      </c>
      <c r="D5222" s="62" t="s">
        <v>382</v>
      </c>
      <c r="E5222" s="62" t="s">
        <v>382</v>
      </c>
      <c r="F5222" s="63" t="s">
        <v>507</v>
      </c>
      <c r="G5222" s="64" t="n">
        <v>8996.72731356694</v>
      </c>
      <c r="H5222" s="62" t="s">
        <v>138</v>
      </c>
    </row>
    <row r="5223" customFormat="false" ht="15" hidden="false" customHeight="false" outlineLevel="0" collapsed="false">
      <c r="A5223" s="62" t="n">
        <v>1</v>
      </c>
      <c r="B5223" s="62" t="s">
        <v>383</v>
      </c>
      <c r="C5223" s="62" t="s">
        <v>60</v>
      </c>
      <c r="D5223" s="62" t="s">
        <v>382</v>
      </c>
      <c r="E5223" s="62" t="s">
        <v>382</v>
      </c>
      <c r="F5223" s="63" t="s">
        <v>507</v>
      </c>
      <c r="G5223" s="64" t="n">
        <v>9291.97619047619</v>
      </c>
      <c r="H5223" s="62" t="s">
        <v>138</v>
      </c>
    </row>
    <row r="5224" customFormat="false" ht="15" hidden="false" customHeight="false" outlineLevel="0" collapsed="false">
      <c r="A5224" s="62" t="n">
        <v>1</v>
      </c>
      <c r="B5224" s="62" t="s">
        <v>384</v>
      </c>
      <c r="C5224" s="62" t="s">
        <v>60</v>
      </c>
      <c r="D5224" s="62" t="s">
        <v>382</v>
      </c>
      <c r="E5224" s="62" t="s">
        <v>382</v>
      </c>
      <c r="F5224" s="63" t="s">
        <v>507</v>
      </c>
      <c r="G5224" s="64" t="n">
        <v>10002.8841269841</v>
      </c>
      <c r="H5224" s="62" t="s">
        <v>138</v>
      </c>
    </row>
    <row r="5225" customFormat="false" ht="15" hidden="false" customHeight="false" outlineLevel="0" collapsed="false">
      <c r="A5225" s="62" t="n">
        <v>1</v>
      </c>
      <c r="B5225" s="62" t="s">
        <v>385</v>
      </c>
      <c r="C5225" s="62" t="s">
        <v>60</v>
      </c>
      <c r="D5225" s="62" t="s">
        <v>382</v>
      </c>
      <c r="E5225" s="62" t="s">
        <v>382</v>
      </c>
      <c r="F5225" s="63" t="s">
        <v>507</v>
      </c>
      <c r="G5225" s="64" t="n">
        <v>10691.2912087912</v>
      </c>
      <c r="H5225" s="62" t="s">
        <v>138</v>
      </c>
    </row>
    <row r="5226" customFormat="false" ht="15" hidden="false" customHeight="false" outlineLevel="0" collapsed="false">
      <c r="A5226" s="62" t="n">
        <v>1</v>
      </c>
      <c r="B5226" s="62" t="s">
        <v>386</v>
      </c>
      <c r="C5226" s="62" t="s">
        <v>60</v>
      </c>
      <c r="D5226" s="62" t="s">
        <v>382</v>
      </c>
      <c r="E5226" s="62" t="s">
        <v>382</v>
      </c>
      <c r="F5226" s="63" t="s">
        <v>507</v>
      </c>
      <c r="G5226" s="64" t="n">
        <v>10040.7761904762</v>
      </c>
      <c r="H5226" s="62" t="s">
        <v>138</v>
      </c>
    </row>
    <row r="5227" customFormat="false" ht="15" hidden="false" customHeight="false" outlineLevel="0" collapsed="false">
      <c r="A5227" s="62" t="n">
        <v>1</v>
      </c>
      <c r="B5227" s="62" t="s">
        <v>387</v>
      </c>
      <c r="C5227" s="62" t="s">
        <v>60</v>
      </c>
      <c r="D5227" s="62" t="s">
        <v>382</v>
      </c>
      <c r="E5227" s="62" t="s">
        <v>382</v>
      </c>
      <c r="F5227" s="63" t="s">
        <v>507</v>
      </c>
      <c r="G5227" s="64" t="n">
        <v>12202.7688172043</v>
      </c>
      <c r="H5227" s="62" t="s">
        <v>138</v>
      </c>
    </row>
    <row r="5228" customFormat="false" ht="15" hidden="false" customHeight="false" outlineLevel="0" collapsed="false">
      <c r="A5228" s="62" t="n">
        <v>1</v>
      </c>
      <c r="B5228" s="62" t="s">
        <v>388</v>
      </c>
      <c r="C5228" s="62" t="s">
        <v>60</v>
      </c>
      <c r="D5228" s="62" t="s">
        <v>382</v>
      </c>
      <c r="E5228" s="62" t="s">
        <v>382</v>
      </c>
      <c r="F5228" s="63" t="s">
        <v>507</v>
      </c>
      <c r="G5228" s="64" t="n">
        <v>9859.59523809524</v>
      </c>
      <c r="H5228" s="62" t="s">
        <v>138</v>
      </c>
    </row>
    <row r="5229" customFormat="false" ht="15" hidden="false" customHeight="false" outlineLevel="0" collapsed="false">
      <c r="A5229" s="62" t="n">
        <v>1</v>
      </c>
      <c r="B5229" s="62" t="s">
        <v>381</v>
      </c>
      <c r="C5229" s="62" t="s">
        <v>60</v>
      </c>
      <c r="D5229" s="62" t="s">
        <v>382</v>
      </c>
      <c r="E5229" s="62" t="s">
        <v>382</v>
      </c>
      <c r="F5229" s="63" t="s">
        <v>508</v>
      </c>
      <c r="G5229" s="64" t="s">
        <v>758</v>
      </c>
      <c r="H5229" s="62" t="s">
        <v>138</v>
      </c>
    </row>
    <row r="5230" customFormat="false" ht="15" hidden="false" customHeight="false" outlineLevel="0" collapsed="false">
      <c r="A5230" s="62" t="n">
        <v>1</v>
      </c>
      <c r="B5230" s="62" t="s">
        <v>383</v>
      </c>
      <c r="C5230" s="62" t="s">
        <v>60</v>
      </c>
      <c r="D5230" s="62" t="s">
        <v>382</v>
      </c>
      <c r="E5230" s="62" t="s">
        <v>382</v>
      </c>
      <c r="F5230" s="63" t="s">
        <v>508</v>
      </c>
      <c r="G5230" s="64" t="s">
        <v>759</v>
      </c>
      <c r="H5230" s="62" t="s">
        <v>138</v>
      </c>
    </row>
    <row r="5231" customFormat="false" ht="15" hidden="false" customHeight="false" outlineLevel="0" collapsed="false">
      <c r="A5231" s="62" t="n">
        <v>1</v>
      </c>
      <c r="B5231" s="62" t="s">
        <v>384</v>
      </c>
      <c r="C5231" s="62" t="s">
        <v>60</v>
      </c>
      <c r="D5231" s="62" t="s">
        <v>382</v>
      </c>
      <c r="E5231" s="62" t="s">
        <v>382</v>
      </c>
      <c r="F5231" s="63" t="s">
        <v>508</v>
      </c>
      <c r="G5231" s="64" t="s">
        <v>760</v>
      </c>
      <c r="H5231" s="62" t="s">
        <v>138</v>
      </c>
    </row>
    <row r="5232" customFormat="false" ht="15" hidden="false" customHeight="false" outlineLevel="0" collapsed="false">
      <c r="A5232" s="62" t="n">
        <v>1</v>
      </c>
      <c r="B5232" s="62" t="s">
        <v>385</v>
      </c>
      <c r="C5232" s="62" t="s">
        <v>60</v>
      </c>
      <c r="D5232" s="62" t="s">
        <v>382</v>
      </c>
      <c r="E5232" s="62" t="s">
        <v>382</v>
      </c>
      <c r="F5232" s="63" t="s">
        <v>508</v>
      </c>
      <c r="G5232" s="64" t="s">
        <v>761</v>
      </c>
      <c r="H5232" s="62" t="s">
        <v>138</v>
      </c>
    </row>
    <row r="5233" customFormat="false" ht="15" hidden="false" customHeight="false" outlineLevel="0" collapsed="false">
      <c r="A5233" s="62" t="n">
        <v>1</v>
      </c>
      <c r="B5233" s="62" t="s">
        <v>386</v>
      </c>
      <c r="C5233" s="62" t="s">
        <v>60</v>
      </c>
      <c r="D5233" s="62" t="s">
        <v>382</v>
      </c>
      <c r="E5233" s="62" t="s">
        <v>382</v>
      </c>
      <c r="F5233" s="63" t="s">
        <v>508</v>
      </c>
      <c r="G5233" s="64" t="s">
        <v>762</v>
      </c>
      <c r="H5233" s="62" t="s">
        <v>138</v>
      </c>
    </row>
    <row r="5234" customFormat="false" ht="15" hidden="false" customHeight="false" outlineLevel="0" collapsed="false">
      <c r="A5234" s="62" t="n">
        <v>1</v>
      </c>
      <c r="B5234" s="62" t="s">
        <v>387</v>
      </c>
      <c r="C5234" s="62" t="s">
        <v>60</v>
      </c>
      <c r="D5234" s="62" t="s">
        <v>382</v>
      </c>
      <c r="E5234" s="62" t="s">
        <v>382</v>
      </c>
      <c r="F5234" s="63" t="s">
        <v>508</v>
      </c>
      <c r="G5234" s="64" t="s">
        <v>763</v>
      </c>
      <c r="H5234" s="62" t="s">
        <v>138</v>
      </c>
    </row>
    <row r="5235" customFormat="false" ht="15" hidden="false" customHeight="false" outlineLevel="0" collapsed="false">
      <c r="A5235" s="62" t="n">
        <v>1</v>
      </c>
      <c r="B5235" s="62" t="s">
        <v>388</v>
      </c>
      <c r="C5235" s="62" t="s">
        <v>60</v>
      </c>
      <c r="D5235" s="62" t="s">
        <v>382</v>
      </c>
      <c r="E5235" s="62" t="s">
        <v>382</v>
      </c>
      <c r="F5235" s="63" t="s">
        <v>508</v>
      </c>
      <c r="G5235" s="64" t="s">
        <v>764</v>
      </c>
      <c r="H5235" s="62" t="s">
        <v>138</v>
      </c>
    </row>
    <row r="5236" customFormat="false" ht="15" hidden="false" customHeight="false" outlineLevel="0" collapsed="false">
      <c r="A5236" s="62" t="n">
        <v>1</v>
      </c>
      <c r="B5236" s="62" t="s">
        <v>381</v>
      </c>
      <c r="C5236" s="62" t="s">
        <v>60</v>
      </c>
      <c r="D5236" s="62" t="s">
        <v>382</v>
      </c>
      <c r="E5236" s="62" t="s">
        <v>382</v>
      </c>
      <c r="F5236" s="63" t="s">
        <v>510</v>
      </c>
      <c r="G5236" s="64" t="s">
        <v>765</v>
      </c>
      <c r="H5236" s="62" t="s">
        <v>138</v>
      </c>
    </row>
    <row r="5237" customFormat="false" ht="15" hidden="false" customHeight="false" outlineLevel="0" collapsed="false">
      <c r="A5237" s="62" t="n">
        <v>1</v>
      </c>
      <c r="B5237" s="62" t="s">
        <v>383</v>
      </c>
      <c r="C5237" s="62" t="s">
        <v>60</v>
      </c>
      <c r="D5237" s="62" t="s">
        <v>382</v>
      </c>
      <c r="E5237" s="62" t="s">
        <v>382</v>
      </c>
      <c r="F5237" s="63" t="s">
        <v>510</v>
      </c>
      <c r="G5237" s="64" t="s">
        <v>766</v>
      </c>
      <c r="H5237" s="62" t="s">
        <v>138</v>
      </c>
    </row>
    <row r="5238" customFormat="false" ht="15" hidden="false" customHeight="false" outlineLevel="0" collapsed="false">
      <c r="A5238" s="62" t="n">
        <v>1</v>
      </c>
      <c r="B5238" s="62" t="s">
        <v>384</v>
      </c>
      <c r="C5238" s="62" t="s">
        <v>60</v>
      </c>
      <c r="D5238" s="62" t="s">
        <v>382</v>
      </c>
      <c r="E5238" s="62" t="s">
        <v>382</v>
      </c>
      <c r="F5238" s="63" t="s">
        <v>510</v>
      </c>
      <c r="G5238" s="64" t="s">
        <v>763</v>
      </c>
      <c r="H5238" s="62" t="s">
        <v>138</v>
      </c>
    </row>
    <row r="5239" customFormat="false" ht="15" hidden="false" customHeight="false" outlineLevel="0" collapsed="false">
      <c r="A5239" s="62" t="n">
        <v>1</v>
      </c>
      <c r="B5239" s="62" t="s">
        <v>385</v>
      </c>
      <c r="C5239" s="62" t="s">
        <v>60</v>
      </c>
      <c r="D5239" s="62" t="s">
        <v>382</v>
      </c>
      <c r="E5239" s="62" t="s">
        <v>382</v>
      </c>
      <c r="F5239" s="63" t="s">
        <v>510</v>
      </c>
      <c r="G5239" s="64" t="s">
        <v>767</v>
      </c>
      <c r="H5239" s="62" t="s">
        <v>138</v>
      </c>
    </row>
    <row r="5240" customFormat="false" ht="15" hidden="false" customHeight="false" outlineLevel="0" collapsed="false">
      <c r="A5240" s="62" t="n">
        <v>1</v>
      </c>
      <c r="B5240" s="62" t="s">
        <v>386</v>
      </c>
      <c r="C5240" s="62" t="s">
        <v>60</v>
      </c>
      <c r="D5240" s="62" t="s">
        <v>382</v>
      </c>
      <c r="E5240" s="62" t="s">
        <v>382</v>
      </c>
      <c r="F5240" s="63" t="s">
        <v>510</v>
      </c>
      <c r="G5240" s="64" t="s">
        <v>768</v>
      </c>
      <c r="H5240" s="62" t="s">
        <v>138</v>
      </c>
    </row>
    <row r="5241" customFormat="false" ht="15" hidden="false" customHeight="false" outlineLevel="0" collapsed="false">
      <c r="A5241" s="62" t="n">
        <v>1</v>
      </c>
      <c r="B5241" s="62" t="s">
        <v>387</v>
      </c>
      <c r="C5241" s="62" t="s">
        <v>60</v>
      </c>
      <c r="D5241" s="62" t="s">
        <v>382</v>
      </c>
      <c r="E5241" s="62" t="s">
        <v>382</v>
      </c>
      <c r="F5241" s="63" t="s">
        <v>510</v>
      </c>
      <c r="G5241" s="64" t="s">
        <v>769</v>
      </c>
      <c r="H5241" s="62" t="s">
        <v>138</v>
      </c>
    </row>
    <row r="5242" customFormat="false" ht="15" hidden="false" customHeight="false" outlineLevel="0" collapsed="false">
      <c r="A5242" s="62" t="n">
        <v>1</v>
      </c>
      <c r="B5242" s="62" t="s">
        <v>388</v>
      </c>
      <c r="C5242" s="62" t="s">
        <v>60</v>
      </c>
      <c r="D5242" s="62" t="s">
        <v>382</v>
      </c>
      <c r="E5242" s="62" t="s">
        <v>382</v>
      </c>
      <c r="F5242" s="63" t="s">
        <v>510</v>
      </c>
      <c r="G5242" s="64" t="s">
        <v>770</v>
      </c>
      <c r="H5242" s="62" t="s">
        <v>138</v>
      </c>
    </row>
    <row r="5243" customFormat="false" ht="15" hidden="false" customHeight="false" outlineLevel="0" collapsed="false">
      <c r="A5243" s="62" t="n">
        <v>1</v>
      </c>
      <c r="B5243" s="62" t="s">
        <v>381</v>
      </c>
      <c r="C5243" s="62" t="s">
        <v>60</v>
      </c>
      <c r="D5243" s="62" t="s">
        <v>382</v>
      </c>
      <c r="E5243" s="62" t="s">
        <v>382</v>
      </c>
      <c r="F5243" s="63" t="s">
        <v>511</v>
      </c>
      <c r="G5243" s="64" t="s">
        <v>771</v>
      </c>
      <c r="H5243" s="62" t="s">
        <v>138</v>
      </c>
    </row>
    <row r="5244" customFormat="false" ht="15" hidden="false" customHeight="false" outlineLevel="0" collapsed="false">
      <c r="A5244" s="62" t="n">
        <v>1</v>
      </c>
      <c r="B5244" s="62" t="s">
        <v>383</v>
      </c>
      <c r="C5244" s="62" t="s">
        <v>60</v>
      </c>
      <c r="D5244" s="62" t="s">
        <v>382</v>
      </c>
      <c r="E5244" s="62" t="s">
        <v>382</v>
      </c>
      <c r="F5244" s="63" t="s">
        <v>511</v>
      </c>
      <c r="G5244" s="64" t="s">
        <v>771</v>
      </c>
      <c r="H5244" s="62" t="s">
        <v>138</v>
      </c>
    </row>
    <row r="5245" customFormat="false" ht="15" hidden="false" customHeight="false" outlineLevel="0" collapsed="false">
      <c r="A5245" s="62" t="n">
        <v>1</v>
      </c>
      <c r="B5245" s="62" t="s">
        <v>384</v>
      </c>
      <c r="C5245" s="62" t="s">
        <v>60</v>
      </c>
      <c r="D5245" s="62" t="s">
        <v>382</v>
      </c>
      <c r="E5245" s="62" t="s">
        <v>382</v>
      </c>
      <c r="F5245" s="63" t="s">
        <v>511</v>
      </c>
      <c r="G5245" s="64" t="s">
        <v>772</v>
      </c>
      <c r="H5245" s="62" t="s">
        <v>138</v>
      </c>
    </row>
    <row r="5246" customFormat="false" ht="15" hidden="false" customHeight="false" outlineLevel="0" collapsed="false">
      <c r="A5246" s="62" t="n">
        <v>1</v>
      </c>
      <c r="B5246" s="62" t="s">
        <v>385</v>
      </c>
      <c r="C5246" s="62" t="s">
        <v>60</v>
      </c>
      <c r="D5246" s="62" t="s">
        <v>382</v>
      </c>
      <c r="E5246" s="62" t="s">
        <v>382</v>
      </c>
      <c r="F5246" s="63" t="s">
        <v>511</v>
      </c>
      <c r="G5246" s="64" t="s">
        <v>773</v>
      </c>
      <c r="H5246" s="62" t="s">
        <v>138</v>
      </c>
    </row>
    <row r="5247" customFormat="false" ht="15" hidden="false" customHeight="false" outlineLevel="0" collapsed="false">
      <c r="A5247" s="62" t="n">
        <v>1</v>
      </c>
      <c r="B5247" s="62" t="s">
        <v>386</v>
      </c>
      <c r="C5247" s="62" t="s">
        <v>60</v>
      </c>
      <c r="D5247" s="62" t="s">
        <v>382</v>
      </c>
      <c r="E5247" s="62" t="s">
        <v>382</v>
      </c>
      <c r="F5247" s="63" t="s">
        <v>511</v>
      </c>
      <c r="G5247" s="64" t="s">
        <v>772</v>
      </c>
      <c r="H5247" s="62" t="s">
        <v>138</v>
      </c>
    </row>
    <row r="5248" customFormat="false" ht="15" hidden="false" customHeight="false" outlineLevel="0" collapsed="false">
      <c r="A5248" s="62" t="n">
        <v>1</v>
      </c>
      <c r="B5248" s="62" t="s">
        <v>387</v>
      </c>
      <c r="C5248" s="62" t="s">
        <v>60</v>
      </c>
      <c r="D5248" s="62" t="s">
        <v>382</v>
      </c>
      <c r="E5248" s="62" t="s">
        <v>382</v>
      </c>
      <c r="F5248" s="63" t="s">
        <v>511</v>
      </c>
      <c r="G5248" s="64" t="s">
        <v>774</v>
      </c>
      <c r="H5248" s="62" t="s">
        <v>138</v>
      </c>
    </row>
    <row r="5249" customFormat="false" ht="15" hidden="false" customHeight="false" outlineLevel="0" collapsed="false">
      <c r="A5249" s="62" t="n">
        <v>1</v>
      </c>
      <c r="B5249" s="62" t="s">
        <v>388</v>
      </c>
      <c r="C5249" s="62" t="s">
        <v>60</v>
      </c>
      <c r="D5249" s="62" t="s">
        <v>382</v>
      </c>
      <c r="E5249" s="62" t="s">
        <v>382</v>
      </c>
      <c r="F5249" s="63" t="s">
        <v>511</v>
      </c>
      <c r="G5249" s="64" t="s">
        <v>775</v>
      </c>
      <c r="H5249" s="62" t="s">
        <v>138</v>
      </c>
    </row>
    <row r="5250" customFormat="false" ht="15" hidden="false" customHeight="false" outlineLevel="0" collapsed="false">
      <c r="A5250" s="62" t="n">
        <v>1</v>
      </c>
      <c r="B5250" s="62" t="s">
        <v>381</v>
      </c>
      <c r="C5250" s="62" t="s">
        <v>60</v>
      </c>
      <c r="D5250" s="62" t="s">
        <v>382</v>
      </c>
      <c r="E5250" s="62" t="s">
        <v>382</v>
      </c>
      <c r="F5250" s="63" t="s">
        <v>512</v>
      </c>
      <c r="G5250" s="64" t="s">
        <v>776</v>
      </c>
      <c r="H5250" s="62" t="s">
        <v>138</v>
      </c>
    </row>
    <row r="5251" customFormat="false" ht="15" hidden="false" customHeight="false" outlineLevel="0" collapsed="false">
      <c r="A5251" s="62" t="n">
        <v>1</v>
      </c>
      <c r="B5251" s="62" t="s">
        <v>383</v>
      </c>
      <c r="C5251" s="62" t="s">
        <v>60</v>
      </c>
      <c r="D5251" s="62" t="s">
        <v>382</v>
      </c>
      <c r="E5251" s="62" t="s">
        <v>382</v>
      </c>
      <c r="F5251" s="63" t="s">
        <v>512</v>
      </c>
      <c r="G5251" s="64" t="s">
        <v>776</v>
      </c>
      <c r="H5251" s="62" t="s">
        <v>138</v>
      </c>
    </row>
    <row r="5252" customFormat="false" ht="15" hidden="false" customHeight="false" outlineLevel="0" collapsed="false">
      <c r="A5252" s="62" t="n">
        <v>1</v>
      </c>
      <c r="B5252" s="62" t="s">
        <v>384</v>
      </c>
      <c r="C5252" s="62" t="s">
        <v>60</v>
      </c>
      <c r="D5252" s="62" t="s">
        <v>382</v>
      </c>
      <c r="E5252" s="62" t="s">
        <v>382</v>
      </c>
      <c r="F5252" s="63" t="s">
        <v>512</v>
      </c>
      <c r="G5252" s="64" t="s">
        <v>777</v>
      </c>
      <c r="H5252" s="62" t="s">
        <v>138</v>
      </c>
    </row>
    <row r="5253" customFormat="false" ht="15" hidden="false" customHeight="false" outlineLevel="0" collapsed="false">
      <c r="A5253" s="62" t="n">
        <v>1</v>
      </c>
      <c r="B5253" s="62" t="s">
        <v>385</v>
      </c>
      <c r="C5253" s="62" t="s">
        <v>60</v>
      </c>
      <c r="D5253" s="62" t="s">
        <v>382</v>
      </c>
      <c r="E5253" s="62" t="s">
        <v>382</v>
      </c>
      <c r="F5253" s="63" t="s">
        <v>512</v>
      </c>
      <c r="G5253" s="64" t="s">
        <v>776</v>
      </c>
      <c r="H5253" s="62" t="s">
        <v>138</v>
      </c>
    </row>
    <row r="5254" customFormat="false" ht="15" hidden="false" customHeight="false" outlineLevel="0" collapsed="false">
      <c r="A5254" s="62" t="n">
        <v>1</v>
      </c>
      <c r="B5254" s="62" t="s">
        <v>386</v>
      </c>
      <c r="C5254" s="62" t="s">
        <v>60</v>
      </c>
      <c r="D5254" s="62" t="s">
        <v>382</v>
      </c>
      <c r="E5254" s="62" t="s">
        <v>382</v>
      </c>
      <c r="F5254" s="63" t="s">
        <v>512</v>
      </c>
      <c r="G5254" s="64" t="s">
        <v>776</v>
      </c>
      <c r="H5254" s="62" t="s">
        <v>138</v>
      </c>
    </row>
    <row r="5255" customFormat="false" ht="15" hidden="false" customHeight="false" outlineLevel="0" collapsed="false">
      <c r="A5255" s="62" t="n">
        <v>1</v>
      </c>
      <c r="B5255" s="62" t="s">
        <v>387</v>
      </c>
      <c r="C5255" s="62" t="s">
        <v>60</v>
      </c>
      <c r="D5255" s="62" t="s">
        <v>382</v>
      </c>
      <c r="E5255" s="62" t="s">
        <v>382</v>
      </c>
      <c r="F5255" s="63" t="s">
        <v>512</v>
      </c>
      <c r="G5255" s="64" t="s">
        <v>778</v>
      </c>
      <c r="H5255" s="62" t="s">
        <v>138</v>
      </c>
    </row>
    <row r="5256" customFormat="false" ht="15" hidden="false" customHeight="false" outlineLevel="0" collapsed="false">
      <c r="A5256" s="62" t="n">
        <v>1</v>
      </c>
      <c r="B5256" s="62" t="s">
        <v>388</v>
      </c>
      <c r="C5256" s="62" t="s">
        <v>60</v>
      </c>
      <c r="D5256" s="62" t="s">
        <v>382</v>
      </c>
      <c r="E5256" s="62" t="s">
        <v>382</v>
      </c>
      <c r="F5256" s="63" t="s">
        <v>512</v>
      </c>
      <c r="G5256" s="64" t="s">
        <v>777</v>
      </c>
      <c r="H5256" s="62" t="s">
        <v>138</v>
      </c>
    </row>
    <row r="5257" customFormat="false" ht="15" hidden="false" customHeight="false" outlineLevel="0" collapsed="false">
      <c r="A5257" s="62" t="n">
        <v>1</v>
      </c>
      <c r="B5257" s="62" t="s">
        <v>381</v>
      </c>
      <c r="C5257" s="62" t="s">
        <v>60</v>
      </c>
      <c r="D5257" s="62" t="s">
        <v>382</v>
      </c>
      <c r="E5257" s="62" t="s">
        <v>382</v>
      </c>
      <c r="F5257" s="63" t="s">
        <v>513</v>
      </c>
      <c r="G5257" s="64" t="s">
        <v>779</v>
      </c>
      <c r="H5257" s="62" t="s">
        <v>138</v>
      </c>
    </row>
    <row r="5258" customFormat="false" ht="15" hidden="false" customHeight="false" outlineLevel="0" collapsed="false">
      <c r="A5258" s="62" t="n">
        <v>1</v>
      </c>
      <c r="B5258" s="62" t="s">
        <v>383</v>
      </c>
      <c r="C5258" s="62" t="s">
        <v>60</v>
      </c>
      <c r="D5258" s="62" t="s">
        <v>382</v>
      </c>
      <c r="E5258" s="62" t="s">
        <v>382</v>
      </c>
      <c r="F5258" s="63" t="s">
        <v>513</v>
      </c>
      <c r="G5258" s="64" t="s">
        <v>780</v>
      </c>
      <c r="H5258" s="62" t="s">
        <v>138</v>
      </c>
    </row>
    <row r="5259" customFormat="false" ht="15" hidden="false" customHeight="false" outlineLevel="0" collapsed="false">
      <c r="A5259" s="62" t="n">
        <v>1</v>
      </c>
      <c r="B5259" s="62" t="s">
        <v>384</v>
      </c>
      <c r="C5259" s="62" t="s">
        <v>60</v>
      </c>
      <c r="D5259" s="62" t="s">
        <v>382</v>
      </c>
      <c r="E5259" s="62" t="s">
        <v>382</v>
      </c>
      <c r="F5259" s="63" t="s">
        <v>513</v>
      </c>
      <c r="G5259" s="64" t="s">
        <v>779</v>
      </c>
      <c r="H5259" s="62" t="s">
        <v>138</v>
      </c>
    </row>
    <row r="5260" customFormat="false" ht="15" hidden="false" customHeight="false" outlineLevel="0" collapsed="false">
      <c r="A5260" s="62" t="n">
        <v>1</v>
      </c>
      <c r="B5260" s="62" t="s">
        <v>385</v>
      </c>
      <c r="C5260" s="62" t="s">
        <v>60</v>
      </c>
      <c r="D5260" s="62" t="s">
        <v>382</v>
      </c>
      <c r="E5260" s="62" t="s">
        <v>382</v>
      </c>
      <c r="F5260" s="63" t="s">
        <v>513</v>
      </c>
      <c r="G5260" s="64" t="s">
        <v>780</v>
      </c>
      <c r="H5260" s="62" t="s">
        <v>138</v>
      </c>
    </row>
    <row r="5261" customFormat="false" ht="15" hidden="false" customHeight="false" outlineLevel="0" collapsed="false">
      <c r="A5261" s="62" t="n">
        <v>1</v>
      </c>
      <c r="B5261" s="62" t="s">
        <v>386</v>
      </c>
      <c r="C5261" s="62" t="s">
        <v>60</v>
      </c>
      <c r="D5261" s="62" t="s">
        <v>382</v>
      </c>
      <c r="E5261" s="62" t="s">
        <v>382</v>
      </c>
      <c r="F5261" s="63" t="s">
        <v>513</v>
      </c>
      <c r="G5261" s="64" t="s">
        <v>781</v>
      </c>
      <c r="H5261" s="62" t="s">
        <v>138</v>
      </c>
    </row>
    <row r="5262" customFormat="false" ht="15" hidden="false" customHeight="false" outlineLevel="0" collapsed="false">
      <c r="A5262" s="62" t="n">
        <v>1</v>
      </c>
      <c r="B5262" s="62" t="s">
        <v>387</v>
      </c>
      <c r="C5262" s="62" t="s">
        <v>60</v>
      </c>
      <c r="D5262" s="62" t="s">
        <v>382</v>
      </c>
      <c r="E5262" s="62" t="s">
        <v>382</v>
      </c>
      <c r="F5262" s="63" t="s">
        <v>513</v>
      </c>
      <c r="G5262" s="64" t="s">
        <v>779</v>
      </c>
      <c r="H5262" s="62" t="s">
        <v>138</v>
      </c>
    </row>
    <row r="5263" customFormat="false" ht="15" hidden="false" customHeight="false" outlineLevel="0" collapsed="false">
      <c r="A5263" s="62" t="n">
        <v>1</v>
      </c>
      <c r="B5263" s="62" t="s">
        <v>388</v>
      </c>
      <c r="C5263" s="62" t="s">
        <v>60</v>
      </c>
      <c r="D5263" s="62" t="s">
        <v>382</v>
      </c>
      <c r="E5263" s="62" t="s">
        <v>382</v>
      </c>
      <c r="F5263" s="63" t="s">
        <v>513</v>
      </c>
      <c r="G5263" s="64" t="s">
        <v>763</v>
      </c>
      <c r="H5263" s="62" t="s">
        <v>138</v>
      </c>
    </row>
    <row r="5264" customFormat="false" ht="15" hidden="false" customHeight="false" outlineLevel="0" collapsed="false">
      <c r="A5264" s="62" t="n">
        <v>1</v>
      </c>
      <c r="B5264" s="62" t="s">
        <v>381</v>
      </c>
      <c r="C5264" s="62" t="s">
        <v>60</v>
      </c>
      <c r="D5264" s="62" t="s">
        <v>382</v>
      </c>
      <c r="E5264" s="62" t="s">
        <v>382</v>
      </c>
      <c r="F5264" s="63" t="s">
        <v>514</v>
      </c>
      <c r="G5264" s="64" t="s">
        <v>782</v>
      </c>
      <c r="H5264" s="62" t="s">
        <v>138</v>
      </c>
    </row>
    <row r="5265" customFormat="false" ht="15" hidden="false" customHeight="false" outlineLevel="0" collapsed="false">
      <c r="A5265" s="62" t="n">
        <v>1</v>
      </c>
      <c r="B5265" s="62" t="s">
        <v>383</v>
      </c>
      <c r="C5265" s="62" t="s">
        <v>60</v>
      </c>
      <c r="D5265" s="62" t="s">
        <v>382</v>
      </c>
      <c r="E5265" s="62" t="s">
        <v>382</v>
      </c>
      <c r="F5265" s="63" t="s">
        <v>514</v>
      </c>
      <c r="G5265" s="64" t="s">
        <v>509</v>
      </c>
      <c r="H5265" s="62" t="s">
        <v>138</v>
      </c>
    </row>
    <row r="5266" customFormat="false" ht="15" hidden="false" customHeight="false" outlineLevel="0" collapsed="false">
      <c r="A5266" s="62" t="n">
        <v>1</v>
      </c>
      <c r="B5266" s="62" t="s">
        <v>384</v>
      </c>
      <c r="C5266" s="62" t="s">
        <v>60</v>
      </c>
      <c r="D5266" s="62" t="s">
        <v>382</v>
      </c>
      <c r="E5266" s="62" t="s">
        <v>382</v>
      </c>
      <c r="F5266" s="63" t="s">
        <v>514</v>
      </c>
      <c r="G5266" s="64" t="s">
        <v>509</v>
      </c>
      <c r="H5266" s="62" t="s">
        <v>138</v>
      </c>
    </row>
    <row r="5267" customFormat="false" ht="15" hidden="false" customHeight="false" outlineLevel="0" collapsed="false">
      <c r="A5267" s="62" t="n">
        <v>1</v>
      </c>
      <c r="B5267" s="62" t="s">
        <v>385</v>
      </c>
      <c r="C5267" s="62" t="s">
        <v>60</v>
      </c>
      <c r="D5267" s="62" t="s">
        <v>382</v>
      </c>
      <c r="E5267" s="62" t="s">
        <v>382</v>
      </c>
      <c r="F5267" s="63" t="s">
        <v>514</v>
      </c>
      <c r="G5267" s="64" t="s">
        <v>509</v>
      </c>
      <c r="H5267" s="62" t="s">
        <v>138</v>
      </c>
    </row>
    <row r="5268" customFormat="false" ht="15" hidden="false" customHeight="false" outlineLevel="0" collapsed="false">
      <c r="A5268" s="62" t="n">
        <v>1</v>
      </c>
      <c r="B5268" s="62" t="s">
        <v>386</v>
      </c>
      <c r="C5268" s="62" t="s">
        <v>60</v>
      </c>
      <c r="D5268" s="62" t="s">
        <v>382</v>
      </c>
      <c r="E5268" s="62" t="s">
        <v>382</v>
      </c>
      <c r="F5268" s="63" t="s">
        <v>514</v>
      </c>
      <c r="G5268" s="64" t="s">
        <v>509</v>
      </c>
      <c r="H5268" s="62" t="s">
        <v>138</v>
      </c>
    </row>
    <row r="5269" customFormat="false" ht="15" hidden="false" customHeight="false" outlineLevel="0" collapsed="false">
      <c r="A5269" s="62" t="n">
        <v>1</v>
      </c>
      <c r="B5269" s="62" t="s">
        <v>387</v>
      </c>
      <c r="C5269" s="62" t="s">
        <v>60</v>
      </c>
      <c r="D5269" s="62" t="s">
        <v>382</v>
      </c>
      <c r="E5269" s="62" t="s">
        <v>382</v>
      </c>
      <c r="F5269" s="63" t="s">
        <v>514</v>
      </c>
      <c r="G5269" s="64" t="s">
        <v>509</v>
      </c>
      <c r="H5269" s="62" t="s">
        <v>138</v>
      </c>
    </row>
    <row r="5270" customFormat="false" ht="15" hidden="false" customHeight="false" outlineLevel="0" collapsed="false">
      <c r="A5270" s="62" t="n">
        <v>1</v>
      </c>
      <c r="B5270" s="62" t="s">
        <v>388</v>
      </c>
      <c r="C5270" s="62" t="s">
        <v>60</v>
      </c>
      <c r="D5270" s="62" t="s">
        <v>382</v>
      </c>
      <c r="E5270" s="62" t="s">
        <v>382</v>
      </c>
      <c r="F5270" s="63" t="s">
        <v>514</v>
      </c>
      <c r="G5270" s="64" t="s">
        <v>509</v>
      </c>
      <c r="H5270" s="62" t="s">
        <v>138</v>
      </c>
    </row>
    <row r="5271" customFormat="false" ht="15" hidden="false" customHeight="false" outlineLevel="0" collapsed="false">
      <c r="A5271" s="62" t="n">
        <v>1</v>
      </c>
      <c r="B5271" s="62" t="s">
        <v>381</v>
      </c>
      <c r="C5271" s="62" t="s">
        <v>60</v>
      </c>
      <c r="D5271" s="62" t="s">
        <v>382</v>
      </c>
      <c r="E5271" s="62" t="s">
        <v>382</v>
      </c>
      <c r="F5271" s="63" t="s">
        <v>515</v>
      </c>
      <c r="G5271" s="64" t="s">
        <v>783</v>
      </c>
      <c r="H5271" s="62" t="s">
        <v>138</v>
      </c>
    </row>
    <row r="5272" customFormat="false" ht="15" hidden="false" customHeight="false" outlineLevel="0" collapsed="false">
      <c r="A5272" s="62" t="n">
        <v>1</v>
      </c>
      <c r="B5272" s="62" t="s">
        <v>383</v>
      </c>
      <c r="C5272" s="62" t="s">
        <v>60</v>
      </c>
      <c r="D5272" s="62" t="s">
        <v>382</v>
      </c>
      <c r="E5272" s="62" t="s">
        <v>382</v>
      </c>
      <c r="F5272" s="63" t="s">
        <v>515</v>
      </c>
      <c r="G5272" s="64" t="s">
        <v>769</v>
      </c>
      <c r="H5272" s="62" t="s">
        <v>138</v>
      </c>
    </row>
    <row r="5273" customFormat="false" ht="15" hidden="false" customHeight="false" outlineLevel="0" collapsed="false">
      <c r="A5273" s="62" t="n">
        <v>1</v>
      </c>
      <c r="B5273" s="62" t="s">
        <v>384</v>
      </c>
      <c r="C5273" s="62" t="s">
        <v>60</v>
      </c>
      <c r="D5273" s="62" t="s">
        <v>382</v>
      </c>
      <c r="E5273" s="62" t="s">
        <v>382</v>
      </c>
      <c r="F5273" s="63" t="s">
        <v>515</v>
      </c>
      <c r="G5273" s="64" t="s">
        <v>784</v>
      </c>
      <c r="H5273" s="62" t="s">
        <v>138</v>
      </c>
    </row>
    <row r="5274" customFormat="false" ht="15" hidden="false" customHeight="false" outlineLevel="0" collapsed="false">
      <c r="A5274" s="62" t="n">
        <v>1</v>
      </c>
      <c r="B5274" s="62" t="s">
        <v>385</v>
      </c>
      <c r="C5274" s="62" t="s">
        <v>60</v>
      </c>
      <c r="D5274" s="62" t="s">
        <v>382</v>
      </c>
      <c r="E5274" s="62" t="s">
        <v>382</v>
      </c>
      <c r="F5274" s="63" t="s">
        <v>515</v>
      </c>
      <c r="G5274" s="64" t="s">
        <v>785</v>
      </c>
      <c r="H5274" s="62" t="s">
        <v>138</v>
      </c>
    </row>
    <row r="5275" customFormat="false" ht="15" hidden="false" customHeight="false" outlineLevel="0" collapsed="false">
      <c r="A5275" s="62" t="n">
        <v>1</v>
      </c>
      <c r="B5275" s="62" t="s">
        <v>386</v>
      </c>
      <c r="C5275" s="62" t="s">
        <v>60</v>
      </c>
      <c r="D5275" s="62" t="s">
        <v>382</v>
      </c>
      <c r="E5275" s="62" t="s">
        <v>382</v>
      </c>
      <c r="F5275" s="63" t="s">
        <v>515</v>
      </c>
      <c r="G5275" s="64" t="s">
        <v>786</v>
      </c>
      <c r="H5275" s="62" t="s">
        <v>138</v>
      </c>
    </row>
    <row r="5276" customFormat="false" ht="15" hidden="false" customHeight="false" outlineLevel="0" collapsed="false">
      <c r="A5276" s="62" t="n">
        <v>1</v>
      </c>
      <c r="B5276" s="62" t="s">
        <v>387</v>
      </c>
      <c r="C5276" s="62" t="s">
        <v>60</v>
      </c>
      <c r="D5276" s="62" t="s">
        <v>382</v>
      </c>
      <c r="E5276" s="62" t="s">
        <v>382</v>
      </c>
      <c r="F5276" s="63" t="s">
        <v>515</v>
      </c>
      <c r="G5276" s="64" t="s">
        <v>762</v>
      </c>
      <c r="H5276" s="62" t="s">
        <v>138</v>
      </c>
    </row>
    <row r="5277" customFormat="false" ht="15" hidden="false" customHeight="false" outlineLevel="0" collapsed="false">
      <c r="A5277" s="62" t="n">
        <v>1</v>
      </c>
      <c r="B5277" s="62" t="s">
        <v>388</v>
      </c>
      <c r="C5277" s="62" t="s">
        <v>60</v>
      </c>
      <c r="D5277" s="62" t="s">
        <v>382</v>
      </c>
      <c r="E5277" s="62" t="s">
        <v>382</v>
      </c>
      <c r="F5277" s="63" t="s">
        <v>515</v>
      </c>
      <c r="G5277" s="64" t="s">
        <v>783</v>
      </c>
      <c r="H5277" s="62" t="s">
        <v>138</v>
      </c>
    </row>
    <row r="5278" customFormat="false" ht="15" hidden="false" customHeight="false" outlineLevel="0" collapsed="false">
      <c r="A5278" s="62" t="n">
        <v>1</v>
      </c>
      <c r="B5278" s="62" t="s">
        <v>381</v>
      </c>
      <c r="C5278" s="62" t="s">
        <v>60</v>
      </c>
      <c r="D5278" s="62" t="s">
        <v>382</v>
      </c>
      <c r="E5278" s="62" t="s">
        <v>382</v>
      </c>
      <c r="F5278" s="63" t="s">
        <v>516</v>
      </c>
      <c r="G5278" s="64" t="s">
        <v>509</v>
      </c>
      <c r="H5278" s="62" t="s">
        <v>138</v>
      </c>
    </row>
    <row r="5279" customFormat="false" ht="15" hidden="false" customHeight="false" outlineLevel="0" collapsed="false">
      <c r="A5279" s="62" t="n">
        <v>1</v>
      </c>
      <c r="B5279" s="62" t="s">
        <v>383</v>
      </c>
      <c r="C5279" s="62" t="s">
        <v>60</v>
      </c>
      <c r="D5279" s="62" t="s">
        <v>382</v>
      </c>
      <c r="E5279" s="62" t="s">
        <v>382</v>
      </c>
      <c r="F5279" s="63" t="s">
        <v>516</v>
      </c>
      <c r="G5279" s="64" t="s">
        <v>509</v>
      </c>
      <c r="H5279" s="62" t="s">
        <v>138</v>
      </c>
    </row>
    <row r="5280" customFormat="false" ht="15" hidden="false" customHeight="false" outlineLevel="0" collapsed="false">
      <c r="A5280" s="62" t="n">
        <v>1</v>
      </c>
      <c r="B5280" s="62" t="s">
        <v>384</v>
      </c>
      <c r="C5280" s="62" t="s">
        <v>60</v>
      </c>
      <c r="D5280" s="62" t="s">
        <v>382</v>
      </c>
      <c r="E5280" s="62" t="s">
        <v>382</v>
      </c>
      <c r="F5280" s="63" t="s">
        <v>516</v>
      </c>
      <c r="G5280" s="64" t="s">
        <v>509</v>
      </c>
      <c r="H5280" s="62" t="s">
        <v>138</v>
      </c>
    </row>
    <row r="5281" customFormat="false" ht="15" hidden="false" customHeight="false" outlineLevel="0" collapsed="false">
      <c r="A5281" s="62" t="n">
        <v>1</v>
      </c>
      <c r="B5281" s="62" t="s">
        <v>385</v>
      </c>
      <c r="C5281" s="62" t="s">
        <v>60</v>
      </c>
      <c r="D5281" s="62" t="s">
        <v>382</v>
      </c>
      <c r="E5281" s="62" t="s">
        <v>382</v>
      </c>
      <c r="F5281" s="63" t="s">
        <v>516</v>
      </c>
      <c r="G5281" s="64" t="s">
        <v>509</v>
      </c>
      <c r="H5281" s="62" t="s">
        <v>138</v>
      </c>
    </row>
    <row r="5282" customFormat="false" ht="15" hidden="false" customHeight="false" outlineLevel="0" collapsed="false">
      <c r="A5282" s="62" t="n">
        <v>1</v>
      </c>
      <c r="B5282" s="62" t="s">
        <v>386</v>
      </c>
      <c r="C5282" s="62" t="s">
        <v>60</v>
      </c>
      <c r="D5282" s="62" t="s">
        <v>382</v>
      </c>
      <c r="E5282" s="62" t="s">
        <v>382</v>
      </c>
      <c r="F5282" s="63" t="s">
        <v>516</v>
      </c>
      <c r="G5282" s="64" t="s">
        <v>786</v>
      </c>
      <c r="H5282" s="62" t="s">
        <v>138</v>
      </c>
    </row>
    <row r="5283" customFormat="false" ht="15" hidden="false" customHeight="false" outlineLevel="0" collapsed="false">
      <c r="A5283" s="62" t="n">
        <v>1</v>
      </c>
      <c r="B5283" s="62" t="s">
        <v>387</v>
      </c>
      <c r="C5283" s="62" t="s">
        <v>60</v>
      </c>
      <c r="D5283" s="62" t="s">
        <v>382</v>
      </c>
      <c r="E5283" s="62" t="s">
        <v>382</v>
      </c>
      <c r="F5283" s="63" t="s">
        <v>516</v>
      </c>
      <c r="G5283" s="64" t="s">
        <v>784</v>
      </c>
      <c r="H5283" s="62" t="s">
        <v>138</v>
      </c>
    </row>
    <row r="5284" customFormat="false" ht="15" hidden="false" customHeight="false" outlineLevel="0" collapsed="false">
      <c r="A5284" s="62" t="n">
        <v>1</v>
      </c>
      <c r="B5284" s="62" t="s">
        <v>388</v>
      </c>
      <c r="C5284" s="62" t="s">
        <v>60</v>
      </c>
      <c r="D5284" s="62" t="s">
        <v>382</v>
      </c>
      <c r="E5284" s="62" t="s">
        <v>382</v>
      </c>
      <c r="F5284" s="63" t="s">
        <v>516</v>
      </c>
      <c r="G5284" s="64" t="s">
        <v>784</v>
      </c>
      <c r="H5284" s="62" t="s">
        <v>138</v>
      </c>
    </row>
    <row r="5285" customFormat="false" ht="15" hidden="false" customHeight="false" outlineLevel="0" collapsed="false">
      <c r="A5285" s="62" t="n">
        <v>1</v>
      </c>
      <c r="B5285" s="62" t="s">
        <v>381</v>
      </c>
      <c r="C5285" s="62" t="s">
        <v>60</v>
      </c>
      <c r="D5285" s="62" t="s">
        <v>382</v>
      </c>
      <c r="E5285" s="62" t="s">
        <v>382</v>
      </c>
      <c r="F5285" s="63" t="s">
        <v>517</v>
      </c>
      <c r="G5285" s="64" t="s">
        <v>787</v>
      </c>
      <c r="H5285" s="62" t="s">
        <v>138</v>
      </c>
    </row>
    <row r="5286" customFormat="false" ht="15" hidden="false" customHeight="false" outlineLevel="0" collapsed="false">
      <c r="A5286" s="62" t="n">
        <v>1</v>
      </c>
      <c r="B5286" s="62" t="s">
        <v>383</v>
      </c>
      <c r="C5286" s="62" t="s">
        <v>60</v>
      </c>
      <c r="D5286" s="62" t="s">
        <v>382</v>
      </c>
      <c r="E5286" s="62" t="s">
        <v>382</v>
      </c>
      <c r="F5286" s="63" t="s">
        <v>517</v>
      </c>
      <c r="G5286" s="64" t="s">
        <v>785</v>
      </c>
      <c r="H5286" s="62" t="s">
        <v>138</v>
      </c>
    </row>
    <row r="5287" customFormat="false" ht="15" hidden="false" customHeight="false" outlineLevel="0" collapsed="false">
      <c r="A5287" s="62" t="n">
        <v>1</v>
      </c>
      <c r="B5287" s="62" t="s">
        <v>384</v>
      </c>
      <c r="C5287" s="62" t="s">
        <v>60</v>
      </c>
      <c r="D5287" s="62" t="s">
        <v>382</v>
      </c>
      <c r="E5287" s="62" t="s">
        <v>382</v>
      </c>
      <c r="F5287" s="63" t="s">
        <v>517</v>
      </c>
      <c r="G5287" s="64" t="s">
        <v>785</v>
      </c>
      <c r="H5287" s="62" t="s">
        <v>138</v>
      </c>
    </row>
    <row r="5288" customFormat="false" ht="15" hidden="false" customHeight="false" outlineLevel="0" collapsed="false">
      <c r="A5288" s="62" t="n">
        <v>1</v>
      </c>
      <c r="B5288" s="62" t="s">
        <v>385</v>
      </c>
      <c r="C5288" s="62" t="s">
        <v>60</v>
      </c>
      <c r="D5288" s="62" t="s">
        <v>382</v>
      </c>
      <c r="E5288" s="62" t="s">
        <v>382</v>
      </c>
      <c r="F5288" s="63" t="s">
        <v>517</v>
      </c>
      <c r="G5288" s="64" t="s">
        <v>769</v>
      </c>
      <c r="H5288" s="62" t="s">
        <v>138</v>
      </c>
    </row>
    <row r="5289" customFormat="false" ht="15" hidden="false" customHeight="false" outlineLevel="0" collapsed="false">
      <c r="A5289" s="62" t="n">
        <v>1</v>
      </c>
      <c r="B5289" s="62" t="s">
        <v>386</v>
      </c>
      <c r="C5289" s="62" t="s">
        <v>60</v>
      </c>
      <c r="D5289" s="62" t="s">
        <v>382</v>
      </c>
      <c r="E5289" s="62" t="s">
        <v>382</v>
      </c>
      <c r="F5289" s="63" t="s">
        <v>517</v>
      </c>
      <c r="G5289" s="64" t="s">
        <v>769</v>
      </c>
      <c r="H5289" s="62" t="s">
        <v>138</v>
      </c>
    </row>
    <row r="5290" customFormat="false" ht="15" hidden="false" customHeight="false" outlineLevel="0" collapsed="false">
      <c r="A5290" s="62" t="n">
        <v>1</v>
      </c>
      <c r="B5290" s="62" t="s">
        <v>387</v>
      </c>
      <c r="C5290" s="62" t="s">
        <v>60</v>
      </c>
      <c r="D5290" s="62" t="s">
        <v>382</v>
      </c>
      <c r="E5290" s="62" t="s">
        <v>382</v>
      </c>
      <c r="F5290" s="63" t="s">
        <v>517</v>
      </c>
      <c r="G5290" s="64" t="s">
        <v>769</v>
      </c>
      <c r="H5290" s="62" t="s">
        <v>138</v>
      </c>
    </row>
    <row r="5291" customFormat="false" ht="15" hidden="false" customHeight="false" outlineLevel="0" collapsed="false">
      <c r="A5291" s="62" t="n">
        <v>1</v>
      </c>
      <c r="B5291" s="62" t="s">
        <v>388</v>
      </c>
      <c r="C5291" s="62" t="s">
        <v>60</v>
      </c>
      <c r="D5291" s="62" t="s">
        <v>382</v>
      </c>
      <c r="E5291" s="62" t="s">
        <v>382</v>
      </c>
      <c r="F5291" s="63" t="s">
        <v>517</v>
      </c>
      <c r="G5291" s="64" t="s">
        <v>769</v>
      </c>
      <c r="H5291" s="62" t="s">
        <v>138</v>
      </c>
    </row>
    <row r="5292" customFormat="false" ht="15" hidden="false" customHeight="false" outlineLevel="0" collapsed="false">
      <c r="A5292" s="62" t="n">
        <v>1</v>
      </c>
      <c r="B5292" s="62" t="s">
        <v>381</v>
      </c>
      <c r="C5292" s="62" t="s">
        <v>60</v>
      </c>
      <c r="D5292" s="62" t="s">
        <v>382</v>
      </c>
      <c r="E5292" s="62" t="s">
        <v>382</v>
      </c>
      <c r="F5292" s="63" t="s">
        <v>518</v>
      </c>
      <c r="G5292" s="64" t="s">
        <v>788</v>
      </c>
      <c r="H5292" s="62" t="s">
        <v>138</v>
      </c>
    </row>
    <row r="5293" customFormat="false" ht="15" hidden="false" customHeight="false" outlineLevel="0" collapsed="false">
      <c r="A5293" s="62" t="n">
        <v>1</v>
      </c>
      <c r="B5293" s="62" t="s">
        <v>383</v>
      </c>
      <c r="C5293" s="62" t="s">
        <v>60</v>
      </c>
      <c r="D5293" s="62" t="s">
        <v>382</v>
      </c>
      <c r="E5293" s="62" t="s">
        <v>382</v>
      </c>
      <c r="F5293" s="63" t="s">
        <v>518</v>
      </c>
      <c r="G5293" s="64" t="s">
        <v>768</v>
      </c>
      <c r="H5293" s="62" t="s">
        <v>138</v>
      </c>
    </row>
    <row r="5294" customFormat="false" ht="15" hidden="false" customHeight="false" outlineLevel="0" collapsed="false">
      <c r="A5294" s="62" t="n">
        <v>1</v>
      </c>
      <c r="B5294" s="62" t="s">
        <v>384</v>
      </c>
      <c r="C5294" s="62" t="s">
        <v>60</v>
      </c>
      <c r="D5294" s="62" t="s">
        <v>382</v>
      </c>
      <c r="E5294" s="62" t="s">
        <v>382</v>
      </c>
      <c r="F5294" s="63" t="s">
        <v>518</v>
      </c>
      <c r="G5294" s="64" t="s">
        <v>768</v>
      </c>
      <c r="H5294" s="62" t="s">
        <v>138</v>
      </c>
    </row>
    <row r="5295" customFormat="false" ht="15" hidden="false" customHeight="false" outlineLevel="0" collapsed="false">
      <c r="A5295" s="62" t="n">
        <v>1</v>
      </c>
      <c r="B5295" s="62" t="s">
        <v>385</v>
      </c>
      <c r="C5295" s="62" t="s">
        <v>60</v>
      </c>
      <c r="D5295" s="62" t="s">
        <v>382</v>
      </c>
      <c r="E5295" s="62" t="s">
        <v>382</v>
      </c>
      <c r="F5295" s="63" t="s">
        <v>518</v>
      </c>
      <c r="G5295" s="64" t="s">
        <v>789</v>
      </c>
      <c r="H5295" s="62" t="s">
        <v>138</v>
      </c>
    </row>
    <row r="5296" customFormat="false" ht="15" hidden="false" customHeight="false" outlineLevel="0" collapsed="false">
      <c r="A5296" s="62" t="n">
        <v>1</v>
      </c>
      <c r="B5296" s="62" t="s">
        <v>386</v>
      </c>
      <c r="C5296" s="62" t="s">
        <v>60</v>
      </c>
      <c r="D5296" s="62" t="s">
        <v>382</v>
      </c>
      <c r="E5296" s="62" t="s">
        <v>382</v>
      </c>
      <c r="F5296" s="63" t="s">
        <v>518</v>
      </c>
      <c r="G5296" s="64" t="s">
        <v>768</v>
      </c>
      <c r="H5296" s="62" t="s">
        <v>138</v>
      </c>
    </row>
    <row r="5297" customFormat="false" ht="15" hidden="false" customHeight="false" outlineLevel="0" collapsed="false">
      <c r="A5297" s="62" t="n">
        <v>1</v>
      </c>
      <c r="B5297" s="62" t="s">
        <v>387</v>
      </c>
      <c r="C5297" s="62" t="s">
        <v>60</v>
      </c>
      <c r="D5297" s="62" t="s">
        <v>382</v>
      </c>
      <c r="E5297" s="62" t="s">
        <v>382</v>
      </c>
      <c r="F5297" s="63" t="s">
        <v>518</v>
      </c>
      <c r="G5297" s="64" t="s">
        <v>790</v>
      </c>
      <c r="H5297" s="62" t="s">
        <v>138</v>
      </c>
    </row>
    <row r="5298" customFormat="false" ht="15" hidden="false" customHeight="false" outlineLevel="0" collapsed="false">
      <c r="A5298" s="62" t="n">
        <v>1</v>
      </c>
      <c r="B5298" s="62" t="s">
        <v>388</v>
      </c>
      <c r="C5298" s="62" t="s">
        <v>60</v>
      </c>
      <c r="D5298" s="62" t="s">
        <v>382</v>
      </c>
      <c r="E5298" s="62" t="s">
        <v>382</v>
      </c>
      <c r="F5298" s="63" t="s">
        <v>518</v>
      </c>
      <c r="G5298" s="64" t="s">
        <v>768</v>
      </c>
      <c r="H5298" s="62" t="s">
        <v>138</v>
      </c>
    </row>
    <row r="5299" customFormat="false" ht="15" hidden="false" customHeight="false" outlineLevel="0" collapsed="false">
      <c r="A5299" s="62" t="n">
        <v>1</v>
      </c>
      <c r="B5299" s="62" t="s">
        <v>381</v>
      </c>
      <c r="C5299" s="62" t="s">
        <v>60</v>
      </c>
      <c r="D5299" s="62" t="s">
        <v>382</v>
      </c>
      <c r="E5299" s="62" t="s">
        <v>382</v>
      </c>
      <c r="F5299" s="63" t="s">
        <v>519</v>
      </c>
      <c r="G5299" s="64" t="s">
        <v>791</v>
      </c>
      <c r="H5299" s="62" t="s">
        <v>138</v>
      </c>
    </row>
    <row r="5300" customFormat="false" ht="15" hidden="false" customHeight="false" outlineLevel="0" collapsed="false">
      <c r="A5300" s="62" t="n">
        <v>1</v>
      </c>
      <c r="B5300" s="62" t="s">
        <v>383</v>
      </c>
      <c r="C5300" s="62" t="s">
        <v>60</v>
      </c>
      <c r="D5300" s="62" t="s">
        <v>382</v>
      </c>
      <c r="E5300" s="62" t="s">
        <v>382</v>
      </c>
      <c r="F5300" s="63" t="s">
        <v>519</v>
      </c>
      <c r="G5300" s="64" t="s">
        <v>758</v>
      </c>
      <c r="H5300" s="62" t="s">
        <v>138</v>
      </c>
    </row>
    <row r="5301" customFormat="false" ht="15" hidden="false" customHeight="false" outlineLevel="0" collapsed="false">
      <c r="A5301" s="62" t="n">
        <v>1</v>
      </c>
      <c r="B5301" s="62" t="s">
        <v>384</v>
      </c>
      <c r="C5301" s="62" t="s">
        <v>60</v>
      </c>
      <c r="D5301" s="62" t="s">
        <v>382</v>
      </c>
      <c r="E5301" s="62" t="s">
        <v>382</v>
      </c>
      <c r="F5301" s="63" t="s">
        <v>519</v>
      </c>
      <c r="G5301" s="64" t="s">
        <v>791</v>
      </c>
      <c r="H5301" s="62" t="s">
        <v>138</v>
      </c>
    </row>
    <row r="5302" customFormat="false" ht="15" hidden="false" customHeight="false" outlineLevel="0" collapsed="false">
      <c r="A5302" s="62" t="n">
        <v>1</v>
      </c>
      <c r="B5302" s="62" t="s">
        <v>385</v>
      </c>
      <c r="C5302" s="62" t="s">
        <v>60</v>
      </c>
      <c r="D5302" s="62" t="s">
        <v>382</v>
      </c>
      <c r="E5302" s="62" t="s">
        <v>382</v>
      </c>
      <c r="F5302" s="63" t="s">
        <v>519</v>
      </c>
      <c r="G5302" s="64" t="s">
        <v>758</v>
      </c>
      <c r="H5302" s="62" t="s">
        <v>138</v>
      </c>
    </row>
    <row r="5303" customFormat="false" ht="15" hidden="false" customHeight="false" outlineLevel="0" collapsed="false">
      <c r="A5303" s="62" t="n">
        <v>1</v>
      </c>
      <c r="B5303" s="62" t="s">
        <v>386</v>
      </c>
      <c r="C5303" s="62" t="s">
        <v>60</v>
      </c>
      <c r="D5303" s="62" t="s">
        <v>382</v>
      </c>
      <c r="E5303" s="62" t="s">
        <v>382</v>
      </c>
      <c r="F5303" s="63" t="s">
        <v>519</v>
      </c>
      <c r="G5303" s="64" t="s">
        <v>791</v>
      </c>
      <c r="H5303" s="62" t="s">
        <v>138</v>
      </c>
    </row>
    <row r="5304" customFormat="false" ht="15" hidden="false" customHeight="false" outlineLevel="0" collapsed="false">
      <c r="A5304" s="62" t="n">
        <v>1</v>
      </c>
      <c r="B5304" s="62" t="s">
        <v>387</v>
      </c>
      <c r="C5304" s="62" t="s">
        <v>60</v>
      </c>
      <c r="D5304" s="62" t="s">
        <v>382</v>
      </c>
      <c r="E5304" s="62" t="s">
        <v>382</v>
      </c>
      <c r="F5304" s="63" t="s">
        <v>519</v>
      </c>
      <c r="G5304" s="64" t="s">
        <v>791</v>
      </c>
      <c r="H5304" s="62" t="s">
        <v>138</v>
      </c>
    </row>
    <row r="5305" customFormat="false" ht="15" hidden="false" customHeight="false" outlineLevel="0" collapsed="false">
      <c r="A5305" s="62" t="n">
        <v>1</v>
      </c>
      <c r="B5305" s="62" t="s">
        <v>388</v>
      </c>
      <c r="C5305" s="62" t="s">
        <v>60</v>
      </c>
      <c r="D5305" s="62" t="s">
        <v>382</v>
      </c>
      <c r="E5305" s="62" t="s">
        <v>382</v>
      </c>
      <c r="F5305" s="63" t="s">
        <v>519</v>
      </c>
      <c r="G5305" s="64" t="s">
        <v>791</v>
      </c>
      <c r="H5305" s="62" t="s">
        <v>138</v>
      </c>
    </row>
    <row r="5306" customFormat="false" ht="15" hidden="false" customHeight="false" outlineLevel="0" collapsed="false">
      <c r="A5306" s="62" t="n">
        <v>1</v>
      </c>
      <c r="B5306" s="62" t="s">
        <v>381</v>
      </c>
      <c r="C5306" s="62" t="s">
        <v>60</v>
      </c>
      <c r="D5306" s="62" t="s">
        <v>382</v>
      </c>
      <c r="E5306" s="62" t="s">
        <v>382</v>
      </c>
      <c r="F5306" s="63" t="s">
        <v>520</v>
      </c>
      <c r="G5306" s="64" t="n">
        <v>2.5207704714769</v>
      </c>
      <c r="H5306" s="62" t="s">
        <v>138</v>
      </c>
    </row>
    <row r="5307" customFormat="false" ht="15" hidden="false" customHeight="false" outlineLevel="0" collapsed="false">
      <c r="A5307" s="62" t="n">
        <v>1</v>
      </c>
      <c r="B5307" s="62" t="s">
        <v>383</v>
      </c>
      <c r="C5307" s="62" t="s">
        <v>60</v>
      </c>
      <c r="D5307" s="62" t="s">
        <v>382</v>
      </c>
      <c r="E5307" s="62" t="s">
        <v>382</v>
      </c>
      <c r="F5307" s="63" t="s">
        <v>520</v>
      </c>
      <c r="G5307" s="64" t="n">
        <v>2.63934389981301</v>
      </c>
      <c r="H5307" s="62" t="s">
        <v>138</v>
      </c>
    </row>
    <row r="5308" customFormat="false" ht="15" hidden="false" customHeight="false" outlineLevel="0" collapsed="false">
      <c r="A5308" s="62" t="n">
        <v>1</v>
      </c>
      <c r="B5308" s="62" t="s">
        <v>384</v>
      </c>
      <c r="C5308" s="62" t="s">
        <v>60</v>
      </c>
      <c r="D5308" s="62" t="s">
        <v>382</v>
      </c>
      <c r="E5308" s="62" t="s">
        <v>382</v>
      </c>
      <c r="F5308" s="63" t="s">
        <v>520</v>
      </c>
      <c r="G5308" s="64" t="n">
        <v>2.84883890638946</v>
      </c>
      <c r="H5308" s="62" t="s">
        <v>138</v>
      </c>
    </row>
    <row r="5309" customFormat="false" ht="15" hidden="false" customHeight="false" outlineLevel="0" collapsed="false">
      <c r="A5309" s="62" t="n">
        <v>1</v>
      </c>
      <c r="B5309" s="62" t="s">
        <v>385</v>
      </c>
      <c r="C5309" s="62" t="s">
        <v>60</v>
      </c>
      <c r="D5309" s="62" t="s">
        <v>382</v>
      </c>
      <c r="E5309" s="62" t="s">
        <v>382</v>
      </c>
      <c r="F5309" s="63" t="s">
        <v>520</v>
      </c>
      <c r="G5309" s="64" t="n">
        <v>2.80317576521804</v>
      </c>
      <c r="H5309" s="62" t="s">
        <v>138</v>
      </c>
    </row>
    <row r="5310" customFormat="false" ht="15" hidden="false" customHeight="false" outlineLevel="0" collapsed="false">
      <c r="A5310" s="62" t="n">
        <v>1</v>
      </c>
      <c r="B5310" s="62" t="s">
        <v>386</v>
      </c>
      <c r="C5310" s="62" t="s">
        <v>60</v>
      </c>
      <c r="D5310" s="62" t="s">
        <v>382</v>
      </c>
      <c r="E5310" s="62" t="s">
        <v>382</v>
      </c>
      <c r="F5310" s="63" t="s">
        <v>520</v>
      </c>
      <c r="G5310" s="64" t="n">
        <v>3.72833452891097</v>
      </c>
      <c r="H5310" s="62" t="s">
        <v>138</v>
      </c>
    </row>
    <row r="5311" customFormat="false" ht="15" hidden="false" customHeight="false" outlineLevel="0" collapsed="false">
      <c r="A5311" s="62" t="n">
        <v>1</v>
      </c>
      <c r="B5311" s="62" t="s">
        <v>387</v>
      </c>
      <c r="C5311" s="62" t="s">
        <v>60</v>
      </c>
      <c r="D5311" s="62" t="s">
        <v>382</v>
      </c>
      <c r="E5311" s="62" t="s">
        <v>382</v>
      </c>
      <c r="F5311" s="63" t="s">
        <v>520</v>
      </c>
      <c r="G5311" s="64" t="n">
        <v>3.33177712909454</v>
      </c>
      <c r="H5311" s="62" t="s">
        <v>138</v>
      </c>
    </row>
    <row r="5312" customFormat="false" ht="15" hidden="false" customHeight="false" outlineLevel="0" collapsed="false">
      <c r="A5312" s="62" t="n">
        <v>1</v>
      </c>
      <c r="B5312" s="62" t="s">
        <v>388</v>
      </c>
      <c r="C5312" s="62" t="s">
        <v>60</v>
      </c>
      <c r="D5312" s="62" t="s">
        <v>382</v>
      </c>
      <c r="E5312" s="62" t="s">
        <v>382</v>
      </c>
      <c r="F5312" s="63" t="s">
        <v>520</v>
      </c>
      <c r="G5312" s="64" t="n">
        <v>2.94366127527644</v>
      </c>
      <c r="H5312" s="62" t="s">
        <v>138</v>
      </c>
    </row>
    <row r="5313" customFormat="false" ht="15" hidden="false" customHeight="false" outlineLevel="0" collapsed="false">
      <c r="A5313" s="62" t="n">
        <v>1</v>
      </c>
      <c r="B5313" s="62" t="s">
        <v>381</v>
      </c>
      <c r="C5313" s="62" t="s">
        <v>60</v>
      </c>
      <c r="D5313" s="62" t="s">
        <v>382</v>
      </c>
      <c r="E5313" s="62" t="s">
        <v>382</v>
      </c>
      <c r="F5313" s="63" t="s">
        <v>521</v>
      </c>
      <c r="G5313" s="64" t="n">
        <v>2.93971026527495</v>
      </c>
      <c r="H5313" s="62" t="s">
        <v>138</v>
      </c>
    </row>
    <row r="5314" customFormat="false" ht="15" hidden="false" customHeight="false" outlineLevel="0" collapsed="false">
      <c r="A5314" s="62" t="n">
        <v>1</v>
      </c>
      <c r="B5314" s="62" t="s">
        <v>383</v>
      </c>
      <c r="C5314" s="62" t="s">
        <v>60</v>
      </c>
      <c r="D5314" s="62" t="s">
        <v>382</v>
      </c>
      <c r="E5314" s="62" t="s">
        <v>382</v>
      </c>
      <c r="F5314" s="63" t="s">
        <v>521</v>
      </c>
      <c r="G5314" s="64" t="n">
        <v>2.89087407389789</v>
      </c>
      <c r="H5314" s="62" t="s">
        <v>138</v>
      </c>
    </row>
    <row r="5315" customFormat="false" ht="15" hidden="false" customHeight="false" outlineLevel="0" collapsed="false">
      <c r="A5315" s="62" t="n">
        <v>1</v>
      </c>
      <c r="B5315" s="62" t="s">
        <v>384</v>
      </c>
      <c r="C5315" s="62" t="s">
        <v>60</v>
      </c>
      <c r="D5315" s="62" t="s">
        <v>382</v>
      </c>
      <c r="E5315" s="62" t="s">
        <v>382</v>
      </c>
      <c r="F5315" s="63" t="s">
        <v>521</v>
      </c>
      <c r="G5315" s="64" t="n">
        <v>2.98926140286045</v>
      </c>
      <c r="H5315" s="62" t="s">
        <v>138</v>
      </c>
    </row>
    <row r="5316" customFormat="false" ht="15" hidden="false" customHeight="false" outlineLevel="0" collapsed="false">
      <c r="A5316" s="62" t="n">
        <v>1</v>
      </c>
      <c r="B5316" s="62" t="s">
        <v>385</v>
      </c>
      <c r="C5316" s="62" t="s">
        <v>60</v>
      </c>
      <c r="D5316" s="62" t="s">
        <v>382</v>
      </c>
      <c r="E5316" s="62" t="s">
        <v>382</v>
      </c>
      <c r="F5316" s="63" t="s">
        <v>521</v>
      </c>
      <c r="G5316" s="64" t="n">
        <v>3.07776569179291</v>
      </c>
      <c r="H5316" s="62" t="s">
        <v>138</v>
      </c>
    </row>
    <row r="5317" customFormat="false" ht="15" hidden="false" customHeight="false" outlineLevel="0" collapsed="false">
      <c r="A5317" s="62" t="n">
        <v>1</v>
      </c>
      <c r="B5317" s="62" t="s">
        <v>386</v>
      </c>
      <c r="C5317" s="62" t="s">
        <v>60</v>
      </c>
      <c r="D5317" s="62" t="s">
        <v>382</v>
      </c>
      <c r="E5317" s="62" t="s">
        <v>382</v>
      </c>
      <c r="F5317" s="63" t="s">
        <v>521</v>
      </c>
      <c r="G5317" s="64" t="n">
        <v>3.0308355397588</v>
      </c>
      <c r="H5317" s="62" t="s">
        <v>138</v>
      </c>
    </row>
    <row r="5318" customFormat="false" ht="15" hidden="false" customHeight="false" outlineLevel="0" collapsed="false">
      <c r="A5318" s="62" t="n">
        <v>1</v>
      </c>
      <c r="B5318" s="62" t="s">
        <v>387</v>
      </c>
      <c r="C5318" s="62" t="s">
        <v>60</v>
      </c>
      <c r="D5318" s="62" t="s">
        <v>382</v>
      </c>
      <c r="E5318" s="62" t="s">
        <v>382</v>
      </c>
      <c r="F5318" s="63" t="s">
        <v>521</v>
      </c>
      <c r="G5318" s="64" t="n">
        <v>3.16391983485522</v>
      </c>
      <c r="H5318" s="62" t="s">
        <v>138</v>
      </c>
    </row>
    <row r="5319" customFormat="false" ht="15" hidden="false" customHeight="false" outlineLevel="0" collapsed="false">
      <c r="A5319" s="62" t="n">
        <v>1</v>
      </c>
      <c r="B5319" s="62" t="s">
        <v>388</v>
      </c>
      <c r="C5319" s="62" t="s">
        <v>60</v>
      </c>
      <c r="D5319" s="62" t="s">
        <v>382</v>
      </c>
      <c r="E5319" s="62" t="s">
        <v>382</v>
      </c>
      <c r="F5319" s="63" t="s">
        <v>521</v>
      </c>
      <c r="G5319" s="64" t="n">
        <v>2.93316904992646</v>
      </c>
      <c r="H5319" s="62" t="s">
        <v>138</v>
      </c>
    </row>
    <row r="5320" customFormat="false" ht="15" hidden="false" customHeight="false" outlineLevel="0" collapsed="false">
      <c r="A5320" s="62" t="n">
        <v>1</v>
      </c>
      <c r="B5320" s="62" t="s">
        <v>381</v>
      </c>
      <c r="C5320" s="62" t="s">
        <v>60</v>
      </c>
      <c r="D5320" s="62" t="s">
        <v>382</v>
      </c>
      <c r="E5320" s="62" t="s">
        <v>382</v>
      </c>
      <c r="F5320" s="63" t="s">
        <v>522</v>
      </c>
      <c r="G5320" s="64" t="n">
        <v>3.74852984394161</v>
      </c>
      <c r="H5320" s="62" t="s">
        <v>138</v>
      </c>
    </row>
    <row r="5321" customFormat="false" ht="15" hidden="false" customHeight="false" outlineLevel="0" collapsed="false">
      <c r="A5321" s="62" t="n">
        <v>1</v>
      </c>
      <c r="B5321" s="62" t="s">
        <v>383</v>
      </c>
      <c r="C5321" s="62" t="s">
        <v>60</v>
      </c>
      <c r="D5321" s="62" t="s">
        <v>382</v>
      </c>
      <c r="E5321" s="62" t="s">
        <v>382</v>
      </c>
      <c r="F5321" s="63" t="s">
        <v>522</v>
      </c>
      <c r="G5321" s="64" t="n">
        <v>2.95738558378394</v>
      </c>
      <c r="H5321" s="62" t="s">
        <v>138</v>
      </c>
    </row>
    <row r="5322" customFormat="false" ht="15" hidden="false" customHeight="false" outlineLevel="0" collapsed="false">
      <c r="A5322" s="62" t="n">
        <v>1</v>
      </c>
      <c r="B5322" s="62" t="s">
        <v>384</v>
      </c>
      <c r="C5322" s="62" t="s">
        <v>60</v>
      </c>
      <c r="D5322" s="62" t="s">
        <v>382</v>
      </c>
      <c r="E5322" s="62" t="s">
        <v>382</v>
      </c>
      <c r="F5322" s="63" t="s">
        <v>522</v>
      </c>
      <c r="G5322" s="64" t="n">
        <v>3.33510088002285</v>
      </c>
      <c r="H5322" s="62" t="s">
        <v>138</v>
      </c>
    </row>
    <row r="5323" customFormat="false" ht="15" hidden="false" customHeight="false" outlineLevel="0" collapsed="false">
      <c r="A5323" s="62" t="n">
        <v>1</v>
      </c>
      <c r="B5323" s="62" t="s">
        <v>385</v>
      </c>
      <c r="C5323" s="62" t="s">
        <v>60</v>
      </c>
      <c r="D5323" s="62" t="s">
        <v>382</v>
      </c>
      <c r="E5323" s="62" t="s">
        <v>382</v>
      </c>
      <c r="F5323" s="63" t="s">
        <v>522</v>
      </c>
      <c r="G5323" s="64" t="n">
        <v>2.32728466184537</v>
      </c>
      <c r="H5323" s="62" t="s">
        <v>138</v>
      </c>
    </row>
    <row r="5324" customFormat="false" ht="15" hidden="false" customHeight="false" outlineLevel="0" collapsed="false">
      <c r="A5324" s="62" t="n">
        <v>1</v>
      </c>
      <c r="B5324" s="62" t="s">
        <v>386</v>
      </c>
      <c r="C5324" s="62" t="s">
        <v>60</v>
      </c>
      <c r="D5324" s="62" t="s">
        <v>382</v>
      </c>
      <c r="E5324" s="62" t="s">
        <v>382</v>
      </c>
      <c r="F5324" s="63" t="s">
        <v>522</v>
      </c>
      <c r="G5324" s="64" t="n">
        <v>3.22418054701624</v>
      </c>
      <c r="H5324" s="62" t="s">
        <v>138</v>
      </c>
    </row>
    <row r="5325" customFormat="false" ht="15" hidden="false" customHeight="false" outlineLevel="0" collapsed="false">
      <c r="A5325" s="62" t="n">
        <v>1</v>
      </c>
      <c r="B5325" s="62" t="s">
        <v>387</v>
      </c>
      <c r="C5325" s="62" t="s">
        <v>60</v>
      </c>
      <c r="D5325" s="62" t="s">
        <v>382</v>
      </c>
      <c r="E5325" s="62" t="s">
        <v>382</v>
      </c>
      <c r="F5325" s="63" t="s">
        <v>522</v>
      </c>
      <c r="G5325" s="64" t="n">
        <v>2.66761319209245</v>
      </c>
      <c r="H5325" s="62" t="s">
        <v>138</v>
      </c>
    </row>
    <row r="5326" customFormat="false" ht="15" hidden="false" customHeight="false" outlineLevel="0" collapsed="false">
      <c r="A5326" s="62" t="n">
        <v>1</v>
      </c>
      <c r="B5326" s="62" t="s">
        <v>388</v>
      </c>
      <c r="C5326" s="62" t="s">
        <v>60</v>
      </c>
      <c r="D5326" s="62" t="s">
        <v>382</v>
      </c>
      <c r="E5326" s="62" t="s">
        <v>382</v>
      </c>
      <c r="F5326" s="63" t="s">
        <v>522</v>
      </c>
      <c r="G5326" s="64" t="n">
        <v>3.22418054701624</v>
      </c>
      <c r="H5326" s="62" t="s">
        <v>138</v>
      </c>
    </row>
    <row r="5327" customFormat="false" ht="15" hidden="false" customHeight="false" outlineLevel="0" collapsed="false">
      <c r="A5327" s="62" t="n">
        <v>1</v>
      </c>
      <c r="B5327" s="62" t="s">
        <v>381</v>
      </c>
      <c r="C5327" s="62" t="s">
        <v>60</v>
      </c>
      <c r="D5327" s="62" t="s">
        <v>382</v>
      </c>
      <c r="E5327" s="62" t="s">
        <v>382</v>
      </c>
      <c r="F5327" s="63" t="s">
        <v>523</v>
      </c>
      <c r="G5327" s="64" t="n">
        <v>3.03800192376245</v>
      </c>
      <c r="H5327" s="62" t="s">
        <v>138</v>
      </c>
    </row>
    <row r="5328" customFormat="false" ht="15" hidden="false" customHeight="false" outlineLevel="0" collapsed="false">
      <c r="A5328" s="62" t="n">
        <v>1</v>
      </c>
      <c r="B5328" s="62" t="s">
        <v>383</v>
      </c>
      <c r="C5328" s="62" t="s">
        <v>60</v>
      </c>
      <c r="D5328" s="62" t="s">
        <v>382</v>
      </c>
      <c r="E5328" s="62" t="s">
        <v>382</v>
      </c>
      <c r="F5328" s="63" t="s">
        <v>523</v>
      </c>
      <c r="G5328" s="64" t="n">
        <v>2.90683701045361</v>
      </c>
      <c r="H5328" s="62" t="s">
        <v>138</v>
      </c>
    </row>
    <row r="5329" customFormat="false" ht="15" hidden="false" customHeight="false" outlineLevel="0" collapsed="false">
      <c r="A5329" s="62" t="n">
        <v>1</v>
      </c>
      <c r="B5329" s="62" t="s">
        <v>384</v>
      </c>
      <c r="C5329" s="62" t="s">
        <v>60</v>
      </c>
      <c r="D5329" s="62" t="s">
        <v>382</v>
      </c>
      <c r="E5329" s="62" t="s">
        <v>382</v>
      </c>
      <c r="F5329" s="63" t="s">
        <v>523</v>
      </c>
      <c r="G5329" s="64" t="n">
        <v>3.03149112532232</v>
      </c>
      <c r="H5329" s="62" t="s">
        <v>138</v>
      </c>
    </row>
    <row r="5330" customFormat="false" ht="15" hidden="false" customHeight="false" outlineLevel="0" collapsed="false">
      <c r="A5330" s="62" t="n">
        <v>1</v>
      </c>
      <c r="B5330" s="62" t="s">
        <v>385</v>
      </c>
      <c r="C5330" s="62" t="s">
        <v>60</v>
      </c>
      <c r="D5330" s="62" t="s">
        <v>382</v>
      </c>
      <c r="E5330" s="62" t="s">
        <v>382</v>
      </c>
      <c r="F5330" s="63" t="s">
        <v>523</v>
      </c>
      <c r="G5330" s="64" t="n">
        <v>2.85604111251933</v>
      </c>
      <c r="H5330" s="62" t="s">
        <v>138</v>
      </c>
    </row>
    <row r="5331" customFormat="false" ht="15" hidden="false" customHeight="false" outlineLevel="0" collapsed="false">
      <c r="A5331" s="62" t="n">
        <v>1</v>
      </c>
      <c r="B5331" s="62" t="s">
        <v>386</v>
      </c>
      <c r="C5331" s="62" t="s">
        <v>60</v>
      </c>
      <c r="D5331" s="62" t="s">
        <v>382</v>
      </c>
      <c r="E5331" s="62" t="s">
        <v>382</v>
      </c>
      <c r="F5331" s="63" t="s">
        <v>523</v>
      </c>
      <c r="G5331" s="64" t="n">
        <v>3.17879102103382</v>
      </c>
      <c r="H5331" s="62" t="s">
        <v>138</v>
      </c>
    </row>
    <row r="5332" customFormat="false" ht="15" hidden="false" customHeight="false" outlineLevel="0" collapsed="false">
      <c r="A5332" s="62" t="n">
        <v>1</v>
      </c>
      <c r="B5332" s="62" t="s">
        <v>387</v>
      </c>
      <c r="C5332" s="62" t="s">
        <v>60</v>
      </c>
      <c r="D5332" s="62" t="s">
        <v>382</v>
      </c>
      <c r="E5332" s="62" t="s">
        <v>382</v>
      </c>
      <c r="F5332" s="63" t="s">
        <v>523</v>
      </c>
      <c r="G5332" s="64" t="n">
        <v>3.02969275564404</v>
      </c>
      <c r="H5332" s="62" t="s">
        <v>138</v>
      </c>
    </row>
    <row r="5333" customFormat="false" ht="15" hidden="false" customHeight="false" outlineLevel="0" collapsed="false">
      <c r="A5333" s="62" t="n">
        <v>1</v>
      </c>
      <c r="B5333" s="62" t="s">
        <v>388</v>
      </c>
      <c r="C5333" s="62" t="s">
        <v>60</v>
      </c>
      <c r="D5333" s="62" t="s">
        <v>382</v>
      </c>
      <c r="E5333" s="62" t="s">
        <v>382</v>
      </c>
      <c r="F5333" s="63" t="s">
        <v>523</v>
      </c>
      <c r="G5333" s="64" t="n">
        <v>3.01836561313075</v>
      </c>
      <c r="H5333" s="62" t="s">
        <v>138</v>
      </c>
    </row>
    <row r="5334" customFormat="false" ht="15" hidden="false" customHeight="false" outlineLevel="0" collapsed="false">
      <c r="A5334" s="62" t="n">
        <v>1</v>
      </c>
      <c r="B5334" s="62" t="s">
        <v>381</v>
      </c>
      <c r="C5334" s="62" t="s">
        <v>60</v>
      </c>
      <c r="D5334" s="62" t="s">
        <v>382</v>
      </c>
      <c r="E5334" s="62" t="s">
        <v>382</v>
      </c>
      <c r="F5334" s="63" t="s">
        <v>524</v>
      </c>
      <c r="G5334" s="64" t="n">
        <v>36.08</v>
      </c>
      <c r="H5334" s="62" t="s">
        <v>138</v>
      </c>
    </row>
    <row r="5335" customFormat="false" ht="15" hidden="false" customHeight="false" outlineLevel="0" collapsed="false">
      <c r="A5335" s="62" t="n">
        <v>1</v>
      </c>
      <c r="B5335" s="62" t="s">
        <v>383</v>
      </c>
      <c r="C5335" s="62" t="s">
        <v>60</v>
      </c>
      <c r="D5335" s="62" t="s">
        <v>382</v>
      </c>
      <c r="E5335" s="62" t="s">
        <v>382</v>
      </c>
      <c r="F5335" s="63" t="s">
        <v>524</v>
      </c>
      <c r="G5335" s="64" t="n">
        <v>41</v>
      </c>
      <c r="H5335" s="62" t="s">
        <v>138</v>
      </c>
    </row>
    <row r="5336" customFormat="false" ht="15" hidden="false" customHeight="false" outlineLevel="0" collapsed="false">
      <c r="A5336" s="62" t="n">
        <v>1</v>
      </c>
      <c r="B5336" s="62" t="s">
        <v>384</v>
      </c>
      <c r="C5336" s="62" t="s">
        <v>60</v>
      </c>
      <c r="D5336" s="62" t="s">
        <v>382</v>
      </c>
      <c r="E5336" s="62" t="s">
        <v>382</v>
      </c>
      <c r="F5336" s="63" t="s">
        <v>524</v>
      </c>
      <c r="G5336" s="64" t="n">
        <v>36.08</v>
      </c>
      <c r="H5336" s="62" t="s">
        <v>138</v>
      </c>
    </row>
    <row r="5337" customFormat="false" ht="15" hidden="false" customHeight="false" outlineLevel="0" collapsed="false">
      <c r="A5337" s="62" t="n">
        <v>1</v>
      </c>
      <c r="B5337" s="62" t="s">
        <v>385</v>
      </c>
      <c r="C5337" s="62" t="s">
        <v>60</v>
      </c>
      <c r="D5337" s="62" t="s">
        <v>382</v>
      </c>
      <c r="E5337" s="62" t="s">
        <v>382</v>
      </c>
      <c r="F5337" s="63" t="s">
        <v>524</v>
      </c>
      <c r="G5337" s="64" t="n">
        <v>41</v>
      </c>
      <c r="H5337" s="62" t="s">
        <v>138</v>
      </c>
    </row>
    <row r="5338" customFormat="false" ht="15" hidden="false" customHeight="false" outlineLevel="0" collapsed="false">
      <c r="A5338" s="62" t="n">
        <v>1</v>
      </c>
      <c r="B5338" s="62" t="s">
        <v>386</v>
      </c>
      <c r="C5338" s="62" t="s">
        <v>60</v>
      </c>
      <c r="D5338" s="62" t="s">
        <v>382</v>
      </c>
      <c r="E5338" s="62" t="s">
        <v>382</v>
      </c>
      <c r="F5338" s="63" t="s">
        <v>524</v>
      </c>
      <c r="G5338" s="64" t="n">
        <v>36.08</v>
      </c>
      <c r="H5338" s="62" t="s">
        <v>138</v>
      </c>
    </row>
    <row r="5339" customFormat="false" ht="15" hidden="false" customHeight="false" outlineLevel="0" collapsed="false">
      <c r="A5339" s="62" t="n">
        <v>1</v>
      </c>
      <c r="B5339" s="62" t="s">
        <v>387</v>
      </c>
      <c r="C5339" s="62" t="s">
        <v>60</v>
      </c>
      <c r="D5339" s="62" t="s">
        <v>382</v>
      </c>
      <c r="E5339" s="62" t="s">
        <v>382</v>
      </c>
      <c r="F5339" s="63" t="s">
        <v>524</v>
      </c>
      <c r="G5339" s="64" t="n">
        <v>36.08</v>
      </c>
      <c r="H5339" s="62" t="s">
        <v>138</v>
      </c>
    </row>
    <row r="5340" customFormat="false" ht="15" hidden="false" customHeight="false" outlineLevel="0" collapsed="false">
      <c r="A5340" s="62" t="n">
        <v>1</v>
      </c>
      <c r="B5340" s="62" t="s">
        <v>388</v>
      </c>
      <c r="C5340" s="62" t="s">
        <v>60</v>
      </c>
      <c r="D5340" s="62" t="s">
        <v>382</v>
      </c>
      <c r="E5340" s="62" t="s">
        <v>382</v>
      </c>
      <c r="F5340" s="63" t="s">
        <v>524</v>
      </c>
      <c r="G5340" s="64" t="n">
        <v>36.08</v>
      </c>
      <c r="H5340" s="62" t="s">
        <v>138</v>
      </c>
    </row>
    <row r="5341" customFormat="false" ht="15" hidden="false" customHeight="false" outlineLevel="0" collapsed="false">
      <c r="A5341" s="62" t="n">
        <v>1</v>
      </c>
      <c r="B5341" s="62" t="s">
        <v>381</v>
      </c>
      <c r="C5341" s="62" t="s">
        <v>60</v>
      </c>
      <c r="D5341" s="62" t="s">
        <v>382</v>
      </c>
      <c r="E5341" s="62" t="s">
        <v>382</v>
      </c>
      <c r="F5341" s="63" t="s">
        <v>792</v>
      </c>
      <c r="G5341" s="64" t="n">
        <v>40.48</v>
      </c>
      <c r="H5341" s="62" t="s">
        <v>138</v>
      </c>
    </row>
    <row r="5342" customFormat="false" ht="15" hidden="false" customHeight="false" outlineLevel="0" collapsed="false">
      <c r="A5342" s="62" t="n">
        <v>1</v>
      </c>
      <c r="B5342" s="62" t="s">
        <v>383</v>
      </c>
      <c r="C5342" s="62" t="s">
        <v>60</v>
      </c>
      <c r="D5342" s="62" t="s">
        <v>382</v>
      </c>
      <c r="E5342" s="62" t="s">
        <v>382</v>
      </c>
      <c r="F5342" s="63" t="s">
        <v>792</v>
      </c>
      <c r="G5342" s="64" t="n">
        <v>46</v>
      </c>
      <c r="H5342" s="62" t="s">
        <v>138</v>
      </c>
    </row>
    <row r="5343" customFormat="false" ht="15" hidden="false" customHeight="false" outlineLevel="0" collapsed="false">
      <c r="A5343" s="62" t="n">
        <v>1</v>
      </c>
      <c r="B5343" s="62" t="s">
        <v>384</v>
      </c>
      <c r="C5343" s="62" t="s">
        <v>60</v>
      </c>
      <c r="D5343" s="62" t="s">
        <v>382</v>
      </c>
      <c r="E5343" s="62" t="s">
        <v>382</v>
      </c>
      <c r="F5343" s="63" t="s">
        <v>792</v>
      </c>
      <c r="G5343" s="64" t="n">
        <v>40.48</v>
      </c>
      <c r="H5343" s="62" t="s">
        <v>138</v>
      </c>
    </row>
    <row r="5344" customFormat="false" ht="15" hidden="false" customHeight="false" outlineLevel="0" collapsed="false">
      <c r="A5344" s="62" t="n">
        <v>1</v>
      </c>
      <c r="B5344" s="62" t="s">
        <v>385</v>
      </c>
      <c r="C5344" s="62" t="s">
        <v>60</v>
      </c>
      <c r="D5344" s="62" t="s">
        <v>382</v>
      </c>
      <c r="E5344" s="62" t="s">
        <v>382</v>
      </c>
      <c r="F5344" s="63" t="s">
        <v>792</v>
      </c>
      <c r="G5344" s="64" t="n">
        <v>46</v>
      </c>
      <c r="H5344" s="62" t="s">
        <v>138</v>
      </c>
    </row>
    <row r="5345" customFormat="false" ht="15" hidden="false" customHeight="false" outlineLevel="0" collapsed="false">
      <c r="A5345" s="62" t="n">
        <v>1</v>
      </c>
      <c r="B5345" s="62" t="s">
        <v>386</v>
      </c>
      <c r="C5345" s="62" t="s">
        <v>60</v>
      </c>
      <c r="D5345" s="62" t="s">
        <v>382</v>
      </c>
      <c r="E5345" s="62" t="s">
        <v>382</v>
      </c>
      <c r="F5345" s="63" t="s">
        <v>792</v>
      </c>
      <c r="G5345" s="64" t="n">
        <v>40.48</v>
      </c>
      <c r="H5345" s="62" t="s">
        <v>138</v>
      </c>
    </row>
    <row r="5346" customFormat="false" ht="15" hidden="false" customHeight="false" outlineLevel="0" collapsed="false">
      <c r="A5346" s="62" t="n">
        <v>1</v>
      </c>
      <c r="B5346" s="62" t="s">
        <v>387</v>
      </c>
      <c r="C5346" s="62" t="s">
        <v>60</v>
      </c>
      <c r="D5346" s="62" t="s">
        <v>382</v>
      </c>
      <c r="E5346" s="62" t="s">
        <v>382</v>
      </c>
      <c r="F5346" s="63" t="s">
        <v>792</v>
      </c>
      <c r="G5346" s="64" t="n">
        <v>40.48</v>
      </c>
      <c r="H5346" s="62" t="s">
        <v>138</v>
      </c>
    </row>
    <row r="5347" customFormat="false" ht="15" hidden="false" customHeight="false" outlineLevel="0" collapsed="false">
      <c r="A5347" s="62" t="n">
        <v>1</v>
      </c>
      <c r="B5347" s="62" t="s">
        <v>388</v>
      </c>
      <c r="C5347" s="62" t="s">
        <v>60</v>
      </c>
      <c r="D5347" s="62" t="s">
        <v>382</v>
      </c>
      <c r="E5347" s="62" t="s">
        <v>382</v>
      </c>
      <c r="F5347" s="63" t="s">
        <v>792</v>
      </c>
      <c r="G5347" s="64" t="n">
        <v>40.48</v>
      </c>
      <c r="H5347" s="62" t="s">
        <v>138</v>
      </c>
    </row>
    <row r="5348" customFormat="false" ht="15" hidden="false" customHeight="false" outlineLevel="0" collapsed="false">
      <c r="A5348" s="62" t="n">
        <v>1</v>
      </c>
      <c r="B5348" s="62" t="s">
        <v>381</v>
      </c>
      <c r="C5348" s="62" t="s">
        <v>60</v>
      </c>
      <c r="D5348" s="62" t="s">
        <v>382</v>
      </c>
      <c r="E5348" s="62" t="s">
        <v>382</v>
      </c>
      <c r="F5348" s="63" t="s">
        <v>525</v>
      </c>
      <c r="G5348" s="64" t="n">
        <v>0.0357170260207535</v>
      </c>
      <c r="H5348" s="62" t="s">
        <v>138</v>
      </c>
    </row>
    <row r="5349" customFormat="false" ht="15" hidden="false" customHeight="false" outlineLevel="0" collapsed="false">
      <c r="A5349" s="62" t="n">
        <v>1</v>
      </c>
      <c r="B5349" s="62" t="s">
        <v>383</v>
      </c>
      <c r="C5349" s="62" t="s">
        <v>60</v>
      </c>
      <c r="D5349" s="62" t="s">
        <v>382</v>
      </c>
      <c r="E5349" s="62" t="s">
        <v>382</v>
      </c>
      <c r="F5349" s="63" t="s">
        <v>525</v>
      </c>
      <c r="G5349" s="64" t="n">
        <v>0.0399003730762074</v>
      </c>
      <c r="H5349" s="62" t="s">
        <v>138</v>
      </c>
    </row>
    <row r="5350" customFormat="false" ht="15" hidden="false" customHeight="false" outlineLevel="0" collapsed="false">
      <c r="A5350" s="62" t="n">
        <v>1</v>
      </c>
      <c r="B5350" s="62" t="s">
        <v>384</v>
      </c>
      <c r="C5350" s="62" t="s">
        <v>60</v>
      </c>
      <c r="D5350" s="62" t="s">
        <v>382</v>
      </c>
      <c r="E5350" s="62" t="s">
        <v>382</v>
      </c>
      <c r="F5350" s="63" t="s">
        <v>525</v>
      </c>
      <c r="G5350" s="64" t="n">
        <v>0.0438317969351406</v>
      </c>
      <c r="H5350" s="62" t="s">
        <v>138</v>
      </c>
    </row>
    <row r="5351" customFormat="false" ht="15" hidden="false" customHeight="false" outlineLevel="0" collapsed="false">
      <c r="A5351" s="62" t="n">
        <v>1</v>
      </c>
      <c r="B5351" s="62" t="s">
        <v>385</v>
      </c>
      <c r="C5351" s="62" t="s">
        <v>60</v>
      </c>
      <c r="D5351" s="62" t="s">
        <v>382</v>
      </c>
      <c r="E5351" s="62" t="s">
        <v>382</v>
      </c>
      <c r="F5351" s="63" t="s">
        <v>525</v>
      </c>
      <c r="G5351" s="64" t="n">
        <v>0.036739472392336</v>
      </c>
      <c r="H5351" s="62" t="s">
        <v>138</v>
      </c>
    </row>
    <row r="5352" customFormat="false" ht="15" hidden="false" customHeight="false" outlineLevel="0" collapsed="false">
      <c r="A5352" s="62" t="n">
        <v>1</v>
      </c>
      <c r="B5352" s="62" t="s">
        <v>386</v>
      </c>
      <c r="C5352" s="62" t="s">
        <v>60</v>
      </c>
      <c r="D5352" s="62" t="s">
        <v>382</v>
      </c>
      <c r="E5352" s="62" t="s">
        <v>382</v>
      </c>
      <c r="F5352" s="63" t="s">
        <v>525</v>
      </c>
      <c r="G5352" s="64" t="n">
        <v>0.015</v>
      </c>
      <c r="H5352" s="62" t="s">
        <v>138</v>
      </c>
    </row>
    <row r="5353" customFormat="false" ht="15" hidden="false" customHeight="false" outlineLevel="0" collapsed="false">
      <c r="A5353" s="62" t="n">
        <v>1</v>
      </c>
      <c r="B5353" s="62" t="s">
        <v>387</v>
      </c>
      <c r="C5353" s="62" t="s">
        <v>60</v>
      </c>
      <c r="D5353" s="62" t="s">
        <v>382</v>
      </c>
      <c r="E5353" s="62" t="s">
        <v>382</v>
      </c>
      <c r="F5353" s="63" t="s">
        <v>525</v>
      </c>
      <c r="G5353" s="64" t="n">
        <v>0.0435589515229676</v>
      </c>
      <c r="H5353" s="62" t="s">
        <v>138</v>
      </c>
    </row>
    <row r="5354" customFormat="false" ht="15" hidden="false" customHeight="false" outlineLevel="0" collapsed="false">
      <c r="A5354" s="62" t="n">
        <v>1</v>
      </c>
      <c r="B5354" s="62" t="s">
        <v>388</v>
      </c>
      <c r="C5354" s="62" t="s">
        <v>60</v>
      </c>
      <c r="D5354" s="62" t="s">
        <v>382</v>
      </c>
      <c r="E5354" s="62" t="s">
        <v>382</v>
      </c>
      <c r="F5354" s="63" t="s">
        <v>525</v>
      </c>
      <c r="G5354" s="64" t="n">
        <v>0.015</v>
      </c>
      <c r="H5354" s="62" t="s">
        <v>138</v>
      </c>
    </row>
    <row r="5355" customFormat="false" ht="15" hidden="false" customHeight="false" outlineLevel="0" collapsed="false">
      <c r="A5355" s="62" t="n">
        <v>1</v>
      </c>
      <c r="B5355" s="62" t="s">
        <v>381</v>
      </c>
      <c r="C5355" s="62" t="s">
        <v>60</v>
      </c>
      <c r="D5355" s="62" t="s">
        <v>382</v>
      </c>
      <c r="E5355" s="62" t="s">
        <v>382</v>
      </c>
      <c r="F5355" s="63" t="s">
        <v>526</v>
      </c>
      <c r="G5355" s="64" t="n">
        <v>50570.574483578</v>
      </c>
      <c r="H5355" s="62" t="s">
        <v>138</v>
      </c>
    </row>
    <row r="5356" customFormat="false" ht="15" hidden="false" customHeight="false" outlineLevel="0" collapsed="false">
      <c r="A5356" s="62" t="n">
        <v>1</v>
      </c>
      <c r="B5356" s="62" t="s">
        <v>383</v>
      </c>
      <c r="C5356" s="62" t="s">
        <v>60</v>
      </c>
      <c r="D5356" s="62" t="s">
        <v>382</v>
      </c>
      <c r="E5356" s="62" t="s">
        <v>382</v>
      </c>
      <c r="F5356" s="63" t="s">
        <v>526</v>
      </c>
      <c r="G5356" s="64" t="n">
        <v>49908.4814439607</v>
      </c>
      <c r="H5356" s="62" t="s">
        <v>138</v>
      </c>
    </row>
    <row r="5357" customFormat="false" ht="15" hidden="false" customHeight="false" outlineLevel="0" collapsed="false">
      <c r="A5357" s="62" t="n">
        <v>1</v>
      </c>
      <c r="B5357" s="62" t="s">
        <v>384</v>
      </c>
      <c r="C5357" s="62" t="s">
        <v>60</v>
      </c>
      <c r="D5357" s="62" t="s">
        <v>382</v>
      </c>
      <c r="E5357" s="62" t="s">
        <v>382</v>
      </c>
      <c r="F5357" s="63" t="s">
        <v>526</v>
      </c>
      <c r="G5357" s="64" t="n">
        <v>36412.8224513106</v>
      </c>
      <c r="H5357" s="62" t="s">
        <v>138</v>
      </c>
    </row>
    <row r="5358" customFormat="false" ht="15" hidden="false" customHeight="false" outlineLevel="0" collapsed="false">
      <c r="A5358" s="62" t="n">
        <v>1</v>
      </c>
      <c r="B5358" s="62" t="s">
        <v>385</v>
      </c>
      <c r="C5358" s="62" t="s">
        <v>60</v>
      </c>
      <c r="D5358" s="62" t="s">
        <v>382</v>
      </c>
      <c r="E5358" s="62" t="s">
        <v>382</v>
      </c>
      <c r="F5358" s="63" t="s">
        <v>526</v>
      </c>
      <c r="G5358" s="64" t="n">
        <v>35414.3426436773</v>
      </c>
      <c r="H5358" s="62" t="s">
        <v>138</v>
      </c>
    </row>
    <row r="5359" customFormat="false" ht="15" hidden="false" customHeight="false" outlineLevel="0" collapsed="false">
      <c r="A5359" s="62" t="n">
        <v>1</v>
      </c>
      <c r="B5359" s="62" t="s">
        <v>386</v>
      </c>
      <c r="C5359" s="62" t="s">
        <v>60</v>
      </c>
      <c r="D5359" s="62" t="s">
        <v>382</v>
      </c>
      <c r="E5359" s="62" t="s">
        <v>382</v>
      </c>
      <c r="F5359" s="63" t="s">
        <v>526</v>
      </c>
      <c r="G5359" s="64" t="n">
        <v>28412.17925</v>
      </c>
      <c r="H5359" s="62" t="s">
        <v>138</v>
      </c>
    </row>
    <row r="5360" customFormat="false" ht="15" hidden="false" customHeight="false" outlineLevel="0" collapsed="false">
      <c r="A5360" s="62" t="n">
        <v>1</v>
      </c>
      <c r="B5360" s="62" t="s">
        <v>387</v>
      </c>
      <c r="C5360" s="62" t="s">
        <v>60</v>
      </c>
      <c r="D5360" s="62" t="s">
        <v>382</v>
      </c>
      <c r="E5360" s="62" t="s">
        <v>382</v>
      </c>
      <c r="F5360" s="63" t="s">
        <v>526</v>
      </c>
      <c r="G5360" s="64" t="n">
        <v>37690.1953389429</v>
      </c>
      <c r="H5360" s="62" t="s">
        <v>138</v>
      </c>
    </row>
    <row r="5361" customFormat="false" ht="15" hidden="false" customHeight="false" outlineLevel="0" collapsed="false">
      <c r="A5361" s="62" t="n">
        <v>1</v>
      </c>
      <c r="B5361" s="62" t="s">
        <v>388</v>
      </c>
      <c r="C5361" s="62" t="s">
        <v>60</v>
      </c>
      <c r="D5361" s="62" t="s">
        <v>382</v>
      </c>
      <c r="E5361" s="62" t="s">
        <v>382</v>
      </c>
      <c r="F5361" s="63" t="s">
        <v>526</v>
      </c>
      <c r="G5361" s="64" t="n">
        <v>32676.056</v>
      </c>
      <c r="H5361" s="62" t="s">
        <v>138</v>
      </c>
    </row>
    <row r="5362" customFormat="false" ht="15" hidden="false" customHeight="false" outlineLevel="0" collapsed="false">
      <c r="A5362" s="62" t="n">
        <v>1</v>
      </c>
      <c r="B5362" s="62" t="s">
        <v>381</v>
      </c>
      <c r="C5362" s="62" t="s">
        <v>60</v>
      </c>
      <c r="D5362" s="62" t="s">
        <v>382</v>
      </c>
      <c r="E5362" s="62" t="s">
        <v>382</v>
      </c>
      <c r="F5362" s="63" t="s">
        <v>527</v>
      </c>
      <c r="G5362" s="64" t="n">
        <v>58</v>
      </c>
      <c r="H5362" s="62" t="s">
        <v>138</v>
      </c>
    </row>
    <row r="5363" customFormat="false" ht="15" hidden="false" customHeight="false" outlineLevel="0" collapsed="false">
      <c r="A5363" s="62" t="n">
        <v>1</v>
      </c>
      <c r="B5363" s="62" t="s">
        <v>383</v>
      </c>
      <c r="C5363" s="62" t="s">
        <v>60</v>
      </c>
      <c r="D5363" s="62" t="s">
        <v>382</v>
      </c>
      <c r="E5363" s="62" t="s">
        <v>382</v>
      </c>
      <c r="F5363" s="63" t="s">
        <v>527</v>
      </c>
      <c r="G5363" s="64" t="n">
        <v>58</v>
      </c>
      <c r="H5363" s="62" t="s">
        <v>138</v>
      </c>
    </row>
    <row r="5364" customFormat="false" ht="15" hidden="false" customHeight="false" outlineLevel="0" collapsed="false">
      <c r="A5364" s="62" t="n">
        <v>1</v>
      </c>
      <c r="B5364" s="62" t="s">
        <v>384</v>
      </c>
      <c r="C5364" s="62" t="s">
        <v>60</v>
      </c>
      <c r="D5364" s="62" t="s">
        <v>382</v>
      </c>
      <c r="E5364" s="62" t="s">
        <v>382</v>
      </c>
      <c r="F5364" s="63" t="s">
        <v>527</v>
      </c>
      <c r="G5364" s="64" t="n">
        <v>58</v>
      </c>
      <c r="H5364" s="62" t="s">
        <v>138</v>
      </c>
    </row>
    <row r="5365" customFormat="false" ht="15" hidden="false" customHeight="false" outlineLevel="0" collapsed="false">
      <c r="A5365" s="62" t="n">
        <v>1</v>
      </c>
      <c r="B5365" s="62" t="s">
        <v>385</v>
      </c>
      <c r="C5365" s="62" t="s">
        <v>60</v>
      </c>
      <c r="D5365" s="62" t="s">
        <v>382</v>
      </c>
      <c r="E5365" s="62" t="s">
        <v>382</v>
      </c>
      <c r="F5365" s="63" t="s">
        <v>527</v>
      </c>
      <c r="G5365" s="64" t="n">
        <v>58</v>
      </c>
      <c r="H5365" s="62" t="s">
        <v>138</v>
      </c>
    </row>
    <row r="5366" customFormat="false" ht="15" hidden="false" customHeight="false" outlineLevel="0" collapsed="false">
      <c r="A5366" s="62" t="n">
        <v>1</v>
      </c>
      <c r="B5366" s="62" t="s">
        <v>386</v>
      </c>
      <c r="C5366" s="62" t="s">
        <v>60</v>
      </c>
      <c r="D5366" s="62" t="s">
        <v>382</v>
      </c>
      <c r="E5366" s="62" t="s">
        <v>382</v>
      </c>
      <c r="F5366" s="63" t="s">
        <v>527</v>
      </c>
      <c r="G5366" s="64" t="n">
        <v>52.78</v>
      </c>
      <c r="H5366" s="62" t="s">
        <v>138</v>
      </c>
    </row>
    <row r="5367" customFormat="false" ht="15" hidden="false" customHeight="false" outlineLevel="0" collapsed="false">
      <c r="A5367" s="62" t="n">
        <v>1</v>
      </c>
      <c r="B5367" s="62" t="s">
        <v>387</v>
      </c>
      <c r="C5367" s="62" t="s">
        <v>60</v>
      </c>
      <c r="D5367" s="62" t="s">
        <v>382</v>
      </c>
      <c r="E5367" s="62" t="s">
        <v>382</v>
      </c>
      <c r="F5367" s="63" t="s">
        <v>527</v>
      </c>
      <c r="G5367" s="64" t="n">
        <v>58</v>
      </c>
      <c r="H5367" s="62" t="s">
        <v>138</v>
      </c>
    </row>
    <row r="5368" customFormat="false" ht="15" hidden="false" customHeight="false" outlineLevel="0" collapsed="false">
      <c r="A5368" s="62" t="n">
        <v>1</v>
      </c>
      <c r="B5368" s="62" t="s">
        <v>388</v>
      </c>
      <c r="C5368" s="62" t="s">
        <v>60</v>
      </c>
      <c r="D5368" s="62" t="s">
        <v>382</v>
      </c>
      <c r="E5368" s="62" t="s">
        <v>382</v>
      </c>
      <c r="F5368" s="63" t="s">
        <v>527</v>
      </c>
      <c r="G5368" s="64" t="n">
        <v>58</v>
      </c>
      <c r="H5368" s="62" t="s">
        <v>138</v>
      </c>
    </row>
    <row r="5369" customFormat="false" ht="15" hidden="false" customHeight="false" outlineLevel="0" collapsed="false">
      <c r="A5369" s="62" t="n">
        <v>1</v>
      </c>
      <c r="B5369" s="62" t="s">
        <v>381</v>
      </c>
      <c r="C5369" s="62" t="s">
        <v>60</v>
      </c>
      <c r="D5369" s="62" t="s">
        <v>382</v>
      </c>
      <c r="E5369" s="62" t="s">
        <v>382</v>
      </c>
      <c r="F5369" s="63" t="s">
        <v>793</v>
      </c>
      <c r="G5369" s="64" t="n">
        <v>94</v>
      </c>
      <c r="H5369" s="62" t="s">
        <v>138</v>
      </c>
    </row>
    <row r="5370" customFormat="false" ht="15" hidden="false" customHeight="false" outlineLevel="0" collapsed="false">
      <c r="A5370" s="62" t="n">
        <v>1</v>
      </c>
      <c r="B5370" s="62" t="s">
        <v>383</v>
      </c>
      <c r="C5370" s="62" t="s">
        <v>60</v>
      </c>
      <c r="D5370" s="62" t="s">
        <v>382</v>
      </c>
      <c r="E5370" s="62" t="s">
        <v>382</v>
      </c>
      <c r="F5370" s="63" t="s">
        <v>793</v>
      </c>
      <c r="G5370" s="64" t="n">
        <v>94</v>
      </c>
      <c r="H5370" s="62" t="s">
        <v>138</v>
      </c>
    </row>
    <row r="5371" customFormat="false" ht="15" hidden="false" customHeight="false" outlineLevel="0" collapsed="false">
      <c r="A5371" s="62" t="n">
        <v>1</v>
      </c>
      <c r="B5371" s="62" t="s">
        <v>384</v>
      </c>
      <c r="C5371" s="62" t="s">
        <v>60</v>
      </c>
      <c r="D5371" s="62" t="s">
        <v>382</v>
      </c>
      <c r="E5371" s="62" t="s">
        <v>382</v>
      </c>
      <c r="F5371" s="63" t="s">
        <v>793</v>
      </c>
      <c r="G5371" s="64" t="n">
        <v>94</v>
      </c>
      <c r="H5371" s="62" t="s">
        <v>138</v>
      </c>
    </row>
    <row r="5372" customFormat="false" ht="15" hidden="false" customHeight="false" outlineLevel="0" collapsed="false">
      <c r="A5372" s="62" t="n">
        <v>1</v>
      </c>
      <c r="B5372" s="62" t="s">
        <v>385</v>
      </c>
      <c r="C5372" s="62" t="s">
        <v>60</v>
      </c>
      <c r="D5372" s="62" t="s">
        <v>382</v>
      </c>
      <c r="E5372" s="62" t="s">
        <v>382</v>
      </c>
      <c r="F5372" s="63" t="s">
        <v>793</v>
      </c>
      <c r="G5372" s="64" t="n">
        <v>94</v>
      </c>
      <c r="H5372" s="62" t="s">
        <v>138</v>
      </c>
    </row>
    <row r="5373" customFormat="false" ht="15" hidden="false" customHeight="false" outlineLevel="0" collapsed="false">
      <c r="A5373" s="62" t="n">
        <v>1</v>
      </c>
      <c r="B5373" s="62" t="s">
        <v>386</v>
      </c>
      <c r="C5373" s="62" t="s">
        <v>60</v>
      </c>
      <c r="D5373" s="62" t="s">
        <v>382</v>
      </c>
      <c r="E5373" s="62" t="s">
        <v>382</v>
      </c>
      <c r="F5373" s="63" t="s">
        <v>793</v>
      </c>
      <c r="G5373" s="64" t="n">
        <v>85.54</v>
      </c>
      <c r="H5373" s="62" t="s">
        <v>138</v>
      </c>
    </row>
    <row r="5374" customFormat="false" ht="15" hidden="false" customHeight="false" outlineLevel="0" collapsed="false">
      <c r="A5374" s="62" t="n">
        <v>1</v>
      </c>
      <c r="B5374" s="62" t="s">
        <v>387</v>
      </c>
      <c r="C5374" s="62" t="s">
        <v>60</v>
      </c>
      <c r="D5374" s="62" t="s">
        <v>382</v>
      </c>
      <c r="E5374" s="62" t="s">
        <v>382</v>
      </c>
      <c r="F5374" s="63" t="s">
        <v>793</v>
      </c>
      <c r="G5374" s="64" t="n">
        <v>94</v>
      </c>
      <c r="H5374" s="62" t="s">
        <v>138</v>
      </c>
    </row>
    <row r="5375" customFormat="false" ht="15" hidden="false" customHeight="false" outlineLevel="0" collapsed="false">
      <c r="A5375" s="62" t="n">
        <v>1</v>
      </c>
      <c r="B5375" s="62" t="s">
        <v>388</v>
      </c>
      <c r="C5375" s="62" t="s">
        <v>60</v>
      </c>
      <c r="D5375" s="62" t="s">
        <v>382</v>
      </c>
      <c r="E5375" s="62" t="s">
        <v>382</v>
      </c>
      <c r="F5375" s="63" t="s">
        <v>793</v>
      </c>
      <c r="G5375" s="64" t="n">
        <v>94</v>
      </c>
      <c r="H5375" s="62" t="s">
        <v>138</v>
      </c>
    </row>
    <row r="5376" customFormat="false" ht="15" hidden="false" customHeight="false" outlineLevel="0" collapsed="false">
      <c r="A5376" s="62" t="n">
        <v>1</v>
      </c>
      <c r="B5376" s="62" t="s">
        <v>381</v>
      </c>
      <c r="C5376" s="62" t="s">
        <v>60</v>
      </c>
      <c r="D5376" s="62" t="s">
        <v>382</v>
      </c>
      <c r="E5376" s="62" t="s">
        <v>382</v>
      </c>
      <c r="F5376" s="63" t="s">
        <v>528</v>
      </c>
      <c r="G5376" s="64" t="n">
        <v>96282.1883565485</v>
      </c>
      <c r="H5376" s="62" t="s">
        <v>138</v>
      </c>
    </row>
    <row r="5377" customFormat="false" ht="15" hidden="false" customHeight="false" outlineLevel="0" collapsed="false">
      <c r="A5377" s="62" t="n">
        <v>1</v>
      </c>
      <c r="B5377" s="62" t="s">
        <v>383</v>
      </c>
      <c r="C5377" s="62" t="s">
        <v>60</v>
      </c>
      <c r="D5377" s="62" t="s">
        <v>382</v>
      </c>
      <c r="E5377" s="62" t="s">
        <v>382</v>
      </c>
      <c r="F5377" s="63" t="s">
        <v>528</v>
      </c>
      <c r="G5377" s="64" t="n">
        <v>76731.2</v>
      </c>
      <c r="H5377" s="62" t="s">
        <v>138</v>
      </c>
    </row>
    <row r="5378" customFormat="false" ht="15" hidden="false" customHeight="false" outlineLevel="0" collapsed="false">
      <c r="A5378" s="62" t="n">
        <v>1</v>
      </c>
      <c r="B5378" s="62" t="s">
        <v>384</v>
      </c>
      <c r="C5378" s="62" t="s">
        <v>60</v>
      </c>
      <c r="D5378" s="62" t="s">
        <v>382</v>
      </c>
      <c r="E5378" s="62" t="s">
        <v>382</v>
      </c>
      <c r="F5378" s="63" t="s">
        <v>528</v>
      </c>
      <c r="G5378" s="64" t="n">
        <v>58464</v>
      </c>
      <c r="H5378" s="62" t="s">
        <v>138</v>
      </c>
    </row>
    <row r="5379" customFormat="false" ht="15" hidden="false" customHeight="false" outlineLevel="0" collapsed="false">
      <c r="A5379" s="62" t="n">
        <v>1</v>
      </c>
      <c r="B5379" s="62" t="s">
        <v>385</v>
      </c>
      <c r="C5379" s="62" t="s">
        <v>60</v>
      </c>
      <c r="D5379" s="62" t="s">
        <v>382</v>
      </c>
      <c r="E5379" s="62" t="s">
        <v>382</v>
      </c>
      <c r="F5379" s="63" t="s">
        <v>528</v>
      </c>
      <c r="G5379" s="64" t="n">
        <v>50053.4862111826</v>
      </c>
      <c r="H5379" s="62" t="s">
        <v>138</v>
      </c>
    </row>
    <row r="5380" customFormat="false" ht="15" hidden="false" customHeight="false" outlineLevel="0" collapsed="false">
      <c r="A5380" s="62" t="n">
        <v>1</v>
      </c>
      <c r="B5380" s="62" t="s">
        <v>386</v>
      </c>
      <c r="C5380" s="62" t="s">
        <v>60</v>
      </c>
      <c r="D5380" s="62" t="s">
        <v>382</v>
      </c>
      <c r="E5380" s="62" t="s">
        <v>382</v>
      </c>
      <c r="F5380" s="63" t="s">
        <v>528</v>
      </c>
      <c r="G5380" s="64" t="n">
        <v>41545.777</v>
      </c>
      <c r="H5380" s="62" t="s">
        <v>138</v>
      </c>
    </row>
    <row r="5381" customFormat="false" ht="15" hidden="false" customHeight="false" outlineLevel="0" collapsed="false">
      <c r="A5381" s="62" t="n">
        <v>1</v>
      </c>
      <c r="B5381" s="62" t="s">
        <v>387</v>
      </c>
      <c r="C5381" s="62" t="s">
        <v>60</v>
      </c>
      <c r="D5381" s="62" t="s">
        <v>382</v>
      </c>
      <c r="E5381" s="62" t="s">
        <v>382</v>
      </c>
      <c r="F5381" s="63" t="s">
        <v>528</v>
      </c>
      <c r="G5381" s="64" t="n">
        <v>68837.664</v>
      </c>
      <c r="H5381" s="62" t="s">
        <v>138</v>
      </c>
    </row>
    <row r="5382" customFormat="false" ht="15" hidden="false" customHeight="false" outlineLevel="0" collapsed="false">
      <c r="A5382" s="62" t="n">
        <v>1</v>
      </c>
      <c r="B5382" s="62" t="s">
        <v>388</v>
      </c>
      <c r="C5382" s="62" t="s">
        <v>60</v>
      </c>
      <c r="D5382" s="62" t="s">
        <v>382</v>
      </c>
      <c r="E5382" s="62" t="s">
        <v>382</v>
      </c>
      <c r="F5382" s="63" t="s">
        <v>528</v>
      </c>
      <c r="G5382" s="64" t="n">
        <v>57366.4</v>
      </c>
      <c r="H5382" s="62" t="s">
        <v>138</v>
      </c>
    </row>
    <row r="5383" customFormat="false" ht="15" hidden="false" customHeight="false" outlineLevel="0" collapsed="false">
      <c r="A5383" s="62" t="n">
        <v>1</v>
      </c>
      <c r="B5383" s="62" t="s">
        <v>381</v>
      </c>
      <c r="C5383" s="62" t="s">
        <v>60</v>
      </c>
      <c r="D5383" s="62" t="s">
        <v>382</v>
      </c>
      <c r="E5383" s="62" t="s">
        <v>382</v>
      </c>
      <c r="F5383" s="63" t="s">
        <v>529</v>
      </c>
      <c r="G5383" s="64" t="n">
        <v>7.5</v>
      </c>
      <c r="H5383" s="62" t="s">
        <v>138</v>
      </c>
    </row>
    <row r="5384" customFormat="false" ht="15" hidden="false" customHeight="false" outlineLevel="0" collapsed="false">
      <c r="A5384" s="62" t="n">
        <v>1</v>
      </c>
      <c r="B5384" s="62" t="s">
        <v>383</v>
      </c>
      <c r="C5384" s="62" t="s">
        <v>60</v>
      </c>
      <c r="D5384" s="62" t="s">
        <v>382</v>
      </c>
      <c r="E5384" s="62" t="s">
        <v>382</v>
      </c>
      <c r="F5384" s="63" t="s">
        <v>529</v>
      </c>
      <c r="G5384" s="64" t="n">
        <v>6.75</v>
      </c>
      <c r="H5384" s="62" t="s">
        <v>138</v>
      </c>
    </row>
    <row r="5385" customFormat="false" ht="15" hidden="false" customHeight="false" outlineLevel="0" collapsed="false">
      <c r="A5385" s="62" t="n">
        <v>1</v>
      </c>
      <c r="B5385" s="62" t="s">
        <v>384</v>
      </c>
      <c r="C5385" s="62" t="s">
        <v>60</v>
      </c>
      <c r="D5385" s="62" t="s">
        <v>382</v>
      </c>
      <c r="E5385" s="62" t="s">
        <v>382</v>
      </c>
      <c r="F5385" s="63" t="s">
        <v>529</v>
      </c>
      <c r="G5385" s="64" t="n">
        <v>7.5</v>
      </c>
      <c r="H5385" s="62" t="s">
        <v>138</v>
      </c>
    </row>
    <row r="5386" customFormat="false" ht="15" hidden="false" customHeight="false" outlineLevel="0" collapsed="false">
      <c r="A5386" s="62" t="n">
        <v>1</v>
      </c>
      <c r="B5386" s="62" t="s">
        <v>385</v>
      </c>
      <c r="C5386" s="62" t="s">
        <v>60</v>
      </c>
      <c r="D5386" s="62" t="s">
        <v>382</v>
      </c>
      <c r="E5386" s="62" t="s">
        <v>382</v>
      </c>
      <c r="F5386" s="63" t="s">
        <v>529</v>
      </c>
      <c r="G5386" s="64" t="n">
        <v>6.75</v>
      </c>
      <c r="H5386" s="62" t="s">
        <v>138</v>
      </c>
    </row>
    <row r="5387" customFormat="false" ht="15" hidden="false" customHeight="false" outlineLevel="0" collapsed="false">
      <c r="A5387" s="62" t="n">
        <v>1</v>
      </c>
      <c r="B5387" s="62" t="s">
        <v>386</v>
      </c>
      <c r="C5387" s="62" t="s">
        <v>60</v>
      </c>
      <c r="D5387" s="62" t="s">
        <v>382</v>
      </c>
      <c r="E5387" s="62" t="s">
        <v>382</v>
      </c>
      <c r="F5387" s="63" t="s">
        <v>529</v>
      </c>
      <c r="G5387" s="64" t="n">
        <v>6.75</v>
      </c>
      <c r="H5387" s="62" t="s">
        <v>138</v>
      </c>
    </row>
    <row r="5388" customFormat="false" ht="15" hidden="false" customHeight="false" outlineLevel="0" collapsed="false">
      <c r="A5388" s="62" t="n">
        <v>1</v>
      </c>
      <c r="B5388" s="62" t="s">
        <v>387</v>
      </c>
      <c r="C5388" s="62" t="s">
        <v>60</v>
      </c>
      <c r="D5388" s="62" t="s">
        <v>382</v>
      </c>
      <c r="E5388" s="62" t="s">
        <v>382</v>
      </c>
      <c r="F5388" s="63" t="s">
        <v>529</v>
      </c>
      <c r="G5388" s="64" t="n">
        <v>7.5</v>
      </c>
      <c r="H5388" s="62" t="s">
        <v>138</v>
      </c>
    </row>
    <row r="5389" customFormat="false" ht="15" hidden="false" customHeight="false" outlineLevel="0" collapsed="false">
      <c r="A5389" s="62" t="n">
        <v>1</v>
      </c>
      <c r="B5389" s="62" t="s">
        <v>388</v>
      </c>
      <c r="C5389" s="62" t="s">
        <v>60</v>
      </c>
      <c r="D5389" s="62" t="s">
        <v>382</v>
      </c>
      <c r="E5389" s="62" t="s">
        <v>382</v>
      </c>
      <c r="F5389" s="63" t="s">
        <v>529</v>
      </c>
      <c r="G5389" s="64" t="n">
        <v>6.75</v>
      </c>
      <c r="H5389" s="62" t="s">
        <v>138</v>
      </c>
    </row>
    <row r="5390" customFormat="false" ht="15" hidden="false" customHeight="false" outlineLevel="0" collapsed="false">
      <c r="A5390" s="62" t="n">
        <v>1</v>
      </c>
      <c r="B5390" s="62" t="s">
        <v>381</v>
      </c>
      <c r="C5390" s="62" t="s">
        <v>60</v>
      </c>
      <c r="D5390" s="62" t="s">
        <v>382</v>
      </c>
      <c r="E5390" s="62" t="s">
        <v>382</v>
      </c>
      <c r="F5390" s="63" t="s">
        <v>794</v>
      </c>
      <c r="G5390" s="64" t="n">
        <v>9.8</v>
      </c>
      <c r="H5390" s="62" t="s">
        <v>138</v>
      </c>
    </row>
    <row r="5391" customFormat="false" ht="15" hidden="false" customHeight="false" outlineLevel="0" collapsed="false">
      <c r="A5391" s="62" t="n">
        <v>1</v>
      </c>
      <c r="B5391" s="62" t="s">
        <v>383</v>
      </c>
      <c r="C5391" s="62" t="s">
        <v>60</v>
      </c>
      <c r="D5391" s="62" t="s">
        <v>382</v>
      </c>
      <c r="E5391" s="62" t="s">
        <v>382</v>
      </c>
      <c r="F5391" s="63" t="s">
        <v>794</v>
      </c>
      <c r="G5391" s="64" t="n">
        <v>8.82</v>
      </c>
      <c r="H5391" s="62" t="s">
        <v>138</v>
      </c>
    </row>
    <row r="5392" customFormat="false" ht="15" hidden="false" customHeight="false" outlineLevel="0" collapsed="false">
      <c r="A5392" s="62" t="n">
        <v>1</v>
      </c>
      <c r="B5392" s="62" t="s">
        <v>384</v>
      </c>
      <c r="C5392" s="62" t="s">
        <v>60</v>
      </c>
      <c r="D5392" s="62" t="s">
        <v>382</v>
      </c>
      <c r="E5392" s="62" t="s">
        <v>382</v>
      </c>
      <c r="F5392" s="63" t="s">
        <v>794</v>
      </c>
      <c r="G5392" s="64" t="n">
        <v>9.8</v>
      </c>
      <c r="H5392" s="62" t="s">
        <v>138</v>
      </c>
    </row>
    <row r="5393" customFormat="false" ht="15" hidden="false" customHeight="false" outlineLevel="0" collapsed="false">
      <c r="A5393" s="62" t="n">
        <v>1</v>
      </c>
      <c r="B5393" s="62" t="s">
        <v>385</v>
      </c>
      <c r="C5393" s="62" t="s">
        <v>60</v>
      </c>
      <c r="D5393" s="62" t="s">
        <v>382</v>
      </c>
      <c r="E5393" s="62" t="s">
        <v>382</v>
      </c>
      <c r="F5393" s="63" t="s">
        <v>794</v>
      </c>
      <c r="G5393" s="64" t="n">
        <v>8.82</v>
      </c>
      <c r="H5393" s="62" t="s">
        <v>138</v>
      </c>
    </row>
    <row r="5394" customFormat="false" ht="15" hidden="false" customHeight="false" outlineLevel="0" collapsed="false">
      <c r="A5394" s="62" t="n">
        <v>1</v>
      </c>
      <c r="B5394" s="62" t="s">
        <v>386</v>
      </c>
      <c r="C5394" s="62" t="s">
        <v>60</v>
      </c>
      <c r="D5394" s="62" t="s">
        <v>382</v>
      </c>
      <c r="E5394" s="62" t="s">
        <v>382</v>
      </c>
      <c r="F5394" s="63" t="s">
        <v>794</v>
      </c>
      <c r="G5394" s="64" t="n">
        <v>8.82</v>
      </c>
      <c r="H5394" s="62" t="s">
        <v>138</v>
      </c>
    </row>
    <row r="5395" customFormat="false" ht="15" hidden="false" customHeight="false" outlineLevel="0" collapsed="false">
      <c r="A5395" s="62" t="n">
        <v>1</v>
      </c>
      <c r="B5395" s="62" t="s">
        <v>387</v>
      </c>
      <c r="C5395" s="62" t="s">
        <v>60</v>
      </c>
      <c r="D5395" s="62" t="s">
        <v>382</v>
      </c>
      <c r="E5395" s="62" t="s">
        <v>382</v>
      </c>
      <c r="F5395" s="63" t="s">
        <v>794</v>
      </c>
      <c r="G5395" s="64" t="n">
        <v>9.8</v>
      </c>
      <c r="H5395" s="62" t="s">
        <v>138</v>
      </c>
    </row>
    <row r="5396" customFormat="false" ht="15" hidden="false" customHeight="false" outlineLevel="0" collapsed="false">
      <c r="A5396" s="62" t="n">
        <v>1</v>
      </c>
      <c r="B5396" s="62" t="s">
        <v>388</v>
      </c>
      <c r="C5396" s="62" t="s">
        <v>60</v>
      </c>
      <c r="D5396" s="62" t="s">
        <v>382</v>
      </c>
      <c r="E5396" s="62" t="s">
        <v>382</v>
      </c>
      <c r="F5396" s="63" t="s">
        <v>794</v>
      </c>
      <c r="G5396" s="64" t="n">
        <v>8.82</v>
      </c>
      <c r="H5396" s="62" t="s">
        <v>138</v>
      </c>
    </row>
    <row r="5397" customFormat="false" ht="15" hidden="false" customHeight="false" outlineLevel="0" collapsed="false">
      <c r="A5397" s="62" t="n">
        <v>1</v>
      </c>
      <c r="B5397" s="62" t="s">
        <v>381</v>
      </c>
      <c r="C5397" s="62" t="s">
        <v>60</v>
      </c>
      <c r="D5397" s="62" t="s">
        <v>382</v>
      </c>
      <c r="E5397" s="62" t="s">
        <v>382</v>
      </c>
      <c r="F5397" s="63" t="s">
        <v>530</v>
      </c>
      <c r="G5397" s="64" t="n">
        <v>11223.7345307891</v>
      </c>
      <c r="H5397" s="62" t="s">
        <v>138</v>
      </c>
    </row>
    <row r="5398" customFormat="false" ht="15" hidden="false" customHeight="false" outlineLevel="0" collapsed="false">
      <c r="A5398" s="62" t="n">
        <v>1</v>
      </c>
      <c r="B5398" s="62" t="s">
        <v>383</v>
      </c>
      <c r="C5398" s="62" t="s">
        <v>60</v>
      </c>
      <c r="D5398" s="62" t="s">
        <v>382</v>
      </c>
      <c r="E5398" s="62" t="s">
        <v>382</v>
      </c>
      <c r="F5398" s="63" t="s">
        <v>530</v>
      </c>
      <c r="G5398" s="64" t="n">
        <v>8475.894</v>
      </c>
      <c r="H5398" s="62" t="s">
        <v>138</v>
      </c>
    </row>
    <row r="5399" customFormat="false" ht="15" hidden="false" customHeight="false" outlineLevel="0" collapsed="false">
      <c r="A5399" s="62" t="n">
        <v>1</v>
      </c>
      <c r="B5399" s="62" t="s">
        <v>384</v>
      </c>
      <c r="C5399" s="62" t="s">
        <v>60</v>
      </c>
      <c r="D5399" s="62" t="s">
        <v>382</v>
      </c>
      <c r="E5399" s="62" t="s">
        <v>382</v>
      </c>
      <c r="F5399" s="63" t="s">
        <v>530</v>
      </c>
      <c r="G5399" s="64" t="n">
        <v>7560</v>
      </c>
      <c r="H5399" s="62" t="s">
        <v>138</v>
      </c>
    </row>
    <row r="5400" customFormat="false" ht="15" hidden="false" customHeight="false" outlineLevel="0" collapsed="false">
      <c r="A5400" s="62" t="n">
        <v>1</v>
      </c>
      <c r="B5400" s="62" t="s">
        <v>385</v>
      </c>
      <c r="C5400" s="62" t="s">
        <v>60</v>
      </c>
      <c r="D5400" s="62" t="s">
        <v>382</v>
      </c>
      <c r="E5400" s="62" t="s">
        <v>382</v>
      </c>
      <c r="F5400" s="63" t="s">
        <v>530</v>
      </c>
      <c r="G5400" s="64" t="n">
        <v>5825.19020561176</v>
      </c>
      <c r="H5400" s="62" t="s">
        <v>138</v>
      </c>
    </row>
    <row r="5401" customFormat="false" ht="15" hidden="false" customHeight="false" outlineLevel="0" collapsed="false">
      <c r="A5401" s="62" t="n">
        <v>1</v>
      </c>
      <c r="B5401" s="62" t="s">
        <v>386</v>
      </c>
      <c r="C5401" s="62" t="s">
        <v>60</v>
      </c>
      <c r="D5401" s="62" t="s">
        <v>382</v>
      </c>
      <c r="E5401" s="62" t="s">
        <v>382</v>
      </c>
      <c r="F5401" s="63" t="s">
        <v>530</v>
      </c>
      <c r="G5401" s="64" t="n">
        <v>5313.2625</v>
      </c>
      <c r="H5401" s="62" t="s">
        <v>138</v>
      </c>
    </row>
    <row r="5402" customFormat="false" ht="15" hidden="false" customHeight="false" outlineLevel="0" collapsed="false">
      <c r="A5402" s="62" t="n">
        <v>1</v>
      </c>
      <c r="B5402" s="62" t="s">
        <v>387</v>
      </c>
      <c r="C5402" s="62" t="s">
        <v>60</v>
      </c>
      <c r="D5402" s="62" t="s">
        <v>382</v>
      </c>
      <c r="E5402" s="62" t="s">
        <v>382</v>
      </c>
      <c r="F5402" s="63" t="s">
        <v>530</v>
      </c>
      <c r="G5402" s="64" t="n">
        <v>8224.0368</v>
      </c>
      <c r="H5402" s="62" t="s">
        <v>138</v>
      </c>
    </row>
    <row r="5403" customFormat="false" ht="15" hidden="false" customHeight="false" outlineLevel="0" collapsed="false">
      <c r="A5403" s="62" t="n">
        <v>1</v>
      </c>
      <c r="B5403" s="62" t="s">
        <v>388</v>
      </c>
      <c r="C5403" s="62" t="s">
        <v>60</v>
      </c>
      <c r="D5403" s="62" t="s">
        <v>382</v>
      </c>
      <c r="E5403" s="62" t="s">
        <v>382</v>
      </c>
      <c r="F5403" s="63" t="s">
        <v>530</v>
      </c>
      <c r="G5403" s="64" t="n">
        <v>6320.16</v>
      </c>
      <c r="H5403" s="62" t="s">
        <v>138</v>
      </c>
    </row>
    <row r="5404" customFormat="false" ht="15" hidden="false" customHeight="false" outlineLevel="0" collapsed="false">
      <c r="A5404" s="62" t="n">
        <v>1</v>
      </c>
      <c r="B5404" s="62" t="s">
        <v>381</v>
      </c>
      <c r="C5404" s="62" t="s">
        <v>60</v>
      </c>
      <c r="D5404" s="62" t="s">
        <v>382</v>
      </c>
      <c r="E5404" s="62" t="s">
        <v>382</v>
      </c>
      <c r="F5404" s="63" t="s">
        <v>531</v>
      </c>
      <c r="G5404" s="64" t="n">
        <v>43.12</v>
      </c>
      <c r="H5404" s="62" t="s">
        <v>138</v>
      </c>
    </row>
    <row r="5405" customFormat="false" ht="15" hidden="false" customHeight="false" outlineLevel="0" collapsed="false">
      <c r="A5405" s="62" t="n">
        <v>1</v>
      </c>
      <c r="B5405" s="62" t="s">
        <v>383</v>
      </c>
      <c r="C5405" s="62" t="s">
        <v>60</v>
      </c>
      <c r="D5405" s="62" t="s">
        <v>382</v>
      </c>
      <c r="E5405" s="62" t="s">
        <v>382</v>
      </c>
      <c r="F5405" s="63" t="s">
        <v>531</v>
      </c>
      <c r="G5405" s="64" t="n">
        <v>49</v>
      </c>
      <c r="H5405" s="62" t="s">
        <v>138</v>
      </c>
    </row>
    <row r="5406" customFormat="false" ht="15" hidden="false" customHeight="false" outlineLevel="0" collapsed="false">
      <c r="A5406" s="62" t="n">
        <v>1</v>
      </c>
      <c r="B5406" s="62" t="s">
        <v>384</v>
      </c>
      <c r="C5406" s="62" t="s">
        <v>60</v>
      </c>
      <c r="D5406" s="62" t="s">
        <v>382</v>
      </c>
      <c r="E5406" s="62" t="s">
        <v>382</v>
      </c>
      <c r="F5406" s="63" t="s">
        <v>531</v>
      </c>
      <c r="G5406" s="64" t="n">
        <v>43.12</v>
      </c>
      <c r="H5406" s="62" t="s">
        <v>138</v>
      </c>
    </row>
    <row r="5407" customFormat="false" ht="15" hidden="false" customHeight="false" outlineLevel="0" collapsed="false">
      <c r="A5407" s="62" t="n">
        <v>1</v>
      </c>
      <c r="B5407" s="62" t="s">
        <v>385</v>
      </c>
      <c r="C5407" s="62" t="s">
        <v>60</v>
      </c>
      <c r="D5407" s="62" t="s">
        <v>382</v>
      </c>
      <c r="E5407" s="62" t="s">
        <v>382</v>
      </c>
      <c r="F5407" s="63" t="s">
        <v>531</v>
      </c>
      <c r="G5407" s="64" t="n">
        <v>49</v>
      </c>
      <c r="H5407" s="62" t="s">
        <v>138</v>
      </c>
    </row>
    <row r="5408" customFormat="false" ht="15" hidden="false" customHeight="false" outlineLevel="0" collapsed="false">
      <c r="A5408" s="62" t="n">
        <v>1</v>
      </c>
      <c r="B5408" s="62" t="s">
        <v>386</v>
      </c>
      <c r="C5408" s="62" t="s">
        <v>60</v>
      </c>
      <c r="D5408" s="62" t="s">
        <v>382</v>
      </c>
      <c r="E5408" s="62" t="s">
        <v>382</v>
      </c>
      <c r="F5408" s="63" t="s">
        <v>531</v>
      </c>
      <c r="G5408" s="64" t="n">
        <v>43.12</v>
      </c>
      <c r="H5408" s="62" t="s">
        <v>138</v>
      </c>
    </row>
    <row r="5409" customFormat="false" ht="15" hidden="false" customHeight="false" outlineLevel="0" collapsed="false">
      <c r="A5409" s="62" t="n">
        <v>1</v>
      </c>
      <c r="B5409" s="62" t="s">
        <v>387</v>
      </c>
      <c r="C5409" s="62" t="s">
        <v>60</v>
      </c>
      <c r="D5409" s="62" t="s">
        <v>382</v>
      </c>
      <c r="E5409" s="62" t="s">
        <v>382</v>
      </c>
      <c r="F5409" s="63" t="s">
        <v>531</v>
      </c>
      <c r="G5409" s="64" t="n">
        <v>43.12</v>
      </c>
      <c r="H5409" s="62" t="s">
        <v>138</v>
      </c>
    </row>
    <row r="5410" customFormat="false" ht="15" hidden="false" customHeight="false" outlineLevel="0" collapsed="false">
      <c r="A5410" s="62" t="n">
        <v>1</v>
      </c>
      <c r="B5410" s="62" t="s">
        <v>388</v>
      </c>
      <c r="C5410" s="62" t="s">
        <v>60</v>
      </c>
      <c r="D5410" s="62" t="s">
        <v>382</v>
      </c>
      <c r="E5410" s="62" t="s">
        <v>382</v>
      </c>
      <c r="F5410" s="63" t="s">
        <v>531</v>
      </c>
      <c r="G5410" s="64" t="n">
        <v>43.12</v>
      </c>
      <c r="H5410" s="62" t="s">
        <v>138</v>
      </c>
    </row>
    <row r="5411" customFormat="false" ht="15" hidden="false" customHeight="false" outlineLevel="0" collapsed="false">
      <c r="A5411" s="62" t="n">
        <v>1</v>
      </c>
      <c r="B5411" s="62" t="s">
        <v>381</v>
      </c>
      <c r="C5411" s="62" t="s">
        <v>60</v>
      </c>
      <c r="D5411" s="62" t="s">
        <v>382</v>
      </c>
      <c r="E5411" s="62" t="s">
        <v>382</v>
      </c>
      <c r="F5411" s="63" t="s">
        <v>795</v>
      </c>
      <c r="G5411" s="64" t="n">
        <v>48.4</v>
      </c>
      <c r="H5411" s="62" t="s">
        <v>138</v>
      </c>
    </row>
    <row r="5412" customFormat="false" ht="15" hidden="false" customHeight="false" outlineLevel="0" collapsed="false">
      <c r="A5412" s="62" t="n">
        <v>1</v>
      </c>
      <c r="B5412" s="62" t="s">
        <v>383</v>
      </c>
      <c r="C5412" s="62" t="s">
        <v>60</v>
      </c>
      <c r="D5412" s="62" t="s">
        <v>382</v>
      </c>
      <c r="E5412" s="62" t="s">
        <v>382</v>
      </c>
      <c r="F5412" s="63" t="s">
        <v>795</v>
      </c>
      <c r="G5412" s="64" t="n">
        <v>55</v>
      </c>
      <c r="H5412" s="62" t="s">
        <v>138</v>
      </c>
    </row>
    <row r="5413" customFormat="false" ht="15" hidden="false" customHeight="false" outlineLevel="0" collapsed="false">
      <c r="A5413" s="62" t="n">
        <v>1</v>
      </c>
      <c r="B5413" s="62" t="s">
        <v>384</v>
      </c>
      <c r="C5413" s="62" t="s">
        <v>60</v>
      </c>
      <c r="D5413" s="62" t="s">
        <v>382</v>
      </c>
      <c r="E5413" s="62" t="s">
        <v>382</v>
      </c>
      <c r="F5413" s="63" t="s">
        <v>795</v>
      </c>
      <c r="G5413" s="64" t="n">
        <v>48.4</v>
      </c>
      <c r="H5413" s="62" t="s">
        <v>138</v>
      </c>
    </row>
    <row r="5414" customFormat="false" ht="15" hidden="false" customHeight="false" outlineLevel="0" collapsed="false">
      <c r="A5414" s="62" t="n">
        <v>1</v>
      </c>
      <c r="B5414" s="62" t="s">
        <v>385</v>
      </c>
      <c r="C5414" s="62" t="s">
        <v>60</v>
      </c>
      <c r="D5414" s="62" t="s">
        <v>382</v>
      </c>
      <c r="E5414" s="62" t="s">
        <v>382</v>
      </c>
      <c r="F5414" s="63" t="s">
        <v>795</v>
      </c>
      <c r="G5414" s="64" t="n">
        <v>55</v>
      </c>
      <c r="H5414" s="62" t="s">
        <v>138</v>
      </c>
    </row>
    <row r="5415" customFormat="false" ht="15" hidden="false" customHeight="false" outlineLevel="0" collapsed="false">
      <c r="A5415" s="62" t="n">
        <v>1</v>
      </c>
      <c r="B5415" s="62" t="s">
        <v>386</v>
      </c>
      <c r="C5415" s="62" t="s">
        <v>60</v>
      </c>
      <c r="D5415" s="62" t="s">
        <v>382</v>
      </c>
      <c r="E5415" s="62" t="s">
        <v>382</v>
      </c>
      <c r="F5415" s="63" t="s">
        <v>795</v>
      </c>
      <c r="G5415" s="64" t="n">
        <v>48.4</v>
      </c>
      <c r="H5415" s="62" t="s">
        <v>138</v>
      </c>
    </row>
    <row r="5416" customFormat="false" ht="15" hidden="false" customHeight="false" outlineLevel="0" collapsed="false">
      <c r="A5416" s="62" t="n">
        <v>1</v>
      </c>
      <c r="B5416" s="62" t="s">
        <v>387</v>
      </c>
      <c r="C5416" s="62" t="s">
        <v>60</v>
      </c>
      <c r="D5416" s="62" t="s">
        <v>382</v>
      </c>
      <c r="E5416" s="62" t="s">
        <v>382</v>
      </c>
      <c r="F5416" s="63" t="s">
        <v>795</v>
      </c>
      <c r="G5416" s="64" t="n">
        <v>48.4</v>
      </c>
      <c r="H5416" s="62" t="s">
        <v>138</v>
      </c>
    </row>
    <row r="5417" customFormat="false" ht="15" hidden="false" customHeight="false" outlineLevel="0" collapsed="false">
      <c r="A5417" s="62" t="n">
        <v>1</v>
      </c>
      <c r="B5417" s="62" t="s">
        <v>388</v>
      </c>
      <c r="C5417" s="62" t="s">
        <v>60</v>
      </c>
      <c r="D5417" s="62" t="s">
        <v>382</v>
      </c>
      <c r="E5417" s="62" t="s">
        <v>382</v>
      </c>
      <c r="F5417" s="63" t="s">
        <v>795</v>
      </c>
      <c r="G5417" s="64" t="n">
        <v>48.4</v>
      </c>
      <c r="H5417" s="62" t="s">
        <v>138</v>
      </c>
    </row>
    <row r="5418" customFormat="false" ht="15" hidden="false" customHeight="false" outlineLevel="0" collapsed="false">
      <c r="A5418" s="62" t="n">
        <v>1</v>
      </c>
      <c r="B5418" s="62" t="s">
        <v>381</v>
      </c>
      <c r="C5418" s="62" t="s">
        <v>60</v>
      </c>
      <c r="D5418" s="62" t="s">
        <v>382</v>
      </c>
      <c r="E5418" s="62" t="s">
        <v>382</v>
      </c>
      <c r="F5418" s="63" t="s">
        <v>532</v>
      </c>
      <c r="G5418" s="64" t="n">
        <v>33441.9910118398</v>
      </c>
      <c r="H5418" s="62" t="s">
        <v>138</v>
      </c>
    </row>
    <row r="5419" customFormat="false" ht="15" hidden="false" customHeight="false" outlineLevel="0" collapsed="false">
      <c r="A5419" s="62" t="n">
        <v>1</v>
      </c>
      <c r="B5419" s="62" t="s">
        <v>383</v>
      </c>
      <c r="C5419" s="62" t="s">
        <v>60</v>
      </c>
      <c r="D5419" s="62" t="s">
        <v>382</v>
      </c>
      <c r="E5419" s="62" t="s">
        <v>382</v>
      </c>
      <c r="F5419" s="63" t="s">
        <v>532</v>
      </c>
      <c r="G5419" s="64" t="n">
        <v>34243.7731437714</v>
      </c>
      <c r="H5419" s="62" t="s">
        <v>138</v>
      </c>
    </row>
    <row r="5420" customFormat="false" ht="15" hidden="false" customHeight="false" outlineLevel="0" collapsed="false">
      <c r="A5420" s="62" t="n">
        <v>1</v>
      </c>
      <c r="B5420" s="62" t="s">
        <v>384</v>
      </c>
      <c r="C5420" s="62" t="s">
        <v>60</v>
      </c>
      <c r="D5420" s="62" t="s">
        <v>382</v>
      </c>
      <c r="E5420" s="62" t="s">
        <v>382</v>
      </c>
      <c r="F5420" s="63" t="s">
        <v>532</v>
      </c>
      <c r="G5420" s="64" t="n">
        <v>46417.3378185833</v>
      </c>
      <c r="H5420" s="62" t="s">
        <v>138</v>
      </c>
    </row>
    <row r="5421" customFormat="false" ht="15" hidden="false" customHeight="false" outlineLevel="0" collapsed="false">
      <c r="A5421" s="62" t="n">
        <v>1</v>
      </c>
      <c r="B5421" s="62" t="s">
        <v>385</v>
      </c>
      <c r="C5421" s="62" t="s">
        <v>60</v>
      </c>
      <c r="D5421" s="62" t="s">
        <v>382</v>
      </c>
      <c r="E5421" s="62" t="s">
        <v>382</v>
      </c>
      <c r="F5421" s="63" t="s">
        <v>532</v>
      </c>
      <c r="G5421" s="64" t="n">
        <v>17617.1671071603</v>
      </c>
      <c r="H5421" s="62" t="s">
        <v>138</v>
      </c>
    </row>
    <row r="5422" customFormat="false" ht="15" hidden="false" customHeight="false" outlineLevel="0" collapsed="false">
      <c r="A5422" s="62" t="n">
        <v>1</v>
      </c>
      <c r="B5422" s="62" t="s">
        <v>386</v>
      </c>
      <c r="C5422" s="62" t="s">
        <v>60</v>
      </c>
      <c r="D5422" s="62" t="s">
        <v>382</v>
      </c>
      <c r="E5422" s="62" t="s">
        <v>382</v>
      </c>
      <c r="F5422" s="63" t="s">
        <v>532</v>
      </c>
      <c r="G5422" s="64" t="n">
        <v>35908.8263193166</v>
      </c>
      <c r="H5422" s="62" t="s">
        <v>138</v>
      </c>
    </row>
    <row r="5423" customFormat="false" ht="15" hidden="false" customHeight="false" outlineLevel="0" collapsed="false">
      <c r="A5423" s="62" t="n">
        <v>1</v>
      </c>
      <c r="B5423" s="62" t="s">
        <v>387</v>
      </c>
      <c r="C5423" s="62" t="s">
        <v>60</v>
      </c>
      <c r="D5423" s="62" t="s">
        <v>382</v>
      </c>
      <c r="E5423" s="62" t="s">
        <v>382</v>
      </c>
      <c r="F5423" s="63" t="s">
        <v>532</v>
      </c>
      <c r="G5423" s="64" t="n">
        <v>23991.119357025</v>
      </c>
      <c r="H5423" s="62" t="s">
        <v>138</v>
      </c>
    </row>
    <row r="5424" customFormat="false" ht="15" hidden="false" customHeight="false" outlineLevel="0" collapsed="false">
      <c r="A5424" s="62" t="n">
        <v>1</v>
      </c>
      <c r="B5424" s="62" t="s">
        <v>388</v>
      </c>
      <c r="C5424" s="62" t="s">
        <v>60</v>
      </c>
      <c r="D5424" s="62" t="s">
        <v>382</v>
      </c>
      <c r="E5424" s="62" t="s">
        <v>382</v>
      </c>
      <c r="F5424" s="63" t="s">
        <v>532</v>
      </c>
      <c r="G5424" s="64" t="n">
        <v>13385.52</v>
      </c>
      <c r="H5424" s="62" t="s">
        <v>138</v>
      </c>
    </row>
    <row r="5425" customFormat="false" ht="15" hidden="false" customHeight="false" outlineLevel="0" collapsed="false">
      <c r="A5425" s="62" t="n">
        <v>1</v>
      </c>
      <c r="B5425" s="62" t="s">
        <v>381</v>
      </c>
      <c r="C5425" s="62" t="s">
        <v>60</v>
      </c>
      <c r="D5425" s="62" t="s">
        <v>382</v>
      </c>
      <c r="E5425" s="62" t="s">
        <v>382</v>
      </c>
      <c r="F5425" s="63" t="s">
        <v>533</v>
      </c>
      <c r="G5425" s="64" t="n">
        <v>70</v>
      </c>
      <c r="H5425" s="62" t="s">
        <v>138</v>
      </c>
    </row>
    <row r="5426" customFormat="false" ht="15" hidden="false" customHeight="false" outlineLevel="0" collapsed="false">
      <c r="A5426" s="62" t="n">
        <v>1</v>
      </c>
      <c r="B5426" s="62" t="s">
        <v>383</v>
      </c>
      <c r="C5426" s="62" t="s">
        <v>60</v>
      </c>
      <c r="D5426" s="62" t="s">
        <v>382</v>
      </c>
      <c r="E5426" s="62" t="s">
        <v>382</v>
      </c>
      <c r="F5426" s="63" t="s">
        <v>533</v>
      </c>
      <c r="G5426" s="64" t="n">
        <v>70</v>
      </c>
      <c r="H5426" s="62" t="s">
        <v>138</v>
      </c>
    </row>
    <row r="5427" customFormat="false" ht="15" hidden="false" customHeight="false" outlineLevel="0" collapsed="false">
      <c r="A5427" s="62" t="n">
        <v>1</v>
      </c>
      <c r="B5427" s="62" t="s">
        <v>384</v>
      </c>
      <c r="C5427" s="62" t="s">
        <v>60</v>
      </c>
      <c r="D5427" s="62" t="s">
        <v>382</v>
      </c>
      <c r="E5427" s="62" t="s">
        <v>382</v>
      </c>
      <c r="F5427" s="63" t="s">
        <v>533</v>
      </c>
      <c r="G5427" s="64" t="n">
        <v>70</v>
      </c>
      <c r="H5427" s="62" t="s">
        <v>138</v>
      </c>
    </row>
    <row r="5428" customFormat="false" ht="15" hidden="false" customHeight="false" outlineLevel="0" collapsed="false">
      <c r="A5428" s="62" t="n">
        <v>1</v>
      </c>
      <c r="B5428" s="62" t="s">
        <v>385</v>
      </c>
      <c r="C5428" s="62" t="s">
        <v>60</v>
      </c>
      <c r="D5428" s="62" t="s">
        <v>382</v>
      </c>
      <c r="E5428" s="62" t="s">
        <v>382</v>
      </c>
      <c r="F5428" s="63" t="s">
        <v>533</v>
      </c>
      <c r="G5428" s="64" t="n">
        <v>70</v>
      </c>
      <c r="H5428" s="62" t="s">
        <v>138</v>
      </c>
    </row>
    <row r="5429" customFormat="false" ht="15" hidden="false" customHeight="false" outlineLevel="0" collapsed="false">
      <c r="A5429" s="62" t="n">
        <v>1</v>
      </c>
      <c r="B5429" s="62" t="s">
        <v>386</v>
      </c>
      <c r="C5429" s="62" t="s">
        <v>60</v>
      </c>
      <c r="D5429" s="62" t="s">
        <v>382</v>
      </c>
      <c r="E5429" s="62" t="s">
        <v>382</v>
      </c>
      <c r="F5429" s="63" t="s">
        <v>533</v>
      </c>
      <c r="G5429" s="64" t="n">
        <v>63.7</v>
      </c>
      <c r="H5429" s="62" t="s">
        <v>138</v>
      </c>
    </row>
    <row r="5430" customFormat="false" ht="15" hidden="false" customHeight="false" outlineLevel="0" collapsed="false">
      <c r="A5430" s="62" t="n">
        <v>1</v>
      </c>
      <c r="B5430" s="62" t="s">
        <v>387</v>
      </c>
      <c r="C5430" s="62" t="s">
        <v>60</v>
      </c>
      <c r="D5430" s="62" t="s">
        <v>382</v>
      </c>
      <c r="E5430" s="62" t="s">
        <v>382</v>
      </c>
      <c r="F5430" s="63" t="s">
        <v>533</v>
      </c>
      <c r="G5430" s="64" t="n">
        <v>70</v>
      </c>
      <c r="H5430" s="62" t="s">
        <v>138</v>
      </c>
    </row>
    <row r="5431" customFormat="false" ht="15" hidden="false" customHeight="false" outlineLevel="0" collapsed="false">
      <c r="A5431" s="62" t="n">
        <v>1</v>
      </c>
      <c r="B5431" s="62" t="s">
        <v>388</v>
      </c>
      <c r="C5431" s="62" t="s">
        <v>60</v>
      </c>
      <c r="D5431" s="62" t="s">
        <v>382</v>
      </c>
      <c r="E5431" s="62" t="s">
        <v>382</v>
      </c>
      <c r="F5431" s="63" t="s">
        <v>533</v>
      </c>
      <c r="G5431" s="64" t="n">
        <v>70</v>
      </c>
      <c r="H5431" s="62" t="s">
        <v>138</v>
      </c>
    </row>
    <row r="5432" customFormat="false" ht="15" hidden="false" customHeight="false" outlineLevel="0" collapsed="false">
      <c r="A5432" s="62" t="n">
        <v>1</v>
      </c>
      <c r="B5432" s="62" t="s">
        <v>381</v>
      </c>
      <c r="C5432" s="62" t="s">
        <v>60</v>
      </c>
      <c r="D5432" s="62" t="s">
        <v>382</v>
      </c>
      <c r="E5432" s="62" t="s">
        <v>382</v>
      </c>
      <c r="F5432" s="63" t="s">
        <v>796</v>
      </c>
      <c r="G5432" s="64" t="n">
        <v>113</v>
      </c>
      <c r="H5432" s="62" t="s">
        <v>138</v>
      </c>
    </row>
    <row r="5433" customFormat="false" ht="15" hidden="false" customHeight="false" outlineLevel="0" collapsed="false">
      <c r="A5433" s="62" t="n">
        <v>1</v>
      </c>
      <c r="B5433" s="62" t="s">
        <v>383</v>
      </c>
      <c r="C5433" s="62" t="s">
        <v>60</v>
      </c>
      <c r="D5433" s="62" t="s">
        <v>382</v>
      </c>
      <c r="E5433" s="62" t="s">
        <v>382</v>
      </c>
      <c r="F5433" s="63" t="s">
        <v>796</v>
      </c>
      <c r="G5433" s="64" t="n">
        <v>113</v>
      </c>
      <c r="H5433" s="62" t="s">
        <v>138</v>
      </c>
    </row>
    <row r="5434" customFormat="false" ht="15" hidden="false" customHeight="false" outlineLevel="0" collapsed="false">
      <c r="A5434" s="62" t="n">
        <v>1</v>
      </c>
      <c r="B5434" s="62" t="s">
        <v>384</v>
      </c>
      <c r="C5434" s="62" t="s">
        <v>60</v>
      </c>
      <c r="D5434" s="62" t="s">
        <v>382</v>
      </c>
      <c r="E5434" s="62" t="s">
        <v>382</v>
      </c>
      <c r="F5434" s="63" t="s">
        <v>796</v>
      </c>
      <c r="G5434" s="64" t="n">
        <v>113</v>
      </c>
      <c r="H5434" s="62" t="s">
        <v>138</v>
      </c>
    </row>
    <row r="5435" customFormat="false" ht="15" hidden="false" customHeight="false" outlineLevel="0" collapsed="false">
      <c r="A5435" s="62" t="n">
        <v>1</v>
      </c>
      <c r="B5435" s="62" t="s">
        <v>385</v>
      </c>
      <c r="C5435" s="62" t="s">
        <v>60</v>
      </c>
      <c r="D5435" s="62" t="s">
        <v>382</v>
      </c>
      <c r="E5435" s="62" t="s">
        <v>382</v>
      </c>
      <c r="F5435" s="63" t="s">
        <v>796</v>
      </c>
      <c r="G5435" s="64" t="n">
        <v>113</v>
      </c>
      <c r="H5435" s="62" t="s">
        <v>138</v>
      </c>
    </row>
    <row r="5436" customFormat="false" ht="15" hidden="false" customHeight="false" outlineLevel="0" collapsed="false">
      <c r="A5436" s="62" t="n">
        <v>1</v>
      </c>
      <c r="B5436" s="62" t="s">
        <v>386</v>
      </c>
      <c r="C5436" s="62" t="s">
        <v>60</v>
      </c>
      <c r="D5436" s="62" t="s">
        <v>382</v>
      </c>
      <c r="E5436" s="62" t="s">
        <v>382</v>
      </c>
      <c r="F5436" s="63" t="s">
        <v>796</v>
      </c>
      <c r="G5436" s="64" t="n">
        <v>102.83</v>
      </c>
      <c r="H5436" s="62" t="s">
        <v>138</v>
      </c>
    </row>
    <row r="5437" customFormat="false" ht="15" hidden="false" customHeight="false" outlineLevel="0" collapsed="false">
      <c r="A5437" s="62" t="n">
        <v>1</v>
      </c>
      <c r="B5437" s="62" t="s">
        <v>387</v>
      </c>
      <c r="C5437" s="62" t="s">
        <v>60</v>
      </c>
      <c r="D5437" s="62" t="s">
        <v>382</v>
      </c>
      <c r="E5437" s="62" t="s">
        <v>382</v>
      </c>
      <c r="F5437" s="63" t="s">
        <v>796</v>
      </c>
      <c r="G5437" s="64" t="n">
        <v>113</v>
      </c>
      <c r="H5437" s="62" t="s">
        <v>138</v>
      </c>
    </row>
    <row r="5438" customFormat="false" ht="15" hidden="false" customHeight="false" outlineLevel="0" collapsed="false">
      <c r="A5438" s="62" t="n">
        <v>1</v>
      </c>
      <c r="B5438" s="62" t="s">
        <v>388</v>
      </c>
      <c r="C5438" s="62" t="s">
        <v>60</v>
      </c>
      <c r="D5438" s="62" t="s">
        <v>382</v>
      </c>
      <c r="E5438" s="62" t="s">
        <v>382</v>
      </c>
      <c r="F5438" s="63" t="s">
        <v>796</v>
      </c>
      <c r="G5438" s="64" t="n">
        <v>113</v>
      </c>
      <c r="H5438" s="62" t="s">
        <v>138</v>
      </c>
    </row>
    <row r="5439" customFormat="false" ht="15" hidden="false" customHeight="false" outlineLevel="0" collapsed="false">
      <c r="A5439" s="62" t="n">
        <v>1</v>
      </c>
      <c r="B5439" s="62" t="s">
        <v>381</v>
      </c>
      <c r="C5439" s="62" t="s">
        <v>60</v>
      </c>
      <c r="D5439" s="62" t="s">
        <v>382</v>
      </c>
      <c r="E5439" s="62" t="s">
        <v>382</v>
      </c>
      <c r="F5439" s="63" t="s">
        <v>534</v>
      </c>
      <c r="G5439" s="64" t="n">
        <v>59628.5285133529</v>
      </c>
      <c r="H5439" s="62" t="s">
        <v>138</v>
      </c>
    </row>
    <row r="5440" customFormat="false" ht="15" hidden="false" customHeight="false" outlineLevel="0" collapsed="false">
      <c r="A5440" s="62" t="n">
        <v>1</v>
      </c>
      <c r="B5440" s="62" t="s">
        <v>383</v>
      </c>
      <c r="C5440" s="62" t="s">
        <v>60</v>
      </c>
      <c r="D5440" s="62" t="s">
        <v>382</v>
      </c>
      <c r="E5440" s="62" t="s">
        <v>382</v>
      </c>
      <c r="F5440" s="63" t="s">
        <v>534</v>
      </c>
      <c r="G5440" s="64" t="n">
        <v>58110.8763346489</v>
      </c>
      <c r="H5440" s="62" t="s">
        <v>138</v>
      </c>
    </row>
    <row r="5441" customFormat="false" ht="15" hidden="false" customHeight="false" outlineLevel="0" collapsed="false">
      <c r="A5441" s="62" t="n">
        <v>1</v>
      </c>
      <c r="B5441" s="62" t="s">
        <v>384</v>
      </c>
      <c r="C5441" s="62" t="s">
        <v>60</v>
      </c>
      <c r="D5441" s="62" t="s">
        <v>382</v>
      </c>
      <c r="E5441" s="62" t="s">
        <v>382</v>
      </c>
      <c r="F5441" s="63" t="s">
        <v>534</v>
      </c>
      <c r="G5441" s="64" t="n">
        <v>75280.1808045308</v>
      </c>
      <c r="H5441" s="62" t="s">
        <v>138</v>
      </c>
    </row>
    <row r="5442" customFormat="false" ht="15" hidden="false" customHeight="false" outlineLevel="0" collapsed="false">
      <c r="A5442" s="62" t="n">
        <v>1</v>
      </c>
      <c r="B5442" s="62" t="s">
        <v>385</v>
      </c>
      <c r="C5442" s="62" t="s">
        <v>60</v>
      </c>
      <c r="D5442" s="62" t="s">
        <v>382</v>
      </c>
      <c r="E5442" s="62" t="s">
        <v>382</v>
      </c>
      <c r="F5442" s="63" t="s">
        <v>534</v>
      </c>
      <c r="G5442" s="64" t="n">
        <v>25157.1133721179</v>
      </c>
      <c r="H5442" s="62" t="s">
        <v>138</v>
      </c>
    </row>
    <row r="5443" customFormat="false" ht="15" hidden="false" customHeight="false" outlineLevel="0" collapsed="false">
      <c r="A5443" s="62" t="n">
        <v>1</v>
      </c>
      <c r="B5443" s="62" t="s">
        <v>386</v>
      </c>
      <c r="C5443" s="62" t="s">
        <v>60</v>
      </c>
      <c r="D5443" s="62" t="s">
        <v>382</v>
      </c>
      <c r="E5443" s="62" t="s">
        <v>382</v>
      </c>
      <c r="F5443" s="63" t="s">
        <v>534</v>
      </c>
      <c r="G5443" s="64" t="n">
        <v>53006.3625</v>
      </c>
      <c r="H5443" s="62" t="s">
        <v>138</v>
      </c>
    </row>
    <row r="5444" customFormat="false" ht="15" hidden="false" customHeight="false" outlineLevel="0" collapsed="false">
      <c r="A5444" s="62" t="n">
        <v>1</v>
      </c>
      <c r="B5444" s="62" t="s">
        <v>387</v>
      </c>
      <c r="C5444" s="62" t="s">
        <v>60</v>
      </c>
      <c r="D5444" s="62" t="s">
        <v>382</v>
      </c>
      <c r="E5444" s="62" t="s">
        <v>382</v>
      </c>
      <c r="F5444" s="63" t="s">
        <v>534</v>
      </c>
      <c r="G5444" s="64" t="n">
        <v>42734.289284302</v>
      </c>
      <c r="H5444" s="62" t="s">
        <v>138</v>
      </c>
    </row>
    <row r="5445" customFormat="false" ht="15" hidden="false" customHeight="false" outlineLevel="0" collapsed="false">
      <c r="A5445" s="62" t="n">
        <v>1</v>
      </c>
      <c r="B5445" s="62" t="s">
        <v>388</v>
      </c>
      <c r="C5445" s="62" t="s">
        <v>60</v>
      </c>
      <c r="D5445" s="62" t="s">
        <v>382</v>
      </c>
      <c r="E5445" s="62" t="s">
        <v>382</v>
      </c>
      <c r="F5445" s="63" t="s">
        <v>534</v>
      </c>
      <c r="G5445" s="64" t="n">
        <v>24612</v>
      </c>
      <c r="H5445" s="62" t="s">
        <v>138</v>
      </c>
    </row>
    <row r="5446" customFormat="false" ht="15" hidden="false" customHeight="false" outlineLevel="0" collapsed="false">
      <c r="A5446" s="62" t="n">
        <v>1</v>
      </c>
      <c r="B5446" s="62" t="s">
        <v>381</v>
      </c>
      <c r="C5446" s="62" t="s">
        <v>60</v>
      </c>
      <c r="D5446" s="62" t="s">
        <v>382</v>
      </c>
      <c r="E5446" s="62" t="s">
        <v>382</v>
      </c>
      <c r="F5446" s="63" t="s">
        <v>535</v>
      </c>
      <c r="G5446" s="64" t="n">
        <v>9</v>
      </c>
      <c r="H5446" s="62" t="s">
        <v>138</v>
      </c>
    </row>
    <row r="5447" customFormat="false" ht="15" hidden="false" customHeight="false" outlineLevel="0" collapsed="false">
      <c r="A5447" s="62" t="n">
        <v>1</v>
      </c>
      <c r="B5447" s="62" t="s">
        <v>383</v>
      </c>
      <c r="C5447" s="62" t="s">
        <v>60</v>
      </c>
      <c r="D5447" s="62" t="s">
        <v>382</v>
      </c>
      <c r="E5447" s="62" t="s">
        <v>382</v>
      </c>
      <c r="F5447" s="63" t="s">
        <v>535</v>
      </c>
      <c r="G5447" s="64" t="n">
        <v>8.1</v>
      </c>
      <c r="H5447" s="62" t="s">
        <v>138</v>
      </c>
    </row>
    <row r="5448" customFormat="false" ht="15" hidden="false" customHeight="false" outlineLevel="0" collapsed="false">
      <c r="A5448" s="62" t="n">
        <v>1</v>
      </c>
      <c r="B5448" s="62" t="s">
        <v>384</v>
      </c>
      <c r="C5448" s="62" t="s">
        <v>60</v>
      </c>
      <c r="D5448" s="62" t="s">
        <v>382</v>
      </c>
      <c r="E5448" s="62" t="s">
        <v>382</v>
      </c>
      <c r="F5448" s="63" t="s">
        <v>535</v>
      </c>
      <c r="G5448" s="64" t="n">
        <v>9</v>
      </c>
      <c r="H5448" s="62" t="s">
        <v>138</v>
      </c>
    </row>
    <row r="5449" customFormat="false" ht="15" hidden="false" customHeight="false" outlineLevel="0" collapsed="false">
      <c r="A5449" s="62" t="n">
        <v>1</v>
      </c>
      <c r="B5449" s="62" t="s">
        <v>385</v>
      </c>
      <c r="C5449" s="62" t="s">
        <v>60</v>
      </c>
      <c r="D5449" s="62" t="s">
        <v>382</v>
      </c>
      <c r="E5449" s="62" t="s">
        <v>382</v>
      </c>
      <c r="F5449" s="63" t="s">
        <v>535</v>
      </c>
      <c r="G5449" s="64" t="n">
        <v>8.1</v>
      </c>
      <c r="H5449" s="62" t="s">
        <v>138</v>
      </c>
    </row>
    <row r="5450" customFormat="false" ht="15" hidden="false" customHeight="false" outlineLevel="0" collapsed="false">
      <c r="A5450" s="62" t="n">
        <v>1</v>
      </c>
      <c r="B5450" s="62" t="s">
        <v>386</v>
      </c>
      <c r="C5450" s="62" t="s">
        <v>60</v>
      </c>
      <c r="D5450" s="62" t="s">
        <v>382</v>
      </c>
      <c r="E5450" s="62" t="s">
        <v>382</v>
      </c>
      <c r="F5450" s="63" t="s">
        <v>535</v>
      </c>
      <c r="G5450" s="64" t="n">
        <v>8.1</v>
      </c>
      <c r="H5450" s="62" t="s">
        <v>138</v>
      </c>
    </row>
    <row r="5451" customFormat="false" ht="15" hidden="false" customHeight="false" outlineLevel="0" collapsed="false">
      <c r="A5451" s="62" t="n">
        <v>1</v>
      </c>
      <c r="B5451" s="62" t="s">
        <v>387</v>
      </c>
      <c r="C5451" s="62" t="s">
        <v>60</v>
      </c>
      <c r="D5451" s="62" t="s">
        <v>382</v>
      </c>
      <c r="E5451" s="62" t="s">
        <v>382</v>
      </c>
      <c r="F5451" s="63" t="s">
        <v>535</v>
      </c>
      <c r="G5451" s="64" t="n">
        <v>9</v>
      </c>
      <c r="H5451" s="62" t="s">
        <v>138</v>
      </c>
    </row>
    <row r="5452" customFormat="false" ht="15" hidden="false" customHeight="false" outlineLevel="0" collapsed="false">
      <c r="A5452" s="62" t="n">
        <v>1</v>
      </c>
      <c r="B5452" s="62" t="s">
        <v>388</v>
      </c>
      <c r="C5452" s="62" t="s">
        <v>60</v>
      </c>
      <c r="D5452" s="62" t="s">
        <v>382</v>
      </c>
      <c r="E5452" s="62" t="s">
        <v>382</v>
      </c>
      <c r="F5452" s="63" t="s">
        <v>535</v>
      </c>
      <c r="G5452" s="64" t="n">
        <v>8.1</v>
      </c>
      <c r="H5452" s="62" t="s">
        <v>138</v>
      </c>
    </row>
    <row r="5453" customFormat="false" ht="15" hidden="false" customHeight="false" outlineLevel="0" collapsed="false">
      <c r="A5453" s="62" t="n">
        <v>1</v>
      </c>
      <c r="B5453" s="62" t="s">
        <v>381</v>
      </c>
      <c r="C5453" s="62" t="s">
        <v>60</v>
      </c>
      <c r="D5453" s="62" t="s">
        <v>382</v>
      </c>
      <c r="E5453" s="62" t="s">
        <v>382</v>
      </c>
      <c r="F5453" s="63" t="s">
        <v>797</v>
      </c>
      <c r="G5453" s="64" t="n">
        <v>12</v>
      </c>
      <c r="H5453" s="62" t="s">
        <v>138</v>
      </c>
    </row>
    <row r="5454" customFormat="false" ht="15" hidden="false" customHeight="false" outlineLevel="0" collapsed="false">
      <c r="A5454" s="62" t="n">
        <v>1</v>
      </c>
      <c r="B5454" s="62" t="s">
        <v>383</v>
      </c>
      <c r="C5454" s="62" t="s">
        <v>60</v>
      </c>
      <c r="D5454" s="62" t="s">
        <v>382</v>
      </c>
      <c r="E5454" s="62" t="s">
        <v>382</v>
      </c>
      <c r="F5454" s="63" t="s">
        <v>797</v>
      </c>
      <c r="G5454" s="64" t="n">
        <v>10.8</v>
      </c>
      <c r="H5454" s="62" t="s">
        <v>138</v>
      </c>
    </row>
    <row r="5455" customFormat="false" ht="15" hidden="false" customHeight="false" outlineLevel="0" collapsed="false">
      <c r="A5455" s="62" t="n">
        <v>1</v>
      </c>
      <c r="B5455" s="62" t="s">
        <v>384</v>
      </c>
      <c r="C5455" s="62" t="s">
        <v>60</v>
      </c>
      <c r="D5455" s="62" t="s">
        <v>382</v>
      </c>
      <c r="E5455" s="62" t="s">
        <v>382</v>
      </c>
      <c r="F5455" s="63" t="s">
        <v>797</v>
      </c>
      <c r="G5455" s="64" t="n">
        <v>12</v>
      </c>
      <c r="H5455" s="62" t="s">
        <v>138</v>
      </c>
    </row>
    <row r="5456" customFormat="false" ht="15" hidden="false" customHeight="false" outlineLevel="0" collapsed="false">
      <c r="A5456" s="62" t="n">
        <v>1</v>
      </c>
      <c r="B5456" s="62" t="s">
        <v>385</v>
      </c>
      <c r="C5456" s="62" t="s">
        <v>60</v>
      </c>
      <c r="D5456" s="62" t="s">
        <v>382</v>
      </c>
      <c r="E5456" s="62" t="s">
        <v>382</v>
      </c>
      <c r="F5456" s="63" t="s">
        <v>797</v>
      </c>
      <c r="G5456" s="64" t="n">
        <v>10.8</v>
      </c>
      <c r="H5456" s="62" t="s">
        <v>138</v>
      </c>
    </row>
    <row r="5457" customFormat="false" ht="15" hidden="false" customHeight="false" outlineLevel="0" collapsed="false">
      <c r="A5457" s="62" t="n">
        <v>1</v>
      </c>
      <c r="B5457" s="62" t="s">
        <v>386</v>
      </c>
      <c r="C5457" s="62" t="s">
        <v>60</v>
      </c>
      <c r="D5457" s="62" t="s">
        <v>382</v>
      </c>
      <c r="E5457" s="62" t="s">
        <v>382</v>
      </c>
      <c r="F5457" s="63" t="s">
        <v>797</v>
      </c>
      <c r="G5457" s="64" t="n">
        <v>10.8</v>
      </c>
      <c r="H5457" s="62" t="s">
        <v>138</v>
      </c>
    </row>
    <row r="5458" customFormat="false" ht="15" hidden="false" customHeight="false" outlineLevel="0" collapsed="false">
      <c r="A5458" s="62" t="n">
        <v>1</v>
      </c>
      <c r="B5458" s="62" t="s">
        <v>387</v>
      </c>
      <c r="C5458" s="62" t="s">
        <v>60</v>
      </c>
      <c r="D5458" s="62" t="s">
        <v>382</v>
      </c>
      <c r="E5458" s="62" t="s">
        <v>382</v>
      </c>
      <c r="F5458" s="63" t="s">
        <v>797</v>
      </c>
      <c r="G5458" s="64" t="n">
        <v>12</v>
      </c>
      <c r="H5458" s="62" t="s">
        <v>138</v>
      </c>
    </row>
    <row r="5459" customFormat="false" ht="15" hidden="false" customHeight="false" outlineLevel="0" collapsed="false">
      <c r="A5459" s="62" t="n">
        <v>1</v>
      </c>
      <c r="B5459" s="62" t="s">
        <v>388</v>
      </c>
      <c r="C5459" s="62" t="s">
        <v>60</v>
      </c>
      <c r="D5459" s="62" t="s">
        <v>382</v>
      </c>
      <c r="E5459" s="62" t="s">
        <v>382</v>
      </c>
      <c r="F5459" s="63" t="s">
        <v>797</v>
      </c>
      <c r="G5459" s="64" t="n">
        <v>10.8</v>
      </c>
      <c r="H5459" s="62" t="s">
        <v>138</v>
      </c>
    </row>
    <row r="5460" customFormat="false" ht="15" hidden="false" customHeight="false" outlineLevel="0" collapsed="false">
      <c r="A5460" s="62" t="n">
        <v>1</v>
      </c>
      <c r="B5460" s="62" t="s">
        <v>381</v>
      </c>
      <c r="C5460" s="62" t="s">
        <v>60</v>
      </c>
      <c r="D5460" s="62" t="s">
        <v>382</v>
      </c>
      <c r="E5460" s="62" t="s">
        <v>382</v>
      </c>
      <c r="F5460" s="63" t="s">
        <v>536</v>
      </c>
      <c r="G5460" s="64" t="n">
        <v>7272.05612531181</v>
      </c>
      <c r="H5460" s="62" t="s">
        <v>138</v>
      </c>
    </row>
    <row r="5461" customFormat="false" ht="15" hidden="false" customHeight="false" outlineLevel="0" collapsed="false">
      <c r="A5461" s="62" t="n">
        <v>1</v>
      </c>
      <c r="B5461" s="62" t="s">
        <v>383</v>
      </c>
      <c r="C5461" s="62" t="s">
        <v>60</v>
      </c>
      <c r="D5461" s="62" t="s">
        <v>382</v>
      </c>
      <c r="E5461" s="62" t="s">
        <v>382</v>
      </c>
      <c r="F5461" s="63" t="s">
        <v>536</v>
      </c>
      <c r="G5461" s="64" t="n">
        <v>6113.2292615808</v>
      </c>
      <c r="H5461" s="62" t="s">
        <v>138</v>
      </c>
    </row>
    <row r="5462" customFormat="false" ht="15" hidden="false" customHeight="false" outlineLevel="0" collapsed="false">
      <c r="A5462" s="62" t="n">
        <v>1</v>
      </c>
      <c r="B5462" s="62" t="s">
        <v>384</v>
      </c>
      <c r="C5462" s="62" t="s">
        <v>60</v>
      </c>
      <c r="D5462" s="62" t="s">
        <v>382</v>
      </c>
      <c r="E5462" s="62" t="s">
        <v>382</v>
      </c>
      <c r="F5462" s="63" t="s">
        <v>536</v>
      </c>
      <c r="G5462" s="64" t="n">
        <v>9678.88038915396</v>
      </c>
      <c r="H5462" s="62" t="s">
        <v>138</v>
      </c>
    </row>
    <row r="5463" customFormat="false" ht="15" hidden="false" customHeight="false" outlineLevel="0" collapsed="false">
      <c r="A5463" s="62" t="n">
        <v>1</v>
      </c>
      <c r="B5463" s="62" t="s">
        <v>385</v>
      </c>
      <c r="C5463" s="62" t="s">
        <v>60</v>
      </c>
      <c r="D5463" s="62" t="s">
        <v>382</v>
      </c>
      <c r="E5463" s="62" t="s">
        <v>382</v>
      </c>
      <c r="F5463" s="63" t="s">
        <v>536</v>
      </c>
      <c r="G5463" s="64" t="n">
        <v>2911.03740448793</v>
      </c>
      <c r="H5463" s="62" t="s">
        <v>138</v>
      </c>
    </row>
    <row r="5464" customFormat="false" ht="15" hidden="false" customHeight="false" outlineLevel="0" collapsed="false">
      <c r="A5464" s="62" t="n">
        <v>1</v>
      </c>
      <c r="B5464" s="62" t="s">
        <v>386</v>
      </c>
      <c r="C5464" s="62" t="s">
        <v>60</v>
      </c>
      <c r="D5464" s="62" t="s">
        <v>382</v>
      </c>
      <c r="E5464" s="62" t="s">
        <v>382</v>
      </c>
      <c r="F5464" s="63" t="s">
        <v>536</v>
      </c>
      <c r="G5464" s="64" t="n">
        <v>6740.2125</v>
      </c>
      <c r="H5464" s="62" t="s">
        <v>138</v>
      </c>
    </row>
    <row r="5465" customFormat="false" ht="15" hidden="false" customHeight="false" outlineLevel="0" collapsed="false">
      <c r="A5465" s="62" t="n">
        <v>1</v>
      </c>
      <c r="B5465" s="62" t="s">
        <v>387</v>
      </c>
      <c r="C5465" s="62" t="s">
        <v>60</v>
      </c>
      <c r="D5465" s="62" t="s">
        <v>382</v>
      </c>
      <c r="E5465" s="62" t="s">
        <v>382</v>
      </c>
      <c r="F5465" s="63" t="s">
        <v>536</v>
      </c>
      <c r="G5465" s="64" t="n">
        <v>5214.24290798169</v>
      </c>
      <c r="H5465" s="62" t="s">
        <v>138</v>
      </c>
    </row>
    <row r="5466" customFormat="false" ht="15" hidden="false" customHeight="false" outlineLevel="0" collapsed="false">
      <c r="A5466" s="62" t="n">
        <v>1</v>
      </c>
      <c r="B5466" s="62" t="s">
        <v>388</v>
      </c>
      <c r="C5466" s="62" t="s">
        <v>60</v>
      </c>
      <c r="D5466" s="62" t="s">
        <v>382</v>
      </c>
      <c r="E5466" s="62" t="s">
        <v>382</v>
      </c>
      <c r="F5466" s="63" t="s">
        <v>536</v>
      </c>
      <c r="G5466" s="64" t="n">
        <v>2656.8</v>
      </c>
      <c r="H5466" s="62" t="s">
        <v>138</v>
      </c>
    </row>
    <row r="5467" customFormat="false" ht="15" hidden="false" customHeight="false" outlineLevel="0" collapsed="false">
      <c r="A5467" s="62" t="n">
        <v>1</v>
      </c>
      <c r="B5467" s="62" t="s">
        <v>381</v>
      </c>
      <c r="C5467" s="62" t="s">
        <v>60</v>
      </c>
      <c r="D5467" s="62" t="s">
        <v>382</v>
      </c>
      <c r="E5467" s="62" t="s">
        <v>382</v>
      </c>
      <c r="F5467" s="63" t="s">
        <v>537</v>
      </c>
      <c r="G5467" s="64" t="s">
        <v>538</v>
      </c>
      <c r="H5467" s="62" t="s">
        <v>138</v>
      </c>
    </row>
    <row r="5468" customFormat="false" ht="15" hidden="false" customHeight="false" outlineLevel="0" collapsed="false">
      <c r="A5468" s="62" t="n">
        <v>1</v>
      </c>
      <c r="B5468" s="62" t="s">
        <v>383</v>
      </c>
      <c r="C5468" s="62" t="s">
        <v>60</v>
      </c>
      <c r="D5468" s="62" t="s">
        <v>382</v>
      </c>
      <c r="E5468" s="62" t="s">
        <v>382</v>
      </c>
      <c r="F5468" s="63" t="s">
        <v>537</v>
      </c>
      <c r="G5468" s="64" t="s">
        <v>538</v>
      </c>
      <c r="H5468" s="62" t="s">
        <v>138</v>
      </c>
    </row>
    <row r="5469" customFormat="false" ht="15" hidden="false" customHeight="false" outlineLevel="0" collapsed="false">
      <c r="A5469" s="62" t="n">
        <v>1</v>
      </c>
      <c r="B5469" s="62" t="s">
        <v>384</v>
      </c>
      <c r="C5469" s="62" t="s">
        <v>60</v>
      </c>
      <c r="D5469" s="62" t="s">
        <v>382</v>
      </c>
      <c r="E5469" s="62" t="s">
        <v>382</v>
      </c>
      <c r="F5469" s="63" t="s">
        <v>537</v>
      </c>
      <c r="G5469" s="64" t="s">
        <v>798</v>
      </c>
      <c r="H5469" s="62" t="s">
        <v>138</v>
      </c>
    </row>
    <row r="5470" customFormat="false" ht="15" hidden="false" customHeight="false" outlineLevel="0" collapsed="false">
      <c r="A5470" s="62" t="n">
        <v>1</v>
      </c>
      <c r="B5470" s="62" t="s">
        <v>385</v>
      </c>
      <c r="C5470" s="62" t="s">
        <v>60</v>
      </c>
      <c r="D5470" s="62" t="s">
        <v>382</v>
      </c>
      <c r="E5470" s="62" t="s">
        <v>382</v>
      </c>
      <c r="F5470" s="63" t="s">
        <v>537</v>
      </c>
      <c r="G5470" s="64" t="s">
        <v>538</v>
      </c>
      <c r="H5470" s="62" t="s">
        <v>138</v>
      </c>
    </row>
    <row r="5471" customFormat="false" ht="15" hidden="false" customHeight="false" outlineLevel="0" collapsed="false">
      <c r="A5471" s="62" t="n">
        <v>1</v>
      </c>
      <c r="B5471" s="62" t="s">
        <v>386</v>
      </c>
      <c r="C5471" s="62" t="s">
        <v>60</v>
      </c>
      <c r="D5471" s="62" t="s">
        <v>382</v>
      </c>
      <c r="E5471" s="62" t="s">
        <v>382</v>
      </c>
      <c r="F5471" s="63" t="s">
        <v>537</v>
      </c>
      <c r="G5471" s="64" t="s">
        <v>538</v>
      </c>
      <c r="H5471" s="62" t="s">
        <v>138</v>
      </c>
    </row>
    <row r="5472" customFormat="false" ht="15" hidden="false" customHeight="false" outlineLevel="0" collapsed="false">
      <c r="A5472" s="62" t="n">
        <v>1</v>
      </c>
      <c r="B5472" s="62" t="s">
        <v>387</v>
      </c>
      <c r="C5472" s="62" t="s">
        <v>60</v>
      </c>
      <c r="D5472" s="62" t="s">
        <v>382</v>
      </c>
      <c r="E5472" s="62" t="s">
        <v>382</v>
      </c>
      <c r="F5472" s="63" t="s">
        <v>537</v>
      </c>
      <c r="G5472" s="64" t="s">
        <v>799</v>
      </c>
      <c r="H5472" s="62" t="s">
        <v>138</v>
      </c>
    </row>
    <row r="5473" customFormat="false" ht="15" hidden="false" customHeight="false" outlineLevel="0" collapsed="false">
      <c r="A5473" s="62" t="n">
        <v>1</v>
      </c>
      <c r="B5473" s="62" t="s">
        <v>388</v>
      </c>
      <c r="C5473" s="62" t="s">
        <v>60</v>
      </c>
      <c r="D5473" s="62" t="s">
        <v>382</v>
      </c>
      <c r="E5473" s="62" t="s">
        <v>382</v>
      </c>
      <c r="F5473" s="63" t="s">
        <v>537</v>
      </c>
      <c r="G5473" s="64" t="s">
        <v>798</v>
      </c>
      <c r="H5473" s="62" t="s">
        <v>138</v>
      </c>
    </row>
    <row r="5474" customFormat="false" ht="15" hidden="false" customHeight="false" outlineLevel="0" collapsed="false">
      <c r="A5474" s="62" t="n">
        <v>1</v>
      </c>
      <c r="B5474" s="62" t="s">
        <v>387</v>
      </c>
      <c r="C5474" s="62" t="s">
        <v>60</v>
      </c>
      <c r="D5474" s="62" t="s">
        <v>382</v>
      </c>
      <c r="E5474" s="62" t="s">
        <v>382</v>
      </c>
      <c r="F5474" s="63" t="s">
        <v>800</v>
      </c>
      <c r="G5474" s="64" t="s">
        <v>550</v>
      </c>
      <c r="H5474" s="62" t="s">
        <v>138</v>
      </c>
    </row>
    <row r="5475" customFormat="false" ht="15" hidden="false" customHeight="false" outlineLevel="0" collapsed="false">
      <c r="A5475" s="62" t="n">
        <v>1</v>
      </c>
      <c r="B5475" s="62" t="s">
        <v>381</v>
      </c>
      <c r="C5475" s="62" t="s">
        <v>60</v>
      </c>
      <c r="D5475" s="62" t="s">
        <v>382</v>
      </c>
      <c r="E5475" s="62" t="s">
        <v>382</v>
      </c>
      <c r="F5475" s="63" t="s">
        <v>539</v>
      </c>
      <c r="G5475" s="64" t="s">
        <v>801</v>
      </c>
      <c r="H5475" s="62" t="s">
        <v>138</v>
      </c>
    </row>
    <row r="5476" customFormat="false" ht="15" hidden="false" customHeight="false" outlineLevel="0" collapsed="false">
      <c r="A5476" s="62" t="n">
        <v>1</v>
      </c>
      <c r="B5476" s="62" t="s">
        <v>383</v>
      </c>
      <c r="C5476" s="62" t="s">
        <v>60</v>
      </c>
      <c r="D5476" s="62" t="s">
        <v>382</v>
      </c>
      <c r="E5476" s="62" t="s">
        <v>382</v>
      </c>
      <c r="F5476" s="63" t="s">
        <v>539</v>
      </c>
      <c r="G5476" s="64" t="s">
        <v>540</v>
      </c>
      <c r="H5476" s="62" t="s">
        <v>138</v>
      </c>
    </row>
    <row r="5477" customFormat="false" ht="15" hidden="false" customHeight="false" outlineLevel="0" collapsed="false">
      <c r="A5477" s="62" t="n">
        <v>1</v>
      </c>
      <c r="B5477" s="62" t="s">
        <v>384</v>
      </c>
      <c r="C5477" s="62" t="s">
        <v>60</v>
      </c>
      <c r="D5477" s="62" t="s">
        <v>382</v>
      </c>
      <c r="E5477" s="62" t="s">
        <v>382</v>
      </c>
      <c r="F5477" s="63" t="s">
        <v>539</v>
      </c>
      <c r="G5477" s="64" t="s">
        <v>540</v>
      </c>
      <c r="H5477" s="62" t="s">
        <v>138</v>
      </c>
    </row>
    <row r="5478" customFormat="false" ht="15" hidden="false" customHeight="false" outlineLevel="0" collapsed="false">
      <c r="A5478" s="62" t="n">
        <v>1</v>
      </c>
      <c r="B5478" s="62" t="s">
        <v>385</v>
      </c>
      <c r="C5478" s="62" t="s">
        <v>60</v>
      </c>
      <c r="D5478" s="62" t="s">
        <v>382</v>
      </c>
      <c r="E5478" s="62" t="s">
        <v>382</v>
      </c>
      <c r="F5478" s="63" t="s">
        <v>539</v>
      </c>
      <c r="G5478" s="64" t="s">
        <v>540</v>
      </c>
      <c r="H5478" s="62" t="s">
        <v>138</v>
      </c>
    </row>
    <row r="5479" customFormat="false" ht="15" hidden="false" customHeight="false" outlineLevel="0" collapsed="false">
      <c r="A5479" s="62" t="n">
        <v>1</v>
      </c>
      <c r="B5479" s="62" t="s">
        <v>386</v>
      </c>
      <c r="C5479" s="62" t="s">
        <v>60</v>
      </c>
      <c r="D5479" s="62" t="s">
        <v>382</v>
      </c>
      <c r="E5479" s="62" t="s">
        <v>382</v>
      </c>
      <c r="F5479" s="63" t="s">
        <v>539</v>
      </c>
      <c r="G5479" s="64" t="s">
        <v>540</v>
      </c>
      <c r="H5479" s="62" t="s">
        <v>138</v>
      </c>
    </row>
    <row r="5480" customFormat="false" ht="15" hidden="false" customHeight="false" outlineLevel="0" collapsed="false">
      <c r="A5480" s="62" t="n">
        <v>1</v>
      </c>
      <c r="B5480" s="62" t="s">
        <v>387</v>
      </c>
      <c r="C5480" s="62" t="s">
        <v>60</v>
      </c>
      <c r="D5480" s="62" t="s">
        <v>382</v>
      </c>
      <c r="E5480" s="62" t="s">
        <v>382</v>
      </c>
      <c r="F5480" s="63" t="s">
        <v>539</v>
      </c>
      <c r="G5480" s="64" t="s">
        <v>540</v>
      </c>
      <c r="H5480" s="62" t="s">
        <v>138</v>
      </c>
    </row>
    <row r="5481" customFormat="false" ht="15" hidden="false" customHeight="false" outlineLevel="0" collapsed="false">
      <c r="A5481" s="62" t="n">
        <v>1</v>
      </c>
      <c r="B5481" s="62" t="s">
        <v>388</v>
      </c>
      <c r="C5481" s="62" t="s">
        <v>60</v>
      </c>
      <c r="D5481" s="62" t="s">
        <v>382</v>
      </c>
      <c r="E5481" s="62" t="s">
        <v>382</v>
      </c>
      <c r="F5481" s="63" t="s">
        <v>539</v>
      </c>
      <c r="G5481" s="64" t="s">
        <v>540</v>
      </c>
      <c r="H5481" s="62" t="s">
        <v>138</v>
      </c>
    </row>
    <row r="5482" customFormat="false" ht="15" hidden="false" customHeight="false" outlineLevel="0" collapsed="false">
      <c r="A5482" s="62" t="n">
        <v>1</v>
      </c>
      <c r="B5482" s="62" t="s">
        <v>381</v>
      </c>
      <c r="C5482" s="62" t="s">
        <v>60</v>
      </c>
      <c r="D5482" s="62" t="s">
        <v>382</v>
      </c>
      <c r="E5482" s="62" t="s">
        <v>382</v>
      </c>
      <c r="F5482" s="63" t="s">
        <v>541</v>
      </c>
      <c r="G5482" s="64" t="s">
        <v>802</v>
      </c>
      <c r="H5482" s="62" t="s">
        <v>138</v>
      </c>
    </row>
    <row r="5483" customFormat="false" ht="15" hidden="false" customHeight="false" outlineLevel="0" collapsed="false">
      <c r="A5483" s="62" t="n">
        <v>1</v>
      </c>
      <c r="B5483" s="62" t="s">
        <v>383</v>
      </c>
      <c r="C5483" s="62" t="s">
        <v>60</v>
      </c>
      <c r="D5483" s="62" t="s">
        <v>382</v>
      </c>
      <c r="E5483" s="62" t="s">
        <v>382</v>
      </c>
      <c r="F5483" s="63" t="s">
        <v>541</v>
      </c>
      <c r="G5483" s="64" t="s">
        <v>803</v>
      </c>
      <c r="H5483" s="62" t="s">
        <v>138</v>
      </c>
    </row>
    <row r="5484" customFormat="false" ht="15" hidden="false" customHeight="false" outlineLevel="0" collapsed="false">
      <c r="A5484" s="62" t="n">
        <v>1</v>
      </c>
      <c r="B5484" s="62" t="s">
        <v>384</v>
      </c>
      <c r="C5484" s="62" t="s">
        <v>60</v>
      </c>
      <c r="D5484" s="62" t="s">
        <v>382</v>
      </c>
      <c r="E5484" s="62" t="s">
        <v>382</v>
      </c>
      <c r="F5484" s="63" t="s">
        <v>541</v>
      </c>
      <c r="G5484" s="64" t="s">
        <v>803</v>
      </c>
      <c r="H5484" s="62" t="s">
        <v>138</v>
      </c>
    </row>
    <row r="5485" customFormat="false" ht="15" hidden="false" customHeight="false" outlineLevel="0" collapsed="false">
      <c r="A5485" s="62" t="n">
        <v>1</v>
      </c>
      <c r="B5485" s="62" t="s">
        <v>385</v>
      </c>
      <c r="C5485" s="62" t="s">
        <v>60</v>
      </c>
      <c r="D5485" s="62" t="s">
        <v>382</v>
      </c>
      <c r="E5485" s="62" t="s">
        <v>382</v>
      </c>
      <c r="F5485" s="63" t="s">
        <v>541</v>
      </c>
      <c r="G5485" s="64" t="s">
        <v>542</v>
      </c>
      <c r="H5485" s="62" t="s">
        <v>138</v>
      </c>
    </row>
    <row r="5486" customFormat="false" ht="15" hidden="false" customHeight="false" outlineLevel="0" collapsed="false">
      <c r="A5486" s="62" t="n">
        <v>1</v>
      </c>
      <c r="B5486" s="62" t="s">
        <v>386</v>
      </c>
      <c r="C5486" s="62" t="s">
        <v>60</v>
      </c>
      <c r="D5486" s="62" t="s">
        <v>382</v>
      </c>
      <c r="E5486" s="62" t="s">
        <v>382</v>
      </c>
      <c r="F5486" s="63" t="s">
        <v>541</v>
      </c>
      <c r="G5486" s="64" t="s">
        <v>542</v>
      </c>
      <c r="H5486" s="62" t="s">
        <v>138</v>
      </c>
    </row>
    <row r="5487" customFormat="false" ht="15" hidden="false" customHeight="false" outlineLevel="0" collapsed="false">
      <c r="A5487" s="62" t="n">
        <v>1</v>
      </c>
      <c r="B5487" s="62" t="s">
        <v>387</v>
      </c>
      <c r="C5487" s="62" t="s">
        <v>60</v>
      </c>
      <c r="D5487" s="62" t="s">
        <v>382</v>
      </c>
      <c r="E5487" s="62" t="s">
        <v>382</v>
      </c>
      <c r="F5487" s="63" t="s">
        <v>541</v>
      </c>
      <c r="G5487" s="64" t="s">
        <v>542</v>
      </c>
      <c r="H5487" s="62" t="s">
        <v>138</v>
      </c>
    </row>
    <row r="5488" customFormat="false" ht="15" hidden="false" customHeight="false" outlineLevel="0" collapsed="false">
      <c r="A5488" s="62" t="n">
        <v>1</v>
      </c>
      <c r="B5488" s="62" t="s">
        <v>388</v>
      </c>
      <c r="C5488" s="62" t="s">
        <v>60</v>
      </c>
      <c r="D5488" s="62" t="s">
        <v>382</v>
      </c>
      <c r="E5488" s="62" t="s">
        <v>382</v>
      </c>
      <c r="F5488" s="63" t="s">
        <v>541</v>
      </c>
      <c r="G5488" s="64" t="s">
        <v>542</v>
      </c>
      <c r="H5488" s="62" t="s">
        <v>138</v>
      </c>
    </row>
    <row r="5489" customFormat="false" ht="15" hidden="false" customHeight="false" outlineLevel="0" collapsed="false">
      <c r="A5489" s="62" t="n">
        <v>1</v>
      </c>
      <c r="B5489" s="62" t="s">
        <v>381</v>
      </c>
      <c r="C5489" s="62" t="s">
        <v>60</v>
      </c>
      <c r="D5489" s="62" t="s">
        <v>382</v>
      </c>
      <c r="E5489" s="62" t="s">
        <v>382</v>
      </c>
      <c r="F5489" s="63" t="s">
        <v>543</v>
      </c>
      <c r="G5489" s="64" t="s">
        <v>804</v>
      </c>
      <c r="H5489" s="62" t="s">
        <v>138</v>
      </c>
    </row>
    <row r="5490" customFormat="false" ht="15" hidden="false" customHeight="false" outlineLevel="0" collapsed="false">
      <c r="A5490" s="62" t="n">
        <v>1</v>
      </c>
      <c r="B5490" s="62" t="s">
        <v>383</v>
      </c>
      <c r="C5490" s="62" t="s">
        <v>60</v>
      </c>
      <c r="D5490" s="62" t="s">
        <v>382</v>
      </c>
      <c r="E5490" s="62" t="s">
        <v>382</v>
      </c>
      <c r="F5490" s="63" t="s">
        <v>543</v>
      </c>
      <c r="G5490" s="64" t="s">
        <v>544</v>
      </c>
      <c r="H5490" s="62" t="s">
        <v>138</v>
      </c>
    </row>
    <row r="5491" customFormat="false" ht="15" hidden="false" customHeight="false" outlineLevel="0" collapsed="false">
      <c r="A5491" s="62" t="n">
        <v>1</v>
      </c>
      <c r="B5491" s="62" t="s">
        <v>384</v>
      </c>
      <c r="C5491" s="62" t="s">
        <v>60</v>
      </c>
      <c r="D5491" s="62" t="s">
        <v>382</v>
      </c>
      <c r="E5491" s="62" t="s">
        <v>382</v>
      </c>
      <c r="F5491" s="63" t="s">
        <v>543</v>
      </c>
      <c r="G5491" s="64" t="s">
        <v>544</v>
      </c>
      <c r="H5491" s="62" t="s">
        <v>138</v>
      </c>
    </row>
    <row r="5492" customFormat="false" ht="15" hidden="false" customHeight="false" outlineLevel="0" collapsed="false">
      <c r="A5492" s="62" t="n">
        <v>1</v>
      </c>
      <c r="B5492" s="62" t="s">
        <v>385</v>
      </c>
      <c r="C5492" s="62" t="s">
        <v>60</v>
      </c>
      <c r="D5492" s="62" t="s">
        <v>382</v>
      </c>
      <c r="E5492" s="62" t="s">
        <v>382</v>
      </c>
      <c r="F5492" s="63" t="s">
        <v>543</v>
      </c>
      <c r="G5492" s="64" t="s">
        <v>544</v>
      </c>
      <c r="H5492" s="62" t="s">
        <v>138</v>
      </c>
    </row>
    <row r="5493" customFormat="false" ht="15" hidden="false" customHeight="false" outlineLevel="0" collapsed="false">
      <c r="A5493" s="62" t="n">
        <v>1</v>
      </c>
      <c r="B5493" s="62" t="s">
        <v>386</v>
      </c>
      <c r="C5493" s="62" t="s">
        <v>60</v>
      </c>
      <c r="D5493" s="62" t="s">
        <v>382</v>
      </c>
      <c r="E5493" s="62" t="s">
        <v>382</v>
      </c>
      <c r="F5493" s="63" t="s">
        <v>543</v>
      </c>
      <c r="G5493" s="64" t="s">
        <v>544</v>
      </c>
      <c r="H5493" s="62" t="s">
        <v>138</v>
      </c>
    </row>
    <row r="5494" customFormat="false" ht="15" hidden="false" customHeight="false" outlineLevel="0" collapsed="false">
      <c r="A5494" s="62" t="n">
        <v>1</v>
      </c>
      <c r="B5494" s="62" t="s">
        <v>387</v>
      </c>
      <c r="C5494" s="62" t="s">
        <v>60</v>
      </c>
      <c r="D5494" s="62" t="s">
        <v>382</v>
      </c>
      <c r="E5494" s="62" t="s">
        <v>382</v>
      </c>
      <c r="F5494" s="63" t="s">
        <v>543</v>
      </c>
      <c r="G5494" s="64" t="s">
        <v>544</v>
      </c>
      <c r="H5494" s="62" t="s">
        <v>138</v>
      </c>
    </row>
    <row r="5495" customFormat="false" ht="15" hidden="false" customHeight="false" outlineLevel="0" collapsed="false">
      <c r="A5495" s="62" t="n">
        <v>1</v>
      </c>
      <c r="B5495" s="62" t="s">
        <v>388</v>
      </c>
      <c r="C5495" s="62" t="s">
        <v>60</v>
      </c>
      <c r="D5495" s="62" t="s">
        <v>382</v>
      </c>
      <c r="E5495" s="62" t="s">
        <v>382</v>
      </c>
      <c r="F5495" s="63" t="s">
        <v>543</v>
      </c>
      <c r="G5495" s="64" t="s">
        <v>544</v>
      </c>
      <c r="H5495" s="62" t="s">
        <v>138</v>
      </c>
    </row>
    <row r="5496" customFormat="false" ht="15" hidden="false" customHeight="false" outlineLevel="0" collapsed="false">
      <c r="A5496" s="62" t="n">
        <v>1</v>
      </c>
      <c r="B5496" s="62" t="s">
        <v>381</v>
      </c>
      <c r="C5496" s="62" t="s">
        <v>60</v>
      </c>
      <c r="D5496" s="62" t="s">
        <v>382</v>
      </c>
      <c r="E5496" s="62" t="s">
        <v>382</v>
      </c>
      <c r="F5496" s="63" t="s">
        <v>545</v>
      </c>
      <c r="G5496" s="64" t="s">
        <v>805</v>
      </c>
      <c r="H5496" s="62" t="s">
        <v>138</v>
      </c>
    </row>
    <row r="5497" customFormat="false" ht="15" hidden="false" customHeight="false" outlineLevel="0" collapsed="false">
      <c r="A5497" s="62" t="n">
        <v>1</v>
      </c>
      <c r="B5497" s="62" t="s">
        <v>383</v>
      </c>
      <c r="C5497" s="62" t="s">
        <v>60</v>
      </c>
      <c r="D5497" s="62" t="s">
        <v>382</v>
      </c>
      <c r="E5497" s="62" t="s">
        <v>382</v>
      </c>
      <c r="F5497" s="63" t="s">
        <v>545</v>
      </c>
      <c r="G5497" s="64" t="s">
        <v>546</v>
      </c>
      <c r="H5497" s="62" t="s">
        <v>138</v>
      </c>
    </row>
    <row r="5498" customFormat="false" ht="15" hidden="false" customHeight="false" outlineLevel="0" collapsed="false">
      <c r="A5498" s="62" t="n">
        <v>1</v>
      </c>
      <c r="B5498" s="62" t="s">
        <v>384</v>
      </c>
      <c r="C5498" s="62" t="s">
        <v>60</v>
      </c>
      <c r="D5498" s="62" t="s">
        <v>382</v>
      </c>
      <c r="E5498" s="62" t="s">
        <v>382</v>
      </c>
      <c r="F5498" s="63" t="s">
        <v>545</v>
      </c>
      <c r="G5498" s="64" t="s">
        <v>805</v>
      </c>
      <c r="H5498" s="62" t="s">
        <v>138</v>
      </c>
    </row>
    <row r="5499" customFormat="false" ht="15" hidden="false" customHeight="false" outlineLevel="0" collapsed="false">
      <c r="A5499" s="62" t="n">
        <v>1</v>
      </c>
      <c r="B5499" s="62" t="s">
        <v>385</v>
      </c>
      <c r="C5499" s="62" t="s">
        <v>60</v>
      </c>
      <c r="D5499" s="62" t="s">
        <v>382</v>
      </c>
      <c r="E5499" s="62" t="s">
        <v>382</v>
      </c>
      <c r="F5499" s="63" t="s">
        <v>545</v>
      </c>
      <c r="G5499" s="64" t="s">
        <v>546</v>
      </c>
      <c r="H5499" s="62" t="s">
        <v>138</v>
      </c>
    </row>
    <row r="5500" customFormat="false" ht="15" hidden="false" customHeight="false" outlineLevel="0" collapsed="false">
      <c r="A5500" s="62" t="n">
        <v>1</v>
      </c>
      <c r="B5500" s="62" t="s">
        <v>386</v>
      </c>
      <c r="C5500" s="62" t="s">
        <v>60</v>
      </c>
      <c r="D5500" s="62" t="s">
        <v>382</v>
      </c>
      <c r="E5500" s="62" t="s">
        <v>382</v>
      </c>
      <c r="F5500" s="63" t="s">
        <v>545</v>
      </c>
      <c r="G5500" s="64" t="s">
        <v>805</v>
      </c>
      <c r="H5500" s="62" t="s">
        <v>138</v>
      </c>
    </row>
    <row r="5501" customFormat="false" ht="15" hidden="false" customHeight="false" outlineLevel="0" collapsed="false">
      <c r="A5501" s="62" t="n">
        <v>1</v>
      </c>
      <c r="B5501" s="62" t="s">
        <v>387</v>
      </c>
      <c r="C5501" s="62" t="s">
        <v>60</v>
      </c>
      <c r="D5501" s="62" t="s">
        <v>382</v>
      </c>
      <c r="E5501" s="62" t="s">
        <v>382</v>
      </c>
      <c r="F5501" s="63" t="s">
        <v>545</v>
      </c>
      <c r="G5501" s="64" t="s">
        <v>805</v>
      </c>
      <c r="H5501" s="62" t="s">
        <v>138</v>
      </c>
    </row>
    <row r="5502" customFormat="false" ht="15" hidden="false" customHeight="false" outlineLevel="0" collapsed="false">
      <c r="A5502" s="62" t="n">
        <v>1</v>
      </c>
      <c r="B5502" s="62" t="s">
        <v>388</v>
      </c>
      <c r="C5502" s="62" t="s">
        <v>60</v>
      </c>
      <c r="D5502" s="62" t="s">
        <v>382</v>
      </c>
      <c r="E5502" s="62" t="s">
        <v>382</v>
      </c>
      <c r="F5502" s="63" t="s">
        <v>545</v>
      </c>
      <c r="G5502" s="64" t="s">
        <v>805</v>
      </c>
      <c r="H5502" s="62" t="s">
        <v>138</v>
      </c>
    </row>
    <row r="5503" customFormat="false" ht="15" hidden="false" customHeight="false" outlineLevel="0" collapsed="false">
      <c r="A5503" s="62" t="n">
        <v>1</v>
      </c>
      <c r="B5503" s="62" t="s">
        <v>381</v>
      </c>
      <c r="C5503" s="62" t="s">
        <v>60</v>
      </c>
      <c r="D5503" s="62" t="s">
        <v>382</v>
      </c>
      <c r="E5503" s="62" t="s">
        <v>382</v>
      </c>
      <c r="F5503" s="63" t="s">
        <v>547</v>
      </c>
      <c r="G5503" s="64" t="s">
        <v>806</v>
      </c>
      <c r="H5503" s="62" t="s">
        <v>138</v>
      </c>
    </row>
    <row r="5504" customFormat="false" ht="15" hidden="false" customHeight="false" outlineLevel="0" collapsed="false">
      <c r="A5504" s="62" t="n">
        <v>1</v>
      </c>
      <c r="B5504" s="62" t="s">
        <v>383</v>
      </c>
      <c r="C5504" s="62" t="s">
        <v>60</v>
      </c>
      <c r="D5504" s="62" t="s">
        <v>382</v>
      </c>
      <c r="E5504" s="62" t="s">
        <v>382</v>
      </c>
      <c r="F5504" s="63" t="s">
        <v>547</v>
      </c>
      <c r="G5504" s="64" t="s">
        <v>806</v>
      </c>
      <c r="H5504" s="62" t="s">
        <v>138</v>
      </c>
    </row>
    <row r="5505" customFormat="false" ht="15" hidden="false" customHeight="false" outlineLevel="0" collapsed="false">
      <c r="A5505" s="62" t="n">
        <v>1</v>
      </c>
      <c r="B5505" s="62" t="s">
        <v>384</v>
      </c>
      <c r="C5505" s="62" t="s">
        <v>60</v>
      </c>
      <c r="D5505" s="62" t="s">
        <v>382</v>
      </c>
      <c r="E5505" s="62" t="s">
        <v>382</v>
      </c>
      <c r="F5505" s="63" t="s">
        <v>547</v>
      </c>
      <c r="G5505" s="64" t="s">
        <v>806</v>
      </c>
      <c r="H5505" s="62" t="s">
        <v>138</v>
      </c>
    </row>
    <row r="5506" customFormat="false" ht="15" hidden="false" customHeight="false" outlineLevel="0" collapsed="false">
      <c r="A5506" s="62" t="n">
        <v>1</v>
      </c>
      <c r="B5506" s="62" t="s">
        <v>385</v>
      </c>
      <c r="C5506" s="62" t="s">
        <v>60</v>
      </c>
      <c r="D5506" s="62" t="s">
        <v>382</v>
      </c>
      <c r="E5506" s="62" t="s">
        <v>382</v>
      </c>
      <c r="F5506" s="63" t="s">
        <v>547</v>
      </c>
      <c r="G5506" s="64" t="s">
        <v>806</v>
      </c>
      <c r="H5506" s="62" t="s">
        <v>138</v>
      </c>
    </row>
    <row r="5507" customFormat="false" ht="15" hidden="false" customHeight="false" outlineLevel="0" collapsed="false">
      <c r="A5507" s="62" t="n">
        <v>1</v>
      </c>
      <c r="B5507" s="62" t="s">
        <v>386</v>
      </c>
      <c r="C5507" s="62" t="s">
        <v>60</v>
      </c>
      <c r="D5507" s="62" t="s">
        <v>382</v>
      </c>
      <c r="E5507" s="62" t="s">
        <v>382</v>
      </c>
      <c r="F5507" s="63" t="s">
        <v>547</v>
      </c>
      <c r="G5507" s="64" t="s">
        <v>806</v>
      </c>
      <c r="H5507" s="62" t="s">
        <v>138</v>
      </c>
    </row>
    <row r="5508" customFormat="false" ht="15" hidden="false" customHeight="false" outlineLevel="0" collapsed="false">
      <c r="A5508" s="62" t="n">
        <v>1</v>
      </c>
      <c r="B5508" s="62" t="s">
        <v>387</v>
      </c>
      <c r="C5508" s="62" t="s">
        <v>60</v>
      </c>
      <c r="D5508" s="62" t="s">
        <v>382</v>
      </c>
      <c r="E5508" s="62" t="s">
        <v>382</v>
      </c>
      <c r="F5508" s="63" t="s">
        <v>547</v>
      </c>
      <c r="G5508" s="64" t="s">
        <v>806</v>
      </c>
      <c r="H5508" s="62" t="s">
        <v>138</v>
      </c>
    </row>
    <row r="5509" customFormat="false" ht="15" hidden="false" customHeight="false" outlineLevel="0" collapsed="false">
      <c r="A5509" s="62" t="n">
        <v>1</v>
      </c>
      <c r="B5509" s="62" t="s">
        <v>388</v>
      </c>
      <c r="C5509" s="62" t="s">
        <v>60</v>
      </c>
      <c r="D5509" s="62" t="s">
        <v>382</v>
      </c>
      <c r="E5509" s="62" t="s">
        <v>382</v>
      </c>
      <c r="F5509" s="63" t="s">
        <v>547</v>
      </c>
      <c r="G5509" s="64" t="s">
        <v>806</v>
      </c>
      <c r="H5509" s="62" t="s">
        <v>138</v>
      </c>
    </row>
    <row r="5510" customFormat="false" ht="15" hidden="false" customHeight="false" outlineLevel="0" collapsed="false">
      <c r="A5510" s="62" t="n">
        <v>1</v>
      </c>
      <c r="B5510" s="62" t="s">
        <v>381</v>
      </c>
      <c r="C5510" s="62" t="s">
        <v>60</v>
      </c>
      <c r="D5510" s="62" t="s">
        <v>382</v>
      </c>
      <c r="E5510" s="62" t="s">
        <v>382</v>
      </c>
      <c r="F5510" s="63" t="s">
        <v>807</v>
      </c>
      <c r="G5510" s="64" t="s">
        <v>550</v>
      </c>
      <c r="H5510" s="62" t="s">
        <v>138</v>
      </c>
    </row>
    <row r="5511" customFormat="false" ht="15" hidden="false" customHeight="false" outlineLevel="0" collapsed="false">
      <c r="A5511" s="62" t="n">
        <v>1</v>
      </c>
      <c r="B5511" s="62" t="s">
        <v>383</v>
      </c>
      <c r="C5511" s="62" t="s">
        <v>60</v>
      </c>
      <c r="D5511" s="62" t="s">
        <v>382</v>
      </c>
      <c r="E5511" s="62" t="s">
        <v>382</v>
      </c>
      <c r="F5511" s="63" t="s">
        <v>807</v>
      </c>
      <c r="G5511" s="64" t="s">
        <v>550</v>
      </c>
      <c r="H5511" s="62" t="s">
        <v>138</v>
      </c>
    </row>
    <row r="5512" customFormat="false" ht="15" hidden="false" customHeight="false" outlineLevel="0" collapsed="false">
      <c r="A5512" s="62" t="n">
        <v>1</v>
      </c>
      <c r="B5512" s="62" t="s">
        <v>384</v>
      </c>
      <c r="C5512" s="62" t="s">
        <v>60</v>
      </c>
      <c r="D5512" s="62" t="s">
        <v>382</v>
      </c>
      <c r="E5512" s="62" t="s">
        <v>382</v>
      </c>
      <c r="F5512" s="63" t="s">
        <v>807</v>
      </c>
      <c r="G5512" s="64" t="s">
        <v>550</v>
      </c>
      <c r="H5512" s="62" t="s">
        <v>138</v>
      </c>
    </row>
    <row r="5513" customFormat="false" ht="15" hidden="false" customHeight="false" outlineLevel="0" collapsed="false">
      <c r="A5513" s="62" t="n">
        <v>1</v>
      </c>
      <c r="B5513" s="62" t="s">
        <v>386</v>
      </c>
      <c r="C5513" s="62" t="s">
        <v>60</v>
      </c>
      <c r="D5513" s="62" t="s">
        <v>382</v>
      </c>
      <c r="E5513" s="62" t="s">
        <v>382</v>
      </c>
      <c r="F5513" s="63" t="s">
        <v>807</v>
      </c>
      <c r="G5513" s="64" t="s">
        <v>550</v>
      </c>
      <c r="H5513" s="62" t="s">
        <v>138</v>
      </c>
    </row>
    <row r="5514" customFormat="false" ht="15" hidden="false" customHeight="false" outlineLevel="0" collapsed="false">
      <c r="A5514" s="62" t="n">
        <v>1</v>
      </c>
      <c r="B5514" s="62" t="s">
        <v>387</v>
      </c>
      <c r="C5514" s="62" t="s">
        <v>60</v>
      </c>
      <c r="D5514" s="62" t="s">
        <v>382</v>
      </c>
      <c r="E5514" s="62" t="s">
        <v>382</v>
      </c>
      <c r="F5514" s="63" t="s">
        <v>807</v>
      </c>
      <c r="G5514" s="64" t="s">
        <v>550</v>
      </c>
      <c r="H5514" s="62" t="s">
        <v>138</v>
      </c>
    </row>
    <row r="5515" customFormat="false" ht="15" hidden="false" customHeight="false" outlineLevel="0" collapsed="false">
      <c r="A5515" s="62" t="n">
        <v>1</v>
      </c>
      <c r="B5515" s="62" t="s">
        <v>388</v>
      </c>
      <c r="C5515" s="62" t="s">
        <v>60</v>
      </c>
      <c r="D5515" s="62" t="s">
        <v>382</v>
      </c>
      <c r="E5515" s="62" t="s">
        <v>382</v>
      </c>
      <c r="F5515" s="63" t="s">
        <v>807</v>
      </c>
      <c r="G5515" s="64" t="s">
        <v>550</v>
      </c>
      <c r="H5515" s="62" t="s">
        <v>138</v>
      </c>
    </row>
    <row r="5516" customFormat="false" ht="15" hidden="false" customHeight="false" outlineLevel="0" collapsed="false">
      <c r="A5516" s="62" t="n">
        <v>1</v>
      </c>
      <c r="B5516" s="62" t="s">
        <v>381</v>
      </c>
      <c r="C5516" s="62" t="s">
        <v>60</v>
      </c>
      <c r="D5516" s="62" t="s">
        <v>382</v>
      </c>
      <c r="E5516" s="62" t="s">
        <v>382</v>
      </c>
      <c r="F5516" s="63" t="s">
        <v>808</v>
      </c>
      <c r="G5516" s="64" t="s">
        <v>550</v>
      </c>
      <c r="H5516" s="62" t="s">
        <v>138</v>
      </c>
    </row>
    <row r="5517" customFormat="false" ht="15" hidden="false" customHeight="false" outlineLevel="0" collapsed="false">
      <c r="A5517" s="62" t="n">
        <v>1</v>
      </c>
      <c r="B5517" s="62" t="s">
        <v>388</v>
      </c>
      <c r="C5517" s="62" t="s">
        <v>60</v>
      </c>
      <c r="D5517" s="62" t="s">
        <v>382</v>
      </c>
      <c r="E5517" s="62" t="s">
        <v>382</v>
      </c>
      <c r="F5517" s="63" t="s">
        <v>808</v>
      </c>
      <c r="G5517" s="64" t="s">
        <v>550</v>
      </c>
      <c r="H5517" s="62" t="s">
        <v>138</v>
      </c>
    </row>
    <row r="5518" customFormat="false" ht="15" hidden="false" customHeight="false" outlineLevel="0" collapsed="false">
      <c r="A5518" s="62" t="n">
        <v>1</v>
      </c>
      <c r="B5518" s="62" t="s">
        <v>381</v>
      </c>
      <c r="C5518" s="62" t="s">
        <v>60</v>
      </c>
      <c r="D5518" s="62" t="s">
        <v>382</v>
      </c>
      <c r="E5518" s="62" t="s">
        <v>382</v>
      </c>
      <c r="F5518" s="63" t="s">
        <v>809</v>
      </c>
      <c r="G5518" s="64" t="s">
        <v>550</v>
      </c>
      <c r="H5518" s="62" t="s">
        <v>138</v>
      </c>
    </row>
    <row r="5519" customFormat="false" ht="15" hidden="false" customHeight="false" outlineLevel="0" collapsed="false">
      <c r="A5519" s="62" t="n">
        <v>1</v>
      </c>
      <c r="B5519" s="62" t="s">
        <v>383</v>
      </c>
      <c r="C5519" s="62" t="s">
        <v>60</v>
      </c>
      <c r="D5519" s="62" t="s">
        <v>382</v>
      </c>
      <c r="E5519" s="62" t="s">
        <v>382</v>
      </c>
      <c r="F5519" s="63" t="s">
        <v>809</v>
      </c>
      <c r="G5519" s="64" t="s">
        <v>550</v>
      </c>
      <c r="H5519" s="62" t="s">
        <v>138</v>
      </c>
    </row>
    <row r="5520" customFormat="false" ht="15" hidden="false" customHeight="false" outlineLevel="0" collapsed="false">
      <c r="A5520" s="62" t="n">
        <v>1</v>
      </c>
      <c r="B5520" s="62" t="s">
        <v>384</v>
      </c>
      <c r="C5520" s="62" t="s">
        <v>60</v>
      </c>
      <c r="D5520" s="62" t="s">
        <v>382</v>
      </c>
      <c r="E5520" s="62" t="s">
        <v>382</v>
      </c>
      <c r="F5520" s="63" t="s">
        <v>809</v>
      </c>
      <c r="G5520" s="64" t="s">
        <v>550</v>
      </c>
      <c r="H5520" s="62" t="s">
        <v>138</v>
      </c>
    </row>
    <row r="5521" customFormat="false" ht="15" hidden="false" customHeight="false" outlineLevel="0" collapsed="false">
      <c r="A5521" s="62" t="n">
        <v>1</v>
      </c>
      <c r="B5521" s="62" t="s">
        <v>387</v>
      </c>
      <c r="C5521" s="62" t="s">
        <v>60</v>
      </c>
      <c r="D5521" s="62" t="s">
        <v>382</v>
      </c>
      <c r="E5521" s="62" t="s">
        <v>382</v>
      </c>
      <c r="F5521" s="63" t="s">
        <v>809</v>
      </c>
      <c r="G5521" s="64" t="s">
        <v>550</v>
      </c>
      <c r="H5521" s="62" t="s">
        <v>138</v>
      </c>
    </row>
    <row r="5522" customFormat="false" ht="15" hidden="false" customHeight="false" outlineLevel="0" collapsed="false">
      <c r="A5522" s="62" t="n">
        <v>1</v>
      </c>
      <c r="B5522" s="62" t="s">
        <v>388</v>
      </c>
      <c r="C5522" s="62" t="s">
        <v>60</v>
      </c>
      <c r="D5522" s="62" t="s">
        <v>382</v>
      </c>
      <c r="E5522" s="62" t="s">
        <v>382</v>
      </c>
      <c r="F5522" s="63" t="s">
        <v>809</v>
      </c>
      <c r="G5522" s="64" t="s">
        <v>550</v>
      </c>
      <c r="H5522" s="62" t="s">
        <v>138</v>
      </c>
    </row>
    <row r="5523" customFormat="false" ht="15" hidden="false" customHeight="false" outlineLevel="0" collapsed="false">
      <c r="A5523" s="62" t="n">
        <v>1</v>
      </c>
      <c r="B5523" s="62" t="s">
        <v>381</v>
      </c>
      <c r="C5523" s="62" t="s">
        <v>60</v>
      </c>
      <c r="D5523" s="62" t="s">
        <v>382</v>
      </c>
      <c r="E5523" s="62" t="s">
        <v>382</v>
      </c>
      <c r="F5523" s="63" t="s">
        <v>810</v>
      </c>
      <c r="G5523" s="64" t="s">
        <v>550</v>
      </c>
      <c r="H5523" s="62" t="s">
        <v>138</v>
      </c>
    </row>
    <row r="5524" customFormat="false" ht="15" hidden="false" customHeight="false" outlineLevel="0" collapsed="false">
      <c r="A5524" s="62" t="n">
        <v>1</v>
      </c>
      <c r="B5524" s="62" t="s">
        <v>383</v>
      </c>
      <c r="C5524" s="62" t="s">
        <v>60</v>
      </c>
      <c r="D5524" s="62" t="s">
        <v>382</v>
      </c>
      <c r="E5524" s="62" t="s">
        <v>382</v>
      </c>
      <c r="F5524" s="63" t="s">
        <v>810</v>
      </c>
      <c r="G5524" s="64" t="s">
        <v>550</v>
      </c>
      <c r="H5524" s="62" t="s">
        <v>138</v>
      </c>
    </row>
    <row r="5525" customFormat="false" ht="15" hidden="false" customHeight="false" outlineLevel="0" collapsed="false">
      <c r="A5525" s="62" t="n">
        <v>1</v>
      </c>
      <c r="B5525" s="62" t="s">
        <v>386</v>
      </c>
      <c r="C5525" s="62" t="s">
        <v>60</v>
      </c>
      <c r="D5525" s="62" t="s">
        <v>382</v>
      </c>
      <c r="E5525" s="62" t="s">
        <v>382</v>
      </c>
      <c r="F5525" s="63" t="s">
        <v>810</v>
      </c>
      <c r="G5525" s="64" t="s">
        <v>550</v>
      </c>
      <c r="H5525" s="62" t="s">
        <v>138</v>
      </c>
    </row>
    <row r="5526" customFormat="false" ht="15" hidden="false" customHeight="false" outlineLevel="0" collapsed="false">
      <c r="A5526" s="62" t="n">
        <v>1</v>
      </c>
      <c r="B5526" s="62" t="s">
        <v>381</v>
      </c>
      <c r="C5526" s="62" t="s">
        <v>60</v>
      </c>
      <c r="D5526" s="62" t="s">
        <v>382</v>
      </c>
      <c r="E5526" s="62" t="s">
        <v>382</v>
      </c>
      <c r="F5526" s="63" t="s">
        <v>811</v>
      </c>
      <c r="G5526" s="64" t="s">
        <v>550</v>
      </c>
      <c r="H5526" s="62" t="s">
        <v>138</v>
      </c>
    </row>
    <row r="5527" customFormat="false" ht="15" hidden="false" customHeight="false" outlineLevel="0" collapsed="false">
      <c r="A5527" s="62" t="n">
        <v>1</v>
      </c>
      <c r="B5527" s="62" t="s">
        <v>384</v>
      </c>
      <c r="C5527" s="62" t="s">
        <v>60</v>
      </c>
      <c r="D5527" s="62" t="s">
        <v>382</v>
      </c>
      <c r="E5527" s="62" t="s">
        <v>382</v>
      </c>
      <c r="F5527" s="63" t="s">
        <v>811</v>
      </c>
      <c r="G5527" s="64" t="s">
        <v>550</v>
      </c>
      <c r="H5527" s="62" t="s">
        <v>138</v>
      </c>
    </row>
    <row r="5528" customFormat="false" ht="15" hidden="false" customHeight="false" outlineLevel="0" collapsed="false">
      <c r="A5528" s="62" t="n">
        <v>1</v>
      </c>
      <c r="B5528" s="62" t="s">
        <v>386</v>
      </c>
      <c r="C5528" s="62" t="s">
        <v>60</v>
      </c>
      <c r="D5528" s="62" t="s">
        <v>382</v>
      </c>
      <c r="E5528" s="62" t="s">
        <v>382</v>
      </c>
      <c r="F5528" s="63" t="s">
        <v>811</v>
      </c>
      <c r="G5528" s="64" t="s">
        <v>550</v>
      </c>
      <c r="H5528" s="62" t="s">
        <v>138</v>
      </c>
    </row>
    <row r="5529" customFormat="false" ht="15" hidden="false" customHeight="false" outlineLevel="0" collapsed="false">
      <c r="A5529" s="62" t="n">
        <v>1</v>
      </c>
      <c r="B5529" s="62" t="s">
        <v>381</v>
      </c>
      <c r="C5529" s="62" t="s">
        <v>60</v>
      </c>
      <c r="D5529" s="62" t="s">
        <v>382</v>
      </c>
      <c r="E5529" s="62" t="s">
        <v>382</v>
      </c>
      <c r="F5529" s="63" t="s">
        <v>549</v>
      </c>
      <c r="G5529" s="64" t="s">
        <v>550</v>
      </c>
      <c r="H5529" s="62"/>
    </row>
    <row r="5530" customFormat="false" ht="15" hidden="false" customHeight="false" outlineLevel="0" collapsed="false">
      <c r="A5530" s="62" t="n">
        <v>1</v>
      </c>
      <c r="B5530" s="62" t="s">
        <v>383</v>
      </c>
      <c r="C5530" s="62" t="s">
        <v>60</v>
      </c>
      <c r="D5530" s="62" t="s">
        <v>382</v>
      </c>
      <c r="E5530" s="62" t="s">
        <v>382</v>
      </c>
      <c r="F5530" s="63" t="s">
        <v>549</v>
      </c>
      <c r="G5530" s="64" t="s">
        <v>550</v>
      </c>
      <c r="H5530" s="62"/>
    </row>
    <row r="5531" customFormat="false" ht="15" hidden="false" customHeight="false" outlineLevel="0" collapsed="false">
      <c r="A5531" s="62" t="n">
        <v>1</v>
      </c>
      <c r="B5531" s="62" t="s">
        <v>384</v>
      </c>
      <c r="C5531" s="62" t="s">
        <v>60</v>
      </c>
      <c r="D5531" s="62" t="s">
        <v>382</v>
      </c>
      <c r="E5531" s="62" t="s">
        <v>382</v>
      </c>
      <c r="F5531" s="63" t="s">
        <v>549</v>
      </c>
      <c r="G5531" s="64" t="s">
        <v>550</v>
      </c>
      <c r="H5531" s="62"/>
    </row>
    <row r="5532" customFormat="false" ht="15" hidden="false" customHeight="false" outlineLevel="0" collapsed="false">
      <c r="A5532" s="62" t="n">
        <v>1</v>
      </c>
      <c r="B5532" s="62" t="s">
        <v>386</v>
      </c>
      <c r="C5532" s="62" t="s">
        <v>60</v>
      </c>
      <c r="D5532" s="62" t="s">
        <v>382</v>
      </c>
      <c r="E5532" s="62" t="s">
        <v>382</v>
      </c>
      <c r="F5532" s="63" t="s">
        <v>549</v>
      </c>
      <c r="G5532" s="64" t="s">
        <v>550</v>
      </c>
      <c r="H5532" s="62"/>
    </row>
    <row r="5533" customFormat="false" ht="15" hidden="false" customHeight="false" outlineLevel="0" collapsed="false">
      <c r="A5533" s="62" t="n">
        <v>1</v>
      </c>
      <c r="B5533" s="62" t="s">
        <v>388</v>
      </c>
      <c r="C5533" s="62" t="s">
        <v>60</v>
      </c>
      <c r="D5533" s="62" t="s">
        <v>382</v>
      </c>
      <c r="E5533" s="62" t="s">
        <v>382</v>
      </c>
      <c r="F5533" s="63" t="s">
        <v>549</v>
      </c>
      <c r="G5533" s="64" t="s">
        <v>550</v>
      </c>
      <c r="H5533" s="62"/>
    </row>
    <row r="5534" customFormat="false" ht="15" hidden="false" customHeight="false" outlineLevel="0" collapsed="false">
      <c r="A5534" s="62" t="n">
        <v>1</v>
      </c>
      <c r="B5534" s="62" t="s">
        <v>387</v>
      </c>
      <c r="C5534" s="62" t="s">
        <v>60</v>
      </c>
      <c r="D5534" s="62" t="s">
        <v>382</v>
      </c>
      <c r="E5534" s="62" t="s">
        <v>382</v>
      </c>
      <c r="F5534" s="63" t="s">
        <v>551</v>
      </c>
      <c r="G5534" s="64" t="s">
        <v>550</v>
      </c>
      <c r="H5534" s="62"/>
    </row>
    <row r="5535" customFormat="false" ht="15" hidden="false" customHeight="false" outlineLevel="0" collapsed="false">
      <c r="A5535" s="62" t="n">
        <v>1</v>
      </c>
      <c r="B5535" s="62" t="s">
        <v>383</v>
      </c>
      <c r="C5535" s="62" t="s">
        <v>60</v>
      </c>
      <c r="D5535" s="62" t="s">
        <v>382</v>
      </c>
      <c r="E5535" s="62" t="s">
        <v>382</v>
      </c>
      <c r="F5535" s="63" t="s">
        <v>553</v>
      </c>
      <c r="G5535" s="64" t="s">
        <v>550</v>
      </c>
      <c r="H5535" s="62"/>
    </row>
    <row r="5536" customFormat="false" ht="15" hidden="false" customHeight="false" outlineLevel="0" collapsed="false">
      <c r="A5536" s="62" t="n">
        <v>1</v>
      </c>
      <c r="B5536" s="62" t="s">
        <v>384</v>
      </c>
      <c r="C5536" s="62" t="s">
        <v>60</v>
      </c>
      <c r="D5536" s="62" t="s">
        <v>382</v>
      </c>
      <c r="E5536" s="62" t="s">
        <v>382</v>
      </c>
      <c r="F5536" s="63" t="s">
        <v>553</v>
      </c>
      <c r="G5536" s="64" t="s">
        <v>550</v>
      </c>
      <c r="H5536" s="62"/>
    </row>
    <row r="5537" customFormat="false" ht="15" hidden="false" customHeight="false" outlineLevel="0" collapsed="false">
      <c r="A5537" s="62" t="n">
        <v>1</v>
      </c>
      <c r="B5537" s="62" t="s">
        <v>385</v>
      </c>
      <c r="C5537" s="62" t="s">
        <v>60</v>
      </c>
      <c r="D5537" s="62" t="s">
        <v>382</v>
      </c>
      <c r="E5537" s="62" t="s">
        <v>382</v>
      </c>
      <c r="F5537" s="63" t="s">
        <v>553</v>
      </c>
      <c r="G5537" s="64" t="s">
        <v>550</v>
      </c>
      <c r="H5537" s="62"/>
    </row>
    <row r="5538" customFormat="false" ht="15" hidden="false" customHeight="false" outlineLevel="0" collapsed="false">
      <c r="A5538" s="62" t="n">
        <v>1</v>
      </c>
      <c r="B5538" s="62" t="s">
        <v>386</v>
      </c>
      <c r="C5538" s="62" t="s">
        <v>60</v>
      </c>
      <c r="D5538" s="62" t="s">
        <v>382</v>
      </c>
      <c r="E5538" s="62" t="s">
        <v>382</v>
      </c>
      <c r="F5538" s="63" t="s">
        <v>553</v>
      </c>
      <c r="G5538" s="64" t="s">
        <v>550</v>
      </c>
      <c r="H5538" s="62"/>
    </row>
    <row r="5539" customFormat="false" ht="15" hidden="false" customHeight="false" outlineLevel="0" collapsed="false">
      <c r="A5539" s="62" t="n">
        <v>1</v>
      </c>
      <c r="B5539" s="62" t="s">
        <v>388</v>
      </c>
      <c r="C5539" s="62" t="s">
        <v>60</v>
      </c>
      <c r="D5539" s="62" t="s">
        <v>382</v>
      </c>
      <c r="E5539" s="62" t="s">
        <v>382</v>
      </c>
      <c r="F5539" s="63" t="s">
        <v>553</v>
      </c>
      <c r="G5539" s="64" t="s">
        <v>550</v>
      </c>
      <c r="H5539" s="62"/>
    </row>
    <row r="5540" customFormat="false" ht="15" hidden="false" customHeight="false" outlineLevel="0" collapsed="false">
      <c r="A5540" s="62" t="n">
        <v>1</v>
      </c>
      <c r="B5540" s="62" t="s">
        <v>381</v>
      </c>
      <c r="C5540" s="62" t="s">
        <v>60</v>
      </c>
      <c r="D5540" s="62" t="s">
        <v>382</v>
      </c>
      <c r="E5540" s="62" t="s">
        <v>382</v>
      </c>
      <c r="F5540" s="63" t="s">
        <v>554</v>
      </c>
      <c r="G5540" s="64" t="s">
        <v>550</v>
      </c>
      <c r="H5540" s="62"/>
    </row>
    <row r="5541" customFormat="false" ht="15" hidden="false" customHeight="false" outlineLevel="0" collapsed="false">
      <c r="A5541" s="62" t="n">
        <v>1</v>
      </c>
      <c r="B5541" s="62" t="s">
        <v>384</v>
      </c>
      <c r="C5541" s="62" t="s">
        <v>60</v>
      </c>
      <c r="D5541" s="62" t="s">
        <v>382</v>
      </c>
      <c r="E5541" s="62" t="s">
        <v>382</v>
      </c>
      <c r="F5541" s="63" t="s">
        <v>554</v>
      </c>
      <c r="G5541" s="64" t="s">
        <v>550</v>
      </c>
      <c r="H5541" s="62"/>
    </row>
    <row r="5542" customFormat="false" ht="15" hidden="false" customHeight="false" outlineLevel="0" collapsed="false">
      <c r="A5542" s="62" t="n">
        <v>1</v>
      </c>
      <c r="B5542" s="62" t="s">
        <v>385</v>
      </c>
      <c r="C5542" s="62" t="s">
        <v>60</v>
      </c>
      <c r="D5542" s="62" t="s">
        <v>382</v>
      </c>
      <c r="E5542" s="62" t="s">
        <v>382</v>
      </c>
      <c r="F5542" s="63" t="s">
        <v>554</v>
      </c>
      <c r="G5542" s="64" t="s">
        <v>550</v>
      </c>
      <c r="H5542" s="62"/>
    </row>
    <row r="5543" customFormat="false" ht="15" hidden="false" customHeight="false" outlineLevel="0" collapsed="false">
      <c r="A5543" s="62" t="n">
        <v>1</v>
      </c>
      <c r="B5543" s="62" t="s">
        <v>387</v>
      </c>
      <c r="C5543" s="62" t="s">
        <v>60</v>
      </c>
      <c r="D5543" s="62" t="s">
        <v>382</v>
      </c>
      <c r="E5543" s="62" t="s">
        <v>382</v>
      </c>
      <c r="F5543" s="63" t="s">
        <v>554</v>
      </c>
      <c r="G5543" s="64" t="s">
        <v>550</v>
      </c>
      <c r="H5543" s="62"/>
    </row>
    <row r="5544" customFormat="false" ht="15" hidden="false" customHeight="false" outlineLevel="0" collapsed="false">
      <c r="A5544" s="62" t="n">
        <v>1</v>
      </c>
      <c r="B5544" s="62" t="s">
        <v>388</v>
      </c>
      <c r="C5544" s="62" t="s">
        <v>60</v>
      </c>
      <c r="D5544" s="62" t="s">
        <v>382</v>
      </c>
      <c r="E5544" s="62" t="s">
        <v>382</v>
      </c>
      <c r="F5544" s="63" t="s">
        <v>554</v>
      </c>
      <c r="G5544" s="64" t="s">
        <v>550</v>
      </c>
      <c r="H5544" s="62"/>
    </row>
    <row r="5545" customFormat="false" ht="15" hidden="false" customHeight="false" outlineLevel="0" collapsed="false">
      <c r="A5545" s="62" t="n">
        <v>1</v>
      </c>
      <c r="B5545" s="62" t="s">
        <v>381</v>
      </c>
      <c r="C5545" s="62" t="s">
        <v>60</v>
      </c>
      <c r="D5545" s="62" t="s">
        <v>382</v>
      </c>
      <c r="E5545" s="62" t="s">
        <v>382</v>
      </c>
      <c r="F5545" s="63" t="s">
        <v>555</v>
      </c>
      <c r="G5545" s="64" t="n">
        <v>3.5</v>
      </c>
      <c r="H5545" s="62"/>
    </row>
    <row r="5546" customFormat="false" ht="15" hidden="false" customHeight="false" outlineLevel="0" collapsed="false">
      <c r="A5546" s="62" t="n">
        <v>1</v>
      </c>
      <c r="B5546" s="62" t="s">
        <v>383</v>
      </c>
      <c r="C5546" s="62" t="s">
        <v>60</v>
      </c>
      <c r="D5546" s="62" t="s">
        <v>382</v>
      </c>
      <c r="E5546" s="62" t="s">
        <v>382</v>
      </c>
      <c r="F5546" s="63" t="s">
        <v>555</v>
      </c>
      <c r="G5546" s="64" t="n">
        <v>4.5</v>
      </c>
      <c r="H5546" s="62"/>
    </row>
    <row r="5547" customFormat="false" ht="15" hidden="false" customHeight="false" outlineLevel="0" collapsed="false">
      <c r="A5547" s="62" t="n">
        <v>1</v>
      </c>
      <c r="B5547" s="62" t="s">
        <v>384</v>
      </c>
      <c r="C5547" s="62" t="s">
        <v>60</v>
      </c>
      <c r="D5547" s="62" t="s">
        <v>382</v>
      </c>
      <c r="E5547" s="62" t="s">
        <v>382</v>
      </c>
      <c r="F5547" s="63" t="s">
        <v>555</v>
      </c>
      <c r="G5547" s="64" t="n">
        <v>4</v>
      </c>
      <c r="H5547" s="62"/>
    </row>
    <row r="5548" customFormat="false" ht="15" hidden="false" customHeight="false" outlineLevel="0" collapsed="false">
      <c r="A5548" s="62" t="n">
        <v>1</v>
      </c>
      <c r="B5548" s="62" t="s">
        <v>385</v>
      </c>
      <c r="C5548" s="62" t="s">
        <v>60</v>
      </c>
      <c r="D5548" s="62" t="s">
        <v>382</v>
      </c>
      <c r="E5548" s="62" t="s">
        <v>382</v>
      </c>
      <c r="F5548" s="63" t="s">
        <v>555</v>
      </c>
      <c r="G5548" s="64" t="n">
        <v>4</v>
      </c>
      <c r="H5548" s="62"/>
    </row>
    <row r="5549" customFormat="false" ht="15" hidden="false" customHeight="false" outlineLevel="0" collapsed="false">
      <c r="A5549" s="62" t="n">
        <v>1</v>
      </c>
      <c r="B5549" s="62" t="s">
        <v>386</v>
      </c>
      <c r="C5549" s="62" t="s">
        <v>60</v>
      </c>
      <c r="D5549" s="62" t="s">
        <v>382</v>
      </c>
      <c r="E5549" s="62" t="s">
        <v>382</v>
      </c>
      <c r="F5549" s="63" t="s">
        <v>555</v>
      </c>
      <c r="G5549" s="64" t="n">
        <v>4.5</v>
      </c>
      <c r="H5549" s="62"/>
    </row>
    <row r="5550" customFormat="false" ht="15" hidden="false" customHeight="false" outlineLevel="0" collapsed="false">
      <c r="A5550" s="62" t="n">
        <v>1</v>
      </c>
      <c r="B5550" s="62" t="s">
        <v>387</v>
      </c>
      <c r="C5550" s="62" t="s">
        <v>60</v>
      </c>
      <c r="D5550" s="62" t="s">
        <v>382</v>
      </c>
      <c r="E5550" s="62" t="s">
        <v>382</v>
      </c>
      <c r="F5550" s="63" t="s">
        <v>555</v>
      </c>
      <c r="G5550" s="64" t="n">
        <v>2.25</v>
      </c>
      <c r="H5550" s="62"/>
    </row>
    <row r="5551" customFormat="false" ht="15" hidden="false" customHeight="false" outlineLevel="0" collapsed="false">
      <c r="A5551" s="62" t="n">
        <v>1</v>
      </c>
      <c r="B5551" s="62" t="s">
        <v>388</v>
      </c>
      <c r="C5551" s="62" t="s">
        <v>60</v>
      </c>
      <c r="D5551" s="62" t="s">
        <v>382</v>
      </c>
      <c r="E5551" s="62" t="s">
        <v>382</v>
      </c>
      <c r="F5551" s="63" t="s">
        <v>555</v>
      </c>
      <c r="G5551" s="64" t="n">
        <v>4</v>
      </c>
      <c r="H5551" s="62"/>
    </row>
    <row r="5552" customFormat="false" ht="15" hidden="false" customHeight="false" outlineLevel="0" collapsed="false">
      <c r="A5552" s="62" t="n">
        <v>1</v>
      </c>
      <c r="B5552" s="62" t="s">
        <v>381</v>
      </c>
      <c r="C5552" s="62" t="s">
        <v>60</v>
      </c>
      <c r="D5552" s="62" t="s">
        <v>382</v>
      </c>
      <c r="E5552" s="62" t="s">
        <v>382</v>
      </c>
      <c r="F5552" s="63" t="s">
        <v>556</v>
      </c>
      <c r="G5552" s="64" t="n">
        <v>4.5</v>
      </c>
      <c r="H5552" s="62"/>
    </row>
    <row r="5553" customFormat="false" ht="15" hidden="false" customHeight="false" outlineLevel="0" collapsed="false">
      <c r="A5553" s="62" t="n">
        <v>1</v>
      </c>
      <c r="B5553" s="62" t="s">
        <v>383</v>
      </c>
      <c r="C5553" s="62" t="s">
        <v>60</v>
      </c>
      <c r="D5553" s="62" t="s">
        <v>382</v>
      </c>
      <c r="E5553" s="62" t="s">
        <v>382</v>
      </c>
      <c r="F5553" s="63" t="s">
        <v>556</v>
      </c>
      <c r="G5553" s="64" t="n">
        <v>4</v>
      </c>
      <c r="H5553" s="62"/>
    </row>
    <row r="5554" customFormat="false" ht="15" hidden="false" customHeight="false" outlineLevel="0" collapsed="false">
      <c r="A5554" s="62" t="n">
        <v>1</v>
      </c>
      <c r="B5554" s="62" t="s">
        <v>384</v>
      </c>
      <c r="C5554" s="62" t="s">
        <v>60</v>
      </c>
      <c r="D5554" s="62" t="s">
        <v>382</v>
      </c>
      <c r="E5554" s="62" t="s">
        <v>382</v>
      </c>
      <c r="F5554" s="63" t="s">
        <v>556</v>
      </c>
      <c r="G5554" s="64" t="n">
        <v>4</v>
      </c>
      <c r="H5554" s="62"/>
    </row>
    <row r="5555" customFormat="false" ht="15" hidden="false" customHeight="false" outlineLevel="0" collapsed="false">
      <c r="A5555" s="62" t="n">
        <v>1</v>
      </c>
      <c r="B5555" s="62" t="s">
        <v>385</v>
      </c>
      <c r="C5555" s="62" t="s">
        <v>60</v>
      </c>
      <c r="D5555" s="62" t="s">
        <v>382</v>
      </c>
      <c r="E5555" s="62" t="s">
        <v>382</v>
      </c>
      <c r="F5555" s="63" t="s">
        <v>556</v>
      </c>
      <c r="G5555" s="64" t="n">
        <v>3.5</v>
      </c>
      <c r="H5555" s="62"/>
    </row>
    <row r="5556" customFormat="false" ht="15" hidden="false" customHeight="false" outlineLevel="0" collapsed="false">
      <c r="A5556" s="62" t="n">
        <v>1</v>
      </c>
      <c r="B5556" s="62" t="s">
        <v>386</v>
      </c>
      <c r="C5556" s="62" t="s">
        <v>60</v>
      </c>
      <c r="D5556" s="62" t="s">
        <v>382</v>
      </c>
      <c r="E5556" s="62" t="s">
        <v>382</v>
      </c>
      <c r="F5556" s="63" t="s">
        <v>556</v>
      </c>
      <c r="G5556" s="64" t="n">
        <v>4</v>
      </c>
      <c r="H5556" s="62"/>
    </row>
    <row r="5557" customFormat="false" ht="15" hidden="false" customHeight="false" outlineLevel="0" collapsed="false">
      <c r="A5557" s="62" t="n">
        <v>1</v>
      </c>
      <c r="B5557" s="62" t="s">
        <v>387</v>
      </c>
      <c r="C5557" s="62" t="s">
        <v>60</v>
      </c>
      <c r="D5557" s="62" t="s">
        <v>382</v>
      </c>
      <c r="E5557" s="62" t="s">
        <v>382</v>
      </c>
      <c r="F5557" s="63" t="s">
        <v>556</v>
      </c>
      <c r="G5557" s="64" t="n">
        <v>3.25</v>
      </c>
      <c r="H5557" s="62"/>
    </row>
    <row r="5558" customFormat="false" ht="15" hidden="false" customHeight="false" outlineLevel="0" collapsed="false">
      <c r="A5558" s="62" t="n">
        <v>1</v>
      </c>
      <c r="B5558" s="62" t="s">
        <v>388</v>
      </c>
      <c r="C5558" s="62" t="s">
        <v>60</v>
      </c>
      <c r="D5558" s="62" t="s">
        <v>382</v>
      </c>
      <c r="E5558" s="62" t="s">
        <v>382</v>
      </c>
      <c r="F5558" s="63" t="s">
        <v>556</v>
      </c>
      <c r="G5558" s="64" t="n">
        <v>4</v>
      </c>
      <c r="H5558" s="62"/>
    </row>
    <row r="5559" customFormat="false" ht="15" hidden="false" customHeight="false" outlineLevel="0" collapsed="false">
      <c r="A5559" s="62" t="n">
        <v>1</v>
      </c>
      <c r="B5559" s="62" t="s">
        <v>381</v>
      </c>
      <c r="C5559" s="62" t="s">
        <v>60</v>
      </c>
      <c r="D5559" s="62" t="s">
        <v>382</v>
      </c>
      <c r="E5559" s="62" t="s">
        <v>382</v>
      </c>
      <c r="F5559" s="63" t="s">
        <v>557</v>
      </c>
      <c r="G5559" s="64" t="n">
        <v>2125</v>
      </c>
      <c r="H5559" s="62"/>
    </row>
    <row r="5560" customFormat="false" ht="15" hidden="false" customHeight="false" outlineLevel="0" collapsed="false">
      <c r="A5560" s="62" t="n">
        <v>1</v>
      </c>
      <c r="B5560" s="62" t="s">
        <v>383</v>
      </c>
      <c r="C5560" s="62" t="s">
        <v>60</v>
      </c>
      <c r="D5560" s="62" t="s">
        <v>382</v>
      </c>
      <c r="E5560" s="62" t="s">
        <v>382</v>
      </c>
      <c r="F5560" s="63" t="s">
        <v>557</v>
      </c>
      <c r="G5560" s="64" t="n">
        <v>2250</v>
      </c>
      <c r="H5560" s="62"/>
    </row>
    <row r="5561" customFormat="false" ht="15" hidden="false" customHeight="false" outlineLevel="0" collapsed="false">
      <c r="A5561" s="62" t="n">
        <v>1</v>
      </c>
      <c r="B5561" s="62" t="s">
        <v>384</v>
      </c>
      <c r="C5561" s="62" t="s">
        <v>60</v>
      </c>
      <c r="D5561" s="62" t="s">
        <v>382</v>
      </c>
      <c r="E5561" s="62" t="s">
        <v>382</v>
      </c>
      <c r="F5561" s="63" t="s">
        <v>557</v>
      </c>
      <c r="G5561" s="64" t="n">
        <v>2166.66666666667</v>
      </c>
      <c r="H5561" s="62"/>
    </row>
    <row r="5562" customFormat="false" ht="15" hidden="false" customHeight="false" outlineLevel="0" collapsed="false">
      <c r="A5562" s="62" t="n">
        <v>1</v>
      </c>
      <c r="B5562" s="62" t="s">
        <v>385</v>
      </c>
      <c r="C5562" s="62" t="s">
        <v>60</v>
      </c>
      <c r="D5562" s="62" t="s">
        <v>382</v>
      </c>
      <c r="E5562" s="62" t="s">
        <v>382</v>
      </c>
      <c r="F5562" s="63" t="s">
        <v>557</v>
      </c>
      <c r="G5562" s="64" t="n">
        <v>2125</v>
      </c>
      <c r="H5562" s="62"/>
    </row>
    <row r="5563" customFormat="false" ht="15" hidden="false" customHeight="false" outlineLevel="0" collapsed="false">
      <c r="A5563" s="62" t="n">
        <v>1</v>
      </c>
      <c r="B5563" s="62" t="s">
        <v>386</v>
      </c>
      <c r="C5563" s="62" t="s">
        <v>60</v>
      </c>
      <c r="D5563" s="62" t="s">
        <v>382</v>
      </c>
      <c r="E5563" s="62" t="s">
        <v>382</v>
      </c>
      <c r="F5563" s="63" t="s">
        <v>557</v>
      </c>
      <c r="G5563" s="64" t="n">
        <v>2250</v>
      </c>
      <c r="H5563" s="62"/>
    </row>
    <row r="5564" customFormat="false" ht="15" hidden="false" customHeight="false" outlineLevel="0" collapsed="false">
      <c r="A5564" s="62" t="n">
        <v>1</v>
      </c>
      <c r="B5564" s="62" t="s">
        <v>387</v>
      </c>
      <c r="C5564" s="62" t="s">
        <v>60</v>
      </c>
      <c r="D5564" s="62" t="s">
        <v>382</v>
      </c>
      <c r="E5564" s="62" t="s">
        <v>382</v>
      </c>
      <c r="F5564" s="63" t="s">
        <v>557</v>
      </c>
      <c r="G5564" s="64" t="n">
        <v>1850</v>
      </c>
      <c r="H5564" s="62"/>
    </row>
    <row r="5565" customFormat="false" ht="15" hidden="false" customHeight="false" outlineLevel="0" collapsed="false">
      <c r="A5565" s="62" t="n">
        <v>1</v>
      </c>
      <c r="B5565" s="62" t="s">
        <v>388</v>
      </c>
      <c r="C5565" s="62" t="s">
        <v>60</v>
      </c>
      <c r="D5565" s="62" t="s">
        <v>382</v>
      </c>
      <c r="E5565" s="62" t="s">
        <v>382</v>
      </c>
      <c r="F5565" s="63" t="s">
        <v>557</v>
      </c>
      <c r="G5565" s="64" t="n">
        <v>2166.66666666667</v>
      </c>
      <c r="H5565" s="62"/>
    </row>
    <row r="5566" customFormat="false" ht="15" hidden="false" customHeight="false" outlineLevel="0" collapsed="false">
      <c r="A5566" s="62" t="n">
        <v>1</v>
      </c>
      <c r="B5566" s="62" t="s">
        <v>381</v>
      </c>
      <c r="C5566" s="62" t="s">
        <v>60</v>
      </c>
      <c r="D5566" s="62" t="s">
        <v>382</v>
      </c>
      <c r="E5566" s="62" t="s">
        <v>382</v>
      </c>
      <c r="F5566" s="63" t="s">
        <v>558</v>
      </c>
      <c r="G5566" s="64" t="n">
        <v>4.5</v>
      </c>
      <c r="H5566" s="62"/>
    </row>
    <row r="5567" customFormat="false" ht="15" hidden="false" customHeight="false" outlineLevel="0" collapsed="false">
      <c r="A5567" s="62" t="n">
        <v>1</v>
      </c>
      <c r="B5567" s="62" t="s">
        <v>381</v>
      </c>
      <c r="C5567" s="62" t="s">
        <v>60</v>
      </c>
      <c r="D5567" s="62" t="s">
        <v>382</v>
      </c>
      <c r="E5567" s="62" t="s">
        <v>382</v>
      </c>
      <c r="F5567" s="63" t="s">
        <v>551</v>
      </c>
      <c r="G5567" s="64" t="n">
        <v>2</v>
      </c>
      <c r="H5567" s="62"/>
    </row>
    <row r="5568" customFormat="false" ht="15" hidden="false" customHeight="false" outlineLevel="0" collapsed="false">
      <c r="A5568" s="62" t="n">
        <v>1</v>
      </c>
      <c r="B5568" s="62" t="s">
        <v>381</v>
      </c>
      <c r="C5568" s="62" t="s">
        <v>60</v>
      </c>
      <c r="D5568" s="62" t="s">
        <v>382</v>
      </c>
      <c r="E5568" s="62" t="s">
        <v>382</v>
      </c>
      <c r="F5568" s="63" t="s">
        <v>552</v>
      </c>
      <c r="G5568" s="64" t="n">
        <v>1.75</v>
      </c>
      <c r="H5568" s="62"/>
    </row>
    <row r="5569" customFormat="false" ht="15" hidden="false" customHeight="false" outlineLevel="0" collapsed="false">
      <c r="A5569" s="62" t="n">
        <v>1</v>
      </c>
      <c r="B5569" s="62" t="s">
        <v>381</v>
      </c>
      <c r="C5569" s="62" t="s">
        <v>60</v>
      </c>
      <c r="D5569" s="62" t="s">
        <v>382</v>
      </c>
      <c r="E5569" s="62" t="s">
        <v>382</v>
      </c>
      <c r="F5569" s="63" t="s">
        <v>553</v>
      </c>
      <c r="G5569" s="64" t="n">
        <v>4</v>
      </c>
      <c r="H5569" s="62"/>
    </row>
    <row r="5570" customFormat="false" ht="15" hidden="false" customHeight="false" outlineLevel="0" collapsed="false">
      <c r="A5570" s="62" t="n">
        <v>1</v>
      </c>
      <c r="B5570" s="62" t="s">
        <v>381</v>
      </c>
      <c r="C5570" s="62" t="s">
        <v>60</v>
      </c>
      <c r="D5570" s="62" t="s">
        <v>382</v>
      </c>
      <c r="E5570" s="62" t="s">
        <v>382</v>
      </c>
      <c r="F5570" s="63" t="s">
        <v>562</v>
      </c>
      <c r="G5570" s="64" t="n">
        <v>3.5</v>
      </c>
      <c r="H5570" s="62"/>
    </row>
    <row r="5571" customFormat="false" ht="15" hidden="false" customHeight="false" outlineLevel="0" collapsed="false">
      <c r="A5571" s="62" t="n">
        <v>1</v>
      </c>
      <c r="B5571" s="62" t="s">
        <v>381</v>
      </c>
      <c r="C5571" s="62" t="s">
        <v>60</v>
      </c>
      <c r="D5571" s="62" t="s">
        <v>382</v>
      </c>
      <c r="E5571" s="62" t="s">
        <v>382</v>
      </c>
      <c r="F5571" s="63" t="s">
        <v>563</v>
      </c>
      <c r="G5571" s="64" t="n">
        <v>2250</v>
      </c>
      <c r="H5571" s="62"/>
    </row>
    <row r="5572" customFormat="false" ht="15" hidden="false" customHeight="false" outlineLevel="0" collapsed="false">
      <c r="A5572" s="62" t="n">
        <v>1</v>
      </c>
      <c r="B5572" s="62" t="s">
        <v>381</v>
      </c>
      <c r="C5572" s="62" t="s">
        <v>60</v>
      </c>
      <c r="D5572" s="62" t="s">
        <v>382</v>
      </c>
      <c r="E5572" s="62" t="s">
        <v>382</v>
      </c>
      <c r="F5572" s="63" t="s">
        <v>559</v>
      </c>
      <c r="G5572" s="64" t="n">
        <v>1700</v>
      </c>
      <c r="H5572" s="62"/>
    </row>
    <row r="5573" customFormat="false" ht="15" hidden="false" customHeight="false" outlineLevel="0" collapsed="false">
      <c r="A5573" s="62" t="n">
        <v>1</v>
      </c>
      <c r="B5573" s="62" t="s">
        <v>381</v>
      </c>
      <c r="C5573" s="62" t="s">
        <v>60</v>
      </c>
      <c r="D5573" s="62" t="s">
        <v>382</v>
      </c>
      <c r="E5573" s="62" t="s">
        <v>382</v>
      </c>
      <c r="F5573" s="63" t="s">
        <v>560</v>
      </c>
      <c r="G5573" s="64" t="n">
        <v>2000</v>
      </c>
      <c r="H5573" s="62"/>
    </row>
    <row r="5574" customFormat="false" ht="15" hidden="false" customHeight="false" outlineLevel="0" collapsed="false">
      <c r="A5574" s="62" t="n">
        <v>1</v>
      </c>
      <c r="B5574" s="62" t="s">
        <v>381</v>
      </c>
      <c r="C5574" s="62" t="s">
        <v>60</v>
      </c>
      <c r="D5574" s="62" t="s">
        <v>382</v>
      </c>
      <c r="E5574" s="62" t="s">
        <v>382</v>
      </c>
      <c r="F5574" s="63" t="s">
        <v>561</v>
      </c>
      <c r="G5574" s="64" t="n">
        <v>2250</v>
      </c>
      <c r="H5574" s="62"/>
    </row>
    <row r="5575" customFormat="false" ht="15" hidden="false" customHeight="false" outlineLevel="0" collapsed="false">
      <c r="A5575" s="62" t="n">
        <v>1</v>
      </c>
      <c r="B5575" s="62" t="s">
        <v>381</v>
      </c>
      <c r="C5575" s="62" t="s">
        <v>60</v>
      </c>
      <c r="D5575" s="62" t="s">
        <v>382</v>
      </c>
      <c r="E5575" s="62" t="s">
        <v>382</v>
      </c>
      <c r="F5575" s="63" t="s">
        <v>567</v>
      </c>
      <c r="G5575" s="64" t="n">
        <v>2000</v>
      </c>
      <c r="H5575" s="62"/>
    </row>
    <row r="5576" customFormat="false" ht="15" hidden="false" customHeight="false" outlineLevel="0" collapsed="false">
      <c r="A5576" s="62" t="n">
        <v>1</v>
      </c>
      <c r="B5576" s="62" t="s">
        <v>381</v>
      </c>
      <c r="C5576" s="62" t="s">
        <v>60</v>
      </c>
      <c r="D5576" s="62" t="s">
        <v>382</v>
      </c>
      <c r="E5576" s="62" t="s">
        <v>382</v>
      </c>
      <c r="F5576" s="63" t="s">
        <v>568</v>
      </c>
      <c r="G5576" s="64" t="n">
        <v>336</v>
      </c>
      <c r="H5576" s="62"/>
    </row>
    <row r="5577" customFormat="false" ht="15" hidden="false" customHeight="false" outlineLevel="0" collapsed="false">
      <c r="A5577" s="62" t="n">
        <v>1</v>
      </c>
      <c r="B5577" s="62" t="s">
        <v>383</v>
      </c>
      <c r="C5577" s="62" t="s">
        <v>60</v>
      </c>
      <c r="D5577" s="62" t="s">
        <v>382</v>
      </c>
      <c r="E5577" s="62" t="s">
        <v>382</v>
      </c>
      <c r="F5577" s="63" t="s">
        <v>568</v>
      </c>
      <c r="G5577" s="64" t="n">
        <v>975.8</v>
      </c>
      <c r="H5577" s="62"/>
    </row>
    <row r="5578" customFormat="false" ht="15" hidden="false" customHeight="false" outlineLevel="0" collapsed="false">
      <c r="A5578" s="62" t="n">
        <v>1</v>
      </c>
      <c r="B5578" s="62" t="s">
        <v>384</v>
      </c>
      <c r="C5578" s="62" t="s">
        <v>60</v>
      </c>
      <c r="D5578" s="62" t="s">
        <v>382</v>
      </c>
      <c r="E5578" s="62" t="s">
        <v>382</v>
      </c>
      <c r="F5578" s="63" t="s">
        <v>568</v>
      </c>
      <c r="G5578" s="64" t="n">
        <v>1008</v>
      </c>
      <c r="H5578" s="62"/>
    </row>
    <row r="5579" customFormat="false" ht="15" hidden="false" customHeight="false" outlineLevel="0" collapsed="false">
      <c r="A5579" s="62" t="n">
        <v>1</v>
      </c>
      <c r="B5579" s="62" t="s">
        <v>385</v>
      </c>
      <c r="C5579" s="62" t="s">
        <v>60</v>
      </c>
      <c r="D5579" s="62" t="s">
        <v>382</v>
      </c>
      <c r="E5579" s="62" t="s">
        <v>382</v>
      </c>
      <c r="F5579" s="63" t="s">
        <v>568</v>
      </c>
      <c r="G5579" s="64" t="n">
        <v>1225.98</v>
      </c>
      <c r="H5579" s="62"/>
    </row>
    <row r="5580" customFormat="false" ht="15" hidden="false" customHeight="false" outlineLevel="0" collapsed="false">
      <c r="A5580" s="62" t="n">
        <v>1</v>
      </c>
      <c r="B5580" s="62" t="s">
        <v>386</v>
      </c>
      <c r="C5580" s="62" t="s">
        <v>60</v>
      </c>
      <c r="D5580" s="62" t="s">
        <v>382</v>
      </c>
      <c r="E5580" s="62" t="s">
        <v>382</v>
      </c>
      <c r="F5580" s="63" t="s">
        <v>568</v>
      </c>
      <c r="G5580" s="64" t="n">
        <v>787.15</v>
      </c>
      <c r="H5580" s="62"/>
    </row>
    <row r="5581" customFormat="false" ht="15" hidden="false" customHeight="false" outlineLevel="0" collapsed="false">
      <c r="A5581" s="62" t="n">
        <v>1</v>
      </c>
      <c r="B5581" s="62" t="s">
        <v>387</v>
      </c>
      <c r="C5581" s="62" t="s">
        <v>60</v>
      </c>
      <c r="D5581" s="62" t="s">
        <v>382</v>
      </c>
      <c r="E5581" s="62" t="s">
        <v>382</v>
      </c>
      <c r="F5581" s="63" t="s">
        <v>568</v>
      </c>
      <c r="G5581" s="64" t="n">
        <v>720.72</v>
      </c>
      <c r="H5581" s="62"/>
    </row>
    <row r="5582" customFormat="false" ht="15" hidden="false" customHeight="false" outlineLevel="0" collapsed="false">
      <c r="A5582" s="62" t="n">
        <v>1</v>
      </c>
      <c r="B5582" s="62" t="s">
        <v>388</v>
      </c>
      <c r="C5582" s="62" t="s">
        <v>60</v>
      </c>
      <c r="D5582" s="62" t="s">
        <v>382</v>
      </c>
      <c r="E5582" s="62" t="s">
        <v>382</v>
      </c>
      <c r="F5582" s="63" t="s">
        <v>568</v>
      </c>
      <c r="G5582" s="64" t="n">
        <v>716.8</v>
      </c>
      <c r="H5582" s="62"/>
    </row>
    <row r="5583" customFormat="false" ht="15" hidden="false" customHeight="false" outlineLevel="0" collapsed="false">
      <c r="A5583" s="62" t="n">
        <v>1</v>
      </c>
      <c r="B5583" s="62" t="s">
        <v>381</v>
      </c>
      <c r="C5583" s="62" t="s">
        <v>60</v>
      </c>
      <c r="D5583" s="62" t="s">
        <v>382</v>
      </c>
      <c r="E5583" s="62" t="s">
        <v>382</v>
      </c>
      <c r="F5583" s="63" t="s">
        <v>812</v>
      </c>
      <c r="G5583" s="64" t="n">
        <v>616</v>
      </c>
      <c r="H5583" s="62"/>
    </row>
    <row r="5584" customFormat="false" ht="15" hidden="false" customHeight="false" outlineLevel="0" collapsed="false">
      <c r="A5584" s="62" t="n">
        <v>1</v>
      </c>
      <c r="B5584" s="62" t="s">
        <v>383</v>
      </c>
      <c r="C5584" s="62" t="s">
        <v>60</v>
      </c>
      <c r="D5584" s="62" t="s">
        <v>382</v>
      </c>
      <c r="E5584" s="62" t="s">
        <v>382</v>
      </c>
      <c r="F5584" s="63" t="s">
        <v>812</v>
      </c>
      <c r="G5584" s="64" t="n">
        <v>214.2</v>
      </c>
      <c r="H5584" s="62"/>
    </row>
    <row r="5585" customFormat="false" ht="15" hidden="false" customHeight="false" outlineLevel="0" collapsed="false">
      <c r="A5585" s="62" t="n">
        <v>1</v>
      </c>
      <c r="B5585" s="62" t="s">
        <v>387</v>
      </c>
      <c r="C5585" s="62" t="s">
        <v>60</v>
      </c>
      <c r="D5585" s="62" t="s">
        <v>382</v>
      </c>
      <c r="E5585" s="62" t="s">
        <v>382</v>
      </c>
      <c r="F5585" s="63" t="s">
        <v>812</v>
      </c>
      <c r="G5585" s="64" t="n">
        <v>287.616</v>
      </c>
      <c r="H5585" s="62"/>
    </row>
    <row r="5586" customFormat="false" ht="15" hidden="false" customHeight="false" outlineLevel="0" collapsed="false">
      <c r="A5586" s="62" t="n">
        <v>1</v>
      </c>
      <c r="B5586" s="62" t="s">
        <v>388</v>
      </c>
      <c r="C5586" s="62" t="s">
        <v>60</v>
      </c>
      <c r="D5586" s="62" t="s">
        <v>382</v>
      </c>
      <c r="E5586" s="62" t="s">
        <v>382</v>
      </c>
      <c r="F5586" s="63" t="s">
        <v>812</v>
      </c>
      <c r="G5586" s="64" t="n">
        <v>168</v>
      </c>
      <c r="H5586" s="62"/>
    </row>
    <row r="5587" customFormat="false" ht="15" hidden="false" customHeight="false" outlineLevel="0" collapsed="false">
      <c r="A5587" s="62" t="n">
        <v>1</v>
      </c>
      <c r="B5587" s="62" t="s">
        <v>381</v>
      </c>
      <c r="C5587" s="62" t="s">
        <v>60</v>
      </c>
      <c r="D5587" s="62" t="s">
        <v>382</v>
      </c>
      <c r="E5587" s="62" t="s">
        <v>382</v>
      </c>
      <c r="F5587" s="63" t="s">
        <v>569</v>
      </c>
      <c r="G5587" s="64" t="n">
        <v>240</v>
      </c>
      <c r="H5587" s="62"/>
    </row>
    <row r="5588" customFormat="false" ht="15" hidden="false" customHeight="false" outlineLevel="0" collapsed="false">
      <c r="A5588" s="62" t="n">
        <v>1</v>
      </c>
      <c r="B5588" s="62" t="s">
        <v>383</v>
      </c>
      <c r="C5588" s="62" t="s">
        <v>60</v>
      </c>
      <c r="D5588" s="62" t="s">
        <v>382</v>
      </c>
      <c r="E5588" s="62" t="s">
        <v>382</v>
      </c>
      <c r="F5588" s="63" t="s">
        <v>569</v>
      </c>
      <c r="G5588" s="64" t="n">
        <v>258.5</v>
      </c>
      <c r="H5588" s="62"/>
    </row>
    <row r="5589" customFormat="false" ht="15" hidden="false" customHeight="false" outlineLevel="0" collapsed="false">
      <c r="A5589" s="62" t="n">
        <v>1</v>
      </c>
      <c r="B5589" s="62" t="s">
        <v>384</v>
      </c>
      <c r="C5589" s="62" t="s">
        <v>60</v>
      </c>
      <c r="D5589" s="62" t="s">
        <v>382</v>
      </c>
      <c r="E5589" s="62" t="s">
        <v>382</v>
      </c>
      <c r="F5589" s="63" t="s">
        <v>569</v>
      </c>
      <c r="G5589" s="64" t="n">
        <v>360</v>
      </c>
      <c r="H5589" s="62"/>
    </row>
    <row r="5590" customFormat="false" ht="15" hidden="false" customHeight="false" outlineLevel="0" collapsed="false">
      <c r="A5590" s="62" t="n">
        <v>1</v>
      </c>
      <c r="B5590" s="62" t="s">
        <v>385</v>
      </c>
      <c r="C5590" s="62" t="s">
        <v>60</v>
      </c>
      <c r="D5590" s="62" t="s">
        <v>382</v>
      </c>
      <c r="E5590" s="62" t="s">
        <v>382</v>
      </c>
      <c r="F5590" s="63" t="s">
        <v>569</v>
      </c>
      <c r="G5590" s="64" t="n">
        <v>425</v>
      </c>
      <c r="H5590" s="62"/>
    </row>
    <row r="5591" customFormat="false" ht="15" hidden="false" customHeight="false" outlineLevel="0" collapsed="false">
      <c r="A5591" s="62" t="n">
        <v>1</v>
      </c>
      <c r="B5591" s="62" t="s">
        <v>386</v>
      </c>
      <c r="C5591" s="62" t="s">
        <v>60</v>
      </c>
      <c r="D5591" s="62" t="s">
        <v>382</v>
      </c>
      <c r="E5591" s="62" t="s">
        <v>382</v>
      </c>
      <c r="F5591" s="63" t="s">
        <v>569</v>
      </c>
      <c r="G5591" s="64" t="n">
        <v>281.125</v>
      </c>
      <c r="H5591" s="62"/>
    </row>
    <row r="5592" customFormat="false" ht="15" hidden="false" customHeight="false" outlineLevel="0" collapsed="false">
      <c r="A5592" s="62" t="n">
        <v>1</v>
      </c>
      <c r="B5592" s="62" t="s">
        <v>387</v>
      </c>
      <c r="C5592" s="62" t="s">
        <v>60</v>
      </c>
      <c r="D5592" s="62" t="s">
        <v>382</v>
      </c>
      <c r="E5592" s="62" t="s">
        <v>382</v>
      </c>
      <c r="F5592" s="63" t="s">
        <v>569</v>
      </c>
      <c r="G5592" s="64" t="n">
        <v>249.2</v>
      </c>
      <c r="H5592" s="62"/>
    </row>
    <row r="5593" customFormat="false" ht="15" hidden="false" customHeight="false" outlineLevel="0" collapsed="false">
      <c r="A5593" s="62" t="n">
        <v>1</v>
      </c>
      <c r="B5593" s="62" t="s">
        <v>388</v>
      </c>
      <c r="C5593" s="62" t="s">
        <v>60</v>
      </c>
      <c r="D5593" s="62" t="s">
        <v>382</v>
      </c>
      <c r="E5593" s="62" t="s">
        <v>382</v>
      </c>
      <c r="F5593" s="63" t="s">
        <v>569</v>
      </c>
      <c r="G5593" s="64" t="n">
        <v>216</v>
      </c>
      <c r="H5593" s="62"/>
    </row>
    <row r="5594" customFormat="false" ht="15" hidden="false" customHeight="false" outlineLevel="0" collapsed="false">
      <c r="A5594" s="62" t="n">
        <v>1</v>
      </c>
      <c r="B5594" s="62" t="s">
        <v>381</v>
      </c>
      <c r="C5594" s="62" t="s">
        <v>60</v>
      </c>
      <c r="D5594" s="62" t="s">
        <v>382</v>
      </c>
      <c r="E5594" s="62" t="s">
        <v>382</v>
      </c>
      <c r="F5594" s="63" t="s">
        <v>813</v>
      </c>
      <c r="G5594" s="64" t="n">
        <v>100</v>
      </c>
      <c r="H5594" s="62"/>
    </row>
    <row r="5595" customFormat="false" ht="15" hidden="false" customHeight="false" outlineLevel="0" collapsed="false">
      <c r="A5595" s="62" t="n">
        <v>1</v>
      </c>
      <c r="B5595" s="62" t="s">
        <v>383</v>
      </c>
      <c r="C5595" s="62" t="s">
        <v>60</v>
      </c>
      <c r="D5595" s="62" t="s">
        <v>382</v>
      </c>
      <c r="E5595" s="62" t="s">
        <v>382</v>
      </c>
      <c r="F5595" s="63" t="s">
        <v>813</v>
      </c>
      <c r="G5595" s="64" t="n">
        <v>166.5</v>
      </c>
      <c r="H5595" s="62"/>
    </row>
    <row r="5596" customFormat="false" ht="15" hidden="false" customHeight="false" outlineLevel="0" collapsed="false">
      <c r="A5596" s="62" t="n">
        <v>1</v>
      </c>
      <c r="B5596" s="62" t="s">
        <v>387</v>
      </c>
      <c r="C5596" s="62" t="s">
        <v>60</v>
      </c>
      <c r="D5596" s="62" t="s">
        <v>382</v>
      </c>
      <c r="E5596" s="62" t="s">
        <v>382</v>
      </c>
      <c r="F5596" s="63" t="s">
        <v>813</v>
      </c>
      <c r="G5596" s="64" t="n">
        <v>110.8</v>
      </c>
      <c r="H5596" s="62"/>
    </row>
    <row r="5597" customFormat="false" ht="15" hidden="false" customHeight="false" outlineLevel="0" collapsed="false">
      <c r="A5597" s="62" t="n">
        <v>1</v>
      </c>
      <c r="B5597" s="62" t="s">
        <v>388</v>
      </c>
      <c r="C5597" s="62" t="s">
        <v>60</v>
      </c>
      <c r="D5597" s="62" t="s">
        <v>382</v>
      </c>
      <c r="E5597" s="62" t="s">
        <v>382</v>
      </c>
      <c r="F5597" s="63" t="s">
        <v>813</v>
      </c>
      <c r="G5597" s="64" t="n">
        <v>84</v>
      </c>
      <c r="H5597" s="62"/>
    </row>
    <row r="5598" customFormat="false" ht="15" hidden="false" customHeight="false" outlineLevel="0" collapsed="false">
      <c r="A5598" s="62" t="n">
        <v>1</v>
      </c>
      <c r="B5598" s="62" t="s">
        <v>381</v>
      </c>
      <c r="C5598" s="62" t="s">
        <v>60</v>
      </c>
      <c r="D5598" s="62" t="s">
        <v>382</v>
      </c>
      <c r="E5598" s="62" t="s">
        <v>382</v>
      </c>
      <c r="F5598" s="63" t="s">
        <v>570</v>
      </c>
      <c r="G5598" s="64" t="n">
        <v>480</v>
      </c>
      <c r="H5598" s="62"/>
    </row>
    <row r="5599" customFormat="false" ht="15" hidden="false" customHeight="false" outlineLevel="0" collapsed="false">
      <c r="A5599" s="62" t="n">
        <v>1</v>
      </c>
      <c r="B5599" s="62" t="s">
        <v>381</v>
      </c>
      <c r="C5599" s="62" t="s">
        <v>60</v>
      </c>
      <c r="D5599" s="62" t="s">
        <v>382</v>
      </c>
      <c r="E5599" s="62" t="s">
        <v>382</v>
      </c>
      <c r="F5599" s="63" t="s">
        <v>814</v>
      </c>
      <c r="G5599" s="64" t="n">
        <v>200</v>
      </c>
      <c r="H5599" s="62"/>
    </row>
    <row r="5600" customFormat="false" ht="15" hidden="false" customHeight="false" outlineLevel="0" collapsed="false">
      <c r="A5600" s="62" t="n">
        <v>1</v>
      </c>
      <c r="B5600" s="62" t="s">
        <v>381</v>
      </c>
      <c r="C5600" s="62" t="s">
        <v>60</v>
      </c>
      <c r="D5600" s="62" t="s">
        <v>382</v>
      </c>
      <c r="E5600" s="62" t="s">
        <v>382</v>
      </c>
      <c r="F5600" s="63" t="s">
        <v>815</v>
      </c>
      <c r="G5600" s="64" t="n">
        <v>360</v>
      </c>
      <c r="H5600" s="62"/>
    </row>
    <row r="5601" customFormat="false" ht="15" hidden="false" customHeight="false" outlineLevel="0" collapsed="false">
      <c r="A5601" s="62" t="n">
        <v>1</v>
      </c>
      <c r="B5601" s="62" t="s">
        <v>383</v>
      </c>
      <c r="C5601" s="62" t="s">
        <v>60</v>
      </c>
      <c r="D5601" s="62" t="s">
        <v>382</v>
      </c>
      <c r="E5601" s="62" t="s">
        <v>382</v>
      </c>
      <c r="F5601" s="63" t="s">
        <v>570</v>
      </c>
      <c r="G5601" s="64" t="n">
        <v>384</v>
      </c>
      <c r="H5601" s="62"/>
    </row>
    <row r="5602" customFormat="false" ht="15" hidden="false" customHeight="false" outlineLevel="0" collapsed="false">
      <c r="A5602" s="62" t="n">
        <v>1</v>
      </c>
      <c r="B5602" s="62" t="s">
        <v>384</v>
      </c>
      <c r="C5602" s="62" t="s">
        <v>60</v>
      </c>
      <c r="D5602" s="62" t="s">
        <v>382</v>
      </c>
      <c r="E5602" s="62" t="s">
        <v>382</v>
      </c>
      <c r="F5602" s="63" t="s">
        <v>570</v>
      </c>
      <c r="G5602" s="64" t="n">
        <v>935</v>
      </c>
      <c r="H5602" s="62"/>
    </row>
    <row r="5603" customFormat="false" ht="15" hidden="false" customHeight="false" outlineLevel="0" collapsed="false">
      <c r="A5603" s="62" t="n">
        <v>1</v>
      </c>
      <c r="B5603" s="62" t="s">
        <v>386</v>
      </c>
      <c r="C5603" s="62" t="s">
        <v>60</v>
      </c>
      <c r="D5603" s="62" t="s">
        <v>382</v>
      </c>
      <c r="E5603" s="62" t="s">
        <v>382</v>
      </c>
      <c r="F5603" s="63" t="s">
        <v>570</v>
      </c>
      <c r="G5603" s="64" t="n">
        <v>551</v>
      </c>
      <c r="H5603" s="62"/>
    </row>
    <row r="5604" customFormat="false" ht="15" hidden="false" customHeight="false" outlineLevel="0" collapsed="false">
      <c r="A5604" s="62" t="n">
        <v>1</v>
      </c>
      <c r="B5604" s="62" t="s">
        <v>387</v>
      </c>
      <c r="C5604" s="62" t="s">
        <v>60</v>
      </c>
      <c r="D5604" s="62" t="s">
        <v>382</v>
      </c>
      <c r="E5604" s="62" t="s">
        <v>382</v>
      </c>
      <c r="F5604" s="63" t="s">
        <v>570</v>
      </c>
      <c r="G5604" s="64" t="n">
        <v>464</v>
      </c>
      <c r="H5604" s="62"/>
    </row>
    <row r="5605" customFormat="false" ht="15" hidden="false" customHeight="false" outlineLevel="0" collapsed="false">
      <c r="A5605" s="62" t="n">
        <v>1</v>
      </c>
      <c r="B5605" s="62" t="s">
        <v>381</v>
      </c>
      <c r="C5605" s="62" t="s">
        <v>60</v>
      </c>
      <c r="D5605" s="62" t="s">
        <v>382</v>
      </c>
      <c r="E5605" s="62" t="s">
        <v>382</v>
      </c>
      <c r="F5605" s="63" t="s">
        <v>816</v>
      </c>
      <c r="G5605" s="64" t="n">
        <v>170</v>
      </c>
      <c r="H5605" s="62"/>
    </row>
    <row r="5606" customFormat="false" ht="15" hidden="false" customHeight="false" outlineLevel="0" collapsed="false">
      <c r="A5606" s="62" t="n">
        <v>1</v>
      </c>
      <c r="B5606" s="62" t="s">
        <v>383</v>
      </c>
      <c r="C5606" s="62" t="s">
        <v>60</v>
      </c>
      <c r="D5606" s="62" t="s">
        <v>382</v>
      </c>
      <c r="E5606" s="62" t="s">
        <v>382</v>
      </c>
      <c r="F5606" s="63" t="s">
        <v>814</v>
      </c>
      <c r="G5606" s="64" t="n">
        <v>102</v>
      </c>
      <c r="H5606" s="62"/>
    </row>
    <row r="5607" customFormat="false" ht="15" hidden="false" customHeight="false" outlineLevel="0" collapsed="false">
      <c r="A5607" s="62" t="n">
        <v>1</v>
      </c>
      <c r="B5607" s="62" t="s">
        <v>381</v>
      </c>
      <c r="C5607" s="62" t="s">
        <v>60</v>
      </c>
      <c r="D5607" s="62" t="s">
        <v>382</v>
      </c>
      <c r="E5607" s="62" t="s">
        <v>382</v>
      </c>
      <c r="F5607" s="63" t="s">
        <v>571</v>
      </c>
      <c r="G5607" s="64" t="n">
        <v>30</v>
      </c>
      <c r="H5607" s="62" t="s">
        <v>42</v>
      </c>
    </row>
    <row r="5608" customFormat="false" ht="15" hidden="false" customHeight="false" outlineLevel="0" collapsed="false">
      <c r="A5608" s="62" t="n">
        <v>1</v>
      </c>
      <c r="B5608" s="62" t="s">
        <v>383</v>
      </c>
      <c r="C5608" s="62" t="s">
        <v>60</v>
      </c>
      <c r="D5608" s="62" t="s">
        <v>382</v>
      </c>
      <c r="E5608" s="62" t="s">
        <v>382</v>
      </c>
      <c r="F5608" s="63" t="s">
        <v>571</v>
      </c>
      <c r="G5608" s="64" t="n">
        <v>69.7</v>
      </c>
      <c r="H5608" s="62" t="s">
        <v>42</v>
      </c>
    </row>
    <row r="5609" customFormat="false" ht="15" hidden="false" customHeight="false" outlineLevel="0" collapsed="false">
      <c r="A5609" s="62" t="n">
        <v>1</v>
      </c>
      <c r="B5609" s="62" t="s">
        <v>384</v>
      </c>
      <c r="C5609" s="62" t="s">
        <v>60</v>
      </c>
      <c r="D5609" s="62" t="s">
        <v>382</v>
      </c>
      <c r="E5609" s="62" t="s">
        <v>382</v>
      </c>
      <c r="F5609" s="63" t="s">
        <v>571</v>
      </c>
      <c r="G5609" s="64" t="n">
        <v>90</v>
      </c>
      <c r="H5609" s="62" t="s">
        <v>42</v>
      </c>
    </row>
    <row r="5610" customFormat="false" ht="15" hidden="false" customHeight="false" outlineLevel="0" collapsed="false">
      <c r="A5610" s="62" t="n">
        <v>1</v>
      </c>
      <c r="B5610" s="62" t="s">
        <v>385</v>
      </c>
      <c r="C5610" s="62" t="s">
        <v>60</v>
      </c>
      <c r="D5610" s="62" t="s">
        <v>382</v>
      </c>
      <c r="E5610" s="62" t="s">
        <v>382</v>
      </c>
      <c r="F5610" s="63" t="s">
        <v>571</v>
      </c>
      <c r="G5610" s="64" t="n">
        <v>87.57</v>
      </c>
      <c r="H5610" s="62" t="s">
        <v>42</v>
      </c>
    </row>
    <row r="5611" customFormat="false" ht="15" hidden="false" customHeight="false" outlineLevel="0" collapsed="false">
      <c r="A5611" s="62" t="n">
        <v>1</v>
      </c>
      <c r="B5611" s="62" t="s">
        <v>386</v>
      </c>
      <c r="C5611" s="62" t="s">
        <v>60</v>
      </c>
      <c r="D5611" s="62" t="s">
        <v>382</v>
      </c>
      <c r="E5611" s="62" t="s">
        <v>382</v>
      </c>
      <c r="F5611" s="63" t="s">
        <v>571</v>
      </c>
      <c r="G5611" s="64" t="n">
        <v>86.5</v>
      </c>
      <c r="H5611" s="62" t="s">
        <v>42</v>
      </c>
    </row>
    <row r="5612" customFormat="false" ht="15" hidden="false" customHeight="false" outlineLevel="0" collapsed="false">
      <c r="A5612" s="62" t="n">
        <v>1</v>
      </c>
      <c r="B5612" s="62" t="s">
        <v>387</v>
      </c>
      <c r="C5612" s="62" t="s">
        <v>60</v>
      </c>
      <c r="D5612" s="62" t="s">
        <v>382</v>
      </c>
      <c r="E5612" s="62" t="s">
        <v>382</v>
      </c>
      <c r="F5612" s="63" t="s">
        <v>571</v>
      </c>
      <c r="G5612" s="64" t="n">
        <v>64.35</v>
      </c>
      <c r="H5612" s="62" t="s">
        <v>42</v>
      </c>
    </row>
    <row r="5613" customFormat="false" ht="15" hidden="false" customHeight="false" outlineLevel="0" collapsed="false">
      <c r="A5613" s="62" t="n">
        <v>1</v>
      </c>
      <c r="B5613" s="62" t="s">
        <v>388</v>
      </c>
      <c r="C5613" s="62" t="s">
        <v>60</v>
      </c>
      <c r="D5613" s="62" t="s">
        <v>382</v>
      </c>
      <c r="E5613" s="62" t="s">
        <v>382</v>
      </c>
      <c r="F5613" s="63" t="s">
        <v>571</v>
      </c>
      <c r="G5613" s="64" t="n">
        <v>64</v>
      </c>
      <c r="H5613" s="62" t="s">
        <v>42</v>
      </c>
    </row>
    <row r="5614" customFormat="false" ht="15" hidden="false" customHeight="false" outlineLevel="0" collapsed="false">
      <c r="A5614" s="62" t="n">
        <v>1</v>
      </c>
      <c r="B5614" s="62" t="s">
        <v>381</v>
      </c>
      <c r="C5614" s="62" t="s">
        <v>60</v>
      </c>
      <c r="D5614" s="62" t="s">
        <v>382</v>
      </c>
      <c r="E5614" s="62" t="s">
        <v>382</v>
      </c>
      <c r="F5614" s="63" t="s">
        <v>576</v>
      </c>
      <c r="G5614" s="64" t="n">
        <v>55</v>
      </c>
      <c r="H5614" s="62" t="s">
        <v>42</v>
      </c>
    </row>
    <row r="5615" customFormat="false" ht="15" hidden="false" customHeight="false" outlineLevel="0" collapsed="false">
      <c r="A5615" s="62" t="n">
        <v>1</v>
      </c>
      <c r="B5615" s="62" t="s">
        <v>383</v>
      </c>
      <c r="C5615" s="62" t="s">
        <v>60</v>
      </c>
      <c r="D5615" s="62" t="s">
        <v>382</v>
      </c>
      <c r="E5615" s="62" t="s">
        <v>382</v>
      </c>
      <c r="F5615" s="63" t="s">
        <v>576</v>
      </c>
      <c r="G5615" s="64" t="n">
        <v>15.3</v>
      </c>
      <c r="H5615" s="62" t="s">
        <v>42</v>
      </c>
    </row>
    <row r="5616" customFormat="false" ht="15" hidden="false" customHeight="false" outlineLevel="0" collapsed="false">
      <c r="A5616" s="62" t="n">
        <v>1</v>
      </c>
      <c r="B5616" s="62" t="s">
        <v>387</v>
      </c>
      <c r="C5616" s="62" t="s">
        <v>60</v>
      </c>
      <c r="D5616" s="62" t="s">
        <v>382</v>
      </c>
      <c r="E5616" s="62" t="s">
        <v>382</v>
      </c>
      <c r="F5616" s="63" t="s">
        <v>576</v>
      </c>
      <c r="G5616" s="64" t="n">
        <v>25.68</v>
      </c>
      <c r="H5616" s="62" t="s">
        <v>42</v>
      </c>
    </row>
    <row r="5617" customFormat="false" ht="15" hidden="false" customHeight="false" outlineLevel="0" collapsed="false">
      <c r="A5617" s="62" t="n">
        <v>1</v>
      </c>
      <c r="B5617" s="62" t="s">
        <v>388</v>
      </c>
      <c r="C5617" s="62" t="s">
        <v>60</v>
      </c>
      <c r="D5617" s="62" t="s">
        <v>382</v>
      </c>
      <c r="E5617" s="62" t="s">
        <v>382</v>
      </c>
      <c r="F5617" s="63" t="s">
        <v>576</v>
      </c>
      <c r="G5617" s="64" t="n">
        <v>15</v>
      </c>
      <c r="H5617" s="62" t="s">
        <v>42</v>
      </c>
    </row>
    <row r="5618" customFormat="false" ht="15" hidden="false" customHeight="false" outlineLevel="0" collapsed="false">
      <c r="A5618" s="62" t="n">
        <v>1</v>
      </c>
      <c r="B5618" s="62" t="s">
        <v>381</v>
      </c>
      <c r="C5618" s="62" t="s">
        <v>60</v>
      </c>
      <c r="D5618" s="62" t="s">
        <v>382</v>
      </c>
      <c r="E5618" s="62" t="s">
        <v>382</v>
      </c>
      <c r="F5618" s="63" t="s">
        <v>572</v>
      </c>
      <c r="G5618" s="64" t="n">
        <v>15</v>
      </c>
      <c r="H5618" s="62" t="s">
        <v>42</v>
      </c>
    </row>
    <row r="5619" customFormat="false" ht="15" hidden="false" customHeight="false" outlineLevel="0" collapsed="false">
      <c r="A5619" s="62" t="n">
        <v>1</v>
      </c>
      <c r="B5619" s="62" t="s">
        <v>383</v>
      </c>
      <c r="C5619" s="62" t="s">
        <v>60</v>
      </c>
      <c r="D5619" s="62" t="s">
        <v>382</v>
      </c>
      <c r="E5619" s="62" t="s">
        <v>382</v>
      </c>
      <c r="F5619" s="63" t="s">
        <v>572</v>
      </c>
      <c r="G5619" s="64" t="n">
        <v>15</v>
      </c>
      <c r="H5619" s="62" t="s">
        <v>42</v>
      </c>
    </row>
    <row r="5620" customFormat="false" ht="15" hidden="false" customHeight="false" outlineLevel="0" collapsed="false">
      <c r="A5620" s="62" t="n">
        <v>1</v>
      </c>
      <c r="B5620" s="62" t="s">
        <v>384</v>
      </c>
      <c r="C5620" s="62" t="s">
        <v>60</v>
      </c>
      <c r="D5620" s="62" t="s">
        <v>382</v>
      </c>
      <c r="E5620" s="62" t="s">
        <v>382</v>
      </c>
      <c r="F5620" s="63" t="s">
        <v>572</v>
      </c>
      <c r="G5620" s="64" t="n">
        <v>10</v>
      </c>
      <c r="H5620" s="62" t="s">
        <v>42</v>
      </c>
    </row>
    <row r="5621" customFormat="false" ht="15" hidden="false" customHeight="false" outlineLevel="0" collapsed="false">
      <c r="A5621" s="62" t="n">
        <v>1</v>
      </c>
      <c r="B5621" s="62" t="s">
        <v>385</v>
      </c>
      <c r="C5621" s="62" t="s">
        <v>60</v>
      </c>
      <c r="D5621" s="62" t="s">
        <v>382</v>
      </c>
      <c r="E5621" s="62" t="s">
        <v>382</v>
      </c>
      <c r="F5621" s="63" t="s">
        <v>572</v>
      </c>
      <c r="G5621" s="64" t="n">
        <v>12.43</v>
      </c>
      <c r="H5621" s="62" t="s">
        <v>42</v>
      </c>
    </row>
    <row r="5622" customFormat="false" ht="15" hidden="false" customHeight="false" outlineLevel="0" collapsed="false">
      <c r="A5622" s="62" t="n">
        <v>1</v>
      </c>
      <c r="B5622" s="62" t="s">
        <v>386</v>
      </c>
      <c r="C5622" s="62" t="s">
        <v>60</v>
      </c>
      <c r="D5622" s="62" t="s">
        <v>382</v>
      </c>
      <c r="E5622" s="62" t="s">
        <v>382</v>
      </c>
      <c r="F5622" s="63" t="s">
        <v>572</v>
      </c>
      <c r="G5622" s="64" t="n">
        <v>13.5</v>
      </c>
      <c r="H5622" s="62" t="s">
        <v>42</v>
      </c>
    </row>
    <row r="5623" customFormat="false" ht="15" hidden="false" customHeight="false" outlineLevel="0" collapsed="false">
      <c r="A5623" s="62" t="n">
        <v>1</v>
      </c>
      <c r="B5623" s="62" t="s">
        <v>387</v>
      </c>
      <c r="C5623" s="62" t="s">
        <v>60</v>
      </c>
      <c r="D5623" s="62" t="s">
        <v>382</v>
      </c>
      <c r="E5623" s="62" t="s">
        <v>382</v>
      </c>
      <c r="F5623" s="63" t="s">
        <v>572</v>
      </c>
      <c r="G5623" s="64" t="n">
        <v>9.96999999999999</v>
      </c>
      <c r="H5623" s="62" t="s">
        <v>42</v>
      </c>
    </row>
    <row r="5624" customFormat="false" ht="15" hidden="false" customHeight="false" outlineLevel="0" collapsed="false">
      <c r="A5624" s="62" t="n">
        <v>1</v>
      </c>
      <c r="B5624" s="62" t="s">
        <v>388</v>
      </c>
      <c r="C5624" s="62" t="s">
        <v>60</v>
      </c>
      <c r="D5624" s="62" t="s">
        <v>382</v>
      </c>
      <c r="E5624" s="62" t="s">
        <v>382</v>
      </c>
      <c r="F5624" s="63" t="s">
        <v>572</v>
      </c>
      <c r="G5624" s="64" t="n">
        <v>21</v>
      </c>
      <c r="H5624" s="62" t="s">
        <v>42</v>
      </c>
    </row>
    <row r="5625" customFormat="false" ht="15" hidden="false" customHeight="false" outlineLevel="0" collapsed="false">
      <c r="A5625" s="62" t="n">
        <v>1</v>
      </c>
      <c r="B5625" s="62" t="s">
        <v>381</v>
      </c>
      <c r="C5625" s="62" t="s">
        <v>60</v>
      </c>
      <c r="D5625" s="62" t="s">
        <v>382</v>
      </c>
      <c r="E5625" s="62" t="s">
        <v>382</v>
      </c>
      <c r="F5625" s="63" t="s">
        <v>573</v>
      </c>
      <c r="G5625" s="64" t="n">
        <v>60</v>
      </c>
      <c r="H5625" s="62" t="s">
        <v>42</v>
      </c>
    </row>
    <row r="5626" customFormat="false" ht="15" hidden="false" customHeight="false" outlineLevel="0" collapsed="false">
      <c r="A5626" s="62" t="n">
        <v>1</v>
      </c>
      <c r="B5626" s="62" t="s">
        <v>383</v>
      </c>
      <c r="C5626" s="62" t="s">
        <v>60</v>
      </c>
      <c r="D5626" s="62" t="s">
        <v>382</v>
      </c>
      <c r="E5626" s="62" t="s">
        <v>382</v>
      </c>
      <c r="F5626" s="63" t="s">
        <v>573</v>
      </c>
      <c r="G5626" s="64" t="n">
        <v>51.7</v>
      </c>
      <c r="H5626" s="62" t="s">
        <v>42</v>
      </c>
    </row>
    <row r="5627" customFormat="false" ht="15" hidden="false" customHeight="false" outlineLevel="0" collapsed="false">
      <c r="A5627" s="62" t="n">
        <v>1</v>
      </c>
      <c r="B5627" s="62" t="s">
        <v>385</v>
      </c>
      <c r="C5627" s="62" t="s">
        <v>60</v>
      </c>
      <c r="D5627" s="62" t="s">
        <v>382</v>
      </c>
      <c r="E5627" s="62" t="s">
        <v>382</v>
      </c>
      <c r="F5627" s="63" t="s">
        <v>573</v>
      </c>
      <c r="G5627" s="64" t="n">
        <v>85</v>
      </c>
      <c r="H5627" s="62" t="s">
        <v>42</v>
      </c>
    </row>
    <row r="5628" customFormat="false" ht="15" hidden="false" customHeight="false" outlineLevel="0" collapsed="false">
      <c r="A5628" s="62" t="n">
        <v>1</v>
      </c>
      <c r="B5628" s="62" t="s">
        <v>387</v>
      </c>
      <c r="C5628" s="62" t="s">
        <v>60</v>
      </c>
      <c r="D5628" s="62" t="s">
        <v>382</v>
      </c>
      <c r="E5628" s="62" t="s">
        <v>382</v>
      </c>
      <c r="F5628" s="63" t="s">
        <v>573</v>
      </c>
      <c r="G5628" s="64" t="n">
        <v>62.3</v>
      </c>
      <c r="H5628" s="62" t="s">
        <v>42</v>
      </c>
    </row>
    <row r="5629" customFormat="false" ht="15" hidden="false" customHeight="false" outlineLevel="0" collapsed="false">
      <c r="A5629" s="62" t="n">
        <v>1</v>
      </c>
      <c r="B5629" s="62" t="s">
        <v>388</v>
      </c>
      <c r="C5629" s="62" t="s">
        <v>60</v>
      </c>
      <c r="D5629" s="62" t="s">
        <v>382</v>
      </c>
      <c r="E5629" s="62" t="s">
        <v>382</v>
      </c>
      <c r="F5629" s="63" t="s">
        <v>573</v>
      </c>
      <c r="G5629" s="64" t="n">
        <v>54</v>
      </c>
      <c r="H5629" s="62" t="s">
        <v>42</v>
      </c>
    </row>
    <row r="5630" customFormat="false" ht="15" hidden="false" customHeight="false" outlineLevel="0" collapsed="false">
      <c r="A5630" s="62" t="n">
        <v>1</v>
      </c>
      <c r="B5630" s="62" t="s">
        <v>381</v>
      </c>
      <c r="C5630" s="62" t="s">
        <v>60</v>
      </c>
      <c r="D5630" s="62" t="s">
        <v>382</v>
      </c>
      <c r="E5630" s="62" t="s">
        <v>382</v>
      </c>
      <c r="F5630" s="63" t="s">
        <v>817</v>
      </c>
      <c r="G5630" s="64" t="n">
        <v>25</v>
      </c>
      <c r="H5630" s="62" t="s">
        <v>42</v>
      </c>
    </row>
    <row r="5631" customFormat="false" ht="15" hidden="false" customHeight="false" outlineLevel="0" collapsed="false">
      <c r="A5631" s="62" t="n">
        <v>1</v>
      </c>
      <c r="B5631" s="62" t="s">
        <v>383</v>
      </c>
      <c r="C5631" s="62" t="s">
        <v>60</v>
      </c>
      <c r="D5631" s="62" t="s">
        <v>382</v>
      </c>
      <c r="E5631" s="62" t="s">
        <v>382</v>
      </c>
      <c r="F5631" s="63" t="s">
        <v>817</v>
      </c>
      <c r="G5631" s="64" t="n">
        <v>33.3</v>
      </c>
      <c r="H5631" s="62" t="s">
        <v>42</v>
      </c>
    </row>
    <row r="5632" customFormat="false" ht="15" hidden="false" customHeight="false" outlineLevel="0" collapsed="false">
      <c r="A5632" s="62" t="n">
        <v>1</v>
      </c>
      <c r="B5632" s="62" t="s">
        <v>387</v>
      </c>
      <c r="C5632" s="62" t="s">
        <v>60</v>
      </c>
      <c r="D5632" s="62" t="s">
        <v>382</v>
      </c>
      <c r="E5632" s="62" t="s">
        <v>382</v>
      </c>
      <c r="F5632" s="63" t="s">
        <v>817</v>
      </c>
      <c r="G5632" s="64" t="n">
        <v>27.7</v>
      </c>
      <c r="H5632" s="62" t="s">
        <v>42</v>
      </c>
    </row>
    <row r="5633" customFormat="false" ht="15" hidden="false" customHeight="false" outlineLevel="0" collapsed="false">
      <c r="A5633" s="62" t="n">
        <v>1</v>
      </c>
      <c r="B5633" s="62" t="s">
        <v>388</v>
      </c>
      <c r="C5633" s="62" t="s">
        <v>60</v>
      </c>
      <c r="D5633" s="62" t="s">
        <v>382</v>
      </c>
      <c r="E5633" s="62" t="s">
        <v>382</v>
      </c>
      <c r="F5633" s="63" t="s">
        <v>817</v>
      </c>
      <c r="G5633" s="64" t="n">
        <v>21</v>
      </c>
      <c r="H5633" s="62" t="s">
        <v>42</v>
      </c>
    </row>
    <row r="5634" customFormat="false" ht="15" hidden="false" customHeight="false" outlineLevel="0" collapsed="false">
      <c r="A5634" s="62" t="n">
        <v>1</v>
      </c>
      <c r="B5634" s="62" t="s">
        <v>385</v>
      </c>
      <c r="C5634" s="62" t="s">
        <v>60</v>
      </c>
      <c r="D5634" s="62" t="s">
        <v>382</v>
      </c>
      <c r="E5634" s="62" t="s">
        <v>382</v>
      </c>
      <c r="F5634" s="63" t="s">
        <v>574</v>
      </c>
      <c r="G5634" s="64" t="n">
        <v>15</v>
      </c>
      <c r="H5634" s="62" t="s">
        <v>42</v>
      </c>
    </row>
    <row r="5635" customFormat="false" ht="15" hidden="false" customHeight="false" outlineLevel="0" collapsed="false">
      <c r="A5635" s="62" t="n">
        <v>1</v>
      </c>
      <c r="B5635" s="62" t="s">
        <v>388</v>
      </c>
      <c r="C5635" s="62" t="s">
        <v>60</v>
      </c>
      <c r="D5635" s="62" t="s">
        <v>382</v>
      </c>
      <c r="E5635" s="62" t="s">
        <v>382</v>
      </c>
      <c r="F5635" s="63" t="s">
        <v>574</v>
      </c>
      <c r="G5635" s="64" t="n">
        <v>25</v>
      </c>
      <c r="H5635" s="62" t="s">
        <v>42</v>
      </c>
    </row>
    <row r="5636" customFormat="false" ht="15" hidden="false" customHeight="false" outlineLevel="0" collapsed="false">
      <c r="A5636" s="62" t="n">
        <v>1</v>
      </c>
      <c r="B5636" s="62" t="s">
        <v>381</v>
      </c>
      <c r="C5636" s="62" t="s">
        <v>60</v>
      </c>
      <c r="D5636" s="62" t="s">
        <v>382</v>
      </c>
      <c r="E5636" s="62" t="s">
        <v>382</v>
      </c>
      <c r="F5636" s="63" t="s">
        <v>575</v>
      </c>
      <c r="G5636" s="64" t="n">
        <v>0</v>
      </c>
      <c r="H5636" s="62" t="s">
        <v>42</v>
      </c>
    </row>
    <row r="5637" customFormat="false" ht="15" hidden="false" customHeight="false" outlineLevel="0" collapsed="false">
      <c r="A5637" s="62" t="n">
        <v>1</v>
      </c>
      <c r="B5637" s="62" t="s">
        <v>383</v>
      </c>
      <c r="C5637" s="62" t="s">
        <v>60</v>
      </c>
      <c r="D5637" s="62" t="s">
        <v>382</v>
      </c>
      <c r="E5637" s="62" t="s">
        <v>382</v>
      </c>
      <c r="F5637" s="63" t="s">
        <v>575</v>
      </c>
      <c r="G5637" s="64" t="n">
        <v>0</v>
      </c>
      <c r="H5637" s="62" t="s">
        <v>42</v>
      </c>
    </row>
    <row r="5638" customFormat="false" ht="15" hidden="false" customHeight="false" outlineLevel="0" collapsed="false">
      <c r="A5638" s="62" t="n">
        <v>1</v>
      </c>
      <c r="B5638" s="62" t="s">
        <v>384</v>
      </c>
      <c r="C5638" s="62" t="s">
        <v>60</v>
      </c>
      <c r="D5638" s="62" t="s">
        <v>382</v>
      </c>
      <c r="E5638" s="62" t="s">
        <v>382</v>
      </c>
      <c r="F5638" s="63" t="s">
        <v>573</v>
      </c>
      <c r="G5638" s="64" t="n">
        <v>0</v>
      </c>
      <c r="H5638" s="62" t="s">
        <v>42</v>
      </c>
    </row>
    <row r="5639" customFormat="false" ht="15" hidden="false" customHeight="false" outlineLevel="0" collapsed="false">
      <c r="A5639" s="62" t="n">
        <v>1</v>
      </c>
      <c r="B5639" s="62" t="s">
        <v>385</v>
      </c>
      <c r="C5639" s="62" t="s">
        <v>60</v>
      </c>
      <c r="D5639" s="62" t="s">
        <v>382</v>
      </c>
      <c r="E5639" s="62" t="s">
        <v>382</v>
      </c>
      <c r="F5639" s="63" t="s">
        <v>575</v>
      </c>
      <c r="G5639" s="64" t="n">
        <v>362.989</v>
      </c>
      <c r="H5639" s="62" t="s">
        <v>42</v>
      </c>
    </row>
    <row r="5640" customFormat="false" ht="15" hidden="false" customHeight="false" outlineLevel="0" collapsed="false">
      <c r="A5640" s="62" t="n">
        <v>1</v>
      </c>
      <c r="B5640" s="62" t="s">
        <v>386</v>
      </c>
      <c r="C5640" s="62" t="s">
        <v>60</v>
      </c>
      <c r="D5640" s="62" t="s">
        <v>382</v>
      </c>
      <c r="E5640" s="62" t="s">
        <v>382</v>
      </c>
      <c r="F5640" s="63" t="s">
        <v>573</v>
      </c>
      <c r="G5640" s="64" t="n">
        <v>0</v>
      </c>
      <c r="H5640" s="62" t="s">
        <v>42</v>
      </c>
    </row>
    <row r="5641" customFormat="false" ht="15" hidden="false" customHeight="false" outlineLevel="0" collapsed="false">
      <c r="A5641" s="62" t="n">
        <v>1</v>
      </c>
      <c r="B5641" s="62" t="s">
        <v>387</v>
      </c>
      <c r="C5641" s="62" t="s">
        <v>60</v>
      </c>
      <c r="D5641" s="62" t="s">
        <v>382</v>
      </c>
      <c r="E5641" s="62" t="s">
        <v>382</v>
      </c>
      <c r="F5641" s="63" t="s">
        <v>575</v>
      </c>
      <c r="G5641" s="64" t="n">
        <v>0</v>
      </c>
      <c r="H5641" s="62" t="s">
        <v>42</v>
      </c>
    </row>
    <row r="5642" customFormat="false" ht="15" hidden="false" customHeight="false" outlineLevel="0" collapsed="false">
      <c r="A5642" s="62" t="n">
        <v>1</v>
      </c>
      <c r="B5642" s="62" t="s">
        <v>388</v>
      </c>
      <c r="C5642" s="62" t="s">
        <v>60</v>
      </c>
      <c r="D5642" s="62" t="s">
        <v>382</v>
      </c>
      <c r="E5642" s="62" t="s">
        <v>382</v>
      </c>
      <c r="F5642" s="63" t="s">
        <v>575</v>
      </c>
      <c r="G5642" s="64" t="n">
        <v>0</v>
      </c>
      <c r="H5642" s="62" t="s">
        <v>42</v>
      </c>
    </row>
    <row r="5643" customFormat="false" ht="15" hidden="false" customHeight="false" outlineLevel="0" collapsed="false">
      <c r="A5643" s="62" t="n">
        <v>1</v>
      </c>
      <c r="B5643" s="62" t="s">
        <v>381</v>
      </c>
      <c r="C5643" s="62" t="s">
        <v>60</v>
      </c>
      <c r="D5643" s="62" t="s">
        <v>382</v>
      </c>
      <c r="E5643" s="62" t="s">
        <v>382</v>
      </c>
      <c r="F5643" s="63" t="s">
        <v>818</v>
      </c>
      <c r="G5643" s="64" t="n">
        <v>295.211</v>
      </c>
      <c r="H5643" s="62" t="s">
        <v>42</v>
      </c>
    </row>
    <row r="5644" customFormat="false" ht="15" hidden="false" customHeight="false" outlineLevel="0" collapsed="false">
      <c r="A5644" s="62" t="n">
        <v>1</v>
      </c>
      <c r="B5644" s="62" t="s">
        <v>383</v>
      </c>
      <c r="C5644" s="62" t="s">
        <v>60</v>
      </c>
      <c r="D5644" s="62" t="s">
        <v>382</v>
      </c>
      <c r="E5644" s="62" t="s">
        <v>382</v>
      </c>
      <c r="F5644" s="63" t="s">
        <v>818</v>
      </c>
      <c r="G5644" s="64" t="n">
        <v>0</v>
      </c>
      <c r="H5644" s="62" t="s">
        <v>42</v>
      </c>
    </row>
    <row r="5645" customFormat="false" ht="15" hidden="false" customHeight="false" outlineLevel="0" collapsed="false">
      <c r="A5645" s="62" t="n">
        <v>1</v>
      </c>
      <c r="B5645" s="62" t="s">
        <v>384</v>
      </c>
      <c r="C5645" s="62" t="s">
        <v>60</v>
      </c>
      <c r="D5645" s="62" t="s">
        <v>382</v>
      </c>
      <c r="E5645" s="62" t="s">
        <v>382</v>
      </c>
      <c r="F5645" s="63" t="s">
        <v>576</v>
      </c>
      <c r="G5645" s="64" t="n">
        <v>0</v>
      </c>
      <c r="H5645" s="62" t="s">
        <v>42</v>
      </c>
    </row>
    <row r="5646" customFormat="false" ht="15" hidden="false" customHeight="false" outlineLevel="0" collapsed="false">
      <c r="A5646" s="62" t="n">
        <v>1</v>
      </c>
      <c r="B5646" s="62" t="s">
        <v>385</v>
      </c>
      <c r="C5646" s="62" t="s">
        <v>60</v>
      </c>
      <c r="D5646" s="62" t="s">
        <v>382</v>
      </c>
      <c r="E5646" s="62" t="s">
        <v>382</v>
      </c>
      <c r="F5646" s="63" t="s">
        <v>576</v>
      </c>
      <c r="G5646" s="64" t="n">
        <v>0</v>
      </c>
      <c r="H5646" s="62" t="s">
        <v>42</v>
      </c>
    </row>
    <row r="5647" customFormat="false" ht="15" hidden="false" customHeight="false" outlineLevel="0" collapsed="false">
      <c r="A5647" s="62" t="n">
        <v>1</v>
      </c>
      <c r="B5647" s="62" t="s">
        <v>386</v>
      </c>
      <c r="C5647" s="62" t="s">
        <v>60</v>
      </c>
      <c r="D5647" s="62" t="s">
        <v>382</v>
      </c>
      <c r="E5647" s="62" t="s">
        <v>382</v>
      </c>
      <c r="F5647" s="63" t="s">
        <v>576</v>
      </c>
      <c r="G5647" s="64" t="n">
        <v>0</v>
      </c>
      <c r="H5647" s="62" t="s">
        <v>42</v>
      </c>
    </row>
    <row r="5648" customFormat="false" ht="15" hidden="false" customHeight="false" outlineLevel="0" collapsed="false">
      <c r="A5648" s="62" t="n">
        <v>1</v>
      </c>
      <c r="B5648" s="62" t="s">
        <v>387</v>
      </c>
      <c r="C5648" s="62" t="s">
        <v>60</v>
      </c>
      <c r="D5648" s="62" t="s">
        <v>382</v>
      </c>
      <c r="E5648" s="62" t="s">
        <v>382</v>
      </c>
      <c r="F5648" s="63" t="s">
        <v>818</v>
      </c>
      <c r="G5648" s="64" t="n">
        <v>0</v>
      </c>
      <c r="H5648" s="62" t="s">
        <v>42</v>
      </c>
    </row>
    <row r="5649" customFormat="false" ht="15" hidden="false" customHeight="false" outlineLevel="0" collapsed="false">
      <c r="A5649" s="62" t="n">
        <v>1</v>
      </c>
      <c r="B5649" s="62" t="s">
        <v>388</v>
      </c>
      <c r="C5649" s="62" t="s">
        <v>60</v>
      </c>
      <c r="D5649" s="62" t="s">
        <v>382</v>
      </c>
      <c r="E5649" s="62" t="s">
        <v>382</v>
      </c>
      <c r="F5649" s="63" t="s">
        <v>818</v>
      </c>
      <c r="G5649" s="64" t="n">
        <v>0</v>
      </c>
      <c r="H5649" s="62" t="s">
        <v>42</v>
      </c>
    </row>
    <row r="5650" customFormat="false" ht="15" hidden="false" customHeight="false" outlineLevel="0" collapsed="false">
      <c r="A5650" s="62" t="n">
        <v>1</v>
      </c>
      <c r="B5650" s="62" t="s">
        <v>381</v>
      </c>
      <c r="C5650" s="62" t="s">
        <v>60</v>
      </c>
      <c r="D5650" s="62" t="s">
        <v>382</v>
      </c>
      <c r="E5650" s="62" t="s">
        <v>382</v>
      </c>
      <c r="F5650" s="63" t="s">
        <v>577</v>
      </c>
      <c r="G5650" s="64" t="n">
        <v>0</v>
      </c>
      <c r="H5650" s="62" t="s">
        <v>42</v>
      </c>
    </row>
    <row r="5651" customFormat="false" ht="15" hidden="false" customHeight="false" outlineLevel="0" collapsed="false">
      <c r="A5651" s="62" t="n">
        <v>1</v>
      </c>
      <c r="B5651" s="62" t="s">
        <v>383</v>
      </c>
      <c r="C5651" s="62" t="s">
        <v>60</v>
      </c>
      <c r="D5651" s="62" t="s">
        <v>382</v>
      </c>
      <c r="E5651" s="62" t="s">
        <v>382</v>
      </c>
      <c r="F5651" s="63" t="s">
        <v>577</v>
      </c>
      <c r="G5651" s="64" t="n">
        <v>0</v>
      </c>
      <c r="H5651" s="62" t="s">
        <v>42</v>
      </c>
    </row>
    <row r="5652" customFormat="false" ht="15" hidden="false" customHeight="false" outlineLevel="0" collapsed="false">
      <c r="A5652" s="62" t="n">
        <v>1</v>
      </c>
      <c r="B5652" s="62" t="s">
        <v>384</v>
      </c>
      <c r="C5652" s="62" t="s">
        <v>60</v>
      </c>
      <c r="D5652" s="62" t="s">
        <v>382</v>
      </c>
      <c r="E5652" s="62" t="s">
        <v>382</v>
      </c>
      <c r="F5652" s="63" t="s">
        <v>577</v>
      </c>
      <c r="G5652" s="64" t="n">
        <v>0</v>
      </c>
      <c r="H5652" s="62" t="s">
        <v>42</v>
      </c>
    </row>
    <row r="5653" customFormat="false" ht="15" hidden="false" customHeight="false" outlineLevel="0" collapsed="false">
      <c r="A5653" s="62" t="n">
        <v>1</v>
      </c>
      <c r="B5653" s="62" t="s">
        <v>385</v>
      </c>
      <c r="C5653" s="62" t="s">
        <v>60</v>
      </c>
      <c r="D5653" s="62" t="s">
        <v>382</v>
      </c>
      <c r="E5653" s="62" t="s">
        <v>382</v>
      </c>
      <c r="F5653" s="63" t="s">
        <v>577</v>
      </c>
      <c r="G5653" s="64" t="n">
        <v>0</v>
      </c>
      <c r="H5653" s="62" t="s">
        <v>42</v>
      </c>
    </row>
    <row r="5654" customFormat="false" ht="15" hidden="false" customHeight="false" outlineLevel="0" collapsed="false">
      <c r="A5654" s="62" t="n">
        <v>1</v>
      </c>
      <c r="B5654" s="62" t="s">
        <v>386</v>
      </c>
      <c r="C5654" s="62" t="s">
        <v>60</v>
      </c>
      <c r="D5654" s="62" t="s">
        <v>382</v>
      </c>
      <c r="E5654" s="62" t="s">
        <v>382</v>
      </c>
      <c r="F5654" s="63" t="s">
        <v>577</v>
      </c>
      <c r="G5654" s="64" t="n">
        <v>0</v>
      </c>
      <c r="H5654" s="62" t="s">
        <v>42</v>
      </c>
    </row>
    <row r="5655" customFormat="false" ht="15" hidden="false" customHeight="false" outlineLevel="0" collapsed="false">
      <c r="A5655" s="62" t="n">
        <v>1</v>
      </c>
      <c r="B5655" s="62" t="s">
        <v>387</v>
      </c>
      <c r="C5655" s="62" t="s">
        <v>60</v>
      </c>
      <c r="D5655" s="62" t="s">
        <v>382</v>
      </c>
      <c r="E5655" s="62" t="s">
        <v>382</v>
      </c>
      <c r="F5655" s="63" t="s">
        <v>577</v>
      </c>
      <c r="G5655" s="64" t="n">
        <v>0</v>
      </c>
      <c r="H5655" s="62" t="s">
        <v>42</v>
      </c>
    </row>
    <row r="5656" customFormat="false" ht="15" hidden="false" customHeight="false" outlineLevel="0" collapsed="false">
      <c r="A5656" s="62" t="n">
        <v>1</v>
      </c>
      <c r="B5656" s="62" t="s">
        <v>388</v>
      </c>
      <c r="C5656" s="62" t="s">
        <v>60</v>
      </c>
      <c r="D5656" s="62" t="s">
        <v>382</v>
      </c>
      <c r="E5656" s="62" t="s">
        <v>382</v>
      </c>
      <c r="F5656" s="63" t="s">
        <v>577</v>
      </c>
      <c r="G5656" s="64" t="n">
        <v>0</v>
      </c>
      <c r="H5656" s="62" t="s">
        <v>42</v>
      </c>
    </row>
    <row r="5657" customFormat="false" ht="15" hidden="false" customHeight="false" outlineLevel="0" collapsed="false">
      <c r="A5657" s="62" t="n">
        <v>1</v>
      </c>
      <c r="B5657" s="62" t="s">
        <v>381</v>
      </c>
      <c r="C5657" s="62" t="s">
        <v>60</v>
      </c>
      <c r="D5657" s="62" t="s">
        <v>382</v>
      </c>
      <c r="E5657" s="62" t="s">
        <v>382</v>
      </c>
      <c r="F5657" s="63" t="s">
        <v>578</v>
      </c>
      <c r="G5657" s="64" t="n">
        <v>0</v>
      </c>
      <c r="H5657" s="62" t="s">
        <v>42</v>
      </c>
    </row>
    <row r="5658" customFormat="false" ht="15" hidden="false" customHeight="false" outlineLevel="0" collapsed="false">
      <c r="A5658" s="62" t="n">
        <v>1</v>
      </c>
      <c r="B5658" s="62" t="s">
        <v>383</v>
      </c>
      <c r="C5658" s="62" t="s">
        <v>60</v>
      </c>
      <c r="D5658" s="62" t="s">
        <v>382</v>
      </c>
      <c r="E5658" s="62" t="s">
        <v>382</v>
      </c>
      <c r="F5658" s="63" t="s">
        <v>578</v>
      </c>
      <c r="G5658" s="64" t="n">
        <v>0</v>
      </c>
      <c r="H5658" s="62" t="s">
        <v>42</v>
      </c>
    </row>
    <row r="5659" customFormat="false" ht="15" hidden="false" customHeight="false" outlineLevel="0" collapsed="false">
      <c r="A5659" s="62" t="n">
        <v>1</v>
      </c>
      <c r="B5659" s="62" t="s">
        <v>384</v>
      </c>
      <c r="C5659" s="62" t="s">
        <v>60</v>
      </c>
      <c r="D5659" s="62" t="s">
        <v>382</v>
      </c>
      <c r="E5659" s="62" t="s">
        <v>382</v>
      </c>
      <c r="F5659" s="63" t="s">
        <v>578</v>
      </c>
      <c r="G5659" s="64" t="n">
        <v>0</v>
      </c>
      <c r="H5659" s="62" t="s">
        <v>42</v>
      </c>
    </row>
    <row r="5660" customFormat="false" ht="15" hidden="false" customHeight="false" outlineLevel="0" collapsed="false">
      <c r="A5660" s="62" t="n">
        <v>1</v>
      </c>
      <c r="B5660" s="62" t="s">
        <v>385</v>
      </c>
      <c r="C5660" s="62" t="s">
        <v>60</v>
      </c>
      <c r="D5660" s="62" t="s">
        <v>382</v>
      </c>
      <c r="E5660" s="62" t="s">
        <v>382</v>
      </c>
      <c r="F5660" s="63" t="s">
        <v>578</v>
      </c>
      <c r="G5660" s="64" t="n">
        <v>0</v>
      </c>
      <c r="H5660" s="62" t="s">
        <v>42</v>
      </c>
    </row>
    <row r="5661" customFormat="false" ht="15" hidden="false" customHeight="false" outlineLevel="0" collapsed="false">
      <c r="A5661" s="62" t="n">
        <v>1</v>
      </c>
      <c r="B5661" s="62" t="s">
        <v>386</v>
      </c>
      <c r="C5661" s="62" t="s">
        <v>60</v>
      </c>
      <c r="D5661" s="62" t="s">
        <v>382</v>
      </c>
      <c r="E5661" s="62" t="s">
        <v>382</v>
      </c>
      <c r="F5661" s="63" t="s">
        <v>578</v>
      </c>
      <c r="G5661" s="64" t="n">
        <v>0</v>
      </c>
      <c r="H5661" s="62" t="s">
        <v>42</v>
      </c>
    </row>
    <row r="5662" customFormat="false" ht="15" hidden="false" customHeight="false" outlineLevel="0" collapsed="false">
      <c r="A5662" s="62" t="n">
        <v>1</v>
      </c>
      <c r="B5662" s="62" t="s">
        <v>387</v>
      </c>
      <c r="C5662" s="62" t="s">
        <v>60</v>
      </c>
      <c r="D5662" s="62" t="s">
        <v>382</v>
      </c>
      <c r="E5662" s="62" t="s">
        <v>382</v>
      </c>
      <c r="F5662" s="63" t="s">
        <v>578</v>
      </c>
      <c r="G5662" s="64" t="n">
        <v>0</v>
      </c>
      <c r="H5662" s="62" t="s">
        <v>42</v>
      </c>
    </row>
    <row r="5663" customFormat="false" ht="15" hidden="false" customHeight="false" outlineLevel="0" collapsed="false">
      <c r="A5663" s="62" t="n">
        <v>1</v>
      </c>
      <c r="B5663" s="62" t="s">
        <v>388</v>
      </c>
      <c r="C5663" s="62" t="s">
        <v>60</v>
      </c>
      <c r="D5663" s="62" t="s">
        <v>382</v>
      </c>
      <c r="E5663" s="62" t="s">
        <v>382</v>
      </c>
      <c r="F5663" s="63" t="s">
        <v>578</v>
      </c>
      <c r="G5663" s="64" t="n">
        <v>0</v>
      </c>
      <c r="H5663" s="62" t="s">
        <v>42</v>
      </c>
    </row>
    <row r="5664" customFormat="false" ht="15" hidden="false" customHeight="false" outlineLevel="0" collapsed="false">
      <c r="A5664" s="62" t="n">
        <v>1</v>
      </c>
      <c r="B5664" s="62" t="s">
        <v>381</v>
      </c>
      <c r="C5664" s="62" t="s">
        <v>60</v>
      </c>
      <c r="D5664" s="62" t="s">
        <v>382</v>
      </c>
      <c r="E5664" s="62" t="s">
        <v>382</v>
      </c>
      <c r="F5664" s="63" t="s">
        <v>579</v>
      </c>
      <c r="G5664" s="64" t="n">
        <v>118234.304865751</v>
      </c>
      <c r="H5664" s="62" t="s">
        <v>42</v>
      </c>
    </row>
    <row r="5665" customFormat="false" ht="15" hidden="false" customHeight="false" outlineLevel="0" collapsed="false">
      <c r="A5665" s="62" t="n">
        <v>1</v>
      </c>
      <c r="B5665" s="62" t="s">
        <v>383</v>
      </c>
      <c r="C5665" s="62" t="s">
        <v>60</v>
      </c>
      <c r="D5665" s="62" t="s">
        <v>382</v>
      </c>
      <c r="E5665" s="62" t="s">
        <v>382</v>
      </c>
      <c r="F5665" s="63" t="s">
        <v>579</v>
      </c>
      <c r="G5665" s="64" t="n">
        <v>150</v>
      </c>
      <c r="H5665" s="62" t="s">
        <v>42</v>
      </c>
    </row>
    <row r="5666" customFormat="false" ht="15" hidden="false" customHeight="false" outlineLevel="0" collapsed="false">
      <c r="A5666" s="62" t="n">
        <v>1</v>
      </c>
      <c r="B5666" s="62" t="s">
        <v>384</v>
      </c>
      <c r="C5666" s="62" t="s">
        <v>60</v>
      </c>
      <c r="D5666" s="62" t="s">
        <v>382</v>
      </c>
      <c r="E5666" s="62" t="s">
        <v>382</v>
      </c>
      <c r="F5666" s="63" t="s">
        <v>579</v>
      </c>
      <c r="G5666" s="64" t="n">
        <v>150</v>
      </c>
      <c r="H5666" s="62" t="s">
        <v>42</v>
      </c>
    </row>
    <row r="5667" customFormat="false" ht="15" hidden="false" customHeight="false" outlineLevel="0" collapsed="false">
      <c r="A5667" s="62" t="n">
        <v>1</v>
      </c>
      <c r="B5667" s="62" t="s">
        <v>385</v>
      </c>
      <c r="C5667" s="62" t="s">
        <v>60</v>
      </c>
      <c r="D5667" s="62" t="s">
        <v>382</v>
      </c>
      <c r="E5667" s="62" t="s">
        <v>382</v>
      </c>
      <c r="F5667" s="63" t="s">
        <v>579</v>
      </c>
      <c r="G5667" s="64" t="n">
        <v>145345.543371155</v>
      </c>
      <c r="H5667" s="62" t="s">
        <v>42</v>
      </c>
    </row>
    <row r="5668" customFormat="false" ht="15" hidden="false" customHeight="false" outlineLevel="0" collapsed="false">
      <c r="A5668" s="62" t="n">
        <v>1</v>
      </c>
      <c r="B5668" s="62" t="s">
        <v>386</v>
      </c>
      <c r="C5668" s="62" t="s">
        <v>60</v>
      </c>
      <c r="D5668" s="62" t="s">
        <v>382</v>
      </c>
      <c r="E5668" s="62" t="s">
        <v>382</v>
      </c>
      <c r="F5668" s="63" t="s">
        <v>579</v>
      </c>
      <c r="G5668" s="64" t="n">
        <v>150</v>
      </c>
      <c r="H5668" s="62" t="s">
        <v>42</v>
      </c>
    </row>
    <row r="5669" customFormat="false" ht="15" hidden="false" customHeight="false" outlineLevel="0" collapsed="false">
      <c r="A5669" s="62" t="n">
        <v>1</v>
      </c>
      <c r="B5669" s="62" t="s">
        <v>387</v>
      </c>
      <c r="C5669" s="62" t="s">
        <v>60</v>
      </c>
      <c r="D5669" s="62" t="s">
        <v>382</v>
      </c>
      <c r="E5669" s="62" t="s">
        <v>382</v>
      </c>
      <c r="F5669" s="63" t="s">
        <v>579</v>
      </c>
      <c r="G5669" s="64" t="n">
        <v>150</v>
      </c>
      <c r="H5669" s="62" t="s">
        <v>42</v>
      </c>
    </row>
    <row r="5670" customFormat="false" ht="15" hidden="false" customHeight="false" outlineLevel="0" collapsed="false">
      <c r="A5670" s="62" t="n">
        <v>1</v>
      </c>
      <c r="B5670" s="62" t="s">
        <v>388</v>
      </c>
      <c r="C5670" s="62" t="s">
        <v>60</v>
      </c>
      <c r="D5670" s="62" t="s">
        <v>382</v>
      </c>
      <c r="E5670" s="62" t="s">
        <v>382</v>
      </c>
      <c r="F5670" s="63" t="s">
        <v>579</v>
      </c>
      <c r="G5670" s="64" t="n">
        <v>150</v>
      </c>
      <c r="H5670" s="62" t="s">
        <v>42</v>
      </c>
    </row>
    <row r="5671" customFormat="false" ht="15" hidden="false" customHeight="false" outlineLevel="0" collapsed="false">
      <c r="A5671" s="62" t="n">
        <v>1</v>
      </c>
      <c r="B5671" s="62" t="s">
        <v>383</v>
      </c>
      <c r="C5671" s="62" t="s">
        <v>60</v>
      </c>
      <c r="D5671" s="62" t="s">
        <v>382</v>
      </c>
      <c r="E5671" s="62" t="s">
        <v>382</v>
      </c>
      <c r="F5671" s="63" t="s">
        <v>819</v>
      </c>
      <c r="G5671" s="64" t="n">
        <v>245.78</v>
      </c>
      <c r="H5671" s="62" t="s">
        <v>42</v>
      </c>
    </row>
    <row r="5672" customFormat="false" ht="15" hidden="false" customHeight="false" outlineLevel="0" collapsed="false">
      <c r="A5672" s="62" t="n">
        <v>1</v>
      </c>
      <c r="B5672" s="62" t="s">
        <v>384</v>
      </c>
      <c r="C5672" s="62" t="s">
        <v>60</v>
      </c>
      <c r="D5672" s="62" t="s">
        <v>382</v>
      </c>
      <c r="E5672" s="62" t="s">
        <v>382</v>
      </c>
      <c r="F5672" s="63" t="s">
        <v>575</v>
      </c>
      <c r="G5672" s="64" t="n">
        <v>219.569</v>
      </c>
      <c r="H5672" s="62" t="s">
        <v>42</v>
      </c>
    </row>
    <row r="5673" customFormat="false" ht="15" hidden="false" customHeight="false" outlineLevel="0" collapsed="false">
      <c r="A5673" s="62" t="n">
        <v>1</v>
      </c>
      <c r="B5673" s="62" t="s">
        <v>385</v>
      </c>
      <c r="C5673" s="62" t="s">
        <v>60</v>
      </c>
      <c r="D5673" s="62" t="s">
        <v>382</v>
      </c>
      <c r="E5673" s="62" t="s">
        <v>382</v>
      </c>
      <c r="F5673" s="63" t="s">
        <v>819</v>
      </c>
      <c r="G5673" s="64" t="n">
        <v>65.613</v>
      </c>
      <c r="H5673" s="62" t="s">
        <v>42</v>
      </c>
    </row>
    <row r="5674" customFormat="false" ht="15" hidden="false" customHeight="false" outlineLevel="0" collapsed="false">
      <c r="A5674" s="62" t="n">
        <v>1</v>
      </c>
      <c r="B5674" s="62" t="s">
        <v>387</v>
      </c>
      <c r="C5674" s="62" t="s">
        <v>60</v>
      </c>
      <c r="D5674" s="62" t="s">
        <v>382</v>
      </c>
      <c r="E5674" s="62" t="s">
        <v>382</v>
      </c>
      <c r="F5674" s="63" t="s">
        <v>819</v>
      </c>
      <c r="G5674" s="64" t="n">
        <v>281.573</v>
      </c>
      <c r="H5674" s="62" t="s">
        <v>42</v>
      </c>
    </row>
    <row r="5675" customFormat="false" ht="15" hidden="false" customHeight="false" outlineLevel="0" collapsed="false">
      <c r="A5675" s="62" t="n">
        <v>1</v>
      </c>
      <c r="B5675" s="62" t="s">
        <v>381</v>
      </c>
      <c r="C5675" s="62" t="s">
        <v>60</v>
      </c>
      <c r="D5675" s="62" t="s">
        <v>382</v>
      </c>
      <c r="E5675" s="62" t="s">
        <v>382</v>
      </c>
      <c r="F5675" s="63" t="s">
        <v>820</v>
      </c>
      <c r="G5675" s="64" t="n">
        <v>113.995</v>
      </c>
      <c r="H5675" s="62" t="s">
        <v>42</v>
      </c>
    </row>
    <row r="5676" customFormat="false" ht="15" hidden="false" customHeight="false" outlineLevel="0" collapsed="false">
      <c r="A5676" s="62" t="n">
        <v>1</v>
      </c>
      <c r="B5676" s="62" t="s">
        <v>381</v>
      </c>
      <c r="C5676" s="62" t="s">
        <v>60</v>
      </c>
      <c r="D5676" s="62" t="s">
        <v>382</v>
      </c>
      <c r="E5676" s="62" t="s">
        <v>382</v>
      </c>
      <c r="F5676" s="63" t="s">
        <v>580</v>
      </c>
      <c r="G5676" s="64" t="n">
        <v>37143.4799394718</v>
      </c>
      <c r="H5676" s="62" t="s">
        <v>42</v>
      </c>
    </row>
    <row r="5677" customFormat="false" ht="15" hidden="false" customHeight="false" outlineLevel="0" collapsed="false">
      <c r="A5677" s="62" t="n">
        <v>1</v>
      </c>
      <c r="B5677" s="62" t="s">
        <v>383</v>
      </c>
      <c r="C5677" s="62" t="s">
        <v>60</v>
      </c>
      <c r="D5677" s="62" t="s">
        <v>382</v>
      </c>
      <c r="E5677" s="62" t="s">
        <v>382</v>
      </c>
      <c r="F5677" s="63" t="s">
        <v>580</v>
      </c>
      <c r="G5677" s="64" t="n">
        <v>79973.6098748444</v>
      </c>
      <c r="H5677" s="62" t="s">
        <v>42</v>
      </c>
    </row>
    <row r="5678" customFormat="false" ht="15" hidden="false" customHeight="false" outlineLevel="0" collapsed="false">
      <c r="A5678" s="62" t="n">
        <v>1</v>
      </c>
      <c r="B5678" s="62" t="s">
        <v>384</v>
      </c>
      <c r="C5678" s="62" t="s">
        <v>60</v>
      </c>
      <c r="D5678" s="62" t="s">
        <v>382</v>
      </c>
      <c r="E5678" s="62" t="s">
        <v>382</v>
      </c>
      <c r="F5678" s="63" t="s">
        <v>580</v>
      </c>
      <c r="G5678" s="64" t="n">
        <v>71454.8748361072</v>
      </c>
      <c r="H5678" s="62" t="s">
        <v>42</v>
      </c>
    </row>
    <row r="5679" customFormat="false" ht="15" hidden="false" customHeight="false" outlineLevel="0" collapsed="false">
      <c r="A5679" s="62" t="n">
        <v>1</v>
      </c>
      <c r="B5679" s="62" t="s">
        <v>385</v>
      </c>
      <c r="C5679" s="62" t="s">
        <v>60</v>
      </c>
      <c r="D5679" s="62" t="s">
        <v>382</v>
      </c>
      <c r="E5679" s="62" t="s">
        <v>382</v>
      </c>
      <c r="F5679" s="63" t="s">
        <v>580</v>
      </c>
      <c r="G5679" s="64" t="n">
        <v>21419.1164865955</v>
      </c>
      <c r="H5679" s="62" t="s">
        <v>42</v>
      </c>
    </row>
    <row r="5680" customFormat="false" ht="15" hidden="false" customHeight="false" outlineLevel="0" collapsed="false">
      <c r="A5680" s="62" t="n">
        <v>1</v>
      </c>
      <c r="B5680" s="62" t="s">
        <v>386</v>
      </c>
      <c r="C5680" s="62" t="s">
        <v>60</v>
      </c>
      <c r="D5680" s="62" t="s">
        <v>382</v>
      </c>
      <c r="E5680" s="62" t="s">
        <v>382</v>
      </c>
      <c r="F5680" s="63" t="s">
        <v>580</v>
      </c>
      <c r="G5680" s="64" t="n">
        <v>95</v>
      </c>
      <c r="H5680" s="62" t="s">
        <v>42</v>
      </c>
    </row>
    <row r="5681" customFormat="false" ht="15" hidden="false" customHeight="false" outlineLevel="0" collapsed="false">
      <c r="A5681" s="62" t="n">
        <v>1</v>
      </c>
      <c r="B5681" s="62" t="s">
        <v>387</v>
      </c>
      <c r="C5681" s="62" t="s">
        <v>60</v>
      </c>
      <c r="D5681" s="62" t="s">
        <v>382</v>
      </c>
      <c r="E5681" s="62" t="s">
        <v>382</v>
      </c>
      <c r="F5681" s="63" t="s">
        <v>580</v>
      </c>
      <c r="G5681" s="64" t="n">
        <v>91606.2283228834</v>
      </c>
      <c r="H5681" s="62" t="s">
        <v>42</v>
      </c>
    </row>
    <row r="5682" customFormat="false" ht="15" hidden="false" customHeight="false" outlineLevel="0" collapsed="false">
      <c r="A5682" s="62" t="n">
        <v>1</v>
      </c>
      <c r="B5682" s="62" t="s">
        <v>388</v>
      </c>
      <c r="C5682" s="62" t="s">
        <v>60</v>
      </c>
      <c r="D5682" s="62" t="s">
        <v>382</v>
      </c>
      <c r="E5682" s="62" t="s">
        <v>382</v>
      </c>
      <c r="F5682" s="63" t="s">
        <v>580</v>
      </c>
      <c r="G5682" s="64" t="n">
        <v>95</v>
      </c>
      <c r="H5682" s="62" t="s">
        <v>42</v>
      </c>
    </row>
    <row r="5683" customFormat="false" ht="15" hidden="false" customHeight="false" outlineLevel="0" collapsed="false">
      <c r="A5683" s="62" t="n">
        <v>1</v>
      </c>
      <c r="B5683" s="62" t="s">
        <v>381</v>
      </c>
      <c r="C5683" s="62" t="s">
        <v>60</v>
      </c>
      <c r="D5683" s="62" t="s">
        <v>382</v>
      </c>
      <c r="E5683" s="62" t="s">
        <v>382</v>
      </c>
      <c r="F5683" s="63" t="s">
        <v>581</v>
      </c>
      <c r="G5683" s="64" t="n">
        <v>7</v>
      </c>
      <c r="H5683" s="62" t="s">
        <v>42</v>
      </c>
    </row>
    <row r="5684" customFormat="false" ht="15" hidden="false" customHeight="false" outlineLevel="0" collapsed="false">
      <c r="A5684" s="62" t="n">
        <v>1</v>
      </c>
      <c r="B5684" s="62" t="s">
        <v>383</v>
      </c>
      <c r="C5684" s="62" t="s">
        <v>60</v>
      </c>
      <c r="D5684" s="62" t="s">
        <v>382</v>
      </c>
      <c r="E5684" s="62" t="s">
        <v>382</v>
      </c>
      <c r="F5684" s="63" t="s">
        <v>581</v>
      </c>
      <c r="G5684" s="64" t="n">
        <v>7</v>
      </c>
      <c r="H5684" s="62" t="s">
        <v>42</v>
      </c>
    </row>
    <row r="5685" customFormat="false" ht="15" hidden="false" customHeight="false" outlineLevel="0" collapsed="false">
      <c r="A5685" s="62" t="n">
        <v>1</v>
      </c>
      <c r="B5685" s="62" t="s">
        <v>384</v>
      </c>
      <c r="C5685" s="62" t="s">
        <v>60</v>
      </c>
      <c r="D5685" s="62" t="s">
        <v>382</v>
      </c>
      <c r="E5685" s="62" t="s">
        <v>382</v>
      </c>
      <c r="F5685" s="63" t="s">
        <v>581</v>
      </c>
      <c r="G5685" s="64" t="n">
        <v>7</v>
      </c>
      <c r="H5685" s="62" t="s">
        <v>42</v>
      </c>
    </row>
    <row r="5686" customFormat="false" ht="15" hidden="false" customHeight="false" outlineLevel="0" collapsed="false">
      <c r="A5686" s="62" t="n">
        <v>1</v>
      </c>
      <c r="B5686" s="62" t="s">
        <v>385</v>
      </c>
      <c r="C5686" s="62" t="s">
        <v>60</v>
      </c>
      <c r="D5686" s="62" t="s">
        <v>382</v>
      </c>
      <c r="E5686" s="62" t="s">
        <v>382</v>
      </c>
      <c r="F5686" s="63" t="s">
        <v>581</v>
      </c>
      <c r="G5686" s="64" t="n">
        <v>7</v>
      </c>
      <c r="H5686" s="62" t="s">
        <v>42</v>
      </c>
    </row>
    <row r="5687" customFormat="false" ht="15" hidden="false" customHeight="false" outlineLevel="0" collapsed="false">
      <c r="A5687" s="62" t="n">
        <v>1</v>
      </c>
      <c r="B5687" s="62" t="s">
        <v>386</v>
      </c>
      <c r="C5687" s="62" t="s">
        <v>60</v>
      </c>
      <c r="D5687" s="62" t="s">
        <v>382</v>
      </c>
      <c r="E5687" s="62" t="s">
        <v>382</v>
      </c>
      <c r="F5687" s="63" t="s">
        <v>581</v>
      </c>
      <c r="G5687" s="64" t="n">
        <v>7</v>
      </c>
      <c r="H5687" s="62" t="s">
        <v>42</v>
      </c>
    </row>
    <row r="5688" customFormat="false" ht="15" hidden="false" customHeight="false" outlineLevel="0" collapsed="false">
      <c r="A5688" s="62" t="n">
        <v>1</v>
      </c>
      <c r="B5688" s="62" t="s">
        <v>387</v>
      </c>
      <c r="C5688" s="62" t="s">
        <v>60</v>
      </c>
      <c r="D5688" s="62" t="s">
        <v>382</v>
      </c>
      <c r="E5688" s="62" t="s">
        <v>382</v>
      </c>
      <c r="F5688" s="63" t="s">
        <v>581</v>
      </c>
      <c r="G5688" s="64" t="n">
        <v>7</v>
      </c>
      <c r="H5688" s="62" t="s">
        <v>42</v>
      </c>
    </row>
    <row r="5689" customFormat="false" ht="15" hidden="false" customHeight="false" outlineLevel="0" collapsed="false">
      <c r="A5689" s="62" t="n">
        <v>1</v>
      </c>
      <c r="B5689" s="62" t="s">
        <v>388</v>
      </c>
      <c r="C5689" s="62" t="s">
        <v>60</v>
      </c>
      <c r="D5689" s="62" t="s">
        <v>382</v>
      </c>
      <c r="E5689" s="62" t="s">
        <v>382</v>
      </c>
      <c r="F5689" s="63" t="s">
        <v>581</v>
      </c>
      <c r="G5689" s="64" t="n">
        <v>7</v>
      </c>
      <c r="H5689" s="62" t="s">
        <v>42</v>
      </c>
    </row>
    <row r="5690" customFormat="false" ht="15" hidden="false" customHeight="false" outlineLevel="0" collapsed="false">
      <c r="A5690" s="62" t="n">
        <v>1</v>
      </c>
      <c r="B5690" s="62" t="s">
        <v>381</v>
      </c>
      <c r="C5690" s="62" t="s">
        <v>60</v>
      </c>
      <c r="D5690" s="62" t="s">
        <v>382</v>
      </c>
      <c r="E5690" s="62" t="s">
        <v>382</v>
      </c>
      <c r="F5690" s="63" t="s">
        <v>582</v>
      </c>
      <c r="G5690" s="64" t="n">
        <v>2</v>
      </c>
      <c r="H5690" s="62" t="s">
        <v>42</v>
      </c>
    </row>
    <row r="5691" customFormat="false" ht="15" hidden="false" customHeight="false" outlineLevel="0" collapsed="false">
      <c r="A5691" s="62" t="n">
        <v>1</v>
      </c>
      <c r="B5691" s="62" t="s">
        <v>383</v>
      </c>
      <c r="C5691" s="62" t="s">
        <v>60</v>
      </c>
      <c r="D5691" s="62" t="s">
        <v>382</v>
      </c>
      <c r="E5691" s="62" t="s">
        <v>382</v>
      </c>
      <c r="F5691" s="63" t="s">
        <v>582</v>
      </c>
      <c r="G5691" s="64" t="n">
        <v>2</v>
      </c>
      <c r="H5691" s="62" t="s">
        <v>42</v>
      </c>
    </row>
    <row r="5692" customFormat="false" ht="15" hidden="false" customHeight="false" outlineLevel="0" collapsed="false">
      <c r="A5692" s="62" t="n">
        <v>1</v>
      </c>
      <c r="B5692" s="62" t="s">
        <v>384</v>
      </c>
      <c r="C5692" s="62" t="s">
        <v>60</v>
      </c>
      <c r="D5692" s="62" t="s">
        <v>382</v>
      </c>
      <c r="E5692" s="62" t="s">
        <v>382</v>
      </c>
      <c r="F5692" s="63" t="s">
        <v>582</v>
      </c>
      <c r="G5692" s="64" t="n">
        <v>2</v>
      </c>
      <c r="H5692" s="62" t="s">
        <v>42</v>
      </c>
    </row>
    <row r="5693" customFormat="false" ht="15" hidden="false" customHeight="false" outlineLevel="0" collapsed="false">
      <c r="A5693" s="62" t="n">
        <v>1</v>
      </c>
      <c r="B5693" s="62" t="s">
        <v>385</v>
      </c>
      <c r="C5693" s="62" t="s">
        <v>60</v>
      </c>
      <c r="D5693" s="62" t="s">
        <v>382</v>
      </c>
      <c r="E5693" s="62" t="s">
        <v>382</v>
      </c>
      <c r="F5693" s="63" t="s">
        <v>582</v>
      </c>
      <c r="G5693" s="64" t="n">
        <v>2</v>
      </c>
      <c r="H5693" s="62" t="s">
        <v>42</v>
      </c>
    </row>
    <row r="5694" customFormat="false" ht="15" hidden="false" customHeight="false" outlineLevel="0" collapsed="false">
      <c r="A5694" s="62" t="n">
        <v>1</v>
      </c>
      <c r="B5694" s="62" t="s">
        <v>386</v>
      </c>
      <c r="C5694" s="62" t="s">
        <v>60</v>
      </c>
      <c r="D5694" s="62" t="s">
        <v>382</v>
      </c>
      <c r="E5694" s="62" t="s">
        <v>382</v>
      </c>
      <c r="F5694" s="63" t="s">
        <v>582</v>
      </c>
      <c r="G5694" s="64" t="n">
        <v>2</v>
      </c>
      <c r="H5694" s="62" t="s">
        <v>42</v>
      </c>
    </row>
    <row r="5695" customFormat="false" ht="15" hidden="false" customHeight="false" outlineLevel="0" collapsed="false">
      <c r="A5695" s="62" t="n">
        <v>1</v>
      </c>
      <c r="B5695" s="62" t="s">
        <v>387</v>
      </c>
      <c r="C5695" s="62" t="s">
        <v>60</v>
      </c>
      <c r="D5695" s="62" t="s">
        <v>382</v>
      </c>
      <c r="E5695" s="62" t="s">
        <v>382</v>
      </c>
      <c r="F5695" s="63" t="s">
        <v>582</v>
      </c>
      <c r="G5695" s="64" t="n">
        <v>2</v>
      </c>
      <c r="H5695" s="62" t="s">
        <v>42</v>
      </c>
    </row>
    <row r="5696" customFormat="false" ht="15" hidden="false" customHeight="false" outlineLevel="0" collapsed="false">
      <c r="A5696" s="62" t="n">
        <v>1</v>
      </c>
      <c r="B5696" s="62" t="s">
        <v>388</v>
      </c>
      <c r="C5696" s="62" t="s">
        <v>60</v>
      </c>
      <c r="D5696" s="62" t="s">
        <v>382</v>
      </c>
      <c r="E5696" s="62" t="s">
        <v>382</v>
      </c>
      <c r="F5696" s="63" t="s">
        <v>582</v>
      </c>
      <c r="G5696" s="64" t="n">
        <v>2</v>
      </c>
      <c r="H5696" s="62" t="s">
        <v>42</v>
      </c>
    </row>
    <row r="5697" customFormat="false" ht="15" hidden="false" customHeight="false" outlineLevel="0" collapsed="false">
      <c r="A5697" s="62" t="n">
        <v>1</v>
      </c>
      <c r="B5697" s="62" t="s">
        <v>383</v>
      </c>
      <c r="C5697" s="62" t="s">
        <v>60</v>
      </c>
      <c r="D5697" s="62" t="s">
        <v>382</v>
      </c>
      <c r="E5697" s="62" t="s">
        <v>382</v>
      </c>
      <c r="F5697" s="63" t="s">
        <v>605</v>
      </c>
      <c r="G5697" s="64" t="n">
        <v>5</v>
      </c>
      <c r="H5697" s="62" t="s">
        <v>42</v>
      </c>
    </row>
    <row r="5698" customFormat="false" ht="15" hidden="false" customHeight="false" outlineLevel="0" collapsed="false">
      <c r="A5698" s="62" t="n">
        <v>1</v>
      </c>
      <c r="B5698" s="62" t="s">
        <v>383</v>
      </c>
      <c r="C5698" s="62" t="s">
        <v>60</v>
      </c>
      <c r="D5698" s="62" t="s">
        <v>382</v>
      </c>
      <c r="E5698" s="62" t="s">
        <v>382</v>
      </c>
      <c r="F5698" s="63" t="s">
        <v>606</v>
      </c>
      <c r="G5698" s="64" t="n">
        <v>3</v>
      </c>
      <c r="H5698" s="62" t="s">
        <v>42</v>
      </c>
    </row>
    <row r="5699" customFormat="false" ht="15" hidden="false" customHeight="false" outlineLevel="0" collapsed="false">
      <c r="A5699" s="62" t="n">
        <v>1</v>
      </c>
      <c r="B5699" s="62" t="s">
        <v>388</v>
      </c>
      <c r="C5699" s="62" t="s">
        <v>60</v>
      </c>
      <c r="D5699" s="62" t="s">
        <v>382</v>
      </c>
      <c r="E5699" s="62" t="s">
        <v>382</v>
      </c>
      <c r="F5699" s="63" t="s">
        <v>606</v>
      </c>
      <c r="G5699" s="64" t="n">
        <v>3</v>
      </c>
      <c r="H5699" s="62" t="s">
        <v>42</v>
      </c>
    </row>
    <row r="5700" customFormat="false" ht="15" hidden="false" customHeight="false" outlineLevel="0" collapsed="false">
      <c r="A5700" s="62" t="n">
        <v>1</v>
      </c>
      <c r="B5700" s="62" t="s">
        <v>381</v>
      </c>
      <c r="C5700" s="62" t="s">
        <v>60</v>
      </c>
      <c r="D5700" s="62" t="s">
        <v>382</v>
      </c>
      <c r="E5700" s="62" t="s">
        <v>382</v>
      </c>
      <c r="F5700" s="63" t="s">
        <v>583</v>
      </c>
      <c r="G5700" s="64" t="n">
        <v>0</v>
      </c>
      <c r="H5700" s="62" t="s">
        <v>42</v>
      </c>
    </row>
    <row r="5701" customFormat="false" ht="15" hidden="false" customHeight="false" outlineLevel="0" collapsed="false">
      <c r="A5701" s="62" t="n">
        <v>1</v>
      </c>
      <c r="B5701" s="62" t="s">
        <v>383</v>
      </c>
      <c r="C5701" s="62" t="s">
        <v>60</v>
      </c>
      <c r="D5701" s="62" t="s">
        <v>382</v>
      </c>
      <c r="E5701" s="62" t="s">
        <v>382</v>
      </c>
      <c r="F5701" s="63" t="s">
        <v>583</v>
      </c>
      <c r="G5701" s="64" t="n">
        <v>0</v>
      </c>
      <c r="H5701" s="62" t="s">
        <v>42</v>
      </c>
    </row>
    <row r="5702" customFormat="false" ht="15" hidden="false" customHeight="false" outlineLevel="0" collapsed="false">
      <c r="A5702" s="62" t="n">
        <v>1</v>
      </c>
      <c r="B5702" s="62" t="s">
        <v>384</v>
      </c>
      <c r="C5702" s="62" t="s">
        <v>60</v>
      </c>
      <c r="D5702" s="62" t="s">
        <v>382</v>
      </c>
      <c r="E5702" s="62" t="s">
        <v>382</v>
      </c>
      <c r="F5702" s="63" t="s">
        <v>583</v>
      </c>
      <c r="G5702" s="64" t="n">
        <v>0</v>
      </c>
      <c r="H5702" s="62" t="s">
        <v>42</v>
      </c>
    </row>
    <row r="5703" customFormat="false" ht="15" hidden="false" customHeight="false" outlineLevel="0" collapsed="false">
      <c r="A5703" s="62" t="n">
        <v>1</v>
      </c>
      <c r="B5703" s="62" t="s">
        <v>385</v>
      </c>
      <c r="C5703" s="62" t="s">
        <v>60</v>
      </c>
      <c r="D5703" s="62" t="s">
        <v>382</v>
      </c>
      <c r="E5703" s="62" t="s">
        <v>382</v>
      </c>
      <c r="F5703" s="63" t="s">
        <v>583</v>
      </c>
      <c r="G5703" s="64" t="n">
        <v>0</v>
      </c>
      <c r="H5703" s="62" t="s">
        <v>42</v>
      </c>
    </row>
    <row r="5704" customFormat="false" ht="15" hidden="false" customHeight="false" outlineLevel="0" collapsed="false">
      <c r="A5704" s="62" t="n">
        <v>1</v>
      </c>
      <c r="B5704" s="62" t="s">
        <v>386</v>
      </c>
      <c r="C5704" s="62" t="s">
        <v>60</v>
      </c>
      <c r="D5704" s="62" t="s">
        <v>382</v>
      </c>
      <c r="E5704" s="62" t="s">
        <v>382</v>
      </c>
      <c r="F5704" s="63" t="s">
        <v>583</v>
      </c>
      <c r="G5704" s="64" t="n">
        <v>0</v>
      </c>
      <c r="H5704" s="62" t="s">
        <v>42</v>
      </c>
    </row>
    <row r="5705" customFormat="false" ht="15" hidden="false" customHeight="false" outlineLevel="0" collapsed="false">
      <c r="A5705" s="62" t="n">
        <v>1</v>
      </c>
      <c r="B5705" s="62" t="s">
        <v>387</v>
      </c>
      <c r="C5705" s="62" t="s">
        <v>60</v>
      </c>
      <c r="D5705" s="62" t="s">
        <v>382</v>
      </c>
      <c r="E5705" s="62" t="s">
        <v>382</v>
      </c>
      <c r="F5705" s="63" t="s">
        <v>583</v>
      </c>
      <c r="G5705" s="64" t="n">
        <v>0</v>
      </c>
      <c r="H5705" s="62" t="s">
        <v>42</v>
      </c>
    </row>
    <row r="5706" customFormat="false" ht="15" hidden="false" customHeight="false" outlineLevel="0" collapsed="false">
      <c r="A5706" s="62" t="n">
        <v>1</v>
      </c>
      <c r="B5706" s="62" t="s">
        <v>388</v>
      </c>
      <c r="C5706" s="62" t="s">
        <v>60</v>
      </c>
      <c r="D5706" s="62" t="s">
        <v>382</v>
      </c>
      <c r="E5706" s="62" t="s">
        <v>382</v>
      </c>
      <c r="F5706" s="63" t="s">
        <v>583</v>
      </c>
      <c r="G5706" s="64" t="n">
        <v>0</v>
      </c>
      <c r="H5706" s="62" t="s">
        <v>42</v>
      </c>
    </row>
    <row r="5707" customFormat="false" ht="15" hidden="false" customHeight="false" outlineLevel="0" collapsed="false">
      <c r="A5707" s="62" t="n">
        <v>1</v>
      </c>
      <c r="B5707" s="62" t="s">
        <v>381</v>
      </c>
      <c r="C5707" s="62" t="s">
        <v>60</v>
      </c>
      <c r="D5707" s="62" t="s">
        <v>382</v>
      </c>
      <c r="E5707" s="62" t="s">
        <v>382</v>
      </c>
      <c r="F5707" s="63" t="s">
        <v>584</v>
      </c>
      <c r="G5707" s="64" t="n">
        <v>336</v>
      </c>
      <c r="H5707" s="62" t="s">
        <v>42</v>
      </c>
    </row>
    <row r="5708" customFormat="false" ht="15" hidden="false" customHeight="false" outlineLevel="0" collapsed="false">
      <c r="A5708" s="62" t="n">
        <v>1</v>
      </c>
      <c r="B5708" s="62" t="s">
        <v>383</v>
      </c>
      <c r="C5708" s="62" t="s">
        <v>60</v>
      </c>
      <c r="D5708" s="62" t="s">
        <v>382</v>
      </c>
      <c r="E5708" s="62" t="s">
        <v>382</v>
      </c>
      <c r="F5708" s="63" t="s">
        <v>584</v>
      </c>
      <c r="G5708" s="64" t="n">
        <v>975.8</v>
      </c>
      <c r="H5708" s="62" t="s">
        <v>42</v>
      </c>
    </row>
    <row r="5709" customFormat="false" ht="15" hidden="false" customHeight="false" outlineLevel="0" collapsed="false">
      <c r="A5709" s="62" t="n">
        <v>1</v>
      </c>
      <c r="B5709" s="62" t="s">
        <v>384</v>
      </c>
      <c r="C5709" s="62" t="s">
        <v>60</v>
      </c>
      <c r="D5709" s="62" t="s">
        <v>382</v>
      </c>
      <c r="E5709" s="62" t="s">
        <v>382</v>
      </c>
      <c r="F5709" s="63" t="s">
        <v>584</v>
      </c>
      <c r="G5709" s="64" t="n">
        <v>1008</v>
      </c>
      <c r="H5709" s="62" t="s">
        <v>42</v>
      </c>
    </row>
    <row r="5710" customFormat="false" ht="15" hidden="false" customHeight="false" outlineLevel="0" collapsed="false">
      <c r="A5710" s="62" t="n">
        <v>1</v>
      </c>
      <c r="B5710" s="62" t="s">
        <v>385</v>
      </c>
      <c r="C5710" s="62" t="s">
        <v>60</v>
      </c>
      <c r="D5710" s="62" t="s">
        <v>382</v>
      </c>
      <c r="E5710" s="62" t="s">
        <v>382</v>
      </c>
      <c r="F5710" s="63" t="s">
        <v>584</v>
      </c>
      <c r="G5710" s="64" t="n">
        <v>1225.98</v>
      </c>
      <c r="H5710" s="62" t="s">
        <v>42</v>
      </c>
    </row>
    <row r="5711" customFormat="false" ht="15" hidden="false" customHeight="false" outlineLevel="0" collapsed="false">
      <c r="A5711" s="62" t="n">
        <v>1</v>
      </c>
      <c r="B5711" s="62" t="s">
        <v>386</v>
      </c>
      <c r="C5711" s="62" t="s">
        <v>60</v>
      </c>
      <c r="D5711" s="62" t="s">
        <v>382</v>
      </c>
      <c r="E5711" s="62" t="s">
        <v>382</v>
      </c>
      <c r="F5711" s="63" t="s">
        <v>584</v>
      </c>
      <c r="G5711" s="64" t="n">
        <v>787.15</v>
      </c>
      <c r="H5711" s="62" t="s">
        <v>42</v>
      </c>
    </row>
    <row r="5712" customFormat="false" ht="15" hidden="false" customHeight="false" outlineLevel="0" collapsed="false">
      <c r="A5712" s="62" t="n">
        <v>1</v>
      </c>
      <c r="B5712" s="62" t="s">
        <v>387</v>
      </c>
      <c r="C5712" s="62" t="s">
        <v>60</v>
      </c>
      <c r="D5712" s="62" t="s">
        <v>382</v>
      </c>
      <c r="E5712" s="62" t="s">
        <v>382</v>
      </c>
      <c r="F5712" s="63" t="s">
        <v>584</v>
      </c>
      <c r="G5712" s="64" t="n">
        <v>720.72</v>
      </c>
      <c r="H5712" s="62" t="s">
        <v>42</v>
      </c>
    </row>
    <row r="5713" customFormat="false" ht="15" hidden="false" customHeight="false" outlineLevel="0" collapsed="false">
      <c r="A5713" s="62" t="n">
        <v>1</v>
      </c>
      <c r="B5713" s="62" t="s">
        <v>388</v>
      </c>
      <c r="C5713" s="62" t="s">
        <v>60</v>
      </c>
      <c r="D5713" s="62" t="s">
        <v>382</v>
      </c>
      <c r="E5713" s="62" t="s">
        <v>382</v>
      </c>
      <c r="F5713" s="63" t="s">
        <v>584</v>
      </c>
      <c r="G5713" s="64" t="n">
        <v>716.8</v>
      </c>
      <c r="H5713" s="62" t="s">
        <v>42</v>
      </c>
    </row>
    <row r="5714" customFormat="false" ht="15" hidden="false" customHeight="false" outlineLevel="0" collapsed="false">
      <c r="A5714" s="62" t="n">
        <v>1</v>
      </c>
      <c r="B5714" s="62" t="s">
        <v>381</v>
      </c>
      <c r="C5714" s="62" t="s">
        <v>60</v>
      </c>
      <c r="D5714" s="62" t="s">
        <v>382</v>
      </c>
      <c r="E5714" s="62" t="s">
        <v>382</v>
      </c>
      <c r="F5714" s="63" t="s">
        <v>585</v>
      </c>
      <c r="G5714" s="64" t="n">
        <v>480</v>
      </c>
      <c r="H5714" s="62" t="s">
        <v>42</v>
      </c>
    </row>
    <row r="5715" customFormat="false" ht="15" hidden="false" customHeight="false" outlineLevel="0" collapsed="false">
      <c r="A5715" s="62" t="n">
        <v>1</v>
      </c>
      <c r="B5715" s="62" t="s">
        <v>383</v>
      </c>
      <c r="C5715" s="62" t="s">
        <v>60</v>
      </c>
      <c r="D5715" s="62" t="s">
        <v>382</v>
      </c>
      <c r="E5715" s="62" t="s">
        <v>382</v>
      </c>
      <c r="F5715" s="63" t="s">
        <v>585</v>
      </c>
      <c r="G5715" s="64" t="n">
        <v>0</v>
      </c>
      <c r="H5715" s="62" t="s">
        <v>42</v>
      </c>
    </row>
    <row r="5716" customFormat="false" ht="15" hidden="false" customHeight="false" outlineLevel="0" collapsed="false">
      <c r="A5716" s="62" t="n">
        <v>1</v>
      </c>
      <c r="B5716" s="62" t="s">
        <v>384</v>
      </c>
      <c r="C5716" s="62" t="s">
        <v>60</v>
      </c>
      <c r="D5716" s="62" t="s">
        <v>382</v>
      </c>
      <c r="E5716" s="62" t="s">
        <v>382</v>
      </c>
      <c r="F5716" s="63" t="s">
        <v>585</v>
      </c>
      <c r="G5716" s="64" t="n">
        <v>0</v>
      </c>
      <c r="H5716" s="62" t="s">
        <v>42</v>
      </c>
    </row>
    <row r="5717" customFormat="false" ht="15" hidden="false" customHeight="false" outlineLevel="0" collapsed="false">
      <c r="A5717" s="62" t="n">
        <v>1</v>
      </c>
      <c r="B5717" s="62" t="s">
        <v>385</v>
      </c>
      <c r="C5717" s="62" t="s">
        <v>60</v>
      </c>
      <c r="D5717" s="62" t="s">
        <v>382</v>
      </c>
      <c r="E5717" s="62" t="s">
        <v>382</v>
      </c>
      <c r="F5717" s="63" t="s">
        <v>585</v>
      </c>
      <c r="G5717" s="64" t="n">
        <v>0</v>
      </c>
      <c r="H5717" s="62" t="s">
        <v>42</v>
      </c>
    </row>
    <row r="5718" customFormat="false" ht="15" hidden="false" customHeight="false" outlineLevel="0" collapsed="false">
      <c r="A5718" s="62" t="n">
        <v>1</v>
      </c>
      <c r="B5718" s="62" t="s">
        <v>386</v>
      </c>
      <c r="C5718" s="62" t="s">
        <v>60</v>
      </c>
      <c r="D5718" s="62" t="s">
        <v>382</v>
      </c>
      <c r="E5718" s="62" t="s">
        <v>382</v>
      </c>
      <c r="F5718" s="63" t="s">
        <v>585</v>
      </c>
      <c r="G5718" s="64" t="n">
        <v>0</v>
      </c>
      <c r="H5718" s="62" t="s">
        <v>42</v>
      </c>
    </row>
    <row r="5719" customFormat="false" ht="15" hidden="false" customHeight="false" outlineLevel="0" collapsed="false">
      <c r="A5719" s="62" t="n">
        <v>1</v>
      </c>
      <c r="B5719" s="62" t="s">
        <v>387</v>
      </c>
      <c r="C5719" s="62" t="s">
        <v>60</v>
      </c>
      <c r="D5719" s="62" t="s">
        <v>382</v>
      </c>
      <c r="E5719" s="62" t="s">
        <v>382</v>
      </c>
      <c r="F5719" s="63" t="s">
        <v>585</v>
      </c>
      <c r="G5719" s="64" t="n">
        <v>0</v>
      </c>
      <c r="H5719" s="62" t="s">
        <v>42</v>
      </c>
    </row>
    <row r="5720" customFormat="false" ht="15" hidden="false" customHeight="false" outlineLevel="0" collapsed="false">
      <c r="A5720" s="62" t="n">
        <v>1</v>
      </c>
      <c r="B5720" s="62" t="s">
        <v>388</v>
      </c>
      <c r="C5720" s="62" t="s">
        <v>60</v>
      </c>
      <c r="D5720" s="62" t="s">
        <v>382</v>
      </c>
      <c r="E5720" s="62" t="s">
        <v>382</v>
      </c>
      <c r="F5720" s="63" t="s">
        <v>585</v>
      </c>
      <c r="G5720" s="64" t="n">
        <v>0</v>
      </c>
      <c r="H5720" s="62" t="s">
        <v>42</v>
      </c>
    </row>
    <row r="5721" customFormat="false" ht="15" hidden="false" customHeight="false" outlineLevel="0" collapsed="false">
      <c r="A5721" s="62" t="n">
        <v>1</v>
      </c>
      <c r="B5721" s="62" t="s">
        <v>381</v>
      </c>
      <c r="C5721" s="62" t="s">
        <v>60</v>
      </c>
      <c r="D5721" s="62" t="s">
        <v>382</v>
      </c>
      <c r="E5721" s="62" t="s">
        <v>382</v>
      </c>
      <c r="F5721" s="63" t="s">
        <v>586</v>
      </c>
      <c r="G5721" s="64" t="n">
        <v>0</v>
      </c>
      <c r="H5721" s="62" t="s">
        <v>42</v>
      </c>
    </row>
    <row r="5722" customFormat="false" ht="15" hidden="false" customHeight="false" outlineLevel="0" collapsed="false">
      <c r="A5722" s="62" t="n">
        <v>1</v>
      </c>
      <c r="B5722" s="62" t="s">
        <v>383</v>
      </c>
      <c r="C5722" s="62" t="s">
        <v>60</v>
      </c>
      <c r="D5722" s="62" t="s">
        <v>382</v>
      </c>
      <c r="E5722" s="62" t="s">
        <v>382</v>
      </c>
      <c r="F5722" s="63" t="s">
        <v>586</v>
      </c>
      <c r="G5722" s="64" t="n">
        <v>0</v>
      </c>
      <c r="H5722" s="62" t="s">
        <v>42</v>
      </c>
    </row>
    <row r="5723" customFormat="false" ht="15" hidden="false" customHeight="false" outlineLevel="0" collapsed="false">
      <c r="A5723" s="62" t="n">
        <v>1</v>
      </c>
      <c r="B5723" s="62" t="s">
        <v>384</v>
      </c>
      <c r="C5723" s="62" t="s">
        <v>60</v>
      </c>
      <c r="D5723" s="62" t="s">
        <v>382</v>
      </c>
      <c r="E5723" s="62" t="s">
        <v>382</v>
      </c>
      <c r="F5723" s="63" t="s">
        <v>586</v>
      </c>
      <c r="G5723" s="64" t="n">
        <v>0</v>
      </c>
      <c r="H5723" s="62" t="s">
        <v>42</v>
      </c>
    </row>
    <row r="5724" customFormat="false" ht="15" hidden="false" customHeight="false" outlineLevel="0" collapsed="false">
      <c r="A5724" s="62" t="n">
        <v>1</v>
      </c>
      <c r="B5724" s="62" t="s">
        <v>385</v>
      </c>
      <c r="C5724" s="62" t="s">
        <v>60</v>
      </c>
      <c r="D5724" s="62" t="s">
        <v>382</v>
      </c>
      <c r="E5724" s="62" t="s">
        <v>382</v>
      </c>
      <c r="F5724" s="63" t="s">
        <v>586</v>
      </c>
      <c r="G5724" s="64" t="n">
        <v>0</v>
      </c>
      <c r="H5724" s="62" t="s">
        <v>42</v>
      </c>
    </row>
    <row r="5725" customFormat="false" ht="15" hidden="false" customHeight="false" outlineLevel="0" collapsed="false">
      <c r="A5725" s="62" t="n">
        <v>1</v>
      </c>
      <c r="B5725" s="62" t="s">
        <v>386</v>
      </c>
      <c r="C5725" s="62" t="s">
        <v>60</v>
      </c>
      <c r="D5725" s="62" t="s">
        <v>382</v>
      </c>
      <c r="E5725" s="62" t="s">
        <v>382</v>
      </c>
      <c r="F5725" s="63" t="s">
        <v>586</v>
      </c>
      <c r="G5725" s="64" t="n">
        <v>0</v>
      </c>
      <c r="H5725" s="62" t="s">
        <v>42</v>
      </c>
    </row>
    <row r="5726" customFormat="false" ht="15" hidden="false" customHeight="false" outlineLevel="0" collapsed="false">
      <c r="A5726" s="62" t="n">
        <v>1</v>
      </c>
      <c r="B5726" s="62" t="s">
        <v>387</v>
      </c>
      <c r="C5726" s="62" t="s">
        <v>60</v>
      </c>
      <c r="D5726" s="62" t="s">
        <v>382</v>
      </c>
      <c r="E5726" s="62" t="s">
        <v>382</v>
      </c>
      <c r="F5726" s="63" t="s">
        <v>586</v>
      </c>
      <c r="G5726" s="64" t="n">
        <v>0</v>
      </c>
      <c r="H5726" s="62" t="s">
        <v>42</v>
      </c>
    </row>
    <row r="5727" customFormat="false" ht="15" hidden="false" customHeight="false" outlineLevel="0" collapsed="false">
      <c r="A5727" s="62" t="n">
        <v>1</v>
      </c>
      <c r="B5727" s="62" t="s">
        <v>388</v>
      </c>
      <c r="C5727" s="62" t="s">
        <v>60</v>
      </c>
      <c r="D5727" s="62" t="s">
        <v>382</v>
      </c>
      <c r="E5727" s="62" t="s">
        <v>382</v>
      </c>
      <c r="F5727" s="63" t="s">
        <v>586</v>
      </c>
      <c r="G5727" s="64" t="n">
        <v>0</v>
      </c>
      <c r="H5727" s="62" t="s">
        <v>42</v>
      </c>
    </row>
    <row r="5728" customFormat="false" ht="15" hidden="false" customHeight="false" outlineLevel="0" collapsed="false">
      <c r="A5728" s="62" t="n">
        <v>1</v>
      </c>
      <c r="B5728" s="62" t="s">
        <v>381</v>
      </c>
      <c r="C5728" s="62" t="s">
        <v>60</v>
      </c>
      <c r="D5728" s="62" t="s">
        <v>382</v>
      </c>
      <c r="E5728" s="62" t="s">
        <v>382</v>
      </c>
      <c r="F5728" s="63" t="s">
        <v>587</v>
      </c>
      <c r="G5728" s="64" t="n">
        <v>816</v>
      </c>
      <c r="H5728" s="62" t="s">
        <v>42</v>
      </c>
    </row>
    <row r="5729" customFormat="false" ht="15" hidden="false" customHeight="false" outlineLevel="0" collapsed="false">
      <c r="A5729" s="62" t="n">
        <v>1</v>
      </c>
      <c r="B5729" s="62" t="s">
        <v>383</v>
      </c>
      <c r="C5729" s="62" t="s">
        <v>60</v>
      </c>
      <c r="D5729" s="62" t="s">
        <v>382</v>
      </c>
      <c r="E5729" s="62" t="s">
        <v>382</v>
      </c>
      <c r="F5729" s="63" t="s">
        <v>587</v>
      </c>
      <c r="G5729" s="64" t="n">
        <v>975.8</v>
      </c>
      <c r="H5729" s="62" t="s">
        <v>42</v>
      </c>
    </row>
    <row r="5730" customFormat="false" ht="15" hidden="false" customHeight="false" outlineLevel="0" collapsed="false">
      <c r="A5730" s="62" t="n">
        <v>1</v>
      </c>
      <c r="B5730" s="62" t="s">
        <v>384</v>
      </c>
      <c r="C5730" s="62" t="s">
        <v>60</v>
      </c>
      <c r="D5730" s="62" t="s">
        <v>382</v>
      </c>
      <c r="E5730" s="62" t="s">
        <v>382</v>
      </c>
      <c r="F5730" s="63" t="s">
        <v>587</v>
      </c>
      <c r="G5730" s="64" t="n">
        <v>1008</v>
      </c>
      <c r="H5730" s="62" t="s">
        <v>42</v>
      </c>
    </row>
    <row r="5731" customFormat="false" ht="15" hidden="false" customHeight="false" outlineLevel="0" collapsed="false">
      <c r="A5731" s="62" t="n">
        <v>1</v>
      </c>
      <c r="B5731" s="62" t="s">
        <v>385</v>
      </c>
      <c r="C5731" s="62" t="s">
        <v>60</v>
      </c>
      <c r="D5731" s="62" t="s">
        <v>382</v>
      </c>
      <c r="E5731" s="62" t="s">
        <v>382</v>
      </c>
      <c r="F5731" s="63" t="s">
        <v>587</v>
      </c>
      <c r="G5731" s="64" t="n">
        <v>1225.98</v>
      </c>
      <c r="H5731" s="62" t="s">
        <v>42</v>
      </c>
    </row>
    <row r="5732" customFormat="false" ht="15" hidden="false" customHeight="false" outlineLevel="0" collapsed="false">
      <c r="A5732" s="62" t="n">
        <v>1</v>
      </c>
      <c r="B5732" s="62" t="s">
        <v>386</v>
      </c>
      <c r="C5732" s="62" t="s">
        <v>60</v>
      </c>
      <c r="D5732" s="62" t="s">
        <v>382</v>
      </c>
      <c r="E5732" s="62" t="s">
        <v>382</v>
      </c>
      <c r="F5732" s="63" t="s">
        <v>587</v>
      </c>
      <c r="G5732" s="64" t="n">
        <v>787.15</v>
      </c>
      <c r="H5732" s="62" t="s">
        <v>42</v>
      </c>
    </row>
    <row r="5733" customFormat="false" ht="15" hidden="false" customHeight="false" outlineLevel="0" collapsed="false">
      <c r="A5733" s="62" t="n">
        <v>1</v>
      </c>
      <c r="B5733" s="62" t="s">
        <v>387</v>
      </c>
      <c r="C5733" s="62" t="s">
        <v>60</v>
      </c>
      <c r="D5733" s="62" t="s">
        <v>382</v>
      </c>
      <c r="E5733" s="62" t="s">
        <v>382</v>
      </c>
      <c r="F5733" s="63" t="s">
        <v>587</v>
      </c>
      <c r="G5733" s="64" t="n">
        <v>720.72</v>
      </c>
      <c r="H5733" s="62" t="s">
        <v>42</v>
      </c>
    </row>
    <row r="5734" customFormat="false" ht="15" hidden="false" customHeight="false" outlineLevel="0" collapsed="false">
      <c r="A5734" s="62" t="n">
        <v>1</v>
      </c>
      <c r="B5734" s="62" t="s">
        <v>388</v>
      </c>
      <c r="C5734" s="62" t="s">
        <v>60</v>
      </c>
      <c r="D5734" s="62" t="s">
        <v>382</v>
      </c>
      <c r="E5734" s="62" t="s">
        <v>382</v>
      </c>
      <c r="F5734" s="63" t="s">
        <v>587</v>
      </c>
      <c r="G5734" s="64" t="n">
        <v>716.8</v>
      </c>
      <c r="H5734" s="62" t="s">
        <v>42</v>
      </c>
    </row>
    <row r="5735" customFormat="false" ht="15" hidden="false" customHeight="false" outlineLevel="0" collapsed="false">
      <c r="A5735" s="62" t="n">
        <v>1</v>
      </c>
      <c r="B5735" s="62" t="s">
        <v>381</v>
      </c>
      <c r="C5735" s="62" t="s">
        <v>60</v>
      </c>
      <c r="D5735" s="62" t="s">
        <v>382</v>
      </c>
      <c r="E5735" s="62" t="s">
        <v>382</v>
      </c>
      <c r="F5735" s="63" t="s">
        <v>588</v>
      </c>
      <c r="G5735" s="64" t="n">
        <v>-667.398</v>
      </c>
      <c r="H5735" s="62" t="s">
        <v>42</v>
      </c>
    </row>
    <row r="5736" customFormat="false" ht="15" hidden="false" customHeight="false" outlineLevel="0" collapsed="false">
      <c r="A5736" s="62" t="n">
        <v>1</v>
      </c>
      <c r="B5736" s="62" t="s">
        <v>383</v>
      </c>
      <c r="C5736" s="62" t="s">
        <v>60</v>
      </c>
      <c r="D5736" s="62" t="s">
        <v>382</v>
      </c>
      <c r="E5736" s="62" t="s">
        <v>382</v>
      </c>
      <c r="F5736" s="63" t="s">
        <v>588</v>
      </c>
      <c r="G5736" s="64" t="n">
        <v>-519.932</v>
      </c>
      <c r="H5736" s="62" t="s">
        <v>42</v>
      </c>
    </row>
    <row r="5737" customFormat="false" ht="15" hidden="false" customHeight="false" outlineLevel="0" collapsed="false">
      <c r="A5737" s="62" t="n">
        <v>1</v>
      </c>
      <c r="B5737" s="62" t="s">
        <v>384</v>
      </c>
      <c r="C5737" s="62" t="s">
        <v>60</v>
      </c>
      <c r="D5737" s="62" t="s">
        <v>382</v>
      </c>
      <c r="E5737" s="62" t="s">
        <v>382</v>
      </c>
      <c r="F5737" s="63" t="s">
        <v>588</v>
      </c>
      <c r="G5737" s="64" t="n">
        <v>-560.885</v>
      </c>
      <c r="H5737" s="62" t="s">
        <v>42</v>
      </c>
    </row>
    <row r="5738" customFormat="false" ht="15" hidden="false" customHeight="false" outlineLevel="0" collapsed="false">
      <c r="A5738" s="62" t="n">
        <v>1</v>
      </c>
      <c r="B5738" s="62" t="s">
        <v>385</v>
      </c>
      <c r="C5738" s="62" t="s">
        <v>60</v>
      </c>
      <c r="D5738" s="62" t="s">
        <v>382</v>
      </c>
      <c r="E5738" s="62" t="s">
        <v>382</v>
      </c>
      <c r="F5738" s="63" t="s">
        <v>588</v>
      </c>
      <c r="G5738" s="64" t="n">
        <v>-574.361</v>
      </c>
      <c r="H5738" s="62" t="s">
        <v>42</v>
      </c>
    </row>
    <row r="5739" customFormat="false" ht="15" hidden="false" customHeight="false" outlineLevel="0" collapsed="false">
      <c r="A5739" s="62" t="n">
        <v>1</v>
      </c>
      <c r="B5739" s="62" t="s">
        <v>386</v>
      </c>
      <c r="C5739" s="62" t="s">
        <v>60</v>
      </c>
      <c r="D5739" s="62" t="s">
        <v>382</v>
      </c>
      <c r="E5739" s="62" t="s">
        <v>382</v>
      </c>
      <c r="F5739" s="63" t="s">
        <v>588</v>
      </c>
      <c r="G5739" s="64" t="n">
        <v>-787.15</v>
      </c>
      <c r="H5739" s="62" t="s">
        <v>42</v>
      </c>
    </row>
    <row r="5740" customFormat="false" ht="15" hidden="false" customHeight="false" outlineLevel="0" collapsed="false">
      <c r="A5740" s="62" t="n">
        <v>1</v>
      </c>
      <c r="B5740" s="62" t="s">
        <v>387</v>
      </c>
      <c r="C5740" s="62" t="s">
        <v>60</v>
      </c>
      <c r="D5740" s="62" t="s">
        <v>382</v>
      </c>
      <c r="E5740" s="62" t="s">
        <v>382</v>
      </c>
      <c r="F5740" s="63" t="s">
        <v>588</v>
      </c>
      <c r="G5740" s="64" t="n">
        <v>-320.324</v>
      </c>
      <c r="H5740" s="62" t="s">
        <v>42</v>
      </c>
    </row>
    <row r="5741" customFormat="false" ht="15" hidden="false" customHeight="false" outlineLevel="0" collapsed="false">
      <c r="A5741" s="62" t="n">
        <v>1</v>
      </c>
      <c r="B5741" s="62" t="s">
        <v>388</v>
      </c>
      <c r="C5741" s="62" t="s">
        <v>60</v>
      </c>
      <c r="D5741" s="62" t="s">
        <v>382</v>
      </c>
      <c r="E5741" s="62" t="s">
        <v>382</v>
      </c>
      <c r="F5741" s="63" t="s">
        <v>588</v>
      </c>
      <c r="G5741" s="64" t="n">
        <v>-716.8</v>
      </c>
      <c r="H5741" s="62" t="s">
        <v>42</v>
      </c>
    </row>
    <row r="5742" customFormat="false" ht="15" hidden="false" customHeight="false" outlineLevel="0" collapsed="false">
      <c r="A5742" s="62" t="n">
        <v>1</v>
      </c>
      <c r="B5742" s="62" t="s">
        <v>381</v>
      </c>
      <c r="C5742" s="62" t="s">
        <v>60</v>
      </c>
      <c r="D5742" s="62" t="s">
        <v>382</v>
      </c>
      <c r="E5742" s="62" t="s">
        <v>382</v>
      </c>
      <c r="F5742" s="63" t="s">
        <v>589</v>
      </c>
      <c r="G5742" s="64" t="n">
        <v>0</v>
      </c>
      <c r="H5742" s="62" t="s">
        <v>42</v>
      </c>
    </row>
    <row r="5743" customFormat="false" ht="15" hidden="false" customHeight="false" outlineLevel="0" collapsed="false">
      <c r="A5743" s="62" t="n">
        <v>1</v>
      </c>
      <c r="B5743" s="62" t="s">
        <v>383</v>
      </c>
      <c r="C5743" s="62" t="s">
        <v>60</v>
      </c>
      <c r="D5743" s="62" t="s">
        <v>382</v>
      </c>
      <c r="E5743" s="62" t="s">
        <v>382</v>
      </c>
      <c r="F5743" s="63" t="s">
        <v>589</v>
      </c>
      <c r="G5743" s="64" t="n">
        <v>0</v>
      </c>
      <c r="H5743" s="62" t="s">
        <v>42</v>
      </c>
    </row>
    <row r="5744" customFormat="false" ht="15" hidden="false" customHeight="false" outlineLevel="0" collapsed="false">
      <c r="A5744" s="62" t="n">
        <v>1</v>
      </c>
      <c r="B5744" s="62" t="s">
        <v>384</v>
      </c>
      <c r="C5744" s="62" t="s">
        <v>60</v>
      </c>
      <c r="D5744" s="62" t="s">
        <v>382</v>
      </c>
      <c r="E5744" s="62" t="s">
        <v>382</v>
      </c>
      <c r="F5744" s="63" t="s">
        <v>589</v>
      </c>
      <c r="G5744" s="64" t="n">
        <v>0</v>
      </c>
      <c r="H5744" s="62" t="s">
        <v>42</v>
      </c>
    </row>
    <row r="5745" customFormat="false" ht="15" hidden="false" customHeight="false" outlineLevel="0" collapsed="false">
      <c r="A5745" s="62" t="n">
        <v>1</v>
      </c>
      <c r="B5745" s="62" t="s">
        <v>385</v>
      </c>
      <c r="C5745" s="62" t="s">
        <v>60</v>
      </c>
      <c r="D5745" s="62" t="s">
        <v>382</v>
      </c>
      <c r="E5745" s="62" t="s">
        <v>382</v>
      </c>
      <c r="F5745" s="63" t="s">
        <v>589</v>
      </c>
      <c r="G5745" s="64" t="n">
        <v>0</v>
      </c>
      <c r="H5745" s="62" t="s">
        <v>42</v>
      </c>
    </row>
    <row r="5746" customFormat="false" ht="15" hidden="false" customHeight="false" outlineLevel="0" collapsed="false">
      <c r="A5746" s="62" t="n">
        <v>1</v>
      </c>
      <c r="B5746" s="62" t="s">
        <v>386</v>
      </c>
      <c r="C5746" s="62" t="s">
        <v>60</v>
      </c>
      <c r="D5746" s="62" t="s">
        <v>382</v>
      </c>
      <c r="E5746" s="62" t="s">
        <v>382</v>
      </c>
      <c r="F5746" s="63" t="s">
        <v>589</v>
      </c>
      <c r="G5746" s="64" t="n">
        <v>0</v>
      </c>
      <c r="H5746" s="62" t="s">
        <v>42</v>
      </c>
    </row>
    <row r="5747" customFormat="false" ht="15" hidden="false" customHeight="false" outlineLevel="0" collapsed="false">
      <c r="A5747" s="62" t="n">
        <v>1</v>
      </c>
      <c r="B5747" s="62" t="s">
        <v>387</v>
      </c>
      <c r="C5747" s="62" t="s">
        <v>60</v>
      </c>
      <c r="D5747" s="62" t="s">
        <v>382</v>
      </c>
      <c r="E5747" s="62" t="s">
        <v>382</v>
      </c>
      <c r="F5747" s="63" t="s">
        <v>589</v>
      </c>
      <c r="G5747" s="64" t="n">
        <v>0</v>
      </c>
      <c r="H5747" s="62" t="s">
        <v>42</v>
      </c>
    </row>
    <row r="5748" customFormat="false" ht="15" hidden="false" customHeight="false" outlineLevel="0" collapsed="false">
      <c r="A5748" s="62" t="n">
        <v>1</v>
      </c>
      <c r="B5748" s="62" t="s">
        <v>388</v>
      </c>
      <c r="C5748" s="62" t="s">
        <v>60</v>
      </c>
      <c r="D5748" s="62" t="s">
        <v>382</v>
      </c>
      <c r="E5748" s="62" t="s">
        <v>382</v>
      </c>
      <c r="F5748" s="63" t="s">
        <v>589</v>
      </c>
      <c r="G5748" s="64" t="n">
        <v>0</v>
      </c>
      <c r="H5748" s="62" t="s">
        <v>42</v>
      </c>
    </row>
    <row r="5749" customFormat="false" ht="15" hidden="false" customHeight="false" outlineLevel="0" collapsed="false">
      <c r="A5749" s="62" t="n">
        <v>1</v>
      </c>
      <c r="B5749" s="62" t="s">
        <v>381</v>
      </c>
      <c r="C5749" s="62" t="s">
        <v>60</v>
      </c>
      <c r="D5749" s="62" t="s">
        <v>382</v>
      </c>
      <c r="E5749" s="62" t="s">
        <v>382</v>
      </c>
      <c r="F5749" s="63" t="s">
        <v>590</v>
      </c>
      <c r="G5749" s="64" t="n">
        <v>-148.602</v>
      </c>
      <c r="H5749" s="62" t="s">
        <v>42</v>
      </c>
    </row>
    <row r="5750" customFormat="false" ht="15" hidden="false" customHeight="false" outlineLevel="0" collapsed="false">
      <c r="A5750" s="62" t="n">
        <v>1</v>
      </c>
      <c r="B5750" s="62" t="s">
        <v>383</v>
      </c>
      <c r="C5750" s="62" t="s">
        <v>60</v>
      </c>
      <c r="D5750" s="62" t="s">
        <v>382</v>
      </c>
      <c r="E5750" s="62" t="s">
        <v>382</v>
      </c>
      <c r="F5750" s="63" t="s">
        <v>590</v>
      </c>
      <c r="G5750" s="64" t="n">
        <v>-455.868</v>
      </c>
      <c r="H5750" s="62" t="s">
        <v>42</v>
      </c>
    </row>
    <row r="5751" customFormat="false" ht="15" hidden="false" customHeight="false" outlineLevel="0" collapsed="false">
      <c r="A5751" s="62" t="n">
        <v>1</v>
      </c>
      <c r="B5751" s="62" t="s">
        <v>384</v>
      </c>
      <c r="C5751" s="62" t="s">
        <v>60</v>
      </c>
      <c r="D5751" s="62" t="s">
        <v>382</v>
      </c>
      <c r="E5751" s="62" t="s">
        <v>382</v>
      </c>
      <c r="F5751" s="63" t="s">
        <v>590</v>
      </c>
      <c r="G5751" s="64" t="n">
        <v>-447.115</v>
      </c>
      <c r="H5751" s="62" t="s">
        <v>42</v>
      </c>
    </row>
    <row r="5752" customFormat="false" ht="15" hidden="false" customHeight="false" outlineLevel="0" collapsed="false">
      <c r="A5752" s="62" t="n">
        <v>1</v>
      </c>
      <c r="B5752" s="62" t="s">
        <v>385</v>
      </c>
      <c r="C5752" s="62" t="s">
        <v>60</v>
      </c>
      <c r="D5752" s="62" t="s">
        <v>382</v>
      </c>
      <c r="E5752" s="62" t="s">
        <v>382</v>
      </c>
      <c r="F5752" s="63" t="s">
        <v>590</v>
      </c>
      <c r="G5752" s="64" t="n">
        <v>-288.63</v>
      </c>
      <c r="H5752" s="62" t="s">
        <v>42</v>
      </c>
    </row>
    <row r="5753" customFormat="false" ht="15" hidden="false" customHeight="false" outlineLevel="0" collapsed="false">
      <c r="A5753" s="62" t="n">
        <v>1</v>
      </c>
      <c r="B5753" s="62" t="s">
        <v>386</v>
      </c>
      <c r="C5753" s="62" t="s">
        <v>60</v>
      </c>
      <c r="D5753" s="62" t="s">
        <v>382</v>
      </c>
      <c r="E5753" s="62" t="s">
        <v>382</v>
      </c>
      <c r="F5753" s="63" t="s">
        <v>590</v>
      </c>
      <c r="G5753" s="64" t="n">
        <v>0</v>
      </c>
      <c r="H5753" s="62" t="s">
        <v>42</v>
      </c>
    </row>
    <row r="5754" customFormat="false" ht="15" hidden="false" customHeight="false" outlineLevel="0" collapsed="false">
      <c r="A5754" s="62" t="n">
        <v>1</v>
      </c>
      <c r="B5754" s="62" t="s">
        <v>387</v>
      </c>
      <c r="C5754" s="62" t="s">
        <v>60</v>
      </c>
      <c r="D5754" s="62" t="s">
        <v>382</v>
      </c>
      <c r="E5754" s="62" t="s">
        <v>382</v>
      </c>
      <c r="F5754" s="63" t="s">
        <v>590</v>
      </c>
      <c r="G5754" s="64" t="n">
        <v>-400.396</v>
      </c>
      <c r="H5754" s="62" t="s">
        <v>42</v>
      </c>
    </row>
    <row r="5755" customFormat="false" ht="15" hidden="false" customHeight="false" outlineLevel="0" collapsed="false">
      <c r="A5755" s="62" t="n">
        <v>1</v>
      </c>
      <c r="B5755" s="62" t="s">
        <v>388</v>
      </c>
      <c r="C5755" s="62" t="s">
        <v>60</v>
      </c>
      <c r="D5755" s="62" t="s">
        <v>382</v>
      </c>
      <c r="E5755" s="62" t="s">
        <v>382</v>
      </c>
      <c r="F5755" s="63" t="s">
        <v>590</v>
      </c>
      <c r="G5755" s="64" t="n">
        <v>0</v>
      </c>
      <c r="H5755" s="62" t="s">
        <v>42</v>
      </c>
    </row>
    <row r="5756" customFormat="false" ht="15" hidden="false" customHeight="false" outlineLevel="0" collapsed="false">
      <c r="A5756" s="62" t="n">
        <v>1</v>
      </c>
      <c r="B5756" s="62" t="s">
        <v>381</v>
      </c>
      <c r="C5756" s="62" t="s">
        <v>60</v>
      </c>
      <c r="D5756" s="62" t="s">
        <v>382</v>
      </c>
      <c r="E5756" s="62" t="s">
        <v>382</v>
      </c>
      <c r="F5756" s="63" t="s">
        <v>591</v>
      </c>
      <c r="G5756" s="64" t="n">
        <v>0</v>
      </c>
      <c r="H5756" s="62" t="s">
        <v>42</v>
      </c>
    </row>
    <row r="5757" customFormat="false" ht="15" hidden="false" customHeight="false" outlineLevel="0" collapsed="false">
      <c r="A5757" s="62" t="n">
        <v>1</v>
      </c>
      <c r="B5757" s="62" t="s">
        <v>383</v>
      </c>
      <c r="C5757" s="62" t="s">
        <v>60</v>
      </c>
      <c r="D5757" s="62" t="s">
        <v>382</v>
      </c>
      <c r="E5757" s="62" t="s">
        <v>382</v>
      </c>
      <c r="F5757" s="63" t="s">
        <v>591</v>
      </c>
      <c r="G5757" s="64" t="n">
        <v>0</v>
      </c>
      <c r="H5757" s="62" t="s">
        <v>42</v>
      </c>
    </row>
    <row r="5758" customFormat="false" ht="15" hidden="false" customHeight="false" outlineLevel="0" collapsed="false">
      <c r="A5758" s="62" t="n">
        <v>1</v>
      </c>
      <c r="B5758" s="62" t="s">
        <v>384</v>
      </c>
      <c r="C5758" s="62" t="s">
        <v>60</v>
      </c>
      <c r="D5758" s="62" t="s">
        <v>382</v>
      </c>
      <c r="E5758" s="62" t="s">
        <v>382</v>
      </c>
      <c r="F5758" s="63" t="s">
        <v>591</v>
      </c>
      <c r="G5758" s="64" t="n">
        <v>0</v>
      </c>
      <c r="H5758" s="62" t="s">
        <v>42</v>
      </c>
    </row>
    <row r="5759" customFormat="false" ht="15" hidden="false" customHeight="false" outlineLevel="0" collapsed="false">
      <c r="A5759" s="62" t="n">
        <v>1</v>
      </c>
      <c r="B5759" s="62" t="s">
        <v>385</v>
      </c>
      <c r="C5759" s="62" t="s">
        <v>60</v>
      </c>
      <c r="D5759" s="62" t="s">
        <v>382</v>
      </c>
      <c r="E5759" s="62" t="s">
        <v>382</v>
      </c>
      <c r="F5759" s="63" t="s">
        <v>591</v>
      </c>
      <c r="G5759" s="64" t="n">
        <v>362.989</v>
      </c>
      <c r="H5759" s="62" t="s">
        <v>42</v>
      </c>
    </row>
    <row r="5760" customFormat="false" ht="15" hidden="false" customHeight="false" outlineLevel="0" collapsed="false">
      <c r="A5760" s="62" t="n">
        <v>1</v>
      </c>
      <c r="B5760" s="62" t="s">
        <v>386</v>
      </c>
      <c r="C5760" s="62" t="s">
        <v>60</v>
      </c>
      <c r="D5760" s="62" t="s">
        <v>382</v>
      </c>
      <c r="E5760" s="62" t="s">
        <v>382</v>
      </c>
      <c r="F5760" s="63" t="s">
        <v>591</v>
      </c>
      <c r="G5760" s="64" t="n">
        <v>0</v>
      </c>
      <c r="H5760" s="62" t="s">
        <v>42</v>
      </c>
    </row>
    <row r="5761" customFormat="false" ht="15" hidden="false" customHeight="false" outlineLevel="0" collapsed="false">
      <c r="A5761" s="62" t="n">
        <v>1</v>
      </c>
      <c r="B5761" s="62" t="s">
        <v>387</v>
      </c>
      <c r="C5761" s="62" t="s">
        <v>60</v>
      </c>
      <c r="D5761" s="62" t="s">
        <v>382</v>
      </c>
      <c r="E5761" s="62" t="s">
        <v>382</v>
      </c>
      <c r="F5761" s="63" t="s">
        <v>591</v>
      </c>
      <c r="G5761" s="64" t="n">
        <v>0</v>
      </c>
      <c r="H5761" s="62" t="s">
        <v>42</v>
      </c>
    </row>
    <row r="5762" customFormat="false" ht="15" hidden="false" customHeight="false" outlineLevel="0" collapsed="false">
      <c r="A5762" s="62" t="n">
        <v>1</v>
      </c>
      <c r="B5762" s="62" t="s">
        <v>388</v>
      </c>
      <c r="C5762" s="62" t="s">
        <v>60</v>
      </c>
      <c r="D5762" s="62" t="s">
        <v>382</v>
      </c>
      <c r="E5762" s="62" t="s">
        <v>382</v>
      </c>
      <c r="F5762" s="63" t="s">
        <v>591</v>
      </c>
      <c r="G5762" s="64" t="n">
        <v>0</v>
      </c>
      <c r="H5762" s="62" t="s">
        <v>42</v>
      </c>
    </row>
    <row r="5763" customFormat="false" ht="15" hidden="false" customHeight="false" outlineLevel="0" collapsed="false">
      <c r="A5763" s="62" t="n">
        <v>1</v>
      </c>
      <c r="B5763" s="62" t="s">
        <v>381</v>
      </c>
      <c r="C5763" s="62" t="s">
        <v>60</v>
      </c>
      <c r="D5763" s="62" t="s">
        <v>382</v>
      </c>
      <c r="E5763" s="62" t="s">
        <v>382</v>
      </c>
      <c r="F5763" s="63" t="s">
        <v>592</v>
      </c>
      <c r="G5763" s="64" t="n">
        <v>0</v>
      </c>
      <c r="H5763" s="62" t="s">
        <v>42</v>
      </c>
    </row>
    <row r="5764" customFormat="false" ht="15" hidden="false" customHeight="false" outlineLevel="0" collapsed="false">
      <c r="A5764" s="62" t="n">
        <v>1</v>
      </c>
      <c r="B5764" s="62" t="s">
        <v>383</v>
      </c>
      <c r="C5764" s="62" t="s">
        <v>60</v>
      </c>
      <c r="D5764" s="62" t="s">
        <v>382</v>
      </c>
      <c r="E5764" s="62" t="s">
        <v>382</v>
      </c>
      <c r="F5764" s="63" t="s">
        <v>592</v>
      </c>
      <c r="G5764" s="64" t="n">
        <v>0</v>
      </c>
      <c r="H5764" s="62" t="s">
        <v>42</v>
      </c>
    </row>
    <row r="5765" customFormat="false" ht="15" hidden="false" customHeight="false" outlineLevel="0" collapsed="false">
      <c r="A5765" s="62" t="n">
        <v>1</v>
      </c>
      <c r="B5765" s="62" t="s">
        <v>384</v>
      </c>
      <c r="C5765" s="62" t="s">
        <v>60</v>
      </c>
      <c r="D5765" s="62" t="s">
        <v>382</v>
      </c>
      <c r="E5765" s="62" t="s">
        <v>382</v>
      </c>
      <c r="F5765" s="63" t="s">
        <v>592</v>
      </c>
      <c r="G5765" s="64" t="n">
        <v>0</v>
      </c>
      <c r="H5765" s="62" t="s">
        <v>42</v>
      </c>
    </row>
    <row r="5766" customFormat="false" ht="15" hidden="false" customHeight="false" outlineLevel="0" collapsed="false">
      <c r="A5766" s="62" t="n">
        <v>1</v>
      </c>
      <c r="B5766" s="62" t="s">
        <v>385</v>
      </c>
      <c r="C5766" s="62" t="s">
        <v>60</v>
      </c>
      <c r="D5766" s="62" t="s">
        <v>382</v>
      </c>
      <c r="E5766" s="62" t="s">
        <v>382</v>
      </c>
      <c r="F5766" s="63" t="s">
        <v>592</v>
      </c>
      <c r="G5766" s="64" t="n">
        <v>0</v>
      </c>
      <c r="H5766" s="62" t="s">
        <v>42</v>
      </c>
    </row>
    <row r="5767" customFormat="false" ht="15" hidden="false" customHeight="false" outlineLevel="0" collapsed="false">
      <c r="A5767" s="62" t="n">
        <v>1</v>
      </c>
      <c r="B5767" s="62" t="s">
        <v>386</v>
      </c>
      <c r="C5767" s="62" t="s">
        <v>60</v>
      </c>
      <c r="D5767" s="62" t="s">
        <v>382</v>
      </c>
      <c r="E5767" s="62" t="s">
        <v>382</v>
      </c>
      <c r="F5767" s="63" t="s">
        <v>592</v>
      </c>
      <c r="G5767" s="64" t="n">
        <v>19</v>
      </c>
      <c r="H5767" s="62" t="s">
        <v>42</v>
      </c>
    </row>
    <row r="5768" customFormat="false" ht="15" hidden="false" customHeight="false" outlineLevel="0" collapsed="false">
      <c r="A5768" s="62" t="n">
        <v>1</v>
      </c>
      <c r="B5768" s="62" t="s">
        <v>387</v>
      </c>
      <c r="C5768" s="62" t="s">
        <v>60</v>
      </c>
      <c r="D5768" s="62" t="s">
        <v>382</v>
      </c>
      <c r="E5768" s="62" t="s">
        <v>382</v>
      </c>
      <c r="F5768" s="63" t="s">
        <v>592</v>
      </c>
      <c r="G5768" s="64" t="n">
        <v>0</v>
      </c>
      <c r="H5768" s="62" t="s">
        <v>42</v>
      </c>
    </row>
    <row r="5769" customFormat="false" ht="15" hidden="false" customHeight="false" outlineLevel="0" collapsed="false">
      <c r="A5769" s="62" t="n">
        <v>1</v>
      </c>
      <c r="B5769" s="62" t="s">
        <v>388</v>
      </c>
      <c r="C5769" s="62" t="s">
        <v>60</v>
      </c>
      <c r="D5769" s="62" t="s">
        <v>382</v>
      </c>
      <c r="E5769" s="62" t="s">
        <v>382</v>
      </c>
      <c r="F5769" s="63" t="s">
        <v>592</v>
      </c>
      <c r="G5769" s="64" t="n">
        <v>38</v>
      </c>
      <c r="H5769" s="62" t="s">
        <v>42</v>
      </c>
    </row>
    <row r="5770" customFormat="false" ht="15" hidden="false" customHeight="false" outlineLevel="0" collapsed="false">
      <c r="A5770" s="62" t="n">
        <v>1</v>
      </c>
      <c r="B5770" s="62" t="s">
        <v>381</v>
      </c>
      <c r="C5770" s="62" t="s">
        <v>60</v>
      </c>
      <c r="D5770" s="62" t="s">
        <v>382</v>
      </c>
      <c r="E5770" s="62" t="s">
        <v>382</v>
      </c>
      <c r="F5770" s="63" t="s">
        <v>593</v>
      </c>
      <c r="G5770" s="64" t="n">
        <v>240</v>
      </c>
      <c r="H5770" s="62" t="s">
        <v>42</v>
      </c>
    </row>
    <row r="5771" customFormat="false" ht="15" hidden="false" customHeight="false" outlineLevel="0" collapsed="false">
      <c r="A5771" s="62" t="n">
        <v>1</v>
      </c>
      <c r="B5771" s="62" t="s">
        <v>383</v>
      </c>
      <c r="C5771" s="62" t="s">
        <v>60</v>
      </c>
      <c r="D5771" s="62" t="s">
        <v>382</v>
      </c>
      <c r="E5771" s="62" t="s">
        <v>382</v>
      </c>
      <c r="F5771" s="63" t="s">
        <v>593</v>
      </c>
      <c r="G5771" s="64" t="n">
        <v>258.5</v>
      </c>
      <c r="H5771" s="62" t="s">
        <v>42</v>
      </c>
    </row>
    <row r="5772" customFormat="false" ht="15" hidden="false" customHeight="false" outlineLevel="0" collapsed="false">
      <c r="A5772" s="62" t="n">
        <v>1</v>
      </c>
      <c r="B5772" s="62" t="s">
        <v>384</v>
      </c>
      <c r="C5772" s="62" t="s">
        <v>60</v>
      </c>
      <c r="D5772" s="62" t="s">
        <v>382</v>
      </c>
      <c r="E5772" s="62" t="s">
        <v>382</v>
      </c>
      <c r="F5772" s="63" t="s">
        <v>593</v>
      </c>
      <c r="G5772" s="64" t="n">
        <v>360</v>
      </c>
      <c r="H5772" s="62" t="s">
        <v>42</v>
      </c>
    </row>
    <row r="5773" customFormat="false" ht="15" hidden="false" customHeight="false" outlineLevel="0" collapsed="false">
      <c r="A5773" s="62" t="n">
        <v>1</v>
      </c>
      <c r="B5773" s="62" t="s">
        <v>385</v>
      </c>
      <c r="C5773" s="62" t="s">
        <v>60</v>
      </c>
      <c r="D5773" s="62" t="s">
        <v>382</v>
      </c>
      <c r="E5773" s="62" t="s">
        <v>382</v>
      </c>
      <c r="F5773" s="63" t="s">
        <v>593</v>
      </c>
      <c r="G5773" s="64" t="n">
        <v>425</v>
      </c>
      <c r="H5773" s="62" t="s">
        <v>42</v>
      </c>
    </row>
    <row r="5774" customFormat="false" ht="15" hidden="false" customHeight="false" outlineLevel="0" collapsed="false">
      <c r="A5774" s="62" t="n">
        <v>1</v>
      </c>
      <c r="B5774" s="62" t="s">
        <v>386</v>
      </c>
      <c r="C5774" s="62" t="s">
        <v>60</v>
      </c>
      <c r="D5774" s="62" t="s">
        <v>382</v>
      </c>
      <c r="E5774" s="62" t="s">
        <v>382</v>
      </c>
      <c r="F5774" s="63" t="s">
        <v>593</v>
      </c>
      <c r="G5774" s="64" t="n">
        <v>281.125</v>
      </c>
      <c r="H5774" s="62" t="s">
        <v>42</v>
      </c>
    </row>
    <row r="5775" customFormat="false" ht="15" hidden="false" customHeight="false" outlineLevel="0" collapsed="false">
      <c r="A5775" s="62" t="n">
        <v>1</v>
      </c>
      <c r="B5775" s="62" t="s">
        <v>387</v>
      </c>
      <c r="C5775" s="62" t="s">
        <v>60</v>
      </c>
      <c r="D5775" s="62" t="s">
        <v>382</v>
      </c>
      <c r="E5775" s="62" t="s">
        <v>382</v>
      </c>
      <c r="F5775" s="63" t="s">
        <v>593</v>
      </c>
      <c r="G5775" s="64" t="n">
        <v>249.2</v>
      </c>
      <c r="H5775" s="62" t="s">
        <v>42</v>
      </c>
    </row>
    <row r="5776" customFormat="false" ht="15" hidden="false" customHeight="false" outlineLevel="0" collapsed="false">
      <c r="A5776" s="62" t="n">
        <v>1</v>
      </c>
      <c r="B5776" s="62" t="s">
        <v>388</v>
      </c>
      <c r="C5776" s="62" t="s">
        <v>60</v>
      </c>
      <c r="D5776" s="62" t="s">
        <v>382</v>
      </c>
      <c r="E5776" s="62" t="s">
        <v>382</v>
      </c>
      <c r="F5776" s="63" t="s">
        <v>593</v>
      </c>
      <c r="G5776" s="64" t="n">
        <v>216</v>
      </c>
      <c r="H5776" s="62" t="s">
        <v>42</v>
      </c>
    </row>
    <row r="5777" customFormat="false" ht="15" hidden="false" customHeight="false" outlineLevel="0" collapsed="false">
      <c r="A5777" s="62" t="n">
        <v>1</v>
      </c>
      <c r="B5777" s="62" t="s">
        <v>381</v>
      </c>
      <c r="C5777" s="62" t="s">
        <v>60</v>
      </c>
      <c r="D5777" s="62" t="s">
        <v>382</v>
      </c>
      <c r="E5777" s="62" t="s">
        <v>382</v>
      </c>
      <c r="F5777" s="63" t="s">
        <v>594</v>
      </c>
      <c r="G5777" s="64" t="n">
        <v>360</v>
      </c>
      <c r="H5777" s="62" t="s">
        <v>42</v>
      </c>
    </row>
    <row r="5778" customFormat="false" ht="15" hidden="false" customHeight="false" outlineLevel="0" collapsed="false">
      <c r="A5778" s="62" t="n">
        <v>1</v>
      </c>
      <c r="B5778" s="62" t="s">
        <v>383</v>
      </c>
      <c r="C5778" s="62" t="s">
        <v>60</v>
      </c>
      <c r="D5778" s="62" t="s">
        <v>382</v>
      </c>
      <c r="E5778" s="62" t="s">
        <v>382</v>
      </c>
      <c r="F5778" s="63" t="s">
        <v>594</v>
      </c>
      <c r="G5778" s="64" t="n">
        <v>384</v>
      </c>
      <c r="H5778" s="62" t="s">
        <v>42</v>
      </c>
    </row>
    <row r="5779" customFormat="false" ht="15" hidden="false" customHeight="false" outlineLevel="0" collapsed="false">
      <c r="A5779" s="62" t="n">
        <v>1</v>
      </c>
      <c r="B5779" s="62" t="s">
        <v>384</v>
      </c>
      <c r="C5779" s="62" t="s">
        <v>60</v>
      </c>
      <c r="D5779" s="62" t="s">
        <v>382</v>
      </c>
      <c r="E5779" s="62" t="s">
        <v>382</v>
      </c>
      <c r="F5779" s="63" t="s">
        <v>594</v>
      </c>
      <c r="G5779" s="64" t="n">
        <v>935</v>
      </c>
      <c r="H5779" s="62" t="s">
        <v>42</v>
      </c>
    </row>
    <row r="5780" customFormat="false" ht="15" hidden="false" customHeight="false" outlineLevel="0" collapsed="false">
      <c r="A5780" s="62" t="n">
        <v>1</v>
      </c>
      <c r="B5780" s="62" t="s">
        <v>386</v>
      </c>
      <c r="C5780" s="62" t="s">
        <v>60</v>
      </c>
      <c r="D5780" s="62" t="s">
        <v>382</v>
      </c>
      <c r="E5780" s="62" t="s">
        <v>382</v>
      </c>
      <c r="F5780" s="63" t="s">
        <v>594</v>
      </c>
      <c r="G5780" s="64" t="n">
        <v>551</v>
      </c>
      <c r="H5780" s="62" t="s">
        <v>42</v>
      </c>
    </row>
    <row r="5781" customFormat="false" ht="15" hidden="false" customHeight="false" outlineLevel="0" collapsed="false">
      <c r="A5781" s="62" t="n">
        <v>1</v>
      </c>
      <c r="B5781" s="62" t="s">
        <v>387</v>
      </c>
      <c r="C5781" s="62" t="s">
        <v>60</v>
      </c>
      <c r="D5781" s="62" t="s">
        <v>382</v>
      </c>
      <c r="E5781" s="62" t="s">
        <v>382</v>
      </c>
      <c r="F5781" s="63" t="s">
        <v>594</v>
      </c>
      <c r="G5781" s="64" t="n">
        <v>464</v>
      </c>
      <c r="H5781" s="62" t="s">
        <v>42</v>
      </c>
    </row>
    <row r="5782" customFormat="false" ht="15" hidden="false" customHeight="false" outlineLevel="0" collapsed="false">
      <c r="A5782" s="62" t="n">
        <v>1</v>
      </c>
      <c r="B5782" s="62" t="s">
        <v>381</v>
      </c>
      <c r="C5782" s="62" t="s">
        <v>60</v>
      </c>
      <c r="D5782" s="62" t="s">
        <v>382</v>
      </c>
      <c r="E5782" s="62" t="s">
        <v>382</v>
      </c>
      <c r="F5782" s="63" t="s">
        <v>595</v>
      </c>
      <c r="G5782" s="64" t="n">
        <v>0</v>
      </c>
      <c r="H5782" s="62" t="s">
        <v>42</v>
      </c>
    </row>
    <row r="5783" customFormat="false" ht="15" hidden="false" customHeight="false" outlineLevel="0" collapsed="false">
      <c r="A5783" s="62" t="n">
        <v>1</v>
      </c>
      <c r="B5783" s="62" t="s">
        <v>383</v>
      </c>
      <c r="C5783" s="62" t="s">
        <v>60</v>
      </c>
      <c r="D5783" s="62" t="s">
        <v>382</v>
      </c>
      <c r="E5783" s="62" t="s">
        <v>382</v>
      </c>
      <c r="F5783" s="63" t="s">
        <v>595</v>
      </c>
      <c r="G5783" s="64" t="n">
        <v>0</v>
      </c>
      <c r="H5783" s="62" t="s">
        <v>42</v>
      </c>
    </row>
    <row r="5784" customFormat="false" ht="15" hidden="false" customHeight="false" outlineLevel="0" collapsed="false">
      <c r="A5784" s="62" t="n">
        <v>1</v>
      </c>
      <c r="B5784" s="62" t="s">
        <v>384</v>
      </c>
      <c r="C5784" s="62" t="s">
        <v>60</v>
      </c>
      <c r="D5784" s="62" t="s">
        <v>382</v>
      </c>
      <c r="E5784" s="62" t="s">
        <v>382</v>
      </c>
      <c r="F5784" s="63" t="s">
        <v>595</v>
      </c>
      <c r="G5784" s="64" t="n">
        <v>0</v>
      </c>
      <c r="H5784" s="62" t="s">
        <v>42</v>
      </c>
    </row>
    <row r="5785" customFormat="false" ht="15" hidden="false" customHeight="false" outlineLevel="0" collapsed="false">
      <c r="A5785" s="62" t="n">
        <v>1</v>
      </c>
      <c r="B5785" s="62" t="s">
        <v>385</v>
      </c>
      <c r="C5785" s="62" t="s">
        <v>60</v>
      </c>
      <c r="D5785" s="62" t="s">
        <v>382</v>
      </c>
      <c r="E5785" s="62" t="s">
        <v>382</v>
      </c>
      <c r="F5785" s="63" t="s">
        <v>595</v>
      </c>
      <c r="G5785" s="64" t="n">
        <v>0</v>
      </c>
      <c r="H5785" s="62" t="s">
        <v>42</v>
      </c>
    </row>
    <row r="5786" customFormat="false" ht="15" hidden="false" customHeight="false" outlineLevel="0" collapsed="false">
      <c r="A5786" s="62" t="n">
        <v>1</v>
      </c>
      <c r="B5786" s="62" t="s">
        <v>386</v>
      </c>
      <c r="C5786" s="62" t="s">
        <v>60</v>
      </c>
      <c r="D5786" s="62" t="s">
        <v>382</v>
      </c>
      <c r="E5786" s="62" t="s">
        <v>382</v>
      </c>
      <c r="F5786" s="63" t="s">
        <v>595</v>
      </c>
      <c r="G5786" s="64" t="n">
        <v>0</v>
      </c>
      <c r="H5786" s="62" t="s">
        <v>42</v>
      </c>
    </row>
    <row r="5787" customFormat="false" ht="15" hidden="false" customHeight="false" outlineLevel="0" collapsed="false">
      <c r="A5787" s="62" t="n">
        <v>1</v>
      </c>
      <c r="B5787" s="62" t="s">
        <v>387</v>
      </c>
      <c r="C5787" s="62" t="s">
        <v>60</v>
      </c>
      <c r="D5787" s="62" t="s">
        <v>382</v>
      </c>
      <c r="E5787" s="62" t="s">
        <v>382</v>
      </c>
      <c r="F5787" s="63" t="s">
        <v>595</v>
      </c>
      <c r="G5787" s="64" t="n">
        <v>0</v>
      </c>
      <c r="H5787" s="62" t="s">
        <v>42</v>
      </c>
    </row>
    <row r="5788" customFormat="false" ht="15" hidden="false" customHeight="false" outlineLevel="0" collapsed="false">
      <c r="A5788" s="62" t="n">
        <v>1</v>
      </c>
      <c r="B5788" s="62" t="s">
        <v>388</v>
      </c>
      <c r="C5788" s="62" t="s">
        <v>60</v>
      </c>
      <c r="D5788" s="62" t="s">
        <v>382</v>
      </c>
      <c r="E5788" s="62" t="s">
        <v>382</v>
      </c>
      <c r="F5788" s="63" t="s">
        <v>595</v>
      </c>
      <c r="G5788" s="64" t="n">
        <v>0</v>
      </c>
      <c r="H5788" s="62" t="s">
        <v>42</v>
      </c>
    </row>
    <row r="5789" customFormat="false" ht="15" hidden="false" customHeight="false" outlineLevel="0" collapsed="false">
      <c r="A5789" s="62" t="n">
        <v>1</v>
      </c>
      <c r="B5789" s="62" t="s">
        <v>381</v>
      </c>
      <c r="C5789" s="62" t="s">
        <v>60</v>
      </c>
      <c r="D5789" s="62" t="s">
        <v>382</v>
      </c>
      <c r="E5789" s="62" t="s">
        <v>382</v>
      </c>
      <c r="F5789" s="63" t="s">
        <v>596</v>
      </c>
      <c r="G5789" s="64" t="n">
        <v>600</v>
      </c>
      <c r="H5789" s="62" t="s">
        <v>42</v>
      </c>
    </row>
    <row r="5790" customFormat="false" ht="15" hidden="false" customHeight="false" outlineLevel="0" collapsed="false">
      <c r="A5790" s="62" t="n">
        <v>1</v>
      </c>
      <c r="B5790" s="62" t="s">
        <v>383</v>
      </c>
      <c r="C5790" s="62" t="s">
        <v>60</v>
      </c>
      <c r="D5790" s="62" t="s">
        <v>382</v>
      </c>
      <c r="E5790" s="62" t="s">
        <v>382</v>
      </c>
      <c r="F5790" s="63" t="s">
        <v>596</v>
      </c>
      <c r="G5790" s="64" t="n">
        <v>642.5</v>
      </c>
      <c r="H5790" s="62" t="s">
        <v>42</v>
      </c>
    </row>
    <row r="5791" customFormat="false" ht="15" hidden="false" customHeight="false" outlineLevel="0" collapsed="false">
      <c r="A5791" s="62" t="n">
        <v>1</v>
      </c>
      <c r="B5791" s="62" t="s">
        <v>384</v>
      </c>
      <c r="C5791" s="62" t="s">
        <v>60</v>
      </c>
      <c r="D5791" s="62" t="s">
        <v>382</v>
      </c>
      <c r="E5791" s="62" t="s">
        <v>382</v>
      </c>
      <c r="F5791" s="63" t="s">
        <v>596</v>
      </c>
      <c r="G5791" s="64" t="n">
        <v>1295</v>
      </c>
      <c r="H5791" s="62" t="s">
        <v>42</v>
      </c>
    </row>
    <row r="5792" customFormat="false" ht="15" hidden="false" customHeight="false" outlineLevel="0" collapsed="false">
      <c r="A5792" s="62" t="n">
        <v>1</v>
      </c>
      <c r="B5792" s="62" t="s">
        <v>385</v>
      </c>
      <c r="C5792" s="62" t="s">
        <v>60</v>
      </c>
      <c r="D5792" s="62" t="s">
        <v>382</v>
      </c>
      <c r="E5792" s="62" t="s">
        <v>382</v>
      </c>
      <c r="F5792" s="63" t="s">
        <v>596</v>
      </c>
      <c r="G5792" s="64" t="n">
        <v>425</v>
      </c>
      <c r="H5792" s="62" t="s">
        <v>42</v>
      </c>
    </row>
    <row r="5793" customFormat="false" ht="15" hidden="false" customHeight="false" outlineLevel="0" collapsed="false">
      <c r="A5793" s="62" t="n">
        <v>1</v>
      </c>
      <c r="B5793" s="62" t="s">
        <v>386</v>
      </c>
      <c r="C5793" s="62" t="s">
        <v>60</v>
      </c>
      <c r="D5793" s="62" t="s">
        <v>382</v>
      </c>
      <c r="E5793" s="62" t="s">
        <v>382</v>
      </c>
      <c r="F5793" s="63" t="s">
        <v>596</v>
      </c>
      <c r="G5793" s="64" t="n">
        <v>832.125</v>
      </c>
      <c r="H5793" s="62" t="s">
        <v>42</v>
      </c>
    </row>
    <row r="5794" customFormat="false" ht="15" hidden="false" customHeight="false" outlineLevel="0" collapsed="false">
      <c r="A5794" s="62" t="n">
        <v>1</v>
      </c>
      <c r="B5794" s="62" t="s">
        <v>387</v>
      </c>
      <c r="C5794" s="62" t="s">
        <v>60</v>
      </c>
      <c r="D5794" s="62" t="s">
        <v>382</v>
      </c>
      <c r="E5794" s="62" t="s">
        <v>382</v>
      </c>
      <c r="F5794" s="63" t="s">
        <v>596</v>
      </c>
      <c r="G5794" s="64" t="n">
        <v>713.2</v>
      </c>
      <c r="H5794" s="62" t="s">
        <v>42</v>
      </c>
    </row>
    <row r="5795" customFormat="false" ht="15" hidden="false" customHeight="false" outlineLevel="0" collapsed="false">
      <c r="A5795" s="62" t="n">
        <v>1</v>
      </c>
      <c r="B5795" s="62" t="s">
        <v>388</v>
      </c>
      <c r="C5795" s="62" t="s">
        <v>60</v>
      </c>
      <c r="D5795" s="62" t="s">
        <v>382</v>
      </c>
      <c r="E5795" s="62" t="s">
        <v>382</v>
      </c>
      <c r="F5795" s="63" t="s">
        <v>596</v>
      </c>
      <c r="G5795" s="64" t="n">
        <v>216</v>
      </c>
      <c r="H5795" s="62" t="s">
        <v>42</v>
      </c>
    </row>
    <row r="5796" customFormat="false" ht="15" hidden="false" customHeight="false" outlineLevel="0" collapsed="false">
      <c r="A5796" s="62" t="n">
        <v>1</v>
      </c>
      <c r="B5796" s="62" t="s">
        <v>381</v>
      </c>
      <c r="C5796" s="62" t="s">
        <v>60</v>
      </c>
      <c r="D5796" s="62" t="s">
        <v>382</v>
      </c>
      <c r="E5796" s="62" t="s">
        <v>382</v>
      </c>
      <c r="F5796" s="63" t="s">
        <v>597</v>
      </c>
      <c r="G5796" s="64" t="n">
        <v>-515.109</v>
      </c>
      <c r="H5796" s="62" t="s">
        <v>42</v>
      </c>
    </row>
    <row r="5797" customFormat="false" ht="15" hidden="false" customHeight="false" outlineLevel="0" collapsed="false">
      <c r="A5797" s="62" t="n">
        <v>1</v>
      </c>
      <c r="B5797" s="62" t="s">
        <v>383</v>
      </c>
      <c r="C5797" s="62" t="s">
        <v>60</v>
      </c>
      <c r="D5797" s="62" t="s">
        <v>382</v>
      </c>
      <c r="E5797" s="62" t="s">
        <v>382</v>
      </c>
      <c r="F5797" s="63" t="s">
        <v>597</v>
      </c>
      <c r="G5797" s="64" t="n">
        <v>-164.202</v>
      </c>
      <c r="H5797" s="62" t="s">
        <v>42</v>
      </c>
    </row>
    <row r="5798" customFormat="false" ht="15" hidden="false" customHeight="false" outlineLevel="0" collapsed="false">
      <c r="A5798" s="62" t="n">
        <v>1</v>
      </c>
      <c r="B5798" s="62" t="s">
        <v>384</v>
      </c>
      <c r="C5798" s="62" t="s">
        <v>60</v>
      </c>
      <c r="D5798" s="62" t="s">
        <v>382</v>
      </c>
      <c r="E5798" s="62" t="s">
        <v>382</v>
      </c>
      <c r="F5798" s="63" t="s">
        <v>597</v>
      </c>
      <c r="G5798" s="64" t="n">
        <v>-610.675</v>
      </c>
      <c r="H5798" s="62" t="s">
        <v>42</v>
      </c>
    </row>
    <row r="5799" customFormat="false" ht="15" hidden="false" customHeight="false" outlineLevel="0" collapsed="false">
      <c r="A5799" s="62" t="n">
        <v>1</v>
      </c>
      <c r="B5799" s="62" t="s">
        <v>385</v>
      </c>
      <c r="C5799" s="62" t="s">
        <v>60</v>
      </c>
      <c r="D5799" s="62" t="s">
        <v>382</v>
      </c>
      <c r="E5799" s="62" t="s">
        <v>382</v>
      </c>
      <c r="F5799" s="63" t="s">
        <v>597</v>
      </c>
      <c r="G5799" s="64" t="n">
        <v>-359.387</v>
      </c>
      <c r="H5799" s="62" t="s">
        <v>42</v>
      </c>
    </row>
    <row r="5800" customFormat="false" ht="15" hidden="false" customHeight="false" outlineLevel="0" collapsed="false">
      <c r="A5800" s="62" t="n">
        <v>1</v>
      </c>
      <c r="B5800" s="62" t="s">
        <v>386</v>
      </c>
      <c r="C5800" s="62" t="s">
        <v>60</v>
      </c>
      <c r="D5800" s="62" t="s">
        <v>382</v>
      </c>
      <c r="E5800" s="62" t="s">
        <v>382</v>
      </c>
      <c r="F5800" s="63" t="s">
        <v>597</v>
      </c>
      <c r="G5800" s="64" t="n">
        <v>-613.049</v>
      </c>
      <c r="H5800" s="62" t="s">
        <v>42</v>
      </c>
    </row>
    <row r="5801" customFormat="false" ht="15" hidden="false" customHeight="false" outlineLevel="0" collapsed="false">
      <c r="A5801" s="62" t="n">
        <v>1</v>
      </c>
      <c r="B5801" s="62" t="s">
        <v>387</v>
      </c>
      <c r="C5801" s="62" t="s">
        <v>60</v>
      </c>
      <c r="D5801" s="62" t="s">
        <v>382</v>
      </c>
      <c r="E5801" s="62" t="s">
        <v>382</v>
      </c>
      <c r="F5801" s="63" t="s">
        <v>597</v>
      </c>
      <c r="G5801" s="64" t="n">
        <v>-315.727</v>
      </c>
      <c r="H5801" s="62" t="s">
        <v>42</v>
      </c>
    </row>
    <row r="5802" customFormat="false" ht="15" hidden="false" customHeight="false" outlineLevel="0" collapsed="false">
      <c r="A5802" s="62" t="n">
        <v>1</v>
      </c>
      <c r="B5802" s="62" t="s">
        <v>388</v>
      </c>
      <c r="C5802" s="62" t="s">
        <v>60</v>
      </c>
      <c r="D5802" s="62" t="s">
        <v>382</v>
      </c>
      <c r="E5802" s="62" t="s">
        <v>382</v>
      </c>
      <c r="F5802" s="63" t="s">
        <v>597</v>
      </c>
      <c r="G5802" s="64" t="n">
        <v>-216</v>
      </c>
      <c r="H5802" s="62" t="s">
        <v>42</v>
      </c>
    </row>
    <row r="5803" customFormat="false" ht="15" hidden="false" customHeight="false" outlineLevel="0" collapsed="false">
      <c r="A5803" s="62" t="n">
        <v>1</v>
      </c>
      <c r="B5803" s="62" t="s">
        <v>381</v>
      </c>
      <c r="C5803" s="62" t="s">
        <v>60</v>
      </c>
      <c r="D5803" s="62" t="s">
        <v>382</v>
      </c>
      <c r="E5803" s="62" t="s">
        <v>382</v>
      </c>
      <c r="F5803" s="63" t="s">
        <v>598</v>
      </c>
      <c r="G5803" s="64" t="n">
        <v>0</v>
      </c>
      <c r="H5803" s="62" t="s">
        <v>42</v>
      </c>
    </row>
    <row r="5804" customFormat="false" ht="15" hidden="false" customHeight="false" outlineLevel="0" collapsed="false">
      <c r="A5804" s="62" t="n">
        <v>1</v>
      </c>
      <c r="B5804" s="62" t="s">
        <v>383</v>
      </c>
      <c r="C5804" s="62" t="s">
        <v>60</v>
      </c>
      <c r="D5804" s="62" t="s">
        <v>382</v>
      </c>
      <c r="E5804" s="62" t="s">
        <v>382</v>
      </c>
      <c r="F5804" s="63" t="s">
        <v>598</v>
      </c>
      <c r="G5804" s="64" t="n">
        <v>0</v>
      </c>
      <c r="H5804" s="62" t="s">
        <v>42</v>
      </c>
    </row>
    <row r="5805" customFormat="false" ht="15" hidden="false" customHeight="false" outlineLevel="0" collapsed="false">
      <c r="A5805" s="62" t="n">
        <v>1</v>
      </c>
      <c r="B5805" s="62" t="s">
        <v>384</v>
      </c>
      <c r="C5805" s="62" t="s">
        <v>60</v>
      </c>
      <c r="D5805" s="62" t="s">
        <v>382</v>
      </c>
      <c r="E5805" s="62" t="s">
        <v>382</v>
      </c>
      <c r="F5805" s="63" t="s">
        <v>598</v>
      </c>
      <c r="G5805" s="64" t="n">
        <v>0</v>
      </c>
      <c r="H5805" s="62" t="s">
        <v>42</v>
      </c>
    </row>
    <row r="5806" customFormat="false" ht="15" hidden="false" customHeight="false" outlineLevel="0" collapsed="false">
      <c r="A5806" s="62" t="n">
        <v>1</v>
      </c>
      <c r="B5806" s="62" t="s">
        <v>385</v>
      </c>
      <c r="C5806" s="62" t="s">
        <v>60</v>
      </c>
      <c r="D5806" s="62" t="s">
        <v>382</v>
      </c>
      <c r="E5806" s="62" t="s">
        <v>382</v>
      </c>
      <c r="F5806" s="63" t="s">
        <v>598</v>
      </c>
      <c r="G5806" s="64" t="n">
        <v>0</v>
      </c>
      <c r="H5806" s="62" t="s">
        <v>42</v>
      </c>
    </row>
    <row r="5807" customFormat="false" ht="15" hidden="false" customHeight="false" outlineLevel="0" collapsed="false">
      <c r="A5807" s="62" t="n">
        <v>1</v>
      </c>
      <c r="B5807" s="62" t="s">
        <v>386</v>
      </c>
      <c r="C5807" s="62" t="s">
        <v>60</v>
      </c>
      <c r="D5807" s="62" t="s">
        <v>382</v>
      </c>
      <c r="E5807" s="62" t="s">
        <v>382</v>
      </c>
      <c r="F5807" s="63" t="s">
        <v>598</v>
      </c>
      <c r="G5807" s="64" t="n">
        <v>0</v>
      </c>
      <c r="H5807" s="62" t="s">
        <v>42</v>
      </c>
    </row>
    <row r="5808" customFormat="false" ht="15" hidden="false" customHeight="false" outlineLevel="0" collapsed="false">
      <c r="A5808" s="62" t="n">
        <v>1</v>
      </c>
      <c r="B5808" s="62" t="s">
        <v>387</v>
      </c>
      <c r="C5808" s="62" t="s">
        <v>60</v>
      </c>
      <c r="D5808" s="62" t="s">
        <v>382</v>
      </c>
      <c r="E5808" s="62" t="s">
        <v>382</v>
      </c>
      <c r="F5808" s="63" t="s">
        <v>598</v>
      </c>
      <c r="G5808" s="64" t="n">
        <v>0</v>
      </c>
      <c r="H5808" s="62" t="s">
        <v>42</v>
      </c>
    </row>
    <row r="5809" customFormat="false" ht="15" hidden="false" customHeight="false" outlineLevel="0" collapsed="false">
      <c r="A5809" s="62" t="n">
        <v>1</v>
      </c>
      <c r="B5809" s="62" t="s">
        <v>388</v>
      </c>
      <c r="C5809" s="62" t="s">
        <v>60</v>
      </c>
      <c r="D5809" s="62" t="s">
        <v>382</v>
      </c>
      <c r="E5809" s="62" t="s">
        <v>382</v>
      </c>
      <c r="F5809" s="63" t="s">
        <v>598</v>
      </c>
      <c r="G5809" s="64" t="n">
        <v>0</v>
      </c>
      <c r="H5809" s="62" t="s">
        <v>42</v>
      </c>
    </row>
    <row r="5810" customFormat="false" ht="15" hidden="false" customHeight="false" outlineLevel="0" collapsed="false">
      <c r="A5810" s="62" t="n">
        <v>1</v>
      </c>
      <c r="B5810" s="62" t="s">
        <v>381</v>
      </c>
      <c r="C5810" s="62" t="s">
        <v>60</v>
      </c>
      <c r="D5810" s="62" t="s">
        <v>382</v>
      </c>
      <c r="E5810" s="62" t="s">
        <v>382</v>
      </c>
      <c r="F5810" s="63" t="s">
        <v>599</v>
      </c>
      <c r="G5810" s="64" t="n">
        <v>-84.891</v>
      </c>
      <c r="H5810" s="62" t="s">
        <v>42</v>
      </c>
    </row>
    <row r="5811" customFormat="false" ht="15" hidden="false" customHeight="false" outlineLevel="0" collapsed="false">
      <c r="A5811" s="62" t="n">
        <v>1</v>
      </c>
      <c r="B5811" s="62" t="s">
        <v>383</v>
      </c>
      <c r="C5811" s="62" t="s">
        <v>60</v>
      </c>
      <c r="D5811" s="62" t="s">
        <v>382</v>
      </c>
      <c r="E5811" s="62" t="s">
        <v>382</v>
      </c>
      <c r="F5811" s="63" t="s">
        <v>599</v>
      </c>
      <c r="G5811" s="64" t="n">
        <v>-232.518</v>
      </c>
      <c r="H5811" s="62" t="s">
        <v>42</v>
      </c>
    </row>
    <row r="5812" customFormat="false" ht="15" hidden="false" customHeight="false" outlineLevel="0" collapsed="false">
      <c r="A5812" s="62" t="n">
        <v>1</v>
      </c>
      <c r="B5812" s="62" t="s">
        <v>384</v>
      </c>
      <c r="C5812" s="62" t="s">
        <v>60</v>
      </c>
      <c r="D5812" s="62" t="s">
        <v>382</v>
      </c>
      <c r="E5812" s="62" t="s">
        <v>382</v>
      </c>
      <c r="F5812" s="63" t="s">
        <v>599</v>
      </c>
      <c r="G5812" s="64" t="n">
        <v>-464.756</v>
      </c>
      <c r="H5812" s="62" t="s">
        <v>42</v>
      </c>
    </row>
    <row r="5813" customFormat="false" ht="15" hidden="false" customHeight="false" outlineLevel="0" collapsed="false">
      <c r="A5813" s="62" t="n">
        <v>1</v>
      </c>
      <c r="B5813" s="62" t="s">
        <v>385</v>
      </c>
      <c r="C5813" s="62" t="s">
        <v>60</v>
      </c>
      <c r="D5813" s="62" t="s">
        <v>382</v>
      </c>
      <c r="E5813" s="62" t="s">
        <v>382</v>
      </c>
      <c r="F5813" s="63" t="s">
        <v>599</v>
      </c>
      <c r="G5813" s="64" t="n">
        <v>0</v>
      </c>
      <c r="H5813" s="62" t="s">
        <v>42</v>
      </c>
    </row>
    <row r="5814" customFormat="false" ht="15" hidden="false" customHeight="false" outlineLevel="0" collapsed="false">
      <c r="A5814" s="62" t="n">
        <v>1</v>
      </c>
      <c r="B5814" s="62" t="s">
        <v>386</v>
      </c>
      <c r="C5814" s="62" t="s">
        <v>60</v>
      </c>
      <c r="D5814" s="62" t="s">
        <v>382</v>
      </c>
      <c r="E5814" s="62" t="s">
        <v>382</v>
      </c>
      <c r="F5814" s="63" t="s">
        <v>599</v>
      </c>
      <c r="G5814" s="64" t="n">
        <v>-219.076</v>
      </c>
      <c r="H5814" s="62" t="s">
        <v>42</v>
      </c>
    </row>
    <row r="5815" customFormat="false" ht="15" hidden="false" customHeight="false" outlineLevel="0" collapsed="false">
      <c r="A5815" s="62" t="n">
        <v>1</v>
      </c>
      <c r="B5815" s="62" t="s">
        <v>387</v>
      </c>
      <c r="C5815" s="62" t="s">
        <v>60</v>
      </c>
      <c r="D5815" s="62" t="s">
        <v>382</v>
      </c>
      <c r="E5815" s="62" t="s">
        <v>382</v>
      </c>
      <c r="F5815" s="63" t="s">
        <v>599</v>
      </c>
      <c r="G5815" s="64" t="n">
        <v>-115.9</v>
      </c>
      <c r="H5815" s="62" t="s">
        <v>42</v>
      </c>
    </row>
    <row r="5816" customFormat="false" ht="15" hidden="false" customHeight="false" outlineLevel="0" collapsed="false">
      <c r="A5816" s="62" t="n">
        <v>1</v>
      </c>
      <c r="B5816" s="62" t="s">
        <v>383</v>
      </c>
      <c r="C5816" s="62" t="s">
        <v>60</v>
      </c>
      <c r="D5816" s="62" t="s">
        <v>382</v>
      </c>
      <c r="E5816" s="62" t="s">
        <v>382</v>
      </c>
      <c r="F5816" s="63" t="s">
        <v>821</v>
      </c>
      <c r="G5816" s="64" t="n">
        <v>245.78</v>
      </c>
      <c r="H5816" s="62" t="s">
        <v>42</v>
      </c>
    </row>
    <row r="5817" customFormat="false" ht="15" hidden="false" customHeight="false" outlineLevel="0" collapsed="false">
      <c r="A5817" s="62" t="n">
        <v>1</v>
      </c>
      <c r="B5817" s="62" t="s">
        <v>384</v>
      </c>
      <c r="C5817" s="62" t="s">
        <v>60</v>
      </c>
      <c r="D5817" s="62" t="s">
        <v>382</v>
      </c>
      <c r="E5817" s="62" t="s">
        <v>382</v>
      </c>
      <c r="F5817" s="63" t="s">
        <v>821</v>
      </c>
      <c r="G5817" s="64" t="n">
        <v>219.569</v>
      </c>
      <c r="H5817" s="62" t="s">
        <v>42</v>
      </c>
    </row>
    <row r="5818" customFormat="false" ht="15" hidden="false" customHeight="false" outlineLevel="0" collapsed="false">
      <c r="A5818" s="62" t="n">
        <v>1</v>
      </c>
      <c r="B5818" s="62" t="s">
        <v>385</v>
      </c>
      <c r="C5818" s="62" t="s">
        <v>60</v>
      </c>
      <c r="D5818" s="62" t="s">
        <v>382</v>
      </c>
      <c r="E5818" s="62" t="s">
        <v>382</v>
      </c>
      <c r="F5818" s="63" t="s">
        <v>821</v>
      </c>
      <c r="G5818" s="64" t="n">
        <v>65.613</v>
      </c>
      <c r="H5818" s="62" t="s">
        <v>42</v>
      </c>
    </row>
    <row r="5819" customFormat="false" ht="15" hidden="false" customHeight="false" outlineLevel="0" collapsed="false">
      <c r="A5819" s="62" t="n">
        <v>1</v>
      </c>
      <c r="B5819" s="62" t="s">
        <v>387</v>
      </c>
      <c r="C5819" s="62" t="s">
        <v>60</v>
      </c>
      <c r="D5819" s="62" t="s">
        <v>382</v>
      </c>
      <c r="E5819" s="62" t="s">
        <v>382</v>
      </c>
      <c r="F5819" s="63" t="s">
        <v>821</v>
      </c>
      <c r="G5819" s="64" t="n">
        <v>281.573</v>
      </c>
      <c r="H5819" s="62" t="s">
        <v>42</v>
      </c>
    </row>
    <row r="5820" customFormat="false" ht="15" hidden="false" customHeight="false" outlineLevel="0" collapsed="false">
      <c r="A5820" s="62" t="n">
        <v>1</v>
      </c>
      <c r="B5820" s="62" t="s">
        <v>386</v>
      </c>
      <c r="C5820" s="62" t="s">
        <v>60</v>
      </c>
      <c r="D5820" s="62" t="s">
        <v>382</v>
      </c>
      <c r="E5820" s="62" t="s">
        <v>382</v>
      </c>
      <c r="F5820" s="63" t="s">
        <v>604</v>
      </c>
      <c r="G5820" s="64" t="n">
        <v>0</v>
      </c>
      <c r="H5820" s="62" t="s">
        <v>42</v>
      </c>
    </row>
    <row r="5821" customFormat="false" ht="15" hidden="false" customHeight="false" outlineLevel="0" collapsed="false">
      <c r="A5821" s="62" t="n">
        <v>1</v>
      </c>
      <c r="B5821" s="62" t="s">
        <v>388</v>
      </c>
      <c r="C5821" s="62" t="s">
        <v>60</v>
      </c>
      <c r="D5821" s="62" t="s">
        <v>382</v>
      </c>
      <c r="E5821" s="62" t="s">
        <v>382</v>
      </c>
      <c r="F5821" s="63" t="s">
        <v>604</v>
      </c>
      <c r="G5821" s="64" t="n">
        <v>306</v>
      </c>
      <c r="H5821" s="62" t="s">
        <v>42</v>
      </c>
    </row>
    <row r="5822" customFormat="false" ht="15" hidden="false" customHeight="false" outlineLevel="0" collapsed="false">
      <c r="A5822" s="62" t="n">
        <v>1</v>
      </c>
      <c r="B5822" s="62" t="s">
        <v>381</v>
      </c>
      <c r="C5822" s="62" t="s">
        <v>60</v>
      </c>
      <c r="D5822" s="62" t="s">
        <v>382</v>
      </c>
      <c r="E5822" s="62" t="s">
        <v>382</v>
      </c>
      <c r="F5822" s="63" t="s">
        <v>600</v>
      </c>
      <c r="G5822" s="64" t="n">
        <v>148.602</v>
      </c>
      <c r="H5822" s="62" t="s">
        <v>42</v>
      </c>
    </row>
    <row r="5823" customFormat="false" ht="15" hidden="false" customHeight="false" outlineLevel="0" collapsed="false">
      <c r="A5823" s="62" t="n">
        <v>1</v>
      </c>
      <c r="B5823" s="62" t="s">
        <v>383</v>
      </c>
      <c r="C5823" s="62" t="s">
        <v>60</v>
      </c>
      <c r="D5823" s="62" t="s">
        <v>382</v>
      </c>
      <c r="E5823" s="62" t="s">
        <v>382</v>
      </c>
      <c r="F5823" s="63" t="s">
        <v>600</v>
      </c>
      <c r="G5823" s="64" t="n">
        <v>455.868</v>
      </c>
      <c r="H5823" s="62" t="s">
        <v>42</v>
      </c>
    </row>
    <row r="5824" customFormat="false" ht="15" hidden="false" customHeight="false" outlineLevel="0" collapsed="false">
      <c r="A5824" s="62" t="n">
        <v>1</v>
      </c>
      <c r="B5824" s="62" t="s">
        <v>384</v>
      </c>
      <c r="C5824" s="62" t="s">
        <v>60</v>
      </c>
      <c r="D5824" s="62" t="s">
        <v>382</v>
      </c>
      <c r="E5824" s="62" t="s">
        <v>382</v>
      </c>
      <c r="F5824" s="63" t="s">
        <v>600</v>
      </c>
      <c r="G5824" s="64" t="n">
        <v>447.115</v>
      </c>
      <c r="H5824" s="62" t="s">
        <v>42</v>
      </c>
    </row>
    <row r="5825" customFormat="false" ht="15" hidden="false" customHeight="false" outlineLevel="0" collapsed="false">
      <c r="A5825" s="62" t="n">
        <v>1</v>
      </c>
      <c r="B5825" s="62" t="s">
        <v>385</v>
      </c>
      <c r="C5825" s="62" t="s">
        <v>60</v>
      </c>
      <c r="D5825" s="62" t="s">
        <v>382</v>
      </c>
      <c r="E5825" s="62" t="s">
        <v>382</v>
      </c>
      <c r="F5825" s="63" t="s">
        <v>600</v>
      </c>
      <c r="G5825" s="64" t="n">
        <v>288.63</v>
      </c>
      <c r="H5825" s="62" t="s">
        <v>42</v>
      </c>
    </row>
    <row r="5826" customFormat="false" ht="15" hidden="false" customHeight="false" outlineLevel="0" collapsed="false">
      <c r="A5826" s="62" t="n">
        <v>1</v>
      </c>
      <c r="B5826" s="62" t="s">
        <v>387</v>
      </c>
      <c r="C5826" s="62" t="s">
        <v>60</v>
      </c>
      <c r="D5826" s="62" t="s">
        <v>382</v>
      </c>
      <c r="E5826" s="62" t="s">
        <v>382</v>
      </c>
      <c r="F5826" s="63" t="s">
        <v>600</v>
      </c>
      <c r="G5826" s="64" t="n">
        <v>400.396</v>
      </c>
      <c r="H5826" s="62" t="s">
        <v>42</v>
      </c>
    </row>
    <row r="5827" customFormat="false" ht="15" hidden="false" customHeight="false" outlineLevel="0" collapsed="false">
      <c r="A5827" s="62" t="n">
        <v>1</v>
      </c>
      <c r="B5827" s="62" t="s">
        <v>381</v>
      </c>
      <c r="C5827" s="62" t="s">
        <v>60</v>
      </c>
      <c r="D5827" s="62" t="s">
        <v>382</v>
      </c>
      <c r="E5827" s="62" t="s">
        <v>382</v>
      </c>
      <c r="F5827" s="63" t="s">
        <v>601</v>
      </c>
      <c r="G5827" s="64" t="n">
        <v>84.891</v>
      </c>
      <c r="H5827" s="62" t="s">
        <v>42</v>
      </c>
    </row>
    <row r="5828" customFormat="false" ht="15" hidden="false" customHeight="false" outlineLevel="0" collapsed="false">
      <c r="A5828" s="62" t="n">
        <v>1</v>
      </c>
      <c r="B5828" s="62" t="s">
        <v>383</v>
      </c>
      <c r="C5828" s="62" t="s">
        <v>60</v>
      </c>
      <c r="D5828" s="62" t="s">
        <v>382</v>
      </c>
      <c r="E5828" s="62" t="s">
        <v>382</v>
      </c>
      <c r="F5828" s="63" t="s">
        <v>601</v>
      </c>
      <c r="G5828" s="64" t="n">
        <v>232.518</v>
      </c>
      <c r="H5828" s="62" t="s">
        <v>42</v>
      </c>
    </row>
    <row r="5829" customFormat="false" ht="15" hidden="false" customHeight="false" outlineLevel="0" collapsed="false">
      <c r="A5829" s="62" t="n">
        <v>1</v>
      </c>
      <c r="B5829" s="62" t="s">
        <v>384</v>
      </c>
      <c r="C5829" s="62" t="s">
        <v>60</v>
      </c>
      <c r="D5829" s="62" t="s">
        <v>382</v>
      </c>
      <c r="E5829" s="62" t="s">
        <v>382</v>
      </c>
      <c r="F5829" s="63" t="s">
        <v>601</v>
      </c>
      <c r="G5829" s="64" t="n">
        <v>464.756</v>
      </c>
      <c r="H5829" s="62" t="s">
        <v>42</v>
      </c>
    </row>
    <row r="5830" customFormat="false" ht="15" hidden="false" customHeight="false" outlineLevel="0" collapsed="false">
      <c r="A5830" s="62" t="n">
        <v>1</v>
      </c>
      <c r="B5830" s="62" t="s">
        <v>386</v>
      </c>
      <c r="C5830" s="62" t="s">
        <v>60</v>
      </c>
      <c r="D5830" s="62" t="s">
        <v>382</v>
      </c>
      <c r="E5830" s="62" t="s">
        <v>382</v>
      </c>
      <c r="F5830" s="63" t="s">
        <v>601</v>
      </c>
      <c r="G5830" s="64" t="n">
        <v>219.076</v>
      </c>
      <c r="H5830" s="62" t="s">
        <v>42</v>
      </c>
    </row>
    <row r="5831" customFormat="false" ht="15" hidden="false" customHeight="false" outlineLevel="0" collapsed="false">
      <c r="A5831" s="62" t="n">
        <v>1</v>
      </c>
      <c r="B5831" s="62" t="s">
        <v>387</v>
      </c>
      <c r="C5831" s="62" t="s">
        <v>60</v>
      </c>
      <c r="D5831" s="62" t="s">
        <v>382</v>
      </c>
      <c r="E5831" s="62" t="s">
        <v>382</v>
      </c>
      <c r="F5831" s="63" t="s">
        <v>601</v>
      </c>
      <c r="G5831" s="64" t="n">
        <v>115.9</v>
      </c>
      <c r="H5831" s="62" t="s">
        <v>42</v>
      </c>
    </row>
    <row r="5832" customFormat="false" ht="15" hidden="false" customHeight="false" outlineLevel="0" collapsed="false">
      <c r="A5832" s="62" t="n">
        <v>1</v>
      </c>
      <c r="B5832" s="62" t="s">
        <v>381</v>
      </c>
      <c r="C5832" s="62" t="s">
        <v>60</v>
      </c>
      <c r="D5832" s="62" t="s">
        <v>382</v>
      </c>
      <c r="E5832" s="62" t="s">
        <v>382</v>
      </c>
      <c r="F5832" s="63" t="s">
        <v>602</v>
      </c>
      <c r="G5832" s="64" t="n">
        <v>233.493</v>
      </c>
      <c r="H5832" s="62" t="s">
        <v>42</v>
      </c>
    </row>
    <row r="5833" customFormat="false" ht="15" hidden="false" customHeight="false" outlineLevel="0" collapsed="false">
      <c r="A5833" s="62" t="n">
        <v>1</v>
      </c>
      <c r="B5833" s="62" t="s">
        <v>383</v>
      </c>
      <c r="C5833" s="62" t="s">
        <v>60</v>
      </c>
      <c r="D5833" s="62" t="s">
        <v>382</v>
      </c>
      <c r="E5833" s="62" t="s">
        <v>382</v>
      </c>
      <c r="F5833" s="63" t="s">
        <v>602</v>
      </c>
      <c r="G5833" s="64" t="n">
        <v>688.386</v>
      </c>
      <c r="H5833" s="62" t="s">
        <v>42</v>
      </c>
    </row>
    <row r="5834" customFormat="false" ht="15" hidden="false" customHeight="false" outlineLevel="0" collapsed="false">
      <c r="A5834" s="62" t="n">
        <v>1</v>
      </c>
      <c r="B5834" s="62" t="s">
        <v>384</v>
      </c>
      <c r="C5834" s="62" t="s">
        <v>60</v>
      </c>
      <c r="D5834" s="62" t="s">
        <v>382</v>
      </c>
      <c r="E5834" s="62" t="s">
        <v>382</v>
      </c>
      <c r="F5834" s="63" t="s">
        <v>602</v>
      </c>
      <c r="G5834" s="64" t="n">
        <v>911.871</v>
      </c>
      <c r="H5834" s="62" t="s">
        <v>42</v>
      </c>
    </row>
    <row r="5835" customFormat="false" ht="15" hidden="false" customHeight="false" outlineLevel="0" collapsed="false">
      <c r="A5835" s="62" t="n">
        <v>1</v>
      </c>
      <c r="B5835" s="62" t="s">
        <v>385</v>
      </c>
      <c r="C5835" s="62" t="s">
        <v>60</v>
      </c>
      <c r="D5835" s="62" t="s">
        <v>382</v>
      </c>
      <c r="E5835" s="62" t="s">
        <v>382</v>
      </c>
      <c r="F5835" s="63" t="s">
        <v>602</v>
      </c>
      <c r="G5835" s="64" t="n">
        <v>288.63</v>
      </c>
      <c r="H5835" s="62" t="s">
        <v>42</v>
      </c>
    </row>
    <row r="5836" customFormat="false" ht="15" hidden="false" customHeight="false" outlineLevel="0" collapsed="false">
      <c r="A5836" s="62" t="n">
        <v>1</v>
      </c>
      <c r="B5836" s="62" t="s">
        <v>386</v>
      </c>
      <c r="C5836" s="62" t="s">
        <v>60</v>
      </c>
      <c r="D5836" s="62" t="s">
        <v>382</v>
      </c>
      <c r="E5836" s="62" t="s">
        <v>382</v>
      </c>
      <c r="F5836" s="63" t="s">
        <v>602</v>
      </c>
      <c r="G5836" s="64" t="n">
        <v>219.076</v>
      </c>
      <c r="H5836" s="62" t="s">
        <v>42</v>
      </c>
    </row>
    <row r="5837" customFormat="false" ht="15" hidden="false" customHeight="false" outlineLevel="0" collapsed="false">
      <c r="A5837" s="62" t="n">
        <v>1</v>
      </c>
      <c r="B5837" s="62" t="s">
        <v>387</v>
      </c>
      <c r="C5837" s="62" t="s">
        <v>60</v>
      </c>
      <c r="D5837" s="62" t="s">
        <v>382</v>
      </c>
      <c r="E5837" s="62" t="s">
        <v>382</v>
      </c>
      <c r="F5837" s="63" t="s">
        <v>602</v>
      </c>
      <c r="G5837" s="64" t="n">
        <v>516.297</v>
      </c>
      <c r="H5837" s="62" t="s">
        <v>42</v>
      </c>
    </row>
    <row r="5838" customFormat="false" ht="15" hidden="false" customHeight="false" outlineLevel="0" collapsed="false">
      <c r="A5838" s="62" t="n">
        <v>1</v>
      </c>
      <c r="B5838" s="62" t="s">
        <v>388</v>
      </c>
      <c r="C5838" s="62" t="s">
        <v>60</v>
      </c>
      <c r="D5838" s="62" t="s">
        <v>382</v>
      </c>
      <c r="E5838" s="62" t="s">
        <v>382</v>
      </c>
      <c r="F5838" s="63" t="s">
        <v>602</v>
      </c>
      <c r="G5838" s="64" t="n">
        <v>0</v>
      </c>
      <c r="H5838" s="62" t="s">
        <v>42</v>
      </c>
    </row>
    <row r="5839" customFormat="false" ht="15" hidden="false" customHeight="false" outlineLevel="0" collapsed="false">
      <c r="A5839" s="62" t="n">
        <v>1</v>
      </c>
      <c r="B5839" s="62" t="s">
        <v>381</v>
      </c>
      <c r="C5839" s="62" t="s">
        <v>60</v>
      </c>
      <c r="D5839" s="62" t="s">
        <v>382</v>
      </c>
      <c r="E5839" s="62" t="s">
        <v>382</v>
      </c>
      <c r="F5839" s="63" t="s">
        <v>603</v>
      </c>
      <c r="G5839" s="64" t="n">
        <v>-233.493</v>
      </c>
      <c r="H5839" s="62" t="s">
        <v>42</v>
      </c>
    </row>
    <row r="5840" customFormat="false" ht="15" hidden="false" customHeight="false" outlineLevel="0" collapsed="false">
      <c r="A5840" s="62" t="n">
        <v>1</v>
      </c>
      <c r="B5840" s="62" t="s">
        <v>383</v>
      </c>
      <c r="C5840" s="62" t="s">
        <v>60</v>
      </c>
      <c r="D5840" s="62" t="s">
        <v>382</v>
      </c>
      <c r="E5840" s="62" t="s">
        <v>382</v>
      </c>
      <c r="F5840" s="63" t="s">
        <v>603</v>
      </c>
      <c r="G5840" s="64" t="n">
        <v>-688.386</v>
      </c>
      <c r="H5840" s="62" t="s">
        <v>42</v>
      </c>
    </row>
    <row r="5841" customFormat="false" ht="15" hidden="false" customHeight="false" outlineLevel="0" collapsed="false">
      <c r="A5841" s="62" t="n">
        <v>1</v>
      </c>
      <c r="B5841" s="62" t="s">
        <v>384</v>
      </c>
      <c r="C5841" s="62" t="s">
        <v>60</v>
      </c>
      <c r="D5841" s="62" t="s">
        <v>382</v>
      </c>
      <c r="E5841" s="62" t="s">
        <v>382</v>
      </c>
      <c r="F5841" s="63" t="s">
        <v>603</v>
      </c>
      <c r="G5841" s="64" t="n">
        <v>-911.871</v>
      </c>
      <c r="H5841" s="62" t="s">
        <v>42</v>
      </c>
    </row>
    <row r="5842" customFormat="false" ht="15" hidden="false" customHeight="false" outlineLevel="0" collapsed="false">
      <c r="A5842" s="62" t="n">
        <v>1</v>
      </c>
      <c r="B5842" s="62" t="s">
        <v>385</v>
      </c>
      <c r="C5842" s="62" t="s">
        <v>60</v>
      </c>
      <c r="D5842" s="62" t="s">
        <v>382</v>
      </c>
      <c r="E5842" s="62" t="s">
        <v>382</v>
      </c>
      <c r="F5842" s="63" t="s">
        <v>603</v>
      </c>
      <c r="G5842" s="64" t="n">
        <v>-288.63</v>
      </c>
      <c r="H5842" s="62" t="s">
        <v>42</v>
      </c>
    </row>
    <row r="5843" customFormat="false" ht="15" hidden="false" customHeight="false" outlineLevel="0" collapsed="false">
      <c r="A5843" s="62" t="n">
        <v>1</v>
      </c>
      <c r="B5843" s="62" t="s">
        <v>386</v>
      </c>
      <c r="C5843" s="62" t="s">
        <v>60</v>
      </c>
      <c r="D5843" s="62" t="s">
        <v>382</v>
      </c>
      <c r="E5843" s="62" t="s">
        <v>382</v>
      </c>
      <c r="F5843" s="63" t="s">
        <v>603</v>
      </c>
      <c r="G5843" s="64" t="n">
        <v>-219.076</v>
      </c>
      <c r="H5843" s="62" t="s">
        <v>42</v>
      </c>
    </row>
    <row r="5844" customFormat="false" ht="15" hidden="false" customHeight="false" outlineLevel="0" collapsed="false">
      <c r="A5844" s="62" t="n">
        <v>1</v>
      </c>
      <c r="B5844" s="62" t="s">
        <v>387</v>
      </c>
      <c r="C5844" s="62" t="s">
        <v>60</v>
      </c>
      <c r="D5844" s="62" t="s">
        <v>382</v>
      </c>
      <c r="E5844" s="62" t="s">
        <v>382</v>
      </c>
      <c r="F5844" s="63" t="s">
        <v>603</v>
      </c>
      <c r="G5844" s="64" t="n">
        <v>-516.297</v>
      </c>
      <c r="H5844" s="62" t="s">
        <v>42</v>
      </c>
    </row>
    <row r="5845" customFormat="false" ht="15" hidden="false" customHeight="false" outlineLevel="0" collapsed="false">
      <c r="A5845" s="62" t="n">
        <v>1</v>
      </c>
      <c r="B5845" s="62" t="s">
        <v>388</v>
      </c>
      <c r="C5845" s="62" t="s">
        <v>60</v>
      </c>
      <c r="D5845" s="62" t="s">
        <v>382</v>
      </c>
      <c r="E5845" s="62" t="s">
        <v>382</v>
      </c>
      <c r="F5845" s="63" t="s">
        <v>603</v>
      </c>
      <c r="G5845" s="64" t="n">
        <v>0</v>
      </c>
      <c r="H5845" s="62" t="s">
        <v>42</v>
      </c>
    </row>
    <row r="5846" customFormat="false" ht="15" hidden="false" customHeight="false" outlineLevel="0" collapsed="false">
      <c r="A5846" s="62" t="n">
        <v>1</v>
      </c>
      <c r="B5846" s="62" t="s">
        <v>381</v>
      </c>
      <c r="C5846" s="62" t="s">
        <v>60</v>
      </c>
      <c r="D5846" s="62" t="s">
        <v>382</v>
      </c>
      <c r="E5846" s="62" t="s">
        <v>382</v>
      </c>
      <c r="F5846" s="63" t="s">
        <v>604</v>
      </c>
      <c r="G5846" s="64" t="n">
        <v>817</v>
      </c>
      <c r="H5846" s="62" t="s">
        <v>42</v>
      </c>
    </row>
    <row r="5847" customFormat="false" ht="15" hidden="false" customHeight="false" outlineLevel="0" collapsed="false">
      <c r="A5847" s="62" t="n">
        <v>1</v>
      </c>
      <c r="B5847" s="62" t="s">
        <v>386</v>
      </c>
      <c r="C5847" s="62" t="s">
        <v>60</v>
      </c>
      <c r="D5847" s="62" t="s">
        <v>382</v>
      </c>
      <c r="E5847" s="62" t="s">
        <v>382</v>
      </c>
      <c r="F5847" s="63" t="s">
        <v>822</v>
      </c>
      <c r="G5847" s="64" t="n">
        <v>1271</v>
      </c>
      <c r="H5847" s="62" t="s">
        <v>42</v>
      </c>
    </row>
    <row r="5848" customFormat="false" ht="15" hidden="false" customHeight="false" outlineLevel="0" collapsed="false">
      <c r="A5848" s="62" t="n">
        <v>1</v>
      </c>
      <c r="B5848" s="62" t="s">
        <v>388</v>
      </c>
      <c r="C5848" s="62" t="s">
        <v>60</v>
      </c>
      <c r="D5848" s="62" t="s">
        <v>382</v>
      </c>
      <c r="E5848" s="62" t="s">
        <v>382</v>
      </c>
      <c r="F5848" s="63" t="s">
        <v>822</v>
      </c>
      <c r="G5848" s="64" t="n">
        <v>784</v>
      </c>
      <c r="H5848" s="62" t="s">
        <v>42</v>
      </c>
    </row>
    <row r="5849" customFormat="false" ht="15" hidden="false" customHeight="false" outlineLevel="0" collapsed="false">
      <c r="A5849" s="62" t="n">
        <v>1</v>
      </c>
      <c r="B5849" s="62" t="s">
        <v>381</v>
      </c>
      <c r="C5849" s="62" t="s">
        <v>60</v>
      </c>
      <c r="D5849" s="62" t="s">
        <v>382</v>
      </c>
      <c r="E5849" s="62" t="s">
        <v>382</v>
      </c>
      <c r="F5849" s="63" t="s">
        <v>823</v>
      </c>
      <c r="G5849" s="64" t="n">
        <v>616</v>
      </c>
      <c r="H5849" s="62" t="s">
        <v>42</v>
      </c>
    </row>
    <row r="5850" customFormat="false" ht="15" hidden="false" customHeight="false" outlineLevel="0" collapsed="false">
      <c r="A5850" s="62" t="n">
        <v>1</v>
      </c>
      <c r="B5850" s="62" t="s">
        <v>383</v>
      </c>
      <c r="C5850" s="62" t="s">
        <v>60</v>
      </c>
      <c r="D5850" s="62" t="s">
        <v>382</v>
      </c>
      <c r="E5850" s="62" t="s">
        <v>382</v>
      </c>
      <c r="F5850" s="63" t="s">
        <v>823</v>
      </c>
      <c r="G5850" s="64" t="n">
        <v>214.2</v>
      </c>
      <c r="H5850" s="62" t="s">
        <v>42</v>
      </c>
    </row>
    <row r="5851" customFormat="false" ht="15" hidden="false" customHeight="false" outlineLevel="0" collapsed="false">
      <c r="A5851" s="62" t="n">
        <v>1</v>
      </c>
      <c r="B5851" s="62" t="s">
        <v>387</v>
      </c>
      <c r="C5851" s="62" t="s">
        <v>60</v>
      </c>
      <c r="D5851" s="62" t="s">
        <v>382</v>
      </c>
      <c r="E5851" s="62" t="s">
        <v>382</v>
      </c>
      <c r="F5851" s="63" t="s">
        <v>823</v>
      </c>
      <c r="G5851" s="64" t="n">
        <v>287.616</v>
      </c>
      <c r="H5851" s="62" t="s">
        <v>42</v>
      </c>
    </row>
    <row r="5852" customFormat="false" ht="15" hidden="false" customHeight="false" outlineLevel="0" collapsed="false">
      <c r="A5852" s="62" t="n">
        <v>1</v>
      </c>
      <c r="B5852" s="62" t="s">
        <v>388</v>
      </c>
      <c r="C5852" s="62" t="s">
        <v>60</v>
      </c>
      <c r="D5852" s="62" t="s">
        <v>382</v>
      </c>
      <c r="E5852" s="62" t="s">
        <v>382</v>
      </c>
      <c r="F5852" s="63" t="s">
        <v>823</v>
      </c>
      <c r="G5852" s="64" t="n">
        <v>168</v>
      </c>
      <c r="H5852" s="62" t="s">
        <v>42</v>
      </c>
    </row>
    <row r="5853" customFormat="false" ht="15" hidden="false" customHeight="false" outlineLevel="0" collapsed="false">
      <c r="A5853" s="62" t="n">
        <v>1</v>
      </c>
      <c r="B5853" s="62" t="s">
        <v>381</v>
      </c>
      <c r="C5853" s="62" t="s">
        <v>60</v>
      </c>
      <c r="D5853" s="62" t="s">
        <v>382</v>
      </c>
      <c r="E5853" s="62" t="s">
        <v>382</v>
      </c>
      <c r="F5853" s="63" t="s">
        <v>824</v>
      </c>
      <c r="G5853" s="64" t="n">
        <v>200</v>
      </c>
      <c r="H5853" s="62" t="s">
        <v>42</v>
      </c>
    </row>
    <row r="5854" customFormat="false" ht="15" hidden="false" customHeight="false" outlineLevel="0" collapsed="false">
      <c r="A5854" s="62" t="n">
        <v>1</v>
      </c>
      <c r="B5854" s="62" t="s">
        <v>383</v>
      </c>
      <c r="C5854" s="62" t="s">
        <v>60</v>
      </c>
      <c r="D5854" s="62" t="s">
        <v>382</v>
      </c>
      <c r="E5854" s="62" t="s">
        <v>382</v>
      </c>
      <c r="F5854" s="63" t="s">
        <v>825</v>
      </c>
      <c r="G5854" s="64" t="n">
        <v>214.2</v>
      </c>
      <c r="H5854" s="62" t="s">
        <v>42</v>
      </c>
    </row>
    <row r="5855" customFormat="false" ht="15" hidden="false" customHeight="false" outlineLevel="0" collapsed="false">
      <c r="A5855" s="62" t="n">
        <v>1</v>
      </c>
      <c r="B5855" s="62" t="s">
        <v>387</v>
      </c>
      <c r="C5855" s="62" t="s">
        <v>60</v>
      </c>
      <c r="D5855" s="62" t="s">
        <v>382</v>
      </c>
      <c r="E5855" s="62" t="s">
        <v>382</v>
      </c>
      <c r="F5855" s="63" t="s">
        <v>825</v>
      </c>
      <c r="G5855" s="64" t="n">
        <v>287.616</v>
      </c>
      <c r="H5855" s="62" t="s">
        <v>42</v>
      </c>
    </row>
    <row r="5856" customFormat="false" ht="15" hidden="false" customHeight="false" outlineLevel="0" collapsed="false">
      <c r="A5856" s="62" t="n">
        <v>1</v>
      </c>
      <c r="B5856" s="62" t="s">
        <v>388</v>
      </c>
      <c r="C5856" s="62" t="s">
        <v>60</v>
      </c>
      <c r="D5856" s="62" t="s">
        <v>382</v>
      </c>
      <c r="E5856" s="62" t="s">
        <v>382</v>
      </c>
      <c r="F5856" s="63" t="s">
        <v>825</v>
      </c>
      <c r="G5856" s="64" t="n">
        <v>168</v>
      </c>
      <c r="H5856" s="62" t="s">
        <v>42</v>
      </c>
    </row>
    <row r="5857" customFormat="false" ht="15" hidden="false" customHeight="false" outlineLevel="0" collapsed="false">
      <c r="A5857" s="62" t="n">
        <v>1</v>
      </c>
      <c r="B5857" s="62" t="s">
        <v>381</v>
      </c>
      <c r="C5857" s="62" t="s">
        <v>60</v>
      </c>
      <c r="D5857" s="62" t="s">
        <v>382</v>
      </c>
      <c r="E5857" s="62" t="s">
        <v>382</v>
      </c>
      <c r="F5857" s="63" t="s">
        <v>826</v>
      </c>
      <c r="G5857" s="64" t="n">
        <v>-243.325</v>
      </c>
      <c r="H5857" s="62" t="s">
        <v>42</v>
      </c>
    </row>
    <row r="5858" customFormat="false" ht="15" hidden="false" customHeight="false" outlineLevel="0" collapsed="false">
      <c r="A5858" s="62" t="n">
        <v>1</v>
      </c>
      <c r="B5858" s="62" t="s">
        <v>383</v>
      </c>
      <c r="C5858" s="62" t="s">
        <v>60</v>
      </c>
      <c r="D5858" s="62" t="s">
        <v>382</v>
      </c>
      <c r="E5858" s="62" t="s">
        <v>382</v>
      </c>
      <c r="F5858" s="63" t="s">
        <v>826</v>
      </c>
      <c r="G5858" s="64" t="n">
        <v>-214.2</v>
      </c>
      <c r="H5858" s="62" t="s">
        <v>42</v>
      </c>
    </row>
    <row r="5859" customFormat="false" ht="15" hidden="false" customHeight="false" outlineLevel="0" collapsed="false">
      <c r="A5859" s="62" t="n">
        <v>1</v>
      </c>
      <c r="B5859" s="62" t="s">
        <v>387</v>
      </c>
      <c r="C5859" s="62" t="s">
        <v>60</v>
      </c>
      <c r="D5859" s="62" t="s">
        <v>382</v>
      </c>
      <c r="E5859" s="62" t="s">
        <v>382</v>
      </c>
      <c r="F5859" s="63" t="s">
        <v>826</v>
      </c>
      <c r="G5859" s="64" t="n">
        <v>-244.981</v>
      </c>
      <c r="H5859" s="62" t="s">
        <v>42</v>
      </c>
    </row>
    <row r="5860" customFormat="false" ht="15" hidden="false" customHeight="false" outlineLevel="0" collapsed="false">
      <c r="A5860" s="62" t="n">
        <v>1</v>
      </c>
      <c r="B5860" s="62" t="s">
        <v>388</v>
      </c>
      <c r="C5860" s="62" t="s">
        <v>60</v>
      </c>
      <c r="D5860" s="62" t="s">
        <v>382</v>
      </c>
      <c r="E5860" s="62" t="s">
        <v>382</v>
      </c>
      <c r="F5860" s="63" t="s">
        <v>826</v>
      </c>
      <c r="G5860" s="64" t="n">
        <v>-168</v>
      </c>
      <c r="H5860" s="62" t="s">
        <v>42</v>
      </c>
    </row>
    <row r="5861" customFormat="false" ht="15" hidden="false" customHeight="false" outlineLevel="0" collapsed="false">
      <c r="A5861" s="62" t="n">
        <v>1</v>
      </c>
      <c r="B5861" s="62" t="s">
        <v>381</v>
      </c>
      <c r="C5861" s="62" t="s">
        <v>60</v>
      </c>
      <c r="D5861" s="62" t="s">
        <v>382</v>
      </c>
      <c r="E5861" s="62" t="s">
        <v>382</v>
      </c>
      <c r="F5861" s="63" t="s">
        <v>827</v>
      </c>
      <c r="G5861" s="64" t="n">
        <v>-277.464</v>
      </c>
      <c r="H5861" s="62" t="s">
        <v>42</v>
      </c>
    </row>
    <row r="5862" customFormat="false" ht="15" hidden="false" customHeight="false" outlineLevel="0" collapsed="false">
      <c r="A5862" s="62" t="n">
        <v>1</v>
      </c>
      <c r="B5862" s="62" t="s">
        <v>383</v>
      </c>
      <c r="C5862" s="62" t="s">
        <v>60</v>
      </c>
      <c r="D5862" s="62" t="s">
        <v>382</v>
      </c>
      <c r="E5862" s="62" t="s">
        <v>382</v>
      </c>
      <c r="F5862" s="63" t="s">
        <v>827</v>
      </c>
      <c r="G5862" s="64" t="n">
        <v>0</v>
      </c>
      <c r="H5862" s="62" t="s">
        <v>42</v>
      </c>
    </row>
    <row r="5863" customFormat="false" ht="15" hidden="false" customHeight="false" outlineLevel="0" collapsed="false">
      <c r="A5863" s="62" t="n">
        <v>1</v>
      </c>
      <c r="B5863" s="62" t="s">
        <v>387</v>
      </c>
      <c r="C5863" s="62" t="s">
        <v>60</v>
      </c>
      <c r="D5863" s="62" t="s">
        <v>382</v>
      </c>
      <c r="E5863" s="62" t="s">
        <v>382</v>
      </c>
      <c r="F5863" s="63" t="s">
        <v>827</v>
      </c>
      <c r="G5863" s="64" t="n">
        <v>-42.635</v>
      </c>
      <c r="H5863" s="62" t="s">
        <v>42</v>
      </c>
    </row>
    <row r="5864" customFormat="false" ht="15" hidden="false" customHeight="false" outlineLevel="0" collapsed="false">
      <c r="A5864" s="62" t="n">
        <v>1</v>
      </c>
      <c r="B5864" s="62" t="s">
        <v>381</v>
      </c>
      <c r="C5864" s="62" t="s">
        <v>60</v>
      </c>
      <c r="D5864" s="62" t="s">
        <v>382</v>
      </c>
      <c r="E5864" s="62" t="s">
        <v>382</v>
      </c>
      <c r="F5864" s="63" t="s">
        <v>821</v>
      </c>
      <c r="G5864" s="64" t="n">
        <v>295.211</v>
      </c>
      <c r="H5864" s="62" t="s">
        <v>42</v>
      </c>
    </row>
    <row r="5865" customFormat="false" ht="15" hidden="false" customHeight="false" outlineLevel="0" collapsed="false">
      <c r="A5865" s="62" t="n">
        <v>1</v>
      </c>
      <c r="B5865" s="62" t="s">
        <v>383</v>
      </c>
      <c r="C5865" s="62" t="s">
        <v>60</v>
      </c>
      <c r="D5865" s="62" t="s">
        <v>382</v>
      </c>
      <c r="E5865" s="62" t="s">
        <v>382</v>
      </c>
      <c r="F5865" s="63" t="s">
        <v>604</v>
      </c>
      <c r="G5865" s="64" t="n">
        <v>7</v>
      </c>
      <c r="H5865" s="62" t="s">
        <v>42</v>
      </c>
    </row>
    <row r="5866" customFormat="false" ht="15" hidden="false" customHeight="false" outlineLevel="0" collapsed="false">
      <c r="A5866" s="62" t="n">
        <v>1</v>
      </c>
      <c r="B5866" s="62" t="s">
        <v>388</v>
      </c>
      <c r="C5866" s="62" t="s">
        <v>60</v>
      </c>
      <c r="D5866" s="62" t="s">
        <v>382</v>
      </c>
      <c r="E5866" s="62" t="s">
        <v>382</v>
      </c>
      <c r="F5866" s="63" t="s">
        <v>828</v>
      </c>
      <c r="G5866" s="64" t="n">
        <v>112</v>
      </c>
      <c r="H5866" s="62" t="s">
        <v>42</v>
      </c>
    </row>
    <row r="5867" customFormat="false" ht="15" hidden="false" customHeight="false" outlineLevel="0" collapsed="false">
      <c r="A5867" s="62" t="n">
        <v>1</v>
      </c>
      <c r="B5867" s="62" t="s">
        <v>381</v>
      </c>
      <c r="C5867" s="62" t="s">
        <v>60</v>
      </c>
      <c r="D5867" s="62" t="s">
        <v>382</v>
      </c>
      <c r="E5867" s="62" t="s">
        <v>382</v>
      </c>
      <c r="F5867" s="63" t="s">
        <v>829</v>
      </c>
      <c r="G5867" s="64" t="n">
        <v>100</v>
      </c>
      <c r="H5867" s="62" t="s">
        <v>42</v>
      </c>
    </row>
    <row r="5868" customFormat="false" ht="15" hidden="false" customHeight="false" outlineLevel="0" collapsed="false">
      <c r="A5868" s="62" t="n">
        <v>1</v>
      </c>
      <c r="B5868" s="62" t="s">
        <v>383</v>
      </c>
      <c r="C5868" s="62" t="s">
        <v>60</v>
      </c>
      <c r="D5868" s="62" t="s">
        <v>382</v>
      </c>
      <c r="E5868" s="62" t="s">
        <v>382</v>
      </c>
      <c r="F5868" s="63" t="s">
        <v>829</v>
      </c>
      <c r="G5868" s="64" t="n">
        <v>166.5</v>
      </c>
      <c r="H5868" s="62" t="s">
        <v>42</v>
      </c>
    </row>
    <row r="5869" customFormat="false" ht="15" hidden="false" customHeight="false" outlineLevel="0" collapsed="false">
      <c r="A5869" s="62" t="n">
        <v>1</v>
      </c>
      <c r="B5869" s="62" t="s">
        <v>387</v>
      </c>
      <c r="C5869" s="62" t="s">
        <v>60</v>
      </c>
      <c r="D5869" s="62" t="s">
        <v>382</v>
      </c>
      <c r="E5869" s="62" t="s">
        <v>382</v>
      </c>
      <c r="F5869" s="63" t="s">
        <v>829</v>
      </c>
      <c r="G5869" s="64" t="n">
        <v>110.8</v>
      </c>
      <c r="H5869" s="62" t="s">
        <v>42</v>
      </c>
    </row>
    <row r="5870" customFormat="false" ht="15" hidden="false" customHeight="false" outlineLevel="0" collapsed="false">
      <c r="A5870" s="62" t="n">
        <v>1</v>
      </c>
      <c r="B5870" s="62" t="s">
        <v>388</v>
      </c>
      <c r="C5870" s="62" t="s">
        <v>60</v>
      </c>
      <c r="D5870" s="62" t="s">
        <v>382</v>
      </c>
      <c r="E5870" s="62" t="s">
        <v>382</v>
      </c>
      <c r="F5870" s="63" t="s">
        <v>829</v>
      </c>
      <c r="G5870" s="64" t="n">
        <v>84</v>
      </c>
      <c r="H5870" s="62" t="s">
        <v>42</v>
      </c>
    </row>
    <row r="5871" customFormat="false" ht="15" hidden="false" customHeight="false" outlineLevel="0" collapsed="false">
      <c r="A5871" s="62" t="n">
        <v>1</v>
      </c>
      <c r="B5871" s="62" t="s">
        <v>381</v>
      </c>
      <c r="C5871" s="62" t="s">
        <v>60</v>
      </c>
      <c r="D5871" s="62" t="s">
        <v>382</v>
      </c>
      <c r="E5871" s="62" t="s">
        <v>382</v>
      </c>
      <c r="F5871" s="63" t="s">
        <v>830</v>
      </c>
      <c r="G5871" s="64" t="n">
        <v>170</v>
      </c>
      <c r="H5871" s="62" t="s">
        <v>42</v>
      </c>
    </row>
    <row r="5872" customFormat="false" ht="15" hidden="false" customHeight="false" outlineLevel="0" collapsed="false">
      <c r="A5872" s="62" t="n">
        <v>1</v>
      </c>
      <c r="B5872" s="62" t="s">
        <v>383</v>
      </c>
      <c r="C5872" s="62" t="s">
        <v>60</v>
      </c>
      <c r="D5872" s="62" t="s">
        <v>382</v>
      </c>
      <c r="E5872" s="62" t="s">
        <v>382</v>
      </c>
      <c r="F5872" s="63" t="s">
        <v>824</v>
      </c>
      <c r="G5872" s="64" t="n">
        <v>102</v>
      </c>
      <c r="H5872" s="62" t="s">
        <v>42</v>
      </c>
    </row>
    <row r="5873" customFormat="false" ht="15" hidden="false" customHeight="false" outlineLevel="0" collapsed="false">
      <c r="A5873" s="62" t="n">
        <v>1</v>
      </c>
      <c r="B5873" s="62" t="s">
        <v>381</v>
      </c>
      <c r="C5873" s="62" t="s">
        <v>60</v>
      </c>
      <c r="D5873" s="62" t="s">
        <v>382</v>
      </c>
      <c r="E5873" s="62" t="s">
        <v>382</v>
      </c>
      <c r="F5873" s="63" t="s">
        <v>825</v>
      </c>
      <c r="G5873" s="64" t="n">
        <v>270</v>
      </c>
      <c r="H5873" s="62" t="s">
        <v>42</v>
      </c>
    </row>
    <row r="5874" customFormat="false" ht="15" hidden="false" customHeight="false" outlineLevel="0" collapsed="false">
      <c r="A5874" s="62" t="n">
        <v>1</v>
      </c>
      <c r="B5874" s="62" t="s">
        <v>383</v>
      </c>
      <c r="C5874" s="62" t="s">
        <v>60</v>
      </c>
      <c r="D5874" s="62" t="s">
        <v>382</v>
      </c>
      <c r="E5874" s="62" t="s">
        <v>382</v>
      </c>
      <c r="F5874" s="63" t="s">
        <v>831</v>
      </c>
      <c r="G5874" s="64" t="n">
        <v>268.5</v>
      </c>
      <c r="H5874" s="62" t="s">
        <v>42</v>
      </c>
    </row>
    <row r="5875" customFormat="false" ht="15" hidden="false" customHeight="false" outlineLevel="0" collapsed="false">
      <c r="A5875" s="62" t="n">
        <v>1</v>
      </c>
      <c r="B5875" s="62" t="s">
        <v>387</v>
      </c>
      <c r="C5875" s="62" t="s">
        <v>60</v>
      </c>
      <c r="D5875" s="62" t="s">
        <v>382</v>
      </c>
      <c r="E5875" s="62" t="s">
        <v>382</v>
      </c>
      <c r="F5875" s="63" t="s">
        <v>831</v>
      </c>
      <c r="G5875" s="64" t="n">
        <v>110.8</v>
      </c>
      <c r="H5875" s="62" t="s">
        <v>42</v>
      </c>
    </row>
    <row r="5876" customFormat="false" ht="15" hidden="false" customHeight="false" outlineLevel="0" collapsed="false">
      <c r="A5876" s="62" t="n">
        <v>1</v>
      </c>
      <c r="B5876" s="62" t="s">
        <v>388</v>
      </c>
      <c r="C5876" s="62" t="s">
        <v>60</v>
      </c>
      <c r="D5876" s="62" t="s">
        <v>382</v>
      </c>
      <c r="E5876" s="62" t="s">
        <v>382</v>
      </c>
      <c r="F5876" s="63" t="s">
        <v>831</v>
      </c>
      <c r="G5876" s="64" t="n">
        <v>84</v>
      </c>
      <c r="H5876" s="62" t="s">
        <v>42</v>
      </c>
    </row>
    <row r="5877" customFormat="false" ht="15" hidden="false" customHeight="false" outlineLevel="0" collapsed="false">
      <c r="A5877" s="62" t="n">
        <v>1</v>
      </c>
      <c r="B5877" s="62" t="s">
        <v>381</v>
      </c>
      <c r="C5877" s="62" t="s">
        <v>60</v>
      </c>
      <c r="D5877" s="62" t="s">
        <v>382</v>
      </c>
      <c r="E5877" s="62" t="s">
        <v>382</v>
      </c>
      <c r="F5877" s="63" t="s">
        <v>832</v>
      </c>
      <c r="G5877" s="64" t="n">
        <v>-156.005</v>
      </c>
      <c r="H5877" s="62" t="s">
        <v>42</v>
      </c>
    </row>
    <row r="5878" customFormat="false" ht="15" hidden="false" customHeight="false" outlineLevel="0" collapsed="false">
      <c r="A5878" s="62" t="n">
        <v>1</v>
      </c>
      <c r="B5878" s="62" t="s">
        <v>383</v>
      </c>
      <c r="C5878" s="62" t="s">
        <v>60</v>
      </c>
      <c r="D5878" s="62" t="s">
        <v>382</v>
      </c>
      <c r="E5878" s="62" t="s">
        <v>382</v>
      </c>
      <c r="F5878" s="63" t="s">
        <v>832</v>
      </c>
      <c r="G5878" s="64" t="n">
        <v>-26.911</v>
      </c>
      <c r="H5878" s="62" t="s">
        <v>42</v>
      </c>
    </row>
    <row r="5879" customFormat="false" ht="15" hidden="false" customHeight="false" outlineLevel="0" collapsed="false">
      <c r="A5879" s="62" t="n">
        <v>1</v>
      </c>
      <c r="B5879" s="62" t="s">
        <v>387</v>
      </c>
      <c r="C5879" s="62" t="s">
        <v>60</v>
      </c>
      <c r="D5879" s="62" t="s">
        <v>382</v>
      </c>
      <c r="E5879" s="62" t="s">
        <v>382</v>
      </c>
      <c r="F5879" s="63" t="s">
        <v>832</v>
      </c>
      <c r="G5879" s="64" t="n">
        <v>-110.8</v>
      </c>
      <c r="H5879" s="62" t="s">
        <v>42</v>
      </c>
    </row>
    <row r="5880" customFormat="false" ht="15" hidden="false" customHeight="false" outlineLevel="0" collapsed="false">
      <c r="A5880" s="62" t="n">
        <v>1</v>
      </c>
      <c r="B5880" s="62" t="s">
        <v>388</v>
      </c>
      <c r="C5880" s="62" t="s">
        <v>60</v>
      </c>
      <c r="D5880" s="62" t="s">
        <v>382</v>
      </c>
      <c r="E5880" s="62" t="s">
        <v>382</v>
      </c>
      <c r="F5880" s="63" t="s">
        <v>832</v>
      </c>
      <c r="G5880" s="64" t="n">
        <v>-84</v>
      </c>
      <c r="H5880" s="62" t="s">
        <v>42</v>
      </c>
    </row>
    <row r="5881" customFormat="false" ht="15" hidden="false" customHeight="false" outlineLevel="0" collapsed="false">
      <c r="A5881" s="62" t="n">
        <v>1</v>
      </c>
      <c r="B5881" s="62" t="s">
        <v>381</v>
      </c>
      <c r="C5881" s="62" t="s">
        <v>60</v>
      </c>
      <c r="D5881" s="62" t="s">
        <v>382</v>
      </c>
      <c r="E5881" s="62" t="s">
        <v>382</v>
      </c>
      <c r="F5881" s="63" t="s">
        <v>833</v>
      </c>
      <c r="G5881" s="64" t="n">
        <v>0</v>
      </c>
      <c r="H5881" s="62" t="s">
        <v>42</v>
      </c>
    </row>
    <row r="5882" customFormat="false" ht="15" hidden="false" customHeight="false" outlineLevel="0" collapsed="false">
      <c r="A5882" s="62" t="n">
        <v>1</v>
      </c>
      <c r="B5882" s="62" t="s">
        <v>383</v>
      </c>
      <c r="C5882" s="62" t="s">
        <v>60</v>
      </c>
      <c r="D5882" s="62" t="s">
        <v>382</v>
      </c>
      <c r="E5882" s="62" t="s">
        <v>382</v>
      </c>
      <c r="F5882" s="63" t="s">
        <v>833</v>
      </c>
      <c r="G5882" s="64" t="n">
        <v>-241.589</v>
      </c>
      <c r="H5882" s="62" t="s">
        <v>42</v>
      </c>
    </row>
    <row r="5883" customFormat="false" ht="15" hidden="false" customHeight="false" outlineLevel="0" collapsed="false">
      <c r="A5883" s="62" t="n">
        <v>1</v>
      </c>
      <c r="B5883" s="62" t="s">
        <v>387</v>
      </c>
      <c r="C5883" s="62" t="s">
        <v>60</v>
      </c>
      <c r="D5883" s="62" t="s">
        <v>382</v>
      </c>
      <c r="E5883" s="62" t="s">
        <v>382</v>
      </c>
      <c r="F5883" s="63" t="s">
        <v>833</v>
      </c>
      <c r="G5883" s="64" t="n">
        <v>0</v>
      </c>
      <c r="H5883" s="62" t="s">
        <v>42</v>
      </c>
    </row>
    <row r="5884" customFormat="false" ht="15" hidden="false" customHeight="false" outlineLevel="0" collapsed="false">
      <c r="A5884" s="62" t="n">
        <v>1</v>
      </c>
      <c r="B5884" s="62" t="s">
        <v>381</v>
      </c>
      <c r="C5884" s="62" t="s">
        <v>60</v>
      </c>
      <c r="D5884" s="62" t="s">
        <v>382</v>
      </c>
      <c r="E5884" s="62" t="s">
        <v>382</v>
      </c>
      <c r="F5884" s="63" t="s">
        <v>834</v>
      </c>
      <c r="G5884" s="64" t="n">
        <v>113.995</v>
      </c>
      <c r="H5884" s="62" t="s">
        <v>42</v>
      </c>
    </row>
    <row r="5885" customFormat="false" ht="15" hidden="false" customHeight="false" outlineLevel="0" collapsed="false">
      <c r="A5885" s="62" t="n">
        <v>1</v>
      </c>
      <c r="B5885" s="62" t="s">
        <v>383</v>
      </c>
      <c r="C5885" s="62" t="s">
        <v>60</v>
      </c>
      <c r="D5885" s="62" t="s">
        <v>382</v>
      </c>
      <c r="E5885" s="62" t="s">
        <v>382</v>
      </c>
      <c r="F5885" s="63" t="s">
        <v>822</v>
      </c>
      <c r="G5885" s="64" t="n">
        <v>157</v>
      </c>
      <c r="H5885" s="62" t="s">
        <v>42</v>
      </c>
    </row>
    <row r="5886" customFormat="false" ht="15" hidden="false" customHeight="false" outlineLevel="0" collapsed="false">
      <c r="A5886" s="62" t="n">
        <v>1</v>
      </c>
      <c r="B5886" s="62" t="s">
        <v>387</v>
      </c>
      <c r="C5886" s="62" t="s">
        <v>60</v>
      </c>
      <c r="D5886" s="62" t="s">
        <v>382</v>
      </c>
      <c r="E5886" s="62" t="s">
        <v>382</v>
      </c>
      <c r="F5886" s="63" t="s">
        <v>604</v>
      </c>
      <c r="G5886" s="64" t="n">
        <v>102</v>
      </c>
      <c r="H5886" s="62" t="s">
        <v>42</v>
      </c>
    </row>
    <row r="5887" customFormat="false" ht="15" hidden="false" customHeight="false" outlineLevel="0" collapsed="false">
      <c r="A5887" s="62" t="n">
        <v>1</v>
      </c>
      <c r="B5887" s="62" t="s">
        <v>388</v>
      </c>
      <c r="C5887" s="62" t="s">
        <v>60</v>
      </c>
      <c r="D5887" s="62" t="s">
        <v>382</v>
      </c>
      <c r="E5887" s="62" t="s">
        <v>382</v>
      </c>
      <c r="F5887" s="63" t="s">
        <v>835</v>
      </c>
      <c r="G5887" s="64" t="n">
        <v>71</v>
      </c>
      <c r="H5887" s="62" t="s">
        <v>42</v>
      </c>
    </row>
    <row r="5888" customFormat="false" ht="15" hidden="false" customHeight="false" outlineLevel="0" collapsed="false">
      <c r="A5888" s="62" t="n">
        <v>1</v>
      </c>
      <c r="B5888" s="62" t="s">
        <v>381</v>
      </c>
      <c r="C5888" s="62" t="s">
        <v>60</v>
      </c>
      <c r="D5888" s="62" t="s">
        <v>382</v>
      </c>
      <c r="E5888" s="62" t="s">
        <v>382</v>
      </c>
      <c r="F5888" s="63" t="s">
        <v>836</v>
      </c>
      <c r="G5888" s="64" t="n">
        <v>277.464</v>
      </c>
      <c r="H5888" s="62" t="s">
        <v>42</v>
      </c>
    </row>
    <row r="5889" customFormat="false" ht="15" hidden="false" customHeight="false" outlineLevel="0" collapsed="false">
      <c r="A5889" s="62" t="n">
        <v>1</v>
      </c>
      <c r="B5889" s="62" t="s">
        <v>387</v>
      </c>
      <c r="C5889" s="62" t="s">
        <v>60</v>
      </c>
      <c r="D5889" s="62" t="s">
        <v>382</v>
      </c>
      <c r="E5889" s="62" t="s">
        <v>382</v>
      </c>
      <c r="F5889" s="63" t="s">
        <v>836</v>
      </c>
      <c r="G5889" s="64" t="n">
        <v>42.635</v>
      </c>
      <c r="H5889" s="62" t="s">
        <v>42</v>
      </c>
    </row>
    <row r="5890" customFormat="false" ht="15" hidden="false" customHeight="false" outlineLevel="0" collapsed="false">
      <c r="A5890" s="62" t="n">
        <v>1</v>
      </c>
      <c r="B5890" s="62" t="s">
        <v>383</v>
      </c>
      <c r="C5890" s="62" t="s">
        <v>60</v>
      </c>
      <c r="D5890" s="62" t="s">
        <v>382</v>
      </c>
      <c r="E5890" s="62" t="s">
        <v>382</v>
      </c>
      <c r="F5890" s="63" t="s">
        <v>837</v>
      </c>
      <c r="G5890" s="64" t="n">
        <v>241.589</v>
      </c>
      <c r="H5890" s="62" t="s">
        <v>42</v>
      </c>
    </row>
    <row r="5891" customFormat="false" ht="15" hidden="false" customHeight="false" outlineLevel="0" collapsed="false">
      <c r="A5891" s="62" t="n">
        <v>1</v>
      </c>
      <c r="B5891" s="62" t="s">
        <v>381</v>
      </c>
      <c r="C5891" s="62" t="s">
        <v>60</v>
      </c>
      <c r="D5891" s="62" t="s">
        <v>382</v>
      </c>
      <c r="E5891" s="62" t="s">
        <v>382</v>
      </c>
      <c r="F5891" s="63" t="s">
        <v>831</v>
      </c>
      <c r="G5891" s="64" t="n">
        <v>277.464</v>
      </c>
      <c r="H5891" s="62" t="s">
        <v>42</v>
      </c>
    </row>
    <row r="5892" customFormat="false" ht="15" hidden="false" customHeight="false" outlineLevel="0" collapsed="false">
      <c r="A5892" s="62" t="n">
        <v>1</v>
      </c>
      <c r="B5892" s="62" t="s">
        <v>383</v>
      </c>
      <c r="C5892" s="62" t="s">
        <v>60</v>
      </c>
      <c r="D5892" s="62" t="s">
        <v>382</v>
      </c>
      <c r="E5892" s="62" t="s">
        <v>382</v>
      </c>
      <c r="F5892" s="63" t="s">
        <v>838</v>
      </c>
      <c r="G5892" s="64" t="n">
        <v>241.589</v>
      </c>
      <c r="H5892" s="62" t="s">
        <v>42</v>
      </c>
    </row>
    <row r="5893" customFormat="false" ht="15" hidden="false" customHeight="false" outlineLevel="0" collapsed="false">
      <c r="A5893" s="62" t="n">
        <v>1</v>
      </c>
      <c r="B5893" s="62" t="s">
        <v>387</v>
      </c>
      <c r="C5893" s="62" t="s">
        <v>60</v>
      </c>
      <c r="D5893" s="62" t="s">
        <v>382</v>
      </c>
      <c r="E5893" s="62" t="s">
        <v>382</v>
      </c>
      <c r="F5893" s="63" t="s">
        <v>838</v>
      </c>
      <c r="G5893" s="64" t="n">
        <v>42.635</v>
      </c>
      <c r="H5893" s="62" t="s">
        <v>42</v>
      </c>
    </row>
    <row r="5894" customFormat="false" ht="15" hidden="false" customHeight="false" outlineLevel="0" collapsed="false">
      <c r="A5894" s="62" t="n">
        <v>1</v>
      </c>
      <c r="B5894" s="62" t="s">
        <v>381</v>
      </c>
      <c r="C5894" s="62" t="s">
        <v>60</v>
      </c>
      <c r="D5894" s="62" t="s">
        <v>382</v>
      </c>
      <c r="E5894" s="62" t="s">
        <v>382</v>
      </c>
      <c r="F5894" s="63" t="s">
        <v>839</v>
      </c>
      <c r="G5894" s="64" t="n">
        <v>-277.464</v>
      </c>
      <c r="H5894" s="62" t="s">
        <v>42</v>
      </c>
    </row>
    <row r="5895" customFormat="false" ht="15" hidden="false" customHeight="false" outlineLevel="0" collapsed="false">
      <c r="A5895" s="62" t="n">
        <v>1</v>
      </c>
      <c r="B5895" s="62" t="s">
        <v>383</v>
      </c>
      <c r="C5895" s="62" t="s">
        <v>60</v>
      </c>
      <c r="D5895" s="62" t="s">
        <v>382</v>
      </c>
      <c r="E5895" s="62" t="s">
        <v>382</v>
      </c>
      <c r="F5895" s="63" t="s">
        <v>839</v>
      </c>
      <c r="G5895" s="64" t="n">
        <v>-241.589</v>
      </c>
      <c r="H5895" s="62" t="s">
        <v>42</v>
      </c>
    </row>
    <row r="5896" customFormat="false" ht="15" hidden="false" customHeight="false" outlineLevel="0" collapsed="false">
      <c r="A5896" s="62" t="n">
        <v>1</v>
      </c>
      <c r="B5896" s="62" t="s">
        <v>387</v>
      </c>
      <c r="C5896" s="62" t="s">
        <v>60</v>
      </c>
      <c r="D5896" s="62" t="s">
        <v>382</v>
      </c>
      <c r="E5896" s="62" t="s">
        <v>382</v>
      </c>
      <c r="F5896" s="63" t="s">
        <v>839</v>
      </c>
      <c r="G5896" s="64" t="n">
        <v>-42.635</v>
      </c>
      <c r="H5896" s="62" t="s">
        <v>42</v>
      </c>
    </row>
    <row r="5897" customFormat="false" ht="15" hidden="false" customHeight="false" outlineLevel="0" collapsed="false">
      <c r="A5897" s="62" t="n">
        <v>1</v>
      </c>
      <c r="B5897" s="62" t="s">
        <v>387</v>
      </c>
      <c r="C5897" s="62" t="s">
        <v>60</v>
      </c>
      <c r="D5897" s="62" t="s">
        <v>382</v>
      </c>
      <c r="E5897" s="62" t="s">
        <v>382</v>
      </c>
      <c r="F5897" s="63" t="s">
        <v>822</v>
      </c>
      <c r="G5897" s="64" t="n">
        <v>178</v>
      </c>
      <c r="H5897" s="62" t="s">
        <v>42</v>
      </c>
    </row>
    <row r="5898" customFormat="false" ht="15" hidden="false" customHeight="false" outlineLevel="0" collapsed="false">
      <c r="A5898" s="62" t="n">
        <v>1</v>
      </c>
      <c r="B5898" s="62" t="s">
        <v>388</v>
      </c>
      <c r="C5898" s="62" t="s">
        <v>60</v>
      </c>
      <c r="D5898" s="62" t="s">
        <v>382</v>
      </c>
      <c r="E5898" s="62" t="s">
        <v>382</v>
      </c>
      <c r="F5898" s="63" t="s">
        <v>840</v>
      </c>
      <c r="G5898" s="64" t="n">
        <v>177</v>
      </c>
      <c r="H5898" s="62" t="s">
        <v>42</v>
      </c>
    </row>
    <row r="5899" customFormat="false" ht="15" hidden="false" customHeight="false" outlineLevel="0" collapsed="false">
      <c r="A5899" s="62" t="n">
        <v>1</v>
      </c>
      <c r="B5899" s="62" t="s">
        <v>381</v>
      </c>
      <c r="C5899" s="62" t="s">
        <v>60</v>
      </c>
      <c r="D5899" s="62" t="s">
        <v>382</v>
      </c>
      <c r="E5899" s="62" t="s">
        <v>382</v>
      </c>
      <c r="F5899" s="63" t="s">
        <v>605</v>
      </c>
      <c r="G5899" s="64" t="n">
        <v>910.723</v>
      </c>
      <c r="H5899" s="62" t="s">
        <v>42</v>
      </c>
    </row>
    <row r="5900" customFormat="false" ht="15" hidden="false" customHeight="false" outlineLevel="0" collapsed="false">
      <c r="A5900" s="62" t="n">
        <v>1</v>
      </c>
      <c r="B5900" s="62" t="s">
        <v>383</v>
      </c>
      <c r="C5900" s="62" t="s">
        <v>60</v>
      </c>
      <c r="D5900" s="62" t="s">
        <v>382</v>
      </c>
      <c r="E5900" s="62" t="s">
        <v>382</v>
      </c>
      <c r="F5900" s="63" t="s">
        <v>607</v>
      </c>
      <c r="G5900" s="64" t="n">
        <v>734.132</v>
      </c>
      <c r="H5900" s="62" t="s">
        <v>42</v>
      </c>
    </row>
    <row r="5901" customFormat="false" ht="15" hidden="false" customHeight="false" outlineLevel="0" collapsed="false">
      <c r="A5901" s="62" t="n">
        <v>1</v>
      </c>
      <c r="B5901" s="62" t="s">
        <v>384</v>
      </c>
      <c r="C5901" s="62" t="s">
        <v>60</v>
      </c>
      <c r="D5901" s="62" t="s">
        <v>382</v>
      </c>
      <c r="E5901" s="62" t="s">
        <v>382</v>
      </c>
      <c r="F5901" s="63" t="s">
        <v>605</v>
      </c>
      <c r="G5901" s="64" t="n">
        <v>560.885</v>
      </c>
      <c r="H5901" s="62" t="s">
        <v>42</v>
      </c>
    </row>
    <row r="5902" customFormat="false" ht="15" hidden="false" customHeight="false" outlineLevel="0" collapsed="false">
      <c r="A5902" s="62" t="n">
        <v>1</v>
      </c>
      <c r="B5902" s="62" t="s">
        <v>385</v>
      </c>
      <c r="C5902" s="62" t="s">
        <v>60</v>
      </c>
      <c r="D5902" s="62" t="s">
        <v>382</v>
      </c>
      <c r="E5902" s="62" t="s">
        <v>382</v>
      </c>
      <c r="F5902" s="63" t="s">
        <v>605</v>
      </c>
      <c r="G5902" s="64" t="n">
        <v>574.361</v>
      </c>
      <c r="H5902" s="62" t="s">
        <v>42</v>
      </c>
    </row>
    <row r="5903" customFormat="false" ht="15" hidden="false" customHeight="false" outlineLevel="0" collapsed="false">
      <c r="A5903" s="62" t="n">
        <v>1</v>
      </c>
      <c r="B5903" s="62" t="s">
        <v>386</v>
      </c>
      <c r="C5903" s="62" t="s">
        <v>60</v>
      </c>
      <c r="D5903" s="62" t="s">
        <v>382</v>
      </c>
      <c r="E5903" s="62" t="s">
        <v>382</v>
      </c>
      <c r="F5903" s="63" t="s">
        <v>605</v>
      </c>
      <c r="G5903" s="64" t="n">
        <v>787.15</v>
      </c>
      <c r="H5903" s="62" t="s">
        <v>42</v>
      </c>
    </row>
    <row r="5904" customFormat="false" ht="15" hidden="false" customHeight="false" outlineLevel="0" collapsed="false">
      <c r="A5904" s="62" t="n">
        <v>1</v>
      </c>
      <c r="B5904" s="62" t="s">
        <v>387</v>
      </c>
      <c r="C5904" s="62" t="s">
        <v>60</v>
      </c>
      <c r="D5904" s="62" t="s">
        <v>382</v>
      </c>
      <c r="E5904" s="62" t="s">
        <v>382</v>
      </c>
      <c r="F5904" s="63" t="s">
        <v>605</v>
      </c>
      <c r="G5904" s="64" t="n">
        <v>565.305</v>
      </c>
      <c r="H5904" s="62" t="s">
        <v>42</v>
      </c>
    </row>
    <row r="5905" customFormat="false" ht="15" hidden="false" customHeight="false" outlineLevel="0" collapsed="false">
      <c r="A5905" s="62" t="n">
        <v>1</v>
      </c>
      <c r="B5905" s="62" t="s">
        <v>388</v>
      </c>
      <c r="C5905" s="62" t="s">
        <v>60</v>
      </c>
      <c r="D5905" s="62" t="s">
        <v>382</v>
      </c>
      <c r="E5905" s="62" t="s">
        <v>382</v>
      </c>
      <c r="F5905" s="63" t="s">
        <v>605</v>
      </c>
      <c r="G5905" s="64" t="n">
        <v>884.8</v>
      </c>
      <c r="H5905" s="62" t="s">
        <v>42</v>
      </c>
    </row>
    <row r="5906" customFormat="false" ht="15" hidden="false" customHeight="false" outlineLevel="0" collapsed="false">
      <c r="A5906" s="62" t="n">
        <v>1</v>
      </c>
      <c r="B5906" s="62" t="s">
        <v>381</v>
      </c>
      <c r="C5906" s="62" t="s">
        <v>60</v>
      </c>
      <c r="D5906" s="62" t="s">
        <v>382</v>
      </c>
      <c r="E5906" s="62" t="s">
        <v>382</v>
      </c>
      <c r="F5906" s="63" t="s">
        <v>606</v>
      </c>
      <c r="G5906" s="64" t="n">
        <v>671.114</v>
      </c>
      <c r="H5906" s="62" t="s">
        <v>42</v>
      </c>
    </row>
    <row r="5907" customFormat="false" ht="15" hidden="false" customHeight="false" outlineLevel="0" collapsed="false">
      <c r="A5907" s="62" t="n">
        <v>1</v>
      </c>
      <c r="B5907" s="62" t="s">
        <v>383</v>
      </c>
      <c r="C5907" s="62" t="s">
        <v>60</v>
      </c>
      <c r="D5907" s="62" t="s">
        <v>382</v>
      </c>
      <c r="E5907" s="62" t="s">
        <v>382</v>
      </c>
      <c r="F5907" s="63" t="s">
        <v>608</v>
      </c>
      <c r="G5907" s="64" t="n">
        <v>191.113</v>
      </c>
      <c r="H5907" s="62" t="s">
        <v>42</v>
      </c>
    </row>
    <row r="5908" customFormat="false" ht="15" hidden="false" customHeight="false" outlineLevel="0" collapsed="false">
      <c r="A5908" s="62" t="n">
        <v>1</v>
      </c>
      <c r="B5908" s="62" t="s">
        <v>384</v>
      </c>
      <c r="C5908" s="62" t="s">
        <v>60</v>
      </c>
      <c r="D5908" s="62" t="s">
        <v>382</v>
      </c>
      <c r="E5908" s="62" t="s">
        <v>382</v>
      </c>
      <c r="F5908" s="63" t="s">
        <v>606</v>
      </c>
      <c r="G5908" s="64" t="n">
        <v>610.675</v>
      </c>
      <c r="H5908" s="62" t="s">
        <v>42</v>
      </c>
    </row>
    <row r="5909" customFormat="false" ht="15" hidden="false" customHeight="false" outlineLevel="0" collapsed="false">
      <c r="A5909" s="62" t="n">
        <v>1</v>
      </c>
      <c r="B5909" s="62" t="s">
        <v>385</v>
      </c>
      <c r="C5909" s="62" t="s">
        <v>60</v>
      </c>
      <c r="D5909" s="62" t="s">
        <v>382</v>
      </c>
      <c r="E5909" s="62" t="s">
        <v>382</v>
      </c>
      <c r="F5909" s="63" t="s">
        <v>606</v>
      </c>
      <c r="G5909" s="64" t="n">
        <v>359.387</v>
      </c>
      <c r="H5909" s="62" t="s">
        <v>42</v>
      </c>
    </row>
    <row r="5910" customFormat="false" ht="15" hidden="false" customHeight="false" outlineLevel="0" collapsed="false">
      <c r="A5910" s="62" t="n">
        <v>1</v>
      </c>
      <c r="B5910" s="62" t="s">
        <v>386</v>
      </c>
      <c r="C5910" s="62" t="s">
        <v>60</v>
      </c>
      <c r="D5910" s="62" t="s">
        <v>382</v>
      </c>
      <c r="E5910" s="62" t="s">
        <v>382</v>
      </c>
      <c r="F5910" s="63" t="s">
        <v>606</v>
      </c>
      <c r="G5910" s="64" t="n">
        <v>613.049</v>
      </c>
      <c r="H5910" s="62" t="s">
        <v>42</v>
      </c>
    </row>
    <row r="5911" customFormat="false" ht="15" hidden="false" customHeight="false" outlineLevel="0" collapsed="false">
      <c r="A5911" s="62" t="n">
        <v>1</v>
      </c>
      <c r="B5911" s="62" t="s">
        <v>387</v>
      </c>
      <c r="C5911" s="62" t="s">
        <v>60</v>
      </c>
      <c r="D5911" s="62" t="s">
        <v>382</v>
      </c>
      <c r="E5911" s="62" t="s">
        <v>382</v>
      </c>
      <c r="F5911" s="63" t="s">
        <v>606</v>
      </c>
      <c r="G5911" s="64" t="n">
        <v>426.527</v>
      </c>
      <c r="H5911" s="62" t="s">
        <v>42</v>
      </c>
    </row>
    <row r="5912" customFormat="false" ht="15" hidden="false" customHeight="false" outlineLevel="0" collapsed="false">
      <c r="A5912" s="62" t="n">
        <v>1</v>
      </c>
      <c r="B5912" s="62" t="s">
        <v>388</v>
      </c>
      <c r="C5912" s="62" t="s">
        <v>60</v>
      </c>
      <c r="D5912" s="62" t="s">
        <v>382</v>
      </c>
      <c r="E5912" s="62" t="s">
        <v>382</v>
      </c>
      <c r="F5912" s="63" t="s">
        <v>608</v>
      </c>
      <c r="G5912" s="64" t="n">
        <v>300</v>
      </c>
      <c r="H5912" s="62" t="s">
        <v>42</v>
      </c>
    </row>
    <row r="5913" customFormat="false" ht="15" hidden="false" customHeight="false" outlineLevel="0" collapsed="false">
      <c r="A5913" s="62" t="n">
        <v>1</v>
      </c>
      <c r="B5913" s="62" t="s">
        <v>381</v>
      </c>
      <c r="C5913" s="62" t="s">
        <v>60</v>
      </c>
      <c r="D5913" s="62" t="s">
        <v>382</v>
      </c>
      <c r="E5913" s="62" t="s">
        <v>382</v>
      </c>
      <c r="F5913" s="63" t="s">
        <v>607</v>
      </c>
      <c r="G5913" s="64" t="n">
        <v>426.066</v>
      </c>
      <c r="H5913" s="62" t="s">
        <v>42</v>
      </c>
    </row>
    <row r="5914" customFormat="false" ht="15" hidden="false" customHeight="false" outlineLevel="0" collapsed="false">
      <c r="A5914" s="62" t="n">
        <v>1</v>
      </c>
      <c r="B5914" s="62" t="s">
        <v>383</v>
      </c>
      <c r="C5914" s="62" t="s">
        <v>60</v>
      </c>
      <c r="D5914" s="62" t="s">
        <v>382</v>
      </c>
      <c r="E5914" s="62" t="s">
        <v>382</v>
      </c>
      <c r="F5914" s="63" t="s">
        <v>841</v>
      </c>
      <c r="G5914" s="64" t="n">
        <v>455.868</v>
      </c>
      <c r="H5914" s="62" t="s">
        <v>42</v>
      </c>
    </row>
    <row r="5915" customFormat="false" ht="15" hidden="false" customHeight="false" outlineLevel="0" collapsed="false">
      <c r="A5915" s="62" t="n">
        <v>1</v>
      </c>
      <c r="B5915" s="62" t="s">
        <v>384</v>
      </c>
      <c r="C5915" s="62" t="s">
        <v>60</v>
      </c>
      <c r="D5915" s="62" t="s">
        <v>382</v>
      </c>
      <c r="E5915" s="62" t="s">
        <v>382</v>
      </c>
      <c r="F5915" s="63" t="s">
        <v>607</v>
      </c>
      <c r="G5915" s="64" t="n">
        <v>447.115</v>
      </c>
      <c r="H5915" s="62" t="s">
        <v>42</v>
      </c>
    </row>
    <row r="5916" customFormat="false" ht="15" hidden="false" customHeight="false" outlineLevel="0" collapsed="false">
      <c r="A5916" s="62" t="n">
        <v>1</v>
      </c>
      <c r="B5916" s="62" t="s">
        <v>385</v>
      </c>
      <c r="C5916" s="62" t="s">
        <v>60</v>
      </c>
      <c r="D5916" s="62" t="s">
        <v>382</v>
      </c>
      <c r="E5916" s="62" t="s">
        <v>382</v>
      </c>
      <c r="F5916" s="63" t="s">
        <v>607</v>
      </c>
      <c r="G5916" s="64" t="n">
        <v>288.63</v>
      </c>
      <c r="H5916" s="62" t="s">
        <v>42</v>
      </c>
    </row>
    <row r="5917" customFormat="false" ht="15" hidden="false" customHeight="false" outlineLevel="0" collapsed="false">
      <c r="A5917" s="62" t="n">
        <v>1</v>
      </c>
      <c r="B5917" s="62" t="s">
        <v>387</v>
      </c>
      <c r="C5917" s="62" t="s">
        <v>60</v>
      </c>
      <c r="D5917" s="62" t="s">
        <v>382</v>
      </c>
      <c r="E5917" s="62" t="s">
        <v>382</v>
      </c>
      <c r="F5917" s="63" t="s">
        <v>607</v>
      </c>
      <c r="G5917" s="64" t="n">
        <v>443.031</v>
      </c>
      <c r="H5917" s="62" t="s">
        <v>42</v>
      </c>
    </row>
    <row r="5918" customFormat="false" ht="15" hidden="false" customHeight="false" outlineLevel="0" collapsed="false">
      <c r="A5918" s="62" t="n">
        <v>1</v>
      </c>
      <c r="B5918" s="62" t="s">
        <v>381</v>
      </c>
      <c r="C5918" s="62" t="s">
        <v>60</v>
      </c>
      <c r="D5918" s="62" t="s">
        <v>382</v>
      </c>
      <c r="E5918" s="62" t="s">
        <v>382</v>
      </c>
      <c r="F5918" s="63" t="s">
        <v>608</v>
      </c>
      <c r="G5918" s="64" t="n">
        <v>84.891</v>
      </c>
      <c r="H5918" s="62" t="s">
        <v>42</v>
      </c>
    </row>
    <row r="5919" customFormat="false" ht="15" hidden="false" customHeight="false" outlineLevel="0" collapsed="false">
      <c r="A5919" s="62" t="n">
        <v>1</v>
      </c>
      <c r="B5919" s="62" t="s">
        <v>383</v>
      </c>
      <c r="C5919" s="62" t="s">
        <v>60</v>
      </c>
      <c r="D5919" s="62" t="s">
        <v>382</v>
      </c>
      <c r="E5919" s="62" t="s">
        <v>382</v>
      </c>
      <c r="F5919" s="63" t="s">
        <v>842</v>
      </c>
      <c r="G5919" s="64" t="n">
        <v>474.106</v>
      </c>
      <c r="H5919" s="62" t="s">
        <v>42</v>
      </c>
    </row>
    <row r="5920" customFormat="false" ht="15" hidden="false" customHeight="false" outlineLevel="0" collapsed="false">
      <c r="A5920" s="62" t="n">
        <v>1</v>
      </c>
      <c r="B5920" s="62" t="s">
        <v>384</v>
      </c>
      <c r="C5920" s="62" t="s">
        <v>60</v>
      </c>
      <c r="D5920" s="62" t="s">
        <v>382</v>
      </c>
      <c r="E5920" s="62" t="s">
        <v>382</v>
      </c>
      <c r="F5920" s="63" t="s">
        <v>608</v>
      </c>
      <c r="G5920" s="64" t="n">
        <v>464.756</v>
      </c>
      <c r="H5920" s="62" t="s">
        <v>42</v>
      </c>
    </row>
    <row r="5921" customFormat="false" ht="15" hidden="false" customHeight="false" outlineLevel="0" collapsed="false">
      <c r="A5921" s="62" t="n">
        <v>1</v>
      </c>
      <c r="B5921" s="62" t="s">
        <v>385</v>
      </c>
      <c r="C5921" s="62" t="s">
        <v>60</v>
      </c>
      <c r="D5921" s="62" t="s">
        <v>382</v>
      </c>
      <c r="E5921" s="62" t="s">
        <v>382</v>
      </c>
      <c r="F5921" s="63" t="s">
        <v>608</v>
      </c>
      <c r="G5921" s="64" t="n">
        <v>0</v>
      </c>
      <c r="H5921" s="62" t="s">
        <v>42</v>
      </c>
    </row>
    <row r="5922" customFormat="false" ht="15" hidden="false" customHeight="false" outlineLevel="0" collapsed="false">
      <c r="A5922" s="62" t="n">
        <v>1</v>
      </c>
      <c r="B5922" s="62" t="s">
        <v>386</v>
      </c>
      <c r="C5922" s="62" t="s">
        <v>60</v>
      </c>
      <c r="D5922" s="62" t="s">
        <v>382</v>
      </c>
      <c r="E5922" s="62" t="s">
        <v>382</v>
      </c>
      <c r="F5922" s="63" t="s">
        <v>608</v>
      </c>
      <c r="G5922" s="64" t="n">
        <v>219.076</v>
      </c>
      <c r="H5922" s="62" t="s">
        <v>42</v>
      </c>
    </row>
    <row r="5923" customFormat="false" ht="15" hidden="false" customHeight="false" outlineLevel="0" collapsed="false">
      <c r="A5923" s="62" t="n">
        <v>1</v>
      </c>
      <c r="B5923" s="62" t="s">
        <v>387</v>
      </c>
      <c r="C5923" s="62" t="s">
        <v>60</v>
      </c>
      <c r="D5923" s="62" t="s">
        <v>382</v>
      </c>
      <c r="E5923" s="62" t="s">
        <v>382</v>
      </c>
      <c r="F5923" s="63" t="s">
        <v>608</v>
      </c>
      <c r="G5923" s="64" t="n">
        <v>115.9</v>
      </c>
      <c r="H5923" s="62" t="s">
        <v>42</v>
      </c>
    </row>
    <row r="5924" customFormat="false" ht="15" hidden="false" customHeight="false" outlineLevel="0" collapsed="false">
      <c r="A5924" s="62" t="n">
        <v>1</v>
      </c>
      <c r="B5924" s="62" t="s">
        <v>381</v>
      </c>
      <c r="C5924" s="62" t="s">
        <v>60</v>
      </c>
      <c r="D5924" s="62" t="s">
        <v>382</v>
      </c>
      <c r="E5924" s="62" t="s">
        <v>382</v>
      </c>
      <c r="F5924" s="63" t="s">
        <v>609</v>
      </c>
      <c r="G5924" s="64" t="n">
        <v>0</v>
      </c>
      <c r="H5924" s="62"/>
    </row>
    <row r="5925" customFormat="false" ht="15" hidden="false" customHeight="false" outlineLevel="0" collapsed="false">
      <c r="A5925" s="62" t="n">
        <v>1</v>
      </c>
      <c r="B5925" s="62" t="s">
        <v>383</v>
      </c>
      <c r="C5925" s="62" t="s">
        <v>60</v>
      </c>
      <c r="D5925" s="62" t="s">
        <v>382</v>
      </c>
      <c r="E5925" s="62" t="s">
        <v>382</v>
      </c>
      <c r="F5925" s="63" t="s">
        <v>609</v>
      </c>
      <c r="G5925" s="64" t="n">
        <v>0</v>
      </c>
      <c r="H5925" s="62"/>
    </row>
    <row r="5926" customFormat="false" ht="15" hidden="false" customHeight="false" outlineLevel="0" collapsed="false">
      <c r="A5926" s="62" t="n">
        <v>1</v>
      </c>
      <c r="B5926" s="62" t="s">
        <v>384</v>
      </c>
      <c r="C5926" s="62" t="s">
        <v>60</v>
      </c>
      <c r="D5926" s="62" t="s">
        <v>382</v>
      </c>
      <c r="E5926" s="62" t="s">
        <v>382</v>
      </c>
      <c r="F5926" s="63" t="s">
        <v>609</v>
      </c>
      <c r="G5926" s="64" t="n">
        <v>0</v>
      </c>
      <c r="H5926" s="62"/>
    </row>
    <row r="5927" customFormat="false" ht="15" hidden="false" customHeight="false" outlineLevel="0" collapsed="false">
      <c r="A5927" s="62" t="n">
        <v>1</v>
      </c>
      <c r="B5927" s="62" t="s">
        <v>385</v>
      </c>
      <c r="C5927" s="62" t="s">
        <v>60</v>
      </c>
      <c r="D5927" s="62" t="s">
        <v>382</v>
      </c>
      <c r="E5927" s="62" t="s">
        <v>382</v>
      </c>
      <c r="F5927" s="63" t="s">
        <v>609</v>
      </c>
      <c r="G5927" s="64" t="n">
        <v>0</v>
      </c>
      <c r="H5927" s="62"/>
    </row>
    <row r="5928" customFormat="false" ht="15" hidden="false" customHeight="false" outlineLevel="0" collapsed="false">
      <c r="A5928" s="62" t="n">
        <v>1</v>
      </c>
      <c r="B5928" s="62" t="s">
        <v>386</v>
      </c>
      <c r="C5928" s="62" t="s">
        <v>60</v>
      </c>
      <c r="D5928" s="62" t="s">
        <v>382</v>
      </c>
      <c r="E5928" s="62" t="s">
        <v>382</v>
      </c>
      <c r="F5928" s="63" t="s">
        <v>609</v>
      </c>
      <c r="G5928" s="64" t="n">
        <v>0</v>
      </c>
      <c r="H5928" s="62"/>
    </row>
    <row r="5929" customFormat="false" ht="15" hidden="false" customHeight="false" outlineLevel="0" collapsed="false">
      <c r="A5929" s="62" t="n">
        <v>1</v>
      </c>
      <c r="B5929" s="62" t="s">
        <v>387</v>
      </c>
      <c r="C5929" s="62" t="s">
        <v>60</v>
      </c>
      <c r="D5929" s="62" t="s">
        <v>382</v>
      </c>
      <c r="E5929" s="62" t="s">
        <v>382</v>
      </c>
      <c r="F5929" s="63" t="s">
        <v>609</v>
      </c>
      <c r="G5929" s="64" t="n">
        <v>0</v>
      </c>
      <c r="H5929" s="62"/>
    </row>
    <row r="5930" customFormat="false" ht="15" hidden="false" customHeight="false" outlineLevel="0" collapsed="false">
      <c r="A5930" s="62" t="n">
        <v>1</v>
      </c>
      <c r="B5930" s="62" t="s">
        <v>388</v>
      </c>
      <c r="C5930" s="62" t="s">
        <v>60</v>
      </c>
      <c r="D5930" s="62" t="s">
        <v>382</v>
      </c>
      <c r="E5930" s="62" t="s">
        <v>382</v>
      </c>
      <c r="F5930" s="63" t="s">
        <v>609</v>
      </c>
      <c r="G5930" s="64" t="n">
        <v>0</v>
      </c>
      <c r="H5930" s="62"/>
    </row>
    <row r="5931" customFormat="false" ht="15" hidden="false" customHeight="false" outlineLevel="0" collapsed="false">
      <c r="A5931" s="62" t="n">
        <v>1</v>
      </c>
      <c r="B5931" s="62" t="s">
        <v>381</v>
      </c>
      <c r="C5931" s="62" t="s">
        <v>60</v>
      </c>
      <c r="D5931" s="62" t="s">
        <v>382</v>
      </c>
      <c r="E5931" s="62" t="s">
        <v>382</v>
      </c>
      <c r="F5931" s="63" t="s">
        <v>843</v>
      </c>
      <c r="G5931" s="64" t="n">
        <v>0</v>
      </c>
      <c r="H5931" s="62"/>
    </row>
    <row r="5932" customFormat="false" ht="15" hidden="false" customHeight="false" outlineLevel="0" collapsed="false">
      <c r="A5932" s="62" t="n">
        <v>1</v>
      </c>
      <c r="B5932" s="62" t="s">
        <v>383</v>
      </c>
      <c r="C5932" s="62" t="s">
        <v>60</v>
      </c>
      <c r="D5932" s="62" t="s">
        <v>382</v>
      </c>
      <c r="E5932" s="62" t="s">
        <v>382</v>
      </c>
      <c r="F5932" s="63" t="s">
        <v>843</v>
      </c>
      <c r="G5932" s="64" t="n">
        <v>0</v>
      </c>
      <c r="H5932" s="62"/>
    </row>
    <row r="5933" customFormat="false" ht="15" hidden="false" customHeight="false" outlineLevel="0" collapsed="false">
      <c r="A5933" s="62" t="n">
        <v>1</v>
      </c>
      <c r="B5933" s="62" t="s">
        <v>387</v>
      </c>
      <c r="C5933" s="62" t="s">
        <v>60</v>
      </c>
      <c r="D5933" s="62" t="s">
        <v>382</v>
      </c>
      <c r="E5933" s="62" t="s">
        <v>382</v>
      </c>
      <c r="F5933" s="63" t="s">
        <v>843</v>
      </c>
      <c r="G5933" s="64" t="n">
        <v>0</v>
      </c>
      <c r="H5933" s="62"/>
    </row>
    <row r="5934" customFormat="false" ht="15" hidden="false" customHeight="false" outlineLevel="0" collapsed="false">
      <c r="A5934" s="62" t="n">
        <v>1</v>
      </c>
      <c r="B5934" s="62" t="s">
        <v>388</v>
      </c>
      <c r="C5934" s="62" t="s">
        <v>60</v>
      </c>
      <c r="D5934" s="62" t="s">
        <v>382</v>
      </c>
      <c r="E5934" s="62" t="s">
        <v>382</v>
      </c>
      <c r="F5934" s="63" t="s">
        <v>843</v>
      </c>
      <c r="G5934" s="64" t="n">
        <v>0</v>
      </c>
      <c r="H5934" s="62"/>
    </row>
    <row r="5935" customFormat="false" ht="15" hidden="false" customHeight="false" outlineLevel="0" collapsed="false">
      <c r="A5935" s="62" t="n">
        <v>1</v>
      </c>
      <c r="B5935" s="62" t="s">
        <v>381</v>
      </c>
      <c r="C5935" s="62" t="s">
        <v>60</v>
      </c>
      <c r="D5935" s="62" t="s">
        <v>382</v>
      </c>
      <c r="E5935" s="62" t="s">
        <v>382</v>
      </c>
      <c r="F5935" s="63" t="s">
        <v>610</v>
      </c>
      <c r="G5935" s="64" t="n">
        <v>0</v>
      </c>
      <c r="H5935" s="62"/>
    </row>
    <row r="5936" customFormat="false" ht="15" hidden="false" customHeight="false" outlineLevel="0" collapsed="false">
      <c r="A5936" s="62" t="n">
        <v>1</v>
      </c>
      <c r="B5936" s="62" t="s">
        <v>383</v>
      </c>
      <c r="C5936" s="62" t="s">
        <v>60</v>
      </c>
      <c r="D5936" s="62" t="s">
        <v>382</v>
      </c>
      <c r="E5936" s="62" t="s">
        <v>382</v>
      </c>
      <c r="F5936" s="63" t="s">
        <v>610</v>
      </c>
      <c r="G5936" s="64" t="n">
        <v>0</v>
      </c>
      <c r="H5936" s="62"/>
    </row>
    <row r="5937" customFormat="false" ht="15" hidden="false" customHeight="false" outlineLevel="0" collapsed="false">
      <c r="A5937" s="62" t="n">
        <v>1</v>
      </c>
      <c r="B5937" s="62" t="s">
        <v>384</v>
      </c>
      <c r="C5937" s="62" t="s">
        <v>60</v>
      </c>
      <c r="D5937" s="62" t="s">
        <v>382</v>
      </c>
      <c r="E5937" s="62" t="s">
        <v>382</v>
      </c>
      <c r="F5937" s="63" t="s">
        <v>610</v>
      </c>
      <c r="G5937" s="64" t="n">
        <v>0</v>
      </c>
      <c r="H5937" s="62"/>
    </row>
    <row r="5938" customFormat="false" ht="15" hidden="false" customHeight="false" outlineLevel="0" collapsed="false">
      <c r="A5938" s="62" t="n">
        <v>1</v>
      </c>
      <c r="B5938" s="62" t="s">
        <v>385</v>
      </c>
      <c r="C5938" s="62" t="s">
        <v>60</v>
      </c>
      <c r="D5938" s="62" t="s">
        <v>382</v>
      </c>
      <c r="E5938" s="62" t="s">
        <v>382</v>
      </c>
      <c r="F5938" s="63" t="s">
        <v>610</v>
      </c>
      <c r="G5938" s="64" t="n">
        <v>0</v>
      </c>
      <c r="H5938" s="62"/>
    </row>
    <row r="5939" customFormat="false" ht="15" hidden="false" customHeight="false" outlineLevel="0" collapsed="false">
      <c r="A5939" s="62" t="n">
        <v>1</v>
      </c>
      <c r="B5939" s="62" t="s">
        <v>386</v>
      </c>
      <c r="C5939" s="62" t="s">
        <v>60</v>
      </c>
      <c r="D5939" s="62" t="s">
        <v>382</v>
      </c>
      <c r="E5939" s="62" t="s">
        <v>382</v>
      </c>
      <c r="F5939" s="63" t="s">
        <v>610</v>
      </c>
      <c r="G5939" s="64" t="n">
        <v>0</v>
      </c>
      <c r="H5939" s="62"/>
    </row>
    <row r="5940" customFormat="false" ht="15" hidden="false" customHeight="false" outlineLevel="0" collapsed="false">
      <c r="A5940" s="62" t="n">
        <v>1</v>
      </c>
      <c r="B5940" s="62" t="s">
        <v>387</v>
      </c>
      <c r="C5940" s="62" t="s">
        <v>60</v>
      </c>
      <c r="D5940" s="62" t="s">
        <v>382</v>
      </c>
      <c r="E5940" s="62" t="s">
        <v>382</v>
      </c>
      <c r="F5940" s="63" t="s">
        <v>610</v>
      </c>
      <c r="G5940" s="64" t="n">
        <v>0</v>
      </c>
      <c r="H5940" s="62"/>
    </row>
    <row r="5941" customFormat="false" ht="15" hidden="false" customHeight="false" outlineLevel="0" collapsed="false">
      <c r="A5941" s="62" t="n">
        <v>1</v>
      </c>
      <c r="B5941" s="62" t="s">
        <v>388</v>
      </c>
      <c r="C5941" s="62" t="s">
        <v>60</v>
      </c>
      <c r="D5941" s="62" t="s">
        <v>382</v>
      </c>
      <c r="E5941" s="62" t="s">
        <v>382</v>
      </c>
      <c r="F5941" s="63" t="s">
        <v>610</v>
      </c>
      <c r="G5941" s="64" t="n">
        <v>0</v>
      </c>
      <c r="H5941" s="62"/>
    </row>
    <row r="5942" customFormat="false" ht="15" hidden="false" customHeight="false" outlineLevel="0" collapsed="false">
      <c r="A5942" s="62" t="n">
        <v>1</v>
      </c>
      <c r="B5942" s="62" t="s">
        <v>381</v>
      </c>
      <c r="C5942" s="62" t="s">
        <v>60</v>
      </c>
      <c r="D5942" s="62" t="s">
        <v>382</v>
      </c>
      <c r="E5942" s="62" t="s">
        <v>382</v>
      </c>
      <c r="F5942" s="63" t="s">
        <v>611</v>
      </c>
      <c r="G5942" s="64" t="n">
        <v>1908.40048984688</v>
      </c>
      <c r="H5942" s="62"/>
    </row>
    <row r="5943" customFormat="false" ht="15" hidden="false" customHeight="false" outlineLevel="0" collapsed="false">
      <c r="A5943" s="62" t="n">
        <v>1</v>
      </c>
      <c r="B5943" s="62" t="s">
        <v>383</v>
      </c>
      <c r="C5943" s="62" t="s">
        <v>60</v>
      </c>
      <c r="D5943" s="62" t="s">
        <v>382</v>
      </c>
      <c r="E5943" s="62" t="s">
        <v>382</v>
      </c>
      <c r="F5943" s="63" t="s">
        <v>611</v>
      </c>
      <c r="G5943" s="64" t="n">
        <v>1856.56313008297</v>
      </c>
      <c r="H5943" s="62"/>
    </row>
    <row r="5944" customFormat="false" ht="15" hidden="false" customHeight="false" outlineLevel="0" collapsed="false">
      <c r="A5944" s="62" t="n">
        <v>1</v>
      </c>
      <c r="B5944" s="62" t="s">
        <v>384</v>
      </c>
      <c r="C5944" s="62" t="s">
        <v>60</v>
      </c>
      <c r="D5944" s="62" t="s">
        <v>382</v>
      </c>
      <c r="E5944" s="62" t="s">
        <v>382</v>
      </c>
      <c r="F5944" s="63" t="s">
        <v>611</v>
      </c>
      <c r="G5944" s="64" t="n">
        <v>1718.51860018684</v>
      </c>
      <c r="H5944" s="62"/>
    </row>
    <row r="5945" customFormat="false" ht="15" hidden="false" customHeight="false" outlineLevel="0" collapsed="false">
      <c r="A5945" s="62" t="n">
        <v>1</v>
      </c>
      <c r="B5945" s="62" t="s">
        <v>385</v>
      </c>
      <c r="C5945" s="62" t="s">
        <v>60</v>
      </c>
      <c r="D5945" s="62" t="s">
        <v>382</v>
      </c>
      <c r="E5945" s="62" t="s">
        <v>382</v>
      </c>
      <c r="F5945" s="63" t="s">
        <v>611</v>
      </c>
      <c r="G5945" s="64" t="n">
        <v>2965.45358344515</v>
      </c>
      <c r="H5945" s="62"/>
    </row>
    <row r="5946" customFormat="false" ht="15" hidden="false" customHeight="false" outlineLevel="0" collapsed="false">
      <c r="A5946" s="62" t="n">
        <v>1</v>
      </c>
      <c r="B5946" s="62" t="s">
        <v>386</v>
      </c>
      <c r="C5946" s="62" t="s">
        <v>60</v>
      </c>
      <c r="D5946" s="62" t="s">
        <v>382</v>
      </c>
      <c r="E5946" s="62" t="s">
        <v>382</v>
      </c>
      <c r="F5946" s="63" t="s">
        <v>611</v>
      </c>
      <c r="G5946" s="64" t="n">
        <v>1510.63234614872</v>
      </c>
      <c r="H5946" s="62"/>
    </row>
    <row r="5947" customFormat="false" ht="15" hidden="false" customHeight="false" outlineLevel="0" collapsed="false">
      <c r="A5947" s="62" t="n">
        <v>1</v>
      </c>
      <c r="B5947" s="62" t="s">
        <v>387</v>
      </c>
      <c r="C5947" s="62" t="s">
        <v>60</v>
      </c>
      <c r="D5947" s="62" t="s">
        <v>382</v>
      </c>
      <c r="E5947" s="62" t="s">
        <v>382</v>
      </c>
      <c r="F5947" s="63" t="s">
        <v>611</v>
      </c>
      <c r="G5947" s="64" t="n">
        <v>2964.51378481429</v>
      </c>
      <c r="H5947" s="62"/>
    </row>
    <row r="5948" customFormat="false" ht="15" hidden="false" customHeight="false" outlineLevel="0" collapsed="false">
      <c r="A5948" s="62" t="n">
        <v>1</v>
      </c>
      <c r="B5948" s="62" t="s">
        <v>381</v>
      </c>
      <c r="C5948" s="62" t="s">
        <v>60</v>
      </c>
      <c r="D5948" s="62" t="s">
        <v>382</v>
      </c>
      <c r="E5948" s="62" t="s">
        <v>382</v>
      </c>
      <c r="F5948" s="63" t="s">
        <v>844</v>
      </c>
      <c r="G5948" s="64" t="n">
        <v>2575.82102809017</v>
      </c>
      <c r="H5948" s="62"/>
    </row>
    <row r="5949" customFormat="false" ht="15" hidden="false" customHeight="false" outlineLevel="0" collapsed="false">
      <c r="A5949" s="62" t="n">
        <v>1</v>
      </c>
      <c r="B5949" s="62" t="s">
        <v>383</v>
      </c>
      <c r="C5949" s="62" t="s">
        <v>60</v>
      </c>
      <c r="D5949" s="62" t="s">
        <v>382</v>
      </c>
      <c r="E5949" s="62" t="s">
        <v>382</v>
      </c>
      <c r="F5949" s="63" t="s">
        <v>844</v>
      </c>
      <c r="G5949" s="64" t="n">
        <v>2737.14736173661</v>
      </c>
      <c r="H5949" s="62"/>
    </row>
    <row r="5950" customFormat="false" ht="15" hidden="false" customHeight="false" outlineLevel="0" collapsed="false">
      <c r="A5950" s="62" t="n">
        <v>1</v>
      </c>
      <c r="B5950" s="62" t="s">
        <v>387</v>
      </c>
      <c r="C5950" s="62" t="s">
        <v>60</v>
      </c>
      <c r="D5950" s="62" t="s">
        <v>382</v>
      </c>
      <c r="E5950" s="62" t="s">
        <v>382</v>
      </c>
      <c r="F5950" s="63" t="s">
        <v>844</v>
      </c>
      <c r="G5950" s="64" t="n">
        <v>5505.22248152885</v>
      </c>
      <c r="H5950" s="62"/>
    </row>
    <row r="5951" customFormat="false" ht="15" hidden="false" customHeight="false" outlineLevel="0" collapsed="false">
      <c r="A5951" s="62" t="n">
        <v>1</v>
      </c>
      <c r="B5951" s="62" t="s">
        <v>381</v>
      </c>
      <c r="C5951" s="62" t="s">
        <v>60</v>
      </c>
      <c r="D5951" s="62" t="s">
        <v>382</v>
      </c>
      <c r="E5951" s="62" t="s">
        <v>382</v>
      </c>
      <c r="F5951" s="63" t="s">
        <v>612</v>
      </c>
      <c r="G5951" s="64" t="n">
        <v>2270.82873649819</v>
      </c>
      <c r="H5951" s="62"/>
    </row>
    <row r="5952" customFormat="false" ht="15" hidden="false" customHeight="false" outlineLevel="0" collapsed="false">
      <c r="A5952" s="62" t="n">
        <v>1</v>
      </c>
      <c r="B5952" s="62" t="s">
        <v>383</v>
      </c>
      <c r="C5952" s="62" t="s">
        <v>60</v>
      </c>
      <c r="D5952" s="62" t="s">
        <v>382</v>
      </c>
      <c r="E5952" s="62" t="s">
        <v>382</v>
      </c>
      <c r="F5952" s="63" t="s">
        <v>612</v>
      </c>
      <c r="G5952" s="64" t="n">
        <v>2085.32102991323</v>
      </c>
      <c r="H5952" s="62"/>
    </row>
    <row r="5953" customFormat="false" ht="15" hidden="false" customHeight="false" outlineLevel="0" collapsed="false">
      <c r="A5953" s="62" t="n">
        <v>1</v>
      </c>
      <c r="B5953" s="62" t="s">
        <v>384</v>
      </c>
      <c r="C5953" s="62" t="s">
        <v>60</v>
      </c>
      <c r="D5953" s="62" t="s">
        <v>382</v>
      </c>
      <c r="E5953" s="62" t="s">
        <v>382</v>
      </c>
      <c r="F5953" s="63" t="s">
        <v>612</v>
      </c>
      <c r="G5953" s="64" t="n">
        <v>1718.51860018684</v>
      </c>
      <c r="H5953" s="62"/>
    </row>
    <row r="5954" customFormat="false" ht="15" hidden="false" customHeight="false" outlineLevel="0" collapsed="false">
      <c r="A5954" s="62" t="n">
        <v>1</v>
      </c>
      <c r="B5954" s="62" t="s">
        <v>385</v>
      </c>
      <c r="C5954" s="62" t="s">
        <v>60</v>
      </c>
      <c r="D5954" s="62" t="s">
        <v>382</v>
      </c>
      <c r="E5954" s="62" t="s">
        <v>382</v>
      </c>
      <c r="F5954" s="63" t="s">
        <v>612</v>
      </c>
      <c r="G5954" s="64" t="n">
        <v>2965.45358344515</v>
      </c>
      <c r="H5954" s="62"/>
    </row>
    <row r="5955" customFormat="false" ht="15" hidden="false" customHeight="false" outlineLevel="0" collapsed="false">
      <c r="A5955" s="62" t="n">
        <v>1</v>
      </c>
      <c r="B5955" s="62" t="s">
        <v>386</v>
      </c>
      <c r="C5955" s="62" t="s">
        <v>60</v>
      </c>
      <c r="D5955" s="62" t="s">
        <v>382</v>
      </c>
      <c r="E5955" s="62" t="s">
        <v>382</v>
      </c>
      <c r="F5955" s="63" t="s">
        <v>612</v>
      </c>
      <c r="G5955" s="64" t="n">
        <v>1510.63234614872</v>
      </c>
      <c r="H5955" s="62"/>
    </row>
    <row r="5956" customFormat="false" ht="15" hidden="false" customHeight="false" outlineLevel="0" collapsed="false">
      <c r="A5956" s="62" t="n">
        <v>1</v>
      </c>
      <c r="B5956" s="62" t="s">
        <v>387</v>
      </c>
      <c r="C5956" s="62" t="s">
        <v>60</v>
      </c>
      <c r="D5956" s="62" t="s">
        <v>382</v>
      </c>
      <c r="E5956" s="62" t="s">
        <v>382</v>
      </c>
      <c r="F5956" s="63" t="s">
        <v>612</v>
      </c>
      <c r="G5956" s="64" t="n">
        <v>3158.31589858473</v>
      </c>
      <c r="H5956" s="62"/>
    </row>
    <row r="5957" customFormat="false" ht="15" hidden="false" customHeight="false" outlineLevel="0" collapsed="false">
      <c r="A5957" s="62" t="n">
        <v>1</v>
      </c>
      <c r="B5957" s="62" t="s">
        <v>381</v>
      </c>
      <c r="C5957" s="62" t="s">
        <v>60</v>
      </c>
      <c r="D5957" s="62" t="s">
        <v>382</v>
      </c>
      <c r="E5957" s="62" t="s">
        <v>382</v>
      </c>
      <c r="F5957" s="63" t="s">
        <v>613</v>
      </c>
      <c r="G5957" s="64" t="n">
        <v>12481.4650108142</v>
      </c>
      <c r="H5957" s="62"/>
    </row>
    <row r="5958" customFormat="false" ht="15" hidden="false" customHeight="false" outlineLevel="0" collapsed="false">
      <c r="A5958" s="62" t="n">
        <v>1</v>
      </c>
      <c r="B5958" s="62" t="s">
        <v>383</v>
      </c>
      <c r="C5958" s="62" t="s">
        <v>60</v>
      </c>
      <c r="D5958" s="62" t="s">
        <v>382</v>
      </c>
      <c r="E5958" s="62" t="s">
        <v>382</v>
      </c>
      <c r="F5958" s="63" t="s">
        <v>613</v>
      </c>
      <c r="G5958" s="64" t="n">
        <v>12575.6417087049</v>
      </c>
      <c r="H5958" s="62"/>
    </row>
    <row r="5959" customFormat="false" ht="15" hidden="false" customHeight="false" outlineLevel="0" collapsed="false">
      <c r="A5959" s="62" t="n">
        <v>1</v>
      </c>
      <c r="B5959" s="62" t="s">
        <v>384</v>
      </c>
      <c r="C5959" s="62" t="s">
        <v>60</v>
      </c>
      <c r="D5959" s="62" t="s">
        <v>382</v>
      </c>
      <c r="E5959" s="62" t="s">
        <v>382</v>
      </c>
      <c r="F5959" s="63" t="s">
        <v>613</v>
      </c>
      <c r="G5959" s="64" t="n">
        <v>11518.1119518798</v>
      </c>
      <c r="H5959" s="62"/>
    </row>
    <row r="5960" customFormat="false" ht="15" hidden="false" customHeight="false" outlineLevel="0" collapsed="false">
      <c r="A5960" s="62" t="n">
        <v>1</v>
      </c>
      <c r="B5960" s="62" t="s">
        <v>385</v>
      </c>
      <c r="C5960" s="62" t="s">
        <v>60</v>
      </c>
      <c r="D5960" s="62" t="s">
        <v>382</v>
      </c>
      <c r="E5960" s="62" t="s">
        <v>382</v>
      </c>
      <c r="F5960" s="63" t="s">
        <v>613</v>
      </c>
      <c r="G5960" s="64" t="n">
        <v>12072.9978961876</v>
      </c>
      <c r="H5960" s="62"/>
    </row>
    <row r="5961" customFormat="false" ht="15" hidden="false" customHeight="false" outlineLevel="0" collapsed="false">
      <c r="A5961" s="62" t="n">
        <v>1</v>
      </c>
      <c r="B5961" s="62" t="s">
        <v>386</v>
      </c>
      <c r="C5961" s="62" t="s">
        <v>60</v>
      </c>
      <c r="D5961" s="62" t="s">
        <v>382</v>
      </c>
      <c r="E5961" s="62" t="s">
        <v>382</v>
      </c>
      <c r="F5961" s="63" t="s">
        <v>613</v>
      </c>
      <c r="G5961" s="64" t="n">
        <v>12274.497888083</v>
      </c>
      <c r="H5961" s="62"/>
    </row>
    <row r="5962" customFormat="false" ht="15" hidden="false" customHeight="false" outlineLevel="0" collapsed="false">
      <c r="A5962" s="62" t="n">
        <v>1</v>
      </c>
      <c r="B5962" s="62" t="s">
        <v>387</v>
      </c>
      <c r="C5962" s="62" t="s">
        <v>60</v>
      </c>
      <c r="D5962" s="62" t="s">
        <v>382</v>
      </c>
      <c r="E5962" s="62" t="s">
        <v>382</v>
      </c>
      <c r="F5962" s="63" t="s">
        <v>613</v>
      </c>
      <c r="G5962" s="64" t="n">
        <v>13019.2992977367</v>
      </c>
      <c r="H5962" s="62"/>
    </row>
    <row r="5963" customFormat="false" ht="15" hidden="false" customHeight="false" outlineLevel="0" collapsed="false">
      <c r="A5963" s="62" t="n">
        <v>1</v>
      </c>
      <c r="B5963" s="62" t="s">
        <v>388</v>
      </c>
      <c r="C5963" s="62" t="s">
        <v>60</v>
      </c>
      <c r="D5963" s="62" t="s">
        <v>382</v>
      </c>
      <c r="E5963" s="62" t="s">
        <v>382</v>
      </c>
      <c r="F5963" s="63" t="s">
        <v>611</v>
      </c>
      <c r="G5963" s="64" t="n">
        <v>11417.0586117516</v>
      </c>
      <c r="H5963" s="62"/>
    </row>
    <row r="5964" customFormat="false" ht="15" hidden="false" customHeight="false" outlineLevel="0" collapsed="false">
      <c r="A5964" s="62" t="n">
        <v>1</v>
      </c>
      <c r="B5964" s="62" t="s">
        <v>381</v>
      </c>
      <c r="C5964" s="62" t="s">
        <v>60</v>
      </c>
      <c r="D5964" s="62" t="s">
        <v>382</v>
      </c>
      <c r="E5964" s="62" t="s">
        <v>382</v>
      </c>
      <c r="F5964" s="63" t="s">
        <v>845</v>
      </c>
      <c r="G5964" s="64" t="n">
        <v>21983.4482711627</v>
      </c>
      <c r="H5964" s="62"/>
    </row>
    <row r="5965" customFormat="false" ht="15" hidden="false" customHeight="false" outlineLevel="0" collapsed="false">
      <c r="A5965" s="62" t="n">
        <v>1</v>
      </c>
      <c r="B5965" s="62" t="s">
        <v>383</v>
      </c>
      <c r="C5965" s="62" t="s">
        <v>60</v>
      </c>
      <c r="D5965" s="62" t="s">
        <v>382</v>
      </c>
      <c r="E5965" s="62" t="s">
        <v>382</v>
      </c>
      <c r="F5965" s="63" t="s">
        <v>845</v>
      </c>
      <c r="G5965" s="64" t="n">
        <v>24250.1089956891</v>
      </c>
      <c r="H5965" s="62"/>
    </row>
    <row r="5966" customFormat="false" ht="15" hidden="false" customHeight="false" outlineLevel="0" collapsed="false">
      <c r="A5966" s="62" t="n">
        <v>1</v>
      </c>
      <c r="B5966" s="62" t="s">
        <v>387</v>
      </c>
      <c r="C5966" s="62" t="s">
        <v>60</v>
      </c>
      <c r="D5966" s="62" t="s">
        <v>382</v>
      </c>
      <c r="E5966" s="62" t="s">
        <v>382</v>
      </c>
      <c r="F5966" s="63" t="s">
        <v>845</v>
      </c>
      <c r="G5966" s="64" t="n">
        <v>25401.1124076443</v>
      </c>
      <c r="H5966" s="62"/>
    </row>
    <row r="5967" customFormat="false" ht="15" hidden="false" customHeight="false" outlineLevel="0" collapsed="false">
      <c r="A5967" s="62" t="n">
        <v>1</v>
      </c>
      <c r="B5967" s="62" t="s">
        <v>388</v>
      </c>
      <c r="C5967" s="62" t="s">
        <v>60</v>
      </c>
      <c r="D5967" s="62" t="s">
        <v>382</v>
      </c>
      <c r="E5967" s="62" t="s">
        <v>382</v>
      </c>
      <c r="F5967" s="63" t="s">
        <v>844</v>
      </c>
      <c r="G5967" s="64" t="n">
        <v>23046.3395783603</v>
      </c>
      <c r="H5967" s="62"/>
    </row>
    <row r="5968" customFormat="false" ht="15" hidden="false" customHeight="false" outlineLevel="0" collapsed="false">
      <c r="A5968" s="62" t="n">
        <v>1</v>
      </c>
      <c r="B5968" s="62" t="s">
        <v>381</v>
      </c>
      <c r="C5968" s="62" t="s">
        <v>60</v>
      </c>
      <c r="D5968" s="62" t="s">
        <v>382</v>
      </c>
      <c r="E5968" s="62" t="s">
        <v>382</v>
      </c>
      <c r="F5968" s="63" t="s">
        <v>614</v>
      </c>
      <c r="G5968" s="64" t="n">
        <v>10815.5699106883</v>
      </c>
      <c r="H5968" s="62"/>
    </row>
    <row r="5969" customFormat="false" ht="15" hidden="false" customHeight="false" outlineLevel="0" collapsed="false">
      <c r="A5969" s="62" t="n">
        <v>1</v>
      </c>
      <c r="B5969" s="62" t="s">
        <v>383</v>
      </c>
      <c r="C5969" s="62" t="s">
        <v>60</v>
      </c>
      <c r="D5969" s="62" t="s">
        <v>382</v>
      </c>
      <c r="E5969" s="62" t="s">
        <v>382</v>
      </c>
      <c r="F5969" s="63" t="s">
        <v>614</v>
      </c>
      <c r="G5969" s="64" t="n">
        <v>10738.073312138</v>
      </c>
      <c r="H5969" s="62"/>
    </row>
    <row r="5970" customFormat="false" ht="15" hidden="false" customHeight="false" outlineLevel="0" collapsed="false">
      <c r="A5970" s="62" t="n">
        <v>1</v>
      </c>
      <c r="B5970" s="62" t="s">
        <v>384</v>
      </c>
      <c r="C5970" s="62" t="s">
        <v>60</v>
      </c>
      <c r="D5970" s="62" t="s">
        <v>382</v>
      </c>
      <c r="E5970" s="62" t="s">
        <v>382</v>
      </c>
      <c r="F5970" s="63" t="s">
        <v>614</v>
      </c>
      <c r="G5970" s="64" t="n">
        <v>9815.21127685707</v>
      </c>
      <c r="H5970" s="62"/>
    </row>
    <row r="5971" customFormat="false" ht="15" hidden="false" customHeight="false" outlineLevel="0" collapsed="false">
      <c r="A5971" s="62" t="n">
        <v>1</v>
      </c>
      <c r="B5971" s="62" t="s">
        <v>385</v>
      </c>
      <c r="C5971" s="62" t="s">
        <v>60</v>
      </c>
      <c r="D5971" s="62" t="s">
        <v>382</v>
      </c>
      <c r="E5971" s="62" t="s">
        <v>382</v>
      </c>
      <c r="F5971" s="63" t="s">
        <v>614</v>
      </c>
      <c r="G5971" s="64" t="n">
        <v>10270.7663945595</v>
      </c>
      <c r="H5971" s="62"/>
    </row>
    <row r="5972" customFormat="false" ht="15" hidden="false" customHeight="false" outlineLevel="0" collapsed="false">
      <c r="A5972" s="62" t="n">
        <v>1</v>
      </c>
      <c r="B5972" s="62" t="s">
        <v>386</v>
      </c>
      <c r="C5972" s="62" t="s">
        <v>60</v>
      </c>
      <c r="D5972" s="62" t="s">
        <v>382</v>
      </c>
      <c r="E5972" s="62" t="s">
        <v>382</v>
      </c>
      <c r="F5972" s="63" t="s">
        <v>614</v>
      </c>
      <c r="G5972" s="64" t="n">
        <v>10508.1404824402</v>
      </c>
      <c r="H5972" s="62"/>
    </row>
    <row r="5973" customFormat="false" ht="15" hidden="false" customHeight="false" outlineLevel="0" collapsed="false">
      <c r="A5973" s="62" t="n">
        <v>1</v>
      </c>
      <c r="B5973" s="62" t="s">
        <v>387</v>
      </c>
      <c r="C5973" s="62" t="s">
        <v>60</v>
      </c>
      <c r="D5973" s="62" t="s">
        <v>382</v>
      </c>
      <c r="E5973" s="62" t="s">
        <v>382</v>
      </c>
      <c r="F5973" s="63" t="s">
        <v>614</v>
      </c>
      <c r="G5973" s="64" t="n">
        <v>11397.5707200994</v>
      </c>
      <c r="H5973" s="62"/>
    </row>
    <row r="5974" customFormat="false" ht="15" hidden="false" customHeight="false" outlineLevel="0" collapsed="false">
      <c r="A5974" s="62" t="n">
        <v>1</v>
      </c>
      <c r="B5974" s="62" t="s">
        <v>388</v>
      </c>
      <c r="C5974" s="62" t="s">
        <v>60</v>
      </c>
      <c r="D5974" s="62" t="s">
        <v>382</v>
      </c>
      <c r="E5974" s="62" t="s">
        <v>382</v>
      </c>
      <c r="F5974" s="63" t="s">
        <v>613</v>
      </c>
      <c r="G5974" s="64" t="n">
        <v>9872.44517367594</v>
      </c>
      <c r="H5974" s="62"/>
    </row>
    <row r="5975" customFormat="false" ht="15" hidden="false" customHeight="false" outlineLevel="0" collapsed="false">
      <c r="A5975" s="62" t="n">
        <v>1</v>
      </c>
      <c r="B5975" s="62" t="s">
        <v>381</v>
      </c>
      <c r="C5975" s="62" t="s">
        <v>60</v>
      </c>
      <c r="D5975" s="62" t="s">
        <v>382</v>
      </c>
      <c r="E5975" s="62" t="s">
        <v>382</v>
      </c>
      <c r="F5975" s="63" t="s">
        <v>846</v>
      </c>
      <c r="G5975" s="64" t="n">
        <v>22963.9910633812</v>
      </c>
      <c r="H5975" s="62"/>
    </row>
    <row r="5976" customFormat="false" ht="15" hidden="false" customHeight="false" outlineLevel="0" collapsed="false">
      <c r="A5976" s="62" t="n">
        <v>1</v>
      </c>
      <c r="B5976" s="62" t="s">
        <v>383</v>
      </c>
      <c r="C5976" s="62" t="s">
        <v>60</v>
      </c>
      <c r="D5976" s="62" t="s">
        <v>382</v>
      </c>
      <c r="E5976" s="62" t="s">
        <v>382</v>
      </c>
      <c r="F5976" s="63" t="s">
        <v>846</v>
      </c>
      <c r="G5976" s="64" t="n">
        <v>26200.2254095477</v>
      </c>
      <c r="H5976" s="62"/>
    </row>
    <row r="5977" customFormat="false" ht="15" hidden="false" customHeight="false" outlineLevel="0" collapsed="false">
      <c r="A5977" s="62" t="n">
        <v>1</v>
      </c>
      <c r="B5977" s="62" t="s">
        <v>387</v>
      </c>
      <c r="C5977" s="62" t="s">
        <v>60</v>
      </c>
      <c r="D5977" s="62" t="s">
        <v>382</v>
      </c>
      <c r="E5977" s="62" t="s">
        <v>382</v>
      </c>
      <c r="F5977" s="63" t="s">
        <v>846</v>
      </c>
      <c r="G5977" s="64" t="n">
        <v>28447.6067823786</v>
      </c>
      <c r="H5977" s="62"/>
    </row>
    <row r="5978" customFormat="false" ht="15" hidden="false" customHeight="false" outlineLevel="0" collapsed="false">
      <c r="A5978" s="62" t="n">
        <v>1</v>
      </c>
      <c r="B5978" s="62" t="s">
        <v>388</v>
      </c>
      <c r="C5978" s="62" t="s">
        <v>60</v>
      </c>
      <c r="D5978" s="62" t="s">
        <v>382</v>
      </c>
      <c r="E5978" s="62" t="s">
        <v>382</v>
      </c>
      <c r="F5978" s="63" t="s">
        <v>845</v>
      </c>
      <c r="G5978" s="64" t="n">
        <v>25883.7300464138</v>
      </c>
      <c r="H5978" s="62"/>
    </row>
    <row r="5979" customFormat="false" ht="15" hidden="false" customHeight="false" outlineLevel="0" collapsed="false">
      <c r="A5979" s="62" t="n">
        <v>1</v>
      </c>
      <c r="B5979" s="62" t="s">
        <v>381</v>
      </c>
      <c r="C5979" s="62" t="s">
        <v>60</v>
      </c>
      <c r="D5979" s="62" t="s">
        <v>382</v>
      </c>
      <c r="E5979" s="62" t="s">
        <v>382</v>
      </c>
      <c r="F5979" s="63" t="s">
        <v>615</v>
      </c>
      <c r="G5979" s="64" t="n">
        <v>11142.1602938292</v>
      </c>
      <c r="H5979" s="62"/>
    </row>
    <row r="5980" customFormat="false" ht="15" hidden="false" customHeight="false" outlineLevel="0" collapsed="false">
      <c r="A5980" s="62" t="n">
        <v>1</v>
      </c>
      <c r="B5980" s="62" t="s">
        <v>381</v>
      </c>
      <c r="C5980" s="62" t="s">
        <v>60</v>
      </c>
      <c r="D5980" s="62" t="s">
        <v>382</v>
      </c>
      <c r="E5980" s="62" t="s">
        <v>382</v>
      </c>
      <c r="F5980" s="63" t="s">
        <v>847</v>
      </c>
      <c r="G5980" s="64" t="n">
        <v>17630.5229121633</v>
      </c>
      <c r="H5980" s="62"/>
    </row>
    <row r="5981" customFormat="false" ht="15" hidden="false" customHeight="false" outlineLevel="0" collapsed="false">
      <c r="A5981" s="62" t="n">
        <v>1</v>
      </c>
      <c r="B5981" s="62" t="s">
        <v>381</v>
      </c>
      <c r="C5981" s="62" t="s">
        <v>60</v>
      </c>
      <c r="D5981" s="62" t="s">
        <v>382</v>
      </c>
      <c r="E5981" s="62" t="s">
        <v>382</v>
      </c>
      <c r="F5981" s="63" t="s">
        <v>616</v>
      </c>
      <c r="G5981" s="64" t="n">
        <v>10358.738390622</v>
      </c>
      <c r="H5981" s="62"/>
    </row>
    <row r="5982" customFormat="false" ht="15" hidden="false" customHeight="false" outlineLevel="0" collapsed="false">
      <c r="A5982" s="62" t="n">
        <v>1</v>
      </c>
      <c r="B5982" s="62" t="s">
        <v>383</v>
      </c>
      <c r="C5982" s="62" t="s">
        <v>60</v>
      </c>
      <c r="D5982" s="62" t="s">
        <v>382</v>
      </c>
      <c r="E5982" s="62" t="s">
        <v>382</v>
      </c>
      <c r="F5982" s="63" t="s">
        <v>615</v>
      </c>
      <c r="G5982" s="64" t="n">
        <v>10449.6924609857</v>
      </c>
      <c r="H5982" s="62"/>
    </row>
    <row r="5983" customFormat="false" ht="15" hidden="false" customHeight="false" outlineLevel="0" collapsed="false">
      <c r="A5983" s="62" t="n">
        <v>1</v>
      </c>
      <c r="B5983" s="62" t="s">
        <v>384</v>
      </c>
      <c r="C5983" s="62" t="s">
        <v>60</v>
      </c>
      <c r="D5983" s="62" t="s">
        <v>382</v>
      </c>
      <c r="E5983" s="62" t="s">
        <v>382</v>
      </c>
      <c r="F5983" s="63" t="s">
        <v>615</v>
      </c>
      <c r="G5983" s="64" t="n">
        <v>9217.80207706451</v>
      </c>
      <c r="H5983" s="62"/>
    </row>
    <row r="5984" customFormat="false" ht="15" hidden="false" customHeight="false" outlineLevel="0" collapsed="false">
      <c r="A5984" s="62" t="n">
        <v>1</v>
      </c>
      <c r="B5984" s="62" t="s">
        <v>386</v>
      </c>
      <c r="C5984" s="62" t="s">
        <v>60</v>
      </c>
      <c r="D5984" s="62" t="s">
        <v>382</v>
      </c>
      <c r="E5984" s="62" t="s">
        <v>382</v>
      </c>
      <c r="F5984" s="63" t="s">
        <v>615</v>
      </c>
      <c r="G5984" s="64" t="n">
        <v>10278.865094853</v>
      </c>
      <c r="H5984" s="62"/>
    </row>
    <row r="5985" customFormat="false" ht="15" hidden="false" customHeight="false" outlineLevel="0" collapsed="false">
      <c r="A5985" s="62" t="n">
        <v>1</v>
      </c>
      <c r="B5985" s="62" t="s">
        <v>387</v>
      </c>
      <c r="C5985" s="62" t="s">
        <v>60</v>
      </c>
      <c r="D5985" s="62" t="s">
        <v>382</v>
      </c>
      <c r="E5985" s="62" t="s">
        <v>382</v>
      </c>
      <c r="F5985" s="63" t="s">
        <v>615</v>
      </c>
      <c r="G5985" s="64" t="n">
        <v>10264.0863234783</v>
      </c>
      <c r="H5985" s="62"/>
    </row>
    <row r="5986" customFormat="false" ht="15" hidden="false" customHeight="false" outlineLevel="0" collapsed="false">
      <c r="A5986" s="62" t="n">
        <v>1</v>
      </c>
      <c r="B5986" s="62" t="s">
        <v>381</v>
      </c>
      <c r="C5986" s="62" t="s">
        <v>60</v>
      </c>
      <c r="D5986" s="62" t="s">
        <v>382</v>
      </c>
      <c r="E5986" s="62" t="s">
        <v>382</v>
      </c>
      <c r="F5986" s="63" t="s">
        <v>848</v>
      </c>
      <c r="G5986" s="64" t="n">
        <v>16285.8239718646</v>
      </c>
      <c r="H5986" s="62"/>
    </row>
    <row r="5987" customFormat="false" ht="15" hidden="false" customHeight="false" outlineLevel="0" collapsed="false">
      <c r="A5987" s="62" t="n">
        <v>1</v>
      </c>
      <c r="B5987" s="62" t="s">
        <v>383</v>
      </c>
      <c r="C5987" s="62" t="s">
        <v>60</v>
      </c>
      <c r="D5987" s="62" t="s">
        <v>382</v>
      </c>
      <c r="E5987" s="62" t="s">
        <v>382</v>
      </c>
      <c r="F5987" s="63" t="s">
        <v>847</v>
      </c>
      <c r="G5987" s="64" t="n">
        <v>16779.6876036578</v>
      </c>
      <c r="H5987" s="62"/>
    </row>
    <row r="5988" customFormat="false" ht="15" hidden="false" customHeight="false" outlineLevel="0" collapsed="false">
      <c r="A5988" s="62" t="n">
        <v>1</v>
      </c>
      <c r="B5988" s="62" t="s">
        <v>381</v>
      </c>
      <c r="C5988" s="62" t="s">
        <v>60</v>
      </c>
      <c r="D5988" s="62" t="s">
        <v>382</v>
      </c>
      <c r="E5988" s="62" t="s">
        <v>382</v>
      </c>
      <c r="F5988" s="63" t="s">
        <v>617</v>
      </c>
      <c r="G5988" s="64" t="n">
        <v>11693.6387067054</v>
      </c>
      <c r="H5988" s="62"/>
    </row>
    <row r="5989" customFormat="false" ht="15" hidden="false" customHeight="false" outlineLevel="0" collapsed="false">
      <c r="A5989" s="62" t="n">
        <v>1</v>
      </c>
      <c r="B5989" s="62" t="s">
        <v>381</v>
      </c>
      <c r="C5989" s="62" t="s">
        <v>60</v>
      </c>
      <c r="D5989" s="62" t="s">
        <v>382</v>
      </c>
      <c r="E5989" s="62" t="s">
        <v>382</v>
      </c>
      <c r="F5989" s="63" t="s">
        <v>849</v>
      </c>
      <c r="G5989" s="64" t="n">
        <v>20916.5548008197</v>
      </c>
      <c r="H5989" s="62"/>
    </row>
    <row r="5990" customFormat="false" ht="15" hidden="false" customHeight="false" outlineLevel="0" collapsed="false">
      <c r="A5990" s="62" t="n">
        <v>1</v>
      </c>
      <c r="B5990" s="62" t="s">
        <v>381</v>
      </c>
      <c r="C5990" s="62" t="s">
        <v>60</v>
      </c>
      <c r="D5990" s="62" t="s">
        <v>382</v>
      </c>
      <c r="E5990" s="62" t="s">
        <v>382</v>
      </c>
      <c r="F5990" s="63" t="s">
        <v>618</v>
      </c>
      <c r="G5990" s="64" t="n">
        <v>14157.798155686</v>
      </c>
      <c r="H5990" s="62"/>
    </row>
    <row r="5991" customFormat="false" ht="15" hidden="false" customHeight="false" outlineLevel="0" collapsed="false">
      <c r="A5991" s="62" t="n">
        <v>1</v>
      </c>
      <c r="B5991" s="62" t="s">
        <v>383</v>
      </c>
      <c r="C5991" s="62" t="s">
        <v>60</v>
      </c>
      <c r="D5991" s="62" t="s">
        <v>382</v>
      </c>
      <c r="E5991" s="62" t="s">
        <v>382</v>
      </c>
      <c r="F5991" s="63" t="s">
        <v>618</v>
      </c>
      <c r="G5991" s="64" t="n">
        <v>15981.9394160951</v>
      </c>
      <c r="H5991" s="62"/>
    </row>
    <row r="5992" customFormat="false" ht="15" hidden="false" customHeight="false" outlineLevel="0" collapsed="false">
      <c r="A5992" s="62" t="n">
        <v>1</v>
      </c>
      <c r="B5992" s="62" t="s">
        <v>384</v>
      </c>
      <c r="C5992" s="62" t="s">
        <v>60</v>
      </c>
      <c r="D5992" s="62" t="s">
        <v>382</v>
      </c>
      <c r="E5992" s="62" t="s">
        <v>382</v>
      </c>
      <c r="F5992" s="63" t="s">
        <v>618</v>
      </c>
      <c r="G5992" s="64" t="n">
        <v>11518.1119518798</v>
      </c>
      <c r="H5992" s="62"/>
    </row>
    <row r="5993" customFormat="false" ht="15" hidden="false" customHeight="false" outlineLevel="0" collapsed="false">
      <c r="A5993" s="62" t="n">
        <v>1</v>
      </c>
      <c r="B5993" s="62" t="s">
        <v>385</v>
      </c>
      <c r="C5993" s="62" t="s">
        <v>60</v>
      </c>
      <c r="D5993" s="62" t="s">
        <v>382</v>
      </c>
      <c r="E5993" s="62" t="s">
        <v>382</v>
      </c>
      <c r="F5993" s="63" t="s">
        <v>618</v>
      </c>
      <c r="G5993" s="64" t="n">
        <v>12072.9978961876</v>
      </c>
      <c r="H5993" s="62"/>
    </row>
    <row r="5994" customFormat="false" ht="15" hidden="false" customHeight="false" outlineLevel="0" collapsed="false">
      <c r="A5994" s="62" t="n">
        <v>1</v>
      </c>
      <c r="B5994" s="62" t="s">
        <v>386</v>
      </c>
      <c r="C5994" s="62" t="s">
        <v>60</v>
      </c>
      <c r="D5994" s="62" t="s">
        <v>382</v>
      </c>
      <c r="E5994" s="62" t="s">
        <v>382</v>
      </c>
      <c r="F5994" s="63" t="s">
        <v>618</v>
      </c>
      <c r="G5994" s="64" t="n">
        <v>12274.497888083</v>
      </c>
      <c r="H5994" s="62"/>
    </row>
    <row r="5995" customFormat="false" ht="15" hidden="false" customHeight="false" outlineLevel="0" collapsed="false">
      <c r="A5995" s="62" t="n">
        <v>1</v>
      </c>
      <c r="B5995" s="62" t="s">
        <v>387</v>
      </c>
      <c r="C5995" s="62" t="s">
        <v>60</v>
      </c>
      <c r="D5995" s="62" t="s">
        <v>382</v>
      </c>
      <c r="E5995" s="62" t="s">
        <v>382</v>
      </c>
      <c r="F5995" s="63" t="s">
        <v>618</v>
      </c>
      <c r="G5995" s="64" t="n">
        <v>18385.1005446619</v>
      </c>
      <c r="H5995" s="62"/>
    </row>
    <row r="5996" customFormat="false" ht="15" hidden="false" customHeight="false" outlineLevel="0" collapsed="false">
      <c r="A5996" s="62" t="n">
        <v>1</v>
      </c>
      <c r="B5996" s="62" t="s">
        <v>388</v>
      </c>
      <c r="C5996" s="62" t="s">
        <v>60</v>
      </c>
      <c r="D5996" s="62" t="s">
        <v>382</v>
      </c>
      <c r="E5996" s="62" t="s">
        <v>382</v>
      </c>
      <c r="F5996" s="63" t="s">
        <v>618</v>
      </c>
      <c r="G5996" s="64" t="n">
        <v>13625.1499345254</v>
      </c>
      <c r="H5996" s="62"/>
    </row>
    <row r="5997" customFormat="false" ht="15" hidden="false" customHeight="false" outlineLevel="0" collapsed="false">
      <c r="A5997" s="62" t="n">
        <v>1</v>
      </c>
      <c r="B5997" s="62" t="s">
        <v>381</v>
      </c>
      <c r="C5997" s="62" t="s">
        <v>60</v>
      </c>
      <c r="D5997" s="62" t="s">
        <v>382</v>
      </c>
      <c r="E5997" s="62" t="s">
        <v>382</v>
      </c>
      <c r="F5997" s="63" t="s">
        <v>619</v>
      </c>
      <c r="G5997" s="64" t="n">
        <v>10541.4709986485</v>
      </c>
      <c r="H5997" s="62"/>
    </row>
    <row r="5998" customFormat="false" ht="15" hidden="false" customHeight="false" outlineLevel="0" collapsed="false">
      <c r="A5998" s="62" t="n">
        <v>1</v>
      </c>
      <c r="B5998" s="62" t="s">
        <v>383</v>
      </c>
      <c r="C5998" s="62" t="s">
        <v>60</v>
      </c>
      <c r="D5998" s="62" t="s">
        <v>382</v>
      </c>
      <c r="E5998" s="62" t="s">
        <v>382</v>
      </c>
      <c r="F5998" s="63" t="s">
        <v>616</v>
      </c>
      <c r="G5998" s="64" t="n">
        <v>10565.7180641341</v>
      </c>
      <c r="H5998" s="62"/>
    </row>
    <row r="5999" customFormat="false" ht="15" hidden="false" customHeight="false" outlineLevel="0" collapsed="false">
      <c r="A5999" s="62" t="n">
        <v>1</v>
      </c>
      <c r="B5999" s="62" t="s">
        <v>384</v>
      </c>
      <c r="C5999" s="62" t="s">
        <v>60</v>
      </c>
      <c r="D5999" s="62" t="s">
        <v>382</v>
      </c>
      <c r="E5999" s="62" t="s">
        <v>382</v>
      </c>
      <c r="F5999" s="63" t="s">
        <v>616</v>
      </c>
      <c r="G5999" s="64" t="n">
        <v>9383.87722140839</v>
      </c>
      <c r="H5999" s="62"/>
    </row>
    <row r="6000" customFormat="false" ht="15" hidden="false" customHeight="false" outlineLevel="0" collapsed="false">
      <c r="A6000" s="62" t="n">
        <v>1</v>
      </c>
      <c r="B6000" s="62" t="s">
        <v>386</v>
      </c>
      <c r="C6000" s="62" t="s">
        <v>60</v>
      </c>
      <c r="D6000" s="62" t="s">
        <v>382</v>
      </c>
      <c r="E6000" s="62" t="s">
        <v>382</v>
      </c>
      <c r="F6000" s="63" t="s">
        <v>616</v>
      </c>
      <c r="G6000" s="64" t="n">
        <v>10356.3234614872</v>
      </c>
      <c r="H6000" s="62"/>
    </row>
    <row r="6001" customFormat="false" ht="15" hidden="false" customHeight="false" outlineLevel="0" collapsed="false">
      <c r="A6001" s="62" t="n">
        <v>1</v>
      </c>
      <c r="B6001" s="62" t="s">
        <v>387</v>
      </c>
      <c r="C6001" s="62" t="s">
        <v>60</v>
      </c>
      <c r="D6001" s="62" t="s">
        <v>382</v>
      </c>
      <c r="E6001" s="62" t="s">
        <v>382</v>
      </c>
      <c r="F6001" s="63" t="s">
        <v>616</v>
      </c>
      <c r="G6001" s="64" t="n">
        <v>10660.1383588652</v>
      </c>
      <c r="H6001" s="62"/>
    </row>
    <row r="6002" customFormat="false" ht="15" hidden="false" customHeight="false" outlineLevel="0" collapsed="false">
      <c r="A6002" s="62" t="n">
        <v>1</v>
      </c>
      <c r="B6002" s="62" t="s">
        <v>381</v>
      </c>
      <c r="C6002" s="62" t="s">
        <v>60</v>
      </c>
      <c r="D6002" s="62" t="s">
        <v>382</v>
      </c>
      <c r="E6002" s="62" t="s">
        <v>382</v>
      </c>
      <c r="F6002" s="63" t="s">
        <v>850</v>
      </c>
      <c r="G6002" s="64" t="n">
        <v>18759.2191909448</v>
      </c>
      <c r="H6002" s="62"/>
    </row>
    <row r="6003" customFormat="false" ht="15" hidden="false" customHeight="false" outlineLevel="0" collapsed="false">
      <c r="A6003" s="62" t="n">
        <v>1</v>
      </c>
      <c r="B6003" s="62" t="s">
        <v>383</v>
      </c>
      <c r="C6003" s="62" t="s">
        <v>60</v>
      </c>
      <c r="D6003" s="62" t="s">
        <v>382</v>
      </c>
      <c r="E6003" s="62" t="s">
        <v>382</v>
      </c>
      <c r="F6003" s="63" t="s">
        <v>848</v>
      </c>
      <c r="G6003" s="64" t="n">
        <v>22621.4736173661</v>
      </c>
      <c r="H6003" s="62"/>
    </row>
    <row r="6004" customFormat="false" ht="15" hidden="false" customHeight="false" outlineLevel="0" collapsed="false">
      <c r="A6004" s="62" t="n">
        <v>1</v>
      </c>
      <c r="B6004" s="62" t="s">
        <v>381</v>
      </c>
      <c r="C6004" s="62" t="s">
        <v>60</v>
      </c>
      <c r="D6004" s="62" t="s">
        <v>382</v>
      </c>
      <c r="E6004" s="62" t="s">
        <v>382</v>
      </c>
      <c r="F6004" s="63" t="s">
        <v>620</v>
      </c>
      <c r="G6004" s="64" t="n">
        <v>12451.7390383342</v>
      </c>
      <c r="H6004" s="62"/>
    </row>
    <row r="6005" customFormat="false" ht="15" hidden="false" customHeight="false" outlineLevel="0" collapsed="false">
      <c r="A6005" s="62" t="n">
        <v>1</v>
      </c>
      <c r="B6005" s="62" t="s">
        <v>383</v>
      </c>
      <c r="C6005" s="62" t="s">
        <v>60</v>
      </c>
      <c r="D6005" s="62" t="s">
        <v>382</v>
      </c>
      <c r="E6005" s="62" t="s">
        <v>382</v>
      </c>
      <c r="F6005" s="63" t="s">
        <v>620</v>
      </c>
      <c r="G6005" s="64" t="n">
        <v>12263.3389748181</v>
      </c>
      <c r="H6005" s="62"/>
    </row>
    <row r="6006" customFormat="false" ht="15" hidden="false" customHeight="false" outlineLevel="0" collapsed="false">
      <c r="A6006" s="62" t="n">
        <v>1</v>
      </c>
      <c r="B6006" s="62" t="s">
        <v>384</v>
      </c>
      <c r="C6006" s="62" t="s">
        <v>60</v>
      </c>
      <c r="D6006" s="62" t="s">
        <v>382</v>
      </c>
      <c r="E6006" s="62" t="s">
        <v>382</v>
      </c>
      <c r="F6006" s="63" t="s">
        <v>620</v>
      </c>
      <c r="G6006" s="64" t="n">
        <v>9383.87722140839</v>
      </c>
      <c r="H6006" s="62"/>
    </row>
    <row r="6007" customFormat="false" ht="15" hidden="false" customHeight="false" outlineLevel="0" collapsed="false">
      <c r="A6007" s="62" t="n">
        <v>1</v>
      </c>
      <c r="B6007" s="62" t="s">
        <v>385</v>
      </c>
      <c r="C6007" s="62" t="s">
        <v>60</v>
      </c>
      <c r="D6007" s="62" t="s">
        <v>382</v>
      </c>
      <c r="E6007" s="62" t="s">
        <v>382</v>
      </c>
      <c r="F6007" s="63" t="s">
        <v>620</v>
      </c>
      <c r="G6007" s="64" t="n">
        <v>10270.7663945595</v>
      </c>
      <c r="H6007" s="62"/>
    </row>
    <row r="6008" customFormat="false" ht="15" hidden="false" customHeight="false" outlineLevel="0" collapsed="false">
      <c r="A6008" s="62" t="n">
        <v>1</v>
      </c>
      <c r="B6008" s="62" t="s">
        <v>386</v>
      </c>
      <c r="C6008" s="62" t="s">
        <v>60</v>
      </c>
      <c r="D6008" s="62" t="s">
        <v>382</v>
      </c>
      <c r="E6008" s="62" t="s">
        <v>382</v>
      </c>
      <c r="F6008" s="63" t="s">
        <v>620</v>
      </c>
      <c r="G6008" s="64" t="n">
        <v>10356.3234614872</v>
      </c>
      <c r="H6008" s="62"/>
    </row>
    <row r="6009" customFormat="false" ht="15" hidden="false" customHeight="false" outlineLevel="0" collapsed="false">
      <c r="A6009" s="62" t="n">
        <v>1</v>
      </c>
      <c r="B6009" s="62" t="s">
        <v>387</v>
      </c>
      <c r="C6009" s="62" t="s">
        <v>60</v>
      </c>
      <c r="D6009" s="62" t="s">
        <v>382</v>
      </c>
      <c r="E6009" s="62" t="s">
        <v>382</v>
      </c>
      <c r="F6009" s="63" t="s">
        <v>620</v>
      </c>
      <c r="G6009" s="64" t="n">
        <v>15280.8381532661</v>
      </c>
      <c r="H6009" s="62"/>
    </row>
    <row r="6010" customFormat="false" ht="15" hidden="false" customHeight="false" outlineLevel="0" collapsed="false">
      <c r="A6010" s="62" t="n">
        <v>1</v>
      </c>
      <c r="B6010" s="62" t="s">
        <v>388</v>
      </c>
      <c r="C6010" s="62" t="s">
        <v>60</v>
      </c>
      <c r="D6010" s="62" t="s">
        <v>382</v>
      </c>
      <c r="E6010" s="62" t="s">
        <v>382</v>
      </c>
      <c r="F6010" s="63" t="s">
        <v>620</v>
      </c>
      <c r="G6010" s="64" t="n">
        <v>14355.6049380425</v>
      </c>
      <c r="H6010" s="62"/>
    </row>
    <row r="6011" customFormat="false" ht="15" hidden="false" customHeight="false" outlineLevel="0" collapsed="false">
      <c r="A6011" s="62" t="n">
        <v>1</v>
      </c>
      <c r="B6011" s="62" t="s">
        <v>381</v>
      </c>
      <c r="C6011" s="62" t="s">
        <v>60</v>
      </c>
      <c r="D6011" s="62" t="s">
        <v>382</v>
      </c>
      <c r="E6011" s="62" t="s">
        <v>382</v>
      </c>
      <c r="F6011" s="63" t="s">
        <v>621</v>
      </c>
      <c r="G6011" s="64" t="n">
        <v>11274.7455376174</v>
      </c>
      <c r="H6011" s="62"/>
    </row>
    <row r="6012" customFormat="false" ht="15" hidden="false" customHeight="false" outlineLevel="0" collapsed="false">
      <c r="A6012" s="62" t="n">
        <v>1</v>
      </c>
      <c r="B6012" s="62" t="s">
        <v>383</v>
      </c>
      <c r="C6012" s="62" t="s">
        <v>60</v>
      </c>
      <c r="D6012" s="62" t="s">
        <v>382</v>
      </c>
      <c r="E6012" s="62" t="s">
        <v>382</v>
      </c>
      <c r="F6012" s="63" t="s">
        <v>617</v>
      </c>
      <c r="G6012" s="64" t="n">
        <v>11896.7451423445</v>
      </c>
      <c r="H6012" s="62"/>
    </row>
    <row r="6013" customFormat="false" ht="15" hidden="false" customHeight="false" outlineLevel="0" collapsed="false">
      <c r="A6013" s="62" t="n">
        <v>1</v>
      </c>
      <c r="B6013" s="62" t="s">
        <v>384</v>
      </c>
      <c r="C6013" s="62" t="s">
        <v>60</v>
      </c>
      <c r="D6013" s="62" t="s">
        <v>382</v>
      </c>
      <c r="E6013" s="62" t="s">
        <v>382</v>
      </c>
      <c r="F6013" s="63" t="s">
        <v>617</v>
      </c>
      <c r="G6013" s="64" t="n">
        <v>10430.349308436</v>
      </c>
      <c r="H6013" s="62"/>
    </row>
    <row r="6014" customFormat="false" ht="15" hidden="false" customHeight="false" outlineLevel="0" collapsed="false">
      <c r="A6014" s="62" t="n">
        <v>1</v>
      </c>
      <c r="B6014" s="62" t="s">
        <v>387</v>
      </c>
      <c r="C6014" s="62" t="s">
        <v>60</v>
      </c>
      <c r="D6014" s="62" t="s">
        <v>382</v>
      </c>
      <c r="E6014" s="62" t="s">
        <v>382</v>
      </c>
      <c r="F6014" s="63" t="s">
        <v>617</v>
      </c>
      <c r="G6014" s="64" t="n">
        <v>12489.70548043</v>
      </c>
      <c r="H6014" s="62"/>
    </row>
    <row r="6015" customFormat="false" ht="15" hidden="false" customHeight="false" outlineLevel="0" collapsed="false">
      <c r="A6015" s="62" t="n">
        <v>1</v>
      </c>
      <c r="B6015" s="62" t="s">
        <v>381</v>
      </c>
      <c r="C6015" s="62" t="s">
        <v>60</v>
      </c>
      <c r="D6015" s="62" t="s">
        <v>382</v>
      </c>
      <c r="E6015" s="62" t="s">
        <v>382</v>
      </c>
      <c r="F6015" s="63" t="s">
        <v>622</v>
      </c>
      <c r="G6015" s="64" t="n">
        <v>16510.5209229637</v>
      </c>
      <c r="H6015" s="62"/>
    </row>
    <row r="6016" customFormat="false" ht="15" hidden="false" customHeight="false" outlineLevel="0" collapsed="false">
      <c r="A6016" s="62" t="n">
        <v>1</v>
      </c>
      <c r="B6016" s="62" t="s">
        <v>383</v>
      </c>
      <c r="C6016" s="62" t="s">
        <v>60</v>
      </c>
      <c r="D6016" s="62" t="s">
        <v>382</v>
      </c>
      <c r="E6016" s="62" t="s">
        <v>382</v>
      </c>
      <c r="F6016" s="63" t="s">
        <v>622</v>
      </c>
      <c r="G6016" s="64" t="n">
        <v>14682.8117944676</v>
      </c>
      <c r="H6016" s="62"/>
    </row>
    <row r="6017" customFormat="false" ht="15" hidden="false" customHeight="false" outlineLevel="0" collapsed="false">
      <c r="A6017" s="62" t="n">
        <v>1</v>
      </c>
      <c r="B6017" s="62" t="s">
        <v>384</v>
      </c>
      <c r="C6017" s="62" t="s">
        <v>60</v>
      </c>
      <c r="D6017" s="62" t="s">
        <v>382</v>
      </c>
      <c r="E6017" s="62" t="s">
        <v>382</v>
      </c>
      <c r="F6017" s="63" t="s">
        <v>622</v>
      </c>
      <c r="G6017" s="64" t="n">
        <v>10430.349308436</v>
      </c>
      <c r="H6017" s="62"/>
    </row>
    <row r="6018" customFormat="false" ht="15" hidden="false" customHeight="false" outlineLevel="0" collapsed="false">
      <c r="A6018" s="62" t="n">
        <v>1</v>
      </c>
      <c r="B6018" s="62" t="s">
        <v>387</v>
      </c>
      <c r="C6018" s="62" t="s">
        <v>60</v>
      </c>
      <c r="D6018" s="62" t="s">
        <v>382</v>
      </c>
      <c r="E6018" s="62" t="s">
        <v>382</v>
      </c>
      <c r="F6018" s="63" t="s">
        <v>622</v>
      </c>
      <c r="G6018" s="64" t="n">
        <v>13474.5716154104</v>
      </c>
      <c r="H6018" s="62"/>
    </row>
    <row r="6019" customFormat="false" ht="15" hidden="false" customHeight="false" outlineLevel="0" collapsed="false">
      <c r="A6019" s="62" t="n">
        <v>1</v>
      </c>
      <c r="B6019" s="62" t="s">
        <v>381</v>
      </c>
      <c r="C6019" s="62" t="s">
        <v>60</v>
      </c>
      <c r="D6019" s="62" t="s">
        <v>382</v>
      </c>
      <c r="E6019" s="62" t="s">
        <v>382</v>
      </c>
      <c r="F6019" s="63" t="s">
        <v>623</v>
      </c>
      <c r="G6019" s="64" t="n">
        <v>3.58679118751961</v>
      </c>
      <c r="H6019" s="62" t="s">
        <v>42</v>
      </c>
    </row>
    <row r="6020" customFormat="false" ht="15" hidden="false" customHeight="false" outlineLevel="0" collapsed="false">
      <c r="A6020" s="62" t="n">
        <v>1</v>
      </c>
      <c r="B6020" s="62" t="s">
        <v>383</v>
      </c>
      <c r="C6020" s="62" t="s">
        <v>60</v>
      </c>
      <c r="D6020" s="62" t="s">
        <v>382</v>
      </c>
      <c r="E6020" s="62" t="s">
        <v>382</v>
      </c>
      <c r="F6020" s="63" t="s">
        <v>623</v>
      </c>
      <c r="G6020" s="64" t="n">
        <v>2.3650300170609</v>
      </c>
      <c r="H6020" s="62" t="s">
        <v>42</v>
      </c>
    </row>
    <row r="6021" customFormat="false" ht="15" hidden="false" customHeight="false" outlineLevel="0" collapsed="false">
      <c r="A6021" s="62" t="n">
        <v>1</v>
      </c>
      <c r="B6021" s="62" t="s">
        <v>384</v>
      </c>
      <c r="C6021" s="62" t="s">
        <v>60</v>
      </c>
      <c r="D6021" s="62" t="s">
        <v>382</v>
      </c>
      <c r="E6021" s="62" t="s">
        <v>382</v>
      </c>
      <c r="F6021" s="63" t="s">
        <v>623</v>
      </c>
      <c r="G6021" s="64" t="n">
        <v>2.53406928535655</v>
      </c>
      <c r="H6021" s="62" t="s">
        <v>42</v>
      </c>
    </row>
    <row r="6022" customFormat="false" ht="15" hidden="false" customHeight="false" outlineLevel="0" collapsed="false">
      <c r="A6022" s="62" t="n">
        <v>1</v>
      </c>
      <c r="B6022" s="62" t="s">
        <v>385</v>
      </c>
      <c r="C6022" s="62" t="s">
        <v>60</v>
      </c>
      <c r="D6022" s="62" t="s">
        <v>382</v>
      </c>
      <c r="E6022" s="62" t="s">
        <v>382</v>
      </c>
      <c r="F6022" s="63" t="s">
        <v>623</v>
      </c>
      <c r="G6022" s="64" t="n">
        <v>3.28026968562813</v>
      </c>
      <c r="H6022" s="62" t="s">
        <v>42</v>
      </c>
    </row>
    <row r="6023" customFormat="false" ht="15" hidden="false" customHeight="false" outlineLevel="0" collapsed="false">
      <c r="A6023" s="62" t="n">
        <v>1</v>
      </c>
      <c r="B6023" s="62" t="s">
        <v>386</v>
      </c>
      <c r="C6023" s="62" t="s">
        <v>60</v>
      </c>
      <c r="D6023" s="62" t="s">
        <v>382</v>
      </c>
      <c r="E6023" s="62" t="s">
        <v>382</v>
      </c>
      <c r="F6023" s="63" t="s">
        <v>623</v>
      </c>
      <c r="G6023" s="64" t="n">
        <v>2.37154778553664</v>
      </c>
      <c r="H6023" s="62" t="s">
        <v>42</v>
      </c>
    </row>
    <row r="6024" customFormat="false" ht="15" hidden="false" customHeight="false" outlineLevel="0" collapsed="false">
      <c r="A6024" s="62" t="n">
        <v>1</v>
      </c>
      <c r="B6024" s="62" t="s">
        <v>387</v>
      </c>
      <c r="C6024" s="62" t="s">
        <v>60</v>
      </c>
      <c r="D6024" s="62" t="s">
        <v>382</v>
      </c>
      <c r="E6024" s="62" t="s">
        <v>382</v>
      </c>
      <c r="F6024" s="63" t="s">
        <v>623</v>
      </c>
      <c r="G6024" s="64" t="n">
        <v>8.19677860234144</v>
      </c>
      <c r="H6024" s="62" t="s">
        <v>42</v>
      </c>
    </row>
    <row r="6025" customFormat="false" ht="15" hidden="false" customHeight="false" outlineLevel="0" collapsed="false">
      <c r="A6025" s="62" t="n">
        <v>1</v>
      </c>
      <c r="B6025" s="62" t="s">
        <v>388</v>
      </c>
      <c r="C6025" s="62" t="s">
        <v>60</v>
      </c>
      <c r="D6025" s="62" t="s">
        <v>382</v>
      </c>
      <c r="E6025" s="62" t="s">
        <v>382</v>
      </c>
      <c r="F6025" s="63" t="s">
        <v>623</v>
      </c>
      <c r="G6025" s="64" t="n">
        <v>3.31817608337303</v>
      </c>
      <c r="H6025" s="62" t="s">
        <v>42</v>
      </c>
    </row>
    <row r="6026" customFormat="false" ht="15" hidden="false" customHeight="false" outlineLevel="0" collapsed="false">
      <c r="A6026" s="62" t="n">
        <v>1</v>
      </c>
      <c r="B6026" s="62" t="s">
        <v>381</v>
      </c>
      <c r="C6026" s="62" t="s">
        <v>60</v>
      </c>
      <c r="D6026" s="62" t="s">
        <v>382</v>
      </c>
      <c r="E6026" s="62" t="s">
        <v>382</v>
      </c>
      <c r="F6026" s="63" t="s">
        <v>851</v>
      </c>
      <c r="G6026" s="64" t="n">
        <v>4.07303344303429</v>
      </c>
      <c r="H6026" s="62" t="s">
        <v>42</v>
      </c>
    </row>
    <row r="6027" customFormat="false" ht="15" hidden="false" customHeight="false" outlineLevel="0" collapsed="false">
      <c r="A6027" s="62" t="n">
        <v>1</v>
      </c>
      <c r="B6027" s="62" t="s">
        <v>383</v>
      </c>
      <c r="C6027" s="62" t="s">
        <v>60</v>
      </c>
      <c r="D6027" s="62" t="s">
        <v>382</v>
      </c>
      <c r="E6027" s="62" t="s">
        <v>382</v>
      </c>
      <c r="F6027" s="63" t="s">
        <v>851</v>
      </c>
      <c r="G6027" s="64" t="n">
        <v>2.82628624850163</v>
      </c>
      <c r="H6027" s="62" t="s">
        <v>42</v>
      </c>
    </row>
    <row r="6028" customFormat="false" ht="15" hidden="false" customHeight="false" outlineLevel="0" collapsed="false">
      <c r="A6028" s="62" t="n">
        <v>1</v>
      </c>
      <c r="B6028" s="62" t="s">
        <v>387</v>
      </c>
      <c r="C6028" s="62" t="s">
        <v>60</v>
      </c>
      <c r="D6028" s="62" t="s">
        <v>382</v>
      </c>
      <c r="E6028" s="62" t="s">
        <v>382</v>
      </c>
      <c r="F6028" s="63" t="s">
        <v>851</v>
      </c>
      <c r="G6028" s="64" t="n">
        <v>9.72489537881189</v>
      </c>
      <c r="H6028" s="62" t="s">
        <v>42</v>
      </c>
    </row>
    <row r="6029" customFormat="false" ht="15" hidden="false" customHeight="false" outlineLevel="0" collapsed="false">
      <c r="A6029" s="62" t="n">
        <v>1</v>
      </c>
      <c r="B6029" s="62" t="s">
        <v>388</v>
      </c>
      <c r="C6029" s="62" t="s">
        <v>60</v>
      </c>
      <c r="D6029" s="62" t="s">
        <v>382</v>
      </c>
      <c r="E6029" s="62" t="s">
        <v>382</v>
      </c>
      <c r="F6029" s="63" t="s">
        <v>851</v>
      </c>
      <c r="G6029" s="64" t="n">
        <v>4.04449614665455</v>
      </c>
      <c r="H6029" s="62" t="s">
        <v>42</v>
      </c>
    </row>
    <row r="6030" customFormat="false" ht="15" hidden="false" customHeight="false" outlineLevel="0" collapsed="false">
      <c r="A6030" s="62" t="n">
        <v>1</v>
      </c>
      <c r="B6030" s="62" t="s">
        <v>381</v>
      </c>
      <c r="C6030" s="62" t="s">
        <v>60</v>
      </c>
      <c r="D6030" s="62" t="s">
        <v>382</v>
      </c>
      <c r="E6030" s="62" t="s">
        <v>382</v>
      </c>
      <c r="F6030" s="63" t="s">
        <v>624</v>
      </c>
      <c r="G6030" s="64" t="n">
        <v>5.41804091487635</v>
      </c>
      <c r="H6030" s="62" t="s">
        <v>42</v>
      </c>
    </row>
    <row r="6031" customFormat="false" ht="15" hidden="false" customHeight="false" outlineLevel="0" collapsed="false">
      <c r="A6031" s="62" t="n">
        <v>1</v>
      </c>
      <c r="B6031" s="62" t="s">
        <v>383</v>
      </c>
      <c r="C6031" s="62" t="s">
        <v>60</v>
      </c>
      <c r="D6031" s="62" t="s">
        <v>382</v>
      </c>
      <c r="E6031" s="62" t="s">
        <v>382</v>
      </c>
      <c r="F6031" s="63" t="s">
        <v>624</v>
      </c>
      <c r="G6031" s="64" t="n">
        <v>3.55060875351183</v>
      </c>
      <c r="H6031" s="62" t="s">
        <v>42</v>
      </c>
    </row>
    <row r="6032" customFormat="false" ht="15" hidden="false" customHeight="false" outlineLevel="0" collapsed="false">
      <c r="A6032" s="62" t="n">
        <v>1</v>
      </c>
      <c r="B6032" s="62" t="s">
        <v>384</v>
      </c>
      <c r="C6032" s="62" t="s">
        <v>60</v>
      </c>
      <c r="D6032" s="62" t="s">
        <v>382</v>
      </c>
      <c r="E6032" s="62" t="s">
        <v>382</v>
      </c>
      <c r="F6032" s="63" t="s">
        <v>624</v>
      </c>
      <c r="G6032" s="64" t="n">
        <v>3.80014929220372</v>
      </c>
      <c r="H6032" s="62" t="s">
        <v>42</v>
      </c>
    </row>
    <row r="6033" customFormat="false" ht="15" hidden="false" customHeight="false" outlineLevel="0" collapsed="false">
      <c r="A6033" s="62" t="n">
        <v>1</v>
      </c>
      <c r="B6033" s="62" t="s">
        <v>385</v>
      </c>
      <c r="C6033" s="62" t="s">
        <v>60</v>
      </c>
      <c r="D6033" s="62" t="s">
        <v>382</v>
      </c>
      <c r="E6033" s="62" t="s">
        <v>382</v>
      </c>
      <c r="F6033" s="63" t="s">
        <v>624</v>
      </c>
      <c r="G6033" s="64" t="n">
        <v>4.90816344563531</v>
      </c>
      <c r="H6033" s="62" t="s">
        <v>42</v>
      </c>
    </row>
    <row r="6034" customFormat="false" ht="15" hidden="false" customHeight="false" outlineLevel="0" collapsed="false">
      <c r="A6034" s="62" t="n">
        <v>1</v>
      </c>
      <c r="B6034" s="62" t="s">
        <v>386</v>
      </c>
      <c r="C6034" s="62" t="s">
        <v>60</v>
      </c>
      <c r="D6034" s="62" t="s">
        <v>382</v>
      </c>
      <c r="E6034" s="62" t="s">
        <v>382</v>
      </c>
      <c r="F6034" s="63" t="s">
        <v>624</v>
      </c>
      <c r="G6034" s="64" t="n">
        <v>3.56552508483666</v>
      </c>
      <c r="H6034" s="62" t="s">
        <v>42</v>
      </c>
    </row>
    <row r="6035" customFormat="false" ht="15" hidden="false" customHeight="false" outlineLevel="0" collapsed="false">
      <c r="A6035" s="62" t="n">
        <v>1</v>
      </c>
      <c r="B6035" s="62" t="s">
        <v>387</v>
      </c>
      <c r="C6035" s="62" t="s">
        <v>60</v>
      </c>
      <c r="D6035" s="62" t="s">
        <v>382</v>
      </c>
      <c r="E6035" s="62" t="s">
        <v>382</v>
      </c>
      <c r="F6035" s="63" t="s">
        <v>624</v>
      </c>
      <c r="G6035" s="64" t="n">
        <v>12.3344342744559</v>
      </c>
      <c r="H6035" s="62" t="s">
        <v>42</v>
      </c>
    </row>
    <row r="6036" customFormat="false" ht="15" hidden="false" customHeight="false" outlineLevel="0" collapsed="false">
      <c r="A6036" s="62" t="n">
        <v>1</v>
      </c>
      <c r="B6036" s="62" t="s">
        <v>388</v>
      </c>
      <c r="C6036" s="62" t="s">
        <v>60</v>
      </c>
      <c r="D6036" s="62" t="s">
        <v>382</v>
      </c>
      <c r="E6036" s="62" t="s">
        <v>382</v>
      </c>
      <c r="F6036" s="63" t="s">
        <v>624</v>
      </c>
      <c r="G6036" s="64" t="n">
        <v>4.9948610105595</v>
      </c>
      <c r="H6036" s="62" t="s">
        <v>42</v>
      </c>
    </row>
    <row r="6037" customFormat="false" ht="15" hidden="false" customHeight="false" outlineLevel="0" collapsed="false">
      <c r="A6037" s="62" t="n">
        <v>1</v>
      </c>
      <c r="B6037" s="62" t="s">
        <v>381</v>
      </c>
      <c r="C6037" s="62" t="s">
        <v>60</v>
      </c>
      <c r="D6037" s="62" t="s">
        <v>382</v>
      </c>
      <c r="E6037" s="62" t="s">
        <v>382</v>
      </c>
      <c r="F6037" s="63" t="s">
        <v>852</v>
      </c>
      <c r="G6037" s="64" t="n">
        <v>6.56561475757085</v>
      </c>
      <c r="H6037" s="62" t="s">
        <v>42</v>
      </c>
    </row>
    <row r="6038" customFormat="false" ht="15" hidden="false" customHeight="false" outlineLevel="0" collapsed="false">
      <c r="A6038" s="62" t="n">
        <v>1</v>
      </c>
      <c r="B6038" s="62" t="s">
        <v>383</v>
      </c>
      <c r="C6038" s="62" t="s">
        <v>60</v>
      </c>
      <c r="D6038" s="62" t="s">
        <v>382</v>
      </c>
      <c r="E6038" s="62" t="s">
        <v>382</v>
      </c>
      <c r="F6038" s="63" t="s">
        <v>852</v>
      </c>
      <c r="G6038" s="64" t="n">
        <v>4.63040689162623</v>
      </c>
      <c r="H6038" s="62" t="s">
        <v>42</v>
      </c>
    </row>
    <row r="6039" customFormat="false" ht="15" hidden="false" customHeight="false" outlineLevel="0" collapsed="false">
      <c r="A6039" s="62" t="n">
        <v>1</v>
      </c>
      <c r="B6039" s="62" t="s">
        <v>387</v>
      </c>
      <c r="C6039" s="62" t="s">
        <v>60</v>
      </c>
      <c r="D6039" s="62" t="s">
        <v>382</v>
      </c>
      <c r="E6039" s="62" t="s">
        <v>382</v>
      </c>
      <c r="F6039" s="63" t="s">
        <v>852</v>
      </c>
      <c r="G6039" s="64" t="n">
        <v>15.9150773315335</v>
      </c>
      <c r="H6039" s="62" t="s">
        <v>42</v>
      </c>
    </row>
    <row r="6040" customFormat="false" ht="15" hidden="false" customHeight="false" outlineLevel="0" collapsed="false">
      <c r="A6040" s="62" t="n">
        <v>1</v>
      </c>
      <c r="B6040" s="62" t="s">
        <v>388</v>
      </c>
      <c r="C6040" s="62" t="s">
        <v>60</v>
      </c>
      <c r="D6040" s="62" t="s">
        <v>382</v>
      </c>
      <c r="E6040" s="62" t="s">
        <v>382</v>
      </c>
      <c r="F6040" s="63" t="s">
        <v>852</v>
      </c>
      <c r="G6040" s="64" t="n">
        <v>6.68984863740534</v>
      </c>
      <c r="H6040" s="62" t="s">
        <v>42</v>
      </c>
    </row>
    <row r="6041" customFormat="false" ht="15" hidden="false" customHeight="false" outlineLevel="0" collapsed="false">
      <c r="A6041" s="62" t="n">
        <v>1</v>
      </c>
      <c r="B6041" s="62" t="s">
        <v>381</v>
      </c>
      <c r="C6041" s="62" t="s">
        <v>60</v>
      </c>
      <c r="D6041" s="62" t="s">
        <v>67</v>
      </c>
      <c r="E6041" s="62" t="s">
        <v>382</v>
      </c>
      <c r="F6041" s="63" t="s">
        <v>625</v>
      </c>
      <c r="G6041" s="64" t="n">
        <v>13347960.4515126</v>
      </c>
      <c r="H6041" s="62" t="s">
        <v>138</v>
      </c>
    </row>
    <row r="6042" customFormat="false" ht="15" hidden="false" customHeight="false" outlineLevel="0" collapsed="false">
      <c r="A6042" s="62" t="n">
        <v>1</v>
      </c>
      <c r="B6042" s="62" t="s">
        <v>383</v>
      </c>
      <c r="C6042" s="62" t="s">
        <v>60</v>
      </c>
      <c r="D6042" s="62" t="s">
        <v>67</v>
      </c>
      <c r="E6042" s="62" t="s">
        <v>382</v>
      </c>
      <c r="F6042" s="63" t="s">
        <v>625</v>
      </c>
      <c r="G6042" s="64" t="n">
        <v>13543179.1340313</v>
      </c>
      <c r="H6042" s="62" t="s">
        <v>138</v>
      </c>
    </row>
    <row r="6043" customFormat="false" ht="15" hidden="false" customHeight="false" outlineLevel="0" collapsed="false">
      <c r="A6043" s="62" t="n">
        <v>1</v>
      </c>
      <c r="B6043" s="62" t="s">
        <v>384</v>
      </c>
      <c r="C6043" s="62" t="s">
        <v>60</v>
      </c>
      <c r="D6043" s="62" t="s">
        <v>67</v>
      </c>
      <c r="E6043" s="62" t="s">
        <v>382</v>
      </c>
      <c r="F6043" s="63" t="s">
        <v>625</v>
      </c>
      <c r="G6043" s="64" t="n">
        <v>12900363.3823954</v>
      </c>
      <c r="H6043" s="62" t="s">
        <v>138</v>
      </c>
    </row>
    <row r="6044" customFormat="false" ht="15" hidden="false" customHeight="false" outlineLevel="0" collapsed="false">
      <c r="A6044" s="62" t="n">
        <v>1</v>
      </c>
      <c r="B6044" s="62" t="s">
        <v>385</v>
      </c>
      <c r="C6044" s="62" t="s">
        <v>60</v>
      </c>
      <c r="D6044" s="62" t="s">
        <v>67</v>
      </c>
      <c r="E6044" s="62" t="s">
        <v>382</v>
      </c>
      <c r="F6044" s="63" t="s">
        <v>625</v>
      </c>
      <c r="G6044" s="64" t="n">
        <v>12635937.6355892</v>
      </c>
      <c r="H6044" s="62" t="s">
        <v>138</v>
      </c>
    </row>
    <row r="6045" customFormat="false" ht="15" hidden="false" customHeight="false" outlineLevel="0" collapsed="false">
      <c r="A6045" s="62" t="n">
        <v>1</v>
      </c>
      <c r="B6045" s="62" t="s">
        <v>386</v>
      </c>
      <c r="C6045" s="62" t="s">
        <v>60</v>
      </c>
      <c r="D6045" s="62" t="s">
        <v>67</v>
      </c>
      <c r="E6045" s="62" t="s">
        <v>382</v>
      </c>
      <c r="F6045" s="63" t="s">
        <v>625</v>
      </c>
      <c r="G6045" s="64" t="n">
        <v>19285175</v>
      </c>
      <c r="H6045" s="62" t="s">
        <v>138</v>
      </c>
    </row>
    <row r="6046" customFormat="false" ht="15" hidden="false" customHeight="false" outlineLevel="0" collapsed="false">
      <c r="A6046" s="62" t="n">
        <v>1</v>
      </c>
      <c r="B6046" s="62" t="s">
        <v>387</v>
      </c>
      <c r="C6046" s="62" t="s">
        <v>60</v>
      </c>
      <c r="D6046" s="62" t="s">
        <v>67</v>
      </c>
      <c r="E6046" s="62" t="s">
        <v>382</v>
      </c>
      <c r="F6046" s="63" t="s">
        <v>625</v>
      </c>
      <c r="G6046" s="64" t="n">
        <v>8648735.478889</v>
      </c>
      <c r="H6046" s="62" t="s">
        <v>138</v>
      </c>
    </row>
    <row r="6047" customFormat="false" ht="15" hidden="false" customHeight="false" outlineLevel="0" collapsed="false">
      <c r="A6047" s="62" t="n">
        <v>1</v>
      </c>
      <c r="B6047" s="62" t="s">
        <v>388</v>
      </c>
      <c r="C6047" s="62" t="s">
        <v>60</v>
      </c>
      <c r="D6047" s="62" t="s">
        <v>67</v>
      </c>
      <c r="E6047" s="62" t="s">
        <v>382</v>
      </c>
      <c r="F6047" s="63" t="s">
        <v>625</v>
      </c>
      <c r="G6047" s="64" t="n">
        <v>15547392</v>
      </c>
      <c r="H6047" s="62" t="s">
        <v>138</v>
      </c>
    </row>
    <row r="6048" customFormat="false" ht="15" hidden="false" customHeight="false" outlineLevel="0" collapsed="false">
      <c r="A6048" s="62" t="n">
        <v>1</v>
      </c>
      <c r="B6048" s="62" t="s">
        <v>381</v>
      </c>
      <c r="C6048" s="62" t="s">
        <v>60</v>
      </c>
      <c r="D6048" s="62" t="s">
        <v>67</v>
      </c>
      <c r="E6048" s="62" t="s">
        <v>382</v>
      </c>
      <c r="F6048" s="63" t="s">
        <v>626</v>
      </c>
      <c r="G6048" s="64" t="n">
        <v>7804311.34956901</v>
      </c>
      <c r="H6048" s="62" t="s">
        <v>138</v>
      </c>
    </row>
    <row r="6049" customFormat="false" ht="15" hidden="false" customHeight="false" outlineLevel="0" collapsed="false">
      <c r="A6049" s="62" t="n">
        <v>1</v>
      </c>
      <c r="B6049" s="62" t="s">
        <v>383</v>
      </c>
      <c r="C6049" s="62" t="s">
        <v>60</v>
      </c>
      <c r="D6049" s="62" t="s">
        <v>67</v>
      </c>
      <c r="E6049" s="62" t="s">
        <v>382</v>
      </c>
      <c r="F6049" s="63" t="s">
        <v>626</v>
      </c>
      <c r="G6049" s="64" t="n">
        <v>6538473.90918248</v>
      </c>
      <c r="H6049" s="62" t="s">
        <v>138</v>
      </c>
    </row>
    <row r="6050" customFormat="false" ht="15" hidden="false" customHeight="false" outlineLevel="0" collapsed="false">
      <c r="A6050" s="62" t="n">
        <v>1</v>
      </c>
      <c r="B6050" s="62" t="s">
        <v>384</v>
      </c>
      <c r="C6050" s="62" t="s">
        <v>60</v>
      </c>
      <c r="D6050" s="62" t="s">
        <v>67</v>
      </c>
      <c r="E6050" s="62" t="s">
        <v>382</v>
      </c>
      <c r="F6050" s="63" t="s">
        <v>626</v>
      </c>
      <c r="G6050" s="64" t="n">
        <v>6460340.41992874</v>
      </c>
      <c r="H6050" s="62" t="s">
        <v>138</v>
      </c>
    </row>
    <row r="6051" customFormat="false" ht="15" hidden="false" customHeight="false" outlineLevel="0" collapsed="false">
      <c r="A6051" s="62" t="n">
        <v>1</v>
      </c>
      <c r="B6051" s="62" t="s">
        <v>385</v>
      </c>
      <c r="C6051" s="62" t="s">
        <v>60</v>
      </c>
      <c r="D6051" s="62" t="s">
        <v>67</v>
      </c>
      <c r="E6051" s="62" t="s">
        <v>382</v>
      </c>
      <c r="F6051" s="63" t="s">
        <v>626</v>
      </c>
      <c r="G6051" s="64" t="n">
        <v>6934256.749583</v>
      </c>
      <c r="H6051" s="62" t="s">
        <v>138</v>
      </c>
    </row>
    <row r="6052" customFormat="false" ht="15" hidden="false" customHeight="false" outlineLevel="0" collapsed="false">
      <c r="A6052" s="62" t="n">
        <v>1</v>
      </c>
      <c r="B6052" s="62" t="s">
        <v>386</v>
      </c>
      <c r="C6052" s="62" t="s">
        <v>60</v>
      </c>
      <c r="D6052" s="62" t="s">
        <v>67</v>
      </c>
      <c r="E6052" s="62" t="s">
        <v>382</v>
      </c>
      <c r="F6052" s="63" t="s">
        <v>626</v>
      </c>
      <c r="G6052" s="64" t="n">
        <v>9661871.01260454</v>
      </c>
      <c r="H6052" s="62" t="s">
        <v>138</v>
      </c>
    </row>
    <row r="6053" customFormat="false" ht="15" hidden="false" customHeight="false" outlineLevel="0" collapsed="false">
      <c r="A6053" s="62" t="n">
        <v>1</v>
      </c>
      <c r="B6053" s="62" t="s">
        <v>387</v>
      </c>
      <c r="C6053" s="62" t="s">
        <v>60</v>
      </c>
      <c r="D6053" s="62" t="s">
        <v>67</v>
      </c>
      <c r="E6053" s="62" t="s">
        <v>382</v>
      </c>
      <c r="F6053" s="63" t="s">
        <v>626</v>
      </c>
      <c r="G6053" s="64" t="n">
        <v>4170387.99061518</v>
      </c>
      <c r="H6053" s="62" t="s">
        <v>138</v>
      </c>
    </row>
    <row r="6054" customFormat="false" ht="15" hidden="false" customHeight="false" outlineLevel="0" collapsed="false">
      <c r="A6054" s="62" t="n">
        <v>1</v>
      </c>
      <c r="B6054" s="62" t="s">
        <v>388</v>
      </c>
      <c r="C6054" s="62" t="s">
        <v>60</v>
      </c>
      <c r="D6054" s="62" t="s">
        <v>67</v>
      </c>
      <c r="E6054" s="62" t="s">
        <v>382</v>
      </c>
      <c r="F6054" s="63" t="s">
        <v>626</v>
      </c>
      <c r="G6054" s="64" t="n">
        <v>8183747.61290355</v>
      </c>
      <c r="H6054" s="62" t="s">
        <v>138</v>
      </c>
    </row>
    <row r="6055" customFormat="false" ht="15" hidden="false" customHeight="false" outlineLevel="0" collapsed="false">
      <c r="A6055" s="62" t="n">
        <v>1</v>
      </c>
      <c r="B6055" s="62" t="s">
        <v>381</v>
      </c>
      <c r="C6055" s="62" t="s">
        <v>60</v>
      </c>
      <c r="D6055" s="62" t="s">
        <v>67</v>
      </c>
      <c r="E6055" s="62" t="s">
        <v>382</v>
      </c>
      <c r="F6055" s="63" t="s">
        <v>627</v>
      </c>
      <c r="G6055" s="64" t="n">
        <v>0</v>
      </c>
      <c r="H6055" s="62" t="s">
        <v>138</v>
      </c>
    </row>
    <row r="6056" customFormat="false" ht="15" hidden="false" customHeight="false" outlineLevel="0" collapsed="false">
      <c r="A6056" s="62" t="n">
        <v>1</v>
      </c>
      <c r="B6056" s="62" t="s">
        <v>383</v>
      </c>
      <c r="C6056" s="62" t="s">
        <v>60</v>
      </c>
      <c r="D6056" s="62" t="s">
        <v>67</v>
      </c>
      <c r="E6056" s="62" t="s">
        <v>382</v>
      </c>
      <c r="F6056" s="63" t="s">
        <v>627</v>
      </c>
      <c r="G6056" s="64" t="n">
        <v>0</v>
      </c>
      <c r="H6056" s="62" t="s">
        <v>138</v>
      </c>
    </row>
    <row r="6057" customFormat="false" ht="15" hidden="false" customHeight="false" outlineLevel="0" collapsed="false">
      <c r="A6057" s="62" t="n">
        <v>1</v>
      </c>
      <c r="B6057" s="62" t="s">
        <v>384</v>
      </c>
      <c r="C6057" s="62" t="s">
        <v>60</v>
      </c>
      <c r="D6057" s="62" t="s">
        <v>67</v>
      </c>
      <c r="E6057" s="62" t="s">
        <v>382</v>
      </c>
      <c r="F6057" s="63" t="s">
        <v>627</v>
      </c>
      <c r="G6057" s="64" t="n">
        <v>0</v>
      </c>
      <c r="H6057" s="62" t="s">
        <v>138</v>
      </c>
    </row>
    <row r="6058" customFormat="false" ht="15" hidden="false" customHeight="false" outlineLevel="0" collapsed="false">
      <c r="A6058" s="62" t="n">
        <v>1</v>
      </c>
      <c r="B6058" s="62" t="s">
        <v>385</v>
      </c>
      <c r="C6058" s="62" t="s">
        <v>60</v>
      </c>
      <c r="D6058" s="62" t="s">
        <v>67</v>
      </c>
      <c r="E6058" s="62" t="s">
        <v>382</v>
      </c>
      <c r="F6058" s="63" t="s">
        <v>627</v>
      </c>
      <c r="G6058" s="64" t="n">
        <v>0</v>
      </c>
      <c r="H6058" s="62" t="s">
        <v>138</v>
      </c>
    </row>
    <row r="6059" customFormat="false" ht="15" hidden="false" customHeight="false" outlineLevel="0" collapsed="false">
      <c r="A6059" s="62" t="n">
        <v>1</v>
      </c>
      <c r="B6059" s="62" t="s">
        <v>386</v>
      </c>
      <c r="C6059" s="62" t="s">
        <v>60</v>
      </c>
      <c r="D6059" s="62" t="s">
        <v>67</v>
      </c>
      <c r="E6059" s="62" t="s">
        <v>382</v>
      </c>
      <c r="F6059" s="63" t="s">
        <v>627</v>
      </c>
      <c r="G6059" s="64" t="n">
        <v>0</v>
      </c>
      <c r="H6059" s="62" t="s">
        <v>138</v>
      </c>
    </row>
    <row r="6060" customFormat="false" ht="15" hidden="false" customHeight="false" outlineLevel="0" collapsed="false">
      <c r="A6060" s="62" t="n">
        <v>1</v>
      </c>
      <c r="B6060" s="62" t="s">
        <v>387</v>
      </c>
      <c r="C6060" s="62" t="s">
        <v>60</v>
      </c>
      <c r="D6060" s="62" t="s">
        <v>67</v>
      </c>
      <c r="E6060" s="62" t="s">
        <v>382</v>
      </c>
      <c r="F6060" s="63" t="s">
        <v>627</v>
      </c>
      <c r="G6060" s="64" t="n">
        <v>0</v>
      </c>
      <c r="H6060" s="62" t="s">
        <v>138</v>
      </c>
    </row>
    <row r="6061" customFormat="false" ht="15" hidden="false" customHeight="false" outlineLevel="0" collapsed="false">
      <c r="A6061" s="62" t="n">
        <v>1</v>
      </c>
      <c r="B6061" s="62" t="s">
        <v>388</v>
      </c>
      <c r="C6061" s="62" t="s">
        <v>60</v>
      </c>
      <c r="D6061" s="62" t="s">
        <v>67</v>
      </c>
      <c r="E6061" s="62" t="s">
        <v>382</v>
      </c>
      <c r="F6061" s="63" t="s">
        <v>627</v>
      </c>
      <c r="G6061" s="64" t="n">
        <v>0</v>
      </c>
      <c r="H6061" s="62" t="s">
        <v>138</v>
      </c>
    </row>
    <row r="6062" customFormat="false" ht="15" hidden="false" customHeight="false" outlineLevel="0" collapsed="false">
      <c r="A6062" s="62" t="n">
        <v>1</v>
      </c>
      <c r="B6062" s="62" t="s">
        <v>381</v>
      </c>
      <c r="C6062" s="62" t="s">
        <v>60</v>
      </c>
      <c r="D6062" s="62" t="s">
        <v>67</v>
      </c>
      <c r="E6062" s="62" t="s">
        <v>382</v>
      </c>
      <c r="F6062" s="63" t="s">
        <v>628</v>
      </c>
      <c r="G6062" s="64" t="n">
        <v>0</v>
      </c>
      <c r="H6062" s="62" t="s">
        <v>138</v>
      </c>
    </row>
    <row r="6063" customFormat="false" ht="15" hidden="false" customHeight="false" outlineLevel="0" collapsed="false">
      <c r="A6063" s="62" t="n">
        <v>1</v>
      </c>
      <c r="B6063" s="62" t="s">
        <v>383</v>
      </c>
      <c r="C6063" s="62" t="s">
        <v>60</v>
      </c>
      <c r="D6063" s="62" t="s">
        <v>67</v>
      </c>
      <c r="E6063" s="62" t="s">
        <v>382</v>
      </c>
      <c r="F6063" s="63" t="s">
        <v>628</v>
      </c>
      <c r="G6063" s="64" t="n">
        <v>0</v>
      </c>
      <c r="H6063" s="62" t="s">
        <v>138</v>
      </c>
    </row>
    <row r="6064" customFormat="false" ht="15" hidden="false" customHeight="false" outlineLevel="0" collapsed="false">
      <c r="A6064" s="62" t="n">
        <v>1</v>
      </c>
      <c r="B6064" s="62" t="s">
        <v>384</v>
      </c>
      <c r="C6064" s="62" t="s">
        <v>60</v>
      </c>
      <c r="D6064" s="62" t="s">
        <v>67</v>
      </c>
      <c r="E6064" s="62" t="s">
        <v>382</v>
      </c>
      <c r="F6064" s="63" t="s">
        <v>628</v>
      </c>
      <c r="G6064" s="64" t="n">
        <v>0</v>
      </c>
      <c r="H6064" s="62" t="s">
        <v>138</v>
      </c>
    </row>
    <row r="6065" customFormat="false" ht="15" hidden="false" customHeight="false" outlineLevel="0" collapsed="false">
      <c r="A6065" s="62" t="n">
        <v>1</v>
      </c>
      <c r="B6065" s="62" t="s">
        <v>385</v>
      </c>
      <c r="C6065" s="62" t="s">
        <v>60</v>
      </c>
      <c r="D6065" s="62" t="s">
        <v>67</v>
      </c>
      <c r="E6065" s="62" t="s">
        <v>382</v>
      </c>
      <c r="F6065" s="63" t="s">
        <v>628</v>
      </c>
      <c r="G6065" s="64" t="n">
        <v>0</v>
      </c>
      <c r="H6065" s="62" t="s">
        <v>138</v>
      </c>
    </row>
    <row r="6066" customFormat="false" ht="15" hidden="false" customHeight="false" outlineLevel="0" collapsed="false">
      <c r="A6066" s="62" t="n">
        <v>1</v>
      </c>
      <c r="B6066" s="62" t="s">
        <v>386</v>
      </c>
      <c r="C6066" s="62" t="s">
        <v>60</v>
      </c>
      <c r="D6066" s="62" t="s">
        <v>67</v>
      </c>
      <c r="E6066" s="62" t="s">
        <v>382</v>
      </c>
      <c r="F6066" s="63" t="s">
        <v>628</v>
      </c>
      <c r="G6066" s="64" t="n">
        <v>0</v>
      </c>
      <c r="H6066" s="62" t="s">
        <v>138</v>
      </c>
    </row>
    <row r="6067" customFormat="false" ht="15" hidden="false" customHeight="false" outlineLevel="0" collapsed="false">
      <c r="A6067" s="62" t="n">
        <v>1</v>
      </c>
      <c r="B6067" s="62" t="s">
        <v>387</v>
      </c>
      <c r="C6067" s="62" t="s">
        <v>60</v>
      </c>
      <c r="D6067" s="62" t="s">
        <v>67</v>
      </c>
      <c r="E6067" s="62" t="s">
        <v>382</v>
      </c>
      <c r="F6067" s="63" t="s">
        <v>628</v>
      </c>
      <c r="G6067" s="64" t="n">
        <v>0</v>
      </c>
      <c r="H6067" s="62" t="s">
        <v>138</v>
      </c>
    </row>
    <row r="6068" customFormat="false" ht="15" hidden="false" customHeight="false" outlineLevel="0" collapsed="false">
      <c r="A6068" s="62" t="n">
        <v>1</v>
      </c>
      <c r="B6068" s="62" t="s">
        <v>388</v>
      </c>
      <c r="C6068" s="62" t="s">
        <v>60</v>
      </c>
      <c r="D6068" s="62" t="s">
        <v>67</v>
      </c>
      <c r="E6068" s="62" t="s">
        <v>382</v>
      </c>
      <c r="F6068" s="63" t="s">
        <v>628</v>
      </c>
      <c r="G6068" s="64" t="n">
        <v>0</v>
      </c>
      <c r="H6068" s="62" t="s">
        <v>138</v>
      </c>
    </row>
    <row r="6069" customFormat="false" ht="15" hidden="false" customHeight="false" outlineLevel="0" collapsed="false">
      <c r="A6069" s="62" t="n">
        <v>1</v>
      </c>
      <c r="B6069" s="62" t="s">
        <v>381</v>
      </c>
      <c r="C6069" s="62" t="s">
        <v>60</v>
      </c>
      <c r="D6069" s="62" t="s">
        <v>67</v>
      </c>
      <c r="E6069" s="62" t="s">
        <v>382</v>
      </c>
      <c r="F6069" s="63" t="s">
        <v>629</v>
      </c>
      <c r="G6069" s="64" t="n">
        <v>2803071.69481764</v>
      </c>
      <c r="H6069" s="62" t="s">
        <v>138</v>
      </c>
    </row>
    <row r="6070" customFormat="false" ht="15" hidden="false" customHeight="false" outlineLevel="0" collapsed="false">
      <c r="A6070" s="62" t="n">
        <v>1</v>
      </c>
      <c r="B6070" s="62" t="s">
        <v>383</v>
      </c>
      <c r="C6070" s="62" t="s">
        <v>60</v>
      </c>
      <c r="D6070" s="62" t="s">
        <v>67</v>
      </c>
      <c r="E6070" s="62" t="s">
        <v>382</v>
      </c>
      <c r="F6070" s="63" t="s">
        <v>629</v>
      </c>
      <c r="G6070" s="64" t="n">
        <v>2183712.85177101</v>
      </c>
      <c r="H6070" s="62" t="s">
        <v>138</v>
      </c>
    </row>
    <row r="6071" customFormat="false" ht="15" hidden="false" customHeight="false" outlineLevel="0" collapsed="false">
      <c r="A6071" s="62" t="n">
        <v>1</v>
      </c>
      <c r="B6071" s="62" t="s">
        <v>384</v>
      </c>
      <c r="C6071" s="62" t="s">
        <v>60</v>
      </c>
      <c r="D6071" s="62" t="s">
        <v>67</v>
      </c>
      <c r="E6071" s="62" t="s">
        <v>382</v>
      </c>
      <c r="F6071" s="63" t="s">
        <v>629</v>
      </c>
      <c r="G6071" s="64" t="n">
        <v>1963098.77558191</v>
      </c>
      <c r="H6071" s="62" t="s">
        <v>138</v>
      </c>
    </row>
    <row r="6072" customFormat="false" ht="15" hidden="false" customHeight="false" outlineLevel="0" collapsed="false">
      <c r="A6072" s="62" t="n">
        <v>1</v>
      </c>
      <c r="B6072" s="62" t="s">
        <v>385</v>
      </c>
      <c r="C6072" s="62" t="s">
        <v>60</v>
      </c>
      <c r="D6072" s="62" t="s">
        <v>67</v>
      </c>
      <c r="E6072" s="62" t="s">
        <v>382</v>
      </c>
      <c r="F6072" s="63" t="s">
        <v>629</v>
      </c>
      <c r="G6072" s="64" t="n">
        <v>2412315.3667943</v>
      </c>
      <c r="H6072" s="62" t="s">
        <v>138</v>
      </c>
    </row>
    <row r="6073" customFormat="false" ht="15" hidden="false" customHeight="false" outlineLevel="0" collapsed="false">
      <c r="A6073" s="62" t="n">
        <v>1</v>
      </c>
      <c r="B6073" s="62" t="s">
        <v>386</v>
      </c>
      <c r="C6073" s="62" t="s">
        <v>60</v>
      </c>
      <c r="D6073" s="62" t="s">
        <v>67</v>
      </c>
      <c r="E6073" s="62" t="s">
        <v>382</v>
      </c>
      <c r="F6073" s="63" t="s">
        <v>629</v>
      </c>
      <c r="G6073" s="64" t="n">
        <v>3306030</v>
      </c>
      <c r="H6073" s="62" t="s">
        <v>138</v>
      </c>
    </row>
    <row r="6074" customFormat="false" ht="15" hidden="false" customHeight="false" outlineLevel="0" collapsed="false">
      <c r="A6074" s="62" t="n">
        <v>1</v>
      </c>
      <c r="B6074" s="62" t="s">
        <v>387</v>
      </c>
      <c r="C6074" s="62" t="s">
        <v>60</v>
      </c>
      <c r="D6074" s="62" t="s">
        <v>67</v>
      </c>
      <c r="E6074" s="62" t="s">
        <v>382</v>
      </c>
      <c r="F6074" s="63" t="s">
        <v>629</v>
      </c>
      <c r="G6074" s="64" t="n">
        <v>1345358.85227162</v>
      </c>
      <c r="H6074" s="62" t="s">
        <v>138</v>
      </c>
    </row>
    <row r="6075" customFormat="false" ht="15" hidden="false" customHeight="false" outlineLevel="0" collapsed="false">
      <c r="A6075" s="62" t="n">
        <v>1</v>
      </c>
      <c r="B6075" s="62" t="s">
        <v>388</v>
      </c>
      <c r="C6075" s="62" t="s">
        <v>60</v>
      </c>
      <c r="D6075" s="62" t="s">
        <v>67</v>
      </c>
      <c r="E6075" s="62" t="s">
        <v>382</v>
      </c>
      <c r="F6075" s="63" t="s">
        <v>629</v>
      </c>
      <c r="G6075" s="64" t="n">
        <v>3512320</v>
      </c>
      <c r="H6075" s="62" t="s">
        <v>138</v>
      </c>
    </row>
    <row r="6076" customFormat="false" ht="15" hidden="false" customHeight="false" outlineLevel="0" collapsed="false">
      <c r="A6076" s="62" t="n">
        <v>1</v>
      </c>
      <c r="B6076" s="62" t="s">
        <v>381</v>
      </c>
      <c r="C6076" s="62" t="s">
        <v>60</v>
      </c>
      <c r="D6076" s="62" t="s">
        <v>67</v>
      </c>
      <c r="E6076" s="62" t="s">
        <v>382</v>
      </c>
      <c r="F6076" s="63" t="s">
        <v>630</v>
      </c>
      <c r="G6076" s="64" t="n">
        <v>10607383.0443867</v>
      </c>
      <c r="H6076" s="62" t="s">
        <v>138</v>
      </c>
    </row>
    <row r="6077" customFormat="false" ht="15" hidden="false" customHeight="false" outlineLevel="0" collapsed="false">
      <c r="A6077" s="62" t="n">
        <v>1</v>
      </c>
      <c r="B6077" s="62" t="s">
        <v>383</v>
      </c>
      <c r="C6077" s="62" t="s">
        <v>60</v>
      </c>
      <c r="D6077" s="62" t="s">
        <v>67</v>
      </c>
      <c r="E6077" s="62" t="s">
        <v>382</v>
      </c>
      <c r="F6077" s="63" t="s">
        <v>630</v>
      </c>
      <c r="G6077" s="64" t="n">
        <v>8722186.76095349</v>
      </c>
      <c r="H6077" s="62" t="s">
        <v>138</v>
      </c>
    </row>
    <row r="6078" customFormat="false" ht="15" hidden="false" customHeight="false" outlineLevel="0" collapsed="false">
      <c r="A6078" s="62" t="n">
        <v>1</v>
      </c>
      <c r="B6078" s="62" t="s">
        <v>384</v>
      </c>
      <c r="C6078" s="62" t="s">
        <v>60</v>
      </c>
      <c r="D6078" s="62" t="s">
        <v>67</v>
      </c>
      <c r="E6078" s="62" t="s">
        <v>382</v>
      </c>
      <c r="F6078" s="63" t="s">
        <v>630</v>
      </c>
      <c r="G6078" s="64" t="n">
        <v>8423439.19551065</v>
      </c>
      <c r="H6078" s="62" t="s">
        <v>138</v>
      </c>
    </row>
    <row r="6079" customFormat="false" ht="15" hidden="false" customHeight="false" outlineLevel="0" collapsed="false">
      <c r="A6079" s="62" t="n">
        <v>1</v>
      </c>
      <c r="B6079" s="62" t="s">
        <v>385</v>
      </c>
      <c r="C6079" s="62" t="s">
        <v>60</v>
      </c>
      <c r="D6079" s="62" t="s">
        <v>67</v>
      </c>
      <c r="E6079" s="62" t="s">
        <v>382</v>
      </c>
      <c r="F6079" s="63" t="s">
        <v>630</v>
      </c>
      <c r="G6079" s="64" t="n">
        <v>9346572.1163773</v>
      </c>
      <c r="H6079" s="62" t="s">
        <v>138</v>
      </c>
    </row>
    <row r="6080" customFormat="false" ht="15" hidden="false" customHeight="false" outlineLevel="0" collapsed="false">
      <c r="A6080" s="62" t="n">
        <v>1</v>
      </c>
      <c r="B6080" s="62" t="s">
        <v>386</v>
      </c>
      <c r="C6080" s="62" t="s">
        <v>60</v>
      </c>
      <c r="D6080" s="62" t="s">
        <v>67</v>
      </c>
      <c r="E6080" s="62" t="s">
        <v>382</v>
      </c>
      <c r="F6080" s="63" t="s">
        <v>630</v>
      </c>
      <c r="G6080" s="64" t="n">
        <v>12967901.0126045</v>
      </c>
      <c r="H6080" s="62" t="s">
        <v>138</v>
      </c>
    </row>
    <row r="6081" customFormat="false" ht="15" hidden="false" customHeight="false" outlineLevel="0" collapsed="false">
      <c r="A6081" s="62" t="n">
        <v>1</v>
      </c>
      <c r="B6081" s="62" t="s">
        <v>387</v>
      </c>
      <c r="C6081" s="62" t="s">
        <v>60</v>
      </c>
      <c r="D6081" s="62" t="s">
        <v>67</v>
      </c>
      <c r="E6081" s="62" t="s">
        <v>382</v>
      </c>
      <c r="F6081" s="63" t="s">
        <v>630</v>
      </c>
      <c r="G6081" s="64" t="n">
        <v>5515746.8428868</v>
      </c>
      <c r="H6081" s="62" t="s">
        <v>138</v>
      </c>
    </row>
    <row r="6082" customFormat="false" ht="15" hidden="false" customHeight="false" outlineLevel="0" collapsed="false">
      <c r="A6082" s="62" t="n">
        <v>1</v>
      </c>
      <c r="B6082" s="62" t="s">
        <v>388</v>
      </c>
      <c r="C6082" s="62" t="s">
        <v>60</v>
      </c>
      <c r="D6082" s="62" t="s">
        <v>67</v>
      </c>
      <c r="E6082" s="62" t="s">
        <v>382</v>
      </c>
      <c r="F6082" s="63" t="s">
        <v>630</v>
      </c>
      <c r="G6082" s="64" t="n">
        <v>11696067.6129035</v>
      </c>
      <c r="H6082" s="62" t="s">
        <v>138</v>
      </c>
    </row>
    <row r="6083" customFormat="false" ht="15" hidden="false" customHeight="false" outlineLevel="0" collapsed="false">
      <c r="A6083" s="62" t="n">
        <v>1</v>
      </c>
      <c r="B6083" s="62" t="s">
        <v>381</v>
      </c>
      <c r="C6083" s="62" t="s">
        <v>60</v>
      </c>
      <c r="D6083" s="62" t="s">
        <v>67</v>
      </c>
      <c r="E6083" s="62" t="s">
        <v>382</v>
      </c>
      <c r="F6083" s="63" t="s">
        <v>631</v>
      </c>
      <c r="G6083" s="64" t="n">
        <v>2740577.40712593</v>
      </c>
      <c r="H6083" s="62" t="s">
        <v>138</v>
      </c>
    </row>
    <row r="6084" customFormat="false" ht="15" hidden="false" customHeight="false" outlineLevel="0" collapsed="false">
      <c r="A6084" s="62" t="n">
        <v>1</v>
      </c>
      <c r="B6084" s="62" t="s">
        <v>383</v>
      </c>
      <c r="C6084" s="62" t="s">
        <v>60</v>
      </c>
      <c r="D6084" s="62" t="s">
        <v>67</v>
      </c>
      <c r="E6084" s="62" t="s">
        <v>382</v>
      </c>
      <c r="F6084" s="63" t="s">
        <v>631</v>
      </c>
      <c r="G6084" s="64" t="n">
        <v>4820992.37307775</v>
      </c>
      <c r="H6084" s="62" t="s">
        <v>138</v>
      </c>
    </row>
    <row r="6085" customFormat="false" ht="15" hidden="false" customHeight="false" outlineLevel="0" collapsed="false">
      <c r="A6085" s="62" t="n">
        <v>1</v>
      </c>
      <c r="B6085" s="62" t="s">
        <v>384</v>
      </c>
      <c r="C6085" s="62" t="s">
        <v>60</v>
      </c>
      <c r="D6085" s="62" t="s">
        <v>67</v>
      </c>
      <c r="E6085" s="62" t="s">
        <v>382</v>
      </c>
      <c r="F6085" s="63" t="s">
        <v>631</v>
      </c>
      <c r="G6085" s="64" t="n">
        <v>4476924.18688473</v>
      </c>
      <c r="H6085" s="62" t="s">
        <v>138</v>
      </c>
    </row>
    <row r="6086" customFormat="false" ht="15" hidden="false" customHeight="false" outlineLevel="0" collapsed="false">
      <c r="A6086" s="62" t="n">
        <v>1</v>
      </c>
      <c r="B6086" s="62" t="s">
        <v>385</v>
      </c>
      <c r="C6086" s="62" t="s">
        <v>60</v>
      </c>
      <c r="D6086" s="62" t="s">
        <v>67</v>
      </c>
      <c r="E6086" s="62" t="s">
        <v>382</v>
      </c>
      <c r="F6086" s="63" t="s">
        <v>631</v>
      </c>
      <c r="G6086" s="64" t="n">
        <v>3289365.5192119</v>
      </c>
      <c r="H6086" s="62" t="s">
        <v>138</v>
      </c>
    </row>
    <row r="6087" customFormat="false" ht="15" hidden="false" customHeight="false" outlineLevel="0" collapsed="false">
      <c r="A6087" s="62" t="n">
        <v>1</v>
      </c>
      <c r="B6087" s="62" t="s">
        <v>386</v>
      </c>
      <c r="C6087" s="62" t="s">
        <v>60</v>
      </c>
      <c r="D6087" s="62" t="s">
        <v>67</v>
      </c>
      <c r="E6087" s="62" t="s">
        <v>382</v>
      </c>
      <c r="F6087" s="63" t="s">
        <v>631</v>
      </c>
      <c r="G6087" s="64" t="n">
        <v>6317273.98739546</v>
      </c>
      <c r="H6087" s="62" t="s">
        <v>138</v>
      </c>
    </row>
    <row r="6088" customFormat="false" ht="15" hidden="false" customHeight="false" outlineLevel="0" collapsed="false">
      <c r="A6088" s="62" t="n">
        <v>1</v>
      </c>
      <c r="B6088" s="62" t="s">
        <v>387</v>
      </c>
      <c r="C6088" s="62" t="s">
        <v>60</v>
      </c>
      <c r="D6088" s="62" t="s">
        <v>67</v>
      </c>
      <c r="E6088" s="62" t="s">
        <v>382</v>
      </c>
      <c r="F6088" s="63" t="s">
        <v>631</v>
      </c>
      <c r="G6088" s="64" t="n">
        <v>3132988.6360022</v>
      </c>
      <c r="H6088" s="62" t="s">
        <v>138</v>
      </c>
    </row>
    <row r="6089" customFormat="false" ht="15" hidden="false" customHeight="false" outlineLevel="0" collapsed="false">
      <c r="A6089" s="62" t="n">
        <v>1</v>
      </c>
      <c r="B6089" s="62" t="s">
        <v>388</v>
      </c>
      <c r="C6089" s="62" t="s">
        <v>60</v>
      </c>
      <c r="D6089" s="62" t="s">
        <v>67</v>
      </c>
      <c r="E6089" s="62" t="s">
        <v>382</v>
      </c>
      <c r="F6089" s="63" t="s">
        <v>631</v>
      </c>
      <c r="G6089" s="64" t="n">
        <v>3851324.38709645</v>
      </c>
      <c r="H6089" s="62" t="s">
        <v>138</v>
      </c>
    </row>
    <row r="6090" customFormat="false" ht="15" hidden="false" customHeight="false" outlineLevel="0" collapsed="false">
      <c r="A6090" s="62" t="n">
        <v>1</v>
      </c>
      <c r="B6090" s="62" t="s">
        <v>381</v>
      </c>
      <c r="C6090" s="62" t="s">
        <v>60</v>
      </c>
      <c r="D6090" s="62" t="s">
        <v>67</v>
      </c>
      <c r="E6090" s="62" t="s">
        <v>382</v>
      </c>
      <c r="F6090" s="63" t="s">
        <v>632</v>
      </c>
      <c r="G6090" s="64" t="n">
        <v>300000</v>
      </c>
      <c r="H6090" s="62" t="s">
        <v>138</v>
      </c>
    </row>
    <row r="6091" customFormat="false" ht="15" hidden="false" customHeight="false" outlineLevel="0" collapsed="false">
      <c r="A6091" s="62" t="n">
        <v>1</v>
      </c>
      <c r="B6091" s="62" t="s">
        <v>383</v>
      </c>
      <c r="C6091" s="62" t="s">
        <v>60</v>
      </c>
      <c r="D6091" s="62" t="s">
        <v>67</v>
      </c>
      <c r="E6091" s="62" t="s">
        <v>382</v>
      </c>
      <c r="F6091" s="63" t="s">
        <v>632</v>
      </c>
      <c r="G6091" s="64" t="n">
        <v>1415777</v>
      </c>
      <c r="H6091" s="62" t="s">
        <v>138</v>
      </c>
    </row>
    <row r="6092" customFormat="false" ht="15" hidden="false" customHeight="false" outlineLevel="0" collapsed="false">
      <c r="A6092" s="62" t="n">
        <v>1</v>
      </c>
      <c r="B6092" s="62" t="s">
        <v>384</v>
      </c>
      <c r="C6092" s="62" t="s">
        <v>60</v>
      </c>
      <c r="D6092" s="62" t="s">
        <v>67</v>
      </c>
      <c r="E6092" s="62" t="s">
        <v>382</v>
      </c>
      <c r="F6092" s="63" t="s">
        <v>632</v>
      </c>
      <c r="G6092" s="64" t="n">
        <v>703011</v>
      </c>
      <c r="H6092" s="62" t="s">
        <v>138</v>
      </c>
    </row>
    <row r="6093" customFormat="false" ht="15" hidden="false" customHeight="false" outlineLevel="0" collapsed="false">
      <c r="A6093" s="62" t="n">
        <v>1</v>
      </c>
      <c r="B6093" s="62" t="s">
        <v>385</v>
      </c>
      <c r="C6093" s="62" t="s">
        <v>60</v>
      </c>
      <c r="D6093" s="62" t="s">
        <v>67</v>
      </c>
      <c r="E6093" s="62" t="s">
        <v>382</v>
      </c>
      <c r="F6093" s="63" t="s">
        <v>632</v>
      </c>
      <c r="G6093" s="64" t="n">
        <v>703395</v>
      </c>
      <c r="H6093" s="62" t="s">
        <v>138</v>
      </c>
    </row>
    <row r="6094" customFormat="false" ht="15" hidden="false" customHeight="false" outlineLevel="0" collapsed="false">
      <c r="A6094" s="62" t="n">
        <v>1</v>
      </c>
      <c r="B6094" s="62" t="s">
        <v>386</v>
      </c>
      <c r="C6094" s="62" t="s">
        <v>60</v>
      </c>
      <c r="D6094" s="62" t="s">
        <v>67</v>
      </c>
      <c r="E6094" s="62" t="s">
        <v>382</v>
      </c>
      <c r="F6094" s="63" t="s">
        <v>632</v>
      </c>
      <c r="G6094" s="64" t="n">
        <v>1150000</v>
      </c>
      <c r="H6094" s="62" t="s">
        <v>138</v>
      </c>
    </row>
    <row r="6095" customFormat="false" ht="15" hidden="false" customHeight="false" outlineLevel="0" collapsed="false">
      <c r="A6095" s="62" t="n">
        <v>1</v>
      </c>
      <c r="B6095" s="62" t="s">
        <v>387</v>
      </c>
      <c r="C6095" s="62" t="s">
        <v>60</v>
      </c>
      <c r="D6095" s="62" t="s">
        <v>67</v>
      </c>
      <c r="E6095" s="62" t="s">
        <v>382</v>
      </c>
      <c r="F6095" s="63" t="s">
        <v>632</v>
      </c>
      <c r="G6095" s="64" t="n">
        <v>375691.5</v>
      </c>
      <c r="H6095" s="62" t="s">
        <v>138</v>
      </c>
    </row>
    <row r="6096" customFormat="false" ht="15" hidden="false" customHeight="false" outlineLevel="0" collapsed="false">
      <c r="A6096" s="62" t="n">
        <v>1</v>
      </c>
      <c r="B6096" s="62" t="s">
        <v>388</v>
      </c>
      <c r="C6096" s="62" t="s">
        <v>60</v>
      </c>
      <c r="D6096" s="62" t="s">
        <v>67</v>
      </c>
      <c r="E6096" s="62" t="s">
        <v>382</v>
      </c>
      <c r="F6096" s="63" t="s">
        <v>632</v>
      </c>
      <c r="G6096" s="64" t="n">
        <v>924645</v>
      </c>
      <c r="H6096" s="62" t="s">
        <v>138</v>
      </c>
    </row>
    <row r="6097" customFormat="false" ht="15" hidden="false" customHeight="false" outlineLevel="0" collapsed="false">
      <c r="A6097" s="62" t="n">
        <v>1</v>
      </c>
      <c r="B6097" s="62" t="s">
        <v>381</v>
      </c>
      <c r="C6097" s="62" t="s">
        <v>60</v>
      </c>
      <c r="D6097" s="62" t="s">
        <v>67</v>
      </c>
      <c r="E6097" s="62" t="s">
        <v>382</v>
      </c>
      <c r="F6097" s="63" t="s">
        <v>633</v>
      </c>
      <c r="G6097" s="64" t="n">
        <v>2440577.40712593</v>
      </c>
      <c r="H6097" s="62" t="s">
        <v>138</v>
      </c>
    </row>
    <row r="6098" customFormat="false" ht="15" hidden="false" customHeight="false" outlineLevel="0" collapsed="false">
      <c r="A6098" s="62" t="n">
        <v>1</v>
      </c>
      <c r="B6098" s="62" t="s">
        <v>383</v>
      </c>
      <c r="C6098" s="62" t="s">
        <v>60</v>
      </c>
      <c r="D6098" s="62" t="s">
        <v>67</v>
      </c>
      <c r="E6098" s="62" t="s">
        <v>382</v>
      </c>
      <c r="F6098" s="63" t="s">
        <v>633</v>
      </c>
      <c r="G6098" s="64" t="n">
        <v>3405215.37307775</v>
      </c>
      <c r="H6098" s="62" t="s">
        <v>138</v>
      </c>
    </row>
    <row r="6099" customFormat="false" ht="15" hidden="false" customHeight="false" outlineLevel="0" collapsed="false">
      <c r="A6099" s="62" t="n">
        <v>1</v>
      </c>
      <c r="B6099" s="62" t="s">
        <v>384</v>
      </c>
      <c r="C6099" s="62" t="s">
        <v>60</v>
      </c>
      <c r="D6099" s="62" t="s">
        <v>67</v>
      </c>
      <c r="E6099" s="62" t="s">
        <v>382</v>
      </c>
      <c r="F6099" s="63" t="s">
        <v>633</v>
      </c>
      <c r="G6099" s="64" t="n">
        <v>3773913.18688473</v>
      </c>
      <c r="H6099" s="62" t="s">
        <v>138</v>
      </c>
    </row>
    <row r="6100" customFormat="false" ht="15" hidden="false" customHeight="false" outlineLevel="0" collapsed="false">
      <c r="A6100" s="62" t="n">
        <v>1</v>
      </c>
      <c r="B6100" s="62" t="s">
        <v>385</v>
      </c>
      <c r="C6100" s="62" t="s">
        <v>60</v>
      </c>
      <c r="D6100" s="62" t="s">
        <v>67</v>
      </c>
      <c r="E6100" s="62" t="s">
        <v>382</v>
      </c>
      <c r="F6100" s="63" t="s">
        <v>633</v>
      </c>
      <c r="G6100" s="64" t="n">
        <v>2585970.5192119</v>
      </c>
      <c r="H6100" s="62" t="s">
        <v>138</v>
      </c>
    </row>
    <row r="6101" customFormat="false" ht="15" hidden="false" customHeight="false" outlineLevel="0" collapsed="false">
      <c r="A6101" s="62" t="n">
        <v>1</v>
      </c>
      <c r="B6101" s="62" t="s">
        <v>386</v>
      </c>
      <c r="C6101" s="62" t="s">
        <v>60</v>
      </c>
      <c r="D6101" s="62" t="s">
        <v>67</v>
      </c>
      <c r="E6101" s="62" t="s">
        <v>382</v>
      </c>
      <c r="F6101" s="63" t="s">
        <v>633</v>
      </c>
      <c r="G6101" s="64" t="n">
        <v>5167273.98739546</v>
      </c>
      <c r="H6101" s="62" t="s">
        <v>138</v>
      </c>
    </row>
    <row r="6102" customFormat="false" ht="15" hidden="false" customHeight="false" outlineLevel="0" collapsed="false">
      <c r="A6102" s="62" t="n">
        <v>1</v>
      </c>
      <c r="B6102" s="62" t="s">
        <v>387</v>
      </c>
      <c r="C6102" s="62" t="s">
        <v>60</v>
      </c>
      <c r="D6102" s="62" t="s">
        <v>67</v>
      </c>
      <c r="E6102" s="62" t="s">
        <v>382</v>
      </c>
      <c r="F6102" s="63" t="s">
        <v>633</v>
      </c>
      <c r="G6102" s="64" t="n">
        <v>2757297.1360022</v>
      </c>
      <c r="H6102" s="62" t="s">
        <v>138</v>
      </c>
    </row>
    <row r="6103" customFormat="false" ht="15" hidden="false" customHeight="false" outlineLevel="0" collapsed="false">
      <c r="A6103" s="62" t="n">
        <v>1</v>
      </c>
      <c r="B6103" s="62" t="s">
        <v>388</v>
      </c>
      <c r="C6103" s="62" t="s">
        <v>60</v>
      </c>
      <c r="D6103" s="62" t="s">
        <v>67</v>
      </c>
      <c r="E6103" s="62" t="s">
        <v>382</v>
      </c>
      <c r="F6103" s="63" t="s">
        <v>633</v>
      </c>
      <c r="G6103" s="64" t="n">
        <v>2926679.38709645</v>
      </c>
      <c r="H6103" s="62" t="s">
        <v>138</v>
      </c>
    </row>
    <row r="6104" customFormat="false" ht="15" hidden="false" customHeight="false" outlineLevel="0" collapsed="false">
      <c r="A6104" s="62" t="n">
        <v>1</v>
      </c>
      <c r="B6104" s="62" t="s">
        <v>381</v>
      </c>
      <c r="C6104" s="62" t="s">
        <v>60</v>
      </c>
      <c r="D6104" s="62" t="s">
        <v>67</v>
      </c>
      <c r="E6104" s="62" t="s">
        <v>382</v>
      </c>
      <c r="F6104" s="63" t="s">
        <v>853</v>
      </c>
      <c r="G6104" s="64" t="n">
        <v>6302120.11685463</v>
      </c>
      <c r="H6104" s="62" t="s">
        <v>138</v>
      </c>
    </row>
    <row r="6105" customFormat="false" ht="15" hidden="false" customHeight="false" outlineLevel="0" collapsed="false">
      <c r="A6105" s="62" t="n">
        <v>1</v>
      </c>
      <c r="B6105" s="62" t="s">
        <v>383</v>
      </c>
      <c r="C6105" s="62" t="s">
        <v>60</v>
      </c>
      <c r="D6105" s="62" t="s">
        <v>67</v>
      </c>
      <c r="E6105" s="62" t="s">
        <v>382</v>
      </c>
      <c r="F6105" s="63" t="s">
        <v>853</v>
      </c>
      <c r="G6105" s="64" t="n">
        <v>7869065.4</v>
      </c>
      <c r="H6105" s="62" t="s">
        <v>138</v>
      </c>
    </row>
    <row r="6106" customFormat="false" ht="15" hidden="false" customHeight="false" outlineLevel="0" collapsed="false">
      <c r="A6106" s="62" t="n">
        <v>1</v>
      </c>
      <c r="B6106" s="62" t="s">
        <v>387</v>
      </c>
      <c r="C6106" s="62" t="s">
        <v>60</v>
      </c>
      <c r="D6106" s="62" t="s">
        <v>67</v>
      </c>
      <c r="E6106" s="62" t="s">
        <v>382</v>
      </c>
      <c r="F6106" s="63" t="s">
        <v>853</v>
      </c>
      <c r="G6106" s="64" t="n">
        <v>8329367.7049043</v>
      </c>
      <c r="H6106" s="62" t="s">
        <v>138</v>
      </c>
    </row>
    <row r="6107" customFormat="false" ht="15" hidden="false" customHeight="false" outlineLevel="0" collapsed="false">
      <c r="A6107" s="62" t="n">
        <v>1</v>
      </c>
      <c r="B6107" s="62" t="s">
        <v>388</v>
      </c>
      <c r="C6107" s="62" t="s">
        <v>60</v>
      </c>
      <c r="D6107" s="62" t="s">
        <v>67</v>
      </c>
      <c r="E6107" s="62" t="s">
        <v>382</v>
      </c>
      <c r="F6107" s="63" t="s">
        <v>853</v>
      </c>
      <c r="G6107" s="64" t="n">
        <v>4809168</v>
      </c>
      <c r="H6107" s="62" t="s">
        <v>138</v>
      </c>
    </row>
    <row r="6108" customFormat="false" ht="15" hidden="false" customHeight="false" outlineLevel="0" collapsed="false">
      <c r="A6108" s="62" t="n">
        <v>1</v>
      </c>
      <c r="B6108" s="62" t="s">
        <v>381</v>
      </c>
      <c r="C6108" s="62" t="s">
        <v>60</v>
      </c>
      <c r="D6108" s="62" t="s">
        <v>67</v>
      </c>
      <c r="E6108" s="62" t="s">
        <v>382</v>
      </c>
      <c r="F6108" s="63" t="s">
        <v>854</v>
      </c>
      <c r="G6108" s="64" t="n">
        <v>5089522.81025244</v>
      </c>
      <c r="H6108" s="62" t="s">
        <v>138</v>
      </c>
    </row>
    <row r="6109" customFormat="false" ht="15" hidden="false" customHeight="false" outlineLevel="0" collapsed="false">
      <c r="A6109" s="62" t="n">
        <v>1</v>
      </c>
      <c r="B6109" s="62" t="s">
        <v>383</v>
      </c>
      <c r="C6109" s="62" t="s">
        <v>60</v>
      </c>
      <c r="D6109" s="62" t="s">
        <v>67</v>
      </c>
      <c r="E6109" s="62" t="s">
        <v>382</v>
      </c>
      <c r="F6109" s="63" t="s">
        <v>854</v>
      </c>
      <c r="G6109" s="64" t="n">
        <v>5194373.34687661</v>
      </c>
      <c r="H6109" s="62" t="s">
        <v>138</v>
      </c>
    </row>
    <row r="6110" customFormat="false" ht="15" hidden="false" customHeight="false" outlineLevel="0" collapsed="false">
      <c r="A6110" s="62" t="n">
        <v>1</v>
      </c>
      <c r="B6110" s="62" t="s">
        <v>387</v>
      </c>
      <c r="C6110" s="62" t="s">
        <v>60</v>
      </c>
      <c r="D6110" s="62" t="s">
        <v>67</v>
      </c>
      <c r="E6110" s="62" t="s">
        <v>382</v>
      </c>
      <c r="F6110" s="63" t="s">
        <v>854</v>
      </c>
      <c r="G6110" s="64" t="n">
        <v>6222800.15755517</v>
      </c>
      <c r="H6110" s="62" t="s">
        <v>138</v>
      </c>
    </row>
    <row r="6111" customFormat="false" ht="15" hidden="false" customHeight="false" outlineLevel="0" collapsed="false">
      <c r="A6111" s="62" t="n">
        <v>1</v>
      </c>
      <c r="B6111" s="62" t="s">
        <v>388</v>
      </c>
      <c r="C6111" s="62" t="s">
        <v>60</v>
      </c>
      <c r="D6111" s="62" t="s">
        <v>67</v>
      </c>
      <c r="E6111" s="62" t="s">
        <v>382</v>
      </c>
      <c r="F6111" s="63" t="s">
        <v>854</v>
      </c>
      <c r="G6111" s="64" t="n">
        <v>3871785.04916452</v>
      </c>
      <c r="H6111" s="62" t="s">
        <v>138</v>
      </c>
    </row>
    <row r="6112" customFormat="false" ht="15" hidden="false" customHeight="false" outlineLevel="0" collapsed="false">
      <c r="A6112" s="62" t="n">
        <v>1</v>
      </c>
      <c r="B6112" s="62" t="s">
        <v>381</v>
      </c>
      <c r="C6112" s="62" t="s">
        <v>60</v>
      </c>
      <c r="D6112" s="62" t="s">
        <v>67</v>
      </c>
      <c r="E6112" s="62" t="s">
        <v>382</v>
      </c>
      <c r="F6112" s="63" t="s">
        <v>855</v>
      </c>
      <c r="G6112" s="64" t="n">
        <v>170327.570725801</v>
      </c>
      <c r="H6112" s="62" t="s">
        <v>138</v>
      </c>
    </row>
    <row r="6113" customFormat="false" ht="15" hidden="false" customHeight="false" outlineLevel="0" collapsed="false">
      <c r="A6113" s="62" t="n">
        <v>1</v>
      </c>
      <c r="B6113" s="62" t="s">
        <v>383</v>
      </c>
      <c r="C6113" s="62" t="s">
        <v>60</v>
      </c>
      <c r="D6113" s="62" t="s">
        <v>67</v>
      </c>
      <c r="E6113" s="62" t="s">
        <v>382</v>
      </c>
      <c r="F6113" s="63" t="s">
        <v>855</v>
      </c>
      <c r="G6113" s="64" t="n">
        <v>449820</v>
      </c>
      <c r="H6113" s="62" t="s">
        <v>138</v>
      </c>
    </row>
    <row r="6114" customFormat="false" ht="15" hidden="false" customHeight="false" outlineLevel="0" collapsed="false">
      <c r="A6114" s="62" t="n">
        <v>1</v>
      </c>
      <c r="B6114" s="62" t="s">
        <v>387</v>
      </c>
      <c r="C6114" s="62" t="s">
        <v>60</v>
      </c>
      <c r="D6114" s="62" t="s">
        <v>67</v>
      </c>
      <c r="E6114" s="62" t="s">
        <v>382</v>
      </c>
      <c r="F6114" s="63" t="s">
        <v>855</v>
      </c>
      <c r="G6114" s="64" t="n">
        <v>685947.928639178</v>
      </c>
      <c r="H6114" s="62" t="s">
        <v>138</v>
      </c>
    </row>
    <row r="6115" customFormat="false" ht="15" hidden="false" customHeight="false" outlineLevel="0" collapsed="false">
      <c r="A6115" s="62" t="n">
        <v>1</v>
      </c>
      <c r="B6115" s="62" t="s">
        <v>388</v>
      </c>
      <c r="C6115" s="62" t="s">
        <v>60</v>
      </c>
      <c r="D6115" s="62" t="s">
        <v>67</v>
      </c>
      <c r="E6115" s="62" t="s">
        <v>382</v>
      </c>
      <c r="F6115" s="63" t="s">
        <v>855</v>
      </c>
      <c r="G6115" s="64" t="n">
        <v>235200</v>
      </c>
      <c r="H6115" s="62" t="s">
        <v>138</v>
      </c>
    </row>
    <row r="6116" customFormat="false" ht="15" hidden="false" customHeight="false" outlineLevel="0" collapsed="false">
      <c r="A6116" s="62" t="n">
        <v>1</v>
      </c>
      <c r="B6116" s="62" t="s">
        <v>381</v>
      </c>
      <c r="C6116" s="62" t="s">
        <v>60</v>
      </c>
      <c r="D6116" s="62" t="s">
        <v>67</v>
      </c>
      <c r="E6116" s="62" t="s">
        <v>382</v>
      </c>
      <c r="F6116" s="63" t="s">
        <v>856</v>
      </c>
      <c r="G6116" s="64" t="n">
        <v>5259850.38097824</v>
      </c>
      <c r="H6116" s="62" t="s">
        <v>138</v>
      </c>
    </row>
    <row r="6117" customFormat="false" ht="15" hidden="false" customHeight="false" outlineLevel="0" collapsed="false">
      <c r="A6117" s="62" t="n">
        <v>1</v>
      </c>
      <c r="B6117" s="62" t="s">
        <v>383</v>
      </c>
      <c r="C6117" s="62" t="s">
        <v>60</v>
      </c>
      <c r="D6117" s="62" t="s">
        <v>67</v>
      </c>
      <c r="E6117" s="62" t="s">
        <v>382</v>
      </c>
      <c r="F6117" s="63" t="s">
        <v>856</v>
      </c>
      <c r="G6117" s="64" t="n">
        <v>5644193.34687661</v>
      </c>
      <c r="H6117" s="62" t="s">
        <v>138</v>
      </c>
    </row>
    <row r="6118" customFormat="false" ht="15" hidden="false" customHeight="false" outlineLevel="0" collapsed="false">
      <c r="A6118" s="62" t="n">
        <v>1</v>
      </c>
      <c r="B6118" s="62" t="s">
        <v>387</v>
      </c>
      <c r="C6118" s="62" t="s">
        <v>60</v>
      </c>
      <c r="D6118" s="62" t="s">
        <v>67</v>
      </c>
      <c r="E6118" s="62" t="s">
        <v>382</v>
      </c>
      <c r="F6118" s="63" t="s">
        <v>856</v>
      </c>
      <c r="G6118" s="64" t="n">
        <v>6908748.08619435</v>
      </c>
      <c r="H6118" s="62" t="s">
        <v>138</v>
      </c>
    </row>
    <row r="6119" customFormat="false" ht="15" hidden="false" customHeight="false" outlineLevel="0" collapsed="false">
      <c r="A6119" s="62" t="n">
        <v>1</v>
      </c>
      <c r="B6119" s="62" t="s">
        <v>388</v>
      </c>
      <c r="C6119" s="62" t="s">
        <v>60</v>
      </c>
      <c r="D6119" s="62" t="s">
        <v>67</v>
      </c>
      <c r="E6119" s="62" t="s">
        <v>382</v>
      </c>
      <c r="F6119" s="63" t="s">
        <v>856</v>
      </c>
      <c r="G6119" s="64" t="n">
        <v>4106985.04916452</v>
      </c>
      <c r="H6119" s="62" t="s">
        <v>138</v>
      </c>
    </row>
    <row r="6120" customFormat="false" ht="15" hidden="false" customHeight="false" outlineLevel="0" collapsed="false">
      <c r="A6120" s="62" t="n">
        <v>1</v>
      </c>
      <c r="B6120" s="62" t="s">
        <v>381</v>
      </c>
      <c r="C6120" s="62" t="s">
        <v>60</v>
      </c>
      <c r="D6120" s="62" t="s">
        <v>67</v>
      </c>
      <c r="E6120" s="62" t="s">
        <v>382</v>
      </c>
      <c r="F6120" s="63" t="s">
        <v>857</v>
      </c>
      <c r="G6120" s="64" t="n">
        <v>1042269.73587639</v>
      </c>
      <c r="H6120" s="62" t="s">
        <v>138</v>
      </c>
    </row>
    <row r="6121" customFormat="false" ht="15" hidden="false" customHeight="false" outlineLevel="0" collapsed="false">
      <c r="A6121" s="62" t="n">
        <v>1</v>
      </c>
      <c r="B6121" s="62" t="s">
        <v>383</v>
      </c>
      <c r="C6121" s="62" t="s">
        <v>60</v>
      </c>
      <c r="D6121" s="62" t="s">
        <v>67</v>
      </c>
      <c r="E6121" s="62" t="s">
        <v>382</v>
      </c>
      <c r="F6121" s="63" t="s">
        <v>857</v>
      </c>
      <c r="G6121" s="64" t="n">
        <v>2224872.05312339</v>
      </c>
      <c r="H6121" s="62" t="s">
        <v>138</v>
      </c>
    </row>
    <row r="6122" customFormat="false" ht="15" hidden="false" customHeight="false" outlineLevel="0" collapsed="false">
      <c r="A6122" s="62" t="n">
        <v>1</v>
      </c>
      <c r="B6122" s="62" t="s">
        <v>387</v>
      </c>
      <c r="C6122" s="62" t="s">
        <v>60</v>
      </c>
      <c r="D6122" s="62" t="s">
        <v>67</v>
      </c>
      <c r="E6122" s="62" t="s">
        <v>382</v>
      </c>
      <c r="F6122" s="63" t="s">
        <v>857</v>
      </c>
      <c r="G6122" s="64" t="n">
        <v>1420619.61870995</v>
      </c>
      <c r="H6122" s="62" t="s">
        <v>138</v>
      </c>
    </row>
    <row r="6123" customFormat="false" ht="15" hidden="false" customHeight="false" outlineLevel="0" collapsed="false">
      <c r="A6123" s="62" t="n">
        <v>1</v>
      </c>
      <c r="B6123" s="62" t="s">
        <v>388</v>
      </c>
      <c r="C6123" s="62" t="s">
        <v>60</v>
      </c>
      <c r="D6123" s="62" t="s">
        <v>67</v>
      </c>
      <c r="E6123" s="62" t="s">
        <v>382</v>
      </c>
      <c r="F6123" s="63" t="s">
        <v>857</v>
      </c>
      <c r="G6123" s="64" t="n">
        <v>702182.950835479</v>
      </c>
      <c r="H6123" s="62" t="s">
        <v>138</v>
      </c>
    </row>
    <row r="6124" customFormat="false" ht="15" hidden="false" customHeight="false" outlineLevel="0" collapsed="false">
      <c r="A6124" s="62" t="n">
        <v>1</v>
      </c>
      <c r="B6124" s="62" t="s">
        <v>383</v>
      </c>
      <c r="C6124" s="62" t="s">
        <v>60</v>
      </c>
      <c r="D6124" s="62" t="s">
        <v>67</v>
      </c>
      <c r="E6124" s="62" t="s">
        <v>382</v>
      </c>
      <c r="F6124" s="63" t="s">
        <v>858</v>
      </c>
      <c r="G6124" s="64" t="n">
        <v>469823</v>
      </c>
      <c r="H6124" s="62" t="s">
        <v>138</v>
      </c>
    </row>
    <row r="6125" customFormat="false" ht="15" hidden="false" customHeight="false" outlineLevel="0" collapsed="false">
      <c r="A6125" s="62" t="n">
        <v>1</v>
      </c>
      <c r="B6125" s="62" t="s">
        <v>388</v>
      </c>
      <c r="C6125" s="62" t="s">
        <v>60</v>
      </c>
      <c r="D6125" s="62" t="s">
        <v>67</v>
      </c>
      <c r="E6125" s="62" t="s">
        <v>382</v>
      </c>
      <c r="F6125" s="63" t="s">
        <v>858</v>
      </c>
      <c r="G6125" s="64" t="n">
        <v>343217</v>
      </c>
      <c r="H6125" s="62" t="s">
        <v>138</v>
      </c>
    </row>
    <row r="6126" customFormat="false" ht="15" hidden="false" customHeight="false" outlineLevel="0" collapsed="false">
      <c r="A6126" s="62" t="n">
        <v>1</v>
      </c>
      <c r="B6126" s="62" t="s">
        <v>381</v>
      </c>
      <c r="C6126" s="62" t="s">
        <v>60</v>
      </c>
      <c r="D6126" s="62" t="s">
        <v>67</v>
      </c>
      <c r="E6126" s="62" t="s">
        <v>382</v>
      </c>
      <c r="F6126" s="63" t="s">
        <v>859</v>
      </c>
      <c r="G6126" s="64" t="n">
        <v>742269.73587639</v>
      </c>
      <c r="H6126" s="62" t="s">
        <v>138</v>
      </c>
    </row>
    <row r="6127" customFormat="false" ht="15" hidden="false" customHeight="false" outlineLevel="0" collapsed="false">
      <c r="A6127" s="62" t="n">
        <v>1</v>
      </c>
      <c r="B6127" s="62" t="s">
        <v>383</v>
      </c>
      <c r="C6127" s="62" t="s">
        <v>60</v>
      </c>
      <c r="D6127" s="62" t="s">
        <v>67</v>
      </c>
      <c r="E6127" s="62" t="s">
        <v>382</v>
      </c>
      <c r="F6127" s="63" t="s">
        <v>859</v>
      </c>
      <c r="G6127" s="64" t="n">
        <v>1755049.05312339</v>
      </c>
      <c r="H6127" s="62" t="s">
        <v>138</v>
      </c>
    </row>
    <row r="6128" customFormat="false" ht="15" hidden="false" customHeight="false" outlineLevel="0" collapsed="false">
      <c r="A6128" s="62" t="n">
        <v>1</v>
      </c>
      <c r="B6128" s="62" t="s">
        <v>387</v>
      </c>
      <c r="C6128" s="62" t="s">
        <v>60</v>
      </c>
      <c r="D6128" s="62" t="s">
        <v>67</v>
      </c>
      <c r="E6128" s="62" t="s">
        <v>382</v>
      </c>
      <c r="F6128" s="63" t="s">
        <v>859</v>
      </c>
      <c r="G6128" s="64" t="n">
        <v>1044928.11870995</v>
      </c>
      <c r="H6128" s="62" t="s">
        <v>138</v>
      </c>
    </row>
    <row r="6129" customFormat="false" ht="15" hidden="false" customHeight="false" outlineLevel="0" collapsed="false">
      <c r="A6129" s="62" t="n">
        <v>1</v>
      </c>
      <c r="B6129" s="62" t="s">
        <v>388</v>
      </c>
      <c r="C6129" s="62" t="s">
        <v>60</v>
      </c>
      <c r="D6129" s="62" t="s">
        <v>67</v>
      </c>
      <c r="E6129" s="62" t="s">
        <v>382</v>
      </c>
      <c r="F6129" s="63" t="s">
        <v>859</v>
      </c>
      <c r="G6129" s="64" t="n">
        <v>358965.950835479</v>
      </c>
      <c r="H6129" s="62" t="s">
        <v>138</v>
      </c>
    </row>
    <row r="6130" customFormat="false" ht="15" hidden="false" customHeight="false" outlineLevel="0" collapsed="false">
      <c r="A6130" s="62" t="n">
        <v>1</v>
      </c>
      <c r="B6130" s="62" t="s">
        <v>381</v>
      </c>
      <c r="C6130" s="62" t="s">
        <v>60</v>
      </c>
      <c r="D6130" s="62" t="s">
        <v>71</v>
      </c>
      <c r="E6130" s="62" t="s">
        <v>382</v>
      </c>
      <c r="F6130" s="63" t="s">
        <v>625</v>
      </c>
      <c r="G6130" s="64" t="n">
        <v>9609359.81030511</v>
      </c>
      <c r="H6130" s="62" t="s">
        <v>138</v>
      </c>
    </row>
    <row r="6131" customFormat="false" ht="15" hidden="false" customHeight="false" outlineLevel="0" collapsed="false">
      <c r="A6131" s="62" t="n">
        <v>1</v>
      </c>
      <c r="B6131" s="62" t="s">
        <v>383</v>
      </c>
      <c r="C6131" s="62" t="s">
        <v>60</v>
      </c>
      <c r="D6131" s="62" t="s">
        <v>71</v>
      </c>
      <c r="E6131" s="62" t="s">
        <v>382</v>
      </c>
      <c r="F6131" s="63" t="s">
        <v>625</v>
      </c>
      <c r="G6131" s="64" t="n">
        <v>4735167.14527534</v>
      </c>
      <c r="H6131" s="62" t="s">
        <v>138</v>
      </c>
    </row>
    <row r="6132" customFormat="false" ht="15" hidden="false" customHeight="false" outlineLevel="0" collapsed="false">
      <c r="A6132" s="62" t="n">
        <v>1</v>
      </c>
      <c r="B6132" s="62" t="s">
        <v>384</v>
      </c>
      <c r="C6132" s="62" t="s">
        <v>60</v>
      </c>
      <c r="D6132" s="62" t="s">
        <v>71</v>
      </c>
      <c r="E6132" s="62" t="s">
        <v>382</v>
      </c>
      <c r="F6132" s="63" t="s">
        <v>625</v>
      </c>
      <c r="G6132" s="64" t="n">
        <v>11216873.9226851</v>
      </c>
      <c r="H6132" s="62" t="s">
        <v>138</v>
      </c>
    </row>
    <row r="6133" customFormat="false" ht="15" hidden="false" customHeight="false" outlineLevel="0" collapsed="false">
      <c r="A6133" s="62" t="n">
        <v>1</v>
      </c>
      <c r="B6133" s="62" t="s">
        <v>385</v>
      </c>
      <c r="C6133" s="62" t="s">
        <v>60</v>
      </c>
      <c r="D6133" s="62" t="s">
        <v>71</v>
      </c>
      <c r="E6133" s="62" t="s">
        <v>382</v>
      </c>
      <c r="F6133" s="63" t="s">
        <v>625</v>
      </c>
      <c r="G6133" s="64" t="n">
        <v>7735812.36192625</v>
      </c>
      <c r="H6133" s="62" t="s">
        <v>138</v>
      </c>
    </row>
    <row r="6134" customFormat="false" ht="15" hidden="false" customHeight="false" outlineLevel="0" collapsed="false">
      <c r="A6134" s="62" t="n">
        <v>1</v>
      </c>
      <c r="B6134" s="62" t="s">
        <v>386</v>
      </c>
      <c r="C6134" s="62" t="s">
        <v>60</v>
      </c>
      <c r="D6134" s="62" t="s">
        <v>71</v>
      </c>
      <c r="E6134" s="62" t="s">
        <v>382</v>
      </c>
      <c r="F6134" s="63" t="s">
        <v>625</v>
      </c>
      <c r="G6134" s="64" t="n">
        <v>11612366.8401114</v>
      </c>
      <c r="H6134" s="62" t="s">
        <v>138</v>
      </c>
    </row>
    <row r="6135" customFormat="false" ht="15" hidden="false" customHeight="false" outlineLevel="0" collapsed="false">
      <c r="A6135" s="62" t="n">
        <v>1</v>
      </c>
      <c r="B6135" s="62" t="s">
        <v>387</v>
      </c>
      <c r="C6135" s="62" t="s">
        <v>60</v>
      </c>
      <c r="D6135" s="62" t="s">
        <v>71</v>
      </c>
      <c r="E6135" s="62" t="s">
        <v>382</v>
      </c>
      <c r="F6135" s="63" t="s">
        <v>625</v>
      </c>
      <c r="G6135" s="64" t="n">
        <v>7249083.37400639</v>
      </c>
      <c r="H6135" s="62" t="s">
        <v>138</v>
      </c>
    </row>
    <row r="6136" customFormat="false" ht="15" hidden="false" customHeight="false" outlineLevel="0" collapsed="false">
      <c r="A6136" s="62" t="n">
        <v>1</v>
      </c>
      <c r="B6136" s="62" t="s">
        <v>388</v>
      </c>
      <c r="C6136" s="62" t="s">
        <v>60</v>
      </c>
      <c r="D6136" s="62" t="s">
        <v>71</v>
      </c>
      <c r="E6136" s="62" t="s">
        <v>382</v>
      </c>
      <c r="F6136" s="63" t="s">
        <v>625</v>
      </c>
      <c r="G6136" s="64" t="n">
        <v>4440300.984</v>
      </c>
      <c r="H6136" s="62" t="s">
        <v>138</v>
      </c>
    </row>
    <row r="6137" customFormat="false" ht="15" hidden="false" customHeight="false" outlineLevel="0" collapsed="false">
      <c r="A6137" s="62" t="n">
        <v>1</v>
      </c>
      <c r="B6137" s="62" t="s">
        <v>381</v>
      </c>
      <c r="C6137" s="62" t="s">
        <v>60</v>
      </c>
      <c r="D6137" s="62" t="s">
        <v>71</v>
      </c>
      <c r="E6137" s="62" t="s">
        <v>382</v>
      </c>
      <c r="F6137" s="63" t="s">
        <v>626</v>
      </c>
      <c r="G6137" s="64" t="n">
        <v>5430007.38439612</v>
      </c>
      <c r="H6137" s="62" t="s">
        <v>138</v>
      </c>
    </row>
    <row r="6138" customFormat="false" ht="15" hidden="false" customHeight="false" outlineLevel="0" collapsed="false">
      <c r="A6138" s="62" t="n">
        <v>1</v>
      </c>
      <c r="B6138" s="62" t="s">
        <v>383</v>
      </c>
      <c r="C6138" s="62" t="s">
        <v>60</v>
      </c>
      <c r="D6138" s="62" t="s">
        <v>71</v>
      </c>
      <c r="E6138" s="62" t="s">
        <v>382</v>
      </c>
      <c r="F6138" s="63" t="s">
        <v>626</v>
      </c>
      <c r="G6138" s="64" t="n">
        <v>1734910.71993479</v>
      </c>
      <c r="H6138" s="62" t="s">
        <v>138</v>
      </c>
    </row>
    <row r="6139" customFormat="false" ht="15" hidden="false" customHeight="false" outlineLevel="0" collapsed="false">
      <c r="A6139" s="62" t="n">
        <v>1</v>
      </c>
      <c r="B6139" s="62" t="s">
        <v>384</v>
      </c>
      <c r="C6139" s="62" t="s">
        <v>60</v>
      </c>
      <c r="D6139" s="62" t="s">
        <v>71</v>
      </c>
      <c r="E6139" s="62" t="s">
        <v>382</v>
      </c>
      <c r="F6139" s="63" t="s">
        <v>626</v>
      </c>
      <c r="G6139" s="64" t="n">
        <v>5730496.9348048</v>
      </c>
      <c r="H6139" s="62" t="s">
        <v>138</v>
      </c>
    </row>
    <row r="6140" customFormat="false" ht="15" hidden="false" customHeight="false" outlineLevel="0" collapsed="false">
      <c r="A6140" s="62" t="n">
        <v>1</v>
      </c>
      <c r="B6140" s="62" t="s">
        <v>385</v>
      </c>
      <c r="C6140" s="62" t="s">
        <v>60</v>
      </c>
      <c r="D6140" s="62" t="s">
        <v>71</v>
      </c>
      <c r="E6140" s="62" t="s">
        <v>382</v>
      </c>
      <c r="F6140" s="63" t="s">
        <v>626</v>
      </c>
      <c r="G6140" s="64" t="n">
        <v>3691183.35152104</v>
      </c>
      <c r="H6140" s="62" t="s">
        <v>138</v>
      </c>
    </row>
    <row r="6141" customFormat="false" ht="15" hidden="false" customHeight="false" outlineLevel="0" collapsed="false">
      <c r="A6141" s="62" t="n">
        <v>1</v>
      </c>
      <c r="B6141" s="62" t="s">
        <v>386</v>
      </c>
      <c r="C6141" s="62" t="s">
        <v>60</v>
      </c>
      <c r="D6141" s="62" t="s">
        <v>71</v>
      </c>
      <c r="E6141" s="62" t="s">
        <v>382</v>
      </c>
      <c r="F6141" s="63" t="s">
        <v>626</v>
      </c>
      <c r="G6141" s="64" t="n">
        <v>6348929.74076871</v>
      </c>
      <c r="H6141" s="62" t="s">
        <v>138</v>
      </c>
    </row>
    <row r="6142" customFormat="false" ht="15" hidden="false" customHeight="false" outlineLevel="0" collapsed="false">
      <c r="A6142" s="62" t="n">
        <v>1</v>
      </c>
      <c r="B6142" s="62" t="s">
        <v>387</v>
      </c>
      <c r="C6142" s="62" t="s">
        <v>60</v>
      </c>
      <c r="D6142" s="62" t="s">
        <v>71</v>
      </c>
      <c r="E6142" s="62" t="s">
        <v>382</v>
      </c>
      <c r="F6142" s="63" t="s">
        <v>626</v>
      </c>
      <c r="G6142" s="64" t="n">
        <v>3365689.53579519</v>
      </c>
      <c r="H6142" s="62" t="s">
        <v>138</v>
      </c>
    </row>
    <row r="6143" customFormat="false" ht="15" hidden="false" customHeight="false" outlineLevel="0" collapsed="false">
      <c r="A6143" s="62" t="n">
        <v>1</v>
      </c>
      <c r="B6143" s="62" t="s">
        <v>388</v>
      </c>
      <c r="C6143" s="62" t="s">
        <v>60</v>
      </c>
      <c r="D6143" s="62" t="s">
        <v>71</v>
      </c>
      <c r="E6143" s="62" t="s">
        <v>382</v>
      </c>
      <c r="F6143" s="63" t="s">
        <v>626</v>
      </c>
      <c r="G6143" s="64" t="n">
        <v>2132448.157514</v>
      </c>
      <c r="H6143" s="62" t="s">
        <v>138</v>
      </c>
    </row>
    <row r="6144" customFormat="false" ht="15" hidden="false" customHeight="false" outlineLevel="0" collapsed="false">
      <c r="A6144" s="62" t="n">
        <v>1</v>
      </c>
      <c r="B6144" s="62" t="s">
        <v>381</v>
      </c>
      <c r="C6144" s="62" t="s">
        <v>60</v>
      </c>
      <c r="D6144" s="62" t="s">
        <v>71</v>
      </c>
      <c r="E6144" s="62" t="s">
        <v>382</v>
      </c>
      <c r="F6144" s="63" t="s">
        <v>627</v>
      </c>
      <c r="G6144" s="64" t="n">
        <v>0</v>
      </c>
      <c r="H6144" s="62" t="s">
        <v>138</v>
      </c>
    </row>
    <row r="6145" customFormat="false" ht="15" hidden="false" customHeight="false" outlineLevel="0" collapsed="false">
      <c r="A6145" s="62" t="n">
        <v>1</v>
      </c>
      <c r="B6145" s="62" t="s">
        <v>383</v>
      </c>
      <c r="C6145" s="62" t="s">
        <v>60</v>
      </c>
      <c r="D6145" s="62" t="s">
        <v>71</v>
      </c>
      <c r="E6145" s="62" t="s">
        <v>382</v>
      </c>
      <c r="F6145" s="63" t="s">
        <v>627</v>
      </c>
      <c r="G6145" s="64" t="n">
        <v>0</v>
      </c>
      <c r="H6145" s="62" t="s">
        <v>138</v>
      </c>
    </row>
    <row r="6146" customFormat="false" ht="15" hidden="false" customHeight="false" outlineLevel="0" collapsed="false">
      <c r="A6146" s="62" t="n">
        <v>1</v>
      </c>
      <c r="B6146" s="62" t="s">
        <v>384</v>
      </c>
      <c r="C6146" s="62" t="s">
        <v>60</v>
      </c>
      <c r="D6146" s="62" t="s">
        <v>71</v>
      </c>
      <c r="E6146" s="62" t="s">
        <v>382</v>
      </c>
      <c r="F6146" s="63" t="s">
        <v>627</v>
      </c>
      <c r="G6146" s="64" t="n">
        <v>0</v>
      </c>
      <c r="H6146" s="62" t="s">
        <v>138</v>
      </c>
    </row>
    <row r="6147" customFormat="false" ht="15" hidden="false" customHeight="false" outlineLevel="0" collapsed="false">
      <c r="A6147" s="62" t="n">
        <v>1</v>
      </c>
      <c r="B6147" s="62" t="s">
        <v>385</v>
      </c>
      <c r="C6147" s="62" t="s">
        <v>60</v>
      </c>
      <c r="D6147" s="62" t="s">
        <v>71</v>
      </c>
      <c r="E6147" s="62" t="s">
        <v>382</v>
      </c>
      <c r="F6147" s="63" t="s">
        <v>627</v>
      </c>
      <c r="G6147" s="64" t="n">
        <v>0</v>
      </c>
      <c r="H6147" s="62" t="s">
        <v>138</v>
      </c>
    </row>
    <row r="6148" customFormat="false" ht="15" hidden="false" customHeight="false" outlineLevel="0" collapsed="false">
      <c r="A6148" s="62" t="n">
        <v>1</v>
      </c>
      <c r="B6148" s="62" t="s">
        <v>386</v>
      </c>
      <c r="C6148" s="62" t="s">
        <v>60</v>
      </c>
      <c r="D6148" s="62" t="s">
        <v>71</v>
      </c>
      <c r="E6148" s="62" t="s">
        <v>382</v>
      </c>
      <c r="F6148" s="63" t="s">
        <v>627</v>
      </c>
      <c r="G6148" s="64" t="n">
        <v>0</v>
      </c>
      <c r="H6148" s="62" t="s">
        <v>138</v>
      </c>
    </row>
    <row r="6149" customFormat="false" ht="15" hidden="false" customHeight="false" outlineLevel="0" collapsed="false">
      <c r="A6149" s="62" t="n">
        <v>1</v>
      </c>
      <c r="B6149" s="62" t="s">
        <v>387</v>
      </c>
      <c r="C6149" s="62" t="s">
        <v>60</v>
      </c>
      <c r="D6149" s="62" t="s">
        <v>71</v>
      </c>
      <c r="E6149" s="62" t="s">
        <v>382</v>
      </c>
      <c r="F6149" s="63" t="s">
        <v>627</v>
      </c>
      <c r="G6149" s="64" t="n">
        <v>0</v>
      </c>
      <c r="H6149" s="62" t="s">
        <v>138</v>
      </c>
    </row>
    <row r="6150" customFormat="false" ht="15" hidden="false" customHeight="false" outlineLevel="0" collapsed="false">
      <c r="A6150" s="62" t="n">
        <v>1</v>
      </c>
      <c r="B6150" s="62" t="s">
        <v>388</v>
      </c>
      <c r="C6150" s="62" t="s">
        <v>60</v>
      </c>
      <c r="D6150" s="62" t="s">
        <v>71</v>
      </c>
      <c r="E6150" s="62" t="s">
        <v>382</v>
      </c>
      <c r="F6150" s="63" t="s">
        <v>627</v>
      </c>
      <c r="G6150" s="64" t="n">
        <v>0</v>
      </c>
      <c r="H6150" s="62" t="s">
        <v>138</v>
      </c>
    </row>
    <row r="6151" customFormat="false" ht="15" hidden="false" customHeight="false" outlineLevel="0" collapsed="false">
      <c r="A6151" s="62" t="n">
        <v>1</v>
      </c>
      <c r="B6151" s="62" t="s">
        <v>381</v>
      </c>
      <c r="C6151" s="62" t="s">
        <v>60</v>
      </c>
      <c r="D6151" s="62" t="s">
        <v>71</v>
      </c>
      <c r="E6151" s="62" t="s">
        <v>382</v>
      </c>
      <c r="F6151" s="63" t="s">
        <v>628</v>
      </c>
      <c r="G6151" s="64" t="n">
        <v>0</v>
      </c>
      <c r="H6151" s="62" t="s">
        <v>138</v>
      </c>
    </row>
    <row r="6152" customFormat="false" ht="15" hidden="false" customHeight="false" outlineLevel="0" collapsed="false">
      <c r="A6152" s="62" t="n">
        <v>1</v>
      </c>
      <c r="B6152" s="62" t="s">
        <v>383</v>
      </c>
      <c r="C6152" s="62" t="s">
        <v>60</v>
      </c>
      <c r="D6152" s="62" t="s">
        <v>71</v>
      </c>
      <c r="E6152" s="62" t="s">
        <v>382</v>
      </c>
      <c r="F6152" s="63" t="s">
        <v>628</v>
      </c>
      <c r="G6152" s="64" t="n">
        <v>0</v>
      </c>
      <c r="H6152" s="62" t="s">
        <v>138</v>
      </c>
    </row>
    <row r="6153" customFormat="false" ht="15" hidden="false" customHeight="false" outlineLevel="0" collapsed="false">
      <c r="A6153" s="62" t="n">
        <v>1</v>
      </c>
      <c r="B6153" s="62" t="s">
        <v>384</v>
      </c>
      <c r="C6153" s="62" t="s">
        <v>60</v>
      </c>
      <c r="D6153" s="62" t="s">
        <v>71</v>
      </c>
      <c r="E6153" s="62" t="s">
        <v>382</v>
      </c>
      <c r="F6153" s="63" t="s">
        <v>628</v>
      </c>
      <c r="G6153" s="64" t="n">
        <v>0</v>
      </c>
      <c r="H6153" s="62" t="s">
        <v>138</v>
      </c>
    </row>
    <row r="6154" customFormat="false" ht="15" hidden="false" customHeight="false" outlineLevel="0" collapsed="false">
      <c r="A6154" s="62" t="n">
        <v>1</v>
      </c>
      <c r="B6154" s="62" t="s">
        <v>385</v>
      </c>
      <c r="C6154" s="62" t="s">
        <v>60</v>
      </c>
      <c r="D6154" s="62" t="s">
        <v>71</v>
      </c>
      <c r="E6154" s="62" t="s">
        <v>382</v>
      </c>
      <c r="F6154" s="63" t="s">
        <v>628</v>
      </c>
      <c r="G6154" s="64" t="n">
        <v>0</v>
      </c>
      <c r="H6154" s="62" t="s">
        <v>138</v>
      </c>
    </row>
    <row r="6155" customFormat="false" ht="15" hidden="false" customHeight="false" outlineLevel="0" collapsed="false">
      <c r="A6155" s="62" t="n">
        <v>1</v>
      </c>
      <c r="B6155" s="62" t="s">
        <v>386</v>
      </c>
      <c r="C6155" s="62" t="s">
        <v>60</v>
      </c>
      <c r="D6155" s="62" t="s">
        <v>71</v>
      </c>
      <c r="E6155" s="62" t="s">
        <v>382</v>
      </c>
      <c r="F6155" s="63" t="s">
        <v>628</v>
      </c>
      <c r="G6155" s="64" t="n">
        <v>0</v>
      </c>
      <c r="H6155" s="62" t="s">
        <v>138</v>
      </c>
    </row>
    <row r="6156" customFormat="false" ht="15" hidden="false" customHeight="false" outlineLevel="0" collapsed="false">
      <c r="A6156" s="62" t="n">
        <v>1</v>
      </c>
      <c r="B6156" s="62" t="s">
        <v>387</v>
      </c>
      <c r="C6156" s="62" t="s">
        <v>60</v>
      </c>
      <c r="D6156" s="62" t="s">
        <v>71</v>
      </c>
      <c r="E6156" s="62" t="s">
        <v>382</v>
      </c>
      <c r="F6156" s="63" t="s">
        <v>628</v>
      </c>
      <c r="G6156" s="64" t="n">
        <v>0</v>
      </c>
      <c r="H6156" s="62" t="s">
        <v>138</v>
      </c>
    </row>
    <row r="6157" customFormat="false" ht="15" hidden="false" customHeight="false" outlineLevel="0" collapsed="false">
      <c r="A6157" s="62" t="n">
        <v>1</v>
      </c>
      <c r="B6157" s="62" t="s">
        <v>388</v>
      </c>
      <c r="C6157" s="62" t="s">
        <v>60</v>
      </c>
      <c r="D6157" s="62" t="s">
        <v>71</v>
      </c>
      <c r="E6157" s="62" t="s">
        <v>382</v>
      </c>
      <c r="F6157" s="63" t="s">
        <v>628</v>
      </c>
      <c r="G6157" s="64" t="n">
        <v>0</v>
      </c>
      <c r="H6157" s="62" t="s">
        <v>138</v>
      </c>
    </row>
    <row r="6158" customFormat="false" ht="15" hidden="false" customHeight="false" outlineLevel="0" collapsed="false">
      <c r="A6158" s="62" t="n">
        <v>1</v>
      </c>
      <c r="B6158" s="62" t="s">
        <v>381</v>
      </c>
      <c r="C6158" s="62" t="s">
        <v>60</v>
      </c>
      <c r="D6158" s="62" t="s">
        <v>71</v>
      </c>
      <c r="E6158" s="62" t="s">
        <v>382</v>
      </c>
      <c r="F6158" s="63" t="s">
        <v>629</v>
      </c>
      <c r="G6158" s="64" t="n">
        <v>2008925.3958826</v>
      </c>
      <c r="H6158" s="62" t="s">
        <v>138</v>
      </c>
    </row>
    <row r="6159" customFormat="false" ht="15" hidden="false" customHeight="false" outlineLevel="0" collapsed="false">
      <c r="A6159" s="62" t="n">
        <v>1</v>
      </c>
      <c r="B6159" s="62" t="s">
        <v>383</v>
      </c>
      <c r="C6159" s="62" t="s">
        <v>60</v>
      </c>
      <c r="D6159" s="62" t="s">
        <v>71</v>
      </c>
      <c r="E6159" s="62" t="s">
        <v>382</v>
      </c>
      <c r="F6159" s="63" t="s">
        <v>629</v>
      </c>
      <c r="G6159" s="64" t="n">
        <v>640387.313637843</v>
      </c>
      <c r="H6159" s="62" t="s">
        <v>138</v>
      </c>
    </row>
    <row r="6160" customFormat="false" ht="15" hidden="false" customHeight="false" outlineLevel="0" collapsed="false">
      <c r="A6160" s="62" t="n">
        <v>1</v>
      </c>
      <c r="B6160" s="62" t="s">
        <v>384</v>
      </c>
      <c r="C6160" s="62" t="s">
        <v>60</v>
      </c>
      <c r="D6160" s="62" t="s">
        <v>71</v>
      </c>
      <c r="E6160" s="62" t="s">
        <v>382</v>
      </c>
      <c r="F6160" s="63" t="s">
        <v>629</v>
      </c>
      <c r="G6160" s="64" t="n">
        <v>2381631.54935061</v>
      </c>
      <c r="H6160" s="62" t="s">
        <v>138</v>
      </c>
    </row>
    <row r="6161" customFormat="false" ht="15" hidden="false" customHeight="false" outlineLevel="0" collapsed="false">
      <c r="A6161" s="62" t="n">
        <v>1</v>
      </c>
      <c r="B6161" s="62" t="s">
        <v>385</v>
      </c>
      <c r="C6161" s="62" t="s">
        <v>60</v>
      </c>
      <c r="D6161" s="62" t="s">
        <v>71</v>
      </c>
      <c r="E6161" s="62" t="s">
        <v>382</v>
      </c>
      <c r="F6161" s="63" t="s">
        <v>629</v>
      </c>
      <c r="G6161" s="64" t="n">
        <v>1401610.60216085</v>
      </c>
      <c r="H6161" s="62" t="s">
        <v>138</v>
      </c>
    </row>
    <row r="6162" customFormat="false" ht="15" hidden="false" customHeight="false" outlineLevel="0" collapsed="false">
      <c r="A6162" s="62" t="n">
        <v>1</v>
      </c>
      <c r="B6162" s="62" t="s">
        <v>386</v>
      </c>
      <c r="C6162" s="62" t="s">
        <v>60</v>
      </c>
      <c r="D6162" s="62" t="s">
        <v>71</v>
      </c>
      <c r="E6162" s="62" t="s">
        <v>382</v>
      </c>
      <c r="F6162" s="63" t="s">
        <v>629</v>
      </c>
      <c r="G6162" s="64" t="n">
        <v>1992407.99442308</v>
      </c>
      <c r="H6162" s="62" t="s">
        <v>138</v>
      </c>
    </row>
    <row r="6163" customFormat="false" ht="15" hidden="false" customHeight="false" outlineLevel="0" collapsed="false">
      <c r="A6163" s="62" t="n">
        <v>1</v>
      </c>
      <c r="B6163" s="62" t="s">
        <v>387</v>
      </c>
      <c r="C6163" s="62" t="s">
        <v>60</v>
      </c>
      <c r="D6163" s="62" t="s">
        <v>71</v>
      </c>
      <c r="E6163" s="62" t="s">
        <v>382</v>
      </c>
      <c r="F6163" s="63" t="s">
        <v>629</v>
      </c>
      <c r="G6163" s="64" t="n">
        <v>1436556.15643419</v>
      </c>
      <c r="H6163" s="62" t="s">
        <v>138</v>
      </c>
    </row>
    <row r="6164" customFormat="false" ht="15" hidden="false" customHeight="false" outlineLevel="0" collapsed="false">
      <c r="A6164" s="62" t="n">
        <v>1</v>
      </c>
      <c r="B6164" s="62" t="s">
        <v>388</v>
      </c>
      <c r="C6164" s="62" t="s">
        <v>60</v>
      </c>
      <c r="D6164" s="62" t="s">
        <v>71</v>
      </c>
      <c r="E6164" s="62" t="s">
        <v>382</v>
      </c>
      <c r="F6164" s="63" t="s">
        <v>629</v>
      </c>
      <c r="G6164" s="64" t="n">
        <v>982800</v>
      </c>
      <c r="H6164" s="62" t="s">
        <v>138</v>
      </c>
    </row>
    <row r="6165" customFormat="false" ht="15" hidden="false" customHeight="false" outlineLevel="0" collapsed="false">
      <c r="A6165" s="62" t="n">
        <v>1</v>
      </c>
      <c r="B6165" s="62" t="s">
        <v>381</v>
      </c>
      <c r="C6165" s="62" t="s">
        <v>60</v>
      </c>
      <c r="D6165" s="62" t="s">
        <v>71</v>
      </c>
      <c r="E6165" s="62" t="s">
        <v>382</v>
      </c>
      <c r="F6165" s="63" t="s">
        <v>630</v>
      </c>
      <c r="G6165" s="64" t="n">
        <v>7438932.78027872</v>
      </c>
      <c r="H6165" s="62" t="s">
        <v>138</v>
      </c>
    </row>
    <row r="6166" customFormat="false" ht="15" hidden="false" customHeight="false" outlineLevel="0" collapsed="false">
      <c r="A6166" s="62" t="n">
        <v>1</v>
      </c>
      <c r="B6166" s="62" t="s">
        <v>383</v>
      </c>
      <c r="C6166" s="62" t="s">
        <v>60</v>
      </c>
      <c r="D6166" s="62" t="s">
        <v>71</v>
      </c>
      <c r="E6166" s="62" t="s">
        <v>382</v>
      </c>
      <c r="F6166" s="63" t="s">
        <v>630</v>
      </c>
      <c r="G6166" s="64" t="n">
        <v>2375298.03357263</v>
      </c>
      <c r="H6166" s="62" t="s">
        <v>138</v>
      </c>
    </row>
    <row r="6167" customFormat="false" ht="15" hidden="false" customHeight="false" outlineLevel="0" collapsed="false">
      <c r="A6167" s="62" t="n">
        <v>1</v>
      </c>
      <c r="B6167" s="62" t="s">
        <v>384</v>
      </c>
      <c r="C6167" s="62" t="s">
        <v>60</v>
      </c>
      <c r="D6167" s="62" t="s">
        <v>71</v>
      </c>
      <c r="E6167" s="62" t="s">
        <v>382</v>
      </c>
      <c r="F6167" s="63" t="s">
        <v>630</v>
      </c>
      <c r="G6167" s="64" t="n">
        <v>8112128.48415541</v>
      </c>
      <c r="H6167" s="62" t="s">
        <v>138</v>
      </c>
    </row>
    <row r="6168" customFormat="false" ht="15" hidden="false" customHeight="false" outlineLevel="0" collapsed="false">
      <c r="A6168" s="62" t="n">
        <v>1</v>
      </c>
      <c r="B6168" s="62" t="s">
        <v>385</v>
      </c>
      <c r="C6168" s="62" t="s">
        <v>60</v>
      </c>
      <c r="D6168" s="62" t="s">
        <v>71</v>
      </c>
      <c r="E6168" s="62" t="s">
        <v>382</v>
      </c>
      <c r="F6168" s="63" t="s">
        <v>630</v>
      </c>
      <c r="G6168" s="64" t="n">
        <v>5092793.95368189</v>
      </c>
      <c r="H6168" s="62" t="s">
        <v>138</v>
      </c>
    </row>
    <row r="6169" customFormat="false" ht="15" hidden="false" customHeight="false" outlineLevel="0" collapsed="false">
      <c r="A6169" s="62" t="n">
        <v>1</v>
      </c>
      <c r="B6169" s="62" t="s">
        <v>386</v>
      </c>
      <c r="C6169" s="62" t="s">
        <v>60</v>
      </c>
      <c r="D6169" s="62" t="s">
        <v>71</v>
      </c>
      <c r="E6169" s="62" t="s">
        <v>382</v>
      </c>
      <c r="F6169" s="63" t="s">
        <v>630</v>
      </c>
      <c r="G6169" s="64" t="n">
        <v>8341337.73519179</v>
      </c>
      <c r="H6169" s="62" t="s">
        <v>138</v>
      </c>
    </row>
    <row r="6170" customFormat="false" ht="15" hidden="false" customHeight="false" outlineLevel="0" collapsed="false">
      <c r="A6170" s="62" t="n">
        <v>1</v>
      </c>
      <c r="B6170" s="62" t="s">
        <v>387</v>
      </c>
      <c r="C6170" s="62" t="s">
        <v>60</v>
      </c>
      <c r="D6170" s="62" t="s">
        <v>71</v>
      </c>
      <c r="E6170" s="62" t="s">
        <v>382</v>
      </c>
      <c r="F6170" s="63" t="s">
        <v>630</v>
      </c>
      <c r="G6170" s="64" t="n">
        <v>4802245.69222939</v>
      </c>
      <c r="H6170" s="62" t="s">
        <v>138</v>
      </c>
    </row>
    <row r="6171" customFormat="false" ht="15" hidden="false" customHeight="false" outlineLevel="0" collapsed="false">
      <c r="A6171" s="62" t="n">
        <v>1</v>
      </c>
      <c r="B6171" s="62" t="s">
        <v>388</v>
      </c>
      <c r="C6171" s="62" t="s">
        <v>60</v>
      </c>
      <c r="D6171" s="62" t="s">
        <v>71</v>
      </c>
      <c r="E6171" s="62" t="s">
        <v>382</v>
      </c>
      <c r="F6171" s="63" t="s">
        <v>630</v>
      </c>
      <c r="G6171" s="64" t="n">
        <v>3115248.157514</v>
      </c>
      <c r="H6171" s="62" t="s">
        <v>138</v>
      </c>
    </row>
    <row r="6172" customFormat="false" ht="15" hidden="false" customHeight="false" outlineLevel="0" collapsed="false">
      <c r="A6172" s="62" t="n">
        <v>1</v>
      </c>
      <c r="B6172" s="62" t="s">
        <v>381</v>
      </c>
      <c r="C6172" s="62" t="s">
        <v>60</v>
      </c>
      <c r="D6172" s="62" t="s">
        <v>71</v>
      </c>
      <c r="E6172" s="62" t="s">
        <v>382</v>
      </c>
      <c r="F6172" s="63" t="s">
        <v>631</v>
      </c>
      <c r="G6172" s="64" t="n">
        <v>2170427.03002639</v>
      </c>
      <c r="H6172" s="62" t="s">
        <v>138</v>
      </c>
    </row>
    <row r="6173" customFormat="false" ht="15" hidden="false" customHeight="false" outlineLevel="0" collapsed="false">
      <c r="A6173" s="62" t="n">
        <v>1</v>
      </c>
      <c r="B6173" s="62" t="s">
        <v>383</v>
      </c>
      <c r="C6173" s="62" t="s">
        <v>60</v>
      </c>
      <c r="D6173" s="62" t="s">
        <v>71</v>
      </c>
      <c r="E6173" s="62" t="s">
        <v>382</v>
      </c>
      <c r="F6173" s="63" t="s">
        <v>631</v>
      </c>
      <c r="G6173" s="64" t="n">
        <v>2359869.11170271</v>
      </c>
      <c r="H6173" s="62" t="s">
        <v>138</v>
      </c>
    </row>
    <row r="6174" customFormat="false" ht="15" hidden="false" customHeight="false" outlineLevel="0" collapsed="false">
      <c r="A6174" s="62" t="n">
        <v>1</v>
      </c>
      <c r="B6174" s="62" t="s">
        <v>384</v>
      </c>
      <c r="C6174" s="62" t="s">
        <v>60</v>
      </c>
      <c r="D6174" s="62" t="s">
        <v>71</v>
      </c>
      <c r="E6174" s="62" t="s">
        <v>382</v>
      </c>
      <c r="F6174" s="63" t="s">
        <v>631</v>
      </c>
      <c r="G6174" s="64" t="n">
        <v>3104745.4385297</v>
      </c>
      <c r="H6174" s="62" t="s">
        <v>138</v>
      </c>
    </row>
    <row r="6175" customFormat="false" ht="15" hidden="false" customHeight="false" outlineLevel="0" collapsed="false">
      <c r="A6175" s="62" t="n">
        <v>1</v>
      </c>
      <c r="B6175" s="62" t="s">
        <v>385</v>
      </c>
      <c r="C6175" s="62" t="s">
        <v>60</v>
      </c>
      <c r="D6175" s="62" t="s">
        <v>71</v>
      </c>
      <c r="E6175" s="62" t="s">
        <v>382</v>
      </c>
      <c r="F6175" s="63" t="s">
        <v>631</v>
      </c>
      <c r="G6175" s="64" t="n">
        <v>2643018.40824435</v>
      </c>
      <c r="H6175" s="62" t="s">
        <v>138</v>
      </c>
    </row>
    <row r="6176" customFormat="false" ht="15" hidden="false" customHeight="false" outlineLevel="0" collapsed="false">
      <c r="A6176" s="62" t="n">
        <v>1</v>
      </c>
      <c r="B6176" s="62" t="s">
        <v>386</v>
      </c>
      <c r="C6176" s="62" t="s">
        <v>60</v>
      </c>
      <c r="D6176" s="62" t="s">
        <v>71</v>
      </c>
      <c r="E6176" s="62" t="s">
        <v>382</v>
      </c>
      <c r="F6176" s="63" t="s">
        <v>631</v>
      </c>
      <c r="G6176" s="64" t="n">
        <v>3271029.10491958</v>
      </c>
      <c r="H6176" s="62" t="s">
        <v>138</v>
      </c>
    </row>
    <row r="6177" customFormat="false" ht="15" hidden="false" customHeight="false" outlineLevel="0" collapsed="false">
      <c r="A6177" s="62" t="n">
        <v>1</v>
      </c>
      <c r="B6177" s="62" t="s">
        <v>387</v>
      </c>
      <c r="C6177" s="62" t="s">
        <v>60</v>
      </c>
      <c r="D6177" s="62" t="s">
        <v>71</v>
      </c>
      <c r="E6177" s="62" t="s">
        <v>382</v>
      </c>
      <c r="F6177" s="63" t="s">
        <v>631</v>
      </c>
      <c r="G6177" s="64" t="n">
        <v>2446837.681777</v>
      </c>
      <c r="H6177" s="62" t="s">
        <v>138</v>
      </c>
    </row>
    <row r="6178" customFormat="false" ht="15" hidden="false" customHeight="false" outlineLevel="0" collapsed="false">
      <c r="A6178" s="62" t="n">
        <v>1</v>
      </c>
      <c r="B6178" s="62" t="s">
        <v>388</v>
      </c>
      <c r="C6178" s="62" t="s">
        <v>60</v>
      </c>
      <c r="D6178" s="62" t="s">
        <v>71</v>
      </c>
      <c r="E6178" s="62" t="s">
        <v>382</v>
      </c>
      <c r="F6178" s="63" t="s">
        <v>631</v>
      </c>
      <c r="G6178" s="64" t="n">
        <v>1325052.826486</v>
      </c>
      <c r="H6178" s="62" t="s">
        <v>138</v>
      </c>
    </row>
    <row r="6179" customFormat="false" ht="15" hidden="false" customHeight="false" outlineLevel="0" collapsed="false">
      <c r="A6179" s="62" t="n">
        <v>1</v>
      </c>
      <c r="B6179" s="62" t="s">
        <v>381</v>
      </c>
      <c r="C6179" s="62" t="s">
        <v>60</v>
      </c>
      <c r="D6179" s="62" t="s">
        <v>71</v>
      </c>
      <c r="E6179" s="62" t="s">
        <v>382</v>
      </c>
      <c r="F6179" s="63" t="s">
        <v>632</v>
      </c>
      <c r="G6179" s="64" t="n">
        <v>150000</v>
      </c>
      <c r="H6179" s="62" t="s">
        <v>138</v>
      </c>
    </row>
    <row r="6180" customFormat="false" ht="15" hidden="false" customHeight="false" outlineLevel="0" collapsed="false">
      <c r="A6180" s="62" t="n">
        <v>1</v>
      </c>
      <c r="B6180" s="62" t="s">
        <v>383</v>
      </c>
      <c r="C6180" s="62" t="s">
        <v>60</v>
      </c>
      <c r="D6180" s="62" t="s">
        <v>71</v>
      </c>
      <c r="E6180" s="62" t="s">
        <v>382</v>
      </c>
      <c r="F6180" s="63" t="s">
        <v>632</v>
      </c>
      <c r="G6180" s="64" t="n">
        <v>899454</v>
      </c>
      <c r="H6180" s="62" t="s">
        <v>138</v>
      </c>
    </row>
    <row r="6181" customFormat="false" ht="15" hidden="false" customHeight="false" outlineLevel="0" collapsed="false">
      <c r="A6181" s="62" t="n">
        <v>1</v>
      </c>
      <c r="B6181" s="62" t="s">
        <v>384</v>
      </c>
      <c r="C6181" s="62" t="s">
        <v>60</v>
      </c>
      <c r="D6181" s="62" t="s">
        <v>71</v>
      </c>
      <c r="E6181" s="62" t="s">
        <v>382</v>
      </c>
      <c r="F6181" s="63" t="s">
        <v>632</v>
      </c>
      <c r="G6181" s="64" t="n">
        <v>347984</v>
      </c>
      <c r="H6181" s="62" t="s">
        <v>138</v>
      </c>
    </row>
    <row r="6182" customFormat="false" ht="15" hidden="false" customHeight="false" outlineLevel="0" collapsed="false">
      <c r="A6182" s="62" t="n">
        <v>1</v>
      </c>
      <c r="B6182" s="62" t="s">
        <v>385</v>
      </c>
      <c r="C6182" s="62" t="s">
        <v>60</v>
      </c>
      <c r="D6182" s="62" t="s">
        <v>71</v>
      </c>
      <c r="E6182" s="62" t="s">
        <v>382</v>
      </c>
      <c r="F6182" s="63" t="s">
        <v>632</v>
      </c>
      <c r="G6182" s="64" t="n">
        <v>400000</v>
      </c>
      <c r="H6182" s="62" t="s">
        <v>138</v>
      </c>
    </row>
    <row r="6183" customFormat="false" ht="15" hidden="false" customHeight="false" outlineLevel="0" collapsed="false">
      <c r="A6183" s="62" t="n">
        <v>1</v>
      </c>
      <c r="B6183" s="62" t="s">
        <v>386</v>
      </c>
      <c r="C6183" s="62" t="s">
        <v>60</v>
      </c>
      <c r="D6183" s="62" t="s">
        <v>71</v>
      </c>
      <c r="E6183" s="62" t="s">
        <v>382</v>
      </c>
      <c r="F6183" s="63" t="s">
        <v>632</v>
      </c>
      <c r="G6183" s="64" t="n">
        <v>200000</v>
      </c>
      <c r="H6183" s="62" t="s">
        <v>138</v>
      </c>
    </row>
    <row r="6184" customFormat="false" ht="15" hidden="false" customHeight="false" outlineLevel="0" collapsed="false">
      <c r="A6184" s="62" t="n">
        <v>1</v>
      </c>
      <c r="B6184" s="62" t="s">
        <v>387</v>
      </c>
      <c r="C6184" s="62" t="s">
        <v>60</v>
      </c>
      <c r="D6184" s="62" t="s">
        <v>71</v>
      </c>
      <c r="E6184" s="62" t="s">
        <v>382</v>
      </c>
      <c r="F6184" s="63" t="s">
        <v>632</v>
      </c>
      <c r="G6184" s="64" t="n">
        <v>221985</v>
      </c>
      <c r="H6184" s="62" t="s">
        <v>138</v>
      </c>
    </row>
    <row r="6185" customFormat="false" ht="15" hidden="false" customHeight="false" outlineLevel="0" collapsed="false">
      <c r="A6185" s="62" t="n">
        <v>1</v>
      </c>
      <c r="B6185" s="62" t="s">
        <v>388</v>
      </c>
      <c r="C6185" s="62" t="s">
        <v>60</v>
      </c>
      <c r="D6185" s="62" t="s">
        <v>71</v>
      </c>
      <c r="E6185" s="62" t="s">
        <v>382</v>
      </c>
      <c r="F6185" s="63" t="s">
        <v>632</v>
      </c>
      <c r="G6185" s="64" t="n">
        <v>392771</v>
      </c>
      <c r="H6185" s="62" t="s">
        <v>138</v>
      </c>
    </row>
    <row r="6186" customFormat="false" ht="15" hidden="false" customHeight="false" outlineLevel="0" collapsed="false">
      <c r="A6186" s="62" t="n">
        <v>1</v>
      </c>
      <c r="B6186" s="62" t="s">
        <v>381</v>
      </c>
      <c r="C6186" s="62" t="s">
        <v>60</v>
      </c>
      <c r="D6186" s="62" t="s">
        <v>71</v>
      </c>
      <c r="E6186" s="62" t="s">
        <v>382</v>
      </c>
      <c r="F6186" s="63" t="s">
        <v>633</v>
      </c>
      <c r="G6186" s="64" t="n">
        <v>2020427.03002639</v>
      </c>
      <c r="H6186" s="62" t="s">
        <v>138</v>
      </c>
    </row>
    <row r="6187" customFormat="false" ht="15" hidden="false" customHeight="false" outlineLevel="0" collapsed="false">
      <c r="A6187" s="62" t="n">
        <v>1</v>
      </c>
      <c r="B6187" s="62" t="s">
        <v>383</v>
      </c>
      <c r="C6187" s="62" t="s">
        <v>60</v>
      </c>
      <c r="D6187" s="62" t="s">
        <v>71</v>
      </c>
      <c r="E6187" s="62" t="s">
        <v>382</v>
      </c>
      <c r="F6187" s="63" t="s">
        <v>633</v>
      </c>
      <c r="G6187" s="64" t="n">
        <v>1460415.11170271</v>
      </c>
      <c r="H6187" s="62" t="s">
        <v>138</v>
      </c>
    </row>
    <row r="6188" customFormat="false" ht="15" hidden="false" customHeight="false" outlineLevel="0" collapsed="false">
      <c r="A6188" s="62" t="n">
        <v>1</v>
      </c>
      <c r="B6188" s="62" t="s">
        <v>384</v>
      </c>
      <c r="C6188" s="62" t="s">
        <v>60</v>
      </c>
      <c r="D6188" s="62" t="s">
        <v>71</v>
      </c>
      <c r="E6188" s="62" t="s">
        <v>382</v>
      </c>
      <c r="F6188" s="63" t="s">
        <v>633</v>
      </c>
      <c r="G6188" s="64" t="n">
        <v>2756761.4385297</v>
      </c>
      <c r="H6188" s="62" t="s">
        <v>138</v>
      </c>
    </row>
    <row r="6189" customFormat="false" ht="15" hidden="false" customHeight="false" outlineLevel="0" collapsed="false">
      <c r="A6189" s="62" t="n">
        <v>1</v>
      </c>
      <c r="B6189" s="62" t="s">
        <v>385</v>
      </c>
      <c r="C6189" s="62" t="s">
        <v>60</v>
      </c>
      <c r="D6189" s="62" t="s">
        <v>71</v>
      </c>
      <c r="E6189" s="62" t="s">
        <v>382</v>
      </c>
      <c r="F6189" s="63" t="s">
        <v>633</v>
      </c>
      <c r="G6189" s="64" t="n">
        <v>2243018.40824435</v>
      </c>
      <c r="H6189" s="62" t="s">
        <v>138</v>
      </c>
    </row>
    <row r="6190" customFormat="false" ht="15" hidden="false" customHeight="false" outlineLevel="0" collapsed="false">
      <c r="A6190" s="62" t="n">
        <v>1</v>
      </c>
      <c r="B6190" s="62" t="s">
        <v>386</v>
      </c>
      <c r="C6190" s="62" t="s">
        <v>60</v>
      </c>
      <c r="D6190" s="62" t="s">
        <v>71</v>
      </c>
      <c r="E6190" s="62" t="s">
        <v>382</v>
      </c>
      <c r="F6190" s="63" t="s">
        <v>633</v>
      </c>
      <c r="G6190" s="64" t="n">
        <v>3071029.10491958</v>
      </c>
      <c r="H6190" s="62" t="s">
        <v>138</v>
      </c>
    </row>
    <row r="6191" customFormat="false" ht="15" hidden="false" customHeight="false" outlineLevel="0" collapsed="false">
      <c r="A6191" s="62" t="n">
        <v>1</v>
      </c>
      <c r="B6191" s="62" t="s">
        <v>387</v>
      </c>
      <c r="C6191" s="62" t="s">
        <v>60</v>
      </c>
      <c r="D6191" s="62" t="s">
        <v>71</v>
      </c>
      <c r="E6191" s="62" t="s">
        <v>382</v>
      </c>
      <c r="F6191" s="63" t="s">
        <v>633</v>
      </c>
      <c r="G6191" s="64" t="n">
        <v>2224852.681777</v>
      </c>
      <c r="H6191" s="62" t="s">
        <v>138</v>
      </c>
    </row>
    <row r="6192" customFormat="false" ht="15" hidden="false" customHeight="false" outlineLevel="0" collapsed="false">
      <c r="A6192" s="62" t="n">
        <v>1</v>
      </c>
      <c r="B6192" s="62" t="s">
        <v>388</v>
      </c>
      <c r="C6192" s="62" t="s">
        <v>60</v>
      </c>
      <c r="D6192" s="62" t="s">
        <v>71</v>
      </c>
      <c r="E6192" s="62" t="s">
        <v>382</v>
      </c>
      <c r="F6192" s="63" t="s">
        <v>633</v>
      </c>
      <c r="G6192" s="64" t="n">
        <v>932281.826485995</v>
      </c>
      <c r="H6192" s="62" t="s">
        <v>138</v>
      </c>
    </row>
    <row r="6193" customFormat="false" ht="15" hidden="false" customHeight="false" outlineLevel="0" collapsed="false">
      <c r="A6193" s="62" t="n">
        <v>1</v>
      </c>
      <c r="B6193" s="62" t="s">
        <v>381</v>
      </c>
      <c r="C6193" s="62" t="s">
        <v>60</v>
      </c>
      <c r="D6193" s="62" t="s">
        <v>71</v>
      </c>
      <c r="E6193" s="62" t="s">
        <v>382</v>
      </c>
      <c r="F6193" s="63" t="s">
        <v>853</v>
      </c>
      <c r="G6193" s="64" t="n">
        <v>3626640.7287603</v>
      </c>
      <c r="H6193" s="62" t="s">
        <v>138</v>
      </c>
    </row>
    <row r="6194" customFormat="false" ht="15" hidden="false" customHeight="false" outlineLevel="0" collapsed="false">
      <c r="A6194" s="62" t="n">
        <v>1</v>
      </c>
      <c r="B6194" s="62" t="s">
        <v>383</v>
      </c>
      <c r="C6194" s="62" t="s">
        <v>60</v>
      </c>
      <c r="D6194" s="62" t="s">
        <v>71</v>
      </c>
      <c r="E6194" s="62" t="s">
        <v>382</v>
      </c>
      <c r="F6194" s="63" t="s">
        <v>853</v>
      </c>
      <c r="G6194" s="64" t="n">
        <v>976891.163046996</v>
      </c>
      <c r="H6194" s="62" t="s">
        <v>138</v>
      </c>
    </row>
    <row r="6195" customFormat="false" ht="15" hidden="false" customHeight="false" outlineLevel="0" collapsed="false">
      <c r="A6195" s="62" t="n">
        <v>1</v>
      </c>
      <c r="B6195" s="62" t="s">
        <v>387</v>
      </c>
      <c r="C6195" s="62" t="s">
        <v>60</v>
      </c>
      <c r="D6195" s="62" t="s">
        <v>71</v>
      </c>
      <c r="E6195" s="62" t="s">
        <v>382</v>
      </c>
      <c r="F6195" s="63" t="s">
        <v>853</v>
      </c>
      <c r="G6195" s="64" t="n">
        <v>3784152.4</v>
      </c>
      <c r="H6195" s="62" t="s">
        <v>138</v>
      </c>
    </row>
    <row r="6196" customFormat="false" ht="15" hidden="false" customHeight="false" outlineLevel="0" collapsed="false">
      <c r="A6196" s="62" t="n">
        <v>1</v>
      </c>
      <c r="B6196" s="62" t="s">
        <v>388</v>
      </c>
      <c r="C6196" s="62" t="s">
        <v>60</v>
      </c>
      <c r="D6196" s="62" t="s">
        <v>71</v>
      </c>
      <c r="E6196" s="62" t="s">
        <v>382</v>
      </c>
      <c r="F6196" s="63" t="s">
        <v>853</v>
      </c>
      <c r="G6196" s="64" t="n">
        <v>2675626.38</v>
      </c>
      <c r="H6196" s="62" t="s">
        <v>138</v>
      </c>
    </row>
    <row r="6197" customFormat="false" ht="15" hidden="false" customHeight="false" outlineLevel="0" collapsed="false">
      <c r="A6197" s="62" t="n">
        <v>1</v>
      </c>
      <c r="B6197" s="62" t="s">
        <v>381</v>
      </c>
      <c r="C6197" s="62" t="s">
        <v>60</v>
      </c>
      <c r="D6197" s="62" t="s">
        <v>71</v>
      </c>
      <c r="E6197" s="62" t="s">
        <v>382</v>
      </c>
      <c r="F6197" s="63" t="s">
        <v>854</v>
      </c>
      <c r="G6197" s="64" t="n">
        <v>2926525.93270626</v>
      </c>
      <c r="H6197" s="62" t="s">
        <v>138</v>
      </c>
    </row>
    <row r="6198" customFormat="false" ht="15" hidden="false" customHeight="false" outlineLevel="0" collapsed="false">
      <c r="A6198" s="62" t="n">
        <v>1</v>
      </c>
      <c r="B6198" s="62" t="s">
        <v>383</v>
      </c>
      <c r="C6198" s="62" t="s">
        <v>60</v>
      </c>
      <c r="D6198" s="62" t="s">
        <v>71</v>
      </c>
      <c r="E6198" s="62" t="s">
        <v>382</v>
      </c>
      <c r="F6198" s="63" t="s">
        <v>854</v>
      </c>
      <c r="G6198" s="64" t="n">
        <v>608776.906333471</v>
      </c>
      <c r="H6198" s="62" t="s">
        <v>138</v>
      </c>
    </row>
    <row r="6199" customFormat="false" ht="15" hidden="false" customHeight="false" outlineLevel="0" collapsed="false">
      <c r="A6199" s="62" t="n">
        <v>1</v>
      </c>
      <c r="B6199" s="62" t="s">
        <v>387</v>
      </c>
      <c r="C6199" s="62" t="s">
        <v>60</v>
      </c>
      <c r="D6199" s="62" t="s">
        <v>71</v>
      </c>
      <c r="E6199" s="62" t="s">
        <v>382</v>
      </c>
      <c r="F6199" s="63" t="s">
        <v>854</v>
      </c>
      <c r="G6199" s="64" t="n">
        <v>3151994.83148755</v>
      </c>
      <c r="H6199" s="62" t="s">
        <v>138</v>
      </c>
    </row>
    <row r="6200" customFormat="false" ht="15" hidden="false" customHeight="false" outlineLevel="0" collapsed="false">
      <c r="A6200" s="62" t="n">
        <v>1</v>
      </c>
      <c r="B6200" s="62" t="s">
        <v>388</v>
      </c>
      <c r="C6200" s="62" t="s">
        <v>60</v>
      </c>
      <c r="D6200" s="62" t="s">
        <v>71</v>
      </c>
      <c r="E6200" s="62" t="s">
        <v>382</v>
      </c>
      <c r="F6200" s="63" t="s">
        <v>854</v>
      </c>
      <c r="G6200" s="64" t="n">
        <v>2174233.32389876</v>
      </c>
      <c r="H6200" s="62" t="s">
        <v>138</v>
      </c>
    </row>
    <row r="6201" customFormat="false" ht="15" hidden="false" customHeight="false" outlineLevel="0" collapsed="false">
      <c r="A6201" s="62" t="n">
        <v>1</v>
      </c>
      <c r="B6201" s="62" t="s">
        <v>381</v>
      </c>
      <c r="C6201" s="62" t="s">
        <v>60</v>
      </c>
      <c r="D6201" s="62" t="s">
        <v>71</v>
      </c>
      <c r="E6201" s="62" t="s">
        <v>382</v>
      </c>
      <c r="F6201" s="63" t="s">
        <v>855</v>
      </c>
      <c r="G6201" s="64" t="n">
        <v>101403.040121056</v>
      </c>
      <c r="H6201" s="62" t="s">
        <v>138</v>
      </c>
    </row>
    <row r="6202" customFormat="false" ht="15" hidden="false" customHeight="false" outlineLevel="0" collapsed="false">
      <c r="A6202" s="62" t="n">
        <v>1</v>
      </c>
      <c r="B6202" s="62" t="s">
        <v>383</v>
      </c>
      <c r="C6202" s="62" t="s">
        <v>60</v>
      </c>
      <c r="D6202" s="62" t="s">
        <v>71</v>
      </c>
      <c r="E6202" s="62" t="s">
        <v>382</v>
      </c>
      <c r="F6202" s="63" t="s">
        <v>855</v>
      </c>
      <c r="G6202" s="64" t="n">
        <v>52477.349063544</v>
      </c>
      <c r="H6202" s="62" t="s">
        <v>138</v>
      </c>
    </row>
    <row r="6203" customFormat="false" ht="15" hidden="false" customHeight="false" outlineLevel="0" collapsed="false">
      <c r="A6203" s="62" t="n">
        <v>1</v>
      </c>
      <c r="B6203" s="62" t="s">
        <v>387</v>
      </c>
      <c r="C6203" s="62" t="s">
        <v>60</v>
      </c>
      <c r="D6203" s="62" t="s">
        <v>71</v>
      </c>
      <c r="E6203" s="62" t="s">
        <v>382</v>
      </c>
      <c r="F6203" s="63" t="s">
        <v>855</v>
      </c>
      <c r="G6203" s="64" t="n">
        <v>360100</v>
      </c>
      <c r="H6203" s="62" t="s">
        <v>138</v>
      </c>
    </row>
    <row r="6204" customFormat="false" ht="15" hidden="false" customHeight="false" outlineLevel="0" collapsed="false">
      <c r="A6204" s="62" t="n">
        <v>1</v>
      </c>
      <c r="B6204" s="62" t="s">
        <v>388</v>
      </c>
      <c r="C6204" s="62" t="s">
        <v>60</v>
      </c>
      <c r="D6204" s="62" t="s">
        <v>71</v>
      </c>
      <c r="E6204" s="62" t="s">
        <v>382</v>
      </c>
      <c r="F6204" s="63" t="s">
        <v>855</v>
      </c>
      <c r="G6204" s="64" t="n">
        <v>109200</v>
      </c>
      <c r="H6204" s="62" t="s">
        <v>138</v>
      </c>
    </row>
    <row r="6205" customFormat="false" ht="15" hidden="false" customHeight="false" outlineLevel="0" collapsed="false">
      <c r="A6205" s="62" t="n">
        <v>1</v>
      </c>
      <c r="B6205" s="62" t="s">
        <v>381</v>
      </c>
      <c r="C6205" s="62" t="s">
        <v>60</v>
      </c>
      <c r="D6205" s="62" t="s">
        <v>71</v>
      </c>
      <c r="E6205" s="62" t="s">
        <v>382</v>
      </c>
      <c r="F6205" s="63" t="s">
        <v>856</v>
      </c>
      <c r="G6205" s="64" t="n">
        <v>3027928.97282731</v>
      </c>
      <c r="H6205" s="62" t="s">
        <v>138</v>
      </c>
    </row>
    <row r="6206" customFormat="false" ht="15" hidden="false" customHeight="false" outlineLevel="0" collapsed="false">
      <c r="A6206" s="62" t="n">
        <v>1</v>
      </c>
      <c r="B6206" s="62" t="s">
        <v>383</v>
      </c>
      <c r="C6206" s="62" t="s">
        <v>60</v>
      </c>
      <c r="D6206" s="62" t="s">
        <v>71</v>
      </c>
      <c r="E6206" s="62" t="s">
        <v>382</v>
      </c>
      <c r="F6206" s="63" t="s">
        <v>856</v>
      </c>
      <c r="G6206" s="64" t="n">
        <v>661254.255397015</v>
      </c>
      <c r="H6206" s="62" t="s">
        <v>138</v>
      </c>
    </row>
    <row r="6207" customFormat="false" ht="15" hidden="false" customHeight="false" outlineLevel="0" collapsed="false">
      <c r="A6207" s="62" t="n">
        <v>1</v>
      </c>
      <c r="B6207" s="62" t="s">
        <v>387</v>
      </c>
      <c r="C6207" s="62" t="s">
        <v>60</v>
      </c>
      <c r="D6207" s="62" t="s">
        <v>71</v>
      </c>
      <c r="E6207" s="62" t="s">
        <v>382</v>
      </c>
      <c r="F6207" s="63" t="s">
        <v>856</v>
      </c>
      <c r="G6207" s="64" t="n">
        <v>3512094.83148755</v>
      </c>
      <c r="H6207" s="62" t="s">
        <v>138</v>
      </c>
    </row>
    <row r="6208" customFormat="false" ht="15" hidden="false" customHeight="false" outlineLevel="0" collapsed="false">
      <c r="A6208" s="62" t="n">
        <v>1</v>
      </c>
      <c r="B6208" s="62" t="s">
        <v>388</v>
      </c>
      <c r="C6208" s="62" t="s">
        <v>60</v>
      </c>
      <c r="D6208" s="62" t="s">
        <v>71</v>
      </c>
      <c r="E6208" s="62" t="s">
        <v>382</v>
      </c>
      <c r="F6208" s="63" t="s">
        <v>856</v>
      </c>
      <c r="G6208" s="64" t="n">
        <v>2283433.32389876</v>
      </c>
      <c r="H6208" s="62" t="s">
        <v>138</v>
      </c>
    </row>
    <row r="6209" customFormat="false" ht="15" hidden="false" customHeight="false" outlineLevel="0" collapsed="false">
      <c r="A6209" s="62" t="n">
        <v>1</v>
      </c>
      <c r="B6209" s="62" t="s">
        <v>381</v>
      </c>
      <c r="C6209" s="62" t="s">
        <v>60</v>
      </c>
      <c r="D6209" s="62" t="s">
        <v>71</v>
      </c>
      <c r="E6209" s="62" t="s">
        <v>382</v>
      </c>
      <c r="F6209" s="63" t="s">
        <v>857</v>
      </c>
      <c r="G6209" s="64" t="n">
        <v>598711.755932992</v>
      </c>
      <c r="H6209" s="62" t="s">
        <v>138</v>
      </c>
    </row>
    <row r="6210" customFormat="false" ht="15" hidden="false" customHeight="false" outlineLevel="0" collapsed="false">
      <c r="A6210" s="62" t="n">
        <v>1</v>
      </c>
      <c r="B6210" s="62" t="s">
        <v>383</v>
      </c>
      <c r="C6210" s="62" t="s">
        <v>60</v>
      </c>
      <c r="D6210" s="62" t="s">
        <v>71</v>
      </c>
      <c r="E6210" s="62" t="s">
        <v>382</v>
      </c>
      <c r="F6210" s="63" t="s">
        <v>857</v>
      </c>
      <c r="G6210" s="64" t="n">
        <v>315636.907649981</v>
      </c>
      <c r="H6210" s="62" t="s">
        <v>138</v>
      </c>
    </row>
    <row r="6211" customFormat="false" ht="15" hidden="false" customHeight="false" outlineLevel="0" collapsed="false">
      <c r="A6211" s="62" t="n">
        <v>1</v>
      </c>
      <c r="B6211" s="62" t="s">
        <v>387</v>
      </c>
      <c r="C6211" s="62" t="s">
        <v>60</v>
      </c>
      <c r="D6211" s="62" t="s">
        <v>71</v>
      </c>
      <c r="E6211" s="62" t="s">
        <v>382</v>
      </c>
      <c r="F6211" s="63" t="s">
        <v>857</v>
      </c>
      <c r="G6211" s="64" t="n">
        <v>272057.56851245</v>
      </c>
      <c r="H6211" s="62" t="s">
        <v>138</v>
      </c>
    </row>
    <row r="6212" customFormat="false" ht="15" hidden="false" customHeight="false" outlineLevel="0" collapsed="false">
      <c r="A6212" s="62" t="n">
        <v>1</v>
      </c>
      <c r="B6212" s="62" t="s">
        <v>388</v>
      </c>
      <c r="C6212" s="62" t="s">
        <v>60</v>
      </c>
      <c r="D6212" s="62" t="s">
        <v>71</v>
      </c>
      <c r="E6212" s="62" t="s">
        <v>382</v>
      </c>
      <c r="F6212" s="63" t="s">
        <v>857</v>
      </c>
      <c r="G6212" s="64" t="n">
        <v>392193.056101243</v>
      </c>
      <c r="H6212" s="62" t="s">
        <v>138</v>
      </c>
    </row>
    <row r="6213" customFormat="false" ht="15" hidden="false" customHeight="false" outlineLevel="0" collapsed="false">
      <c r="A6213" s="62" t="n">
        <v>1</v>
      </c>
      <c r="B6213" s="62" t="s">
        <v>383</v>
      </c>
      <c r="C6213" s="62" t="s">
        <v>60</v>
      </c>
      <c r="D6213" s="62" t="s">
        <v>71</v>
      </c>
      <c r="E6213" s="62" t="s">
        <v>382</v>
      </c>
      <c r="F6213" s="63" t="s">
        <v>858</v>
      </c>
      <c r="G6213" s="64" t="n">
        <v>727855</v>
      </c>
      <c r="H6213" s="62" t="s">
        <v>138</v>
      </c>
    </row>
    <row r="6214" customFormat="false" ht="15" hidden="false" customHeight="false" outlineLevel="0" collapsed="false">
      <c r="A6214" s="62" t="n">
        <v>1</v>
      </c>
      <c r="B6214" s="62" t="s">
        <v>388</v>
      </c>
      <c r="C6214" s="62" t="s">
        <v>60</v>
      </c>
      <c r="D6214" s="62" t="s">
        <v>71</v>
      </c>
      <c r="E6214" s="62" t="s">
        <v>382</v>
      </c>
      <c r="F6214" s="63" t="s">
        <v>858</v>
      </c>
      <c r="G6214" s="64" t="n">
        <v>194750</v>
      </c>
      <c r="H6214" s="62" t="s">
        <v>138</v>
      </c>
    </row>
    <row r="6215" customFormat="false" ht="15" hidden="false" customHeight="false" outlineLevel="0" collapsed="false">
      <c r="A6215" s="62" t="n">
        <v>1</v>
      </c>
      <c r="B6215" s="62" t="s">
        <v>381</v>
      </c>
      <c r="C6215" s="62" t="s">
        <v>60</v>
      </c>
      <c r="D6215" s="62" t="s">
        <v>71</v>
      </c>
      <c r="E6215" s="62" t="s">
        <v>382</v>
      </c>
      <c r="F6215" s="63" t="s">
        <v>859</v>
      </c>
      <c r="G6215" s="64" t="n">
        <v>448711.755932992</v>
      </c>
      <c r="H6215" s="62" t="s">
        <v>138</v>
      </c>
    </row>
    <row r="6216" customFormat="false" ht="15" hidden="false" customHeight="false" outlineLevel="0" collapsed="false">
      <c r="A6216" s="62" t="n">
        <v>1</v>
      </c>
      <c r="B6216" s="62" t="s">
        <v>383</v>
      </c>
      <c r="C6216" s="62" t="s">
        <v>60</v>
      </c>
      <c r="D6216" s="62" t="s">
        <v>71</v>
      </c>
      <c r="E6216" s="62" t="s">
        <v>382</v>
      </c>
      <c r="F6216" s="63" t="s">
        <v>859</v>
      </c>
      <c r="G6216" s="64" t="n">
        <v>-412218.092350019</v>
      </c>
      <c r="H6216" s="62" t="s">
        <v>138</v>
      </c>
    </row>
    <row r="6217" customFormat="false" ht="15" hidden="false" customHeight="false" outlineLevel="0" collapsed="false">
      <c r="A6217" s="62" t="n">
        <v>1</v>
      </c>
      <c r="B6217" s="62" t="s">
        <v>387</v>
      </c>
      <c r="C6217" s="62" t="s">
        <v>60</v>
      </c>
      <c r="D6217" s="62" t="s">
        <v>71</v>
      </c>
      <c r="E6217" s="62" t="s">
        <v>382</v>
      </c>
      <c r="F6217" s="63" t="s">
        <v>859</v>
      </c>
      <c r="G6217" s="64" t="n">
        <v>50072.5685124504</v>
      </c>
      <c r="H6217" s="62" t="s">
        <v>138</v>
      </c>
    </row>
    <row r="6218" customFormat="false" ht="15" hidden="false" customHeight="false" outlineLevel="0" collapsed="false">
      <c r="A6218" s="62" t="n">
        <v>1</v>
      </c>
      <c r="B6218" s="62" t="s">
        <v>388</v>
      </c>
      <c r="C6218" s="62" t="s">
        <v>60</v>
      </c>
      <c r="D6218" s="62" t="s">
        <v>71</v>
      </c>
      <c r="E6218" s="62" t="s">
        <v>382</v>
      </c>
      <c r="F6218" s="63" t="s">
        <v>859</v>
      </c>
      <c r="G6218" s="64" t="n">
        <v>197443.056101243</v>
      </c>
      <c r="H6218" s="62" t="s">
        <v>138</v>
      </c>
    </row>
    <row r="6219" customFormat="false" ht="15" hidden="false" customHeight="false" outlineLevel="0" collapsed="false">
      <c r="A6219" s="62" t="n">
        <v>1</v>
      </c>
      <c r="B6219" s="62" t="s">
        <v>381</v>
      </c>
      <c r="C6219" s="62" t="s">
        <v>60</v>
      </c>
      <c r="D6219" s="62" t="s">
        <v>72</v>
      </c>
      <c r="E6219" s="62" t="s">
        <v>382</v>
      </c>
      <c r="F6219" s="63" t="s">
        <v>625</v>
      </c>
      <c r="G6219" s="64" t="n">
        <v>5603269.25440515</v>
      </c>
      <c r="H6219" s="62" t="s">
        <v>138</v>
      </c>
    </row>
    <row r="6220" customFormat="false" ht="15" hidden="false" customHeight="false" outlineLevel="0" collapsed="false">
      <c r="A6220" s="62" t="n">
        <v>1</v>
      </c>
      <c r="B6220" s="62" t="s">
        <v>383</v>
      </c>
      <c r="C6220" s="62" t="s">
        <v>60</v>
      </c>
      <c r="D6220" s="62" t="s">
        <v>72</v>
      </c>
      <c r="E6220" s="62" t="s">
        <v>382</v>
      </c>
      <c r="F6220" s="63" t="s">
        <v>625</v>
      </c>
      <c r="G6220" s="64" t="n">
        <v>25292282.3743201</v>
      </c>
      <c r="H6220" s="62" t="s">
        <v>138</v>
      </c>
    </row>
    <row r="6221" customFormat="false" ht="15" hidden="false" customHeight="false" outlineLevel="0" collapsed="false">
      <c r="A6221" s="62" t="n">
        <v>1</v>
      </c>
      <c r="B6221" s="62" t="s">
        <v>384</v>
      </c>
      <c r="C6221" s="62" t="s">
        <v>60</v>
      </c>
      <c r="D6221" s="62" t="s">
        <v>72</v>
      </c>
      <c r="E6221" s="62" t="s">
        <v>382</v>
      </c>
      <c r="F6221" s="63" t="s">
        <v>625</v>
      </c>
      <c r="G6221" s="64" t="n">
        <v>24866723.0877643</v>
      </c>
      <c r="H6221" s="62" t="s">
        <v>138</v>
      </c>
    </row>
    <row r="6222" customFormat="false" ht="15" hidden="false" customHeight="false" outlineLevel="0" collapsed="false">
      <c r="A6222" s="62" t="n">
        <v>1</v>
      </c>
      <c r="B6222" s="62" t="s">
        <v>385</v>
      </c>
      <c r="C6222" s="62" t="s">
        <v>60</v>
      </c>
      <c r="D6222" s="62" t="s">
        <v>72</v>
      </c>
      <c r="E6222" s="62" t="s">
        <v>382</v>
      </c>
      <c r="F6222" s="63" t="s">
        <v>625</v>
      </c>
      <c r="G6222" s="64" t="n">
        <v>12593518.9928914</v>
      </c>
      <c r="H6222" s="62" t="s">
        <v>138</v>
      </c>
    </row>
    <row r="6223" customFormat="false" ht="15" hidden="false" customHeight="false" outlineLevel="0" collapsed="false">
      <c r="A6223" s="62" t="n">
        <v>1</v>
      </c>
      <c r="B6223" s="62" t="s">
        <v>386</v>
      </c>
      <c r="C6223" s="62" t="s">
        <v>60</v>
      </c>
      <c r="D6223" s="62" t="s">
        <v>72</v>
      </c>
      <c r="E6223" s="62" t="s">
        <v>382</v>
      </c>
      <c r="F6223" s="63" t="s">
        <v>625</v>
      </c>
      <c r="G6223" s="64" t="n">
        <v>5615760.27194083</v>
      </c>
      <c r="H6223" s="62" t="s">
        <v>138</v>
      </c>
    </row>
    <row r="6224" customFormat="false" ht="15" hidden="false" customHeight="false" outlineLevel="0" collapsed="false">
      <c r="A6224" s="62" t="n">
        <v>1</v>
      </c>
      <c r="B6224" s="62" t="s">
        <v>387</v>
      </c>
      <c r="C6224" s="62" t="s">
        <v>60</v>
      </c>
      <c r="D6224" s="62" t="s">
        <v>72</v>
      </c>
      <c r="E6224" s="62" t="s">
        <v>382</v>
      </c>
      <c r="F6224" s="63" t="s">
        <v>625</v>
      </c>
      <c r="G6224" s="64" t="n">
        <v>18021650.4803009</v>
      </c>
      <c r="H6224" s="62" t="s">
        <v>138</v>
      </c>
    </row>
    <row r="6225" customFormat="false" ht="15" hidden="false" customHeight="false" outlineLevel="0" collapsed="false">
      <c r="A6225" s="62" t="n">
        <v>1</v>
      </c>
      <c r="B6225" s="62" t="s">
        <v>388</v>
      </c>
      <c r="C6225" s="62" t="s">
        <v>60</v>
      </c>
      <c r="D6225" s="62" t="s">
        <v>72</v>
      </c>
      <c r="E6225" s="62" t="s">
        <v>382</v>
      </c>
      <c r="F6225" s="63" t="s">
        <v>625</v>
      </c>
      <c r="G6225" s="64" t="n">
        <v>0</v>
      </c>
      <c r="H6225" s="62" t="s">
        <v>138</v>
      </c>
    </row>
    <row r="6226" customFormat="false" ht="15" hidden="false" customHeight="false" outlineLevel="0" collapsed="false">
      <c r="A6226" s="62" t="n">
        <v>1</v>
      </c>
      <c r="B6226" s="62" t="s">
        <v>381</v>
      </c>
      <c r="C6226" s="62" t="s">
        <v>60</v>
      </c>
      <c r="D6226" s="62" t="s">
        <v>72</v>
      </c>
      <c r="E6226" s="62" t="s">
        <v>382</v>
      </c>
      <c r="F6226" s="63" t="s">
        <v>626</v>
      </c>
      <c r="G6226" s="64" t="n">
        <v>0</v>
      </c>
      <c r="H6226" s="62" t="s">
        <v>138</v>
      </c>
    </row>
    <row r="6227" customFormat="false" ht="15" hidden="false" customHeight="false" outlineLevel="0" collapsed="false">
      <c r="A6227" s="62" t="n">
        <v>1</v>
      </c>
      <c r="B6227" s="62" t="s">
        <v>383</v>
      </c>
      <c r="C6227" s="62" t="s">
        <v>60</v>
      </c>
      <c r="D6227" s="62" t="s">
        <v>72</v>
      </c>
      <c r="E6227" s="62" t="s">
        <v>382</v>
      </c>
      <c r="F6227" s="63" t="s">
        <v>626</v>
      </c>
      <c r="G6227" s="64" t="n">
        <v>0</v>
      </c>
      <c r="H6227" s="62" t="s">
        <v>138</v>
      </c>
    </row>
    <row r="6228" customFormat="false" ht="15" hidden="false" customHeight="false" outlineLevel="0" collapsed="false">
      <c r="A6228" s="62" t="n">
        <v>1</v>
      </c>
      <c r="B6228" s="62" t="s">
        <v>384</v>
      </c>
      <c r="C6228" s="62" t="s">
        <v>60</v>
      </c>
      <c r="D6228" s="62" t="s">
        <v>72</v>
      </c>
      <c r="E6228" s="62" t="s">
        <v>382</v>
      </c>
      <c r="F6228" s="63" t="s">
        <v>626</v>
      </c>
      <c r="G6228" s="64" t="n">
        <v>0</v>
      </c>
      <c r="H6228" s="62" t="s">
        <v>138</v>
      </c>
    </row>
    <row r="6229" customFormat="false" ht="15" hidden="false" customHeight="false" outlineLevel="0" collapsed="false">
      <c r="A6229" s="62" t="n">
        <v>1</v>
      </c>
      <c r="B6229" s="62" t="s">
        <v>385</v>
      </c>
      <c r="C6229" s="62" t="s">
        <v>60</v>
      </c>
      <c r="D6229" s="62" t="s">
        <v>72</v>
      </c>
      <c r="E6229" s="62" t="s">
        <v>382</v>
      </c>
      <c r="F6229" s="63" t="s">
        <v>626</v>
      </c>
      <c r="G6229" s="64" t="n">
        <v>0</v>
      </c>
      <c r="H6229" s="62" t="s">
        <v>138</v>
      </c>
    </row>
    <row r="6230" customFormat="false" ht="15" hidden="false" customHeight="false" outlineLevel="0" collapsed="false">
      <c r="A6230" s="62" t="n">
        <v>1</v>
      </c>
      <c r="B6230" s="62" t="s">
        <v>386</v>
      </c>
      <c r="C6230" s="62" t="s">
        <v>60</v>
      </c>
      <c r="D6230" s="62" t="s">
        <v>72</v>
      </c>
      <c r="E6230" s="62" t="s">
        <v>382</v>
      </c>
      <c r="F6230" s="63" t="s">
        <v>626</v>
      </c>
      <c r="G6230" s="64" t="n">
        <v>0</v>
      </c>
      <c r="H6230" s="62" t="s">
        <v>138</v>
      </c>
    </row>
    <row r="6231" customFormat="false" ht="15" hidden="false" customHeight="false" outlineLevel="0" collapsed="false">
      <c r="A6231" s="62" t="n">
        <v>1</v>
      </c>
      <c r="B6231" s="62" t="s">
        <v>387</v>
      </c>
      <c r="C6231" s="62" t="s">
        <v>60</v>
      </c>
      <c r="D6231" s="62" t="s">
        <v>72</v>
      </c>
      <c r="E6231" s="62" t="s">
        <v>382</v>
      </c>
      <c r="F6231" s="63" t="s">
        <v>626</v>
      </c>
      <c r="G6231" s="64" t="n">
        <v>0</v>
      </c>
      <c r="H6231" s="62" t="s">
        <v>138</v>
      </c>
    </row>
    <row r="6232" customFormat="false" ht="15" hidden="false" customHeight="false" outlineLevel="0" collapsed="false">
      <c r="A6232" s="62" t="n">
        <v>1</v>
      </c>
      <c r="B6232" s="62" t="s">
        <v>388</v>
      </c>
      <c r="C6232" s="62" t="s">
        <v>60</v>
      </c>
      <c r="D6232" s="62" t="s">
        <v>72</v>
      </c>
      <c r="E6232" s="62" t="s">
        <v>382</v>
      </c>
      <c r="F6232" s="63" t="s">
        <v>626</v>
      </c>
      <c r="G6232" s="64" t="n">
        <v>0</v>
      </c>
      <c r="H6232" s="62" t="s">
        <v>138</v>
      </c>
    </row>
    <row r="6233" customFormat="false" ht="15" hidden="false" customHeight="false" outlineLevel="0" collapsed="false">
      <c r="A6233" s="62" t="n">
        <v>1</v>
      </c>
      <c r="B6233" s="62" t="s">
        <v>381</v>
      </c>
      <c r="C6233" s="62" t="s">
        <v>60</v>
      </c>
      <c r="D6233" s="62" t="s">
        <v>72</v>
      </c>
      <c r="E6233" s="62" t="s">
        <v>382</v>
      </c>
      <c r="F6233" s="63" t="s">
        <v>627</v>
      </c>
      <c r="G6233" s="64" t="n">
        <v>2632573.04989555</v>
      </c>
      <c r="H6233" s="62" t="s">
        <v>138</v>
      </c>
    </row>
    <row r="6234" customFormat="false" ht="15" hidden="false" customHeight="false" outlineLevel="0" collapsed="false">
      <c r="A6234" s="62" t="n">
        <v>1</v>
      </c>
      <c r="B6234" s="62" t="s">
        <v>383</v>
      </c>
      <c r="C6234" s="62" t="s">
        <v>60</v>
      </c>
      <c r="D6234" s="62" t="s">
        <v>72</v>
      </c>
      <c r="E6234" s="62" t="s">
        <v>382</v>
      </c>
      <c r="F6234" s="63" t="s">
        <v>627</v>
      </c>
      <c r="G6234" s="64" t="n">
        <v>8189554.64861987</v>
      </c>
      <c r="H6234" s="62" t="s">
        <v>138</v>
      </c>
    </row>
    <row r="6235" customFormat="false" ht="15" hidden="false" customHeight="false" outlineLevel="0" collapsed="false">
      <c r="A6235" s="62" t="n">
        <v>1</v>
      </c>
      <c r="B6235" s="62" t="s">
        <v>384</v>
      </c>
      <c r="C6235" s="62" t="s">
        <v>60</v>
      </c>
      <c r="D6235" s="62" t="s">
        <v>72</v>
      </c>
      <c r="E6235" s="62" t="s">
        <v>382</v>
      </c>
      <c r="F6235" s="63" t="s">
        <v>627</v>
      </c>
      <c r="G6235" s="64" t="n">
        <v>9511133.40526334</v>
      </c>
      <c r="H6235" s="62" t="s">
        <v>138</v>
      </c>
    </row>
    <row r="6236" customFormat="false" ht="15" hidden="false" customHeight="false" outlineLevel="0" collapsed="false">
      <c r="A6236" s="62" t="n">
        <v>1</v>
      </c>
      <c r="B6236" s="62" t="s">
        <v>385</v>
      </c>
      <c r="C6236" s="62" t="s">
        <v>60</v>
      </c>
      <c r="D6236" s="62" t="s">
        <v>72</v>
      </c>
      <c r="E6236" s="62" t="s">
        <v>382</v>
      </c>
      <c r="F6236" s="63" t="s">
        <v>627</v>
      </c>
      <c r="G6236" s="64" t="n">
        <v>3484633.48704565</v>
      </c>
      <c r="H6236" s="62" t="s">
        <v>138</v>
      </c>
    </row>
    <row r="6237" customFormat="false" ht="15" hidden="false" customHeight="false" outlineLevel="0" collapsed="false">
      <c r="A6237" s="62" t="n">
        <v>1</v>
      </c>
      <c r="B6237" s="62" t="s">
        <v>386</v>
      </c>
      <c r="C6237" s="62" t="s">
        <v>60</v>
      </c>
      <c r="D6237" s="62" t="s">
        <v>72</v>
      </c>
      <c r="E6237" s="62" t="s">
        <v>382</v>
      </c>
      <c r="F6237" s="63" t="s">
        <v>627</v>
      </c>
      <c r="G6237" s="64" t="n">
        <v>2268825.91962129</v>
      </c>
      <c r="H6237" s="62" t="s">
        <v>138</v>
      </c>
    </row>
    <row r="6238" customFormat="false" ht="15" hidden="false" customHeight="false" outlineLevel="0" collapsed="false">
      <c r="A6238" s="62" t="n">
        <v>1</v>
      </c>
      <c r="B6238" s="62" t="s">
        <v>387</v>
      </c>
      <c r="C6238" s="62" t="s">
        <v>60</v>
      </c>
      <c r="D6238" s="62" t="s">
        <v>72</v>
      </c>
      <c r="E6238" s="62" t="s">
        <v>382</v>
      </c>
      <c r="F6238" s="63" t="s">
        <v>627</v>
      </c>
      <c r="G6238" s="64" t="n">
        <v>6448395.29388433</v>
      </c>
      <c r="H6238" s="62" t="s">
        <v>138</v>
      </c>
    </row>
    <row r="6239" customFormat="false" ht="15" hidden="false" customHeight="false" outlineLevel="0" collapsed="false">
      <c r="A6239" s="62" t="n">
        <v>1</v>
      </c>
      <c r="B6239" s="62" t="s">
        <v>388</v>
      </c>
      <c r="C6239" s="62" t="s">
        <v>60</v>
      </c>
      <c r="D6239" s="62" t="s">
        <v>72</v>
      </c>
      <c r="E6239" s="62" t="s">
        <v>382</v>
      </c>
      <c r="F6239" s="63" t="s">
        <v>627</v>
      </c>
      <c r="G6239" s="64" t="n">
        <v>0</v>
      </c>
      <c r="H6239" s="62" t="s">
        <v>138</v>
      </c>
    </row>
    <row r="6240" customFormat="false" ht="15" hidden="false" customHeight="false" outlineLevel="0" collapsed="false">
      <c r="A6240" s="62" t="n">
        <v>1</v>
      </c>
      <c r="B6240" s="62" t="s">
        <v>381</v>
      </c>
      <c r="C6240" s="62" t="s">
        <v>60</v>
      </c>
      <c r="D6240" s="62" t="s">
        <v>72</v>
      </c>
      <c r="E6240" s="62" t="s">
        <v>382</v>
      </c>
      <c r="F6240" s="63" t="s">
        <v>628</v>
      </c>
      <c r="G6240" s="64" t="n">
        <v>419272.237208262</v>
      </c>
      <c r="H6240" s="62" t="s">
        <v>138</v>
      </c>
    </row>
    <row r="6241" customFormat="false" ht="15" hidden="false" customHeight="false" outlineLevel="0" collapsed="false">
      <c r="A6241" s="62" t="n">
        <v>1</v>
      </c>
      <c r="B6241" s="62" t="s">
        <v>383</v>
      </c>
      <c r="C6241" s="62" t="s">
        <v>60</v>
      </c>
      <c r="D6241" s="62" t="s">
        <v>72</v>
      </c>
      <c r="E6241" s="62" t="s">
        <v>382</v>
      </c>
      <c r="F6241" s="63" t="s">
        <v>628</v>
      </c>
      <c r="G6241" s="64" t="n">
        <v>1278032.35511112</v>
      </c>
      <c r="H6241" s="62" t="s">
        <v>138</v>
      </c>
    </row>
    <row r="6242" customFormat="false" ht="15" hidden="false" customHeight="false" outlineLevel="0" collapsed="false">
      <c r="A6242" s="62" t="n">
        <v>1</v>
      </c>
      <c r="B6242" s="62" t="s">
        <v>384</v>
      </c>
      <c r="C6242" s="62" t="s">
        <v>60</v>
      </c>
      <c r="D6242" s="62" t="s">
        <v>72</v>
      </c>
      <c r="E6242" s="62" t="s">
        <v>382</v>
      </c>
      <c r="F6242" s="63" t="s">
        <v>628</v>
      </c>
      <c r="G6242" s="64" t="n">
        <v>1567067.33230724</v>
      </c>
      <c r="H6242" s="62" t="s">
        <v>138</v>
      </c>
    </row>
    <row r="6243" customFormat="false" ht="15" hidden="false" customHeight="false" outlineLevel="0" collapsed="false">
      <c r="A6243" s="62" t="n">
        <v>1</v>
      </c>
      <c r="B6243" s="62" t="s">
        <v>385</v>
      </c>
      <c r="C6243" s="62" t="s">
        <v>60</v>
      </c>
      <c r="D6243" s="62" t="s">
        <v>72</v>
      </c>
      <c r="E6243" s="62" t="s">
        <v>382</v>
      </c>
      <c r="F6243" s="63" t="s">
        <v>628</v>
      </c>
      <c r="G6243" s="64" t="n">
        <v>514425.794178358</v>
      </c>
      <c r="H6243" s="62" t="s">
        <v>138</v>
      </c>
    </row>
    <row r="6244" customFormat="false" ht="15" hidden="false" customHeight="false" outlineLevel="0" collapsed="false">
      <c r="A6244" s="62" t="n">
        <v>1</v>
      </c>
      <c r="B6244" s="62" t="s">
        <v>386</v>
      </c>
      <c r="C6244" s="62" t="s">
        <v>60</v>
      </c>
      <c r="D6244" s="62" t="s">
        <v>72</v>
      </c>
      <c r="E6244" s="62" t="s">
        <v>382</v>
      </c>
      <c r="F6244" s="63" t="s">
        <v>628</v>
      </c>
      <c r="G6244" s="64" t="n">
        <v>330943.875469526</v>
      </c>
      <c r="H6244" s="62" t="s">
        <v>138</v>
      </c>
    </row>
    <row r="6245" customFormat="false" ht="15" hidden="false" customHeight="false" outlineLevel="0" collapsed="false">
      <c r="A6245" s="62" t="n">
        <v>1</v>
      </c>
      <c r="B6245" s="62" t="s">
        <v>387</v>
      </c>
      <c r="C6245" s="62" t="s">
        <v>60</v>
      </c>
      <c r="D6245" s="62" t="s">
        <v>72</v>
      </c>
      <c r="E6245" s="62" t="s">
        <v>382</v>
      </c>
      <c r="F6245" s="63" t="s">
        <v>628</v>
      </c>
      <c r="G6245" s="64" t="n">
        <v>947505.222284229</v>
      </c>
      <c r="H6245" s="62" t="s">
        <v>138</v>
      </c>
    </row>
    <row r="6246" customFormat="false" ht="15" hidden="false" customHeight="false" outlineLevel="0" collapsed="false">
      <c r="A6246" s="62" t="n">
        <v>1</v>
      </c>
      <c r="B6246" s="62" t="s">
        <v>388</v>
      </c>
      <c r="C6246" s="62" t="s">
        <v>60</v>
      </c>
      <c r="D6246" s="62" t="s">
        <v>72</v>
      </c>
      <c r="E6246" s="62" t="s">
        <v>382</v>
      </c>
      <c r="F6246" s="63" t="s">
        <v>628</v>
      </c>
      <c r="G6246" s="64" t="n">
        <v>0</v>
      </c>
      <c r="H6246" s="62" t="s">
        <v>138</v>
      </c>
    </row>
    <row r="6247" customFormat="false" ht="15" hidden="false" customHeight="false" outlineLevel="0" collapsed="false">
      <c r="A6247" s="62" t="n">
        <v>1</v>
      </c>
      <c r="B6247" s="62" t="s">
        <v>381</v>
      </c>
      <c r="C6247" s="62" t="s">
        <v>60</v>
      </c>
      <c r="D6247" s="62" t="s">
        <v>72</v>
      </c>
      <c r="E6247" s="62" t="s">
        <v>382</v>
      </c>
      <c r="F6247" s="63" t="s">
        <v>629</v>
      </c>
      <c r="G6247" s="64" t="n">
        <v>1050718.05700667</v>
      </c>
      <c r="H6247" s="62" t="s">
        <v>138</v>
      </c>
    </row>
    <row r="6248" customFormat="false" ht="15" hidden="false" customHeight="false" outlineLevel="0" collapsed="false">
      <c r="A6248" s="62" t="n">
        <v>1</v>
      </c>
      <c r="B6248" s="62" t="s">
        <v>383</v>
      </c>
      <c r="C6248" s="62" t="s">
        <v>60</v>
      </c>
      <c r="D6248" s="62" t="s">
        <v>72</v>
      </c>
      <c r="E6248" s="62" t="s">
        <v>382</v>
      </c>
      <c r="F6248" s="63" t="s">
        <v>629</v>
      </c>
      <c r="G6248" s="64" t="n">
        <v>3097737.69865988</v>
      </c>
      <c r="H6248" s="62" t="s">
        <v>138</v>
      </c>
    </row>
    <row r="6249" customFormat="false" ht="15" hidden="false" customHeight="false" outlineLevel="0" collapsed="false">
      <c r="A6249" s="62" t="n">
        <v>1</v>
      </c>
      <c r="B6249" s="62" t="s">
        <v>384</v>
      </c>
      <c r="C6249" s="62" t="s">
        <v>60</v>
      </c>
      <c r="D6249" s="62" t="s">
        <v>72</v>
      </c>
      <c r="E6249" s="62" t="s">
        <v>382</v>
      </c>
      <c r="F6249" s="63" t="s">
        <v>629</v>
      </c>
      <c r="G6249" s="64" t="n">
        <v>4103419.65144625</v>
      </c>
      <c r="H6249" s="62" t="s">
        <v>138</v>
      </c>
    </row>
    <row r="6250" customFormat="false" ht="15" hidden="false" customHeight="false" outlineLevel="0" collapsed="false">
      <c r="A6250" s="62" t="n">
        <v>1</v>
      </c>
      <c r="B6250" s="62" t="s">
        <v>385</v>
      </c>
      <c r="C6250" s="62" t="s">
        <v>60</v>
      </c>
      <c r="D6250" s="62" t="s">
        <v>72</v>
      </c>
      <c r="E6250" s="62" t="s">
        <v>382</v>
      </c>
      <c r="F6250" s="63" t="s">
        <v>629</v>
      </c>
      <c r="G6250" s="64" t="n">
        <v>1082363.77482908</v>
      </c>
      <c r="H6250" s="62" t="s">
        <v>138</v>
      </c>
    </row>
    <row r="6251" customFormat="false" ht="15" hidden="false" customHeight="false" outlineLevel="0" collapsed="false">
      <c r="A6251" s="62" t="n">
        <v>1</v>
      </c>
      <c r="B6251" s="62" t="s">
        <v>386</v>
      </c>
      <c r="C6251" s="62" t="s">
        <v>60</v>
      </c>
      <c r="D6251" s="62" t="s">
        <v>72</v>
      </c>
      <c r="E6251" s="62" t="s">
        <v>382</v>
      </c>
      <c r="F6251" s="63" t="s">
        <v>629</v>
      </c>
      <c r="G6251" s="64" t="n">
        <v>492921.869245561</v>
      </c>
      <c r="H6251" s="62" t="s">
        <v>138</v>
      </c>
    </row>
    <row r="6252" customFormat="false" ht="15" hidden="false" customHeight="false" outlineLevel="0" collapsed="false">
      <c r="A6252" s="62" t="n">
        <v>1</v>
      </c>
      <c r="B6252" s="62" t="s">
        <v>387</v>
      </c>
      <c r="C6252" s="62" t="s">
        <v>60</v>
      </c>
      <c r="D6252" s="62" t="s">
        <v>72</v>
      </c>
      <c r="E6252" s="62" t="s">
        <v>382</v>
      </c>
      <c r="F6252" s="63" t="s">
        <v>629</v>
      </c>
      <c r="G6252" s="64" t="n">
        <v>1936113.09649823</v>
      </c>
      <c r="H6252" s="62" t="s">
        <v>138</v>
      </c>
    </row>
    <row r="6253" customFormat="false" ht="15" hidden="false" customHeight="false" outlineLevel="0" collapsed="false">
      <c r="A6253" s="62" t="n">
        <v>1</v>
      </c>
      <c r="B6253" s="62" t="s">
        <v>388</v>
      </c>
      <c r="C6253" s="62" t="s">
        <v>60</v>
      </c>
      <c r="D6253" s="62" t="s">
        <v>72</v>
      </c>
      <c r="E6253" s="62" t="s">
        <v>382</v>
      </c>
      <c r="F6253" s="63" t="s">
        <v>629</v>
      </c>
      <c r="G6253" s="64" t="n">
        <v>0</v>
      </c>
      <c r="H6253" s="62" t="s">
        <v>138</v>
      </c>
    </row>
    <row r="6254" customFormat="false" ht="15" hidden="false" customHeight="false" outlineLevel="0" collapsed="false">
      <c r="A6254" s="62" t="n">
        <v>1</v>
      </c>
      <c r="B6254" s="62" t="s">
        <v>381</v>
      </c>
      <c r="C6254" s="62" t="s">
        <v>60</v>
      </c>
      <c r="D6254" s="62" t="s">
        <v>72</v>
      </c>
      <c r="E6254" s="62" t="s">
        <v>382</v>
      </c>
      <c r="F6254" s="63" t="s">
        <v>630</v>
      </c>
      <c r="G6254" s="64" t="n">
        <v>4102563.34411048</v>
      </c>
      <c r="H6254" s="62" t="s">
        <v>138</v>
      </c>
    </row>
    <row r="6255" customFormat="false" ht="15" hidden="false" customHeight="false" outlineLevel="0" collapsed="false">
      <c r="A6255" s="62" t="n">
        <v>1</v>
      </c>
      <c r="B6255" s="62" t="s">
        <v>383</v>
      </c>
      <c r="C6255" s="62" t="s">
        <v>60</v>
      </c>
      <c r="D6255" s="62" t="s">
        <v>72</v>
      </c>
      <c r="E6255" s="62" t="s">
        <v>382</v>
      </c>
      <c r="F6255" s="63" t="s">
        <v>630</v>
      </c>
      <c r="G6255" s="64" t="n">
        <v>12565324.7023909</v>
      </c>
      <c r="H6255" s="62" t="s">
        <v>138</v>
      </c>
    </row>
    <row r="6256" customFormat="false" ht="15" hidden="false" customHeight="false" outlineLevel="0" collapsed="false">
      <c r="A6256" s="62" t="n">
        <v>1</v>
      </c>
      <c r="B6256" s="62" t="s">
        <v>384</v>
      </c>
      <c r="C6256" s="62" t="s">
        <v>60</v>
      </c>
      <c r="D6256" s="62" t="s">
        <v>72</v>
      </c>
      <c r="E6256" s="62" t="s">
        <v>382</v>
      </c>
      <c r="F6256" s="63" t="s">
        <v>630</v>
      </c>
      <c r="G6256" s="64" t="n">
        <v>15181620.3890168</v>
      </c>
      <c r="H6256" s="62" t="s">
        <v>138</v>
      </c>
    </row>
    <row r="6257" customFormat="false" ht="15" hidden="false" customHeight="false" outlineLevel="0" collapsed="false">
      <c r="A6257" s="62" t="n">
        <v>1</v>
      </c>
      <c r="B6257" s="62" t="s">
        <v>385</v>
      </c>
      <c r="C6257" s="62" t="s">
        <v>60</v>
      </c>
      <c r="D6257" s="62" t="s">
        <v>72</v>
      </c>
      <c r="E6257" s="62" t="s">
        <v>382</v>
      </c>
      <c r="F6257" s="63" t="s">
        <v>630</v>
      </c>
      <c r="G6257" s="64" t="n">
        <v>5081423.05605309</v>
      </c>
      <c r="H6257" s="62" t="s">
        <v>138</v>
      </c>
    </row>
    <row r="6258" customFormat="false" ht="15" hidden="false" customHeight="false" outlineLevel="0" collapsed="false">
      <c r="A6258" s="62" t="n">
        <v>1</v>
      </c>
      <c r="B6258" s="62" t="s">
        <v>386</v>
      </c>
      <c r="C6258" s="62" t="s">
        <v>60</v>
      </c>
      <c r="D6258" s="62" t="s">
        <v>72</v>
      </c>
      <c r="E6258" s="62" t="s">
        <v>382</v>
      </c>
      <c r="F6258" s="63" t="s">
        <v>630</v>
      </c>
      <c r="G6258" s="64" t="n">
        <v>3092691.66433638</v>
      </c>
      <c r="H6258" s="62" t="s">
        <v>138</v>
      </c>
    </row>
    <row r="6259" customFormat="false" ht="15" hidden="false" customHeight="false" outlineLevel="0" collapsed="false">
      <c r="A6259" s="62" t="n">
        <v>1</v>
      </c>
      <c r="B6259" s="62" t="s">
        <v>387</v>
      </c>
      <c r="C6259" s="62" t="s">
        <v>60</v>
      </c>
      <c r="D6259" s="62" t="s">
        <v>72</v>
      </c>
      <c r="E6259" s="62" t="s">
        <v>382</v>
      </c>
      <c r="F6259" s="63" t="s">
        <v>630</v>
      </c>
      <c r="G6259" s="64" t="n">
        <v>9332013.61266679</v>
      </c>
      <c r="H6259" s="62" t="s">
        <v>138</v>
      </c>
    </row>
    <row r="6260" customFormat="false" ht="15" hidden="false" customHeight="false" outlineLevel="0" collapsed="false">
      <c r="A6260" s="62" t="n">
        <v>1</v>
      </c>
      <c r="B6260" s="62" t="s">
        <v>388</v>
      </c>
      <c r="C6260" s="62" t="s">
        <v>60</v>
      </c>
      <c r="D6260" s="62" t="s">
        <v>72</v>
      </c>
      <c r="E6260" s="62" t="s">
        <v>382</v>
      </c>
      <c r="F6260" s="63" t="s">
        <v>630</v>
      </c>
      <c r="G6260" s="64" t="n">
        <v>0</v>
      </c>
      <c r="H6260" s="62" t="s">
        <v>138</v>
      </c>
    </row>
    <row r="6261" customFormat="false" ht="15" hidden="false" customHeight="false" outlineLevel="0" collapsed="false">
      <c r="A6261" s="62" t="n">
        <v>1</v>
      </c>
      <c r="B6261" s="62" t="s">
        <v>381</v>
      </c>
      <c r="C6261" s="62" t="s">
        <v>60</v>
      </c>
      <c r="D6261" s="62" t="s">
        <v>72</v>
      </c>
      <c r="E6261" s="62" t="s">
        <v>382</v>
      </c>
      <c r="F6261" s="63" t="s">
        <v>631</v>
      </c>
      <c r="G6261" s="64" t="n">
        <v>1500705.91029467</v>
      </c>
      <c r="H6261" s="62" t="s">
        <v>138</v>
      </c>
    </row>
    <row r="6262" customFormat="false" ht="15" hidden="false" customHeight="false" outlineLevel="0" collapsed="false">
      <c r="A6262" s="62" t="n">
        <v>1</v>
      </c>
      <c r="B6262" s="62" t="s">
        <v>383</v>
      </c>
      <c r="C6262" s="62" t="s">
        <v>60</v>
      </c>
      <c r="D6262" s="62" t="s">
        <v>72</v>
      </c>
      <c r="E6262" s="62" t="s">
        <v>382</v>
      </c>
      <c r="F6262" s="63" t="s">
        <v>631</v>
      </c>
      <c r="G6262" s="64" t="n">
        <v>12726957.6719292</v>
      </c>
      <c r="H6262" s="62" t="s">
        <v>138</v>
      </c>
    </row>
    <row r="6263" customFormat="false" ht="15" hidden="false" customHeight="false" outlineLevel="0" collapsed="false">
      <c r="A6263" s="62" t="n">
        <v>1</v>
      </c>
      <c r="B6263" s="62" t="s">
        <v>384</v>
      </c>
      <c r="C6263" s="62" t="s">
        <v>60</v>
      </c>
      <c r="D6263" s="62" t="s">
        <v>72</v>
      </c>
      <c r="E6263" s="62" t="s">
        <v>382</v>
      </c>
      <c r="F6263" s="63" t="s">
        <v>631</v>
      </c>
      <c r="G6263" s="64" t="n">
        <v>9685102.69874743</v>
      </c>
      <c r="H6263" s="62" t="s">
        <v>138</v>
      </c>
    </row>
    <row r="6264" customFormat="false" ht="15" hidden="false" customHeight="false" outlineLevel="0" collapsed="false">
      <c r="A6264" s="62" t="n">
        <v>1</v>
      </c>
      <c r="B6264" s="62" t="s">
        <v>385</v>
      </c>
      <c r="C6264" s="62" t="s">
        <v>60</v>
      </c>
      <c r="D6264" s="62" t="s">
        <v>72</v>
      </c>
      <c r="E6264" s="62" t="s">
        <v>382</v>
      </c>
      <c r="F6264" s="63" t="s">
        <v>631</v>
      </c>
      <c r="G6264" s="64" t="n">
        <v>7512095.93683826</v>
      </c>
      <c r="H6264" s="62" t="s">
        <v>138</v>
      </c>
    </row>
    <row r="6265" customFormat="false" ht="15" hidden="false" customHeight="false" outlineLevel="0" collapsed="false">
      <c r="A6265" s="62" t="n">
        <v>1</v>
      </c>
      <c r="B6265" s="62" t="s">
        <v>386</v>
      </c>
      <c r="C6265" s="62" t="s">
        <v>60</v>
      </c>
      <c r="D6265" s="62" t="s">
        <v>72</v>
      </c>
      <c r="E6265" s="62" t="s">
        <v>382</v>
      </c>
      <c r="F6265" s="63" t="s">
        <v>631</v>
      </c>
      <c r="G6265" s="64" t="n">
        <v>2523068.60760445</v>
      </c>
      <c r="H6265" s="62" t="s">
        <v>138</v>
      </c>
    </row>
    <row r="6266" customFormat="false" ht="15" hidden="false" customHeight="false" outlineLevel="0" collapsed="false">
      <c r="A6266" s="62" t="n">
        <v>1</v>
      </c>
      <c r="B6266" s="62" t="s">
        <v>387</v>
      </c>
      <c r="C6266" s="62" t="s">
        <v>60</v>
      </c>
      <c r="D6266" s="62" t="s">
        <v>72</v>
      </c>
      <c r="E6266" s="62" t="s">
        <v>382</v>
      </c>
      <c r="F6266" s="63" t="s">
        <v>631</v>
      </c>
      <c r="G6266" s="64" t="n">
        <v>8689636.86763415</v>
      </c>
      <c r="H6266" s="62" t="s">
        <v>138</v>
      </c>
    </row>
    <row r="6267" customFormat="false" ht="15" hidden="false" customHeight="false" outlineLevel="0" collapsed="false">
      <c r="A6267" s="62" t="n">
        <v>1</v>
      </c>
      <c r="B6267" s="62" t="s">
        <v>388</v>
      </c>
      <c r="C6267" s="62" t="s">
        <v>60</v>
      </c>
      <c r="D6267" s="62" t="s">
        <v>72</v>
      </c>
      <c r="E6267" s="62" t="s">
        <v>382</v>
      </c>
      <c r="F6267" s="63" t="s">
        <v>631</v>
      </c>
      <c r="G6267" s="64" t="n">
        <v>0</v>
      </c>
      <c r="H6267" s="62" t="s">
        <v>138</v>
      </c>
    </row>
    <row r="6268" customFormat="false" ht="15" hidden="false" customHeight="false" outlineLevel="0" collapsed="false">
      <c r="A6268" s="62" t="n">
        <v>1</v>
      </c>
      <c r="B6268" s="62" t="s">
        <v>381</v>
      </c>
      <c r="C6268" s="62" t="s">
        <v>60</v>
      </c>
      <c r="D6268" s="62" t="s">
        <v>72</v>
      </c>
      <c r="E6268" s="62" t="s">
        <v>382</v>
      </c>
      <c r="F6268" s="63" t="s">
        <v>632</v>
      </c>
      <c r="G6268" s="64" t="n">
        <v>350000</v>
      </c>
      <c r="H6268" s="62" t="s">
        <v>138</v>
      </c>
    </row>
    <row r="6269" customFormat="false" ht="15" hidden="false" customHeight="false" outlineLevel="0" collapsed="false">
      <c r="A6269" s="62" t="n">
        <v>1</v>
      </c>
      <c r="B6269" s="62" t="s">
        <v>383</v>
      </c>
      <c r="C6269" s="62" t="s">
        <v>60</v>
      </c>
      <c r="D6269" s="62" t="s">
        <v>72</v>
      </c>
      <c r="E6269" s="62" t="s">
        <v>382</v>
      </c>
      <c r="F6269" s="63" t="s">
        <v>632</v>
      </c>
      <c r="G6269" s="64" t="n">
        <v>2744395</v>
      </c>
      <c r="H6269" s="62" t="s">
        <v>138</v>
      </c>
    </row>
    <row r="6270" customFormat="false" ht="15" hidden="false" customHeight="false" outlineLevel="0" collapsed="false">
      <c r="A6270" s="62" t="n">
        <v>1</v>
      </c>
      <c r="B6270" s="62" t="s">
        <v>384</v>
      </c>
      <c r="C6270" s="62" t="s">
        <v>60</v>
      </c>
      <c r="D6270" s="62" t="s">
        <v>72</v>
      </c>
      <c r="E6270" s="62" t="s">
        <v>382</v>
      </c>
      <c r="F6270" s="63" t="s">
        <v>632</v>
      </c>
      <c r="G6270" s="64" t="n">
        <v>679510</v>
      </c>
      <c r="H6270" s="62" t="s">
        <v>138</v>
      </c>
    </row>
    <row r="6271" customFormat="false" ht="15" hidden="false" customHeight="false" outlineLevel="0" collapsed="false">
      <c r="A6271" s="62" t="n">
        <v>1</v>
      </c>
      <c r="B6271" s="62" t="s">
        <v>385</v>
      </c>
      <c r="C6271" s="62" t="s">
        <v>60</v>
      </c>
      <c r="D6271" s="62" t="s">
        <v>72</v>
      </c>
      <c r="E6271" s="62" t="s">
        <v>382</v>
      </c>
      <c r="F6271" s="63" t="s">
        <v>632</v>
      </c>
      <c r="G6271" s="64" t="n">
        <v>828462</v>
      </c>
      <c r="H6271" s="62" t="s">
        <v>138</v>
      </c>
    </row>
    <row r="6272" customFormat="false" ht="15" hidden="false" customHeight="false" outlineLevel="0" collapsed="false">
      <c r="A6272" s="62" t="n">
        <v>1</v>
      </c>
      <c r="B6272" s="62" t="s">
        <v>386</v>
      </c>
      <c r="C6272" s="62" t="s">
        <v>60</v>
      </c>
      <c r="D6272" s="62" t="s">
        <v>72</v>
      </c>
      <c r="E6272" s="62" t="s">
        <v>382</v>
      </c>
      <c r="F6272" s="63" t="s">
        <v>632</v>
      </c>
      <c r="G6272" s="64" t="n">
        <v>1000000</v>
      </c>
      <c r="H6272" s="62" t="s">
        <v>138</v>
      </c>
    </row>
    <row r="6273" customFormat="false" ht="15" hidden="false" customHeight="false" outlineLevel="0" collapsed="false">
      <c r="A6273" s="62" t="n">
        <v>1</v>
      </c>
      <c r="B6273" s="62" t="s">
        <v>387</v>
      </c>
      <c r="C6273" s="62" t="s">
        <v>60</v>
      </c>
      <c r="D6273" s="62" t="s">
        <v>72</v>
      </c>
      <c r="E6273" s="62" t="s">
        <v>382</v>
      </c>
      <c r="F6273" s="63" t="s">
        <v>632</v>
      </c>
      <c r="G6273" s="64" t="n">
        <v>456613.5</v>
      </c>
      <c r="H6273" s="62" t="s">
        <v>138</v>
      </c>
    </row>
    <row r="6274" customFormat="false" ht="15" hidden="false" customHeight="false" outlineLevel="0" collapsed="false">
      <c r="A6274" s="62" t="n">
        <v>1</v>
      </c>
      <c r="B6274" s="62" t="s">
        <v>388</v>
      </c>
      <c r="C6274" s="62" t="s">
        <v>60</v>
      </c>
      <c r="D6274" s="62" t="s">
        <v>72</v>
      </c>
      <c r="E6274" s="62" t="s">
        <v>382</v>
      </c>
      <c r="F6274" s="63" t="s">
        <v>632</v>
      </c>
      <c r="G6274" s="64" t="n">
        <v>410996</v>
      </c>
      <c r="H6274" s="62" t="s">
        <v>138</v>
      </c>
    </row>
    <row r="6275" customFormat="false" ht="15" hidden="false" customHeight="false" outlineLevel="0" collapsed="false">
      <c r="A6275" s="62" t="n">
        <v>1</v>
      </c>
      <c r="B6275" s="62" t="s">
        <v>381</v>
      </c>
      <c r="C6275" s="62" t="s">
        <v>60</v>
      </c>
      <c r="D6275" s="62" t="s">
        <v>72</v>
      </c>
      <c r="E6275" s="62" t="s">
        <v>382</v>
      </c>
      <c r="F6275" s="63" t="s">
        <v>633</v>
      </c>
      <c r="G6275" s="64" t="n">
        <v>1150705.91029467</v>
      </c>
      <c r="H6275" s="62" t="s">
        <v>138</v>
      </c>
    </row>
    <row r="6276" customFormat="false" ht="15" hidden="false" customHeight="false" outlineLevel="0" collapsed="false">
      <c r="A6276" s="62" t="n">
        <v>1</v>
      </c>
      <c r="B6276" s="62" t="s">
        <v>383</v>
      </c>
      <c r="C6276" s="62" t="s">
        <v>60</v>
      </c>
      <c r="D6276" s="62" t="s">
        <v>72</v>
      </c>
      <c r="E6276" s="62" t="s">
        <v>382</v>
      </c>
      <c r="F6276" s="63" t="s">
        <v>633</v>
      </c>
      <c r="G6276" s="64" t="n">
        <v>9982562.67192923</v>
      </c>
      <c r="H6276" s="62" t="s">
        <v>138</v>
      </c>
    </row>
    <row r="6277" customFormat="false" ht="15" hidden="false" customHeight="false" outlineLevel="0" collapsed="false">
      <c r="A6277" s="62" t="n">
        <v>1</v>
      </c>
      <c r="B6277" s="62" t="s">
        <v>384</v>
      </c>
      <c r="C6277" s="62" t="s">
        <v>60</v>
      </c>
      <c r="D6277" s="62" t="s">
        <v>72</v>
      </c>
      <c r="E6277" s="62" t="s">
        <v>382</v>
      </c>
      <c r="F6277" s="63" t="s">
        <v>633</v>
      </c>
      <c r="G6277" s="64" t="n">
        <v>9005592.69874743</v>
      </c>
      <c r="H6277" s="62" t="s">
        <v>138</v>
      </c>
    </row>
    <row r="6278" customFormat="false" ht="15" hidden="false" customHeight="false" outlineLevel="0" collapsed="false">
      <c r="A6278" s="62" t="n">
        <v>1</v>
      </c>
      <c r="B6278" s="62" t="s">
        <v>385</v>
      </c>
      <c r="C6278" s="62" t="s">
        <v>60</v>
      </c>
      <c r="D6278" s="62" t="s">
        <v>72</v>
      </c>
      <c r="E6278" s="62" t="s">
        <v>382</v>
      </c>
      <c r="F6278" s="63" t="s">
        <v>633</v>
      </c>
      <c r="G6278" s="64" t="n">
        <v>6683633.93683826</v>
      </c>
      <c r="H6278" s="62" t="s">
        <v>138</v>
      </c>
    </row>
    <row r="6279" customFormat="false" ht="15" hidden="false" customHeight="false" outlineLevel="0" collapsed="false">
      <c r="A6279" s="62" t="n">
        <v>1</v>
      </c>
      <c r="B6279" s="62" t="s">
        <v>386</v>
      </c>
      <c r="C6279" s="62" t="s">
        <v>60</v>
      </c>
      <c r="D6279" s="62" t="s">
        <v>72</v>
      </c>
      <c r="E6279" s="62" t="s">
        <v>382</v>
      </c>
      <c r="F6279" s="63" t="s">
        <v>633</v>
      </c>
      <c r="G6279" s="64" t="n">
        <v>1523068.60760445</v>
      </c>
      <c r="H6279" s="62" t="s">
        <v>138</v>
      </c>
    </row>
    <row r="6280" customFormat="false" ht="15" hidden="false" customHeight="false" outlineLevel="0" collapsed="false">
      <c r="A6280" s="62" t="n">
        <v>1</v>
      </c>
      <c r="B6280" s="62" t="s">
        <v>387</v>
      </c>
      <c r="C6280" s="62" t="s">
        <v>60</v>
      </c>
      <c r="D6280" s="62" t="s">
        <v>72</v>
      </c>
      <c r="E6280" s="62" t="s">
        <v>382</v>
      </c>
      <c r="F6280" s="63" t="s">
        <v>633</v>
      </c>
      <c r="G6280" s="64" t="n">
        <v>8233023.36763415</v>
      </c>
      <c r="H6280" s="62" t="s">
        <v>138</v>
      </c>
    </row>
    <row r="6281" customFormat="false" ht="15" hidden="false" customHeight="false" outlineLevel="0" collapsed="false">
      <c r="A6281" s="62" t="n">
        <v>1</v>
      </c>
      <c r="B6281" s="62" t="s">
        <v>388</v>
      </c>
      <c r="C6281" s="62" t="s">
        <v>60</v>
      </c>
      <c r="D6281" s="62" t="s">
        <v>72</v>
      </c>
      <c r="E6281" s="62" t="s">
        <v>382</v>
      </c>
      <c r="F6281" s="63" t="s">
        <v>633</v>
      </c>
      <c r="G6281" s="64" t="n">
        <v>-410996</v>
      </c>
      <c r="H6281" s="62" t="s">
        <v>138</v>
      </c>
    </row>
    <row r="6282" customFormat="false" ht="15" hidden="false" customHeight="false" outlineLevel="0" collapsed="false">
      <c r="A6282" s="62" t="n">
        <v>1</v>
      </c>
      <c r="B6282" s="62" t="s">
        <v>381</v>
      </c>
      <c r="C6282" s="62" t="s">
        <v>60</v>
      </c>
      <c r="D6282" s="62" t="s">
        <v>72</v>
      </c>
      <c r="E6282" s="62" t="s">
        <v>382</v>
      </c>
      <c r="F6282" s="63" t="s">
        <v>853</v>
      </c>
      <c r="G6282" s="64" t="n">
        <v>7990168.04309041</v>
      </c>
      <c r="H6282" s="62" t="s">
        <v>138</v>
      </c>
    </row>
    <row r="6283" customFormat="false" ht="15" hidden="false" customHeight="false" outlineLevel="0" collapsed="false">
      <c r="A6283" s="62" t="n">
        <v>1</v>
      </c>
      <c r="B6283" s="62" t="s">
        <v>383</v>
      </c>
      <c r="C6283" s="62" t="s">
        <v>60</v>
      </c>
      <c r="D6283" s="62" t="s">
        <v>72</v>
      </c>
      <c r="E6283" s="62" t="s">
        <v>382</v>
      </c>
      <c r="F6283" s="63" t="s">
        <v>853</v>
      </c>
      <c r="G6283" s="64" t="n">
        <v>11247501.0616699</v>
      </c>
      <c r="H6283" s="62" t="s">
        <v>138</v>
      </c>
    </row>
    <row r="6284" customFormat="false" ht="15" hidden="false" customHeight="false" outlineLevel="0" collapsed="false">
      <c r="A6284" s="62" t="n">
        <v>1</v>
      </c>
      <c r="B6284" s="62" t="s">
        <v>387</v>
      </c>
      <c r="C6284" s="62" t="s">
        <v>60</v>
      </c>
      <c r="D6284" s="62" t="s">
        <v>72</v>
      </c>
      <c r="E6284" s="62" t="s">
        <v>382</v>
      </c>
      <c r="F6284" s="63" t="s">
        <v>853</v>
      </c>
      <c r="G6284" s="64" t="n">
        <v>1860232.73257693</v>
      </c>
      <c r="H6284" s="62" t="s">
        <v>138</v>
      </c>
    </row>
    <row r="6285" customFormat="false" ht="15" hidden="false" customHeight="false" outlineLevel="0" collapsed="false">
      <c r="A6285" s="62" t="n">
        <v>1</v>
      </c>
      <c r="B6285" s="62" t="s">
        <v>381</v>
      </c>
      <c r="C6285" s="62" t="s">
        <v>60</v>
      </c>
      <c r="D6285" s="62" t="s">
        <v>72</v>
      </c>
      <c r="E6285" s="62" t="s">
        <v>382</v>
      </c>
      <c r="F6285" s="63" t="s">
        <v>860</v>
      </c>
      <c r="G6285" s="64" t="n">
        <v>5803593.82261348</v>
      </c>
      <c r="H6285" s="62" t="s">
        <v>138</v>
      </c>
    </row>
    <row r="6286" customFormat="false" ht="15" hidden="false" customHeight="false" outlineLevel="0" collapsed="false">
      <c r="A6286" s="62" t="n">
        <v>1</v>
      </c>
      <c r="B6286" s="62" t="s">
        <v>383</v>
      </c>
      <c r="C6286" s="62" t="s">
        <v>60</v>
      </c>
      <c r="D6286" s="62" t="s">
        <v>72</v>
      </c>
      <c r="E6286" s="62" t="s">
        <v>382</v>
      </c>
      <c r="F6286" s="63" t="s">
        <v>860</v>
      </c>
      <c r="G6286" s="64" t="n">
        <v>5465088.75992932</v>
      </c>
      <c r="H6286" s="62" t="s">
        <v>138</v>
      </c>
    </row>
    <row r="6287" customFormat="false" ht="15" hidden="false" customHeight="false" outlineLevel="0" collapsed="false">
      <c r="A6287" s="62" t="n">
        <v>1</v>
      </c>
      <c r="B6287" s="62" t="s">
        <v>387</v>
      </c>
      <c r="C6287" s="62" t="s">
        <v>60</v>
      </c>
      <c r="D6287" s="62" t="s">
        <v>72</v>
      </c>
      <c r="E6287" s="62" t="s">
        <v>382</v>
      </c>
      <c r="F6287" s="63" t="s">
        <v>860</v>
      </c>
      <c r="G6287" s="64" t="n">
        <v>1082966.18868183</v>
      </c>
      <c r="H6287" s="62" t="s">
        <v>138</v>
      </c>
    </row>
    <row r="6288" customFormat="false" ht="15" hidden="false" customHeight="false" outlineLevel="0" collapsed="false">
      <c r="A6288" s="62" t="n">
        <v>1</v>
      </c>
      <c r="B6288" s="62" t="s">
        <v>381</v>
      </c>
      <c r="C6288" s="62" t="s">
        <v>60</v>
      </c>
      <c r="D6288" s="62" t="s">
        <v>72</v>
      </c>
      <c r="E6288" s="62" t="s">
        <v>382</v>
      </c>
      <c r="F6288" s="63" t="s">
        <v>861</v>
      </c>
      <c r="G6288" s="64" t="n">
        <v>656662.019881008</v>
      </c>
      <c r="H6288" s="62" t="s">
        <v>138</v>
      </c>
    </row>
    <row r="6289" customFormat="false" ht="15" hidden="false" customHeight="false" outlineLevel="0" collapsed="false">
      <c r="A6289" s="62" t="n">
        <v>1</v>
      </c>
      <c r="B6289" s="62" t="s">
        <v>383</v>
      </c>
      <c r="C6289" s="62" t="s">
        <v>60</v>
      </c>
      <c r="D6289" s="62" t="s">
        <v>72</v>
      </c>
      <c r="E6289" s="62" t="s">
        <v>382</v>
      </c>
      <c r="F6289" s="63" t="s">
        <v>861</v>
      </c>
      <c r="G6289" s="64" t="n">
        <v>661263.431990273</v>
      </c>
      <c r="H6289" s="62" t="s">
        <v>138</v>
      </c>
    </row>
    <row r="6290" customFormat="false" ht="15" hidden="false" customHeight="false" outlineLevel="0" collapsed="false">
      <c r="A6290" s="62" t="n">
        <v>1</v>
      </c>
      <c r="B6290" s="62" t="s">
        <v>387</v>
      </c>
      <c r="C6290" s="62" t="s">
        <v>60</v>
      </c>
      <c r="D6290" s="62" t="s">
        <v>72</v>
      </c>
      <c r="E6290" s="62" t="s">
        <v>382</v>
      </c>
      <c r="F6290" s="63" t="s">
        <v>861</v>
      </c>
      <c r="G6290" s="64" t="n">
        <v>126416.32255688</v>
      </c>
      <c r="H6290" s="62" t="s">
        <v>138</v>
      </c>
    </row>
    <row r="6291" customFormat="false" ht="15" hidden="false" customHeight="false" outlineLevel="0" collapsed="false">
      <c r="A6291" s="62" t="n">
        <v>1</v>
      </c>
      <c r="B6291" s="62" t="s">
        <v>381</v>
      </c>
      <c r="C6291" s="62" t="s">
        <v>60</v>
      </c>
      <c r="D6291" s="62" t="s">
        <v>72</v>
      </c>
      <c r="E6291" s="62" t="s">
        <v>382</v>
      </c>
      <c r="F6291" s="63" t="s">
        <v>855</v>
      </c>
      <c r="G6291" s="64" t="n">
        <v>208098.102599073</v>
      </c>
      <c r="H6291" s="62" t="s">
        <v>138</v>
      </c>
    </row>
    <row r="6292" customFormat="false" ht="15" hidden="false" customHeight="false" outlineLevel="0" collapsed="false">
      <c r="A6292" s="62" t="n">
        <v>1</v>
      </c>
      <c r="B6292" s="62" t="s">
        <v>383</v>
      </c>
      <c r="C6292" s="62" t="s">
        <v>60</v>
      </c>
      <c r="D6292" s="62" t="s">
        <v>72</v>
      </c>
      <c r="E6292" s="62" t="s">
        <v>382</v>
      </c>
      <c r="F6292" s="63" t="s">
        <v>855</v>
      </c>
      <c r="G6292" s="64" t="n">
        <v>543574.212618988</v>
      </c>
      <c r="H6292" s="62" t="s">
        <v>138</v>
      </c>
    </row>
    <row r="6293" customFormat="false" ht="15" hidden="false" customHeight="false" outlineLevel="0" collapsed="false">
      <c r="A6293" s="62" t="n">
        <v>1</v>
      </c>
      <c r="B6293" s="62" t="s">
        <v>387</v>
      </c>
      <c r="C6293" s="62" t="s">
        <v>60</v>
      </c>
      <c r="D6293" s="62" t="s">
        <v>72</v>
      </c>
      <c r="E6293" s="62" t="s">
        <v>382</v>
      </c>
      <c r="F6293" s="63" t="s">
        <v>855</v>
      </c>
      <c r="G6293" s="64" t="n">
        <v>95927.8430578036</v>
      </c>
      <c r="H6293" s="62" t="s">
        <v>138</v>
      </c>
    </row>
    <row r="6294" customFormat="false" ht="15" hidden="false" customHeight="false" outlineLevel="0" collapsed="false">
      <c r="A6294" s="62" t="n">
        <v>1</v>
      </c>
      <c r="B6294" s="62" t="s">
        <v>381</v>
      </c>
      <c r="C6294" s="62" t="s">
        <v>60</v>
      </c>
      <c r="D6294" s="62" t="s">
        <v>72</v>
      </c>
      <c r="E6294" s="62" t="s">
        <v>382</v>
      </c>
      <c r="F6294" s="63" t="s">
        <v>856</v>
      </c>
      <c r="G6294" s="64" t="n">
        <v>6668353.94509356</v>
      </c>
      <c r="H6294" s="62" t="s">
        <v>138</v>
      </c>
    </row>
    <row r="6295" customFormat="false" ht="15" hidden="false" customHeight="false" outlineLevel="0" collapsed="false">
      <c r="A6295" s="62" t="n">
        <v>1</v>
      </c>
      <c r="B6295" s="62" t="s">
        <v>383</v>
      </c>
      <c r="C6295" s="62" t="s">
        <v>60</v>
      </c>
      <c r="D6295" s="62" t="s">
        <v>72</v>
      </c>
      <c r="E6295" s="62" t="s">
        <v>382</v>
      </c>
      <c r="F6295" s="63" t="s">
        <v>856</v>
      </c>
      <c r="G6295" s="64" t="n">
        <v>6669926.40453858</v>
      </c>
      <c r="H6295" s="62" t="s">
        <v>138</v>
      </c>
    </row>
    <row r="6296" customFormat="false" ht="15" hidden="false" customHeight="false" outlineLevel="0" collapsed="false">
      <c r="A6296" s="62" t="n">
        <v>1</v>
      </c>
      <c r="B6296" s="62" t="s">
        <v>387</v>
      </c>
      <c r="C6296" s="62" t="s">
        <v>60</v>
      </c>
      <c r="D6296" s="62" t="s">
        <v>72</v>
      </c>
      <c r="E6296" s="62" t="s">
        <v>382</v>
      </c>
      <c r="F6296" s="63" t="s">
        <v>856</v>
      </c>
      <c r="G6296" s="64" t="n">
        <v>1305310.35429652</v>
      </c>
      <c r="H6296" s="62" t="s">
        <v>138</v>
      </c>
    </row>
    <row r="6297" customFormat="false" ht="15" hidden="false" customHeight="false" outlineLevel="0" collapsed="false">
      <c r="A6297" s="62" t="n">
        <v>1</v>
      </c>
      <c r="B6297" s="62" t="s">
        <v>381</v>
      </c>
      <c r="C6297" s="62" t="s">
        <v>60</v>
      </c>
      <c r="D6297" s="62" t="s">
        <v>72</v>
      </c>
      <c r="E6297" s="62" t="s">
        <v>382</v>
      </c>
      <c r="F6297" s="63" t="s">
        <v>857</v>
      </c>
      <c r="G6297" s="64" t="n">
        <v>1321814.09799685</v>
      </c>
      <c r="H6297" s="62" t="s">
        <v>138</v>
      </c>
    </row>
    <row r="6298" customFormat="false" ht="15" hidden="false" customHeight="false" outlineLevel="0" collapsed="false">
      <c r="A6298" s="62" t="n">
        <v>1</v>
      </c>
      <c r="B6298" s="62" t="s">
        <v>383</v>
      </c>
      <c r="C6298" s="62" t="s">
        <v>60</v>
      </c>
      <c r="D6298" s="62" t="s">
        <v>72</v>
      </c>
      <c r="E6298" s="62" t="s">
        <v>382</v>
      </c>
      <c r="F6298" s="63" t="s">
        <v>857</v>
      </c>
      <c r="G6298" s="64" t="n">
        <v>4577574.65713131</v>
      </c>
      <c r="H6298" s="62" t="s">
        <v>138</v>
      </c>
    </row>
    <row r="6299" customFormat="false" ht="15" hidden="false" customHeight="false" outlineLevel="0" collapsed="false">
      <c r="A6299" s="62" t="n">
        <v>1</v>
      </c>
      <c r="B6299" s="62" t="s">
        <v>387</v>
      </c>
      <c r="C6299" s="62" t="s">
        <v>60</v>
      </c>
      <c r="D6299" s="62" t="s">
        <v>72</v>
      </c>
      <c r="E6299" s="62" t="s">
        <v>382</v>
      </c>
      <c r="F6299" s="63" t="s">
        <v>857</v>
      </c>
      <c r="G6299" s="64" t="n">
        <v>554922.378280411</v>
      </c>
      <c r="H6299" s="62" t="s">
        <v>138</v>
      </c>
    </row>
    <row r="6300" customFormat="false" ht="15" hidden="false" customHeight="false" outlineLevel="0" collapsed="false">
      <c r="A6300" s="62" t="n">
        <v>1</v>
      </c>
      <c r="B6300" s="62" t="s">
        <v>383</v>
      </c>
      <c r="C6300" s="62" t="s">
        <v>60</v>
      </c>
      <c r="D6300" s="62" t="s">
        <v>72</v>
      </c>
      <c r="E6300" s="62" t="s">
        <v>382</v>
      </c>
      <c r="F6300" s="63" t="s">
        <v>858</v>
      </c>
      <c r="G6300" s="64" t="n">
        <v>696748</v>
      </c>
      <c r="H6300" s="62" t="s">
        <v>138</v>
      </c>
    </row>
    <row r="6301" customFormat="false" ht="15" hidden="false" customHeight="false" outlineLevel="0" collapsed="false">
      <c r="A6301" s="62" t="n">
        <v>1</v>
      </c>
      <c r="B6301" s="62" t="s">
        <v>388</v>
      </c>
      <c r="C6301" s="62" t="s">
        <v>60</v>
      </c>
      <c r="D6301" s="62" t="s">
        <v>72</v>
      </c>
      <c r="E6301" s="62" t="s">
        <v>382</v>
      </c>
      <c r="F6301" s="63" t="s">
        <v>858</v>
      </c>
      <c r="G6301" s="64" t="n">
        <v>159070</v>
      </c>
      <c r="H6301" s="62" t="s">
        <v>138</v>
      </c>
    </row>
    <row r="6302" customFormat="false" ht="15" hidden="false" customHeight="false" outlineLevel="0" collapsed="false">
      <c r="A6302" s="62" t="n">
        <v>1</v>
      </c>
      <c r="B6302" s="62" t="s">
        <v>381</v>
      </c>
      <c r="C6302" s="62" t="s">
        <v>60</v>
      </c>
      <c r="D6302" s="62" t="s">
        <v>72</v>
      </c>
      <c r="E6302" s="62" t="s">
        <v>382</v>
      </c>
      <c r="F6302" s="63" t="s">
        <v>859</v>
      </c>
      <c r="G6302" s="64" t="n">
        <v>971814.097996853</v>
      </c>
      <c r="H6302" s="62" t="s">
        <v>138</v>
      </c>
    </row>
    <row r="6303" customFormat="false" ht="15" hidden="false" customHeight="false" outlineLevel="0" collapsed="false">
      <c r="A6303" s="62" t="n">
        <v>1</v>
      </c>
      <c r="B6303" s="62" t="s">
        <v>383</v>
      </c>
      <c r="C6303" s="62" t="s">
        <v>60</v>
      </c>
      <c r="D6303" s="62" t="s">
        <v>72</v>
      </c>
      <c r="E6303" s="62" t="s">
        <v>382</v>
      </c>
      <c r="F6303" s="63" t="s">
        <v>859</v>
      </c>
      <c r="G6303" s="64" t="n">
        <v>3880826.65713131</v>
      </c>
      <c r="H6303" s="62" t="s">
        <v>138</v>
      </c>
    </row>
    <row r="6304" customFormat="false" ht="15" hidden="false" customHeight="false" outlineLevel="0" collapsed="false">
      <c r="A6304" s="62" t="n">
        <v>1</v>
      </c>
      <c r="B6304" s="62" t="s">
        <v>387</v>
      </c>
      <c r="C6304" s="62" t="s">
        <v>60</v>
      </c>
      <c r="D6304" s="62" t="s">
        <v>72</v>
      </c>
      <c r="E6304" s="62" t="s">
        <v>382</v>
      </c>
      <c r="F6304" s="63" t="s">
        <v>859</v>
      </c>
      <c r="G6304" s="64" t="n">
        <v>98308.8782804105</v>
      </c>
      <c r="H6304" s="62" t="s">
        <v>138</v>
      </c>
    </row>
    <row r="6305" customFormat="false" ht="15" hidden="false" customHeight="false" outlineLevel="0" collapsed="false">
      <c r="A6305" s="62" t="n">
        <v>1</v>
      </c>
      <c r="B6305" s="62" t="s">
        <v>388</v>
      </c>
      <c r="C6305" s="62" t="s">
        <v>60</v>
      </c>
      <c r="D6305" s="62" t="s">
        <v>72</v>
      </c>
      <c r="E6305" s="62" t="s">
        <v>382</v>
      </c>
      <c r="F6305" s="63" t="s">
        <v>859</v>
      </c>
      <c r="G6305" s="64" t="n">
        <v>-159070</v>
      </c>
      <c r="H6305" s="62" t="s">
        <v>138</v>
      </c>
    </row>
    <row r="6306" customFormat="false" ht="15" hidden="false" customHeight="false" outlineLevel="0" collapsed="false">
      <c r="A6306" s="62" t="n">
        <v>1</v>
      </c>
      <c r="B6306" s="62" t="s">
        <v>381</v>
      </c>
      <c r="C6306" s="62" t="s">
        <v>60</v>
      </c>
      <c r="D6306" s="62" t="s">
        <v>72</v>
      </c>
      <c r="E6306" s="62" t="s">
        <v>382</v>
      </c>
      <c r="F6306" s="63" t="s">
        <v>634</v>
      </c>
      <c r="G6306" s="64" t="n">
        <v>69114582.2472084</v>
      </c>
      <c r="H6306" s="62" t="s">
        <v>138</v>
      </c>
    </row>
    <row r="6307" customFormat="false" ht="15" hidden="false" customHeight="false" outlineLevel="0" collapsed="false">
      <c r="A6307" s="62" t="n">
        <v>1</v>
      </c>
      <c r="B6307" s="62" t="s">
        <v>383</v>
      </c>
      <c r="C6307" s="62" t="s">
        <v>60</v>
      </c>
      <c r="D6307" s="62" t="s">
        <v>72</v>
      </c>
      <c r="E6307" s="62" t="s">
        <v>382</v>
      </c>
      <c r="F6307" s="63" t="s">
        <v>634</v>
      </c>
      <c r="G6307" s="64" t="n">
        <v>116069180.470554</v>
      </c>
      <c r="H6307" s="62" t="s">
        <v>138</v>
      </c>
    </row>
    <row r="6308" customFormat="false" ht="15" hidden="false" customHeight="false" outlineLevel="0" collapsed="false">
      <c r="A6308" s="62" t="n">
        <v>1</v>
      </c>
      <c r="B6308" s="62" t="s">
        <v>384</v>
      </c>
      <c r="C6308" s="62" t="s">
        <v>60</v>
      </c>
      <c r="D6308" s="62" t="s">
        <v>72</v>
      </c>
      <c r="E6308" s="62" t="s">
        <v>382</v>
      </c>
      <c r="F6308" s="63" t="s">
        <v>634</v>
      </c>
      <c r="G6308" s="64" t="n">
        <v>98810843.1832536</v>
      </c>
      <c r="H6308" s="62" t="s">
        <v>138</v>
      </c>
    </row>
    <row r="6309" customFormat="false" ht="15" hidden="false" customHeight="false" outlineLevel="0" collapsed="false">
      <c r="A6309" s="62" t="n">
        <v>1</v>
      </c>
      <c r="B6309" s="62" t="s">
        <v>385</v>
      </c>
      <c r="C6309" s="62" t="s">
        <v>60</v>
      </c>
      <c r="D6309" s="62" t="s">
        <v>72</v>
      </c>
      <c r="E6309" s="62" t="s">
        <v>382</v>
      </c>
      <c r="F6309" s="63" t="s">
        <v>634</v>
      </c>
      <c r="G6309" s="64" t="n">
        <v>88185263.8106063</v>
      </c>
      <c r="H6309" s="62" t="s">
        <v>138</v>
      </c>
    </row>
    <row r="6310" customFormat="false" ht="15" hidden="false" customHeight="false" outlineLevel="0" collapsed="false">
      <c r="A6310" s="62" t="n">
        <v>1</v>
      </c>
      <c r="B6310" s="62" t="s">
        <v>386</v>
      </c>
      <c r="C6310" s="62" t="s">
        <v>60</v>
      </c>
      <c r="D6310" s="62" t="s">
        <v>72</v>
      </c>
      <c r="E6310" s="62" t="s">
        <v>382</v>
      </c>
      <c r="F6310" s="63" t="s">
        <v>634</v>
      </c>
      <c r="G6310" s="64" t="n">
        <v>81227695.634199</v>
      </c>
      <c r="H6310" s="62" t="s">
        <v>138</v>
      </c>
    </row>
    <row r="6311" customFormat="false" ht="15" hidden="false" customHeight="false" outlineLevel="0" collapsed="false">
      <c r="A6311" s="62" t="n">
        <v>1</v>
      </c>
      <c r="B6311" s="62" t="s">
        <v>387</v>
      </c>
      <c r="C6311" s="62" t="s">
        <v>60</v>
      </c>
      <c r="D6311" s="62" t="s">
        <v>72</v>
      </c>
      <c r="E6311" s="62" t="s">
        <v>382</v>
      </c>
      <c r="F6311" s="63" t="s">
        <v>634</v>
      </c>
      <c r="G6311" s="64" t="n">
        <v>94574773.1231645</v>
      </c>
      <c r="H6311" s="62" t="s">
        <v>138</v>
      </c>
    </row>
    <row r="6312" customFormat="false" ht="15" hidden="false" customHeight="false" outlineLevel="0" collapsed="false">
      <c r="A6312" s="62" t="n">
        <v>1</v>
      </c>
      <c r="B6312" s="62" t="s">
        <v>388</v>
      </c>
      <c r="C6312" s="62" t="s">
        <v>60</v>
      </c>
      <c r="D6312" s="62" t="s">
        <v>72</v>
      </c>
      <c r="E6312" s="62" t="s">
        <v>382</v>
      </c>
      <c r="F6312" s="63" t="s">
        <v>634</v>
      </c>
      <c r="G6312" s="64" t="n">
        <v>48978722.0923303</v>
      </c>
      <c r="H6312" s="62" t="s">
        <v>138</v>
      </c>
    </row>
    <row r="6313" customFormat="false" ht="15" hidden="false" customHeight="false" outlineLevel="0" collapsed="false">
      <c r="A6313" s="62" t="n">
        <v>1</v>
      </c>
      <c r="B6313" s="62" t="s">
        <v>381</v>
      </c>
      <c r="C6313" s="62" t="s">
        <v>60</v>
      </c>
      <c r="D6313" s="62" t="s">
        <v>72</v>
      </c>
      <c r="E6313" s="62" t="s">
        <v>382</v>
      </c>
      <c r="F6313" s="63" t="s">
        <v>635</v>
      </c>
      <c r="G6313" s="64" t="n">
        <v>5072588.79038561</v>
      </c>
      <c r="H6313" s="62" t="s">
        <v>138</v>
      </c>
    </row>
    <row r="6314" customFormat="false" ht="15" hidden="false" customHeight="false" outlineLevel="0" collapsed="false">
      <c r="A6314" s="62" t="n">
        <v>1</v>
      </c>
      <c r="B6314" s="62" t="s">
        <v>383</v>
      </c>
      <c r="C6314" s="62" t="s">
        <v>60</v>
      </c>
      <c r="D6314" s="62" t="s">
        <v>72</v>
      </c>
      <c r="E6314" s="62" t="s">
        <v>382</v>
      </c>
      <c r="F6314" s="63" t="s">
        <v>635</v>
      </c>
      <c r="G6314" s="64" t="n">
        <v>20197197.7924865</v>
      </c>
      <c r="H6314" s="62" t="s">
        <v>138</v>
      </c>
    </row>
    <row r="6315" customFormat="false" ht="15" hidden="false" customHeight="false" outlineLevel="0" collapsed="false">
      <c r="A6315" s="62" t="n">
        <v>1</v>
      </c>
      <c r="B6315" s="62" t="s">
        <v>384</v>
      </c>
      <c r="C6315" s="62" t="s">
        <v>60</v>
      </c>
      <c r="D6315" s="62" t="s">
        <v>72</v>
      </c>
      <c r="E6315" s="62" t="s">
        <v>382</v>
      </c>
      <c r="F6315" s="63" t="s">
        <v>635</v>
      </c>
      <c r="G6315" s="64" t="n">
        <v>15232818.8975433</v>
      </c>
      <c r="H6315" s="62" t="s">
        <v>138</v>
      </c>
    </row>
    <row r="6316" customFormat="false" ht="15" hidden="false" customHeight="false" outlineLevel="0" collapsed="false">
      <c r="A6316" s="62" t="n">
        <v>1</v>
      </c>
      <c r="B6316" s="62" t="s">
        <v>385</v>
      </c>
      <c r="C6316" s="62" t="s">
        <v>60</v>
      </c>
      <c r="D6316" s="62" t="s">
        <v>72</v>
      </c>
      <c r="E6316" s="62" t="s">
        <v>382</v>
      </c>
      <c r="F6316" s="63" t="s">
        <v>635</v>
      </c>
      <c r="G6316" s="64" t="n">
        <v>11073095.6459249</v>
      </c>
      <c r="H6316" s="62" t="s">
        <v>138</v>
      </c>
    </row>
    <row r="6317" customFormat="false" ht="15" hidden="false" customHeight="false" outlineLevel="0" collapsed="false">
      <c r="A6317" s="62" t="n">
        <v>1</v>
      </c>
      <c r="B6317" s="62" t="s">
        <v>386</v>
      </c>
      <c r="C6317" s="62" t="s">
        <v>60</v>
      </c>
      <c r="D6317" s="62" t="s">
        <v>72</v>
      </c>
      <c r="E6317" s="62" t="s">
        <v>382</v>
      </c>
      <c r="F6317" s="63" t="s">
        <v>635</v>
      </c>
      <c r="G6317" s="64" t="n">
        <v>12268171.4842365</v>
      </c>
      <c r="H6317" s="62" t="s">
        <v>138</v>
      </c>
    </row>
    <row r="6318" customFormat="false" ht="15" hidden="false" customHeight="false" outlineLevel="0" collapsed="false">
      <c r="A6318" s="62" t="n">
        <v>1</v>
      </c>
      <c r="B6318" s="62" t="s">
        <v>387</v>
      </c>
      <c r="C6318" s="62" t="s">
        <v>60</v>
      </c>
      <c r="D6318" s="62" t="s">
        <v>72</v>
      </c>
      <c r="E6318" s="62" t="s">
        <v>382</v>
      </c>
      <c r="F6318" s="63" t="s">
        <v>635</v>
      </c>
      <c r="G6318" s="64" t="n">
        <v>14599746.1563465</v>
      </c>
      <c r="H6318" s="62" t="s">
        <v>138</v>
      </c>
    </row>
    <row r="6319" customFormat="false" ht="15" hidden="false" customHeight="false" outlineLevel="0" collapsed="false">
      <c r="A6319" s="62" t="n">
        <v>1</v>
      </c>
      <c r="B6319" s="62" t="s">
        <v>388</v>
      </c>
      <c r="C6319" s="62" t="s">
        <v>60</v>
      </c>
      <c r="D6319" s="62" t="s">
        <v>72</v>
      </c>
      <c r="E6319" s="62" t="s">
        <v>382</v>
      </c>
      <c r="F6319" s="63" t="s">
        <v>635</v>
      </c>
      <c r="G6319" s="64" t="n">
        <v>9338724.93190826</v>
      </c>
      <c r="H6319" s="62" t="s">
        <v>138</v>
      </c>
    </row>
    <row r="6320" customFormat="false" ht="15" hidden="false" customHeight="false" outlineLevel="0" collapsed="false">
      <c r="A6320" s="62" t="n">
        <v>1</v>
      </c>
      <c r="B6320" s="62" t="s">
        <v>381</v>
      </c>
      <c r="C6320" s="62" t="s">
        <v>60</v>
      </c>
      <c r="D6320" s="62" t="s">
        <v>72</v>
      </c>
      <c r="E6320" s="62" t="s">
        <v>382</v>
      </c>
      <c r="F6320" s="63" t="s">
        <v>636</v>
      </c>
      <c r="G6320" s="64" t="n">
        <v>-11378004.3138521</v>
      </c>
      <c r="H6320" s="62" t="s">
        <v>138</v>
      </c>
    </row>
    <row r="6321" customFormat="false" ht="15" hidden="false" customHeight="false" outlineLevel="0" collapsed="false">
      <c r="A6321" s="62" t="n">
        <v>1</v>
      </c>
      <c r="B6321" s="62" t="s">
        <v>383</v>
      </c>
      <c r="C6321" s="62" t="s">
        <v>60</v>
      </c>
      <c r="D6321" s="62" t="s">
        <v>72</v>
      </c>
      <c r="E6321" s="62" t="s">
        <v>382</v>
      </c>
      <c r="F6321" s="63" t="s">
        <v>636</v>
      </c>
      <c r="G6321" s="64" t="n">
        <v>-10900129.1539868</v>
      </c>
      <c r="H6321" s="62" t="s">
        <v>138</v>
      </c>
    </row>
    <row r="6322" customFormat="false" ht="15" hidden="false" customHeight="false" outlineLevel="0" collapsed="false">
      <c r="A6322" s="62" t="n">
        <v>1</v>
      </c>
      <c r="B6322" s="62" t="s">
        <v>384</v>
      </c>
      <c r="C6322" s="62" t="s">
        <v>60</v>
      </c>
      <c r="D6322" s="62" t="s">
        <v>72</v>
      </c>
      <c r="E6322" s="62" t="s">
        <v>382</v>
      </c>
      <c r="F6322" s="63" t="s">
        <v>636</v>
      </c>
      <c r="G6322" s="64" t="n">
        <v>-8918035.64385921</v>
      </c>
      <c r="H6322" s="62" t="s">
        <v>138</v>
      </c>
    </row>
    <row r="6323" customFormat="false" ht="15" hidden="false" customHeight="false" outlineLevel="0" collapsed="false">
      <c r="A6323" s="62" t="n">
        <v>1</v>
      </c>
      <c r="B6323" s="62" t="s">
        <v>385</v>
      </c>
      <c r="C6323" s="62" t="s">
        <v>60</v>
      </c>
      <c r="D6323" s="62" t="s">
        <v>72</v>
      </c>
      <c r="E6323" s="62" t="s">
        <v>382</v>
      </c>
      <c r="F6323" s="63" t="s">
        <v>636</v>
      </c>
      <c r="G6323" s="64" t="n">
        <v>-9823259.14509527</v>
      </c>
      <c r="H6323" s="62" t="s">
        <v>138</v>
      </c>
    </row>
    <row r="6324" customFormat="false" ht="15" hidden="false" customHeight="false" outlineLevel="0" collapsed="false">
      <c r="A6324" s="62" t="n">
        <v>1</v>
      </c>
      <c r="B6324" s="62" t="s">
        <v>386</v>
      </c>
      <c r="C6324" s="62" t="s">
        <v>60</v>
      </c>
      <c r="D6324" s="62" t="s">
        <v>72</v>
      </c>
      <c r="E6324" s="62" t="s">
        <v>382</v>
      </c>
      <c r="F6324" s="63" t="s">
        <v>636</v>
      </c>
      <c r="G6324" s="64" t="n">
        <v>-10938810.9513861</v>
      </c>
      <c r="H6324" s="62" t="s">
        <v>138</v>
      </c>
    </row>
    <row r="6325" customFormat="false" ht="15" hidden="false" customHeight="false" outlineLevel="0" collapsed="false">
      <c r="A6325" s="62" t="n">
        <v>1</v>
      </c>
      <c r="B6325" s="62" t="s">
        <v>387</v>
      </c>
      <c r="C6325" s="62" t="s">
        <v>60</v>
      </c>
      <c r="D6325" s="62" t="s">
        <v>72</v>
      </c>
      <c r="E6325" s="62" t="s">
        <v>382</v>
      </c>
      <c r="F6325" s="63" t="s">
        <v>636</v>
      </c>
      <c r="G6325" s="64" t="n">
        <v>-10753620.0488601</v>
      </c>
      <c r="H6325" s="62" t="s">
        <v>138</v>
      </c>
    </row>
    <row r="6326" customFormat="false" ht="15" hidden="false" customHeight="false" outlineLevel="0" collapsed="false">
      <c r="A6326" s="62" t="n">
        <v>1</v>
      </c>
      <c r="B6326" s="62" t="s">
        <v>388</v>
      </c>
      <c r="C6326" s="62" t="s">
        <v>60</v>
      </c>
      <c r="D6326" s="62" t="s">
        <v>72</v>
      </c>
      <c r="E6326" s="62" t="s">
        <v>382</v>
      </c>
      <c r="F6326" s="63" t="s">
        <v>636</v>
      </c>
      <c r="G6326" s="64" t="n">
        <v>-7891583.98929232</v>
      </c>
      <c r="H6326" s="62" t="s">
        <v>138</v>
      </c>
    </row>
    <row r="6327" customFormat="false" ht="15" hidden="false" customHeight="false" outlineLevel="0" collapsed="false">
      <c r="A6327" s="62" t="n">
        <v>1</v>
      </c>
      <c r="B6327" s="62" t="s">
        <v>381</v>
      </c>
      <c r="C6327" s="62" t="s">
        <v>60</v>
      </c>
      <c r="D6327" s="62" t="s">
        <v>72</v>
      </c>
      <c r="E6327" s="62" t="s">
        <v>382</v>
      </c>
      <c r="F6327" s="63" t="s">
        <v>637</v>
      </c>
      <c r="G6327" s="64" t="n">
        <v>62809166.7237419</v>
      </c>
      <c r="H6327" s="62" t="s">
        <v>138</v>
      </c>
    </row>
    <row r="6328" customFormat="false" ht="15" hidden="false" customHeight="false" outlineLevel="0" collapsed="false">
      <c r="A6328" s="62" t="n">
        <v>1</v>
      </c>
      <c r="B6328" s="62" t="s">
        <v>383</v>
      </c>
      <c r="C6328" s="62" t="s">
        <v>60</v>
      </c>
      <c r="D6328" s="62" t="s">
        <v>72</v>
      </c>
      <c r="E6328" s="62" t="s">
        <v>382</v>
      </c>
      <c r="F6328" s="63" t="s">
        <v>637</v>
      </c>
      <c r="G6328" s="64" t="n">
        <v>125366249.109054</v>
      </c>
      <c r="H6328" s="62" t="s">
        <v>138</v>
      </c>
    </row>
    <row r="6329" customFormat="false" ht="15" hidden="false" customHeight="false" outlineLevel="0" collapsed="false">
      <c r="A6329" s="62" t="n">
        <v>1</v>
      </c>
      <c r="B6329" s="62" t="s">
        <v>384</v>
      </c>
      <c r="C6329" s="62" t="s">
        <v>60</v>
      </c>
      <c r="D6329" s="62" t="s">
        <v>72</v>
      </c>
      <c r="E6329" s="62" t="s">
        <v>382</v>
      </c>
      <c r="F6329" s="63" t="s">
        <v>637</v>
      </c>
      <c r="G6329" s="64" t="n">
        <v>105125626.436938</v>
      </c>
      <c r="H6329" s="62" t="s">
        <v>138</v>
      </c>
    </row>
    <row r="6330" customFormat="false" ht="15" hidden="false" customHeight="false" outlineLevel="0" collapsed="false">
      <c r="A6330" s="62" t="n">
        <v>1</v>
      </c>
      <c r="B6330" s="62" t="s">
        <v>385</v>
      </c>
      <c r="C6330" s="62" t="s">
        <v>60</v>
      </c>
      <c r="D6330" s="62" t="s">
        <v>72</v>
      </c>
      <c r="E6330" s="62" t="s">
        <v>382</v>
      </c>
      <c r="F6330" s="63" t="s">
        <v>637</v>
      </c>
      <c r="G6330" s="64" t="n">
        <v>89435100.311436</v>
      </c>
      <c r="H6330" s="62" t="s">
        <v>138</v>
      </c>
    </row>
    <row r="6331" customFormat="false" ht="15" hidden="false" customHeight="false" outlineLevel="0" collapsed="false">
      <c r="A6331" s="62" t="n">
        <v>1</v>
      </c>
      <c r="B6331" s="62" t="s">
        <v>386</v>
      </c>
      <c r="C6331" s="62" t="s">
        <v>60</v>
      </c>
      <c r="D6331" s="62" t="s">
        <v>72</v>
      </c>
      <c r="E6331" s="62" t="s">
        <v>382</v>
      </c>
      <c r="F6331" s="63" t="s">
        <v>637</v>
      </c>
      <c r="G6331" s="64" t="n">
        <v>82557056.1670494</v>
      </c>
      <c r="H6331" s="62" t="s">
        <v>138</v>
      </c>
    </row>
    <row r="6332" customFormat="false" ht="15" hidden="false" customHeight="false" outlineLevel="0" collapsed="false">
      <c r="A6332" s="62" t="n">
        <v>1</v>
      </c>
      <c r="B6332" s="62" t="s">
        <v>387</v>
      </c>
      <c r="C6332" s="62" t="s">
        <v>60</v>
      </c>
      <c r="D6332" s="62" t="s">
        <v>72</v>
      </c>
      <c r="E6332" s="62" t="s">
        <v>382</v>
      </c>
      <c r="F6332" s="63" t="s">
        <v>637</v>
      </c>
      <c r="G6332" s="64" t="n">
        <v>98420899.2306509</v>
      </c>
      <c r="H6332" s="62" t="s">
        <v>138</v>
      </c>
    </row>
    <row r="6333" customFormat="false" ht="15" hidden="false" customHeight="false" outlineLevel="0" collapsed="false">
      <c r="A6333" s="62" t="n">
        <v>1</v>
      </c>
      <c r="B6333" s="62" t="s">
        <v>388</v>
      </c>
      <c r="C6333" s="62" t="s">
        <v>60</v>
      </c>
      <c r="D6333" s="62" t="s">
        <v>72</v>
      </c>
      <c r="E6333" s="62" t="s">
        <v>382</v>
      </c>
      <c r="F6333" s="63" t="s">
        <v>637</v>
      </c>
      <c r="G6333" s="64" t="n">
        <v>50425863.0349462</v>
      </c>
      <c r="H6333" s="62" t="s">
        <v>138</v>
      </c>
    </row>
    <row r="6334" customFormat="false" ht="15" hidden="false" customHeight="false" outlineLevel="0" collapsed="false">
      <c r="A6334" s="62" t="n">
        <v>1</v>
      </c>
      <c r="B6334" s="62" t="s">
        <v>381</v>
      </c>
      <c r="C6334" s="62" t="s">
        <v>60</v>
      </c>
      <c r="D6334" s="62" t="s">
        <v>72</v>
      </c>
      <c r="E6334" s="62" t="s">
        <v>382</v>
      </c>
      <c r="F6334" s="63" t="s">
        <v>638</v>
      </c>
      <c r="G6334" s="64" t="n">
        <v>1.13398543142213</v>
      </c>
      <c r="H6334" s="62" t="s">
        <v>138</v>
      </c>
    </row>
    <row r="6335" customFormat="false" ht="15" hidden="false" customHeight="false" outlineLevel="0" collapsed="false">
      <c r="A6335" s="62" t="n">
        <v>1</v>
      </c>
      <c r="B6335" s="62" t="s">
        <v>383</v>
      </c>
      <c r="C6335" s="62" t="s">
        <v>60</v>
      </c>
      <c r="D6335" s="62" t="s">
        <v>72</v>
      </c>
      <c r="E6335" s="62" t="s">
        <v>382</v>
      </c>
      <c r="F6335" s="63" t="s">
        <v>638</v>
      </c>
      <c r="G6335" s="64" t="n">
        <v>0.865233268167174</v>
      </c>
      <c r="H6335" s="62" t="s">
        <v>138</v>
      </c>
    </row>
    <row r="6336" customFormat="false" ht="15" hidden="false" customHeight="false" outlineLevel="0" collapsed="false">
      <c r="A6336" s="62" t="n">
        <v>1</v>
      </c>
      <c r="B6336" s="62" t="s">
        <v>384</v>
      </c>
      <c r="C6336" s="62" t="s">
        <v>60</v>
      </c>
      <c r="D6336" s="62" t="s">
        <v>72</v>
      </c>
      <c r="E6336" s="62" t="s">
        <v>382</v>
      </c>
      <c r="F6336" s="63" t="s">
        <v>638</v>
      </c>
      <c r="G6336" s="64" t="n">
        <v>0.848866801421821</v>
      </c>
      <c r="H6336" s="62" t="s">
        <v>138</v>
      </c>
    </row>
    <row r="6337" customFormat="false" ht="15" hidden="false" customHeight="false" outlineLevel="0" collapsed="false">
      <c r="A6337" s="62" t="n">
        <v>1</v>
      </c>
      <c r="B6337" s="62" t="s">
        <v>385</v>
      </c>
      <c r="C6337" s="62" t="s">
        <v>60</v>
      </c>
      <c r="D6337" s="62" t="s">
        <v>72</v>
      </c>
      <c r="E6337" s="62" t="s">
        <v>382</v>
      </c>
      <c r="F6337" s="63" t="s">
        <v>638</v>
      </c>
      <c r="G6337" s="64" t="n">
        <v>0.89500950060458</v>
      </c>
      <c r="H6337" s="62" t="s">
        <v>138</v>
      </c>
    </row>
    <row r="6338" customFormat="false" ht="15" hidden="false" customHeight="false" outlineLevel="0" collapsed="false">
      <c r="A6338" s="62" t="n">
        <v>1</v>
      </c>
      <c r="B6338" s="62" t="s">
        <v>386</v>
      </c>
      <c r="C6338" s="62" t="s">
        <v>60</v>
      </c>
      <c r="D6338" s="62" t="s">
        <v>72</v>
      </c>
      <c r="E6338" s="62" t="s">
        <v>382</v>
      </c>
      <c r="F6338" s="63" t="s">
        <v>638</v>
      </c>
      <c r="G6338" s="64" t="n">
        <v>1.13250812003344</v>
      </c>
      <c r="H6338" s="62" t="s">
        <v>138</v>
      </c>
    </row>
    <row r="6339" customFormat="false" ht="15" hidden="false" customHeight="false" outlineLevel="0" collapsed="false">
      <c r="A6339" s="62" t="n">
        <v>1</v>
      </c>
      <c r="B6339" s="62" t="s">
        <v>387</v>
      </c>
      <c r="C6339" s="62" t="s">
        <v>60</v>
      </c>
      <c r="D6339" s="62" t="s">
        <v>72</v>
      </c>
      <c r="E6339" s="62" t="s">
        <v>382</v>
      </c>
      <c r="F6339" s="63" t="s">
        <v>638</v>
      </c>
      <c r="G6339" s="64" t="n">
        <v>0.973560328478435</v>
      </c>
      <c r="H6339" s="62" t="s">
        <v>138</v>
      </c>
    </row>
    <row r="6340" customFormat="false" ht="15" hidden="false" customHeight="false" outlineLevel="0" collapsed="false">
      <c r="A6340" s="62" t="n">
        <v>1</v>
      </c>
      <c r="B6340" s="62" t="s">
        <v>388</v>
      </c>
      <c r="C6340" s="62" t="s">
        <v>60</v>
      </c>
      <c r="D6340" s="62" t="s">
        <v>72</v>
      </c>
      <c r="E6340" s="62" t="s">
        <v>382</v>
      </c>
      <c r="F6340" s="63" t="s">
        <v>638</v>
      </c>
      <c r="G6340" s="64" t="n">
        <v>1.14557400017947</v>
      </c>
      <c r="H6340" s="62" t="s">
        <v>138</v>
      </c>
    </row>
    <row r="6341" customFormat="false" ht="15" hidden="false" customHeight="false" outlineLevel="0" collapsed="false">
      <c r="A6341" s="62" t="n">
        <v>1</v>
      </c>
      <c r="B6341" s="62" t="s">
        <v>381</v>
      </c>
      <c r="C6341" s="62" t="s">
        <v>60</v>
      </c>
      <c r="D6341" s="62" t="s">
        <v>72</v>
      </c>
      <c r="E6341" s="62" t="s">
        <v>382</v>
      </c>
      <c r="F6341" s="63" t="s">
        <v>639</v>
      </c>
      <c r="G6341" s="64" t="n">
        <v>11.587640775342</v>
      </c>
      <c r="H6341" s="62" t="s">
        <v>138</v>
      </c>
    </row>
    <row r="6342" customFormat="false" ht="15" hidden="false" customHeight="false" outlineLevel="0" collapsed="false">
      <c r="A6342" s="62" t="n">
        <v>1</v>
      </c>
      <c r="B6342" s="62" t="s">
        <v>383</v>
      </c>
      <c r="C6342" s="62" t="s">
        <v>60</v>
      </c>
      <c r="D6342" s="62" t="s">
        <v>72</v>
      </c>
      <c r="E6342" s="62" t="s">
        <v>382</v>
      </c>
      <c r="F6342" s="63" t="s">
        <v>639</v>
      </c>
      <c r="G6342" s="64" t="n">
        <v>9.70150834295432</v>
      </c>
      <c r="H6342" s="62" t="s">
        <v>138</v>
      </c>
    </row>
    <row r="6343" customFormat="false" ht="15" hidden="false" customHeight="false" outlineLevel="0" collapsed="false">
      <c r="A6343" s="62" t="n">
        <v>1</v>
      </c>
      <c r="B6343" s="62" t="s">
        <v>384</v>
      </c>
      <c r="C6343" s="62" t="s">
        <v>60</v>
      </c>
      <c r="D6343" s="62" t="s">
        <v>72</v>
      </c>
      <c r="E6343" s="62" t="s">
        <v>382</v>
      </c>
      <c r="F6343" s="63" t="s">
        <v>639</v>
      </c>
      <c r="G6343" s="64" t="n">
        <v>9.64217514469257</v>
      </c>
      <c r="H6343" s="62" t="s">
        <v>138</v>
      </c>
    </row>
    <row r="6344" customFormat="false" ht="15" hidden="false" customHeight="false" outlineLevel="0" collapsed="false">
      <c r="A6344" s="62" t="n">
        <v>1</v>
      </c>
      <c r="B6344" s="62" t="s">
        <v>385</v>
      </c>
      <c r="C6344" s="62" t="s">
        <v>60</v>
      </c>
      <c r="D6344" s="62" t="s">
        <v>72</v>
      </c>
      <c r="E6344" s="62" t="s">
        <v>382</v>
      </c>
      <c r="F6344" s="63" t="s">
        <v>639</v>
      </c>
      <c r="G6344" s="64" t="n">
        <v>9.9084803311009</v>
      </c>
      <c r="H6344" s="62" t="s">
        <v>138</v>
      </c>
    </row>
    <row r="6345" customFormat="false" ht="15" hidden="false" customHeight="false" outlineLevel="0" collapsed="false">
      <c r="A6345" s="62" t="n">
        <v>1</v>
      </c>
      <c r="B6345" s="62" t="s">
        <v>386</v>
      </c>
      <c r="C6345" s="62" t="s">
        <v>60</v>
      </c>
      <c r="D6345" s="62" t="s">
        <v>72</v>
      </c>
      <c r="E6345" s="62" t="s">
        <v>382</v>
      </c>
      <c r="F6345" s="63" t="s">
        <v>639</v>
      </c>
      <c r="G6345" s="64" t="n">
        <v>11.6352306080969</v>
      </c>
      <c r="H6345" s="62" t="s">
        <v>138</v>
      </c>
    </row>
    <row r="6346" customFormat="false" ht="15" hidden="false" customHeight="false" outlineLevel="0" collapsed="false">
      <c r="A6346" s="62" t="n">
        <v>1</v>
      </c>
      <c r="B6346" s="62" t="s">
        <v>387</v>
      </c>
      <c r="C6346" s="62" t="s">
        <v>60</v>
      </c>
      <c r="D6346" s="62" t="s">
        <v>72</v>
      </c>
      <c r="E6346" s="62" t="s">
        <v>382</v>
      </c>
      <c r="F6346" s="63" t="s">
        <v>639</v>
      </c>
      <c r="G6346" s="64" t="n">
        <v>10.4612827714714</v>
      </c>
      <c r="H6346" s="62" t="s">
        <v>138</v>
      </c>
    </row>
    <row r="6347" customFormat="false" ht="15" hidden="false" customHeight="false" outlineLevel="0" collapsed="false">
      <c r="A6347" s="62" t="n">
        <v>1</v>
      </c>
      <c r="B6347" s="62" t="s">
        <v>388</v>
      </c>
      <c r="C6347" s="62" t="s">
        <v>60</v>
      </c>
      <c r="D6347" s="62" t="s">
        <v>72</v>
      </c>
      <c r="E6347" s="62" t="s">
        <v>382</v>
      </c>
      <c r="F6347" s="63" t="s">
        <v>639</v>
      </c>
      <c r="G6347" s="64" t="n">
        <v>11.6538310372897</v>
      </c>
      <c r="H6347" s="62" t="s">
        <v>138</v>
      </c>
    </row>
    <row r="6348" customFormat="false" ht="15" hidden="false" customHeight="false" outlineLevel="0" collapsed="false">
      <c r="A6348" s="62" t="n">
        <v>1</v>
      </c>
      <c r="B6348" s="62" t="s">
        <v>381</v>
      </c>
      <c r="C6348" s="62" t="s">
        <v>60</v>
      </c>
      <c r="D6348" s="62" t="s">
        <v>72</v>
      </c>
      <c r="E6348" s="62" t="s">
        <v>382</v>
      </c>
      <c r="F6348" s="63" t="s">
        <v>640</v>
      </c>
      <c r="G6348" s="64" t="n">
        <v>4.69668668293926</v>
      </c>
      <c r="H6348" s="62" t="s">
        <v>138</v>
      </c>
    </row>
    <row r="6349" customFormat="false" ht="15" hidden="false" customHeight="false" outlineLevel="0" collapsed="false">
      <c r="A6349" s="62" t="n">
        <v>1</v>
      </c>
      <c r="B6349" s="62" t="s">
        <v>383</v>
      </c>
      <c r="C6349" s="62" t="s">
        <v>60</v>
      </c>
      <c r="D6349" s="62" t="s">
        <v>72</v>
      </c>
      <c r="E6349" s="62" t="s">
        <v>382</v>
      </c>
      <c r="F6349" s="63" t="s">
        <v>640</v>
      </c>
      <c r="G6349" s="64" t="n">
        <v>4.27477592857662</v>
      </c>
      <c r="H6349" s="62" t="s">
        <v>138</v>
      </c>
    </row>
    <row r="6350" customFormat="false" ht="15" hidden="false" customHeight="false" outlineLevel="0" collapsed="false">
      <c r="A6350" s="62" t="n">
        <v>1</v>
      </c>
      <c r="B6350" s="62" t="s">
        <v>384</v>
      </c>
      <c r="C6350" s="62" t="s">
        <v>60</v>
      </c>
      <c r="D6350" s="62" t="s">
        <v>72</v>
      </c>
      <c r="E6350" s="62" t="s">
        <v>382</v>
      </c>
      <c r="F6350" s="63" t="s">
        <v>640</v>
      </c>
      <c r="G6350" s="64" t="n">
        <v>4.30371158668869</v>
      </c>
      <c r="H6350" s="62" t="s">
        <v>138</v>
      </c>
    </row>
    <row r="6351" customFormat="false" ht="15" hidden="false" customHeight="false" outlineLevel="0" collapsed="false">
      <c r="A6351" s="62" t="n">
        <v>1</v>
      </c>
      <c r="B6351" s="62" t="s">
        <v>385</v>
      </c>
      <c r="C6351" s="62" t="s">
        <v>60</v>
      </c>
      <c r="D6351" s="62" t="s">
        <v>72</v>
      </c>
      <c r="E6351" s="62" t="s">
        <v>382</v>
      </c>
      <c r="F6351" s="63" t="s">
        <v>640</v>
      </c>
      <c r="G6351" s="64" t="n">
        <v>4.30676170860558</v>
      </c>
      <c r="H6351" s="62" t="s">
        <v>138</v>
      </c>
    </row>
    <row r="6352" customFormat="false" ht="15" hidden="false" customHeight="false" outlineLevel="0" collapsed="false">
      <c r="A6352" s="62" t="n">
        <v>1</v>
      </c>
      <c r="B6352" s="62" t="s">
        <v>386</v>
      </c>
      <c r="C6352" s="62" t="s">
        <v>60</v>
      </c>
      <c r="D6352" s="62" t="s">
        <v>72</v>
      </c>
      <c r="E6352" s="62" t="s">
        <v>382</v>
      </c>
      <c r="F6352" s="63" t="s">
        <v>640</v>
      </c>
      <c r="G6352" s="64" t="n">
        <v>4.63877484138022</v>
      </c>
      <c r="H6352" s="62" t="s">
        <v>138</v>
      </c>
    </row>
    <row r="6353" customFormat="false" ht="15" hidden="false" customHeight="false" outlineLevel="0" collapsed="false">
      <c r="A6353" s="62" t="n">
        <v>1</v>
      </c>
      <c r="B6353" s="62" t="s">
        <v>387</v>
      </c>
      <c r="C6353" s="62" t="s">
        <v>60</v>
      </c>
      <c r="D6353" s="62" t="s">
        <v>72</v>
      </c>
      <c r="E6353" s="62" t="s">
        <v>382</v>
      </c>
      <c r="F6353" s="63" t="s">
        <v>640</v>
      </c>
      <c r="G6353" s="64" t="n">
        <v>4.39506488621421</v>
      </c>
      <c r="H6353" s="62" t="s">
        <v>138</v>
      </c>
    </row>
    <row r="6354" customFormat="false" ht="15" hidden="false" customHeight="false" outlineLevel="0" collapsed="false">
      <c r="A6354" s="62" t="n">
        <v>1</v>
      </c>
      <c r="B6354" s="62" t="s">
        <v>388</v>
      </c>
      <c r="C6354" s="62" t="s">
        <v>60</v>
      </c>
      <c r="D6354" s="62" t="s">
        <v>72</v>
      </c>
      <c r="E6354" s="62" t="s">
        <v>382</v>
      </c>
      <c r="F6354" s="63" t="s">
        <v>640</v>
      </c>
      <c r="G6354" s="64" t="n">
        <v>7.73155804968995</v>
      </c>
      <c r="H6354" s="62" t="s">
        <v>138</v>
      </c>
    </row>
    <row r="6355" customFormat="false" ht="15" hidden="false" customHeight="false" outlineLevel="0" collapsed="false">
      <c r="A6355" s="62" t="n">
        <v>1</v>
      </c>
      <c r="B6355" s="62" t="s">
        <v>381</v>
      </c>
      <c r="C6355" s="62" t="s">
        <v>60</v>
      </c>
      <c r="D6355" s="62" t="s">
        <v>72</v>
      </c>
      <c r="E6355" s="62" t="s">
        <v>382</v>
      </c>
      <c r="F6355" s="63" t="s">
        <v>641</v>
      </c>
      <c r="G6355" s="64" t="n">
        <v>1.02472264291798</v>
      </c>
      <c r="H6355" s="62" t="s">
        <v>138</v>
      </c>
    </row>
    <row r="6356" customFormat="false" ht="15" hidden="false" customHeight="false" outlineLevel="0" collapsed="false">
      <c r="A6356" s="62" t="n">
        <v>1</v>
      </c>
      <c r="B6356" s="62" t="s">
        <v>383</v>
      </c>
      <c r="C6356" s="62" t="s">
        <v>60</v>
      </c>
      <c r="D6356" s="62" t="s">
        <v>72</v>
      </c>
      <c r="E6356" s="62" t="s">
        <v>382</v>
      </c>
      <c r="F6356" s="63" t="s">
        <v>641</v>
      </c>
      <c r="G6356" s="64" t="n">
        <v>0.548174279171493</v>
      </c>
      <c r="H6356" s="62" t="s">
        <v>138</v>
      </c>
    </row>
    <row r="6357" customFormat="false" ht="15" hidden="false" customHeight="false" outlineLevel="0" collapsed="false">
      <c r="A6357" s="62" t="n">
        <v>1</v>
      </c>
      <c r="B6357" s="62" t="s">
        <v>384</v>
      </c>
      <c r="C6357" s="62" t="s">
        <v>60</v>
      </c>
      <c r="D6357" s="62" t="s">
        <v>72</v>
      </c>
      <c r="E6357" s="62" t="s">
        <v>382</v>
      </c>
      <c r="F6357" s="63" t="s">
        <v>641</v>
      </c>
      <c r="G6357" s="64" t="n">
        <v>0.514021598570704</v>
      </c>
      <c r="H6357" s="62" t="s">
        <v>138</v>
      </c>
    </row>
    <row r="6358" customFormat="false" ht="15" hidden="false" customHeight="false" outlineLevel="0" collapsed="false">
      <c r="A6358" s="62" t="n">
        <v>1</v>
      </c>
      <c r="B6358" s="62" t="s">
        <v>385</v>
      </c>
      <c r="C6358" s="62" t="s">
        <v>60</v>
      </c>
      <c r="D6358" s="62" t="s">
        <v>72</v>
      </c>
      <c r="E6358" s="62" t="s">
        <v>382</v>
      </c>
      <c r="F6358" s="63" t="s">
        <v>641</v>
      </c>
      <c r="G6358" s="64" t="n">
        <v>0.599720113572172</v>
      </c>
      <c r="H6358" s="62" t="s">
        <v>138</v>
      </c>
    </row>
    <row r="6359" customFormat="false" ht="15" hidden="false" customHeight="false" outlineLevel="0" collapsed="false">
      <c r="A6359" s="62" t="n">
        <v>1</v>
      </c>
      <c r="B6359" s="62" t="s">
        <v>386</v>
      </c>
      <c r="C6359" s="62" t="s">
        <v>60</v>
      </c>
      <c r="D6359" s="62" t="s">
        <v>72</v>
      </c>
      <c r="E6359" s="62" t="s">
        <v>382</v>
      </c>
      <c r="F6359" s="63" t="s">
        <v>641</v>
      </c>
      <c r="G6359" s="64" t="n">
        <v>1.01559123174617</v>
      </c>
      <c r="H6359" s="62" t="s">
        <v>138</v>
      </c>
    </row>
    <row r="6360" customFormat="false" ht="15" hidden="false" customHeight="false" outlineLevel="0" collapsed="false">
      <c r="A6360" s="62" t="n">
        <v>1</v>
      </c>
      <c r="B6360" s="62" t="s">
        <v>387</v>
      </c>
      <c r="C6360" s="62" t="s">
        <v>60</v>
      </c>
      <c r="D6360" s="62" t="s">
        <v>72</v>
      </c>
      <c r="E6360" s="62" t="s">
        <v>382</v>
      </c>
      <c r="F6360" s="63" t="s">
        <v>641</v>
      </c>
      <c r="G6360" s="64" t="n">
        <v>0.740048521423564</v>
      </c>
      <c r="H6360" s="62" t="s">
        <v>138</v>
      </c>
    </row>
    <row r="6361" customFormat="false" ht="15" hidden="false" customHeight="false" outlineLevel="0" collapsed="false">
      <c r="A6361" s="62" t="n">
        <v>1</v>
      </c>
      <c r="B6361" s="62" t="s">
        <v>388</v>
      </c>
      <c r="C6361" s="62" t="s">
        <v>60</v>
      </c>
      <c r="D6361" s="62" t="s">
        <v>72</v>
      </c>
      <c r="E6361" s="62" t="s">
        <v>382</v>
      </c>
      <c r="F6361" s="63" t="s">
        <v>641</v>
      </c>
      <c r="G6361" s="64" t="n">
        <v>1.04518220134622</v>
      </c>
      <c r="H6361" s="62" t="s">
        <v>138</v>
      </c>
    </row>
    <row r="6362" customFormat="false" ht="15" hidden="false" customHeight="false" outlineLevel="0" collapsed="false">
      <c r="A6362" s="62" t="n">
        <v>1</v>
      </c>
      <c r="B6362" s="62" t="s">
        <v>381</v>
      </c>
      <c r="C6362" s="62" t="s">
        <v>60</v>
      </c>
      <c r="D6362" s="62" t="s">
        <v>72</v>
      </c>
      <c r="E6362" s="62" t="s">
        <v>382</v>
      </c>
      <c r="F6362" s="63" t="s">
        <v>642</v>
      </c>
      <c r="G6362" s="64" t="n">
        <v>8.1000931280174</v>
      </c>
      <c r="H6362" s="62" t="s">
        <v>138</v>
      </c>
    </row>
    <row r="6363" customFormat="false" ht="15" hidden="false" customHeight="false" outlineLevel="0" collapsed="false">
      <c r="A6363" s="62" t="n">
        <v>1</v>
      </c>
      <c r="B6363" s="62" t="s">
        <v>383</v>
      </c>
      <c r="C6363" s="62" t="s">
        <v>60</v>
      </c>
      <c r="D6363" s="62" t="s">
        <v>72</v>
      </c>
      <c r="E6363" s="62" t="s">
        <v>382</v>
      </c>
      <c r="F6363" s="63" t="s">
        <v>642</v>
      </c>
      <c r="G6363" s="64" t="n">
        <v>7.7800223904167</v>
      </c>
      <c r="H6363" s="62" t="s">
        <v>138</v>
      </c>
    </row>
    <row r="6364" customFormat="false" ht="15" hidden="false" customHeight="false" outlineLevel="0" collapsed="false">
      <c r="A6364" s="62" t="n">
        <v>1</v>
      </c>
      <c r="B6364" s="62" t="s">
        <v>384</v>
      </c>
      <c r="C6364" s="62" t="s">
        <v>60</v>
      </c>
      <c r="D6364" s="62" t="s">
        <v>72</v>
      </c>
      <c r="E6364" s="62" t="s">
        <v>382</v>
      </c>
      <c r="F6364" s="63" t="s">
        <v>642</v>
      </c>
      <c r="G6364" s="64" t="n">
        <v>7.82972704316804</v>
      </c>
      <c r="H6364" s="62" t="s">
        <v>138</v>
      </c>
    </row>
    <row r="6365" customFormat="false" ht="15" hidden="false" customHeight="false" outlineLevel="0" collapsed="false">
      <c r="A6365" s="62" t="n">
        <v>1</v>
      </c>
      <c r="B6365" s="62" t="s">
        <v>385</v>
      </c>
      <c r="C6365" s="62" t="s">
        <v>60</v>
      </c>
      <c r="D6365" s="62" t="s">
        <v>72</v>
      </c>
      <c r="E6365" s="62" t="s">
        <v>382</v>
      </c>
      <c r="F6365" s="63" t="s">
        <v>642</v>
      </c>
      <c r="G6365" s="64" t="n">
        <v>7.8084483942763</v>
      </c>
      <c r="H6365" s="62" t="s">
        <v>138</v>
      </c>
    </row>
    <row r="6366" customFormat="false" ht="15" hidden="false" customHeight="false" outlineLevel="0" collapsed="false">
      <c r="A6366" s="62" t="n">
        <v>1</v>
      </c>
      <c r="B6366" s="62" t="s">
        <v>386</v>
      </c>
      <c r="C6366" s="62" t="s">
        <v>60</v>
      </c>
      <c r="D6366" s="62" t="s">
        <v>72</v>
      </c>
      <c r="E6366" s="62" t="s">
        <v>382</v>
      </c>
      <c r="F6366" s="63" t="s">
        <v>642</v>
      </c>
      <c r="G6366" s="64" t="n">
        <v>8.10994283244925</v>
      </c>
      <c r="H6366" s="62" t="s">
        <v>138</v>
      </c>
    </row>
    <row r="6367" customFormat="false" ht="15" hidden="false" customHeight="false" outlineLevel="0" collapsed="false">
      <c r="A6367" s="62" t="n">
        <v>1</v>
      </c>
      <c r="B6367" s="62" t="s">
        <v>387</v>
      </c>
      <c r="C6367" s="62" t="s">
        <v>60</v>
      </c>
      <c r="D6367" s="62" t="s">
        <v>72</v>
      </c>
      <c r="E6367" s="62" t="s">
        <v>382</v>
      </c>
      <c r="F6367" s="63" t="s">
        <v>642</v>
      </c>
      <c r="G6367" s="64" t="n">
        <v>7.88129978746532</v>
      </c>
      <c r="H6367" s="62" t="s">
        <v>138</v>
      </c>
    </row>
    <row r="6368" customFormat="false" ht="15" hidden="false" customHeight="false" outlineLevel="0" collapsed="false">
      <c r="A6368" s="62" t="n">
        <v>1</v>
      </c>
      <c r="B6368" s="62" t="s">
        <v>388</v>
      </c>
      <c r="C6368" s="62" t="s">
        <v>60</v>
      </c>
      <c r="D6368" s="62" t="s">
        <v>72</v>
      </c>
      <c r="E6368" s="62" t="s">
        <v>382</v>
      </c>
      <c r="F6368" s="63" t="s">
        <v>642</v>
      </c>
      <c r="G6368" s="64" t="n">
        <v>9.64936908140047</v>
      </c>
      <c r="H6368" s="62" t="s">
        <v>138</v>
      </c>
    </row>
    <row r="6369" customFormat="false" ht="15" hidden="false" customHeight="false" outlineLevel="0" collapsed="false">
      <c r="A6369" s="62" t="n">
        <v>1</v>
      </c>
      <c r="B6369" s="62" t="s">
        <v>381</v>
      </c>
      <c r="C6369" s="62" t="s">
        <v>60</v>
      </c>
      <c r="D6369" s="62" t="s">
        <v>72</v>
      </c>
      <c r="E6369" s="62" t="s">
        <v>382</v>
      </c>
      <c r="F6369" s="63" t="s">
        <v>643</v>
      </c>
      <c r="G6369" s="64" t="n">
        <v>64766251.8301443</v>
      </c>
      <c r="H6369" s="62" t="s">
        <v>138</v>
      </c>
    </row>
    <row r="6370" customFormat="false" ht="15" hidden="false" customHeight="false" outlineLevel="0" collapsed="false">
      <c r="A6370" s="62" t="n">
        <v>1</v>
      </c>
      <c r="B6370" s="62" t="s">
        <v>383</v>
      </c>
      <c r="C6370" s="62" t="s">
        <v>60</v>
      </c>
      <c r="D6370" s="62" t="s">
        <v>72</v>
      </c>
      <c r="E6370" s="62" t="s">
        <v>382</v>
      </c>
      <c r="F6370" s="63" t="s">
        <v>643</v>
      </c>
      <c r="G6370" s="64" t="n">
        <v>112748192.217968</v>
      </c>
      <c r="H6370" s="62" t="s">
        <v>138</v>
      </c>
    </row>
    <row r="6371" customFormat="false" ht="15" hidden="false" customHeight="false" outlineLevel="0" collapsed="false">
      <c r="A6371" s="62" t="n">
        <v>1</v>
      </c>
      <c r="B6371" s="62" t="s">
        <v>384</v>
      </c>
      <c r="C6371" s="62" t="s">
        <v>60</v>
      </c>
      <c r="D6371" s="62" t="s">
        <v>72</v>
      </c>
      <c r="E6371" s="62" t="s">
        <v>382</v>
      </c>
      <c r="F6371" s="63" t="s">
        <v>643</v>
      </c>
      <c r="G6371" s="64" t="n">
        <v>95047221.1153479</v>
      </c>
      <c r="H6371" s="62" t="s">
        <v>138</v>
      </c>
    </row>
    <row r="6372" customFormat="false" ht="15" hidden="false" customHeight="false" outlineLevel="0" collapsed="false">
      <c r="A6372" s="62" t="n">
        <v>1</v>
      </c>
      <c r="B6372" s="62" t="s">
        <v>385</v>
      </c>
      <c r="C6372" s="62" t="s">
        <v>60</v>
      </c>
      <c r="D6372" s="62" t="s">
        <v>72</v>
      </c>
      <c r="E6372" s="62" t="s">
        <v>382</v>
      </c>
      <c r="F6372" s="63" t="s">
        <v>643</v>
      </c>
      <c r="G6372" s="64" t="n">
        <v>88468210.9414909</v>
      </c>
      <c r="H6372" s="62" t="s">
        <v>138</v>
      </c>
    </row>
    <row r="6373" customFormat="false" ht="15" hidden="false" customHeight="false" outlineLevel="0" collapsed="false">
      <c r="A6373" s="62" t="n">
        <v>1</v>
      </c>
      <c r="B6373" s="62" t="s">
        <v>386</v>
      </c>
      <c r="C6373" s="62" t="s">
        <v>60</v>
      </c>
      <c r="D6373" s="62" t="s">
        <v>72</v>
      </c>
      <c r="E6373" s="62" t="s">
        <v>382</v>
      </c>
      <c r="F6373" s="63" t="s">
        <v>643</v>
      </c>
      <c r="G6373" s="64" t="n">
        <v>80311537.5328818</v>
      </c>
      <c r="H6373" s="62" t="s">
        <v>138</v>
      </c>
    </row>
    <row r="6374" customFormat="false" ht="15" hidden="false" customHeight="false" outlineLevel="0" collapsed="false">
      <c r="A6374" s="62" t="n">
        <v>1</v>
      </c>
      <c r="B6374" s="62" t="s">
        <v>387</v>
      </c>
      <c r="C6374" s="62" t="s">
        <v>60</v>
      </c>
      <c r="D6374" s="62" t="s">
        <v>72</v>
      </c>
      <c r="E6374" s="62" t="s">
        <v>382</v>
      </c>
      <c r="F6374" s="63" t="s">
        <v>643</v>
      </c>
      <c r="G6374" s="64" t="n">
        <v>95602120.6251061</v>
      </c>
      <c r="H6374" s="62" t="s">
        <v>138</v>
      </c>
    </row>
    <row r="6375" customFormat="false" ht="15" hidden="false" customHeight="false" outlineLevel="0" collapsed="false">
      <c r="A6375" s="62" t="n">
        <v>1</v>
      </c>
      <c r="B6375" s="62" t="s">
        <v>388</v>
      </c>
      <c r="C6375" s="62" t="s">
        <v>60</v>
      </c>
      <c r="D6375" s="62" t="s">
        <v>72</v>
      </c>
      <c r="E6375" s="62" t="s">
        <v>382</v>
      </c>
      <c r="F6375" s="63" t="s">
        <v>643</v>
      </c>
      <c r="G6375" s="64" t="n">
        <v>45005527.4348683</v>
      </c>
      <c r="H6375" s="62" t="s">
        <v>138</v>
      </c>
    </row>
    <row r="6376" customFormat="false" ht="15" hidden="false" customHeight="false" outlineLevel="0" collapsed="false">
      <c r="A6376" s="62" t="n">
        <v>1</v>
      </c>
      <c r="B6376" s="62" t="s">
        <v>381</v>
      </c>
      <c r="C6376" s="62" t="s">
        <v>60</v>
      </c>
      <c r="D6376" s="62" t="s">
        <v>72</v>
      </c>
      <c r="E6376" s="62" t="s">
        <v>382</v>
      </c>
      <c r="F6376" s="63" t="s">
        <v>644</v>
      </c>
      <c r="G6376" s="64" t="n">
        <v>4</v>
      </c>
      <c r="H6376" s="62" t="s">
        <v>138</v>
      </c>
    </row>
    <row r="6377" customFormat="false" ht="15" hidden="false" customHeight="false" outlineLevel="0" collapsed="false">
      <c r="A6377" s="62" t="n">
        <v>1</v>
      </c>
      <c r="B6377" s="62" t="s">
        <v>383</v>
      </c>
      <c r="C6377" s="62" t="s">
        <v>60</v>
      </c>
      <c r="D6377" s="62" t="s">
        <v>72</v>
      </c>
      <c r="E6377" s="62" t="s">
        <v>382</v>
      </c>
      <c r="F6377" s="63" t="s">
        <v>644</v>
      </c>
      <c r="G6377" s="64" t="n">
        <v>4</v>
      </c>
      <c r="H6377" s="62" t="s">
        <v>138</v>
      </c>
    </row>
    <row r="6378" customFormat="false" ht="15" hidden="false" customHeight="false" outlineLevel="0" collapsed="false">
      <c r="A6378" s="62" t="n">
        <v>1</v>
      </c>
      <c r="B6378" s="62" t="s">
        <v>384</v>
      </c>
      <c r="C6378" s="62" t="s">
        <v>60</v>
      </c>
      <c r="D6378" s="62" t="s">
        <v>72</v>
      </c>
      <c r="E6378" s="62" t="s">
        <v>382</v>
      </c>
      <c r="F6378" s="63" t="s">
        <v>644</v>
      </c>
      <c r="G6378" s="64" t="n">
        <v>4</v>
      </c>
      <c r="H6378" s="62" t="s">
        <v>138</v>
      </c>
    </row>
    <row r="6379" customFormat="false" ht="15" hidden="false" customHeight="false" outlineLevel="0" collapsed="false">
      <c r="A6379" s="62" t="n">
        <v>1</v>
      </c>
      <c r="B6379" s="62" t="s">
        <v>385</v>
      </c>
      <c r="C6379" s="62" t="s">
        <v>60</v>
      </c>
      <c r="D6379" s="62" t="s">
        <v>72</v>
      </c>
      <c r="E6379" s="62" t="s">
        <v>382</v>
      </c>
      <c r="F6379" s="63" t="s">
        <v>644</v>
      </c>
      <c r="G6379" s="64" t="n">
        <v>4</v>
      </c>
      <c r="H6379" s="62" t="s">
        <v>138</v>
      </c>
    </row>
    <row r="6380" customFormat="false" ht="15" hidden="false" customHeight="false" outlineLevel="0" collapsed="false">
      <c r="A6380" s="62" t="n">
        <v>1</v>
      </c>
      <c r="B6380" s="62" t="s">
        <v>386</v>
      </c>
      <c r="C6380" s="62" t="s">
        <v>60</v>
      </c>
      <c r="D6380" s="62" t="s">
        <v>72</v>
      </c>
      <c r="E6380" s="62" t="s">
        <v>382</v>
      </c>
      <c r="F6380" s="63" t="s">
        <v>644</v>
      </c>
      <c r="G6380" s="64" t="n">
        <v>4</v>
      </c>
      <c r="H6380" s="62" t="s">
        <v>138</v>
      </c>
    </row>
    <row r="6381" customFormat="false" ht="15" hidden="false" customHeight="false" outlineLevel="0" collapsed="false">
      <c r="A6381" s="62" t="n">
        <v>1</v>
      </c>
      <c r="B6381" s="62" t="s">
        <v>387</v>
      </c>
      <c r="C6381" s="62" t="s">
        <v>60</v>
      </c>
      <c r="D6381" s="62" t="s">
        <v>72</v>
      </c>
      <c r="E6381" s="62" t="s">
        <v>382</v>
      </c>
      <c r="F6381" s="63" t="s">
        <v>644</v>
      </c>
      <c r="G6381" s="64" t="n">
        <v>4</v>
      </c>
      <c r="H6381" s="62" t="s">
        <v>138</v>
      </c>
    </row>
    <row r="6382" customFormat="false" ht="15" hidden="false" customHeight="false" outlineLevel="0" collapsed="false">
      <c r="A6382" s="62" t="n">
        <v>1</v>
      </c>
      <c r="B6382" s="62" t="s">
        <v>388</v>
      </c>
      <c r="C6382" s="62" t="s">
        <v>60</v>
      </c>
      <c r="D6382" s="62" t="s">
        <v>72</v>
      </c>
      <c r="E6382" s="62" t="s">
        <v>382</v>
      </c>
      <c r="F6382" s="63" t="s">
        <v>644</v>
      </c>
      <c r="G6382" s="64" t="n">
        <v>4</v>
      </c>
      <c r="H6382" s="62" t="s">
        <v>138</v>
      </c>
    </row>
    <row r="6383" customFormat="false" ht="15" hidden="false" customHeight="false" outlineLevel="0" collapsed="false">
      <c r="A6383" s="62" t="n">
        <v>1</v>
      </c>
      <c r="B6383" s="62" t="s">
        <v>381</v>
      </c>
      <c r="C6383" s="62" t="s">
        <v>60</v>
      </c>
      <c r="D6383" s="62" t="s">
        <v>72</v>
      </c>
      <c r="E6383" s="62" t="s">
        <v>382</v>
      </c>
      <c r="F6383" s="63" t="s">
        <v>645</v>
      </c>
      <c r="G6383" s="64" t="n">
        <v>41935681.4417249</v>
      </c>
      <c r="H6383" s="62" t="s">
        <v>138</v>
      </c>
    </row>
    <row r="6384" customFormat="false" ht="15" hidden="false" customHeight="false" outlineLevel="0" collapsed="false">
      <c r="A6384" s="62" t="n">
        <v>1</v>
      </c>
      <c r="B6384" s="62" t="s">
        <v>383</v>
      </c>
      <c r="C6384" s="62" t="s">
        <v>60</v>
      </c>
      <c r="D6384" s="62" t="s">
        <v>72</v>
      </c>
      <c r="E6384" s="62" t="s">
        <v>382</v>
      </c>
      <c r="F6384" s="63" t="s">
        <v>645</v>
      </c>
      <c r="G6384" s="64" t="n">
        <v>47950280.1974203</v>
      </c>
      <c r="H6384" s="62" t="s">
        <v>138</v>
      </c>
    </row>
    <row r="6385" customFormat="false" ht="15" hidden="false" customHeight="false" outlineLevel="0" collapsed="false">
      <c r="A6385" s="62" t="n">
        <v>1</v>
      </c>
      <c r="B6385" s="62" t="s">
        <v>384</v>
      </c>
      <c r="C6385" s="62" t="s">
        <v>60</v>
      </c>
      <c r="D6385" s="62" t="s">
        <v>72</v>
      </c>
      <c r="E6385" s="62" t="s">
        <v>382</v>
      </c>
      <c r="F6385" s="63" t="s">
        <v>645</v>
      </c>
      <c r="G6385" s="64" t="n">
        <v>42812236.1374957</v>
      </c>
      <c r="H6385" s="62" t="s">
        <v>138</v>
      </c>
    </row>
    <row r="6386" customFormat="false" ht="15" hidden="false" customHeight="false" outlineLevel="0" collapsed="false">
      <c r="A6386" s="62" t="n">
        <v>1</v>
      </c>
      <c r="B6386" s="62" t="s">
        <v>385</v>
      </c>
      <c r="C6386" s="62" t="s">
        <v>60</v>
      </c>
      <c r="D6386" s="62" t="s">
        <v>72</v>
      </c>
      <c r="E6386" s="62" t="s">
        <v>382</v>
      </c>
      <c r="F6386" s="63" t="s">
        <v>645</v>
      </c>
      <c r="G6386" s="64" t="n">
        <v>37205694.1466424</v>
      </c>
      <c r="H6386" s="62" t="s">
        <v>138</v>
      </c>
    </row>
    <row r="6387" customFormat="false" ht="15" hidden="false" customHeight="false" outlineLevel="0" collapsed="false">
      <c r="A6387" s="62" t="n">
        <v>1</v>
      </c>
      <c r="B6387" s="62" t="s">
        <v>386</v>
      </c>
      <c r="C6387" s="62" t="s">
        <v>60</v>
      </c>
      <c r="D6387" s="62" t="s">
        <v>72</v>
      </c>
      <c r="E6387" s="62" t="s">
        <v>382</v>
      </c>
      <c r="F6387" s="63" t="s">
        <v>645</v>
      </c>
      <c r="G6387" s="64" t="n">
        <v>38447505.7392183</v>
      </c>
      <c r="H6387" s="62" t="s">
        <v>138</v>
      </c>
    </row>
    <row r="6388" customFormat="false" ht="15" hidden="false" customHeight="false" outlineLevel="0" collapsed="false">
      <c r="A6388" s="62" t="n">
        <v>1</v>
      </c>
      <c r="B6388" s="62" t="s">
        <v>387</v>
      </c>
      <c r="C6388" s="62" t="s">
        <v>60</v>
      </c>
      <c r="D6388" s="62" t="s">
        <v>72</v>
      </c>
      <c r="E6388" s="62" t="s">
        <v>382</v>
      </c>
      <c r="F6388" s="63" t="s">
        <v>645</v>
      </c>
      <c r="G6388" s="64" t="n">
        <v>42430477.7597371</v>
      </c>
      <c r="H6388" s="62" t="s">
        <v>138</v>
      </c>
    </row>
    <row r="6389" customFormat="false" ht="15" hidden="false" customHeight="false" outlineLevel="0" collapsed="false">
      <c r="A6389" s="62" t="n">
        <v>1</v>
      </c>
      <c r="B6389" s="62" t="s">
        <v>388</v>
      </c>
      <c r="C6389" s="62" t="s">
        <v>60</v>
      </c>
      <c r="D6389" s="62" t="s">
        <v>72</v>
      </c>
      <c r="E6389" s="62" t="s">
        <v>382</v>
      </c>
      <c r="F6389" s="63" t="s">
        <v>645</v>
      </c>
      <c r="G6389" s="64" t="n">
        <v>35283220.5774</v>
      </c>
      <c r="H6389" s="62" t="s">
        <v>138</v>
      </c>
    </row>
    <row r="6390" customFormat="false" ht="15" hidden="false" customHeight="false" outlineLevel="0" collapsed="false">
      <c r="A6390" s="62" t="n">
        <v>1</v>
      </c>
      <c r="B6390" s="62" t="s">
        <v>381</v>
      </c>
      <c r="C6390" s="62" t="s">
        <v>60</v>
      </c>
      <c r="D6390" s="62" t="s">
        <v>72</v>
      </c>
      <c r="E6390" s="62" t="s">
        <v>382</v>
      </c>
      <c r="F6390" s="63" t="s">
        <v>646</v>
      </c>
      <c r="G6390" s="64" t="n">
        <v>167742725.7669</v>
      </c>
      <c r="H6390" s="62" t="s">
        <v>138</v>
      </c>
    </row>
    <row r="6391" customFormat="false" ht="15" hidden="false" customHeight="false" outlineLevel="0" collapsed="false">
      <c r="A6391" s="62" t="n">
        <v>1</v>
      </c>
      <c r="B6391" s="62" t="s">
        <v>383</v>
      </c>
      <c r="C6391" s="62" t="s">
        <v>60</v>
      </c>
      <c r="D6391" s="62" t="s">
        <v>72</v>
      </c>
      <c r="E6391" s="62" t="s">
        <v>382</v>
      </c>
      <c r="F6391" s="63" t="s">
        <v>646</v>
      </c>
      <c r="G6391" s="64" t="n">
        <v>191801120.789681</v>
      </c>
      <c r="H6391" s="62" t="s">
        <v>138</v>
      </c>
    </row>
    <row r="6392" customFormat="false" ht="15" hidden="false" customHeight="false" outlineLevel="0" collapsed="false">
      <c r="A6392" s="62" t="n">
        <v>1</v>
      </c>
      <c r="B6392" s="62" t="s">
        <v>384</v>
      </c>
      <c r="C6392" s="62" t="s">
        <v>60</v>
      </c>
      <c r="D6392" s="62" t="s">
        <v>72</v>
      </c>
      <c r="E6392" s="62" t="s">
        <v>382</v>
      </c>
      <c r="F6392" s="63" t="s">
        <v>646</v>
      </c>
      <c r="G6392" s="64" t="n">
        <v>171248944.549983</v>
      </c>
      <c r="H6392" s="62" t="s">
        <v>138</v>
      </c>
    </row>
    <row r="6393" customFormat="false" ht="15" hidden="false" customHeight="false" outlineLevel="0" collapsed="false">
      <c r="A6393" s="62" t="n">
        <v>1</v>
      </c>
      <c r="B6393" s="62" t="s">
        <v>385</v>
      </c>
      <c r="C6393" s="62" t="s">
        <v>60</v>
      </c>
      <c r="D6393" s="62" t="s">
        <v>72</v>
      </c>
      <c r="E6393" s="62" t="s">
        <v>382</v>
      </c>
      <c r="F6393" s="63" t="s">
        <v>646</v>
      </c>
      <c r="G6393" s="64" t="n">
        <v>148822776.58657</v>
      </c>
      <c r="H6393" s="62" t="s">
        <v>138</v>
      </c>
    </row>
    <row r="6394" customFormat="false" ht="15" hidden="false" customHeight="false" outlineLevel="0" collapsed="false">
      <c r="A6394" s="62" t="n">
        <v>1</v>
      </c>
      <c r="B6394" s="62" t="s">
        <v>386</v>
      </c>
      <c r="C6394" s="62" t="s">
        <v>60</v>
      </c>
      <c r="D6394" s="62" t="s">
        <v>72</v>
      </c>
      <c r="E6394" s="62" t="s">
        <v>382</v>
      </c>
      <c r="F6394" s="63" t="s">
        <v>646</v>
      </c>
      <c r="G6394" s="64" t="n">
        <v>153790022.956873</v>
      </c>
      <c r="H6394" s="62" t="s">
        <v>138</v>
      </c>
    </row>
    <row r="6395" customFormat="false" ht="15" hidden="false" customHeight="false" outlineLevel="0" collapsed="false">
      <c r="A6395" s="62" t="n">
        <v>1</v>
      </c>
      <c r="B6395" s="62" t="s">
        <v>387</v>
      </c>
      <c r="C6395" s="62" t="s">
        <v>60</v>
      </c>
      <c r="D6395" s="62" t="s">
        <v>72</v>
      </c>
      <c r="E6395" s="62" t="s">
        <v>382</v>
      </c>
      <c r="F6395" s="63" t="s">
        <v>646</v>
      </c>
      <c r="G6395" s="64" t="n">
        <v>169721911.038949</v>
      </c>
      <c r="H6395" s="62" t="s">
        <v>138</v>
      </c>
    </row>
    <row r="6396" customFormat="false" ht="15" hidden="false" customHeight="false" outlineLevel="0" collapsed="false">
      <c r="A6396" s="62" t="n">
        <v>1</v>
      </c>
      <c r="B6396" s="62" t="s">
        <v>388</v>
      </c>
      <c r="C6396" s="62" t="s">
        <v>60</v>
      </c>
      <c r="D6396" s="62" t="s">
        <v>72</v>
      </c>
      <c r="E6396" s="62" t="s">
        <v>382</v>
      </c>
      <c r="F6396" s="63" t="s">
        <v>646</v>
      </c>
      <c r="G6396" s="64" t="n">
        <v>141132882.3096</v>
      </c>
      <c r="H6396" s="62" t="s">
        <v>138</v>
      </c>
    </row>
    <row r="6397" customFormat="false" ht="15" hidden="false" customHeight="false" outlineLevel="0" collapsed="false">
      <c r="A6397" s="62" t="n">
        <v>1</v>
      </c>
      <c r="B6397" s="62" t="s">
        <v>381</v>
      </c>
      <c r="C6397" s="62" t="s">
        <v>60</v>
      </c>
      <c r="D6397" s="62" t="s">
        <v>72</v>
      </c>
      <c r="E6397" s="62" t="s">
        <v>382</v>
      </c>
      <c r="F6397" s="63" t="s">
        <v>647</v>
      </c>
      <c r="G6397" s="64" t="n">
        <v>11.65</v>
      </c>
      <c r="H6397" s="62" t="s">
        <v>138</v>
      </c>
    </row>
    <row r="6398" customFormat="false" ht="15" hidden="false" customHeight="false" outlineLevel="0" collapsed="false">
      <c r="A6398" s="62" t="n">
        <v>1</v>
      </c>
      <c r="B6398" s="62" t="s">
        <v>383</v>
      </c>
      <c r="C6398" s="62" t="s">
        <v>60</v>
      </c>
      <c r="D6398" s="62" t="s">
        <v>72</v>
      </c>
      <c r="E6398" s="62" t="s">
        <v>382</v>
      </c>
      <c r="F6398" s="63" t="s">
        <v>647</v>
      </c>
      <c r="G6398" s="64" t="n">
        <v>11.65</v>
      </c>
      <c r="H6398" s="62" t="s">
        <v>138</v>
      </c>
    </row>
    <row r="6399" customFormat="false" ht="15" hidden="false" customHeight="false" outlineLevel="0" collapsed="false">
      <c r="A6399" s="62" t="n">
        <v>1</v>
      </c>
      <c r="B6399" s="62" t="s">
        <v>384</v>
      </c>
      <c r="C6399" s="62" t="s">
        <v>60</v>
      </c>
      <c r="D6399" s="62" t="s">
        <v>72</v>
      </c>
      <c r="E6399" s="62" t="s">
        <v>382</v>
      </c>
      <c r="F6399" s="63" t="s">
        <v>647</v>
      </c>
      <c r="G6399" s="64" t="n">
        <v>11.65</v>
      </c>
      <c r="H6399" s="62" t="s">
        <v>138</v>
      </c>
    </row>
    <row r="6400" customFormat="false" ht="15" hidden="false" customHeight="false" outlineLevel="0" collapsed="false">
      <c r="A6400" s="62" t="n">
        <v>1</v>
      </c>
      <c r="B6400" s="62" t="s">
        <v>385</v>
      </c>
      <c r="C6400" s="62" t="s">
        <v>60</v>
      </c>
      <c r="D6400" s="62" t="s">
        <v>72</v>
      </c>
      <c r="E6400" s="62" t="s">
        <v>382</v>
      </c>
      <c r="F6400" s="63" t="s">
        <v>647</v>
      </c>
      <c r="G6400" s="64" t="n">
        <v>11.65</v>
      </c>
      <c r="H6400" s="62" t="s">
        <v>138</v>
      </c>
    </row>
    <row r="6401" customFormat="false" ht="15" hidden="false" customHeight="false" outlineLevel="0" collapsed="false">
      <c r="A6401" s="62" t="n">
        <v>1</v>
      </c>
      <c r="B6401" s="62" t="s">
        <v>386</v>
      </c>
      <c r="C6401" s="62" t="s">
        <v>60</v>
      </c>
      <c r="D6401" s="62" t="s">
        <v>72</v>
      </c>
      <c r="E6401" s="62" t="s">
        <v>382</v>
      </c>
      <c r="F6401" s="63" t="s">
        <v>647</v>
      </c>
      <c r="G6401" s="64" t="n">
        <v>11.65</v>
      </c>
      <c r="H6401" s="62" t="s">
        <v>138</v>
      </c>
    </row>
    <row r="6402" customFormat="false" ht="15" hidden="false" customHeight="false" outlineLevel="0" collapsed="false">
      <c r="A6402" s="62" t="n">
        <v>1</v>
      </c>
      <c r="B6402" s="62" t="s">
        <v>387</v>
      </c>
      <c r="C6402" s="62" t="s">
        <v>60</v>
      </c>
      <c r="D6402" s="62" t="s">
        <v>72</v>
      </c>
      <c r="E6402" s="62" t="s">
        <v>382</v>
      </c>
      <c r="F6402" s="63" t="s">
        <v>647</v>
      </c>
      <c r="G6402" s="64" t="n">
        <v>11.65</v>
      </c>
      <c r="H6402" s="62" t="s">
        <v>138</v>
      </c>
    </row>
    <row r="6403" customFormat="false" ht="15" hidden="false" customHeight="false" outlineLevel="0" collapsed="false">
      <c r="A6403" s="62" t="n">
        <v>1</v>
      </c>
      <c r="B6403" s="62" t="s">
        <v>388</v>
      </c>
      <c r="C6403" s="62" t="s">
        <v>60</v>
      </c>
      <c r="D6403" s="62" t="s">
        <v>72</v>
      </c>
      <c r="E6403" s="62" t="s">
        <v>382</v>
      </c>
      <c r="F6403" s="63" t="s">
        <v>647</v>
      </c>
      <c r="G6403" s="64" t="n">
        <v>11.65</v>
      </c>
      <c r="H6403" s="62" t="s">
        <v>138</v>
      </c>
    </row>
    <row r="6404" customFormat="false" ht="15" hidden="false" customHeight="false" outlineLevel="0" collapsed="false">
      <c r="A6404" s="62" t="n">
        <v>1</v>
      </c>
      <c r="B6404" s="62" t="s">
        <v>381</v>
      </c>
      <c r="C6404" s="62" t="s">
        <v>60</v>
      </c>
      <c r="D6404" s="62" t="s">
        <v>72</v>
      </c>
      <c r="E6404" s="62" t="s">
        <v>382</v>
      </c>
      <c r="F6404" s="63" t="s">
        <v>648</v>
      </c>
      <c r="G6404" s="64" t="n">
        <v>5449255.04240281</v>
      </c>
      <c r="H6404" s="62" t="s">
        <v>138</v>
      </c>
    </row>
    <row r="6405" customFormat="false" ht="15" hidden="false" customHeight="false" outlineLevel="0" collapsed="false">
      <c r="A6405" s="62" t="n">
        <v>1</v>
      </c>
      <c r="B6405" s="62" t="s">
        <v>383</v>
      </c>
      <c r="C6405" s="62" t="s">
        <v>60</v>
      </c>
      <c r="D6405" s="62" t="s">
        <v>72</v>
      </c>
      <c r="E6405" s="62" t="s">
        <v>382</v>
      </c>
      <c r="F6405" s="63" t="s">
        <v>648</v>
      </c>
      <c r="G6405" s="64" t="n">
        <v>9303682.11959331</v>
      </c>
      <c r="H6405" s="62" t="s">
        <v>138</v>
      </c>
    </row>
    <row r="6406" customFormat="false" ht="15" hidden="false" customHeight="false" outlineLevel="0" collapsed="false">
      <c r="A6406" s="62" t="n">
        <v>1</v>
      </c>
      <c r="B6406" s="62" t="s">
        <v>384</v>
      </c>
      <c r="C6406" s="62" t="s">
        <v>60</v>
      </c>
      <c r="D6406" s="62" t="s">
        <v>72</v>
      </c>
      <c r="E6406" s="62" t="s">
        <v>382</v>
      </c>
      <c r="F6406" s="63" t="s">
        <v>648</v>
      </c>
      <c r="G6406" s="64" t="n">
        <v>8093031.43919849</v>
      </c>
      <c r="H6406" s="62" t="s">
        <v>138</v>
      </c>
    </row>
    <row r="6407" customFormat="false" ht="15" hidden="false" customHeight="false" outlineLevel="0" collapsed="false">
      <c r="A6407" s="62" t="n">
        <v>1</v>
      </c>
      <c r="B6407" s="62" t="s">
        <v>385</v>
      </c>
      <c r="C6407" s="62" t="s">
        <v>60</v>
      </c>
      <c r="D6407" s="62" t="s">
        <v>72</v>
      </c>
      <c r="E6407" s="62" t="s">
        <v>382</v>
      </c>
      <c r="F6407" s="63" t="s">
        <v>648</v>
      </c>
      <c r="G6407" s="64" t="n">
        <v>6561001.90488168</v>
      </c>
      <c r="H6407" s="62" t="s">
        <v>138</v>
      </c>
    </row>
    <row r="6408" customFormat="false" ht="15" hidden="false" customHeight="false" outlineLevel="0" collapsed="false">
      <c r="A6408" s="62" t="n">
        <v>1</v>
      </c>
      <c r="B6408" s="62" t="s">
        <v>386</v>
      </c>
      <c r="C6408" s="62" t="s">
        <v>60</v>
      </c>
      <c r="D6408" s="62" t="s">
        <v>72</v>
      </c>
      <c r="E6408" s="62" t="s">
        <v>382</v>
      </c>
      <c r="F6408" s="63" t="s">
        <v>648</v>
      </c>
      <c r="G6408" s="64" t="n">
        <v>6064510.3069063</v>
      </c>
      <c r="H6408" s="62" t="s">
        <v>138</v>
      </c>
    </row>
    <row r="6409" customFormat="false" ht="15" hidden="false" customHeight="false" outlineLevel="0" collapsed="false">
      <c r="A6409" s="62" t="n">
        <v>1</v>
      </c>
      <c r="B6409" s="62" t="s">
        <v>387</v>
      </c>
      <c r="C6409" s="62" t="s">
        <v>60</v>
      </c>
      <c r="D6409" s="62" t="s">
        <v>72</v>
      </c>
      <c r="E6409" s="62" t="s">
        <v>382</v>
      </c>
      <c r="F6409" s="63" t="s">
        <v>648</v>
      </c>
      <c r="G6409" s="64" t="n">
        <v>6666090.28610842</v>
      </c>
      <c r="H6409" s="62" t="s">
        <v>138</v>
      </c>
    </row>
    <row r="6410" customFormat="false" ht="15" hidden="false" customHeight="false" outlineLevel="0" collapsed="false">
      <c r="A6410" s="62" t="n">
        <v>1</v>
      </c>
      <c r="B6410" s="62" t="s">
        <v>388</v>
      </c>
      <c r="C6410" s="62" t="s">
        <v>60</v>
      </c>
      <c r="D6410" s="62" t="s">
        <v>72</v>
      </c>
      <c r="E6410" s="62" t="s">
        <v>382</v>
      </c>
      <c r="F6410" s="63" t="s">
        <v>648</v>
      </c>
      <c r="G6410" s="64" t="n">
        <v>3896214.58911619</v>
      </c>
      <c r="H6410" s="62" t="s">
        <v>138</v>
      </c>
    </row>
    <row r="6411" customFormat="false" ht="15" hidden="false" customHeight="false" outlineLevel="0" collapsed="false">
      <c r="A6411" s="62" t="n">
        <v>1</v>
      </c>
      <c r="B6411" s="62" t="s">
        <v>381</v>
      </c>
      <c r="C6411" s="62" t="s">
        <v>60</v>
      </c>
      <c r="D6411" s="62" t="s">
        <v>72</v>
      </c>
      <c r="E6411" s="62" t="s">
        <v>382</v>
      </c>
      <c r="F6411" s="63" t="s">
        <v>649</v>
      </c>
      <c r="G6411" s="64" t="n">
        <v>63483821.2439928</v>
      </c>
      <c r="H6411" s="62" t="s">
        <v>138</v>
      </c>
    </row>
    <row r="6412" customFormat="false" ht="15" hidden="false" customHeight="false" outlineLevel="0" collapsed="false">
      <c r="A6412" s="62" t="n">
        <v>1</v>
      </c>
      <c r="B6412" s="62" t="s">
        <v>383</v>
      </c>
      <c r="C6412" s="62" t="s">
        <v>60</v>
      </c>
      <c r="D6412" s="62" t="s">
        <v>72</v>
      </c>
      <c r="E6412" s="62" t="s">
        <v>382</v>
      </c>
      <c r="F6412" s="63" t="s">
        <v>649</v>
      </c>
      <c r="G6412" s="64" t="n">
        <v>108387896.693262</v>
      </c>
      <c r="H6412" s="62" t="s">
        <v>138</v>
      </c>
    </row>
    <row r="6413" customFormat="false" ht="15" hidden="false" customHeight="false" outlineLevel="0" collapsed="false">
      <c r="A6413" s="62" t="n">
        <v>1</v>
      </c>
      <c r="B6413" s="62" t="s">
        <v>384</v>
      </c>
      <c r="C6413" s="62" t="s">
        <v>60</v>
      </c>
      <c r="D6413" s="62" t="s">
        <v>72</v>
      </c>
      <c r="E6413" s="62" t="s">
        <v>382</v>
      </c>
      <c r="F6413" s="63" t="s">
        <v>649</v>
      </c>
      <c r="G6413" s="64" t="n">
        <v>94283816.2666625</v>
      </c>
      <c r="H6413" s="62" t="s">
        <v>138</v>
      </c>
    </row>
    <row r="6414" customFormat="false" ht="15" hidden="false" customHeight="false" outlineLevel="0" collapsed="false">
      <c r="A6414" s="62" t="n">
        <v>1</v>
      </c>
      <c r="B6414" s="62" t="s">
        <v>385</v>
      </c>
      <c r="C6414" s="62" t="s">
        <v>60</v>
      </c>
      <c r="D6414" s="62" t="s">
        <v>72</v>
      </c>
      <c r="E6414" s="62" t="s">
        <v>382</v>
      </c>
      <c r="F6414" s="63" t="s">
        <v>649</v>
      </c>
      <c r="G6414" s="64" t="n">
        <v>76435672.1918715</v>
      </c>
      <c r="H6414" s="62" t="s">
        <v>138</v>
      </c>
    </row>
    <row r="6415" customFormat="false" ht="15" hidden="false" customHeight="false" outlineLevel="0" collapsed="false">
      <c r="A6415" s="62" t="n">
        <v>1</v>
      </c>
      <c r="B6415" s="62" t="s">
        <v>386</v>
      </c>
      <c r="C6415" s="62" t="s">
        <v>60</v>
      </c>
      <c r="D6415" s="62" t="s">
        <v>72</v>
      </c>
      <c r="E6415" s="62" t="s">
        <v>382</v>
      </c>
      <c r="F6415" s="63" t="s">
        <v>649</v>
      </c>
      <c r="G6415" s="64" t="n">
        <v>70651545.0754584</v>
      </c>
      <c r="H6415" s="62" t="s">
        <v>138</v>
      </c>
    </row>
    <row r="6416" customFormat="false" ht="15" hidden="false" customHeight="false" outlineLevel="0" collapsed="false">
      <c r="A6416" s="62" t="n">
        <v>1</v>
      </c>
      <c r="B6416" s="62" t="s">
        <v>387</v>
      </c>
      <c r="C6416" s="62" t="s">
        <v>60</v>
      </c>
      <c r="D6416" s="62" t="s">
        <v>72</v>
      </c>
      <c r="E6416" s="62" t="s">
        <v>382</v>
      </c>
      <c r="F6416" s="63" t="s">
        <v>649</v>
      </c>
      <c r="G6416" s="64" t="n">
        <v>77659951.8331631</v>
      </c>
      <c r="H6416" s="62" t="s">
        <v>138</v>
      </c>
    </row>
    <row r="6417" customFormat="false" ht="15" hidden="false" customHeight="false" outlineLevel="0" collapsed="false">
      <c r="A6417" s="62" t="n">
        <v>1</v>
      </c>
      <c r="B6417" s="62" t="s">
        <v>388</v>
      </c>
      <c r="C6417" s="62" t="s">
        <v>60</v>
      </c>
      <c r="D6417" s="62" t="s">
        <v>72</v>
      </c>
      <c r="E6417" s="62" t="s">
        <v>382</v>
      </c>
      <c r="F6417" s="63" t="s">
        <v>649</v>
      </c>
      <c r="G6417" s="64" t="n">
        <v>45390899.9632036</v>
      </c>
      <c r="H6417" s="62" t="s">
        <v>138</v>
      </c>
    </row>
    <row r="6418" customFormat="false" ht="15" hidden="false" customHeight="false" outlineLevel="0" collapsed="false">
      <c r="A6418" s="62" t="n">
        <v>1</v>
      </c>
      <c r="B6418" s="62" t="s">
        <v>381</v>
      </c>
      <c r="C6418" s="62" t="s">
        <v>60</v>
      </c>
      <c r="D6418" s="62" t="s">
        <v>72</v>
      </c>
      <c r="E6418" s="62" t="s">
        <v>382</v>
      </c>
      <c r="F6418" s="63" t="s">
        <v>650</v>
      </c>
      <c r="G6418" s="64" t="n">
        <v>14.63</v>
      </c>
      <c r="H6418" s="62" t="s">
        <v>138</v>
      </c>
    </row>
    <row r="6419" customFormat="false" ht="15" hidden="false" customHeight="false" outlineLevel="0" collapsed="false">
      <c r="A6419" s="62" t="n">
        <v>1</v>
      </c>
      <c r="B6419" s="62" t="s">
        <v>383</v>
      </c>
      <c r="C6419" s="62" t="s">
        <v>60</v>
      </c>
      <c r="D6419" s="62" t="s">
        <v>72</v>
      </c>
      <c r="E6419" s="62" t="s">
        <v>382</v>
      </c>
      <c r="F6419" s="63" t="s">
        <v>650</v>
      </c>
      <c r="G6419" s="64" t="n">
        <v>14.63</v>
      </c>
      <c r="H6419" s="62" t="s">
        <v>138</v>
      </c>
    </row>
    <row r="6420" customFormat="false" ht="15" hidden="false" customHeight="false" outlineLevel="0" collapsed="false">
      <c r="A6420" s="62" t="n">
        <v>1</v>
      </c>
      <c r="B6420" s="62" t="s">
        <v>384</v>
      </c>
      <c r="C6420" s="62" t="s">
        <v>60</v>
      </c>
      <c r="D6420" s="62" t="s">
        <v>72</v>
      </c>
      <c r="E6420" s="62" t="s">
        <v>382</v>
      </c>
      <c r="F6420" s="63" t="s">
        <v>650</v>
      </c>
      <c r="G6420" s="64" t="n">
        <v>14.63</v>
      </c>
      <c r="H6420" s="62" t="s">
        <v>138</v>
      </c>
    </row>
    <row r="6421" customFormat="false" ht="15" hidden="false" customHeight="false" outlineLevel="0" collapsed="false">
      <c r="A6421" s="62" t="n">
        <v>1</v>
      </c>
      <c r="B6421" s="62" t="s">
        <v>385</v>
      </c>
      <c r="C6421" s="62" t="s">
        <v>60</v>
      </c>
      <c r="D6421" s="62" t="s">
        <v>72</v>
      </c>
      <c r="E6421" s="62" t="s">
        <v>382</v>
      </c>
      <c r="F6421" s="63" t="s">
        <v>650</v>
      </c>
      <c r="G6421" s="64" t="n">
        <v>14.63</v>
      </c>
      <c r="H6421" s="62" t="s">
        <v>138</v>
      </c>
    </row>
    <row r="6422" customFormat="false" ht="15" hidden="false" customHeight="false" outlineLevel="0" collapsed="false">
      <c r="A6422" s="62" t="n">
        <v>1</v>
      </c>
      <c r="B6422" s="62" t="s">
        <v>386</v>
      </c>
      <c r="C6422" s="62" t="s">
        <v>60</v>
      </c>
      <c r="D6422" s="62" t="s">
        <v>72</v>
      </c>
      <c r="E6422" s="62" t="s">
        <v>382</v>
      </c>
      <c r="F6422" s="63" t="s">
        <v>650</v>
      </c>
      <c r="G6422" s="64" t="n">
        <v>14.63</v>
      </c>
      <c r="H6422" s="62" t="s">
        <v>138</v>
      </c>
    </row>
    <row r="6423" customFormat="false" ht="15" hidden="false" customHeight="false" outlineLevel="0" collapsed="false">
      <c r="A6423" s="62" t="n">
        <v>1</v>
      </c>
      <c r="B6423" s="62" t="s">
        <v>387</v>
      </c>
      <c r="C6423" s="62" t="s">
        <v>60</v>
      </c>
      <c r="D6423" s="62" t="s">
        <v>72</v>
      </c>
      <c r="E6423" s="62" t="s">
        <v>382</v>
      </c>
      <c r="F6423" s="63" t="s">
        <v>650</v>
      </c>
      <c r="G6423" s="64" t="n">
        <v>14.63</v>
      </c>
      <c r="H6423" s="62" t="s">
        <v>138</v>
      </c>
    </row>
    <row r="6424" customFormat="false" ht="15" hidden="false" customHeight="false" outlineLevel="0" collapsed="false">
      <c r="A6424" s="62" t="n">
        <v>1</v>
      </c>
      <c r="B6424" s="62" t="s">
        <v>388</v>
      </c>
      <c r="C6424" s="62" t="s">
        <v>60</v>
      </c>
      <c r="D6424" s="62" t="s">
        <v>72</v>
      </c>
      <c r="E6424" s="62" t="s">
        <v>382</v>
      </c>
      <c r="F6424" s="63" t="s">
        <v>650</v>
      </c>
      <c r="G6424" s="64" t="n">
        <v>14.63</v>
      </c>
      <c r="H6424" s="62" t="s">
        <v>138</v>
      </c>
    </row>
    <row r="6425" customFormat="false" ht="15" hidden="false" customHeight="false" outlineLevel="0" collapsed="false">
      <c r="A6425" s="62" t="n">
        <v>1</v>
      </c>
      <c r="B6425" s="62" t="s">
        <v>381</v>
      </c>
      <c r="C6425" s="62" t="s">
        <v>60</v>
      </c>
      <c r="D6425" s="62" t="s">
        <v>72</v>
      </c>
      <c r="E6425" s="62" t="s">
        <v>382</v>
      </c>
      <c r="F6425" s="63" t="s">
        <v>651</v>
      </c>
      <c r="G6425" s="64" t="n">
        <v>4288230.92540281</v>
      </c>
      <c r="H6425" s="62" t="s">
        <v>138</v>
      </c>
    </row>
    <row r="6426" customFormat="false" ht="15" hidden="false" customHeight="false" outlineLevel="0" collapsed="false">
      <c r="A6426" s="62" t="n">
        <v>1</v>
      </c>
      <c r="B6426" s="62" t="s">
        <v>383</v>
      </c>
      <c r="C6426" s="62" t="s">
        <v>60</v>
      </c>
      <c r="D6426" s="62" t="s">
        <v>72</v>
      </c>
      <c r="E6426" s="62" t="s">
        <v>382</v>
      </c>
      <c r="F6426" s="63" t="s">
        <v>651</v>
      </c>
      <c r="G6426" s="64" t="n">
        <v>8142658.00259331</v>
      </c>
      <c r="H6426" s="62" t="s">
        <v>138</v>
      </c>
    </row>
    <row r="6427" customFormat="false" ht="15" hidden="false" customHeight="false" outlineLevel="0" collapsed="false">
      <c r="A6427" s="62" t="n">
        <v>1</v>
      </c>
      <c r="B6427" s="62" t="s">
        <v>384</v>
      </c>
      <c r="C6427" s="62" t="s">
        <v>60</v>
      </c>
      <c r="D6427" s="62" t="s">
        <v>72</v>
      </c>
      <c r="E6427" s="62" t="s">
        <v>382</v>
      </c>
      <c r="F6427" s="63" t="s">
        <v>651</v>
      </c>
      <c r="G6427" s="64" t="n">
        <v>6932007.32219849</v>
      </c>
      <c r="H6427" s="62" t="s">
        <v>138</v>
      </c>
    </row>
    <row r="6428" customFormat="false" ht="15" hidden="false" customHeight="false" outlineLevel="0" collapsed="false">
      <c r="A6428" s="62" t="n">
        <v>1</v>
      </c>
      <c r="B6428" s="62" t="s">
        <v>385</v>
      </c>
      <c r="C6428" s="62" t="s">
        <v>60</v>
      </c>
      <c r="D6428" s="62" t="s">
        <v>72</v>
      </c>
      <c r="E6428" s="62" t="s">
        <v>382</v>
      </c>
      <c r="F6428" s="63" t="s">
        <v>651</v>
      </c>
      <c r="G6428" s="64" t="n">
        <v>5399977.78788168</v>
      </c>
      <c r="H6428" s="62" t="s">
        <v>138</v>
      </c>
    </row>
    <row r="6429" customFormat="false" ht="15" hidden="false" customHeight="false" outlineLevel="0" collapsed="false">
      <c r="A6429" s="62" t="n">
        <v>1</v>
      </c>
      <c r="B6429" s="62" t="s">
        <v>386</v>
      </c>
      <c r="C6429" s="62" t="s">
        <v>60</v>
      </c>
      <c r="D6429" s="62" t="s">
        <v>72</v>
      </c>
      <c r="E6429" s="62" t="s">
        <v>382</v>
      </c>
      <c r="F6429" s="63" t="s">
        <v>651</v>
      </c>
      <c r="G6429" s="64" t="n">
        <v>4903486.1899063</v>
      </c>
      <c r="H6429" s="62" t="s">
        <v>138</v>
      </c>
    </row>
    <row r="6430" customFormat="false" ht="15" hidden="false" customHeight="false" outlineLevel="0" collapsed="false">
      <c r="A6430" s="62" t="n">
        <v>1</v>
      </c>
      <c r="B6430" s="62" t="s">
        <v>387</v>
      </c>
      <c r="C6430" s="62" t="s">
        <v>60</v>
      </c>
      <c r="D6430" s="62" t="s">
        <v>72</v>
      </c>
      <c r="E6430" s="62" t="s">
        <v>382</v>
      </c>
      <c r="F6430" s="63" t="s">
        <v>651</v>
      </c>
      <c r="G6430" s="64" t="n">
        <v>5505066.16910842</v>
      </c>
      <c r="H6430" s="62" t="s">
        <v>138</v>
      </c>
    </row>
    <row r="6431" customFormat="false" ht="15" hidden="false" customHeight="false" outlineLevel="0" collapsed="false">
      <c r="A6431" s="62" t="n">
        <v>1</v>
      </c>
      <c r="B6431" s="62" t="s">
        <v>388</v>
      </c>
      <c r="C6431" s="62" t="s">
        <v>60</v>
      </c>
      <c r="D6431" s="62" t="s">
        <v>72</v>
      </c>
      <c r="E6431" s="62" t="s">
        <v>382</v>
      </c>
      <c r="F6431" s="63" t="s">
        <v>651</v>
      </c>
      <c r="G6431" s="64" t="n">
        <v>2735190.47211619</v>
      </c>
      <c r="H6431" s="62" t="s">
        <v>138</v>
      </c>
    </row>
    <row r="6432" customFormat="false" ht="15" hidden="false" customHeight="false" outlineLevel="0" collapsed="false">
      <c r="A6432" s="62" t="n">
        <v>1</v>
      </c>
      <c r="B6432" s="62" t="s">
        <v>381</v>
      </c>
      <c r="C6432" s="62" t="s">
        <v>60</v>
      </c>
      <c r="D6432" s="62" t="s">
        <v>72</v>
      </c>
      <c r="E6432" s="62" t="s">
        <v>382</v>
      </c>
      <c r="F6432" s="63" t="s">
        <v>652</v>
      </c>
      <c r="G6432" s="64" t="n">
        <v>62736818.4386431</v>
      </c>
      <c r="H6432" s="62" t="s">
        <v>138</v>
      </c>
    </row>
    <row r="6433" customFormat="false" ht="15" hidden="false" customHeight="false" outlineLevel="0" collapsed="false">
      <c r="A6433" s="62" t="n">
        <v>1</v>
      </c>
      <c r="B6433" s="62" t="s">
        <v>383</v>
      </c>
      <c r="C6433" s="62" t="s">
        <v>60</v>
      </c>
      <c r="D6433" s="62" t="s">
        <v>72</v>
      </c>
      <c r="E6433" s="62" t="s">
        <v>382</v>
      </c>
      <c r="F6433" s="63" t="s">
        <v>652</v>
      </c>
      <c r="G6433" s="64" t="n">
        <v>119127086.57794</v>
      </c>
      <c r="H6433" s="62" t="s">
        <v>138</v>
      </c>
    </row>
    <row r="6434" customFormat="false" ht="15" hidden="false" customHeight="false" outlineLevel="0" collapsed="false">
      <c r="A6434" s="62" t="n">
        <v>1</v>
      </c>
      <c r="B6434" s="62" t="s">
        <v>384</v>
      </c>
      <c r="C6434" s="62" t="s">
        <v>60</v>
      </c>
      <c r="D6434" s="62" t="s">
        <v>72</v>
      </c>
      <c r="E6434" s="62" t="s">
        <v>382</v>
      </c>
      <c r="F6434" s="63" t="s">
        <v>652</v>
      </c>
      <c r="G6434" s="64" t="n">
        <v>101415267.123764</v>
      </c>
      <c r="H6434" s="62" t="s">
        <v>138</v>
      </c>
    </row>
    <row r="6435" customFormat="false" ht="15" hidden="false" customHeight="false" outlineLevel="0" collapsed="false">
      <c r="A6435" s="62" t="n">
        <v>1</v>
      </c>
      <c r="B6435" s="62" t="s">
        <v>385</v>
      </c>
      <c r="C6435" s="62" t="s">
        <v>60</v>
      </c>
      <c r="D6435" s="62" t="s">
        <v>72</v>
      </c>
      <c r="E6435" s="62" t="s">
        <v>382</v>
      </c>
      <c r="F6435" s="63" t="s">
        <v>652</v>
      </c>
      <c r="G6435" s="64" t="n">
        <v>79001675.0367089</v>
      </c>
      <c r="H6435" s="62" t="s">
        <v>138</v>
      </c>
    </row>
    <row r="6436" customFormat="false" ht="15" hidden="false" customHeight="false" outlineLevel="0" collapsed="false">
      <c r="A6436" s="62" t="n">
        <v>1</v>
      </c>
      <c r="B6436" s="62" t="s">
        <v>386</v>
      </c>
      <c r="C6436" s="62" t="s">
        <v>60</v>
      </c>
      <c r="D6436" s="62" t="s">
        <v>72</v>
      </c>
      <c r="E6436" s="62" t="s">
        <v>382</v>
      </c>
      <c r="F6436" s="63" t="s">
        <v>652</v>
      </c>
      <c r="G6436" s="64" t="n">
        <v>71738002.9583292</v>
      </c>
      <c r="H6436" s="62" t="s">
        <v>138</v>
      </c>
    </row>
    <row r="6437" customFormat="false" ht="15" hidden="false" customHeight="false" outlineLevel="0" collapsed="false">
      <c r="A6437" s="62" t="n">
        <v>1</v>
      </c>
      <c r="B6437" s="62" t="s">
        <v>387</v>
      </c>
      <c r="C6437" s="62" t="s">
        <v>60</v>
      </c>
      <c r="D6437" s="62" t="s">
        <v>72</v>
      </c>
      <c r="E6437" s="62" t="s">
        <v>382</v>
      </c>
      <c r="F6437" s="63" t="s">
        <v>652</v>
      </c>
      <c r="G6437" s="64" t="n">
        <v>80539118.0540562</v>
      </c>
      <c r="H6437" s="62" t="s">
        <v>138</v>
      </c>
    </row>
    <row r="6438" customFormat="false" ht="15" hidden="false" customHeight="false" outlineLevel="0" collapsed="false">
      <c r="A6438" s="62" t="n">
        <v>1</v>
      </c>
      <c r="B6438" s="62" t="s">
        <v>388</v>
      </c>
      <c r="C6438" s="62" t="s">
        <v>60</v>
      </c>
      <c r="D6438" s="62" t="s">
        <v>72</v>
      </c>
      <c r="E6438" s="62" t="s">
        <v>382</v>
      </c>
      <c r="F6438" s="63" t="s">
        <v>652</v>
      </c>
      <c r="G6438" s="64" t="n">
        <v>40015836.6070598</v>
      </c>
      <c r="H6438" s="62" t="s">
        <v>138</v>
      </c>
    </row>
    <row r="6439" customFormat="false" ht="15" hidden="false" customHeight="false" outlineLevel="0" collapsed="false">
      <c r="A6439" s="62" t="n">
        <v>1</v>
      </c>
      <c r="B6439" s="62" t="s">
        <v>381</v>
      </c>
      <c r="C6439" s="62" t="s">
        <v>60</v>
      </c>
      <c r="D6439" s="62" t="s">
        <v>72</v>
      </c>
      <c r="E6439" s="62" t="s">
        <v>382</v>
      </c>
      <c r="F6439" s="63" t="s">
        <v>653</v>
      </c>
      <c r="G6439" s="64" t="n">
        <v>17.3</v>
      </c>
      <c r="H6439" s="62" t="s">
        <v>138</v>
      </c>
    </row>
    <row r="6440" customFormat="false" ht="15" hidden="false" customHeight="false" outlineLevel="0" collapsed="false">
      <c r="A6440" s="62" t="n">
        <v>1</v>
      </c>
      <c r="B6440" s="62" t="s">
        <v>383</v>
      </c>
      <c r="C6440" s="62" t="s">
        <v>60</v>
      </c>
      <c r="D6440" s="62" t="s">
        <v>72</v>
      </c>
      <c r="E6440" s="62" t="s">
        <v>382</v>
      </c>
      <c r="F6440" s="63" t="s">
        <v>653</v>
      </c>
      <c r="G6440" s="64" t="n">
        <v>17.3</v>
      </c>
      <c r="H6440" s="62" t="s">
        <v>138</v>
      </c>
    </row>
    <row r="6441" customFormat="false" ht="15" hidden="false" customHeight="false" outlineLevel="0" collapsed="false">
      <c r="A6441" s="62" t="n">
        <v>1</v>
      </c>
      <c r="B6441" s="62" t="s">
        <v>384</v>
      </c>
      <c r="C6441" s="62" t="s">
        <v>60</v>
      </c>
      <c r="D6441" s="62" t="s">
        <v>72</v>
      </c>
      <c r="E6441" s="62" t="s">
        <v>382</v>
      </c>
      <c r="F6441" s="63" t="s">
        <v>653</v>
      </c>
      <c r="G6441" s="64" t="n">
        <v>17.3</v>
      </c>
      <c r="H6441" s="62" t="s">
        <v>138</v>
      </c>
    </row>
    <row r="6442" customFormat="false" ht="15" hidden="false" customHeight="false" outlineLevel="0" collapsed="false">
      <c r="A6442" s="62" t="n">
        <v>1</v>
      </c>
      <c r="B6442" s="62" t="s">
        <v>385</v>
      </c>
      <c r="C6442" s="62" t="s">
        <v>60</v>
      </c>
      <c r="D6442" s="62" t="s">
        <v>72</v>
      </c>
      <c r="E6442" s="62" t="s">
        <v>382</v>
      </c>
      <c r="F6442" s="63" t="s">
        <v>653</v>
      </c>
      <c r="G6442" s="64" t="n">
        <v>17.3</v>
      </c>
      <c r="H6442" s="62" t="s">
        <v>138</v>
      </c>
    </row>
    <row r="6443" customFormat="false" ht="15" hidden="false" customHeight="false" outlineLevel="0" collapsed="false">
      <c r="A6443" s="62" t="n">
        <v>1</v>
      </c>
      <c r="B6443" s="62" t="s">
        <v>386</v>
      </c>
      <c r="C6443" s="62" t="s">
        <v>60</v>
      </c>
      <c r="D6443" s="62" t="s">
        <v>72</v>
      </c>
      <c r="E6443" s="62" t="s">
        <v>382</v>
      </c>
      <c r="F6443" s="63" t="s">
        <v>653</v>
      </c>
      <c r="G6443" s="64" t="n">
        <v>17.3</v>
      </c>
      <c r="H6443" s="62" t="s">
        <v>138</v>
      </c>
    </row>
    <row r="6444" customFormat="false" ht="15" hidden="false" customHeight="false" outlineLevel="0" collapsed="false">
      <c r="A6444" s="62" t="n">
        <v>1</v>
      </c>
      <c r="B6444" s="62" t="s">
        <v>387</v>
      </c>
      <c r="C6444" s="62" t="s">
        <v>60</v>
      </c>
      <c r="D6444" s="62" t="s">
        <v>72</v>
      </c>
      <c r="E6444" s="62" t="s">
        <v>382</v>
      </c>
      <c r="F6444" s="63" t="s">
        <v>653</v>
      </c>
      <c r="G6444" s="64" t="n">
        <v>17.3</v>
      </c>
      <c r="H6444" s="62" t="s">
        <v>138</v>
      </c>
    </row>
    <row r="6445" customFormat="false" ht="15" hidden="false" customHeight="false" outlineLevel="0" collapsed="false">
      <c r="A6445" s="62" t="n">
        <v>1</v>
      </c>
      <c r="B6445" s="62" t="s">
        <v>388</v>
      </c>
      <c r="C6445" s="62" t="s">
        <v>60</v>
      </c>
      <c r="D6445" s="62" t="s">
        <v>72</v>
      </c>
      <c r="E6445" s="62" t="s">
        <v>382</v>
      </c>
      <c r="F6445" s="63" t="s">
        <v>653</v>
      </c>
      <c r="G6445" s="64" t="n">
        <v>17.3</v>
      </c>
      <c r="H6445" s="62" t="s">
        <v>138</v>
      </c>
    </row>
    <row r="6446" customFormat="false" ht="15" hidden="false" customHeight="false" outlineLevel="0" collapsed="false">
      <c r="A6446" s="62" t="n">
        <v>1</v>
      </c>
      <c r="B6446" s="62" t="s">
        <v>381</v>
      </c>
      <c r="C6446" s="62" t="s">
        <v>60</v>
      </c>
      <c r="D6446" s="62" t="s">
        <v>72</v>
      </c>
      <c r="E6446" s="62" t="s">
        <v>382</v>
      </c>
      <c r="F6446" s="63" t="s">
        <v>654</v>
      </c>
      <c r="G6446" s="64" t="n">
        <v>3413784.18001787</v>
      </c>
      <c r="H6446" s="62" t="s">
        <v>138</v>
      </c>
    </row>
    <row r="6447" customFormat="false" ht="15" hidden="false" customHeight="false" outlineLevel="0" collapsed="false">
      <c r="A6447" s="62" t="n">
        <v>1</v>
      </c>
      <c r="B6447" s="62" t="s">
        <v>383</v>
      </c>
      <c r="C6447" s="62" t="s">
        <v>60</v>
      </c>
      <c r="D6447" s="62" t="s">
        <v>72</v>
      </c>
      <c r="E6447" s="62" t="s">
        <v>382</v>
      </c>
      <c r="F6447" s="63" t="s">
        <v>654</v>
      </c>
      <c r="G6447" s="64" t="n">
        <v>6219795.30651435</v>
      </c>
      <c r="H6447" s="62" t="s">
        <v>138</v>
      </c>
    </row>
    <row r="6448" customFormat="false" ht="15" hidden="false" customHeight="false" outlineLevel="0" collapsed="false">
      <c r="A6448" s="62" t="n">
        <v>1</v>
      </c>
      <c r="B6448" s="62" t="s">
        <v>384</v>
      </c>
      <c r="C6448" s="62" t="s">
        <v>60</v>
      </c>
      <c r="D6448" s="62" t="s">
        <v>72</v>
      </c>
      <c r="E6448" s="62" t="s">
        <v>382</v>
      </c>
      <c r="F6448" s="63" t="s">
        <v>654</v>
      </c>
      <c r="G6448" s="64" t="n">
        <v>5327281.03592858</v>
      </c>
      <c r="H6448" s="62" t="s">
        <v>138</v>
      </c>
    </row>
    <row r="6449" customFormat="false" ht="15" hidden="false" customHeight="false" outlineLevel="0" collapsed="false">
      <c r="A6449" s="62" t="n">
        <v>1</v>
      </c>
      <c r="B6449" s="62" t="s">
        <v>385</v>
      </c>
      <c r="C6449" s="62" t="s">
        <v>60</v>
      </c>
      <c r="D6449" s="62" t="s">
        <v>72</v>
      </c>
      <c r="E6449" s="62" t="s">
        <v>382</v>
      </c>
      <c r="F6449" s="63" t="s">
        <v>654</v>
      </c>
      <c r="G6449" s="64" t="n">
        <v>4174986.33018013</v>
      </c>
      <c r="H6449" s="62" t="s">
        <v>138</v>
      </c>
    </row>
    <row r="6450" customFormat="false" ht="15" hidden="false" customHeight="false" outlineLevel="0" collapsed="false">
      <c r="A6450" s="62" t="n">
        <v>1</v>
      </c>
      <c r="B6450" s="62" t="s">
        <v>386</v>
      </c>
      <c r="C6450" s="62" t="s">
        <v>60</v>
      </c>
      <c r="D6450" s="62" t="s">
        <v>72</v>
      </c>
      <c r="E6450" s="62" t="s">
        <v>382</v>
      </c>
      <c r="F6450" s="63" t="s">
        <v>654</v>
      </c>
      <c r="G6450" s="64" t="n">
        <v>3854371.99877211</v>
      </c>
      <c r="H6450" s="62" t="s">
        <v>138</v>
      </c>
    </row>
    <row r="6451" customFormat="false" ht="15" hidden="false" customHeight="false" outlineLevel="0" collapsed="false">
      <c r="A6451" s="62" t="n">
        <v>1</v>
      </c>
      <c r="B6451" s="62" t="s">
        <v>387</v>
      </c>
      <c r="C6451" s="62" t="s">
        <v>60</v>
      </c>
      <c r="D6451" s="62" t="s">
        <v>72</v>
      </c>
      <c r="E6451" s="62" t="s">
        <v>382</v>
      </c>
      <c r="F6451" s="63" t="s">
        <v>654</v>
      </c>
      <c r="G6451" s="64" t="n">
        <v>4262567.65758595</v>
      </c>
      <c r="H6451" s="62" t="s">
        <v>138</v>
      </c>
    </row>
    <row r="6452" customFormat="false" ht="15" hidden="false" customHeight="false" outlineLevel="0" collapsed="false">
      <c r="A6452" s="62" t="n">
        <v>1</v>
      </c>
      <c r="B6452" s="62" t="s">
        <v>388</v>
      </c>
      <c r="C6452" s="62" t="s">
        <v>60</v>
      </c>
      <c r="D6452" s="62" t="s">
        <v>72</v>
      </c>
      <c r="E6452" s="62" t="s">
        <v>382</v>
      </c>
      <c r="F6452" s="63" t="s">
        <v>654</v>
      </c>
      <c r="G6452" s="64" t="n">
        <v>2241807.48310352</v>
      </c>
      <c r="H6452" s="62" t="s">
        <v>138</v>
      </c>
    </row>
    <row r="6453" customFormat="false" ht="15" hidden="false" customHeight="false" outlineLevel="0" collapsed="false">
      <c r="A6453" s="62" t="n">
        <v>1</v>
      </c>
      <c r="B6453" s="62" t="s">
        <v>381</v>
      </c>
      <c r="C6453" s="62" t="s">
        <v>60</v>
      </c>
      <c r="D6453" s="62" t="s">
        <v>72</v>
      </c>
      <c r="E6453" s="62" t="s">
        <v>382</v>
      </c>
      <c r="F6453" s="63" t="s">
        <v>655</v>
      </c>
      <c r="G6453" s="64" t="n">
        <v>59058466.3143092</v>
      </c>
      <c r="H6453" s="62" t="s">
        <v>138</v>
      </c>
    </row>
    <row r="6454" customFormat="false" ht="15" hidden="false" customHeight="false" outlineLevel="0" collapsed="false">
      <c r="A6454" s="62" t="n">
        <v>1</v>
      </c>
      <c r="B6454" s="62" t="s">
        <v>383</v>
      </c>
      <c r="C6454" s="62" t="s">
        <v>60</v>
      </c>
      <c r="D6454" s="62" t="s">
        <v>72</v>
      </c>
      <c r="E6454" s="62" t="s">
        <v>382</v>
      </c>
      <c r="F6454" s="63" t="s">
        <v>655</v>
      </c>
      <c r="G6454" s="64" t="n">
        <v>107602458.802698</v>
      </c>
      <c r="H6454" s="62" t="s">
        <v>138</v>
      </c>
    </row>
    <row r="6455" customFormat="false" ht="15" hidden="false" customHeight="false" outlineLevel="0" collapsed="false">
      <c r="A6455" s="62" t="n">
        <v>1</v>
      </c>
      <c r="B6455" s="62" t="s">
        <v>384</v>
      </c>
      <c r="C6455" s="62" t="s">
        <v>60</v>
      </c>
      <c r="D6455" s="62" t="s">
        <v>72</v>
      </c>
      <c r="E6455" s="62" t="s">
        <v>382</v>
      </c>
      <c r="F6455" s="63" t="s">
        <v>655</v>
      </c>
      <c r="G6455" s="64" t="n">
        <v>92161961.9215644</v>
      </c>
      <c r="H6455" s="62" t="s">
        <v>138</v>
      </c>
    </row>
    <row r="6456" customFormat="false" ht="15" hidden="false" customHeight="false" outlineLevel="0" collapsed="false">
      <c r="A6456" s="62" t="n">
        <v>1</v>
      </c>
      <c r="B6456" s="62" t="s">
        <v>385</v>
      </c>
      <c r="C6456" s="62" t="s">
        <v>60</v>
      </c>
      <c r="D6456" s="62" t="s">
        <v>72</v>
      </c>
      <c r="E6456" s="62" t="s">
        <v>382</v>
      </c>
      <c r="F6456" s="63" t="s">
        <v>655</v>
      </c>
      <c r="G6456" s="64" t="n">
        <v>72227263.5121163</v>
      </c>
      <c r="H6456" s="62" t="s">
        <v>138</v>
      </c>
    </row>
    <row r="6457" customFormat="false" ht="15" hidden="false" customHeight="false" outlineLevel="0" collapsed="false">
      <c r="A6457" s="62" t="n">
        <v>1</v>
      </c>
      <c r="B6457" s="62" t="s">
        <v>386</v>
      </c>
      <c r="C6457" s="62" t="s">
        <v>60</v>
      </c>
      <c r="D6457" s="62" t="s">
        <v>72</v>
      </c>
      <c r="E6457" s="62" t="s">
        <v>382</v>
      </c>
      <c r="F6457" s="63" t="s">
        <v>655</v>
      </c>
      <c r="G6457" s="64" t="n">
        <v>66680635.5787575</v>
      </c>
      <c r="H6457" s="62" t="s">
        <v>138</v>
      </c>
    </row>
    <row r="6458" customFormat="false" ht="15" hidden="false" customHeight="false" outlineLevel="0" collapsed="false">
      <c r="A6458" s="62" t="n">
        <v>1</v>
      </c>
      <c r="B6458" s="62" t="s">
        <v>387</v>
      </c>
      <c r="C6458" s="62" t="s">
        <v>60</v>
      </c>
      <c r="D6458" s="62" t="s">
        <v>72</v>
      </c>
      <c r="E6458" s="62" t="s">
        <v>382</v>
      </c>
      <c r="F6458" s="63" t="s">
        <v>655</v>
      </c>
      <c r="G6458" s="64" t="n">
        <v>73742420.4762369</v>
      </c>
      <c r="H6458" s="62" t="s">
        <v>138</v>
      </c>
    </row>
    <row r="6459" customFormat="false" ht="15" hidden="false" customHeight="false" outlineLevel="0" collapsed="false">
      <c r="A6459" s="62" t="n">
        <v>1</v>
      </c>
      <c r="B6459" s="62" t="s">
        <v>388</v>
      </c>
      <c r="C6459" s="62" t="s">
        <v>60</v>
      </c>
      <c r="D6459" s="62" t="s">
        <v>72</v>
      </c>
      <c r="E6459" s="62" t="s">
        <v>382</v>
      </c>
      <c r="F6459" s="63" t="s">
        <v>655</v>
      </c>
      <c r="G6459" s="64" t="n">
        <v>38783269.4576908</v>
      </c>
      <c r="H6459" s="62" t="s">
        <v>138</v>
      </c>
    </row>
    <row r="6460" customFormat="false" ht="15" hidden="false" customHeight="false" outlineLevel="0" collapsed="false">
      <c r="A6460" s="62" t="n">
        <v>1</v>
      </c>
      <c r="B6460" s="62" t="s">
        <v>381</v>
      </c>
      <c r="C6460" s="62" t="s">
        <v>60</v>
      </c>
      <c r="D6460" s="62" t="s">
        <v>72</v>
      </c>
      <c r="E6460" s="62" t="s">
        <v>382</v>
      </c>
      <c r="F6460" s="63" t="s">
        <v>656</v>
      </c>
      <c r="G6460" s="64" t="s">
        <v>57</v>
      </c>
      <c r="H6460" s="62" t="s">
        <v>138</v>
      </c>
    </row>
    <row r="6461" customFormat="false" ht="15" hidden="false" customHeight="false" outlineLevel="0" collapsed="false">
      <c r="A6461" s="62" t="n">
        <v>1</v>
      </c>
      <c r="B6461" s="62" t="s">
        <v>383</v>
      </c>
      <c r="C6461" s="62" t="s">
        <v>60</v>
      </c>
      <c r="D6461" s="62" t="s">
        <v>72</v>
      </c>
      <c r="E6461" s="62" t="s">
        <v>382</v>
      </c>
      <c r="F6461" s="63" t="s">
        <v>656</v>
      </c>
      <c r="G6461" s="64" t="s">
        <v>748</v>
      </c>
      <c r="H6461" s="62" t="s">
        <v>138</v>
      </c>
    </row>
    <row r="6462" customFormat="false" ht="15" hidden="false" customHeight="false" outlineLevel="0" collapsed="false">
      <c r="A6462" s="62" t="n">
        <v>1</v>
      </c>
      <c r="B6462" s="62" t="s">
        <v>384</v>
      </c>
      <c r="C6462" s="62" t="s">
        <v>60</v>
      </c>
      <c r="D6462" s="62" t="s">
        <v>72</v>
      </c>
      <c r="E6462" s="62" t="s">
        <v>382</v>
      </c>
      <c r="F6462" s="63" t="s">
        <v>656</v>
      </c>
      <c r="G6462" s="64" t="s">
        <v>748</v>
      </c>
      <c r="H6462" s="62" t="s">
        <v>138</v>
      </c>
    </row>
    <row r="6463" customFormat="false" ht="15" hidden="false" customHeight="false" outlineLevel="0" collapsed="false">
      <c r="A6463" s="62" t="n">
        <v>1</v>
      </c>
      <c r="B6463" s="62" t="s">
        <v>385</v>
      </c>
      <c r="C6463" s="62" t="s">
        <v>60</v>
      </c>
      <c r="D6463" s="62" t="s">
        <v>72</v>
      </c>
      <c r="E6463" s="62" t="s">
        <v>382</v>
      </c>
      <c r="F6463" s="63" t="s">
        <v>656</v>
      </c>
      <c r="G6463" s="64" t="s">
        <v>748</v>
      </c>
      <c r="H6463" s="62" t="s">
        <v>138</v>
      </c>
    </row>
    <row r="6464" customFormat="false" ht="15" hidden="false" customHeight="false" outlineLevel="0" collapsed="false">
      <c r="A6464" s="62" t="n">
        <v>1</v>
      </c>
      <c r="B6464" s="62" t="s">
        <v>386</v>
      </c>
      <c r="C6464" s="62" t="s">
        <v>60</v>
      </c>
      <c r="D6464" s="62" t="s">
        <v>72</v>
      </c>
      <c r="E6464" s="62" t="s">
        <v>382</v>
      </c>
      <c r="F6464" s="63" t="s">
        <v>656</v>
      </c>
      <c r="G6464" s="64" t="s">
        <v>57</v>
      </c>
      <c r="H6464" s="62" t="s">
        <v>138</v>
      </c>
    </row>
    <row r="6465" customFormat="false" ht="15" hidden="false" customHeight="false" outlineLevel="0" collapsed="false">
      <c r="A6465" s="62" t="n">
        <v>1</v>
      </c>
      <c r="B6465" s="62" t="s">
        <v>387</v>
      </c>
      <c r="C6465" s="62" t="s">
        <v>60</v>
      </c>
      <c r="D6465" s="62" t="s">
        <v>72</v>
      </c>
      <c r="E6465" s="62" t="s">
        <v>382</v>
      </c>
      <c r="F6465" s="63" t="s">
        <v>656</v>
      </c>
      <c r="G6465" s="64" t="s">
        <v>749</v>
      </c>
      <c r="H6465" s="62" t="s">
        <v>138</v>
      </c>
    </row>
    <row r="6466" customFormat="false" ht="15" hidden="false" customHeight="false" outlineLevel="0" collapsed="false">
      <c r="A6466" s="62" t="n">
        <v>1</v>
      </c>
      <c r="B6466" s="62" t="s">
        <v>388</v>
      </c>
      <c r="C6466" s="62" t="s">
        <v>60</v>
      </c>
      <c r="D6466" s="62" t="s">
        <v>72</v>
      </c>
      <c r="E6466" s="62" t="s">
        <v>382</v>
      </c>
      <c r="F6466" s="63" t="s">
        <v>656</v>
      </c>
      <c r="G6466" s="64" t="s">
        <v>750</v>
      </c>
      <c r="H6466" s="62" t="s">
        <v>138</v>
      </c>
    </row>
    <row r="6467" customFormat="false" ht="15" hidden="false" customHeight="false" outlineLevel="0" collapsed="false">
      <c r="A6467" s="62" t="n">
        <v>1</v>
      </c>
      <c r="B6467" s="62" t="s">
        <v>381</v>
      </c>
      <c r="C6467" s="62" t="s">
        <v>60</v>
      </c>
      <c r="D6467" s="62" t="s">
        <v>72</v>
      </c>
      <c r="E6467" s="62" t="s">
        <v>382</v>
      </c>
      <c r="F6467" s="63" t="s">
        <v>657</v>
      </c>
      <c r="G6467" s="64" t="n">
        <v>47070324.1479636</v>
      </c>
      <c r="H6467" s="62" t="s">
        <v>138</v>
      </c>
    </row>
    <row r="6468" customFormat="false" ht="15" hidden="false" customHeight="false" outlineLevel="0" collapsed="false">
      <c r="A6468" s="62" t="n">
        <v>1</v>
      </c>
      <c r="B6468" s="62" t="s">
        <v>383</v>
      </c>
      <c r="C6468" s="62" t="s">
        <v>60</v>
      </c>
      <c r="D6468" s="62" t="s">
        <v>72</v>
      </c>
      <c r="E6468" s="62" t="s">
        <v>382</v>
      </c>
      <c r="F6468" s="63" t="s">
        <v>657</v>
      </c>
      <c r="G6468" s="64" t="n">
        <v>56775447.7639547</v>
      </c>
      <c r="H6468" s="62" t="s">
        <v>138</v>
      </c>
    </row>
    <row r="6469" customFormat="false" ht="15" hidden="false" customHeight="false" outlineLevel="0" collapsed="false">
      <c r="A6469" s="62" t="n">
        <v>1</v>
      </c>
      <c r="B6469" s="62" t="s">
        <v>384</v>
      </c>
      <c r="C6469" s="62" t="s">
        <v>60</v>
      </c>
      <c r="D6469" s="62" t="s">
        <v>72</v>
      </c>
      <c r="E6469" s="62" t="s">
        <v>382</v>
      </c>
      <c r="F6469" s="63" t="s">
        <v>657</v>
      </c>
      <c r="G6469" s="64" t="n">
        <v>49342650.4601956</v>
      </c>
      <c r="H6469" s="62" t="s">
        <v>138</v>
      </c>
    </row>
    <row r="6470" customFormat="false" ht="15" hidden="false" customHeight="false" outlineLevel="0" collapsed="false">
      <c r="A6470" s="62" t="n">
        <v>1</v>
      </c>
      <c r="B6470" s="62" t="s">
        <v>385</v>
      </c>
      <c r="C6470" s="62" t="s">
        <v>60</v>
      </c>
      <c r="D6470" s="62" t="s">
        <v>72</v>
      </c>
      <c r="E6470" s="62" t="s">
        <v>382</v>
      </c>
      <c r="F6470" s="63" t="s">
        <v>657</v>
      </c>
      <c r="G6470" s="64" t="n">
        <v>40337937.7336682</v>
      </c>
      <c r="H6470" s="62" t="s">
        <v>138</v>
      </c>
    </row>
    <row r="6471" customFormat="false" ht="15" hidden="false" customHeight="false" outlineLevel="0" collapsed="false">
      <c r="A6471" s="62" t="n">
        <v>1</v>
      </c>
      <c r="B6471" s="62" t="s">
        <v>386</v>
      </c>
      <c r="C6471" s="62" t="s">
        <v>60</v>
      </c>
      <c r="D6471" s="62" t="s">
        <v>72</v>
      </c>
      <c r="E6471" s="62" t="s">
        <v>382</v>
      </c>
      <c r="F6471" s="63" t="s">
        <v>657</v>
      </c>
      <c r="G6471" s="64" t="n">
        <v>47602850.2656092</v>
      </c>
      <c r="H6471" s="62" t="s">
        <v>138</v>
      </c>
    </row>
    <row r="6472" customFormat="false" ht="15" hidden="false" customHeight="false" outlineLevel="0" collapsed="false">
      <c r="A6472" s="62" t="n">
        <v>1</v>
      </c>
      <c r="B6472" s="62" t="s">
        <v>387</v>
      </c>
      <c r="C6472" s="62" t="s">
        <v>60</v>
      </c>
      <c r="D6472" s="62" t="s">
        <v>72</v>
      </c>
      <c r="E6472" s="62" t="s">
        <v>382</v>
      </c>
      <c r="F6472" s="63" t="s">
        <v>657</v>
      </c>
      <c r="G6472" s="64" t="n">
        <v>50616552.7880302</v>
      </c>
      <c r="H6472" s="62" t="s">
        <v>138</v>
      </c>
    </row>
    <row r="6473" customFormat="false" ht="15" hidden="false" customHeight="false" outlineLevel="0" collapsed="false">
      <c r="A6473" s="62" t="n">
        <v>1</v>
      </c>
      <c r="B6473" s="62" t="s">
        <v>388</v>
      </c>
      <c r="C6473" s="62" t="s">
        <v>60</v>
      </c>
      <c r="D6473" s="62" t="s">
        <v>72</v>
      </c>
      <c r="E6473" s="62" t="s">
        <v>382</v>
      </c>
      <c r="F6473" s="63" t="s">
        <v>657</v>
      </c>
      <c r="G6473" s="64" t="n">
        <v>32890006.5134365</v>
      </c>
      <c r="H6473" s="62" t="s">
        <v>138</v>
      </c>
    </row>
    <row r="6474" customFormat="false" ht="15" hidden="false" customHeight="false" outlineLevel="0" collapsed="false">
      <c r="A6474" s="62" t="n">
        <v>1</v>
      </c>
      <c r="B6474" s="62" t="s">
        <v>381</v>
      </c>
      <c r="C6474" s="62" t="s">
        <v>60</v>
      </c>
      <c r="D6474" s="62" t="s">
        <v>72</v>
      </c>
      <c r="E6474" s="62" t="s">
        <v>382</v>
      </c>
      <c r="F6474" s="63" t="s">
        <v>658</v>
      </c>
      <c r="G6474" s="64" t="n">
        <v>1088285.97939674</v>
      </c>
      <c r="H6474" s="62" t="s">
        <v>138</v>
      </c>
    </row>
    <row r="6475" customFormat="false" ht="15" hidden="false" customHeight="false" outlineLevel="0" collapsed="false">
      <c r="A6475" s="62" t="n">
        <v>1</v>
      </c>
      <c r="B6475" s="62" t="s">
        <v>383</v>
      </c>
      <c r="C6475" s="62" t="s">
        <v>60</v>
      </c>
      <c r="D6475" s="62" t="s">
        <v>72</v>
      </c>
      <c r="E6475" s="62" t="s">
        <v>382</v>
      </c>
      <c r="F6475" s="63" t="s">
        <v>658</v>
      </c>
      <c r="G6475" s="64" t="n">
        <v>6529568.8308231</v>
      </c>
      <c r="H6475" s="62" t="s">
        <v>138</v>
      </c>
    </row>
    <row r="6476" customFormat="false" ht="15" hidden="false" customHeight="false" outlineLevel="0" collapsed="false">
      <c r="A6476" s="62" t="n">
        <v>1</v>
      </c>
      <c r="B6476" s="62" t="s">
        <v>384</v>
      </c>
      <c r="C6476" s="62" t="s">
        <v>60</v>
      </c>
      <c r="D6476" s="62" t="s">
        <v>72</v>
      </c>
      <c r="E6476" s="62" t="s">
        <v>382</v>
      </c>
      <c r="F6476" s="63" t="s">
        <v>658</v>
      </c>
      <c r="G6476" s="64" t="n">
        <v>4285328.44515603</v>
      </c>
      <c r="H6476" s="62" t="s">
        <v>138</v>
      </c>
    </row>
    <row r="6477" customFormat="false" ht="15" hidden="false" customHeight="false" outlineLevel="0" collapsed="false">
      <c r="A6477" s="62" t="n">
        <v>1</v>
      </c>
      <c r="B6477" s="62" t="s">
        <v>385</v>
      </c>
      <c r="C6477" s="62" t="s">
        <v>60</v>
      </c>
      <c r="D6477" s="62" t="s">
        <v>72</v>
      </c>
      <c r="E6477" s="62" t="s">
        <v>382</v>
      </c>
      <c r="F6477" s="63" t="s">
        <v>658</v>
      </c>
      <c r="G6477" s="64" t="n">
        <v>5645546.48123295</v>
      </c>
      <c r="H6477" s="62" t="s">
        <v>138</v>
      </c>
    </row>
    <row r="6478" customFormat="false" ht="15" hidden="false" customHeight="false" outlineLevel="0" collapsed="false">
      <c r="A6478" s="62" t="n">
        <v>1</v>
      </c>
      <c r="B6478" s="62" t="s">
        <v>386</v>
      </c>
      <c r="C6478" s="62" t="s">
        <v>60</v>
      </c>
      <c r="D6478" s="62" t="s">
        <v>72</v>
      </c>
      <c r="E6478" s="62" t="s">
        <v>382</v>
      </c>
      <c r="F6478" s="63" t="s">
        <v>658</v>
      </c>
      <c r="G6478" s="64" t="n">
        <v>8483465.05750508</v>
      </c>
      <c r="H6478" s="62" t="s">
        <v>138</v>
      </c>
    </row>
    <row r="6479" customFormat="false" ht="15" hidden="false" customHeight="false" outlineLevel="0" collapsed="false">
      <c r="A6479" s="62" t="n">
        <v>1</v>
      </c>
      <c r="B6479" s="62" t="s">
        <v>387</v>
      </c>
      <c r="C6479" s="62" t="s">
        <v>60</v>
      </c>
      <c r="D6479" s="62" t="s">
        <v>72</v>
      </c>
      <c r="E6479" s="62" t="s">
        <v>382</v>
      </c>
      <c r="F6479" s="63" t="s">
        <v>658</v>
      </c>
      <c r="G6479" s="64" t="n">
        <v>1456692.1229635</v>
      </c>
      <c r="H6479" s="62" t="s">
        <v>138</v>
      </c>
    </row>
    <row r="6480" customFormat="false" ht="15" hidden="false" customHeight="false" outlineLevel="0" collapsed="false">
      <c r="A6480" s="62" t="n">
        <v>1</v>
      </c>
      <c r="B6480" s="62" t="s">
        <v>388</v>
      </c>
      <c r="C6480" s="62" t="s">
        <v>60</v>
      </c>
      <c r="D6480" s="62" t="s">
        <v>72</v>
      </c>
      <c r="E6480" s="62" t="s">
        <v>382</v>
      </c>
      <c r="F6480" s="63" t="s">
        <v>658</v>
      </c>
      <c r="G6480" s="64" t="n">
        <v>5653981.2544543</v>
      </c>
      <c r="H6480" s="62" t="s">
        <v>138</v>
      </c>
    </row>
    <row r="6481" customFormat="false" ht="15" hidden="false" customHeight="false" outlineLevel="0" collapsed="false">
      <c r="A6481" s="62" t="n">
        <v>1</v>
      </c>
      <c r="B6481" s="62" t="s">
        <v>381</v>
      </c>
      <c r="C6481" s="62" t="s">
        <v>60</v>
      </c>
      <c r="D6481" s="62" t="s">
        <v>72</v>
      </c>
      <c r="E6481" s="62" t="s">
        <v>382</v>
      </c>
      <c r="F6481" s="63" t="s">
        <v>659</v>
      </c>
      <c r="G6481" s="64" t="n">
        <v>-9350905.6155085</v>
      </c>
      <c r="H6481" s="62" t="s">
        <v>138</v>
      </c>
    </row>
    <row r="6482" customFormat="false" ht="15" hidden="false" customHeight="false" outlineLevel="0" collapsed="false">
      <c r="A6482" s="62" t="n">
        <v>1</v>
      </c>
      <c r="B6482" s="62" t="s">
        <v>383</v>
      </c>
      <c r="C6482" s="62" t="s">
        <v>60</v>
      </c>
      <c r="D6482" s="62" t="s">
        <v>72</v>
      </c>
      <c r="E6482" s="62" t="s">
        <v>382</v>
      </c>
      <c r="F6482" s="63" t="s">
        <v>659</v>
      </c>
      <c r="G6482" s="64" t="n">
        <v>-7679643.42069433</v>
      </c>
      <c r="H6482" s="62" t="s">
        <v>138</v>
      </c>
    </row>
    <row r="6483" customFormat="false" ht="15" hidden="false" customHeight="false" outlineLevel="0" collapsed="false">
      <c r="A6483" s="62" t="n">
        <v>1</v>
      </c>
      <c r="B6483" s="62" t="s">
        <v>384</v>
      </c>
      <c r="C6483" s="62" t="s">
        <v>60</v>
      </c>
      <c r="D6483" s="62" t="s">
        <v>72</v>
      </c>
      <c r="E6483" s="62" t="s">
        <v>382</v>
      </c>
      <c r="F6483" s="63" t="s">
        <v>659</v>
      </c>
      <c r="G6483" s="64" t="n">
        <v>-6204191.62182067</v>
      </c>
      <c r="H6483" s="62" t="s">
        <v>138</v>
      </c>
    </row>
    <row r="6484" customFormat="false" ht="15" hidden="false" customHeight="false" outlineLevel="0" collapsed="false">
      <c r="A6484" s="62" t="n">
        <v>1</v>
      </c>
      <c r="B6484" s="62" t="s">
        <v>385</v>
      </c>
      <c r="C6484" s="62" t="s">
        <v>60</v>
      </c>
      <c r="D6484" s="62" t="s">
        <v>72</v>
      </c>
      <c r="E6484" s="62" t="s">
        <v>382</v>
      </c>
      <c r="F6484" s="63" t="s">
        <v>659</v>
      </c>
      <c r="G6484" s="64" t="n">
        <v>-9559270.69901834</v>
      </c>
      <c r="H6484" s="62" t="s">
        <v>138</v>
      </c>
    </row>
    <row r="6485" customFormat="false" ht="15" hidden="false" customHeight="false" outlineLevel="0" collapsed="false">
      <c r="A6485" s="62" t="n">
        <v>1</v>
      </c>
      <c r="B6485" s="62" t="s">
        <v>386</v>
      </c>
      <c r="C6485" s="62" t="s">
        <v>60</v>
      </c>
      <c r="D6485" s="62" t="s">
        <v>72</v>
      </c>
      <c r="E6485" s="62" t="s">
        <v>382</v>
      </c>
      <c r="F6485" s="63" t="s">
        <v>659</v>
      </c>
      <c r="G6485" s="64" t="n">
        <v>-10880182.4506776</v>
      </c>
      <c r="H6485" s="62" t="s">
        <v>138</v>
      </c>
    </row>
    <row r="6486" customFormat="false" ht="15" hidden="false" customHeight="false" outlineLevel="0" collapsed="false">
      <c r="A6486" s="62" t="n">
        <v>1</v>
      </c>
      <c r="B6486" s="62" t="s">
        <v>387</v>
      </c>
      <c r="C6486" s="62" t="s">
        <v>60</v>
      </c>
      <c r="D6486" s="62" t="s">
        <v>72</v>
      </c>
      <c r="E6486" s="62" t="s">
        <v>382</v>
      </c>
      <c r="F6486" s="63" t="s">
        <v>659</v>
      </c>
      <c r="G6486" s="64" t="n">
        <v>400000</v>
      </c>
      <c r="H6486" s="62" t="s">
        <v>138</v>
      </c>
    </row>
    <row r="6487" customFormat="false" ht="15" hidden="false" customHeight="false" outlineLevel="0" collapsed="false">
      <c r="A6487" s="62" t="n">
        <v>1</v>
      </c>
      <c r="B6487" s="62" t="s">
        <v>388</v>
      </c>
      <c r="C6487" s="62" t="s">
        <v>60</v>
      </c>
      <c r="D6487" s="62" t="s">
        <v>72</v>
      </c>
      <c r="E6487" s="62" t="s">
        <v>382</v>
      </c>
      <c r="F6487" s="63" t="s">
        <v>659</v>
      </c>
      <c r="G6487" s="64" t="n">
        <v>-6957895.26205261</v>
      </c>
      <c r="H6487" s="62" t="s">
        <v>138</v>
      </c>
    </row>
    <row r="6488" customFormat="false" ht="15" hidden="false" customHeight="false" outlineLevel="0" collapsed="false">
      <c r="A6488" s="62" t="n">
        <v>1</v>
      </c>
      <c r="B6488" s="62" t="s">
        <v>381</v>
      </c>
      <c r="C6488" s="62" t="s">
        <v>60</v>
      </c>
      <c r="D6488" s="62" t="s">
        <v>72</v>
      </c>
      <c r="E6488" s="62" t="s">
        <v>382</v>
      </c>
      <c r="F6488" s="63" t="s">
        <v>660</v>
      </c>
      <c r="G6488" s="64" t="n">
        <v>38807704.5118518</v>
      </c>
      <c r="H6488" s="62" t="s">
        <v>138</v>
      </c>
    </row>
    <row r="6489" customFormat="false" ht="15" hidden="false" customHeight="false" outlineLevel="0" collapsed="false">
      <c r="A6489" s="62" t="n">
        <v>1</v>
      </c>
      <c r="B6489" s="62" t="s">
        <v>383</v>
      </c>
      <c r="C6489" s="62" t="s">
        <v>60</v>
      </c>
      <c r="D6489" s="62" t="s">
        <v>72</v>
      </c>
      <c r="E6489" s="62" t="s">
        <v>382</v>
      </c>
      <c r="F6489" s="63" t="s">
        <v>660</v>
      </c>
      <c r="G6489" s="64" t="n">
        <v>55625373.1740834</v>
      </c>
      <c r="H6489" s="62" t="s">
        <v>138</v>
      </c>
    </row>
    <row r="6490" customFormat="false" ht="15" hidden="false" customHeight="false" outlineLevel="0" collapsed="false">
      <c r="A6490" s="62" t="n">
        <v>1</v>
      </c>
      <c r="B6490" s="62" t="s">
        <v>384</v>
      </c>
      <c r="C6490" s="62" t="s">
        <v>60</v>
      </c>
      <c r="D6490" s="62" t="s">
        <v>72</v>
      </c>
      <c r="E6490" s="62" t="s">
        <v>382</v>
      </c>
      <c r="F6490" s="63" t="s">
        <v>660</v>
      </c>
      <c r="G6490" s="64" t="n">
        <v>47423787.283531</v>
      </c>
      <c r="H6490" s="62" t="s">
        <v>138</v>
      </c>
    </row>
    <row r="6491" customFormat="false" ht="15" hidden="false" customHeight="false" outlineLevel="0" collapsed="false">
      <c r="A6491" s="62" t="n">
        <v>1</v>
      </c>
      <c r="B6491" s="62" t="s">
        <v>385</v>
      </c>
      <c r="C6491" s="62" t="s">
        <v>60</v>
      </c>
      <c r="D6491" s="62" t="s">
        <v>72</v>
      </c>
      <c r="E6491" s="62" t="s">
        <v>382</v>
      </c>
      <c r="F6491" s="63" t="s">
        <v>660</v>
      </c>
      <c r="G6491" s="64" t="n">
        <v>36424213.5158828</v>
      </c>
      <c r="H6491" s="62" t="s">
        <v>138</v>
      </c>
    </row>
    <row r="6492" customFormat="false" ht="15" hidden="false" customHeight="false" outlineLevel="0" collapsed="false">
      <c r="A6492" s="62" t="n">
        <v>1</v>
      </c>
      <c r="B6492" s="62" t="s">
        <v>386</v>
      </c>
      <c r="C6492" s="62" t="s">
        <v>60</v>
      </c>
      <c r="D6492" s="62" t="s">
        <v>72</v>
      </c>
      <c r="E6492" s="62" t="s">
        <v>382</v>
      </c>
      <c r="F6492" s="63" t="s">
        <v>660</v>
      </c>
      <c r="G6492" s="64" t="n">
        <v>45206132.8724367</v>
      </c>
      <c r="H6492" s="62" t="s">
        <v>138</v>
      </c>
    </row>
    <row r="6493" customFormat="false" ht="15" hidden="false" customHeight="false" outlineLevel="0" collapsed="false">
      <c r="A6493" s="62" t="n">
        <v>1</v>
      </c>
      <c r="B6493" s="62" t="s">
        <v>387</v>
      </c>
      <c r="C6493" s="62" t="s">
        <v>60</v>
      </c>
      <c r="D6493" s="62" t="s">
        <v>72</v>
      </c>
      <c r="E6493" s="62" t="s">
        <v>382</v>
      </c>
      <c r="F6493" s="63" t="s">
        <v>660</v>
      </c>
      <c r="G6493" s="64" t="n">
        <v>52473244.9109937</v>
      </c>
      <c r="H6493" s="62" t="s">
        <v>138</v>
      </c>
    </row>
    <row r="6494" customFormat="false" ht="15" hidden="false" customHeight="false" outlineLevel="0" collapsed="false">
      <c r="A6494" s="62" t="n">
        <v>1</v>
      </c>
      <c r="B6494" s="62" t="s">
        <v>388</v>
      </c>
      <c r="C6494" s="62" t="s">
        <v>60</v>
      </c>
      <c r="D6494" s="62" t="s">
        <v>72</v>
      </c>
      <c r="E6494" s="62" t="s">
        <v>382</v>
      </c>
      <c r="F6494" s="63" t="s">
        <v>660</v>
      </c>
      <c r="G6494" s="64" t="n">
        <v>31586092.5058382</v>
      </c>
      <c r="H6494" s="62" t="s">
        <v>138</v>
      </c>
    </row>
    <row r="6495" customFormat="false" ht="15" hidden="false" customHeight="false" outlineLevel="0" collapsed="false">
      <c r="A6495" s="62" t="n">
        <v>1</v>
      </c>
      <c r="B6495" s="62" t="s">
        <v>381</v>
      </c>
      <c r="C6495" s="62" t="s">
        <v>60</v>
      </c>
      <c r="D6495" s="62" t="s">
        <v>72</v>
      </c>
      <c r="E6495" s="62" t="s">
        <v>382</v>
      </c>
      <c r="F6495" s="63" t="s">
        <v>661</v>
      </c>
      <c r="G6495" s="64" t="n">
        <v>25079313.8637447</v>
      </c>
      <c r="H6495" s="62" t="s">
        <v>138</v>
      </c>
    </row>
    <row r="6496" customFormat="false" ht="15" hidden="false" customHeight="false" outlineLevel="0" collapsed="false">
      <c r="A6496" s="62" t="n">
        <v>1</v>
      </c>
      <c r="B6496" s="62" t="s">
        <v>383</v>
      </c>
      <c r="C6496" s="62" t="s">
        <v>60</v>
      </c>
      <c r="D6496" s="62" t="s">
        <v>72</v>
      </c>
      <c r="E6496" s="62" t="s">
        <v>382</v>
      </c>
      <c r="F6496" s="63" t="s">
        <v>661</v>
      </c>
      <c r="G6496" s="64" t="n">
        <v>24873224.5053945</v>
      </c>
      <c r="H6496" s="62" t="s">
        <v>138</v>
      </c>
    </row>
    <row r="6497" customFormat="false" ht="15" hidden="false" customHeight="false" outlineLevel="0" collapsed="false">
      <c r="A6497" s="62" t="n">
        <v>1</v>
      </c>
      <c r="B6497" s="62" t="s">
        <v>384</v>
      </c>
      <c r="C6497" s="62" t="s">
        <v>60</v>
      </c>
      <c r="D6497" s="62" t="s">
        <v>72</v>
      </c>
      <c r="E6497" s="62" t="s">
        <v>382</v>
      </c>
      <c r="F6497" s="63" t="s">
        <v>661</v>
      </c>
      <c r="G6497" s="64" t="n">
        <v>21628837.1189364</v>
      </c>
      <c r="H6497" s="62" t="s">
        <v>138</v>
      </c>
    </row>
    <row r="6498" customFormat="false" ht="15" hidden="false" customHeight="false" outlineLevel="0" collapsed="false">
      <c r="A6498" s="62" t="n">
        <v>1</v>
      </c>
      <c r="B6498" s="62" t="s">
        <v>385</v>
      </c>
      <c r="C6498" s="62" t="s">
        <v>60</v>
      </c>
      <c r="D6498" s="62" t="s">
        <v>72</v>
      </c>
      <c r="E6498" s="62" t="s">
        <v>382</v>
      </c>
      <c r="F6498" s="63" t="s">
        <v>661</v>
      </c>
      <c r="G6498" s="64" t="n">
        <v>20778584.3696174</v>
      </c>
      <c r="H6498" s="62" t="s">
        <v>138</v>
      </c>
    </row>
    <row r="6499" customFormat="false" ht="15" hidden="false" customHeight="false" outlineLevel="0" collapsed="false">
      <c r="A6499" s="62" t="n">
        <v>1</v>
      </c>
      <c r="B6499" s="62" t="s">
        <v>386</v>
      </c>
      <c r="C6499" s="62" t="s">
        <v>60</v>
      </c>
      <c r="D6499" s="62" t="s">
        <v>72</v>
      </c>
      <c r="E6499" s="62" t="s">
        <v>382</v>
      </c>
      <c r="F6499" s="63" t="s">
        <v>661</v>
      </c>
      <c r="G6499" s="64" t="n">
        <v>21520309.2105554</v>
      </c>
      <c r="H6499" s="62" t="s">
        <v>138</v>
      </c>
    </row>
    <row r="6500" customFormat="false" ht="15" hidden="false" customHeight="false" outlineLevel="0" collapsed="false">
      <c r="A6500" s="62" t="n">
        <v>1</v>
      </c>
      <c r="B6500" s="62" t="s">
        <v>387</v>
      </c>
      <c r="C6500" s="62" t="s">
        <v>60</v>
      </c>
      <c r="D6500" s="62" t="s">
        <v>72</v>
      </c>
      <c r="E6500" s="62" t="s">
        <v>382</v>
      </c>
      <c r="F6500" s="63" t="s">
        <v>661</v>
      </c>
      <c r="G6500" s="64" t="n">
        <v>23577444.7273919</v>
      </c>
      <c r="H6500" s="62" t="s">
        <v>138</v>
      </c>
    </row>
    <row r="6501" customFormat="false" ht="15" hidden="false" customHeight="false" outlineLevel="0" collapsed="false">
      <c r="A6501" s="62" t="n">
        <v>1</v>
      </c>
      <c r="B6501" s="62" t="s">
        <v>388</v>
      </c>
      <c r="C6501" s="62" t="s">
        <v>60</v>
      </c>
      <c r="D6501" s="62" t="s">
        <v>72</v>
      </c>
      <c r="E6501" s="62" t="s">
        <v>382</v>
      </c>
      <c r="F6501" s="63" t="s">
        <v>661</v>
      </c>
      <c r="G6501" s="64" t="n">
        <v>21895293.9605554</v>
      </c>
      <c r="H6501" s="62" t="s">
        <v>138</v>
      </c>
    </row>
    <row r="6502" customFormat="false" ht="15" hidden="false" customHeight="false" outlineLevel="0" collapsed="false">
      <c r="A6502" s="62" t="n">
        <v>1</v>
      </c>
      <c r="B6502" s="62" t="s">
        <v>381</v>
      </c>
      <c r="C6502" s="62" t="s">
        <v>60</v>
      </c>
      <c r="D6502" s="62" t="s">
        <v>72</v>
      </c>
      <c r="E6502" s="62" t="s">
        <v>382</v>
      </c>
      <c r="F6502" s="63" t="s">
        <v>662</v>
      </c>
      <c r="G6502" s="64" t="n">
        <v>13.4766227643917</v>
      </c>
      <c r="H6502" s="62" t="s">
        <v>138</v>
      </c>
    </row>
    <row r="6503" customFormat="false" ht="15" hidden="false" customHeight="false" outlineLevel="0" collapsed="false">
      <c r="A6503" s="62" t="n">
        <v>1</v>
      </c>
      <c r="B6503" s="62" t="s">
        <v>383</v>
      </c>
      <c r="C6503" s="62" t="s">
        <v>60</v>
      </c>
      <c r="D6503" s="62" t="s">
        <v>72</v>
      </c>
      <c r="E6503" s="62" t="s">
        <v>382</v>
      </c>
      <c r="F6503" s="63" t="s">
        <v>662</v>
      </c>
      <c r="G6503" s="64" t="n">
        <v>15.4225603166691</v>
      </c>
      <c r="H6503" s="62" t="s">
        <v>138</v>
      </c>
    </row>
    <row r="6504" customFormat="false" ht="15" hidden="false" customHeight="false" outlineLevel="0" collapsed="false">
      <c r="A6504" s="62" t="n">
        <v>1</v>
      </c>
      <c r="B6504" s="62" t="s">
        <v>384</v>
      </c>
      <c r="C6504" s="62" t="s">
        <v>60</v>
      </c>
      <c r="D6504" s="62" t="s">
        <v>72</v>
      </c>
      <c r="E6504" s="62" t="s">
        <v>382</v>
      </c>
      <c r="F6504" s="63" t="s">
        <v>662</v>
      </c>
      <c r="G6504" s="64" t="n">
        <v>16.8680009814184</v>
      </c>
      <c r="H6504" s="62" t="s">
        <v>138</v>
      </c>
    </row>
    <row r="6505" customFormat="false" ht="15" hidden="false" customHeight="false" outlineLevel="0" collapsed="false">
      <c r="A6505" s="62" t="n">
        <v>1</v>
      </c>
      <c r="B6505" s="62" t="s">
        <v>385</v>
      </c>
      <c r="C6505" s="62" t="s">
        <v>60</v>
      </c>
      <c r="D6505" s="62" t="s">
        <v>72</v>
      </c>
      <c r="E6505" s="62" t="s">
        <v>382</v>
      </c>
      <c r="F6505" s="63" t="s">
        <v>662</v>
      </c>
      <c r="G6505" s="64" t="n">
        <v>14.3032396053643</v>
      </c>
      <c r="H6505" s="62" t="s">
        <v>138</v>
      </c>
    </row>
    <row r="6506" customFormat="false" ht="15" hidden="false" customHeight="false" outlineLevel="0" collapsed="false">
      <c r="A6506" s="62" t="n">
        <v>1</v>
      </c>
      <c r="B6506" s="62" t="s">
        <v>386</v>
      </c>
      <c r="C6506" s="62" t="s">
        <v>60</v>
      </c>
      <c r="D6506" s="62" t="s">
        <v>72</v>
      </c>
      <c r="E6506" s="62" t="s">
        <v>382</v>
      </c>
      <c r="F6506" s="63" t="s">
        <v>662</v>
      </c>
      <c r="G6506" s="64" t="n">
        <v>16.4281926575456</v>
      </c>
      <c r="H6506" s="62" t="s">
        <v>138</v>
      </c>
    </row>
    <row r="6507" customFormat="false" ht="15" hidden="false" customHeight="false" outlineLevel="0" collapsed="false">
      <c r="A6507" s="62" t="n">
        <v>1</v>
      </c>
      <c r="B6507" s="62" t="s">
        <v>387</v>
      </c>
      <c r="C6507" s="62" t="s">
        <v>60</v>
      </c>
      <c r="D6507" s="62" t="s">
        <v>72</v>
      </c>
      <c r="E6507" s="62" t="s">
        <v>382</v>
      </c>
      <c r="F6507" s="63" t="s">
        <v>662</v>
      </c>
      <c r="G6507" s="64" t="n">
        <v>13.9337529553649</v>
      </c>
      <c r="H6507" s="62" t="s">
        <v>138</v>
      </c>
    </row>
    <row r="6508" customFormat="false" ht="15" hidden="false" customHeight="false" outlineLevel="0" collapsed="false">
      <c r="A6508" s="62" t="n">
        <v>1</v>
      </c>
      <c r="B6508" s="62" t="s">
        <v>388</v>
      </c>
      <c r="C6508" s="62" t="s">
        <v>60</v>
      </c>
      <c r="D6508" s="62" t="s">
        <v>72</v>
      </c>
      <c r="E6508" s="62" t="s">
        <v>382</v>
      </c>
      <c r="F6508" s="63" t="s">
        <v>662</v>
      </c>
      <c r="G6508" s="64" t="n">
        <v>11.2902126727597</v>
      </c>
      <c r="H6508" s="62" t="s">
        <v>138</v>
      </c>
    </row>
    <row r="6509" customFormat="false" ht="15" hidden="false" customHeight="false" outlineLevel="0" collapsed="false">
      <c r="A6509" s="62" t="n">
        <v>1</v>
      </c>
      <c r="B6509" s="62" t="s">
        <v>381</v>
      </c>
      <c r="C6509" s="62" t="s">
        <v>60</v>
      </c>
      <c r="D6509" s="62" t="s">
        <v>72</v>
      </c>
      <c r="E6509" s="62" t="s">
        <v>382</v>
      </c>
      <c r="F6509" s="63" t="s">
        <v>663</v>
      </c>
      <c r="G6509" s="64" t="n">
        <v>596134.833000657</v>
      </c>
      <c r="H6509" s="62" t="s">
        <v>138</v>
      </c>
    </row>
    <row r="6510" customFormat="false" ht="15" hidden="false" customHeight="false" outlineLevel="0" collapsed="false">
      <c r="A6510" s="62" t="n">
        <v>1</v>
      </c>
      <c r="B6510" s="62" t="s">
        <v>383</v>
      </c>
      <c r="C6510" s="62" t="s">
        <v>60</v>
      </c>
      <c r="D6510" s="62" t="s">
        <v>72</v>
      </c>
      <c r="E6510" s="62" t="s">
        <v>382</v>
      </c>
      <c r="F6510" s="63" t="s">
        <v>663</v>
      </c>
      <c r="G6510" s="64" t="n">
        <v>758103.912023416</v>
      </c>
      <c r="H6510" s="62" t="s">
        <v>138</v>
      </c>
    </row>
    <row r="6511" customFormat="false" ht="15" hidden="false" customHeight="false" outlineLevel="0" collapsed="false">
      <c r="A6511" s="62" t="n">
        <v>1</v>
      </c>
      <c r="B6511" s="62" t="s">
        <v>384</v>
      </c>
      <c r="C6511" s="62" t="s">
        <v>60</v>
      </c>
      <c r="D6511" s="62" t="s">
        <v>72</v>
      </c>
      <c r="E6511" s="62" t="s">
        <v>382</v>
      </c>
      <c r="F6511" s="63" t="s">
        <v>663</v>
      </c>
      <c r="G6511" s="64" t="n">
        <v>306344.558300882</v>
      </c>
      <c r="H6511" s="62" t="s">
        <v>138</v>
      </c>
    </row>
    <row r="6512" customFormat="false" ht="15" hidden="false" customHeight="false" outlineLevel="0" collapsed="false">
      <c r="A6512" s="62" t="n">
        <v>1</v>
      </c>
      <c r="B6512" s="62" t="s">
        <v>385</v>
      </c>
      <c r="C6512" s="62" t="s">
        <v>60</v>
      </c>
      <c r="D6512" s="62" t="s">
        <v>72</v>
      </c>
      <c r="E6512" s="62" t="s">
        <v>382</v>
      </c>
      <c r="F6512" s="63" t="s">
        <v>663</v>
      </c>
      <c r="G6512" s="64" t="n">
        <v>381768.087080056</v>
      </c>
      <c r="H6512" s="62" t="s">
        <v>138</v>
      </c>
    </row>
    <row r="6513" customFormat="false" ht="15" hidden="false" customHeight="false" outlineLevel="0" collapsed="false">
      <c r="A6513" s="62" t="n">
        <v>1</v>
      </c>
      <c r="B6513" s="62" t="s">
        <v>386</v>
      </c>
      <c r="C6513" s="62" t="s">
        <v>60</v>
      </c>
      <c r="D6513" s="62" t="s">
        <v>72</v>
      </c>
      <c r="E6513" s="62" t="s">
        <v>382</v>
      </c>
      <c r="F6513" s="63" t="s">
        <v>663</v>
      </c>
      <c r="G6513" s="64" t="n">
        <v>513152.373937286</v>
      </c>
      <c r="H6513" s="62" t="s">
        <v>138</v>
      </c>
    </row>
    <row r="6514" customFormat="false" ht="15" hidden="false" customHeight="false" outlineLevel="0" collapsed="false">
      <c r="A6514" s="62" t="n">
        <v>1</v>
      </c>
      <c r="B6514" s="62" t="s">
        <v>387</v>
      </c>
      <c r="C6514" s="62" t="s">
        <v>60</v>
      </c>
      <c r="D6514" s="62" t="s">
        <v>72</v>
      </c>
      <c r="E6514" s="62" t="s">
        <v>382</v>
      </c>
      <c r="F6514" s="63" t="s">
        <v>663</v>
      </c>
      <c r="G6514" s="64" t="n">
        <v>889939.296203688</v>
      </c>
      <c r="H6514" s="62" t="s">
        <v>138</v>
      </c>
    </row>
    <row r="6515" customFormat="false" ht="15" hidden="false" customHeight="false" outlineLevel="0" collapsed="false">
      <c r="A6515" s="62" t="n">
        <v>1</v>
      </c>
      <c r="B6515" s="62" t="s">
        <v>388</v>
      </c>
      <c r="C6515" s="62" t="s">
        <v>60</v>
      </c>
      <c r="D6515" s="62" t="s">
        <v>72</v>
      </c>
      <c r="E6515" s="62" t="s">
        <v>382</v>
      </c>
      <c r="F6515" s="63" t="s">
        <v>663</v>
      </c>
      <c r="G6515" s="64" t="n">
        <v>875479.463899479</v>
      </c>
      <c r="H6515" s="62" t="s">
        <v>138</v>
      </c>
    </row>
    <row r="6516" customFormat="false" ht="15" hidden="false" customHeight="false" outlineLevel="0" collapsed="false">
      <c r="A6516" s="62" t="n">
        <v>1</v>
      </c>
      <c r="B6516" s="62" t="s">
        <v>381</v>
      </c>
      <c r="C6516" s="62" t="s">
        <v>60</v>
      </c>
      <c r="D6516" s="62" t="s">
        <v>72</v>
      </c>
      <c r="E6516" s="62" t="s">
        <v>382</v>
      </c>
      <c r="F6516" s="63" t="s">
        <v>664</v>
      </c>
      <c r="G6516" s="64" t="n">
        <v>49466747.2994731</v>
      </c>
      <c r="H6516" s="62" t="s">
        <v>138</v>
      </c>
    </row>
    <row r="6517" customFormat="false" ht="15" hidden="false" customHeight="false" outlineLevel="0" collapsed="false">
      <c r="A6517" s="62" t="n">
        <v>1</v>
      </c>
      <c r="B6517" s="62" t="s">
        <v>383</v>
      </c>
      <c r="C6517" s="62" t="s">
        <v>60</v>
      </c>
      <c r="D6517" s="62" t="s">
        <v>72</v>
      </c>
      <c r="E6517" s="62" t="s">
        <v>382</v>
      </c>
      <c r="F6517" s="63" t="s">
        <v>664</v>
      </c>
      <c r="G6517" s="64" t="n">
        <v>60733784.5830264</v>
      </c>
      <c r="H6517" s="62" t="s">
        <v>138</v>
      </c>
    </row>
    <row r="6518" customFormat="false" ht="15" hidden="false" customHeight="false" outlineLevel="0" collapsed="false">
      <c r="A6518" s="62" t="n">
        <v>1</v>
      </c>
      <c r="B6518" s="62" t="s">
        <v>384</v>
      </c>
      <c r="C6518" s="62" t="s">
        <v>60</v>
      </c>
      <c r="D6518" s="62" t="s">
        <v>72</v>
      </c>
      <c r="E6518" s="62" t="s">
        <v>382</v>
      </c>
      <c r="F6518" s="63" t="s">
        <v>664</v>
      </c>
      <c r="G6518" s="64" t="n">
        <v>52876746.840714</v>
      </c>
      <c r="H6518" s="62" t="s">
        <v>138</v>
      </c>
    </row>
    <row r="6519" customFormat="false" ht="15" hidden="false" customHeight="false" outlineLevel="0" collapsed="false">
      <c r="A6519" s="62" t="n">
        <v>1</v>
      </c>
      <c r="B6519" s="62" t="s">
        <v>385</v>
      </c>
      <c r="C6519" s="62" t="s">
        <v>60</v>
      </c>
      <c r="D6519" s="62" t="s">
        <v>72</v>
      </c>
      <c r="E6519" s="62" t="s">
        <v>382</v>
      </c>
      <c r="F6519" s="63" t="s">
        <v>664</v>
      </c>
      <c r="G6519" s="64" t="n">
        <v>43089049.2224698</v>
      </c>
      <c r="H6519" s="62" t="s">
        <v>138</v>
      </c>
    </row>
    <row r="6520" customFormat="false" ht="15" hidden="false" customHeight="false" outlineLevel="0" collapsed="false">
      <c r="A6520" s="62" t="n">
        <v>1</v>
      </c>
      <c r="B6520" s="62" t="s">
        <v>386</v>
      </c>
      <c r="C6520" s="62" t="s">
        <v>60</v>
      </c>
      <c r="D6520" s="62" t="s">
        <v>72</v>
      </c>
      <c r="E6520" s="62" t="s">
        <v>382</v>
      </c>
      <c r="F6520" s="63" t="s">
        <v>664</v>
      </c>
      <c r="G6520" s="64" t="n">
        <v>50277620.6096171</v>
      </c>
      <c r="H6520" s="62" t="s">
        <v>138</v>
      </c>
    </row>
    <row r="6521" customFormat="false" ht="15" hidden="false" customHeight="false" outlineLevel="0" collapsed="false">
      <c r="A6521" s="62" t="n">
        <v>1</v>
      </c>
      <c r="B6521" s="62" t="s">
        <v>387</v>
      </c>
      <c r="C6521" s="62" t="s">
        <v>60</v>
      </c>
      <c r="D6521" s="62" t="s">
        <v>72</v>
      </c>
      <c r="E6521" s="62" t="s">
        <v>382</v>
      </c>
      <c r="F6521" s="63" t="s">
        <v>664</v>
      </c>
      <c r="G6521" s="64" t="n">
        <v>55379223.3663878</v>
      </c>
      <c r="H6521" s="62" t="s">
        <v>138</v>
      </c>
    </row>
    <row r="6522" customFormat="false" ht="15" hidden="false" customHeight="false" outlineLevel="0" collapsed="false">
      <c r="A6522" s="62" t="n">
        <v>1</v>
      </c>
      <c r="B6522" s="62" t="s">
        <v>388</v>
      </c>
      <c r="C6522" s="62" t="s">
        <v>60</v>
      </c>
      <c r="D6522" s="62" t="s">
        <v>72</v>
      </c>
      <c r="E6522" s="62" t="s">
        <v>382</v>
      </c>
      <c r="F6522" s="63" t="s">
        <v>664</v>
      </c>
      <c r="G6522" s="64" t="n">
        <v>33486234.5939017</v>
      </c>
      <c r="H6522" s="62" t="s">
        <v>138</v>
      </c>
    </row>
    <row r="6523" customFormat="false" ht="15" hidden="false" customHeight="false" outlineLevel="0" collapsed="false">
      <c r="A6523" s="62" t="n">
        <v>1</v>
      </c>
      <c r="B6523" s="62" t="s">
        <v>381</v>
      </c>
      <c r="C6523" s="62" t="s">
        <v>60</v>
      </c>
      <c r="D6523" s="62" t="s">
        <v>72</v>
      </c>
      <c r="E6523" s="62" t="s">
        <v>382</v>
      </c>
      <c r="F6523" s="63" t="s">
        <v>665</v>
      </c>
      <c r="G6523" s="64" t="n">
        <v>15595653.1989285</v>
      </c>
      <c r="H6523" s="62" t="s">
        <v>138</v>
      </c>
    </row>
    <row r="6524" customFormat="false" ht="15" hidden="false" customHeight="false" outlineLevel="0" collapsed="false">
      <c r="A6524" s="62" t="n">
        <v>1</v>
      </c>
      <c r="B6524" s="62" t="s">
        <v>383</v>
      </c>
      <c r="C6524" s="62" t="s">
        <v>60</v>
      </c>
      <c r="D6524" s="62" t="s">
        <v>72</v>
      </c>
      <c r="E6524" s="62" t="s">
        <v>382</v>
      </c>
      <c r="F6524" s="63" t="s">
        <v>665</v>
      </c>
      <c r="G6524" s="64" t="n">
        <v>16212410.5869109</v>
      </c>
      <c r="H6524" s="62" t="s">
        <v>138</v>
      </c>
    </row>
    <row r="6525" customFormat="false" ht="15" hidden="false" customHeight="false" outlineLevel="0" collapsed="false">
      <c r="A6525" s="62" t="n">
        <v>1</v>
      </c>
      <c r="B6525" s="62" t="s">
        <v>384</v>
      </c>
      <c r="C6525" s="62" t="s">
        <v>60</v>
      </c>
      <c r="D6525" s="62" t="s">
        <v>72</v>
      </c>
      <c r="E6525" s="62" t="s">
        <v>382</v>
      </c>
      <c r="F6525" s="63" t="s">
        <v>665</v>
      </c>
      <c r="G6525" s="64" t="n">
        <v>13233252.1838384</v>
      </c>
      <c r="H6525" s="62" t="s">
        <v>138</v>
      </c>
    </row>
    <row r="6526" customFormat="false" ht="15" hidden="false" customHeight="false" outlineLevel="0" collapsed="false">
      <c r="A6526" s="62" t="n">
        <v>1</v>
      </c>
      <c r="B6526" s="62" t="s">
        <v>385</v>
      </c>
      <c r="C6526" s="62" t="s">
        <v>60</v>
      </c>
      <c r="D6526" s="62" t="s">
        <v>72</v>
      </c>
      <c r="E6526" s="62" t="s">
        <v>382</v>
      </c>
      <c r="F6526" s="63" t="s">
        <v>665</v>
      </c>
      <c r="G6526" s="64" t="n">
        <v>13140703.1724562</v>
      </c>
      <c r="H6526" s="62" t="s">
        <v>138</v>
      </c>
    </row>
    <row r="6527" customFormat="false" ht="15" hidden="false" customHeight="false" outlineLevel="0" collapsed="false">
      <c r="A6527" s="62" t="n">
        <v>1</v>
      </c>
      <c r="B6527" s="62" t="s">
        <v>386</v>
      </c>
      <c r="C6527" s="62" t="s">
        <v>60</v>
      </c>
      <c r="D6527" s="62" t="s">
        <v>72</v>
      </c>
      <c r="E6527" s="62" t="s">
        <v>382</v>
      </c>
      <c r="F6527" s="63" t="s">
        <v>665</v>
      </c>
      <c r="G6527" s="64" t="n">
        <v>15467936.25</v>
      </c>
      <c r="H6527" s="62" t="s">
        <v>138</v>
      </c>
    </row>
    <row r="6528" customFormat="false" ht="15" hidden="false" customHeight="false" outlineLevel="0" collapsed="false">
      <c r="A6528" s="62" t="n">
        <v>1</v>
      </c>
      <c r="B6528" s="62" t="s">
        <v>387</v>
      </c>
      <c r="C6528" s="62" t="s">
        <v>60</v>
      </c>
      <c r="D6528" s="62" t="s">
        <v>72</v>
      </c>
      <c r="E6528" s="62" t="s">
        <v>382</v>
      </c>
      <c r="F6528" s="63" t="s">
        <v>665</v>
      </c>
      <c r="G6528" s="64" t="n">
        <v>14660461.1143277</v>
      </c>
      <c r="H6528" s="62" t="s">
        <v>138</v>
      </c>
    </row>
    <row r="6529" customFormat="false" ht="15" hidden="false" customHeight="false" outlineLevel="0" collapsed="false">
      <c r="A6529" s="62" t="n">
        <v>1</v>
      </c>
      <c r="B6529" s="62" t="s">
        <v>388</v>
      </c>
      <c r="C6529" s="62" t="s">
        <v>60</v>
      </c>
      <c r="D6529" s="62" t="s">
        <v>72</v>
      </c>
      <c r="E6529" s="62" t="s">
        <v>382</v>
      </c>
      <c r="F6529" s="63" t="s">
        <v>665</v>
      </c>
      <c r="G6529" s="64" t="n">
        <v>15842921</v>
      </c>
      <c r="H6529" s="62" t="s">
        <v>138</v>
      </c>
    </row>
    <row r="6530" customFormat="false" ht="15" hidden="false" customHeight="false" outlineLevel="0" collapsed="false">
      <c r="A6530" s="62" t="n">
        <v>1</v>
      </c>
      <c r="B6530" s="62" t="s">
        <v>381</v>
      </c>
      <c r="C6530" s="62" t="s">
        <v>60</v>
      </c>
      <c r="D6530" s="62" t="s">
        <v>72</v>
      </c>
      <c r="E6530" s="62" t="s">
        <v>382</v>
      </c>
      <c r="F6530" s="63" t="s">
        <v>666</v>
      </c>
      <c r="G6530" s="64" t="n">
        <v>62382612.7957141</v>
      </c>
      <c r="H6530" s="62" t="s">
        <v>138</v>
      </c>
    </row>
    <row r="6531" customFormat="false" ht="15" hidden="false" customHeight="false" outlineLevel="0" collapsed="false">
      <c r="A6531" s="62" t="n">
        <v>1</v>
      </c>
      <c r="B6531" s="62" t="s">
        <v>383</v>
      </c>
      <c r="C6531" s="62" t="s">
        <v>60</v>
      </c>
      <c r="D6531" s="62" t="s">
        <v>72</v>
      </c>
      <c r="E6531" s="62" t="s">
        <v>382</v>
      </c>
      <c r="F6531" s="63" t="s">
        <v>666</v>
      </c>
      <c r="G6531" s="64" t="n">
        <v>64849642.3476438</v>
      </c>
      <c r="H6531" s="62" t="s">
        <v>138</v>
      </c>
    </row>
    <row r="6532" customFormat="false" ht="15" hidden="false" customHeight="false" outlineLevel="0" collapsed="false">
      <c r="A6532" s="62" t="n">
        <v>1</v>
      </c>
      <c r="B6532" s="62" t="s">
        <v>384</v>
      </c>
      <c r="C6532" s="62" t="s">
        <v>60</v>
      </c>
      <c r="D6532" s="62" t="s">
        <v>72</v>
      </c>
      <c r="E6532" s="62" t="s">
        <v>382</v>
      </c>
      <c r="F6532" s="63" t="s">
        <v>666</v>
      </c>
      <c r="G6532" s="64" t="n">
        <v>52933008.7353535</v>
      </c>
      <c r="H6532" s="62" t="s">
        <v>138</v>
      </c>
    </row>
    <row r="6533" customFormat="false" ht="15" hidden="false" customHeight="false" outlineLevel="0" collapsed="false">
      <c r="A6533" s="62" t="n">
        <v>1</v>
      </c>
      <c r="B6533" s="62" t="s">
        <v>385</v>
      </c>
      <c r="C6533" s="62" t="s">
        <v>60</v>
      </c>
      <c r="D6533" s="62" t="s">
        <v>72</v>
      </c>
      <c r="E6533" s="62" t="s">
        <v>382</v>
      </c>
      <c r="F6533" s="63" t="s">
        <v>666</v>
      </c>
      <c r="G6533" s="64" t="n">
        <v>52562812.6898249</v>
      </c>
      <c r="H6533" s="62" t="s">
        <v>138</v>
      </c>
    </row>
    <row r="6534" customFormat="false" ht="15" hidden="false" customHeight="false" outlineLevel="0" collapsed="false">
      <c r="A6534" s="62" t="n">
        <v>1</v>
      </c>
      <c r="B6534" s="62" t="s">
        <v>386</v>
      </c>
      <c r="C6534" s="62" t="s">
        <v>60</v>
      </c>
      <c r="D6534" s="62" t="s">
        <v>72</v>
      </c>
      <c r="E6534" s="62" t="s">
        <v>382</v>
      </c>
      <c r="F6534" s="63" t="s">
        <v>666</v>
      </c>
      <c r="G6534" s="64" t="n">
        <v>61871745</v>
      </c>
      <c r="H6534" s="62" t="s">
        <v>138</v>
      </c>
    </row>
    <row r="6535" customFormat="false" ht="15" hidden="false" customHeight="false" outlineLevel="0" collapsed="false">
      <c r="A6535" s="62" t="n">
        <v>1</v>
      </c>
      <c r="B6535" s="62" t="s">
        <v>387</v>
      </c>
      <c r="C6535" s="62" t="s">
        <v>60</v>
      </c>
      <c r="D6535" s="62" t="s">
        <v>72</v>
      </c>
      <c r="E6535" s="62" t="s">
        <v>382</v>
      </c>
      <c r="F6535" s="63" t="s">
        <v>666</v>
      </c>
      <c r="G6535" s="64" t="n">
        <v>58641844.4573106</v>
      </c>
      <c r="H6535" s="62" t="s">
        <v>138</v>
      </c>
    </row>
    <row r="6536" customFormat="false" ht="15" hidden="false" customHeight="false" outlineLevel="0" collapsed="false">
      <c r="A6536" s="62" t="n">
        <v>1</v>
      </c>
      <c r="B6536" s="62" t="s">
        <v>388</v>
      </c>
      <c r="C6536" s="62" t="s">
        <v>60</v>
      </c>
      <c r="D6536" s="62" t="s">
        <v>72</v>
      </c>
      <c r="E6536" s="62" t="s">
        <v>382</v>
      </c>
      <c r="F6536" s="63" t="s">
        <v>666</v>
      </c>
      <c r="G6536" s="64" t="n">
        <v>63371684</v>
      </c>
      <c r="H6536" s="62" t="s">
        <v>138</v>
      </c>
    </row>
    <row r="6537" customFormat="false" ht="15" hidden="false" customHeight="false" outlineLevel="0" collapsed="false">
      <c r="A6537" s="62" t="n">
        <v>1</v>
      </c>
      <c r="B6537" s="62" t="s">
        <v>381</v>
      </c>
      <c r="C6537" s="62" t="s">
        <v>60</v>
      </c>
      <c r="D6537" s="62" t="s">
        <v>72</v>
      </c>
      <c r="E6537" s="62" t="s">
        <v>382</v>
      </c>
      <c r="F6537" s="63" t="s">
        <v>667</v>
      </c>
      <c r="G6537" s="64" t="n">
        <v>3435528.05244841</v>
      </c>
      <c r="H6537" s="62" t="s">
        <v>138</v>
      </c>
    </row>
    <row r="6538" customFormat="false" ht="15" hidden="false" customHeight="false" outlineLevel="0" collapsed="false">
      <c r="A6538" s="62" t="n">
        <v>1</v>
      </c>
      <c r="B6538" s="62" t="s">
        <v>383</v>
      </c>
      <c r="C6538" s="62" t="s">
        <v>60</v>
      </c>
      <c r="D6538" s="62" t="s">
        <v>72</v>
      </c>
      <c r="E6538" s="62" t="s">
        <v>382</v>
      </c>
      <c r="F6538" s="63" t="s">
        <v>667</v>
      </c>
      <c r="G6538" s="64" t="n">
        <v>3964575.76750945</v>
      </c>
      <c r="H6538" s="62" t="s">
        <v>138</v>
      </c>
    </row>
    <row r="6539" customFormat="false" ht="15" hidden="false" customHeight="false" outlineLevel="0" collapsed="false">
      <c r="A6539" s="62" t="n">
        <v>1</v>
      </c>
      <c r="B6539" s="62" t="s">
        <v>384</v>
      </c>
      <c r="C6539" s="62" t="s">
        <v>60</v>
      </c>
      <c r="D6539" s="62" t="s">
        <v>72</v>
      </c>
      <c r="E6539" s="62" t="s">
        <v>382</v>
      </c>
      <c r="F6539" s="63" t="s">
        <v>667</v>
      </c>
      <c r="G6539" s="64" t="n">
        <v>3553499.95508039</v>
      </c>
      <c r="H6539" s="62" t="s">
        <v>138</v>
      </c>
    </row>
    <row r="6540" customFormat="false" ht="15" hidden="false" customHeight="false" outlineLevel="0" collapsed="false">
      <c r="A6540" s="62" t="n">
        <v>1</v>
      </c>
      <c r="B6540" s="62" t="s">
        <v>385</v>
      </c>
      <c r="C6540" s="62" t="s">
        <v>60</v>
      </c>
      <c r="D6540" s="62" t="s">
        <v>72</v>
      </c>
      <c r="E6540" s="62" t="s">
        <v>382</v>
      </c>
      <c r="F6540" s="63" t="s">
        <v>667</v>
      </c>
      <c r="G6540" s="64" t="n">
        <v>2896162.07738764</v>
      </c>
      <c r="H6540" s="62" t="s">
        <v>138</v>
      </c>
    </row>
    <row r="6541" customFormat="false" ht="15" hidden="false" customHeight="false" outlineLevel="0" collapsed="false">
      <c r="A6541" s="62" t="n">
        <v>1</v>
      </c>
      <c r="B6541" s="62" t="s">
        <v>386</v>
      </c>
      <c r="C6541" s="62" t="s">
        <v>60</v>
      </c>
      <c r="D6541" s="62" t="s">
        <v>72</v>
      </c>
      <c r="E6541" s="62" t="s">
        <v>382</v>
      </c>
      <c r="F6541" s="63" t="s">
        <v>667</v>
      </c>
      <c r="G6541" s="64" t="n">
        <v>3440974.66766974</v>
      </c>
      <c r="H6541" s="62" t="s">
        <v>138</v>
      </c>
    </row>
    <row r="6542" customFormat="false" ht="15" hidden="false" customHeight="false" outlineLevel="0" collapsed="false">
      <c r="A6542" s="62" t="n">
        <v>1</v>
      </c>
      <c r="B6542" s="62" t="s">
        <v>387</v>
      </c>
      <c r="C6542" s="62" t="s">
        <v>60</v>
      </c>
      <c r="D6542" s="62" t="s">
        <v>72</v>
      </c>
      <c r="E6542" s="62" t="s">
        <v>382</v>
      </c>
      <c r="F6542" s="63" t="s">
        <v>667</v>
      </c>
      <c r="G6542" s="64" t="n">
        <v>3312648.82207212</v>
      </c>
      <c r="H6542" s="62" t="s">
        <v>138</v>
      </c>
    </row>
    <row r="6543" customFormat="false" ht="15" hidden="false" customHeight="false" outlineLevel="0" collapsed="false">
      <c r="A6543" s="62" t="n">
        <v>1</v>
      </c>
      <c r="B6543" s="62" t="s">
        <v>388</v>
      </c>
      <c r="C6543" s="62" t="s">
        <v>60</v>
      </c>
      <c r="D6543" s="62" t="s">
        <v>72</v>
      </c>
      <c r="E6543" s="62" t="s">
        <v>382</v>
      </c>
      <c r="F6543" s="63" t="s">
        <v>667</v>
      </c>
      <c r="G6543" s="64" t="n">
        <v>2486081.3179371</v>
      </c>
      <c r="H6543" s="62" t="s">
        <v>138</v>
      </c>
    </row>
    <row r="6544" customFormat="false" ht="15" hidden="false" customHeight="false" outlineLevel="0" collapsed="false">
      <c r="A6544" s="62" t="n">
        <v>1</v>
      </c>
      <c r="B6544" s="62" t="s">
        <v>381</v>
      </c>
      <c r="C6544" s="62" t="s">
        <v>60</v>
      </c>
      <c r="D6544" s="62" t="s">
        <v>72</v>
      </c>
      <c r="E6544" s="62" t="s">
        <v>382</v>
      </c>
      <c r="F6544" s="63" t="s">
        <v>668</v>
      </c>
      <c r="G6544" s="64" t="n">
        <v>40023901.8110239</v>
      </c>
      <c r="H6544" s="62" t="s">
        <v>138</v>
      </c>
    </row>
    <row r="6545" customFormat="false" ht="15" hidden="false" customHeight="false" outlineLevel="0" collapsed="false">
      <c r="A6545" s="62" t="n">
        <v>1</v>
      </c>
      <c r="B6545" s="62" t="s">
        <v>383</v>
      </c>
      <c r="C6545" s="62" t="s">
        <v>60</v>
      </c>
      <c r="D6545" s="62" t="s">
        <v>72</v>
      </c>
      <c r="E6545" s="62" t="s">
        <v>382</v>
      </c>
      <c r="F6545" s="63" t="s">
        <v>668</v>
      </c>
      <c r="G6545" s="64" t="n">
        <v>46187307.6914851</v>
      </c>
      <c r="H6545" s="62" t="s">
        <v>138</v>
      </c>
    </row>
    <row r="6546" customFormat="false" ht="15" hidden="false" customHeight="false" outlineLevel="0" collapsed="false">
      <c r="A6546" s="62" t="n">
        <v>1</v>
      </c>
      <c r="B6546" s="62" t="s">
        <v>384</v>
      </c>
      <c r="C6546" s="62" t="s">
        <v>60</v>
      </c>
      <c r="D6546" s="62" t="s">
        <v>72</v>
      </c>
      <c r="E6546" s="62" t="s">
        <v>382</v>
      </c>
      <c r="F6546" s="63" t="s">
        <v>668</v>
      </c>
      <c r="G6546" s="64" t="n">
        <v>41398274.4766866</v>
      </c>
      <c r="H6546" s="62" t="s">
        <v>138</v>
      </c>
    </row>
    <row r="6547" customFormat="false" ht="15" hidden="false" customHeight="false" outlineLevel="0" collapsed="false">
      <c r="A6547" s="62" t="n">
        <v>1</v>
      </c>
      <c r="B6547" s="62" t="s">
        <v>385</v>
      </c>
      <c r="C6547" s="62" t="s">
        <v>60</v>
      </c>
      <c r="D6547" s="62" t="s">
        <v>72</v>
      </c>
      <c r="E6547" s="62" t="s">
        <v>382</v>
      </c>
      <c r="F6547" s="63" t="s">
        <v>668</v>
      </c>
      <c r="G6547" s="64" t="n">
        <v>33740288.201566</v>
      </c>
      <c r="H6547" s="62" t="s">
        <v>138</v>
      </c>
    </row>
    <row r="6548" customFormat="false" ht="15" hidden="false" customHeight="false" outlineLevel="0" collapsed="false">
      <c r="A6548" s="62" t="n">
        <v>1</v>
      </c>
      <c r="B6548" s="62" t="s">
        <v>386</v>
      </c>
      <c r="C6548" s="62" t="s">
        <v>60</v>
      </c>
      <c r="D6548" s="62" t="s">
        <v>72</v>
      </c>
      <c r="E6548" s="62" t="s">
        <v>382</v>
      </c>
      <c r="F6548" s="63" t="s">
        <v>668</v>
      </c>
      <c r="G6548" s="64" t="n">
        <v>40087354.8783525</v>
      </c>
      <c r="H6548" s="62" t="s">
        <v>138</v>
      </c>
    </row>
    <row r="6549" customFormat="false" ht="15" hidden="false" customHeight="false" outlineLevel="0" collapsed="false">
      <c r="A6549" s="62" t="n">
        <v>1</v>
      </c>
      <c r="B6549" s="62" t="s">
        <v>387</v>
      </c>
      <c r="C6549" s="62" t="s">
        <v>60</v>
      </c>
      <c r="D6549" s="62" t="s">
        <v>72</v>
      </c>
      <c r="E6549" s="62" t="s">
        <v>382</v>
      </c>
      <c r="F6549" s="63" t="s">
        <v>668</v>
      </c>
      <c r="G6549" s="64" t="n">
        <v>38592358.7771402</v>
      </c>
      <c r="H6549" s="62" t="s">
        <v>138</v>
      </c>
    </row>
    <row r="6550" customFormat="false" ht="15" hidden="false" customHeight="false" outlineLevel="0" collapsed="false">
      <c r="A6550" s="62" t="n">
        <v>1</v>
      </c>
      <c r="B6550" s="62" t="s">
        <v>388</v>
      </c>
      <c r="C6550" s="62" t="s">
        <v>60</v>
      </c>
      <c r="D6550" s="62" t="s">
        <v>72</v>
      </c>
      <c r="E6550" s="62" t="s">
        <v>382</v>
      </c>
      <c r="F6550" s="63" t="s">
        <v>668</v>
      </c>
      <c r="G6550" s="64" t="n">
        <v>28962847.3539672</v>
      </c>
      <c r="H6550" s="62" t="s">
        <v>138</v>
      </c>
    </row>
    <row r="6551" customFormat="false" ht="15" hidden="false" customHeight="false" outlineLevel="0" collapsed="false">
      <c r="A6551" s="62" t="n">
        <v>1</v>
      </c>
      <c r="B6551" s="62" t="s">
        <v>381</v>
      </c>
      <c r="C6551" s="62" t="s">
        <v>60</v>
      </c>
      <c r="D6551" s="62" t="s">
        <v>72</v>
      </c>
      <c r="E6551" s="62" t="s">
        <v>382</v>
      </c>
      <c r="F6551" s="63" t="s">
        <v>669</v>
      </c>
      <c r="G6551" s="64" t="n">
        <v>2465637.04644841</v>
      </c>
      <c r="H6551" s="62" t="s">
        <v>138</v>
      </c>
    </row>
    <row r="6552" customFormat="false" ht="15" hidden="false" customHeight="false" outlineLevel="0" collapsed="false">
      <c r="A6552" s="62" t="n">
        <v>1</v>
      </c>
      <c r="B6552" s="62" t="s">
        <v>383</v>
      </c>
      <c r="C6552" s="62" t="s">
        <v>60</v>
      </c>
      <c r="D6552" s="62" t="s">
        <v>72</v>
      </c>
      <c r="E6552" s="62" t="s">
        <v>382</v>
      </c>
      <c r="F6552" s="63" t="s">
        <v>669</v>
      </c>
      <c r="G6552" s="64" t="n">
        <v>2994684.76150945</v>
      </c>
      <c r="H6552" s="62" t="s">
        <v>138</v>
      </c>
    </row>
    <row r="6553" customFormat="false" ht="15" hidden="false" customHeight="false" outlineLevel="0" collapsed="false">
      <c r="A6553" s="62" t="n">
        <v>1</v>
      </c>
      <c r="B6553" s="62" t="s">
        <v>384</v>
      </c>
      <c r="C6553" s="62" t="s">
        <v>60</v>
      </c>
      <c r="D6553" s="62" t="s">
        <v>72</v>
      </c>
      <c r="E6553" s="62" t="s">
        <v>382</v>
      </c>
      <c r="F6553" s="63" t="s">
        <v>669</v>
      </c>
      <c r="G6553" s="64" t="n">
        <v>2583608.94908039</v>
      </c>
      <c r="H6553" s="62" t="s">
        <v>138</v>
      </c>
    </row>
    <row r="6554" customFormat="false" ht="15" hidden="false" customHeight="false" outlineLevel="0" collapsed="false">
      <c r="A6554" s="62" t="n">
        <v>1</v>
      </c>
      <c r="B6554" s="62" t="s">
        <v>385</v>
      </c>
      <c r="C6554" s="62" t="s">
        <v>60</v>
      </c>
      <c r="D6554" s="62" t="s">
        <v>72</v>
      </c>
      <c r="E6554" s="62" t="s">
        <v>382</v>
      </c>
      <c r="F6554" s="63" t="s">
        <v>669</v>
      </c>
      <c r="G6554" s="64" t="n">
        <v>1926271.07138764</v>
      </c>
      <c r="H6554" s="62" t="s">
        <v>138</v>
      </c>
    </row>
    <row r="6555" customFormat="false" ht="15" hidden="false" customHeight="false" outlineLevel="0" collapsed="false">
      <c r="A6555" s="62" t="n">
        <v>1</v>
      </c>
      <c r="B6555" s="62" t="s">
        <v>386</v>
      </c>
      <c r="C6555" s="62" t="s">
        <v>60</v>
      </c>
      <c r="D6555" s="62" t="s">
        <v>72</v>
      </c>
      <c r="E6555" s="62" t="s">
        <v>382</v>
      </c>
      <c r="F6555" s="63" t="s">
        <v>669</v>
      </c>
      <c r="G6555" s="64" t="n">
        <v>2471083.66166974</v>
      </c>
      <c r="H6555" s="62" t="s">
        <v>138</v>
      </c>
    </row>
    <row r="6556" customFormat="false" ht="15" hidden="false" customHeight="false" outlineLevel="0" collapsed="false">
      <c r="A6556" s="62" t="n">
        <v>1</v>
      </c>
      <c r="B6556" s="62" t="s">
        <v>387</v>
      </c>
      <c r="C6556" s="62" t="s">
        <v>60</v>
      </c>
      <c r="D6556" s="62" t="s">
        <v>72</v>
      </c>
      <c r="E6556" s="62" t="s">
        <v>382</v>
      </c>
      <c r="F6556" s="63" t="s">
        <v>669</v>
      </c>
      <c r="G6556" s="64" t="n">
        <v>2342757.81607212</v>
      </c>
      <c r="H6556" s="62" t="s">
        <v>138</v>
      </c>
    </row>
    <row r="6557" customFormat="false" ht="15" hidden="false" customHeight="false" outlineLevel="0" collapsed="false">
      <c r="A6557" s="62" t="n">
        <v>1</v>
      </c>
      <c r="B6557" s="62" t="s">
        <v>388</v>
      </c>
      <c r="C6557" s="62" t="s">
        <v>60</v>
      </c>
      <c r="D6557" s="62" t="s">
        <v>72</v>
      </c>
      <c r="E6557" s="62" t="s">
        <v>382</v>
      </c>
      <c r="F6557" s="63" t="s">
        <v>669</v>
      </c>
      <c r="G6557" s="64" t="n">
        <v>1516190.31193709</v>
      </c>
      <c r="H6557" s="62" t="s">
        <v>138</v>
      </c>
    </row>
    <row r="6558" customFormat="false" ht="15" hidden="false" customHeight="false" outlineLevel="0" collapsed="false">
      <c r="A6558" s="62" t="n">
        <v>1</v>
      </c>
      <c r="B6558" s="62" t="s">
        <v>381</v>
      </c>
      <c r="C6558" s="62" t="s">
        <v>60</v>
      </c>
      <c r="D6558" s="62" t="s">
        <v>72</v>
      </c>
      <c r="E6558" s="62" t="s">
        <v>382</v>
      </c>
      <c r="F6558" s="63" t="s">
        <v>670</v>
      </c>
      <c r="G6558" s="64" t="n">
        <v>36072269.9895402</v>
      </c>
      <c r="H6558" s="62" t="s">
        <v>138</v>
      </c>
    </row>
    <row r="6559" customFormat="false" ht="15" hidden="false" customHeight="false" outlineLevel="0" collapsed="false">
      <c r="A6559" s="62" t="n">
        <v>1</v>
      </c>
      <c r="B6559" s="62" t="s">
        <v>383</v>
      </c>
      <c r="C6559" s="62" t="s">
        <v>60</v>
      </c>
      <c r="D6559" s="62" t="s">
        <v>72</v>
      </c>
      <c r="E6559" s="62" t="s">
        <v>382</v>
      </c>
      <c r="F6559" s="63" t="s">
        <v>670</v>
      </c>
      <c r="G6559" s="64" t="n">
        <v>43812238.0608832</v>
      </c>
      <c r="H6559" s="62" t="s">
        <v>138</v>
      </c>
    </row>
    <row r="6560" customFormat="false" ht="15" hidden="false" customHeight="false" outlineLevel="0" collapsed="false">
      <c r="A6560" s="62" t="n">
        <v>1</v>
      </c>
      <c r="B6560" s="62" t="s">
        <v>384</v>
      </c>
      <c r="C6560" s="62" t="s">
        <v>60</v>
      </c>
      <c r="D6560" s="62" t="s">
        <v>72</v>
      </c>
      <c r="E6560" s="62" t="s">
        <v>382</v>
      </c>
      <c r="F6560" s="63" t="s">
        <v>670</v>
      </c>
      <c r="G6560" s="64" t="n">
        <v>37798198.9250462</v>
      </c>
      <c r="H6560" s="62" t="s">
        <v>138</v>
      </c>
    </row>
    <row r="6561" customFormat="false" ht="15" hidden="false" customHeight="false" outlineLevel="0" collapsed="false">
      <c r="A6561" s="62" t="n">
        <v>1</v>
      </c>
      <c r="B6561" s="62" t="s">
        <v>385</v>
      </c>
      <c r="C6561" s="62" t="s">
        <v>60</v>
      </c>
      <c r="D6561" s="62" t="s">
        <v>72</v>
      </c>
      <c r="E6561" s="62" t="s">
        <v>382</v>
      </c>
      <c r="F6561" s="63" t="s">
        <v>670</v>
      </c>
      <c r="G6561" s="64" t="n">
        <v>28181345.7744011</v>
      </c>
      <c r="H6561" s="62" t="s">
        <v>138</v>
      </c>
    </row>
    <row r="6562" customFormat="false" ht="15" hidden="false" customHeight="false" outlineLevel="0" collapsed="false">
      <c r="A6562" s="62" t="n">
        <v>1</v>
      </c>
      <c r="B6562" s="62" t="s">
        <v>386</v>
      </c>
      <c r="C6562" s="62" t="s">
        <v>60</v>
      </c>
      <c r="D6562" s="62" t="s">
        <v>72</v>
      </c>
      <c r="E6562" s="62" t="s">
        <v>382</v>
      </c>
      <c r="F6562" s="63" t="s">
        <v>670</v>
      </c>
      <c r="G6562" s="64" t="n">
        <v>36151953.9702283</v>
      </c>
      <c r="H6562" s="62" t="s">
        <v>138</v>
      </c>
    </row>
    <row r="6563" customFormat="false" ht="15" hidden="false" customHeight="false" outlineLevel="0" collapsed="false">
      <c r="A6563" s="62" t="n">
        <v>1</v>
      </c>
      <c r="B6563" s="62" t="s">
        <v>387</v>
      </c>
      <c r="C6563" s="62" t="s">
        <v>60</v>
      </c>
      <c r="D6563" s="62" t="s">
        <v>72</v>
      </c>
      <c r="E6563" s="62" t="s">
        <v>382</v>
      </c>
      <c r="F6563" s="63" t="s">
        <v>670</v>
      </c>
      <c r="G6563" s="64" t="n">
        <v>34274546.8491351</v>
      </c>
      <c r="H6563" s="62" t="s">
        <v>138</v>
      </c>
    </row>
    <row r="6564" customFormat="false" ht="15" hidden="false" customHeight="false" outlineLevel="0" collapsed="false">
      <c r="A6564" s="62" t="n">
        <v>1</v>
      </c>
      <c r="B6564" s="62" t="s">
        <v>388</v>
      </c>
      <c r="C6564" s="62" t="s">
        <v>60</v>
      </c>
      <c r="D6564" s="62" t="s">
        <v>72</v>
      </c>
      <c r="E6564" s="62" t="s">
        <v>382</v>
      </c>
      <c r="F6564" s="63" t="s">
        <v>670</v>
      </c>
      <c r="G6564" s="64" t="n">
        <v>22181864.2636397</v>
      </c>
      <c r="H6564" s="62" t="s">
        <v>138</v>
      </c>
    </row>
    <row r="6565" customFormat="false" ht="15" hidden="false" customHeight="false" outlineLevel="0" collapsed="false">
      <c r="A6565" s="62" t="n">
        <v>1</v>
      </c>
      <c r="B6565" s="62" t="s">
        <v>381</v>
      </c>
      <c r="C6565" s="62" t="s">
        <v>60</v>
      </c>
      <c r="D6565" s="62" t="s">
        <v>72</v>
      </c>
      <c r="E6565" s="62" t="s">
        <v>382</v>
      </c>
      <c r="F6565" s="63" t="s">
        <v>671</v>
      </c>
      <c r="G6565" s="64" t="n">
        <v>2033795.79073254</v>
      </c>
      <c r="H6565" s="62" t="s">
        <v>138</v>
      </c>
    </row>
    <row r="6566" customFormat="false" ht="15" hidden="false" customHeight="false" outlineLevel="0" collapsed="false">
      <c r="A6566" s="62" t="n">
        <v>1</v>
      </c>
      <c r="B6566" s="62" t="s">
        <v>383</v>
      </c>
      <c r="C6566" s="62" t="s">
        <v>60</v>
      </c>
      <c r="D6566" s="62" t="s">
        <v>72</v>
      </c>
      <c r="E6566" s="62" t="s">
        <v>382</v>
      </c>
      <c r="F6566" s="63" t="s">
        <v>671</v>
      </c>
      <c r="G6566" s="64" t="n">
        <v>2433510.84754989</v>
      </c>
      <c r="H6566" s="62" t="s">
        <v>138</v>
      </c>
    </row>
    <row r="6567" customFormat="false" ht="15" hidden="false" customHeight="false" outlineLevel="0" collapsed="false">
      <c r="A6567" s="62" t="n">
        <v>1</v>
      </c>
      <c r="B6567" s="62" t="s">
        <v>384</v>
      </c>
      <c r="C6567" s="62" t="s">
        <v>60</v>
      </c>
      <c r="D6567" s="62" t="s">
        <v>72</v>
      </c>
      <c r="E6567" s="62" t="s">
        <v>382</v>
      </c>
      <c r="F6567" s="63" t="s">
        <v>671</v>
      </c>
      <c r="G6567" s="64" t="n">
        <v>2111294.7057845</v>
      </c>
      <c r="H6567" s="62" t="s">
        <v>138</v>
      </c>
    </row>
    <row r="6568" customFormat="false" ht="15" hidden="false" customHeight="false" outlineLevel="0" collapsed="false">
      <c r="A6568" s="62" t="n">
        <v>1</v>
      </c>
      <c r="B6568" s="62" t="s">
        <v>385</v>
      </c>
      <c r="C6568" s="62" t="s">
        <v>60</v>
      </c>
      <c r="D6568" s="62" t="s">
        <v>72</v>
      </c>
      <c r="E6568" s="62" t="s">
        <v>382</v>
      </c>
      <c r="F6568" s="63" t="s">
        <v>671</v>
      </c>
      <c r="G6568" s="64" t="n">
        <v>1597899.73096613</v>
      </c>
      <c r="H6568" s="62" t="s">
        <v>138</v>
      </c>
    </row>
    <row r="6569" customFormat="false" ht="15" hidden="false" customHeight="false" outlineLevel="0" collapsed="false">
      <c r="A6569" s="62" t="n">
        <v>1</v>
      </c>
      <c r="B6569" s="62" t="s">
        <v>386</v>
      </c>
      <c r="C6569" s="62" t="s">
        <v>60</v>
      </c>
      <c r="D6569" s="62" t="s">
        <v>72</v>
      </c>
      <c r="E6569" s="62" t="s">
        <v>382</v>
      </c>
      <c r="F6569" s="63" t="s">
        <v>671</v>
      </c>
      <c r="G6569" s="64" t="n">
        <v>2022309.48123155</v>
      </c>
      <c r="H6569" s="62" t="s">
        <v>138</v>
      </c>
    </row>
    <row r="6570" customFormat="false" ht="15" hidden="false" customHeight="false" outlineLevel="0" collapsed="false">
      <c r="A6570" s="62" t="n">
        <v>1</v>
      </c>
      <c r="B6570" s="62" t="s">
        <v>387</v>
      </c>
      <c r="C6570" s="62" t="s">
        <v>60</v>
      </c>
      <c r="D6570" s="62" t="s">
        <v>72</v>
      </c>
      <c r="E6570" s="62" t="s">
        <v>382</v>
      </c>
      <c r="F6570" s="63" t="s">
        <v>671</v>
      </c>
      <c r="G6570" s="64" t="n">
        <v>1934127.73903029</v>
      </c>
      <c r="H6570" s="62" t="s">
        <v>138</v>
      </c>
    </row>
    <row r="6571" customFormat="false" ht="15" hidden="false" customHeight="false" outlineLevel="0" collapsed="false">
      <c r="A6571" s="62" t="n">
        <v>1</v>
      </c>
      <c r="B6571" s="62" t="s">
        <v>388</v>
      </c>
      <c r="C6571" s="62" t="s">
        <v>60</v>
      </c>
      <c r="D6571" s="62" t="s">
        <v>72</v>
      </c>
      <c r="E6571" s="62" t="s">
        <v>382</v>
      </c>
      <c r="F6571" s="63" t="s">
        <v>671</v>
      </c>
      <c r="G6571" s="64" t="n">
        <v>1315422.05151824</v>
      </c>
      <c r="H6571" s="62" t="s">
        <v>138</v>
      </c>
    </row>
    <row r="6572" customFormat="false" ht="15" hidden="false" customHeight="false" outlineLevel="0" collapsed="false">
      <c r="A6572" s="62" t="n">
        <v>1</v>
      </c>
      <c r="B6572" s="62" t="s">
        <v>381</v>
      </c>
      <c r="C6572" s="62" t="s">
        <v>60</v>
      </c>
      <c r="D6572" s="62" t="s">
        <v>72</v>
      </c>
      <c r="E6572" s="62" t="s">
        <v>382</v>
      </c>
      <c r="F6572" s="63" t="s">
        <v>672</v>
      </c>
      <c r="G6572" s="64" t="n">
        <v>35184667.179673</v>
      </c>
      <c r="H6572" s="62" t="s">
        <v>138</v>
      </c>
    </row>
    <row r="6573" customFormat="false" ht="15" hidden="false" customHeight="false" outlineLevel="0" collapsed="false">
      <c r="A6573" s="62" t="n">
        <v>1</v>
      </c>
      <c r="B6573" s="62" t="s">
        <v>383</v>
      </c>
      <c r="C6573" s="62" t="s">
        <v>60</v>
      </c>
      <c r="D6573" s="62" t="s">
        <v>72</v>
      </c>
      <c r="E6573" s="62" t="s">
        <v>382</v>
      </c>
      <c r="F6573" s="63" t="s">
        <v>672</v>
      </c>
      <c r="G6573" s="64" t="n">
        <v>42099737.6626131</v>
      </c>
      <c r="H6573" s="62" t="s">
        <v>138</v>
      </c>
    </row>
    <row r="6574" customFormat="false" ht="15" hidden="false" customHeight="false" outlineLevel="0" collapsed="false">
      <c r="A6574" s="62" t="n">
        <v>1</v>
      </c>
      <c r="B6574" s="62" t="s">
        <v>384</v>
      </c>
      <c r="C6574" s="62" t="s">
        <v>60</v>
      </c>
      <c r="D6574" s="62" t="s">
        <v>72</v>
      </c>
      <c r="E6574" s="62" t="s">
        <v>382</v>
      </c>
      <c r="F6574" s="63" t="s">
        <v>672</v>
      </c>
      <c r="G6574" s="64" t="n">
        <v>36525398.4100718</v>
      </c>
      <c r="H6574" s="62" t="s">
        <v>138</v>
      </c>
    </row>
    <row r="6575" customFormat="false" ht="15" hidden="false" customHeight="false" outlineLevel="0" collapsed="false">
      <c r="A6575" s="62" t="n">
        <v>1</v>
      </c>
      <c r="B6575" s="62" t="s">
        <v>385</v>
      </c>
      <c r="C6575" s="62" t="s">
        <v>60</v>
      </c>
      <c r="D6575" s="62" t="s">
        <v>72</v>
      </c>
      <c r="E6575" s="62" t="s">
        <v>382</v>
      </c>
      <c r="F6575" s="63" t="s">
        <v>672</v>
      </c>
      <c r="G6575" s="64" t="n">
        <v>27643665.345714</v>
      </c>
      <c r="H6575" s="62" t="s">
        <v>138</v>
      </c>
    </row>
    <row r="6576" customFormat="false" ht="15" hidden="false" customHeight="false" outlineLevel="0" collapsed="false">
      <c r="A6576" s="62" t="n">
        <v>1</v>
      </c>
      <c r="B6576" s="62" t="s">
        <v>386</v>
      </c>
      <c r="C6576" s="62" t="s">
        <v>60</v>
      </c>
      <c r="D6576" s="62" t="s">
        <v>72</v>
      </c>
      <c r="E6576" s="62" t="s">
        <v>382</v>
      </c>
      <c r="F6576" s="63" t="s">
        <v>672</v>
      </c>
      <c r="G6576" s="64" t="n">
        <v>34985954.0253059</v>
      </c>
      <c r="H6576" s="62" t="s">
        <v>138</v>
      </c>
    </row>
    <row r="6577" customFormat="false" ht="15" hidden="false" customHeight="false" outlineLevel="0" collapsed="false">
      <c r="A6577" s="62" t="n">
        <v>1</v>
      </c>
      <c r="B6577" s="62" t="s">
        <v>387</v>
      </c>
      <c r="C6577" s="62" t="s">
        <v>60</v>
      </c>
      <c r="D6577" s="62" t="s">
        <v>72</v>
      </c>
      <c r="E6577" s="62" t="s">
        <v>382</v>
      </c>
      <c r="F6577" s="63" t="s">
        <v>672</v>
      </c>
      <c r="G6577" s="64" t="n">
        <v>33460409.885224</v>
      </c>
      <c r="H6577" s="62" t="s">
        <v>138</v>
      </c>
    </row>
    <row r="6578" customFormat="false" ht="15" hidden="false" customHeight="false" outlineLevel="0" collapsed="false">
      <c r="A6578" s="62" t="n">
        <v>1</v>
      </c>
      <c r="B6578" s="62" t="s">
        <v>388</v>
      </c>
      <c r="C6578" s="62" t="s">
        <v>60</v>
      </c>
      <c r="D6578" s="62" t="s">
        <v>72</v>
      </c>
      <c r="E6578" s="62" t="s">
        <v>382</v>
      </c>
      <c r="F6578" s="63" t="s">
        <v>672</v>
      </c>
      <c r="G6578" s="64" t="n">
        <v>22756801.4912656</v>
      </c>
      <c r="H6578" s="62" t="s">
        <v>138</v>
      </c>
    </row>
    <row r="6579" customFormat="false" ht="15" hidden="false" customHeight="false" outlineLevel="0" collapsed="false">
      <c r="A6579" s="62" t="n">
        <v>1</v>
      </c>
      <c r="B6579" s="62" t="s">
        <v>381</v>
      </c>
      <c r="C6579" s="62" t="s">
        <v>60</v>
      </c>
      <c r="D6579" s="62" t="s">
        <v>72</v>
      </c>
      <c r="E6579" s="62" t="s">
        <v>382</v>
      </c>
      <c r="F6579" s="63" t="s">
        <v>673</v>
      </c>
      <c r="G6579" s="64" t="n">
        <v>22836604.54559</v>
      </c>
      <c r="H6579" s="62" t="s">
        <v>138</v>
      </c>
    </row>
    <row r="6580" customFormat="false" ht="15" hidden="false" customHeight="false" outlineLevel="0" collapsed="false">
      <c r="A6580" s="62" t="n">
        <v>1</v>
      </c>
      <c r="B6580" s="62" t="s">
        <v>383</v>
      </c>
      <c r="C6580" s="62" t="s">
        <v>60</v>
      </c>
      <c r="D6580" s="62" t="s">
        <v>72</v>
      </c>
      <c r="E6580" s="62" t="s">
        <v>382</v>
      </c>
      <c r="F6580" s="63" t="s">
        <v>673</v>
      </c>
      <c r="G6580" s="64" t="n">
        <v>25154199.3734453</v>
      </c>
      <c r="H6580" s="62" t="s">
        <v>138</v>
      </c>
    </row>
    <row r="6581" customFormat="false" ht="15" hidden="false" customHeight="false" outlineLevel="0" collapsed="false">
      <c r="A6581" s="62" t="n">
        <v>1</v>
      </c>
      <c r="B6581" s="62" t="s">
        <v>384</v>
      </c>
      <c r="C6581" s="62" t="s">
        <v>60</v>
      </c>
      <c r="D6581" s="62" t="s">
        <v>72</v>
      </c>
      <c r="E6581" s="62" t="s">
        <v>382</v>
      </c>
      <c r="F6581" s="63" t="s">
        <v>673</v>
      </c>
      <c r="G6581" s="64" t="n">
        <v>26834909.8451437</v>
      </c>
      <c r="H6581" s="62" t="s">
        <v>138</v>
      </c>
    </row>
    <row r="6582" customFormat="false" ht="15" hidden="false" customHeight="false" outlineLevel="0" collapsed="false">
      <c r="A6582" s="62" t="n">
        <v>1</v>
      </c>
      <c r="B6582" s="62" t="s">
        <v>385</v>
      </c>
      <c r="C6582" s="62" t="s">
        <v>60</v>
      </c>
      <c r="D6582" s="62" t="s">
        <v>72</v>
      </c>
      <c r="E6582" s="62" t="s">
        <v>382</v>
      </c>
      <c r="F6582" s="63" t="s">
        <v>673</v>
      </c>
      <c r="G6582" s="64" t="n">
        <v>22110894.3745832</v>
      </c>
      <c r="H6582" s="62" t="s">
        <v>138</v>
      </c>
    </row>
    <row r="6583" customFormat="false" ht="15" hidden="false" customHeight="false" outlineLevel="0" collapsed="false">
      <c r="A6583" s="62" t="n">
        <v>1</v>
      </c>
      <c r="B6583" s="62" t="s">
        <v>386</v>
      </c>
      <c r="C6583" s="62" t="s">
        <v>60</v>
      </c>
      <c r="D6583" s="62" t="s">
        <v>72</v>
      </c>
      <c r="E6583" s="62" t="s">
        <v>382</v>
      </c>
      <c r="F6583" s="63" t="s">
        <v>673</v>
      </c>
      <c r="G6583" s="64" t="n">
        <v>26285279.8081553</v>
      </c>
      <c r="H6583" s="62" t="s">
        <v>138</v>
      </c>
    </row>
    <row r="6584" customFormat="false" ht="15" hidden="false" customHeight="false" outlineLevel="0" collapsed="false">
      <c r="A6584" s="62" t="n">
        <v>1</v>
      </c>
      <c r="B6584" s="62" t="s">
        <v>387</v>
      </c>
      <c r="C6584" s="62" t="s">
        <v>60</v>
      </c>
      <c r="D6584" s="62" t="s">
        <v>72</v>
      </c>
      <c r="E6584" s="62" t="s">
        <v>382</v>
      </c>
      <c r="F6584" s="63" t="s">
        <v>673</v>
      </c>
      <c r="G6584" s="64" t="n">
        <v>21797106.2076549</v>
      </c>
      <c r="H6584" s="62" t="s">
        <v>138</v>
      </c>
    </row>
    <row r="6585" customFormat="false" ht="15" hidden="false" customHeight="false" outlineLevel="0" collapsed="false">
      <c r="A6585" s="62" t="n">
        <v>1</v>
      </c>
      <c r="B6585" s="62" t="s">
        <v>388</v>
      </c>
      <c r="C6585" s="62" t="s">
        <v>60</v>
      </c>
      <c r="D6585" s="62" t="s">
        <v>72</v>
      </c>
      <c r="E6585" s="62" t="s">
        <v>382</v>
      </c>
      <c r="F6585" s="63" t="s">
        <v>673</v>
      </c>
      <c r="G6585" s="64" t="n">
        <v>15334286.0846061</v>
      </c>
      <c r="H6585" s="62" t="s">
        <v>138</v>
      </c>
    </row>
    <row r="6586" customFormat="false" ht="15" hidden="false" customHeight="false" outlineLevel="0" collapsed="false">
      <c r="A6586" s="62" t="n">
        <v>1</v>
      </c>
      <c r="B6586" s="62" t="s">
        <v>381</v>
      </c>
      <c r="C6586" s="62" t="s">
        <v>60</v>
      </c>
      <c r="D6586" s="62" t="s">
        <v>72</v>
      </c>
      <c r="E6586" s="62" t="s">
        <v>382</v>
      </c>
      <c r="F6586" s="63" t="s">
        <v>674</v>
      </c>
      <c r="G6586" s="64" t="n">
        <v>2277572.92470316</v>
      </c>
      <c r="H6586" s="62" t="s">
        <v>138</v>
      </c>
    </row>
    <row r="6587" customFormat="false" ht="15" hidden="false" customHeight="false" outlineLevel="0" collapsed="false">
      <c r="A6587" s="62" t="n">
        <v>1</v>
      </c>
      <c r="B6587" s="62" t="s">
        <v>383</v>
      </c>
      <c r="C6587" s="62" t="s">
        <v>60</v>
      </c>
      <c r="D6587" s="62" t="s">
        <v>72</v>
      </c>
      <c r="E6587" s="62" t="s">
        <v>382</v>
      </c>
      <c r="F6587" s="63" t="s">
        <v>674</v>
      </c>
      <c r="G6587" s="64" t="n">
        <v>9749441.67836232</v>
      </c>
      <c r="H6587" s="62" t="s">
        <v>138</v>
      </c>
    </row>
    <row r="6588" customFormat="false" ht="15" hidden="false" customHeight="false" outlineLevel="0" collapsed="false">
      <c r="A6588" s="62" t="n">
        <v>1</v>
      </c>
      <c r="B6588" s="62" t="s">
        <v>384</v>
      </c>
      <c r="C6588" s="62" t="s">
        <v>60</v>
      </c>
      <c r="D6588" s="62" t="s">
        <v>72</v>
      </c>
      <c r="E6588" s="62" t="s">
        <v>382</v>
      </c>
      <c r="F6588" s="63" t="s">
        <v>674</v>
      </c>
      <c r="G6588" s="64" t="n">
        <v>5828112.65870195</v>
      </c>
      <c r="H6588" s="62" t="s">
        <v>138</v>
      </c>
    </row>
    <row r="6589" customFormat="false" ht="15" hidden="false" customHeight="false" outlineLevel="0" collapsed="false">
      <c r="A6589" s="62" t="n">
        <v>1</v>
      </c>
      <c r="B6589" s="62" t="s">
        <v>385</v>
      </c>
      <c r="C6589" s="62" t="s">
        <v>60</v>
      </c>
      <c r="D6589" s="62" t="s">
        <v>72</v>
      </c>
      <c r="E6589" s="62" t="s">
        <v>382</v>
      </c>
      <c r="F6589" s="63" t="s">
        <v>674</v>
      </c>
      <c r="G6589" s="64" t="n">
        <v>2004131.03014974</v>
      </c>
      <c r="H6589" s="62" t="s">
        <v>138</v>
      </c>
    </row>
    <row r="6590" customFormat="false" ht="15" hidden="false" customHeight="false" outlineLevel="0" collapsed="false">
      <c r="A6590" s="62" t="n">
        <v>1</v>
      </c>
      <c r="B6590" s="62" t="s">
        <v>386</v>
      </c>
      <c r="C6590" s="62" t="s">
        <v>60</v>
      </c>
      <c r="D6590" s="62" t="s">
        <v>72</v>
      </c>
      <c r="E6590" s="62" t="s">
        <v>382</v>
      </c>
      <c r="F6590" s="63" t="s">
        <v>674</v>
      </c>
      <c r="G6590" s="64" t="n">
        <v>3784706.42673141</v>
      </c>
      <c r="H6590" s="62" t="s">
        <v>138</v>
      </c>
    </row>
    <row r="6591" customFormat="false" ht="15" hidden="false" customHeight="false" outlineLevel="0" collapsed="false">
      <c r="A6591" s="62" t="n">
        <v>1</v>
      </c>
      <c r="B6591" s="62" t="s">
        <v>387</v>
      </c>
      <c r="C6591" s="62" t="s">
        <v>60</v>
      </c>
      <c r="D6591" s="62" t="s">
        <v>72</v>
      </c>
      <c r="E6591" s="62" t="s">
        <v>382</v>
      </c>
      <c r="F6591" s="63" t="s">
        <v>674</v>
      </c>
      <c r="G6591" s="64" t="n">
        <v>11250584.7900271</v>
      </c>
      <c r="H6591" s="62" t="s">
        <v>138</v>
      </c>
    </row>
    <row r="6592" customFormat="false" ht="15" hidden="false" customHeight="false" outlineLevel="0" collapsed="false">
      <c r="A6592" s="62" t="n">
        <v>1</v>
      </c>
      <c r="B6592" s="62" t="s">
        <v>388</v>
      </c>
      <c r="C6592" s="62" t="s">
        <v>60</v>
      </c>
      <c r="D6592" s="62" t="s">
        <v>72</v>
      </c>
      <c r="E6592" s="62" t="s">
        <v>382</v>
      </c>
      <c r="F6592" s="63" t="s">
        <v>674</v>
      </c>
      <c r="G6592" s="64" t="n">
        <v>2654785.85709647</v>
      </c>
      <c r="H6592" s="62" t="s">
        <v>138</v>
      </c>
    </row>
    <row r="6593" customFormat="false" ht="15" hidden="false" customHeight="false" outlineLevel="0" collapsed="false">
      <c r="A6593" s="62" t="n">
        <v>1</v>
      </c>
      <c r="B6593" s="62" t="s">
        <v>381</v>
      </c>
      <c r="C6593" s="62" t="s">
        <v>60</v>
      </c>
      <c r="D6593" s="62" t="s">
        <v>72</v>
      </c>
      <c r="E6593" s="62" t="s">
        <v>382</v>
      </c>
      <c r="F6593" s="63" t="s">
        <v>675</v>
      </c>
      <c r="G6593" s="64" t="n">
        <v>-2127098.69834358</v>
      </c>
      <c r="H6593" s="62" t="s">
        <v>138</v>
      </c>
    </row>
    <row r="6594" customFormat="false" ht="15" hidden="false" customHeight="false" outlineLevel="0" collapsed="false">
      <c r="A6594" s="62" t="n">
        <v>1</v>
      </c>
      <c r="B6594" s="62" t="s">
        <v>383</v>
      </c>
      <c r="C6594" s="62" t="s">
        <v>60</v>
      </c>
      <c r="D6594" s="62" t="s">
        <v>72</v>
      </c>
      <c r="E6594" s="62" t="s">
        <v>382</v>
      </c>
      <c r="F6594" s="63" t="s">
        <v>675</v>
      </c>
      <c r="G6594" s="64" t="n">
        <v>-9900485.73329246</v>
      </c>
      <c r="H6594" s="62" t="s">
        <v>138</v>
      </c>
    </row>
    <row r="6595" customFormat="false" ht="15" hidden="false" customHeight="false" outlineLevel="0" collapsed="false">
      <c r="A6595" s="62" t="n">
        <v>1</v>
      </c>
      <c r="B6595" s="62" t="s">
        <v>384</v>
      </c>
      <c r="C6595" s="62" t="s">
        <v>60</v>
      </c>
      <c r="D6595" s="62" t="s">
        <v>72</v>
      </c>
      <c r="E6595" s="62" t="s">
        <v>382</v>
      </c>
      <c r="F6595" s="63" t="s">
        <v>675</v>
      </c>
      <c r="G6595" s="64" t="n">
        <v>-4913844.02203854</v>
      </c>
      <c r="H6595" s="62" t="s">
        <v>138</v>
      </c>
    </row>
    <row r="6596" customFormat="false" ht="15" hidden="false" customHeight="false" outlineLevel="0" collapsed="false">
      <c r="A6596" s="62" t="n">
        <v>1</v>
      </c>
      <c r="B6596" s="62" t="s">
        <v>385</v>
      </c>
      <c r="C6596" s="62" t="s">
        <v>60</v>
      </c>
      <c r="D6596" s="62" t="s">
        <v>72</v>
      </c>
      <c r="E6596" s="62" t="s">
        <v>382</v>
      </c>
      <c r="F6596" s="63" t="s">
        <v>675</v>
      </c>
      <c r="G6596" s="64" t="n">
        <v>-363988.446076929</v>
      </c>
      <c r="H6596" s="62" t="s">
        <v>138</v>
      </c>
    </row>
    <row r="6597" customFormat="false" ht="15" hidden="false" customHeight="false" outlineLevel="0" collapsed="false">
      <c r="A6597" s="62" t="n">
        <v>1</v>
      </c>
      <c r="B6597" s="62" t="s">
        <v>386</v>
      </c>
      <c r="C6597" s="62" t="s">
        <v>60</v>
      </c>
      <c r="D6597" s="62" t="s">
        <v>72</v>
      </c>
      <c r="E6597" s="62" t="s">
        <v>382</v>
      </c>
      <c r="F6597" s="63" t="s">
        <v>675</v>
      </c>
      <c r="G6597" s="64" t="n">
        <v>-1694728.36438561</v>
      </c>
      <c r="H6597" s="62" t="s">
        <v>138</v>
      </c>
    </row>
    <row r="6598" customFormat="false" ht="15" hidden="false" customHeight="false" outlineLevel="0" collapsed="false">
      <c r="A6598" s="62" t="n">
        <v>1</v>
      </c>
      <c r="B6598" s="62" t="s">
        <v>387</v>
      </c>
      <c r="C6598" s="62" t="s">
        <v>60</v>
      </c>
      <c r="D6598" s="62" t="s">
        <v>72</v>
      </c>
      <c r="E6598" s="62" t="s">
        <v>382</v>
      </c>
      <c r="F6598" s="63" t="s">
        <v>675</v>
      </c>
      <c r="G6598" s="64" t="n">
        <v>-10766318.0320366</v>
      </c>
      <c r="H6598" s="62" t="s">
        <v>138</v>
      </c>
    </row>
    <row r="6599" customFormat="false" ht="15" hidden="false" customHeight="false" outlineLevel="0" collapsed="false">
      <c r="A6599" s="62" t="n">
        <v>1</v>
      </c>
      <c r="B6599" s="62" t="s">
        <v>388</v>
      </c>
      <c r="C6599" s="62" t="s">
        <v>60</v>
      </c>
      <c r="D6599" s="62" t="s">
        <v>72</v>
      </c>
      <c r="E6599" s="62" t="s">
        <v>382</v>
      </c>
      <c r="F6599" s="63" t="s">
        <v>675</v>
      </c>
      <c r="G6599" s="64" t="n">
        <v>-1033688.72723972</v>
      </c>
      <c r="H6599" s="62" t="s">
        <v>138</v>
      </c>
    </row>
    <row r="6600" customFormat="false" ht="15" hidden="false" customHeight="false" outlineLevel="0" collapsed="false">
      <c r="A6600" s="62" t="n">
        <v>1</v>
      </c>
      <c r="B6600" s="62" t="s">
        <v>381</v>
      </c>
      <c r="C6600" s="62" t="s">
        <v>60</v>
      </c>
      <c r="D6600" s="62" t="s">
        <v>72</v>
      </c>
      <c r="E6600" s="62" t="s">
        <v>382</v>
      </c>
      <c r="F6600" s="63" t="s">
        <v>676</v>
      </c>
      <c r="G6600" s="64" t="n">
        <v>22987078.7719496</v>
      </c>
      <c r="H6600" s="62" t="s">
        <v>138</v>
      </c>
    </row>
    <row r="6601" customFormat="false" ht="15" hidden="false" customHeight="false" outlineLevel="0" collapsed="false">
      <c r="A6601" s="62" t="n">
        <v>1</v>
      </c>
      <c r="B6601" s="62" t="s">
        <v>383</v>
      </c>
      <c r="C6601" s="62" t="s">
        <v>60</v>
      </c>
      <c r="D6601" s="62" t="s">
        <v>72</v>
      </c>
      <c r="E6601" s="62" t="s">
        <v>382</v>
      </c>
      <c r="F6601" s="63" t="s">
        <v>676</v>
      </c>
      <c r="G6601" s="64" t="n">
        <v>25003155.3185151</v>
      </c>
      <c r="H6601" s="62" t="s">
        <v>138</v>
      </c>
    </row>
    <row r="6602" customFormat="false" ht="15" hidden="false" customHeight="false" outlineLevel="0" collapsed="false">
      <c r="A6602" s="62" t="n">
        <v>1</v>
      </c>
      <c r="B6602" s="62" t="s">
        <v>384</v>
      </c>
      <c r="C6602" s="62" t="s">
        <v>60</v>
      </c>
      <c r="D6602" s="62" t="s">
        <v>72</v>
      </c>
      <c r="E6602" s="62" t="s">
        <v>382</v>
      </c>
      <c r="F6602" s="63" t="s">
        <v>676</v>
      </c>
      <c r="G6602" s="64" t="n">
        <v>27749178.4818071</v>
      </c>
      <c r="H6602" s="62" t="s">
        <v>138</v>
      </c>
    </row>
    <row r="6603" customFormat="false" ht="15" hidden="false" customHeight="false" outlineLevel="0" collapsed="false">
      <c r="A6603" s="62" t="n">
        <v>1</v>
      </c>
      <c r="B6603" s="62" t="s">
        <v>385</v>
      </c>
      <c r="C6603" s="62" t="s">
        <v>60</v>
      </c>
      <c r="D6603" s="62" t="s">
        <v>72</v>
      </c>
      <c r="E6603" s="62" t="s">
        <v>382</v>
      </c>
      <c r="F6603" s="63" t="s">
        <v>676</v>
      </c>
      <c r="G6603" s="64" t="n">
        <v>23751036.958656</v>
      </c>
      <c r="H6603" s="62" t="s">
        <v>138</v>
      </c>
    </row>
    <row r="6604" customFormat="false" ht="15" hidden="false" customHeight="false" outlineLevel="0" collapsed="false">
      <c r="A6604" s="62" t="n">
        <v>1</v>
      </c>
      <c r="B6604" s="62" t="s">
        <v>386</v>
      </c>
      <c r="C6604" s="62" t="s">
        <v>60</v>
      </c>
      <c r="D6604" s="62" t="s">
        <v>72</v>
      </c>
      <c r="E6604" s="62" t="s">
        <v>382</v>
      </c>
      <c r="F6604" s="63" t="s">
        <v>676</v>
      </c>
      <c r="G6604" s="64" t="n">
        <v>28375257.8705011</v>
      </c>
      <c r="H6604" s="62" t="s">
        <v>138</v>
      </c>
    </row>
    <row r="6605" customFormat="false" ht="15" hidden="false" customHeight="false" outlineLevel="0" collapsed="false">
      <c r="A6605" s="62" t="n">
        <v>1</v>
      </c>
      <c r="B6605" s="62" t="s">
        <v>387</v>
      </c>
      <c r="C6605" s="62" t="s">
        <v>60</v>
      </c>
      <c r="D6605" s="62" t="s">
        <v>72</v>
      </c>
      <c r="E6605" s="62" t="s">
        <v>382</v>
      </c>
      <c r="F6605" s="63" t="s">
        <v>676</v>
      </c>
      <c r="G6605" s="64" t="n">
        <v>22281372.9656455</v>
      </c>
      <c r="H6605" s="62" t="s">
        <v>138</v>
      </c>
    </row>
    <row r="6606" customFormat="false" ht="15" hidden="false" customHeight="false" outlineLevel="0" collapsed="false">
      <c r="A6606" s="62" t="n">
        <v>1</v>
      </c>
      <c r="B6606" s="62" t="s">
        <v>388</v>
      </c>
      <c r="C6606" s="62" t="s">
        <v>60</v>
      </c>
      <c r="D6606" s="62" t="s">
        <v>72</v>
      </c>
      <c r="E6606" s="62" t="s">
        <v>382</v>
      </c>
      <c r="F6606" s="63" t="s">
        <v>676</v>
      </c>
      <c r="G6606" s="64" t="n">
        <v>16955383.2144628</v>
      </c>
      <c r="H6606" s="62" t="s">
        <v>138</v>
      </c>
    </row>
    <row r="6607" customFormat="false" ht="15" hidden="false" customHeight="false" outlineLevel="0" collapsed="false">
      <c r="A6607" s="62" t="n">
        <v>1</v>
      </c>
      <c r="B6607" s="62" t="s">
        <v>381</v>
      </c>
      <c r="C6607" s="62" t="s">
        <v>60</v>
      </c>
      <c r="D6607" s="62" t="s">
        <v>72</v>
      </c>
      <c r="E6607" s="62" t="s">
        <v>382</v>
      </c>
      <c r="F6607" s="63" t="s">
        <v>677</v>
      </c>
      <c r="G6607" s="64" t="n">
        <v>13.5038351002555</v>
      </c>
      <c r="H6607" s="62" t="s">
        <v>138</v>
      </c>
    </row>
    <row r="6608" customFormat="false" ht="15" hidden="false" customHeight="false" outlineLevel="0" collapsed="false">
      <c r="A6608" s="62" t="n">
        <v>1</v>
      </c>
      <c r="B6608" s="62" t="s">
        <v>383</v>
      </c>
      <c r="C6608" s="62" t="s">
        <v>60</v>
      </c>
      <c r="D6608" s="62" t="s">
        <v>72</v>
      </c>
      <c r="E6608" s="62" t="s">
        <v>382</v>
      </c>
      <c r="F6608" s="63" t="s">
        <v>677</v>
      </c>
      <c r="G6608" s="64" t="n">
        <v>11.5023319725203</v>
      </c>
      <c r="H6608" s="62" t="s">
        <v>138</v>
      </c>
    </row>
    <row r="6609" customFormat="false" ht="15" hidden="false" customHeight="false" outlineLevel="0" collapsed="false">
      <c r="A6609" s="62" t="n">
        <v>1</v>
      </c>
      <c r="B6609" s="62" t="s">
        <v>384</v>
      </c>
      <c r="C6609" s="62" t="s">
        <v>60</v>
      </c>
      <c r="D6609" s="62" t="s">
        <v>72</v>
      </c>
      <c r="E6609" s="62" t="s">
        <v>382</v>
      </c>
      <c r="F6609" s="63" t="s">
        <v>677</v>
      </c>
      <c r="G6609" s="64" t="n">
        <v>11.358890713997</v>
      </c>
      <c r="H6609" s="62" t="s">
        <v>138</v>
      </c>
    </row>
    <row r="6610" customFormat="false" ht="15" hidden="false" customHeight="false" outlineLevel="0" collapsed="false">
      <c r="A6610" s="62" t="n">
        <v>1</v>
      </c>
      <c r="B6610" s="62" t="s">
        <v>385</v>
      </c>
      <c r="C6610" s="62" t="s">
        <v>60</v>
      </c>
      <c r="D6610" s="62" t="s">
        <v>72</v>
      </c>
      <c r="E6610" s="62" t="s">
        <v>382</v>
      </c>
      <c r="F6610" s="63" t="s">
        <v>677</v>
      </c>
      <c r="G6610" s="64" t="n">
        <v>11.7188244770031</v>
      </c>
      <c r="H6610" s="62" t="s">
        <v>138</v>
      </c>
    </row>
    <row r="6611" customFormat="false" ht="15" hidden="false" customHeight="false" outlineLevel="0" collapsed="false">
      <c r="A6611" s="62" t="n">
        <v>1</v>
      </c>
      <c r="B6611" s="62" t="s">
        <v>386</v>
      </c>
      <c r="C6611" s="62" t="s">
        <v>60</v>
      </c>
      <c r="D6611" s="62" t="s">
        <v>72</v>
      </c>
      <c r="E6611" s="62" t="s">
        <v>382</v>
      </c>
      <c r="F6611" s="63" t="s">
        <v>677</v>
      </c>
      <c r="G6611" s="64" t="n">
        <v>13.4654831733339</v>
      </c>
      <c r="H6611" s="62" t="s">
        <v>138</v>
      </c>
    </row>
    <row r="6612" customFormat="false" ht="15" hidden="false" customHeight="false" outlineLevel="0" collapsed="false">
      <c r="A6612" s="62" t="n">
        <v>1</v>
      </c>
      <c r="B6612" s="62" t="s">
        <v>387</v>
      </c>
      <c r="C6612" s="62" t="s">
        <v>60</v>
      </c>
      <c r="D6612" s="62" t="s">
        <v>72</v>
      </c>
      <c r="E6612" s="62" t="s">
        <v>382</v>
      </c>
      <c r="F6612" s="63" t="s">
        <v>677</v>
      </c>
      <c r="G6612" s="64" t="n">
        <v>12.308203789979</v>
      </c>
      <c r="H6612" s="62" t="s">
        <v>138</v>
      </c>
    </row>
    <row r="6613" customFormat="false" ht="15" hidden="false" customHeight="false" outlineLevel="0" collapsed="false">
      <c r="A6613" s="62" t="n">
        <v>1</v>
      </c>
      <c r="B6613" s="62" t="s">
        <v>388</v>
      </c>
      <c r="C6613" s="62" t="s">
        <v>60</v>
      </c>
      <c r="D6613" s="62" t="s">
        <v>72</v>
      </c>
      <c r="E6613" s="62" t="s">
        <v>382</v>
      </c>
      <c r="F6613" s="63" t="s">
        <v>677</v>
      </c>
      <c r="G6613" s="64" t="n">
        <v>13.5897652456541</v>
      </c>
      <c r="H6613" s="62" t="s">
        <v>138</v>
      </c>
    </row>
    <row r="6614" customFormat="false" ht="15" hidden="false" customHeight="false" outlineLevel="0" collapsed="false">
      <c r="A6614" s="62" t="n">
        <v>1</v>
      </c>
      <c r="B6614" s="62" t="s">
        <v>381</v>
      </c>
      <c r="C6614" s="62" t="s">
        <v>60</v>
      </c>
      <c r="D6614" s="62" t="s">
        <v>72</v>
      </c>
      <c r="E6614" s="62" t="s">
        <v>382</v>
      </c>
      <c r="F6614" s="63" t="s">
        <v>679</v>
      </c>
      <c r="G6614" s="64" t="n">
        <v>9.54127393839054</v>
      </c>
      <c r="H6614" s="62" t="s">
        <v>138</v>
      </c>
    </row>
    <row r="6615" customFormat="false" ht="15" hidden="false" customHeight="false" outlineLevel="0" collapsed="false">
      <c r="A6615" s="62" t="n">
        <v>1</v>
      </c>
      <c r="B6615" s="62" t="s">
        <v>383</v>
      </c>
      <c r="C6615" s="62" t="s">
        <v>60</v>
      </c>
      <c r="D6615" s="62" t="s">
        <v>72</v>
      </c>
      <c r="E6615" s="62" t="s">
        <v>382</v>
      </c>
      <c r="F6615" s="63" t="s">
        <v>679</v>
      </c>
      <c r="G6615" s="64" t="n">
        <v>9.28851947202366</v>
      </c>
      <c r="H6615" s="62" t="s">
        <v>138</v>
      </c>
    </row>
    <row r="6616" customFormat="false" ht="15" hidden="false" customHeight="false" outlineLevel="0" collapsed="false">
      <c r="A6616" s="62" t="n">
        <v>1</v>
      </c>
      <c r="B6616" s="62" t="s">
        <v>384</v>
      </c>
      <c r="C6616" s="62" t="s">
        <v>60</v>
      </c>
      <c r="D6616" s="62" t="s">
        <v>72</v>
      </c>
      <c r="E6616" s="62" t="s">
        <v>382</v>
      </c>
      <c r="F6616" s="63" t="s">
        <v>679</v>
      </c>
      <c r="G6616" s="64" t="n">
        <v>9.28487686025351</v>
      </c>
      <c r="H6616" s="62" t="s">
        <v>138</v>
      </c>
    </row>
    <row r="6617" customFormat="false" ht="15" hidden="false" customHeight="false" outlineLevel="0" collapsed="false">
      <c r="A6617" s="62" t="n">
        <v>1</v>
      </c>
      <c r="B6617" s="62" t="s">
        <v>385</v>
      </c>
      <c r="C6617" s="62" t="s">
        <v>60</v>
      </c>
      <c r="D6617" s="62" t="s">
        <v>72</v>
      </c>
      <c r="E6617" s="62" t="s">
        <v>382</v>
      </c>
      <c r="F6617" s="63" t="s">
        <v>679</v>
      </c>
      <c r="G6617" s="64" t="n">
        <v>9.29372266255892</v>
      </c>
      <c r="H6617" s="62" t="s">
        <v>138</v>
      </c>
    </row>
    <row r="6618" customFormat="false" ht="15" hidden="false" customHeight="false" outlineLevel="0" collapsed="false">
      <c r="A6618" s="62" t="n">
        <v>1</v>
      </c>
      <c r="B6618" s="62" t="s">
        <v>386</v>
      </c>
      <c r="C6618" s="62" t="s">
        <v>60</v>
      </c>
      <c r="D6618" s="62" t="s">
        <v>72</v>
      </c>
      <c r="E6618" s="62" t="s">
        <v>382</v>
      </c>
      <c r="F6618" s="63" t="s">
        <v>679</v>
      </c>
      <c r="G6618" s="64" t="n">
        <v>9.48794298126446</v>
      </c>
      <c r="H6618" s="62" t="s">
        <v>138</v>
      </c>
    </row>
    <row r="6619" customFormat="false" ht="15" hidden="false" customHeight="false" outlineLevel="0" collapsed="false">
      <c r="A6619" s="62" t="n">
        <v>1</v>
      </c>
      <c r="B6619" s="62" t="s">
        <v>387</v>
      </c>
      <c r="C6619" s="62" t="s">
        <v>60</v>
      </c>
      <c r="D6619" s="62" t="s">
        <v>72</v>
      </c>
      <c r="E6619" s="62" t="s">
        <v>382</v>
      </c>
      <c r="F6619" s="63" t="s">
        <v>679</v>
      </c>
      <c r="G6619" s="64" t="n">
        <v>9.34575865064614</v>
      </c>
      <c r="H6619" s="62" t="s">
        <v>138</v>
      </c>
    </row>
    <row r="6620" customFormat="false" ht="15" hidden="false" customHeight="false" outlineLevel="0" collapsed="false">
      <c r="A6620" s="62" t="n">
        <v>1</v>
      </c>
      <c r="B6620" s="62" t="s">
        <v>388</v>
      </c>
      <c r="C6620" s="62" t="s">
        <v>60</v>
      </c>
      <c r="D6620" s="62" t="s">
        <v>72</v>
      </c>
      <c r="E6620" s="62" t="s">
        <v>382</v>
      </c>
      <c r="F6620" s="63" t="s">
        <v>679</v>
      </c>
      <c r="G6620" s="64" t="n">
        <v>11.0783395048437</v>
      </c>
      <c r="H6620" s="62" t="s">
        <v>138</v>
      </c>
    </row>
    <row r="6621" customFormat="false" ht="15" hidden="false" customHeight="false" outlineLevel="0" collapsed="false">
      <c r="A6621" s="62" t="n">
        <v>1</v>
      </c>
      <c r="B6621" s="62" t="s">
        <v>381</v>
      </c>
      <c r="C6621" s="62" t="s">
        <v>60</v>
      </c>
      <c r="D6621" s="62" t="s">
        <v>72</v>
      </c>
      <c r="E6621" s="62" t="s">
        <v>382</v>
      </c>
      <c r="F6621" s="63" t="s">
        <v>680</v>
      </c>
      <c r="G6621" s="64" t="n">
        <v>13825825.3216675</v>
      </c>
      <c r="H6621" s="62" t="s">
        <v>138</v>
      </c>
    </row>
    <row r="6622" customFormat="false" ht="15" hidden="false" customHeight="false" outlineLevel="0" collapsed="false">
      <c r="A6622" s="62" t="n">
        <v>1</v>
      </c>
      <c r="B6622" s="62" t="s">
        <v>383</v>
      </c>
      <c r="C6622" s="62" t="s">
        <v>60</v>
      </c>
      <c r="D6622" s="62" t="s">
        <v>72</v>
      </c>
      <c r="E6622" s="62" t="s">
        <v>382</v>
      </c>
      <c r="F6622" s="63" t="s">
        <v>680</v>
      </c>
      <c r="G6622" s="64" t="n">
        <v>14389699.1111384</v>
      </c>
      <c r="H6622" s="62" t="s">
        <v>138</v>
      </c>
    </row>
    <row r="6623" customFormat="false" ht="15" hidden="false" customHeight="false" outlineLevel="0" collapsed="false">
      <c r="A6623" s="62" t="n">
        <v>1</v>
      </c>
      <c r="B6623" s="62" t="s">
        <v>384</v>
      </c>
      <c r="C6623" s="62" t="s">
        <v>60</v>
      </c>
      <c r="D6623" s="62" t="s">
        <v>72</v>
      </c>
      <c r="E6623" s="62" t="s">
        <v>382</v>
      </c>
      <c r="F6623" s="63" t="s">
        <v>680</v>
      </c>
      <c r="G6623" s="64" t="n">
        <v>14696316.5080558</v>
      </c>
      <c r="H6623" s="62" t="s">
        <v>138</v>
      </c>
    </row>
    <row r="6624" customFormat="false" ht="15" hidden="false" customHeight="false" outlineLevel="0" collapsed="false">
      <c r="A6624" s="62" t="n">
        <v>1</v>
      </c>
      <c r="B6624" s="62" t="s">
        <v>385</v>
      </c>
      <c r="C6624" s="62" t="s">
        <v>60</v>
      </c>
      <c r="D6624" s="62" t="s">
        <v>72</v>
      </c>
      <c r="E6624" s="62" t="s">
        <v>382</v>
      </c>
      <c r="F6624" s="63" t="s">
        <v>680</v>
      </c>
      <c r="G6624" s="64" t="n">
        <v>11493591.236938</v>
      </c>
      <c r="H6624" s="62" t="s">
        <v>138</v>
      </c>
    </row>
    <row r="6625" customFormat="false" ht="15" hidden="false" customHeight="false" outlineLevel="0" collapsed="false">
      <c r="A6625" s="62" t="n">
        <v>1</v>
      </c>
      <c r="B6625" s="62" t="s">
        <v>386</v>
      </c>
      <c r="C6625" s="62" t="s">
        <v>60</v>
      </c>
      <c r="D6625" s="62" t="s">
        <v>72</v>
      </c>
      <c r="E6625" s="62" t="s">
        <v>382</v>
      </c>
      <c r="F6625" s="63" t="s">
        <v>680</v>
      </c>
      <c r="G6625" s="64" t="n">
        <v>13882701.0977305</v>
      </c>
      <c r="H6625" s="62" t="s">
        <v>138</v>
      </c>
    </row>
    <row r="6626" customFormat="false" ht="15" hidden="false" customHeight="false" outlineLevel="0" collapsed="false">
      <c r="A6626" s="62" t="n">
        <v>1</v>
      </c>
      <c r="B6626" s="62" t="s">
        <v>387</v>
      </c>
      <c r="C6626" s="62" t="s">
        <v>60</v>
      </c>
      <c r="D6626" s="62" t="s">
        <v>72</v>
      </c>
      <c r="E6626" s="62" t="s">
        <v>382</v>
      </c>
      <c r="F6626" s="63" t="s">
        <v>680</v>
      </c>
      <c r="G6626" s="64" t="n">
        <v>13209848.2532249</v>
      </c>
      <c r="H6626" s="62" t="s">
        <v>138</v>
      </c>
    </row>
    <row r="6627" customFormat="false" ht="15" hidden="false" customHeight="false" outlineLevel="0" collapsed="false">
      <c r="A6627" s="62" t="n">
        <v>1</v>
      </c>
      <c r="B6627" s="62" t="s">
        <v>388</v>
      </c>
      <c r="C6627" s="62" t="s">
        <v>60</v>
      </c>
      <c r="D6627" s="62" t="s">
        <v>72</v>
      </c>
      <c r="E6627" s="62" t="s">
        <v>382</v>
      </c>
      <c r="F6627" s="63" t="s">
        <v>680</v>
      </c>
      <c r="G6627" s="64" t="n">
        <v>11276631.4876638</v>
      </c>
      <c r="H6627" s="62" t="s">
        <v>138</v>
      </c>
    </row>
    <row r="6628" customFormat="false" ht="15" hidden="false" customHeight="false" outlineLevel="0" collapsed="false">
      <c r="A6628" s="62" t="n">
        <v>1</v>
      </c>
      <c r="B6628" s="62" t="s">
        <v>381</v>
      </c>
      <c r="C6628" s="62" t="s">
        <v>60</v>
      </c>
      <c r="D6628" s="62" t="s">
        <v>72</v>
      </c>
      <c r="E6628" s="62" t="s">
        <v>382</v>
      </c>
      <c r="F6628" s="63" t="s">
        <v>681</v>
      </c>
      <c r="G6628" s="64" t="n">
        <v>14.5299763793413</v>
      </c>
      <c r="H6628" s="62" t="s">
        <v>138</v>
      </c>
    </row>
    <row r="6629" customFormat="false" ht="15" hidden="false" customHeight="false" outlineLevel="0" collapsed="false">
      <c r="A6629" s="62" t="n">
        <v>1</v>
      </c>
      <c r="B6629" s="62" t="s">
        <v>385</v>
      </c>
      <c r="C6629" s="62" t="s">
        <v>60</v>
      </c>
      <c r="D6629" s="62" t="s">
        <v>72</v>
      </c>
      <c r="E6629" s="62" t="s">
        <v>382</v>
      </c>
      <c r="F6629" s="63" t="s">
        <v>681</v>
      </c>
      <c r="G6629" s="64" t="n">
        <v>17.8662075686566</v>
      </c>
      <c r="H6629" s="62" t="s">
        <v>138</v>
      </c>
    </row>
    <row r="6630" customFormat="false" ht="15" hidden="false" customHeight="false" outlineLevel="0" collapsed="false">
      <c r="A6630" s="62" t="n">
        <v>1</v>
      </c>
      <c r="B6630" s="62" t="s">
        <v>381</v>
      </c>
      <c r="C6630" s="62" t="s">
        <v>60</v>
      </c>
      <c r="D6630" s="62" t="s">
        <v>72</v>
      </c>
      <c r="E6630" s="62" t="s">
        <v>382</v>
      </c>
      <c r="F6630" s="63" t="s">
        <v>682</v>
      </c>
      <c r="G6630" s="64" t="n">
        <v>314287.004167716</v>
      </c>
      <c r="H6630" s="62" t="s">
        <v>138</v>
      </c>
    </row>
    <row r="6631" customFormat="false" ht="15" hidden="false" customHeight="false" outlineLevel="0" collapsed="false">
      <c r="A6631" s="62" t="n">
        <v>1</v>
      </c>
      <c r="B6631" s="62" t="s">
        <v>383</v>
      </c>
      <c r="C6631" s="62" t="s">
        <v>60</v>
      </c>
      <c r="D6631" s="62" t="s">
        <v>72</v>
      </c>
      <c r="E6631" s="62" t="s">
        <v>382</v>
      </c>
      <c r="F6631" s="63" t="s">
        <v>682</v>
      </c>
      <c r="G6631" s="64" t="n">
        <v>491754.312725822</v>
      </c>
      <c r="H6631" s="62" t="s">
        <v>138</v>
      </c>
    </row>
    <row r="6632" customFormat="false" ht="15" hidden="false" customHeight="false" outlineLevel="0" collapsed="false">
      <c r="A6632" s="62" t="n">
        <v>1</v>
      </c>
      <c r="B6632" s="62" t="s">
        <v>384</v>
      </c>
      <c r="C6632" s="62" t="s">
        <v>60</v>
      </c>
      <c r="D6632" s="62" t="s">
        <v>72</v>
      </c>
      <c r="E6632" s="62" t="s">
        <v>382</v>
      </c>
      <c r="F6632" s="63" t="s">
        <v>682</v>
      </c>
      <c r="G6632" s="64" t="n">
        <v>236041.574642288</v>
      </c>
      <c r="H6632" s="62" t="s">
        <v>138</v>
      </c>
    </row>
    <row r="6633" customFormat="false" ht="15" hidden="false" customHeight="false" outlineLevel="0" collapsed="false">
      <c r="A6633" s="62" t="n">
        <v>1</v>
      </c>
      <c r="B6633" s="62" t="s">
        <v>385</v>
      </c>
      <c r="C6633" s="62" t="s">
        <v>60</v>
      </c>
      <c r="D6633" s="62" t="s">
        <v>72</v>
      </c>
      <c r="E6633" s="62" t="s">
        <v>382</v>
      </c>
      <c r="F6633" s="63" t="s">
        <v>682</v>
      </c>
      <c r="G6633" s="64" t="n">
        <v>180642.267261626</v>
      </c>
      <c r="H6633" s="62" t="s">
        <v>138</v>
      </c>
    </row>
    <row r="6634" customFormat="false" ht="15" hidden="false" customHeight="false" outlineLevel="0" collapsed="false">
      <c r="A6634" s="62" t="n">
        <v>1</v>
      </c>
      <c r="B6634" s="62" t="s">
        <v>386</v>
      </c>
      <c r="C6634" s="62" t="s">
        <v>60</v>
      </c>
      <c r="D6634" s="62" t="s">
        <v>72</v>
      </c>
      <c r="E6634" s="62" t="s">
        <v>382</v>
      </c>
      <c r="F6634" s="63" t="s">
        <v>682</v>
      </c>
      <c r="G6634" s="64" t="n">
        <v>305929.082860137</v>
      </c>
      <c r="H6634" s="62" t="s">
        <v>138</v>
      </c>
    </row>
    <row r="6635" customFormat="false" ht="15" hidden="false" customHeight="false" outlineLevel="0" collapsed="false">
      <c r="A6635" s="62" t="n">
        <v>1</v>
      </c>
      <c r="B6635" s="62" t="s">
        <v>387</v>
      </c>
      <c r="C6635" s="62" t="s">
        <v>60</v>
      </c>
      <c r="D6635" s="62" t="s">
        <v>72</v>
      </c>
      <c r="E6635" s="62" t="s">
        <v>382</v>
      </c>
      <c r="F6635" s="63" t="s">
        <v>682</v>
      </c>
      <c r="G6635" s="64" t="n">
        <v>500548.919957057</v>
      </c>
      <c r="H6635" s="62" t="s">
        <v>138</v>
      </c>
    </row>
    <row r="6636" customFormat="false" ht="15" hidden="false" customHeight="false" outlineLevel="0" collapsed="false">
      <c r="A6636" s="62" t="n">
        <v>1</v>
      </c>
      <c r="B6636" s="62" t="s">
        <v>388</v>
      </c>
      <c r="C6636" s="62" t="s">
        <v>60</v>
      </c>
      <c r="D6636" s="62" t="s">
        <v>72</v>
      </c>
      <c r="E6636" s="62" t="s">
        <v>382</v>
      </c>
      <c r="F6636" s="63" t="s">
        <v>682</v>
      </c>
      <c r="G6636" s="64" t="n">
        <v>444259.1723923</v>
      </c>
      <c r="H6636" s="62" t="s">
        <v>138</v>
      </c>
    </row>
    <row r="6637" customFormat="false" ht="15" hidden="false" customHeight="false" outlineLevel="0" collapsed="false">
      <c r="A6637" s="62" t="n">
        <v>1</v>
      </c>
      <c r="B6637" s="62" t="s">
        <v>381</v>
      </c>
      <c r="C6637" s="62" t="s">
        <v>60</v>
      </c>
      <c r="D6637" s="62" t="s">
        <v>72</v>
      </c>
      <c r="E6637" s="62" t="s">
        <v>382</v>
      </c>
      <c r="F6637" s="63" t="s">
        <v>683</v>
      </c>
      <c r="G6637" s="64" t="n">
        <v>20959800.3266283</v>
      </c>
      <c r="H6637" s="62" t="s">
        <v>138</v>
      </c>
    </row>
    <row r="6638" customFormat="false" ht="15" hidden="false" customHeight="false" outlineLevel="0" collapsed="false">
      <c r="A6638" s="62" t="n">
        <v>1</v>
      </c>
      <c r="B6638" s="62" t="s">
        <v>383</v>
      </c>
      <c r="C6638" s="62" t="s">
        <v>60</v>
      </c>
      <c r="D6638" s="62" t="s">
        <v>72</v>
      </c>
      <c r="E6638" s="62" t="s">
        <v>382</v>
      </c>
      <c r="F6638" s="63" t="s">
        <v>683</v>
      </c>
      <c r="G6638" s="64" t="n">
        <v>24160544.8004254</v>
      </c>
      <c r="H6638" s="62" t="s">
        <v>138</v>
      </c>
    </row>
    <row r="6639" customFormat="false" ht="15" hidden="false" customHeight="false" outlineLevel="0" collapsed="false">
      <c r="A6639" s="62" t="n">
        <v>1</v>
      </c>
      <c r="B6639" s="62" t="s">
        <v>384</v>
      </c>
      <c r="C6639" s="62" t="s">
        <v>60</v>
      </c>
      <c r="D6639" s="62" t="s">
        <v>72</v>
      </c>
      <c r="E6639" s="62" t="s">
        <v>382</v>
      </c>
      <c r="F6639" s="63" t="s">
        <v>683</v>
      </c>
      <c r="G6639" s="64" t="n">
        <v>24696808.9050307</v>
      </c>
      <c r="H6639" s="62" t="s">
        <v>138</v>
      </c>
    </row>
    <row r="6640" customFormat="false" ht="15" hidden="false" customHeight="false" outlineLevel="0" collapsed="false">
      <c r="A6640" s="62" t="n">
        <v>1</v>
      </c>
      <c r="B6640" s="62" t="s">
        <v>385</v>
      </c>
      <c r="C6640" s="62" t="s">
        <v>60</v>
      </c>
      <c r="D6640" s="62" t="s">
        <v>72</v>
      </c>
      <c r="E6640" s="62" t="s">
        <v>382</v>
      </c>
      <c r="F6640" s="63" t="s">
        <v>683</v>
      </c>
      <c r="G6640" s="64" t="n">
        <v>21006800.7091965</v>
      </c>
      <c r="H6640" s="62" t="s">
        <v>138</v>
      </c>
    </row>
    <row r="6641" customFormat="false" ht="15" hidden="false" customHeight="false" outlineLevel="0" collapsed="false">
      <c r="A6641" s="62" t="n">
        <v>1</v>
      </c>
      <c r="B6641" s="62" t="s">
        <v>386</v>
      </c>
      <c r="C6641" s="62" t="s">
        <v>60</v>
      </c>
      <c r="D6641" s="62" t="s">
        <v>72</v>
      </c>
      <c r="E6641" s="62" t="s">
        <v>382</v>
      </c>
      <c r="F6641" s="63" t="s">
        <v>683</v>
      </c>
      <c r="G6641" s="64" t="n">
        <v>24406376.4927533</v>
      </c>
      <c r="H6641" s="62" t="s">
        <v>138</v>
      </c>
    </row>
    <row r="6642" customFormat="false" ht="15" hidden="false" customHeight="false" outlineLevel="0" collapsed="false">
      <c r="A6642" s="62" t="n">
        <v>1</v>
      </c>
      <c r="B6642" s="62" t="s">
        <v>387</v>
      </c>
      <c r="C6642" s="62" t="s">
        <v>60</v>
      </c>
      <c r="D6642" s="62" t="s">
        <v>72</v>
      </c>
      <c r="E6642" s="62" t="s">
        <v>382</v>
      </c>
      <c r="F6642" s="63" t="s">
        <v>683</v>
      </c>
      <c r="G6642" s="64" t="n">
        <v>20568206.41941</v>
      </c>
      <c r="H6642" s="62" t="s">
        <v>138</v>
      </c>
    </row>
    <row r="6643" customFormat="false" ht="15" hidden="false" customHeight="false" outlineLevel="0" collapsed="false">
      <c r="A6643" s="62" t="n">
        <v>1</v>
      </c>
      <c r="B6643" s="62" t="s">
        <v>388</v>
      </c>
      <c r="C6643" s="62" t="s">
        <v>60</v>
      </c>
      <c r="D6643" s="62" t="s">
        <v>72</v>
      </c>
      <c r="E6643" s="62" t="s">
        <v>382</v>
      </c>
      <c r="F6643" s="63" t="s">
        <v>683</v>
      </c>
      <c r="G6643" s="64" t="n">
        <v>13610564.9919841</v>
      </c>
      <c r="H6643" s="62" t="s">
        <v>138</v>
      </c>
    </row>
    <row r="6644" customFormat="false" ht="15" hidden="false" customHeight="false" outlineLevel="0" collapsed="false">
      <c r="A6644" s="62" t="n">
        <v>1</v>
      </c>
      <c r="B6644" s="62" t="s">
        <v>381</v>
      </c>
      <c r="C6644" s="62" t="s">
        <v>60</v>
      </c>
      <c r="D6644" s="62" t="s">
        <v>72</v>
      </c>
      <c r="E6644" s="62" t="s">
        <v>382</v>
      </c>
      <c r="F6644" s="63" t="s">
        <v>684</v>
      </c>
      <c r="G6644" s="64" t="n">
        <v>10490725.1886729</v>
      </c>
      <c r="H6644" s="62" t="s">
        <v>138</v>
      </c>
    </row>
    <row r="6645" customFormat="false" ht="15" hidden="false" customHeight="false" outlineLevel="0" collapsed="false">
      <c r="A6645" s="62" t="n">
        <v>1</v>
      </c>
      <c r="B6645" s="62" t="s">
        <v>383</v>
      </c>
      <c r="C6645" s="62" t="s">
        <v>60</v>
      </c>
      <c r="D6645" s="62" t="s">
        <v>72</v>
      </c>
      <c r="E6645" s="62" t="s">
        <v>382</v>
      </c>
      <c r="F6645" s="63" t="s">
        <v>684</v>
      </c>
      <c r="G6645" s="64" t="n">
        <v>7857345.40791282</v>
      </c>
      <c r="H6645" s="62" t="s">
        <v>138</v>
      </c>
    </row>
    <row r="6646" customFormat="false" ht="15" hidden="false" customHeight="false" outlineLevel="0" collapsed="false">
      <c r="A6646" s="62" t="n">
        <v>1</v>
      </c>
      <c r="B6646" s="62" t="s">
        <v>384</v>
      </c>
      <c r="C6646" s="62" t="s">
        <v>60</v>
      </c>
      <c r="D6646" s="62" t="s">
        <v>72</v>
      </c>
      <c r="E6646" s="62" t="s">
        <v>382</v>
      </c>
      <c r="F6646" s="63" t="s">
        <v>684</v>
      </c>
      <c r="G6646" s="64" t="n">
        <v>9784030.87293979</v>
      </c>
      <c r="H6646" s="62" t="s">
        <v>138</v>
      </c>
    </row>
    <row r="6647" customFormat="false" ht="15" hidden="false" customHeight="false" outlineLevel="0" collapsed="false">
      <c r="A6647" s="62" t="n">
        <v>1</v>
      </c>
      <c r="B6647" s="62" t="s">
        <v>385</v>
      </c>
      <c r="C6647" s="62" t="s">
        <v>60</v>
      </c>
      <c r="D6647" s="62" t="s">
        <v>72</v>
      </c>
      <c r="E6647" s="62" t="s">
        <v>382</v>
      </c>
      <c r="F6647" s="63" t="s">
        <v>684</v>
      </c>
      <c r="G6647" s="64" t="n">
        <v>8565659.32667419</v>
      </c>
      <c r="H6647" s="62" t="s">
        <v>138</v>
      </c>
    </row>
    <row r="6648" customFormat="false" ht="15" hidden="false" customHeight="false" outlineLevel="0" collapsed="false">
      <c r="A6648" s="62" t="n">
        <v>1</v>
      </c>
      <c r="B6648" s="62" t="s">
        <v>386</v>
      </c>
      <c r="C6648" s="62" t="s">
        <v>60</v>
      </c>
      <c r="D6648" s="62" t="s">
        <v>72</v>
      </c>
      <c r="E6648" s="62" t="s">
        <v>382</v>
      </c>
      <c r="F6648" s="63" t="s">
        <v>684</v>
      </c>
      <c r="G6648" s="64" t="n">
        <v>9922453.39403898</v>
      </c>
      <c r="H6648" s="62" t="s">
        <v>138</v>
      </c>
    </row>
    <row r="6649" customFormat="false" ht="15" hidden="false" customHeight="false" outlineLevel="0" collapsed="false">
      <c r="A6649" s="62" t="n">
        <v>1</v>
      </c>
      <c r="B6649" s="62" t="s">
        <v>387</v>
      </c>
      <c r="C6649" s="62" t="s">
        <v>60</v>
      </c>
      <c r="D6649" s="62" t="s">
        <v>72</v>
      </c>
      <c r="E6649" s="62" t="s">
        <v>382</v>
      </c>
      <c r="F6649" s="63" t="s">
        <v>684</v>
      </c>
      <c r="G6649" s="64" t="n">
        <v>9719757.52090224</v>
      </c>
      <c r="H6649" s="62" t="s">
        <v>138</v>
      </c>
    </row>
    <row r="6650" customFormat="false" ht="15" hidden="false" customHeight="false" outlineLevel="0" collapsed="false">
      <c r="A6650" s="62" t="n">
        <v>1</v>
      </c>
      <c r="B6650" s="62" t="s">
        <v>388</v>
      </c>
      <c r="C6650" s="62" t="s">
        <v>60</v>
      </c>
      <c r="D6650" s="62" t="s">
        <v>72</v>
      </c>
      <c r="E6650" s="62" t="s">
        <v>382</v>
      </c>
      <c r="F6650" s="63" t="s">
        <v>684</v>
      </c>
      <c r="G6650" s="64" t="n">
        <v>8348699.5774</v>
      </c>
      <c r="H6650" s="62" t="s">
        <v>138</v>
      </c>
    </row>
    <row r="6651" customFormat="false" ht="15" hidden="false" customHeight="false" outlineLevel="0" collapsed="false">
      <c r="A6651" s="62" t="n">
        <v>1</v>
      </c>
      <c r="B6651" s="62" t="s">
        <v>381</v>
      </c>
      <c r="C6651" s="62" t="s">
        <v>60</v>
      </c>
      <c r="D6651" s="62" t="s">
        <v>72</v>
      </c>
      <c r="E6651" s="62" t="s">
        <v>382</v>
      </c>
      <c r="F6651" s="63" t="s">
        <v>685</v>
      </c>
      <c r="G6651" s="64" t="n">
        <v>41962900.7546916</v>
      </c>
      <c r="H6651" s="62" t="s">
        <v>138</v>
      </c>
    </row>
    <row r="6652" customFormat="false" ht="15" hidden="false" customHeight="false" outlineLevel="0" collapsed="false">
      <c r="A6652" s="62" t="n">
        <v>1</v>
      </c>
      <c r="B6652" s="62" t="s">
        <v>383</v>
      </c>
      <c r="C6652" s="62" t="s">
        <v>60</v>
      </c>
      <c r="D6652" s="62" t="s">
        <v>72</v>
      </c>
      <c r="E6652" s="62" t="s">
        <v>382</v>
      </c>
      <c r="F6652" s="63" t="s">
        <v>685</v>
      </c>
      <c r="G6652" s="64" t="n">
        <v>31429381.6316513</v>
      </c>
      <c r="H6652" s="62" t="s">
        <v>138</v>
      </c>
    </row>
    <row r="6653" customFormat="false" ht="15" hidden="false" customHeight="false" outlineLevel="0" collapsed="false">
      <c r="A6653" s="62" t="n">
        <v>1</v>
      </c>
      <c r="B6653" s="62" t="s">
        <v>384</v>
      </c>
      <c r="C6653" s="62" t="s">
        <v>60</v>
      </c>
      <c r="D6653" s="62" t="s">
        <v>72</v>
      </c>
      <c r="E6653" s="62" t="s">
        <v>382</v>
      </c>
      <c r="F6653" s="63" t="s">
        <v>685</v>
      </c>
      <c r="G6653" s="64" t="n">
        <v>39136123.4917592</v>
      </c>
      <c r="H6653" s="62" t="s">
        <v>138</v>
      </c>
    </row>
    <row r="6654" customFormat="false" ht="15" hidden="false" customHeight="false" outlineLevel="0" collapsed="false">
      <c r="A6654" s="62" t="n">
        <v>1</v>
      </c>
      <c r="B6654" s="62" t="s">
        <v>385</v>
      </c>
      <c r="C6654" s="62" t="s">
        <v>60</v>
      </c>
      <c r="D6654" s="62" t="s">
        <v>72</v>
      </c>
      <c r="E6654" s="62" t="s">
        <v>382</v>
      </c>
      <c r="F6654" s="63" t="s">
        <v>685</v>
      </c>
      <c r="G6654" s="64" t="n">
        <v>34262637.3066967</v>
      </c>
      <c r="H6654" s="62" t="s">
        <v>138</v>
      </c>
    </row>
    <row r="6655" customFormat="false" ht="15" hidden="false" customHeight="false" outlineLevel="0" collapsed="false">
      <c r="A6655" s="62" t="n">
        <v>1</v>
      </c>
      <c r="B6655" s="62" t="s">
        <v>386</v>
      </c>
      <c r="C6655" s="62" t="s">
        <v>60</v>
      </c>
      <c r="D6655" s="62" t="s">
        <v>72</v>
      </c>
      <c r="E6655" s="62" t="s">
        <v>382</v>
      </c>
      <c r="F6655" s="63" t="s">
        <v>685</v>
      </c>
      <c r="G6655" s="64" t="n">
        <v>39689813.5761559</v>
      </c>
      <c r="H6655" s="62" t="s">
        <v>138</v>
      </c>
    </row>
    <row r="6656" customFormat="false" ht="15" hidden="false" customHeight="false" outlineLevel="0" collapsed="false">
      <c r="A6656" s="62" t="n">
        <v>1</v>
      </c>
      <c r="B6656" s="62" t="s">
        <v>387</v>
      </c>
      <c r="C6656" s="62" t="s">
        <v>60</v>
      </c>
      <c r="D6656" s="62" t="s">
        <v>72</v>
      </c>
      <c r="E6656" s="62" t="s">
        <v>382</v>
      </c>
      <c r="F6656" s="63" t="s">
        <v>685</v>
      </c>
      <c r="G6656" s="64" t="n">
        <v>38879030.0836089</v>
      </c>
      <c r="H6656" s="62" t="s">
        <v>138</v>
      </c>
    </row>
    <row r="6657" customFormat="false" ht="15" hidden="false" customHeight="false" outlineLevel="0" collapsed="false">
      <c r="A6657" s="62" t="n">
        <v>1</v>
      </c>
      <c r="B6657" s="62" t="s">
        <v>388</v>
      </c>
      <c r="C6657" s="62" t="s">
        <v>60</v>
      </c>
      <c r="D6657" s="62" t="s">
        <v>72</v>
      </c>
      <c r="E6657" s="62" t="s">
        <v>382</v>
      </c>
      <c r="F6657" s="63" t="s">
        <v>685</v>
      </c>
      <c r="G6657" s="64" t="n">
        <v>33394798.3096</v>
      </c>
      <c r="H6657" s="62" t="s">
        <v>138</v>
      </c>
    </row>
    <row r="6658" customFormat="false" ht="15" hidden="false" customHeight="false" outlineLevel="0" collapsed="false">
      <c r="A6658" s="62" t="n">
        <v>1</v>
      </c>
      <c r="B6658" s="62" t="s">
        <v>381</v>
      </c>
      <c r="C6658" s="62" t="s">
        <v>60</v>
      </c>
      <c r="D6658" s="62" t="s">
        <v>72</v>
      </c>
      <c r="E6658" s="62" t="s">
        <v>382</v>
      </c>
      <c r="F6658" s="63" t="s">
        <v>686</v>
      </c>
      <c r="G6658" s="64" t="n">
        <v>2013726.98995441</v>
      </c>
      <c r="H6658" s="62" t="s">
        <v>138</v>
      </c>
    </row>
    <row r="6659" customFormat="false" ht="15" hidden="false" customHeight="false" outlineLevel="0" collapsed="false">
      <c r="A6659" s="62" t="n">
        <v>1</v>
      </c>
      <c r="B6659" s="62" t="s">
        <v>383</v>
      </c>
      <c r="C6659" s="62" t="s">
        <v>60</v>
      </c>
      <c r="D6659" s="62" t="s">
        <v>72</v>
      </c>
      <c r="E6659" s="62" t="s">
        <v>382</v>
      </c>
      <c r="F6659" s="63" t="s">
        <v>686</v>
      </c>
      <c r="G6659" s="64" t="n">
        <v>2212491.43610199</v>
      </c>
      <c r="H6659" s="62" t="s">
        <v>138</v>
      </c>
    </row>
    <row r="6660" customFormat="false" ht="15" hidden="false" customHeight="false" outlineLevel="0" collapsed="false">
      <c r="A6660" s="62" t="n">
        <v>1</v>
      </c>
      <c r="B6660" s="62" t="s">
        <v>384</v>
      </c>
      <c r="C6660" s="62" t="s">
        <v>60</v>
      </c>
      <c r="D6660" s="62" t="s">
        <v>72</v>
      </c>
      <c r="E6660" s="62" t="s">
        <v>382</v>
      </c>
      <c r="F6660" s="63" t="s">
        <v>686</v>
      </c>
      <c r="G6660" s="64" t="n">
        <v>2495417.15557904</v>
      </c>
      <c r="H6660" s="62" t="s">
        <v>138</v>
      </c>
    </row>
    <row r="6661" customFormat="false" ht="15" hidden="false" customHeight="false" outlineLevel="0" collapsed="false">
      <c r="A6661" s="62" t="n">
        <v>1</v>
      </c>
      <c r="B6661" s="62" t="s">
        <v>385</v>
      </c>
      <c r="C6661" s="62" t="s">
        <v>60</v>
      </c>
      <c r="D6661" s="62" t="s">
        <v>72</v>
      </c>
      <c r="E6661" s="62" t="s">
        <v>382</v>
      </c>
      <c r="F6661" s="63" t="s">
        <v>686</v>
      </c>
      <c r="G6661" s="64" t="n">
        <v>1896402.14532652</v>
      </c>
      <c r="H6661" s="62" t="s">
        <v>138</v>
      </c>
    </row>
    <row r="6662" customFormat="false" ht="15" hidden="false" customHeight="false" outlineLevel="0" collapsed="false">
      <c r="A6662" s="62" t="n">
        <v>1</v>
      </c>
      <c r="B6662" s="62" t="s">
        <v>386</v>
      </c>
      <c r="C6662" s="62" t="s">
        <v>60</v>
      </c>
      <c r="D6662" s="62" t="s">
        <v>72</v>
      </c>
      <c r="E6662" s="62" t="s">
        <v>382</v>
      </c>
      <c r="F6662" s="63" t="s">
        <v>686</v>
      </c>
      <c r="G6662" s="64" t="n">
        <v>2375655.67479659</v>
      </c>
      <c r="H6662" s="62" t="s">
        <v>138</v>
      </c>
    </row>
    <row r="6663" customFormat="false" ht="15" hidden="false" customHeight="false" outlineLevel="0" collapsed="false">
      <c r="A6663" s="62" t="n">
        <v>1</v>
      </c>
      <c r="B6663" s="62" t="s">
        <v>387</v>
      </c>
      <c r="C6663" s="62" t="s">
        <v>60</v>
      </c>
      <c r="D6663" s="62" t="s">
        <v>72</v>
      </c>
      <c r="E6663" s="62" t="s">
        <v>382</v>
      </c>
      <c r="F6663" s="63" t="s">
        <v>686</v>
      </c>
      <c r="G6663" s="64" t="n">
        <v>1834066.34393921</v>
      </c>
      <c r="H6663" s="62" t="s">
        <v>138</v>
      </c>
    </row>
    <row r="6664" customFormat="false" ht="15" hidden="false" customHeight="false" outlineLevel="0" collapsed="false">
      <c r="A6664" s="62" t="n">
        <v>1</v>
      </c>
      <c r="B6664" s="62" t="s">
        <v>388</v>
      </c>
      <c r="C6664" s="62" t="s">
        <v>60</v>
      </c>
      <c r="D6664" s="62" t="s">
        <v>72</v>
      </c>
      <c r="E6664" s="62" t="s">
        <v>382</v>
      </c>
      <c r="F6664" s="63" t="s">
        <v>686</v>
      </c>
      <c r="G6664" s="64" t="n">
        <v>1410133.27117909</v>
      </c>
      <c r="H6664" s="62" t="s">
        <v>138</v>
      </c>
    </row>
    <row r="6665" customFormat="false" ht="15" hidden="false" customHeight="false" outlineLevel="0" collapsed="false">
      <c r="A6665" s="62" t="n">
        <v>1</v>
      </c>
      <c r="B6665" s="62" t="s">
        <v>381</v>
      </c>
      <c r="C6665" s="62" t="s">
        <v>60</v>
      </c>
      <c r="D6665" s="62" t="s">
        <v>72</v>
      </c>
      <c r="E6665" s="62" t="s">
        <v>382</v>
      </c>
      <c r="F6665" s="63" t="s">
        <v>687</v>
      </c>
      <c r="G6665" s="64" t="n">
        <v>23459919.4329688</v>
      </c>
      <c r="H6665" s="62" t="s">
        <v>138</v>
      </c>
    </row>
    <row r="6666" customFormat="false" ht="15" hidden="false" customHeight="false" outlineLevel="0" collapsed="false">
      <c r="A6666" s="62" t="n">
        <v>1</v>
      </c>
      <c r="B6666" s="62" t="s">
        <v>383</v>
      </c>
      <c r="C6666" s="62" t="s">
        <v>60</v>
      </c>
      <c r="D6666" s="62" t="s">
        <v>72</v>
      </c>
      <c r="E6666" s="62" t="s">
        <v>382</v>
      </c>
      <c r="F6666" s="63" t="s">
        <v>687</v>
      </c>
      <c r="G6666" s="64" t="n">
        <v>25775525.2305882</v>
      </c>
      <c r="H6666" s="62" t="s">
        <v>138</v>
      </c>
    </row>
    <row r="6667" customFormat="false" ht="15" hidden="false" customHeight="false" outlineLevel="0" collapsed="false">
      <c r="A6667" s="62" t="n">
        <v>1</v>
      </c>
      <c r="B6667" s="62" t="s">
        <v>384</v>
      </c>
      <c r="C6667" s="62" t="s">
        <v>60</v>
      </c>
      <c r="D6667" s="62" t="s">
        <v>72</v>
      </c>
      <c r="E6667" s="62" t="s">
        <v>382</v>
      </c>
      <c r="F6667" s="63" t="s">
        <v>687</v>
      </c>
      <c r="G6667" s="64" t="n">
        <v>29071609.8624958</v>
      </c>
      <c r="H6667" s="62" t="s">
        <v>138</v>
      </c>
    </row>
    <row r="6668" customFormat="false" ht="15" hidden="false" customHeight="false" outlineLevel="0" collapsed="false">
      <c r="A6668" s="62" t="n">
        <v>1</v>
      </c>
      <c r="B6668" s="62" t="s">
        <v>385</v>
      </c>
      <c r="C6668" s="62" t="s">
        <v>60</v>
      </c>
      <c r="D6668" s="62" t="s">
        <v>72</v>
      </c>
      <c r="E6668" s="62" t="s">
        <v>382</v>
      </c>
      <c r="F6668" s="63" t="s">
        <v>687</v>
      </c>
      <c r="G6668" s="64" t="n">
        <v>22093084.993054</v>
      </c>
      <c r="H6668" s="62" t="s">
        <v>138</v>
      </c>
    </row>
    <row r="6669" customFormat="false" ht="15" hidden="false" customHeight="false" outlineLevel="0" collapsed="false">
      <c r="A6669" s="62" t="n">
        <v>1</v>
      </c>
      <c r="B6669" s="62" t="s">
        <v>386</v>
      </c>
      <c r="C6669" s="62" t="s">
        <v>60</v>
      </c>
      <c r="D6669" s="62" t="s">
        <v>72</v>
      </c>
      <c r="E6669" s="62" t="s">
        <v>382</v>
      </c>
      <c r="F6669" s="63" t="s">
        <v>687</v>
      </c>
      <c r="G6669" s="64" t="n">
        <v>27676388.6113802</v>
      </c>
      <c r="H6669" s="62" t="s">
        <v>138</v>
      </c>
    </row>
    <row r="6670" customFormat="false" ht="15" hidden="false" customHeight="false" outlineLevel="0" collapsed="false">
      <c r="A6670" s="62" t="n">
        <v>1</v>
      </c>
      <c r="B6670" s="62" t="s">
        <v>387</v>
      </c>
      <c r="C6670" s="62" t="s">
        <v>60</v>
      </c>
      <c r="D6670" s="62" t="s">
        <v>72</v>
      </c>
      <c r="E6670" s="62" t="s">
        <v>382</v>
      </c>
      <c r="F6670" s="63" t="s">
        <v>687</v>
      </c>
      <c r="G6670" s="64" t="n">
        <v>21366872.9068918</v>
      </c>
      <c r="H6670" s="62" t="s">
        <v>138</v>
      </c>
    </row>
    <row r="6671" customFormat="false" ht="15" hidden="false" customHeight="false" outlineLevel="0" collapsed="false">
      <c r="A6671" s="62" t="n">
        <v>1</v>
      </c>
      <c r="B6671" s="62" t="s">
        <v>388</v>
      </c>
      <c r="C6671" s="62" t="s">
        <v>60</v>
      </c>
      <c r="D6671" s="62" t="s">
        <v>72</v>
      </c>
      <c r="E6671" s="62" t="s">
        <v>382</v>
      </c>
      <c r="F6671" s="63" t="s">
        <v>687</v>
      </c>
      <c r="G6671" s="64" t="n">
        <v>16428052.6092364</v>
      </c>
      <c r="H6671" s="62" t="s">
        <v>138</v>
      </c>
    </row>
    <row r="6672" customFormat="false" ht="15" hidden="false" customHeight="false" outlineLevel="0" collapsed="false">
      <c r="A6672" s="62" t="n">
        <v>1</v>
      </c>
      <c r="B6672" s="62" t="s">
        <v>381</v>
      </c>
      <c r="C6672" s="62" t="s">
        <v>60</v>
      </c>
      <c r="D6672" s="62" t="s">
        <v>72</v>
      </c>
      <c r="E6672" s="62" t="s">
        <v>382</v>
      </c>
      <c r="F6672" s="63" t="s">
        <v>688</v>
      </c>
      <c r="G6672" s="64" t="n">
        <v>1822593.87895441</v>
      </c>
      <c r="H6672" s="62" t="s">
        <v>138</v>
      </c>
    </row>
    <row r="6673" customFormat="false" ht="15" hidden="false" customHeight="false" outlineLevel="0" collapsed="false">
      <c r="A6673" s="62" t="n">
        <v>1</v>
      </c>
      <c r="B6673" s="62" t="s">
        <v>383</v>
      </c>
      <c r="C6673" s="62" t="s">
        <v>60</v>
      </c>
      <c r="D6673" s="62" t="s">
        <v>72</v>
      </c>
      <c r="E6673" s="62" t="s">
        <v>382</v>
      </c>
      <c r="F6673" s="63" t="s">
        <v>688</v>
      </c>
      <c r="G6673" s="64" t="n">
        <v>2021358.32510199</v>
      </c>
      <c r="H6673" s="62" t="s">
        <v>138</v>
      </c>
    </row>
    <row r="6674" customFormat="false" ht="15" hidden="false" customHeight="false" outlineLevel="0" collapsed="false">
      <c r="A6674" s="62" t="n">
        <v>1</v>
      </c>
      <c r="B6674" s="62" t="s">
        <v>384</v>
      </c>
      <c r="C6674" s="62" t="s">
        <v>60</v>
      </c>
      <c r="D6674" s="62" t="s">
        <v>72</v>
      </c>
      <c r="E6674" s="62" t="s">
        <v>382</v>
      </c>
      <c r="F6674" s="63" t="s">
        <v>688</v>
      </c>
      <c r="G6674" s="64" t="n">
        <v>2304284.04457904</v>
      </c>
      <c r="H6674" s="62" t="s">
        <v>138</v>
      </c>
    </row>
    <row r="6675" customFormat="false" ht="15" hidden="false" customHeight="false" outlineLevel="0" collapsed="false">
      <c r="A6675" s="62" t="n">
        <v>1</v>
      </c>
      <c r="B6675" s="62" t="s">
        <v>385</v>
      </c>
      <c r="C6675" s="62" t="s">
        <v>60</v>
      </c>
      <c r="D6675" s="62" t="s">
        <v>72</v>
      </c>
      <c r="E6675" s="62" t="s">
        <v>382</v>
      </c>
      <c r="F6675" s="63" t="s">
        <v>688</v>
      </c>
      <c r="G6675" s="64" t="n">
        <v>1705269.03432652</v>
      </c>
      <c r="H6675" s="62" t="s">
        <v>138</v>
      </c>
    </row>
    <row r="6676" customFormat="false" ht="15" hidden="false" customHeight="false" outlineLevel="0" collapsed="false">
      <c r="A6676" s="62" t="n">
        <v>1</v>
      </c>
      <c r="B6676" s="62" t="s">
        <v>386</v>
      </c>
      <c r="C6676" s="62" t="s">
        <v>60</v>
      </c>
      <c r="D6676" s="62" t="s">
        <v>72</v>
      </c>
      <c r="E6676" s="62" t="s">
        <v>382</v>
      </c>
      <c r="F6676" s="63" t="s">
        <v>688</v>
      </c>
      <c r="G6676" s="64" t="n">
        <v>2184522.56379659</v>
      </c>
      <c r="H6676" s="62" t="s">
        <v>138</v>
      </c>
    </row>
    <row r="6677" customFormat="false" ht="15" hidden="false" customHeight="false" outlineLevel="0" collapsed="false">
      <c r="A6677" s="62" t="n">
        <v>1</v>
      </c>
      <c r="B6677" s="62" t="s">
        <v>387</v>
      </c>
      <c r="C6677" s="62" t="s">
        <v>60</v>
      </c>
      <c r="D6677" s="62" t="s">
        <v>72</v>
      </c>
      <c r="E6677" s="62" t="s">
        <v>382</v>
      </c>
      <c r="F6677" s="63" t="s">
        <v>688</v>
      </c>
      <c r="G6677" s="64" t="n">
        <v>1642933.23293921</v>
      </c>
      <c r="H6677" s="62" t="s">
        <v>138</v>
      </c>
    </row>
    <row r="6678" customFormat="false" ht="15" hidden="false" customHeight="false" outlineLevel="0" collapsed="false">
      <c r="A6678" s="62" t="n">
        <v>1</v>
      </c>
      <c r="B6678" s="62" t="s">
        <v>388</v>
      </c>
      <c r="C6678" s="62" t="s">
        <v>60</v>
      </c>
      <c r="D6678" s="62" t="s">
        <v>72</v>
      </c>
      <c r="E6678" s="62" t="s">
        <v>382</v>
      </c>
      <c r="F6678" s="63" t="s">
        <v>688</v>
      </c>
      <c r="G6678" s="64" t="n">
        <v>1219000.16017909</v>
      </c>
      <c r="H6678" s="62" t="s">
        <v>138</v>
      </c>
    </row>
    <row r="6679" customFormat="false" ht="15" hidden="false" customHeight="false" outlineLevel="0" collapsed="false">
      <c r="A6679" s="62" t="n">
        <v>1</v>
      </c>
      <c r="B6679" s="62" t="s">
        <v>381</v>
      </c>
      <c r="C6679" s="62" t="s">
        <v>60</v>
      </c>
      <c r="D6679" s="62" t="s">
        <v>72</v>
      </c>
      <c r="E6679" s="62" t="s">
        <v>382</v>
      </c>
      <c r="F6679" s="63" t="s">
        <v>689</v>
      </c>
      <c r="G6679" s="64" t="n">
        <v>26664548.449103</v>
      </c>
      <c r="H6679" s="62" t="s">
        <v>138</v>
      </c>
    </row>
    <row r="6680" customFormat="false" ht="15" hidden="false" customHeight="false" outlineLevel="0" collapsed="false">
      <c r="A6680" s="62" t="n">
        <v>1</v>
      </c>
      <c r="B6680" s="62" t="s">
        <v>383</v>
      </c>
      <c r="C6680" s="62" t="s">
        <v>60</v>
      </c>
      <c r="D6680" s="62" t="s">
        <v>72</v>
      </c>
      <c r="E6680" s="62" t="s">
        <v>382</v>
      </c>
      <c r="F6680" s="63" t="s">
        <v>689</v>
      </c>
      <c r="G6680" s="64" t="n">
        <v>29572472.2962421</v>
      </c>
      <c r="H6680" s="62" t="s">
        <v>138</v>
      </c>
    </row>
    <row r="6681" customFormat="false" ht="15" hidden="false" customHeight="false" outlineLevel="0" collapsed="false">
      <c r="A6681" s="62" t="n">
        <v>1</v>
      </c>
      <c r="B6681" s="62" t="s">
        <v>384</v>
      </c>
      <c r="C6681" s="62" t="s">
        <v>60</v>
      </c>
      <c r="D6681" s="62" t="s">
        <v>72</v>
      </c>
      <c r="E6681" s="62" t="s">
        <v>382</v>
      </c>
      <c r="F6681" s="63" t="s">
        <v>689</v>
      </c>
      <c r="G6681" s="64" t="n">
        <v>33711675.5721914</v>
      </c>
      <c r="H6681" s="62" t="s">
        <v>138</v>
      </c>
    </row>
    <row r="6682" customFormat="false" ht="15" hidden="false" customHeight="false" outlineLevel="0" collapsed="false">
      <c r="A6682" s="62" t="n">
        <v>1</v>
      </c>
      <c r="B6682" s="62" t="s">
        <v>385</v>
      </c>
      <c r="C6682" s="62" t="s">
        <v>60</v>
      </c>
      <c r="D6682" s="62" t="s">
        <v>72</v>
      </c>
      <c r="E6682" s="62" t="s">
        <v>382</v>
      </c>
      <c r="F6682" s="63" t="s">
        <v>689</v>
      </c>
      <c r="G6682" s="64" t="n">
        <v>24948085.972197</v>
      </c>
      <c r="H6682" s="62" t="s">
        <v>138</v>
      </c>
    </row>
    <row r="6683" customFormat="false" ht="15" hidden="false" customHeight="false" outlineLevel="0" collapsed="false">
      <c r="A6683" s="62" t="n">
        <v>1</v>
      </c>
      <c r="B6683" s="62" t="s">
        <v>386</v>
      </c>
      <c r="C6683" s="62" t="s">
        <v>60</v>
      </c>
      <c r="D6683" s="62" t="s">
        <v>72</v>
      </c>
      <c r="E6683" s="62" t="s">
        <v>382</v>
      </c>
      <c r="F6683" s="63" t="s">
        <v>689</v>
      </c>
      <c r="G6683" s="64" t="n">
        <v>31959565.1083441</v>
      </c>
      <c r="H6683" s="62" t="s">
        <v>138</v>
      </c>
    </row>
    <row r="6684" customFormat="false" ht="15" hidden="false" customHeight="false" outlineLevel="0" collapsed="false">
      <c r="A6684" s="62" t="n">
        <v>1</v>
      </c>
      <c r="B6684" s="62" t="s">
        <v>387</v>
      </c>
      <c r="C6684" s="62" t="s">
        <v>60</v>
      </c>
      <c r="D6684" s="62" t="s">
        <v>72</v>
      </c>
      <c r="E6684" s="62" t="s">
        <v>382</v>
      </c>
      <c r="F6684" s="63" t="s">
        <v>689</v>
      </c>
      <c r="G6684" s="64" t="n">
        <v>24036113.1979006</v>
      </c>
      <c r="H6684" s="62" t="s">
        <v>138</v>
      </c>
    </row>
    <row r="6685" customFormat="false" ht="15" hidden="false" customHeight="false" outlineLevel="0" collapsed="false">
      <c r="A6685" s="62" t="n">
        <v>1</v>
      </c>
      <c r="B6685" s="62" t="s">
        <v>388</v>
      </c>
      <c r="C6685" s="62" t="s">
        <v>60</v>
      </c>
      <c r="D6685" s="62" t="s">
        <v>72</v>
      </c>
      <c r="E6685" s="62" t="s">
        <v>382</v>
      </c>
      <c r="F6685" s="63" t="s">
        <v>689</v>
      </c>
      <c r="G6685" s="64" t="n">
        <v>17833972.3434201</v>
      </c>
      <c r="H6685" s="62" t="s">
        <v>138</v>
      </c>
    </row>
    <row r="6686" customFormat="false" ht="15" hidden="false" customHeight="false" outlineLevel="0" collapsed="false">
      <c r="A6686" s="62" t="n">
        <v>1</v>
      </c>
      <c r="B6686" s="62" t="s">
        <v>381</v>
      </c>
      <c r="C6686" s="62" t="s">
        <v>60</v>
      </c>
      <c r="D6686" s="62" t="s">
        <v>72</v>
      </c>
      <c r="E6686" s="62" t="s">
        <v>382</v>
      </c>
      <c r="F6686" s="63" t="s">
        <v>690</v>
      </c>
      <c r="G6686" s="64" t="n">
        <v>1379988.38928533</v>
      </c>
      <c r="H6686" s="62" t="s">
        <v>138</v>
      </c>
    </row>
    <row r="6687" customFormat="false" ht="15" hidden="false" customHeight="false" outlineLevel="0" collapsed="false">
      <c r="A6687" s="62" t="n">
        <v>1</v>
      </c>
      <c r="B6687" s="62" t="s">
        <v>383</v>
      </c>
      <c r="C6687" s="62" t="s">
        <v>60</v>
      </c>
      <c r="D6687" s="62" t="s">
        <v>72</v>
      </c>
      <c r="E6687" s="62" t="s">
        <v>382</v>
      </c>
      <c r="F6687" s="63" t="s">
        <v>690</v>
      </c>
      <c r="G6687" s="64" t="n">
        <v>1511082.53970752</v>
      </c>
      <c r="H6687" s="62" t="s">
        <v>138</v>
      </c>
    </row>
    <row r="6688" customFormat="false" ht="15" hidden="false" customHeight="false" outlineLevel="0" collapsed="false">
      <c r="A6688" s="62" t="n">
        <v>1</v>
      </c>
      <c r="B6688" s="62" t="s">
        <v>384</v>
      </c>
      <c r="C6688" s="62" t="s">
        <v>60</v>
      </c>
      <c r="D6688" s="62" t="s">
        <v>72</v>
      </c>
      <c r="E6688" s="62" t="s">
        <v>382</v>
      </c>
      <c r="F6688" s="63" t="s">
        <v>690</v>
      </c>
      <c r="G6688" s="64" t="n">
        <v>1732712.52726887</v>
      </c>
      <c r="H6688" s="62" t="s">
        <v>138</v>
      </c>
    </row>
    <row r="6689" customFormat="false" ht="15" hidden="false" customHeight="false" outlineLevel="0" collapsed="false">
      <c r="A6689" s="62" t="n">
        <v>1</v>
      </c>
      <c r="B6689" s="62" t="s">
        <v>385</v>
      </c>
      <c r="C6689" s="62" t="s">
        <v>60</v>
      </c>
      <c r="D6689" s="62" t="s">
        <v>72</v>
      </c>
      <c r="E6689" s="62" t="s">
        <v>382</v>
      </c>
      <c r="F6689" s="63" t="s">
        <v>690</v>
      </c>
      <c r="G6689" s="64" t="n">
        <v>1292652.72537318</v>
      </c>
      <c r="H6689" s="62" t="s">
        <v>138</v>
      </c>
    </row>
    <row r="6690" customFormat="false" ht="15" hidden="false" customHeight="false" outlineLevel="0" collapsed="false">
      <c r="A6690" s="62" t="n">
        <v>1</v>
      </c>
      <c r="B6690" s="62" t="s">
        <v>386</v>
      </c>
      <c r="C6690" s="62" t="s">
        <v>60</v>
      </c>
      <c r="D6690" s="62" t="s">
        <v>72</v>
      </c>
      <c r="E6690" s="62" t="s">
        <v>382</v>
      </c>
      <c r="F6690" s="63" t="s">
        <v>690</v>
      </c>
      <c r="G6690" s="64" t="n">
        <v>1647808.36292771</v>
      </c>
      <c r="H6690" s="62" t="s">
        <v>138</v>
      </c>
    </row>
    <row r="6691" customFormat="false" ht="15" hidden="false" customHeight="false" outlineLevel="0" collapsed="false">
      <c r="A6691" s="62" t="n">
        <v>1</v>
      </c>
      <c r="B6691" s="62" t="s">
        <v>387</v>
      </c>
      <c r="C6691" s="62" t="s">
        <v>60</v>
      </c>
      <c r="D6691" s="62" t="s">
        <v>72</v>
      </c>
      <c r="E6691" s="62" t="s">
        <v>382</v>
      </c>
      <c r="F6691" s="63" t="s">
        <v>690</v>
      </c>
      <c r="G6691" s="64" t="n">
        <v>1223651.594973</v>
      </c>
      <c r="H6691" s="62" t="s">
        <v>138</v>
      </c>
    </row>
    <row r="6692" customFormat="false" ht="15" hidden="false" customHeight="false" outlineLevel="0" collapsed="false">
      <c r="A6692" s="62" t="n">
        <v>1</v>
      </c>
      <c r="B6692" s="62" t="s">
        <v>388</v>
      </c>
      <c r="C6692" s="62" t="s">
        <v>60</v>
      </c>
      <c r="D6692" s="62" t="s">
        <v>72</v>
      </c>
      <c r="E6692" s="62" t="s">
        <v>382</v>
      </c>
      <c r="F6692" s="63" t="s">
        <v>690</v>
      </c>
      <c r="G6692" s="64" t="n">
        <v>926385.431585272</v>
      </c>
      <c r="H6692" s="62" t="s">
        <v>138</v>
      </c>
    </row>
    <row r="6693" customFormat="false" ht="15" hidden="false" customHeight="false" outlineLevel="0" collapsed="false">
      <c r="A6693" s="62" t="n">
        <v>1</v>
      </c>
      <c r="B6693" s="62" t="s">
        <v>381</v>
      </c>
      <c r="C6693" s="62" t="s">
        <v>60</v>
      </c>
      <c r="D6693" s="62" t="s">
        <v>72</v>
      </c>
      <c r="E6693" s="62" t="s">
        <v>382</v>
      </c>
      <c r="F6693" s="63" t="s">
        <v>691</v>
      </c>
      <c r="G6693" s="64" t="n">
        <v>23873799.1346362</v>
      </c>
      <c r="H6693" s="62" t="s">
        <v>138</v>
      </c>
    </row>
    <row r="6694" customFormat="false" ht="15" hidden="false" customHeight="false" outlineLevel="0" collapsed="false">
      <c r="A6694" s="62" t="n">
        <v>1</v>
      </c>
      <c r="B6694" s="62" t="s">
        <v>383</v>
      </c>
      <c r="C6694" s="62" t="s">
        <v>60</v>
      </c>
      <c r="D6694" s="62" t="s">
        <v>72</v>
      </c>
      <c r="E6694" s="62" t="s">
        <v>382</v>
      </c>
      <c r="F6694" s="63" t="s">
        <v>691</v>
      </c>
      <c r="G6694" s="64" t="n">
        <v>26141727.9369402</v>
      </c>
      <c r="H6694" s="62" t="s">
        <v>138</v>
      </c>
    </row>
    <row r="6695" customFormat="false" ht="15" hidden="false" customHeight="false" outlineLevel="0" collapsed="false">
      <c r="A6695" s="62" t="n">
        <v>1</v>
      </c>
      <c r="B6695" s="62" t="s">
        <v>384</v>
      </c>
      <c r="C6695" s="62" t="s">
        <v>60</v>
      </c>
      <c r="D6695" s="62" t="s">
        <v>72</v>
      </c>
      <c r="E6695" s="62" t="s">
        <v>382</v>
      </c>
      <c r="F6695" s="63" t="s">
        <v>691</v>
      </c>
      <c r="G6695" s="64" t="n">
        <v>29975926.7217514</v>
      </c>
      <c r="H6695" s="62" t="s">
        <v>138</v>
      </c>
    </row>
    <row r="6696" customFormat="false" ht="15" hidden="false" customHeight="false" outlineLevel="0" collapsed="false">
      <c r="A6696" s="62" t="n">
        <v>1</v>
      </c>
      <c r="B6696" s="62" t="s">
        <v>385</v>
      </c>
      <c r="C6696" s="62" t="s">
        <v>60</v>
      </c>
      <c r="D6696" s="62" t="s">
        <v>72</v>
      </c>
      <c r="E6696" s="62" t="s">
        <v>382</v>
      </c>
      <c r="F6696" s="63" t="s">
        <v>691</v>
      </c>
      <c r="G6696" s="64" t="n">
        <v>22362892.1489561</v>
      </c>
      <c r="H6696" s="62" t="s">
        <v>138</v>
      </c>
    </row>
    <row r="6697" customFormat="false" ht="15" hidden="false" customHeight="false" outlineLevel="0" collapsed="false">
      <c r="A6697" s="62" t="n">
        <v>1</v>
      </c>
      <c r="B6697" s="62" t="s">
        <v>386</v>
      </c>
      <c r="C6697" s="62" t="s">
        <v>60</v>
      </c>
      <c r="D6697" s="62" t="s">
        <v>72</v>
      </c>
      <c r="E6697" s="62" t="s">
        <v>382</v>
      </c>
      <c r="F6697" s="63" t="s">
        <v>691</v>
      </c>
      <c r="G6697" s="64" t="n">
        <v>28507084.6786493</v>
      </c>
      <c r="H6697" s="62" t="s">
        <v>138</v>
      </c>
    </row>
    <row r="6698" customFormat="false" ht="15" hidden="false" customHeight="false" outlineLevel="0" collapsed="false">
      <c r="A6698" s="62" t="n">
        <v>1</v>
      </c>
      <c r="B6698" s="62" t="s">
        <v>387</v>
      </c>
      <c r="C6698" s="62" t="s">
        <v>60</v>
      </c>
      <c r="D6698" s="62" t="s">
        <v>72</v>
      </c>
      <c r="E6698" s="62" t="s">
        <v>382</v>
      </c>
      <c r="F6698" s="63" t="s">
        <v>691</v>
      </c>
      <c r="G6698" s="64" t="n">
        <v>21169172.5930328</v>
      </c>
      <c r="H6698" s="62" t="s">
        <v>138</v>
      </c>
    </row>
    <row r="6699" customFormat="false" ht="15" hidden="false" customHeight="false" outlineLevel="0" collapsed="false">
      <c r="A6699" s="62" t="n">
        <v>1</v>
      </c>
      <c r="B6699" s="62" t="s">
        <v>388</v>
      </c>
      <c r="C6699" s="62" t="s">
        <v>60</v>
      </c>
      <c r="D6699" s="62" t="s">
        <v>72</v>
      </c>
      <c r="E6699" s="62" t="s">
        <v>382</v>
      </c>
      <c r="F6699" s="63" t="s">
        <v>691</v>
      </c>
      <c r="G6699" s="64" t="n">
        <v>16026467.9664252</v>
      </c>
      <c r="H6699" s="62" t="s">
        <v>138</v>
      </c>
    </row>
    <row r="6700" customFormat="false" ht="15" hidden="false" customHeight="false" outlineLevel="0" collapsed="false">
      <c r="A6700" s="62" t="n">
        <v>1</v>
      </c>
      <c r="B6700" s="62" t="s">
        <v>381</v>
      </c>
      <c r="C6700" s="62" t="s">
        <v>60</v>
      </c>
      <c r="D6700" s="62" t="s">
        <v>72</v>
      </c>
      <c r="E6700" s="62" t="s">
        <v>382</v>
      </c>
      <c r="F6700" s="63" t="s">
        <v>692</v>
      </c>
      <c r="G6700" s="64" t="n">
        <v>-792346.446345216</v>
      </c>
      <c r="H6700" s="62" t="s">
        <v>138</v>
      </c>
    </row>
    <row r="6701" customFormat="false" ht="15" hidden="false" customHeight="false" outlineLevel="0" collapsed="false">
      <c r="A6701" s="62" t="n">
        <v>1</v>
      </c>
      <c r="B6701" s="62" t="s">
        <v>383</v>
      </c>
      <c r="C6701" s="62" t="s">
        <v>60</v>
      </c>
      <c r="D6701" s="62" t="s">
        <v>72</v>
      </c>
      <c r="E6701" s="62" t="s">
        <v>382</v>
      </c>
      <c r="F6701" s="63" t="s">
        <v>692</v>
      </c>
      <c r="G6701" s="64" t="n">
        <v>34139533.3331544</v>
      </c>
      <c r="H6701" s="62" t="s">
        <v>138</v>
      </c>
    </row>
    <row r="6702" customFormat="false" ht="15" hidden="false" customHeight="false" outlineLevel="0" collapsed="false">
      <c r="A6702" s="62" t="n">
        <v>1</v>
      </c>
      <c r="B6702" s="62" t="s">
        <v>384</v>
      </c>
      <c r="C6702" s="62" t="s">
        <v>60</v>
      </c>
      <c r="D6702" s="62" t="s">
        <v>72</v>
      </c>
      <c r="E6702" s="62" t="s">
        <v>382</v>
      </c>
      <c r="F6702" s="63" t="s">
        <v>692</v>
      </c>
      <c r="G6702" s="64" t="n">
        <v>22633282.8779142</v>
      </c>
      <c r="H6702" s="62" t="s">
        <v>138</v>
      </c>
    </row>
    <row r="6703" customFormat="false" ht="15" hidden="false" customHeight="false" outlineLevel="0" collapsed="false">
      <c r="A6703" s="62" t="n">
        <v>1</v>
      </c>
      <c r="B6703" s="62" t="s">
        <v>385</v>
      </c>
      <c r="C6703" s="62" t="s">
        <v>60</v>
      </c>
      <c r="D6703" s="62" t="s">
        <v>72</v>
      </c>
      <c r="E6703" s="62" t="s">
        <v>382</v>
      </c>
      <c r="F6703" s="63" t="s">
        <v>692</v>
      </c>
      <c r="G6703" s="64" t="n">
        <v>25736431.702355</v>
      </c>
      <c r="H6703" s="62" t="s">
        <v>138</v>
      </c>
    </row>
    <row r="6704" customFormat="false" ht="15" hidden="false" customHeight="false" outlineLevel="0" collapsed="false">
      <c r="A6704" s="62" t="n">
        <v>1</v>
      </c>
      <c r="B6704" s="62" t="s">
        <v>386</v>
      </c>
      <c r="C6704" s="62" t="s">
        <v>60</v>
      </c>
      <c r="D6704" s="62" t="s">
        <v>72</v>
      </c>
      <c r="E6704" s="62" t="s">
        <v>382</v>
      </c>
      <c r="F6704" s="63" t="s">
        <v>692</v>
      </c>
      <c r="G6704" s="64" t="n">
        <v>7339565.56043447</v>
      </c>
      <c r="H6704" s="62" t="s">
        <v>138</v>
      </c>
    </row>
    <row r="6705" customFormat="false" ht="15" hidden="false" customHeight="false" outlineLevel="0" collapsed="false">
      <c r="A6705" s="62" t="n">
        <v>1</v>
      </c>
      <c r="B6705" s="62" t="s">
        <v>387</v>
      </c>
      <c r="C6705" s="62" t="s">
        <v>60</v>
      </c>
      <c r="D6705" s="62" t="s">
        <v>72</v>
      </c>
      <c r="E6705" s="62" t="s">
        <v>382</v>
      </c>
      <c r="F6705" s="63" t="s">
        <v>692</v>
      </c>
      <c r="G6705" s="64" t="n">
        <v>22161114.1274794</v>
      </c>
      <c r="H6705" s="62" t="s">
        <v>138</v>
      </c>
    </row>
    <row r="6706" customFormat="false" ht="15" hidden="false" customHeight="false" outlineLevel="0" collapsed="false">
      <c r="A6706" s="62" t="n">
        <v>1</v>
      </c>
      <c r="B6706" s="62" t="s">
        <v>388</v>
      </c>
      <c r="C6706" s="62" t="s">
        <v>60</v>
      </c>
      <c r="D6706" s="62" t="s">
        <v>72</v>
      </c>
      <c r="E6706" s="62" t="s">
        <v>382</v>
      </c>
      <c r="F6706" s="63" t="s">
        <v>692</v>
      </c>
      <c r="G6706" s="64" t="n">
        <v>754429.494287729</v>
      </c>
      <c r="H6706" s="62" t="s">
        <v>138</v>
      </c>
    </row>
    <row r="6707" customFormat="false" ht="15" hidden="false" customHeight="false" outlineLevel="0" collapsed="false">
      <c r="A6707" s="62" t="n">
        <v>1</v>
      </c>
      <c r="B6707" s="62" t="s">
        <v>381</v>
      </c>
      <c r="C6707" s="62" t="s">
        <v>60</v>
      </c>
      <c r="D6707" s="62" t="s">
        <v>72</v>
      </c>
      <c r="E6707" s="62" t="s">
        <v>382</v>
      </c>
      <c r="F6707" s="63" t="s">
        <v>693</v>
      </c>
      <c r="G6707" s="64" t="n">
        <v>1706729.88628571</v>
      </c>
      <c r="H6707" s="62" t="s">
        <v>138</v>
      </c>
    </row>
    <row r="6708" customFormat="false" ht="15" hidden="false" customHeight="false" outlineLevel="0" collapsed="false">
      <c r="A6708" s="62" t="n">
        <v>1</v>
      </c>
      <c r="B6708" s="62" t="s">
        <v>383</v>
      </c>
      <c r="C6708" s="62" t="s">
        <v>60</v>
      </c>
      <c r="D6708" s="62" t="s">
        <v>72</v>
      </c>
      <c r="E6708" s="62" t="s">
        <v>382</v>
      </c>
      <c r="F6708" s="63" t="s">
        <v>693</v>
      </c>
      <c r="G6708" s="64" t="n">
        <v>3918187.28330104</v>
      </c>
      <c r="H6708" s="62" t="s">
        <v>138</v>
      </c>
    </row>
    <row r="6709" customFormat="false" ht="15" hidden="false" customHeight="false" outlineLevel="0" collapsed="false">
      <c r="A6709" s="62" t="n">
        <v>1</v>
      </c>
      <c r="B6709" s="62" t="s">
        <v>384</v>
      </c>
      <c r="C6709" s="62" t="s">
        <v>60</v>
      </c>
      <c r="D6709" s="62" t="s">
        <v>72</v>
      </c>
      <c r="E6709" s="62" t="s">
        <v>382</v>
      </c>
      <c r="F6709" s="63" t="s">
        <v>693</v>
      </c>
      <c r="G6709" s="64" t="n">
        <v>5119377.79368531</v>
      </c>
      <c r="H6709" s="62" t="s">
        <v>138</v>
      </c>
    </row>
    <row r="6710" customFormat="false" ht="15" hidden="false" customHeight="false" outlineLevel="0" collapsed="false">
      <c r="A6710" s="62" t="n">
        <v>1</v>
      </c>
      <c r="B6710" s="62" t="s">
        <v>385</v>
      </c>
      <c r="C6710" s="62" t="s">
        <v>60</v>
      </c>
      <c r="D6710" s="62" t="s">
        <v>72</v>
      </c>
      <c r="E6710" s="62" t="s">
        <v>382</v>
      </c>
      <c r="F6710" s="63" t="s">
        <v>693</v>
      </c>
      <c r="G6710" s="64" t="n">
        <v>3423418.13454224</v>
      </c>
      <c r="H6710" s="62" t="s">
        <v>138</v>
      </c>
    </row>
    <row r="6711" customFormat="false" ht="15" hidden="false" customHeight="false" outlineLevel="0" collapsed="false">
      <c r="A6711" s="62" t="n">
        <v>1</v>
      </c>
      <c r="B6711" s="62" t="s">
        <v>386</v>
      </c>
      <c r="C6711" s="62" t="s">
        <v>60</v>
      </c>
      <c r="D6711" s="62" t="s">
        <v>72</v>
      </c>
      <c r="E6711" s="62" t="s">
        <v>382</v>
      </c>
      <c r="F6711" s="63" t="s">
        <v>693</v>
      </c>
      <c r="G6711" s="64" t="n">
        <v>0</v>
      </c>
      <c r="H6711" s="62" t="s">
        <v>138</v>
      </c>
    </row>
    <row r="6712" customFormat="false" ht="15" hidden="false" customHeight="false" outlineLevel="0" collapsed="false">
      <c r="A6712" s="62" t="n">
        <v>1</v>
      </c>
      <c r="B6712" s="62" t="s">
        <v>387</v>
      </c>
      <c r="C6712" s="62" t="s">
        <v>60</v>
      </c>
      <c r="D6712" s="62" t="s">
        <v>72</v>
      </c>
      <c r="E6712" s="62" t="s">
        <v>382</v>
      </c>
      <c r="F6712" s="63" t="s">
        <v>693</v>
      </c>
      <c r="G6712" s="64" t="n">
        <v>1892469.24335585</v>
      </c>
      <c r="H6712" s="62" t="s">
        <v>138</v>
      </c>
    </row>
    <row r="6713" customFormat="false" ht="15" hidden="false" customHeight="false" outlineLevel="0" collapsed="false">
      <c r="A6713" s="62" t="n">
        <v>1</v>
      </c>
      <c r="B6713" s="62" t="s">
        <v>388</v>
      </c>
      <c r="C6713" s="62" t="s">
        <v>60</v>
      </c>
      <c r="D6713" s="62" t="s">
        <v>72</v>
      </c>
      <c r="E6713" s="62" t="s">
        <v>382</v>
      </c>
      <c r="F6713" s="63" t="s">
        <v>693</v>
      </c>
      <c r="G6713" s="64" t="n">
        <v>1029957.82035749</v>
      </c>
      <c r="H6713" s="62" t="s">
        <v>138</v>
      </c>
    </row>
    <row r="6714" customFormat="false" ht="15" hidden="false" customHeight="false" outlineLevel="0" collapsed="false">
      <c r="A6714" s="62" t="n">
        <v>1</v>
      </c>
      <c r="B6714" s="62" t="s">
        <v>381</v>
      </c>
      <c r="C6714" s="62" t="s">
        <v>60</v>
      </c>
      <c r="D6714" s="62" t="s">
        <v>72</v>
      </c>
      <c r="E6714" s="62" t="s">
        <v>382</v>
      </c>
      <c r="F6714" s="63" t="s">
        <v>694</v>
      </c>
      <c r="G6714" s="64" t="n">
        <v>100000</v>
      </c>
      <c r="H6714" s="62" t="s">
        <v>138</v>
      </c>
    </row>
    <row r="6715" customFormat="false" ht="15" hidden="false" customHeight="false" outlineLevel="0" collapsed="false">
      <c r="A6715" s="62" t="n">
        <v>1</v>
      </c>
      <c r="B6715" s="62" t="s">
        <v>383</v>
      </c>
      <c r="C6715" s="62" t="s">
        <v>60</v>
      </c>
      <c r="D6715" s="62" t="s">
        <v>72</v>
      </c>
      <c r="E6715" s="62" t="s">
        <v>382</v>
      </c>
      <c r="F6715" s="63" t="s">
        <v>694</v>
      </c>
      <c r="G6715" s="64" t="n">
        <v>6680000</v>
      </c>
      <c r="H6715" s="62" t="s">
        <v>138</v>
      </c>
    </row>
    <row r="6716" customFormat="false" ht="15" hidden="false" customHeight="false" outlineLevel="0" collapsed="false">
      <c r="A6716" s="62" t="n">
        <v>1</v>
      </c>
      <c r="B6716" s="62" t="s">
        <v>384</v>
      </c>
      <c r="C6716" s="62" t="s">
        <v>60</v>
      </c>
      <c r="D6716" s="62" t="s">
        <v>72</v>
      </c>
      <c r="E6716" s="62" t="s">
        <v>382</v>
      </c>
      <c r="F6716" s="63" t="s">
        <v>694</v>
      </c>
      <c r="G6716" s="64" t="n">
        <v>2200000</v>
      </c>
      <c r="H6716" s="62" t="s">
        <v>138</v>
      </c>
    </row>
    <row r="6717" customFormat="false" ht="15" hidden="false" customHeight="false" outlineLevel="0" collapsed="false">
      <c r="A6717" s="62" t="n">
        <v>1</v>
      </c>
      <c r="B6717" s="62" t="s">
        <v>385</v>
      </c>
      <c r="C6717" s="62" t="s">
        <v>60</v>
      </c>
      <c r="D6717" s="62" t="s">
        <v>72</v>
      </c>
      <c r="E6717" s="62" t="s">
        <v>382</v>
      </c>
      <c r="F6717" s="63" t="s">
        <v>694</v>
      </c>
      <c r="G6717" s="64" t="n">
        <v>100000</v>
      </c>
      <c r="H6717" s="62" t="s">
        <v>138</v>
      </c>
    </row>
    <row r="6718" customFormat="false" ht="15" hidden="false" customHeight="false" outlineLevel="0" collapsed="false">
      <c r="A6718" s="62" t="n">
        <v>1</v>
      </c>
      <c r="B6718" s="62" t="s">
        <v>386</v>
      </c>
      <c r="C6718" s="62" t="s">
        <v>60</v>
      </c>
      <c r="D6718" s="62" t="s">
        <v>72</v>
      </c>
      <c r="E6718" s="62" t="s">
        <v>382</v>
      </c>
      <c r="F6718" s="63" t="s">
        <v>694</v>
      </c>
      <c r="G6718" s="64" t="n">
        <v>1636099.86367704</v>
      </c>
      <c r="H6718" s="62" t="s">
        <v>138</v>
      </c>
    </row>
    <row r="6719" customFormat="false" ht="15" hidden="false" customHeight="false" outlineLevel="0" collapsed="false">
      <c r="A6719" s="62" t="n">
        <v>1</v>
      </c>
      <c r="B6719" s="62" t="s">
        <v>387</v>
      </c>
      <c r="C6719" s="62" t="s">
        <v>60</v>
      </c>
      <c r="D6719" s="62" t="s">
        <v>72</v>
      </c>
      <c r="E6719" s="62" t="s">
        <v>382</v>
      </c>
      <c r="F6719" s="63" t="s">
        <v>694</v>
      </c>
      <c r="G6719" s="64" t="n">
        <v>-387302.01682354</v>
      </c>
      <c r="H6719" s="62" t="s">
        <v>138</v>
      </c>
    </row>
    <row r="6720" customFormat="false" ht="15" hidden="false" customHeight="false" outlineLevel="0" collapsed="false">
      <c r="A6720" s="62" t="n">
        <v>1</v>
      </c>
      <c r="B6720" s="62" t="s">
        <v>388</v>
      </c>
      <c r="C6720" s="62" t="s">
        <v>60</v>
      </c>
      <c r="D6720" s="62" t="s">
        <v>72</v>
      </c>
      <c r="E6720" s="62" t="s">
        <v>382</v>
      </c>
      <c r="F6720" s="63" t="s">
        <v>694</v>
      </c>
      <c r="G6720" s="64" t="n">
        <v>100000</v>
      </c>
      <c r="H6720" s="62" t="s">
        <v>138</v>
      </c>
    </row>
    <row r="6721" customFormat="false" ht="15" hidden="false" customHeight="false" outlineLevel="0" collapsed="false">
      <c r="A6721" s="62" t="n">
        <v>1</v>
      </c>
      <c r="B6721" s="62" t="s">
        <v>381</v>
      </c>
      <c r="C6721" s="62" t="s">
        <v>60</v>
      </c>
      <c r="D6721" s="62" t="s">
        <v>72</v>
      </c>
      <c r="E6721" s="62" t="s">
        <v>382</v>
      </c>
      <c r="F6721" s="63" t="s">
        <v>695</v>
      </c>
      <c r="G6721" s="64" t="n">
        <v>1014383.43994049</v>
      </c>
      <c r="H6721" s="62" t="s">
        <v>138</v>
      </c>
    </row>
    <row r="6722" customFormat="false" ht="15" hidden="false" customHeight="false" outlineLevel="0" collapsed="false">
      <c r="A6722" s="62" t="n">
        <v>1</v>
      </c>
      <c r="B6722" s="62" t="s">
        <v>383</v>
      </c>
      <c r="C6722" s="62" t="s">
        <v>60</v>
      </c>
      <c r="D6722" s="62" t="s">
        <v>72</v>
      </c>
      <c r="E6722" s="62" t="s">
        <v>382</v>
      </c>
      <c r="F6722" s="63" t="s">
        <v>695</v>
      </c>
      <c r="G6722" s="64" t="n">
        <v>44737720.6164554</v>
      </c>
      <c r="H6722" s="62" t="s">
        <v>138</v>
      </c>
    </row>
    <row r="6723" customFormat="false" ht="15" hidden="false" customHeight="false" outlineLevel="0" collapsed="false">
      <c r="A6723" s="62" t="n">
        <v>1</v>
      </c>
      <c r="B6723" s="62" t="s">
        <v>384</v>
      </c>
      <c r="C6723" s="62" t="s">
        <v>60</v>
      </c>
      <c r="D6723" s="62" t="s">
        <v>72</v>
      </c>
      <c r="E6723" s="62" t="s">
        <v>382</v>
      </c>
      <c r="F6723" s="63" t="s">
        <v>695</v>
      </c>
      <c r="G6723" s="64" t="n">
        <v>29952660.6715995</v>
      </c>
      <c r="H6723" s="62" t="s">
        <v>138</v>
      </c>
    </row>
    <row r="6724" customFormat="false" ht="15" hidden="false" customHeight="false" outlineLevel="0" collapsed="false">
      <c r="A6724" s="62" t="n">
        <v>1</v>
      </c>
      <c r="B6724" s="62" t="s">
        <v>385</v>
      </c>
      <c r="C6724" s="62" t="s">
        <v>60</v>
      </c>
      <c r="D6724" s="62" t="s">
        <v>72</v>
      </c>
      <c r="E6724" s="62" t="s">
        <v>382</v>
      </c>
      <c r="F6724" s="63" t="s">
        <v>695</v>
      </c>
      <c r="G6724" s="64" t="n">
        <v>29259849.8368972</v>
      </c>
      <c r="H6724" s="62" t="s">
        <v>138</v>
      </c>
    </row>
    <row r="6725" customFormat="false" ht="15" hidden="false" customHeight="false" outlineLevel="0" collapsed="false">
      <c r="A6725" s="62" t="n">
        <v>1</v>
      </c>
      <c r="B6725" s="62" t="s">
        <v>386</v>
      </c>
      <c r="C6725" s="62" t="s">
        <v>60</v>
      </c>
      <c r="D6725" s="62" t="s">
        <v>72</v>
      </c>
      <c r="E6725" s="62" t="s">
        <v>382</v>
      </c>
      <c r="F6725" s="63" t="s">
        <v>695</v>
      </c>
      <c r="G6725" s="64" t="n">
        <v>8975665.42411151</v>
      </c>
      <c r="H6725" s="62" t="s">
        <v>138</v>
      </c>
    </row>
    <row r="6726" customFormat="false" ht="15" hidden="false" customHeight="false" outlineLevel="0" collapsed="false">
      <c r="A6726" s="62" t="n">
        <v>1</v>
      </c>
      <c r="B6726" s="62" t="s">
        <v>387</v>
      </c>
      <c r="C6726" s="62" t="s">
        <v>60</v>
      </c>
      <c r="D6726" s="62" t="s">
        <v>72</v>
      </c>
      <c r="E6726" s="62" t="s">
        <v>382</v>
      </c>
      <c r="F6726" s="63" t="s">
        <v>695</v>
      </c>
      <c r="G6726" s="64" t="n">
        <v>23666281.3540117</v>
      </c>
      <c r="H6726" s="62" t="s">
        <v>138</v>
      </c>
    </row>
    <row r="6727" customFormat="false" ht="15" hidden="false" customHeight="false" outlineLevel="0" collapsed="false">
      <c r="A6727" s="62" t="n">
        <v>1</v>
      </c>
      <c r="B6727" s="62" t="s">
        <v>388</v>
      </c>
      <c r="C6727" s="62" t="s">
        <v>60</v>
      </c>
      <c r="D6727" s="62" t="s">
        <v>72</v>
      </c>
      <c r="E6727" s="62" t="s">
        <v>382</v>
      </c>
      <c r="F6727" s="63" t="s">
        <v>695</v>
      </c>
      <c r="G6727" s="64" t="n">
        <v>1884387.31464521</v>
      </c>
      <c r="H6727" s="62" t="s">
        <v>138</v>
      </c>
    </row>
    <row r="6728" customFormat="false" ht="15" hidden="false" customHeight="false" outlineLevel="0" collapsed="false">
      <c r="A6728" s="62" t="n">
        <v>1</v>
      </c>
      <c r="B6728" s="62" t="s">
        <v>381</v>
      </c>
      <c r="C6728" s="62" t="s">
        <v>60</v>
      </c>
      <c r="D6728" s="62" t="s">
        <v>72</v>
      </c>
      <c r="E6728" s="62" t="s">
        <v>382</v>
      </c>
      <c r="F6728" s="63" t="s">
        <v>696</v>
      </c>
      <c r="G6728" s="64" t="n">
        <v>15849303.0541235</v>
      </c>
      <c r="H6728" s="62" t="s">
        <v>138</v>
      </c>
    </row>
    <row r="6729" customFormat="false" ht="15" hidden="false" customHeight="false" outlineLevel="0" collapsed="false">
      <c r="A6729" s="62" t="n">
        <v>1</v>
      </c>
      <c r="B6729" s="62" t="s">
        <v>383</v>
      </c>
      <c r="C6729" s="62" t="s">
        <v>60</v>
      </c>
      <c r="D6729" s="62" t="s">
        <v>72</v>
      </c>
      <c r="E6729" s="62" t="s">
        <v>382</v>
      </c>
      <c r="F6729" s="63" t="s">
        <v>696</v>
      </c>
      <c r="G6729" s="64" t="n">
        <v>23880524.2025965</v>
      </c>
      <c r="H6729" s="62" t="s">
        <v>138</v>
      </c>
    </row>
    <row r="6730" customFormat="false" ht="15" hidden="false" customHeight="false" outlineLevel="0" collapsed="false">
      <c r="A6730" s="62" t="n">
        <v>1</v>
      </c>
      <c r="B6730" s="62" t="s">
        <v>384</v>
      </c>
      <c r="C6730" s="62" t="s">
        <v>60</v>
      </c>
      <c r="D6730" s="62" t="s">
        <v>72</v>
      </c>
      <c r="E6730" s="62" t="s">
        <v>382</v>
      </c>
      <c r="F6730" s="63" t="s">
        <v>696</v>
      </c>
      <c r="G6730" s="64" t="n">
        <v>19794953.0807175</v>
      </c>
      <c r="H6730" s="62" t="s">
        <v>138</v>
      </c>
    </row>
    <row r="6731" customFormat="false" ht="15" hidden="false" customHeight="false" outlineLevel="0" collapsed="false">
      <c r="A6731" s="62" t="n">
        <v>1</v>
      </c>
      <c r="B6731" s="62" t="s">
        <v>385</v>
      </c>
      <c r="C6731" s="62" t="s">
        <v>60</v>
      </c>
      <c r="D6731" s="62" t="s">
        <v>72</v>
      </c>
      <c r="E6731" s="62" t="s">
        <v>382</v>
      </c>
      <c r="F6731" s="63" t="s">
        <v>696</v>
      </c>
      <c r="G6731" s="64" t="n">
        <v>15499331.647512</v>
      </c>
      <c r="H6731" s="62" t="s">
        <v>138</v>
      </c>
    </row>
    <row r="6732" customFormat="false" ht="15" hidden="false" customHeight="false" outlineLevel="0" collapsed="false">
      <c r="A6732" s="62" t="n">
        <v>1</v>
      </c>
      <c r="B6732" s="62" t="s">
        <v>386</v>
      </c>
      <c r="C6732" s="62" t="s">
        <v>60</v>
      </c>
      <c r="D6732" s="62" t="s">
        <v>72</v>
      </c>
      <c r="E6732" s="62" t="s">
        <v>382</v>
      </c>
      <c r="F6732" s="63" t="s">
        <v>696</v>
      </c>
      <c r="G6732" s="64" t="n">
        <v>13057116.0951793</v>
      </c>
      <c r="H6732" s="62" t="s">
        <v>138</v>
      </c>
    </row>
    <row r="6733" customFormat="false" ht="15" hidden="false" customHeight="false" outlineLevel="0" collapsed="false">
      <c r="A6733" s="62" t="n">
        <v>1</v>
      </c>
      <c r="B6733" s="62" t="s">
        <v>387</v>
      </c>
      <c r="C6733" s="62" t="s">
        <v>60</v>
      </c>
      <c r="D6733" s="62" t="s">
        <v>72</v>
      </c>
      <c r="E6733" s="62" t="s">
        <v>382</v>
      </c>
      <c r="F6733" s="63" t="s">
        <v>696</v>
      </c>
      <c r="G6733" s="64" t="n">
        <v>18050259.1245073</v>
      </c>
      <c r="H6733" s="62" t="s">
        <v>138</v>
      </c>
    </row>
    <row r="6734" customFormat="false" ht="15" hidden="false" customHeight="false" outlineLevel="0" collapsed="false">
      <c r="A6734" s="62" t="n">
        <v>1</v>
      </c>
      <c r="B6734" s="62" t="s">
        <v>388</v>
      </c>
      <c r="C6734" s="62" t="s">
        <v>60</v>
      </c>
      <c r="D6734" s="62" t="s">
        <v>72</v>
      </c>
      <c r="E6734" s="62" t="s">
        <v>382</v>
      </c>
      <c r="F6734" s="63" t="s">
        <v>696</v>
      </c>
      <c r="G6734" s="64" t="n">
        <v>11091600</v>
      </c>
      <c r="H6734" s="62" t="s">
        <v>138</v>
      </c>
    </row>
    <row r="6735" customFormat="false" ht="15" hidden="false" customHeight="false" outlineLevel="0" collapsed="false">
      <c r="A6735" s="62" t="n">
        <v>1</v>
      </c>
      <c r="B6735" s="62" t="s">
        <v>381</v>
      </c>
      <c r="C6735" s="62" t="s">
        <v>60</v>
      </c>
      <c r="D6735" s="62" t="s">
        <v>72</v>
      </c>
      <c r="E6735" s="62" t="s">
        <v>382</v>
      </c>
      <c r="F6735" s="63" t="s">
        <v>697</v>
      </c>
      <c r="G6735" s="64" t="n">
        <v>-3.80168837466029</v>
      </c>
      <c r="H6735" s="62" t="s">
        <v>138</v>
      </c>
    </row>
    <row r="6736" customFormat="false" ht="15" hidden="false" customHeight="false" outlineLevel="0" collapsed="false">
      <c r="A6736" s="62" t="n">
        <v>1</v>
      </c>
      <c r="B6736" s="62" t="s">
        <v>383</v>
      </c>
      <c r="C6736" s="62" t="s">
        <v>60</v>
      </c>
      <c r="D6736" s="62" t="s">
        <v>72</v>
      </c>
      <c r="E6736" s="62" t="s">
        <v>382</v>
      </c>
      <c r="F6736" s="63" t="s">
        <v>681</v>
      </c>
      <c r="G6736" s="64" t="n">
        <v>6.75882666261365</v>
      </c>
      <c r="H6736" s="62" t="s">
        <v>138</v>
      </c>
    </row>
    <row r="6737" customFormat="false" ht="15" hidden="false" customHeight="false" outlineLevel="0" collapsed="false">
      <c r="A6737" s="62" t="n">
        <v>1</v>
      </c>
      <c r="B6737" s="62" t="s">
        <v>384</v>
      </c>
      <c r="C6737" s="62" t="s">
        <v>60</v>
      </c>
      <c r="D6737" s="62" t="s">
        <v>72</v>
      </c>
      <c r="E6737" s="62" t="s">
        <v>382</v>
      </c>
      <c r="F6737" s="63" t="s">
        <v>681</v>
      </c>
      <c r="G6737" s="64" t="n">
        <v>6.4223651385088</v>
      </c>
      <c r="H6737" s="62" t="s">
        <v>138</v>
      </c>
    </row>
    <row r="6738" customFormat="false" ht="15" hidden="false" customHeight="false" outlineLevel="0" collapsed="false">
      <c r="A6738" s="62" t="n">
        <v>1</v>
      </c>
      <c r="B6738" s="62" t="s">
        <v>385</v>
      </c>
      <c r="C6738" s="62" t="s">
        <v>60</v>
      </c>
      <c r="D6738" s="62" t="s">
        <v>72</v>
      </c>
      <c r="E6738" s="62" t="s">
        <v>382</v>
      </c>
      <c r="F6738" s="63" t="s">
        <v>697</v>
      </c>
      <c r="G6738" s="64" t="n">
        <v>12.2445275313308</v>
      </c>
      <c r="H6738" s="62" t="s">
        <v>138</v>
      </c>
    </row>
    <row r="6739" customFormat="false" ht="15" hidden="false" customHeight="false" outlineLevel="0" collapsed="false">
      <c r="A6739" s="62" t="n">
        <v>1</v>
      </c>
      <c r="B6739" s="62" t="s">
        <v>386</v>
      </c>
      <c r="C6739" s="62" t="s">
        <v>60</v>
      </c>
      <c r="D6739" s="62" t="s">
        <v>72</v>
      </c>
      <c r="E6739" s="62" t="s">
        <v>382</v>
      </c>
      <c r="F6739" s="63" t="s">
        <v>681</v>
      </c>
      <c r="G6739" s="64" t="n">
        <v>2.6160903311387</v>
      </c>
      <c r="H6739" s="62" t="s">
        <v>138</v>
      </c>
    </row>
    <row r="6740" customFormat="false" ht="15" hidden="false" customHeight="false" outlineLevel="0" collapsed="false">
      <c r="A6740" s="62" t="n">
        <v>1</v>
      </c>
      <c r="B6740" s="62" t="s">
        <v>387</v>
      </c>
      <c r="C6740" s="62" t="s">
        <v>60</v>
      </c>
      <c r="D6740" s="62" t="s">
        <v>72</v>
      </c>
      <c r="E6740" s="62" t="s">
        <v>382</v>
      </c>
      <c r="F6740" s="63" t="s">
        <v>681</v>
      </c>
      <c r="G6740" s="64" t="n">
        <v>5.84409295405792</v>
      </c>
      <c r="H6740" s="62" t="s">
        <v>138</v>
      </c>
    </row>
    <row r="6741" customFormat="false" ht="15" hidden="false" customHeight="false" outlineLevel="0" collapsed="false">
      <c r="A6741" s="62" t="n">
        <v>1</v>
      </c>
      <c r="B6741" s="62" t="s">
        <v>388</v>
      </c>
      <c r="C6741" s="62" t="s">
        <v>60</v>
      </c>
      <c r="D6741" s="62" t="s">
        <v>72</v>
      </c>
      <c r="E6741" s="62" t="s">
        <v>382</v>
      </c>
      <c r="F6741" s="63" t="s">
        <v>681</v>
      </c>
      <c r="G6741" s="64" t="n">
        <v>-1.7979151184619</v>
      </c>
      <c r="H6741" s="62" t="s">
        <v>138</v>
      </c>
    </row>
    <row r="6742" customFormat="false" ht="15" hidden="false" customHeight="false" outlineLevel="0" collapsed="false">
      <c r="A6742" s="62" t="n">
        <v>1</v>
      </c>
      <c r="B6742" s="62" t="s">
        <v>381</v>
      </c>
      <c r="C6742" s="62" t="s">
        <v>60</v>
      </c>
      <c r="D6742" s="62" t="s">
        <v>72</v>
      </c>
      <c r="E6742" s="62" t="s">
        <v>382</v>
      </c>
      <c r="F6742" s="63" t="s">
        <v>698</v>
      </c>
      <c r="G6742" s="64" t="n">
        <v>342544.095428906</v>
      </c>
      <c r="H6742" s="62" t="s">
        <v>138</v>
      </c>
    </row>
    <row r="6743" customFormat="false" ht="15" hidden="false" customHeight="false" outlineLevel="0" collapsed="false">
      <c r="A6743" s="62" t="n">
        <v>1</v>
      </c>
      <c r="B6743" s="62" t="s">
        <v>383</v>
      </c>
      <c r="C6743" s="62" t="s">
        <v>60</v>
      </c>
      <c r="D6743" s="62" t="s">
        <v>72</v>
      </c>
      <c r="E6743" s="62" t="s">
        <v>382</v>
      </c>
      <c r="F6743" s="63" t="s">
        <v>698</v>
      </c>
      <c r="G6743" s="64" t="n">
        <v>892167.049680008</v>
      </c>
      <c r="H6743" s="62" t="s">
        <v>138</v>
      </c>
    </row>
    <row r="6744" customFormat="false" ht="15" hidden="false" customHeight="false" outlineLevel="0" collapsed="false">
      <c r="A6744" s="62" t="n">
        <v>1</v>
      </c>
      <c r="B6744" s="62" t="s">
        <v>384</v>
      </c>
      <c r="C6744" s="62" t="s">
        <v>60</v>
      </c>
      <c r="D6744" s="62" t="s">
        <v>72</v>
      </c>
      <c r="E6744" s="62" t="s">
        <v>382</v>
      </c>
      <c r="F6744" s="63" t="s">
        <v>698</v>
      </c>
      <c r="G6744" s="64" t="n">
        <v>366879.524199687</v>
      </c>
      <c r="H6744" s="62" t="s">
        <v>138</v>
      </c>
    </row>
    <row r="6745" customFormat="false" ht="15" hidden="false" customHeight="false" outlineLevel="0" collapsed="false">
      <c r="A6745" s="62" t="n">
        <v>1</v>
      </c>
      <c r="B6745" s="62" t="s">
        <v>385</v>
      </c>
      <c r="C6745" s="62" t="s">
        <v>60</v>
      </c>
      <c r="D6745" s="62" t="s">
        <v>72</v>
      </c>
      <c r="E6745" s="62" t="s">
        <v>382</v>
      </c>
      <c r="F6745" s="63" t="s">
        <v>698</v>
      </c>
      <c r="G6745" s="64" t="n">
        <v>313919.417086889</v>
      </c>
      <c r="H6745" s="62" t="s">
        <v>138</v>
      </c>
    </row>
    <row r="6746" customFormat="false" ht="15" hidden="false" customHeight="false" outlineLevel="0" collapsed="false">
      <c r="A6746" s="62" t="n">
        <v>1</v>
      </c>
      <c r="B6746" s="62" t="s">
        <v>386</v>
      </c>
      <c r="C6746" s="62" t="s">
        <v>60</v>
      </c>
      <c r="D6746" s="62" t="s">
        <v>72</v>
      </c>
      <c r="E6746" s="62" t="s">
        <v>382</v>
      </c>
      <c r="F6746" s="63" t="s">
        <v>698</v>
      </c>
      <c r="G6746" s="64" t="n">
        <v>221194.861889566</v>
      </c>
      <c r="H6746" s="62" t="s">
        <v>138</v>
      </c>
    </row>
    <row r="6747" customFormat="false" ht="15" hidden="false" customHeight="false" outlineLevel="0" collapsed="false">
      <c r="A6747" s="62" t="n">
        <v>1</v>
      </c>
      <c r="B6747" s="62" t="s">
        <v>387</v>
      </c>
      <c r="C6747" s="62" t="s">
        <v>60</v>
      </c>
      <c r="D6747" s="62" t="s">
        <v>72</v>
      </c>
      <c r="E6747" s="62" t="s">
        <v>382</v>
      </c>
      <c r="F6747" s="63" t="s">
        <v>698</v>
      </c>
      <c r="G6747" s="64" t="n">
        <v>717519.629455177</v>
      </c>
      <c r="H6747" s="62" t="s">
        <v>138</v>
      </c>
    </row>
    <row r="6748" customFormat="false" ht="15" hidden="false" customHeight="false" outlineLevel="0" collapsed="false">
      <c r="A6748" s="62" t="n">
        <v>1</v>
      </c>
      <c r="B6748" s="62" t="s">
        <v>388</v>
      </c>
      <c r="C6748" s="62" t="s">
        <v>60</v>
      </c>
      <c r="D6748" s="62" t="s">
        <v>72</v>
      </c>
      <c r="E6748" s="62" t="s">
        <v>382</v>
      </c>
      <c r="F6748" s="63" t="s">
        <v>698</v>
      </c>
      <c r="G6748" s="64" t="n">
        <v>64009.1</v>
      </c>
      <c r="H6748" s="62" t="s">
        <v>138</v>
      </c>
    </row>
    <row r="6749" customFormat="false" ht="15" hidden="false" customHeight="false" outlineLevel="0" collapsed="false">
      <c r="A6749" s="62" t="n">
        <v>1</v>
      </c>
      <c r="B6749" s="62" t="s">
        <v>381</v>
      </c>
      <c r="C6749" s="62" t="s">
        <v>60</v>
      </c>
      <c r="D6749" s="62" t="s">
        <v>72</v>
      </c>
      <c r="E6749" s="62" t="s">
        <v>382</v>
      </c>
      <c r="F6749" s="63" t="s">
        <v>699</v>
      </c>
      <c r="G6749" s="64" t="n">
        <v>-5660295.79595701</v>
      </c>
      <c r="H6749" s="62" t="s">
        <v>138</v>
      </c>
    </row>
    <row r="6750" customFormat="false" ht="15" hidden="false" customHeight="false" outlineLevel="0" collapsed="false">
      <c r="A6750" s="62" t="n">
        <v>1</v>
      </c>
      <c r="B6750" s="62" t="s">
        <v>383</v>
      </c>
      <c r="C6750" s="62" t="s">
        <v>60</v>
      </c>
      <c r="D6750" s="62" t="s">
        <v>72</v>
      </c>
      <c r="E6750" s="62" t="s">
        <v>382</v>
      </c>
      <c r="F6750" s="63" t="s">
        <v>699</v>
      </c>
      <c r="G6750" s="64" t="n">
        <v>27853862.8345157</v>
      </c>
      <c r="H6750" s="62" t="s">
        <v>138</v>
      </c>
    </row>
    <row r="6751" customFormat="false" ht="15" hidden="false" customHeight="false" outlineLevel="0" collapsed="false">
      <c r="A6751" s="62" t="n">
        <v>1</v>
      </c>
      <c r="B6751" s="62" t="s">
        <v>384</v>
      </c>
      <c r="C6751" s="62" t="s">
        <v>60</v>
      </c>
      <c r="D6751" s="62" t="s">
        <v>72</v>
      </c>
      <c r="E6751" s="62" t="s">
        <v>382</v>
      </c>
      <c r="F6751" s="63" t="s">
        <v>699</v>
      </c>
      <c r="G6751" s="64" t="n">
        <v>17473665.3696033</v>
      </c>
      <c r="H6751" s="62" t="s">
        <v>138</v>
      </c>
    </row>
    <row r="6752" customFormat="false" ht="15" hidden="false" customHeight="false" outlineLevel="0" collapsed="false">
      <c r="A6752" s="62" t="n">
        <v>1</v>
      </c>
      <c r="B6752" s="62" t="s">
        <v>385</v>
      </c>
      <c r="C6752" s="62" t="s">
        <v>60</v>
      </c>
      <c r="D6752" s="62" t="s">
        <v>72</v>
      </c>
      <c r="E6752" s="62" t="s">
        <v>382</v>
      </c>
      <c r="F6752" s="63" t="s">
        <v>699</v>
      </c>
      <c r="G6752" s="64" t="n">
        <v>24372361.0098246</v>
      </c>
      <c r="H6752" s="62" t="s">
        <v>138</v>
      </c>
    </row>
    <row r="6753" customFormat="false" ht="15" hidden="false" customHeight="false" outlineLevel="0" collapsed="false">
      <c r="A6753" s="62" t="n">
        <v>1</v>
      </c>
      <c r="B6753" s="62" t="s">
        <v>386</v>
      </c>
      <c r="C6753" s="62" t="s">
        <v>60</v>
      </c>
      <c r="D6753" s="62" t="s">
        <v>72</v>
      </c>
      <c r="E6753" s="62" t="s">
        <v>382</v>
      </c>
      <c r="F6753" s="63" t="s">
        <v>699</v>
      </c>
      <c r="G6753" s="64" t="n">
        <v>5627540.4305114</v>
      </c>
      <c r="H6753" s="62" t="s">
        <v>138</v>
      </c>
    </row>
    <row r="6754" customFormat="false" ht="15" hidden="false" customHeight="false" outlineLevel="0" collapsed="false">
      <c r="A6754" s="62" t="n">
        <v>1</v>
      </c>
      <c r="B6754" s="62" t="s">
        <v>387</v>
      </c>
      <c r="C6754" s="62" t="s">
        <v>60</v>
      </c>
      <c r="D6754" s="62" t="s">
        <v>72</v>
      </c>
      <c r="E6754" s="62" t="s">
        <v>382</v>
      </c>
      <c r="F6754" s="63" t="s">
        <v>699</v>
      </c>
      <c r="G6754" s="64" t="n">
        <v>19654690.8393083</v>
      </c>
      <c r="H6754" s="62" t="s">
        <v>138</v>
      </c>
    </row>
    <row r="6755" customFormat="false" ht="15" hidden="false" customHeight="false" outlineLevel="0" collapsed="false">
      <c r="A6755" s="62" t="n">
        <v>1</v>
      </c>
      <c r="B6755" s="62" t="s">
        <v>388</v>
      </c>
      <c r="C6755" s="62" t="s">
        <v>60</v>
      </c>
      <c r="D6755" s="62" t="s">
        <v>72</v>
      </c>
      <c r="E6755" s="62" t="s">
        <v>382</v>
      </c>
      <c r="F6755" s="63" t="s">
        <v>699</v>
      </c>
      <c r="G6755" s="64" t="n">
        <v>-2091272.15101753</v>
      </c>
      <c r="H6755" s="62" t="s">
        <v>138</v>
      </c>
    </row>
    <row r="6756" customFormat="false" ht="15" hidden="false" customHeight="false" outlineLevel="0" collapsed="false">
      <c r="A6756" s="62" t="n">
        <v>1</v>
      </c>
      <c r="B6756" s="62" t="s">
        <v>381</v>
      </c>
      <c r="C6756" s="62" t="s">
        <v>60</v>
      </c>
      <c r="D6756" s="62" t="s">
        <v>72</v>
      </c>
      <c r="E6756" s="62" t="s">
        <v>382</v>
      </c>
      <c r="F6756" s="63" t="s">
        <v>700</v>
      </c>
      <c r="G6756" s="64" t="n">
        <v>15849303.0541235</v>
      </c>
      <c r="H6756" s="62" t="s">
        <v>138</v>
      </c>
    </row>
    <row r="6757" customFormat="false" ht="15" hidden="false" customHeight="false" outlineLevel="0" collapsed="false">
      <c r="A6757" s="62" t="n">
        <v>1</v>
      </c>
      <c r="B6757" s="62" t="s">
        <v>383</v>
      </c>
      <c r="C6757" s="62" t="s">
        <v>60</v>
      </c>
      <c r="D6757" s="62" t="s">
        <v>72</v>
      </c>
      <c r="E6757" s="62" t="s">
        <v>382</v>
      </c>
      <c r="F6757" s="63" t="s">
        <v>700</v>
      </c>
      <c r="G6757" s="64" t="n">
        <v>23880524.2025965</v>
      </c>
      <c r="H6757" s="62" t="s">
        <v>138</v>
      </c>
    </row>
    <row r="6758" customFormat="false" ht="15" hidden="false" customHeight="false" outlineLevel="0" collapsed="false">
      <c r="A6758" s="62" t="n">
        <v>1</v>
      </c>
      <c r="B6758" s="62" t="s">
        <v>384</v>
      </c>
      <c r="C6758" s="62" t="s">
        <v>60</v>
      </c>
      <c r="D6758" s="62" t="s">
        <v>72</v>
      </c>
      <c r="E6758" s="62" t="s">
        <v>382</v>
      </c>
      <c r="F6758" s="63" t="s">
        <v>700</v>
      </c>
      <c r="G6758" s="64" t="n">
        <v>19794953.0807175</v>
      </c>
      <c r="H6758" s="62" t="s">
        <v>138</v>
      </c>
    </row>
    <row r="6759" customFormat="false" ht="15" hidden="false" customHeight="false" outlineLevel="0" collapsed="false">
      <c r="A6759" s="62" t="n">
        <v>1</v>
      </c>
      <c r="B6759" s="62" t="s">
        <v>385</v>
      </c>
      <c r="C6759" s="62" t="s">
        <v>60</v>
      </c>
      <c r="D6759" s="62" t="s">
        <v>72</v>
      </c>
      <c r="E6759" s="62" t="s">
        <v>382</v>
      </c>
      <c r="F6759" s="63" t="s">
        <v>700</v>
      </c>
      <c r="G6759" s="64" t="n">
        <v>15499331.647512</v>
      </c>
      <c r="H6759" s="62" t="s">
        <v>138</v>
      </c>
    </row>
    <row r="6760" customFormat="false" ht="15" hidden="false" customHeight="false" outlineLevel="0" collapsed="false">
      <c r="A6760" s="62" t="n">
        <v>1</v>
      </c>
      <c r="B6760" s="62" t="s">
        <v>386</v>
      </c>
      <c r="C6760" s="62" t="s">
        <v>60</v>
      </c>
      <c r="D6760" s="62" t="s">
        <v>72</v>
      </c>
      <c r="E6760" s="62" t="s">
        <v>382</v>
      </c>
      <c r="F6760" s="63" t="s">
        <v>700</v>
      </c>
      <c r="G6760" s="64" t="n">
        <v>13057116.0951793</v>
      </c>
      <c r="H6760" s="62" t="s">
        <v>138</v>
      </c>
    </row>
    <row r="6761" customFormat="false" ht="15" hidden="false" customHeight="false" outlineLevel="0" collapsed="false">
      <c r="A6761" s="62" t="n">
        <v>1</v>
      </c>
      <c r="B6761" s="62" t="s">
        <v>387</v>
      </c>
      <c r="C6761" s="62" t="s">
        <v>60</v>
      </c>
      <c r="D6761" s="62" t="s">
        <v>72</v>
      </c>
      <c r="E6761" s="62" t="s">
        <v>382</v>
      </c>
      <c r="F6761" s="63" t="s">
        <v>700</v>
      </c>
      <c r="G6761" s="64" t="n">
        <v>18050259.1245073</v>
      </c>
      <c r="H6761" s="62" t="s">
        <v>138</v>
      </c>
    </row>
    <row r="6762" customFormat="false" ht="15" hidden="false" customHeight="false" outlineLevel="0" collapsed="false">
      <c r="A6762" s="62" t="n">
        <v>1</v>
      </c>
      <c r="B6762" s="62" t="s">
        <v>388</v>
      </c>
      <c r="C6762" s="62" t="s">
        <v>60</v>
      </c>
      <c r="D6762" s="62" t="s">
        <v>72</v>
      </c>
      <c r="E6762" s="62" t="s">
        <v>382</v>
      </c>
      <c r="F6762" s="63" t="s">
        <v>700</v>
      </c>
      <c r="G6762" s="64" t="n">
        <v>11091600</v>
      </c>
      <c r="H6762" s="62" t="s">
        <v>138</v>
      </c>
    </row>
    <row r="6763" customFormat="false" ht="15" hidden="false" customHeight="false" outlineLevel="0" collapsed="false">
      <c r="A6763" s="62" t="n">
        <v>1</v>
      </c>
      <c r="B6763" s="62" t="s">
        <v>381</v>
      </c>
      <c r="C6763" s="62" t="s">
        <v>60</v>
      </c>
      <c r="D6763" s="62" t="s">
        <v>72</v>
      </c>
      <c r="E6763" s="62" t="s">
        <v>382</v>
      </c>
      <c r="F6763" s="63" t="s">
        <v>701</v>
      </c>
      <c r="G6763" s="64" t="n">
        <v>63397212.2164938</v>
      </c>
      <c r="H6763" s="62" t="s">
        <v>138</v>
      </c>
    </row>
    <row r="6764" customFormat="false" ht="15" hidden="false" customHeight="false" outlineLevel="0" collapsed="false">
      <c r="A6764" s="62" t="n">
        <v>1</v>
      </c>
      <c r="B6764" s="62" t="s">
        <v>383</v>
      </c>
      <c r="C6764" s="62" t="s">
        <v>60</v>
      </c>
      <c r="D6764" s="62" t="s">
        <v>72</v>
      </c>
      <c r="E6764" s="62" t="s">
        <v>382</v>
      </c>
      <c r="F6764" s="63" t="s">
        <v>701</v>
      </c>
      <c r="G6764" s="64" t="n">
        <v>95522096.810386</v>
      </c>
      <c r="H6764" s="62" t="s">
        <v>138</v>
      </c>
    </row>
    <row r="6765" customFormat="false" ht="15" hidden="false" customHeight="false" outlineLevel="0" collapsed="false">
      <c r="A6765" s="62" t="n">
        <v>1</v>
      </c>
      <c r="B6765" s="62" t="s">
        <v>384</v>
      </c>
      <c r="C6765" s="62" t="s">
        <v>60</v>
      </c>
      <c r="D6765" s="62" t="s">
        <v>72</v>
      </c>
      <c r="E6765" s="62" t="s">
        <v>382</v>
      </c>
      <c r="F6765" s="63" t="s">
        <v>701</v>
      </c>
      <c r="G6765" s="64" t="n">
        <v>79179812.32287</v>
      </c>
      <c r="H6765" s="62" t="s">
        <v>138</v>
      </c>
    </row>
    <row r="6766" customFormat="false" ht="15" hidden="false" customHeight="false" outlineLevel="0" collapsed="false">
      <c r="A6766" s="62" t="n">
        <v>1</v>
      </c>
      <c r="B6766" s="62" t="s">
        <v>385</v>
      </c>
      <c r="C6766" s="62" t="s">
        <v>60</v>
      </c>
      <c r="D6766" s="62" t="s">
        <v>72</v>
      </c>
      <c r="E6766" s="62" t="s">
        <v>382</v>
      </c>
      <c r="F6766" s="63" t="s">
        <v>701</v>
      </c>
      <c r="G6766" s="64" t="n">
        <v>61997326.5900479</v>
      </c>
      <c r="H6766" s="62" t="s">
        <v>138</v>
      </c>
    </row>
    <row r="6767" customFormat="false" ht="15" hidden="false" customHeight="false" outlineLevel="0" collapsed="false">
      <c r="A6767" s="62" t="n">
        <v>1</v>
      </c>
      <c r="B6767" s="62" t="s">
        <v>386</v>
      </c>
      <c r="C6767" s="62" t="s">
        <v>60</v>
      </c>
      <c r="D6767" s="62" t="s">
        <v>72</v>
      </c>
      <c r="E6767" s="62" t="s">
        <v>382</v>
      </c>
      <c r="F6767" s="63" t="s">
        <v>701</v>
      </c>
      <c r="G6767" s="64" t="n">
        <v>52228464.3807172</v>
      </c>
      <c r="H6767" s="62" t="s">
        <v>138</v>
      </c>
    </row>
    <row r="6768" customFormat="false" ht="15" hidden="false" customHeight="false" outlineLevel="0" collapsed="false">
      <c r="A6768" s="62" t="n">
        <v>1</v>
      </c>
      <c r="B6768" s="62" t="s">
        <v>387</v>
      </c>
      <c r="C6768" s="62" t="s">
        <v>60</v>
      </c>
      <c r="D6768" s="62" t="s">
        <v>72</v>
      </c>
      <c r="E6768" s="62" t="s">
        <v>382</v>
      </c>
      <c r="F6768" s="63" t="s">
        <v>701</v>
      </c>
      <c r="G6768" s="64" t="n">
        <v>72201036.498029</v>
      </c>
      <c r="H6768" s="62" t="s">
        <v>138</v>
      </c>
    </row>
    <row r="6769" customFormat="false" ht="15" hidden="false" customHeight="false" outlineLevel="0" collapsed="false">
      <c r="A6769" s="62" t="n">
        <v>1</v>
      </c>
      <c r="B6769" s="62" t="s">
        <v>388</v>
      </c>
      <c r="C6769" s="62" t="s">
        <v>60</v>
      </c>
      <c r="D6769" s="62" t="s">
        <v>72</v>
      </c>
      <c r="E6769" s="62" t="s">
        <v>382</v>
      </c>
      <c r="F6769" s="63" t="s">
        <v>701</v>
      </c>
      <c r="G6769" s="64" t="n">
        <v>44366400</v>
      </c>
      <c r="H6769" s="62" t="s">
        <v>138</v>
      </c>
    </row>
    <row r="6770" customFormat="false" ht="15" hidden="false" customHeight="false" outlineLevel="0" collapsed="false">
      <c r="A6770" s="62" t="n">
        <v>1</v>
      </c>
      <c r="B6770" s="62" t="s">
        <v>381</v>
      </c>
      <c r="C6770" s="62" t="s">
        <v>60</v>
      </c>
      <c r="D6770" s="62" t="s">
        <v>72</v>
      </c>
      <c r="E6770" s="62" t="s">
        <v>382</v>
      </c>
      <c r="F6770" s="63" t="s">
        <v>702</v>
      </c>
      <c r="G6770" s="64" t="s">
        <v>51</v>
      </c>
      <c r="H6770" s="62" t="s">
        <v>138</v>
      </c>
    </row>
    <row r="6771" customFormat="false" ht="15" hidden="false" customHeight="false" outlineLevel="0" collapsed="false">
      <c r="A6771" s="62" t="n">
        <v>1</v>
      </c>
      <c r="B6771" s="62" t="s">
        <v>388</v>
      </c>
      <c r="C6771" s="62" t="s">
        <v>60</v>
      </c>
      <c r="D6771" s="62" t="s">
        <v>72</v>
      </c>
      <c r="E6771" s="62" t="s">
        <v>382</v>
      </c>
      <c r="F6771" s="63" t="s">
        <v>702</v>
      </c>
      <c r="G6771" s="64" t="s">
        <v>51</v>
      </c>
      <c r="H6771" s="62" t="s">
        <v>138</v>
      </c>
    </row>
    <row r="6772" customFormat="false" ht="15" hidden="false" customHeight="false" outlineLevel="0" collapsed="false">
      <c r="A6772" s="62" t="n">
        <v>1</v>
      </c>
      <c r="B6772" s="62" t="s">
        <v>381</v>
      </c>
      <c r="C6772" s="62" t="s">
        <v>60</v>
      </c>
      <c r="D6772" s="62" t="s">
        <v>72</v>
      </c>
      <c r="E6772" s="62" t="s">
        <v>382</v>
      </c>
      <c r="F6772" s="63" t="s">
        <v>703</v>
      </c>
      <c r="G6772" s="64" t="n">
        <v>0</v>
      </c>
      <c r="H6772" s="62" t="s">
        <v>138</v>
      </c>
    </row>
    <row r="6773" customFormat="false" ht="15" hidden="false" customHeight="false" outlineLevel="0" collapsed="false">
      <c r="A6773" s="62" t="n">
        <v>1</v>
      </c>
      <c r="B6773" s="62" t="s">
        <v>383</v>
      </c>
      <c r="C6773" s="62" t="s">
        <v>60</v>
      </c>
      <c r="D6773" s="62" t="s">
        <v>72</v>
      </c>
      <c r="E6773" s="62" t="s">
        <v>382</v>
      </c>
      <c r="F6773" s="63" t="s">
        <v>703</v>
      </c>
      <c r="G6773" s="64" t="n">
        <v>3126614.91598188</v>
      </c>
      <c r="H6773" s="62" t="s">
        <v>138</v>
      </c>
    </row>
    <row r="6774" customFormat="false" ht="15" hidden="false" customHeight="false" outlineLevel="0" collapsed="false">
      <c r="A6774" s="62" t="n">
        <v>1</v>
      </c>
      <c r="B6774" s="62" t="s">
        <v>384</v>
      </c>
      <c r="C6774" s="62" t="s">
        <v>60</v>
      </c>
      <c r="D6774" s="62" t="s">
        <v>72</v>
      </c>
      <c r="E6774" s="62" t="s">
        <v>382</v>
      </c>
      <c r="F6774" s="63" t="s">
        <v>703</v>
      </c>
      <c r="G6774" s="64" t="n">
        <v>2044114.32853906</v>
      </c>
      <c r="H6774" s="62" t="s">
        <v>138</v>
      </c>
    </row>
    <row r="6775" customFormat="false" ht="15" hidden="false" customHeight="false" outlineLevel="0" collapsed="false">
      <c r="A6775" s="62" t="n">
        <v>1</v>
      </c>
      <c r="B6775" s="62" t="s">
        <v>385</v>
      </c>
      <c r="C6775" s="62" t="s">
        <v>60</v>
      </c>
      <c r="D6775" s="62" t="s">
        <v>72</v>
      </c>
      <c r="E6775" s="62" t="s">
        <v>382</v>
      </c>
      <c r="F6775" s="63" t="s">
        <v>703</v>
      </c>
      <c r="G6775" s="64" t="n">
        <v>1768437.68216752</v>
      </c>
      <c r="H6775" s="62" t="s">
        <v>138</v>
      </c>
    </row>
    <row r="6776" customFormat="false" ht="15" hidden="false" customHeight="false" outlineLevel="0" collapsed="false">
      <c r="A6776" s="62" t="n">
        <v>1</v>
      </c>
      <c r="B6776" s="62" t="s">
        <v>386</v>
      </c>
      <c r="C6776" s="62" t="s">
        <v>60</v>
      </c>
      <c r="D6776" s="62" t="s">
        <v>72</v>
      </c>
      <c r="E6776" s="62" t="s">
        <v>382</v>
      </c>
      <c r="F6776" s="63" t="s">
        <v>703</v>
      </c>
      <c r="G6776" s="64" t="n">
        <v>247879.964439973</v>
      </c>
      <c r="H6776" s="62" t="s">
        <v>138</v>
      </c>
    </row>
    <row r="6777" customFormat="false" ht="15" hidden="false" customHeight="false" outlineLevel="0" collapsed="false">
      <c r="A6777" s="62" t="n">
        <v>1</v>
      </c>
      <c r="B6777" s="62" t="s">
        <v>387</v>
      </c>
      <c r="C6777" s="62" t="s">
        <v>60</v>
      </c>
      <c r="D6777" s="62" t="s">
        <v>72</v>
      </c>
      <c r="E6777" s="62" t="s">
        <v>382</v>
      </c>
      <c r="F6777" s="63" t="s">
        <v>703</v>
      </c>
      <c r="G6777" s="64" t="n">
        <v>1519375.12009709</v>
      </c>
      <c r="H6777" s="62" t="s">
        <v>138</v>
      </c>
    </row>
    <row r="6778" customFormat="false" ht="15" hidden="false" customHeight="false" outlineLevel="0" collapsed="false">
      <c r="A6778" s="62" t="n">
        <v>1</v>
      </c>
      <c r="B6778" s="62" t="s">
        <v>388</v>
      </c>
      <c r="C6778" s="62" t="s">
        <v>60</v>
      </c>
      <c r="D6778" s="62" t="s">
        <v>72</v>
      </c>
      <c r="E6778" s="62" t="s">
        <v>382</v>
      </c>
      <c r="F6778" s="63" t="s">
        <v>703</v>
      </c>
      <c r="G6778" s="64" t="n">
        <v>0</v>
      </c>
      <c r="H6778" s="62" t="s">
        <v>138</v>
      </c>
    </row>
    <row r="6779" customFormat="false" ht="15" hidden="false" customHeight="false" outlineLevel="0" collapsed="false">
      <c r="A6779" s="62" t="n">
        <v>1</v>
      </c>
      <c r="B6779" s="62" t="s">
        <v>381</v>
      </c>
      <c r="C6779" s="62" t="s">
        <v>60</v>
      </c>
      <c r="D6779" s="62" t="s">
        <v>72</v>
      </c>
      <c r="E6779" s="62" t="s">
        <v>382</v>
      </c>
      <c r="F6779" s="63" t="s">
        <v>704</v>
      </c>
      <c r="G6779" s="64" t="s">
        <v>51</v>
      </c>
      <c r="H6779" s="62" t="s">
        <v>138</v>
      </c>
    </row>
    <row r="6780" customFormat="false" ht="15" hidden="false" customHeight="false" outlineLevel="0" collapsed="false">
      <c r="A6780" s="62" t="n">
        <v>1</v>
      </c>
      <c r="B6780" s="62" t="s">
        <v>383</v>
      </c>
      <c r="C6780" s="62" t="s">
        <v>60</v>
      </c>
      <c r="D6780" s="62" t="s">
        <v>72</v>
      </c>
      <c r="E6780" s="62" t="s">
        <v>382</v>
      </c>
      <c r="F6780" s="63" t="s">
        <v>704</v>
      </c>
      <c r="G6780" s="64" t="n">
        <v>36425063.7711888</v>
      </c>
      <c r="H6780" s="62" t="s">
        <v>138</v>
      </c>
    </row>
    <row r="6781" customFormat="false" ht="15" hidden="false" customHeight="false" outlineLevel="0" collapsed="false">
      <c r="A6781" s="62" t="n">
        <v>1</v>
      </c>
      <c r="B6781" s="62" t="s">
        <v>384</v>
      </c>
      <c r="C6781" s="62" t="s">
        <v>60</v>
      </c>
      <c r="D6781" s="62" t="s">
        <v>72</v>
      </c>
      <c r="E6781" s="62" t="s">
        <v>382</v>
      </c>
      <c r="F6781" s="63" t="s">
        <v>704</v>
      </c>
      <c r="G6781" s="64" t="n">
        <v>23813931.9274801</v>
      </c>
      <c r="H6781" s="62" t="s">
        <v>138</v>
      </c>
    </row>
    <row r="6782" customFormat="false" ht="15" hidden="false" customHeight="false" outlineLevel="0" collapsed="false">
      <c r="A6782" s="62" t="n">
        <v>1</v>
      </c>
      <c r="B6782" s="62" t="s">
        <v>385</v>
      </c>
      <c r="C6782" s="62" t="s">
        <v>60</v>
      </c>
      <c r="D6782" s="62" t="s">
        <v>72</v>
      </c>
      <c r="E6782" s="62" t="s">
        <v>382</v>
      </c>
      <c r="F6782" s="63" t="s">
        <v>704</v>
      </c>
      <c r="G6782" s="64" t="n">
        <v>20602298.9972516</v>
      </c>
      <c r="H6782" s="62" t="s">
        <v>138</v>
      </c>
    </row>
    <row r="6783" customFormat="false" ht="15" hidden="false" customHeight="false" outlineLevel="0" collapsed="false">
      <c r="A6783" s="62" t="n">
        <v>1</v>
      </c>
      <c r="B6783" s="62" t="s">
        <v>386</v>
      </c>
      <c r="C6783" s="62" t="s">
        <v>60</v>
      </c>
      <c r="D6783" s="62" t="s">
        <v>72</v>
      </c>
      <c r="E6783" s="62" t="s">
        <v>382</v>
      </c>
      <c r="F6783" s="63" t="s">
        <v>704</v>
      </c>
      <c r="G6783" s="64" t="n">
        <v>2887801.58572569</v>
      </c>
      <c r="H6783" s="62" t="s">
        <v>138</v>
      </c>
    </row>
    <row r="6784" customFormat="false" ht="15" hidden="false" customHeight="false" outlineLevel="0" collapsed="false">
      <c r="A6784" s="62" t="n">
        <v>1</v>
      </c>
      <c r="B6784" s="62" t="s">
        <v>387</v>
      </c>
      <c r="C6784" s="62" t="s">
        <v>60</v>
      </c>
      <c r="D6784" s="62" t="s">
        <v>72</v>
      </c>
      <c r="E6784" s="62" t="s">
        <v>382</v>
      </c>
      <c r="F6784" s="63" t="s">
        <v>704</v>
      </c>
      <c r="G6784" s="64" t="n">
        <v>17700720.1491311</v>
      </c>
      <c r="H6784" s="62" t="s">
        <v>138</v>
      </c>
    </row>
    <row r="6785" customFormat="false" ht="15" hidden="false" customHeight="false" outlineLevel="0" collapsed="false">
      <c r="A6785" s="62" t="n">
        <v>1</v>
      </c>
      <c r="B6785" s="62" t="s">
        <v>388</v>
      </c>
      <c r="C6785" s="62" t="s">
        <v>60</v>
      </c>
      <c r="D6785" s="62" t="s">
        <v>72</v>
      </c>
      <c r="E6785" s="62" t="s">
        <v>382</v>
      </c>
      <c r="F6785" s="63" t="s">
        <v>704</v>
      </c>
      <c r="G6785" s="64" t="s">
        <v>51</v>
      </c>
      <c r="H6785" s="62" t="s">
        <v>138</v>
      </c>
    </row>
    <row r="6786" customFormat="false" ht="15" hidden="false" customHeight="false" outlineLevel="0" collapsed="false">
      <c r="A6786" s="62" t="n">
        <v>1</v>
      </c>
      <c r="B6786" s="62" t="s">
        <v>381</v>
      </c>
      <c r="C6786" s="62" t="s">
        <v>60</v>
      </c>
      <c r="D6786" s="62" t="s">
        <v>72</v>
      </c>
      <c r="E6786" s="62" t="s">
        <v>382</v>
      </c>
      <c r="F6786" s="63" t="s">
        <v>705</v>
      </c>
      <c r="G6786" s="64" t="s">
        <v>51</v>
      </c>
      <c r="H6786" s="62" t="s">
        <v>138</v>
      </c>
    </row>
    <row r="6787" customFormat="false" ht="15" hidden="false" customHeight="false" outlineLevel="0" collapsed="false">
      <c r="A6787" s="62" t="n">
        <v>1</v>
      </c>
      <c r="B6787" s="62" t="s">
        <v>388</v>
      </c>
      <c r="C6787" s="62" t="s">
        <v>60</v>
      </c>
      <c r="D6787" s="62" t="s">
        <v>72</v>
      </c>
      <c r="E6787" s="62" t="s">
        <v>382</v>
      </c>
      <c r="F6787" s="63" t="s">
        <v>705</v>
      </c>
      <c r="G6787" s="64" t="s">
        <v>51</v>
      </c>
      <c r="H6787" s="62" t="s">
        <v>138</v>
      </c>
    </row>
    <row r="6788" customFormat="false" ht="15" hidden="false" customHeight="false" outlineLevel="0" collapsed="false">
      <c r="A6788" s="62" t="n">
        <v>1</v>
      </c>
      <c r="B6788" s="62" t="s">
        <v>381</v>
      </c>
      <c r="C6788" s="62" t="s">
        <v>60</v>
      </c>
      <c r="D6788" s="62" t="s">
        <v>72</v>
      </c>
      <c r="E6788" s="62" t="s">
        <v>382</v>
      </c>
      <c r="F6788" s="63" t="s">
        <v>706</v>
      </c>
      <c r="G6788" s="64" t="n">
        <v>0</v>
      </c>
      <c r="H6788" s="62" t="s">
        <v>138</v>
      </c>
    </row>
    <row r="6789" customFormat="false" ht="15" hidden="false" customHeight="false" outlineLevel="0" collapsed="false">
      <c r="A6789" s="62" t="n">
        <v>1</v>
      </c>
      <c r="B6789" s="62" t="s">
        <v>383</v>
      </c>
      <c r="C6789" s="62" t="s">
        <v>60</v>
      </c>
      <c r="D6789" s="62" t="s">
        <v>72</v>
      </c>
      <c r="E6789" s="62" t="s">
        <v>382</v>
      </c>
      <c r="F6789" s="63" t="s">
        <v>706</v>
      </c>
      <c r="G6789" s="64" t="n">
        <v>3126614.91598188</v>
      </c>
      <c r="H6789" s="62" t="s">
        <v>138</v>
      </c>
    </row>
    <row r="6790" customFormat="false" ht="15" hidden="false" customHeight="false" outlineLevel="0" collapsed="false">
      <c r="A6790" s="62" t="n">
        <v>1</v>
      </c>
      <c r="B6790" s="62" t="s">
        <v>384</v>
      </c>
      <c r="C6790" s="62" t="s">
        <v>60</v>
      </c>
      <c r="D6790" s="62" t="s">
        <v>72</v>
      </c>
      <c r="E6790" s="62" t="s">
        <v>382</v>
      </c>
      <c r="F6790" s="63" t="s">
        <v>706</v>
      </c>
      <c r="G6790" s="64" t="n">
        <v>2044114.32853906</v>
      </c>
      <c r="H6790" s="62" t="s">
        <v>138</v>
      </c>
    </row>
    <row r="6791" customFormat="false" ht="15" hidden="false" customHeight="false" outlineLevel="0" collapsed="false">
      <c r="A6791" s="62" t="n">
        <v>1</v>
      </c>
      <c r="B6791" s="62" t="s">
        <v>385</v>
      </c>
      <c r="C6791" s="62" t="s">
        <v>60</v>
      </c>
      <c r="D6791" s="62" t="s">
        <v>72</v>
      </c>
      <c r="E6791" s="62" t="s">
        <v>382</v>
      </c>
      <c r="F6791" s="63" t="s">
        <v>706</v>
      </c>
      <c r="G6791" s="64" t="n">
        <v>1768437.68216752</v>
      </c>
      <c r="H6791" s="62" t="s">
        <v>138</v>
      </c>
    </row>
    <row r="6792" customFormat="false" ht="15" hidden="false" customHeight="false" outlineLevel="0" collapsed="false">
      <c r="A6792" s="62" t="n">
        <v>1</v>
      </c>
      <c r="B6792" s="62" t="s">
        <v>386</v>
      </c>
      <c r="C6792" s="62" t="s">
        <v>60</v>
      </c>
      <c r="D6792" s="62" t="s">
        <v>72</v>
      </c>
      <c r="E6792" s="62" t="s">
        <v>382</v>
      </c>
      <c r="F6792" s="63" t="s">
        <v>706</v>
      </c>
      <c r="G6792" s="64" t="n">
        <v>247879.964439973</v>
      </c>
      <c r="H6792" s="62" t="s">
        <v>138</v>
      </c>
    </row>
    <row r="6793" customFormat="false" ht="15" hidden="false" customHeight="false" outlineLevel="0" collapsed="false">
      <c r="A6793" s="62" t="n">
        <v>1</v>
      </c>
      <c r="B6793" s="62" t="s">
        <v>387</v>
      </c>
      <c r="C6793" s="62" t="s">
        <v>60</v>
      </c>
      <c r="D6793" s="62" t="s">
        <v>72</v>
      </c>
      <c r="E6793" s="62" t="s">
        <v>382</v>
      </c>
      <c r="F6793" s="63" t="s">
        <v>706</v>
      </c>
      <c r="G6793" s="64" t="n">
        <v>1519375.12009709</v>
      </c>
      <c r="H6793" s="62" t="s">
        <v>138</v>
      </c>
    </row>
    <row r="6794" customFormat="false" ht="15" hidden="false" customHeight="false" outlineLevel="0" collapsed="false">
      <c r="A6794" s="62" t="n">
        <v>1</v>
      </c>
      <c r="B6794" s="62" t="s">
        <v>388</v>
      </c>
      <c r="C6794" s="62" t="s">
        <v>60</v>
      </c>
      <c r="D6794" s="62" t="s">
        <v>72</v>
      </c>
      <c r="E6794" s="62" t="s">
        <v>382</v>
      </c>
      <c r="F6794" s="63" t="s">
        <v>706</v>
      </c>
      <c r="G6794" s="64" t="n">
        <v>0</v>
      </c>
      <c r="H6794" s="62" t="s">
        <v>138</v>
      </c>
    </row>
    <row r="6795" customFormat="false" ht="15" hidden="false" customHeight="false" outlineLevel="0" collapsed="false">
      <c r="A6795" s="62" t="n">
        <v>1</v>
      </c>
      <c r="B6795" s="62" t="s">
        <v>383</v>
      </c>
      <c r="C6795" s="62" t="s">
        <v>60</v>
      </c>
      <c r="D6795" s="62" t="s">
        <v>72</v>
      </c>
      <c r="E6795" s="62" t="s">
        <v>382</v>
      </c>
      <c r="F6795" s="63" t="s">
        <v>862</v>
      </c>
      <c r="G6795" s="64" t="n">
        <v>45742376.2208148</v>
      </c>
      <c r="H6795" s="62" t="s">
        <v>138</v>
      </c>
    </row>
    <row r="6796" customFormat="false" ht="15" hidden="false" customHeight="false" outlineLevel="0" collapsed="false">
      <c r="A6796" s="62" t="n">
        <v>1</v>
      </c>
      <c r="B6796" s="62" t="s">
        <v>384</v>
      </c>
      <c r="C6796" s="62" t="s">
        <v>60</v>
      </c>
      <c r="D6796" s="62" t="s">
        <v>72</v>
      </c>
      <c r="E6796" s="62" t="s">
        <v>382</v>
      </c>
      <c r="F6796" s="63" t="s">
        <v>862</v>
      </c>
      <c r="G6796" s="64" t="n">
        <v>29905392.6265264</v>
      </c>
      <c r="H6796" s="62" t="s">
        <v>138</v>
      </c>
    </row>
    <row r="6797" customFormat="false" ht="15" hidden="false" customHeight="false" outlineLevel="0" collapsed="false">
      <c r="A6797" s="62" t="n">
        <v>1</v>
      </c>
      <c r="B6797" s="62" t="s">
        <v>385</v>
      </c>
      <c r="C6797" s="62" t="s">
        <v>60</v>
      </c>
      <c r="D6797" s="62" t="s">
        <v>72</v>
      </c>
      <c r="E6797" s="62" t="s">
        <v>382</v>
      </c>
      <c r="F6797" s="63" t="s">
        <v>862</v>
      </c>
      <c r="G6797" s="64" t="n">
        <v>25872243.2901108</v>
      </c>
      <c r="H6797" s="62" t="s">
        <v>138</v>
      </c>
    </row>
    <row r="6798" customFormat="false" ht="15" hidden="false" customHeight="false" outlineLevel="0" collapsed="false">
      <c r="A6798" s="62" t="n">
        <v>1</v>
      </c>
      <c r="B6798" s="62" t="s">
        <v>386</v>
      </c>
      <c r="C6798" s="62" t="s">
        <v>60</v>
      </c>
      <c r="D6798" s="62" t="s">
        <v>72</v>
      </c>
      <c r="E6798" s="62" t="s">
        <v>382</v>
      </c>
      <c r="F6798" s="63" t="s">
        <v>862</v>
      </c>
      <c r="G6798" s="64" t="n">
        <v>3626483.87975681</v>
      </c>
      <c r="H6798" s="62" t="s">
        <v>138</v>
      </c>
    </row>
    <row r="6799" customFormat="false" ht="15" hidden="false" customHeight="false" outlineLevel="0" collapsed="false">
      <c r="A6799" s="62" t="n">
        <v>1</v>
      </c>
      <c r="B6799" s="62" t="s">
        <v>387</v>
      </c>
      <c r="C6799" s="62" t="s">
        <v>60</v>
      </c>
      <c r="D6799" s="62" t="s">
        <v>72</v>
      </c>
      <c r="E6799" s="62" t="s">
        <v>382</v>
      </c>
      <c r="F6799" s="63" t="s">
        <v>862</v>
      </c>
      <c r="G6799" s="64" t="n">
        <v>22228458.0070204</v>
      </c>
      <c r="H6799" s="62" t="s">
        <v>138</v>
      </c>
    </row>
    <row r="6800" customFormat="false" ht="15" hidden="false" customHeight="false" outlineLevel="0" collapsed="false">
      <c r="A6800" s="62" t="n">
        <v>1</v>
      </c>
      <c r="B6800" s="62" t="s">
        <v>381</v>
      </c>
      <c r="C6800" s="62" t="s">
        <v>60</v>
      </c>
      <c r="D6800" s="62" t="s">
        <v>72</v>
      </c>
      <c r="E6800" s="62" t="s">
        <v>382</v>
      </c>
      <c r="F6800" s="63" t="s">
        <v>707</v>
      </c>
      <c r="G6800" s="64" t="s">
        <v>51</v>
      </c>
      <c r="H6800" s="62" t="s">
        <v>138</v>
      </c>
    </row>
    <row r="6801" customFormat="false" ht="15" hidden="false" customHeight="false" outlineLevel="0" collapsed="false">
      <c r="A6801" s="62" t="n">
        <v>1</v>
      </c>
      <c r="B6801" s="62" t="s">
        <v>388</v>
      </c>
      <c r="C6801" s="62" t="s">
        <v>60</v>
      </c>
      <c r="D6801" s="62" t="s">
        <v>72</v>
      </c>
      <c r="E6801" s="62" t="s">
        <v>382</v>
      </c>
      <c r="F6801" s="63" t="s">
        <v>707</v>
      </c>
      <c r="G6801" s="64" t="s">
        <v>51</v>
      </c>
      <c r="H6801" s="62" t="s">
        <v>138</v>
      </c>
    </row>
    <row r="6802" customFormat="false" ht="15" hidden="false" customHeight="false" outlineLevel="0" collapsed="false">
      <c r="A6802" s="62" t="n">
        <v>1</v>
      </c>
      <c r="B6802" s="62" t="s">
        <v>381</v>
      </c>
      <c r="C6802" s="62" t="s">
        <v>60</v>
      </c>
      <c r="D6802" s="62" t="s">
        <v>72</v>
      </c>
      <c r="E6802" s="62" t="s">
        <v>382</v>
      </c>
      <c r="F6802" s="63" t="s">
        <v>708</v>
      </c>
      <c r="G6802" s="64" t="n">
        <v>0</v>
      </c>
      <c r="H6802" s="62" t="s">
        <v>138</v>
      </c>
    </row>
    <row r="6803" customFormat="false" ht="15" hidden="false" customHeight="false" outlineLevel="0" collapsed="false">
      <c r="A6803" s="62" t="n">
        <v>1</v>
      </c>
      <c r="B6803" s="62" t="s">
        <v>383</v>
      </c>
      <c r="C6803" s="62" t="s">
        <v>60</v>
      </c>
      <c r="D6803" s="62" t="s">
        <v>72</v>
      </c>
      <c r="E6803" s="62" t="s">
        <v>382</v>
      </c>
      <c r="F6803" s="63" t="s">
        <v>708</v>
      </c>
      <c r="G6803" s="64" t="n">
        <v>2275201.91925694</v>
      </c>
      <c r="H6803" s="62" t="s">
        <v>138</v>
      </c>
    </row>
    <row r="6804" customFormat="false" ht="15" hidden="false" customHeight="false" outlineLevel="0" collapsed="false">
      <c r="A6804" s="62" t="n">
        <v>1</v>
      </c>
      <c r="B6804" s="62" t="s">
        <v>384</v>
      </c>
      <c r="C6804" s="62" t="s">
        <v>60</v>
      </c>
      <c r="D6804" s="62" t="s">
        <v>72</v>
      </c>
      <c r="E6804" s="62" t="s">
        <v>382</v>
      </c>
      <c r="F6804" s="63" t="s">
        <v>708</v>
      </c>
      <c r="G6804" s="64" t="n">
        <v>1483273.80287521</v>
      </c>
      <c r="H6804" s="62" t="s">
        <v>138</v>
      </c>
    </row>
    <row r="6805" customFormat="false" ht="15" hidden="false" customHeight="false" outlineLevel="0" collapsed="false">
      <c r="A6805" s="62" t="n">
        <v>1</v>
      </c>
      <c r="B6805" s="62" t="s">
        <v>385</v>
      </c>
      <c r="C6805" s="62" t="s">
        <v>60</v>
      </c>
      <c r="D6805" s="62" t="s">
        <v>72</v>
      </c>
      <c r="E6805" s="62" t="s">
        <v>382</v>
      </c>
      <c r="F6805" s="63" t="s">
        <v>708</v>
      </c>
      <c r="G6805" s="64" t="n">
        <v>1284433.87384082</v>
      </c>
      <c r="H6805" s="62" t="s">
        <v>138</v>
      </c>
    </row>
    <row r="6806" customFormat="false" ht="15" hidden="false" customHeight="false" outlineLevel="0" collapsed="false">
      <c r="A6806" s="62" t="n">
        <v>1</v>
      </c>
      <c r="B6806" s="62" t="s">
        <v>386</v>
      </c>
      <c r="C6806" s="62" t="s">
        <v>60</v>
      </c>
      <c r="D6806" s="62" t="s">
        <v>72</v>
      </c>
      <c r="E6806" s="62" t="s">
        <v>382</v>
      </c>
      <c r="F6806" s="63" t="s">
        <v>708</v>
      </c>
      <c r="G6806" s="64" t="n">
        <v>184254.154612849</v>
      </c>
      <c r="H6806" s="62" t="s">
        <v>138</v>
      </c>
    </row>
    <row r="6807" customFormat="false" ht="15" hidden="false" customHeight="false" outlineLevel="0" collapsed="false">
      <c r="A6807" s="62" t="n">
        <v>1</v>
      </c>
      <c r="B6807" s="62" t="s">
        <v>387</v>
      </c>
      <c r="C6807" s="62" t="s">
        <v>60</v>
      </c>
      <c r="D6807" s="62" t="s">
        <v>72</v>
      </c>
      <c r="E6807" s="62" t="s">
        <v>382</v>
      </c>
      <c r="F6807" s="63" t="s">
        <v>708</v>
      </c>
      <c r="G6807" s="64" t="n">
        <v>1104788.32358267</v>
      </c>
      <c r="H6807" s="62" t="s">
        <v>138</v>
      </c>
    </row>
    <row r="6808" customFormat="false" ht="15" hidden="false" customHeight="false" outlineLevel="0" collapsed="false">
      <c r="A6808" s="62" t="n">
        <v>1</v>
      </c>
      <c r="B6808" s="62" t="s">
        <v>388</v>
      </c>
      <c r="C6808" s="62" t="s">
        <v>60</v>
      </c>
      <c r="D6808" s="62" t="s">
        <v>72</v>
      </c>
      <c r="E6808" s="62" t="s">
        <v>382</v>
      </c>
      <c r="F6808" s="63" t="s">
        <v>708</v>
      </c>
      <c r="G6808" s="64" t="n">
        <v>0</v>
      </c>
      <c r="H6808" s="62" t="s">
        <v>138</v>
      </c>
    </row>
    <row r="6809" customFormat="false" ht="15" hidden="false" customHeight="false" outlineLevel="0" collapsed="false">
      <c r="A6809" s="62" t="n">
        <v>1</v>
      </c>
      <c r="B6809" s="62" t="s">
        <v>383</v>
      </c>
      <c r="C6809" s="62" t="s">
        <v>60</v>
      </c>
      <c r="D6809" s="62" t="s">
        <v>72</v>
      </c>
      <c r="E6809" s="62" t="s">
        <v>382</v>
      </c>
      <c r="F6809" s="63" t="s">
        <v>863</v>
      </c>
      <c r="G6809" s="64" t="n">
        <v>39360993.203145</v>
      </c>
      <c r="H6809" s="62" t="s">
        <v>138</v>
      </c>
    </row>
    <row r="6810" customFormat="false" ht="15" hidden="false" customHeight="false" outlineLevel="0" collapsed="false">
      <c r="A6810" s="62" t="n">
        <v>1</v>
      </c>
      <c r="B6810" s="62" t="s">
        <v>384</v>
      </c>
      <c r="C6810" s="62" t="s">
        <v>60</v>
      </c>
      <c r="D6810" s="62" t="s">
        <v>72</v>
      </c>
      <c r="E6810" s="62" t="s">
        <v>382</v>
      </c>
      <c r="F6810" s="63" t="s">
        <v>863</v>
      </c>
      <c r="G6810" s="64" t="n">
        <v>25660636.7897412</v>
      </c>
      <c r="H6810" s="62" t="s">
        <v>138</v>
      </c>
    </row>
    <row r="6811" customFormat="false" ht="15" hidden="false" customHeight="false" outlineLevel="0" collapsed="false">
      <c r="A6811" s="62" t="n">
        <v>1</v>
      </c>
      <c r="B6811" s="62" t="s">
        <v>385</v>
      </c>
      <c r="C6811" s="62" t="s">
        <v>60</v>
      </c>
      <c r="D6811" s="62" t="s">
        <v>72</v>
      </c>
      <c r="E6811" s="62" t="s">
        <v>382</v>
      </c>
      <c r="F6811" s="63" t="s">
        <v>863</v>
      </c>
      <c r="G6811" s="64" t="n">
        <v>22220706.0174462</v>
      </c>
      <c r="H6811" s="62" t="s">
        <v>138</v>
      </c>
    </row>
    <row r="6812" customFormat="false" ht="15" hidden="false" customHeight="false" outlineLevel="0" collapsed="false">
      <c r="A6812" s="62" t="n">
        <v>1</v>
      </c>
      <c r="B6812" s="62" t="s">
        <v>386</v>
      </c>
      <c r="C6812" s="62" t="s">
        <v>60</v>
      </c>
      <c r="D6812" s="62" t="s">
        <v>72</v>
      </c>
      <c r="E6812" s="62" t="s">
        <v>382</v>
      </c>
      <c r="F6812" s="63" t="s">
        <v>863</v>
      </c>
      <c r="G6812" s="64" t="n">
        <v>3187596.8748023</v>
      </c>
      <c r="H6812" s="62" t="s">
        <v>138</v>
      </c>
    </row>
    <row r="6813" customFormat="false" ht="15" hidden="false" customHeight="false" outlineLevel="0" collapsed="false">
      <c r="A6813" s="62" t="n">
        <v>1</v>
      </c>
      <c r="B6813" s="62" t="s">
        <v>387</v>
      </c>
      <c r="C6813" s="62" t="s">
        <v>60</v>
      </c>
      <c r="D6813" s="62" t="s">
        <v>72</v>
      </c>
      <c r="E6813" s="62" t="s">
        <v>382</v>
      </c>
      <c r="F6813" s="63" t="s">
        <v>863</v>
      </c>
      <c r="G6813" s="64" t="n">
        <v>19112837.9979801</v>
      </c>
      <c r="H6813" s="62" t="s">
        <v>138</v>
      </c>
    </row>
    <row r="6814" customFormat="false" ht="15" hidden="false" customHeight="false" outlineLevel="0" collapsed="false">
      <c r="A6814" s="62" t="n">
        <v>1</v>
      </c>
      <c r="B6814" s="62" t="s">
        <v>381</v>
      </c>
      <c r="C6814" s="62" t="s">
        <v>60</v>
      </c>
      <c r="D6814" s="62" t="s">
        <v>382</v>
      </c>
      <c r="E6814" s="62" t="s">
        <v>382</v>
      </c>
      <c r="F6814" s="63" t="s">
        <v>709</v>
      </c>
      <c r="G6814" s="64" t="n">
        <v>1171409.72084677</v>
      </c>
      <c r="H6814" s="62" t="s">
        <v>138</v>
      </c>
    </row>
    <row r="6815" customFormat="false" ht="15" hidden="false" customHeight="false" outlineLevel="0" collapsed="false">
      <c r="A6815" s="62" t="n">
        <v>1</v>
      </c>
      <c r="B6815" s="62" t="s">
        <v>383</v>
      </c>
      <c r="C6815" s="62" t="s">
        <v>60</v>
      </c>
      <c r="D6815" s="62" t="s">
        <v>382</v>
      </c>
      <c r="E6815" s="62" t="s">
        <v>382</v>
      </c>
      <c r="F6815" s="63" t="s">
        <v>709</v>
      </c>
      <c r="G6815" s="64" t="n">
        <v>1949894.95299213</v>
      </c>
      <c r="H6815" s="62" t="s">
        <v>138</v>
      </c>
    </row>
    <row r="6816" customFormat="false" ht="15" hidden="false" customHeight="false" outlineLevel="0" collapsed="false">
      <c r="A6816" s="62" t="n">
        <v>1</v>
      </c>
      <c r="B6816" s="62" t="s">
        <v>384</v>
      </c>
      <c r="C6816" s="62" t="s">
        <v>60</v>
      </c>
      <c r="D6816" s="62" t="s">
        <v>382</v>
      </c>
      <c r="E6816" s="62" t="s">
        <v>382</v>
      </c>
      <c r="F6816" s="63" t="s">
        <v>709</v>
      </c>
      <c r="G6816" s="64" t="n">
        <v>1527273.95460889</v>
      </c>
      <c r="H6816" s="62" t="s">
        <v>138</v>
      </c>
    </row>
    <row r="6817" customFormat="false" ht="15" hidden="false" customHeight="false" outlineLevel="0" collapsed="false">
      <c r="A6817" s="62" t="n">
        <v>1</v>
      </c>
      <c r="B6817" s="62" t="s">
        <v>385</v>
      </c>
      <c r="C6817" s="62" t="s">
        <v>60</v>
      </c>
      <c r="D6817" s="62" t="s">
        <v>382</v>
      </c>
      <c r="E6817" s="62" t="s">
        <v>382</v>
      </c>
      <c r="F6817" s="63" t="s">
        <v>709</v>
      </c>
      <c r="G6817" s="64" t="n">
        <v>3213477.94706875</v>
      </c>
      <c r="H6817" s="62" t="s">
        <v>138</v>
      </c>
    </row>
    <row r="6818" customFormat="false" ht="15" hidden="false" customHeight="false" outlineLevel="0" collapsed="false">
      <c r="A6818" s="62" t="n">
        <v>1</v>
      </c>
      <c r="B6818" s="62" t="s">
        <v>386</v>
      </c>
      <c r="C6818" s="62" t="s">
        <v>60</v>
      </c>
      <c r="D6818" s="62" t="s">
        <v>382</v>
      </c>
      <c r="E6818" s="62" t="s">
        <v>382</v>
      </c>
      <c r="F6818" s="63" t="s">
        <v>709</v>
      </c>
      <c r="G6818" s="64" t="n">
        <v>2570449.96525821</v>
      </c>
      <c r="H6818" s="62" t="s">
        <v>138</v>
      </c>
    </row>
    <row r="6819" customFormat="false" ht="15" hidden="false" customHeight="false" outlineLevel="0" collapsed="false">
      <c r="A6819" s="62" t="n">
        <v>1</v>
      </c>
      <c r="B6819" s="62" t="s">
        <v>387</v>
      </c>
      <c r="C6819" s="62" t="s">
        <v>60</v>
      </c>
      <c r="D6819" s="62" t="s">
        <v>382</v>
      </c>
      <c r="E6819" s="62" t="s">
        <v>382</v>
      </c>
      <c r="F6819" s="63" t="s">
        <v>709</v>
      </c>
      <c r="G6819" s="64" t="n">
        <v>4994235.24484604</v>
      </c>
      <c r="H6819" s="62" t="s">
        <v>138</v>
      </c>
    </row>
    <row r="6820" customFormat="false" ht="15" hidden="false" customHeight="false" outlineLevel="0" collapsed="false">
      <c r="A6820" s="62" t="n">
        <v>1</v>
      </c>
      <c r="B6820" s="62" t="s">
        <v>388</v>
      </c>
      <c r="C6820" s="62" t="s">
        <v>60</v>
      </c>
      <c r="D6820" s="62" t="s">
        <v>382</v>
      </c>
      <c r="E6820" s="62" t="s">
        <v>382</v>
      </c>
      <c r="F6820" s="63" t="s">
        <v>709</v>
      </c>
      <c r="G6820" s="64" t="n">
        <v>191288.213988856</v>
      </c>
      <c r="H6820" s="62" t="s">
        <v>138</v>
      </c>
    </row>
    <row r="6821" customFormat="false" ht="15" hidden="false" customHeight="false" outlineLevel="0" collapsed="false">
      <c r="A6821" s="62" t="n">
        <v>1</v>
      </c>
      <c r="B6821" s="62" t="s">
        <v>381</v>
      </c>
      <c r="C6821" s="62" t="s">
        <v>60</v>
      </c>
      <c r="D6821" s="62" t="s">
        <v>382</v>
      </c>
      <c r="E6821" s="62" t="s">
        <v>382</v>
      </c>
      <c r="F6821" s="63" t="s">
        <v>710</v>
      </c>
      <c r="G6821" s="64" t="n">
        <v>1548899.4229985</v>
      </c>
      <c r="H6821" s="62" t="s">
        <v>138</v>
      </c>
    </row>
    <row r="6822" customFormat="false" ht="15" hidden="false" customHeight="false" outlineLevel="0" collapsed="false">
      <c r="A6822" s="62" t="n">
        <v>1</v>
      </c>
      <c r="B6822" s="62" t="s">
        <v>383</v>
      </c>
      <c r="C6822" s="62" t="s">
        <v>60</v>
      </c>
      <c r="D6822" s="62" t="s">
        <v>382</v>
      </c>
      <c r="E6822" s="62" t="s">
        <v>382</v>
      </c>
      <c r="F6822" s="63" t="s">
        <v>710</v>
      </c>
      <c r="G6822" s="64" t="n">
        <v>422049.057288597</v>
      </c>
      <c r="H6822" s="62" t="s">
        <v>138</v>
      </c>
    </row>
    <row r="6823" customFormat="false" ht="15" hidden="false" customHeight="false" outlineLevel="0" collapsed="false">
      <c r="A6823" s="62" t="n">
        <v>1</v>
      </c>
      <c r="B6823" s="62" t="s">
        <v>384</v>
      </c>
      <c r="C6823" s="62" t="s">
        <v>60</v>
      </c>
      <c r="D6823" s="62" t="s">
        <v>382</v>
      </c>
      <c r="E6823" s="62" t="s">
        <v>382</v>
      </c>
      <c r="F6823" s="63" t="s">
        <v>710</v>
      </c>
      <c r="G6823" s="64" t="n">
        <v>1811994.47382468</v>
      </c>
      <c r="H6823" s="62" t="s">
        <v>138</v>
      </c>
    </row>
    <row r="6824" customFormat="false" ht="15" hidden="false" customHeight="false" outlineLevel="0" collapsed="false">
      <c r="A6824" s="62" t="n">
        <v>1</v>
      </c>
      <c r="B6824" s="62" t="s">
        <v>385</v>
      </c>
      <c r="C6824" s="62" t="s">
        <v>60</v>
      </c>
      <c r="D6824" s="62" t="s">
        <v>382</v>
      </c>
      <c r="E6824" s="62" t="s">
        <v>382</v>
      </c>
      <c r="F6824" s="63" t="s">
        <v>710</v>
      </c>
      <c r="G6824" s="64" t="n">
        <v>1394189.57973629</v>
      </c>
      <c r="H6824" s="62" t="s">
        <v>138</v>
      </c>
    </row>
    <row r="6825" customFormat="false" ht="15" hidden="false" customHeight="false" outlineLevel="0" collapsed="false">
      <c r="A6825" s="62" t="n">
        <v>1</v>
      </c>
      <c r="B6825" s="62" t="s">
        <v>386</v>
      </c>
      <c r="C6825" s="62" t="s">
        <v>60</v>
      </c>
      <c r="D6825" s="62" t="s">
        <v>382</v>
      </c>
      <c r="E6825" s="62" t="s">
        <v>382</v>
      </c>
      <c r="F6825" s="63" t="s">
        <v>710</v>
      </c>
      <c r="G6825" s="64" t="n">
        <v>2043696.72382883</v>
      </c>
      <c r="H6825" s="62" t="s">
        <v>138</v>
      </c>
    </row>
    <row r="6826" customFormat="false" ht="15" hidden="false" customHeight="false" outlineLevel="0" collapsed="false">
      <c r="A6826" s="62" t="n">
        <v>1</v>
      </c>
      <c r="B6826" s="62" t="s">
        <v>387</v>
      </c>
      <c r="C6826" s="62" t="s">
        <v>60</v>
      </c>
      <c r="D6826" s="62" t="s">
        <v>382</v>
      </c>
      <c r="E6826" s="62" t="s">
        <v>382</v>
      </c>
      <c r="F6826" s="63" t="s">
        <v>710</v>
      </c>
      <c r="G6826" s="64" t="n">
        <v>1637713.62524983</v>
      </c>
      <c r="H6826" s="62" t="s">
        <v>138</v>
      </c>
    </row>
    <row r="6827" customFormat="false" ht="15" hidden="false" customHeight="false" outlineLevel="0" collapsed="false">
      <c r="A6827" s="62" t="n">
        <v>1</v>
      </c>
      <c r="B6827" s="62" t="s">
        <v>388</v>
      </c>
      <c r="C6827" s="62" t="s">
        <v>60</v>
      </c>
      <c r="D6827" s="62" t="s">
        <v>382</v>
      </c>
      <c r="E6827" s="62" t="s">
        <v>382</v>
      </c>
      <c r="F6827" s="63" t="s">
        <v>710</v>
      </c>
      <c r="G6827" s="64" t="n">
        <v>419559.088187989</v>
      </c>
      <c r="H6827" s="62" t="s">
        <v>138</v>
      </c>
    </row>
    <row r="6828" customFormat="false" ht="15" hidden="false" customHeight="false" outlineLevel="0" collapsed="false">
      <c r="A6828" s="62" t="n">
        <v>1</v>
      </c>
      <c r="B6828" s="62" t="s">
        <v>381</v>
      </c>
      <c r="C6828" s="62" t="s">
        <v>60</v>
      </c>
      <c r="D6828" s="62" t="s">
        <v>382</v>
      </c>
      <c r="E6828" s="62" t="s">
        <v>382</v>
      </c>
      <c r="F6828" s="63" t="s">
        <v>711</v>
      </c>
      <c r="G6828" s="64" t="n">
        <v>889027.330435643</v>
      </c>
      <c r="H6828" s="62" t="s">
        <v>138</v>
      </c>
    </row>
    <row r="6829" customFormat="false" ht="15" hidden="false" customHeight="false" outlineLevel="0" collapsed="false">
      <c r="A6829" s="62" t="n">
        <v>1</v>
      </c>
      <c r="B6829" s="62" t="s">
        <v>383</v>
      </c>
      <c r="C6829" s="62" t="s">
        <v>60</v>
      </c>
      <c r="D6829" s="62" t="s">
        <v>382</v>
      </c>
      <c r="E6829" s="62" t="s">
        <v>382</v>
      </c>
      <c r="F6829" s="63" t="s">
        <v>711</v>
      </c>
      <c r="G6829" s="64" t="n">
        <v>10161501.5929568</v>
      </c>
      <c r="H6829" s="62" t="s">
        <v>138</v>
      </c>
    </row>
    <row r="6830" customFormat="false" ht="15" hidden="false" customHeight="false" outlineLevel="0" collapsed="false">
      <c r="A6830" s="62" t="n">
        <v>1</v>
      </c>
      <c r="B6830" s="62" t="s">
        <v>384</v>
      </c>
      <c r="C6830" s="62" t="s">
        <v>60</v>
      </c>
      <c r="D6830" s="62" t="s">
        <v>382</v>
      </c>
      <c r="E6830" s="62" t="s">
        <v>382</v>
      </c>
      <c r="F6830" s="63" t="s">
        <v>711</v>
      </c>
      <c r="G6830" s="64" t="n">
        <v>6628463.08891696</v>
      </c>
      <c r="H6830" s="62" t="s">
        <v>138</v>
      </c>
    </row>
    <row r="6831" customFormat="false" ht="15" hidden="false" customHeight="false" outlineLevel="0" collapsed="false">
      <c r="A6831" s="62" t="n">
        <v>1</v>
      </c>
      <c r="B6831" s="62" t="s">
        <v>385</v>
      </c>
      <c r="C6831" s="62" t="s">
        <v>60</v>
      </c>
      <c r="D6831" s="62" t="s">
        <v>382</v>
      </c>
      <c r="E6831" s="62" t="s">
        <v>382</v>
      </c>
      <c r="F6831" s="63" t="s">
        <v>711</v>
      </c>
      <c r="G6831" s="64" t="n">
        <v>2172664.95815994</v>
      </c>
      <c r="H6831" s="62" t="s">
        <v>138</v>
      </c>
    </row>
    <row r="6832" customFormat="false" ht="15" hidden="false" customHeight="false" outlineLevel="0" collapsed="false">
      <c r="A6832" s="62" t="n">
        <v>1</v>
      </c>
      <c r="B6832" s="62" t="s">
        <v>386</v>
      </c>
      <c r="C6832" s="62" t="s">
        <v>60</v>
      </c>
      <c r="D6832" s="62" t="s">
        <v>382</v>
      </c>
      <c r="E6832" s="62" t="s">
        <v>382</v>
      </c>
      <c r="F6832" s="63" t="s">
        <v>711</v>
      </c>
      <c r="G6832" s="64" t="n">
        <v>1071734.26537857</v>
      </c>
      <c r="H6832" s="62" t="s">
        <v>138</v>
      </c>
    </row>
    <row r="6833" customFormat="false" ht="15" hidden="false" customHeight="false" outlineLevel="0" collapsed="false">
      <c r="A6833" s="62" t="n">
        <v>1</v>
      </c>
      <c r="B6833" s="62" t="s">
        <v>387</v>
      </c>
      <c r="C6833" s="62" t="s">
        <v>60</v>
      </c>
      <c r="D6833" s="62" t="s">
        <v>382</v>
      </c>
      <c r="E6833" s="62" t="s">
        <v>382</v>
      </c>
      <c r="F6833" s="63" t="s">
        <v>711</v>
      </c>
      <c r="G6833" s="64" t="n">
        <v>549293.867918068</v>
      </c>
      <c r="H6833" s="62" t="s">
        <v>138</v>
      </c>
    </row>
    <row r="6834" customFormat="false" ht="15" hidden="false" customHeight="false" outlineLevel="0" collapsed="false">
      <c r="A6834" s="62" t="n">
        <v>1</v>
      </c>
      <c r="B6834" s="62" t="s">
        <v>388</v>
      </c>
      <c r="C6834" s="62" t="s">
        <v>60</v>
      </c>
      <c r="D6834" s="62" t="s">
        <v>382</v>
      </c>
      <c r="E6834" s="62" t="s">
        <v>382</v>
      </c>
      <c r="F6834" s="63" t="s">
        <v>711</v>
      </c>
      <c r="G6834" s="64" t="n">
        <v>-556913.575173436</v>
      </c>
      <c r="H6834" s="62" t="s">
        <v>138</v>
      </c>
    </row>
    <row r="6835" customFormat="false" ht="15" hidden="false" customHeight="false" outlineLevel="0" collapsed="false">
      <c r="A6835" s="62" t="n">
        <v>1</v>
      </c>
      <c r="B6835" s="62" t="s">
        <v>381</v>
      </c>
      <c r="C6835" s="62" t="s">
        <v>60</v>
      </c>
      <c r="D6835" s="62" t="s">
        <v>382</v>
      </c>
      <c r="E6835" s="62" t="s">
        <v>382</v>
      </c>
      <c r="F6835" s="63" t="s">
        <v>712</v>
      </c>
      <c r="G6835" s="64" t="n">
        <v>3609336.47428092</v>
      </c>
      <c r="H6835" s="62" t="s">
        <v>138</v>
      </c>
    </row>
    <row r="6836" customFormat="false" ht="15" hidden="false" customHeight="false" outlineLevel="0" collapsed="false">
      <c r="A6836" s="62" t="n">
        <v>1</v>
      </c>
      <c r="B6836" s="62" t="s">
        <v>383</v>
      </c>
      <c r="C6836" s="62" t="s">
        <v>60</v>
      </c>
      <c r="D6836" s="62" t="s">
        <v>382</v>
      </c>
      <c r="E6836" s="62" t="s">
        <v>382</v>
      </c>
      <c r="F6836" s="63" t="s">
        <v>712</v>
      </c>
      <c r="G6836" s="64" t="n">
        <v>12533445.6032376</v>
      </c>
      <c r="H6836" s="62" t="s">
        <v>138</v>
      </c>
    </row>
    <row r="6837" customFormat="false" ht="15" hidden="false" customHeight="false" outlineLevel="0" collapsed="false">
      <c r="A6837" s="62" t="n">
        <v>1</v>
      </c>
      <c r="B6837" s="62" t="s">
        <v>384</v>
      </c>
      <c r="C6837" s="62" t="s">
        <v>60</v>
      </c>
      <c r="D6837" s="62" t="s">
        <v>382</v>
      </c>
      <c r="E6837" s="62" t="s">
        <v>382</v>
      </c>
      <c r="F6837" s="63" t="s">
        <v>712</v>
      </c>
      <c r="G6837" s="64" t="n">
        <v>9967731.51735053</v>
      </c>
      <c r="H6837" s="62" t="s">
        <v>138</v>
      </c>
    </row>
    <row r="6838" customFormat="false" ht="15" hidden="false" customHeight="false" outlineLevel="0" collapsed="false">
      <c r="A6838" s="62" t="n">
        <v>1</v>
      </c>
      <c r="B6838" s="62" t="s">
        <v>385</v>
      </c>
      <c r="C6838" s="62" t="s">
        <v>60</v>
      </c>
      <c r="D6838" s="62" t="s">
        <v>382</v>
      </c>
      <c r="E6838" s="62" t="s">
        <v>382</v>
      </c>
      <c r="F6838" s="63" t="s">
        <v>712</v>
      </c>
      <c r="G6838" s="64" t="n">
        <v>6780332.48496499</v>
      </c>
      <c r="H6838" s="62" t="s">
        <v>138</v>
      </c>
    </row>
    <row r="6839" customFormat="false" ht="15" hidden="false" customHeight="false" outlineLevel="0" collapsed="false">
      <c r="A6839" s="62" t="n">
        <v>1</v>
      </c>
      <c r="B6839" s="62" t="s">
        <v>386</v>
      </c>
      <c r="C6839" s="62" t="s">
        <v>60</v>
      </c>
      <c r="D6839" s="62" t="s">
        <v>382</v>
      </c>
      <c r="E6839" s="62" t="s">
        <v>382</v>
      </c>
      <c r="F6839" s="63" t="s">
        <v>712</v>
      </c>
      <c r="G6839" s="64" t="n">
        <v>5685880.9544656</v>
      </c>
      <c r="H6839" s="62" t="s">
        <v>138</v>
      </c>
    </row>
    <row r="6840" customFormat="false" ht="15" hidden="false" customHeight="false" outlineLevel="0" collapsed="false">
      <c r="A6840" s="62" t="n">
        <v>1</v>
      </c>
      <c r="B6840" s="62" t="s">
        <v>387</v>
      </c>
      <c r="C6840" s="62" t="s">
        <v>60</v>
      </c>
      <c r="D6840" s="62" t="s">
        <v>382</v>
      </c>
      <c r="E6840" s="62" t="s">
        <v>382</v>
      </c>
      <c r="F6840" s="63" t="s">
        <v>712</v>
      </c>
      <c r="G6840" s="64" t="n">
        <v>7181242.73801393</v>
      </c>
      <c r="H6840" s="62" t="s">
        <v>138</v>
      </c>
    </row>
    <row r="6841" customFormat="false" ht="15" hidden="false" customHeight="false" outlineLevel="0" collapsed="false">
      <c r="A6841" s="62" t="n">
        <v>1</v>
      </c>
      <c r="B6841" s="62" t="s">
        <v>388</v>
      </c>
      <c r="C6841" s="62" t="s">
        <v>60</v>
      </c>
      <c r="D6841" s="62" t="s">
        <v>382</v>
      </c>
      <c r="E6841" s="62" t="s">
        <v>382</v>
      </c>
      <c r="F6841" s="63" t="s">
        <v>712</v>
      </c>
      <c r="G6841" s="64" t="n">
        <v>53933.7270034088</v>
      </c>
      <c r="H6841" s="62" t="s">
        <v>138</v>
      </c>
    </row>
    <row r="6842" customFormat="false" ht="15" hidden="false" customHeight="false" outlineLevel="0" collapsed="false">
      <c r="A6842" s="62" t="n">
        <v>1</v>
      </c>
      <c r="B6842" s="62" t="s">
        <v>381</v>
      </c>
      <c r="C6842" s="62" t="s">
        <v>60</v>
      </c>
      <c r="D6842" s="62" t="s">
        <v>382</v>
      </c>
      <c r="E6842" s="62" t="s">
        <v>382</v>
      </c>
      <c r="F6842" s="63" t="s">
        <v>713</v>
      </c>
      <c r="G6842" s="64" t="n">
        <v>453584.115025126</v>
      </c>
      <c r="H6842" s="62" t="s">
        <v>138</v>
      </c>
    </row>
    <row r="6843" customFormat="false" ht="15" hidden="false" customHeight="false" outlineLevel="0" collapsed="false">
      <c r="A6843" s="62" t="n">
        <v>1</v>
      </c>
      <c r="B6843" s="62" t="s">
        <v>383</v>
      </c>
      <c r="C6843" s="62" t="s">
        <v>60</v>
      </c>
      <c r="D6843" s="62" t="s">
        <v>382</v>
      </c>
      <c r="E6843" s="62" t="s">
        <v>382</v>
      </c>
      <c r="F6843" s="63" t="s">
        <v>713</v>
      </c>
      <c r="G6843" s="64" t="n">
        <v>285504.10294371</v>
      </c>
      <c r="H6843" s="62" t="s">
        <v>138</v>
      </c>
    </row>
    <row r="6844" customFormat="false" ht="15" hidden="false" customHeight="false" outlineLevel="0" collapsed="false">
      <c r="A6844" s="62" t="n">
        <v>1</v>
      </c>
      <c r="B6844" s="62" t="s">
        <v>384</v>
      </c>
      <c r="C6844" s="62" t="s">
        <v>60</v>
      </c>
      <c r="D6844" s="62" t="s">
        <v>382</v>
      </c>
      <c r="E6844" s="62" t="s">
        <v>382</v>
      </c>
      <c r="F6844" s="63" t="s">
        <v>713</v>
      </c>
      <c r="G6844" s="64" t="n">
        <v>265023.478648551</v>
      </c>
      <c r="H6844" s="62" t="s">
        <v>138</v>
      </c>
    </row>
    <row r="6845" customFormat="false" ht="15" hidden="false" customHeight="false" outlineLevel="0" collapsed="false">
      <c r="A6845" s="62" t="n">
        <v>1</v>
      </c>
      <c r="B6845" s="62" t="s">
        <v>385</v>
      </c>
      <c r="C6845" s="62" t="s">
        <v>60</v>
      </c>
      <c r="D6845" s="62" t="s">
        <v>382</v>
      </c>
      <c r="E6845" s="62" t="s">
        <v>382</v>
      </c>
      <c r="F6845" s="63" t="s">
        <v>713</v>
      </c>
      <c r="G6845" s="64" t="n">
        <v>256303.605687244</v>
      </c>
      <c r="H6845" s="62" t="s">
        <v>138</v>
      </c>
    </row>
    <row r="6846" customFormat="false" ht="15" hidden="false" customHeight="false" outlineLevel="0" collapsed="false">
      <c r="A6846" s="62" t="n">
        <v>1</v>
      </c>
      <c r="B6846" s="62" t="s">
        <v>386</v>
      </c>
      <c r="C6846" s="62" t="s">
        <v>60</v>
      </c>
      <c r="D6846" s="62" t="s">
        <v>382</v>
      </c>
      <c r="E6846" s="62" t="s">
        <v>382</v>
      </c>
      <c r="F6846" s="63" t="s">
        <v>713</v>
      </c>
      <c r="G6846" s="64" t="n">
        <v>249237.759523399</v>
      </c>
      <c r="H6846" s="62" t="s">
        <v>138</v>
      </c>
    </row>
    <row r="6847" customFormat="false" ht="15" hidden="false" customHeight="false" outlineLevel="0" collapsed="false">
      <c r="A6847" s="62" t="n">
        <v>1</v>
      </c>
      <c r="B6847" s="62" t="s">
        <v>387</v>
      </c>
      <c r="C6847" s="62" t="s">
        <v>60</v>
      </c>
      <c r="D6847" s="62" t="s">
        <v>382</v>
      </c>
      <c r="E6847" s="62" t="s">
        <v>382</v>
      </c>
      <c r="F6847" s="63" t="s">
        <v>713</v>
      </c>
      <c r="G6847" s="64" t="n">
        <v>403944.478547804</v>
      </c>
      <c r="H6847" s="62" t="s">
        <v>138</v>
      </c>
    </row>
    <row r="6848" customFormat="false" ht="15" hidden="false" customHeight="false" outlineLevel="0" collapsed="false">
      <c r="A6848" s="62" t="n">
        <v>1</v>
      </c>
      <c r="B6848" s="62" t="s">
        <v>388</v>
      </c>
      <c r="C6848" s="62" t="s">
        <v>60</v>
      </c>
      <c r="D6848" s="62" t="s">
        <v>382</v>
      </c>
      <c r="E6848" s="62" t="s">
        <v>382</v>
      </c>
      <c r="F6848" s="63" t="s">
        <v>713</v>
      </c>
      <c r="G6848" s="64" t="n">
        <v>741827.150148787</v>
      </c>
      <c r="H6848" s="62" t="s">
        <v>138</v>
      </c>
    </row>
    <row r="6849" customFormat="false" ht="15" hidden="false" customHeight="false" outlineLevel="0" collapsed="false">
      <c r="A6849" s="62" t="n">
        <v>1</v>
      </c>
      <c r="B6849" s="62" t="s">
        <v>381</v>
      </c>
      <c r="C6849" s="62" t="s">
        <v>60</v>
      </c>
      <c r="D6849" s="62" t="s">
        <v>382</v>
      </c>
      <c r="E6849" s="62" t="s">
        <v>382</v>
      </c>
      <c r="F6849" s="63" t="s">
        <v>714</v>
      </c>
      <c r="G6849" s="64" t="n">
        <v>-72726.6471917144</v>
      </c>
      <c r="H6849" s="62" t="s">
        <v>138</v>
      </c>
    </row>
    <row r="6850" customFormat="false" ht="15" hidden="false" customHeight="false" outlineLevel="0" collapsed="false">
      <c r="A6850" s="62" t="n">
        <v>1</v>
      </c>
      <c r="B6850" s="62" t="s">
        <v>383</v>
      </c>
      <c r="C6850" s="62" t="s">
        <v>60</v>
      </c>
      <c r="D6850" s="62" t="s">
        <v>382</v>
      </c>
      <c r="E6850" s="62" t="s">
        <v>382</v>
      </c>
      <c r="F6850" s="63" t="s">
        <v>714</v>
      </c>
      <c r="G6850" s="64" t="n">
        <v>-278203.037917341</v>
      </c>
      <c r="H6850" s="62" t="s">
        <v>138</v>
      </c>
    </row>
    <row r="6851" customFormat="false" ht="15" hidden="false" customHeight="false" outlineLevel="0" collapsed="false">
      <c r="A6851" s="62" t="n">
        <v>1</v>
      </c>
      <c r="B6851" s="62" t="s">
        <v>384</v>
      </c>
      <c r="C6851" s="62" t="s">
        <v>60</v>
      </c>
      <c r="D6851" s="62" t="s">
        <v>382</v>
      </c>
      <c r="E6851" s="62" t="s">
        <v>382</v>
      </c>
      <c r="F6851" s="63" t="s">
        <v>714</v>
      </c>
      <c r="G6851" s="64" t="n">
        <v>-170366.489876681</v>
      </c>
      <c r="H6851" s="62" t="s">
        <v>138</v>
      </c>
    </row>
    <row r="6852" customFormat="false" ht="15" hidden="false" customHeight="false" outlineLevel="0" collapsed="false">
      <c r="A6852" s="62" t="n">
        <v>1</v>
      </c>
      <c r="B6852" s="62" t="s">
        <v>385</v>
      </c>
      <c r="C6852" s="62" t="s">
        <v>60</v>
      </c>
      <c r="D6852" s="62" t="s">
        <v>382</v>
      </c>
      <c r="E6852" s="62" t="s">
        <v>382</v>
      </c>
      <c r="F6852" s="63" t="s">
        <v>714</v>
      </c>
      <c r="G6852" s="64" t="n">
        <v>-65206.9950914953</v>
      </c>
      <c r="H6852" s="62" t="s">
        <v>138</v>
      </c>
    </row>
    <row r="6853" customFormat="false" ht="15" hidden="false" customHeight="false" outlineLevel="0" collapsed="false">
      <c r="A6853" s="62" t="n">
        <v>1</v>
      </c>
      <c r="B6853" s="62" t="s">
        <v>386</v>
      </c>
      <c r="C6853" s="62" t="s">
        <v>60</v>
      </c>
      <c r="D6853" s="62" t="s">
        <v>382</v>
      </c>
      <c r="E6853" s="62" t="s">
        <v>382</v>
      </c>
      <c r="F6853" s="63" t="s">
        <v>714</v>
      </c>
      <c r="G6853" s="64" t="n">
        <v>-114172.818497491</v>
      </c>
      <c r="H6853" s="62" t="s">
        <v>138</v>
      </c>
    </row>
    <row r="6854" customFormat="false" ht="15" hidden="false" customHeight="false" outlineLevel="0" collapsed="false">
      <c r="A6854" s="62" t="n">
        <v>1</v>
      </c>
      <c r="B6854" s="62" t="s">
        <v>387</v>
      </c>
      <c r="C6854" s="62" t="s">
        <v>60</v>
      </c>
      <c r="D6854" s="62" t="s">
        <v>382</v>
      </c>
      <c r="E6854" s="62" t="s">
        <v>382</v>
      </c>
      <c r="F6854" s="63" t="s">
        <v>714</v>
      </c>
      <c r="G6854" s="64" t="n">
        <v>-319484.473488123</v>
      </c>
      <c r="H6854" s="62" t="s">
        <v>138</v>
      </c>
    </row>
    <row r="6855" customFormat="false" ht="15" hidden="false" customHeight="false" outlineLevel="0" collapsed="false">
      <c r="A6855" s="62" t="n">
        <v>1</v>
      </c>
      <c r="B6855" s="62" t="s">
        <v>388</v>
      </c>
      <c r="C6855" s="62" t="s">
        <v>60</v>
      </c>
      <c r="D6855" s="62" t="s">
        <v>382</v>
      </c>
      <c r="E6855" s="62" t="s">
        <v>382</v>
      </c>
      <c r="F6855" s="63" t="s">
        <v>714</v>
      </c>
      <c r="G6855" s="64" t="n">
        <v>-83100.0028325305</v>
      </c>
      <c r="H6855" s="62" t="s">
        <v>138</v>
      </c>
    </row>
    <row r="6856" customFormat="false" ht="15" hidden="false" customHeight="false" outlineLevel="0" collapsed="false">
      <c r="A6856" s="62" t="n">
        <v>1</v>
      </c>
      <c r="B6856" s="62" t="s">
        <v>381</v>
      </c>
      <c r="C6856" s="62" t="s">
        <v>60</v>
      </c>
      <c r="D6856" s="62" t="s">
        <v>382</v>
      </c>
      <c r="E6856" s="62" t="s">
        <v>382</v>
      </c>
      <c r="F6856" s="63" t="s">
        <v>715</v>
      </c>
      <c r="G6856" s="64" t="n">
        <v>-43304.0058154871</v>
      </c>
      <c r="H6856" s="62" t="s">
        <v>138</v>
      </c>
    </row>
    <row r="6857" customFormat="false" ht="15" hidden="false" customHeight="false" outlineLevel="0" collapsed="false">
      <c r="A6857" s="62" t="n">
        <v>1</v>
      </c>
      <c r="B6857" s="62" t="s">
        <v>383</v>
      </c>
      <c r="C6857" s="62" t="s">
        <v>60</v>
      </c>
      <c r="D6857" s="62" t="s">
        <v>382</v>
      </c>
      <c r="E6857" s="62" t="s">
        <v>382</v>
      </c>
      <c r="F6857" s="63" t="s">
        <v>715</v>
      </c>
      <c r="G6857" s="64" t="n">
        <v>-76475.8667707171</v>
      </c>
      <c r="H6857" s="62" t="s">
        <v>138</v>
      </c>
    </row>
    <row r="6858" customFormat="false" ht="15" hidden="false" customHeight="false" outlineLevel="0" collapsed="false">
      <c r="A6858" s="62" t="n">
        <v>1</v>
      </c>
      <c r="B6858" s="62" t="s">
        <v>384</v>
      </c>
      <c r="C6858" s="62" t="s">
        <v>60</v>
      </c>
      <c r="D6858" s="62" t="s">
        <v>382</v>
      </c>
      <c r="E6858" s="62" t="s">
        <v>382</v>
      </c>
      <c r="F6858" s="63" t="s">
        <v>715</v>
      </c>
      <c r="G6858" s="64" t="n">
        <v>-94493.7244264811</v>
      </c>
      <c r="H6858" s="62" t="s">
        <v>138</v>
      </c>
    </row>
    <row r="6859" customFormat="false" ht="15" hidden="false" customHeight="false" outlineLevel="0" collapsed="false">
      <c r="A6859" s="62" t="n">
        <v>1</v>
      </c>
      <c r="B6859" s="62" t="s">
        <v>385</v>
      </c>
      <c r="C6859" s="62" t="s">
        <v>60</v>
      </c>
      <c r="D6859" s="62" t="s">
        <v>382</v>
      </c>
      <c r="E6859" s="62" t="s">
        <v>382</v>
      </c>
      <c r="F6859" s="63" t="s">
        <v>715</v>
      </c>
      <c r="G6859" s="64" t="n">
        <v>-69054.3295393352</v>
      </c>
      <c r="H6859" s="62" t="s">
        <v>138</v>
      </c>
    </row>
    <row r="6860" customFormat="false" ht="15" hidden="false" customHeight="false" outlineLevel="0" collapsed="false">
      <c r="A6860" s="62" t="n">
        <v>1</v>
      </c>
      <c r="B6860" s="62" t="s">
        <v>386</v>
      </c>
      <c r="C6860" s="62" t="s">
        <v>60</v>
      </c>
      <c r="D6860" s="62" t="s">
        <v>382</v>
      </c>
      <c r="E6860" s="62" t="s">
        <v>382</v>
      </c>
      <c r="F6860" s="63" t="s">
        <v>715</v>
      </c>
      <c r="G6860" s="64" t="n">
        <v>34939.4769488786</v>
      </c>
      <c r="H6860" s="62" t="s">
        <v>138</v>
      </c>
    </row>
    <row r="6861" customFormat="false" ht="15" hidden="false" customHeight="false" outlineLevel="0" collapsed="false">
      <c r="A6861" s="62" t="n">
        <v>1</v>
      </c>
      <c r="B6861" s="62" t="s">
        <v>387</v>
      </c>
      <c r="C6861" s="62" t="s">
        <v>60</v>
      </c>
      <c r="D6861" s="62" t="s">
        <v>382</v>
      </c>
      <c r="E6861" s="62" t="s">
        <v>382</v>
      </c>
      <c r="F6861" s="63" t="s">
        <v>715</v>
      </c>
      <c r="G6861" s="64" t="n">
        <v>-46090.0961715392</v>
      </c>
      <c r="H6861" s="62" t="s">
        <v>138</v>
      </c>
    </row>
    <row r="6862" customFormat="false" ht="15" hidden="false" customHeight="false" outlineLevel="0" collapsed="false">
      <c r="A6862" s="62" t="n">
        <v>1</v>
      </c>
      <c r="B6862" s="62" t="s">
        <v>388</v>
      </c>
      <c r="C6862" s="62" t="s">
        <v>60</v>
      </c>
      <c r="D6862" s="62" t="s">
        <v>382</v>
      </c>
      <c r="E6862" s="62" t="s">
        <v>382</v>
      </c>
      <c r="F6862" s="63" t="s">
        <v>715</v>
      </c>
      <c r="G6862" s="64" t="n">
        <v>-33152.4248265638</v>
      </c>
      <c r="H6862" s="62" t="s">
        <v>138</v>
      </c>
    </row>
    <row r="6863" customFormat="false" ht="15" hidden="false" customHeight="false" outlineLevel="0" collapsed="false">
      <c r="A6863" s="62" t="n">
        <v>1</v>
      </c>
      <c r="B6863" s="62" t="s">
        <v>381</v>
      </c>
      <c r="C6863" s="62" t="s">
        <v>60</v>
      </c>
      <c r="D6863" s="62" t="s">
        <v>382</v>
      </c>
      <c r="E6863" s="62" t="s">
        <v>382</v>
      </c>
      <c r="F6863" s="63" t="s">
        <v>716</v>
      </c>
      <c r="G6863" s="64" t="n">
        <v>337553.462017924</v>
      </c>
      <c r="H6863" s="62" t="s">
        <v>138</v>
      </c>
    </row>
    <row r="6864" customFormat="false" ht="15" hidden="false" customHeight="false" outlineLevel="0" collapsed="false">
      <c r="A6864" s="62" t="n">
        <v>1</v>
      </c>
      <c r="B6864" s="62" t="s">
        <v>383</v>
      </c>
      <c r="C6864" s="62" t="s">
        <v>60</v>
      </c>
      <c r="D6864" s="62" t="s">
        <v>382</v>
      </c>
      <c r="E6864" s="62" t="s">
        <v>382</v>
      </c>
      <c r="F6864" s="63" t="s">
        <v>716</v>
      </c>
      <c r="G6864" s="64" t="n">
        <v>-69174.8017443487</v>
      </c>
      <c r="H6864" s="62" t="s">
        <v>138</v>
      </c>
    </row>
    <row r="6865" customFormat="false" ht="15" hidden="false" customHeight="false" outlineLevel="0" collapsed="false">
      <c r="A6865" s="62" t="n">
        <v>1</v>
      </c>
      <c r="B6865" s="62" t="s">
        <v>384</v>
      </c>
      <c r="C6865" s="62" t="s">
        <v>60</v>
      </c>
      <c r="D6865" s="62" t="s">
        <v>382</v>
      </c>
      <c r="E6865" s="62" t="s">
        <v>382</v>
      </c>
      <c r="F6865" s="63" t="s">
        <v>716</v>
      </c>
      <c r="G6865" s="64" t="n">
        <v>163.264345389063</v>
      </c>
      <c r="H6865" s="62" t="s">
        <v>138</v>
      </c>
    </row>
    <row r="6866" customFormat="false" ht="15" hidden="false" customHeight="false" outlineLevel="0" collapsed="false">
      <c r="A6866" s="62" t="n">
        <v>1</v>
      </c>
      <c r="B6866" s="62" t="s">
        <v>385</v>
      </c>
      <c r="C6866" s="62" t="s">
        <v>60</v>
      </c>
      <c r="D6866" s="62" t="s">
        <v>382</v>
      </c>
      <c r="E6866" s="62" t="s">
        <v>382</v>
      </c>
      <c r="F6866" s="63" t="s">
        <v>716</v>
      </c>
      <c r="G6866" s="64" t="n">
        <v>122042.281056413</v>
      </c>
      <c r="H6866" s="62" t="s">
        <v>138</v>
      </c>
    </row>
    <row r="6867" customFormat="false" ht="15" hidden="false" customHeight="false" outlineLevel="0" collapsed="false">
      <c r="A6867" s="62" t="n">
        <v>1</v>
      </c>
      <c r="B6867" s="62" t="s">
        <v>386</v>
      </c>
      <c r="C6867" s="62" t="s">
        <v>60</v>
      </c>
      <c r="D6867" s="62" t="s">
        <v>382</v>
      </c>
      <c r="E6867" s="62" t="s">
        <v>382</v>
      </c>
      <c r="F6867" s="63" t="s">
        <v>716</v>
      </c>
      <c r="G6867" s="64" t="n">
        <v>170004.417974786</v>
      </c>
      <c r="H6867" s="62" t="s">
        <v>138</v>
      </c>
    </row>
    <row r="6868" customFormat="false" ht="15" hidden="false" customHeight="false" outlineLevel="0" collapsed="false">
      <c r="A6868" s="62" t="n">
        <v>1</v>
      </c>
      <c r="B6868" s="62" t="s">
        <v>387</v>
      </c>
      <c r="C6868" s="62" t="s">
        <v>60</v>
      </c>
      <c r="D6868" s="62" t="s">
        <v>382</v>
      </c>
      <c r="E6868" s="62" t="s">
        <v>382</v>
      </c>
      <c r="F6868" s="63" t="s">
        <v>716</v>
      </c>
      <c r="G6868" s="64" t="n">
        <v>38369.9088881416</v>
      </c>
      <c r="H6868" s="62" t="s">
        <v>138</v>
      </c>
    </row>
    <row r="6869" customFormat="false" ht="15" hidden="false" customHeight="false" outlineLevel="0" collapsed="false">
      <c r="A6869" s="62" t="n">
        <v>1</v>
      </c>
      <c r="B6869" s="62" t="s">
        <v>388</v>
      </c>
      <c r="C6869" s="62" t="s">
        <v>60</v>
      </c>
      <c r="D6869" s="62" t="s">
        <v>382</v>
      </c>
      <c r="E6869" s="62" t="s">
        <v>382</v>
      </c>
      <c r="F6869" s="63" t="s">
        <v>716</v>
      </c>
      <c r="G6869" s="64" t="n">
        <v>625574.722489692</v>
      </c>
      <c r="H6869" s="62" t="s">
        <v>138</v>
      </c>
    </row>
    <row r="6870" customFormat="false" ht="15" hidden="false" customHeight="false" outlineLevel="0" collapsed="false">
      <c r="A6870" s="62" t="n">
        <v>1</v>
      </c>
      <c r="B6870" s="62" t="s">
        <v>381</v>
      </c>
      <c r="C6870" s="62" t="s">
        <v>60</v>
      </c>
      <c r="D6870" s="62" t="s">
        <v>382</v>
      </c>
      <c r="E6870" s="62" t="s">
        <v>382</v>
      </c>
      <c r="F6870" s="63" t="s">
        <v>717</v>
      </c>
      <c r="G6870" s="64" t="n">
        <v>572191.857142857</v>
      </c>
      <c r="H6870" s="62" t="s">
        <v>138</v>
      </c>
    </row>
    <row r="6871" customFormat="false" ht="15" hidden="false" customHeight="false" outlineLevel="0" collapsed="false">
      <c r="A6871" s="62" t="n">
        <v>1</v>
      </c>
      <c r="B6871" s="62" t="s">
        <v>383</v>
      </c>
      <c r="C6871" s="62" t="s">
        <v>60</v>
      </c>
      <c r="D6871" s="62" t="s">
        <v>382</v>
      </c>
      <c r="E6871" s="62" t="s">
        <v>382</v>
      </c>
      <c r="F6871" s="63" t="s">
        <v>717</v>
      </c>
      <c r="G6871" s="64" t="n">
        <v>613270.428571429</v>
      </c>
      <c r="H6871" s="62" t="s">
        <v>138</v>
      </c>
    </row>
    <row r="6872" customFormat="false" ht="15" hidden="false" customHeight="false" outlineLevel="0" collapsed="false">
      <c r="A6872" s="62" t="n">
        <v>1</v>
      </c>
      <c r="B6872" s="62" t="s">
        <v>384</v>
      </c>
      <c r="C6872" s="62" t="s">
        <v>60</v>
      </c>
      <c r="D6872" s="62" t="s">
        <v>382</v>
      </c>
      <c r="E6872" s="62" t="s">
        <v>382</v>
      </c>
      <c r="F6872" s="63" t="s">
        <v>717</v>
      </c>
      <c r="G6872" s="64" t="n">
        <v>720207.657142857</v>
      </c>
      <c r="H6872" s="62" t="s">
        <v>138</v>
      </c>
    </row>
    <row r="6873" customFormat="false" ht="15" hidden="false" customHeight="false" outlineLevel="0" collapsed="false">
      <c r="A6873" s="62" t="n">
        <v>1</v>
      </c>
      <c r="B6873" s="62" t="s">
        <v>385</v>
      </c>
      <c r="C6873" s="62" t="s">
        <v>60</v>
      </c>
      <c r="D6873" s="62" t="s">
        <v>382</v>
      </c>
      <c r="E6873" s="62" t="s">
        <v>382</v>
      </c>
      <c r="F6873" s="63" t="s">
        <v>717</v>
      </c>
      <c r="G6873" s="64" t="n">
        <v>667136.571428572</v>
      </c>
      <c r="H6873" s="62" t="s">
        <v>138</v>
      </c>
    </row>
    <row r="6874" customFormat="false" ht="15" hidden="false" customHeight="false" outlineLevel="0" collapsed="false">
      <c r="A6874" s="62" t="n">
        <v>1</v>
      </c>
      <c r="B6874" s="62" t="s">
        <v>386</v>
      </c>
      <c r="C6874" s="62" t="s">
        <v>60</v>
      </c>
      <c r="D6874" s="62" t="s">
        <v>382</v>
      </c>
      <c r="E6874" s="62" t="s">
        <v>382</v>
      </c>
      <c r="F6874" s="63" t="s">
        <v>717</v>
      </c>
      <c r="G6874" s="64" t="n">
        <v>602446.571428572</v>
      </c>
      <c r="H6874" s="62" t="s">
        <v>138</v>
      </c>
    </row>
    <row r="6875" customFormat="false" ht="15" hidden="false" customHeight="false" outlineLevel="0" collapsed="false">
      <c r="A6875" s="62" t="n">
        <v>1</v>
      </c>
      <c r="B6875" s="62" t="s">
        <v>387</v>
      </c>
      <c r="C6875" s="62" t="s">
        <v>60</v>
      </c>
      <c r="D6875" s="62" t="s">
        <v>382</v>
      </c>
      <c r="E6875" s="62" t="s">
        <v>382</v>
      </c>
      <c r="F6875" s="63" t="s">
        <v>717</v>
      </c>
      <c r="G6875" s="64" t="n">
        <v>907886</v>
      </c>
      <c r="H6875" s="62" t="s">
        <v>138</v>
      </c>
    </row>
    <row r="6876" customFormat="false" ht="15" hidden="false" customHeight="false" outlineLevel="0" collapsed="false">
      <c r="A6876" s="62" t="n">
        <v>1</v>
      </c>
      <c r="B6876" s="62" t="s">
        <v>388</v>
      </c>
      <c r="C6876" s="62" t="s">
        <v>60</v>
      </c>
      <c r="D6876" s="62" t="s">
        <v>382</v>
      </c>
      <c r="E6876" s="62" t="s">
        <v>382</v>
      </c>
      <c r="F6876" s="63" t="s">
        <v>717</v>
      </c>
      <c r="G6876" s="64" t="n">
        <v>591575.714285714</v>
      </c>
      <c r="H6876" s="62" t="s">
        <v>138</v>
      </c>
    </row>
    <row r="6877" customFormat="false" ht="15" hidden="false" customHeight="false" outlineLevel="0" collapsed="false">
      <c r="A6877" s="62" t="n">
        <v>1</v>
      </c>
      <c r="B6877" s="62" t="s">
        <v>381</v>
      </c>
      <c r="C6877" s="62" t="s">
        <v>60</v>
      </c>
      <c r="D6877" s="62" t="s">
        <v>382</v>
      </c>
      <c r="E6877" s="62" t="s">
        <v>382</v>
      </c>
      <c r="F6877" s="63" t="s">
        <v>718</v>
      </c>
      <c r="G6877" s="64" t="n">
        <v>3351807.18351164</v>
      </c>
      <c r="H6877" s="62" t="s">
        <v>138</v>
      </c>
    </row>
    <row r="6878" customFormat="false" ht="15" hidden="false" customHeight="false" outlineLevel="0" collapsed="false">
      <c r="A6878" s="62" t="n">
        <v>1</v>
      </c>
      <c r="B6878" s="62" t="s">
        <v>383</v>
      </c>
      <c r="C6878" s="62" t="s">
        <v>60</v>
      </c>
      <c r="D6878" s="62" t="s">
        <v>382</v>
      </c>
      <c r="E6878" s="62" t="s">
        <v>382</v>
      </c>
      <c r="F6878" s="63" t="s">
        <v>718</v>
      </c>
      <c r="G6878" s="64" t="n">
        <v>4708393.90381845</v>
      </c>
      <c r="H6878" s="62" t="s">
        <v>138</v>
      </c>
    </row>
    <row r="6879" customFormat="false" ht="15" hidden="false" customHeight="false" outlineLevel="0" collapsed="false">
      <c r="A6879" s="62" t="n">
        <v>1</v>
      </c>
      <c r="B6879" s="62" t="s">
        <v>384</v>
      </c>
      <c r="C6879" s="62" t="s">
        <v>60</v>
      </c>
      <c r="D6879" s="62" t="s">
        <v>382</v>
      </c>
      <c r="E6879" s="62" t="s">
        <v>382</v>
      </c>
      <c r="F6879" s="63" t="s">
        <v>718</v>
      </c>
      <c r="G6879" s="64" t="n">
        <v>2908925.53748646</v>
      </c>
      <c r="H6879" s="62" t="s">
        <v>138</v>
      </c>
    </row>
    <row r="6880" customFormat="false" ht="15" hidden="false" customHeight="false" outlineLevel="0" collapsed="false">
      <c r="A6880" s="62" t="n">
        <v>1</v>
      </c>
      <c r="B6880" s="62" t="s">
        <v>385</v>
      </c>
      <c r="C6880" s="62" t="s">
        <v>60</v>
      </c>
      <c r="D6880" s="62" t="s">
        <v>382</v>
      </c>
      <c r="E6880" s="62" t="s">
        <v>382</v>
      </c>
      <c r="F6880" s="63" t="s">
        <v>718</v>
      </c>
      <c r="G6880" s="64" t="n">
        <v>2822014.71762994</v>
      </c>
      <c r="H6880" s="62" t="s">
        <v>138</v>
      </c>
    </row>
    <row r="6881" customFormat="false" ht="15" hidden="false" customHeight="false" outlineLevel="0" collapsed="false">
      <c r="A6881" s="62" t="n">
        <v>1</v>
      </c>
      <c r="B6881" s="62" t="s">
        <v>386</v>
      </c>
      <c r="C6881" s="62" t="s">
        <v>60</v>
      </c>
      <c r="D6881" s="62" t="s">
        <v>382</v>
      </c>
      <c r="E6881" s="62" t="s">
        <v>382</v>
      </c>
      <c r="F6881" s="63" t="s">
        <v>718</v>
      </c>
      <c r="G6881" s="64" t="n">
        <v>2523194.40114611</v>
      </c>
      <c r="H6881" s="62" t="s">
        <v>138</v>
      </c>
    </row>
    <row r="6882" customFormat="false" ht="15" hidden="false" customHeight="false" outlineLevel="0" collapsed="false">
      <c r="A6882" s="62" t="n">
        <v>1</v>
      </c>
      <c r="B6882" s="62" t="s">
        <v>387</v>
      </c>
      <c r="C6882" s="62" t="s">
        <v>60</v>
      </c>
      <c r="D6882" s="62" t="s">
        <v>382</v>
      </c>
      <c r="E6882" s="62" t="s">
        <v>382</v>
      </c>
      <c r="F6882" s="63" t="s">
        <v>718</v>
      </c>
      <c r="G6882" s="64" t="n">
        <v>4311991.63955702</v>
      </c>
      <c r="H6882" s="62" t="s">
        <v>138</v>
      </c>
    </row>
    <row r="6883" customFormat="false" ht="15" hidden="false" customHeight="false" outlineLevel="0" collapsed="false">
      <c r="A6883" s="62" t="n">
        <v>1</v>
      </c>
      <c r="B6883" s="62" t="s">
        <v>388</v>
      </c>
      <c r="C6883" s="62" t="s">
        <v>60</v>
      </c>
      <c r="D6883" s="62" t="s">
        <v>382</v>
      </c>
      <c r="E6883" s="62" t="s">
        <v>382</v>
      </c>
      <c r="F6883" s="63" t="s">
        <v>718</v>
      </c>
      <c r="G6883" s="64" t="n">
        <v>3272442.82869617</v>
      </c>
      <c r="H6883" s="62" t="s">
        <v>138</v>
      </c>
    </row>
    <row r="6884" customFormat="false" ht="15" hidden="false" customHeight="false" outlineLevel="0" collapsed="false">
      <c r="A6884" s="62" t="n">
        <v>1</v>
      </c>
      <c r="B6884" s="62" t="s">
        <v>381</v>
      </c>
      <c r="C6884" s="62" t="s">
        <v>60</v>
      </c>
      <c r="D6884" s="62" t="s">
        <v>382</v>
      </c>
      <c r="E6884" s="62" t="s">
        <v>382</v>
      </c>
      <c r="F6884" s="63" t="s">
        <v>719</v>
      </c>
      <c r="G6884" s="64" t="n">
        <v>3923999.04065449</v>
      </c>
      <c r="H6884" s="62" t="s">
        <v>138</v>
      </c>
    </row>
    <row r="6885" customFormat="false" ht="15" hidden="false" customHeight="false" outlineLevel="0" collapsed="false">
      <c r="A6885" s="62" t="n">
        <v>1</v>
      </c>
      <c r="B6885" s="62" t="s">
        <v>383</v>
      </c>
      <c r="C6885" s="62" t="s">
        <v>60</v>
      </c>
      <c r="D6885" s="62" t="s">
        <v>382</v>
      </c>
      <c r="E6885" s="62" t="s">
        <v>382</v>
      </c>
      <c r="F6885" s="63" t="s">
        <v>719</v>
      </c>
      <c r="G6885" s="64" t="n">
        <v>5321664.33238987</v>
      </c>
      <c r="H6885" s="62" t="s">
        <v>138</v>
      </c>
    </row>
    <row r="6886" customFormat="false" ht="15" hidden="false" customHeight="false" outlineLevel="0" collapsed="false">
      <c r="A6886" s="62" t="n">
        <v>1</v>
      </c>
      <c r="B6886" s="62" t="s">
        <v>384</v>
      </c>
      <c r="C6886" s="62" t="s">
        <v>60</v>
      </c>
      <c r="D6886" s="62" t="s">
        <v>382</v>
      </c>
      <c r="E6886" s="62" t="s">
        <v>382</v>
      </c>
      <c r="F6886" s="63" t="s">
        <v>719</v>
      </c>
      <c r="G6886" s="64" t="n">
        <v>3629133.19462932</v>
      </c>
      <c r="H6886" s="62" t="s">
        <v>138</v>
      </c>
    </row>
    <row r="6887" customFormat="false" ht="15" hidden="false" customHeight="false" outlineLevel="0" collapsed="false">
      <c r="A6887" s="62" t="n">
        <v>1</v>
      </c>
      <c r="B6887" s="62" t="s">
        <v>385</v>
      </c>
      <c r="C6887" s="62" t="s">
        <v>60</v>
      </c>
      <c r="D6887" s="62" t="s">
        <v>382</v>
      </c>
      <c r="E6887" s="62" t="s">
        <v>382</v>
      </c>
      <c r="F6887" s="63" t="s">
        <v>719</v>
      </c>
      <c r="G6887" s="64" t="n">
        <v>3489151.28905851</v>
      </c>
      <c r="H6887" s="62" t="s">
        <v>138</v>
      </c>
    </row>
    <row r="6888" customFormat="false" ht="15" hidden="false" customHeight="false" outlineLevel="0" collapsed="false">
      <c r="A6888" s="62" t="n">
        <v>1</v>
      </c>
      <c r="B6888" s="62" t="s">
        <v>386</v>
      </c>
      <c r="C6888" s="62" t="s">
        <v>60</v>
      </c>
      <c r="D6888" s="62" t="s">
        <v>382</v>
      </c>
      <c r="E6888" s="62" t="s">
        <v>382</v>
      </c>
      <c r="F6888" s="63" t="s">
        <v>719</v>
      </c>
      <c r="G6888" s="64" t="n">
        <v>3125640.97257468</v>
      </c>
      <c r="H6888" s="62" t="s">
        <v>138</v>
      </c>
    </row>
    <row r="6889" customFormat="false" ht="15" hidden="false" customHeight="false" outlineLevel="0" collapsed="false">
      <c r="A6889" s="62" t="n">
        <v>1</v>
      </c>
      <c r="B6889" s="62" t="s">
        <v>387</v>
      </c>
      <c r="C6889" s="62" t="s">
        <v>60</v>
      </c>
      <c r="D6889" s="62" t="s">
        <v>382</v>
      </c>
      <c r="E6889" s="62" t="s">
        <v>382</v>
      </c>
      <c r="F6889" s="63" t="s">
        <v>719</v>
      </c>
      <c r="G6889" s="64" t="n">
        <v>5219877.63955702</v>
      </c>
      <c r="H6889" s="62" t="s">
        <v>138</v>
      </c>
    </row>
    <row r="6890" customFormat="false" ht="15" hidden="false" customHeight="false" outlineLevel="0" collapsed="false">
      <c r="A6890" s="62" t="n">
        <v>1</v>
      </c>
      <c r="B6890" s="62" t="s">
        <v>388</v>
      </c>
      <c r="C6890" s="62" t="s">
        <v>60</v>
      </c>
      <c r="D6890" s="62" t="s">
        <v>382</v>
      </c>
      <c r="E6890" s="62" t="s">
        <v>382</v>
      </c>
      <c r="F6890" s="63" t="s">
        <v>719</v>
      </c>
      <c r="G6890" s="64" t="n">
        <v>3864018.54298188</v>
      </c>
      <c r="H6890" s="62" t="s">
        <v>138</v>
      </c>
    </row>
    <row r="6891" customFormat="false" ht="15" hidden="false" customHeight="false" outlineLevel="0" collapsed="false">
      <c r="A6891" s="62" t="n">
        <v>1</v>
      </c>
      <c r="B6891" s="62" t="s">
        <v>381</v>
      </c>
      <c r="C6891" s="62" t="s">
        <v>60</v>
      </c>
      <c r="D6891" s="62" t="s">
        <v>382</v>
      </c>
      <c r="E6891" s="62" t="s">
        <v>382</v>
      </c>
      <c r="F6891" s="63" t="s">
        <v>720</v>
      </c>
      <c r="G6891" s="64" t="n">
        <v>330397.613572167</v>
      </c>
      <c r="H6891" s="62" t="s">
        <v>138</v>
      </c>
    </row>
    <row r="6892" customFormat="false" ht="15" hidden="false" customHeight="false" outlineLevel="0" collapsed="false">
      <c r="A6892" s="62" t="n">
        <v>1</v>
      </c>
      <c r="B6892" s="62" t="s">
        <v>383</v>
      </c>
      <c r="C6892" s="62" t="s">
        <v>60</v>
      </c>
      <c r="D6892" s="62" t="s">
        <v>382</v>
      </c>
      <c r="E6892" s="62" t="s">
        <v>382</v>
      </c>
      <c r="F6892" s="63" t="s">
        <v>720</v>
      </c>
      <c r="G6892" s="64" t="n">
        <v>549970.371356756</v>
      </c>
      <c r="H6892" s="62" t="s">
        <v>138</v>
      </c>
    </row>
    <row r="6893" customFormat="false" ht="15" hidden="false" customHeight="false" outlineLevel="0" collapsed="false">
      <c r="A6893" s="62" t="n">
        <v>1</v>
      </c>
      <c r="B6893" s="62" t="s">
        <v>384</v>
      </c>
      <c r="C6893" s="62" t="s">
        <v>60</v>
      </c>
      <c r="D6893" s="62" t="s">
        <v>382</v>
      </c>
      <c r="E6893" s="62" t="s">
        <v>382</v>
      </c>
      <c r="F6893" s="63" t="s">
        <v>720</v>
      </c>
      <c r="G6893" s="64" t="n">
        <v>430769.576940968</v>
      </c>
      <c r="H6893" s="62" t="s">
        <v>138</v>
      </c>
    </row>
    <row r="6894" customFormat="false" ht="15" hidden="false" customHeight="false" outlineLevel="0" collapsed="false">
      <c r="A6894" s="62" t="n">
        <v>1</v>
      </c>
      <c r="B6894" s="62" t="s">
        <v>385</v>
      </c>
      <c r="C6894" s="62" t="s">
        <v>60</v>
      </c>
      <c r="D6894" s="62" t="s">
        <v>382</v>
      </c>
      <c r="E6894" s="62" t="s">
        <v>382</v>
      </c>
      <c r="F6894" s="63" t="s">
        <v>720</v>
      </c>
      <c r="G6894" s="64" t="n">
        <v>906365.574814264</v>
      </c>
      <c r="H6894" s="62" t="s">
        <v>138</v>
      </c>
    </row>
    <row r="6895" customFormat="false" ht="15" hidden="false" customHeight="false" outlineLevel="0" collapsed="false">
      <c r="A6895" s="62" t="n">
        <v>1</v>
      </c>
      <c r="B6895" s="62" t="s">
        <v>386</v>
      </c>
      <c r="C6895" s="62" t="s">
        <v>60</v>
      </c>
      <c r="D6895" s="62" t="s">
        <v>382</v>
      </c>
      <c r="E6895" s="62" t="s">
        <v>382</v>
      </c>
      <c r="F6895" s="63" t="s">
        <v>720</v>
      </c>
      <c r="G6895" s="64" t="n">
        <v>724998.70814975</v>
      </c>
      <c r="H6895" s="62" t="s">
        <v>138</v>
      </c>
    </row>
    <row r="6896" customFormat="false" ht="15" hidden="false" customHeight="false" outlineLevel="0" collapsed="false">
      <c r="A6896" s="62" t="n">
        <v>1</v>
      </c>
      <c r="B6896" s="62" t="s">
        <v>387</v>
      </c>
      <c r="C6896" s="62" t="s">
        <v>60</v>
      </c>
      <c r="D6896" s="62" t="s">
        <v>382</v>
      </c>
      <c r="E6896" s="62" t="s">
        <v>382</v>
      </c>
      <c r="F6896" s="63" t="s">
        <v>720</v>
      </c>
      <c r="G6896" s="64" t="n">
        <v>1408630.45367452</v>
      </c>
      <c r="H6896" s="62" t="s">
        <v>138</v>
      </c>
    </row>
    <row r="6897" customFormat="false" ht="15" hidden="false" customHeight="false" outlineLevel="0" collapsed="false">
      <c r="A6897" s="62" t="n">
        <v>1</v>
      </c>
      <c r="B6897" s="62" t="s">
        <v>388</v>
      </c>
      <c r="C6897" s="62" t="s">
        <v>60</v>
      </c>
      <c r="D6897" s="62" t="s">
        <v>382</v>
      </c>
      <c r="E6897" s="62" t="s">
        <v>382</v>
      </c>
      <c r="F6897" s="63" t="s">
        <v>720</v>
      </c>
      <c r="G6897" s="64" t="n">
        <v>53953.0859968569</v>
      </c>
      <c r="H6897" s="62" t="s">
        <v>138</v>
      </c>
    </row>
    <row r="6898" customFormat="false" ht="15" hidden="false" customHeight="false" outlineLevel="0" collapsed="false">
      <c r="A6898" s="62" t="n">
        <v>1</v>
      </c>
      <c r="B6898" s="62" t="s">
        <v>381</v>
      </c>
      <c r="C6898" s="62" t="s">
        <v>60</v>
      </c>
      <c r="D6898" s="62" t="s">
        <v>382</v>
      </c>
      <c r="E6898" s="62" t="s">
        <v>382</v>
      </c>
      <c r="F6898" s="63" t="s">
        <v>721</v>
      </c>
      <c r="G6898" s="64" t="n">
        <v>516299.807666167</v>
      </c>
      <c r="H6898" s="62" t="s">
        <v>138</v>
      </c>
    </row>
    <row r="6899" customFormat="false" ht="15" hidden="false" customHeight="false" outlineLevel="0" collapsed="false">
      <c r="A6899" s="62" t="n">
        <v>1</v>
      </c>
      <c r="B6899" s="62" t="s">
        <v>383</v>
      </c>
      <c r="C6899" s="62" t="s">
        <v>60</v>
      </c>
      <c r="D6899" s="62" t="s">
        <v>382</v>
      </c>
      <c r="E6899" s="62" t="s">
        <v>382</v>
      </c>
      <c r="F6899" s="63" t="s">
        <v>721</v>
      </c>
      <c r="G6899" s="64" t="n">
        <v>140683.019096199</v>
      </c>
      <c r="H6899" s="62" t="s">
        <v>138</v>
      </c>
    </row>
    <row r="6900" customFormat="false" ht="15" hidden="false" customHeight="false" outlineLevel="0" collapsed="false">
      <c r="A6900" s="62" t="n">
        <v>1</v>
      </c>
      <c r="B6900" s="62" t="s">
        <v>384</v>
      </c>
      <c r="C6900" s="62" t="s">
        <v>60</v>
      </c>
      <c r="D6900" s="62" t="s">
        <v>382</v>
      </c>
      <c r="E6900" s="62" t="s">
        <v>382</v>
      </c>
      <c r="F6900" s="63" t="s">
        <v>721</v>
      </c>
      <c r="G6900" s="64" t="n">
        <v>603998.157941559</v>
      </c>
      <c r="H6900" s="62" t="s">
        <v>138</v>
      </c>
    </row>
    <row r="6901" customFormat="false" ht="15" hidden="false" customHeight="false" outlineLevel="0" collapsed="false">
      <c r="A6901" s="62" t="n">
        <v>1</v>
      </c>
      <c r="B6901" s="62" t="s">
        <v>385</v>
      </c>
      <c r="C6901" s="62" t="s">
        <v>60</v>
      </c>
      <c r="D6901" s="62" t="s">
        <v>382</v>
      </c>
      <c r="E6901" s="62" t="s">
        <v>382</v>
      </c>
      <c r="F6901" s="63" t="s">
        <v>721</v>
      </c>
      <c r="G6901" s="64" t="n">
        <v>464729.859912098</v>
      </c>
      <c r="H6901" s="62" t="s">
        <v>138</v>
      </c>
    </row>
    <row r="6902" customFormat="false" ht="15" hidden="false" customHeight="false" outlineLevel="0" collapsed="false">
      <c r="A6902" s="62" t="n">
        <v>1</v>
      </c>
      <c r="B6902" s="62" t="s">
        <v>386</v>
      </c>
      <c r="C6902" s="62" t="s">
        <v>60</v>
      </c>
      <c r="D6902" s="62" t="s">
        <v>382</v>
      </c>
      <c r="E6902" s="62" t="s">
        <v>382</v>
      </c>
      <c r="F6902" s="63" t="s">
        <v>721</v>
      </c>
      <c r="G6902" s="64" t="n">
        <v>681232.241276276</v>
      </c>
      <c r="H6902" s="62" t="s">
        <v>138</v>
      </c>
    </row>
    <row r="6903" customFormat="false" ht="15" hidden="false" customHeight="false" outlineLevel="0" collapsed="false">
      <c r="A6903" s="62" t="n">
        <v>1</v>
      </c>
      <c r="B6903" s="62" t="s">
        <v>387</v>
      </c>
      <c r="C6903" s="62" t="s">
        <v>60</v>
      </c>
      <c r="D6903" s="62" t="s">
        <v>382</v>
      </c>
      <c r="E6903" s="62" t="s">
        <v>382</v>
      </c>
      <c r="F6903" s="63" t="s">
        <v>721</v>
      </c>
      <c r="G6903" s="64" t="n">
        <v>545904.541749942</v>
      </c>
      <c r="H6903" s="62" t="s">
        <v>138</v>
      </c>
    </row>
    <row r="6904" customFormat="false" ht="15" hidden="false" customHeight="false" outlineLevel="0" collapsed="false">
      <c r="A6904" s="62" t="n">
        <v>1</v>
      </c>
      <c r="B6904" s="62" t="s">
        <v>388</v>
      </c>
      <c r="C6904" s="62" t="s">
        <v>60</v>
      </c>
      <c r="D6904" s="62" t="s">
        <v>382</v>
      </c>
      <c r="E6904" s="62" t="s">
        <v>382</v>
      </c>
      <c r="F6904" s="63" t="s">
        <v>721</v>
      </c>
      <c r="G6904" s="64" t="n">
        <v>139853.029395996</v>
      </c>
      <c r="H6904" s="62" t="s">
        <v>138</v>
      </c>
    </row>
    <row r="6905" customFormat="false" ht="15" hidden="false" customHeight="false" outlineLevel="0" collapsed="false">
      <c r="A6905" s="62" t="n">
        <v>1</v>
      </c>
      <c r="B6905" s="62" t="s">
        <v>381</v>
      </c>
      <c r="C6905" s="62" t="s">
        <v>60</v>
      </c>
      <c r="D6905" s="62" t="s">
        <v>382</v>
      </c>
      <c r="E6905" s="62" t="s">
        <v>382</v>
      </c>
      <c r="F6905" s="63" t="s">
        <v>722</v>
      </c>
      <c r="G6905" s="64" t="n">
        <v>328818.327695375</v>
      </c>
      <c r="H6905" s="62" t="s">
        <v>138</v>
      </c>
    </row>
    <row r="6906" customFormat="false" ht="15" hidden="false" customHeight="false" outlineLevel="0" collapsed="false">
      <c r="A6906" s="62" t="n">
        <v>1</v>
      </c>
      <c r="B6906" s="62" t="s">
        <v>383</v>
      </c>
      <c r="C6906" s="62" t="s">
        <v>60</v>
      </c>
      <c r="D6906" s="62" t="s">
        <v>382</v>
      </c>
      <c r="E6906" s="62" t="s">
        <v>382</v>
      </c>
      <c r="F6906" s="63" t="s">
        <v>722</v>
      </c>
      <c r="G6906" s="64" t="n">
        <v>3758363.60287444</v>
      </c>
      <c r="H6906" s="62" t="s">
        <v>138</v>
      </c>
    </row>
    <row r="6907" customFormat="false" ht="15" hidden="false" customHeight="false" outlineLevel="0" collapsed="false">
      <c r="A6907" s="62" t="n">
        <v>1</v>
      </c>
      <c r="B6907" s="62" t="s">
        <v>384</v>
      </c>
      <c r="C6907" s="62" t="s">
        <v>60</v>
      </c>
      <c r="D6907" s="62" t="s">
        <v>382</v>
      </c>
      <c r="E6907" s="62" t="s">
        <v>382</v>
      </c>
      <c r="F6907" s="63" t="s">
        <v>722</v>
      </c>
      <c r="G6907" s="64" t="n">
        <v>2451623.33425696</v>
      </c>
      <c r="H6907" s="62" t="s">
        <v>138</v>
      </c>
    </row>
    <row r="6908" customFormat="false" ht="15" hidden="false" customHeight="false" outlineLevel="0" collapsed="false">
      <c r="A6908" s="62" t="n">
        <v>1</v>
      </c>
      <c r="B6908" s="62" t="s">
        <v>385</v>
      </c>
      <c r="C6908" s="62" t="s">
        <v>60</v>
      </c>
      <c r="D6908" s="62" t="s">
        <v>382</v>
      </c>
      <c r="E6908" s="62" t="s">
        <v>382</v>
      </c>
      <c r="F6908" s="63" t="s">
        <v>722</v>
      </c>
      <c r="G6908" s="64" t="n">
        <v>803588.409182443</v>
      </c>
      <c r="H6908" s="62" t="s">
        <v>138</v>
      </c>
    </row>
    <row r="6909" customFormat="false" ht="15" hidden="false" customHeight="false" outlineLevel="0" collapsed="false">
      <c r="A6909" s="62" t="n">
        <v>1</v>
      </c>
      <c r="B6909" s="62" t="s">
        <v>386</v>
      </c>
      <c r="C6909" s="62" t="s">
        <v>60</v>
      </c>
      <c r="D6909" s="62" t="s">
        <v>382</v>
      </c>
      <c r="E6909" s="62" t="s">
        <v>382</v>
      </c>
      <c r="F6909" s="63" t="s">
        <v>722</v>
      </c>
      <c r="G6909" s="64" t="n">
        <v>396394.865277004</v>
      </c>
      <c r="H6909" s="62" t="s">
        <v>138</v>
      </c>
    </row>
    <row r="6910" customFormat="false" ht="15" hidden="false" customHeight="false" outlineLevel="0" collapsed="false">
      <c r="A6910" s="62" t="n">
        <v>1</v>
      </c>
      <c r="B6910" s="62" t="s">
        <v>387</v>
      </c>
      <c r="C6910" s="62" t="s">
        <v>60</v>
      </c>
      <c r="D6910" s="62" t="s">
        <v>382</v>
      </c>
      <c r="E6910" s="62" t="s">
        <v>382</v>
      </c>
      <c r="F6910" s="63" t="s">
        <v>722</v>
      </c>
      <c r="G6910" s="64" t="n">
        <v>203163.485394354</v>
      </c>
      <c r="H6910" s="62" t="s">
        <v>138</v>
      </c>
    </row>
    <row r="6911" customFormat="false" ht="15" hidden="false" customHeight="false" outlineLevel="0" collapsed="false">
      <c r="A6911" s="62" t="n">
        <v>1</v>
      </c>
      <c r="B6911" s="62" t="s">
        <v>388</v>
      </c>
      <c r="C6911" s="62" t="s">
        <v>60</v>
      </c>
      <c r="D6911" s="62" t="s">
        <v>382</v>
      </c>
      <c r="E6911" s="62" t="s">
        <v>382</v>
      </c>
      <c r="F6911" s="63" t="s">
        <v>722</v>
      </c>
      <c r="G6911" s="64" t="n">
        <v>0</v>
      </c>
      <c r="H6911" s="62" t="s">
        <v>138</v>
      </c>
    </row>
    <row r="6912" customFormat="false" ht="15" hidden="false" customHeight="false" outlineLevel="0" collapsed="false">
      <c r="A6912" s="62" t="n">
        <v>1</v>
      </c>
      <c r="B6912" s="62" t="s">
        <v>381</v>
      </c>
      <c r="C6912" s="62" t="s">
        <v>60</v>
      </c>
      <c r="D6912" s="62" t="s">
        <v>382</v>
      </c>
      <c r="E6912" s="62" t="s">
        <v>382</v>
      </c>
      <c r="F6912" s="63" t="s">
        <v>723</v>
      </c>
      <c r="G6912" s="64" t="n">
        <v>1175515.74893371</v>
      </c>
      <c r="H6912" s="62" t="s">
        <v>138</v>
      </c>
    </row>
    <row r="6913" customFormat="false" ht="15" hidden="false" customHeight="false" outlineLevel="0" collapsed="false">
      <c r="A6913" s="62" t="n">
        <v>1</v>
      </c>
      <c r="B6913" s="62" t="s">
        <v>383</v>
      </c>
      <c r="C6913" s="62" t="s">
        <v>60</v>
      </c>
      <c r="D6913" s="62" t="s">
        <v>382</v>
      </c>
      <c r="E6913" s="62" t="s">
        <v>382</v>
      </c>
      <c r="F6913" s="63" t="s">
        <v>723</v>
      </c>
      <c r="G6913" s="64" t="n">
        <v>4449016.99332739</v>
      </c>
      <c r="H6913" s="62" t="s">
        <v>138</v>
      </c>
    </row>
    <row r="6914" customFormat="false" ht="15" hidden="false" customHeight="false" outlineLevel="0" collapsed="false">
      <c r="A6914" s="62" t="n">
        <v>1</v>
      </c>
      <c r="B6914" s="62" t="s">
        <v>384</v>
      </c>
      <c r="C6914" s="62" t="s">
        <v>60</v>
      </c>
      <c r="D6914" s="62" t="s">
        <v>382</v>
      </c>
      <c r="E6914" s="62" t="s">
        <v>382</v>
      </c>
      <c r="F6914" s="63" t="s">
        <v>723</v>
      </c>
      <c r="G6914" s="64" t="n">
        <v>3486391.06913948</v>
      </c>
      <c r="H6914" s="62" t="s">
        <v>138</v>
      </c>
    </row>
    <row r="6915" customFormat="false" ht="15" hidden="false" customHeight="false" outlineLevel="0" collapsed="false">
      <c r="A6915" s="62" t="n">
        <v>1</v>
      </c>
      <c r="B6915" s="62" t="s">
        <v>385</v>
      </c>
      <c r="C6915" s="62" t="s">
        <v>60</v>
      </c>
      <c r="D6915" s="62" t="s">
        <v>382</v>
      </c>
      <c r="E6915" s="62" t="s">
        <v>382</v>
      </c>
      <c r="F6915" s="63" t="s">
        <v>723</v>
      </c>
      <c r="G6915" s="64" t="n">
        <v>2174683.84390881</v>
      </c>
      <c r="H6915" s="62" t="s">
        <v>138</v>
      </c>
    </row>
    <row r="6916" customFormat="false" ht="15" hidden="false" customHeight="false" outlineLevel="0" collapsed="false">
      <c r="A6916" s="62" t="n">
        <v>1</v>
      </c>
      <c r="B6916" s="62" t="s">
        <v>386</v>
      </c>
      <c r="C6916" s="62" t="s">
        <v>60</v>
      </c>
      <c r="D6916" s="62" t="s">
        <v>382</v>
      </c>
      <c r="E6916" s="62" t="s">
        <v>382</v>
      </c>
      <c r="F6916" s="63" t="s">
        <v>723</v>
      </c>
      <c r="G6916" s="64" t="n">
        <v>1802625.81470303</v>
      </c>
      <c r="H6916" s="62" t="s">
        <v>138</v>
      </c>
    </row>
    <row r="6917" customFormat="false" ht="15" hidden="false" customHeight="false" outlineLevel="0" collapsed="false">
      <c r="A6917" s="62" t="n">
        <v>1</v>
      </c>
      <c r="B6917" s="62" t="s">
        <v>387</v>
      </c>
      <c r="C6917" s="62" t="s">
        <v>60</v>
      </c>
      <c r="D6917" s="62" t="s">
        <v>382</v>
      </c>
      <c r="E6917" s="62" t="s">
        <v>382</v>
      </c>
      <c r="F6917" s="63" t="s">
        <v>723</v>
      </c>
      <c r="G6917" s="64" t="n">
        <v>2157698.48081882</v>
      </c>
      <c r="H6917" s="62" t="s">
        <v>138</v>
      </c>
    </row>
    <row r="6918" customFormat="false" ht="15" hidden="false" customHeight="false" outlineLevel="0" collapsed="false">
      <c r="A6918" s="62" t="n">
        <v>1</v>
      </c>
      <c r="B6918" s="62" t="s">
        <v>388</v>
      </c>
      <c r="C6918" s="62" t="s">
        <v>60</v>
      </c>
      <c r="D6918" s="62" t="s">
        <v>382</v>
      </c>
      <c r="E6918" s="62" t="s">
        <v>382</v>
      </c>
      <c r="F6918" s="63" t="s">
        <v>723</v>
      </c>
      <c r="G6918" s="64" t="n">
        <v>193806.115392853</v>
      </c>
      <c r="H6918" s="62" t="s">
        <v>138</v>
      </c>
    </row>
    <row r="6919" customFormat="false" ht="15" hidden="false" customHeight="false" outlineLevel="0" collapsed="false">
      <c r="A6919" s="62" t="n">
        <v>1</v>
      </c>
      <c r="B6919" s="62" t="s">
        <v>381</v>
      </c>
      <c r="C6919" s="62" t="s">
        <v>60</v>
      </c>
      <c r="D6919" s="62" t="s">
        <v>382</v>
      </c>
      <c r="E6919" s="62" t="s">
        <v>382</v>
      </c>
      <c r="F6919" s="63" t="s">
        <v>724</v>
      </c>
      <c r="G6919" s="64" t="n">
        <v>13407228.7340465</v>
      </c>
      <c r="H6919" s="62" t="s">
        <v>138</v>
      </c>
    </row>
    <row r="6920" customFormat="false" ht="15" hidden="false" customHeight="false" outlineLevel="0" collapsed="false">
      <c r="A6920" s="62" t="n">
        <v>1</v>
      </c>
      <c r="B6920" s="62" t="s">
        <v>383</v>
      </c>
      <c r="C6920" s="62" t="s">
        <v>60</v>
      </c>
      <c r="D6920" s="62" t="s">
        <v>382</v>
      </c>
      <c r="E6920" s="62" t="s">
        <v>382</v>
      </c>
      <c r="F6920" s="63" t="s">
        <v>724</v>
      </c>
      <c r="G6920" s="64" t="n">
        <v>18833575.6152738</v>
      </c>
      <c r="H6920" s="62" t="s">
        <v>138</v>
      </c>
    </row>
    <row r="6921" customFormat="false" ht="15" hidden="false" customHeight="false" outlineLevel="0" collapsed="false">
      <c r="A6921" s="62" t="n">
        <v>1</v>
      </c>
      <c r="B6921" s="62" t="s">
        <v>384</v>
      </c>
      <c r="C6921" s="62" t="s">
        <v>60</v>
      </c>
      <c r="D6921" s="62" t="s">
        <v>382</v>
      </c>
      <c r="E6921" s="62" t="s">
        <v>382</v>
      </c>
      <c r="F6921" s="63" t="s">
        <v>724</v>
      </c>
      <c r="G6921" s="64" t="n">
        <v>11635702.1499458</v>
      </c>
      <c r="H6921" s="62" t="s">
        <v>138</v>
      </c>
    </row>
    <row r="6922" customFormat="false" ht="15" hidden="false" customHeight="false" outlineLevel="0" collapsed="false">
      <c r="A6922" s="62" t="n">
        <v>1</v>
      </c>
      <c r="B6922" s="62" t="s">
        <v>385</v>
      </c>
      <c r="C6922" s="62" t="s">
        <v>60</v>
      </c>
      <c r="D6922" s="62" t="s">
        <v>382</v>
      </c>
      <c r="E6922" s="62" t="s">
        <v>382</v>
      </c>
      <c r="F6922" s="63" t="s">
        <v>724</v>
      </c>
      <c r="G6922" s="64" t="n">
        <v>11288058.8705198</v>
      </c>
      <c r="H6922" s="62" t="s">
        <v>138</v>
      </c>
    </row>
    <row r="6923" customFormat="false" ht="15" hidden="false" customHeight="false" outlineLevel="0" collapsed="false">
      <c r="A6923" s="62" t="n">
        <v>1</v>
      </c>
      <c r="B6923" s="62" t="s">
        <v>386</v>
      </c>
      <c r="C6923" s="62" t="s">
        <v>60</v>
      </c>
      <c r="D6923" s="62" t="s">
        <v>382</v>
      </c>
      <c r="E6923" s="62" t="s">
        <v>382</v>
      </c>
      <c r="F6923" s="63" t="s">
        <v>724</v>
      </c>
      <c r="G6923" s="64" t="n">
        <v>10092777.6045844</v>
      </c>
      <c r="H6923" s="62" t="s">
        <v>138</v>
      </c>
    </row>
    <row r="6924" customFormat="false" ht="15" hidden="false" customHeight="false" outlineLevel="0" collapsed="false">
      <c r="A6924" s="62" t="n">
        <v>1</v>
      </c>
      <c r="B6924" s="62" t="s">
        <v>387</v>
      </c>
      <c r="C6924" s="62" t="s">
        <v>60</v>
      </c>
      <c r="D6924" s="62" t="s">
        <v>382</v>
      </c>
      <c r="E6924" s="62" t="s">
        <v>382</v>
      </c>
      <c r="F6924" s="63" t="s">
        <v>724</v>
      </c>
      <c r="G6924" s="64" t="n">
        <v>17247966.5582281</v>
      </c>
      <c r="H6924" s="62" t="s">
        <v>138</v>
      </c>
    </row>
    <row r="6925" customFormat="false" ht="15" hidden="false" customHeight="false" outlineLevel="0" collapsed="false">
      <c r="A6925" s="62" t="n">
        <v>1</v>
      </c>
      <c r="B6925" s="62" t="s">
        <v>388</v>
      </c>
      <c r="C6925" s="62" t="s">
        <v>60</v>
      </c>
      <c r="D6925" s="62" t="s">
        <v>382</v>
      </c>
      <c r="E6925" s="62" t="s">
        <v>382</v>
      </c>
      <c r="F6925" s="63" t="s">
        <v>724</v>
      </c>
      <c r="G6925" s="64" t="n">
        <v>13089771.3147847</v>
      </c>
      <c r="H6925" s="62" t="s">
        <v>138</v>
      </c>
    </row>
    <row r="6926" customFormat="false" ht="15" hidden="false" customHeight="false" outlineLevel="0" collapsed="false">
      <c r="A6926" s="62" t="n">
        <v>1</v>
      </c>
      <c r="B6926" s="62" t="s">
        <v>381</v>
      </c>
      <c r="C6926" s="62" t="s">
        <v>60</v>
      </c>
      <c r="D6926" s="62" t="s">
        <v>382</v>
      </c>
      <c r="E6926" s="62" t="s">
        <v>382</v>
      </c>
      <c r="F6926" s="63" t="s">
        <v>725</v>
      </c>
      <c r="G6926" s="64" t="n">
        <v>6342543.86115284</v>
      </c>
      <c r="H6926" s="62" t="s">
        <v>138</v>
      </c>
    </row>
    <row r="6927" customFormat="false" ht="15" hidden="false" customHeight="false" outlineLevel="0" collapsed="false">
      <c r="A6927" s="62" t="n">
        <v>1</v>
      </c>
      <c r="B6927" s="62" t="s">
        <v>383</v>
      </c>
      <c r="C6927" s="62" t="s">
        <v>60</v>
      </c>
      <c r="D6927" s="62" t="s">
        <v>382</v>
      </c>
      <c r="E6927" s="62" t="s">
        <v>382</v>
      </c>
      <c r="F6927" s="63" t="s">
        <v>725</v>
      </c>
      <c r="G6927" s="64" t="n">
        <v>6967709.42575127</v>
      </c>
      <c r="H6927" s="62" t="s">
        <v>138</v>
      </c>
    </row>
    <row r="6928" customFormat="false" ht="15" hidden="false" customHeight="false" outlineLevel="0" collapsed="false">
      <c r="A6928" s="62" t="n">
        <v>1</v>
      </c>
      <c r="B6928" s="62" t="s">
        <v>384</v>
      </c>
      <c r="C6928" s="62" t="s">
        <v>60</v>
      </c>
      <c r="D6928" s="62" t="s">
        <v>382</v>
      </c>
      <c r="E6928" s="62" t="s">
        <v>382</v>
      </c>
      <c r="F6928" s="63" t="s">
        <v>725</v>
      </c>
      <c r="G6928" s="64" t="n">
        <v>8448149.97637876</v>
      </c>
      <c r="H6928" s="62" t="s">
        <v>138</v>
      </c>
    </row>
    <row r="6929" customFormat="false" ht="15" hidden="false" customHeight="false" outlineLevel="0" collapsed="false">
      <c r="A6929" s="62" t="n">
        <v>1</v>
      </c>
      <c r="B6929" s="62" t="s">
        <v>385</v>
      </c>
      <c r="C6929" s="62" t="s">
        <v>60</v>
      </c>
      <c r="D6929" s="62" t="s">
        <v>382</v>
      </c>
      <c r="E6929" s="62" t="s">
        <v>382</v>
      </c>
      <c r="F6929" s="63" t="s">
        <v>725</v>
      </c>
      <c r="G6929" s="64" t="n">
        <v>4896289.74378424</v>
      </c>
      <c r="H6929" s="62" t="s">
        <v>138</v>
      </c>
    </row>
    <row r="6930" customFormat="false" ht="15" hidden="false" customHeight="false" outlineLevel="0" collapsed="false">
      <c r="A6930" s="62" t="n">
        <v>1</v>
      </c>
      <c r="B6930" s="62" t="s">
        <v>386</v>
      </c>
      <c r="C6930" s="62" t="s">
        <v>60</v>
      </c>
      <c r="D6930" s="62" t="s">
        <v>382</v>
      </c>
      <c r="E6930" s="62" t="s">
        <v>382</v>
      </c>
      <c r="F6930" s="63" t="s">
        <v>725</v>
      </c>
      <c r="G6930" s="64" t="n">
        <v>5791359.86366864</v>
      </c>
      <c r="H6930" s="62" t="s">
        <v>138</v>
      </c>
    </row>
    <row r="6931" customFormat="false" ht="15" hidden="false" customHeight="false" outlineLevel="0" collapsed="false">
      <c r="A6931" s="62" t="n">
        <v>1</v>
      </c>
      <c r="B6931" s="62" t="s">
        <v>387</v>
      </c>
      <c r="C6931" s="62" t="s">
        <v>60</v>
      </c>
      <c r="D6931" s="62" t="s">
        <v>382</v>
      </c>
      <c r="E6931" s="62" t="s">
        <v>382</v>
      </c>
      <c r="F6931" s="63" t="s">
        <v>725</v>
      </c>
      <c r="G6931" s="64" t="n">
        <v>5860003.87690102</v>
      </c>
      <c r="H6931" s="62" t="s">
        <v>138</v>
      </c>
    </row>
    <row r="6932" customFormat="false" ht="15" hidden="false" customHeight="false" outlineLevel="0" collapsed="false">
      <c r="A6932" s="62" t="n">
        <v>1</v>
      </c>
      <c r="B6932" s="62" t="s">
        <v>388</v>
      </c>
      <c r="C6932" s="62" t="s">
        <v>60</v>
      </c>
      <c r="D6932" s="62" t="s">
        <v>382</v>
      </c>
      <c r="E6932" s="62" t="s">
        <v>382</v>
      </c>
      <c r="F6932" s="63" t="s">
        <v>725</v>
      </c>
      <c r="G6932" s="64" t="n">
        <v>4839520</v>
      </c>
      <c r="H6932" s="62" t="s">
        <v>138</v>
      </c>
    </row>
    <row r="6933" customFormat="false" ht="15" hidden="false" customHeight="false" outlineLevel="0" collapsed="false">
      <c r="A6933" s="62" t="n">
        <v>1</v>
      </c>
      <c r="B6933" s="62" t="s">
        <v>381</v>
      </c>
      <c r="C6933" s="62" t="s">
        <v>60</v>
      </c>
      <c r="D6933" s="62" t="s">
        <v>382</v>
      </c>
      <c r="E6933" s="62" t="s">
        <v>382</v>
      </c>
      <c r="F6933" s="63" t="s">
        <v>726</v>
      </c>
      <c r="G6933" s="64" t="n">
        <v>12927498.4318747</v>
      </c>
      <c r="H6933" s="62" t="s">
        <v>138</v>
      </c>
    </row>
    <row r="6934" customFormat="false" ht="15" hidden="false" customHeight="false" outlineLevel="0" collapsed="false">
      <c r="A6934" s="62" t="n">
        <v>1</v>
      </c>
      <c r="B6934" s="62" t="s">
        <v>383</v>
      </c>
      <c r="C6934" s="62" t="s">
        <v>60</v>
      </c>
      <c r="D6934" s="62" t="s">
        <v>382</v>
      </c>
      <c r="E6934" s="62" t="s">
        <v>382</v>
      </c>
      <c r="F6934" s="63" t="s">
        <v>726</v>
      </c>
      <c r="G6934" s="64" t="n">
        <v>4189208.77178431</v>
      </c>
      <c r="H6934" s="62" t="s">
        <v>138</v>
      </c>
    </row>
    <row r="6935" customFormat="false" ht="15" hidden="false" customHeight="false" outlineLevel="0" collapsed="false">
      <c r="A6935" s="62" t="n">
        <v>1</v>
      </c>
      <c r="B6935" s="62" t="s">
        <v>384</v>
      </c>
      <c r="C6935" s="62" t="s">
        <v>60</v>
      </c>
      <c r="D6935" s="62" t="s">
        <v>382</v>
      </c>
      <c r="E6935" s="62" t="s">
        <v>382</v>
      </c>
      <c r="F6935" s="63" t="s">
        <v>726</v>
      </c>
      <c r="G6935" s="64" t="n">
        <v>7157343.07256458</v>
      </c>
      <c r="H6935" s="62" t="s">
        <v>138</v>
      </c>
    </row>
    <row r="6936" customFormat="false" ht="15" hidden="false" customHeight="false" outlineLevel="0" collapsed="false">
      <c r="A6936" s="62" t="n">
        <v>1</v>
      </c>
      <c r="B6936" s="62" t="s">
        <v>385</v>
      </c>
      <c r="C6936" s="62" t="s">
        <v>60</v>
      </c>
      <c r="D6936" s="62" t="s">
        <v>382</v>
      </c>
      <c r="E6936" s="62" t="s">
        <v>382</v>
      </c>
      <c r="F6936" s="63" t="s">
        <v>726</v>
      </c>
      <c r="G6936" s="64" t="n">
        <v>0</v>
      </c>
      <c r="H6936" s="62" t="s">
        <v>138</v>
      </c>
    </row>
    <row r="6937" customFormat="false" ht="15" hidden="false" customHeight="false" outlineLevel="0" collapsed="false">
      <c r="A6937" s="62" t="n">
        <v>1</v>
      </c>
      <c r="B6937" s="62" t="s">
        <v>386</v>
      </c>
      <c r="C6937" s="62" t="s">
        <v>60</v>
      </c>
      <c r="D6937" s="62" t="s">
        <v>382</v>
      </c>
      <c r="E6937" s="62" t="s">
        <v>382</v>
      </c>
      <c r="F6937" s="63" t="s">
        <v>726</v>
      </c>
      <c r="G6937" s="64" t="n">
        <v>5663654.66726401</v>
      </c>
      <c r="H6937" s="62" t="s">
        <v>138</v>
      </c>
    </row>
    <row r="6938" customFormat="false" ht="15" hidden="false" customHeight="false" outlineLevel="0" collapsed="false">
      <c r="A6938" s="62" t="n">
        <v>1</v>
      </c>
      <c r="B6938" s="62" t="s">
        <v>387</v>
      </c>
      <c r="C6938" s="62" t="s">
        <v>60</v>
      </c>
      <c r="D6938" s="62" t="s">
        <v>382</v>
      </c>
      <c r="E6938" s="62" t="s">
        <v>382</v>
      </c>
      <c r="F6938" s="63" t="s">
        <v>726</v>
      </c>
      <c r="G6938" s="64" t="n">
        <v>2882275.80023416</v>
      </c>
      <c r="H6938" s="62" t="s">
        <v>138</v>
      </c>
    </row>
    <row r="6939" customFormat="false" ht="15" hidden="false" customHeight="false" outlineLevel="0" collapsed="false">
      <c r="A6939" s="62" t="n">
        <v>1</v>
      </c>
      <c r="B6939" s="62" t="s">
        <v>388</v>
      </c>
      <c r="C6939" s="62" t="s">
        <v>60</v>
      </c>
      <c r="D6939" s="62" t="s">
        <v>382</v>
      </c>
      <c r="E6939" s="62" t="s">
        <v>382</v>
      </c>
      <c r="F6939" s="63" t="s">
        <v>726</v>
      </c>
      <c r="G6939" s="64" t="n">
        <v>0</v>
      </c>
      <c r="H6939" s="62" t="s">
        <v>138</v>
      </c>
    </row>
    <row r="6940" customFormat="false" ht="15" hidden="false" customHeight="false" outlineLevel="0" collapsed="false">
      <c r="A6940" s="62" t="n">
        <v>1</v>
      </c>
      <c r="B6940" s="62" t="s">
        <v>381</v>
      </c>
      <c r="C6940" s="62" t="s">
        <v>60</v>
      </c>
      <c r="D6940" s="62" t="s">
        <v>382</v>
      </c>
      <c r="E6940" s="62" t="s">
        <v>382</v>
      </c>
      <c r="F6940" s="63" t="s">
        <v>727</v>
      </c>
      <c r="G6940" s="64" t="n">
        <v>550000</v>
      </c>
      <c r="H6940" s="62" t="s">
        <v>138</v>
      </c>
    </row>
    <row r="6941" customFormat="false" ht="15" hidden="false" customHeight="false" outlineLevel="0" collapsed="false">
      <c r="A6941" s="62" t="n">
        <v>1</v>
      </c>
      <c r="B6941" s="62" t="s">
        <v>383</v>
      </c>
      <c r="C6941" s="62" t="s">
        <v>60</v>
      </c>
      <c r="D6941" s="62" t="s">
        <v>382</v>
      </c>
      <c r="E6941" s="62" t="s">
        <v>382</v>
      </c>
      <c r="F6941" s="63" t="s">
        <v>727</v>
      </c>
      <c r="G6941" s="64" t="n">
        <v>1200000</v>
      </c>
      <c r="H6941" s="62" t="s">
        <v>138</v>
      </c>
    </row>
    <row r="6942" customFormat="false" ht="15" hidden="false" customHeight="false" outlineLevel="0" collapsed="false">
      <c r="A6942" s="62" t="n">
        <v>1</v>
      </c>
      <c r="B6942" s="62" t="s">
        <v>384</v>
      </c>
      <c r="C6942" s="62" t="s">
        <v>60</v>
      </c>
      <c r="D6942" s="62" t="s">
        <v>382</v>
      </c>
      <c r="E6942" s="62" t="s">
        <v>382</v>
      </c>
      <c r="F6942" s="63" t="s">
        <v>727</v>
      </c>
      <c r="G6942" s="64" t="n">
        <v>0</v>
      </c>
      <c r="H6942" s="62" t="s">
        <v>138</v>
      </c>
    </row>
    <row r="6943" customFormat="false" ht="15" hidden="false" customHeight="false" outlineLevel="0" collapsed="false">
      <c r="A6943" s="62" t="n">
        <v>1</v>
      </c>
      <c r="B6943" s="62" t="s">
        <v>385</v>
      </c>
      <c r="C6943" s="62" t="s">
        <v>60</v>
      </c>
      <c r="D6943" s="62" t="s">
        <v>382</v>
      </c>
      <c r="E6943" s="62" t="s">
        <v>382</v>
      </c>
      <c r="F6943" s="63" t="s">
        <v>727</v>
      </c>
      <c r="G6943" s="64" t="n">
        <v>0</v>
      </c>
      <c r="H6943" s="62" t="s">
        <v>138</v>
      </c>
    </row>
    <row r="6944" customFormat="false" ht="15" hidden="false" customHeight="false" outlineLevel="0" collapsed="false">
      <c r="A6944" s="62" t="n">
        <v>1</v>
      </c>
      <c r="B6944" s="62" t="s">
        <v>386</v>
      </c>
      <c r="C6944" s="62" t="s">
        <v>60</v>
      </c>
      <c r="D6944" s="62" t="s">
        <v>382</v>
      </c>
      <c r="E6944" s="62" t="s">
        <v>382</v>
      </c>
      <c r="F6944" s="63" t="s">
        <v>727</v>
      </c>
      <c r="G6944" s="64" t="n">
        <v>200000</v>
      </c>
      <c r="H6944" s="62" t="s">
        <v>138</v>
      </c>
    </row>
    <row r="6945" customFormat="false" ht="15" hidden="false" customHeight="false" outlineLevel="0" collapsed="false">
      <c r="A6945" s="62" t="n">
        <v>1</v>
      </c>
      <c r="B6945" s="62" t="s">
        <v>387</v>
      </c>
      <c r="C6945" s="62" t="s">
        <v>60</v>
      </c>
      <c r="D6945" s="62" t="s">
        <v>382</v>
      </c>
      <c r="E6945" s="62" t="s">
        <v>382</v>
      </c>
      <c r="F6945" s="63" t="s">
        <v>727</v>
      </c>
      <c r="G6945" s="64" t="n">
        <v>2050000</v>
      </c>
      <c r="H6945" s="62" t="s">
        <v>138</v>
      </c>
    </row>
    <row r="6946" customFormat="false" ht="15" hidden="false" customHeight="false" outlineLevel="0" collapsed="false">
      <c r="A6946" s="62" t="n">
        <v>1</v>
      </c>
      <c r="B6946" s="62" t="s">
        <v>388</v>
      </c>
      <c r="C6946" s="62" t="s">
        <v>60</v>
      </c>
      <c r="D6946" s="62" t="s">
        <v>382</v>
      </c>
      <c r="E6946" s="62" t="s">
        <v>382</v>
      </c>
      <c r="F6946" s="63" t="s">
        <v>727</v>
      </c>
      <c r="G6946" s="64" t="n">
        <v>1075000</v>
      </c>
      <c r="H6946" s="62" t="s">
        <v>138</v>
      </c>
    </row>
    <row r="6947" customFormat="false" ht="15" hidden="false" customHeight="false" outlineLevel="0" collapsed="false">
      <c r="A6947" s="62" t="n">
        <v>1</v>
      </c>
      <c r="B6947" s="62" t="s">
        <v>381</v>
      </c>
      <c r="C6947" s="62" t="s">
        <v>60</v>
      </c>
      <c r="D6947" s="62" t="s">
        <v>382</v>
      </c>
      <c r="E6947" s="62" t="s">
        <v>382</v>
      </c>
      <c r="F6947" s="63" t="s">
        <v>728</v>
      </c>
      <c r="G6947" s="64" t="n">
        <v>33227271.0270741</v>
      </c>
      <c r="H6947" s="62" t="s">
        <v>138</v>
      </c>
    </row>
    <row r="6948" customFormat="false" ht="15" hidden="false" customHeight="false" outlineLevel="0" collapsed="false">
      <c r="A6948" s="62" t="n">
        <v>1</v>
      </c>
      <c r="B6948" s="62" t="s">
        <v>383</v>
      </c>
      <c r="C6948" s="62" t="s">
        <v>60</v>
      </c>
      <c r="D6948" s="62" t="s">
        <v>382</v>
      </c>
      <c r="E6948" s="62" t="s">
        <v>382</v>
      </c>
      <c r="F6948" s="63" t="s">
        <v>728</v>
      </c>
      <c r="G6948" s="64" t="n">
        <v>31190493.8128094</v>
      </c>
      <c r="H6948" s="62" t="s">
        <v>138</v>
      </c>
    </row>
    <row r="6949" customFormat="false" ht="15" hidden="false" customHeight="false" outlineLevel="0" collapsed="false">
      <c r="A6949" s="62" t="n">
        <v>1</v>
      </c>
      <c r="B6949" s="62" t="s">
        <v>384</v>
      </c>
      <c r="C6949" s="62" t="s">
        <v>60</v>
      </c>
      <c r="D6949" s="62" t="s">
        <v>382</v>
      </c>
      <c r="E6949" s="62" t="s">
        <v>382</v>
      </c>
      <c r="F6949" s="63" t="s">
        <v>728</v>
      </c>
      <c r="G6949" s="64" t="n">
        <v>27241195.1988892</v>
      </c>
      <c r="H6949" s="62" t="s">
        <v>138</v>
      </c>
    </row>
    <row r="6950" customFormat="false" ht="15" hidden="false" customHeight="false" outlineLevel="0" collapsed="false">
      <c r="A6950" s="62" t="n">
        <v>1</v>
      </c>
      <c r="B6950" s="62" t="s">
        <v>385</v>
      </c>
      <c r="C6950" s="62" t="s">
        <v>60</v>
      </c>
      <c r="D6950" s="62" t="s">
        <v>382</v>
      </c>
      <c r="E6950" s="62" t="s">
        <v>382</v>
      </c>
      <c r="F6950" s="63" t="s">
        <v>728</v>
      </c>
      <c r="G6950" s="64" t="n">
        <v>16184348.614304</v>
      </c>
      <c r="H6950" s="62" t="s">
        <v>138</v>
      </c>
    </row>
    <row r="6951" customFormat="false" ht="15" hidden="false" customHeight="false" outlineLevel="0" collapsed="false">
      <c r="A6951" s="62" t="n">
        <v>1</v>
      </c>
      <c r="B6951" s="62" t="s">
        <v>386</v>
      </c>
      <c r="C6951" s="62" t="s">
        <v>60</v>
      </c>
      <c r="D6951" s="62" t="s">
        <v>382</v>
      </c>
      <c r="E6951" s="62" t="s">
        <v>382</v>
      </c>
      <c r="F6951" s="63" t="s">
        <v>728</v>
      </c>
      <c r="G6951" s="64" t="n">
        <v>21747792.1355171</v>
      </c>
      <c r="H6951" s="62" t="s">
        <v>138</v>
      </c>
    </row>
    <row r="6952" customFormat="false" ht="15" hidden="false" customHeight="false" outlineLevel="0" collapsed="false">
      <c r="A6952" s="62" t="n">
        <v>1</v>
      </c>
      <c r="B6952" s="62" t="s">
        <v>387</v>
      </c>
      <c r="C6952" s="62" t="s">
        <v>60</v>
      </c>
      <c r="D6952" s="62" t="s">
        <v>382</v>
      </c>
      <c r="E6952" s="62" t="s">
        <v>382</v>
      </c>
      <c r="F6952" s="63" t="s">
        <v>728</v>
      </c>
      <c r="G6952" s="64" t="n">
        <v>28040246.2353633</v>
      </c>
      <c r="H6952" s="62" t="s">
        <v>138</v>
      </c>
    </row>
    <row r="6953" customFormat="false" ht="15" hidden="false" customHeight="false" outlineLevel="0" collapsed="false">
      <c r="A6953" s="62" t="n">
        <v>1</v>
      </c>
      <c r="B6953" s="62" t="s">
        <v>388</v>
      </c>
      <c r="C6953" s="62" t="s">
        <v>60</v>
      </c>
      <c r="D6953" s="62" t="s">
        <v>382</v>
      </c>
      <c r="E6953" s="62" t="s">
        <v>382</v>
      </c>
      <c r="F6953" s="63" t="s">
        <v>728</v>
      </c>
      <c r="G6953" s="64" t="n">
        <v>19004291.3147847</v>
      </c>
      <c r="H6953" s="62" t="s">
        <v>138</v>
      </c>
    </row>
    <row r="6954" customFormat="false" ht="15" hidden="false" customHeight="false" outlineLevel="0" collapsed="false">
      <c r="A6954" s="62" t="n">
        <v>1</v>
      </c>
      <c r="B6954" s="62" t="s">
        <v>381</v>
      </c>
      <c r="C6954" s="62" t="s">
        <v>60</v>
      </c>
      <c r="D6954" s="62" t="s">
        <v>382</v>
      </c>
      <c r="E6954" s="62" t="s">
        <v>382</v>
      </c>
      <c r="F6954" s="63" t="s">
        <v>729</v>
      </c>
      <c r="G6954" s="64" t="n">
        <v>42273675.7529611</v>
      </c>
      <c r="H6954" s="62" t="s">
        <v>138</v>
      </c>
    </row>
    <row r="6955" customFormat="false" ht="15" hidden="false" customHeight="false" outlineLevel="0" collapsed="false">
      <c r="A6955" s="62" t="n">
        <v>1</v>
      </c>
      <c r="B6955" s="62" t="s">
        <v>383</v>
      </c>
      <c r="C6955" s="62" t="s">
        <v>60</v>
      </c>
      <c r="D6955" s="62" t="s">
        <v>382</v>
      </c>
      <c r="E6955" s="62" t="s">
        <v>382</v>
      </c>
      <c r="F6955" s="63" t="s">
        <v>729</v>
      </c>
      <c r="G6955" s="64" t="n">
        <v>53425445.9400198</v>
      </c>
      <c r="H6955" s="62" t="s">
        <v>138</v>
      </c>
    </row>
    <row r="6956" customFormat="false" ht="15" hidden="false" customHeight="false" outlineLevel="0" collapsed="false">
      <c r="A6956" s="62" t="n">
        <v>1</v>
      </c>
      <c r="B6956" s="62" t="s">
        <v>384</v>
      </c>
      <c r="C6956" s="62" t="s">
        <v>60</v>
      </c>
      <c r="D6956" s="62" t="s">
        <v>382</v>
      </c>
      <c r="E6956" s="62" t="s">
        <v>382</v>
      </c>
      <c r="F6956" s="63" t="s">
        <v>729</v>
      </c>
      <c r="G6956" s="64" t="n">
        <v>44324614.2443539</v>
      </c>
      <c r="H6956" s="62" t="s">
        <v>138</v>
      </c>
    </row>
    <row r="6957" customFormat="false" ht="15" hidden="false" customHeight="false" outlineLevel="0" collapsed="false">
      <c r="A6957" s="62" t="n">
        <v>1</v>
      </c>
      <c r="B6957" s="62" t="s">
        <v>385</v>
      </c>
      <c r="C6957" s="62" t="s">
        <v>60</v>
      </c>
      <c r="D6957" s="62" t="s">
        <v>382</v>
      </c>
      <c r="E6957" s="62" t="s">
        <v>382</v>
      </c>
      <c r="F6957" s="63" t="s">
        <v>729</v>
      </c>
      <c r="G6957" s="64" t="n">
        <v>28750558.5132927</v>
      </c>
      <c r="H6957" s="62" t="s">
        <v>138</v>
      </c>
    </row>
    <row r="6958" customFormat="false" ht="15" hidden="false" customHeight="false" outlineLevel="0" collapsed="false">
      <c r="A6958" s="62" t="n">
        <v>1</v>
      </c>
      <c r="B6958" s="62" t="s">
        <v>386</v>
      </c>
      <c r="C6958" s="62" t="s">
        <v>60</v>
      </c>
      <c r="D6958" s="62" t="s">
        <v>382</v>
      </c>
      <c r="E6958" s="62" t="s">
        <v>382</v>
      </c>
      <c r="F6958" s="63" t="s">
        <v>729</v>
      </c>
      <c r="G6958" s="64" t="n">
        <v>32531944.2952352</v>
      </c>
      <c r="H6958" s="62" t="s">
        <v>138</v>
      </c>
    </row>
    <row r="6959" customFormat="false" ht="15" hidden="false" customHeight="false" outlineLevel="0" collapsed="false">
      <c r="A6959" s="62" t="n">
        <v>1</v>
      </c>
      <c r="B6959" s="62" t="s">
        <v>387</v>
      </c>
      <c r="C6959" s="62" t="s">
        <v>60</v>
      </c>
      <c r="D6959" s="62" t="s">
        <v>382</v>
      </c>
      <c r="E6959" s="62" t="s">
        <v>382</v>
      </c>
      <c r="F6959" s="63" t="s">
        <v>729</v>
      </c>
      <c r="G6959" s="64" t="n">
        <v>42637435.0026412</v>
      </c>
      <c r="H6959" s="62" t="s">
        <v>138</v>
      </c>
    </row>
    <row r="6960" customFormat="false" ht="15" hidden="false" customHeight="false" outlineLevel="0" collapsed="false">
      <c r="A6960" s="62" t="n">
        <v>1</v>
      </c>
      <c r="B6960" s="62" t="s">
        <v>388</v>
      </c>
      <c r="C6960" s="62" t="s">
        <v>60</v>
      </c>
      <c r="D6960" s="62" t="s">
        <v>382</v>
      </c>
      <c r="E6960" s="62" t="s">
        <v>382</v>
      </c>
      <c r="F6960" s="63" t="s">
        <v>729</v>
      </c>
      <c r="G6960" s="64" t="n">
        <v>23741624.4226525</v>
      </c>
      <c r="H6960" s="62" t="s">
        <v>138</v>
      </c>
    </row>
    <row r="6961" customFormat="false" ht="15" hidden="false" customHeight="false" outlineLevel="0" collapsed="false">
      <c r="A6961" s="62" t="n">
        <v>1</v>
      </c>
      <c r="B6961" s="62" t="s">
        <v>381</v>
      </c>
      <c r="C6961" s="62" t="s">
        <v>60</v>
      </c>
      <c r="D6961" s="62" t="s">
        <v>382</v>
      </c>
      <c r="E6961" s="62" t="s">
        <v>382</v>
      </c>
      <c r="F6961" s="63" t="s">
        <v>730</v>
      </c>
      <c r="G6961" s="64" t="n">
        <v>540.488</v>
      </c>
      <c r="H6961" s="62" t="s">
        <v>138</v>
      </c>
    </row>
    <row r="6962" customFormat="false" ht="15" hidden="false" customHeight="false" outlineLevel="0" collapsed="false">
      <c r="A6962" s="62" t="n">
        <v>1</v>
      </c>
      <c r="B6962" s="62" t="s">
        <v>383</v>
      </c>
      <c r="C6962" s="62" t="s">
        <v>60</v>
      </c>
      <c r="D6962" s="62" t="s">
        <v>382</v>
      </c>
      <c r="E6962" s="62" t="s">
        <v>382</v>
      </c>
      <c r="F6962" s="63" t="s">
        <v>730</v>
      </c>
      <c r="G6962" s="64" t="n">
        <v>543.532</v>
      </c>
      <c r="H6962" s="62" t="s">
        <v>138</v>
      </c>
    </row>
    <row r="6963" customFormat="false" ht="15" hidden="false" customHeight="false" outlineLevel="0" collapsed="false">
      <c r="A6963" s="62" t="n">
        <v>1</v>
      </c>
      <c r="B6963" s="62" t="s">
        <v>384</v>
      </c>
      <c r="C6963" s="62" t="s">
        <v>60</v>
      </c>
      <c r="D6963" s="62" t="s">
        <v>382</v>
      </c>
      <c r="E6963" s="62" t="s">
        <v>382</v>
      </c>
      <c r="F6963" s="63" t="s">
        <v>730</v>
      </c>
      <c r="G6963" s="64" t="n">
        <v>764.143</v>
      </c>
      <c r="H6963" s="62" t="s">
        <v>138</v>
      </c>
    </row>
    <row r="6964" customFormat="false" ht="15" hidden="false" customHeight="false" outlineLevel="0" collapsed="false">
      <c r="A6964" s="62" t="n">
        <v>1</v>
      </c>
      <c r="B6964" s="62" t="s">
        <v>385</v>
      </c>
      <c r="C6964" s="62" t="s">
        <v>60</v>
      </c>
      <c r="D6964" s="62" t="s">
        <v>382</v>
      </c>
      <c r="E6964" s="62" t="s">
        <v>382</v>
      </c>
      <c r="F6964" s="63" t="s">
        <v>730</v>
      </c>
      <c r="G6964" s="64" t="n">
        <v>639.45</v>
      </c>
      <c r="H6964" s="62" t="s">
        <v>138</v>
      </c>
    </row>
    <row r="6965" customFormat="false" ht="15" hidden="false" customHeight="false" outlineLevel="0" collapsed="false">
      <c r="A6965" s="62" t="n">
        <v>1</v>
      </c>
      <c r="B6965" s="62" t="s">
        <v>386</v>
      </c>
      <c r="C6965" s="62" t="s">
        <v>60</v>
      </c>
      <c r="D6965" s="62" t="s">
        <v>382</v>
      </c>
      <c r="E6965" s="62" t="s">
        <v>382</v>
      </c>
      <c r="F6965" s="63" t="s">
        <v>730</v>
      </c>
      <c r="G6965" s="64" t="n">
        <v>586.163</v>
      </c>
      <c r="H6965" s="62" t="s">
        <v>138</v>
      </c>
    </row>
    <row r="6966" customFormat="false" ht="15" hidden="false" customHeight="false" outlineLevel="0" collapsed="false">
      <c r="A6966" s="62" t="n">
        <v>1</v>
      </c>
      <c r="B6966" s="62" t="s">
        <v>387</v>
      </c>
      <c r="C6966" s="62" t="s">
        <v>60</v>
      </c>
      <c r="D6966" s="62" t="s">
        <v>382</v>
      </c>
      <c r="E6966" s="62" t="s">
        <v>382</v>
      </c>
      <c r="F6966" s="63" t="s">
        <v>730</v>
      </c>
      <c r="G6966" s="64" t="n">
        <v>471.163</v>
      </c>
      <c r="H6966" s="62" t="s">
        <v>138</v>
      </c>
    </row>
    <row r="6967" customFormat="false" ht="15" hidden="false" customHeight="false" outlineLevel="0" collapsed="false">
      <c r="A6967" s="62" t="n">
        <v>1</v>
      </c>
      <c r="B6967" s="62" t="s">
        <v>388</v>
      </c>
      <c r="C6967" s="62" t="s">
        <v>60</v>
      </c>
      <c r="D6967" s="62" t="s">
        <v>382</v>
      </c>
      <c r="E6967" s="62" t="s">
        <v>382</v>
      </c>
      <c r="F6967" s="63" t="s">
        <v>730</v>
      </c>
      <c r="G6967" s="64" t="n">
        <v>426.3</v>
      </c>
      <c r="H6967" s="62" t="s">
        <v>138</v>
      </c>
    </row>
    <row r="6968" customFormat="false" ht="15" hidden="false" customHeight="false" outlineLevel="0" collapsed="false">
      <c r="A6968" s="62" t="n">
        <v>1</v>
      </c>
      <c r="B6968" s="62" t="s">
        <v>381</v>
      </c>
      <c r="C6968" s="62" t="s">
        <v>60</v>
      </c>
      <c r="D6968" s="62" t="s">
        <v>382</v>
      </c>
      <c r="E6968" s="62" t="s">
        <v>382</v>
      </c>
      <c r="F6968" s="63" t="s">
        <v>731</v>
      </c>
      <c r="G6968" s="64" t="n">
        <v>270.244</v>
      </c>
      <c r="H6968" s="62" t="s">
        <v>138</v>
      </c>
    </row>
    <row r="6969" customFormat="false" ht="15" hidden="false" customHeight="false" outlineLevel="0" collapsed="false">
      <c r="A6969" s="62" t="n">
        <v>1</v>
      </c>
      <c r="B6969" s="62" t="s">
        <v>383</v>
      </c>
      <c r="C6969" s="62" t="s">
        <v>60</v>
      </c>
      <c r="D6969" s="62" t="s">
        <v>382</v>
      </c>
      <c r="E6969" s="62" t="s">
        <v>382</v>
      </c>
      <c r="F6969" s="63" t="s">
        <v>731</v>
      </c>
      <c r="G6969" s="64" t="n">
        <v>127.89</v>
      </c>
      <c r="H6969" s="62" t="s">
        <v>138</v>
      </c>
    </row>
    <row r="6970" customFormat="false" ht="15" hidden="false" customHeight="false" outlineLevel="0" collapsed="false">
      <c r="A6970" s="62" t="n">
        <v>1</v>
      </c>
      <c r="B6970" s="62" t="s">
        <v>384</v>
      </c>
      <c r="C6970" s="62" t="s">
        <v>60</v>
      </c>
      <c r="D6970" s="62" t="s">
        <v>382</v>
      </c>
      <c r="E6970" s="62" t="s">
        <v>382</v>
      </c>
      <c r="F6970" s="63" t="s">
        <v>731</v>
      </c>
      <c r="G6970" s="64" t="n">
        <v>0</v>
      </c>
      <c r="H6970" s="62" t="s">
        <v>138</v>
      </c>
    </row>
    <row r="6971" customFormat="false" ht="15" hidden="false" customHeight="false" outlineLevel="0" collapsed="false">
      <c r="A6971" s="62" t="n">
        <v>1</v>
      </c>
      <c r="B6971" s="62" t="s">
        <v>385</v>
      </c>
      <c r="C6971" s="62" t="s">
        <v>60</v>
      </c>
      <c r="D6971" s="62" t="s">
        <v>382</v>
      </c>
      <c r="E6971" s="62" t="s">
        <v>382</v>
      </c>
      <c r="F6971" s="63" t="s">
        <v>731</v>
      </c>
      <c r="G6971" s="64" t="n">
        <v>0</v>
      </c>
      <c r="H6971" s="62" t="s">
        <v>138</v>
      </c>
    </row>
    <row r="6972" customFormat="false" ht="15" hidden="false" customHeight="false" outlineLevel="0" collapsed="false">
      <c r="A6972" s="62" t="n">
        <v>1</v>
      </c>
      <c r="B6972" s="62" t="s">
        <v>386</v>
      </c>
      <c r="C6972" s="62" t="s">
        <v>60</v>
      </c>
      <c r="D6972" s="62" t="s">
        <v>382</v>
      </c>
      <c r="E6972" s="62" t="s">
        <v>382</v>
      </c>
      <c r="F6972" s="63" t="s">
        <v>731</v>
      </c>
      <c r="G6972" s="64" t="n">
        <v>0</v>
      </c>
      <c r="H6972" s="62" t="s">
        <v>138</v>
      </c>
    </row>
    <row r="6973" customFormat="false" ht="15" hidden="false" customHeight="false" outlineLevel="0" collapsed="false">
      <c r="A6973" s="62" t="n">
        <v>1</v>
      </c>
      <c r="B6973" s="62" t="s">
        <v>387</v>
      </c>
      <c r="C6973" s="62" t="s">
        <v>60</v>
      </c>
      <c r="D6973" s="62" t="s">
        <v>382</v>
      </c>
      <c r="E6973" s="62" t="s">
        <v>382</v>
      </c>
      <c r="F6973" s="63" t="s">
        <v>731</v>
      </c>
      <c r="G6973" s="64" t="n">
        <v>117.791</v>
      </c>
      <c r="H6973" s="62" t="s">
        <v>138</v>
      </c>
    </row>
    <row r="6974" customFormat="false" ht="15" hidden="false" customHeight="false" outlineLevel="0" collapsed="false">
      <c r="A6974" s="62" t="n">
        <v>1</v>
      </c>
      <c r="B6974" s="62" t="s">
        <v>388</v>
      </c>
      <c r="C6974" s="62" t="s">
        <v>60</v>
      </c>
      <c r="D6974" s="62" t="s">
        <v>382</v>
      </c>
      <c r="E6974" s="62" t="s">
        <v>382</v>
      </c>
      <c r="F6974" s="63" t="s">
        <v>731</v>
      </c>
      <c r="G6974" s="64" t="n">
        <v>79.931</v>
      </c>
      <c r="H6974" s="62" t="s">
        <v>138</v>
      </c>
    </row>
    <row r="6975" customFormat="false" ht="15" hidden="false" customHeight="false" outlineLevel="0" collapsed="false">
      <c r="A6975" s="62" t="n">
        <v>1</v>
      </c>
      <c r="B6975" s="62" t="s">
        <v>381</v>
      </c>
      <c r="C6975" s="62" t="s">
        <v>60</v>
      </c>
      <c r="D6975" s="62" t="s">
        <v>382</v>
      </c>
      <c r="E6975" s="62" t="s">
        <v>382</v>
      </c>
      <c r="F6975" s="63" t="s">
        <v>732</v>
      </c>
      <c r="G6975" s="64" t="n">
        <v>0</v>
      </c>
      <c r="H6975" s="62" t="s">
        <v>138</v>
      </c>
    </row>
    <row r="6976" customFormat="false" ht="15" hidden="false" customHeight="false" outlineLevel="0" collapsed="false">
      <c r="A6976" s="62" t="n">
        <v>1</v>
      </c>
      <c r="B6976" s="62" t="s">
        <v>383</v>
      </c>
      <c r="C6976" s="62" t="s">
        <v>60</v>
      </c>
      <c r="D6976" s="62" t="s">
        <v>382</v>
      </c>
      <c r="E6976" s="62" t="s">
        <v>382</v>
      </c>
      <c r="F6976" s="63" t="s">
        <v>732</v>
      </c>
      <c r="G6976" s="64" t="n">
        <v>0</v>
      </c>
      <c r="H6976" s="62" t="s">
        <v>138</v>
      </c>
    </row>
    <row r="6977" customFormat="false" ht="15" hidden="false" customHeight="false" outlineLevel="0" collapsed="false">
      <c r="A6977" s="62" t="n">
        <v>1</v>
      </c>
      <c r="B6977" s="62" t="s">
        <v>384</v>
      </c>
      <c r="C6977" s="62" t="s">
        <v>60</v>
      </c>
      <c r="D6977" s="62" t="s">
        <v>382</v>
      </c>
      <c r="E6977" s="62" t="s">
        <v>382</v>
      </c>
      <c r="F6977" s="63" t="s">
        <v>732</v>
      </c>
      <c r="G6977" s="64" t="n">
        <v>0</v>
      </c>
      <c r="H6977" s="62" t="s">
        <v>138</v>
      </c>
    </row>
    <row r="6978" customFormat="false" ht="15" hidden="false" customHeight="false" outlineLevel="0" collapsed="false">
      <c r="A6978" s="62" t="n">
        <v>1</v>
      </c>
      <c r="B6978" s="62" t="s">
        <v>385</v>
      </c>
      <c r="C6978" s="62" t="s">
        <v>60</v>
      </c>
      <c r="D6978" s="62" t="s">
        <v>382</v>
      </c>
      <c r="E6978" s="62" t="s">
        <v>382</v>
      </c>
      <c r="F6978" s="63" t="s">
        <v>732</v>
      </c>
      <c r="G6978" s="64" t="n">
        <v>0</v>
      </c>
      <c r="H6978" s="62" t="s">
        <v>138</v>
      </c>
    </row>
    <row r="6979" customFormat="false" ht="15" hidden="false" customHeight="false" outlineLevel="0" collapsed="false">
      <c r="A6979" s="62" t="n">
        <v>1</v>
      </c>
      <c r="B6979" s="62" t="s">
        <v>386</v>
      </c>
      <c r="C6979" s="62" t="s">
        <v>60</v>
      </c>
      <c r="D6979" s="62" t="s">
        <v>382</v>
      </c>
      <c r="E6979" s="62" t="s">
        <v>382</v>
      </c>
      <c r="F6979" s="63" t="s">
        <v>732</v>
      </c>
      <c r="G6979" s="64" t="n">
        <v>0</v>
      </c>
      <c r="H6979" s="62" t="s">
        <v>138</v>
      </c>
    </row>
    <row r="6980" customFormat="false" ht="15" hidden="false" customHeight="false" outlineLevel="0" collapsed="false">
      <c r="A6980" s="62" t="n">
        <v>1</v>
      </c>
      <c r="B6980" s="62" t="s">
        <v>387</v>
      </c>
      <c r="C6980" s="62" t="s">
        <v>60</v>
      </c>
      <c r="D6980" s="62" t="s">
        <v>382</v>
      </c>
      <c r="E6980" s="62" t="s">
        <v>382</v>
      </c>
      <c r="F6980" s="63" t="s">
        <v>732</v>
      </c>
      <c r="G6980" s="64" t="n">
        <v>0</v>
      </c>
      <c r="H6980" s="62" t="s">
        <v>138</v>
      </c>
    </row>
    <row r="6981" customFormat="false" ht="15" hidden="false" customHeight="false" outlineLevel="0" collapsed="false">
      <c r="A6981" s="62" t="n">
        <v>1</v>
      </c>
      <c r="B6981" s="62" t="s">
        <v>388</v>
      </c>
      <c r="C6981" s="62" t="s">
        <v>60</v>
      </c>
      <c r="D6981" s="62" t="s">
        <v>382</v>
      </c>
      <c r="E6981" s="62" t="s">
        <v>382</v>
      </c>
      <c r="F6981" s="63" t="s">
        <v>732</v>
      </c>
      <c r="G6981" s="64" t="n">
        <v>0</v>
      </c>
      <c r="H6981" s="62" t="s">
        <v>138</v>
      </c>
    </row>
    <row r="6982" customFormat="false" ht="15" hidden="false" customHeight="false" outlineLevel="0" collapsed="false">
      <c r="A6982" s="62" t="n">
        <v>1</v>
      </c>
      <c r="B6982" s="62" t="s">
        <v>381</v>
      </c>
      <c r="C6982" s="62" t="s">
        <v>60</v>
      </c>
      <c r="D6982" s="62" t="s">
        <v>382</v>
      </c>
      <c r="E6982" s="62" t="s">
        <v>382</v>
      </c>
      <c r="F6982" s="63" t="s">
        <v>733</v>
      </c>
      <c r="G6982" s="64" t="n">
        <v>0</v>
      </c>
      <c r="H6982" s="62" t="s">
        <v>138</v>
      </c>
    </row>
    <row r="6983" customFormat="false" ht="15" hidden="false" customHeight="false" outlineLevel="0" collapsed="false">
      <c r="A6983" s="62" t="n">
        <v>1</v>
      </c>
      <c r="B6983" s="62" t="s">
        <v>383</v>
      </c>
      <c r="C6983" s="62" t="s">
        <v>60</v>
      </c>
      <c r="D6983" s="62" t="s">
        <v>382</v>
      </c>
      <c r="E6983" s="62" t="s">
        <v>382</v>
      </c>
      <c r="F6983" s="63" t="s">
        <v>733</v>
      </c>
      <c r="G6983" s="64" t="n">
        <v>0</v>
      </c>
      <c r="H6983" s="62" t="s">
        <v>138</v>
      </c>
    </row>
    <row r="6984" customFormat="false" ht="15" hidden="false" customHeight="false" outlineLevel="0" collapsed="false">
      <c r="A6984" s="62" t="n">
        <v>1</v>
      </c>
      <c r="B6984" s="62" t="s">
        <v>384</v>
      </c>
      <c r="C6984" s="62" t="s">
        <v>60</v>
      </c>
      <c r="D6984" s="62" t="s">
        <v>382</v>
      </c>
      <c r="E6984" s="62" t="s">
        <v>382</v>
      </c>
      <c r="F6984" s="63" t="s">
        <v>733</v>
      </c>
      <c r="G6984" s="64" t="n">
        <v>0</v>
      </c>
      <c r="H6984" s="62" t="s">
        <v>138</v>
      </c>
    </row>
    <row r="6985" customFormat="false" ht="15" hidden="false" customHeight="false" outlineLevel="0" collapsed="false">
      <c r="A6985" s="62" t="n">
        <v>1</v>
      </c>
      <c r="B6985" s="62" t="s">
        <v>385</v>
      </c>
      <c r="C6985" s="62" t="s">
        <v>60</v>
      </c>
      <c r="D6985" s="62" t="s">
        <v>382</v>
      </c>
      <c r="E6985" s="62" t="s">
        <v>382</v>
      </c>
      <c r="F6985" s="63" t="s">
        <v>733</v>
      </c>
      <c r="G6985" s="64" t="n">
        <v>0</v>
      </c>
      <c r="H6985" s="62" t="s">
        <v>138</v>
      </c>
    </row>
    <row r="6986" customFormat="false" ht="15" hidden="false" customHeight="false" outlineLevel="0" collapsed="false">
      <c r="A6986" s="62" t="n">
        <v>1</v>
      </c>
      <c r="B6986" s="62" t="s">
        <v>386</v>
      </c>
      <c r="C6986" s="62" t="s">
        <v>60</v>
      </c>
      <c r="D6986" s="62" t="s">
        <v>382</v>
      </c>
      <c r="E6986" s="62" t="s">
        <v>382</v>
      </c>
      <c r="F6986" s="63" t="s">
        <v>733</v>
      </c>
      <c r="G6986" s="64" t="n">
        <v>0</v>
      </c>
      <c r="H6986" s="62" t="s">
        <v>138</v>
      </c>
    </row>
    <row r="6987" customFormat="false" ht="15" hidden="false" customHeight="false" outlineLevel="0" collapsed="false">
      <c r="A6987" s="62" t="n">
        <v>1</v>
      </c>
      <c r="B6987" s="62" t="s">
        <v>387</v>
      </c>
      <c r="C6987" s="62" t="s">
        <v>60</v>
      </c>
      <c r="D6987" s="62" t="s">
        <v>382</v>
      </c>
      <c r="E6987" s="62" t="s">
        <v>382</v>
      </c>
      <c r="F6987" s="63" t="s">
        <v>733</v>
      </c>
      <c r="G6987" s="64" t="n">
        <v>0</v>
      </c>
      <c r="H6987" s="62" t="s">
        <v>138</v>
      </c>
    </row>
    <row r="6988" customFormat="false" ht="15" hidden="false" customHeight="false" outlineLevel="0" collapsed="false">
      <c r="A6988" s="62" t="n">
        <v>1</v>
      </c>
      <c r="B6988" s="62" t="s">
        <v>388</v>
      </c>
      <c r="C6988" s="62" t="s">
        <v>60</v>
      </c>
      <c r="D6988" s="62" t="s">
        <v>382</v>
      </c>
      <c r="E6988" s="62" t="s">
        <v>382</v>
      </c>
      <c r="F6988" s="63" t="s">
        <v>733</v>
      </c>
      <c r="G6988" s="64" t="n">
        <v>0</v>
      </c>
      <c r="H6988" s="62" t="s">
        <v>138</v>
      </c>
    </row>
    <row r="6989" customFormat="false" ht="15" hidden="false" customHeight="false" outlineLevel="0" collapsed="false">
      <c r="A6989" s="62" t="n">
        <v>1</v>
      </c>
      <c r="B6989" s="62" t="s">
        <v>381</v>
      </c>
      <c r="C6989" s="62" t="s">
        <v>60</v>
      </c>
      <c r="D6989" s="62" t="s">
        <v>382</v>
      </c>
      <c r="E6989" s="62" t="s">
        <v>382</v>
      </c>
      <c r="F6989" s="63" t="s">
        <v>864</v>
      </c>
      <c r="G6989" s="64" t="n">
        <v>353.651</v>
      </c>
      <c r="H6989" s="62" t="s">
        <v>138</v>
      </c>
    </row>
    <row r="6990" customFormat="false" ht="15" hidden="false" customHeight="false" outlineLevel="0" collapsed="false">
      <c r="A6990" s="62" t="n">
        <v>1</v>
      </c>
      <c r="B6990" s="62" t="s">
        <v>383</v>
      </c>
      <c r="C6990" s="62" t="s">
        <v>60</v>
      </c>
      <c r="D6990" s="62" t="s">
        <v>382</v>
      </c>
      <c r="E6990" s="62" t="s">
        <v>382</v>
      </c>
      <c r="F6990" s="63" t="s">
        <v>864</v>
      </c>
      <c r="G6990" s="64" t="n">
        <v>311.905</v>
      </c>
      <c r="H6990" s="62" t="s">
        <v>138</v>
      </c>
    </row>
    <row r="6991" customFormat="false" ht="15" hidden="false" customHeight="false" outlineLevel="0" collapsed="false">
      <c r="A6991" s="62" t="n">
        <v>1</v>
      </c>
      <c r="B6991" s="62" t="s">
        <v>384</v>
      </c>
      <c r="C6991" s="62" t="s">
        <v>60</v>
      </c>
      <c r="D6991" s="62" t="s">
        <v>382</v>
      </c>
      <c r="E6991" s="62" t="s">
        <v>382</v>
      </c>
      <c r="F6991" s="63" t="s">
        <v>864</v>
      </c>
      <c r="G6991" s="64" t="n">
        <v>541.291</v>
      </c>
      <c r="H6991" s="62" t="s">
        <v>138</v>
      </c>
    </row>
    <row r="6992" customFormat="false" ht="15" hidden="false" customHeight="false" outlineLevel="0" collapsed="false">
      <c r="A6992" s="62" t="n">
        <v>1</v>
      </c>
      <c r="B6992" s="62" t="s">
        <v>385</v>
      </c>
      <c r="C6992" s="62" t="s">
        <v>60</v>
      </c>
      <c r="D6992" s="62" t="s">
        <v>382</v>
      </c>
      <c r="E6992" s="62" t="s">
        <v>382</v>
      </c>
      <c r="F6992" s="63" t="s">
        <v>864</v>
      </c>
      <c r="G6992" s="64" t="n">
        <v>447.741</v>
      </c>
      <c r="H6992" s="62" t="s">
        <v>138</v>
      </c>
    </row>
    <row r="6993" customFormat="false" ht="15" hidden="false" customHeight="false" outlineLevel="0" collapsed="false">
      <c r="A6993" s="62" t="n">
        <v>1</v>
      </c>
      <c r="B6993" s="62" t="s">
        <v>386</v>
      </c>
      <c r="C6993" s="62" t="s">
        <v>60</v>
      </c>
      <c r="D6993" s="62" t="s">
        <v>382</v>
      </c>
      <c r="E6993" s="62" t="s">
        <v>382</v>
      </c>
      <c r="F6993" s="63" t="s">
        <v>864</v>
      </c>
      <c r="G6993" s="64" t="n">
        <v>350.406</v>
      </c>
      <c r="H6993" s="62" t="s">
        <v>138</v>
      </c>
    </row>
    <row r="6994" customFormat="false" ht="15" hidden="false" customHeight="false" outlineLevel="0" collapsed="false">
      <c r="A6994" s="62" t="n">
        <v>1</v>
      </c>
      <c r="B6994" s="62" t="s">
        <v>387</v>
      </c>
      <c r="C6994" s="62" t="s">
        <v>60</v>
      </c>
      <c r="D6994" s="62" t="s">
        <v>382</v>
      </c>
      <c r="E6994" s="62" t="s">
        <v>382</v>
      </c>
      <c r="F6994" s="63" t="s">
        <v>864</v>
      </c>
      <c r="G6994" s="64" t="n">
        <v>332.453</v>
      </c>
      <c r="H6994" s="62" t="s">
        <v>138</v>
      </c>
    </row>
    <row r="6995" customFormat="false" ht="15" hidden="false" customHeight="false" outlineLevel="0" collapsed="false">
      <c r="A6995" s="62" t="n">
        <v>1</v>
      </c>
      <c r="B6995" s="62" t="s">
        <v>388</v>
      </c>
      <c r="C6995" s="62" t="s">
        <v>60</v>
      </c>
      <c r="D6995" s="62" t="s">
        <v>382</v>
      </c>
      <c r="E6995" s="62" t="s">
        <v>382</v>
      </c>
      <c r="F6995" s="63" t="s">
        <v>864</v>
      </c>
      <c r="G6995" s="64" t="n">
        <v>191.065</v>
      </c>
      <c r="H6995" s="62" t="s">
        <v>138</v>
      </c>
    </row>
    <row r="6996" customFormat="false" ht="15" hidden="false" customHeight="false" outlineLevel="0" collapsed="false">
      <c r="A6996" s="62" t="n">
        <v>1</v>
      </c>
      <c r="B6996" s="62" t="s">
        <v>381</v>
      </c>
      <c r="C6996" s="62" t="s">
        <v>60</v>
      </c>
      <c r="D6996" s="62" t="s">
        <v>382</v>
      </c>
      <c r="E6996" s="62" t="s">
        <v>382</v>
      </c>
      <c r="F6996" s="63" t="s">
        <v>865</v>
      </c>
      <c r="G6996" s="64" t="n">
        <v>235.767</v>
      </c>
      <c r="H6996" s="62" t="s">
        <v>138</v>
      </c>
    </row>
    <row r="6997" customFormat="false" ht="15" hidden="false" customHeight="false" outlineLevel="0" collapsed="false">
      <c r="A6997" s="62" t="n">
        <v>1</v>
      </c>
      <c r="B6997" s="62" t="s">
        <v>383</v>
      </c>
      <c r="C6997" s="62" t="s">
        <v>60</v>
      </c>
      <c r="D6997" s="62" t="s">
        <v>382</v>
      </c>
      <c r="E6997" s="62" t="s">
        <v>382</v>
      </c>
      <c r="F6997" s="63" t="s">
        <v>865</v>
      </c>
      <c r="G6997" s="64" t="n">
        <v>200.51</v>
      </c>
      <c r="H6997" s="62" t="s">
        <v>138</v>
      </c>
    </row>
    <row r="6998" customFormat="false" ht="15" hidden="false" customHeight="false" outlineLevel="0" collapsed="false">
      <c r="A6998" s="62" t="n">
        <v>1</v>
      </c>
      <c r="B6998" s="62" t="s">
        <v>387</v>
      </c>
      <c r="C6998" s="62" t="s">
        <v>60</v>
      </c>
      <c r="D6998" s="62" t="s">
        <v>382</v>
      </c>
      <c r="E6998" s="62" t="s">
        <v>382</v>
      </c>
      <c r="F6998" s="63" t="s">
        <v>865</v>
      </c>
      <c r="G6998" s="64" t="n">
        <v>99.354</v>
      </c>
      <c r="H6998" s="62" t="s">
        <v>138</v>
      </c>
    </row>
    <row r="6999" customFormat="false" ht="15" hidden="false" customHeight="false" outlineLevel="0" collapsed="false">
      <c r="A6999" s="62" t="n">
        <v>1</v>
      </c>
      <c r="B6999" s="62" t="s">
        <v>388</v>
      </c>
      <c r="C6999" s="62" t="s">
        <v>60</v>
      </c>
      <c r="D6999" s="62" t="s">
        <v>382</v>
      </c>
      <c r="E6999" s="62" t="s">
        <v>382</v>
      </c>
      <c r="F6999" s="63" t="s">
        <v>865</v>
      </c>
      <c r="G6999" s="64" t="n">
        <v>76.426</v>
      </c>
      <c r="H6999" s="62" t="s">
        <v>138</v>
      </c>
    </row>
    <row r="7000" customFormat="false" ht="15" hidden="false" customHeight="false" outlineLevel="0" collapsed="false">
      <c r="A7000" s="62" t="n">
        <v>1</v>
      </c>
      <c r="B7000" s="62" t="s">
        <v>381</v>
      </c>
      <c r="C7000" s="62" t="s">
        <v>60</v>
      </c>
      <c r="D7000" s="62" t="s">
        <v>382</v>
      </c>
      <c r="E7000" s="62" t="s">
        <v>382</v>
      </c>
      <c r="F7000" s="63" t="s">
        <v>866</v>
      </c>
      <c r="G7000" s="64" t="n">
        <v>486.203</v>
      </c>
      <c r="H7000" s="62" t="s">
        <v>138</v>
      </c>
    </row>
    <row r="7001" customFormat="false" ht="15" hidden="false" customHeight="false" outlineLevel="0" collapsed="false">
      <c r="A7001" s="62" t="n">
        <v>1</v>
      </c>
      <c r="B7001" s="62" t="s">
        <v>383</v>
      </c>
      <c r="C7001" s="62" t="s">
        <v>60</v>
      </c>
      <c r="D7001" s="62" t="s">
        <v>382</v>
      </c>
      <c r="E7001" s="62" t="s">
        <v>382</v>
      </c>
      <c r="F7001" s="63" t="s">
        <v>866</v>
      </c>
      <c r="G7001" s="64" t="n">
        <v>746.953</v>
      </c>
      <c r="H7001" s="62" t="s">
        <v>138</v>
      </c>
    </row>
    <row r="7002" customFormat="false" ht="15" hidden="false" customHeight="false" outlineLevel="0" collapsed="false">
      <c r="A7002" s="62" t="n">
        <v>1</v>
      </c>
      <c r="B7002" s="62" t="s">
        <v>384</v>
      </c>
      <c r="C7002" s="62" t="s">
        <v>60</v>
      </c>
      <c r="D7002" s="62" t="s">
        <v>382</v>
      </c>
      <c r="E7002" s="62" t="s">
        <v>382</v>
      </c>
      <c r="F7002" s="63" t="s">
        <v>866</v>
      </c>
      <c r="G7002" s="64" t="n">
        <v>996.715</v>
      </c>
      <c r="H7002" s="62" t="s">
        <v>138</v>
      </c>
    </row>
    <row r="7003" customFormat="false" ht="15" hidden="false" customHeight="false" outlineLevel="0" collapsed="false">
      <c r="A7003" s="62" t="n">
        <v>1</v>
      </c>
      <c r="B7003" s="62" t="s">
        <v>385</v>
      </c>
      <c r="C7003" s="62" t="s">
        <v>60</v>
      </c>
      <c r="D7003" s="62" t="s">
        <v>382</v>
      </c>
      <c r="E7003" s="62" t="s">
        <v>382</v>
      </c>
      <c r="F7003" s="63" t="s">
        <v>866</v>
      </c>
      <c r="G7003" s="64" t="n">
        <v>563.598</v>
      </c>
      <c r="H7003" s="62" t="s">
        <v>138</v>
      </c>
    </row>
    <row r="7004" customFormat="false" ht="15" hidden="false" customHeight="false" outlineLevel="0" collapsed="false">
      <c r="A7004" s="62" t="n">
        <v>1</v>
      </c>
      <c r="B7004" s="62" t="s">
        <v>386</v>
      </c>
      <c r="C7004" s="62" t="s">
        <v>60</v>
      </c>
      <c r="D7004" s="62" t="s">
        <v>382</v>
      </c>
      <c r="E7004" s="62" t="s">
        <v>382</v>
      </c>
      <c r="F7004" s="63" t="s">
        <v>866</v>
      </c>
      <c r="G7004" s="64" t="n">
        <v>681.345</v>
      </c>
      <c r="H7004" s="62" t="s">
        <v>138</v>
      </c>
    </row>
    <row r="7005" customFormat="false" ht="15" hidden="false" customHeight="false" outlineLevel="0" collapsed="false">
      <c r="A7005" s="62" t="n">
        <v>1</v>
      </c>
      <c r="B7005" s="62" t="s">
        <v>387</v>
      </c>
      <c r="C7005" s="62" t="s">
        <v>60</v>
      </c>
      <c r="D7005" s="62" t="s">
        <v>382</v>
      </c>
      <c r="E7005" s="62" t="s">
        <v>382</v>
      </c>
      <c r="F7005" s="63" t="s">
        <v>866</v>
      </c>
      <c r="G7005" s="64" t="n">
        <v>550.368</v>
      </c>
      <c r="H7005" s="62" t="s">
        <v>138</v>
      </c>
    </row>
    <row r="7006" customFormat="false" ht="15" hidden="false" customHeight="false" outlineLevel="0" collapsed="false">
      <c r="A7006" s="62" t="n">
        <v>1</v>
      </c>
      <c r="B7006" s="62" t="s">
        <v>388</v>
      </c>
      <c r="C7006" s="62" t="s">
        <v>60</v>
      </c>
      <c r="D7006" s="62" t="s">
        <v>382</v>
      </c>
      <c r="E7006" s="62" t="s">
        <v>382</v>
      </c>
      <c r="F7006" s="63" t="s">
        <v>866</v>
      </c>
      <c r="G7006" s="64" t="n">
        <v>272.538</v>
      </c>
      <c r="H7006" s="62" t="s">
        <v>138</v>
      </c>
    </row>
    <row r="7007" customFormat="false" ht="15" hidden="false" customHeight="false" outlineLevel="0" collapsed="false">
      <c r="A7007" s="62" t="n">
        <v>1</v>
      </c>
      <c r="B7007" s="62" t="s">
        <v>381</v>
      </c>
      <c r="C7007" s="62" t="s">
        <v>60</v>
      </c>
      <c r="D7007" s="62" t="s">
        <v>382</v>
      </c>
      <c r="E7007" s="62" t="s">
        <v>382</v>
      </c>
      <c r="F7007" s="63" t="s">
        <v>867</v>
      </c>
      <c r="G7007" s="64" t="n">
        <v>555.66</v>
      </c>
      <c r="H7007" s="62" t="s">
        <v>138</v>
      </c>
    </row>
    <row r="7008" customFormat="false" ht="15" hidden="false" customHeight="false" outlineLevel="0" collapsed="false">
      <c r="A7008" s="62" t="n">
        <v>1</v>
      </c>
      <c r="B7008" s="62" t="s">
        <v>383</v>
      </c>
      <c r="C7008" s="62" t="s">
        <v>60</v>
      </c>
      <c r="D7008" s="62" t="s">
        <v>382</v>
      </c>
      <c r="E7008" s="62" t="s">
        <v>382</v>
      </c>
      <c r="F7008" s="63" t="s">
        <v>867</v>
      </c>
      <c r="G7008" s="64" t="n">
        <v>149.658</v>
      </c>
      <c r="H7008" s="62" t="s">
        <v>138</v>
      </c>
    </row>
    <row r="7009" customFormat="false" ht="15" hidden="false" customHeight="false" outlineLevel="0" collapsed="false">
      <c r="A7009" s="62" t="n">
        <v>1</v>
      </c>
      <c r="B7009" s="62" t="s">
        <v>387</v>
      </c>
      <c r="C7009" s="62" t="s">
        <v>60</v>
      </c>
      <c r="D7009" s="62" t="s">
        <v>382</v>
      </c>
      <c r="E7009" s="62" t="s">
        <v>382</v>
      </c>
      <c r="F7009" s="63" t="s">
        <v>867</v>
      </c>
      <c r="G7009" s="64" t="n">
        <v>158.231</v>
      </c>
      <c r="H7009" s="62" t="s">
        <v>138</v>
      </c>
    </row>
    <row r="7010" customFormat="false" ht="15" hidden="false" customHeight="false" outlineLevel="0" collapsed="false">
      <c r="A7010" s="62" t="n">
        <v>1</v>
      </c>
      <c r="B7010" s="62" t="s">
        <v>388</v>
      </c>
      <c r="C7010" s="62" t="s">
        <v>60</v>
      </c>
      <c r="D7010" s="62" t="s">
        <v>382</v>
      </c>
      <c r="E7010" s="62" t="s">
        <v>382</v>
      </c>
      <c r="F7010" s="63" t="s">
        <v>867</v>
      </c>
      <c r="G7010" s="64" t="n">
        <v>68.135</v>
      </c>
      <c r="H7010" s="62" t="s">
        <v>138</v>
      </c>
    </row>
    <row r="7011" customFormat="false" ht="15" hidden="false" customHeight="false" outlineLevel="0" collapsed="false">
      <c r="A7011" s="62" t="n">
        <v>1</v>
      </c>
      <c r="B7011" s="62" t="s">
        <v>381</v>
      </c>
      <c r="C7011" s="62" t="s">
        <v>60</v>
      </c>
      <c r="D7011" s="62" t="s">
        <v>382</v>
      </c>
      <c r="E7011" s="62" t="s">
        <v>382</v>
      </c>
      <c r="F7011" s="63" t="s">
        <v>734</v>
      </c>
      <c r="G7011" s="64" t="n">
        <v>20000</v>
      </c>
      <c r="H7011" s="62" t="s">
        <v>138</v>
      </c>
    </row>
    <row r="7012" customFormat="false" ht="15" hidden="false" customHeight="false" outlineLevel="0" collapsed="false">
      <c r="A7012" s="62" t="n">
        <v>1</v>
      </c>
      <c r="B7012" s="62" t="s">
        <v>383</v>
      </c>
      <c r="C7012" s="62" t="s">
        <v>60</v>
      </c>
      <c r="D7012" s="62" t="s">
        <v>382</v>
      </c>
      <c r="E7012" s="62" t="s">
        <v>382</v>
      </c>
      <c r="F7012" s="63" t="s">
        <v>734</v>
      </c>
      <c r="G7012" s="64" t="n">
        <v>26048</v>
      </c>
      <c r="H7012" s="62" t="s">
        <v>138</v>
      </c>
    </row>
    <row r="7013" customFormat="false" ht="15" hidden="false" customHeight="false" outlineLevel="0" collapsed="false">
      <c r="A7013" s="62" t="n">
        <v>1</v>
      </c>
      <c r="B7013" s="62" t="s">
        <v>384</v>
      </c>
      <c r="C7013" s="62" t="s">
        <v>60</v>
      </c>
      <c r="D7013" s="62" t="s">
        <v>382</v>
      </c>
      <c r="E7013" s="62" t="s">
        <v>382</v>
      </c>
      <c r="F7013" s="63" t="s">
        <v>734</v>
      </c>
      <c r="G7013" s="64" t="n">
        <v>23000</v>
      </c>
      <c r="H7013" s="62" t="s">
        <v>138</v>
      </c>
    </row>
    <row r="7014" customFormat="false" ht="15" hidden="false" customHeight="false" outlineLevel="0" collapsed="false">
      <c r="A7014" s="62" t="n">
        <v>1</v>
      </c>
      <c r="B7014" s="62" t="s">
        <v>385</v>
      </c>
      <c r="C7014" s="62" t="s">
        <v>60</v>
      </c>
      <c r="D7014" s="62" t="s">
        <v>382</v>
      </c>
      <c r="E7014" s="62" t="s">
        <v>382</v>
      </c>
      <c r="F7014" s="63" t="s">
        <v>734</v>
      </c>
      <c r="G7014" s="64" t="n">
        <v>22000</v>
      </c>
      <c r="H7014" s="62" t="s">
        <v>138</v>
      </c>
    </row>
    <row r="7015" customFormat="false" ht="15" hidden="false" customHeight="false" outlineLevel="0" collapsed="false">
      <c r="A7015" s="62" t="n">
        <v>1</v>
      </c>
      <c r="B7015" s="62" t="s">
        <v>386</v>
      </c>
      <c r="C7015" s="62" t="s">
        <v>60</v>
      </c>
      <c r="D7015" s="62" t="s">
        <v>382</v>
      </c>
      <c r="E7015" s="62" t="s">
        <v>382</v>
      </c>
      <c r="F7015" s="63" t="s">
        <v>734</v>
      </c>
      <c r="G7015" s="64" t="n">
        <v>24500</v>
      </c>
      <c r="H7015" s="62" t="s">
        <v>138</v>
      </c>
    </row>
    <row r="7016" customFormat="false" ht="15" hidden="false" customHeight="false" outlineLevel="0" collapsed="false">
      <c r="A7016" s="62" t="n">
        <v>1</v>
      </c>
      <c r="B7016" s="62" t="s">
        <v>387</v>
      </c>
      <c r="C7016" s="62" t="s">
        <v>60</v>
      </c>
      <c r="D7016" s="62" t="s">
        <v>382</v>
      </c>
      <c r="E7016" s="62" t="s">
        <v>382</v>
      </c>
      <c r="F7016" s="63" t="s">
        <v>734</v>
      </c>
      <c r="G7016" s="64" t="n">
        <v>27000</v>
      </c>
      <c r="H7016" s="62" t="s">
        <v>138</v>
      </c>
    </row>
    <row r="7017" customFormat="false" ht="15" hidden="false" customHeight="false" outlineLevel="0" collapsed="false">
      <c r="A7017" s="62" t="n">
        <v>1</v>
      </c>
      <c r="B7017" s="62" t="s">
        <v>388</v>
      </c>
      <c r="C7017" s="62" t="s">
        <v>60</v>
      </c>
      <c r="D7017" s="62" t="s">
        <v>382</v>
      </c>
      <c r="E7017" s="62" t="s">
        <v>382</v>
      </c>
      <c r="F7017" s="63" t="s">
        <v>734</v>
      </c>
      <c r="G7017" s="64" t="n">
        <v>21690</v>
      </c>
      <c r="H7017" s="62" t="s">
        <v>138</v>
      </c>
    </row>
    <row r="7018" customFormat="false" ht="15" hidden="false" customHeight="false" outlineLevel="0" collapsed="false">
      <c r="A7018" s="62" t="n">
        <v>1</v>
      </c>
      <c r="B7018" s="62" t="s">
        <v>381</v>
      </c>
      <c r="C7018" s="62" t="s">
        <v>60</v>
      </c>
      <c r="D7018" s="62" t="s">
        <v>382</v>
      </c>
      <c r="E7018" s="62" t="s">
        <v>382</v>
      </c>
      <c r="F7018" s="63" t="s">
        <v>735</v>
      </c>
      <c r="G7018" s="64" t="n">
        <v>25900</v>
      </c>
      <c r="H7018" s="62" t="s">
        <v>138</v>
      </c>
    </row>
    <row r="7019" customFormat="false" ht="15" hidden="false" customHeight="false" outlineLevel="0" collapsed="false">
      <c r="A7019" s="62" t="n">
        <v>1</v>
      </c>
      <c r="B7019" s="62" t="s">
        <v>383</v>
      </c>
      <c r="C7019" s="62" t="s">
        <v>60</v>
      </c>
      <c r="D7019" s="62" t="s">
        <v>382</v>
      </c>
      <c r="E7019" s="62" t="s">
        <v>382</v>
      </c>
      <c r="F7019" s="63" t="s">
        <v>735</v>
      </c>
      <c r="G7019" s="64" t="n">
        <v>36737</v>
      </c>
      <c r="H7019" s="62" t="s">
        <v>138</v>
      </c>
    </row>
    <row r="7020" customFormat="false" ht="15" hidden="false" customHeight="false" outlineLevel="0" collapsed="false">
      <c r="A7020" s="62" t="n">
        <v>1</v>
      </c>
      <c r="B7020" s="62" t="s">
        <v>384</v>
      </c>
      <c r="C7020" s="62" t="s">
        <v>60</v>
      </c>
      <c r="D7020" s="62" t="s">
        <v>382</v>
      </c>
      <c r="E7020" s="62" t="s">
        <v>382</v>
      </c>
      <c r="F7020" s="63" t="s">
        <v>735</v>
      </c>
      <c r="G7020" s="64" t="n">
        <v>0</v>
      </c>
      <c r="H7020" s="62" t="s">
        <v>138</v>
      </c>
    </row>
    <row r="7021" customFormat="false" ht="15" hidden="false" customHeight="false" outlineLevel="0" collapsed="false">
      <c r="A7021" s="62" t="n">
        <v>1</v>
      </c>
      <c r="B7021" s="62" t="s">
        <v>385</v>
      </c>
      <c r="C7021" s="62" t="s">
        <v>60</v>
      </c>
      <c r="D7021" s="62" t="s">
        <v>382</v>
      </c>
      <c r="E7021" s="62" t="s">
        <v>382</v>
      </c>
      <c r="F7021" s="63" t="s">
        <v>735</v>
      </c>
      <c r="G7021" s="64" t="n">
        <v>0</v>
      </c>
      <c r="H7021" s="62" t="s">
        <v>138</v>
      </c>
    </row>
    <row r="7022" customFormat="false" ht="15" hidden="false" customHeight="false" outlineLevel="0" collapsed="false">
      <c r="A7022" s="62" t="n">
        <v>1</v>
      </c>
      <c r="B7022" s="62" t="s">
        <v>386</v>
      </c>
      <c r="C7022" s="62" t="s">
        <v>60</v>
      </c>
      <c r="D7022" s="62" t="s">
        <v>382</v>
      </c>
      <c r="E7022" s="62" t="s">
        <v>382</v>
      </c>
      <c r="F7022" s="63" t="s">
        <v>735</v>
      </c>
      <c r="G7022" s="64" t="n">
        <v>0</v>
      </c>
      <c r="H7022" s="62" t="s">
        <v>138</v>
      </c>
    </row>
    <row r="7023" customFormat="false" ht="15" hidden="false" customHeight="false" outlineLevel="0" collapsed="false">
      <c r="A7023" s="62" t="n">
        <v>1</v>
      </c>
      <c r="B7023" s="62" t="s">
        <v>387</v>
      </c>
      <c r="C7023" s="62" t="s">
        <v>60</v>
      </c>
      <c r="D7023" s="62" t="s">
        <v>382</v>
      </c>
      <c r="E7023" s="62" t="s">
        <v>382</v>
      </c>
      <c r="F7023" s="63" t="s">
        <v>735</v>
      </c>
      <c r="G7023" s="64" t="n">
        <v>34000</v>
      </c>
      <c r="H7023" s="62" t="s">
        <v>138</v>
      </c>
    </row>
    <row r="7024" customFormat="false" ht="15" hidden="false" customHeight="false" outlineLevel="0" collapsed="false">
      <c r="A7024" s="62" t="n">
        <v>1</v>
      </c>
      <c r="B7024" s="62" t="s">
        <v>388</v>
      </c>
      <c r="C7024" s="62" t="s">
        <v>60</v>
      </c>
      <c r="D7024" s="62" t="s">
        <v>382</v>
      </c>
      <c r="E7024" s="62" t="s">
        <v>382</v>
      </c>
      <c r="F7024" s="63" t="s">
        <v>735</v>
      </c>
      <c r="G7024" s="64" t="n">
        <v>28626</v>
      </c>
      <c r="H7024" s="62" t="s">
        <v>138</v>
      </c>
    </row>
    <row r="7025" customFormat="false" ht="15" hidden="false" customHeight="false" outlineLevel="0" collapsed="false">
      <c r="A7025" s="62" t="n">
        <v>1</v>
      </c>
      <c r="B7025" s="62" t="s">
        <v>381</v>
      </c>
      <c r="C7025" s="62" t="s">
        <v>60</v>
      </c>
      <c r="D7025" s="62" t="s">
        <v>382</v>
      </c>
      <c r="E7025" s="62" t="s">
        <v>382</v>
      </c>
      <c r="F7025" s="63" t="s">
        <v>736</v>
      </c>
      <c r="G7025" s="64" t="n">
        <v>0</v>
      </c>
      <c r="H7025" s="62" t="s">
        <v>138</v>
      </c>
    </row>
    <row r="7026" customFormat="false" ht="15" hidden="false" customHeight="false" outlineLevel="0" collapsed="false">
      <c r="A7026" s="62" t="n">
        <v>1</v>
      </c>
      <c r="B7026" s="62" t="s">
        <v>383</v>
      </c>
      <c r="C7026" s="62" t="s">
        <v>60</v>
      </c>
      <c r="D7026" s="62" t="s">
        <v>382</v>
      </c>
      <c r="E7026" s="62" t="s">
        <v>382</v>
      </c>
      <c r="F7026" s="63" t="s">
        <v>736</v>
      </c>
      <c r="G7026" s="64" t="n">
        <v>0</v>
      </c>
      <c r="H7026" s="62" t="s">
        <v>138</v>
      </c>
    </row>
    <row r="7027" customFormat="false" ht="15" hidden="false" customHeight="false" outlineLevel="0" collapsed="false">
      <c r="A7027" s="62" t="n">
        <v>1</v>
      </c>
      <c r="B7027" s="62" t="s">
        <v>384</v>
      </c>
      <c r="C7027" s="62" t="s">
        <v>60</v>
      </c>
      <c r="D7027" s="62" t="s">
        <v>382</v>
      </c>
      <c r="E7027" s="62" t="s">
        <v>382</v>
      </c>
      <c r="F7027" s="63" t="s">
        <v>736</v>
      </c>
      <c r="G7027" s="64" t="n">
        <v>0</v>
      </c>
      <c r="H7027" s="62" t="s">
        <v>138</v>
      </c>
    </row>
    <row r="7028" customFormat="false" ht="15" hidden="false" customHeight="false" outlineLevel="0" collapsed="false">
      <c r="A7028" s="62" t="n">
        <v>1</v>
      </c>
      <c r="B7028" s="62" t="s">
        <v>385</v>
      </c>
      <c r="C7028" s="62" t="s">
        <v>60</v>
      </c>
      <c r="D7028" s="62" t="s">
        <v>382</v>
      </c>
      <c r="E7028" s="62" t="s">
        <v>382</v>
      </c>
      <c r="F7028" s="63" t="s">
        <v>736</v>
      </c>
      <c r="G7028" s="64" t="n">
        <v>0</v>
      </c>
      <c r="H7028" s="62" t="s">
        <v>138</v>
      </c>
    </row>
    <row r="7029" customFormat="false" ht="15" hidden="false" customHeight="false" outlineLevel="0" collapsed="false">
      <c r="A7029" s="62" t="n">
        <v>1</v>
      </c>
      <c r="B7029" s="62" t="s">
        <v>386</v>
      </c>
      <c r="C7029" s="62" t="s">
        <v>60</v>
      </c>
      <c r="D7029" s="62" t="s">
        <v>382</v>
      </c>
      <c r="E7029" s="62" t="s">
        <v>382</v>
      </c>
      <c r="F7029" s="63" t="s">
        <v>736</v>
      </c>
      <c r="G7029" s="64" t="n">
        <v>0</v>
      </c>
      <c r="H7029" s="62" t="s">
        <v>138</v>
      </c>
    </row>
    <row r="7030" customFormat="false" ht="15" hidden="false" customHeight="false" outlineLevel="0" collapsed="false">
      <c r="A7030" s="62" t="n">
        <v>1</v>
      </c>
      <c r="B7030" s="62" t="s">
        <v>387</v>
      </c>
      <c r="C7030" s="62" t="s">
        <v>60</v>
      </c>
      <c r="D7030" s="62" t="s">
        <v>382</v>
      </c>
      <c r="E7030" s="62" t="s">
        <v>382</v>
      </c>
      <c r="F7030" s="63" t="s">
        <v>736</v>
      </c>
      <c r="G7030" s="64" t="n">
        <v>0</v>
      </c>
      <c r="H7030" s="62" t="s">
        <v>138</v>
      </c>
    </row>
    <row r="7031" customFormat="false" ht="15" hidden="false" customHeight="false" outlineLevel="0" collapsed="false">
      <c r="A7031" s="62" t="n">
        <v>1</v>
      </c>
      <c r="B7031" s="62" t="s">
        <v>388</v>
      </c>
      <c r="C7031" s="62" t="s">
        <v>60</v>
      </c>
      <c r="D7031" s="62" t="s">
        <v>382</v>
      </c>
      <c r="E7031" s="62" t="s">
        <v>382</v>
      </c>
      <c r="F7031" s="63" t="s">
        <v>736</v>
      </c>
      <c r="G7031" s="64" t="n">
        <v>0</v>
      </c>
      <c r="H7031" s="62" t="s">
        <v>138</v>
      </c>
    </row>
    <row r="7032" customFormat="false" ht="15" hidden="false" customHeight="false" outlineLevel="0" collapsed="false">
      <c r="A7032" s="62" t="n">
        <v>1</v>
      </c>
      <c r="B7032" s="62" t="s">
        <v>381</v>
      </c>
      <c r="C7032" s="62" t="s">
        <v>60</v>
      </c>
      <c r="D7032" s="62" t="s">
        <v>382</v>
      </c>
      <c r="E7032" s="62" t="s">
        <v>382</v>
      </c>
      <c r="F7032" s="63" t="s">
        <v>737</v>
      </c>
      <c r="G7032" s="64" t="n">
        <v>0</v>
      </c>
      <c r="H7032" s="62" t="s">
        <v>138</v>
      </c>
    </row>
    <row r="7033" customFormat="false" ht="15" hidden="false" customHeight="false" outlineLevel="0" collapsed="false">
      <c r="A7033" s="62" t="n">
        <v>1</v>
      </c>
      <c r="B7033" s="62" t="s">
        <v>383</v>
      </c>
      <c r="C7033" s="62" t="s">
        <v>60</v>
      </c>
      <c r="D7033" s="62" t="s">
        <v>382</v>
      </c>
      <c r="E7033" s="62" t="s">
        <v>382</v>
      </c>
      <c r="F7033" s="63" t="s">
        <v>737</v>
      </c>
      <c r="G7033" s="64" t="n">
        <v>0</v>
      </c>
      <c r="H7033" s="62" t="s">
        <v>138</v>
      </c>
    </row>
    <row r="7034" customFormat="false" ht="15" hidden="false" customHeight="false" outlineLevel="0" collapsed="false">
      <c r="A7034" s="62" t="n">
        <v>1</v>
      </c>
      <c r="B7034" s="62" t="s">
        <v>384</v>
      </c>
      <c r="C7034" s="62" t="s">
        <v>60</v>
      </c>
      <c r="D7034" s="62" t="s">
        <v>382</v>
      </c>
      <c r="E7034" s="62" t="s">
        <v>382</v>
      </c>
      <c r="F7034" s="63" t="s">
        <v>737</v>
      </c>
      <c r="G7034" s="64" t="n">
        <v>0</v>
      </c>
      <c r="H7034" s="62" t="s">
        <v>138</v>
      </c>
    </row>
    <row r="7035" customFormat="false" ht="15" hidden="false" customHeight="false" outlineLevel="0" collapsed="false">
      <c r="A7035" s="62" t="n">
        <v>1</v>
      </c>
      <c r="B7035" s="62" t="s">
        <v>385</v>
      </c>
      <c r="C7035" s="62" t="s">
        <v>60</v>
      </c>
      <c r="D7035" s="62" t="s">
        <v>382</v>
      </c>
      <c r="E7035" s="62" t="s">
        <v>382</v>
      </c>
      <c r="F7035" s="63" t="s">
        <v>737</v>
      </c>
      <c r="G7035" s="64" t="n">
        <v>0</v>
      </c>
      <c r="H7035" s="62" t="s">
        <v>138</v>
      </c>
    </row>
    <row r="7036" customFormat="false" ht="15" hidden="false" customHeight="false" outlineLevel="0" collapsed="false">
      <c r="A7036" s="62" t="n">
        <v>1</v>
      </c>
      <c r="B7036" s="62" t="s">
        <v>386</v>
      </c>
      <c r="C7036" s="62" t="s">
        <v>60</v>
      </c>
      <c r="D7036" s="62" t="s">
        <v>382</v>
      </c>
      <c r="E7036" s="62" t="s">
        <v>382</v>
      </c>
      <c r="F7036" s="63" t="s">
        <v>737</v>
      </c>
      <c r="G7036" s="64" t="n">
        <v>0</v>
      </c>
      <c r="H7036" s="62" t="s">
        <v>138</v>
      </c>
    </row>
    <row r="7037" customFormat="false" ht="15" hidden="false" customHeight="false" outlineLevel="0" collapsed="false">
      <c r="A7037" s="62" t="n">
        <v>1</v>
      </c>
      <c r="B7037" s="62" t="s">
        <v>387</v>
      </c>
      <c r="C7037" s="62" t="s">
        <v>60</v>
      </c>
      <c r="D7037" s="62" t="s">
        <v>382</v>
      </c>
      <c r="E7037" s="62" t="s">
        <v>382</v>
      </c>
      <c r="F7037" s="63" t="s">
        <v>737</v>
      </c>
      <c r="G7037" s="64" t="n">
        <v>0</v>
      </c>
      <c r="H7037" s="62" t="s">
        <v>138</v>
      </c>
    </row>
    <row r="7038" customFormat="false" ht="15" hidden="false" customHeight="false" outlineLevel="0" collapsed="false">
      <c r="A7038" s="62" t="n">
        <v>1</v>
      </c>
      <c r="B7038" s="62" t="s">
        <v>388</v>
      </c>
      <c r="C7038" s="62" t="s">
        <v>60</v>
      </c>
      <c r="D7038" s="62" t="s">
        <v>382</v>
      </c>
      <c r="E7038" s="62" t="s">
        <v>382</v>
      </c>
      <c r="F7038" s="63" t="s">
        <v>737</v>
      </c>
      <c r="G7038" s="64" t="n">
        <v>0</v>
      </c>
      <c r="H7038" s="62" t="s">
        <v>138</v>
      </c>
    </row>
    <row r="7039" customFormat="false" ht="15" hidden="false" customHeight="false" outlineLevel="0" collapsed="false">
      <c r="A7039" s="62" t="n">
        <v>1</v>
      </c>
      <c r="B7039" s="62" t="s">
        <v>381</v>
      </c>
      <c r="C7039" s="62" t="s">
        <v>60</v>
      </c>
      <c r="D7039" s="62" t="s">
        <v>382</v>
      </c>
      <c r="E7039" s="62" t="s">
        <v>382</v>
      </c>
      <c r="F7039" s="63" t="s">
        <v>738</v>
      </c>
      <c r="G7039" s="64" t="n">
        <v>130000</v>
      </c>
      <c r="H7039" s="62" t="s">
        <v>138</v>
      </c>
    </row>
    <row r="7040" customFormat="false" ht="15" hidden="false" customHeight="false" outlineLevel="0" collapsed="false">
      <c r="A7040" s="62" t="n">
        <v>1</v>
      </c>
      <c r="B7040" s="62" t="s">
        <v>383</v>
      </c>
      <c r="C7040" s="62" t="s">
        <v>60</v>
      </c>
      <c r="D7040" s="62" t="s">
        <v>382</v>
      </c>
      <c r="E7040" s="62" t="s">
        <v>382</v>
      </c>
      <c r="F7040" s="63" t="s">
        <v>738</v>
      </c>
      <c r="G7040" s="64" t="n">
        <v>200958</v>
      </c>
      <c r="H7040" s="62" t="s">
        <v>138</v>
      </c>
    </row>
    <row r="7041" customFormat="false" ht="15" hidden="false" customHeight="false" outlineLevel="0" collapsed="false">
      <c r="A7041" s="62" t="n">
        <v>1</v>
      </c>
      <c r="B7041" s="62" t="s">
        <v>384</v>
      </c>
      <c r="C7041" s="62" t="s">
        <v>60</v>
      </c>
      <c r="D7041" s="62" t="s">
        <v>382</v>
      </c>
      <c r="E7041" s="62" t="s">
        <v>382</v>
      </c>
      <c r="F7041" s="63" t="s">
        <v>738</v>
      </c>
      <c r="G7041" s="64" t="n">
        <v>128000</v>
      </c>
      <c r="H7041" s="62" t="s">
        <v>138</v>
      </c>
    </row>
    <row r="7042" customFormat="false" ht="15" hidden="false" customHeight="false" outlineLevel="0" collapsed="false">
      <c r="A7042" s="62" t="n">
        <v>1</v>
      </c>
      <c r="B7042" s="62" t="s">
        <v>385</v>
      </c>
      <c r="C7042" s="62" t="s">
        <v>60</v>
      </c>
      <c r="D7042" s="62" t="s">
        <v>382</v>
      </c>
      <c r="E7042" s="62" t="s">
        <v>382</v>
      </c>
      <c r="F7042" s="63" t="s">
        <v>738</v>
      </c>
      <c r="G7042" s="64" t="n">
        <v>150000</v>
      </c>
      <c r="H7042" s="62" t="s">
        <v>138</v>
      </c>
    </row>
    <row r="7043" customFormat="false" ht="15" hidden="false" customHeight="false" outlineLevel="0" collapsed="false">
      <c r="A7043" s="62" t="n">
        <v>1</v>
      </c>
      <c r="B7043" s="62" t="s">
        <v>386</v>
      </c>
      <c r="C7043" s="62" t="s">
        <v>60</v>
      </c>
      <c r="D7043" s="62" t="s">
        <v>382</v>
      </c>
      <c r="E7043" s="62" t="s">
        <v>382</v>
      </c>
      <c r="F7043" s="63" t="s">
        <v>738</v>
      </c>
      <c r="G7043" s="64" t="n">
        <v>132000</v>
      </c>
      <c r="H7043" s="62" t="s">
        <v>138</v>
      </c>
    </row>
    <row r="7044" customFormat="false" ht="15" hidden="false" customHeight="false" outlineLevel="0" collapsed="false">
      <c r="A7044" s="62" t="n">
        <v>1</v>
      </c>
      <c r="B7044" s="62" t="s">
        <v>387</v>
      </c>
      <c r="C7044" s="62" t="s">
        <v>60</v>
      </c>
      <c r="D7044" s="62" t="s">
        <v>382</v>
      </c>
      <c r="E7044" s="62" t="s">
        <v>382</v>
      </c>
      <c r="F7044" s="63" t="s">
        <v>738</v>
      </c>
      <c r="G7044" s="64" t="n">
        <v>160000</v>
      </c>
      <c r="H7044" s="62" t="s">
        <v>138</v>
      </c>
    </row>
    <row r="7045" customFormat="false" ht="15" hidden="false" customHeight="false" outlineLevel="0" collapsed="false">
      <c r="A7045" s="62" t="n">
        <v>1</v>
      </c>
      <c r="B7045" s="62" t="s">
        <v>388</v>
      </c>
      <c r="C7045" s="62" t="s">
        <v>60</v>
      </c>
      <c r="D7045" s="62" t="s">
        <v>382</v>
      </c>
      <c r="E7045" s="62" t="s">
        <v>382</v>
      </c>
      <c r="F7045" s="63" t="s">
        <v>738</v>
      </c>
      <c r="G7045" s="64" t="n">
        <v>143254</v>
      </c>
      <c r="H7045" s="62" t="s">
        <v>138</v>
      </c>
    </row>
    <row r="7046" customFormat="false" ht="15" hidden="false" customHeight="false" outlineLevel="0" collapsed="false">
      <c r="A7046" s="62" t="n">
        <v>1</v>
      </c>
      <c r="B7046" s="62" t="s">
        <v>381</v>
      </c>
      <c r="C7046" s="62" t="s">
        <v>60</v>
      </c>
      <c r="D7046" s="62" t="s">
        <v>382</v>
      </c>
      <c r="E7046" s="62" t="s">
        <v>382</v>
      </c>
      <c r="F7046" s="63" t="s">
        <v>739</v>
      </c>
      <c r="G7046" s="64" t="n">
        <v>162000</v>
      </c>
      <c r="H7046" s="62" t="s">
        <v>138</v>
      </c>
    </row>
    <row r="7047" customFormat="false" ht="15" hidden="false" customHeight="false" outlineLevel="0" collapsed="false">
      <c r="A7047" s="62" t="n">
        <v>1</v>
      </c>
      <c r="B7047" s="62" t="s">
        <v>383</v>
      </c>
      <c r="C7047" s="62" t="s">
        <v>60</v>
      </c>
      <c r="D7047" s="62" t="s">
        <v>382</v>
      </c>
      <c r="E7047" s="62" t="s">
        <v>382</v>
      </c>
      <c r="F7047" s="63" t="s">
        <v>739</v>
      </c>
      <c r="G7047" s="64" t="n">
        <v>252963</v>
      </c>
      <c r="H7047" s="62" t="s">
        <v>138</v>
      </c>
    </row>
    <row r="7048" customFormat="false" ht="15" hidden="false" customHeight="false" outlineLevel="0" collapsed="false">
      <c r="A7048" s="62" t="n">
        <v>1</v>
      </c>
      <c r="B7048" s="62" t="s">
        <v>384</v>
      </c>
      <c r="C7048" s="62" t="s">
        <v>60</v>
      </c>
      <c r="D7048" s="62" t="s">
        <v>382</v>
      </c>
      <c r="E7048" s="62" t="s">
        <v>382</v>
      </c>
      <c r="F7048" s="63" t="s">
        <v>739</v>
      </c>
      <c r="G7048" s="64" t="n">
        <v>0</v>
      </c>
      <c r="H7048" s="62" t="s">
        <v>138</v>
      </c>
    </row>
    <row r="7049" customFormat="false" ht="15" hidden="false" customHeight="false" outlineLevel="0" collapsed="false">
      <c r="A7049" s="62" t="n">
        <v>1</v>
      </c>
      <c r="B7049" s="62" t="s">
        <v>385</v>
      </c>
      <c r="C7049" s="62" t="s">
        <v>60</v>
      </c>
      <c r="D7049" s="62" t="s">
        <v>382</v>
      </c>
      <c r="E7049" s="62" t="s">
        <v>382</v>
      </c>
      <c r="F7049" s="63" t="s">
        <v>739</v>
      </c>
      <c r="G7049" s="64" t="n">
        <v>0</v>
      </c>
      <c r="H7049" s="62" t="s">
        <v>138</v>
      </c>
    </row>
    <row r="7050" customFormat="false" ht="15" hidden="false" customHeight="false" outlineLevel="0" collapsed="false">
      <c r="A7050" s="62" t="n">
        <v>1</v>
      </c>
      <c r="B7050" s="62" t="s">
        <v>386</v>
      </c>
      <c r="C7050" s="62" t="s">
        <v>60</v>
      </c>
      <c r="D7050" s="62" t="s">
        <v>382</v>
      </c>
      <c r="E7050" s="62" t="s">
        <v>382</v>
      </c>
      <c r="F7050" s="63" t="s">
        <v>739</v>
      </c>
      <c r="G7050" s="64" t="n">
        <v>0</v>
      </c>
      <c r="H7050" s="62" t="s">
        <v>138</v>
      </c>
    </row>
    <row r="7051" customFormat="false" ht="15" hidden="false" customHeight="false" outlineLevel="0" collapsed="false">
      <c r="A7051" s="62" t="n">
        <v>1</v>
      </c>
      <c r="B7051" s="62" t="s">
        <v>387</v>
      </c>
      <c r="C7051" s="62" t="s">
        <v>60</v>
      </c>
      <c r="D7051" s="62" t="s">
        <v>382</v>
      </c>
      <c r="E7051" s="62" t="s">
        <v>382</v>
      </c>
      <c r="F7051" s="63" t="s">
        <v>739</v>
      </c>
      <c r="G7051" s="64" t="n">
        <v>238000</v>
      </c>
      <c r="H7051" s="62" t="s">
        <v>138</v>
      </c>
    </row>
    <row r="7052" customFormat="false" ht="15" hidden="false" customHeight="false" outlineLevel="0" collapsed="false">
      <c r="A7052" s="62" t="n">
        <v>1</v>
      </c>
      <c r="B7052" s="62" t="s">
        <v>388</v>
      </c>
      <c r="C7052" s="62" t="s">
        <v>60</v>
      </c>
      <c r="D7052" s="62" t="s">
        <v>382</v>
      </c>
      <c r="E7052" s="62" t="s">
        <v>382</v>
      </c>
      <c r="F7052" s="63" t="s">
        <v>739</v>
      </c>
      <c r="G7052" s="64" t="n">
        <v>221970</v>
      </c>
      <c r="H7052" s="62" t="s">
        <v>138</v>
      </c>
    </row>
    <row r="7053" customFormat="false" ht="15" hidden="false" customHeight="false" outlineLevel="0" collapsed="false">
      <c r="A7053" s="62" t="n">
        <v>1</v>
      </c>
      <c r="B7053" s="62" t="s">
        <v>381</v>
      </c>
      <c r="C7053" s="62" t="s">
        <v>60</v>
      </c>
      <c r="D7053" s="62" t="s">
        <v>382</v>
      </c>
      <c r="E7053" s="62" t="s">
        <v>382</v>
      </c>
      <c r="F7053" s="63" t="s">
        <v>740</v>
      </c>
      <c r="G7053" s="64" t="n">
        <v>0</v>
      </c>
      <c r="H7053" s="62" t="s">
        <v>138</v>
      </c>
    </row>
    <row r="7054" customFormat="false" ht="15" hidden="false" customHeight="false" outlineLevel="0" collapsed="false">
      <c r="A7054" s="62" t="n">
        <v>1</v>
      </c>
      <c r="B7054" s="62" t="s">
        <v>383</v>
      </c>
      <c r="C7054" s="62" t="s">
        <v>60</v>
      </c>
      <c r="D7054" s="62" t="s">
        <v>382</v>
      </c>
      <c r="E7054" s="62" t="s">
        <v>382</v>
      </c>
      <c r="F7054" s="63" t="s">
        <v>740</v>
      </c>
      <c r="G7054" s="64" t="n">
        <v>0</v>
      </c>
      <c r="H7054" s="62" t="s">
        <v>138</v>
      </c>
    </row>
    <row r="7055" customFormat="false" ht="15" hidden="false" customHeight="false" outlineLevel="0" collapsed="false">
      <c r="A7055" s="62" t="n">
        <v>1</v>
      </c>
      <c r="B7055" s="62" t="s">
        <v>384</v>
      </c>
      <c r="C7055" s="62" t="s">
        <v>60</v>
      </c>
      <c r="D7055" s="62" t="s">
        <v>382</v>
      </c>
      <c r="E7055" s="62" t="s">
        <v>382</v>
      </c>
      <c r="F7055" s="63" t="s">
        <v>740</v>
      </c>
      <c r="G7055" s="64" t="n">
        <v>0</v>
      </c>
      <c r="H7055" s="62" t="s">
        <v>138</v>
      </c>
    </row>
    <row r="7056" customFormat="false" ht="15" hidden="false" customHeight="false" outlineLevel="0" collapsed="false">
      <c r="A7056" s="62" t="n">
        <v>1</v>
      </c>
      <c r="B7056" s="62" t="s">
        <v>385</v>
      </c>
      <c r="C7056" s="62" t="s">
        <v>60</v>
      </c>
      <c r="D7056" s="62" t="s">
        <v>382</v>
      </c>
      <c r="E7056" s="62" t="s">
        <v>382</v>
      </c>
      <c r="F7056" s="63" t="s">
        <v>740</v>
      </c>
      <c r="G7056" s="64" t="n">
        <v>0</v>
      </c>
      <c r="H7056" s="62" t="s">
        <v>138</v>
      </c>
    </row>
    <row r="7057" customFormat="false" ht="15" hidden="false" customHeight="false" outlineLevel="0" collapsed="false">
      <c r="A7057" s="62" t="n">
        <v>1</v>
      </c>
      <c r="B7057" s="62" t="s">
        <v>386</v>
      </c>
      <c r="C7057" s="62" t="s">
        <v>60</v>
      </c>
      <c r="D7057" s="62" t="s">
        <v>382</v>
      </c>
      <c r="E7057" s="62" t="s">
        <v>382</v>
      </c>
      <c r="F7057" s="63" t="s">
        <v>740</v>
      </c>
      <c r="G7057" s="64" t="n">
        <v>0</v>
      </c>
      <c r="H7057" s="62" t="s">
        <v>138</v>
      </c>
    </row>
    <row r="7058" customFormat="false" ht="15" hidden="false" customHeight="false" outlineLevel="0" collapsed="false">
      <c r="A7058" s="62" t="n">
        <v>1</v>
      </c>
      <c r="B7058" s="62" t="s">
        <v>387</v>
      </c>
      <c r="C7058" s="62" t="s">
        <v>60</v>
      </c>
      <c r="D7058" s="62" t="s">
        <v>382</v>
      </c>
      <c r="E7058" s="62" t="s">
        <v>382</v>
      </c>
      <c r="F7058" s="63" t="s">
        <v>740</v>
      </c>
      <c r="G7058" s="64" t="n">
        <v>0</v>
      </c>
      <c r="H7058" s="62" t="s">
        <v>138</v>
      </c>
    </row>
    <row r="7059" customFormat="false" ht="15" hidden="false" customHeight="false" outlineLevel="0" collapsed="false">
      <c r="A7059" s="62" t="n">
        <v>1</v>
      </c>
      <c r="B7059" s="62" t="s">
        <v>388</v>
      </c>
      <c r="C7059" s="62" t="s">
        <v>60</v>
      </c>
      <c r="D7059" s="62" t="s">
        <v>382</v>
      </c>
      <c r="E7059" s="62" t="s">
        <v>382</v>
      </c>
      <c r="F7059" s="63" t="s">
        <v>740</v>
      </c>
      <c r="G7059" s="64" t="n">
        <v>0</v>
      </c>
      <c r="H7059" s="62" t="s">
        <v>138</v>
      </c>
    </row>
    <row r="7060" customFormat="false" ht="15" hidden="false" customHeight="false" outlineLevel="0" collapsed="false">
      <c r="A7060" s="62" t="n">
        <v>1</v>
      </c>
      <c r="B7060" s="62" t="s">
        <v>381</v>
      </c>
      <c r="C7060" s="62" t="s">
        <v>60</v>
      </c>
      <c r="D7060" s="62" t="s">
        <v>382</v>
      </c>
      <c r="E7060" s="62" t="s">
        <v>382</v>
      </c>
      <c r="F7060" s="63" t="s">
        <v>741</v>
      </c>
      <c r="G7060" s="64" t="n">
        <v>0</v>
      </c>
      <c r="H7060" s="62" t="s">
        <v>138</v>
      </c>
    </row>
    <row r="7061" customFormat="false" ht="15" hidden="false" customHeight="false" outlineLevel="0" collapsed="false">
      <c r="A7061" s="62" t="n">
        <v>1</v>
      </c>
      <c r="B7061" s="62" t="s">
        <v>383</v>
      </c>
      <c r="C7061" s="62" t="s">
        <v>60</v>
      </c>
      <c r="D7061" s="62" t="s">
        <v>382</v>
      </c>
      <c r="E7061" s="62" t="s">
        <v>382</v>
      </c>
      <c r="F7061" s="63" t="s">
        <v>741</v>
      </c>
      <c r="G7061" s="64" t="n">
        <v>0</v>
      </c>
      <c r="H7061" s="62" t="s">
        <v>138</v>
      </c>
    </row>
    <row r="7062" customFormat="false" ht="15" hidden="false" customHeight="false" outlineLevel="0" collapsed="false">
      <c r="A7062" s="62" t="n">
        <v>1</v>
      </c>
      <c r="B7062" s="62" t="s">
        <v>384</v>
      </c>
      <c r="C7062" s="62" t="s">
        <v>60</v>
      </c>
      <c r="D7062" s="62" t="s">
        <v>382</v>
      </c>
      <c r="E7062" s="62" t="s">
        <v>382</v>
      </c>
      <c r="F7062" s="63" t="s">
        <v>741</v>
      </c>
      <c r="G7062" s="64" t="n">
        <v>0</v>
      </c>
      <c r="H7062" s="62" t="s">
        <v>138</v>
      </c>
    </row>
    <row r="7063" customFormat="false" ht="15" hidden="false" customHeight="false" outlineLevel="0" collapsed="false">
      <c r="A7063" s="62" t="n">
        <v>1</v>
      </c>
      <c r="B7063" s="62" t="s">
        <v>385</v>
      </c>
      <c r="C7063" s="62" t="s">
        <v>60</v>
      </c>
      <c r="D7063" s="62" t="s">
        <v>382</v>
      </c>
      <c r="E7063" s="62" t="s">
        <v>382</v>
      </c>
      <c r="F7063" s="63" t="s">
        <v>741</v>
      </c>
      <c r="G7063" s="64" t="n">
        <v>0</v>
      </c>
      <c r="H7063" s="62" t="s">
        <v>138</v>
      </c>
    </row>
    <row r="7064" customFormat="false" ht="15" hidden="false" customHeight="false" outlineLevel="0" collapsed="false">
      <c r="A7064" s="62" t="n">
        <v>1</v>
      </c>
      <c r="B7064" s="62" t="s">
        <v>386</v>
      </c>
      <c r="C7064" s="62" t="s">
        <v>60</v>
      </c>
      <c r="D7064" s="62" t="s">
        <v>382</v>
      </c>
      <c r="E7064" s="62" t="s">
        <v>382</v>
      </c>
      <c r="F7064" s="63" t="s">
        <v>741</v>
      </c>
      <c r="G7064" s="64" t="n">
        <v>0</v>
      </c>
      <c r="H7064" s="62" t="s">
        <v>138</v>
      </c>
    </row>
    <row r="7065" customFormat="false" ht="15" hidden="false" customHeight="false" outlineLevel="0" collapsed="false">
      <c r="A7065" s="62" t="n">
        <v>1</v>
      </c>
      <c r="B7065" s="62" t="s">
        <v>387</v>
      </c>
      <c r="C7065" s="62" t="s">
        <v>60</v>
      </c>
      <c r="D7065" s="62" t="s">
        <v>382</v>
      </c>
      <c r="E7065" s="62" t="s">
        <v>382</v>
      </c>
      <c r="F7065" s="63" t="s">
        <v>741</v>
      </c>
      <c r="G7065" s="64" t="n">
        <v>0</v>
      </c>
      <c r="H7065" s="62" t="s">
        <v>138</v>
      </c>
    </row>
    <row r="7066" customFormat="false" ht="15" hidden="false" customHeight="false" outlineLevel="0" collapsed="false">
      <c r="A7066" s="62" t="n">
        <v>1</v>
      </c>
      <c r="B7066" s="62" t="s">
        <v>388</v>
      </c>
      <c r="C7066" s="62" t="s">
        <v>60</v>
      </c>
      <c r="D7066" s="62" t="s">
        <v>382</v>
      </c>
      <c r="E7066" s="62" t="s">
        <v>382</v>
      </c>
      <c r="F7066" s="63" t="s">
        <v>741</v>
      </c>
      <c r="G7066" s="64" t="n">
        <v>0</v>
      </c>
      <c r="H7066" s="62" t="s">
        <v>138</v>
      </c>
    </row>
    <row r="7067" customFormat="false" ht="15" hidden="false" customHeight="false" outlineLevel="0" collapsed="false">
      <c r="A7067" s="62" t="n">
        <v>1</v>
      </c>
      <c r="B7067" s="62" t="s">
        <v>381</v>
      </c>
      <c r="C7067" s="62" t="s">
        <v>60</v>
      </c>
      <c r="D7067" s="62" t="s">
        <v>382</v>
      </c>
      <c r="E7067" s="62" t="s">
        <v>382</v>
      </c>
      <c r="F7067" s="63" t="s">
        <v>742</v>
      </c>
      <c r="G7067" s="64" t="n">
        <v>22000</v>
      </c>
      <c r="H7067" s="62" t="s">
        <v>138</v>
      </c>
    </row>
    <row r="7068" customFormat="false" ht="15" hidden="false" customHeight="false" outlineLevel="0" collapsed="false">
      <c r="A7068" s="62" t="n">
        <v>1</v>
      </c>
      <c r="B7068" s="62" t="s">
        <v>383</v>
      </c>
      <c r="C7068" s="62" t="s">
        <v>60</v>
      </c>
      <c r="D7068" s="62" t="s">
        <v>382</v>
      </c>
      <c r="E7068" s="62" t="s">
        <v>382</v>
      </c>
      <c r="F7068" s="63" t="s">
        <v>742</v>
      </c>
      <c r="G7068" s="64" t="n">
        <v>33683</v>
      </c>
      <c r="H7068" s="62" t="s">
        <v>138</v>
      </c>
    </row>
    <row r="7069" customFormat="false" ht="15" hidden="false" customHeight="false" outlineLevel="0" collapsed="false">
      <c r="A7069" s="62" t="n">
        <v>1</v>
      </c>
      <c r="B7069" s="62" t="s">
        <v>384</v>
      </c>
      <c r="C7069" s="62" t="s">
        <v>60</v>
      </c>
      <c r="D7069" s="62" t="s">
        <v>382</v>
      </c>
      <c r="E7069" s="62" t="s">
        <v>382</v>
      </c>
      <c r="F7069" s="63" t="s">
        <v>742</v>
      </c>
      <c r="G7069" s="64" t="n">
        <v>25000</v>
      </c>
      <c r="H7069" s="62" t="s">
        <v>138</v>
      </c>
    </row>
    <row r="7070" customFormat="false" ht="15" hidden="false" customHeight="false" outlineLevel="0" collapsed="false">
      <c r="A7070" s="62" t="n">
        <v>1</v>
      </c>
      <c r="B7070" s="62" t="s">
        <v>385</v>
      </c>
      <c r="C7070" s="62" t="s">
        <v>60</v>
      </c>
      <c r="D7070" s="62" t="s">
        <v>382</v>
      </c>
      <c r="E7070" s="62" t="s">
        <v>382</v>
      </c>
      <c r="F7070" s="63" t="s">
        <v>742</v>
      </c>
      <c r="G7070" s="64" t="n">
        <v>40000</v>
      </c>
      <c r="H7070" s="62" t="s">
        <v>138</v>
      </c>
    </row>
    <row r="7071" customFormat="false" ht="15" hidden="false" customHeight="false" outlineLevel="0" collapsed="false">
      <c r="A7071" s="62" t="n">
        <v>1</v>
      </c>
      <c r="B7071" s="62" t="s">
        <v>386</v>
      </c>
      <c r="C7071" s="62" t="s">
        <v>60</v>
      </c>
      <c r="D7071" s="62" t="s">
        <v>382</v>
      </c>
      <c r="E7071" s="62" t="s">
        <v>382</v>
      </c>
      <c r="F7071" s="63" t="s">
        <v>742</v>
      </c>
      <c r="G7071" s="64" t="n">
        <v>23500</v>
      </c>
      <c r="H7071" s="62" t="s">
        <v>138</v>
      </c>
    </row>
    <row r="7072" customFormat="false" ht="15" hidden="false" customHeight="false" outlineLevel="0" collapsed="false">
      <c r="A7072" s="62" t="n">
        <v>1</v>
      </c>
      <c r="B7072" s="62" t="s">
        <v>387</v>
      </c>
      <c r="C7072" s="62" t="s">
        <v>60</v>
      </c>
      <c r="D7072" s="62" t="s">
        <v>382</v>
      </c>
      <c r="E7072" s="62" t="s">
        <v>382</v>
      </c>
      <c r="F7072" s="63" t="s">
        <v>742</v>
      </c>
      <c r="G7072" s="64" t="n">
        <v>32000</v>
      </c>
      <c r="H7072" s="62" t="s">
        <v>138</v>
      </c>
    </row>
    <row r="7073" customFormat="false" ht="15" hidden="false" customHeight="false" outlineLevel="0" collapsed="false">
      <c r="A7073" s="62" t="n">
        <v>1</v>
      </c>
      <c r="B7073" s="62" t="s">
        <v>388</v>
      </c>
      <c r="C7073" s="62" t="s">
        <v>60</v>
      </c>
      <c r="D7073" s="62" t="s">
        <v>382</v>
      </c>
      <c r="E7073" s="62" t="s">
        <v>382</v>
      </c>
      <c r="F7073" s="63" t="s">
        <v>742</v>
      </c>
      <c r="G7073" s="64" t="n">
        <v>27650</v>
      </c>
      <c r="H7073" s="62" t="s">
        <v>138</v>
      </c>
    </row>
    <row r="7074" customFormat="false" ht="15" hidden="false" customHeight="false" outlineLevel="0" collapsed="false">
      <c r="A7074" s="62" t="n">
        <v>1</v>
      </c>
      <c r="B7074" s="62" t="s">
        <v>381</v>
      </c>
      <c r="C7074" s="62" t="s">
        <v>60</v>
      </c>
      <c r="D7074" s="62" t="s">
        <v>382</v>
      </c>
      <c r="E7074" s="62" t="s">
        <v>382</v>
      </c>
      <c r="F7074" s="63" t="s">
        <v>743</v>
      </c>
      <c r="G7074" s="64" t="n">
        <v>26400</v>
      </c>
      <c r="H7074" s="62" t="s">
        <v>138</v>
      </c>
    </row>
    <row r="7075" customFormat="false" ht="15" hidden="false" customHeight="false" outlineLevel="0" collapsed="false">
      <c r="A7075" s="62" t="n">
        <v>1</v>
      </c>
      <c r="B7075" s="62" t="s">
        <v>383</v>
      </c>
      <c r="C7075" s="62" t="s">
        <v>60</v>
      </c>
      <c r="D7075" s="62" t="s">
        <v>382</v>
      </c>
      <c r="E7075" s="62" t="s">
        <v>382</v>
      </c>
      <c r="F7075" s="63" t="s">
        <v>743</v>
      </c>
      <c r="G7075" s="64" t="n">
        <v>42681</v>
      </c>
      <c r="H7075" s="62" t="s">
        <v>138</v>
      </c>
    </row>
    <row r="7076" customFormat="false" ht="15" hidden="false" customHeight="false" outlineLevel="0" collapsed="false">
      <c r="A7076" s="62" t="n">
        <v>1</v>
      </c>
      <c r="B7076" s="62" t="s">
        <v>384</v>
      </c>
      <c r="C7076" s="62" t="s">
        <v>60</v>
      </c>
      <c r="D7076" s="62" t="s">
        <v>382</v>
      </c>
      <c r="E7076" s="62" t="s">
        <v>382</v>
      </c>
      <c r="F7076" s="63" t="s">
        <v>743</v>
      </c>
      <c r="G7076" s="64" t="n">
        <v>0</v>
      </c>
      <c r="H7076" s="62" t="s">
        <v>138</v>
      </c>
    </row>
    <row r="7077" customFormat="false" ht="15" hidden="false" customHeight="false" outlineLevel="0" collapsed="false">
      <c r="A7077" s="62" t="n">
        <v>1</v>
      </c>
      <c r="B7077" s="62" t="s">
        <v>385</v>
      </c>
      <c r="C7077" s="62" t="s">
        <v>60</v>
      </c>
      <c r="D7077" s="62" t="s">
        <v>382</v>
      </c>
      <c r="E7077" s="62" t="s">
        <v>382</v>
      </c>
      <c r="F7077" s="63" t="s">
        <v>743</v>
      </c>
      <c r="G7077" s="64" t="n">
        <v>0</v>
      </c>
      <c r="H7077" s="62" t="s">
        <v>138</v>
      </c>
    </row>
    <row r="7078" customFormat="false" ht="15" hidden="false" customHeight="false" outlineLevel="0" collapsed="false">
      <c r="A7078" s="62" t="n">
        <v>1</v>
      </c>
      <c r="B7078" s="62" t="s">
        <v>386</v>
      </c>
      <c r="C7078" s="62" t="s">
        <v>60</v>
      </c>
      <c r="D7078" s="62" t="s">
        <v>382</v>
      </c>
      <c r="E7078" s="62" t="s">
        <v>382</v>
      </c>
      <c r="F7078" s="63" t="s">
        <v>743</v>
      </c>
      <c r="G7078" s="64" t="n">
        <v>0</v>
      </c>
      <c r="H7078" s="62" t="s">
        <v>138</v>
      </c>
    </row>
    <row r="7079" customFormat="false" ht="15" hidden="false" customHeight="false" outlineLevel="0" collapsed="false">
      <c r="A7079" s="62" t="n">
        <v>1</v>
      </c>
      <c r="B7079" s="62" t="s">
        <v>387</v>
      </c>
      <c r="C7079" s="62" t="s">
        <v>60</v>
      </c>
      <c r="D7079" s="62" t="s">
        <v>382</v>
      </c>
      <c r="E7079" s="62" t="s">
        <v>382</v>
      </c>
      <c r="F7079" s="63" t="s">
        <v>743</v>
      </c>
      <c r="G7079" s="64" t="n">
        <v>40000</v>
      </c>
      <c r="H7079" s="62" t="s">
        <v>138</v>
      </c>
    </row>
    <row r="7080" customFormat="false" ht="15" hidden="false" customHeight="false" outlineLevel="0" collapsed="false">
      <c r="A7080" s="62" t="n">
        <v>1</v>
      </c>
      <c r="B7080" s="62" t="s">
        <v>388</v>
      </c>
      <c r="C7080" s="62" t="s">
        <v>60</v>
      </c>
      <c r="D7080" s="62" t="s">
        <v>382</v>
      </c>
      <c r="E7080" s="62" t="s">
        <v>382</v>
      </c>
      <c r="F7080" s="63" t="s">
        <v>743</v>
      </c>
      <c r="G7080" s="64" t="n">
        <v>42806</v>
      </c>
      <c r="H7080" s="62" t="s">
        <v>138</v>
      </c>
    </row>
    <row r="7081" customFormat="false" ht="15" hidden="false" customHeight="false" outlineLevel="0" collapsed="false">
      <c r="A7081" s="62" t="n">
        <v>1</v>
      </c>
      <c r="B7081" s="62" t="s">
        <v>381</v>
      </c>
      <c r="C7081" s="62" t="s">
        <v>60</v>
      </c>
      <c r="D7081" s="62" t="s">
        <v>382</v>
      </c>
      <c r="E7081" s="62" t="s">
        <v>382</v>
      </c>
      <c r="F7081" s="63" t="s">
        <v>744</v>
      </c>
      <c r="G7081" s="64" t="n">
        <v>0</v>
      </c>
      <c r="H7081" s="62" t="s">
        <v>138</v>
      </c>
    </row>
    <row r="7082" customFormat="false" ht="15" hidden="false" customHeight="false" outlineLevel="0" collapsed="false">
      <c r="A7082" s="62" t="n">
        <v>1</v>
      </c>
      <c r="B7082" s="62" t="s">
        <v>383</v>
      </c>
      <c r="C7082" s="62" t="s">
        <v>60</v>
      </c>
      <c r="D7082" s="62" t="s">
        <v>382</v>
      </c>
      <c r="E7082" s="62" t="s">
        <v>382</v>
      </c>
      <c r="F7082" s="63" t="s">
        <v>744</v>
      </c>
      <c r="G7082" s="64" t="n">
        <v>0</v>
      </c>
      <c r="H7082" s="62" t="s">
        <v>138</v>
      </c>
    </row>
    <row r="7083" customFormat="false" ht="15" hidden="false" customHeight="false" outlineLevel="0" collapsed="false">
      <c r="A7083" s="62" t="n">
        <v>1</v>
      </c>
      <c r="B7083" s="62" t="s">
        <v>384</v>
      </c>
      <c r="C7083" s="62" t="s">
        <v>60</v>
      </c>
      <c r="D7083" s="62" t="s">
        <v>382</v>
      </c>
      <c r="E7083" s="62" t="s">
        <v>382</v>
      </c>
      <c r="F7083" s="63" t="s">
        <v>744</v>
      </c>
      <c r="G7083" s="64" t="n">
        <v>0</v>
      </c>
      <c r="H7083" s="62" t="s">
        <v>138</v>
      </c>
    </row>
    <row r="7084" customFormat="false" ht="15" hidden="false" customHeight="false" outlineLevel="0" collapsed="false">
      <c r="A7084" s="62" t="n">
        <v>1</v>
      </c>
      <c r="B7084" s="62" t="s">
        <v>385</v>
      </c>
      <c r="C7084" s="62" t="s">
        <v>60</v>
      </c>
      <c r="D7084" s="62" t="s">
        <v>382</v>
      </c>
      <c r="E7084" s="62" t="s">
        <v>382</v>
      </c>
      <c r="F7084" s="63" t="s">
        <v>744</v>
      </c>
      <c r="G7084" s="64" t="n">
        <v>0</v>
      </c>
      <c r="H7084" s="62" t="s">
        <v>138</v>
      </c>
    </row>
    <row r="7085" customFormat="false" ht="15" hidden="false" customHeight="false" outlineLevel="0" collapsed="false">
      <c r="A7085" s="62" t="n">
        <v>1</v>
      </c>
      <c r="B7085" s="62" t="s">
        <v>386</v>
      </c>
      <c r="C7085" s="62" t="s">
        <v>60</v>
      </c>
      <c r="D7085" s="62" t="s">
        <v>382</v>
      </c>
      <c r="E7085" s="62" t="s">
        <v>382</v>
      </c>
      <c r="F7085" s="63" t="s">
        <v>744</v>
      </c>
      <c r="G7085" s="64" t="n">
        <v>0</v>
      </c>
      <c r="H7085" s="62" t="s">
        <v>138</v>
      </c>
    </row>
    <row r="7086" customFormat="false" ht="15" hidden="false" customHeight="false" outlineLevel="0" collapsed="false">
      <c r="A7086" s="62" t="n">
        <v>1</v>
      </c>
      <c r="B7086" s="62" t="s">
        <v>387</v>
      </c>
      <c r="C7086" s="62" t="s">
        <v>60</v>
      </c>
      <c r="D7086" s="62" t="s">
        <v>382</v>
      </c>
      <c r="E7086" s="62" t="s">
        <v>382</v>
      </c>
      <c r="F7086" s="63" t="s">
        <v>744</v>
      </c>
      <c r="G7086" s="64" t="n">
        <v>0</v>
      </c>
      <c r="H7086" s="62" t="s">
        <v>138</v>
      </c>
    </row>
    <row r="7087" customFormat="false" ht="15" hidden="false" customHeight="false" outlineLevel="0" collapsed="false">
      <c r="A7087" s="62" t="n">
        <v>1</v>
      </c>
      <c r="B7087" s="62" t="s">
        <v>388</v>
      </c>
      <c r="C7087" s="62" t="s">
        <v>60</v>
      </c>
      <c r="D7087" s="62" t="s">
        <v>382</v>
      </c>
      <c r="E7087" s="62" t="s">
        <v>382</v>
      </c>
      <c r="F7087" s="63" t="s">
        <v>744</v>
      </c>
      <c r="G7087" s="64" t="n">
        <v>0</v>
      </c>
      <c r="H7087" s="62" t="s">
        <v>138</v>
      </c>
    </row>
    <row r="7088" customFormat="false" ht="15" hidden="false" customHeight="false" outlineLevel="0" collapsed="false">
      <c r="A7088" s="62" t="n">
        <v>1</v>
      </c>
      <c r="B7088" s="62" t="s">
        <v>381</v>
      </c>
      <c r="C7088" s="62" t="s">
        <v>60</v>
      </c>
      <c r="D7088" s="62" t="s">
        <v>382</v>
      </c>
      <c r="E7088" s="62" t="s">
        <v>382</v>
      </c>
      <c r="F7088" s="63" t="s">
        <v>745</v>
      </c>
      <c r="G7088" s="64" t="n">
        <v>0</v>
      </c>
      <c r="H7088" s="62" t="s">
        <v>138</v>
      </c>
    </row>
    <row r="7089" customFormat="false" ht="15" hidden="false" customHeight="false" outlineLevel="0" collapsed="false">
      <c r="A7089" s="62" t="n">
        <v>1</v>
      </c>
      <c r="B7089" s="62" t="s">
        <v>383</v>
      </c>
      <c r="C7089" s="62" t="s">
        <v>60</v>
      </c>
      <c r="D7089" s="62" t="s">
        <v>382</v>
      </c>
      <c r="E7089" s="62" t="s">
        <v>382</v>
      </c>
      <c r="F7089" s="63" t="s">
        <v>745</v>
      </c>
      <c r="G7089" s="64" t="n">
        <v>0</v>
      </c>
      <c r="H7089" s="62" t="s">
        <v>138</v>
      </c>
    </row>
    <row r="7090" customFormat="false" ht="15" hidden="false" customHeight="false" outlineLevel="0" collapsed="false">
      <c r="A7090" s="62" t="n">
        <v>1</v>
      </c>
      <c r="B7090" s="62" t="s">
        <v>384</v>
      </c>
      <c r="C7090" s="62" t="s">
        <v>60</v>
      </c>
      <c r="D7090" s="62" t="s">
        <v>382</v>
      </c>
      <c r="E7090" s="62" t="s">
        <v>382</v>
      </c>
      <c r="F7090" s="63" t="s">
        <v>745</v>
      </c>
      <c r="G7090" s="64" t="n">
        <v>0</v>
      </c>
      <c r="H7090" s="62" t="s">
        <v>138</v>
      </c>
    </row>
    <row r="7091" customFormat="false" ht="15" hidden="false" customHeight="false" outlineLevel="0" collapsed="false">
      <c r="A7091" s="62" t="n">
        <v>1</v>
      </c>
      <c r="B7091" s="62" t="s">
        <v>385</v>
      </c>
      <c r="C7091" s="62" t="s">
        <v>60</v>
      </c>
      <c r="D7091" s="62" t="s">
        <v>382</v>
      </c>
      <c r="E7091" s="62" t="s">
        <v>382</v>
      </c>
      <c r="F7091" s="63" t="s">
        <v>745</v>
      </c>
      <c r="G7091" s="64" t="n">
        <v>0</v>
      </c>
      <c r="H7091" s="62" t="s">
        <v>138</v>
      </c>
    </row>
    <row r="7092" customFormat="false" ht="15" hidden="false" customHeight="false" outlineLevel="0" collapsed="false">
      <c r="A7092" s="62" t="n">
        <v>1</v>
      </c>
      <c r="B7092" s="62" t="s">
        <v>386</v>
      </c>
      <c r="C7092" s="62" t="s">
        <v>60</v>
      </c>
      <c r="D7092" s="62" t="s">
        <v>382</v>
      </c>
      <c r="E7092" s="62" t="s">
        <v>382</v>
      </c>
      <c r="F7092" s="63" t="s">
        <v>745</v>
      </c>
      <c r="G7092" s="64" t="n">
        <v>0</v>
      </c>
      <c r="H7092" s="62" t="s">
        <v>138</v>
      </c>
    </row>
    <row r="7093" customFormat="false" ht="15" hidden="false" customHeight="false" outlineLevel="0" collapsed="false">
      <c r="A7093" s="62" t="n">
        <v>1</v>
      </c>
      <c r="B7093" s="62" t="s">
        <v>387</v>
      </c>
      <c r="C7093" s="62" t="s">
        <v>60</v>
      </c>
      <c r="D7093" s="62" t="s">
        <v>382</v>
      </c>
      <c r="E7093" s="62" t="s">
        <v>382</v>
      </c>
      <c r="F7093" s="63" t="s">
        <v>745</v>
      </c>
      <c r="G7093" s="64" t="n">
        <v>0</v>
      </c>
      <c r="H7093" s="62" t="s">
        <v>138</v>
      </c>
    </row>
    <row r="7094" customFormat="false" ht="15" hidden="false" customHeight="false" outlineLevel="0" collapsed="false">
      <c r="A7094" s="62" t="n">
        <v>1</v>
      </c>
      <c r="B7094" s="62" t="s">
        <v>388</v>
      </c>
      <c r="C7094" s="62" t="s">
        <v>60</v>
      </c>
      <c r="D7094" s="62" t="s">
        <v>382</v>
      </c>
      <c r="E7094" s="62" t="s">
        <v>382</v>
      </c>
      <c r="F7094" s="63" t="s">
        <v>745</v>
      </c>
      <c r="G7094" s="64" t="n">
        <v>0</v>
      </c>
      <c r="H7094" s="62" t="s">
        <v>138</v>
      </c>
    </row>
    <row r="7095" customFormat="false" ht="15" hidden="false" customHeight="false" outlineLevel="0" collapsed="false">
      <c r="A7095" s="62" t="n">
        <v>1</v>
      </c>
      <c r="B7095" s="62" t="s">
        <v>381</v>
      </c>
      <c r="C7095" s="62" t="s">
        <v>60</v>
      </c>
      <c r="D7095" s="62" t="s">
        <v>382</v>
      </c>
      <c r="E7095" s="62" t="s">
        <v>382</v>
      </c>
      <c r="F7095" s="63" t="s">
        <v>746</v>
      </c>
      <c r="G7095" s="64" t="n">
        <v>57556427.266</v>
      </c>
      <c r="H7095" s="62" t="s">
        <v>138</v>
      </c>
    </row>
    <row r="7096" customFormat="false" ht="15" hidden="false" customHeight="false" outlineLevel="0" collapsed="false">
      <c r="A7096" s="62" t="n">
        <v>1</v>
      </c>
      <c r="B7096" s="62" t="s">
        <v>383</v>
      </c>
      <c r="C7096" s="62" t="s">
        <v>60</v>
      </c>
      <c r="D7096" s="62" t="s">
        <v>382</v>
      </c>
      <c r="E7096" s="62" t="s">
        <v>382</v>
      </c>
      <c r="F7096" s="63" t="s">
        <v>746</v>
      </c>
      <c r="G7096" s="64" t="n">
        <v>69540973.8027476</v>
      </c>
      <c r="H7096" s="62" t="s">
        <v>138</v>
      </c>
    </row>
    <row r="7097" customFormat="false" ht="15" hidden="false" customHeight="false" outlineLevel="0" collapsed="false">
      <c r="A7097" s="62" t="n">
        <v>1</v>
      </c>
      <c r="B7097" s="62" t="s">
        <v>384</v>
      </c>
      <c r="C7097" s="62" t="s">
        <v>60</v>
      </c>
      <c r="D7097" s="62" t="s">
        <v>382</v>
      </c>
      <c r="E7097" s="62" t="s">
        <v>382</v>
      </c>
      <c r="F7097" s="63" t="s">
        <v>746</v>
      </c>
      <c r="G7097" s="64" t="n">
        <v>54698140.138</v>
      </c>
      <c r="H7097" s="62" t="s">
        <v>138</v>
      </c>
    </row>
    <row r="7098" customFormat="false" ht="15" hidden="false" customHeight="false" outlineLevel="0" collapsed="false">
      <c r="A7098" s="62" t="n">
        <v>1</v>
      </c>
      <c r="B7098" s="62" t="s">
        <v>385</v>
      </c>
      <c r="C7098" s="62" t="s">
        <v>60</v>
      </c>
      <c r="D7098" s="62" t="s">
        <v>382</v>
      </c>
      <c r="E7098" s="62" t="s">
        <v>382</v>
      </c>
      <c r="F7098" s="63" t="s">
        <v>746</v>
      </c>
      <c r="G7098" s="64" t="n">
        <v>48296432.961</v>
      </c>
      <c r="H7098" s="62" t="s">
        <v>138</v>
      </c>
    </row>
    <row r="7099" customFormat="false" ht="15" hidden="false" customHeight="false" outlineLevel="0" collapsed="false">
      <c r="A7099" s="62" t="n">
        <v>1</v>
      </c>
      <c r="B7099" s="62" t="s">
        <v>386</v>
      </c>
      <c r="C7099" s="62" t="s">
        <v>60</v>
      </c>
      <c r="D7099" s="62" t="s">
        <v>382</v>
      </c>
      <c r="E7099" s="62" t="s">
        <v>382</v>
      </c>
      <c r="F7099" s="63" t="s">
        <v>746</v>
      </c>
      <c r="G7099" s="64" t="n">
        <v>38463845.413</v>
      </c>
      <c r="H7099" s="62" t="s">
        <v>138</v>
      </c>
    </row>
    <row r="7100" customFormat="false" ht="15" hidden="false" customHeight="false" outlineLevel="0" collapsed="false">
      <c r="A7100" s="62" t="n">
        <v>1</v>
      </c>
      <c r="B7100" s="62" t="s">
        <v>387</v>
      </c>
      <c r="C7100" s="62" t="s">
        <v>60</v>
      </c>
      <c r="D7100" s="62" t="s">
        <v>382</v>
      </c>
      <c r="E7100" s="62" t="s">
        <v>382</v>
      </c>
      <c r="F7100" s="63" t="s">
        <v>746</v>
      </c>
      <c r="G7100" s="64" t="n">
        <v>53867513.2948</v>
      </c>
      <c r="H7100" s="62" t="s">
        <v>138</v>
      </c>
    </row>
    <row r="7101" customFormat="false" ht="15" hidden="false" customHeight="false" outlineLevel="0" collapsed="false">
      <c r="A7101" s="62" t="n">
        <v>1</v>
      </c>
      <c r="B7101" s="62" t="s">
        <v>388</v>
      </c>
      <c r="C7101" s="62" t="s">
        <v>60</v>
      </c>
      <c r="D7101" s="62" t="s">
        <v>382</v>
      </c>
      <c r="E7101" s="62" t="s">
        <v>382</v>
      </c>
      <c r="F7101" s="63" t="s">
        <v>746</v>
      </c>
      <c r="G7101" s="64" t="n">
        <v>29297967.280663</v>
      </c>
      <c r="H7101" s="62" t="s">
        <v>138</v>
      </c>
    </row>
    <row r="7102" customFormat="false" ht="15" hidden="false" customHeight="false" outlineLevel="0" collapsed="false">
      <c r="A7102" s="62" t="n">
        <v>1</v>
      </c>
      <c r="B7102" s="62" t="s">
        <v>381</v>
      </c>
      <c r="C7102" s="62" t="s">
        <v>60</v>
      </c>
      <c r="D7102" s="62" t="s">
        <v>382</v>
      </c>
      <c r="E7102" s="62" t="s">
        <v>382</v>
      </c>
      <c r="F7102" s="63" t="s">
        <v>747</v>
      </c>
      <c r="G7102" s="64" t="n">
        <v>5347461.74404344</v>
      </c>
      <c r="H7102" s="62" t="s">
        <v>138</v>
      </c>
    </row>
    <row r="7103" customFormat="false" ht="15" hidden="false" customHeight="false" outlineLevel="0" collapsed="false">
      <c r="A7103" s="62" t="n">
        <v>1</v>
      </c>
      <c r="B7103" s="62" t="s">
        <v>383</v>
      </c>
      <c r="C7103" s="62" t="s">
        <v>60</v>
      </c>
      <c r="D7103" s="62" t="s">
        <v>382</v>
      </c>
      <c r="E7103" s="62" t="s">
        <v>382</v>
      </c>
      <c r="F7103" s="63" t="s">
        <v>747</v>
      </c>
      <c r="G7103" s="64" t="n">
        <v>14693609.6217839</v>
      </c>
      <c r="H7103" s="62" t="s">
        <v>138</v>
      </c>
    </row>
    <row r="7104" customFormat="false" ht="15" hidden="false" customHeight="false" outlineLevel="0" collapsed="false">
      <c r="A7104" s="62" t="n">
        <v>1</v>
      </c>
      <c r="B7104" s="62" t="s">
        <v>384</v>
      </c>
      <c r="C7104" s="62" t="s">
        <v>60</v>
      </c>
      <c r="D7104" s="62" t="s">
        <v>382</v>
      </c>
      <c r="E7104" s="62" t="s">
        <v>382</v>
      </c>
      <c r="F7104" s="63" t="s">
        <v>747</v>
      </c>
      <c r="G7104" s="64" t="n">
        <v>11511899.5981337</v>
      </c>
      <c r="H7104" s="62" t="s">
        <v>138</v>
      </c>
    </row>
    <row r="7105" customFormat="false" ht="15" hidden="false" customHeight="false" outlineLevel="0" collapsed="false">
      <c r="A7105" s="62" t="n">
        <v>1</v>
      </c>
      <c r="B7105" s="62" t="s">
        <v>385</v>
      </c>
      <c r="C7105" s="62" t="s">
        <v>60</v>
      </c>
      <c r="D7105" s="62" t="s">
        <v>382</v>
      </c>
      <c r="E7105" s="62" t="s">
        <v>382</v>
      </c>
      <c r="F7105" s="63" t="s">
        <v>747</v>
      </c>
      <c r="G7105" s="64" t="n">
        <v>12840791.155182</v>
      </c>
      <c r="H7105" s="62" t="s">
        <v>138</v>
      </c>
    </row>
    <row r="7106" customFormat="false" ht="15" hidden="false" customHeight="false" outlineLevel="0" collapsed="false">
      <c r="A7106" s="62" t="n">
        <v>1</v>
      </c>
      <c r="B7106" s="62" t="s">
        <v>386</v>
      </c>
      <c r="C7106" s="62" t="s">
        <v>60</v>
      </c>
      <c r="D7106" s="62" t="s">
        <v>382</v>
      </c>
      <c r="E7106" s="62" t="s">
        <v>382</v>
      </c>
      <c r="F7106" s="63" t="s">
        <v>747</v>
      </c>
      <c r="G7106" s="64" t="n">
        <v>6905754.17522271</v>
      </c>
      <c r="H7106" s="62" t="s">
        <v>138</v>
      </c>
    </row>
    <row r="7107" customFormat="false" ht="15" hidden="false" customHeight="false" outlineLevel="0" collapsed="false">
      <c r="A7107" s="62" t="n">
        <v>1</v>
      </c>
      <c r="B7107" s="62" t="s">
        <v>387</v>
      </c>
      <c r="C7107" s="62" t="s">
        <v>60</v>
      </c>
      <c r="D7107" s="62" t="s">
        <v>382</v>
      </c>
      <c r="E7107" s="62" t="s">
        <v>382</v>
      </c>
      <c r="F7107" s="63" t="s">
        <v>747</v>
      </c>
      <c r="G7107" s="64" t="n">
        <v>9732456.0985416</v>
      </c>
      <c r="H7107" s="62" t="s">
        <v>138</v>
      </c>
    </row>
    <row r="7108" customFormat="false" ht="15" hidden="false" customHeight="false" outlineLevel="0" collapsed="false">
      <c r="A7108" s="62" t="n">
        <v>1</v>
      </c>
      <c r="B7108" s="62" t="s">
        <v>388</v>
      </c>
      <c r="C7108" s="62" t="s">
        <v>60</v>
      </c>
      <c r="D7108" s="62" t="s">
        <v>382</v>
      </c>
      <c r="E7108" s="62" t="s">
        <v>382</v>
      </c>
      <c r="F7108" s="63" t="s">
        <v>747</v>
      </c>
      <c r="G7108" s="64" t="n">
        <v>2043183.33648928</v>
      </c>
      <c r="H7108" s="62" t="s">
        <v>138</v>
      </c>
    </row>
    <row r="7110" customFormat="false" ht="15" hidden="false" customHeight="false" outlineLevel="0" collapsed="false">
      <c r="A7110" s="5" t="s">
        <v>868</v>
      </c>
      <c r="B7110" s="5"/>
      <c r="C7110" s="5"/>
      <c r="D7110" s="5"/>
      <c r="E7110" s="5"/>
      <c r="F7110" s="5"/>
      <c r="G7110" s="5"/>
      <c r="H7110" s="5"/>
    </row>
    <row r="7111" customFormat="false" ht="15" hidden="false" customHeight="false" outlineLevel="0" collapsed="false">
      <c r="A7111" s="12" t="n">
        <v>2</v>
      </c>
      <c r="B7111" s="12" t="s">
        <v>381</v>
      </c>
      <c r="C7111" s="65" t="str">
        <f aca="false">01_INPUTS!I16</f>
        <v>PLAN</v>
      </c>
      <c r="D7111" s="12" t="s">
        <v>105</v>
      </c>
      <c r="E7111" s="12" t="s">
        <v>382</v>
      </c>
      <c r="F7111" s="66" t="s">
        <v>267</v>
      </c>
      <c r="G7111" s="67" t="n">
        <f aca="false">_ENGINE_FINANCIERO!I160</f>
        <v>76940912697.0266</v>
      </c>
      <c r="H7111" s="12" t="s">
        <v>81</v>
      </c>
    </row>
    <row r="7112" customFormat="false" ht="15" hidden="false" customHeight="false" outlineLevel="0" collapsed="false">
      <c r="A7112" s="12" t="n">
        <v>2</v>
      </c>
      <c r="B7112" s="12" t="s">
        <v>381</v>
      </c>
      <c r="C7112" s="65" t="str">
        <f aca="false">01_INPUTS!I16</f>
        <v>PLAN</v>
      </c>
      <c r="D7112" s="12" t="s">
        <v>105</v>
      </c>
      <c r="E7112" s="12" t="s">
        <v>382</v>
      </c>
      <c r="F7112" s="66" t="s">
        <v>271</v>
      </c>
      <c r="G7112" s="67" t="n">
        <f aca="false">_ENGINE_FINANCIERO!I161</f>
        <v>58142482938.3097</v>
      </c>
      <c r="H7112" s="12" t="s">
        <v>81</v>
      </c>
    </row>
    <row r="7113" customFormat="false" ht="15" hidden="false" customHeight="false" outlineLevel="0" collapsed="false">
      <c r="A7113" s="12" t="n">
        <v>2</v>
      </c>
      <c r="B7113" s="12" t="s">
        <v>381</v>
      </c>
      <c r="C7113" s="65" t="str">
        <f aca="false">01_INPUTS!I16</f>
        <v>PLAN</v>
      </c>
      <c r="D7113" s="12" t="s">
        <v>105</v>
      </c>
      <c r="E7113" s="12" t="s">
        <v>382</v>
      </c>
      <c r="F7113" s="66" t="s">
        <v>272</v>
      </c>
      <c r="G7113" s="67" t="n">
        <f aca="false">_ENGINE_FINANCIERO!I162</f>
        <v>18798429758.717</v>
      </c>
      <c r="H7113" s="12" t="s">
        <v>81</v>
      </c>
    </row>
    <row r="7114" customFormat="false" ht="15" hidden="false" customHeight="false" outlineLevel="0" collapsed="false">
      <c r="A7114" s="12" t="n">
        <v>2</v>
      </c>
      <c r="B7114" s="12" t="s">
        <v>381</v>
      </c>
      <c r="C7114" s="65" t="str">
        <f aca="false">01_INPUTS!I16</f>
        <v>PLAN</v>
      </c>
      <c r="D7114" s="12" t="s">
        <v>105</v>
      </c>
      <c r="E7114" s="12" t="s">
        <v>382</v>
      </c>
      <c r="F7114" s="66" t="s">
        <v>274</v>
      </c>
      <c r="G7114" s="67" t="n">
        <f aca="false">_ENGINE_FINANCIERO!I163</f>
        <v>976338378</v>
      </c>
      <c r="H7114" s="12" t="s">
        <v>81</v>
      </c>
    </row>
    <row r="7115" customFormat="false" ht="15" hidden="false" customHeight="false" outlineLevel="0" collapsed="false">
      <c r="A7115" s="12" t="n">
        <v>2</v>
      </c>
      <c r="B7115" s="12" t="s">
        <v>381</v>
      </c>
      <c r="C7115" s="65" t="str">
        <f aca="false">01_INPUTS!I16</f>
        <v>PLAN</v>
      </c>
      <c r="D7115" s="12" t="s">
        <v>105</v>
      </c>
      <c r="E7115" s="12" t="s">
        <v>382</v>
      </c>
      <c r="F7115" s="66" t="s">
        <v>275</v>
      </c>
      <c r="G7115" s="67" t="n">
        <f aca="false">_ENGINE_FINANCIERO!I164</f>
        <v>17822091380.717</v>
      </c>
      <c r="H7115" s="12" t="s">
        <v>81</v>
      </c>
    </row>
    <row r="7116" customFormat="false" ht="15" hidden="false" customHeight="false" outlineLevel="0" collapsed="false">
      <c r="A7116" s="12" t="n">
        <v>2</v>
      </c>
      <c r="B7116" s="12" t="s">
        <v>381</v>
      </c>
      <c r="C7116" s="65" t="str">
        <f aca="false">01_INPUTS!I16</f>
        <v>PLAN</v>
      </c>
      <c r="D7116" s="12" t="s">
        <v>105</v>
      </c>
      <c r="E7116" s="12" t="s">
        <v>382</v>
      </c>
      <c r="F7116" s="66" t="s">
        <v>276</v>
      </c>
      <c r="G7116" s="67" t="n">
        <f aca="false">_ENGINE_FINANCIERO!I165</f>
        <v>374750153.376885</v>
      </c>
      <c r="H7116" s="12" t="s">
        <v>81</v>
      </c>
    </row>
    <row r="7117" customFormat="false" ht="15" hidden="false" customHeight="false" outlineLevel="0" collapsed="false">
      <c r="A7117" s="12" t="n">
        <v>2</v>
      </c>
      <c r="B7117" s="12" t="s">
        <v>381</v>
      </c>
      <c r="C7117" s="65" t="str">
        <f aca="false">01_INPUTS!I16</f>
        <v>PLAN</v>
      </c>
      <c r="D7117" s="12" t="s">
        <v>105</v>
      </c>
      <c r="E7117" s="12" t="s">
        <v>382</v>
      </c>
      <c r="F7117" s="66" t="s">
        <v>277</v>
      </c>
      <c r="G7117" s="67" t="n">
        <f aca="false">_ENGINE_FINANCIERO!I166</f>
        <v>17447341227.3401</v>
      </c>
      <c r="H7117" s="12" t="s">
        <v>81</v>
      </c>
    </row>
    <row r="7118" customFormat="false" ht="15" hidden="false" customHeight="false" outlineLevel="0" collapsed="false">
      <c r="A7118" s="12" t="n">
        <v>2</v>
      </c>
      <c r="B7118" s="12" t="s">
        <v>381</v>
      </c>
      <c r="C7118" s="65" t="str">
        <f aca="false">01_INPUTS!I16</f>
        <v>PLAN</v>
      </c>
      <c r="D7118" s="12" t="s">
        <v>105</v>
      </c>
      <c r="E7118" s="12" t="s">
        <v>382</v>
      </c>
      <c r="F7118" s="66" t="s">
        <v>278</v>
      </c>
      <c r="G7118" s="67" t="n">
        <f aca="false">_ENGINE_FINANCIERO!I167</f>
        <v>3832275035.27451</v>
      </c>
      <c r="H7118" s="12" t="s">
        <v>81</v>
      </c>
    </row>
    <row r="7119" customFormat="false" ht="15" hidden="false" customHeight="false" outlineLevel="0" collapsed="false">
      <c r="A7119" s="12" t="n">
        <v>2</v>
      </c>
      <c r="B7119" s="12" t="s">
        <v>381</v>
      </c>
      <c r="C7119" s="65" t="str">
        <f aca="false">01_INPUTS!I16</f>
        <v>PLAN</v>
      </c>
      <c r="D7119" s="12" t="s">
        <v>105</v>
      </c>
      <c r="E7119" s="12" t="s">
        <v>382</v>
      </c>
      <c r="F7119" s="66" t="s">
        <v>279</v>
      </c>
      <c r="G7119" s="67" t="n">
        <f aca="false">_ENGINE_FINANCIERO!I168</f>
        <v>13615066192.0656</v>
      </c>
      <c r="H7119" s="12" t="s">
        <v>81</v>
      </c>
    </row>
    <row r="7120" customFormat="false" ht="15" hidden="false" customHeight="false" outlineLevel="0" collapsed="false">
      <c r="A7120" s="12" t="n">
        <v>2</v>
      </c>
      <c r="B7120" s="12" t="s">
        <v>381</v>
      </c>
      <c r="C7120" s="65" t="str">
        <f aca="false">01_INPUTS!I16</f>
        <v>PLAN</v>
      </c>
      <c r="D7120" s="12" t="s">
        <v>105</v>
      </c>
      <c r="E7120" s="12" t="s">
        <v>382</v>
      </c>
      <c r="F7120" s="66" t="s">
        <v>281</v>
      </c>
      <c r="G7120" s="67" t="n">
        <f aca="false">_ENGINE_FINANCIERO!I172</f>
        <v>8787045402</v>
      </c>
      <c r="H7120" s="12" t="s">
        <v>81</v>
      </c>
    </row>
    <row r="7121" customFormat="false" ht="15" hidden="false" customHeight="false" outlineLevel="0" collapsed="false">
      <c r="A7121" s="12" t="n">
        <v>2</v>
      </c>
      <c r="B7121" s="12" t="s">
        <v>381</v>
      </c>
      <c r="C7121" s="65" t="str">
        <f aca="false">01_INPUTS!I16</f>
        <v>PLAN</v>
      </c>
      <c r="D7121" s="12" t="s">
        <v>105</v>
      </c>
      <c r="E7121" s="12" t="s">
        <v>382</v>
      </c>
      <c r="F7121" s="66" t="s">
        <v>282</v>
      </c>
      <c r="G7121" s="67" t="n">
        <f aca="false">_ENGINE_FINANCIERO!I173</f>
        <v>670282223.362773</v>
      </c>
      <c r="H7121" s="12" t="s">
        <v>81</v>
      </c>
    </row>
    <row r="7122" customFormat="false" ht="15" hidden="false" customHeight="false" outlineLevel="0" collapsed="false">
      <c r="A7122" s="12" t="n">
        <v>2</v>
      </c>
      <c r="B7122" s="12" t="s">
        <v>381</v>
      </c>
      <c r="C7122" s="65" t="str">
        <f aca="false">01_INPUTS!I16</f>
        <v>PLAN</v>
      </c>
      <c r="D7122" s="12" t="s">
        <v>105</v>
      </c>
      <c r="E7122" s="12" t="s">
        <v>382</v>
      </c>
      <c r="F7122" s="66" t="s">
        <v>283</v>
      </c>
      <c r="G7122" s="67" t="n">
        <f aca="false">_ENGINE_FINANCIERO!I174</f>
        <v>3170513872.06625</v>
      </c>
      <c r="H7122" s="12" t="s">
        <v>81</v>
      </c>
    </row>
    <row r="7123" customFormat="false" ht="15" hidden="false" customHeight="false" outlineLevel="0" collapsed="false">
      <c r="A7123" s="12" t="n">
        <v>2</v>
      </c>
      <c r="B7123" s="12" t="s">
        <v>381</v>
      </c>
      <c r="C7123" s="65" t="str">
        <f aca="false">01_INPUTS!I16</f>
        <v>PLAN</v>
      </c>
      <c r="D7123" s="12" t="s">
        <v>105</v>
      </c>
      <c r="E7123" s="12" t="s">
        <v>382</v>
      </c>
      <c r="F7123" s="66" t="s">
        <v>284</v>
      </c>
      <c r="G7123" s="67" t="n">
        <f aca="false">_ENGINE_FINANCIERO!I175</f>
        <v>23640855094.9208</v>
      </c>
      <c r="H7123" s="12" t="s">
        <v>81</v>
      </c>
    </row>
    <row r="7124" customFormat="false" ht="15" hidden="false" customHeight="false" outlineLevel="0" collapsed="false">
      <c r="A7124" s="12" t="n">
        <v>2</v>
      </c>
      <c r="B7124" s="12" t="s">
        <v>381</v>
      </c>
      <c r="C7124" s="65" t="str">
        <f aca="false">01_INPUTS!I16</f>
        <v>PLAN</v>
      </c>
      <c r="D7124" s="12" t="s">
        <v>105</v>
      </c>
      <c r="E7124" s="12" t="s">
        <v>382</v>
      </c>
      <c r="F7124" s="66" t="s">
        <v>285</v>
      </c>
      <c r="G7124" s="67" t="n">
        <f aca="false">_ENGINE_FINANCIERO!I176</f>
        <v>36268696592.3498</v>
      </c>
      <c r="H7124" s="12" t="s">
        <v>81</v>
      </c>
    </row>
    <row r="7125" customFormat="false" ht="15" hidden="false" customHeight="false" outlineLevel="0" collapsed="false">
      <c r="A7125" s="12" t="n">
        <v>2</v>
      </c>
      <c r="B7125" s="12" t="s">
        <v>381</v>
      </c>
      <c r="C7125" s="65" t="str">
        <f aca="false">01_INPUTS!I16</f>
        <v>PLAN</v>
      </c>
      <c r="D7125" s="12" t="s">
        <v>105</v>
      </c>
      <c r="E7125" s="12" t="s">
        <v>382</v>
      </c>
      <c r="F7125" s="66" t="s">
        <v>286</v>
      </c>
      <c r="G7125" s="67" t="n">
        <f aca="false">_ENGINE_FINANCIERO!I182</f>
        <v>11900000000</v>
      </c>
      <c r="H7125" s="12" t="s">
        <v>81</v>
      </c>
    </row>
    <row r="7126" customFormat="false" ht="15" hidden="false" customHeight="false" outlineLevel="0" collapsed="false">
      <c r="A7126" s="12" t="n">
        <v>2</v>
      </c>
      <c r="B7126" s="12" t="s">
        <v>381</v>
      </c>
      <c r="C7126" s="65" t="str">
        <f aca="false">01_INPUTS!I16</f>
        <v>PLAN</v>
      </c>
      <c r="D7126" s="12" t="s">
        <v>105</v>
      </c>
      <c r="E7126" s="12" t="s">
        <v>382</v>
      </c>
      <c r="F7126" s="66" t="s">
        <v>287</v>
      </c>
      <c r="G7126" s="67" t="n">
        <f aca="false">_ENGINE_FINANCIERO!I183</f>
        <v>0</v>
      </c>
      <c r="H7126" s="12" t="s">
        <v>81</v>
      </c>
    </row>
    <row r="7127" customFormat="false" ht="15" hidden="false" customHeight="false" outlineLevel="0" collapsed="false">
      <c r="A7127" s="12" t="n">
        <v>2</v>
      </c>
      <c r="B7127" s="12" t="s">
        <v>381</v>
      </c>
      <c r="C7127" s="65" t="str">
        <f aca="false">01_INPUTS!I16</f>
        <v>PLAN</v>
      </c>
      <c r="D7127" s="12" t="s">
        <v>105</v>
      </c>
      <c r="E7127" s="12" t="s">
        <v>382</v>
      </c>
      <c r="F7127" s="66" t="s">
        <v>288</v>
      </c>
      <c r="G7127" s="67" t="n">
        <f aca="false">_ENGINE_FINANCIERO!I184</f>
        <v>2140731942.1085</v>
      </c>
      <c r="H7127" s="12" t="s">
        <v>81</v>
      </c>
    </row>
    <row r="7128" customFormat="false" ht="15" hidden="false" customHeight="false" outlineLevel="0" collapsed="false">
      <c r="A7128" s="12" t="n">
        <v>2</v>
      </c>
      <c r="B7128" s="12" t="s">
        <v>381</v>
      </c>
      <c r="C7128" s="65" t="str">
        <f aca="false">01_INPUTS!I16</f>
        <v>PLAN</v>
      </c>
      <c r="D7128" s="12" t="s">
        <v>105</v>
      </c>
      <c r="E7128" s="12" t="s">
        <v>382</v>
      </c>
      <c r="F7128" s="66" t="s">
        <v>289</v>
      </c>
      <c r="G7128" s="67" t="n">
        <f aca="false">_ENGINE_FINANCIERO!I185</f>
        <v>14040731942.1085</v>
      </c>
      <c r="H7128" s="12" t="s">
        <v>81</v>
      </c>
    </row>
    <row r="7129" customFormat="false" ht="15" hidden="false" customHeight="false" outlineLevel="0" collapsed="false">
      <c r="A7129" s="12" t="n">
        <v>2</v>
      </c>
      <c r="B7129" s="12" t="s">
        <v>381</v>
      </c>
      <c r="C7129" s="65" t="str">
        <f aca="false">01_INPUTS!I16</f>
        <v>PLAN</v>
      </c>
      <c r="D7129" s="12" t="s">
        <v>105</v>
      </c>
      <c r="E7129" s="12" t="s">
        <v>382</v>
      </c>
      <c r="F7129" s="66" t="s">
        <v>293</v>
      </c>
      <c r="G7129" s="67" t="n">
        <f aca="false">_ENGINE_FINANCIERO!I181</f>
        <v>22227964650.2413</v>
      </c>
      <c r="H7129" s="12" t="s">
        <v>81</v>
      </c>
    </row>
    <row r="7130" customFormat="false" ht="15" hidden="false" customHeight="false" outlineLevel="0" collapsed="false">
      <c r="A7130" s="12" t="n">
        <v>2</v>
      </c>
      <c r="B7130" s="12" t="s">
        <v>381</v>
      </c>
      <c r="C7130" s="65" t="str">
        <f aca="false">01_INPUTS!I16</f>
        <v>PLAN</v>
      </c>
      <c r="D7130" s="12" t="s">
        <v>105</v>
      </c>
      <c r="E7130" s="12" t="s">
        <v>382</v>
      </c>
      <c r="F7130" s="66" t="s">
        <v>430</v>
      </c>
      <c r="G7130" s="67" t="n">
        <f aca="false">_ENGINE_FINANCIERO!I190</f>
        <v>21562266304.5352</v>
      </c>
      <c r="H7130" s="12" t="s">
        <v>81</v>
      </c>
    </row>
    <row r="7131" customFormat="false" ht="15" hidden="false" customHeight="false" outlineLevel="0" collapsed="false">
      <c r="A7131" s="12" t="n">
        <v>2</v>
      </c>
      <c r="B7131" s="12" t="s">
        <v>381</v>
      </c>
      <c r="C7131" s="65" t="str">
        <f aca="false">01_INPUTS!I16</f>
        <v>PLAN</v>
      </c>
      <c r="D7131" s="12" t="s">
        <v>105</v>
      </c>
      <c r="E7131" s="12" t="s">
        <v>382</v>
      </c>
      <c r="F7131" s="66" t="s">
        <v>431</v>
      </c>
      <c r="G7131" s="67" t="n">
        <f aca="false">_ENGINE_FINANCIERO!I191</f>
        <v>0</v>
      </c>
      <c r="H7131" s="12" t="s">
        <v>81</v>
      </c>
    </row>
    <row r="7132" customFormat="false" ht="15" hidden="false" customHeight="false" outlineLevel="0" collapsed="false">
      <c r="A7132" s="12" t="n">
        <v>2</v>
      </c>
      <c r="B7132" s="12" t="s">
        <v>381</v>
      </c>
      <c r="C7132" s="65" t="str">
        <f aca="false">01_INPUTS!I16</f>
        <v>PLAN</v>
      </c>
      <c r="D7132" s="12" t="s">
        <v>105</v>
      </c>
      <c r="E7132" s="12" t="s">
        <v>382</v>
      </c>
      <c r="F7132" s="66" t="s">
        <v>439</v>
      </c>
      <c r="G7132" s="67" t="n">
        <f aca="false">_ENGINE_FINANCIERO!I192</f>
        <v>-3000000000</v>
      </c>
      <c r="H7132" s="12" t="s">
        <v>81</v>
      </c>
    </row>
    <row r="7133" customFormat="false" ht="15" hidden="false" customHeight="false" outlineLevel="0" collapsed="false">
      <c r="A7133" s="12" t="n">
        <v>2</v>
      </c>
      <c r="B7133" s="12" t="s">
        <v>381</v>
      </c>
      <c r="C7133" s="65" t="str">
        <f aca="false">01_INPUTS!I16</f>
        <v>PLAN</v>
      </c>
      <c r="D7133" s="12" t="s">
        <v>105</v>
      </c>
      <c r="E7133" s="12" t="s">
        <v>382</v>
      </c>
      <c r="F7133" s="66" t="s">
        <v>307</v>
      </c>
      <c r="G7133" s="67" t="n">
        <f aca="false">03_RATIOS!I7*100</f>
        <v>24.4322936910566</v>
      </c>
      <c r="H7133" s="12" t="s">
        <v>42</v>
      </c>
    </row>
    <row r="7134" customFormat="false" ht="15" hidden="false" customHeight="false" outlineLevel="0" collapsed="false">
      <c r="A7134" s="12" t="n">
        <v>2</v>
      </c>
      <c r="B7134" s="12" t="s">
        <v>381</v>
      </c>
      <c r="C7134" s="65" t="str">
        <f aca="false">01_INPUTS!I16</f>
        <v>PLAN</v>
      </c>
      <c r="D7134" s="12" t="s">
        <v>105</v>
      </c>
      <c r="E7134" s="12" t="s">
        <v>382</v>
      </c>
      <c r="F7134" s="66" t="s">
        <v>467</v>
      </c>
      <c r="G7134" s="67" t="n">
        <f aca="false">03_RATIOS!I8*100</f>
        <v>17.6954830854141</v>
      </c>
      <c r="H7134" s="12" t="s">
        <v>42</v>
      </c>
    </row>
    <row r="7135" customFormat="false" ht="15" hidden="false" customHeight="false" outlineLevel="0" collapsed="false">
      <c r="A7135" s="12" t="n">
        <v>2</v>
      </c>
      <c r="B7135" s="12" t="s">
        <v>381</v>
      </c>
      <c r="C7135" s="65" t="str">
        <f aca="false">01_INPUTS!I16</f>
        <v>PLAN</v>
      </c>
      <c r="D7135" s="12" t="s">
        <v>105</v>
      </c>
      <c r="E7135" s="12" t="s">
        <v>382</v>
      </c>
      <c r="F7135" s="66" t="s">
        <v>471</v>
      </c>
      <c r="G7135" s="67" t="n">
        <f aca="false">03_RATIOS!I9*100</f>
        <v>80.4652419676564</v>
      </c>
      <c r="H7135" s="12" t="s">
        <v>42</v>
      </c>
    </row>
    <row r="7136" customFormat="false" ht="15" hidden="false" customHeight="false" outlineLevel="0" collapsed="false">
      <c r="A7136" s="12" t="n">
        <v>2</v>
      </c>
      <c r="B7136" s="12" t="s">
        <v>381</v>
      </c>
      <c r="C7136" s="65" t="str">
        <f aca="false">01_INPUTS!I16</f>
        <v>PLAN</v>
      </c>
      <c r="D7136" s="12" t="s">
        <v>105</v>
      </c>
      <c r="E7136" s="12" t="s">
        <v>382</v>
      </c>
      <c r="F7136" s="66" t="s">
        <v>470</v>
      </c>
      <c r="G7136" s="67" t="n">
        <f aca="false">03_RATIOS!I10*100</f>
        <v>61.8383917922786</v>
      </c>
      <c r="H7136" s="12" t="s">
        <v>42</v>
      </c>
    </row>
    <row r="7137" customFormat="false" ht="15" hidden="false" customHeight="false" outlineLevel="0" collapsed="false">
      <c r="A7137" s="12" t="n">
        <v>2</v>
      </c>
      <c r="B7137" s="12" t="s">
        <v>381</v>
      </c>
      <c r="C7137" s="65" t="str">
        <f aca="false">01_INPUTS!I16</f>
        <v>PLAN</v>
      </c>
      <c r="D7137" s="12" t="s">
        <v>105</v>
      </c>
      <c r="E7137" s="12" t="s">
        <v>382</v>
      </c>
      <c r="F7137" s="66" t="s">
        <v>869</v>
      </c>
      <c r="G7137" s="67" t="n">
        <f aca="false">03_RATIOS!I12*100</f>
        <v>52.6627618063667</v>
      </c>
      <c r="H7137" s="12" t="s">
        <v>313</v>
      </c>
    </row>
    <row r="7138" customFormat="false" ht="15" hidden="false" customHeight="false" outlineLevel="0" collapsed="false">
      <c r="A7138" s="12" t="n">
        <v>2</v>
      </c>
      <c r="B7138" s="12" t="s">
        <v>381</v>
      </c>
      <c r="C7138" s="65" t="str">
        <f aca="false">01_INPUTS!I16</f>
        <v>PLAN</v>
      </c>
      <c r="D7138" s="12" t="s">
        <v>105</v>
      </c>
      <c r="E7138" s="12" t="s">
        <v>382</v>
      </c>
      <c r="F7138" s="66" t="s">
        <v>472</v>
      </c>
      <c r="G7138" s="67" t="n">
        <f aca="false">03_RATIOS!I13</f>
        <v>8.37850227204036</v>
      </c>
      <c r="H7138" s="12" t="s">
        <v>115</v>
      </c>
    </row>
    <row r="7139" customFormat="false" ht="15" hidden="false" customHeight="false" outlineLevel="0" collapsed="false">
      <c r="A7139" s="12" t="n">
        <v>2</v>
      </c>
      <c r="B7139" s="12" t="s">
        <v>381</v>
      </c>
      <c r="C7139" s="65" t="str">
        <f aca="false">01_INPUTS!I16</f>
        <v>PLAN</v>
      </c>
      <c r="D7139" s="12" t="s">
        <v>105</v>
      </c>
      <c r="E7139" s="12" t="s">
        <v>382</v>
      </c>
      <c r="F7139" s="66" t="s">
        <v>870</v>
      </c>
      <c r="G7139" s="67" t="n">
        <f aca="false">03_RATIOS!I15</f>
        <v>21562266304.5352</v>
      </c>
      <c r="H7139" s="12" t="s">
        <v>81</v>
      </c>
    </row>
    <row r="7140" customFormat="false" ht="15" hidden="false" customHeight="false" outlineLevel="0" collapsed="false">
      <c r="A7140" s="12" t="n">
        <v>2</v>
      </c>
      <c r="B7140" s="12" t="s">
        <v>381</v>
      </c>
      <c r="C7140" s="65" t="str">
        <f aca="false">01_INPUTS!I16</f>
        <v>PLAN</v>
      </c>
      <c r="D7140" s="12" t="s">
        <v>105</v>
      </c>
      <c r="E7140" s="12" t="s">
        <v>382</v>
      </c>
      <c r="F7140" s="66" t="s">
        <v>871</v>
      </c>
      <c r="G7140" s="67" t="n">
        <f aca="false">03_RATIOS!I18*100</f>
        <v>22.0344136244325</v>
      </c>
      <c r="H7140" s="12" t="s">
        <v>42</v>
      </c>
    </row>
    <row r="7141" customFormat="false" ht="15" hidden="false" customHeight="false" outlineLevel="0" collapsed="false">
      <c r="A7141" s="12" t="n">
        <v>2</v>
      </c>
      <c r="B7141" s="12" t="s">
        <v>381</v>
      </c>
      <c r="C7141" s="65" t="str">
        <f aca="false">01_INPUTS!I16</f>
        <v>PLAN</v>
      </c>
      <c r="D7141" s="12" t="s">
        <v>105</v>
      </c>
      <c r="E7141" s="12" t="s">
        <v>382</v>
      </c>
      <c r="F7141" s="66" t="s">
        <v>872</v>
      </c>
      <c r="G7141" s="67" t="n">
        <f aca="false">03_RATIOS!I29</f>
        <v>0</v>
      </c>
      <c r="H7141" s="12" t="s">
        <v>332</v>
      </c>
    </row>
    <row r="7142" customFormat="false" ht="15" hidden="false" customHeight="false" outlineLevel="0" collapsed="false">
      <c r="A7142" s="12" t="n">
        <v>2</v>
      </c>
      <c r="B7142" s="12" t="s">
        <v>381</v>
      </c>
      <c r="C7142" s="65" t="str">
        <f aca="false">01_INPUTS!I16</f>
        <v>PLAN</v>
      </c>
      <c r="D7142" s="12" t="s">
        <v>105</v>
      </c>
      <c r="E7142" s="12" t="s">
        <v>382</v>
      </c>
      <c r="F7142" s="66" t="s">
        <v>873</v>
      </c>
      <c r="G7142" s="67" t="n">
        <f aca="false">03_RATIOS!I30*100</f>
        <v>17.9455453454848</v>
      </c>
      <c r="H7142" s="12" t="s">
        <v>42</v>
      </c>
    </row>
    <row r="7143" customFormat="false" ht="15" hidden="false" customHeight="false" outlineLevel="0" collapsed="false">
      <c r="A7143" s="12" t="n">
        <v>2</v>
      </c>
      <c r="B7143" s="12" t="s">
        <v>381</v>
      </c>
      <c r="C7143" s="65" t="str">
        <f aca="false">01_INPUTS!I16</f>
        <v>PLAN</v>
      </c>
      <c r="D7143" s="12" t="s">
        <v>105</v>
      </c>
      <c r="E7143" s="12" t="s">
        <v>382</v>
      </c>
      <c r="F7143" s="66" t="s">
        <v>874</v>
      </c>
      <c r="G7143" s="67" t="n">
        <f aca="false">03_RATIOS!I25*100</f>
        <v>11.5328904901865</v>
      </c>
      <c r="H7143" s="12" t="s">
        <v>42</v>
      </c>
    </row>
    <row r="7144" customFormat="false" ht="15" hidden="false" customHeight="false" outlineLevel="0" collapsed="false">
      <c r="A7144" s="12" t="n">
        <v>2</v>
      </c>
      <c r="B7144" s="12" t="s">
        <v>381</v>
      </c>
      <c r="C7144" s="65" t="str">
        <f aca="false">01_INPUTS!I16</f>
        <v>PLAN</v>
      </c>
      <c r="D7144" s="12" t="s">
        <v>67</v>
      </c>
      <c r="E7144" s="12" t="s">
        <v>382</v>
      </c>
      <c r="F7144" s="66" t="s">
        <v>875</v>
      </c>
      <c r="G7144" s="67" t="n">
        <f aca="false">03_RATIOS!I27*100</f>
        <v>90</v>
      </c>
      <c r="H7144" s="12" t="s">
        <v>42</v>
      </c>
    </row>
    <row r="7145" customFormat="false" ht="15" hidden="false" customHeight="false" outlineLevel="0" collapsed="false">
      <c r="A7145" s="12" t="n">
        <v>2</v>
      </c>
      <c r="B7145" s="12" t="s">
        <v>381</v>
      </c>
      <c r="C7145" s="65" t="str">
        <f aca="false">01_INPUTS!I16</f>
        <v>PLAN</v>
      </c>
      <c r="D7145" s="12" t="s">
        <v>71</v>
      </c>
      <c r="E7145" s="12" t="s">
        <v>382</v>
      </c>
      <c r="F7145" s="66" t="s">
        <v>875</v>
      </c>
      <c r="G7145" s="67" t="n">
        <f aca="false">03_RATIOS!I28*100</f>
        <v>90</v>
      </c>
      <c r="H7145" s="12" t="s">
        <v>42</v>
      </c>
    </row>
    <row r="7146" customFormat="false" ht="15" hidden="false" customHeight="false" outlineLevel="0" collapsed="false">
      <c r="A7146" s="12" t="n">
        <v>2</v>
      </c>
      <c r="B7146" s="12" t="s">
        <v>381</v>
      </c>
      <c r="C7146" s="65" t="str">
        <f aca="false">01_INPUTS!I16</f>
        <v>PLAN</v>
      </c>
      <c r="D7146" s="12" t="s">
        <v>67</v>
      </c>
      <c r="E7146" s="12" t="s">
        <v>382</v>
      </c>
      <c r="F7146" s="66" t="s">
        <v>876</v>
      </c>
      <c r="G7146" s="67" t="n">
        <f aca="false">_ENGINE_PRODUCCION!I16</f>
        <v>1400000</v>
      </c>
      <c r="H7146" s="12" t="s">
        <v>332</v>
      </c>
    </row>
    <row r="7147" customFormat="false" ht="15" hidden="false" customHeight="false" outlineLevel="0" collapsed="false">
      <c r="A7147" s="12" t="n">
        <v>2</v>
      </c>
      <c r="B7147" s="12" t="s">
        <v>381</v>
      </c>
      <c r="C7147" s="65" t="str">
        <f aca="false">01_INPUTS!I16</f>
        <v>PLAN</v>
      </c>
      <c r="D7147" s="12" t="s">
        <v>71</v>
      </c>
      <c r="E7147" s="12" t="s">
        <v>382</v>
      </c>
      <c r="F7147" s="66" t="s">
        <v>876</v>
      </c>
      <c r="G7147" s="67" t="n">
        <f aca="false">_ENGINE_PRODUCCION!I25</f>
        <v>500000</v>
      </c>
      <c r="H7147" s="12" t="s">
        <v>332</v>
      </c>
    </row>
    <row r="7148" customFormat="false" ht="15" hidden="false" customHeight="false" outlineLevel="0" collapsed="false">
      <c r="A7148" s="12" t="n">
        <v>2</v>
      </c>
      <c r="B7148" s="12" t="s">
        <v>381</v>
      </c>
      <c r="C7148" s="65" t="str">
        <f aca="false">01_INPUTS!I16</f>
        <v>PLAN</v>
      </c>
      <c r="D7148" s="12" t="s">
        <v>67</v>
      </c>
      <c r="E7148" s="12" t="s">
        <v>92</v>
      </c>
      <c r="F7148" s="66" t="s">
        <v>193</v>
      </c>
      <c r="G7148" s="67" t="n">
        <f aca="false">01_INPUTS!I185</f>
        <v>22500</v>
      </c>
      <c r="H7148" s="12" t="s">
        <v>81</v>
      </c>
    </row>
    <row r="7149" customFormat="false" ht="15" hidden="false" customHeight="false" outlineLevel="0" collapsed="false">
      <c r="A7149" s="12" t="n">
        <v>2</v>
      </c>
      <c r="B7149" s="12" t="s">
        <v>381</v>
      </c>
      <c r="C7149" s="65" t="str">
        <f aca="false">01_INPUTS!I16</f>
        <v>PLAN</v>
      </c>
      <c r="D7149" s="12" t="s">
        <v>67</v>
      </c>
      <c r="E7149" s="12" t="s">
        <v>92</v>
      </c>
      <c r="F7149" s="66" t="s">
        <v>877</v>
      </c>
      <c r="G7149" s="67" t="n">
        <f aca="false">01_INPUTS!I124</f>
        <v>0.136999647456</v>
      </c>
      <c r="H7149" s="12" t="s">
        <v>878</v>
      </c>
    </row>
    <row r="7150" customFormat="false" ht="15" hidden="false" customHeight="false" outlineLevel="0" collapsed="false">
      <c r="A7150" s="12" t="n">
        <v>2</v>
      </c>
      <c r="B7150" s="12" t="s">
        <v>381</v>
      </c>
      <c r="C7150" s="65" t="str">
        <f aca="false">01_INPUTS!I16</f>
        <v>PLAN</v>
      </c>
      <c r="D7150" s="12" t="s">
        <v>67</v>
      </c>
      <c r="E7150" s="12" t="s">
        <v>92</v>
      </c>
      <c r="F7150" s="66" t="s">
        <v>194</v>
      </c>
      <c r="G7150" s="67" t="n">
        <f aca="false">01_INPUTS!I186</f>
        <v>600000000</v>
      </c>
      <c r="H7150" s="12" t="s">
        <v>81</v>
      </c>
    </row>
    <row r="7151" customFormat="false" ht="15" hidden="false" customHeight="false" outlineLevel="0" collapsed="false">
      <c r="A7151" s="12" t="n">
        <v>2</v>
      </c>
      <c r="B7151" s="12" t="s">
        <v>381</v>
      </c>
      <c r="C7151" s="65" t="str">
        <f aca="false">01_INPUTS!I16</f>
        <v>PLAN</v>
      </c>
      <c r="D7151" s="12" t="s">
        <v>67</v>
      </c>
      <c r="E7151" s="12" t="s">
        <v>92</v>
      </c>
      <c r="F7151" s="66" t="s">
        <v>879</v>
      </c>
      <c r="G7151" s="67" t="n">
        <f aca="false">_ENGINE_MERCADO!I190</f>
        <v>747011.127700958</v>
      </c>
      <c r="H7151" s="12" t="s">
        <v>332</v>
      </c>
    </row>
    <row r="7152" customFormat="false" ht="15" hidden="false" customHeight="false" outlineLevel="0" collapsed="false">
      <c r="A7152" s="12" t="n">
        <v>2</v>
      </c>
      <c r="B7152" s="12" t="s">
        <v>381</v>
      </c>
      <c r="C7152" s="65" t="str">
        <f aca="false">01_INPUTS!I16</f>
        <v>PLAN</v>
      </c>
      <c r="D7152" s="12" t="s">
        <v>67</v>
      </c>
      <c r="E7152" s="12" t="s">
        <v>94</v>
      </c>
      <c r="F7152" s="66" t="s">
        <v>193</v>
      </c>
      <c r="G7152" s="67" t="n">
        <f aca="false">01_INPUTS!I189</f>
        <v>28000</v>
      </c>
      <c r="H7152" s="12" t="s">
        <v>81</v>
      </c>
    </row>
    <row r="7153" customFormat="false" ht="15" hidden="false" customHeight="false" outlineLevel="0" collapsed="false">
      <c r="A7153" s="12" t="n">
        <v>2</v>
      </c>
      <c r="B7153" s="12" t="s">
        <v>381</v>
      </c>
      <c r="C7153" s="65" t="str">
        <f aca="false">01_INPUTS!I16</f>
        <v>PLAN</v>
      </c>
      <c r="D7153" s="12" t="s">
        <v>67</v>
      </c>
      <c r="E7153" s="12" t="s">
        <v>94</v>
      </c>
      <c r="F7153" s="66" t="s">
        <v>877</v>
      </c>
      <c r="G7153" s="67" t="n">
        <f aca="false">01_INPUTS!I125</f>
        <v>0.054000091616</v>
      </c>
      <c r="H7153" s="12" t="s">
        <v>878</v>
      </c>
    </row>
    <row r="7154" customFormat="false" ht="15" hidden="false" customHeight="false" outlineLevel="0" collapsed="false">
      <c r="A7154" s="12" t="n">
        <v>2</v>
      </c>
      <c r="B7154" s="12" t="s">
        <v>381</v>
      </c>
      <c r="C7154" s="65" t="str">
        <f aca="false">01_INPUTS!I16</f>
        <v>PLAN</v>
      </c>
      <c r="D7154" s="12" t="s">
        <v>67</v>
      </c>
      <c r="E7154" s="12" t="s">
        <v>94</v>
      </c>
      <c r="F7154" s="66" t="s">
        <v>194</v>
      </c>
      <c r="G7154" s="67" t="n">
        <f aca="false">01_INPUTS!I190</f>
        <v>500000000</v>
      </c>
      <c r="H7154" s="12" t="s">
        <v>81</v>
      </c>
    </row>
    <row r="7155" customFormat="false" ht="15" hidden="false" customHeight="false" outlineLevel="0" collapsed="false">
      <c r="A7155" s="12" t="n">
        <v>2</v>
      </c>
      <c r="B7155" s="12" t="s">
        <v>381</v>
      </c>
      <c r="C7155" s="65" t="str">
        <f aca="false">01_INPUTS!I16</f>
        <v>PLAN</v>
      </c>
      <c r="D7155" s="12" t="s">
        <v>67</v>
      </c>
      <c r="E7155" s="12" t="s">
        <v>94</v>
      </c>
      <c r="F7155" s="66" t="s">
        <v>879</v>
      </c>
      <c r="G7155" s="67" t="n">
        <f aca="false">_ENGINE_MERCADO!I195</f>
        <v>294443.599549982</v>
      </c>
      <c r="H7155" s="12" t="s">
        <v>332</v>
      </c>
    </row>
    <row r="7156" customFormat="false" ht="15" hidden="false" customHeight="false" outlineLevel="0" collapsed="false">
      <c r="A7156" s="12" t="n">
        <v>2</v>
      </c>
      <c r="B7156" s="12" t="s">
        <v>381</v>
      </c>
      <c r="C7156" s="65" t="str">
        <f aca="false">01_INPUTS!I16</f>
        <v>PLAN</v>
      </c>
      <c r="D7156" s="12" t="s">
        <v>67</v>
      </c>
      <c r="E7156" s="12" t="s">
        <v>95</v>
      </c>
      <c r="F7156" s="66" t="s">
        <v>193</v>
      </c>
      <c r="G7156" s="67" t="n">
        <f aca="false">01_INPUTS!I193</f>
        <v>0</v>
      </c>
      <c r="H7156" s="12" t="s">
        <v>81</v>
      </c>
    </row>
    <row r="7157" customFormat="false" ht="15" hidden="false" customHeight="false" outlineLevel="0" collapsed="false">
      <c r="A7157" s="12" t="n">
        <v>2</v>
      </c>
      <c r="B7157" s="12" t="s">
        <v>381</v>
      </c>
      <c r="C7157" s="65" t="str">
        <f aca="false">01_INPUTS!I16</f>
        <v>PLAN</v>
      </c>
      <c r="D7157" s="12" t="s">
        <v>67</v>
      </c>
      <c r="E7157" s="12" t="s">
        <v>95</v>
      </c>
      <c r="F7157" s="66" t="s">
        <v>877</v>
      </c>
      <c r="G7157" s="67" t="n">
        <f aca="false">01_INPUTS!I126</f>
        <v>0</v>
      </c>
      <c r="H7157" s="12" t="s">
        <v>878</v>
      </c>
    </row>
    <row r="7158" customFormat="false" ht="15" hidden="false" customHeight="false" outlineLevel="0" collapsed="false">
      <c r="A7158" s="12" t="n">
        <v>2</v>
      </c>
      <c r="B7158" s="12" t="s">
        <v>381</v>
      </c>
      <c r="C7158" s="65" t="str">
        <f aca="false">01_INPUTS!I16</f>
        <v>PLAN</v>
      </c>
      <c r="D7158" s="12" t="s">
        <v>67</v>
      </c>
      <c r="E7158" s="12" t="s">
        <v>95</v>
      </c>
      <c r="F7158" s="66" t="s">
        <v>194</v>
      </c>
      <c r="G7158" s="67" t="n">
        <f aca="false">01_INPUTS!I194</f>
        <v>0</v>
      </c>
      <c r="H7158" s="12" t="s">
        <v>81</v>
      </c>
    </row>
    <row r="7159" customFormat="false" ht="15" hidden="false" customHeight="false" outlineLevel="0" collapsed="false">
      <c r="A7159" s="12" t="n">
        <v>2</v>
      </c>
      <c r="B7159" s="12" t="s">
        <v>381</v>
      </c>
      <c r="C7159" s="65" t="str">
        <f aca="false">01_INPUTS!I16</f>
        <v>PLAN</v>
      </c>
      <c r="D7159" s="12" t="s">
        <v>67</v>
      </c>
      <c r="E7159" s="12" t="s">
        <v>95</v>
      </c>
      <c r="F7159" s="66" t="s">
        <v>879</v>
      </c>
      <c r="G7159" s="67" t="n">
        <f aca="false">_ENGINE_MERCADO!I200</f>
        <v>0</v>
      </c>
      <c r="H7159" s="12" t="s">
        <v>332</v>
      </c>
    </row>
    <row r="7160" customFormat="false" ht="15" hidden="false" customHeight="false" outlineLevel="0" collapsed="false">
      <c r="A7160" s="12" t="n">
        <v>2</v>
      </c>
      <c r="B7160" s="12" t="s">
        <v>381</v>
      </c>
      <c r="C7160" s="65" t="str">
        <f aca="false">01_INPUTS!I16</f>
        <v>PLAN</v>
      </c>
      <c r="D7160" s="12" t="s">
        <v>67</v>
      </c>
      <c r="E7160" s="12" t="s">
        <v>97</v>
      </c>
      <c r="F7160" s="66" t="s">
        <v>193</v>
      </c>
      <c r="G7160" s="67" t="n">
        <f aca="false">01_INPUTS!I197</f>
        <v>0</v>
      </c>
      <c r="H7160" s="12" t="s">
        <v>81</v>
      </c>
    </row>
    <row r="7161" customFormat="false" ht="15" hidden="false" customHeight="false" outlineLevel="0" collapsed="false">
      <c r="A7161" s="12" t="n">
        <v>2</v>
      </c>
      <c r="B7161" s="12" t="s">
        <v>381</v>
      </c>
      <c r="C7161" s="65" t="str">
        <f aca="false">01_INPUTS!I16</f>
        <v>PLAN</v>
      </c>
      <c r="D7161" s="12" t="s">
        <v>67</v>
      </c>
      <c r="E7161" s="12" t="s">
        <v>97</v>
      </c>
      <c r="F7161" s="66" t="s">
        <v>877</v>
      </c>
      <c r="G7161" s="67" t="n">
        <f aca="false">01_INPUTS!I127</f>
        <v>0</v>
      </c>
      <c r="H7161" s="12" t="s">
        <v>878</v>
      </c>
    </row>
    <row r="7162" customFormat="false" ht="15" hidden="false" customHeight="false" outlineLevel="0" collapsed="false">
      <c r="A7162" s="12" t="n">
        <v>2</v>
      </c>
      <c r="B7162" s="12" t="s">
        <v>381</v>
      </c>
      <c r="C7162" s="65" t="str">
        <f aca="false">01_INPUTS!I16</f>
        <v>PLAN</v>
      </c>
      <c r="D7162" s="12" t="s">
        <v>67</v>
      </c>
      <c r="E7162" s="12" t="s">
        <v>97</v>
      </c>
      <c r="F7162" s="66" t="s">
        <v>194</v>
      </c>
      <c r="G7162" s="67" t="n">
        <f aca="false">01_INPUTS!I198</f>
        <v>0</v>
      </c>
      <c r="H7162" s="12" t="s">
        <v>81</v>
      </c>
    </row>
    <row r="7163" customFormat="false" ht="15" hidden="false" customHeight="false" outlineLevel="0" collapsed="false">
      <c r="A7163" s="12" t="n">
        <v>2</v>
      </c>
      <c r="B7163" s="12" t="s">
        <v>381</v>
      </c>
      <c r="C7163" s="65" t="str">
        <f aca="false">01_INPUTS!I16</f>
        <v>PLAN</v>
      </c>
      <c r="D7163" s="12" t="s">
        <v>67</v>
      </c>
      <c r="E7163" s="12" t="s">
        <v>97</v>
      </c>
      <c r="F7163" s="66" t="s">
        <v>879</v>
      </c>
      <c r="G7163" s="67" t="n">
        <f aca="false">_ENGINE_MERCADO!I205</f>
        <v>0</v>
      </c>
      <c r="H7163" s="12" t="s">
        <v>332</v>
      </c>
    </row>
    <row r="7164" customFormat="false" ht="15" hidden="false" customHeight="false" outlineLevel="0" collapsed="false">
      <c r="A7164" s="12" t="n">
        <v>2</v>
      </c>
      <c r="B7164" s="12" t="s">
        <v>381</v>
      </c>
      <c r="C7164" s="65" t="str">
        <f aca="false">01_INPUTS!I16</f>
        <v>PLAN</v>
      </c>
      <c r="D7164" s="12" t="s">
        <v>71</v>
      </c>
      <c r="E7164" s="12" t="s">
        <v>92</v>
      </c>
      <c r="F7164" s="66" t="s">
        <v>193</v>
      </c>
      <c r="G7164" s="67" t="n">
        <f aca="false">01_INPUTS!I201</f>
        <v>140000</v>
      </c>
      <c r="H7164" s="12" t="s">
        <v>199</v>
      </c>
    </row>
    <row r="7165" customFormat="false" ht="15" hidden="false" customHeight="false" outlineLevel="0" collapsed="false">
      <c r="A7165" s="12" t="n">
        <v>2</v>
      </c>
      <c r="B7165" s="12" t="s">
        <v>381</v>
      </c>
      <c r="C7165" s="65" t="str">
        <f aca="false">01_INPUTS!I16</f>
        <v>PLAN</v>
      </c>
      <c r="D7165" s="12" t="s">
        <v>71</v>
      </c>
      <c r="E7165" s="12" t="s">
        <v>92</v>
      </c>
      <c r="F7165" s="66" t="s">
        <v>877</v>
      </c>
      <c r="G7165" s="67" t="n">
        <f aca="false">01_INPUTS!I128</f>
        <v>0.162000327297</v>
      </c>
      <c r="H7165" s="12" t="s">
        <v>878</v>
      </c>
    </row>
    <row r="7166" customFormat="false" ht="15" hidden="false" customHeight="false" outlineLevel="0" collapsed="false">
      <c r="A7166" s="12" t="n">
        <v>2</v>
      </c>
      <c r="B7166" s="12" t="s">
        <v>381</v>
      </c>
      <c r="C7166" s="65" t="str">
        <f aca="false">01_INPUTS!I16</f>
        <v>PLAN</v>
      </c>
      <c r="D7166" s="12" t="s">
        <v>71</v>
      </c>
      <c r="E7166" s="12" t="s">
        <v>92</v>
      </c>
      <c r="F7166" s="66" t="s">
        <v>194</v>
      </c>
      <c r="G7166" s="67" t="n">
        <f aca="false">01_INPUTS!I202</f>
        <v>500000000</v>
      </c>
      <c r="H7166" s="12" t="s">
        <v>81</v>
      </c>
    </row>
    <row r="7167" customFormat="false" ht="15" hidden="false" customHeight="false" outlineLevel="0" collapsed="false">
      <c r="A7167" s="12" t="n">
        <v>2</v>
      </c>
      <c r="B7167" s="12" t="s">
        <v>381</v>
      </c>
      <c r="C7167" s="65" t="str">
        <f aca="false">01_INPUTS!I16</f>
        <v>PLAN</v>
      </c>
      <c r="D7167" s="12" t="s">
        <v>71</v>
      </c>
      <c r="E7167" s="12" t="s">
        <v>92</v>
      </c>
      <c r="F7167" s="66" t="s">
        <v>879</v>
      </c>
      <c r="G7167" s="67" t="n">
        <f aca="false">_ENGINE_MERCADO!I210</f>
        <v>669333.512286469</v>
      </c>
      <c r="H7167" s="12" t="s">
        <v>332</v>
      </c>
    </row>
    <row r="7168" customFormat="false" ht="15" hidden="false" customHeight="false" outlineLevel="0" collapsed="false">
      <c r="A7168" s="12" t="n">
        <v>2</v>
      </c>
      <c r="B7168" s="12" t="s">
        <v>381</v>
      </c>
      <c r="C7168" s="65" t="str">
        <f aca="false">01_INPUTS!I16</f>
        <v>PLAN</v>
      </c>
      <c r="D7168" s="12" t="s">
        <v>71</v>
      </c>
      <c r="E7168" s="12" t="s">
        <v>94</v>
      </c>
      <c r="F7168" s="66" t="s">
        <v>193</v>
      </c>
      <c r="G7168" s="67" t="n">
        <f aca="false">01_INPUTS!I205</f>
        <v>175000</v>
      </c>
      <c r="H7168" s="12" t="s">
        <v>199</v>
      </c>
    </row>
    <row r="7169" customFormat="false" ht="15" hidden="false" customHeight="false" outlineLevel="0" collapsed="false">
      <c r="A7169" s="12" t="n">
        <v>2</v>
      </c>
      <c r="B7169" s="12" t="s">
        <v>381</v>
      </c>
      <c r="C7169" s="65" t="str">
        <f aca="false">01_INPUTS!I16</f>
        <v>PLAN</v>
      </c>
      <c r="D7169" s="12" t="s">
        <v>71</v>
      </c>
      <c r="E7169" s="12" t="s">
        <v>94</v>
      </c>
      <c r="F7169" s="66" t="s">
        <v>877</v>
      </c>
      <c r="G7169" s="67" t="n">
        <f aca="false">01_INPUTS!I129</f>
        <v>0.055999817814</v>
      </c>
      <c r="H7169" s="12" t="s">
        <v>878</v>
      </c>
    </row>
    <row r="7170" customFormat="false" ht="15" hidden="false" customHeight="false" outlineLevel="0" collapsed="false">
      <c r="A7170" s="12" t="n">
        <v>2</v>
      </c>
      <c r="B7170" s="12" t="s">
        <v>381</v>
      </c>
      <c r="C7170" s="65" t="str">
        <f aca="false">01_INPUTS!I16</f>
        <v>PLAN</v>
      </c>
      <c r="D7170" s="12" t="s">
        <v>71</v>
      </c>
      <c r="E7170" s="12" t="s">
        <v>94</v>
      </c>
      <c r="F7170" s="66" t="s">
        <v>194</v>
      </c>
      <c r="G7170" s="67" t="n">
        <f aca="false">01_INPUTS!I206</f>
        <v>400000000</v>
      </c>
      <c r="H7170" s="12" t="s">
        <v>81</v>
      </c>
    </row>
    <row r="7171" customFormat="false" ht="15" hidden="false" customHeight="false" outlineLevel="0" collapsed="false">
      <c r="A7171" s="12" t="n">
        <v>2</v>
      </c>
      <c r="B7171" s="12" t="s">
        <v>381</v>
      </c>
      <c r="C7171" s="65" t="str">
        <f aca="false">01_INPUTS!I16</f>
        <v>PLAN</v>
      </c>
      <c r="D7171" s="12" t="s">
        <v>71</v>
      </c>
      <c r="E7171" s="12" t="s">
        <v>94</v>
      </c>
      <c r="F7171" s="66" t="s">
        <v>879</v>
      </c>
      <c r="G7171" s="67" t="n">
        <f aca="false">_ENGINE_MERCADO!I215</f>
        <v>231373.327265748</v>
      </c>
      <c r="H7171" s="12" t="s">
        <v>332</v>
      </c>
    </row>
    <row r="7172" customFormat="false" ht="15" hidden="false" customHeight="false" outlineLevel="0" collapsed="false">
      <c r="A7172" s="12" t="n">
        <v>2</v>
      </c>
      <c r="B7172" s="12" t="s">
        <v>381</v>
      </c>
      <c r="C7172" s="65" t="str">
        <f aca="false">01_INPUTS!I16</f>
        <v>PLAN</v>
      </c>
      <c r="D7172" s="12" t="s">
        <v>71</v>
      </c>
      <c r="E7172" s="12" t="s">
        <v>95</v>
      </c>
      <c r="F7172" s="66" t="s">
        <v>193</v>
      </c>
      <c r="G7172" s="67" t="n">
        <f aca="false">01_INPUTS!I209</f>
        <v>0</v>
      </c>
      <c r="H7172" s="12" t="s">
        <v>199</v>
      </c>
    </row>
    <row r="7173" customFormat="false" ht="15" hidden="false" customHeight="false" outlineLevel="0" collapsed="false">
      <c r="A7173" s="12" t="n">
        <v>2</v>
      </c>
      <c r="B7173" s="12" t="s">
        <v>381</v>
      </c>
      <c r="C7173" s="65" t="str">
        <f aca="false">01_INPUTS!I16</f>
        <v>PLAN</v>
      </c>
      <c r="D7173" s="12" t="s">
        <v>71</v>
      </c>
      <c r="E7173" s="12" t="s">
        <v>95</v>
      </c>
      <c r="F7173" s="66" t="s">
        <v>877</v>
      </c>
      <c r="G7173" s="67" t="n">
        <f aca="false">01_INPUTS!I130</f>
        <v>0</v>
      </c>
      <c r="H7173" s="12" t="s">
        <v>878</v>
      </c>
    </row>
    <row r="7174" customFormat="false" ht="15" hidden="false" customHeight="false" outlineLevel="0" collapsed="false">
      <c r="A7174" s="12" t="n">
        <v>2</v>
      </c>
      <c r="B7174" s="12" t="s">
        <v>381</v>
      </c>
      <c r="C7174" s="65" t="str">
        <f aca="false">01_INPUTS!I16</f>
        <v>PLAN</v>
      </c>
      <c r="D7174" s="12" t="s">
        <v>71</v>
      </c>
      <c r="E7174" s="12" t="s">
        <v>95</v>
      </c>
      <c r="F7174" s="66" t="s">
        <v>194</v>
      </c>
      <c r="G7174" s="67" t="n">
        <f aca="false">01_INPUTS!I210</f>
        <v>0</v>
      </c>
      <c r="H7174" s="12" t="s">
        <v>81</v>
      </c>
    </row>
    <row r="7175" customFormat="false" ht="15" hidden="false" customHeight="false" outlineLevel="0" collapsed="false">
      <c r="A7175" s="12" t="n">
        <v>2</v>
      </c>
      <c r="B7175" s="12" t="s">
        <v>381</v>
      </c>
      <c r="C7175" s="65" t="str">
        <f aca="false">01_INPUTS!I16</f>
        <v>PLAN</v>
      </c>
      <c r="D7175" s="12" t="s">
        <v>71</v>
      </c>
      <c r="E7175" s="12" t="s">
        <v>95</v>
      </c>
      <c r="F7175" s="66" t="s">
        <v>879</v>
      </c>
      <c r="G7175" s="67" t="n">
        <f aca="false">_ENGINE_MERCADO!I220</f>
        <v>0</v>
      </c>
      <c r="H7175" s="12" t="s">
        <v>332</v>
      </c>
    </row>
    <row r="7176" customFormat="false" ht="15" hidden="false" customHeight="false" outlineLevel="0" collapsed="false">
      <c r="A7176" s="12" t="n">
        <v>2</v>
      </c>
      <c r="B7176" s="12" t="s">
        <v>381</v>
      </c>
      <c r="C7176" s="65" t="str">
        <f aca="false">01_INPUTS!I16</f>
        <v>PLAN</v>
      </c>
      <c r="D7176" s="12" t="s">
        <v>71</v>
      </c>
      <c r="E7176" s="12" t="s">
        <v>97</v>
      </c>
      <c r="F7176" s="66" t="s">
        <v>193</v>
      </c>
      <c r="G7176" s="67" t="n">
        <f aca="false">01_INPUTS!I213</f>
        <v>0</v>
      </c>
      <c r="H7176" s="12" t="s">
        <v>199</v>
      </c>
    </row>
    <row r="7177" customFormat="false" ht="15" hidden="false" customHeight="false" outlineLevel="0" collapsed="false">
      <c r="A7177" s="12" t="n">
        <v>2</v>
      </c>
      <c r="B7177" s="12" t="s">
        <v>381</v>
      </c>
      <c r="C7177" s="65" t="str">
        <f aca="false">01_INPUTS!I16</f>
        <v>PLAN</v>
      </c>
      <c r="D7177" s="12" t="s">
        <v>71</v>
      </c>
      <c r="E7177" s="12" t="s">
        <v>97</v>
      </c>
      <c r="F7177" s="66" t="s">
        <v>877</v>
      </c>
      <c r="G7177" s="67" t="n">
        <f aca="false">01_INPUTS!I131</f>
        <v>0</v>
      </c>
      <c r="H7177" s="12" t="s">
        <v>878</v>
      </c>
    </row>
    <row r="7178" customFormat="false" ht="15" hidden="false" customHeight="false" outlineLevel="0" collapsed="false">
      <c r="A7178" s="12" t="n">
        <v>2</v>
      </c>
      <c r="B7178" s="12" t="s">
        <v>381</v>
      </c>
      <c r="C7178" s="65" t="str">
        <f aca="false">01_INPUTS!I16</f>
        <v>PLAN</v>
      </c>
      <c r="D7178" s="12" t="s">
        <v>71</v>
      </c>
      <c r="E7178" s="12" t="s">
        <v>97</v>
      </c>
      <c r="F7178" s="66" t="s">
        <v>194</v>
      </c>
      <c r="G7178" s="67" t="n">
        <f aca="false">01_INPUTS!I214</f>
        <v>0</v>
      </c>
      <c r="H7178" s="12" t="s">
        <v>81</v>
      </c>
    </row>
    <row r="7179" customFormat="false" ht="15" hidden="false" customHeight="false" outlineLevel="0" collapsed="false">
      <c r="A7179" s="12" t="n">
        <v>2</v>
      </c>
      <c r="B7179" s="12" t="s">
        <v>381</v>
      </c>
      <c r="C7179" s="65" t="str">
        <f aca="false">01_INPUTS!I16</f>
        <v>PLAN</v>
      </c>
      <c r="D7179" s="12" t="s">
        <v>71</v>
      </c>
      <c r="E7179" s="12" t="s">
        <v>97</v>
      </c>
      <c r="F7179" s="66" t="s">
        <v>879</v>
      </c>
      <c r="G7179" s="67" t="n">
        <f aca="false">_ENGINE_MERCADO!I225</f>
        <v>0</v>
      </c>
      <c r="H7179" s="12" t="s">
        <v>332</v>
      </c>
    </row>
    <row r="7180" customFormat="false" ht="15" hidden="false" customHeight="false" outlineLevel="0" collapsed="false">
      <c r="A7180" s="12" t="n">
        <v>2</v>
      </c>
      <c r="B7180" s="12" t="s">
        <v>381</v>
      </c>
      <c r="C7180" s="65" t="str">
        <f aca="false">01_INPUTS!I16</f>
        <v>PLAN</v>
      </c>
      <c r="D7180" s="12" t="s">
        <v>72</v>
      </c>
      <c r="E7180" s="12" t="s">
        <v>92</v>
      </c>
      <c r="F7180" s="66" t="s">
        <v>193</v>
      </c>
      <c r="G7180" s="67" t="n">
        <f aca="false">01_INPUTS!I217</f>
        <v>27000</v>
      </c>
      <c r="H7180" s="12" t="s">
        <v>200</v>
      </c>
    </row>
    <row r="7181" customFormat="false" ht="15" hidden="false" customHeight="false" outlineLevel="0" collapsed="false">
      <c r="A7181" s="12" t="n">
        <v>2</v>
      </c>
      <c r="B7181" s="12" t="s">
        <v>381</v>
      </c>
      <c r="C7181" s="65" t="str">
        <f aca="false">01_INPUTS!I16</f>
        <v>PLAN</v>
      </c>
      <c r="D7181" s="12" t="s">
        <v>72</v>
      </c>
      <c r="E7181" s="12" t="s">
        <v>92</v>
      </c>
      <c r="F7181" s="66" t="s">
        <v>877</v>
      </c>
      <c r="G7181" s="67" t="n">
        <f aca="false">01_INPUTS!I132</f>
        <v>0.10000008816</v>
      </c>
      <c r="H7181" s="12" t="s">
        <v>878</v>
      </c>
    </row>
    <row r="7182" customFormat="false" ht="15" hidden="false" customHeight="false" outlineLevel="0" collapsed="false">
      <c r="A7182" s="12" t="n">
        <v>2</v>
      </c>
      <c r="B7182" s="12" t="s">
        <v>381</v>
      </c>
      <c r="C7182" s="65" t="str">
        <f aca="false">01_INPUTS!I16</f>
        <v>PLAN</v>
      </c>
      <c r="D7182" s="12" t="s">
        <v>72</v>
      </c>
      <c r="E7182" s="12" t="s">
        <v>92</v>
      </c>
      <c r="F7182" s="66" t="s">
        <v>194</v>
      </c>
      <c r="G7182" s="67" t="n">
        <f aca="false">01_INPUTS!I218</f>
        <v>500000000</v>
      </c>
      <c r="H7182" s="12" t="s">
        <v>81</v>
      </c>
    </row>
    <row r="7183" customFormat="false" ht="15" hidden="false" customHeight="false" outlineLevel="0" collapsed="false">
      <c r="A7183" s="12" t="n">
        <v>2</v>
      </c>
      <c r="B7183" s="12" t="s">
        <v>381</v>
      </c>
      <c r="C7183" s="65" t="str">
        <f aca="false">01_INPUTS!I16</f>
        <v>PLAN</v>
      </c>
      <c r="D7183" s="12" t="s">
        <v>72</v>
      </c>
      <c r="E7183" s="12" t="s">
        <v>92</v>
      </c>
      <c r="F7183" s="66" t="s">
        <v>879</v>
      </c>
      <c r="G7183" s="67" t="n">
        <f aca="false">_ENGINE_MERCADO!I230</f>
        <v>684641.603579506</v>
      </c>
      <c r="H7183" s="12" t="s">
        <v>332</v>
      </c>
    </row>
    <row r="7184" customFormat="false" ht="15" hidden="false" customHeight="false" outlineLevel="0" collapsed="false">
      <c r="A7184" s="12" t="n">
        <v>2</v>
      </c>
      <c r="B7184" s="12" t="s">
        <v>381</v>
      </c>
      <c r="C7184" s="65" t="str">
        <f aca="false">01_INPUTS!I16</f>
        <v>PLAN</v>
      </c>
      <c r="D7184" s="12" t="s">
        <v>72</v>
      </c>
      <c r="E7184" s="12" t="s">
        <v>94</v>
      </c>
      <c r="F7184" s="66" t="s">
        <v>193</v>
      </c>
      <c r="G7184" s="67" t="n">
        <f aca="false">01_INPUTS!I221</f>
        <v>31000</v>
      </c>
      <c r="H7184" s="12" t="s">
        <v>200</v>
      </c>
    </row>
    <row r="7185" customFormat="false" ht="15" hidden="false" customHeight="false" outlineLevel="0" collapsed="false">
      <c r="A7185" s="12" t="n">
        <v>2</v>
      </c>
      <c r="B7185" s="12" t="s">
        <v>381</v>
      </c>
      <c r="C7185" s="65" t="str">
        <f aca="false">01_INPUTS!I16</f>
        <v>PLAN</v>
      </c>
      <c r="D7185" s="12" t="s">
        <v>72</v>
      </c>
      <c r="E7185" s="12" t="s">
        <v>94</v>
      </c>
      <c r="F7185" s="66" t="s">
        <v>877</v>
      </c>
      <c r="G7185" s="67" t="n">
        <f aca="false">01_INPUTS!I133</f>
        <v>0.0470002128</v>
      </c>
      <c r="H7185" s="12" t="s">
        <v>878</v>
      </c>
    </row>
    <row r="7186" customFormat="false" ht="15" hidden="false" customHeight="false" outlineLevel="0" collapsed="false">
      <c r="A7186" s="12" t="n">
        <v>2</v>
      </c>
      <c r="B7186" s="12" t="s">
        <v>381</v>
      </c>
      <c r="C7186" s="65" t="str">
        <f aca="false">01_INPUTS!I16</f>
        <v>PLAN</v>
      </c>
      <c r="D7186" s="12" t="s">
        <v>72</v>
      </c>
      <c r="E7186" s="12" t="s">
        <v>94</v>
      </c>
      <c r="F7186" s="66" t="s">
        <v>194</v>
      </c>
      <c r="G7186" s="67" t="n">
        <f aca="false">01_INPUTS!I222</f>
        <v>450000000</v>
      </c>
      <c r="H7186" s="12" t="s">
        <v>81</v>
      </c>
    </row>
    <row r="7187" customFormat="false" ht="15" hidden="false" customHeight="false" outlineLevel="0" collapsed="false">
      <c r="A7187" s="12" t="n">
        <v>2</v>
      </c>
      <c r="B7187" s="12" t="s">
        <v>381</v>
      </c>
      <c r="C7187" s="65" t="str">
        <f aca="false">01_INPUTS!I16</f>
        <v>PLAN</v>
      </c>
      <c r="D7187" s="12" t="s">
        <v>72</v>
      </c>
      <c r="E7187" s="12" t="s">
        <v>94</v>
      </c>
      <c r="F7187" s="66" t="s">
        <v>879</v>
      </c>
      <c r="G7187" s="67" t="n">
        <f aca="false">_ENGINE_MERCADO!I235</f>
        <v>321782.726916048</v>
      </c>
      <c r="H7187" s="12" t="s">
        <v>332</v>
      </c>
    </row>
    <row r="7188" customFormat="false" ht="15" hidden="false" customHeight="false" outlineLevel="0" collapsed="false">
      <c r="A7188" s="12" t="n">
        <v>2</v>
      </c>
      <c r="B7188" s="12" t="s">
        <v>381</v>
      </c>
      <c r="C7188" s="65" t="str">
        <f aca="false">01_INPUTS!I16</f>
        <v>PLAN</v>
      </c>
      <c r="D7188" s="12" t="s">
        <v>72</v>
      </c>
      <c r="E7188" s="12" t="s">
        <v>95</v>
      </c>
      <c r="F7188" s="66" t="s">
        <v>193</v>
      </c>
      <c r="G7188" s="67" t="n">
        <f aca="false">01_INPUTS!I225</f>
        <v>0</v>
      </c>
      <c r="H7188" s="12" t="s">
        <v>200</v>
      </c>
    </row>
    <row r="7189" customFormat="false" ht="15" hidden="false" customHeight="false" outlineLevel="0" collapsed="false">
      <c r="A7189" s="12" t="n">
        <v>2</v>
      </c>
      <c r="B7189" s="12" t="s">
        <v>381</v>
      </c>
      <c r="C7189" s="65" t="str">
        <f aca="false">01_INPUTS!I16</f>
        <v>PLAN</v>
      </c>
      <c r="D7189" s="12" t="s">
        <v>72</v>
      </c>
      <c r="E7189" s="12" t="s">
        <v>95</v>
      </c>
      <c r="F7189" s="66" t="s">
        <v>877</v>
      </c>
      <c r="G7189" s="67" t="n">
        <f aca="false">01_INPUTS!I134</f>
        <v>0</v>
      </c>
      <c r="H7189" s="12" t="s">
        <v>878</v>
      </c>
    </row>
    <row r="7190" customFormat="false" ht="15" hidden="false" customHeight="false" outlineLevel="0" collapsed="false">
      <c r="A7190" s="12" t="n">
        <v>2</v>
      </c>
      <c r="B7190" s="12" t="s">
        <v>381</v>
      </c>
      <c r="C7190" s="65" t="str">
        <f aca="false">01_INPUTS!I16</f>
        <v>PLAN</v>
      </c>
      <c r="D7190" s="12" t="s">
        <v>72</v>
      </c>
      <c r="E7190" s="12" t="s">
        <v>95</v>
      </c>
      <c r="F7190" s="66" t="s">
        <v>194</v>
      </c>
      <c r="G7190" s="67" t="n">
        <f aca="false">01_INPUTS!I226</f>
        <v>0</v>
      </c>
      <c r="H7190" s="12" t="s">
        <v>81</v>
      </c>
    </row>
    <row r="7191" customFormat="false" ht="15" hidden="false" customHeight="false" outlineLevel="0" collapsed="false">
      <c r="A7191" s="12" t="n">
        <v>2</v>
      </c>
      <c r="B7191" s="12" t="s">
        <v>381</v>
      </c>
      <c r="C7191" s="65" t="str">
        <f aca="false">01_INPUTS!I16</f>
        <v>PLAN</v>
      </c>
      <c r="D7191" s="12" t="s">
        <v>72</v>
      </c>
      <c r="E7191" s="12" t="s">
        <v>95</v>
      </c>
      <c r="F7191" s="66" t="s">
        <v>879</v>
      </c>
      <c r="G7191" s="67" t="n">
        <f aca="false">_ENGINE_MERCADO!I240</f>
        <v>0</v>
      </c>
      <c r="H7191" s="12" t="s">
        <v>332</v>
      </c>
    </row>
    <row r="7192" customFormat="false" ht="15" hidden="false" customHeight="false" outlineLevel="0" collapsed="false">
      <c r="A7192" s="12" t="n">
        <v>2</v>
      </c>
      <c r="B7192" s="12" t="s">
        <v>381</v>
      </c>
      <c r="C7192" s="65" t="str">
        <f aca="false">01_INPUTS!I16</f>
        <v>PLAN</v>
      </c>
      <c r="D7192" s="12" t="s">
        <v>72</v>
      </c>
      <c r="E7192" s="12" t="s">
        <v>97</v>
      </c>
      <c r="F7192" s="66" t="s">
        <v>193</v>
      </c>
      <c r="G7192" s="67" t="n">
        <f aca="false">01_INPUTS!I229</f>
        <v>0</v>
      </c>
      <c r="H7192" s="12" t="s">
        <v>200</v>
      </c>
    </row>
    <row r="7193" customFormat="false" ht="15" hidden="false" customHeight="false" outlineLevel="0" collapsed="false">
      <c r="A7193" s="12" t="n">
        <v>2</v>
      </c>
      <c r="B7193" s="12" t="s">
        <v>381</v>
      </c>
      <c r="C7193" s="65" t="str">
        <f aca="false">01_INPUTS!I16</f>
        <v>PLAN</v>
      </c>
      <c r="D7193" s="12" t="s">
        <v>72</v>
      </c>
      <c r="E7193" s="12" t="s">
        <v>97</v>
      </c>
      <c r="F7193" s="66" t="s">
        <v>877</v>
      </c>
      <c r="G7193" s="67" t="n">
        <f aca="false">01_INPUTS!I135</f>
        <v>0</v>
      </c>
      <c r="H7193" s="12" t="s">
        <v>878</v>
      </c>
    </row>
    <row r="7194" customFormat="false" ht="15" hidden="false" customHeight="false" outlineLevel="0" collapsed="false">
      <c r="A7194" s="12" t="n">
        <v>2</v>
      </c>
      <c r="B7194" s="12" t="s">
        <v>381</v>
      </c>
      <c r="C7194" s="65" t="str">
        <f aca="false">01_INPUTS!I16</f>
        <v>PLAN</v>
      </c>
      <c r="D7194" s="12" t="s">
        <v>72</v>
      </c>
      <c r="E7194" s="12" t="s">
        <v>97</v>
      </c>
      <c r="F7194" s="66" t="s">
        <v>194</v>
      </c>
      <c r="G7194" s="67" t="n">
        <f aca="false">01_INPUTS!I230</f>
        <v>0</v>
      </c>
      <c r="H7194" s="12" t="s">
        <v>81</v>
      </c>
    </row>
    <row r="7195" customFormat="false" ht="15" hidden="false" customHeight="false" outlineLevel="0" collapsed="false">
      <c r="A7195" s="12" t="n">
        <v>2</v>
      </c>
      <c r="B7195" s="12" t="s">
        <v>381</v>
      </c>
      <c r="C7195" s="65" t="str">
        <f aca="false">01_INPUTS!I16</f>
        <v>PLAN</v>
      </c>
      <c r="D7195" s="12" t="s">
        <v>72</v>
      </c>
      <c r="E7195" s="12" t="s">
        <v>97</v>
      </c>
      <c r="F7195" s="66" t="s">
        <v>879</v>
      </c>
      <c r="G7195" s="67" t="n">
        <f aca="false">_ENGINE_MERCADO!I245</f>
        <v>0</v>
      </c>
      <c r="H7195" s="12" t="s">
        <v>332</v>
      </c>
    </row>
    <row r="7196" customFormat="false" ht="15" hidden="false" customHeight="false" outlineLevel="0" collapsed="false">
      <c r="A7196" s="12" t="n">
        <v>2</v>
      </c>
      <c r="B7196" s="12" t="s">
        <v>381</v>
      </c>
      <c r="C7196" s="65" t="str">
        <f aca="false">01_INPUTS!I16</f>
        <v>PLAN</v>
      </c>
      <c r="D7196" s="12" t="s">
        <v>67</v>
      </c>
      <c r="E7196" s="12" t="s">
        <v>92</v>
      </c>
      <c r="F7196" s="66" t="s">
        <v>880</v>
      </c>
      <c r="G7196" s="67" t="n">
        <f aca="false">_ENGINE_PRODUCCION!I36</f>
        <v>12771.5127515815</v>
      </c>
      <c r="H7196" s="12" t="s">
        <v>89</v>
      </c>
    </row>
    <row r="7197" customFormat="false" ht="15" hidden="false" customHeight="false" outlineLevel="0" collapsed="false">
      <c r="A7197" s="12" t="n">
        <v>2</v>
      </c>
      <c r="B7197" s="12" t="s">
        <v>381</v>
      </c>
      <c r="C7197" s="65" t="str">
        <f aca="false">01_INPUTS!I16</f>
        <v>PLAN</v>
      </c>
      <c r="D7197" s="12" t="s">
        <v>67</v>
      </c>
      <c r="E7197" s="12" t="s">
        <v>92</v>
      </c>
      <c r="F7197" s="66" t="s">
        <v>127</v>
      </c>
      <c r="G7197" s="67" t="n">
        <f aca="false">_ENGINE_PRODUCCION!I77</f>
        <v>0</v>
      </c>
      <c r="H7197" s="12" t="s">
        <v>89</v>
      </c>
    </row>
    <row r="7198" customFormat="false" ht="15" hidden="false" customHeight="false" outlineLevel="0" collapsed="false">
      <c r="A7198" s="12" t="n">
        <v>2</v>
      </c>
      <c r="B7198" s="12" t="s">
        <v>381</v>
      </c>
      <c r="C7198" s="65" t="str">
        <f aca="false">01_INPUTS!I16</f>
        <v>PLAN</v>
      </c>
      <c r="D7198" s="12" t="s">
        <v>67</v>
      </c>
      <c r="E7198" s="12" t="s">
        <v>94</v>
      </c>
      <c r="F7198" s="66" t="s">
        <v>880</v>
      </c>
      <c r="G7198" s="67" t="n">
        <f aca="false">_ENGINE_PRODUCCION!I41</f>
        <v>14739.585183471</v>
      </c>
      <c r="H7198" s="12" t="s">
        <v>89</v>
      </c>
    </row>
    <row r="7199" customFormat="false" ht="15" hidden="false" customHeight="false" outlineLevel="0" collapsed="false">
      <c r="A7199" s="12" t="n">
        <v>2</v>
      </c>
      <c r="B7199" s="12" t="s">
        <v>381</v>
      </c>
      <c r="C7199" s="65" t="str">
        <f aca="false">01_INPUTS!I16</f>
        <v>PLAN</v>
      </c>
      <c r="D7199" s="12" t="s">
        <v>67</v>
      </c>
      <c r="E7199" s="12" t="s">
        <v>94</v>
      </c>
      <c r="F7199" s="66" t="s">
        <v>127</v>
      </c>
      <c r="G7199" s="67" t="n">
        <f aca="false">_ENGINE_PRODUCCION!I89</f>
        <v>0</v>
      </c>
      <c r="H7199" s="12" t="s">
        <v>89</v>
      </c>
    </row>
    <row r="7200" customFormat="false" ht="15" hidden="false" customHeight="false" outlineLevel="0" collapsed="false">
      <c r="A7200" s="12" t="n">
        <v>2</v>
      </c>
      <c r="B7200" s="12" t="s">
        <v>381</v>
      </c>
      <c r="C7200" s="65" t="str">
        <f aca="false">01_INPUTS!I16</f>
        <v>PLAN</v>
      </c>
      <c r="D7200" s="12" t="s">
        <v>67</v>
      </c>
      <c r="E7200" s="12" t="s">
        <v>95</v>
      </c>
      <c r="F7200" s="66" t="s">
        <v>880</v>
      </c>
      <c r="G7200" s="67" t="n">
        <f aca="false">_ENGINE_PRODUCCION!I46</f>
        <v>14739.585183471</v>
      </c>
      <c r="H7200" s="12" t="s">
        <v>89</v>
      </c>
    </row>
    <row r="7201" customFormat="false" ht="15" hidden="false" customHeight="false" outlineLevel="0" collapsed="false">
      <c r="A7201" s="12" t="n">
        <v>2</v>
      </c>
      <c r="B7201" s="12" t="s">
        <v>381</v>
      </c>
      <c r="C7201" s="65" t="str">
        <f aca="false">01_INPUTS!I16</f>
        <v>PLAN</v>
      </c>
      <c r="D7201" s="12" t="s">
        <v>67</v>
      </c>
      <c r="E7201" s="12" t="s">
        <v>95</v>
      </c>
      <c r="F7201" s="66" t="s">
        <v>127</v>
      </c>
      <c r="G7201" s="67" t="n">
        <f aca="false">_ENGINE_PRODUCCION!I101</f>
        <v>0</v>
      </c>
      <c r="H7201" s="12" t="s">
        <v>89</v>
      </c>
    </row>
    <row r="7202" customFormat="false" ht="15" hidden="false" customHeight="false" outlineLevel="0" collapsed="false">
      <c r="A7202" s="12" t="n">
        <v>2</v>
      </c>
      <c r="B7202" s="12" t="s">
        <v>381</v>
      </c>
      <c r="C7202" s="65" t="str">
        <f aca="false">01_INPUTS!I16</f>
        <v>PLAN</v>
      </c>
      <c r="D7202" s="12" t="s">
        <v>67</v>
      </c>
      <c r="E7202" s="12" t="s">
        <v>97</v>
      </c>
      <c r="F7202" s="66" t="s">
        <v>880</v>
      </c>
      <c r="G7202" s="67" t="n">
        <f aca="false">_ENGINE_PRODUCCION!I51</f>
        <v>14739.585183471</v>
      </c>
      <c r="H7202" s="12" t="s">
        <v>89</v>
      </c>
    </row>
    <row r="7203" customFormat="false" ht="15" hidden="false" customHeight="false" outlineLevel="0" collapsed="false">
      <c r="A7203" s="12" t="n">
        <v>2</v>
      </c>
      <c r="B7203" s="12" t="s">
        <v>381</v>
      </c>
      <c r="C7203" s="65" t="str">
        <f aca="false">01_INPUTS!I16</f>
        <v>PLAN</v>
      </c>
      <c r="D7203" s="12" t="s">
        <v>67</v>
      </c>
      <c r="E7203" s="12" t="s">
        <v>97</v>
      </c>
      <c r="F7203" s="66" t="s">
        <v>127</v>
      </c>
      <c r="G7203" s="67" t="n">
        <f aca="false">_ENGINE_PRODUCCION!I113</f>
        <v>0</v>
      </c>
      <c r="H7203" s="12" t="s">
        <v>89</v>
      </c>
    </row>
    <row r="7204" customFormat="false" ht="15" hidden="false" customHeight="false" outlineLevel="0" collapsed="false">
      <c r="A7204" s="12" t="n">
        <v>2</v>
      </c>
      <c r="B7204" s="12" t="s">
        <v>381</v>
      </c>
      <c r="C7204" s="65" t="str">
        <f aca="false">01_INPUTS!I16</f>
        <v>PLAN</v>
      </c>
      <c r="D7204" s="12" t="s">
        <v>71</v>
      </c>
      <c r="E7204" s="12" t="s">
        <v>92</v>
      </c>
      <c r="F7204" s="66" t="s">
        <v>880</v>
      </c>
      <c r="G7204" s="67" t="n">
        <f aca="false">_ENGINE_PRODUCCION!I57</f>
        <v>12151.827924632</v>
      </c>
      <c r="H7204" s="12" t="s">
        <v>89</v>
      </c>
    </row>
    <row r="7205" customFormat="false" ht="15" hidden="false" customHeight="false" outlineLevel="0" collapsed="false">
      <c r="A7205" s="12" t="n">
        <v>2</v>
      </c>
      <c r="B7205" s="12" t="s">
        <v>381</v>
      </c>
      <c r="C7205" s="65" t="str">
        <f aca="false">01_INPUTS!I16</f>
        <v>PLAN</v>
      </c>
      <c r="D7205" s="12" t="s">
        <v>71</v>
      </c>
      <c r="E7205" s="12" t="s">
        <v>92</v>
      </c>
      <c r="F7205" s="66" t="s">
        <v>127</v>
      </c>
      <c r="G7205" s="67" t="n">
        <f aca="false">_ENGINE_PRODUCCION!I126</f>
        <v>10106.74</v>
      </c>
      <c r="H7205" s="12" t="s">
        <v>89</v>
      </c>
    </row>
    <row r="7206" customFormat="false" ht="15" hidden="false" customHeight="false" outlineLevel="0" collapsed="false">
      <c r="A7206" s="12" t="n">
        <v>2</v>
      </c>
      <c r="B7206" s="12" t="s">
        <v>381</v>
      </c>
      <c r="C7206" s="65" t="str">
        <f aca="false">01_INPUTS!I16</f>
        <v>PLAN</v>
      </c>
      <c r="D7206" s="12" t="s">
        <v>71</v>
      </c>
      <c r="E7206" s="12" t="s">
        <v>94</v>
      </c>
      <c r="F7206" s="66" t="s">
        <v>880</v>
      </c>
      <c r="G7206" s="67" t="n">
        <f aca="false">_ENGINE_PRODUCCION!I62</f>
        <v>14051.3756273759</v>
      </c>
      <c r="H7206" s="12" t="s">
        <v>89</v>
      </c>
    </row>
    <row r="7207" customFormat="false" ht="15" hidden="false" customHeight="false" outlineLevel="0" collapsed="false">
      <c r="A7207" s="12" t="n">
        <v>2</v>
      </c>
      <c r="B7207" s="12" t="s">
        <v>381</v>
      </c>
      <c r="C7207" s="65" t="str">
        <f aca="false">01_INPUTS!I16</f>
        <v>PLAN</v>
      </c>
      <c r="D7207" s="12" t="s">
        <v>71</v>
      </c>
      <c r="E7207" s="12" t="s">
        <v>94</v>
      </c>
      <c r="F7207" s="66" t="s">
        <v>127</v>
      </c>
      <c r="G7207" s="67" t="n">
        <f aca="false">_ENGINE_PRODUCCION!I138</f>
        <v>15649.15</v>
      </c>
      <c r="H7207" s="12" t="s">
        <v>89</v>
      </c>
    </row>
    <row r="7208" customFormat="false" ht="15" hidden="false" customHeight="false" outlineLevel="0" collapsed="false">
      <c r="A7208" s="12" t="n">
        <v>2</v>
      </c>
      <c r="B7208" s="12" t="s">
        <v>381</v>
      </c>
      <c r="C7208" s="65" t="str">
        <f aca="false">01_INPUTS!I16</f>
        <v>PLAN</v>
      </c>
      <c r="D7208" s="12" t="s">
        <v>71</v>
      </c>
      <c r="E7208" s="12" t="s">
        <v>95</v>
      </c>
      <c r="F7208" s="66" t="s">
        <v>880</v>
      </c>
      <c r="G7208" s="67" t="n">
        <f aca="false">_ENGINE_PRODUCCION!I67</f>
        <v>14051.3756273759</v>
      </c>
      <c r="H7208" s="12" t="s">
        <v>89</v>
      </c>
    </row>
    <row r="7209" customFormat="false" ht="15" hidden="false" customHeight="false" outlineLevel="0" collapsed="false">
      <c r="A7209" s="12" t="n">
        <v>2</v>
      </c>
      <c r="B7209" s="12" t="s">
        <v>381</v>
      </c>
      <c r="C7209" s="65" t="str">
        <f aca="false">01_INPUTS!I16</f>
        <v>PLAN</v>
      </c>
      <c r="D7209" s="12" t="s">
        <v>71</v>
      </c>
      <c r="E7209" s="12" t="s">
        <v>95</v>
      </c>
      <c r="F7209" s="66" t="s">
        <v>127</v>
      </c>
      <c r="G7209" s="67" t="n">
        <f aca="false">_ENGINE_PRODUCCION!I150</f>
        <v>0</v>
      </c>
      <c r="H7209" s="12" t="s">
        <v>89</v>
      </c>
    </row>
    <row r="7210" customFormat="false" ht="15" hidden="false" customHeight="false" outlineLevel="0" collapsed="false">
      <c r="A7210" s="12" t="n">
        <v>2</v>
      </c>
      <c r="B7210" s="12" t="s">
        <v>381</v>
      </c>
      <c r="C7210" s="65" t="str">
        <f aca="false">01_INPUTS!I16</f>
        <v>PLAN</v>
      </c>
      <c r="D7210" s="12" t="s">
        <v>71</v>
      </c>
      <c r="E7210" s="12" t="s">
        <v>97</v>
      </c>
      <c r="F7210" s="66" t="s">
        <v>880</v>
      </c>
      <c r="G7210" s="67" t="n">
        <f aca="false">_ENGINE_PRODUCCION!I72</f>
        <v>14051.3756273759</v>
      </c>
      <c r="H7210" s="12" t="s">
        <v>89</v>
      </c>
    </row>
    <row r="7211" customFormat="false" ht="15" hidden="false" customHeight="false" outlineLevel="0" collapsed="false">
      <c r="A7211" s="12" t="n">
        <v>2</v>
      </c>
      <c r="B7211" s="12" t="s">
        <v>381</v>
      </c>
      <c r="C7211" s="65" t="str">
        <f aca="false">01_INPUTS!I16</f>
        <v>PLAN</v>
      </c>
      <c r="D7211" s="12" t="s">
        <v>71</v>
      </c>
      <c r="E7211" s="12" t="s">
        <v>97</v>
      </c>
      <c r="F7211" s="66" t="s">
        <v>127</v>
      </c>
      <c r="G7211" s="67" t="n">
        <f aca="false">_ENGINE_PRODUCCION!I162</f>
        <v>0</v>
      </c>
      <c r="H7211" s="12" t="s">
        <v>89</v>
      </c>
    </row>
    <row r="7212" customFormat="false" ht="15" hidden="false" customHeight="false" outlineLevel="0" collapsed="false">
      <c r="A7212" s="12" t="n">
        <v>2</v>
      </c>
      <c r="B7212" s="12" t="s">
        <v>381</v>
      </c>
      <c r="C7212" s="65" t="str">
        <f aca="false">01_INPUTS!I16</f>
        <v>PLAN</v>
      </c>
      <c r="D7212" s="12" t="s">
        <v>67</v>
      </c>
      <c r="E7212" s="12" t="s">
        <v>382</v>
      </c>
      <c r="F7212" s="66" t="s">
        <v>881</v>
      </c>
      <c r="G7212" s="67" t="n">
        <f aca="false">_ENGINE_PRODUCCION!I83+_ENGINE_PRODUCCION!I95+_ENGINE_PRODUCCION!I107+_ENGINE_PRODUCCION!I119</f>
        <v>1514179.73166806</v>
      </c>
      <c r="H7212" s="12" t="s">
        <v>332</v>
      </c>
    </row>
    <row r="7213" customFormat="false" ht="15" hidden="false" customHeight="false" outlineLevel="0" collapsed="false">
      <c r="A7213" s="12" t="n">
        <v>2</v>
      </c>
      <c r="B7213" s="12" t="s">
        <v>381</v>
      </c>
      <c r="C7213" s="65" t="str">
        <f aca="false">01_INPUTS!I16</f>
        <v>PLAN</v>
      </c>
      <c r="D7213" s="12" t="s">
        <v>67</v>
      </c>
      <c r="E7213" s="12" t="s">
        <v>92</v>
      </c>
      <c r="F7213" s="66" t="s">
        <v>881</v>
      </c>
      <c r="G7213" s="67" t="n">
        <f aca="false">_ENGINE_PRODUCCION!I83</f>
        <v>1164986.24356693</v>
      </c>
      <c r="H7213" s="12" t="s">
        <v>332</v>
      </c>
    </row>
    <row r="7214" customFormat="false" ht="15" hidden="false" customHeight="false" outlineLevel="0" collapsed="false">
      <c r="A7214" s="12" t="n">
        <v>2</v>
      </c>
      <c r="B7214" s="12" t="s">
        <v>381</v>
      </c>
      <c r="C7214" s="65" t="str">
        <f aca="false">01_INPUTS!I16</f>
        <v>PLAN</v>
      </c>
      <c r="D7214" s="12" t="s">
        <v>67</v>
      </c>
      <c r="E7214" s="12" t="s">
        <v>94</v>
      </c>
      <c r="F7214" s="66" t="s">
        <v>881</v>
      </c>
      <c r="G7214" s="67" t="n">
        <f aca="false">_ENGINE_PRODUCCION!I95</f>
        <v>349193.488101125</v>
      </c>
      <c r="H7214" s="12" t="s">
        <v>332</v>
      </c>
    </row>
    <row r="7215" customFormat="false" ht="15" hidden="false" customHeight="false" outlineLevel="0" collapsed="false">
      <c r="A7215" s="12" t="n">
        <v>2</v>
      </c>
      <c r="B7215" s="12" t="s">
        <v>381</v>
      </c>
      <c r="C7215" s="65" t="str">
        <f aca="false">01_INPUTS!I16</f>
        <v>PLAN</v>
      </c>
      <c r="D7215" s="12" t="s">
        <v>67</v>
      </c>
      <c r="E7215" s="12" t="s">
        <v>95</v>
      </c>
      <c r="F7215" s="66" t="s">
        <v>881</v>
      </c>
      <c r="G7215" s="67" t="n">
        <f aca="false">_ENGINE_PRODUCCION!I107</f>
        <v>0</v>
      </c>
      <c r="H7215" s="12" t="s">
        <v>332</v>
      </c>
    </row>
    <row r="7216" customFormat="false" ht="15" hidden="false" customHeight="false" outlineLevel="0" collapsed="false">
      <c r="A7216" s="12" t="n">
        <v>2</v>
      </c>
      <c r="B7216" s="12" t="s">
        <v>381</v>
      </c>
      <c r="C7216" s="65" t="str">
        <f aca="false">01_INPUTS!I16</f>
        <v>PLAN</v>
      </c>
      <c r="D7216" s="12" t="s">
        <v>67</v>
      </c>
      <c r="E7216" s="12" t="s">
        <v>97</v>
      </c>
      <c r="F7216" s="66" t="s">
        <v>881</v>
      </c>
      <c r="G7216" s="67" t="n">
        <f aca="false">_ENGINE_PRODUCCION!I119</f>
        <v>0</v>
      </c>
      <c r="H7216" s="12" t="s">
        <v>332</v>
      </c>
    </row>
    <row r="7217" customFormat="false" ht="15" hidden="false" customHeight="false" outlineLevel="0" collapsed="false">
      <c r="A7217" s="12" t="n">
        <v>2</v>
      </c>
      <c r="B7217" s="12" t="s">
        <v>381</v>
      </c>
      <c r="C7217" s="65" t="str">
        <f aca="false">01_INPUTS!I16</f>
        <v>PLAN</v>
      </c>
      <c r="D7217" s="12" t="s">
        <v>71</v>
      </c>
      <c r="E7217" s="12" t="s">
        <v>382</v>
      </c>
      <c r="F7217" s="66" t="s">
        <v>881</v>
      </c>
      <c r="G7217" s="67" t="n">
        <f aca="false">_ENGINE_PRODUCCION!I132+_ENGINE_PRODUCCION!I144+_ENGINE_PRODUCCION!I156+_ENGINE_PRODUCCION!I168</f>
        <v>1434406.16563065</v>
      </c>
      <c r="H7217" s="12" t="s">
        <v>332</v>
      </c>
    </row>
    <row r="7218" customFormat="false" ht="15" hidden="false" customHeight="false" outlineLevel="0" collapsed="false">
      <c r="A7218" s="12" t="n">
        <v>2</v>
      </c>
      <c r="B7218" s="12" t="s">
        <v>381</v>
      </c>
      <c r="C7218" s="65" t="str">
        <f aca="false">01_INPUTS!I16</f>
        <v>PLAN</v>
      </c>
      <c r="D7218" s="12" t="s">
        <v>71</v>
      </c>
      <c r="E7218" s="12" t="s">
        <v>92</v>
      </c>
      <c r="F7218" s="66" t="s">
        <v>881</v>
      </c>
      <c r="G7218" s="67" t="n">
        <f aca="false">_ENGINE_PRODUCCION!I132</f>
        <v>936000</v>
      </c>
      <c r="H7218" s="12" t="s">
        <v>332</v>
      </c>
    </row>
    <row r="7219" customFormat="false" ht="15" hidden="false" customHeight="false" outlineLevel="0" collapsed="false">
      <c r="A7219" s="12" t="n">
        <v>2</v>
      </c>
      <c r="B7219" s="12" t="s">
        <v>381</v>
      </c>
      <c r="C7219" s="65" t="str">
        <f aca="false">01_INPUTS!I16</f>
        <v>PLAN</v>
      </c>
      <c r="D7219" s="12" t="s">
        <v>71</v>
      </c>
      <c r="E7219" s="12" t="s">
        <v>94</v>
      </c>
      <c r="F7219" s="66" t="s">
        <v>881</v>
      </c>
      <c r="G7219" s="67" t="n">
        <f aca="false">_ENGINE_PRODUCCION!I144</f>
        <v>498406.165630653</v>
      </c>
      <c r="H7219" s="12" t="s">
        <v>332</v>
      </c>
    </row>
    <row r="7220" customFormat="false" ht="15" hidden="false" customHeight="false" outlineLevel="0" collapsed="false">
      <c r="A7220" s="12" t="n">
        <v>2</v>
      </c>
      <c r="B7220" s="12" t="s">
        <v>381</v>
      </c>
      <c r="C7220" s="65" t="str">
        <f aca="false">01_INPUTS!I16</f>
        <v>PLAN</v>
      </c>
      <c r="D7220" s="12" t="s">
        <v>71</v>
      </c>
      <c r="E7220" s="12" t="s">
        <v>95</v>
      </c>
      <c r="F7220" s="66" t="s">
        <v>881</v>
      </c>
      <c r="G7220" s="67" t="n">
        <f aca="false">_ENGINE_PRODUCCION!I156</f>
        <v>0</v>
      </c>
      <c r="H7220" s="12" t="s">
        <v>332</v>
      </c>
    </row>
    <row r="7221" customFormat="false" ht="15" hidden="false" customHeight="false" outlineLevel="0" collapsed="false">
      <c r="A7221" s="12" t="n">
        <v>2</v>
      </c>
      <c r="B7221" s="12" t="s">
        <v>381</v>
      </c>
      <c r="C7221" s="65" t="str">
        <f aca="false">01_INPUTS!I16</f>
        <v>PLAN</v>
      </c>
      <c r="D7221" s="12" t="s">
        <v>71</v>
      </c>
      <c r="E7221" s="12" t="s">
        <v>97</v>
      </c>
      <c r="F7221" s="66" t="s">
        <v>881</v>
      </c>
      <c r="G7221" s="67" t="n">
        <f aca="false">_ENGINE_PRODUCCION!I168</f>
        <v>0</v>
      </c>
      <c r="H7221" s="12" t="s">
        <v>332</v>
      </c>
    </row>
    <row r="7222" customFormat="false" ht="15" hidden="false" customHeight="false" outlineLevel="0" collapsed="false">
      <c r="A7222" s="12" t="n">
        <v>2</v>
      </c>
      <c r="B7222" s="12" t="s">
        <v>381</v>
      </c>
      <c r="C7222" s="65" t="str">
        <f aca="false">01_INPUTS!I16</f>
        <v>PLAN</v>
      </c>
      <c r="D7222" s="12" t="s">
        <v>67</v>
      </c>
      <c r="E7222" s="12" t="s">
        <v>382</v>
      </c>
      <c r="F7222" s="66" t="s">
        <v>882</v>
      </c>
      <c r="G7222" s="67" t="n">
        <f aca="false">_ENGINE_MERCADO!I13+_ENGINE_MERCADO!I14+_ENGINE_MERCADO!I15+_ENGINE_MERCADO!I16</f>
        <v>1041454.72725094</v>
      </c>
      <c r="H7222" s="12" t="s">
        <v>332</v>
      </c>
    </row>
    <row r="7223" customFormat="false" ht="15" hidden="false" customHeight="false" outlineLevel="0" collapsed="false">
      <c r="A7223" s="12" t="n">
        <v>2</v>
      </c>
      <c r="B7223" s="12" t="s">
        <v>381</v>
      </c>
      <c r="C7223" s="65" t="str">
        <f aca="false">01_INPUTS!I16</f>
        <v>PLAN</v>
      </c>
      <c r="D7223" s="12" t="s">
        <v>67</v>
      </c>
      <c r="E7223" s="12" t="s">
        <v>92</v>
      </c>
      <c r="F7223" s="66" t="s">
        <v>882</v>
      </c>
      <c r="G7223" s="67" t="n">
        <f aca="false">_ENGINE_MERCADO!I13</f>
        <v>747011.127700958</v>
      </c>
      <c r="H7223" s="12" t="s">
        <v>332</v>
      </c>
    </row>
    <row r="7224" customFormat="false" ht="15" hidden="false" customHeight="false" outlineLevel="0" collapsed="false">
      <c r="A7224" s="12" t="n">
        <v>2</v>
      </c>
      <c r="B7224" s="12" t="s">
        <v>381</v>
      </c>
      <c r="C7224" s="65" t="str">
        <f aca="false">01_INPUTS!I16</f>
        <v>PLAN</v>
      </c>
      <c r="D7224" s="12" t="s">
        <v>67</v>
      </c>
      <c r="E7224" s="12" t="s">
        <v>94</v>
      </c>
      <c r="F7224" s="66" t="s">
        <v>882</v>
      </c>
      <c r="G7224" s="67" t="n">
        <f aca="false">_ENGINE_MERCADO!I14</f>
        <v>294443.599549982</v>
      </c>
      <c r="H7224" s="12" t="s">
        <v>332</v>
      </c>
    </row>
    <row r="7225" customFormat="false" ht="15" hidden="false" customHeight="false" outlineLevel="0" collapsed="false">
      <c r="A7225" s="12" t="n">
        <v>2</v>
      </c>
      <c r="B7225" s="12" t="s">
        <v>381</v>
      </c>
      <c r="C7225" s="65" t="str">
        <f aca="false">01_INPUTS!I16</f>
        <v>PLAN</v>
      </c>
      <c r="D7225" s="12" t="s">
        <v>67</v>
      </c>
      <c r="E7225" s="12" t="s">
        <v>95</v>
      </c>
      <c r="F7225" s="66" t="s">
        <v>882</v>
      </c>
      <c r="G7225" s="67" t="n">
        <f aca="false">_ENGINE_MERCADO!I15</f>
        <v>0</v>
      </c>
      <c r="H7225" s="12" t="s">
        <v>332</v>
      </c>
    </row>
    <row r="7226" customFormat="false" ht="15" hidden="false" customHeight="false" outlineLevel="0" collapsed="false">
      <c r="A7226" s="12" t="n">
        <v>2</v>
      </c>
      <c r="B7226" s="12" t="s">
        <v>381</v>
      </c>
      <c r="C7226" s="65" t="str">
        <f aca="false">01_INPUTS!I16</f>
        <v>PLAN</v>
      </c>
      <c r="D7226" s="12" t="s">
        <v>67</v>
      </c>
      <c r="E7226" s="12" t="s">
        <v>97</v>
      </c>
      <c r="F7226" s="66" t="s">
        <v>882</v>
      </c>
      <c r="G7226" s="67" t="n">
        <f aca="false">_ENGINE_MERCADO!I16</f>
        <v>0</v>
      </c>
      <c r="H7226" s="12" t="s">
        <v>332</v>
      </c>
    </row>
    <row r="7227" customFormat="false" ht="15" hidden="false" customHeight="false" outlineLevel="0" collapsed="false">
      <c r="A7227" s="12" t="n">
        <v>2</v>
      </c>
      <c r="B7227" s="12" t="s">
        <v>381</v>
      </c>
      <c r="C7227" s="65" t="str">
        <f aca="false">01_INPUTS!I16</f>
        <v>PLAN</v>
      </c>
      <c r="D7227" s="12" t="s">
        <v>71</v>
      </c>
      <c r="E7227" s="12" t="s">
        <v>382</v>
      </c>
      <c r="F7227" s="66" t="s">
        <v>882</v>
      </c>
      <c r="G7227" s="67" t="n">
        <f aca="false">_ENGINE_MERCADO!I17+_ENGINE_MERCADO!I18+_ENGINE_MERCADO!I19+_ENGINE_MERCADO!I20</f>
        <v>900706.839552217</v>
      </c>
      <c r="H7227" s="12" t="s">
        <v>332</v>
      </c>
    </row>
    <row r="7228" customFormat="false" ht="15" hidden="false" customHeight="false" outlineLevel="0" collapsed="false">
      <c r="A7228" s="12" t="n">
        <v>2</v>
      </c>
      <c r="B7228" s="12" t="s">
        <v>381</v>
      </c>
      <c r="C7228" s="65" t="str">
        <f aca="false">01_INPUTS!I16</f>
        <v>PLAN</v>
      </c>
      <c r="D7228" s="12" t="s">
        <v>71</v>
      </c>
      <c r="E7228" s="12" t="s">
        <v>92</v>
      </c>
      <c r="F7228" s="66" t="s">
        <v>882</v>
      </c>
      <c r="G7228" s="67" t="n">
        <f aca="false">_ENGINE_MERCADO!I17</f>
        <v>669333.512286469</v>
      </c>
      <c r="H7228" s="12" t="s">
        <v>332</v>
      </c>
    </row>
    <row r="7229" customFormat="false" ht="15" hidden="false" customHeight="false" outlineLevel="0" collapsed="false">
      <c r="A7229" s="12" t="n">
        <v>2</v>
      </c>
      <c r="B7229" s="12" t="s">
        <v>381</v>
      </c>
      <c r="C7229" s="65" t="str">
        <f aca="false">01_INPUTS!I16</f>
        <v>PLAN</v>
      </c>
      <c r="D7229" s="12" t="s">
        <v>71</v>
      </c>
      <c r="E7229" s="12" t="s">
        <v>94</v>
      </c>
      <c r="F7229" s="66" t="s">
        <v>882</v>
      </c>
      <c r="G7229" s="67" t="n">
        <f aca="false">_ENGINE_MERCADO!I18</f>
        <v>231373.327265748</v>
      </c>
      <c r="H7229" s="12" t="s">
        <v>332</v>
      </c>
    </row>
    <row r="7230" customFormat="false" ht="15" hidden="false" customHeight="false" outlineLevel="0" collapsed="false">
      <c r="A7230" s="12" t="n">
        <v>2</v>
      </c>
      <c r="B7230" s="12" t="s">
        <v>381</v>
      </c>
      <c r="C7230" s="65" t="str">
        <f aca="false">01_INPUTS!I16</f>
        <v>PLAN</v>
      </c>
      <c r="D7230" s="12" t="s">
        <v>71</v>
      </c>
      <c r="E7230" s="12" t="s">
        <v>95</v>
      </c>
      <c r="F7230" s="66" t="s">
        <v>882</v>
      </c>
      <c r="G7230" s="67" t="n">
        <f aca="false">_ENGINE_MERCADO!I19</f>
        <v>0</v>
      </c>
      <c r="H7230" s="12" t="s">
        <v>332</v>
      </c>
    </row>
    <row r="7231" customFormat="false" ht="15" hidden="false" customHeight="false" outlineLevel="0" collapsed="false">
      <c r="A7231" s="12" t="n">
        <v>2</v>
      </c>
      <c r="B7231" s="12" t="s">
        <v>381</v>
      </c>
      <c r="C7231" s="65" t="str">
        <f aca="false">01_INPUTS!I16</f>
        <v>PLAN</v>
      </c>
      <c r="D7231" s="12" t="s">
        <v>71</v>
      </c>
      <c r="E7231" s="12" t="s">
        <v>97</v>
      </c>
      <c r="F7231" s="66" t="s">
        <v>882</v>
      </c>
      <c r="G7231" s="67" t="n">
        <f aca="false">_ENGINE_MERCADO!I20</f>
        <v>0</v>
      </c>
      <c r="H7231" s="12" t="s">
        <v>332</v>
      </c>
    </row>
    <row r="7232" customFormat="false" ht="15" hidden="false" customHeight="false" outlineLevel="0" collapsed="false">
      <c r="A7232" s="12" t="n">
        <v>2</v>
      </c>
      <c r="B7232" s="12" t="s">
        <v>381</v>
      </c>
      <c r="C7232" s="65" t="str">
        <f aca="false">01_INPUTS!I16</f>
        <v>PLAN</v>
      </c>
      <c r="D7232" s="12" t="s">
        <v>72</v>
      </c>
      <c r="E7232" s="12" t="s">
        <v>382</v>
      </c>
      <c r="F7232" s="66" t="s">
        <v>882</v>
      </c>
      <c r="G7232" s="67" t="n">
        <f aca="false">_ENGINE_MERCADO!I21+_ENGINE_MERCADO!I22+_ENGINE_MERCADO!I23+_ENGINE_MERCADO!I24</f>
        <v>1006424.33049555</v>
      </c>
      <c r="H7232" s="12" t="s">
        <v>332</v>
      </c>
    </row>
    <row r="7233" customFormat="false" ht="15" hidden="false" customHeight="false" outlineLevel="0" collapsed="false">
      <c r="A7233" s="12" t="n">
        <v>2</v>
      </c>
      <c r="B7233" s="12" t="s">
        <v>381</v>
      </c>
      <c r="C7233" s="65" t="str">
        <f aca="false">01_INPUTS!I16</f>
        <v>PLAN</v>
      </c>
      <c r="D7233" s="12" t="s">
        <v>72</v>
      </c>
      <c r="E7233" s="12" t="s">
        <v>92</v>
      </c>
      <c r="F7233" s="66" t="s">
        <v>882</v>
      </c>
      <c r="G7233" s="67" t="n">
        <f aca="false">_ENGINE_MERCADO!I21</f>
        <v>684641.603579506</v>
      </c>
      <c r="H7233" s="12" t="s">
        <v>332</v>
      </c>
    </row>
    <row r="7234" customFormat="false" ht="15" hidden="false" customHeight="false" outlineLevel="0" collapsed="false">
      <c r="A7234" s="12" t="n">
        <v>2</v>
      </c>
      <c r="B7234" s="12" t="s">
        <v>381</v>
      </c>
      <c r="C7234" s="65" t="str">
        <f aca="false">01_INPUTS!I16</f>
        <v>PLAN</v>
      </c>
      <c r="D7234" s="12" t="s">
        <v>72</v>
      </c>
      <c r="E7234" s="12" t="s">
        <v>94</v>
      </c>
      <c r="F7234" s="66" t="s">
        <v>882</v>
      </c>
      <c r="G7234" s="67" t="n">
        <f aca="false">_ENGINE_MERCADO!I22</f>
        <v>321782.726916048</v>
      </c>
      <c r="H7234" s="12" t="s">
        <v>332</v>
      </c>
    </row>
    <row r="7235" customFormat="false" ht="15" hidden="false" customHeight="false" outlineLevel="0" collapsed="false">
      <c r="A7235" s="12" t="n">
        <v>2</v>
      </c>
      <c r="B7235" s="12" t="s">
        <v>381</v>
      </c>
      <c r="C7235" s="65" t="str">
        <f aca="false">01_INPUTS!I16</f>
        <v>PLAN</v>
      </c>
      <c r="D7235" s="12" t="s">
        <v>72</v>
      </c>
      <c r="E7235" s="12" t="s">
        <v>95</v>
      </c>
      <c r="F7235" s="66" t="s">
        <v>882</v>
      </c>
      <c r="G7235" s="67" t="n">
        <f aca="false">_ENGINE_MERCADO!I23</f>
        <v>0</v>
      </c>
      <c r="H7235" s="12" t="s">
        <v>332</v>
      </c>
    </row>
    <row r="7236" customFormat="false" ht="15" hidden="false" customHeight="false" outlineLevel="0" collapsed="false">
      <c r="A7236" s="12" t="n">
        <v>2</v>
      </c>
      <c r="B7236" s="12" t="s">
        <v>381</v>
      </c>
      <c r="C7236" s="65" t="str">
        <f aca="false">01_INPUTS!I16</f>
        <v>PLAN</v>
      </c>
      <c r="D7236" s="12" t="s">
        <v>72</v>
      </c>
      <c r="E7236" s="12" t="s">
        <v>97</v>
      </c>
      <c r="F7236" s="66" t="s">
        <v>882</v>
      </c>
      <c r="G7236" s="67" t="n">
        <f aca="false">_ENGINE_MERCADO!I24</f>
        <v>0</v>
      </c>
      <c r="H7236" s="12" t="s">
        <v>332</v>
      </c>
    </row>
  </sheetData>
  <autoFilter ref="A4:H7236"/>
  <mergeCells count="3">
    <mergeCell ref="A1:H1"/>
    <mergeCell ref="A2:H2"/>
    <mergeCell ref="A7110:H71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5" min="3" style="0" width="10"/>
    <col collapsed="false" customWidth="true" hidden="false" outlineLevel="0" max="6" min="6" style="0" width="12"/>
    <col collapsed="false" customWidth="true" hidden="false" outlineLevel="0" max="7" min="7" style="0" width="46"/>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2" min="11" style="0" width="12"/>
  </cols>
  <sheetData>
    <row r="1" customFormat="false" ht="15" hidden="false" customHeight="false" outlineLevel="0" collapsed="false">
      <c r="A1" s="4" t="s">
        <v>883</v>
      </c>
      <c r="B1" s="4" t="s">
        <v>884</v>
      </c>
      <c r="C1" s="4" t="s">
        <v>885</v>
      </c>
      <c r="D1" s="4" t="s">
        <v>886</v>
      </c>
      <c r="E1" s="4" t="s">
        <v>887</v>
      </c>
      <c r="F1" s="4" t="s">
        <v>888</v>
      </c>
      <c r="G1" s="4" t="s">
        <v>889</v>
      </c>
      <c r="H1" s="4" t="s">
        <v>890</v>
      </c>
      <c r="I1" s="4" t="s">
        <v>891</v>
      </c>
      <c r="J1" s="4" t="s">
        <v>892</v>
      </c>
      <c r="K1" s="4" t="s">
        <v>893</v>
      </c>
      <c r="L1" s="4" t="s">
        <v>894</v>
      </c>
    </row>
    <row r="2" customFormat="false" ht="15" hidden="false" customHeight="false" outlineLevel="0" collapsed="false">
      <c r="A2" s="62" t="n">
        <v>0</v>
      </c>
      <c r="B2" s="21" t="s">
        <v>336</v>
      </c>
      <c r="C2" s="62" t="s">
        <v>60</v>
      </c>
      <c r="D2" s="62" t="s">
        <v>381</v>
      </c>
      <c r="E2" s="62" t="s">
        <v>105</v>
      </c>
      <c r="F2" s="62" t="s">
        <v>382</v>
      </c>
      <c r="G2" s="63" t="s">
        <v>267</v>
      </c>
      <c r="H2" s="64" t="n">
        <v>39489000000</v>
      </c>
      <c r="I2" s="62" t="s">
        <v>81</v>
      </c>
      <c r="J2" s="64" t="n">
        <v>39489000</v>
      </c>
      <c r="K2" s="62" t="s">
        <v>138</v>
      </c>
      <c r="L2" s="68" t="b">
        <f aca="false">TRUE()</f>
        <v>1</v>
      </c>
    </row>
    <row r="3" customFormat="false" ht="15" hidden="false" customHeight="false" outlineLevel="0" collapsed="false">
      <c r="A3" s="62" t="n">
        <v>0</v>
      </c>
      <c r="B3" s="21" t="s">
        <v>336</v>
      </c>
      <c r="C3" s="62" t="s">
        <v>60</v>
      </c>
      <c r="D3" s="62" t="s">
        <v>383</v>
      </c>
      <c r="E3" s="62" t="s">
        <v>105</v>
      </c>
      <c r="F3" s="62" t="s">
        <v>382</v>
      </c>
      <c r="G3" s="63" t="s">
        <v>267</v>
      </c>
      <c r="H3" s="64" t="n">
        <v>39489000000</v>
      </c>
      <c r="I3" s="62" t="s">
        <v>81</v>
      </c>
      <c r="J3" s="64" t="n">
        <v>39489000</v>
      </c>
      <c r="K3" s="62" t="s">
        <v>138</v>
      </c>
      <c r="L3" s="68" t="b">
        <f aca="false">TRUE()</f>
        <v>1</v>
      </c>
    </row>
    <row r="4" customFormat="false" ht="15" hidden="false" customHeight="false" outlineLevel="0" collapsed="false">
      <c r="A4" s="62" t="n">
        <v>0</v>
      </c>
      <c r="B4" s="21" t="s">
        <v>336</v>
      </c>
      <c r="C4" s="62" t="s">
        <v>60</v>
      </c>
      <c r="D4" s="62" t="s">
        <v>384</v>
      </c>
      <c r="E4" s="62" t="s">
        <v>105</v>
      </c>
      <c r="F4" s="62" t="s">
        <v>382</v>
      </c>
      <c r="G4" s="63" t="s">
        <v>267</v>
      </c>
      <c r="H4" s="64" t="n">
        <v>39489000000</v>
      </c>
      <c r="I4" s="62" t="s">
        <v>81</v>
      </c>
      <c r="J4" s="64" t="n">
        <v>39489000</v>
      </c>
      <c r="K4" s="62" t="s">
        <v>138</v>
      </c>
      <c r="L4" s="68" t="b">
        <f aca="false">TRUE()</f>
        <v>1</v>
      </c>
    </row>
    <row r="5" customFormat="false" ht="15" hidden="false" customHeight="false" outlineLevel="0" collapsed="false">
      <c r="A5" s="62" t="n">
        <v>0</v>
      </c>
      <c r="B5" s="21" t="s">
        <v>336</v>
      </c>
      <c r="C5" s="62" t="s">
        <v>60</v>
      </c>
      <c r="D5" s="62" t="s">
        <v>385</v>
      </c>
      <c r="E5" s="62" t="s">
        <v>105</v>
      </c>
      <c r="F5" s="62" t="s">
        <v>382</v>
      </c>
      <c r="G5" s="63" t="s">
        <v>267</v>
      </c>
      <c r="H5" s="64" t="n">
        <v>39489000000</v>
      </c>
      <c r="I5" s="62" t="s">
        <v>81</v>
      </c>
      <c r="J5" s="64" t="n">
        <v>39489000</v>
      </c>
      <c r="K5" s="62" t="s">
        <v>138</v>
      </c>
      <c r="L5" s="68" t="b">
        <f aca="false">TRUE()</f>
        <v>1</v>
      </c>
    </row>
    <row r="6" customFormat="false" ht="15" hidden="false" customHeight="false" outlineLevel="0" collapsed="false">
      <c r="A6" s="62" t="n">
        <v>0</v>
      </c>
      <c r="B6" s="21" t="s">
        <v>336</v>
      </c>
      <c r="C6" s="62" t="s">
        <v>60</v>
      </c>
      <c r="D6" s="62" t="s">
        <v>386</v>
      </c>
      <c r="E6" s="62" t="s">
        <v>105</v>
      </c>
      <c r="F6" s="62" t="s">
        <v>382</v>
      </c>
      <c r="G6" s="63" t="s">
        <v>267</v>
      </c>
      <c r="H6" s="64" t="n">
        <v>39489000000</v>
      </c>
      <c r="I6" s="62" t="s">
        <v>81</v>
      </c>
      <c r="J6" s="64" t="n">
        <v>39489000</v>
      </c>
      <c r="K6" s="62" t="s">
        <v>138</v>
      </c>
      <c r="L6" s="68" t="b">
        <f aca="false">TRUE()</f>
        <v>1</v>
      </c>
    </row>
    <row r="7" customFormat="false" ht="15" hidden="false" customHeight="false" outlineLevel="0" collapsed="false">
      <c r="A7" s="62" t="n">
        <v>0</v>
      </c>
      <c r="B7" s="21" t="s">
        <v>336</v>
      </c>
      <c r="C7" s="62" t="s">
        <v>60</v>
      </c>
      <c r="D7" s="62" t="s">
        <v>387</v>
      </c>
      <c r="E7" s="62" t="s">
        <v>105</v>
      </c>
      <c r="F7" s="62" t="s">
        <v>382</v>
      </c>
      <c r="G7" s="63" t="s">
        <v>267</v>
      </c>
      <c r="H7" s="64" t="n">
        <v>39489000000</v>
      </c>
      <c r="I7" s="62" t="s">
        <v>81</v>
      </c>
      <c r="J7" s="64" t="n">
        <v>39489000</v>
      </c>
      <c r="K7" s="62" t="s">
        <v>138</v>
      </c>
      <c r="L7" s="68" t="b">
        <f aca="false">TRUE()</f>
        <v>1</v>
      </c>
    </row>
    <row r="8" customFormat="false" ht="15" hidden="false" customHeight="false" outlineLevel="0" collapsed="false">
      <c r="A8" s="62" t="n">
        <v>0</v>
      </c>
      <c r="B8" s="21" t="s">
        <v>336</v>
      </c>
      <c r="C8" s="62" t="s">
        <v>60</v>
      </c>
      <c r="D8" s="62" t="s">
        <v>388</v>
      </c>
      <c r="E8" s="62" t="s">
        <v>105</v>
      </c>
      <c r="F8" s="62" t="s">
        <v>382</v>
      </c>
      <c r="G8" s="63" t="s">
        <v>267</v>
      </c>
      <c r="H8" s="64" t="n">
        <v>39489000000</v>
      </c>
      <c r="I8" s="62" t="s">
        <v>81</v>
      </c>
      <c r="J8" s="64" t="n">
        <v>39489000</v>
      </c>
      <c r="K8" s="62" t="s">
        <v>138</v>
      </c>
      <c r="L8" s="68" t="b">
        <f aca="false">TRUE()</f>
        <v>1</v>
      </c>
    </row>
    <row r="9" customFormat="false" ht="15" hidden="false" customHeight="false" outlineLevel="0" collapsed="false">
      <c r="A9" s="62" t="n">
        <v>0</v>
      </c>
      <c r="B9" s="21" t="s">
        <v>336</v>
      </c>
      <c r="C9" s="62" t="s">
        <v>60</v>
      </c>
      <c r="D9" s="62" t="s">
        <v>381</v>
      </c>
      <c r="E9" s="62" t="s">
        <v>105</v>
      </c>
      <c r="F9" s="62" t="s">
        <v>382</v>
      </c>
      <c r="G9" s="63" t="s">
        <v>389</v>
      </c>
      <c r="H9" s="64" t="n">
        <v>20209611331.0496</v>
      </c>
      <c r="I9" s="62" t="s">
        <v>81</v>
      </c>
      <c r="J9" s="64" t="n">
        <v>20209611.3310496</v>
      </c>
      <c r="K9" s="62" t="s">
        <v>138</v>
      </c>
      <c r="L9" s="68" t="b">
        <f aca="false">TRUE()</f>
        <v>1</v>
      </c>
    </row>
    <row r="10" customFormat="false" ht="15" hidden="false" customHeight="false" outlineLevel="0" collapsed="false">
      <c r="A10" s="62" t="n">
        <v>0</v>
      </c>
      <c r="B10" s="21" t="s">
        <v>336</v>
      </c>
      <c r="C10" s="62" t="s">
        <v>60</v>
      </c>
      <c r="D10" s="62" t="s">
        <v>383</v>
      </c>
      <c r="E10" s="62" t="s">
        <v>105</v>
      </c>
      <c r="F10" s="62" t="s">
        <v>382</v>
      </c>
      <c r="G10" s="63" t="s">
        <v>389</v>
      </c>
      <c r="H10" s="64" t="n">
        <v>20209611331.0496</v>
      </c>
      <c r="I10" s="62" t="s">
        <v>81</v>
      </c>
      <c r="J10" s="64" t="n">
        <v>20209611.3310496</v>
      </c>
      <c r="K10" s="62" t="s">
        <v>138</v>
      </c>
      <c r="L10" s="68" t="b">
        <f aca="false">TRUE()</f>
        <v>1</v>
      </c>
    </row>
    <row r="11" customFormat="false" ht="15" hidden="false" customHeight="false" outlineLevel="0" collapsed="false">
      <c r="A11" s="62" t="n">
        <v>0</v>
      </c>
      <c r="B11" s="21" t="s">
        <v>336</v>
      </c>
      <c r="C11" s="62" t="s">
        <v>60</v>
      </c>
      <c r="D11" s="62" t="s">
        <v>384</v>
      </c>
      <c r="E11" s="62" t="s">
        <v>105</v>
      </c>
      <c r="F11" s="62" t="s">
        <v>382</v>
      </c>
      <c r="G11" s="63" t="s">
        <v>389</v>
      </c>
      <c r="H11" s="64" t="n">
        <v>20209611331.0496</v>
      </c>
      <c r="I11" s="62" t="s">
        <v>81</v>
      </c>
      <c r="J11" s="64" t="n">
        <v>20209611.3310496</v>
      </c>
      <c r="K11" s="62" t="s">
        <v>138</v>
      </c>
      <c r="L11" s="68" t="b">
        <f aca="false">TRUE()</f>
        <v>1</v>
      </c>
    </row>
    <row r="12" customFormat="false" ht="15" hidden="false" customHeight="false" outlineLevel="0" collapsed="false">
      <c r="A12" s="62" t="n">
        <v>0</v>
      </c>
      <c r="B12" s="21" t="s">
        <v>336</v>
      </c>
      <c r="C12" s="62" t="s">
        <v>60</v>
      </c>
      <c r="D12" s="62" t="s">
        <v>385</v>
      </c>
      <c r="E12" s="62" t="s">
        <v>105</v>
      </c>
      <c r="F12" s="62" t="s">
        <v>382</v>
      </c>
      <c r="G12" s="63" t="s">
        <v>389</v>
      </c>
      <c r="H12" s="64" t="n">
        <v>20209611331.0496</v>
      </c>
      <c r="I12" s="62" t="s">
        <v>81</v>
      </c>
      <c r="J12" s="64" t="n">
        <v>20209611.3310496</v>
      </c>
      <c r="K12" s="62" t="s">
        <v>138</v>
      </c>
      <c r="L12" s="68" t="b">
        <f aca="false">TRUE()</f>
        <v>1</v>
      </c>
    </row>
    <row r="13" customFormat="false" ht="15" hidden="false" customHeight="false" outlineLevel="0" collapsed="false">
      <c r="A13" s="62" t="n">
        <v>0</v>
      </c>
      <c r="B13" s="21" t="s">
        <v>336</v>
      </c>
      <c r="C13" s="62" t="s">
        <v>60</v>
      </c>
      <c r="D13" s="62" t="s">
        <v>386</v>
      </c>
      <c r="E13" s="62" t="s">
        <v>105</v>
      </c>
      <c r="F13" s="62" t="s">
        <v>382</v>
      </c>
      <c r="G13" s="63" t="s">
        <v>389</v>
      </c>
      <c r="H13" s="64" t="n">
        <v>20209611331.0496</v>
      </c>
      <c r="I13" s="62" t="s">
        <v>81</v>
      </c>
      <c r="J13" s="64" t="n">
        <v>20209611.3310496</v>
      </c>
      <c r="K13" s="62" t="s">
        <v>138</v>
      </c>
      <c r="L13" s="68" t="b">
        <f aca="false">TRUE()</f>
        <v>1</v>
      </c>
    </row>
    <row r="14" customFormat="false" ht="15" hidden="false" customHeight="false" outlineLevel="0" collapsed="false">
      <c r="A14" s="62" t="n">
        <v>0</v>
      </c>
      <c r="B14" s="21" t="s">
        <v>336</v>
      </c>
      <c r="C14" s="62" t="s">
        <v>60</v>
      </c>
      <c r="D14" s="62" t="s">
        <v>387</v>
      </c>
      <c r="E14" s="62" t="s">
        <v>105</v>
      </c>
      <c r="F14" s="62" t="s">
        <v>382</v>
      </c>
      <c r="G14" s="63" t="s">
        <v>389</v>
      </c>
      <c r="H14" s="64" t="n">
        <v>20209611331.0496</v>
      </c>
      <c r="I14" s="62" t="s">
        <v>81</v>
      </c>
      <c r="J14" s="64" t="n">
        <v>20209611.3310496</v>
      </c>
      <c r="K14" s="62" t="s">
        <v>138</v>
      </c>
      <c r="L14" s="68" t="b">
        <f aca="false">TRUE()</f>
        <v>1</v>
      </c>
    </row>
    <row r="15" customFormat="false" ht="15" hidden="false" customHeight="false" outlineLevel="0" collapsed="false">
      <c r="A15" s="62" t="n">
        <v>0</v>
      </c>
      <c r="B15" s="21" t="s">
        <v>336</v>
      </c>
      <c r="C15" s="62" t="s">
        <v>60</v>
      </c>
      <c r="D15" s="62" t="s">
        <v>388</v>
      </c>
      <c r="E15" s="62" t="s">
        <v>105</v>
      </c>
      <c r="F15" s="62" t="s">
        <v>382</v>
      </c>
      <c r="G15" s="63" t="s">
        <v>389</v>
      </c>
      <c r="H15" s="64" t="n">
        <v>20209611331.0496</v>
      </c>
      <c r="I15" s="62" t="s">
        <v>81</v>
      </c>
      <c r="J15" s="64" t="n">
        <v>20209611.3310496</v>
      </c>
      <c r="K15" s="62" t="s">
        <v>138</v>
      </c>
      <c r="L15" s="68" t="b">
        <f aca="false">TRUE()</f>
        <v>1</v>
      </c>
    </row>
    <row r="16" customFormat="false" ht="15" hidden="false" customHeight="false" outlineLevel="0" collapsed="false">
      <c r="A16" s="62" t="n">
        <v>0</v>
      </c>
      <c r="B16" s="21" t="s">
        <v>336</v>
      </c>
      <c r="C16" s="62" t="s">
        <v>60</v>
      </c>
      <c r="D16" s="62" t="s">
        <v>381</v>
      </c>
      <c r="E16" s="62" t="s">
        <v>105</v>
      </c>
      <c r="F16" s="62" t="s">
        <v>382</v>
      </c>
      <c r="G16" s="63" t="s">
        <v>390</v>
      </c>
      <c r="H16" s="64" t="n">
        <v>4046500000</v>
      </c>
      <c r="I16" s="62" t="s">
        <v>81</v>
      </c>
      <c r="J16" s="64" t="n">
        <v>4046500</v>
      </c>
      <c r="K16" s="62" t="s">
        <v>138</v>
      </c>
      <c r="L16" s="68" t="b">
        <f aca="false">TRUE()</f>
        <v>1</v>
      </c>
    </row>
    <row r="17" customFormat="false" ht="15" hidden="false" customHeight="false" outlineLevel="0" collapsed="false">
      <c r="A17" s="62" t="n">
        <v>0</v>
      </c>
      <c r="B17" s="21" t="s">
        <v>336</v>
      </c>
      <c r="C17" s="62" t="s">
        <v>60</v>
      </c>
      <c r="D17" s="62" t="s">
        <v>383</v>
      </c>
      <c r="E17" s="62" t="s">
        <v>105</v>
      </c>
      <c r="F17" s="62" t="s">
        <v>382</v>
      </c>
      <c r="G17" s="63" t="s">
        <v>390</v>
      </c>
      <c r="H17" s="64" t="n">
        <v>4046500000</v>
      </c>
      <c r="I17" s="62" t="s">
        <v>81</v>
      </c>
      <c r="J17" s="64" t="n">
        <v>4046500</v>
      </c>
      <c r="K17" s="62" t="s">
        <v>138</v>
      </c>
      <c r="L17" s="68" t="b">
        <f aca="false">TRUE()</f>
        <v>1</v>
      </c>
    </row>
    <row r="18" customFormat="false" ht="15" hidden="false" customHeight="false" outlineLevel="0" collapsed="false">
      <c r="A18" s="62" t="n">
        <v>0</v>
      </c>
      <c r="B18" s="21" t="s">
        <v>336</v>
      </c>
      <c r="C18" s="62" t="s">
        <v>60</v>
      </c>
      <c r="D18" s="62" t="s">
        <v>384</v>
      </c>
      <c r="E18" s="62" t="s">
        <v>105</v>
      </c>
      <c r="F18" s="62" t="s">
        <v>382</v>
      </c>
      <c r="G18" s="63" t="s">
        <v>390</v>
      </c>
      <c r="H18" s="64" t="n">
        <v>4046500000</v>
      </c>
      <c r="I18" s="62" t="s">
        <v>81</v>
      </c>
      <c r="J18" s="64" t="n">
        <v>4046500</v>
      </c>
      <c r="K18" s="62" t="s">
        <v>138</v>
      </c>
      <c r="L18" s="68" t="b">
        <f aca="false">TRUE()</f>
        <v>1</v>
      </c>
    </row>
    <row r="19" customFormat="false" ht="15" hidden="false" customHeight="false" outlineLevel="0" collapsed="false">
      <c r="A19" s="62" t="n">
        <v>0</v>
      </c>
      <c r="B19" s="21" t="s">
        <v>336</v>
      </c>
      <c r="C19" s="62" t="s">
        <v>60</v>
      </c>
      <c r="D19" s="62" t="s">
        <v>385</v>
      </c>
      <c r="E19" s="62" t="s">
        <v>105</v>
      </c>
      <c r="F19" s="62" t="s">
        <v>382</v>
      </c>
      <c r="G19" s="63" t="s">
        <v>390</v>
      </c>
      <c r="H19" s="64" t="n">
        <v>4046500000</v>
      </c>
      <c r="I19" s="62" t="s">
        <v>81</v>
      </c>
      <c r="J19" s="64" t="n">
        <v>4046500</v>
      </c>
      <c r="K19" s="62" t="s">
        <v>138</v>
      </c>
      <c r="L19" s="68" t="b">
        <f aca="false">TRUE()</f>
        <v>1</v>
      </c>
    </row>
    <row r="20" customFormat="false" ht="15" hidden="false" customHeight="false" outlineLevel="0" collapsed="false">
      <c r="A20" s="62" t="n">
        <v>0</v>
      </c>
      <c r="B20" s="21" t="s">
        <v>336</v>
      </c>
      <c r="C20" s="62" t="s">
        <v>60</v>
      </c>
      <c r="D20" s="62" t="s">
        <v>386</v>
      </c>
      <c r="E20" s="62" t="s">
        <v>105</v>
      </c>
      <c r="F20" s="62" t="s">
        <v>382</v>
      </c>
      <c r="G20" s="63" t="s">
        <v>390</v>
      </c>
      <c r="H20" s="64" t="n">
        <v>4046500000</v>
      </c>
      <c r="I20" s="62" t="s">
        <v>81</v>
      </c>
      <c r="J20" s="64" t="n">
        <v>4046500</v>
      </c>
      <c r="K20" s="62" t="s">
        <v>138</v>
      </c>
      <c r="L20" s="68" t="b">
        <f aca="false">TRUE()</f>
        <v>1</v>
      </c>
    </row>
    <row r="21" customFormat="false" ht="15" hidden="false" customHeight="false" outlineLevel="0" collapsed="false">
      <c r="A21" s="62" t="n">
        <v>0</v>
      </c>
      <c r="B21" s="21" t="s">
        <v>336</v>
      </c>
      <c r="C21" s="62" t="s">
        <v>60</v>
      </c>
      <c r="D21" s="62" t="s">
        <v>387</v>
      </c>
      <c r="E21" s="62" t="s">
        <v>105</v>
      </c>
      <c r="F21" s="62" t="s">
        <v>382</v>
      </c>
      <c r="G21" s="63" t="s">
        <v>390</v>
      </c>
      <c r="H21" s="64" t="n">
        <v>4046500000</v>
      </c>
      <c r="I21" s="62" t="s">
        <v>81</v>
      </c>
      <c r="J21" s="64" t="n">
        <v>4046500</v>
      </c>
      <c r="K21" s="62" t="s">
        <v>138</v>
      </c>
      <c r="L21" s="68" t="b">
        <f aca="false">TRUE()</f>
        <v>1</v>
      </c>
    </row>
    <row r="22" customFormat="false" ht="15" hidden="false" customHeight="false" outlineLevel="0" collapsed="false">
      <c r="A22" s="62" t="n">
        <v>0</v>
      </c>
      <c r="B22" s="21" t="s">
        <v>336</v>
      </c>
      <c r="C22" s="62" t="s">
        <v>60</v>
      </c>
      <c r="D22" s="62" t="s">
        <v>388</v>
      </c>
      <c r="E22" s="62" t="s">
        <v>105</v>
      </c>
      <c r="F22" s="62" t="s">
        <v>382</v>
      </c>
      <c r="G22" s="63" t="s">
        <v>390</v>
      </c>
      <c r="H22" s="64" t="n">
        <v>4046500000</v>
      </c>
      <c r="I22" s="62" t="s">
        <v>81</v>
      </c>
      <c r="J22" s="64" t="n">
        <v>4046500</v>
      </c>
      <c r="K22" s="62" t="s">
        <v>138</v>
      </c>
      <c r="L22" s="68" t="b">
        <f aca="false">TRUE()</f>
        <v>1</v>
      </c>
    </row>
    <row r="23" customFormat="false" ht="15" hidden="false" customHeight="false" outlineLevel="0" collapsed="false">
      <c r="A23" s="62" t="n">
        <v>0</v>
      </c>
      <c r="B23" s="21" t="s">
        <v>336</v>
      </c>
      <c r="C23" s="62" t="s">
        <v>60</v>
      </c>
      <c r="D23" s="62" t="s">
        <v>381</v>
      </c>
      <c r="E23" s="62" t="s">
        <v>105</v>
      </c>
      <c r="F23" s="62" t="s">
        <v>382</v>
      </c>
      <c r="G23" s="63" t="s">
        <v>391</v>
      </c>
      <c r="H23" s="64" t="n">
        <v>6962198716.04938</v>
      </c>
      <c r="I23" s="62" t="s">
        <v>81</v>
      </c>
      <c r="J23" s="64" t="n">
        <v>6962198.71604938</v>
      </c>
      <c r="K23" s="62" t="s">
        <v>138</v>
      </c>
      <c r="L23" s="68" t="b">
        <f aca="false">TRUE()</f>
        <v>1</v>
      </c>
    </row>
    <row r="24" customFormat="false" ht="15" hidden="false" customHeight="false" outlineLevel="0" collapsed="false">
      <c r="A24" s="62" t="n">
        <v>0</v>
      </c>
      <c r="B24" s="21" t="s">
        <v>336</v>
      </c>
      <c r="C24" s="62" t="s">
        <v>60</v>
      </c>
      <c r="D24" s="62" t="s">
        <v>383</v>
      </c>
      <c r="E24" s="62" t="s">
        <v>105</v>
      </c>
      <c r="F24" s="62" t="s">
        <v>382</v>
      </c>
      <c r="G24" s="63" t="s">
        <v>391</v>
      </c>
      <c r="H24" s="64" t="n">
        <v>6962198716.04938</v>
      </c>
      <c r="I24" s="62" t="s">
        <v>81</v>
      </c>
      <c r="J24" s="64" t="n">
        <v>6962198.71604938</v>
      </c>
      <c r="K24" s="62" t="s">
        <v>138</v>
      </c>
      <c r="L24" s="68" t="b">
        <f aca="false">TRUE()</f>
        <v>1</v>
      </c>
    </row>
    <row r="25" customFormat="false" ht="15" hidden="false" customHeight="false" outlineLevel="0" collapsed="false">
      <c r="A25" s="62" t="n">
        <v>0</v>
      </c>
      <c r="B25" s="21" t="s">
        <v>336</v>
      </c>
      <c r="C25" s="62" t="s">
        <v>60</v>
      </c>
      <c r="D25" s="62" t="s">
        <v>384</v>
      </c>
      <c r="E25" s="62" t="s">
        <v>105</v>
      </c>
      <c r="F25" s="62" t="s">
        <v>382</v>
      </c>
      <c r="G25" s="63" t="s">
        <v>391</v>
      </c>
      <c r="H25" s="64" t="n">
        <v>6962198716.04938</v>
      </c>
      <c r="I25" s="62" t="s">
        <v>81</v>
      </c>
      <c r="J25" s="64" t="n">
        <v>6962198.71604938</v>
      </c>
      <c r="K25" s="62" t="s">
        <v>138</v>
      </c>
      <c r="L25" s="68" t="b">
        <f aca="false">TRUE()</f>
        <v>1</v>
      </c>
    </row>
    <row r="26" customFormat="false" ht="15" hidden="false" customHeight="false" outlineLevel="0" collapsed="false">
      <c r="A26" s="62" t="n">
        <v>0</v>
      </c>
      <c r="B26" s="21" t="s">
        <v>336</v>
      </c>
      <c r="C26" s="62" t="s">
        <v>60</v>
      </c>
      <c r="D26" s="62" t="s">
        <v>385</v>
      </c>
      <c r="E26" s="62" t="s">
        <v>105</v>
      </c>
      <c r="F26" s="62" t="s">
        <v>382</v>
      </c>
      <c r="G26" s="63" t="s">
        <v>391</v>
      </c>
      <c r="H26" s="64" t="n">
        <v>6962198716.04938</v>
      </c>
      <c r="I26" s="62" t="s">
        <v>81</v>
      </c>
      <c r="J26" s="64" t="n">
        <v>6962198.71604938</v>
      </c>
      <c r="K26" s="62" t="s">
        <v>138</v>
      </c>
      <c r="L26" s="68" t="b">
        <f aca="false">TRUE()</f>
        <v>1</v>
      </c>
    </row>
    <row r="27" customFormat="false" ht="15" hidden="false" customHeight="false" outlineLevel="0" collapsed="false">
      <c r="A27" s="62" t="n">
        <v>0</v>
      </c>
      <c r="B27" s="21" t="s">
        <v>336</v>
      </c>
      <c r="C27" s="62" t="s">
        <v>60</v>
      </c>
      <c r="D27" s="62" t="s">
        <v>386</v>
      </c>
      <c r="E27" s="62" t="s">
        <v>105</v>
      </c>
      <c r="F27" s="62" t="s">
        <v>382</v>
      </c>
      <c r="G27" s="63" t="s">
        <v>391</v>
      </c>
      <c r="H27" s="64" t="n">
        <v>6962198716.04938</v>
      </c>
      <c r="I27" s="62" t="s">
        <v>81</v>
      </c>
      <c r="J27" s="64" t="n">
        <v>6962198.71604938</v>
      </c>
      <c r="K27" s="62" t="s">
        <v>138</v>
      </c>
      <c r="L27" s="68" t="b">
        <f aca="false">TRUE()</f>
        <v>1</v>
      </c>
    </row>
    <row r="28" customFormat="false" ht="15" hidden="false" customHeight="false" outlineLevel="0" collapsed="false">
      <c r="A28" s="62" t="n">
        <v>0</v>
      </c>
      <c r="B28" s="21" t="s">
        <v>336</v>
      </c>
      <c r="C28" s="62" t="s">
        <v>60</v>
      </c>
      <c r="D28" s="62" t="s">
        <v>387</v>
      </c>
      <c r="E28" s="62" t="s">
        <v>105</v>
      </c>
      <c r="F28" s="62" t="s">
        <v>382</v>
      </c>
      <c r="G28" s="63" t="s">
        <v>391</v>
      </c>
      <c r="H28" s="64" t="n">
        <v>6962198716.04938</v>
      </c>
      <c r="I28" s="62" t="s">
        <v>81</v>
      </c>
      <c r="J28" s="64" t="n">
        <v>6962198.71604938</v>
      </c>
      <c r="K28" s="62" t="s">
        <v>138</v>
      </c>
      <c r="L28" s="68" t="b">
        <f aca="false">TRUE()</f>
        <v>1</v>
      </c>
    </row>
    <row r="29" customFormat="false" ht="15" hidden="false" customHeight="false" outlineLevel="0" collapsed="false">
      <c r="A29" s="62" t="n">
        <v>0</v>
      </c>
      <c r="B29" s="21" t="s">
        <v>336</v>
      </c>
      <c r="C29" s="62" t="s">
        <v>60</v>
      </c>
      <c r="D29" s="62" t="s">
        <v>388</v>
      </c>
      <c r="E29" s="62" t="s">
        <v>105</v>
      </c>
      <c r="F29" s="62" t="s">
        <v>382</v>
      </c>
      <c r="G29" s="63" t="s">
        <v>391</v>
      </c>
      <c r="H29" s="64" t="n">
        <v>6962198716.04938</v>
      </c>
      <c r="I29" s="62" t="s">
        <v>81</v>
      </c>
      <c r="J29" s="64" t="n">
        <v>6962198.71604938</v>
      </c>
      <c r="K29" s="62" t="s">
        <v>138</v>
      </c>
      <c r="L29" s="68" t="b">
        <f aca="false">TRUE()</f>
        <v>1</v>
      </c>
    </row>
    <row r="30" customFormat="false" ht="15" hidden="false" customHeight="false" outlineLevel="0" collapsed="false">
      <c r="A30" s="62" t="n">
        <v>0</v>
      </c>
      <c r="B30" s="21" t="s">
        <v>336</v>
      </c>
      <c r="C30" s="62" t="s">
        <v>60</v>
      </c>
      <c r="D30" s="62" t="s">
        <v>381</v>
      </c>
      <c r="E30" s="62" t="s">
        <v>105</v>
      </c>
      <c r="F30" s="62" t="s">
        <v>382</v>
      </c>
      <c r="G30" s="63" t="s">
        <v>392</v>
      </c>
      <c r="H30" s="64" t="n">
        <v>1568385119.40661</v>
      </c>
      <c r="I30" s="62" t="s">
        <v>81</v>
      </c>
      <c r="J30" s="64" t="n">
        <v>1568385.11940661</v>
      </c>
      <c r="K30" s="62" t="s">
        <v>138</v>
      </c>
      <c r="L30" s="68" t="b">
        <f aca="false">TRUE()</f>
        <v>1</v>
      </c>
    </row>
    <row r="31" customFormat="false" ht="15" hidden="false" customHeight="false" outlineLevel="0" collapsed="false">
      <c r="A31" s="62" t="n">
        <v>0</v>
      </c>
      <c r="B31" s="21" t="s">
        <v>336</v>
      </c>
      <c r="C31" s="62" t="s">
        <v>60</v>
      </c>
      <c r="D31" s="62" t="s">
        <v>383</v>
      </c>
      <c r="E31" s="62" t="s">
        <v>105</v>
      </c>
      <c r="F31" s="62" t="s">
        <v>382</v>
      </c>
      <c r="G31" s="63" t="s">
        <v>392</v>
      </c>
      <c r="H31" s="64" t="n">
        <v>1568385119.40661</v>
      </c>
      <c r="I31" s="62" t="s">
        <v>81</v>
      </c>
      <c r="J31" s="64" t="n">
        <v>1568385.11940661</v>
      </c>
      <c r="K31" s="62" t="s">
        <v>138</v>
      </c>
      <c r="L31" s="68" t="b">
        <f aca="false">TRUE()</f>
        <v>1</v>
      </c>
    </row>
    <row r="32" customFormat="false" ht="15" hidden="false" customHeight="false" outlineLevel="0" collapsed="false">
      <c r="A32" s="62" t="n">
        <v>0</v>
      </c>
      <c r="B32" s="21" t="s">
        <v>336</v>
      </c>
      <c r="C32" s="62" t="s">
        <v>60</v>
      </c>
      <c r="D32" s="62" t="s">
        <v>384</v>
      </c>
      <c r="E32" s="62" t="s">
        <v>105</v>
      </c>
      <c r="F32" s="62" t="s">
        <v>382</v>
      </c>
      <c r="G32" s="63" t="s">
        <v>392</v>
      </c>
      <c r="H32" s="64" t="n">
        <v>1568385119.40661</v>
      </c>
      <c r="I32" s="62" t="s">
        <v>81</v>
      </c>
      <c r="J32" s="64" t="n">
        <v>1568385.11940661</v>
      </c>
      <c r="K32" s="62" t="s">
        <v>138</v>
      </c>
      <c r="L32" s="68" t="b">
        <f aca="false">TRUE()</f>
        <v>1</v>
      </c>
    </row>
    <row r="33" customFormat="false" ht="15" hidden="false" customHeight="false" outlineLevel="0" collapsed="false">
      <c r="A33" s="62" t="n">
        <v>0</v>
      </c>
      <c r="B33" s="21" t="s">
        <v>336</v>
      </c>
      <c r="C33" s="62" t="s">
        <v>60</v>
      </c>
      <c r="D33" s="62" t="s">
        <v>385</v>
      </c>
      <c r="E33" s="62" t="s">
        <v>105</v>
      </c>
      <c r="F33" s="62" t="s">
        <v>382</v>
      </c>
      <c r="G33" s="63" t="s">
        <v>392</v>
      </c>
      <c r="H33" s="64" t="n">
        <v>1568385119.40661</v>
      </c>
      <c r="I33" s="62" t="s">
        <v>81</v>
      </c>
      <c r="J33" s="64" t="n">
        <v>1568385.11940661</v>
      </c>
      <c r="K33" s="62" t="s">
        <v>138</v>
      </c>
      <c r="L33" s="68" t="b">
        <f aca="false">TRUE()</f>
        <v>1</v>
      </c>
    </row>
    <row r="34" customFormat="false" ht="15" hidden="false" customHeight="false" outlineLevel="0" collapsed="false">
      <c r="A34" s="62" t="n">
        <v>0</v>
      </c>
      <c r="B34" s="21" t="s">
        <v>336</v>
      </c>
      <c r="C34" s="62" t="s">
        <v>60</v>
      </c>
      <c r="D34" s="62" t="s">
        <v>386</v>
      </c>
      <c r="E34" s="62" t="s">
        <v>105</v>
      </c>
      <c r="F34" s="62" t="s">
        <v>382</v>
      </c>
      <c r="G34" s="63" t="s">
        <v>392</v>
      </c>
      <c r="H34" s="64" t="n">
        <v>1568385119.40661</v>
      </c>
      <c r="I34" s="62" t="s">
        <v>81</v>
      </c>
      <c r="J34" s="64" t="n">
        <v>1568385.11940661</v>
      </c>
      <c r="K34" s="62" t="s">
        <v>138</v>
      </c>
      <c r="L34" s="68" t="b">
        <f aca="false">TRUE()</f>
        <v>1</v>
      </c>
    </row>
    <row r="35" customFormat="false" ht="15" hidden="false" customHeight="false" outlineLevel="0" collapsed="false">
      <c r="A35" s="62" t="n">
        <v>0</v>
      </c>
      <c r="B35" s="21" t="s">
        <v>336</v>
      </c>
      <c r="C35" s="62" t="s">
        <v>60</v>
      </c>
      <c r="D35" s="62" t="s">
        <v>387</v>
      </c>
      <c r="E35" s="62" t="s">
        <v>105</v>
      </c>
      <c r="F35" s="62" t="s">
        <v>382</v>
      </c>
      <c r="G35" s="63" t="s">
        <v>392</v>
      </c>
      <c r="H35" s="64" t="n">
        <v>1568385119.40661</v>
      </c>
      <c r="I35" s="62" t="s">
        <v>81</v>
      </c>
      <c r="J35" s="64" t="n">
        <v>1568385.11940661</v>
      </c>
      <c r="K35" s="62" t="s">
        <v>138</v>
      </c>
      <c r="L35" s="68" t="b">
        <f aca="false">TRUE()</f>
        <v>1</v>
      </c>
    </row>
    <row r="36" customFormat="false" ht="15" hidden="false" customHeight="false" outlineLevel="0" collapsed="false">
      <c r="A36" s="62" t="n">
        <v>0</v>
      </c>
      <c r="B36" s="21" t="s">
        <v>336</v>
      </c>
      <c r="C36" s="62" t="s">
        <v>60</v>
      </c>
      <c r="D36" s="62" t="s">
        <v>388</v>
      </c>
      <c r="E36" s="62" t="s">
        <v>105</v>
      </c>
      <c r="F36" s="62" t="s">
        <v>382</v>
      </c>
      <c r="G36" s="63" t="s">
        <v>392</v>
      </c>
      <c r="H36" s="64" t="n">
        <v>1568385119.40661</v>
      </c>
      <c r="I36" s="62" t="s">
        <v>81</v>
      </c>
      <c r="J36" s="64" t="n">
        <v>1568385.11940661</v>
      </c>
      <c r="K36" s="62" t="s">
        <v>138</v>
      </c>
      <c r="L36" s="68" t="b">
        <f aca="false">TRUE()</f>
        <v>1</v>
      </c>
    </row>
    <row r="37" customFormat="false" ht="15" hidden="false" customHeight="false" outlineLevel="0" collapsed="false">
      <c r="A37" s="62" t="n">
        <v>0</v>
      </c>
      <c r="B37" s="21" t="s">
        <v>336</v>
      </c>
      <c r="C37" s="62" t="s">
        <v>60</v>
      </c>
      <c r="D37" s="62" t="s">
        <v>381</v>
      </c>
      <c r="E37" s="62" t="s">
        <v>105</v>
      </c>
      <c r="F37" s="62" t="s">
        <v>382</v>
      </c>
      <c r="G37" s="63" t="s">
        <v>393</v>
      </c>
      <c r="H37" s="64" t="n">
        <v>770819428.571429</v>
      </c>
      <c r="I37" s="62" t="s">
        <v>81</v>
      </c>
      <c r="J37" s="64" t="n">
        <v>770819.428571429</v>
      </c>
      <c r="K37" s="62" t="s">
        <v>138</v>
      </c>
      <c r="L37" s="68" t="b">
        <f aca="false">TRUE()</f>
        <v>1</v>
      </c>
    </row>
    <row r="38" customFormat="false" ht="15" hidden="false" customHeight="false" outlineLevel="0" collapsed="false">
      <c r="A38" s="62" t="n">
        <v>0</v>
      </c>
      <c r="B38" s="21" t="s">
        <v>336</v>
      </c>
      <c r="C38" s="62" t="s">
        <v>60</v>
      </c>
      <c r="D38" s="62" t="s">
        <v>383</v>
      </c>
      <c r="E38" s="62" t="s">
        <v>105</v>
      </c>
      <c r="F38" s="62" t="s">
        <v>382</v>
      </c>
      <c r="G38" s="63" t="s">
        <v>393</v>
      </c>
      <c r="H38" s="64" t="n">
        <v>770819428.571429</v>
      </c>
      <c r="I38" s="62" t="s">
        <v>81</v>
      </c>
      <c r="J38" s="64" t="n">
        <v>770819.428571429</v>
      </c>
      <c r="K38" s="62" t="s">
        <v>138</v>
      </c>
      <c r="L38" s="68" t="b">
        <f aca="false">TRUE()</f>
        <v>1</v>
      </c>
    </row>
    <row r="39" customFormat="false" ht="15" hidden="false" customHeight="false" outlineLevel="0" collapsed="false">
      <c r="A39" s="62" t="n">
        <v>0</v>
      </c>
      <c r="B39" s="21" t="s">
        <v>336</v>
      </c>
      <c r="C39" s="62" t="s">
        <v>60</v>
      </c>
      <c r="D39" s="62" t="s">
        <v>384</v>
      </c>
      <c r="E39" s="62" t="s">
        <v>105</v>
      </c>
      <c r="F39" s="62" t="s">
        <v>382</v>
      </c>
      <c r="G39" s="63" t="s">
        <v>393</v>
      </c>
      <c r="H39" s="64" t="n">
        <v>770819428.571429</v>
      </c>
      <c r="I39" s="62" t="s">
        <v>81</v>
      </c>
      <c r="J39" s="64" t="n">
        <v>770819.428571429</v>
      </c>
      <c r="K39" s="62" t="s">
        <v>138</v>
      </c>
      <c r="L39" s="68" t="b">
        <f aca="false">TRUE()</f>
        <v>1</v>
      </c>
    </row>
    <row r="40" customFormat="false" ht="15" hidden="false" customHeight="false" outlineLevel="0" collapsed="false">
      <c r="A40" s="62" t="n">
        <v>0</v>
      </c>
      <c r="B40" s="21" t="s">
        <v>336</v>
      </c>
      <c r="C40" s="62" t="s">
        <v>60</v>
      </c>
      <c r="D40" s="62" t="s">
        <v>385</v>
      </c>
      <c r="E40" s="62" t="s">
        <v>105</v>
      </c>
      <c r="F40" s="62" t="s">
        <v>382</v>
      </c>
      <c r="G40" s="63" t="s">
        <v>393</v>
      </c>
      <c r="H40" s="64" t="n">
        <v>770819428.571429</v>
      </c>
      <c r="I40" s="62" t="s">
        <v>81</v>
      </c>
      <c r="J40" s="64" t="n">
        <v>770819.428571429</v>
      </c>
      <c r="K40" s="62" t="s">
        <v>138</v>
      </c>
      <c r="L40" s="68" t="b">
        <f aca="false">TRUE()</f>
        <v>1</v>
      </c>
    </row>
    <row r="41" customFormat="false" ht="15" hidden="false" customHeight="false" outlineLevel="0" collapsed="false">
      <c r="A41" s="62" t="n">
        <v>0</v>
      </c>
      <c r="B41" s="21" t="s">
        <v>336</v>
      </c>
      <c r="C41" s="62" t="s">
        <v>60</v>
      </c>
      <c r="D41" s="62" t="s">
        <v>386</v>
      </c>
      <c r="E41" s="62" t="s">
        <v>105</v>
      </c>
      <c r="F41" s="62" t="s">
        <v>382</v>
      </c>
      <c r="G41" s="63" t="s">
        <v>393</v>
      </c>
      <c r="H41" s="64" t="n">
        <v>770819428.571429</v>
      </c>
      <c r="I41" s="62" t="s">
        <v>81</v>
      </c>
      <c r="J41" s="64" t="n">
        <v>770819.428571429</v>
      </c>
      <c r="K41" s="62" t="s">
        <v>138</v>
      </c>
      <c r="L41" s="68" t="b">
        <f aca="false">TRUE()</f>
        <v>1</v>
      </c>
    </row>
    <row r="42" customFormat="false" ht="15" hidden="false" customHeight="false" outlineLevel="0" collapsed="false">
      <c r="A42" s="62" t="n">
        <v>0</v>
      </c>
      <c r="B42" s="21" t="s">
        <v>336</v>
      </c>
      <c r="C42" s="62" t="s">
        <v>60</v>
      </c>
      <c r="D42" s="62" t="s">
        <v>387</v>
      </c>
      <c r="E42" s="62" t="s">
        <v>105</v>
      </c>
      <c r="F42" s="62" t="s">
        <v>382</v>
      </c>
      <c r="G42" s="63" t="s">
        <v>393</v>
      </c>
      <c r="H42" s="64" t="n">
        <v>770819428.571429</v>
      </c>
      <c r="I42" s="62" t="s">
        <v>81</v>
      </c>
      <c r="J42" s="64" t="n">
        <v>770819.428571429</v>
      </c>
      <c r="K42" s="62" t="s">
        <v>138</v>
      </c>
      <c r="L42" s="68" t="b">
        <f aca="false">TRUE()</f>
        <v>1</v>
      </c>
    </row>
    <row r="43" customFormat="false" ht="15" hidden="false" customHeight="false" outlineLevel="0" collapsed="false">
      <c r="A43" s="62" t="n">
        <v>0</v>
      </c>
      <c r="B43" s="21" t="s">
        <v>336</v>
      </c>
      <c r="C43" s="62" t="s">
        <v>60</v>
      </c>
      <c r="D43" s="62" t="s">
        <v>388</v>
      </c>
      <c r="E43" s="62" t="s">
        <v>105</v>
      </c>
      <c r="F43" s="62" t="s">
        <v>382</v>
      </c>
      <c r="G43" s="63" t="s">
        <v>393</v>
      </c>
      <c r="H43" s="64" t="n">
        <v>770819428.571429</v>
      </c>
      <c r="I43" s="62" t="s">
        <v>81</v>
      </c>
      <c r="J43" s="64" t="n">
        <v>770819.428571429</v>
      </c>
      <c r="K43" s="62" t="s">
        <v>138</v>
      </c>
      <c r="L43" s="68" t="b">
        <f aca="false">TRUE()</f>
        <v>1</v>
      </c>
    </row>
    <row r="44" customFormat="false" ht="15" hidden="false" customHeight="false" outlineLevel="0" collapsed="false">
      <c r="A44" s="62" t="n">
        <v>0</v>
      </c>
      <c r="B44" s="21" t="s">
        <v>336</v>
      </c>
      <c r="C44" s="62" t="s">
        <v>60</v>
      </c>
      <c r="D44" s="62" t="s">
        <v>381</v>
      </c>
      <c r="E44" s="62" t="s">
        <v>105</v>
      </c>
      <c r="F44" s="62" t="s">
        <v>382</v>
      </c>
      <c r="G44" s="63" t="s">
        <v>394</v>
      </c>
      <c r="H44" s="64" t="n">
        <v>1600000000</v>
      </c>
      <c r="I44" s="62" t="s">
        <v>81</v>
      </c>
      <c r="J44" s="64" t="n">
        <v>1600000</v>
      </c>
      <c r="K44" s="62" t="s">
        <v>138</v>
      </c>
      <c r="L44" s="68" t="b">
        <f aca="false">TRUE()</f>
        <v>1</v>
      </c>
    </row>
    <row r="45" customFormat="false" ht="15" hidden="false" customHeight="false" outlineLevel="0" collapsed="false">
      <c r="A45" s="62" t="n">
        <v>0</v>
      </c>
      <c r="B45" s="21" t="s">
        <v>336</v>
      </c>
      <c r="C45" s="62" t="s">
        <v>60</v>
      </c>
      <c r="D45" s="62" t="s">
        <v>383</v>
      </c>
      <c r="E45" s="62" t="s">
        <v>105</v>
      </c>
      <c r="F45" s="62" t="s">
        <v>382</v>
      </c>
      <c r="G45" s="63" t="s">
        <v>394</v>
      </c>
      <c r="H45" s="64" t="n">
        <v>1600000000</v>
      </c>
      <c r="I45" s="62" t="s">
        <v>81</v>
      </c>
      <c r="J45" s="64" t="n">
        <v>1600000</v>
      </c>
      <c r="K45" s="62" t="s">
        <v>138</v>
      </c>
      <c r="L45" s="68" t="b">
        <f aca="false">TRUE()</f>
        <v>1</v>
      </c>
    </row>
    <row r="46" customFormat="false" ht="15" hidden="false" customHeight="false" outlineLevel="0" collapsed="false">
      <c r="A46" s="62" t="n">
        <v>0</v>
      </c>
      <c r="B46" s="21" t="s">
        <v>336</v>
      </c>
      <c r="C46" s="62" t="s">
        <v>60</v>
      </c>
      <c r="D46" s="62" t="s">
        <v>384</v>
      </c>
      <c r="E46" s="62" t="s">
        <v>105</v>
      </c>
      <c r="F46" s="62" t="s">
        <v>382</v>
      </c>
      <c r="G46" s="63" t="s">
        <v>394</v>
      </c>
      <c r="H46" s="64" t="n">
        <v>1600000000</v>
      </c>
      <c r="I46" s="62" t="s">
        <v>81</v>
      </c>
      <c r="J46" s="64" t="n">
        <v>1600000</v>
      </c>
      <c r="K46" s="62" t="s">
        <v>138</v>
      </c>
      <c r="L46" s="68" t="b">
        <f aca="false">TRUE()</f>
        <v>1</v>
      </c>
    </row>
    <row r="47" customFormat="false" ht="15" hidden="false" customHeight="false" outlineLevel="0" collapsed="false">
      <c r="A47" s="62" t="n">
        <v>0</v>
      </c>
      <c r="B47" s="21" t="s">
        <v>336</v>
      </c>
      <c r="C47" s="62" t="s">
        <v>60</v>
      </c>
      <c r="D47" s="62" t="s">
        <v>385</v>
      </c>
      <c r="E47" s="62" t="s">
        <v>105</v>
      </c>
      <c r="F47" s="62" t="s">
        <v>382</v>
      </c>
      <c r="G47" s="63" t="s">
        <v>394</v>
      </c>
      <c r="H47" s="64" t="n">
        <v>1600000000</v>
      </c>
      <c r="I47" s="62" t="s">
        <v>81</v>
      </c>
      <c r="J47" s="64" t="n">
        <v>1600000</v>
      </c>
      <c r="K47" s="62" t="s">
        <v>138</v>
      </c>
      <c r="L47" s="68" t="b">
        <f aca="false">TRUE()</f>
        <v>1</v>
      </c>
    </row>
    <row r="48" customFormat="false" ht="15" hidden="false" customHeight="false" outlineLevel="0" collapsed="false">
      <c r="A48" s="62" t="n">
        <v>0</v>
      </c>
      <c r="B48" s="21" t="s">
        <v>336</v>
      </c>
      <c r="C48" s="62" t="s">
        <v>60</v>
      </c>
      <c r="D48" s="62" t="s">
        <v>386</v>
      </c>
      <c r="E48" s="62" t="s">
        <v>105</v>
      </c>
      <c r="F48" s="62" t="s">
        <v>382</v>
      </c>
      <c r="G48" s="63" t="s">
        <v>394</v>
      </c>
      <c r="H48" s="64" t="n">
        <v>1600000000</v>
      </c>
      <c r="I48" s="62" t="s">
        <v>81</v>
      </c>
      <c r="J48" s="64" t="n">
        <v>1600000</v>
      </c>
      <c r="K48" s="62" t="s">
        <v>138</v>
      </c>
      <c r="L48" s="68" t="b">
        <f aca="false">TRUE()</f>
        <v>1</v>
      </c>
    </row>
    <row r="49" customFormat="false" ht="15" hidden="false" customHeight="false" outlineLevel="0" collapsed="false">
      <c r="A49" s="62" t="n">
        <v>0</v>
      </c>
      <c r="B49" s="21" t="s">
        <v>336</v>
      </c>
      <c r="C49" s="62" t="s">
        <v>60</v>
      </c>
      <c r="D49" s="62" t="s">
        <v>387</v>
      </c>
      <c r="E49" s="62" t="s">
        <v>105</v>
      </c>
      <c r="F49" s="62" t="s">
        <v>382</v>
      </c>
      <c r="G49" s="63" t="s">
        <v>394</v>
      </c>
      <c r="H49" s="64" t="n">
        <v>1600000000</v>
      </c>
      <c r="I49" s="62" t="s">
        <v>81</v>
      </c>
      <c r="J49" s="64" t="n">
        <v>1600000</v>
      </c>
      <c r="K49" s="62" t="s">
        <v>138</v>
      </c>
      <c r="L49" s="68" t="b">
        <f aca="false">TRUE()</f>
        <v>1</v>
      </c>
    </row>
    <row r="50" customFormat="false" ht="15" hidden="false" customHeight="false" outlineLevel="0" collapsed="false">
      <c r="A50" s="62" t="n">
        <v>0</v>
      </c>
      <c r="B50" s="21" t="s">
        <v>336</v>
      </c>
      <c r="C50" s="62" t="s">
        <v>60</v>
      </c>
      <c r="D50" s="62" t="s">
        <v>388</v>
      </c>
      <c r="E50" s="62" t="s">
        <v>105</v>
      </c>
      <c r="F50" s="62" t="s">
        <v>382</v>
      </c>
      <c r="G50" s="63" t="s">
        <v>394</v>
      </c>
      <c r="H50" s="64" t="n">
        <v>1600000000</v>
      </c>
      <c r="I50" s="62" t="s">
        <v>81</v>
      </c>
      <c r="J50" s="64" t="n">
        <v>1600000</v>
      </c>
      <c r="K50" s="62" t="s">
        <v>138</v>
      </c>
      <c r="L50" s="68" t="b">
        <f aca="false">TRUE()</f>
        <v>1</v>
      </c>
    </row>
    <row r="51" customFormat="false" ht="15" hidden="false" customHeight="false" outlineLevel="0" collapsed="false">
      <c r="A51" s="62" t="n">
        <v>0</v>
      </c>
      <c r="B51" s="21" t="s">
        <v>336</v>
      </c>
      <c r="C51" s="62" t="s">
        <v>60</v>
      </c>
      <c r="D51" s="62" t="s">
        <v>381</v>
      </c>
      <c r="E51" s="62" t="s">
        <v>105</v>
      </c>
      <c r="F51" s="62" t="s">
        <v>382</v>
      </c>
      <c r="G51" s="63" t="s">
        <v>395</v>
      </c>
      <c r="H51" s="64" t="n">
        <v>180334622.474097</v>
      </c>
      <c r="I51" s="62" t="s">
        <v>81</v>
      </c>
      <c r="J51" s="64" t="n">
        <v>180334.622474097</v>
      </c>
      <c r="K51" s="62" t="s">
        <v>138</v>
      </c>
      <c r="L51" s="68" t="b">
        <f aca="false">TRUE()</f>
        <v>1</v>
      </c>
    </row>
    <row r="52" customFormat="false" ht="15" hidden="false" customHeight="false" outlineLevel="0" collapsed="false">
      <c r="A52" s="62" t="n">
        <v>0</v>
      </c>
      <c r="B52" s="21" t="s">
        <v>336</v>
      </c>
      <c r="C52" s="62" t="s">
        <v>60</v>
      </c>
      <c r="D52" s="62" t="s">
        <v>383</v>
      </c>
      <c r="E52" s="62" t="s">
        <v>105</v>
      </c>
      <c r="F52" s="62" t="s">
        <v>382</v>
      </c>
      <c r="G52" s="63" t="s">
        <v>395</v>
      </c>
      <c r="H52" s="64" t="n">
        <v>180334622.474097</v>
      </c>
      <c r="I52" s="62" t="s">
        <v>81</v>
      </c>
      <c r="J52" s="64" t="n">
        <v>180334.622474097</v>
      </c>
      <c r="K52" s="62" t="s">
        <v>138</v>
      </c>
      <c r="L52" s="68" t="b">
        <f aca="false">TRUE()</f>
        <v>1</v>
      </c>
    </row>
    <row r="53" customFormat="false" ht="15" hidden="false" customHeight="false" outlineLevel="0" collapsed="false">
      <c r="A53" s="62" t="n">
        <v>0</v>
      </c>
      <c r="B53" s="21" t="s">
        <v>336</v>
      </c>
      <c r="C53" s="62" t="s">
        <v>60</v>
      </c>
      <c r="D53" s="62" t="s">
        <v>384</v>
      </c>
      <c r="E53" s="62" t="s">
        <v>105</v>
      </c>
      <c r="F53" s="62" t="s">
        <v>382</v>
      </c>
      <c r="G53" s="63" t="s">
        <v>395</v>
      </c>
      <c r="H53" s="64" t="n">
        <v>180334622.474097</v>
      </c>
      <c r="I53" s="62" t="s">
        <v>81</v>
      </c>
      <c r="J53" s="64" t="n">
        <v>180334.622474097</v>
      </c>
      <c r="K53" s="62" t="s">
        <v>138</v>
      </c>
      <c r="L53" s="68" t="b">
        <f aca="false">TRUE()</f>
        <v>1</v>
      </c>
    </row>
    <row r="54" customFormat="false" ht="15" hidden="false" customHeight="false" outlineLevel="0" collapsed="false">
      <c r="A54" s="62" t="n">
        <v>0</v>
      </c>
      <c r="B54" s="21" t="s">
        <v>336</v>
      </c>
      <c r="C54" s="62" t="s">
        <v>60</v>
      </c>
      <c r="D54" s="62" t="s">
        <v>385</v>
      </c>
      <c r="E54" s="62" t="s">
        <v>105</v>
      </c>
      <c r="F54" s="62" t="s">
        <v>382</v>
      </c>
      <c r="G54" s="63" t="s">
        <v>395</v>
      </c>
      <c r="H54" s="64" t="n">
        <v>180334622.474097</v>
      </c>
      <c r="I54" s="62" t="s">
        <v>81</v>
      </c>
      <c r="J54" s="64" t="n">
        <v>180334.622474097</v>
      </c>
      <c r="K54" s="62" t="s">
        <v>138</v>
      </c>
      <c r="L54" s="68" t="b">
        <f aca="false">TRUE()</f>
        <v>1</v>
      </c>
    </row>
    <row r="55" customFormat="false" ht="15" hidden="false" customHeight="false" outlineLevel="0" collapsed="false">
      <c r="A55" s="62" t="n">
        <v>0</v>
      </c>
      <c r="B55" s="21" t="s">
        <v>336</v>
      </c>
      <c r="C55" s="62" t="s">
        <v>60</v>
      </c>
      <c r="D55" s="62" t="s">
        <v>386</v>
      </c>
      <c r="E55" s="62" t="s">
        <v>105</v>
      </c>
      <c r="F55" s="62" t="s">
        <v>382</v>
      </c>
      <c r="G55" s="63" t="s">
        <v>395</v>
      </c>
      <c r="H55" s="64" t="n">
        <v>180334622.474097</v>
      </c>
      <c r="I55" s="62" t="s">
        <v>81</v>
      </c>
      <c r="J55" s="64" t="n">
        <v>180334.622474097</v>
      </c>
      <c r="K55" s="62" t="s">
        <v>138</v>
      </c>
      <c r="L55" s="68" t="b">
        <f aca="false">TRUE()</f>
        <v>1</v>
      </c>
    </row>
    <row r="56" customFormat="false" ht="15" hidden="false" customHeight="false" outlineLevel="0" collapsed="false">
      <c r="A56" s="62" t="n">
        <v>0</v>
      </c>
      <c r="B56" s="21" t="s">
        <v>336</v>
      </c>
      <c r="C56" s="62" t="s">
        <v>60</v>
      </c>
      <c r="D56" s="62" t="s">
        <v>387</v>
      </c>
      <c r="E56" s="62" t="s">
        <v>105</v>
      </c>
      <c r="F56" s="62" t="s">
        <v>382</v>
      </c>
      <c r="G56" s="63" t="s">
        <v>395</v>
      </c>
      <c r="H56" s="64" t="n">
        <v>180334622.474097</v>
      </c>
      <c r="I56" s="62" t="s">
        <v>81</v>
      </c>
      <c r="J56" s="64" t="n">
        <v>180334.622474097</v>
      </c>
      <c r="K56" s="62" t="s">
        <v>138</v>
      </c>
      <c r="L56" s="68" t="b">
        <f aca="false">TRUE()</f>
        <v>1</v>
      </c>
    </row>
    <row r="57" customFormat="false" ht="15" hidden="false" customHeight="false" outlineLevel="0" collapsed="false">
      <c r="A57" s="62" t="n">
        <v>0</v>
      </c>
      <c r="B57" s="21" t="s">
        <v>336</v>
      </c>
      <c r="C57" s="62" t="s">
        <v>60</v>
      </c>
      <c r="D57" s="62" t="s">
        <v>388</v>
      </c>
      <c r="E57" s="62" t="s">
        <v>105</v>
      </c>
      <c r="F57" s="62" t="s">
        <v>382</v>
      </c>
      <c r="G57" s="63" t="s">
        <v>395</v>
      </c>
      <c r="H57" s="64" t="n">
        <v>180334622.474097</v>
      </c>
      <c r="I57" s="62" t="s">
        <v>81</v>
      </c>
      <c r="J57" s="64" t="n">
        <v>180334.622474097</v>
      </c>
      <c r="K57" s="62" t="s">
        <v>138</v>
      </c>
      <c r="L57" s="68" t="b">
        <f aca="false">TRUE()</f>
        <v>1</v>
      </c>
    </row>
    <row r="58" customFormat="false" ht="15" hidden="false" customHeight="false" outlineLevel="0" collapsed="false">
      <c r="A58" s="62" t="n">
        <v>0</v>
      </c>
      <c r="B58" s="21" t="s">
        <v>336</v>
      </c>
      <c r="C58" s="62" t="s">
        <v>60</v>
      </c>
      <c r="D58" s="62" t="s">
        <v>381</v>
      </c>
      <c r="E58" s="62" t="s">
        <v>105</v>
      </c>
      <c r="F58" s="62" t="s">
        <v>382</v>
      </c>
      <c r="G58" s="63" t="s">
        <v>271</v>
      </c>
      <c r="H58" s="64" t="n">
        <v>35337849217.5511</v>
      </c>
      <c r="I58" s="62" t="s">
        <v>81</v>
      </c>
      <c r="J58" s="64" t="n">
        <v>35337849.2175511</v>
      </c>
      <c r="K58" s="62" t="s">
        <v>138</v>
      </c>
      <c r="L58" s="68" t="b">
        <f aca="false">TRUE()</f>
        <v>1</v>
      </c>
    </row>
    <row r="59" customFormat="false" ht="15" hidden="false" customHeight="false" outlineLevel="0" collapsed="false">
      <c r="A59" s="62" t="n">
        <v>0</v>
      </c>
      <c r="B59" s="21" t="s">
        <v>336</v>
      </c>
      <c r="C59" s="62" t="s">
        <v>60</v>
      </c>
      <c r="D59" s="62" t="s">
        <v>383</v>
      </c>
      <c r="E59" s="62" t="s">
        <v>105</v>
      </c>
      <c r="F59" s="62" t="s">
        <v>382</v>
      </c>
      <c r="G59" s="63" t="s">
        <v>271</v>
      </c>
      <c r="H59" s="64" t="n">
        <v>35337849217.5511</v>
      </c>
      <c r="I59" s="62" t="s">
        <v>81</v>
      </c>
      <c r="J59" s="64" t="n">
        <v>35337849.2175511</v>
      </c>
      <c r="K59" s="62" t="s">
        <v>138</v>
      </c>
      <c r="L59" s="68" t="b">
        <f aca="false">TRUE()</f>
        <v>1</v>
      </c>
    </row>
    <row r="60" customFormat="false" ht="15" hidden="false" customHeight="false" outlineLevel="0" collapsed="false">
      <c r="A60" s="62" t="n">
        <v>0</v>
      </c>
      <c r="B60" s="21" t="s">
        <v>336</v>
      </c>
      <c r="C60" s="62" t="s">
        <v>60</v>
      </c>
      <c r="D60" s="62" t="s">
        <v>384</v>
      </c>
      <c r="E60" s="62" t="s">
        <v>105</v>
      </c>
      <c r="F60" s="62" t="s">
        <v>382</v>
      </c>
      <c r="G60" s="63" t="s">
        <v>271</v>
      </c>
      <c r="H60" s="64" t="n">
        <v>35337849217.5511</v>
      </c>
      <c r="I60" s="62" t="s">
        <v>81</v>
      </c>
      <c r="J60" s="64" t="n">
        <v>35337849.2175511</v>
      </c>
      <c r="K60" s="62" t="s">
        <v>138</v>
      </c>
      <c r="L60" s="68" t="b">
        <f aca="false">TRUE()</f>
        <v>1</v>
      </c>
    </row>
    <row r="61" customFormat="false" ht="15" hidden="false" customHeight="false" outlineLevel="0" collapsed="false">
      <c r="A61" s="62" t="n">
        <v>0</v>
      </c>
      <c r="B61" s="21" t="s">
        <v>336</v>
      </c>
      <c r="C61" s="62" t="s">
        <v>60</v>
      </c>
      <c r="D61" s="62" t="s">
        <v>385</v>
      </c>
      <c r="E61" s="62" t="s">
        <v>105</v>
      </c>
      <c r="F61" s="62" t="s">
        <v>382</v>
      </c>
      <c r="G61" s="63" t="s">
        <v>271</v>
      </c>
      <c r="H61" s="64" t="n">
        <v>35337849217.5511</v>
      </c>
      <c r="I61" s="62" t="s">
        <v>81</v>
      </c>
      <c r="J61" s="64" t="n">
        <v>35337849.2175511</v>
      </c>
      <c r="K61" s="62" t="s">
        <v>138</v>
      </c>
      <c r="L61" s="68" t="b">
        <f aca="false">TRUE()</f>
        <v>1</v>
      </c>
    </row>
    <row r="62" customFormat="false" ht="15" hidden="false" customHeight="false" outlineLevel="0" collapsed="false">
      <c r="A62" s="62" t="n">
        <v>0</v>
      </c>
      <c r="B62" s="21" t="s">
        <v>336</v>
      </c>
      <c r="C62" s="62" t="s">
        <v>60</v>
      </c>
      <c r="D62" s="62" t="s">
        <v>386</v>
      </c>
      <c r="E62" s="62" t="s">
        <v>105</v>
      </c>
      <c r="F62" s="62" t="s">
        <v>382</v>
      </c>
      <c r="G62" s="63" t="s">
        <v>271</v>
      </c>
      <c r="H62" s="64" t="n">
        <v>35337849217.5511</v>
      </c>
      <c r="I62" s="62" t="s">
        <v>81</v>
      </c>
      <c r="J62" s="64" t="n">
        <v>35337849.2175511</v>
      </c>
      <c r="K62" s="62" t="s">
        <v>138</v>
      </c>
      <c r="L62" s="68" t="b">
        <f aca="false">TRUE()</f>
        <v>1</v>
      </c>
    </row>
    <row r="63" customFormat="false" ht="15" hidden="false" customHeight="false" outlineLevel="0" collapsed="false">
      <c r="A63" s="62" t="n">
        <v>0</v>
      </c>
      <c r="B63" s="21" t="s">
        <v>336</v>
      </c>
      <c r="C63" s="62" t="s">
        <v>60</v>
      </c>
      <c r="D63" s="62" t="s">
        <v>387</v>
      </c>
      <c r="E63" s="62" t="s">
        <v>105</v>
      </c>
      <c r="F63" s="62" t="s">
        <v>382</v>
      </c>
      <c r="G63" s="63" t="s">
        <v>271</v>
      </c>
      <c r="H63" s="64" t="n">
        <v>35337849217.5511</v>
      </c>
      <c r="I63" s="62" t="s">
        <v>81</v>
      </c>
      <c r="J63" s="64" t="n">
        <v>35337849.2175511</v>
      </c>
      <c r="K63" s="62" t="s">
        <v>138</v>
      </c>
      <c r="L63" s="68" t="b">
        <f aca="false">TRUE()</f>
        <v>1</v>
      </c>
    </row>
    <row r="64" customFormat="false" ht="15" hidden="false" customHeight="false" outlineLevel="0" collapsed="false">
      <c r="A64" s="62" t="n">
        <v>0</v>
      </c>
      <c r="B64" s="21" t="s">
        <v>336</v>
      </c>
      <c r="C64" s="62" t="s">
        <v>60</v>
      </c>
      <c r="D64" s="62" t="s">
        <v>388</v>
      </c>
      <c r="E64" s="62" t="s">
        <v>105</v>
      </c>
      <c r="F64" s="62" t="s">
        <v>382</v>
      </c>
      <c r="G64" s="63" t="s">
        <v>271</v>
      </c>
      <c r="H64" s="64" t="n">
        <v>35337849217.5511</v>
      </c>
      <c r="I64" s="62" t="s">
        <v>81</v>
      </c>
      <c r="J64" s="64" t="n">
        <v>35337849.2175511</v>
      </c>
      <c r="K64" s="62" t="s">
        <v>138</v>
      </c>
      <c r="L64" s="68" t="b">
        <f aca="false">TRUE()</f>
        <v>1</v>
      </c>
    </row>
    <row r="65" customFormat="false" ht="15" hidden="false" customHeight="false" outlineLevel="0" collapsed="false">
      <c r="A65" s="62" t="n">
        <v>0</v>
      </c>
      <c r="B65" s="21" t="s">
        <v>336</v>
      </c>
      <c r="C65" s="62" t="s">
        <v>60</v>
      </c>
      <c r="D65" s="62" t="s">
        <v>381</v>
      </c>
      <c r="E65" s="62" t="s">
        <v>105</v>
      </c>
      <c r="F65" s="62" t="s">
        <v>382</v>
      </c>
      <c r="G65" s="63" t="s">
        <v>272</v>
      </c>
      <c r="H65" s="64" t="n">
        <v>4151150782.44887</v>
      </c>
      <c r="I65" s="62" t="s">
        <v>81</v>
      </c>
      <c r="J65" s="64" t="n">
        <v>4151150.78244887</v>
      </c>
      <c r="K65" s="62" t="s">
        <v>138</v>
      </c>
      <c r="L65" s="68" t="b">
        <f aca="false">TRUE()</f>
        <v>1</v>
      </c>
    </row>
    <row r="66" customFormat="false" ht="15" hidden="false" customHeight="false" outlineLevel="0" collapsed="false">
      <c r="A66" s="62" t="n">
        <v>0</v>
      </c>
      <c r="B66" s="21" t="s">
        <v>336</v>
      </c>
      <c r="C66" s="62" t="s">
        <v>60</v>
      </c>
      <c r="D66" s="62" t="s">
        <v>383</v>
      </c>
      <c r="E66" s="62" t="s">
        <v>105</v>
      </c>
      <c r="F66" s="62" t="s">
        <v>382</v>
      </c>
      <c r="G66" s="63" t="s">
        <v>272</v>
      </c>
      <c r="H66" s="64" t="n">
        <v>4151150782.44887</v>
      </c>
      <c r="I66" s="62" t="s">
        <v>81</v>
      </c>
      <c r="J66" s="64" t="n">
        <v>4151150.78244887</v>
      </c>
      <c r="K66" s="62" t="s">
        <v>138</v>
      </c>
      <c r="L66" s="68" t="b">
        <f aca="false">TRUE()</f>
        <v>1</v>
      </c>
    </row>
    <row r="67" customFormat="false" ht="15" hidden="false" customHeight="false" outlineLevel="0" collapsed="false">
      <c r="A67" s="62" t="n">
        <v>0</v>
      </c>
      <c r="B67" s="21" t="s">
        <v>336</v>
      </c>
      <c r="C67" s="62" t="s">
        <v>60</v>
      </c>
      <c r="D67" s="62" t="s">
        <v>384</v>
      </c>
      <c r="E67" s="62" t="s">
        <v>105</v>
      </c>
      <c r="F67" s="62" t="s">
        <v>382</v>
      </c>
      <c r="G67" s="63" t="s">
        <v>272</v>
      </c>
      <c r="H67" s="64" t="n">
        <v>4151150782.44887</v>
      </c>
      <c r="I67" s="62" t="s">
        <v>81</v>
      </c>
      <c r="J67" s="64" t="n">
        <v>4151150.78244887</v>
      </c>
      <c r="K67" s="62" t="s">
        <v>138</v>
      </c>
      <c r="L67" s="68" t="b">
        <f aca="false">TRUE()</f>
        <v>1</v>
      </c>
    </row>
    <row r="68" customFormat="false" ht="15" hidden="false" customHeight="false" outlineLevel="0" collapsed="false">
      <c r="A68" s="62" t="n">
        <v>0</v>
      </c>
      <c r="B68" s="21" t="s">
        <v>336</v>
      </c>
      <c r="C68" s="62" t="s">
        <v>60</v>
      </c>
      <c r="D68" s="62" t="s">
        <v>385</v>
      </c>
      <c r="E68" s="62" t="s">
        <v>105</v>
      </c>
      <c r="F68" s="62" t="s">
        <v>382</v>
      </c>
      <c r="G68" s="63" t="s">
        <v>272</v>
      </c>
      <c r="H68" s="64" t="n">
        <v>4151150782.44887</v>
      </c>
      <c r="I68" s="62" t="s">
        <v>81</v>
      </c>
      <c r="J68" s="64" t="n">
        <v>4151150.78244887</v>
      </c>
      <c r="K68" s="62" t="s">
        <v>138</v>
      </c>
      <c r="L68" s="68" t="b">
        <f aca="false">TRUE()</f>
        <v>1</v>
      </c>
    </row>
    <row r="69" customFormat="false" ht="15" hidden="false" customHeight="false" outlineLevel="0" collapsed="false">
      <c r="A69" s="62" t="n">
        <v>0</v>
      </c>
      <c r="B69" s="21" t="s">
        <v>336</v>
      </c>
      <c r="C69" s="62" t="s">
        <v>60</v>
      </c>
      <c r="D69" s="62" t="s">
        <v>386</v>
      </c>
      <c r="E69" s="62" t="s">
        <v>105</v>
      </c>
      <c r="F69" s="62" t="s">
        <v>382</v>
      </c>
      <c r="G69" s="63" t="s">
        <v>272</v>
      </c>
      <c r="H69" s="64" t="n">
        <v>4151150782.44887</v>
      </c>
      <c r="I69" s="62" t="s">
        <v>81</v>
      </c>
      <c r="J69" s="64" t="n">
        <v>4151150.78244887</v>
      </c>
      <c r="K69" s="62" t="s">
        <v>138</v>
      </c>
      <c r="L69" s="68" t="b">
        <f aca="false">TRUE()</f>
        <v>1</v>
      </c>
    </row>
    <row r="70" customFormat="false" ht="15" hidden="false" customHeight="false" outlineLevel="0" collapsed="false">
      <c r="A70" s="62" t="n">
        <v>0</v>
      </c>
      <c r="B70" s="21" t="s">
        <v>336</v>
      </c>
      <c r="C70" s="62" t="s">
        <v>60</v>
      </c>
      <c r="D70" s="62" t="s">
        <v>387</v>
      </c>
      <c r="E70" s="62" t="s">
        <v>105</v>
      </c>
      <c r="F70" s="62" t="s">
        <v>382</v>
      </c>
      <c r="G70" s="63" t="s">
        <v>272</v>
      </c>
      <c r="H70" s="64" t="n">
        <v>4151150782.44887</v>
      </c>
      <c r="I70" s="62" t="s">
        <v>81</v>
      </c>
      <c r="J70" s="64" t="n">
        <v>4151150.78244887</v>
      </c>
      <c r="K70" s="62" t="s">
        <v>138</v>
      </c>
      <c r="L70" s="68" t="b">
        <f aca="false">TRUE()</f>
        <v>1</v>
      </c>
    </row>
    <row r="71" customFormat="false" ht="15" hidden="false" customHeight="false" outlineLevel="0" collapsed="false">
      <c r="A71" s="62" t="n">
        <v>0</v>
      </c>
      <c r="B71" s="21" t="s">
        <v>336</v>
      </c>
      <c r="C71" s="62" t="s">
        <v>60</v>
      </c>
      <c r="D71" s="62" t="s">
        <v>388</v>
      </c>
      <c r="E71" s="62" t="s">
        <v>105</v>
      </c>
      <c r="F71" s="62" t="s">
        <v>382</v>
      </c>
      <c r="G71" s="63" t="s">
        <v>272</v>
      </c>
      <c r="H71" s="64" t="n">
        <v>4151150782.44887</v>
      </c>
      <c r="I71" s="62" t="s">
        <v>81</v>
      </c>
      <c r="J71" s="64" t="n">
        <v>4151150.78244887</v>
      </c>
      <c r="K71" s="62" t="s">
        <v>138</v>
      </c>
      <c r="L71" s="68" t="b">
        <f aca="false">TRUE()</f>
        <v>1</v>
      </c>
    </row>
    <row r="72" customFormat="false" ht="15" hidden="false" customHeight="false" outlineLevel="0" collapsed="false">
      <c r="A72" s="62" t="n">
        <v>0</v>
      </c>
      <c r="B72" s="21" t="s">
        <v>336</v>
      </c>
      <c r="C72" s="62" t="s">
        <v>60</v>
      </c>
      <c r="D72" s="62" t="s">
        <v>381</v>
      </c>
      <c r="E72" s="62" t="s">
        <v>105</v>
      </c>
      <c r="F72" s="62" t="s">
        <v>382</v>
      </c>
      <c r="G72" s="63" t="s">
        <v>274</v>
      </c>
      <c r="H72" s="64" t="n">
        <v>1203133800</v>
      </c>
      <c r="I72" s="62" t="s">
        <v>81</v>
      </c>
      <c r="J72" s="64" t="n">
        <v>1203133.8</v>
      </c>
      <c r="K72" s="62" t="s">
        <v>138</v>
      </c>
      <c r="L72" s="68" t="b">
        <f aca="false">TRUE()</f>
        <v>1</v>
      </c>
    </row>
    <row r="73" customFormat="false" ht="15" hidden="false" customHeight="false" outlineLevel="0" collapsed="false">
      <c r="A73" s="62" t="n">
        <v>0</v>
      </c>
      <c r="B73" s="21" t="s">
        <v>336</v>
      </c>
      <c r="C73" s="62" t="s">
        <v>60</v>
      </c>
      <c r="D73" s="62" t="s">
        <v>383</v>
      </c>
      <c r="E73" s="62" t="s">
        <v>105</v>
      </c>
      <c r="F73" s="62" t="s">
        <v>382</v>
      </c>
      <c r="G73" s="63" t="s">
        <v>274</v>
      </c>
      <c r="H73" s="64" t="n">
        <v>1203133800</v>
      </c>
      <c r="I73" s="62" t="s">
        <v>81</v>
      </c>
      <c r="J73" s="64" t="n">
        <v>1203133.8</v>
      </c>
      <c r="K73" s="62" t="s">
        <v>138</v>
      </c>
      <c r="L73" s="68" t="b">
        <f aca="false">TRUE()</f>
        <v>1</v>
      </c>
    </row>
    <row r="74" customFormat="false" ht="15" hidden="false" customHeight="false" outlineLevel="0" collapsed="false">
      <c r="A74" s="62" t="n">
        <v>0</v>
      </c>
      <c r="B74" s="21" t="s">
        <v>336</v>
      </c>
      <c r="C74" s="62" t="s">
        <v>60</v>
      </c>
      <c r="D74" s="62" t="s">
        <v>384</v>
      </c>
      <c r="E74" s="62" t="s">
        <v>105</v>
      </c>
      <c r="F74" s="62" t="s">
        <v>382</v>
      </c>
      <c r="G74" s="63" t="s">
        <v>274</v>
      </c>
      <c r="H74" s="64" t="n">
        <v>1203133800</v>
      </c>
      <c r="I74" s="62" t="s">
        <v>81</v>
      </c>
      <c r="J74" s="64" t="n">
        <v>1203133.8</v>
      </c>
      <c r="K74" s="62" t="s">
        <v>138</v>
      </c>
      <c r="L74" s="68" t="b">
        <f aca="false">TRUE()</f>
        <v>1</v>
      </c>
    </row>
    <row r="75" customFormat="false" ht="15" hidden="false" customHeight="false" outlineLevel="0" collapsed="false">
      <c r="A75" s="62" t="n">
        <v>0</v>
      </c>
      <c r="B75" s="21" t="s">
        <v>336</v>
      </c>
      <c r="C75" s="62" t="s">
        <v>60</v>
      </c>
      <c r="D75" s="62" t="s">
        <v>385</v>
      </c>
      <c r="E75" s="62" t="s">
        <v>105</v>
      </c>
      <c r="F75" s="62" t="s">
        <v>382</v>
      </c>
      <c r="G75" s="63" t="s">
        <v>274</v>
      </c>
      <c r="H75" s="64" t="n">
        <v>1203133800</v>
      </c>
      <c r="I75" s="62" t="s">
        <v>81</v>
      </c>
      <c r="J75" s="64" t="n">
        <v>1203133.8</v>
      </c>
      <c r="K75" s="62" t="s">
        <v>138</v>
      </c>
      <c r="L75" s="68" t="b">
        <f aca="false">TRUE()</f>
        <v>1</v>
      </c>
    </row>
    <row r="76" customFormat="false" ht="15" hidden="false" customHeight="false" outlineLevel="0" collapsed="false">
      <c r="A76" s="62" t="n">
        <v>0</v>
      </c>
      <c r="B76" s="21" t="s">
        <v>336</v>
      </c>
      <c r="C76" s="62" t="s">
        <v>60</v>
      </c>
      <c r="D76" s="62" t="s">
        <v>386</v>
      </c>
      <c r="E76" s="62" t="s">
        <v>105</v>
      </c>
      <c r="F76" s="62" t="s">
        <v>382</v>
      </c>
      <c r="G76" s="63" t="s">
        <v>274</v>
      </c>
      <c r="H76" s="64" t="n">
        <v>1203133800</v>
      </c>
      <c r="I76" s="62" t="s">
        <v>81</v>
      </c>
      <c r="J76" s="64" t="n">
        <v>1203133.8</v>
      </c>
      <c r="K76" s="62" t="s">
        <v>138</v>
      </c>
      <c r="L76" s="68" t="b">
        <f aca="false">TRUE()</f>
        <v>1</v>
      </c>
    </row>
    <row r="77" customFormat="false" ht="15" hidden="false" customHeight="false" outlineLevel="0" collapsed="false">
      <c r="A77" s="62" t="n">
        <v>0</v>
      </c>
      <c r="B77" s="21" t="s">
        <v>336</v>
      </c>
      <c r="C77" s="62" t="s">
        <v>60</v>
      </c>
      <c r="D77" s="62" t="s">
        <v>387</v>
      </c>
      <c r="E77" s="62" t="s">
        <v>105</v>
      </c>
      <c r="F77" s="62" t="s">
        <v>382</v>
      </c>
      <c r="G77" s="63" t="s">
        <v>274</v>
      </c>
      <c r="H77" s="64" t="n">
        <v>1203133800</v>
      </c>
      <c r="I77" s="62" t="s">
        <v>81</v>
      </c>
      <c r="J77" s="64" t="n">
        <v>1203133.8</v>
      </c>
      <c r="K77" s="62" t="s">
        <v>138</v>
      </c>
      <c r="L77" s="68" t="b">
        <f aca="false">TRUE()</f>
        <v>1</v>
      </c>
    </row>
    <row r="78" customFormat="false" ht="15" hidden="false" customHeight="false" outlineLevel="0" collapsed="false">
      <c r="A78" s="62" t="n">
        <v>0</v>
      </c>
      <c r="B78" s="21" t="s">
        <v>336</v>
      </c>
      <c r="C78" s="62" t="s">
        <v>60</v>
      </c>
      <c r="D78" s="62" t="s">
        <v>388</v>
      </c>
      <c r="E78" s="62" t="s">
        <v>105</v>
      </c>
      <c r="F78" s="62" t="s">
        <v>382</v>
      </c>
      <c r="G78" s="63" t="s">
        <v>274</v>
      </c>
      <c r="H78" s="64" t="n">
        <v>1203133800</v>
      </c>
      <c r="I78" s="62" t="s">
        <v>81</v>
      </c>
      <c r="J78" s="64" t="n">
        <v>1203133.8</v>
      </c>
      <c r="K78" s="62" t="s">
        <v>138</v>
      </c>
      <c r="L78" s="68" t="b">
        <f aca="false">TRUE()</f>
        <v>1</v>
      </c>
    </row>
    <row r="79" customFormat="false" ht="15" hidden="false" customHeight="false" outlineLevel="0" collapsed="false">
      <c r="A79" s="62" t="n">
        <v>0</v>
      </c>
      <c r="B79" s="21" t="s">
        <v>336</v>
      </c>
      <c r="C79" s="62" t="s">
        <v>60</v>
      </c>
      <c r="D79" s="62" t="s">
        <v>381</v>
      </c>
      <c r="E79" s="62" t="s">
        <v>105</v>
      </c>
      <c r="F79" s="62" t="s">
        <v>382</v>
      </c>
      <c r="G79" s="63" t="s">
        <v>275</v>
      </c>
      <c r="H79" s="64" t="n">
        <v>2948016982.44887</v>
      </c>
      <c r="I79" s="62" t="s">
        <v>81</v>
      </c>
      <c r="J79" s="64" t="n">
        <v>2948016.98244887</v>
      </c>
      <c r="K79" s="62" t="s">
        <v>138</v>
      </c>
      <c r="L79" s="68" t="b">
        <f aca="false">TRUE()</f>
        <v>1</v>
      </c>
    </row>
    <row r="80" customFormat="false" ht="15" hidden="false" customHeight="false" outlineLevel="0" collapsed="false">
      <c r="A80" s="62" t="n">
        <v>0</v>
      </c>
      <c r="B80" s="21" t="s">
        <v>336</v>
      </c>
      <c r="C80" s="62" t="s">
        <v>60</v>
      </c>
      <c r="D80" s="62" t="s">
        <v>383</v>
      </c>
      <c r="E80" s="62" t="s">
        <v>105</v>
      </c>
      <c r="F80" s="62" t="s">
        <v>382</v>
      </c>
      <c r="G80" s="63" t="s">
        <v>275</v>
      </c>
      <c r="H80" s="64" t="n">
        <v>2948016982.44887</v>
      </c>
      <c r="I80" s="62" t="s">
        <v>81</v>
      </c>
      <c r="J80" s="64" t="n">
        <v>2948016.98244887</v>
      </c>
      <c r="K80" s="62" t="s">
        <v>138</v>
      </c>
      <c r="L80" s="68" t="b">
        <f aca="false">TRUE()</f>
        <v>1</v>
      </c>
    </row>
    <row r="81" customFormat="false" ht="15" hidden="false" customHeight="false" outlineLevel="0" collapsed="false">
      <c r="A81" s="62" t="n">
        <v>0</v>
      </c>
      <c r="B81" s="21" t="s">
        <v>336</v>
      </c>
      <c r="C81" s="62" t="s">
        <v>60</v>
      </c>
      <c r="D81" s="62" t="s">
        <v>384</v>
      </c>
      <c r="E81" s="62" t="s">
        <v>105</v>
      </c>
      <c r="F81" s="62" t="s">
        <v>382</v>
      </c>
      <c r="G81" s="63" t="s">
        <v>275</v>
      </c>
      <c r="H81" s="64" t="n">
        <v>2948016982.44887</v>
      </c>
      <c r="I81" s="62" t="s">
        <v>81</v>
      </c>
      <c r="J81" s="64" t="n">
        <v>2948016.98244887</v>
      </c>
      <c r="K81" s="62" t="s">
        <v>138</v>
      </c>
      <c r="L81" s="68" t="b">
        <f aca="false">TRUE()</f>
        <v>1</v>
      </c>
    </row>
    <row r="82" customFormat="false" ht="15" hidden="false" customHeight="false" outlineLevel="0" collapsed="false">
      <c r="A82" s="62" t="n">
        <v>0</v>
      </c>
      <c r="B82" s="21" t="s">
        <v>336</v>
      </c>
      <c r="C82" s="62" t="s">
        <v>60</v>
      </c>
      <c r="D82" s="62" t="s">
        <v>385</v>
      </c>
      <c r="E82" s="62" t="s">
        <v>105</v>
      </c>
      <c r="F82" s="62" t="s">
        <v>382</v>
      </c>
      <c r="G82" s="63" t="s">
        <v>275</v>
      </c>
      <c r="H82" s="64" t="n">
        <v>2948016982.44887</v>
      </c>
      <c r="I82" s="62" t="s">
        <v>81</v>
      </c>
      <c r="J82" s="64" t="n">
        <v>2948016.98244887</v>
      </c>
      <c r="K82" s="62" t="s">
        <v>138</v>
      </c>
      <c r="L82" s="68" t="b">
        <f aca="false">TRUE()</f>
        <v>1</v>
      </c>
    </row>
    <row r="83" customFormat="false" ht="15" hidden="false" customHeight="false" outlineLevel="0" collapsed="false">
      <c r="A83" s="62" t="n">
        <v>0</v>
      </c>
      <c r="B83" s="21" t="s">
        <v>336</v>
      </c>
      <c r="C83" s="62" t="s">
        <v>60</v>
      </c>
      <c r="D83" s="62" t="s">
        <v>386</v>
      </c>
      <c r="E83" s="62" t="s">
        <v>105</v>
      </c>
      <c r="F83" s="62" t="s">
        <v>382</v>
      </c>
      <c r="G83" s="63" t="s">
        <v>275</v>
      </c>
      <c r="H83" s="64" t="n">
        <v>2948016982.44887</v>
      </c>
      <c r="I83" s="62" t="s">
        <v>81</v>
      </c>
      <c r="J83" s="64" t="n">
        <v>2948016.98244887</v>
      </c>
      <c r="K83" s="62" t="s">
        <v>138</v>
      </c>
      <c r="L83" s="68" t="b">
        <f aca="false">TRUE()</f>
        <v>1</v>
      </c>
    </row>
    <row r="84" customFormat="false" ht="15" hidden="false" customHeight="false" outlineLevel="0" collapsed="false">
      <c r="A84" s="62" t="n">
        <v>0</v>
      </c>
      <c r="B84" s="21" t="s">
        <v>336</v>
      </c>
      <c r="C84" s="62" t="s">
        <v>60</v>
      </c>
      <c r="D84" s="62" t="s">
        <v>387</v>
      </c>
      <c r="E84" s="62" t="s">
        <v>105</v>
      </c>
      <c r="F84" s="62" t="s">
        <v>382</v>
      </c>
      <c r="G84" s="63" t="s">
        <v>275</v>
      </c>
      <c r="H84" s="64" t="n">
        <v>2948016982.44887</v>
      </c>
      <c r="I84" s="62" t="s">
        <v>81</v>
      </c>
      <c r="J84" s="64" t="n">
        <v>2948016.98244887</v>
      </c>
      <c r="K84" s="62" t="s">
        <v>138</v>
      </c>
      <c r="L84" s="68" t="b">
        <f aca="false">TRUE()</f>
        <v>1</v>
      </c>
    </row>
    <row r="85" customFormat="false" ht="15" hidden="false" customHeight="false" outlineLevel="0" collapsed="false">
      <c r="A85" s="62" t="n">
        <v>0</v>
      </c>
      <c r="B85" s="21" t="s">
        <v>336</v>
      </c>
      <c r="C85" s="62" t="s">
        <v>60</v>
      </c>
      <c r="D85" s="62" t="s">
        <v>388</v>
      </c>
      <c r="E85" s="62" t="s">
        <v>105</v>
      </c>
      <c r="F85" s="62" t="s">
        <v>382</v>
      </c>
      <c r="G85" s="63" t="s">
        <v>275</v>
      </c>
      <c r="H85" s="64" t="n">
        <v>2948016982.44887</v>
      </c>
      <c r="I85" s="62" t="s">
        <v>81</v>
      </c>
      <c r="J85" s="64" t="n">
        <v>2948016.98244887</v>
      </c>
      <c r="K85" s="62" t="s">
        <v>138</v>
      </c>
      <c r="L85" s="68" t="b">
        <f aca="false">TRUE()</f>
        <v>1</v>
      </c>
    </row>
    <row r="86" customFormat="false" ht="15" hidden="false" customHeight="false" outlineLevel="0" collapsed="false">
      <c r="A86" s="62" t="n">
        <v>0</v>
      </c>
      <c r="B86" s="21" t="s">
        <v>336</v>
      </c>
      <c r="C86" s="62" t="s">
        <v>60</v>
      </c>
      <c r="D86" s="62" t="s">
        <v>381</v>
      </c>
      <c r="E86" s="62" t="s">
        <v>105</v>
      </c>
      <c r="F86" s="62" t="s">
        <v>382</v>
      </c>
      <c r="G86" s="63" t="s">
        <v>276</v>
      </c>
      <c r="H86" s="64" t="n">
        <v>642707584.62952</v>
      </c>
      <c r="I86" s="62" t="s">
        <v>81</v>
      </c>
      <c r="J86" s="64" t="n">
        <v>642707.58462952</v>
      </c>
      <c r="K86" s="62" t="s">
        <v>138</v>
      </c>
      <c r="L86" s="68" t="b">
        <f aca="false">TRUE()</f>
        <v>1</v>
      </c>
    </row>
    <row r="87" customFormat="false" ht="15" hidden="false" customHeight="false" outlineLevel="0" collapsed="false">
      <c r="A87" s="62" t="n">
        <v>0</v>
      </c>
      <c r="B87" s="21" t="s">
        <v>336</v>
      </c>
      <c r="C87" s="62" t="s">
        <v>60</v>
      </c>
      <c r="D87" s="62" t="s">
        <v>383</v>
      </c>
      <c r="E87" s="62" t="s">
        <v>105</v>
      </c>
      <c r="F87" s="62" t="s">
        <v>382</v>
      </c>
      <c r="G87" s="63" t="s">
        <v>276</v>
      </c>
      <c r="H87" s="64" t="n">
        <v>642707584.62952</v>
      </c>
      <c r="I87" s="62" t="s">
        <v>81</v>
      </c>
      <c r="J87" s="64" t="n">
        <v>642707.58462952</v>
      </c>
      <c r="K87" s="62" t="s">
        <v>138</v>
      </c>
      <c r="L87" s="68" t="b">
        <f aca="false">TRUE()</f>
        <v>1</v>
      </c>
    </row>
    <row r="88" customFormat="false" ht="15" hidden="false" customHeight="false" outlineLevel="0" collapsed="false">
      <c r="A88" s="62" t="n">
        <v>0</v>
      </c>
      <c r="B88" s="21" t="s">
        <v>336</v>
      </c>
      <c r="C88" s="62" t="s">
        <v>60</v>
      </c>
      <c r="D88" s="62" t="s">
        <v>384</v>
      </c>
      <c r="E88" s="62" t="s">
        <v>105</v>
      </c>
      <c r="F88" s="62" t="s">
        <v>382</v>
      </c>
      <c r="G88" s="63" t="s">
        <v>276</v>
      </c>
      <c r="H88" s="64" t="n">
        <v>642707584.62952</v>
      </c>
      <c r="I88" s="62" t="s">
        <v>81</v>
      </c>
      <c r="J88" s="64" t="n">
        <v>642707.58462952</v>
      </c>
      <c r="K88" s="62" t="s">
        <v>138</v>
      </c>
      <c r="L88" s="68" t="b">
        <f aca="false">TRUE()</f>
        <v>1</v>
      </c>
    </row>
    <row r="89" customFormat="false" ht="15" hidden="false" customHeight="false" outlineLevel="0" collapsed="false">
      <c r="A89" s="62" t="n">
        <v>0</v>
      </c>
      <c r="B89" s="21" t="s">
        <v>336</v>
      </c>
      <c r="C89" s="62" t="s">
        <v>60</v>
      </c>
      <c r="D89" s="62" t="s">
        <v>385</v>
      </c>
      <c r="E89" s="62" t="s">
        <v>105</v>
      </c>
      <c r="F89" s="62" t="s">
        <v>382</v>
      </c>
      <c r="G89" s="63" t="s">
        <v>276</v>
      </c>
      <c r="H89" s="64" t="n">
        <v>642707584.62952</v>
      </c>
      <c r="I89" s="62" t="s">
        <v>81</v>
      </c>
      <c r="J89" s="64" t="n">
        <v>642707.58462952</v>
      </c>
      <c r="K89" s="62" t="s">
        <v>138</v>
      </c>
      <c r="L89" s="68" t="b">
        <f aca="false">TRUE()</f>
        <v>1</v>
      </c>
    </row>
    <row r="90" customFormat="false" ht="15" hidden="false" customHeight="false" outlineLevel="0" collapsed="false">
      <c r="A90" s="62" t="n">
        <v>0</v>
      </c>
      <c r="B90" s="21" t="s">
        <v>336</v>
      </c>
      <c r="C90" s="62" t="s">
        <v>60</v>
      </c>
      <c r="D90" s="62" t="s">
        <v>386</v>
      </c>
      <c r="E90" s="62" t="s">
        <v>105</v>
      </c>
      <c r="F90" s="62" t="s">
        <v>382</v>
      </c>
      <c r="G90" s="63" t="s">
        <v>276</v>
      </c>
      <c r="H90" s="64" t="n">
        <v>642707584.62952</v>
      </c>
      <c r="I90" s="62" t="s">
        <v>81</v>
      </c>
      <c r="J90" s="64" t="n">
        <v>642707.58462952</v>
      </c>
      <c r="K90" s="62" t="s">
        <v>138</v>
      </c>
      <c r="L90" s="68" t="b">
        <f aca="false">TRUE()</f>
        <v>1</v>
      </c>
    </row>
    <row r="91" customFormat="false" ht="15" hidden="false" customHeight="false" outlineLevel="0" collapsed="false">
      <c r="A91" s="62" t="n">
        <v>0</v>
      </c>
      <c r="B91" s="21" t="s">
        <v>336</v>
      </c>
      <c r="C91" s="62" t="s">
        <v>60</v>
      </c>
      <c r="D91" s="62" t="s">
        <v>387</v>
      </c>
      <c r="E91" s="62" t="s">
        <v>105</v>
      </c>
      <c r="F91" s="62" t="s">
        <v>382</v>
      </c>
      <c r="G91" s="63" t="s">
        <v>276</v>
      </c>
      <c r="H91" s="64" t="n">
        <v>642707584.62952</v>
      </c>
      <c r="I91" s="62" t="s">
        <v>81</v>
      </c>
      <c r="J91" s="64" t="n">
        <v>642707.58462952</v>
      </c>
      <c r="K91" s="62" t="s">
        <v>138</v>
      </c>
      <c r="L91" s="68" t="b">
        <f aca="false">TRUE()</f>
        <v>1</v>
      </c>
    </row>
    <row r="92" customFormat="false" ht="15" hidden="false" customHeight="false" outlineLevel="0" collapsed="false">
      <c r="A92" s="62" t="n">
        <v>0</v>
      </c>
      <c r="B92" s="21" t="s">
        <v>336</v>
      </c>
      <c r="C92" s="62" t="s">
        <v>60</v>
      </c>
      <c r="D92" s="62" t="s">
        <v>388</v>
      </c>
      <c r="E92" s="62" t="s">
        <v>105</v>
      </c>
      <c r="F92" s="62" t="s">
        <v>382</v>
      </c>
      <c r="G92" s="63" t="s">
        <v>276</v>
      </c>
      <c r="H92" s="64" t="n">
        <v>642707584.62952</v>
      </c>
      <c r="I92" s="62" t="s">
        <v>81</v>
      </c>
      <c r="J92" s="64" t="n">
        <v>642707.58462952</v>
      </c>
      <c r="K92" s="62" t="s">
        <v>138</v>
      </c>
      <c r="L92" s="68" t="b">
        <f aca="false">TRUE()</f>
        <v>1</v>
      </c>
    </row>
    <row r="93" customFormat="false" ht="15" hidden="false" customHeight="false" outlineLevel="0" collapsed="false">
      <c r="A93" s="62" t="n">
        <v>0</v>
      </c>
      <c r="B93" s="21" t="s">
        <v>336</v>
      </c>
      <c r="C93" s="62" t="s">
        <v>60</v>
      </c>
      <c r="D93" s="62" t="s">
        <v>381</v>
      </c>
      <c r="E93" s="62" t="s">
        <v>105</v>
      </c>
      <c r="F93" s="62" t="s">
        <v>382</v>
      </c>
      <c r="G93" s="63" t="s">
        <v>277</v>
      </c>
      <c r="H93" s="64" t="n">
        <v>2305309397.81935</v>
      </c>
      <c r="I93" s="62" t="s">
        <v>81</v>
      </c>
      <c r="J93" s="64" t="n">
        <v>2305309.39781935</v>
      </c>
      <c r="K93" s="62" t="s">
        <v>138</v>
      </c>
      <c r="L93" s="68" t="b">
        <f aca="false">TRUE()</f>
        <v>1</v>
      </c>
    </row>
    <row r="94" customFormat="false" ht="15" hidden="false" customHeight="false" outlineLevel="0" collapsed="false">
      <c r="A94" s="62" t="n">
        <v>0</v>
      </c>
      <c r="B94" s="21" t="s">
        <v>336</v>
      </c>
      <c r="C94" s="62" t="s">
        <v>60</v>
      </c>
      <c r="D94" s="62" t="s">
        <v>383</v>
      </c>
      <c r="E94" s="62" t="s">
        <v>105</v>
      </c>
      <c r="F94" s="62" t="s">
        <v>382</v>
      </c>
      <c r="G94" s="63" t="s">
        <v>277</v>
      </c>
      <c r="H94" s="64" t="n">
        <v>2305309397.81935</v>
      </c>
      <c r="I94" s="62" t="s">
        <v>81</v>
      </c>
      <c r="J94" s="64" t="n">
        <v>2305309.39781935</v>
      </c>
      <c r="K94" s="62" t="s">
        <v>138</v>
      </c>
      <c r="L94" s="68" t="b">
        <f aca="false">TRUE()</f>
        <v>1</v>
      </c>
    </row>
    <row r="95" customFormat="false" ht="15" hidden="false" customHeight="false" outlineLevel="0" collapsed="false">
      <c r="A95" s="62" t="n">
        <v>0</v>
      </c>
      <c r="B95" s="21" t="s">
        <v>336</v>
      </c>
      <c r="C95" s="62" t="s">
        <v>60</v>
      </c>
      <c r="D95" s="62" t="s">
        <v>384</v>
      </c>
      <c r="E95" s="62" t="s">
        <v>105</v>
      </c>
      <c r="F95" s="62" t="s">
        <v>382</v>
      </c>
      <c r="G95" s="63" t="s">
        <v>277</v>
      </c>
      <c r="H95" s="64" t="n">
        <v>2305309397.81935</v>
      </c>
      <c r="I95" s="62" t="s">
        <v>81</v>
      </c>
      <c r="J95" s="64" t="n">
        <v>2305309.39781935</v>
      </c>
      <c r="K95" s="62" t="s">
        <v>138</v>
      </c>
      <c r="L95" s="68" t="b">
        <f aca="false">TRUE()</f>
        <v>1</v>
      </c>
    </row>
    <row r="96" customFormat="false" ht="15" hidden="false" customHeight="false" outlineLevel="0" collapsed="false">
      <c r="A96" s="62" t="n">
        <v>0</v>
      </c>
      <c r="B96" s="21" t="s">
        <v>336</v>
      </c>
      <c r="C96" s="62" t="s">
        <v>60</v>
      </c>
      <c r="D96" s="62" t="s">
        <v>385</v>
      </c>
      <c r="E96" s="62" t="s">
        <v>105</v>
      </c>
      <c r="F96" s="62" t="s">
        <v>382</v>
      </c>
      <c r="G96" s="63" t="s">
        <v>277</v>
      </c>
      <c r="H96" s="64" t="n">
        <v>2305309397.81935</v>
      </c>
      <c r="I96" s="62" t="s">
        <v>81</v>
      </c>
      <c r="J96" s="64" t="n">
        <v>2305309.39781935</v>
      </c>
      <c r="K96" s="62" t="s">
        <v>138</v>
      </c>
      <c r="L96" s="68" t="b">
        <f aca="false">TRUE()</f>
        <v>1</v>
      </c>
    </row>
    <row r="97" customFormat="false" ht="15" hidden="false" customHeight="false" outlineLevel="0" collapsed="false">
      <c r="A97" s="62" t="n">
        <v>0</v>
      </c>
      <c r="B97" s="21" t="s">
        <v>336</v>
      </c>
      <c r="C97" s="62" t="s">
        <v>60</v>
      </c>
      <c r="D97" s="62" t="s">
        <v>386</v>
      </c>
      <c r="E97" s="62" t="s">
        <v>105</v>
      </c>
      <c r="F97" s="62" t="s">
        <v>382</v>
      </c>
      <c r="G97" s="63" t="s">
        <v>277</v>
      </c>
      <c r="H97" s="64" t="n">
        <v>2305309397.81935</v>
      </c>
      <c r="I97" s="62" t="s">
        <v>81</v>
      </c>
      <c r="J97" s="64" t="n">
        <v>2305309.39781935</v>
      </c>
      <c r="K97" s="62" t="s">
        <v>138</v>
      </c>
      <c r="L97" s="68" t="b">
        <f aca="false">TRUE()</f>
        <v>1</v>
      </c>
    </row>
    <row r="98" customFormat="false" ht="15" hidden="false" customHeight="false" outlineLevel="0" collapsed="false">
      <c r="A98" s="62" t="n">
        <v>0</v>
      </c>
      <c r="B98" s="21" t="s">
        <v>336</v>
      </c>
      <c r="C98" s="62" t="s">
        <v>60</v>
      </c>
      <c r="D98" s="62" t="s">
        <v>387</v>
      </c>
      <c r="E98" s="62" t="s">
        <v>105</v>
      </c>
      <c r="F98" s="62" t="s">
        <v>382</v>
      </c>
      <c r="G98" s="63" t="s">
        <v>277</v>
      </c>
      <c r="H98" s="64" t="n">
        <v>2305309397.81935</v>
      </c>
      <c r="I98" s="62" t="s">
        <v>81</v>
      </c>
      <c r="J98" s="64" t="n">
        <v>2305309.39781935</v>
      </c>
      <c r="K98" s="62" t="s">
        <v>138</v>
      </c>
      <c r="L98" s="68" t="b">
        <f aca="false">TRUE()</f>
        <v>1</v>
      </c>
    </row>
    <row r="99" customFormat="false" ht="15" hidden="false" customHeight="false" outlineLevel="0" collapsed="false">
      <c r="A99" s="62" t="n">
        <v>0</v>
      </c>
      <c r="B99" s="21" t="s">
        <v>336</v>
      </c>
      <c r="C99" s="62" t="s">
        <v>60</v>
      </c>
      <c r="D99" s="62" t="s">
        <v>388</v>
      </c>
      <c r="E99" s="62" t="s">
        <v>105</v>
      </c>
      <c r="F99" s="62" t="s">
        <v>382</v>
      </c>
      <c r="G99" s="63" t="s">
        <v>277</v>
      </c>
      <c r="H99" s="64" t="n">
        <v>2305309397.81935</v>
      </c>
      <c r="I99" s="62" t="s">
        <v>81</v>
      </c>
      <c r="J99" s="64" t="n">
        <v>2305309.39781935</v>
      </c>
      <c r="K99" s="62" t="s">
        <v>138</v>
      </c>
      <c r="L99" s="68" t="b">
        <f aca="false">TRUE()</f>
        <v>1</v>
      </c>
    </row>
    <row r="100" customFormat="false" ht="15" hidden="false" customHeight="false" outlineLevel="0" collapsed="false">
      <c r="A100" s="62" t="n">
        <v>0</v>
      </c>
      <c r="B100" s="21" t="s">
        <v>336</v>
      </c>
      <c r="C100" s="62" t="s">
        <v>60</v>
      </c>
      <c r="D100" s="62" t="s">
        <v>381</v>
      </c>
      <c r="E100" s="62" t="s">
        <v>105</v>
      </c>
      <c r="F100" s="62" t="s">
        <v>382</v>
      </c>
      <c r="G100" s="63" t="s">
        <v>278</v>
      </c>
      <c r="H100" s="64" t="n">
        <v>563691413.924514</v>
      </c>
      <c r="I100" s="62" t="s">
        <v>81</v>
      </c>
      <c r="J100" s="64" t="n">
        <v>563691.413924514</v>
      </c>
      <c r="K100" s="62" t="s">
        <v>138</v>
      </c>
      <c r="L100" s="68" t="b">
        <f aca="false">TRUE()</f>
        <v>1</v>
      </c>
    </row>
    <row r="101" customFormat="false" ht="15" hidden="false" customHeight="false" outlineLevel="0" collapsed="false">
      <c r="A101" s="62" t="n">
        <v>0</v>
      </c>
      <c r="B101" s="21" t="s">
        <v>336</v>
      </c>
      <c r="C101" s="62" t="s">
        <v>60</v>
      </c>
      <c r="D101" s="62" t="s">
        <v>383</v>
      </c>
      <c r="E101" s="62" t="s">
        <v>105</v>
      </c>
      <c r="F101" s="62" t="s">
        <v>382</v>
      </c>
      <c r="G101" s="63" t="s">
        <v>278</v>
      </c>
      <c r="H101" s="64" t="n">
        <v>563691413.924514</v>
      </c>
      <c r="I101" s="62" t="s">
        <v>81</v>
      </c>
      <c r="J101" s="64" t="n">
        <v>563691.413924514</v>
      </c>
      <c r="K101" s="62" t="s">
        <v>138</v>
      </c>
      <c r="L101" s="68" t="b">
        <f aca="false">TRUE()</f>
        <v>1</v>
      </c>
    </row>
    <row r="102" customFormat="false" ht="15" hidden="false" customHeight="false" outlineLevel="0" collapsed="false">
      <c r="A102" s="62" t="n">
        <v>0</v>
      </c>
      <c r="B102" s="21" t="s">
        <v>336</v>
      </c>
      <c r="C102" s="62" t="s">
        <v>60</v>
      </c>
      <c r="D102" s="62" t="s">
        <v>384</v>
      </c>
      <c r="E102" s="62" t="s">
        <v>105</v>
      </c>
      <c r="F102" s="62" t="s">
        <v>382</v>
      </c>
      <c r="G102" s="63" t="s">
        <v>278</v>
      </c>
      <c r="H102" s="64" t="n">
        <v>563691413.924514</v>
      </c>
      <c r="I102" s="62" t="s">
        <v>81</v>
      </c>
      <c r="J102" s="64" t="n">
        <v>563691.413924514</v>
      </c>
      <c r="K102" s="62" t="s">
        <v>138</v>
      </c>
      <c r="L102" s="68" t="b">
        <f aca="false">TRUE()</f>
        <v>1</v>
      </c>
    </row>
    <row r="103" customFormat="false" ht="15" hidden="false" customHeight="false" outlineLevel="0" collapsed="false">
      <c r="A103" s="62" t="n">
        <v>0</v>
      </c>
      <c r="B103" s="21" t="s">
        <v>336</v>
      </c>
      <c r="C103" s="62" t="s">
        <v>60</v>
      </c>
      <c r="D103" s="62" t="s">
        <v>385</v>
      </c>
      <c r="E103" s="62" t="s">
        <v>105</v>
      </c>
      <c r="F103" s="62" t="s">
        <v>382</v>
      </c>
      <c r="G103" s="63" t="s">
        <v>278</v>
      </c>
      <c r="H103" s="64" t="n">
        <v>563691413.924514</v>
      </c>
      <c r="I103" s="62" t="s">
        <v>81</v>
      </c>
      <c r="J103" s="64" t="n">
        <v>563691.413924514</v>
      </c>
      <c r="K103" s="62" t="s">
        <v>138</v>
      </c>
      <c r="L103" s="68" t="b">
        <f aca="false">TRUE()</f>
        <v>1</v>
      </c>
    </row>
    <row r="104" customFormat="false" ht="15" hidden="false" customHeight="false" outlineLevel="0" collapsed="false">
      <c r="A104" s="62" t="n">
        <v>0</v>
      </c>
      <c r="B104" s="21" t="s">
        <v>336</v>
      </c>
      <c r="C104" s="62" t="s">
        <v>60</v>
      </c>
      <c r="D104" s="62" t="s">
        <v>386</v>
      </c>
      <c r="E104" s="62" t="s">
        <v>105</v>
      </c>
      <c r="F104" s="62" t="s">
        <v>382</v>
      </c>
      <c r="G104" s="63" t="s">
        <v>278</v>
      </c>
      <c r="H104" s="64" t="n">
        <v>563691413.924514</v>
      </c>
      <c r="I104" s="62" t="s">
        <v>81</v>
      </c>
      <c r="J104" s="64" t="n">
        <v>563691.413924514</v>
      </c>
      <c r="K104" s="62" t="s">
        <v>138</v>
      </c>
      <c r="L104" s="68" t="b">
        <f aca="false">TRUE()</f>
        <v>1</v>
      </c>
    </row>
    <row r="105" customFormat="false" ht="15" hidden="false" customHeight="false" outlineLevel="0" collapsed="false">
      <c r="A105" s="62" t="n">
        <v>0</v>
      </c>
      <c r="B105" s="21" t="s">
        <v>336</v>
      </c>
      <c r="C105" s="62" t="s">
        <v>60</v>
      </c>
      <c r="D105" s="62" t="s">
        <v>387</v>
      </c>
      <c r="E105" s="62" t="s">
        <v>105</v>
      </c>
      <c r="F105" s="62" t="s">
        <v>382</v>
      </c>
      <c r="G105" s="63" t="s">
        <v>278</v>
      </c>
      <c r="H105" s="64" t="n">
        <v>563691413.924514</v>
      </c>
      <c r="I105" s="62" t="s">
        <v>81</v>
      </c>
      <c r="J105" s="64" t="n">
        <v>563691.413924514</v>
      </c>
      <c r="K105" s="62" t="s">
        <v>138</v>
      </c>
      <c r="L105" s="68" t="b">
        <f aca="false">TRUE()</f>
        <v>1</v>
      </c>
    </row>
    <row r="106" customFormat="false" ht="15" hidden="false" customHeight="false" outlineLevel="0" collapsed="false">
      <c r="A106" s="62" t="n">
        <v>0</v>
      </c>
      <c r="B106" s="21" t="s">
        <v>336</v>
      </c>
      <c r="C106" s="62" t="s">
        <v>60</v>
      </c>
      <c r="D106" s="62" t="s">
        <v>388</v>
      </c>
      <c r="E106" s="62" t="s">
        <v>105</v>
      </c>
      <c r="F106" s="62" t="s">
        <v>382</v>
      </c>
      <c r="G106" s="63" t="s">
        <v>278</v>
      </c>
      <c r="H106" s="64" t="n">
        <v>563691413.924514</v>
      </c>
      <c r="I106" s="62" t="s">
        <v>81</v>
      </c>
      <c r="J106" s="64" t="n">
        <v>563691.413924514</v>
      </c>
      <c r="K106" s="62" t="s">
        <v>138</v>
      </c>
      <c r="L106" s="68" t="b">
        <f aca="false">TRUE()</f>
        <v>1</v>
      </c>
    </row>
    <row r="107" customFormat="false" ht="15" hidden="false" customHeight="false" outlineLevel="0" collapsed="false">
      <c r="A107" s="62" t="n">
        <v>0</v>
      </c>
      <c r="B107" s="21" t="s">
        <v>336</v>
      </c>
      <c r="C107" s="62" t="s">
        <v>60</v>
      </c>
      <c r="D107" s="62" t="s">
        <v>381</v>
      </c>
      <c r="E107" s="62" t="s">
        <v>105</v>
      </c>
      <c r="F107" s="62" t="s">
        <v>382</v>
      </c>
      <c r="G107" s="63" t="s">
        <v>279</v>
      </c>
      <c r="H107" s="64" t="n">
        <v>1741617983.89484</v>
      </c>
      <c r="I107" s="62" t="s">
        <v>81</v>
      </c>
      <c r="J107" s="64" t="n">
        <v>1741617.98389484</v>
      </c>
      <c r="K107" s="62" t="s">
        <v>138</v>
      </c>
      <c r="L107" s="68" t="b">
        <f aca="false">TRUE()</f>
        <v>1</v>
      </c>
    </row>
    <row r="108" customFormat="false" ht="15" hidden="false" customHeight="false" outlineLevel="0" collapsed="false">
      <c r="A108" s="62" t="n">
        <v>0</v>
      </c>
      <c r="B108" s="21" t="s">
        <v>336</v>
      </c>
      <c r="C108" s="62" t="s">
        <v>60</v>
      </c>
      <c r="D108" s="62" t="s">
        <v>383</v>
      </c>
      <c r="E108" s="62" t="s">
        <v>105</v>
      </c>
      <c r="F108" s="62" t="s">
        <v>382</v>
      </c>
      <c r="G108" s="63" t="s">
        <v>279</v>
      </c>
      <c r="H108" s="64" t="n">
        <v>1741617983.89484</v>
      </c>
      <c r="I108" s="62" t="s">
        <v>81</v>
      </c>
      <c r="J108" s="64" t="n">
        <v>1741617.98389484</v>
      </c>
      <c r="K108" s="62" t="s">
        <v>138</v>
      </c>
      <c r="L108" s="68" t="b">
        <f aca="false">TRUE()</f>
        <v>1</v>
      </c>
    </row>
    <row r="109" customFormat="false" ht="15" hidden="false" customHeight="false" outlineLevel="0" collapsed="false">
      <c r="A109" s="62" t="n">
        <v>0</v>
      </c>
      <c r="B109" s="21" t="s">
        <v>336</v>
      </c>
      <c r="C109" s="62" t="s">
        <v>60</v>
      </c>
      <c r="D109" s="62" t="s">
        <v>384</v>
      </c>
      <c r="E109" s="62" t="s">
        <v>105</v>
      </c>
      <c r="F109" s="62" t="s">
        <v>382</v>
      </c>
      <c r="G109" s="63" t="s">
        <v>279</v>
      </c>
      <c r="H109" s="64" t="n">
        <v>1741617983.89484</v>
      </c>
      <c r="I109" s="62" t="s">
        <v>81</v>
      </c>
      <c r="J109" s="64" t="n">
        <v>1741617.98389484</v>
      </c>
      <c r="K109" s="62" t="s">
        <v>138</v>
      </c>
      <c r="L109" s="68" t="b">
        <f aca="false">TRUE()</f>
        <v>1</v>
      </c>
    </row>
    <row r="110" customFormat="false" ht="15" hidden="false" customHeight="false" outlineLevel="0" collapsed="false">
      <c r="A110" s="62" t="n">
        <v>0</v>
      </c>
      <c r="B110" s="21" t="s">
        <v>336</v>
      </c>
      <c r="C110" s="62" t="s">
        <v>60</v>
      </c>
      <c r="D110" s="62" t="s">
        <v>385</v>
      </c>
      <c r="E110" s="62" t="s">
        <v>105</v>
      </c>
      <c r="F110" s="62" t="s">
        <v>382</v>
      </c>
      <c r="G110" s="63" t="s">
        <v>279</v>
      </c>
      <c r="H110" s="64" t="n">
        <v>1741617983.89484</v>
      </c>
      <c r="I110" s="62" t="s">
        <v>81</v>
      </c>
      <c r="J110" s="64" t="n">
        <v>1741617.98389484</v>
      </c>
      <c r="K110" s="62" t="s">
        <v>138</v>
      </c>
      <c r="L110" s="68" t="b">
        <f aca="false">TRUE()</f>
        <v>1</v>
      </c>
    </row>
    <row r="111" customFormat="false" ht="15" hidden="false" customHeight="false" outlineLevel="0" collapsed="false">
      <c r="A111" s="62" t="n">
        <v>0</v>
      </c>
      <c r="B111" s="21" t="s">
        <v>336</v>
      </c>
      <c r="C111" s="62" t="s">
        <v>60</v>
      </c>
      <c r="D111" s="62" t="s">
        <v>386</v>
      </c>
      <c r="E111" s="62" t="s">
        <v>105</v>
      </c>
      <c r="F111" s="62" t="s">
        <v>382</v>
      </c>
      <c r="G111" s="63" t="s">
        <v>279</v>
      </c>
      <c r="H111" s="64" t="n">
        <v>1741617983.89484</v>
      </c>
      <c r="I111" s="62" t="s">
        <v>81</v>
      </c>
      <c r="J111" s="64" t="n">
        <v>1741617.98389484</v>
      </c>
      <c r="K111" s="62" t="s">
        <v>138</v>
      </c>
      <c r="L111" s="68" t="b">
        <f aca="false">TRUE()</f>
        <v>1</v>
      </c>
    </row>
    <row r="112" customFormat="false" ht="15" hidden="false" customHeight="false" outlineLevel="0" collapsed="false">
      <c r="A112" s="62" t="n">
        <v>0</v>
      </c>
      <c r="B112" s="21" t="s">
        <v>336</v>
      </c>
      <c r="C112" s="62" t="s">
        <v>60</v>
      </c>
      <c r="D112" s="62" t="s">
        <v>387</v>
      </c>
      <c r="E112" s="62" t="s">
        <v>105</v>
      </c>
      <c r="F112" s="62" t="s">
        <v>382</v>
      </c>
      <c r="G112" s="63" t="s">
        <v>279</v>
      </c>
      <c r="H112" s="64" t="n">
        <v>1741617983.89484</v>
      </c>
      <c r="I112" s="62" t="s">
        <v>81</v>
      </c>
      <c r="J112" s="64" t="n">
        <v>1741617.98389484</v>
      </c>
      <c r="K112" s="62" t="s">
        <v>138</v>
      </c>
      <c r="L112" s="68" t="b">
        <f aca="false">TRUE()</f>
        <v>1</v>
      </c>
    </row>
    <row r="113" customFormat="false" ht="15" hidden="false" customHeight="false" outlineLevel="0" collapsed="false">
      <c r="A113" s="62" t="n">
        <v>0</v>
      </c>
      <c r="B113" s="21" t="s">
        <v>336</v>
      </c>
      <c r="C113" s="62" t="s">
        <v>60</v>
      </c>
      <c r="D113" s="62" t="s">
        <v>388</v>
      </c>
      <c r="E113" s="62" t="s">
        <v>105</v>
      </c>
      <c r="F113" s="62" t="s">
        <v>382</v>
      </c>
      <c r="G113" s="63" t="s">
        <v>279</v>
      </c>
      <c r="H113" s="64" t="n">
        <v>1741617983.89484</v>
      </c>
      <c r="I113" s="62" t="s">
        <v>81</v>
      </c>
      <c r="J113" s="64" t="n">
        <v>1741617.98389484</v>
      </c>
      <c r="K113" s="62" t="s">
        <v>138</v>
      </c>
      <c r="L113" s="68" t="b">
        <f aca="false">TRUE()</f>
        <v>1</v>
      </c>
    </row>
    <row r="114" customFormat="false" ht="15" hidden="false" customHeight="false" outlineLevel="0" collapsed="false">
      <c r="A114" s="62" t="n">
        <v>0</v>
      </c>
      <c r="B114" s="21" t="s">
        <v>336</v>
      </c>
      <c r="C114" s="62" t="s">
        <v>60</v>
      </c>
      <c r="D114" s="62" t="s">
        <v>381</v>
      </c>
      <c r="E114" s="62" t="s">
        <v>105</v>
      </c>
      <c r="F114" s="62" t="s">
        <v>382</v>
      </c>
      <c r="G114" s="63" t="s">
        <v>281</v>
      </c>
      <c r="H114" s="64" t="n">
        <v>10828204200</v>
      </c>
      <c r="I114" s="62" t="s">
        <v>81</v>
      </c>
      <c r="J114" s="64" t="n">
        <v>10828204.2</v>
      </c>
      <c r="K114" s="62" t="s">
        <v>138</v>
      </c>
      <c r="L114" s="68" t="b">
        <f aca="false">TRUE()</f>
        <v>1</v>
      </c>
    </row>
    <row r="115" customFormat="false" ht="15" hidden="false" customHeight="false" outlineLevel="0" collapsed="false">
      <c r="A115" s="62" t="n">
        <v>0</v>
      </c>
      <c r="B115" s="21" t="s">
        <v>336</v>
      </c>
      <c r="C115" s="62" t="s">
        <v>60</v>
      </c>
      <c r="D115" s="62" t="s">
        <v>383</v>
      </c>
      <c r="E115" s="62" t="s">
        <v>105</v>
      </c>
      <c r="F115" s="62" t="s">
        <v>382</v>
      </c>
      <c r="G115" s="63" t="s">
        <v>281</v>
      </c>
      <c r="H115" s="64" t="n">
        <v>10828204200</v>
      </c>
      <c r="I115" s="62" t="s">
        <v>81</v>
      </c>
      <c r="J115" s="64" t="n">
        <v>10828204.2</v>
      </c>
      <c r="K115" s="62" t="s">
        <v>138</v>
      </c>
      <c r="L115" s="68" t="b">
        <f aca="false">TRUE()</f>
        <v>1</v>
      </c>
    </row>
    <row r="116" customFormat="false" ht="15" hidden="false" customHeight="false" outlineLevel="0" collapsed="false">
      <c r="A116" s="62" t="n">
        <v>0</v>
      </c>
      <c r="B116" s="21" t="s">
        <v>336</v>
      </c>
      <c r="C116" s="62" t="s">
        <v>60</v>
      </c>
      <c r="D116" s="62" t="s">
        <v>384</v>
      </c>
      <c r="E116" s="62" t="s">
        <v>105</v>
      </c>
      <c r="F116" s="62" t="s">
        <v>382</v>
      </c>
      <c r="G116" s="63" t="s">
        <v>281</v>
      </c>
      <c r="H116" s="64" t="n">
        <v>10828204200</v>
      </c>
      <c r="I116" s="62" t="s">
        <v>81</v>
      </c>
      <c r="J116" s="64" t="n">
        <v>10828204.2</v>
      </c>
      <c r="K116" s="62" t="s">
        <v>138</v>
      </c>
      <c r="L116" s="68" t="b">
        <f aca="false">TRUE()</f>
        <v>1</v>
      </c>
    </row>
    <row r="117" customFormat="false" ht="15" hidden="false" customHeight="false" outlineLevel="0" collapsed="false">
      <c r="A117" s="62" t="n">
        <v>0</v>
      </c>
      <c r="B117" s="21" t="s">
        <v>336</v>
      </c>
      <c r="C117" s="62" t="s">
        <v>60</v>
      </c>
      <c r="D117" s="62" t="s">
        <v>385</v>
      </c>
      <c r="E117" s="62" t="s">
        <v>105</v>
      </c>
      <c r="F117" s="62" t="s">
        <v>382</v>
      </c>
      <c r="G117" s="63" t="s">
        <v>281</v>
      </c>
      <c r="H117" s="64" t="n">
        <v>10828204200</v>
      </c>
      <c r="I117" s="62" t="s">
        <v>81</v>
      </c>
      <c r="J117" s="64" t="n">
        <v>10828204.2</v>
      </c>
      <c r="K117" s="62" t="s">
        <v>138</v>
      </c>
      <c r="L117" s="68" t="b">
        <f aca="false">TRUE()</f>
        <v>1</v>
      </c>
    </row>
    <row r="118" customFormat="false" ht="15" hidden="false" customHeight="false" outlineLevel="0" collapsed="false">
      <c r="A118" s="62" t="n">
        <v>0</v>
      </c>
      <c r="B118" s="21" t="s">
        <v>336</v>
      </c>
      <c r="C118" s="62" t="s">
        <v>60</v>
      </c>
      <c r="D118" s="62" t="s">
        <v>386</v>
      </c>
      <c r="E118" s="62" t="s">
        <v>105</v>
      </c>
      <c r="F118" s="62" t="s">
        <v>382</v>
      </c>
      <c r="G118" s="63" t="s">
        <v>281</v>
      </c>
      <c r="H118" s="64" t="n">
        <v>10828204200</v>
      </c>
      <c r="I118" s="62" t="s">
        <v>81</v>
      </c>
      <c r="J118" s="64" t="n">
        <v>10828204.2</v>
      </c>
      <c r="K118" s="62" t="s">
        <v>138</v>
      </c>
      <c r="L118" s="68" t="b">
        <f aca="false">TRUE()</f>
        <v>1</v>
      </c>
    </row>
    <row r="119" customFormat="false" ht="15" hidden="false" customHeight="false" outlineLevel="0" collapsed="false">
      <c r="A119" s="62" t="n">
        <v>0</v>
      </c>
      <c r="B119" s="21" t="s">
        <v>336</v>
      </c>
      <c r="C119" s="62" t="s">
        <v>60</v>
      </c>
      <c r="D119" s="62" t="s">
        <v>387</v>
      </c>
      <c r="E119" s="62" t="s">
        <v>105</v>
      </c>
      <c r="F119" s="62" t="s">
        <v>382</v>
      </c>
      <c r="G119" s="63" t="s">
        <v>281</v>
      </c>
      <c r="H119" s="64" t="n">
        <v>10828204200</v>
      </c>
      <c r="I119" s="62" t="s">
        <v>81</v>
      </c>
      <c r="J119" s="64" t="n">
        <v>10828204.2</v>
      </c>
      <c r="K119" s="62" t="s">
        <v>138</v>
      </c>
      <c r="L119" s="68" t="b">
        <f aca="false">TRUE()</f>
        <v>1</v>
      </c>
    </row>
    <row r="120" customFormat="false" ht="15" hidden="false" customHeight="false" outlineLevel="0" collapsed="false">
      <c r="A120" s="62" t="n">
        <v>0</v>
      </c>
      <c r="B120" s="21" t="s">
        <v>336</v>
      </c>
      <c r="C120" s="62" t="s">
        <v>60</v>
      </c>
      <c r="D120" s="62" t="s">
        <v>388</v>
      </c>
      <c r="E120" s="62" t="s">
        <v>105</v>
      </c>
      <c r="F120" s="62" t="s">
        <v>382</v>
      </c>
      <c r="G120" s="63" t="s">
        <v>281</v>
      </c>
      <c r="H120" s="64" t="n">
        <v>10828204200</v>
      </c>
      <c r="I120" s="62" t="s">
        <v>81</v>
      </c>
      <c r="J120" s="64" t="n">
        <v>10828204.2</v>
      </c>
      <c r="K120" s="62" t="s">
        <v>138</v>
      </c>
      <c r="L120" s="68" t="b">
        <f aca="false">TRUE()</f>
        <v>1</v>
      </c>
    </row>
    <row r="121" customFormat="false" ht="15" hidden="false" customHeight="false" outlineLevel="0" collapsed="false">
      <c r="A121" s="62" t="n">
        <v>0</v>
      </c>
      <c r="B121" s="21" t="s">
        <v>336</v>
      </c>
      <c r="C121" s="62" t="s">
        <v>60</v>
      </c>
      <c r="D121" s="62" t="s">
        <v>381</v>
      </c>
      <c r="E121" s="62" t="s">
        <v>105</v>
      </c>
      <c r="F121" s="62" t="s">
        <v>382</v>
      </c>
      <c r="G121" s="63" t="s">
        <v>282</v>
      </c>
      <c r="H121" s="64" t="n">
        <v>0</v>
      </c>
      <c r="I121" s="62" t="s">
        <v>81</v>
      </c>
      <c r="J121" s="64" t="n">
        <v>0</v>
      </c>
      <c r="K121" s="62" t="s">
        <v>138</v>
      </c>
      <c r="L121" s="68" t="b">
        <f aca="false">TRUE()</f>
        <v>1</v>
      </c>
    </row>
    <row r="122" customFormat="false" ht="15" hidden="false" customHeight="false" outlineLevel="0" collapsed="false">
      <c r="A122" s="62" t="n">
        <v>0</v>
      </c>
      <c r="B122" s="21" t="s">
        <v>336</v>
      </c>
      <c r="C122" s="62" t="s">
        <v>60</v>
      </c>
      <c r="D122" s="62" t="s">
        <v>383</v>
      </c>
      <c r="E122" s="62" t="s">
        <v>105</v>
      </c>
      <c r="F122" s="62" t="s">
        <v>382</v>
      </c>
      <c r="G122" s="63" t="s">
        <v>282</v>
      </c>
      <c r="H122" s="64" t="n">
        <v>0</v>
      </c>
      <c r="I122" s="62" t="s">
        <v>81</v>
      </c>
      <c r="J122" s="64" t="n">
        <v>0</v>
      </c>
      <c r="K122" s="62" t="s">
        <v>138</v>
      </c>
      <c r="L122" s="68" t="b">
        <f aca="false">TRUE()</f>
        <v>1</v>
      </c>
    </row>
    <row r="123" customFormat="false" ht="15" hidden="false" customHeight="false" outlineLevel="0" collapsed="false">
      <c r="A123" s="62" t="n">
        <v>0</v>
      </c>
      <c r="B123" s="21" t="s">
        <v>336</v>
      </c>
      <c r="C123" s="62" t="s">
        <v>60</v>
      </c>
      <c r="D123" s="62" t="s">
        <v>384</v>
      </c>
      <c r="E123" s="62" t="s">
        <v>105</v>
      </c>
      <c r="F123" s="62" t="s">
        <v>382</v>
      </c>
      <c r="G123" s="63" t="s">
        <v>282</v>
      </c>
      <c r="H123" s="64" t="n">
        <v>0</v>
      </c>
      <c r="I123" s="62" t="s">
        <v>81</v>
      </c>
      <c r="J123" s="64" t="n">
        <v>0</v>
      </c>
      <c r="K123" s="62" t="s">
        <v>138</v>
      </c>
      <c r="L123" s="68" t="b">
        <f aca="false">TRUE()</f>
        <v>1</v>
      </c>
    </row>
    <row r="124" customFormat="false" ht="15" hidden="false" customHeight="false" outlineLevel="0" collapsed="false">
      <c r="A124" s="62" t="n">
        <v>0</v>
      </c>
      <c r="B124" s="21" t="s">
        <v>336</v>
      </c>
      <c r="C124" s="62" t="s">
        <v>60</v>
      </c>
      <c r="D124" s="62" t="s">
        <v>385</v>
      </c>
      <c r="E124" s="62" t="s">
        <v>105</v>
      </c>
      <c r="F124" s="62" t="s">
        <v>382</v>
      </c>
      <c r="G124" s="63" t="s">
        <v>282</v>
      </c>
      <c r="H124" s="64" t="n">
        <v>0</v>
      </c>
      <c r="I124" s="62" t="s">
        <v>81</v>
      </c>
      <c r="J124" s="64" t="n">
        <v>0</v>
      </c>
      <c r="K124" s="62" t="s">
        <v>138</v>
      </c>
      <c r="L124" s="68" t="b">
        <f aca="false">TRUE()</f>
        <v>1</v>
      </c>
    </row>
    <row r="125" customFormat="false" ht="15" hidden="false" customHeight="false" outlineLevel="0" collapsed="false">
      <c r="A125" s="62" t="n">
        <v>0</v>
      </c>
      <c r="B125" s="21" t="s">
        <v>336</v>
      </c>
      <c r="C125" s="62" t="s">
        <v>60</v>
      </c>
      <c r="D125" s="62" t="s">
        <v>386</v>
      </c>
      <c r="E125" s="62" t="s">
        <v>105</v>
      </c>
      <c r="F125" s="62" t="s">
        <v>382</v>
      </c>
      <c r="G125" s="63" t="s">
        <v>282</v>
      </c>
      <c r="H125" s="64" t="n">
        <v>0</v>
      </c>
      <c r="I125" s="62" t="s">
        <v>81</v>
      </c>
      <c r="J125" s="64" t="n">
        <v>0</v>
      </c>
      <c r="K125" s="62" t="s">
        <v>138</v>
      </c>
      <c r="L125" s="68" t="b">
        <f aca="false">TRUE()</f>
        <v>1</v>
      </c>
    </row>
    <row r="126" customFormat="false" ht="15" hidden="false" customHeight="false" outlineLevel="0" collapsed="false">
      <c r="A126" s="62" t="n">
        <v>0</v>
      </c>
      <c r="B126" s="21" t="s">
        <v>336</v>
      </c>
      <c r="C126" s="62" t="s">
        <v>60</v>
      </c>
      <c r="D126" s="62" t="s">
        <v>387</v>
      </c>
      <c r="E126" s="62" t="s">
        <v>105</v>
      </c>
      <c r="F126" s="62" t="s">
        <v>382</v>
      </c>
      <c r="G126" s="63" t="s">
        <v>282</v>
      </c>
      <c r="H126" s="64" t="n">
        <v>0</v>
      </c>
      <c r="I126" s="62" t="s">
        <v>81</v>
      </c>
      <c r="J126" s="64" t="n">
        <v>0</v>
      </c>
      <c r="K126" s="62" t="s">
        <v>138</v>
      </c>
      <c r="L126" s="68" t="b">
        <f aca="false">TRUE()</f>
        <v>1</v>
      </c>
    </row>
    <row r="127" customFormat="false" ht="15" hidden="false" customHeight="false" outlineLevel="0" collapsed="false">
      <c r="A127" s="62" t="n">
        <v>0</v>
      </c>
      <c r="B127" s="21" t="s">
        <v>336</v>
      </c>
      <c r="C127" s="62" t="s">
        <v>60</v>
      </c>
      <c r="D127" s="62" t="s">
        <v>388</v>
      </c>
      <c r="E127" s="62" t="s">
        <v>105</v>
      </c>
      <c r="F127" s="62" t="s">
        <v>382</v>
      </c>
      <c r="G127" s="63" t="s">
        <v>282</v>
      </c>
      <c r="H127" s="64" t="n">
        <v>0</v>
      </c>
      <c r="I127" s="62" t="s">
        <v>81</v>
      </c>
      <c r="J127" s="64" t="n">
        <v>0</v>
      </c>
      <c r="K127" s="62" t="s">
        <v>138</v>
      </c>
      <c r="L127" s="68" t="b">
        <f aca="false">TRUE()</f>
        <v>1</v>
      </c>
    </row>
    <row r="128" customFormat="false" ht="15" hidden="false" customHeight="false" outlineLevel="0" collapsed="false">
      <c r="A128" s="62" t="n">
        <v>0</v>
      </c>
      <c r="B128" s="21" t="s">
        <v>336</v>
      </c>
      <c r="C128" s="62" t="s">
        <v>60</v>
      </c>
      <c r="D128" s="62" t="s">
        <v>381</v>
      </c>
      <c r="E128" s="62" t="s">
        <v>105</v>
      </c>
      <c r="F128" s="62" t="s">
        <v>382</v>
      </c>
      <c r="G128" s="63" t="s">
        <v>283</v>
      </c>
      <c r="H128" s="64" t="n">
        <v>1520326500</v>
      </c>
      <c r="I128" s="62" t="s">
        <v>81</v>
      </c>
      <c r="J128" s="64" t="n">
        <v>1520326.5</v>
      </c>
      <c r="K128" s="62" t="s">
        <v>138</v>
      </c>
      <c r="L128" s="68" t="b">
        <f aca="false">TRUE()</f>
        <v>1</v>
      </c>
    </row>
    <row r="129" customFormat="false" ht="15" hidden="false" customHeight="false" outlineLevel="0" collapsed="false">
      <c r="A129" s="62" t="n">
        <v>0</v>
      </c>
      <c r="B129" s="21" t="s">
        <v>336</v>
      </c>
      <c r="C129" s="62" t="s">
        <v>60</v>
      </c>
      <c r="D129" s="62" t="s">
        <v>383</v>
      </c>
      <c r="E129" s="62" t="s">
        <v>105</v>
      </c>
      <c r="F129" s="62" t="s">
        <v>382</v>
      </c>
      <c r="G129" s="63" t="s">
        <v>283</v>
      </c>
      <c r="H129" s="64" t="n">
        <v>1520326500</v>
      </c>
      <c r="I129" s="62" t="s">
        <v>81</v>
      </c>
      <c r="J129" s="64" t="n">
        <v>1520326.5</v>
      </c>
      <c r="K129" s="62" t="s">
        <v>138</v>
      </c>
      <c r="L129" s="68" t="b">
        <f aca="false">TRUE()</f>
        <v>1</v>
      </c>
    </row>
    <row r="130" customFormat="false" ht="15" hidden="false" customHeight="false" outlineLevel="0" collapsed="false">
      <c r="A130" s="62" t="n">
        <v>0</v>
      </c>
      <c r="B130" s="21" t="s">
        <v>336</v>
      </c>
      <c r="C130" s="62" t="s">
        <v>60</v>
      </c>
      <c r="D130" s="62" t="s">
        <v>384</v>
      </c>
      <c r="E130" s="62" t="s">
        <v>105</v>
      </c>
      <c r="F130" s="62" t="s">
        <v>382</v>
      </c>
      <c r="G130" s="63" t="s">
        <v>283</v>
      </c>
      <c r="H130" s="64" t="n">
        <v>1520326500</v>
      </c>
      <c r="I130" s="62" t="s">
        <v>81</v>
      </c>
      <c r="J130" s="64" t="n">
        <v>1520326.5</v>
      </c>
      <c r="K130" s="62" t="s">
        <v>138</v>
      </c>
      <c r="L130" s="68" t="b">
        <f aca="false">TRUE()</f>
        <v>1</v>
      </c>
    </row>
    <row r="131" customFormat="false" ht="15" hidden="false" customHeight="false" outlineLevel="0" collapsed="false">
      <c r="A131" s="62" t="n">
        <v>0</v>
      </c>
      <c r="B131" s="21" t="s">
        <v>336</v>
      </c>
      <c r="C131" s="62" t="s">
        <v>60</v>
      </c>
      <c r="D131" s="62" t="s">
        <v>385</v>
      </c>
      <c r="E131" s="62" t="s">
        <v>105</v>
      </c>
      <c r="F131" s="62" t="s">
        <v>382</v>
      </c>
      <c r="G131" s="63" t="s">
        <v>283</v>
      </c>
      <c r="H131" s="64" t="n">
        <v>1520326500</v>
      </c>
      <c r="I131" s="62" t="s">
        <v>81</v>
      </c>
      <c r="J131" s="64" t="n">
        <v>1520326.5</v>
      </c>
      <c r="K131" s="62" t="s">
        <v>138</v>
      </c>
      <c r="L131" s="68" t="b">
        <f aca="false">TRUE()</f>
        <v>1</v>
      </c>
    </row>
    <row r="132" customFormat="false" ht="15" hidden="false" customHeight="false" outlineLevel="0" collapsed="false">
      <c r="A132" s="62" t="n">
        <v>0</v>
      </c>
      <c r="B132" s="21" t="s">
        <v>336</v>
      </c>
      <c r="C132" s="62" t="s">
        <v>60</v>
      </c>
      <c r="D132" s="62" t="s">
        <v>386</v>
      </c>
      <c r="E132" s="62" t="s">
        <v>105</v>
      </c>
      <c r="F132" s="62" t="s">
        <v>382</v>
      </c>
      <c r="G132" s="63" t="s">
        <v>283</v>
      </c>
      <c r="H132" s="64" t="n">
        <v>1520326500</v>
      </c>
      <c r="I132" s="62" t="s">
        <v>81</v>
      </c>
      <c r="J132" s="64" t="n">
        <v>1520326.5</v>
      </c>
      <c r="K132" s="62" t="s">
        <v>138</v>
      </c>
      <c r="L132" s="68" t="b">
        <f aca="false">TRUE()</f>
        <v>1</v>
      </c>
    </row>
    <row r="133" customFormat="false" ht="15" hidden="false" customHeight="false" outlineLevel="0" collapsed="false">
      <c r="A133" s="62" t="n">
        <v>0</v>
      </c>
      <c r="B133" s="21" t="s">
        <v>336</v>
      </c>
      <c r="C133" s="62" t="s">
        <v>60</v>
      </c>
      <c r="D133" s="62" t="s">
        <v>387</v>
      </c>
      <c r="E133" s="62" t="s">
        <v>105</v>
      </c>
      <c r="F133" s="62" t="s">
        <v>382</v>
      </c>
      <c r="G133" s="63" t="s">
        <v>283</v>
      </c>
      <c r="H133" s="64" t="n">
        <v>1520326500</v>
      </c>
      <c r="I133" s="62" t="s">
        <v>81</v>
      </c>
      <c r="J133" s="64" t="n">
        <v>1520326.5</v>
      </c>
      <c r="K133" s="62" t="s">
        <v>138</v>
      </c>
      <c r="L133" s="68" t="b">
        <f aca="false">TRUE()</f>
        <v>1</v>
      </c>
    </row>
    <row r="134" customFormat="false" ht="15" hidden="false" customHeight="false" outlineLevel="0" collapsed="false">
      <c r="A134" s="62" t="n">
        <v>0</v>
      </c>
      <c r="B134" s="21" t="s">
        <v>336</v>
      </c>
      <c r="C134" s="62" t="s">
        <v>60</v>
      </c>
      <c r="D134" s="62" t="s">
        <v>388</v>
      </c>
      <c r="E134" s="62" t="s">
        <v>105</v>
      </c>
      <c r="F134" s="62" t="s">
        <v>382</v>
      </c>
      <c r="G134" s="63" t="s">
        <v>283</v>
      </c>
      <c r="H134" s="64" t="n">
        <v>1520326500</v>
      </c>
      <c r="I134" s="62" t="s">
        <v>81</v>
      </c>
      <c r="J134" s="64" t="n">
        <v>1520326.5</v>
      </c>
      <c r="K134" s="62" t="s">
        <v>138</v>
      </c>
      <c r="L134" s="68" t="b">
        <f aca="false">TRUE()</f>
        <v>1</v>
      </c>
    </row>
    <row r="135" customFormat="false" ht="15" hidden="false" customHeight="false" outlineLevel="0" collapsed="false">
      <c r="A135" s="62" t="n">
        <v>0</v>
      </c>
      <c r="B135" s="21" t="s">
        <v>336</v>
      </c>
      <c r="C135" s="62" t="s">
        <v>60</v>
      </c>
      <c r="D135" s="62" t="s">
        <v>381</v>
      </c>
      <c r="E135" s="62" t="s">
        <v>105</v>
      </c>
      <c r="F135" s="62" t="s">
        <v>382</v>
      </c>
      <c r="G135" s="63" t="s">
        <v>284</v>
      </c>
      <c r="H135" s="64" t="n">
        <v>10817319047.8053</v>
      </c>
      <c r="I135" s="62" t="s">
        <v>81</v>
      </c>
      <c r="J135" s="64" t="n">
        <v>10817319.0478053</v>
      </c>
      <c r="K135" s="62" t="s">
        <v>138</v>
      </c>
      <c r="L135" s="68" t="b">
        <f aca="false">TRUE()</f>
        <v>1</v>
      </c>
    </row>
    <row r="136" customFormat="false" ht="15" hidden="false" customHeight="false" outlineLevel="0" collapsed="false">
      <c r="A136" s="62" t="n">
        <v>0</v>
      </c>
      <c r="B136" s="21" t="s">
        <v>336</v>
      </c>
      <c r="C136" s="62" t="s">
        <v>60</v>
      </c>
      <c r="D136" s="62" t="s">
        <v>383</v>
      </c>
      <c r="E136" s="62" t="s">
        <v>105</v>
      </c>
      <c r="F136" s="62" t="s">
        <v>382</v>
      </c>
      <c r="G136" s="63" t="s">
        <v>284</v>
      </c>
      <c r="H136" s="64" t="n">
        <v>10817319047.8053</v>
      </c>
      <c r="I136" s="62" t="s">
        <v>81</v>
      </c>
      <c r="J136" s="64" t="n">
        <v>10817319.0478053</v>
      </c>
      <c r="K136" s="62" t="s">
        <v>138</v>
      </c>
      <c r="L136" s="68" t="b">
        <f aca="false">TRUE()</f>
        <v>1</v>
      </c>
    </row>
    <row r="137" customFormat="false" ht="15" hidden="false" customHeight="false" outlineLevel="0" collapsed="false">
      <c r="A137" s="62" t="n">
        <v>0</v>
      </c>
      <c r="B137" s="21" t="s">
        <v>336</v>
      </c>
      <c r="C137" s="62" t="s">
        <v>60</v>
      </c>
      <c r="D137" s="62" t="s">
        <v>384</v>
      </c>
      <c r="E137" s="62" t="s">
        <v>105</v>
      </c>
      <c r="F137" s="62" t="s">
        <v>382</v>
      </c>
      <c r="G137" s="63" t="s">
        <v>284</v>
      </c>
      <c r="H137" s="64" t="n">
        <v>10817319047.8053</v>
      </c>
      <c r="I137" s="62" t="s">
        <v>81</v>
      </c>
      <c r="J137" s="64" t="n">
        <v>10817319.0478053</v>
      </c>
      <c r="K137" s="62" t="s">
        <v>138</v>
      </c>
      <c r="L137" s="68" t="b">
        <f aca="false">TRUE()</f>
        <v>1</v>
      </c>
    </row>
    <row r="138" customFormat="false" ht="15" hidden="false" customHeight="false" outlineLevel="0" collapsed="false">
      <c r="A138" s="62" t="n">
        <v>0</v>
      </c>
      <c r="B138" s="21" t="s">
        <v>336</v>
      </c>
      <c r="C138" s="62" t="s">
        <v>60</v>
      </c>
      <c r="D138" s="62" t="s">
        <v>385</v>
      </c>
      <c r="E138" s="62" t="s">
        <v>105</v>
      </c>
      <c r="F138" s="62" t="s">
        <v>382</v>
      </c>
      <c r="G138" s="63" t="s">
        <v>284</v>
      </c>
      <c r="H138" s="64" t="n">
        <v>10817319047.8053</v>
      </c>
      <c r="I138" s="62" t="s">
        <v>81</v>
      </c>
      <c r="J138" s="64" t="n">
        <v>10817319.0478053</v>
      </c>
      <c r="K138" s="62" t="s">
        <v>138</v>
      </c>
      <c r="L138" s="68" t="b">
        <f aca="false">TRUE()</f>
        <v>1</v>
      </c>
    </row>
    <row r="139" customFormat="false" ht="15" hidden="false" customHeight="false" outlineLevel="0" collapsed="false">
      <c r="A139" s="62" t="n">
        <v>0</v>
      </c>
      <c r="B139" s="21" t="s">
        <v>336</v>
      </c>
      <c r="C139" s="62" t="s">
        <v>60</v>
      </c>
      <c r="D139" s="62" t="s">
        <v>386</v>
      </c>
      <c r="E139" s="62" t="s">
        <v>105</v>
      </c>
      <c r="F139" s="62" t="s">
        <v>382</v>
      </c>
      <c r="G139" s="63" t="s">
        <v>284</v>
      </c>
      <c r="H139" s="64" t="n">
        <v>10817319047.8053</v>
      </c>
      <c r="I139" s="62" t="s">
        <v>81</v>
      </c>
      <c r="J139" s="64" t="n">
        <v>10817319.0478053</v>
      </c>
      <c r="K139" s="62" t="s">
        <v>138</v>
      </c>
      <c r="L139" s="68" t="b">
        <f aca="false">TRUE()</f>
        <v>1</v>
      </c>
    </row>
    <row r="140" customFormat="false" ht="15" hidden="false" customHeight="false" outlineLevel="0" collapsed="false">
      <c r="A140" s="62" t="n">
        <v>0</v>
      </c>
      <c r="B140" s="21" t="s">
        <v>336</v>
      </c>
      <c r="C140" s="62" t="s">
        <v>60</v>
      </c>
      <c r="D140" s="62" t="s">
        <v>387</v>
      </c>
      <c r="E140" s="62" t="s">
        <v>105</v>
      </c>
      <c r="F140" s="62" t="s">
        <v>382</v>
      </c>
      <c r="G140" s="63" t="s">
        <v>284</v>
      </c>
      <c r="H140" s="64" t="n">
        <v>10817319047.8053</v>
      </c>
      <c r="I140" s="62" t="s">
        <v>81</v>
      </c>
      <c r="J140" s="64" t="n">
        <v>10817319.0478053</v>
      </c>
      <c r="K140" s="62" t="s">
        <v>138</v>
      </c>
      <c r="L140" s="68" t="b">
        <f aca="false">TRUE()</f>
        <v>1</v>
      </c>
    </row>
    <row r="141" customFormat="false" ht="15" hidden="false" customHeight="false" outlineLevel="0" collapsed="false">
      <c r="A141" s="62" t="n">
        <v>0</v>
      </c>
      <c r="B141" s="21" t="s">
        <v>336</v>
      </c>
      <c r="C141" s="62" t="s">
        <v>60</v>
      </c>
      <c r="D141" s="62" t="s">
        <v>388</v>
      </c>
      <c r="E141" s="62" t="s">
        <v>105</v>
      </c>
      <c r="F141" s="62" t="s">
        <v>382</v>
      </c>
      <c r="G141" s="63" t="s">
        <v>284</v>
      </c>
      <c r="H141" s="64" t="n">
        <v>10817319047.8053</v>
      </c>
      <c r="I141" s="62" t="s">
        <v>81</v>
      </c>
      <c r="J141" s="64" t="n">
        <v>10817319.0478053</v>
      </c>
      <c r="K141" s="62" t="s">
        <v>138</v>
      </c>
      <c r="L141" s="68" t="b">
        <f aca="false">TRUE()</f>
        <v>1</v>
      </c>
    </row>
    <row r="142" customFormat="false" ht="15" hidden="false" customHeight="false" outlineLevel="0" collapsed="false">
      <c r="A142" s="62" t="n">
        <v>0</v>
      </c>
      <c r="B142" s="21" t="s">
        <v>336</v>
      </c>
      <c r="C142" s="62" t="s">
        <v>60</v>
      </c>
      <c r="D142" s="62" t="s">
        <v>381</v>
      </c>
      <c r="E142" s="62" t="s">
        <v>105</v>
      </c>
      <c r="F142" s="62" t="s">
        <v>382</v>
      </c>
      <c r="G142" s="63" t="s">
        <v>285</v>
      </c>
      <c r="H142" s="64" t="n">
        <v>23165849747.8053</v>
      </c>
      <c r="I142" s="62" t="s">
        <v>81</v>
      </c>
      <c r="J142" s="64" t="n">
        <v>23165849.7478053</v>
      </c>
      <c r="K142" s="62" t="s">
        <v>138</v>
      </c>
      <c r="L142" s="68" t="b">
        <f aca="false">TRUE()</f>
        <v>1</v>
      </c>
    </row>
    <row r="143" customFormat="false" ht="15" hidden="false" customHeight="false" outlineLevel="0" collapsed="false">
      <c r="A143" s="62" t="n">
        <v>0</v>
      </c>
      <c r="B143" s="21" t="s">
        <v>336</v>
      </c>
      <c r="C143" s="62" t="s">
        <v>60</v>
      </c>
      <c r="D143" s="62" t="s">
        <v>383</v>
      </c>
      <c r="E143" s="62" t="s">
        <v>105</v>
      </c>
      <c r="F143" s="62" t="s">
        <v>382</v>
      </c>
      <c r="G143" s="63" t="s">
        <v>285</v>
      </c>
      <c r="H143" s="64" t="n">
        <v>23165849747.8053</v>
      </c>
      <c r="I143" s="62" t="s">
        <v>81</v>
      </c>
      <c r="J143" s="64" t="n">
        <v>23165849.7478053</v>
      </c>
      <c r="K143" s="62" t="s">
        <v>138</v>
      </c>
      <c r="L143" s="68" t="b">
        <f aca="false">TRUE()</f>
        <v>1</v>
      </c>
    </row>
    <row r="144" customFormat="false" ht="15" hidden="false" customHeight="false" outlineLevel="0" collapsed="false">
      <c r="A144" s="62" t="n">
        <v>0</v>
      </c>
      <c r="B144" s="21" t="s">
        <v>336</v>
      </c>
      <c r="C144" s="62" t="s">
        <v>60</v>
      </c>
      <c r="D144" s="62" t="s">
        <v>384</v>
      </c>
      <c r="E144" s="62" t="s">
        <v>105</v>
      </c>
      <c r="F144" s="62" t="s">
        <v>382</v>
      </c>
      <c r="G144" s="63" t="s">
        <v>285</v>
      </c>
      <c r="H144" s="64" t="n">
        <v>23165849747.8053</v>
      </c>
      <c r="I144" s="62" t="s">
        <v>81</v>
      </c>
      <c r="J144" s="64" t="n">
        <v>23165849.7478053</v>
      </c>
      <c r="K144" s="62" t="s">
        <v>138</v>
      </c>
      <c r="L144" s="68" t="b">
        <f aca="false">TRUE()</f>
        <v>1</v>
      </c>
    </row>
    <row r="145" customFormat="false" ht="15" hidden="false" customHeight="false" outlineLevel="0" collapsed="false">
      <c r="A145" s="62" t="n">
        <v>0</v>
      </c>
      <c r="B145" s="21" t="s">
        <v>336</v>
      </c>
      <c r="C145" s="62" t="s">
        <v>60</v>
      </c>
      <c r="D145" s="62" t="s">
        <v>385</v>
      </c>
      <c r="E145" s="62" t="s">
        <v>105</v>
      </c>
      <c r="F145" s="62" t="s">
        <v>382</v>
      </c>
      <c r="G145" s="63" t="s">
        <v>285</v>
      </c>
      <c r="H145" s="64" t="n">
        <v>23165849747.8053</v>
      </c>
      <c r="I145" s="62" t="s">
        <v>81</v>
      </c>
      <c r="J145" s="64" t="n">
        <v>23165849.7478053</v>
      </c>
      <c r="K145" s="62" t="s">
        <v>138</v>
      </c>
      <c r="L145" s="68" t="b">
        <f aca="false">TRUE()</f>
        <v>1</v>
      </c>
    </row>
    <row r="146" customFormat="false" ht="15" hidden="false" customHeight="false" outlineLevel="0" collapsed="false">
      <c r="A146" s="62" t="n">
        <v>0</v>
      </c>
      <c r="B146" s="21" t="s">
        <v>336</v>
      </c>
      <c r="C146" s="62" t="s">
        <v>60</v>
      </c>
      <c r="D146" s="62" t="s">
        <v>386</v>
      </c>
      <c r="E146" s="62" t="s">
        <v>105</v>
      </c>
      <c r="F146" s="62" t="s">
        <v>382</v>
      </c>
      <c r="G146" s="63" t="s">
        <v>285</v>
      </c>
      <c r="H146" s="64" t="n">
        <v>23165849747.8053</v>
      </c>
      <c r="I146" s="62" t="s">
        <v>81</v>
      </c>
      <c r="J146" s="64" t="n">
        <v>23165849.7478053</v>
      </c>
      <c r="K146" s="62" t="s">
        <v>138</v>
      </c>
      <c r="L146" s="68" t="b">
        <f aca="false">TRUE()</f>
        <v>1</v>
      </c>
    </row>
    <row r="147" customFormat="false" ht="15" hidden="false" customHeight="false" outlineLevel="0" collapsed="false">
      <c r="A147" s="62" t="n">
        <v>0</v>
      </c>
      <c r="B147" s="21" t="s">
        <v>336</v>
      </c>
      <c r="C147" s="62" t="s">
        <v>60</v>
      </c>
      <c r="D147" s="62" t="s">
        <v>387</v>
      </c>
      <c r="E147" s="62" t="s">
        <v>105</v>
      </c>
      <c r="F147" s="62" t="s">
        <v>382</v>
      </c>
      <c r="G147" s="63" t="s">
        <v>285</v>
      </c>
      <c r="H147" s="64" t="n">
        <v>23165849747.8053</v>
      </c>
      <c r="I147" s="62" t="s">
        <v>81</v>
      </c>
      <c r="J147" s="64" t="n">
        <v>23165849.7478053</v>
      </c>
      <c r="K147" s="62" t="s">
        <v>138</v>
      </c>
      <c r="L147" s="68" t="b">
        <f aca="false">TRUE()</f>
        <v>1</v>
      </c>
    </row>
    <row r="148" customFormat="false" ht="15" hidden="false" customHeight="false" outlineLevel="0" collapsed="false">
      <c r="A148" s="62" t="n">
        <v>0</v>
      </c>
      <c r="B148" s="21" t="s">
        <v>336</v>
      </c>
      <c r="C148" s="62" t="s">
        <v>60</v>
      </c>
      <c r="D148" s="62" t="s">
        <v>388</v>
      </c>
      <c r="E148" s="62" t="s">
        <v>105</v>
      </c>
      <c r="F148" s="62" t="s">
        <v>382</v>
      </c>
      <c r="G148" s="63" t="s">
        <v>285</v>
      </c>
      <c r="H148" s="64" t="n">
        <v>23165849747.8053</v>
      </c>
      <c r="I148" s="62" t="s">
        <v>81</v>
      </c>
      <c r="J148" s="64" t="n">
        <v>23165849.7478053</v>
      </c>
      <c r="K148" s="62" t="s">
        <v>138</v>
      </c>
      <c r="L148" s="68" t="b">
        <f aca="false">TRUE()</f>
        <v>1</v>
      </c>
    </row>
    <row r="149" customFormat="false" ht="15" hidden="false" customHeight="false" outlineLevel="0" collapsed="false">
      <c r="A149" s="62" t="n">
        <v>0</v>
      </c>
      <c r="B149" s="21" t="s">
        <v>336</v>
      </c>
      <c r="C149" s="62" t="s">
        <v>60</v>
      </c>
      <c r="D149" s="62" t="s">
        <v>381</v>
      </c>
      <c r="E149" s="62" t="s">
        <v>105</v>
      </c>
      <c r="F149" s="62" t="s">
        <v>382</v>
      </c>
      <c r="G149" s="63" t="s">
        <v>396</v>
      </c>
      <c r="H149" s="64" t="n">
        <v>5500000000</v>
      </c>
      <c r="I149" s="62" t="s">
        <v>81</v>
      </c>
      <c r="J149" s="64" t="n">
        <v>5500000</v>
      </c>
      <c r="K149" s="62" t="s">
        <v>138</v>
      </c>
      <c r="L149" s="68" t="b">
        <f aca="false">TRUE()</f>
        <v>1</v>
      </c>
    </row>
    <row r="150" customFormat="false" ht="15" hidden="false" customHeight="false" outlineLevel="0" collapsed="false">
      <c r="A150" s="62" t="n">
        <v>0</v>
      </c>
      <c r="B150" s="21" t="s">
        <v>336</v>
      </c>
      <c r="C150" s="62" t="s">
        <v>60</v>
      </c>
      <c r="D150" s="62" t="s">
        <v>383</v>
      </c>
      <c r="E150" s="62" t="s">
        <v>105</v>
      </c>
      <c r="F150" s="62" t="s">
        <v>382</v>
      </c>
      <c r="G150" s="63" t="s">
        <v>396</v>
      </c>
      <c r="H150" s="64" t="n">
        <v>5500000000</v>
      </c>
      <c r="I150" s="62" t="s">
        <v>81</v>
      </c>
      <c r="J150" s="64" t="n">
        <v>5500000</v>
      </c>
      <c r="K150" s="62" t="s">
        <v>138</v>
      </c>
      <c r="L150" s="68" t="b">
        <f aca="false">TRUE()</f>
        <v>1</v>
      </c>
    </row>
    <row r="151" customFormat="false" ht="15" hidden="false" customHeight="false" outlineLevel="0" collapsed="false">
      <c r="A151" s="62" t="n">
        <v>0</v>
      </c>
      <c r="B151" s="21" t="s">
        <v>336</v>
      </c>
      <c r="C151" s="62" t="s">
        <v>60</v>
      </c>
      <c r="D151" s="62" t="s">
        <v>384</v>
      </c>
      <c r="E151" s="62" t="s">
        <v>105</v>
      </c>
      <c r="F151" s="62" t="s">
        <v>382</v>
      </c>
      <c r="G151" s="63" t="s">
        <v>396</v>
      </c>
      <c r="H151" s="64" t="n">
        <v>5500000000</v>
      </c>
      <c r="I151" s="62" t="s">
        <v>81</v>
      </c>
      <c r="J151" s="64" t="n">
        <v>5500000</v>
      </c>
      <c r="K151" s="62" t="s">
        <v>138</v>
      </c>
      <c r="L151" s="68" t="b">
        <f aca="false">TRUE()</f>
        <v>1</v>
      </c>
    </row>
    <row r="152" customFormat="false" ht="15" hidden="false" customHeight="false" outlineLevel="0" collapsed="false">
      <c r="A152" s="62" t="n">
        <v>0</v>
      </c>
      <c r="B152" s="21" t="s">
        <v>336</v>
      </c>
      <c r="C152" s="62" t="s">
        <v>60</v>
      </c>
      <c r="D152" s="62" t="s">
        <v>385</v>
      </c>
      <c r="E152" s="62" t="s">
        <v>105</v>
      </c>
      <c r="F152" s="62" t="s">
        <v>382</v>
      </c>
      <c r="G152" s="63" t="s">
        <v>396</v>
      </c>
      <c r="H152" s="64" t="n">
        <v>5500000000</v>
      </c>
      <c r="I152" s="62" t="s">
        <v>81</v>
      </c>
      <c r="J152" s="64" t="n">
        <v>5500000</v>
      </c>
      <c r="K152" s="62" t="s">
        <v>138</v>
      </c>
      <c r="L152" s="68" t="b">
        <f aca="false">TRUE()</f>
        <v>1</v>
      </c>
    </row>
    <row r="153" customFormat="false" ht="15" hidden="false" customHeight="false" outlineLevel="0" collapsed="false">
      <c r="A153" s="62" t="n">
        <v>0</v>
      </c>
      <c r="B153" s="21" t="s">
        <v>336</v>
      </c>
      <c r="C153" s="62" t="s">
        <v>60</v>
      </c>
      <c r="D153" s="62" t="s">
        <v>386</v>
      </c>
      <c r="E153" s="62" t="s">
        <v>105</v>
      </c>
      <c r="F153" s="62" t="s">
        <v>382</v>
      </c>
      <c r="G153" s="63" t="s">
        <v>396</v>
      </c>
      <c r="H153" s="64" t="n">
        <v>5500000000</v>
      </c>
      <c r="I153" s="62" t="s">
        <v>81</v>
      </c>
      <c r="J153" s="64" t="n">
        <v>5500000</v>
      </c>
      <c r="K153" s="62" t="s">
        <v>138</v>
      </c>
      <c r="L153" s="68" t="b">
        <f aca="false">TRUE()</f>
        <v>1</v>
      </c>
    </row>
    <row r="154" customFormat="false" ht="15" hidden="false" customHeight="false" outlineLevel="0" collapsed="false">
      <c r="A154" s="62" t="n">
        <v>0</v>
      </c>
      <c r="B154" s="21" t="s">
        <v>336</v>
      </c>
      <c r="C154" s="62" t="s">
        <v>60</v>
      </c>
      <c r="D154" s="62" t="s">
        <v>387</v>
      </c>
      <c r="E154" s="62" t="s">
        <v>105</v>
      </c>
      <c r="F154" s="62" t="s">
        <v>382</v>
      </c>
      <c r="G154" s="63" t="s">
        <v>396</v>
      </c>
      <c r="H154" s="64" t="n">
        <v>5500000000</v>
      </c>
      <c r="I154" s="62" t="s">
        <v>81</v>
      </c>
      <c r="J154" s="64" t="n">
        <v>5500000</v>
      </c>
      <c r="K154" s="62" t="s">
        <v>138</v>
      </c>
      <c r="L154" s="68" t="b">
        <f aca="false">TRUE()</f>
        <v>1</v>
      </c>
    </row>
    <row r="155" customFormat="false" ht="15" hidden="false" customHeight="false" outlineLevel="0" collapsed="false">
      <c r="A155" s="62" t="n">
        <v>0</v>
      </c>
      <c r="B155" s="21" t="s">
        <v>336</v>
      </c>
      <c r="C155" s="62" t="s">
        <v>60</v>
      </c>
      <c r="D155" s="62" t="s">
        <v>388</v>
      </c>
      <c r="E155" s="62" t="s">
        <v>105</v>
      </c>
      <c r="F155" s="62" t="s">
        <v>382</v>
      </c>
      <c r="G155" s="63" t="s">
        <v>396</v>
      </c>
      <c r="H155" s="64" t="n">
        <v>5500000000</v>
      </c>
      <c r="I155" s="62" t="s">
        <v>81</v>
      </c>
      <c r="J155" s="64" t="n">
        <v>5500000</v>
      </c>
      <c r="K155" s="62" t="s">
        <v>138</v>
      </c>
      <c r="L155" s="68" t="b">
        <f aca="false">TRUE()</f>
        <v>1</v>
      </c>
    </row>
    <row r="156" customFormat="false" ht="15" hidden="false" customHeight="false" outlineLevel="0" collapsed="false">
      <c r="A156" s="62" t="n">
        <v>0</v>
      </c>
      <c r="B156" s="21" t="s">
        <v>336</v>
      </c>
      <c r="C156" s="62" t="s">
        <v>60</v>
      </c>
      <c r="D156" s="62" t="s">
        <v>381</v>
      </c>
      <c r="E156" s="62" t="s">
        <v>105</v>
      </c>
      <c r="F156" s="62" t="s">
        <v>382</v>
      </c>
      <c r="G156" s="63" t="s">
        <v>397</v>
      </c>
      <c r="H156" s="64" t="n">
        <v>0</v>
      </c>
      <c r="I156" s="62" t="s">
        <v>81</v>
      </c>
      <c r="J156" s="64" t="n">
        <v>0</v>
      </c>
      <c r="K156" s="62" t="s">
        <v>138</v>
      </c>
      <c r="L156" s="68" t="b">
        <f aca="false">TRUE()</f>
        <v>1</v>
      </c>
    </row>
    <row r="157" customFormat="false" ht="15" hidden="false" customHeight="false" outlineLevel="0" collapsed="false">
      <c r="A157" s="62" t="n">
        <v>0</v>
      </c>
      <c r="B157" s="21" t="s">
        <v>336</v>
      </c>
      <c r="C157" s="62" t="s">
        <v>60</v>
      </c>
      <c r="D157" s="62" t="s">
        <v>383</v>
      </c>
      <c r="E157" s="62" t="s">
        <v>105</v>
      </c>
      <c r="F157" s="62" t="s">
        <v>382</v>
      </c>
      <c r="G157" s="63" t="s">
        <v>397</v>
      </c>
      <c r="H157" s="64" t="n">
        <v>0</v>
      </c>
      <c r="I157" s="62" t="s">
        <v>81</v>
      </c>
      <c r="J157" s="64" t="n">
        <v>0</v>
      </c>
      <c r="K157" s="62" t="s">
        <v>138</v>
      </c>
      <c r="L157" s="68" t="b">
        <f aca="false">TRUE()</f>
        <v>1</v>
      </c>
    </row>
    <row r="158" customFormat="false" ht="15" hidden="false" customHeight="false" outlineLevel="0" collapsed="false">
      <c r="A158" s="62" t="n">
        <v>0</v>
      </c>
      <c r="B158" s="21" t="s">
        <v>336</v>
      </c>
      <c r="C158" s="62" t="s">
        <v>60</v>
      </c>
      <c r="D158" s="62" t="s">
        <v>384</v>
      </c>
      <c r="E158" s="62" t="s">
        <v>105</v>
      </c>
      <c r="F158" s="62" t="s">
        <v>382</v>
      </c>
      <c r="G158" s="63" t="s">
        <v>397</v>
      </c>
      <c r="H158" s="64" t="n">
        <v>0</v>
      </c>
      <c r="I158" s="62" t="s">
        <v>81</v>
      </c>
      <c r="J158" s="64" t="n">
        <v>0</v>
      </c>
      <c r="K158" s="62" t="s">
        <v>138</v>
      </c>
      <c r="L158" s="68" t="b">
        <f aca="false">TRUE()</f>
        <v>1</v>
      </c>
    </row>
    <row r="159" customFormat="false" ht="15" hidden="false" customHeight="false" outlineLevel="0" collapsed="false">
      <c r="A159" s="62" t="n">
        <v>0</v>
      </c>
      <c r="B159" s="21" t="s">
        <v>336</v>
      </c>
      <c r="C159" s="62" t="s">
        <v>60</v>
      </c>
      <c r="D159" s="62" t="s">
        <v>385</v>
      </c>
      <c r="E159" s="62" t="s">
        <v>105</v>
      </c>
      <c r="F159" s="62" t="s">
        <v>382</v>
      </c>
      <c r="G159" s="63" t="s">
        <v>397</v>
      </c>
      <c r="H159" s="64" t="n">
        <v>0</v>
      </c>
      <c r="I159" s="62" t="s">
        <v>81</v>
      </c>
      <c r="J159" s="64" t="n">
        <v>0</v>
      </c>
      <c r="K159" s="62" t="s">
        <v>138</v>
      </c>
      <c r="L159" s="68" t="b">
        <f aca="false">TRUE()</f>
        <v>1</v>
      </c>
    </row>
    <row r="160" customFormat="false" ht="15" hidden="false" customHeight="false" outlineLevel="0" collapsed="false">
      <c r="A160" s="62" t="n">
        <v>0</v>
      </c>
      <c r="B160" s="21" t="s">
        <v>336</v>
      </c>
      <c r="C160" s="62" t="s">
        <v>60</v>
      </c>
      <c r="D160" s="62" t="s">
        <v>386</v>
      </c>
      <c r="E160" s="62" t="s">
        <v>105</v>
      </c>
      <c r="F160" s="62" t="s">
        <v>382</v>
      </c>
      <c r="G160" s="63" t="s">
        <v>397</v>
      </c>
      <c r="H160" s="64" t="n">
        <v>0</v>
      </c>
      <c r="I160" s="62" t="s">
        <v>81</v>
      </c>
      <c r="J160" s="64" t="n">
        <v>0</v>
      </c>
      <c r="K160" s="62" t="s">
        <v>138</v>
      </c>
      <c r="L160" s="68" t="b">
        <f aca="false">TRUE()</f>
        <v>1</v>
      </c>
    </row>
    <row r="161" customFormat="false" ht="15" hidden="false" customHeight="false" outlineLevel="0" collapsed="false">
      <c r="A161" s="62" t="n">
        <v>0</v>
      </c>
      <c r="B161" s="21" t="s">
        <v>336</v>
      </c>
      <c r="C161" s="62" t="s">
        <v>60</v>
      </c>
      <c r="D161" s="62" t="s">
        <v>387</v>
      </c>
      <c r="E161" s="62" t="s">
        <v>105</v>
      </c>
      <c r="F161" s="62" t="s">
        <v>382</v>
      </c>
      <c r="G161" s="63" t="s">
        <v>397</v>
      </c>
      <c r="H161" s="64" t="n">
        <v>0</v>
      </c>
      <c r="I161" s="62" t="s">
        <v>81</v>
      </c>
      <c r="J161" s="64" t="n">
        <v>0</v>
      </c>
      <c r="K161" s="62" t="s">
        <v>138</v>
      </c>
      <c r="L161" s="68" t="b">
        <f aca="false">TRUE()</f>
        <v>1</v>
      </c>
    </row>
    <row r="162" customFormat="false" ht="15" hidden="false" customHeight="false" outlineLevel="0" collapsed="false">
      <c r="A162" s="62" t="n">
        <v>0</v>
      </c>
      <c r="B162" s="21" t="s">
        <v>336</v>
      </c>
      <c r="C162" s="62" t="s">
        <v>60</v>
      </c>
      <c r="D162" s="62" t="s">
        <v>388</v>
      </c>
      <c r="E162" s="62" t="s">
        <v>105</v>
      </c>
      <c r="F162" s="62" t="s">
        <v>382</v>
      </c>
      <c r="G162" s="63" t="s">
        <v>397</v>
      </c>
      <c r="H162" s="64" t="n">
        <v>0</v>
      </c>
      <c r="I162" s="62" t="s">
        <v>81</v>
      </c>
      <c r="J162" s="64" t="n">
        <v>0</v>
      </c>
      <c r="K162" s="62" t="s">
        <v>138</v>
      </c>
      <c r="L162" s="68" t="b">
        <f aca="false">TRUE()</f>
        <v>1</v>
      </c>
    </row>
    <row r="163" customFormat="false" ht="15" hidden="false" customHeight="false" outlineLevel="0" collapsed="false">
      <c r="A163" s="62" t="n">
        <v>0</v>
      </c>
      <c r="B163" s="21" t="s">
        <v>336</v>
      </c>
      <c r="C163" s="62" t="s">
        <v>60</v>
      </c>
      <c r="D163" s="62" t="s">
        <v>381</v>
      </c>
      <c r="E163" s="62" t="s">
        <v>105</v>
      </c>
      <c r="F163" s="62" t="s">
        <v>382</v>
      </c>
      <c r="G163" s="63" t="s">
        <v>398</v>
      </c>
      <c r="H163" s="64" t="n">
        <v>2761944000</v>
      </c>
      <c r="I163" s="62" t="s">
        <v>81</v>
      </c>
      <c r="J163" s="64" t="n">
        <v>2761944</v>
      </c>
      <c r="K163" s="62" t="s">
        <v>138</v>
      </c>
      <c r="L163" s="68" t="b">
        <f aca="false">TRUE()</f>
        <v>1</v>
      </c>
    </row>
    <row r="164" customFormat="false" ht="15" hidden="false" customHeight="false" outlineLevel="0" collapsed="false">
      <c r="A164" s="62" t="n">
        <v>0</v>
      </c>
      <c r="B164" s="21" t="s">
        <v>336</v>
      </c>
      <c r="C164" s="62" t="s">
        <v>60</v>
      </c>
      <c r="D164" s="62" t="s">
        <v>383</v>
      </c>
      <c r="E164" s="62" t="s">
        <v>105</v>
      </c>
      <c r="F164" s="62" t="s">
        <v>382</v>
      </c>
      <c r="G164" s="63" t="s">
        <v>398</v>
      </c>
      <c r="H164" s="64" t="n">
        <v>2761944000</v>
      </c>
      <c r="I164" s="62" t="s">
        <v>81</v>
      </c>
      <c r="J164" s="64" t="n">
        <v>2761944</v>
      </c>
      <c r="K164" s="62" t="s">
        <v>138</v>
      </c>
      <c r="L164" s="68" t="b">
        <f aca="false">TRUE()</f>
        <v>1</v>
      </c>
    </row>
    <row r="165" customFormat="false" ht="15" hidden="false" customHeight="false" outlineLevel="0" collapsed="false">
      <c r="A165" s="62" t="n">
        <v>0</v>
      </c>
      <c r="B165" s="21" t="s">
        <v>336</v>
      </c>
      <c r="C165" s="62" t="s">
        <v>60</v>
      </c>
      <c r="D165" s="62" t="s">
        <v>384</v>
      </c>
      <c r="E165" s="62" t="s">
        <v>105</v>
      </c>
      <c r="F165" s="62" t="s">
        <v>382</v>
      </c>
      <c r="G165" s="63" t="s">
        <v>398</v>
      </c>
      <c r="H165" s="64" t="n">
        <v>2761944000</v>
      </c>
      <c r="I165" s="62" t="s">
        <v>81</v>
      </c>
      <c r="J165" s="64" t="n">
        <v>2761944</v>
      </c>
      <c r="K165" s="62" t="s">
        <v>138</v>
      </c>
      <c r="L165" s="68" t="b">
        <f aca="false">TRUE()</f>
        <v>1</v>
      </c>
    </row>
    <row r="166" customFormat="false" ht="15" hidden="false" customHeight="false" outlineLevel="0" collapsed="false">
      <c r="A166" s="62" t="n">
        <v>0</v>
      </c>
      <c r="B166" s="21" t="s">
        <v>336</v>
      </c>
      <c r="C166" s="62" t="s">
        <v>60</v>
      </c>
      <c r="D166" s="62" t="s">
        <v>385</v>
      </c>
      <c r="E166" s="62" t="s">
        <v>105</v>
      </c>
      <c r="F166" s="62" t="s">
        <v>382</v>
      </c>
      <c r="G166" s="63" t="s">
        <v>398</v>
      </c>
      <c r="H166" s="64" t="n">
        <v>2761944000</v>
      </c>
      <c r="I166" s="62" t="s">
        <v>81</v>
      </c>
      <c r="J166" s="64" t="n">
        <v>2761944</v>
      </c>
      <c r="K166" s="62" t="s">
        <v>138</v>
      </c>
      <c r="L166" s="68" t="b">
        <f aca="false">TRUE()</f>
        <v>1</v>
      </c>
    </row>
    <row r="167" customFormat="false" ht="15" hidden="false" customHeight="false" outlineLevel="0" collapsed="false">
      <c r="A167" s="62" t="n">
        <v>0</v>
      </c>
      <c r="B167" s="21" t="s">
        <v>336</v>
      </c>
      <c r="C167" s="62" t="s">
        <v>60</v>
      </c>
      <c r="D167" s="62" t="s">
        <v>386</v>
      </c>
      <c r="E167" s="62" t="s">
        <v>105</v>
      </c>
      <c r="F167" s="62" t="s">
        <v>382</v>
      </c>
      <c r="G167" s="63" t="s">
        <v>398</v>
      </c>
      <c r="H167" s="64" t="n">
        <v>2761944000</v>
      </c>
      <c r="I167" s="62" t="s">
        <v>81</v>
      </c>
      <c r="J167" s="64" t="n">
        <v>2761944</v>
      </c>
      <c r="K167" s="62" t="s">
        <v>138</v>
      </c>
      <c r="L167" s="68" t="b">
        <f aca="false">TRUE()</f>
        <v>1</v>
      </c>
    </row>
    <row r="168" customFormat="false" ht="15" hidden="false" customHeight="false" outlineLevel="0" collapsed="false">
      <c r="A168" s="62" t="n">
        <v>0</v>
      </c>
      <c r="B168" s="21" t="s">
        <v>336</v>
      </c>
      <c r="C168" s="62" t="s">
        <v>60</v>
      </c>
      <c r="D168" s="62" t="s">
        <v>387</v>
      </c>
      <c r="E168" s="62" t="s">
        <v>105</v>
      </c>
      <c r="F168" s="62" t="s">
        <v>382</v>
      </c>
      <c r="G168" s="63" t="s">
        <v>398</v>
      </c>
      <c r="H168" s="64" t="n">
        <v>2761944000</v>
      </c>
      <c r="I168" s="62" t="s">
        <v>81</v>
      </c>
      <c r="J168" s="64" t="n">
        <v>2761944</v>
      </c>
      <c r="K168" s="62" t="s">
        <v>138</v>
      </c>
      <c r="L168" s="68" t="b">
        <f aca="false">TRUE()</f>
        <v>1</v>
      </c>
    </row>
    <row r="169" customFormat="false" ht="15" hidden="false" customHeight="false" outlineLevel="0" collapsed="false">
      <c r="A169" s="62" t="n">
        <v>0</v>
      </c>
      <c r="B169" s="21" t="s">
        <v>336</v>
      </c>
      <c r="C169" s="62" t="s">
        <v>60</v>
      </c>
      <c r="D169" s="62" t="s">
        <v>388</v>
      </c>
      <c r="E169" s="62" t="s">
        <v>105</v>
      </c>
      <c r="F169" s="62" t="s">
        <v>382</v>
      </c>
      <c r="G169" s="63" t="s">
        <v>398</v>
      </c>
      <c r="H169" s="64" t="n">
        <v>2761944000</v>
      </c>
      <c r="I169" s="62" t="s">
        <v>81</v>
      </c>
      <c r="J169" s="64" t="n">
        <v>2761944</v>
      </c>
      <c r="K169" s="62" t="s">
        <v>138</v>
      </c>
      <c r="L169" s="68" t="b">
        <f aca="false">TRUE()</f>
        <v>1</v>
      </c>
    </row>
    <row r="170" customFormat="false" ht="15" hidden="false" customHeight="false" outlineLevel="0" collapsed="false">
      <c r="A170" s="62" t="n">
        <v>0</v>
      </c>
      <c r="B170" s="21" t="s">
        <v>336</v>
      </c>
      <c r="C170" s="62" t="s">
        <v>60</v>
      </c>
      <c r="D170" s="62" t="s">
        <v>381</v>
      </c>
      <c r="E170" s="62" t="s">
        <v>105</v>
      </c>
      <c r="F170" s="62" t="s">
        <v>382</v>
      </c>
      <c r="G170" s="63" t="s">
        <v>293</v>
      </c>
      <c r="H170" s="64" t="n">
        <v>10003561983.8948</v>
      </c>
      <c r="I170" s="62" t="s">
        <v>81</v>
      </c>
      <c r="J170" s="64" t="n">
        <v>10003561.9838948</v>
      </c>
      <c r="K170" s="62" t="s">
        <v>138</v>
      </c>
      <c r="L170" s="68" t="b">
        <f aca="false">TRUE()</f>
        <v>1</v>
      </c>
    </row>
    <row r="171" customFormat="false" ht="15" hidden="false" customHeight="false" outlineLevel="0" collapsed="false">
      <c r="A171" s="62" t="n">
        <v>0</v>
      </c>
      <c r="B171" s="21" t="s">
        <v>336</v>
      </c>
      <c r="C171" s="62" t="s">
        <v>60</v>
      </c>
      <c r="D171" s="62" t="s">
        <v>383</v>
      </c>
      <c r="E171" s="62" t="s">
        <v>105</v>
      </c>
      <c r="F171" s="62" t="s">
        <v>382</v>
      </c>
      <c r="G171" s="63" t="s">
        <v>293</v>
      </c>
      <c r="H171" s="64" t="n">
        <v>10003561983.8948</v>
      </c>
      <c r="I171" s="62" t="s">
        <v>81</v>
      </c>
      <c r="J171" s="64" t="n">
        <v>10003561.9838948</v>
      </c>
      <c r="K171" s="62" t="s">
        <v>138</v>
      </c>
      <c r="L171" s="68" t="b">
        <f aca="false">TRUE()</f>
        <v>1</v>
      </c>
    </row>
    <row r="172" customFormat="false" ht="15" hidden="false" customHeight="false" outlineLevel="0" collapsed="false">
      <c r="A172" s="62" t="n">
        <v>0</v>
      </c>
      <c r="B172" s="21" t="s">
        <v>336</v>
      </c>
      <c r="C172" s="62" t="s">
        <v>60</v>
      </c>
      <c r="D172" s="62" t="s">
        <v>384</v>
      </c>
      <c r="E172" s="62" t="s">
        <v>105</v>
      </c>
      <c r="F172" s="62" t="s">
        <v>382</v>
      </c>
      <c r="G172" s="63" t="s">
        <v>293</v>
      </c>
      <c r="H172" s="64" t="n">
        <v>10003561983.8948</v>
      </c>
      <c r="I172" s="62" t="s">
        <v>81</v>
      </c>
      <c r="J172" s="64" t="n">
        <v>10003561.9838948</v>
      </c>
      <c r="K172" s="62" t="s">
        <v>138</v>
      </c>
      <c r="L172" s="68" t="b">
        <f aca="false">TRUE()</f>
        <v>1</v>
      </c>
    </row>
    <row r="173" customFormat="false" ht="15" hidden="false" customHeight="false" outlineLevel="0" collapsed="false">
      <c r="A173" s="62" t="n">
        <v>0</v>
      </c>
      <c r="B173" s="21" t="s">
        <v>336</v>
      </c>
      <c r="C173" s="62" t="s">
        <v>60</v>
      </c>
      <c r="D173" s="62" t="s">
        <v>385</v>
      </c>
      <c r="E173" s="62" t="s">
        <v>105</v>
      </c>
      <c r="F173" s="62" t="s">
        <v>382</v>
      </c>
      <c r="G173" s="63" t="s">
        <v>293</v>
      </c>
      <c r="H173" s="64" t="n">
        <v>10003561983.8948</v>
      </c>
      <c r="I173" s="62" t="s">
        <v>81</v>
      </c>
      <c r="J173" s="64" t="n">
        <v>10003561.9838948</v>
      </c>
      <c r="K173" s="62" t="s">
        <v>138</v>
      </c>
      <c r="L173" s="68" t="b">
        <f aca="false">TRUE()</f>
        <v>1</v>
      </c>
    </row>
    <row r="174" customFormat="false" ht="15" hidden="false" customHeight="false" outlineLevel="0" collapsed="false">
      <c r="A174" s="62" t="n">
        <v>0</v>
      </c>
      <c r="B174" s="21" t="s">
        <v>336</v>
      </c>
      <c r="C174" s="62" t="s">
        <v>60</v>
      </c>
      <c r="D174" s="62" t="s">
        <v>386</v>
      </c>
      <c r="E174" s="62" t="s">
        <v>105</v>
      </c>
      <c r="F174" s="62" t="s">
        <v>382</v>
      </c>
      <c r="G174" s="63" t="s">
        <v>293</v>
      </c>
      <c r="H174" s="64" t="n">
        <v>10003561983.8948</v>
      </c>
      <c r="I174" s="62" t="s">
        <v>81</v>
      </c>
      <c r="J174" s="64" t="n">
        <v>10003561.9838948</v>
      </c>
      <c r="K174" s="62" t="s">
        <v>138</v>
      </c>
      <c r="L174" s="68" t="b">
        <f aca="false">TRUE()</f>
        <v>1</v>
      </c>
    </row>
    <row r="175" customFormat="false" ht="15" hidden="false" customHeight="false" outlineLevel="0" collapsed="false">
      <c r="A175" s="62" t="n">
        <v>0</v>
      </c>
      <c r="B175" s="21" t="s">
        <v>336</v>
      </c>
      <c r="C175" s="62" t="s">
        <v>60</v>
      </c>
      <c r="D175" s="62" t="s">
        <v>387</v>
      </c>
      <c r="E175" s="62" t="s">
        <v>105</v>
      </c>
      <c r="F175" s="62" t="s">
        <v>382</v>
      </c>
      <c r="G175" s="63" t="s">
        <v>293</v>
      </c>
      <c r="H175" s="64" t="n">
        <v>10003561983.8948</v>
      </c>
      <c r="I175" s="62" t="s">
        <v>81</v>
      </c>
      <c r="J175" s="64" t="n">
        <v>10003561.9838948</v>
      </c>
      <c r="K175" s="62" t="s">
        <v>138</v>
      </c>
      <c r="L175" s="68" t="b">
        <f aca="false">TRUE()</f>
        <v>1</v>
      </c>
    </row>
    <row r="176" customFormat="false" ht="15" hidden="false" customHeight="false" outlineLevel="0" collapsed="false">
      <c r="A176" s="62" t="n">
        <v>0</v>
      </c>
      <c r="B176" s="21" t="s">
        <v>336</v>
      </c>
      <c r="C176" s="62" t="s">
        <v>60</v>
      </c>
      <c r="D176" s="62" t="s">
        <v>388</v>
      </c>
      <c r="E176" s="62" t="s">
        <v>105</v>
      </c>
      <c r="F176" s="62" t="s">
        <v>382</v>
      </c>
      <c r="G176" s="63" t="s">
        <v>293</v>
      </c>
      <c r="H176" s="64" t="n">
        <v>10003561983.8948</v>
      </c>
      <c r="I176" s="62" t="s">
        <v>81</v>
      </c>
      <c r="J176" s="64" t="n">
        <v>10003561.9838948</v>
      </c>
      <c r="K176" s="62" t="s">
        <v>138</v>
      </c>
      <c r="L176" s="68" t="b">
        <f aca="false">TRUE()</f>
        <v>1</v>
      </c>
    </row>
    <row r="177" customFormat="false" ht="15" hidden="false" customHeight="false" outlineLevel="0" collapsed="false">
      <c r="A177" s="62" t="n">
        <v>0</v>
      </c>
      <c r="B177" s="21" t="s">
        <v>336</v>
      </c>
      <c r="C177" s="62" t="s">
        <v>60</v>
      </c>
      <c r="D177" s="62" t="s">
        <v>381</v>
      </c>
      <c r="E177" s="62" t="s">
        <v>105</v>
      </c>
      <c r="F177" s="62" t="s">
        <v>382</v>
      </c>
      <c r="G177" s="63" t="s">
        <v>286</v>
      </c>
      <c r="H177" s="64" t="n">
        <v>11900000000</v>
      </c>
      <c r="I177" s="62" t="s">
        <v>81</v>
      </c>
      <c r="J177" s="64" t="n">
        <v>11900000</v>
      </c>
      <c r="K177" s="62" t="s">
        <v>138</v>
      </c>
      <c r="L177" s="68" t="b">
        <f aca="false">TRUE()</f>
        <v>1</v>
      </c>
    </row>
    <row r="178" customFormat="false" ht="15" hidden="false" customHeight="false" outlineLevel="0" collapsed="false">
      <c r="A178" s="62" t="n">
        <v>0</v>
      </c>
      <c r="B178" s="21" t="s">
        <v>336</v>
      </c>
      <c r="C178" s="62" t="s">
        <v>60</v>
      </c>
      <c r="D178" s="62" t="s">
        <v>383</v>
      </c>
      <c r="E178" s="62" t="s">
        <v>105</v>
      </c>
      <c r="F178" s="62" t="s">
        <v>382</v>
      </c>
      <c r="G178" s="63" t="s">
        <v>286</v>
      </c>
      <c r="H178" s="64" t="n">
        <v>11900000000</v>
      </c>
      <c r="I178" s="62" t="s">
        <v>81</v>
      </c>
      <c r="J178" s="64" t="n">
        <v>11900000</v>
      </c>
      <c r="K178" s="62" t="s">
        <v>138</v>
      </c>
      <c r="L178" s="68" t="b">
        <f aca="false">TRUE()</f>
        <v>1</v>
      </c>
    </row>
    <row r="179" customFormat="false" ht="15" hidden="false" customHeight="false" outlineLevel="0" collapsed="false">
      <c r="A179" s="62" t="n">
        <v>0</v>
      </c>
      <c r="B179" s="21" t="s">
        <v>336</v>
      </c>
      <c r="C179" s="62" t="s">
        <v>60</v>
      </c>
      <c r="D179" s="62" t="s">
        <v>384</v>
      </c>
      <c r="E179" s="62" t="s">
        <v>105</v>
      </c>
      <c r="F179" s="62" t="s">
        <v>382</v>
      </c>
      <c r="G179" s="63" t="s">
        <v>286</v>
      </c>
      <c r="H179" s="64" t="n">
        <v>11900000000</v>
      </c>
      <c r="I179" s="62" t="s">
        <v>81</v>
      </c>
      <c r="J179" s="64" t="n">
        <v>11900000</v>
      </c>
      <c r="K179" s="62" t="s">
        <v>138</v>
      </c>
      <c r="L179" s="68" t="b">
        <f aca="false">TRUE()</f>
        <v>1</v>
      </c>
    </row>
    <row r="180" customFormat="false" ht="15" hidden="false" customHeight="false" outlineLevel="0" collapsed="false">
      <c r="A180" s="62" t="n">
        <v>0</v>
      </c>
      <c r="B180" s="21" t="s">
        <v>336</v>
      </c>
      <c r="C180" s="62" t="s">
        <v>60</v>
      </c>
      <c r="D180" s="62" t="s">
        <v>385</v>
      </c>
      <c r="E180" s="62" t="s">
        <v>105</v>
      </c>
      <c r="F180" s="62" t="s">
        <v>382</v>
      </c>
      <c r="G180" s="63" t="s">
        <v>286</v>
      </c>
      <c r="H180" s="64" t="n">
        <v>11900000000</v>
      </c>
      <c r="I180" s="62" t="s">
        <v>81</v>
      </c>
      <c r="J180" s="64" t="n">
        <v>11900000</v>
      </c>
      <c r="K180" s="62" t="s">
        <v>138</v>
      </c>
      <c r="L180" s="68" t="b">
        <f aca="false">TRUE()</f>
        <v>1</v>
      </c>
    </row>
    <row r="181" customFormat="false" ht="15" hidden="false" customHeight="false" outlineLevel="0" collapsed="false">
      <c r="A181" s="62" t="n">
        <v>0</v>
      </c>
      <c r="B181" s="21" t="s">
        <v>336</v>
      </c>
      <c r="C181" s="62" t="s">
        <v>60</v>
      </c>
      <c r="D181" s="62" t="s">
        <v>386</v>
      </c>
      <c r="E181" s="62" t="s">
        <v>105</v>
      </c>
      <c r="F181" s="62" t="s">
        <v>382</v>
      </c>
      <c r="G181" s="63" t="s">
        <v>286</v>
      </c>
      <c r="H181" s="64" t="n">
        <v>11900000000</v>
      </c>
      <c r="I181" s="62" t="s">
        <v>81</v>
      </c>
      <c r="J181" s="64" t="n">
        <v>11900000</v>
      </c>
      <c r="K181" s="62" t="s">
        <v>138</v>
      </c>
      <c r="L181" s="68" t="b">
        <f aca="false">TRUE()</f>
        <v>1</v>
      </c>
    </row>
    <row r="182" customFormat="false" ht="15" hidden="false" customHeight="false" outlineLevel="0" collapsed="false">
      <c r="A182" s="62" t="n">
        <v>0</v>
      </c>
      <c r="B182" s="21" t="s">
        <v>336</v>
      </c>
      <c r="C182" s="62" t="s">
        <v>60</v>
      </c>
      <c r="D182" s="62" t="s">
        <v>387</v>
      </c>
      <c r="E182" s="62" t="s">
        <v>105</v>
      </c>
      <c r="F182" s="62" t="s">
        <v>382</v>
      </c>
      <c r="G182" s="63" t="s">
        <v>286</v>
      </c>
      <c r="H182" s="64" t="n">
        <v>11900000000</v>
      </c>
      <c r="I182" s="62" t="s">
        <v>81</v>
      </c>
      <c r="J182" s="64" t="n">
        <v>11900000</v>
      </c>
      <c r="K182" s="62" t="s">
        <v>138</v>
      </c>
      <c r="L182" s="68" t="b">
        <f aca="false">TRUE()</f>
        <v>1</v>
      </c>
    </row>
    <row r="183" customFormat="false" ht="15" hidden="false" customHeight="false" outlineLevel="0" collapsed="false">
      <c r="A183" s="62" t="n">
        <v>0</v>
      </c>
      <c r="B183" s="21" t="s">
        <v>336</v>
      </c>
      <c r="C183" s="62" t="s">
        <v>60</v>
      </c>
      <c r="D183" s="62" t="s">
        <v>388</v>
      </c>
      <c r="E183" s="62" t="s">
        <v>105</v>
      </c>
      <c r="F183" s="62" t="s">
        <v>382</v>
      </c>
      <c r="G183" s="63" t="s">
        <v>286</v>
      </c>
      <c r="H183" s="64" t="n">
        <v>11900000000</v>
      </c>
      <c r="I183" s="62" t="s">
        <v>81</v>
      </c>
      <c r="J183" s="64" t="n">
        <v>11900000</v>
      </c>
      <c r="K183" s="62" t="s">
        <v>138</v>
      </c>
      <c r="L183" s="68" t="b">
        <f aca="false">TRUE()</f>
        <v>1</v>
      </c>
    </row>
    <row r="184" customFormat="false" ht="15" hidden="false" customHeight="false" outlineLevel="0" collapsed="false">
      <c r="A184" s="62" t="n">
        <v>0</v>
      </c>
      <c r="B184" s="21" t="s">
        <v>336</v>
      </c>
      <c r="C184" s="62" t="s">
        <v>60</v>
      </c>
      <c r="D184" s="62" t="s">
        <v>381</v>
      </c>
      <c r="E184" s="62" t="s">
        <v>105</v>
      </c>
      <c r="F184" s="62" t="s">
        <v>382</v>
      </c>
      <c r="G184" s="63" t="s">
        <v>287</v>
      </c>
      <c r="H184" s="64" t="n">
        <v>0</v>
      </c>
      <c r="I184" s="62" t="s">
        <v>81</v>
      </c>
      <c r="J184" s="64" t="n">
        <v>0</v>
      </c>
      <c r="K184" s="62" t="s">
        <v>138</v>
      </c>
      <c r="L184" s="68" t="b">
        <f aca="false">TRUE()</f>
        <v>1</v>
      </c>
    </row>
    <row r="185" customFormat="false" ht="15" hidden="false" customHeight="false" outlineLevel="0" collapsed="false">
      <c r="A185" s="62" t="n">
        <v>0</v>
      </c>
      <c r="B185" s="21" t="s">
        <v>336</v>
      </c>
      <c r="C185" s="62" t="s">
        <v>60</v>
      </c>
      <c r="D185" s="62" t="s">
        <v>383</v>
      </c>
      <c r="E185" s="62" t="s">
        <v>105</v>
      </c>
      <c r="F185" s="62" t="s">
        <v>382</v>
      </c>
      <c r="G185" s="63" t="s">
        <v>287</v>
      </c>
      <c r="H185" s="64" t="n">
        <v>0</v>
      </c>
      <c r="I185" s="62" t="s">
        <v>81</v>
      </c>
      <c r="J185" s="64" t="n">
        <v>0</v>
      </c>
      <c r="K185" s="62" t="s">
        <v>138</v>
      </c>
      <c r="L185" s="68" t="b">
        <f aca="false">TRUE()</f>
        <v>1</v>
      </c>
    </row>
    <row r="186" customFormat="false" ht="15" hidden="false" customHeight="false" outlineLevel="0" collapsed="false">
      <c r="A186" s="62" t="n">
        <v>0</v>
      </c>
      <c r="B186" s="21" t="s">
        <v>336</v>
      </c>
      <c r="C186" s="62" t="s">
        <v>60</v>
      </c>
      <c r="D186" s="62" t="s">
        <v>384</v>
      </c>
      <c r="E186" s="62" t="s">
        <v>105</v>
      </c>
      <c r="F186" s="62" t="s">
        <v>382</v>
      </c>
      <c r="G186" s="63" t="s">
        <v>287</v>
      </c>
      <c r="H186" s="64" t="n">
        <v>0</v>
      </c>
      <c r="I186" s="62" t="s">
        <v>81</v>
      </c>
      <c r="J186" s="64" t="n">
        <v>0</v>
      </c>
      <c r="K186" s="62" t="s">
        <v>138</v>
      </c>
      <c r="L186" s="68" t="b">
        <f aca="false">TRUE()</f>
        <v>1</v>
      </c>
    </row>
    <row r="187" customFormat="false" ht="15" hidden="false" customHeight="false" outlineLevel="0" collapsed="false">
      <c r="A187" s="62" t="n">
        <v>0</v>
      </c>
      <c r="B187" s="21" t="s">
        <v>336</v>
      </c>
      <c r="C187" s="62" t="s">
        <v>60</v>
      </c>
      <c r="D187" s="62" t="s">
        <v>385</v>
      </c>
      <c r="E187" s="62" t="s">
        <v>105</v>
      </c>
      <c r="F187" s="62" t="s">
        <v>382</v>
      </c>
      <c r="G187" s="63" t="s">
        <v>287</v>
      </c>
      <c r="H187" s="64" t="n">
        <v>0</v>
      </c>
      <c r="I187" s="62" t="s">
        <v>81</v>
      </c>
      <c r="J187" s="64" t="n">
        <v>0</v>
      </c>
      <c r="K187" s="62" t="s">
        <v>138</v>
      </c>
      <c r="L187" s="68" t="b">
        <f aca="false">TRUE()</f>
        <v>1</v>
      </c>
    </row>
    <row r="188" customFormat="false" ht="15" hidden="false" customHeight="false" outlineLevel="0" collapsed="false">
      <c r="A188" s="62" t="n">
        <v>0</v>
      </c>
      <c r="B188" s="21" t="s">
        <v>336</v>
      </c>
      <c r="C188" s="62" t="s">
        <v>60</v>
      </c>
      <c r="D188" s="62" t="s">
        <v>386</v>
      </c>
      <c r="E188" s="62" t="s">
        <v>105</v>
      </c>
      <c r="F188" s="62" t="s">
        <v>382</v>
      </c>
      <c r="G188" s="63" t="s">
        <v>287</v>
      </c>
      <c r="H188" s="64" t="n">
        <v>0</v>
      </c>
      <c r="I188" s="62" t="s">
        <v>81</v>
      </c>
      <c r="J188" s="64" t="n">
        <v>0</v>
      </c>
      <c r="K188" s="62" t="s">
        <v>138</v>
      </c>
      <c r="L188" s="68" t="b">
        <f aca="false">TRUE()</f>
        <v>1</v>
      </c>
    </row>
    <row r="189" customFormat="false" ht="15" hidden="false" customHeight="false" outlineLevel="0" collapsed="false">
      <c r="A189" s="62" t="n">
        <v>0</v>
      </c>
      <c r="B189" s="21" t="s">
        <v>336</v>
      </c>
      <c r="C189" s="62" t="s">
        <v>60</v>
      </c>
      <c r="D189" s="62" t="s">
        <v>387</v>
      </c>
      <c r="E189" s="62" t="s">
        <v>105</v>
      </c>
      <c r="F189" s="62" t="s">
        <v>382</v>
      </c>
      <c r="G189" s="63" t="s">
        <v>287</v>
      </c>
      <c r="H189" s="64" t="n">
        <v>0</v>
      </c>
      <c r="I189" s="62" t="s">
        <v>81</v>
      </c>
      <c r="J189" s="64" t="n">
        <v>0</v>
      </c>
      <c r="K189" s="62" t="s">
        <v>138</v>
      </c>
      <c r="L189" s="68" t="b">
        <f aca="false">TRUE()</f>
        <v>1</v>
      </c>
    </row>
    <row r="190" customFormat="false" ht="15" hidden="false" customHeight="false" outlineLevel="0" collapsed="false">
      <c r="A190" s="62" t="n">
        <v>0</v>
      </c>
      <c r="B190" s="21" t="s">
        <v>336</v>
      </c>
      <c r="C190" s="62" t="s">
        <v>60</v>
      </c>
      <c r="D190" s="62" t="s">
        <v>388</v>
      </c>
      <c r="E190" s="62" t="s">
        <v>105</v>
      </c>
      <c r="F190" s="62" t="s">
        <v>382</v>
      </c>
      <c r="G190" s="63" t="s">
        <v>287</v>
      </c>
      <c r="H190" s="64" t="n">
        <v>0</v>
      </c>
      <c r="I190" s="62" t="s">
        <v>81</v>
      </c>
      <c r="J190" s="64" t="n">
        <v>0</v>
      </c>
      <c r="K190" s="62" t="s">
        <v>138</v>
      </c>
      <c r="L190" s="68" t="b">
        <f aca="false">TRUE()</f>
        <v>1</v>
      </c>
    </row>
    <row r="191" customFormat="false" ht="15" hidden="false" customHeight="false" outlineLevel="0" collapsed="false">
      <c r="A191" s="62" t="n">
        <v>0</v>
      </c>
      <c r="B191" s="21" t="s">
        <v>336</v>
      </c>
      <c r="C191" s="62" t="s">
        <v>60</v>
      </c>
      <c r="D191" s="62" t="s">
        <v>381</v>
      </c>
      <c r="E191" s="62" t="s">
        <v>105</v>
      </c>
      <c r="F191" s="62" t="s">
        <v>382</v>
      </c>
      <c r="G191" s="63" t="s">
        <v>288</v>
      </c>
      <c r="H191" s="64" t="n">
        <v>1262287763.91047</v>
      </c>
      <c r="I191" s="62" t="s">
        <v>81</v>
      </c>
      <c r="J191" s="64" t="n">
        <v>1262287.76391047</v>
      </c>
      <c r="K191" s="62" t="s">
        <v>138</v>
      </c>
      <c r="L191" s="68" t="b">
        <f aca="false">TRUE()</f>
        <v>1</v>
      </c>
    </row>
    <row r="192" customFormat="false" ht="15" hidden="false" customHeight="false" outlineLevel="0" collapsed="false">
      <c r="A192" s="62" t="n">
        <v>0</v>
      </c>
      <c r="B192" s="21" t="s">
        <v>336</v>
      </c>
      <c r="C192" s="62" t="s">
        <v>60</v>
      </c>
      <c r="D192" s="62" t="s">
        <v>383</v>
      </c>
      <c r="E192" s="62" t="s">
        <v>105</v>
      </c>
      <c r="F192" s="62" t="s">
        <v>382</v>
      </c>
      <c r="G192" s="63" t="s">
        <v>288</v>
      </c>
      <c r="H192" s="64" t="n">
        <v>1262287763.91047</v>
      </c>
      <c r="I192" s="62" t="s">
        <v>81</v>
      </c>
      <c r="J192" s="64" t="n">
        <v>1262287.76391047</v>
      </c>
      <c r="K192" s="62" t="s">
        <v>138</v>
      </c>
      <c r="L192" s="68" t="b">
        <f aca="false">TRUE()</f>
        <v>1</v>
      </c>
    </row>
    <row r="193" customFormat="false" ht="15" hidden="false" customHeight="false" outlineLevel="0" collapsed="false">
      <c r="A193" s="62" t="n">
        <v>0</v>
      </c>
      <c r="B193" s="21" t="s">
        <v>336</v>
      </c>
      <c r="C193" s="62" t="s">
        <v>60</v>
      </c>
      <c r="D193" s="62" t="s">
        <v>384</v>
      </c>
      <c r="E193" s="62" t="s">
        <v>105</v>
      </c>
      <c r="F193" s="62" t="s">
        <v>382</v>
      </c>
      <c r="G193" s="63" t="s">
        <v>288</v>
      </c>
      <c r="H193" s="64" t="n">
        <v>1262287763.91047</v>
      </c>
      <c r="I193" s="62" t="s">
        <v>81</v>
      </c>
      <c r="J193" s="64" t="n">
        <v>1262287.76391047</v>
      </c>
      <c r="K193" s="62" t="s">
        <v>138</v>
      </c>
      <c r="L193" s="68" t="b">
        <f aca="false">TRUE()</f>
        <v>1</v>
      </c>
    </row>
    <row r="194" customFormat="false" ht="15" hidden="false" customHeight="false" outlineLevel="0" collapsed="false">
      <c r="A194" s="62" t="n">
        <v>0</v>
      </c>
      <c r="B194" s="21" t="s">
        <v>336</v>
      </c>
      <c r="C194" s="62" t="s">
        <v>60</v>
      </c>
      <c r="D194" s="62" t="s">
        <v>385</v>
      </c>
      <c r="E194" s="62" t="s">
        <v>105</v>
      </c>
      <c r="F194" s="62" t="s">
        <v>382</v>
      </c>
      <c r="G194" s="63" t="s">
        <v>288</v>
      </c>
      <c r="H194" s="64" t="n">
        <v>1262287763.91047</v>
      </c>
      <c r="I194" s="62" t="s">
        <v>81</v>
      </c>
      <c r="J194" s="64" t="n">
        <v>1262287.76391047</v>
      </c>
      <c r="K194" s="62" t="s">
        <v>138</v>
      </c>
      <c r="L194" s="68" t="b">
        <f aca="false">TRUE()</f>
        <v>1</v>
      </c>
    </row>
    <row r="195" customFormat="false" ht="15" hidden="false" customHeight="false" outlineLevel="0" collapsed="false">
      <c r="A195" s="62" t="n">
        <v>0</v>
      </c>
      <c r="B195" s="21" t="s">
        <v>336</v>
      </c>
      <c r="C195" s="62" t="s">
        <v>60</v>
      </c>
      <c r="D195" s="62" t="s">
        <v>386</v>
      </c>
      <c r="E195" s="62" t="s">
        <v>105</v>
      </c>
      <c r="F195" s="62" t="s">
        <v>382</v>
      </c>
      <c r="G195" s="63" t="s">
        <v>288</v>
      </c>
      <c r="H195" s="64" t="n">
        <v>1262287763.91047</v>
      </c>
      <c r="I195" s="62" t="s">
        <v>81</v>
      </c>
      <c r="J195" s="64" t="n">
        <v>1262287.76391047</v>
      </c>
      <c r="K195" s="62" t="s">
        <v>138</v>
      </c>
      <c r="L195" s="68" t="b">
        <f aca="false">TRUE()</f>
        <v>1</v>
      </c>
    </row>
    <row r="196" customFormat="false" ht="15" hidden="false" customHeight="false" outlineLevel="0" collapsed="false">
      <c r="A196" s="62" t="n">
        <v>0</v>
      </c>
      <c r="B196" s="21" t="s">
        <v>336</v>
      </c>
      <c r="C196" s="62" t="s">
        <v>60</v>
      </c>
      <c r="D196" s="62" t="s">
        <v>387</v>
      </c>
      <c r="E196" s="62" t="s">
        <v>105</v>
      </c>
      <c r="F196" s="62" t="s">
        <v>382</v>
      </c>
      <c r="G196" s="63" t="s">
        <v>288</v>
      </c>
      <c r="H196" s="64" t="n">
        <v>1262287763.91047</v>
      </c>
      <c r="I196" s="62" t="s">
        <v>81</v>
      </c>
      <c r="J196" s="64" t="n">
        <v>1262287.76391047</v>
      </c>
      <c r="K196" s="62" t="s">
        <v>138</v>
      </c>
      <c r="L196" s="68" t="b">
        <f aca="false">TRUE()</f>
        <v>1</v>
      </c>
    </row>
    <row r="197" customFormat="false" ht="15" hidden="false" customHeight="false" outlineLevel="0" collapsed="false">
      <c r="A197" s="62" t="n">
        <v>0</v>
      </c>
      <c r="B197" s="21" t="s">
        <v>336</v>
      </c>
      <c r="C197" s="62" t="s">
        <v>60</v>
      </c>
      <c r="D197" s="62" t="s">
        <v>388</v>
      </c>
      <c r="E197" s="62" t="s">
        <v>105</v>
      </c>
      <c r="F197" s="62" t="s">
        <v>382</v>
      </c>
      <c r="G197" s="63" t="s">
        <v>288</v>
      </c>
      <c r="H197" s="64" t="n">
        <v>1262287763.91047</v>
      </c>
      <c r="I197" s="62" t="s">
        <v>81</v>
      </c>
      <c r="J197" s="64" t="n">
        <v>1262287.76391047</v>
      </c>
      <c r="K197" s="62" t="s">
        <v>138</v>
      </c>
      <c r="L197" s="68" t="b">
        <f aca="false">TRUE()</f>
        <v>1</v>
      </c>
    </row>
    <row r="198" customFormat="false" ht="15" hidden="false" customHeight="false" outlineLevel="0" collapsed="false">
      <c r="A198" s="62" t="n">
        <v>0</v>
      </c>
      <c r="B198" s="21" t="s">
        <v>336</v>
      </c>
      <c r="C198" s="62" t="s">
        <v>60</v>
      </c>
      <c r="D198" s="62" t="s">
        <v>381</v>
      </c>
      <c r="E198" s="62" t="s">
        <v>105</v>
      </c>
      <c r="F198" s="62" t="s">
        <v>382</v>
      </c>
      <c r="G198" s="63" t="s">
        <v>289</v>
      </c>
      <c r="H198" s="64" t="n">
        <v>13162287763.9105</v>
      </c>
      <c r="I198" s="62" t="s">
        <v>81</v>
      </c>
      <c r="J198" s="64" t="n">
        <v>13162287.7639105</v>
      </c>
      <c r="K198" s="62" t="s">
        <v>138</v>
      </c>
      <c r="L198" s="68" t="b">
        <f aca="false">TRUE()</f>
        <v>1</v>
      </c>
    </row>
    <row r="199" customFormat="false" ht="15" hidden="false" customHeight="false" outlineLevel="0" collapsed="false">
      <c r="A199" s="62" t="n">
        <v>0</v>
      </c>
      <c r="B199" s="21" t="s">
        <v>336</v>
      </c>
      <c r="C199" s="62" t="s">
        <v>60</v>
      </c>
      <c r="D199" s="62" t="s">
        <v>383</v>
      </c>
      <c r="E199" s="62" t="s">
        <v>105</v>
      </c>
      <c r="F199" s="62" t="s">
        <v>382</v>
      </c>
      <c r="G199" s="63" t="s">
        <v>289</v>
      </c>
      <c r="H199" s="64" t="n">
        <v>13162287763.9105</v>
      </c>
      <c r="I199" s="62" t="s">
        <v>81</v>
      </c>
      <c r="J199" s="64" t="n">
        <v>13162287.7639105</v>
      </c>
      <c r="K199" s="62" t="s">
        <v>138</v>
      </c>
      <c r="L199" s="68" t="b">
        <f aca="false">TRUE()</f>
        <v>1</v>
      </c>
    </row>
    <row r="200" customFormat="false" ht="15" hidden="false" customHeight="false" outlineLevel="0" collapsed="false">
      <c r="A200" s="62" t="n">
        <v>0</v>
      </c>
      <c r="B200" s="21" t="s">
        <v>336</v>
      </c>
      <c r="C200" s="62" t="s">
        <v>60</v>
      </c>
      <c r="D200" s="62" t="s">
        <v>384</v>
      </c>
      <c r="E200" s="62" t="s">
        <v>105</v>
      </c>
      <c r="F200" s="62" t="s">
        <v>382</v>
      </c>
      <c r="G200" s="63" t="s">
        <v>289</v>
      </c>
      <c r="H200" s="64" t="n">
        <v>13162287763.9105</v>
      </c>
      <c r="I200" s="62" t="s">
        <v>81</v>
      </c>
      <c r="J200" s="64" t="n">
        <v>13162287.7639105</v>
      </c>
      <c r="K200" s="62" t="s">
        <v>138</v>
      </c>
      <c r="L200" s="68" t="b">
        <f aca="false">TRUE()</f>
        <v>1</v>
      </c>
    </row>
    <row r="201" customFormat="false" ht="15" hidden="false" customHeight="false" outlineLevel="0" collapsed="false">
      <c r="A201" s="62" t="n">
        <v>0</v>
      </c>
      <c r="B201" s="21" t="s">
        <v>336</v>
      </c>
      <c r="C201" s="62" t="s">
        <v>60</v>
      </c>
      <c r="D201" s="62" t="s">
        <v>385</v>
      </c>
      <c r="E201" s="62" t="s">
        <v>105</v>
      </c>
      <c r="F201" s="62" t="s">
        <v>382</v>
      </c>
      <c r="G201" s="63" t="s">
        <v>289</v>
      </c>
      <c r="H201" s="64" t="n">
        <v>13162287763.9105</v>
      </c>
      <c r="I201" s="62" t="s">
        <v>81</v>
      </c>
      <c r="J201" s="64" t="n">
        <v>13162287.7639105</v>
      </c>
      <c r="K201" s="62" t="s">
        <v>138</v>
      </c>
      <c r="L201" s="68" t="b">
        <f aca="false">TRUE()</f>
        <v>1</v>
      </c>
    </row>
    <row r="202" customFormat="false" ht="15" hidden="false" customHeight="false" outlineLevel="0" collapsed="false">
      <c r="A202" s="62" t="n">
        <v>0</v>
      </c>
      <c r="B202" s="21" t="s">
        <v>336</v>
      </c>
      <c r="C202" s="62" t="s">
        <v>60</v>
      </c>
      <c r="D202" s="62" t="s">
        <v>386</v>
      </c>
      <c r="E202" s="62" t="s">
        <v>105</v>
      </c>
      <c r="F202" s="62" t="s">
        <v>382</v>
      </c>
      <c r="G202" s="63" t="s">
        <v>289</v>
      </c>
      <c r="H202" s="64" t="n">
        <v>13162287763.9105</v>
      </c>
      <c r="I202" s="62" t="s">
        <v>81</v>
      </c>
      <c r="J202" s="64" t="n">
        <v>13162287.7639105</v>
      </c>
      <c r="K202" s="62" t="s">
        <v>138</v>
      </c>
      <c r="L202" s="68" t="b">
        <f aca="false">TRUE()</f>
        <v>1</v>
      </c>
    </row>
    <row r="203" customFormat="false" ht="15" hidden="false" customHeight="false" outlineLevel="0" collapsed="false">
      <c r="A203" s="62" t="n">
        <v>0</v>
      </c>
      <c r="B203" s="21" t="s">
        <v>336</v>
      </c>
      <c r="C203" s="62" t="s">
        <v>60</v>
      </c>
      <c r="D203" s="62" t="s">
        <v>387</v>
      </c>
      <c r="E203" s="62" t="s">
        <v>105</v>
      </c>
      <c r="F203" s="62" t="s">
        <v>382</v>
      </c>
      <c r="G203" s="63" t="s">
        <v>289</v>
      </c>
      <c r="H203" s="64" t="n">
        <v>13162287763.9105</v>
      </c>
      <c r="I203" s="62" t="s">
        <v>81</v>
      </c>
      <c r="J203" s="64" t="n">
        <v>13162287.7639105</v>
      </c>
      <c r="K203" s="62" t="s">
        <v>138</v>
      </c>
      <c r="L203" s="68" t="b">
        <f aca="false">TRUE()</f>
        <v>1</v>
      </c>
    </row>
    <row r="204" customFormat="false" ht="15" hidden="false" customHeight="false" outlineLevel="0" collapsed="false">
      <c r="A204" s="62" t="n">
        <v>0</v>
      </c>
      <c r="B204" s="21" t="s">
        <v>336</v>
      </c>
      <c r="C204" s="62" t="s">
        <v>60</v>
      </c>
      <c r="D204" s="62" t="s">
        <v>388</v>
      </c>
      <c r="E204" s="62" t="s">
        <v>105</v>
      </c>
      <c r="F204" s="62" t="s">
        <v>382</v>
      </c>
      <c r="G204" s="63" t="s">
        <v>289</v>
      </c>
      <c r="H204" s="64" t="n">
        <v>13162287763.9105</v>
      </c>
      <c r="I204" s="62" t="s">
        <v>81</v>
      </c>
      <c r="J204" s="64" t="n">
        <v>13162287.7639105</v>
      </c>
      <c r="K204" s="62" t="s">
        <v>138</v>
      </c>
      <c r="L204" s="68" t="b">
        <f aca="false">TRUE()</f>
        <v>1</v>
      </c>
    </row>
    <row r="205" customFormat="false" ht="15" hidden="false" customHeight="false" outlineLevel="0" collapsed="false">
      <c r="A205" s="62" t="n">
        <v>0</v>
      </c>
      <c r="B205" s="21" t="s">
        <v>336</v>
      </c>
      <c r="C205" s="62" t="s">
        <v>60</v>
      </c>
      <c r="D205" s="62" t="s">
        <v>381</v>
      </c>
      <c r="E205" s="62" t="s">
        <v>105</v>
      </c>
      <c r="F205" s="62" t="s">
        <v>382</v>
      </c>
      <c r="G205" s="63" t="s">
        <v>399</v>
      </c>
      <c r="H205" s="64" t="n">
        <v>23165849747.8053</v>
      </c>
      <c r="I205" s="62" t="s">
        <v>81</v>
      </c>
      <c r="J205" s="64" t="n">
        <v>23165849.7478053</v>
      </c>
      <c r="K205" s="62" t="s">
        <v>138</v>
      </c>
      <c r="L205" s="68" t="b">
        <f aca="false">TRUE()</f>
        <v>1</v>
      </c>
    </row>
    <row r="206" customFormat="false" ht="15" hidden="false" customHeight="false" outlineLevel="0" collapsed="false">
      <c r="A206" s="62" t="n">
        <v>0</v>
      </c>
      <c r="B206" s="21" t="s">
        <v>336</v>
      </c>
      <c r="C206" s="62" t="s">
        <v>60</v>
      </c>
      <c r="D206" s="62" t="s">
        <v>383</v>
      </c>
      <c r="E206" s="62" t="s">
        <v>105</v>
      </c>
      <c r="F206" s="62" t="s">
        <v>382</v>
      </c>
      <c r="G206" s="63" t="s">
        <v>399</v>
      </c>
      <c r="H206" s="64" t="n">
        <v>23165849747.8053</v>
      </c>
      <c r="I206" s="62" t="s">
        <v>81</v>
      </c>
      <c r="J206" s="64" t="n">
        <v>23165849.7478053</v>
      </c>
      <c r="K206" s="62" t="s">
        <v>138</v>
      </c>
      <c r="L206" s="68" t="b">
        <f aca="false">TRUE()</f>
        <v>1</v>
      </c>
    </row>
    <row r="207" customFormat="false" ht="15" hidden="false" customHeight="false" outlineLevel="0" collapsed="false">
      <c r="A207" s="62" t="n">
        <v>0</v>
      </c>
      <c r="B207" s="21" t="s">
        <v>336</v>
      </c>
      <c r="C207" s="62" t="s">
        <v>60</v>
      </c>
      <c r="D207" s="62" t="s">
        <v>384</v>
      </c>
      <c r="E207" s="62" t="s">
        <v>105</v>
      </c>
      <c r="F207" s="62" t="s">
        <v>382</v>
      </c>
      <c r="G207" s="63" t="s">
        <v>399</v>
      </c>
      <c r="H207" s="64" t="n">
        <v>23165849747.8053</v>
      </c>
      <c r="I207" s="62" t="s">
        <v>81</v>
      </c>
      <c r="J207" s="64" t="n">
        <v>23165849.7478053</v>
      </c>
      <c r="K207" s="62" t="s">
        <v>138</v>
      </c>
      <c r="L207" s="68" t="b">
        <f aca="false">TRUE()</f>
        <v>1</v>
      </c>
    </row>
    <row r="208" customFormat="false" ht="15" hidden="false" customHeight="false" outlineLevel="0" collapsed="false">
      <c r="A208" s="62" t="n">
        <v>0</v>
      </c>
      <c r="B208" s="21" t="s">
        <v>336</v>
      </c>
      <c r="C208" s="62" t="s">
        <v>60</v>
      </c>
      <c r="D208" s="62" t="s">
        <v>385</v>
      </c>
      <c r="E208" s="62" t="s">
        <v>105</v>
      </c>
      <c r="F208" s="62" t="s">
        <v>382</v>
      </c>
      <c r="G208" s="63" t="s">
        <v>399</v>
      </c>
      <c r="H208" s="64" t="n">
        <v>23165849747.8053</v>
      </c>
      <c r="I208" s="62" t="s">
        <v>81</v>
      </c>
      <c r="J208" s="64" t="n">
        <v>23165849.7478053</v>
      </c>
      <c r="K208" s="62" t="s">
        <v>138</v>
      </c>
      <c r="L208" s="68" t="b">
        <f aca="false">TRUE()</f>
        <v>1</v>
      </c>
    </row>
    <row r="209" customFormat="false" ht="15" hidden="false" customHeight="false" outlineLevel="0" collapsed="false">
      <c r="A209" s="62" t="n">
        <v>0</v>
      </c>
      <c r="B209" s="21" t="s">
        <v>336</v>
      </c>
      <c r="C209" s="62" t="s">
        <v>60</v>
      </c>
      <c r="D209" s="62" t="s">
        <v>386</v>
      </c>
      <c r="E209" s="62" t="s">
        <v>105</v>
      </c>
      <c r="F209" s="62" t="s">
        <v>382</v>
      </c>
      <c r="G209" s="63" t="s">
        <v>399</v>
      </c>
      <c r="H209" s="64" t="n">
        <v>23165849747.8053</v>
      </c>
      <c r="I209" s="62" t="s">
        <v>81</v>
      </c>
      <c r="J209" s="64" t="n">
        <v>23165849.7478053</v>
      </c>
      <c r="K209" s="62" t="s">
        <v>138</v>
      </c>
      <c r="L209" s="68" t="b">
        <f aca="false">TRUE()</f>
        <v>1</v>
      </c>
    </row>
    <row r="210" customFormat="false" ht="15" hidden="false" customHeight="false" outlineLevel="0" collapsed="false">
      <c r="A210" s="62" t="n">
        <v>0</v>
      </c>
      <c r="B210" s="21" t="s">
        <v>336</v>
      </c>
      <c r="C210" s="62" t="s">
        <v>60</v>
      </c>
      <c r="D210" s="62" t="s">
        <v>387</v>
      </c>
      <c r="E210" s="62" t="s">
        <v>105</v>
      </c>
      <c r="F210" s="62" t="s">
        <v>382</v>
      </c>
      <c r="G210" s="63" t="s">
        <v>399</v>
      </c>
      <c r="H210" s="64" t="n">
        <v>23165849747.8053</v>
      </c>
      <c r="I210" s="62" t="s">
        <v>81</v>
      </c>
      <c r="J210" s="64" t="n">
        <v>23165849.7478053</v>
      </c>
      <c r="K210" s="62" t="s">
        <v>138</v>
      </c>
      <c r="L210" s="68" t="b">
        <f aca="false">TRUE()</f>
        <v>1</v>
      </c>
    </row>
    <row r="211" customFormat="false" ht="15" hidden="false" customHeight="false" outlineLevel="0" collapsed="false">
      <c r="A211" s="62" t="n">
        <v>0</v>
      </c>
      <c r="B211" s="21" t="s">
        <v>336</v>
      </c>
      <c r="C211" s="62" t="s">
        <v>60</v>
      </c>
      <c r="D211" s="62" t="s">
        <v>388</v>
      </c>
      <c r="E211" s="62" t="s">
        <v>105</v>
      </c>
      <c r="F211" s="62" t="s">
        <v>382</v>
      </c>
      <c r="G211" s="63" t="s">
        <v>399</v>
      </c>
      <c r="H211" s="64" t="n">
        <v>23165849747.8053</v>
      </c>
      <c r="I211" s="62" t="s">
        <v>81</v>
      </c>
      <c r="J211" s="64" t="n">
        <v>23165849.7478053</v>
      </c>
      <c r="K211" s="62" t="s">
        <v>138</v>
      </c>
      <c r="L211" s="68" t="b">
        <f aca="false">TRUE()</f>
        <v>1</v>
      </c>
    </row>
    <row r="212" customFormat="false" ht="15" hidden="false" customHeight="false" outlineLevel="0" collapsed="false">
      <c r="A212" s="62" t="n">
        <v>0</v>
      </c>
      <c r="B212" s="21" t="s">
        <v>336</v>
      </c>
      <c r="C212" s="62" t="s">
        <v>60</v>
      </c>
      <c r="D212" s="62" t="s">
        <v>381</v>
      </c>
      <c r="E212" s="62" t="s">
        <v>67</v>
      </c>
      <c r="F212" s="62" t="s">
        <v>382</v>
      </c>
      <c r="G212" s="63" t="s">
        <v>400</v>
      </c>
      <c r="H212" s="64" t="n">
        <v>13412500000</v>
      </c>
      <c r="I212" s="62" t="s">
        <v>81</v>
      </c>
      <c r="J212" s="64" t="n">
        <v>13412500</v>
      </c>
      <c r="K212" s="62" t="s">
        <v>138</v>
      </c>
      <c r="L212" s="68" t="b">
        <f aca="false">TRUE()</f>
        <v>1</v>
      </c>
    </row>
    <row r="213" customFormat="false" ht="15" hidden="false" customHeight="false" outlineLevel="0" collapsed="false">
      <c r="A213" s="62" t="n">
        <v>0</v>
      </c>
      <c r="B213" s="21" t="s">
        <v>336</v>
      </c>
      <c r="C213" s="62" t="s">
        <v>60</v>
      </c>
      <c r="D213" s="62" t="s">
        <v>383</v>
      </c>
      <c r="E213" s="62" t="s">
        <v>67</v>
      </c>
      <c r="F213" s="62" t="s">
        <v>382</v>
      </c>
      <c r="G213" s="63" t="s">
        <v>400</v>
      </c>
      <c r="H213" s="64" t="n">
        <v>13412500000</v>
      </c>
      <c r="I213" s="62" t="s">
        <v>81</v>
      </c>
      <c r="J213" s="64" t="n">
        <v>13412500</v>
      </c>
      <c r="K213" s="62" t="s">
        <v>138</v>
      </c>
      <c r="L213" s="68" t="b">
        <f aca="false">TRUE()</f>
        <v>1</v>
      </c>
    </row>
    <row r="214" customFormat="false" ht="15" hidden="false" customHeight="false" outlineLevel="0" collapsed="false">
      <c r="A214" s="62" t="n">
        <v>0</v>
      </c>
      <c r="B214" s="21" t="s">
        <v>336</v>
      </c>
      <c r="C214" s="62" t="s">
        <v>60</v>
      </c>
      <c r="D214" s="62" t="s">
        <v>384</v>
      </c>
      <c r="E214" s="62" t="s">
        <v>67</v>
      </c>
      <c r="F214" s="62" t="s">
        <v>382</v>
      </c>
      <c r="G214" s="63" t="s">
        <v>400</v>
      </c>
      <c r="H214" s="64" t="n">
        <v>13412500000</v>
      </c>
      <c r="I214" s="62" t="s">
        <v>81</v>
      </c>
      <c r="J214" s="64" t="n">
        <v>13412500</v>
      </c>
      <c r="K214" s="62" t="s">
        <v>138</v>
      </c>
      <c r="L214" s="68" t="b">
        <f aca="false">TRUE()</f>
        <v>1</v>
      </c>
    </row>
    <row r="215" customFormat="false" ht="15" hidden="false" customHeight="false" outlineLevel="0" collapsed="false">
      <c r="A215" s="62" t="n">
        <v>0</v>
      </c>
      <c r="B215" s="21" t="s">
        <v>336</v>
      </c>
      <c r="C215" s="62" t="s">
        <v>60</v>
      </c>
      <c r="D215" s="62" t="s">
        <v>385</v>
      </c>
      <c r="E215" s="62" t="s">
        <v>67</v>
      </c>
      <c r="F215" s="62" t="s">
        <v>382</v>
      </c>
      <c r="G215" s="63" t="s">
        <v>400</v>
      </c>
      <c r="H215" s="64" t="n">
        <v>13412500000</v>
      </c>
      <c r="I215" s="62" t="s">
        <v>81</v>
      </c>
      <c r="J215" s="64" t="n">
        <v>13412500</v>
      </c>
      <c r="K215" s="62" t="s">
        <v>138</v>
      </c>
      <c r="L215" s="68" t="b">
        <f aca="false">TRUE()</f>
        <v>1</v>
      </c>
    </row>
    <row r="216" customFormat="false" ht="15" hidden="false" customHeight="false" outlineLevel="0" collapsed="false">
      <c r="A216" s="62" t="n">
        <v>0</v>
      </c>
      <c r="B216" s="21" t="s">
        <v>336</v>
      </c>
      <c r="C216" s="62" t="s">
        <v>60</v>
      </c>
      <c r="D216" s="62" t="s">
        <v>386</v>
      </c>
      <c r="E216" s="62" t="s">
        <v>67</v>
      </c>
      <c r="F216" s="62" t="s">
        <v>382</v>
      </c>
      <c r="G216" s="63" t="s">
        <v>400</v>
      </c>
      <c r="H216" s="64" t="n">
        <v>13412500000</v>
      </c>
      <c r="I216" s="62" t="s">
        <v>81</v>
      </c>
      <c r="J216" s="64" t="n">
        <v>13412500</v>
      </c>
      <c r="K216" s="62" t="s">
        <v>138</v>
      </c>
      <c r="L216" s="68" t="b">
        <f aca="false">TRUE()</f>
        <v>1</v>
      </c>
    </row>
    <row r="217" customFormat="false" ht="15" hidden="false" customHeight="false" outlineLevel="0" collapsed="false">
      <c r="A217" s="62" t="n">
        <v>0</v>
      </c>
      <c r="B217" s="21" t="s">
        <v>336</v>
      </c>
      <c r="C217" s="62" t="s">
        <v>60</v>
      </c>
      <c r="D217" s="62" t="s">
        <v>387</v>
      </c>
      <c r="E217" s="62" t="s">
        <v>67</v>
      </c>
      <c r="F217" s="62" t="s">
        <v>382</v>
      </c>
      <c r="G217" s="63" t="s">
        <v>400</v>
      </c>
      <c r="H217" s="64" t="n">
        <v>13412500000</v>
      </c>
      <c r="I217" s="62" t="s">
        <v>81</v>
      </c>
      <c r="J217" s="64" t="n">
        <v>13412500</v>
      </c>
      <c r="K217" s="62" t="s">
        <v>138</v>
      </c>
      <c r="L217" s="68" t="b">
        <f aca="false">TRUE()</f>
        <v>1</v>
      </c>
    </row>
    <row r="218" customFormat="false" ht="15" hidden="false" customHeight="false" outlineLevel="0" collapsed="false">
      <c r="A218" s="62" t="n">
        <v>0</v>
      </c>
      <c r="B218" s="21" t="s">
        <v>336</v>
      </c>
      <c r="C218" s="62" t="s">
        <v>60</v>
      </c>
      <c r="D218" s="62" t="s">
        <v>388</v>
      </c>
      <c r="E218" s="62" t="s">
        <v>67</v>
      </c>
      <c r="F218" s="62" t="s">
        <v>382</v>
      </c>
      <c r="G218" s="63" t="s">
        <v>400</v>
      </c>
      <c r="H218" s="64" t="n">
        <v>13412500000</v>
      </c>
      <c r="I218" s="62" t="s">
        <v>81</v>
      </c>
      <c r="J218" s="64" t="n">
        <v>13412500</v>
      </c>
      <c r="K218" s="62" t="s">
        <v>138</v>
      </c>
      <c r="L218" s="68" t="b">
        <f aca="false">TRUE()</f>
        <v>1</v>
      </c>
    </row>
    <row r="219" customFormat="false" ht="15" hidden="false" customHeight="false" outlineLevel="0" collapsed="false">
      <c r="A219" s="62" t="n">
        <v>0</v>
      </c>
      <c r="B219" s="21" t="s">
        <v>336</v>
      </c>
      <c r="C219" s="62" t="s">
        <v>60</v>
      </c>
      <c r="D219" s="62" t="s">
        <v>381</v>
      </c>
      <c r="E219" s="62" t="s">
        <v>67</v>
      </c>
      <c r="F219" s="62" t="s">
        <v>382</v>
      </c>
      <c r="G219" s="63" t="s">
        <v>401</v>
      </c>
      <c r="H219" s="64" t="n">
        <v>9311343016.23906</v>
      </c>
      <c r="I219" s="62" t="s">
        <v>81</v>
      </c>
      <c r="J219" s="64" t="n">
        <v>9311343.01623906</v>
      </c>
      <c r="K219" s="62" t="s">
        <v>138</v>
      </c>
      <c r="L219" s="68" t="b">
        <f aca="false">TRUE()</f>
        <v>1</v>
      </c>
    </row>
    <row r="220" customFormat="false" ht="15" hidden="false" customHeight="false" outlineLevel="0" collapsed="false">
      <c r="A220" s="62" t="n">
        <v>0</v>
      </c>
      <c r="B220" s="21" t="s">
        <v>336</v>
      </c>
      <c r="C220" s="62" t="s">
        <v>60</v>
      </c>
      <c r="D220" s="62" t="s">
        <v>383</v>
      </c>
      <c r="E220" s="62" t="s">
        <v>67</v>
      </c>
      <c r="F220" s="62" t="s">
        <v>382</v>
      </c>
      <c r="G220" s="63" t="s">
        <v>401</v>
      </c>
      <c r="H220" s="64" t="n">
        <v>9311343016.23906</v>
      </c>
      <c r="I220" s="62" t="s">
        <v>81</v>
      </c>
      <c r="J220" s="64" t="n">
        <v>9311343.01623906</v>
      </c>
      <c r="K220" s="62" t="s">
        <v>138</v>
      </c>
      <c r="L220" s="68" t="b">
        <f aca="false">TRUE()</f>
        <v>1</v>
      </c>
    </row>
    <row r="221" customFormat="false" ht="15" hidden="false" customHeight="false" outlineLevel="0" collapsed="false">
      <c r="A221" s="62" t="n">
        <v>0</v>
      </c>
      <c r="B221" s="21" t="s">
        <v>336</v>
      </c>
      <c r="C221" s="62" t="s">
        <v>60</v>
      </c>
      <c r="D221" s="62" t="s">
        <v>384</v>
      </c>
      <c r="E221" s="62" t="s">
        <v>67</v>
      </c>
      <c r="F221" s="62" t="s">
        <v>382</v>
      </c>
      <c r="G221" s="63" t="s">
        <v>401</v>
      </c>
      <c r="H221" s="64" t="n">
        <v>9311343016.23906</v>
      </c>
      <c r="I221" s="62" t="s">
        <v>81</v>
      </c>
      <c r="J221" s="64" t="n">
        <v>9311343.01623906</v>
      </c>
      <c r="K221" s="62" t="s">
        <v>138</v>
      </c>
      <c r="L221" s="68" t="b">
        <f aca="false">TRUE()</f>
        <v>1</v>
      </c>
    </row>
    <row r="222" customFormat="false" ht="15" hidden="false" customHeight="false" outlineLevel="0" collapsed="false">
      <c r="A222" s="62" t="n">
        <v>0</v>
      </c>
      <c r="B222" s="21" t="s">
        <v>336</v>
      </c>
      <c r="C222" s="62" t="s">
        <v>60</v>
      </c>
      <c r="D222" s="62" t="s">
        <v>385</v>
      </c>
      <c r="E222" s="62" t="s">
        <v>67</v>
      </c>
      <c r="F222" s="62" t="s">
        <v>382</v>
      </c>
      <c r="G222" s="63" t="s">
        <v>401</v>
      </c>
      <c r="H222" s="64" t="n">
        <v>9311343016.23906</v>
      </c>
      <c r="I222" s="62" t="s">
        <v>81</v>
      </c>
      <c r="J222" s="64" t="n">
        <v>9311343.01623906</v>
      </c>
      <c r="K222" s="62" t="s">
        <v>138</v>
      </c>
      <c r="L222" s="68" t="b">
        <f aca="false">TRUE()</f>
        <v>1</v>
      </c>
    </row>
    <row r="223" customFormat="false" ht="15" hidden="false" customHeight="false" outlineLevel="0" collapsed="false">
      <c r="A223" s="62" t="n">
        <v>0</v>
      </c>
      <c r="B223" s="21" t="s">
        <v>336</v>
      </c>
      <c r="C223" s="62" t="s">
        <v>60</v>
      </c>
      <c r="D223" s="62" t="s">
        <v>386</v>
      </c>
      <c r="E223" s="62" t="s">
        <v>67</v>
      </c>
      <c r="F223" s="62" t="s">
        <v>382</v>
      </c>
      <c r="G223" s="63" t="s">
        <v>401</v>
      </c>
      <c r="H223" s="64" t="n">
        <v>9311343016.23906</v>
      </c>
      <c r="I223" s="62" t="s">
        <v>81</v>
      </c>
      <c r="J223" s="64" t="n">
        <v>9311343.01623906</v>
      </c>
      <c r="K223" s="62" t="s">
        <v>138</v>
      </c>
      <c r="L223" s="68" t="b">
        <f aca="false">TRUE()</f>
        <v>1</v>
      </c>
    </row>
    <row r="224" customFormat="false" ht="15" hidden="false" customHeight="false" outlineLevel="0" collapsed="false">
      <c r="A224" s="62" t="n">
        <v>0</v>
      </c>
      <c r="B224" s="21" t="s">
        <v>336</v>
      </c>
      <c r="C224" s="62" t="s">
        <v>60</v>
      </c>
      <c r="D224" s="62" t="s">
        <v>387</v>
      </c>
      <c r="E224" s="62" t="s">
        <v>67</v>
      </c>
      <c r="F224" s="62" t="s">
        <v>382</v>
      </c>
      <c r="G224" s="63" t="s">
        <v>401</v>
      </c>
      <c r="H224" s="64" t="n">
        <v>9311343016.23906</v>
      </c>
      <c r="I224" s="62" t="s">
        <v>81</v>
      </c>
      <c r="J224" s="64" t="n">
        <v>9311343.01623906</v>
      </c>
      <c r="K224" s="62" t="s">
        <v>138</v>
      </c>
      <c r="L224" s="68" t="b">
        <f aca="false">TRUE()</f>
        <v>1</v>
      </c>
    </row>
    <row r="225" customFormat="false" ht="15" hidden="false" customHeight="false" outlineLevel="0" collapsed="false">
      <c r="A225" s="62" t="n">
        <v>0</v>
      </c>
      <c r="B225" s="21" t="s">
        <v>336</v>
      </c>
      <c r="C225" s="62" t="s">
        <v>60</v>
      </c>
      <c r="D225" s="62" t="s">
        <v>388</v>
      </c>
      <c r="E225" s="62" t="s">
        <v>67</v>
      </c>
      <c r="F225" s="62" t="s">
        <v>382</v>
      </c>
      <c r="G225" s="63" t="s">
        <v>401</v>
      </c>
      <c r="H225" s="64" t="n">
        <v>9311343016.23906</v>
      </c>
      <c r="I225" s="62" t="s">
        <v>81</v>
      </c>
      <c r="J225" s="64" t="n">
        <v>9311343.01623906</v>
      </c>
      <c r="K225" s="62" t="s">
        <v>138</v>
      </c>
      <c r="L225" s="68" t="b">
        <f aca="false">TRUE()</f>
        <v>1</v>
      </c>
    </row>
    <row r="226" customFormat="false" ht="15" hidden="false" customHeight="false" outlineLevel="0" collapsed="false">
      <c r="A226" s="62" t="n">
        <v>0</v>
      </c>
      <c r="B226" s="21" t="s">
        <v>336</v>
      </c>
      <c r="C226" s="62" t="s">
        <v>60</v>
      </c>
      <c r="D226" s="62" t="s">
        <v>381</v>
      </c>
      <c r="E226" s="62" t="s">
        <v>67</v>
      </c>
      <c r="F226" s="62" t="s">
        <v>382</v>
      </c>
      <c r="G226" s="63" t="s">
        <v>402</v>
      </c>
      <c r="H226" s="64" t="n">
        <v>22723843016.2391</v>
      </c>
      <c r="I226" s="62" t="s">
        <v>81</v>
      </c>
      <c r="J226" s="64" t="n">
        <v>22723843.0162391</v>
      </c>
      <c r="K226" s="62" t="s">
        <v>138</v>
      </c>
      <c r="L226" s="68" t="b">
        <f aca="false">TRUE()</f>
        <v>1</v>
      </c>
    </row>
    <row r="227" customFormat="false" ht="15" hidden="false" customHeight="false" outlineLevel="0" collapsed="false">
      <c r="A227" s="62" t="n">
        <v>0</v>
      </c>
      <c r="B227" s="21" t="s">
        <v>336</v>
      </c>
      <c r="C227" s="62" t="s">
        <v>60</v>
      </c>
      <c r="D227" s="62" t="s">
        <v>383</v>
      </c>
      <c r="E227" s="62" t="s">
        <v>67</v>
      </c>
      <c r="F227" s="62" t="s">
        <v>382</v>
      </c>
      <c r="G227" s="63" t="s">
        <v>402</v>
      </c>
      <c r="H227" s="64" t="n">
        <v>22723843016.2391</v>
      </c>
      <c r="I227" s="62" t="s">
        <v>81</v>
      </c>
      <c r="J227" s="64" t="n">
        <v>22723843.0162391</v>
      </c>
      <c r="K227" s="62" t="s">
        <v>138</v>
      </c>
      <c r="L227" s="68" t="b">
        <f aca="false">TRUE()</f>
        <v>1</v>
      </c>
    </row>
    <row r="228" customFormat="false" ht="15" hidden="false" customHeight="false" outlineLevel="0" collapsed="false">
      <c r="A228" s="62" t="n">
        <v>0</v>
      </c>
      <c r="B228" s="21" t="s">
        <v>336</v>
      </c>
      <c r="C228" s="62" t="s">
        <v>60</v>
      </c>
      <c r="D228" s="62" t="s">
        <v>384</v>
      </c>
      <c r="E228" s="62" t="s">
        <v>67</v>
      </c>
      <c r="F228" s="62" t="s">
        <v>382</v>
      </c>
      <c r="G228" s="63" t="s">
        <v>402</v>
      </c>
      <c r="H228" s="64" t="n">
        <v>22723843016.2391</v>
      </c>
      <c r="I228" s="62" t="s">
        <v>81</v>
      </c>
      <c r="J228" s="64" t="n">
        <v>22723843.0162391</v>
      </c>
      <c r="K228" s="62" t="s">
        <v>138</v>
      </c>
      <c r="L228" s="68" t="b">
        <f aca="false">TRUE()</f>
        <v>1</v>
      </c>
    </row>
    <row r="229" customFormat="false" ht="15" hidden="false" customHeight="false" outlineLevel="0" collapsed="false">
      <c r="A229" s="62" t="n">
        <v>0</v>
      </c>
      <c r="B229" s="21" t="s">
        <v>336</v>
      </c>
      <c r="C229" s="62" t="s">
        <v>60</v>
      </c>
      <c r="D229" s="62" t="s">
        <v>385</v>
      </c>
      <c r="E229" s="62" t="s">
        <v>67</v>
      </c>
      <c r="F229" s="62" t="s">
        <v>382</v>
      </c>
      <c r="G229" s="63" t="s">
        <v>402</v>
      </c>
      <c r="H229" s="64" t="n">
        <v>22723843016.2391</v>
      </c>
      <c r="I229" s="62" t="s">
        <v>81</v>
      </c>
      <c r="J229" s="64" t="n">
        <v>22723843.0162391</v>
      </c>
      <c r="K229" s="62" t="s">
        <v>138</v>
      </c>
      <c r="L229" s="68" t="b">
        <f aca="false">TRUE()</f>
        <v>1</v>
      </c>
    </row>
    <row r="230" customFormat="false" ht="15" hidden="false" customHeight="false" outlineLevel="0" collapsed="false">
      <c r="A230" s="62" t="n">
        <v>0</v>
      </c>
      <c r="B230" s="21" t="s">
        <v>336</v>
      </c>
      <c r="C230" s="62" t="s">
        <v>60</v>
      </c>
      <c r="D230" s="62" t="s">
        <v>386</v>
      </c>
      <c r="E230" s="62" t="s">
        <v>67</v>
      </c>
      <c r="F230" s="62" t="s">
        <v>382</v>
      </c>
      <c r="G230" s="63" t="s">
        <v>402</v>
      </c>
      <c r="H230" s="64" t="n">
        <v>22723843016.2391</v>
      </c>
      <c r="I230" s="62" t="s">
        <v>81</v>
      </c>
      <c r="J230" s="64" t="n">
        <v>22723843.0162391</v>
      </c>
      <c r="K230" s="62" t="s">
        <v>138</v>
      </c>
      <c r="L230" s="68" t="b">
        <f aca="false">TRUE()</f>
        <v>1</v>
      </c>
    </row>
    <row r="231" customFormat="false" ht="15" hidden="false" customHeight="false" outlineLevel="0" collapsed="false">
      <c r="A231" s="62" t="n">
        <v>0</v>
      </c>
      <c r="B231" s="21" t="s">
        <v>336</v>
      </c>
      <c r="C231" s="62" t="s">
        <v>60</v>
      </c>
      <c r="D231" s="62" t="s">
        <v>387</v>
      </c>
      <c r="E231" s="62" t="s">
        <v>67</v>
      </c>
      <c r="F231" s="62" t="s">
        <v>382</v>
      </c>
      <c r="G231" s="63" t="s">
        <v>402</v>
      </c>
      <c r="H231" s="64" t="n">
        <v>22723843016.2391</v>
      </c>
      <c r="I231" s="62" t="s">
        <v>81</v>
      </c>
      <c r="J231" s="64" t="n">
        <v>22723843.0162391</v>
      </c>
      <c r="K231" s="62" t="s">
        <v>138</v>
      </c>
      <c r="L231" s="68" t="b">
        <f aca="false">TRUE()</f>
        <v>1</v>
      </c>
    </row>
    <row r="232" customFormat="false" ht="15" hidden="false" customHeight="false" outlineLevel="0" collapsed="false">
      <c r="A232" s="62" t="n">
        <v>0</v>
      </c>
      <c r="B232" s="21" t="s">
        <v>336</v>
      </c>
      <c r="C232" s="62" t="s">
        <v>60</v>
      </c>
      <c r="D232" s="62" t="s">
        <v>388</v>
      </c>
      <c r="E232" s="62" t="s">
        <v>67</v>
      </c>
      <c r="F232" s="62" t="s">
        <v>382</v>
      </c>
      <c r="G232" s="63" t="s">
        <v>402</v>
      </c>
      <c r="H232" s="64" t="n">
        <v>22723843016.2391</v>
      </c>
      <c r="I232" s="62" t="s">
        <v>81</v>
      </c>
      <c r="J232" s="64" t="n">
        <v>22723843.0162391</v>
      </c>
      <c r="K232" s="62" t="s">
        <v>138</v>
      </c>
      <c r="L232" s="68" t="b">
        <f aca="false">TRUE()</f>
        <v>1</v>
      </c>
    </row>
    <row r="233" customFormat="false" ht="15" hidden="false" customHeight="false" outlineLevel="0" collapsed="false">
      <c r="A233" s="62" t="n">
        <v>0</v>
      </c>
      <c r="B233" s="21" t="s">
        <v>336</v>
      </c>
      <c r="C233" s="62" t="s">
        <v>60</v>
      </c>
      <c r="D233" s="62" t="s">
        <v>381</v>
      </c>
      <c r="E233" s="62" t="s">
        <v>67</v>
      </c>
      <c r="F233" s="62" t="s">
        <v>382</v>
      </c>
      <c r="G233" s="63" t="s">
        <v>389</v>
      </c>
      <c r="H233" s="64" t="n">
        <v>14589061080.0992</v>
      </c>
      <c r="I233" s="62" t="s">
        <v>81</v>
      </c>
      <c r="J233" s="64" t="n">
        <v>14589061.0800992</v>
      </c>
      <c r="K233" s="62" t="s">
        <v>138</v>
      </c>
      <c r="L233" s="68" t="b">
        <f aca="false">TRUE()</f>
        <v>1</v>
      </c>
    </row>
    <row r="234" customFormat="false" ht="15" hidden="false" customHeight="false" outlineLevel="0" collapsed="false">
      <c r="A234" s="62" t="n">
        <v>0</v>
      </c>
      <c r="B234" s="21" t="s">
        <v>336</v>
      </c>
      <c r="C234" s="62" t="s">
        <v>60</v>
      </c>
      <c r="D234" s="62" t="s">
        <v>383</v>
      </c>
      <c r="E234" s="62" t="s">
        <v>67</v>
      </c>
      <c r="F234" s="62" t="s">
        <v>382</v>
      </c>
      <c r="G234" s="63" t="s">
        <v>389</v>
      </c>
      <c r="H234" s="64" t="n">
        <v>14589061080.0992</v>
      </c>
      <c r="I234" s="62" t="s">
        <v>81</v>
      </c>
      <c r="J234" s="64" t="n">
        <v>14589061.0800992</v>
      </c>
      <c r="K234" s="62" t="s">
        <v>138</v>
      </c>
      <c r="L234" s="68" t="b">
        <f aca="false">TRUE()</f>
        <v>1</v>
      </c>
    </row>
    <row r="235" customFormat="false" ht="15" hidden="false" customHeight="false" outlineLevel="0" collapsed="false">
      <c r="A235" s="62" t="n">
        <v>0</v>
      </c>
      <c r="B235" s="21" t="s">
        <v>336</v>
      </c>
      <c r="C235" s="62" t="s">
        <v>60</v>
      </c>
      <c r="D235" s="62" t="s">
        <v>384</v>
      </c>
      <c r="E235" s="62" t="s">
        <v>67</v>
      </c>
      <c r="F235" s="62" t="s">
        <v>382</v>
      </c>
      <c r="G235" s="63" t="s">
        <v>389</v>
      </c>
      <c r="H235" s="64" t="n">
        <v>14589061080.0992</v>
      </c>
      <c r="I235" s="62" t="s">
        <v>81</v>
      </c>
      <c r="J235" s="64" t="n">
        <v>14589061.0800992</v>
      </c>
      <c r="K235" s="62" t="s">
        <v>138</v>
      </c>
      <c r="L235" s="68" t="b">
        <f aca="false">TRUE()</f>
        <v>1</v>
      </c>
    </row>
    <row r="236" customFormat="false" ht="15" hidden="false" customHeight="false" outlineLevel="0" collapsed="false">
      <c r="A236" s="62" t="n">
        <v>0</v>
      </c>
      <c r="B236" s="21" t="s">
        <v>336</v>
      </c>
      <c r="C236" s="62" t="s">
        <v>60</v>
      </c>
      <c r="D236" s="62" t="s">
        <v>385</v>
      </c>
      <c r="E236" s="62" t="s">
        <v>67</v>
      </c>
      <c r="F236" s="62" t="s">
        <v>382</v>
      </c>
      <c r="G236" s="63" t="s">
        <v>389</v>
      </c>
      <c r="H236" s="64" t="n">
        <v>14589061080.0992</v>
      </c>
      <c r="I236" s="62" t="s">
        <v>81</v>
      </c>
      <c r="J236" s="64" t="n">
        <v>14589061.0800992</v>
      </c>
      <c r="K236" s="62" t="s">
        <v>138</v>
      </c>
      <c r="L236" s="68" t="b">
        <f aca="false">TRUE()</f>
        <v>1</v>
      </c>
    </row>
    <row r="237" customFormat="false" ht="15" hidden="false" customHeight="false" outlineLevel="0" collapsed="false">
      <c r="A237" s="62" t="n">
        <v>0</v>
      </c>
      <c r="B237" s="21" t="s">
        <v>336</v>
      </c>
      <c r="C237" s="62" t="s">
        <v>60</v>
      </c>
      <c r="D237" s="62" t="s">
        <v>386</v>
      </c>
      <c r="E237" s="62" t="s">
        <v>67</v>
      </c>
      <c r="F237" s="62" t="s">
        <v>382</v>
      </c>
      <c r="G237" s="63" t="s">
        <v>389</v>
      </c>
      <c r="H237" s="64" t="n">
        <v>14589061080.0992</v>
      </c>
      <c r="I237" s="62" t="s">
        <v>81</v>
      </c>
      <c r="J237" s="64" t="n">
        <v>14589061.0800992</v>
      </c>
      <c r="K237" s="62" t="s">
        <v>138</v>
      </c>
      <c r="L237" s="68" t="b">
        <f aca="false">TRUE()</f>
        <v>1</v>
      </c>
    </row>
    <row r="238" customFormat="false" ht="15" hidden="false" customHeight="false" outlineLevel="0" collapsed="false">
      <c r="A238" s="62" t="n">
        <v>0</v>
      </c>
      <c r="B238" s="21" t="s">
        <v>336</v>
      </c>
      <c r="C238" s="62" t="s">
        <v>60</v>
      </c>
      <c r="D238" s="62" t="s">
        <v>387</v>
      </c>
      <c r="E238" s="62" t="s">
        <v>67</v>
      </c>
      <c r="F238" s="62" t="s">
        <v>382</v>
      </c>
      <c r="G238" s="63" t="s">
        <v>389</v>
      </c>
      <c r="H238" s="64" t="n">
        <v>14589061080.0992</v>
      </c>
      <c r="I238" s="62" t="s">
        <v>81</v>
      </c>
      <c r="J238" s="64" t="n">
        <v>14589061.0800992</v>
      </c>
      <c r="K238" s="62" t="s">
        <v>138</v>
      </c>
      <c r="L238" s="68" t="b">
        <f aca="false">TRUE()</f>
        <v>1</v>
      </c>
    </row>
    <row r="239" customFormat="false" ht="15" hidden="false" customHeight="false" outlineLevel="0" collapsed="false">
      <c r="A239" s="62" t="n">
        <v>0</v>
      </c>
      <c r="B239" s="21" t="s">
        <v>336</v>
      </c>
      <c r="C239" s="62" t="s">
        <v>60</v>
      </c>
      <c r="D239" s="62" t="s">
        <v>388</v>
      </c>
      <c r="E239" s="62" t="s">
        <v>67</v>
      </c>
      <c r="F239" s="62" t="s">
        <v>382</v>
      </c>
      <c r="G239" s="63" t="s">
        <v>389</v>
      </c>
      <c r="H239" s="64" t="n">
        <v>14589061080.0992</v>
      </c>
      <c r="I239" s="62" t="s">
        <v>81</v>
      </c>
      <c r="J239" s="64" t="n">
        <v>14589061.0800992</v>
      </c>
      <c r="K239" s="62" t="s">
        <v>138</v>
      </c>
      <c r="L239" s="68" t="b">
        <f aca="false">TRUE()</f>
        <v>1</v>
      </c>
    </row>
    <row r="240" customFormat="false" ht="15" hidden="false" customHeight="false" outlineLevel="0" collapsed="false">
      <c r="A240" s="62" t="n">
        <v>0</v>
      </c>
      <c r="B240" s="21" t="s">
        <v>336</v>
      </c>
      <c r="C240" s="62" t="s">
        <v>60</v>
      </c>
      <c r="D240" s="62" t="s">
        <v>381</v>
      </c>
      <c r="E240" s="62" t="s">
        <v>67</v>
      </c>
      <c r="F240" s="62" t="s">
        <v>382</v>
      </c>
      <c r="G240" s="63" t="s">
        <v>390</v>
      </c>
      <c r="H240" s="64" t="n">
        <v>1522500000</v>
      </c>
      <c r="I240" s="62" t="s">
        <v>81</v>
      </c>
      <c r="J240" s="64" t="n">
        <v>1522500</v>
      </c>
      <c r="K240" s="62" t="s">
        <v>138</v>
      </c>
      <c r="L240" s="68" t="b">
        <f aca="false">TRUE()</f>
        <v>1</v>
      </c>
    </row>
    <row r="241" customFormat="false" ht="15" hidden="false" customHeight="false" outlineLevel="0" collapsed="false">
      <c r="A241" s="62" t="n">
        <v>0</v>
      </c>
      <c r="B241" s="21" t="s">
        <v>336</v>
      </c>
      <c r="C241" s="62" t="s">
        <v>60</v>
      </c>
      <c r="D241" s="62" t="s">
        <v>383</v>
      </c>
      <c r="E241" s="62" t="s">
        <v>67</v>
      </c>
      <c r="F241" s="62" t="s">
        <v>382</v>
      </c>
      <c r="G241" s="63" t="s">
        <v>390</v>
      </c>
      <c r="H241" s="64" t="n">
        <v>1522500000</v>
      </c>
      <c r="I241" s="62" t="s">
        <v>81</v>
      </c>
      <c r="J241" s="64" t="n">
        <v>1522500</v>
      </c>
      <c r="K241" s="62" t="s">
        <v>138</v>
      </c>
      <c r="L241" s="68" t="b">
        <f aca="false">TRUE()</f>
        <v>1</v>
      </c>
    </row>
    <row r="242" customFormat="false" ht="15" hidden="false" customHeight="false" outlineLevel="0" collapsed="false">
      <c r="A242" s="62" t="n">
        <v>0</v>
      </c>
      <c r="B242" s="21" t="s">
        <v>336</v>
      </c>
      <c r="C242" s="62" t="s">
        <v>60</v>
      </c>
      <c r="D242" s="62" t="s">
        <v>384</v>
      </c>
      <c r="E242" s="62" t="s">
        <v>67</v>
      </c>
      <c r="F242" s="62" t="s">
        <v>382</v>
      </c>
      <c r="G242" s="63" t="s">
        <v>390</v>
      </c>
      <c r="H242" s="64" t="n">
        <v>1522500000</v>
      </c>
      <c r="I242" s="62" t="s">
        <v>81</v>
      </c>
      <c r="J242" s="64" t="n">
        <v>1522500</v>
      </c>
      <c r="K242" s="62" t="s">
        <v>138</v>
      </c>
      <c r="L242" s="68" t="b">
        <f aca="false">TRUE()</f>
        <v>1</v>
      </c>
    </row>
    <row r="243" customFormat="false" ht="15" hidden="false" customHeight="false" outlineLevel="0" collapsed="false">
      <c r="A243" s="62" t="n">
        <v>0</v>
      </c>
      <c r="B243" s="21" t="s">
        <v>336</v>
      </c>
      <c r="C243" s="62" t="s">
        <v>60</v>
      </c>
      <c r="D243" s="62" t="s">
        <v>385</v>
      </c>
      <c r="E243" s="62" t="s">
        <v>67</v>
      </c>
      <c r="F243" s="62" t="s">
        <v>382</v>
      </c>
      <c r="G243" s="63" t="s">
        <v>390</v>
      </c>
      <c r="H243" s="64" t="n">
        <v>1522500000</v>
      </c>
      <c r="I243" s="62" t="s">
        <v>81</v>
      </c>
      <c r="J243" s="64" t="n">
        <v>1522500</v>
      </c>
      <c r="K243" s="62" t="s">
        <v>138</v>
      </c>
      <c r="L243" s="68" t="b">
        <f aca="false">TRUE()</f>
        <v>1</v>
      </c>
    </row>
    <row r="244" customFormat="false" ht="15" hidden="false" customHeight="false" outlineLevel="0" collapsed="false">
      <c r="A244" s="62" t="n">
        <v>0</v>
      </c>
      <c r="B244" s="21" t="s">
        <v>336</v>
      </c>
      <c r="C244" s="62" t="s">
        <v>60</v>
      </c>
      <c r="D244" s="62" t="s">
        <v>386</v>
      </c>
      <c r="E244" s="62" t="s">
        <v>67</v>
      </c>
      <c r="F244" s="62" t="s">
        <v>382</v>
      </c>
      <c r="G244" s="63" t="s">
        <v>390</v>
      </c>
      <c r="H244" s="64" t="n">
        <v>1522500000</v>
      </c>
      <c r="I244" s="62" t="s">
        <v>81</v>
      </c>
      <c r="J244" s="64" t="n">
        <v>1522500</v>
      </c>
      <c r="K244" s="62" t="s">
        <v>138</v>
      </c>
      <c r="L244" s="68" t="b">
        <f aca="false">TRUE()</f>
        <v>1</v>
      </c>
    </row>
    <row r="245" customFormat="false" ht="15" hidden="false" customHeight="false" outlineLevel="0" collapsed="false">
      <c r="A245" s="62" t="n">
        <v>0</v>
      </c>
      <c r="B245" s="21" t="s">
        <v>336</v>
      </c>
      <c r="C245" s="62" t="s">
        <v>60</v>
      </c>
      <c r="D245" s="62" t="s">
        <v>387</v>
      </c>
      <c r="E245" s="62" t="s">
        <v>67</v>
      </c>
      <c r="F245" s="62" t="s">
        <v>382</v>
      </c>
      <c r="G245" s="63" t="s">
        <v>390</v>
      </c>
      <c r="H245" s="64" t="n">
        <v>1522500000</v>
      </c>
      <c r="I245" s="62" t="s">
        <v>81</v>
      </c>
      <c r="J245" s="64" t="n">
        <v>1522500</v>
      </c>
      <c r="K245" s="62" t="s">
        <v>138</v>
      </c>
      <c r="L245" s="68" t="b">
        <f aca="false">TRUE()</f>
        <v>1</v>
      </c>
    </row>
    <row r="246" customFormat="false" ht="15" hidden="false" customHeight="false" outlineLevel="0" collapsed="false">
      <c r="A246" s="62" t="n">
        <v>0</v>
      </c>
      <c r="B246" s="21" t="s">
        <v>336</v>
      </c>
      <c r="C246" s="62" t="s">
        <v>60</v>
      </c>
      <c r="D246" s="62" t="s">
        <v>388</v>
      </c>
      <c r="E246" s="62" t="s">
        <v>67</v>
      </c>
      <c r="F246" s="62" t="s">
        <v>382</v>
      </c>
      <c r="G246" s="63" t="s">
        <v>390</v>
      </c>
      <c r="H246" s="64" t="n">
        <v>1522500000</v>
      </c>
      <c r="I246" s="62" t="s">
        <v>81</v>
      </c>
      <c r="J246" s="64" t="n">
        <v>1522500</v>
      </c>
      <c r="K246" s="62" t="s">
        <v>138</v>
      </c>
      <c r="L246" s="68" t="b">
        <f aca="false">TRUE()</f>
        <v>1</v>
      </c>
    </row>
    <row r="247" customFormat="false" ht="15" hidden="false" customHeight="false" outlineLevel="0" collapsed="false">
      <c r="A247" s="62" t="n">
        <v>0</v>
      </c>
      <c r="B247" s="21" t="s">
        <v>336</v>
      </c>
      <c r="C247" s="62" t="s">
        <v>60</v>
      </c>
      <c r="D247" s="62" t="s">
        <v>381</v>
      </c>
      <c r="E247" s="62" t="s">
        <v>67</v>
      </c>
      <c r="F247" s="62" t="s">
        <v>382</v>
      </c>
      <c r="G247" s="63" t="s">
        <v>391</v>
      </c>
      <c r="H247" s="64" t="n">
        <v>2856410222.22222</v>
      </c>
      <c r="I247" s="62" t="s">
        <v>81</v>
      </c>
      <c r="J247" s="64" t="n">
        <v>2856410.22222222</v>
      </c>
      <c r="K247" s="62" t="s">
        <v>138</v>
      </c>
      <c r="L247" s="68" t="b">
        <f aca="false">TRUE()</f>
        <v>1</v>
      </c>
    </row>
    <row r="248" customFormat="false" ht="15" hidden="false" customHeight="false" outlineLevel="0" collapsed="false">
      <c r="A248" s="62" t="n">
        <v>0</v>
      </c>
      <c r="B248" s="21" t="s">
        <v>336</v>
      </c>
      <c r="C248" s="62" t="s">
        <v>60</v>
      </c>
      <c r="D248" s="62" t="s">
        <v>383</v>
      </c>
      <c r="E248" s="62" t="s">
        <v>67</v>
      </c>
      <c r="F248" s="62" t="s">
        <v>382</v>
      </c>
      <c r="G248" s="63" t="s">
        <v>391</v>
      </c>
      <c r="H248" s="64" t="n">
        <v>2856410222.22222</v>
      </c>
      <c r="I248" s="62" t="s">
        <v>81</v>
      </c>
      <c r="J248" s="64" t="n">
        <v>2856410.22222222</v>
      </c>
      <c r="K248" s="62" t="s">
        <v>138</v>
      </c>
      <c r="L248" s="68" t="b">
        <f aca="false">TRUE()</f>
        <v>1</v>
      </c>
    </row>
    <row r="249" customFormat="false" ht="15" hidden="false" customHeight="false" outlineLevel="0" collapsed="false">
      <c r="A249" s="62" t="n">
        <v>0</v>
      </c>
      <c r="B249" s="21" t="s">
        <v>336</v>
      </c>
      <c r="C249" s="62" t="s">
        <v>60</v>
      </c>
      <c r="D249" s="62" t="s">
        <v>384</v>
      </c>
      <c r="E249" s="62" t="s">
        <v>67</v>
      </c>
      <c r="F249" s="62" t="s">
        <v>382</v>
      </c>
      <c r="G249" s="63" t="s">
        <v>391</v>
      </c>
      <c r="H249" s="64" t="n">
        <v>2856410222.22222</v>
      </c>
      <c r="I249" s="62" t="s">
        <v>81</v>
      </c>
      <c r="J249" s="64" t="n">
        <v>2856410.22222222</v>
      </c>
      <c r="K249" s="62" t="s">
        <v>138</v>
      </c>
      <c r="L249" s="68" t="b">
        <f aca="false">TRUE()</f>
        <v>1</v>
      </c>
    </row>
    <row r="250" customFormat="false" ht="15" hidden="false" customHeight="false" outlineLevel="0" collapsed="false">
      <c r="A250" s="62" t="n">
        <v>0</v>
      </c>
      <c r="B250" s="21" t="s">
        <v>336</v>
      </c>
      <c r="C250" s="62" t="s">
        <v>60</v>
      </c>
      <c r="D250" s="62" t="s">
        <v>385</v>
      </c>
      <c r="E250" s="62" t="s">
        <v>67</v>
      </c>
      <c r="F250" s="62" t="s">
        <v>382</v>
      </c>
      <c r="G250" s="63" t="s">
        <v>391</v>
      </c>
      <c r="H250" s="64" t="n">
        <v>2856410222.22222</v>
      </c>
      <c r="I250" s="62" t="s">
        <v>81</v>
      </c>
      <c r="J250" s="64" t="n">
        <v>2856410.22222222</v>
      </c>
      <c r="K250" s="62" t="s">
        <v>138</v>
      </c>
      <c r="L250" s="68" t="b">
        <f aca="false">TRUE()</f>
        <v>1</v>
      </c>
    </row>
    <row r="251" customFormat="false" ht="15" hidden="false" customHeight="false" outlineLevel="0" collapsed="false">
      <c r="A251" s="62" t="n">
        <v>0</v>
      </c>
      <c r="B251" s="21" t="s">
        <v>336</v>
      </c>
      <c r="C251" s="62" t="s">
        <v>60</v>
      </c>
      <c r="D251" s="62" t="s">
        <v>386</v>
      </c>
      <c r="E251" s="62" t="s">
        <v>67</v>
      </c>
      <c r="F251" s="62" t="s">
        <v>382</v>
      </c>
      <c r="G251" s="63" t="s">
        <v>391</v>
      </c>
      <c r="H251" s="64" t="n">
        <v>2856410222.22222</v>
      </c>
      <c r="I251" s="62" t="s">
        <v>81</v>
      </c>
      <c r="J251" s="64" t="n">
        <v>2856410.22222222</v>
      </c>
      <c r="K251" s="62" t="s">
        <v>138</v>
      </c>
      <c r="L251" s="68" t="b">
        <f aca="false">TRUE()</f>
        <v>1</v>
      </c>
    </row>
    <row r="252" customFormat="false" ht="15" hidden="false" customHeight="false" outlineLevel="0" collapsed="false">
      <c r="A252" s="62" t="n">
        <v>0</v>
      </c>
      <c r="B252" s="21" t="s">
        <v>336</v>
      </c>
      <c r="C252" s="62" t="s">
        <v>60</v>
      </c>
      <c r="D252" s="62" t="s">
        <v>387</v>
      </c>
      <c r="E252" s="62" t="s">
        <v>67</v>
      </c>
      <c r="F252" s="62" t="s">
        <v>382</v>
      </c>
      <c r="G252" s="63" t="s">
        <v>391</v>
      </c>
      <c r="H252" s="64" t="n">
        <v>2856410222.22222</v>
      </c>
      <c r="I252" s="62" t="s">
        <v>81</v>
      </c>
      <c r="J252" s="64" t="n">
        <v>2856410.22222222</v>
      </c>
      <c r="K252" s="62" t="s">
        <v>138</v>
      </c>
      <c r="L252" s="68" t="b">
        <f aca="false">TRUE()</f>
        <v>1</v>
      </c>
    </row>
    <row r="253" customFormat="false" ht="15" hidden="false" customHeight="false" outlineLevel="0" collapsed="false">
      <c r="A253" s="62" t="n">
        <v>0</v>
      </c>
      <c r="B253" s="21" t="s">
        <v>336</v>
      </c>
      <c r="C253" s="62" t="s">
        <v>60</v>
      </c>
      <c r="D253" s="62" t="s">
        <v>388</v>
      </c>
      <c r="E253" s="62" t="s">
        <v>67</v>
      </c>
      <c r="F253" s="62" t="s">
        <v>382</v>
      </c>
      <c r="G253" s="63" t="s">
        <v>391</v>
      </c>
      <c r="H253" s="64" t="n">
        <v>2856410222.22222</v>
      </c>
      <c r="I253" s="62" t="s">
        <v>81</v>
      </c>
      <c r="J253" s="64" t="n">
        <v>2856410.22222222</v>
      </c>
      <c r="K253" s="62" t="s">
        <v>138</v>
      </c>
      <c r="L253" s="68" t="b">
        <f aca="false">TRUE()</f>
        <v>1</v>
      </c>
    </row>
    <row r="254" customFormat="false" ht="15" hidden="false" customHeight="false" outlineLevel="0" collapsed="false">
      <c r="A254" s="62" t="n">
        <v>0</v>
      </c>
      <c r="B254" s="21" t="s">
        <v>336</v>
      </c>
      <c r="C254" s="62" t="s">
        <v>60</v>
      </c>
      <c r="D254" s="62" t="s">
        <v>381</v>
      </c>
      <c r="E254" s="62" t="s">
        <v>67</v>
      </c>
      <c r="F254" s="62" t="s">
        <v>382</v>
      </c>
      <c r="G254" s="63" t="s">
        <v>392</v>
      </c>
      <c r="H254" s="64" t="n">
        <v>0</v>
      </c>
      <c r="I254" s="62" t="s">
        <v>81</v>
      </c>
      <c r="J254" s="64" t="n">
        <v>0</v>
      </c>
      <c r="K254" s="62" t="s">
        <v>138</v>
      </c>
      <c r="L254" s="68" t="b">
        <f aca="false">TRUE()</f>
        <v>1</v>
      </c>
    </row>
    <row r="255" customFormat="false" ht="15" hidden="false" customHeight="false" outlineLevel="0" collapsed="false">
      <c r="A255" s="62" t="n">
        <v>0</v>
      </c>
      <c r="B255" s="21" t="s">
        <v>336</v>
      </c>
      <c r="C255" s="62" t="s">
        <v>60</v>
      </c>
      <c r="D255" s="62" t="s">
        <v>383</v>
      </c>
      <c r="E255" s="62" t="s">
        <v>67</v>
      </c>
      <c r="F255" s="62" t="s">
        <v>382</v>
      </c>
      <c r="G255" s="63" t="s">
        <v>392</v>
      </c>
      <c r="H255" s="64" t="n">
        <v>0</v>
      </c>
      <c r="I255" s="62" t="s">
        <v>81</v>
      </c>
      <c r="J255" s="64" t="n">
        <v>0</v>
      </c>
      <c r="K255" s="62" t="s">
        <v>138</v>
      </c>
      <c r="L255" s="68" t="b">
        <f aca="false">TRUE()</f>
        <v>1</v>
      </c>
    </row>
    <row r="256" customFormat="false" ht="15" hidden="false" customHeight="false" outlineLevel="0" collapsed="false">
      <c r="A256" s="62" t="n">
        <v>0</v>
      </c>
      <c r="B256" s="21" t="s">
        <v>336</v>
      </c>
      <c r="C256" s="62" t="s">
        <v>60</v>
      </c>
      <c r="D256" s="62" t="s">
        <v>384</v>
      </c>
      <c r="E256" s="62" t="s">
        <v>67</v>
      </c>
      <c r="F256" s="62" t="s">
        <v>382</v>
      </c>
      <c r="G256" s="63" t="s">
        <v>392</v>
      </c>
      <c r="H256" s="64" t="n">
        <v>0</v>
      </c>
      <c r="I256" s="62" t="s">
        <v>81</v>
      </c>
      <c r="J256" s="64" t="n">
        <v>0</v>
      </c>
      <c r="K256" s="62" t="s">
        <v>138</v>
      </c>
      <c r="L256" s="68" t="b">
        <f aca="false">TRUE()</f>
        <v>1</v>
      </c>
    </row>
    <row r="257" customFormat="false" ht="15" hidden="false" customHeight="false" outlineLevel="0" collapsed="false">
      <c r="A257" s="62" t="n">
        <v>0</v>
      </c>
      <c r="B257" s="21" t="s">
        <v>336</v>
      </c>
      <c r="C257" s="62" t="s">
        <v>60</v>
      </c>
      <c r="D257" s="62" t="s">
        <v>385</v>
      </c>
      <c r="E257" s="62" t="s">
        <v>67</v>
      </c>
      <c r="F257" s="62" t="s">
        <v>382</v>
      </c>
      <c r="G257" s="63" t="s">
        <v>392</v>
      </c>
      <c r="H257" s="64" t="n">
        <v>0</v>
      </c>
      <c r="I257" s="62" t="s">
        <v>81</v>
      </c>
      <c r="J257" s="64" t="n">
        <v>0</v>
      </c>
      <c r="K257" s="62" t="s">
        <v>138</v>
      </c>
      <c r="L257" s="68" t="b">
        <f aca="false">TRUE()</f>
        <v>1</v>
      </c>
    </row>
    <row r="258" customFormat="false" ht="15" hidden="false" customHeight="false" outlineLevel="0" collapsed="false">
      <c r="A258" s="62" t="n">
        <v>0</v>
      </c>
      <c r="B258" s="21" t="s">
        <v>336</v>
      </c>
      <c r="C258" s="62" t="s">
        <v>60</v>
      </c>
      <c r="D258" s="62" t="s">
        <v>386</v>
      </c>
      <c r="E258" s="62" t="s">
        <v>67</v>
      </c>
      <c r="F258" s="62" t="s">
        <v>382</v>
      </c>
      <c r="G258" s="63" t="s">
        <v>392</v>
      </c>
      <c r="H258" s="64" t="n">
        <v>0</v>
      </c>
      <c r="I258" s="62" t="s">
        <v>81</v>
      </c>
      <c r="J258" s="64" t="n">
        <v>0</v>
      </c>
      <c r="K258" s="62" t="s">
        <v>138</v>
      </c>
      <c r="L258" s="68" t="b">
        <f aca="false">TRUE()</f>
        <v>1</v>
      </c>
    </row>
    <row r="259" customFormat="false" ht="15" hidden="false" customHeight="false" outlineLevel="0" collapsed="false">
      <c r="A259" s="62" t="n">
        <v>0</v>
      </c>
      <c r="B259" s="21" t="s">
        <v>336</v>
      </c>
      <c r="C259" s="62" t="s">
        <v>60</v>
      </c>
      <c r="D259" s="62" t="s">
        <v>387</v>
      </c>
      <c r="E259" s="62" t="s">
        <v>67</v>
      </c>
      <c r="F259" s="62" t="s">
        <v>382</v>
      </c>
      <c r="G259" s="63" t="s">
        <v>392</v>
      </c>
      <c r="H259" s="64" t="n">
        <v>0</v>
      </c>
      <c r="I259" s="62" t="s">
        <v>81</v>
      </c>
      <c r="J259" s="64" t="n">
        <v>0</v>
      </c>
      <c r="K259" s="62" t="s">
        <v>138</v>
      </c>
      <c r="L259" s="68" t="b">
        <f aca="false">TRUE()</f>
        <v>1</v>
      </c>
    </row>
    <row r="260" customFormat="false" ht="15" hidden="false" customHeight="false" outlineLevel="0" collapsed="false">
      <c r="A260" s="62" t="n">
        <v>0</v>
      </c>
      <c r="B260" s="21" t="s">
        <v>336</v>
      </c>
      <c r="C260" s="62" t="s">
        <v>60</v>
      </c>
      <c r="D260" s="62" t="s">
        <v>388</v>
      </c>
      <c r="E260" s="62" t="s">
        <v>67</v>
      </c>
      <c r="F260" s="62" t="s">
        <v>382</v>
      </c>
      <c r="G260" s="63" t="s">
        <v>392</v>
      </c>
      <c r="H260" s="64" t="n">
        <v>0</v>
      </c>
      <c r="I260" s="62" t="s">
        <v>81</v>
      </c>
      <c r="J260" s="64" t="n">
        <v>0</v>
      </c>
      <c r="K260" s="62" t="s">
        <v>138</v>
      </c>
      <c r="L260" s="68" t="b">
        <f aca="false">TRUE()</f>
        <v>1</v>
      </c>
    </row>
    <row r="261" customFormat="false" ht="15" hidden="false" customHeight="false" outlineLevel="0" collapsed="false">
      <c r="A261" s="62" t="n">
        <v>0</v>
      </c>
      <c r="B261" s="21" t="s">
        <v>336</v>
      </c>
      <c r="C261" s="62" t="s">
        <v>60</v>
      </c>
      <c r="D261" s="62" t="s">
        <v>381</v>
      </c>
      <c r="E261" s="62" t="s">
        <v>67</v>
      </c>
      <c r="F261" s="62" t="s">
        <v>382</v>
      </c>
      <c r="G261" s="63" t="s">
        <v>393</v>
      </c>
      <c r="H261" s="64" t="n">
        <v>599526222.222222</v>
      </c>
      <c r="I261" s="62" t="s">
        <v>81</v>
      </c>
      <c r="J261" s="64" t="n">
        <v>599526.222222222</v>
      </c>
      <c r="K261" s="62" t="s">
        <v>138</v>
      </c>
      <c r="L261" s="68" t="b">
        <f aca="false">TRUE()</f>
        <v>1</v>
      </c>
    </row>
    <row r="262" customFormat="false" ht="15" hidden="false" customHeight="false" outlineLevel="0" collapsed="false">
      <c r="A262" s="62" t="n">
        <v>0</v>
      </c>
      <c r="B262" s="21" t="s">
        <v>336</v>
      </c>
      <c r="C262" s="62" t="s">
        <v>60</v>
      </c>
      <c r="D262" s="62" t="s">
        <v>383</v>
      </c>
      <c r="E262" s="62" t="s">
        <v>67</v>
      </c>
      <c r="F262" s="62" t="s">
        <v>382</v>
      </c>
      <c r="G262" s="63" t="s">
        <v>393</v>
      </c>
      <c r="H262" s="64" t="n">
        <v>599526222.222222</v>
      </c>
      <c r="I262" s="62" t="s">
        <v>81</v>
      </c>
      <c r="J262" s="64" t="n">
        <v>599526.222222222</v>
      </c>
      <c r="K262" s="62" t="s">
        <v>138</v>
      </c>
      <c r="L262" s="68" t="b">
        <f aca="false">TRUE()</f>
        <v>1</v>
      </c>
    </row>
    <row r="263" customFormat="false" ht="15" hidden="false" customHeight="false" outlineLevel="0" collapsed="false">
      <c r="A263" s="62" t="n">
        <v>0</v>
      </c>
      <c r="B263" s="21" t="s">
        <v>336</v>
      </c>
      <c r="C263" s="62" t="s">
        <v>60</v>
      </c>
      <c r="D263" s="62" t="s">
        <v>384</v>
      </c>
      <c r="E263" s="62" t="s">
        <v>67</v>
      </c>
      <c r="F263" s="62" t="s">
        <v>382</v>
      </c>
      <c r="G263" s="63" t="s">
        <v>393</v>
      </c>
      <c r="H263" s="64" t="n">
        <v>599526222.222222</v>
      </c>
      <c r="I263" s="62" t="s">
        <v>81</v>
      </c>
      <c r="J263" s="64" t="n">
        <v>599526.222222222</v>
      </c>
      <c r="K263" s="62" t="s">
        <v>138</v>
      </c>
      <c r="L263" s="68" t="b">
        <f aca="false">TRUE()</f>
        <v>1</v>
      </c>
    </row>
    <row r="264" customFormat="false" ht="15" hidden="false" customHeight="false" outlineLevel="0" collapsed="false">
      <c r="A264" s="62" t="n">
        <v>0</v>
      </c>
      <c r="B264" s="21" t="s">
        <v>336</v>
      </c>
      <c r="C264" s="62" t="s">
        <v>60</v>
      </c>
      <c r="D264" s="62" t="s">
        <v>385</v>
      </c>
      <c r="E264" s="62" t="s">
        <v>67</v>
      </c>
      <c r="F264" s="62" t="s">
        <v>382</v>
      </c>
      <c r="G264" s="63" t="s">
        <v>393</v>
      </c>
      <c r="H264" s="64" t="n">
        <v>599526222.222222</v>
      </c>
      <c r="I264" s="62" t="s">
        <v>81</v>
      </c>
      <c r="J264" s="64" t="n">
        <v>599526.222222222</v>
      </c>
      <c r="K264" s="62" t="s">
        <v>138</v>
      </c>
      <c r="L264" s="68" t="b">
        <f aca="false">TRUE()</f>
        <v>1</v>
      </c>
    </row>
    <row r="265" customFormat="false" ht="15" hidden="false" customHeight="false" outlineLevel="0" collapsed="false">
      <c r="A265" s="62" t="n">
        <v>0</v>
      </c>
      <c r="B265" s="21" t="s">
        <v>336</v>
      </c>
      <c r="C265" s="62" t="s">
        <v>60</v>
      </c>
      <c r="D265" s="62" t="s">
        <v>386</v>
      </c>
      <c r="E265" s="62" t="s">
        <v>67</v>
      </c>
      <c r="F265" s="62" t="s">
        <v>382</v>
      </c>
      <c r="G265" s="63" t="s">
        <v>393</v>
      </c>
      <c r="H265" s="64" t="n">
        <v>599526222.222222</v>
      </c>
      <c r="I265" s="62" t="s">
        <v>81</v>
      </c>
      <c r="J265" s="64" t="n">
        <v>599526.222222222</v>
      </c>
      <c r="K265" s="62" t="s">
        <v>138</v>
      </c>
      <c r="L265" s="68" t="b">
        <f aca="false">TRUE()</f>
        <v>1</v>
      </c>
    </row>
    <row r="266" customFormat="false" ht="15" hidden="false" customHeight="false" outlineLevel="0" collapsed="false">
      <c r="A266" s="62" t="n">
        <v>0</v>
      </c>
      <c r="B266" s="21" t="s">
        <v>336</v>
      </c>
      <c r="C266" s="62" t="s">
        <v>60</v>
      </c>
      <c r="D266" s="62" t="s">
        <v>387</v>
      </c>
      <c r="E266" s="62" t="s">
        <v>67</v>
      </c>
      <c r="F266" s="62" t="s">
        <v>382</v>
      </c>
      <c r="G266" s="63" t="s">
        <v>393</v>
      </c>
      <c r="H266" s="64" t="n">
        <v>599526222.222222</v>
      </c>
      <c r="I266" s="62" t="s">
        <v>81</v>
      </c>
      <c r="J266" s="64" t="n">
        <v>599526.222222222</v>
      </c>
      <c r="K266" s="62" t="s">
        <v>138</v>
      </c>
      <c r="L266" s="68" t="b">
        <f aca="false">TRUE()</f>
        <v>1</v>
      </c>
    </row>
    <row r="267" customFormat="false" ht="15" hidden="false" customHeight="false" outlineLevel="0" collapsed="false">
      <c r="A267" s="62" t="n">
        <v>0</v>
      </c>
      <c r="B267" s="21" t="s">
        <v>336</v>
      </c>
      <c r="C267" s="62" t="s">
        <v>60</v>
      </c>
      <c r="D267" s="62" t="s">
        <v>388</v>
      </c>
      <c r="E267" s="62" t="s">
        <v>67</v>
      </c>
      <c r="F267" s="62" t="s">
        <v>382</v>
      </c>
      <c r="G267" s="63" t="s">
        <v>393</v>
      </c>
      <c r="H267" s="64" t="n">
        <v>599526222.222222</v>
      </c>
      <c r="I267" s="62" t="s">
        <v>81</v>
      </c>
      <c r="J267" s="64" t="n">
        <v>599526.222222222</v>
      </c>
      <c r="K267" s="62" t="s">
        <v>138</v>
      </c>
      <c r="L267" s="68" t="b">
        <f aca="false">TRUE()</f>
        <v>1</v>
      </c>
    </row>
    <row r="268" customFormat="false" ht="15" hidden="false" customHeight="false" outlineLevel="0" collapsed="false">
      <c r="A268" s="62" t="n">
        <v>0</v>
      </c>
      <c r="B268" s="21" t="s">
        <v>336</v>
      </c>
      <c r="C268" s="62" t="s">
        <v>60</v>
      </c>
      <c r="D268" s="62" t="s">
        <v>381</v>
      </c>
      <c r="E268" s="62" t="s">
        <v>67</v>
      </c>
      <c r="F268" s="62" t="s">
        <v>382</v>
      </c>
      <c r="G268" s="63" t="s">
        <v>394</v>
      </c>
      <c r="H268" s="64" t="n">
        <v>600000000</v>
      </c>
      <c r="I268" s="62" t="s">
        <v>81</v>
      </c>
      <c r="J268" s="64" t="n">
        <v>600000</v>
      </c>
      <c r="K268" s="62" t="s">
        <v>138</v>
      </c>
      <c r="L268" s="68" t="b">
        <f aca="false">TRUE()</f>
        <v>1</v>
      </c>
    </row>
    <row r="269" customFormat="false" ht="15" hidden="false" customHeight="false" outlineLevel="0" collapsed="false">
      <c r="A269" s="62" t="n">
        <v>0</v>
      </c>
      <c r="B269" s="21" t="s">
        <v>336</v>
      </c>
      <c r="C269" s="62" t="s">
        <v>60</v>
      </c>
      <c r="D269" s="62" t="s">
        <v>383</v>
      </c>
      <c r="E269" s="62" t="s">
        <v>67</v>
      </c>
      <c r="F269" s="62" t="s">
        <v>382</v>
      </c>
      <c r="G269" s="63" t="s">
        <v>394</v>
      </c>
      <c r="H269" s="64" t="n">
        <v>600000000</v>
      </c>
      <c r="I269" s="62" t="s">
        <v>81</v>
      </c>
      <c r="J269" s="64" t="n">
        <v>600000</v>
      </c>
      <c r="K269" s="62" t="s">
        <v>138</v>
      </c>
      <c r="L269" s="68" t="b">
        <f aca="false">TRUE()</f>
        <v>1</v>
      </c>
    </row>
    <row r="270" customFormat="false" ht="15" hidden="false" customHeight="false" outlineLevel="0" collapsed="false">
      <c r="A270" s="62" t="n">
        <v>0</v>
      </c>
      <c r="B270" s="21" t="s">
        <v>336</v>
      </c>
      <c r="C270" s="62" t="s">
        <v>60</v>
      </c>
      <c r="D270" s="62" t="s">
        <v>384</v>
      </c>
      <c r="E270" s="62" t="s">
        <v>67</v>
      </c>
      <c r="F270" s="62" t="s">
        <v>382</v>
      </c>
      <c r="G270" s="63" t="s">
        <v>394</v>
      </c>
      <c r="H270" s="64" t="n">
        <v>600000000</v>
      </c>
      <c r="I270" s="62" t="s">
        <v>81</v>
      </c>
      <c r="J270" s="64" t="n">
        <v>600000</v>
      </c>
      <c r="K270" s="62" t="s">
        <v>138</v>
      </c>
      <c r="L270" s="68" t="b">
        <f aca="false">TRUE()</f>
        <v>1</v>
      </c>
    </row>
    <row r="271" customFormat="false" ht="15" hidden="false" customHeight="false" outlineLevel="0" collapsed="false">
      <c r="A271" s="62" t="n">
        <v>0</v>
      </c>
      <c r="B271" s="21" t="s">
        <v>336</v>
      </c>
      <c r="C271" s="62" t="s">
        <v>60</v>
      </c>
      <c r="D271" s="62" t="s">
        <v>385</v>
      </c>
      <c r="E271" s="62" t="s">
        <v>67</v>
      </c>
      <c r="F271" s="62" t="s">
        <v>382</v>
      </c>
      <c r="G271" s="63" t="s">
        <v>394</v>
      </c>
      <c r="H271" s="64" t="n">
        <v>600000000</v>
      </c>
      <c r="I271" s="62" t="s">
        <v>81</v>
      </c>
      <c r="J271" s="64" t="n">
        <v>600000</v>
      </c>
      <c r="K271" s="62" t="s">
        <v>138</v>
      </c>
      <c r="L271" s="68" t="b">
        <f aca="false">TRUE()</f>
        <v>1</v>
      </c>
    </row>
    <row r="272" customFormat="false" ht="15" hidden="false" customHeight="false" outlineLevel="0" collapsed="false">
      <c r="A272" s="62" t="n">
        <v>0</v>
      </c>
      <c r="B272" s="21" t="s">
        <v>336</v>
      </c>
      <c r="C272" s="62" t="s">
        <v>60</v>
      </c>
      <c r="D272" s="62" t="s">
        <v>386</v>
      </c>
      <c r="E272" s="62" t="s">
        <v>67</v>
      </c>
      <c r="F272" s="62" t="s">
        <v>382</v>
      </c>
      <c r="G272" s="63" t="s">
        <v>394</v>
      </c>
      <c r="H272" s="64" t="n">
        <v>600000000</v>
      </c>
      <c r="I272" s="62" t="s">
        <v>81</v>
      </c>
      <c r="J272" s="64" t="n">
        <v>600000</v>
      </c>
      <c r="K272" s="62" t="s">
        <v>138</v>
      </c>
      <c r="L272" s="68" t="b">
        <f aca="false">TRUE()</f>
        <v>1</v>
      </c>
    </row>
    <row r="273" customFormat="false" ht="15" hidden="false" customHeight="false" outlineLevel="0" collapsed="false">
      <c r="A273" s="62" t="n">
        <v>0</v>
      </c>
      <c r="B273" s="21" t="s">
        <v>336</v>
      </c>
      <c r="C273" s="62" t="s">
        <v>60</v>
      </c>
      <c r="D273" s="62" t="s">
        <v>387</v>
      </c>
      <c r="E273" s="62" t="s">
        <v>67</v>
      </c>
      <c r="F273" s="62" t="s">
        <v>382</v>
      </c>
      <c r="G273" s="63" t="s">
        <v>394</v>
      </c>
      <c r="H273" s="64" t="n">
        <v>600000000</v>
      </c>
      <c r="I273" s="62" t="s">
        <v>81</v>
      </c>
      <c r="J273" s="64" t="n">
        <v>600000</v>
      </c>
      <c r="K273" s="62" t="s">
        <v>138</v>
      </c>
      <c r="L273" s="68" t="b">
        <f aca="false">TRUE()</f>
        <v>1</v>
      </c>
    </row>
    <row r="274" customFormat="false" ht="15" hidden="false" customHeight="false" outlineLevel="0" collapsed="false">
      <c r="A274" s="62" t="n">
        <v>0</v>
      </c>
      <c r="B274" s="21" t="s">
        <v>336</v>
      </c>
      <c r="C274" s="62" t="s">
        <v>60</v>
      </c>
      <c r="D274" s="62" t="s">
        <v>388</v>
      </c>
      <c r="E274" s="62" t="s">
        <v>67</v>
      </c>
      <c r="F274" s="62" t="s">
        <v>382</v>
      </c>
      <c r="G274" s="63" t="s">
        <v>394</v>
      </c>
      <c r="H274" s="64" t="n">
        <v>600000000</v>
      </c>
      <c r="I274" s="62" t="s">
        <v>81</v>
      </c>
      <c r="J274" s="64" t="n">
        <v>600000</v>
      </c>
      <c r="K274" s="62" t="s">
        <v>138</v>
      </c>
      <c r="L274" s="68" t="b">
        <f aca="false">TRUE()</f>
        <v>1</v>
      </c>
    </row>
    <row r="275" customFormat="false" ht="15" hidden="false" customHeight="false" outlineLevel="0" collapsed="false">
      <c r="A275" s="62" t="n">
        <v>0</v>
      </c>
      <c r="B275" s="21" t="s">
        <v>336</v>
      </c>
      <c r="C275" s="62" t="s">
        <v>60</v>
      </c>
      <c r="D275" s="62" t="s">
        <v>381</v>
      </c>
      <c r="E275" s="62" t="s">
        <v>67</v>
      </c>
      <c r="F275" s="62" t="s">
        <v>382</v>
      </c>
      <c r="G275" s="63" t="s">
        <v>395</v>
      </c>
      <c r="H275" s="64" t="n">
        <v>54123105.5752135</v>
      </c>
      <c r="I275" s="62" t="s">
        <v>81</v>
      </c>
      <c r="J275" s="64" t="n">
        <v>54123.1055752135</v>
      </c>
      <c r="K275" s="62" t="s">
        <v>138</v>
      </c>
      <c r="L275" s="68" t="b">
        <f aca="false">TRUE()</f>
        <v>1</v>
      </c>
    </row>
    <row r="276" customFormat="false" ht="15" hidden="false" customHeight="false" outlineLevel="0" collapsed="false">
      <c r="A276" s="62" t="n">
        <v>0</v>
      </c>
      <c r="B276" s="21" t="s">
        <v>336</v>
      </c>
      <c r="C276" s="62" t="s">
        <v>60</v>
      </c>
      <c r="D276" s="62" t="s">
        <v>383</v>
      </c>
      <c r="E276" s="62" t="s">
        <v>67</v>
      </c>
      <c r="F276" s="62" t="s">
        <v>382</v>
      </c>
      <c r="G276" s="63" t="s">
        <v>395</v>
      </c>
      <c r="H276" s="64" t="n">
        <v>54123105.5752135</v>
      </c>
      <c r="I276" s="62" t="s">
        <v>81</v>
      </c>
      <c r="J276" s="64" t="n">
        <v>54123.1055752135</v>
      </c>
      <c r="K276" s="62" t="s">
        <v>138</v>
      </c>
      <c r="L276" s="68" t="b">
        <f aca="false">TRUE()</f>
        <v>1</v>
      </c>
    </row>
    <row r="277" customFormat="false" ht="15" hidden="false" customHeight="false" outlineLevel="0" collapsed="false">
      <c r="A277" s="62" t="n">
        <v>0</v>
      </c>
      <c r="B277" s="21" t="s">
        <v>336</v>
      </c>
      <c r="C277" s="62" t="s">
        <v>60</v>
      </c>
      <c r="D277" s="62" t="s">
        <v>384</v>
      </c>
      <c r="E277" s="62" t="s">
        <v>67</v>
      </c>
      <c r="F277" s="62" t="s">
        <v>382</v>
      </c>
      <c r="G277" s="63" t="s">
        <v>395</v>
      </c>
      <c r="H277" s="64" t="n">
        <v>54123105.5752135</v>
      </c>
      <c r="I277" s="62" t="s">
        <v>81</v>
      </c>
      <c r="J277" s="64" t="n">
        <v>54123.1055752135</v>
      </c>
      <c r="K277" s="62" t="s">
        <v>138</v>
      </c>
      <c r="L277" s="68" t="b">
        <f aca="false">TRUE()</f>
        <v>1</v>
      </c>
    </row>
    <row r="278" customFormat="false" ht="15" hidden="false" customHeight="false" outlineLevel="0" collapsed="false">
      <c r="A278" s="62" t="n">
        <v>0</v>
      </c>
      <c r="B278" s="21" t="s">
        <v>336</v>
      </c>
      <c r="C278" s="62" t="s">
        <v>60</v>
      </c>
      <c r="D278" s="62" t="s">
        <v>385</v>
      </c>
      <c r="E278" s="62" t="s">
        <v>67</v>
      </c>
      <c r="F278" s="62" t="s">
        <v>382</v>
      </c>
      <c r="G278" s="63" t="s">
        <v>395</v>
      </c>
      <c r="H278" s="64" t="n">
        <v>54123105.5752135</v>
      </c>
      <c r="I278" s="62" t="s">
        <v>81</v>
      </c>
      <c r="J278" s="64" t="n">
        <v>54123.1055752135</v>
      </c>
      <c r="K278" s="62" t="s">
        <v>138</v>
      </c>
      <c r="L278" s="68" t="b">
        <f aca="false">TRUE()</f>
        <v>1</v>
      </c>
    </row>
    <row r="279" customFormat="false" ht="15" hidden="false" customHeight="false" outlineLevel="0" collapsed="false">
      <c r="A279" s="62" t="n">
        <v>0</v>
      </c>
      <c r="B279" s="21" t="s">
        <v>336</v>
      </c>
      <c r="C279" s="62" t="s">
        <v>60</v>
      </c>
      <c r="D279" s="62" t="s">
        <v>386</v>
      </c>
      <c r="E279" s="62" t="s">
        <v>67</v>
      </c>
      <c r="F279" s="62" t="s">
        <v>382</v>
      </c>
      <c r="G279" s="63" t="s">
        <v>395</v>
      </c>
      <c r="H279" s="64" t="n">
        <v>54123105.5752135</v>
      </c>
      <c r="I279" s="62" t="s">
        <v>81</v>
      </c>
      <c r="J279" s="64" t="n">
        <v>54123.1055752135</v>
      </c>
      <c r="K279" s="62" t="s">
        <v>138</v>
      </c>
      <c r="L279" s="68" t="b">
        <f aca="false">TRUE()</f>
        <v>1</v>
      </c>
    </row>
    <row r="280" customFormat="false" ht="15" hidden="false" customHeight="false" outlineLevel="0" collapsed="false">
      <c r="A280" s="62" t="n">
        <v>0</v>
      </c>
      <c r="B280" s="21" t="s">
        <v>336</v>
      </c>
      <c r="C280" s="62" t="s">
        <v>60</v>
      </c>
      <c r="D280" s="62" t="s">
        <v>387</v>
      </c>
      <c r="E280" s="62" t="s">
        <v>67</v>
      </c>
      <c r="F280" s="62" t="s">
        <v>382</v>
      </c>
      <c r="G280" s="63" t="s">
        <v>395</v>
      </c>
      <c r="H280" s="64" t="n">
        <v>54123105.5752135</v>
      </c>
      <c r="I280" s="62" t="s">
        <v>81</v>
      </c>
      <c r="J280" s="64" t="n">
        <v>54123.1055752135</v>
      </c>
      <c r="K280" s="62" t="s">
        <v>138</v>
      </c>
      <c r="L280" s="68" t="b">
        <f aca="false">TRUE()</f>
        <v>1</v>
      </c>
    </row>
    <row r="281" customFormat="false" ht="15" hidden="false" customHeight="false" outlineLevel="0" collapsed="false">
      <c r="A281" s="62" t="n">
        <v>0</v>
      </c>
      <c r="B281" s="21" t="s">
        <v>336</v>
      </c>
      <c r="C281" s="62" t="s">
        <v>60</v>
      </c>
      <c r="D281" s="62" t="s">
        <v>388</v>
      </c>
      <c r="E281" s="62" t="s">
        <v>67</v>
      </c>
      <c r="F281" s="62" t="s">
        <v>382</v>
      </c>
      <c r="G281" s="63" t="s">
        <v>395</v>
      </c>
      <c r="H281" s="64" t="n">
        <v>54123105.5752135</v>
      </c>
      <c r="I281" s="62" t="s">
        <v>81</v>
      </c>
      <c r="J281" s="64" t="n">
        <v>54123.1055752135</v>
      </c>
      <c r="K281" s="62" t="s">
        <v>138</v>
      </c>
      <c r="L281" s="68" t="b">
        <f aca="false">TRUE()</f>
        <v>1</v>
      </c>
    </row>
    <row r="282" customFormat="false" ht="15" hidden="false" customHeight="false" outlineLevel="0" collapsed="false">
      <c r="A282" s="62" t="n">
        <v>0</v>
      </c>
      <c r="B282" s="21" t="s">
        <v>336</v>
      </c>
      <c r="C282" s="62" t="s">
        <v>60</v>
      </c>
      <c r="D282" s="62" t="s">
        <v>381</v>
      </c>
      <c r="E282" s="62" t="s">
        <v>67</v>
      </c>
      <c r="F282" s="62" t="s">
        <v>382</v>
      </c>
      <c r="G282" s="63" t="s">
        <v>403</v>
      </c>
      <c r="H282" s="64" t="n">
        <v>0</v>
      </c>
      <c r="I282" s="62" t="s">
        <v>81</v>
      </c>
      <c r="J282" s="64" t="n">
        <v>0</v>
      </c>
      <c r="K282" s="62" t="s">
        <v>138</v>
      </c>
      <c r="L282" s="68" t="b">
        <f aca="false">TRUE()</f>
        <v>1</v>
      </c>
    </row>
    <row r="283" customFormat="false" ht="15" hidden="false" customHeight="false" outlineLevel="0" collapsed="false">
      <c r="A283" s="62" t="n">
        <v>0</v>
      </c>
      <c r="B283" s="21" t="s">
        <v>336</v>
      </c>
      <c r="C283" s="62" t="s">
        <v>60</v>
      </c>
      <c r="D283" s="62" t="s">
        <v>383</v>
      </c>
      <c r="E283" s="62" t="s">
        <v>67</v>
      </c>
      <c r="F283" s="62" t="s">
        <v>382</v>
      </c>
      <c r="G283" s="63" t="s">
        <v>403</v>
      </c>
      <c r="H283" s="64" t="n">
        <v>0</v>
      </c>
      <c r="I283" s="62" t="s">
        <v>81</v>
      </c>
      <c r="J283" s="64" t="n">
        <v>0</v>
      </c>
      <c r="K283" s="62" t="s">
        <v>138</v>
      </c>
      <c r="L283" s="68" t="b">
        <f aca="false">TRUE()</f>
        <v>1</v>
      </c>
    </row>
    <row r="284" customFormat="false" ht="15" hidden="false" customHeight="false" outlineLevel="0" collapsed="false">
      <c r="A284" s="62" t="n">
        <v>0</v>
      </c>
      <c r="B284" s="21" t="s">
        <v>336</v>
      </c>
      <c r="C284" s="62" t="s">
        <v>60</v>
      </c>
      <c r="D284" s="62" t="s">
        <v>384</v>
      </c>
      <c r="E284" s="62" t="s">
        <v>67</v>
      </c>
      <c r="F284" s="62" t="s">
        <v>382</v>
      </c>
      <c r="G284" s="63" t="s">
        <v>403</v>
      </c>
      <c r="H284" s="64" t="n">
        <v>0</v>
      </c>
      <c r="I284" s="62" t="s">
        <v>81</v>
      </c>
      <c r="J284" s="64" t="n">
        <v>0</v>
      </c>
      <c r="K284" s="62" t="s">
        <v>138</v>
      </c>
      <c r="L284" s="68" t="b">
        <f aca="false">TRUE()</f>
        <v>1</v>
      </c>
    </row>
    <row r="285" customFormat="false" ht="15" hidden="false" customHeight="false" outlineLevel="0" collapsed="false">
      <c r="A285" s="62" t="n">
        <v>0</v>
      </c>
      <c r="B285" s="21" t="s">
        <v>336</v>
      </c>
      <c r="C285" s="62" t="s">
        <v>60</v>
      </c>
      <c r="D285" s="62" t="s">
        <v>385</v>
      </c>
      <c r="E285" s="62" t="s">
        <v>67</v>
      </c>
      <c r="F285" s="62" t="s">
        <v>382</v>
      </c>
      <c r="G285" s="63" t="s">
        <v>403</v>
      </c>
      <c r="H285" s="64" t="n">
        <v>0</v>
      </c>
      <c r="I285" s="62" t="s">
        <v>81</v>
      </c>
      <c r="J285" s="64" t="n">
        <v>0</v>
      </c>
      <c r="K285" s="62" t="s">
        <v>138</v>
      </c>
      <c r="L285" s="68" t="b">
        <f aca="false">TRUE()</f>
        <v>1</v>
      </c>
    </row>
    <row r="286" customFormat="false" ht="15" hidden="false" customHeight="false" outlineLevel="0" collapsed="false">
      <c r="A286" s="62" t="n">
        <v>0</v>
      </c>
      <c r="B286" s="21" t="s">
        <v>336</v>
      </c>
      <c r="C286" s="62" t="s">
        <v>60</v>
      </c>
      <c r="D286" s="62" t="s">
        <v>386</v>
      </c>
      <c r="E286" s="62" t="s">
        <v>67</v>
      </c>
      <c r="F286" s="62" t="s">
        <v>382</v>
      </c>
      <c r="G286" s="63" t="s">
        <v>403</v>
      </c>
      <c r="H286" s="64" t="n">
        <v>0</v>
      </c>
      <c r="I286" s="62" t="s">
        <v>81</v>
      </c>
      <c r="J286" s="64" t="n">
        <v>0</v>
      </c>
      <c r="K286" s="62" t="s">
        <v>138</v>
      </c>
      <c r="L286" s="68" t="b">
        <f aca="false">TRUE()</f>
        <v>1</v>
      </c>
    </row>
    <row r="287" customFormat="false" ht="15" hidden="false" customHeight="false" outlineLevel="0" collapsed="false">
      <c r="A287" s="62" t="n">
        <v>0</v>
      </c>
      <c r="B287" s="21" t="s">
        <v>336</v>
      </c>
      <c r="C287" s="62" t="s">
        <v>60</v>
      </c>
      <c r="D287" s="62" t="s">
        <v>387</v>
      </c>
      <c r="E287" s="62" t="s">
        <v>67</v>
      </c>
      <c r="F287" s="62" t="s">
        <v>382</v>
      </c>
      <c r="G287" s="63" t="s">
        <v>403</v>
      </c>
      <c r="H287" s="64" t="n">
        <v>0</v>
      </c>
      <c r="I287" s="62" t="s">
        <v>81</v>
      </c>
      <c r="J287" s="64" t="n">
        <v>0</v>
      </c>
      <c r="K287" s="62" t="s">
        <v>138</v>
      </c>
      <c r="L287" s="68" t="b">
        <f aca="false">TRUE()</f>
        <v>1</v>
      </c>
    </row>
    <row r="288" customFormat="false" ht="15" hidden="false" customHeight="false" outlineLevel="0" collapsed="false">
      <c r="A288" s="62" t="n">
        <v>0</v>
      </c>
      <c r="B288" s="21" t="s">
        <v>336</v>
      </c>
      <c r="C288" s="62" t="s">
        <v>60</v>
      </c>
      <c r="D288" s="62" t="s">
        <v>388</v>
      </c>
      <c r="E288" s="62" t="s">
        <v>67</v>
      </c>
      <c r="F288" s="62" t="s">
        <v>382</v>
      </c>
      <c r="G288" s="63" t="s">
        <v>403</v>
      </c>
      <c r="H288" s="64" t="n">
        <v>0</v>
      </c>
      <c r="I288" s="62" t="s">
        <v>81</v>
      </c>
      <c r="J288" s="64" t="n">
        <v>0</v>
      </c>
      <c r="K288" s="62" t="s">
        <v>138</v>
      </c>
      <c r="L288" s="68" t="b">
        <f aca="false">TRUE()</f>
        <v>1</v>
      </c>
    </row>
    <row r="289" customFormat="false" ht="15" hidden="false" customHeight="false" outlineLevel="0" collapsed="false">
      <c r="A289" s="62" t="n">
        <v>0</v>
      </c>
      <c r="B289" s="21" t="s">
        <v>336</v>
      </c>
      <c r="C289" s="62" t="s">
        <v>60</v>
      </c>
      <c r="D289" s="62" t="s">
        <v>381</v>
      </c>
      <c r="E289" s="62" t="s">
        <v>67</v>
      </c>
      <c r="F289" s="62" t="s">
        <v>382</v>
      </c>
      <c r="G289" s="63" t="s">
        <v>404</v>
      </c>
      <c r="H289" s="64" t="n">
        <v>20221620630.1189</v>
      </c>
      <c r="I289" s="62" t="s">
        <v>81</v>
      </c>
      <c r="J289" s="64" t="n">
        <v>20221620.6301189</v>
      </c>
      <c r="K289" s="62" t="s">
        <v>138</v>
      </c>
      <c r="L289" s="68" t="b">
        <f aca="false">TRUE()</f>
        <v>1</v>
      </c>
    </row>
    <row r="290" customFormat="false" ht="15" hidden="false" customHeight="false" outlineLevel="0" collapsed="false">
      <c r="A290" s="62" t="n">
        <v>0</v>
      </c>
      <c r="B290" s="21" t="s">
        <v>336</v>
      </c>
      <c r="C290" s="62" t="s">
        <v>60</v>
      </c>
      <c r="D290" s="62" t="s">
        <v>383</v>
      </c>
      <c r="E290" s="62" t="s">
        <v>67</v>
      </c>
      <c r="F290" s="62" t="s">
        <v>382</v>
      </c>
      <c r="G290" s="63" t="s">
        <v>404</v>
      </c>
      <c r="H290" s="64" t="n">
        <v>20221620630.1189</v>
      </c>
      <c r="I290" s="62" t="s">
        <v>81</v>
      </c>
      <c r="J290" s="64" t="n">
        <v>20221620.6301189</v>
      </c>
      <c r="K290" s="62" t="s">
        <v>138</v>
      </c>
      <c r="L290" s="68" t="b">
        <f aca="false">TRUE()</f>
        <v>1</v>
      </c>
    </row>
    <row r="291" customFormat="false" ht="15" hidden="false" customHeight="false" outlineLevel="0" collapsed="false">
      <c r="A291" s="62" t="n">
        <v>0</v>
      </c>
      <c r="B291" s="21" t="s">
        <v>336</v>
      </c>
      <c r="C291" s="62" t="s">
        <v>60</v>
      </c>
      <c r="D291" s="62" t="s">
        <v>384</v>
      </c>
      <c r="E291" s="62" t="s">
        <v>67</v>
      </c>
      <c r="F291" s="62" t="s">
        <v>382</v>
      </c>
      <c r="G291" s="63" t="s">
        <v>404</v>
      </c>
      <c r="H291" s="64" t="n">
        <v>20221620630.1189</v>
      </c>
      <c r="I291" s="62" t="s">
        <v>81</v>
      </c>
      <c r="J291" s="64" t="n">
        <v>20221620.6301189</v>
      </c>
      <c r="K291" s="62" t="s">
        <v>138</v>
      </c>
      <c r="L291" s="68" t="b">
        <f aca="false">TRUE()</f>
        <v>1</v>
      </c>
    </row>
    <row r="292" customFormat="false" ht="15" hidden="false" customHeight="false" outlineLevel="0" collapsed="false">
      <c r="A292" s="62" t="n">
        <v>0</v>
      </c>
      <c r="B292" s="21" t="s">
        <v>336</v>
      </c>
      <c r="C292" s="62" t="s">
        <v>60</v>
      </c>
      <c r="D292" s="62" t="s">
        <v>385</v>
      </c>
      <c r="E292" s="62" t="s">
        <v>67</v>
      </c>
      <c r="F292" s="62" t="s">
        <v>382</v>
      </c>
      <c r="G292" s="63" t="s">
        <v>404</v>
      </c>
      <c r="H292" s="64" t="n">
        <v>20221620630.1189</v>
      </c>
      <c r="I292" s="62" t="s">
        <v>81</v>
      </c>
      <c r="J292" s="64" t="n">
        <v>20221620.6301189</v>
      </c>
      <c r="K292" s="62" t="s">
        <v>138</v>
      </c>
      <c r="L292" s="68" t="b">
        <f aca="false">TRUE()</f>
        <v>1</v>
      </c>
    </row>
    <row r="293" customFormat="false" ht="15" hidden="false" customHeight="false" outlineLevel="0" collapsed="false">
      <c r="A293" s="62" t="n">
        <v>0</v>
      </c>
      <c r="B293" s="21" t="s">
        <v>336</v>
      </c>
      <c r="C293" s="62" t="s">
        <v>60</v>
      </c>
      <c r="D293" s="62" t="s">
        <v>386</v>
      </c>
      <c r="E293" s="62" t="s">
        <v>67</v>
      </c>
      <c r="F293" s="62" t="s">
        <v>382</v>
      </c>
      <c r="G293" s="63" t="s">
        <v>404</v>
      </c>
      <c r="H293" s="64" t="n">
        <v>20221620630.1189</v>
      </c>
      <c r="I293" s="62" t="s">
        <v>81</v>
      </c>
      <c r="J293" s="64" t="n">
        <v>20221620.6301189</v>
      </c>
      <c r="K293" s="62" t="s">
        <v>138</v>
      </c>
      <c r="L293" s="68" t="b">
        <f aca="false">TRUE()</f>
        <v>1</v>
      </c>
    </row>
    <row r="294" customFormat="false" ht="15" hidden="false" customHeight="false" outlineLevel="0" collapsed="false">
      <c r="A294" s="62" t="n">
        <v>0</v>
      </c>
      <c r="B294" s="21" t="s">
        <v>336</v>
      </c>
      <c r="C294" s="62" t="s">
        <v>60</v>
      </c>
      <c r="D294" s="62" t="s">
        <v>387</v>
      </c>
      <c r="E294" s="62" t="s">
        <v>67</v>
      </c>
      <c r="F294" s="62" t="s">
        <v>382</v>
      </c>
      <c r="G294" s="63" t="s">
        <v>404</v>
      </c>
      <c r="H294" s="64" t="n">
        <v>20221620630.1189</v>
      </c>
      <c r="I294" s="62" t="s">
        <v>81</v>
      </c>
      <c r="J294" s="64" t="n">
        <v>20221620.6301189</v>
      </c>
      <c r="K294" s="62" t="s">
        <v>138</v>
      </c>
      <c r="L294" s="68" t="b">
        <f aca="false">TRUE()</f>
        <v>1</v>
      </c>
    </row>
    <row r="295" customFormat="false" ht="15" hidden="false" customHeight="false" outlineLevel="0" collapsed="false">
      <c r="A295" s="62" t="n">
        <v>0</v>
      </c>
      <c r="B295" s="21" t="s">
        <v>336</v>
      </c>
      <c r="C295" s="62" t="s">
        <v>60</v>
      </c>
      <c r="D295" s="62" t="s">
        <v>388</v>
      </c>
      <c r="E295" s="62" t="s">
        <v>67</v>
      </c>
      <c r="F295" s="62" t="s">
        <v>382</v>
      </c>
      <c r="G295" s="63" t="s">
        <v>404</v>
      </c>
      <c r="H295" s="64" t="n">
        <v>20221620630.1189</v>
      </c>
      <c r="I295" s="62" t="s">
        <v>81</v>
      </c>
      <c r="J295" s="64" t="n">
        <v>20221620.6301189</v>
      </c>
      <c r="K295" s="62" t="s">
        <v>138</v>
      </c>
      <c r="L295" s="68" t="b">
        <f aca="false">TRUE()</f>
        <v>1</v>
      </c>
    </row>
    <row r="296" customFormat="false" ht="15" hidden="false" customHeight="false" outlineLevel="0" collapsed="false">
      <c r="A296" s="62" t="n">
        <v>0</v>
      </c>
      <c r="B296" s="21" t="s">
        <v>336</v>
      </c>
      <c r="C296" s="62" t="s">
        <v>60</v>
      </c>
      <c r="D296" s="62" t="s">
        <v>381</v>
      </c>
      <c r="E296" s="62" t="s">
        <v>67</v>
      </c>
      <c r="F296" s="62" t="s">
        <v>382</v>
      </c>
      <c r="G296" s="63" t="s">
        <v>405</v>
      </c>
      <c r="H296" s="64" t="n">
        <v>2502222386.12016</v>
      </c>
      <c r="I296" s="62" t="s">
        <v>81</v>
      </c>
      <c r="J296" s="64" t="n">
        <v>2502222.38612016</v>
      </c>
      <c r="K296" s="62" t="s">
        <v>138</v>
      </c>
      <c r="L296" s="68" t="b">
        <f aca="false">TRUE()</f>
        <v>1</v>
      </c>
    </row>
    <row r="297" customFormat="false" ht="15" hidden="false" customHeight="false" outlineLevel="0" collapsed="false">
      <c r="A297" s="62" t="n">
        <v>0</v>
      </c>
      <c r="B297" s="21" t="s">
        <v>336</v>
      </c>
      <c r="C297" s="62" t="s">
        <v>60</v>
      </c>
      <c r="D297" s="62" t="s">
        <v>383</v>
      </c>
      <c r="E297" s="62" t="s">
        <v>67</v>
      </c>
      <c r="F297" s="62" t="s">
        <v>382</v>
      </c>
      <c r="G297" s="63" t="s">
        <v>405</v>
      </c>
      <c r="H297" s="64" t="n">
        <v>2502222386.12016</v>
      </c>
      <c r="I297" s="62" t="s">
        <v>81</v>
      </c>
      <c r="J297" s="64" t="n">
        <v>2502222.38612016</v>
      </c>
      <c r="K297" s="62" t="s">
        <v>138</v>
      </c>
      <c r="L297" s="68" t="b">
        <f aca="false">TRUE()</f>
        <v>1</v>
      </c>
    </row>
    <row r="298" customFormat="false" ht="15" hidden="false" customHeight="false" outlineLevel="0" collapsed="false">
      <c r="A298" s="62" t="n">
        <v>0</v>
      </c>
      <c r="B298" s="21" t="s">
        <v>336</v>
      </c>
      <c r="C298" s="62" t="s">
        <v>60</v>
      </c>
      <c r="D298" s="62" t="s">
        <v>384</v>
      </c>
      <c r="E298" s="62" t="s">
        <v>67</v>
      </c>
      <c r="F298" s="62" t="s">
        <v>382</v>
      </c>
      <c r="G298" s="63" t="s">
        <v>405</v>
      </c>
      <c r="H298" s="64" t="n">
        <v>2502222386.12016</v>
      </c>
      <c r="I298" s="62" t="s">
        <v>81</v>
      </c>
      <c r="J298" s="64" t="n">
        <v>2502222.38612016</v>
      </c>
      <c r="K298" s="62" t="s">
        <v>138</v>
      </c>
      <c r="L298" s="68" t="b">
        <f aca="false">TRUE()</f>
        <v>1</v>
      </c>
    </row>
    <row r="299" customFormat="false" ht="15" hidden="false" customHeight="false" outlineLevel="0" collapsed="false">
      <c r="A299" s="62" t="n">
        <v>0</v>
      </c>
      <c r="B299" s="21" t="s">
        <v>336</v>
      </c>
      <c r="C299" s="62" t="s">
        <v>60</v>
      </c>
      <c r="D299" s="62" t="s">
        <v>385</v>
      </c>
      <c r="E299" s="62" t="s">
        <v>67</v>
      </c>
      <c r="F299" s="62" t="s">
        <v>382</v>
      </c>
      <c r="G299" s="63" t="s">
        <v>405</v>
      </c>
      <c r="H299" s="64" t="n">
        <v>2502222386.12016</v>
      </c>
      <c r="I299" s="62" t="s">
        <v>81</v>
      </c>
      <c r="J299" s="64" t="n">
        <v>2502222.38612016</v>
      </c>
      <c r="K299" s="62" t="s">
        <v>138</v>
      </c>
      <c r="L299" s="68" t="b">
        <f aca="false">TRUE()</f>
        <v>1</v>
      </c>
    </row>
    <row r="300" customFormat="false" ht="15" hidden="false" customHeight="false" outlineLevel="0" collapsed="false">
      <c r="A300" s="62" t="n">
        <v>0</v>
      </c>
      <c r="B300" s="21" t="s">
        <v>336</v>
      </c>
      <c r="C300" s="62" t="s">
        <v>60</v>
      </c>
      <c r="D300" s="62" t="s">
        <v>386</v>
      </c>
      <c r="E300" s="62" t="s">
        <v>67</v>
      </c>
      <c r="F300" s="62" t="s">
        <v>382</v>
      </c>
      <c r="G300" s="63" t="s">
        <v>405</v>
      </c>
      <c r="H300" s="64" t="n">
        <v>2502222386.12016</v>
      </c>
      <c r="I300" s="62" t="s">
        <v>81</v>
      </c>
      <c r="J300" s="64" t="n">
        <v>2502222.38612016</v>
      </c>
      <c r="K300" s="62" t="s">
        <v>138</v>
      </c>
      <c r="L300" s="68" t="b">
        <f aca="false">TRUE()</f>
        <v>1</v>
      </c>
    </row>
    <row r="301" customFormat="false" ht="15" hidden="false" customHeight="false" outlineLevel="0" collapsed="false">
      <c r="A301" s="62" t="n">
        <v>0</v>
      </c>
      <c r="B301" s="21" t="s">
        <v>336</v>
      </c>
      <c r="C301" s="62" t="s">
        <v>60</v>
      </c>
      <c r="D301" s="62" t="s">
        <v>387</v>
      </c>
      <c r="E301" s="62" t="s">
        <v>67</v>
      </c>
      <c r="F301" s="62" t="s">
        <v>382</v>
      </c>
      <c r="G301" s="63" t="s">
        <v>405</v>
      </c>
      <c r="H301" s="64" t="n">
        <v>2502222386.12016</v>
      </c>
      <c r="I301" s="62" t="s">
        <v>81</v>
      </c>
      <c r="J301" s="64" t="n">
        <v>2502222.38612016</v>
      </c>
      <c r="K301" s="62" t="s">
        <v>138</v>
      </c>
      <c r="L301" s="68" t="b">
        <f aca="false">TRUE()</f>
        <v>1</v>
      </c>
    </row>
    <row r="302" customFormat="false" ht="15" hidden="false" customHeight="false" outlineLevel="0" collapsed="false">
      <c r="A302" s="62" t="n">
        <v>0</v>
      </c>
      <c r="B302" s="21" t="s">
        <v>336</v>
      </c>
      <c r="C302" s="62" t="s">
        <v>60</v>
      </c>
      <c r="D302" s="62" t="s">
        <v>388</v>
      </c>
      <c r="E302" s="62" t="s">
        <v>67</v>
      </c>
      <c r="F302" s="62" t="s">
        <v>382</v>
      </c>
      <c r="G302" s="63" t="s">
        <v>405</v>
      </c>
      <c r="H302" s="64" t="n">
        <v>2502222386.12016</v>
      </c>
      <c r="I302" s="62" t="s">
        <v>81</v>
      </c>
      <c r="J302" s="64" t="n">
        <v>2502222.38612016</v>
      </c>
      <c r="K302" s="62" t="s">
        <v>138</v>
      </c>
      <c r="L302" s="68" t="b">
        <f aca="false">TRUE()</f>
        <v>1</v>
      </c>
    </row>
    <row r="303" customFormat="false" ht="15" hidden="false" customHeight="false" outlineLevel="0" collapsed="false">
      <c r="A303" s="62" t="n">
        <v>0</v>
      </c>
      <c r="B303" s="21" t="s">
        <v>336</v>
      </c>
      <c r="C303" s="62" t="s">
        <v>60</v>
      </c>
      <c r="D303" s="62" t="s">
        <v>381</v>
      </c>
      <c r="E303" s="62" t="s">
        <v>67</v>
      </c>
      <c r="F303" s="62" t="s">
        <v>382</v>
      </c>
      <c r="G303" s="63" t="s">
        <v>406</v>
      </c>
      <c r="H303" s="64" t="n">
        <v>1005068400</v>
      </c>
      <c r="I303" s="62" t="s">
        <v>81</v>
      </c>
      <c r="J303" s="64" t="n">
        <v>1005068.4</v>
      </c>
      <c r="K303" s="62" t="s">
        <v>138</v>
      </c>
      <c r="L303" s="68" t="b">
        <f aca="false">TRUE()</f>
        <v>1</v>
      </c>
    </row>
    <row r="304" customFormat="false" ht="15" hidden="false" customHeight="false" outlineLevel="0" collapsed="false">
      <c r="A304" s="62" t="n">
        <v>0</v>
      </c>
      <c r="B304" s="21" t="s">
        <v>336</v>
      </c>
      <c r="C304" s="62" t="s">
        <v>60</v>
      </c>
      <c r="D304" s="62" t="s">
        <v>383</v>
      </c>
      <c r="E304" s="62" t="s">
        <v>67</v>
      </c>
      <c r="F304" s="62" t="s">
        <v>382</v>
      </c>
      <c r="G304" s="63" t="s">
        <v>406</v>
      </c>
      <c r="H304" s="64" t="n">
        <v>1005068400</v>
      </c>
      <c r="I304" s="62" t="s">
        <v>81</v>
      </c>
      <c r="J304" s="64" t="n">
        <v>1005068.4</v>
      </c>
      <c r="K304" s="62" t="s">
        <v>138</v>
      </c>
      <c r="L304" s="68" t="b">
        <f aca="false">TRUE()</f>
        <v>1</v>
      </c>
    </row>
    <row r="305" customFormat="false" ht="15" hidden="false" customHeight="false" outlineLevel="0" collapsed="false">
      <c r="A305" s="62" t="n">
        <v>0</v>
      </c>
      <c r="B305" s="21" t="s">
        <v>336</v>
      </c>
      <c r="C305" s="62" t="s">
        <v>60</v>
      </c>
      <c r="D305" s="62" t="s">
        <v>384</v>
      </c>
      <c r="E305" s="62" t="s">
        <v>67</v>
      </c>
      <c r="F305" s="62" t="s">
        <v>382</v>
      </c>
      <c r="G305" s="63" t="s">
        <v>406</v>
      </c>
      <c r="H305" s="64" t="n">
        <v>1005068400</v>
      </c>
      <c r="I305" s="62" t="s">
        <v>81</v>
      </c>
      <c r="J305" s="64" t="n">
        <v>1005068.4</v>
      </c>
      <c r="K305" s="62" t="s">
        <v>138</v>
      </c>
      <c r="L305" s="68" t="b">
        <f aca="false">TRUE()</f>
        <v>1</v>
      </c>
    </row>
    <row r="306" customFormat="false" ht="15" hidden="false" customHeight="false" outlineLevel="0" collapsed="false">
      <c r="A306" s="62" t="n">
        <v>0</v>
      </c>
      <c r="B306" s="21" t="s">
        <v>336</v>
      </c>
      <c r="C306" s="62" t="s">
        <v>60</v>
      </c>
      <c r="D306" s="62" t="s">
        <v>385</v>
      </c>
      <c r="E306" s="62" t="s">
        <v>67</v>
      </c>
      <c r="F306" s="62" t="s">
        <v>382</v>
      </c>
      <c r="G306" s="63" t="s">
        <v>406</v>
      </c>
      <c r="H306" s="64" t="n">
        <v>1005068400</v>
      </c>
      <c r="I306" s="62" t="s">
        <v>81</v>
      </c>
      <c r="J306" s="64" t="n">
        <v>1005068.4</v>
      </c>
      <c r="K306" s="62" t="s">
        <v>138</v>
      </c>
      <c r="L306" s="68" t="b">
        <f aca="false">TRUE()</f>
        <v>1</v>
      </c>
    </row>
    <row r="307" customFormat="false" ht="15" hidden="false" customHeight="false" outlineLevel="0" collapsed="false">
      <c r="A307" s="62" t="n">
        <v>0</v>
      </c>
      <c r="B307" s="21" t="s">
        <v>336</v>
      </c>
      <c r="C307" s="62" t="s">
        <v>60</v>
      </c>
      <c r="D307" s="62" t="s">
        <v>386</v>
      </c>
      <c r="E307" s="62" t="s">
        <v>67</v>
      </c>
      <c r="F307" s="62" t="s">
        <v>382</v>
      </c>
      <c r="G307" s="63" t="s">
        <v>406</v>
      </c>
      <c r="H307" s="64" t="n">
        <v>1005068400</v>
      </c>
      <c r="I307" s="62" t="s">
        <v>81</v>
      </c>
      <c r="J307" s="64" t="n">
        <v>1005068.4</v>
      </c>
      <c r="K307" s="62" t="s">
        <v>138</v>
      </c>
      <c r="L307" s="68" t="b">
        <f aca="false">TRUE()</f>
        <v>1</v>
      </c>
    </row>
    <row r="308" customFormat="false" ht="15" hidden="false" customHeight="false" outlineLevel="0" collapsed="false">
      <c r="A308" s="62" t="n">
        <v>0</v>
      </c>
      <c r="B308" s="21" t="s">
        <v>336</v>
      </c>
      <c r="C308" s="62" t="s">
        <v>60</v>
      </c>
      <c r="D308" s="62" t="s">
        <v>387</v>
      </c>
      <c r="E308" s="62" t="s">
        <v>67</v>
      </c>
      <c r="F308" s="62" t="s">
        <v>382</v>
      </c>
      <c r="G308" s="63" t="s">
        <v>406</v>
      </c>
      <c r="H308" s="64" t="n">
        <v>1005068400</v>
      </c>
      <c r="I308" s="62" t="s">
        <v>81</v>
      </c>
      <c r="J308" s="64" t="n">
        <v>1005068.4</v>
      </c>
      <c r="K308" s="62" t="s">
        <v>138</v>
      </c>
      <c r="L308" s="68" t="b">
        <f aca="false">TRUE()</f>
        <v>1</v>
      </c>
    </row>
    <row r="309" customFormat="false" ht="15" hidden="false" customHeight="false" outlineLevel="0" collapsed="false">
      <c r="A309" s="62" t="n">
        <v>0</v>
      </c>
      <c r="B309" s="21" t="s">
        <v>336</v>
      </c>
      <c r="C309" s="62" t="s">
        <v>60</v>
      </c>
      <c r="D309" s="62" t="s">
        <v>388</v>
      </c>
      <c r="E309" s="62" t="s">
        <v>67</v>
      </c>
      <c r="F309" s="62" t="s">
        <v>382</v>
      </c>
      <c r="G309" s="63" t="s">
        <v>406</v>
      </c>
      <c r="H309" s="64" t="n">
        <v>1005068400</v>
      </c>
      <c r="I309" s="62" t="s">
        <v>81</v>
      </c>
      <c r="J309" s="64" t="n">
        <v>1005068.4</v>
      </c>
      <c r="K309" s="62" t="s">
        <v>138</v>
      </c>
      <c r="L309" s="68" t="b">
        <f aca="false">TRUE()</f>
        <v>1</v>
      </c>
    </row>
    <row r="310" customFormat="false" ht="15" hidden="false" customHeight="false" outlineLevel="0" collapsed="false">
      <c r="A310" s="62" t="n">
        <v>0</v>
      </c>
      <c r="B310" s="21" t="s">
        <v>336</v>
      </c>
      <c r="C310" s="62" t="s">
        <v>60</v>
      </c>
      <c r="D310" s="62" t="s">
        <v>381</v>
      </c>
      <c r="E310" s="62" t="s">
        <v>67</v>
      </c>
      <c r="F310" s="62" t="s">
        <v>382</v>
      </c>
      <c r="G310" s="63" t="s">
        <v>407</v>
      </c>
      <c r="H310" s="64" t="n">
        <v>1497153986.12016</v>
      </c>
      <c r="I310" s="62" t="s">
        <v>81</v>
      </c>
      <c r="J310" s="64" t="n">
        <v>1497153.98612016</v>
      </c>
      <c r="K310" s="62" t="s">
        <v>138</v>
      </c>
      <c r="L310" s="68" t="b">
        <f aca="false">TRUE()</f>
        <v>1</v>
      </c>
    </row>
    <row r="311" customFormat="false" ht="15" hidden="false" customHeight="false" outlineLevel="0" collapsed="false">
      <c r="A311" s="62" t="n">
        <v>0</v>
      </c>
      <c r="B311" s="21" t="s">
        <v>336</v>
      </c>
      <c r="C311" s="62" t="s">
        <v>60</v>
      </c>
      <c r="D311" s="62" t="s">
        <v>383</v>
      </c>
      <c r="E311" s="62" t="s">
        <v>67</v>
      </c>
      <c r="F311" s="62" t="s">
        <v>382</v>
      </c>
      <c r="G311" s="63" t="s">
        <v>407</v>
      </c>
      <c r="H311" s="64" t="n">
        <v>1497153986.12016</v>
      </c>
      <c r="I311" s="62" t="s">
        <v>81</v>
      </c>
      <c r="J311" s="64" t="n">
        <v>1497153.98612016</v>
      </c>
      <c r="K311" s="62" t="s">
        <v>138</v>
      </c>
      <c r="L311" s="68" t="b">
        <f aca="false">TRUE()</f>
        <v>1</v>
      </c>
    </row>
    <row r="312" customFormat="false" ht="15" hidden="false" customHeight="false" outlineLevel="0" collapsed="false">
      <c r="A312" s="62" t="n">
        <v>0</v>
      </c>
      <c r="B312" s="21" t="s">
        <v>336</v>
      </c>
      <c r="C312" s="62" t="s">
        <v>60</v>
      </c>
      <c r="D312" s="62" t="s">
        <v>384</v>
      </c>
      <c r="E312" s="62" t="s">
        <v>67</v>
      </c>
      <c r="F312" s="62" t="s">
        <v>382</v>
      </c>
      <c r="G312" s="63" t="s">
        <v>407</v>
      </c>
      <c r="H312" s="64" t="n">
        <v>1497153986.12016</v>
      </c>
      <c r="I312" s="62" t="s">
        <v>81</v>
      </c>
      <c r="J312" s="64" t="n">
        <v>1497153.98612016</v>
      </c>
      <c r="K312" s="62" t="s">
        <v>138</v>
      </c>
      <c r="L312" s="68" t="b">
        <f aca="false">TRUE()</f>
        <v>1</v>
      </c>
    </row>
    <row r="313" customFormat="false" ht="15" hidden="false" customHeight="false" outlineLevel="0" collapsed="false">
      <c r="A313" s="62" t="n">
        <v>0</v>
      </c>
      <c r="B313" s="21" t="s">
        <v>336</v>
      </c>
      <c r="C313" s="62" t="s">
        <v>60</v>
      </c>
      <c r="D313" s="62" t="s">
        <v>385</v>
      </c>
      <c r="E313" s="62" t="s">
        <v>67</v>
      </c>
      <c r="F313" s="62" t="s">
        <v>382</v>
      </c>
      <c r="G313" s="63" t="s">
        <v>407</v>
      </c>
      <c r="H313" s="64" t="n">
        <v>1497153986.12016</v>
      </c>
      <c r="I313" s="62" t="s">
        <v>81</v>
      </c>
      <c r="J313" s="64" t="n">
        <v>1497153.98612016</v>
      </c>
      <c r="K313" s="62" t="s">
        <v>138</v>
      </c>
      <c r="L313" s="68" t="b">
        <f aca="false">TRUE()</f>
        <v>1</v>
      </c>
    </row>
    <row r="314" customFormat="false" ht="15" hidden="false" customHeight="false" outlineLevel="0" collapsed="false">
      <c r="A314" s="62" t="n">
        <v>0</v>
      </c>
      <c r="B314" s="21" t="s">
        <v>336</v>
      </c>
      <c r="C314" s="62" t="s">
        <v>60</v>
      </c>
      <c r="D314" s="62" t="s">
        <v>386</v>
      </c>
      <c r="E314" s="62" t="s">
        <v>67</v>
      </c>
      <c r="F314" s="62" t="s">
        <v>382</v>
      </c>
      <c r="G314" s="63" t="s">
        <v>407</v>
      </c>
      <c r="H314" s="64" t="n">
        <v>1497153986.12016</v>
      </c>
      <c r="I314" s="62" t="s">
        <v>81</v>
      </c>
      <c r="J314" s="64" t="n">
        <v>1497153.98612016</v>
      </c>
      <c r="K314" s="62" t="s">
        <v>138</v>
      </c>
      <c r="L314" s="68" t="b">
        <f aca="false">TRUE()</f>
        <v>1</v>
      </c>
    </row>
    <row r="315" customFormat="false" ht="15" hidden="false" customHeight="false" outlineLevel="0" collapsed="false">
      <c r="A315" s="62" t="n">
        <v>0</v>
      </c>
      <c r="B315" s="21" t="s">
        <v>336</v>
      </c>
      <c r="C315" s="62" t="s">
        <v>60</v>
      </c>
      <c r="D315" s="62" t="s">
        <v>387</v>
      </c>
      <c r="E315" s="62" t="s">
        <v>67</v>
      </c>
      <c r="F315" s="62" t="s">
        <v>382</v>
      </c>
      <c r="G315" s="63" t="s">
        <v>407</v>
      </c>
      <c r="H315" s="64" t="n">
        <v>1497153986.12016</v>
      </c>
      <c r="I315" s="62" t="s">
        <v>81</v>
      </c>
      <c r="J315" s="64" t="n">
        <v>1497153.98612016</v>
      </c>
      <c r="K315" s="62" t="s">
        <v>138</v>
      </c>
      <c r="L315" s="68" t="b">
        <f aca="false">TRUE()</f>
        <v>1</v>
      </c>
    </row>
    <row r="316" customFormat="false" ht="15" hidden="false" customHeight="false" outlineLevel="0" collapsed="false">
      <c r="A316" s="62" t="n">
        <v>0</v>
      </c>
      <c r="B316" s="21" t="s">
        <v>336</v>
      </c>
      <c r="C316" s="62" t="s">
        <v>60</v>
      </c>
      <c r="D316" s="62" t="s">
        <v>388</v>
      </c>
      <c r="E316" s="62" t="s">
        <v>67</v>
      </c>
      <c r="F316" s="62" t="s">
        <v>382</v>
      </c>
      <c r="G316" s="63" t="s">
        <v>407</v>
      </c>
      <c r="H316" s="64" t="n">
        <v>1497153986.12016</v>
      </c>
      <c r="I316" s="62" t="s">
        <v>81</v>
      </c>
      <c r="J316" s="64" t="n">
        <v>1497153.98612016</v>
      </c>
      <c r="K316" s="62" t="s">
        <v>138</v>
      </c>
      <c r="L316" s="68" t="b">
        <f aca="false">TRUE()</f>
        <v>1</v>
      </c>
    </row>
    <row r="317" customFormat="false" ht="15" hidden="false" customHeight="false" outlineLevel="0" collapsed="false">
      <c r="A317" s="62" t="n">
        <v>0</v>
      </c>
      <c r="B317" s="21" t="s">
        <v>336</v>
      </c>
      <c r="C317" s="62" t="s">
        <v>60</v>
      </c>
      <c r="D317" s="62" t="s">
        <v>381</v>
      </c>
      <c r="E317" s="62" t="s">
        <v>67</v>
      </c>
      <c r="F317" s="62" t="s">
        <v>382</v>
      </c>
      <c r="G317" s="63" t="s">
        <v>408</v>
      </c>
      <c r="H317" s="64" t="n">
        <v>529181242.278694</v>
      </c>
      <c r="I317" s="62" t="s">
        <v>81</v>
      </c>
      <c r="J317" s="64" t="n">
        <v>529181.242278694</v>
      </c>
      <c r="K317" s="62" t="s">
        <v>138</v>
      </c>
      <c r="L317" s="68" t="b">
        <f aca="false">TRUE()</f>
        <v>1</v>
      </c>
    </row>
    <row r="318" customFormat="false" ht="15" hidden="false" customHeight="false" outlineLevel="0" collapsed="false">
      <c r="A318" s="62" t="n">
        <v>0</v>
      </c>
      <c r="B318" s="21" t="s">
        <v>336</v>
      </c>
      <c r="C318" s="62" t="s">
        <v>60</v>
      </c>
      <c r="D318" s="62" t="s">
        <v>383</v>
      </c>
      <c r="E318" s="62" t="s">
        <v>67</v>
      </c>
      <c r="F318" s="62" t="s">
        <v>382</v>
      </c>
      <c r="G318" s="63" t="s">
        <v>408</v>
      </c>
      <c r="H318" s="64" t="n">
        <v>529181242.278694</v>
      </c>
      <c r="I318" s="62" t="s">
        <v>81</v>
      </c>
      <c r="J318" s="64" t="n">
        <v>529181.242278694</v>
      </c>
      <c r="K318" s="62" t="s">
        <v>138</v>
      </c>
      <c r="L318" s="68" t="b">
        <f aca="false">TRUE()</f>
        <v>1</v>
      </c>
    </row>
    <row r="319" customFormat="false" ht="15" hidden="false" customHeight="false" outlineLevel="0" collapsed="false">
      <c r="A319" s="62" t="n">
        <v>0</v>
      </c>
      <c r="B319" s="21" t="s">
        <v>336</v>
      </c>
      <c r="C319" s="62" t="s">
        <v>60</v>
      </c>
      <c r="D319" s="62" t="s">
        <v>384</v>
      </c>
      <c r="E319" s="62" t="s">
        <v>67</v>
      </c>
      <c r="F319" s="62" t="s">
        <v>382</v>
      </c>
      <c r="G319" s="63" t="s">
        <v>408</v>
      </c>
      <c r="H319" s="64" t="n">
        <v>529181242.278694</v>
      </c>
      <c r="I319" s="62" t="s">
        <v>81</v>
      </c>
      <c r="J319" s="64" t="n">
        <v>529181.242278694</v>
      </c>
      <c r="K319" s="62" t="s">
        <v>138</v>
      </c>
      <c r="L319" s="68" t="b">
        <f aca="false">TRUE()</f>
        <v>1</v>
      </c>
    </row>
    <row r="320" customFormat="false" ht="15" hidden="false" customHeight="false" outlineLevel="0" collapsed="false">
      <c r="A320" s="62" t="n">
        <v>0</v>
      </c>
      <c r="B320" s="21" t="s">
        <v>336</v>
      </c>
      <c r="C320" s="62" t="s">
        <v>60</v>
      </c>
      <c r="D320" s="62" t="s">
        <v>385</v>
      </c>
      <c r="E320" s="62" t="s">
        <v>67</v>
      </c>
      <c r="F320" s="62" t="s">
        <v>382</v>
      </c>
      <c r="G320" s="63" t="s">
        <v>408</v>
      </c>
      <c r="H320" s="64" t="n">
        <v>529181242.278694</v>
      </c>
      <c r="I320" s="62" t="s">
        <v>81</v>
      </c>
      <c r="J320" s="64" t="n">
        <v>529181.242278694</v>
      </c>
      <c r="K320" s="62" t="s">
        <v>138</v>
      </c>
      <c r="L320" s="68" t="b">
        <f aca="false">TRUE()</f>
        <v>1</v>
      </c>
    </row>
    <row r="321" customFormat="false" ht="15" hidden="false" customHeight="false" outlineLevel="0" collapsed="false">
      <c r="A321" s="62" t="n">
        <v>0</v>
      </c>
      <c r="B321" s="21" t="s">
        <v>336</v>
      </c>
      <c r="C321" s="62" t="s">
        <v>60</v>
      </c>
      <c r="D321" s="62" t="s">
        <v>386</v>
      </c>
      <c r="E321" s="62" t="s">
        <v>67</v>
      </c>
      <c r="F321" s="62" t="s">
        <v>382</v>
      </c>
      <c r="G321" s="63" t="s">
        <v>408</v>
      </c>
      <c r="H321" s="64" t="n">
        <v>529181242.278694</v>
      </c>
      <c r="I321" s="62" t="s">
        <v>81</v>
      </c>
      <c r="J321" s="64" t="n">
        <v>529181.242278694</v>
      </c>
      <c r="K321" s="62" t="s">
        <v>138</v>
      </c>
      <c r="L321" s="68" t="b">
        <f aca="false">TRUE()</f>
        <v>1</v>
      </c>
    </row>
    <row r="322" customFormat="false" ht="15" hidden="false" customHeight="false" outlineLevel="0" collapsed="false">
      <c r="A322" s="62" t="n">
        <v>0</v>
      </c>
      <c r="B322" s="21" t="s">
        <v>336</v>
      </c>
      <c r="C322" s="62" t="s">
        <v>60</v>
      </c>
      <c r="D322" s="62" t="s">
        <v>387</v>
      </c>
      <c r="E322" s="62" t="s">
        <v>67</v>
      </c>
      <c r="F322" s="62" t="s">
        <v>382</v>
      </c>
      <c r="G322" s="63" t="s">
        <v>408</v>
      </c>
      <c r="H322" s="64" t="n">
        <v>529181242.278694</v>
      </c>
      <c r="I322" s="62" t="s">
        <v>81</v>
      </c>
      <c r="J322" s="64" t="n">
        <v>529181.242278694</v>
      </c>
      <c r="K322" s="62" t="s">
        <v>138</v>
      </c>
      <c r="L322" s="68" t="b">
        <f aca="false">TRUE()</f>
        <v>1</v>
      </c>
    </row>
    <row r="323" customFormat="false" ht="15" hidden="false" customHeight="false" outlineLevel="0" collapsed="false">
      <c r="A323" s="62" t="n">
        <v>0</v>
      </c>
      <c r="B323" s="21" t="s">
        <v>336</v>
      </c>
      <c r="C323" s="62" t="s">
        <v>60</v>
      </c>
      <c r="D323" s="62" t="s">
        <v>388</v>
      </c>
      <c r="E323" s="62" t="s">
        <v>67</v>
      </c>
      <c r="F323" s="62" t="s">
        <v>382</v>
      </c>
      <c r="G323" s="63" t="s">
        <v>408</v>
      </c>
      <c r="H323" s="64" t="n">
        <v>529181242.278694</v>
      </c>
      <c r="I323" s="62" t="s">
        <v>81</v>
      </c>
      <c r="J323" s="64" t="n">
        <v>529181.242278694</v>
      </c>
      <c r="K323" s="62" t="s">
        <v>138</v>
      </c>
      <c r="L323" s="68" t="b">
        <f aca="false">TRUE()</f>
        <v>1</v>
      </c>
    </row>
    <row r="324" customFormat="false" ht="15" hidden="false" customHeight="false" outlineLevel="0" collapsed="false">
      <c r="A324" s="62" t="n">
        <v>0</v>
      </c>
      <c r="B324" s="21" t="s">
        <v>336</v>
      </c>
      <c r="C324" s="62" t="s">
        <v>60</v>
      </c>
      <c r="D324" s="62" t="s">
        <v>381</v>
      </c>
      <c r="E324" s="62" t="s">
        <v>67</v>
      </c>
      <c r="F324" s="62" t="s">
        <v>382</v>
      </c>
      <c r="G324" s="63" t="s">
        <v>409</v>
      </c>
      <c r="H324" s="64" t="n">
        <v>967972743.841462</v>
      </c>
      <c r="I324" s="62" t="s">
        <v>81</v>
      </c>
      <c r="J324" s="64" t="n">
        <v>967972.743841462</v>
      </c>
      <c r="K324" s="62" t="s">
        <v>138</v>
      </c>
      <c r="L324" s="68" t="b">
        <f aca="false">TRUE()</f>
        <v>1</v>
      </c>
    </row>
    <row r="325" customFormat="false" ht="15" hidden="false" customHeight="false" outlineLevel="0" collapsed="false">
      <c r="A325" s="62" t="n">
        <v>0</v>
      </c>
      <c r="B325" s="21" t="s">
        <v>336</v>
      </c>
      <c r="C325" s="62" t="s">
        <v>60</v>
      </c>
      <c r="D325" s="62" t="s">
        <v>383</v>
      </c>
      <c r="E325" s="62" t="s">
        <v>67</v>
      </c>
      <c r="F325" s="62" t="s">
        <v>382</v>
      </c>
      <c r="G325" s="63" t="s">
        <v>409</v>
      </c>
      <c r="H325" s="64" t="n">
        <v>967972743.841462</v>
      </c>
      <c r="I325" s="62" t="s">
        <v>81</v>
      </c>
      <c r="J325" s="64" t="n">
        <v>967972.743841462</v>
      </c>
      <c r="K325" s="62" t="s">
        <v>138</v>
      </c>
      <c r="L325" s="68" t="b">
        <f aca="false">TRUE()</f>
        <v>1</v>
      </c>
    </row>
    <row r="326" customFormat="false" ht="15" hidden="false" customHeight="false" outlineLevel="0" collapsed="false">
      <c r="A326" s="62" t="n">
        <v>0</v>
      </c>
      <c r="B326" s="21" t="s">
        <v>336</v>
      </c>
      <c r="C326" s="62" t="s">
        <v>60</v>
      </c>
      <c r="D326" s="62" t="s">
        <v>384</v>
      </c>
      <c r="E326" s="62" t="s">
        <v>67</v>
      </c>
      <c r="F326" s="62" t="s">
        <v>382</v>
      </c>
      <c r="G326" s="63" t="s">
        <v>409</v>
      </c>
      <c r="H326" s="64" t="n">
        <v>967972743.841462</v>
      </c>
      <c r="I326" s="62" t="s">
        <v>81</v>
      </c>
      <c r="J326" s="64" t="n">
        <v>967972.743841462</v>
      </c>
      <c r="K326" s="62" t="s">
        <v>138</v>
      </c>
      <c r="L326" s="68" t="b">
        <f aca="false">TRUE()</f>
        <v>1</v>
      </c>
    </row>
    <row r="327" customFormat="false" ht="15" hidden="false" customHeight="false" outlineLevel="0" collapsed="false">
      <c r="A327" s="62" t="n">
        <v>0</v>
      </c>
      <c r="B327" s="21" t="s">
        <v>336</v>
      </c>
      <c r="C327" s="62" t="s">
        <v>60</v>
      </c>
      <c r="D327" s="62" t="s">
        <v>385</v>
      </c>
      <c r="E327" s="62" t="s">
        <v>67</v>
      </c>
      <c r="F327" s="62" t="s">
        <v>382</v>
      </c>
      <c r="G327" s="63" t="s">
        <v>409</v>
      </c>
      <c r="H327" s="64" t="n">
        <v>967972743.841462</v>
      </c>
      <c r="I327" s="62" t="s">
        <v>81</v>
      </c>
      <c r="J327" s="64" t="n">
        <v>967972.743841462</v>
      </c>
      <c r="K327" s="62" t="s">
        <v>138</v>
      </c>
      <c r="L327" s="68" t="b">
        <f aca="false">TRUE()</f>
        <v>1</v>
      </c>
    </row>
    <row r="328" customFormat="false" ht="15" hidden="false" customHeight="false" outlineLevel="0" collapsed="false">
      <c r="A328" s="62" t="n">
        <v>0</v>
      </c>
      <c r="B328" s="21" t="s">
        <v>336</v>
      </c>
      <c r="C328" s="62" t="s">
        <v>60</v>
      </c>
      <c r="D328" s="62" t="s">
        <v>386</v>
      </c>
      <c r="E328" s="62" t="s">
        <v>67</v>
      </c>
      <c r="F328" s="62" t="s">
        <v>382</v>
      </c>
      <c r="G328" s="63" t="s">
        <v>409</v>
      </c>
      <c r="H328" s="64" t="n">
        <v>967972743.841462</v>
      </c>
      <c r="I328" s="62" t="s">
        <v>81</v>
      </c>
      <c r="J328" s="64" t="n">
        <v>967972.743841462</v>
      </c>
      <c r="K328" s="62" t="s">
        <v>138</v>
      </c>
      <c r="L328" s="68" t="b">
        <f aca="false">TRUE()</f>
        <v>1</v>
      </c>
    </row>
    <row r="329" customFormat="false" ht="15" hidden="false" customHeight="false" outlineLevel="0" collapsed="false">
      <c r="A329" s="62" t="n">
        <v>0</v>
      </c>
      <c r="B329" s="21" t="s">
        <v>336</v>
      </c>
      <c r="C329" s="62" t="s">
        <v>60</v>
      </c>
      <c r="D329" s="62" t="s">
        <v>387</v>
      </c>
      <c r="E329" s="62" t="s">
        <v>67</v>
      </c>
      <c r="F329" s="62" t="s">
        <v>382</v>
      </c>
      <c r="G329" s="63" t="s">
        <v>409</v>
      </c>
      <c r="H329" s="64" t="n">
        <v>967972743.841462</v>
      </c>
      <c r="I329" s="62" t="s">
        <v>81</v>
      </c>
      <c r="J329" s="64" t="n">
        <v>967972.743841462</v>
      </c>
      <c r="K329" s="62" t="s">
        <v>138</v>
      </c>
      <c r="L329" s="68" t="b">
        <f aca="false">TRUE()</f>
        <v>1</v>
      </c>
    </row>
    <row r="330" customFormat="false" ht="15" hidden="false" customHeight="false" outlineLevel="0" collapsed="false">
      <c r="A330" s="62" t="n">
        <v>0</v>
      </c>
      <c r="B330" s="21" t="s">
        <v>336</v>
      </c>
      <c r="C330" s="62" t="s">
        <v>60</v>
      </c>
      <c r="D330" s="62" t="s">
        <v>388</v>
      </c>
      <c r="E330" s="62" t="s">
        <v>67</v>
      </c>
      <c r="F330" s="62" t="s">
        <v>382</v>
      </c>
      <c r="G330" s="63" t="s">
        <v>409</v>
      </c>
      <c r="H330" s="64" t="n">
        <v>967972743.841462</v>
      </c>
      <c r="I330" s="62" t="s">
        <v>81</v>
      </c>
      <c r="J330" s="64" t="n">
        <v>967972.743841462</v>
      </c>
      <c r="K330" s="62" t="s">
        <v>138</v>
      </c>
      <c r="L330" s="68" t="b">
        <f aca="false">TRUE()</f>
        <v>1</v>
      </c>
    </row>
    <row r="331" customFormat="false" ht="15" hidden="false" customHeight="false" outlineLevel="0" collapsed="false">
      <c r="A331" s="62" t="n">
        <v>0</v>
      </c>
      <c r="B331" s="21" t="s">
        <v>336</v>
      </c>
      <c r="C331" s="62" t="s">
        <v>60</v>
      </c>
      <c r="D331" s="62" t="s">
        <v>381</v>
      </c>
      <c r="E331" s="62" t="s">
        <v>67</v>
      </c>
      <c r="F331" s="62" t="s">
        <v>382</v>
      </c>
      <c r="G331" s="63" t="s">
        <v>410</v>
      </c>
      <c r="H331" s="64" t="n">
        <v>212954003.645122</v>
      </c>
      <c r="I331" s="62" t="s">
        <v>81</v>
      </c>
      <c r="J331" s="64" t="n">
        <v>212954.003645122</v>
      </c>
      <c r="K331" s="62" t="s">
        <v>138</v>
      </c>
      <c r="L331" s="68" t="b">
        <f aca="false">TRUE()</f>
        <v>1</v>
      </c>
    </row>
    <row r="332" customFormat="false" ht="15" hidden="false" customHeight="false" outlineLevel="0" collapsed="false">
      <c r="A332" s="62" t="n">
        <v>0</v>
      </c>
      <c r="B332" s="21" t="s">
        <v>336</v>
      </c>
      <c r="C332" s="62" t="s">
        <v>60</v>
      </c>
      <c r="D332" s="62" t="s">
        <v>383</v>
      </c>
      <c r="E332" s="62" t="s">
        <v>67</v>
      </c>
      <c r="F332" s="62" t="s">
        <v>382</v>
      </c>
      <c r="G332" s="63" t="s">
        <v>410</v>
      </c>
      <c r="H332" s="64" t="n">
        <v>212954003.645122</v>
      </c>
      <c r="I332" s="62" t="s">
        <v>81</v>
      </c>
      <c r="J332" s="64" t="n">
        <v>212954.003645122</v>
      </c>
      <c r="K332" s="62" t="s">
        <v>138</v>
      </c>
      <c r="L332" s="68" t="b">
        <f aca="false">TRUE()</f>
        <v>1</v>
      </c>
    </row>
    <row r="333" customFormat="false" ht="15" hidden="false" customHeight="false" outlineLevel="0" collapsed="false">
      <c r="A333" s="62" t="n">
        <v>0</v>
      </c>
      <c r="B333" s="21" t="s">
        <v>336</v>
      </c>
      <c r="C333" s="62" t="s">
        <v>60</v>
      </c>
      <c r="D333" s="62" t="s">
        <v>384</v>
      </c>
      <c r="E333" s="62" t="s">
        <v>67</v>
      </c>
      <c r="F333" s="62" t="s">
        <v>382</v>
      </c>
      <c r="G333" s="63" t="s">
        <v>410</v>
      </c>
      <c r="H333" s="64" t="n">
        <v>212954003.645122</v>
      </c>
      <c r="I333" s="62" t="s">
        <v>81</v>
      </c>
      <c r="J333" s="64" t="n">
        <v>212954.003645122</v>
      </c>
      <c r="K333" s="62" t="s">
        <v>138</v>
      </c>
      <c r="L333" s="68" t="b">
        <f aca="false">TRUE()</f>
        <v>1</v>
      </c>
    </row>
    <row r="334" customFormat="false" ht="15" hidden="false" customHeight="false" outlineLevel="0" collapsed="false">
      <c r="A334" s="62" t="n">
        <v>0</v>
      </c>
      <c r="B334" s="21" t="s">
        <v>336</v>
      </c>
      <c r="C334" s="62" t="s">
        <v>60</v>
      </c>
      <c r="D334" s="62" t="s">
        <v>385</v>
      </c>
      <c r="E334" s="62" t="s">
        <v>67</v>
      </c>
      <c r="F334" s="62" t="s">
        <v>382</v>
      </c>
      <c r="G334" s="63" t="s">
        <v>410</v>
      </c>
      <c r="H334" s="64" t="n">
        <v>212954003.645122</v>
      </c>
      <c r="I334" s="62" t="s">
        <v>81</v>
      </c>
      <c r="J334" s="64" t="n">
        <v>212954.003645122</v>
      </c>
      <c r="K334" s="62" t="s">
        <v>138</v>
      </c>
      <c r="L334" s="68" t="b">
        <f aca="false">TRUE()</f>
        <v>1</v>
      </c>
    </row>
    <row r="335" customFormat="false" ht="15" hidden="false" customHeight="false" outlineLevel="0" collapsed="false">
      <c r="A335" s="62" t="n">
        <v>0</v>
      </c>
      <c r="B335" s="21" t="s">
        <v>336</v>
      </c>
      <c r="C335" s="62" t="s">
        <v>60</v>
      </c>
      <c r="D335" s="62" t="s">
        <v>386</v>
      </c>
      <c r="E335" s="62" t="s">
        <v>67</v>
      </c>
      <c r="F335" s="62" t="s">
        <v>382</v>
      </c>
      <c r="G335" s="63" t="s">
        <v>410</v>
      </c>
      <c r="H335" s="64" t="n">
        <v>212954003.645122</v>
      </c>
      <c r="I335" s="62" t="s">
        <v>81</v>
      </c>
      <c r="J335" s="64" t="n">
        <v>212954.003645122</v>
      </c>
      <c r="K335" s="62" t="s">
        <v>138</v>
      </c>
      <c r="L335" s="68" t="b">
        <f aca="false">TRUE()</f>
        <v>1</v>
      </c>
    </row>
    <row r="336" customFormat="false" ht="15" hidden="false" customHeight="false" outlineLevel="0" collapsed="false">
      <c r="A336" s="62" t="n">
        <v>0</v>
      </c>
      <c r="B336" s="21" t="s">
        <v>336</v>
      </c>
      <c r="C336" s="62" t="s">
        <v>60</v>
      </c>
      <c r="D336" s="62" t="s">
        <v>387</v>
      </c>
      <c r="E336" s="62" t="s">
        <v>67</v>
      </c>
      <c r="F336" s="62" t="s">
        <v>382</v>
      </c>
      <c r="G336" s="63" t="s">
        <v>410</v>
      </c>
      <c r="H336" s="64" t="n">
        <v>212954003.645122</v>
      </c>
      <c r="I336" s="62" t="s">
        <v>81</v>
      </c>
      <c r="J336" s="64" t="n">
        <v>212954.003645122</v>
      </c>
      <c r="K336" s="62" t="s">
        <v>138</v>
      </c>
      <c r="L336" s="68" t="b">
        <f aca="false">TRUE()</f>
        <v>1</v>
      </c>
    </row>
    <row r="337" customFormat="false" ht="15" hidden="false" customHeight="false" outlineLevel="0" collapsed="false">
      <c r="A337" s="62" t="n">
        <v>0</v>
      </c>
      <c r="B337" s="21" t="s">
        <v>336</v>
      </c>
      <c r="C337" s="62" t="s">
        <v>60</v>
      </c>
      <c r="D337" s="62" t="s">
        <v>388</v>
      </c>
      <c r="E337" s="62" t="s">
        <v>67</v>
      </c>
      <c r="F337" s="62" t="s">
        <v>382</v>
      </c>
      <c r="G337" s="63" t="s">
        <v>410</v>
      </c>
      <c r="H337" s="64" t="n">
        <v>212954003.645122</v>
      </c>
      <c r="I337" s="62" t="s">
        <v>81</v>
      </c>
      <c r="J337" s="64" t="n">
        <v>212954.003645122</v>
      </c>
      <c r="K337" s="62" t="s">
        <v>138</v>
      </c>
      <c r="L337" s="68" t="b">
        <f aca="false">TRUE()</f>
        <v>1</v>
      </c>
    </row>
    <row r="338" customFormat="false" ht="15" hidden="false" customHeight="false" outlineLevel="0" collapsed="false">
      <c r="A338" s="62" t="n">
        <v>0</v>
      </c>
      <c r="B338" s="21" t="s">
        <v>336</v>
      </c>
      <c r="C338" s="62" t="s">
        <v>60</v>
      </c>
      <c r="D338" s="62" t="s">
        <v>381</v>
      </c>
      <c r="E338" s="62" t="s">
        <v>67</v>
      </c>
      <c r="F338" s="62" t="s">
        <v>382</v>
      </c>
      <c r="G338" s="63" t="s">
        <v>411</v>
      </c>
      <c r="H338" s="64" t="n">
        <v>755018740.19634</v>
      </c>
      <c r="I338" s="62" t="s">
        <v>81</v>
      </c>
      <c r="J338" s="64" t="n">
        <v>755018.74019634</v>
      </c>
      <c r="K338" s="62" t="s">
        <v>138</v>
      </c>
      <c r="L338" s="68" t="b">
        <f aca="false">TRUE()</f>
        <v>1</v>
      </c>
    </row>
    <row r="339" customFormat="false" ht="15" hidden="false" customHeight="false" outlineLevel="0" collapsed="false">
      <c r="A339" s="62" t="n">
        <v>0</v>
      </c>
      <c r="B339" s="21" t="s">
        <v>336</v>
      </c>
      <c r="C339" s="62" t="s">
        <v>60</v>
      </c>
      <c r="D339" s="62" t="s">
        <v>383</v>
      </c>
      <c r="E339" s="62" t="s">
        <v>67</v>
      </c>
      <c r="F339" s="62" t="s">
        <v>382</v>
      </c>
      <c r="G339" s="63" t="s">
        <v>411</v>
      </c>
      <c r="H339" s="64" t="n">
        <v>755018740.19634</v>
      </c>
      <c r="I339" s="62" t="s">
        <v>81</v>
      </c>
      <c r="J339" s="64" t="n">
        <v>755018.74019634</v>
      </c>
      <c r="K339" s="62" t="s">
        <v>138</v>
      </c>
      <c r="L339" s="68" t="b">
        <f aca="false">TRUE()</f>
        <v>1</v>
      </c>
    </row>
    <row r="340" customFormat="false" ht="15" hidden="false" customHeight="false" outlineLevel="0" collapsed="false">
      <c r="A340" s="62" t="n">
        <v>0</v>
      </c>
      <c r="B340" s="21" t="s">
        <v>336</v>
      </c>
      <c r="C340" s="62" t="s">
        <v>60</v>
      </c>
      <c r="D340" s="62" t="s">
        <v>384</v>
      </c>
      <c r="E340" s="62" t="s">
        <v>67</v>
      </c>
      <c r="F340" s="62" t="s">
        <v>382</v>
      </c>
      <c r="G340" s="63" t="s">
        <v>411</v>
      </c>
      <c r="H340" s="64" t="n">
        <v>755018740.19634</v>
      </c>
      <c r="I340" s="62" t="s">
        <v>81</v>
      </c>
      <c r="J340" s="64" t="n">
        <v>755018.74019634</v>
      </c>
      <c r="K340" s="62" t="s">
        <v>138</v>
      </c>
      <c r="L340" s="68" t="b">
        <f aca="false">TRUE()</f>
        <v>1</v>
      </c>
    </row>
    <row r="341" customFormat="false" ht="15" hidden="false" customHeight="false" outlineLevel="0" collapsed="false">
      <c r="A341" s="62" t="n">
        <v>0</v>
      </c>
      <c r="B341" s="21" t="s">
        <v>336</v>
      </c>
      <c r="C341" s="62" t="s">
        <v>60</v>
      </c>
      <c r="D341" s="62" t="s">
        <v>385</v>
      </c>
      <c r="E341" s="62" t="s">
        <v>67</v>
      </c>
      <c r="F341" s="62" t="s">
        <v>382</v>
      </c>
      <c r="G341" s="63" t="s">
        <v>411</v>
      </c>
      <c r="H341" s="64" t="n">
        <v>755018740.19634</v>
      </c>
      <c r="I341" s="62" t="s">
        <v>81</v>
      </c>
      <c r="J341" s="64" t="n">
        <v>755018.74019634</v>
      </c>
      <c r="K341" s="62" t="s">
        <v>138</v>
      </c>
      <c r="L341" s="68" t="b">
        <f aca="false">TRUE()</f>
        <v>1</v>
      </c>
    </row>
    <row r="342" customFormat="false" ht="15" hidden="false" customHeight="false" outlineLevel="0" collapsed="false">
      <c r="A342" s="62" t="n">
        <v>0</v>
      </c>
      <c r="B342" s="21" t="s">
        <v>336</v>
      </c>
      <c r="C342" s="62" t="s">
        <v>60</v>
      </c>
      <c r="D342" s="62" t="s">
        <v>386</v>
      </c>
      <c r="E342" s="62" t="s">
        <v>67</v>
      </c>
      <c r="F342" s="62" t="s">
        <v>382</v>
      </c>
      <c r="G342" s="63" t="s">
        <v>411</v>
      </c>
      <c r="H342" s="64" t="n">
        <v>755018740.19634</v>
      </c>
      <c r="I342" s="62" t="s">
        <v>81</v>
      </c>
      <c r="J342" s="64" t="n">
        <v>755018.74019634</v>
      </c>
      <c r="K342" s="62" t="s">
        <v>138</v>
      </c>
      <c r="L342" s="68" t="b">
        <f aca="false">TRUE()</f>
        <v>1</v>
      </c>
    </row>
    <row r="343" customFormat="false" ht="15" hidden="false" customHeight="false" outlineLevel="0" collapsed="false">
      <c r="A343" s="62" t="n">
        <v>0</v>
      </c>
      <c r="B343" s="21" t="s">
        <v>336</v>
      </c>
      <c r="C343" s="62" t="s">
        <v>60</v>
      </c>
      <c r="D343" s="62" t="s">
        <v>387</v>
      </c>
      <c r="E343" s="62" t="s">
        <v>67</v>
      </c>
      <c r="F343" s="62" t="s">
        <v>382</v>
      </c>
      <c r="G343" s="63" t="s">
        <v>411</v>
      </c>
      <c r="H343" s="64" t="n">
        <v>755018740.19634</v>
      </c>
      <c r="I343" s="62" t="s">
        <v>81</v>
      </c>
      <c r="J343" s="64" t="n">
        <v>755018.74019634</v>
      </c>
      <c r="K343" s="62" t="s">
        <v>138</v>
      </c>
      <c r="L343" s="68" t="b">
        <f aca="false">TRUE()</f>
        <v>1</v>
      </c>
    </row>
    <row r="344" customFormat="false" ht="15" hidden="false" customHeight="false" outlineLevel="0" collapsed="false">
      <c r="A344" s="62" t="n">
        <v>0</v>
      </c>
      <c r="B344" s="21" t="s">
        <v>336</v>
      </c>
      <c r="C344" s="62" t="s">
        <v>60</v>
      </c>
      <c r="D344" s="62" t="s">
        <v>388</v>
      </c>
      <c r="E344" s="62" t="s">
        <v>67</v>
      </c>
      <c r="F344" s="62" t="s">
        <v>382</v>
      </c>
      <c r="G344" s="63" t="s">
        <v>411</v>
      </c>
      <c r="H344" s="64" t="n">
        <v>755018740.19634</v>
      </c>
      <c r="I344" s="62" t="s">
        <v>81</v>
      </c>
      <c r="J344" s="64" t="n">
        <v>755018.74019634</v>
      </c>
      <c r="K344" s="62" t="s">
        <v>138</v>
      </c>
      <c r="L344" s="68" t="b">
        <f aca="false">TRUE()</f>
        <v>1</v>
      </c>
    </row>
    <row r="345" customFormat="false" ht="15" hidden="false" customHeight="false" outlineLevel="0" collapsed="false">
      <c r="A345" s="62" t="n">
        <v>0</v>
      </c>
      <c r="B345" s="21" t="s">
        <v>336</v>
      </c>
      <c r="C345" s="62" t="s">
        <v>60</v>
      </c>
      <c r="D345" s="62" t="s">
        <v>381</v>
      </c>
      <c r="E345" s="62" t="s">
        <v>67</v>
      </c>
      <c r="F345" s="62" t="s">
        <v>382</v>
      </c>
      <c r="G345" s="63" t="s">
        <v>412</v>
      </c>
      <c r="H345" s="64" t="n">
        <v>9045615600</v>
      </c>
      <c r="I345" s="62" t="s">
        <v>81</v>
      </c>
      <c r="J345" s="64" t="n">
        <v>9045615.6</v>
      </c>
      <c r="K345" s="62" t="s">
        <v>138</v>
      </c>
      <c r="L345" s="68" t="b">
        <f aca="false">TRUE()</f>
        <v>1</v>
      </c>
    </row>
    <row r="346" customFormat="false" ht="15" hidden="false" customHeight="false" outlineLevel="0" collapsed="false">
      <c r="A346" s="62" t="n">
        <v>0</v>
      </c>
      <c r="B346" s="21" t="s">
        <v>336</v>
      </c>
      <c r="C346" s="62" t="s">
        <v>60</v>
      </c>
      <c r="D346" s="62" t="s">
        <v>383</v>
      </c>
      <c r="E346" s="62" t="s">
        <v>67</v>
      </c>
      <c r="F346" s="62" t="s">
        <v>382</v>
      </c>
      <c r="G346" s="63" t="s">
        <v>412</v>
      </c>
      <c r="H346" s="64" t="n">
        <v>9045615600</v>
      </c>
      <c r="I346" s="62" t="s">
        <v>81</v>
      </c>
      <c r="J346" s="64" t="n">
        <v>9045615.6</v>
      </c>
      <c r="K346" s="62" t="s">
        <v>138</v>
      </c>
      <c r="L346" s="68" t="b">
        <f aca="false">TRUE()</f>
        <v>1</v>
      </c>
    </row>
    <row r="347" customFormat="false" ht="15" hidden="false" customHeight="false" outlineLevel="0" collapsed="false">
      <c r="A347" s="62" t="n">
        <v>0</v>
      </c>
      <c r="B347" s="21" t="s">
        <v>336</v>
      </c>
      <c r="C347" s="62" t="s">
        <v>60</v>
      </c>
      <c r="D347" s="62" t="s">
        <v>384</v>
      </c>
      <c r="E347" s="62" t="s">
        <v>67</v>
      </c>
      <c r="F347" s="62" t="s">
        <v>382</v>
      </c>
      <c r="G347" s="63" t="s">
        <v>412</v>
      </c>
      <c r="H347" s="64" t="n">
        <v>9045615600</v>
      </c>
      <c r="I347" s="62" t="s">
        <v>81</v>
      </c>
      <c r="J347" s="64" t="n">
        <v>9045615.6</v>
      </c>
      <c r="K347" s="62" t="s">
        <v>138</v>
      </c>
      <c r="L347" s="68" t="b">
        <f aca="false">TRUE()</f>
        <v>1</v>
      </c>
    </row>
    <row r="348" customFormat="false" ht="15" hidden="false" customHeight="false" outlineLevel="0" collapsed="false">
      <c r="A348" s="62" t="n">
        <v>0</v>
      </c>
      <c r="B348" s="21" t="s">
        <v>336</v>
      </c>
      <c r="C348" s="62" t="s">
        <v>60</v>
      </c>
      <c r="D348" s="62" t="s">
        <v>385</v>
      </c>
      <c r="E348" s="62" t="s">
        <v>67</v>
      </c>
      <c r="F348" s="62" t="s">
        <v>382</v>
      </c>
      <c r="G348" s="63" t="s">
        <v>412</v>
      </c>
      <c r="H348" s="64" t="n">
        <v>9045615600</v>
      </c>
      <c r="I348" s="62" t="s">
        <v>81</v>
      </c>
      <c r="J348" s="64" t="n">
        <v>9045615.6</v>
      </c>
      <c r="K348" s="62" t="s">
        <v>138</v>
      </c>
      <c r="L348" s="68" t="b">
        <f aca="false">TRUE()</f>
        <v>1</v>
      </c>
    </row>
    <row r="349" customFormat="false" ht="15" hidden="false" customHeight="false" outlineLevel="0" collapsed="false">
      <c r="A349" s="62" t="n">
        <v>0</v>
      </c>
      <c r="B349" s="21" t="s">
        <v>336</v>
      </c>
      <c r="C349" s="62" t="s">
        <v>60</v>
      </c>
      <c r="D349" s="62" t="s">
        <v>386</v>
      </c>
      <c r="E349" s="62" t="s">
        <v>67</v>
      </c>
      <c r="F349" s="62" t="s">
        <v>382</v>
      </c>
      <c r="G349" s="63" t="s">
        <v>412</v>
      </c>
      <c r="H349" s="64" t="n">
        <v>9045615600</v>
      </c>
      <c r="I349" s="62" t="s">
        <v>81</v>
      </c>
      <c r="J349" s="64" t="n">
        <v>9045615.6</v>
      </c>
      <c r="K349" s="62" t="s">
        <v>138</v>
      </c>
      <c r="L349" s="68" t="b">
        <f aca="false">TRUE()</f>
        <v>1</v>
      </c>
    </row>
    <row r="350" customFormat="false" ht="15" hidden="false" customHeight="false" outlineLevel="0" collapsed="false">
      <c r="A350" s="62" t="n">
        <v>0</v>
      </c>
      <c r="B350" s="21" t="s">
        <v>336</v>
      </c>
      <c r="C350" s="62" t="s">
        <v>60</v>
      </c>
      <c r="D350" s="62" t="s">
        <v>387</v>
      </c>
      <c r="E350" s="62" t="s">
        <v>67</v>
      </c>
      <c r="F350" s="62" t="s">
        <v>382</v>
      </c>
      <c r="G350" s="63" t="s">
        <v>412</v>
      </c>
      <c r="H350" s="64" t="n">
        <v>9045615600</v>
      </c>
      <c r="I350" s="62" t="s">
        <v>81</v>
      </c>
      <c r="J350" s="64" t="n">
        <v>9045615.6</v>
      </c>
      <c r="K350" s="62" t="s">
        <v>138</v>
      </c>
      <c r="L350" s="68" t="b">
        <f aca="false">TRUE()</f>
        <v>1</v>
      </c>
    </row>
    <row r="351" customFormat="false" ht="15" hidden="false" customHeight="false" outlineLevel="0" collapsed="false">
      <c r="A351" s="62" t="n">
        <v>0</v>
      </c>
      <c r="B351" s="21" t="s">
        <v>336</v>
      </c>
      <c r="C351" s="62" t="s">
        <v>60</v>
      </c>
      <c r="D351" s="62" t="s">
        <v>388</v>
      </c>
      <c r="E351" s="62" t="s">
        <v>67</v>
      </c>
      <c r="F351" s="62" t="s">
        <v>382</v>
      </c>
      <c r="G351" s="63" t="s">
        <v>412</v>
      </c>
      <c r="H351" s="64" t="n">
        <v>9045615600</v>
      </c>
      <c r="I351" s="62" t="s">
        <v>81</v>
      </c>
      <c r="J351" s="64" t="n">
        <v>9045615.6</v>
      </c>
      <c r="K351" s="62" t="s">
        <v>138</v>
      </c>
      <c r="L351" s="68" t="b">
        <f aca="false">TRUE()</f>
        <v>1</v>
      </c>
    </row>
    <row r="352" customFormat="false" ht="15" hidden="false" customHeight="false" outlineLevel="0" collapsed="false">
      <c r="A352" s="62" t="n">
        <v>0</v>
      </c>
      <c r="B352" s="21" t="s">
        <v>336</v>
      </c>
      <c r="C352" s="62" t="s">
        <v>60</v>
      </c>
      <c r="D352" s="62" t="s">
        <v>381</v>
      </c>
      <c r="E352" s="62" t="s">
        <v>67</v>
      </c>
      <c r="F352" s="62" t="s">
        <v>382</v>
      </c>
      <c r="G352" s="63" t="s">
        <v>413</v>
      </c>
      <c r="H352" s="64" t="n">
        <v>0</v>
      </c>
      <c r="I352" s="62" t="s">
        <v>81</v>
      </c>
      <c r="J352" s="64" t="n">
        <v>0</v>
      </c>
      <c r="K352" s="62" t="s">
        <v>138</v>
      </c>
      <c r="L352" s="68" t="b">
        <f aca="false">TRUE()</f>
        <v>1</v>
      </c>
    </row>
    <row r="353" customFormat="false" ht="15" hidden="false" customHeight="false" outlineLevel="0" collapsed="false">
      <c r="A353" s="62" t="n">
        <v>0</v>
      </c>
      <c r="B353" s="21" t="s">
        <v>336</v>
      </c>
      <c r="C353" s="62" t="s">
        <v>60</v>
      </c>
      <c r="D353" s="62" t="s">
        <v>383</v>
      </c>
      <c r="E353" s="62" t="s">
        <v>67</v>
      </c>
      <c r="F353" s="62" t="s">
        <v>382</v>
      </c>
      <c r="G353" s="63" t="s">
        <v>413</v>
      </c>
      <c r="H353" s="64" t="n">
        <v>0</v>
      </c>
      <c r="I353" s="62" t="s">
        <v>81</v>
      </c>
      <c r="J353" s="64" t="n">
        <v>0</v>
      </c>
      <c r="K353" s="62" t="s">
        <v>138</v>
      </c>
      <c r="L353" s="68" t="b">
        <f aca="false">TRUE()</f>
        <v>1</v>
      </c>
    </row>
    <row r="354" customFormat="false" ht="15" hidden="false" customHeight="false" outlineLevel="0" collapsed="false">
      <c r="A354" s="62" t="n">
        <v>0</v>
      </c>
      <c r="B354" s="21" t="s">
        <v>336</v>
      </c>
      <c r="C354" s="62" t="s">
        <v>60</v>
      </c>
      <c r="D354" s="62" t="s">
        <v>384</v>
      </c>
      <c r="E354" s="62" t="s">
        <v>67</v>
      </c>
      <c r="F354" s="62" t="s">
        <v>382</v>
      </c>
      <c r="G354" s="63" t="s">
        <v>413</v>
      </c>
      <c r="H354" s="64" t="n">
        <v>0</v>
      </c>
      <c r="I354" s="62" t="s">
        <v>81</v>
      </c>
      <c r="J354" s="64" t="n">
        <v>0</v>
      </c>
      <c r="K354" s="62" t="s">
        <v>138</v>
      </c>
      <c r="L354" s="68" t="b">
        <f aca="false">TRUE()</f>
        <v>1</v>
      </c>
    </row>
    <row r="355" customFormat="false" ht="15" hidden="false" customHeight="false" outlineLevel="0" collapsed="false">
      <c r="A355" s="62" t="n">
        <v>0</v>
      </c>
      <c r="B355" s="21" t="s">
        <v>336</v>
      </c>
      <c r="C355" s="62" t="s">
        <v>60</v>
      </c>
      <c r="D355" s="62" t="s">
        <v>385</v>
      </c>
      <c r="E355" s="62" t="s">
        <v>67</v>
      </c>
      <c r="F355" s="62" t="s">
        <v>382</v>
      </c>
      <c r="G355" s="63" t="s">
        <v>413</v>
      </c>
      <c r="H355" s="64" t="n">
        <v>0</v>
      </c>
      <c r="I355" s="62" t="s">
        <v>81</v>
      </c>
      <c r="J355" s="64" t="n">
        <v>0</v>
      </c>
      <c r="K355" s="62" t="s">
        <v>138</v>
      </c>
      <c r="L355" s="68" t="b">
        <f aca="false">TRUE()</f>
        <v>1</v>
      </c>
    </row>
    <row r="356" customFormat="false" ht="15" hidden="false" customHeight="false" outlineLevel="0" collapsed="false">
      <c r="A356" s="62" t="n">
        <v>0</v>
      </c>
      <c r="B356" s="21" t="s">
        <v>336</v>
      </c>
      <c r="C356" s="62" t="s">
        <v>60</v>
      </c>
      <c r="D356" s="62" t="s">
        <v>386</v>
      </c>
      <c r="E356" s="62" t="s">
        <v>67</v>
      </c>
      <c r="F356" s="62" t="s">
        <v>382</v>
      </c>
      <c r="G356" s="63" t="s">
        <v>413</v>
      </c>
      <c r="H356" s="64" t="n">
        <v>0</v>
      </c>
      <c r="I356" s="62" t="s">
        <v>81</v>
      </c>
      <c r="J356" s="64" t="n">
        <v>0</v>
      </c>
      <c r="K356" s="62" t="s">
        <v>138</v>
      </c>
      <c r="L356" s="68" t="b">
        <f aca="false">TRUE()</f>
        <v>1</v>
      </c>
    </row>
    <row r="357" customFormat="false" ht="15" hidden="false" customHeight="false" outlineLevel="0" collapsed="false">
      <c r="A357" s="62" t="n">
        <v>0</v>
      </c>
      <c r="B357" s="21" t="s">
        <v>336</v>
      </c>
      <c r="C357" s="62" t="s">
        <v>60</v>
      </c>
      <c r="D357" s="62" t="s">
        <v>387</v>
      </c>
      <c r="E357" s="62" t="s">
        <v>67</v>
      </c>
      <c r="F357" s="62" t="s">
        <v>382</v>
      </c>
      <c r="G357" s="63" t="s">
        <v>413</v>
      </c>
      <c r="H357" s="64" t="n">
        <v>0</v>
      </c>
      <c r="I357" s="62" t="s">
        <v>81</v>
      </c>
      <c r="J357" s="64" t="n">
        <v>0</v>
      </c>
      <c r="K357" s="62" t="s">
        <v>138</v>
      </c>
      <c r="L357" s="68" t="b">
        <f aca="false">TRUE()</f>
        <v>1</v>
      </c>
    </row>
    <row r="358" customFormat="false" ht="15" hidden="false" customHeight="false" outlineLevel="0" collapsed="false">
      <c r="A358" s="62" t="n">
        <v>0</v>
      </c>
      <c r="B358" s="21" t="s">
        <v>336</v>
      </c>
      <c r="C358" s="62" t="s">
        <v>60</v>
      </c>
      <c r="D358" s="62" t="s">
        <v>388</v>
      </c>
      <c r="E358" s="62" t="s">
        <v>67</v>
      </c>
      <c r="F358" s="62" t="s">
        <v>382</v>
      </c>
      <c r="G358" s="63" t="s">
        <v>413</v>
      </c>
      <c r="H358" s="64" t="n">
        <v>0</v>
      </c>
      <c r="I358" s="62" t="s">
        <v>81</v>
      </c>
      <c r="J358" s="64" t="n">
        <v>0</v>
      </c>
      <c r="K358" s="62" t="s">
        <v>138</v>
      </c>
      <c r="L358" s="68" t="b">
        <f aca="false">TRUE()</f>
        <v>1</v>
      </c>
    </row>
    <row r="359" customFormat="false" ht="15" hidden="false" customHeight="false" outlineLevel="0" collapsed="false">
      <c r="A359" s="62" t="n">
        <v>0</v>
      </c>
      <c r="B359" s="21" t="s">
        <v>336</v>
      </c>
      <c r="C359" s="62" t="s">
        <v>60</v>
      </c>
      <c r="D359" s="62" t="s">
        <v>381</v>
      </c>
      <c r="E359" s="62" t="s">
        <v>67</v>
      </c>
      <c r="F359" s="62" t="s">
        <v>382</v>
      </c>
      <c r="G359" s="63" t="s">
        <v>414</v>
      </c>
      <c r="H359" s="64" t="n">
        <v>516381250</v>
      </c>
      <c r="I359" s="62" t="s">
        <v>81</v>
      </c>
      <c r="J359" s="64" t="n">
        <v>516381.25</v>
      </c>
      <c r="K359" s="62" t="s">
        <v>138</v>
      </c>
      <c r="L359" s="68" t="b">
        <f aca="false">TRUE()</f>
        <v>1</v>
      </c>
    </row>
    <row r="360" customFormat="false" ht="15" hidden="false" customHeight="false" outlineLevel="0" collapsed="false">
      <c r="A360" s="62" t="n">
        <v>0</v>
      </c>
      <c r="B360" s="21" t="s">
        <v>336</v>
      </c>
      <c r="C360" s="62" t="s">
        <v>60</v>
      </c>
      <c r="D360" s="62" t="s">
        <v>383</v>
      </c>
      <c r="E360" s="62" t="s">
        <v>67</v>
      </c>
      <c r="F360" s="62" t="s">
        <v>382</v>
      </c>
      <c r="G360" s="63" t="s">
        <v>414</v>
      </c>
      <c r="H360" s="64" t="n">
        <v>516381250</v>
      </c>
      <c r="I360" s="62" t="s">
        <v>81</v>
      </c>
      <c r="J360" s="64" t="n">
        <v>516381.25</v>
      </c>
      <c r="K360" s="62" t="s">
        <v>138</v>
      </c>
      <c r="L360" s="68" t="b">
        <f aca="false">TRUE()</f>
        <v>1</v>
      </c>
    </row>
    <row r="361" customFormat="false" ht="15" hidden="false" customHeight="false" outlineLevel="0" collapsed="false">
      <c r="A361" s="62" t="n">
        <v>0</v>
      </c>
      <c r="B361" s="21" t="s">
        <v>336</v>
      </c>
      <c r="C361" s="62" t="s">
        <v>60</v>
      </c>
      <c r="D361" s="62" t="s">
        <v>384</v>
      </c>
      <c r="E361" s="62" t="s">
        <v>67</v>
      </c>
      <c r="F361" s="62" t="s">
        <v>382</v>
      </c>
      <c r="G361" s="63" t="s">
        <v>414</v>
      </c>
      <c r="H361" s="64" t="n">
        <v>516381250</v>
      </c>
      <c r="I361" s="62" t="s">
        <v>81</v>
      </c>
      <c r="J361" s="64" t="n">
        <v>516381.25</v>
      </c>
      <c r="K361" s="62" t="s">
        <v>138</v>
      </c>
      <c r="L361" s="68" t="b">
        <f aca="false">TRUE()</f>
        <v>1</v>
      </c>
    </row>
    <row r="362" customFormat="false" ht="15" hidden="false" customHeight="false" outlineLevel="0" collapsed="false">
      <c r="A362" s="62" t="n">
        <v>0</v>
      </c>
      <c r="B362" s="21" t="s">
        <v>336</v>
      </c>
      <c r="C362" s="62" t="s">
        <v>60</v>
      </c>
      <c r="D362" s="62" t="s">
        <v>385</v>
      </c>
      <c r="E362" s="62" t="s">
        <v>67</v>
      </c>
      <c r="F362" s="62" t="s">
        <v>382</v>
      </c>
      <c r="G362" s="63" t="s">
        <v>414</v>
      </c>
      <c r="H362" s="64" t="n">
        <v>516381250</v>
      </c>
      <c r="I362" s="62" t="s">
        <v>81</v>
      </c>
      <c r="J362" s="64" t="n">
        <v>516381.25</v>
      </c>
      <c r="K362" s="62" t="s">
        <v>138</v>
      </c>
      <c r="L362" s="68" t="b">
        <f aca="false">TRUE()</f>
        <v>1</v>
      </c>
    </row>
    <row r="363" customFormat="false" ht="15" hidden="false" customHeight="false" outlineLevel="0" collapsed="false">
      <c r="A363" s="62" t="n">
        <v>0</v>
      </c>
      <c r="B363" s="21" t="s">
        <v>336</v>
      </c>
      <c r="C363" s="62" t="s">
        <v>60</v>
      </c>
      <c r="D363" s="62" t="s">
        <v>386</v>
      </c>
      <c r="E363" s="62" t="s">
        <v>67</v>
      </c>
      <c r="F363" s="62" t="s">
        <v>382</v>
      </c>
      <c r="G363" s="63" t="s">
        <v>414</v>
      </c>
      <c r="H363" s="64" t="n">
        <v>516381250</v>
      </c>
      <c r="I363" s="62" t="s">
        <v>81</v>
      </c>
      <c r="J363" s="64" t="n">
        <v>516381.25</v>
      </c>
      <c r="K363" s="62" t="s">
        <v>138</v>
      </c>
      <c r="L363" s="68" t="b">
        <f aca="false">TRUE()</f>
        <v>1</v>
      </c>
    </row>
    <row r="364" customFormat="false" ht="15" hidden="false" customHeight="false" outlineLevel="0" collapsed="false">
      <c r="A364" s="62" t="n">
        <v>0</v>
      </c>
      <c r="B364" s="21" t="s">
        <v>336</v>
      </c>
      <c r="C364" s="62" t="s">
        <v>60</v>
      </c>
      <c r="D364" s="62" t="s">
        <v>387</v>
      </c>
      <c r="E364" s="62" t="s">
        <v>67</v>
      </c>
      <c r="F364" s="62" t="s">
        <v>382</v>
      </c>
      <c r="G364" s="63" t="s">
        <v>414</v>
      </c>
      <c r="H364" s="64" t="n">
        <v>516381250</v>
      </c>
      <c r="I364" s="62" t="s">
        <v>81</v>
      </c>
      <c r="J364" s="64" t="n">
        <v>516381.25</v>
      </c>
      <c r="K364" s="62" t="s">
        <v>138</v>
      </c>
      <c r="L364" s="68" t="b">
        <f aca="false">TRUE()</f>
        <v>1</v>
      </c>
    </row>
    <row r="365" customFormat="false" ht="15" hidden="false" customHeight="false" outlineLevel="0" collapsed="false">
      <c r="A365" s="62" t="n">
        <v>0</v>
      </c>
      <c r="B365" s="21" t="s">
        <v>336</v>
      </c>
      <c r="C365" s="62" t="s">
        <v>60</v>
      </c>
      <c r="D365" s="62" t="s">
        <v>388</v>
      </c>
      <c r="E365" s="62" t="s">
        <v>67</v>
      </c>
      <c r="F365" s="62" t="s">
        <v>382</v>
      </c>
      <c r="G365" s="63" t="s">
        <v>414</v>
      </c>
      <c r="H365" s="64" t="n">
        <v>516381250</v>
      </c>
      <c r="I365" s="62" t="s">
        <v>81</v>
      </c>
      <c r="J365" s="64" t="n">
        <v>516381.25</v>
      </c>
      <c r="K365" s="62" t="s">
        <v>138</v>
      </c>
      <c r="L365" s="68" t="b">
        <f aca="false">TRUE()</f>
        <v>1</v>
      </c>
    </row>
    <row r="366" customFormat="false" ht="15" hidden="false" customHeight="false" outlineLevel="0" collapsed="false">
      <c r="A366" s="62" t="n">
        <v>0</v>
      </c>
      <c r="B366" s="21" t="s">
        <v>336</v>
      </c>
      <c r="C366" s="62" t="s">
        <v>60</v>
      </c>
      <c r="D366" s="62" t="s">
        <v>381</v>
      </c>
      <c r="E366" s="62" t="s">
        <v>67</v>
      </c>
      <c r="F366" s="62" t="s">
        <v>382</v>
      </c>
      <c r="G366" s="63" t="s">
        <v>415</v>
      </c>
      <c r="H366" s="64" t="n">
        <v>9274082785.33571</v>
      </c>
      <c r="I366" s="62" t="s">
        <v>81</v>
      </c>
      <c r="J366" s="64" t="n">
        <v>9274082.78533571</v>
      </c>
      <c r="K366" s="62" t="s">
        <v>138</v>
      </c>
      <c r="L366" s="68" t="b">
        <f aca="false">TRUE()</f>
        <v>1</v>
      </c>
    </row>
    <row r="367" customFormat="false" ht="15" hidden="false" customHeight="false" outlineLevel="0" collapsed="false">
      <c r="A367" s="62" t="n">
        <v>0</v>
      </c>
      <c r="B367" s="21" t="s">
        <v>336</v>
      </c>
      <c r="C367" s="62" t="s">
        <v>60</v>
      </c>
      <c r="D367" s="62" t="s">
        <v>383</v>
      </c>
      <c r="E367" s="62" t="s">
        <v>67</v>
      </c>
      <c r="F367" s="62" t="s">
        <v>382</v>
      </c>
      <c r="G367" s="63" t="s">
        <v>415</v>
      </c>
      <c r="H367" s="64" t="n">
        <v>9274082785.33571</v>
      </c>
      <c r="I367" s="62" t="s">
        <v>81</v>
      </c>
      <c r="J367" s="64" t="n">
        <v>9274082.78533571</v>
      </c>
      <c r="K367" s="62" t="s">
        <v>138</v>
      </c>
      <c r="L367" s="68" t="b">
        <f aca="false">TRUE()</f>
        <v>1</v>
      </c>
    </row>
    <row r="368" customFormat="false" ht="15" hidden="false" customHeight="false" outlineLevel="0" collapsed="false">
      <c r="A368" s="62" t="n">
        <v>0</v>
      </c>
      <c r="B368" s="21" t="s">
        <v>336</v>
      </c>
      <c r="C368" s="62" t="s">
        <v>60</v>
      </c>
      <c r="D368" s="62" t="s">
        <v>384</v>
      </c>
      <c r="E368" s="62" t="s">
        <v>67</v>
      </c>
      <c r="F368" s="62" t="s">
        <v>382</v>
      </c>
      <c r="G368" s="63" t="s">
        <v>415</v>
      </c>
      <c r="H368" s="64" t="n">
        <v>9274082785.33571</v>
      </c>
      <c r="I368" s="62" t="s">
        <v>81</v>
      </c>
      <c r="J368" s="64" t="n">
        <v>9274082.78533571</v>
      </c>
      <c r="K368" s="62" t="s">
        <v>138</v>
      </c>
      <c r="L368" s="68" t="b">
        <f aca="false">TRUE()</f>
        <v>1</v>
      </c>
    </row>
    <row r="369" customFormat="false" ht="15" hidden="false" customHeight="false" outlineLevel="0" collapsed="false">
      <c r="A369" s="62" t="n">
        <v>0</v>
      </c>
      <c r="B369" s="21" t="s">
        <v>336</v>
      </c>
      <c r="C369" s="62" t="s">
        <v>60</v>
      </c>
      <c r="D369" s="62" t="s">
        <v>385</v>
      </c>
      <c r="E369" s="62" t="s">
        <v>67</v>
      </c>
      <c r="F369" s="62" t="s">
        <v>382</v>
      </c>
      <c r="G369" s="63" t="s">
        <v>415</v>
      </c>
      <c r="H369" s="64" t="n">
        <v>9274082785.33571</v>
      </c>
      <c r="I369" s="62" t="s">
        <v>81</v>
      </c>
      <c r="J369" s="64" t="n">
        <v>9274082.78533571</v>
      </c>
      <c r="K369" s="62" t="s">
        <v>138</v>
      </c>
      <c r="L369" s="68" t="b">
        <f aca="false">TRUE()</f>
        <v>1</v>
      </c>
    </row>
    <row r="370" customFormat="false" ht="15" hidden="false" customHeight="false" outlineLevel="0" collapsed="false">
      <c r="A370" s="62" t="n">
        <v>0</v>
      </c>
      <c r="B370" s="21" t="s">
        <v>336</v>
      </c>
      <c r="C370" s="62" t="s">
        <v>60</v>
      </c>
      <c r="D370" s="62" t="s">
        <v>386</v>
      </c>
      <c r="E370" s="62" t="s">
        <v>67</v>
      </c>
      <c r="F370" s="62" t="s">
        <v>382</v>
      </c>
      <c r="G370" s="63" t="s">
        <v>415</v>
      </c>
      <c r="H370" s="64" t="n">
        <v>9274082785.33571</v>
      </c>
      <c r="I370" s="62" t="s">
        <v>81</v>
      </c>
      <c r="J370" s="64" t="n">
        <v>9274082.78533571</v>
      </c>
      <c r="K370" s="62" t="s">
        <v>138</v>
      </c>
      <c r="L370" s="68" t="b">
        <f aca="false">TRUE()</f>
        <v>1</v>
      </c>
    </row>
    <row r="371" customFormat="false" ht="15" hidden="false" customHeight="false" outlineLevel="0" collapsed="false">
      <c r="A371" s="62" t="n">
        <v>0</v>
      </c>
      <c r="B371" s="21" t="s">
        <v>336</v>
      </c>
      <c r="C371" s="62" t="s">
        <v>60</v>
      </c>
      <c r="D371" s="62" t="s">
        <v>387</v>
      </c>
      <c r="E371" s="62" t="s">
        <v>67</v>
      </c>
      <c r="F371" s="62" t="s">
        <v>382</v>
      </c>
      <c r="G371" s="63" t="s">
        <v>415</v>
      </c>
      <c r="H371" s="64" t="n">
        <v>9274082785.33571</v>
      </c>
      <c r="I371" s="62" t="s">
        <v>81</v>
      </c>
      <c r="J371" s="64" t="n">
        <v>9274082.78533571</v>
      </c>
      <c r="K371" s="62" t="s">
        <v>138</v>
      </c>
      <c r="L371" s="68" t="b">
        <f aca="false">TRUE()</f>
        <v>1</v>
      </c>
    </row>
    <row r="372" customFormat="false" ht="15" hidden="false" customHeight="false" outlineLevel="0" collapsed="false">
      <c r="A372" s="62" t="n">
        <v>0</v>
      </c>
      <c r="B372" s="21" t="s">
        <v>336</v>
      </c>
      <c r="C372" s="62" t="s">
        <v>60</v>
      </c>
      <c r="D372" s="62" t="s">
        <v>388</v>
      </c>
      <c r="E372" s="62" t="s">
        <v>67</v>
      </c>
      <c r="F372" s="62" t="s">
        <v>382</v>
      </c>
      <c r="G372" s="63" t="s">
        <v>415</v>
      </c>
      <c r="H372" s="64" t="n">
        <v>9274082785.33571</v>
      </c>
      <c r="I372" s="62" t="s">
        <v>81</v>
      </c>
      <c r="J372" s="64" t="n">
        <v>9274082.78533571</v>
      </c>
      <c r="K372" s="62" t="s">
        <v>138</v>
      </c>
      <c r="L372" s="68" t="b">
        <f aca="false">TRUE()</f>
        <v>1</v>
      </c>
    </row>
    <row r="373" customFormat="false" ht="15" hidden="false" customHeight="false" outlineLevel="0" collapsed="false">
      <c r="A373" s="62" t="n">
        <v>0</v>
      </c>
      <c r="B373" s="21" t="s">
        <v>336</v>
      </c>
      <c r="C373" s="62" t="s">
        <v>60</v>
      </c>
      <c r="D373" s="62" t="s">
        <v>381</v>
      </c>
      <c r="E373" s="62" t="s">
        <v>67</v>
      </c>
      <c r="F373" s="62" t="s">
        <v>382</v>
      </c>
      <c r="G373" s="63" t="s">
        <v>416</v>
      </c>
      <c r="H373" s="64" t="n">
        <v>18836079635.3357</v>
      </c>
      <c r="I373" s="62" t="s">
        <v>81</v>
      </c>
      <c r="J373" s="64" t="n">
        <v>18836079.6353357</v>
      </c>
      <c r="K373" s="62" t="s">
        <v>138</v>
      </c>
      <c r="L373" s="68" t="b">
        <f aca="false">TRUE()</f>
        <v>1</v>
      </c>
    </row>
    <row r="374" customFormat="false" ht="15" hidden="false" customHeight="false" outlineLevel="0" collapsed="false">
      <c r="A374" s="62" t="n">
        <v>0</v>
      </c>
      <c r="B374" s="21" t="s">
        <v>336</v>
      </c>
      <c r="C374" s="62" t="s">
        <v>60</v>
      </c>
      <c r="D374" s="62" t="s">
        <v>383</v>
      </c>
      <c r="E374" s="62" t="s">
        <v>67</v>
      </c>
      <c r="F374" s="62" t="s">
        <v>382</v>
      </c>
      <c r="G374" s="63" t="s">
        <v>416</v>
      </c>
      <c r="H374" s="64" t="n">
        <v>18836079635.3357</v>
      </c>
      <c r="I374" s="62" t="s">
        <v>81</v>
      </c>
      <c r="J374" s="64" t="n">
        <v>18836079.6353357</v>
      </c>
      <c r="K374" s="62" t="s">
        <v>138</v>
      </c>
      <c r="L374" s="68" t="b">
        <f aca="false">TRUE()</f>
        <v>1</v>
      </c>
    </row>
    <row r="375" customFormat="false" ht="15" hidden="false" customHeight="false" outlineLevel="0" collapsed="false">
      <c r="A375" s="62" t="n">
        <v>0</v>
      </c>
      <c r="B375" s="21" t="s">
        <v>336</v>
      </c>
      <c r="C375" s="62" t="s">
        <v>60</v>
      </c>
      <c r="D375" s="62" t="s">
        <v>384</v>
      </c>
      <c r="E375" s="62" t="s">
        <v>67</v>
      </c>
      <c r="F375" s="62" t="s">
        <v>382</v>
      </c>
      <c r="G375" s="63" t="s">
        <v>416</v>
      </c>
      <c r="H375" s="64" t="n">
        <v>18836079635.3357</v>
      </c>
      <c r="I375" s="62" t="s">
        <v>81</v>
      </c>
      <c r="J375" s="64" t="n">
        <v>18836079.6353357</v>
      </c>
      <c r="K375" s="62" t="s">
        <v>138</v>
      </c>
      <c r="L375" s="68" t="b">
        <f aca="false">TRUE()</f>
        <v>1</v>
      </c>
    </row>
    <row r="376" customFormat="false" ht="15" hidden="false" customHeight="false" outlineLevel="0" collapsed="false">
      <c r="A376" s="62" t="n">
        <v>0</v>
      </c>
      <c r="B376" s="21" t="s">
        <v>336</v>
      </c>
      <c r="C376" s="62" t="s">
        <v>60</v>
      </c>
      <c r="D376" s="62" t="s">
        <v>385</v>
      </c>
      <c r="E376" s="62" t="s">
        <v>67</v>
      </c>
      <c r="F376" s="62" t="s">
        <v>382</v>
      </c>
      <c r="G376" s="63" t="s">
        <v>416</v>
      </c>
      <c r="H376" s="64" t="n">
        <v>18836079635.3357</v>
      </c>
      <c r="I376" s="62" t="s">
        <v>81</v>
      </c>
      <c r="J376" s="64" t="n">
        <v>18836079.6353357</v>
      </c>
      <c r="K376" s="62" t="s">
        <v>138</v>
      </c>
      <c r="L376" s="68" t="b">
        <f aca="false">TRUE()</f>
        <v>1</v>
      </c>
    </row>
    <row r="377" customFormat="false" ht="15" hidden="false" customHeight="false" outlineLevel="0" collapsed="false">
      <c r="A377" s="62" t="n">
        <v>0</v>
      </c>
      <c r="B377" s="21" t="s">
        <v>336</v>
      </c>
      <c r="C377" s="62" t="s">
        <v>60</v>
      </c>
      <c r="D377" s="62" t="s">
        <v>386</v>
      </c>
      <c r="E377" s="62" t="s">
        <v>67</v>
      </c>
      <c r="F377" s="62" t="s">
        <v>382</v>
      </c>
      <c r="G377" s="63" t="s">
        <v>416</v>
      </c>
      <c r="H377" s="64" t="n">
        <v>18836079635.3357</v>
      </c>
      <c r="I377" s="62" t="s">
        <v>81</v>
      </c>
      <c r="J377" s="64" t="n">
        <v>18836079.6353357</v>
      </c>
      <c r="K377" s="62" t="s">
        <v>138</v>
      </c>
      <c r="L377" s="68" t="b">
        <f aca="false">TRUE()</f>
        <v>1</v>
      </c>
    </row>
    <row r="378" customFormat="false" ht="15" hidden="false" customHeight="false" outlineLevel="0" collapsed="false">
      <c r="A378" s="62" t="n">
        <v>0</v>
      </c>
      <c r="B378" s="21" t="s">
        <v>336</v>
      </c>
      <c r="C378" s="62" t="s">
        <v>60</v>
      </c>
      <c r="D378" s="62" t="s">
        <v>387</v>
      </c>
      <c r="E378" s="62" t="s">
        <v>67</v>
      </c>
      <c r="F378" s="62" t="s">
        <v>382</v>
      </c>
      <c r="G378" s="63" t="s">
        <v>416</v>
      </c>
      <c r="H378" s="64" t="n">
        <v>18836079635.3357</v>
      </c>
      <c r="I378" s="62" t="s">
        <v>81</v>
      </c>
      <c r="J378" s="64" t="n">
        <v>18836079.6353357</v>
      </c>
      <c r="K378" s="62" t="s">
        <v>138</v>
      </c>
      <c r="L378" s="68" t="b">
        <f aca="false">TRUE()</f>
        <v>1</v>
      </c>
    </row>
    <row r="379" customFormat="false" ht="15" hidden="false" customHeight="false" outlineLevel="0" collapsed="false">
      <c r="A379" s="62" t="n">
        <v>0</v>
      </c>
      <c r="B379" s="21" t="s">
        <v>336</v>
      </c>
      <c r="C379" s="62" t="s">
        <v>60</v>
      </c>
      <c r="D379" s="62" t="s">
        <v>388</v>
      </c>
      <c r="E379" s="62" t="s">
        <v>67</v>
      </c>
      <c r="F379" s="62" t="s">
        <v>382</v>
      </c>
      <c r="G379" s="63" t="s">
        <v>416</v>
      </c>
      <c r="H379" s="64" t="n">
        <v>18836079635.3357</v>
      </c>
      <c r="I379" s="62" t="s">
        <v>81</v>
      </c>
      <c r="J379" s="64" t="n">
        <v>18836079.6353357</v>
      </c>
      <c r="K379" s="62" t="s">
        <v>138</v>
      </c>
      <c r="L379" s="68" t="b">
        <f aca="false">TRUE()</f>
        <v>1</v>
      </c>
    </row>
    <row r="380" customFormat="false" ht="15" hidden="false" customHeight="false" outlineLevel="0" collapsed="false">
      <c r="A380" s="62" t="n">
        <v>0</v>
      </c>
      <c r="B380" s="21" t="s">
        <v>336</v>
      </c>
      <c r="C380" s="62" t="s">
        <v>60</v>
      </c>
      <c r="D380" s="62" t="s">
        <v>381</v>
      </c>
      <c r="E380" s="62" t="s">
        <v>67</v>
      </c>
      <c r="F380" s="62" t="s">
        <v>382</v>
      </c>
      <c r="G380" s="63" t="s">
        <v>396</v>
      </c>
      <c r="H380" s="64" t="n">
        <v>3250000000</v>
      </c>
      <c r="I380" s="62" t="s">
        <v>81</v>
      </c>
      <c r="J380" s="64" t="n">
        <v>3250000</v>
      </c>
      <c r="K380" s="62" t="s">
        <v>138</v>
      </c>
      <c r="L380" s="68" t="b">
        <f aca="false">TRUE()</f>
        <v>1</v>
      </c>
    </row>
    <row r="381" customFormat="false" ht="15" hidden="false" customHeight="false" outlineLevel="0" collapsed="false">
      <c r="A381" s="62" t="n">
        <v>0</v>
      </c>
      <c r="B381" s="21" t="s">
        <v>336</v>
      </c>
      <c r="C381" s="62" t="s">
        <v>60</v>
      </c>
      <c r="D381" s="62" t="s">
        <v>383</v>
      </c>
      <c r="E381" s="62" t="s">
        <v>67</v>
      </c>
      <c r="F381" s="62" t="s">
        <v>382</v>
      </c>
      <c r="G381" s="63" t="s">
        <v>396</v>
      </c>
      <c r="H381" s="64" t="n">
        <v>3250000000</v>
      </c>
      <c r="I381" s="62" t="s">
        <v>81</v>
      </c>
      <c r="J381" s="64" t="n">
        <v>3250000</v>
      </c>
      <c r="K381" s="62" t="s">
        <v>138</v>
      </c>
      <c r="L381" s="68" t="b">
        <f aca="false">TRUE()</f>
        <v>1</v>
      </c>
    </row>
    <row r="382" customFormat="false" ht="15" hidden="false" customHeight="false" outlineLevel="0" collapsed="false">
      <c r="A382" s="62" t="n">
        <v>0</v>
      </c>
      <c r="B382" s="21" t="s">
        <v>336</v>
      </c>
      <c r="C382" s="62" t="s">
        <v>60</v>
      </c>
      <c r="D382" s="62" t="s">
        <v>384</v>
      </c>
      <c r="E382" s="62" t="s">
        <v>67</v>
      </c>
      <c r="F382" s="62" t="s">
        <v>382</v>
      </c>
      <c r="G382" s="63" t="s">
        <v>396</v>
      </c>
      <c r="H382" s="64" t="n">
        <v>3250000000</v>
      </c>
      <c r="I382" s="62" t="s">
        <v>81</v>
      </c>
      <c r="J382" s="64" t="n">
        <v>3250000</v>
      </c>
      <c r="K382" s="62" t="s">
        <v>138</v>
      </c>
      <c r="L382" s="68" t="b">
        <f aca="false">TRUE()</f>
        <v>1</v>
      </c>
    </row>
    <row r="383" customFormat="false" ht="15" hidden="false" customHeight="false" outlineLevel="0" collapsed="false">
      <c r="A383" s="62" t="n">
        <v>0</v>
      </c>
      <c r="B383" s="21" t="s">
        <v>336</v>
      </c>
      <c r="C383" s="62" t="s">
        <v>60</v>
      </c>
      <c r="D383" s="62" t="s">
        <v>385</v>
      </c>
      <c r="E383" s="62" t="s">
        <v>67</v>
      </c>
      <c r="F383" s="62" t="s">
        <v>382</v>
      </c>
      <c r="G383" s="63" t="s">
        <v>396</v>
      </c>
      <c r="H383" s="64" t="n">
        <v>3250000000</v>
      </c>
      <c r="I383" s="62" t="s">
        <v>81</v>
      </c>
      <c r="J383" s="64" t="n">
        <v>3250000</v>
      </c>
      <c r="K383" s="62" t="s">
        <v>138</v>
      </c>
      <c r="L383" s="68" t="b">
        <f aca="false">TRUE()</f>
        <v>1</v>
      </c>
    </row>
    <row r="384" customFormat="false" ht="15" hidden="false" customHeight="false" outlineLevel="0" collapsed="false">
      <c r="A384" s="62" t="n">
        <v>0</v>
      </c>
      <c r="B384" s="21" t="s">
        <v>336</v>
      </c>
      <c r="C384" s="62" t="s">
        <v>60</v>
      </c>
      <c r="D384" s="62" t="s">
        <v>386</v>
      </c>
      <c r="E384" s="62" t="s">
        <v>67</v>
      </c>
      <c r="F384" s="62" t="s">
        <v>382</v>
      </c>
      <c r="G384" s="63" t="s">
        <v>396</v>
      </c>
      <c r="H384" s="64" t="n">
        <v>3250000000</v>
      </c>
      <c r="I384" s="62" t="s">
        <v>81</v>
      </c>
      <c r="J384" s="64" t="n">
        <v>3250000</v>
      </c>
      <c r="K384" s="62" t="s">
        <v>138</v>
      </c>
      <c r="L384" s="68" t="b">
        <f aca="false">TRUE()</f>
        <v>1</v>
      </c>
    </row>
    <row r="385" customFormat="false" ht="15" hidden="false" customHeight="false" outlineLevel="0" collapsed="false">
      <c r="A385" s="62" t="n">
        <v>0</v>
      </c>
      <c r="B385" s="21" t="s">
        <v>336</v>
      </c>
      <c r="C385" s="62" t="s">
        <v>60</v>
      </c>
      <c r="D385" s="62" t="s">
        <v>387</v>
      </c>
      <c r="E385" s="62" t="s">
        <v>67</v>
      </c>
      <c r="F385" s="62" t="s">
        <v>382</v>
      </c>
      <c r="G385" s="63" t="s">
        <v>396</v>
      </c>
      <c r="H385" s="64" t="n">
        <v>3250000000</v>
      </c>
      <c r="I385" s="62" t="s">
        <v>81</v>
      </c>
      <c r="J385" s="64" t="n">
        <v>3250000</v>
      </c>
      <c r="K385" s="62" t="s">
        <v>138</v>
      </c>
      <c r="L385" s="68" t="b">
        <f aca="false">TRUE()</f>
        <v>1</v>
      </c>
    </row>
    <row r="386" customFormat="false" ht="15" hidden="false" customHeight="false" outlineLevel="0" collapsed="false">
      <c r="A386" s="62" t="n">
        <v>0</v>
      </c>
      <c r="B386" s="21" t="s">
        <v>336</v>
      </c>
      <c r="C386" s="62" t="s">
        <v>60</v>
      </c>
      <c r="D386" s="62" t="s">
        <v>388</v>
      </c>
      <c r="E386" s="62" t="s">
        <v>67</v>
      </c>
      <c r="F386" s="62" t="s">
        <v>382</v>
      </c>
      <c r="G386" s="63" t="s">
        <v>396</v>
      </c>
      <c r="H386" s="64" t="n">
        <v>3250000000</v>
      </c>
      <c r="I386" s="62" t="s">
        <v>81</v>
      </c>
      <c r="J386" s="64" t="n">
        <v>3250000</v>
      </c>
      <c r="K386" s="62" t="s">
        <v>138</v>
      </c>
      <c r="L386" s="68" t="b">
        <f aca="false">TRUE()</f>
        <v>1</v>
      </c>
    </row>
    <row r="387" customFormat="false" ht="15" hidden="false" customHeight="false" outlineLevel="0" collapsed="false">
      <c r="A387" s="62" t="n">
        <v>0</v>
      </c>
      <c r="B387" s="21" t="s">
        <v>336</v>
      </c>
      <c r="C387" s="62" t="s">
        <v>60</v>
      </c>
      <c r="D387" s="62" t="s">
        <v>381</v>
      </c>
      <c r="E387" s="62" t="s">
        <v>67</v>
      </c>
      <c r="F387" s="62" t="s">
        <v>382</v>
      </c>
      <c r="G387" s="63" t="s">
        <v>397</v>
      </c>
      <c r="H387" s="64" t="n">
        <v>0</v>
      </c>
      <c r="I387" s="62" t="s">
        <v>81</v>
      </c>
      <c r="J387" s="64" t="n">
        <v>0</v>
      </c>
      <c r="K387" s="62" t="s">
        <v>138</v>
      </c>
      <c r="L387" s="68" t="b">
        <f aca="false">TRUE()</f>
        <v>1</v>
      </c>
    </row>
    <row r="388" customFormat="false" ht="15" hidden="false" customHeight="false" outlineLevel="0" collapsed="false">
      <c r="A388" s="62" t="n">
        <v>0</v>
      </c>
      <c r="B388" s="21" t="s">
        <v>336</v>
      </c>
      <c r="C388" s="62" t="s">
        <v>60</v>
      </c>
      <c r="D388" s="62" t="s">
        <v>383</v>
      </c>
      <c r="E388" s="62" t="s">
        <v>67</v>
      </c>
      <c r="F388" s="62" t="s">
        <v>382</v>
      </c>
      <c r="G388" s="63" t="s">
        <v>397</v>
      </c>
      <c r="H388" s="64" t="n">
        <v>0</v>
      </c>
      <c r="I388" s="62" t="s">
        <v>81</v>
      </c>
      <c r="J388" s="64" t="n">
        <v>0</v>
      </c>
      <c r="K388" s="62" t="s">
        <v>138</v>
      </c>
      <c r="L388" s="68" t="b">
        <f aca="false">TRUE()</f>
        <v>1</v>
      </c>
    </row>
    <row r="389" customFormat="false" ht="15" hidden="false" customHeight="false" outlineLevel="0" collapsed="false">
      <c r="A389" s="62" t="n">
        <v>0</v>
      </c>
      <c r="B389" s="21" t="s">
        <v>336</v>
      </c>
      <c r="C389" s="62" t="s">
        <v>60</v>
      </c>
      <c r="D389" s="62" t="s">
        <v>384</v>
      </c>
      <c r="E389" s="62" t="s">
        <v>67</v>
      </c>
      <c r="F389" s="62" t="s">
        <v>382</v>
      </c>
      <c r="G389" s="63" t="s">
        <v>397</v>
      </c>
      <c r="H389" s="64" t="n">
        <v>0</v>
      </c>
      <c r="I389" s="62" t="s">
        <v>81</v>
      </c>
      <c r="J389" s="64" t="n">
        <v>0</v>
      </c>
      <c r="K389" s="62" t="s">
        <v>138</v>
      </c>
      <c r="L389" s="68" t="b">
        <f aca="false">TRUE()</f>
        <v>1</v>
      </c>
    </row>
    <row r="390" customFormat="false" ht="15" hidden="false" customHeight="false" outlineLevel="0" collapsed="false">
      <c r="A390" s="62" t="n">
        <v>0</v>
      </c>
      <c r="B390" s="21" t="s">
        <v>336</v>
      </c>
      <c r="C390" s="62" t="s">
        <v>60</v>
      </c>
      <c r="D390" s="62" t="s">
        <v>385</v>
      </c>
      <c r="E390" s="62" t="s">
        <v>67</v>
      </c>
      <c r="F390" s="62" t="s">
        <v>382</v>
      </c>
      <c r="G390" s="63" t="s">
        <v>397</v>
      </c>
      <c r="H390" s="64" t="n">
        <v>0</v>
      </c>
      <c r="I390" s="62" t="s">
        <v>81</v>
      </c>
      <c r="J390" s="64" t="n">
        <v>0</v>
      </c>
      <c r="K390" s="62" t="s">
        <v>138</v>
      </c>
      <c r="L390" s="68" t="b">
        <f aca="false">TRUE()</f>
        <v>1</v>
      </c>
    </row>
    <row r="391" customFormat="false" ht="15" hidden="false" customHeight="false" outlineLevel="0" collapsed="false">
      <c r="A391" s="62" t="n">
        <v>0</v>
      </c>
      <c r="B391" s="21" t="s">
        <v>336</v>
      </c>
      <c r="C391" s="62" t="s">
        <v>60</v>
      </c>
      <c r="D391" s="62" t="s">
        <v>386</v>
      </c>
      <c r="E391" s="62" t="s">
        <v>67</v>
      </c>
      <c r="F391" s="62" t="s">
        <v>382</v>
      </c>
      <c r="G391" s="63" t="s">
        <v>397</v>
      </c>
      <c r="H391" s="64" t="n">
        <v>0</v>
      </c>
      <c r="I391" s="62" t="s">
        <v>81</v>
      </c>
      <c r="J391" s="64" t="n">
        <v>0</v>
      </c>
      <c r="K391" s="62" t="s">
        <v>138</v>
      </c>
      <c r="L391" s="68" t="b">
        <f aca="false">TRUE()</f>
        <v>1</v>
      </c>
    </row>
    <row r="392" customFormat="false" ht="15" hidden="false" customHeight="false" outlineLevel="0" collapsed="false">
      <c r="A392" s="62" t="n">
        <v>0</v>
      </c>
      <c r="B392" s="21" t="s">
        <v>336</v>
      </c>
      <c r="C392" s="62" t="s">
        <v>60</v>
      </c>
      <c r="D392" s="62" t="s">
        <v>387</v>
      </c>
      <c r="E392" s="62" t="s">
        <v>67</v>
      </c>
      <c r="F392" s="62" t="s">
        <v>382</v>
      </c>
      <c r="G392" s="63" t="s">
        <v>397</v>
      </c>
      <c r="H392" s="64" t="n">
        <v>0</v>
      </c>
      <c r="I392" s="62" t="s">
        <v>81</v>
      </c>
      <c r="J392" s="64" t="n">
        <v>0</v>
      </c>
      <c r="K392" s="62" t="s">
        <v>138</v>
      </c>
      <c r="L392" s="68" t="b">
        <f aca="false">TRUE()</f>
        <v>1</v>
      </c>
    </row>
    <row r="393" customFormat="false" ht="15" hidden="false" customHeight="false" outlineLevel="0" collapsed="false">
      <c r="A393" s="62" t="n">
        <v>0</v>
      </c>
      <c r="B393" s="21" t="s">
        <v>336</v>
      </c>
      <c r="C393" s="62" t="s">
        <v>60</v>
      </c>
      <c r="D393" s="62" t="s">
        <v>388</v>
      </c>
      <c r="E393" s="62" t="s">
        <v>67</v>
      </c>
      <c r="F393" s="62" t="s">
        <v>382</v>
      </c>
      <c r="G393" s="63" t="s">
        <v>397</v>
      </c>
      <c r="H393" s="64" t="n">
        <v>0</v>
      </c>
      <c r="I393" s="62" t="s">
        <v>81</v>
      </c>
      <c r="J393" s="64" t="n">
        <v>0</v>
      </c>
      <c r="K393" s="62" t="s">
        <v>138</v>
      </c>
      <c r="L393" s="68" t="b">
        <f aca="false">TRUE()</f>
        <v>1</v>
      </c>
    </row>
    <row r="394" customFormat="false" ht="15" hidden="false" customHeight="false" outlineLevel="0" collapsed="false">
      <c r="A394" s="62" t="n">
        <v>0</v>
      </c>
      <c r="B394" s="21" t="s">
        <v>336</v>
      </c>
      <c r="C394" s="62" t="s">
        <v>60</v>
      </c>
      <c r="D394" s="62" t="s">
        <v>381</v>
      </c>
      <c r="E394" s="62" t="s">
        <v>67</v>
      </c>
      <c r="F394" s="62" t="s">
        <v>382</v>
      </c>
      <c r="G394" s="63" t="s">
        <v>417</v>
      </c>
      <c r="H394" s="64" t="n">
        <v>755018740.19634</v>
      </c>
      <c r="I394" s="62" t="s">
        <v>81</v>
      </c>
      <c r="J394" s="64" t="n">
        <v>755018.74019634</v>
      </c>
      <c r="K394" s="62" t="s">
        <v>138</v>
      </c>
      <c r="L394" s="68" t="b">
        <f aca="false">TRUE()</f>
        <v>1</v>
      </c>
    </row>
    <row r="395" customFormat="false" ht="15" hidden="false" customHeight="false" outlineLevel="0" collapsed="false">
      <c r="A395" s="62" t="n">
        <v>0</v>
      </c>
      <c r="B395" s="21" t="s">
        <v>336</v>
      </c>
      <c r="C395" s="62" t="s">
        <v>60</v>
      </c>
      <c r="D395" s="62" t="s">
        <v>383</v>
      </c>
      <c r="E395" s="62" t="s">
        <v>67</v>
      </c>
      <c r="F395" s="62" t="s">
        <v>382</v>
      </c>
      <c r="G395" s="63" t="s">
        <v>417</v>
      </c>
      <c r="H395" s="64" t="n">
        <v>755018740.19634</v>
      </c>
      <c r="I395" s="62" t="s">
        <v>81</v>
      </c>
      <c r="J395" s="64" t="n">
        <v>755018.74019634</v>
      </c>
      <c r="K395" s="62" t="s">
        <v>138</v>
      </c>
      <c r="L395" s="68" t="b">
        <f aca="false">TRUE()</f>
        <v>1</v>
      </c>
    </row>
    <row r="396" customFormat="false" ht="15" hidden="false" customHeight="false" outlineLevel="0" collapsed="false">
      <c r="A396" s="62" t="n">
        <v>0</v>
      </c>
      <c r="B396" s="21" t="s">
        <v>336</v>
      </c>
      <c r="C396" s="62" t="s">
        <v>60</v>
      </c>
      <c r="D396" s="62" t="s">
        <v>384</v>
      </c>
      <c r="E396" s="62" t="s">
        <v>67</v>
      </c>
      <c r="F396" s="62" t="s">
        <v>382</v>
      </c>
      <c r="G396" s="63" t="s">
        <v>417</v>
      </c>
      <c r="H396" s="64" t="n">
        <v>755018740.19634</v>
      </c>
      <c r="I396" s="62" t="s">
        <v>81</v>
      </c>
      <c r="J396" s="64" t="n">
        <v>755018.74019634</v>
      </c>
      <c r="K396" s="62" t="s">
        <v>138</v>
      </c>
      <c r="L396" s="68" t="b">
        <f aca="false">TRUE()</f>
        <v>1</v>
      </c>
    </row>
    <row r="397" customFormat="false" ht="15" hidden="false" customHeight="false" outlineLevel="0" collapsed="false">
      <c r="A397" s="62" t="n">
        <v>0</v>
      </c>
      <c r="B397" s="21" t="s">
        <v>336</v>
      </c>
      <c r="C397" s="62" t="s">
        <v>60</v>
      </c>
      <c r="D397" s="62" t="s">
        <v>385</v>
      </c>
      <c r="E397" s="62" t="s">
        <v>67</v>
      </c>
      <c r="F397" s="62" t="s">
        <v>382</v>
      </c>
      <c r="G397" s="63" t="s">
        <v>417</v>
      </c>
      <c r="H397" s="64" t="n">
        <v>755018740.19634</v>
      </c>
      <c r="I397" s="62" t="s">
        <v>81</v>
      </c>
      <c r="J397" s="64" t="n">
        <v>755018.74019634</v>
      </c>
      <c r="K397" s="62" t="s">
        <v>138</v>
      </c>
      <c r="L397" s="68" t="b">
        <f aca="false">TRUE()</f>
        <v>1</v>
      </c>
    </row>
    <row r="398" customFormat="false" ht="15" hidden="false" customHeight="false" outlineLevel="0" collapsed="false">
      <c r="A398" s="62" t="n">
        <v>0</v>
      </c>
      <c r="B398" s="21" t="s">
        <v>336</v>
      </c>
      <c r="C398" s="62" t="s">
        <v>60</v>
      </c>
      <c r="D398" s="62" t="s">
        <v>386</v>
      </c>
      <c r="E398" s="62" t="s">
        <v>67</v>
      </c>
      <c r="F398" s="62" t="s">
        <v>382</v>
      </c>
      <c r="G398" s="63" t="s">
        <v>417</v>
      </c>
      <c r="H398" s="64" t="n">
        <v>755018740.19634</v>
      </c>
      <c r="I398" s="62" t="s">
        <v>81</v>
      </c>
      <c r="J398" s="64" t="n">
        <v>755018.74019634</v>
      </c>
      <c r="K398" s="62" t="s">
        <v>138</v>
      </c>
      <c r="L398" s="68" t="b">
        <f aca="false">TRUE()</f>
        <v>1</v>
      </c>
    </row>
    <row r="399" customFormat="false" ht="15" hidden="false" customHeight="false" outlineLevel="0" collapsed="false">
      <c r="A399" s="62" t="n">
        <v>0</v>
      </c>
      <c r="B399" s="21" t="s">
        <v>336</v>
      </c>
      <c r="C399" s="62" t="s">
        <v>60</v>
      </c>
      <c r="D399" s="62" t="s">
        <v>387</v>
      </c>
      <c r="E399" s="62" t="s">
        <v>67</v>
      </c>
      <c r="F399" s="62" t="s">
        <v>382</v>
      </c>
      <c r="G399" s="63" t="s">
        <v>417</v>
      </c>
      <c r="H399" s="64" t="n">
        <v>755018740.19634</v>
      </c>
      <c r="I399" s="62" t="s">
        <v>81</v>
      </c>
      <c r="J399" s="64" t="n">
        <v>755018.74019634</v>
      </c>
      <c r="K399" s="62" t="s">
        <v>138</v>
      </c>
      <c r="L399" s="68" t="b">
        <f aca="false">TRUE()</f>
        <v>1</v>
      </c>
    </row>
    <row r="400" customFormat="false" ht="15" hidden="false" customHeight="false" outlineLevel="0" collapsed="false">
      <c r="A400" s="62" t="n">
        <v>0</v>
      </c>
      <c r="B400" s="21" t="s">
        <v>336</v>
      </c>
      <c r="C400" s="62" t="s">
        <v>60</v>
      </c>
      <c r="D400" s="62" t="s">
        <v>388</v>
      </c>
      <c r="E400" s="62" t="s">
        <v>67</v>
      </c>
      <c r="F400" s="62" t="s">
        <v>382</v>
      </c>
      <c r="G400" s="63" t="s">
        <v>417</v>
      </c>
      <c r="H400" s="64" t="n">
        <v>755018740.19634</v>
      </c>
      <c r="I400" s="62" t="s">
        <v>81</v>
      </c>
      <c r="J400" s="64" t="n">
        <v>755018.74019634</v>
      </c>
      <c r="K400" s="62" t="s">
        <v>138</v>
      </c>
      <c r="L400" s="68" t="b">
        <f aca="false">TRUE()</f>
        <v>1</v>
      </c>
    </row>
    <row r="401" customFormat="false" ht="15" hidden="false" customHeight="false" outlineLevel="0" collapsed="false">
      <c r="A401" s="62" t="n">
        <v>0</v>
      </c>
      <c r="B401" s="21" t="s">
        <v>336</v>
      </c>
      <c r="C401" s="62" t="s">
        <v>60</v>
      </c>
      <c r="D401" s="62" t="s">
        <v>381</v>
      </c>
      <c r="E401" s="62" t="s">
        <v>67</v>
      </c>
      <c r="F401" s="62" t="s">
        <v>382</v>
      </c>
      <c r="G401" s="63" t="s">
        <v>398</v>
      </c>
      <c r="H401" s="64" t="n">
        <v>1500794000</v>
      </c>
      <c r="I401" s="62" t="s">
        <v>81</v>
      </c>
      <c r="J401" s="64" t="n">
        <v>1500794</v>
      </c>
      <c r="K401" s="62" t="s">
        <v>138</v>
      </c>
      <c r="L401" s="68" t="b">
        <f aca="false">TRUE()</f>
        <v>1</v>
      </c>
    </row>
    <row r="402" customFormat="false" ht="15" hidden="false" customHeight="false" outlineLevel="0" collapsed="false">
      <c r="A402" s="62" t="n">
        <v>0</v>
      </c>
      <c r="B402" s="21" t="s">
        <v>336</v>
      </c>
      <c r="C402" s="62" t="s">
        <v>60</v>
      </c>
      <c r="D402" s="62" t="s">
        <v>383</v>
      </c>
      <c r="E402" s="62" t="s">
        <v>67</v>
      </c>
      <c r="F402" s="62" t="s">
        <v>382</v>
      </c>
      <c r="G402" s="63" t="s">
        <v>398</v>
      </c>
      <c r="H402" s="64" t="n">
        <v>1500794000</v>
      </c>
      <c r="I402" s="62" t="s">
        <v>81</v>
      </c>
      <c r="J402" s="64" t="n">
        <v>1500794</v>
      </c>
      <c r="K402" s="62" t="s">
        <v>138</v>
      </c>
      <c r="L402" s="68" t="b">
        <f aca="false">TRUE()</f>
        <v>1</v>
      </c>
    </row>
    <row r="403" customFormat="false" ht="15" hidden="false" customHeight="false" outlineLevel="0" collapsed="false">
      <c r="A403" s="62" t="n">
        <v>0</v>
      </c>
      <c r="B403" s="21" t="s">
        <v>336</v>
      </c>
      <c r="C403" s="62" t="s">
        <v>60</v>
      </c>
      <c r="D403" s="62" t="s">
        <v>384</v>
      </c>
      <c r="E403" s="62" t="s">
        <v>67</v>
      </c>
      <c r="F403" s="62" t="s">
        <v>382</v>
      </c>
      <c r="G403" s="63" t="s">
        <v>398</v>
      </c>
      <c r="H403" s="64" t="n">
        <v>1500794000</v>
      </c>
      <c r="I403" s="62" t="s">
        <v>81</v>
      </c>
      <c r="J403" s="64" t="n">
        <v>1500794</v>
      </c>
      <c r="K403" s="62" t="s">
        <v>138</v>
      </c>
      <c r="L403" s="68" t="b">
        <f aca="false">TRUE()</f>
        <v>1</v>
      </c>
    </row>
    <row r="404" customFormat="false" ht="15" hidden="false" customHeight="false" outlineLevel="0" collapsed="false">
      <c r="A404" s="62" t="n">
        <v>0</v>
      </c>
      <c r="B404" s="21" t="s">
        <v>336</v>
      </c>
      <c r="C404" s="62" t="s">
        <v>60</v>
      </c>
      <c r="D404" s="62" t="s">
        <v>385</v>
      </c>
      <c r="E404" s="62" t="s">
        <v>67</v>
      </c>
      <c r="F404" s="62" t="s">
        <v>382</v>
      </c>
      <c r="G404" s="63" t="s">
        <v>398</v>
      </c>
      <c r="H404" s="64" t="n">
        <v>1500794000</v>
      </c>
      <c r="I404" s="62" t="s">
        <v>81</v>
      </c>
      <c r="J404" s="64" t="n">
        <v>1500794</v>
      </c>
      <c r="K404" s="62" t="s">
        <v>138</v>
      </c>
      <c r="L404" s="68" t="b">
        <f aca="false">TRUE()</f>
        <v>1</v>
      </c>
    </row>
    <row r="405" customFormat="false" ht="15" hidden="false" customHeight="false" outlineLevel="0" collapsed="false">
      <c r="A405" s="62" t="n">
        <v>0</v>
      </c>
      <c r="B405" s="21" t="s">
        <v>336</v>
      </c>
      <c r="C405" s="62" t="s">
        <v>60</v>
      </c>
      <c r="D405" s="62" t="s">
        <v>386</v>
      </c>
      <c r="E405" s="62" t="s">
        <v>67</v>
      </c>
      <c r="F405" s="62" t="s">
        <v>382</v>
      </c>
      <c r="G405" s="63" t="s">
        <v>398</v>
      </c>
      <c r="H405" s="64" t="n">
        <v>1500794000</v>
      </c>
      <c r="I405" s="62" t="s">
        <v>81</v>
      </c>
      <c r="J405" s="64" t="n">
        <v>1500794</v>
      </c>
      <c r="K405" s="62" t="s">
        <v>138</v>
      </c>
      <c r="L405" s="68" t="b">
        <f aca="false">TRUE()</f>
        <v>1</v>
      </c>
    </row>
    <row r="406" customFormat="false" ht="15" hidden="false" customHeight="false" outlineLevel="0" collapsed="false">
      <c r="A406" s="62" t="n">
        <v>0</v>
      </c>
      <c r="B406" s="21" t="s">
        <v>336</v>
      </c>
      <c r="C406" s="62" t="s">
        <v>60</v>
      </c>
      <c r="D406" s="62" t="s">
        <v>387</v>
      </c>
      <c r="E406" s="62" t="s">
        <v>67</v>
      </c>
      <c r="F406" s="62" t="s">
        <v>382</v>
      </c>
      <c r="G406" s="63" t="s">
        <v>398</v>
      </c>
      <c r="H406" s="64" t="n">
        <v>1500794000</v>
      </c>
      <c r="I406" s="62" t="s">
        <v>81</v>
      </c>
      <c r="J406" s="64" t="n">
        <v>1500794</v>
      </c>
      <c r="K406" s="62" t="s">
        <v>138</v>
      </c>
      <c r="L406" s="68" t="b">
        <f aca="false">TRUE()</f>
        <v>1</v>
      </c>
    </row>
    <row r="407" customFormat="false" ht="15" hidden="false" customHeight="false" outlineLevel="0" collapsed="false">
      <c r="A407" s="62" t="n">
        <v>0</v>
      </c>
      <c r="B407" s="21" t="s">
        <v>336</v>
      </c>
      <c r="C407" s="62" t="s">
        <v>60</v>
      </c>
      <c r="D407" s="62" t="s">
        <v>388</v>
      </c>
      <c r="E407" s="62" t="s">
        <v>67</v>
      </c>
      <c r="F407" s="62" t="s">
        <v>382</v>
      </c>
      <c r="G407" s="63" t="s">
        <v>398</v>
      </c>
      <c r="H407" s="64" t="n">
        <v>1500794000</v>
      </c>
      <c r="I407" s="62" t="s">
        <v>81</v>
      </c>
      <c r="J407" s="64" t="n">
        <v>1500794</v>
      </c>
      <c r="K407" s="62" t="s">
        <v>138</v>
      </c>
      <c r="L407" s="68" t="b">
        <f aca="false">TRUE()</f>
        <v>1</v>
      </c>
    </row>
    <row r="408" customFormat="false" ht="15" hidden="false" customHeight="false" outlineLevel="0" collapsed="false">
      <c r="A408" s="62" t="n">
        <v>0</v>
      </c>
      <c r="B408" s="21" t="s">
        <v>336</v>
      </c>
      <c r="C408" s="62" t="s">
        <v>60</v>
      </c>
      <c r="D408" s="62" t="s">
        <v>381</v>
      </c>
      <c r="E408" s="62" t="s">
        <v>67</v>
      </c>
      <c r="F408" s="62" t="s">
        <v>382</v>
      </c>
      <c r="G408" s="63" t="s">
        <v>418</v>
      </c>
      <c r="H408" s="64" t="n">
        <v>5505812740.19634</v>
      </c>
      <c r="I408" s="62" t="s">
        <v>81</v>
      </c>
      <c r="J408" s="64" t="n">
        <v>5505812.74019634</v>
      </c>
      <c r="K408" s="62" t="s">
        <v>138</v>
      </c>
      <c r="L408" s="68" t="b">
        <f aca="false">TRUE()</f>
        <v>1</v>
      </c>
    </row>
    <row r="409" customFormat="false" ht="15" hidden="false" customHeight="false" outlineLevel="0" collapsed="false">
      <c r="A409" s="62" t="n">
        <v>0</v>
      </c>
      <c r="B409" s="21" t="s">
        <v>336</v>
      </c>
      <c r="C409" s="62" t="s">
        <v>60</v>
      </c>
      <c r="D409" s="62" t="s">
        <v>383</v>
      </c>
      <c r="E409" s="62" t="s">
        <v>67</v>
      </c>
      <c r="F409" s="62" t="s">
        <v>382</v>
      </c>
      <c r="G409" s="63" t="s">
        <v>418</v>
      </c>
      <c r="H409" s="64" t="n">
        <v>5505812740.19634</v>
      </c>
      <c r="I409" s="62" t="s">
        <v>81</v>
      </c>
      <c r="J409" s="64" t="n">
        <v>5505812.74019634</v>
      </c>
      <c r="K409" s="62" t="s">
        <v>138</v>
      </c>
      <c r="L409" s="68" t="b">
        <f aca="false">TRUE()</f>
        <v>1</v>
      </c>
    </row>
    <row r="410" customFormat="false" ht="15" hidden="false" customHeight="false" outlineLevel="0" collapsed="false">
      <c r="A410" s="62" t="n">
        <v>0</v>
      </c>
      <c r="B410" s="21" t="s">
        <v>336</v>
      </c>
      <c r="C410" s="62" t="s">
        <v>60</v>
      </c>
      <c r="D410" s="62" t="s">
        <v>384</v>
      </c>
      <c r="E410" s="62" t="s">
        <v>67</v>
      </c>
      <c r="F410" s="62" t="s">
        <v>382</v>
      </c>
      <c r="G410" s="63" t="s">
        <v>418</v>
      </c>
      <c r="H410" s="64" t="n">
        <v>5505812740.19634</v>
      </c>
      <c r="I410" s="62" t="s">
        <v>81</v>
      </c>
      <c r="J410" s="64" t="n">
        <v>5505812.74019634</v>
      </c>
      <c r="K410" s="62" t="s">
        <v>138</v>
      </c>
      <c r="L410" s="68" t="b">
        <f aca="false">TRUE()</f>
        <v>1</v>
      </c>
    </row>
    <row r="411" customFormat="false" ht="15" hidden="false" customHeight="false" outlineLevel="0" collapsed="false">
      <c r="A411" s="62" t="n">
        <v>0</v>
      </c>
      <c r="B411" s="21" t="s">
        <v>336</v>
      </c>
      <c r="C411" s="62" t="s">
        <v>60</v>
      </c>
      <c r="D411" s="62" t="s">
        <v>385</v>
      </c>
      <c r="E411" s="62" t="s">
        <v>67</v>
      </c>
      <c r="F411" s="62" t="s">
        <v>382</v>
      </c>
      <c r="G411" s="63" t="s">
        <v>418</v>
      </c>
      <c r="H411" s="64" t="n">
        <v>5505812740.19634</v>
      </c>
      <c r="I411" s="62" t="s">
        <v>81</v>
      </c>
      <c r="J411" s="64" t="n">
        <v>5505812.74019634</v>
      </c>
      <c r="K411" s="62" t="s">
        <v>138</v>
      </c>
      <c r="L411" s="68" t="b">
        <f aca="false">TRUE()</f>
        <v>1</v>
      </c>
    </row>
    <row r="412" customFormat="false" ht="15" hidden="false" customHeight="false" outlineLevel="0" collapsed="false">
      <c r="A412" s="62" t="n">
        <v>0</v>
      </c>
      <c r="B412" s="21" t="s">
        <v>336</v>
      </c>
      <c r="C412" s="62" t="s">
        <v>60</v>
      </c>
      <c r="D412" s="62" t="s">
        <v>386</v>
      </c>
      <c r="E412" s="62" t="s">
        <v>67</v>
      </c>
      <c r="F412" s="62" t="s">
        <v>382</v>
      </c>
      <c r="G412" s="63" t="s">
        <v>418</v>
      </c>
      <c r="H412" s="64" t="n">
        <v>5505812740.19634</v>
      </c>
      <c r="I412" s="62" t="s">
        <v>81</v>
      </c>
      <c r="J412" s="64" t="n">
        <v>5505812.74019634</v>
      </c>
      <c r="K412" s="62" t="s">
        <v>138</v>
      </c>
      <c r="L412" s="68" t="b">
        <f aca="false">TRUE()</f>
        <v>1</v>
      </c>
    </row>
    <row r="413" customFormat="false" ht="15" hidden="false" customHeight="false" outlineLevel="0" collapsed="false">
      <c r="A413" s="62" t="n">
        <v>0</v>
      </c>
      <c r="B413" s="21" t="s">
        <v>336</v>
      </c>
      <c r="C413" s="62" t="s">
        <v>60</v>
      </c>
      <c r="D413" s="62" t="s">
        <v>387</v>
      </c>
      <c r="E413" s="62" t="s">
        <v>67</v>
      </c>
      <c r="F413" s="62" t="s">
        <v>382</v>
      </c>
      <c r="G413" s="63" t="s">
        <v>418</v>
      </c>
      <c r="H413" s="64" t="n">
        <v>5505812740.19634</v>
      </c>
      <c r="I413" s="62" t="s">
        <v>81</v>
      </c>
      <c r="J413" s="64" t="n">
        <v>5505812.74019634</v>
      </c>
      <c r="K413" s="62" t="s">
        <v>138</v>
      </c>
      <c r="L413" s="68" t="b">
        <f aca="false">TRUE()</f>
        <v>1</v>
      </c>
    </row>
    <row r="414" customFormat="false" ht="15" hidden="false" customHeight="false" outlineLevel="0" collapsed="false">
      <c r="A414" s="62" t="n">
        <v>0</v>
      </c>
      <c r="B414" s="21" t="s">
        <v>336</v>
      </c>
      <c r="C414" s="62" t="s">
        <v>60</v>
      </c>
      <c r="D414" s="62" t="s">
        <v>388</v>
      </c>
      <c r="E414" s="62" t="s">
        <v>67</v>
      </c>
      <c r="F414" s="62" t="s">
        <v>382</v>
      </c>
      <c r="G414" s="63" t="s">
        <v>418</v>
      </c>
      <c r="H414" s="64" t="n">
        <v>5505812740.19634</v>
      </c>
      <c r="I414" s="62" t="s">
        <v>81</v>
      </c>
      <c r="J414" s="64" t="n">
        <v>5505812.74019634</v>
      </c>
      <c r="K414" s="62" t="s">
        <v>138</v>
      </c>
      <c r="L414" s="68" t="b">
        <f aca="false">TRUE()</f>
        <v>1</v>
      </c>
    </row>
    <row r="415" customFormat="false" ht="15" hidden="false" customHeight="false" outlineLevel="0" collapsed="false">
      <c r="A415" s="62" t="n">
        <v>0</v>
      </c>
      <c r="B415" s="21" t="s">
        <v>336</v>
      </c>
      <c r="C415" s="62" t="s">
        <v>60</v>
      </c>
      <c r="D415" s="62" t="s">
        <v>381</v>
      </c>
      <c r="E415" s="62" t="s">
        <v>67</v>
      </c>
      <c r="F415" s="62" t="s">
        <v>382</v>
      </c>
      <c r="G415" s="63" t="s">
        <v>419</v>
      </c>
      <c r="H415" s="64" t="n">
        <v>11900000000</v>
      </c>
      <c r="I415" s="62" t="s">
        <v>81</v>
      </c>
      <c r="J415" s="64" t="n">
        <v>11900000</v>
      </c>
      <c r="K415" s="62" t="s">
        <v>138</v>
      </c>
      <c r="L415" s="68" t="b">
        <f aca="false">TRUE()</f>
        <v>1</v>
      </c>
    </row>
    <row r="416" customFormat="false" ht="15" hidden="false" customHeight="false" outlineLevel="0" collapsed="false">
      <c r="A416" s="62" t="n">
        <v>0</v>
      </c>
      <c r="B416" s="21" t="s">
        <v>336</v>
      </c>
      <c r="C416" s="62" t="s">
        <v>60</v>
      </c>
      <c r="D416" s="62" t="s">
        <v>383</v>
      </c>
      <c r="E416" s="62" t="s">
        <v>67</v>
      </c>
      <c r="F416" s="62" t="s">
        <v>382</v>
      </c>
      <c r="G416" s="63" t="s">
        <v>419</v>
      </c>
      <c r="H416" s="64" t="n">
        <v>11900000000</v>
      </c>
      <c r="I416" s="62" t="s">
        <v>81</v>
      </c>
      <c r="J416" s="64" t="n">
        <v>11900000</v>
      </c>
      <c r="K416" s="62" t="s">
        <v>138</v>
      </c>
      <c r="L416" s="68" t="b">
        <f aca="false">TRUE()</f>
        <v>1</v>
      </c>
    </row>
    <row r="417" customFormat="false" ht="15" hidden="false" customHeight="false" outlineLevel="0" collapsed="false">
      <c r="A417" s="62" t="n">
        <v>0</v>
      </c>
      <c r="B417" s="21" t="s">
        <v>336</v>
      </c>
      <c r="C417" s="62" t="s">
        <v>60</v>
      </c>
      <c r="D417" s="62" t="s">
        <v>384</v>
      </c>
      <c r="E417" s="62" t="s">
        <v>67</v>
      </c>
      <c r="F417" s="62" t="s">
        <v>382</v>
      </c>
      <c r="G417" s="63" t="s">
        <v>419</v>
      </c>
      <c r="H417" s="64" t="n">
        <v>11900000000</v>
      </c>
      <c r="I417" s="62" t="s">
        <v>81</v>
      </c>
      <c r="J417" s="64" t="n">
        <v>11900000</v>
      </c>
      <c r="K417" s="62" t="s">
        <v>138</v>
      </c>
      <c r="L417" s="68" t="b">
        <f aca="false">TRUE()</f>
        <v>1</v>
      </c>
    </row>
    <row r="418" customFormat="false" ht="15" hidden="false" customHeight="false" outlineLevel="0" collapsed="false">
      <c r="A418" s="62" t="n">
        <v>0</v>
      </c>
      <c r="B418" s="21" t="s">
        <v>336</v>
      </c>
      <c r="C418" s="62" t="s">
        <v>60</v>
      </c>
      <c r="D418" s="62" t="s">
        <v>385</v>
      </c>
      <c r="E418" s="62" t="s">
        <v>67</v>
      </c>
      <c r="F418" s="62" t="s">
        <v>382</v>
      </c>
      <c r="G418" s="63" t="s">
        <v>419</v>
      </c>
      <c r="H418" s="64" t="n">
        <v>11900000000</v>
      </c>
      <c r="I418" s="62" t="s">
        <v>81</v>
      </c>
      <c r="J418" s="64" t="n">
        <v>11900000</v>
      </c>
      <c r="K418" s="62" t="s">
        <v>138</v>
      </c>
      <c r="L418" s="68" t="b">
        <f aca="false">TRUE()</f>
        <v>1</v>
      </c>
    </row>
    <row r="419" customFormat="false" ht="15" hidden="false" customHeight="false" outlineLevel="0" collapsed="false">
      <c r="A419" s="62" t="n">
        <v>0</v>
      </c>
      <c r="B419" s="21" t="s">
        <v>336</v>
      </c>
      <c r="C419" s="62" t="s">
        <v>60</v>
      </c>
      <c r="D419" s="62" t="s">
        <v>386</v>
      </c>
      <c r="E419" s="62" t="s">
        <v>67</v>
      </c>
      <c r="F419" s="62" t="s">
        <v>382</v>
      </c>
      <c r="G419" s="63" t="s">
        <v>419</v>
      </c>
      <c r="H419" s="64" t="n">
        <v>11900000000</v>
      </c>
      <c r="I419" s="62" t="s">
        <v>81</v>
      </c>
      <c r="J419" s="64" t="n">
        <v>11900000</v>
      </c>
      <c r="K419" s="62" t="s">
        <v>138</v>
      </c>
      <c r="L419" s="68" t="b">
        <f aca="false">TRUE()</f>
        <v>1</v>
      </c>
    </row>
    <row r="420" customFormat="false" ht="15" hidden="false" customHeight="false" outlineLevel="0" collapsed="false">
      <c r="A420" s="62" t="n">
        <v>0</v>
      </c>
      <c r="B420" s="21" t="s">
        <v>336</v>
      </c>
      <c r="C420" s="62" t="s">
        <v>60</v>
      </c>
      <c r="D420" s="62" t="s">
        <v>387</v>
      </c>
      <c r="E420" s="62" t="s">
        <v>67</v>
      </c>
      <c r="F420" s="62" t="s">
        <v>382</v>
      </c>
      <c r="G420" s="63" t="s">
        <v>419</v>
      </c>
      <c r="H420" s="64" t="n">
        <v>11900000000</v>
      </c>
      <c r="I420" s="62" t="s">
        <v>81</v>
      </c>
      <c r="J420" s="64" t="n">
        <v>11900000</v>
      </c>
      <c r="K420" s="62" t="s">
        <v>138</v>
      </c>
      <c r="L420" s="68" t="b">
        <f aca="false">TRUE()</f>
        <v>1</v>
      </c>
    </row>
    <row r="421" customFormat="false" ht="15" hidden="false" customHeight="false" outlineLevel="0" collapsed="false">
      <c r="A421" s="62" t="n">
        <v>0</v>
      </c>
      <c r="B421" s="21" t="s">
        <v>336</v>
      </c>
      <c r="C421" s="62" t="s">
        <v>60</v>
      </c>
      <c r="D421" s="62" t="s">
        <v>388</v>
      </c>
      <c r="E421" s="62" t="s">
        <v>67</v>
      </c>
      <c r="F421" s="62" t="s">
        <v>382</v>
      </c>
      <c r="G421" s="63" t="s">
        <v>419</v>
      </c>
      <c r="H421" s="64" t="n">
        <v>11900000000</v>
      </c>
      <c r="I421" s="62" t="s">
        <v>81</v>
      </c>
      <c r="J421" s="64" t="n">
        <v>11900000</v>
      </c>
      <c r="K421" s="62" t="s">
        <v>138</v>
      </c>
      <c r="L421" s="68" t="b">
        <f aca="false">TRUE()</f>
        <v>1</v>
      </c>
    </row>
    <row r="422" customFormat="false" ht="15" hidden="false" customHeight="false" outlineLevel="0" collapsed="false">
      <c r="A422" s="62" t="n">
        <v>0</v>
      </c>
      <c r="B422" s="21" t="s">
        <v>336</v>
      </c>
      <c r="C422" s="62" t="s">
        <v>60</v>
      </c>
      <c r="D422" s="62" t="s">
        <v>381</v>
      </c>
      <c r="E422" s="62" t="s">
        <v>67</v>
      </c>
      <c r="F422" s="62" t="s">
        <v>382</v>
      </c>
      <c r="G422" s="63" t="s">
        <v>420</v>
      </c>
      <c r="H422" s="64" t="n">
        <v>0</v>
      </c>
      <c r="I422" s="62" t="s">
        <v>81</v>
      </c>
      <c r="J422" s="64" t="n">
        <v>0</v>
      </c>
      <c r="K422" s="62" t="s">
        <v>138</v>
      </c>
      <c r="L422" s="68" t="b">
        <f aca="false">TRUE()</f>
        <v>1</v>
      </c>
    </row>
    <row r="423" customFormat="false" ht="15" hidden="false" customHeight="false" outlineLevel="0" collapsed="false">
      <c r="A423" s="62" t="n">
        <v>0</v>
      </c>
      <c r="B423" s="21" t="s">
        <v>336</v>
      </c>
      <c r="C423" s="62" t="s">
        <v>60</v>
      </c>
      <c r="D423" s="62" t="s">
        <v>383</v>
      </c>
      <c r="E423" s="62" t="s">
        <v>67</v>
      </c>
      <c r="F423" s="62" t="s">
        <v>382</v>
      </c>
      <c r="G423" s="63" t="s">
        <v>420</v>
      </c>
      <c r="H423" s="64" t="n">
        <v>0</v>
      </c>
      <c r="I423" s="62" t="s">
        <v>81</v>
      </c>
      <c r="J423" s="64" t="n">
        <v>0</v>
      </c>
      <c r="K423" s="62" t="s">
        <v>138</v>
      </c>
      <c r="L423" s="68" t="b">
        <f aca="false">TRUE()</f>
        <v>1</v>
      </c>
    </row>
    <row r="424" customFormat="false" ht="15" hidden="false" customHeight="false" outlineLevel="0" collapsed="false">
      <c r="A424" s="62" t="n">
        <v>0</v>
      </c>
      <c r="B424" s="21" t="s">
        <v>336</v>
      </c>
      <c r="C424" s="62" t="s">
        <v>60</v>
      </c>
      <c r="D424" s="62" t="s">
        <v>384</v>
      </c>
      <c r="E424" s="62" t="s">
        <v>67</v>
      </c>
      <c r="F424" s="62" t="s">
        <v>382</v>
      </c>
      <c r="G424" s="63" t="s">
        <v>420</v>
      </c>
      <c r="H424" s="64" t="n">
        <v>0</v>
      </c>
      <c r="I424" s="62" t="s">
        <v>81</v>
      </c>
      <c r="J424" s="64" t="n">
        <v>0</v>
      </c>
      <c r="K424" s="62" t="s">
        <v>138</v>
      </c>
      <c r="L424" s="68" t="b">
        <f aca="false">TRUE()</f>
        <v>1</v>
      </c>
    </row>
    <row r="425" customFormat="false" ht="15" hidden="false" customHeight="false" outlineLevel="0" collapsed="false">
      <c r="A425" s="62" t="n">
        <v>0</v>
      </c>
      <c r="B425" s="21" t="s">
        <v>336</v>
      </c>
      <c r="C425" s="62" t="s">
        <v>60</v>
      </c>
      <c r="D425" s="62" t="s">
        <v>385</v>
      </c>
      <c r="E425" s="62" t="s">
        <v>67</v>
      </c>
      <c r="F425" s="62" t="s">
        <v>382</v>
      </c>
      <c r="G425" s="63" t="s">
        <v>420</v>
      </c>
      <c r="H425" s="64" t="n">
        <v>0</v>
      </c>
      <c r="I425" s="62" t="s">
        <v>81</v>
      </c>
      <c r="J425" s="64" t="n">
        <v>0</v>
      </c>
      <c r="K425" s="62" t="s">
        <v>138</v>
      </c>
      <c r="L425" s="68" t="b">
        <f aca="false">TRUE()</f>
        <v>1</v>
      </c>
    </row>
    <row r="426" customFormat="false" ht="15" hidden="false" customHeight="false" outlineLevel="0" collapsed="false">
      <c r="A426" s="62" t="n">
        <v>0</v>
      </c>
      <c r="B426" s="21" t="s">
        <v>336</v>
      </c>
      <c r="C426" s="62" t="s">
        <v>60</v>
      </c>
      <c r="D426" s="62" t="s">
        <v>386</v>
      </c>
      <c r="E426" s="62" t="s">
        <v>67</v>
      </c>
      <c r="F426" s="62" t="s">
        <v>382</v>
      </c>
      <c r="G426" s="63" t="s">
        <v>420</v>
      </c>
      <c r="H426" s="64" t="n">
        <v>0</v>
      </c>
      <c r="I426" s="62" t="s">
        <v>81</v>
      </c>
      <c r="J426" s="64" t="n">
        <v>0</v>
      </c>
      <c r="K426" s="62" t="s">
        <v>138</v>
      </c>
      <c r="L426" s="68" t="b">
        <f aca="false">TRUE()</f>
        <v>1</v>
      </c>
    </row>
    <row r="427" customFormat="false" ht="15" hidden="false" customHeight="false" outlineLevel="0" collapsed="false">
      <c r="A427" s="62" t="n">
        <v>0</v>
      </c>
      <c r="B427" s="21" t="s">
        <v>336</v>
      </c>
      <c r="C427" s="62" t="s">
        <v>60</v>
      </c>
      <c r="D427" s="62" t="s">
        <v>387</v>
      </c>
      <c r="E427" s="62" t="s">
        <v>67</v>
      </c>
      <c r="F427" s="62" t="s">
        <v>382</v>
      </c>
      <c r="G427" s="63" t="s">
        <v>420</v>
      </c>
      <c r="H427" s="64" t="n">
        <v>0</v>
      </c>
      <c r="I427" s="62" t="s">
        <v>81</v>
      </c>
      <c r="J427" s="64" t="n">
        <v>0</v>
      </c>
      <c r="K427" s="62" t="s">
        <v>138</v>
      </c>
      <c r="L427" s="68" t="b">
        <f aca="false">TRUE()</f>
        <v>1</v>
      </c>
    </row>
    <row r="428" customFormat="false" ht="15" hidden="false" customHeight="false" outlineLevel="0" collapsed="false">
      <c r="A428" s="62" t="n">
        <v>0</v>
      </c>
      <c r="B428" s="21" t="s">
        <v>336</v>
      </c>
      <c r="C428" s="62" t="s">
        <v>60</v>
      </c>
      <c r="D428" s="62" t="s">
        <v>388</v>
      </c>
      <c r="E428" s="62" t="s">
        <v>67</v>
      </c>
      <c r="F428" s="62" t="s">
        <v>382</v>
      </c>
      <c r="G428" s="63" t="s">
        <v>420</v>
      </c>
      <c r="H428" s="64" t="n">
        <v>0</v>
      </c>
      <c r="I428" s="62" t="s">
        <v>81</v>
      </c>
      <c r="J428" s="64" t="n">
        <v>0</v>
      </c>
      <c r="K428" s="62" t="s">
        <v>138</v>
      </c>
      <c r="L428" s="68" t="b">
        <f aca="false">TRUE()</f>
        <v>1</v>
      </c>
    </row>
    <row r="429" customFormat="false" ht="15" hidden="false" customHeight="false" outlineLevel="0" collapsed="false">
      <c r="A429" s="62" t="n">
        <v>0</v>
      </c>
      <c r="B429" s="21" t="s">
        <v>336</v>
      </c>
      <c r="C429" s="62" t="s">
        <v>60</v>
      </c>
      <c r="D429" s="62" t="s">
        <v>381</v>
      </c>
      <c r="E429" s="62" t="s">
        <v>67</v>
      </c>
      <c r="F429" s="62" t="s">
        <v>382</v>
      </c>
      <c r="G429" s="63" t="s">
        <v>421</v>
      </c>
      <c r="H429" s="64" t="n">
        <v>700000000</v>
      </c>
      <c r="I429" s="62" t="s">
        <v>81</v>
      </c>
      <c r="J429" s="64" t="n">
        <v>700000</v>
      </c>
      <c r="K429" s="62" t="s">
        <v>138</v>
      </c>
      <c r="L429" s="68" t="b">
        <f aca="false">TRUE()</f>
        <v>1</v>
      </c>
    </row>
    <row r="430" customFormat="false" ht="15" hidden="false" customHeight="false" outlineLevel="0" collapsed="false">
      <c r="A430" s="62" t="n">
        <v>0</v>
      </c>
      <c r="B430" s="21" t="s">
        <v>336</v>
      </c>
      <c r="C430" s="62" t="s">
        <v>60</v>
      </c>
      <c r="D430" s="62" t="s">
        <v>383</v>
      </c>
      <c r="E430" s="62" t="s">
        <v>67</v>
      </c>
      <c r="F430" s="62" t="s">
        <v>382</v>
      </c>
      <c r="G430" s="63" t="s">
        <v>421</v>
      </c>
      <c r="H430" s="64" t="n">
        <v>700000000</v>
      </c>
      <c r="I430" s="62" t="s">
        <v>81</v>
      </c>
      <c r="J430" s="64" t="n">
        <v>700000</v>
      </c>
      <c r="K430" s="62" t="s">
        <v>138</v>
      </c>
      <c r="L430" s="68" t="b">
        <f aca="false">TRUE()</f>
        <v>1</v>
      </c>
    </row>
    <row r="431" customFormat="false" ht="15" hidden="false" customHeight="false" outlineLevel="0" collapsed="false">
      <c r="A431" s="62" t="n">
        <v>0</v>
      </c>
      <c r="B431" s="21" t="s">
        <v>336</v>
      </c>
      <c r="C431" s="62" t="s">
        <v>60</v>
      </c>
      <c r="D431" s="62" t="s">
        <v>384</v>
      </c>
      <c r="E431" s="62" t="s">
        <v>67</v>
      </c>
      <c r="F431" s="62" t="s">
        <v>382</v>
      </c>
      <c r="G431" s="63" t="s">
        <v>421</v>
      </c>
      <c r="H431" s="64" t="n">
        <v>700000000</v>
      </c>
      <c r="I431" s="62" t="s">
        <v>81</v>
      </c>
      <c r="J431" s="64" t="n">
        <v>700000</v>
      </c>
      <c r="K431" s="62" t="s">
        <v>138</v>
      </c>
      <c r="L431" s="68" t="b">
        <f aca="false">TRUE()</f>
        <v>1</v>
      </c>
    </row>
    <row r="432" customFormat="false" ht="15" hidden="false" customHeight="false" outlineLevel="0" collapsed="false">
      <c r="A432" s="62" t="n">
        <v>0</v>
      </c>
      <c r="B432" s="21" t="s">
        <v>336</v>
      </c>
      <c r="C432" s="62" t="s">
        <v>60</v>
      </c>
      <c r="D432" s="62" t="s">
        <v>385</v>
      </c>
      <c r="E432" s="62" t="s">
        <v>67</v>
      </c>
      <c r="F432" s="62" t="s">
        <v>382</v>
      </c>
      <c r="G432" s="63" t="s">
        <v>421</v>
      </c>
      <c r="H432" s="64" t="n">
        <v>700000000</v>
      </c>
      <c r="I432" s="62" t="s">
        <v>81</v>
      </c>
      <c r="J432" s="64" t="n">
        <v>700000</v>
      </c>
      <c r="K432" s="62" t="s">
        <v>138</v>
      </c>
      <c r="L432" s="68" t="b">
        <f aca="false">TRUE()</f>
        <v>1</v>
      </c>
    </row>
    <row r="433" customFormat="false" ht="15" hidden="false" customHeight="false" outlineLevel="0" collapsed="false">
      <c r="A433" s="62" t="n">
        <v>0</v>
      </c>
      <c r="B433" s="21" t="s">
        <v>336</v>
      </c>
      <c r="C433" s="62" t="s">
        <v>60</v>
      </c>
      <c r="D433" s="62" t="s">
        <v>386</v>
      </c>
      <c r="E433" s="62" t="s">
        <v>67</v>
      </c>
      <c r="F433" s="62" t="s">
        <v>382</v>
      </c>
      <c r="G433" s="63" t="s">
        <v>421</v>
      </c>
      <c r="H433" s="64" t="n">
        <v>700000000</v>
      </c>
      <c r="I433" s="62" t="s">
        <v>81</v>
      </c>
      <c r="J433" s="64" t="n">
        <v>700000</v>
      </c>
      <c r="K433" s="62" t="s">
        <v>138</v>
      </c>
      <c r="L433" s="68" t="b">
        <f aca="false">TRUE()</f>
        <v>1</v>
      </c>
    </row>
    <row r="434" customFormat="false" ht="15" hidden="false" customHeight="false" outlineLevel="0" collapsed="false">
      <c r="A434" s="62" t="n">
        <v>0</v>
      </c>
      <c r="B434" s="21" t="s">
        <v>336</v>
      </c>
      <c r="C434" s="62" t="s">
        <v>60</v>
      </c>
      <c r="D434" s="62" t="s">
        <v>387</v>
      </c>
      <c r="E434" s="62" t="s">
        <v>67</v>
      </c>
      <c r="F434" s="62" t="s">
        <v>382</v>
      </c>
      <c r="G434" s="63" t="s">
        <v>421</v>
      </c>
      <c r="H434" s="64" t="n">
        <v>700000000</v>
      </c>
      <c r="I434" s="62" t="s">
        <v>81</v>
      </c>
      <c r="J434" s="64" t="n">
        <v>700000</v>
      </c>
      <c r="K434" s="62" t="s">
        <v>138</v>
      </c>
      <c r="L434" s="68" t="b">
        <f aca="false">TRUE()</f>
        <v>1</v>
      </c>
    </row>
    <row r="435" customFormat="false" ht="15" hidden="false" customHeight="false" outlineLevel="0" collapsed="false">
      <c r="A435" s="62" t="n">
        <v>0</v>
      </c>
      <c r="B435" s="21" t="s">
        <v>336</v>
      </c>
      <c r="C435" s="62" t="s">
        <v>60</v>
      </c>
      <c r="D435" s="62" t="s">
        <v>388</v>
      </c>
      <c r="E435" s="62" t="s">
        <v>67</v>
      </c>
      <c r="F435" s="62" t="s">
        <v>382</v>
      </c>
      <c r="G435" s="63" t="s">
        <v>421</v>
      </c>
      <c r="H435" s="64" t="n">
        <v>700000000</v>
      </c>
      <c r="I435" s="62" t="s">
        <v>81</v>
      </c>
      <c r="J435" s="64" t="n">
        <v>700000</v>
      </c>
      <c r="K435" s="62" t="s">
        <v>138</v>
      </c>
      <c r="L435" s="68" t="b">
        <f aca="false">TRUE()</f>
        <v>1</v>
      </c>
    </row>
    <row r="436" customFormat="false" ht="15" hidden="false" customHeight="false" outlineLevel="0" collapsed="false">
      <c r="A436" s="62" t="n">
        <v>0</v>
      </c>
      <c r="B436" s="21" t="s">
        <v>336</v>
      </c>
      <c r="C436" s="62" t="s">
        <v>60</v>
      </c>
      <c r="D436" s="62" t="s">
        <v>381</v>
      </c>
      <c r="E436" s="62" t="s">
        <v>67</v>
      </c>
      <c r="F436" s="62" t="s">
        <v>382</v>
      </c>
      <c r="G436" s="63" t="s">
        <v>422</v>
      </c>
      <c r="H436" s="64" t="n">
        <v>730266895.139377</v>
      </c>
      <c r="I436" s="62" t="s">
        <v>81</v>
      </c>
      <c r="J436" s="64" t="n">
        <v>730266.895139377</v>
      </c>
      <c r="K436" s="62" t="s">
        <v>138</v>
      </c>
      <c r="L436" s="68" t="b">
        <f aca="false">TRUE()</f>
        <v>1</v>
      </c>
    </row>
    <row r="437" customFormat="false" ht="15" hidden="false" customHeight="false" outlineLevel="0" collapsed="false">
      <c r="A437" s="62" t="n">
        <v>0</v>
      </c>
      <c r="B437" s="21" t="s">
        <v>336</v>
      </c>
      <c r="C437" s="62" t="s">
        <v>60</v>
      </c>
      <c r="D437" s="62" t="s">
        <v>383</v>
      </c>
      <c r="E437" s="62" t="s">
        <v>67</v>
      </c>
      <c r="F437" s="62" t="s">
        <v>382</v>
      </c>
      <c r="G437" s="63" t="s">
        <v>422</v>
      </c>
      <c r="H437" s="64" t="n">
        <v>730266895.139377</v>
      </c>
      <c r="I437" s="62" t="s">
        <v>81</v>
      </c>
      <c r="J437" s="64" t="n">
        <v>730266.895139377</v>
      </c>
      <c r="K437" s="62" t="s">
        <v>138</v>
      </c>
      <c r="L437" s="68" t="b">
        <f aca="false">TRUE()</f>
        <v>1</v>
      </c>
    </row>
    <row r="438" customFormat="false" ht="15" hidden="false" customHeight="false" outlineLevel="0" collapsed="false">
      <c r="A438" s="62" t="n">
        <v>0</v>
      </c>
      <c r="B438" s="21" t="s">
        <v>336</v>
      </c>
      <c r="C438" s="62" t="s">
        <v>60</v>
      </c>
      <c r="D438" s="62" t="s">
        <v>384</v>
      </c>
      <c r="E438" s="62" t="s">
        <v>67</v>
      </c>
      <c r="F438" s="62" t="s">
        <v>382</v>
      </c>
      <c r="G438" s="63" t="s">
        <v>422</v>
      </c>
      <c r="H438" s="64" t="n">
        <v>730266895.139377</v>
      </c>
      <c r="I438" s="62" t="s">
        <v>81</v>
      </c>
      <c r="J438" s="64" t="n">
        <v>730266.895139377</v>
      </c>
      <c r="K438" s="62" t="s">
        <v>138</v>
      </c>
      <c r="L438" s="68" t="b">
        <f aca="false">TRUE()</f>
        <v>1</v>
      </c>
    </row>
    <row r="439" customFormat="false" ht="15" hidden="false" customHeight="false" outlineLevel="0" collapsed="false">
      <c r="A439" s="62" t="n">
        <v>0</v>
      </c>
      <c r="B439" s="21" t="s">
        <v>336</v>
      </c>
      <c r="C439" s="62" t="s">
        <v>60</v>
      </c>
      <c r="D439" s="62" t="s">
        <v>385</v>
      </c>
      <c r="E439" s="62" t="s">
        <v>67</v>
      </c>
      <c r="F439" s="62" t="s">
        <v>382</v>
      </c>
      <c r="G439" s="63" t="s">
        <v>422</v>
      </c>
      <c r="H439" s="64" t="n">
        <v>730266895.139377</v>
      </c>
      <c r="I439" s="62" t="s">
        <v>81</v>
      </c>
      <c r="J439" s="64" t="n">
        <v>730266.895139377</v>
      </c>
      <c r="K439" s="62" t="s">
        <v>138</v>
      </c>
      <c r="L439" s="68" t="b">
        <f aca="false">TRUE()</f>
        <v>1</v>
      </c>
    </row>
    <row r="440" customFormat="false" ht="15" hidden="false" customHeight="false" outlineLevel="0" collapsed="false">
      <c r="A440" s="62" t="n">
        <v>0</v>
      </c>
      <c r="B440" s="21" t="s">
        <v>336</v>
      </c>
      <c r="C440" s="62" t="s">
        <v>60</v>
      </c>
      <c r="D440" s="62" t="s">
        <v>386</v>
      </c>
      <c r="E440" s="62" t="s">
        <v>67</v>
      </c>
      <c r="F440" s="62" t="s">
        <v>382</v>
      </c>
      <c r="G440" s="63" t="s">
        <v>422</v>
      </c>
      <c r="H440" s="64" t="n">
        <v>730266895.139377</v>
      </c>
      <c r="I440" s="62" t="s">
        <v>81</v>
      </c>
      <c r="J440" s="64" t="n">
        <v>730266.895139377</v>
      </c>
      <c r="K440" s="62" t="s">
        <v>138</v>
      </c>
      <c r="L440" s="68" t="b">
        <f aca="false">TRUE()</f>
        <v>1</v>
      </c>
    </row>
    <row r="441" customFormat="false" ht="15" hidden="false" customHeight="false" outlineLevel="0" collapsed="false">
      <c r="A441" s="62" t="n">
        <v>0</v>
      </c>
      <c r="B441" s="21" t="s">
        <v>336</v>
      </c>
      <c r="C441" s="62" t="s">
        <v>60</v>
      </c>
      <c r="D441" s="62" t="s">
        <v>387</v>
      </c>
      <c r="E441" s="62" t="s">
        <v>67</v>
      </c>
      <c r="F441" s="62" t="s">
        <v>382</v>
      </c>
      <c r="G441" s="63" t="s">
        <v>422</v>
      </c>
      <c r="H441" s="64" t="n">
        <v>730266895.139377</v>
      </c>
      <c r="I441" s="62" t="s">
        <v>81</v>
      </c>
      <c r="J441" s="64" t="n">
        <v>730266.895139377</v>
      </c>
      <c r="K441" s="62" t="s">
        <v>138</v>
      </c>
      <c r="L441" s="68" t="b">
        <f aca="false">TRUE()</f>
        <v>1</v>
      </c>
    </row>
    <row r="442" customFormat="false" ht="15" hidden="false" customHeight="false" outlineLevel="0" collapsed="false">
      <c r="A442" s="62" t="n">
        <v>0</v>
      </c>
      <c r="B442" s="21" t="s">
        <v>336</v>
      </c>
      <c r="C442" s="62" t="s">
        <v>60</v>
      </c>
      <c r="D442" s="62" t="s">
        <v>388</v>
      </c>
      <c r="E442" s="62" t="s">
        <v>67</v>
      </c>
      <c r="F442" s="62" t="s">
        <v>382</v>
      </c>
      <c r="G442" s="63" t="s">
        <v>422</v>
      </c>
      <c r="H442" s="64" t="n">
        <v>730266895.139377</v>
      </c>
      <c r="I442" s="62" t="s">
        <v>81</v>
      </c>
      <c r="J442" s="64" t="n">
        <v>730266.895139377</v>
      </c>
      <c r="K442" s="62" t="s">
        <v>138</v>
      </c>
      <c r="L442" s="68" t="b">
        <f aca="false">TRUE()</f>
        <v>1</v>
      </c>
    </row>
    <row r="443" customFormat="false" ht="15" hidden="false" customHeight="false" outlineLevel="0" collapsed="false">
      <c r="A443" s="62" t="n">
        <v>0</v>
      </c>
      <c r="B443" s="21" t="s">
        <v>336</v>
      </c>
      <c r="C443" s="62" t="s">
        <v>60</v>
      </c>
      <c r="D443" s="62" t="s">
        <v>381</v>
      </c>
      <c r="E443" s="62" t="s">
        <v>67</v>
      </c>
      <c r="F443" s="62" t="s">
        <v>382</v>
      </c>
      <c r="G443" s="63" t="s">
        <v>423</v>
      </c>
      <c r="H443" s="64" t="n">
        <v>13330266895.1394</v>
      </c>
      <c r="I443" s="62" t="s">
        <v>81</v>
      </c>
      <c r="J443" s="64" t="n">
        <v>13330266.8951394</v>
      </c>
      <c r="K443" s="62" t="s">
        <v>138</v>
      </c>
      <c r="L443" s="68" t="b">
        <f aca="false">TRUE()</f>
        <v>1</v>
      </c>
    </row>
    <row r="444" customFormat="false" ht="15" hidden="false" customHeight="false" outlineLevel="0" collapsed="false">
      <c r="A444" s="62" t="n">
        <v>0</v>
      </c>
      <c r="B444" s="21" t="s">
        <v>336</v>
      </c>
      <c r="C444" s="62" t="s">
        <v>60</v>
      </c>
      <c r="D444" s="62" t="s">
        <v>383</v>
      </c>
      <c r="E444" s="62" t="s">
        <v>67</v>
      </c>
      <c r="F444" s="62" t="s">
        <v>382</v>
      </c>
      <c r="G444" s="63" t="s">
        <v>423</v>
      </c>
      <c r="H444" s="64" t="n">
        <v>13330266895.1394</v>
      </c>
      <c r="I444" s="62" t="s">
        <v>81</v>
      </c>
      <c r="J444" s="64" t="n">
        <v>13330266.8951394</v>
      </c>
      <c r="K444" s="62" t="s">
        <v>138</v>
      </c>
      <c r="L444" s="68" t="b">
        <f aca="false">TRUE()</f>
        <v>1</v>
      </c>
    </row>
    <row r="445" customFormat="false" ht="15" hidden="false" customHeight="false" outlineLevel="0" collapsed="false">
      <c r="A445" s="62" t="n">
        <v>0</v>
      </c>
      <c r="B445" s="21" t="s">
        <v>336</v>
      </c>
      <c r="C445" s="62" t="s">
        <v>60</v>
      </c>
      <c r="D445" s="62" t="s">
        <v>384</v>
      </c>
      <c r="E445" s="62" t="s">
        <v>67</v>
      </c>
      <c r="F445" s="62" t="s">
        <v>382</v>
      </c>
      <c r="G445" s="63" t="s">
        <v>423</v>
      </c>
      <c r="H445" s="64" t="n">
        <v>13330266895.1394</v>
      </c>
      <c r="I445" s="62" t="s">
        <v>81</v>
      </c>
      <c r="J445" s="64" t="n">
        <v>13330266.8951394</v>
      </c>
      <c r="K445" s="62" t="s">
        <v>138</v>
      </c>
      <c r="L445" s="68" t="b">
        <f aca="false">TRUE()</f>
        <v>1</v>
      </c>
    </row>
    <row r="446" customFormat="false" ht="15" hidden="false" customHeight="false" outlineLevel="0" collapsed="false">
      <c r="A446" s="62" t="n">
        <v>0</v>
      </c>
      <c r="B446" s="21" t="s">
        <v>336</v>
      </c>
      <c r="C446" s="62" t="s">
        <v>60</v>
      </c>
      <c r="D446" s="62" t="s">
        <v>385</v>
      </c>
      <c r="E446" s="62" t="s">
        <v>67</v>
      </c>
      <c r="F446" s="62" t="s">
        <v>382</v>
      </c>
      <c r="G446" s="63" t="s">
        <v>423</v>
      </c>
      <c r="H446" s="64" t="n">
        <v>13330266895.1394</v>
      </c>
      <c r="I446" s="62" t="s">
        <v>81</v>
      </c>
      <c r="J446" s="64" t="n">
        <v>13330266.8951394</v>
      </c>
      <c r="K446" s="62" t="s">
        <v>138</v>
      </c>
      <c r="L446" s="68" t="b">
        <f aca="false">TRUE()</f>
        <v>1</v>
      </c>
    </row>
    <row r="447" customFormat="false" ht="15" hidden="false" customHeight="false" outlineLevel="0" collapsed="false">
      <c r="A447" s="62" t="n">
        <v>0</v>
      </c>
      <c r="B447" s="21" t="s">
        <v>336</v>
      </c>
      <c r="C447" s="62" t="s">
        <v>60</v>
      </c>
      <c r="D447" s="62" t="s">
        <v>386</v>
      </c>
      <c r="E447" s="62" t="s">
        <v>67</v>
      </c>
      <c r="F447" s="62" t="s">
        <v>382</v>
      </c>
      <c r="G447" s="63" t="s">
        <v>423</v>
      </c>
      <c r="H447" s="64" t="n">
        <v>13330266895.1394</v>
      </c>
      <c r="I447" s="62" t="s">
        <v>81</v>
      </c>
      <c r="J447" s="64" t="n">
        <v>13330266.8951394</v>
      </c>
      <c r="K447" s="62" t="s">
        <v>138</v>
      </c>
      <c r="L447" s="68" t="b">
        <f aca="false">TRUE()</f>
        <v>1</v>
      </c>
    </row>
    <row r="448" customFormat="false" ht="15" hidden="false" customHeight="false" outlineLevel="0" collapsed="false">
      <c r="A448" s="62" t="n">
        <v>0</v>
      </c>
      <c r="B448" s="21" t="s">
        <v>336</v>
      </c>
      <c r="C448" s="62" t="s">
        <v>60</v>
      </c>
      <c r="D448" s="62" t="s">
        <v>387</v>
      </c>
      <c r="E448" s="62" t="s">
        <v>67</v>
      </c>
      <c r="F448" s="62" t="s">
        <v>382</v>
      </c>
      <c r="G448" s="63" t="s">
        <v>423</v>
      </c>
      <c r="H448" s="64" t="n">
        <v>13330266895.1394</v>
      </c>
      <c r="I448" s="62" t="s">
        <v>81</v>
      </c>
      <c r="J448" s="64" t="n">
        <v>13330266.8951394</v>
      </c>
      <c r="K448" s="62" t="s">
        <v>138</v>
      </c>
      <c r="L448" s="68" t="b">
        <f aca="false">TRUE()</f>
        <v>1</v>
      </c>
    </row>
    <row r="449" customFormat="false" ht="15" hidden="false" customHeight="false" outlineLevel="0" collapsed="false">
      <c r="A449" s="62" t="n">
        <v>0</v>
      </c>
      <c r="B449" s="21" t="s">
        <v>336</v>
      </c>
      <c r="C449" s="62" t="s">
        <v>60</v>
      </c>
      <c r="D449" s="62" t="s">
        <v>388</v>
      </c>
      <c r="E449" s="62" t="s">
        <v>67</v>
      </c>
      <c r="F449" s="62" t="s">
        <v>382</v>
      </c>
      <c r="G449" s="63" t="s">
        <v>423</v>
      </c>
      <c r="H449" s="64" t="n">
        <v>13330266895.1394</v>
      </c>
      <c r="I449" s="62" t="s">
        <v>81</v>
      </c>
      <c r="J449" s="64" t="n">
        <v>13330266.8951394</v>
      </c>
      <c r="K449" s="62" t="s">
        <v>138</v>
      </c>
      <c r="L449" s="68" t="b">
        <f aca="false">TRUE()</f>
        <v>1</v>
      </c>
    </row>
    <row r="450" customFormat="false" ht="15" hidden="false" customHeight="false" outlineLevel="0" collapsed="false">
      <c r="A450" s="62" t="n">
        <v>0</v>
      </c>
      <c r="B450" s="21" t="s">
        <v>336</v>
      </c>
      <c r="C450" s="62" t="s">
        <v>60</v>
      </c>
      <c r="D450" s="62" t="s">
        <v>381</v>
      </c>
      <c r="E450" s="62" t="s">
        <v>67</v>
      </c>
      <c r="F450" s="62" t="s">
        <v>382</v>
      </c>
      <c r="G450" s="63" t="s">
        <v>399</v>
      </c>
      <c r="H450" s="64" t="n">
        <v>18836079635.3357</v>
      </c>
      <c r="I450" s="62" t="s">
        <v>81</v>
      </c>
      <c r="J450" s="64" t="n">
        <v>18836079.6353357</v>
      </c>
      <c r="K450" s="62" t="s">
        <v>138</v>
      </c>
      <c r="L450" s="68" t="b">
        <f aca="false">TRUE()</f>
        <v>1</v>
      </c>
    </row>
    <row r="451" customFormat="false" ht="15" hidden="false" customHeight="false" outlineLevel="0" collapsed="false">
      <c r="A451" s="62" t="n">
        <v>0</v>
      </c>
      <c r="B451" s="21" t="s">
        <v>336</v>
      </c>
      <c r="C451" s="62" t="s">
        <v>60</v>
      </c>
      <c r="D451" s="62" t="s">
        <v>383</v>
      </c>
      <c r="E451" s="62" t="s">
        <v>67</v>
      </c>
      <c r="F451" s="62" t="s">
        <v>382</v>
      </c>
      <c r="G451" s="63" t="s">
        <v>399</v>
      </c>
      <c r="H451" s="64" t="n">
        <v>18836079635.3357</v>
      </c>
      <c r="I451" s="62" t="s">
        <v>81</v>
      </c>
      <c r="J451" s="64" t="n">
        <v>18836079.6353357</v>
      </c>
      <c r="K451" s="62" t="s">
        <v>138</v>
      </c>
      <c r="L451" s="68" t="b">
        <f aca="false">TRUE()</f>
        <v>1</v>
      </c>
    </row>
    <row r="452" customFormat="false" ht="15" hidden="false" customHeight="false" outlineLevel="0" collapsed="false">
      <c r="A452" s="62" t="n">
        <v>0</v>
      </c>
      <c r="B452" s="21" t="s">
        <v>336</v>
      </c>
      <c r="C452" s="62" t="s">
        <v>60</v>
      </c>
      <c r="D452" s="62" t="s">
        <v>384</v>
      </c>
      <c r="E452" s="62" t="s">
        <v>67</v>
      </c>
      <c r="F452" s="62" t="s">
        <v>382</v>
      </c>
      <c r="G452" s="63" t="s">
        <v>399</v>
      </c>
      <c r="H452" s="64" t="n">
        <v>18836079635.3357</v>
      </c>
      <c r="I452" s="62" t="s">
        <v>81</v>
      </c>
      <c r="J452" s="64" t="n">
        <v>18836079.6353357</v>
      </c>
      <c r="K452" s="62" t="s">
        <v>138</v>
      </c>
      <c r="L452" s="68" t="b">
        <f aca="false">TRUE()</f>
        <v>1</v>
      </c>
    </row>
    <row r="453" customFormat="false" ht="15" hidden="false" customHeight="false" outlineLevel="0" collapsed="false">
      <c r="A453" s="62" t="n">
        <v>0</v>
      </c>
      <c r="B453" s="21" t="s">
        <v>336</v>
      </c>
      <c r="C453" s="62" t="s">
        <v>60</v>
      </c>
      <c r="D453" s="62" t="s">
        <v>385</v>
      </c>
      <c r="E453" s="62" t="s">
        <v>67</v>
      </c>
      <c r="F453" s="62" t="s">
        <v>382</v>
      </c>
      <c r="G453" s="63" t="s">
        <v>399</v>
      </c>
      <c r="H453" s="64" t="n">
        <v>18836079635.3357</v>
      </c>
      <c r="I453" s="62" t="s">
        <v>81</v>
      </c>
      <c r="J453" s="64" t="n">
        <v>18836079.6353357</v>
      </c>
      <c r="K453" s="62" t="s">
        <v>138</v>
      </c>
      <c r="L453" s="68" t="b">
        <f aca="false">TRUE()</f>
        <v>1</v>
      </c>
    </row>
    <row r="454" customFormat="false" ht="15" hidden="false" customHeight="false" outlineLevel="0" collapsed="false">
      <c r="A454" s="62" t="n">
        <v>0</v>
      </c>
      <c r="B454" s="21" t="s">
        <v>336</v>
      </c>
      <c r="C454" s="62" t="s">
        <v>60</v>
      </c>
      <c r="D454" s="62" t="s">
        <v>386</v>
      </c>
      <c r="E454" s="62" t="s">
        <v>67</v>
      </c>
      <c r="F454" s="62" t="s">
        <v>382</v>
      </c>
      <c r="G454" s="63" t="s">
        <v>399</v>
      </c>
      <c r="H454" s="64" t="n">
        <v>18836079635.3357</v>
      </c>
      <c r="I454" s="62" t="s">
        <v>81</v>
      </c>
      <c r="J454" s="64" t="n">
        <v>18836079.6353357</v>
      </c>
      <c r="K454" s="62" t="s">
        <v>138</v>
      </c>
      <c r="L454" s="68" t="b">
        <f aca="false">TRUE()</f>
        <v>1</v>
      </c>
    </row>
    <row r="455" customFormat="false" ht="15" hidden="false" customHeight="false" outlineLevel="0" collapsed="false">
      <c r="A455" s="62" t="n">
        <v>0</v>
      </c>
      <c r="B455" s="21" t="s">
        <v>336</v>
      </c>
      <c r="C455" s="62" t="s">
        <v>60</v>
      </c>
      <c r="D455" s="62" t="s">
        <v>387</v>
      </c>
      <c r="E455" s="62" t="s">
        <v>67</v>
      </c>
      <c r="F455" s="62" t="s">
        <v>382</v>
      </c>
      <c r="G455" s="63" t="s">
        <v>399</v>
      </c>
      <c r="H455" s="64" t="n">
        <v>18836079635.3357</v>
      </c>
      <c r="I455" s="62" t="s">
        <v>81</v>
      </c>
      <c r="J455" s="64" t="n">
        <v>18836079.6353357</v>
      </c>
      <c r="K455" s="62" t="s">
        <v>138</v>
      </c>
      <c r="L455" s="68" t="b">
        <f aca="false">TRUE()</f>
        <v>1</v>
      </c>
    </row>
    <row r="456" customFormat="false" ht="15" hidden="false" customHeight="false" outlineLevel="0" collapsed="false">
      <c r="A456" s="62" t="n">
        <v>0</v>
      </c>
      <c r="B456" s="21" t="s">
        <v>336</v>
      </c>
      <c r="C456" s="62" t="s">
        <v>60</v>
      </c>
      <c r="D456" s="62" t="s">
        <v>388</v>
      </c>
      <c r="E456" s="62" t="s">
        <v>67</v>
      </c>
      <c r="F456" s="62" t="s">
        <v>382</v>
      </c>
      <c r="G456" s="63" t="s">
        <v>399</v>
      </c>
      <c r="H456" s="64" t="n">
        <v>18836079635.3357</v>
      </c>
      <c r="I456" s="62" t="s">
        <v>81</v>
      </c>
      <c r="J456" s="64" t="n">
        <v>18836079.6353357</v>
      </c>
      <c r="K456" s="62" t="s">
        <v>138</v>
      </c>
      <c r="L456" s="68" t="b">
        <f aca="false">TRUE()</f>
        <v>1</v>
      </c>
    </row>
    <row r="457" customFormat="false" ht="15" hidden="false" customHeight="false" outlineLevel="0" collapsed="false">
      <c r="A457" s="62" t="n">
        <v>0</v>
      </c>
      <c r="B457" s="21" t="s">
        <v>336</v>
      </c>
      <c r="C457" s="62" t="s">
        <v>60</v>
      </c>
      <c r="D457" s="62" t="s">
        <v>381</v>
      </c>
      <c r="E457" s="62" t="s">
        <v>67</v>
      </c>
      <c r="F457" s="62" t="s">
        <v>382</v>
      </c>
      <c r="G457" s="63" t="s">
        <v>424</v>
      </c>
      <c r="H457" s="64" t="n">
        <v>2502222386.12016</v>
      </c>
      <c r="I457" s="62" t="s">
        <v>81</v>
      </c>
      <c r="J457" s="64" t="n">
        <v>2502222.38612016</v>
      </c>
      <c r="K457" s="62" t="s">
        <v>138</v>
      </c>
      <c r="L457" s="68" t="b">
        <f aca="false">TRUE()</f>
        <v>1</v>
      </c>
    </row>
    <row r="458" customFormat="false" ht="15" hidden="false" customHeight="false" outlineLevel="0" collapsed="false">
      <c r="A458" s="62" t="n">
        <v>0</v>
      </c>
      <c r="B458" s="21" t="s">
        <v>336</v>
      </c>
      <c r="C458" s="62" t="s">
        <v>60</v>
      </c>
      <c r="D458" s="62" t="s">
        <v>383</v>
      </c>
      <c r="E458" s="62" t="s">
        <v>67</v>
      </c>
      <c r="F458" s="62" t="s">
        <v>382</v>
      </c>
      <c r="G458" s="63" t="s">
        <v>424</v>
      </c>
      <c r="H458" s="64" t="n">
        <v>2502222386.12016</v>
      </c>
      <c r="I458" s="62" t="s">
        <v>81</v>
      </c>
      <c r="J458" s="64" t="n">
        <v>2502222.38612016</v>
      </c>
      <c r="K458" s="62" t="s">
        <v>138</v>
      </c>
      <c r="L458" s="68" t="b">
        <f aca="false">TRUE()</f>
        <v>1</v>
      </c>
    </row>
    <row r="459" customFormat="false" ht="15" hidden="false" customHeight="false" outlineLevel="0" collapsed="false">
      <c r="A459" s="62" t="n">
        <v>0</v>
      </c>
      <c r="B459" s="21" t="s">
        <v>336</v>
      </c>
      <c r="C459" s="62" t="s">
        <v>60</v>
      </c>
      <c r="D459" s="62" t="s">
        <v>384</v>
      </c>
      <c r="E459" s="62" t="s">
        <v>67</v>
      </c>
      <c r="F459" s="62" t="s">
        <v>382</v>
      </c>
      <c r="G459" s="63" t="s">
        <v>424</v>
      </c>
      <c r="H459" s="64" t="n">
        <v>2502222386.12016</v>
      </c>
      <c r="I459" s="62" t="s">
        <v>81</v>
      </c>
      <c r="J459" s="64" t="n">
        <v>2502222.38612016</v>
      </c>
      <c r="K459" s="62" t="s">
        <v>138</v>
      </c>
      <c r="L459" s="68" t="b">
        <f aca="false">TRUE()</f>
        <v>1</v>
      </c>
    </row>
    <row r="460" customFormat="false" ht="15" hidden="false" customHeight="false" outlineLevel="0" collapsed="false">
      <c r="A460" s="62" t="n">
        <v>0</v>
      </c>
      <c r="B460" s="21" t="s">
        <v>336</v>
      </c>
      <c r="C460" s="62" t="s">
        <v>60</v>
      </c>
      <c r="D460" s="62" t="s">
        <v>385</v>
      </c>
      <c r="E460" s="62" t="s">
        <v>67</v>
      </c>
      <c r="F460" s="62" t="s">
        <v>382</v>
      </c>
      <c r="G460" s="63" t="s">
        <v>424</v>
      </c>
      <c r="H460" s="64" t="n">
        <v>2502222386.12016</v>
      </c>
      <c r="I460" s="62" t="s">
        <v>81</v>
      </c>
      <c r="J460" s="64" t="n">
        <v>2502222.38612016</v>
      </c>
      <c r="K460" s="62" t="s">
        <v>138</v>
      </c>
      <c r="L460" s="68" t="b">
        <f aca="false">TRUE()</f>
        <v>1</v>
      </c>
    </row>
    <row r="461" customFormat="false" ht="15" hidden="false" customHeight="false" outlineLevel="0" collapsed="false">
      <c r="A461" s="62" t="n">
        <v>0</v>
      </c>
      <c r="B461" s="21" t="s">
        <v>336</v>
      </c>
      <c r="C461" s="62" t="s">
        <v>60</v>
      </c>
      <c r="D461" s="62" t="s">
        <v>386</v>
      </c>
      <c r="E461" s="62" t="s">
        <v>67</v>
      </c>
      <c r="F461" s="62" t="s">
        <v>382</v>
      </c>
      <c r="G461" s="63" t="s">
        <v>424</v>
      </c>
      <c r="H461" s="64" t="n">
        <v>2502222386.12016</v>
      </c>
      <c r="I461" s="62" t="s">
        <v>81</v>
      </c>
      <c r="J461" s="64" t="n">
        <v>2502222.38612016</v>
      </c>
      <c r="K461" s="62" t="s">
        <v>138</v>
      </c>
      <c r="L461" s="68" t="b">
        <f aca="false">TRUE()</f>
        <v>1</v>
      </c>
    </row>
    <row r="462" customFormat="false" ht="15" hidden="false" customHeight="false" outlineLevel="0" collapsed="false">
      <c r="A462" s="62" t="n">
        <v>0</v>
      </c>
      <c r="B462" s="21" t="s">
        <v>336</v>
      </c>
      <c r="C462" s="62" t="s">
        <v>60</v>
      </c>
      <c r="D462" s="62" t="s">
        <v>387</v>
      </c>
      <c r="E462" s="62" t="s">
        <v>67</v>
      </c>
      <c r="F462" s="62" t="s">
        <v>382</v>
      </c>
      <c r="G462" s="63" t="s">
        <v>424</v>
      </c>
      <c r="H462" s="64" t="n">
        <v>2502222386.12016</v>
      </c>
      <c r="I462" s="62" t="s">
        <v>81</v>
      </c>
      <c r="J462" s="64" t="n">
        <v>2502222.38612016</v>
      </c>
      <c r="K462" s="62" t="s">
        <v>138</v>
      </c>
      <c r="L462" s="68" t="b">
        <f aca="false">TRUE()</f>
        <v>1</v>
      </c>
    </row>
    <row r="463" customFormat="false" ht="15" hidden="false" customHeight="false" outlineLevel="0" collapsed="false">
      <c r="A463" s="62" t="n">
        <v>0</v>
      </c>
      <c r="B463" s="21" t="s">
        <v>336</v>
      </c>
      <c r="C463" s="62" t="s">
        <v>60</v>
      </c>
      <c r="D463" s="62" t="s">
        <v>388</v>
      </c>
      <c r="E463" s="62" t="s">
        <v>67</v>
      </c>
      <c r="F463" s="62" t="s">
        <v>382</v>
      </c>
      <c r="G463" s="63" t="s">
        <v>424</v>
      </c>
      <c r="H463" s="64" t="n">
        <v>2502222386.12016</v>
      </c>
      <c r="I463" s="62" t="s">
        <v>81</v>
      </c>
      <c r="J463" s="64" t="n">
        <v>2502222.38612016</v>
      </c>
      <c r="K463" s="62" t="s">
        <v>138</v>
      </c>
      <c r="L463" s="68" t="b">
        <f aca="false">TRUE()</f>
        <v>1</v>
      </c>
    </row>
    <row r="464" customFormat="false" ht="15" hidden="false" customHeight="false" outlineLevel="0" collapsed="false">
      <c r="A464" s="62" t="n">
        <v>0</v>
      </c>
      <c r="B464" s="21" t="s">
        <v>336</v>
      </c>
      <c r="C464" s="62" t="s">
        <v>60</v>
      </c>
      <c r="D464" s="62" t="s">
        <v>381</v>
      </c>
      <c r="E464" s="62" t="s">
        <v>67</v>
      </c>
      <c r="F464" s="62" t="s">
        <v>382</v>
      </c>
      <c r="G464" s="63" t="s">
        <v>425</v>
      </c>
      <c r="H464" s="64" t="n">
        <v>1416173750</v>
      </c>
      <c r="I464" s="62" t="s">
        <v>81</v>
      </c>
      <c r="J464" s="64" t="n">
        <v>1416173.75</v>
      </c>
      <c r="K464" s="62" t="s">
        <v>138</v>
      </c>
      <c r="L464" s="68" t="b">
        <f aca="false">TRUE()</f>
        <v>1</v>
      </c>
    </row>
    <row r="465" customFormat="false" ht="15" hidden="false" customHeight="false" outlineLevel="0" collapsed="false">
      <c r="A465" s="62" t="n">
        <v>0</v>
      </c>
      <c r="B465" s="21" t="s">
        <v>336</v>
      </c>
      <c r="C465" s="62" t="s">
        <v>60</v>
      </c>
      <c r="D465" s="62" t="s">
        <v>383</v>
      </c>
      <c r="E465" s="62" t="s">
        <v>67</v>
      </c>
      <c r="F465" s="62" t="s">
        <v>382</v>
      </c>
      <c r="G465" s="63" t="s">
        <v>425</v>
      </c>
      <c r="H465" s="64" t="n">
        <v>1416173750</v>
      </c>
      <c r="I465" s="62" t="s">
        <v>81</v>
      </c>
      <c r="J465" s="64" t="n">
        <v>1416173.75</v>
      </c>
      <c r="K465" s="62" t="s">
        <v>138</v>
      </c>
      <c r="L465" s="68" t="b">
        <f aca="false">TRUE()</f>
        <v>1</v>
      </c>
    </row>
    <row r="466" customFormat="false" ht="15" hidden="false" customHeight="false" outlineLevel="0" collapsed="false">
      <c r="A466" s="62" t="n">
        <v>0</v>
      </c>
      <c r="B466" s="21" t="s">
        <v>336</v>
      </c>
      <c r="C466" s="62" t="s">
        <v>60</v>
      </c>
      <c r="D466" s="62" t="s">
        <v>384</v>
      </c>
      <c r="E466" s="62" t="s">
        <v>67</v>
      </c>
      <c r="F466" s="62" t="s">
        <v>382</v>
      </c>
      <c r="G466" s="63" t="s">
        <v>425</v>
      </c>
      <c r="H466" s="64" t="n">
        <v>1416173750</v>
      </c>
      <c r="I466" s="62" t="s">
        <v>81</v>
      </c>
      <c r="J466" s="64" t="n">
        <v>1416173.75</v>
      </c>
      <c r="K466" s="62" t="s">
        <v>138</v>
      </c>
      <c r="L466" s="68" t="b">
        <f aca="false">TRUE()</f>
        <v>1</v>
      </c>
    </row>
    <row r="467" customFormat="false" ht="15" hidden="false" customHeight="false" outlineLevel="0" collapsed="false">
      <c r="A467" s="62" t="n">
        <v>0</v>
      </c>
      <c r="B467" s="21" t="s">
        <v>336</v>
      </c>
      <c r="C467" s="62" t="s">
        <v>60</v>
      </c>
      <c r="D467" s="62" t="s">
        <v>385</v>
      </c>
      <c r="E467" s="62" t="s">
        <v>67</v>
      </c>
      <c r="F467" s="62" t="s">
        <v>382</v>
      </c>
      <c r="G467" s="63" t="s">
        <v>425</v>
      </c>
      <c r="H467" s="64" t="n">
        <v>1416173750</v>
      </c>
      <c r="I467" s="62" t="s">
        <v>81</v>
      </c>
      <c r="J467" s="64" t="n">
        <v>1416173.75</v>
      </c>
      <c r="K467" s="62" t="s">
        <v>138</v>
      </c>
      <c r="L467" s="68" t="b">
        <f aca="false">TRUE()</f>
        <v>1</v>
      </c>
    </row>
    <row r="468" customFormat="false" ht="15" hidden="false" customHeight="false" outlineLevel="0" collapsed="false">
      <c r="A468" s="62" t="n">
        <v>0</v>
      </c>
      <c r="B468" s="21" t="s">
        <v>336</v>
      </c>
      <c r="C468" s="62" t="s">
        <v>60</v>
      </c>
      <c r="D468" s="62" t="s">
        <v>386</v>
      </c>
      <c r="E468" s="62" t="s">
        <v>67</v>
      </c>
      <c r="F468" s="62" t="s">
        <v>382</v>
      </c>
      <c r="G468" s="63" t="s">
        <v>425</v>
      </c>
      <c r="H468" s="64" t="n">
        <v>1416173750</v>
      </c>
      <c r="I468" s="62" t="s">
        <v>81</v>
      </c>
      <c r="J468" s="64" t="n">
        <v>1416173.75</v>
      </c>
      <c r="K468" s="62" t="s">
        <v>138</v>
      </c>
      <c r="L468" s="68" t="b">
        <f aca="false">TRUE()</f>
        <v>1</v>
      </c>
    </row>
    <row r="469" customFormat="false" ht="15" hidden="false" customHeight="false" outlineLevel="0" collapsed="false">
      <c r="A469" s="62" t="n">
        <v>0</v>
      </c>
      <c r="B469" s="21" t="s">
        <v>336</v>
      </c>
      <c r="C469" s="62" t="s">
        <v>60</v>
      </c>
      <c r="D469" s="62" t="s">
        <v>387</v>
      </c>
      <c r="E469" s="62" t="s">
        <v>67</v>
      </c>
      <c r="F469" s="62" t="s">
        <v>382</v>
      </c>
      <c r="G469" s="63" t="s">
        <v>425</v>
      </c>
      <c r="H469" s="64" t="n">
        <v>1416173750</v>
      </c>
      <c r="I469" s="62" t="s">
        <v>81</v>
      </c>
      <c r="J469" s="64" t="n">
        <v>1416173.75</v>
      </c>
      <c r="K469" s="62" t="s">
        <v>138</v>
      </c>
      <c r="L469" s="68" t="b">
        <f aca="false">TRUE()</f>
        <v>1</v>
      </c>
    </row>
    <row r="470" customFormat="false" ht="15" hidden="false" customHeight="false" outlineLevel="0" collapsed="false">
      <c r="A470" s="62" t="n">
        <v>0</v>
      </c>
      <c r="B470" s="21" t="s">
        <v>336</v>
      </c>
      <c r="C470" s="62" t="s">
        <v>60</v>
      </c>
      <c r="D470" s="62" t="s">
        <v>388</v>
      </c>
      <c r="E470" s="62" t="s">
        <v>67</v>
      </c>
      <c r="F470" s="62" t="s">
        <v>382</v>
      </c>
      <c r="G470" s="63" t="s">
        <v>425</v>
      </c>
      <c r="H470" s="64" t="n">
        <v>1416173750</v>
      </c>
      <c r="I470" s="62" t="s">
        <v>81</v>
      </c>
      <c r="J470" s="64" t="n">
        <v>1416173.75</v>
      </c>
      <c r="K470" s="62" t="s">
        <v>138</v>
      </c>
      <c r="L470" s="68" t="b">
        <f aca="false">TRUE()</f>
        <v>1</v>
      </c>
    </row>
    <row r="471" customFormat="false" ht="15" hidden="false" customHeight="false" outlineLevel="0" collapsed="false">
      <c r="A471" s="62" t="n">
        <v>0</v>
      </c>
      <c r="B471" s="21" t="s">
        <v>336</v>
      </c>
      <c r="C471" s="62" t="s">
        <v>60</v>
      </c>
      <c r="D471" s="62" t="s">
        <v>381</v>
      </c>
      <c r="E471" s="62" t="s">
        <v>67</v>
      </c>
      <c r="F471" s="62" t="s">
        <v>382</v>
      </c>
      <c r="G471" s="63" t="s">
        <v>426</v>
      </c>
      <c r="H471" s="64" t="n">
        <v>0</v>
      </c>
      <c r="I471" s="62" t="s">
        <v>81</v>
      </c>
      <c r="J471" s="64" t="n">
        <v>0</v>
      </c>
      <c r="K471" s="62" t="s">
        <v>138</v>
      </c>
      <c r="L471" s="68" t="b">
        <f aca="false">TRUE()</f>
        <v>1</v>
      </c>
    </row>
    <row r="472" customFormat="false" ht="15" hidden="false" customHeight="false" outlineLevel="0" collapsed="false">
      <c r="A472" s="62" t="n">
        <v>0</v>
      </c>
      <c r="B472" s="21" t="s">
        <v>336</v>
      </c>
      <c r="C472" s="62" t="s">
        <v>60</v>
      </c>
      <c r="D472" s="62" t="s">
        <v>383</v>
      </c>
      <c r="E472" s="62" t="s">
        <v>67</v>
      </c>
      <c r="F472" s="62" t="s">
        <v>382</v>
      </c>
      <c r="G472" s="63" t="s">
        <v>426</v>
      </c>
      <c r="H472" s="64" t="n">
        <v>0</v>
      </c>
      <c r="I472" s="62" t="s">
        <v>81</v>
      </c>
      <c r="J472" s="64" t="n">
        <v>0</v>
      </c>
      <c r="K472" s="62" t="s">
        <v>138</v>
      </c>
      <c r="L472" s="68" t="b">
        <f aca="false">TRUE()</f>
        <v>1</v>
      </c>
    </row>
    <row r="473" customFormat="false" ht="15" hidden="false" customHeight="false" outlineLevel="0" collapsed="false">
      <c r="A473" s="62" t="n">
        <v>0</v>
      </c>
      <c r="B473" s="21" t="s">
        <v>336</v>
      </c>
      <c r="C473" s="62" t="s">
        <v>60</v>
      </c>
      <c r="D473" s="62" t="s">
        <v>384</v>
      </c>
      <c r="E473" s="62" t="s">
        <v>67</v>
      </c>
      <c r="F473" s="62" t="s">
        <v>382</v>
      </c>
      <c r="G473" s="63" t="s">
        <v>426</v>
      </c>
      <c r="H473" s="64" t="n">
        <v>0</v>
      </c>
      <c r="I473" s="62" t="s">
        <v>81</v>
      </c>
      <c r="J473" s="64" t="n">
        <v>0</v>
      </c>
      <c r="K473" s="62" t="s">
        <v>138</v>
      </c>
      <c r="L473" s="68" t="b">
        <f aca="false">TRUE()</f>
        <v>1</v>
      </c>
    </row>
    <row r="474" customFormat="false" ht="15" hidden="false" customHeight="false" outlineLevel="0" collapsed="false">
      <c r="A474" s="62" t="n">
        <v>0</v>
      </c>
      <c r="B474" s="21" t="s">
        <v>336</v>
      </c>
      <c r="C474" s="62" t="s">
        <v>60</v>
      </c>
      <c r="D474" s="62" t="s">
        <v>385</v>
      </c>
      <c r="E474" s="62" t="s">
        <v>67</v>
      </c>
      <c r="F474" s="62" t="s">
        <v>382</v>
      </c>
      <c r="G474" s="63" t="s">
        <v>426</v>
      </c>
      <c r="H474" s="64" t="n">
        <v>0</v>
      </c>
      <c r="I474" s="62" t="s">
        <v>81</v>
      </c>
      <c r="J474" s="64" t="n">
        <v>0</v>
      </c>
      <c r="K474" s="62" t="s">
        <v>138</v>
      </c>
      <c r="L474" s="68" t="b">
        <f aca="false">TRUE()</f>
        <v>1</v>
      </c>
    </row>
    <row r="475" customFormat="false" ht="15" hidden="false" customHeight="false" outlineLevel="0" collapsed="false">
      <c r="A475" s="62" t="n">
        <v>0</v>
      </c>
      <c r="B475" s="21" t="s">
        <v>336</v>
      </c>
      <c r="C475" s="62" t="s">
        <v>60</v>
      </c>
      <c r="D475" s="62" t="s">
        <v>386</v>
      </c>
      <c r="E475" s="62" t="s">
        <v>67</v>
      </c>
      <c r="F475" s="62" t="s">
        <v>382</v>
      </c>
      <c r="G475" s="63" t="s">
        <v>426</v>
      </c>
      <c r="H475" s="64" t="n">
        <v>0</v>
      </c>
      <c r="I475" s="62" t="s">
        <v>81</v>
      </c>
      <c r="J475" s="64" t="n">
        <v>0</v>
      </c>
      <c r="K475" s="62" t="s">
        <v>138</v>
      </c>
      <c r="L475" s="68" t="b">
        <f aca="false">TRUE()</f>
        <v>1</v>
      </c>
    </row>
    <row r="476" customFormat="false" ht="15" hidden="false" customHeight="false" outlineLevel="0" collapsed="false">
      <c r="A476" s="62" t="n">
        <v>0</v>
      </c>
      <c r="B476" s="21" t="s">
        <v>336</v>
      </c>
      <c r="C476" s="62" t="s">
        <v>60</v>
      </c>
      <c r="D476" s="62" t="s">
        <v>387</v>
      </c>
      <c r="E476" s="62" t="s">
        <v>67</v>
      </c>
      <c r="F476" s="62" t="s">
        <v>382</v>
      </c>
      <c r="G476" s="63" t="s">
        <v>426</v>
      </c>
      <c r="H476" s="64" t="n">
        <v>0</v>
      </c>
      <c r="I476" s="62" t="s">
        <v>81</v>
      </c>
      <c r="J476" s="64" t="n">
        <v>0</v>
      </c>
      <c r="K476" s="62" t="s">
        <v>138</v>
      </c>
      <c r="L476" s="68" t="b">
        <f aca="false">TRUE()</f>
        <v>1</v>
      </c>
    </row>
    <row r="477" customFormat="false" ht="15" hidden="false" customHeight="false" outlineLevel="0" collapsed="false">
      <c r="A477" s="62" t="n">
        <v>0</v>
      </c>
      <c r="B477" s="21" t="s">
        <v>336</v>
      </c>
      <c r="C477" s="62" t="s">
        <v>60</v>
      </c>
      <c r="D477" s="62" t="s">
        <v>388</v>
      </c>
      <c r="E477" s="62" t="s">
        <v>67</v>
      </c>
      <c r="F477" s="62" t="s">
        <v>382</v>
      </c>
      <c r="G477" s="63" t="s">
        <v>426</v>
      </c>
      <c r="H477" s="64" t="n">
        <v>0</v>
      </c>
      <c r="I477" s="62" t="s">
        <v>81</v>
      </c>
      <c r="J477" s="64" t="n">
        <v>0</v>
      </c>
      <c r="K477" s="62" t="s">
        <v>138</v>
      </c>
      <c r="L477" s="68" t="b">
        <f aca="false">TRUE()</f>
        <v>1</v>
      </c>
    </row>
    <row r="478" customFormat="false" ht="15" hidden="false" customHeight="false" outlineLevel="0" collapsed="false">
      <c r="A478" s="62" t="n">
        <v>0</v>
      </c>
      <c r="B478" s="21" t="s">
        <v>336</v>
      </c>
      <c r="C478" s="62" t="s">
        <v>60</v>
      </c>
      <c r="D478" s="62" t="s">
        <v>381</v>
      </c>
      <c r="E478" s="62" t="s">
        <v>67</v>
      </c>
      <c r="F478" s="62" t="s">
        <v>382</v>
      </c>
      <c r="G478" s="63" t="s">
        <v>427</v>
      </c>
      <c r="H478" s="64" t="n">
        <v>-148522104.860624</v>
      </c>
      <c r="I478" s="62" t="s">
        <v>81</v>
      </c>
      <c r="J478" s="64" t="n">
        <v>-148522.104860624</v>
      </c>
      <c r="K478" s="62" t="s">
        <v>138</v>
      </c>
      <c r="L478" s="68" t="b">
        <f aca="false">TRUE()</f>
        <v>1</v>
      </c>
    </row>
    <row r="479" customFormat="false" ht="15" hidden="false" customHeight="false" outlineLevel="0" collapsed="false">
      <c r="A479" s="62" t="n">
        <v>0</v>
      </c>
      <c r="B479" s="21" t="s">
        <v>336</v>
      </c>
      <c r="C479" s="62" t="s">
        <v>60</v>
      </c>
      <c r="D479" s="62" t="s">
        <v>383</v>
      </c>
      <c r="E479" s="62" t="s">
        <v>67</v>
      </c>
      <c r="F479" s="62" t="s">
        <v>382</v>
      </c>
      <c r="G479" s="63" t="s">
        <v>427</v>
      </c>
      <c r="H479" s="64" t="n">
        <v>-148522104.860624</v>
      </c>
      <c r="I479" s="62" t="s">
        <v>81</v>
      </c>
      <c r="J479" s="64" t="n">
        <v>-148522.104860624</v>
      </c>
      <c r="K479" s="62" t="s">
        <v>138</v>
      </c>
      <c r="L479" s="68" t="b">
        <f aca="false">TRUE()</f>
        <v>1</v>
      </c>
    </row>
    <row r="480" customFormat="false" ht="15" hidden="false" customHeight="false" outlineLevel="0" collapsed="false">
      <c r="A480" s="62" t="n">
        <v>0</v>
      </c>
      <c r="B480" s="21" t="s">
        <v>336</v>
      </c>
      <c r="C480" s="62" t="s">
        <v>60</v>
      </c>
      <c r="D480" s="62" t="s">
        <v>384</v>
      </c>
      <c r="E480" s="62" t="s">
        <v>67</v>
      </c>
      <c r="F480" s="62" t="s">
        <v>382</v>
      </c>
      <c r="G480" s="63" t="s">
        <v>427</v>
      </c>
      <c r="H480" s="64" t="n">
        <v>-148522104.860624</v>
      </c>
      <c r="I480" s="62" t="s">
        <v>81</v>
      </c>
      <c r="J480" s="64" t="n">
        <v>-148522.104860624</v>
      </c>
      <c r="K480" s="62" t="s">
        <v>138</v>
      </c>
      <c r="L480" s="68" t="b">
        <f aca="false">TRUE()</f>
        <v>1</v>
      </c>
    </row>
    <row r="481" customFormat="false" ht="15" hidden="false" customHeight="false" outlineLevel="0" collapsed="false">
      <c r="A481" s="62" t="n">
        <v>0</v>
      </c>
      <c r="B481" s="21" t="s">
        <v>336</v>
      </c>
      <c r="C481" s="62" t="s">
        <v>60</v>
      </c>
      <c r="D481" s="62" t="s">
        <v>385</v>
      </c>
      <c r="E481" s="62" t="s">
        <v>67</v>
      </c>
      <c r="F481" s="62" t="s">
        <v>382</v>
      </c>
      <c r="G481" s="63" t="s">
        <v>427</v>
      </c>
      <c r="H481" s="64" t="n">
        <v>-148522104.860624</v>
      </c>
      <c r="I481" s="62" t="s">
        <v>81</v>
      </c>
      <c r="J481" s="64" t="n">
        <v>-148522.104860624</v>
      </c>
      <c r="K481" s="62" t="s">
        <v>138</v>
      </c>
      <c r="L481" s="68" t="b">
        <f aca="false">TRUE()</f>
        <v>1</v>
      </c>
    </row>
    <row r="482" customFormat="false" ht="15" hidden="false" customHeight="false" outlineLevel="0" collapsed="false">
      <c r="A482" s="62" t="n">
        <v>0</v>
      </c>
      <c r="B482" s="21" t="s">
        <v>336</v>
      </c>
      <c r="C482" s="62" t="s">
        <v>60</v>
      </c>
      <c r="D482" s="62" t="s">
        <v>386</v>
      </c>
      <c r="E482" s="62" t="s">
        <v>67</v>
      </c>
      <c r="F482" s="62" t="s">
        <v>382</v>
      </c>
      <c r="G482" s="63" t="s">
        <v>427</v>
      </c>
      <c r="H482" s="64" t="n">
        <v>-148522104.860624</v>
      </c>
      <c r="I482" s="62" t="s">
        <v>81</v>
      </c>
      <c r="J482" s="64" t="n">
        <v>-148522.104860624</v>
      </c>
      <c r="K482" s="62" t="s">
        <v>138</v>
      </c>
      <c r="L482" s="68" t="b">
        <f aca="false">TRUE()</f>
        <v>1</v>
      </c>
    </row>
    <row r="483" customFormat="false" ht="15" hidden="false" customHeight="false" outlineLevel="0" collapsed="false">
      <c r="A483" s="62" t="n">
        <v>0</v>
      </c>
      <c r="B483" s="21" t="s">
        <v>336</v>
      </c>
      <c r="C483" s="62" t="s">
        <v>60</v>
      </c>
      <c r="D483" s="62" t="s">
        <v>387</v>
      </c>
      <c r="E483" s="62" t="s">
        <v>67</v>
      </c>
      <c r="F483" s="62" t="s">
        <v>382</v>
      </c>
      <c r="G483" s="63" t="s">
        <v>427</v>
      </c>
      <c r="H483" s="64" t="n">
        <v>-148522104.860624</v>
      </c>
      <c r="I483" s="62" t="s">
        <v>81</v>
      </c>
      <c r="J483" s="64" t="n">
        <v>-148522.104860624</v>
      </c>
      <c r="K483" s="62" t="s">
        <v>138</v>
      </c>
      <c r="L483" s="68" t="b">
        <f aca="false">TRUE()</f>
        <v>1</v>
      </c>
    </row>
    <row r="484" customFormat="false" ht="15" hidden="false" customHeight="false" outlineLevel="0" collapsed="false">
      <c r="A484" s="62" t="n">
        <v>0</v>
      </c>
      <c r="B484" s="21" t="s">
        <v>336</v>
      </c>
      <c r="C484" s="62" t="s">
        <v>60</v>
      </c>
      <c r="D484" s="62" t="s">
        <v>388</v>
      </c>
      <c r="E484" s="62" t="s">
        <v>67</v>
      </c>
      <c r="F484" s="62" t="s">
        <v>382</v>
      </c>
      <c r="G484" s="63" t="s">
        <v>427</v>
      </c>
      <c r="H484" s="64" t="n">
        <v>-148522104.860624</v>
      </c>
      <c r="I484" s="62" t="s">
        <v>81</v>
      </c>
      <c r="J484" s="64" t="n">
        <v>-148522.104860624</v>
      </c>
      <c r="K484" s="62" t="s">
        <v>138</v>
      </c>
      <c r="L484" s="68" t="b">
        <f aca="false">TRUE()</f>
        <v>1</v>
      </c>
    </row>
    <row r="485" customFormat="false" ht="15" hidden="false" customHeight="false" outlineLevel="0" collapsed="false">
      <c r="A485" s="62" t="n">
        <v>0</v>
      </c>
      <c r="B485" s="21" t="s">
        <v>336</v>
      </c>
      <c r="C485" s="62" t="s">
        <v>60</v>
      </c>
      <c r="D485" s="62" t="s">
        <v>381</v>
      </c>
      <c r="E485" s="62" t="s">
        <v>67</v>
      </c>
      <c r="F485" s="62" t="s">
        <v>382</v>
      </c>
      <c r="G485" s="63" t="s">
        <v>428</v>
      </c>
      <c r="H485" s="64" t="n">
        <v>-529181242.278694</v>
      </c>
      <c r="I485" s="62" t="s">
        <v>81</v>
      </c>
      <c r="J485" s="64" t="n">
        <v>-529181.242278694</v>
      </c>
      <c r="K485" s="62" t="s">
        <v>138</v>
      </c>
      <c r="L485" s="68" t="b">
        <f aca="false">TRUE()</f>
        <v>1</v>
      </c>
    </row>
    <row r="486" customFormat="false" ht="15" hidden="false" customHeight="false" outlineLevel="0" collapsed="false">
      <c r="A486" s="62" t="n">
        <v>0</v>
      </c>
      <c r="B486" s="21" t="s">
        <v>336</v>
      </c>
      <c r="C486" s="62" t="s">
        <v>60</v>
      </c>
      <c r="D486" s="62" t="s">
        <v>383</v>
      </c>
      <c r="E486" s="62" t="s">
        <v>67</v>
      </c>
      <c r="F486" s="62" t="s">
        <v>382</v>
      </c>
      <c r="G486" s="63" t="s">
        <v>428</v>
      </c>
      <c r="H486" s="64" t="n">
        <v>-529181242.278694</v>
      </c>
      <c r="I486" s="62" t="s">
        <v>81</v>
      </c>
      <c r="J486" s="64" t="n">
        <v>-529181.242278694</v>
      </c>
      <c r="K486" s="62" t="s">
        <v>138</v>
      </c>
      <c r="L486" s="68" t="b">
        <f aca="false">TRUE()</f>
        <v>1</v>
      </c>
    </row>
    <row r="487" customFormat="false" ht="15" hidden="false" customHeight="false" outlineLevel="0" collapsed="false">
      <c r="A487" s="62" t="n">
        <v>0</v>
      </c>
      <c r="B487" s="21" t="s">
        <v>336</v>
      </c>
      <c r="C487" s="62" t="s">
        <v>60</v>
      </c>
      <c r="D487" s="62" t="s">
        <v>384</v>
      </c>
      <c r="E487" s="62" t="s">
        <v>67</v>
      </c>
      <c r="F487" s="62" t="s">
        <v>382</v>
      </c>
      <c r="G487" s="63" t="s">
        <v>428</v>
      </c>
      <c r="H487" s="64" t="n">
        <v>-529181242.278694</v>
      </c>
      <c r="I487" s="62" t="s">
        <v>81</v>
      </c>
      <c r="J487" s="64" t="n">
        <v>-529181.242278694</v>
      </c>
      <c r="K487" s="62" t="s">
        <v>138</v>
      </c>
      <c r="L487" s="68" t="b">
        <f aca="false">TRUE()</f>
        <v>1</v>
      </c>
    </row>
    <row r="488" customFormat="false" ht="15" hidden="false" customHeight="false" outlineLevel="0" collapsed="false">
      <c r="A488" s="62" t="n">
        <v>0</v>
      </c>
      <c r="B488" s="21" t="s">
        <v>336</v>
      </c>
      <c r="C488" s="62" t="s">
        <v>60</v>
      </c>
      <c r="D488" s="62" t="s">
        <v>385</v>
      </c>
      <c r="E488" s="62" t="s">
        <v>67</v>
      </c>
      <c r="F488" s="62" t="s">
        <v>382</v>
      </c>
      <c r="G488" s="63" t="s">
        <v>428</v>
      </c>
      <c r="H488" s="64" t="n">
        <v>-529181242.278694</v>
      </c>
      <c r="I488" s="62" t="s">
        <v>81</v>
      </c>
      <c r="J488" s="64" t="n">
        <v>-529181.242278694</v>
      </c>
      <c r="K488" s="62" t="s">
        <v>138</v>
      </c>
      <c r="L488" s="68" t="b">
        <f aca="false">TRUE()</f>
        <v>1</v>
      </c>
    </row>
    <row r="489" customFormat="false" ht="15" hidden="false" customHeight="false" outlineLevel="0" collapsed="false">
      <c r="A489" s="62" t="n">
        <v>0</v>
      </c>
      <c r="B489" s="21" t="s">
        <v>336</v>
      </c>
      <c r="C489" s="62" t="s">
        <v>60</v>
      </c>
      <c r="D489" s="62" t="s">
        <v>386</v>
      </c>
      <c r="E489" s="62" t="s">
        <v>67</v>
      </c>
      <c r="F489" s="62" t="s">
        <v>382</v>
      </c>
      <c r="G489" s="63" t="s">
        <v>428</v>
      </c>
      <c r="H489" s="64" t="n">
        <v>-529181242.278694</v>
      </c>
      <c r="I489" s="62" t="s">
        <v>81</v>
      </c>
      <c r="J489" s="64" t="n">
        <v>-529181.242278694</v>
      </c>
      <c r="K489" s="62" t="s">
        <v>138</v>
      </c>
      <c r="L489" s="68" t="b">
        <f aca="false">TRUE()</f>
        <v>1</v>
      </c>
    </row>
    <row r="490" customFormat="false" ht="15" hidden="false" customHeight="false" outlineLevel="0" collapsed="false">
      <c r="A490" s="62" t="n">
        <v>0</v>
      </c>
      <c r="B490" s="21" t="s">
        <v>336</v>
      </c>
      <c r="C490" s="62" t="s">
        <v>60</v>
      </c>
      <c r="D490" s="62" t="s">
        <v>387</v>
      </c>
      <c r="E490" s="62" t="s">
        <v>67</v>
      </c>
      <c r="F490" s="62" t="s">
        <v>382</v>
      </c>
      <c r="G490" s="63" t="s">
        <v>428</v>
      </c>
      <c r="H490" s="64" t="n">
        <v>-529181242.278694</v>
      </c>
      <c r="I490" s="62" t="s">
        <v>81</v>
      </c>
      <c r="J490" s="64" t="n">
        <v>-529181.242278694</v>
      </c>
      <c r="K490" s="62" t="s">
        <v>138</v>
      </c>
      <c r="L490" s="68" t="b">
        <f aca="false">TRUE()</f>
        <v>1</v>
      </c>
    </row>
    <row r="491" customFormat="false" ht="15" hidden="false" customHeight="false" outlineLevel="0" collapsed="false">
      <c r="A491" s="62" t="n">
        <v>0</v>
      </c>
      <c r="B491" s="21" t="s">
        <v>336</v>
      </c>
      <c r="C491" s="62" t="s">
        <v>60</v>
      </c>
      <c r="D491" s="62" t="s">
        <v>388</v>
      </c>
      <c r="E491" s="62" t="s">
        <v>67</v>
      </c>
      <c r="F491" s="62" t="s">
        <v>382</v>
      </c>
      <c r="G491" s="63" t="s">
        <v>428</v>
      </c>
      <c r="H491" s="64" t="n">
        <v>-529181242.278694</v>
      </c>
      <c r="I491" s="62" t="s">
        <v>81</v>
      </c>
      <c r="J491" s="64" t="n">
        <v>-529181.242278694</v>
      </c>
      <c r="K491" s="62" t="s">
        <v>138</v>
      </c>
      <c r="L491" s="68" t="b">
        <f aca="false">TRUE()</f>
        <v>1</v>
      </c>
    </row>
    <row r="492" customFormat="false" ht="15" hidden="false" customHeight="false" outlineLevel="0" collapsed="false">
      <c r="A492" s="62" t="n">
        <v>0</v>
      </c>
      <c r="B492" s="21" t="s">
        <v>336</v>
      </c>
      <c r="C492" s="62" t="s">
        <v>60</v>
      </c>
      <c r="D492" s="62" t="s">
        <v>381</v>
      </c>
      <c r="E492" s="62" t="s">
        <v>67</v>
      </c>
      <c r="F492" s="62" t="s">
        <v>382</v>
      </c>
      <c r="G492" s="63" t="s">
        <v>429</v>
      </c>
      <c r="H492" s="64" t="n">
        <v>-212954003.645122</v>
      </c>
      <c r="I492" s="62" t="s">
        <v>81</v>
      </c>
      <c r="J492" s="64" t="n">
        <v>-212954.003645122</v>
      </c>
      <c r="K492" s="62" t="s">
        <v>138</v>
      </c>
      <c r="L492" s="68" t="b">
        <f aca="false">TRUE()</f>
        <v>1</v>
      </c>
    </row>
    <row r="493" customFormat="false" ht="15" hidden="false" customHeight="false" outlineLevel="0" collapsed="false">
      <c r="A493" s="62" t="n">
        <v>0</v>
      </c>
      <c r="B493" s="21" t="s">
        <v>336</v>
      </c>
      <c r="C493" s="62" t="s">
        <v>60</v>
      </c>
      <c r="D493" s="62" t="s">
        <v>383</v>
      </c>
      <c r="E493" s="62" t="s">
        <v>67</v>
      </c>
      <c r="F493" s="62" t="s">
        <v>382</v>
      </c>
      <c r="G493" s="63" t="s">
        <v>429</v>
      </c>
      <c r="H493" s="64" t="n">
        <v>-212954003.645122</v>
      </c>
      <c r="I493" s="62" t="s">
        <v>81</v>
      </c>
      <c r="J493" s="64" t="n">
        <v>-212954.003645122</v>
      </c>
      <c r="K493" s="62" t="s">
        <v>138</v>
      </c>
      <c r="L493" s="68" t="b">
        <f aca="false">TRUE()</f>
        <v>1</v>
      </c>
    </row>
    <row r="494" customFormat="false" ht="15" hidden="false" customHeight="false" outlineLevel="0" collapsed="false">
      <c r="A494" s="62" t="n">
        <v>0</v>
      </c>
      <c r="B494" s="21" t="s">
        <v>336</v>
      </c>
      <c r="C494" s="62" t="s">
        <v>60</v>
      </c>
      <c r="D494" s="62" t="s">
        <v>384</v>
      </c>
      <c r="E494" s="62" t="s">
        <v>67</v>
      </c>
      <c r="F494" s="62" t="s">
        <v>382</v>
      </c>
      <c r="G494" s="63" t="s">
        <v>429</v>
      </c>
      <c r="H494" s="64" t="n">
        <v>-212954003.645122</v>
      </c>
      <c r="I494" s="62" t="s">
        <v>81</v>
      </c>
      <c r="J494" s="64" t="n">
        <v>-212954.003645122</v>
      </c>
      <c r="K494" s="62" t="s">
        <v>138</v>
      </c>
      <c r="L494" s="68" t="b">
        <f aca="false">TRUE()</f>
        <v>1</v>
      </c>
    </row>
    <row r="495" customFormat="false" ht="15" hidden="false" customHeight="false" outlineLevel="0" collapsed="false">
      <c r="A495" s="62" t="n">
        <v>0</v>
      </c>
      <c r="B495" s="21" t="s">
        <v>336</v>
      </c>
      <c r="C495" s="62" t="s">
        <v>60</v>
      </c>
      <c r="D495" s="62" t="s">
        <v>385</v>
      </c>
      <c r="E495" s="62" t="s">
        <v>67</v>
      </c>
      <c r="F495" s="62" t="s">
        <v>382</v>
      </c>
      <c r="G495" s="63" t="s">
        <v>429</v>
      </c>
      <c r="H495" s="64" t="n">
        <v>-212954003.645122</v>
      </c>
      <c r="I495" s="62" t="s">
        <v>81</v>
      </c>
      <c r="J495" s="64" t="n">
        <v>-212954.003645122</v>
      </c>
      <c r="K495" s="62" t="s">
        <v>138</v>
      </c>
      <c r="L495" s="68" t="b">
        <f aca="false">TRUE()</f>
        <v>1</v>
      </c>
    </row>
    <row r="496" customFormat="false" ht="15" hidden="false" customHeight="false" outlineLevel="0" collapsed="false">
      <c r="A496" s="62" t="n">
        <v>0</v>
      </c>
      <c r="B496" s="21" t="s">
        <v>336</v>
      </c>
      <c r="C496" s="62" t="s">
        <v>60</v>
      </c>
      <c r="D496" s="62" t="s">
        <v>386</v>
      </c>
      <c r="E496" s="62" t="s">
        <v>67</v>
      </c>
      <c r="F496" s="62" t="s">
        <v>382</v>
      </c>
      <c r="G496" s="63" t="s">
        <v>429</v>
      </c>
      <c r="H496" s="64" t="n">
        <v>-212954003.645122</v>
      </c>
      <c r="I496" s="62" t="s">
        <v>81</v>
      </c>
      <c r="J496" s="64" t="n">
        <v>-212954.003645122</v>
      </c>
      <c r="K496" s="62" t="s">
        <v>138</v>
      </c>
      <c r="L496" s="68" t="b">
        <f aca="false">TRUE()</f>
        <v>1</v>
      </c>
    </row>
    <row r="497" customFormat="false" ht="15" hidden="false" customHeight="false" outlineLevel="0" collapsed="false">
      <c r="A497" s="62" t="n">
        <v>0</v>
      </c>
      <c r="B497" s="21" t="s">
        <v>336</v>
      </c>
      <c r="C497" s="62" t="s">
        <v>60</v>
      </c>
      <c r="D497" s="62" t="s">
        <v>387</v>
      </c>
      <c r="E497" s="62" t="s">
        <v>67</v>
      </c>
      <c r="F497" s="62" t="s">
        <v>382</v>
      </c>
      <c r="G497" s="63" t="s">
        <v>429</v>
      </c>
      <c r="H497" s="64" t="n">
        <v>-212954003.645122</v>
      </c>
      <c r="I497" s="62" t="s">
        <v>81</v>
      </c>
      <c r="J497" s="64" t="n">
        <v>-212954.003645122</v>
      </c>
      <c r="K497" s="62" t="s">
        <v>138</v>
      </c>
      <c r="L497" s="68" t="b">
        <f aca="false">TRUE()</f>
        <v>1</v>
      </c>
    </row>
    <row r="498" customFormat="false" ht="15" hidden="false" customHeight="false" outlineLevel="0" collapsed="false">
      <c r="A498" s="62" t="n">
        <v>0</v>
      </c>
      <c r="B498" s="21" t="s">
        <v>336</v>
      </c>
      <c r="C498" s="62" t="s">
        <v>60</v>
      </c>
      <c r="D498" s="62" t="s">
        <v>388</v>
      </c>
      <c r="E498" s="62" t="s">
        <v>67</v>
      </c>
      <c r="F498" s="62" t="s">
        <v>382</v>
      </c>
      <c r="G498" s="63" t="s">
        <v>429</v>
      </c>
      <c r="H498" s="64" t="n">
        <v>-212954003.645122</v>
      </c>
      <c r="I498" s="62" t="s">
        <v>81</v>
      </c>
      <c r="J498" s="64" t="n">
        <v>-212954.003645122</v>
      </c>
      <c r="K498" s="62" t="s">
        <v>138</v>
      </c>
      <c r="L498" s="68" t="b">
        <f aca="false">TRUE()</f>
        <v>1</v>
      </c>
    </row>
    <row r="499" customFormat="false" ht="15" hidden="false" customHeight="false" outlineLevel="0" collapsed="false">
      <c r="A499" s="62" t="n">
        <v>0</v>
      </c>
      <c r="B499" s="21" t="s">
        <v>336</v>
      </c>
      <c r="C499" s="62" t="s">
        <v>60</v>
      </c>
      <c r="D499" s="62" t="s">
        <v>381</v>
      </c>
      <c r="E499" s="62" t="s">
        <v>67</v>
      </c>
      <c r="F499" s="62" t="s">
        <v>382</v>
      </c>
      <c r="G499" s="63" t="s">
        <v>430</v>
      </c>
      <c r="H499" s="64" t="n">
        <v>3027738785.33572</v>
      </c>
      <c r="I499" s="62" t="s">
        <v>81</v>
      </c>
      <c r="J499" s="64" t="n">
        <v>3027738.78533572</v>
      </c>
      <c r="K499" s="62" t="s">
        <v>138</v>
      </c>
      <c r="L499" s="68" t="b">
        <f aca="false">TRUE()</f>
        <v>1</v>
      </c>
    </row>
    <row r="500" customFormat="false" ht="15" hidden="false" customHeight="false" outlineLevel="0" collapsed="false">
      <c r="A500" s="62" t="n">
        <v>0</v>
      </c>
      <c r="B500" s="21" t="s">
        <v>336</v>
      </c>
      <c r="C500" s="62" t="s">
        <v>60</v>
      </c>
      <c r="D500" s="62" t="s">
        <v>383</v>
      </c>
      <c r="E500" s="62" t="s">
        <v>67</v>
      </c>
      <c r="F500" s="62" t="s">
        <v>382</v>
      </c>
      <c r="G500" s="63" t="s">
        <v>430</v>
      </c>
      <c r="H500" s="64" t="n">
        <v>3027738785.33572</v>
      </c>
      <c r="I500" s="62" t="s">
        <v>81</v>
      </c>
      <c r="J500" s="64" t="n">
        <v>3027738.78533572</v>
      </c>
      <c r="K500" s="62" t="s">
        <v>138</v>
      </c>
      <c r="L500" s="68" t="b">
        <f aca="false">TRUE()</f>
        <v>1</v>
      </c>
    </row>
    <row r="501" customFormat="false" ht="15" hidden="false" customHeight="false" outlineLevel="0" collapsed="false">
      <c r="A501" s="62" t="n">
        <v>0</v>
      </c>
      <c r="B501" s="21" t="s">
        <v>336</v>
      </c>
      <c r="C501" s="62" t="s">
        <v>60</v>
      </c>
      <c r="D501" s="62" t="s">
        <v>384</v>
      </c>
      <c r="E501" s="62" t="s">
        <v>67</v>
      </c>
      <c r="F501" s="62" t="s">
        <v>382</v>
      </c>
      <c r="G501" s="63" t="s">
        <v>430</v>
      </c>
      <c r="H501" s="64" t="n">
        <v>3027738785.33572</v>
      </c>
      <c r="I501" s="62" t="s">
        <v>81</v>
      </c>
      <c r="J501" s="64" t="n">
        <v>3027738.78533572</v>
      </c>
      <c r="K501" s="62" t="s">
        <v>138</v>
      </c>
      <c r="L501" s="68" t="b">
        <f aca="false">TRUE()</f>
        <v>1</v>
      </c>
    </row>
    <row r="502" customFormat="false" ht="15" hidden="false" customHeight="false" outlineLevel="0" collapsed="false">
      <c r="A502" s="62" t="n">
        <v>0</v>
      </c>
      <c r="B502" s="21" t="s">
        <v>336</v>
      </c>
      <c r="C502" s="62" t="s">
        <v>60</v>
      </c>
      <c r="D502" s="62" t="s">
        <v>385</v>
      </c>
      <c r="E502" s="62" t="s">
        <v>67</v>
      </c>
      <c r="F502" s="62" t="s">
        <v>382</v>
      </c>
      <c r="G502" s="63" t="s">
        <v>430</v>
      </c>
      <c r="H502" s="64" t="n">
        <v>3027738785.33572</v>
      </c>
      <c r="I502" s="62" t="s">
        <v>81</v>
      </c>
      <c r="J502" s="64" t="n">
        <v>3027738.78533572</v>
      </c>
      <c r="K502" s="62" t="s">
        <v>138</v>
      </c>
      <c r="L502" s="68" t="b">
        <f aca="false">TRUE()</f>
        <v>1</v>
      </c>
    </row>
    <row r="503" customFormat="false" ht="15" hidden="false" customHeight="false" outlineLevel="0" collapsed="false">
      <c r="A503" s="62" t="n">
        <v>0</v>
      </c>
      <c r="B503" s="21" t="s">
        <v>336</v>
      </c>
      <c r="C503" s="62" t="s">
        <v>60</v>
      </c>
      <c r="D503" s="62" t="s">
        <v>386</v>
      </c>
      <c r="E503" s="62" t="s">
        <v>67</v>
      </c>
      <c r="F503" s="62" t="s">
        <v>382</v>
      </c>
      <c r="G503" s="63" t="s">
        <v>430</v>
      </c>
      <c r="H503" s="64" t="n">
        <v>3027738785.33572</v>
      </c>
      <c r="I503" s="62" t="s">
        <v>81</v>
      </c>
      <c r="J503" s="64" t="n">
        <v>3027738.78533572</v>
      </c>
      <c r="K503" s="62" t="s">
        <v>138</v>
      </c>
      <c r="L503" s="68" t="b">
        <f aca="false">TRUE()</f>
        <v>1</v>
      </c>
    </row>
    <row r="504" customFormat="false" ht="15" hidden="false" customHeight="false" outlineLevel="0" collapsed="false">
      <c r="A504" s="62" t="n">
        <v>0</v>
      </c>
      <c r="B504" s="21" t="s">
        <v>336</v>
      </c>
      <c r="C504" s="62" t="s">
        <v>60</v>
      </c>
      <c r="D504" s="62" t="s">
        <v>387</v>
      </c>
      <c r="E504" s="62" t="s">
        <v>67</v>
      </c>
      <c r="F504" s="62" t="s">
        <v>382</v>
      </c>
      <c r="G504" s="63" t="s">
        <v>430</v>
      </c>
      <c r="H504" s="64" t="n">
        <v>3027738785.33572</v>
      </c>
      <c r="I504" s="62" t="s">
        <v>81</v>
      </c>
      <c r="J504" s="64" t="n">
        <v>3027738.78533572</v>
      </c>
      <c r="K504" s="62" t="s">
        <v>138</v>
      </c>
      <c r="L504" s="68" t="b">
        <f aca="false">TRUE()</f>
        <v>1</v>
      </c>
    </row>
    <row r="505" customFormat="false" ht="15" hidden="false" customHeight="false" outlineLevel="0" collapsed="false">
      <c r="A505" s="62" t="n">
        <v>0</v>
      </c>
      <c r="B505" s="21" t="s">
        <v>336</v>
      </c>
      <c r="C505" s="62" t="s">
        <v>60</v>
      </c>
      <c r="D505" s="62" t="s">
        <v>388</v>
      </c>
      <c r="E505" s="62" t="s">
        <v>67</v>
      </c>
      <c r="F505" s="62" t="s">
        <v>382</v>
      </c>
      <c r="G505" s="63" t="s">
        <v>430</v>
      </c>
      <c r="H505" s="64" t="n">
        <v>3027738785.33572</v>
      </c>
      <c r="I505" s="62" t="s">
        <v>81</v>
      </c>
      <c r="J505" s="64" t="n">
        <v>3027738.78533572</v>
      </c>
      <c r="K505" s="62" t="s">
        <v>138</v>
      </c>
      <c r="L505" s="68" t="b">
        <f aca="false">TRUE()</f>
        <v>1</v>
      </c>
    </row>
    <row r="506" customFormat="false" ht="15" hidden="false" customHeight="false" outlineLevel="0" collapsed="false">
      <c r="A506" s="62" t="n">
        <v>0</v>
      </c>
      <c r="B506" s="21" t="s">
        <v>336</v>
      </c>
      <c r="C506" s="62" t="s">
        <v>60</v>
      </c>
      <c r="D506" s="62" t="s">
        <v>381</v>
      </c>
      <c r="E506" s="62" t="s">
        <v>67</v>
      </c>
      <c r="F506" s="62" t="s">
        <v>382</v>
      </c>
      <c r="G506" s="63" t="s">
        <v>431</v>
      </c>
      <c r="H506" s="64" t="n">
        <v>0</v>
      </c>
      <c r="I506" s="62" t="s">
        <v>81</v>
      </c>
      <c r="J506" s="64" t="n">
        <v>0</v>
      </c>
      <c r="K506" s="62" t="s">
        <v>138</v>
      </c>
      <c r="L506" s="68" t="b">
        <f aca="false">TRUE()</f>
        <v>1</v>
      </c>
    </row>
    <row r="507" customFormat="false" ht="15" hidden="false" customHeight="false" outlineLevel="0" collapsed="false">
      <c r="A507" s="62" t="n">
        <v>0</v>
      </c>
      <c r="B507" s="21" t="s">
        <v>336</v>
      </c>
      <c r="C507" s="62" t="s">
        <v>60</v>
      </c>
      <c r="D507" s="62" t="s">
        <v>383</v>
      </c>
      <c r="E507" s="62" t="s">
        <v>67</v>
      </c>
      <c r="F507" s="62" t="s">
        <v>382</v>
      </c>
      <c r="G507" s="63" t="s">
        <v>431</v>
      </c>
      <c r="H507" s="64" t="n">
        <v>0</v>
      </c>
      <c r="I507" s="62" t="s">
        <v>81</v>
      </c>
      <c r="J507" s="64" t="n">
        <v>0</v>
      </c>
      <c r="K507" s="62" t="s">
        <v>138</v>
      </c>
      <c r="L507" s="68" t="b">
        <f aca="false">TRUE()</f>
        <v>1</v>
      </c>
    </row>
    <row r="508" customFormat="false" ht="15" hidden="false" customHeight="false" outlineLevel="0" collapsed="false">
      <c r="A508" s="62" t="n">
        <v>0</v>
      </c>
      <c r="B508" s="21" t="s">
        <v>336</v>
      </c>
      <c r="C508" s="62" t="s">
        <v>60</v>
      </c>
      <c r="D508" s="62" t="s">
        <v>384</v>
      </c>
      <c r="E508" s="62" t="s">
        <v>67</v>
      </c>
      <c r="F508" s="62" t="s">
        <v>382</v>
      </c>
      <c r="G508" s="63" t="s">
        <v>431</v>
      </c>
      <c r="H508" s="64" t="n">
        <v>0</v>
      </c>
      <c r="I508" s="62" t="s">
        <v>81</v>
      </c>
      <c r="J508" s="64" t="n">
        <v>0</v>
      </c>
      <c r="K508" s="62" t="s">
        <v>138</v>
      </c>
      <c r="L508" s="68" t="b">
        <f aca="false">TRUE()</f>
        <v>1</v>
      </c>
    </row>
    <row r="509" customFormat="false" ht="15" hidden="false" customHeight="false" outlineLevel="0" collapsed="false">
      <c r="A509" s="62" t="n">
        <v>0</v>
      </c>
      <c r="B509" s="21" t="s">
        <v>336</v>
      </c>
      <c r="C509" s="62" t="s">
        <v>60</v>
      </c>
      <c r="D509" s="62" t="s">
        <v>385</v>
      </c>
      <c r="E509" s="62" t="s">
        <v>67</v>
      </c>
      <c r="F509" s="62" t="s">
        <v>382</v>
      </c>
      <c r="G509" s="63" t="s">
        <v>431</v>
      </c>
      <c r="H509" s="64" t="n">
        <v>0</v>
      </c>
      <c r="I509" s="62" t="s">
        <v>81</v>
      </c>
      <c r="J509" s="64" t="n">
        <v>0</v>
      </c>
      <c r="K509" s="62" t="s">
        <v>138</v>
      </c>
      <c r="L509" s="68" t="b">
        <f aca="false">TRUE()</f>
        <v>1</v>
      </c>
    </row>
    <row r="510" customFormat="false" ht="15" hidden="false" customHeight="false" outlineLevel="0" collapsed="false">
      <c r="A510" s="62" t="n">
        <v>0</v>
      </c>
      <c r="B510" s="21" t="s">
        <v>336</v>
      </c>
      <c r="C510" s="62" t="s">
        <v>60</v>
      </c>
      <c r="D510" s="62" t="s">
        <v>386</v>
      </c>
      <c r="E510" s="62" t="s">
        <v>67</v>
      </c>
      <c r="F510" s="62" t="s">
        <v>382</v>
      </c>
      <c r="G510" s="63" t="s">
        <v>431</v>
      </c>
      <c r="H510" s="64" t="n">
        <v>0</v>
      </c>
      <c r="I510" s="62" t="s">
        <v>81</v>
      </c>
      <c r="J510" s="64" t="n">
        <v>0</v>
      </c>
      <c r="K510" s="62" t="s">
        <v>138</v>
      </c>
      <c r="L510" s="68" t="b">
        <f aca="false">TRUE()</f>
        <v>1</v>
      </c>
    </row>
    <row r="511" customFormat="false" ht="15" hidden="false" customHeight="false" outlineLevel="0" collapsed="false">
      <c r="A511" s="62" t="n">
        <v>0</v>
      </c>
      <c r="B511" s="21" t="s">
        <v>336</v>
      </c>
      <c r="C511" s="62" t="s">
        <v>60</v>
      </c>
      <c r="D511" s="62" t="s">
        <v>387</v>
      </c>
      <c r="E511" s="62" t="s">
        <v>67</v>
      </c>
      <c r="F511" s="62" t="s">
        <v>382</v>
      </c>
      <c r="G511" s="63" t="s">
        <v>431</v>
      </c>
      <c r="H511" s="64" t="n">
        <v>0</v>
      </c>
      <c r="I511" s="62" t="s">
        <v>81</v>
      </c>
      <c r="J511" s="64" t="n">
        <v>0</v>
      </c>
      <c r="K511" s="62" t="s">
        <v>138</v>
      </c>
      <c r="L511" s="68" t="b">
        <f aca="false">TRUE()</f>
        <v>1</v>
      </c>
    </row>
    <row r="512" customFormat="false" ht="15" hidden="false" customHeight="false" outlineLevel="0" collapsed="false">
      <c r="A512" s="62" t="n">
        <v>0</v>
      </c>
      <c r="B512" s="21" t="s">
        <v>336</v>
      </c>
      <c r="C512" s="62" t="s">
        <v>60</v>
      </c>
      <c r="D512" s="62" t="s">
        <v>388</v>
      </c>
      <c r="E512" s="62" t="s">
        <v>67</v>
      </c>
      <c r="F512" s="62" t="s">
        <v>382</v>
      </c>
      <c r="G512" s="63" t="s">
        <v>431</v>
      </c>
      <c r="H512" s="64" t="n">
        <v>0</v>
      </c>
      <c r="I512" s="62" t="s">
        <v>81</v>
      </c>
      <c r="J512" s="64" t="n">
        <v>0</v>
      </c>
      <c r="K512" s="62" t="s">
        <v>138</v>
      </c>
      <c r="L512" s="68" t="b">
        <f aca="false">TRUE()</f>
        <v>1</v>
      </c>
    </row>
    <row r="513" customFormat="false" ht="15" hidden="false" customHeight="false" outlineLevel="0" collapsed="false">
      <c r="A513" s="62" t="n">
        <v>0</v>
      </c>
      <c r="B513" s="21" t="s">
        <v>336</v>
      </c>
      <c r="C513" s="62" t="s">
        <v>60</v>
      </c>
      <c r="D513" s="62" t="s">
        <v>381</v>
      </c>
      <c r="E513" s="62" t="s">
        <v>67</v>
      </c>
      <c r="F513" s="62" t="s">
        <v>382</v>
      </c>
      <c r="G513" s="63" t="s">
        <v>432</v>
      </c>
      <c r="H513" s="64" t="n">
        <v>3027738785.33572</v>
      </c>
      <c r="I513" s="62" t="s">
        <v>81</v>
      </c>
      <c r="J513" s="64" t="n">
        <v>3027738.78533572</v>
      </c>
      <c r="K513" s="62" t="s">
        <v>138</v>
      </c>
      <c r="L513" s="68" t="b">
        <f aca="false">TRUE()</f>
        <v>1</v>
      </c>
    </row>
    <row r="514" customFormat="false" ht="15" hidden="false" customHeight="false" outlineLevel="0" collapsed="false">
      <c r="A514" s="62" t="n">
        <v>0</v>
      </c>
      <c r="B514" s="21" t="s">
        <v>336</v>
      </c>
      <c r="C514" s="62" t="s">
        <v>60</v>
      </c>
      <c r="D514" s="62" t="s">
        <v>383</v>
      </c>
      <c r="E514" s="62" t="s">
        <v>67</v>
      </c>
      <c r="F514" s="62" t="s">
        <v>382</v>
      </c>
      <c r="G514" s="63" t="s">
        <v>432</v>
      </c>
      <c r="H514" s="64" t="n">
        <v>3027738785.33572</v>
      </c>
      <c r="I514" s="62" t="s">
        <v>81</v>
      </c>
      <c r="J514" s="64" t="n">
        <v>3027738.78533572</v>
      </c>
      <c r="K514" s="62" t="s">
        <v>138</v>
      </c>
      <c r="L514" s="68" t="b">
        <f aca="false">TRUE()</f>
        <v>1</v>
      </c>
    </row>
    <row r="515" customFormat="false" ht="15" hidden="false" customHeight="false" outlineLevel="0" collapsed="false">
      <c r="A515" s="62" t="n">
        <v>0</v>
      </c>
      <c r="B515" s="21" t="s">
        <v>336</v>
      </c>
      <c r="C515" s="62" t="s">
        <v>60</v>
      </c>
      <c r="D515" s="62" t="s">
        <v>384</v>
      </c>
      <c r="E515" s="62" t="s">
        <v>67</v>
      </c>
      <c r="F515" s="62" t="s">
        <v>382</v>
      </c>
      <c r="G515" s="63" t="s">
        <v>432</v>
      </c>
      <c r="H515" s="64" t="n">
        <v>3027738785.33572</v>
      </c>
      <c r="I515" s="62" t="s">
        <v>81</v>
      </c>
      <c r="J515" s="64" t="n">
        <v>3027738.78533572</v>
      </c>
      <c r="K515" s="62" t="s">
        <v>138</v>
      </c>
      <c r="L515" s="68" t="b">
        <f aca="false">TRUE()</f>
        <v>1</v>
      </c>
    </row>
    <row r="516" customFormat="false" ht="15" hidden="false" customHeight="false" outlineLevel="0" collapsed="false">
      <c r="A516" s="62" t="n">
        <v>0</v>
      </c>
      <c r="B516" s="21" t="s">
        <v>336</v>
      </c>
      <c r="C516" s="62" t="s">
        <v>60</v>
      </c>
      <c r="D516" s="62" t="s">
        <v>385</v>
      </c>
      <c r="E516" s="62" t="s">
        <v>67</v>
      </c>
      <c r="F516" s="62" t="s">
        <v>382</v>
      </c>
      <c r="G516" s="63" t="s">
        <v>432</v>
      </c>
      <c r="H516" s="64" t="n">
        <v>3027738785.33572</v>
      </c>
      <c r="I516" s="62" t="s">
        <v>81</v>
      </c>
      <c r="J516" s="64" t="n">
        <v>3027738.78533572</v>
      </c>
      <c r="K516" s="62" t="s">
        <v>138</v>
      </c>
      <c r="L516" s="68" t="b">
        <f aca="false">TRUE()</f>
        <v>1</v>
      </c>
    </row>
    <row r="517" customFormat="false" ht="15" hidden="false" customHeight="false" outlineLevel="0" collapsed="false">
      <c r="A517" s="62" t="n">
        <v>0</v>
      </c>
      <c r="B517" s="21" t="s">
        <v>336</v>
      </c>
      <c r="C517" s="62" t="s">
        <v>60</v>
      </c>
      <c r="D517" s="62" t="s">
        <v>386</v>
      </c>
      <c r="E517" s="62" t="s">
        <v>67</v>
      </c>
      <c r="F517" s="62" t="s">
        <v>382</v>
      </c>
      <c r="G517" s="63" t="s">
        <v>432</v>
      </c>
      <c r="H517" s="64" t="n">
        <v>3027738785.33572</v>
      </c>
      <c r="I517" s="62" t="s">
        <v>81</v>
      </c>
      <c r="J517" s="64" t="n">
        <v>3027738.78533572</v>
      </c>
      <c r="K517" s="62" t="s">
        <v>138</v>
      </c>
      <c r="L517" s="68" t="b">
        <f aca="false">TRUE()</f>
        <v>1</v>
      </c>
    </row>
    <row r="518" customFormat="false" ht="15" hidden="false" customHeight="false" outlineLevel="0" collapsed="false">
      <c r="A518" s="62" t="n">
        <v>0</v>
      </c>
      <c r="B518" s="21" t="s">
        <v>336</v>
      </c>
      <c r="C518" s="62" t="s">
        <v>60</v>
      </c>
      <c r="D518" s="62" t="s">
        <v>387</v>
      </c>
      <c r="E518" s="62" t="s">
        <v>67</v>
      </c>
      <c r="F518" s="62" t="s">
        <v>382</v>
      </c>
      <c r="G518" s="63" t="s">
        <v>432</v>
      </c>
      <c r="H518" s="64" t="n">
        <v>3027738785.33572</v>
      </c>
      <c r="I518" s="62" t="s">
        <v>81</v>
      </c>
      <c r="J518" s="64" t="n">
        <v>3027738.78533572</v>
      </c>
      <c r="K518" s="62" t="s">
        <v>138</v>
      </c>
      <c r="L518" s="68" t="b">
        <f aca="false">TRUE()</f>
        <v>1</v>
      </c>
    </row>
    <row r="519" customFormat="false" ht="15" hidden="false" customHeight="false" outlineLevel="0" collapsed="false">
      <c r="A519" s="62" t="n">
        <v>0</v>
      </c>
      <c r="B519" s="21" t="s">
        <v>336</v>
      </c>
      <c r="C519" s="62" t="s">
        <v>60</v>
      </c>
      <c r="D519" s="62" t="s">
        <v>388</v>
      </c>
      <c r="E519" s="62" t="s">
        <v>67</v>
      </c>
      <c r="F519" s="62" t="s">
        <v>382</v>
      </c>
      <c r="G519" s="63" t="s">
        <v>432</v>
      </c>
      <c r="H519" s="64" t="n">
        <v>3027738785.33572</v>
      </c>
      <c r="I519" s="62" t="s">
        <v>81</v>
      </c>
      <c r="J519" s="64" t="n">
        <v>3027738.78533572</v>
      </c>
      <c r="K519" s="62" t="s">
        <v>138</v>
      </c>
      <c r="L519" s="68" t="b">
        <f aca="false">TRUE()</f>
        <v>1</v>
      </c>
    </row>
    <row r="520" customFormat="false" ht="15" hidden="false" customHeight="false" outlineLevel="0" collapsed="false">
      <c r="A520" s="62" t="n">
        <v>0</v>
      </c>
      <c r="B520" s="21" t="s">
        <v>336</v>
      </c>
      <c r="C520" s="62" t="s">
        <v>60</v>
      </c>
      <c r="D520" s="62" t="s">
        <v>381</v>
      </c>
      <c r="E520" s="62" t="s">
        <v>67</v>
      </c>
      <c r="F520" s="62" t="s">
        <v>382</v>
      </c>
      <c r="G520" s="63" t="s">
        <v>433</v>
      </c>
      <c r="H520" s="64" t="n">
        <v>0</v>
      </c>
      <c r="I520" s="62" t="s">
        <v>81</v>
      </c>
      <c r="J520" s="64" t="n">
        <v>0</v>
      </c>
      <c r="K520" s="62" t="s">
        <v>138</v>
      </c>
      <c r="L520" s="68" t="b">
        <f aca="false">TRUE()</f>
        <v>1</v>
      </c>
    </row>
    <row r="521" customFormat="false" ht="15" hidden="false" customHeight="false" outlineLevel="0" collapsed="false">
      <c r="A521" s="62" t="n">
        <v>0</v>
      </c>
      <c r="B521" s="21" t="s">
        <v>336</v>
      </c>
      <c r="C521" s="62" t="s">
        <v>60</v>
      </c>
      <c r="D521" s="62" t="s">
        <v>383</v>
      </c>
      <c r="E521" s="62" t="s">
        <v>67</v>
      </c>
      <c r="F521" s="62" t="s">
        <v>382</v>
      </c>
      <c r="G521" s="63" t="s">
        <v>433</v>
      </c>
      <c r="H521" s="64" t="n">
        <v>0</v>
      </c>
      <c r="I521" s="62" t="s">
        <v>81</v>
      </c>
      <c r="J521" s="64" t="n">
        <v>0</v>
      </c>
      <c r="K521" s="62" t="s">
        <v>138</v>
      </c>
      <c r="L521" s="68" t="b">
        <f aca="false">TRUE()</f>
        <v>1</v>
      </c>
    </row>
    <row r="522" customFormat="false" ht="15" hidden="false" customHeight="false" outlineLevel="0" collapsed="false">
      <c r="A522" s="62" t="n">
        <v>0</v>
      </c>
      <c r="B522" s="21" t="s">
        <v>336</v>
      </c>
      <c r="C522" s="62" t="s">
        <v>60</v>
      </c>
      <c r="D522" s="62" t="s">
        <v>384</v>
      </c>
      <c r="E522" s="62" t="s">
        <v>67</v>
      </c>
      <c r="F522" s="62" t="s">
        <v>382</v>
      </c>
      <c r="G522" s="63" t="s">
        <v>433</v>
      </c>
      <c r="H522" s="64" t="n">
        <v>0</v>
      </c>
      <c r="I522" s="62" t="s">
        <v>81</v>
      </c>
      <c r="J522" s="64" t="n">
        <v>0</v>
      </c>
      <c r="K522" s="62" t="s">
        <v>138</v>
      </c>
      <c r="L522" s="68" t="b">
        <f aca="false">TRUE()</f>
        <v>1</v>
      </c>
    </row>
    <row r="523" customFormat="false" ht="15" hidden="false" customHeight="false" outlineLevel="0" collapsed="false">
      <c r="A523" s="62" t="n">
        <v>0</v>
      </c>
      <c r="B523" s="21" t="s">
        <v>336</v>
      </c>
      <c r="C523" s="62" t="s">
        <v>60</v>
      </c>
      <c r="D523" s="62" t="s">
        <v>385</v>
      </c>
      <c r="E523" s="62" t="s">
        <v>67</v>
      </c>
      <c r="F523" s="62" t="s">
        <v>382</v>
      </c>
      <c r="G523" s="63" t="s">
        <v>433</v>
      </c>
      <c r="H523" s="64" t="n">
        <v>0</v>
      </c>
      <c r="I523" s="62" t="s">
        <v>81</v>
      </c>
      <c r="J523" s="64" t="n">
        <v>0</v>
      </c>
      <c r="K523" s="62" t="s">
        <v>138</v>
      </c>
      <c r="L523" s="68" t="b">
        <f aca="false">TRUE()</f>
        <v>1</v>
      </c>
    </row>
    <row r="524" customFormat="false" ht="15" hidden="false" customHeight="false" outlineLevel="0" collapsed="false">
      <c r="A524" s="62" t="n">
        <v>0</v>
      </c>
      <c r="B524" s="21" t="s">
        <v>336</v>
      </c>
      <c r="C524" s="62" t="s">
        <v>60</v>
      </c>
      <c r="D524" s="62" t="s">
        <v>386</v>
      </c>
      <c r="E524" s="62" t="s">
        <v>67</v>
      </c>
      <c r="F524" s="62" t="s">
        <v>382</v>
      </c>
      <c r="G524" s="63" t="s">
        <v>433</v>
      </c>
      <c r="H524" s="64" t="n">
        <v>0</v>
      </c>
      <c r="I524" s="62" t="s">
        <v>81</v>
      </c>
      <c r="J524" s="64" t="n">
        <v>0</v>
      </c>
      <c r="K524" s="62" t="s">
        <v>138</v>
      </c>
      <c r="L524" s="68" t="b">
        <f aca="false">TRUE()</f>
        <v>1</v>
      </c>
    </row>
    <row r="525" customFormat="false" ht="15" hidden="false" customHeight="false" outlineLevel="0" collapsed="false">
      <c r="A525" s="62" t="n">
        <v>0</v>
      </c>
      <c r="B525" s="21" t="s">
        <v>336</v>
      </c>
      <c r="C525" s="62" t="s">
        <v>60</v>
      </c>
      <c r="D525" s="62" t="s">
        <v>387</v>
      </c>
      <c r="E525" s="62" t="s">
        <v>67</v>
      </c>
      <c r="F525" s="62" t="s">
        <v>382</v>
      </c>
      <c r="G525" s="63" t="s">
        <v>433</v>
      </c>
      <c r="H525" s="64" t="n">
        <v>0</v>
      </c>
      <c r="I525" s="62" t="s">
        <v>81</v>
      </c>
      <c r="J525" s="64" t="n">
        <v>0</v>
      </c>
      <c r="K525" s="62" t="s">
        <v>138</v>
      </c>
      <c r="L525" s="68" t="b">
        <f aca="false">TRUE()</f>
        <v>1</v>
      </c>
    </row>
    <row r="526" customFormat="false" ht="15" hidden="false" customHeight="false" outlineLevel="0" collapsed="false">
      <c r="A526" s="62" t="n">
        <v>0</v>
      </c>
      <c r="B526" s="21" t="s">
        <v>336</v>
      </c>
      <c r="C526" s="62" t="s">
        <v>60</v>
      </c>
      <c r="D526" s="62" t="s">
        <v>388</v>
      </c>
      <c r="E526" s="62" t="s">
        <v>67</v>
      </c>
      <c r="F526" s="62" t="s">
        <v>382</v>
      </c>
      <c r="G526" s="63" t="s">
        <v>433</v>
      </c>
      <c r="H526" s="64" t="n">
        <v>0</v>
      </c>
      <c r="I526" s="62" t="s">
        <v>81</v>
      </c>
      <c r="J526" s="64" t="n">
        <v>0</v>
      </c>
      <c r="K526" s="62" t="s">
        <v>138</v>
      </c>
      <c r="L526" s="68" t="b">
        <f aca="false">TRUE()</f>
        <v>1</v>
      </c>
    </row>
    <row r="527" customFormat="false" ht="15" hidden="false" customHeight="false" outlineLevel="0" collapsed="false">
      <c r="A527" s="62" t="n">
        <v>0</v>
      </c>
      <c r="B527" s="21" t="s">
        <v>336</v>
      </c>
      <c r="C527" s="62" t="s">
        <v>60</v>
      </c>
      <c r="D527" s="62" t="s">
        <v>381</v>
      </c>
      <c r="E527" s="62" t="s">
        <v>67</v>
      </c>
      <c r="F527" s="62" t="s">
        <v>382</v>
      </c>
      <c r="G527" s="63" t="s">
        <v>434</v>
      </c>
      <c r="H527" s="64" t="n">
        <v>0</v>
      </c>
      <c r="I527" s="62" t="s">
        <v>81</v>
      </c>
      <c r="J527" s="64" t="n">
        <v>0</v>
      </c>
      <c r="K527" s="62" t="s">
        <v>138</v>
      </c>
      <c r="L527" s="68" t="b">
        <f aca="false">TRUE()</f>
        <v>1</v>
      </c>
    </row>
    <row r="528" customFormat="false" ht="15" hidden="false" customHeight="false" outlineLevel="0" collapsed="false">
      <c r="A528" s="62" t="n">
        <v>0</v>
      </c>
      <c r="B528" s="21" t="s">
        <v>336</v>
      </c>
      <c r="C528" s="62" t="s">
        <v>60</v>
      </c>
      <c r="D528" s="62" t="s">
        <v>383</v>
      </c>
      <c r="E528" s="62" t="s">
        <v>67</v>
      </c>
      <c r="F528" s="62" t="s">
        <v>382</v>
      </c>
      <c r="G528" s="63" t="s">
        <v>434</v>
      </c>
      <c r="H528" s="64" t="n">
        <v>0</v>
      </c>
      <c r="I528" s="62" t="s">
        <v>81</v>
      </c>
      <c r="J528" s="64" t="n">
        <v>0</v>
      </c>
      <c r="K528" s="62" t="s">
        <v>138</v>
      </c>
      <c r="L528" s="68" t="b">
        <f aca="false">TRUE()</f>
        <v>1</v>
      </c>
    </row>
    <row r="529" customFormat="false" ht="15" hidden="false" customHeight="false" outlineLevel="0" collapsed="false">
      <c r="A529" s="62" t="n">
        <v>0</v>
      </c>
      <c r="B529" s="21" t="s">
        <v>336</v>
      </c>
      <c r="C529" s="62" t="s">
        <v>60</v>
      </c>
      <c r="D529" s="62" t="s">
        <v>384</v>
      </c>
      <c r="E529" s="62" t="s">
        <v>67</v>
      </c>
      <c r="F529" s="62" t="s">
        <v>382</v>
      </c>
      <c r="G529" s="63" t="s">
        <v>434</v>
      </c>
      <c r="H529" s="64" t="n">
        <v>0</v>
      </c>
      <c r="I529" s="62" t="s">
        <v>81</v>
      </c>
      <c r="J529" s="64" t="n">
        <v>0</v>
      </c>
      <c r="K529" s="62" t="s">
        <v>138</v>
      </c>
      <c r="L529" s="68" t="b">
        <f aca="false">TRUE()</f>
        <v>1</v>
      </c>
    </row>
    <row r="530" customFormat="false" ht="15" hidden="false" customHeight="false" outlineLevel="0" collapsed="false">
      <c r="A530" s="62" t="n">
        <v>0</v>
      </c>
      <c r="B530" s="21" t="s">
        <v>336</v>
      </c>
      <c r="C530" s="62" t="s">
        <v>60</v>
      </c>
      <c r="D530" s="62" t="s">
        <v>385</v>
      </c>
      <c r="E530" s="62" t="s">
        <v>67</v>
      </c>
      <c r="F530" s="62" t="s">
        <v>382</v>
      </c>
      <c r="G530" s="63" t="s">
        <v>434</v>
      </c>
      <c r="H530" s="64" t="n">
        <v>0</v>
      </c>
      <c r="I530" s="62" t="s">
        <v>81</v>
      </c>
      <c r="J530" s="64" t="n">
        <v>0</v>
      </c>
      <c r="K530" s="62" t="s">
        <v>138</v>
      </c>
      <c r="L530" s="68" t="b">
        <f aca="false">TRUE()</f>
        <v>1</v>
      </c>
    </row>
    <row r="531" customFormat="false" ht="15" hidden="false" customHeight="false" outlineLevel="0" collapsed="false">
      <c r="A531" s="62" t="n">
        <v>0</v>
      </c>
      <c r="B531" s="21" t="s">
        <v>336</v>
      </c>
      <c r="C531" s="62" t="s">
        <v>60</v>
      </c>
      <c r="D531" s="62" t="s">
        <v>386</v>
      </c>
      <c r="E531" s="62" t="s">
        <v>67</v>
      </c>
      <c r="F531" s="62" t="s">
        <v>382</v>
      </c>
      <c r="G531" s="63" t="s">
        <v>434</v>
      </c>
      <c r="H531" s="64" t="n">
        <v>0</v>
      </c>
      <c r="I531" s="62" t="s">
        <v>81</v>
      </c>
      <c r="J531" s="64" t="n">
        <v>0</v>
      </c>
      <c r="K531" s="62" t="s">
        <v>138</v>
      </c>
      <c r="L531" s="68" t="b">
        <f aca="false">TRUE()</f>
        <v>1</v>
      </c>
    </row>
    <row r="532" customFormat="false" ht="15" hidden="false" customHeight="false" outlineLevel="0" collapsed="false">
      <c r="A532" s="62" t="n">
        <v>0</v>
      </c>
      <c r="B532" s="21" t="s">
        <v>336</v>
      </c>
      <c r="C532" s="62" t="s">
        <v>60</v>
      </c>
      <c r="D532" s="62" t="s">
        <v>387</v>
      </c>
      <c r="E532" s="62" t="s">
        <v>67</v>
      </c>
      <c r="F532" s="62" t="s">
        <v>382</v>
      </c>
      <c r="G532" s="63" t="s">
        <v>434</v>
      </c>
      <c r="H532" s="64" t="n">
        <v>0</v>
      </c>
      <c r="I532" s="62" t="s">
        <v>81</v>
      </c>
      <c r="J532" s="64" t="n">
        <v>0</v>
      </c>
      <c r="K532" s="62" t="s">
        <v>138</v>
      </c>
      <c r="L532" s="68" t="b">
        <f aca="false">TRUE()</f>
        <v>1</v>
      </c>
    </row>
    <row r="533" customFormat="false" ht="15" hidden="false" customHeight="false" outlineLevel="0" collapsed="false">
      <c r="A533" s="62" t="n">
        <v>0</v>
      </c>
      <c r="B533" s="21" t="s">
        <v>336</v>
      </c>
      <c r="C533" s="62" t="s">
        <v>60</v>
      </c>
      <c r="D533" s="62" t="s">
        <v>388</v>
      </c>
      <c r="E533" s="62" t="s">
        <v>67</v>
      </c>
      <c r="F533" s="62" t="s">
        <v>382</v>
      </c>
      <c r="G533" s="63" t="s">
        <v>434</v>
      </c>
      <c r="H533" s="64" t="n">
        <v>0</v>
      </c>
      <c r="I533" s="62" t="s">
        <v>81</v>
      </c>
      <c r="J533" s="64" t="n">
        <v>0</v>
      </c>
      <c r="K533" s="62" t="s">
        <v>138</v>
      </c>
      <c r="L533" s="68" t="b">
        <f aca="false">TRUE()</f>
        <v>1</v>
      </c>
    </row>
    <row r="534" customFormat="false" ht="15" hidden="false" customHeight="false" outlineLevel="0" collapsed="false">
      <c r="A534" s="62" t="n">
        <v>0</v>
      </c>
      <c r="B534" s="21" t="s">
        <v>336</v>
      </c>
      <c r="C534" s="62" t="s">
        <v>60</v>
      </c>
      <c r="D534" s="62" t="s">
        <v>381</v>
      </c>
      <c r="E534" s="62" t="s">
        <v>67</v>
      </c>
      <c r="F534" s="62" t="s">
        <v>382</v>
      </c>
      <c r="G534" s="63" t="s">
        <v>435</v>
      </c>
      <c r="H534" s="64" t="n">
        <v>0</v>
      </c>
      <c r="I534" s="62" t="s">
        <v>81</v>
      </c>
      <c r="J534" s="64" t="n">
        <v>0</v>
      </c>
      <c r="K534" s="62" t="s">
        <v>138</v>
      </c>
      <c r="L534" s="68" t="b">
        <f aca="false">TRUE()</f>
        <v>1</v>
      </c>
    </row>
    <row r="535" customFormat="false" ht="15" hidden="false" customHeight="false" outlineLevel="0" collapsed="false">
      <c r="A535" s="62" t="n">
        <v>0</v>
      </c>
      <c r="B535" s="21" t="s">
        <v>336</v>
      </c>
      <c r="C535" s="62" t="s">
        <v>60</v>
      </c>
      <c r="D535" s="62" t="s">
        <v>383</v>
      </c>
      <c r="E535" s="62" t="s">
        <v>67</v>
      </c>
      <c r="F535" s="62" t="s">
        <v>382</v>
      </c>
      <c r="G535" s="63" t="s">
        <v>435</v>
      </c>
      <c r="H535" s="64" t="n">
        <v>0</v>
      </c>
      <c r="I535" s="62" t="s">
        <v>81</v>
      </c>
      <c r="J535" s="64" t="n">
        <v>0</v>
      </c>
      <c r="K535" s="62" t="s">
        <v>138</v>
      </c>
      <c r="L535" s="68" t="b">
        <f aca="false">TRUE()</f>
        <v>1</v>
      </c>
    </row>
    <row r="536" customFormat="false" ht="15" hidden="false" customHeight="false" outlineLevel="0" collapsed="false">
      <c r="A536" s="62" t="n">
        <v>0</v>
      </c>
      <c r="B536" s="21" t="s">
        <v>336</v>
      </c>
      <c r="C536" s="62" t="s">
        <v>60</v>
      </c>
      <c r="D536" s="62" t="s">
        <v>384</v>
      </c>
      <c r="E536" s="62" t="s">
        <v>67</v>
      </c>
      <c r="F536" s="62" t="s">
        <v>382</v>
      </c>
      <c r="G536" s="63" t="s">
        <v>435</v>
      </c>
      <c r="H536" s="64" t="n">
        <v>0</v>
      </c>
      <c r="I536" s="62" t="s">
        <v>81</v>
      </c>
      <c r="J536" s="64" t="n">
        <v>0</v>
      </c>
      <c r="K536" s="62" t="s">
        <v>138</v>
      </c>
      <c r="L536" s="68" t="b">
        <f aca="false">TRUE()</f>
        <v>1</v>
      </c>
    </row>
    <row r="537" customFormat="false" ht="15" hidden="false" customHeight="false" outlineLevel="0" collapsed="false">
      <c r="A537" s="62" t="n">
        <v>0</v>
      </c>
      <c r="B537" s="21" t="s">
        <v>336</v>
      </c>
      <c r="C537" s="62" t="s">
        <v>60</v>
      </c>
      <c r="D537" s="62" t="s">
        <v>385</v>
      </c>
      <c r="E537" s="62" t="s">
        <v>67</v>
      </c>
      <c r="F537" s="62" t="s">
        <v>382</v>
      </c>
      <c r="G537" s="63" t="s">
        <v>435</v>
      </c>
      <c r="H537" s="64" t="n">
        <v>0</v>
      </c>
      <c r="I537" s="62" t="s">
        <v>81</v>
      </c>
      <c r="J537" s="64" t="n">
        <v>0</v>
      </c>
      <c r="K537" s="62" t="s">
        <v>138</v>
      </c>
      <c r="L537" s="68" t="b">
        <f aca="false">TRUE()</f>
        <v>1</v>
      </c>
    </row>
    <row r="538" customFormat="false" ht="15" hidden="false" customHeight="false" outlineLevel="0" collapsed="false">
      <c r="A538" s="62" t="n">
        <v>0</v>
      </c>
      <c r="B538" s="21" t="s">
        <v>336</v>
      </c>
      <c r="C538" s="62" t="s">
        <v>60</v>
      </c>
      <c r="D538" s="62" t="s">
        <v>386</v>
      </c>
      <c r="E538" s="62" t="s">
        <v>67</v>
      </c>
      <c r="F538" s="62" t="s">
        <v>382</v>
      </c>
      <c r="G538" s="63" t="s">
        <v>435</v>
      </c>
      <c r="H538" s="64" t="n">
        <v>0</v>
      </c>
      <c r="I538" s="62" t="s">
        <v>81</v>
      </c>
      <c r="J538" s="64" t="n">
        <v>0</v>
      </c>
      <c r="K538" s="62" t="s">
        <v>138</v>
      </c>
      <c r="L538" s="68" t="b">
        <f aca="false">TRUE()</f>
        <v>1</v>
      </c>
    </row>
    <row r="539" customFormat="false" ht="15" hidden="false" customHeight="false" outlineLevel="0" collapsed="false">
      <c r="A539" s="62" t="n">
        <v>0</v>
      </c>
      <c r="B539" s="21" t="s">
        <v>336</v>
      </c>
      <c r="C539" s="62" t="s">
        <v>60</v>
      </c>
      <c r="D539" s="62" t="s">
        <v>387</v>
      </c>
      <c r="E539" s="62" t="s">
        <v>67</v>
      </c>
      <c r="F539" s="62" t="s">
        <v>382</v>
      </c>
      <c r="G539" s="63" t="s">
        <v>435</v>
      </c>
      <c r="H539" s="64" t="n">
        <v>0</v>
      </c>
      <c r="I539" s="62" t="s">
        <v>81</v>
      </c>
      <c r="J539" s="64" t="n">
        <v>0</v>
      </c>
      <c r="K539" s="62" t="s">
        <v>138</v>
      </c>
      <c r="L539" s="68" t="b">
        <f aca="false">TRUE()</f>
        <v>1</v>
      </c>
    </row>
    <row r="540" customFormat="false" ht="15" hidden="false" customHeight="false" outlineLevel="0" collapsed="false">
      <c r="A540" s="62" t="n">
        <v>0</v>
      </c>
      <c r="B540" s="21" t="s">
        <v>336</v>
      </c>
      <c r="C540" s="62" t="s">
        <v>60</v>
      </c>
      <c r="D540" s="62" t="s">
        <v>388</v>
      </c>
      <c r="E540" s="62" t="s">
        <v>67</v>
      </c>
      <c r="F540" s="62" t="s">
        <v>382</v>
      </c>
      <c r="G540" s="63" t="s">
        <v>435</v>
      </c>
      <c r="H540" s="64" t="n">
        <v>0</v>
      </c>
      <c r="I540" s="62" t="s">
        <v>81</v>
      </c>
      <c r="J540" s="64" t="n">
        <v>0</v>
      </c>
      <c r="K540" s="62" t="s">
        <v>138</v>
      </c>
      <c r="L540" s="68" t="b">
        <f aca="false">TRUE()</f>
        <v>1</v>
      </c>
    </row>
    <row r="541" customFormat="false" ht="15" hidden="false" customHeight="false" outlineLevel="0" collapsed="false">
      <c r="A541" s="62" t="n">
        <v>0</v>
      </c>
      <c r="B541" s="21" t="s">
        <v>336</v>
      </c>
      <c r="C541" s="62" t="s">
        <v>60</v>
      </c>
      <c r="D541" s="62" t="s">
        <v>381</v>
      </c>
      <c r="E541" s="62" t="s">
        <v>67</v>
      </c>
      <c r="F541" s="62" t="s">
        <v>382</v>
      </c>
      <c r="G541" s="63" t="s">
        <v>436</v>
      </c>
      <c r="H541" s="64" t="n">
        <v>0</v>
      </c>
      <c r="I541" s="62" t="s">
        <v>81</v>
      </c>
      <c r="J541" s="64" t="n">
        <v>0</v>
      </c>
      <c r="K541" s="62" t="s">
        <v>138</v>
      </c>
      <c r="L541" s="68" t="b">
        <f aca="false">TRUE()</f>
        <v>1</v>
      </c>
    </row>
    <row r="542" customFormat="false" ht="15" hidden="false" customHeight="false" outlineLevel="0" collapsed="false">
      <c r="A542" s="62" t="n">
        <v>0</v>
      </c>
      <c r="B542" s="21" t="s">
        <v>336</v>
      </c>
      <c r="C542" s="62" t="s">
        <v>60</v>
      </c>
      <c r="D542" s="62" t="s">
        <v>383</v>
      </c>
      <c r="E542" s="62" t="s">
        <v>67</v>
      </c>
      <c r="F542" s="62" t="s">
        <v>382</v>
      </c>
      <c r="G542" s="63" t="s">
        <v>436</v>
      </c>
      <c r="H542" s="64" t="n">
        <v>0</v>
      </c>
      <c r="I542" s="62" t="s">
        <v>81</v>
      </c>
      <c r="J542" s="64" t="n">
        <v>0</v>
      </c>
      <c r="K542" s="62" t="s">
        <v>138</v>
      </c>
      <c r="L542" s="68" t="b">
        <f aca="false">TRUE()</f>
        <v>1</v>
      </c>
    </row>
    <row r="543" customFormat="false" ht="15" hidden="false" customHeight="false" outlineLevel="0" collapsed="false">
      <c r="A543" s="62" t="n">
        <v>0</v>
      </c>
      <c r="B543" s="21" t="s">
        <v>336</v>
      </c>
      <c r="C543" s="62" t="s">
        <v>60</v>
      </c>
      <c r="D543" s="62" t="s">
        <v>384</v>
      </c>
      <c r="E543" s="62" t="s">
        <v>67</v>
      </c>
      <c r="F543" s="62" t="s">
        <v>382</v>
      </c>
      <c r="G543" s="63" t="s">
        <v>436</v>
      </c>
      <c r="H543" s="64" t="n">
        <v>0</v>
      </c>
      <c r="I543" s="62" t="s">
        <v>81</v>
      </c>
      <c r="J543" s="64" t="n">
        <v>0</v>
      </c>
      <c r="K543" s="62" t="s">
        <v>138</v>
      </c>
      <c r="L543" s="68" t="b">
        <f aca="false">TRUE()</f>
        <v>1</v>
      </c>
    </row>
    <row r="544" customFormat="false" ht="15" hidden="false" customHeight="false" outlineLevel="0" collapsed="false">
      <c r="A544" s="62" t="n">
        <v>0</v>
      </c>
      <c r="B544" s="21" t="s">
        <v>336</v>
      </c>
      <c r="C544" s="62" t="s">
        <v>60</v>
      </c>
      <c r="D544" s="62" t="s">
        <v>385</v>
      </c>
      <c r="E544" s="62" t="s">
        <v>67</v>
      </c>
      <c r="F544" s="62" t="s">
        <v>382</v>
      </c>
      <c r="G544" s="63" t="s">
        <v>436</v>
      </c>
      <c r="H544" s="64" t="n">
        <v>0</v>
      </c>
      <c r="I544" s="62" t="s">
        <v>81</v>
      </c>
      <c r="J544" s="64" t="n">
        <v>0</v>
      </c>
      <c r="K544" s="62" t="s">
        <v>138</v>
      </c>
      <c r="L544" s="68" t="b">
        <f aca="false">TRUE()</f>
        <v>1</v>
      </c>
    </row>
    <row r="545" customFormat="false" ht="15" hidden="false" customHeight="false" outlineLevel="0" collapsed="false">
      <c r="A545" s="62" t="n">
        <v>0</v>
      </c>
      <c r="B545" s="21" t="s">
        <v>336</v>
      </c>
      <c r="C545" s="62" t="s">
        <v>60</v>
      </c>
      <c r="D545" s="62" t="s">
        <v>386</v>
      </c>
      <c r="E545" s="62" t="s">
        <v>67</v>
      </c>
      <c r="F545" s="62" t="s">
        <v>382</v>
      </c>
      <c r="G545" s="63" t="s">
        <v>436</v>
      </c>
      <c r="H545" s="64" t="n">
        <v>0</v>
      </c>
      <c r="I545" s="62" t="s">
        <v>81</v>
      </c>
      <c r="J545" s="64" t="n">
        <v>0</v>
      </c>
      <c r="K545" s="62" t="s">
        <v>138</v>
      </c>
      <c r="L545" s="68" t="b">
        <f aca="false">TRUE()</f>
        <v>1</v>
      </c>
    </row>
    <row r="546" customFormat="false" ht="15" hidden="false" customHeight="false" outlineLevel="0" collapsed="false">
      <c r="A546" s="62" t="n">
        <v>0</v>
      </c>
      <c r="B546" s="21" t="s">
        <v>336</v>
      </c>
      <c r="C546" s="62" t="s">
        <v>60</v>
      </c>
      <c r="D546" s="62" t="s">
        <v>387</v>
      </c>
      <c r="E546" s="62" t="s">
        <v>67</v>
      </c>
      <c r="F546" s="62" t="s">
        <v>382</v>
      </c>
      <c r="G546" s="63" t="s">
        <v>436</v>
      </c>
      <c r="H546" s="64" t="n">
        <v>0</v>
      </c>
      <c r="I546" s="62" t="s">
        <v>81</v>
      </c>
      <c r="J546" s="64" t="n">
        <v>0</v>
      </c>
      <c r="K546" s="62" t="s">
        <v>138</v>
      </c>
      <c r="L546" s="68" t="b">
        <f aca="false">TRUE()</f>
        <v>1</v>
      </c>
    </row>
    <row r="547" customFormat="false" ht="15" hidden="false" customHeight="false" outlineLevel="0" collapsed="false">
      <c r="A547" s="62" t="n">
        <v>0</v>
      </c>
      <c r="B547" s="21" t="s">
        <v>336</v>
      </c>
      <c r="C547" s="62" t="s">
        <v>60</v>
      </c>
      <c r="D547" s="62" t="s">
        <v>388</v>
      </c>
      <c r="E547" s="62" t="s">
        <v>67</v>
      </c>
      <c r="F547" s="62" t="s">
        <v>382</v>
      </c>
      <c r="G547" s="63" t="s">
        <v>436</v>
      </c>
      <c r="H547" s="64" t="n">
        <v>0</v>
      </c>
      <c r="I547" s="62" t="s">
        <v>81</v>
      </c>
      <c r="J547" s="64" t="n">
        <v>0</v>
      </c>
      <c r="K547" s="62" t="s">
        <v>138</v>
      </c>
      <c r="L547" s="68" t="b">
        <f aca="false">TRUE()</f>
        <v>1</v>
      </c>
    </row>
    <row r="548" customFormat="false" ht="15" hidden="false" customHeight="false" outlineLevel="0" collapsed="false">
      <c r="A548" s="62" t="n">
        <v>0</v>
      </c>
      <c r="B548" s="21" t="s">
        <v>336</v>
      </c>
      <c r="C548" s="62" t="s">
        <v>60</v>
      </c>
      <c r="D548" s="62" t="s">
        <v>381</v>
      </c>
      <c r="E548" s="62" t="s">
        <v>67</v>
      </c>
      <c r="F548" s="62" t="s">
        <v>382</v>
      </c>
      <c r="G548" s="63" t="s">
        <v>437</v>
      </c>
      <c r="H548" s="64" t="n">
        <v>0</v>
      </c>
      <c r="I548" s="62" t="s">
        <v>81</v>
      </c>
      <c r="J548" s="64" t="n">
        <v>0</v>
      </c>
      <c r="K548" s="62" t="s">
        <v>138</v>
      </c>
      <c r="L548" s="68" t="b">
        <f aca="false">TRUE()</f>
        <v>1</v>
      </c>
    </row>
    <row r="549" customFormat="false" ht="15" hidden="false" customHeight="false" outlineLevel="0" collapsed="false">
      <c r="A549" s="62" t="n">
        <v>0</v>
      </c>
      <c r="B549" s="21" t="s">
        <v>336</v>
      </c>
      <c r="C549" s="62" t="s">
        <v>60</v>
      </c>
      <c r="D549" s="62" t="s">
        <v>383</v>
      </c>
      <c r="E549" s="62" t="s">
        <v>67</v>
      </c>
      <c r="F549" s="62" t="s">
        <v>382</v>
      </c>
      <c r="G549" s="63" t="s">
        <v>437</v>
      </c>
      <c r="H549" s="64" t="n">
        <v>0</v>
      </c>
      <c r="I549" s="62" t="s">
        <v>81</v>
      </c>
      <c r="J549" s="64" t="n">
        <v>0</v>
      </c>
      <c r="K549" s="62" t="s">
        <v>138</v>
      </c>
      <c r="L549" s="68" t="b">
        <f aca="false">TRUE()</f>
        <v>1</v>
      </c>
    </row>
    <row r="550" customFormat="false" ht="15" hidden="false" customHeight="false" outlineLevel="0" collapsed="false">
      <c r="A550" s="62" t="n">
        <v>0</v>
      </c>
      <c r="B550" s="21" t="s">
        <v>336</v>
      </c>
      <c r="C550" s="62" t="s">
        <v>60</v>
      </c>
      <c r="D550" s="62" t="s">
        <v>384</v>
      </c>
      <c r="E550" s="62" t="s">
        <v>67</v>
      </c>
      <c r="F550" s="62" t="s">
        <v>382</v>
      </c>
      <c r="G550" s="63" t="s">
        <v>437</v>
      </c>
      <c r="H550" s="64" t="n">
        <v>0</v>
      </c>
      <c r="I550" s="62" t="s">
        <v>81</v>
      </c>
      <c r="J550" s="64" t="n">
        <v>0</v>
      </c>
      <c r="K550" s="62" t="s">
        <v>138</v>
      </c>
      <c r="L550" s="68" t="b">
        <f aca="false">TRUE()</f>
        <v>1</v>
      </c>
    </row>
    <row r="551" customFormat="false" ht="15" hidden="false" customHeight="false" outlineLevel="0" collapsed="false">
      <c r="A551" s="62" t="n">
        <v>0</v>
      </c>
      <c r="B551" s="21" t="s">
        <v>336</v>
      </c>
      <c r="C551" s="62" t="s">
        <v>60</v>
      </c>
      <c r="D551" s="62" t="s">
        <v>385</v>
      </c>
      <c r="E551" s="62" t="s">
        <v>67</v>
      </c>
      <c r="F551" s="62" t="s">
        <v>382</v>
      </c>
      <c r="G551" s="63" t="s">
        <v>437</v>
      </c>
      <c r="H551" s="64" t="n">
        <v>0</v>
      </c>
      <c r="I551" s="62" t="s">
        <v>81</v>
      </c>
      <c r="J551" s="64" t="n">
        <v>0</v>
      </c>
      <c r="K551" s="62" t="s">
        <v>138</v>
      </c>
      <c r="L551" s="68" t="b">
        <f aca="false">TRUE()</f>
        <v>1</v>
      </c>
    </row>
    <row r="552" customFormat="false" ht="15" hidden="false" customHeight="false" outlineLevel="0" collapsed="false">
      <c r="A552" s="62" t="n">
        <v>0</v>
      </c>
      <c r="B552" s="21" t="s">
        <v>336</v>
      </c>
      <c r="C552" s="62" t="s">
        <v>60</v>
      </c>
      <c r="D552" s="62" t="s">
        <v>386</v>
      </c>
      <c r="E552" s="62" t="s">
        <v>67</v>
      </c>
      <c r="F552" s="62" t="s">
        <v>382</v>
      </c>
      <c r="G552" s="63" t="s">
        <v>437</v>
      </c>
      <c r="H552" s="64" t="n">
        <v>0</v>
      </c>
      <c r="I552" s="62" t="s">
        <v>81</v>
      </c>
      <c r="J552" s="64" t="n">
        <v>0</v>
      </c>
      <c r="K552" s="62" t="s">
        <v>138</v>
      </c>
      <c r="L552" s="68" t="b">
        <f aca="false">TRUE()</f>
        <v>1</v>
      </c>
    </row>
    <row r="553" customFormat="false" ht="15" hidden="false" customHeight="false" outlineLevel="0" collapsed="false">
      <c r="A553" s="62" t="n">
        <v>0</v>
      </c>
      <c r="B553" s="21" t="s">
        <v>336</v>
      </c>
      <c r="C553" s="62" t="s">
        <v>60</v>
      </c>
      <c r="D553" s="62" t="s">
        <v>387</v>
      </c>
      <c r="E553" s="62" t="s">
        <v>67</v>
      </c>
      <c r="F553" s="62" t="s">
        <v>382</v>
      </c>
      <c r="G553" s="63" t="s">
        <v>437</v>
      </c>
      <c r="H553" s="64" t="n">
        <v>0</v>
      </c>
      <c r="I553" s="62" t="s">
        <v>81</v>
      </c>
      <c r="J553" s="64" t="n">
        <v>0</v>
      </c>
      <c r="K553" s="62" t="s">
        <v>138</v>
      </c>
      <c r="L553" s="68" t="b">
        <f aca="false">TRUE()</f>
        <v>1</v>
      </c>
    </row>
    <row r="554" customFormat="false" ht="15" hidden="false" customHeight="false" outlineLevel="0" collapsed="false">
      <c r="A554" s="62" t="n">
        <v>0</v>
      </c>
      <c r="B554" s="21" t="s">
        <v>336</v>
      </c>
      <c r="C554" s="62" t="s">
        <v>60</v>
      </c>
      <c r="D554" s="62" t="s">
        <v>388</v>
      </c>
      <c r="E554" s="62" t="s">
        <v>67</v>
      </c>
      <c r="F554" s="62" t="s">
        <v>382</v>
      </c>
      <c r="G554" s="63" t="s">
        <v>437</v>
      </c>
      <c r="H554" s="64" t="n">
        <v>0</v>
      </c>
      <c r="I554" s="62" t="s">
        <v>81</v>
      </c>
      <c r="J554" s="64" t="n">
        <v>0</v>
      </c>
      <c r="K554" s="62" t="s">
        <v>138</v>
      </c>
      <c r="L554" s="68" t="b">
        <f aca="false">TRUE()</f>
        <v>1</v>
      </c>
    </row>
    <row r="555" customFormat="false" ht="15" hidden="false" customHeight="false" outlineLevel="0" collapsed="false">
      <c r="A555" s="62" t="n">
        <v>0</v>
      </c>
      <c r="B555" s="21" t="s">
        <v>336</v>
      </c>
      <c r="C555" s="62" t="s">
        <v>60</v>
      </c>
      <c r="D555" s="62" t="s">
        <v>381</v>
      </c>
      <c r="E555" s="62" t="s">
        <v>67</v>
      </c>
      <c r="F555" s="62" t="s">
        <v>382</v>
      </c>
      <c r="G555" s="63" t="s">
        <v>438</v>
      </c>
      <c r="H555" s="64" t="n">
        <v>0</v>
      </c>
      <c r="I555" s="62" t="s">
        <v>81</v>
      </c>
      <c r="J555" s="64" t="n">
        <v>0</v>
      </c>
      <c r="K555" s="62" t="s">
        <v>138</v>
      </c>
      <c r="L555" s="68" t="b">
        <f aca="false">TRUE()</f>
        <v>1</v>
      </c>
    </row>
    <row r="556" customFormat="false" ht="15" hidden="false" customHeight="false" outlineLevel="0" collapsed="false">
      <c r="A556" s="62" t="n">
        <v>0</v>
      </c>
      <c r="B556" s="21" t="s">
        <v>336</v>
      </c>
      <c r="C556" s="62" t="s">
        <v>60</v>
      </c>
      <c r="D556" s="62" t="s">
        <v>383</v>
      </c>
      <c r="E556" s="62" t="s">
        <v>67</v>
      </c>
      <c r="F556" s="62" t="s">
        <v>382</v>
      </c>
      <c r="G556" s="63" t="s">
        <v>438</v>
      </c>
      <c r="H556" s="64" t="n">
        <v>0</v>
      </c>
      <c r="I556" s="62" t="s">
        <v>81</v>
      </c>
      <c r="J556" s="64" t="n">
        <v>0</v>
      </c>
      <c r="K556" s="62" t="s">
        <v>138</v>
      </c>
      <c r="L556" s="68" t="b">
        <f aca="false">TRUE()</f>
        <v>1</v>
      </c>
    </row>
    <row r="557" customFormat="false" ht="15" hidden="false" customHeight="false" outlineLevel="0" collapsed="false">
      <c r="A557" s="62" t="n">
        <v>0</v>
      </c>
      <c r="B557" s="21" t="s">
        <v>336</v>
      </c>
      <c r="C557" s="62" t="s">
        <v>60</v>
      </c>
      <c r="D557" s="62" t="s">
        <v>384</v>
      </c>
      <c r="E557" s="62" t="s">
        <v>67</v>
      </c>
      <c r="F557" s="62" t="s">
        <v>382</v>
      </c>
      <c r="G557" s="63" t="s">
        <v>438</v>
      </c>
      <c r="H557" s="64" t="n">
        <v>0</v>
      </c>
      <c r="I557" s="62" t="s">
        <v>81</v>
      </c>
      <c r="J557" s="64" t="n">
        <v>0</v>
      </c>
      <c r="K557" s="62" t="s">
        <v>138</v>
      </c>
      <c r="L557" s="68" t="b">
        <f aca="false">TRUE()</f>
        <v>1</v>
      </c>
    </row>
    <row r="558" customFormat="false" ht="15" hidden="false" customHeight="false" outlineLevel="0" collapsed="false">
      <c r="A558" s="62" t="n">
        <v>0</v>
      </c>
      <c r="B558" s="21" t="s">
        <v>336</v>
      </c>
      <c r="C558" s="62" t="s">
        <v>60</v>
      </c>
      <c r="D558" s="62" t="s">
        <v>385</v>
      </c>
      <c r="E558" s="62" t="s">
        <v>67</v>
      </c>
      <c r="F558" s="62" t="s">
        <v>382</v>
      </c>
      <c r="G558" s="63" t="s">
        <v>438</v>
      </c>
      <c r="H558" s="64" t="n">
        <v>0</v>
      </c>
      <c r="I558" s="62" t="s">
        <v>81</v>
      </c>
      <c r="J558" s="64" t="n">
        <v>0</v>
      </c>
      <c r="K558" s="62" t="s">
        <v>138</v>
      </c>
      <c r="L558" s="68" t="b">
        <f aca="false">TRUE()</f>
        <v>1</v>
      </c>
    </row>
    <row r="559" customFormat="false" ht="15" hidden="false" customHeight="false" outlineLevel="0" collapsed="false">
      <c r="A559" s="62" t="n">
        <v>0</v>
      </c>
      <c r="B559" s="21" t="s">
        <v>336</v>
      </c>
      <c r="C559" s="62" t="s">
        <v>60</v>
      </c>
      <c r="D559" s="62" t="s">
        <v>386</v>
      </c>
      <c r="E559" s="62" t="s">
        <v>67</v>
      </c>
      <c r="F559" s="62" t="s">
        <v>382</v>
      </c>
      <c r="G559" s="63" t="s">
        <v>438</v>
      </c>
      <c r="H559" s="64" t="n">
        <v>0</v>
      </c>
      <c r="I559" s="62" t="s">
        <v>81</v>
      </c>
      <c r="J559" s="64" t="n">
        <v>0</v>
      </c>
      <c r="K559" s="62" t="s">
        <v>138</v>
      </c>
      <c r="L559" s="68" t="b">
        <f aca="false">TRUE()</f>
        <v>1</v>
      </c>
    </row>
    <row r="560" customFormat="false" ht="15" hidden="false" customHeight="false" outlineLevel="0" collapsed="false">
      <c r="A560" s="62" t="n">
        <v>0</v>
      </c>
      <c r="B560" s="21" t="s">
        <v>336</v>
      </c>
      <c r="C560" s="62" t="s">
        <v>60</v>
      </c>
      <c r="D560" s="62" t="s">
        <v>387</v>
      </c>
      <c r="E560" s="62" t="s">
        <v>67</v>
      </c>
      <c r="F560" s="62" t="s">
        <v>382</v>
      </c>
      <c r="G560" s="63" t="s">
        <v>438</v>
      </c>
      <c r="H560" s="64" t="n">
        <v>0</v>
      </c>
      <c r="I560" s="62" t="s">
        <v>81</v>
      </c>
      <c r="J560" s="64" t="n">
        <v>0</v>
      </c>
      <c r="K560" s="62" t="s">
        <v>138</v>
      </c>
      <c r="L560" s="68" t="b">
        <f aca="false">TRUE()</f>
        <v>1</v>
      </c>
    </row>
    <row r="561" customFormat="false" ht="15" hidden="false" customHeight="false" outlineLevel="0" collapsed="false">
      <c r="A561" s="62" t="n">
        <v>0</v>
      </c>
      <c r="B561" s="21" t="s">
        <v>336</v>
      </c>
      <c r="C561" s="62" t="s">
        <v>60</v>
      </c>
      <c r="D561" s="62" t="s">
        <v>388</v>
      </c>
      <c r="E561" s="62" t="s">
        <v>67</v>
      </c>
      <c r="F561" s="62" t="s">
        <v>382</v>
      </c>
      <c r="G561" s="63" t="s">
        <v>438</v>
      </c>
      <c r="H561" s="64" t="n">
        <v>0</v>
      </c>
      <c r="I561" s="62" t="s">
        <v>81</v>
      </c>
      <c r="J561" s="64" t="n">
        <v>0</v>
      </c>
      <c r="K561" s="62" t="s">
        <v>138</v>
      </c>
      <c r="L561" s="68" t="b">
        <f aca="false">TRUE()</f>
        <v>1</v>
      </c>
    </row>
    <row r="562" customFormat="false" ht="15" hidden="false" customHeight="false" outlineLevel="0" collapsed="false">
      <c r="A562" s="62" t="n">
        <v>0</v>
      </c>
      <c r="B562" s="21" t="s">
        <v>336</v>
      </c>
      <c r="C562" s="62" t="s">
        <v>60</v>
      </c>
      <c r="D562" s="62" t="s">
        <v>381</v>
      </c>
      <c r="E562" s="62" t="s">
        <v>67</v>
      </c>
      <c r="F562" s="62" t="s">
        <v>382</v>
      </c>
      <c r="G562" s="63" t="s">
        <v>439</v>
      </c>
      <c r="H562" s="64" t="n">
        <v>0</v>
      </c>
      <c r="I562" s="62" t="s">
        <v>81</v>
      </c>
      <c r="J562" s="64" t="n">
        <v>0</v>
      </c>
      <c r="K562" s="62" t="s">
        <v>138</v>
      </c>
      <c r="L562" s="68" t="b">
        <f aca="false">TRUE()</f>
        <v>1</v>
      </c>
    </row>
    <row r="563" customFormat="false" ht="15" hidden="false" customHeight="false" outlineLevel="0" collapsed="false">
      <c r="A563" s="62" t="n">
        <v>0</v>
      </c>
      <c r="B563" s="21" t="s">
        <v>336</v>
      </c>
      <c r="C563" s="62" t="s">
        <v>60</v>
      </c>
      <c r="D563" s="62" t="s">
        <v>383</v>
      </c>
      <c r="E563" s="62" t="s">
        <v>67</v>
      </c>
      <c r="F563" s="62" t="s">
        <v>382</v>
      </c>
      <c r="G563" s="63" t="s">
        <v>439</v>
      </c>
      <c r="H563" s="64" t="n">
        <v>0</v>
      </c>
      <c r="I563" s="62" t="s">
        <v>81</v>
      </c>
      <c r="J563" s="64" t="n">
        <v>0</v>
      </c>
      <c r="K563" s="62" t="s">
        <v>138</v>
      </c>
      <c r="L563" s="68" t="b">
        <f aca="false">TRUE()</f>
        <v>1</v>
      </c>
    </row>
    <row r="564" customFormat="false" ht="15" hidden="false" customHeight="false" outlineLevel="0" collapsed="false">
      <c r="A564" s="62" t="n">
        <v>0</v>
      </c>
      <c r="B564" s="21" t="s">
        <v>336</v>
      </c>
      <c r="C564" s="62" t="s">
        <v>60</v>
      </c>
      <c r="D564" s="62" t="s">
        <v>384</v>
      </c>
      <c r="E564" s="62" t="s">
        <v>67</v>
      </c>
      <c r="F564" s="62" t="s">
        <v>382</v>
      </c>
      <c r="G564" s="63" t="s">
        <v>439</v>
      </c>
      <c r="H564" s="64" t="n">
        <v>0</v>
      </c>
      <c r="I564" s="62" t="s">
        <v>81</v>
      </c>
      <c r="J564" s="64" t="n">
        <v>0</v>
      </c>
      <c r="K564" s="62" t="s">
        <v>138</v>
      </c>
      <c r="L564" s="68" t="b">
        <f aca="false">TRUE()</f>
        <v>1</v>
      </c>
    </row>
    <row r="565" customFormat="false" ht="15" hidden="false" customHeight="false" outlineLevel="0" collapsed="false">
      <c r="A565" s="62" t="n">
        <v>0</v>
      </c>
      <c r="B565" s="21" t="s">
        <v>336</v>
      </c>
      <c r="C565" s="62" t="s">
        <v>60</v>
      </c>
      <c r="D565" s="62" t="s">
        <v>385</v>
      </c>
      <c r="E565" s="62" t="s">
        <v>67</v>
      </c>
      <c r="F565" s="62" t="s">
        <v>382</v>
      </c>
      <c r="G565" s="63" t="s">
        <v>439</v>
      </c>
      <c r="H565" s="64" t="n">
        <v>0</v>
      </c>
      <c r="I565" s="62" t="s">
        <v>81</v>
      </c>
      <c r="J565" s="64" t="n">
        <v>0</v>
      </c>
      <c r="K565" s="62" t="s">
        <v>138</v>
      </c>
      <c r="L565" s="68" t="b">
        <f aca="false">TRUE()</f>
        <v>1</v>
      </c>
    </row>
    <row r="566" customFormat="false" ht="15" hidden="false" customHeight="false" outlineLevel="0" collapsed="false">
      <c r="A566" s="62" t="n">
        <v>0</v>
      </c>
      <c r="B566" s="21" t="s">
        <v>336</v>
      </c>
      <c r="C566" s="62" t="s">
        <v>60</v>
      </c>
      <c r="D566" s="62" t="s">
        <v>386</v>
      </c>
      <c r="E566" s="62" t="s">
        <v>67</v>
      </c>
      <c r="F566" s="62" t="s">
        <v>382</v>
      </c>
      <c r="G566" s="63" t="s">
        <v>439</v>
      </c>
      <c r="H566" s="64" t="n">
        <v>0</v>
      </c>
      <c r="I566" s="62" t="s">
        <v>81</v>
      </c>
      <c r="J566" s="64" t="n">
        <v>0</v>
      </c>
      <c r="K566" s="62" t="s">
        <v>138</v>
      </c>
      <c r="L566" s="68" t="b">
        <f aca="false">TRUE()</f>
        <v>1</v>
      </c>
    </row>
    <row r="567" customFormat="false" ht="15" hidden="false" customHeight="false" outlineLevel="0" collapsed="false">
      <c r="A567" s="62" t="n">
        <v>0</v>
      </c>
      <c r="B567" s="21" t="s">
        <v>336</v>
      </c>
      <c r="C567" s="62" t="s">
        <v>60</v>
      </c>
      <c r="D567" s="62" t="s">
        <v>387</v>
      </c>
      <c r="E567" s="62" t="s">
        <v>67</v>
      </c>
      <c r="F567" s="62" t="s">
        <v>382</v>
      </c>
      <c r="G567" s="63" t="s">
        <v>439</v>
      </c>
      <c r="H567" s="64" t="n">
        <v>0</v>
      </c>
      <c r="I567" s="62" t="s">
        <v>81</v>
      </c>
      <c r="J567" s="64" t="n">
        <v>0</v>
      </c>
      <c r="K567" s="62" t="s">
        <v>138</v>
      </c>
      <c r="L567" s="68" t="b">
        <f aca="false">TRUE()</f>
        <v>1</v>
      </c>
    </row>
    <row r="568" customFormat="false" ht="15" hidden="false" customHeight="false" outlineLevel="0" collapsed="false">
      <c r="A568" s="62" t="n">
        <v>0</v>
      </c>
      <c r="B568" s="21" t="s">
        <v>336</v>
      </c>
      <c r="C568" s="62" t="s">
        <v>60</v>
      </c>
      <c r="D568" s="62" t="s">
        <v>388</v>
      </c>
      <c r="E568" s="62" t="s">
        <v>67</v>
      </c>
      <c r="F568" s="62" t="s">
        <v>382</v>
      </c>
      <c r="G568" s="63" t="s">
        <v>439</v>
      </c>
      <c r="H568" s="64" t="n">
        <v>0</v>
      </c>
      <c r="I568" s="62" t="s">
        <v>81</v>
      </c>
      <c r="J568" s="64" t="n">
        <v>0</v>
      </c>
      <c r="K568" s="62" t="s">
        <v>138</v>
      </c>
      <c r="L568" s="68" t="b">
        <f aca="false">TRUE()</f>
        <v>1</v>
      </c>
    </row>
    <row r="569" customFormat="false" ht="15" hidden="false" customHeight="false" outlineLevel="0" collapsed="false">
      <c r="A569" s="62" t="n">
        <v>0</v>
      </c>
      <c r="B569" s="21" t="s">
        <v>336</v>
      </c>
      <c r="C569" s="62" t="s">
        <v>60</v>
      </c>
      <c r="D569" s="62" t="s">
        <v>381</v>
      </c>
      <c r="E569" s="62" t="s">
        <v>67</v>
      </c>
      <c r="F569" s="62" t="s">
        <v>382</v>
      </c>
      <c r="G569" s="63" t="s">
        <v>440</v>
      </c>
      <c r="H569" s="64" t="n">
        <v>3027738785.33572</v>
      </c>
      <c r="I569" s="62" t="s">
        <v>81</v>
      </c>
      <c r="J569" s="64" t="n">
        <v>3027738.78533572</v>
      </c>
      <c r="K569" s="62" t="s">
        <v>138</v>
      </c>
      <c r="L569" s="68" t="b">
        <f aca="false">TRUE()</f>
        <v>1</v>
      </c>
    </row>
    <row r="570" customFormat="false" ht="15" hidden="false" customHeight="false" outlineLevel="0" collapsed="false">
      <c r="A570" s="62" t="n">
        <v>0</v>
      </c>
      <c r="B570" s="21" t="s">
        <v>336</v>
      </c>
      <c r="C570" s="62" t="s">
        <v>60</v>
      </c>
      <c r="D570" s="62" t="s">
        <v>383</v>
      </c>
      <c r="E570" s="62" t="s">
        <v>67</v>
      </c>
      <c r="F570" s="62" t="s">
        <v>382</v>
      </c>
      <c r="G570" s="63" t="s">
        <v>440</v>
      </c>
      <c r="H570" s="64" t="n">
        <v>3027738785.33572</v>
      </c>
      <c r="I570" s="62" t="s">
        <v>81</v>
      </c>
      <c r="J570" s="64" t="n">
        <v>3027738.78533572</v>
      </c>
      <c r="K570" s="62" t="s">
        <v>138</v>
      </c>
      <c r="L570" s="68" t="b">
        <f aca="false">TRUE()</f>
        <v>1</v>
      </c>
    </row>
    <row r="571" customFormat="false" ht="15" hidden="false" customHeight="false" outlineLevel="0" collapsed="false">
      <c r="A571" s="62" t="n">
        <v>0</v>
      </c>
      <c r="B571" s="21" t="s">
        <v>336</v>
      </c>
      <c r="C571" s="62" t="s">
        <v>60</v>
      </c>
      <c r="D571" s="62" t="s">
        <v>384</v>
      </c>
      <c r="E571" s="62" t="s">
        <v>67</v>
      </c>
      <c r="F571" s="62" t="s">
        <v>382</v>
      </c>
      <c r="G571" s="63" t="s">
        <v>440</v>
      </c>
      <c r="H571" s="64" t="n">
        <v>3027738785.33572</v>
      </c>
      <c r="I571" s="62" t="s">
        <v>81</v>
      </c>
      <c r="J571" s="64" t="n">
        <v>3027738.78533572</v>
      </c>
      <c r="K571" s="62" t="s">
        <v>138</v>
      </c>
      <c r="L571" s="68" t="b">
        <f aca="false">TRUE()</f>
        <v>1</v>
      </c>
    </row>
    <row r="572" customFormat="false" ht="15" hidden="false" customHeight="false" outlineLevel="0" collapsed="false">
      <c r="A572" s="62" t="n">
        <v>0</v>
      </c>
      <c r="B572" s="21" t="s">
        <v>336</v>
      </c>
      <c r="C572" s="62" t="s">
        <v>60</v>
      </c>
      <c r="D572" s="62" t="s">
        <v>385</v>
      </c>
      <c r="E572" s="62" t="s">
        <v>67</v>
      </c>
      <c r="F572" s="62" t="s">
        <v>382</v>
      </c>
      <c r="G572" s="63" t="s">
        <v>440</v>
      </c>
      <c r="H572" s="64" t="n">
        <v>3027738785.33572</v>
      </c>
      <c r="I572" s="62" t="s">
        <v>81</v>
      </c>
      <c r="J572" s="64" t="n">
        <v>3027738.78533572</v>
      </c>
      <c r="K572" s="62" t="s">
        <v>138</v>
      </c>
      <c r="L572" s="68" t="b">
        <f aca="false">TRUE()</f>
        <v>1</v>
      </c>
    </row>
    <row r="573" customFormat="false" ht="15" hidden="false" customHeight="false" outlineLevel="0" collapsed="false">
      <c r="A573" s="62" t="n">
        <v>0</v>
      </c>
      <c r="B573" s="21" t="s">
        <v>336</v>
      </c>
      <c r="C573" s="62" t="s">
        <v>60</v>
      </c>
      <c r="D573" s="62" t="s">
        <v>386</v>
      </c>
      <c r="E573" s="62" t="s">
        <v>67</v>
      </c>
      <c r="F573" s="62" t="s">
        <v>382</v>
      </c>
      <c r="G573" s="63" t="s">
        <v>440</v>
      </c>
      <c r="H573" s="64" t="n">
        <v>3027738785.33572</v>
      </c>
      <c r="I573" s="62" t="s">
        <v>81</v>
      </c>
      <c r="J573" s="64" t="n">
        <v>3027738.78533572</v>
      </c>
      <c r="K573" s="62" t="s">
        <v>138</v>
      </c>
      <c r="L573" s="68" t="b">
        <f aca="false">TRUE()</f>
        <v>1</v>
      </c>
    </row>
    <row r="574" customFormat="false" ht="15" hidden="false" customHeight="false" outlineLevel="0" collapsed="false">
      <c r="A574" s="62" t="n">
        <v>0</v>
      </c>
      <c r="B574" s="21" t="s">
        <v>336</v>
      </c>
      <c r="C574" s="62" t="s">
        <v>60</v>
      </c>
      <c r="D574" s="62" t="s">
        <v>387</v>
      </c>
      <c r="E574" s="62" t="s">
        <v>67</v>
      </c>
      <c r="F574" s="62" t="s">
        <v>382</v>
      </c>
      <c r="G574" s="63" t="s">
        <v>440</v>
      </c>
      <c r="H574" s="64" t="n">
        <v>3027738785.33572</v>
      </c>
      <c r="I574" s="62" t="s">
        <v>81</v>
      </c>
      <c r="J574" s="64" t="n">
        <v>3027738.78533572</v>
      </c>
      <c r="K574" s="62" t="s">
        <v>138</v>
      </c>
      <c r="L574" s="68" t="b">
        <f aca="false">TRUE()</f>
        <v>1</v>
      </c>
    </row>
    <row r="575" customFormat="false" ht="15" hidden="false" customHeight="false" outlineLevel="0" collapsed="false">
      <c r="A575" s="62" t="n">
        <v>0</v>
      </c>
      <c r="B575" s="21" t="s">
        <v>336</v>
      </c>
      <c r="C575" s="62" t="s">
        <v>60</v>
      </c>
      <c r="D575" s="62" t="s">
        <v>388</v>
      </c>
      <c r="E575" s="62" t="s">
        <v>67</v>
      </c>
      <c r="F575" s="62" t="s">
        <v>382</v>
      </c>
      <c r="G575" s="63" t="s">
        <v>440</v>
      </c>
      <c r="H575" s="64" t="n">
        <v>3027738785.33572</v>
      </c>
      <c r="I575" s="62" t="s">
        <v>81</v>
      </c>
      <c r="J575" s="64" t="n">
        <v>3027738.78533572</v>
      </c>
      <c r="K575" s="62" t="s">
        <v>138</v>
      </c>
      <c r="L575" s="68" t="b">
        <f aca="false">TRUE()</f>
        <v>1</v>
      </c>
    </row>
    <row r="576" customFormat="false" ht="15" hidden="false" customHeight="false" outlineLevel="0" collapsed="false">
      <c r="A576" s="62" t="n">
        <v>0</v>
      </c>
      <c r="B576" s="21" t="s">
        <v>336</v>
      </c>
      <c r="C576" s="62" t="s">
        <v>60</v>
      </c>
      <c r="D576" s="62" t="s">
        <v>381</v>
      </c>
      <c r="E576" s="62" t="s">
        <v>67</v>
      </c>
      <c r="F576" s="62" t="s">
        <v>382</v>
      </c>
      <c r="G576" s="63" t="s">
        <v>441</v>
      </c>
      <c r="H576" s="64" t="n">
        <v>6246344000</v>
      </c>
      <c r="I576" s="62" t="s">
        <v>81</v>
      </c>
      <c r="J576" s="64" t="n">
        <v>6246344</v>
      </c>
      <c r="K576" s="62" t="s">
        <v>138</v>
      </c>
      <c r="L576" s="68" t="b">
        <f aca="false">TRUE()</f>
        <v>1</v>
      </c>
    </row>
    <row r="577" customFormat="false" ht="15" hidden="false" customHeight="false" outlineLevel="0" collapsed="false">
      <c r="A577" s="62" t="n">
        <v>0</v>
      </c>
      <c r="B577" s="21" t="s">
        <v>336</v>
      </c>
      <c r="C577" s="62" t="s">
        <v>60</v>
      </c>
      <c r="D577" s="62" t="s">
        <v>383</v>
      </c>
      <c r="E577" s="62" t="s">
        <v>67</v>
      </c>
      <c r="F577" s="62" t="s">
        <v>382</v>
      </c>
      <c r="G577" s="63" t="s">
        <v>441</v>
      </c>
      <c r="H577" s="64" t="n">
        <v>6246344000</v>
      </c>
      <c r="I577" s="62" t="s">
        <v>81</v>
      </c>
      <c r="J577" s="64" t="n">
        <v>6246344</v>
      </c>
      <c r="K577" s="62" t="s">
        <v>138</v>
      </c>
      <c r="L577" s="68" t="b">
        <f aca="false">TRUE()</f>
        <v>1</v>
      </c>
    </row>
    <row r="578" customFormat="false" ht="15" hidden="false" customHeight="false" outlineLevel="0" collapsed="false">
      <c r="A578" s="62" t="n">
        <v>0</v>
      </c>
      <c r="B578" s="21" t="s">
        <v>336</v>
      </c>
      <c r="C578" s="62" t="s">
        <v>60</v>
      </c>
      <c r="D578" s="62" t="s">
        <v>384</v>
      </c>
      <c r="E578" s="62" t="s">
        <v>67</v>
      </c>
      <c r="F578" s="62" t="s">
        <v>382</v>
      </c>
      <c r="G578" s="63" t="s">
        <v>441</v>
      </c>
      <c r="H578" s="64" t="n">
        <v>6246344000</v>
      </c>
      <c r="I578" s="62" t="s">
        <v>81</v>
      </c>
      <c r="J578" s="64" t="n">
        <v>6246344</v>
      </c>
      <c r="K578" s="62" t="s">
        <v>138</v>
      </c>
      <c r="L578" s="68" t="b">
        <f aca="false">TRUE()</f>
        <v>1</v>
      </c>
    </row>
    <row r="579" customFormat="false" ht="15" hidden="false" customHeight="false" outlineLevel="0" collapsed="false">
      <c r="A579" s="62" t="n">
        <v>0</v>
      </c>
      <c r="B579" s="21" t="s">
        <v>336</v>
      </c>
      <c r="C579" s="62" t="s">
        <v>60</v>
      </c>
      <c r="D579" s="62" t="s">
        <v>385</v>
      </c>
      <c r="E579" s="62" t="s">
        <v>67</v>
      </c>
      <c r="F579" s="62" t="s">
        <v>382</v>
      </c>
      <c r="G579" s="63" t="s">
        <v>441</v>
      </c>
      <c r="H579" s="64" t="n">
        <v>6246344000</v>
      </c>
      <c r="I579" s="62" t="s">
        <v>81</v>
      </c>
      <c r="J579" s="64" t="n">
        <v>6246344</v>
      </c>
      <c r="K579" s="62" t="s">
        <v>138</v>
      </c>
      <c r="L579" s="68" t="b">
        <f aca="false">TRUE()</f>
        <v>1</v>
      </c>
    </row>
    <row r="580" customFormat="false" ht="15" hidden="false" customHeight="false" outlineLevel="0" collapsed="false">
      <c r="A580" s="62" t="n">
        <v>0</v>
      </c>
      <c r="B580" s="21" t="s">
        <v>336</v>
      </c>
      <c r="C580" s="62" t="s">
        <v>60</v>
      </c>
      <c r="D580" s="62" t="s">
        <v>386</v>
      </c>
      <c r="E580" s="62" t="s">
        <v>67</v>
      </c>
      <c r="F580" s="62" t="s">
        <v>382</v>
      </c>
      <c r="G580" s="63" t="s">
        <v>441</v>
      </c>
      <c r="H580" s="64" t="n">
        <v>6246344000</v>
      </c>
      <c r="I580" s="62" t="s">
        <v>81</v>
      </c>
      <c r="J580" s="64" t="n">
        <v>6246344</v>
      </c>
      <c r="K580" s="62" t="s">
        <v>138</v>
      </c>
      <c r="L580" s="68" t="b">
        <f aca="false">TRUE()</f>
        <v>1</v>
      </c>
    </row>
    <row r="581" customFormat="false" ht="15" hidden="false" customHeight="false" outlineLevel="0" collapsed="false">
      <c r="A581" s="62" t="n">
        <v>0</v>
      </c>
      <c r="B581" s="21" t="s">
        <v>336</v>
      </c>
      <c r="C581" s="62" t="s">
        <v>60</v>
      </c>
      <c r="D581" s="62" t="s">
        <v>387</v>
      </c>
      <c r="E581" s="62" t="s">
        <v>67</v>
      </c>
      <c r="F581" s="62" t="s">
        <v>382</v>
      </c>
      <c r="G581" s="63" t="s">
        <v>441</v>
      </c>
      <c r="H581" s="64" t="n">
        <v>6246344000</v>
      </c>
      <c r="I581" s="62" t="s">
        <v>81</v>
      </c>
      <c r="J581" s="64" t="n">
        <v>6246344</v>
      </c>
      <c r="K581" s="62" t="s">
        <v>138</v>
      </c>
      <c r="L581" s="68" t="b">
        <f aca="false">TRUE()</f>
        <v>1</v>
      </c>
    </row>
    <row r="582" customFormat="false" ht="15" hidden="false" customHeight="false" outlineLevel="0" collapsed="false">
      <c r="A582" s="62" t="n">
        <v>0</v>
      </c>
      <c r="B582" s="21" t="s">
        <v>336</v>
      </c>
      <c r="C582" s="62" t="s">
        <v>60</v>
      </c>
      <c r="D582" s="62" t="s">
        <v>388</v>
      </c>
      <c r="E582" s="62" t="s">
        <v>67</v>
      </c>
      <c r="F582" s="62" t="s">
        <v>382</v>
      </c>
      <c r="G582" s="63" t="s">
        <v>441</v>
      </c>
      <c r="H582" s="64" t="n">
        <v>6246344000</v>
      </c>
      <c r="I582" s="62" t="s">
        <v>81</v>
      </c>
      <c r="J582" s="64" t="n">
        <v>6246344</v>
      </c>
      <c r="K582" s="62" t="s">
        <v>138</v>
      </c>
      <c r="L582" s="68" t="b">
        <f aca="false">TRUE()</f>
        <v>1</v>
      </c>
    </row>
    <row r="583" customFormat="false" ht="15" hidden="false" customHeight="false" outlineLevel="0" collapsed="false">
      <c r="A583" s="62" t="n">
        <v>0</v>
      </c>
      <c r="B583" s="21" t="s">
        <v>336</v>
      </c>
      <c r="C583" s="62" t="s">
        <v>60</v>
      </c>
      <c r="D583" s="62" t="s">
        <v>381</v>
      </c>
      <c r="E583" s="62" t="s">
        <v>67</v>
      </c>
      <c r="F583" s="62" t="s">
        <v>382</v>
      </c>
      <c r="G583" s="63" t="s">
        <v>442</v>
      </c>
      <c r="H583" s="64" t="n">
        <v>9274082785.33571</v>
      </c>
      <c r="I583" s="62" t="s">
        <v>81</v>
      </c>
      <c r="J583" s="64" t="n">
        <v>9274082.78533571</v>
      </c>
      <c r="K583" s="62" t="s">
        <v>138</v>
      </c>
      <c r="L583" s="68" t="b">
        <f aca="false">TRUE()</f>
        <v>1</v>
      </c>
    </row>
    <row r="584" customFormat="false" ht="15" hidden="false" customHeight="false" outlineLevel="0" collapsed="false">
      <c r="A584" s="62" t="n">
        <v>0</v>
      </c>
      <c r="B584" s="21" t="s">
        <v>336</v>
      </c>
      <c r="C584" s="62" t="s">
        <v>60</v>
      </c>
      <c r="D584" s="62" t="s">
        <v>383</v>
      </c>
      <c r="E584" s="62" t="s">
        <v>67</v>
      </c>
      <c r="F584" s="62" t="s">
        <v>382</v>
      </c>
      <c r="G584" s="63" t="s">
        <v>442</v>
      </c>
      <c r="H584" s="64" t="n">
        <v>9274082785.33571</v>
      </c>
      <c r="I584" s="62" t="s">
        <v>81</v>
      </c>
      <c r="J584" s="64" t="n">
        <v>9274082.78533571</v>
      </c>
      <c r="K584" s="62" t="s">
        <v>138</v>
      </c>
      <c r="L584" s="68" t="b">
        <f aca="false">TRUE()</f>
        <v>1</v>
      </c>
    </row>
    <row r="585" customFormat="false" ht="15" hidden="false" customHeight="false" outlineLevel="0" collapsed="false">
      <c r="A585" s="62" t="n">
        <v>0</v>
      </c>
      <c r="B585" s="21" t="s">
        <v>336</v>
      </c>
      <c r="C585" s="62" t="s">
        <v>60</v>
      </c>
      <c r="D585" s="62" t="s">
        <v>384</v>
      </c>
      <c r="E585" s="62" t="s">
        <v>67</v>
      </c>
      <c r="F585" s="62" t="s">
        <v>382</v>
      </c>
      <c r="G585" s="63" t="s">
        <v>442</v>
      </c>
      <c r="H585" s="64" t="n">
        <v>9274082785.33571</v>
      </c>
      <c r="I585" s="62" t="s">
        <v>81</v>
      </c>
      <c r="J585" s="64" t="n">
        <v>9274082.78533571</v>
      </c>
      <c r="K585" s="62" t="s">
        <v>138</v>
      </c>
      <c r="L585" s="68" t="b">
        <f aca="false">TRUE()</f>
        <v>1</v>
      </c>
    </row>
    <row r="586" customFormat="false" ht="15" hidden="false" customHeight="false" outlineLevel="0" collapsed="false">
      <c r="A586" s="62" t="n">
        <v>0</v>
      </c>
      <c r="B586" s="21" t="s">
        <v>336</v>
      </c>
      <c r="C586" s="62" t="s">
        <v>60</v>
      </c>
      <c r="D586" s="62" t="s">
        <v>385</v>
      </c>
      <c r="E586" s="62" t="s">
        <v>67</v>
      </c>
      <c r="F586" s="62" t="s">
        <v>382</v>
      </c>
      <c r="G586" s="63" t="s">
        <v>442</v>
      </c>
      <c r="H586" s="64" t="n">
        <v>9274082785.33571</v>
      </c>
      <c r="I586" s="62" t="s">
        <v>81</v>
      </c>
      <c r="J586" s="64" t="n">
        <v>9274082.78533571</v>
      </c>
      <c r="K586" s="62" t="s">
        <v>138</v>
      </c>
      <c r="L586" s="68" t="b">
        <f aca="false">TRUE()</f>
        <v>1</v>
      </c>
    </row>
    <row r="587" customFormat="false" ht="15" hidden="false" customHeight="false" outlineLevel="0" collapsed="false">
      <c r="A587" s="62" t="n">
        <v>0</v>
      </c>
      <c r="B587" s="21" t="s">
        <v>336</v>
      </c>
      <c r="C587" s="62" t="s">
        <v>60</v>
      </c>
      <c r="D587" s="62" t="s">
        <v>386</v>
      </c>
      <c r="E587" s="62" t="s">
        <v>67</v>
      </c>
      <c r="F587" s="62" t="s">
        <v>382</v>
      </c>
      <c r="G587" s="63" t="s">
        <v>442</v>
      </c>
      <c r="H587" s="64" t="n">
        <v>9274082785.33571</v>
      </c>
      <c r="I587" s="62" t="s">
        <v>81</v>
      </c>
      <c r="J587" s="64" t="n">
        <v>9274082.78533571</v>
      </c>
      <c r="K587" s="62" t="s">
        <v>138</v>
      </c>
      <c r="L587" s="68" t="b">
        <f aca="false">TRUE()</f>
        <v>1</v>
      </c>
    </row>
    <row r="588" customFormat="false" ht="15" hidden="false" customHeight="false" outlineLevel="0" collapsed="false">
      <c r="A588" s="62" t="n">
        <v>0</v>
      </c>
      <c r="B588" s="21" t="s">
        <v>336</v>
      </c>
      <c r="C588" s="62" t="s">
        <v>60</v>
      </c>
      <c r="D588" s="62" t="s">
        <v>387</v>
      </c>
      <c r="E588" s="62" t="s">
        <v>67</v>
      </c>
      <c r="F588" s="62" t="s">
        <v>382</v>
      </c>
      <c r="G588" s="63" t="s">
        <v>442</v>
      </c>
      <c r="H588" s="64" t="n">
        <v>9274082785.33571</v>
      </c>
      <c r="I588" s="62" t="s">
        <v>81</v>
      </c>
      <c r="J588" s="64" t="n">
        <v>9274082.78533571</v>
      </c>
      <c r="K588" s="62" t="s">
        <v>138</v>
      </c>
      <c r="L588" s="68" t="b">
        <f aca="false">TRUE()</f>
        <v>1</v>
      </c>
    </row>
    <row r="589" customFormat="false" ht="15" hidden="false" customHeight="false" outlineLevel="0" collapsed="false">
      <c r="A589" s="62" t="n">
        <v>0</v>
      </c>
      <c r="B589" s="21" t="s">
        <v>336</v>
      </c>
      <c r="C589" s="62" t="s">
        <v>60</v>
      </c>
      <c r="D589" s="62" t="s">
        <v>388</v>
      </c>
      <c r="E589" s="62" t="s">
        <v>67</v>
      </c>
      <c r="F589" s="62" t="s">
        <v>382</v>
      </c>
      <c r="G589" s="63" t="s">
        <v>442</v>
      </c>
      <c r="H589" s="64" t="n">
        <v>9274082785.33571</v>
      </c>
      <c r="I589" s="62" t="s">
        <v>81</v>
      </c>
      <c r="J589" s="64" t="n">
        <v>9274082.78533571</v>
      </c>
      <c r="K589" s="62" t="s">
        <v>138</v>
      </c>
      <c r="L589" s="68" t="b">
        <f aca="false">TRUE()</f>
        <v>1</v>
      </c>
    </row>
    <row r="590" customFormat="false" ht="15" hidden="false" customHeight="false" outlineLevel="0" collapsed="false">
      <c r="A590" s="62" t="n">
        <v>0</v>
      </c>
      <c r="B590" s="21" t="s">
        <v>336</v>
      </c>
      <c r="C590" s="62" t="s">
        <v>60</v>
      </c>
      <c r="D590" s="62" t="s">
        <v>381</v>
      </c>
      <c r="E590" s="62" t="s">
        <v>71</v>
      </c>
      <c r="F590" s="62" t="s">
        <v>382</v>
      </c>
      <c r="G590" s="63" t="s">
        <v>400</v>
      </c>
      <c r="H590" s="64" t="n">
        <v>9012500000</v>
      </c>
      <c r="I590" s="62" t="s">
        <v>81</v>
      </c>
      <c r="J590" s="64" t="n">
        <v>9012500</v>
      </c>
      <c r="K590" s="62" t="s">
        <v>138</v>
      </c>
      <c r="L590" s="68" t="b">
        <f aca="false">TRUE()</f>
        <v>1</v>
      </c>
    </row>
    <row r="591" customFormat="false" ht="15" hidden="false" customHeight="false" outlineLevel="0" collapsed="false">
      <c r="A591" s="62" t="n">
        <v>0</v>
      </c>
      <c r="B591" s="21" t="s">
        <v>336</v>
      </c>
      <c r="C591" s="62" t="s">
        <v>60</v>
      </c>
      <c r="D591" s="62" t="s">
        <v>383</v>
      </c>
      <c r="E591" s="62" t="s">
        <v>71</v>
      </c>
      <c r="F591" s="62" t="s">
        <v>382</v>
      </c>
      <c r="G591" s="63" t="s">
        <v>400</v>
      </c>
      <c r="H591" s="64" t="n">
        <v>9012500000</v>
      </c>
      <c r="I591" s="62" t="s">
        <v>81</v>
      </c>
      <c r="J591" s="64" t="n">
        <v>9012500</v>
      </c>
      <c r="K591" s="62" t="s">
        <v>138</v>
      </c>
      <c r="L591" s="68" t="b">
        <f aca="false">TRUE()</f>
        <v>1</v>
      </c>
    </row>
    <row r="592" customFormat="false" ht="15" hidden="false" customHeight="false" outlineLevel="0" collapsed="false">
      <c r="A592" s="62" t="n">
        <v>0</v>
      </c>
      <c r="B592" s="21" t="s">
        <v>336</v>
      </c>
      <c r="C592" s="62" t="s">
        <v>60</v>
      </c>
      <c r="D592" s="62" t="s">
        <v>384</v>
      </c>
      <c r="E592" s="62" t="s">
        <v>71</v>
      </c>
      <c r="F592" s="62" t="s">
        <v>382</v>
      </c>
      <c r="G592" s="63" t="s">
        <v>400</v>
      </c>
      <c r="H592" s="64" t="n">
        <v>9012500000</v>
      </c>
      <c r="I592" s="62" t="s">
        <v>81</v>
      </c>
      <c r="J592" s="64" t="n">
        <v>9012500</v>
      </c>
      <c r="K592" s="62" t="s">
        <v>138</v>
      </c>
      <c r="L592" s="68" t="b">
        <f aca="false">TRUE()</f>
        <v>1</v>
      </c>
    </row>
    <row r="593" customFormat="false" ht="15" hidden="false" customHeight="false" outlineLevel="0" collapsed="false">
      <c r="A593" s="62" t="n">
        <v>0</v>
      </c>
      <c r="B593" s="21" t="s">
        <v>336</v>
      </c>
      <c r="C593" s="62" t="s">
        <v>60</v>
      </c>
      <c r="D593" s="62" t="s">
        <v>385</v>
      </c>
      <c r="E593" s="62" t="s">
        <v>71</v>
      </c>
      <c r="F593" s="62" t="s">
        <v>382</v>
      </c>
      <c r="G593" s="63" t="s">
        <v>400</v>
      </c>
      <c r="H593" s="64" t="n">
        <v>9012500000</v>
      </c>
      <c r="I593" s="62" t="s">
        <v>81</v>
      </c>
      <c r="J593" s="64" t="n">
        <v>9012500</v>
      </c>
      <c r="K593" s="62" t="s">
        <v>138</v>
      </c>
      <c r="L593" s="68" t="b">
        <f aca="false">TRUE()</f>
        <v>1</v>
      </c>
    </row>
    <row r="594" customFormat="false" ht="15" hidden="false" customHeight="false" outlineLevel="0" collapsed="false">
      <c r="A594" s="62" t="n">
        <v>0</v>
      </c>
      <c r="B594" s="21" t="s">
        <v>336</v>
      </c>
      <c r="C594" s="62" t="s">
        <v>60</v>
      </c>
      <c r="D594" s="62" t="s">
        <v>386</v>
      </c>
      <c r="E594" s="62" t="s">
        <v>71</v>
      </c>
      <c r="F594" s="62" t="s">
        <v>382</v>
      </c>
      <c r="G594" s="63" t="s">
        <v>400</v>
      </c>
      <c r="H594" s="64" t="n">
        <v>9012500000</v>
      </c>
      <c r="I594" s="62" t="s">
        <v>81</v>
      </c>
      <c r="J594" s="64" t="n">
        <v>9012500</v>
      </c>
      <c r="K594" s="62" t="s">
        <v>138</v>
      </c>
      <c r="L594" s="68" t="b">
        <f aca="false">TRUE()</f>
        <v>1</v>
      </c>
    </row>
    <row r="595" customFormat="false" ht="15" hidden="false" customHeight="false" outlineLevel="0" collapsed="false">
      <c r="A595" s="62" t="n">
        <v>0</v>
      </c>
      <c r="B595" s="21" t="s">
        <v>336</v>
      </c>
      <c r="C595" s="62" t="s">
        <v>60</v>
      </c>
      <c r="D595" s="62" t="s">
        <v>387</v>
      </c>
      <c r="E595" s="62" t="s">
        <v>71</v>
      </c>
      <c r="F595" s="62" t="s">
        <v>382</v>
      </c>
      <c r="G595" s="63" t="s">
        <v>400</v>
      </c>
      <c r="H595" s="64" t="n">
        <v>9012500000</v>
      </c>
      <c r="I595" s="62" t="s">
        <v>81</v>
      </c>
      <c r="J595" s="64" t="n">
        <v>9012500</v>
      </c>
      <c r="K595" s="62" t="s">
        <v>138</v>
      </c>
      <c r="L595" s="68" t="b">
        <f aca="false">TRUE()</f>
        <v>1</v>
      </c>
    </row>
    <row r="596" customFormat="false" ht="15" hidden="false" customHeight="false" outlineLevel="0" collapsed="false">
      <c r="A596" s="62" t="n">
        <v>0</v>
      </c>
      <c r="B596" s="21" t="s">
        <v>336</v>
      </c>
      <c r="C596" s="62" t="s">
        <v>60</v>
      </c>
      <c r="D596" s="62" t="s">
        <v>388</v>
      </c>
      <c r="E596" s="62" t="s">
        <v>71</v>
      </c>
      <c r="F596" s="62" t="s">
        <v>382</v>
      </c>
      <c r="G596" s="63" t="s">
        <v>400</v>
      </c>
      <c r="H596" s="64" t="n">
        <v>9012500000</v>
      </c>
      <c r="I596" s="62" t="s">
        <v>81</v>
      </c>
      <c r="J596" s="64" t="n">
        <v>9012500</v>
      </c>
      <c r="K596" s="62" t="s">
        <v>138</v>
      </c>
      <c r="L596" s="68" t="b">
        <f aca="false">TRUE()</f>
        <v>1</v>
      </c>
    </row>
    <row r="597" customFormat="false" ht="15" hidden="false" customHeight="false" outlineLevel="0" collapsed="false">
      <c r="A597" s="62" t="n">
        <v>0</v>
      </c>
      <c r="B597" s="21" t="s">
        <v>336</v>
      </c>
      <c r="C597" s="62" t="s">
        <v>60</v>
      </c>
      <c r="D597" s="62" t="s">
        <v>381</v>
      </c>
      <c r="E597" s="62" t="s">
        <v>71</v>
      </c>
      <c r="F597" s="62" t="s">
        <v>382</v>
      </c>
      <c r="G597" s="63" t="s">
        <v>401</v>
      </c>
      <c r="H597" s="64" t="n">
        <v>3465008177.827</v>
      </c>
      <c r="I597" s="62" t="s">
        <v>81</v>
      </c>
      <c r="J597" s="64" t="n">
        <v>3465008.177827</v>
      </c>
      <c r="K597" s="62" t="s">
        <v>138</v>
      </c>
      <c r="L597" s="68" t="b">
        <f aca="false">TRUE()</f>
        <v>1</v>
      </c>
    </row>
    <row r="598" customFormat="false" ht="15" hidden="false" customHeight="false" outlineLevel="0" collapsed="false">
      <c r="A598" s="62" t="n">
        <v>0</v>
      </c>
      <c r="B598" s="21" t="s">
        <v>336</v>
      </c>
      <c r="C598" s="62" t="s">
        <v>60</v>
      </c>
      <c r="D598" s="62" t="s">
        <v>383</v>
      </c>
      <c r="E598" s="62" t="s">
        <v>71</v>
      </c>
      <c r="F598" s="62" t="s">
        <v>382</v>
      </c>
      <c r="G598" s="63" t="s">
        <v>401</v>
      </c>
      <c r="H598" s="64" t="n">
        <v>3465008177.827</v>
      </c>
      <c r="I598" s="62" t="s">
        <v>81</v>
      </c>
      <c r="J598" s="64" t="n">
        <v>3465008.177827</v>
      </c>
      <c r="K598" s="62" t="s">
        <v>138</v>
      </c>
      <c r="L598" s="68" t="b">
        <f aca="false">TRUE()</f>
        <v>1</v>
      </c>
    </row>
    <row r="599" customFormat="false" ht="15" hidden="false" customHeight="false" outlineLevel="0" collapsed="false">
      <c r="A599" s="62" t="n">
        <v>0</v>
      </c>
      <c r="B599" s="21" t="s">
        <v>336</v>
      </c>
      <c r="C599" s="62" t="s">
        <v>60</v>
      </c>
      <c r="D599" s="62" t="s">
        <v>384</v>
      </c>
      <c r="E599" s="62" t="s">
        <v>71</v>
      </c>
      <c r="F599" s="62" t="s">
        <v>382</v>
      </c>
      <c r="G599" s="63" t="s">
        <v>401</v>
      </c>
      <c r="H599" s="64" t="n">
        <v>3465008177.827</v>
      </c>
      <c r="I599" s="62" t="s">
        <v>81</v>
      </c>
      <c r="J599" s="64" t="n">
        <v>3465008.177827</v>
      </c>
      <c r="K599" s="62" t="s">
        <v>138</v>
      </c>
      <c r="L599" s="68" t="b">
        <f aca="false">TRUE()</f>
        <v>1</v>
      </c>
    </row>
    <row r="600" customFormat="false" ht="15" hidden="false" customHeight="false" outlineLevel="0" collapsed="false">
      <c r="A600" s="62" t="n">
        <v>0</v>
      </c>
      <c r="B600" s="21" t="s">
        <v>336</v>
      </c>
      <c r="C600" s="62" t="s">
        <v>60</v>
      </c>
      <c r="D600" s="62" t="s">
        <v>385</v>
      </c>
      <c r="E600" s="62" t="s">
        <v>71</v>
      </c>
      <c r="F600" s="62" t="s">
        <v>382</v>
      </c>
      <c r="G600" s="63" t="s">
        <v>401</v>
      </c>
      <c r="H600" s="64" t="n">
        <v>3465008177.827</v>
      </c>
      <c r="I600" s="62" t="s">
        <v>81</v>
      </c>
      <c r="J600" s="64" t="n">
        <v>3465008.177827</v>
      </c>
      <c r="K600" s="62" t="s">
        <v>138</v>
      </c>
      <c r="L600" s="68" t="b">
        <f aca="false">TRUE()</f>
        <v>1</v>
      </c>
    </row>
    <row r="601" customFormat="false" ht="15" hidden="false" customHeight="false" outlineLevel="0" collapsed="false">
      <c r="A601" s="62" t="n">
        <v>0</v>
      </c>
      <c r="B601" s="21" t="s">
        <v>336</v>
      </c>
      <c r="C601" s="62" t="s">
        <v>60</v>
      </c>
      <c r="D601" s="62" t="s">
        <v>386</v>
      </c>
      <c r="E601" s="62" t="s">
        <v>71</v>
      </c>
      <c r="F601" s="62" t="s">
        <v>382</v>
      </c>
      <c r="G601" s="63" t="s">
        <v>401</v>
      </c>
      <c r="H601" s="64" t="n">
        <v>3465008177.827</v>
      </c>
      <c r="I601" s="62" t="s">
        <v>81</v>
      </c>
      <c r="J601" s="64" t="n">
        <v>3465008.177827</v>
      </c>
      <c r="K601" s="62" t="s">
        <v>138</v>
      </c>
      <c r="L601" s="68" t="b">
        <f aca="false">TRUE()</f>
        <v>1</v>
      </c>
    </row>
    <row r="602" customFormat="false" ht="15" hidden="false" customHeight="false" outlineLevel="0" collapsed="false">
      <c r="A602" s="62" t="n">
        <v>0</v>
      </c>
      <c r="B602" s="21" t="s">
        <v>336</v>
      </c>
      <c r="C602" s="62" t="s">
        <v>60</v>
      </c>
      <c r="D602" s="62" t="s">
        <v>387</v>
      </c>
      <c r="E602" s="62" t="s">
        <v>71</v>
      </c>
      <c r="F602" s="62" t="s">
        <v>382</v>
      </c>
      <c r="G602" s="63" t="s">
        <v>401</v>
      </c>
      <c r="H602" s="64" t="n">
        <v>3465008177.827</v>
      </c>
      <c r="I602" s="62" t="s">
        <v>81</v>
      </c>
      <c r="J602" s="64" t="n">
        <v>3465008.177827</v>
      </c>
      <c r="K602" s="62" t="s">
        <v>138</v>
      </c>
      <c r="L602" s="68" t="b">
        <f aca="false">TRUE()</f>
        <v>1</v>
      </c>
    </row>
    <row r="603" customFormat="false" ht="15" hidden="false" customHeight="false" outlineLevel="0" collapsed="false">
      <c r="A603" s="62" t="n">
        <v>0</v>
      </c>
      <c r="B603" s="21" t="s">
        <v>336</v>
      </c>
      <c r="C603" s="62" t="s">
        <v>60</v>
      </c>
      <c r="D603" s="62" t="s">
        <v>388</v>
      </c>
      <c r="E603" s="62" t="s">
        <v>71</v>
      </c>
      <c r="F603" s="62" t="s">
        <v>382</v>
      </c>
      <c r="G603" s="63" t="s">
        <v>401</v>
      </c>
      <c r="H603" s="64" t="n">
        <v>3465008177.827</v>
      </c>
      <c r="I603" s="62" t="s">
        <v>81</v>
      </c>
      <c r="J603" s="64" t="n">
        <v>3465008.177827</v>
      </c>
      <c r="K603" s="62" t="s">
        <v>138</v>
      </c>
      <c r="L603" s="68" t="b">
        <f aca="false">TRUE()</f>
        <v>1</v>
      </c>
    </row>
    <row r="604" customFormat="false" ht="15" hidden="false" customHeight="false" outlineLevel="0" collapsed="false">
      <c r="A604" s="62" t="n">
        <v>0</v>
      </c>
      <c r="B604" s="21" t="s">
        <v>336</v>
      </c>
      <c r="C604" s="62" t="s">
        <v>60</v>
      </c>
      <c r="D604" s="62" t="s">
        <v>381</v>
      </c>
      <c r="E604" s="62" t="s">
        <v>71</v>
      </c>
      <c r="F604" s="62" t="s">
        <v>382</v>
      </c>
      <c r="G604" s="63" t="s">
        <v>402</v>
      </c>
      <c r="H604" s="64" t="n">
        <v>12477508177.827</v>
      </c>
      <c r="I604" s="62" t="s">
        <v>81</v>
      </c>
      <c r="J604" s="64" t="n">
        <v>12477508.177827</v>
      </c>
      <c r="K604" s="62" t="s">
        <v>138</v>
      </c>
      <c r="L604" s="68" t="b">
        <f aca="false">TRUE()</f>
        <v>1</v>
      </c>
    </row>
    <row r="605" customFormat="false" ht="15" hidden="false" customHeight="false" outlineLevel="0" collapsed="false">
      <c r="A605" s="62" t="n">
        <v>0</v>
      </c>
      <c r="B605" s="21" t="s">
        <v>336</v>
      </c>
      <c r="C605" s="62" t="s">
        <v>60</v>
      </c>
      <c r="D605" s="62" t="s">
        <v>383</v>
      </c>
      <c r="E605" s="62" t="s">
        <v>71</v>
      </c>
      <c r="F605" s="62" t="s">
        <v>382</v>
      </c>
      <c r="G605" s="63" t="s">
        <v>402</v>
      </c>
      <c r="H605" s="64" t="n">
        <v>12477508177.827</v>
      </c>
      <c r="I605" s="62" t="s">
        <v>81</v>
      </c>
      <c r="J605" s="64" t="n">
        <v>12477508.177827</v>
      </c>
      <c r="K605" s="62" t="s">
        <v>138</v>
      </c>
      <c r="L605" s="68" t="b">
        <f aca="false">TRUE()</f>
        <v>1</v>
      </c>
    </row>
    <row r="606" customFormat="false" ht="15" hidden="false" customHeight="false" outlineLevel="0" collapsed="false">
      <c r="A606" s="62" t="n">
        <v>0</v>
      </c>
      <c r="B606" s="21" t="s">
        <v>336</v>
      </c>
      <c r="C606" s="62" t="s">
        <v>60</v>
      </c>
      <c r="D606" s="62" t="s">
        <v>384</v>
      </c>
      <c r="E606" s="62" t="s">
        <v>71</v>
      </c>
      <c r="F606" s="62" t="s">
        <v>382</v>
      </c>
      <c r="G606" s="63" t="s">
        <v>402</v>
      </c>
      <c r="H606" s="64" t="n">
        <v>12477508177.827</v>
      </c>
      <c r="I606" s="62" t="s">
        <v>81</v>
      </c>
      <c r="J606" s="64" t="n">
        <v>12477508.177827</v>
      </c>
      <c r="K606" s="62" t="s">
        <v>138</v>
      </c>
      <c r="L606" s="68" t="b">
        <f aca="false">TRUE()</f>
        <v>1</v>
      </c>
    </row>
    <row r="607" customFormat="false" ht="15" hidden="false" customHeight="false" outlineLevel="0" collapsed="false">
      <c r="A607" s="62" t="n">
        <v>0</v>
      </c>
      <c r="B607" s="21" t="s">
        <v>336</v>
      </c>
      <c r="C607" s="62" t="s">
        <v>60</v>
      </c>
      <c r="D607" s="62" t="s">
        <v>385</v>
      </c>
      <c r="E607" s="62" t="s">
        <v>71</v>
      </c>
      <c r="F607" s="62" t="s">
        <v>382</v>
      </c>
      <c r="G607" s="63" t="s">
        <v>402</v>
      </c>
      <c r="H607" s="64" t="n">
        <v>12477508177.827</v>
      </c>
      <c r="I607" s="62" t="s">
        <v>81</v>
      </c>
      <c r="J607" s="64" t="n">
        <v>12477508.177827</v>
      </c>
      <c r="K607" s="62" t="s">
        <v>138</v>
      </c>
      <c r="L607" s="68" t="b">
        <f aca="false">TRUE()</f>
        <v>1</v>
      </c>
    </row>
    <row r="608" customFormat="false" ht="15" hidden="false" customHeight="false" outlineLevel="0" collapsed="false">
      <c r="A608" s="62" t="n">
        <v>0</v>
      </c>
      <c r="B608" s="21" t="s">
        <v>336</v>
      </c>
      <c r="C608" s="62" t="s">
        <v>60</v>
      </c>
      <c r="D608" s="62" t="s">
        <v>386</v>
      </c>
      <c r="E608" s="62" t="s">
        <v>71</v>
      </c>
      <c r="F608" s="62" t="s">
        <v>382</v>
      </c>
      <c r="G608" s="63" t="s">
        <v>402</v>
      </c>
      <c r="H608" s="64" t="n">
        <v>12477508177.827</v>
      </c>
      <c r="I608" s="62" t="s">
        <v>81</v>
      </c>
      <c r="J608" s="64" t="n">
        <v>12477508.177827</v>
      </c>
      <c r="K608" s="62" t="s">
        <v>138</v>
      </c>
      <c r="L608" s="68" t="b">
        <f aca="false">TRUE()</f>
        <v>1</v>
      </c>
    </row>
    <row r="609" customFormat="false" ht="15" hidden="false" customHeight="false" outlineLevel="0" collapsed="false">
      <c r="A609" s="62" t="n">
        <v>0</v>
      </c>
      <c r="B609" s="21" t="s">
        <v>336</v>
      </c>
      <c r="C609" s="62" t="s">
        <v>60</v>
      </c>
      <c r="D609" s="62" t="s">
        <v>387</v>
      </c>
      <c r="E609" s="62" t="s">
        <v>71</v>
      </c>
      <c r="F609" s="62" t="s">
        <v>382</v>
      </c>
      <c r="G609" s="63" t="s">
        <v>402</v>
      </c>
      <c r="H609" s="64" t="n">
        <v>12477508177.827</v>
      </c>
      <c r="I609" s="62" t="s">
        <v>81</v>
      </c>
      <c r="J609" s="64" t="n">
        <v>12477508.177827</v>
      </c>
      <c r="K609" s="62" t="s">
        <v>138</v>
      </c>
      <c r="L609" s="68" t="b">
        <f aca="false">TRUE()</f>
        <v>1</v>
      </c>
    </row>
    <row r="610" customFormat="false" ht="15" hidden="false" customHeight="false" outlineLevel="0" collapsed="false">
      <c r="A610" s="62" t="n">
        <v>0</v>
      </c>
      <c r="B610" s="21" t="s">
        <v>336</v>
      </c>
      <c r="C610" s="62" t="s">
        <v>60</v>
      </c>
      <c r="D610" s="62" t="s">
        <v>388</v>
      </c>
      <c r="E610" s="62" t="s">
        <v>71</v>
      </c>
      <c r="F610" s="62" t="s">
        <v>382</v>
      </c>
      <c r="G610" s="63" t="s">
        <v>402</v>
      </c>
      <c r="H610" s="64" t="n">
        <v>12477508177.827</v>
      </c>
      <c r="I610" s="62" t="s">
        <v>81</v>
      </c>
      <c r="J610" s="64" t="n">
        <v>12477508.177827</v>
      </c>
      <c r="K610" s="62" t="s">
        <v>138</v>
      </c>
      <c r="L610" s="68" t="b">
        <f aca="false">TRUE()</f>
        <v>1</v>
      </c>
    </row>
    <row r="611" customFormat="false" ht="15" hidden="false" customHeight="false" outlineLevel="0" collapsed="false">
      <c r="A611" s="62" t="n">
        <v>0</v>
      </c>
      <c r="B611" s="21" t="s">
        <v>336</v>
      </c>
      <c r="C611" s="62" t="s">
        <v>60</v>
      </c>
      <c r="D611" s="62" t="s">
        <v>381</v>
      </c>
      <c r="E611" s="62" t="s">
        <v>71</v>
      </c>
      <c r="F611" s="62" t="s">
        <v>382</v>
      </c>
      <c r="G611" s="63" t="s">
        <v>389</v>
      </c>
      <c r="H611" s="64" t="n">
        <v>5620550250.95037</v>
      </c>
      <c r="I611" s="62" t="s">
        <v>81</v>
      </c>
      <c r="J611" s="64" t="n">
        <v>5620550.25095037</v>
      </c>
      <c r="K611" s="62" t="s">
        <v>138</v>
      </c>
      <c r="L611" s="68" t="b">
        <f aca="false">TRUE()</f>
        <v>1</v>
      </c>
    </row>
    <row r="612" customFormat="false" ht="15" hidden="false" customHeight="false" outlineLevel="0" collapsed="false">
      <c r="A612" s="62" t="n">
        <v>0</v>
      </c>
      <c r="B612" s="21" t="s">
        <v>336</v>
      </c>
      <c r="C612" s="62" t="s">
        <v>60</v>
      </c>
      <c r="D612" s="62" t="s">
        <v>383</v>
      </c>
      <c r="E612" s="62" t="s">
        <v>71</v>
      </c>
      <c r="F612" s="62" t="s">
        <v>382</v>
      </c>
      <c r="G612" s="63" t="s">
        <v>389</v>
      </c>
      <c r="H612" s="64" t="n">
        <v>5620550250.95037</v>
      </c>
      <c r="I612" s="62" t="s">
        <v>81</v>
      </c>
      <c r="J612" s="64" t="n">
        <v>5620550.25095037</v>
      </c>
      <c r="K612" s="62" t="s">
        <v>138</v>
      </c>
      <c r="L612" s="68" t="b">
        <f aca="false">TRUE()</f>
        <v>1</v>
      </c>
    </row>
    <row r="613" customFormat="false" ht="15" hidden="false" customHeight="false" outlineLevel="0" collapsed="false">
      <c r="A613" s="62" t="n">
        <v>0</v>
      </c>
      <c r="B613" s="21" t="s">
        <v>336</v>
      </c>
      <c r="C613" s="62" t="s">
        <v>60</v>
      </c>
      <c r="D613" s="62" t="s">
        <v>384</v>
      </c>
      <c r="E613" s="62" t="s">
        <v>71</v>
      </c>
      <c r="F613" s="62" t="s">
        <v>382</v>
      </c>
      <c r="G613" s="63" t="s">
        <v>389</v>
      </c>
      <c r="H613" s="64" t="n">
        <v>5620550250.95037</v>
      </c>
      <c r="I613" s="62" t="s">
        <v>81</v>
      </c>
      <c r="J613" s="64" t="n">
        <v>5620550.25095037</v>
      </c>
      <c r="K613" s="62" t="s">
        <v>138</v>
      </c>
      <c r="L613" s="68" t="b">
        <f aca="false">TRUE()</f>
        <v>1</v>
      </c>
    </row>
    <row r="614" customFormat="false" ht="15" hidden="false" customHeight="false" outlineLevel="0" collapsed="false">
      <c r="A614" s="62" t="n">
        <v>0</v>
      </c>
      <c r="B614" s="21" t="s">
        <v>336</v>
      </c>
      <c r="C614" s="62" t="s">
        <v>60</v>
      </c>
      <c r="D614" s="62" t="s">
        <v>385</v>
      </c>
      <c r="E614" s="62" t="s">
        <v>71</v>
      </c>
      <c r="F614" s="62" t="s">
        <v>382</v>
      </c>
      <c r="G614" s="63" t="s">
        <v>389</v>
      </c>
      <c r="H614" s="64" t="n">
        <v>5620550250.95037</v>
      </c>
      <c r="I614" s="62" t="s">
        <v>81</v>
      </c>
      <c r="J614" s="64" t="n">
        <v>5620550.25095037</v>
      </c>
      <c r="K614" s="62" t="s">
        <v>138</v>
      </c>
      <c r="L614" s="68" t="b">
        <f aca="false">TRUE()</f>
        <v>1</v>
      </c>
    </row>
    <row r="615" customFormat="false" ht="15" hidden="false" customHeight="false" outlineLevel="0" collapsed="false">
      <c r="A615" s="62" t="n">
        <v>0</v>
      </c>
      <c r="B615" s="21" t="s">
        <v>336</v>
      </c>
      <c r="C615" s="62" t="s">
        <v>60</v>
      </c>
      <c r="D615" s="62" t="s">
        <v>386</v>
      </c>
      <c r="E615" s="62" t="s">
        <v>71</v>
      </c>
      <c r="F615" s="62" t="s">
        <v>382</v>
      </c>
      <c r="G615" s="63" t="s">
        <v>389</v>
      </c>
      <c r="H615" s="64" t="n">
        <v>5620550250.95037</v>
      </c>
      <c r="I615" s="62" t="s">
        <v>81</v>
      </c>
      <c r="J615" s="64" t="n">
        <v>5620550.25095037</v>
      </c>
      <c r="K615" s="62" t="s">
        <v>138</v>
      </c>
      <c r="L615" s="68" t="b">
        <f aca="false">TRUE()</f>
        <v>1</v>
      </c>
    </row>
    <row r="616" customFormat="false" ht="15" hidden="false" customHeight="false" outlineLevel="0" collapsed="false">
      <c r="A616" s="62" t="n">
        <v>0</v>
      </c>
      <c r="B616" s="21" t="s">
        <v>336</v>
      </c>
      <c r="C616" s="62" t="s">
        <v>60</v>
      </c>
      <c r="D616" s="62" t="s">
        <v>387</v>
      </c>
      <c r="E616" s="62" t="s">
        <v>71</v>
      </c>
      <c r="F616" s="62" t="s">
        <v>382</v>
      </c>
      <c r="G616" s="63" t="s">
        <v>389</v>
      </c>
      <c r="H616" s="64" t="n">
        <v>5620550250.95037</v>
      </c>
      <c r="I616" s="62" t="s">
        <v>81</v>
      </c>
      <c r="J616" s="64" t="n">
        <v>5620550.25095037</v>
      </c>
      <c r="K616" s="62" t="s">
        <v>138</v>
      </c>
      <c r="L616" s="68" t="b">
        <f aca="false">TRUE()</f>
        <v>1</v>
      </c>
    </row>
    <row r="617" customFormat="false" ht="15" hidden="false" customHeight="false" outlineLevel="0" collapsed="false">
      <c r="A617" s="62" t="n">
        <v>0</v>
      </c>
      <c r="B617" s="21" t="s">
        <v>336</v>
      </c>
      <c r="C617" s="62" t="s">
        <v>60</v>
      </c>
      <c r="D617" s="62" t="s">
        <v>388</v>
      </c>
      <c r="E617" s="62" t="s">
        <v>71</v>
      </c>
      <c r="F617" s="62" t="s">
        <v>382</v>
      </c>
      <c r="G617" s="63" t="s">
        <v>389</v>
      </c>
      <c r="H617" s="64" t="n">
        <v>5620550250.95037</v>
      </c>
      <c r="I617" s="62" t="s">
        <v>81</v>
      </c>
      <c r="J617" s="64" t="n">
        <v>5620550.25095037</v>
      </c>
      <c r="K617" s="62" t="s">
        <v>138</v>
      </c>
      <c r="L617" s="68" t="b">
        <f aca="false">TRUE()</f>
        <v>1</v>
      </c>
    </row>
    <row r="618" customFormat="false" ht="15" hidden="false" customHeight="false" outlineLevel="0" collapsed="false">
      <c r="A618" s="62" t="n">
        <v>0</v>
      </c>
      <c r="B618" s="21" t="s">
        <v>336</v>
      </c>
      <c r="C618" s="62" t="s">
        <v>60</v>
      </c>
      <c r="D618" s="62" t="s">
        <v>381</v>
      </c>
      <c r="E618" s="62" t="s">
        <v>71</v>
      </c>
      <c r="F618" s="62" t="s">
        <v>382</v>
      </c>
      <c r="G618" s="63" t="s">
        <v>390</v>
      </c>
      <c r="H618" s="64" t="n">
        <v>1339000000</v>
      </c>
      <c r="I618" s="62" t="s">
        <v>81</v>
      </c>
      <c r="J618" s="64" t="n">
        <v>1339000</v>
      </c>
      <c r="K618" s="62" t="s">
        <v>138</v>
      </c>
      <c r="L618" s="68" t="b">
        <f aca="false">TRUE()</f>
        <v>1</v>
      </c>
    </row>
    <row r="619" customFormat="false" ht="15" hidden="false" customHeight="false" outlineLevel="0" collapsed="false">
      <c r="A619" s="62" t="n">
        <v>0</v>
      </c>
      <c r="B619" s="21" t="s">
        <v>336</v>
      </c>
      <c r="C619" s="62" t="s">
        <v>60</v>
      </c>
      <c r="D619" s="62" t="s">
        <v>383</v>
      </c>
      <c r="E619" s="62" t="s">
        <v>71</v>
      </c>
      <c r="F619" s="62" t="s">
        <v>382</v>
      </c>
      <c r="G619" s="63" t="s">
        <v>390</v>
      </c>
      <c r="H619" s="64" t="n">
        <v>1339000000</v>
      </c>
      <c r="I619" s="62" t="s">
        <v>81</v>
      </c>
      <c r="J619" s="64" t="n">
        <v>1339000</v>
      </c>
      <c r="K619" s="62" t="s">
        <v>138</v>
      </c>
      <c r="L619" s="68" t="b">
        <f aca="false">TRUE()</f>
        <v>1</v>
      </c>
    </row>
    <row r="620" customFormat="false" ht="15" hidden="false" customHeight="false" outlineLevel="0" collapsed="false">
      <c r="A620" s="62" t="n">
        <v>0</v>
      </c>
      <c r="B620" s="21" t="s">
        <v>336</v>
      </c>
      <c r="C620" s="62" t="s">
        <v>60</v>
      </c>
      <c r="D620" s="62" t="s">
        <v>384</v>
      </c>
      <c r="E620" s="62" t="s">
        <v>71</v>
      </c>
      <c r="F620" s="62" t="s">
        <v>382</v>
      </c>
      <c r="G620" s="63" t="s">
        <v>390</v>
      </c>
      <c r="H620" s="64" t="n">
        <v>1339000000</v>
      </c>
      <c r="I620" s="62" t="s">
        <v>81</v>
      </c>
      <c r="J620" s="64" t="n">
        <v>1339000</v>
      </c>
      <c r="K620" s="62" t="s">
        <v>138</v>
      </c>
      <c r="L620" s="68" t="b">
        <f aca="false">TRUE()</f>
        <v>1</v>
      </c>
    </row>
    <row r="621" customFormat="false" ht="15" hidden="false" customHeight="false" outlineLevel="0" collapsed="false">
      <c r="A621" s="62" t="n">
        <v>0</v>
      </c>
      <c r="B621" s="21" t="s">
        <v>336</v>
      </c>
      <c r="C621" s="62" t="s">
        <v>60</v>
      </c>
      <c r="D621" s="62" t="s">
        <v>385</v>
      </c>
      <c r="E621" s="62" t="s">
        <v>71</v>
      </c>
      <c r="F621" s="62" t="s">
        <v>382</v>
      </c>
      <c r="G621" s="63" t="s">
        <v>390</v>
      </c>
      <c r="H621" s="64" t="n">
        <v>1339000000</v>
      </c>
      <c r="I621" s="62" t="s">
        <v>81</v>
      </c>
      <c r="J621" s="64" t="n">
        <v>1339000</v>
      </c>
      <c r="K621" s="62" t="s">
        <v>138</v>
      </c>
      <c r="L621" s="68" t="b">
        <f aca="false">TRUE()</f>
        <v>1</v>
      </c>
    </row>
    <row r="622" customFormat="false" ht="15" hidden="false" customHeight="false" outlineLevel="0" collapsed="false">
      <c r="A622" s="62" t="n">
        <v>0</v>
      </c>
      <c r="B622" s="21" t="s">
        <v>336</v>
      </c>
      <c r="C622" s="62" t="s">
        <v>60</v>
      </c>
      <c r="D622" s="62" t="s">
        <v>386</v>
      </c>
      <c r="E622" s="62" t="s">
        <v>71</v>
      </c>
      <c r="F622" s="62" t="s">
        <v>382</v>
      </c>
      <c r="G622" s="63" t="s">
        <v>390</v>
      </c>
      <c r="H622" s="64" t="n">
        <v>1339000000</v>
      </c>
      <c r="I622" s="62" t="s">
        <v>81</v>
      </c>
      <c r="J622" s="64" t="n">
        <v>1339000</v>
      </c>
      <c r="K622" s="62" t="s">
        <v>138</v>
      </c>
      <c r="L622" s="68" t="b">
        <f aca="false">TRUE()</f>
        <v>1</v>
      </c>
    </row>
    <row r="623" customFormat="false" ht="15" hidden="false" customHeight="false" outlineLevel="0" collapsed="false">
      <c r="A623" s="62" t="n">
        <v>0</v>
      </c>
      <c r="B623" s="21" t="s">
        <v>336</v>
      </c>
      <c r="C623" s="62" t="s">
        <v>60</v>
      </c>
      <c r="D623" s="62" t="s">
        <v>387</v>
      </c>
      <c r="E623" s="62" t="s">
        <v>71</v>
      </c>
      <c r="F623" s="62" t="s">
        <v>382</v>
      </c>
      <c r="G623" s="63" t="s">
        <v>390</v>
      </c>
      <c r="H623" s="64" t="n">
        <v>1339000000</v>
      </c>
      <c r="I623" s="62" t="s">
        <v>81</v>
      </c>
      <c r="J623" s="64" t="n">
        <v>1339000</v>
      </c>
      <c r="K623" s="62" t="s">
        <v>138</v>
      </c>
      <c r="L623" s="68" t="b">
        <f aca="false">TRUE()</f>
        <v>1</v>
      </c>
    </row>
    <row r="624" customFormat="false" ht="15" hidden="false" customHeight="false" outlineLevel="0" collapsed="false">
      <c r="A624" s="62" t="n">
        <v>0</v>
      </c>
      <c r="B624" s="21" t="s">
        <v>336</v>
      </c>
      <c r="C624" s="62" t="s">
        <v>60</v>
      </c>
      <c r="D624" s="62" t="s">
        <v>388</v>
      </c>
      <c r="E624" s="62" t="s">
        <v>71</v>
      </c>
      <c r="F624" s="62" t="s">
        <v>382</v>
      </c>
      <c r="G624" s="63" t="s">
        <v>390</v>
      </c>
      <c r="H624" s="64" t="n">
        <v>1339000000</v>
      </c>
      <c r="I624" s="62" t="s">
        <v>81</v>
      </c>
      <c r="J624" s="64" t="n">
        <v>1339000</v>
      </c>
      <c r="K624" s="62" t="s">
        <v>138</v>
      </c>
      <c r="L624" s="68" t="b">
        <f aca="false">TRUE()</f>
        <v>1</v>
      </c>
    </row>
    <row r="625" customFormat="false" ht="15" hidden="false" customHeight="false" outlineLevel="0" collapsed="false">
      <c r="A625" s="62" t="n">
        <v>0</v>
      </c>
      <c r="B625" s="21" t="s">
        <v>336</v>
      </c>
      <c r="C625" s="62" t="s">
        <v>60</v>
      </c>
      <c r="D625" s="62" t="s">
        <v>381</v>
      </c>
      <c r="E625" s="62" t="s">
        <v>71</v>
      </c>
      <c r="F625" s="62" t="s">
        <v>382</v>
      </c>
      <c r="G625" s="63" t="s">
        <v>391</v>
      </c>
      <c r="H625" s="64" t="n">
        <v>4105788493.82716</v>
      </c>
      <c r="I625" s="62" t="s">
        <v>81</v>
      </c>
      <c r="J625" s="64" t="n">
        <v>4105788.49382716</v>
      </c>
      <c r="K625" s="62" t="s">
        <v>138</v>
      </c>
      <c r="L625" s="68" t="b">
        <f aca="false">TRUE()</f>
        <v>1</v>
      </c>
    </row>
    <row r="626" customFormat="false" ht="15" hidden="false" customHeight="false" outlineLevel="0" collapsed="false">
      <c r="A626" s="62" t="n">
        <v>0</v>
      </c>
      <c r="B626" s="21" t="s">
        <v>336</v>
      </c>
      <c r="C626" s="62" t="s">
        <v>60</v>
      </c>
      <c r="D626" s="62" t="s">
        <v>383</v>
      </c>
      <c r="E626" s="62" t="s">
        <v>71</v>
      </c>
      <c r="F626" s="62" t="s">
        <v>382</v>
      </c>
      <c r="G626" s="63" t="s">
        <v>391</v>
      </c>
      <c r="H626" s="64" t="n">
        <v>4105788493.82716</v>
      </c>
      <c r="I626" s="62" t="s">
        <v>81</v>
      </c>
      <c r="J626" s="64" t="n">
        <v>4105788.49382716</v>
      </c>
      <c r="K626" s="62" t="s">
        <v>138</v>
      </c>
      <c r="L626" s="68" t="b">
        <f aca="false">TRUE()</f>
        <v>1</v>
      </c>
    </row>
    <row r="627" customFormat="false" ht="15" hidden="false" customHeight="false" outlineLevel="0" collapsed="false">
      <c r="A627" s="62" t="n">
        <v>0</v>
      </c>
      <c r="B627" s="21" t="s">
        <v>336</v>
      </c>
      <c r="C627" s="62" t="s">
        <v>60</v>
      </c>
      <c r="D627" s="62" t="s">
        <v>384</v>
      </c>
      <c r="E627" s="62" t="s">
        <v>71</v>
      </c>
      <c r="F627" s="62" t="s">
        <v>382</v>
      </c>
      <c r="G627" s="63" t="s">
        <v>391</v>
      </c>
      <c r="H627" s="64" t="n">
        <v>4105788493.82716</v>
      </c>
      <c r="I627" s="62" t="s">
        <v>81</v>
      </c>
      <c r="J627" s="64" t="n">
        <v>4105788.49382716</v>
      </c>
      <c r="K627" s="62" t="s">
        <v>138</v>
      </c>
      <c r="L627" s="68" t="b">
        <f aca="false">TRUE()</f>
        <v>1</v>
      </c>
    </row>
    <row r="628" customFormat="false" ht="15" hidden="false" customHeight="false" outlineLevel="0" collapsed="false">
      <c r="A628" s="62" t="n">
        <v>0</v>
      </c>
      <c r="B628" s="21" t="s">
        <v>336</v>
      </c>
      <c r="C628" s="62" t="s">
        <v>60</v>
      </c>
      <c r="D628" s="62" t="s">
        <v>385</v>
      </c>
      <c r="E628" s="62" t="s">
        <v>71</v>
      </c>
      <c r="F628" s="62" t="s">
        <v>382</v>
      </c>
      <c r="G628" s="63" t="s">
        <v>391</v>
      </c>
      <c r="H628" s="64" t="n">
        <v>4105788493.82716</v>
      </c>
      <c r="I628" s="62" t="s">
        <v>81</v>
      </c>
      <c r="J628" s="64" t="n">
        <v>4105788.49382716</v>
      </c>
      <c r="K628" s="62" t="s">
        <v>138</v>
      </c>
      <c r="L628" s="68" t="b">
        <f aca="false">TRUE()</f>
        <v>1</v>
      </c>
    </row>
    <row r="629" customFormat="false" ht="15" hidden="false" customHeight="false" outlineLevel="0" collapsed="false">
      <c r="A629" s="62" t="n">
        <v>0</v>
      </c>
      <c r="B629" s="21" t="s">
        <v>336</v>
      </c>
      <c r="C629" s="62" t="s">
        <v>60</v>
      </c>
      <c r="D629" s="62" t="s">
        <v>386</v>
      </c>
      <c r="E629" s="62" t="s">
        <v>71</v>
      </c>
      <c r="F629" s="62" t="s">
        <v>382</v>
      </c>
      <c r="G629" s="63" t="s">
        <v>391</v>
      </c>
      <c r="H629" s="64" t="n">
        <v>4105788493.82716</v>
      </c>
      <c r="I629" s="62" t="s">
        <v>81</v>
      </c>
      <c r="J629" s="64" t="n">
        <v>4105788.49382716</v>
      </c>
      <c r="K629" s="62" t="s">
        <v>138</v>
      </c>
      <c r="L629" s="68" t="b">
        <f aca="false">TRUE()</f>
        <v>1</v>
      </c>
    </row>
    <row r="630" customFormat="false" ht="15" hidden="false" customHeight="false" outlineLevel="0" collapsed="false">
      <c r="A630" s="62" t="n">
        <v>0</v>
      </c>
      <c r="B630" s="21" t="s">
        <v>336</v>
      </c>
      <c r="C630" s="62" t="s">
        <v>60</v>
      </c>
      <c r="D630" s="62" t="s">
        <v>387</v>
      </c>
      <c r="E630" s="62" t="s">
        <v>71</v>
      </c>
      <c r="F630" s="62" t="s">
        <v>382</v>
      </c>
      <c r="G630" s="63" t="s">
        <v>391</v>
      </c>
      <c r="H630" s="64" t="n">
        <v>4105788493.82716</v>
      </c>
      <c r="I630" s="62" t="s">
        <v>81</v>
      </c>
      <c r="J630" s="64" t="n">
        <v>4105788.49382716</v>
      </c>
      <c r="K630" s="62" t="s">
        <v>138</v>
      </c>
      <c r="L630" s="68" t="b">
        <f aca="false">TRUE()</f>
        <v>1</v>
      </c>
    </row>
    <row r="631" customFormat="false" ht="15" hidden="false" customHeight="false" outlineLevel="0" collapsed="false">
      <c r="A631" s="62" t="n">
        <v>0</v>
      </c>
      <c r="B631" s="21" t="s">
        <v>336</v>
      </c>
      <c r="C631" s="62" t="s">
        <v>60</v>
      </c>
      <c r="D631" s="62" t="s">
        <v>388</v>
      </c>
      <c r="E631" s="62" t="s">
        <v>71</v>
      </c>
      <c r="F631" s="62" t="s">
        <v>382</v>
      </c>
      <c r="G631" s="63" t="s">
        <v>391</v>
      </c>
      <c r="H631" s="64" t="n">
        <v>4105788493.82716</v>
      </c>
      <c r="I631" s="62" t="s">
        <v>81</v>
      </c>
      <c r="J631" s="64" t="n">
        <v>4105788.49382716</v>
      </c>
      <c r="K631" s="62" t="s">
        <v>138</v>
      </c>
      <c r="L631" s="68" t="b">
        <f aca="false">TRUE()</f>
        <v>1</v>
      </c>
    </row>
    <row r="632" customFormat="false" ht="15" hidden="false" customHeight="false" outlineLevel="0" collapsed="false">
      <c r="A632" s="62" t="n">
        <v>0</v>
      </c>
      <c r="B632" s="21" t="s">
        <v>336</v>
      </c>
      <c r="C632" s="62" t="s">
        <v>60</v>
      </c>
      <c r="D632" s="62" t="s">
        <v>381</v>
      </c>
      <c r="E632" s="62" t="s">
        <v>71</v>
      </c>
      <c r="F632" s="62" t="s">
        <v>382</v>
      </c>
      <c r="G632" s="63" t="s">
        <v>392</v>
      </c>
      <c r="H632" s="64" t="n">
        <v>0</v>
      </c>
      <c r="I632" s="62" t="s">
        <v>81</v>
      </c>
      <c r="J632" s="64" t="n">
        <v>0</v>
      </c>
      <c r="K632" s="62" t="s">
        <v>138</v>
      </c>
      <c r="L632" s="68" t="b">
        <f aca="false">TRUE()</f>
        <v>1</v>
      </c>
    </row>
    <row r="633" customFormat="false" ht="15" hidden="false" customHeight="false" outlineLevel="0" collapsed="false">
      <c r="A633" s="62" t="n">
        <v>0</v>
      </c>
      <c r="B633" s="21" t="s">
        <v>336</v>
      </c>
      <c r="C633" s="62" t="s">
        <v>60</v>
      </c>
      <c r="D633" s="62" t="s">
        <v>383</v>
      </c>
      <c r="E633" s="62" t="s">
        <v>71</v>
      </c>
      <c r="F633" s="62" t="s">
        <v>382</v>
      </c>
      <c r="G633" s="63" t="s">
        <v>392</v>
      </c>
      <c r="H633" s="64" t="n">
        <v>0</v>
      </c>
      <c r="I633" s="62" t="s">
        <v>81</v>
      </c>
      <c r="J633" s="64" t="n">
        <v>0</v>
      </c>
      <c r="K633" s="62" t="s">
        <v>138</v>
      </c>
      <c r="L633" s="68" t="b">
        <f aca="false">TRUE()</f>
        <v>1</v>
      </c>
    </row>
    <row r="634" customFormat="false" ht="15" hidden="false" customHeight="false" outlineLevel="0" collapsed="false">
      <c r="A634" s="62" t="n">
        <v>0</v>
      </c>
      <c r="B634" s="21" t="s">
        <v>336</v>
      </c>
      <c r="C634" s="62" t="s">
        <v>60</v>
      </c>
      <c r="D634" s="62" t="s">
        <v>384</v>
      </c>
      <c r="E634" s="62" t="s">
        <v>71</v>
      </c>
      <c r="F634" s="62" t="s">
        <v>382</v>
      </c>
      <c r="G634" s="63" t="s">
        <v>392</v>
      </c>
      <c r="H634" s="64" t="n">
        <v>0</v>
      </c>
      <c r="I634" s="62" t="s">
        <v>81</v>
      </c>
      <c r="J634" s="64" t="n">
        <v>0</v>
      </c>
      <c r="K634" s="62" t="s">
        <v>138</v>
      </c>
      <c r="L634" s="68" t="b">
        <f aca="false">TRUE()</f>
        <v>1</v>
      </c>
    </row>
    <row r="635" customFormat="false" ht="15" hidden="false" customHeight="false" outlineLevel="0" collapsed="false">
      <c r="A635" s="62" t="n">
        <v>0</v>
      </c>
      <c r="B635" s="21" t="s">
        <v>336</v>
      </c>
      <c r="C635" s="62" t="s">
        <v>60</v>
      </c>
      <c r="D635" s="62" t="s">
        <v>385</v>
      </c>
      <c r="E635" s="62" t="s">
        <v>71</v>
      </c>
      <c r="F635" s="62" t="s">
        <v>382</v>
      </c>
      <c r="G635" s="63" t="s">
        <v>392</v>
      </c>
      <c r="H635" s="64" t="n">
        <v>0</v>
      </c>
      <c r="I635" s="62" t="s">
        <v>81</v>
      </c>
      <c r="J635" s="64" t="n">
        <v>0</v>
      </c>
      <c r="K635" s="62" t="s">
        <v>138</v>
      </c>
      <c r="L635" s="68" t="b">
        <f aca="false">TRUE()</f>
        <v>1</v>
      </c>
    </row>
    <row r="636" customFormat="false" ht="15" hidden="false" customHeight="false" outlineLevel="0" collapsed="false">
      <c r="A636" s="62" t="n">
        <v>0</v>
      </c>
      <c r="B636" s="21" t="s">
        <v>336</v>
      </c>
      <c r="C636" s="62" t="s">
        <v>60</v>
      </c>
      <c r="D636" s="62" t="s">
        <v>386</v>
      </c>
      <c r="E636" s="62" t="s">
        <v>71</v>
      </c>
      <c r="F636" s="62" t="s">
        <v>382</v>
      </c>
      <c r="G636" s="63" t="s">
        <v>392</v>
      </c>
      <c r="H636" s="64" t="n">
        <v>0</v>
      </c>
      <c r="I636" s="62" t="s">
        <v>81</v>
      </c>
      <c r="J636" s="64" t="n">
        <v>0</v>
      </c>
      <c r="K636" s="62" t="s">
        <v>138</v>
      </c>
      <c r="L636" s="68" t="b">
        <f aca="false">TRUE()</f>
        <v>1</v>
      </c>
    </row>
    <row r="637" customFormat="false" ht="15" hidden="false" customHeight="false" outlineLevel="0" collapsed="false">
      <c r="A637" s="62" t="n">
        <v>0</v>
      </c>
      <c r="B637" s="21" t="s">
        <v>336</v>
      </c>
      <c r="C637" s="62" t="s">
        <v>60</v>
      </c>
      <c r="D637" s="62" t="s">
        <v>387</v>
      </c>
      <c r="E637" s="62" t="s">
        <v>71</v>
      </c>
      <c r="F637" s="62" t="s">
        <v>382</v>
      </c>
      <c r="G637" s="63" t="s">
        <v>392</v>
      </c>
      <c r="H637" s="64" t="n">
        <v>0</v>
      </c>
      <c r="I637" s="62" t="s">
        <v>81</v>
      </c>
      <c r="J637" s="64" t="n">
        <v>0</v>
      </c>
      <c r="K637" s="62" t="s">
        <v>138</v>
      </c>
      <c r="L637" s="68" t="b">
        <f aca="false">TRUE()</f>
        <v>1</v>
      </c>
    </row>
    <row r="638" customFormat="false" ht="15" hidden="false" customHeight="false" outlineLevel="0" collapsed="false">
      <c r="A638" s="62" t="n">
        <v>0</v>
      </c>
      <c r="B638" s="21" t="s">
        <v>336</v>
      </c>
      <c r="C638" s="62" t="s">
        <v>60</v>
      </c>
      <c r="D638" s="62" t="s">
        <v>388</v>
      </c>
      <c r="E638" s="62" t="s">
        <v>71</v>
      </c>
      <c r="F638" s="62" t="s">
        <v>382</v>
      </c>
      <c r="G638" s="63" t="s">
        <v>392</v>
      </c>
      <c r="H638" s="64" t="n">
        <v>0</v>
      </c>
      <c r="I638" s="62" t="s">
        <v>81</v>
      </c>
      <c r="J638" s="64" t="n">
        <v>0</v>
      </c>
      <c r="K638" s="62" t="s">
        <v>138</v>
      </c>
      <c r="L638" s="68" t="b">
        <f aca="false">TRUE()</f>
        <v>1</v>
      </c>
    </row>
    <row r="639" customFormat="false" ht="15" hidden="false" customHeight="false" outlineLevel="0" collapsed="false">
      <c r="A639" s="62" t="n">
        <v>0</v>
      </c>
      <c r="B639" s="21" t="s">
        <v>336</v>
      </c>
      <c r="C639" s="62" t="s">
        <v>60</v>
      </c>
      <c r="D639" s="62" t="s">
        <v>381</v>
      </c>
      <c r="E639" s="62" t="s">
        <v>71</v>
      </c>
      <c r="F639" s="62" t="s">
        <v>382</v>
      </c>
      <c r="G639" s="63" t="s">
        <v>393</v>
      </c>
      <c r="H639" s="64" t="n">
        <v>171293206.349206</v>
      </c>
      <c r="I639" s="62" t="s">
        <v>81</v>
      </c>
      <c r="J639" s="64" t="n">
        <v>171293.206349206</v>
      </c>
      <c r="K639" s="62" t="s">
        <v>138</v>
      </c>
      <c r="L639" s="68" t="b">
        <f aca="false">TRUE()</f>
        <v>1</v>
      </c>
    </row>
    <row r="640" customFormat="false" ht="15" hidden="false" customHeight="false" outlineLevel="0" collapsed="false">
      <c r="A640" s="62" t="n">
        <v>0</v>
      </c>
      <c r="B640" s="21" t="s">
        <v>336</v>
      </c>
      <c r="C640" s="62" t="s">
        <v>60</v>
      </c>
      <c r="D640" s="62" t="s">
        <v>383</v>
      </c>
      <c r="E640" s="62" t="s">
        <v>71</v>
      </c>
      <c r="F640" s="62" t="s">
        <v>382</v>
      </c>
      <c r="G640" s="63" t="s">
        <v>393</v>
      </c>
      <c r="H640" s="64" t="n">
        <v>171293206.349206</v>
      </c>
      <c r="I640" s="62" t="s">
        <v>81</v>
      </c>
      <c r="J640" s="64" t="n">
        <v>171293.206349206</v>
      </c>
      <c r="K640" s="62" t="s">
        <v>138</v>
      </c>
      <c r="L640" s="68" t="b">
        <f aca="false">TRUE()</f>
        <v>1</v>
      </c>
    </row>
    <row r="641" customFormat="false" ht="15" hidden="false" customHeight="false" outlineLevel="0" collapsed="false">
      <c r="A641" s="62" t="n">
        <v>0</v>
      </c>
      <c r="B641" s="21" t="s">
        <v>336</v>
      </c>
      <c r="C641" s="62" t="s">
        <v>60</v>
      </c>
      <c r="D641" s="62" t="s">
        <v>384</v>
      </c>
      <c r="E641" s="62" t="s">
        <v>71</v>
      </c>
      <c r="F641" s="62" t="s">
        <v>382</v>
      </c>
      <c r="G641" s="63" t="s">
        <v>393</v>
      </c>
      <c r="H641" s="64" t="n">
        <v>171293206.349206</v>
      </c>
      <c r="I641" s="62" t="s">
        <v>81</v>
      </c>
      <c r="J641" s="64" t="n">
        <v>171293.206349206</v>
      </c>
      <c r="K641" s="62" t="s">
        <v>138</v>
      </c>
      <c r="L641" s="68" t="b">
        <f aca="false">TRUE()</f>
        <v>1</v>
      </c>
    </row>
    <row r="642" customFormat="false" ht="15" hidden="false" customHeight="false" outlineLevel="0" collapsed="false">
      <c r="A642" s="62" t="n">
        <v>0</v>
      </c>
      <c r="B642" s="21" t="s">
        <v>336</v>
      </c>
      <c r="C642" s="62" t="s">
        <v>60</v>
      </c>
      <c r="D642" s="62" t="s">
        <v>385</v>
      </c>
      <c r="E642" s="62" t="s">
        <v>71</v>
      </c>
      <c r="F642" s="62" t="s">
        <v>382</v>
      </c>
      <c r="G642" s="63" t="s">
        <v>393</v>
      </c>
      <c r="H642" s="64" t="n">
        <v>171293206.349206</v>
      </c>
      <c r="I642" s="62" t="s">
        <v>81</v>
      </c>
      <c r="J642" s="64" t="n">
        <v>171293.206349206</v>
      </c>
      <c r="K642" s="62" t="s">
        <v>138</v>
      </c>
      <c r="L642" s="68" t="b">
        <f aca="false">TRUE()</f>
        <v>1</v>
      </c>
    </row>
    <row r="643" customFormat="false" ht="15" hidden="false" customHeight="false" outlineLevel="0" collapsed="false">
      <c r="A643" s="62" t="n">
        <v>0</v>
      </c>
      <c r="B643" s="21" t="s">
        <v>336</v>
      </c>
      <c r="C643" s="62" t="s">
        <v>60</v>
      </c>
      <c r="D643" s="62" t="s">
        <v>386</v>
      </c>
      <c r="E643" s="62" t="s">
        <v>71</v>
      </c>
      <c r="F643" s="62" t="s">
        <v>382</v>
      </c>
      <c r="G643" s="63" t="s">
        <v>393</v>
      </c>
      <c r="H643" s="64" t="n">
        <v>171293206.349206</v>
      </c>
      <c r="I643" s="62" t="s">
        <v>81</v>
      </c>
      <c r="J643" s="64" t="n">
        <v>171293.206349206</v>
      </c>
      <c r="K643" s="62" t="s">
        <v>138</v>
      </c>
      <c r="L643" s="68" t="b">
        <f aca="false">TRUE()</f>
        <v>1</v>
      </c>
    </row>
    <row r="644" customFormat="false" ht="15" hidden="false" customHeight="false" outlineLevel="0" collapsed="false">
      <c r="A644" s="62" t="n">
        <v>0</v>
      </c>
      <c r="B644" s="21" t="s">
        <v>336</v>
      </c>
      <c r="C644" s="62" t="s">
        <v>60</v>
      </c>
      <c r="D644" s="62" t="s">
        <v>387</v>
      </c>
      <c r="E644" s="62" t="s">
        <v>71</v>
      </c>
      <c r="F644" s="62" t="s">
        <v>382</v>
      </c>
      <c r="G644" s="63" t="s">
        <v>393</v>
      </c>
      <c r="H644" s="64" t="n">
        <v>171293206.349206</v>
      </c>
      <c r="I644" s="62" t="s">
        <v>81</v>
      </c>
      <c r="J644" s="64" t="n">
        <v>171293.206349206</v>
      </c>
      <c r="K644" s="62" t="s">
        <v>138</v>
      </c>
      <c r="L644" s="68" t="b">
        <f aca="false">TRUE()</f>
        <v>1</v>
      </c>
    </row>
    <row r="645" customFormat="false" ht="15" hidden="false" customHeight="false" outlineLevel="0" collapsed="false">
      <c r="A645" s="62" t="n">
        <v>0</v>
      </c>
      <c r="B645" s="21" t="s">
        <v>336</v>
      </c>
      <c r="C645" s="62" t="s">
        <v>60</v>
      </c>
      <c r="D645" s="62" t="s">
        <v>388</v>
      </c>
      <c r="E645" s="62" t="s">
        <v>71</v>
      </c>
      <c r="F645" s="62" t="s">
        <v>382</v>
      </c>
      <c r="G645" s="63" t="s">
        <v>393</v>
      </c>
      <c r="H645" s="64" t="n">
        <v>171293206.349206</v>
      </c>
      <c r="I645" s="62" t="s">
        <v>81</v>
      </c>
      <c r="J645" s="64" t="n">
        <v>171293.206349206</v>
      </c>
      <c r="K645" s="62" t="s">
        <v>138</v>
      </c>
      <c r="L645" s="68" t="b">
        <f aca="false">TRUE()</f>
        <v>1</v>
      </c>
    </row>
    <row r="646" customFormat="false" ht="15" hidden="false" customHeight="false" outlineLevel="0" collapsed="false">
      <c r="A646" s="62" t="n">
        <v>0</v>
      </c>
      <c r="B646" s="21" t="s">
        <v>336</v>
      </c>
      <c r="C646" s="62" t="s">
        <v>60</v>
      </c>
      <c r="D646" s="62" t="s">
        <v>381</v>
      </c>
      <c r="E646" s="62" t="s">
        <v>71</v>
      </c>
      <c r="F646" s="62" t="s">
        <v>382</v>
      </c>
      <c r="G646" s="63" t="s">
        <v>394</v>
      </c>
      <c r="H646" s="64" t="n">
        <v>300000000</v>
      </c>
      <c r="I646" s="62" t="s">
        <v>81</v>
      </c>
      <c r="J646" s="64" t="n">
        <v>300000</v>
      </c>
      <c r="K646" s="62" t="s">
        <v>138</v>
      </c>
      <c r="L646" s="68" t="b">
        <f aca="false">TRUE()</f>
        <v>1</v>
      </c>
    </row>
    <row r="647" customFormat="false" ht="15" hidden="false" customHeight="false" outlineLevel="0" collapsed="false">
      <c r="A647" s="62" t="n">
        <v>0</v>
      </c>
      <c r="B647" s="21" t="s">
        <v>336</v>
      </c>
      <c r="C647" s="62" t="s">
        <v>60</v>
      </c>
      <c r="D647" s="62" t="s">
        <v>383</v>
      </c>
      <c r="E647" s="62" t="s">
        <v>71</v>
      </c>
      <c r="F647" s="62" t="s">
        <v>382</v>
      </c>
      <c r="G647" s="63" t="s">
        <v>394</v>
      </c>
      <c r="H647" s="64" t="n">
        <v>300000000</v>
      </c>
      <c r="I647" s="62" t="s">
        <v>81</v>
      </c>
      <c r="J647" s="64" t="n">
        <v>300000</v>
      </c>
      <c r="K647" s="62" t="s">
        <v>138</v>
      </c>
      <c r="L647" s="68" t="b">
        <f aca="false">TRUE()</f>
        <v>1</v>
      </c>
    </row>
    <row r="648" customFormat="false" ht="15" hidden="false" customHeight="false" outlineLevel="0" collapsed="false">
      <c r="A648" s="62" t="n">
        <v>0</v>
      </c>
      <c r="B648" s="21" t="s">
        <v>336</v>
      </c>
      <c r="C648" s="62" t="s">
        <v>60</v>
      </c>
      <c r="D648" s="62" t="s">
        <v>384</v>
      </c>
      <c r="E648" s="62" t="s">
        <v>71</v>
      </c>
      <c r="F648" s="62" t="s">
        <v>382</v>
      </c>
      <c r="G648" s="63" t="s">
        <v>394</v>
      </c>
      <c r="H648" s="64" t="n">
        <v>300000000</v>
      </c>
      <c r="I648" s="62" t="s">
        <v>81</v>
      </c>
      <c r="J648" s="64" t="n">
        <v>300000</v>
      </c>
      <c r="K648" s="62" t="s">
        <v>138</v>
      </c>
      <c r="L648" s="68" t="b">
        <f aca="false">TRUE()</f>
        <v>1</v>
      </c>
    </row>
    <row r="649" customFormat="false" ht="15" hidden="false" customHeight="false" outlineLevel="0" collapsed="false">
      <c r="A649" s="62" t="n">
        <v>0</v>
      </c>
      <c r="B649" s="21" t="s">
        <v>336</v>
      </c>
      <c r="C649" s="62" t="s">
        <v>60</v>
      </c>
      <c r="D649" s="62" t="s">
        <v>385</v>
      </c>
      <c r="E649" s="62" t="s">
        <v>71</v>
      </c>
      <c r="F649" s="62" t="s">
        <v>382</v>
      </c>
      <c r="G649" s="63" t="s">
        <v>394</v>
      </c>
      <c r="H649" s="64" t="n">
        <v>300000000</v>
      </c>
      <c r="I649" s="62" t="s">
        <v>81</v>
      </c>
      <c r="J649" s="64" t="n">
        <v>300000</v>
      </c>
      <c r="K649" s="62" t="s">
        <v>138</v>
      </c>
      <c r="L649" s="68" t="b">
        <f aca="false">TRUE()</f>
        <v>1</v>
      </c>
    </row>
    <row r="650" customFormat="false" ht="15" hidden="false" customHeight="false" outlineLevel="0" collapsed="false">
      <c r="A650" s="62" t="n">
        <v>0</v>
      </c>
      <c r="B650" s="21" t="s">
        <v>336</v>
      </c>
      <c r="C650" s="62" t="s">
        <v>60</v>
      </c>
      <c r="D650" s="62" t="s">
        <v>386</v>
      </c>
      <c r="E650" s="62" t="s">
        <v>71</v>
      </c>
      <c r="F650" s="62" t="s">
        <v>382</v>
      </c>
      <c r="G650" s="63" t="s">
        <v>394</v>
      </c>
      <c r="H650" s="64" t="n">
        <v>300000000</v>
      </c>
      <c r="I650" s="62" t="s">
        <v>81</v>
      </c>
      <c r="J650" s="64" t="n">
        <v>300000</v>
      </c>
      <c r="K650" s="62" t="s">
        <v>138</v>
      </c>
      <c r="L650" s="68" t="b">
        <f aca="false">TRUE()</f>
        <v>1</v>
      </c>
    </row>
    <row r="651" customFormat="false" ht="15" hidden="false" customHeight="false" outlineLevel="0" collapsed="false">
      <c r="A651" s="62" t="n">
        <v>0</v>
      </c>
      <c r="B651" s="21" t="s">
        <v>336</v>
      </c>
      <c r="C651" s="62" t="s">
        <v>60</v>
      </c>
      <c r="D651" s="62" t="s">
        <v>387</v>
      </c>
      <c r="E651" s="62" t="s">
        <v>71</v>
      </c>
      <c r="F651" s="62" t="s">
        <v>382</v>
      </c>
      <c r="G651" s="63" t="s">
        <v>394</v>
      </c>
      <c r="H651" s="64" t="n">
        <v>300000000</v>
      </c>
      <c r="I651" s="62" t="s">
        <v>81</v>
      </c>
      <c r="J651" s="64" t="n">
        <v>300000</v>
      </c>
      <c r="K651" s="62" t="s">
        <v>138</v>
      </c>
      <c r="L651" s="68" t="b">
        <f aca="false">TRUE()</f>
        <v>1</v>
      </c>
    </row>
    <row r="652" customFormat="false" ht="15" hidden="false" customHeight="false" outlineLevel="0" collapsed="false">
      <c r="A652" s="62" t="n">
        <v>0</v>
      </c>
      <c r="B652" s="21" t="s">
        <v>336</v>
      </c>
      <c r="C652" s="62" t="s">
        <v>60</v>
      </c>
      <c r="D652" s="62" t="s">
        <v>388</v>
      </c>
      <c r="E652" s="62" t="s">
        <v>71</v>
      </c>
      <c r="F652" s="62" t="s">
        <v>382</v>
      </c>
      <c r="G652" s="63" t="s">
        <v>394</v>
      </c>
      <c r="H652" s="64" t="n">
        <v>300000000</v>
      </c>
      <c r="I652" s="62" t="s">
        <v>81</v>
      </c>
      <c r="J652" s="64" t="n">
        <v>300000</v>
      </c>
      <c r="K652" s="62" t="s">
        <v>138</v>
      </c>
      <c r="L652" s="68" t="b">
        <f aca="false">TRUE()</f>
        <v>1</v>
      </c>
    </row>
    <row r="653" customFormat="false" ht="15" hidden="false" customHeight="false" outlineLevel="0" collapsed="false">
      <c r="A653" s="62" t="n">
        <v>0</v>
      </c>
      <c r="B653" s="21" t="s">
        <v>336</v>
      </c>
      <c r="C653" s="62" t="s">
        <v>60</v>
      </c>
      <c r="D653" s="62" t="s">
        <v>381</v>
      </c>
      <c r="E653" s="62" t="s">
        <v>71</v>
      </c>
      <c r="F653" s="62" t="s">
        <v>382</v>
      </c>
      <c r="G653" s="63" t="s">
        <v>395</v>
      </c>
      <c r="H653" s="64" t="n">
        <v>106211516.898884</v>
      </c>
      <c r="I653" s="62" t="s">
        <v>81</v>
      </c>
      <c r="J653" s="64" t="n">
        <v>106211.516898884</v>
      </c>
      <c r="K653" s="62" t="s">
        <v>138</v>
      </c>
      <c r="L653" s="68" t="b">
        <f aca="false">TRUE()</f>
        <v>1</v>
      </c>
    </row>
    <row r="654" customFormat="false" ht="15" hidden="false" customHeight="false" outlineLevel="0" collapsed="false">
      <c r="A654" s="62" t="n">
        <v>0</v>
      </c>
      <c r="B654" s="21" t="s">
        <v>336</v>
      </c>
      <c r="C654" s="62" t="s">
        <v>60</v>
      </c>
      <c r="D654" s="62" t="s">
        <v>383</v>
      </c>
      <c r="E654" s="62" t="s">
        <v>71</v>
      </c>
      <c r="F654" s="62" t="s">
        <v>382</v>
      </c>
      <c r="G654" s="63" t="s">
        <v>395</v>
      </c>
      <c r="H654" s="64" t="n">
        <v>106211516.898884</v>
      </c>
      <c r="I654" s="62" t="s">
        <v>81</v>
      </c>
      <c r="J654" s="64" t="n">
        <v>106211.516898884</v>
      </c>
      <c r="K654" s="62" t="s">
        <v>138</v>
      </c>
      <c r="L654" s="68" t="b">
        <f aca="false">TRUE()</f>
        <v>1</v>
      </c>
    </row>
    <row r="655" customFormat="false" ht="15" hidden="false" customHeight="false" outlineLevel="0" collapsed="false">
      <c r="A655" s="62" t="n">
        <v>0</v>
      </c>
      <c r="B655" s="21" t="s">
        <v>336</v>
      </c>
      <c r="C655" s="62" t="s">
        <v>60</v>
      </c>
      <c r="D655" s="62" t="s">
        <v>384</v>
      </c>
      <c r="E655" s="62" t="s">
        <v>71</v>
      </c>
      <c r="F655" s="62" t="s">
        <v>382</v>
      </c>
      <c r="G655" s="63" t="s">
        <v>395</v>
      </c>
      <c r="H655" s="64" t="n">
        <v>106211516.898884</v>
      </c>
      <c r="I655" s="62" t="s">
        <v>81</v>
      </c>
      <c r="J655" s="64" t="n">
        <v>106211.516898884</v>
      </c>
      <c r="K655" s="62" t="s">
        <v>138</v>
      </c>
      <c r="L655" s="68" t="b">
        <f aca="false">TRUE()</f>
        <v>1</v>
      </c>
    </row>
    <row r="656" customFormat="false" ht="15" hidden="false" customHeight="false" outlineLevel="0" collapsed="false">
      <c r="A656" s="62" t="n">
        <v>0</v>
      </c>
      <c r="B656" s="21" t="s">
        <v>336</v>
      </c>
      <c r="C656" s="62" t="s">
        <v>60</v>
      </c>
      <c r="D656" s="62" t="s">
        <v>385</v>
      </c>
      <c r="E656" s="62" t="s">
        <v>71</v>
      </c>
      <c r="F656" s="62" t="s">
        <v>382</v>
      </c>
      <c r="G656" s="63" t="s">
        <v>395</v>
      </c>
      <c r="H656" s="64" t="n">
        <v>106211516.898884</v>
      </c>
      <c r="I656" s="62" t="s">
        <v>81</v>
      </c>
      <c r="J656" s="64" t="n">
        <v>106211.516898884</v>
      </c>
      <c r="K656" s="62" t="s">
        <v>138</v>
      </c>
      <c r="L656" s="68" t="b">
        <f aca="false">TRUE()</f>
        <v>1</v>
      </c>
    </row>
    <row r="657" customFormat="false" ht="15" hidden="false" customHeight="false" outlineLevel="0" collapsed="false">
      <c r="A657" s="62" t="n">
        <v>0</v>
      </c>
      <c r="B657" s="21" t="s">
        <v>336</v>
      </c>
      <c r="C657" s="62" t="s">
        <v>60</v>
      </c>
      <c r="D657" s="62" t="s">
        <v>386</v>
      </c>
      <c r="E657" s="62" t="s">
        <v>71</v>
      </c>
      <c r="F657" s="62" t="s">
        <v>382</v>
      </c>
      <c r="G657" s="63" t="s">
        <v>395</v>
      </c>
      <c r="H657" s="64" t="n">
        <v>106211516.898884</v>
      </c>
      <c r="I657" s="62" t="s">
        <v>81</v>
      </c>
      <c r="J657" s="64" t="n">
        <v>106211.516898884</v>
      </c>
      <c r="K657" s="62" t="s">
        <v>138</v>
      </c>
      <c r="L657" s="68" t="b">
        <f aca="false">TRUE()</f>
        <v>1</v>
      </c>
    </row>
    <row r="658" customFormat="false" ht="15" hidden="false" customHeight="false" outlineLevel="0" collapsed="false">
      <c r="A658" s="62" t="n">
        <v>0</v>
      </c>
      <c r="B658" s="21" t="s">
        <v>336</v>
      </c>
      <c r="C658" s="62" t="s">
        <v>60</v>
      </c>
      <c r="D658" s="62" t="s">
        <v>387</v>
      </c>
      <c r="E658" s="62" t="s">
        <v>71</v>
      </c>
      <c r="F658" s="62" t="s">
        <v>382</v>
      </c>
      <c r="G658" s="63" t="s">
        <v>395</v>
      </c>
      <c r="H658" s="64" t="n">
        <v>106211516.898884</v>
      </c>
      <c r="I658" s="62" t="s">
        <v>81</v>
      </c>
      <c r="J658" s="64" t="n">
        <v>106211.516898884</v>
      </c>
      <c r="K658" s="62" t="s">
        <v>138</v>
      </c>
      <c r="L658" s="68" t="b">
        <f aca="false">TRUE()</f>
        <v>1</v>
      </c>
    </row>
    <row r="659" customFormat="false" ht="15" hidden="false" customHeight="false" outlineLevel="0" collapsed="false">
      <c r="A659" s="62" t="n">
        <v>0</v>
      </c>
      <c r="B659" s="21" t="s">
        <v>336</v>
      </c>
      <c r="C659" s="62" t="s">
        <v>60</v>
      </c>
      <c r="D659" s="62" t="s">
        <v>388</v>
      </c>
      <c r="E659" s="62" t="s">
        <v>71</v>
      </c>
      <c r="F659" s="62" t="s">
        <v>382</v>
      </c>
      <c r="G659" s="63" t="s">
        <v>395</v>
      </c>
      <c r="H659" s="64" t="n">
        <v>106211516.898884</v>
      </c>
      <c r="I659" s="62" t="s">
        <v>81</v>
      </c>
      <c r="J659" s="64" t="n">
        <v>106211.516898884</v>
      </c>
      <c r="K659" s="62" t="s">
        <v>138</v>
      </c>
      <c r="L659" s="68" t="b">
        <f aca="false">TRUE()</f>
        <v>1</v>
      </c>
    </row>
    <row r="660" customFormat="false" ht="15" hidden="false" customHeight="false" outlineLevel="0" collapsed="false">
      <c r="A660" s="62" t="n">
        <v>0</v>
      </c>
      <c r="B660" s="21" t="s">
        <v>336</v>
      </c>
      <c r="C660" s="62" t="s">
        <v>60</v>
      </c>
      <c r="D660" s="62" t="s">
        <v>381</v>
      </c>
      <c r="E660" s="62" t="s">
        <v>71</v>
      </c>
      <c r="F660" s="62" t="s">
        <v>382</v>
      </c>
      <c r="G660" s="63" t="s">
        <v>403</v>
      </c>
      <c r="H660" s="64" t="n">
        <v>0</v>
      </c>
      <c r="I660" s="62" t="s">
        <v>81</v>
      </c>
      <c r="J660" s="64" t="n">
        <v>0</v>
      </c>
      <c r="K660" s="62" t="s">
        <v>138</v>
      </c>
      <c r="L660" s="68" t="b">
        <f aca="false">TRUE()</f>
        <v>1</v>
      </c>
    </row>
    <row r="661" customFormat="false" ht="15" hidden="false" customHeight="false" outlineLevel="0" collapsed="false">
      <c r="A661" s="62" t="n">
        <v>0</v>
      </c>
      <c r="B661" s="21" t="s">
        <v>336</v>
      </c>
      <c r="C661" s="62" t="s">
        <v>60</v>
      </c>
      <c r="D661" s="62" t="s">
        <v>383</v>
      </c>
      <c r="E661" s="62" t="s">
        <v>71</v>
      </c>
      <c r="F661" s="62" t="s">
        <v>382</v>
      </c>
      <c r="G661" s="63" t="s">
        <v>403</v>
      </c>
      <c r="H661" s="64" t="n">
        <v>0</v>
      </c>
      <c r="I661" s="62" t="s">
        <v>81</v>
      </c>
      <c r="J661" s="64" t="n">
        <v>0</v>
      </c>
      <c r="K661" s="62" t="s">
        <v>138</v>
      </c>
      <c r="L661" s="68" t="b">
        <f aca="false">TRUE()</f>
        <v>1</v>
      </c>
    </row>
    <row r="662" customFormat="false" ht="15" hidden="false" customHeight="false" outlineLevel="0" collapsed="false">
      <c r="A662" s="62" t="n">
        <v>0</v>
      </c>
      <c r="B662" s="21" t="s">
        <v>336</v>
      </c>
      <c r="C662" s="62" t="s">
        <v>60</v>
      </c>
      <c r="D662" s="62" t="s">
        <v>384</v>
      </c>
      <c r="E662" s="62" t="s">
        <v>71</v>
      </c>
      <c r="F662" s="62" t="s">
        <v>382</v>
      </c>
      <c r="G662" s="63" t="s">
        <v>403</v>
      </c>
      <c r="H662" s="64" t="n">
        <v>0</v>
      </c>
      <c r="I662" s="62" t="s">
        <v>81</v>
      </c>
      <c r="J662" s="64" t="n">
        <v>0</v>
      </c>
      <c r="K662" s="62" t="s">
        <v>138</v>
      </c>
      <c r="L662" s="68" t="b">
        <f aca="false">TRUE()</f>
        <v>1</v>
      </c>
    </row>
    <row r="663" customFormat="false" ht="15" hidden="false" customHeight="false" outlineLevel="0" collapsed="false">
      <c r="A663" s="62" t="n">
        <v>0</v>
      </c>
      <c r="B663" s="21" t="s">
        <v>336</v>
      </c>
      <c r="C663" s="62" t="s">
        <v>60</v>
      </c>
      <c r="D663" s="62" t="s">
        <v>385</v>
      </c>
      <c r="E663" s="62" t="s">
        <v>71</v>
      </c>
      <c r="F663" s="62" t="s">
        <v>382</v>
      </c>
      <c r="G663" s="63" t="s">
        <v>403</v>
      </c>
      <c r="H663" s="64" t="n">
        <v>0</v>
      </c>
      <c r="I663" s="62" t="s">
        <v>81</v>
      </c>
      <c r="J663" s="64" t="n">
        <v>0</v>
      </c>
      <c r="K663" s="62" t="s">
        <v>138</v>
      </c>
      <c r="L663" s="68" t="b">
        <f aca="false">TRUE()</f>
        <v>1</v>
      </c>
    </row>
    <row r="664" customFormat="false" ht="15" hidden="false" customHeight="false" outlineLevel="0" collapsed="false">
      <c r="A664" s="62" t="n">
        <v>0</v>
      </c>
      <c r="B664" s="21" t="s">
        <v>336</v>
      </c>
      <c r="C664" s="62" t="s">
        <v>60</v>
      </c>
      <c r="D664" s="62" t="s">
        <v>386</v>
      </c>
      <c r="E664" s="62" t="s">
        <v>71</v>
      </c>
      <c r="F664" s="62" t="s">
        <v>382</v>
      </c>
      <c r="G664" s="63" t="s">
        <v>403</v>
      </c>
      <c r="H664" s="64" t="n">
        <v>0</v>
      </c>
      <c r="I664" s="62" t="s">
        <v>81</v>
      </c>
      <c r="J664" s="64" t="n">
        <v>0</v>
      </c>
      <c r="K664" s="62" t="s">
        <v>138</v>
      </c>
      <c r="L664" s="68" t="b">
        <f aca="false">TRUE()</f>
        <v>1</v>
      </c>
    </row>
    <row r="665" customFormat="false" ht="15" hidden="false" customHeight="false" outlineLevel="0" collapsed="false">
      <c r="A665" s="62" t="n">
        <v>0</v>
      </c>
      <c r="B665" s="21" t="s">
        <v>336</v>
      </c>
      <c r="C665" s="62" t="s">
        <v>60</v>
      </c>
      <c r="D665" s="62" t="s">
        <v>387</v>
      </c>
      <c r="E665" s="62" t="s">
        <v>71</v>
      </c>
      <c r="F665" s="62" t="s">
        <v>382</v>
      </c>
      <c r="G665" s="63" t="s">
        <v>403</v>
      </c>
      <c r="H665" s="64" t="n">
        <v>0</v>
      </c>
      <c r="I665" s="62" t="s">
        <v>81</v>
      </c>
      <c r="J665" s="64" t="n">
        <v>0</v>
      </c>
      <c r="K665" s="62" t="s">
        <v>138</v>
      </c>
      <c r="L665" s="68" t="b">
        <f aca="false">TRUE()</f>
        <v>1</v>
      </c>
    </row>
    <row r="666" customFormat="false" ht="15" hidden="false" customHeight="false" outlineLevel="0" collapsed="false">
      <c r="A666" s="62" t="n">
        <v>0</v>
      </c>
      <c r="B666" s="21" t="s">
        <v>336</v>
      </c>
      <c r="C666" s="62" t="s">
        <v>60</v>
      </c>
      <c r="D666" s="62" t="s">
        <v>388</v>
      </c>
      <c r="E666" s="62" t="s">
        <v>71</v>
      </c>
      <c r="F666" s="62" t="s">
        <v>382</v>
      </c>
      <c r="G666" s="63" t="s">
        <v>403</v>
      </c>
      <c r="H666" s="64" t="n">
        <v>0</v>
      </c>
      <c r="I666" s="62" t="s">
        <v>81</v>
      </c>
      <c r="J666" s="64" t="n">
        <v>0</v>
      </c>
      <c r="K666" s="62" t="s">
        <v>138</v>
      </c>
      <c r="L666" s="68" t="b">
        <f aca="false">TRUE()</f>
        <v>1</v>
      </c>
    </row>
    <row r="667" customFormat="false" ht="15" hidden="false" customHeight="false" outlineLevel="0" collapsed="false">
      <c r="A667" s="62" t="n">
        <v>0</v>
      </c>
      <c r="B667" s="21" t="s">
        <v>336</v>
      </c>
      <c r="C667" s="62" t="s">
        <v>60</v>
      </c>
      <c r="D667" s="62" t="s">
        <v>381</v>
      </c>
      <c r="E667" s="62" t="s">
        <v>71</v>
      </c>
      <c r="F667" s="62" t="s">
        <v>382</v>
      </c>
      <c r="G667" s="63" t="s">
        <v>404</v>
      </c>
      <c r="H667" s="64" t="n">
        <v>11642843468.0256</v>
      </c>
      <c r="I667" s="62" t="s">
        <v>81</v>
      </c>
      <c r="J667" s="64" t="n">
        <v>11642843.4680256</v>
      </c>
      <c r="K667" s="62" t="s">
        <v>138</v>
      </c>
      <c r="L667" s="68" t="b">
        <f aca="false">TRUE()</f>
        <v>1</v>
      </c>
    </row>
    <row r="668" customFormat="false" ht="15" hidden="false" customHeight="false" outlineLevel="0" collapsed="false">
      <c r="A668" s="62" t="n">
        <v>0</v>
      </c>
      <c r="B668" s="21" t="s">
        <v>336</v>
      </c>
      <c r="C668" s="62" t="s">
        <v>60</v>
      </c>
      <c r="D668" s="62" t="s">
        <v>383</v>
      </c>
      <c r="E668" s="62" t="s">
        <v>71</v>
      </c>
      <c r="F668" s="62" t="s">
        <v>382</v>
      </c>
      <c r="G668" s="63" t="s">
        <v>404</v>
      </c>
      <c r="H668" s="64" t="n">
        <v>11642843468.0256</v>
      </c>
      <c r="I668" s="62" t="s">
        <v>81</v>
      </c>
      <c r="J668" s="64" t="n">
        <v>11642843.4680256</v>
      </c>
      <c r="K668" s="62" t="s">
        <v>138</v>
      </c>
      <c r="L668" s="68" t="b">
        <f aca="false">TRUE()</f>
        <v>1</v>
      </c>
    </row>
    <row r="669" customFormat="false" ht="15" hidden="false" customHeight="false" outlineLevel="0" collapsed="false">
      <c r="A669" s="62" t="n">
        <v>0</v>
      </c>
      <c r="B669" s="21" t="s">
        <v>336</v>
      </c>
      <c r="C669" s="62" t="s">
        <v>60</v>
      </c>
      <c r="D669" s="62" t="s">
        <v>384</v>
      </c>
      <c r="E669" s="62" t="s">
        <v>71</v>
      </c>
      <c r="F669" s="62" t="s">
        <v>382</v>
      </c>
      <c r="G669" s="63" t="s">
        <v>404</v>
      </c>
      <c r="H669" s="64" t="n">
        <v>11642843468.0256</v>
      </c>
      <c r="I669" s="62" t="s">
        <v>81</v>
      </c>
      <c r="J669" s="64" t="n">
        <v>11642843.4680256</v>
      </c>
      <c r="K669" s="62" t="s">
        <v>138</v>
      </c>
      <c r="L669" s="68" t="b">
        <f aca="false">TRUE()</f>
        <v>1</v>
      </c>
    </row>
    <row r="670" customFormat="false" ht="15" hidden="false" customHeight="false" outlineLevel="0" collapsed="false">
      <c r="A670" s="62" t="n">
        <v>0</v>
      </c>
      <c r="B670" s="21" t="s">
        <v>336</v>
      </c>
      <c r="C670" s="62" t="s">
        <v>60</v>
      </c>
      <c r="D670" s="62" t="s">
        <v>385</v>
      </c>
      <c r="E670" s="62" t="s">
        <v>71</v>
      </c>
      <c r="F670" s="62" t="s">
        <v>382</v>
      </c>
      <c r="G670" s="63" t="s">
        <v>404</v>
      </c>
      <c r="H670" s="64" t="n">
        <v>11642843468.0256</v>
      </c>
      <c r="I670" s="62" t="s">
        <v>81</v>
      </c>
      <c r="J670" s="64" t="n">
        <v>11642843.4680256</v>
      </c>
      <c r="K670" s="62" t="s">
        <v>138</v>
      </c>
      <c r="L670" s="68" t="b">
        <f aca="false">TRUE()</f>
        <v>1</v>
      </c>
    </row>
    <row r="671" customFormat="false" ht="15" hidden="false" customHeight="false" outlineLevel="0" collapsed="false">
      <c r="A671" s="62" t="n">
        <v>0</v>
      </c>
      <c r="B671" s="21" t="s">
        <v>336</v>
      </c>
      <c r="C671" s="62" t="s">
        <v>60</v>
      </c>
      <c r="D671" s="62" t="s">
        <v>386</v>
      </c>
      <c r="E671" s="62" t="s">
        <v>71</v>
      </c>
      <c r="F671" s="62" t="s">
        <v>382</v>
      </c>
      <c r="G671" s="63" t="s">
        <v>404</v>
      </c>
      <c r="H671" s="64" t="n">
        <v>11642843468.0256</v>
      </c>
      <c r="I671" s="62" t="s">
        <v>81</v>
      </c>
      <c r="J671" s="64" t="n">
        <v>11642843.4680256</v>
      </c>
      <c r="K671" s="62" t="s">
        <v>138</v>
      </c>
      <c r="L671" s="68" t="b">
        <f aca="false">TRUE()</f>
        <v>1</v>
      </c>
    </row>
    <row r="672" customFormat="false" ht="15" hidden="false" customHeight="false" outlineLevel="0" collapsed="false">
      <c r="A672" s="62" t="n">
        <v>0</v>
      </c>
      <c r="B672" s="21" t="s">
        <v>336</v>
      </c>
      <c r="C672" s="62" t="s">
        <v>60</v>
      </c>
      <c r="D672" s="62" t="s">
        <v>387</v>
      </c>
      <c r="E672" s="62" t="s">
        <v>71</v>
      </c>
      <c r="F672" s="62" t="s">
        <v>382</v>
      </c>
      <c r="G672" s="63" t="s">
        <v>404</v>
      </c>
      <c r="H672" s="64" t="n">
        <v>11642843468.0256</v>
      </c>
      <c r="I672" s="62" t="s">
        <v>81</v>
      </c>
      <c r="J672" s="64" t="n">
        <v>11642843.4680256</v>
      </c>
      <c r="K672" s="62" t="s">
        <v>138</v>
      </c>
      <c r="L672" s="68" t="b">
        <f aca="false">TRUE()</f>
        <v>1</v>
      </c>
    </row>
    <row r="673" customFormat="false" ht="15" hidden="false" customHeight="false" outlineLevel="0" collapsed="false">
      <c r="A673" s="62" t="n">
        <v>0</v>
      </c>
      <c r="B673" s="21" t="s">
        <v>336</v>
      </c>
      <c r="C673" s="62" t="s">
        <v>60</v>
      </c>
      <c r="D673" s="62" t="s">
        <v>388</v>
      </c>
      <c r="E673" s="62" t="s">
        <v>71</v>
      </c>
      <c r="F673" s="62" t="s">
        <v>382</v>
      </c>
      <c r="G673" s="63" t="s">
        <v>404</v>
      </c>
      <c r="H673" s="64" t="n">
        <v>11642843468.0256</v>
      </c>
      <c r="I673" s="62" t="s">
        <v>81</v>
      </c>
      <c r="J673" s="64" t="n">
        <v>11642843.4680256</v>
      </c>
      <c r="K673" s="62" t="s">
        <v>138</v>
      </c>
      <c r="L673" s="68" t="b">
        <f aca="false">TRUE()</f>
        <v>1</v>
      </c>
    </row>
    <row r="674" customFormat="false" ht="15" hidden="false" customHeight="false" outlineLevel="0" collapsed="false">
      <c r="A674" s="62" t="n">
        <v>0</v>
      </c>
      <c r="B674" s="21" t="s">
        <v>336</v>
      </c>
      <c r="C674" s="62" t="s">
        <v>60</v>
      </c>
      <c r="D674" s="62" t="s">
        <v>381</v>
      </c>
      <c r="E674" s="62" t="s">
        <v>71</v>
      </c>
      <c r="F674" s="62" t="s">
        <v>382</v>
      </c>
      <c r="G674" s="63" t="s">
        <v>405</v>
      </c>
      <c r="H674" s="64" t="n">
        <v>834664709.801374</v>
      </c>
      <c r="I674" s="62" t="s">
        <v>81</v>
      </c>
      <c r="J674" s="64" t="n">
        <v>834664.709801374</v>
      </c>
      <c r="K674" s="62" t="s">
        <v>138</v>
      </c>
      <c r="L674" s="68" t="b">
        <f aca="false">TRUE()</f>
        <v>1</v>
      </c>
    </row>
    <row r="675" customFormat="false" ht="15" hidden="false" customHeight="false" outlineLevel="0" collapsed="false">
      <c r="A675" s="62" t="n">
        <v>0</v>
      </c>
      <c r="B675" s="21" t="s">
        <v>336</v>
      </c>
      <c r="C675" s="62" t="s">
        <v>60</v>
      </c>
      <c r="D675" s="62" t="s">
        <v>383</v>
      </c>
      <c r="E675" s="62" t="s">
        <v>71</v>
      </c>
      <c r="F675" s="62" t="s">
        <v>382</v>
      </c>
      <c r="G675" s="63" t="s">
        <v>405</v>
      </c>
      <c r="H675" s="64" t="n">
        <v>834664709.801374</v>
      </c>
      <c r="I675" s="62" t="s">
        <v>81</v>
      </c>
      <c r="J675" s="64" t="n">
        <v>834664.709801374</v>
      </c>
      <c r="K675" s="62" t="s">
        <v>138</v>
      </c>
      <c r="L675" s="68" t="b">
        <f aca="false">TRUE()</f>
        <v>1</v>
      </c>
    </row>
    <row r="676" customFormat="false" ht="15" hidden="false" customHeight="false" outlineLevel="0" collapsed="false">
      <c r="A676" s="62" t="n">
        <v>0</v>
      </c>
      <c r="B676" s="21" t="s">
        <v>336</v>
      </c>
      <c r="C676" s="62" t="s">
        <v>60</v>
      </c>
      <c r="D676" s="62" t="s">
        <v>384</v>
      </c>
      <c r="E676" s="62" t="s">
        <v>71</v>
      </c>
      <c r="F676" s="62" t="s">
        <v>382</v>
      </c>
      <c r="G676" s="63" t="s">
        <v>405</v>
      </c>
      <c r="H676" s="64" t="n">
        <v>834664709.801374</v>
      </c>
      <c r="I676" s="62" t="s">
        <v>81</v>
      </c>
      <c r="J676" s="64" t="n">
        <v>834664.709801374</v>
      </c>
      <c r="K676" s="62" t="s">
        <v>138</v>
      </c>
      <c r="L676" s="68" t="b">
        <f aca="false">TRUE()</f>
        <v>1</v>
      </c>
    </row>
    <row r="677" customFormat="false" ht="15" hidden="false" customHeight="false" outlineLevel="0" collapsed="false">
      <c r="A677" s="62" t="n">
        <v>0</v>
      </c>
      <c r="B677" s="21" t="s">
        <v>336</v>
      </c>
      <c r="C677" s="62" t="s">
        <v>60</v>
      </c>
      <c r="D677" s="62" t="s">
        <v>385</v>
      </c>
      <c r="E677" s="62" t="s">
        <v>71</v>
      </c>
      <c r="F677" s="62" t="s">
        <v>382</v>
      </c>
      <c r="G677" s="63" t="s">
        <v>405</v>
      </c>
      <c r="H677" s="64" t="n">
        <v>834664709.801374</v>
      </c>
      <c r="I677" s="62" t="s">
        <v>81</v>
      </c>
      <c r="J677" s="64" t="n">
        <v>834664.709801374</v>
      </c>
      <c r="K677" s="62" t="s">
        <v>138</v>
      </c>
      <c r="L677" s="68" t="b">
        <f aca="false">TRUE()</f>
        <v>1</v>
      </c>
    </row>
    <row r="678" customFormat="false" ht="15" hidden="false" customHeight="false" outlineLevel="0" collapsed="false">
      <c r="A678" s="62" t="n">
        <v>0</v>
      </c>
      <c r="B678" s="21" t="s">
        <v>336</v>
      </c>
      <c r="C678" s="62" t="s">
        <v>60</v>
      </c>
      <c r="D678" s="62" t="s">
        <v>386</v>
      </c>
      <c r="E678" s="62" t="s">
        <v>71</v>
      </c>
      <c r="F678" s="62" t="s">
        <v>382</v>
      </c>
      <c r="G678" s="63" t="s">
        <v>405</v>
      </c>
      <c r="H678" s="64" t="n">
        <v>834664709.801374</v>
      </c>
      <c r="I678" s="62" t="s">
        <v>81</v>
      </c>
      <c r="J678" s="64" t="n">
        <v>834664.709801374</v>
      </c>
      <c r="K678" s="62" t="s">
        <v>138</v>
      </c>
      <c r="L678" s="68" t="b">
        <f aca="false">TRUE()</f>
        <v>1</v>
      </c>
    </row>
    <row r="679" customFormat="false" ht="15" hidden="false" customHeight="false" outlineLevel="0" collapsed="false">
      <c r="A679" s="62" t="n">
        <v>0</v>
      </c>
      <c r="B679" s="21" t="s">
        <v>336</v>
      </c>
      <c r="C679" s="62" t="s">
        <v>60</v>
      </c>
      <c r="D679" s="62" t="s">
        <v>387</v>
      </c>
      <c r="E679" s="62" t="s">
        <v>71</v>
      </c>
      <c r="F679" s="62" t="s">
        <v>382</v>
      </c>
      <c r="G679" s="63" t="s">
        <v>405</v>
      </c>
      <c r="H679" s="64" t="n">
        <v>834664709.801374</v>
      </c>
      <c r="I679" s="62" t="s">
        <v>81</v>
      </c>
      <c r="J679" s="64" t="n">
        <v>834664.709801374</v>
      </c>
      <c r="K679" s="62" t="s">
        <v>138</v>
      </c>
      <c r="L679" s="68" t="b">
        <f aca="false">TRUE()</f>
        <v>1</v>
      </c>
    </row>
    <row r="680" customFormat="false" ht="15" hidden="false" customHeight="false" outlineLevel="0" collapsed="false">
      <c r="A680" s="62" t="n">
        <v>0</v>
      </c>
      <c r="B680" s="21" t="s">
        <v>336</v>
      </c>
      <c r="C680" s="62" t="s">
        <v>60</v>
      </c>
      <c r="D680" s="62" t="s">
        <v>388</v>
      </c>
      <c r="E680" s="62" t="s">
        <v>71</v>
      </c>
      <c r="F680" s="62" t="s">
        <v>382</v>
      </c>
      <c r="G680" s="63" t="s">
        <v>405</v>
      </c>
      <c r="H680" s="64" t="n">
        <v>834664709.801374</v>
      </c>
      <c r="I680" s="62" t="s">
        <v>81</v>
      </c>
      <c r="J680" s="64" t="n">
        <v>834664.709801374</v>
      </c>
      <c r="K680" s="62" t="s">
        <v>138</v>
      </c>
      <c r="L680" s="68" t="b">
        <f aca="false">TRUE()</f>
        <v>1</v>
      </c>
    </row>
    <row r="681" customFormat="false" ht="15" hidden="false" customHeight="false" outlineLevel="0" collapsed="false">
      <c r="A681" s="62" t="n">
        <v>0</v>
      </c>
      <c r="B681" s="21" t="s">
        <v>336</v>
      </c>
      <c r="C681" s="62" t="s">
        <v>60</v>
      </c>
      <c r="D681" s="62" t="s">
        <v>381</v>
      </c>
      <c r="E681" s="62" t="s">
        <v>71</v>
      </c>
      <c r="F681" s="62" t="s">
        <v>382</v>
      </c>
      <c r="G681" s="63" t="s">
        <v>406</v>
      </c>
      <c r="H681" s="64" t="n">
        <v>198065400</v>
      </c>
      <c r="I681" s="62" t="s">
        <v>81</v>
      </c>
      <c r="J681" s="64" t="n">
        <v>198065.4</v>
      </c>
      <c r="K681" s="62" t="s">
        <v>138</v>
      </c>
      <c r="L681" s="68" t="b">
        <f aca="false">TRUE()</f>
        <v>1</v>
      </c>
    </row>
    <row r="682" customFormat="false" ht="15" hidden="false" customHeight="false" outlineLevel="0" collapsed="false">
      <c r="A682" s="62" t="n">
        <v>0</v>
      </c>
      <c r="B682" s="21" t="s">
        <v>336</v>
      </c>
      <c r="C682" s="62" t="s">
        <v>60</v>
      </c>
      <c r="D682" s="62" t="s">
        <v>383</v>
      </c>
      <c r="E682" s="62" t="s">
        <v>71</v>
      </c>
      <c r="F682" s="62" t="s">
        <v>382</v>
      </c>
      <c r="G682" s="63" t="s">
        <v>406</v>
      </c>
      <c r="H682" s="64" t="n">
        <v>198065400</v>
      </c>
      <c r="I682" s="62" t="s">
        <v>81</v>
      </c>
      <c r="J682" s="64" t="n">
        <v>198065.4</v>
      </c>
      <c r="K682" s="62" t="s">
        <v>138</v>
      </c>
      <c r="L682" s="68" t="b">
        <f aca="false">TRUE()</f>
        <v>1</v>
      </c>
    </row>
    <row r="683" customFormat="false" ht="15" hidden="false" customHeight="false" outlineLevel="0" collapsed="false">
      <c r="A683" s="62" t="n">
        <v>0</v>
      </c>
      <c r="B683" s="21" t="s">
        <v>336</v>
      </c>
      <c r="C683" s="62" t="s">
        <v>60</v>
      </c>
      <c r="D683" s="62" t="s">
        <v>384</v>
      </c>
      <c r="E683" s="62" t="s">
        <v>71</v>
      </c>
      <c r="F683" s="62" t="s">
        <v>382</v>
      </c>
      <c r="G683" s="63" t="s">
        <v>406</v>
      </c>
      <c r="H683" s="64" t="n">
        <v>198065400</v>
      </c>
      <c r="I683" s="62" t="s">
        <v>81</v>
      </c>
      <c r="J683" s="64" t="n">
        <v>198065.4</v>
      </c>
      <c r="K683" s="62" t="s">
        <v>138</v>
      </c>
      <c r="L683" s="68" t="b">
        <f aca="false">TRUE()</f>
        <v>1</v>
      </c>
    </row>
    <row r="684" customFormat="false" ht="15" hidden="false" customHeight="false" outlineLevel="0" collapsed="false">
      <c r="A684" s="62" t="n">
        <v>0</v>
      </c>
      <c r="B684" s="21" t="s">
        <v>336</v>
      </c>
      <c r="C684" s="62" t="s">
        <v>60</v>
      </c>
      <c r="D684" s="62" t="s">
        <v>385</v>
      </c>
      <c r="E684" s="62" t="s">
        <v>71</v>
      </c>
      <c r="F684" s="62" t="s">
        <v>382</v>
      </c>
      <c r="G684" s="63" t="s">
        <v>406</v>
      </c>
      <c r="H684" s="64" t="n">
        <v>198065400</v>
      </c>
      <c r="I684" s="62" t="s">
        <v>81</v>
      </c>
      <c r="J684" s="64" t="n">
        <v>198065.4</v>
      </c>
      <c r="K684" s="62" t="s">
        <v>138</v>
      </c>
      <c r="L684" s="68" t="b">
        <f aca="false">TRUE()</f>
        <v>1</v>
      </c>
    </row>
    <row r="685" customFormat="false" ht="15" hidden="false" customHeight="false" outlineLevel="0" collapsed="false">
      <c r="A685" s="62" t="n">
        <v>0</v>
      </c>
      <c r="B685" s="21" t="s">
        <v>336</v>
      </c>
      <c r="C685" s="62" t="s">
        <v>60</v>
      </c>
      <c r="D685" s="62" t="s">
        <v>386</v>
      </c>
      <c r="E685" s="62" t="s">
        <v>71</v>
      </c>
      <c r="F685" s="62" t="s">
        <v>382</v>
      </c>
      <c r="G685" s="63" t="s">
        <v>406</v>
      </c>
      <c r="H685" s="64" t="n">
        <v>198065400</v>
      </c>
      <c r="I685" s="62" t="s">
        <v>81</v>
      </c>
      <c r="J685" s="64" t="n">
        <v>198065.4</v>
      </c>
      <c r="K685" s="62" t="s">
        <v>138</v>
      </c>
      <c r="L685" s="68" t="b">
        <f aca="false">TRUE()</f>
        <v>1</v>
      </c>
    </row>
    <row r="686" customFormat="false" ht="15" hidden="false" customHeight="false" outlineLevel="0" collapsed="false">
      <c r="A686" s="62" t="n">
        <v>0</v>
      </c>
      <c r="B686" s="21" t="s">
        <v>336</v>
      </c>
      <c r="C686" s="62" t="s">
        <v>60</v>
      </c>
      <c r="D686" s="62" t="s">
        <v>387</v>
      </c>
      <c r="E686" s="62" t="s">
        <v>71</v>
      </c>
      <c r="F686" s="62" t="s">
        <v>382</v>
      </c>
      <c r="G686" s="63" t="s">
        <v>406</v>
      </c>
      <c r="H686" s="64" t="n">
        <v>198065400</v>
      </c>
      <c r="I686" s="62" t="s">
        <v>81</v>
      </c>
      <c r="J686" s="64" t="n">
        <v>198065.4</v>
      </c>
      <c r="K686" s="62" t="s">
        <v>138</v>
      </c>
      <c r="L686" s="68" t="b">
        <f aca="false">TRUE()</f>
        <v>1</v>
      </c>
    </row>
    <row r="687" customFormat="false" ht="15" hidden="false" customHeight="false" outlineLevel="0" collapsed="false">
      <c r="A687" s="62" t="n">
        <v>0</v>
      </c>
      <c r="B687" s="21" t="s">
        <v>336</v>
      </c>
      <c r="C687" s="62" t="s">
        <v>60</v>
      </c>
      <c r="D687" s="62" t="s">
        <v>388</v>
      </c>
      <c r="E687" s="62" t="s">
        <v>71</v>
      </c>
      <c r="F687" s="62" t="s">
        <v>382</v>
      </c>
      <c r="G687" s="63" t="s">
        <v>406</v>
      </c>
      <c r="H687" s="64" t="n">
        <v>198065400</v>
      </c>
      <c r="I687" s="62" t="s">
        <v>81</v>
      </c>
      <c r="J687" s="64" t="n">
        <v>198065.4</v>
      </c>
      <c r="K687" s="62" t="s">
        <v>138</v>
      </c>
      <c r="L687" s="68" t="b">
        <f aca="false">TRUE()</f>
        <v>1</v>
      </c>
    </row>
    <row r="688" customFormat="false" ht="15" hidden="false" customHeight="false" outlineLevel="0" collapsed="false">
      <c r="A688" s="62" t="n">
        <v>0</v>
      </c>
      <c r="B688" s="21" t="s">
        <v>336</v>
      </c>
      <c r="C688" s="62" t="s">
        <v>60</v>
      </c>
      <c r="D688" s="62" t="s">
        <v>381</v>
      </c>
      <c r="E688" s="62" t="s">
        <v>71</v>
      </c>
      <c r="F688" s="62" t="s">
        <v>382</v>
      </c>
      <c r="G688" s="63" t="s">
        <v>407</v>
      </c>
      <c r="H688" s="64" t="n">
        <v>636599309.801374</v>
      </c>
      <c r="I688" s="62" t="s">
        <v>81</v>
      </c>
      <c r="J688" s="64" t="n">
        <v>636599.309801374</v>
      </c>
      <c r="K688" s="62" t="s">
        <v>138</v>
      </c>
      <c r="L688" s="68" t="b">
        <f aca="false">TRUE()</f>
        <v>1</v>
      </c>
    </row>
    <row r="689" customFormat="false" ht="15" hidden="false" customHeight="false" outlineLevel="0" collapsed="false">
      <c r="A689" s="62" t="n">
        <v>0</v>
      </c>
      <c r="B689" s="21" t="s">
        <v>336</v>
      </c>
      <c r="C689" s="62" t="s">
        <v>60</v>
      </c>
      <c r="D689" s="62" t="s">
        <v>383</v>
      </c>
      <c r="E689" s="62" t="s">
        <v>71</v>
      </c>
      <c r="F689" s="62" t="s">
        <v>382</v>
      </c>
      <c r="G689" s="63" t="s">
        <v>407</v>
      </c>
      <c r="H689" s="64" t="n">
        <v>636599309.801374</v>
      </c>
      <c r="I689" s="62" t="s">
        <v>81</v>
      </c>
      <c r="J689" s="64" t="n">
        <v>636599.309801374</v>
      </c>
      <c r="K689" s="62" t="s">
        <v>138</v>
      </c>
      <c r="L689" s="68" t="b">
        <f aca="false">TRUE()</f>
        <v>1</v>
      </c>
    </row>
    <row r="690" customFormat="false" ht="15" hidden="false" customHeight="false" outlineLevel="0" collapsed="false">
      <c r="A690" s="62" t="n">
        <v>0</v>
      </c>
      <c r="B690" s="21" t="s">
        <v>336</v>
      </c>
      <c r="C690" s="62" t="s">
        <v>60</v>
      </c>
      <c r="D690" s="62" t="s">
        <v>384</v>
      </c>
      <c r="E690" s="62" t="s">
        <v>71</v>
      </c>
      <c r="F690" s="62" t="s">
        <v>382</v>
      </c>
      <c r="G690" s="63" t="s">
        <v>407</v>
      </c>
      <c r="H690" s="64" t="n">
        <v>636599309.801374</v>
      </c>
      <c r="I690" s="62" t="s">
        <v>81</v>
      </c>
      <c r="J690" s="64" t="n">
        <v>636599.309801374</v>
      </c>
      <c r="K690" s="62" t="s">
        <v>138</v>
      </c>
      <c r="L690" s="68" t="b">
        <f aca="false">TRUE()</f>
        <v>1</v>
      </c>
    </row>
    <row r="691" customFormat="false" ht="15" hidden="false" customHeight="false" outlineLevel="0" collapsed="false">
      <c r="A691" s="62" t="n">
        <v>0</v>
      </c>
      <c r="B691" s="21" t="s">
        <v>336</v>
      </c>
      <c r="C691" s="62" t="s">
        <v>60</v>
      </c>
      <c r="D691" s="62" t="s">
        <v>385</v>
      </c>
      <c r="E691" s="62" t="s">
        <v>71</v>
      </c>
      <c r="F691" s="62" t="s">
        <v>382</v>
      </c>
      <c r="G691" s="63" t="s">
        <v>407</v>
      </c>
      <c r="H691" s="64" t="n">
        <v>636599309.801374</v>
      </c>
      <c r="I691" s="62" t="s">
        <v>81</v>
      </c>
      <c r="J691" s="64" t="n">
        <v>636599.309801374</v>
      </c>
      <c r="K691" s="62" t="s">
        <v>138</v>
      </c>
      <c r="L691" s="68" t="b">
        <f aca="false">TRUE()</f>
        <v>1</v>
      </c>
    </row>
    <row r="692" customFormat="false" ht="15" hidden="false" customHeight="false" outlineLevel="0" collapsed="false">
      <c r="A692" s="62" t="n">
        <v>0</v>
      </c>
      <c r="B692" s="21" t="s">
        <v>336</v>
      </c>
      <c r="C692" s="62" t="s">
        <v>60</v>
      </c>
      <c r="D692" s="62" t="s">
        <v>386</v>
      </c>
      <c r="E692" s="62" t="s">
        <v>71</v>
      </c>
      <c r="F692" s="62" t="s">
        <v>382</v>
      </c>
      <c r="G692" s="63" t="s">
        <v>407</v>
      </c>
      <c r="H692" s="64" t="n">
        <v>636599309.801374</v>
      </c>
      <c r="I692" s="62" t="s">
        <v>81</v>
      </c>
      <c r="J692" s="64" t="n">
        <v>636599.309801374</v>
      </c>
      <c r="K692" s="62" t="s">
        <v>138</v>
      </c>
      <c r="L692" s="68" t="b">
        <f aca="false">TRUE()</f>
        <v>1</v>
      </c>
    </row>
    <row r="693" customFormat="false" ht="15" hidden="false" customHeight="false" outlineLevel="0" collapsed="false">
      <c r="A693" s="62" t="n">
        <v>0</v>
      </c>
      <c r="B693" s="21" t="s">
        <v>336</v>
      </c>
      <c r="C693" s="62" t="s">
        <v>60</v>
      </c>
      <c r="D693" s="62" t="s">
        <v>387</v>
      </c>
      <c r="E693" s="62" t="s">
        <v>71</v>
      </c>
      <c r="F693" s="62" t="s">
        <v>382</v>
      </c>
      <c r="G693" s="63" t="s">
        <v>407</v>
      </c>
      <c r="H693" s="64" t="n">
        <v>636599309.801374</v>
      </c>
      <c r="I693" s="62" t="s">
        <v>81</v>
      </c>
      <c r="J693" s="64" t="n">
        <v>636599.309801374</v>
      </c>
      <c r="K693" s="62" t="s">
        <v>138</v>
      </c>
      <c r="L693" s="68" t="b">
        <f aca="false">TRUE()</f>
        <v>1</v>
      </c>
    </row>
    <row r="694" customFormat="false" ht="15" hidden="false" customHeight="false" outlineLevel="0" collapsed="false">
      <c r="A694" s="62" t="n">
        <v>0</v>
      </c>
      <c r="B694" s="21" t="s">
        <v>336</v>
      </c>
      <c r="C694" s="62" t="s">
        <v>60</v>
      </c>
      <c r="D694" s="62" t="s">
        <v>388</v>
      </c>
      <c r="E694" s="62" t="s">
        <v>71</v>
      </c>
      <c r="F694" s="62" t="s">
        <v>382</v>
      </c>
      <c r="G694" s="63" t="s">
        <v>407</v>
      </c>
      <c r="H694" s="64" t="n">
        <v>636599309.801374</v>
      </c>
      <c r="I694" s="62" t="s">
        <v>81</v>
      </c>
      <c r="J694" s="64" t="n">
        <v>636599.309801374</v>
      </c>
      <c r="K694" s="62" t="s">
        <v>138</v>
      </c>
      <c r="L694" s="68" t="b">
        <f aca="false">TRUE()</f>
        <v>1</v>
      </c>
    </row>
    <row r="695" customFormat="false" ht="15" hidden="false" customHeight="false" outlineLevel="0" collapsed="false">
      <c r="A695" s="62" t="n">
        <v>0</v>
      </c>
      <c r="B695" s="21" t="s">
        <v>336</v>
      </c>
      <c r="C695" s="62" t="s">
        <v>60</v>
      </c>
      <c r="D695" s="62" t="s">
        <v>381</v>
      </c>
      <c r="E695" s="62" t="s">
        <v>71</v>
      </c>
      <c r="F695" s="62" t="s">
        <v>382</v>
      </c>
      <c r="G695" s="63" t="s">
        <v>408</v>
      </c>
      <c r="H695" s="64" t="n">
        <v>119424995.069532</v>
      </c>
      <c r="I695" s="62" t="s">
        <v>81</v>
      </c>
      <c r="J695" s="64" t="n">
        <v>119424.995069532</v>
      </c>
      <c r="K695" s="62" t="s">
        <v>138</v>
      </c>
      <c r="L695" s="68" t="b">
        <f aca="false">TRUE()</f>
        <v>1</v>
      </c>
    </row>
    <row r="696" customFormat="false" ht="15" hidden="false" customHeight="false" outlineLevel="0" collapsed="false">
      <c r="A696" s="62" t="n">
        <v>0</v>
      </c>
      <c r="B696" s="21" t="s">
        <v>336</v>
      </c>
      <c r="C696" s="62" t="s">
        <v>60</v>
      </c>
      <c r="D696" s="62" t="s">
        <v>383</v>
      </c>
      <c r="E696" s="62" t="s">
        <v>71</v>
      </c>
      <c r="F696" s="62" t="s">
        <v>382</v>
      </c>
      <c r="G696" s="63" t="s">
        <v>408</v>
      </c>
      <c r="H696" s="64" t="n">
        <v>119424995.069532</v>
      </c>
      <c r="I696" s="62" t="s">
        <v>81</v>
      </c>
      <c r="J696" s="64" t="n">
        <v>119424.995069532</v>
      </c>
      <c r="K696" s="62" t="s">
        <v>138</v>
      </c>
      <c r="L696" s="68" t="b">
        <f aca="false">TRUE()</f>
        <v>1</v>
      </c>
    </row>
    <row r="697" customFormat="false" ht="15" hidden="false" customHeight="false" outlineLevel="0" collapsed="false">
      <c r="A697" s="62" t="n">
        <v>0</v>
      </c>
      <c r="B697" s="21" t="s">
        <v>336</v>
      </c>
      <c r="C697" s="62" t="s">
        <v>60</v>
      </c>
      <c r="D697" s="62" t="s">
        <v>384</v>
      </c>
      <c r="E697" s="62" t="s">
        <v>71</v>
      </c>
      <c r="F697" s="62" t="s">
        <v>382</v>
      </c>
      <c r="G697" s="63" t="s">
        <v>408</v>
      </c>
      <c r="H697" s="64" t="n">
        <v>119424995.069532</v>
      </c>
      <c r="I697" s="62" t="s">
        <v>81</v>
      </c>
      <c r="J697" s="64" t="n">
        <v>119424.995069532</v>
      </c>
      <c r="K697" s="62" t="s">
        <v>138</v>
      </c>
      <c r="L697" s="68" t="b">
        <f aca="false">TRUE()</f>
        <v>1</v>
      </c>
    </row>
    <row r="698" customFormat="false" ht="15" hidden="false" customHeight="false" outlineLevel="0" collapsed="false">
      <c r="A698" s="62" t="n">
        <v>0</v>
      </c>
      <c r="B698" s="21" t="s">
        <v>336</v>
      </c>
      <c r="C698" s="62" t="s">
        <v>60</v>
      </c>
      <c r="D698" s="62" t="s">
        <v>385</v>
      </c>
      <c r="E698" s="62" t="s">
        <v>71</v>
      </c>
      <c r="F698" s="62" t="s">
        <v>382</v>
      </c>
      <c r="G698" s="63" t="s">
        <v>408</v>
      </c>
      <c r="H698" s="64" t="n">
        <v>119424995.069532</v>
      </c>
      <c r="I698" s="62" t="s">
        <v>81</v>
      </c>
      <c r="J698" s="64" t="n">
        <v>119424.995069532</v>
      </c>
      <c r="K698" s="62" t="s">
        <v>138</v>
      </c>
      <c r="L698" s="68" t="b">
        <f aca="false">TRUE()</f>
        <v>1</v>
      </c>
    </row>
    <row r="699" customFormat="false" ht="15" hidden="false" customHeight="false" outlineLevel="0" collapsed="false">
      <c r="A699" s="62" t="n">
        <v>0</v>
      </c>
      <c r="B699" s="21" t="s">
        <v>336</v>
      </c>
      <c r="C699" s="62" t="s">
        <v>60</v>
      </c>
      <c r="D699" s="62" t="s">
        <v>386</v>
      </c>
      <c r="E699" s="62" t="s">
        <v>71</v>
      </c>
      <c r="F699" s="62" t="s">
        <v>382</v>
      </c>
      <c r="G699" s="63" t="s">
        <v>408</v>
      </c>
      <c r="H699" s="64" t="n">
        <v>119424995.069532</v>
      </c>
      <c r="I699" s="62" t="s">
        <v>81</v>
      </c>
      <c r="J699" s="64" t="n">
        <v>119424.995069532</v>
      </c>
      <c r="K699" s="62" t="s">
        <v>138</v>
      </c>
      <c r="L699" s="68" t="b">
        <f aca="false">TRUE()</f>
        <v>1</v>
      </c>
    </row>
    <row r="700" customFormat="false" ht="15" hidden="false" customHeight="false" outlineLevel="0" collapsed="false">
      <c r="A700" s="62" t="n">
        <v>0</v>
      </c>
      <c r="B700" s="21" t="s">
        <v>336</v>
      </c>
      <c r="C700" s="62" t="s">
        <v>60</v>
      </c>
      <c r="D700" s="62" t="s">
        <v>387</v>
      </c>
      <c r="E700" s="62" t="s">
        <v>71</v>
      </c>
      <c r="F700" s="62" t="s">
        <v>382</v>
      </c>
      <c r="G700" s="63" t="s">
        <v>408</v>
      </c>
      <c r="H700" s="64" t="n">
        <v>119424995.069532</v>
      </c>
      <c r="I700" s="62" t="s">
        <v>81</v>
      </c>
      <c r="J700" s="64" t="n">
        <v>119424.995069532</v>
      </c>
      <c r="K700" s="62" t="s">
        <v>138</v>
      </c>
      <c r="L700" s="68" t="b">
        <f aca="false">TRUE()</f>
        <v>1</v>
      </c>
    </row>
    <row r="701" customFormat="false" ht="15" hidden="false" customHeight="false" outlineLevel="0" collapsed="false">
      <c r="A701" s="62" t="n">
        <v>0</v>
      </c>
      <c r="B701" s="21" t="s">
        <v>336</v>
      </c>
      <c r="C701" s="62" t="s">
        <v>60</v>
      </c>
      <c r="D701" s="62" t="s">
        <v>388</v>
      </c>
      <c r="E701" s="62" t="s">
        <v>71</v>
      </c>
      <c r="F701" s="62" t="s">
        <v>382</v>
      </c>
      <c r="G701" s="63" t="s">
        <v>408</v>
      </c>
      <c r="H701" s="64" t="n">
        <v>119424995.069532</v>
      </c>
      <c r="I701" s="62" t="s">
        <v>81</v>
      </c>
      <c r="J701" s="64" t="n">
        <v>119424.995069532</v>
      </c>
      <c r="K701" s="62" t="s">
        <v>138</v>
      </c>
      <c r="L701" s="68" t="b">
        <f aca="false">TRUE()</f>
        <v>1</v>
      </c>
    </row>
    <row r="702" customFormat="false" ht="15" hidden="false" customHeight="false" outlineLevel="0" collapsed="false">
      <c r="A702" s="62" t="n">
        <v>0</v>
      </c>
      <c r="B702" s="21" t="s">
        <v>336</v>
      </c>
      <c r="C702" s="62" t="s">
        <v>60</v>
      </c>
      <c r="D702" s="62" t="s">
        <v>381</v>
      </c>
      <c r="E702" s="62" t="s">
        <v>71</v>
      </c>
      <c r="F702" s="62" t="s">
        <v>382</v>
      </c>
      <c r="G702" s="63" t="s">
        <v>409</v>
      </c>
      <c r="H702" s="64" t="n">
        <v>517174314.731842</v>
      </c>
      <c r="I702" s="62" t="s">
        <v>81</v>
      </c>
      <c r="J702" s="64" t="n">
        <v>517174.314731842</v>
      </c>
      <c r="K702" s="62" t="s">
        <v>138</v>
      </c>
      <c r="L702" s="68" t="b">
        <f aca="false">TRUE()</f>
        <v>1</v>
      </c>
    </row>
    <row r="703" customFormat="false" ht="15" hidden="false" customHeight="false" outlineLevel="0" collapsed="false">
      <c r="A703" s="62" t="n">
        <v>0</v>
      </c>
      <c r="B703" s="21" t="s">
        <v>336</v>
      </c>
      <c r="C703" s="62" t="s">
        <v>60</v>
      </c>
      <c r="D703" s="62" t="s">
        <v>383</v>
      </c>
      <c r="E703" s="62" t="s">
        <v>71</v>
      </c>
      <c r="F703" s="62" t="s">
        <v>382</v>
      </c>
      <c r="G703" s="63" t="s">
        <v>409</v>
      </c>
      <c r="H703" s="64" t="n">
        <v>517174314.731842</v>
      </c>
      <c r="I703" s="62" t="s">
        <v>81</v>
      </c>
      <c r="J703" s="64" t="n">
        <v>517174.314731842</v>
      </c>
      <c r="K703" s="62" t="s">
        <v>138</v>
      </c>
      <c r="L703" s="68" t="b">
        <f aca="false">TRUE()</f>
        <v>1</v>
      </c>
    </row>
    <row r="704" customFormat="false" ht="15" hidden="false" customHeight="false" outlineLevel="0" collapsed="false">
      <c r="A704" s="62" t="n">
        <v>0</v>
      </c>
      <c r="B704" s="21" t="s">
        <v>336</v>
      </c>
      <c r="C704" s="62" t="s">
        <v>60</v>
      </c>
      <c r="D704" s="62" t="s">
        <v>384</v>
      </c>
      <c r="E704" s="62" t="s">
        <v>71</v>
      </c>
      <c r="F704" s="62" t="s">
        <v>382</v>
      </c>
      <c r="G704" s="63" t="s">
        <v>409</v>
      </c>
      <c r="H704" s="64" t="n">
        <v>517174314.731842</v>
      </c>
      <c r="I704" s="62" t="s">
        <v>81</v>
      </c>
      <c r="J704" s="64" t="n">
        <v>517174.314731842</v>
      </c>
      <c r="K704" s="62" t="s">
        <v>138</v>
      </c>
      <c r="L704" s="68" t="b">
        <f aca="false">TRUE()</f>
        <v>1</v>
      </c>
    </row>
    <row r="705" customFormat="false" ht="15" hidden="false" customHeight="false" outlineLevel="0" collapsed="false">
      <c r="A705" s="62" t="n">
        <v>0</v>
      </c>
      <c r="B705" s="21" t="s">
        <v>336</v>
      </c>
      <c r="C705" s="62" t="s">
        <v>60</v>
      </c>
      <c r="D705" s="62" t="s">
        <v>385</v>
      </c>
      <c r="E705" s="62" t="s">
        <v>71</v>
      </c>
      <c r="F705" s="62" t="s">
        <v>382</v>
      </c>
      <c r="G705" s="63" t="s">
        <v>409</v>
      </c>
      <c r="H705" s="64" t="n">
        <v>517174314.731842</v>
      </c>
      <c r="I705" s="62" t="s">
        <v>81</v>
      </c>
      <c r="J705" s="64" t="n">
        <v>517174.314731842</v>
      </c>
      <c r="K705" s="62" t="s">
        <v>138</v>
      </c>
      <c r="L705" s="68" t="b">
        <f aca="false">TRUE()</f>
        <v>1</v>
      </c>
    </row>
    <row r="706" customFormat="false" ht="15" hidden="false" customHeight="false" outlineLevel="0" collapsed="false">
      <c r="A706" s="62" t="n">
        <v>0</v>
      </c>
      <c r="B706" s="21" t="s">
        <v>336</v>
      </c>
      <c r="C706" s="62" t="s">
        <v>60</v>
      </c>
      <c r="D706" s="62" t="s">
        <v>386</v>
      </c>
      <c r="E706" s="62" t="s">
        <v>71</v>
      </c>
      <c r="F706" s="62" t="s">
        <v>382</v>
      </c>
      <c r="G706" s="63" t="s">
        <v>409</v>
      </c>
      <c r="H706" s="64" t="n">
        <v>517174314.731842</v>
      </c>
      <c r="I706" s="62" t="s">
        <v>81</v>
      </c>
      <c r="J706" s="64" t="n">
        <v>517174.314731842</v>
      </c>
      <c r="K706" s="62" t="s">
        <v>138</v>
      </c>
      <c r="L706" s="68" t="b">
        <f aca="false">TRUE()</f>
        <v>1</v>
      </c>
    </row>
    <row r="707" customFormat="false" ht="15" hidden="false" customHeight="false" outlineLevel="0" collapsed="false">
      <c r="A707" s="62" t="n">
        <v>0</v>
      </c>
      <c r="B707" s="21" t="s">
        <v>336</v>
      </c>
      <c r="C707" s="62" t="s">
        <v>60</v>
      </c>
      <c r="D707" s="62" t="s">
        <v>387</v>
      </c>
      <c r="E707" s="62" t="s">
        <v>71</v>
      </c>
      <c r="F707" s="62" t="s">
        <v>382</v>
      </c>
      <c r="G707" s="63" t="s">
        <v>409</v>
      </c>
      <c r="H707" s="64" t="n">
        <v>517174314.731842</v>
      </c>
      <c r="I707" s="62" t="s">
        <v>81</v>
      </c>
      <c r="J707" s="64" t="n">
        <v>517174.314731842</v>
      </c>
      <c r="K707" s="62" t="s">
        <v>138</v>
      </c>
      <c r="L707" s="68" t="b">
        <f aca="false">TRUE()</f>
        <v>1</v>
      </c>
    </row>
    <row r="708" customFormat="false" ht="15" hidden="false" customHeight="false" outlineLevel="0" collapsed="false">
      <c r="A708" s="62" t="n">
        <v>0</v>
      </c>
      <c r="B708" s="21" t="s">
        <v>336</v>
      </c>
      <c r="C708" s="62" t="s">
        <v>60</v>
      </c>
      <c r="D708" s="62" t="s">
        <v>388</v>
      </c>
      <c r="E708" s="62" t="s">
        <v>71</v>
      </c>
      <c r="F708" s="62" t="s">
        <v>382</v>
      </c>
      <c r="G708" s="63" t="s">
        <v>409</v>
      </c>
      <c r="H708" s="64" t="n">
        <v>517174314.731842</v>
      </c>
      <c r="I708" s="62" t="s">
        <v>81</v>
      </c>
      <c r="J708" s="64" t="n">
        <v>517174.314731842</v>
      </c>
      <c r="K708" s="62" t="s">
        <v>138</v>
      </c>
      <c r="L708" s="68" t="b">
        <f aca="false">TRUE()</f>
        <v>1</v>
      </c>
    </row>
    <row r="709" customFormat="false" ht="15" hidden="false" customHeight="false" outlineLevel="0" collapsed="false">
      <c r="A709" s="62" t="n">
        <v>0</v>
      </c>
      <c r="B709" s="21" t="s">
        <v>336</v>
      </c>
      <c r="C709" s="62" t="s">
        <v>60</v>
      </c>
      <c r="D709" s="62" t="s">
        <v>381</v>
      </c>
      <c r="E709" s="62" t="s">
        <v>71</v>
      </c>
      <c r="F709" s="62" t="s">
        <v>382</v>
      </c>
      <c r="G709" s="63" t="s">
        <v>410</v>
      </c>
      <c r="H709" s="64" t="n">
        <v>129293578.682961</v>
      </c>
      <c r="I709" s="62" t="s">
        <v>81</v>
      </c>
      <c r="J709" s="64" t="n">
        <v>129293.578682961</v>
      </c>
      <c r="K709" s="62" t="s">
        <v>138</v>
      </c>
      <c r="L709" s="68" t="b">
        <f aca="false">TRUE()</f>
        <v>1</v>
      </c>
    </row>
    <row r="710" customFormat="false" ht="15" hidden="false" customHeight="false" outlineLevel="0" collapsed="false">
      <c r="A710" s="62" t="n">
        <v>0</v>
      </c>
      <c r="B710" s="21" t="s">
        <v>336</v>
      </c>
      <c r="C710" s="62" t="s">
        <v>60</v>
      </c>
      <c r="D710" s="62" t="s">
        <v>383</v>
      </c>
      <c r="E710" s="62" t="s">
        <v>71</v>
      </c>
      <c r="F710" s="62" t="s">
        <v>382</v>
      </c>
      <c r="G710" s="63" t="s">
        <v>410</v>
      </c>
      <c r="H710" s="64" t="n">
        <v>129293578.682961</v>
      </c>
      <c r="I710" s="62" t="s">
        <v>81</v>
      </c>
      <c r="J710" s="64" t="n">
        <v>129293.578682961</v>
      </c>
      <c r="K710" s="62" t="s">
        <v>138</v>
      </c>
      <c r="L710" s="68" t="b">
        <f aca="false">TRUE()</f>
        <v>1</v>
      </c>
    </row>
    <row r="711" customFormat="false" ht="15" hidden="false" customHeight="false" outlineLevel="0" collapsed="false">
      <c r="A711" s="62" t="n">
        <v>0</v>
      </c>
      <c r="B711" s="21" t="s">
        <v>336</v>
      </c>
      <c r="C711" s="62" t="s">
        <v>60</v>
      </c>
      <c r="D711" s="62" t="s">
        <v>384</v>
      </c>
      <c r="E711" s="62" t="s">
        <v>71</v>
      </c>
      <c r="F711" s="62" t="s">
        <v>382</v>
      </c>
      <c r="G711" s="63" t="s">
        <v>410</v>
      </c>
      <c r="H711" s="64" t="n">
        <v>129293578.682961</v>
      </c>
      <c r="I711" s="62" t="s">
        <v>81</v>
      </c>
      <c r="J711" s="64" t="n">
        <v>129293.578682961</v>
      </c>
      <c r="K711" s="62" t="s">
        <v>138</v>
      </c>
      <c r="L711" s="68" t="b">
        <f aca="false">TRUE()</f>
        <v>1</v>
      </c>
    </row>
    <row r="712" customFormat="false" ht="15" hidden="false" customHeight="false" outlineLevel="0" collapsed="false">
      <c r="A712" s="62" t="n">
        <v>0</v>
      </c>
      <c r="B712" s="21" t="s">
        <v>336</v>
      </c>
      <c r="C712" s="62" t="s">
        <v>60</v>
      </c>
      <c r="D712" s="62" t="s">
        <v>385</v>
      </c>
      <c r="E712" s="62" t="s">
        <v>71</v>
      </c>
      <c r="F712" s="62" t="s">
        <v>382</v>
      </c>
      <c r="G712" s="63" t="s">
        <v>410</v>
      </c>
      <c r="H712" s="64" t="n">
        <v>129293578.682961</v>
      </c>
      <c r="I712" s="62" t="s">
        <v>81</v>
      </c>
      <c r="J712" s="64" t="n">
        <v>129293.578682961</v>
      </c>
      <c r="K712" s="62" t="s">
        <v>138</v>
      </c>
      <c r="L712" s="68" t="b">
        <f aca="false">TRUE()</f>
        <v>1</v>
      </c>
    </row>
    <row r="713" customFormat="false" ht="15" hidden="false" customHeight="false" outlineLevel="0" collapsed="false">
      <c r="A713" s="62" t="n">
        <v>0</v>
      </c>
      <c r="B713" s="21" t="s">
        <v>336</v>
      </c>
      <c r="C713" s="62" t="s">
        <v>60</v>
      </c>
      <c r="D713" s="62" t="s">
        <v>386</v>
      </c>
      <c r="E713" s="62" t="s">
        <v>71</v>
      </c>
      <c r="F713" s="62" t="s">
        <v>382</v>
      </c>
      <c r="G713" s="63" t="s">
        <v>410</v>
      </c>
      <c r="H713" s="64" t="n">
        <v>129293578.682961</v>
      </c>
      <c r="I713" s="62" t="s">
        <v>81</v>
      </c>
      <c r="J713" s="64" t="n">
        <v>129293.578682961</v>
      </c>
      <c r="K713" s="62" t="s">
        <v>138</v>
      </c>
      <c r="L713" s="68" t="b">
        <f aca="false">TRUE()</f>
        <v>1</v>
      </c>
    </row>
    <row r="714" customFormat="false" ht="15" hidden="false" customHeight="false" outlineLevel="0" collapsed="false">
      <c r="A714" s="62" t="n">
        <v>0</v>
      </c>
      <c r="B714" s="21" t="s">
        <v>336</v>
      </c>
      <c r="C714" s="62" t="s">
        <v>60</v>
      </c>
      <c r="D714" s="62" t="s">
        <v>387</v>
      </c>
      <c r="E714" s="62" t="s">
        <v>71</v>
      </c>
      <c r="F714" s="62" t="s">
        <v>382</v>
      </c>
      <c r="G714" s="63" t="s">
        <v>410</v>
      </c>
      <c r="H714" s="64" t="n">
        <v>129293578.682961</v>
      </c>
      <c r="I714" s="62" t="s">
        <v>81</v>
      </c>
      <c r="J714" s="64" t="n">
        <v>129293.578682961</v>
      </c>
      <c r="K714" s="62" t="s">
        <v>138</v>
      </c>
      <c r="L714" s="68" t="b">
        <f aca="false">TRUE()</f>
        <v>1</v>
      </c>
    </row>
    <row r="715" customFormat="false" ht="15" hidden="false" customHeight="false" outlineLevel="0" collapsed="false">
      <c r="A715" s="62" t="n">
        <v>0</v>
      </c>
      <c r="B715" s="21" t="s">
        <v>336</v>
      </c>
      <c r="C715" s="62" t="s">
        <v>60</v>
      </c>
      <c r="D715" s="62" t="s">
        <v>388</v>
      </c>
      <c r="E715" s="62" t="s">
        <v>71</v>
      </c>
      <c r="F715" s="62" t="s">
        <v>382</v>
      </c>
      <c r="G715" s="63" t="s">
        <v>410</v>
      </c>
      <c r="H715" s="64" t="n">
        <v>129293578.682961</v>
      </c>
      <c r="I715" s="62" t="s">
        <v>81</v>
      </c>
      <c r="J715" s="64" t="n">
        <v>129293.578682961</v>
      </c>
      <c r="K715" s="62" t="s">
        <v>138</v>
      </c>
      <c r="L715" s="68" t="b">
        <f aca="false">TRUE()</f>
        <v>1</v>
      </c>
    </row>
    <row r="716" customFormat="false" ht="15" hidden="false" customHeight="false" outlineLevel="0" collapsed="false">
      <c r="A716" s="62" t="n">
        <v>0</v>
      </c>
      <c r="B716" s="21" t="s">
        <v>336</v>
      </c>
      <c r="C716" s="62" t="s">
        <v>60</v>
      </c>
      <c r="D716" s="62" t="s">
        <v>381</v>
      </c>
      <c r="E716" s="62" t="s">
        <v>71</v>
      </c>
      <c r="F716" s="62" t="s">
        <v>382</v>
      </c>
      <c r="G716" s="63" t="s">
        <v>411</v>
      </c>
      <c r="H716" s="64" t="n">
        <v>387880736.048881</v>
      </c>
      <c r="I716" s="62" t="s">
        <v>81</v>
      </c>
      <c r="J716" s="64" t="n">
        <v>387880.736048881</v>
      </c>
      <c r="K716" s="62" t="s">
        <v>138</v>
      </c>
      <c r="L716" s="68" t="b">
        <f aca="false">TRUE()</f>
        <v>1</v>
      </c>
    </row>
    <row r="717" customFormat="false" ht="15" hidden="false" customHeight="false" outlineLevel="0" collapsed="false">
      <c r="A717" s="62" t="n">
        <v>0</v>
      </c>
      <c r="B717" s="21" t="s">
        <v>336</v>
      </c>
      <c r="C717" s="62" t="s">
        <v>60</v>
      </c>
      <c r="D717" s="62" t="s">
        <v>383</v>
      </c>
      <c r="E717" s="62" t="s">
        <v>71</v>
      </c>
      <c r="F717" s="62" t="s">
        <v>382</v>
      </c>
      <c r="G717" s="63" t="s">
        <v>411</v>
      </c>
      <c r="H717" s="64" t="n">
        <v>387880736.048881</v>
      </c>
      <c r="I717" s="62" t="s">
        <v>81</v>
      </c>
      <c r="J717" s="64" t="n">
        <v>387880.736048881</v>
      </c>
      <c r="K717" s="62" t="s">
        <v>138</v>
      </c>
      <c r="L717" s="68" t="b">
        <f aca="false">TRUE()</f>
        <v>1</v>
      </c>
    </row>
    <row r="718" customFormat="false" ht="15" hidden="false" customHeight="false" outlineLevel="0" collapsed="false">
      <c r="A718" s="62" t="n">
        <v>0</v>
      </c>
      <c r="B718" s="21" t="s">
        <v>336</v>
      </c>
      <c r="C718" s="62" t="s">
        <v>60</v>
      </c>
      <c r="D718" s="62" t="s">
        <v>384</v>
      </c>
      <c r="E718" s="62" t="s">
        <v>71</v>
      </c>
      <c r="F718" s="62" t="s">
        <v>382</v>
      </c>
      <c r="G718" s="63" t="s">
        <v>411</v>
      </c>
      <c r="H718" s="64" t="n">
        <v>387880736.048881</v>
      </c>
      <c r="I718" s="62" t="s">
        <v>81</v>
      </c>
      <c r="J718" s="64" t="n">
        <v>387880.736048881</v>
      </c>
      <c r="K718" s="62" t="s">
        <v>138</v>
      </c>
      <c r="L718" s="68" t="b">
        <f aca="false">TRUE()</f>
        <v>1</v>
      </c>
    </row>
    <row r="719" customFormat="false" ht="15" hidden="false" customHeight="false" outlineLevel="0" collapsed="false">
      <c r="A719" s="62" t="n">
        <v>0</v>
      </c>
      <c r="B719" s="21" t="s">
        <v>336</v>
      </c>
      <c r="C719" s="62" t="s">
        <v>60</v>
      </c>
      <c r="D719" s="62" t="s">
        <v>385</v>
      </c>
      <c r="E719" s="62" t="s">
        <v>71</v>
      </c>
      <c r="F719" s="62" t="s">
        <v>382</v>
      </c>
      <c r="G719" s="63" t="s">
        <v>411</v>
      </c>
      <c r="H719" s="64" t="n">
        <v>387880736.048881</v>
      </c>
      <c r="I719" s="62" t="s">
        <v>81</v>
      </c>
      <c r="J719" s="64" t="n">
        <v>387880.736048881</v>
      </c>
      <c r="K719" s="62" t="s">
        <v>138</v>
      </c>
      <c r="L719" s="68" t="b">
        <f aca="false">TRUE()</f>
        <v>1</v>
      </c>
    </row>
    <row r="720" customFormat="false" ht="15" hidden="false" customHeight="false" outlineLevel="0" collapsed="false">
      <c r="A720" s="62" t="n">
        <v>0</v>
      </c>
      <c r="B720" s="21" t="s">
        <v>336</v>
      </c>
      <c r="C720" s="62" t="s">
        <v>60</v>
      </c>
      <c r="D720" s="62" t="s">
        <v>386</v>
      </c>
      <c r="E720" s="62" t="s">
        <v>71</v>
      </c>
      <c r="F720" s="62" t="s">
        <v>382</v>
      </c>
      <c r="G720" s="63" t="s">
        <v>411</v>
      </c>
      <c r="H720" s="64" t="n">
        <v>387880736.048881</v>
      </c>
      <c r="I720" s="62" t="s">
        <v>81</v>
      </c>
      <c r="J720" s="64" t="n">
        <v>387880.736048881</v>
      </c>
      <c r="K720" s="62" t="s">
        <v>138</v>
      </c>
      <c r="L720" s="68" t="b">
        <f aca="false">TRUE()</f>
        <v>1</v>
      </c>
    </row>
    <row r="721" customFormat="false" ht="15" hidden="false" customHeight="false" outlineLevel="0" collapsed="false">
      <c r="A721" s="62" t="n">
        <v>0</v>
      </c>
      <c r="B721" s="21" t="s">
        <v>336</v>
      </c>
      <c r="C721" s="62" t="s">
        <v>60</v>
      </c>
      <c r="D721" s="62" t="s">
        <v>387</v>
      </c>
      <c r="E721" s="62" t="s">
        <v>71</v>
      </c>
      <c r="F721" s="62" t="s">
        <v>382</v>
      </c>
      <c r="G721" s="63" t="s">
        <v>411</v>
      </c>
      <c r="H721" s="64" t="n">
        <v>387880736.048881</v>
      </c>
      <c r="I721" s="62" t="s">
        <v>81</v>
      </c>
      <c r="J721" s="64" t="n">
        <v>387880.736048881</v>
      </c>
      <c r="K721" s="62" t="s">
        <v>138</v>
      </c>
      <c r="L721" s="68" t="b">
        <f aca="false">TRUE()</f>
        <v>1</v>
      </c>
    </row>
    <row r="722" customFormat="false" ht="15" hidden="false" customHeight="false" outlineLevel="0" collapsed="false">
      <c r="A722" s="62" t="n">
        <v>0</v>
      </c>
      <c r="B722" s="21" t="s">
        <v>336</v>
      </c>
      <c r="C722" s="62" t="s">
        <v>60</v>
      </c>
      <c r="D722" s="62" t="s">
        <v>388</v>
      </c>
      <c r="E722" s="62" t="s">
        <v>71</v>
      </c>
      <c r="F722" s="62" t="s">
        <v>382</v>
      </c>
      <c r="G722" s="63" t="s">
        <v>411</v>
      </c>
      <c r="H722" s="64" t="n">
        <v>387880736.048881</v>
      </c>
      <c r="I722" s="62" t="s">
        <v>81</v>
      </c>
      <c r="J722" s="64" t="n">
        <v>387880.736048881</v>
      </c>
      <c r="K722" s="62" t="s">
        <v>138</v>
      </c>
      <c r="L722" s="68" t="b">
        <f aca="false">TRUE()</f>
        <v>1</v>
      </c>
    </row>
    <row r="723" customFormat="false" ht="15" hidden="false" customHeight="false" outlineLevel="0" collapsed="false">
      <c r="A723" s="62" t="n">
        <v>0</v>
      </c>
      <c r="B723" s="21" t="s">
        <v>336</v>
      </c>
      <c r="C723" s="62" t="s">
        <v>60</v>
      </c>
      <c r="D723" s="62" t="s">
        <v>381</v>
      </c>
      <c r="E723" s="62" t="s">
        <v>71</v>
      </c>
      <c r="F723" s="62" t="s">
        <v>382</v>
      </c>
      <c r="G723" s="63" t="s">
        <v>412</v>
      </c>
      <c r="H723" s="64" t="n">
        <v>1782588600</v>
      </c>
      <c r="I723" s="62" t="s">
        <v>81</v>
      </c>
      <c r="J723" s="64" t="n">
        <v>1782588.6</v>
      </c>
      <c r="K723" s="62" t="s">
        <v>138</v>
      </c>
      <c r="L723" s="68" t="b">
        <f aca="false">TRUE()</f>
        <v>1</v>
      </c>
    </row>
    <row r="724" customFormat="false" ht="15" hidden="false" customHeight="false" outlineLevel="0" collapsed="false">
      <c r="A724" s="62" t="n">
        <v>0</v>
      </c>
      <c r="B724" s="21" t="s">
        <v>336</v>
      </c>
      <c r="C724" s="62" t="s">
        <v>60</v>
      </c>
      <c r="D724" s="62" t="s">
        <v>383</v>
      </c>
      <c r="E724" s="62" t="s">
        <v>71</v>
      </c>
      <c r="F724" s="62" t="s">
        <v>382</v>
      </c>
      <c r="G724" s="63" t="s">
        <v>412</v>
      </c>
      <c r="H724" s="64" t="n">
        <v>1782588600</v>
      </c>
      <c r="I724" s="62" t="s">
        <v>81</v>
      </c>
      <c r="J724" s="64" t="n">
        <v>1782588.6</v>
      </c>
      <c r="K724" s="62" t="s">
        <v>138</v>
      </c>
      <c r="L724" s="68" t="b">
        <f aca="false">TRUE()</f>
        <v>1</v>
      </c>
    </row>
    <row r="725" customFormat="false" ht="15" hidden="false" customHeight="false" outlineLevel="0" collapsed="false">
      <c r="A725" s="62" t="n">
        <v>0</v>
      </c>
      <c r="B725" s="21" t="s">
        <v>336</v>
      </c>
      <c r="C725" s="62" t="s">
        <v>60</v>
      </c>
      <c r="D725" s="62" t="s">
        <v>384</v>
      </c>
      <c r="E725" s="62" t="s">
        <v>71</v>
      </c>
      <c r="F725" s="62" t="s">
        <v>382</v>
      </c>
      <c r="G725" s="63" t="s">
        <v>412</v>
      </c>
      <c r="H725" s="64" t="n">
        <v>1782588600</v>
      </c>
      <c r="I725" s="62" t="s">
        <v>81</v>
      </c>
      <c r="J725" s="64" t="n">
        <v>1782588.6</v>
      </c>
      <c r="K725" s="62" t="s">
        <v>138</v>
      </c>
      <c r="L725" s="68" t="b">
        <f aca="false">TRUE()</f>
        <v>1</v>
      </c>
    </row>
    <row r="726" customFormat="false" ht="15" hidden="false" customHeight="false" outlineLevel="0" collapsed="false">
      <c r="A726" s="62" t="n">
        <v>0</v>
      </c>
      <c r="B726" s="21" t="s">
        <v>336</v>
      </c>
      <c r="C726" s="62" t="s">
        <v>60</v>
      </c>
      <c r="D726" s="62" t="s">
        <v>385</v>
      </c>
      <c r="E726" s="62" t="s">
        <v>71</v>
      </c>
      <c r="F726" s="62" t="s">
        <v>382</v>
      </c>
      <c r="G726" s="63" t="s">
        <v>412</v>
      </c>
      <c r="H726" s="64" t="n">
        <v>1782588600</v>
      </c>
      <c r="I726" s="62" t="s">
        <v>81</v>
      </c>
      <c r="J726" s="64" t="n">
        <v>1782588.6</v>
      </c>
      <c r="K726" s="62" t="s">
        <v>138</v>
      </c>
      <c r="L726" s="68" t="b">
        <f aca="false">TRUE()</f>
        <v>1</v>
      </c>
    </row>
    <row r="727" customFormat="false" ht="15" hidden="false" customHeight="false" outlineLevel="0" collapsed="false">
      <c r="A727" s="62" t="n">
        <v>0</v>
      </c>
      <c r="B727" s="21" t="s">
        <v>336</v>
      </c>
      <c r="C727" s="62" t="s">
        <v>60</v>
      </c>
      <c r="D727" s="62" t="s">
        <v>386</v>
      </c>
      <c r="E727" s="62" t="s">
        <v>71</v>
      </c>
      <c r="F727" s="62" t="s">
        <v>382</v>
      </c>
      <c r="G727" s="63" t="s">
        <v>412</v>
      </c>
      <c r="H727" s="64" t="n">
        <v>1782588600</v>
      </c>
      <c r="I727" s="62" t="s">
        <v>81</v>
      </c>
      <c r="J727" s="64" t="n">
        <v>1782588.6</v>
      </c>
      <c r="K727" s="62" t="s">
        <v>138</v>
      </c>
      <c r="L727" s="68" t="b">
        <f aca="false">TRUE()</f>
        <v>1</v>
      </c>
    </row>
    <row r="728" customFormat="false" ht="15" hidden="false" customHeight="false" outlineLevel="0" collapsed="false">
      <c r="A728" s="62" t="n">
        <v>0</v>
      </c>
      <c r="B728" s="21" t="s">
        <v>336</v>
      </c>
      <c r="C728" s="62" t="s">
        <v>60</v>
      </c>
      <c r="D728" s="62" t="s">
        <v>387</v>
      </c>
      <c r="E728" s="62" t="s">
        <v>71</v>
      </c>
      <c r="F728" s="62" t="s">
        <v>382</v>
      </c>
      <c r="G728" s="63" t="s">
        <v>412</v>
      </c>
      <c r="H728" s="64" t="n">
        <v>1782588600</v>
      </c>
      <c r="I728" s="62" t="s">
        <v>81</v>
      </c>
      <c r="J728" s="64" t="n">
        <v>1782588.6</v>
      </c>
      <c r="K728" s="62" t="s">
        <v>138</v>
      </c>
      <c r="L728" s="68" t="b">
        <f aca="false">TRUE()</f>
        <v>1</v>
      </c>
    </row>
    <row r="729" customFormat="false" ht="15" hidden="false" customHeight="false" outlineLevel="0" collapsed="false">
      <c r="A729" s="62" t="n">
        <v>0</v>
      </c>
      <c r="B729" s="21" t="s">
        <v>336</v>
      </c>
      <c r="C729" s="62" t="s">
        <v>60</v>
      </c>
      <c r="D729" s="62" t="s">
        <v>388</v>
      </c>
      <c r="E729" s="62" t="s">
        <v>71</v>
      </c>
      <c r="F729" s="62" t="s">
        <v>382</v>
      </c>
      <c r="G729" s="63" t="s">
        <v>412</v>
      </c>
      <c r="H729" s="64" t="n">
        <v>1782588600</v>
      </c>
      <c r="I729" s="62" t="s">
        <v>81</v>
      </c>
      <c r="J729" s="64" t="n">
        <v>1782588.6</v>
      </c>
      <c r="K729" s="62" t="s">
        <v>138</v>
      </c>
      <c r="L729" s="68" t="b">
        <f aca="false">TRUE()</f>
        <v>1</v>
      </c>
    </row>
    <row r="730" customFormat="false" ht="15" hidden="false" customHeight="false" outlineLevel="0" collapsed="false">
      <c r="A730" s="62" t="n">
        <v>0</v>
      </c>
      <c r="B730" s="21" t="s">
        <v>336</v>
      </c>
      <c r="C730" s="62" t="s">
        <v>60</v>
      </c>
      <c r="D730" s="62" t="s">
        <v>381</v>
      </c>
      <c r="E730" s="62" t="s">
        <v>71</v>
      </c>
      <c r="F730" s="62" t="s">
        <v>382</v>
      </c>
      <c r="G730" s="63" t="s">
        <v>413</v>
      </c>
      <c r="H730" s="64" t="n">
        <v>0</v>
      </c>
      <c r="I730" s="62" t="s">
        <v>81</v>
      </c>
      <c r="J730" s="64" t="n">
        <v>0</v>
      </c>
      <c r="K730" s="62" t="s">
        <v>138</v>
      </c>
      <c r="L730" s="68" t="b">
        <f aca="false">TRUE()</f>
        <v>1</v>
      </c>
    </row>
    <row r="731" customFormat="false" ht="15" hidden="false" customHeight="false" outlineLevel="0" collapsed="false">
      <c r="A731" s="62" t="n">
        <v>0</v>
      </c>
      <c r="B731" s="21" t="s">
        <v>336</v>
      </c>
      <c r="C731" s="62" t="s">
        <v>60</v>
      </c>
      <c r="D731" s="62" t="s">
        <v>383</v>
      </c>
      <c r="E731" s="62" t="s">
        <v>71</v>
      </c>
      <c r="F731" s="62" t="s">
        <v>382</v>
      </c>
      <c r="G731" s="63" t="s">
        <v>413</v>
      </c>
      <c r="H731" s="64" t="n">
        <v>0</v>
      </c>
      <c r="I731" s="62" t="s">
        <v>81</v>
      </c>
      <c r="J731" s="64" t="n">
        <v>0</v>
      </c>
      <c r="K731" s="62" t="s">
        <v>138</v>
      </c>
      <c r="L731" s="68" t="b">
        <f aca="false">TRUE()</f>
        <v>1</v>
      </c>
    </row>
    <row r="732" customFormat="false" ht="15" hidden="false" customHeight="false" outlineLevel="0" collapsed="false">
      <c r="A732" s="62" t="n">
        <v>0</v>
      </c>
      <c r="B732" s="21" t="s">
        <v>336</v>
      </c>
      <c r="C732" s="62" t="s">
        <v>60</v>
      </c>
      <c r="D732" s="62" t="s">
        <v>384</v>
      </c>
      <c r="E732" s="62" t="s">
        <v>71</v>
      </c>
      <c r="F732" s="62" t="s">
        <v>382</v>
      </c>
      <c r="G732" s="63" t="s">
        <v>413</v>
      </c>
      <c r="H732" s="64" t="n">
        <v>0</v>
      </c>
      <c r="I732" s="62" t="s">
        <v>81</v>
      </c>
      <c r="J732" s="64" t="n">
        <v>0</v>
      </c>
      <c r="K732" s="62" t="s">
        <v>138</v>
      </c>
      <c r="L732" s="68" t="b">
        <f aca="false">TRUE()</f>
        <v>1</v>
      </c>
    </row>
    <row r="733" customFormat="false" ht="15" hidden="false" customHeight="false" outlineLevel="0" collapsed="false">
      <c r="A733" s="62" t="n">
        <v>0</v>
      </c>
      <c r="B733" s="21" t="s">
        <v>336</v>
      </c>
      <c r="C733" s="62" t="s">
        <v>60</v>
      </c>
      <c r="D733" s="62" t="s">
        <v>385</v>
      </c>
      <c r="E733" s="62" t="s">
        <v>71</v>
      </c>
      <c r="F733" s="62" t="s">
        <v>382</v>
      </c>
      <c r="G733" s="63" t="s">
        <v>413</v>
      </c>
      <c r="H733" s="64" t="n">
        <v>0</v>
      </c>
      <c r="I733" s="62" t="s">
        <v>81</v>
      </c>
      <c r="J733" s="64" t="n">
        <v>0</v>
      </c>
      <c r="K733" s="62" t="s">
        <v>138</v>
      </c>
      <c r="L733" s="68" t="b">
        <f aca="false">TRUE()</f>
        <v>1</v>
      </c>
    </row>
    <row r="734" customFormat="false" ht="15" hidden="false" customHeight="false" outlineLevel="0" collapsed="false">
      <c r="A734" s="62" t="n">
        <v>0</v>
      </c>
      <c r="B734" s="21" t="s">
        <v>336</v>
      </c>
      <c r="C734" s="62" t="s">
        <v>60</v>
      </c>
      <c r="D734" s="62" t="s">
        <v>386</v>
      </c>
      <c r="E734" s="62" t="s">
        <v>71</v>
      </c>
      <c r="F734" s="62" t="s">
        <v>382</v>
      </c>
      <c r="G734" s="63" t="s">
        <v>413</v>
      </c>
      <c r="H734" s="64" t="n">
        <v>0</v>
      </c>
      <c r="I734" s="62" t="s">
        <v>81</v>
      </c>
      <c r="J734" s="64" t="n">
        <v>0</v>
      </c>
      <c r="K734" s="62" t="s">
        <v>138</v>
      </c>
      <c r="L734" s="68" t="b">
        <f aca="false">TRUE()</f>
        <v>1</v>
      </c>
    </row>
    <row r="735" customFormat="false" ht="15" hidden="false" customHeight="false" outlineLevel="0" collapsed="false">
      <c r="A735" s="62" t="n">
        <v>0</v>
      </c>
      <c r="B735" s="21" t="s">
        <v>336</v>
      </c>
      <c r="C735" s="62" t="s">
        <v>60</v>
      </c>
      <c r="D735" s="62" t="s">
        <v>387</v>
      </c>
      <c r="E735" s="62" t="s">
        <v>71</v>
      </c>
      <c r="F735" s="62" t="s">
        <v>382</v>
      </c>
      <c r="G735" s="63" t="s">
        <v>413</v>
      </c>
      <c r="H735" s="64" t="n">
        <v>0</v>
      </c>
      <c r="I735" s="62" t="s">
        <v>81</v>
      </c>
      <c r="J735" s="64" t="n">
        <v>0</v>
      </c>
      <c r="K735" s="62" t="s">
        <v>138</v>
      </c>
      <c r="L735" s="68" t="b">
        <f aca="false">TRUE()</f>
        <v>1</v>
      </c>
    </row>
    <row r="736" customFormat="false" ht="15" hidden="false" customHeight="false" outlineLevel="0" collapsed="false">
      <c r="A736" s="62" t="n">
        <v>0</v>
      </c>
      <c r="B736" s="21" t="s">
        <v>336</v>
      </c>
      <c r="C736" s="62" t="s">
        <v>60</v>
      </c>
      <c r="D736" s="62" t="s">
        <v>388</v>
      </c>
      <c r="E736" s="62" t="s">
        <v>71</v>
      </c>
      <c r="F736" s="62" t="s">
        <v>382</v>
      </c>
      <c r="G736" s="63" t="s">
        <v>413</v>
      </c>
      <c r="H736" s="64" t="n">
        <v>0</v>
      </c>
      <c r="I736" s="62" t="s">
        <v>81</v>
      </c>
      <c r="J736" s="64" t="n">
        <v>0</v>
      </c>
      <c r="K736" s="62" t="s">
        <v>138</v>
      </c>
      <c r="L736" s="68" t="b">
        <f aca="false">TRUE()</f>
        <v>1</v>
      </c>
    </row>
    <row r="737" customFormat="false" ht="15" hidden="false" customHeight="false" outlineLevel="0" collapsed="false">
      <c r="A737" s="62" t="n">
        <v>0</v>
      </c>
      <c r="B737" s="21" t="s">
        <v>336</v>
      </c>
      <c r="C737" s="62" t="s">
        <v>60</v>
      </c>
      <c r="D737" s="62" t="s">
        <v>381</v>
      </c>
      <c r="E737" s="62" t="s">
        <v>71</v>
      </c>
      <c r="F737" s="62" t="s">
        <v>382</v>
      </c>
      <c r="G737" s="63" t="s">
        <v>414</v>
      </c>
      <c r="H737" s="64" t="n">
        <v>346981250</v>
      </c>
      <c r="I737" s="62" t="s">
        <v>81</v>
      </c>
      <c r="J737" s="64" t="n">
        <v>346981.25</v>
      </c>
      <c r="K737" s="62" t="s">
        <v>138</v>
      </c>
      <c r="L737" s="68" t="b">
        <f aca="false">TRUE()</f>
        <v>1</v>
      </c>
    </row>
    <row r="738" customFormat="false" ht="15" hidden="false" customHeight="false" outlineLevel="0" collapsed="false">
      <c r="A738" s="62" t="n">
        <v>0</v>
      </c>
      <c r="B738" s="21" t="s">
        <v>336</v>
      </c>
      <c r="C738" s="62" t="s">
        <v>60</v>
      </c>
      <c r="D738" s="62" t="s">
        <v>383</v>
      </c>
      <c r="E738" s="62" t="s">
        <v>71</v>
      </c>
      <c r="F738" s="62" t="s">
        <v>382</v>
      </c>
      <c r="G738" s="63" t="s">
        <v>414</v>
      </c>
      <c r="H738" s="64" t="n">
        <v>346981250</v>
      </c>
      <c r="I738" s="62" t="s">
        <v>81</v>
      </c>
      <c r="J738" s="64" t="n">
        <v>346981.25</v>
      </c>
      <c r="K738" s="62" t="s">
        <v>138</v>
      </c>
      <c r="L738" s="68" t="b">
        <f aca="false">TRUE()</f>
        <v>1</v>
      </c>
    </row>
    <row r="739" customFormat="false" ht="15" hidden="false" customHeight="false" outlineLevel="0" collapsed="false">
      <c r="A739" s="62" t="n">
        <v>0</v>
      </c>
      <c r="B739" s="21" t="s">
        <v>336</v>
      </c>
      <c r="C739" s="62" t="s">
        <v>60</v>
      </c>
      <c r="D739" s="62" t="s">
        <v>384</v>
      </c>
      <c r="E739" s="62" t="s">
        <v>71</v>
      </c>
      <c r="F739" s="62" t="s">
        <v>382</v>
      </c>
      <c r="G739" s="63" t="s">
        <v>414</v>
      </c>
      <c r="H739" s="64" t="n">
        <v>346981250</v>
      </c>
      <c r="I739" s="62" t="s">
        <v>81</v>
      </c>
      <c r="J739" s="64" t="n">
        <v>346981.25</v>
      </c>
      <c r="K739" s="62" t="s">
        <v>138</v>
      </c>
      <c r="L739" s="68" t="b">
        <f aca="false">TRUE()</f>
        <v>1</v>
      </c>
    </row>
    <row r="740" customFormat="false" ht="15" hidden="false" customHeight="false" outlineLevel="0" collapsed="false">
      <c r="A740" s="62" t="n">
        <v>0</v>
      </c>
      <c r="B740" s="21" t="s">
        <v>336</v>
      </c>
      <c r="C740" s="62" t="s">
        <v>60</v>
      </c>
      <c r="D740" s="62" t="s">
        <v>385</v>
      </c>
      <c r="E740" s="62" t="s">
        <v>71</v>
      </c>
      <c r="F740" s="62" t="s">
        <v>382</v>
      </c>
      <c r="G740" s="63" t="s">
        <v>414</v>
      </c>
      <c r="H740" s="64" t="n">
        <v>346981250</v>
      </c>
      <c r="I740" s="62" t="s">
        <v>81</v>
      </c>
      <c r="J740" s="64" t="n">
        <v>346981.25</v>
      </c>
      <c r="K740" s="62" t="s">
        <v>138</v>
      </c>
      <c r="L740" s="68" t="b">
        <f aca="false">TRUE()</f>
        <v>1</v>
      </c>
    </row>
    <row r="741" customFormat="false" ht="15" hidden="false" customHeight="false" outlineLevel="0" collapsed="false">
      <c r="A741" s="62" t="n">
        <v>0</v>
      </c>
      <c r="B741" s="21" t="s">
        <v>336</v>
      </c>
      <c r="C741" s="62" t="s">
        <v>60</v>
      </c>
      <c r="D741" s="62" t="s">
        <v>386</v>
      </c>
      <c r="E741" s="62" t="s">
        <v>71</v>
      </c>
      <c r="F741" s="62" t="s">
        <v>382</v>
      </c>
      <c r="G741" s="63" t="s">
        <v>414</v>
      </c>
      <c r="H741" s="64" t="n">
        <v>346981250</v>
      </c>
      <c r="I741" s="62" t="s">
        <v>81</v>
      </c>
      <c r="J741" s="64" t="n">
        <v>346981.25</v>
      </c>
      <c r="K741" s="62" t="s">
        <v>138</v>
      </c>
      <c r="L741" s="68" t="b">
        <f aca="false">TRUE()</f>
        <v>1</v>
      </c>
    </row>
    <row r="742" customFormat="false" ht="15" hidden="false" customHeight="false" outlineLevel="0" collapsed="false">
      <c r="A742" s="62" t="n">
        <v>0</v>
      </c>
      <c r="B742" s="21" t="s">
        <v>336</v>
      </c>
      <c r="C742" s="62" t="s">
        <v>60</v>
      </c>
      <c r="D742" s="62" t="s">
        <v>387</v>
      </c>
      <c r="E742" s="62" t="s">
        <v>71</v>
      </c>
      <c r="F742" s="62" t="s">
        <v>382</v>
      </c>
      <c r="G742" s="63" t="s">
        <v>414</v>
      </c>
      <c r="H742" s="64" t="n">
        <v>346981250</v>
      </c>
      <c r="I742" s="62" t="s">
        <v>81</v>
      </c>
      <c r="J742" s="64" t="n">
        <v>346981.25</v>
      </c>
      <c r="K742" s="62" t="s">
        <v>138</v>
      </c>
      <c r="L742" s="68" t="b">
        <f aca="false">TRUE()</f>
        <v>1</v>
      </c>
    </row>
    <row r="743" customFormat="false" ht="15" hidden="false" customHeight="false" outlineLevel="0" collapsed="false">
      <c r="A743" s="62" t="n">
        <v>0</v>
      </c>
      <c r="B743" s="21" t="s">
        <v>336</v>
      </c>
      <c r="C743" s="62" t="s">
        <v>60</v>
      </c>
      <c r="D743" s="62" t="s">
        <v>388</v>
      </c>
      <c r="E743" s="62" t="s">
        <v>71</v>
      </c>
      <c r="F743" s="62" t="s">
        <v>382</v>
      </c>
      <c r="G743" s="63" t="s">
        <v>414</v>
      </c>
      <c r="H743" s="64" t="n">
        <v>346981250</v>
      </c>
      <c r="I743" s="62" t="s">
        <v>81</v>
      </c>
      <c r="J743" s="64" t="n">
        <v>346981.25</v>
      </c>
      <c r="K743" s="62" t="s">
        <v>138</v>
      </c>
      <c r="L743" s="68" t="b">
        <f aca="false">TRUE()</f>
        <v>1</v>
      </c>
    </row>
    <row r="744" customFormat="false" ht="15" hidden="false" customHeight="false" outlineLevel="0" collapsed="false">
      <c r="A744" s="62" t="n">
        <v>0</v>
      </c>
      <c r="B744" s="21" t="s">
        <v>336</v>
      </c>
      <c r="C744" s="62" t="s">
        <v>60</v>
      </c>
      <c r="D744" s="62" t="s">
        <v>381</v>
      </c>
      <c r="E744" s="62" t="s">
        <v>71</v>
      </c>
      <c r="F744" s="62" t="s">
        <v>382</v>
      </c>
      <c r="G744" s="63" t="s">
        <v>415</v>
      </c>
      <c r="H744" s="64" t="n">
        <v>365032427.722816</v>
      </c>
      <c r="I744" s="62" t="s">
        <v>81</v>
      </c>
      <c r="J744" s="64" t="n">
        <v>365032.427722816</v>
      </c>
      <c r="K744" s="62" t="s">
        <v>138</v>
      </c>
      <c r="L744" s="68" t="b">
        <f aca="false">TRUE()</f>
        <v>1</v>
      </c>
    </row>
    <row r="745" customFormat="false" ht="15" hidden="false" customHeight="false" outlineLevel="0" collapsed="false">
      <c r="A745" s="62" t="n">
        <v>0</v>
      </c>
      <c r="B745" s="21" t="s">
        <v>336</v>
      </c>
      <c r="C745" s="62" t="s">
        <v>60</v>
      </c>
      <c r="D745" s="62" t="s">
        <v>383</v>
      </c>
      <c r="E745" s="62" t="s">
        <v>71</v>
      </c>
      <c r="F745" s="62" t="s">
        <v>382</v>
      </c>
      <c r="G745" s="63" t="s">
        <v>415</v>
      </c>
      <c r="H745" s="64" t="n">
        <v>365032427.722816</v>
      </c>
      <c r="I745" s="62" t="s">
        <v>81</v>
      </c>
      <c r="J745" s="64" t="n">
        <v>365032.427722816</v>
      </c>
      <c r="K745" s="62" t="s">
        <v>138</v>
      </c>
      <c r="L745" s="68" t="b">
        <f aca="false">TRUE()</f>
        <v>1</v>
      </c>
    </row>
    <row r="746" customFormat="false" ht="15" hidden="false" customHeight="false" outlineLevel="0" collapsed="false">
      <c r="A746" s="62" t="n">
        <v>0</v>
      </c>
      <c r="B746" s="21" t="s">
        <v>336</v>
      </c>
      <c r="C746" s="62" t="s">
        <v>60</v>
      </c>
      <c r="D746" s="62" t="s">
        <v>384</v>
      </c>
      <c r="E746" s="62" t="s">
        <v>71</v>
      </c>
      <c r="F746" s="62" t="s">
        <v>382</v>
      </c>
      <c r="G746" s="63" t="s">
        <v>415</v>
      </c>
      <c r="H746" s="64" t="n">
        <v>365032427.722816</v>
      </c>
      <c r="I746" s="62" t="s">
        <v>81</v>
      </c>
      <c r="J746" s="64" t="n">
        <v>365032.427722816</v>
      </c>
      <c r="K746" s="62" t="s">
        <v>138</v>
      </c>
      <c r="L746" s="68" t="b">
        <f aca="false">TRUE()</f>
        <v>1</v>
      </c>
    </row>
    <row r="747" customFormat="false" ht="15" hidden="false" customHeight="false" outlineLevel="0" collapsed="false">
      <c r="A747" s="62" t="n">
        <v>0</v>
      </c>
      <c r="B747" s="21" t="s">
        <v>336</v>
      </c>
      <c r="C747" s="62" t="s">
        <v>60</v>
      </c>
      <c r="D747" s="62" t="s">
        <v>385</v>
      </c>
      <c r="E747" s="62" t="s">
        <v>71</v>
      </c>
      <c r="F747" s="62" t="s">
        <v>382</v>
      </c>
      <c r="G747" s="63" t="s">
        <v>415</v>
      </c>
      <c r="H747" s="64" t="n">
        <v>365032427.722816</v>
      </c>
      <c r="I747" s="62" t="s">
        <v>81</v>
      </c>
      <c r="J747" s="64" t="n">
        <v>365032.427722816</v>
      </c>
      <c r="K747" s="62" t="s">
        <v>138</v>
      </c>
      <c r="L747" s="68" t="b">
        <f aca="false">TRUE()</f>
        <v>1</v>
      </c>
    </row>
    <row r="748" customFormat="false" ht="15" hidden="false" customHeight="false" outlineLevel="0" collapsed="false">
      <c r="A748" s="62" t="n">
        <v>0</v>
      </c>
      <c r="B748" s="21" t="s">
        <v>336</v>
      </c>
      <c r="C748" s="62" t="s">
        <v>60</v>
      </c>
      <c r="D748" s="62" t="s">
        <v>386</v>
      </c>
      <c r="E748" s="62" t="s">
        <v>71</v>
      </c>
      <c r="F748" s="62" t="s">
        <v>382</v>
      </c>
      <c r="G748" s="63" t="s">
        <v>415</v>
      </c>
      <c r="H748" s="64" t="n">
        <v>365032427.722816</v>
      </c>
      <c r="I748" s="62" t="s">
        <v>81</v>
      </c>
      <c r="J748" s="64" t="n">
        <v>365032.427722816</v>
      </c>
      <c r="K748" s="62" t="s">
        <v>138</v>
      </c>
      <c r="L748" s="68" t="b">
        <f aca="false">TRUE()</f>
        <v>1</v>
      </c>
    </row>
    <row r="749" customFormat="false" ht="15" hidden="false" customHeight="false" outlineLevel="0" collapsed="false">
      <c r="A749" s="62" t="n">
        <v>0</v>
      </c>
      <c r="B749" s="21" t="s">
        <v>336</v>
      </c>
      <c r="C749" s="62" t="s">
        <v>60</v>
      </c>
      <c r="D749" s="62" t="s">
        <v>387</v>
      </c>
      <c r="E749" s="62" t="s">
        <v>71</v>
      </c>
      <c r="F749" s="62" t="s">
        <v>382</v>
      </c>
      <c r="G749" s="63" t="s">
        <v>415</v>
      </c>
      <c r="H749" s="64" t="n">
        <v>365032427.722816</v>
      </c>
      <c r="I749" s="62" t="s">
        <v>81</v>
      </c>
      <c r="J749" s="64" t="n">
        <v>365032.427722816</v>
      </c>
      <c r="K749" s="62" t="s">
        <v>138</v>
      </c>
      <c r="L749" s="68" t="b">
        <f aca="false">TRUE()</f>
        <v>1</v>
      </c>
    </row>
    <row r="750" customFormat="false" ht="15" hidden="false" customHeight="false" outlineLevel="0" collapsed="false">
      <c r="A750" s="62" t="n">
        <v>0</v>
      </c>
      <c r="B750" s="21" t="s">
        <v>336</v>
      </c>
      <c r="C750" s="62" t="s">
        <v>60</v>
      </c>
      <c r="D750" s="62" t="s">
        <v>388</v>
      </c>
      <c r="E750" s="62" t="s">
        <v>71</v>
      </c>
      <c r="F750" s="62" t="s">
        <v>382</v>
      </c>
      <c r="G750" s="63" t="s">
        <v>415</v>
      </c>
      <c r="H750" s="64" t="n">
        <v>365032427.722816</v>
      </c>
      <c r="I750" s="62" t="s">
        <v>81</v>
      </c>
      <c r="J750" s="64" t="n">
        <v>365032.427722816</v>
      </c>
      <c r="K750" s="62" t="s">
        <v>138</v>
      </c>
      <c r="L750" s="68" t="b">
        <f aca="false">TRUE()</f>
        <v>1</v>
      </c>
    </row>
    <row r="751" customFormat="false" ht="15" hidden="false" customHeight="false" outlineLevel="0" collapsed="false">
      <c r="A751" s="62" t="n">
        <v>0</v>
      </c>
      <c r="B751" s="21" t="s">
        <v>336</v>
      </c>
      <c r="C751" s="62" t="s">
        <v>60</v>
      </c>
      <c r="D751" s="62" t="s">
        <v>381</v>
      </c>
      <c r="E751" s="62" t="s">
        <v>71</v>
      </c>
      <c r="F751" s="62" t="s">
        <v>382</v>
      </c>
      <c r="G751" s="63" t="s">
        <v>416</v>
      </c>
      <c r="H751" s="64" t="n">
        <v>2494602277.72282</v>
      </c>
      <c r="I751" s="62" t="s">
        <v>81</v>
      </c>
      <c r="J751" s="64" t="n">
        <v>2494602.27772282</v>
      </c>
      <c r="K751" s="62" t="s">
        <v>138</v>
      </c>
      <c r="L751" s="68" t="b">
        <f aca="false">TRUE()</f>
        <v>1</v>
      </c>
    </row>
    <row r="752" customFormat="false" ht="15" hidden="false" customHeight="false" outlineLevel="0" collapsed="false">
      <c r="A752" s="62" t="n">
        <v>0</v>
      </c>
      <c r="B752" s="21" t="s">
        <v>336</v>
      </c>
      <c r="C752" s="62" t="s">
        <v>60</v>
      </c>
      <c r="D752" s="62" t="s">
        <v>383</v>
      </c>
      <c r="E752" s="62" t="s">
        <v>71</v>
      </c>
      <c r="F752" s="62" t="s">
        <v>382</v>
      </c>
      <c r="G752" s="63" t="s">
        <v>416</v>
      </c>
      <c r="H752" s="64" t="n">
        <v>2494602277.72282</v>
      </c>
      <c r="I752" s="62" t="s">
        <v>81</v>
      </c>
      <c r="J752" s="64" t="n">
        <v>2494602.27772282</v>
      </c>
      <c r="K752" s="62" t="s">
        <v>138</v>
      </c>
      <c r="L752" s="68" t="b">
        <f aca="false">TRUE()</f>
        <v>1</v>
      </c>
    </row>
    <row r="753" customFormat="false" ht="15" hidden="false" customHeight="false" outlineLevel="0" collapsed="false">
      <c r="A753" s="62" t="n">
        <v>0</v>
      </c>
      <c r="B753" s="21" t="s">
        <v>336</v>
      </c>
      <c r="C753" s="62" t="s">
        <v>60</v>
      </c>
      <c r="D753" s="62" t="s">
        <v>384</v>
      </c>
      <c r="E753" s="62" t="s">
        <v>71</v>
      </c>
      <c r="F753" s="62" t="s">
        <v>382</v>
      </c>
      <c r="G753" s="63" t="s">
        <v>416</v>
      </c>
      <c r="H753" s="64" t="n">
        <v>2494602277.72282</v>
      </c>
      <c r="I753" s="62" t="s">
        <v>81</v>
      </c>
      <c r="J753" s="64" t="n">
        <v>2494602.27772282</v>
      </c>
      <c r="K753" s="62" t="s">
        <v>138</v>
      </c>
      <c r="L753" s="68" t="b">
        <f aca="false">TRUE()</f>
        <v>1</v>
      </c>
    </row>
    <row r="754" customFormat="false" ht="15" hidden="false" customHeight="false" outlineLevel="0" collapsed="false">
      <c r="A754" s="62" t="n">
        <v>0</v>
      </c>
      <c r="B754" s="21" t="s">
        <v>336</v>
      </c>
      <c r="C754" s="62" t="s">
        <v>60</v>
      </c>
      <c r="D754" s="62" t="s">
        <v>385</v>
      </c>
      <c r="E754" s="62" t="s">
        <v>71</v>
      </c>
      <c r="F754" s="62" t="s">
        <v>382</v>
      </c>
      <c r="G754" s="63" t="s">
        <v>416</v>
      </c>
      <c r="H754" s="64" t="n">
        <v>2494602277.72282</v>
      </c>
      <c r="I754" s="62" t="s">
        <v>81</v>
      </c>
      <c r="J754" s="64" t="n">
        <v>2494602.27772282</v>
      </c>
      <c r="K754" s="62" t="s">
        <v>138</v>
      </c>
      <c r="L754" s="68" t="b">
        <f aca="false">TRUE()</f>
        <v>1</v>
      </c>
    </row>
    <row r="755" customFormat="false" ht="15" hidden="false" customHeight="false" outlineLevel="0" collapsed="false">
      <c r="A755" s="62" t="n">
        <v>0</v>
      </c>
      <c r="B755" s="21" t="s">
        <v>336</v>
      </c>
      <c r="C755" s="62" t="s">
        <v>60</v>
      </c>
      <c r="D755" s="62" t="s">
        <v>386</v>
      </c>
      <c r="E755" s="62" t="s">
        <v>71</v>
      </c>
      <c r="F755" s="62" t="s">
        <v>382</v>
      </c>
      <c r="G755" s="63" t="s">
        <v>416</v>
      </c>
      <c r="H755" s="64" t="n">
        <v>2494602277.72282</v>
      </c>
      <c r="I755" s="62" t="s">
        <v>81</v>
      </c>
      <c r="J755" s="64" t="n">
        <v>2494602.27772282</v>
      </c>
      <c r="K755" s="62" t="s">
        <v>138</v>
      </c>
      <c r="L755" s="68" t="b">
        <f aca="false">TRUE()</f>
        <v>1</v>
      </c>
    </row>
    <row r="756" customFormat="false" ht="15" hidden="false" customHeight="false" outlineLevel="0" collapsed="false">
      <c r="A756" s="62" t="n">
        <v>0</v>
      </c>
      <c r="B756" s="21" t="s">
        <v>336</v>
      </c>
      <c r="C756" s="62" t="s">
        <v>60</v>
      </c>
      <c r="D756" s="62" t="s">
        <v>387</v>
      </c>
      <c r="E756" s="62" t="s">
        <v>71</v>
      </c>
      <c r="F756" s="62" t="s">
        <v>382</v>
      </c>
      <c r="G756" s="63" t="s">
        <v>416</v>
      </c>
      <c r="H756" s="64" t="n">
        <v>2494602277.72282</v>
      </c>
      <c r="I756" s="62" t="s">
        <v>81</v>
      </c>
      <c r="J756" s="64" t="n">
        <v>2494602.27772282</v>
      </c>
      <c r="K756" s="62" t="s">
        <v>138</v>
      </c>
      <c r="L756" s="68" t="b">
        <f aca="false">TRUE()</f>
        <v>1</v>
      </c>
    </row>
    <row r="757" customFormat="false" ht="15" hidden="false" customHeight="false" outlineLevel="0" collapsed="false">
      <c r="A757" s="62" t="n">
        <v>0</v>
      </c>
      <c r="B757" s="21" t="s">
        <v>336</v>
      </c>
      <c r="C757" s="62" t="s">
        <v>60</v>
      </c>
      <c r="D757" s="62" t="s">
        <v>388</v>
      </c>
      <c r="E757" s="62" t="s">
        <v>71</v>
      </c>
      <c r="F757" s="62" t="s">
        <v>382</v>
      </c>
      <c r="G757" s="63" t="s">
        <v>416</v>
      </c>
      <c r="H757" s="64" t="n">
        <v>2494602277.72282</v>
      </c>
      <c r="I757" s="62" t="s">
        <v>81</v>
      </c>
      <c r="J757" s="64" t="n">
        <v>2494602.27772282</v>
      </c>
      <c r="K757" s="62" t="s">
        <v>138</v>
      </c>
      <c r="L757" s="68" t="b">
        <f aca="false">TRUE()</f>
        <v>1</v>
      </c>
    </row>
    <row r="758" customFormat="false" ht="15" hidden="false" customHeight="false" outlineLevel="0" collapsed="false">
      <c r="A758" s="62" t="n">
        <v>0</v>
      </c>
      <c r="B758" s="21" t="s">
        <v>336</v>
      </c>
      <c r="C758" s="62" t="s">
        <v>60</v>
      </c>
      <c r="D758" s="62" t="s">
        <v>381</v>
      </c>
      <c r="E758" s="62" t="s">
        <v>71</v>
      </c>
      <c r="F758" s="62" t="s">
        <v>382</v>
      </c>
      <c r="G758" s="63" t="s">
        <v>396</v>
      </c>
      <c r="H758" s="64" t="n">
        <v>1500000000</v>
      </c>
      <c r="I758" s="62" t="s">
        <v>81</v>
      </c>
      <c r="J758" s="64" t="n">
        <v>1500000</v>
      </c>
      <c r="K758" s="62" t="s">
        <v>138</v>
      </c>
      <c r="L758" s="68" t="b">
        <f aca="false">TRUE()</f>
        <v>1</v>
      </c>
    </row>
    <row r="759" customFormat="false" ht="15" hidden="false" customHeight="false" outlineLevel="0" collapsed="false">
      <c r="A759" s="62" t="n">
        <v>0</v>
      </c>
      <c r="B759" s="21" t="s">
        <v>336</v>
      </c>
      <c r="C759" s="62" t="s">
        <v>60</v>
      </c>
      <c r="D759" s="62" t="s">
        <v>383</v>
      </c>
      <c r="E759" s="62" t="s">
        <v>71</v>
      </c>
      <c r="F759" s="62" t="s">
        <v>382</v>
      </c>
      <c r="G759" s="63" t="s">
        <v>396</v>
      </c>
      <c r="H759" s="64" t="n">
        <v>1500000000</v>
      </c>
      <c r="I759" s="62" t="s">
        <v>81</v>
      </c>
      <c r="J759" s="64" t="n">
        <v>1500000</v>
      </c>
      <c r="K759" s="62" t="s">
        <v>138</v>
      </c>
      <c r="L759" s="68" t="b">
        <f aca="false">TRUE()</f>
        <v>1</v>
      </c>
    </row>
    <row r="760" customFormat="false" ht="15" hidden="false" customHeight="false" outlineLevel="0" collapsed="false">
      <c r="A760" s="62" t="n">
        <v>0</v>
      </c>
      <c r="B760" s="21" t="s">
        <v>336</v>
      </c>
      <c r="C760" s="62" t="s">
        <v>60</v>
      </c>
      <c r="D760" s="62" t="s">
        <v>384</v>
      </c>
      <c r="E760" s="62" t="s">
        <v>71</v>
      </c>
      <c r="F760" s="62" t="s">
        <v>382</v>
      </c>
      <c r="G760" s="63" t="s">
        <v>396</v>
      </c>
      <c r="H760" s="64" t="n">
        <v>1500000000</v>
      </c>
      <c r="I760" s="62" t="s">
        <v>81</v>
      </c>
      <c r="J760" s="64" t="n">
        <v>1500000</v>
      </c>
      <c r="K760" s="62" t="s">
        <v>138</v>
      </c>
      <c r="L760" s="68" t="b">
        <f aca="false">TRUE()</f>
        <v>1</v>
      </c>
    </row>
    <row r="761" customFormat="false" ht="15" hidden="false" customHeight="false" outlineLevel="0" collapsed="false">
      <c r="A761" s="62" t="n">
        <v>0</v>
      </c>
      <c r="B761" s="21" t="s">
        <v>336</v>
      </c>
      <c r="C761" s="62" t="s">
        <v>60</v>
      </c>
      <c r="D761" s="62" t="s">
        <v>385</v>
      </c>
      <c r="E761" s="62" t="s">
        <v>71</v>
      </c>
      <c r="F761" s="62" t="s">
        <v>382</v>
      </c>
      <c r="G761" s="63" t="s">
        <v>396</v>
      </c>
      <c r="H761" s="64" t="n">
        <v>1500000000</v>
      </c>
      <c r="I761" s="62" t="s">
        <v>81</v>
      </c>
      <c r="J761" s="64" t="n">
        <v>1500000</v>
      </c>
      <c r="K761" s="62" t="s">
        <v>138</v>
      </c>
      <c r="L761" s="68" t="b">
        <f aca="false">TRUE()</f>
        <v>1</v>
      </c>
    </row>
    <row r="762" customFormat="false" ht="15" hidden="false" customHeight="false" outlineLevel="0" collapsed="false">
      <c r="A762" s="62" t="n">
        <v>0</v>
      </c>
      <c r="B762" s="21" t="s">
        <v>336</v>
      </c>
      <c r="C762" s="62" t="s">
        <v>60</v>
      </c>
      <c r="D762" s="62" t="s">
        <v>386</v>
      </c>
      <c r="E762" s="62" t="s">
        <v>71</v>
      </c>
      <c r="F762" s="62" t="s">
        <v>382</v>
      </c>
      <c r="G762" s="63" t="s">
        <v>396</v>
      </c>
      <c r="H762" s="64" t="n">
        <v>1500000000</v>
      </c>
      <c r="I762" s="62" t="s">
        <v>81</v>
      </c>
      <c r="J762" s="64" t="n">
        <v>1500000</v>
      </c>
      <c r="K762" s="62" t="s">
        <v>138</v>
      </c>
      <c r="L762" s="68" t="b">
        <f aca="false">TRUE()</f>
        <v>1</v>
      </c>
    </row>
    <row r="763" customFormat="false" ht="15" hidden="false" customHeight="false" outlineLevel="0" collapsed="false">
      <c r="A763" s="62" t="n">
        <v>0</v>
      </c>
      <c r="B763" s="21" t="s">
        <v>336</v>
      </c>
      <c r="C763" s="62" t="s">
        <v>60</v>
      </c>
      <c r="D763" s="62" t="s">
        <v>387</v>
      </c>
      <c r="E763" s="62" t="s">
        <v>71</v>
      </c>
      <c r="F763" s="62" t="s">
        <v>382</v>
      </c>
      <c r="G763" s="63" t="s">
        <v>396</v>
      </c>
      <c r="H763" s="64" t="n">
        <v>1500000000</v>
      </c>
      <c r="I763" s="62" t="s">
        <v>81</v>
      </c>
      <c r="J763" s="64" t="n">
        <v>1500000</v>
      </c>
      <c r="K763" s="62" t="s">
        <v>138</v>
      </c>
      <c r="L763" s="68" t="b">
        <f aca="false">TRUE()</f>
        <v>1</v>
      </c>
    </row>
    <row r="764" customFormat="false" ht="15" hidden="false" customHeight="false" outlineLevel="0" collapsed="false">
      <c r="A764" s="62" t="n">
        <v>0</v>
      </c>
      <c r="B764" s="21" t="s">
        <v>336</v>
      </c>
      <c r="C764" s="62" t="s">
        <v>60</v>
      </c>
      <c r="D764" s="62" t="s">
        <v>388</v>
      </c>
      <c r="E764" s="62" t="s">
        <v>71</v>
      </c>
      <c r="F764" s="62" t="s">
        <v>382</v>
      </c>
      <c r="G764" s="63" t="s">
        <v>396</v>
      </c>
      <c r="H764" s="64" t="n">
        <v>1500000000</v>
      </c>
      <c r="I764" s="62" t="s">
        <v>81</v>
      </c>
      <c r="J764" s="64" t="n">
        <v>1500000</v>
      </c>
      <c r="K764" s="62" t="s">
        <v>138</v>
      </c>
      <c r="L764" s="68" t="b">
        <f aca="false">TRUE()</f>
        <v>1</v>
      </c>
    </row>
    <row r="765" customFormat="false" ht="15" hidden="false" customHeight="false" outlineLevel="0" collapsed="false">
      <c r="A765" s="62" t="n">
        <v>0</v>
      </c>
      <c r="B765" s="21" t="s">
        <v>336</v>
      </c>
      <c r="C765" s="62" t="s">
        <v>60</v>
      </c>
      <c r="D765" s="62" t="s">
        <v>381</v>
      </c>
      <c r="E765" s="62" t="s">
        <v>71</v>
      </c>
      <c r="F765" s="62" t="s">
        <v>382</v>
      </c>
      <c r="G765" s="63" t="s">
        <v>417</v>
      </c>
      <c r="H765" s="64" t="n">
        <v>387880736.048881</v>
      </c>
      <c r="I765" s="62" t="s">
        <v>81</v>
      </c>
      <c r="J765" s="64" t="n">
        <v>387880.736048881</v>
      </c>
      <c r="K765" s="62" t="s">
        <v>138</v>
      </c>
      <c r="L765" s="68" t="b">
        <f aca="false">TRUE()</f>
        <v>1</v>
      </c>
    </row>
    <row r="766" customFormat="false" ht="15" hidden="false" customHeight="false" outlineLevel="0" collapsed="false">
      <c r="A766" s="62" t="n">
        <v>0</v>
      </c>
      <c r="B766" s="21" t="s">
        <v>336</v>
      </c>
      <c r="C766" s="62" t="s">
        <v>60</v>
      </c>
      <c r="D766" s="62" t="s">
        <v>383</v>
      </c>
      <c r="E766" s="62" t="s">
        <v>71</v>
      </c>
      <c r="F766" s="62" t="s">
        <v>382</v>
      </c>
      <c r="G766" s="63" t="s">
        <v>417</v>
      </c>
      <c r="H766" s="64" t="n">
        <v>387880736.048881</v>
      </c>
      <c r="I766" s="62" t="s">
        <v>81</v>
      </c>
      <c r="J766" s="64" t="n">
        <v>387880.736048881</v>
      </c>
      <c r="K766" s="62" t="s">
        <v>138</v>
      </c>
      <c r="L766" s="68" t="b">
        <f aca="false">TRUE()</f>
        <v>1</v>
      </c>
    </row>
    <row r="767" customFormat="false" ht="15" hidden="false" customHeight="false" outlineLevel="0" collapsed="false">
      <c r="A767" s="62" t="n">
        <v>0</v>
      </c>
      <c r="B767" s="21" t="s">
        <v>336</v>
      </c>
      <c r="C767" s="62" t="s">
        <v>60</v>
      </c>
      <c r="D767" s="62" t="s">
        <v>384</v>
      </c>
      <c r="E767" s="62" t="s">
        <v>71</v>
      </c>
      <c r="F767" s="62" t="s">
        <v>382</v>
      </c>
      <c r="G767" s="63" t="s">
        <v>417</v>
      </c>
      <c r="H767" s="64" t="n">
        <v>387880736.048881</v>
      </c>
      <c r="I767" s="62" t="s">
        <v>81</v>
      </c>
      <c r="J767" s="64" t="n">
        <v>387880.736048881</v>
      </c>
      <c r="K767" s="62" t="s">
        <v>138</v>
      </c>
      <c r="L767" s="68" t="b">
        <f aca="false">TRUE()</f>
        <v>1</v>
      </c>
    </row>
    <row r="768" customFormat="false" ht="15" hidden="false" customHeight="false" outlineLevel="0" collapsed="false">
      <c r="A768" s="62" t="n">
        <v>0</v>
      </c>
      <c r="B768" s="21" t="s">
        <v>336</v>
      </c>
      <c r="C768" s="62" t="s">
        <v>60</v>
      </c>
      <c r="D768" s="62" t="s">
        <v>385</v>
      </c>
      <c r="E768" s="62" t="s">
        <v>71</v>
      </c>
      <c r="F768" s="62" t="s">
        <v>382</v>
      </c>
      <c r="G768" s="63" t="s">
        <v>417</v>
      </c>
      <c r="H768" s="64" t="n">
        <v>387880736.048881</v>
      </c>
      <c r="I768" s="62" t="s">
        <v>81</v>
      </c>
      <c r="J768" s="64" t="n">
        <v>387880.736048881</v>
      </c>
      <c r="K768" s="62" t="s">
        <v>138</v>
      </c>
      <c r="L768" s="68" t="b">
        <f aca="false">TRUE()</f>
        <v>1</v>
      </c>
    </row>
    <row r="769" customFormat="false" ht="15" hidden="false" customHeight="false" outlineLevel="0" collapsed="false">
      <c r="A769" s="62" t="n">
        <v>0</v>
      </c>
      <c r="B769" s="21" t="s">
        <v>336</v>
      </c>
      <c r="C769" s="62" t="s">
        <v>60</v>
      </c>
      <c r="D769" s="62" t="s">
        <v>386</v>
      </c>
      <c r="E769" s="62" t="s">
        <v>71</v>
      </c>
      <c r="F769" s="62" t="s">
        <v>382</v>
      </c>
      <c r="G769" s="63" t="s">
        <v>417</v>
      </c>
      <c r="H769" s="64" t="n">
        <v>387880736.048881</v>
      </c>
      <c r="I769" s="62" t="s">
        <v>81</v>
      </c>
      <c r="J769" s="64" t="n">
        <v>387880.736048881</v>
      </c>
      <c r="K769" s="62" t="s">
        <v>138</v>
      </c>
      <c r="L769" s="68" t="b">
        <f aca="false">TRUE()</f>
        <v>1</v>
      </c>
    </row>
    <row r="770" customFormat="false" ht="15" hidden="false" customHeight="false" outlineLevel="0" collapsed="false">
      <c r="A770" s="62" t="n">
        <v>0</v>
      </c>
      <c r="B770" s="21" t="s">
        <v>336</v>
      </c>
      <c r="C770" s="62" t="s">
        <v>60</v>
      </c>
      <c r="D770" s="62" t="s">
        <v>387</v>
      </c>
      <c r="E770" s="62" t="s">
        <v>71</v>
      </c>
      <c r="F770" s="62" t="s">
        <v>382</v>
      </c>
      <c r="G770" s="63" t="s">
        <v>417</v>
      </c>
      <c r="H770" s="64" t="n">
        <v>387880736.048881</v>
      </c>
      <c r="I770" s="62" t="s">
        <v>81</v>
      </c>
      <c r="J770" s="64" t="n">
        <v>387880.736048881</v>
      </c>
      <c r="K770" s="62" t="s">
        <v>138</v>
      </c>
      <c r="L770" s="68" t="b">
        <f aca="false">TRUE()</f>
        <v>1</v>
      </c>
    </row>
    <row r="771" customFormat="false" ht="15" hidden="false" customHeight="false" outlineLevel="0" collapsed="false">
      <c r="A771" s="62" t="n">
        <v>0</v>
      </c>
      <c r="B771" s="21" t="s">
        <v>336</v>
      </c>
      <c r="C771" s="62" t="s">
        <v>60</v>
      </c>
      <c r="D771" s="62" t="s">
        <v>388</v>
      </c>
      <c r="E771" s="62" t="s">
        <v>71</v>
      </c>
      <c r="F771" s="62" t="s">
        <v>382</v>
      </c>
      <c r="G771" s="63" t="s">
        <v>417</v>
      </c>
      <c r="H771" s="64" t="n">
        <v>387880736.048881</v>
      </c>
      <c r="I771" s="62" t="s">
        <v>81</v>
      </c>
      <c r="J771" s="64" t="n">
        <v>387880.736048881</v>
      </c>
      <c r="K771" s="62" t="s">
        <v>138</v>
      </c>
      <c r="L771" s="68" t="b">
        <f aca="false">TRUE()</f>
        <v>1</v>
      </c>
    </row>
    <row r="772" customFormat="false" ht="15" hidden="false" customHeight="false" outlineLevel="0" collapsed="false">
      <c r="A772" s="62" t="n">
        <v>0</v>
      </c>
      <c r="B772" s="21" t="s">
        <v>336</v>
      </c>
      <c r="C772" s="62" t="s">
        <v>60</v>
      </c>
      <c r="D772" s="62" t="s">
        <v>381</v>
      </c>
      <c r="E772" s="62" t="s">
        <v>71</v>
      </c>
      <c r="F772" s="62" t="s">
        <v>382</v>
      </c>
      <c r="G772" s="63" t="s">
        <v>398</v>
      </c>
      <c r="H772" s="64" t="n">
        <v>780706000</v>
      </c>
      <c r="I772" s="62" t="s">
        <v>81</v>
      </c>
      <c r="J772" s="64" t="n">
        <v>780706</v>
      </c>
      <c r="K772" s="62" t="s">
        <v>138</v>
      </c>
      <c r="L772" s="68" t="b">
        <f aca="false">TRUE()</f>
        <v>1</v>
      </c>
    </row>
    <row r="773" customFormat="false" ht="15" hidden="false" customHeight="false" outlineLevel="0" collapsed="false">
      <c r="A773" s="62" t="n">
        <v>0</v>
      </c>
      <c r="B773" s="21" t="s">
        <v>336</v>
      </c>
      <c r="C773" s="62" t="s">
        <v>60</v>
      </c>
      <c r="D773" s="62" t="s">
        <v>383</v>
      </c>
      <c r="E773" s="62" t="s">
        <v>71</v>
      </c>
      <c r="F773" s="62" t="s">
        <v>382</v>
      </c>
      <c r="G773" s="63" t="s">
        <v>398</v>
      </c>
      <c r="H773" s="64" t="n">
        <v>780706000</v>
      </c>
      <c r="I773" s="62" t="s">
        <v>81</v>
      </c>
      <c r="J773" s="64" t="n">
        <v>780706</v>
      </c>
      <c r="K773" s="62" t="s">
        <v>138</v>
      </c>
      <c r="L773" s="68" t="b">
        <f aca="false">TRUE()</f>
        <v>1</v>
      </c>
    </row>
    <row r="774" customFormat="false" ht="15" hidden="false" customHeight="false" outlineLevel="0" collapsed="false">
      <c r="A774" s="62" t="n">
        <v>0</v>
      </c>
      <c r="B774" s="21" t="s">
        <v>336</v>
      </c>
      <c r="C774" s="62" t="s">
        <v>60</v>
      </c>
      <c r="D774" s="62" t="s">
        <v>384</v>
      </c>
      <c r="E774" s="62" t="s">
        <v>71</v>
      </c>
      <c r="F774" s="62" t="s">
        <v>382</v>
      </c>
      <c r="G774" s="63" t="s">
        <v>398</v>
      </c>
      <c r="H774" s="64" t="n">
        <v>780706000</v>
      </c>
      <c r="I774" s="62" t="s">
        <v>81</v>
      </c>
      <c r="J774" s="64" t="n">
        <v>780706</v>
      </c>
      <c r="K774" s="62" t="s">
        <v>138</v>
      </c>
      <c r="L774" s="68" t="b">
        <f aca="false">TRUE()</f>
        <v>1</v>
      </c>
    </row>
    <row r="775" customFormat="false" ht="15" hidden="false" customHeight="false" outlineLevel="0" collapsed="false">
      <c r="A775" s="62" t="n">
        <v>0</v>
      </c>
      <c r="B775" s="21" t="s">
        <v>336</v>
      </c>
      <c r="C775" s="62" t="s">
        <v>60</v>
      </c>
      <c r="D775" s="62" t="s">
        <v>385</v>
      </c>
      <c r="E775" s="62" t="s">
        <v>71</v>
      </c>
      <c r="F775" s="62" t="s">
        <v>382</v>
      </c>
      <c r="G775" s="63" t="s">
        <v>398</v>
      </c>
      <c r="H775" s="64" t="n">
        <v>780706000</v>
      </c>
      <c r="I775" s="62" t="s">
        <v>81</v>
      </c>
      <c r="J775" s="64" t="n">
        <v>780706</v>
      </c>
      <c r="K775" s="62" t="s">
        <v>138</v>
      </c>
      <c r="L775" s="68" t="b">
        <f aca="false">TRUE()</f>
        <v>1</v>
      </c>
    </row>
    <row r="776" customFormat="false" ht="15" hidden="false" customHeight="false" outlineLevel="0" collapsed="false">
      <c r="A776" s="62" t="n">
        <v>0</v>
      </c>
      <c r="B776" s="21" t="s">
        <v>336</v>
      </c>
      <c r="C776" s="62" t="s">
        <v>60</v>
      </c>
      <c r="D776" s="62" t="s">
        <v>386</v>
      </c>
      <c r="E776" s="62" t="s">
        <v>71</v>
      </c>
      <c r="F776" s="62" t="s">
        <v>382</v>
      </c>
      <c r="G776" s="63" t="s">
        <v>398</v>
      </c>
      <c r="H776" s="64" t="n">
        <v>780706000</v>
      </c>
      <c r="I776" s="62" t="s">
        <v>81</v>
      </c>
      <c r="J776" s="64" t="n">
        <v>780706</v>
      </c>
      <c r="K776" s="62" t="s">
        <v>138</v>
      </c>
      <c r="L776" s="68" t="b">
        <f aca="false">TRUE()</f>
        <v>1</v>
      </c>
    </row>
    <row r="777" customFormat="false" ht="15" hidden="false" customHeight="false" outlineLevel="0" collapsed="false">
      <c r="A777" s="62" t="n">
        <v>0</v>
      </c>
      <c r="B777" s="21" t="s">
        <v>336</v>
      </c>
      <c r="C777" s="62" t="s">
        <v>60</v>
      </c>
      <c r="D777" s="62" t="s">
        <v>387</v>
      </c>
      <c r="E777" s="62" t="s">
        <v>71</v>
      </c>
      <c r="F777" s="62" t="s">
        <v>382</v>
      </c>
      <c r="G777" s="63" t="s">
        <v>398</v>
      </c>
      <c r="H777" s="64" t="n">
        <v>780706000</v>
      </c>
      <c r="I777" s="62" t="s">
        <v>81</v>
      </c>
      <c r="J777" s="64" t="n">
        <v>780706</v>
      </c>
      <c r="K777" s="62" t="s">
        <v>138</v>
      </c>
      <c r="L777" s="68" t="b">
        <f aca="false">TRUE()</f>
        <v>1</v>
      </c>
    </row>
    <row r="778" customFormat="false" ht="15" hidden="false" customHeight="false" outlineLevel="0" collapsed="false">
      <c r="A778" s="62" t="n">
        <v>0</v>
      </c>
      <c r="B778" s="21" t="s">
        <v>336</v>
      </c>
      <c r="C778" s="62" t="s">
        <v>60</v>
      </c>
      <c r="D778" s="62" t="s">
        <v>388</v>
      </c>
      <c r="E778" s="62" t="s">
        <v>71</v>
      </c>
      <c r="F778" s="62" t="s">
        <v>382</v>
      </c>
      <c r="G778" s="63" t="s">
        <v>398</v>
      </c>
      <c r="H778" s="64" t="n">
        <v>780706000</v>
      </c>
      <c r="I778" s="62" t="s">
        <v>81</v>
      </c>
      <c r="J778" s="64" t="n">
        <v>780706</v>
      </c>
      <c r="K778" s="62" t="s">
        <v>138</v>
      </c>
      <c r="L778" s="68" t="b">
        <f aca="false">TRUE()</f>
        <v>1</v>
      </c>
    </row>
    <row r="779" customFormat="false" ht="15" hidden="false" customHeight="false" outlineLevel="0" collapsed="false">
      <c r="A779" s="62" t="n">
        <v>0</v>
      </c>
      <c r="B779" s="21" t="s">
        <v>336</v>
      </c>
      <c r="C779" s="62" t="s">
        <v>60</v>
      </c>
      <c r="D779" s="62" t="s">
        <v>381</v>
      </c>
      <c r="E779" s="62" t="s">
        <v>71</v>
      </c>
      <c r="F779" s="62" t="s">
        <v>382</v>
      </c>
      <c r="G779" s="63" t="s">
        <v>418</v>
      </c>
      <c r="H779" s="64" t="n">
        <v>2668586736.04888</v>
      </c>
      <c r="I779" s="62" t="s">
        <v>81</v>
      </c>
      <c r="J779" s="64" t="n">
        <v>2668586.73604888</v>
      </c>
      <c r="K779" s="62" t="s">
        <v>138</v>
      </c>
      <c r="L779" s="68" t="b">
        <f aca="false">TRUE()</f>
        <v>1</v>
      </c>
    </row>
    <row r="780" customFormat="false" ht="15" hidden="false" customHeight="false" outlineLevel="0" collapsed="false">
      <c r="A780" s="62" t="n">
        <v>0</v>
      </c>
      <c r="B780" s="21" t="s">
        <v>336</v>
      </c>
      <c r="C780" s="62" t="s">
        <v>60</v>
      </c>
      <c r="D780" s="62" t="s">
        <v>383</v>
      </c>
      <c r="E780" s="62" t="s">
        <v>71</v>
      </c>
      <c r="F780" s="62" t="s">
        <v>382</v>
      </c>
      <c r="G780" s="63" t="s">
        <v>418</v>
      </c>
      <c r="H780" s="64" t="n">
        <v>2668586736.04888</v>
      </c>
      <c r="I780" s="62" t="s">
        <v>81</v>
      </c>
      <c r="J780" s="64" t="n">
        <v>2668586.73604888</v>
      </c>
      <c r="K780" s="62" t="s">
        <v>138</v>
      </c>
      <c r="L780" s="68" t="b">
        <f aca="false">TRUE()</f>
        <v>1</v>
      </c>
    </row>
    <row r="781" customFormat="false" ht="15" hidden="false" customHeight="false" outlineLevel="0" collapsed="false">
      <c r="A781" s="62" t="n">
        <v>0</v>
      </c>
      <c r="B781" s="21" t="s">
        <v>336</v>
      </c>
      <c r="C781" s="62" t="s">
        <v>60</v>
      </c>
      <c r="D781" s="62" t="s">
        <v>384</v>
      </c>
      <c r="E781" s="62" t="s">
        <v>71</v>
      </c>
      <c r="F781" s="62" t="s">
        <v>382</v>
      </c>
      <c r="G781" s="63" t="s">
        <v>418</v>
      </c>
      <c r="H781" s="64" t="n">
        <v>2668586736.04888</v>
      </c>
      <c r="I781" s="62" t="s">
        <v>81</v>
      </c>
      <c r="J781" s="64" t="n">
        <v>2668586.73604888</v>
      </c>
      <c r="K781" s="62" t="s">
        <v>138</v>
      </c>
      <c r="L781" s="68" t="b">
        <f aca="false">TRUE()</f>
        <v>1</v>
      </c>
    </row>
    <row r="782" customFormat="false" ht="15" hidden="false" customHeight="false" outlineLevel="0" collapsed="false">
      <c r="A782" s="62" t="n">
        <v>0</v>
      </c>
      <c r="B782" s="21" t="s">
        <v>336</v>
      </c>
      <c r="C782" s="62" t="s">
        <v>60</v>
      </c>
      <c r="D782" s="62" t="s">
        <v>385</v>
      </c>
      <c r="E782" s="62" t="s">
        <v>71</v>
      </c>
      <c r="F782" s="62" t="s">
        <v>382</v>
      </c>
      <c r="G782" s="63" t="s">
        <v>418</v>
      </c>
      <c r="H782" s="64" t="n">
        <v>2668586736.04888</v>
      </c>
      <c r="I782" s="62" t="s">
        <v>81</v>
      </c>
      <c r="J782" s="64" t="n">
        <v>2668586.73604888</v>
      </c>
      <c r="K782" s="62" t="s">
        <v>138</v>
      </c>
      <c r="L782" s="68" t="b">
        <f aca="false">TRUE()</f>
        <v>1</v>
      </c>
    </row>
    <row r="783" customFormat="false" ht="15" hidden="false" customHeight="false" outlineLevel="0" collapsed="false">
      <c r="A783" s="62" t="n">
        <v>0</v>
      </c>
      <c r="B783" s="21" t="s">
        <v>336</v>
      </c>
      <c r="C783" s="62" t="s">
        <v>60</v>
      </c>
      <c r="D783" s="62" t="s">
        <v>386</v>
      </c>
      <c r="E783" s="62" t="s">
        <v>71</v>
      </c>
      <c r="F783" s="62" t="s">
        <v>382</v>
      </c>
      <c r="G783" s="63" t="s">
        <v>418</v>
      </c>
      <c r="H783" s="64" t="n">
        <v>2668586736.04888</v>
      </c>
      <c r="I783" s="62" t="s">
        <v>81</v>
      </c>
      <c r="J783" s="64" t="n">
        <v>2668586.73604888</v>
      </c>
      <c r="K783" s="62" t="s">
        <v>138</v>
      </c>
      <c r="L783" s="68" t="b">
        <f aca="false">TRUE()</f>
        <v>1</v>
      </c>
    </row>
    <row r="784" customFormat="false" ht="15" hidden="false" customHeight="false" outlineLevel="0" collapsed="false">
      <c r="A784" s="62" t="n">
        <v>0</v>
      </c>
      <c r="B784" s="21" t="s">
        <v>336</v>
      </c>
      <c r="C784" s="62" t="s">
        <v>60</v>
      </c>
      <c r="D784" s="62" t="s">
        <v>387</v>
      </c>
      <c r="E784" s="62" t="s">
        <v>71</v>
      </c>
      <c r="F784" s="62" t="s">
        <v>382</v>
      </c>
      <c r="G784" s="63" t="s">
        <v>418</v>
      </c>
      <c r="H784" s="64" t="n">
        <v>2668586736.04888</v>
      </c>
      <c r="I784" s="62" t="s">
        <v>81</v>
      </c>
      <c r="J784" s="64" t="n">
        <v>2668586.73604888</v>
      </c>
      <c r="K784" s="62" t="s">
        <v>138</v>
      </c>
      <c r="L784" s="68" t="b">
        <f aca="false">TRUE()</f>
        <v>1</v>
      </c>
    </row>
    <row r="785" customFormat="false" ht="15" hidden="false" customHeight="false" outlineLevel="0" collapsed="false">
      <c r="A785" s="62" t="n">
        <v>0</v>
      </c>
      <c r="B785" s="21" t="s">
        <v>336</v>
      </c>
      <c r="C785" s="62" t="s">
        <v>60</v>
      </c>
      <c r="D785" s="62" t="s">
        <v>388</v>
      </c>
      <c r="E785" s="62" t="s">
        <v>71</v>
      </c>
      <c r="F785" s="62" t="s">
        <v>382</v>
      </c>
      <c r="G785" s="63" t="s">
        <v>418</v>
      </c>
      <c r="H785" s="64" t="n">
        <v>2668586736.04888</v>
      </c>
      <c r="I785" s="62" t="s">
        <v>81</v>
      </c>
      <c r="J785" s="64" t="n">
        <v>2668586.73604888</v>
      </c>
      <c r="K785" s="62" t="s">
        <v>138</v>
      </c>
      <c r="L785" s="68" t="b">
        <f aca="false">TRUE()</f>
        <v>1</v>
      </c>
    </row>
    <row r="786" customFormat="false" ht="15" hidden="false" customHeight="false" outlineLevel="0" collapsed="false">
      <c r="A786" s="62" t="n">
        <v>0</v>
      </c>
      <c r="B786" s="21" t="s">
        <v>336</v>
      </c>
      <c r="C786" s="62" t="s">
        <v>60</v>
      </c>
      <c r="D786" s="62" t="s">
        <v>381</v>
      </c>
      <c r="E786" s="62" t="s">
        <v>71</v>
      </c>
      <c r="F786" s="62" t="s">
        <v>382</v>
      </c>
      <c r="G786" s="63" t="s">
        <v>420</v>
      </c>
      <c r="H786" s="64" t="n">
        <v>0</v>
      </c>
      <c r="I786" s="62" t="s">
        <v>81</v>
      </c>
      <c r="J786" s="64" t="n">
        <v>0</v>
      </c>
      <c r="K786" s="62" t="s">
        <v>138</v>
      </c>
      <c r="L786" s="68" t="b">
        <f aca="false">TRUE()</f>
        <v>1</v>
      </c>
    </row>
    <row r="787" customFormat="false" ht="15" hidden="false" customHeight="false" outlineLevel="0" collapsed="false">
      <c r="A787" s="62" t="n">
        <v>0</v>
      </c>
      <c r="B787" s="21" t="s">
        <v>336</v>
      </c>
      <c r="C787" s="62" t="s">
        <v>60</v>
      </c>
      <c r="D787" s="62" t="s">
        <v>383</v>
      </c>
      <c r="E787" s="62" t="s">
        <v>71</v>
      </c>
      <c r="F787" s="62" t="s">
        <v>382</v>
      </c>
      <c r="G787" s="63" t="s">
        <v>420</v>
      </c>
      <c r="H787" s="64" t="n">
        <v>0</v>
      </c>
      <c r="I787" s="62" t="s">
        <v>81</v>
      </c>
      <c r="J787" s="64" t="n">
        <v>0</v>
      </c>
      <c r="K787" s="62" t="s">
        <v>138</v>
      </c>
      <c r="L787" s="68" t="b">
        <f aca="false">TRUE()</f>
        <v>1</v>
      </c>
    </row>
    <row r="788" customFormat="false" ht="15" hidden="false" customHeight="false" outlineLevel="0" collapsed="false">
      <c r="A788" s="62" t="n">
        <v>0</v>
      </c>
      <c r="B788" s="21" t="s">
        <v>336</v>
      </c>
      <c r="C788" s="62" t="s">
        <v>60</v>
      </c>
      <c r="D788" s="62" t="s">
        <v>384</v>
      </c>
      <c r="E788" s="62" t="s">
        <v>71</v>
      </c>
      <c r="F788" s="62" t="s">
        <v>382</v>
      </c>
      <c r="G788" s="63" t="s">
        <v>420</v>
      </c>
      <c r="H788" s="64" t="n">
        <v>0</v>
      </c>
      <c r="I788" s="62" t="s">
        <v>81</v>
      </c>
      <c r="J788" s="64" t="n">
        <v>0</v>
      </c>
      <c r="K788" s="62" t="s">
        <v>138</v>
      </c>
      <c r="L788" s="68" t="b">
        <f aca="false">TRUE()</f>
        <v>1</v>
      </c>
    </row>
    <row r="789" customFormat="false" ht="15" hidden="false" customHeight="false" outlineLevel="0" collapsed="false">
      <c r="A789" s="62" t="n">
        <v>0</v>
      </c>
      <c r="B789" s="21" t="s">
        <v>336</v>
      </c>
      <c r="C789" s="62" t="s">
        <v>60</v>
      </c>
      <c r="D789" s="62" t="s">
        <v>385</v>
      </c>
      <c r="E789" s="62" t="s">
        <v>71</v>
      </c>
      <c r="F789" s="62" t="s">
        <v>382</v>
      </c>
      <c r="G789" s="63" t="s">
        <v>420</v>
      </c>
      <c r="H789" s="64" t="n">
        <v>0</v>
      </c>
      <c r="I789" s="62" t="s">
        <v>81</v>
      </c>
      <c r="J789" s="64" t="n">
        <v>0</v>
      </c>
      <c r="K789" s="62" t="s">
        <v>138</v>
      </c>
      <c r="L789" s="68" t="b">
        <f aca="false">TRUE()</f>
        <v>1</v>
      </c>
    </row>
    <row r="790" customFormat="false" ht="15" hidden="false" customHeight="false" outlineLevel="0" collapsed="false">
      <c r="A790" s="62" t="n">
        <v>0</v>
      </c>
      <c r="B790" s="21" t="s">
        <v>336</v>
      </c>
      <c r="C790" s="62" t="s">
        <v>60</v>
      </c>
      <c r="D790" s="62" t="s">
        <v>386</v>
      </c>
      <c r="E790" s="62" t="s">
        <v>71</v>
      </c>
      <c r="F790" s="62" t="s">
        <v>382</v>
      </c>
      <c r="G790" s="63" t="s">
        <v>420</v>
      </c>
      <c r="H790" s="64" t="n">
        <v>0</v>
      </c>
      <c r="I790" s="62" t="s">
        <v>81</v>
      </c>
      <c r="J790" s="64" t="n">
        <v>0</v>
      </c>
      <c r="K790" s="62" t="s">
        <v>138</v>
      </c>
      <c r="L790" s="68" t="b">
        <f aca="false">TRUE()</f>
        <v>1</v>
      </c>
    </row>
    <row r="791" customFormat="false" ht="15" hidden="false" customHeight="false" outlineLevel="0" collapsed="false">
      <c r="A791" s="62" t="n">
        <v>0</v>
      </c>
      <c r="B791" s="21" t="s">
        <v>336</v>
      </c>
      <c r="C791" s="62" t="s">
        <v>60</v>
      </c>
      <c r="D791" s="62" t="s">
        <v>387</v>
      </c>
      <c r="E791" s="62" t="s">
        <v>71</v>
      </c>
      <c r="F791" s="62" t="s">
        <v>382</v>
      </c>
      <c r="G791" s="63" t="s">
        <v>420</v>
      </c>
      <c r="H791" s="64" t="n">
        <v>0</v>
      </c>
      <c r="I791" s="62" t="s">
        <v>81</v>
      </c>
      <c r="J791" s="64" t="n">
        <v>0</v>
      </c>
      <c r="K791" s="62" t="s">
        <v>138</v>
      </c>
      <c r="L791" s="68" t="b">
        <f aca="false">TRUE()</f>
        <v>1</v>
      </c>
    </row>
    <row r="792" customFormat="false" ht="15" hidden="false" customHeight="false" outlineLevel="0" collapsed="false">
      <c r="A792" s="62" t="n">
        <v>0</v>
      </c>
      <c r="B792" s="21" t="s">
        <v>336</v>
      </c>
      <c r="C792" s="62" t="s">
        <v>60</v>
      </c>
      <c r="D792" s="62" t="s">
        <v>388</v>
      </c>
      <c r="E792" s="62" t="s">
        <v>71</v>
      </c>
      <c r="F792" s="62" t="s">
        <v>382</v>
      </c>
      <c r="G792" s="63" t="s">
        <v>420</v>
      </c>
      <c r="H792" s="64" t="n">
        <v>0</v>
      </c>
      <c r="I792" s="62" t="s">
        <v>81</v>
      </c>
      <c r="J792" s="64" t="n">
        <v>0</v>
      </c>
      <c r="K792" s="62" t="s">
        <v>138</v>
      </c>
      <c r="L792" s="68" t="b">
        <f aca="false">TRUE()</f>
        <v>1</v>
      </c>
    </row>
    <row r="793" customFormat="false" ht="15" hidden="false" customHeight="false" outlineLevel="0" collapsed="false">
      <c r="A793" s="62" t="n">
        <v>0</v>
      </c>
      <c r="B793" s="21" t="s">
        <v>336</v>
      </c>
      <c r="C793" s="62" t="s">
        <v>60</v>
      </c>
      <c r="D793" s="62" t="s">
        <v>381</v>
      </c>
      <c r="E793" s="62" t="s">
        <v>71</v>
      </c>
      <c r="F793" s="62" t="s">
        <v>382</v>
      </c>
      <c r="G793" s="63" t="s">
        <v>421</v>
      </c>
      <c r="H793" s="64" t="n">
        <v>-600000000</v>
      </c>
      <c r="I793" s="62" t="s">
        <v>81</v>
      </c>
      <c r="J793" s="64" t="n">
        <v>-600000</v>
      </c>
      <c r="K793" s="62" t="s">
        <v>138</v>
      </c>
      <c r="L793" s="68" t="b">
        <f aca="false">TRUE()</f>
        <v>1</v>
      </c>
    </row>
    <row r="794" customFormat="false" ht="15" hidden="false" customHeight="false" outlineLevel="0" collapsed="false">
      <c r="A794" s="62" t="n">
        <v>0</v>
      </c>
      <c r="B794" s="21" t="s">
        <v>336</v>
      </c>
      <c r="C794" s="62" t="s">
        <v>60</v>
      </c>
      <c r="D794" s="62" t="s">
        <v>383</v>
      </c>
      <c r="E794" s="62" t="s">
        <v>71</v>
      </c>
      <c r="F794" s="62" t="s">
        <v>382</v>
      </c>
      <c r="G794" s="63" t="s">
        <v>421</v>
      </c>
      <c r="H794" s="64" t="n">
        <v>-600000000</v>
      </c>
      <c r="I794" s="62" t="s">
        <v>81</v>
      </c>
      <c r="J794" s="64" t="n">
        <v>-600000</v>
      </c>
      <c r="K794" s="62" t="s">
        <v>138</v>
      </c>
      <c r="L794" s="68" t="b">
        <f aca="false">TRUE()</f>
        <v>1</v>
      </c>
    </row>
    <row r="795" customFormat="false" ht="15" hidden="false" customHeight="false" outlineLevel="0" collapsed="false">
      <c r="A795" s="62" t="n">
        <v>0</v>
      </c>
      <c r="B795" s="21" t="s">
        <v>336</v>
      </c>
      <c r="C795" s="62" t="s">
        <v>60</v>
      </c>
      <c r="D795" s="62" t="s">
        <v>384</v>
      </c>
      <c r="E795" s="62" t="s">
        <v>71</v>
      </c>
      <c r="F795" s="62" t="s">
        <v>382</v>
      </c>
      <c r="G795" s="63" t="s">
        <v>421</v>
      </c>
      <c r="H795" s="64" t="n">
        <v>-600000000</v>
      </c>
      <c r="I795" s="62" t="s">
        <v>81</v>
      </c>
      <c r="J795" s="64" t="n">
        <v>-600000</v>
      </c>
      <c r="K795" s="62" t="s">
        <v>138</v>
      </c>
      <c r="L795" s="68" t="b">
        <f aca="false">TRUE()</f>
        <v>1</v>
      </c>
    </row>
    <row r="796" customFormat="false" ht="15" hidden="false" customHeight="false" outlineLevel="0" collapsed="false">
      <c r="A796" s="62" t="n">
        <v>0</v>
      </c>
      <c r="B796" s="21" t="s">
        <v>336</v>
      </c>
      <c r="C796" s="62" t="s">
        <v>60</v>
      </c>
      <c r="D796" s="62" t="s">
        <v>385</v>
      </c>
      <c r="E796" s="62" t="s">
        <v>71</v>
      </c>
      <c r="F796" s="62" t="s">
        <v>382</v>
      </c>
      <c r="G796" s="63" t="s">
        <v>421</v>
      </c>
      <c r="H796" s="64" t="n">
        <v>-600000000</v>
      </c>
      <c r="I796" s="62" t="s">
        <v>81</v>
      </c>
      <c r="J796" s="64" t="n">
        <v>-600000</v>
      </c>
      <c r="K796" s="62" t="s">
        <v>138</v>
      </c>
      <c r="L796" s="68" t="b">
        <f aca="false">TRUE()</f>
        <v>1</v>
      </c>
    </row>
    <row r="797" customFormat="false" ht="15" hidden="false" customHeight="false" outlineLevel="0" collapsed="false">
      <c r="A797" s="62" t="n">
        <v>0</v>
      </c>
      <c r="B797" s="21" t="s">
        <v>336</v>
      </c>
      <c r="C797" s="62" t="s">
        <v>60</v>
      </c>
      <c r="D797" s="62" t="s">
        <v>386</v>
      </c>
      <c r="E797" s="62" t="s">
        <v>71</v>
      </c>
      <c r="F797" s="62" t="s">
        <v>382</v>
      </c>
      <c r="G797" s="63" t="s">
        <v>421</v>
      </c>
      <c r="H797" s="64" t="n">
        <v>-600000000</v>
      </c>
      <c r="I797" s="62" t="s">
        <v>81</v>
      </c>
      <c r="J797" s="64" t="n">
        <v>-600000</v>
      </c>
      <c r="K797" s="62" t="s">
        <v>138</v>
      </c>
      <c r="L797" s="68" t="b">
        <f aca="false">TRUE()</f>
        <v>1</v>
      </c>
    </row>
    <row r="798" customFormat="false" ht="15" hidden="false" customHeight="false" outlineLevel="0" collapsed="false">
      <c r="A798" s="62" t="n">
        <v>0</v>
      </c>
      <c r="B798" s="21" t="s">
        <v>336</v>
      </c>
      <c r="C798" s="62" t="s">
        <v>60</v>
      </c>
      <c r="D798" s="62" t="s">
        <v>387</v>
      </c>
      <c r="E798" s="62" t="s">
        <v>71</v>
      </c>
      <c r="F798" s="62" t="s">
        <v>382</v>
      </c>
      <c r="G798" s="63" t="s">
        <v>421</v>
      </c>
      <c r="H798" s="64" t="n">
        <v>-600000000</v>
      </c>
      <c r="I798" s="62" t="s">
        <v>81</v>
      </c>
      <c r="J798" s="64" t="n">
        <v>-600000</v>
      </c>
      <c r="K798" s="62" t="s">
        <v>138</v>
      </c>
      <c r="L798" s="68" t="b">
        <f aca="false">TRUE()</f>
        <v>1</v>
      </c>
    </row>
    <row r="799" customFormat="false" ht="15" hidden="false" customHeight="false" outlineLevel="0" collapsed="false">
      <c r="A799" s="62" t="n">
        <v>0</v>
      </c>
      <c r="B799" s="21" t="s">
        <v>336</v>
      </c>
      <c r="C799" s="62" t="s">
        <v>60</v>
      </c>
      <c r="D799" s="62" t="s">
        <v>388</v>
      </c>
      <c r="E799" s="62" t="s">
        <v>71</v>
      </c>
      <c r="F799" s="62" t="s">
        <v>382</v>
      </c>
      <c r="G799" s="63" t="s">
        <v>421</v>
      </c>
      <c r="H799" s="64" t="n">
        <v>-600000000</v>
      </c>
      <c r="I799" s="62" t="s">
        <v>81</v>
      </c>
      <c r="J799" s="64" t="n">
        <v>-600000</v>
      </c>
      <c r="K799" s="62" t="s">
        <v>138</v>
      </c>
      <c r="L799" s="68" t="b">
        <f aca="false">TRUE()</f>
        <v>1</v>
      </c>
    </row>
    <row r="800" customFormat="false" ht="15" hidden="false" customHeight="false" outlineLevel="0" collapsed="false">
      <c r="A800" s="62" t="n">
        <v>0</v>
      </c>
      <c r="B800" s="21" t="s">
        <v>336</v>
      </c>
      <c r="C800" s="62" t="s">
        <v>60</v>
      </c>
      <c r="D800" s="62" t="s">
        <v>381</v>
      </c>
      <c r="E800" s="62" t="s">
        <v>71</v>
      </c>
      <c r="F800" s="62" t="s">
        <v>382</v>
      </c>
      <c r="G800" s="63" t="s">
        <v>422</v>
      </c>
      <c r="H800" s="64" t="n">
        <v>426015541.673935</v>
      </c>
      <c r="I800" s="62" t="s">
        <v>81</v>
      </c>
      <c r="J800" s="64" t="n">
        <v>426015.541673935</v>
      </c>
      <c r="K800" s="62" t="s">
        <v>138</v>
      </c>
      <c r="L800" s="68" t="b">
        <f aca="false">TRUE()</f>
        <v>1</v>
      </c>
    </row>
    <row r="801" customFormat="false" ht="15" hidden="false" customHeight="false" outlineLevel="0" collapsed="false">
      <c r="A801" s="62" t="n">
        <v>0</v>
      </c>
      <c r="B801" s="21" t="s">
        <v>336</v>
      </c>
      <c r="C801" s="62" t="s">
        <v>60</v>
      </c>
      <c r="D801" s="62" t="s">
        <v>383</v>
      </c>
      <c r="E801" s="62" t="s">
        <v>71</v>
      </c>
      <c r="F801" s="62" t="s">
        <v>382</v>
      </c>
      <c r="G801" s="63" t="s">
        <v>422</v>
      </c>
      <c r="H801" s="64" t="n">
        <v>426015541.673935</v>
      </c>
      <c r="I801" s="62" t="s">
        <v>81</v>
      </c>
      <c r="J801" s="64" t="n">
        <v>426015.541673935</v>
      </c>
      <c r="K801" s="62" t="s">
        <v>138</v>
      </c>
      <c r="L801" s="68" t="b">
        <f aca="false">TRUE()</f>
        <v>1</v>
      </c>
    </row>
    <row r="802" customFormat="false" ht="15" hidden="false" customHeight="false" outlineLevel="0" collapsed="false">
      <c r="A802" s="62" t="n">
        <v>0</v>
      </c>
      <c r="B802" s="21" t="s">
        <v>336</v>
      </c>
      <c r="C802" s="62" t="s">
        <v>60</v>
      </c>
      <c r="D802" s="62" t="s">
        <v>384</v>
      </c>
      <c r="E802" s="62" t="s">
        <v>71</v>
      </c>
      <c r="F802" s="62" t="s">
        <v>382</v>
      </c>
      <c r="G802" s="63" t="s">
        <v>422</v>
      </c>
      <c r="H802" s="64" t="n">
        <v>426015541.673935</v>
      </c>
      <c r="I802" s="62" t="s">
        <v>81</v>
      </c>
      <c r="J802" s="64" t="n">
        <v>426015.541673935</v>
      </c>
      <c r="K802" s="62" t="s">
        <v>138</v>
      </c>
      <c r="L802" s="68" t="b">
        <f aca="false">TRUE()</f>
        <v>1</v>
      </c>
    </row>
    <row r="803" customFormat="false" ht="15" hidden="false" customHeight="false" outlineLevel="0" collapsed="false">
      <c r="A803" s="62" t="n">
        <v>0</v>
      </c>
      <c r="B803" s="21" t="s">
        <v>336</v>
      </c>
      <c r="C803" s="62" t="s">
        <v>60</v>
      </c>
      <c r="D803" s="62" t="s">
        <v>385</v>
      </c>
      <c r="E803" s="62" t="s">
        <v>71</v>
      </c>
      <c r="F803" s="62" t="s">
        <v>382</v>
      </c>
      <c r="G803" s="63" t="s">
        <v>422</v>
      </c>
      <c r="H803" s="64" t="n">
        <v>426015541.673935</v>
      </c>
      <c r="I803" s="62" t="s">
        <v>81</v>
      </c>
      <c r="J803" s="64" t="n">
        <v>426015.541673935</v>
      </c>
      <c r="K803" s="62" t="s">
        <v>138</v>
      </c>
      <c r="L803" s="68" t="b">
        <f aca="false">TRUE()</f>
        <v>1</v>
      </c>
    </row>
    <row r="804" customFormat="false" ht="15" hidden="false" customHeight="false" outlineLevel="0" collapsed="false">
      <c r="A804" s="62" t="n">
        <v>0</v>
      </c>
      <c r="B804" s="21" t="s">
        <v>336</v>
      </c>
      <c r="C804" s="62" t="s">
        <v>60</v>
      </c>
      <c r="D804" s="62" t="s">
        <v>386</v>
      </c>
      <c r="E804" s="62" t="s">
        <v>71</v>
      </c>
      <c r="F804" s="62" t="s">
        <v>382</v>
      </c>
      <c r="G804" s="63" t="s">
        <v>422</v>
      </c>
      <c r="H804" s="64" t="n">
        <v>426015541.673935</v>
      </c>
      <c r="I804" s="62" t="s">
        <v>81</v>
      </c>
      <c r="J804" s="64" t="n">
        <v>426015.541673935</v>
      </c>
      <c r="K804" s="62" t="s">
        <v>138</v>
      </c>
      <c r="L804" s="68" t="b">
        <f aca="false">TRUE()</f>
        <v>1</v>
      </c>
    </row>
    <row r="805" customFormat="false" ht="15" hidden="false" customHeight="false" outlineLevel="0" collapsed="false">
      <c r="A805" s="62" t="n">
        <v>0</v>
      </c>
      <c r="B805" s="21" t="s">
        <v>336</v>
      </c>
      <c r="C805" s="62" t="s">
        <v>60</v>
      </c>
      <c r="D805" s="62" t="s">
        <v>387</v>
      </c>
      <c r="E805" s="62" t="s">
        <v>71</v>
      </c>
      <c r="F805" s="62" t="s">
        <v>382</v>
      </c>
      <c r="G805" s="63" t="s">
        <v>422</v>
      </c>
      <c r="H805" s="64" t="n">
        <v>426015541.673935</v>
      </c>
      <c r="I805" s="62" t="s">
        <v>81</v>
      </c>
      <c r="J805" s="64" t="n">
        <v>426015.541673935</v>
      </c>
      <c r="K805" s="62" t="s">
        <v>138</v>
      </c>
      <c r="L805" s="68" t="b">
        <f aca="false">TRUE()</f>
        <v>1</v>
      </c>
    </row>
    <row r="806" customFormat="false" ht="15" hidden="false" customHeight="false" outlineLevel="0" collapsed="false">
      <c r="A806" s="62" t="n">
        <v>0</v>
      </c>
      <c r="B806" s="21" t="s">
        <v>336</v>
      </c>
      <c r="C806" s="62" t="s">
        <v>60</v>
      </c>
      <c r="D806" s="62" t="s">
        <v>388</v>
      </c>
      <c r="E806" s="62" t="s">
        <v>71</v>
      </c>
      <c r="F806" s="62" t="s">
        <v>382</v>
      </c>
      <c r="G806" s="63" t="s">
        <v>422</v>
      </c>
      <c r="H806" s="64" t="n">
        <v>426015541.673935</v>
      </c>
      <c r="I806" s="62" t="s">
        <v>81</v>
      </c>
      <c r="J806" s="64" t="n">
        <v>426015.541673935</v>
      </c>
      <c r="K806" s="62" t="s">
        <v>138</v>
      </c>
      <c r="L806" s="68" t="b">
        <f aca="false">TRUE()</f>
        <v>1</v>
      </c>
    </row>
    <row r="807" customFormat="false" ht="15" hidden="false" customHeight="false" outlineLevel="0" collapsed="false">
      <c r="A807" s="62" t="n">
        <v>0</v>
      </c>
      <c r="B807" s="21" t="s">
        <v>336</v>
      </c>
      <c r="C807" s="62" t="s">
        <v>60</v>
      </c>
      <c r="D807" s="62" t="s">
        <v>381</v>
      </c>
      <c r="E807" s="62" t="s">
        <v>71</v>
      </c>
      <c r="F807" s="62" t="s">
        <v>382</v>
      </c>
      <c r="G807" s="63" t="s">
        <v>423</v>
      </c>
      <c r="H807" s="64" t="n">
        <v>-173984458.326065</v>
      </c>
      <c r="I807" s="62" t="s">
        <v>81</v>
      </c>
      <c r="J807" s="64" t="n">
        <v>-173984.458326065</v>
      </c>
      <c r="K807" s="62" t="s">
        <v>138</v>
      </c>
      <c r="L807" s="68" t="b">
        <f aca="false">TRUE()</f>
        <v>1</v>
      </c>
    </row>
    <row r="808" customFormat="false" ht="15" hidden="false" customHeight="false" outlineLevel="0" collapsed="false">
      <c r="A808" s="62" t="n">
        <v>0</v>
      </c>
      <c r="B808" s="21" t="s">
        <v>336</v>
      </c>
      <c r="C808" s="62" t="s">
        <v>60</v>
      </c>
      <c r="D808" s="62" t="s">
        <v>383</v>
      </c>
      <c r="E808" s="62" t="s">
        <v>71</v>
      </c>
      <c r="F808" s="62" t="s">
        <v>382</v>
      </c>
      <c r="G808" s="63" t="s">
        <v>423</v>
      </c>
      <c r="H808" s="64" t="n">
        <v>-173984458.326065</v>
      </c>
      <c r="I808" s="62" t="s">
        <v>81</v>
      </c>
      <c r="J808" s="64" t="n">
        <v>-173984.458326065</v>
      </c>
      <c r="K808" s="62" t="s">
        <v>138</v>
      </c>
      <c r="L808" s="68" t="b">
        <f aca="false">TRUE()</f>
        <v>1</v>
      </c>
    </row>
    <row r="809" customFormat="false" ht="15" hidden="false" customHeight="false" outlineLevel="0" collapsed="false">
      <c r="A809" s="62" t="n">
        <v>0</v>
      </c>
      <c r="B809" s="21" t="s">
        <v>336</v>
      </c>
      <c r="C809" s="62" t="s">
        <v>60</v>
      </c>
      <c r="D809" s="62" t="s">
        <v>384</v>
      </c>
      <c r="E809" s="62" t="s">
        <v>71</v>
      </c>
      <c r="F809" s="62" t="s">
        <v>382</v>
      </c>
      <c r="G809" s="63" t="s">
        <v>423</v>
      </c>
      <c r="H809" s="64" t="n">
        <v>-173984458.326065</v>
      </c>
      <c r="I809" s="62" t="s">
        <v>81</v>
      </c>
      <c r="J809" s="64" t="n">
        <v>-173984.458326065</v>
      </c>
      <c r="K809" s="62" t="s">
        <v>138</v>
      </c>
      <c r="L809" s="68" t="b">
        <f aca="false">TRUE()</f>
        <v>1</v>
      </c>
    </row>
    <row r="810" customFormat="false" ht="15" hidden="false" customHeight="false" outlineLevel="0" collapsed="false">
      <c r="A810" s="62" t="n">
        <v>0</v>
      </c>
      <c r="B810" s="21" t="s">
        <v>336</v>
      </c>
      <c r="C810" s="62" t="s">
        <v>60</v>
      </c>
      <c r="D810" s="62" t="s">
        <v>385</v>
      </c>
      <c r="E810" s="62" t="s">
        <v>71</v>
      </c>
      <c r="F810" s="62" t="s">
        <v>382</v>
      </c>
      <c r="G810" s="63" t="s">
        <v>423</v>
      </c>
      <c r="H810" s="64" t="n">
        <v>-173984458.326065</v>
      </c>
      <c r="I810" s="62" t="s">
        <v>81</v>
      </c>
      <c r="J810" s="64" t="n">
        <v>-173984.458326065</v>
      </c>
      <c r="K810" s="62" t="s">
        <v>138</v>
      </c>
      <c r="L810" s="68" t="b">
        <f aca="false">TRUE()</f>
        <v>1</v>
      </c>
    </row>
    <row r="811" customFormat="false" ht="15" hidden="false" customHeight="false" outlineLevel="0" collapsed="false">
      <c r="A811" s="62" t="n">
        <v>0</v>
      </c>
      <c r="B811" s="21" t="s">
        <v>336</v>
      </c>
      <c r="C811" s="62" t="s">
        <v>60</v>
      </c>
      <c r="D811" s="62" t="s">
        <v>386</v>
      </c>
      <c r="E811" s="62" t="s">
        <v>71</v>
      </c>
      <c r="F811" s="62" t="s">
        <v>382</v>
      </c>
      <c r="G811" s="63" t="s">
        <v>423</v>
      </c>
      <c r="H811" s="64" t="n">
        <v>-173984458.326065</v>
      </c>
      <c r="I811" s="62" t="s">
        <v>81</v>
      </c>
      <c r="J811" s="64" t="n">
        <v>-173984.458326065</v>
      </c>
      <c r="K811" s="62" t="s">
        <v>138</v>
      </c>
      <c r="L811" s="68" t="b">
        <f aca="false">TRUE()</f>
        <v>1</v>
      </c>
    </row>
    <row r="812" customFormat="false" ht="15" hidden="false" customHeight="false" outlineLevel="0" collapsed="false">
      <c r="A812" s="62" t="n">
        <v>0</v>
      </c>
      <c r="B812" s="21" t="s">
        <v>336</v>
      </c>
      <c r="C812" s="62" t="s">
        <v>60</v>
      </c>
      <c r="D812" s="62" t="s">
        <v>387</v>
      </c>
      <c r="E812" s="62" t="s">
        <v>71</v>
      </c>
      <c r="F812" s="62" t="s">
        <v>382</v>
      </c>
      <c r="G812" s="63" t="s">
        <v>423</v>
      </c>
      <c r="H812" s="64" t="n">
        <v>-173984458.326065</v>
      </c>
      <c r="I812" s="62" t="s">
        <v>81</v>
      </c>
      <c r="J812" s="64" t="n">
        <v>-173984.458326065</v>
      </c>
      <c r="K812" s="62" t="s">
        <v>138</v>
      </c>
      <c r="L812" s="68" t="b">
        <f aca="false">TRUE()</f>
        <v>1</v>
      </c>
    </row>
    <row r="813" customFormat="false" ht="15" hidden="false" customHeight="false" outlineLevel="0" collapsed="false">
      <c r="A813" s="62" t="n">
        <v>0</v>
      </c>
      <c r="B813" s="21" t="s">
        <v>336</v>
      </c>
      <c r="C813" s="62" t="s">
        <v>60</v>
      </c>
      <c r="D813" s="62" t="s">
        <v>388</v>
      </c>
      <c r="E813" s="62" t="s">
        <v>71</v>
      </c>
      <c r="F813" s="62" t="s">
        <v>382</v>
      </c>
      <c r="G813" s="63" t="s">
        <v>423</v>
      </c>
      <c r="H813" s="64" t="n">
        <v>-173984458.326065</v>
      </c>
      <c r="I813" s="62" t="s">
        <v>81</v>
      </c>
      <c r="J813" s="64" t="n">
        <v>-173984.458326065</v>
      </c>
      <c r="K813" s="62" t="s">
        <v>138</v>
      </c>
      <c r="L813" s="68" t="b">
        <f aca="false">TRUE()</f>
        <v>1</v>
      </c>
    </row>
    <row r="814" customFormat="false" ht="15" hidden="false" customHeight="false" outlineLevel="0" collapsed="false">
      <c r="A814" s="62" t="n">
        <v>0</v>
      </c>
      <c r="B814" s="21" t="s">
        <v>336</v>
      </c>
      <c r="C814" s="62" t="s">
        <v>60</v>
      </c>
      <c r="D814" s="62" t="s">
        <v>381</v>
      </c>
      <c r="E814" s="62" t="s">
        <v>71</v>
      </c>
      <c r="F814" s="62" t="s">
        <v>382</v>
      </c>
      <c r="G814" s="63" t="s">
        <v>399</v>
      </c>
      <c r="H814" s="64" t="n">
        <v>2494602277.72282</v>
      </c>
      <c r="I814" s="62" t="s">
        <v>81</v>
      </c>
      <c r="J814" s="64" t="n">
        <v>2494602.27772282</v>
      </c>
      <c r="K814" s="62" t="s">
        <v>138</v>
      </c>
      <c r="L814" s="68" t="b">
        <f aca="false">TRUE()</f>
        <v>1</v>
      </c>
    </row>
    <row r="815" customFormat="false" ht="15" hidden="false" customHeight="false" outlineLevel="0" collapsed="false">
      <c r="A815" s="62" t="n">
        <v>0</v>
      </c>
      <c r="B815" s="21" t="s">
        <v>336</v>
      </c>
      <c r="C815" s="62" t="s">
        <v>60</v>
      </c>
      <c r="D815" s="62" t="s">
        <v>383</v>
      </c>
      <c r="E815" s="62" t="s">
        <v>71</v>
      </c>
      <c r="F815" s="62" t="s">
        <v>382</v>
      </c>
      <c r="G815" s="63" t="s">
        <v>399</v>
      </c>
      <c r="H815" s="64" t="n">
        <v>2494602277.72282</v>
      </c>
      <c r="I815" s="62" t="s">
        <v>81</v>
      </c>
      <c r="J815" s="64" t="n">
        <v>2494602.27772282</v>
      </c>
      <c r="K815" s="62" t="s">
        <v>138</v>
      </c>
      <c r="L815" s="68" t="b">
        <f aca="false">TRUE()</f>
        <v>1</v>
      </c>
    </row>
    <row r="816" customFormat="false" ht="15" hidden="false" customHeight="false" outlineLevel="0" collapsed="false">
      <c r="A816" s="62" t="n">
        <v>0</v>
      </c>
      <c r="B816" s="21" t="s">
        <v>336</v>
      </c>
      <c r="C816" s="62" t="s">
        <v>60</v>
      </c>
      <c r="D816" s="62" t="s">
        <v>384</v>
      </c>
      <c r="E816" s="62" t="s">
        <v>71</v>
      </c>
      <c r="F816" s="62" t="s">
        <v>382</v>
      </c>
      <c r="G816" s="63" t="s">
        <v>399</v>
      </c>
      <c r="H816" s="64" t="n">
        <v>2494602277.72282</v>
      </c>
      <c r="I816" s="62" t="s">
        <v>81</v>
      </c>
      <c r="J816" s="64" t="n">
        <v>2494602.27772282</v>
      </c>
      <c r="K816" s="62" t="s">
        <v>138</v>
      </c>
      <c r="L816" s="68" t="b">
        <f aca="false">TRUE()</f>
        <v>1</v>
      </c>
    </row>
    <row r="817" customFormat="false" ht="15" hidden="false" customHeight="false" outlineLevel="0" collapsed="false">
      <c r="A817" s="62" t="n">
        <v>0</v>
      </c>
      <c r="B817" s="21" t="s">
        <v>336</v>
      </c>
      <c r="C817" s="62" t="s">
        <v>60</v>
      </c>
      <c r="D817" s="62" t="s">
        <v>385</v>
      </c>
      <c r="E817" s="62" t="s">
        <v>71</v>
      </c>
      <c r="F817" s="62" t="s">
        <v>382</v>
      </c>
      <c r="G817" s="63" t="s">
        <v>399</v>
      </c>
      <c r="H817" s="64" t="n">
        <v>2494602277.72282</v>
      </c>
      <c r="I817" s="62" t="s">
        <v>81</v>
      </c>
      <c r="J817" s="64" t="n">
        <v>2494602.27772282</v>
      </c>
      <c r="K817" s="62" t="s">
        <v>138</v>
      </c>
      <c r="L817" s="68" t="b">
        <f aca="false">TRUE()</f>
        <v>1</v>
      </c>
    </row>
    <row r="818" customFormat="false" ht="15" hidden="false" customHeight="false" outlineLevel="0" collapsed="false">
      <c r="A818" s="62" t="n">
        <v>0</v>
      </c>
      <c r="B818" s="21" t="s">
        <v>336</v>
      </c>
      <c r="C818" s="62" t="s">
        <v>60</v>
      </c>
      <c r="D818" s="62" t="s">
        <v>386</v>
      </c>
      <c r="E818" s="62" t="s">
        <v>71</v>
      </c>
      <c r="F818" s="62" t="s">
        <v>382</v>
      </c>
      <c r="G818" s="63" t="s">
        <v>399</v>
      </c>
      <c r="H818" s="64" t="n">
        <v>2494602277.72282</v>
      </c>
      <c r="I818" s="62" t="s">
        <v>81</v>
      </c>
      <c r="J818" s="64" t="n">
        <v>2494602.27772282</v>
      </c>
      <c r="K818" s="62" t="s">
        <v>138</v>
      </c>
      <c r="L818" s="68" t="b">
        <f aca="false">TRUE()</f>
        <v>1</v>
      </c>
    </row>
    <row r="819" customFormat="false" ht="15" hidden="false" customHeight="false" outlineLevel="0" collapsed="false">
      <c r="A819" s="62" t="n">
        <v>0</v>
      </c>
      <c r="B819" s="21" t="s">
        <v>336</v>
      </c>
      <c r="C819" s="62" t="s">
        <v>60</v>
      </c>
      <c r="D819" s="62" t="s">
        <v>387</v>
      </c>
      <c r="E819" s="62" t="s">
        <v>71</v>
      </c>
      <c r="F819" s="62" t="s">
        <v>382</v>
      </c>
      <c r="G819" s="63" t="s">
        <v>399</v>
      </c>
      <c r="H819" s="64" t="n">
        <v>2494602277.72282</v>
      </c>
      <c r="I819" s="62" t="s">
        <v>81</v>
      </c>
      <c r="J819" s="64" t="n">
        <v>2494602.27772282</v>
      </c>
      <c r="K819" s="62" t="s">
        <v>138</v>
      </c>
      <c r="L819" s="68" t="b">
        <f aca="false">TRUE()</f>
        <v>1</v>
      </c>
    </row>
    <row r="820" customFormat="false" ht="15" hidden="false" customHeight="false" outlineLevel="0" collapsed="false">
      <c r="A820" s="62" t="n">
        <v>0</v>
      </c>
      <c r="B820" s="21" t="s">
        <v>336</v>
      </c>
      <c r="C820" s="62" t="s">
        <v>60</v>
      </c>
      <c r="D820" s="62" t="s">
        <v>388</v>
      </c>
      <c r="E820" s="62" t="s">
        <v>71</v>
      </c>
      <c r="F820" s="62" t="s">
        <v>382</v>
      </c>
      <c r="G820" s="63" t="s">
        <v>399</v>
      </c>
      <c r="H820" s="64" t="n">
        <v>2494602277.72282</v>
      </c>
      <c r="I820" s="62" t="s">
        <v>81</v>
      </c>
      <c r="J820" s="64" t="n">
        <v>2494602.27772282</v>
      </c>
      <c r="K820" s="62" t="s">
        <v>138</v>
      </c>
      <c r="L820" s="68" t="b">
        <f aca="false">TRUE()</f>
        <v>1</v>
      </c>
    </row>
    <row r="821" customFormat="false" ht="15" hidden="false" customHeight="false" outlineLevel="0" collapsed="false">
      <c r="A821" s="62" t="n">
        <v>0</v>
      </c>
      <c r="B821" s="21" t="s">
        <v>336</v>
      </c>
      <c r="C821" s="62" t="s">
        <v>60</v>
      </c>
      <c r="D821" s="62" t="s">
        <v>381</v>
      </c>
      <c r="E821" s="62" t="s">
        <v>71</v>
      </c>
      <c r="F821" s="62" t="s">
        <v>382</v>
      </c>
      <c r="G821" s="63" t="s">
        <v>443</v>
      </c>
      <c r="H821" s="64" t="n">
        <v>834664709.801374</v>
      </c>
      <c r="I821" s="62" t="s">
        <v>81</v>
      </c>
      <c r="J821" s="64" t="n">
        <v>834664.709801374</v>
      </c>
      <c r="K821" s="62" t="s">
        <v>138</v>
      </c>
      <c r="L821" s="68" t="b">
        <f aca="false">TRUE()</f>
        <v>1</v>
      </c>
    </row>
    <row r="822" customFormat="false" ht="15" hidden="false" customHeight="false" outlineLevel="0" collapsed="false">
      <c r="A822" s="62" t="n">
        <v>0</v>
      </c>
      <c r="B822" s="21" t="s">
        <v>336</v>
      </c>
      <c r="C822" s="62" t="s">
        <v>60</v>
      </c>
      <c r="D822" s="62" t="s">
        <v>383</v>
      </c>
      <c r="E822" s="62" t="s">
        <v>71</v>
      </c>
      <c r="F822" s="62" t="s">
        <v>382</v>
      </c>
      <c r="G822" s="63" t="s">
        <v>443</v>
      </c>
      <c r="H822" s="64" t="n">
        <v>834664709.801374</v>
      </c>
      <c r="I822" s="62" t="s">
        <v>81</v>
      </c>
      <c r="J822" s="64" t="n">
        <v>834664.709801374</v>
      </c>
      <c r="K822" s="62" t="s">
        <v>138</v>
      </c>
      <c r="L822" s="68" t="b">
        <f aca="false">TRUE()</f>
        <v>1</v>
      </c>
    </row>
    <row r="823" customFormat="false" ht="15" hidden="false" customHeight="false" outlineLevel="0" collapsed="false">
      <c r="A823" s="62" t="n">
        <v>0</v>
      </c>
      <c r="B823" s="21" t="s">
        <v>336</v>
      </c>
      <c r="C823" s="62" t="s">
        <v>60</v>
      </c>
      <c r="D823" s="62" t="s">
        <v>384</v>
      </c>
      <c r="E823" s="62" t="s">
        <v>71</v>
      </c>
      <c r="F823" s="62" t="s">
        <v>382</v>
      </c>
      <c r="G823" s="63" t="s">
        <v>443</v>
      </c>
      <c r="H823" s="64" t="n">
        <v>834664709.801374</v>
      </c>
      <c r="I823" s="62" t="s">
        <v>81</v>
      </c>
      <c r="J823" s="64" t="n">
        <v>834664.709801374</v>
      </c>
      <c r="K823" s="62" t="s">
        <v>138</v>
      </c>
      <c r="L823" s="68" t="b">
        <f aca="false">TRUE()</f>
        <v>1</v>
      </c>
    </row>
    <row r="824" customFormat="false" ht="15" hidden="false" customHeight="false" outlineLevel="0" collapsed="false">
      <c r="A824" s="62" t="n">
        <v>0</v>
      </c>
      <c r="B824" s="21" t="s">
        <v>336</v>
      </c>
      <c r="C824" s="62" t="s">
        <v>60</v>
      </c>
      <c r="D824" s="62" t="s">
        <v>385</v>
      </c>
      <c r="E824" s="62" t="s">
        <v>71</v>
      </c>
      <c r="F824" s="62" t="s">
        <v>382</v>
      </c>
      <c r="G824" s="63" t="s">
        <v>443</v>
      </c>
      <c r="H824" s="64" t="n">
        <v>834664709.801374</v>
      </c>
      <c r="I824" s="62" t="s">
        <v>81</v>
      </c>
      <c r="J824" s="64" t="n">
        <v>834664.709801374</v>
      </c>
      <c r="K824" s="62" t="s">
        <v>138</v>
      </c>
      <c r="L824" s="68" t="b">
        <f aca="false">TRUE()</f>
        <v>1</v>
      </c>
    </row>
    <row r="825" customFormat="false" ht="15" hidden="false" customHeight="false" outlineLevel="0" collapsed="false">
      <c r="A825" s="62" t="n">
        <v>0</v>
      </c>
      <c r="B825" s="21" t="s">
        <v>336</v>
      </c>
      <c r="C825" s="62" t="s">
        <v>60</v>
      </c>
      <c r="D825" s="62" t="s">
        <v>386</v>
      </c>
      <c r="E825" s="62" t="s">
        <v>71</v>
      </c>
      <c r="F825" s="62" t="s">
        <v>382</v>
      </c>
      <c r="G825" s="63" t="s">
        <v>443</v>
      </c>
      <c r="H825" s="64" t="n">
        <v>834664709.801374</v>
      </c>
      <c r="I825" s="62" t="s">
        <v>81</v>
      </c>
      <c r="J825" s="64" t="n">
        <v>834664.709801374</v>
      </c>
      <c r="K825" s="62" t="s">
        <v>138</v>
      </c>
      <c r="L825" s="68" t="b">
        <f aca="false">TRUE()</f>
        <v>1</v>
      </c>
    </row>
    <row r="826" customFormat="false" ht="15" hidden="false" customHeight="false" outlineLevel="0" collapsed="false">
      <c r="A826" s="62" t="n">
        <v>0</v>
      </c>
      <c r="B826" s="21" t="s">
        <v>336</v>
      </c>
      <c r="C826" s="62" t="s">
        <v>60</v>
      </c>
      <c r="D826" s="62" t="s">
        <v>387</v>
      </c>
      <c r="E826" s="62" t="s">
        <v>71</v>
      </c>
      <c r="F826" s="62" t="s">
        <v>382</v>
      </c>
      <c r="G826" s="63" t="s">
        <v>443</v>
      </c>
      <c r="H826" s="64" t="n">
        <v>834664709.801374</v>
      </c>
      <c r="I826" s="62" t="s">
        <v>81</v>
      </c>
      <c r="J826" s="64" t="n">
        <v>834664.709801374</v>
      </c>
      <c r="K826" s="62" t="s">
        <v>138</v>
      </c>
      <c r="L826" s="68" t="b">
        <f aca="false">TRUE()</f>
        <v>1</v>
      </c>
    </row>
    <row r="827" customFormat="false" ht="15" hidden="false" customHeight="false" outlineLevel="0" collapsed="false">
      <c r="A827" s="62" t="n">
        <v>0</v>
      </c>
      <c r="B827" s="21" t="s">
        <v>336</v>
      </c>
      <c r="C827" s="62" t="s">
        <v>60</v>
      </c>
      <c r="D827" s="62" t="s">
        <v>388</v>
      </c>
      <c r="E827" s="62" t="s">
        <v>71</v>
      </c>
      <c r="F827" s="62" t="s">
        <v>382</v>
      </c>
      <c r="G827" s="63" t="s">
        <v>443</v>
      </c>
      <c r="H827" s="64" t="n">
        <v>834664709.801374</v>
      </c>
      <c r="I827" s="62" t="s">
        <v>81</v>
      </c>
      <c r="J827" s="64" t="n">
        <v>834664.709801374</v>
      </c>
      <c r="K827" s="62" t="s">
        <v>138</v>
      </c>
      <c r="L827" s="68" t="b">
        <f aca="false">TRUE()</f>
        <v>1</v>
      </c>
    </row>
    <row r="828" customFormat="false" ht="15" hidden="false" customHeight="false" outlineLevel="0" collapsed="false">
      <c r="A828" s="62" t="n">
        <v>0</v>
      </c>
      <c r="B828" s="21" t="s">
        <v>336</v>
      </c>
      <c r="C828" s="62" t="s">
        <v>60</v>
      </c>
      <c r="D828" s="62" t="s">
        <v>381</v>
      </c>
      <c r="E828" s="62" t="s">
        <v>71</v>
      </c>
      <c r="F828" s="62" t="s">
        <v>382</v>
      </c>
      <c r="G828" s="63" t="s">
        <v>444</v>
      </c>
      <c r="H828" s="64" t="n">
        <v>521351750</v>
      </c>
      <c r="I828" s="62" t="s">
        <v>81</v>
      </c>
      <c r="J828" s="64" t="n">
        <v>521351.75</v>
      </c>
      <c r="K828" s="62" t="s">
        <v>138</v>
      </c>
      <c r="L828" s="68" t="b">
        <f aca="false">TRUE()</f>
        <v>1</v>
      </c>
    </row>
    <row r="829" customFormat="false" ht="15" hidden="false" customHeight="false" outlineLevel="0" collapsed="false">
      <c r="A829" s="62" t="n">
        <v>0</v>
      </c>
      <c r="B829" s="21" t="s">
        <v>336</v>
      </c>
      <c r="C829" s="62" t="s">
        <v>60</v>
      </c>
      <c r="D829" s="62" t="s">
        <v>383</v>
      </c>
      <c r="E829" s="62" t="s">
        <v>71</v>
      </c>
      <c r="F829" s="62" t="s">
        <v>382</v>
      </c>
      <c r="G829" s="63" t="s">
        <v>444</v>
      </c>
      <c r="H829" s="64" t="n">
        <v>521351750</v>
      </c>
      <c r="I829" s="62" t="s">
        <v>81</v>
      </c>
      <c r="J829" s="64" t="n">
        <v>521351.75</v>
      </c>
      <c r="K829" s="62" t="s">
        <v>138</v>
      </c>
      <c r="L829" s="68" t="b">
        <f aca="false">TRUE()</f>
        <v>1</v>
      </c>
    </row>
    <row r="830" customFormat="false" ht="15" hidden="false" customHeight="false" outlineLevel="0" collapsed="false">
      <c r="A830" s="62" t="n">
        <v>0</v>
      </c>
      <c r="B830" s="21" t="s">
        <v>336</v>
      </c>
      <c r="C830" s="62" t="s">
        <v>60</v>
      </c>
      <c r="D830" s="62" t="s">
        <v>384</v>
      </c>
      <c r="E830" s="62" t="s">
        <v>71</v>
      </c>
      <c r="F830" s="62" t="s">
        <v>382</v>
      </c>
      <c r="G830" s="63" t="s">
        <v>444</v>
      </c>
      <c r="H830" s="64" t="n">
        <v>521351750</v>
      </c>
      <c r="I830" s="62" t="s">
        <v>81</v>
      </c>
      <c r="J830" s="64" t="n">
        <v>521351.75</v>
      </c>
      <c r="K830" s="62" t="s">
        <v>138</v>
      </c>
      <c r="L830" s="68" t="b">
        <f aca="false">TRUE()</f>
        <v>1</v>
      </c>
    </row>
    <row r="831" customFormat="false" ht="15" hidden="false" customHeight="false" outlineLevel="0" collapsed="false">
      <c r="A831" s="62" t="n">
        <v>0</v>
      </c>
      <c r="B831" s="21" t="s">
        <v>336</v>
      </c>
      <c r="C831" s="62" t="s">
        <v>60</v>
      </c>
      <c r="D831" s="62" t="s">
        <v>385</v>
      </c>
      <c r="E831" s="62" t="s">
        <v>71</v>
      </c>
      <c r="F831" s="62" t="s">
        <v>382</v>
      </c>
      <c r="G831" s="63" t="s">
        <v>444</v>
      </c>
      <c r="H831" s="64" t="n">
        <v>521351750</v>
      </c>
      <c r="I831" s="62" t="s">
        <v>81</v>
      </c>
      <c r="J831" s="64" t="n">
        <v>521351.75</v>
      </c>
      <c r="K831" s="62" t="s">
        <v>138</v>
      </c>
      <c r="L831" s="68" t="b">
        <f aca="false">TRUE()</f>
        <v>1</v>
      </c>
    </row>
    <row r="832" customFormat="false" ht="15" hidden="false" customHeight="false" outlineLevel="0" collapsed="false">
      <c r="A832" s="62" t="n">
        <v>0</v>
      </c>
      <c r="B832" s="21" t="s">
        <v>336</v>
      </c>
      <c r="C832" s="62" t="s">
        <v>60</v>
      </c>
      <c r="D832" s="62" t="s">
        <v>386</v>
      </c>
      <c r="E832" s="62" t="s">
        <v>71</v>
      </c>
      <c r="F832" s="62" t="s">
        <v>382</v>
      </c>
      <c r="G832" s="63" t="s">
        <v>444</v>
      </c>
      <c r="H832" s="64" t="n">
        <v>521351750</v>
      </c>
      <c r="I832" s="62" t="s">
        <v>81</v>
      </c>
      <c r="J832" s="64" t="n">
        <v>521351.75</v>
      </c>
      <c r="K832" s="62" t="s">
        <v>138</v>
      </c>
      <c r="L832" s="68" t="b">
        <f aca="false">TRUE()</f>
        <v>1</v>
      </c>
    </row>
    <row r="833" customFormat="false" ht="15" hidden="false" customHeight="false" outlineLevel="0" collapsed="false">
      <c r="A833" s="62" t="n">
        <v>0</v>
      </c>
      <c r="B833" s="21" t="s">
        <v>336</v>
      </c>
      <c r="C833" s="62" t="s">
        <v>60</v>
      </c>
      <c r="D833" s="62" t="s">
        <v>387</v>
      </c>
      <c r="E833" s="62" t="s">
        <v>71</v>
      </c>
      <c r="F833" s="62" t="s">
        <v>382</v>
      </c>
      <c r="G833" s="63" t="s">
        <v>444</v>
      </c>
      <c r="H833" s="64" t="n">
        <v>521351750</v>
      </c>
      <c r="I833" s="62" t="s">
        <v>81</v>
      </c>
      <c r="J833" s="64" t="n">
        <v>521351.75</v>
      </c>
      <c r="K833" s="62" t="s">
        <v>138</v>
      </c>
      <c r="L833" s="68" t="b">
        <f aca="false">TRUE()</f>
        <v>1</v>
      </c>
    </row>
    <row r="834" customFormat="false" ht="15" hidden="false" customHeight="false" outlineLevel="0" collapsed="false">
      <c r="A834" s="62" t="n">
        <v>0</v>
      </c>
      <c r="B834" s="21" t="s">
        <v>336</v>
      </c>
      <c r="C834" s="62" t="s">
        <v>60</v>
      </c>
      <c r="D834" s="62" t="s">
        <v>388</v>
      </c>
      <c r="E834" s="62" t="s">
        <v>71</v>
      </c>
      <c r="F834" s="62" t="s">
        <v>382</v>
      </c>
      <c r="G834" s="63" t="s">
        <v>444</v>
      </c>
      <c r="H834" s="64" t="n">
        <v>521351750</v>
      </c>
      <c r="I834" s="62" t="s">
        <v>81</v>
      </c>
      <c r="J834" s="64" t="n">
        <v>521351.75</v>
      </c>
      <c r="K834" s="62" t="s">
        <v>138</v>
      </c>
      <c r="L834" s="68" t="b">
        <f aca="false">TRUE()</f>
        <v>1</v>
      </c>
    </row>
    <row r="835" customFormat="false" ht="15" hidden="false" customHeight="false" outlineLevel="0" collapsed="false">
      <c r="A835" s="62" t="n">
        <v>0</v>
      </c>
      <c r="B835" s="21" t="s">
        <v>336</v>
      </c>
      <c r="C835" s="62" t="s">
        <v>60</v>
      </c>
      <c r="D835" s="62" t="s">
        <v>381</v>
      </c>
      <c r="E835" s="62" t="s">
        <v>71</v>
      </c>
      <c r="F835" s="62" t="s">
        <v>382</v>
      </c>
      <c r="G835" s="63" t="s">
        <v>445</v>
      </c>
      <c r="H835" s="64" t="n">
        <v>0</v>
      </c>
      <c r="I835" s="62" t="s">
        <v>81</v>
      </c>
      <c r="J835" s="64" t="n">
        <v>0</v>
      </c>
      <c r="K835" s="62" t="s">
        <v>138</v>
      </c>
      <c r="L835" s="68" t="b">
        <f aca="false">TRUE()</f>
        <v>1</v>
      </c>
    </row>
    <row r="836" customFormat="false" ht="15" hidden="false" customHeight="false" outlineLevel="0" collapsed="false">
      <c r="A836" s="62" t="n">
        <v>0</v>
      </c>
      <c r="B836" s="21" t="s">
        <v>336</v>
      </c>
      <c r="C836" s="62" t="s">
        <v>60</v>
      </c>
      <c r="D836" s="62" t="s">
        <v>383</v>
      </c>
      <c r="E836" s="62" t="s">
        <v>71</v>
      </c>
      <c r="F836" s="62" t="s">
        <v>382</v>
      </c>
      <c r="G836" s="63" t="s">
        <v>445</v>
      </c>
      <c r="H836" s="64" t="n">
        <v>0</v>
      </c>
      <c r="I836" s="62" t="s">
        <v>81</v>
      </c>
      <c r="J836" s="64" t="n">
        <v>0</v>
      </c>
      <c r="K836" s="62" t="s">
        <v>138</v>
      </c>
      <c r="L836" s="68" t="b">
        <f aca="false">TRUE()</f>
        <v>1</v>
      </c>
    </row>
    <row r="837" customFormat="false" ht="15" hidden="false" customHeight="false" outlineLevel="0" collapsed="false">
      <c r="A837" s="62" t="n">
        <v>0</v>
      </c>
      <c r="B837" s="21" t="s">
        <v>336</v>
      </c>
      <c r="C837" s="62" t="s">
        <v>60</v>
      </c>
      <c r="D837" s="62" t="s">
        <v>384</v>
      </c>
      <c r="E837" s="62" t="s">
        <v>71</v>
      </c>
      <c r="F837" s="62" t="s">
        <v>382</v>
      </c>
      <c r="G837" s="63" t="s">
        <v>445</v>
      </c>
      <c r="H837" s="64" t="n">
        <v>0</v>
      </c>
      <c r="I837" s="62" t="s">
        <v>81</v>
      </c>
      <c r="J837" s="64" t="n">
        <v>0</v>
      </c>
      <c r="K837" s="62" t="s">
        <v>138</v>
      </c>
      <c r="L837" s="68" t="b">
        <f aca="false">TRUE()</f>
        <v>1</v>
      </c>
    </row>
    <row r="838" customFormat="false" ht="15" hidden="false" customHeight="false" outlineLevel="0" collapsed="false">
      <c r="A838" s="62" t="n">
        <v>0</v>
      </c>
      <c r="B838" s="21" t="s">
        <v>336</v>
      </c>
      <c r="C838" s="62" t="s">
        <v>60</v>
      </c>
      <c r="D838" s="62" t="s">
        <v>385</v>
      </c>
      <c r="E838" s="62" t="s">
        <v>71</v>
      </c>
      <c r="F838" s="62" t="s">
        <v>382</v>
      </c>
      <c r="G838" s="63" t="s">
        <v>445</v>
      </c>
      <c r="H838" s="64" t="n">
        <v>0</v>
      </c>
      <c r="I838" s="62" t="s">
        <v>81</v>
      </c>
      <c r="J838" s="64" t="n">
        <v>0</v>
      </c>
      <c r="K838" s="62" t="s">
        <v>138</v>
      </c>
      <c r="L838" s="68" t="b">
        <f aca="false">TRUE()</f>
        <v>1</v>
      </c>
    </row>
    <row r="839" customFormat="false" ht="15" hidden="false" customHeight="false" outlineLevel="0" collapsed="false">
      <c r="A839" s="62" t="n">
        <v>0</v>
      </c>
      <c r="B839" s="21" t="s">
        <v>336</v>
      </c>
      <c r="C839" s="62" t="s">
        <v>60</v>
      </c>
      <c r="D839" s="62" t="s">
        <v>386</v>
      </c>
      <c r="E839" s="62" t="s">
        <v>71</v>
      </c>
      <c r="F839" s="62" t="s">
        <v>382</v>
      </c>
      <c r="G839" s="63" t="s">
        <v>445</v>
      </c>
      <c r="H839" s="64" t="n">
        <v>0</v>
      </c>
      <c r="I839" s="62" t="s">
        <v>81</v>
      </c>
      <c r="J839" s="64" t="n">
        <v>0</v>
      </c>
      <c r="K839" s="62" t="s">
        <v>138</v>
      </c>
      <c r="L839" s="68" t="b">
        <f aca="false">TRUE()</f>
        <v>1</v>
      </c>
    </row>
    <row r="840" customFormat="false" ht="15" hidden="false" customHeight="false" outlineLevel="0" collapsed="false">
      <c r="A840" s="62" t="n">
        <v>0</v>
      </c>
      <c r="B840" s="21" t="s">
        <v>336</v>
      </c>
      <c r="C840" s="62" t="s">
        <v>60</v>
      </c>
      <c r="D840" s="62" t="s">
        <v>387</v>
      </c>
      <c r="E840" s="62" t="s">
        <v>71</v>
      </c>
      <c r="F840" s="62" t="s">
        <v>382</v>
      </c>
      <c r="G840" s="63" t="s">
        <v>445</v>
      </c>
      <c r="H840" s="64" t="n">
        <v>0</v>
      </c>
      <c r="I840" s="62" t="s">
        <v>81</v>
      </c>
      <c r="J840" s="64" t="n">
        <v>0</v>
      </c>
      <c r="K840" s="62" t="s">
        <v>138</v>
      </c>
      <c r="L840" s="68" t="b">
        <f aca="false">TRUE()</f>
        <v>1</v>
      </c>
    </row>
    <row r="841" customFormat="false" ht="15" hidden="false" customHeight="false" outlineLevel="0" collapsed="false">
      <c r="A841" s="62" t="n">
        <v>0</v>
      </c>
      <c r="B841" s="21" t="s">
        <v>336</v>
      </c>
      <c r="C841" s="62" t="s">
        <v>60</v>
      </c>
      <c r="D841" s="62" t="s">
        <v>388</v>
      </c>
      <c r="E841" s="62" t="s">
        <v>71</v>
      </c>
      <c r="F841" s="62" t="s">
        <v>382</v>
      </c>
      <c r="G841" s="63" t="s">
        <v>445</v>
      </c>
      <c r="H841" s="64" t="n">
        <v>0</v>
      </c>
      <c r="I841" s="62" t="s">
        <v>81</v>
      </c>
      <c r="J841" s="64" t="n">
        <v>0</v>
      </c>
      <c r="K841" s="62" t="s">
        <v>138</v>
      </c>
      <c r="L841" s="68" t="b">
        <f aca="false">TRUE()</f>
        <v>1</v>
      </c>
    </row>
    <row r="842" customFormat="false" ht="15" hidden="false" customHeight="false" outlineLevel="0" collapsed="false">
      <c r="A842" s="62" t="n">
        <v>0</v>
      </c>
      <c r="B842" s="21" t="s">
        <v>336</v>
      </c>
      <c r="C842" s="62" t="s">
        <v>60</v>
      </c>
      <c r="D842" s="62" t="s">
        <v>381</v>
      </c>
      <c r="E842" s="62" t="s">
        <v>71</v>
      </c>
      <c r="F842" s="62" t="s">
        <v>382</v>
      </c>
      <c r="G842" s="63" t="s">
        <v>446</v>
      </c>
      <c r="H842" s="64" t="n">
        <v>37331541.673935</v>
      </c>
      <c r="I842" s="62" t="s">
        <v>81</v>
      </c>
      <c r="J842" s="64" t="n">
        <v>37331.541673935</v>
      </c>
      <c r="K842" s="62" t="s">
        <v>138</v>
      </c>
      <c r="L842" s="68" t="b">
        <f aca="false">TRUE()</f>
        <v>1</v>
      </c>
    </row>
    <row r="843" customFormat="false" ht="15" hidden="false" customHeight="false" outlineLevel="0" collapsed="false">
      <c r="A843" s="62" t="n">
        <v>0</v>
      </c>
      <c r="B843" s="21" t="s">
        <v>336</v>
      </c>
      <c r="C843" s="62" t="s">
        <v>60</v>
      </c>
      <c r="D843" s="62" t="s">
        <v>383</v>
      </c>
      <c r="E843" s="62" t="s">
        <v>71</v>
      </c>
      <c r="F843" s="62" t="s">
        <v>382</v>
      </c>
      <c r="G843" s="63" t="s">
        <v>446</v>
      </c>
      <c r="H843" s="64" t="n">
        <v>37331541.673935</v>
      </c>
      <c r="I843" s="62" t="s">
        <v>81</v>
      </c>
      <c r="J843" s="64" t="n">
        <v>37331.541673935</v>
      </c>
      <c r="K843" s="62" t="s">
        <v>138</v>
      </c>
      <c r="L843" s="68" t="b">
        <f aca="false">TRUE()</f>
        <v>1</v>
      </c>
    </row>
    <row r="844" customFormat="false" ht="15" hidden="false" customHeight="false" outlineLevel="0" collapsed="false">
      <c r="A844" s="62" t="n">
        <v>0</v>
      </c>
      <c r="B844" s="21" t="s">
        <v>336</v>
      </c>
      <c r="C844" s="62" t="s">
        <v>60</v>
      </c>
      <c r="D844" s="62" t="s">
        <v>384</v>
      </c>
      <c r="E844" s="62" t="s">
        <v>71</v>
      </c>
      <c r="F844" s="62" t="s">
        <v>382</v>
      </c>
      <c r="G844" s="63" t="s">
        <v>446</v>
      </c>
      <c r="H844" s="64" t="n">
        <v>37331541.673935</v>
      </c>
      <c r="I844" s="62" t="s">
        <v>81</v>
      </c>
      <c r="J844" s="64" t="n">
        <v>37331.541673935</v>
      </c>
      <c r="K844" s="62" t="s">
        <v>138</v>
      </c>
      <c r="L844" s="68" t="b">
        <f aca="false">TRUE()</f>
        <v>1</v>
      </c>
    </row>
    <row r="845" customFormat="false" ht="15" hidden="false" customHeight="false" outlineLevel="0" collapsed="false">
      <c r="A845" s="62" t="n">
        <v>0</v>
      </c>
      <c r="B845" s="21" t="s">
        <v>336</v>
      </c>
      <c r="C845" s="62" t="s">
        <v>60</v>
      </c>
      <c r="D845" s="62" t="s">
        <v>385</v>
      </c>
      <c r="E845" s="62" t="s">
        <v>71</v>
      </c>
      <c r="F845" s="62" t="s">
        <v>382</v>
      </c>
      <c r="G845" s="63" t="s">
        <v>446</v>
      </c>
      <c r="H845" s="64" t="n">
        <v>37331541.673935</v>
      </c>
      <c r="I845" s="62" t="s">
        <v>81</v>
      </c>
      <c r="J845" s="64" t="n">
        <v>37331.541673935</v>
      </c>
      <c r="K845" s="62" t="s">
        <v>138</v>
      </c>
      <c r="L845" s="68" t="b">
        <f aca="false">TRUE()</f>
        <v>1</v>
      </c>
    </row>
    <row r="846" customFormat="false" ht="15" hidden="false" customHeight="false" outlineLevel="0" collapsed="false">
      <c r="A846" s="62" t="n">
        <v>0</v>
      </c>
      <c r="B846" s="21" t="s">
        <v>336</v>
      </c>
      <c r="C846" s="62" t="s">
        <v>60</v>
      </c>
      <c r="D846" s="62" t="s">
        <v>386</v>
      </c>
      <c r="E846" s="62" t="s">
        <v>71</v>
      </c>
      <c r="F846" s="62" t="s">
        <v>382</v>
      </c>
      <c r="G846" s="63" t="s">
        <v>446</v>
      </c>
      <c r="H846" s="64" t="n">
        <v>37331541.673935</v>
      </c>
      <c r="I846" s="62" t="s">
        <v>81</v>
      </c>
      <c r="J846" s="64" t="n">
        <v>37331.541673935</v>
      </c>
      <c r="K846" s="62" t="s">
        <v>138</v>
      </c>
      <c r="L846" s="68" t="b">
        <f aca="false">TRUE()</f>
        <v>1</v>
      </c>
    </row>
    <row r="847" customFormat="false" ht="15" hidden="false" customHeight="false" outlineLevel="0" collapsed="false">
      <c r="A847" s="62" t="n">
        <v>0</v>
      </c>
      <c r="B847" s="21" t="s">
        <v>336</v>
      </c>
      <c r="C847" s="62" t="s">
        <v>60</v>
      </c>
      <c r="D847" s="62" t="s">
        <v>387</v>
      </c>
      <c r="E847" s="62" t="s">
        <v>71</v>
      </c>
      <c r="F847" s="62" t="s">
        <v>382</v>
      </c>
      <c r="G847" s="63" t="s">
        <v>446</v>
      </c>
      <c r="H847" s="64" t="n">
        <v>37331541.673935</v>
      </c>
      <c r="I847" s="62" t="s">
        <v>81</v>
      </c>
      <c r="J847" s="64" t="n">
        <v>37331.541673935</v>
      </c>
      <c r="K847" s="62" t="s">
        <v>138</v>
      </c>
      <c r="L847" s="68" t="b">
        <f aca="false">TRUE()</f>
        <v>1</v>
      </c>
    </row>
    <row r="848" customFormat="false" ht="15" hidden="false" customHeight="false" outlineLevel="0" collapsed="false">
      <c r="A848" s="62" t="n">
        <v>0</v>
      </c>
      <c r="B848" s="21" t="s">
        <v>336</v>
      </c>
      <c r="C848" s="62" t="s">
        <v>60</v>
      </c>
      <c r="D848" s="62" t="s">
        <v>388</v>
      </c>
      <c r="E848" s="62" t="s">
        <v>71</v>
      </c>
      <c r="F848" s="62" t="s">
        <v>382</v>
      </c>
      <c r="G848" s="63" t="s">
        <v>446</v>
      </c>
      <c r="H848" s="64" t="n">
        <v>37331541.673935</v>
      </c>
      <c r="I848" s="62" t="s">
        <v>81</v>
      </c>
      <c r="J848" s="64" t="n">
        <v>37331.541673935</v>
      </c>
      <c r="K848" s="62" t="s">
        <v>138</v>
      </c>
      <c r="L848" s="68" t="b">
        <f aca="false">TRUE()</f>
        <v>1</v>
      </c>
    </row>
    <row r="849" customFormat="false" ht="15" hidden="false" customHeight="false" outlineLevel="0" collapsed="false">
      <c r="A849" s="62" t="n">
        <v>0</v>
      </c>
      <c r="B849" s="21" t="s">
        <v>336</v>
      </c>
      <c r="C849" s="62" t="s">
        <v>60</v>
      </c>
      <c r="D849" s="62" t="s">
        <v>381</v>
      </c>
      <c r="E849" s="62" t="s">
        <v>71</v>
      </c>
      <c r="F849" s="62" t="s">
        <v>382</v>
      </c>
      <c r="G849" s="63" t="s">
        <v>447</v>
      </c>
      <c r="H849" s="64" t="n">
        <v>-119424995.069532</v>
      </c>
      <c r="I849" s="62" t="s">
        <v>81</v>
      </c>
      <c r="J849" s="64" t="n">
        <v>-119424.995069532</v>
      </c>
      <c r="K849" s="62" t="s">
        <v>138</v>
      </c>
      <c r="L849" s="68" t="b">
        <f aca="false">TRUE()</f>
        <v>1</v>
      </c>
    </row>
    <row r="850" customFormat="false" ht="15" hidden="false" customHeight="false" outlineLevel="0" collapsed="false">
      <c r="A850" s="62" t="n">
        <v>0</v>
      </c>
      <c r="B850" s="21" t="s">
        <v>336</v>
      </c>
      <c r="C850" s="62" t="s">
        <v>60</v>
      </c>
      <c r="D850" s="62" t="s">
        <v>383</v>
      </c>
      <c r="E850" s="62" t="s">
        <v>71</v>
      </c>
      <c r="F850" s="62" t="s">
        <v>382</v>
      </c>
      <c r="G850" s="63" t="s">
        <v>447</v>
      </c>
      <c r="H850" s="64" t="n">
        <v>-119424995.069532</v>
      </c>
      <c r="I850" s="62" t="s">
        <v>81</v>
      </c>
      <c r="J850" s="64" t="n">
        <v>-119424.995069532</v>
      </c>
      <c r="K850" s="62" t="s">
        <v>138</v>
      </c>
      <c r="L850" s="68" t="b">
        <f aca="false">TRUE()</f>
        <v>1</v>
      </c>
    </row>
    <row r="851" customFormat="false" ht="15" hidden="false" customHeight="false" outlineLevel="0" collapsed="false">
      <c r="A851" s="62" t="n">
        <v>0</v>
      </c>
      <c r="B851" s="21" t="s">
        <v>336</v>
      </c>
      <c r="C851" s="62" t="s">
        <v>60</v>
      </c>
      <c r="D851" s="62" t="s">
        <v>384</v>
      </c>
      <c r="E851" s="62" t="s">
        <v>71</v>
      </c>
      <c r="F851" s="62" t="s">
        <v>382</v>
      </c>
      <c r="G851" s="63" t="s">
        <v>447</v>
      </c>
      <c r="H851" s="64" t="n">
        <v>-119424995.069532</v>
      </c>
      <c r="I851" s="62" t="s">
        <v>81</v>
      </c>
      <c r="J851" s="64" t="n">
        <v>-119424.995069532</v>
      </c>
      <c r="K851" s="62" t="s">
        <v>138</v>
      </c>
      <c r="L851" s="68" t="b">
        <f aca="false">TRUE()</f>
        <v>1</v>
      </c>
    </row>
    <row r="852" customFormat="false" ht="15" hidden="false" customHeight="false" outlineLevel="0" collapsed="false">
      <c r="A852" s="62" t="n">
        <v>0</v>
      </c>
      <c r="B852" s="21" t="s">
        <v>336</v>
      </c>
      <c r="C852" s="62" t="s">
        <v>60</v>
      </c>
      <c r="D852" s="62" t="s">
        <v>385</v>
      </c>
      <c r="E852" s="62" t="s">
        <v>71</v>
      </c>
      <c r="F852" s="62" t="s">
        <v>382</v>
      </c>
      <c r="G852" s="63" t="s">
        <v>447</v>
      </c>
      <c r="H852" s="64" t="n">
        <v>-119424995.069532</v>
      </c>
      <c r="I852" s="62" t="s">
        <v>81</v>
      </c>
      <c r="J852" s="64" t="n">
        <v>-119424.995069532</v>
      </c>
      <c r="K852" s="62" t="s">
        <v>138</v>
      </c>
      <c r="L852" s="68" t="b">
        <f aca="false">TRUE()</f>
        <v>1</v>
      </c>
    </row>
    <row r="853" customFormat="false" ht="15" hidden="false" customHeight="false" outlineLevel="0" collapsed="false">
      <c r="A853" s="62" t="n">
        <v>0</v>
      </c>
      <c r="B853" s="21" t="s">
        <v>336</v>
      </c>
      <c r="C853" s="62" t="s">
        <v>60</v>
      </c>
      <c r="D853" s="62" t="s">
        <v>386</v>
      </c>
      <c r="E853" s="62" t="s">
        <v>71</v>
      </c>
      <c r="F853" s="62" t="s">
        <v>382</v>
      </c>
      <c r="G853" s="63" t="s">
        <v>447</v>
      </c>
      <c r="H853" s="64" t="n">
        <v>-119424995.069532</v>
      </c>
      <c r="I853" s="62" t="s">
        <v>81</v>
      </c>
      <c r="J853" s="64" t="n">
        <v>-119424.995069532</v>
      </c>
      <c r="K853" s="62" t="s">
        <v>138</v>
      </c>
      <c r="L853" s="68" t="b">
        <f aca="false">TRUE()</f>
        <v>1</v>
      </c>
    </row>
    <row r="854" customFormat="false" ht="15" hidden="false" customHeight="false" outlineLevel="0" collapsed="false">
      <c r="A854" s="62" t="n">
        <v>0</v>
      </c>
      <c r="B854" s="21" t="s">
        <v>336</v>
      </c>
      <c r="C854" s="62" t="s">
        <v>60</v>
      </c>
      <c r="D854" s="62" t="s">
        <v>387</v>
      </c>
      <c r="E854" s="62" t="s">
        <v>71</v>
      </c>
      <c r="F854" s="62" t="s">
        <v>382</v>
      </c>
      <c r="G854" s="63" t="s">
        <v>447</v>
      </c>
      <c r="H854" s="64" t="n">
        <v>-119424995.069532</v>
      </c>
      <c r="I854" s="62" t="s">
        <v>81</v>
      </c>
      <c r="J854" s="64" t="n">
        <v>-119424.995069532</v>
      </c>
      <c r="K854" s="62" t="s">
        <v>138</v>
      </c>
      <c r="L854" s="68" t="b">
        <f aca="false">TRUE()</f>
        <v>1</v>
      </c>
    </row>
    <row r="855" customFormat="false" ht="15" hidden="false" customHeight="false" outlineLevel="0" collapsed="false">
      <c r="A855" s="62" t="n">
        <v>0</v>
      </c>
      <c r="B855" s="21" t="s">
        <v>336</v>
      </c>
      <c r="C855" s="62" t="s">
        <v>60</v>
      </c>
      <c r="D855" s="62" t="s">
        <v>388</v>
      </c>
      <c r="E855" s="62" t="s">
        <v>71</v>
      </c>
      <c r="F855" s="62" t="s">
        <v>382</v>
      </c>
      <c r="G855" s="63" t="s">
        <v>447</v>
      </c>
      <c r="H855" s="64" t="n">
        <v>-119424995.069532</v>
      </c>
      <c r="I855" s="62" t="s">
        <v>81</v>
      </c>
      <c r="J855" s="64" t="n">
        <v>-119424.995069532</v>
      </c>
      <c r="K855" s="62" t="s">
        <v>138</v>
      </c>
      <c r="L855" s="68" t="b">
        <f aca="false">TRUE()</f>
        <v>1</v>
      </c>
    </row>
    <row r="856" customFormat="false" ht="15" hidden="false" customHeight="false" outlineLevel="0" collapsed="false">
      <c r="A856" s="62" t="n">
        <v>0</v>
      </c>
      <c r="B856" s="21" t="s">
        <v>336</v>
      </c>
      <c r="C856" s="62" t="s">
        <v>60</v>
      </c>
      <c r="D856" s="62" t="s">
        <v>381</v>
      </c>
      <c r="E856" s="62" t="s">
        <v>71</v>
      </c>
      <c r="F856" s="62" t="s">
        <v>382</v>
      </c>
      <c r="G856" s="63" t="s">
        <v>448</v>
      </c>
      <c r="H856" s="64" t="n">
        <v>-129293578.682961</v>
      </c>
      <c r="I856" s="62" t="s">
        <v>81</v>
      </c>
      <c r="J856" s="64" t="n">
        <v>-129293.578682961</v>
      </c>
      <c r="K856" s="62" t="s">
        <v>138</v>
      </c>
      <c r="L856" s="68" t="b">
        <f aca="false">TRUE()</f>
        <v>1</v>
      </c>
    </row>
    <row r="857" customFormat="false" ht="15" hidden="false" customHeight="false" outlineLevel="0" collapsed="false">
      <c r="A857" s="62" t="n">
        <v>0</v>
      </c>
      <c r="B857" s="21" t="s">
        <v>336</v>
      </c>
      <c r="C857" s="62" t="s">
        <v>60</v>
      </c>
      <c r="D857" s="62" t="s">
        <v>383</v>
      </c>
      <c r="E857" s="62" t="s">
        <v>71</v>
      </c>
      <c r="F857" s="62" t="s">
        <v>382</v>
      </c>
      <c r="G857" s="63" t="s">
        <v>448</v>
      </c>
      <c r="H857" s="64" t="n">
        <v>-129293578.682961</v>
      </c>
      <c r="I857" s="62" t="s">
        <v>81</v>
      </c>
      <c r="J857" s="64" t="n">
        <v>-129293.578682961</v>
      </c>
      <c r="K857" s="62" t="s">
        <v>138</v>
      </c>
      <c r="L857" s="68" t="b">
        <f aca="false">TRUE()</f>
        <v>1</v>
      </c>
    </row>
    <row r="858" customFormat="false" ht="15" hidden="false" customHeight="false" outlineLevel="0" collapsed="false">
      <c r="A858" s="62" t="n">
        <v>0</v>
      </c>
      <c r="B858" s="21" t="s">
        <v>336</v>
      </c>
      <c r="C858" s="62" t="s">
        <v>60</v>
      </c>
      <c r="D858" s="62" t="s">
        <v>384</v>
      </c>
      <c r="E858" s="62" t="s">
        <v>71</v>
      </c>
      <c r="F858" s="62" t="s">
        <v>382</v>
      </c>
      <c r="G858" s="63" t="s">
        <v>448</v>
      </c>
      <c r="H858" s="64" t="n">
        <v>-129293578.682961</v>
      </c>
      <c r="I858" s="62" t="s">
        <v>81</v>
      </c>
      <c r="J858" s="64" t="n">
        <v>-129293.578682961</v>
      </c>
      <c r="K858" s="62" t="s">
        <v>138</v>
      </c>
      <c r="L858" s="68" t="b">
        <f aca="false">TRUE()</f>
        <v>1</v>
      </c>
    </row>
    <row r="859" customFormat="false" ht="15" hidden="false" customHeight="false" outlineLevel="0" collapsed="false">
      <c r="A859" s="62" t="n">
        <v>0</v>
      </c>
      <c r="B859" s="21" t="s">
        <v>336</v>
      </c>
      <c r="C859" s="62" t="s">
        <v>60</v>
      </c>
      <c r="D859" s="62" t="s">
        <v>385</v>
      </c>
      <c r="E859" s="62" t="s">
        <v>71</v>
      </c>
      <c r="F859" s="62" t="s">
        <v>382</v>
      </c>
      <c r="G859" s="63" t="s">
        <v>448</v>
      </c>
      <c r="H859" s="64" t="n">
        <v>-129293578.682961</v>
      </c>
      <c r="I859" s="62" t="s">
        <v>81</v>
      </c>
      <c r="J859" s="64" t="n">
        <v>-129293.578682961</v>
      </c>
      <c r="K859" s="62" t="s">
        <v>138</v>
      </c>
      <c r="L859" s="68" t="b">
        <f aca="false">TRUE()</f>
        <v>1</v>
      </c>
    </row>
    <row r="860" customFormat="false" ht="15" hidden="false" customHeight="false" outlineLevel="0" collapsed="false">
      <c r="A860" s="62" t="n">
        <v>0</v>
      </c>
      <c r="B860" s="21" t="s">
        <v>336</v>
      </c>
      <c r="C860" s="62" t="s">
        <v>60</v>
      </c>
      <c r="D860" s="62" t="s">
        <v>386</v>
      </c>
      <c r="E860" s="62" t="s">
        <v>71</v>
      </c>
      <c r="F860" s="62" t="s">
        <v>382</v>
      </c>
      <c r="G860" s="63" t="s">
        <v>448</v>
      </c>
      <c r="H860" s="64" t="n">
        <v>-129293578.682961</v>
      </c>
      <c r="I860" s="62" t="s">
        <v>81</v>
      </c>
      <c r="J860" s="64" t="n">
        <v>-129293.578682961</v>
      </c>
      <c r="K860" s="62" t="s">
        <v>138</v>
      </c>
      <c r="L860" s="68" t="b">
        <f aca="false">TRUE()</f>
        <v>1</v>
      </c>
    </row>
    <row r="861" customFormat="false" ht="15" hidden="false" customHeight="false" outlineLevel="0" collapsed="false">
      <c r="A861" s="62" t="n">
        <v>0</v>
      </c>
      <c r="B861" s="21" t="s">
        <v>336</v>
      </c>
      <c r="C861" s="62" t="s">
        <v>60</v>
      </c>
      <c r="D861" s="62" t="s">
        <v>387</v>
      </c>
      <c r="E861" s="62" t="s">
        <v>71</v>
      </c>
      <c r="F861" s="62" t="s">
        <v>382</v>
      </c>
      <c r="G861" s="63" t="s">
        <v>448</v>
      </c>
      <c r="H861" s="64" t="n">
        <v>-129293578.682961</v>
      </c>
      <c r="I861" s="62" t="s">
        <v>81</v>
      </c>
      <c r="J861" s="64" t="n">
        <v>-129293.578682961</v>
      </c>
      <c r="K861" s="62" t="s">
        <v>138</v>
      </c>
      <c r="L861" s="68" t="b">
        <f aca="false">TRUE()</f>
        <v>1</v>
      </c>
    </row>
    <row r="862" customFormat="false" ht="15" hidden="false" customHeight="false" outlineLevel="0" collapsed="false">
      <c r="A862" s="62" t="n">
        <v>0</v>
      </c>
      <c r="B862" s="21" t="s">
        <v>336</v>
      </c>
      <c r="C862" s="62" t="s">
        <v>60</v>
      </c>
      <c r="D862" s="62" t="s">
        <v>388</v>
      </c>
      <c r="E862" s="62" t="s">
        <v>71</v>
      </c>
      <c r="F862" s="62" t="s">
        <v>382</v>
      </c>
      <c r="G862" s="63" t="s">
        <v>448</v>
      </c>
      <c r="H862" s="64" t="n">
        <v>-129293578.682961</v>
      </c>
      <c r="I862" s="62" t="s">
        <v>81</v>
      </c>
      <c r="J862" s="64" t="n">
        <v>-129293.578682961</v>
      </c>
      <c r="K862" s="62" t="s">
        <v>138</v>
      </c>
      <c r="L862" s="68" t="b">
        <f aca="false">TRUE()</f>
        <v>1</v>
      </c>
    </row>
    <row r="863" customFormat="false" ht="15" hidden="false" customHeight="false" outlineLevel="0" collapsed="false">
      <c r="A863" s="62" t="n">
        <v>0</v>
      </c>
      <c r="B863" s="21" t="s">
        <v>336</v>
      </c>
      <c r="C863" s="62" t="s">
        <v>60</v>
      </c>
      <c r="D863" s="62" t="s">
        <v>381</v>
      </c>
      <c r="E863" s="62" t="s">
        <v>71</v>
      </c>
      <c r="F863" s="62" t="s">
        <v>382</v>
      </c>
      <c r="G863" s="63" t="s">
        <v>430</v>
      </c>
      <c r="H863" s="64" t="n">
        <v>1144629427.72282</v>
      </c>
      <c r="I863" s="62" t="s">
        <v>81</v>
      </c>
      <c r="J863" s="64" t="n">
        <v>1144629.42772282</v>
      </c>
      <c r="K863" s="62" t="s">
        <v>138</v>
      </c>
      <c r="L863" s="68" t="b">
        <f aca="false">TRUE()</f>
        <v>1</v>
      </c>
    </row>
    <row r="864" customFormat="false" ht="15" hidden="false" customHeight="false" outlineLevel="0" collapsed="false">
      <c r="A864" s="62" t="n">
        <v>0</v>
      </c>
      <c r="B864" s="21" t="s">
        <v>336</v>
      </c>
      <c r="C864" s="62" t="s">
        <v>60</v>
      </c>
      <c r="D864" s="62" t="s">
        <v>383</v>
      </c>
      <c r="E864" s="62" t="s">
        <v>71</v>
      </c>
      <c r="F864" s="62" t="s">
        <v>382</v>
      </c>
      <c r="G864" s="63" t="s">
        <v>430</v>
      </c>
      <c r="H864" s="64" t="n">
        <v>1144629427.72282</v>
      </c>
      <c r="I864" s="62" t="s">
        <v>81</v>
      </c>
      <c r="J864" s="64" t="n">
        <v>1144629.42772282</v>
      </c>
      <c r="K864" s="62" t="s">
        <v>138</v>
      </c>
      <c r="L864" s="68" t="b">
        <f aca="false">TRUE()</f>
        <v>1</v>
      </c>
    </row>
    <row r="865" customFormat="false" ht="15" hidden="false" customHeight="false" outlineLevel="0" collapsed="false">
      <c r="A865" s="62" t="n">
        <v>0</v>
      </c>
      <c r="B865" s="21" t="s">
        <v>336</v>
      </c>
      <c r="C865" s="62" t="s">
        <v>60</v>
      </c>
      <c r="D865" s="62" t="s">
        <v>384</v>
      </c>
      <c r="E865" s="62" t="s">
        <v>71</v>
      </c>
      <c r="F865" s="62" t="s">
        <v>382</v>
      </c>
      <c r="G865" s="63" t="s">
        <v>430</v>
      </c>
      <c r="H865" s="64" t="n">
        <v>1144629427.72282</v>
      </c>
      <c r="I865" s="62" t="s">
        <v>81</v>
      </c>
      <c r="J865" s="64" t="n">
        <v>1144629.42772282</v>
      </c>
      <c r="K865" s="62" t="s">
        <v>138</v>
      </c>
      <c r="L865" s="68" t="b">
        <f aca="false">TRUE()</f>
        <v>1</v>
      </c>
    </row>
    <row r="866" customFormat="false" ht="15" hidden="false" customHeight="false" outlineLevel="0" collapsed="false">
      <c r="A866" s="62" t="n">
        <v>0</v>
      </c>
      <c r="B866" s="21" t="s">
        <v>336</v>
      </c>
      <c r="C866" s="62" t="s">
        <v>60</v>
      </c>
      <c r="D866" s="62" t="s">
        <v>385</v>
      </c>
      <c r="E866" s="62" t="s">
        <v>71</v>
      </c>
      <c r="F866" s="62" t="s">
        <v>382</v>
      </c>
      <c r="G866" s="63" t="s">
        <v>430</v>
      </c>
      <c r="H866" s="64" t="n">
        <v>1144629427.72282</v>
      </c>
      <c r="I866" s="62" t="s">
        <v>81</v>
      </c>
      <c r="J866" s="64" t="n">
        <v>1144629.42772282</v>
      </c>
      <c r="K866" s="62" t="s">
        <v>138</v>
      </c>
      <c r="L866" s="68" t="b">
        <f aca="false">TRUE()</f>
        <v>1</v>
      </c>
    </row>
    <row r="867" customFormat="false" ht="15" hidden="false" customHeight="false" outlineLevel="0" collapsed="false">
      <c r="A867" s="62" t="n">
        <v>0</v>
      </c>
      <c r="B867" s="21" t="s">
        <v>336</v>
      </c>
      <c r="C867" s="62" t="s">
        <v>60</v>
      </c>
      <c r="D867" s="62" t="s">
        <v>386</v>
      </c>
      <c r="E867" s="62" t="s">
        <v>71</v>
      </c>
      <c r="F867" s="62" t="s">
        <v>382</v>
      </c>
      <c r="G867" s="63" t="s">
        <v>430</v>
      </c>
      <c r="H867" s="64" t="n">
        <v>1144629427.72282</v>
      </c>
      <c r="I867" s="62" t="s">
        <v>81</v>
      </c>
      <c r="J867" s="64" t="n">
        <v>1144629.42772282</v>
      </c>
      <c r="K867" s="62" t="s">
        <v>138</v>
      </c>
      <c r="L867" s="68" t="b">
        <f aca="false">TRUE()</f>
        <v>1</v>
      </c>
    </row>
    <row r="868" customFormat="false" ht="15" hidden="false" customHeight="false" outlineLevel="0" collapsed="false">
      <c r="A868" s="62" t="n">
        <v>0</v>
      </c>
      <c r="B868" s="21" t="s">
        <v>336</v>
      </c>
      <c r="C868" s="62" t="s">
        <v>60</v>
      </c>
      <c r="D868" s="62" t="s">
        <v>387</v>
      </c>
      <c r="E868" s="62" t="s">
        <v>71</v>
      </c>
      <c r="F868" s="62" t="s">
        <v>382</v>
      </c>
      <c r="G868" s="63" t="s">
        <v>430</v>
      </c>
      <c r="H868" s="64" t="n">
        <v>1144629427.72282</v>
      </c>
      <c r="I868" s="62" t="s">
        <v>81</v>
      </c>
      <c r="J868" s="64" t="n">
        <v>1144629.42772282</v>
      </c>
      <c r="K868" s="62" t="s">
        <v>138</v>
      </c>
      <c r="L868" s="68" t="b">
        <f aca="false">TRUE()</f>
        <v>1</v>
      </c>
    </row>
    <row r="869" customFormat="false" ht="15" hidden="false" customHeight="false" outlineLevel="0" collapsed="false">
      <c r="A869" s="62" t="n">
        <v>0</v>
      </c>
      <c r="B869" s="21" t="s">
        <v>336</v>
      </c>
      <c r="C869" s="62" t="s">
        <v>60</v>
      </c>
      <c r="D869" s="62" t="s">
        <v>388</v>
      </c>
      <c r="E869" s="62" t="s">
        <v>71</v>
      </c>
      <c r="F869" s="62" t="s">
        <v>382</v>
      </c>
      <c r="G869" s="63" t="s">
        <v>430</v>
      </c>
      <c r="H869" s="64" t="n">
        <v>1144629427.72282</v>
      </c>
      <c r="I869" s="62" t="s">
        <v>81</v>
      </c>
      <c r="J869" s="64" t="n">
        <v>1144629.42772282</v>
      </c>
      <c r="K869" s="62" t="s">
        <v>138</v>
      </c>
      <c r="L869" s="68" t="b">
        <f aca="false">TRUE()</f>
        <v>1</v>
      </c>
    </row>
    <row r="870" customFormat="false" ht="15" hidden="false" customHeight="false" outlineLevel="0" collapsed="false">
      <c r="A870" s="62" t="n">
        <v>0</v>
      </c>
      <c r="B870" s="21" t="s">
        <v>336</v>
      </c>
      <c r="C870" s="62" t="s">
        <v>60</v>
      </c>
      <c r="D870" s="62" t="s">
        <v>381</v>
      </c>
      <c r="E870" s="62" t="s">
        <v>71</v>
      </c>
      <c r="F870" s="62" t="s">
        <v>382</v>
      </c>
      <c r="G870" s="63" t="s">
        <v>431</v>
      </c>
      <c r="H870" s="64" t="n">
        <v>0</v>
      </c>
      <c r="I870" s="62" t="s">
        <v>81</v>
      </c>
      <c r="J870" s="64" t="n">
        <v>0</v>
      </c>
      <c r="K870" s="62" t="s">
        <v>138</v>
      </c>
      <c r="L870" s="68" t="b">
        <f aca="false">TRUE()</f>
        <v>1</v>
      </c>
    </row>
    <row r="871" customFormat="false" ht="15" hidden="false" customHeight="false" outlineLevel="0" collapsed="false">
      <c r="A871" s="62" t="n">
        <v>0</v>
      </c>
      <c r="B871" s="21" t="s">
        <v>336</v>
      </c>
      <c r="C871" s="62" t="s">
        <v>60</v>
      </c>
      <c r="D871" s="62" t="s">
        <v>383</v>
      </c>
      <c r="E871" s="62" t="s">
        <v>71</v>
      </c>
      <c r="F871" s="62" t="s">
        <v>382</v>
      </c>
      <c r="G871" s="63" t="s">
        <v>431</v>
      </c>
      <c r="H871" s="64" t="n">
        <v>0</v>
      </c>
      <c r="I871" s="62" t="s">
        <v>81</v>
      </c>
      <c r="J871" s="64" t="n">
        <v>0</v>
      </c>
      <c r="K871" s="62" t="s">
        <v>138</v>
      </c>
      <c r="L871" s="68" t="b">
        <f aca="false">TRUE()</f>
        <v>1</v>
      </c>
    </row>
    <row r="872" customFormat="false" ht="15" hidden="false" customHeight="false" outlineLevel="0" collapsed="false">
      <c r="A872" s="62" t="n">
        <v>0</v>
      </c>
      <c r="B872" s="21" t="s">
        <v>336</v>
      </c>
      <c r="C872" s="62" t="s">
        <v>60</v>
      </c>
      <c r="D872" s="62" t="s">
        <v>384</v>
      </c>
      <c r="E872" s="62" t="s">
        <v>71</v>
      </c>
      <c r="F872" s="62" t="s">
        <v>382</v>
      </c>
      <c r="G872" s="63" t="s">
        <v>431</v>
      </c>
      <c r="H872" s="64" t="n">
        <v>0</v>
      </c>
      <c r="I872" s="62" t="s">
        <v>81</v>
      </c>
      <c r="J872" s="64" t="n">
        <v>0</v>
      </c>
      <c r="K872" s="62" t="s">
        <v>138</v>
      </c>
      <c r="L872" s="68" t="b">
        <f aca="false">TRUE()</f>
        <v>1</v>
      </c>
    </row>
    <row r="873" customFormat="false" ht="15" hidden="false" customHeight="false" outlineLevel="0" collapsed="false">
      <c r="A873" s="62" t="n">
        <v>0</v>
      </c>
      <c r="B873" s="21" t="s">
        <v>336</v>
      </c>
      <c r="C873" s="62" t="s">
        <v>60</v>
      </c>
      <c r="D873" s="62" t="s">
        <v>385</v>
      </c>
      <c r="E873" s="62" t="s">
        <v>71</v>
      </c>
      <c r="F873" s="62" t="s">
        <v>382</v>
      </c>
      <c r="G873" s="63" t="s">
        <v>431</v>
      </c>
      <c r="H873" s="64" t="n">
        <v>0</v>
      </c>
      <c r="I873" s="62" t="s">
        <v>81</v>
      </c>
      <c r="J873" s="64" t="n">
        <v>0</v>
      </c>
      <c r="K873" s="62" t="s">
        <v>138</v>
      </c>
      <c r="L873" s="68" t="b">
        <f aca="false">TRUE()</f>
        <v>1</v>
      </c>
    </row>
    <row r="874" customFormat="false" ht="15" hidden="false" customHeight="false" outlineLevel="0" collapsed="false">
      <c r="A874" s="62" t="n">
        <v>0</v>
      </c>
      <c r="B874" s="21" t="s">
        <v>336</v>
      </c>
      <c r="C874" s="62" t="s">
        <v>60</v>
      </c>
      <c r="D874" s="62" t="s">
        <v>386</v>
      </c>
      <c r="E874" s="62" t="s">
        <v>71</v>
      </c>
      <c r="F874" s="62" t="s">
        <v>382</v>
      </c>
      <c r="G874" s="63" t="s">
        <v>431</v>
      </c>
      <c r="H874" s="64" t="n">
        <v>0</v>
      </c>
      <c r="I874" s="62" t="s">
        <v>81</v>
      </c>
      <c r="J874" s="64" t="n">
        <v>0</v>
      </c>
      <c r="K874" s="62" t="s">
        <v>138</v>
      </c>
      <c r="L874" s="68" t="b">
        <f aca="false">TRUE()</f>
        <v>1</v>
      </c>
    </row>
    <row r="875" customFormat="false" ht="15" hidden="false" customHeight="false" outlineLevel="0" collapsed="false">
      <c r="A875" s="62" t="n">
        <v>0</v>
      </c>
      <c r="B875" s="21" t="s">
        <v>336</v>
      </c>
      <c r="C875" s="62" t="s">
        <v>60</v>
      </c>
      <c r="D875" s="62" t="s">
        <v>387</v>
      </c>
      <c r="E875" s="62" t="s">
        <v>71</v>
      </c>
      <c r="F875" s="62" t="s">
        <v>382</v>
      </c>
      <c r="G875" s="63" t="s">
        <v>431</v>
      </c>
      <c r="H875" s="64" t="n">
        <v>0</v>
      </c>
      <c r="I875" s="62" t="s">
        <v>81</v>
      </c>
      <c r="J875" s="64" t="n">
        <v>0</v>
      </c>
      <c r="K875" s="62" t="s">
        <v>138</v>
      </c>
      <c r="L875" s="68" t="b">
        <f aca="false">TRUE()</f>
        <v>1</v>
      </c>
    </row>
    <row r="876" customFormat="false" ht="15" hidden="false" customHeight="false" outlineLevel="0" collapsed="false">
      <c r="A876" s="62" t="n">
        <v>0</v>
      </c>
      <c r="B876" s="21" t="s">
        <v>336</v>
      </c>
      <c r="C876" s="62" t="s">
        <v>60</v>
      </c>
      <c r="D876" s="62" t="s">
        <v>388</v>
      </c>
      <c r="E876" s="62" t="s">
        <v>71</v>
      </c>
      <c r="F876" s="62" t="s">
        <v>382</v>
      </c>
      <c r="G876" s="63" t="s">
        <v>431</v>
      </c>
      <c r="H876" s="64" t="n">
        <v>0</v>
      </c>
      <c r="I876" s="62" t="s">
        <v>81</v>
      </c>
      <c r="J876" s="64" t="n">
        <v>0</v>
      </c>
      <c r="K876" s="62" t="s">
        <v>138</v>
      </c>
      <c r="L876" s="68" t="b">
        <f aca="false">TRUE()</f>
        <v>1</v>
      </c>
    </row>
    <row r="877" customFormat="false" ht="15" hidden="false" customHeight="false" outlineLevel="0" collapsed="false">
      <c r="A877" s="62" t="n">
        <v>0</v>
      </c>
      <c r="B877" s="21" t="s">
        <v>336</v>
      </c>
      <c r="C877" s="62" t="s">
        <v>60</v>
      </c>
      <c r="D877" s="62" t="s">
        <v>381</v>
      </c>
      <c r="E877" s="62" t="s">
        <v>71</v>
      </c>
      <c r="F877" s="62" t="s">
        <v>382</v>
      </c>
      <c r="G877" s="63" t="s">
        <v>449</v>
      </c>
      <c r="H877" s="64" t="n">
        <v>1144629427.72282</v>
      </c>
      <c r="I877" s="62" t="s">
        <v>81</v>
      </c>
      <c r="J877" s="64" t="n">
        <v>1144629.42772282</v>
      </c>
      <c r="K877" s="62" t="s">
        <v>138</v>
      </c>
      <c r="L877" s="68" t="b">
        <f aca="false">TRUE()</f>
        <v>1</v>
      </c>
    </row>
    <row r="878" customFormat="false" ht="15" hidden="false" customHeight="false" outlineLevel="0" collapsed="false">
      <c r="A878" s="62" t="n">
        <v>0</v>
      </c>
      <c r="B878" s="21" t="s">
        <v>336</v>
      </c>
      <c r="C878" s="62" t="s">
        <v>60</v>
      </c>
      <c r="D878" s="62" t="s">
        <v>383</v>
      </c>
      <c r="E878" s="62" t="s">
        <v>71</v>
      </c>
      <c r="F878" s="62" t="s">
        <v>382</v>
      </c>
      <c r="G878" s="63" t="s">
        <v>449</v>
      </c>
      <c r="H878" s="64" t="n">
        <v>1144629427.72282</v>
      </c>
      <c r="I878" s="62" t="s">
        <v>81</v>
      </c>
      <c r="J878" s="64" t="n">
        <v>1144629.42772282</v>
      </c>
      <c r="K878" s="62" t="s">
        <v>138</v>
      </c>
      <c r="L878" s="68" t="b">
        <f aca="false">TRUE()</f>
        <v>1</v>
      </c>
    </row>
    <row r="879" customFormat="false" ht="15" hidden="false" customHeight="false" outlineLevel="0" collapsed="false">
      <c r="A879" s="62" t="n">
        <v>0</v>
      </c>
      <c r="B879" s="21" t="s">
        <v>336</v>
      </c>
      <c r="C879" s="62" t="s">
        <v>60</v>
      </c>
      <c r="D879" s="62" t="s">
        <v>384</v>
      </c>
      <c r="E879" s="62" t="s">
        <v>71</v>
      </c>
      <c r="F879" s="62" t="s">
        <v>382</v>
      </c>
      <c r="G879" s="63" t="s">
        <v>449</v>
      </c>
      <c r="H879" s="64" t="n">
        <v>1144629427.72282</v>
      </c>
      <c r="I879" s="62" t="s">
        <v>81</v>
      </c>
      <c r="J879" s="64" t="n">
        <v>1144629.42772282</v>
      </c>
      <c r="K879" s="62" t="s">
        <v>138</v>
      </c>
      <c r="L879" s="68" t="b">
        <f aca="false">TRUE()</f>
        <v>1</v>
      </c>
    </row>
    <row r="880" customFormat="false" ht="15" hidden="false" customHeight="false" outlineLevel="0" collapsed="false">
      <c r="A880" s="62" t="n">
        <v>0</v>
      </c>
      <c r="B880" s="21" t="s">
        <v>336</v>
      </c>
      <c r="C880" s="62" t="s">
        <v>60</v>
      </c>
      <c r="D880" s="62" t="s">
        <v>385</v>
      </c>
      <c r="E880" s="62" t="s">
        <v>71</v>
      </c>
      <c r="F880" s="62" t="s">
        <v>382</v>
      </c>
      <c r="G880" s="63" t="s">
        <v>449</v>
      </c>
      <c r="H880" s="64" t="n">
        <v>1144629427.72282</v>
      </c>
      <c r="I880" s="62" t="s">
        <v>81</v>
      </c>
      <c r="J880" s="64" t="n">
        <v>1144629.42772282</v>
      </c>
      <c r="K880" s="62" t="s">
        <v>138</v>
      </c>
      <c r="L880" s="68" t="b">
        <f aca="false">TRUE()</f>
        <v>1</v>
      </c>
    </row>
    <row r="881" customFormat="false" ht="15" hidden="false" customHeight="false" outlineLevel="0" collapsed="false">
      <c r="A881" s="62" t="n">
        <v>0</v>
      </c>
      <c r="B881" s="21" t="s">
        <v>336</v>
      </c>
      <c r="C881" s="62" t="s">
        <v>60</v>
      </c>
      <c r="D881" s="62" t="s">
        <v>386</v>
      </c>
      <c r="E881" s="62" t="s">
        <v>71</v>
      </c>
      <c r="F881" s="62" t="s">
        <v>382</v>
      </c>
      <c r="G881" s="63" t="s">
        <v>449</v>
      </c>
      <c r="H881" s="64" t="n">
        <v>1144629427.72282</v>
      </c>
      <c r="I881" s="62" t="s">
        <v>81</v>
      </c>
      <c r="J881" s="64" t="n">
        <v>1144629.42772282</v>
      </c>
      <c r="K881" s="62" t="s">
        <v>138</v>
      </c>
      <c r="L881" s="68" t="b">
        <f aca="false">TRUE()</f>
        <v>1</v>
      </c>
    </row>
    <row r="882" customFormat="false" ht="15" hidden="false" customHeight="false" outlineLevel="0" collapsed="false">
      <c r="A882" s="62" t="n">
        <v>0</v>
      </c>
      <c r="B882" s="21" t="s">
        <v>336</v>
      </c>
      <c r="C882" s="62" t="s">
        <v>60</v>
      </c>
      <c r="D882" s="62" t="s">
        <v>387</v>
      </c>
      <c r="E882" s="62" t="s">
        <v>71</v>
      </c>
      <c r="F882" s="62" t="s">
        <v>382</v>
      </c>
      <c r="G882" s="63" t="s">
        <v>449</v>
      </c>
      <c r="H882" s="64" t="n">
        <v>1144629427.72282</v>
      </c>
      <c r="I882" s="62" t="s">
        <v>81</v>
      </c>
      <c r="J882" s="64" t="n">
        <v>1144629.42772282</v>
      </c>
      <c r="K882" s="62" t="s">
        <v>138</v>
      </c>
      <c r="L882" s="68" t="b">
        <f aca="false">TRUE()</f>
        <v>1</v>
      </c>
    </row>
    <row r="883" customFormat="false" ht="15" hidden="false" customHeight="false" outlineLevel="0" collapsed="false">
      <c r="A883" s="62" t="n">
        <v>0</v>
      </c>
      <c r="B883" s="21" t="s">
        <v>336</v>
      </c>
      <c r="C883" s="62" t="s">
        <v>60</v>
      </c>
      <c r="D883" s="62" t="s">
        <v>388</v>
      </c>
      <c r="E883" s="62" t="s">
        <v>71</v>
      </c>
      <c r="F883" s="62" t="s">
        <v>382</v>
      </c>
      <c r="G883" s="63" t="s">
        <v>449</v>
      </c>
      <c r="H883" s="64" t="n">
        <v>1144629427.72282</v>
      </c>
      <c r="I883" s="62" t="s">
        <v>81</v>
      </c>
      <c r="J883" s="64" t="n">
        <v>1144629.42772282</v>
      </c>
      <c r="K883" s="62" t="s">
        <v>138</v>
      </c>
      <c r="L883" s="68" t="b">
        <f aca="false">TRUE()</f>
        <v>1</v>
      </c>
    </row>
    <row r="884" customFormat="false" ht="15" hidden="false" customHeight="false" outlineLevel="0" collapsed="false">
      <c r="A884" s="62" t="n">
        <v>0</v>
      </c>
      <c r="B884" s="21" t="s">
        <v>336</v>
      </c>
      <c r="C884" s="62" t="s">
        <v>60</v>
      </c>
      <c r="D884" s="62" t="s">
        <v>381</v>
      </c>
      <c r="E884" s="62" t="s">
        <v>71</v>
      </c>
      <c r="F884" s="62" t="s">
        <v>382</v>
      </c>
      <c r="G884" s="63" t="s">
        <v>450</v>
      </c>
      <c r="H884" s="64" t="n">
        <v>0</v>
      </c>
      <c r="I884" s="62" t="s">
        <v>81</v>
      </c>
      <c r="J884" s="64" t="n">
        <v>0</v>
      </c>
      <c r="K884" s="62" t="s">
        <v>138</v>
      </c>
      <c r="L884" s="68" t="b">
        <f aca="false">TRUE()</f>
        <v>1</v>
      </c>
    </row>
    <row r="885" customFormat="false" ht="15" hidden="false" customHeight="false" outlineLevel="0" collapsed="false">
      <c r="A885" s="62" t="n">
        <v>0</v>
      </c>
      <c r="B885" s="21" t="s">
        <v>336</v>
      </c>
      <c r="C885" s="62" t="s">
        <v>60</v>
      </c>
      <c r="D885" s="62" t="s">
        <v>383</v>
      </c>
      <c r="E885" s="62" t="s">
        <v>71</v>
      </c>
      <c r="F885" s="62" t="s">
        <v>382</v>
      </c>
      <c r="G885" s="63" t="s">
        <v>450</v>
      </c>
      <c r="H885" s="64" t="n">
        <v>0</v>
      </c>
      <c r="I885" s="62" t="s">
        <v>81</v>
      </c>
      <c r="J885" s="64" t="n">
        <v>0</v>
      </c>
      <c r="K885" s="62" t="s">
        <v>138</v>
      </c>
      <c r="L885" s="68" t="b">
        <f aca="false">TRUE()</f>
        <v>1</v>
      </c>
    </row>
    <row r="886" customFormat="false" ht="15" hidden="false" customHeight="false" outlineLevel="0" collapsed="false">
      <c r="A886" s="62" t="n">
        <v>0</v>
      </c>
      <c r="B886" s="21" t="s">
        <v>336</v>
      </c>
      <c r="C886" s="62" t="s">
        <v>60</v>
      </c>
      <c r="D886" s="62" t="s">
        <v>384</v>
      </c>
      <c r="E886" s="62" t="s">
        <v>71</v>
      </c>
      <c r="F886" s="62" t="s">
        <v>382</v>
      </c>
      <c r="G886" s="63" t="s">
        <v>450</v>
      </c>
      <c r="H886" s="64" t="n">
        <v>0</v>
      </c>
      <c r="I886" s="62" t="s">
        <v>81</v>
      </c>
      <c r="J886" s="64" t="n">
        <v>0</v>
      </c>
      <c r="K886" s="62" t="s">
        <v>138</v>
      </c>
      <c r="L886" s="68" t="b">
        <f aca="false">TRUE()</f>
        <v>1</v>
      </c>
    </row>
    <row r="887" customFormat="false" ht="15" hidden="false" customHeight="false" outlineLevel="0" collapsed="false">
      <c r="A887" s="62" t="n">
        <v>0</v>
      </c>
      <c r="B887" s="21" t="s">
        <v>336</v>
      </c>
      <c r="C887" s="62" t="s">
        <v>60</v>
      </c>
      <c r="D887" s="62" t="s">
        <v>385</v>
      </c>
      <c r="E887" s="62" t="s">
        <v>71</v>
      </c>
      <c r="F887" s="62" t="s">
        <v>382</v>
      </c>
      <c r="G887" s="63" t="s">
        <v>450</v>
      </c>
      <c r="H887" s="64" t="n">
        <v>0</v>
      </c>
      <c r="I887" s="62" t="s">
        <v>81</v>
      </c>
      <c r="J887" s="64" t="n">
        <v>0</v>
      </c>
      <c r="K887" s="62" t="s">
        <v>138</v>
      </c>
      <c r="L887" s="68" t="b">
        <f aca="false">TRUE()</f>
        <v>1</v>
      </c>
    </row>
    <row r="888" customFormat="false" ht="15" hidden="false" customHeight="false" outlineLevel="0" collapsed="false">
      <c r="A888" s="62" t="n">
        <v>0</v>
      </c>
      <c r="B888" s="21" t="s">
        <v>336</v>
      </c>
      <c r="C888" s="62" t="s">
        <v>60</v>
      </c>
      <c r="D888" s="62" t="s">
        <v>386</v>
      </c>
      <c r="E888" s="62" t="s">
        <v>71</v>
      </c>
      <c r="F888" s="62" t="s">
        <v>382</v>
      </c>
      <c r="G888" s="63" t="s">
        <v>450</v>
      </c>
      <c r="H888" s="64" t="n">
        <v>0</v>
      </c>
      <c r="I888" s="62" t="s">
        <v>81</v>
      </c>
      <c r="J888" s="64" t="n">
        <v>0</v>
      </c>
      <c r="K888" s="62" t="s">
        <v>138</v>
      </c>
      <c r="L888" s="68" t="b">
        <f aca="false">TRUE()</f>
        <v>1</v>
      </c>
    </row>
    <row r="889" customFormat="false" ht="15" hidden="false" customHeight="false" outlineLevel="0" collapsed="false">
      <c r="A889" s="62" t="n">
        <v>0</v>
      </c>
      <c r="B889" s="21" t="s">
        <v>336</v>
      </c>
      <c r="C889" s="62" t="s">
        <v>60</v>
      </c>
      <c r="D889" s="62" t="s">
        <v>387</v>
      </c>
      <c r="E889" s="62" t="s">
        <v>71</v>
      </c>
      <c r="F889" s="62" t="s">
        <v>382</v>
      </c>
      <c r="G889" s="63" t="s">
        <v>450</v>
      </c>
      <c r="H889" s="64" t="n">
        <v>0</v>
      </c>
      <c r="I889" s="62" t="s">
        <v>81</v>
      </c>
      <c r="J889" s="64" t="n">
        <v>0</v>
      </c>
      <c r="K889" s="62" t="s">
        <v>138</v>
      </c>
      <c r="L889" s="68" t="b">
        <f aca="false">TRUE()</f>
        <v>1</v>
      </c>
    </row>
    <row r="890" customFormat="false" ht="15" hidden="false" customHeight="false" outlineLevel="0" collapsed="false">
      <c r="A890" s="62" t="n">
        <v>0</v>
      </c>
      <c r="B890" s="21" t="s">
        <v>336</v>
      </c>
      <c r="C890" s="62" t="s">
        <v>60</v>
      </c>
      <c r="D890" s="62" t="s">
        <v>388</v>
      </c>
      <c r="E890" s="62" t="s">
        <v>71</v>
      </c>
      <c r="F890" s="62" t="s">
        <v>382</v>
      </c>
      <c r="G890" s="63" t="s">
        <v>450</v>
      </c>
      <c r="H890" s="64" t="n">
        <v>0</v>
      </c>
      <c r="I890" s="62" t="s">
        <v>81</v>
      </c>
      <c r="J890" s="64" t="n">
        <v>0</v>
      </c>
      <c r="K890" s="62" t="s">
        <v>138</v>
      </c>
      <c r="L890" s="68" t="b">
        <f aca="false">TRUE()</f>
        <v>1</v>
      </c>
    </row>
    <row r="891" customFormat="false" ht="15" hidden="false" customHeight="false" outlineLevel="0" collapsed="false">
      <c r="A891" s="62" t="n">
        <v>0</v>
      </c>
      <c r="B891" s="21" t="s">
        <v>336</v>
      </c>
      <c r="C891" s="62" t="s">
        <v>60</v>
      </c>
      <c r="D891" s="62" t="s">
        <v>381</v>
      </c>
      <c r="E891" s="62" t="s">
        <v>71</v>
      </c>
      <c r="F891" s="62" t="s">
        <v>382</v>
      </c>
      <c r="G891" s="63" t="s">
        <v>451</v>
      </c>
      <c r="H891" s="64" t="n">
        <v>-2500000000</v>
      </c>
      <c r="I891" s="62" t="s">
        <v>81</v>
      </c>
      <c r="J891" s="64" t="n">
        <v>-2500000</v>
      </c>
      <c r="K891" s="62" t="s">
        <v>138</v>
      </c>
      <c r="L891" s="68" t="b">
        <f aca="false">TRUE()</f>
        <v>1</v>
      </c>
    </row>
    <row r="892" customFormat="false" ht="15" hidden="false" customHeight="false" outlineLevel="0" collapsed="false">
      <c r="A892" s="62" t="n">
        <v>0</v>
      </c>
      <c r="B892" s="21" t="s">
        <v>336</v>
      </c>
      <c r="C892" s="62" t="s">
        <v>60</v>
      </c>
      <c r="D892" s="62" t="s">
        <v>383</v>
      </c>
      <c r="E892" s="62" t="s">
        <v>71</v>
      </c>
      <c r="F892" s="62" t="s">
        <v>382</v>
      </c>
      <c r="G892" s="63" t="s">
        <v>451</v>
      </c>
      <c r="H892" s="64" t="n">
        <v>-2500000000</v>
      </c>
      <c r="I892" s="62" t="s">
        <v>81</v>
      </c>
      <c r="J892" s="64" t="n">
        <v>-2500000</v>
      </c>
      <c r="K892" s="62" t="s">
        <v>138</v>
      </c>
      <c r="L892" s="68" t="b">
        <f aca="false">TRUE()</f>
        <v>1</v>
      </c>
    </row>
    <row r="893" customFormat="false" ht="15" hidden="false" customHeight="false" outlineLevel="0" collapsed="false">
      <c r="A893" s="62" t="n">
        <v>0</v>
      </c>
      <c r="B893" s="21" t="s">
        <v>336</v>
      </c>
      <c r="C893" s="62" t="s">
        <v>60</v>
      </c>
      <c r="D893" s="62" t="s">
        <v>384</v>
      </c>
      <c r="E893" s="62" t="s">
        <v>71</v>
      </c>
      <c r="F893" s="62" t="s">
        <v>382</v>
      </c>
      <c r="G893" s="63" t="s">
        <v>451</v>
      </c>
      <c r="H893" s="64" t="n">
        <v>-2500000000</v>
      </c>
      <c r="I893" s="62" t="s">
        <v>81</v>
      </c>
      <c r="J893" s="64" t="n">
        <v>-2500000</v>
      </c>
      <c r="K893" s="62" t="s">
        <v>138</v>
      </c>
      <c r="L893" s="68" t="b">
        <f aca="false">TRUE()</f>
        <v>1</v>
      </c>
    </row>
    <row r="894" customFormat="false" ht="15" hidden="false" customHeight="false" outlineLevel="0" collapsed="false">
      <c r="A894" s="62" t="n">
        <v>0</v>
      </c>
      <c r="B894" s="21" t="s">
        <v>336</v>
      </c>
      <c r="C894" s="62" t="s">
        <v>60</v>
      </c>
      <c r="D894" s="62" t="s">
        <v>385</v>
      </c>
      <c r="E894" s="62" t="s">
        <v>71</v>
      </c>
      <c r="F894" s="62" t="s">
        <v>382</v>
      </c>
      <c r="G894" s="63" t="s">
        <v>451</v>
      </c>
      <c r="H894" s="64" t="n">
        <v>-2500000000</v>
      </c>
      <c r="I894" s="62" t="s">
        <v>81</v>
      </c>
      <c r="J894" s="64" t="n">
        <v>-2500000</v>
      </c>
      <c r="K894" s="62" t="s">
        <v>138</v>
      </c>
      <c r="L894" s="68" t="b">
        <f aca="false">TRUE()</f>
        <v>1</v>
      </c>
    </row>
    <row r="895" customFormat="false" ht="15" hidden="false" customHeight="false" outlineLevel="0" collapsed="false">
      <c r="A895" s="62" t="n">
        <v>0</v>
      </c>
      <c r="B895" s="21" t="s">
        <v>336</v>
      </c>
      <c r="C895" s="62" t="s">
        <v>60</v>
      </c>
      <c r="D895" s="62" t="s">
        <v>386</v>
      </c>
      <c r="E895" s="62" t="s">
        <v>71</v>
      </c>
      <c r="F895" s="62" t="s">
        <v>382</v>
      </c>
      <c r="G895" s="63" t="s">
        <v>451</v>
      </c>
      <c r="H895" s="64" t="n">
        <v>-2500000000</v>
      </c>
      <c r="I895" s="62" t="s">
        <v>81</v>
      </c>
      <c r="J895" s="64" t="n">
        <v>-2500000</v>
      </c>
      <c r="K895" s="62" t="s">
        <v>138</v>
      </c>
      <c r="L895" s="68" t="b">
        <f aca="false">TRUE()</f>
        <v>1</v>
      </c>
    </row>
    <row r="896" customFormat="false" ht="15" hidden="false" customHeight="false" outlineLevel="0" collapsed="false">
      <c r="A896" s="62" t="n">
        <v>0</v>
      </c>
      <c r="B896" s="21" t="s">
        <v>336</v>
      </c>
      <c r="C896" s="62" t="s">
        <v>60</v>
      </c>
      <c r="D896" s="62" t="s">
        <v>387</v>
      </c>
      <c r="E896" s="62" t="s">
        <v>71</v>
      </c>
      <c r="F896" s="62" t="s">
        <v>382</v>
      </c>
      <c r="G896" s="63" t="s">
        <v>451</v>
      </c>
      <c r="H896" s="64" t="n">
        <v>-2500000000</v>
      </c>
      <c r="I896" s="62" t="s">
        <v>81</v>
      </c>
      <c r="J896" s="64" t="n">
        <v>-2500000</v>
      </c>
      <c r="K896" s="62" t="s">
        <v>138</v>
      </c>
      <c r="L896" s="68" t="b">
        <f aca="false">TRUE()</f>
        <v>1</v>
      </c>
    </row>
    <row r="897" customFormat="false" ht="15" hidden="false" customHeight="false" outlineLevel="0" collapsed="false">
      <c r="A897" s="62" t="n">
        <v>0</v>
      </c>
      <c r="B897" s="21" t="s">
        <v>336</v>
      </c>
      <c r="C897" s="62" t="s">
        <v>60</v>
      </c>
      <c r="D897" s="62" t="s">
        <v>388</v>
      </c>
      <c r="E897" s="62" t="s">
        <v>71</v>
      </c>
      <c r="F897" s="62" t="s">
        <v>382</v>
      </c>
      <c r="G897" s="63" t="s">
        <v>451</v>
      </c>
      <c r="H897" s="64" t="n">
        <v>-2500000000</v>
      </c>
      <c r="I897" s="62" t="s">
        <v>81</v>
      </c>
      <c r="J897" s="64" t="n">
        <v>-2500000</v>
      </c>
      <c r="K897" s="62" t="s">
        <v>138</v>
      </c>
      <c r="L897" s="68" t="b">
        <f aca="false">TRUE()</f>
        <v>1</v>
      </c>
    </row>
    <row r="898" customFormat="false" ht="15" hidden="false" customHeight="false" outlineLevel="0" collapsed="false">
      <c r="A898" s="62" t="n">
        <v>0</v>
      </c>
      <c r="B898" s="21" t="s">
        <v>336</v>
      </c>
      <c r="C898" s="62" t="s">
        <v>60</v>
      </c>
      <c r="D898" s="62" t="s">
        <v>381</v>
      </c>
      <c r="E898" s="62" t="s">
        <v>71</v>
      </c>
      <c r="F898" s="62" t="s">
        <v>382</v>
      </c>
      <c r="G898" s="63" t="s">
        <v>452</v>
      </c>
      <c r="H898" s="64" t="n">
        <v>0</v>
      </c>
      <c r="I898" s="62" t="s">
        <v>81</v>
      </c>
      <c r="J898" s="64" t="n">
        <v>0</v>
      </c>
      <c r="K898" s="62" t="s">
        <v>138</v>
      </c>
      <c r="L898" s="68" t="b">
        <f aca="false">TRUE()</f>
        <v>1</v>
      </c>
    </row>
    <row r="899" customFormat="false" ht="15" hidden="false" customHeight="false" outlineLevel="0" collapsed="false">
      <c r="A899" s="62" t="n">
        <v>0</v>
      </c>
      <c r="B899" s="21" t="s">
        <v>336</v>
      </c>
      <c r="C899" s="62" t="s">
        <v>60</v>
      </c>
      <c r="D899" s="62" t="s">
        <v>383</v>
      </c>
      <c r="E899" s="62" t="s">
        <v>71</v>
      </c>
      <c r="F899" s="62" t="s">
        <v>382</v>
      </c>
      <c r="G899" s="63" t="s">
        <v>452</v>
      </c>
      <c r="H899" s="64" t="n">
        <v>0</v>
      </c>
      <c r="I899" s="62" t="s">
        <v>81</v>
      </c>
      <c r="J899" s="64" t="n">
        <v>0</v>
      </c>
      <c r="K899" s="62" t="s">
        <v>138</v>
      </c>
      <c r="L899" s="68" t="b">
        <f aca="false">TRUE()</f>
        <v>1</v>
      </c>
    </row>
    <row r="900" customFormat="false" ht="15" hidden="false" customHeight="false" outlineLevel="0" collapsed="false">
      <c r="A900" s="62" t="n">
        <v>0</v>
      </c>
      <c r="B900" s="21" t="s">
        <v>336</v>
      </c>
      <c r="C900" s="62" t="s">
        <v>60</v>
      </c>
      <c r="D900" s="62" t="s">
        <v>384</v>
      </c>
      <c r="E900" s="62" t="s">
        <v>71</v>
      </c>
      <c r="F900" s="62" t="s">
        <v>382</v>
      </c>
      <c r="G900" s="63" t="s">
        <v>452</v>
      </c>
      <c r="H900" s="64" t="n">
        <v>0</v>
      </c>
      <c r="I900" s="62" t="s">
        <v>81</v>
      </c>
      <c r="J900" s="64" t="n">
        <v>0</v>
      </c>
      <c r="K900" s="62" t="s">
        <v>138</v>
      </c>
      <c r="L900" s="68" t="b">
        <f aca="false">TRUE()</f>
        <v>1</v>
      </c>
    </row>
    <row r="901" customFormat="false" ht="15" hidden="false" customHeight="false" outlineLevel="0" collapsed="false">
      <c r="A901" s="62" t="n">
        <v>0</v>
      </c>
      <c r="B901" s="21" t="s">
        <v>336</v>
      </c>
      <c r="C901" s="62" t="s">
        <v>60</v>
      </c>
      <c r="D901" s="62" t="s">
        <v>385</v>
      </c>
      <c r="E901" s="62" t="s">
        <v>71</v>
      </c>
      <c r="F901" s="62" t="s">
        <v>382</v>
      </c>
      <c r="G901" s="63" t="s">
        <v>452</v>
      </c>
      <c r="H901" s="64" t="n">
        <v>0</v>
      </c>
      <c r="I901" s="62" t="s">
        <v>81</v>
      </c>
      <c r="J901" s="64" t="n">
        <v>0</v>
      </c>
      <c r="K901" s="62" t="s">
        <v>138</v>
      </c>
      <c r="L901" s="68" t="b">
        <f aca="false">TRUE()</f>
        <v>1</v>
      </c>
    </row>
    <row r="902" customFormat="false" ht="15" hidden="false" customHeight="false" outlineLevel="0" collapsed="false">
      <c r="A902" s="62" t="n">
        <v>0</v>
      </c>
      <c r="B902" s="21" t="s">
        <v>336</v>
      </c>
      <c r="C902" s="62" t="s">
        <v>60</v>
      </c>
      <c r="D902" s="62" t="s">
        <v>386</v>
      </c>
      <c r="E902" s="62" t="s">
        <v>71</v>
      </c>
      <c r="F902" s="62" t="s">
        <v>382</v>
      </c>
      <c r="G902" s="63" t="s">
        <v>452</v>
      </c>
      <c r="H902" s="64" t="n">
        <v>0</v>
      </c>
      <c r="I902" s="62" t="s">
        <v>81</v>
      </c>
      <c r="J902" s="64" t="n">
        <v>0</v>
      </c>
      <c r="K902" s="62" t="s">
        <v>138</v>
      </c>
      <c r="L902" s="68" t="b">
        <f aca="false">TRUE()</f>
        <v>1</v>
      </c>
    </row>
    <row r="903" customFormat="false" ht="15" hidden="false" customHeight="false" outlineLevel="0" collapsed="false">
      <c r="A903" s="62" t="n">
        <v>0</v>
      </c>
      <c r="B903" s="21" t="s">
        <v>336</v>
      </c>
      <c r="C903" s="62" t="s">
        <v>60</v>
      </c>
      <c r="D903" s="62" t="s">
        <v>387</v>
      </c>
      <c r="E903" s="62" t="s">
        <v>71</v>
      </c>
      <c r="F903" s="62" t="s">
        <v>382</v>
      </c>
      <c r="G903" s="63" t="s">
        <v>452</v>
      </c>
      <c r="H903" s="64" t="n">
        <v>0</v>
      </c>
      <c r="I903" s="62" t="s">
        <v>81</v>
      </c>
      <c r="J903" s="64" t="n">
        <v>0</v>
      </c>
      <c r="K903" s="62" t="s">
        <v>138</v>
      </c>
      <c r="L903" s="68" t="b">
        <f aca="false">TRUE()</f>
        <v>1</v>
      </c>
    </row>
    <row r="904" customFormat="false" ht="15" hidden="false" customHeight="false" outlineLevel="0" collapsed="false">
      <c r="A904" s="62" t="n">
        <v>0</v>
      </c>
      <c r="B904" s="21" t="s">
        <v>336</v>
      </c>
      <c r="C904" s="62" t="s">
        <v>60</v>
      </c>
      <c r="D904" s="62" t="s">
        <v>388</v>
      </c>
      <c r="E904" s="62" t="s">
        <v>71</v>
      </c>
      <c r="F904" s="62" t="s">
        <v>382</v>
      </c>
      <c r="G904" s="63" t="s">
        <v>452</v>
      </c>
      <c r="H904" s="64" t="n">
        <v>0</v>
      </c>
      <c r="I904" s="62" t="s">
        <v>81</v>
      </c>
      <c r="J904" s="64" t="n">
        <v>0</v>
      </c>
      <c r="K904" s="62" t="s">
        <v>138</v>
      </c>
      <c r="L904" s="68" t="b">
        <f aca="false">TRUE()</f>
        <v>1</v>
      </c>
    </row>
    <row r="905" customFormat="false" ht="15" hidden="false" customHeight="false" outlineLevel="0" collapsed="false">
      <c r="A905" s="62" t="n">
        <v>0</v>
      </c>
      <c r="B905" s="21" t="s">
        <v>336</v>
      </c>
      <c r="C905" s="62" t="s">
        <v>60</v>
      </c>
      <c r="D905" s="62" t="s">
        <v>381</v>
      </c>
      <c r="E905" s="62" t="s">
        <v>71</v>
      </c>
      <c r="F905" s="62" t="s">
        <v>382</v>
      </c>
      <c r="G905" s="63" t="s">
        <v>439</v>
      </c>
      <c r="H905" s="64" t="n">
        <v>-2500000000</v>
      </c>
      <c r="I905" s="62" t="s">
        <v>81</v>
      </c>
      <c r="J905" s="64" t="n">
        <v>-2500000</v>
      </c>
      <c r="K905" s="62" t="s">
        <v>138</v>
      </c>
      <c r="L905" s="68" t="b">
        <f aca="false">TRUE()</f>
        <v>1</v>
      </c>
    </row>
    <row r="906" customFormat="false" ht="15" hidden="false" customHeight="false" outlineLevel="0" collapsed="false">
      <c r="A906" s="62" t="n">
        <v>0</v>
      </c>
      <c r="B906" s="21" t="s">
        <v>336</v>
      </c>
      <c r="C906" s="62" t="s">
        <v>60</v>
      </c>
      <c r="D906" s="62" t="s">
        <v>383</v>
      </c>
      <c r="E906" s="62" t="s">
        <v>71</v>
      </c>
      <c r="F906" s="62" t="s">
        <v>382</v>
      </c>
      <c r="G906" s="63" t="s">
        <v>439</v>
      </c>
      <c r="H906" s="64" t="n">
        <v>-2500000000</v>
      </c>
      <c r="I906" s="62" t="s">
        <v>81</v>
      </c>
      <c r="J906" s="64" t="n">
        <v>-2500000</v>
      </c>
      <c r="K906" s="62" t="s">
        <v>138</v>
      </c>
      <c r="L906" s="68" t="b">
        <f aca="false">TRUE()</f>
        <v>1</v>
      </c>
    </row>
    <row r="907" customFormat="false" ht="15" hidden="false" customHeight="false" outlineLevel="0" collapsed="false">
      <c r="A907" s="62" t="n">
        <v>0</v>
      </c>
      <c r="B907" s="21" t="s">
        <v>336</v>
      </c>
      <c r="C907" s="62" t="s">
        <v>60</v>
      </c>
      <c r="D907" s="62" t="s">
        <v>384</v>
      </c>
      <c r="E907" s="62" t="s">
        <v>71</v>
      </c>
      <c r="F907" s="62" t="s">
        <v>382</v>
      </c>
      <c r="G907" s="63" t="s">
        <v>439</v>
      </c>
      <c r="H907" s="64" t="n">
        <v>-2500000000</v>
      </c>
      <c r="I907" s="62" t="s">
        <v>81</v>
      </c>
      <c r="J907" s="64" t="n">
        <v>-2500000</v>
      </c>
      <c r="K907" s="62" t="s">
        <v>138</v>
      </c>
      <c r="L907" s="68" t="b">
        <f aca="false">TRUE()</f>
        <v>1</v>
      </c>
    </row>
    <row r="908" customFormat="false" ht="15" hidden="false" customHeight="false" outlineLevel="0" collapsed="false">
      <c r="A908" s="62" t="n">
        <v>0</v>
      </c>
      <c r="B908" s="21" t="s">
        <v>336</v>
      </c>
      <c r="C908" s="62" t="s">
        <v>60</v>
      </c>
      <c r="D908" s="62" t="s">
        <v>385</v>
      </c>
      <c r="E908" s="62" t="s">
        <v>71</v>
      </c>
      <c r="F908" s="62" t="s">
        <v>382</v>
      </c>
      <c r="G908" s="63" t="s">
        <v>439</v>
      </c>
      <c r="H908" s="64" t="n">
        <v>-2500000000</v>
      </c>
      <c r="I908" s="62" t="s">
        <v>81</v>
      </c>
      <c r="J908" s="64" t="n">
        <v>-2500000</v>
      </c>
      <c r="K908" s="62" t="s">
        <v>138</v>
      </c>
      <c r="L908" s="68" t="b">
        <f aca="false">TRUE()</f>
        <v>1</v>
      </c>
    </row>
    <row r="909" customFormat="false" ht="15" hidden="false" customHeight="false" outlineLevel="0" collapsed="false">
      <c r="A909" s="62" t="n">
        <v>0</v>
      </c>
      <c r="B909" s="21" t="s">
        <v>336</v>
      </c>
      <c r="C909" s="62" t="s">
        <v>60</v>
      </c>
      <c r="D909" s="62" t="s">
        <v>386</v>
      </c>
      <c r="E909" s="62" t="s">
        <v>71</v>
      </c>
      <c r="F909" s="62" t="s">
        <v>382</v>
      </c>
      <c r="G909" s="63" t="s">
        <v>439</v>
      </c>
      <c r="H909" s="64" t="n">
        <v>-2500000000</v>
      </c>
      <c r="I909" s="62" t="s">
        <v>81</v>
      </c>
      <c r="J909" s="64" t="n">
        <v>-2500000</v>
      </c>
      <c r="K909" s="62" t="s">
        <v>138</v>
      </c>
      <c r="L909" s="68" t="b">
        <f aca="false">TRUE()</f>
        <v>1</v>
      </c>
    </row>
    <row r="910" customFormat="false" ht="15" hidden="false" customHeight="false" outlineLevel="0" collapsed="false">
      <c r="A910" s="62" t="n">
        <v>0</v>
      </c>
      <c r="B910" s="21" t="s">
        <v>336</v>
      </c>
      <c r="C910" s="62" t="s">
        <v>60</v>
      </c>
      <c r="D910" s="62" t="s">
        <v>387</v>
      </c>
      <c r="E910" s="62" t="s">
        <v>71</v>
      </c>
      <c r="F910" s="62" t="s">
        <v>382</v>
      </c>
      <c r="G910" s="63" t="s">
        <v>439</v>
      </c>
      <c r="H910" s="64" t="n">
        <v>-2500000000</v>
      </c>
      <c r="I910" s="62" t="s">
        <v>81</v>
      </c>
      <c r="J910" s="64" t="n">
        <v>-2500000</v>
      </c>
      <c r="K910" s="62" t="s">
        <v>138</v>
      </c>
      <c r="L910" s="68" t="b">
        <f aca="false">TRUE()</f>
        <v>1</v>
      </c>
    </row>
    <row r="911" customFormat="false" ht="15" hidden="false" customHeight="false" outlineLevel="0" collapsed="false">
      <c r="A911" s="62" t="n">
        <v>0</v>
      </c>
      <c r="B911" s="21" t="s">
        <v>336</v>
      </c>
      <c r="C911" s="62" t="s">
        <v>60</v>
      </c>
      <c r="D911" s="62" t="s">
        <v>388</v>
      </c>
      <c r="E911" s="62" t="s">
        <v>71</v>
      </c>
      <c r="F911" s="62" t="s">
        <v>382</v>
      </c>
      <c r="G911" s="63" t="s">
        <v>439</v>
      </c>
      <c r="H911" s="64" t="n">
        <v>-2500000000</v>
      </c>
      <c r="I911" s="62" t="s">
        <v>81</v>
      </c>
      <c r="J911" s="64" t="n">
        <v>-2500000</v>
      </c>
      <c r="K911" s="62" t="s">
        <v>138</v>
      </c>
      <c r="L911" s="68" t="b">
        <f aca="false">TRUE()</f>
        <v>1</v>
      </c>
    </row>
    <row r="912" customFormat="false" ht="15" hidden="false" customHeight="false" outlineLevel="0" collapsed="false">
      <c r="A912" s="62" t="n">
        <v>0</v>
      </c>
      <c r="B912" s="21" t="s">
        <v>336</v>
      </c>
      <c r="C912" s="62" t="s">
        <v>60</v>
      </c>
      <c r="D912" s="62" t="s">
        <v>381</v>
      </c>
      <c r="E912" s="62" t="s">
        <v>71</v>
      </c>
      <c r="F912" s="62" t="s">
        <v>382</v>
      </c>
      <c r="G912" s="63" t="s">
        <v>453</v>
      </c>
      <c r="H912" s="64" t="n">
        <v>-1355370572.27718</v>
      </c>
      <c r="I912" s="62" t="s">
        <v>81</v>
      </c>
      <c r="J912" s="64" t="n">
        <v>-1355370.57227718</v>
      </c>
      <c r="K912" s="62" t="s">
        <v>138</v>
      </c>
      <c r="L912" s="68" t="b">
        <f aca="false">TRUE()</f>
        <v>1</v>
      </c>
    </row>
    <row r="913" customFormat="false" ht="15" hidden="false" customHeight="false" outlineLevel="0" collapsed="false">
      <c r="A913" s="62" t="n">
        <v>0</v>
      </c>
      <c r="B913" s="21" t="s">
        <v>336</v>
      </c>
      <c r="C913" s="62" t="s">
        <v>60</v>
      </c>
      <c r="D913" s="62" t="s">
        <v>383</v>
      </c>
      <c r="E913" s="62" t="s">
        <v>71</v>
      </c>
      <c r="F913" s="62" t="s">
        <v>382</v>
      </c>
      <c r="G913" s="63" t="s">
        <v>453</v>
      </c>
      <c r="H913" s="64" t="n">
        <v>-1355370572.27718</v>
      </c>
      <c r="I913" s="62" t="s">
        <v>81</v>
      </c>
      <c r="J913" s="64" t="n">
        <v>-1355370.57227718</v>
      </c>
      <c r="K913" s="62" t="s">
        <v>138</v>
      </c>
      <c r="L913" s="68" t="b">
        <f aca="false">TRUE()</f>
        <v>1</v>
      </c>
    </row>
    <row r="914" customFormat="false" ht="15" hidden="false" customHeight="false" outlineLevel="0" collapsed="false">
      <c r="A914" s="62" t="n">
        <v>0</v>
      </c>
      <c r="B914" s="21" t="s">
        <v>336</v>
      </c>
      <c r="C914" s="62" t="s">
        <v>60</v>
      </c>
      <c r="D914" s="62" t="s">
        <v>384</v>
      </c>
      <c r="E914" s="62" t="s">
        <v>71</v>
      </c>
      <c r="F914" s="62" t="s">
        <v>382</v>
      </c>
      <c r="G914" s="63" t="s">
        <v>453</v>
      </c>
      <c r="H914" s="64" t="n">
        <v>-1355370572.27718</v>
      </c>
      <c r="I914" s="62" t="s">
        <v>81</v>
      </c>
      <c r="J914" s="64" t="n">
        <v>-1355370.57227718</v>
      </c>
      <c r="K914" s="62" t="s">
        <v>138</v>
      </c>
      <c r="L914" s="68" t="b">
        <f aca="false">TRUE()</f>
        <v>1</v>
      </c>
    </row>
    <row r="915" customFormat="false" ht="15" hidden="false" customHeight="false" outlineLevel="0" collapsed="false">
      <c r="A915" s="62" t="n">
        <v>0</v>
      </c>
      <c r="B915" s="21" t="s">
        <v>336</v>
      </c>
      <c r="C915" s="62" t="s">
        <v>60</v>
      </c>
      <c r="D915" s="62" t="s">
        <v>385</v>
      </c>
      <c r="E915" s="62" t="s">
        <v>71</v>
      </c>
      <c r="F915" s="62" t="s">
        <v>382</v>
      </c>
      <c r="G915" s="63" t="s">
        <v>453</v>
      </c>
      <c r="H915" s="64" t="n">
        <v>-1355370572.27718</v>
      </c>
      <c r="I915" s="62" t="s">
        <v>81</v>
      </c>
      <c r="J915" s="64" t="n">
        <v>-1355370.57227718</v>
      </c>
      <c r="K915" s="62" t="s">
        <v>138</v>
      </c>
      <c r="L915" s="68" t="b">
        <f aca="false">TRUE()</f>
        <v>1</v>
      </c>
    </row>
    <row r="916" customFormat="false" ht="15" hidden="false" customHeight="false" outlineLevel="0" collapsed="false">
      <c r="A916" s="62" t="n">
        <v>0</v>
      </c>
      <c r="B916" s="21" t="s">
        <v>336</v>
      </c>
      <c r="C916" s="62" t="s">
        <v>60</v>
      </c>
      <c r="D916" s="62" t="s">
        <v>386</v>
      </c>
      <c r="E916" s="62" t="s">
        <v>71</v>
      </c>
      <c r="F916" s="62" t="s">
        <v>382</v>
      </c>
      <c r="G916" s="63" t="s">
        <v>453</v>
      </c>
      <c r="H916" s="64" t="n">
        <v>-1355370572.27718</v>
      </c>
      <c r="I916" s="62" t="s">
        <v>81</v>
      </c>
      <c r="J916" s="64" t="n">
        <v>-1355370.57227718</v>
      </c>
      <c r="K916" s="62" t="s">
        <v>138</v>
      </c>
      <c r="L916" s="68" t="b">
        <f aca="false">TRUE()</f>
        <v>1</v>
      </c>
    </row>
    <row r="917" customFormat="false" ht="15" hidden="false" customHeight="false" outlineLevel="0" collapsed="false">
      <c r="A917" s="62" t="n">
        <v>0</v>
      </c>
      <c r="B917" s="21" t="s">
        <v>336</v>
      </c>
      <c r="C917" s="62" t="s">
        <v>60</v>
      </c>
      <c r="D917" s="62" t="s">
        <v>387</v>
      </c>
      <c r="E917" s="62" t="s">
        <v>71</v>
      </c>
      <c r="F917" s="62" t="s">
        <v>382</v>
      </c>
      <c r="G917" s="63" t="s">
        <v>453</v>
      </c>
      <c r="H917" s="64" t="n">
        <v>-1355370572.27718</v>
      </c>
      <c r="I917" s="62" t="s">
        <v>81</v>
      </c>
      <c r="J917" s="64" t="n">
        <v>-1355370.57227718</v>
      </c>
      <c r="K917" s="62" t="s">
        <v>138</v>
      </c>
      <c r="L917" s="68" t="b">
        <f aca="false">TRUE()</f>
        <v>1</v>
      </c>
    </row>
    <row r="918" customFormat="false" ht="15" hidden="false" customHeight="false" outlineLevel="0" collapsed="false">
      <c r="A918" s="62" t="n">
        <v>0</v>
      </c>
      <c r="B918" s="21" t="s">
        <v>336</v>
      </c>
      <c r="C918" s="62" t="s">
        <v>60</v>
      </c>
      <c r="D918" s="62" t="s">
        <v>388</v>
      </c>
      <c r="E918" s="62" t="s">
        <v>71</v>
      </c>
      <c r="F918" s="62" t="s">
        <v>382</v>
      </c>
      <c r="G918" s="63" t="s">
        <v>453</v>
      </c>
      <c r="H918" s="64" t="n">
        <v>-1355370572.27718</v>
      </c>
      <c r="I918" s="62" t="s">
        <v>81</v>
      </c>
      <c r="J918" s="64" t="n">
        <v>-1355370.57227718</v>
      </c>
      <c r="K918" s="62" t="s">
        <v>138</v>
      </c>
      <c r="L918" s="68" t="b">
        <f aca="false">TRUE()</f>
        <v>1</v>
      </c>
    </row>
    <row r="919" customFormat="false" ht="15" hidden="false" customHeight="false" outlineLevel="0" collapsed="false">
      <c r="A919" s="62" t="n">
        <v>0</v>
      </c>
      <c r="B919" s="21" t="s">
        <v>336</v>
      </c>
      <c r="C919" s="62" t="s">
        <v>60</v>
      </c>
      <c r="D919" s="62" t="s">
        <v>381</v>
      </c>
      <c r="E919" s="62" t="s">
        <v>71</v>
      </c>
      <c r="F919" s="62" t="s">
        <v>382</v>
      </c>
      <c r="G919" s="63" t="s">
        <v>454</v>
      </c>
      <c r="H919" s="64" t="n">
        <v>1720403000</v>
      </c>
      <c r="I919" s="62" t="s">
        <v>81</v>
      </c>
      <c r="J919" s="64" t="n">
        <v>1720403</v>
      </c>
      <c r="K919" s="62" t="s">
        <v>138</v>
      </c>
      <c r="L919" s="68" t="b">
        <f aca="false">TRUE()</f>
        <v>1</v>
      </c>
    </row>
    <row r="920" customFormat="false" ht="15" hidden="false" customHeight="false" outlineLevel="0" collapsed="false">
      <c r="A920" s="62" t="n">
        <v>0</v>
      </c>
      <c r="B920" s="21" t="s">
        <v>336</v>
      </c>
      <c r="C920" s="62" t="s">
        <v>60</v>
      </c>
      <c r="D920" s="62" t="s">
        <v>383</v>
      </c>
      <c r="E920" s="62" t="s">
        <v>71</v>
      </c>
      <c r="F920" s="62" t="s">
        <v>382</v>
      </c>
      <c r="G920" s="63" t="s">
        <v>454</v>
      </c>
      <c r="H920" s="64" t="n">
        <v>1720403000</v>
      </c>
      <c r="I920" s="62" t="s">
        <v>81</v>
      </c>
      <c r="J920" s="64" t="n">
        <v>1720403</v>
      </c>
      <c r="K920" s="62" t="s">
        <v>138</v>
      </c>
      <c r="L920" s="68" t="b">
        <f aca="false">TRUE()</f>
        <v>1</v>
      </c>
    </row>
    <row r="921" customFormat="false" ht="15" hidden="false" customHeight="false" outlineLevel="0" collapsed="false">
      <c r="A921" s="62" t="n">
        <v>0</v>
      </c>
      <c r="B921" s="21" t="s">
        <v>336</v>
      </c>
      <c r="C921" s="62" t="s">
        <v>60</v>
      </c>
      <c r="D921" s="62" t="s">
        <v>384</v>
      </c>
      <c r="E921" s="62" t="s">
        <v>71</v>
      </c>
      <c r="F921" s="62" t="s">
        <v>382</v>
      </c>
      <c r="G921" s="63" t="s">
        <v>454</v>
      </c>
      <c r="H921" s="64" t="n">
        <v>1720403000</v>
      </c>
      <c r="I921" s="62" t="s">
        <v>81</v>
      </c>
      <c r="J921" s="64" t="n">
        <v>1720403</v>
      </c>
      <c r="K921" s="62" t="s">
        <v>138</v>
      </c>
      <c r="L921" s="68" t="b">
        <f aca="false">TRUE()</f>
        <v>1</v>
      </c>
    </row>
    <row r="922" customFormat="false" ht="15" hidden="false" customHeight="false" outlineLevel="0" collapsed="false">
      <c r="A922" s="62" t="n">
        <v>0</v>
      </c>
      <c r="B922" s="21" t="s">
        <v>336</v>
      </c>
      <c r="C922" s="62" t="s">
        <v>60</v>
      </c>
      <c r="D922" s="62" t="s">
        <v>385</v>
      </c>
      <c r="E922" s="62" t="s">
        <v>71</v>
      </c>
      <c r="F922" s="62" t="s">
        <v>382</v>
      </c>
      <c r="G922" s="63" t="s">
        <v>454</v>
      </c>
      <c r="H922" s="64" t="n">
        <v>1720403000</v>
      </c>
      <c r="I922" s="62" t="s">
        <v>81</v>
      </c>
      <c r="J922" s="64" t="n">
        <v>1720403</v>
      </c>
      <c r="K922" s="62" t="s">
        <v>138</v>
      </c>
      <c r="L922" s="68" t="b">
        <f aca="false">TRUE()</f>
        <v>1</v>
      </c>
    </row>
    <row r="923" customFormat="false" ht="15" hidden="false" customHeight="false" outlineLevel="0" collapsed="false">
      <c r="A923" s="62" t="n">
        <v>0</v>
      </c>
      <c r="B923" s="21" t="s">
        <v>336</v>
      </c>
      <c r="C923" s="62" t="s">
        <v>60</v>
      </c>
      <c r="D923" s="62" t="s">
        <v>386</v>
      </c>
      <c r="E923" s="62" t="s">
        <v>71</v>
      </c>
      <c r="F923" s="62" t="s">
        <v>382</v>
      </c>
      <c r="G923" s="63" t="s">
        <v>454</v>
      </c>
      <c r="H923" s="64" t="n">
        <v>1720403000</v>
      </c>
      <c r="I923" s="62" t="s">
        <v>81</v>
      </c>
      <c r="J923" s="64" t="n">
        <v>1720403</v>
      </c>
      <c r="K923" s="62" t="s">
        <v>138</v>
      </c>
      <c r="L923" s="68" t="b">
        <f aca="false">TRUE()</f>
        <v>1</v>
      </c>
    </row>
    <row r="924" customFormat="false" ht="15" hidden="false" customHeight="false" outlineLevel="0" collapsed="false">
      <c r="A924" s="62" t="n">
        <v>0</v>
      </c>
      <c r="B924" s="21" t="s">
        <v>336</v>
      </c>
      <c r="C924" s="62" t="s">
        <v>60</v>
      </c>
      <c r="D924" s="62" t="s">
        <v>387</v>
      </c>
      <c r="E924" s="62" t="s">
        <v>71</v>
      </c>
      <c r="F924" s="62" t="s">
        <v>382</v>
      </c>
      <c r="G924" s="63" t="s">
        <v>454</v>
      </c>
      <c r="H924" s="64" t="n">
        <v>1720403000</v>
      </c>
      <c r="I924" s="62" t="s">
        <v>81</v>
      </c>
      <c r="J924" s="64" t="n">
        <v>1720403</v>
      </c>
      <c r="K924" s="62" t="s">
        <v>138</v>
      </c>
      <c r="L924" s="68" t="b">
        <f aca="false">TRUE()</f>
        <v>1</v>
      </c>
    </row>
    <row r="925" customFormat="false" ht="15" hidden="false" customHeight="false" outlineLevel="0" collapsed="false">
      <c r="A925" s="62" t="n">
        <v>0</v>
      </c>
      <c r="B925" s="21" t="s">
        <v>336</v>
      </c>
      <c r="C925" s="62" t="s">
        <v>60</v>
      </c>
      <c r="D925" s="62" t="s">
        <v>388</v>
      </c>
      <c r="E925" s="62" t="s">
        <v>71</v>
      </c>
      <c r="F925" s="62" t="s">
        <v>382</v>
      </c>
      <c r="G925" s="63" t="s">
        <v>454</v>
      </c>
      <c r="H925" s="64" t="n">
        <v>1720403000</v>
      </c>
      <c r="I925" s="62" t="s">
        <v>81</v>
      </c>
      <c r="J925" s="64" t="n">
        <v>1720403</v>
      </c>
      <c r="K925" s="62" t="s">
        <v>138</v>
      </c>
      <c r="L925" s="68" t="b">
        <f aca="false">TRUE()</f>
        <v>1</v>
      </c>
    </row>
    <row r="926" customFormat="false" ht="15" hidden="false" customHeight="false" outlineLevel="0" collapsed="false">
      <c r="A926" s="62" t="n">
        <v>0</v>
      </c>
      <c r="B926" s="21" t="s">
        <v>336</v>
      </c>
      <c r="C926" s="62" t="s">
        <v>60</v>
      </c>
      <c r="D926" s="62" t="s">
        <v>381</v>
      </c>
      <c r="E926" s="62" t="s">
        <v>71</v>
      </c>
      <c r="F926" s="62" t="s">
        <v>382</v>
      </c>
      <c r="G926" s="63" t="s">
        <v>455</v>
      </c>
      <c r="H926" s="64" t="n">
        <v>365032427.722816</v>
      </c>
      <c r="I926" s="62" t="s">
        <v>81</v>
      </c>
      <c r="J926" s="64" t="n">
        <v>365032.427722816</v>
      </c>
      <c r="K926" s="62" t="s">
        <v>138</v>
      </c>
      <c r="L926" s="68" t="b">
        <f aca="false">TRUE()</f>
        <v>1</v>
      </c>
    </row>
    <row r="927" customFormat="false" ht="15" hidden="false" customHeight="false" outlineLevel="0" collapsed="false">
      <c r="A927" s="62" t="n">
        <v>0</v>
      </c>
      <c r="B927" s="21" t="s">
        <v>336</v>
      </c>
      <c r="C927" s="62" t="s">
        <v>60</v>
      </c>
      <c r="D927" s="62" t="s">
        <v>383</v>
      </c>
      <c r="E927" s="62" t="s">
        <v>71</v>
      </c>
      <c r="F927" s="62" t="s">
        <v>382</v>
      </c>
      <c r="G927" s="63" t="s">
        <v>455</v>
      </c>
      <c r="H927" s="64" t="n">
        <v>365032427.722816</v>
      </c>
      <c r="I927" s="62" t="s">
        <v>81</v>
      </c>
      <c r="J927" s="64" t="n">
        <v>365032.427722816</v>
      </c>
      <c r="K927" s="62" t="s">
        <v>138</v>
      </c>
      <c r="L927" s="68" t="b">
        <f aca="false">TRUE()</f>
        <v>1</v>
      </c>
    </row>
    <row r="928" customFormat="false" ht="15" hidden="false" customHeight="false" outlineLevel="0" collapsed="false">
      <c r="A928" s="62" t="n">
        <v>0</v>
      </c>
      <c r="B928" s="21" t="s">
        <v>336</v>
      </c>
      <c r="C928" s="62" t="s">
        <v>60</v>
      </c>
      <c r="D928" s="62" t="s">
        <v>384</v>
      </c>
      <c r="E928" s="62" t="s">
        <v>71</v>
      </c>
      <c r="F928" s="62" t="s">
        <v>382</v>
      </c>
      <c r="G928" s="63" t="s">
        <v>455</v>
      </c>
      <c r="H928" s="64" t="n">
        <v>365032427.722816</v>
      </c>
      <c r="I928" s="62" t="s">
        <v>81</v>
      </c>
      <c r="J928" s="64" t="n">
        <v>365032.427722816</v>
      </c>
      <c r="K928" s="62" t="s">
        <v>138</v>
      </c>
      <c r="L928" s="68" t="b">
        <f aca="false">TRUE()</f>
        <v>1</v>
      </c>
    </row>
    <row r="929" customFormat="false" ht="15" hidden="false" customHeight="false" outlineLevel="0" collapsed="false">
      <c r="A929" s="62" t="n">
        <v>0</v>
      </c>
      <c r="B929" s="21" t="s">
        <v>336</v>
      </c>
      <c r="C929" s="62" t="s">
        <v>60</v>
      </c>
      <c r="D929" s="62" t="s">
        <v>385</v>
      </c>
      <c r="E929" s="62" t="s">
        <v>71</v>
      </c>
      <c r="F929" s="62" t="s">
        <v>382</v>
      </c>
      <c r="G929" s="63" t="s">
        <v>455</v>
      </c>
      <c r="H929" s="64" t="n">
        <v>365032427.722816</v>
      </c>
      <c r="I929" s="62" t="s">
        <v>81</v>
      </c>
      <c r="J929" s="64" t="n">
        <v>365032.427722816</v>
      </c>
      <c r="K929" s="62" t="s">
        <v>138</v>
      </c>
      <c r="L929" s="68" t="b">
        <f aca="false">TRUE()</f>
        <v>1</v>
      </c>
    </row>
    <row r="930" customFormat="false" ht="15" hidden="false" customHeight="false" outlineLevel="0" collapsed="false">
      <c r="A930" s="62" t="n">
        <v>0</v>
      </c>
      <c r="B930" s="21" t="s">
        <v>336</v>
      </c>
      <c r="C930" s="62" t="s">
        <v>60</v>
      </c>
      <c r="D930" s="62" t="s">
        <v>386</v>
      </c>
      <c r="E930" s="62" t="s">
        <v>71</v>
      </c>
      <c r="F930" s="62" t="s">
        <v>382</v>
      </c>
      <c r="G930" s="63" t="s">
        <v>455</v>
      </c>
      <c r="H930" s="64" t="n">
        <v>365032427.722816</v>
      </c>
      <c r="I930" s="62" t="s">
        <v>81</v>
      </c>
      <c r="J930" s="64" t="n">
        <v>365032.427722816</v>
      </c>
      <c r="K930" s="62" t="s">
        <v>138</v>
      </c>
      <c r="L930" s="68" t="b">
        <f aca="false">TRUE()</f>
        <v>1</v>
      </c>
    </row>
    <row r="931" customFormat="false" ht="15" hidden="false" customHeight="false" outlineLevel="0" collapsed="false">
      <c r="A931" s="62" t="n">
        <v>0</v>
      </c>
      <c r="B931" s="21" t="s">
        <v>336</v>
      </c>
      <c r="C931" s="62" t="s">
        <v>60</v>
      </c>
      <c r="D931" s="62" t="s">
        <v>387</v>
      </c>
      <c r="E931" s="62" t="s">
        <v>71</v>
      </c>
      <c r="F931" s="62" t="s">
        <v>382</v>
      </c>
      <c r="G931" s="63" t="s">
        <v>455</v>
      </c>
      <c r="H931" s="64" t="n">
        <v>365032427.722816</v>
      </c>
      <c r="I931" s="62" t="s">
        <v>81</v>
      </c>
      <c r="J931" s="64" t="n">
        <v>365032.427722816</v>
      </c>
      <c r="K931" s="62" t="s">
        <v>138</v>
      </c>
      <c r="L931" s="68" t="b">
        <f aca="false">TRUE()</f>
        <v>1</v>
      </c>
    </row>
    <row r="932" customFormat="false" ht="15" hidden="false" customHeight="false" outlineLevel="0" collapsed="false">
      <c r="A932" s="62" t="n">
        <v>0</v>
      </c>
      <c r="B932" s="21" t="s">
        <v>336</v>
      </c>
      <c r="C932" s="62" t="s">
        <v>60</v>
      </c>
      <c r="D932" s="62" t="s">
        <v>388</v>
      </c>
      <c r="E932" s="62" t="s">
        <v>71</v>
      </c>
      <c r="F932" s="62" t="s">
        <v>382</v>
      </c>
      <c r="G932" s="63" t="s">
        <v>455</v>
      </c>
      <c r="H932" s="64" t="n">
        <v>365032427.722816</v>
      </c>
      <c r="I932" s="62" t="s">
        <v>81</v>
      </c>
      <c r="J932" s="64" t="n">
        <v>365032.427722816</v>
      </c>
      <c r="K932" s="62" t="s">
        <v>138</v>
      </c>
      <c r="L932" s="68" t="b">
        <f aca="false">TRUE()</f>
        <v>1</v>
      </c>
    </row>
    <row r="933" customFormat="false" ht="15" hidden="false" customHeight="false" outlineLevel="0" collapsed="false">
      <c r="A933" s="62" t="n">
        <v>0</v>
      </c>
      <c r="B933" s="21" t="s">
        <v>336</v>
      </c>
      <c r="C933" s="62" t="s">
        <v>60</v>
      </c>
      <c r="D933" s="62" t="s">
        <v>381</v>
      </c>
      <c r="E933" s="62" t="s">
        <v>72</v>
      </c>
      <c r="F933" s="62" t="s">
        <v>382</v>
      </c>
      <c r="G933" s="63" t="s">
        <v>456</v>
      </c>
      <c r="H933" s="64" t="n">
        <v>17064000000</v>
      </c>
      <c r="I933" s="62" t="s">
        <v>81</v>
      </c>
      <c r="J933" s="64" t="n">
        <v>17064000</v>
      </c>
      <c r="K933" s="62" t="s">
        <v>138</v>
      </c>
      <c r="L933" s="68" t="b">
        <f aca="false">TRUE()</f>
        <v>1</v>
      </c>
    </row>
    <row r="934" customFormat="false" ht="15" hidden="false" customHeight="false" outlineLevel="0" collapsed="false">
      <c r="A934" s="62" t="n">
        <v>0</v>
      </c>
      <c r="B934" s="21" t="s">
        <v>336</v>
      </c>
      <c r="C934" s="62" t="s">
        <v>60</v>
      </c>
      <c r="D934" s="62" t="s">
        <v>383</v>
      </c>
      <c r="E934" s="62" t="s">
        <v>72</v>
      </c>
      <c r="F934" s="62" t="s">
        <v>382</v>
      </c>
      <c r="G934" s="63" t="s">
        <v>456</v>
      </c>
      <c r="H934" s="64" t="n">
        <v>17064000000</v>
      </c>
      <c r="I934" s="62" t="s">
        <v>81</v>
      </c>
      <c r="J934" s="64" t="n">
        <v>17064000</v>
      </c>
      <c r="K934" s="62" t="s">
        <v>138</v>
      </c>
      <c r="L934" s="68" t="b">
        <f aca="false">TRUE()</f>
        <v>1</v>
      </c>
    </row>
    <row r="935" customFormat="false" ht="15" hidden="false" customHeight="false" outlineLevel="0" collapsed="false">
      <c r="A935" s="62" t="n">
        <v>0</v>
      </c>
      <c r="B935" s="21" t="s">
        <v>336</v>
      </c>
      <c r="C935" s="62" t="s">
        <v>60</v>
      </c>
      <c r="D935" s="62" t="s">
        <v>384</v>
      </c>
      <c r="E935" s="62" t="s">
        <v>72</v>
      </c>
      <c r="F935" s="62" t="s">
        <v>382</v>
      </c>
      <c r="G935" s="63" t="s">
        <v>456</v>
      </c>
      <c r="H935" s="64" t="n">
        <v>17064000000</v>
      </c>
      <c r="I935" s="62" t="s">
        <v>81</v>
      </c>
      <c r="J935" s="64" t="n">
        <v>17064000</v>
      </c>
      <c r="K935" s="62" t="s">
        <v>138</v>
      </c>
      <c r="L935" s="68" t="b">
        <f aca="false">TRUE()</f>
        <v>1</v>
      </c>
    </row>
    <row r="936" customFormat="false" ht="15" hidden="false" customHeight="false" outlineLevel="0" collapsed="false">
      <c r="A936" s="62" t="n">
        <v>0</v>
      </c>
      <c r="B936" s="21" t="s">
        <v>336</v>
      </c>
      <c r="C936" s="62" t="s">
        <v>60</v>
      </c>
      <c r="D936" s="62" t="s">
        <v>385</v>
      </c>
      <c r="E936" s="62" t="s">
        <v>72</v>
      </c>
      <c r="F936" s="62" t="s">
        <v>382</v>
      </c>
      <c r="G936" s="63" t="s">
        <v>456</v>
      </c>
      <c r="H936" s="64" t="n">
        <v>17064000000</v>
      </c>
      <c r="I936" s="62" t="s">
        <v>81</v>
      </c>
      <c r="J936" s="64" t="n">
        <v>17064000</v>
      </c>
      <c r="K936" s="62" t="s">
        <v>138</v>
      </c>
      <c r="L936" s="68" t="b">
        <f aca="false">TRUE()</f>
        <v>1</v>
      </c>
    </row>
    <row r="937" customFormat="false" ht="15" hidden="false" customHeight="false" outlineLevel="0" collapsed="false">
      <c r="A937" s="62" t="n">
        <v>0</v>
      </c>
      <c r="B937" s="21" t="s">
        <v>336</v>
      </c>
      <c r="C937" s="62" t="s">
        <v>60</v>
      </c>
      <c r="D937" s="62" t="s">
        <v>386</v>
      </c>
      <c r="E937" s="62" t="s">
        <v>72</v>
      </c>
      <c r="F937" s="62" t="s">
        <v>382</v>
      </c>
      <c r="G937" s="63" t="s">
        <v>456</v>
      </c>
      <c r="H937" s="64" t="n">
        <v>17064000000</v>
      </c>
      <c r="I937" s="62" t="s">
        <v>81</v>
      </c>
      <c r="J937" s="64" t="n">
        <v>17064000</v>
      </c>
      <c r="K937" s="62" t="s">
        <v>138</v>
      </c>
      <c r="L937" s="68" t="b">
        <f aca="false">TRUE()</f>
        <v>1</v>
      </c>
    </row>
    <row r="938" customFormat="false" ht="15" hidden="false" customHeight="false" outlineLevel="0" collapsed="false">
      <c r="A938" s="62" t="n">
        <v>0</v>
      </c>
      <c r="B938" s="21" t="s">
        <v>336</v>
      </c>
      <c r="C938" s="62" t="s">
        <v>60</v>
      </c>
      <c r="D938" s="62" t="s">
        <v>387</v>
      </c>
      <c r="E938" s="62" t="s">
        <v>72</v>
      </c>
      <c r="F938" s="62" t="s">
        <v>382</v>
      </c>
      <c r="G938" s="63" t="s">
        <v>456</v>
      </c>
      <c r="H938" s="64" t="n">
        <v>17064000000</v>
      </c>
      <c r="I938" s="62" t="s">
        <v>81</v>
      </c>
      <c r="J938" s="64" t="n">
        <v>17064000</v>
      </c>
      <c r="K938" s="62" t="s">
        <v>138</v>
      </c>
      <c r="L938" s="68" t="b">
        <f aca="false">TRUE()</f>
        <v>1</v>
      </c>
    </row>
    <row r="939" customFormat="false" ht="15" hidden="false" customHeight="false" outlineLevel="0" collapsed="false">
      <c r="A939" s="62" t="n">
        <v>0</v>
      </c>
      <c r="B939" s="21" t="s">
        <v>336</v>
      </c>
      <c r="C939" s="62" t="s">
        <v>60</v>
      </c>
      <c r="D939" s="62" t="s">
        <v>388</v>
      </c>
      <c r="E939" s="62" t="s">
        <v>72</v>
      </c>
      <c r="F939" s="62" t="s">
        <v>382</v>
      </c>
      <c r="G939" s="63" t="s">
        <v>456</v>
      </c>
      <c r="H939" s="64" t="n">
        <v>17064000000</v>
      </c>
      <c r="I939" s="62" t="s">
        <v>81</v>
      </c>
      <c r="J939" s="64" t="n">
        <v>17064000</v>
      </c>
      <c r="K939" s="62" t="s">
        <v>138</v>
      </c>
      <c r="L939" s="68" t="b">
        <f aca="false">TRUE()</f>
        <v>1</v>
      </c>
    </row>
    <row r="940" customFormat="false" ht="15" hidden="false" customHeight="false" outlineLevel="0" collapsed="false">
      <c r="A940" s="62" t="n">
        <v>0</v>
      </c>
      <c r="B940" s="21" t="s">
        <v>336</v>
      </c>
      <c r="C940" s="62" t="s">
        <v>60</v>
      </c>
      <c r="D940" s="62" t="s">
        <v>381</v>
      </c>
      <c r="E940" s="62" t="s">
        <v>72</v>
      </c>
      <c r="F940" s="62" t="s">
        <v>382</v>
      </c>
      <c r="G940" s="63" t="s">
        <v>390</v>
      </c>
      <c r="H940" s="64" t="n">
        <v>1185000000</v>
      </c>
      <c r="I940" s="62" t="s">
        <v>81</v>
      </c>
      <c r="J940" s="64" t="n">
        <v>1185000</v>
      </c>
      <c r="K940" s="62" t="s">
        <v>138</v>
      </c>
      <c r="L940" s="68" t="b">
        <f aca="false">TRUE()</f>
        <v>1</v>
      </c>
    </row>
    <row r="941" customFormat="false" ht="15" hidden="false" customHeight="false" outlineLevel="0" collapsed="false">
      <c r="A941" s="62" t="n">
        <v>0</v>
      </c>
      <c r="B941" s="21" t="s">
        <v>336</v>
      </c>
      <c r="C941" s="62" t="s">
        <v>60</v>
      </c>
      <c r="D941" s="62" t="s">
        <v>383</v>
      </c>
      <c r="E941" s="62" t="s">
        <v>72</v>
      </c>
      <c r="F941" s="62" t="s">
        <v>382</v>
      </c>
      <c r="G941" s="63" t="s">
        <v>390</v>
      </c>
      <c r="H941" s="64" t="n">
        <v>1185000000</v>
      </c>
      <c r="I941" s="62" t="s">
        <v>81</v>
      </c>
      <c r="J941" s="64" t="n">
        <v>1185000</v>
      </c>
      <c r="K941" s="62" t="s">
        <v>138</v>
      </c>
      <c r="L941" s="68" t="b">
        <f aca="false">TRUE()</f>
        <v>1</v>
      </c>
    </row>
    <row r="942" customFormat="false" ht="15" hidden="false" customHeight="false" outlineLevel="0" collapsed="false">
      <c r="A942" s="62" t="n">
        <v>0</v>
      </c>
      <c r="B942" s="21" t="s">
        <v>336</v>
      </c>
      <c r="C942" s="62" t="s">
        <v>60</v>
      </c>
      <c r="D942" s="62" t="s">
        <v>384</v>
      </c>
      <c r="E942" s="62" t="s">
        <v>72</v>
      </c>
      <c r="F942" s="62" t="s">
        <v>382</v>
      </c>
      <c r="G942" s="63" t="s">
        <v>390</v>
      </c>
      <c r="H942" s="64" t="n">
        <v>1185000000</v>
      </c>
      <c r="I942" s="62" t="s">
        <v>81</v>
      </c>
      <c r="J942" s="64" t="n">
        <v>1185000</v>
      </c>
      <c r="K942" s="62" t="s">
        <v>138</v>
      </c>
      <c r="L942" s="68" t="b">
        <f aca="false">TRUE()</f>
        <v>1</v>
      </c>
    </row>
    <row r="943" customFormat="false" ht="15" hidden="false" customHeight="false" outlineLevel="0" collapsed="false">
      <c r="A943" s="62" t="n">
        <v>0</v>
      </c>
      <c r="B943" s="21" t="s">
        <v>336</v>
      </c>
      <c r="C943" s="62" t="s">
        <v>60</v>
      </c>
      <c r="D943" s="62" t="s">
        <v>385</v>
      </c>
      <c r="E943" s="62" t="s">
        <v>72</v>
      </c>
      <c r="F943" s="62" t="s">
        <v>382</v>
      </c>
      <c r="G943" s="63" t="s">
        <v>390</v>
      </c>
      <c r="H943" s="64" t="n">
        <v>1185000000</v>
      </c>
      <c r="I943" s="62" t="s">
        <v>81</v>
      </c>
      <c r="J943" s="64" t="n">
        <v>1185000</v>
      </c>
      <c r="K943" s="62" t="s">
        <v>138</v>
      </c>
      <c r="L943" s="68" t="b">
        <f aca="false">TRUE()</f>
        <v>1</v>
      </c>
    </row>
    <row r="944" customFormat="false" ht="15" hidden="false" customHeight="false" outlineLevel="0" collapsed="false">
      <c r="A944" s="62" t="n">
        <v>0</v>
      </c>
      <c r="B944" s="21" t="s">
        <v>336</v>
      </c>
      <c r="C944" s="62" t="s">
        <v>60</v>
      </c>
      <c r="D944" s="62" t="s">
        <v>386</v>
      </c>
      <c r="E944" s="62" t="s">
        <v>72</v>
      </c>
      <c r="F944" s="62" t="s">
        <v>382</v>
      </c>
      <c r="G944" s="63" t="s">
        <v>390</v>
      </c>
      <c r="H944" s="64" t="n">
        <v>1185000000</v>
      </c>
      <c r="I944" s="62" t="s">
        <v>81</v>
      </c>
      <c r="J944" s="64" t="n">
        <v>1185000</v>
      </c>
      <c r="K944" s="62" t="s">
        <v>138</v>
      </c>
      <c r="L944" s="68" t="b">
        <f aca="false">TRUE()</f>
        <v>1</v>
      </c>
    </row>
    <row r="945" customFormat="false" ht="15" hidden="false" customHeight="false" outlineLevel="0" collapsed="false">
      <c r="A945" s="62" t="n">
        <v>0</v>
      </c>
      <c r="B945" s="21" t="s">
        <v>336</v>
      </c>
      <c r="C945" s="62" t="s">
        <v>60</v>
      </c>
      <c r="D945" s="62" t="s">
        <v>387</v>
      </c>
      <c r="E945" s="62" t="s">
        <v>72</v>
      </c>
      <c r="F945" s="62" t="s">
        <v>382</v>
      </c>
      <c r="G945" s="63" t="s">
        <v>390</v>
      </c>
      <c r="H945" s="64" t="n">
        <v>1185000000</v>
      </c>
      <c r="I945" s="62" t="s">
        <v>81</v>
      </c>
      <c r="J945" s="64" t="n">
        <v>1185000</v>
      </c>
      <c r="K945" s="62" t="s">
        <v>138</v>
      </c>
      <c r="L945" s="68" t="b">
        <f aca="false">TRUE()</f>
        <v>1</v>
      </c>
    </row>
    <row r="946" customFormat="false" ht="15" hidden="false" customHeight="false" outlineLevel="0" collapsed="false">
      <c r="A946" s="62" t="n">
        <v>0</v>
      </c>
      <c r="B946" s="21" t="s">
        <v>336</v>
      </c>
      <c r="C946" s="62" t="s">
        <v>60</v>
      </c>
      <c r="D946" s="62" t="s">
        <v>388</v>
      </c>
      <c r="E946" s="62" t="s">
        <v>72</v>
      </c>
      <c r="F946" s="62" t="s">
        <v>382</v>
      </c>
      <c r="G946" s="63" t="s">
        <v>390</v>
      </c>
      <c r="H946" s="64" t="n">
        <v>1185000000</v>
      </c>
      <c r="I946" s="62" t="s">
        <v>81</v>
      </c>
      <c r="J946" s="64" t="n">
        <v>1185000</v>
      </c>
      <c r="K946" s="62" t="s">
        <v>138</v>
      </c>
      <c r="L946" s="68" t="b">
        <f aca="false">TRUE()</f>
        <v>1</v>
      </c>
    </row>
    <row r="947" customFormat="false" ht="15" hidden="false" customHeight="false" outlineLevel="0" collapsed="false">
      <c r="A947" s="62" t="n">
        <v>0</v>
      </c>
      <c r="B947" s="21" t="s">
        <v>336</v>
      </c>
      <c r="C947" s="62" t="s">
        <v>60</v>
      </c>
      <c r="D947" s="62" t="s">
        <v>381</v>
      </c>
      <c r="E947" s="62" t="s">
        <v>72</v>
      </c>
      <c r="F947" s="62" t="s">
        <v>382</v>
      </c>
      <c r="G947" s="63" t="s">
        <v>392</v>
      </c>
      <c r="H947" s="64" t="n">
        <v>1568385119.40661</v>
      </c>
      <c r="I947" s="62" t="s">
        <v>81</v>
      </c>
      <c r="J947" s="64" t="n">
        <v>1568385.11940661</v>
      </c>
      <c r="K947" s="62" t="s">
        <v>138</v>
      </c>
      <c r="L947" s="68" t="b">
        <f aca="false">TRUE()</f>
        <v>1</v>
      </c>
    </row>
    <row r="948" customFormat="false" ht="15" hidden="false" customHeight="false" outlineLevel="0" collapsed="false">
      <c r="A948" s="62" t="n">
        <v>0</v>
      </c>
      <c r="B948" s="21" t="s">
        <v>336</v>
      </c>
      <c r="C948" s="62" t="s">
        <v>60</v>
      </c>
      <c r="D948" s="62" t="s">
        <v>383</v>
      </c>
      <c r="E948" s="62" t="s">
        <v>72</v>
      </c>
      <c r="F948" s="62" t="s">
        <v>382</v>
      </c>
      <c r="G948" s="63" t="s">
        <v>392</v>
      </c>
      <c r="H948" s="64" t="n">
        <v>1568385119.40661</v>
      </c>
      <c r="I948" s="62" t="s">
        <v>81</v>
      </c>
      <c r="J948" s="64" t="n">
        <v>1568385.11940661</v>
      </c>
      <c r="K948" s="62" t="s">
        <v>138</v>
      </c>
      <c r="L948" s="68" t="b">
        <f aca="false">TRUE()</f>
        <v>1</v>
      </c>
    </row>
    <row r="949" customFormat="false" ht="15" hidden="false" customHeight="false" outlineLevel="0" collapsed="false">
      <c r="A949" s="62" t="n">
        <v>0</v>
      </c>
      <c r="B949" s="21" t="s">
        <v>336</v>
      </c>
      <c r="C949" s="62" t="s">
        <v>60</v>
      </c>
      <c r="D949" s="62" t="s">
        <v>384</v>
      </c>
      <c r="E949" s="62" t="s">
        <v>72</v>
      </c>
      <c r="F949" s="62" t="s">
        <v>382</v>
      </c>
      <c r="G949" s="63" t="s">
        <v>392</v>
      </c>
      <c r="H949" s="64" t="n">
        <v>1568385119.40661</v>
      </c>
      <c r="I949" s="62" t="s">
        <v>81</v>
      </c>
      <c r="J949" s="64" t="n">
        <v>1568385.11940661</v>
      </c>
      <c r="K949" s="62" t="s">
        <v>138</v>
      </c>
      <c r="L949" s="68" t="b">
        <f aca="false">TRUE()</f>
        <v>1</v>
      </c>
    </row>
    <row r="950" customFormat="false" ht="15" hidden="false" customHeight="false" outlineLevel="0" collapsed="false">
      <c r="A950" s="62" t="n">
        <v>0</v>
      </c>
      <c r="B950" s="21" t="s">
        <v>336</v>
      </c>
      <c r="C950" s="62" t="s">
        <v>60</v>
      </c>
      <c r="D950" s="62" t="s">
        <v>385</v>
      </c>
      <c r="E950" s="62" t="s">
        <v>72</v>
      </c>
      <c r="F950" s="62" t="s">
        <v>382</v>
      </c>
      <c r="G950" s="63" t="s">
        <v>392</v>
      </c>
      <c r="H950" s="64" t="n">
        <v>1568385119.40661</v>
      </c>
      <c r="I950" s="62" t="s">
        <v>81</v>
      </c>
      <c r="J950" s="64" t="n">
        <v>1568385.11940661</v>
      </c>
      <c r="K950" s="62" t="s">
        <v>138</v>
      </c>
      <c r="L950" s="68" t="b">
        <f aca="false">TRUE()</f>
        <v>1</v>
      </c>
    </row>
    <row r="951" customFormat="false" ht="15" hidden="false" customHeight="false" outlineLevel="0" collapsed="false">
      <c r="A951" s="62" t="n">
        <v>0</v>
      </c>
      <c r="B951" s="21" t="s">
        <v>336</v>
      </c>
      <c r="C951" s="62" t="s">
        <v>60</v>
      </c>
      <c r="D951" s="62" t="s">
        <v>386</v>
      </c>
      <c r="E951" s="62" t="s">
        <v>72</v>
      </c>
      <c r="F951" s="62" t="s">
        <v>382</v>
      </c>
      <c r="G951" s="63" t="s">
        <v>392</v>
      </c>
      <c r="H951" s="64" t="n">
        <v>1568385119.40661</v>
      </c>
      <c r="I951" s="62" t="s">
        <v>81</v>
      </c>
      <c r="J951" s="64" t="n">
        <v>1568385.11940661</v>
      </c>
      <c r="K951" s="62" t="s">
        <v>138</v>
      </c>
      <c r="L951" s="68" t="b">
        <f aca="false">TRUE()</f>
        <v>1</v>
      </c>
    </row>
    <row r="952" customFormat="false" ht="15" hidden="false" customHeight="false" outlineLevel="0" collapsed="false">
      <c r="A952" s="62" t="n">
        <v>0</v>
      </c>
      <c r="B952" s="21" t="s">
        <v>336</v>
      </c>
      <c r="C952" s="62" t="s">
        <v>60</v>
      </c>
      <c r="D952" s="62" t="s">
        <v>387</v>
      </c>
      <c r="E952" s="62" t="s">
        <v>72</v>
      </c>
      <c r="F952" s="62" t="s">
        <v>382</v>
      </c>
      <c r="G952" s="63" t="s">
        <v>392</v>
      </c>
      <c r="H952" s="64" t="n">
        <v>1568385119.40661</v>
      </c>
      <c r="I952" s="62" t="s">
        <v>81</v>
      </c>
      <c r="J952" s="64" t="n">
        <v>1568385.11940661</v>
      </c>
      <c r="K952" s="62" t="s">
        <v>138</v>
      </c>
      <c r="L952" s="68" t="b">
        <f aca="false">TRUE()</f>
        <v>1</v>
      </c>
    </row>
    <row r="953" customFormat="false" ht="15" hidden="false" customHeight="false" outlineLevel="0" collapsed="false">
      <c r="A953" s="62" t="n">
        <v>0</v>
      </c>
      <c r="B953" s="21" t="s">
        <v>336</v>
      </c>
      <c r="C953" s="62" t="s">
        <v>60</v>
      </c>
      <c r="D953" s="62" t="s">
        <v>388</v>
      </c>
      <c r="E953" s="62" t="s">
        <v>72</v>
      </c>
      <c r="F953" s="62" t="s">
        <v>382</v>
      </c>
      <c r="G953" s="63" t="s">
        <v>392</v>
      </c>
      <c r="H953" s="64" t="n">
        <v>1568385119.40661</v>
      </c>
      <c r="I953" s="62" t="s">
        <v>81</v>
      </c>
      <c r="J953" s="64" t="n">
        <v>1568385.11940661</v>
      </c>
      <c r="K953" s="62" t="s">
        <v>138</v>
      </c>
      <c r="L953" s="68" t="b">
        <f aca="false">TRUE()</f>
        <v>1</v>
      </c>
    </row>
    <row r="954" customFormat="false" ht="15" hidden="false" customHeight="false" outlineLevel="0" collapsed="false">
      <c r="A954" s="62" t="n">
        <v>0</v>
      </c>
      <c r="B954" s="21" t="s">
        <v>336</v>
      </c>
      <c r="C954" s="62" t="s">
        <v>60</v>
      </c>
      <c r="D954" s="62" t="s">
        <v>381</v>
      </c>
      <c r="E954" s="62" t="s">
        <v>72</v>
      </c>
      <c r="F954" s="62" t="s">
        <v>382</v>
      </c>
      <c r="G954" s="63" t="s">
        <v>394</v>
      </c>
      <c r="H954" s="64" t="n">
        <v>700000000</v>
      </c>
      <c r="I954" s="62" t="s">
        <v>81</v>
      </c>
      <c r="J954" s="64" t="n">
        <v>700000</v>
      </c>
      <c r="K954" s="62" t="s">
        <v>138</v>
      </c>
      <c r="L954" s="68" t="b">
        <f aca="false">TRUE()</f>
        <v>1</v>
      </c>
    </row>
    <row r="955" customFormat="false" ht="15" hidden="false" customHeight="false" outlineLevel="0" collapsed="false">
      <c r="A955" s="62" t="n">
        <v>0</v>
      </c>
      <c r="B955" s="21" t="s">
        <v>336</v>
      </c>
      <c r="C955" s="62" t="s">
        <v>60</v>
      </c>
      <c r="D955" s="62" t="s">
        <v>383</v>
      </c>
      <c r="E955" s="62" t="s">
        <v>72</v>
      </c>
      <c r="F955" s="62" t="s">
        <v>382</v>
      </c>
      <c r="G955" s="63" t="s">
        <v>394</v>
      </c>
      <c r="H955" s="64" t="n">
        <v>700000000</v>
      </c>
      <c r="I955" s="62" t="s">
        <v>81</v>
      </c>
      <c r="J955" s="64" t="n">
        <v>700000</v>
      </c>
      <c r="K955" s="62" t="s">
        <v>138</v>
      </c>
      <c r="L955" s="68" t="b">
        <f aca="false">TRUE()</f>
        <v>1</v>
      </c>
    </row>
    <row r="956" customFormat="false" ht="15" hidden="false" customHeight="false" outlineLevel="0" collapsed="false">
      <c r="A956" s="62" t="n">
        <v>0</v>
      </c>
      <c r="B956" s="21" t="s">
        <v>336</v>
      </c>
      <c r="C956" s="62" t="s">
        <v>60</v>
      </c>
      <c r="D956" s="62" t="s">
        <v>384</v>
      </c>
      <c r="E956" s="62" t="s">
        <v>72</v>
      </c>
      <c r="F956" s="62" t="s">
        <v>382</v>
      </c>
      <c r="G956" s="63" t="s">
        <v>394</v>
      </c>
      <c r="H956" s="64" t="n">
        <v>700000000</v>
      </c>
      <c r="I956" s="62" t="s">
        <v>81</v>
      </c>
      <c r="J956" s="64" t="n">
        <v>700000</v>
      </c>
      <c r="K956" s="62" t="s">
        <v>138</v>
      </c>
      <c r="L956" s="68" t="b">
        <f aca="false">TRUE()</f>
        <v>1</v>
      </c>
    </row>
    <row r="957" customFormat="false" ht="15" hidden="false" customHeight="false" outlineLevel="0" collapsed="false">
      <c r="A957" s="62" t="n">
        <v>0</v>
      </c>
      <c r="B957" s="21" t="s">
        <v>336</v>
      </c>
      <c r="C957" s="62" t="s">
        <v>60</v>
      </c>
      <c r="D957" s="62" t="s">
        <v>385</v>
      </c>
      <c r="E957" s="62" t="s">
        <v>72</v>
      </c>
      <c r="F957" s="62" t="s">
        <v>382</v>
      </c>
      <c r="G957" s="63" t="s">
        <v>394</v>
      </c>
      <c r="H957" s="64" t="n">
        <v>700000000</v>
      </c>
      <c r="I957" s="62" t="s">
        <v>81</v>
      </c>
      <c r="J957" s="64" t="n">
        <v>700000</v>
      </c>
      <c r="K957" s="62" t="s">
        <v>138</v>
      </c>
      <c r="L957" s="68" t="b">
        <f aca="false">TRUE()</f>
        <v>1</v>
      </c>
    </row>
    <row r="958" customFormat="false" ht="15" hidden="false" customHeight="false" outlineLevel="0" collapsed="false">
      <c r="A958" s="62" t="n">
        <v>0</v>
      </c>
      <c r="B958" s="21" t="s">
        <v>336</v>
      </c>
      <c r="C958" s="62" t="s">
        <v>60</v>
      </c>
      <c r="D958" s="62" t="s">
        <v>386</v>
      </c>
      <c r="E958" s="62" t="s">
        <v>72</v>
      </c>
      <c r="F958" s="62" t="s">
        <v>382</v>
      </c>
      <c r="G958" s="63" t="s">
        <v>394</v>
      </c>
      <c r="H958" s="64" t="n">
        <v>700000000</v>
      </c>
      <c r="I958" s="62" t="s">
        <v>81</v>
      </c>
      <c r="J958" s="64" t="n">
        <v>700000</v>
      </c>
      <c r="K958" s="62" t="s">
        <v>138</v>
      </c>
      <c r="L958" s="68" t="b">
        <f aca="false">TRUE()</f>
        <v>1</v>
      </c>
    </row>
    <row r="959" customFormat="false" ht="15" hidden="false" customHeight="false" outlineLevel="0" collapsed="false">
      <c r="A959" s="62" t="n">
        <v>0</v>
      </c>
      <c r="B959" s="21" t="s">
        <v>336</v>
      </c>
      <c r="C959" s="62" t="s">
        <v>60</v>
      </c>
      <c r="D959" s="62" t="s">
        <v>387</v>
      </c>
      <c r="E959" s="62" t="s">
        <v>72</v>
      </c>
      <c r="F959" s="62" t="s">
        <v>382</v>
      </c>
      <c r="G959" s="63" t="s">
        <v>394</v>
      </c>
      <c r="H959" s="64" t="n">
        <v>700000000</v>
      </c>
      <c r="I959" s="62" t="s">
        <v>81</v>
      </c>
      <c r="J959" s="64" t="n">
        <v>700000</v>
      </c>
      <c r="K959" s="62" t="s">
        <v>138</v>
      </c>
      <c r="L959" s="68" t="b">
        <f aca="false">TRUE()</f>
        <v>1</v>
      </c>
    </row>
    <row r="960" customFormat="false" ht="15" hidden="false" customHeight="false" outlineLevel="0" collapsed="false">
      <c r="A960" s="62" t="n">
        <v>0</v>
      </c>
      <c r="B960" s="21" t="s">
        <v>336</v>
      </c>
      <c r="C960" s="62" t="s">
        <v>60</v>
      </c>
      <c r="D960" s="62" t="s">
        <v>388</v>
      </c>
      <c r="E960" s="62" t="s">
        <v>72</v>
      </c>
      <c r="F960" s="62" t="s">
        <v>382</v>
      </c>
      <c r="G960" s="63" t="s">
        <v>394</v>
      </c>
      <c r="H960" s="64" t="n">
        <v>700000000</v>
      </c>
      <c r="I960" s="62" t="s">
        <v>81</v>
      </c>
      <c r="J960" s="64" t="n">
        <v>700000</v>
      </c>
      <c r="K960" s="62" t="s">
        <v>138</v>
      </c>
      <c r="L960" s="68" t="b">
        <f aca="false">TRUE()</f>
        <v>1</v>
      </c>
    </row>
    <row r="961" customFormat="false" ht="15" hidden="false" customHeight="false" outlineLevel="0" collapsed="false">
      <c r="A961" s="62" t="n">
        <v>0</v>
      </c>
      <c r="B961" s="21" t="s">
        <v>336</v>
      </c>
      <c r="C961" s="62" t="s">
        <v>60</v>
      </c>
      <c r="D961" s="62" t="s">
        <v>381</v>
      </c>
      <c r="E961" s="62" t="s">
        <v>72</v>
      </c>
      <c r="F961" s="62" t="s">
        <v>382</v>
      </c>
      <c r="G961" s="63" t="s">
        <v>395</v>
      </c>
      <c r="H961" s="64" t="n">
        <v>20000000</v>
      </c>
      <c r="I961" s="62" t="s">
        <v>81</v>
      </c>
      <c r="J961" s="64" t="n">
        <v>20000</v>
      </c>
      <c r="K961" s="62" t="s">
        <v>138</v>
      </c>
      <c r="L961" s="68" t="b">
        <f aca="false">TRUE()</f>
        <v>1</v>
      </c>
    </row>
    <row r="962" customFormat="false" ht="15" hidden="false" customHeight="false" outlineLevel="0" collapsed="false">
      <c r="A962" s="62" t="n">
        <v>0</v>
      </c>
      <c r="B962" s="21" t="s">
        <v>336</v>
      </c>
      <c r="C962" s="62" t="s">
        <v>60</v>
      </c>
      <c r="D962" s="62" t="s">
        <v>383</v>
      </c>
      <c r="E962" s="62" t="s">
        <v>72</v>
      </c>
      <c r="F962" s="62" t="s">
        <v>382</v>
      </c>
      <c r="G962" s="63" t="s">
        <v>395</v>
      </c>
      <c r="H962" s="64" t="n">
        <v>20000000</v>
      </c>
      <c r="I962" s="62" t="s">
        <v>81</v>
      </c>
      <c r="J962" s="64" t="n">
        <v>20000</v>
      </c>
      <c r="K962" s="62" t="s">
        <v>138</v>
      </c>
      <c r="L962" s="68" t="b">
        <f aca="false">TRUE()</f>
        <v>1</v>
      </c>
    </row>
    <row r="963" customFormat="false" ht="15" hidden="false" customHeight="false" outlineLevel="0" collapsed="false">
      <c r="A963" s="62" t="n">
        <v>0</v>
      </c>
      <c r="B963" s="21" t="s">
        <v>336</v>
      </c>
      <c r="C963" s="62" t="s">
        <v>60</v>
      </c>
      <c r="D963" s="62" t="s">
        <v>384</v>
      </c>
      <c r="E963" s="62" t="s">
        <v>72</v>
      </c>
      <c r="F963" s="62" t="s">
        <v>382</v>
      </c>
      <c r="G963" s="63" t="s">
        <v>395</v>
      </c>
      <c r="H963" s="64" t="n">
        <v>20000000</v>
      </c>
      <c r="I963" s="62" t="s">
        <v>81</v>
      </c>
      <c r="J963" s="64" t="n">
        <v>20000</v>
      </c>
      <c r="K963" s="62" t="s">
        <v>138</v>
      </c>
      <c r="L963" s="68" t="b">
        <f aca="false">TRUE()</f>
        <v>1</v>
      </c>
    </row>
    <row r="964" customFormat="false" ht="15" hidden="false" customHeight="false" outlineLevel="0" collapsed="false">
      <c r="A964" s="62" t="n">
        <v>0</v>
      </c>
      <c r="B964" s="21" t="s">
        <v>336</v>
      </c>
      <c r="C964" s="62" t="s">
        <v>60</v>
      </c>
      <c r="D964" s="62" t="s">
        <v>385</v>
      </c>
      <c r="E964" s="62" t="s">
        <v>72</v>
      </c>
      <c r="F964" s="62" t="s">
        <v>382</v>
      </c>
      <c r="G964" s="63" t="s">
        <v>395</v>
      </c>
      <c r="H964" s="64" t="n">
        <v>20000000</v>
      </c>
      <c r="I964" s="62" t="s">
        <v>81</v>
      </c>
      <c r="J964" s="64" t="n">
        <v>20000</v>
      </c>
      <c r="K964" s="62" t="s">
        <v>138</v>
      </c>
      <c r="L964" s="68" t="b">
        <f aca="false">TRUE()</f>
        <v>1</v>
      </c>
    </row>
    <row r="965" customFormat="false" ht="15" hidden="false" customHeight="false" outlineLevel="0" collapsed="false">
      <c r="A965" s="62" t="n">
        <v>0</v>
      </c>
      <c r="B965" s="21" t="s">
        <v>336</v>
      </c>
      <c r="C965" s="62" t="s">
        <v>60</v>
      </c>
      <c r="D965" s="62" t="s">
        <v>386</v>
      </c>
      <c r="E965" s="62" t="s">
        <v>72</v>
      </c>
      <c r="F965" s="62" t="s">
        <v>382</v>
      </c>
      <c r="G965" s="63" t="s">
        <v>395</v>
      </c>
      <c r="H965" s="64" t="n">
        <v>20000000</v>
      </c>
      <c r="I965" s="62" t="s">
        <v>81</v>
      </c>
      <c r="J965" s="64" t="n">
        <v>20000</v>
      </c>
      <c r="K965" s="62" t="s">
        <v>138</v>
      </c>
      <c r="L965" s="68" t="b">
        <f aca="false">TRUE()</f>
        <v>1</v>
      </c>
    </row>
    <row r="966" customFormat="false" ht="15" hidden="false" customHeight="false" outlineLevel="0" collapsed="false">
      <c r="A966" s="62" t="n">
        <v>0</v>
      </c>
      <c r="B966" s="21" t="s">
        <v>336</v>
      </c>
      <c r="C966" s="62" t="s">
        <v>60</v>
      </c>
      <c r="D966" s="62" t="s">
        <v>387</v>
      </c>
      <c r="E966" s="62" t="s">
        <v>72</v>
      </c>
      <c r="F966" s="62" t="s">
        <v>382</v>
      </c>
      <c r="G966" s="63" t="s">
        <v>395</v>
      </c>
      <c r="H966" s="64" t="n">
        <v>20000000</v>
      </c>
      <c r="I966" s="62" t="s">
        <v>81</v>
      </c>
      <c r="J966" s="64" t="n">
        <v>20000</v>
      </c>
      <c r="K966" s="62" t="s">
        <v>138</v>
      </c>
      <c r="L966" s="68" t="b">
        <f aca="false">TRUE()</f>
        <v>1</v>
      </c>
    </row>
    <row r="967" customFormat="false" ht="15" hidden="false" customHeight="false" outlineLevel="0" collapsed="false">
      <c r="A967" s="62" t="n">
        <v>0</v>
      </c>
      <c r="B967" s="21" t="s">
        <v>336</v>
      </c>
      <c r="C967" s="62" t="s">
        <v>60</v>
      </c>
      <c r="D967" s="62" t="s">
        <v>388</v>
      </c>
      <c r="E967" s="62" t="s">
        <v>72</v>
      </c>
      <c r="F967" s="62" t="s">
        <v>382</v>
      </c>
      <c r="G967" s="63" t="s">
        <v>395</v>
      </c>
      <c r="H967" s="64" t="n">
        <v>20000000</v>
      </c>
      <c r="I967" s="62" t="s">
        <v>81</v>
      </c>
      <c r="J967" s="64" t="n">
        <v>20000</v>
      </c>
      <c r="K967" s="62" t="s">
        <v>138</v>
      </c>
      <c r="L967" s="68" t="b">
        <f aca="false">TRUE()</f>
        <v>1</v>
      </c>
    </row>
    <row r="968" customFormat="false" ht="15" hidden="false" customHeight="false" outlineLevel="0" collapsed="false">
      <c r="A968" s="62" t="n">
        <v>0</v>
      </c>
      <c r="B968" s="21" t="s">
        <v>336</v>
      </c>
      <c r="C968" s="62" t="s">
        <v>60</v>
      </c>
      <c r="D968" s="62" t="s">
        <v>381</v>
      </c>
      <c r="E968" s="62" t="s">
        <v>72</v>
      </c>
      <c r="F968" s="62" t="s">
        <v>382</v>
      </c>
      <c r="G968" s="63" t="s">
        <v>403</v>
      </c>
      <c r="H968" s="64" t="n">
        <v>12776351194.0661</v>
      </c>
      <c r="I968" s="62" t="s">
        <v>81</v>
      </c>
      <c r="J968" s="64" t="n">
        <v>12776351.1940661</v>
      </c>
      <c r="K968" s="62" t="s">
        <v>138</v>
      </c>
      <c r="L968" s="68" t="b">
        <f aca="false">TRUE()</f>
        <v>1</v>
      </c>
    </row>
    <row r="969" customFormat="false" ht="15" hidden="false" customHeight="false" outlineLevel="0" collapsed="false">
      <c r="A969" s="62" t="n">
        <v>0</v>
      </c>
      <c r="B969" s="21" t="s">
        <v>336</v>
      </c>
      <c r="C969" s="62" t="s">
        <v>60</v>
      </c>
      <c r="D969" s="62" t="s">
        <v>383</v>
      </c>
      <c r="E969" s="62" t="s">
        <v>72</v>
      </c>
      <c r="F969" s="62" t="s">
        <v>382</v>
      </c>
      <c r="G969" s="63" t="s">
        <v>403</v>
      </c>
      <c r="H969" s="64" t="n">
        <v>12776351194.0661</v>
      </c>
      <c r="I969" s="62" t="s">
        <v>81</v>
      </c>
      <c r="J969" s="64" t="n">
        <v>12776351.1940661</v>
      </c>
      <c r="K969" s="62" t="s">
        <v>138</v>
      </c>
      <c r="L969" s="68" t="b">
        <f aca="false">TRUE()</f>
        <v>1</v>
      </c>
    </row>
    <row r="970" customFormat="false" ht="15" hidden="false" customHeight="false" outlineLevel="0" collapsed="false">
      <c r="A970" s="62" t="n">
        <v>0</v>
      </c>
      <c r="B970" s="21" t="s">
        <v>336</v>
      </c>
      <c r="C970" s="62" t="s">
        <v>60</v>
      </c>
      <c r="D970" s="62" t="s">
        <v>384</v>
      </c>
      <c r="E970" s="62" t="s">
        <v>72</v>
      </c>
      <c r="F970" s="62" t="s">
        <v>382</v>
      </c>
      <c r="G970" s="63" t="s">
        <v>403</v>
      </c>
      <c r="H970" s="64" t="n">
        <v>12776351194.0661</v>
      </c>
      <c r="I970" s="62" t="s">
        <v>81</v>
      </c>
      <c r="J970" s="64" t="n">
        <v>12776351.1940661</v>
      </c>
      <c r="K970" s="62" t="s">
        <v>138</v>
      </c>
      <c r="L970" s="68" t="b">
        <f aca="false">TRUE()</f>
        <v>1</v>
      </c>
    </row>
    <row r="971" customFormat="false" ht="15" hidden="false" customHeight="false" outlineLevel="0" collapsed="false">
      <c r="A971" s="62" t="n">
        <v>0</v>
      </c>
      <c r="B971" s="21" t="s">
        <v>336</v>
      </c>
      <c r="C971" s="62" t="s">
        <v>60</v>
      </c>
      <c r="D971" s="62" t="s">
        <v>385</v>
      </c>
      <c r="E971" s="62" t="s">
        <v>72</v>
      </c>
      <c r="F971" s="62" t="s">
        <v>382</v>
      </c>
      <c r="G971" s="63" t="s">
        <v>403</v>
      </c>
      <c r="H971" s="64" t="n">
        <v>12776351194.0661</v>
      </c>
      <c r="I971" s="62" t="s">
        <v>81</v>
      </c>
      <c r="J971" s="64" t="n">
        <v>12776351.1940661</v>
      </c>
      <c r="K971" s="62" t="s">
        <v>138</v>
      </c>
      <c r="L971" s="68" t="b">
        <f aca="false">TRUE()</f>
        <v>1</v>
      </c>
    </row>
    <row r="972" customFormat="false" ht="15" hidden="false" customHeight="false" outlineLevel="0" collapsed="false">
      <c r="A972" s="62" t="n">
        <v>0</v>
      </c>
      <c r="B972" s="21" t="s">
        <v>336</v>
      </c>
      <c r="C972" s="62" t="s">
        <v>60</v>
      </c>
      <c r="D972" s="62" t="s">
        <v>386</v>
      </c>
      <c r="E972" s="62" t="s">
        <v>72</v>
      </c>
      <c r="F972" s="62" t="s">
        <v>382</v>
      </c>
      <c r="G972" s="63" t="s">
        <v>403</v>
      </c>
      <c r="H972" s="64" t="n">
        <v>12776351194.0661</v>
      </c>
      <c r="I972" s="62" t="s">
        <v>81</v>
      </c>
      <c r="J972" s="64" t="n">
        <v>12776351.1940661</v>
      </c>
      <c r="K972" s="62" t="s">
        <v>138</v>
      </c>
      <c r="L972" s="68" t="b">
        <f aca="false">TRUE()</f>
        <v>1</v>
      </c>
    </row>
    <row r="973" customFormat="false" ht="15" hidden="false" customHeight="false" outlineLevel="0" collapsed="false">
      <c r="A973" s="62" t="n">
        <v>0</v>
      </c>
      <c r="B973" s="21" t="s">
        <v>336</v>
      </c>
      <c r="C973" s="62" t="s">
        <v>60</v>
      </c>
      <c r="D973" s="62" t="s">
        <v>387</v>
      </c>
      <c r="E973" s="62" t="s">
        <v>72</v>
      </c>
      <c r="F973" s="62" t="s">
        <v>382</v>
      </c>
      <c r="G973" s="63" t="s">
        <v>403</v>
      </c>
      <c r="H973" s="64" t="n">
        <v>12776351194.0661</v>
      </c>
      <c r="I973" s="62" t="s">
        <v>81</v>
      </c>
      <c r="J973" s="64" t="n">
        <v>12776351.1940661</v>
      </c>
      <c r="K973" s="62" t="s">
        <v>138</v>
      </c>
      <c r="L973" s="68" t="b">
        <f aca="false">TRUE()</f>
        <v>1</v>
      </c>
    </row>
    <row r="974" customFormat="false" ht="15" hidden="false" customHeight="false" outlineLevel="0" collapsed="false">
      <c r="A974" s="62" t="n">
        <v>0</v>
      </c>
      <c r="B974" s="21" t="s">
        <v>336</v>
      </c>
      <c r="C974" s="62" t="s">
        <v>60</v>
      </c>
      <c r="D974" s="62" t="s">
        <v>388</v>
      </c>
      <c r="E974" s="62" t="s">
        <v>72</v>
      </c>
      <c r="F974" s="62" t="s">
        <v>382</v>
      </c>
      <c r="G974" s="63" t="s">
        <v>403</v>
      </c>
      <c r="H974" s="64" t="n">
        <v>12776351194.0661</v>
      </c>
      <c r="I974" s="62" t="s">
        <v>81</v>
      </c>
      <c r="J974" s="64" t="n">
        <v>12776351.1940661</v>
      </c>
      <c r="K974" s="62" t="s">
        <v>138</v>
      </c>
      <c r="L974" s="68" t="b">
        <f aca="false">TRUE()</f>
        <v>1</v>
      </c>
    </row>
    <row r="975" customFormat="false" ht="15" hidden="false" customHeight="false" outlineLevel="0" collapsed="false">
      <c r="A975" s="62" t="n">
        <v>0</v>
      </c>
      <c r="B975" s="21" t="s">
        <v>336</v>
      </c>
      <c r="C975" s="62" t="s">
        <v>60</v>
      </c>
      <c r="D975" s="62" t="s">
        <v>381</v>
      </c>
      <c r="E975" s="62" t="s">
        <v>72</v>
      </c>
      <c r="F975" s="62" t="s">
        <v>382</v>
      </c>
      <c r="G975" s="63" t="s">
        <v>404</v>
      </c>
      <c r="H975" s="64" t="n">
        <v>16249736313.4727</v>
      </c>
      <c r="I975" s="62" t="s">
        <v>81</v>
      </c>
      <c r="J975" s="64" t="n">
        <v>16249736.3134727</v>
      </c>
      <c r="K975" s="62" t="s">
        <v>138</v>
      </c>
      <c r="L975" s="68" t="b">
        <f aca="false">TRUE()</f>
        <v>1</v>
      </c>
    </row>
    <row r="976" customFormat="false" ht="15" hidden="false" customHeight="false" outlineLevel="0" collapsed="false">
      <c r="A976" s="62" t="n">
        <v>0</v>
      </c>
      <c r="B976" s="21" t="s">
        <v>336</v>
      </c>
      <c r="C976" s="62" t="s">
        <v>60</v>
      </c>
      <c r="D976" s="62" t="s">
        <v>383</v>
      </c>
      <c r="E976" s="62" t="s">
        <v>72</v>
      </c>
      <c r="F976" s="62" t="s">
        <v>382</v>
      </c>
      <c r="G976" s="63" t="s">
        <v>404</v>
      </c>
      <c r="H976" s="64" t="n">
        <v>16249736313.4727</v>
      </c>
      <c r="I976" s="62" t="s">
        <v>81</v>
      </c>
      <c r="J976" s="64" t="n">
        <v>16249736.3134727</v>
      </c>
      <c r="K976" s="62" t="s">
        <v>138</v>
      </c>
      <c r="L976" s="68" t="b">
        <f aca="false">TRUE()</f>
        <v>1</v>
      </c>
    </row>
    <row r="977" customFormat="false" ht="15" hidden="false" customHeight="false" outlineLevel="0" collapsed="false">
      <c r="A977" s="62" t="n">
        <v>0</v>
      </c>
      <c r="B977" s="21" t="s">
        <v>336</v>
      </c>
      <c r="C977" s="62" t="s">
        <v>60</v>
      </c>
      <c r="D977" s="62" t="s">
        <v>384</v>
      </c>
      <c r="E977" s="62" t="s">
        <v>72</v>
      </c>
      <c r="F977" s="62" t="s">
        <v>382</v>
      </c>
      <c r="G977" s="63" t="s">
        <v>404</v>
      </c>
      <c r="H977" s="64" t="n">
        <v>16249736313.4727</v>
      </c>
      <c r="I977" s="62" t="s">
        <v>81</v>
      </c>
      <c r="J977" s="64" t="n">
        <v>16249736.3134727</v>
      </c>
      <c r="K977" s="62" t="s">
        <v>138</v>
      </c>
      <c r="L977" s="68" t="b">
        <f aca="false">TRUE()</f>
        <v>1</v>
      </c>
    </row>
    <row r="978" customFormat="false" ht="15" hidden="false" customHeight="false" outlineLevel="0" collapsed="false">
      <c r="A978" s="62" t="n">
        <v>0</v>
      </c>
      <c r="B978" s="21" t="s">
        <v>336</v>
      </c>
      <c r="C978" s="62" t="s">
        <v>60</v>
      </c>
      <c r="D978" s="62" t="s">
        <v>385</v>
      </c>
      <c r="E978" s="62" t="s">
        <v>72</v>
      </c>
      <c r="F978" s="62" t="s">
        <v>382</v>
      </c>
      <c r="G978" s="63" t="s">
        <v>404</v>
      </c>
      <c r="H978" s="64" t="n">
        <v>16249736313.4727</v>
      </c>
      <c r="I978" s="62" t="s">
        <v>81</v>
      </c>
      <c r="J978" s="64" t="n">
        <v>16249736.3134727</v>
      </c>
      <c r="K978" s="62" t="s">
        <v>138</v>
      </c>
      <c r="L978" s="68" t="b">
        <f aca="false">TRUE()</f>
        <v>1</v>
      </c>
    </row>
    <row r="979" customFormat="false" ht="15" hidden="false" customHeight="false" outlineLevel="0" collapsed="false">
      <c r="A979" s="62" t="n">
        <v>0</v>
      </c>
      <c r="B979" s="21" t="s">
        <v>336</v>
      </c>
      <c r="C979" s="62" t="s">
        <v>60</v>
      </c>
      <c r="D979" s="62" t="s">
        <v>386</v>
      </c>
      <c r="E979" s="62" t="s">
        <v>72</v>
      </c>
      <c r="F979" s="62" t="s">
        <v>382</v>
      </c>
      <c r="G979" s="63" t="s">
        <v>404</v>
      </c>
      <c r="H979" s="64" t="n">
        <v>16249736313.4727</v>
      </c>
      <c r="I979" s="62" t="s">
        <v>81</v>
      </c>
      <c r="J979" s="64" t="n">
        <v>16249736.3134727</v>
      </c>
      <c r="K979" s="62" t="s">
        <v>138</v>
      </c>
      <c r="L979" s="68" t="b">
        <f aca="false">TRUE()</f>
        <v>1</v>
      </c>
    </row>
    <row r="980" customFormat="false" ht="15" hidden="false" customHeight="false" outlineLevel="0" collapsed="false">
      <c r="A980" s="62" t="n">
        <v>0</v>
      </c>
      <c r="B980" s="21" t="s">
        <v>336</v>
      </c>
      <c r="C980" s="62" t="s">
        <v>60</v>
      </c>
      <c r="D980" s="62" t="s">
        <v>387</v>
      </c>
      <c r="E980" s="62" t="s">
        <v>72</v>
      </c>
      <c r="F980" s="62" t="s">
        <v>382</v>
      </c>
      <c r="G980" s="63" t="s">
        <v>404</v>
      </c>
      <c r="H980" s="64" t="n">
        <v>16249736313.4727</v>
      </c>
      <c r="I980" s="62" t="s">
        <v>81</v>
      </c>
      <c r="J980" s="64" t="n">
        <v>16249736.3134727</v>
      </c>
      <c r="K980" s="62" t="s">
        <v>138</v>
      </c>
      <c r="L980" s="68" t="b">
        <f aca="false">TRUE()</f>
        <v>1</v>
      </c>
    </row>
    <row r="981" customFormat="false" ht="15" hidden="false" customHeight="false" outlineLevel="0" collapsed="false">
      <c r="A981" s="62" t="n">
        <v>0</v>
      </c>
      <c r="B981" s="21" t="s">
        <v>336</v>
      </c>
      <c r="C981" s="62" t="s">
        <v>60</v>
      </c>
      <c r="D981" s="62" t="s">
        <v>388</v>
      </c>
      <c r="E981" s="62" t="s">
        <v>72</v>
      </c>
      <c r="F981" s="62" t="s">
        <v>382</v>
      </c>
      <c r="G981" s="63" t="s">
        <v>404</v>
      </c>
      <c r="H981" s="64" t="n">
        <v>16249736313.4727</v>
      </c>
      <c r="I981" s="62" t="s">
        <v>81</v>
      </c>
      <c r="J981" s="64" t="n">
        <v>16249736.3134727</v>
      </c>
      <c r="K981" s="62" t="s">
        <v>138</v>
      </c>
      <c r="L981" s="68" t="b">
        <f aca="false">TRUE()</f>
        <v>1</v>
      </c>
    </row>
    <row r="982" customFormat="false" ht="15" hidden="false" customHeight="false" outlineLevel="0" collapsed="false">
      <c r="A982" s="62" t="n">
        <v>0</v>
      </c>
      <c r="B982" s="21" t="s">
        <v>336</v>
      </c>
      <c r="C982" s="62" t="s">
        <v>60</v>
      </c>
      <c r="D982" s="62" t="s">
        <v>381</v>
      </c>
      <c r="E982" s="62" t="s">
        <v>72</v>
      </c>
      <c r="F982" s="62" t="s">
        <v>382</v>
      </c>
      <c r="G982" s="63" t="s">
        <v>405</v>
      </c>
      <c r="H982" s="64" t="n">
        <v>814263686.52734</v>
      </c>
      <c r="I982" s="62" t="s">
        <v>81</v>
      </c>
      <c r="J982" s="64" t="n">
        <v>814263.68652734</v>
      </c>
      <c r="K982" s="62" t="s">
        <v>138</v>
      </c>
      <c r="L982" s="68" t="b">
        <f aca="false">TRUE()</f>
        <v>1</v>
      </c>
    </row>
    <row r="983" customFormat="false" ht="15" hidden="false" customHeight="false" outlineLevel="0" collapsed="false">
      <c r="A983" s="62" t="n">
        <v>0</v>
      </c>
      <c r="B983" s="21" t="s">
        <v>336</v>
      </c>
      <c r="C983" s="62" t="s">
        <v>60</v>
      </c>
      <c r="D983" s="62" t="s">
        <v>383</v>
      </c>
      <c r="E983" s="62" t="s">
        <v>72</v>
      </c>
      <c r="F983" s="62" t="s">
        <v>382</v>
      </c>
      <c r="G983" s="63" t="s">
        <v>405</v>
      </c>
      <c r="H983" s="64" t="n">
        <v>814263686.52734</v>
      </c>
      <c r="I983" s="62" t="s">
        <v>81</v>
      </c>
      <c r="J983" s="64" t="n">
        <v>814263.68652734</v>
      </c>
      <c r="K983" s="62" t="s">
        <v>138</v>
      </c>
      <c r="L983" s="68" t="b">
        <f aca="false">TRUE()</f>
        <v>1</v>
      </c>
    </row>
    <row r="984" customFormat="false" ht="15" hidden="false" customHeight="false" outlineLevel="0" collapsed="false">
      <c r="A984" s="62" t="n">
        <v>0</v>
      </c>
      <c r="B984" s="21" t="s">
        <v>336</v>
      </c>
      <c r="C984" s="62" t="s">
        <v>60</v>
      </c>
      <c r="D984" s="62" t="s">
        <v>384</v>
      </c>
      <c r="E984" s="62" t="s">
        <v>72</v>
      </c>
      <c r="F984" s="62" t="s">
        <v>382</v>
      </c>
      <c r="G984" s="63" t="s">
        <v>405</v>
      </c>
      <c r="H984" s="64" t="n">
        <v>814263686.52734</v>
      </c>
      <c r="I984" s="62" t="s">
        <v>81</v>
      </c>
      <c r="J984" s="64" t="n">
        <v>814263.68652734</v>
      </c>
      <c r="K984" s="62" t="s">
        <v>138</v>
      </c>
      <c r="L984" s="68" t="b">
        <f aca="false">TRUE()</f>
        <v>1</v>
      </c>
    </row>
    <row r="985" customFormat="false" ht="15" hidden="false" customHeight="false" outlineLevel="0" collapsed="false">
      <c r="A985" s="62" t="n">
        <v>0</v>
      </c>
      <c r="B985" s="21" t="s">
        <v>336</v>
      </c>
      <c r="C985" s="62" t="s">
        <v>60</v>
      </c>
      <c r="D985" s="62" t="s">
        <v>385</v>
      </c>
      <c r="E985" s="62" t="s">
        <v>72</v>
      </c>
      <c r="F985" s="62" t="s">
        <v>382</v>
      </c>
      <c r="G985" s="63" t="s">
        <v>405</v>
      </c>
      <c r="H985" s="64" t="n">
        <v>814263686.52734</v>
      </c>
      <c r="I985" s="62" t="s">
        <v>81</v>
      </c>
      <c r="J985" s="64" t="n">
        <v>814263.68652734</v>
      </c>
      <c r="K985" s="62" t="s">
        <v>138</v>
      </c>
      <c r="L985" s="68" t="b">
        <f aca="false">TRUE()</f>
        <v>1</v>
      </c>
    </row>
    <row r="986" customFormat="false" ht="15" hidden="false" customHeight="false" outlineLevel="0" collapsed="false">
      <c r="A986" s="62" t="n">
        <v>0</v>
      </c>
      <c r="B986" s="21" t="s">
        <v>336</v>
      </c>
      <c r="C986" s="62" t="s">
        <v>60</v>
      </c>
      <c r="D986" s="62" t="s">
        <v>386</v>
      </c>
      <c r="E986" s="62" t="s">
        <v>72</v>
      </c>
      <c r="F986" s="62" t="s">
        <v>382</v>
      </c>
      <c r="G986" s="63" t="s">
        <v>405</v>
      </c>
      <c r="H986" s="64" t="n">
        <v>814263686.52734</v>
      </c>
      <c r="I986" s="62" t="s">
        <v>81</v>
      </c>
      <c r="J986" s="64" t="n">
        <v>814263.68652734</v>
      </c>
      <c r="K986" s="62" t="s">
        <v>138</v>
      </c>
      <c r="L986" s="68" t="b">
        <f aca="false">TRUE()</f>
        <v>1</v>
      </c>
    </row>
    <row r="987" customFormat="false" ht="15" hidden="false" customHeight="false" outlineLevel="0" collapsed="false">
      <c r="A987" s="62" t="n">
        <v>0</v>
      </c>
      <c r="B987" s="21" t="s">
        <v>336</v>
      </c>
      <c r="C987" s="62" t="s">
        <v>60</v>
      </c>
      <c r="D987" s="62" t="s">
        <v>387</v>
      </c>
      <c r="E987" s="62" t="s">
        <v>72</v>
      </c>
      <c r="F987" s="62" t="s">
        <v>382</v>
      </c>
      <c r="G987" s="63" t="s">
        <v>405</v>
      </c>
      <c r="H987" s="64" t="n">
        <v>814263686.52734</v>
      </c>
      <c r="I987" s="62" t="s">
        <v>81</v>
      </c>
      <c r="J987" s="64" t="n">
        <v>814263.68652734</v>
      </c>
      <c r="K987" s="62" t="s">
        <v>138</v>
      </c>
      <c r="L987" s="68" t="b">
        <f aca="false">TRUE()</f>
        <v>1</v>
      </c>
    </row>
    <row r="988" customFormat="false" ht="15" hidden="false" customHeight="false" outlineLevel="0" collapsed="false">
      <c r="A988" s="62" t="n">
        <v>0</v>
      </c>
      <c r="B988" s="21" t="s">
        <v>336</v>
      </c>
      <c r="C988" s="62" t="s">
        <v>60</v>
      </c>
      <c r="D988" s="62" t="s">
        <v>388</v>
      </c>
      <c r="E988" s="62" t="s">
        <v>72</v>
      </c>
      <c r="F988" s="62" t="s">
        <v>382</v>
      </c>
      <c r="G988" s="63" t="s">
        <v>405</v>
      </c>
      <c r="H988" s="64" t="n">
        <v>814263686.52734</v>
      </c>
      <c r="I988" s="62" t="s">
        <v>81</v>
      </c>
      <c r="J988" s="64" t="n">
        <v>814263.68652734</v>
      </c>
      <c r="K988" s="62" t="s">
        <v>138</v>
      </c>
      <c r="L988" s="68" t="b">
        <f aca="false">TRUE()</f>
        <v>1</v>
      </c>
    </row>
    <row r="989" customFormat="false" ht="15" hidden="false" customHeight="false" outlineLevel="0" collapsed="false">
      <c r="A989" s="62" t="n">
        <v>0</v>
      </c>
      <c r="B989" s="21" t="s">
        <v>336</v>
      </c>
      <c r="C989" s="62" t="s">
        <v>60</v>
      </c>
      <c r="D989" s="62" t="s">
        <v>381</v>
      </c>
      <c r="E989" s="62" t="s">
        <v>72</v>
      </c>
      <c r="F989" s="62" t="s">
        <v>382</v>
      </c>
      <c r="G989" s="63" t="s">
        <v>406</v>
      </c>
      <c r="H989" s="64" t="n">
        <v>0</v>
      </c>
      <c r="I989" s="62" t="s">
        <v>81</v>
      </c>
      <c r="J989" s="64" t="n">
        <v>0</v>
      </c>
      <c r="K989" s="62" t="s">
        <v>138</v>
      </c>
      <c r="L989" s="68" t="b">
        <f aca="false">TRUE()</f>
        <v>1</v>
      </c>
    </row>
    <row r="990" customFormat="false" ht="15" hidden="false" customHeight="false" outlineLevel="0" collapsed="false">
      <c r="A990" s="62" t="n">
        <v>0</v>
      </c>
      <c r="B990" s="21" t="s">
        <v>336</v>
      </c>
      <c r="C990" s="62" t="s">
        <v>60</v>
      </c>
      <c r="D990" s="62" t="s">
        <v>383</v>
      </c>
      <c r="E990" s="62" t="s">
        <v>72</v>
      </c>
      <c r="F990" s="62" t="s">
        <v>382</v>
      </c>
      <c r="G990" s="63" t="s">
        <v>406</v>
      </c>
      <c r="H990" s="64" t="n">
        <v>0</v>
      </c>
      <c r="I990" s="62" t="s">
        <v>81</v>
      </c>
      <c r="J990" s="64" t="n">
        <v>0</v>
      </c>
      <c r="K990" s="62" t="s">
        <v>138</v>
      </c>
      <c r="L990" s="68" t="b">
        <f aca="false">TRUE()</f>
        <v>1</v>
      </c>
    </row>
    <row r="991" customFormat="false" ht="15" hidden="false" customHeight="false" outlineLevel="0" collapsed="false">
      <c r="A991" s="62" t="n">
        <v>0</v>
      </c>
      <c r="B991" s="21" t="s">
        <v>336</v>
      </c>
      <c r="C991" s="62" t="s">
        <v>60</v>
      </c>
      <c r="D991" s="62" t="s">
        <v>384</v>
      </c>
      <c r="E991" s="62" t="s">
        <v>72</v>
      </c>
      <c r="F991" s="62" t="s">
        <v>382</v>
      </c>
      <c r="G991" s="63" t="s">
        <v>406</v>
      </c>
      <c r="H991" s="64" t="n">
        <v>0</v>
      </c>
      <c r="I991" s="62" t="s">
        <v>81</v>
      </c>
      <c r="J991" s="64" t="n">
        <v>0</v>
      </c>
      <c r="K991" s="62" t="s">
        <v>138</v>
      </c>
      <c r="L991" s="68" t="b">
        <f aca="false">TRUE()</f>
        <v>1</v>
      </c>
    </row>
    <row r="992" customFormat="false" ht="15" hidden="false" customHeight="false" outlineLevel="0" collapsed="false">
      <c r="A992" s="62" t="n">
        <v>0</v>
      </c>
      <c r="B992" s="21" t="s">
        <v>336</v>
      </c>
      <c r="C992" s="62" t="s">
        <v>60</v>
      </c>
      <c r="D992" s="62" t="s">
        <v>385</v>
      </c>
      <c r="E992" s="62" t="s">
        <v>72</v>
      </c>
      <c r="F992" s="62" t="s">
        <v>382</v>
      </c>
      <c r="G992" s="63" t="s">
        <v>406</v>
      </c>
      <c r="H992" s="64" t="n">
        <v>0</v>
      </c>
      <c r="I992" s="62" t="s">
        <v>81</v>
      </c>
      <c r="J992" s="64" t="n">
        <v>0</v>
      </c>
      <c r="K992" s="62" t="s">
        <v>138</v>
      </c>
      <c r="L992" s="68" t="b">
        <f aca="false">TRUE()</f>
        <v>1</v>
      </c>
    </row>
    <row r="993" customFormat="false" ht="15" hidden="false" customHeight="false" outlineLevel="0" collapsed="false">
      <c r="A993" s="62" t="n">
        <v>0</v>
      </c>
      <c r="B993" s="21" t="s">
        <v>336</v>
      </c>
      <c r="C993" s="62" t="s">
        <v>60</v>
      </c>
      <c r="D993" s="62" t="s">
        <v>386</v>
      </c>
      <c r="E993" s="62" t="s">
        <v>72</v>
      </c>
      <c r="F993" s="62" t="s">
        <v>382</v>
      </c>
      <c r="G993" s="63" t="s">
        <v>406</v>
      </c>
      <c r="H993" s="64" t="n">
        <v>0</v>
      </c>
      <c r="I993" s="62" t="s">
        <v>81</v>
      </c>
      <c r="J993" s="64" t="n">
        <v>0</v>
      </c>
      <c r="K993" s="62" t="s">
        <v>138</v>
      </c>
      <c r="L993" s="68" t="b">
        <f aca="false">TRUE()</f>
        <v>1</v>
      </c>
    </row>
    <row r="994" customFormat="false" ht="15" hidden="false" customHeight="false" outlineLevel="0" collapsed="false">
      <c r="A994" s="62" t="n">
        <v>0</v>
      </c>
      <c r="B994" s="21" t="s">
        <v>336</v>
      </c>
      <c r="C994" s="62" t="s">
        <v>60</v>
      </c>
      <c r="D994" s="62" t="s">
        <v>387</v>
      </c>
      <c r="E994" s="62" t="s">
        <v>72</v>
      </c>
      <c r="F994" s="62" t="s">
        <v>382</v>
      </c>
      <c r="G994" s="63" t="s">
        <v>406</v>
      </c>
      <c r="H994" s="64" t="n">
        <v>0</v>
      </c>
      <c r="I994" s="62" t="s">
        <v>81</v>
      </c>
      <c r="J994" s="64" t="n">
        <v>0</v>
      </c>
      <c r="K994" s="62" t="s">
        <v>138</v>
      </c>
      <c r="L994" s="68" t="b">
        <f aca="false">TRUE()</f>
        <v>1</v>
      </c>
    </row>
    <row r="995" customFormat="false" ht="15" hidden="false" customHeight="false" outlineLevel="0" collapsed="false">
      <c r="A995" s="62" t="n">
        <v>0</v>
      </c>
      <c r="B995" s="21" t="s">
        <v>336</v>
      </c>
      <c r="C995" s="62" t="s">
        <v>60</v>
      </c>
      <c r="D995" s="62" t="s">
        <v>388</v>
      </c>
      <c r="E995" s="62" t="s">
        <v>72</v>
      </c>
      <c r="F995" s="62" t="s">
        <v>382</v>
      </c>
      <c r="G995" s="63" t="s">
        <v>406</v>
      </c>
      <c r="H995" s="64" t="n">
        <v>0</v>
      </c>
      <c r="I995" s="62" t="s">
        <v>81</v>
      </c>
      <c r="J995" s="64" t="n">
        <v>0</v>
      </c>
      <c r="K995" s="62" t="s">
        <v>138</v>
      </c>
      <c r="L995" s="68" t="b">
        <f aca="false">TRUE()</f>
        <v>1</v>
      </c>
    </row>
    <row r="996" customFormat="false" ht="15" hidden="false" customHeight="false" outlineLevel="0" collapsed="false">
      <c r="A996" s="62" t="n">
        <v>0</v>
      </c>
      <c r="B996" s="21" t="s">
        <v>336</v>
      </c>
      <c r="C996" s="62" t="s">
        <v>60</v>
      </c>
      <c r="D996" s="62" t="s">
        <v>381</v>
      </c>
      <c r="E996" s="62" t="s">
        <v>72</v>
      </c>
      <c r="F996" s="62" t="s">
        <v>382</v>
      </c>
      <c r="G996" s="63" t="s">
        <v>407</v>
      </c>
      <c r="H996" s="64" t="n">
        <v>814263686.52734</v>
      </c>
      <c r="I996" s="62" t="s">
        <v>81</v>
      </c>
      <c r="J996" s="64" t="n">
        <v>814263.68652734</v>
      </c>
      <c r="K996" s="62" t="s">
        <v>138</v>
      </c>
      <c r="L996" s="68" t="b">
        <f aca="false">TRUE()</f>
        <v>1</v>
      </c>
    </row>
    <row r="997" customFormat="false" ht="15" hidden="false" customHeight="false" outlineLevel="0" collapsed="false">
      <c r="A997" s="62" t="n">
        <v>0</v>
      </c>
      <c r="B997" s="21" t="s">
        <v>336</v>
      </c>
      <c r="C997" s="62" t="s">
        <v>60</v>
      </c>
      <c r="D997" s="62" t="s">
        <v>383</v>
      </c>
      <c r="E997" s="62" t="s">
        <v>72</v>
      </c>
      <c r="F997" s="62" t="s">
        <v>382</v>
      </c>
      <c r="G997" s="63" t="s">
        <v>407</v>
      </c>
      <c r="H997" s="64" t="n">
        <v>814263686.52734</v>
      </c>
      <c r="I997" s="62" t="s">
        <v>81</v>
      </c>
      <c r="J997" s="64" t="n">
        <v>814263.68652734</v>
      </c>
      <c r="K997" s="62" t="s">
        <v>138</v>
      </c>
      <c r="L997" s="68" t="b">
        <f aca="false">TRUE()</f>
        <v>1</v>
      </c>
    </row>
    <row r="998" customFormat="false" ht="15" hidden="false" customHeight="false" outlineLevel="0" collapsed="false">
      <c r="A998" s="62" t="n">
        <v>0</v>
      </c>
      <c r="B998" s="21" t="s">
        <v>336</v>
      </c>
      <c r="C998" s="62" t="s">
        <v>60</v>
      </c>
      <c r="D998" s="62" t="s">
        <v>384</v>
      </c>
      <c r="E998" s="62" t="s">
        <v>72</v>
      </c>
      <c r="F998" s="62" t="s">
        <v>382</v>
      </c>
      <c r="G998" s="63" t="s">
        <v>407</v>
      </c>
      <c r="H998" s="64" t="n">
        <v>814263686.52734</v>
      </c>
      <c r="I998" s="62" t="s">
        <v>81</v>
      </c>
      <c r="J998" s="64" t="n">
        <v>814263.68652734</v>
      </c>
      <c r="K998" s="62" t="s">
        <v>138</v>
      </c>
      <c r="L998" s="68" t="b">
        <f aca="false">TRUE()</f>
        <v>1</v>
      </c>
    </row>
    <row r="999" customFormat="false" ht="15" hidden="false" customHeight="false" outlineLevel="0" collapsed="false">
      <c r="A999" s="62" t="n">
        <v>0</v>
      </c>
      <c r="B999" s="21" t="s">
        <v>336</v>
      </c>
      <c r="C999" s="62" t="s">
        <v>60</v>
      </c>
      <c r="D999" s="62" t="s">
        <v>385</v>
      </c>
      <c r="E999" s="62" t="s">
        <v>72</v>
      </c>
      <c r="F999" s="62" t="s">
        <v>382</v>
      </c>
      <c r="G999" s="63" t="s">
        <v>407</v>
      </c>
      <c r="H999" s="64" t="n">
        <v>814263686.52734</v>
      </c>
      <c r="I999" s="62" t="s">
        <v>81</v>
      </c>
      <c r="J999" s="64" t="n">
        <v>814263.68652734</v>
      </c>
      <c r="K999" s="62" t="s">
        <v>138</v>
      </c>
      <c r="L999" s="68" t="b">
        <f aca="false">TRUE()</f>
        <v>1</v>
      </c>
    </row>
    <row r="1000" customFormat="false" ht="15" hidden="false" customHeight="false" outlineLevel="0" collapsed="false">
      <c r="A1000" s="62" t="n">
        <v>0</v>
      </c>
      <c r="B1000" s="21" t="s">
        <v>336</v>
      </c>
      <c r="C1000" s="62" t="s">
        <v>60</v>
      </c>
      <c r="D1000" s="62" t="s">
        <v>386</v>
      </c>
      <c r="E1000" s="62" t="s">
        <v>72</v>
      </c>
      <c r="F1000" s="62" t="s">
        <v>382</v>
      </c>
      <c r="G1000" s="63" t="s">
        <v>407</v>
      </c>
      <c r="H1000" s="64" t="n">
        <v>814263686.52734</v>
      </c>
      <c r="I1000" s="62" t="s">
        <v>81</v>
      </c>
      <c r="J1000" s="64" t="n">
        <v>814263.68652734</v>
      </c>
      <c r="K1000" s="62" t="s">
        <v>138</v>
      </c>
      <c r="L1000" s="68" t="b">
        <f aca="false">TRUE()</f>
        <v>1</v>
      </c>
    </row>
    <row r="1001" customFormat="false" ht="15" hidden="false" customHeight="false" outlineLevel="0" collapsed="false">
      <c r="A1001" s="62" t="n">
        <v>0</v>
      </c>
      <c r="B1001" s="21" t="s">
        <v>336</v>
      </c>
      <c r="C1001" s="62" t="s">
        <v>60</v>
      </c>
      <c r="D1001" s="62" t="s">
        <v>387</v>
      </c>
      <c r="E1001" s="62" t="s">
        <v>72</v>
      </c>
      <c r="F1001" s="62" t="s">
        <v>382</v>
      </c>
      <c r="G1001" s="63" t="s">
        <v>407</v>
      </c>
      <c r="H1001" s="64" t="n">
        <v>814263686.52734</v>
      </c>
      <c r="I1001" s="62" t="s">
        <v>81</v>
      </c>
      <c r="J1001" s="64" t="n">
        <v>814263.68652734</v>
      </c>
      <c r="K1001" s="62" t="s">
        <v>138</v>
      </c>
      <c r="L1001" s="68" t="b">
        <f aca="false">TRUE()</f>
        <v>1</v>
      </c>
    </row>
    <row r="1002" customFormat="false" ht="15" hidden="false" customHeight="false" outlineLevel="0" collapsed="false">
      <c r="A1002" s="62" t="n">
        <v>0</v>
      </c>
      <c r="B1002" s="21" t="s">
        <v>336</v>
      </c>
      <c r="C1002" s="62" t="s">
        <v>60</v>
      </c>
      <c r="D1002" s="62" t="s">
        <v>388</v>
      </c>
      <c r="E1002" s="62" t="s">
        <v>72</v>
      </c>
      <c r="F1002" s="62" t="s">
        <v>382</v>
      </c>
      <c r="G1002" s="63" t="s">
        <v>407</v>
      </c>
      <c r="H1002" s="64" t="n">
        <v>814263686.52734</v>
      </c>
      <c r="I1002" s="62" t="s">
        <v>81</v>
      </c>
      <c r="J1002" s="64" t="n">
        <v>814263.68652734</v>
      </c>
      <c r="K1002" s="62" t="s">
        <v>138</v>
      </c>
      <c r="L1002" s="68" t="b">
        <f aca="false">TRUE()</f>
        <v>1</v>
      </c>
    </row>
    <row r="1003" customFormat="false" ht="15" hidden="false" customHeight="false" outlineLevel="0" collapsed="false">
      <c r="A1003" s="62" t="n">
        <v>0</v>
      </c>
      <c r="B1003" s="21" t="s">
        <v>336</v>
      </c>
      <c r="C1003" s="62" t="s">
        <v>60</v>
      </c>
      <c r="D1003" s="62" t="s">
        <v>381</v>
      </c>
      <c r="E1003" s="62" t="s">
        <v>72</v>
      </c>
      <c r="F1003" s="62" t="s">
        <v>382</v>
      </c>
      <c r="G1003" s="63" t="s">
        <v>408</v>
      </c>
      <c r="H1003" s="64" t="n">
        <v>-5898652.71870569</v>
      </c>
      <c r="I1003" s="62" t="s">
        <v>81</v>
      </c>
      <c r="J1003" s="64" t="n">
        <v>-5898.65271870569</v>
      </c>
      <c r="K1003" s="62" t="s">
        <v>138</v>
      </c>
      <c r="L1003" s="68" t="b">
        <f aca="false">TRUE()</f>
        <v>1</v>
      </c>
    </row>
    <row r="1004" customFormat="false" ht="15" hidden="false" customHeight="false" outlineLevel="0" collapsed="false">
      <c r="A1004" s="62" t="n">
        <v>0</v>
      </c>
      <c r="B1004" s="21" t="s">
        <v>336</v>
      </c>
      <c r="C1004" s="62" t="s">
        <v>60</v>
      </c>
      <c r="D1004" s="62" t="s">
        <v>383</v>
      </c>
      <c r="E1004" s="62" t="s">
        <v>72</v>
      </c>
      <c r="F1004" s="62" t="s">
        <v>382</v>
      </c>
      <c r="G1004" s="63" t="s">
        <v>408</v>
      </c>
      <c r="H1004" s="64" t="n">
        <v>-5898652.71870569</v>
      </c>
      <c r="I1004" s="62" t="s">
        <v>81</v>
      </c>
      <c r="J1004" s="64" t="n">
        <v>-5898.65271870569</v>
      </c>
      <c r="K1004" s="62" t="s">
        <v>138</v>
      </c>
      <c r="L1004" s="68" t="b">
        <f aca="false">TRUE()</f>
        <v>1</v>
      </c>
    </row>
    <row r="1005" customFormat="false" ht="15" hidden="false" customHeight="false" outlineLevel="0" collapsed="false">
      <c r="A1005" s="62" t="n">
        <v>0</v>
      </c>
      <c r="B1005" s="21" t="s">
        <v>336</v>
      </c>
      <c r="C1005" s="62" t="s">
        <v>60</v>
      </c>
      <c r="D1005" s="62" t="s">
        <v>384</v>
      </c>
      <c r="E1005" s="62" t="s">
        <v>72</v>
      </c>
      <c r="F1005" s="62" t="s">
        <v>382</v>
      </c>
      <c r="G1005" s="63" t="s">
        <v>408</v>
      </c>
      <c r="H1005" s="64" t="n">
        <v>-5898652.71870569</v>
      </c>
      <c r="I1005" s="62" t="s">
        <v>81</v>
      </c>
      <c r="J1005" s="64" t="n">
        <v>-5898.65271870569</v>
      </c>
      <c r="K1005" s="62" t="s">
        <v>138</v>
      </c>
      <c r="L1005" s="68" t="b">
        <f aca="false">TRUE()</f>
        <v>1</v>
      </c>
    </row>
    <row r="1006" customFormat="false" ht="15" hidden="false" customHeight="false" outlineLevel="0" collapsed="false">
      <c r="A1006" s="62" t="n">
        <v>0</v>
      </c>
      <c r="B1006" s="21" t="s">
        <v>336</v>
      </c>
      <c r="C1006" s="62" t="s">
        <v>60</v>
      </c>
      <c r="D1006" s="62" t="s">
        <v>385</v>
      </c>
      <c r="E1006" s="62" t="s">
        <v>72</v>
      </c>
      <c r="F1006" s="62" t="s">
        <v>382</v>
      </c>
      <c r="G1006" s="63" t="s">
        <v>408</v>
      </c>
      <c r="H1006" s="64" t="n">
        <v>-5898652.71870569</v>
      </c>
      <c r="I1006" s="62" t="s">
        <v>81</v>
      </c>
      <c r="J1006" s="64" t="n">
        <v>-5898.65271870569</v>
      </c>
      <c r="K1006" s="62" t="s">
        <v>138</v>
      </c>
      <c r="L1006" s="68" t="b">
        <f aca="false">TRUE()</f>
        <v>1</v>
      </c>
    </row>
    <row r="1007" customFormat="false" ht="15" hidden="false" customHeight="false" outlineLevel="0" collapsed="false">
      <c r="A1007" s="62" t="n">
        <v>0</v>
      </c>
      <c r="B1007" s="21" t="s">
        <v>336</v>
      </c>
      <c r="C1007" s="62" t="s">
        <v>60</v>
      </c>
      <c r="D1007" s="62" t="s">
        <v>386</v>
      </c>
      <c r="E1007" s="62" t="s">
        <v>72</v>
      </c>
      <c r="F1007" s="62" t="s">
        <v>382</v>
      </c>
      <c r="G1007" s="63" t="s">
        <v>408</v>
      </c>
      <c r="H1007" s="64" t="n">
        <v>-5898652.71870569</v>
      </c>
      <c r="I1007" s="62" t="s">
        <v>81</v>
      </c>
      <c r="J1007" s="64" t="n">
        <v>-5898.65271870569</v>
      </c>
      <c r="K1007" s="62" t="s">
        <v>138</v>
      </c>
      <c r="L1007" s="68" t="b">
        <f aca="false">TRUE()</f>
        <v>1</v>
      </c>
    </row>
    <row r="1008" customFormat="false" ht="15" hidden="false" customHeight="false" outlineLevel="0" collapsed="false">
      <c r="A1008" s="62" t="n">
        <v>0</v>
      </c>
      <c r="B1008" s="21" t="s">
        <v>336</v>
      </c>
      <c r="C1008" s="62" t="s">
        <v>60</v>
      </c>
      <c r="D1008" s="62" t="s">
        <v>387</v>
      </c>
      <c r="E1008" s="62" t="s">
        <v>72</v>
      </c>
      <c r="F1008" s="62" t="s">
        <v>382</v>
      </c>
      <c r="G1008" s="63" t="s">
        <v>408</v>
      </c>
      <c r="H1008" s="64" t="n">
        <v>-5898652.71870569</v>
      </c>
      <c r="I1008" s="62" t="s">
        <v>81</v>
      </c>
      <c r="J1008" s="64" t="n">
        <v>-5898.65271870569</v>
      </c>
      <c r="K1008" s="62" t="s">
        <v>138</v>
      </c>
      <c r="L1008" s="68" t="b">
        <f aca="false">TRUE()</f>
        <v>1</v>
      </c>
    </row>
    <row r="1009" customFormat="false" ht="15" hidden="false" customHeight="false" outlineLevel="0" collapsed="false">
      <c r="A1009" s="62" t="n">
        <v>0</v>
      </c>
      <c r="B1009" s="21" t="s">
        <v>336</v>
      </c>
      <c r="C1009" s="62" t="s">
        <v>60</v>
      </c>
      <c r="D1009" s="62" t="s">
        <v>388</v>
      </c>
      <c r="E1009" s="62" t="s">
        <v>72</v>
      </c>
      <c r="F1009" s="62" t="s">
        <v>382</v>
      </c>
      <c r="G1009" s="63" t="s">
        <v>408</v>
      </c>
      <c r="H1009" s="64" t="n">
        <v>-5898652.71870569</v>
      </c>
      <c r="I1009" s="62" t="s">
        <v>81</v>
      </c>
      <c r="J1009" s="64" t="n">
        <v>-5898.65271870569</v>
      </c>
      <c r="K1009" s="62" t="s">
        <v>138</v>
      </c>
      <c r="L1009" s="68" t="b">
        <f aca="false">TRUE()</f>
        <v>1</v>
      </c>
    </row>
    <row r="1010" customFormat="false" ht="15" hidden="false" customHeight="false" outlineLevel="0" collapsed="false">
      <c r="A1010" s="62" t="n">
        <v>0</v>
      </c>
      <c r="B1010" s="21" t="s">
        <v>336</v>
      </c>
      <c r="C1010" s="62" t="s">
        <v>60</v>
      </c>
      <c r="D1010" s="62" t="s">
        <v>381</v>
      </c>
      <c r="E1010" s="62" t="s">
        <v>72</v>
      </c>
      <c r="F1010" s="62" t="s">
        <v>382</v>
      </c>
      <c r="G1010" s="63" t="s">
        <v>409</v>
      </c>
      <c r="H1010" s="64" t="n">
        <v>820162339.246045</v>
      </c>
      <c r="I1010" s="62" t="s">
        <v>81</v>
      </c>
      <c r="J1010" s="64" t="n">
        <v>820162.339246045</v>
      </c>
      <c r="K1010" s="62" t="s">
        <v>138</v>
      </c>
      <c r="L1010" s="68" t="b">
        <f aca="false">TRUE()</f>
        <v>1</v>
      </c>
    </row>
    <row r="1011" customFormat="false" ht="15" hidden="false" customHeight="false" outlineLevel="0" collapsed="false">
      <c r="A1011" s="62" t="n">
        <v>0</v>
      </c>
      <c r="B1011" s="21" t="s">
        <v>336</v>
      </c>
      <c r="C1011" s="62" t="s">
        <v>60</v>
      </c>
      <c r="D1011" s="62" t="s">
        <v>383</v>
      </c>
      <c r="E1011" s="62" t="s">
        <v>72</v>
      </c>
      <c r="F1011" s="62" t="s">
        <v>382</v>
      </c>
      <c r="G1011" s="63" t="s">
        <v>409</v>
      </c>
      <c r="H1011" s="64" t="n">
        <v>820162339.246045</v>
      </c>
      <c r="I1011" s="62" t="s">
        <v>81</v>
      </c>
      <c r="J1011" s="64" t="n">
        <v>820162.339246045</v>
      </c>
      <c r="K1011" s="62" t="s">
        <v>138</v>
      </c>
      <c r="L1011" s="68" t="b">
        <f aca="false">TRUE()</f>
        <v>1</v>
      </c>
    </row>
    <row r="1012" customFormat="false" ht="15" hidden="false" customHeight="false" outlineLevel="0" collapsed="false">
      <c r="A1012" s="62" t="n">
        <v>0</v>
      </c>
      <c r="B1012" s="21" t="s">
        <v>336</v>
      </c>
      <c r="C1012" s="62" t="s">
        <v>60</v>
      </c>
      <c r="D1012" s="62" t="s">
        <v>384</v>
      </c>
      <c r="E1012" s="62" t="s">
        <v>72</v>
      </c>
      <c r="F1012" s="62" t="s">
        <v>382</v>
      </c>
      <c r="G1012" s="63" t="s">
        <v>409</v>
      </c>
      <c r="H1012" s="64" t="n">
        <v>820162339.246045</v>
      </c>
      <c r="I1012" s="62" t="s">
        <v>81</v>
      </c>
      <c r="J1012" s="64" t="n">
        <v>820162.339246045</v>
      </c>
      <c r="K1012" s="62" t="s">
        <v>138</v>
      </c>
      <c r="L1012" s="68" t="b">
        <f aca="false">TRUE()</f>
        <v>1</v>
      </c>
    </row>
    <row r="1013" customFormat="false" ht="15" hidden="false" customHeight="false" outlineLevel="0" collapsed="false">
      <c r="A1013" s="62" t="n">
        <v>0</v>
      </c>
      <c r="B1013" s="21" t="s">
        <v>336</v>
      </c>
      <c r="C1013" s="62" t="s">
        <v>60</v>
      </c>
      <c r="D1013" s="62" t="s">
        <v>385</v>
      </c>
      <c r="E1013" s="62" t="s">
        <v>72</v>
      </c>
      <c r="F1013" s="62" t="s">
        <v>382</v>
      </c>
      <c r="G1013" s="63" t="s">
        <v>409</v>
      </c>
      <c r="H1013" s="64" t="n">
        <v>820162339.246045</v>
      </c>
      <c r="I1013" s="62" t="s">
        <v>81</v>
      </c>
      <c r="J1013" s="64" t="n">
        <v>820162.339246045</v>
      </c>
      <c r="K1013" s="62" t="s">
        <v>138</v>
      </c>
      <c r="L1013" s="68" t="b">
        <f aca="false">TRUE()</f>
        <v>1</v>
      </c>
    </row>
    <row r="1014" customFormat="false" ht="15" hidden="false" customHeight="false" outlineLevel="0" collapsed="false">
      <c r="A1014" s="62" t="n">
        <v>0</v>
      </c>
      <c r="B1014" s="21" t="s">
        <v>336</v>
      </c>
      <c r="C1014" s="62" t="s">
        <v>60</v>
      </c>
      <c r="D1014" s="62" t="s">
        <v>386</v>
      </c>
      <c r="E1014" s="62" t="s">
        <v>72</v>
      </c>
      <c r="F1014" s="62" t="s">
        <v>382</v>
      </c>
      <c r="G1014" s="63" t="s">
        <v>409</v>
      </c>
      <c r="H1014" s="64" t="n">
        <v>820162339.246045</v>
      </c>
      <c r="I1014" s="62" t="s">
        <v>81</v>
      </c>
      <c r="J1014" s="64" t="n">
        <v>820162.339246045</v>
      </c>
      <c r="K1014" s="62" t="s">
        <v>138</v>
      </c>
      <c r="L1014" s="68" t="b">
        <f aca="false">TRUE()</f>
        <v>1</v>
      </c>
    </row>
    <row r="1015" customFormat="false" ht="15" hidden="false" customHeight="false" outlineLevel="0" collapsed="false">
      <c r="A1015" s="62" t="n">
        <v>0</v>
      </c>
      <c r="B1015" s="21" t="s">
        <v>336</v>
      </c>
      <c r="C1015" s="62" t="s">
        <v>60</v>
      </c>
      <c r="D1015" s="62" t="s">
        <v>387</v>
      </c>
      <c r="E1015" s="62" t="s">
        <v>72</v>
      </c>
      <c r="F1015" s="62" t="s">
        <v>382</v>
      </c>
      <c r="G1015" s="63" t="s">
        <v>409</v>
      </c>
      <c r="H1015" s="64" t="n">
        <v>820162339.246045</v>
      </c>
      <c r="I1015" s="62" t="s">
        <v>81</v>
      </c>
      <c r="J1015" s="64" t="n">
        <v>820162.339246045</v>
      </c>
      <c r="K1015" s="62" t="s">
        <v>138</v>
      </c>
      <c r="L1015" s="68" t="b">
        <f aca="false">TRUE()</f>
        <v>1</v>
      </c>
    </row>
    <row r="1016" customFormat="false" ht="15" hidden="false" customHeight="false" outlineLevel="0" collapsed="false">
      <c r="A1016" s="62" t="n">
        <v>0</v>
      </c>
      <c r="B1016" s="21" t="s">
        <v>336</v>
      </c>
      <c r="C1016" s="62" t="s">
        <v>60</v>
      </c>
      <c r="D1016" s="62" t="s">
        <v>388</v>
      </c>
      <c r="E1016" s="62" t="s">
        <v>72</v>
      </c>
      <c r="F1016" s="62" t="s">
        <v>382</v>
      </c>
      <c r="G1016" s="63" t="s">
        <v>409</v>
      </c>
      <c r="H1016" s="64" t="n">
        <v>820162339.246045</v>
      </c>
      <c r="I1016" s="62" t="s">
        <v>81</v>
      </c>
      <c r="J1016" s="64" t="n">
        <v>820162.339246045</v>
      </c>
      <c r="K1016" s="62" t="s">
        <v>138</v>
      </c>
      <c r="L1016" s="68" t="b">
        <f aca="false">TRUE()</f>
        <v>1</v>
      </c>
    </row>
    <row r="1017" customFormat="false" ht="15" hidden="false" customHeight="false" outlineLevel="0" collapsed="false">
      <c r="A1017" s="62" t="n">
        <v>0</v>
      </c>
      <c r="B1017" s="21" t="s">
        <v>336</v>
      </c>
      <c r="C1017" s="62" t="s">
        <v>60</v>
      </c>
      <c r="D1017" s="62" t="s">
        <v>381</v>
      </c>
      <c r="E1017" s="62" t="s">
        <v>72</v>
      </c>
      <c r="F1017" s="62" t="s">
        <v>382</v>
      </c>
      <c r="G1017" s="63" t="s">
        <v>410</v>
      </c>
      <c r="H1017" s="64" t="n">
        <v>221443831.596432</v>
      </c>
      <c r="I1017" s="62" t="s">
        <v>81</v>
      </c>
      <c r="J1017" s="64" t="n">
        <v>221443.831596432</v>
      </c>
      <c r="K1017" s="62" t="s">
        <v>138</v>
      </c>
      <c r="L1017" s="68" t="b">
        <f aca="false">TRUE()</f>
        <v>1</v>
      </c>
    </row>
    <row r="1018" customFormat="false" ht="15" hidden="false" customHeight="false" outlineLevel="0" collapsed="false">
      <c r="A1018" s="62" t="n">
        <v>0</v>
      </c>
      <c r="B1018" s="21" t="s">
        <v>336</v>
      </c>
      <c r="C1018" s="62" t="s">
        <v>60</v>
      </c>
      <c r="D1018" s="62" t="s">
        <v>383</v>
      </c>
      <c r="E1018" s="62" t="s">
        <v>72</v>
      </c>
      <c r="F1018" s="62" t="s">
        <v>382</v>
      </c>
      <c r="G1018" s="63" t="s">
        <v>410</v>
      </c>
      <c r="H1018" s="64" t="n">
        <v>221443831.596432</v>
      </c>
      <c r="I1018" s="62" t="s">
        <v>81</v>
      </c>
      <c r="J1018" s="64" t="n">
        <v>221443.831596432</v>
      </c>
      <c r="K1018" s="62" t="s">
        <v>138</v>
      </c>
      <c r="L1018" s="68" t="b">
        <f aca="false">TRUE()</f>
        <v>1</v>
      </c>
    </row>
    <row r="1019" customFormat="false" ht="15" hidden="false" customHeight="false" outlineLevel="0" collapsed="false">
      <c r="A1019" s="62" t="n">
        <v>0</v>
      </c>
      <c r="B1019" s="21" t="s">
        <v>336</v>
      </c>
      <c r="C1019" s="62" t="s">
        <v>60</v>
      </c>
      <c r="D1019" s="62" t="s">
        <v>384</v>
      </c>
      <c r="E1019" s="62" t="s">
        <v>72</v>
      </c>
      <c r="F1019" s="62" t="s">
        <v>382</v>
      </c>
      <c r="G1019" s="63" t="s">
        <v>410</v>
      </c>
      <c r="H1019" s="64" t="n">
        <v>221443831.596432</v>
      </c>
      <c r="I1019" s="62" t="s">
        <v>81</v>
      </c>
      <c r="J1019" s="64" t="n">
        <v>221443.831596432</v>
      </c>
      <c r="K1019" s="62" t="s">
        <v>138</v>
      </c>
      <c r="L1019" s="68" t="b">
        <f aca="false">TRUE()</f>
        <v>1</v>
      </c>
    </row>
    <row r="1020" customFormat="false" ht="15" hidden="false" customHeight="false" outlineLevel="0" collapsed="false">
      <c r="A1020" s="62" t="n">
        <v>0</v>
      </c>
      <c r="B1020" s="21" t="s">
        <v>336</v>
      </c>
      <c r="C1020" s="62" t="s">
        <v>60</v>
      </c>
      <c r="D1020" s="62" t="s">
        <v>385</v>
      </c>
      <c r="E1020" s="62" t="s">
        <v>72</v>
      </c>
      <c r="F1020" s="62" t="s">
        <v>382</v>
      </c>
      <c r="G1020" s="63" t="s">
        <v>410</v>
      </c>
      <c r="H1020" s="64" t="n">
        <v>221443831.596432</v>
      </c>
      <c r="I1020" s="62" t="s">
        <v>81</v>
      </c>
      <c r="J1020" s="64" t="n">
        <v>221443.831596432</v>
      </c>
      <c r="K1020" s="62" t="s">
        <v>138</v>
      </c>
      <c r="L1020" s="68" t="b">
        <f aca="false">TRUE()</f>
        <v>1</v>
      </c>
    </row>
    <row r="1021" customFormat="false" ht="15" hidden="false" customHeight="false" outlineLevel="0" collapsed="false">
      <c r="A1021" s="62" t="n">
        <v>0</v>
      </c>
      <c r="B1021" s="21" t="s">
        <v>336</v>
      </c>
      <c r="C1021" s="62" t="s">
        <v>60</v>
      </c>
      <c r="D1021" s="62" t="s">
        <v>386</v>
      </c>
      <c r="E1021" s="62" t="s">
        <v>72</v>
      </c>
      <c r="F1021" s="62" t="s">
        <v>382</v>
      </c>
      <c r="G1021" s="63" t="s">
        <v>410</v>
      </c>
      <c r="H1021" s="64" t="n">
        <v>221443831.596432</v>
      </c>
      <c r="I1021" s="62" t="s">
        <v>81</v>
      </c>
      <c r="J1021" s="64" t="n">
        <v>221443.831596432</v>
      </c>
      <c r="K1021" s="62" t="s">
        <v>138</v>
      </c>
      <c r="L1021" s="68" t="b">
        <f aca="false">TRUE()</f>
        <v>1</v>
      </c>
    </row>
    <row r="1022" customFormat="false" ht="15" hidden="false" customHeight="false" outlineLevel="0" collapsed="false">
      <c r="A1022" s="62" t="n">
        <v>0</v>
      </c>
      <c r="B1022" s="21" t="s">
        <v>336</v>
      </c>
      <c r="C1022" s="62" t="s">
        <v>60</v>
      </c>
      <c r="D1022" s="62" t="s">
        <v>387</v>
      </c>
      <c r="E1022" s="62" t="s">
        <v>72</v>
      </c>
      <c r="F1022" s="62" t="s">
        <v>382</v>
      </c>
      <c r="G1022" s="63" t="s">
        <v>410</v>
      </c>
      <c r="H1022" s="64" t="n">
        <v>221443831.596432</v>
      </c>
      <c r="I1022" s="62" t="s">
        <v>81</v>
      </c>
      <c r="J1022" s="64" t="n">
        <v>221443.831596432</v>
      </c>
      <c r="K1022" s="62" t="s">
        <v>138</v>
      </c>
      <c r="L1022" s="68" t="b">
        <f aca="false">TRUE()</f>
        <v>1</v>
      </c>
    </row>
    <row r="1023" customFormat="false" ht="15" hidden="false" customHeight="false" outlineLevel="0" collapsed="false">
      <c r="A1023" s="62" t="n">
        <v>0</v>
      </c>
      <c r="B1023" s="21" t="s">
        <v>336</v>
      </c>
      <c r="C1023" s="62" t="s">
        <v>60</v>
      </c>
      <c r="D1023" s="62" t="s">
        <v>388</v>
      </c>
      <c r="E1023" s="62" t="s">
        <v>72</v>
      </c>
      <c r="F1023" s="62" t="s">
        <v>382</v>
      </c>
      <c r="G1023" s="63" t="s">
        <v>410</v>
      </c>
      <c r="H1023" s="64" t="n">
        <v>221443831.596432</v>
      </c>
      <c r="I1023" s="62" t="s">
        <v>81</v>
      </c>
      <c r="J1023" s="64" t="n">
        <v>221443.831596432</v>
      </c>
      <c r="K1023" s="62" t="s">
        <v>138</v>
      </c>
      <c r="L1023" s="68" t="b">
        <f aca="false">TRUE()</f>
        <v>1</v>
      </c>
    </row>
    <row r="1024" customFormat="false" ht="15" hidden="false" customHeight="false" outlineLevel="0" collapsed="false">
      <c r="A1024" s="62" t="n">
        <v>0</v>
      </c>
      <c r="B1024" s="21" t="s">
        <v>336</v>
      </c>
      <c r="C1024" s="62" t="s">
        <v>60</v>
      </c>
      <c r="D1024" s="62" t="s">
        <v>381</v>
      </c>
      <c r="E1024" s="62" t="s">
        <v>72</v>
      </c>
      <c r="F1024" s="62" t="s">
        <v>382</v>
      </c>
      <c r="G1024" s="63" t="s">
        <v>411</v>
      </c>
      <c r="H1024" s="64" t="n">
        <v>598718507.649613</v>
      </c>
      <c r="I1024" s="62" t="s">
        <v>81</v>
      </c>
      <c r="J1024" s="64" t="n">
        <v>598718.507649613</v>
      </c>
      <c r="K1024" s="62" t="s">
        <v>138</v>
      </c>
      <c r="L1024" s="68" t="b">
        <f aca="false">TRUE()</f>
        <v>1</v>
      </c>
    </row>
    <row r="1025" customFormat="false" ht="15" hidden="false" customHeight="false" outlineLevel="0" collapsed="false">
      <c r="A1025" s="62" t="n">
        <v>0</v>
      </c>
      <c r="B1025" s="21" t="s">
        <v>336</v>
      </c>
      <c r="C1025" s="62" t="s">
        <v>60</v>
      </c>
      <c r="D1025" s="62" t="s">
        <v>383</v>
      </c>
      <c r="E1025" s="62" t="s">
        <v>72</v>
      </c>
      <c r="F1025" s="62" t="s">
        <v>382</v>
      </c>
      <c r="G1025" s="63" t="s">
        <v>411</v>
      </c>
      <c r="H1025" s="64" t="n">
        <v>598718507.649613</v>
      </c>
      <c r="I1025" s="62" t="s">
        <v>81</v>
      </c>
      <c r="J1025" s="64" t="n">
        <v>598718.507649613</v>
      </c>
      <c r="K1025" s="62" t="s">
        <v>138</v>
      </c>
      <c r="L1025" s="68" t="b">
        <f aca="false">TRUE()</f>
        <v>1</v>
      </c>
    </row>
    <row r="1026" customFormat="false" ht="15" hidden="false" customHeight="false" outlineLevel="0" collapsed="false">
      <c r="A1026" s="62" t="n">
        <v>0</v>
      </c>
      <c r="B1026" s="21" t="s">
        <v>336</v>
      </c>
      <c r="C1026" s="62" t="s">
        <v>60</v>
      </c>
      <c r="D1026" s="62" t="s">
        <v>384</v>
      </c>
      <c r="E1026" s="62" t="s">
        <v>72</v>
      </c>
      <c r="F1026" s="62" t="s">
        <v>382</v>
      </c>
      <c r="G1026" s="63" t="s">
        <v>411</v>
      </c>
      <c r="H1026" s="64" t="n">
        <v>598718507.649613</v>
      </c>
      <c r="I1026" s="62" t="s">
        <v>81</v>
      </c>
      <c r="J1026" s="64" t="n">
        <v>598718.507649613</v>
      </c>
      <c r="K1026" s="62" t="s">
        <v>138</v>
      </c>
      <c r="L1026" s="68" t="b">
        <f aca="false">TRUE()</f>
        <v>1</v>
      </c>
    </row>
    <row r="1027" customFormat="false" ht="15" hidden="false" customHeight="false" outlineLevel="0" collapsed="false">
      <c r="A1027" s="62" t="n">
        <v>0</v>
      </c>
      <c r="B1027" s="21" t="s">
        <v>336</v>
      </c>
      <c r="C1027" s="62" t="s">
        <v>60</v>
      </c>
      <c r="D1027" s="62" t="s">
        <v>385</v>
      </c>
      <c r="E1027" s="62" t="s">
        <v>72</v>
      </c>
      <c r="F1027" s="62" t="s">
        <v>382</v>
      </c>
      <c r="G1027" s="63" t="s">
        <v>411</v>
      </c>
      <c r="H1027" s="64" t="n">
        <v>598718507.649613</v>
      </c>
      <c r="I1027" s="62" t="s">
        <v>81</v>
      </c>
      <c r="J1027" s="64" t="n">
        <v>598718.507649613</v>
      </c>
      <c r="K1027" s="62" t="s">
        <v>138</v>
      </c>
      <c r="L1027" s="68" t="b">
        <f aca="false">TRUE()</f>
        <v>1</v>
      </c>
    </row>
    <row r="1028" customFormat="false" ht="15" hidden="false" customHeight="false" outlineLevel="0" collapsed="false">
      <c r="A1028" s="62" t="n">
        <v>0</v>
      </c>
      <c r="B1028" s="21" t="s">
        <v>336</v>
      </c>
      <c r="C1028" s="62" t="s">
        <v>60</v>
      </c>
      <c r="D1028" s="62" t="s">
        <v>386</v>
      </c>
      <c r="E1028" s="62" t="s">
        <v>72</v>
      </c>
      <c r="F1028" s="62" t="s">
        <v>382</v>
      </c>
      <c r="G1028" s="63" t="s">
        <v>411</v>
      </c>
      <c r="H1028" s="64" t="n">
        <v>598718507.649613</v>
      </c>
      <c r="I1028" s="62" t="s">
        <v>81</v>
      </c>
      <c r="J1028" s="64" t="n">
        <v>598718.507649613</v>
      </c>
      <c r="K1028" s="62" t="s">
        <v>138</v>
      </c>
      <c r="L1028" s="68" t="b">
        <f aca="false">TRUE()</f>
        <v>1</v>
      </c>
    </row>
    <row r="1029" customFormat="false" ht="15" hidden="false" customHeight="false" outlineLevel="0" collapsed="false">
      <c r="A1029" s="62" t="n">
        <v>0</v>
      </c>
      <c r="B1029" s="21" t="s">
        <v>336</v>
      </c>
      <c r="C1029" s="62" t="s">
        <v>60</v>
      </c>
      <c r="D1029" s="62" t="s">
        <v>387</v>
      </c>
      <c r="E1029" s="62" t="s">
        <v>72</v>
      </c>
      <c r="F1029" s="62" t="s">
        <v>382</v>
      </c>
      <c r="G1029" s="63" t="s">
        <v>411</v>
      </c>
      <c r="H1029" s="64" t="n">
        <v>598718507.649613</v>
      </c>
      <c r="I1029" s="62" t="s">
        <v>81</v>
      </c>
      <c r="J1029" s="64" t="n">
        <v>598718.507649613</v>
      </c>
      <c r="K1029" s="62" t="s">
        <v>138</v>
      </c>
      <c r="L1029" s="68" t="b">
        <f aca="false">TRUE()</f>
        <v>1</v>
      </c>
    </row>
    <row r="1030" customFormat="false" ht="15" hidden="false" customHeight="false" outlineLevel="0" collapsed="false">
      <c r="A1030" s="62" t="n">
        <v>0</v>
      </c>
      <c r="B1030" s="21" t="s">
        <v>336</v>
      </c>
      <c r="C1030" s="62" t="s">
        <v>60</v>
      </c>
      <c r="D1030" s="62" t="s">
        <v>388</v>
      </c>
      <c r="E1030" s="62" t="s">
        <v>72</v>
      </c>
      <c r="F1030" s="62" t="s">
        <v>382</v>
      </c>
      <c r="G1030" s="63" t="s">
        <v>411</v>
      </c>
      <c r="H1030" s="64" t="n">
        <v>598718507.649613</v>
      </c>
      <c r="I1030" s="62" t="s">
        <v>81</v>
      </c>
      <c r="J1030" s="64" t="n">
        <v>598718.507649613</v>
      </c>
      <c r="K1030" s="62" t="s">
        <v>138</v>
      </c>
      <c r="L1030" s="68" t="b">
        <f aca="false">TRUE()</f>
        <v>1</v>
      </c>
    </row>
    <row r="1031" customFormat="false" ht="15" hidden="false" customHeight="false" outlineLevel="0" collapsed="false">
      <c r="A1031" s="62" t="n">
        <v>0</v>
      </c>
      <c r="B1031" s="21" t="s">
        <v>336</v>
      </c>
      <c r="C1031" s="62" t="s">
        <v>60</v>
      </c>
      <c r="D1031" s="62" t="s">
        <v>381</v>
      </c>
      <c r="E1031" s="62" t="s">
        <v>72</v>
      </c>
      <c r="F1031" s="62" t="s">
        <v>382</v>
      </c>
      <c r="G1031" s="63" t="s">
        <v>412</v>
      </c>
      <c r="H1031" s="64" t="n">
        <v>0</v>
      </c>
      <c r="I1031" s="62" t="s">
        <v>81</v>
      </c>
      <c r="J1031" s="64" t="n">
        <v>0</v>
      </c>
      <c r="K1031" s="62" t="s">
        <v>138</v>
      </c>
      <c r="L1031" s="68" t="b">
        <f aca="false">TRUE()</f>
        <v>1</v>
      </c>
    </row>
    <row r="1032" customFormat="false" ht="15" hidden="false" customHeight="false" outlineLevel="0" collapsed="false">
      <c r="A1032" s="62" t="n">
        <v>0</v>
      </c>
      <c r="B1032" s="21" t="s">
        <v>336</v>
      </c>
      <c r="C1032" s="62" t="s">
        <v>60</v>
      </c>
      <c r="D1032" s="62" t="s">
        <v>383</v>
      </c>
      <c r="E1032" s="62" t="s">
        <v>72</v>
      </c>
      <c r="F1032" s="62" t="s">
        <v>382</v>
      </c>
      <c r="G1032" s="63" t="s">
        <v>412</v>
      </c>
      <c r="H1032" s="64" t="n">
        <v>0</v>
      </c>
      <c r="I1032" s="62" t="s">
        <v>81</v>
      </c>
      <c r="J1032" s="64" t="n">
        <v>0</v>
      </c>
      <c r="K1032" s="62" t="s">
        <v>138</v>
      </c>
      <c r="L1032" s="68" t="b">
        <f aca="false">TRUE()</f>
        <v>1</v>
      </c>
    </row>
    <row r="1033" customFormat="false" ht="15" hidden="false" customHeight="false" outlineLevel="0" collapsed="false">
      <c r="A1033" s="62" t="n">
        <v>0</v>
      </c>
      <c r="B1033" s="21" t="s">
        <v>336</v>
      </c>
      <c r="C1033" s="62" t="s">
        <v>60</v>
      </c>
      <c r="D1033" s="62" t="s">
        <v>384</v>
      </c>
      <c r="E1033" s="62" t="s">
        <v>72</v>
      </c>
      <c r="F1033" s="62" t="s">
        <v>382</v>
      </c>
      <c r="G1033" s="63" t="s">
        <v>412</v>
      </c>
      <c r="H1033" s="64" t="n">
        <v>0</v>
      </c>
      <c r="I1033" s="62" t="s">
        <v>81</v>
      </c>
      <c r="J1033" s="64" t="n">
        <v>0</v>
      </c>
      <c r="K1033" s="62" t="s">
        <v>138</v>
      </c>
      <c r="L1033" s="68" t="b">
        <f aca="false">TRUE()</f>
        <v>1</v>
      </c>
    </row>
    <row r="1034" customFormat="false" ht="15" hidden="false" customHeight="false" outlineLevel="0" collapsed="false">
      <c r="A1034" s="62" t="n">
        <v>0</v>
      </c>
      <c r="B1034" s="21" t="s">
        <v>336</v>
      </c>
      <c r="C1034" s="62" t="s">
        <v>60</v>
      </c>
      <c r="D1034" s="62" t="s">
        <v>385</v>
      </c>
      <c r="E1034" s="62" t="s">
        <v>72</v>
      </c>
      <c r="F1034" s="62" t="s">
        <v>382</v>
      </c>
      <c r="G1034" s="63" t="s">
        <v>412</v>
      </c>
      <c r="H1034" s="64" t="n">
        <v>0</v>
      </c>
      <c r="I1034" s="62" t="s">
        <v>81</v>
      </c>
      <c r="J1034" s="64" t="n">
        <v>0</v>
      </c>
      <c r="K1034" s="62" t="s">
        <v>138</v>
      </c>
      <c r="L1034" s="68" t="b">
        <f aca="false">TRUE()</f>
        <v>1</v>
      </c>
    </row>
    <row r="1035" customFormat="false" ht="15" hidden="false" customHeight="false" outlineLevel="0" collapsed="false">
      <c r="A1035" s="62" t="n">
        <v>0</v>
      </c>
      <c r="B1035" s="21" t="s">
        <v>336</v>
      </c>
      <c r="C1035" s="62" t="s">
        <v>60</v>
      </c>
      <c r="D1035" s="62" t="s">
        <v>386</v>
      </c>
      <c r="E1035" s="62" t="s">
        <v>72</v>
      </c>
      <c r="F1035" s="62" t="s">
        <v>382</v>
      </c>
      <c r="G1035" s="63" t="s">
        <v>412</v>
      </c>
      <c r="H1035" s="64" t="n">
        <v>0</v>
      </c>
      <c r="I1035" s="62" t="s">
        <v>81</v>
      </c>
      <c r="J1035" s="64" t="n">
        <v>0</v>
      </c>
      <c r="K1035" s="62" t="s">
        <v>138</v>
      </c>
      <c r="L1035" s="68" t="b">
        <f aca="false">TRUE()</f>
        <v>1</v>
      </c>
    </row>
    <row r="1036" customFormat="false" ht="15" hidden="false" customHeight="false" outlineLevel="0" collapsed="false">
      <c r="A1036" s="62" t="n">
        <v>0</v>
      </c>
      <c r="B1036" s="21" t="s">
        <v>336</v>
      </c>
      <c r="C1036" s="62" t="s">
        <v>60</v>
      </c>
      <c r="D1036" s="62" t="s">
        <v>387</v>
      </c>
      <c r="E1036" s="62" t="s">
        <v>72</v>
      </c>
      <c r="F1036" s="62" t="s">
        <v>382</v>
      </c>
      <c r="G1036" s="63" t="s">
        <v>412</v>
      </c>
      <c r="H1036" s="64" t="n">
        <v>0</v>
      </c>
      <c r="I1036" s="62" t="s">
        <v>81</v>
      </c>
      <c r="J1036" s="64" t="n">
        <v>0</v>
      </c>
      <c r="K1036" s="62" t="s">
        <v>138</v>
      </c>
      <c r="L1036" s="68" t="b">
        <f aca="false">TRUE()</f>
        <v>1</v>
      </c>
    </row>
    <row r="1037" customFormat="false" ht="15" hidden="false" customHeight="false" outlineLevel="0" collapsed="false">
      <c r="A1037" s="62" t="n">
        <v>0</v>
      </c>
      <c r="B1037" s="21" t="s">
        <v>336</v>
      </c>
      <c r="C1037" s="62" t="s">
        <v>60</v>
      </c>
      <c r="D1037" s="62" t="s">
        <v>388</v>
      </c>
      <c r="E1037" s="62" t="s">
        <v>72</v>
      </c>
      <c r="F1037" s="62" t="s">
        <v>382</v>
      </c>
      <c r="G1037" s="63" t="s">
        <v>412</v>
      </c>
      <c r="H1037" s="64" t="n">
        <v>0</v>
      </c>
      <c r="I1037" s="62" t="s">
        <v>81</v>
      </c>
      <c r="J1037" s="64" t="n">
        <v>0</v>
      </c>
      <c r="K1037" s="62" t="s">
        <v>138</v>
      </c>
      <c r="L1037" s="68" t="b">
        <f aca="false">TRUE()</f>
        <v>1</v>
      </c>
    </row>
    <row r="1038" customFormat="false" ht="15" hidden="false" customHeight="false" outlineLevel="0" collapsed="false">
      <c r="A1038" s="62" t="n">
        <v>0</v>
      </c>
      <c r="B1038" s="21" t="s">
        <v>336</v>
      </c>
      <c r="C1038" s="62" t="s">
        <v>60</v>
      </c>
      <c r="D1038" s="62" t="s">
        <v>381</v>
      </c>
      <c r="E1038" s="62" t="s">
        <v>72</v>
      </c>
      <c r="F1038" s="62" t="s">
        <v>382</v>
      </c>
      <c r="G1038" s="63" t="s">
        <v>414</v>
      </c>
      <c r="H1038" s="64" t="n">
        <v>656964000</v>
      </c>
      <c r="I1038" s="62" t="s">
        <v>81</v>
      </c>
      <c r="J1038" s="64" t="n">
        <v>656964</v>
      </c>
      <c r="K1038" s="62" t="s">
        <v>138</v>
      </c>
      <c r="L1038" s="68" t="b">
        <f aca="false">TRUE()</f>
        <v>1</v>
      </c>
    </row>
    <row r="1039" customFormat="false" ht="15" hidden="false" customHeight="false" outlineLevel="0" collapsed="false">
      <c r="A1039" s="62" t="n">
        <v>0</v>
      </c>
      <c r="B1039" s="21" t="s">
        <v>336</v>
      </c>
      <c r="C1039" s="62" t="s">
        <v>60</v>
      </c>
      <c r="D1039" s="62" t="s">
        <v>383</v>
      </c>
      <c r="E1039" s="62" t="s">
        <v>72</v>
      </c>
      <c r="F1039" s="62" t="s">
        <v>382</v>
      </c>
      <c r="G1039" s="63" t="s">
        <v>414</v>
      </c>
      <c r="H1039" s="64" t="n">
        <v>656964000</v>
      </c>
      <c r="I1039" s="62" t="s">
        <v>81</v>
      </c>
      <c r="J1039" s="64" t="n">
        <v>656964</v>
      </c>
      <c r="K1039" s="62" t="s">
        <v>138</v>
      </c>
      <c r="L1039" s="68" t="b">
        <f aca="false">TRUE()</f>
        <v>1</v>
      </c>
    </row>
    <row r="1040" customFormat="false" ht="15" hidden="false" customHeight="false" outlineLevel="0" collapsed="false">
      <c r="A1040" s="62" t="n">
        <v>0</v>
      </c>
      <c r="B1040" s="21" t="s">
        <v>336</v>
      </c>
      <c r="C1040" s="62" t="s">
        <v>60</v>
      </c>
      <c r="D1040" s="62" t="s">
        <v>384</v>
      </c>
      <c r="E1040" s="62" t="s">
        <v>72</v>
      </c>
      <c r="F1040" s="62" t="s">
        <v>382</v>
      </c>
      <c r="G1040" s="63" t="s">
        <v>414</v>
      </c>
      <c r="H1040" s="64" t="n">
        <v>656964000</v>
      </c>
      <c r="I1040" s="62" t="s">
        <v>81</v>
      </c>
      <c r="J1040" s="64" t="n">
        <v>656964</v>
      </c>
      <c r="K1040" s="62" t="s">
        <v>138</v>
      </c>
      <c r="L1040" s="68" t="b">
        <f aca="false">TRUE()</f>
        <v>1</v>
      </c>
    </row>
    <row r="1041" customFormat="false" ht="15" hidden="false" customHeight="false" outlineLevel="0" collapsed="false">
      <c r="A1041" s="62" t="n">
        <v>0</v>
      </c>
      <c r="B1041" s="21" t="s">
        <v>336</v>
      </c>
      <c r="C1041" s="62" t="s">
        <v>60</v>
      </c>
      <c r="D1041" s="62" t="s">
        <v>385</v>
      </c>
      <c r="E1041" s="62" t="s">
        <v>72</v>
      </c>
      <c r="F1041" s="62" t="s">
        <v>382</v>
      </c>
      <c r="G1041" s="63" t="s">
        <v>414</v>
      </c>
      <c r="H1041" s="64" t="n">
        <v>656964000</v>
      </c>
      <c r="I1041" s="62" t="s">
        <v>81</v>
      </c>
      <c r="J1041" s="64" t="n">
        <v>656964</v>
      </c>
      <c r="K1041" s="62" t="s">
        <v>138</v>
      </c>
      <c r="L1041" s="68" t="b">
        <f aca="false">TRUE()</f>
        <v>1</v>
      </c>
    </row>
    <row r="1042" customFormat="false" ht="15" hidden="false" customHeight="false" outlineLevel="0" collapsed="false">
      <c r="A1042" s="62" t="n">
        <v>0</v>
      </c>
      <c r="B1042" s="21" t="s">
        <v>336</v>
      </c>
      <c r="C1042" s="62" t="s">
        <v>60</v>
      </c>
      <c r="D1042" s="62" t="s">
        <v>386</v>
      </c>
      <c r="E1042" s="62" t="s">
        <v>72</v>
      </c>
      <c r="F1042" s="62" t="s">
        <v>382</v>
      </c>
      <c r="G1042" s="63" t="s">
        <v>414</v>
      </c>
      <c r="H1042" s="64" t="n">
        <v>656964000</v>
      </c>
      <c r="I1042" s="62" t="s">
        <v>81</v>
      </c>
      <c r="J1042" s="64" t="n">
        <v>656964</v>
      </c>
      <c r="K1042" s="62" t="s">
        <v>138</v>
      </c>
      <c r="L1042" s="68" t="b">
        <f aca="false">TRUE()</f>
        <v>1</v>
      </c>
    </row>
    <row r="1043" customFormat="false" ht="15" hidden="false" customHeight="false" outlineLevel="0" collapsed="false">
      <c r="A1043" s="62" t="n">
        <v>0</v>
      </c>
      <c r="B1043" s="21" t="s">
        <v>336</v>
      </c>
      <c r="C1043" s="62" t="s">
        <v>60</v>
      </c>
      <c r="D1043" s="62" t="s">
        <v>387</v>
      </c>
      <c r="E1043" s="62" t="s">
        <v>72</v>
      </c>
      <c r="F1043" s="62" t="s">
        <v>382</v>
      </c>
      <c r="G1043" s="63" t="s">
        <v>414</v>
      </c>
      <c r="H1043" s="64" t="n">
        <v>656964000</v>
      </c>
      <c r="I1043" s="62" t="s">
        <v>81</v>
      </c>
      <c r="J1043" s="64" t="n">
        <v>656964</v>
      </c>
      <c r="K1043" s="62" t="s">
        <v>138</v>
      </c>
      <c r="L1043" s="68" t="b">
        <f aca="false">TRUE()</f>
        <v>1</v>
      </c>
    </row>
    <row r="1044" customFormat="false" ht="15" hidden="false" customHeight="false" outlineLevel="0" collapsed="false">
      <c r="A1044" s="62" t="n">
        <v>0</v>
      </c>
      <c r="B1044" s="21" t="s">
        <v>336</v>
      </c>
      <c r="C1044" s="62" t="s">
        <v>60</v>
      </c>
      <c r="D1044" s="62" t="s">
        <v>388</v>
      </c>
      <c r="E1044" s="62" t="s">
        <v>72</v>
      </c>
      <c r="F1044" s="62" t="s">
        <v>382</v>
      </c>
      <c r="G1044" s="63" t="s">
        <v>414</v>
      </c>
      <c r="H1044" s="64" t="n">
        <v>656964000</v>
      </c>
      <c r="I1044" s="62" t="s">
        <v>81</v>
      </c>
      <c r="J1044" s="64" t="n">
        <v>656964</v>
      </c>
      <c r="K1044" s="62" t="s">
        <v>138</v>
      </c>
      <c r="L1044" s="68" t="b">
        <f aca="false">TRUE()</f>
        <v>1</v>
      </c>
    </row>
    <row r="1045" customFormat="false" ht="15" hidden="false" customHeight="false" outlineLevel="0" collapsed="false">
      <c r="A1045" s="62" t="n">
        <v>0</v>
      </c>
      <c r="B1045" s="21" t="s">
        <v>336</v>
      </c>
      <c r="C1045" s="62" t="s">
        <v>60</v>
      </c>
      <c r="D1045" s="62" t="s">
        <v>381</v>
      </c>
      <c r="E1045" s="62" t="s">
        <v>72</v>
      </c>
      <c r="F1045" s="62" t="s">
        <v>382</v>
      </c>
      <c r="G1045" s="63" t="s">
        <v>415</v>
      </c>
      <c r="H1045" s="64" t="n">
        <v>1178203834.74677</v>
      </c>
      <c r="I1045" s="62" t="s">
        <v>81</v>
      </c>
      <c r="J1045" s="64" t="n">
        <v>1178203.83474677</v>
      </c>
      <c r="K1045" s="62" t="s">
        <v>138</v>
      </c>
      <c r="L1045" s="68" t="b">
        <f aca="false">TRUE()</f>
        <v>1</v>
      </c>
    </row>
    <row r="1046" customFormat="false" ht="15" hidden="false" customHeight="false" outlineLevel="0" collapsed="false">
      <c r="A1046" s="62" t="n">
        <v>0</v>
      </c>
      <c r="B1046" s="21" t="s">
        <v>336</v>
      </c>
      <c r="C1046" s="62" t="s">
        <v>60</v>
      </c>
      <c r="D1046" s="62" t="s">
        <v>383</v>
      </c>
      <c r="E1046" s="62" t="s">
        <v>72</v>
      </c>
      <c r="F1046" s="62" t="s">
        <v>382</v>
      </c>
      <c r="G1046" s="63" t="s">
        <v>415</v>
      </c>
      <c r="H1046" s="64" t="n">
        <v>1178203834.74677</v>
      </c>
      <c r="I1046" s="62" t="s">
        <v>81</v>
      </c>
      <c r="J1046" s="64" t="n">
        <v>1178203.83474677</v>
      </c>
      <c r="K1046" s="62" t="s">
        <v>138</v>
      </c>
      <c r="L1046" s="68" t="b">
        <f aca="false">TRUE()</f>
        <v>1</v>
      </c>
    </row>
    <row r="1047" customFormat="false" ht="15" hidden="false" customHeight="false" outlineLevel="0" collapsed="false">
      <c r="A1047" s="62" t="n">
        <v>0</v>
      </c>
      <c r="B1047" s="21" t="s">
        <v>336</v>
      </c>
      <c r="C1047" s="62" t="s">
        <v>60</v>
      </c>
      <c r="D1047" s="62" t="s">
        <v>384</v>
      </c>
      <c r="E1047" s="62" t="s">
        <v>72</v>
      </c>
      <c r="F1047" s="62" t="s">
        <v>382</v>
      </c>
      <c r="G1047" s="63" t="s">
        <v>415</v>
      </c>
      <c r="H1047" s="64" t="n">
        <v>1178203834.74677</v>
      </c>
      <c r="I1047" s="62" t="s">
        <v>81</v>
      </c>
      <c r="J1047" s="64" t="n">
        <v>1178203.83474677</v>
      </c>
      <c r="K1047" s="62" t="s">
        <v>138</v>
      </c>
      <c r="L1047" s="68" t="b">
        <f aca="false">TRUE()</f>
        <v>1</v>
      </c>
    </row>
    <row r="1048" customFormat="false" ht="15" hidden="false" customHeight="false" outlineLevel="0" collapsed="false">
      <c r="A1048" s="62" t="n">
        <v>0</v>
      </c>
      <c r="B1048" s="21" t="s">
        <v>336</v>
      </c>
      <c r="C1048" s="62" t="s">
        <v>60</v>
      </c>
      <c r="D1048" s="62" t="s">
        <v>385</v>
      </c>
      <c r="E1048" s="62" t="s">
        <v>72</v>
      </c>
      <c r="F1048" s="62" t="s">
        <v>382</v>
      </c>
      <c r="G1048" s="63" t="s">
        <v>415</v>
      </c>
      <c r="H1048" s="64" t="n">
        <v>1178203834.74677</v>
      </c>
      <c r="I1048" s="62" t="s">
        <v>81</v>
      </c>
      <c r="J1048" s="64" t="n">
        <v>1178203.83474677</v>
      </c>
      <c r="K1048" s="62" t="s">
        <v>138</v>
      </c>
      <c r="L1048" s="68" t="b">
        <f aca="false">TRUE()</f>
        <v>1</v>
      </c>
    </row>
    <row r="1049" customFormat="false" ht="15" hidden="false" customHeight="false" outlineLevel="0" collapsed="false">
      <c r="A1049" s="62" t="n">
        <v>0</v>
      </c>
      <c r="B1049" s="21" t="s">
        <v>336</v>
      </c>
      <c r="C1049" s="62" t="s">
        <v>60</v>
      </c>
      <c r="D1049" s="62" t="s">
        <v>386</v>
      </c>
      <c r="E1049" s="62" t="s">
        <v>72</v>
      </c>
      <c r="F1049" s="62" t="s">
        <v>382</v>
      </c>
      <c r="G1049" s="63" t="s">
        <v>415</v>
      </c>
      <c r="H1049" s="64" t="n">
        <v>1178203834.74677</v>
      </c>
      <c r="I1049" s="62" t="s">
        <v>81</v>
      </c>
      <c r="J1049" s="64" t="n">
        <v>1178203.83474677</v>
      </c>
      <c r="K1049" s="62" t="s">
        <v>138</v>
      </c>
      <c r="L1049" s="68" t="b">
        <f aca="false">TRUE()</f>
        <v>1</v>
      </c>
    </row>
    <row r="1050" customFormat="false" ht="15" hidden="false" customHeight="false" outlineLevel="0" collapsed="false">
      <c r="A1050" s="62" t="n">
        <v>0</v>
      </c>
      <c r="B1050" s="21" t="s">
        <v>336</v>
      </c>
      <c r="C1050" s="62" t="s">
        <v>60</v>
      </c>
      <c r="D1050" s="62" t="s">
        <v>387</v>
      </c>
      <c r="E1050" s="62" t="s">
        <v>72</v>
      </c>
      <c r="F1050" s="62" t="s">
        <v>382</v>
      </c>
      <c r="G1050" s="63" t="s">
        <v>415</v>
      </c>
      <c r="H1050" s="64" t="n">
        <v>1178203834.74677</v>
      </c>
      <c r="I1050" s="62" t="s">
        <v>81</v>
      </c>
      <c r="J1050" s="64" t="n">
        <v>1178203.83474677</v>
      </c>
      <c r="K1050" s="62" t="s">
        <v>138</v>
      </c>
      <c r="L1050" s="68" t="b">
        <f aca="false">TRUE()</f>
        <v>1</v>
      </c>
    </row>
    <row r="1051" customFormat="false" ht="15" hidden="false" customHeight="false" outlineLevel="0" collapsed="false">
      <c r="A1051" s="62" t="n">
        <v>0</v>
      </c>
      <c r="B1051" s="21" t="s">
        <v>336</v>
      </c>
      <c r="C1051" s="62" t="s">
        <v>60</v>
      </c>
      <c r="D1051" s="62" t="s">
        <v>388</v>
      </c>
      <c r="E1051" s="62" t="s">
        <v>72</v>
      </c>
      <c r="F1051" s="62" t="s">
        <v>382</v>
      </c>
      <c r="G1051" s="63" t="s">
        <v>415</v>
      </c>
      <c r="H1051" s="64" t="n">
        <v>1178203834.74677</v>
      </c>
      <c r="I1051" s="62" t="s">
        <v>81</v>
      </c>
      <c r="J1051" s="64" t="n">
        <v>1178203.83474677</v>
      </c>
      <c r="K1051" s="62" t="s">
        <v>138</v>
      </c>
      <c r="L1051" s="68" t="b">
        <f aca="false">TRUE()</f>
        <v>1</v>
      </c>
    </row>
    <row r="1052" customFormat="false" ht="15" hidden="false" customHeight="false" outlineLevel="0" collapsed="false">
      <c r="A1052" s="62" t="n">
        <v>0</v>
      </c>
      <c r="B1052" s="21" t="s">
        <v>336</v>
      </c>
      <c r="C1052" s="62" t="s">
        <v>60</v>
      </c>
      <c r="D1052" s="62" t="s">
        <v>381</v>
      </c>
      <c r="E1052" s="62" t="s">
        <v>72</v>
      </c>
      <c r="F1052" s="62" t="s">
        <v>382</v>
      </c>
      <c r="G1052" s="63" t="s">
        <v>416</v>
      </c>
      <c r="H1052" s="64" t="n">
        <v>1835167834.74677</v>
      </c>
      <c r="I1052" s="62" t="s">
        <v>81</v>
      </c>
      <c r="J1052" s="64" t="n">
        <v>1835167.83474677</v>
      </c>
      <c r="K1052" s="62" t="s">
        <v>138</v>
      </c>
      <c r="L1052" s="68" t="b">
        <f aca="false">TRUE()</f>
        <v>1</v>
      </c>
    </row>
    <row r="1053" customFormat="false" ht="15" hidden="false" customHeight="false" outlineLevel="0" collapsed="false">
      <c r="A1053" s="62" t="n">
        <v>0</v>
      </c>
      <c r="B1053" s="21" t="s">
        <v>336</v>
      </c>
      <c r="C1053" s="62" t="s">
        <v>60</v>
      </c>
      <c r="D1053" s="62" t="s">
        <v>383</v>
      </c>
      <c r="E1053" s="62" t="s">
        <v>72</v>
      </c>
      <c r="F1053" s="62" t="s">
        <v>382</v>
      </c>
      <c r="G1053" s="63" t="s">
        <v>416</v>
      </c>
      <c r="H1053" s="64" t="n">
        <v>1835167834.74677</v>
      </c>
      <c r="I1053" s="62" t="s">
        <v>81</v>
      </c>
      <c r="J1053" s="64" t="n">
        <v>1835167.83474677</v>
      </c>
      <c r="K1053" s="62" t="s">
        <v>138</v>
      </c>
      <c r="L1053" s="68" t="b">
        <f aca="false">TRUE()</f>
        <v>1</v>
      </c>
    </row>
    <row r="1054" customFormat="false" ht="15" hidden="false" customHeight="false" outlineLevel="0" collapsed="false">
      <c r="A1054" s="62" t="n">
        <v>0</v>
      </c>
      <c r="B1054" s="21" t="s">
        <v>336</v>
      </c>
      <c r="C1054" s="62" t="s">
        <v>60</v>
      </c>
      <c r="D1054" s="62" t="s">
        <v>384</v>
      </c>
      <c r="E1054" s="62" t="s">
        <v>72</v>
      </c>
      <c r="F1054" s="62" t="s">
        <v>382</v>
      </c>
      <c r="G1054" s="63" t="s">
        <v>416</v>
      </c>
      <c r="H1054" s="64" t="n">
        <v>1835167834.74677</v>
      </c>
      <c r="I1054" s="62" t="s">
        <v>81</v>
      </c>
      <c r="J1054" s="64" t="n">
        <v>1835167.83474677</v>
      </c>
      <c r="K1054" s="62" t="s">
        <v>138</v>
      </c>
      <c r="L1054" s="68" t="b">
        <f aca="false">TRUE()</f>
        <v>1</v>
      </c>
    </row>
    <row r="1055" customFormat="false" ht="15" hidden="false" customHeight="false" outlineLevel="0" collapsed="false">
      <c r="A1055" s="62" t="n">
        <v>0</v>
      </c>
      <c r="B1055" s="21" t="s">
        <v>336</v>
      </c>
      <c r="C1055" s="62" t="s">
        <v>60</v>
      </c>
      <c r="D1055" s="62" t="s">
        <v>385</v>
      </c>
      <c r="E1055" s="62" t="s">
        <v>72</v>
      </c>
      <c r="F1055" s="62" t="s">
        <v>382</v>
      </c>
      <c r="G1055" s="63" t="s">
        <v>416</v>
      </c>
      <c r="H1055" s="64" t="n">
        <v>1835167834.74677</v>
      </c>
      <c r="I1055" s="62" t="s">
        <v>81</v>
      </c>
      <c r="J1055" s="64" t="n">
        <v>1835167.83474677</v>
      </c>
      <c r="K1055" s="62" t="s">
        <v>138</v>
      </c>
      <c r="L1055" s="68" t="b">
        <f aca="false">TRUE()</f>
        <v>1</v>
      </c>
    </row>
    <row r="1056" customFormat="false" ht="15" hidden="false" customHeight="false" outlineLevel="0" collapsed="false">
      <c r="A1056" s="62" t="n">
        <v>0</v>
      </c>
      <c r="B1056" s="21" t="s">
        <v>336</v>
      </c>
      <c r="C1056" s="62" t="s">
        <v>60</v>
      </c>
      <c r="D1056" s="62" t="s">
        <v>386</v>
      </c>
      <c r="E1056" s="62" t="s">
        <v>72</v>
      </c>
      <c r="F1056" s="62" t="s">
        <v>382</v>
      </c>
      <c r="G1056" s="63" t="s">
        <v>416</v>
      </c>
      <c r="H1056" s="64" t="n">
        <v>1835167834.74677</v>
      </c>
      <c r="I1056" s="62" t="s">
        <v>81</v>
      </c>
      <c r="J1056" s="64" t="n">
        <v>1835167.83474677</v>
      </c>
      <c r="K1056" s="62" t="s">
        <v>138</v>
      </c>
      <c r="L1056" s="68" t="b">
        <f aca="false">TRUE()</f>
        <v>1</v>
      </c>
    </row>
    <row r="1057" customFormat="false" ht="15" hidden="false" customHeight="false" outlineLevel="0" collapsed="false">
      <c r="A1057" s="62" t="n">
        <v>0</v>
      </c>
      <c r="B1057" s="21" t="s">
        <v>336</v>
      </c>
      <c r="C1057" s="62" t="s">
        <v>60</v>
      </c>
      <c r="D1057" s="62" t="s">
        <v>387</v>
      </c>
      <c r="E1057" s="62" t="s">
        <v>72</v>
      </c>
      <c r="F1057" s="62" t="s">
        <v>382</v>
      </c>
      <c r="G1057" s="63" t="s">
        <v>416</v>
      </c>
      <c r="H1057" s="64" t="n">
        <v>1835167834.74677</v>
      </c>
      <c r="I1057" s="62" t="s">
        <v>81</v>
      </c>
      <c r="J1057" s="64" t="n">
        <v>1835167.83474677</v>
      </c>
      <c r="K1057" s="62" t="s">
        <v>138</v>
      </c>
      <c r="L1057" s="68" t="b">
        <f aca="false">TRUE()</f>
        <v>1</v>
      </c>
    </row>
    <row r="1058" customFormat="false" ht="15" hidden="false" customHeight="false" outlineLevel="0" collapsed="false">
      <c r="A1058" s="62" t="n">
        <v>0</v>
      </c>
      <c r="B1058" s="21" t="s">
        <v>336</v>
      </c>
      <c r="C1058" s="62" t="s">
        <v>60</v>
      </c>
      <c r="D1058" s="62" t="s">
        <v>388</v>
      </c>
      <c r="E1058" s="62" t="s">
        <v>72</v>
      </c>
      <c r="F1058" s="62" t="s">
        <v>382</v>
      </c>
      <c r="G1058" s="63" t="s">
        <v>416</v>
      </c>
      <c r="H1058" s="64" t="n">
        <v>1835167834.74677</v>
      </c>
      <c r="I1058" s="62" t="s">
        <v>81</v>
      </c>
      <c r="J1058" s="64" t="n">
        <v>1835167.83474677</v>
      </c>
      <c r="K1058" s="62" t="s">
        <v>138</v>
      </c>
      <c r="L1058" s="68" t="b">
        <f aca="false">TRUE()</f>
        <v>1</v>
      </c>
    </row>
    <row r="1059" customFormat="false" ht="15" hidden="false" customHeight="false" outlineLevel="0" collapsed="false">
      <c r="A1059" s="62" t="n">
        <v>0</v>
      </c>
      <c r="B1059" s="21" t="s">
        <v>336</v>
      </c>
      <c r="C1059" s="62" t="s">
        <v>60</v>
      </c>
      <c r="D1059" s="62" t="s">
        <v>381</v>
      </c>
      <c r="E1059" s="62" t="s">
        <v>72</v>
      </c>
      <c r="F1059" s="62" t="s">
        <v>382</v>
      </c>
      <c r="G1059" s="63" t="s">
        <v>396</v>
      </c>
      <c r="H1059" s="64" t="n">
        <v>750000000</v>
      </c>
      <c r="I1059" s="62" t="s">
        <v>81</v>
      </c>
      <c r="J1059" s="64" t="n">
        <v>750000</v>
      </c>
      <c r="K1059" s="62" t="s">
        <v>138</v>
      </c>
      <c r="L1059" s="68" t="b">
        <f aca="false">TRUE()</f>
        <v>1</v>
      </c>
    </row>
    <row r="1060" customFormat="false" ht="15" hidden="false" customHeight="false" outlineLevel="0" collapsed="false">
      <c r="A1060" s="62" t="n">
        <v>0</v>
      </c>
      <c r="B1060" s="21" t="s">
        <v>336</v>
      </c>
      <c r="C1060" s="62" t="s">
        <v>60</v>
      </c>
      <c r="D1060" s="62" t="s">
        <v>383</v>
      </c>
      <c r="E1060" s="62" t="s">
        <v>72</v>
      </c>
      <c r="F1060" s="62" t="s">
        <v>382</v>
      </c>
      <c r="G1060" s="63" t="s">
        <v>396</v>
      </c>
      <c r="H1060" s="64" t="n">
        <v>750000000</v>
      </c>
      <c r="I1060" s="62" t="s">
        <v>81</v>
      </c>
      <c r="J1060" s="64" t="n">
        <v>750000</v>
      </c>
      <c r="K1060" s="62" t="s">
        <v>138</v>
      </c>
      <c r="L1060" s="68" t="b">
        <f aca="false">TRUE()</f>
        <v>1</v>
      </c>
    </row>
    <row r="1061" customFormat="false" ht="15" hidden="false" customHeight="false" outlineLevel="0" collapsed="false">
      <c r="A1061" s="62" t="n">
        <v>0</v>
      </c>
      <c r="B1061" s="21" t="s">
        <v>336</v>
      </c>
      <c r="C1061" s="62" t="s">
        <v>60</v>
      </c>
      <c r="D1061" s="62" t="s">
        <v>384</v>
      </c>
      <c r="E1061" s="62" t="s">
        <v>72</v>
      </c>
      <c r="F1061" s="62" t="s">
        <v>382</v>
      </c>
      <c r="G1061" s="63" t="s">
        <v>396</v>
      </c>
      <c r="H1061" s="64" t="n">
        <v>750000000</v>
      </c>
      <c r="I1061" s="62" t="s">
        <v>81</v>
      </c>
      <c r="J1061" s="64" t="n">
        <v>750000</v>
      </c>
      <c r="K1061" s="62" t="s">
        <v>138</v>
      </c>
      <c r="L1061" s="68" t="b">
        <f aca="false">TRUE()</f>
        <v>1</v>
      </c>
    </row>
    <row r="1062" customFormat="false" ht="15" hidden="false" customHeight="false" outlineLevel="0" collapsed="false">
      <c r="A1062" s="62" t="n">
        <v>0</v>
      </c>
      <c r="B1062" s="21" t="s">
        <v>336</v>
      </c>
      <c r="C1062" s="62" t="s">
        <v>60</v>
      </c>
      <c r="D1062" s="62" t="s">
        <v>385</v>
      </c>
      <c r="E1062" s="62" t="s">
        <v>72</v>
      </c>
      <c r="F1062" s="62" t="s">
        <v>382</v>
      </c>
      <c r="G1062" s="63" t="s">
        <v>396</v>
      </c>
      <c r="H1062" s="64" t="n">
        <v>750000000</v>
      </c>
      <c r="I1062" s="62" t="s">
        <v>81</v>
      </c>
      <c r="J1062" s="64" t="n">
        <v>750000</v>
      </c>
      <c r="K1062" s="62" t="s">
        <v>138</v>
      </c>
      <c r="L1062" s="68" t="b">
        <f aca="false">TRUE()</f>
        <v>1</v>
      </c>
    </row>
    <row r="1063" customFormat="false" ht="15" hidden="false" customHeight="false" outlineLevel="0" collapsed="false">
      <c r="A1063" s="62" t="n">
        <v>0</v>
      </c>
      <c r="B1063" s="21" t="s">
        <v>336</v>
      </c>
      <c r="C1063" s="62" t="s">
        <v>60</v>
      </c>
      <c r="D1063" s="62" t="s">
        <v>386</v>
      </c>
      <c r="E1063" s="62" t="s">
        <v>72</v>
      </c>
      <c r="F1063" s="62" t="s">
        <v>382</v>
      </c>
      <c r="G1063" s="63" t="s">
        <v>396</v>
      </c>
      <c r="H1063" s="64" t="n">
        <v>750000000</v>
      </c>
      <c r="I1063" s="62" t="s">
        <v>81</v>
      </c>
      <c r="J1063" s="64" t="n">
        <v>750000</v>
      </c>
      <c r="K1063" s="62" t="s">
        <v>138</v>
      </c>
      <c r="L1063" s="68" t="b">
        <f aca="false">TRUE()</f>
        <v>1</v>
      </c>
    </row>
    <row r="1064" customFormat="false" ht="15" hidden="false" customHeight="false" outlineLevel="0" collapsed="false">
      <c r="A1064" s="62" t="n">
        <v>0</v>
      </c>
      <c r="B1064" s="21" t="s">
        <v>336</v>
      </c>
      <c r="C1064" s="62" t="s">
        <v>60</v>
      </c>
      <c r="D1064" s="62" t="s">
        <v>387</v>
      </c>
      <c r="E1064" s="62" t="s">
        <v>72</v>
      </c>
      <c r="F1064" s="62" t="s">
        <v>382</v>
      </c>
      <c r="G1064" s="63" t="s">
        <v>396</v>
      </c>
      <c r="H1064" s="64" t="n">
        <v>750000000</v>
      </c>
      <c r="I1064" s="62" t="s">
        <v>81</v>
      </c>
      <c r="J1064" s="64" t="n">
        <v>750000</v>
      </c>
      <c r="K1064" s="62" t="s">
        <v>138</v>
      </c>
      <c r="L1064" s="68" t="b">
        <f aca="false">TRUE()</f>
        <v>1</v>
      </c>
    </row>
    <row r="1065" customFormat="false" ht="15" hidden="false" customHeight="false" outlineLevel="0" collapsed="false">
      <c r="A1065" s="62" t="n">
        <v>0</v>
      </c>
      <c r="B1065" s="21" t="s">
        <v>336</v>
      </c>
      <c r="C1065" s="62" t="s">
        <v>60</v>
      </c>
      <c r="D1065" s="62" t="s">
        <v>388</v>
      </c>
      <c r="E1065" s="62" t="s">
        <v>72</v>
      </c>
      <c r="F1065" s="62" t="s">
        <v>382</v>
      </c>
      <c r="G1065" s="63" t="s">
        <v>396</v>
      </c>
      <c r="H1065" s="64" t="n">
        <v>750000000</v>
      </c>
      <c r="I1065" s="62" t="s">
        <v>81</v>
      </c>
      <c r="J1065" s="64" t="n">
        <v>750000</v>
      </c>
      <c r="K1065" s="62" t="s">
        <v>138</v>
      </c>
      <c r="L1065" s="68" t="b">
        <f aca="false">TRUE()</f>
        <v>1</v>
      </c>
    </row>
    <row r="1066" customFormat="false" ht="15" hidden="false" customHeight="false" outlineLevel="0" collapsed="false">
      <c r="A1066" s="62" t="n">
        <v>0</v>
      </c>
      <c r="B1066" s="21" t="s">
        <v>336</v>
      </c>
      <c r="C1066" s="62" t="s">
        <v>60</v>
      </c>
      <c r="D1066" s="62" t="s">
        <v>381</v>
      </c>
      <c r="E1066" s="62" t="s">
        <v>72</v>
      </c>
      <c r="F1066" s="62" t="s">
        <v>382</v>
      </c>
      <c r="G1066" s="63" t="s">
        <v>417</v>
      </c>
      <c r="H1066" s="64" t="n">
        <v>598718507.649613</v>
      </c>
      <c r="I1066" s="62" t="s">
        <v>81</v>
      </c>
      <c r="J1066" s="64" t="n">
        <v>598718.507649613</v>
      </c>
      <c r="K1066" s="62" t="s">
        <v>138</v>
      </c>
      <c r="L1066" s="68" t="b">
        <f aca="false">TRUE()</f>
        <v>1</v>
      </c>
    </row>
    <row r="1067" customFormat="false" ht="15" hidden="false" customHeight="false" outlineLevel="0" collapsed="false">
      <c r="A1067" s="62" t="n">
        <v>0</v>
      </c>
      <c r="B1067" s="21" t="s">
        <v>336</v>
      </c>
      <c r="C1067" s="62" t="s">
        <v>60</v>
      </c>
      <c r="D1067" s="62" t="s">
        <v>383</v>
      </c>
      <c r="E1067" s="62" t="s">
        <v>72</v>
      </c>
      <c r="F1067" s="62" t="s">
        <v>382</v>
      </c>
      <c r="G1067" s="63" t="s">
        <v>417</v>
      </c>
      <c r="H1067" s="64" t="n">
        <v>598718507.649613</v>
      </c>
      <c r="I1067" s="62" t="s">
        <v>81</v>
      </c>
      <c r="J1067" s="64" t="n">
        <v>598718.507649613</v>
      </c>
      <c r="K1067" s="62" t="s">
        <v>138</v>
      </c>
      <c r="L1067" s="68" t="b">
        <f aca="false">TRUE()</f>
        <v>1</v>
      </c>
    </row>
    <row r="1068" customFormat="false" ht="15" hidden="false" customHeight="false" outlineLevel="0" collapsed="false">
      <c r="A1068" s="62" t="n">
        <v>0</v>
      </c>
      <c r="B1068" s="21" t="s">
        <v>336</v>
      </c>
      <c r="C1068" s="62" t="s">
        <v>60</v>
      </c>
      <c r="D1068" s="62" t="s">
        <v>384</v>
      </c>
      <c r="E1068" s="62" t="s">
        <v>72</v>
      </c>
      <c r="F1068" s="62" t="s">
        <v>382</v>
      </c>
      <c r="G1068" s="63" t="s">
        <v>417</v>
      </c>
      <c r="H1068" s="64" t="n">
        <v>598718507.649613</v>
      </c>
      <c r="I1068" s="62" t="s">
        <v>81</v>
      </c>
      <c r="J1068" s="64" t="n">
        <v>598718.507649613</v>
      </c>
      <c r="K1068" s="62" t="s">
        <v>138</v>
      </c>
      <c r="L1068" s="68" t="b">
        <f aca="false">TRUE()</f>
        <v>1</v>
      </c>
    </row>
    <row r="1069" customFormat="false" ht="15" hidden="false" customHeight="false" outlineLevel="0" collapsed="false">
      <c r="A1069" s="62" t="n">
        <v>0</v>
      </c>
      <c r="B1069" s="21" t="s">
        <v>336</v>
      </c>
      <c r="C1069" s="62" t="s">
        <v>60</v>
      </c>
      <c r="D1069" s="62" t="s">
        <v>385</v>
      </c>
      <c r="E1069" s="62" t="s">
        <v>72</v>
      </c>
      <c r="F1069" s="62" t="s">
        <v>382</v>
      </c>
      <c r="G1069" s="63" t="s">
        <v>417</v>
      </c>
      <c r="H1069" s="64" t="n">
        <v>598718507.649613</v>
      </c>
      <c r="I1069" s="62" t="s">
        <v>81</v>
      </c>
      <c r="J1069" s="64" t="n">
        <v>598718.507649613</v>
      </c>
      <c r="K1069" s="62" t="s">
        <v>138</v>
      </c>
      <c r="L1069" s="68" t="b">
        <f aca="false">TRUE()</f>
        <v>1</v>
      </c>
    </row>
    <row r="1070" customFormat="false" ht="15" hidden="false" customHeight="false" outlineLevel="0" collapsed="false">
      <c r="A1070" s="62" t="n">
        <v>0</v>
      </c>
      <c r="B1070" s="21" t="s">
        <v>336</v>
      </c>
      <c r="C1070" s="62" t="s">
        <v>60</v>
      </c>
      <c r="D1070" s="62" t="s">
        <v>386</v>
      </c>
      <c r="E1070" s="62" t="s">
        <v>72</v>
      </c>
      <c r="F1070" s="62" t="s">
        <v>382</v>
      </c>
      <c r="G1070" s="63" t="s">
        <v>417</v>
      </c>
      <c r="H1070" s="64" t="n">
        <v>598718507.649613</v>
      </c>
      <c r="I1070" s="62" t="s">
        <v>81</v>
      </c>
      <c r="J1070" s="64" t="n">
        <v>598718.507649613</v>
      </c>
      <c r="K1070" s="62" t="s">
        <v>138</v>
      </c>
      <c r="L1070" s="68" t="b">
        <f aca="false">TRUE()</f>
        <v>1</v>
      </c>
    </row>
    <row r="1071" customFormat="false" ht="15" hidden="false" customHeight="false" outlineLevel="0" collapsed="false">
      <c r="A1071" s="62" t="n">
        <v>0</v>
      </c>
      <c r="B1071" s="21" t="s">
        <v>336</v>
      </c>
      <c r="C1071" s="62" t="s">
        <v>60</v>
      </c>
      <c r="D1071" s="62" t="s">
        <v>387</v>
      </c>
      <c r="E1071" s="62" t="s">
        <v>72</v>
      </c>
      <c r="F1071" s="62" t="s">
        <v>382</v>
      </c>
      <c r="G1071" s="63" t="s">
        <v>417</v>
      </c>
      <c r="H1071" s="64" t="n">
        <v>598718507.649613</v>
      </c>
      <c r="I1071" s="62" t="s">
        <v>81</v>
      </c>
      <c r="J1071" s="64" t="n">
        <v>598718.507649613</v>
      </c>
      <c r="K1071" s="62" t="s">
        <v>138</v>
      </c>
      <c r="L1071" s="68" t="b">
        <f aca="false">TRUE()</f>
        <v>1</v>
      </c>
    </row>
    <row r="1072" customFormat="false" ht="15" hidden="false" customHeight="false" outlineLevel="0" collapsed="false">
      <c r="A1072" s="62" t="n">
        <v>0</v>
      </c>
      <c r="B1072" s="21" t="s">
        <v>336</v>
      </c>
      <c r="C1072" s="62" t="s">
        <v>60</v>
      </c>
      <c r="D1072" s="62" t="s">
        <v>388</v>
      </c>
      <c r="E1072" s="62" t="s">
        <v>72</v>
      </c>
      <c r="F1072" s="62" t="s">
        <v>382</v>
      </c>
      <c r="G1072" s="63" t="s">
        <v>417</v>
      </c>
      <c r="H1072" s="64" t="n">
        <v>598718507.649613</v>
      </c>
      <c r="I1072" s="62" t="s">
        <v>81</v>
      </c>
      <c r="J1072" s="64" t="n">
        <v>598718.507649613</v>
      </c>
      <c r="K1072" s="62" t="s">
        <v>138</v>
      </c>
      <c r="L1072" s="68" t="b">
        <f aca="false">TRUE()</f>
        <v>1</v>
      </c>
    </row>
    <row r="1073" customFormat="false" ht="15" hidden="false" customHeight="false" outlineLevel="0" collapsed="false">
      <c r="A1073" s="62" t="n">
        <v>0</v>
      </c>
      <c r="B1073" s="21" t="s">
        <v>336</v>
      </c>
      <c r="C1073" s="62" t="s">
        <v>60</v>
      </c>
      <c r="D1073" s="62" t="s">
        <v>381</v>
      </c>
      <c r="E1073" s="62" t="s">
        <v>72</v>
      </c>
      <c r="F1073" s="62" t="s">
        <v>382</v>
      </c>
      <c r="G1073" s="63" t="s">
        <v>398</v>
      </c>
      <c r="H1073" s="64" t="n">
        <v>480444000</v>
      </c>
      <c r="I1073" s="62" t="s">
        <v>81</v>
      </c>
      <c r="J1073" s="64" t="n">
        <v>480444</v>
      </c>
      <c r="K1073" s="62" t="s">
        <v>138</v>
      </c>
      <c r="L1073" s="68" t="b">
        <f aca="false">TRUE()</f>
        <v>1</v>
      </c>
    </row>
    <row r="1074" customFormat="false" ht="15" hidden="false" customHeight="false" outlineLevel="0" collapsed="false">
      <c r="A1074" s="62" t="n">
        <v>0</v>
      </c>
      <c r="B1074" s="21" t="s">
        <v>336</v>
      </c>
      <c r="C1074" s="62" t="s">
        <v>60</v>
      </c>
      <c r="D1074" s="62" t="s">
        <v>383</v>
      </c>
      <c r="E1074" s="62" t="s">
        <v>72</v>
      </c>
      <c r="F1074" s="62" t="s">
        <v>382</v>
      </c>
      <c r="G1074" s="63" t="s">
        <v>398</v>
      </c>
      <c r="H1074" s="64" t="n">
        <v>480444000</v>
      </c>
      <c r="I1074" s="62" t="s">
        <v>81</v>
      </c>
      <c r="J1074" s="64" t="n">
        <v>480444</v>
      </c>
      <c r="K1074" s="62" t="s">
        <v>138</v>
      </c>
      <c r="L1074" s="68" t="b">
        <f aca="false">TRUE()</f>
        <v>1</v>
      </c>
    </row>
    <row r="1075" customFormat="false" ht="15" hidden="false" customHeight="false" outlineLevel="0" collapsed="false">
      <c r="A1075" s="62" t="n">
        <v>0</v>
      </c>
      <c r="B1075" s="21" t="s">
        <v>336</v>
      </c>
      <c r="C1075" s="62" t="s">
        <v>60</v>
      </c>
      <c r="D1075" s="62" t="s">
        <v>384</v>
      </c>
      <c r="E1075" s="62" t="s">
        <v>72</v>
      </c>
      <c r="F1075" s="62" t="s">
        <v>382</v>
      </c>
      <c r="G1075" s="63" t="s">
        <v>398</v>
      </c>
      <c r="H1075" s="64" t="n">
        <v>480444000</v>
      </c>
      <c r="I1075" s="62" t="s">
        <v>81</v>
      </c>
      <c r="J1075" s="64" t="n">
        <v>480444</v>
      </c>
      <c r="K1075" s="62" t="s">
        <v>138</v>
      </c>
      <c r="L1075" s="68" t="b">
        <f aca="false">TRUE()</f>
        <v>1</v>
      </c>
    </row>
    <row r="1076" customFormat="false" ht="15" hidden="false" customHeight="false" outlineLevel="0" collapsed="false">
      <c r="A1076" s="62" t="n">
        <v>0</v>
      </c>
      <c r="B1076" s="21" t="s">
        <v>336</v>
      </c>
      <c r="C1076" s="62" t="s">
        <v>60</v>
      </c>
      <c r="D1076" s="62" t="s">
        <v>385</v>
      </c>
      <c r="E1076" s="62" t="s">
        <v>72</v>
      </c>
      <c r="F1076" s="62" t="s">
        <v>382</v>
      </c>
      <c r="G1076" s="63" t="s">
        <v>398</v>
      </c>
      <c r="H1076" s="64" t="n">
        <v>480444000</v>
      </c>
      <c r="I1076" s="62" t="s">
        <v>81</v>
      </c>
      <c r="J1076" s="64" t="n">
        <v>480444</v>
      </c>
      <c r="K1076" s="62" t="s">
        <v>138</v>
      </c>
      <c r="L1076" s="68" t="b">
        <f aca="false">TRUE()</f>
        <v>1</v>
      </c>
    </row>
    <row r="1077" customFormat="false" ht="15" hidden="false" customHeight="false" outlineLevel="0" collapsed="false">
      <c r="A1077" s="62" t="n">
        <v>0</v>
      </c>
      <c r="B1077" s="21" t="s">
        <v>336</v>
      </c>
      <c r="C1077" s="62" t="s">
        <v>60</v>
      </c>
      <c r="D1077" s="62" t="s">
        <v>386</v>
      </c>
      <c r="E1077" s="62" t="s">
        <v>72</v>
      </c>
      <c r="F1077" s="62" t="s">
        <v>382</v>
      </c>
      <c r="G1077" s="63" t="s">
        <v>398</v>
      </c>
      <c r="H1077" s="64" t="n">
        <v>480444000</v>
      </c>
      <c r="I1077" s="62" t="s">
        <v>81</v>
      </c>
      <c r="J1077" s="64" t="n">
        <v>480444</v>
      </c>
      <c r="K1077" s="62" t="s">
        <v>138</v>
      </c>
      <c r="L1077" s="68" t="b">
        <f aca="false">TRUE()</f>
        <v>1</v>
      </c>
    </row>
    <row r="1078" customFormat="false" ht="15" hidden="false" customHeight="false" outlineLevel="0" collapsed="false">
      <c r="A1078" s="62" t="n">
        <v>0</v>
      </c>
      <c r="B1078" s="21" t="s">
        <v>336</v>
      </c>
      <c r="C1078" s="62" t="s">
        <v>60</v>
      </c>
      <c r="D1078" s="62" t="s">
        <v>387</v>
      </c>
      <c r="E1078" s="62" t="s">
        <v>72</v>
      </c>
      <c r="F1078" s="62" t="s">
        <v>382</v>
      </c>
      <c r="G1078" s="63" t="s">
        <v>398</v>
      </c>
      <c r="H1078" s="64" t="n">
        <v>480444000</v>
      </c>
      <c r="I1078" s="62" t="s">
        <v>81</v>
      </c>
      <c r="J1078" s="64" t="n">
        <v>480444</v>
      </c>
      <c r="K1078" s="62" t="s">
        <v>138</v>
      </c>
      <c r="L1078" s="68" t="b">
        <f aca="false">TRUE()</f>
        <v>1</v>
      </c>
    </row>
    <row r="1079" customFormat="false" ht="15" hidden="false" customHeight="false" outlineLevel="0" collapsed="false">
      <c r="A1079" s="62" t="n">
        <v>0</v>
      </c>
      <c r="B1079" s="21" t="s">
        <v>336</v>
      </c>
      <c r="C1079" s="62" t="s">
        <v>60</v>
      </c>
      <c r="D1079" s="62" t="s">
        <v>388</v>
      </c>
      <c r="E1079" s="62" t="s">
        <v>72</v>
      </c>
      <c r="F1079" s="62" t="s">
        <v>382</v>
      </c>
      <c r="G1079" s="63" t="s">
        <v>398</v>
      </c>
      <c r="H1079" s="64" t="n">
        <v>480444000</v>
      </c>
      <c r="I1079" s="62" t="s">
        <v>81</v>
      </c>
      <c r="J1079" s="64" t="n">
        <v>480444</v>
      </c>
      <c r="K1079" s="62" t="s">
        <v>138</v>
      </c>
      <c r="L1079" s="68" t="b">
        <f aca="false">TRUE()</f>
        <v>1</v>
      </c>
    </row>
    <row r="1080" customFormat="false" ht="15" hidden="false" customHeight="false" outlineLevel="0" collapsed="false">
      <c r="A1080" s="62" t="n">
        <v>0</v>
      </c>
      <c r="B1080" s="21" t="s">
        <v>336</v>
      </c>
      <c r="C1080" s="62" t="s">
        <v>60</v>
      </c>
      <c r="D1080" s="62" t="s">
        <v>381</v>
      </c>
      <c r="E1080" s="62" t="s">
        <v>72</v>
      </c>
      <c r="F1080" s="62" t="s">
        <v>382</v>
      </c>
      <c r="G1080" s="63" t="s">
        <v>418</v>
      </c>
      <c r="H1080" s="64" t="n">
        <v>1829162507.64961</v>
      </c>
      <c r="I1080" s="62" t="s">
        <v>81</v>
      </c>
      <c r="J1080" s="64" t="n">
        <v>1829162.50764961</v>
      </c>
      <c r="K1080" s="62" t="s">
        <v>138</v>
      </c>
      <c r="L1080" s="68" t="b">
        <f aca="false">TRUE()</f>
        <v>1</v>
      </c>
    </row>
    <row r="1081" customFormat="false" ht="15" hidden="false" customHeight="false" outlineLevel="0" collapsed="false">
      <c r="A1081" s="62" t="n">
        <v>0</v>
      </c>
      <c r="B1081" s="21" t="s">
        <v>336</v>
      </c>
      <c r="C1081" s="62" t="s">
        <v>60</v>
      </c>
      <c r="D1081" s="62" t="s">
        <v>383</v>
      </c>
      <c r="E1081" s="62" t="s">
        <v>72</v>
      </c>
      <c r="F1081" s="62" t="s">
        <v>382</v>
      </c>
      <c r="G1081" s="63" t="s">
        <v>418</v>
      </c>
      <c r="H1081" s="64" t="n">
        <v>1829162507.64961</v>
      </c>
      <c r="I1081" s="62" t="s">
        <v>81</v>
      </c>
      <c r="J1081" s="64" t="n">
        <v>1829162.50764961</v>
      </c>
      <c r="K1081" s="62" t="s">
        <v>138</v>
      </c>
      <c r="L1081" s="68" t="b">
        <f aca="false">TRUE()</f>
        <v>1</v>
      </c>
    </row>
    <row r="1082" customFormat="false" ht="15" hidden="false" customHeight="false" outlineLevel="0" collapsed="false">
      <c r="A1082" s="62" t="n">
        <v>0</v>
      </c>
      <c r="B1082" s="21" t="s">
        <v>336</v>
      </c>
      <c r="C1082" s="62" t="s">
        <v>60</v>
      </c>
      <c r="D1082" s="62" t="s">
        <v>384</v>
      </c>
      <c r="E1082" s="62" t="s">
        <v>72</v>
      </c>
      <c r="F1082" s="62" t="s">
        <v>382</v>
      </c>
      <c r="G1082" s="63" t="s">
        <v>418</v>
      </c>
      <c r="H1082" s="64" t="n">
        <v>1829162507.64961</v>
      </c>
      <c r="I1082" s="62" t="s">
        <v>81</v>
      </c>
      <c r="J1082" s="64" t="n">
        <v>1829162.50764961</v>
      </c>
      <c r="K1082" s="62" t="s">
        <v>138</v>
      </c>
      <c r="L1082" s="68" t="b">
        <f aca="false">TRUE()</f>
        <v>1</v>
      </c>
    </row>
    <row r="1083" customFormat="false" ht="15" hidden="false" customHeight="false" outlineLevel="0" collapsed="false">
      <c r="A1083" s="62" t="n">
        <v>0</v>
      </c>
      <c r="B1083" s="21" t="s">
        <v>336</v>
      </c>
      <c r="C1083" s="62" t="s">
        <v>60</v>
      </c>
      <c r="D1083" s="62" t="s">
        <v>385</v>
      </c>
      <c r="E1083" s="62" t="s">
        <v>72</v>
      </c>
      <c r="F1083" s="62" t="s">
        <v>382</v>
      </c>
      <c r="G1083" s="63" t="s">
        <v>418</v>
      </c>
      <c r="H1083" s="64" t="n">
        <v>1829162507.64961</v>
      </c>
      <c r="I1083" s="62" t="s">
        <v>81</v>
      </c>
      <c r="J1083" s="64" t="n">
        <v>1829162.50764961</v>
      </c>
      <c r="K1083" s="62" t="s">
        <v>138</v>
      </c>
      <c r="L1083" s="68" t="b">
        <f aca="false">TRUE()</f>
        <v>1</v>
      </c>
    </row>
    <row r="1084" customFormat="false" ht="15" hidden="false" customHeight="false" outlineLevel="0" collapsed="false">
      <c r="A1084" s="62" t="n">
        <v>0</v>
      </c>
      <c r="B1084" s="21" t="s">
        <v>336</v>
      </c>
      <c r="C1084" s="62" t="s">
        <v>60</v>
      </c>
      <c r="D1084" s="62" t="s">
        <v>386</v>
      </c>
      <c r="E1084" s="62" t="s">
        <v>72</v>
      </c>
      <c r="F1084" s="62" t="s">
        <v>382</v>
      </c>
      <c r="G1084" s="63" t="s">
        <v>418</v>
      </c>
      <c r="H1084" s="64" t="n">
        <v>1829162507.64961</v>
      </c>
      <c r="I1084" s="62" t="s">
        <v>81</v>
      </c>
      <c r="J1084" s="64" t="n">
        <v>1829162.50764961</v>
      </c>
      <c r="K1084" s="62" t="s">
        <v>138</v>
      </c>
      <c r="L1084" s="68" t="b">
        <f aca="false">TRUE()</f>
        <v>1</v>
      </c>
    </row>
    <row r="1085" customFormat="false" ht="15" hidden="false" customHeight="false" outlineLevel="0" collapsed="false">
      <c r="A1085" s="62" t="n">
        <v>0</v>
      </c>
      <c r="B1085" s="21" t="s">
        <v>336</v>
      </c>
      <c r="C1085" s="62" t="s">
        <v>60</v>
      </c>
      <c r="D1085" s="62" t="s">
        <v>387</v>
      </c>
      <c r="E1085" s="62" t="s">
        <v>72</v>
      </c>
      <c r="F1085" s="62" t="s">
        <v>382</v>
      </c>
      <c r="G1085" s="63" t="s">
        <v>418</v>
      </c>
      <c r="H1085" s="64" t="n">
        <v>1829162507.64961</v>
      </c>
      <c r="I1085" s="62" t="s">
        <v>81</v>
      </c>
      <c r="J1085" s="64" t="n">
        <v>1829162.50764961</v>
      </c>
      <c r="K1085" s="62" t="s">
        <v>138</v>
      </c>
      <c r="L1085" s="68" t="b">
        <f aca="false">TRUE()</f>
        <v>1</v>
      </c>
    </row>
    <row r="1086" customFormat="false" ht="15" hidden="false" customHeight="false" outlineLevel="0" collapsed="false">
      <c r="A1086" s="62" t="n">
        <v>0</v>
      </c>
      <c r="B1086" s="21" t="s">
        <v>336</v>
      </c>
      <c r="C1086" s="62" t="s">
        <v>60</v>
      </c>
      <c r="D1086" s="62" t="s">
        <v>388</v>
      </c>
      <c r="E1086" s="62" t="s">
        <v>72</v>
      </c>
      <c r="F1086" s="62" t="s">
        <v>382</v>
      </c>
      <c r="G1086" s="63" t="s">
        <v>418</v>
      </c>
      <c r="H1086" s="64" t="n">
        <v>1829162507.64961</v>
      </c>
      <c r="I1086" s="62" t="s">
        <v>81</v>
      </c>
      <c r="J1086" s="64" t="n">
        <v>1829162.50764961</v>
      </c>
      <c r="K1086" s="62" t="s">
        <v>138</v>
      </c>
      <c r="L1086" s="68" t="b">
        <f aca="false">TRUE()</f>
        <v>1</v>
      </c>
    </row>
    <row r="1087" customFormat="false" ht="15" hidden="false" customHeight="false" outlineLevel="0" collapsed="false">
      <c r="A1087" s="62" t="n">
        <v>0</v>
      </c>
      <c r="B1087" s="21" t="s">
        <v>336</v>
      </c>
      <c r="C1087" s="62" t="s">
        <v>60</v>
      </c>
      <c r="D1087" s="62" t="s">
        <v>381</v>
      </c>
      <c r="E1087" s="62" t="s">
        <v>72</v>
      </c>
      <c r="F1087" s="62" t="s">
        <v>382</v>
      </c>
      <c r="G1087" s="63" t="s">
        <v>420</v>
      </c>
      <c r="H1087" s="64" t="n">
        <v>0</v>
      </c>
      <c r="I1087" s="62" t="s">
        <v>81</v>
      </c>
      <c r="J1087" s="64" t="n">
        <v>0</v>
      </c>
      <c r="K1087" s="62" t="s">
        <v>138</v>
      </c>
      <c r="L1087" s="68" t="b">
        <f aca="false">TRUE()</f>
        <v>1</v>
      </c>
    </row>
    <row r="1088" customFormat="false" ht="15" hidden="false" customHeight="false" outlineLevel="0" collapsed="false">
      <c r="A1088" s="62" t="n">
        <v>0</v>
      </c>
      <c r="B1088" s="21" t="s">
        <v>336</v>
      </c>
      <c r="C1088" s="62" t="s">
        <v>60</v>
      </c>
      <c r="D1088" s="62" t="s">
        <v>383</v>
      </c>
      <c r="E1088" s="62" t="s">
        <v>72</v>
      </c>
      <c r="F1088" s="62" t="s">
        <v>382</v>
      </c>
      <c r="G1088" s="63" t="s">
        <v>420</v>
      </c>
      <c r="H1088" s="64" t="n">
        <v>0</v>
      </c>
      <c r="I1088" s="62" t="s">
        <v>81</v>
      </c>
      <c r="J1088" s="64" t="n">
        <v>0</v>
      </c>
      <c r="K1088" s="62" t="s">
        <v>138</v>
      </c>
      <c r="L1088" s="68" t="b">
        <f aca="false">TRUE()</f>
        <v>1</v>
      </c>
    </row>
    <row r="1089" customFormat="false" ht="15" hidden="false" customHeight="false" outlineLevel="0" collapsed="false">
      <c r="A1089" s="62" t="n">
        <v>0</v>
      </c>
      <c r="B1089" s="21" t="s">
        <v>336</v>
      </c>
      <c r="C1089" s="62" t="s">
        <v>60</v>
      </c>
      <c r="D1089" s="62" t="s">
        <v>384</v>
      </c>
      <c r="E1089" s="62" t="s">
        <v>72</v>
      </c>
      <c r="F1089" s="62" t="s">
        <v>382</v>
      </c>
      <c r="G1089" s="63" t="s">
        <v>420</v>
      </c>
      <c r="H1089" s="64" t="n">
        <v>0</v>
      </c>
      <c r="I1089" s="62" t="s">
        <v>81</v>
      </c>
      <c r="J1089" s="64" t="n">
        <v>0</v>
      </c>
      <c r="K1089" s="62" t="s">
        <v>138</v>
      </c>
      <c r="L1089" s="68" t="b">
        <f aca="false">TRUE()</f>
        <v>1</v>
      </c>
    </row>
    <row r="1090" customFormat="false" ht="15" hidden="false" customHeight="false" outlineLevel="0" collapsed="false">
      <c r="A1090" s="62" t="n">
        <v>0</v>
      </c>
      <c r="B1090" s="21" t="s">
        <v>336</v>
      </c>
      <c r="C1090" s="62" t="s">
        <v>60</v>
      </c>
      <c r="D1090" s="62" t="s">
        <v>385</v>
      </c>
      <c r="E1090" s="62" t="s">
        <v>72</v>
      </c>
      <c r="F1090" s="62" t="s">
        <v>382</v>
      </c>
      <c r="G1090" s="63" t="s">
        <v>420</v>
      </c>
      <c r="H1090" s="64" t="n">
        <v>0</v>
      </c>
      <c r="I1090" s="62" t="s">
        <v>81</v>
      </c>
      <c r="J1090" s="64" t="n">
        <v>0</v>
      </c>
      <c r="K1090" s="62" t="s">
        <v>138</v>
      </c>
      <c r="L1090" s="68" t="b">
        <f aca="false">TRUE()</f>
        <v>1</v>
      </c>
    </row>
    <row r="1091" customFormat="false" ht="15" hidden="false" customHeight="false" outlineLevel="0" collapsed="false">
      <c r="A1091" s="62" t="n">
        <v>0</v>
      </c>
      <c r="B1091" s="21" t="s">
        <v>336</v>
      </c>
      <c r="C1091" s="62" t="s">
        <v>60</v>
      </c>
      <c r="D1091" s="62" t="s">
        <v>386</v>
      </c>
      <c r="E1091" s="62" t="s">
        <v>72</v>
      </c>
      <c r="F1091" s="62" t="s">
        <v>382</v>
      </c>
      <c r="G1091" s="63" t="s">
        <v>420</v>
      </c>
      <c r="H1091" s="64" t="n">
        <v>0</v>
      </c>
      <c r="I1091" s="62" t="s">
        <v>81</v>
      </c>
      <c r="J1091" s="64" t="n">
        <v>0</v>
      </c>
      <c r="K1091" s="62" t="s">
        <v>138</v>
      </c>
      <c r="L1091" s="68" t="b">
        <f aca="false">TRUE()</f>
        <v>1</v>
      </c>
    </row>
    <row r="1092" customFormat="false" ht="15" hidden="false" customHeight="false" outlineLevel="0" collapsed="false">
      <c r="A1092" s="62" t="n">
        <v>0</v>
      </c>
      <c r="B1092" s="21" t="s">
        <v>336</v>
      </c>
      <c r="C1092" s="62" t="s">
        <v>60</v>
      </c>
      <c r="D1092" s="62" t="s">
        <v>387</v>
      </c>
      <c r="E1092" s="62" t="s">
        <v>72</v>
      </c>
      <c r="F1092" s="62" t="s">
        <v>382</v>
      </c>
      <c r="G1092" s="63" t="s">
        <v>420</v>
      </c>
      <c r="H1092" s="64" t="n">
        <v>0</v>
      </c>
      <c r="I1092" s="62" t="s">
        <v>81</v>
      </c>
      <c r="J1092" s="64" t="n">
        <v>0</v>
      </c>
      <c r="K1092" s="62" t="s">
        <v>138</v>
      </c>
      <c r="L1092" s="68" t="b">
        <f aca="false">TRUE()</f>
        <v>1</v>
      </c>
    </row>
    <row r="1093" customFormat="false" ht="15" hidden="false" customHeight="false" outlineLevel="0" collapsed="false">
      <c r="A1093" s="62" t="n">
        <v>0</v>
      </c>
      <c r="B1093" s="21" t="s">
        <v>336</v>
      </c>
      <c r="C1093" s="62" t="s">
        <v>60</v>
      </c>
      <c r="D1093" s="62" t="s">
        <v>388</v>
      </c>
      <c r="E1093" s="62" t="s">
        <v>72</v>
      </c>
      <c r="F1093" s="62" t="s">
        <v>382</v>
      </c>
      <c r="G1093" s="63" t="s">
        <v>420</v>
      </c>
      <c r="H1093" s="64" t="n">
        <v>0</v>
      </c>
      <c r="I1093" s="62" t="s">
        <v>81</v>
      </c>
      <c r="J1093" s="64" t="n">
        <v>0</v>
      </c>
      <c r="K1093" s="62" t="s">
        <v>138</v>
      </c>
      <c r="L1093" s="68" t="b">
        <f aca="false">TRUE()</f>
        <v>1</v>
      </c>
    </row>
    <row r="1094" customFormat="false" ht="15" hidden="false" customHeight="false" outlineLevel="0" collapsed="false">
      <c r="A1094" s="62" t="n">
        <v>0</v>
      </c>
      <c r="B1094" s="21" t="s">
        <v>336</v>
      </c>
      <c r="C1094" s="62" t="s">
        <v>60</v>
      </c>
      <c r="D1094" s="62" t="s">
        <v>381</v>
      </c>
      <c r="E1094" s="62" t="s">
        <v>72</v>
      </c>
      <c r="F1094" s="62" t="s">
        <v>382</v>
      </c>
      <c r="G1094" s="63" t="s">
        <v>421</v>
      </c>
      <c r="H1094" s="64" t="n">
        <v>-100000000</v>
      </c>
      <c r="I1094" s="62" t="s">
        <v>81</v>
      </c>
      <c r="J1094" s="64" t="n">
        <v>-100000</v>
      </c>
      <c r="K1094" s="62" t="s">
        <v>138</v>
      </c>
      <c r="L1094" s="68" t="b">
        <f aca="false">TRUE()</f>
        <v>1</v>
      </c>
    </row>
    <row r="1095" customFormat="false" ht="15" hidden="false" customHeight="false" outlineLevel="0" collapsed="false">
      <c r="A1095" s="62" t="n">
        <v>0</v>
      </c>
      <c r="B1095" s="21" t="s">
        <v>336</v>
      </c>
      <c r="C1095" s="62" t="s">
        <v>60</v>
      </c>
      <c r="D1095" s="62" t="s">
        <v>383</v>
      </c>
      <c r="E1095" s="62" t="s">
        <v>72</v>
      </c>
      <c r="F1095" s="62" t="s">
        <v>382</v>
      </c>
      <c r="G1095" s="63" t="s">
        <v>421</v>
      </c>
      <c r="H1095" s="64" t="n">
        <v>-100000000</v>
      </c>
      <c r="I1095" s="62" t="s">
        <v>81</v>
      </c>
      <c r="J1095" s="64" t="n">
        <v>-100000</v>
      </c>
      <c r="K1095" s="62" t="s">
        <v>138</v>
      </c>
      <c r="L1095" s="68" t="b">
        <f aca="false">TRUE()</f>
        <v>1</v>
      </c>
    </row>
    <row r="1096" customFormat="false" ht="15" hidden="false" customHeight="false" outlineLevel="0" collapsed="false">
      <c r="A1096" s="62" t="n">
        <v>0</v>
      </c>
      <c r="B1096" s="21" t="s">
        <v>336</v>
      </c>
      <c r="C1096" s="62" t="s">
        <v>60</v>
      </c>
      <c r="D1096" s="62" t="s">
        <v>384</v>
      </c>
      <c r="E1096" s="62" t="s">
        <v>72</v>
      </c>
      <c r="F1096" s="62" t="s">
        <v>382</v>
      </c>
      <c r="G1096" s="63" t="s">
        <v>421</v>
      </c>
      <c r="H1096" s="64" t="n">
        <v>-100000000</v>
      </c>
      <c r="I1096" s="62" t="s">
        <v>81</v>
      </c>
      <c r="J1096" s="64" t="n">
        <v>-100000</v>
      </c>
      <c r="K1096" s="62" t="s">
        <v>138</v>
      </c>
      <c r="L1096" s="68" t="b">
        <f aca="false">TRUE()</f>
        <v>1</v>
      </c>
    </row>
    <row r="1097" customFormat="false" ht="15" hidden="false" customHeight="false" outlineLevel="0" collapsed="false">
      <c r="A1097" s="62" t="n">
        <v>0</v>
      </c>
      <c r="B1097" s="21" t="s">
        <v>336</v>
      </c>
      <c r="C1097" s="62" t="s">
        <v>60</v>
      </c>
      <c r="D1097" s="62" t="s">
        <v>385</v>
      </c>
      <c r="E1097" s="62" t="s">
        <v>72</v>
      </c>
      <c r="F1097" s="62" t="s">
        <v>382</v>
      </c>
      <c r="G1097" s="63" t="s">
        <v>421</v>
      </c>
      <c r="H1097" s="64" t="n">
        <v>-100000000</v>
      </c>
      <c r="I1097" s="62" t="s">
        <v>81</v>
      </c>
      <c r="J1097" s="64" t="n">
        <v>-100000</v>
      </c>
      <c r="K1097" s="62" t="s">
        <v>138</v>
      </c>
      <c r="L1097" s="68" t="b">
        <f aca="false">TRUE()</f>
        <v>1</v>
      </c>
    </row>
    <row r="1098" customFormat="false" ht="15" hidden="false" customHeight="false" outlineLevel="0" collapsed="false">
      <c r="A1098" s="62" t="n">
        <v>0</v>
      </c>
      <c r="B1098" s="21" t="s">
        <v>336</v>
      </c>
      <c r="C1098" s="62" t="s">
        <v>60</v>
      </c>
      <c r="D1098" s="62" t="s">
        <v>386</v>
      </c>
      <c r="E1098" s="62" t="s">
        <v>72</v>
      </c>
      <c r="F1098" s="62" t="s">
        <v>382</v>
      </c>
      <c r="G1098" s="63" t="s">
        <v>421</v>
      </c>
      <c r="H1098" s="64" t="n">
        <v>-100000000</v>
      </c>
      <c r="I1098" s="62" t="s">
        <v>81</v>
      </c>
      <c r="J1098" s="64" t="n">
        <v>-100000</v>
      </c>
      <c r="K1098" s="62" t="s">
        <v>138</v>
      </c>
      <c r="L1098" s="68" t="b">
        <f aca="false">TRUE()</f>
        <v>1</v>
      </c>
    </row>
    <row r="1099" customFormat="false" ht="15" hidden="false" customHeight="false" outlineLevel="0" collapsed="false">
      <c r="A1099" s="62" t="n">
        <v>0</v>
      </c>
      <c r="B1099" s="21" t="s">
        <v>336</v>
      </c>
      <c r="C1099" s="62" t="s">
        <v>60</v>
      </c>
      <c r="D1099" s="62" t="s">
        <v>387</v>
      </c>
      <c r="E1099" s="62" t="s">
        <v>72</v>
      </c>
      <c r="F1099" s="62" t="s">
        <v>382</v>
      </c>
      <c r="G1099" s="63" t="s">
        <v>421</v>
      </c>
      <c r="H1099" s="64" t="n">
        <v>-100000000</v>
      </c>
      <c r="I1099" s="62" t="s">
        <v>81</v>
      </c>
      <c r="J1099" s="64" t="n">
        <v>-100000</v>
      </c>
      <c r="K1099" s="62" t="s">
        <v>138</v>
      </c>
      <c r="L1099" s="68" t="b">
        <f aca="false">TRUE()</f>
        <v>1</v>
      </c>
    </row>
    <row r="1100" customFormat="false" ht="15" hidden="false" customHeight="false" outlineLevel="0" collapsed="false">
      <c r="A1100" s="62" t="n">
        <v>0</v>
      </c>
      <c r="B1100" s="21" t="s">
        <v>336</v>
      </c>
      <c r="C1100" s="62" t="s">
        <v>60</v>
      </c>
      <c r="D1100" s="62" t="s">
        <v>388</v>
      </c>
      <c r="E1100" s="62" t="s">
        <v>72</v>
      </c>
      <c r="F1100" s="62" t="s">
        <v>382</v>
      </c>
      <c r="G1100" s="63" t="s">
        <v>421</v>
      </c>
      <c r="H1100" s="64" t="n">
        <v>-100000000</v>
      </c>
      <c r="I1100" s="62" t="s">
        <v>81</v>
      </c>
      <c r="J1100" s="64" t="n">
        <v>-100000</v>
      </c>
      <c r="K1100" s="62" t="s">
        <v>138</v>
      </c>
      <c r="L1100" s="68" t="b">
        <f aca="false">TRUE()</f>
        <v>1</v>
      </c>
    </row>
    <row r="1101" customFormat="false" ht="15" hidden="false" customHeight="false" outlineLevel="0" collapsed="false">
      <c r="A1101" s="62" t="n">
        <v>0</v>
      </c>
      <c r="B1101" s="21" t="s">
        <v>336</v>
      </c>
      <c r="C1101" s="62" t="s">
        <v>60</v>
      </c>
      <c r="D1101" s="62" t="s">
        <v>381</v>
      </c>
      <c r="E1101" s="62" t="s">
        <v>72</v>
      </c>
      <c r="F1101" s="62" t="s">
        <v>382</v>
      </c>
      <c r="G1101" s="63" t="s">
        <v>422</v>
      </c>
      <c r="H1101" s="64" t="n">
        <v>106005327.097154</v>
      </c>
      <c r="I1101" s="62" t="s">
        <v>81</v>
      </c>
      <c r="J1101" s="64" t="n">
        <v>106005.327097154</v>
      </c>
      <c r="K1101" s="62" t="s">
        <v>138</v>
      </c>
      <c r="L1101" s="68" t="b">
        <f aca="false">TRUE()</f>
        <v>1</v>
      </c>
    </row>
    <row r="1102" customFormat="false" ht="15" hidden="false" customHeight="false" outlineLevel="0" collapsed="false">
      <c r="A1102" s="62" t="n">
        <v>0</v>
      </c>
      <c r="B1102" s="21" t="s">
        <v>336</v>
      </c>
      <c r="C1102" s="62" t="s">
        <v>60</v>
      </c>
      <c r="D1102" s="62" t="s">
        <v>383</v>
      </c>
      <c r="E1102" s="62" t="s">
        <v>72</v>
      </c>
      <c r="F1102" s="62" t="s">
        <v>382</v>
      </c>
      <c r="G1102" s="63" t="s">
        <v>422</v>
      </c>
      <c r="H1102" s="64" t="n">
        <v>106005327.097154</v>
      </c>
      <c r="I1102" s="62" t="s">
        <v>81</v>
      </c>
      <c r="J1102" s="64" t="n">
        <v>106005.327097154</v>
      </c>
      <c r="K1102" s="62" t="s">
        <v>138</v>
      </c>
      <c r="L1102" s="68" t="b">
        <f aca="false">TRUE()</f>
        <v>1</v>
      </c>
    </row>
    <row r="1103" customFormat="false" ht="15" hidden="false" customHeight="false" outlineLevel="0" collapsed="false">
      <c r="A1103" s="62" t="n">
        <v>0</v>
      </c>
      <c r="B1103" s="21" t="s">
        <v>336</v>
      </c>
      <c r="C1103" s="62" t="s">
        <v>60</v>
      </c>
      <c r="D1103" s="62" t="s">
        <v>384</v>
      </c>
      <c r="E1103" s="62" t="s">
        <v>72</v>
      </c>
      <c r="F1103" s="62" t="s">
        <v>382</v>
      </c>
      <c r="G1103" s="63" t="s">
        <v>422</v>
      </c>
      <c r="H1103" s="64" t="n">
        <v>106005327.097154</v>
      </c>
      <c r="I1103" s="62" t="s">
        <v>81</v>
      </c>
      <c r="J1103" s="64" t="n">
        <v>106005.327097154</v>
      </c>
      <c r="K1103" s="62" t="s">
        <v>138</v>
      </c>
      <c r="L1103" s="68" t="b">
        <f aca="false">TRUE()</f>
        <v>1</v>
      </c>
    </row>
    <row r="1104" customFormat="false" ht="15" hidden="false" customHeight="false" outlineLevel="0" collapsed="false">
      <c r="A1104" s="62" t="n">
        <v>0</v>
      </c>
      <c r="B1104" s="21" t="s">
        <v>336</v>
      </c>
      <c r="C1104" s="62" t="s">
        <v>60</v>
      </c>
      <c r="D1104" s="62" t="s">
        <v>385</v>
      </c>
      <c r="E1104" s="62" t="s">
        <v>72</v>
      </c>
      <c r="F1104" s="62" t="s">
        <v>382</v>
      </c>
      <c r="G1104" s="63" t="s">
        <v>422</v>
      </c>
      <c r="H1104" s="64" t="n">
        <v>106005327.097154</v>
      </c>
      <c r="I1104" s="62" t="s">
        <v>81</v>
      </c>
      <c r="J1104" s="64" t="n">
        <v>106005.327097154</v>
      </c>
      <c r="K1104" s="62" t="s">
        <v>138</v>
      </c>
      <c r="L1104" s="68" t="b">
        <f aca="false">TRUE()</f>
        <v>1</v>
      </c>
    </row>
    <row r="1105" customFormat="false" ht="15" hidden="false" customHeight="false" outlineLevel="0" collapsed="false">
      <c r="A1105" s="62" t="n">
        <v>0</v>
      </c>
      <c r="B1105" s="21" t="s">
        <v>336</v>
      </c>
      <c r="C1105" s="62" t="s">
        <v>60</v>
      </c>
      <c r="D1105" s="62" t="s">
        <v>386</v>
      </c>
      <c r="E1105" s="62" t="s">
        <v>72</v>
      </c>
      <c r="F1105" s="62" t="s">
        <v>382</v>
      </c>
      <c r="G1105" s="63" t="s">
        <v>422</v>
      </c>
      <c r="H1105" s="64" t="n">
        <v>106005327.097154</v>
      </c>
      <c r="I1105" s="62" t="s">
        <v>81</v>
      </c>
      <c r="J1105" s="64" t="n">
        <v>106005.327097154</v>
      </c>
      <c r="K1105" s="62" t="s">
        <v>138</v>
      </c>
      <c r="L1105" s="68" t="b">
        <f aca="false">TRUE()</f>
        <v>1</v>
      </c>
    </row>
    <row r="1106" customFormat="false" ht="15" hidden="false" customHeight="false" outlineLevel="0" collapsed="false">
      <c r="A1106" s="62" t="n">
        <v>0</v>
      </c>
      <c r="B1106" s="21" t="s">
        <v>336</v>
      </c>
      <c r="C1106" s="62" t="s">
        <v>60</v>
      </c>
      <c r="D1106" s="62" t="s">
        <v>387</v>
      </c>
      <c r="E1106" s="62" t="s">
        <v>72</v>
      </c>
      <c r="F1106" s="62" t="s">
        <v>382</v>
      </c>
      <c r="G1106" s="63" t="s">
        <v>422</v>
      </c>
      <c r="H1106" s="64" t="n">
        <v>106005327.097154</v>
      </c>
      <c r="I1106" s="62" t="s">
        <v>81</v>
      </c>
      <c r="J1106" s="64" t="n">
        <v>106005.327097154</v>
      </c>
      <c r="K1106" s="62" t="s">
        <v>138</v>
      </c>
      <c r="L1106" s="68" t="b">
        <f aca="false">TRUE()</f>
        <v>1</v>
      </c>
    </row>
    <row r="1107" customFormat="false" ht="15" hidden="false" customHeight="false" outlineLevel="0" collapsed="false">
      <c r="A1107" s="62" t="n">
        <v>0</v>
      </c>
      <c r="B1107" s="21" t="s">
        <v>336</v>
      </c>
      <c r="C1107" s="62" t="s">
        <v>60</v>
      </c>
      <c r="D1107" s="62" t="s">
        <v>388</v>
      </c>
      <c r="E1107" s="62" t="s">
        <v>72</v>
      </c>
      <c r="F1107" s="62" t="s">
        <v>382</v>
      </c>
      <c r="G1107" s="63" t="s">
        <v>422</v>
      </c>
      <c r="H1107" s="64" t="n">
        <v>106005327.097154</v>
      </c>
      <c r="I1107" s="62" t="s">
        <v>81</v>
      </c>
      <c r="J1107" s="64" t="n">
        <v>106005.327097154</v>
      </c>
      <c r="K1107" s="62" t="s">
        <v>138</v>
      </c>
      <c r="L1107" s="68" t="b">
        <f aca="false">TRUE()</f>
        <v>1</v>
      </c>
    </row>
    <row r="1108" customFormat="false" ht="15" hidden="false" customHeight="false" outlineLevel="0" collapsed="false">
      <c r="A1108" s="62" t="n">
        <v>0</v>
      </c>
      <c r="B1108" s="21" t="s">
        <v>336</v>
      </c>
      <c r="C1108" s="62" t="s">
        <v>60</v>
      </c>
      <c r="D1108" s="62" t="s">
        <v>381</v>
      </c>
      <c r="E1108" s="62" t="s">
        <v>72</v>
      </c>
      <c r="F1108" s="62" t="s">
        <v>382</v>
      </c>
      <c r="G1108" s="63" t="s">
        <v>423</v>
      </c>
      <c r="H1108" s="64" t="n">
        <v>6005327.09715431</v>
      </c>
      <c r="I1108" s="62" t="s">
        <v>81</v>
      </c>
      <c r="J1108" s="64" t="n">
        <v>6005.32709715431</v>
      </c>
      <c r="K1108" s="62" t="s">
        <v>138</v>
      </c>
      <c r="L1108" s="68" t="b">
        <f aca="false">TRUE()</f>
        <v>1</v>
      </c>
    </row>
    <row r="1109" customFormat="false" ht="15" hidden="false" customHeight="false" outlineLevel="0" collapsed="false">
      <c r="A1109" s="62" t="n">
        <v>0</v>
      </c>
      <c r="B1109" s="21" t="s">
        <v>336</v>
      </c>
      <c r="C1109" s="62" t="s">
        <v>60</v>
      </c>
      <c r="D1109" s="62" t="s">
        <v>383</v>
      </c>
      <c r="E1109" s="62" t="s">
        <v>72</v>
      </c>
      <c r="F1109" s="62" t="s">
        <v>382</v>
      </c>
      <c r="G1109" s="63" t="s">
        <v>423</v>
      </c>
      <c r="H1109" s="64" t="n">
        <v>6005327.09715431</v>
      </c>
      <c r="I1109" s="62" t="s">
        <v>81</v>
      </c>
      <c r="J1109" s="64" t="n">
        <v>6005.32709715431</v>
      </c>
      <c r="K1109" s="62" t="s">
        <v>138</v>
      </c>
      <c r="L1109" s="68" t="b">
        <f aca="false">TRUE()</f>
        <v>1</v>
      </c>
    </row>
    <row r="1110" customFormat="false" ht="15" hidden="false" customHeight="false" outlineLevel="0" collapsed="false">
      <c r="A1110" s="62" t="n">
        <v>0</v>
      </c>
      <c r="B1110" s="21" t="s">
        <v>336</v>
      </c>
      <c r="C1110" s="62" t="s">
        <v>60</v>
      </c>
      <c r="D1110" s="62" t="s">
        <v>384</v>
      </c>
      <c r="E1110" s="62" t="s">
        <v>72</v>
      </c>
      <c r="F1110" s="62" t="s">
        <v>382</v>
      </c>
      <c r="G1110" s="63" t="s">
        <v>423</v>
      </c>
      <c r="H1110" s="64" t="n">
        <v>6005327.09715431</v>
      </c>
      <c r="I1110" s="62" t="s">
        <v>81</v>
      </c>
      <c r="J1110" s="64" t="n">
        <v>6005.32709715431</v>
      </c>
      <c r="K1110" s="62" t="s">
        <v>138</v>
      </c>
      <c r="L1110" s="68" t="b">
        <f aca="false">TRUE()</f>
        <v>1</v>
      </c>
    </row>
    <row r="1111" customFormat="false" ht="15" hidden="false" customHeight="false" outlineLevel="0" collapsed="false">
      <c r="A1111" s="62" t="n">
        <v>0</v>
      </c>
      <c r="B1111" s="21" t="s">
        <v>336</v>
      </c>
      <c r="C1111" s="62" t="s">
        <v>60</v>
      </c>
      <c r="D1111" s="62" t="s">
        <v>385</v>
      </c>
      <c r="E1111" s="62" t="s">
        <v>72</v>
      </c>
      <c r="F1111" s="62" t="s">
        <v>382</v>
      </c>
      <c r="G1111" s="63" t="s">
        <v>423</v>
      </c>
      <c r="H1111" s="64" t="n">
        <v>6005327.09715431</v>
      </c>
      <c r="I1111" s="62" t="s">
        <v>81</v>
      </c>
      <c r="J1111" s="64" t="n">
        <v>6005.32709715431</v>
      </c>
      <c r="K1111" s="62" t="s">
        <v>138</v>
      </c>
      <c r="L1111" s="68" t="b">
        <f aca="false">TRUE()</f>
        <v>1</v>
      </c>
    </row>
    <row r="1112" customFormat="false" ht="15" hidden="false" customHeight="false" outlineLevel="0" collapsed="false">
      <c r="A1112" s="62" t="n">
        <v>0</v>
      </c>
      <c r="B1112" s="21" t="s">
        <v>336</v>
      </c>
      <c r="C1112" s="62" t="s">
        <v>60</v>
      </c>
      <c r="D1112" s="62" t="s">
        <v>386</v>
      </c>
      <c r="E1112" s="62" t="s">
        <v>72</v>
      </c>
      <c r="F1112" s="62" t="s">
        <v>382</v>
      </c>
      <c r="G1112" s="63" t="s">
        <v>423</v>
      </c>
      <c r="H1112" s="64" t="n">
        <v>6005327.09715431</v>
      </c>
      <c r="I1112" s="62" t="s">
        <v>81</v>
      </c>
      <c r="J1112" s="64" t="n">
        <v>6005.32709715431</v>
      </c>
      <c r="K1112" s="62" t="s">
        <v>138</v>
      </c>
      <c r="L1112" s="68" t="b">
        <f aca="false">TRUE()</f>
        <v>1</v>
      </c>
    </row>
    <row r="1113" customFormat="false" ht="15" hidden="false" customHeight="false" outlineLevel="0" collapsed="false">
      <c r="A1113" s="62" t="n">
        <v>0</v>
      </c>
      <c r="B1113" s="21" t="s">
        <v>336</v>
      </c>
      <c r="C1113" s="62" t="s">
        <v>60</v>
      </c>
      <c r="D1113" s="62" t="s">
        <v>387</v>
      </c>
      <c r="E1113" s="62" t="s">
        <v>72</v>
      </c>
      <c r="F1113" s="62" t="s">
        <v>382</v>
      </c>
      <c r="G1113" s="63" t="s">
        <v>423</v>
      </c>
      <c r="H1113" s="64" t="n">
        <v>6005327.09715431</v>
      </c>
      <c r="I1113" s="62" t="s">
        <v>81</v>
      </c>
      <c r="J1113" s="64" t="n">
        <v>6005.32709715431</v>
      </c>
      <c r="K1113" s="62" t="s">
        <v>138</v>
      </c>
      <c r="L1113" s="68" t="b">
        <f aca="false">TRUE()</f>
        <v>1</v>
      </c>
    </row>
    <row r="1114" customFormat="false" ht="15" hidden="false" customHeight="false" outlineLevel="0" collapsed="false">
      <c r="A1114" s="62" t="n">
        <v>0</v>
      </c>
      <c r="B1114" s="21" t="s">
        <v>336</v>
      </c>
      <c r="C1114" s="62" t="s">
        <v>60</v>
      </c>
      <c r="D1114" s="62" t="s">
        <v>388</v>
      </c>
      <c r="E1114" s="62" t="s">
        <v>72</v>
      </c>
      <c r="F1114" s="62" t="s">
        <v>382</v>
      </c>
      <c r="G1114" s="63" t="s">
        <v>423</v>
      </c>
      <c r="H1114" s="64" t="n">
        <v>6005327.09715431</v>
      </c>
      <c r="I1114" s="62" t="s">
        <v>81</v>
      </c>
      <c r="J1114" s="64" t="n">
        <v>6005.32709715431</v>
      </c>
      <c r="K1114" s="62" t="s">
        <v>138</v>
      </c>
      <c r="L1114" s="68" t="b">
        <f aca="false">TRUE()</f>
        <v>1</v>
      </c>
    </row>
    <row r="1115" customFormat="false" ht="15" hidden="false" customHeight="false" outlineLevel="0" collapsed="false">
      <c r="A1115" s="62" t="n">
        <v>0</v>
      </c>
      <c r="B1115" s="21" t="s">
        <v>336</v>
      </c>
      <c r="C1115" s="62" t="s">
        <v>60</v>
      </c>
      <c r="D1115" s="62" t="s">
        <v>381</v>
      </c>
      <c r="E1115" s="62" t="s">
        <v>72</v>
      </c>
      <c r="F1115" s="62" t="s">
        <v>382</v>
      </c>
      <c r="G1115" s="63" t="s">
        <v>399</v>
      </c>
      <c r="H1115" s="64" t="n">
        <v>1835167834.74677</v>
      </c>
      <c r="I1115" s="62" t="s">
        <v>81</v>
      </c>
      <c r="J1115" s="64" t="n">
        <v>1835167.83474677</v>
      </c>
      <c r="K1115" s="62" t="s">
        <v>138</v>
      </c>
      <c r="L1115" s="68" t="b">
        <f aca="false">TRUE()</f>
        <v>1</v>
      </c>
    </row>
    <row r="1116" customFormat="false" ht="15" hidden="false" customHeight="false" outlineLevel="0" collapsed="false">
      <c r="A1116" s="62" t="n">
        <v>0</v>
      </c>
      <c r="B1116" s="21" t="s">
        <v>336</v>
      </c>
      <c r="C1116" s="62" t="s">
        <v>60</v>
      </c>
      <c r="D1116" s="62" t="s">
        <v>383</v>
      </c>
      <c r="E1116" s="62" t="s">
        <v>72</v>
      </c>
      <c r="F1116" s="62" t="s">
        <v>382</v>
      </c>
      <c r="G1116" s="63" t="s">
        <v>399</v>
      </c>
      <c r="H1116" s="64" t="n">
        <v>1835167834.74677</v>
      </c>
      <c r="I1116" s="62" t="s">
        <v>81</v>
      </c>
      <c r="J1116" s="64" t="n">
        <v>1835167.83474677</v>
      </c>
      <c r="K1116" s="62" t="s">
        <v>138</v>
      </c>
      <c r="L1116" s="68" t="b">
        <f aca="false">TRUE()</f>
        <v>1</v>
      </c>
    </row>
    <row r="1117" customFormat="false" ht="15" hidden="false" customHeight="false" outlineLevel="0" collapsed="false">
      <c r="A1117" s="62" t="n">
        <v>0</v>
      </c>
      <c r="B1117" s="21" t="s">
        <v>336</v>
      </c>
      <c r="C1117" s="62" t="s">
        <v>60</v>
      </c>
      <c r="D1117" s="62" t="s">
        <v>384</v>
      </c>
      <c r="E1117" s="62" t="s">
        <v>72</v>
      </c>
      <c r="F1117" s="62" t="s">
        <v>382</v>
      </c>
      <c r="G1117" s="63" t="s">
        <v>399</v>
      </c>
      <c r="H1117" s="64" t="n">
        <v>1835167834.74677</v>
      </c>
      <c r="I1117" s="62" t="s">
        <v>81</v>
      </c>
      <c r="J1117" s="64" t="n">
        <v>1835167.83474677</v>
      </c>
      <c r="K1117" s="62" t="s">
        <v>138</v>
      </c>
      <c r="L1117" s="68" t="b">
        <f aca="false">TRUE()</f>
        <v>1</v>
      </c>
    </row>
    <row r="1118" customFormat="false" ht="15" hidden="false" customHeight="false" outlineLevel="0" collapsed="false">
      <c r="A1118" s="62" t="n">
        <v>0</v>
      </c>
      <c r="B1118" s="21" t="s">
        <v>336</v>
      </c>
      <c r="C1118" s="62" t="s">
        <v>60</v>
      </c>
      <c r="D1118" s="62" t="s">
        <v>385</v>
      </c>
      <c r="E1118" s="62" t="s">
        <v>72</v>
      </c>
      <c r="F1118" s="62" t="s">
        <v>382</v>
      </c>
      <c r="G1118" s="63" t="s">
        <v>399</v>
      </c>
      <c r="H1118" s="64" t="n">
        <v>1835167834.74677</v>
      </c>
      <c r="I1118" s="62" t="s">
        <v>81</v>
      </c>
      <c r="J1118" s="64" t="n">
        <v>1835167.83474677</v>
      </c>
      <c r="K1118" s="62" t="s">
        <v>138</v>
      </c>
      <c r="L1118" s="68" t="b">
        <f aca="false">TRUE()</f>
        <v>1</v>
      </c>
    </row>
    <row r="1119" customFormat="false" ht="15" hidden="false" customHeight="false" outlineLevel="0" collapsed="false">
      <c r="A1119" s="62" t="n">
        <v>0</v>
      </c>
      <c r="B1119" s="21" t="s">
        <v>336</v>
      </c>
      <c r="C1119" s="62" t="s">
        <v>60</v>
      </c>
      <c r="D1119" s="62" t="s">
        <v>386</v>
      </c>
      <c r="E1119" s="62" t="s">
        <v>72</v>
      </c>
      <c r="F1119" s="62" t="s">
        <v>382</v>
      </c>
      <c r="G1119" s="63" t="s">
        <v>399</v>
      </c>
      <c r="H1119" s="64" t="n">
        <v>1835167834.74677</v>
      </c>
      <c r="I1119" s="62" t="s">
        <v>81</v>
      </c>
      <c r="J1119" s="64" t="n">
        <v>1835167.83474677</v>
      </c>
      <c r="K1119" s="62" t="s">
        <v>138</v>
      </c>
      <c r="L1119" s="68" t="b">
        <f aca="false">TRUE()</f>
        <v>1</v>
      </c>
    </row>
    <row r="1120" customFormat="false" ht="15" hidden="false" customHeight="false" outlineLevel="0" collapsed="false">
      <c r="A1120" s="62" t="n">
        <v>0</v>
      </c>
      <c r="B1120" s="21" t="s">
        <v>336</v>
      </c>
      <c r="C1120" s="62" t="s">
        <v>60</v>
      </c>
      <c r="D1120" s="62" t="s">
        <v>387</v>
      </c>
      <c r="E1120" s="62" t="s">
        <v>72</v>
      </c>
      <c r="F1120" s="62" t="s">
        <v>382</v>
      </c>
      <c r="G1120" s="63" t="s">
        <v>399</v>
      </c>
      <c r="H1120" s="64" t="n">
        <v>1835167834.74677</v>
      </c>
      <c r="I1120" s="62" t="s">
        <v>81</v>
      </c>
      <c r="J1120" s="64" t="n">
        <v>1835167.83474677</v>
      </c>
      <c r="K1120" s="62" t="s">
        <v>138</v>
      </c>
      <c r="L1120" s="68" t="b">
        <f aca="false">TRUE()</f>
        <v>1</v>
      </c>
    </row>
    <row r="1121" customFormat="false" ht="15" hidden="false" customHeight="false" outlineLevel="0" collapsed="false">
      <c r="A1121" s="62" t="n">
        <v>0</v>
      </c>
      <c r="B1121" s="21" t="s">
        <v>336</v>
      </c>
      <c r="C1121" s="62" t="s">
        <v>60</v>
      </c>
      <c r="D1121" s="62" t="s">
        <v>388</v>
      </c>
      <c r="E1121" s="62" t="s">
        <v>72</v>
      </c>
      <c r="F1121" s="62" t="s">
        <v>382</v>
      </c>
      <c r="G1121" s="63" t="s">
        <v>399</v>
      </c>
      <c r="H1121" s="64" t="n">
        <v>1835167834.74677</v>
      </c>
      <c r="I1121" s="62" t="s">
        <v>81</v>
      </c>
      <c r="J1121" s="64" t="n">
        <v>1835167.83474677</v>
      </c>
      <c r="K1121" s="62" t="s">
        <v>138</v>
      </c>
      <c r="L1121" s="68" t="b">
        <f aca="false">TRUE()</f>
        <v>1</v>
      </c>
    </row>
    <row r="1122" customFormat="false" ht="15" hidden="false" customHeight="false" outlineLevel="0" collapsed="false">
      <c r="A1122" s="62" t="n">
        <v>0</v>
      </c>
      <c r="B1122" s="21" t="s">
        <v>336</v>
      </c>
      <c r="C1122" s="62" t="s">
        <v>60</v>
      </c>
      <c r="D1122" s="62" t="s">
        <v>381</v>
      </c>
      <c r="E1122" s="62" t="s">
        <v>72</v>
      </c>
      <c r="F1122" s="62" t="s">
        <v>382</v>
      </c>
      <c r="G1122" s="63" t="s">
        <v>443</v>
      </c>
      <c r="H1122" s="64" t="n">
        <v>814263686.52734</v>
      </c>
      <c r="I1122" s="62" t="s">
        <v>81</v>
      </c>
      <c r="J1122" s="64" t="n">
        <v>814263.68652734</v>
      </c>
      <c r="K1122" s="62" t="s">
        <v>138</v>
      </c>
      <c r="L1122" s="68" t="b">
        <f aca="false">TRUE()</f>
        <v>1</v>
      </c>
    </row>
    <row r="1123" customFormat="false" ht="15" hidden="false" customHeight="false" outlineLevel="0" collapsed="false">
      <c r="A1123" s="62" t="n">
        <v>0</v>
      </c>
      <c r="B1123" s="21" t="s">
        <v>336</v>
      </c>
      <c r="C1123" s="62" t="s">
        <v>60</v>
      </c>
      <c r="D1123" s="62" t="s">
        <v>383</v>
      </c>
      <c r="E1123" s="62" t="s">
        <v>72</v>
      </c>
      <c r="F1123" s="62" t="s">
        <v>382</v>
      </c>
      <c r="G1123" s="63" t="s">
        <v>443</v>
      </c>
      <c r="H1123" s="64" t="n">
        <v>814263686.52734</v>
      </c>
      <c r="I1123" s="62" t="s">
        <v>81</v>
      </c>
      <c r="J1123" s="64" t="n">
        <v>814263.68652734</v>
      </c>
      <c r="K1123" s="62" t="s">
        <v>138</v>
      </c>
      <c r="L1123" s="68" t="b">
        <f aca="false">TRUE()</f>
        <v>1</v>
      </c>
    </row>
    <row r="1124" customFormat="false" ht="15" hidden="false" customHeight="false" outlineLevel="0" collapsed="false">
      <c r="A1124" s="62" t="n">
        <v>0</v>
      </c>
      <c r="B1124" s="21" t="s">
        <v>336</v>
      </c>
      <c r="C1124" s="62" t="s">
        <v>60</v>
      </c>
      <c r="D1124" s="62" t="s">
        <v>384</v>
      </c>
      <c r="E1124" s="62" t="s">
        <v>72</v>
      </c>
      <c r="F1124" s="62" t="s">
        <v>382</v>
      </c>
      <c r="G1124" s="63" t="s">
        <v>443</v>
      </c>
      <c r="H1124" s="64" t="n">
        <v>814263686.52734</v>
      </c>
      <c r="I1124" s="62" t="s">
        <v>81</v>
      </c>
      <c r="J1124" s="64" t="n">
        <v>814263.68652734</v>
      </c>
      <c r="K1124" s="62" t="s">
        <v>138</v>
      </c>
      <c r="L1124" s="68" t="b">
        <f aca="false">TRUE()</f>
        <v>1</v>
      </c>
    </row>
    <row r="1125" customFormat="false" ht="15" hidden="false" customHeight="false" outlineLevel="0" collapsed="false">
      <c r="A1125" s="62" t="n">
        <v>0</v>
      </c>
      <c r="B1125" s="21" t="s">
        <v>336</v>
      </c>
      <c r="C1125" s="62" t="s">
        <v>60</v>
      </c>
      <c r="D1125" s="62" t="s">
        <v>385</v>
      </c>
      <c r="E1125" s="62" t="s">
        <v>72</v>
      </c>
      <c r="F1125" s="62" t="s">
        <v>382</v>
      </c>
      <c r="G1125" s="63" t="s">
        <v>443</v>
      </c>
      <c r="H1125" s="64" t="n">
        <v>814263686.52734</v>
      </c>
      <c r="I1125" s="62" t="s">
        <v>81</v>
      </c>
      <c r="J1125" s="64" t="n">
        <v>814263.68652734</v>
      </c>
      <c r="K1125" s="62" t="s">
        <v>138</v>
      </c>
      <c r="L1125" s="68" t="b">
        <f aca="false">TRUE()</f>
        <v>1</v>
      </c>
    </row>
    <row r="1126" customFormat="false" ht="15" hidden="false" customHeight="false" outlineLevel="0" collapsed="false">
      <c r="A1126" s="62" t="n">
        <v>0</v>
      </c>
      <c r="B1126" s="21" t="s">
        <v>336</v>
      </c>
      <c r="C1126" s="62" t="s">
        <v>60</v>
      </c>
      <c r="D1126" s="62" t="s">
        <v>386</v>
      </c>
      <c r="E1126" s="62" t="s">
        <v>72</v>
      </c>
      <c r="F1126" s="62" t="s">
        <v>382</v>
      </c>
      <c r="G1126" s="63" t="s">
        <v>443</v>
      </c>
      <c r="H1126" s="64" t="n">
        <v>814263686.52734</v>
      </c>
      <c r="I1126" s="62" t="s">
        <v>81</v>
      </c>
      <c r="J1126" s="64" t="n">
        <v>814263.68652734</v>
      </c>
      <c r="K1126" s="62" t="s">
        <v>138</v>
      </c>
      <c r="L1126" s="68" t="b">
        <f aca="false">TRUE()</f>
        <v>1</v>
      </c>
    </row>
    <row r="1127" customFormat="false" ht="15" hidden="false" customHeight="false" outlineLevel="0" collapsed="false">
      <c r="A1127" s="62" t="n">
        <v>0</v>
      </c>
      <c r="B1127" s="21" t="s">
        <v>336</v>
      </c>
      <c r="C1127" s="62" t="s">
        <v>60</v>
      </c>
      <c r="D1127" s="62" t="s">
        <v>387</v>
      </c>
      <c r="E1127" s="62" t="s">
        <v>72</v>
      </c>
      <c r="F1127" s="62" t="s">
        <v>382</v>
      </c>
      <c r="G1127" s="63" t="s">
        <v>443</v>
      </c>
      <c r="H1127" s="64" t="n">
        <v>814263686.52734</v>
      </c>
      <c r="I1127" s="62" t="s">
        <v>81</v>
      </c>
      <c r="J1127" s="64" t="n">
        <v>814263.68652734</v>
      </c>
      <c r="K1127" s="62" t="s">
        <v>138</v>
      </c>
      <c r="L1127" s="68" t="b">
        <f aca="false">TRUE()</f>
        <v>1</v>
      </c>
    </row>
    <row r="1128" customFormat="false" ht="15" hidden="false" customHeight="false" outlineLevel="0" collapsed="false">
      <c r="A1128" s="62" t="n">
        <v>0</v>
      </c>
      <c r="B1128" s="21" t="s">
        <v>336</v>
      </c>
      <c r="C1128" s="62" t="s">
        <v>60</v>
      </c>
      <c r="D1128" s="62" t="s">
        <v>388</v>
      </c>
      <c r="E1128" s="62" t="s">
        <v>72</v>
      </c>
      <c r="F1128" s="62" t="s">
        <v>382</v>
      </c>
      <c r="G1128" s="63" t="s">
        <v>443</v>
      </c>
      <c r="H1128" s="64" t="n">
        <v>814263686.52734</v>
      </c>
      <c r="I1128" s="62" t="s">
        <v>81</v>
      </c>
      <c r="J1128" s="64" t="n">
        <v>814263.68652734</v>
      </c>
      <c r="K1128" s="62" t="s">
        <v>138</v>
      </c>
      <c r="L1128" s="68" t="b">
        <f aca="false">TRUE()</f>
        <v>1</v>
      </c>
    </row>
    <row r="1129" customFormat="false" ht="15" hidden="false" customHeight="false" outlineLevel="0" collapsed="false">
      <c r="A1129" s="62" t="n">
        <v>0</v>
      </c>
      <c r="B1129" s="21" t="s">
        <v>336</v>
      </c>
      <c r="C1129" s="62" t="s">
        <v>60</v>
      </c>
      <c r="D1129" s="62" t="s">
        <v>381</v>
      </c>
      <c r="E1129" s="62" t="s">
        <v>72</v>
      </c>
      <c r="F1129" s="62" t="s">
        <v>382</v>
      </c>
      <c r="G1129" s="63" t="s">
        <v>444</v>
      </c>
      <c r="H1129" s="64" t="n">
        <v>-656964000</v>
      </c>
      <c r="I1129" s="62" t="s">
        <v>81</v>
      </c>
      <c r="J1129" s="64" t="n">
        <v>-656964</v>
      </c>
      <c r="K1129" s="62" t="s">
        <v>138</v>
      </c>
      <c r="L1129" s="68" t="b">
        <f aca="false">TRUE()</f>
        <v>1</v>
      </c>
    </row>
    <row r="1130" customFormat="false" ht="15" hidden="false" customHeight="false" outlineLevel="0" collapsed="false">
      <c r="A1130" s="62" t="n">
        <v>0</v>
      </c>
      <c r="B1130" s="21" t="s">
        <v>336</v>
      </c>
      <c r="C1130" s="62" t="s">
        <v>60</v>
      </c>
      <c r="D1130" s="62" t="s">
        <v>383</v>
      </c>
      <c r="E1130" s="62" t="s">
        <v>72</v>
      </c>
      <c r="F1130" s="62" t="s">
        <v>382</v>
      </c>
      <c r="G1130" s="63" t="s">
        <v>444</v>
      </c>
      <c r="H1130" s="64" t="n">
        <v>-656964000</v>
      </c>
      <c r="I1130" s="62" t="s">
        <v>81</v>
      </c>
      <c r="J1130" s="64" t="n">
        <v>-656964</v>
      </c>
      <c r="K1130" s="62" t="s">
        <v>138</v>
      </c>
      <c r="L1130" s="68" t="b">
        <f aca="false">TRUE()</f>
        <v>1</v>
      </c>
    </row>
    <row r="1131" customFormat="false" ht="15" hidden="false" customHeight="false" outlineLevel="0" collapsed="false">
      <c r="A1131" s="62" t="n">
        <v>0</v>
      </c>
      <c r="B1131" s="21" t="s">
        <v>336</v>
      </c>
      <c r="C1131" s="62" t="s">
        <v>60</v>
      </c>
      <c r="D1131" s="62" t="s">
        <v>384</v>
      </c>
      <c r="E1131" s="62" t="s">
        <v>72</v>
      </c>
      <c r="F1131" s="62" t="s">
        <v>382</v>
      </c>
      <c r="G1131" s="63" t="s">
        <v>444</v>
      </c>
      <c r="H1131" s="64" t="n">
        <v>-656964000</v>
      </c>
      <c r="I1131" s="62" t="s">
        <v>81</v>
      </c>
      <c r="J1131" s="64" t="n">
        <v>-656964</v>
      </c>
      <c r="K1131" s="62" t="s">
        <v>138</v>
      </c>
      <c r="L1131" s="68" t="b">
        <f aca="false">TRUE()</f>
        <v>1</v>
      </c>
    </row>
    <row r="1132" customFormat="false" ht="15" hidden="false" customHeight="false" outlineLevel="0" collapsed="false">
      <c r="A1132" s="62" t="n">
        <v>0</v>
      </c>
      <c r="B1132" s="21" t="s">
        <v>336</v>
      </c>
      <c r="C1132" s="62" t="s">
        <v>60</v>
      </c>
      <c r="D1132" s="62" t="s">
        <v>385</v>
      </c>
      <c r="E1132" s="62" t="s">
        <v>72</v>
      </c>
      <c r="F1132" s="62" t="s">
        <v>382</v>
      </c>
      <c r="G1132" s="63" t="s">
        <v>444</v>
      </c>
      <c r="H1132" s="64" t="n">
        <v>-656964000</v>
      </c>
      <c r="I1132" s="62" t="s">
        <v>81</v>
      </c>
      <c r="J1132" s="64" t="n">
        <v>-656964</v>
      </c>
      <c r="K1132" s="62" t="s">
        <v>138</v>
      </c>
      <c r="L1132" s="68" t="b">
        <f aca="false">TRUE()</f>
        <v>1</v>
      </c>
    </row>
    <row r="1133" customFormat="false" ht="15" hidden="false" customHeight="false" outlineLevel="0" collapsed="false">
      <c r="A1133" s="62" t="n">
        <v>0</v>
      </c>
      <c r="B1133" s="21" t="s">
        <v>336</v>
      </c>
      <c r="C1133" s="62" t="s">
        <v>60</v>
      </c>
      <c r="D1133" s="62" t="s">
        <v>386</v>
      </c>
      <c r="E1133" s="62" t="s">
        <v>72</v>
      </c>
      <c r="F1133" s="62" t="s">
        <v>382</v>
      </c>
      <c r="G1133" s="63" t="s">
        <v>444</v>
      </c>
      <c r="H1133" s="64" t="n">
        <v>-656964000</v>
      </c>
      <c r="I1133" s="62" t="s">
        <v>81</v>
      </c>
      <c r="J1133" s="64" t="n">
        <v>-656964</v>
      </c>
      <c r="K1133" s="62" t="s">
        <v>138</v>
      </c>
      <c r="L1133" s="68" t="b">
        <f aca="false">TRUE()</f>
        <v>1</v>
      </c>
    </row>
    <row r="1134" customFormat="false" ht="15" hidden="false" customHeight="false" outlineLevel="0" collapsed="false">
      <c r="A1134" s="62" t="n">
        <v>0</v>
      </c>
      <c r="B1134" s="21" t="s">
        <v>336</v>
      </c>
      <c r="C1134" s="62" t="s">
        <v>60</v>
      </c>
      <c r="D1134" s="62" t="s">
        <v>387</v>
      </c>
      <c r="E1134" s="62" t="s">
        <v>72</v>
      </c>
      <c r="F1134" s="62" t="s">
        <v>382</v>
      </c>
      <c r="G1134" s="63" t="s">
        <v>444</v>
      </c>
      <c r="H1134" s="64" t="n">
        <v>-656964000</v>
      </c>
      <c r="I1134" s="62" t="s">
        <v>81</v>
      </c>
      <c r="J1134" s="64" t="n">
        <v>-656964</v>
      </c>
      <c r="K1134" s="62" t="s">
        <v>138</v>
      </c>
      <c r="L1134" s="68" t="b">
        <f aca="false">TRUE()</f>
        <v>1</v>
      </c>
    </row>
    <row r="1135" customFormat="false" ht="15" hidden="false" customHeight="false" outlineLevel="0" collapsed="false">
      <c r="A1135" s="62" t="n">
        <v>0</v>
      </c>
      <c r="B1135" s="21" t="s">
        <v>336</v>
      </c>
      <c r="C1135" s="62" t="s">
        <v>60</v>
      </c>
      <c r="D1135" s="62" t="s">
        <v>388</v>
      </c>
      <c r="E1135" s="62" t="s">
        <v>72</v>
      </c>
      <c r="F1135" s="62" t="s">
        <v>382</v>
      </c>
      <c r="G1135" s="63" t="s">
        <v>444</v>
      </c>
      <c r="H1135" s="64" t="n">
        <v>-656964000</v>
      </c>
      <c r="I1135" s="62" t="s">
        <v>81</v>
      </c>
      <c r="J1135" s="64" t="n">
        <v>-656964</v>
      </c>
      <c r="K1135" s="62" t="s">
        <v>138</v>
      </c>
      <c r="L1135" s="68" t="b">
        <f aca="false">TRUE()</f>
        <v>1</v>
      </c>
    </row>
    <row r="1136" customFormat="false" ht="15" hidden="false" customHeight="false" outlineLevel="0" collapsed="false">
      <c r="A1136" s="62" t="n">
        <v>0</v>
      </c>
      <c r="B1136" s="21" t="s">
        <v>336</v>
      </c>
      <c r="C1136" s="62" t="s">
        <v>60</v>
      </c>
      <c r="D1136" s="62" t="s">
        <v>381</v>
      </c>
      <c r="E1136" s="62" t="s">
        <v>72</v>
      </c>
      <c r="F1136" s="62" t="s">
        <v>382</v>
      </c>
      <c r="G1136" s="63" t="s">
        <v>446</v>
      </c>
      <c r="H1136" s="64" t="n">
        <v>106005327.097154</v>
      </c>
      <c r="I1136" s="62" t="s">
        <v>81</v>
      </c>
      <c r="J1136" s="64" t="n">
        <v>106005.327097154</v>
      </c>
      <c r="K1136" s="62" t="s">
        <v>138</v>
      </c>
      <c r="L1136" s="68" t="b">
        <f aca="false">TRUE()</f>
        <v>1</v>
      </c>
    </row>
    <row r="1137" customFormat="false" ht="15" hidden="false" customHeight="false" outlineLevel="0" collapsed="false">
      <c r="A1137" s="62" t="n">
        <v>0</v>
      </c>
      <c r="B1137" s="21" t="s">
        <v>336</v>
      </c>
      <c r="C1137" s="62" t="s">
        <v>60</v>
      </c>
      <c r="D1137" s="62" t="s">
        <v>383</v>
      </c>
      <c r="E1137" s="62" t="s">
        <v>72</v>
      </c>
      <c r="F1137" s="62" t="s">
        <v>382</v>
      </c>
      <c r="G1137" s="63" t="s">
        <v>446</v>
      </c>
      <c r="H1137" s="64" t="n">
        <v>106005327.097154</v>
      </c>
      <c r="I1137" s="62" t="s">
        <v>81</v>
      </c>
      <c r="J1137" s="64" t="n">
        <v>106005.327097154</v>
      </c>
      <c r="K1137" s="62" t="s">
        <v>138</v>
      </c>
      <c r="L1137" s="68" t="b">
        <f aca="false">TRUE()</f>
        <v>1</v>
      </c>
    </row>
    <row r="1138" customFormat="false" ht="15" hidden="false" customHeight="false" outlineLevel="0" collapsed="false">
      <c r="A1138" s="62" t="n">
        <v>0</v>
      </c>
      <c r="B1138" s="21" t="s">
        <v>336</v>
      </c>
      <c r="C1138" s="62" t="s">
        <v>60</v>
      </c>
      <c r="D1138" s="62" t="s">
        <v>384</v>
      </c>
      <c r="E1138" s="62" t="s">
        <v>72</v>
      </c>
      <c r="F1138" s="62" t="s">
        <v>382</v>
      </c>
      <c r="G1138" s="63" t="s">
        <v>446</v>
      </c>
      <c r="H1138" s="64" t="n">
        <v>106005327.097154</v>
      </c>
      <c r="I1138" s="62" t="s">
        <v>81</v>
      </c>
      <c r="J1138" s="64" t="n">
        <v>106005.327097154</v>
      </c>
      <c r="K1138" s="62" t="s">
        <v>138</v>
      </c>
      <c r="L1138" s="68" t="b">
        <f aca="false">TRUE()</f>
        <v>1</v>
      </c>
    </row>
    <row r="1139" customFormat="false" ht="15" hidden="false" customHeight="false" outlineLevel="0" collapsed="false">
      <c r="A1139" s="62" t="n">
        <v>0</v>
      </c>
      <c r="B1139" s="21" t="s">
        <v>336</v>
      </c>
      <c r="C1139" s="62" t="s">
        <v>60</v>
      </c>
      <c r="D1139" s="62" t="s">
        <v>385</v>
      </c>
      <c r="E1139" s="62" t="s">
        <v>72</v>
      </c>
      <c r="F1139" s="62" t="s">
        <v>382</v>
      </c>
      <c r="G1139" s="63" t="s">
        <v>446</v>
      </c>
      <c r="H1139" s="64" t="n">
        <v>106005327.097154</v>
      </c>
      <c r="I1139" s="62" t="s">
        <v>81</v>
      </c>
      <c r="J1139" s="64" t="n">
        <v>106005.327097154</v>
      </c>
      <c r="K1139" s="62" t="s">
        <v>138</v>
      </c>
      <c r="L1139" s="68" t="b">
        <f aca="false">TRUE()</f>
        <v>1</v>
      </c>
    </row>
    <row r="1140" customFormat="false" ht="15" hidden="false" customHeight="false" outlineLevel="0" collapsed="false">
      <c r="A1140" s="62" t="n">
        <v>0</v>
      </c>
      <c r="B1140" s="21" t="s">
        <v>336</v>
      </c>
      <c r="C1140" s="62" t="s">
        <v>60</v>
      </c>
      <c r="D1140" s="62" t="s">
        <v>386</v>
      </c>
      <c r="E1140" s="62" t="s">
        <v>72</v>
      </c>
      <c r="F1140" s="62" t="s">
        <v>382</v>
      </c>
      <c r="G1140" s="63" t="s">
        <v>446</v>
      </c>
      <c r="H1140" s="64" t="n">
        <v>106005327.097154</v>
      </c>
      <c r="I1140" s="62" t="s">
        <v>81</v>
      </c>
      <c r="J1140" s="64" t="n">
        <v>106005.327097154</v>
      </c>
      <c r="K1140" s="62" t="s">
        <v>138</v>
      </c>
      <c r="L1140" s="68" t="b">
        <f aca="false">TRUE()</f>
        <v>1</v>
      </c>
    </row>
    <row r="1141" customFormat="false" ht="15" hidden="false" customHeight="false" outlineLevel="0" collapsed="false">
      <c r="A1141" s="62" t="n">
        <v>0</v>
      </c>
      <c r="B1141" s="21" t="s">
        <v>336</v>
      </c>
      <c r="C1141" s="62" t="s">
        <v>60</v>
      </c>
      <c r="D1141" s="62" t="s">
        <v>387</v>
      </c>
      <c r="E1141" s="62" t="s">
        <v>72</v>
      </c>
      <c r="F1141" s="62" t="s">
        <v>382</v>
      </c>
      <c r="G1141" s="63" t="s">
        <v>446</v>
      </c>
      <c r="H1141" s="64" t="n">
        <v>106005327.097154</v>
      </c>
      <c r="I1141" s="62" t="s">
        <v>81</v>
      </c>
      <c r="J1141" s="64" t="n">
        <v>106005.327097154</v>
      </c>
      <c r="K1141" s="62" t="s">
        <v>138</v>
      </c>
      <c r="L1141" s="68" t="b">
        <f aca="false">TRUE()</f>
        <v>1</v>
      </c>
    </row>
    <row r="1142" customFormat="false" ht="15" hidden="false" customHeight="false" outlineLevel="0" collapsed="false">
      <c r="A1142" s="62" t="n">
        <v>0</v>
      </c>
      <c r="B1142" s="21" t="s">
        <v>336</v>
      </c>
      <c r="C1142" s="62" t="s">
        <v>60</v>
      </c>
      <c r="D1142" s="62" t="s">
        <v>388</v>
      </c>
      <c r="E1142" s="62" t="s">
        <v>72</v>
      </c>
      <c r="F1142" s="62" t="s">
        <v>382</v>
      </c>
      <c r="G1142" s="63" t="s">
        <v>446</v>
      </c>
      <c r="H1142" s="64" t="n">
        <v>106005327.097154</v>
      </c>
      <c r="I1142" s="62" t="s">
        <v>81</v>
      </c>
      <c r="J1142" s="64" t="n">
        <v>106005.327097154</v>
      </c>
      <c r="K1142" s="62" t="s">
        <v>138</v>
      </c>
      <c r="L1142" s="68" t="b">
        <f aca="false">TRUE()</f>
        <v>1</v>
      </c>
    </row>
    <row r="1143" customFormat="false" ht="15" hidden="false" customHeight="false" outlineLevel="0" collapsed="false">
      <c r="A1143" s="62" t="n">
        <v>0</v>
      </c>
      <c r="B1143" s="21" t="s">
        <v>336</v>
      </c>
      <c r="C1143" s="62" t="s">
        <v>60</v>
      </c>
      <c r="D1143" s="62" t="s">
        <v>381</v>
      </c>
      <c r="E1143" s="62" t="s">
        <v>72</v>
      </c>
      <c r="F1143" s="62" t="s">
        <v>382</v>
      </c>
      <c r="G1143" s="63" t="s">
        <v>447</v>
      </c>
      <c r="H1143" s="64" t="n">
        <v>5898652.71870569</v>
      </c>
      <c r="I1143" s="62" t="s">
        <v>81</v>
      </c>
      <c r="J1143" s="64" t="n">
        <v>5898.65271870569</v>
      </c>
      <c r="K1143" s="62" t="s">
        <v>138</v>
      </c>
      <c r="L1143" s="68" t="b">
        <f aca="false">TRUE()</f>
        <v>1</v>
      </c>
    </row>
    <row r="1144" customFormat="false" ht="15" hidden="false" customHeight="false" outlineLevel="0" collapsed="false">
      <c r="A1144" s="62" t="n">
        <v>0</v>
      </c>
      <c r="B1144" s="21" t="s">
        <v>336</v>
      </c>
      <c r="C1144" s="62" t="s">
        <v>60</v>
      </c>
      <c r="D1144" s="62" t="s">
        <v>383</v>
      </c>
      <c r="E1144" s="62" t="s">
        <v>72</v>
      </c>
      <c r="F1144" s="62" t="s">
        <v>382</v>
      </c>
      <c r="G1144" s="63" t="s">
        <v>447</v>
      </c>
      <c r="H1144" s="64" t="n">
        <v>5898652.71870569</v>
      </c>
      <c r="I1144" s="62" t="s">
        <v>81</v>
      </c>
      <c r="J1144" s="64" t="n">
        <v>5898.65271870569</v>
      </c>
      <c r="K1144" s="62" t="s">
        <v>138</v>
      </c>
      <c r="L1144" s="68" t="b">
        <f aca="false">TRUE()</f>
        <v>1</v>
      </c>
    </row>
    <row r="1145" customFormat="false" ht="15" hidden="false" customHeight="false" outlineLevel="0" collapsed="false">
      <c r="A1145" s="62" t="n">
        <v>0</v>
      </c>
      <c r="B1145" s="21" t="s">
        <v>336</v>
      </c>
      <c r="C1145" s="62" t="s">
        <v>60</v>
      </c>
      <c r="D1145" s="62" t="s">
        <v>384</v>
      </c>
      <c r="E1145" s="62" t="s">
        <v>72</v>
      </c>
      <c r="F1145" s="62" t="s">
        <v>382</v>
      </c>
      <c r="G1145" s="63" t="s">
        <v>447</v>
      </c>
      <c r="H1145" s="64" t="n">
        <v>5898652.71870569</v>
      </c>
      <c r="I1145" s="62" t="s">
        <v>81</v>
      </c>
      <c r="J1145" s="64" t="n">
        <v>5898.65271870569</v>
      </c>
      <c r="K1145" s="62" t="s">
        <v>138</v>
      </c>
      <c r="L1145" s="68" t="b">
        <f aca="false">TRUE()</f>
        <v>1</v>
      </c>
    </row>
    <row r="1146" customFormat="false" ht="15" hidden="false" customHeight="false" outlineLevel="0" collapsed="false">
      <c r="A1146" s="62" t="n">
        <v>0</v>
      </c>
      <c r="B1146" s="21" t="s">
        <v>336</v>
      </c>
      <c r="C1146" s="62" t="s">
        <v>60</v>
      </c>
      <c r="D1146" s="62" t="s">
        <v>385</v>
      </c>
      <c r="E1146" s="62" t="s">
        <v>72</v>
      </c>
      <c r="F1146" s="62" t="s">
        <v>382</v>
      </c>
      <c r="G1146" s="63" t="s">
        <v>447</v>
      </c>
      <c r="H1146" s="64" t="n">
        <v>5898652.71870569</v>
      </c>
      <c r="I1146" s="62" t="s">
        <v>81</v>
      </c>
      <c r="J1146" s="64" t="n">
        <v>5898.65271870569</v>
      </c>
      <c r="K1146" s="62" t="s">
        <v>138</v>
      </c>
      <c r="L1146" s="68" t="b">
        <f aca="false">TRUE()</f>
        <v>1</v>
      </c>
    </row>
    <row r="1147" customFormat="false" ht="15" hidden="false" customHeight="false" outlineLevel="0" collapsed="false">
      <c r="A1147" s="62" t="n">
        <v>0</v>
      </c>
      <c r="B1147" s="21" t="s">
        <v>336</v>
      </c>
      <c r="C1147" s="62" t="s">
        <v>60</v>
      </c>
      <c r="D1147" s="62" t="s">
        <v>386</v>
      </c>
      <c r="E1147" s="62" t="s">
        <v>72</v>
      </c>
      <c r="F1147" s="62" t="s">
        <v>382</v>
      </c>
      <c r="G1147" s="63" t="s">
        <v>447</v>
      </c>
      <c r="H1147" s="64" t="n">
        <v>5898652.71870569</v>
      </c>
      <c r="I1147" s="62" t="s">
        <v>81</v>
      </c>
      <c r="J1147" s="64" t="n">
        <v>5898.65271870569</v>
      </c>
      <c r="K1147" s="62" t="s">
        <v>138</v>
      </c>
      <c r="L1147" s="68" t="b">
        <f aca="false">TRUE()</f>
        <v>1</v>
      </c>
    </row>
    <row r="1148" customFormat="false" ht="15" hidden="false" customHeight="false" outlineLevel="0" collapsed="false">
      <c r="A1148" s="62" t="n">
        <v>0</v>
      </c>
      <c r="B1148" s="21" t="s">
        <v>336</v>
      </c>
      <c r="C1148" s="62" t="s">
        <v>60</v>
      </c>
      <c r="D1148" s="62" t="s">
        <v>387</v>
      </c>
      <c r="E1148" s="62" t="s">
        <v>72</v>
      </c>
      <c r="F1148" s="62" t="s">
        <v>382</v>
      </c>
      <c r="G1148" s="63" t="s">
        <v>447</v>
      </c>
      <c r="H1148" s="64" t="n">
        <v>5898652.71870569</v>
      </c>
      <c r="I1148" s="62" t="s">
        <v>81</v>
      </c>
      <c r="J1148" s="64" t="n">
        <v>5898.65271870569</v>
      </c>
      <c r="K1148" s="62" t="s">
        <v>138</v>
      </c>
      <c r="L1148" s="68" t="b">
        <f aca="false">TRUE()</f>
        <v>1</v>
      </c>
    </row>
    <row r="1149" customFormat="false" ht="15" hidden="false" customHeight="false" outlineLevel="0" collapsed="false">
      <c r="A1149" s="62" t="n">
        <v>0</v>
      </c>
      <c r="B1149" s="21" t="s">
        <v>336</v>
      </c>
      <c r="C1149" s="62" t="s">
        <v>60</v>
      </c>
      <c r="D1149" s="62" t="s">
        <v>388</v>
      </c>
      <c r="E1149" s="62" t="s">
        <v>72</v>
      </c>
      <c r="F1149" s="62" t="s">
        <v>382</v>
      </c>
      <c r="G1149" s="63" t="s">
        <v>447</v>
      </c>
      <c r="H1149" s="64" t="n">
        <v>5898652.71870569</v>
      </c>
      <c r="I1149" s="62" t="s">
        <v>81</v>
      </c>
      <c r="J1149" s="64" t="n">
        <v>5898.65271870569</v>
      </c>
      <c r="K1149" s="62" t="s">
        <v>138</v>
      </c>
      <c r="L1149" s="68" t="b">
        <f aca="false">TRUE()</f>
        <v>1</v>
      </c>
    </row>
    <row r="1150" customFormat="false" ht="15" hidden="false" customHeight="false" outlineLevel="0" collapsed="false">
      <c r="A1150" s="62" t="n">
        <v>0</v>
      </c>
      <c r="B1150" s="21" t="s">
        <v>336</v>
      </c>
      <c r="C1150" s="62" t="s">
        <v>60</v>
      </c>
      <c r="D1150" s="62" t="s">
        <v>381</v>
      </c>
      <c r="E1150" s="62" t="s">
        <v>72</v>
      </c>
      <c r="F1150" s="62" t="s">
        <v>382</v>
      </c>
      <c r="G1150" s="63" t="s">
        <v>448</v>
      </c>
      <c r="H1150" s="64" t="n">
        <v>-221443831.596432</v>
      </c>
      <c r="I1150" s="62" t="s">
        <v>81</v>
      </c>
      <c r="J1150" s="64" t="n">
        <v>-221443.831596432</v>
      </c>
      <c r="K1150" s="62" t="s">
        <v>138</v>
      </c>
      <c r="L1150" s="68" t="b">
        <f aca="false">TRUE()</f>
        <v>1</v>
      </c>
    </row>
    <row r="1151" customFormat="false" ht="15" hidden="false" customHeight="false" outlineLevel="0" collapsed="false">
      <c r="A1151" s="62" t="n">
        <v>0</v>
      </c>
      <c r="B1151" s="21" t="s">
        <v>336</v>
      </c>
      <c r="C1151" s="62" t="s">
        <v>60</v>
      </c>
      <c r="D1151" s="62" t="s">
        <v>383</v>
      </c>
      <c r="E1151" s="62" t="s">
        <v>72</v>
      </c>
      <c r="F1151" s="62" t="s">
        <v>382</v>
      </c>
      <c r="G1151" s="63" t="s">
        <v>448</v>
      </c>
      <c r="H1151" s="64" t="n">
        <v>-221443831.596432</v>
      </c>
      <c r="I1151" s="62" t="s">
        <v>81</v>
      </c>
      <c r="J1151" s="64" t="n">
        <v>-221443.831596432</v>
      </c>
      <c r="K1151" s="62" t="s">
        <v>138</v>
      </c>
      <c r="L1151" s="68" t="b">
        <f aca="false">TRUE()</f>
        <v>1</v>
      </c>
    </row>
    <row r="1152" customFormat="false" ht="15" hidden="false" customHeight="false" outlineLevel="0" collapsed="false">
      <c r="A1152" s="62" t="n">
        <v>0</v>
      </c>
      <c r="B1152" s="21" t="s">
        <v>336</v>
      </c>
      <c r="C1152" s="62" t="s">
        <v>60</v>
      </c>
      <c r="D1152" s="62" t="s">
        <v>384</v>
      </c>
      <c r="E1152" s="62" t="s">
        <v>72</v>
      </c>
      <c r="F1152" s="62" t="s">
        <v>382</v>
      </c>
      <c r="G1152" s="63" t="s">
        <v>448</v>
      </c>
      <c r="H1152" s="64" t="n">
        <v>-221443831.596432</v>
      </c>
      <c r="I1152" s="62" t="s">
        <v>81</v>
      </c>
      <c r="J1152" s="64" t="n">
        <v>-221443.831596432</v>
      </c>
      <c r="K1152" s="62" t="s">
        <v>138</v>
      </c>
      <c r="L1152" s="68" t="b">
        <f aca="false">TRUE()</f>
        <v>1</v>
      </c>
    </row>
    <row r="1153" customFormat="false" ht="15" hidden="false" customHeight="false" outlineLevel="0" collapsed="false">
      <c r="A1153" s="62" t="n">
        <v>0</v>
      </c>
      <c r="B1153" s="21" t="s">
        <v>336</v>
      </c>
      <c r="C1153" s="62" t="s">
        <v>60</v>
      </c>
      <c r="D1153" s="62" t="s">
        <v>385</v>
      </c>
      <c r="E1153" s="62" t="s">
        <v>72</v>
      </c>
      <c r="F1153" s="62" t="s">
        <v>382</v>
      </c>
      <c r="G1153" s="63" t="s">
        <v>448</v>
      </c>
      <c r="H1153" s="64" t="n">
        <v>-221443831.596432</v>
      </c>
      <c r="I1153" s="62" t="s">
        <v>81</v>
      </c>
      <c r="J1153" s="64" t="n">
        <v>-221443.831596432</v>
      </c>
      <c r="K1153" s="62" t="s">
        <v>138</v>
      </c>
      <c r="L1153" s="68" t="b">
        <f aca="false">TRUE()</f>
        <v>1</v>
      </c>
    </row>
    <row r="1154" customFormat="false" ht="15" hidden="false" customHeight="false" outlineLevel="0" collapsed="false">
      <c r="A1154" s="62" t="n">
        <v>0</v>
      </c>
      <c r="B1154" s="21" t="s">
        <v>336</v>
      </c>
      <c r="C1154" s="62" t="s">
        <v>60</v>
      </c>
      <c r="D1154" s="62" t="s">
        <v>386</v>
      </c>
      <c r="E1154" s="62" t="s">
        <v>72</v>
      </c>
      <c r="F1154" s="62" t="s">
        <v>382</v>
      </c>
      <c r="G1154" s="63" t="s">
        <v>448</v>
      </c>
      <c r="H1154" s="64" t="n">
        <v>-221443831.596432</v>
      </c>
      <c r="I1154" s="62" t="s">
        <v>81</v>
      </c>
      <c r="J1154" s="64" t="n">
        <v>-221443.831596432</v>
      </c>
      <c r="K1154" s="62" t="s">
        <v>138</v>
      </c>
      <c r="L1154" s="68" t="b">
        <f aca="false">TRUE()</f>
        <v>1</v>
      </c>
    </row>
    <row r="1155" customFormat="false" ht="15" hidden="false" customHeight="false" outlineLevel="0" collapsed="false">
      <c r="A1155" s="62" t="n">
        <v>0</v>
      </c>
      <c r="B1155" s="21" t="s">
        <v>336</v>
      </c>
      <c r="C1155" s="62" t="s">
        <v>60</v>
      </c>
      <c r="D1155" s="62" t="s">
        <v>387</v>
      </c>
      <c r="E1155" s="62" t="s">
        <v>72</v>
      </c>
      <c r="F1155" s="62" t="s">
        <v>382</v>
      </c>
      <c r="G1155" s="63" t="s">
        <v>448</v>
      </c>
      <c r="H1155" s="64" t="n">
        <v>-221443831.596432</v>
      </c>
      <c r="I1155" s="62" t="s">
        <v>81</v>
      </c>
      <c r="J1155" s="64" t="n">
        <v>-221443.831596432</v>
      </c>
      <c r="K1155" s="62" t="s">
        <v>138</v>
      </c>
      <c r="L1155" s="68" t="b">
        <f aca="false">TRUE()</f>
        <v>1</v>
      </c>
    </row>
    <row r="1156" customFormat="false" ht="15" hidden="false" customHeight="false" outlineLevel="0" collapsed="false">
      <c r="A1156" s="62" t="n">
        <v>0</v>
      </c>
      <c r="B1156" s="21" t="s">
        <v>336</v>
      </c>
      <c r="C1156" s="62" t="s">
        <v>60</v>
      </c>
      <c r="D1156" s="62" t="s">
        <v>388</v>
      </c>
      <c r="E1156" s="62" t="s">
        <v>72</v>
      </c>
      <c r="F1156" s="62" t="s">
        <v>382</v>
      </c>
      <c r="G1156" s="63" t="s">
        <v>448</v>
      </c>
      <c r="H1156" s="64" t="n">
        <v>-221443831.596432</v>
      </c>
      <c r="I1156" s="62" t="s">
        <v>81</v>
      </c>
      <c r="J1156" s="64" t="n">
        <v>-221443.831596432</v>
      </c>
      <c r="K1156" s="62" t="s">
        <v>138</v>
      </c>
      <c r="L1156" s="68" t="b">
        <f aca="false">TRUE()</f>
        <v>1</v>
      </c>
    </row>
    <row r="1157" customFormat="false" ht="15" hidden="false" customHeight="false" outlineLevel="0" collapsed="false">
      <c r="A1157" s="62" t="n">
        <v>0</v>
      </c>
      <c r="B1157" s="21" t="s">
        <v>336</v>
      </c>
      <c r="C1157" s="62" t="s">
        <v>60</v>
      </c>
      <c r="D1157" s="62" t="s">
        <v>381</v>
      </c>
      <c r="E1157" s="62" t="s">
        <v>72</v>
      </c>
      <c r="F1157" s="62" t="s">
        <v>382</v>
      </c>
      <c r="G1157" s="63" t="s">
        <v>430</v>
      </c>
      <c r="H1157" s="64" t="n">
        <v>47759834.7467675</v>
      </c>
      <c r="I1157" s="62" t="s">
        <v>81</v>
      </c>
      <c r="J1157" s="64" t="n">
        <v>47759.8347467675</v>
      </c>
      <c r="K1157" s="62" t="s">
        <v>138</v>
      </c>
      <c r="L1157" s="68" t="b">
        <f aca="false">TRUE()</f>
        <v>1</v>
      </c>
    </row>
    <row r="1158" customFormat="false" ht="15" hidden="false" customHeight="false" outlineLevel="0" collapsed="false">
      <c r="A1158" s="62" t="n">
        <v>0</v>
      </c>
      <c r="B1158" s="21" t="s">
        <v>336</v>
      </c>
      <c r="C1158" s="62" t="s">
        <v>60</v>
      </c>
      <c r="D1158" s="62" t="s">
        <v>383</v>
      </c>
      <c r="E1158" s="62" t="s">
        <v>72</v>
      </c>
      <c r="F1158" s="62" t="s">
        <v>382</v>
      </c>
      <c r="G1158" s="63" t="s">
        <v>430</v>
      </c>
      <c r="H1158" s="64" t="n">
        <v>47759834.7467675</v>
      </c>
      <c r="I1158" s="62" t="s">
        <v>81</v>
      </c>
      <c r="J1158" s="64" t="n">
        <v>47759.8347467675</v>
      </c>
      <c r="K1158" s="62" t="s">
        <v>138</v>
      </c>
      <c r="L1158" s="68" t="b">
        <f aca="false">TRUE()</f>
        <v>1</v>
      </c>
    </row>
    <row r="1159" customFormat="false" ht="15" hidden="false" customHeight="false" outlineLevel="0" collapsed="false">
      <c r="A1159" s="62" t="n">
        <v>0</v>
      </c>
      <c r="B1159" s="21" t="s">
        <v>336</v>
      </c>
      <c r="C1159" s="62" t="s">
        <v>60</v>
      </c>
      <c r="D1159" s="62" t="s">
        <v>384</v>
      </c>
      <c r="E1159" s="62" t="s">
        <v>72</v>
      </c>
      <c r="F1159" s="62" t="s">
        <v>382</v>
      </c>
      <c r="G1159" s="63" t="s">
        <v>430</v>
      </c>
      <c r="H1159" s="64" t="n">
        <v>47759834.7467675</v>
      </c>
      <c r="I1159" s="62" t="s">
        <v>81</v>
      </c>
      <c r="J1159" s="64" t="n">
        <v>47759.8347467675</v>
      </c>
      <c r="K1159" s="62" t="s">
        <v>138</v>
      </c>
      <c r="L1159" s="68" t="b">
        <f aca="false">TRUE()</f>
        <v>1</v>
      </c>
    </row>
    <row r="1160" customFormat="false" ht="15" hidden="false" customHeight="false" outlineLevel="0" collapsed="false">
      <c r="A1160" s="62" t="n">
        <v>0</v>
      </c>
      <c r="B1160" s="21" t="s">
        <v>336</v>
      </c>
      <c r="C1160" s="62" t="s">
        <v>60</v>
      </c>
      <c r="D1160" s="62" t="s">
        <v>385</v>
      </c>
      <c r="E1160" s="62" t="s">
        <v>72</v>
      </c>
      <c r="F1160" s="62" t="s">
        <v>382</v>
      </c>
      <c r="G1160" s="63" t="s">
        <v>430</v>
      </c>
      <c r="H1160" s="64" t="n">
        <v>47759834.7467675</v>
      </c>
      <c r="I1160" s="62" t="s">
        <v>81</v>
      </c>
      <c r="J1160" s="64" t="n">
        <v>47759.8347467675</v>
      </c>
      <c r="K1160" s="62" t="s">
        <v>138</v>
      </c>
      <c r="L1160" s="68" t="b">
        <f aca="false">TRUE()</f>
        <v>1</v>
      </c>
    </row>
    <row r="1161" customFormat="false" ht="15" hidden="false" customHeight="false" outlineLevel="0" collapsed="false">
      <c r="A1161" s="62" t="n">
        <v>0</v>
      </c>
      <c r="B1161" s="21" t="s">
        <v>336</v>
      </c>
      <c r="C1161" s="62" t="s">
        <v>60</v>
      </c>
      <c r="D1161" s="62" t="s">
        <v>386</v>
      </c>
      <c r="E1161" s="62" t="s">
        <v>72</v>
      </c>
      <c r="F1161" s="62" t="s">
        <v>382</v>
      </c>
      <c r="G1161" s="63" t="s">
        <v>430</v>
      </c>
      <c r="H1161" s="64" t="n">
        <v>47759834.7467675</v>
      </c>
      <c r="I1161" s="62" t="s">
        <v>81</v>
      </c>
      <c r="J1161" s="64" t="n">
        <v>47759.8347467675</v>
      </c>
      <c r="K1161" s="62" t="s">
        <v>138</v>
      </c>
      <c r="L1161" s="68" t="b">
        <f aca="false">TRUE()</f>
        <v>1</v>
      </c>
    </row>
    <row r="1162" customFormat="false" ht="15" hidden="false" customHeight="false" outlineLevel="0" collapsed="false">
      <c r="A1162" s="62" t="n">
        <v>0</v>
      </c>
      <c r="B1162" s="21" t="s">
        <v>336</v>
      </c>
      <c r="C1162" s="62" t="s">
        <v>60</v>
      </c>
      <c r="D1162" s="62" t="s">
        <v>387</v>
      </c>
      <c r="E1162" s="62" t="s">
        <v>72</v>
      </c>
      <c r="F1162" s="62" t="s">
        <v>382</v>
      </c>
      <c r="G1162" s="63" t="s">
        <v>430</v>
      </c>
      <c r="H1162" s="64" t="n">
        <v>47759834.7467675</v>
      </c>
      <c r="I1162" s="62" t="s">
        <v>81</v>
      </c>
      <c r="J1162" s="64" t="n">
        <v>47759.8347467675</v>
      </c>
      <c r="K1162" s="62" t="s">
        <v>138</v>
      </c>
      <c r="L1162" s="68" t="b">
        <f aca="false">TRUE()</f>
        <v>1</v>
      </c>
    </row>
    <row r="1163" customFormat="false" ht="15" hidden="false" customHeight="false" outlineLevel="0" collapsed="false">
      <c r="A1163" s="62" t="n">
        <v>0</v>
      </c>
      <c r="B1163" s="21" t="s">
        <v>336</v>
      </c>
      <c r="C1163" s="62" t="s">
        <v>60</v>
      </c>
      <c r="D1163" s="62" t="s">
        <v>388</v>
      </c>
      <c r="E1163" s="62" t="s">
        <v>72</v>
      </c>
      <c r="F1163" s="62" t="s">
        <v>382</v>
      </c>
      <c r="G1163" s="63" t="s">
        <v>430</v>
      </c>
      <c r="H1163" s="64" t="n">
        <v>47759834.7467675</v>
      </c>
      <c r="I1163" s="62" t="s">
        <v>81</v>
      </c>
      <c r="J1163" s="64" t="n">
        <v>47759.8347467675</v>
      </c>
      <c r="K1163" s="62" t="s">
        <v>138</v>
      </c>
      <c r="L1163" s="68" t="b">
        <f aca="false">TRUE()</f>
        <v>1</v>
      </c>
    </row>
    <row r="1164" customFormat="false" ht="15" hidden="false" customHeight="false" outlineLevel="0" collapsed="false">
      <c r="A1164" s="62" t="n">
        <v>0</v>
      </c>
      <c r="B1164" s="21" t="s">
        <v>336</v>
      </c>
      <c r="C1164" s="62" t="s">
        <v>60</v>
      </c>
      <c r="D1164" s="62" t="s">
        <v>381</v>
      </c>
      <c r="E1164" s="62" t="s">
        <v>72</v>
      </c>
      <c r="F1164" s="62" t="s">
        <v>382</v>
      </c>
      <c r="G1164" s="63" t="s">
        <v>450</v>
      </c>
      <c r="H1164" s="64" t="n">
        <v>0</v>
      </c>
      <c r="I1164" s="62" t="s">
        <v>81</v>
      </c>
      <c r="J1164" s="64" t="n">
        <v>0</v>
      </c>
      <c r="K1164" s="62" t="s">
        <v>138</v>
      </c>
      <c r="L1164" s="68" t="b">
        <f aca="false">TRUE()</f>
        <v>1</v>
      </c>
    </row>
    <row r="1165" customFormat="false" ht="15" hidden="false" customHeight="false" outlineLevel="0" collapsed="false">
      <c r="A1165" s="62" t="n">
        <v>0</v>
      </c>
      <c r="B1165" s="21" t="s">
        <v>336</v>
      </c>
      <c r="C1165" s="62" t="s">
        <v>60</v>
      </c>
      <c r="D1165" s="62" t="s">
        <v>383</v>
      </c>
      <c r="E1165" s="62" t="s">
        <v>72</v>
      </c>
      <c r="F1165" s="62" t="s">
        <v>382</v>
      </c>
      <c r="G1165" s="63" t="s">
        <v>450</v>
      </c>
      <c r="H1165" s="64" t="n">
        <v>0</v>
      </c>
      <c r="I1165" s="62" t="s">
        <v>81</v>
      </c>
      <c r="J1165" s="64" t="n">
        <v>0</v>
      </c>
      <c r="K1165" s="62" t="s">
        <v>138</v>
      </c>
      <c r="L1165" s="68" t="b">
        <f aca="false">TRUE()</f>
        <v>1</v>
      </c>
    </row>
    <row r="1166" customFormat="false" ht="15" hidden="false" customHeight="false" outlineLevel="0" collapsed="false">
      <c r="A1166" s="62" t="n">
        <v>0</v>
      </c>
      <c r="B1166" s="21" t="s">
        <v>336</v>
      </c>
      <c r="C1166" s="62" t="s">
        <v>60</v>
      </c>
      <c r="D1166" s="62" t="s">
        <v>384</v>
      </c>
      <c r="E1166" s="62" t="s">
        <v>72</v>
      </c>
      <c r="F1166" s="62" t="s">
        <v>382</v>
      </c>
      <c r="G1166" s="63" t="s">
        <v>450</v>
      </c>
      <c r="H1166" s="64" t="n">
        <v>0</v>
      </c>
      <c r="I1166" s="62" t="s">
        <v>81</v>
      </c>
      <c r="J1166" s="64" t="n">
        <v>0</v>
      </c>
      <c r="K1166" s="62" t="s">
        <v>138</v>
      </c>
      <c r="L1166" s="68" t="b">
        <f aca="false">TRUE()</f>
        <v>1</v>
      </c>
    </row>
    <row r="1167" customFormat="false" ht="15" hidden="false" customHeight="false" outlineLevel="0" collapsed="false">
      <c r="A1167" s="62" t="n">
        <v>0</v>
      </c>
      <c r="B1167" s="21" t="s">
        <v>336</v>
      </c>
      <c r="C1167" s="62" t="s">
        <v>60</v>
      </c>
      <c r="D1167" s="62" t="s">
        <v>385</v>
      </c>
      <c r="E1167" s="62" t="s">
        <v>72</v>
      </c>
      <c r="F1167" s="62" t="s">
        <v>382</v>
      </c>
      <c r="G1167" s="63" t="s">
        <v>450</v>
      </c>
      <c r="H1167" s="64" t="n">
        <v>0</v>
      </c>
      <c r="I1167" s="62" t="s">
        <v>81</v>
      </c>
      <c r="J1167" s="64" t="n">
        <v>0</v>
      </c>
      <c r="K1167" s="62" t="s">
        <v>138</v>
      </c>
      <c r="L1167" s="68" t="b">
        <f aca="false">TRUE()</f>
        <v>1</v>
      </c>
    </row>
    <row r="1168" customFormat="false" ht="15" hidden="false" customHeight="false" outlineLevel="0" collapsed="false">
      <c r="A1168" s="62" t="n">
        <v>0</v>
      </c>
      <c r="B1168" s="21" t="s">
        <v>336</v>
      </c>
      <c r="C1168" s="62" t="s">
        <v>60</v>
      </c>
      <c r="D1168" s="62" t="s">
        <v>386</v>
      </c>
      <c r="E1168" s="62" t="s">
        <v>72</v>
      </c>
      <c r="F1168" s="62" t="s">
        <v>382</v>
      </c>
      <c r="G1168" s="63" t="s">
        <v>450</v>
      </c>
      <c r="H1168" s="64" t="n">
        <v>0</v>
      </c>
      <c r="I1168" s="62" t="s">
        <v>81</v>
      </c>
      <c r="J1168" s="64" t="n">
        <v>0</v>
      </c>
      <c r="K1168" s="62" t="s">
        <v>138</v>
      </c>
      <c r="L1168" s="68" t="b">
        <f aca="false">TRUE()</f>
        <v>1</v>
      </c>
    </row>
    <row r="1169" customFormat="false" ht="15" hidden="false" customHeight="false" outlineLevel="0" collapsed="false">
      <c r="A1169" s="62" t="n">
        <v>0</v>
      </c>
      <c r="B1169" s="21" t="s">
        <v>336</v>
      </c>
      <c r="C1169" s="62" t="s">
        <v>60</v>
      </c>
      <c r="D1169" s="62" t="s">
        <v>387</v>
      </c>
      <c r="E1169" s="62" t="s">
        <v>72</v>
      </c>
      <c r="F1169" s="62" t="s">
        <v>382</v>
      </c>
      <c r="G1169" s="63" t="s">
        <v>450</v>
      </c>
      <c r="H1169" s="64" t="n">
        <v>0</v>
      </c>
      <c r="I1169" s="62" t="s">
        <v>81</v>
      </c>
      <c r="J1169" s="64" t="n">
        <v>0</v>
      </c>
      <c r="K1169" s="62" t="s">
        <v>138</v>
      </c>
      <c r="L1169" s="68" t="b">
        <f aca="false">TRUE()</f>
        <v>1</v>
      </c>
    </row>
    <row r="1170" customFormat="false" ht="15" hidden="false" customHeight="false" outlineLevel="0" collapsed="false">
      <c r="A1170" s="62" t="n">
        <v>0</v>
      </c>
      <c r="B1170" s="21" t="s">
        <v>336</v>
      </c>
      <c r="C1170" s="62" t="s">
        <v>60</v>
      </c>
      <c r="D1170" s="62" t="s">
        <v>388</v>
      </c>
      <c r="E1170" s="62" t="s">
        <v>72</v>
      </c>
      <c r="F1170" s="62" t="s">
        <v>382</v>
      </c>
      <c r="G1170" s="63" t="s">
        <v>450</v>
      </c>
      <c r="H1170" s="64" t="n">
        <v>0</v>
      </c>
      <c r="I1170" s="62" t="s">
        <v>81</v>
      </c>
      <c r="J1170" s="64" t="n">
        <v>0</v>
      </c>
      <c r="K1170" s="62" t="s">
        <v>138</v>
      </c>
      <c r="L1170" s="68" t="b">
        <f aca="false">TRUE()</f>
        <v>1</v>
      </c>
    </row>
    <row r="1171" customFormat="false" ht="15" hidden="false" customHeight="false" outlineLevel="0" collapsed="false">
      <c r="A1171" s="62" t="n">
        <v>0</v>
      </c>
      <c r="B1171" s="21" t="s">
        <v>336</v>
      </c>
      <c r="C1171" s="62" t="s">
        <v>60</v>
      </c>
      <c r="D1171" s="62" t="s">
        <v>381</v>
      </c>
      <c r="E1171" s="62" t="s">
        <v>72</v>
      </c>
      <c r="F1171" s="62" t="s">
        <v>382</v>
      </c>
      <c r="G1171" s="63" t="s">
        <v>451</v>
      </c>
      <c r="H1171" s="64" t="n">
        <v>-600000000</v>
      </c>
      <c r="I1171" s="62" t="s">
        <v>81</v>
      </c>
      <c r="J1171" s="64" t="n">
        <v>-600000</v>
      </c>
      <c r="K1171" s="62" t="s">
        <v>138</v>
      </c>
      <c r="L1171" s="68" t="b">
        <f aca="false">TRUE()</f>
        <v>1</v>
      </c>
    </row>
    <row r="1172" customFormat="false" ht="15" hidden="false" customHeight="false" outlineLevel="0" collapsed="false">
      <c r="A1172" s="62" t="n">
        <v>0</v>
      </c>
      <c r="B1172" s="21" t="s">
        <v>336</v>
      </c>
      <c r="C1172" s="62" t="s">
        <v>60</v>
      </c>
      <c r="D1172" s="62" t="s">
        <v>383</v>
      </c>
      <c r="E1172" s="62" t="s">
        <v>72</v>
      </c>
      <c r="F1172" s="62" t="s">
        <v>382</v>
      </c>
      <c r="G1172" s="63" t="s">
        <v>451</v>
      </c>
      <c r="H1172" s="64" t="n">
        <v>-600000000</v>
      </c>
      <c r="I1172" s="62" t="s">
        <v>81</v>
      </c>
      <c r="J1172" s="64" t="n">
        <v>-600000</v>
      </c>
      <c r="K1172" s="62" t="s">
        <v>138</v>
      </c>
      <c r="L1172" s="68" t="b">
        <f aca="false">TRUE()</f>
        <v>1</v>
      </c>
    </row>
    <row r="1173" customFormat="false" ht="15" hidden="false" customHeight="false" outlineLevel="0" collapsed="false">
      <c r="A1173" s="62" t="n">
        <v>0</v>
      </c>
      <c r="B1173" s="21" t="s">
        <v>336</v>
      </c>
      <c r="C1173" s="62" t="s">
        <v>60</v>
      </c>
      <c r="D1173" s="62" t="s">
        <v>384</v>
      </c>
      <c r="E1173" s="62" t="s">
        <v>72</v>
      </c>
      <c r="F1173" s="62" t="s">
        <v>382</v>
      </c>
      <c r="G1173" s="63" t="s">
        <v>451</v>
      </c>
      <c r="H1173" s="64" t="n">
        <v>-600000000</v>
      </c>
      <c r="I1173" s="62" t="s">
        <v>81</v>
      </c>
      <c r="J1173" s="64" t="n">
        <v>-600000</v>
      </c>
      <c r="K1173" s="62" t="s">
        <v>138</v>
      </c>
      <c r="L1173" s="68" t="b">
        <f aca="false">TRUE()</f>
        <v>1</v>
      </c>
    </row>
    <row r="1174" customFormat="false" ht="15" hidden="false" customHeight="false" outlineLevel="0" collapsed="false">
      <c r="A1174" s="62" t="n">
        <v>0</v>
      </c>
      <c r="B1174" s="21" t="s">
        <v>336</v>
      </c>
      <c r="C1174" s="62" t="s">
        <v>60</v>
      </c>
      <c r="D1174" s="62" t="s">
        <v>385</v>
      </c>
      <c r="E1174" s="62" t="s">
        <v>72</v>
      </c>
      <c r="F1174" s="62" t="s">
        <v>382</v>
      </c>
      <c r="G1174" s="63" t="s">
        <v>451</v>
      </c>
      <c r="H1174" s="64" t="n">
        <v>-600000000</v>
      </c>
      <c r="I1174" s="62" t="s">
        <v>81</v>
      </c>
      <c r="J1174" s="64" t="n">
        <v>-600000</v>
      </c>
      <c r="K1174" s="62" t="s">
        <v>138</v>
      </c>
      <c r="L1174" s="68" t="b">
        <f aca="false">TRUE()</f>
        <v>1</v>
      </c>
    </row>
    <row r="1175" customFormat="false" ht="15" hidden="false" customHeight="false" outlineLevel="0" collapsed="false">
      <c r="A1175" s="62" t="n">
        <v>0</v>
      </c>
      <c r="B1175" s="21" t="s">
        <v>336</v>
      </c>
      <c r="C1175" s="62" t="s">
        <v>60</v>
      </c>
      <c r="D1175" s="62" t="s">
        <v>386</v>
      </c>
      <c r="E1175" s="62" t="s">
        <v>72</v>
      </c>
      <c r="F1175" s="62" t="s">
        <v>382</v>
      </c>
      <c r="G1175" s="63" t="s">
        <v>451</v>
      </c>
      <c r="H1175" s="64" t="n">
        <v>-600000000</v>
      </c>
      <c r="I1175" s="62" t="s">
        <v>81</v>
      </c>
      <c r="J1175" s="64" t="n">
        <v>-600000</v>
      </c>
      <c r="K1175" s="62" t="s">
        <v>138</v>
      </c>
      <c r="L1175" s="68" t="b">
        <f aca="false">TRUE()</f>
        <v>1</v>
      </c>
    </row>
    <row r="1176" customFormat="false" ht="15" hidden="false" customHeight="false" outlineLevel="0" collapsed="false">
      <c r="A1176" s="62" t="n">
        <v>0</v>
      </c>
      <c r="B1176" s="21" t="s">
        <v>336</v>
      </c>
      <c r="C1176" s="62" t="s">
        <v>60</v>
      </c>
      <c r="D1176" s="62" t="s">
        <v>387</v>
      </c>
      <c r="E1176" s="62" t="s">
        <v>72</v>
      </c>
      <c r="F1176" s="62" t="s">
        <v>382</v>
      </c>
      <c r="G1176" s="63" t="s">
        <v>451</v>
      </c>
      <c r="H1176" s="64" t="n">
        <v>-600000000</v>
      </c>
      <c r="I1176" s="62" t="s">
        <v>81</v>
      </c>
      <c r="J1176" s="64" t="n">
        <v>-600000</v>
      </c>
      <c r="K1176" s="62" t="s">
        <v>138</v>
      </c>
      <c r="L1176" s="68" t="b">
        <f aca="false">TRUE()</f>
        <v>1</v>
      </c>
    </row>
    <row r="1177" customFormat="false" ht="15" hidden="false" customHeight="false" outlineLevel="0" collapsed="false">
      <c r="A1177" s="62" t="n">
        <v>0</v>
      </c>
      <c r="B1177" s="21" t="s">
        <v>336</v>
      </c>
      <c r="C1177" s="62" t="s">
        <v>60</v>
      </c>
      <c r="D1177" s="62" t="s">
        <v>388</v>
      </c>
      <c r="E1177" s="62" t="s">
        <v>72</v>
      </c>
      <c r="F1177" s="62" t="s">
        <v>382</v>
      </c>
      <c r="G1177" s="63" t="s">
        <v>451</v>
      </c>
      <c r="H1177" s="64" t="n">
        <v>-600000000</v>
      </c>
      <c r="I1177" s="62" t="s">
        <v>81</v>
      </c>
      <c r="J1177" s="64" t="n">
        <v>-600000</v>
      </c>
      <c r="K1177" s="62" t="s">
        <v>138</v>
      </c>
      <c r="L1177" s="68" t="b">
        <f aca="false">TRUE()</f>
        <v>1</v>
      </c>
    </row>
    <row r="1178" customFormat="false" ht="15" hidden="false" customHeight="false" outlineLevel="0" collapsed="false">
      <c r="A1178" s="62" t="n">
        <v>0</v>
      </c>
      <c r="B1178" s="21" t="s">
        <v>336</v>
      </c>
      <c r="C1178" s="62" t="s">
        <v>60</v>
      </c>
      <c r="D1178" s="62" t="s">
        <v>381</v>
      </c>
      <c r="E1178" s="62" t="s">
        <v>72</v>
      </c>
      <c r="F1178" s="62" t="s">
        <v>382</v>
      </c>
      <c r="G1178" s="63" t="s">
        <v>452</v>
      </c>
      <c r="H1178" s="64" t="n">
        <v>0</v>
      </c>
      <c r="I1178" s="62" t="s">
        <v>81</v>
      </c>
      <c r="J1178" s="64" t="n">
        <v>0</v>
      </c>
      <c r="K1178" s="62" t="s">
        <v>138</v>
      </c>
      <c r="L1178" s="68" t="b">
        <f aca="false">TRUE()</f>
        <v>1</v>
      </c>
    </row>
    <row r="1179" customFormat="false" ht="15" hidden="false" customHeight="false" outlineLevel="0" collapsed="false">
      <c r="A1179" s="62" t="n">
        <v>0</v>
      </c>
      <c r="B1179" s="21" t="s">
        <v>336</v>
      </c>
      <c r="C1179" s="62" t="s">
        <v>60</v>
      </c>
      <c r="D1179" s="62" t="s">
        <v>383</v>
      </c>
      <c r="E1179" s="62" t="s">
        <v>72</v>
      </c>
      <c r="F1179" s="62" t="s">
        <v>382</v>
      </c>
      <c r="G1179" s="63" t="s">
        <v>452</v>
      </c>
      <c r="H1179" s="64" t="n">
        <v>0</v>
      </c>
      <c r="I1179" s="62" t="s">
        <v>81</v>
      </c>
      <c r="J1179" s="64" t="n">
        <v>0</v>
      </c>
      <c r="K1179" s="62" t="s">
        <v>138</v>
      </c>
      <c r="L1179" s="68" t="b">
        <f aca="false">TRUE()</f>
        <v>1</v>
      </c>
    </row>
    <row r="1180" customFormat="false" ht="15" hidden="false" customHeight="false" outlineLevel="0" collapsed="false">
      <c r="A1180" s="62" t="n">
        <v>0</v>
      </c>
      <c r="B1180" s="21" t="s">
        <v>336</v>
      </c>
      <c r="C1180" s="62" t="s">
        <v>60</v>
      </c>
      <c r="D1180" s="62" t="s">
        <v>384</v>
      </c>
      <c r="E1180" s="62" t="s">
        <v>72</v>
      </c>
      <c r="F1180" s="62" t="s">
        <v>382</v>
      </c>
      <c r="G1180" s="63" t="s">
        <v>452</v>
      </c>
      <c r="H1180" s="64" t="n">
        <v>0</v>
      </c>
      <c r="I1180" s="62" t="s">
        <v>81</v>
      </c>
      <c r="J1180" s="64" t="n">
        <v>0</v>
      </c>
      <c r="K1180" s="62" t="s">
        <v>138</v>
      </c>
      <c r="L1180" s="68" t="b">
        <f aca="false">TRUE()</f>
        <v>1</v>
      </c>
    </row>
    <row r="1181" customFormat="false" ht="15" hidden="false" customHeight="false" outlineLevel="0" collapsed="false">
      <c r="A1181" s="62" t="n">
        <v>0</v>
      </c>
      <c r="B1181" s="21" t="s">
        <v>336</v>
      </c>
      <c r="C1181" s="62" t="s">
        <v>60</v>
      </c>
      <c r="D1181" s="62" t="s">
        <v>385</v>
      </c>
      <c r="E1181" s="62" t="s">
        <v>72</v>
      </c>
      <c r="F1181" s="62" t="s">
        <v>382</v>
      </c>
      <c r="G1181" s="63" t="s">
        <v>452</v>
      </c>
      <c r="H1181" s="64" t="n">
        <v>0</v>
      </c>
      <c r="I1181" s="62" t="s">
        <v>81</v>
      </c>
      <c r="J1181" s="64" t="n">
        <v>0</v>
      </c>
      <c r="K1181" s="62" t="s">
        <v>138</v>
      </c>
      <c r="L1181" s="68" t="b">
        <f aca="false">TRUE()</f>
        <v>1</v>
      </c>
    </row>
    <row r="1182" customFormat="false" ht="15" hidden="false" customHeight="false" outlineLevel="0" collapsed="false">
      <c r="A1182" s="62" t="n">
        <v>0</v>
      </c>
      <c r="B1182" s="21" t="s">
        <v>336</v>
      </c>
      <c r="C1182" s="62" t="s">
        <v>60</v>
      </c>
      <c r="D1182" s="62" t="s">
        <v>386</v>
      </c>
      <c r="E1182" s="62" t="s">
        <v>72</v>
      </c>
      <c r="F1182" s="62" t="s">
        <v>382</v>
      </c>
      <c r="G1182" s="63" t="s">
        <v>452</v>
      </c>
      <c r="H1182" s="64" t="n">
        <v>0</v>
      </c>
      <c r="I1182" s="62" t="s">
        <v>81</v>
      </c>
      <c r="J1182" s="64" t="n">
        <v>0</v>
      </c>
      <c r="K1182" s="62" t="s">
        <v>138</v>
      </c>
      <c r="L1182" s="68" t="b">
        <f aca="false">TRUE()</f>
        <v>1</v>
      </c>
    </row>
    <row r="1183" customFormat="false" ht="15" hidden="false" customHeight="false" outlineLevel="0" collapsed="false">
      <c r="A1183" s="62" t="n">
        <v>0</v>
      </c>
      <c r="B1183" s="21" t="s">
        <v>336</v>
      </c>
      <c r="C1183" s="62" t="s">
        <v>60</v>
      </c>
      <c r="D1183" s="62" t="s">
        <v>387</v>
      </c>
      <c r="E1183" s="62" t="s">
        <v>72</v>
      </c>
      <c r="F1183" s="62" t="s">
        <v>382</v>
      </c>
      <c r="G1183" s="63" t="s">
        <v>452</v>
      </c>
      <c r="H1183" s="64" t="n">
        <v>0</v>
      </c>
      <c r="I1183" s="62" t="s">
        <v>81</v>
      </c>
      <c r="J1183" s="64" t="n">
        <v>0</v>
      </c>
      <c r="K1183" s="62" t="s">
        <v>138</v>
      </c>
      <c r="L1183" s="68" t="b">
        <f aca="false">TRUE()</f>
        <v>1</v>
      </c>
    </row>
    <row r="1184" customFormat="false" ht="15" hidden="false" customHeight="false" outlineLevel="0" collapsed="false">
      <c r="A1184" s="62" t="n">
        <v>0</v>
      </c>
      <c r="B1184" s="21" t="s">
        <v>336</v>
      </c>
      <c r="C1184" s="62" t="s">
        <v>60</v>
      </c>
      <c r="D1184" s="62" t="s">
        <v>388</v>
      </c>
      <c r="E1184" s="62" t="s">
        <v>72</v>
      </c>
      <c r="F1184" s="62" t="s">
        <v>382</v>
      </c>
      <c r="G1184" s="63" t="s">
        <v>452</v>
      </c>
      <c r="H1184" s="64" t="n">
        <v>0</v>
      </c>
      <c r="I1184" s="62" t="s">
        <v>81</v>
      </c>
      <c r="J1184" s="64" t="n">
        <v>0</v>
      </c>
      <c r="K1184" s="62" t="s">
        <v>138</v>
      </c>
      <c r="L1184" s="68" t="b">
        <f aca="false">TRUE()</f>
        <v>1</v>
      </c>
    </row>
    <row r="1185" customFormat="false" ht="15" hidden="false" customHeight="false" outlineLevel="0" collapsed="false">
      <c r="A1185" s="62" t="n">
        <v>0</v>
      </c>
      <c r="B1185" s="21" t="s">
        <v>336</v>
      </c>
      <c r="C1185" s="62" t="s">
        <v>60</v>
      </c>
      <c r="D1185" s="62" t="s">
        <v>381</v>
      </c>
      <c r="E1185" s="62" t="s">
        <v>72</v>
      </c>
      <c r="F1185" s="62" t="s">
        <v>382</v>
      </c>
      <c r="G1185" s="63" t="s">
        <v>439</v>
      </c>
      <c r="H1185" s="64" t="n">
        <v>-600000000</v>
      </c>
      <c r="I1185" s="62" t="s">
        <v>81</v>
      </c>
      <c r="J1185" s="64" t="n">
        <v>-600000</v>
      </c>
      <c r="K1185" s="62" t="s">
        <v>138</v>
      </c>
      <c r="L1185" s="68" t="b">
        <f aca="false">TRUE()</f>
        <v>1</v>
      </c>
    </row>
    <row r="1186" customFormat="false" ht="15" hidden="false" customHeight="false" outlineLevel="0" collapsed="false">
      <c r="A1186" s="62" t="n">
        <v>0</v>
      </c>
      <c r="B1186" s="21" t="s">
        <v>336</v>
      </c>
      <c r="C1186" s="62" t="s">
        <v>60</v>
      </c>
      <c r="D1186" s="62" t="s">
        <v>383</v>
      </c>
      <c r="E1186" s="62" t="s">
        <v>72</v>
      </c>
      <c r="F1186" s="62" t="s">
        <v>382</v>
      </c>
      <c r="G1186" s="63" t="s">
        <v>439</v>
      </c>
      <c r="H1186" s="64" t="n">
        <v>-600000000</v>
      </c>
      <c r="I1186" s="62" t="s">
        <v>81</v>
      </c>
      <c r="J1186" s="64" t="n">
        <v>-600000</v>
      </c>
      <c r="K1186" s="62" t="s">
        <v>138</v>
      </c>
      <c r="L1186" s="68" t="b">
        <f aca="false">TRUE()</f>
        <v>1</v>
      </c>
    </row>
    <row r="1187" customFormat="false" ht="15" hidden="false" customHeight="false" outlineLevel="0" collapsed="false">
      <c r="A1187" s="62" t="n">
        <v>0</v>
      </c>
      <c r="B1187" s="21" t="s">
        <v>336</v>
      </c>
      <c r="C1187" s="62" t="s">
        <v>60</v>
      </c>
      <c r="D1187" s="62" t="s">
        <v>384</v>
      </c>
      <c r="E1187" s="62" t="s">
        <v>72</v>
      </c>
      <c r="F1187" s="62" t="s">
        <v>382</v>
      </c>
      <c r="G1187" s="63" t="s">
        <v>439</v>
      </c>
      <c r="H1187" s="64" t="n">
        <v>-600000000</v>
      </c>
      <c r="I1187" s="62" t="s">
        <v>81</v>
      </c>
      <c r="J1187" s="64" t="n">
        <v>-600000</v>
      </c>
      <c r="K1187" s="62" t="s">
        <v>138</v>
      </c>
      <c r="L1187" s="68" t="b">
        <f aca="false">TRUE()</f>
        <v>1</v>
      </c>
    </row>
    <row r="1188" customFormat="false" ht="15" hidden="false" customHeight="false" outlineLevel="0" collapsed="false">
      <c r="A1188" s="62" t="n">
        <v>0</v>
      </c>
      <c r="B1188" s="21" t="s">
        <v>336</v>
      </c>
      <c r="C1188" s="62" t="s">
        <v>60</v>
      </c>
      <c r="D1188" s="62" t="s">
        <v>385</v>
      </c>
      <c r="E1188" s="62" t="s">
        <v>72</v>
      </c>
      <c r="F1188" s="62" t="s">
        <v>382</v>
      </c>
      <c r="G1188" s="63" t="s">
        <v>439</v>
      </c>
      <c r="H1188" s="64" t="n">
        <v>-600000000</v>
      </c>
      <c r="I1188" s="62" t="s">
        <v>81</v>
      </c>
      <c r="J1188" s="64" t="n">
        <v>-600000</v>
      </c>
      <c r="K1188" s="62" t="s">
        <v>138</v>
      </c>
      <c r="L1188" s="68" t="b">
        <f aca="false">TRUE()</f>
        <v>1</v>
      </c>
    </row>
    <row r="1189" customFormat="false" ht="15" hidden="false" customHeight="false" outlineLevel="0" collapsed="false">
      <c r="A1189" s="62" t="n">
        <v>0</v>
      </c>
      <c r="B1189" s="21" t="s">
        <v>336</v>
      </c>
      <c r="C1189" s="62" t="s">
        <v>60</v>
      </c>
      <c r="D1189" s="62" t="s">
        <v>386</v>
      </c>
      <c r="E1189" s="62" t="s">
        <v>72</v>
      </c>
      <c r="F1189" s="62" t="s">
        <v>382</v>
      </c>
      <c r="G1189" s="63" t="s">
        <v>439</v>
      </c>
      <c r="H1189" s="64" t="n">
        <v>-600000000</v>
      </c>
      <c r="I1189" s="62" t="s">
        <v>81</v>
      </c>
      <c r="J1189" s="64" t="n">
        <v>-600000</v>
      </c>
      <c r="K1189" s="62" t="s">
        <v>138</v>
      </c>
      <c r="L1189" s="68" t="b">
        <f aca="false">TRUE()</f>
        <v>1</v>
      </c>
    </row>
    <row r="1190" customFormat="false" ht="15" hidden="false" customHeight="false" outlineLevel="0" collapsed="false">
      <c r="A1190" s="62" t="n">
        <v>0</v>
      </c>
      <c r="B1190" s="21" t="s">
        <v>336</v>
      </c>
      <c r="C1190" s="62" t="s">
        <v>60</v>
      </c>
      <c r="D1190" s="62" t="s">
        <v>387</v>
      </c>
      <c r="E1190" s="62" t="s">
        <v>72</v>
      </c>
      <c r="F1190" s="62" t="s">
        <v>382</v>
      </c>
      <c r="G1190" s="63" t="s">
        <v>439</v>
      </c>
      <c r="H1190" s="64" t="n">
        <v>-600000000</v>
      </c>
      <c r="I1190" s="62" t="s">
        <v>81</v>
      </c>
      <c r="J1190" s="64" t="n">
        <v>-600000</v>
      </c>
      <c r="K1190" s="62" t="s">
        <v>138</v>
      </c>
      <c r="L1190" s="68" t="b">
        <f aca="false">TRUE()</f>
        <v>1</v>
      </c>
    </row>
    <row r="1191" customFormat="false" ht="15" hidden="false" customHeight="false" outlineLevel="0" collapsed="false">
      <c r="A1191" s="62" t="n">
        <v>0</v>
      </c>
      <c r="B1191" s="21" t="s">
        <v>336</v>
      </c>
      <c r="C1191" s="62" t="s">
        <v>60</v>
      </c>
      <c r="D1191" s="62" t="s">
        <v>388</v>
      </c>
      <c r="E1191" s="62" t="s">
        <v>72</v>
      </c>
      <c r="F1191" s="62" t="s">
        <v>382</v>
      </c>
      <c r="G1191" s="63" t="s">
        <v>439</v>
      </c>
      <c r="H1191" s="64" t="n">
        <v>-600000000</v>
      </c>
      <c r="I1191" s="62" t="s">
        <v>81</v>
      </c>
      <c r="J1191" s="64" t="n">
        <v>-600000</v>
      </c>
      <c r="K1191" s="62" t="s">
        <v>138</v>
      </c>
      <c r="L1191" s="68" t="b">
        <f aca="false">TRUE()</f>
        <v>1</v>
      </c>
    </row>
    <row r="1192" customFormat="false" ht="15" hidden="false" customHeight="false" outlineLevel="0" collapsed="false">
      <c r="A1192" s="62" t="n">
        <v>0</v>
      </c>
      <c r="B1192" s="21" t="s">
        <v>336</v>
      </c>
      <c r="C1192" s="62" t="s">
        <v>60</v>
      </c>
      <c r="D1192" s="62" t="s">
        <v>381</v>
      </c>
      <c r="E1192" s="62" t="s">
        <v>72</v>
      </c>
      <c r="F1192" s="62" t="s">
        <v>382</v>
      </c>
      <c r="G1192" s="63" t="s">
        <v>453</v>
      </c>
      <c r="H1192" s="64" t="n">
        <v>-552240165.253233</v>
      </c>
      <c r="I1192" s="62" t="s">
        <v>81</v>
      </c>
      <c r="J1192" s="64" t="n">
        <v>-552240.165253233</v>
      </c>
      <c r="K1192" s="62" t="s">
        <v>138</v>
      </c>
      <c r="L1192" s="68" t="b">
        <f aca="false">TRUE()</f>
        <v>1</v>
      </c>
    </row>
    <row r="1193" customFormat="false" ht="15" hidden="false" customHeight="false" outlineLevel="0" collapsed="false">
      <c r="A1193" s="62" t="n">
        <v>0</v>
      </c>
      <c r="B1193" s="21" t="s">
        <v>336</v>
      </c>
      <c r="C1193" s="62" t="s">
        <v>60</v>
      </c>
      <c r="D1193" s="62" t="s">
        <v>383</v>
      </c>
      <c r="E1193" s="62" t="s">
        <v>72</v>
      </c>
      <c r="F1193" s="62" t="s">
        <v>382</v>
      </c>
      <c r="G1193" s="63" t="s">
        <v>453</v>
      </c>
      <c r="H1193" s="64" t="n">
        <v>-552240165.253233</v>
      </c>
      <c r="I1193" s="62" t="s">
        <v>81</v>
      </c>
      <c r="J1193" s="64" t="n">
        <v>-552240.165253233</v>
      </c>
      <c r="K1193" s="62" t="s">
        <v>138</v>
      </c>
      <c r="L1193" s="68" t="b">
        <f aca="false">TRUE()</f>
        <v>1</v>
      </c>
    </row>
    <row r="1194" customFormat="false" ht="15" hidden="false" customHeight="false" outlineLevel="0" collapsed="false">
      <c r="A1194" s="62" t="n">
        <v>0</v>
      </c>
      <c r="B1194" s="21" t="s">
        <v>336</v>
      </c>
      <c r="C1194" s="62" t="s">
        <v>60</v>
      </c>
      <c r="D1194" s="62" t="s">
        <v>384</v>
      </c>
      <c r="E1194" s="62" t="s">
        <v>72</v>
      </c>
      <c r="F1194" s="62" t="s">
        <v>382</v>
      </c>
      <c r="G1194" s="63" t="s">
        <v>453</v>
      </c>
      <c r="H1194" s="64" t="n">
        <v>-552240165.253233</v>
      </c>
      <c r="I1194" s="62" t="s">
        <v>81</v>
      </c>
      <c r="J1194" s="64" t="n">
        <v>-552240.165253233</v>
      </c>
      <c r="K1194" s="62" t="s">
        <v>138</v>
      </c>
      <c r="L1194" s="68" t="b">
        <f aca="false">TRUE()</f>
        <v>1</v>
      </c>
    </row>
    <row r="1195" customFormat="false" ht="15" hidden="false" customHeight="false" outlineLevel="0" collapsed="false">
      <c r="A1195" s="62" t="n">
        <v>0</v>
      </c>
      <c r="B1195" s="21" t="s">
        <v>336</v>
      </c>
      <c r="C1195" s="62" t="s">
        <v>60</v>
      </c>
      <c r="D1195" s="62" t="s">
        <v>385</v>
      </c>
      <c r="E1195" s="62" t="s">
        <v>72</v>
      </c>
      <c r="F1195" s="62" t="s">
        <v>382</v>
      </c>
      <c r="G1195" s="63" t="s">
        <v>453</v>
      </c>
      <c r="H1195" s="64" t="n">
        <v>-552240165.253233</v>
      </c>
      <c r="I1195" s="62" t="s">
        <v>81</v>
      </c>
      <c r="J1195" s="64" t="n">
        <v>-552240.165253233</v>
      </c>
      <c r="K1195" s="62" t="s">
        <v>138</v>
      </c>
      <c r="L1195" s="68" t="b">
        <f aca="false">TRUE()</f>
        <v>1</v>
      </c>
    </row>
    <row r="1196" customFormat="false" ht="15" hidden="false" customHeight="false" outlineLevel="0" collapsed="false">
      <c r="A1196" s="62" t="n">
        <v>0</v>
      </c>
      <c r="B1196" s="21" t="s">
        <v>336</v>
      </c>
      <c r="C1196" s="62" t="s">
        <v>60</v>
      </c>
      <c r="D1196" s="62" t="s">
        <v>386</v>
      </c>
      <c r="E1196" s="62" t="s">
        <v>72</v>
      </c>
      <c r="F1196" s="62" t="s">
        <v>382</v>
      </c>
      <c r="G1196" s="63" t="s">
        <v>453</v>
      </c>
      <c r="H1196" s="64" t="n">
        <v>-552240165.253233</v>
      </c>
      <c r="I1196" s="62" t="s">
        <v>81</v>
      </c>
      <c r="J1196" s="64" t="n">
        <v>-552240.165253233</v>
      </c>
      <c r="K1196" s="62" t="s">
        <v>138</v>
      </c>
      <c r="L1196" s="68" t="b">
        <f aca="false">TRUE()</f>
        <v>1</v>
      </c>
    </row>
    <row r="1197" customFormat="false" ht="15" hidden="false" customHeight="false" outlineLevel="0" collapsed="false">
      <c r="A1197" s="62" t="n">
        <v>0</v>
      </c>
      <c r="B1197" s="21" t="s">
        <v>336</v>
      </c>
      <c r="C1197" s="62" t="s">
        <v>60</v>
      </c>
      <c r="D1197" s="62" t="s">
        <v>387</v>
      </c>
      <c r="E1197" s="62" t="s">
        <v>72</v>
      </c>
      <c r="F1197" s="62" t="s">
        <v>382</v>
      </c>
      <c r="G1197" s="63" t="s">
        <v>453</v>
      </c>
      <c r="H1197" s="64" t="n">
        <v>-552240165.253233</v>
      </c>
      <c r="I1197" s="62" t="s">
        <v>81</v>
      </c>
      <c r="J1197" s="64" t="n">
        <v>-552240.165253233</v>
      </c>
      <c r="K1197" s="62" t="s">
        <v>138</v>
      </c>
      <c r="L1197" s="68" t="b">
        <f aca="false">TRUE()</f>
        <v>1</v>
      </c>
    </row>
    <row r="1198" customFormat="false" ht="15" hidden="false" customHeight="false" outlineLevel="0" collapsed="false">
      <c r="A1198" s="62" t="n">
        <v>0</v>
      </c>
      <c r="B1198" s="21" t="s">
        <v>336</v>
      </c>
      <c r="C1198" s="62" t="s">
        <v>60</v>
      </c>
      <c r="D1198" s="62" t="s">
        <v>388</v>
      </c>
      <c r="E1198" s="62" t="s">
        <v>72</v>
      </c>
      <c r="F1198" s="62" t="s">
        <v>382</v>
      </c>
      <c r="G1198" s="63" t="s">
        <v>453</v>
      </c>
      <c r="H1198" s="64" t="n">
        <v>-552240165.253233</v>
      </c>
      <c r="I1198" s="62" t="s">
        <v>81</v>
      </c>
      <c r="J1198" s="64" t="n">
        <v>-552240.165253233</v>
      </c>
      <c r="K1198" s="62" t="s">
        <v>138</v>
      </c>
      <c r="L1198" s="68" t="b">
        <f aca="false">TRUE()</f>
        <v>1</v>
      </c>
    </row>
    <row r="1199" customFormat="false" ht="15" hidden="false" customHeight="false" outlineLevel="0" collapsed="false">
      <c r="A1199" s="62" t="n">
        <v>0</v>
      </c>
      <c r="B1199" s="21" t="s">
        <v>336</v>
      </c>
      <c r="C1199" s="62" t="s">
        <v>60</v>
      </c>
      <c r="D1199" s="62" t="s">
        <v>381</v>
      </c>
      <c r="E1199" s="62" t="s">
        <v>72</v>
      </c>
      <c r="F1199" s="62" t="s">
        <v>382</v>
      </c>
      <c r="G1199" s="63" t="s">
        <v>454</v>
      </c>
      <c r="H1199" s="64" t="n">
        <v>1730444000</v>
      </c>
      <c r="I1199" s="62" t="s">
        <v>81</v>
      </c>
      <c r="J1199" s="64" t="n">
        <v>1730444</v>
      </c>
      <c r="K1199" s="62" t="s">
        <v>138</v>
      </c>
      <c r="L1199" s="68" t="b">
        <f aca="false">TRUE()</f>
        <v>1</v>
      </c>
    </row>
    <row r="1200" customFormat="false" ht="15" hidden="false" customHeight="false" outlineLevel="0" collapsed="false">
      <c r="A1200" s="62" t="n">
        <v>0</v>
      </c>
      <c r="B1200" s="21" t="s">
        <v>336</v>
      </c>
      <c r="C1200" s="62" t="s">
        <v>60</v>
      </c>
      <c r="D1200" s="62" t="s">
        <v>383</v>
      </c>
      <c r="E1200" s="62" t="s">
        <v>72</v>
      </c>
      <c r="F1200" s="62" t="s">
        <v>382</v>
      </c>
      <c r="G1200" s="63" t="s">
        <v>454</v>
      </c>
      <c r="H1200" s="64" t="n">
        <v>1730444000</v>
      </c>
      <c r="I1200" s="62" t="s">
        <v>81</v>
      </c>
      <c r="J1200" s="64" t="n">
        <v>1730444</v>
      </c>
      <c r="K1200" s="62" t="s">
        <v>138</v>
      </c>
      <c r="L1200" s="68" t="b">
        <f aca="false">TRUE()</f>
        <v>1</v>
      </c>
    </row>
    <row r="1201" customFormat="false" ht="15" hidden="false" customHeight="false" outlineLevel="0" collapsed="false">
      <c r="A1201" s="62" t="n">
        <v>0</v>
      </c>
      <c r="B1201" s="21" t="s">
        <v>336</v>
      </c>
      <c r="C1201" s="62" t="s">
        <v>60</v>
      </c>
      <c r="D1201" s="62" t="s">
        <v>384</v>
      </c>
      <c r="E1201" s="62" t="s">
        <v>72</v>
      </c>
      <c r="F1201" s="62" t="s">
        <v>382</v>
      </c>
      <c r="G1201" s="63" t="s">
        <v>454</v>
      </c>
      <c r="H1201" s="64" t="n">
        <v>1730444000</v>
      </c>
      <c r="I1201" s="62" t="s">
        <v>81</v>
      </c>
      <c r="J1201" s="64" t="n">
        <v>1730444</v>
      </c>
      <c r="K1201" s="62" t="s">
        <v>138</v>
      </c>
      <c r="L1201" s="68" t="b">
        <f aca="false">TRUE()</f>
        <v>1</v>
      </c>
    </row>
    <row r="1202" customFormat="false" ht="15" hidden="false" customHeight="false" outlineLevel="0" collapsed="false">
      <c r="A1202" s="62" t="n">
        <v>0</v>
      </c>
      <c r="B1202" s="21" t="s">
        <v>336</v>
      </c>
      <c r="C1202" s="62" t="s">
        <v>60</v>
      </c>
      <c r="D1202" s="62" t="s">
        <v>385</v>
      </c>
      <c r="E1202" s="62" t="s">
        <v>72</v>
      </c>
      <c r="F1202" s="62" t="s">
        <v>382</v>
      </c>
      <c r="G1202" s="63" t="s">
        <v>454</v>
      </c>
      <c r="H1202" s="64" t="n">
        <v>1730444000</v>
      </c>
      <c r="I1202" s="62" t="s">
        <v>81</v>
      </c>
      <c r="J1202" s="64" t="n">
        <v>1730444</v>
      </c>
      <c r="K1202" s="62" t="s">
        <v>138</v>
      </c>
      <c r="L1202" s="68" t="b">
        <f aca="false">TRUE()</f>
        <v>1</v>
      </c>
    </row>
    <row r="1203" customFormat="false" ht="15" hidden="false" customHeight="false" outlineLevel="0" collapsed="false">
      <c r="A1203" s="62" t="n">
        <v>0</v>
      </c>
      <c r="B1203" s="21" t="s">
        <v>336</v>
      </c>
      <c r="C1203" s="62" t="s">
        <v>60</v>
      </c>
      <c r="D1203" s="62" t="s">
        <v>386</v>
      </c>
      <c r="E1203" s="62" t="s">
        <v>72</v>
      </c>
      <c r="F1203" s="62" t="s">
        <v>382</v>
      </c>
      <c r="G1203" s="63" t="s">
        <v>454</v>
      </c>
      <c r="H1203" s="64" t="n">
        <v>1730444000</v>
      </c>
      <c r="I1203" s="62" t="s">
        <v>81</v>
      </c>
      <c r="J1203" s="64" t="n">
        <v>1730444</v>
      </c>
      <c r="K1203" s="62" t="s">
        <v>138</v>
      </c>
      <c r="L1203" s="68" t="b">
        <f aca="false">TRUE()</f>
        <v>1</v>
      </c>
    </row>
    <row r="1204" customFormat="false" ht="15" hidden="false" customHeight="false" outlineLevel="0" collapsed="false">
      <c r="A1204" s="62" t="n">
        <v>0</v>
      </c>
      <c r="B1204" s="21" t="s">
        <v>336</v>
      </c>
      <c r="C1204" s="62" t="s">
        <v>60</v>
      </c>
      <c r="D1204" s="62" t="s">
        <v>387</v>
      </c>
      <c r="E1204" s="62" t="s">
        <v>72</v>
      </c>
      <c r="F1204" s="62" t="s">
        <v>382</v>
      </c>
      <c r="G1204" s="63" t="s">
        <v>454</v>
      </c>
      <c r="H1204" s="64" t="n">
        <v>1730444000</v>
      </c>
      <c r="I1204" s="62" t="s">
        <v>81</v>
      </c>
      <c r="J1204" s="64" t="n">
        <v>1730444</v>
      </c>
      <c r="K1204" s="62" t="s">
        <v>138</v>
      </c>
      <c r="L1204" s="68" t="b">
        <f aca="false">TRUE()</f>
        <v>1</v>
      </c>
    </row>
    <row r="1205" customFormat="false" ht="15" hidden="false" customHeight="false" outlineLevel="0" collapsed="false">
      <c r="A1205" s="62" t="n">
        <v>0</v>
      </c>
      <c r="B1205" s="21" t="s">
        <v>336</v>
      </c>
      <c r="C1205" s="62" t="s">
        <v>60</v>
      </c>
      <c r="D1205" s="62" t="s">
        <v>388</v>
      </c>
      <c r="E1205" s="62" t="s">
        <v>72</v>
      </c>
      <c r="F1205" s="62" t="s">
        <v>382</v>
      </c>
      <c r="G1205" s="63" t="s">
        <v>454</v>
      </c>
      <c r="H1205" s="64" t="n">
        <v>1730444000</v>
      </c>
      <c r="I1205" s="62" t="s">
        <v>81</v>
      </c>
      <c r="J1205" s="64" t="n">
        <v>1730444</v>
      </c>
      <c r="K1205" s="62" t="s">
        <v>138</v>
      </c>
      <c r="L1205" s="68" t="b">
        <f aca="false">TRUE()</f>
        <v>1</v>
      </c>
    </row>
    <row r="1206" customFormat="false" ht="15" hidden="false" customHeight="false" outlineLevel="0" collapsed="false">
      <c r="A1206" s="62" t="n">
        <v>0</v>
      </c>
      <c r="B1206" s="21" t="s">
        <v>336</v>
      </c>
      <c r="C1206" s="62" t="s">
        <v>60</v>
      </c>
      <c r="D1206" s="62" t="s">
        <v>381</v>
      </c>
      <c r="E1206" s="62" t="s">
        <v>72</v>
      </c>
      <c r="F1206" s="62" t="s">
        <v>382</v>
      </c>
      <c r="G1206" s="63" t="s">
        <v>455</v>
      </c>
      <c r="H1206" s="64" t="n">
        <v>1178203834.74677</v>
      </c>
      <c r="I1206" s="62" t="s">
        <v>81</v>
      </c>
      <c r="J1206" s="64" t="n">
        <v>1178203.83474677</v>
      </c>
      <c r="K1206" s="62" t="s">
        <v>138</v>
      </c>
      <c r="L1206" s="68" t="b">
        <f aca="false">TRUE()</f>
        <v>1</v>
      </c>
    </row>
    <row r="1207" customFormat="false" ht="15" hidden="false" customHeight="false" outlineLevel="0" collapsed="false">
      <c r="A1207" s="62" t="n">
        <v>0</v>
      </c>
      <c r="B1207" s="21" t="s">
        <v>336</v>
      </c>
      <c r="C1207" s="62" t="s">
        <v>60</v>
      </c>
      <c r="D1207" s="62" t="s">
        <v>383</v>
      </c>
      <c r="E1207" s="62" t="s">
        <v>72</v>
      </c>
      <c r="F1207" s="62" t="s">
        <v>382</v>
      </c>
      <c r="G1207" s="63" t="s">
        <v>455</v>
      </c>
      <c r="H1207" s="64" t="n">
        <v>1178203834.74677</v>
      </c>
      <c r="I1207" s="62" t="s">
        <v>81</v>
      </c>
      <c r="J1207" s="64" t="n">
        <v>1178203.83474677</v>
      </c>
      <c r="K1207" s="62" t="s">
        <v>138</v>
      </c>
      <c r="L1207" s="68" t="b">
        <f aca="false">TRUE()</f>
        <v>1</v>
      </c>
    </row>
    <row r="1208" customFormat="false" ht="15" hidden="false" customHeight="false" outlineLevel="0" collapsed="false">
      <c r="A1208" s="62" t="n">
        <v>0</v>
      </c>
      <c r="B1208" s="21" t="s">
        <v>336</v>
      </c>
      <c r="C1208" s="62" t="s">
        <v>60</v>
      </c>
      <c r="D1208" s="62" t="s">
        <v>384</v>
      </c>
      <c r="E1208" s="62" t="s">
        <v>72</v>
      </c>
      <c r="F1208" s="62" t="s">
        <v>382</v>
      </c>
      <c r="G1208" s="63" t="s">
        <v>455</v>
      </c>
      <c r="H1208" s="64" t="n">
        <v>1178203834.74677</v>
      </c>
      <c r="I1208" s="62" t="s">
        <v>81</v>
      </c>
      <c r="J1208" s="64" t="n">
        <v>1178203.83474677</v>
      </c>
      <c r="K1208" s="62" t="s">
        <v>138</v>
      </c>
      <c r="L1208" s="68" t="b">
        <f aca="false">TRUE()</f>
        <v>1</v>
      </c>
    </row>
    <row r="1209" customFormat="false" ht="15" hidden="false" customHeight="false" outlineLevel="0" collapsed="false">
      <c r="A1209" s="62" t="n">
        <v>0</v>
      </c>
      <c r="B1209" s="21" t="s">
        <v>336</v>
      </c>
      <c r="C1209" s="62" t="s">
        <v>60</v>
      </c>
      <c r="D1209" s="62" t="s">
        <v>385</v>
      </c>
      <c r="E1209" s="62" t="s">
        <v>72</v>
      </c>
      <c r="F1209" s="62" t="s">
        <v>382</v>
      </c>
      <c r="G1209" s="63" t="s">
        <v>455</v>
      </c>
      <c r="H1209" s="64" t="n">
        <v>1178203834.74677</v>
      </c>
      <c r="I1209" s="62" t="s">
        <v>81</v>
      </c>
      <c r="J1209" s="64" t="n">
        <v>1178203.83474677</v>
      </c>
      <c r="K1209" s="62" t="s">
        <v>138</v>
      </c>
      <c r="L1209" s="68" t="b">
        <f aca="false">TRUE()</f>
        <v>1</v>
      </c>
    </row>
    <row r="1210" customFormat="false" ht="15" hidden="false" customHeight="false" outlineLevel="0" collapsed="false">
      <c r="A1210" s="62" t="n">
        <v>0</v>
      </c>
      <c r="B1210" s="21" t="s">
        <v>336</v>
      </c>
      <c r="C1210" s="62" t="s">
        <v>60</v>
      </c>
      <c r="D1210" s="62" t="s">
        <v>386</v>
      </c>
      <c r="E1210" s="62" t="s">
        <v>72</v>
      </c>
      <c r="F1210" s="62" t="s">
        <v>382</v>
      </c>
      <c r="G1210" s="63" t="s">
        <v>455</v>
      </c>
      <c r="H1210" s="64" t="n">
        <v>1178203834.74677</v>
      </c>
      <c r="I1210" s="62" t="s">
        <v>81</v>
      </c>
      <c r="J1210" s="64" t="n">
        <v>1178203.83474677</v>
      </c>
      <c r="K1210" s="62" t="s">
        <v>138</v>
      </c>
      <c r="L1210" s="68" t="b">
        <f aca="false">TRUE()</f>
        <v>1</v>
      </c>
    </row>
    <row r="1211" customFormat="false" ht="15" hidden="false" customHeight="false" outlineLevel="0" collapsed="false">
      <c r="A1211" s="62" t="n">
        <v>0</v>
      </c>
      <c r="B1211" s="21" t="s">
        <v>336</v>
      </c>
      <c r="C1211" s="62" t="s">
        <v>60</v>
      </c>
      <c r="D1211" s="62" t="s">
        <v>387</v>
      </c>
      <c r="E1211" s="62" t="s">
        <v>72</v>
      </c>
      <c r="F1211" s="62" t="s">
        <v>382</v>
      </c>
      <c r="G1211" s="63" t="s">
        <v>455</v>
      </c>
      <c r="H1211" s="64" t="n">
        <v>1178203834.74677</v>
      </c>
      <c r="I1211" s="62" t="s">
        <v>81</v>
      </c>
      <c r="J1211" s="64" t="n">
        <v>1178203.83474677</v>
      </c>
      <c r="K1211" s="62" t="s">
        <v>138</v>
      </c>
      <c r="L1211" s="68" t="b">
        <f aca="false">TRUE()</f>
        <v>1</v>
      </c>
    </row>
    <row r="1212" customFormat="false" ht="15" hidden="false" customHeight="false" outlineLevel="0" collapsed="false">
      <c r="A1212" s="62" t="n">
        <v>0</v>
      </c>
      <c r="B1212" s="21" t="s">
        <v>336</v>
      </c>
      <c r="C1212" s="62" t="s">
        <v>60</v>
      </c>
      <c r="D1212" s="62" t="s">
        <v>388</v>
      </c>
      <c r="E1212" s="62" t="s">
        <v>72</v>
      </c>
      <c r="F1212" s="62" t="s">
        <v>382</v>
      </c>
      <c r="G1212" s="63" t="s">
        <v>455</v>
      </c>
      <c r="H1212" s="64" t="n">
        <v>1178203834.74677</v>
      </c>
      <c r="I1212" s="62" t="s">
        <v>81</v>
      </c>
      <c r="J1212" s="64" t="n">
        <v>1178203.83474677</v>
      </c>
      <c r="K1212" s="62" t="s">
        <v>138</v>
      </c>
      <c r="L1212" s="68" t="b">
        <f aca="false">TRUE()</f>
        <v>1</v>
      </c>
    </row>
    <row r="1213" customFormat="false" ht="15" hidden="false" customHeight="false" outlineLevel="0" collapsed="false">
      <c r="A1213" s="62" t="n">
        <v>0</v>
      </c>
      <c r="B1213" s="21" t="s">
        <v>336</v>
      </c>
      <c r="C1213" s="62" t="s">
        <v>60</v>
      </c>
      <c r="D1213" s="62" t="s">
        <v>381</v>
      </c>
      <c r="E1213" s="62" t="s">
        <v>72</v>
      </c>
      <c r="F1213" s="62" t="s">
        <v>382</v>
      </c>
      <c r="G1213" s="63" t="s">
        <v>457</v>
      </c>
      <c r="H1213" s="64" t="n">
        <v>1741617983.89484</v>
      </c>
      <c r="I1213" s="62" t="s">
        <v>81</v>
      </c>
      <c r="J1213" s="64" t="n">
        <v>1741617.98389484</v>
      </c>
      <c r="K1213" s="62" t="s">
        <v>138</v>
      </c>
      <c r="L1213" s="68" t="b">
        <f aca="false">TRUE()</f>
        <v>1</v>
      </c>
    </row>
    <row r="1214" customFormat="false" ht="15" hidden="false" customHeight="false" outlineLevel="0" collapsed="false">
      <c r="A1214" s="62" t="n">
        <v>0</v>
      </c>
      <c r="B1214" s="21" t="s">
        <v>336</v>
      </c>
      <c r="C1214" s="62" t="s">
        <v>60</v>
      </c>
      <c r="D1214" s="62" t="s">
        <v>383</v>
      </c>
      <c r="E1214" s="62" t="s">
        <v>72</v>
      </c>
      <c r="F1214" s="62" t="s">
        <v>382</v>
      </c>
      <c r="G1214" s="63" t="s">
        <v>457</v>
      </c>
      <c r="H1214" s="64" t="n">
        <v>1741617983.89484</v>
      </c>
      <c r="I1214" s="62" t="s">
        <v>81</v>
      </c>
      <c r="J1214" s="64" t="n">
        <v>1741617.98389484</v>
      </c>
      <c r="K1214" s="62" t="s">
        <v>138</v>
      </c>
      <c r="L1214" s="68" t="b">
        <f aca="false">TRUE()</f>
        <v>1</v>
      </c>
    </row>
    <row r="1215" customFormat="false" ht="15" hidden="false" customHeight="false" outlineLevel="0" collapsed="false">
      <c r="A1215" s="62" t="n">
        <v>0</v>
      </c>
      <c r="B1215" s="21" t="s">
        <v>336</v>
      </c>
      <c r="C1215" s="62" t="s">
        <v>60</v>
      </c>
      <c r="D1215" s="62" t="s">
        <v>384</v>
      </c>
      <c r="E1215" s="62" t="s">
        <v>72</v>
      </c>
      <c r="F1215" s="62" t="s">
        <v>382</v>
      </c>
      <c r="G1215" s="63" t="s">
        <v>457</v>
      </c>
      <c r="H1215" s="64" t="n">
        <v>1741617983.89484</v>
      </c>
      <c r="I1215" s="62" t="s">
        <v>81</v>
      </c>
      <c r="J1215" s="64" t="n">
        <v>1741617.98389484</v>
      </c>
      <c r="K1215" s="62" t="s">
        <v>138</v>
      </c>
      <c r="L1215" s="68" t="b">
        <f aca="false">TRUE()</f>
        <v>1</v>
      </c>
    </row>
    <row r="1216" customFormat="false" ht="15" hidden="false" customHeight="false" outlineLevel="0" collapsed="false">
      <c r="A1216" s="62" t="n">
        <v>0</v>
      </c>
      <c r="B1216" s="21" t="s">
        <v>336</v>
      </c>
      <c r="C1216" s="62" t="s">
        <v>60</v>
      </c>
      <c r="D1216" s="62" t="s">
        <v>385</v>
      </c>
      <c r="E1216" s="62" t="s">
        <v>72</v>
      </c>
      <c r="F1216" s="62" t="s">
        <v>382</v>
      </c>
      <c r="G1216" s="63" t="s">
        <v>457</v>
      </c>
      <c r="H1216" s="64" t="n">
        <v>1741617983.89484</v>
      </c>
      <c r="I1216" s="62" t="s">
        <v>81</v>
      </c>
      <c r="J1216" s="64" t="n">
        <v>1741617.98389484</v>
      </c>
      <c r="K1216" s="62" t="s">
        <v>138</v>
      </c>
      <c r="L1216" s="68" t="b">
        <f aca="false">TRUE()</f>
        <v>1</v>
      </c>
    </row>
    <row r="1217" customFormat="false" ht="15" hidden="false" customHeight="false" outlineLevel="0" collapsed="false">
      <c r="A1217" s="62" t="n">
        <v>0</v>
      </c>
      <c r="B1217" s="21" t="s">
        <v>336</v>
      </c>
      <c r="C1217" s="62" t="s">
        <v>60</v>
      </c>
      <c r="D1217" s="62" t="s">
        <v>386</v>
      </c>
      <c r="E1217" s="62" t="s">
        <v>72</v>
      </c>
      <c r="F1217" s="62" t="s">
        <v>382</v>
      </c>
      <c r="G1217" s="63" t="s">
        <v>457</v>
      </c>
      <c r="H1217" s="64" t="n">
        <v>1741617983.89484</v>
      </c>
      <c r="I1217" s="62" t="s">
        <v>81</v>
      </c>
      <c r="J1217" s="64" t="n">
        <v>1741617.98389484</v>
      </c>
      <c r="K1217" s="62" t="s">
        <v>138</v>
      </c>
      <c r="L1217" s="68" t="b">
        <f aca="false">TRUE()</f>
        <v>1</v>
      </c>
    </row>
    <row r="1218" customFormat="false" ht="15" hidden="false" customHeight="false" outlineLevel="0" collapsed="false">
      <c r="A1218" s="62" t="n">
        <v>0</v>
      </c>
      <c r="B1218" s="21" t="s">
        <v>336</v>
      </c>
      <c r="C1218" s="62" t="s">
        <v>60</v>
      </c>
      <c r="D1218" s="62" t="s">
        <v>387</v>
      </c>
      <c r="E1218" s="62" t="s">
        <v>72</v>
      </c>
      <c r="F1218" s="62" t="s">
        <v>382</v>
      </c>
      <c r="G1218" s="63" t="s">
        <v>457</v>
      </c>
      <c r="H1218" s="64" t="n">
        <v>1741617983.89484</v>
      </c>
      <c r="I1218" s="62" t="s">
        <v>81</v>
      </c>
      <c r="J1218" s="64" t="n">
        <v>1741617.98389484</v>
      </c>
      <c r="K1218" s="62" t="s">
        <v>138</v>
      </c>
      <c r="L1218" s="68" t="b">
        <f aca="false">TRUE()</f>
        <v>1</v>
      </c>
    </row>
    <row r="1219" customFormat="false" ht="15" hidden="false" customHeight="false" outlineLevel="0" collapsed="false">
      <c r="A1219" s="62" t="n">
        <v>0</v>
      </c>
      <c r="B1219" s="21" t="s">
        <v>336</v>
      </c>
      <c r="C1219" s="62" t="s">
        <v>60</v>
      </c>
      <c r="D1219" s="62" t="s">
        <v>388</v>
      </c>
      <c r="E1219" s="62" t="s">
        <v>72</v>
      </c>
      <c r="F1219" s="62" t="s">
        <v>382</v>
      </c>
      <c r="G1219" s="63" t="s">
        <v>457</v>
      </c>
      <c r="H1219" s="64" t="n">
        <v>1741617983.89484</v>
      </c>
      <c r="I1219" s="62" t="s">
        <v>81</v>
      </c>
      <c r="J1219" s="64" t="n">
        <v>1741617.98389484</v>
      </c>
      <c r="K1219" s="62" t="s">
        <v>138</v>
      </c>
      <c r="L1219" s="68" t="b">
        <f aca="false">TRUE()</f>
        <v>1</v>
      </c>
    </row>
    <row r="1220" customFormat="false" ht="15" hidden="false" customHeight="false" outlineLevel="0" collapsed="false">
      <c r="A1220" s="62" t="n">
        <v>0</v>
      </c>
      <c r="B1220" s="21" t="s">
        <v>336</v>
      </c>
      <c r="C1220" s="62" t="s">
        <v>60</v>
      </c>
      <c r="D1220" s="62" t="s">
        <v>381</v>
      </c>
      <c r="E1220" s="62" t="s">
        <v>72</v>
      </c>
      <c r="F1220" s="62" t="s">
        <v>382</v>
      </c>
      <c r="G1220" s="63" t="s">
        <v>458</v>
      </c>
      <c r="H1220" s="64" t="n">
        <v>54587585161.4142</v>
      </c>
      <c r="I1220" s="62" t="s">
        <v>81</v>
      </c>
      <c r="J1220" s="64" t="n">
        <v>54587585.1614142</v>
      </c>
      <c r="K1220" s="62" t="s">
        <v>138</v>
      </c>
      <c r="L1220" s="68" t="b">
        <f aca="false">TRUE()</f>
        <v>1</v>
      </c>
    </row>
    <row r="1221" customFormat="false" ht="15" hidden="false" customHeight="false" outlineLevel="0" collapsed="false">
      <c r="A1221" s="62" t="n">
        <v>0</v>
      </c>
      <c r="B1221" s="21" t="s">
        <v>336</v>
      </c>
      <c r="C1221" s="62" t="s">
        <v>60</v>
      </c>
      <c r="D1221" s="62" t="s">
        <v>383</v>
      </c>
      <c r="E1221" s="62" t="s">
        <v>72</v>
      </c>
      <c r="F1221" s="62" t="s">
        <v>382</v>
      </c>
      <c r="G1221" s="63" t="s">
        <v>458</v>
      </c>
      <c r="H1221" s="64" t="n">
        <v>54587585161.4142</v>
      </c>
      <c r="I1221" s="62" t="s">
        <v>81</v>
      </c>
      <c r="J1221" s="64" t="n">
        <v>54587585.1614142</v>
      </c>
      <c r="K1221" s="62" t="s">
        <v>138</v>
      </c>
      <c r="L1221" s="68" t="b">
        <f aca="false">TRUE()</f>
        <v>1</v>
      </c>
    </row>
    <row r="1222" customFormat="false" ht="15" hidden="false" customHeight="false" outlineLevel="0" collapsed="false">
      <c r="A1222" s="62" t="n">
        <v>0</v>
      </c>
      <c r="B1222" s="21" t="s">
        <v>336</v>
      </c>
      <c r="C1222" s="62" t="s">
        <v>60</v>
      </c>
      <c r="D1222" s="62" t="s">
        <v>384</v>
      </c>
      <c r="E1222" s="62" t="s">
        <v>72</v>
      </c>
      <c r="F1222" s="62" t="s">
        <v>382</v>
      </c>
      <c r="G1222" s="63" t="s">
        <v>458</v>
      </c>
      <c r="H1222" s="64" t="n">
        <v>54587585161.4142</v>
      </c>
      <c r="I1222" s="62" t="s">
        <v>81</v>
      </c>
      <c r="J1222" s="64" t="n">
        <v>54587585.1614142</v>
      </c>
      <c r="K1222" s="62" t="s">
        <v>138</v>
      </c>
      <c r="L1222" s="68" t="b">
        <f aca="false">TRUE()</f>
        <v>1</v>
      </c>
    </row>
    <row r="1223" customFormat="false" ht="15" hidden="false" customHeight="false" outlineLevel="0" collapsed="false">
      <c r="A1223" s="62" t="n">
        <v>0</v>
      </c>
      <c r="B1223" s="21" t="s">
        <v>336</v>
      </c>
      <c r="C1223" s="62" t="s">
        <v>60</v>
      </c>
      <c r="D1223" s="62" t="s">
        <v>385</v>
      </c>
      <c r="E1223" s="62" t="s">
        <v>72</v>
      </c>
      <c r="F1223" s="62" t="s">
        <v>382</v>
      </c>
      <c r="G1223" s="63" t="s">
        <v>458</v>
      </c>
      <c r="H1223" s="64" t="n">
        <v>54587585161.4142</v>
      </c>
      <c r="I1223" s="62" t="s">
        <v>81</v>
      </c>
      <c r="J1223" s="64" t="n">
        <v>54587585.1614142</v>
      </c>
      <c r="K1223" s="62" t="s">
        <v>138</v>
      </c>
      <c r="L1223" s="68" t="b">
        <f aca="false">TRUE()</f>
        <v>1</v>
      </c>
    </row>
    <row r="1224" customFormat="false" ht="15" hidden="false" customHeight="false" outlineLevel="0" collapsed="false">
      <c r="A1224" s="62" t="n">
        <v>0</v>
      </c>
      <c r="B1224" s="21" t="s">
        <v>336</v>
      </c>
      <c r="C1224" s="62" t="s">
        <v>60</v>
      </c>
      <c r="D1224" s="62" t="s">
        <v>386</v>
      </c>
      <c r="E1224" s="62" t="s">
        <v>72</v>
      </c>
      <c r="F1224" s="62" t="s">
        <v>382</v>
      </c>
      <c r="G1224" s="63" t="s">
        <v>458</v>
      </c>
      <c r="H1224" s="64" t="n">
        <v>54587585161.4142</v>
      </c>
      <c r="I1224" s="62" t="s">
        <v>81</v>
      </c>
      <c r="J1224" s="64" t="n">
        <v>54587585.1614142</v>
      </c>
      <c r="K1224" s="62" t="s">
        <v>138</v>
      </c>
      <c r="L1224" s="68" t="b">
        <f aca="false">TRUE()</f>
        <v>1</v>
      </c>
    </row>
    <row r="1225" customFormat="false" ht="15" hidden="false" customHeight="false" outlineLevel="0" collapsed="false">
      <c r="A1225" s="62" t="n">
        <v>0</v>
      </c>
      <c r="B1225" s="21" t="s">
        <v>336</v>
      </c>
      <c r="C1225" s="62" t="s">
        <v>60</v>
      </c>
      <c r="D1225" s="62" t="s">
        <v>387</v>
      </c>
      <c r="E1225" s="62" t="s">
        <v>72</v>
      </c>
      <c r="F1225" s="62" t="s">
        <v>382</v>
      </c>
      <c r="G1225" s="63" t="s">
        <v>458</v>
      </c>
      <c r="H1225" s="64" t="n">
        <v>54587585161.4142</v>
      </c>
      <c r="I1225" s="62" t="s">
        <v>81</v>
      </c>
      <c r="J1225" s="64" t="n">
        <v>54587585.1614142</v>
      </c>
      <c r="K1225" s="62" t="s">
        <v>138</v>
      </c>
      <c r="L1225" s="68" t="b">
        <f aca="false">TRUE()</f>
        <v>1</v>
      </c>
    </row>
    <row r="1226" customFormat="false" ht="15" hidden="false" customHeight="false" outlineLevel="0" collapsed="false">
      <c r="A1226" s="62" t="n">
        <v>0</v>
      </c>
      <c r="B1226" s="21" t="s">
        <v>336</v>
      </c>
      <c r="C1226" s="62" t="s">
        <v>60</v>
      </c>
      <c r="D1226" s="62" t="s">
        <v>388</v>
      </c>
      <c r="E1226" s="62" t="s">
        <v>72</v>
      </c>
      <c r="F1226" s="62" t="s">
        <v>382</v>
      </c>
      <c r="G1226" s="63" t="s">
        <v>458</v>
      </c>
      <c r="H1226" s="64" t="n">
        <v>54587585161.4142</v>
      </c>
      <c r="I1226" s="62" t="s">
        <v>81</v>
      </c>
      <c r="J1226" s="64" t="n">
        <v>54587585.1614142</v>
      </c>
      <c r="K1226" s="62" t="s">
        <v>138</v>
      </c>
      <c r="L1226" s="68" t="b">
        <f aca="false">TRUE()</f>
        <v>1</v>
      </c>
    </row>
    <row r="1227" customFormat="false" ht="15" hidden="false" customHeight="false" outlineLevel="0" collapsed="false">
      <c r="A1227" s="62" t="n">
        <v>0</v>
      </c>
      <c r="B1227" s="21" t="s">
        <v>336</v>
      </c>
      <c r="C1227" s="62" t="s">
        <v>60</v>
      </c>
      <c r="D1227" s="62" t="s">
        <v>381</v>
      </c>
      <c r="E1227" s="62" t="s">
        <v>72</v>
      </c>
      <c r="F1227" s="62" t="s">
        <v>382</v>
      </c>
      <c r="G1227" s="63" t="s">
        <v>459</v>
      </c>
      <c r="H1227" s="64" t="n">
        <v>1625000000</v>
      </c>
      <c r="I1227" s="62" t="s">
        <v>81</v>
      </c>
      <c r="J1227" s="64" t="n">
        <v>1625000</v>
      </c>
      <c r="K1227" s="62" t="s">
        <v>138</v>
      </c>
      <c r="L1227" s="68" t="b">
        <f aca="false">TRUE()</f>
        <v>1</v>
      </c>
    </row>
    <row r="1228" customFormat="false" ht="15" hidden="false" customHeight="false" outlineLevel="0" collapsed="false">
      <c r="A1228" s="62" t="n">
        <v>0</v>
      </c>
      <c r="B1228" s="21" t="s">
        <v>336</v>
      </c>
      <c r="C1228" s="62" t="s">
        <v>60</v>
      </c>
      <c r="D1228" s="62" t="s">
        <v>383</v>
      </c>
      <c r="E1228" s="62" t="s">
        <v>72</v>
      </c>
      <c r="F1228" s="62" t="s">
        <v>382</v>
      </c>
      <c r="G1228" s="63" t="s">
        <v>459</v>
      </c>
      <c r="H1228" s="64" t="n">
        <v>1625000000</v>
      </c>
      <c r="I1228" s="62" t="s">
        <v>81</v>
      </c>
      <c r="J1228" s="64" t="n">
        <v>1625000</v>
      </c>
      <c r="K1228" s="62" t="s">
        <v>138</v>
      </c>
      <c r="L1228" s="68" t="b">
        <f aca="false">TRUE()</f>
        <v>1</v>
      </c>
    </row>
    <row r="1229" customFormat="false" ht="15" hidden="false" customHeight="false" outlineLevel="0" collapsed="false">
      <c r="A1229" s="62" t="n">
        <v>0</v>
      </c>
      <c r="B1229" s="21" t="s">
        <v>336</v>
      </c>
      <c r="C1229" s="62" t="s">
        <v>60</v>
      </c>
      <c r="D1229" s="62" t="s">
        <v>384</v>
      </c>
      <c r="E1229" s="62" t="s">
        <v>72</v>
      </c>
      <c r="F1229" s="62" t="s">
        <v>382</v>
      </c>
      <c r="G1229" s="63" t="s">
        <v>459</v>
      </c>
      <c r="H1229" s="64" t="n">
        <v>1625000000</v>
      </c>
      <c r="I1229" s="62" t="s">
        <v>81</v>
      </c>
      <c r="J1229" s="64" t="n">
        <v>1625000</v>
      </c>
      <c r="K1229" s="62" t="s">
        <v>138</v>
      </c>
      <c r="L1229" s="68" t="b">
        <f aca="false">TRUE()</f>
        <v>1</v>
      </c>
    </row>
    <row r="1230" customFormat="false" ht="15" hidden="false" customHeight="false" outlineLevel="0" collapsed="false">
      <c r="A1230" s="62" t="n">
        <v>0</v>
      </c>
      <c r="B1230" s="21" t="s">
        <v>336</v>
      </c>
      <c r="C1230" s="62" t="s">
        <v>60</v>
      </c>
      <c r="D1230" s="62" t="s">
        <v>385</v>
      </c>
      <c r="E1230" s="62" t="s">
        <v>72</v>
      </c>
      <c r="F1230" s="62" t="s">
        <v>382</v>
      </c>
      <c r="G1230" s="63" t="s">
        <v>459</v>
      </c>
      <c r="H1230" s="64" t="n">
        <v>1625000000</v>
      </c>
      <c r="I1230" s="62" t="s">
        <v>81</v>
      </c>
      <c r="J1230" s="64" t="n">
        <v>1625000</v>
      </c>
      <c r="K1230" s="62" t="s">
        <v>138</v>
      </c>
      <c r="L1230" s="68" t="b">
        <f aca="false">TRUE()</f>
        <v>1</v>
      </c>
    </row>
    <row r="1231" customFormat="false" ht="15" hidden="false" customHeight="false" outlineLevel="0" collapsed="false">
      <c r="A1231" s="62" t="n">
        <v>0</v>
      </c>
      <c r="B1231" s="21" t="s">
        <v>336</v>
      </c>
      <c r="C1231" s="62" t="s">
        <v>60</v>
      </c>
      <c r="D1231" s="62" t="s">
        <v>386</v>
      </c>
      <c r="E1231" s="62" t="s">
        <v>72</v>
      </c>
      <c r="F1231" s="62" t="s">
        <v>382</v>
      </c>
      <c r="G1231" s="63" t="s">
        <v>459</v>
      </c>
      <c r="H1231" s="64" t="n">
        <v>1625000000</v>
      </c>
      <c r="I1231" s="62" t="s">
        <v>81</v>
      </c>
      <c r="J1231" s="64" t="n">
        <v>1625000</v>
      </c>
      <c r="K1231" s="62" t="s">
        <v>138</v>
      </c>
      <c r="L1231" s="68" t="b">
        <f aca="false">TRUE()</f>
        <v>1</v>
      </c>
    </row>
    <row r="1232" customFormat="false" ht="15" hidden="false" customHeight="false" outlineLevel="0" collapsed="false">
      <c r="A1232" s="62" t="n">
        <v>0</v>
      </c>
      <c r="B1232" s="21" t="s">
        <v>336</v>
      </c>
      <c r="C1232" s="62" t="s">
        <v>60</v>
      </c>
      <c r="D1232" s="62" t="s">
        <v>387</v>
      </c>
      <c r="E1232" s="62" t="s">
        <v>72</v>
      </c>
      <c r="F1232" s="62" t="s">
        <v>382</v>
      </c>
      <c r="G1232" s="63" t="s">
        <v>459</v>
      </c>
      <c r="H1232" s="64" t="n">
        <v>1625000000</v>
      </c>
      <c r="I1232" s="62" t="s">
        <v>81</v>
      </c>
      <c r="J1232" s="64" t="n">
        <v>1625000</v>
      </c>
      <c r="K1232" s="62" t="s">
        <v>138</v>
      </c>
      <c r="L1232" s="68" t="b">
        <f aca="false">TRUE()</f>
        <v>1</v>
      </c>
    </row>
    <row r="1233" customFormat="false" ht="15" hidden="false" customHeight="false" outlineLevel="0" collapsed="false">
      <c r="A1233" s="62" t="n">
        <v>0</v>
      </c>
      <c r="B1233" s="21" t="s">
        <v>336</v>
      </c>
      <c r="C1233" s="62" t="s">
        <v>60</v>
      </c>
      <c r="D1233" s="62" t="s">
        <v>388</v>
      </c>
      <c r="E1233" s="62" t="s">
        <v>72</v>
      </c>
      <c r="F1233" s="62" t="s">
        <v>382</v>
      </c>
      <c r="G1233" s="63" t="s">
        <v>459</v>
      </c>
      <c r="H1233" s="64" t="n">
        <v>1625000000</v>
      </c>
      <c r="I1233" s="62" t="s">
        <v>81</v>
      </c>
      <c r="J1233" s="64" t="n">
        <v>1625000</v>
      </c>
      <c r="K1233" s="62" t="s">
        <v>138</v>
      </c>
      <c r="L1233" s="68" t="b">
        <f aca="false">TRUE()</f>
        <v>1</v>
      </c>
    </row>
    <row r="1234" customFormat="false" ht="15" hidden="false" customHeight="false" outlineLevel="0" collapsed="false">
      <c r="A1234" s="62" t="n">
        <v>0</v>
      </c>
      <c r="B1234" s="21" t="s">
        <v>336</v>
      </c>
      <c r="C1234" s="62" t="s">
        <v>60</v>
      </c>
      <c r="D1234" s="62" t="s">
        <v>381</v>
      </c>
      <c r="E1234" s="62" t="s">
        <v>72</v>
      </c>
      <c r="F1234" s="62" t="s">
        <v>382</v>
      </c>
      <c r="G1234" s="63" t="s">
        <v>460</v>
      </c>
      <c r="H1234" s="64" t="n">
        <v>33592.3600993318</v>
      </c>
      <c r="I1234" s="62" t="s">
        <v>81</v>
      </c>
      <c r="J1234" s="64" t="n">
        <v>33.5923600993318</v>
      </c>
      <c r="K1234" s="62" t="s">
        <v>138</v>
      </c>
      <c r="L1234" s="68" t="b">
        <f aca="false">TRUE()</f>
        <v>1</v>
      </c>
    </row>
    <row r="1235" customFormat="false" ht="15" hidden="false" customHeight="false" outlineLevel="0" collapsed="false">
      <c r="A1235" s="62" t="n">
        <v>0</v>
      </c>
      <c r="B1235" s="21" t="s">
        <v>336</v>
      </c>
      <c r="C1235" s="62" t="s">
        <v>60</v>
      </c>
      <c r="D1235" s="62" t="s">
        <v>383</v>
      </c>
      <c r="E1235" s="62" t="s">
        <v>72</v>
      </c>
      <c r="F1235" s="62" t="s">
        <v>382</v>
      </c>
      <c r="G1235" s="63" t="s">
        <v>460</v>
      </c>
      <c r="H1235" s="64" t="n">
        <v>33592.3600993318</v>
      </c>
      <c r="I1235" s="62" t="s">
        <v>81</v>
      </c>
      <c r="J1235" s="64" t="n">
        <v>33.5923600993318</v>
      </c>
      <c r="K1235" s="62" t="s">
        <v>138</v>
      </c>
      <c r="L1235" s="68" t="b">
        <f aca="false">TRUE()</f>
        <v>1</v>
      </c>
    </row>
    <row r="1236" customFormat="false" ht="15" hidden="false" customHeight="false" outlineLevel="0" collapsed="false">
      <c r="A1236" s="62" t="n">
        <v>0</v>
      </c>
      <c r="B1236" s="21" t="s">
        <v>336</v>
      </c>
      <c r="C1236" s="62" t="s">
        <v>60</v>
      </c>
      <c r="D1236" s="62" t="s">
        <v>384</v>
      </c>
      <c r="E1236" s="62" t="s">
        <v>72</v>
      </c>
      <c r="F1236" s="62" t="s">
        <v>382</v>
      </c>
      <c r="G1236" s="63" t="s">
        <v>460</v>
      </c>
      <c r="H1236" s="64" t="n">
        <v>33592.3600993318</v>
      </c>
      <c r="I1236" s="62" t="s">
        <v>81</v>
      </c>
      <c r="J1236" s="64" t="n">
        <v>33.5923600993318</v>
      </c>
      <c r="K1236" s="62" t="s">
        <v>138</v>
      </c>
      <c r="L1236" s="68" t="b">
        <f aca="false">TRUE()</f>
        <v>1</v>
      </c>
    </row>
    <row r="1237" customFormat="false" ht="15" hidden="false" customHeight="false" outlineLevel="0" collapsed="false">
      <c r="A1237" s="62" t="n">
        <v>0</v>
      </c>
      <c r="B1237" s="21" t="s">
        <v>336</v>
      </c>
      <c r="C1237" s="62" t="s">
        <v>60</v>
      </c>
      <c r="D1237" s="62" t="s">
        <v>385</v>
      </c>
      <c r="E1237" s="62" t="s">
        <v>72</v>
      </c>
      <c r="F1237" s="62" t="s">
        <v>382</v>
      </c>
      <c r="G1237" s="63" t="s">
        <v>460</v>
      </c>
      <c r="H1237" s="64" t="n">
        <v>33592.3600993318</v>
      </c>
      <c r="I1237" s="62" t="s">
        <v>81</v>
      </c>
      <c r="J1237" s="64" t="n">
        <v>33.5923600993318</v>
      </c>
      <c r="K1237" s="62" t="s">
        <v>138</v>
      </c>
      <c r="L1237" s="68" t="b">
        <f aca="false">TRUE()</f>
        <v>1</v>
      </c>
    </row>
    <row r="1238" customFormat="false" ht="15" hidden="false" customHeight="false" outlineLevel="0" collapsed="false">
      <c r="A1238" s="62" t="n">
        <v>0</v>
      </c>
      <c r="B1238" s="21" t="s">
        <v>336</v>
      </c>
      <c r="C1238" s="62" t="s">
        <v>60</v>
      </c>
      <c r="D1238" s="62" t="s">
        <v>386</v>
      </c>
      <c r="E1238" s="62" t="s">
        <v>72</v>
      </c>
      <c r="F1238" s="62" t="s">
        <v>382</v>
      </c>
      <c r="G1238" s="63" t="s">
        <v>460</v>
      </c>
      <c r="H1238" s="64" t="n">
        <v>33592.3600993318</v>
      </c>
      <c r="I1238" s="62" t="s">
        <v>81</v>
      </c>
      <c r="J1238" s="64" t="n">
        <v>33.5923600993318</v>
      </c>
      <c r="K1238" s="62" t="s">
        <v>138</v>
      </c>
      <c r="L1238" s="68" t="b">
        <f aca="false">TRUE()</f>
        <v>1</v>
      </c>
    </row>
    <row r="1239" customFormat="false" ht="15" hidden="false" customHeight="false" outlineLevel="0" collapsed="false">
      <c r="A1239" s="62" t="n">
        <v>0</v>
      </c>
      <c r="B1239" s="21" t="s">
        <v>336</v>
      </c>
      <c r="C1239" s="62" t="s">
        <v>60</v>
      </c>
      <c r="D1239" s="62" t="s">
        <v>387</v>
      </c>
      <c r="E1239" s="62" t="s">
        <v>72</v>
      </c>
      <c r="F1239" s="62" t="s">
        <v>382</v>
      </c>
      <c r="G1239" s="63" t="s">
        <v>460</v>
      </c>
      <c r="H1239" s="64" t="n">
        <v>33592.3600993318</v>
      </c>
      <c r="I1239" s="62" t="s">
        <v>81</v>
      </c>
      <c r="J1239" s="64" t="n">
        <v>33.5923600993318</v>
      </c>
      <c r="K1239" s="62" t="s">
        <v>138</v>
      </c>
      <c r="L1239" s="68" t="b">
        <f aca="false">TRUE()</f>
        <v>1</v>
      </c>
    </row>
    <row r="1240" customFormat="false" ht="15" hidden="false" customHeight="false" outlineLevel="0" collapsed="false">
      <c r="A1240" s="62" t="n">
        <v>0</v>
      </c>
      <c r="B1240" s="21" t="s">
        <v>336</v>
      </c>
      <c r="C1240" s="62" t="s">
        <v>60</v>
      </c>
      <c r="D1240" s="62" t="s">
        <v>388</v>
      </c>
      <c r="E1240" s="62" t="s">
        <v>72</v>
      </c>
      <c r="F1240" s="62" t="s">
        <v>382</v>
      </c>
      <c r="G1240" s="63" t="s">
        <v>460</v>
      </c>
      <c r="H1240" s="64" t="n">
        <v>33592.3600993318</v>
      </c>
      <c r="I1240" s="62" t="s">
        <v>81</v>
      </c>
      <c r="J1240" s="64" t="n">
        <v>33.5923600993318</v>
      </c>
      <c r="K1240" s="62" t="s">
        <v>138</v>
      </c>
      <c r="L1240" s="68" t="b">
        <f aca="false">TRUE()</f>
        <v>1</v>
      </c>
    </row>
    <row r="1241" customFormat="false" ht="15" hidden="false" customHeight="false" outlineLevel="0" collapsed="false">
      <c r="A1241" s="62" t="n">
        <v>0</v>
      </c>
      <c r="B1241" s="21" t="s">
        <v>336</v>
      </c>
      <c r="C1241" s="62" t="s">
        <v>60</v>
      </c>
      <c r="D1241" s="62" t="s">
        <v>381</v>
      </c>
      <c r="E1241" s="62" t="s">
        <v>72</v>
      </c>
      <c r="F1241" s="62" t="s">
        <v>382</v>
      </c>
      <c r="G1241" s="63" t="s">
        <v>461</v>
      </c>
      <c r="H1241" s="64" t="n">
        <v>2769.23076923077</v>
      </c>
      <c r="I1241" s="62" t="s">
        <v>81</v>
      </c>
      <c r="J1241" s="64" t="n">
        <v>2.76923076923077</v>
      </c>
      <c r="K1241" s="62" t="s">
        <v>138</v>
      </c>
      <c r="L1241" s="68" t="b">
        <f aca="false">TRUE()</f>
        <v>1</v>
      </c>
    </row>
    <row r="1242" customFormat="false" ht="15" hidden="false" customHeight="false" outlineLevel="0" collapsed="false">
      <c r="A1242" s="62" t="n">
        <v>0</v>
      </c>
      <c r="B1242" s="21" t="s">
        <v>336</v>
      </c>
      <c r="C1242" s="62" t="s">
        <v>60</v>
      </c>
      <c r="D1242" s="62" t="s">
        <v>383</v>
      </c>
      <c r="E1242" s="62" t="s">
        <v>72</v>
      </c>
      <c r="F1242" s="62" t="s">
        <v>382</v>
      </c>
      <c r="G1242" s="63" t="s">
        <v>461</v>
      </c>
      <c r="H1242" s="64" t="n">
        <v>2769.23076923077</v>
      </c>
      <c r="I1242" s="62" t="s">
        <v>81</v>
      </c>
      <c r="J1242" s="64" t="n">
        <v>2.76923076923077</v>
      </c>
      <c r="K1242" s="62" t="s">
        <v>138</v>
      </c>
      <c r="L1242" s="68" t="b">
        <f aca="false">TRUE()</f>
        <v>1</v>
      </c>
    </row>
    <row r="1243" customFormat="false" ht="15" hidden="false" customHeight="false" outlineLevel="0" collapsed="false">
      <c r="A1243" s="62" t="n">
        <v>0</v>
      </c>
      <c r="B1243" s="21" t="s">
        <v>336</v>
      </c>
      <c r="C1243" s="62" t="s">
        <v>60</v>
      </c>
      <c r="D1243" s="62" t="s">
        <v>384</v>
      </c>
      <c r="E1243" s="62" t="s">
        <v>72</v>
      </c>
      <c r="F1243" s="62" t="s">
        <v>382</v>
      </c>
      <c r="G1243" s="63" t="s">
        <v>461</v>
      </c>
      <c r="H1243" s="64" t="n">
        <v>2769.23076923077</v>
      </c>
      <c r="I1243" s="62" t="s">
        <v>81</v>
      </c>
      <c r="J1243" s="64" t="n">
        <v>2.76923076923077</v>
      </c>
      <c r="K1243" s="62" t="s">
        <v>138</v>
      </c>
      <c r="L1243" s="68" t="b">
        <f aca="false">TRUE()</f>
        <v>1</v>
      </c>
    </row>
    <row r="1244" customFormat="false" ht="15" hidden="false" customHeight="false" outlineLevel="0" collapsed="false">
      <c r="A1244" s="62" t="n">
        <v>0</v>
      </c>
      <c r="B1244" s="21" t="s">
        <v>336</v>
      </c>
      <c r="C1244" s="62" t="s">
        <v>60</v>
      </c>
      <c r="D1244" s="62" t="s">
        <v>385</v>
      </c>
      <c r="E1244" s="62" t="s">
        <v>72</v>
      </c>
      <c r="F1244" s="62" t="s">
        <v>382</v>
      </c>
      <c r="G1244" s="63" t="s">
        <v>461</v>
      </c>
      <c r="H1244" s="64" t="n">
        <v>2769.23076923077</v>
      </c>
      <c r="I1244" s="62" t="s">
        <v>81</v>
      </c>
      <c r="J1244" s="64" t="n">
        <v>2.76923076923077</v>
      </c>
      <c r="K1244" s="62" t="s">
        <v>138</v>
      </c>
      <c r="L1244" s="68" t="b">
        <f aca="false">TRUE()</f>
        <v>1</v>
      </c>
    </row>
    <row r="1245" customFormat="false" ht="15" hidden="false" customHeight="false" outlineLevel="0" collapsed="false">
      <c r="A1245" s="62" t="n">
        <v>0</v>
      </c>
      <c r="B1245" s="21" t="s">
        <v>336</v>
      </c>
      <c r="C1245" s="62" t="s">
        <v>60</v>
      </c>
      <c r="D1245" s="62" t="s">
        <v>386</v>
      </c>
      <c r="E1245" s="62" t="s">
        <v>72</v>
      </c>
      <c r="F1245" s="62" t="s">
        <v>382</v>
      </c>
      <c r="G1245" s="63" t="s">
        <v>461</v>
      </c>
      <c r="H1245" s="64" t="n">
        <v>2769.23076923077</v>
      </c>
      <c r="I1245" s="62" t="s">
        <v>81</v>
      </c>
      <c r="J1245" s="64" t="n">
        <v>2.76923076923077</v>
      </c>
      <c r="K1245" s="62" t="s">
        <v>138</v>
      </c>
      <c r="L1245" s="68" t="b">
        <f aca="false">TRUE()</f>
        <v>1</v>
      </c>
    </row>
    <row r="1246" customFormat="false" ht="15" hidden="false" customHeight="false" outlineLevel="0" collapsed="false">
      <c r="A1246" s="62" t="n">
        <v>0</v>
      </c>
      <c r="B1246" s="21" t="s">
        <v>336</v>
      </c>
      <c r="C1246" s="62" t="s">
        <v>60</v>
      </c>
      <c r="D1246" s="62" t="s">
        <v>387</v>
      </c>
      <c r="E1246" s="62" t="s">
        <v>72</v>
      </c>
      <c r="F1246" s="62" t="s">
        <v>382</v>
      </c>
      <c r="G1246" s="63" t="s">
        <v>461</v>
      </c>
      <c r="H1246" s="64" t="n">
        <v>2769.23076923077</v>
      </c>
      <c r="I1246" s="62" t="s">
        <v>81</v>
      </c>
      <c r="J1246" s="64" t="n">
        <v>2.76923076923077</v>
      </c>
      <c r="K1246" s="62" t="s">
        <v>138</v>
      </c>
      <c r="L1246" s="68" t="b">
        <f aca="false">TRUE()</f>
        <v>1</v>
      </c>
    </row>
    <row r="1247" customFormat="false" ht="15" hidden="false" customHeight="false" outlineLevel="0" collapsed="false">
      <c r="A1247" s="62" t="n">
        <v>0</v>
      </c>
      <c r="B1247" s="21" t="s">
        <v>336</v>
      </c>
      <c r="C1247" s="62" t="s">
        <v>60</v>
      </c>
      <c r="D1247" s="62" t="s">
        <v>388</v>
      </c>
      <c r="E1247" s="62" t="s">
        <v>72</v>
      </c>
      <c r="F1247" s="62" t="s">
        <v>382</v>
      </c>
      <c r="G1247" s="63" t="s">
        <v>461</v>
      </c>
      <c r="H1247" s="64" t="n">
        <v>2769.23076923077</v>
      </c>
      <c r="I1247" s="62" t="s">
        <v>81</v>
      </c>
      <c r="J1247" s="64" t="n">
        <v>2.76923076923077</v>
      </c>
      <c r="K1247" s="62" t="s">
        <v>138</v>
      </c>
      <c r="L1247" s="68" t="b">
        <f aca="false">TRUE()</f>
        <v>1</v>
      </c>
    </row>
    <row r="1248" customFormat="false" ht="15" hidden="false" customHeight="false" outlineLevel="0" collapsed="false">
      <c r="A1248" s="62" t="n">
        <v>0</v>
      </c>
      <c r="B1248" s="21" t="s">
        <v>336</v>
      </c>
      <c r="C1248" s="62" t="s">
        <v>60</v>
      </c>
      <c r="D1248" s="62" t="s">
        <v>381</v>
      </c>
      <c r="E1248" s="62" t="s">
        <v>72</v>
      </c>
      <c r="F1248" s="62" t="s">
        <v>382</v>
      </c>
      <c r="G1248" s="63" t="s">
        <v>462</v>
      </c>
      <c r="H1248" s="64" t="n">
        <v>0</v>
      </c>
      <c r="I1248" s="62" t="s">
        <v>81</v>
      </c>
      <c r="J1248" s="64" t="n">
        <v>0</v>
      </c>
      <c r="K1248" s="62" t="s">
        <v>138</v>
      </c>
      <c r="L1248" s="68" t="b">
        <f aca="false">TRUE()</f>
        <v>1</v>
      </c>
    </row>
    <row r="1249" customFormat="false" ht="15" hidden="false" customHeight="false" outlineLevel="0" collapsed="false">
      <c r="A1249" s="62" t="n">
        <v>0</v>
      </c>
      <c r="B1249" s="21" t="s">
        <v>336</v>
      </c>
      <c r="C1249" s="62" t="s">
        <v>60</v>
      </c>
      <c r="D1249" s="62" t="s">
        <v>383</v>
      </c>
      <c r="E1249" s="62" t="s">
        <v>72</v>
      </c>
      <c r="F1249" s="62" t="s">
        <v>382</v>
      </c>
      <c r="G1249" s="63" t="s">
        <v>462</v>
      </c>
      <c r="H1249" s="64" t="n">
        <v>0</v>
      </c>
      <c r="I1249" s="62" t="s">
        <v>81</v>
      </c>
      <c r="J1249" s="64" t="n">
        <v>0</v>
      </c>
      <c r="K1249" s="62" t="s">
        <v>138</v>
      </c>
      <c r="L1249" s="68" t="b">
        <f aca="false">TRUE()</f>
        <v>1</v>
      </c>
    </row>
    <row r="1250" customFormat="false" ht="15" hidden="false" customHeight="false" outlineLevel="0" collapsed="false">
      <c r="A1250" s="62" t="n">
        <v>0</v>
      </c>
      <c r="B1250" s="21" t="s">
        <v>336</v>
      </c>
      <c r="C1250" s="62" t="s">
        <v>60</v>
      </c>
      <c r="D1250" s="62" t="s">
        <v>384</v>
      </c>
      <c r="E1250" s="62" t="s">
        <v>72</v>
      </c>
      <c r="F1250" s="62" t="s">
        <v>382</v>
      </c>
      <c r="G1250" s="63" t="s">
        <v>462</v>
      </c>
      <c r="H1250" s="64" t="n">
        <v>0</v>
      </c>
      <c r="I1250" s="62" t="s">
        <v>81</v>
      </c>
      <c r="J1250" s="64" t="n">
        <v>0</v>
      </c>
      <c r="K1250" s="62" t="s">
        <v>138</v>
      </c>
      <c r="L1250" s="68" t="b">
        <f aca="false">TRUE()</f>
        <v>1</v>
      </c>
    </row>
    <row r="1251" customFormat="false" ht="15" hidden="false" customHeight="false" outlineLevel="0" collapsed="false">
      <c r="A1251" s="62" t="n">
        <v>0</v>
      </c>
      <c r="B1251" s="21" t="s">
        <v>336</v>
      </c>
      <c r="C1251" s="62" t="s">
        <v>60</v>
      </c>
      <c r="D1251" s="62" t="s">
        <v>385</v>
      </c>
      <c r="E1251" s="62" t="s">
        <v>72</v>
      </c>
      <c r="F1251" s="62" t="s">
        <v>382</v>
      </c>
      <c r="G1251" s="63" t="s">
        <v>462</v>
      </c>
      <c r="H1251" s="64" t="n">
        <v>0</v>
      </c>
      <c r="I1251" s="62" t="s">
        <v>81</v>
      </c>
      <c r="J1251" s="64" t="n">
        <v>0</v>
      </c>
      <c r="K1251" s="62" t="s">
        <v>138</v>
      </c>
      <c r="L1251" s="68" t="b">
        <f aca="false">TRUE()</f>
        <v>1</v>
      </c>
    </row>
    <row r="1252" customFormat="false" ht="15" hidden="false" customHeight="false" outlineLevel="0" collapsed="false">
      <c r="A1252" s="62" t="n">
        <v>0</v>
      </c>
      <c r="B1252" s="21" t="s">
        <v>336</v>
      </c>
      <c r="C1252" s="62" t="s">
        <v>60</v>
      </c>
      <c r="D1252" s="62" t="s">
        <v>386</v>
      </c>
      <c r="E1252" s="62" t="s">
        <v>72</v>
      </c>
      <c r="F1252" s="62" t="s">
        <v>382</v>
      </c>
      <c r="G1252" s="63" t="s">
        <v>462</v>
      </c>
      <c r="H1252" s="64" t="n">
        <v>0</v>
      </c>
      <c r="I1252" s="62" t="s">
        <v>81</v>
      </c>
      <c r="J1252" s="64" t="n">
        <v>0</v>
      </c>
      <c r="K1252" s="62" t="s">
        <v>138</v>
      </c>
      <c r="L1252" s="68" t="b">
        <f aca="false">TRUE()</f>
        <v>1</v>
      </c>
    </row>
    <row r="1253" customFormat="false" ht="15" hidden="false" customHeight="false" outlineLevel="0" collapsed="false">
      <c r="A1253" s="62" t="n">
        <v>0</v>
      </c>
      <c r="B1253" s="21" t="s">
        <v>336</v>
      </c>
      <c r="C1253" s="62" t="s">
        <v>60</v>
      </c>
      <c r="D1253" s="62" t="s">
        <v>387</v>
      </c>
      <c r="E1253" s="62" t="s">
        <v>72</v>
      </c>
      <c r="F1253" s="62" t="s">
        <v>382</v>
      </c>
      <c r="G1253" s="63" t="s">
        <v>462</v>
      </c>
      <c r="H1253" s="64" t="n">
        <v>0</v>
      </c>
      <c r="I1253" s="62" t="s">
        <v>81</v>
      </c>
      <c r="J1253" s="64" t="n">
        <v>0</v>
      </c>
      <c r="K1253" s="62" t="s">
        <v>138</v>
      </c>
      <c r="L1253" s="68" t="b">
        <f aca="false">TRUE()</f>
        <v>1</v>
      </c>
    </row>
    <row r="1254" customFormat="false" ht="15" hidden="false" customHeight="false" outlineLevel="0" collapsed="false">
      <c r="A1254" s="62" t="n">
        <v>0</v>
      </c>
      <c r="B1254" s="21" t="s">
        <v>336</v>
      </c>
      <c r="C1254" s="62" t="s">
        <v>60</v>
      </c>
      <c r="D1254" s="62" t="s">
        <v>388</v>
      </c>
      <c r="E1254" s="62" t="s">
        <v>72</v>
      </c>
      <c r="F1254" s="62" t="s">
        <v>382</v>
      </c>
      <c r="G1254" s="63" t="s">
        <v>462</v>
      </c>
      <c r="H1254" s="64" t="n">
        <v>0</v>
      </c>
      <c r="I1254" s="62" t="s">
        <v>81</v>
      </c>
      <c r="J1254" s="64" t="n">
        <v>0</v>
      </c>
      <c r="K1254" s="62" t="s">
        <v>138</v>
      </c>
      <c r="L1254" s="68" t="b">
        <f aca="false">TRUE()</f>
        <v>1</v>
      </c>
    </row>
    <row r="1255" customFormat="false" ht="15" hidden="false" customHeight="false" outlineLevel="0" collapsed="false">
      <c r="A1255" s="62" t="n">
        <v>0</v>
      </c>
      <c r="B1255" s="21" t="s">
        <v>336</v>
      </c>
      <c r="C1255" s="62" t="s">
        <v>60</v>
      </c>
      <c r="D1255" s="62" t="s">
        <v>381</v>
      </c>
      <c r="E1255" s="62" t="s">
        <v>72</v>
      </c>
      <c r="F1255" s="62" t="s">
        <v>382</v>
      </c>
      <c r="G1255" s="63" t="s">
        <v>463</v>
      </c>
      <c r="H1255" s="64" t="n">
        <v>31343.0302547394</v>
      </c>
      <c r="I1255" s="62" t="s">
        <v>81</v>
      </c>
      <c r="J1255" s="64" t="n">
        <v>31.3430302547394</v>
      </c>
      <c r="K1255" s="62" t="s">
        <v>138</v>
      </c>
      <c r="L1255" s="68" t="b">
        <f aca="false">TRUE()</f>
        <v>1</v>
      </c>
    </row>
    <row r="1256" customFormat="false" ht="15" hidden="false" customHeight="false" outlineLevel="0" collapsed="false">
      <c r="A1256" s="62" t="n">
        <v>0</v>
      </c>
      <c r="B1256" s="21" t="s">
        <v>336</v>
      </c>
      <c r="C1256" s="62" t="s">
        <v>60</v>
      </c>
      <c r="D1256" s="62" t="s">
        <v>383</v>
      </c>
      <c r="E1256" s="62" t="s">
        <v>72</v>
      </c>
      <c r="F1256" s="62" t="s">
        <v>382</v>
      </c>
      <c r="G1256" s="63" t="s">
        <v>463</v>
      </c>
      <c r="H1256" s="64" t="n">
        <v>31343.0302547394</v>
      </c>
      <c r="I1256" s="62" t="s">
        <v>81</v>
      </c>
      <c r="J1256" s="64" t="n">
        <v>31.3430302547394</v>
      </c>
      <c r="K1256" s="62" t="s">
        <v>138</v>
      </c>
      <c r="L1256" s="68" t="b">
        <f aca="false">TRUE()</f>
        <v>1</v>
      </c>
    </row>
    <row r="1257" customFormat="false" ht="15" hidden="false" customHeight="false" outlineLevel="0" collapsed="false">
      <c r="A1257" s="62" t="n">
        <v>0</v>
      </c>
      <c r="B1257" s="21" t="s">
        <v>336</v>
      </c>
      <c r="C1257" s="62" t="s">
        <v>60</v>
      </c>
      <c r="D1257" s="62" t="s">
        <v>384</v>
      </c>
      <c r="E1257" s="62" t="s">
        <v>72</v>
      </c>
      <c r="F1257" s="62" t="s">
        <v>382</v>
      </c>
      <c r="G1257" s="63" t="s">
        <v>463</v>
      </c>
      <c r="H1257" s="64" t="n">
        <v>31343.0302547394</v>
      </c>
      <c r="I1257" s="62" t="s">
        <v>81</v>
      </c>
      <c r="J1257" s="64" t="n">
        <v>31.3430302547394</v>
      </c>
      <c r="K1257" s="62" t="s">
        <v>138</v>
      </c>
      <c r="L1257" s="68" t="b">
        <f aca="false">TRUE()</f>
        <v>1</v>
      </c>
    </row>
    <row r="1258" customFormat="false" ht="15" hidden="false" customHeight="false" outlineLevel="0" collapsed="false">
      <c r="A1258" s="62" t="n">
        <v>0</v>
      </c>
      <c r="B1258" s="21" t="s">
        <v>336</v>
      </c>
      <c r="C1258" s="62" t="s">
        <v>60</v>
      </c>
      <c r="D1258" s="62" t="s">
        <v>385</v>
      </c>
      <c r="E1258" s="62" t="s">
        <v>72</v>
      </c>
      <c r="F1258" s="62" t="s">
        <v>382</v>
      </c>
      <c r="G1258" s="63" t="s">
        <v>463</v>
      </c>
      <c r="H1258" s="64" t="n">
        <v>31343.0302547394</v>
      </c>
      <c r="I1258" s="62" t="s">
        <v>81</v>
      </c>
      <c r="J1258" s="64" t="n">
        <v>31.3430302547394</v>
      </c>
      <c r="K1258" s="62" t="s">
        <v>138</v>
      </c>
      <c r="L1258" s="68" t="b">
        <f aca="false">TRUE()</f>
        <v>1</v>
      </c>
    </row>
    <row r="1259" customFormat="false" ht="15" hidden="false" customHeight="false" outlineLevel="0" collapsed="false">
      <c r="A1259" s="62" t="n">
        <v>0</v>
      </c>
      <c r="B1259" s="21" t="s">
        <v>336</v>
      </c>
      <c r="C1259" s="62" t="s">
        <v>60</v>
      </c>
      <c r="D1259" s="62" t="s">
        <v>386</v>
      </c>
      <c r="E1259" s="62" t="s">
        <v>72</v>
      </c>
      <c r="F1259" s="62" t="s">
        <v>382</v>
      </c>
      <c r="G1259" s="63" t="s">
        <v>463</v>
      </c>
      <c r="H1259" s="64" t="n">
        <v>31343.0302547394</v>
      </c>
      <c r="I1259" s="62" t="s">
        <v>81</v>
      </c>
      <c r="J1259" s="64" t="n">
        <v>31.3430302547394</v>
      </c>
      <c r="K1259" s="62" t="s">
        <v>138</v>
      </c>
      <c r="L1259" s="68" t="b">
        <f aca="false">TRUE()</f>
        <v>1</v>
      </c>
    </row>
    <row r="1260" customFormat="false" ht="15" hidden="false" customHeight="false" outlineLevel="0" collapsed="false">
      <c r="A1260" s="62" t="n">
        <v>0</v>
      </c>
      <c r="B1260" s="21" t="s">
        <v>336</v>
      </c>
      <c r="C1260" s="62" t="s">
        <v>60</v>
      </c>
      <c r="D1260" s="62" t="s">
        <v>387</v>
      </c>
      <c r="E1260" s="62" t="s">
        <v>72</v>
      </c>
      <c r="F1260" s="62" t="s">
        <v>382</v>
      </c>
      <c r="G1260" s="63" t="s">
        <v>463</v>
      </c>
      <c r="H1260" s="64" t="n">
        <v>31343.0302547394</v>
      </c>
      <c r="I1260" s="62" t="s">
        <v>81</v>
      </c>
      <c r="J1260" s="64" t="n">
        <v>31.3430302547394</v>
      </c>
      <c r="K1260" s="62" t="s">
        <v>138</v>
      </c>
      <c r="L1260" s="68" t="b">
        <f aca="false">TRUE()</f>
        <v>1</v>
      </c>
    </row>
    <row r="1261" customFormat="false" ht="15" hidden="false" customHeight="false" outlineLevel="0" collapsed="false">
      <c r="A1261" s="62" t="n">
        <v>0</v>
      </c>
      <c r="B1261" s="21" t="s">
        <v>336</v>
      </c>
      <c r="C1261" s="62" t="s">
        <v>60</v>
      </c>
      <c r="D1261" s="62" t="s">
        <v>388</v>
      </c>
      <c r="E1261" s="62" t="s">
        <v>72</v>
      </c>
      <c r="F1261" s="62" t="s">
        <v>382</v>
      </c>
      <c r="G1261" s="63" t="s">
        <v>463</v>
      </c>
      <c r="H1261" s="64" t="n">
        <v>31343.0302547394</v>
      </c>
      <c r="I1261" s="62" t="s">
        <v>81</v>
      </c>
      <c r="J1261" s="64" t="n">
        <v>31.3430302547394</v>
      </c>
      <c r="K1261" s="62" t="s">
        <v>138</v>
      </c>
      <c r="L1261" s="68" t="b">
        <f aca="false">TRUE()</f>
        <v>1</v>
      </c>
    </row>
    <row r="1262" customFormat="false" ht="15" hidden="false" customHeight="false" outlineLevel="0" collapsed="false">
      <c r="A1262" s="62" t="n">
        <v>0</v>
      </c>
      <c r="B1262" s="21" t="s">
        <v>336</v>
      </c>
      <c r="C1262" s="62" t="s">
        <v>60</v>
      </c>
      <c r="D1262" s="62" t="s">
        <v>381</v>
      </c>
      <c r="E1262" s="62" t="s">
        <v>72</v>
      </c>
      <c r="F1262" s="62" t="s">
        <v>382</v>
      </c>
      <c r="G1262" s="63" t="s">
        <v>464</v>
      </c>
      <c r="H1262" s="64" t="n">
        <v>0</v>
      </c>
      <c r="I1262" s="62" t="s">
        <v>81</v>
      </c>
      <c r="J1262" s="64" t="n">
        <v>0</v>
      </c>
      <c r="K1262" s="62" t="s">
        <v>138</v>
      </c>
      <c r="L1262" s="68" t="b">
        <f aca="false">TRUE()</f>
        <v>1</v>
      </c>
    </row>
    <row r="1263" customFormat="false" ht="15" hidden="false" customHeight="false" outlineLevel="0" collapsed="false">
      <c r="A1263" s="62" t="n">
        <v>0</v>
      </c>
      <c r="B1263" s="21" t="s">
        <v>336</v>
      </c>
      <c r="C1263" s="62" t="s">
        <v>60</v>
      </c>
      <c r="D1263" s="62" t="s">
        <v>383</v>
      </c>
      <c r="E1263" s="62" t="s">
        <v>72</v>
      </c>
      <c r="F1263" s="62" t="s">
        <v>382</v>
      </c>
      <c r="G1263" s="63" t="s">
        <v>464</v>
      </c>
      <c r="H1263" s="64" t="n">
        <v>0</v>
      </c>
      <c r="I1263" s="62" t="s">
        <v>81</v>
      </c>
      <c r="J1263" s="64" t="n">
        <v>0</v>
      </c>
      <c r="K1263" s="62" t="s">
        <v>138</v>
      </c>
      <c r="L1263" s="68" t="b">
        <f aca="false">TRUE()</f>
        <v>1</v>
      </c>
    </row>
    <row r="1264" customFormat="false" ht="15" hidden="false" customHeight="false" outlineLevel="0" collapsed="false">
      <c r="A1264" s="62" t="n">
        <v>0</v>
      </c>
      <c r="B1264" s="21" t="s">
        <v>336</v>
      </c>
      <c r="C1264" s="62" t="s">
        <v>60</v>
      </c>
      <c r="D1264" s="62" t="s">
        <v>384</v>
      </c>
      <c r="E1264" s="62" t="s">
        <v>72</v>
      </c>
      <c r="F1264" s="62" t="s">
        <v>382</v>
      </c>
      <c r="G1264" s="63" t="s">
        <v>464</v>
      </c>
      <c r="H1264" s="64" t="n">
        <v>0</v>
      </c>
      <c r="I1264" s="62" t="s">
        <v>81</v>
      </c>
      <c r="J1264" s="64" t="n">
        <v>0</v>
      </c>
      <c r="K1264" s="62" t="s">
        <v>138</v>
      </c>
      <c r="L1264" s="68" t="b">
        <f aca="false">TRUE()</f>
        <v>1</v>
      </c>
    </row>
    <row r="1265" customFormat="false" ht="15" hidden="false" customHeight="false" outlineLevel="0" collapsed="false">
      <c r="A1265" s="62" t="n">
        <v>0</v>
      </c>
      <c r="B1265" s="21" t="s">
        <v>336</v>
      </c>
      <c r="C1265" s="62" t="s">
        <v>60</v>
      </c>
      <c r="D1265" s="62" t="s">
        <v>385</v>
      </c>
      <c r="E1265" s="62" t="s">
        <v>72</v>
      </c>
      <c r="F1265" s="62" t="s">
        <v>382</v>
      </c>
      <c r="G1265" s="63" t="s">
        <v>464</v>
      </c>
      <c r="H1265" s="64" t="n">
        <v>0</v>
      </c>
      <c r="I1265" s="62" t="s">
        <v>81</v>
      </c>
      <c r="J1265" s="64" t="n">
        <v>0</v>
      </c>
      <c r="K1265" s="62" t="s">
        <v>138</v>
      </c>
      <c r="L1265" s="68" t="b">
        <f aca="false">TRUE()</f>
        <v>1</v>
      </c>
    </row>
    <row r="1266" customFormat="false" ht="15" hidden="false" customHeight="false" outlineLevel="0" collapsed="false">
      <c r="A1266" s="62" t="n">
        <v>0</v>
      </c>
      <c r="B1266" s="21" t="s">
        <v>336</v>
      </c>
      <c r="C1266" s="62" t="s">
        <v>60</v>
      </c>
      <c r="D1266" s="62" t="s">
        <v>386</v>
      </c>
      <c r="E1266" s="62" t="s">
        <v>72</v>
      </c>
      <c r="F1266" s="62" t="s">
        <v>382</v>
      </c>
      <c r="G1266" s="63" t="s">
        <v>464</v>
      </c>
      <c r="H1266" s="64" t="n">
        <v>0</v>
      </c>
      <c r="I1266" s="62" t="s">
        <v>81</v>
      </c>
      <c r="J1266" s="64" t="n">
        <v>0</v>
      </c>
      <c r="K1266" s="62" t="s">
        <v>138</v>
      </c>
      <c r="L1266" s="68" t="b">
        <f aca="false">TRUE()</f>
        <v>1</v>
      </c>
    </row>
    <row r="1267" customFormat="false" ht="15" hidden="false" customHeight="false" outlineLevel="0" collapsed="false">
      <c r="A1267" s="62" t="n">
        <v>0</v>
      </c>
      <c r="B1267" s="21" t="s">
        <v>336</v>
      </c>
      <c r="C1267" s="62" t="s">
        <v>60</v>
      </c>
      <c r="D1267" s="62" t="s">
        <v>387</v>
      </c>
      <c r="E1267" s="62" t="s">
        <v>72</v>
      </c>
      <c r="F1267" s="62" t="s">
        <v>382</v>
      </c>
      <c r="G1267" s="63" t="s">
        <v>464</v>
      </c>
      <c r="H1267" s="64" t="n">
        <v>0</v>
      </c>
      <c r="I1267" s="62" t="s">
        <v>81</v>
      </c>
      <c r="J1267" s="64" t="n">
        <v>0</v>
      </c>
      <c r="K1267" s="62" t="s">
        <v>138</v>
      </c>
      <c r="L1267" s="68" t="b">
        <f aca="false">TRUE()</f>
        <v>1</v>
      </c>
    </row>
    <row r="1268" customFormat="false" ht="15" hidden="false" customHeight="false" outlineLevel="0" collapsed="false">
      <c r="A1268" s="62" t="n">
        <v>0</v>
      </c>
      <c r="B1268" s="21" t="s">
        <v>336</v>
      </c>
      <c r="C1268" s="62" t="s">
        <v>60</v>
      </c>
      <c r="D1268" s="62" t="s">
        <v>388</v>
      </c>
      <c r="E1268" s="62" t="s">
        <v>72</v>
      </c>
      <c r="F1268" s="62" t="s">
        <v>382</v>
      </c>
      <c r="G1268" s="63" t="s">
        <v>464</v>
      </c>
      <c r="H1268" s="64" t="n">
        <v>0</v>
      </c>
      <c r="I1268" s="62" t="s">
        <v>81</v>
      </c>
      <c r="J1268" s="64" t="n">
        <v>0</v>
      </c>
      <c r="K1268" s="62" t="s">
        <v>138</v>
      </c>
      <c r="L1268" s="68" t="b">
        <f aca="false">TRUE()</f>
        <v>1</v>
      </c>
    </row>
    <row r="1269" customFormat="false" ht="15" hidden="false" customHeight="false" outlineLevel="0" collapsed="false">
      <c r="A1269" s="62" t="n">
        <v>0</v>
      </c>
      <c r="B1269" s="21" t="s">
        <v>336</v>
      </c>
      <c r="C1269" s="62" t="s">
        <v>60</v>
      </c>
      <c r="D1269" s="62" t="s">
        <v>381</v>
      </c>
      <c r="E1269" s="62" t="s">
        <v>105</v>
      </c>
      <c r="F1269" s="62" t="s">
        <v>382</v>
      </c>
      <c r="G1269" s="63" t="s">
        <v>465</v>
      </c>
      <c r="H1269" s="64" t="n">
        <v>0.169725868811426</v>
      </c>
      <c r="I1269" s="62" t="s">
        <v>878</v>
      </c>
      <c r="J1269" s="64" t="n">
        <v>16.9725868811426</v>
      </c>
      <c r="K1269" s="62" t="s">
        <v>42</v>
      </c>
      <c r="L1269" s="68" t="b">
        <f aca="false">TRUE()</f>
        <v>1</v>
      </c>
    </row>
    <row r="1270" customFormat="false" ht="15" hidden="false" customHeight="false" outlineLevel="0" collapsed="false">
      <c r="A1270" s="62" t="n">
        <v>0</v>
      </c>
      <c r="B1270" s="21" t="s">
        <v>336</v>
      </c>
      <c r="C1270" s="62" t="s">
        <v>60</v>
      </c>
      <c r="D1270" s="62" t="s">
        <v>383</v>
      </c>
      <c r="E1270" s="62" t="s">
        <v>105</v>
      </c>
      <c r="F1270" s="62" t="s">
        <v>382</v>
      </c>
      <c r="G1270" s="63" t="s">
        <v>465</v>
      </c>
      <c r="H1270" s="64" t="n">
        <v>0.169725868811426</v>
      </c>
      <c r="I1270" s="62" t="s">
        <v>878</v>
      </c>
      <c r="J1270" s="64" t="n">
        <v>16.9725868811426</v>
      </c>
      <c r="K1270" s="62" t="s">
        <v>42</v>
      </c>
      <c r="L1270" s="68" t="b">
        <f aca="false">TRUE()</f>
        <v>1</v>
      </c>
    </row>
    <row r="1271" customFormat="false" ht="15" hidden="false" customHeight="false" outlineLevel="0" collapsed="false">
      <c r="A1271" s="62" t="n">
        <v>0</v>
      </c>
      <c r="B1271" s="21" t="s">
        <v>336</v>
      </c>
      <c r="C1271" s="62" t="s">
        <v>60</v>
      </c>
      <c r="D1271" s="62" t="s">
        <v>384</v>
      </c>
      <c r="E1271" s="62" t="s">
        <v>105</v>
      </c>
      <c r="F1271" s="62" t="s">
        <v>382</v>
      </c>
      <c r="G1271" s="63" t="s">
        <v>465</v>
      </c>
      <c r="H1271" s="64" t="n">
        <v>0.169725868811426</v>
      </c>
      <c r="I1271" s="62" t="s">
        <v>878</v>
      </c>
      <c r="J1271" s="64" t="n">
        <v>16.9725868811426</v>
      </c>
      <c r="K1271" s="62" t="s">
        <v>42</v>
      </c>
      <c r="L1271" s="68" t="b">
        <f aca="false">TRUE()</f>
        <v>1</v>
      </c>
    </row>
    <row r="1272" customFormat="false" ht="15" hidden="false" customHeight="false" outlineLevel="0" collapsed="false">
      <c r="A1272" s="62" t="n">
        <v>0</v>
      </c>
      <c r="B1272" s="21" t="s">
        <v>336</v>
      </c>
      <c r="C1272" s="62" t="s">
        <v>60</v>
      </c>
      <c r="D1272" s="62" t="s">
        <v>385</v>
      </c>
      <c r="E1272" s="62" t="s">
        <v>105</v>
      </c>
      <c r="F1272" s="62" t="s">
        <v>382</v>
      </c>
      <c r="G1272" s="63" t="s">
        <v>465</v>
      </c>
      <c r="H1272" s="64" t="n">
        <v>0.169725868811426</v>
      </c>
      <c r="I1272" s="62" t="s">
        <v>878</v>
      </c>
      <c r="J1272" s="64" t="n">
        <v>16.9725868811426</v>
      </c>
      <c r="K1272" s="62" t="s">
        <v>42</v>
      </c>
      <c r="L1272" s="68" t="b">
        <f aca="false">TRUE()</f>
        <v>1</v>
      </c>
    </row>
    <row r="1273" customFormat="false" ht="15" hidden="false" customHeight="false" outlineLevel="0" collapsed="false">
      <c r="A1273" s="62" t="n">
        <v>0</v>
      </c>
      <c r="B1273" s="21" t="s">
        <v>336</v>
      </c>
      <c r="C1273" s="62" t="s">
        <v>60</v>
      </c>
      <c r="D1273" s="62" t="s">
        <v>386</v>
      </c>
      <c r="E1273" s="62" t="s">
        <v>105</v>
      </c>
      <c r="F1273" s="62" t="s">
        <v>382</v>
      </c>
      <c r="G1273" s="63" t="s">
        <v>465</v>
      </c>
      <c r="H1273" s="64" t="n">
        <v>0.169725868811426</v>
      </c>
      <c r="I1273" s="62" t="s">
        <v>878</v>
      </c>
      <c r="J1273" s="64" t="n">
        <v>16.9725868811426</v>
      </c>
      <c r="K1273" s="62" t="s">
        <v>42</v>
      </c>
      <c r="L1273" s="68" t="b">
        <f aca="false">TRUE()</f>
        <v>1</v>
      </c>
    </row>
    <row r="1274" customFormat="false" ht="15" hidden="false" customHeight="false" outlineLevel="0" collapsed="false">
      <c r="A1274" s="62" t="n">
        <v>0</v>
      </c>
      <c r="B1274" s="21" t="s">
        <v>336</v>
      </c>
      <c r="C1274" s="62" t="s">
        <v>60</v>
      </c>
      <c r="D1274" s="62" t="s">
        <v>387</v>
      </c>
      <c r="E1274" s="62" t="s">
        <v>105</v>
      </c>
      <c r="F1274" s="62" t="s">
        <v>382</v>
      </c>
      <c r="G1274" s="63" t="s">
        <v>465</v>
      </c>
      <c r="H1274" s="64" t="n">
        <v>0.169725868811426</v>
      </c>
      <c r="I1274" s="62" t="s">
        <v>878</v>
      </c>
      <c r="J1274" s="64" t="n">
        <v>16.9725868811426</v>
      </c>
      <c r="K1274" s="62" t="s">
        <v>42</v>
      </c>
      <c r="L1274" s="68" t="b">
        <f aca="false">TRUE()</f>
        <v>1</v>
      </c>
    </row>
    <row r="1275" customFormat="false" ht="15" hidden="false" customHeight="false" outlineLevel="0" collapsed="false">
      <c r="A1275" s="62" t="n">
        <v>0</v>
      </c>
      <c r="B1275" s="21" t="s">
        <v>336</v>
      </c>
      <c r="C1275" s="62" t="s">
        <v>60</v>
      </c>
      <c r="D1275" s="62" t="s">
        <v>388</v>
      </c>
      <c r="E1275" s="62" t="s">
        <v>105</v>
      </c>
      <c r="F1275" s="62" t="s">
        <v>382</v>
      </c>
      <c r="G1275" s="63" t="s">
        <v>465</v>
      </c>
      <c r="H1275" s="64" t="n">
        <v>0.169725868811426</v>
      </c>
      <c r="I1275" s="62" t="s">
        <v>878</v>
      </c>
      <c r="J1275" s="64" t="n">
        <v>16.9725868811426</v>
      </c>
      <c r="K1275" s="62" t="s">
        <v>42</v>
      </c>
      <c r="L1275" s="68" t="b">
        <f aca="false">TRUE()</f>
        <v>1</v>
      </c>
    </row>
    <row r="1276" customFormat="false" ht="15" hidden="false" customHeight="false" outlineLevel="0" collapsed="false">
      <c r="A1276" s="62" t="n">
        <v>0</v>
      </c>
      <c r="B1276" s="21" t="s">
        <v>336</v>
      </c>
      <c r="C1276" s="62" t="s">
        <v>60</v>
      </c>
      <c r="D1276" s="62" t="s">
        <v>381</v>
      </c>
      <c r="E1276" s="62" t="s">
        <v>105</v>
      </c>
      <c r="F1276" s="62" t="s">
        <v>382</v>
      </c>
      <c r="G1276" s="63" t="s">
        <v>307</v>
      </c>
      <c r="H1276" s="64" t="n">
        <v>0.105121699269388</v>
      </c>
      <c r="I1276" s="62" t="s">
        <v>878</v>
      </c>
      <c r="J1276" s="64" t="n">
        <v>10.5121699269388</v>
      </c>
      <c r="K1276" s="62" t="s">
        <v>42</v>
      </c>
      <c r="L1276" s="68" t="b">
        <f aca="false">TRUE()</f>
        <v>1</v>
      </c>
    </row>
    <row r="1277" customFormat="false" ht="15" hidden="false" customHeight="false" outlineLevel="0" collapsed="false">
      <c r="A1277" s="62" t="n">
        <v>0</v>
      </c>
      <c r="B1277" s="21" t="s">
        <v>336</v>
      </c>
      <c r="C1277" s="62" t="s">
        <v>60</v>
      </c>
      <c r="D1277" s="62" t="s">
        <v>383</v>
      </c>
      <c r="E1277" s="62" t="s">
        <v>105</v>
      </c>
      <c r="F1277" s="62" t="s">
        <v>382</v>
      </c>
      <c r="G1277" s="63" t="s">
        <v>307</v>
      </c>
      <c r="H1277" s="64" t="n">
        <v>0.105121699269388</v>
      </c>
      <c r="I1277" s="62" t="s">
        <v>878</v>
      </c>
      <c r="J1277" s="64" t="n">
        <v>10.5121699269388</v>
      </c>
      <c r="K1277" s="62" t="s">
        <v>42</v>
      </c>
      <c r="L1277" s="68" t="b">
        <f aca="false">TRUE()</f>
        <v>1</v>
      </c>
    </row>
    <row r="1278" customFormat="false" ht="15" hidden="false" customHeight="false" outlineLevel="0" collapsed="false">
      <c r="A1278" s="62" t="n">
        <v>0</v>
      </c>
      <c r="B1278" s="21" t="s">
        <v>336</v>
      </c>
      <c r="C1278" s="62" t="s">
        <v>60</v>
      </c>
      <c r="D1278" s="62" t="s">
        <v>384</v>
      </c>
      <c r="E1278" s="62" t="s">
        <v>105</v>
      </c>
      <c r="F1278" s="62" t="s">
        <v>382</v>
      </c>
      <c r="G1278" s="63" t="s">
        <v>307</v>
      </c>
      <c r="H1278" s="64" t="n">
        <v>0.105121699269388</v>
      </c>
      <c r="I1278" s="62" t="s">
        <v>878</v>
      </c>
      <c r="J1278" s="64" t="n">
        <v>10.5121699269388</v>
      </c>
      <c r="K1278" s="62" t="s">
        <v>42</v>
      </c>
      <c r="L1278" s="68" t="b">
        <f aca="false">TRUE()</f>
        <v>1</v>
      </c>
    </row>
    <row r="1279" customFormat="false" ht="15" hidden="false" customHeight="false" outlineLevel="0" collapsed="false">
      <c r="A1279" s="62" t="n">
        <v>0</v>
      </c>
      <c r="B1279" s="21" t="s">
        <v>336</v>
      </c>
      <c r="C1279" s="62" t="s">
        <v>60</v>
      </c>
      <c r="D1279" s="62" t="s">
        <v>385</v>
      </c>
      <c r="E1279" s="62" t="s">
        <v>105</v>
      </c>
      <c r="F1279" s="62" t="s">
        <v>382</v>
      </c>
      <c r="G1279" s="63" t="s">
        <v>307</v>
      </c>
      <c r="H1279" s="64" t="n">
        <v>0.105121699269388</v>
      </c>
      <c r="I1279" s="62" t="s">
        <v>878</v>
      </c>
      <c r="J1279" s="64" t="n">
        <v>10.5121699269388</v>
      </c>
      <c r="K1279" s="62" t="s">
        <v>42</v>
      </c>
      <c r="L1279" s="68" t="b">
        <f aca="false">TRUE()</f>
        <v>1</v>
      </c>
    </row>
    <row r="1280" customFormat="false" ht="15" hidden="false" customHeight="false" outlineLevel="0" collapsed="false">
      <c r="A1280" s="62" t="n">
        <v>0</v>
      </c>
      <c r="B1280" s="21" t="s">
        <v>336</v>
      </c>
      <c r="C1280" s="62" t="s">
        <v>60</v>
      </c>
      <c r="D1280" s="62" t="s">
        <v>386</v>
      </c>
      <c r="E1280" s="62" t="s">
        <v>105</v>
      </c>
      <c r="F1280" s="62" t="s">
        <v>382</v>
      </c>
      <c r="G1280" s="63" t="s">
        <v>307</v>
      </c>
      <c r="H1280" s="64" t="n">
        <v>0.105121699269388</v>
      </c>
      <c r="I1280" s="62" t="s">
        <v>878</v>
      </c>
      <c r="J1280" s="64" t="n">
        <v>10.5121699269388</v>
      </c>
      <c r="K1280" s="62" t="s">
        <v>42</v>
      </c>
      <c r="L1280" s="68" t="b">
        <f aca="false">TRUE()</f>
        <v>1</v>
      </c>
    </row>
    <row r="1281" customFormat="false" ht="15" hidden="false" customHeight="false" outlineLevel="0" collapsed="false">
      <c r="A1281" s="62" t="n">
        <v>0</v>
      </c>
      <c r="B1281" s="21" t="s">
        <v>336</v>
      </c>
      <c r="C1281" s="62" t="s">
        <v>60</v>
      </c>
      <c r="D1281" s="62" t="s">
        <v>387</v>
      </c>
      <c r="E1281" s="62" t="s">
        <v>105</v>
      </c>
      <c r="F1281" s="62" t="s">
        <v>382</v>
      </c>
      <c r="G1281" s="63" t="s">
        <v>307</v>
      </c>
      <c r="H1281" s="64" t="n">
        <v>0.105121699269388</v>
      </c>
      <c r="I1281" s="62" t="s">
        <v>878</v>
      </c>
      <c r="J1281" s="64" t="n">
        <v>10.5121699269388</v>
      </c>
      <c r="K1281" s="62" t="s">
        <v>42</v>
      </c>
      <c r="L1281" s="68" t="b">
        <f aca="false">TRUE()</f>
        <v>1</v>
      </c>
    </row>
    <row r="1282" customFormat="false" ht="15" hidden="false" customHeight="false" outlineLevel="0" collapsed="false">
      <c r="A1282" s="62" t="n">
        <v>0</v>
      </c>
      <c r="B1282" s="21" t="s">
        <v>336</v>
      </c>
      <c r="C1282" s="62" t="s">
        <v>60</v>
      </c>
      <c r="D1282" s="62" t="s">
        <v>388</v>
      </c>
      <c r="E1282" s="62" t="s">
        <v>105</v>
      </c>
      <c r="F1282" s="62" t="s">
        <v>382</v>
      </c>
      <c r="G1282" s="63" t="s">
        <v>307</v>
      </c>
      <c r="H1282" s="64" t="n">
        <v>0.105121699269388</v>
      </c>
      <c r="I1282" s="62" t="s">
        <v>878</v>
      </c>
      <c r="J1282" s="64" t="n">
        <v>10.5121699269388</v>
      </c>
      <c r="K1282" s="62" t="s">
        <v>42</v>
      </c>
      <c r="L1282" s="68" t="b">
        <f aca="false">TRUE()</f>
        <v>1</v>
      </c>
    </row>
    <row r="1283" customFormat="false" ht="15" hidden="false" customHeight="false" outlineLevel="0" collapsed="false">
      <c r="A1283" s="62" t="n">
        <v>0</v>
      </c>
      <c r="B1283" s="21" t="s">
        <v>336</v>
      </c>
      <c r="C1283" s="62" t="s">
        <v>60</v>
      </c>
      <c r="D1283" s="62" t="s">
        <v>381</v>
      </c>
      <c r="E1283" s="62" t="s">
        <v>105</v>
      </c>
      <c r="F1283" s="62" t="s">
        <v>382</v>
      </c>
      <c r="G1283" s="63" t="s">
        <v>466</v>
      </c>
      <c r="H1283" s="64" t="n">
        <v>0.0746541310858435</v>
      </c>
      <c r="I1283" s="62" t="s">
        <v>878</v>
      </c>
      <c r="J1283" s="64" t="n">
        <v>7.46541310858435</v>
      </c>
      <c r="K1283" s="62" t="s">
        <v>42</v>
      </c>
      <c r="L1283" s="68" t="b">
        <f aca="false">TRUE()</f>
        <v>1</v>
      </c>
    </row>
    <row r="1284" customFormat="false" ht="15" hidden="false" customHeight="false" outlineLevel="0" collapsed="false">
      <c r="A1284" s="62" t="n">
        <v>0</v>
      </c>
      <c r="B1284" s="21" t="s">
        <v>336</v>
      </c>
      <c r="C1284" s="62" t="s">
        <v>60</v>
      </c>
      <c r="D1284" s="62" t="s">
        <v>383</v>
      </c>
      <c r="E1284" s="62" t="s">
        <v>105</v>
      </c>
      <c r="F1284" s="62" t="s">
        <v>382</v>
      </c>
      <c r="G1284" s="63" t="s">
        <v>466</v>
      </c>
      <c r="H1284" s="64" t="n">
        <v>0.0746541310858435</v>
      </c>
      <c r="I1284" s="62" t="s">
        <v>878</v>
      </c>
      <c r="J1284" s="64" t="n">
        <v>7.46541310858435</v>
      </c>
      <c r="K1284" s="62" t="s">
        <v>42</v>
      </c>
      <c r="L1284" s="68" t="b">
        <f aca="false">TRUE()</f>
        <v>1</v>
      </c>
    </row>
    <row r="1285" customFormat="false" ht="15" hidden="false" customHeight="false" outlineLevel="0" collapsed="false">
      <c r="A1285" s="62" t="n">
        <v>0</v>
      </c>
      <c r="B1285" s="21" t="s">
        <v>336</v>
      </c>
      <c r="C1285" s="62" t="s">
        <v>60</v>
      </c>
      <c r="D1285" s="62" t="s">
        <v>384</v>
      </c>
      <c r="E1285" s="62" t="s">
        <v>105</v>
      </c>
      <c r="F1285" s="62" t="s">
        <v>382</v>
      </c>
      <c r="G1285" s="63" t="s">
        <v>466</v>
      </c>
      <c r="H1285" s="64" t="n">
        <v>0.0746541310858435</v>
      </c>
      <c r="I1285" s="62" t="s">
        <v>878</v>
      </c>
      <c r="J1285" s="64" t="n">
        <v>7.46541310858435</v>
      </c>
      <c r="K1285" s="62" t="s">
        <v>42</v>
      </c>
      <c r="L1285" s="68" t="b">
        <f aca="false">TRUE()</f>
        <v>1</v>
      </c>
    </row>
    <row r="1286" customFormat="false" ht="15" hidden="false" customHeight="false" outlineLevel="0" collapsed="false">
      <c r="A1286" s="62" t="n">
        <v>0</v>
      </c>
      <c r="B1286" s="21" t="s">
        <v>336</v>
      </c>
      <c r="C1286" s="62" t="s">
        <v>60</v>
      </c>
      <c r="D1286" s="62" t="s">
        <v>385</v>
      </c>
      <c r="E1286" s="62" t="s">
        <v>105</v>
      </c>
      <c r="F1286" s="62" t="s">
        <v>382</v>
      </c>
      <c r="G1286" s="63" t="s">
        <v>466</v>
      </c>
      <c r="H1286" s="64" t="n">
        <v>0.0746541310858435</v>
      </c>
      <c r="I1286" s="62" t="s">
        <v>878</v>
      </c>
      <c r="J1286" s="64" t="n">
        <v>7.46541310858435</v>
      </c>
      <c r="K1286" s="62" t="s">
        <v>42</v>
      </c>
      <c r="L1286" s="68" t="b">
        <f aca="false">TRUE()</f>
        <v>1</v>
      </c>
    </row>
    <row r="1287" customFormat="false" ht="15" hidden="false" customHeight="false" outlineLevel="0" collapsed="false">
      <c r="A1287" s="62" t="n">
        <v>0</v>
      </c>
      <c r="B1287" s="21" t="s">
        <v>336</v>
      </c>
      <c r="C1287" s="62" t="s">
        <v>60</v>
      </c>
      <c r="D1287" s="62" t="s">
        <v>386</v>
      </c>
      <c r="E1287" s="62" t="s">
        <v>105</v>
      </c>
      <c r="F1287" s="62" t="s">
        <v>382</v>
      </c>
      <c r="G1287" s="63" t="s">
        <v>466</v>
      </c>
      <c r="H1287" s="64" t="n">
        <v>0.0746541310858435</v>
      </c>
      <c r="I1287" s="62" t="s">
        <v>878</v>
      </c>
      <c r="J1287" s="64" t="n">
        <v>7.46541310858435</v>
      </c>
      <c r="K1287" s="62" t="s">
        <v>42</v>
      </c>
      <c r="L1287" s="68" t="b">
        <f aca="false">TRUE()</f>
        <v>1</v>
      </c>
    </row>
    <row r="1288" customFormat="false" ht="15" hidden="false" customHeight="false" outlineLevel="0" collapsed="false">
      <c r="A1288" s="62" t="n">
        <v>0</v>
      </c>
      <c r="B1288" s="21" t="s">
        <v>336</v>
      </c>
      <c r="C1288" s="62" t="s">
        <v>60</v>
      </c>
      <c r="D1288" s="62" t="s">
        <v>387</v>
      </c>
      <c r="E1288" s="62" t="s">
        <v>105</v>
      </c>
      <c r="F1288" s="62" t="s">
        <v>382</v>
      </c>
      <c r="G1288" s="63" t="s">
        <v>466</v>
      </c>
      <c r="H1288" s="64" t="n">
        <v>0.0746541310858435</v>
      </c>
      <c r="I1288" s="62" t="s">
        <v>878</v>
      </c>
      <c r="J1288" s="64" t="n">
        <v>7.46541310858435</v>
      </c>
      <c r="K1288" s="62" t="s">
        <v>42</v>
      </c>
      <c r="L1288" s="68" t="b">
        <f aca="false">TRUE()</f>
        <v>1</v>
      </c>
    </row>
    <row r="1289" customFormat="false" ht="15" hidden="false" customHeight="false" outlineLevel="0" collapsed="false">
      <c r="A1289" s="62" t="n">
        <v>0</v>
      </c>
      <c r="B1289" s="21" t="s">
        <v>336</v>
      </c>
      <c r="C1289" s="62" t="s">
        <v>60</v>
      </c>
      <c r="D1289" s="62" t="s">
        <v>388</v>
      </c>
      <c r="E1289" s="62" t="s">
        <v>105</v>
      </c>
      <c r="F1289" s="62" t="s">
        <v>382</v>
      </c>
      <c r="G1289" s="63" t="s">
        <v>466</v>
      </c>
      <c r="H1289" s="64" t="n">
        <v>0.0746541310858435</v>
      </c>
      <c r="I1289" s="62" t="s">
        <v>878</v>
      </c>
      <c r="J1289" s="64" t="n">
        <v>7.46541310858435</v>
      </c>
      <c r="K1289" s="62" t="s">
        <v>42</v>
      </c>
      <c r="L1289" s="68" t="b">
        <f aca="false">TRUE()</f>
        <v>1</v>
      </c>
    </row>
    <row r="1290" customFormat="false" ht="15" hidden="false" customHeight="false" outlineLevel="0" collapsed="false">
      <c r="A1290" s="62" t="n">
        <v>0</v>
      </c>
      <c r="B1290" s="21" t="s">
        <v>336</v>
      </c>
      <c r="C1290" s="62" t="s">
        <v>60</v>
      </c>
      <c r="D1290" s="62" t="s">
        <v>381</v>
      </c>
      <c r="E1290" s="62" t="s">
        <v>105</v>
      </c>
      <c r="F1290" s="62" t="s">
        <v>382</v>
      </c>
      <c r="G1290" s="63" t="s">
        <v>467</v>
      </c>
      <c r="H1290" s="64" t="n">
        <v>0.0441038766212069</v>
      </c>
      <c r="I1290" s="62" t="s">
        <v>878</v>
      </c>
      <c r="J1290" s="64" t="n">
        <v>4.41038766212069</v>
      </c>
      <c r="K1290" s="62" t="s">
        <v>42</v>
      </c>
      <c r="L1290" s="68" t="b">
        <f aca="false">TRUE()</f>
        <v>1</v>
      </c>
    </row>
    <row r="1291" customFormat="false" ht="15" hidden="false" customHeight="false" outlineLevel="0" collapsed="false">
      <c r="A1291" s="62" t="n">
        <v>0</v>
      </c>
      <c r="B1291" s="21" t="s">
        <v>336</v>
      </c>
      <c r="C1291" s="62" t="s">
        <v>60</v>
      </c>
      <c r="D1291" s="62" t="s">
        <v>383</v>
      </c>
      <c r="E1291" s="62" t="s">
        <v>105</v>
      </c>
      <c r="F1291" s="62" t="s">
        <v>382</v>
      </c>
      <c r="G1291" s="63" t="s">
        <v>467</v>
      </c>
      <c r="H1291" s="64" t="n">
        <v>0.0441038766212069</v>
      </c>
      <c r="I1291" s="62" t="s">
        <v>878</v>
      </c>
      <c r="J1291" s="64" t="n">
        <v>4.41038766212069</v>
      </c>
      <c r="K1291" s="62" t="s">
        <v>42</v>
      </c>
      <c r="L1291" s="68" t="b">
        <f aca="false">TRUE()</f>
        <v>1</v>
      </c>
    </row>
    <row r="1292" customFormat="false" ht="15" hidden="false" customHeight="false" outlineLevel="0" collapsed="false">
      <c r="A1292" s="62" t="n">
        <v>0</v>
      </c>
      <c r="B1292" s="21" t="s">
        <v>336</v>
      </c>
      <c r="C1292" s="62" t="s">
        <v>60</v>
      </c>
      <c r="D1292" s="62" t="s">
        <v>384</v>
      </c>
      <c r="E1292" s="62" t="s">
        <v>105</v>
      </c>
      <c r="F1292" s="62" t="s">
        <v>382</v>
      </c>
      <c r="G1292" s="63" t="s">
        <v>467</v>
      </c>
      <c r="H1292" s="64" t="n">
        <v>0.0441038766212069</v>
      </c>
      <c r="I1292" s="62" t="s">
        <v>878</v>
      </c>
      <c r="J1292" s="64" t="n">
        <v>4.41038766212069</v>
      </c>
      <c r="K1292" s="62" t="s">
        <v>42</v>
      </c>
      <c r="L1292" s="68" t="b">
        <f aca="false">TRUE()</f>
        <v>1</v>
      </c>
    </row>
    <row r="1293" customFormat="false" ht="15" hidden="false" customHeight="false" outlineLevel="0" collapsed="false">
      <c r="A1293" s="62" t="n">
        <v>0</v>
      </c>
      <c r="B1293" s="21" t="s">
        <v>336</v>
      </c>
      <c r="C1293" s="62" t="s">
        <v>60</v>
      </c>
      <c r="D1293" s="62" t="s">
        <v>385</v>
      </c>
      <c r="E1293" s="62" t="s">
        <v>105</v>
      </c>
      <c r="F1293" s="62" t="s">
        <v>382</v>
      </c>
      <c r="G1293" s="63" t="s">
        <v>467</v>
      </c>
      <c r="H1293" s="64" t="n">
        <v>0.0441038766212069</v>
      </c>
      <c r="I1293" s="62" t="s">
        <v>878</v>
      </c>
      <c r="J1293" s="64" t="n">
        <v>4.41038766212069</v>
      </c>
      <c r="K1293" s="62" t="s">
        <v>42</v>
      </c>
      <c r="L1293" s="68" t="b">
        <f aca="false">TRUE()</f>
        <v>1</v>
      </c>
    </row>
    <row r="1294" customFormat="false" ht="15" hidden="false" customHeight="false" outlineLevel="0" collapsed="false">
      <c r="A1294" s="62" t="n">
        <v>0</v>
      </c>
      <c r="B1294" s="21" t="s">
        <v>336</v>
      </c>
      <c r="C1294" s="62" t="s">
        <v>60</v>
      </c>
      <c r="D1294" s="62" t="s">
        <v>386</v>
      </c>
      <c r="E1294" s="62" t="s">
        <v>105</v>
      </c>
      <c r="F1294" s="62" t="s">
        <v>382</v>
      </c>
      <c r="G1294" s="63" t="s">
        <v>467</v>
      </c>
      <c r="H1294" s="64" t="n">
        <v>0.0441038766212069</v>
      </c>
      <c r="I1294" s="62" t="s">
        <v>878</v>
      </c>
      <c r="J1294" s="64" t="n">
        <v>4.41038766212069</v>
      </c>
      <c r="K1294" s="62" t="s">
        <v>42</v>
      </c>
      <c r="L1294" s="68" t="b">
        <f aca="false">TRUE()</f>
        <v>1</v>
      </c>
    </row>
    <row r="1295" customFormat="false" ht="15" hidden="false" customHeight="false" outlineLevel="0" collapsed="false">
      <c r="A1295" s="62" t="n">
        <v>0</v>
      </c>
      <c r="B1295" s="21" t="s">
        <v>336</v>
      </c>
      <c r="C1295" s="62" t="s">
        <v>60</v>
      </c>
      <c r="D1295" s="62" t="s">
        <v>387</v>
      </c>
      <c r="E1295" s="62" t="s">
        <v>105</v>
      </c>
      <c r="F1295" s="62" t="s">
        <v>382</v>
      </c>
      <c r="G1295" s="63" t="s">
        <v>467</v>
      </c>
      <c r="H1295" s="64" t="n">
        <v>0.0441038766212069</v>
      </c>
      <c r="I1295" s="62" t="s">
        <v>878</v>
      </c>
      <c r="J1295" s="64" t="n">
        <v>4.41038766212069</v>
      </c>
      <c r="K1295" s="62" t="s">
        <v>42</v>
      </c>
      <c r="L1295" s="68" t="b">
        <f aca="false">TRUE()</f>
        <v>1</v>
      </c>
    </row>
    <row r="1296" customFormat="false" ht="15" hidden="false" customHeight="false" outlineLevel="0" collapsed="false">
      <c r="A1296" s="62" t="n">
        <v>0</v>
      </c>
      <c r="B1296" s="21" t="s">
        <v>336</v>
      </c>
      <c r="C1296" s="62" t="s">
        <v>60</v>
      </c>
      <c r="D1296" s="62" t="s">
        <v>388</v>
      </c>
      <c r="E1296" s="62" t="s">
        <v>105</v>
      </c>
      <c r="F1296" s="62" t="s">
        <v>382</v>
      </c>
      <c r="G1296" s="63" t="s">
        <v>467</v>
      </c>
      <c r="H1296" s="64" t="n">
        <v>0.0441038766212069</v>
      </c>
      <c r="I1296" s="62" t="s">
        <v>878</v>
      </c>
      <c r="J1296" s="64" t="n">
        <v>4.41038766212069</v>
      </c>
      <c r="K1296" s="62" t="s">
        <v>42</v>
      </c>
      <c r="L1296" s="68" t="b">
        <f aca="false">TRUE()</f>
        <v>1</v>
      </c>
    </row>
    <row r="1297" customFormat="false" ht="15" hidden="false" customHeight="false" outlineLevel="0" collapsed="false">
      <c r="A1297" s="62" t="n">
        <v>0</v>
      </c>
      <c r="B1297" s="21" t="s">
        <v>336</v>
      </c>
      <c r="C1297" s="62" t="s">
        <v>60</v>
      </c>
      <c r="D1297" s="62" t="s">
        <v>381</v>
      </c>
      <c r="E1297" s="62" t="s">
        <v>105</v>
      </c>
      <c r="F1297" s="62" t="s">
        <v>382</v>
      </c>
      <c r="G1297" s="63" t="s">
        <v>468</v>
      </c>
      <c r="H1297" s="64" t="n">
        <v>0.431823658220979</v>
      </c>
      <c r="I1297" s="62" t="s">
        <v>878</v>
      </c>
      <c r="J1297" s="64" t="n">
        <v>43.1823658220979</v>
      </c>
      <c r="K1297" s="62" t="s">
        <v>42</v>
      </c>
      <c r="L1297" s="68" t="b">
        <f aca="false">TRUE()</f>
        <v>1</v>
      </c>
    </row>
    <row r="1298" customFormat="false" ht="15" hidden="false" customHeight="false" outlineLevel="0" collapsed="false">
      <c r="A1298" s="62" t="n">
        <v>0</v>
      </c>
      <c r="B1298" s="21" t="s">
        <v>336</v>
      </c>
      <c r="C1298" s="62" t="s">
        <v>60</v>
      </c>
      <c r="D1298" s="62" t="s">
        <v>383</v>
      </c>
      <c r="E1298" s="62" t="s">
        <v>105</v>
      </c>
      <c r="F1298" s="62" t="s">
        <v>382</v>
      </c>
      <c r="G1298" s="63" t="s">
        <v>468</v>
      </c>
      <c r="H1298" s="64" t="n">
        <v>0.431823658220979</v>
      </c>
      <c r="I1298" s="62" t="s">
        <v>878</v>
      </c>
      <c r="J1298" s="64" t="n">
        <v>43.1823658220979</v>
      </c>
      <c r="K1298" s="62" t="s">
        <v>42</v>
      </c>
      <c r="L1298" s="68" t="b">
        <f aca="false">TRUE()</f>
        <v>1</v>
      </c>
    </row>
    <row r="1299" customFormat="false" ht="15" hidden="false" customHeight="false" outlineLevel="0" collapsed="false">
      <c r="A1299" s="62" t="n">
        <v>0</v>
      </c>
      <c r="B1299" s="21" t="s">
        <v>336</v>
      </c>
      <c r="C1299" s="62" t="s">
        <v>60</v>
      </c>
      <c r="D1299" s="62" t="s">
        <v>384</v>
      </c>
      <c r="E1299" s="62" t="s">
        <v>105</v>
      </c>
      <c r="F1299" s="62" t="s">
        <v>382</v>
      </c>
      <c r="G1299" s="63" t="s">
        <v>468</v>
      </c>
      <c r="H1299" s="64" t="n">
        <v>0.431823658220979</v>
      </c>
      <c r="I1299" s="62" t="s">
        <v>878</v>
      </c>
      <c r="J1299" s="64" t="n">
        <v>43.1823658220979</v>
      </c>
      <c r="K1299" s="62" t="s">
        <v>42</v>
      </c>
      <c r="L1299" s="68" t="b">
        <f aca="false">TRUE()</f>
        <v>1</v>
      </c>
    </row>
    <row r="1300" customFormat="false" ht="15" hidden="false" customHeight="false" outlineLevel="0" collapsed="false">
      <c r="A1300" s="62" t="n">
        <v>0</v>
      </c>
      <c r="B1300" s="21" t="s">
        <v>336</v>
      </c>
      <c r="C1300" s="62" t="s">
        <v>60</v>
      </c>
      <c r="D1300" s="62" t="s">
        <v>385</v>
      </c>
      <c r="E1300" s="62" t="s">
        <v>105</v>
      </c>
      <c r="F1300" s="62" t="s">
        <v>382</v>
      </c>
      <c r="G1300" s="63" t="s">
        <v>468</v>
      </c>
      <c r="H1300" s="64" t="n">
        <v>0.431823658220979</v>
      </c>
      <c r="I1300" s="62" t="s">
        <v>878</v>
      </c>
      <c r="J1300" s="64" t="n">
        <v>43.1823658220979</v>
      </c>
      <c r="K1300" s="62" t="s">
        <v>42</v>
      </c>
      <c r="L1300" s="68" t="b">
        <f aca="false">TRUE()</f>
        <v>1</v>
      </c>
    </row>
    <row r="1301" customFormat="false" ht="15" hidden="false" customHeight="false" outlineLevel="0" collapsed="false">
      <c r="A1301" s="62" t="n">
        <v>0</v>
      </c>
      <c r="B1301" s="21" t="s">
        <v>336</v>
      </c>
      <c r="C1301" s="62" t="s">
        <v>60</v>
      </c>
      <c r="D1301" s="62" t="s">
        <v>386</v>
      </c>
      <c r="E1301" s="62" t="s">
        <v>105</v>
      </c>
      <c r="F1301" s="62" t="s">
        <v>382</v>
      </c>
      <c r="G1301" s="63" t="s">
        <v>468</v>
      </c>
      <c r="H1301" s="64" t="n">
        <v>0.431823658220979</v>
      </c>
      <c r="I1301" s="62" t="s">
        <v>878</v>
      </c>
      <c r="J1301" s="64" t="n">
        <v>43.1823658220979</v>
      </c>
      <c r="K1301" s="62" t="s">
        <v>42</v>
      </c>
      <c r="L1301" s="68" t="b">
        <f aca="false">TRUE()</f>
        <v>1</v>
      </c>
    </row>
    <row r="1302" customFormat="false" ht="15" hidden="false" customHeight="false" outlineLevel="0" collapsed="false">
      <c r="A1302" s="62" t="n">
        <v>0</v>
      </c>
      <c r="B1302" s="21" t="s">
        <v>336</v>
      </c>
      <c r="C1302" s="62" t="s">
        <v>60</v>
      </c>
      <c r="D1302" s="62" t="s">
        <v>387</v>
      </c>
      <c r="E1302" s="62" t="s">
        <v>105</v>
      </c>
      <c r="F1302" s="62" t="s">
        <v>382</v>
      </c>
      <c r="G1302" s="63" t="s">
        <v>468</v>
      </c>
      <c r="H1302" s="64" t="n">
        <v>0.431823658220979</v>
      </c>
      <c r="I1302" s="62" t="s">
        <v>878</v>
      </c>
      <c r="J1302" s="64" t="n">
        <v>43.1823658220979</v>
      </c>
      <c r="K1302" s="62" t="s">
        <v>42</v>
      </c>
      <c r="L1302" s="68" t="b">
        <f aca="false">TRUE()</f>
        <v>1</v>
      </c>
    </row>
    <row r="1303" customFormat="false" ht="15" hidden="false" customHeight="false" outlineLevel="0" collapsed="false">
      <c r="A1303" s="62" t="n">
        <v>0</v>
      </c>
      <c r="B1303" s="21" t="s">
        <v>336</v>
      </c>
      <c r="C1303" s="62" t="s">
        <v>60</v>
      </c>
      <c r="D1303" s="62" t="s">
        <v>388</v>
      </c>
      <c r="E1303" s="62" t="s">
        <v>105</v>
      </c>
      <c r="F1303" s="62" t="s">
        <v>382</v>
      </c>
      <c r="G1303" s="63" t="s">
        <v>468</v>
      </c>
      <c r="H1303" s="64" t="n">
        <v>0.431823658220979</v>
      </c>
      <c r="I1303" s="62" t="s">
        <v>878</v>
      </c>
      <c r="J1303" s="64" t="n">
        <v>43.1823658220979</v>
      </c>
      <c r="K1303" s="62" t="s">
        <v>42</v>
      </c>
      <c r="L1303" s="68" t="b">
        <f aca="false">TRUE()</f>
        <v>1</v>
      </c>
    </row>
    <row r="1304" customFormat="false" ht="15" hidden="false" customHeight="false" outlineLevel="0" collapsed="false">
      <c r="A1304" s="62" t="n">
        <v>0</v>
      </c>
      <c r="B1304" s="21" t="s">
        <v>336</v>
      </c>
      <c r="C1304" s="62" t="s">
        <v>60</v>
      </c>
      <c r="D1304" s="62" t="s">
        <v>381</v>
      </c>
      <c r="E1304" s="62" t="s">
        <v>105</v>
      </c>
      <c r="F1304" s="62" t="s">
        <v>382</v>
      </c>
      <c r="G1304" s="63" t="s">
        <v>469</v>
      </c>
      <c r="H1304" s="64" t="n">
        <v>0.108229544030192</v>
      </c>
      <c r="I1304" s="62" t="s">
        <v>878</v>
      </c>
      <c r="J1304" s="64" t="n">
        <v>10.8229544030192</v>
      </c>
      <c r="K1304" s="62" t="s">
        <v>42</v>
      </c>
      <c r="L1304" s="68" t="b">
        <f aca="false">TRUE()</f>
        <v>1</v>
      </c>
    </row>
    <row r="1305" customFormat="false" ht="15" hidden="false" customHeight="false" outlineLevel="0" collapsed="false">
      <c r="A1305" s="62" t="n">
        <v>0</v>
      </c>
      <c r="B1305" s="21" t="s">
        <v>336</v>
      </c>
      <c r="C1305" s="62" t="s">
        <v>60</v>
      </c>
      <c r="D1305" s="62" t="s">
        <v>383</v>
      </c>
      <c r="E1305" s="62" t="s">
        <v>105</v>
      </c>
      <c r="F1305" s="62" t="s">
        <v>382</v>
      </c>
      <c r="G1305" s="63" t="s">
        <v>469</v>
      </c>
      <c r="H1305" s="64" t="n">
        <v>0.108229544030192</v>
      </c>
      <c r="I1305" s="62" t="s">
        <v>878</v>
      </c>
      <c r="J1305" s="64" t="n">
        <v>10.8229544030192</v>
      </c>
      <c r="K1305" s="62" t="s">
        <v>42</v>
      </c>
      <c r="L1305" s="68" t="b">
        <f aca="false">TRUE()</f>
        <v>1</v>
      </c>
    </row>
    <row r="1306" customFormat="false" ht="15" hidden="false" customHeight="false" outlineLevel="0" collapsed="false">
      <c r="A1306" s="62" t="n">
        <v>0</v>
      </c>
      <c r="B1306" s="21" t="s">
        <v>336</v>
      </c>
      <c r="C1306" s="62" t="s">
        <v>60</v>
      </c>
      <c r="D1306" s="62" t="s">
        <v>384</v>
      </c>
      <c r="E1306" s="62" t="s">
        <v>105</v>
      </c>
      <c r="F1306" s="62" t="s">
        <v>382</v>
      </c>
      <c r="G1306" s="63" t="s">
        <v>469</v>
      </c>
      <c r="H1306" s="64" t="n">
        <v>0.108229544030192</v>
      </c>
      <c r="I1306" s="62" t="s">
        <v>878</v>
      </c>
      <c r="J1306" s="64" t="n">
        <v>10.8229544030192</v>
      </c>
      <c r="K1306" s="62" t="s">
        <v>42</v>
      </c>
      <c r="L1306" s="68" t="b">
        <f aca="false">TRUE()</f>
        <v>1</v>
      </c>
    </row>
    <row r="1307" customFormat="false" ht="15" hidden="false" customHeight="false" outlineLevel="0" collapsed="false">
      <c r="A1307" s="62" t="n">
        <v>0</v>
      </c>
      <c r="B1307" s="21" t="s">
        <v>336</v>
      </c>
      <c r="C1307" s="62" t="s">
        <v>60</v>
      </c>
      <c r="D1307" s="62" t="s">
        <v>385</v>
      </c>
      <c r="E1307" s="62" t="s">
        <v>105</v>
      </c>
      <c r="F1307" s="62" t="s">
        <v>382</v>
      </c>
      <c r="G1307" s="63" t="s">
        <v>469</v>
      </c>
      <c r="H1307" s="64" t="n">
        <v>0.108229544030192</v>
      </c>
      <c r="I1307" s="62" t="s">
        <v>878</v>
      </c>
      <c r="J1307" s="64" t="n">
        <v>10.8229544030192</v>
      </c>
      <c r="K1307" s="62" t="s">
        <v>42</v>
      </c>
      <c r="L1307" s="68" t="b">
        <f aca="false">TRUE()</f>
        <v>1</v>
      </c>
    </row>
    <row r="1308" customFormat="false" ht="15" hidden="false" customHeight="false" outlineLevel="0" collapsed="false">
      <c r="A1308" s="62" t="n">
        <v>0</v>
      </c>
      <c r="B1308" s="21" t="s">
        <v>336</v>
      </c>
      <c r="C1308" s="62" t="s">
        <v>60</v>
      </c>
      <c r="D1308" s="62" t="s">
        <v>386</v>
      </c>
      <c r="E1308" s="62" t="s">
        <v>105</v>
      </c>
      <c r="F1308" s="62" t="s">
        <v>382</v>
      </c>
      <c r="G1308" s="63" t="s">
        <v>469</v>
      </c>
      <c r="H1308" s="64" t="n">
        <v>0.108229544030192</v>
      </c>
      <c r="I1308" s="62" t="s">
        <v>878</v>
      </c>
      <c r="J1308" s="64" t="n">
        <v>10.8229544030192</v>
      </c>
      <c r="K1308" s="62" t="s">
        <v>42</v>
      </c>
      <c r="L1308" s="68" t="b">
        <f aca="false">TRUE()</f>
        <v>1</v>
      </c>
    </row>
    <row r="1309" customFormat="false" ht="15" hidden="false" customHeight="false" outlineLevel="0" collapsed="false">
      <c r="A1309" s="62" t="n">
        <v>0</v>
      </c>
      <c r="B1309" s="21" t="s">
        <v>336</v>
      </c>
      <c r="C1309" s="62" t="s">
        <v>60</v>
      </c>
      <c r="D1309" s="62" t="s">
        <v>387</v>
      </c>
      <c r="E1309" s="62" t="s">
        <v>105</v>
      </c>
      <c r="F1309" s="62" t="s">
        <v>382</v>
      </c>
      <c r="G1309" s="63" t="s">
        <v>469</v>
      </c>
      <c r="H1309" s="64" t="n">
        <v>0.108229544030192</v>
      </c>
      <c r="I1309" s="62" t="s">
        <v>878</v>
      </c>
      <c r="J1309" s="64" t="n">
        <v>10.8229544030192</v>
      </c>
      <c r="K1309" s="62" t="s">
        <v>42</v>
      </c>
      <c r="L1309" s="68" t="b">
        <f aca="false">TRUE()</f>
        <v>1</v>
      </c>
    </row>
    <row r="1310" customFormat="false" ht="15" hidden="false" customHeight="false" outlineLevel="0" collapsed="false">
      <c r="A1310" s="62" t="n">
        <v>0</v>
      </c>
      <c r="B1310" s="21" t="s">
        <v>336</v>
      </c>
      <c r="C1310" s="62" t="s">
        <v>60</v>
      </c>
      <c r="D1310" s="62" t="s">
        <v>388</v>
      </c>
      <c r="E1310" s="62" t="s">
        <v>105</v>
      </c>
      <c r="F1310" s="62" t="s">
        <v>382</v>
      </c>
      <c r="G1310" s="63" t="s">
        <v>469</v>
      </c>
      <c r="H1310" s="64" t="n">
        <v>0.108229544030192</v>
      </c>
      <c r="I1310" s="62" t="s">
        <v>878</v>
      </c>
      <c r="J1310" s="64" t="n">
        <v>10.8229544030192</v>
      </c>
      <c r="K1310" s="62" t="s">
        <v>42</v>
      </c>
      <c r="L1310" s="68" t="b">
        <f aca="false">TRUE()</f>
        <v>1</v>
      </c>
    </row>
    <row r="1311" customFormat="false" ht="15" hidden="false" customHeight="false" outlineLevel="0" collapsed="false">
      <c r="A1311" s="62" t="n">
        <v>0</v>
      </c>
      <c r="B1311" s="21" t="s">
        <v>336</v>
      </c>
      <c r="C1311" s="62" t="s">
        <v>60</v>
      </c>
      <c r="D1311" s="62" t="s">
        <v>381</v>
      </c>
      <c r="E1311" s="62" t="s">
        <v>105</v>
      </c>
      <c r="F1311" s="62" t="s">
        <v>382</v>
      </c>
      <c r="G1311" s="63" t="s">
        <v>470</v>
      </c>
      <c r="H1311" s="64" t="n">
        <v>0.13054285203846</v>
      </c>
      <c r="I1311" s="62" t="s">
        <v>878</v>
      </c>
      <c r="J1311" s="64" t="n">
        <v>13.054285203846</v>
      </c>
      <c r="K1311" s="62" t="s">
        <v>42</v>
      </c>
      <c r="L1311" s="68" t="b">
        <f aca="false">TRUE()</f>
        <v>1</v>
      </c>
    </row>
    <row r="1312" customFormat="false" ht="15" hidden="false" customHeight="false" outlineLevel="0" collapsed="false">
      <c r="A1312" s="62" t="n">
        <v>0</v>
      </c>
      <c r="B1312" s="21" t="s">
        <v>336</v>
      </c>
      <c r="C1312" s="62" t="s">
        <v>60</v>
      </c>
      <c r="D1312" s="62" t="s">
        <v>383</v>
      </c>
      <c r="E1312" s="62" t="s">
        <v>105</v>
      </c>
      <c r="F1312" s="62" t="s">
        <v>382</v>
      </c>
      <c r="G1312" s="63" t="s">
        <v>470</v>
      </c>
      <c r="H1312" s="64" t="n">
        <v>0.13054285203846</v>
      </c>
      <c r="I1312" s="62" t="s">
        <v>878</v>
      </c>
      <c r="J1312" s="64" t="n">
        <v>13.054285203846</v>
      </c>
      <c r="K1312" s="62" t="s">
        <v>42</v>
      </c>
      <c r="L1312" s="68" t="b">
        <f aca="false">TRUE()</f>
        <v>1</v>
      </c>
    </row>
    <row r="1313" customFormat="false" ht="15" hidden="false" customHeight="false" outlineLevel="0" collapsed="false">
      <c r="A1313" s="62" t="n">
        <v>0</v>
      </c>
      <c r="B1313" s="21" t="s">
        <v>336</v>
      </c>
      <c r="C1313" s="62" t="s">
        <v>60</v>
      </c>
      <c r="D1313" s="62" t="s">
        <v>384</v>
      </c>
      <c r="E1313" s="62" t="s">
        <v>105</v>
      </c>
      <c r="F1313" s="62" t="s">
        <v>382</v>
      </c>
      <c r="G1313" s="63" t="s">
        <v>470</v>
      </c>
      <c r="H1313" s="64" t="n">
        <v>0.13054285203846</v>
      </c>
      <c r="I1313" s="62" t="s">
        <v>878</v>
      </c>
      <c r="J1313" s="64" t="n">
        <v>13.054285203846</v>
      </c>
      <c r="K1313" s="62" t="s">
        <v>42</v>
      </c>
      <c r="L1313" s="68" t="b">
        <f aca="false">TRUE()</f>
        <v>1</v>
      </c>
    </row>
    <row r="1314" customFormat="false" ht="15" hidden="false" customHeight="false" outlineLevel="0" collapsed="false">
      <c r="A1314" s="62" t="n">
        <v>0</v>
      </c>
      <c r="B1314" s="21" t="s">
        <v>336</v>
      </c>
      <c r="C1314" s="62" t="s">
        <v>60</v>
      </c>
      <c r="D1314" s="62" t="s">
        <v>385</v>
      </c>
      <c r="E1314" s="62" t="s">
        <v>105</v>
      </c>
      <c r="F1314" s="62" t="s">
        <v>382</v>
      </c>
      <c r="G1314" s="63" t="s">
        <v>470</v>
      </c>
      <c r="H1314" s="64" t="n">
        <v>0.13054285203846</v>
      </c>
      <c r="I1314" s="62" t="s">
        <v>878</v>
      </c>
      <c r="J1314" s="64" t="n">
        <v>13.054285203846</v>
      </c>
      <c r="K1314" s="62" t="s">
        <v>42</v>
      </c>
      <c r="L1314" s="68" t="b">
        <f aca="false">TRUE()</f>
        <v>1</v>
      </c>
    </row>
    <row r="1315" customFormat="false" ht="15" hidden="false" customHeight="false" outlineLevel="0" collapsed="false">
      <c r="A1315" s="62" t="n">
        <v>0</v>
      </c>
      <c r="B1315" s="21" t="s">
        <v>336</v>
      </c>
      <c r="C1315" s="62" t="s">
        <v>60</v>
      </c>
      <c r="D1315" s="62" t="s">
        <v>386</v>
      </c>
      <c r="E1315" s="62" t="s">
        <v>105</v>
      </c>
      <c r="F1315" s="62" t="s">
        <v>382</v>
      </c>
      <c r="G1315" s="63" t="s">
        <v>470</v>
      </c>
      <c r="H1315" s="64" t="n">
        <v>0.13054285203846</v>
      </c>
      <c r="I1315" s="62" t="s">
        <v>878</v>
      </c>
      <c r="J1315" s="64" t="n">
        <v>13.054285203846</v>
      </c>
      <c r="K1315" s="62" t="s">
        <v>42</v>
      </c>
      <c r="L1315" s="68" t="b">
        <f aca="false">TRUE()</f>
        <v>1</v>
      </c>
    </row>
    <row r="1316" customFormat="false" ht="15" hidden="false" customHeight="false" outlineLevel="0" collapsed="false">
      <c r="A1316" s="62" t="n">
        <v>0</v>
      </c>
      <c r="B1316" s="21" t="s">
        <v>336</v>
      </c>
      <c r="C1316" s="62" t="s">
        <v>60</v>
      </c>
      <c r="D1316" s="62" t="s">
        <v>387</v>
      </c>
      <c r="E1316" s="62" t="s">
        <v>105</v>
      </c>
      <c r="F1316" s="62" t="s">
        <v>382</v>
      </c>
      <c r="G1316" s="63" t="s">
        <v>470</v>
      </c>
      <c r="H1316" s="64" t="n">
        <v>0.13054285203846</v>
      </c>
      <c r="I1316" s="62" t="s">
        <v>878</v>
      </c>
      <c r="J1316" s="64" t="n">
        <v>13.054285203846</v>
      </c>
      <c r="K1316" s="62" t="s">
        <v>42</v>
      </c>
      <c r="L1316" s="68" t="b">
        <f aca="false">TRUE()</f>
        <v>1</v>
      </c>
    </row>
    <row r="1317" customFormat="false" ht="15" hidden="false" customHeight="false" outlineLevel="0" collapsed="false">
      <c r="A1317" s="62" t="n">
        <v>0</v>
      </c>
      <c r="B1317" s="21" t="s">
        <v>336</v>
      </c>
      <c r="C1317" s="62" t="s">
        <v>60</v>
      </c>
      <c r="D1317" s="62" t="s">
        <v>388</v>
      </c>
      <c r="E1317" s="62" t="s">
        <v>105</v>
      </c>
      <c r="F1317" s="62" t="s">
        <v>382</v>
      </c>
      <c r="G1317" s="63" t="s">
        <v>470</v>
      </c>
      <c r="H1317" s="64" t="n">
        <v>0.13054285203846</v>
      </c>
      <c r="I1317" s="62" t="s">
        <v>878</v>
      </c>
      <c r="J1317" s="64" t="n">
        <v>13.054285203846</v>
      </c>
      <c r="K1317" s="62" t="s">
        <v>42</v>
      </c>
      <c r="L1317" s="68" t="b">
        <f aca="false">TRUE()</f>
        <v>1</v>
      </c>
    </row>
    <row r="1318" customFormat="false" ht="15" hidden="false" customHeight="false" outlineLevel="0" collapsed="false">
      <c r="A1318" s="62" t="n">
        <v>0</v>
      </c>
      <c r="B1318" s="21" t="s">
        <v>336</v>
      </c>
      <c r="C1318" s="62" t="s">
        <v>60</v>
      </c>
      <c r="D1318" s="62" t="s">
        <v>381</v>
      </c>
      <c r="E1318" s="62" t="s">
        <v>105</v>
      </c>
      <c r="F1318" s="62" t="s">
        <v>382</v>
      </c>
      <c r="G1318" s="63" t="s">
        <v>471</v>
      </c>
      <c r="H1318" s="64" t="n">
        <v>0.1907</v>
      </c>
      <c r="I1318" s="62" t="s">
        <v>878</v>
      </c>
      <c r="J1318" s="64" t="n">
        <v>19.07</v>
      </c>
      <c r="K1318" s="62" t="s">
        <v>42</v>
      </c>
      <c r="L1318" s="68" t="b">
        <f aca="false">TRUE()</f>
        <v>1</v>
      </c>
    </row>
    <row r="1319" customFormat="false" ht="15" hidden="false" customHeight="false" outlineLevel="0" collapsed="false">
      <c r="A1319" s="62" t="n">
        <v>0</v>
      </c>
      <c r="B1319" s="21" t="s">
        <v>336</v>
      </c>
      <c r="C1319" s="62" t="s">
        <v>60</v>
      </c>
      <c r="D1319" s="62" t="s">
        <v>383</v>
      </c>
      <c r="E1319" s="62" t="s">
        <v>105</v>
      </c>
      <c r="F1319" s="62" t="s">
        <v>382</v>
      </c>
      <c r="G1319" s="63" t="s">
        <v>471</v>
      </c>
      <c r="H1319" s="64" t="n">
        <v>0.1907</v>
      </c>
      <c r="I1319" s="62" t="s">
        <v>878</v>
      </c>
      <c r="J1319" s="64" t="n">
        <v>19.07</v>
      </c>
      <c r="K1319" s="62" t="s">
        <v>42</v>
      </c>
      <c r="L1319" s="68" t="b">
        <f aca="false">TRUE()</f>
        <v>1</v>
      </c>
    </row>
    <row r="1320" customFormat="false" ht="15" hidden="false" customHeight="false" outlineLevel="0" collapsed="false">
      <c r="A1320" s="62" t="n">
        <v>0</v>
      </c>
      <c r="B1320" s="21" t="s">
        <v>336</v>
      </c>
      <c r="C1320" s="62" t="s">
        <v>60</v>
      </c>
      <c r="D1320" s="62" t="s">
        <v>384</v>
      </c>
      <c r="E1320" s="62" t="s">
        <v>105</v>
      </c>
      <c r="F1320" s="62" t="s">
        <v>382</v>
      </c>
      <c r="G1320" s="63" t="s">
        <v>471</v>
      </c>
      <c r="H1320" s="64" t="n">
        <v>0.1907</v>
      </c>
      <c r="I1320" s="62" t="s">
        <v>878</v>
      </c>
      <c r="J1320" s="64" t="n">
        <v>19.07</v>
      </c>
      <c r="K1320" s="62" t="s">
        <v>42</v>
      </c>
      <c r="L1320" s="68" t="b">
        <f aca="false">TRUE()</f>
        <v>1</v>
      </c>
    </row>
    <row r="1321" customFormat="false" ht="15" hidden="false" customHeight="false" outlineLevel="0" collapsed="false">
      <c r="A1321" s="62" t="n">
        <v>0</v>
      </c>
      <c r="B1321" s="21" t="s">
        <v>336</v>
      </c>
      <c r="C1321" s="62" t="s">
        <v>60</v>
      </c>
      <c r="D1321" s="62" t="s">
        <v>385</v>
      </c>
      <c r="E1321" s="62" t="s">
        <v>105</v>
      </c>
      <c r="F1321" s="62" t="s">
        <v>382</v>
      </c>
      <c r="G1321" s="63" t="s">
        <v>471</v>
      </c>
      <c r="H1321" s="64" t="n">
        <v>0.1907</v>
      </c>
      <c r="I1321" s="62" t="s">
        <v>878</v>
      </c>
      <c r="J1321" s="64" t="n">
        <v>19.07</v>
      </c>
      <c r="K1321" s="62" t="s">
        <v>42</v>
      </c>
      <c r="L1321" s="68" t="b">
        <f aca="false">TRUE()</f>
        <v>1</v>
      </c>
    </row>
    <row r="1322" customFormat="false" ht="15" hidden="false" customHeight="false" outlineLevel="0" collapsed="false">
      <c r="A1322" s="62" t="n">
        <v>0</v>
      </c>
      <c r="B1322" s="21" t="s">
        <v>336</v>
      </c>
      <c r="C1322" s="62" t="s">
        <v>60</v>
      </c>
      <c r="D1322" s="62" t="s">
        <v>386</v>
      </c>
      <c r="E1322" s="62" t="s">
        <v>105</v>
      </c>
      <c r="F1322" s="62" t="s">
        <v>382</v>
      </c>
      <c r="G1322" s="63" t="s">
        <v>471</v>
      </c>
      <c r="H1322" s="64" t="n">
        <v>0.1907</v>
      </c>
      <c r="I1322" s="62" t="s">
        <v>878</v>
      </c>
      <c r="J1322" s="64" t="n">
        <v>19.07</v>
      </c>
      <c r="K1322" s="62" t="s">
        <v>42</v>
      </c>
      <c r="L1322" s="68" t="b">
        <f aca="false">TRUE()</f>
        <v>1</v>
      </c>
    </row>
    <row r="1323" customFormat="false" ht="15" hidden="false" customHeight="false" outlineLevel="0" collapsed="false">
      <c r="A1323" s="62" t="n">
        <v>0</v>
      </c>
      <c r="B1323" s="21" t="s">
        <v>336</v>
      </c>
      <c r="C1323" s="62" t="s">
        <v>60</v>
      </c>
      <c r="D1323" s="62" t="s">
        <v>387</v>
      </c>
      <c r="E1323" s="62" t="s">
        <v>105</v>
      </c>
      <c r="F1323" s="62" t="s">
        <v>382</v>
      </c>
      <c r="G1323" s="63" t="s">
        <v>471</v>
      </c>
      <c r="H1323" s="64" t="n">
        <v>0.1907</v>
      </c>
      <c r="I1323" s="62" t="s">
        <v>878</v>
      </c>
      <c r="J1323" s="64" t="n">
        <v>19.07</v>
      </c>
      <c r="K1323" s="62" t="s">
        <v>42</v>
      </c>
      <c r="L1323" s="68" t="b">
        <f aca="false">TRUE()</f>
        <v>1</v>
      </c>
    </row>
    <row r="1324" customFormat="false" ht="15" hidden="false" customHeight="false" outlineLevel="0" collapsed="false">
      <c r="A1324" s="62" t="n">
        <v>0</v>
      </c>
      <c r="B1324" s="21" t="s">
        <v>336</v>
      </c>
      <c r="C1324" s="62" t="s">
        <v>60</v>
      </c>
      <c r="D1324" s="62" t="s">
        <v>388</v>
      </c>
      <c r="E1324" s="62" t="s">
        <v>105</v>
      </c>
      <c r="F1324" s="62" t="s">
        <v>382</v>
      </c>
      <c r="G1324" s="63" t="s">
        <v>471</v>
      </c>
      <c r="H1324" s="64" t="n">
        <v>0.1907</v>
      </c>
      <c r="I1324" s="62" t="s">
        <v>878</v>
      </c>
      <c r="J1324" s="64" t="n">
        <v>19.07</v>
      </c>
      <c r="K1324" s="62" t="s">
        <v>42</v>
      </c>
      <c r="L1324" s="68" t="b">
        <f aca="false">TRUE()</f>
        <v>1</v>
      </c>
    </row>
    <row r="1325" customFormat="false" ht="15" hidden="false" customHeight="false" outlineLevel="0" collapsed="false">
      <c r="A1325" s="62" t="n">
        <v>0</v>
      </c>
      <c r="B1325" s="21" t="s">
        <v>336</v>
      </c>
      <c r="C1325" s="62" t="s">
        <v>60</v>
      </c>
      <c r="D1325" s="62" t="s">
        <v>381</v>
      </c>
      <c r="E1325" s="62" t="s">
        <v>105</v>
      </c>
      <c r="F1325" s="62" t="s">
        <v>382</v>
      </c>
      <c r="G1325" s="63" t="s">
        <v>472</v>
      </c>
      <c r="H1325" s="64" t="n">
        <v>1.07176491316605</v>
      </c>
      <c r="I1325" s="62" t="s">
        <v>115</v>
      </c>
      <c r="J1325" s="64" t="n">
        <v>1.07176491316605</v>
      </c>
      <c r="K1325" s="62" t="s">
        <v>42</v>
      </c>
      <c r="L1325" s="68" t="b">
        <f aca="false">TRUE()</f>
        <v>1</v>
      </c>
    </row>
    <row r="1326" customFormat="false" ht="15" hidden="false" customHeight="false" outlineLevel="0" collapsed="false">
      <c r="A1326" s="62" t="n">
        <v>0</v>
      </c>
      <c r="B1326" s="21" t="s">
        <v>336</v>
      </c>
      <c r="C1326" s="62" t="s">
        <v>60</v>
      </c>
      <c r="D1326" s="62" t="s">
        <v>383</v>
      </c>
      <c r="E1326" s="62" t="s">
        <v>105</v>
      </c>
      <c r="F1326" s="62" t="s">
        <v>382</v>
      </c>
      <c r="G1326" s="63" t="s">
        <v>472</v>
      </c>
      <c r="H1326" s="64" t="n">
        <v>1.07176491316605</v>
      </c>
      <c r="I1326" s="62" t="s">
        <v>115</v>
      </c>
      <c r="J1326" s="64" t="n">
        <v>1.07176491316605</v>
      </c>
      <c r="K1326" s="62" t="s">
        <v>42</v>
      </c>
      <c r="L1326" s="68" t="b">
        <f aca="false">TRUE()</f>
        <v>1</v>
      </c>
    </row>
    <row r="1327" customFormat="false" ht="15" hidden="false" customHeight="false" outlineLevel="0" collapsed="false">
      <c r="A1327" s="62" t="n">
        <v>0</v>
      </c>
      <c r="B1327" s="21" t="s">
        <v>336</v>
      </c>
      <c r="C1327" s="62" t="s">
        <v>60</v>
      </c>
      <c r="D1327" s="62" t="s">
        <v>384</v>
      </c>
      <c r="E1327" s="62" t="s">
        <v>105</v>
      </c>
      <c r="F1327" s="62" t="s">
        <v>382</v>
      </c>
      <c r="G1327" s="63" t="s">
        <v>472</v>
      </c>
      <c r="H1327" s="64" t="n">
        <v>1.07176491316605</v>
      </c>
      <c r="I1327" s="62" t="s">
        <v>115</v>
      </c>
      <c r="J1327" s="64" t="n">
        <v>1.07176491316605</v>
      </c>
      <c r="K1327" s="62" t="s">
        <v>42</v>
      </c>
      <c r="L1327" s="68" t="b">
        <f aca="false">TRUE()</f>
        <v>1</v>
      </c>
    </row>
    <row r="1328" customFormat="false" ht="15" hidden="false" customHeight="false" outlineLevel="0" collapsed="false">
      <c r="A1328" s="62" t="n">
        <v>0</v>
      </c>
      <c r="B1328" s="21" t="s">
        <v>336</v>
      </c>
      <c r="C1328" s="62" t="s">
        <v>60</v>
      </c>
      <c r="D1328" s="62" t="s">
        <v>385</v>
      </c>
      <c r="E1328" s="62" t="s">
        <v>105</v>
      </c>
      <c r="F1328" s="62" t="s">
        <v>382</v>
      </c>
      <c r="G1328" s="63" t="s">
        <v>472</v>
      </c>
      <c r="H1328" s="64" t="n">
        <v>1.07176491316605</v>
      </c>
      <c r="I1328" s="62" t="s">
        <v>115</v>
      </c>
      <c r="J1328" s="64" t="n">
        <v>1.07176491316605</v>
      </c>
      <c r="K1328" s="62" t="s">
        <v>42</v>
      </c>
      <c r="L1328" s="68" t="b">
        <f aca="false">TRUE()</f>
        <v>1</v>
      </c>
    </row>
    <row r="1329" customFormat="false" ht="15" hidden="false" customHeight="false" outlineLevel="0" collapsed="false">
      <c r="A1329" s="62" t="n">
        <v>0</v>
      </c>
      <c r="B1329" s="21" t="s">
        <v>336</v>
      </c>
      <c r="C1329" s="62" t="s">
        <v>60</v>
      </c>
      <c r="D1329" s="62" t="s">
        <v>386</v>
      </c>
      <c r="E1329" s="62" t="s">
        <v>105</v>
      </c>
      <c r="F1329" s="62" t="s">
        <v>382</v>
      </c>
      <c r="G1329" s="63" t="s">
        <v>472</v>
      </c>
      <c r="H1329" s="64" t="n">
        <v>1.07176491316605</v>
      </c>
      <c r="I1329" s="62" t="s">
        <v>115</v>
      </c>
      <c r="J1329" s="64" t="n">
        <v>1.07176491316605</v>
      </c>
      <c r="K1329" s="62" t="s">
        <v>42</v>
      </c>
      <c r="L1329" s="68" t="b">
        <f aca="false">TRUE()</f>
        <v>1</v>
      </c>
    </row>
    <row r="1330" customFormat="false" ht="15" hidden="false" customHeight="false" outlineLevel="0" collapsed="false">
      <c r="A1330" s="62" t="n">
        <v>0</v>
      </c>
      <c r="B1330" s="21" t="s">
        <v>336</v>
      </c>
      <c r="C1330" s="62" t="s">
        <v>60</v>
      </c>
      <c r="D1330" s="62" t="s">
        <v>387</v>
      </c>
      <c r="E1330" s="62" t="s">
        <v>105</v>
      </c>
      <c r="F1330" s="62" t="s">
        <v>382</v>
      </c>
      <c r="G1330" s="63" t="s">
        <v>472</v>
      </c>
      <c r="H1330" s="64" t="n">
        <v>1.07176491316605</v>
      </c>
      <c r="I1330" s="62" t="s">
        <v>115</v>
      </c>
      <c r="J1330" s="64" t="n">
        <v>1.07176491316605</v>
      </c>
      <c r="K1330" s="62" t="s">
        <v>42</v>
      </c>
      <c r="L1330" s="68" t="b">
        <f aca="false">TRUE()</f>
        <v>1</v>
      </c>
    </row>
    <row r="1331" customFormat="false" ht="15" hidden="false" customHeight="false" outlineLevel="0" collapsed="false">
      <c r="A1331" s="62" t="n">
        <v>0</v>
      </c>
      <c r="B1331" s="21" t="s">
        <v>336</v>
      </c>
      <c r="C1331" s="62" t="s">
        <v>60</v>
      </c>
      <c r="D1331" s="62" t="s">
        <v>388</v>
      </c>
      <c r="E1331" s="62" t="s">
        <v>105</v>
      </c>
      <c r="F1331" s="62" t="s">
        <v>382</v>
      </c>
      <c r="G1331" s="63" t="s">
        <v>472</v>
      </c>
      <c r="H1331" s="64" t="n">
        <v>1.07176491316605</v>
      </c>
      <c r="I1331" s="62" t="s">
        <v>115</v>
      </c>
      <c r="J1331" s="64" t="n">
        <v>1.07176491316605</v>
      </c>
      <c r="K1331" s="62" t="s">
        <v>42</v>
      </c>
      <c r="L1331" s="68" t="b">
        <f aca="false">TRUE()</f>
        <v>1</v>
      </c>
    </row>
    <row r="1332" customFormat="false" ht="15" hidden="false" customHeight="false" outlineLevel="0" collapsed="false">
      <c r="A1332" s="62" t="n">
        <v>0</v>
      </c>
      <c r="B1332" s="21" t="s">
        <v>336</v>
      </c>
      <c r="C1332" s="62" t="s">
        <v>60</v>
      </c>
      <c r="D1332" s="62" t="s">
        <v>381</v>
      </c>
      <c r="E1332" s="62" t="s">
        <v>105</v>
      </c>
      <c r="F1332" s="62" t="s">
        <v>382</v>
      </c>
      <c r="G1332" s="63" t="s">
        <v>473</v>
      </c>
      <c r="H1332" s="64" t="s">
        <v>474</v>
      </c>
      <c r="I1332" s="62" t="s">
        <v>42</v>
      </c>
      <c r="J1332" s="64" t="s">
        <v>474</v>
      </c>
      <c r="K1332" s="62" t="s">
        <v>42</v>
      </c>
      <c r="L1332" s="68" t="b">
        <f aca="false">TRUE()</f>
        <v>1</v>
      </c>
    </row>
    <row r="1333" customFormat="false" ht="15" hidden="false" customHeight="false" outlineLevel="0" collapsed="false">
      <c r="A1333" s="62" t="n">
        <v>0</v>
      </c>
      <c r="B1333" s="21" t="s">
        <v>336</v>
      </c>
      <c r="C1333" s="62" t="s">
        <v>60</v>
      </c>
      <c r="D1333" s="62" t="s">
        <v>383</v>
      </c>
      <c r="E1333" s="62" t="s">
        <v>105</v>
      </c>
      <c r="F1333" s="62" t="s">
        <v>382</v>
      </c>
      <c r="G1333" s="63" t="s">
        <v>473</v>
      </c>
      <c r="H1333" s="64" t="s">
        <v>474</v>
      </c>
      <c r="I1333" s="62" t="s">
        <v>42</v>
      </c>
      <c r="J1333" s="64" t="s">
        <v>474</v>
      </c>
      <c r="K1333" s="62" t="s">
        <v>42</v>
      </c>
      <c r="L1333" s="68" t="b">
        <f aca="false">TRUE()</f>
        <v>1</v>
      </c>
    </row>
    <row r="1334" customFormat="false" ht="15" hidden="false" customHeight="false" outlineLevel="0" collapsed="false">
      <c r="A1334" s="62" t="n">
        <v>0</v>
      </c>
      <c r="B1334" s="21" t="s">
        <v>336</v>
      </c>
      <c r="C1334" s="62" t="s">
        <v>60</v>
      </c>
      <c r="D1334" s="62" t="s">
        <v>384</v>
      </c>
      <c r="E1334" s="62" t="s">
        <v>105</v>
      </c>
      <c r="F1334" s="62" t="s">
        <v>382</v>
      </c>
      <c r="G1334" s="63" t="s">
        <v>473</v>
      </c>
      <c r="H1334" s="64" t="s">
        <v>474</v>
      </c>
      <c r="I1334" s="62" t="s">
        <v>42</v>
      </c>
      <c r="J1334" s="64" t="s">
        <v>474</v>
      </c>
      <c r="K1334" s="62" t="s">
        <v>42</v>
      </c>
      <c r="L1334" s="68" t="b">
        <f aca="false">TRUE()</f>
        <v>1</v>
      </c>
    </row>
    <row r="1335" customFormat="false" ht="15" hidden="false" customHeight="false" outlineLevel="0" collapsed="false">
      <c r="A1335" s="62" t="n">
        <v>0</v>
      </c>
      <c r="B1335" s="21" t="s">
        <v>336</v>
      </c>
      <c r="C1335" s="62" t="s">
        <v>60</v>
      </c>
      <c r="D1335" s="62" t="s">
        <v>385</v>
      </c>
      <c r="E1335" s="62" t="s">
        <v>105</v>
      </c>
      <c r="F1335" s="62" t="s">
        <v>382</v>
      </c>
      <c r="G1335" s="63" t="s">
        <v>473</v>
      </c>
      <c r="H1335" s="64" t="s">
        <v>474</v>
      </c>
      <c r="I1335" s="62" t="s">
        <v>42</v>
      </c>
      <c r="J1335" s="64" t="s">
        <v>474</v>
      </c>
      <c r="K1335" s="62" t="s">
        <v>42</v>
      </c>
      <c r="L1335" s="68" t="b">
        <f aca="false">TRUE()</f>
        <v>1</v>
      </c>
    </row>
    <row r="1336" customFormat="false" ht="15" hidden="false" customHeight="false" outlineLevel="0" collapsed="false">
      <c r="A1336" s="62" t="n">
        <v>0</v>
      </c>
      <c r="B1336" s="21" t="s">
        <v>336</v>
      </c>
      <c r="C1336" s="62" t="s">
        <v>60</v>
      </c>
      <c r="D1336" s="62" t="s">
        <v>386</v>
      </c>
      <c r="E1336" s="62" t="s">
        <v>105</v>
      </c>
      <c r="F1336" s="62" t="s">
        <v>382</v>
      </c>
      <c r="G1336" s="63" t="s">
        <v>473</v>
      </c>
      <c r="H1336" s="64" t="s">
        <v>474</v>
      </c>
      <c r="I1336" s="62" t="s">
        <v>42</v>
      </c>
      <c r="J1336" s="64" t="s">
        <v>474</v>
      </c>
      <c r="K1336" s="62" t="s">
        <v>42</v>
      </c>
      <c r="L1336" s="68" t="b">
        <f aca="false">TRUE()</f>
        <v>1</v>
      </c>
    </row>
    <row r="1337" customFormat="false" ht="15" hidden="false" customHeight="false" outlineLevel="0" collapsed="false">
      <c r="A1337" s="62" t="n">
        <v>0</v>
      </c>
      <c r="B1337" s="21" t="s">
        <v>336</v>
      </c>
      <c r="C1337" s="62" t="s">
        <v>60</v>
      </c>
      <c r="D1337" s="62" t="s">
        <v>387</v>
      </c>
      <c r="E1337" s="62" t="s">
        <v>105</v>
      </c>
      <c r="F1337" s="62" t="s">
        <v>382</v>
      </c>
      <c r="G1337" s="63" t="s">
        <v>473</v>
      </c>
      <c r="H1337" s="64" t="s">
        <v>474</v>
      </c>
      <c r="I1337" s="62" t="s">
        <v>42</v>
      </c>
      <c r="J1337" s="64" t="s">
        <v>474</v>
      </c>
      <c r="K1337" s="62" t="s">
        <v>42</v>
      </c>
      <c r="L1337" s="68" t="b">
        <f aca="false">TRUE()</f>
        <v>1</v>
      </c>
    </row>
    <row r="1338" customFormat="false" ht="15" hidden="false" customHeight="false" outlineLevel="0" collapsed="false">
      <c r="A1338" s="62" t="n">
        <v>0</v>
      </c>
      <c r="B1338" s="21" t="s">
        <v>336</v>
      </c>
      <c r="C1338" s="62" t="s">
        <v>60</v>
      </c>
      <c r="D1338" s="62" t="s">
        <v>388</v>
      </c>
      <c r="E1338" s="62" t="s">
        <v>105</v>
      </c>
      <c r="F1338" s="62" t="s">
        <v>382</v>
      </c>
      <c r="G1338" s="63" t="s">
        <v>473</v>
      </c>
      <c r="H1338" s="64" t="s">
        <v>474</v>
      </c>
      <c r="I1338" s="62" t="s">
        <v>42</v>
      </c>
      <c r="J1338" s="64" t="s">
        <v>474</v>
      </c>
      <c r="K1338" s="62" t="s">
        <v>42</v>
      </c>
      <c r="L1338" s="68" t="b">
        <f aca="false">TRUE()</f>
        <v>1</v>
      </c>
    </row>
    <row r="1339" customFormat="false" ht="15" hidden="false" customHeight="false" outlineLevel="0" collapsed="false">
      <c r="A1339" s="62" t="n">
        <v>0</v>
      </c>
      <c r="B1339" s="21" t="s">
        <v>336</v>
      </c>
      <c r="C1339" s="62" t="s">
        <v>60</v>
      </c>
      <c r="D1339" s="62" t="s">
        <v>381</v>
      </c>
      <c r="E1339" s="62" t="s">
        <v>382</v>
      </c>
      <c r="F1339" s="62" t="s">
        <v>382</v>
      </c>
      <c r="G1339" s="63" t="s">
        <v>475</v>
      </c>
      <c r="H1339" s="64" t="n">
        <v>0.0705537628559167</v>
      </c>
      <c r="I1339" s="62" t="s">
        <v>878</v>
      </c>
      <c r="J1339" s="64" t="n">
        <v>7.05537628559167</v>
      </c>
      <c r="K1339" s="62" t="s">
        <v>42</v>
      </c>
      <c r="L1339" s="68" t="b">
        <f aca="false">TRUE()</f>
        <v>1</v>
      </c>
    </row>
    <row r="1340" customFormat="false" ht="15" hidden="false" customHeight="false" outlineLevel="0" collapsed="false">
      <c r="A1340" s="62" t="n">
        <v>0</v>
      </c>
      <c r="B1340" s="21" t="s">
        <v>336</v>
      </c>
      <c r="C1340" s="62" t="s">
        <v>60</v>
      </c>
      <c r="D1340" s="62" t="s">
        <v>383</v>
      </c>
      <c r="E1340" s="62" t="s">
        <v>382</v>
      </c>
      <c r="F1340" s="62" t="s">
        <v>382</v>
      </c>
      <c r="G1340" s="63" t="s">
        <v>475</v>
      </c>
      <c r="H1340" s="64" t="n">
        <v>0.0705537628559167</v>
      </c>
      <c r="I1340" s="62" t="s">
        <v>878</v>
      </c>
      <c r="J1340" s="64" t="n">
        <v>7.05537628559167</v>
      </c>
      <c r="K1340" s="62" t="s">
        <v>42</v>
      </c>
      <c r="L1340" s="68" t="b">
        <f aca="false">TRUE()</f>
        <v>1</v>
      </c>
    </row>
    <row r="1341" customFormat="false" ht="15" hidden="false" customHeight="false" outlineLevel="0" collapsed="false">
      <c r="A1341" s="62" t="n">
        <v>0</v>
      </c>
      <c r="B1341" s="21" t="s">
        <v>336</v>
      </c>
      <c r="C1341" s="62" t="s">
        <v>60</v>
      </c>
      <c r="D1341" s="62" t="s">
        <v>384</v>
      </c>
      <c r="E1341" s="62" t="s">
        <v>382</v>
      </c>
      <c r="F1341" s="62" t="s">
        <v>382</v>
      </c>
      <c r="G1341" s="63" t="s">
        <v>475</v>
      </c>
      <c r="H1341" s="64" t="n">
        <v>0.0705537628559167</v>
      </c>
      <c r="I1341" s="62" t="s">
        <v>878</v>
      </c>
      <c r="J1341" s="64" t="n">
        <v>7.05537628559167</v>
      </c>
      <c r="K1341" s="62" t="s">
        <v>42</v>
      </c>
      <c r="L1341" s="68" t="b">
        <f aca="false">TRUE()</f>
        <v>1</v>
      </c>
    </row>
    <row r="1342" customFormat="false" ht="15" hidden="false" customHeight="false" outlineLevel="0" collapsed="false">
      <c r="A1342" s="62" t="n">
        <v>0</v>
      </c>
      <c r="B1342" s="21" t="s">
        <v>336</v>
      </c>
      <c r="C1342" s="62" t="s">
        <v>60</v>
      </c>
      <c r="D1342" s="62" t="s">
        <v>385</v>
      </c>
      <c r="E1342" s="62" t="s">
        <v>382</v>
      </c>
      <c r="F1342" s="62" t="s">
        <v>382</v>
      </c>
      <c r="G1342" s="63" t="s">
        <v>475</v>
      </c>
      <c r="H1342" s="64" t="n">
        <v>0.0705537628559167</v>
      </c>
      <c r="I1342" s="62" t="s">
        <v>878</v>
      </c>
      <c r="J1342" s="64" t="n">
        <v>7.05537628559167</v>
      </c>
      <c r="K1342" s="62" t="s">
        <v>42</v>
      </c>
      <c r="L1342" s="68" t="b">
        <f aca="false">TRUE()</f>
        <v>1</v>
      </c>
    </row>
    <row r="1343" customFormat="false" ht="15" hidden="false" customHeight="false" outlineLevel="0" collapsed="false">
      <c r="A1343" s="62" t="n">
        <v>0</v>
      </c>
      <c r="B1343" s="21" t="s">
        <v>336</v>
      </c>
      <c r="C1343" s="62" t="s">
        <v>60</v>
      </c>
      <c r="D1343" s="62" t="s">
        <v>386</v>
      </c>
      <c r="E1343" s="62" t="s">
        <v>382</v>
      </c>
      <c r="F1343" s="62" t="s">
        <v>382</v>
      </c>
      <c r="G1343" s="63" t="s">
        <v>475</v>
      </c>
      <c r="H1343" s="64" t="n">
        <v>0.0705537628559167</v>
      </c>
      <c r="I1343" s="62" t="s">
        <v>878</v>
      </c>
      <c r="J1343" s="64" t="n">
        <v>7.05537628559167</v>
      </c>
      <c r="K1343" s="62" t="s">
        <v>42</v>
      </c>
      <c r="L1343" s="68" t="b">
        <f aca="false">TRUE()</f>
        <v>1</v>
      </c>
    </row>
    <row r="1344" customFormat="false" ht="15" hidden="false" customHeight="false" outlineLevel="0" collapsed="false">
      <c r="A1344" s="62" t="n">
        <v>0</v>
      </c>
      <c r="B1344" s="21" t="s">
        <v>336</v>
      </c>
      <c r="C1344" s="62" t="s">
        <v>60</v>
      </c>
      <c r="D1344" s="62" t="s">
        <v>387</v>
      </c>
      <c r="E1344" s="62" t="s">
        <v>382</v>
      </c>
      <c r="F1344" s="62" t="s">
        <v>382</v>
      </c>
      <c r="G1344" s="63" t="s">
        <v>475</v>
      </c>
      <c r="H1344" s="64" t="n">
        <v>0.0705537628559167</v>
      </c>
      <c r="I1344" s="62" t="s">
        <v>878</v>
      </c>
      <c r="J1344" s="64" t="n">
        <v>7.05537628559167</v>
      </c>
      <c r="K1344" s="62" t="s">
        <v>42</v>
      </c>
      <c r="L1344" s="68" t="b">
        <f aca="false">TRUE()</f>
        <v>1</v>
      </c>
    </row>
    <row r="1345" customFormat="false" ht="15" hidden="false" customHeight="false" outlineLevel="0" collapsed="false">
      <c r="A1345" s="62" t="n">
        <v>0</v>
      </c>
      <c r="B1345" s="21" t="s">
        <v>336</v>
      </c>
      <c r="C1345" s="62" t="s">
        <v>60</v>
      </c>
      <c r="D1345" s="62" t="s">
        <v>388</v>
      </c>
      <c r="E1345" s="62" t="s">
        <v>382</v>
      </c>
      <c r="F1345" s="62" t="s">
        <v>382</v>
      </c>
      <c r="G1345" s="63" t="s">
        <v>475</v>
      </c>
      <c r="H1345" s="64" t="n">
        <v>0.0705537628559167</v>
      </c>
      <c r="I1345" s="62" t="s">
        <v>878</v>
      </c>
      <c r="J1345" s="64" t="n">
        <v>7.05537628559167</v>
      </c>
      <c r="K1345" s="62" t="s">
        <v>42</v>
      </c>
      <c r="L1345" s="68" t="b">
        <f aca="false">TRUE()</f>
        <v>1</v>
      </c>
    </row>
    <row r="1346" customFormat="false" ht="15" hidden="false" customHeight="false" outlineLevel="0" collapsed="false">
      <c r="A1346" s="62" t="n">
        <v>0</v>
      </c>
      <c r="B1346" s="21" t="s">
        <v>336</v>
      </c>
      <c r="C1346" s="62" t="s">
        <v>60</v>
      </c>
      <c r="D1346" s="62" t="s">
        <v>381</v>
      </c>
      <c r="E1346" s="62" t="s">
        <v>382</v>
      </c>
      <c r="F1346" s="62" t="s">
        <v>382</v>
      </c>
      <c r="G1346" s="63" t="s">
        <v>476</v>
      </c>
      <c r="H1346" s="64" t="n">
        <v>0.120553762855917</v>
      </c>
      <c r="I1346" s="62" t="s">
        <v>878</v>
      </c>
      <c r="J1346" s="64" t="n">
        <v>12.0553762855917</v>
      </c>
      <c r="K1346" s="62" t="s">
        <v>42</v>
      </c>
      <c r="L1346" s="68" t="b">
        <f aca="false">TRUE()</f>
        <v>1</v>
      </c>
    </row>
    <row r="1347" customFormat="false" ht="15" hidden="false" customHeight="false" outlineLevel="0" collapsed="false">
      <c r="A1347" s="62" t="n">
        <v>0</v>
      </c>
      <c r="B1347" s="21" t="s">
        <v>336</v>
      </c>
      <c r="C1347" s="62" t="s">
        <v>60</v>
      </c>
      <c r="D1347" s="62" t="s">
        <v>383</v>
      </c>
      <c r="E1347" s="62" t="s">
        <v>382</v>
      </c>
      <c r="F1347" s="62" t="s">
        <v>382</v>
      </c>
      <c r="G1347" s="63" t="s">
        <v>476</v>
      </c>
      <c r="H1347" s="64" t="n">
        <v>0.120553762855917</v>
      </c>
      <c r="I1347" s="62" t="s">
        <v>878</v>
      </c>
      <c r="J1347" s="64" t="n">
        <v>12.0553762855917</v>
      </c>
      <c r="K1347" s="62" t="s">
        <v>42</v>
      </c>
      <c r="L1347" s="68" t="b">
        <f aca="false">TRUE()</f>
        <v>1</v>
      </c>
    </row>
    <row r="1348" customFormat="false" ht="15" hidden="false" customHeight="false" outlineLevel="0" collapsed="false">
      <c r="A1348" s="62" t="n">
        <v>0</v>
      </c>
      <c r="B1348" s="21" t="s">
        <v>336</v>
      </c>
      <c r="C1348" s="62" t="s">
        <v>60</v>
      </c>
      <c r="D1348" s="62" t="s">
        <v>384</v>
      </c>
      <c r="E1348" s="62" t="s">
        <v>382</v>
      </c>
      <c r="F1348" s="62" t="s">
        <v>382</v>
      </c>
      <c r="G1348" s="63" t="s">
        <v>476</v>
      </c>
      <c r="H1348" s="64" t="n">
        <v>0.120553762855917</v>
      </c>
      <c r="I1348" s="62" t="s">
        <v>878</v>
      </c>
      <c r="J1348" s="64" t="n">
        <v>12.0553762855917</v>
      </c>
      <c r="K1348" s="62" t="s">
        <v>42</v>
      </c>
      <c r="L1348" s="68" t="b">
        <f aca="false">TRUE()</f>
        <v>1</v>
      </c>
    </row>
    <row r="1349" customFormat="false" ht="15" hidden="false" customHeight="false" outlineLevel="0" collapsed="false">
      <c r="A1349" s="62" t="n">
        <v>0</v>
      </c>
      <c r="B1349" s="21" t="s">
        <v>336</v>
      </c>
      <c r="C1349" s="62" t="s">
        <v>60</v>
      </c>
      <c r="D1349" s="62" t="s">
        <v>385</v>
      </c>
      <c r="E1349" s="62" t="s">
        <v>382</v>
      </c>
      <c r="F1349" s="62" t="s">
        <v>382</v>
      </c>
      <c r="G1349" s="63" t="s">
        <v>476</v>
      </c>
      <c r="H1349" s="64" t="n">
        <v>0.120553762855917</v>
      </c>
      <c r="I1349" s="62" t="s">
        <v>878</v>
      </c>
      <c r="J1349" s="64" t="n">
        <v>12.0553762855917</v>
      </c>
      <c r="K1349" s="62" t="s">
        <v>42</v>
      </c>
      <c r="L1349" s="68" t="b">
        <f aca="false">TRUE()</f>
        <v>1</v>
      </c>
    </row>
    <row r="1350" customFormat="false" ht="15" hidden="false" customHeight="false" outlineLevel="0" collapsed="false">
      <c r="A1350" s="62" t="n">
        <v>0</v>
      </c>
      <c r="B1350" s="21" t="s">
        <v>336</v>
      </c>
      <c r="C1350" s="62" t="s">
        <v>60</v>
      </c>
      <c r="D1350" s="62" t="s">
        <v>386</v>
      </c>
      <c r="E1350" s="62" t="s">
        <v>382</v>
      </c>
      <c r="F1350" s="62" t="s">
        <v>382</v>
      </c>
      <c r="G1350" s="63" t="s">
        <v>476</v>
      </c>
      <c r="H1350" s="64" t="n">
        <v>0.120553762855917</v>
      </c>
      <c r="I1350" s="62" t="s">
        <v>878</v>
      </c>
      <c r="J1350" s="64" t="n">
        <v>12.0553762855917</v>
      </c>
      <c r="K1350" s="62" t="s">
        <v>42</v>
      </c>
      <c r="L1350" s="68" t="b">
        <f aca="false">TRUE()</f>
        <v>1</v>
      </c>
    </row>
    <row r="1351" customFormat="false" ht="15" hidden="false" customHeight="false" outlineLevel="0" collapsed="false">
      <c r="A1351" s="62" t="n">
        <v>0</v>
      </c>
      <c r="B1351" s="21" t="s">
        <v>336</v>
      </c>
      <c r="C1351" s="62" t="s">
        <v>60</v>
      </c>
      <c r="D1351" s="62" t="s">
        <v>387</v>
      </c>
      <c r="E1351" s="62" t="s">
        <v>382</v>
      </c>
      <c r="F1351" s="62" t="s">
        <v>382</v>
      </c>
      <c r="G1351" s="63" t="s">
        <v>476</v>
      </c>
      <c r="H1351" s="64" t="n">
        <v>0.120553762855917</v>
      </c>
      <c r="I1351" s="62" t="s">
        <v>878</v>
      </c>
      <c r="J1351" s="64" t="n">
        <v>12.0553762855917</v>
      </c>
      <c r="K1351" s="62" t="s">
        <v>42</v>
      </c>
      <c r="L1351" s="68" t="b">
        <f aca="false">TRUE()</f>
        <v>1</v>
      </c>
    </row>
    <row r="1352" customFormat="false" ht="15" hidden="false" customHeight="false" outlineLevel="0" collapsed="false">
      <c r="A1352" s="62" t="n">
        <v>0</v>
      </c>
      <c r="B1352" s="21" t="s">
        <v>336</v>
      </c>
      <c r="C1352" s="62" t="s">
        <v>60</v>
      </c>
      <c r="D1352" s="62" t="s">
        <v>388</v>
      </c>
      <c r="E1352" s="62" t="s">
        <v>382</v>
      </c>
      <c r="F1352" s="62" t="s">
        <v>382</v>
      </c>
      <c r="G1352" s="63" t="s">
        <v>476</v>
      </c>
      <c r="H1352" s="64" t="n">
        <v>0.120553762855917</v>
      </c>
      <c r="I1352" s="62" t="s">
        <v>878</v>
      </c>
      <c r="J1352" s="64" t="n">
        <v>12.0553762855917</v>
      </c>
      <c r="K1352" s="62" t="s">
        <v>42</v>
      </c>
      <c r="L1352" s="68" t="b">
        <f aca="false">TRUE()</f>
        <v>1</v>
      </c>
    </row>
    <row r="1353" customFormat="false" ht="15" hidden="false" customHeight="false" outlineLevel="0" collapsed="false">
      <c r="A1353" s="62" t="n">
        <v>0</v>
      </c>
      <c r="B1353" s="21" t="s">
        <v>336</v>
      </c>
      <c r="C1353" s="62" t="s">
        <v>60</v>
      </c>
      <c r="D1353" s="62" t="s">
        <v>381</v>
      </c>
      <c r="E1353" s="62" t="s">
        <v>382</v>
      </c>
      <c r="F1353" s="62" t="s">
        <v>382</v>
      </c>
      <c r="G1353" s="63" t="s">
        <v>477</v>
      </c>
      <c r="H1353" s="64" t="n">
        <v>0.141419575465528</v>
      </c>
      <c r="I1353" s="62" t="s">
        <v>878</v>
      </c>
      <c r="J1353" s="64" t="n">
        <v>14.1419575465528</v>
      </c>
      <c r="K1353" s="62" t="s">
        <v>42</v>
      </c>
      <c r="L1353" s="68" t="b">
        <f aca="false">TRUE()</f>
        <v>1</v>
      </c>
    </row>
    <row r="1354" customFormat="false" ht="15" hidden="false" customHeight="false" outlineLevel="0" collapsed="false">
      <c r="A1354" s="62" t="n">
        <v>0</v>
      </c>
      <c r="B1354" s="21" t="s">
        <v>336</v>
      </c>
      <c r="C1354" s="62" t="s">
        <v>60</v>
      </c>
      <c r="D1354" s="62" t="s">
        <v>383</v>
      </c>
      <c r="E1354" s="62" t="s">
        <v>382</v>
      </c>
      <c r="F1354" s="62" t="s">
        <v>382</v>
      </c>
      <c r="G1354" s="63" t="s">
        <v>477</v>
      </c>
      <c r="H1354" s="64" t="n">
        <v>0.141419575465528</v>
      </c>
      <c r="I1354" s="62" t="s">
        <v>878</v>
      </c>
      <c r="J1354" s="64" t="n">
        <v>14.1419575465528</v>
      </c>
      <c r="K1354" s="62" t="s">
        <v>42</v>
      </c>
      <c r="L1354" s="68" t="b">
        <f aca="false">TRUE()</f>
        <v>1</v>
      </c>
    </row>
    <row r="1355" customFormat="false" ht="15" hidden="false" customHeight="false" outlineLevel="0" collapsed="false">
      <c r="A1355" s="62" t="n">
        <v>0</v>
      </c>
      <c r="B1355" s="21" t="s">
        <v>336</v>
      </c>
      <c r="C1355" s="62" t="s">
        <v>60</v>
      </c>
      <c r="D1355" s="62" t="s">
        <v>384</v>
      </c>
      <c r="E1355" s="62" t="s">
        <v>382</v>
      </c>
      <c r="F1355" s="62" t="s">
        <v>382</v>
      </c>
      <c r="G1355" s="63" t="s">
        <v>477</v>
      </c>
      <c r="H1355" s="64" t="n">
        <v>0.141419575465528</v>
      </c>
      <c r="I1355" s="62" t="s">
        <v>878</v>
      </c>
      <c r="J1355" s="64" t="n">
        <v>14.1419575465528</v>
      </c>
      <c r="K1355" s="62" t="s">
        <v>42</v>
      </c>
      <c r="L1355" s="68" t="b">
        <f aca="false">TRUE()</f>
        <v>1</v>
      </c>
    </row>
    <row r="1356" customFormat="false" ht="15" hidden="false" customHeight="false" outlineLevel="0" collapsed="false">
      <c r="A1356" s="62" t="n">
        <v>0</v>
      </c>
      <c r="B1356" s="21" t="s">
        <v>336</v>
      </c>
      <c r="C1356" s="62" t="s">
        <v>60</v>
      </c>
      <c r="D1356" s="62" t="s">
        <v>385</v>
      </c>
      <c r="E1356" s="62" t="s">
        <v>382</v>
      </c>
      <c r="F1356" s="62" t="s">
        <v>382</v>
      </c>
      <c r="G1356" s="63" t="s">
        <v>477</v>
      </c>
      <c r="H1356" s="64" t="n">
        <v>0.141419575465528</v>
      </c>
      <c r="I1356" s="62" t="s">
        <v>878</v>
      </c>
      <c r="J1356" s="64" t="n">
        <v>14.1419575465528</v>
      </c>
      <c r="K1356" s="62" t="s">
        <v>42</v>
      </c>
      <c r="L1356" s="68" t="b">
        <f aca="false">TRUE()</f>
        <v>1</v>
      </c>
    </row>
    <row r="1357" customFormat="false" ht="15" hidden="false" customHeight="false" outlineLevel="0" collapsed="false">
      <c r="A1357" s="62" t="n">
        <v>0</v>
      </c>
      <c r="B1357" s="21" t="s">
        <v>336</v>
      </c>
      <c r="C1357" s="62" t="s">
        <v>60</v>
      </c>
      <c r="D1357" s="62" t="s">
        <v>386</v>
      </c>
      <c r="E1357" s="62" t="s">
        <v>382</v>
      </c>
      <c r="F1357" s="62" t="s">
        <v>382</v>
      </c>
      <c r="G1357" s="63" t="s">
        <v>477</v>
      </c>
      <c r="H1357" s="64" t="n">
        <v>0.141419575465528</v>
      </c>
      <c r="I1357" s="62" t="s">
        <v>878</v>
      </c>
      <c r="J1357" s="64" t="n">
        <v>14.1419575465528</v>
      </c>
      <c r="K1357" s="62" t="s">
        <v>42</v>
      </c>
      <c r="L1357" s="68" t="b">
        <f aca="false">TRUE()</f>
        <v>1</v>
      </c>
    </row>
    <row r="1358" customFormat="false" ht="15" hidden="false" customHeight="false" outlineLevel="0" collapsed="false">
      <c r="A1358" s="62" t="n">
        <v>0</v>
      </c>
      <c r="B1358" s="21" t="s">
        <v>336</v>
      </c>
      <c r="C1358" s="62" t="s">
        <v>60</v>
      </c>
      <c r="D1358" s="62" t="s">
        <v>387</v>
      </c>
      <c r="E1358" s="62" t="s">
        <v>382</v>
      </c>
      <c r="F1358" s="62" t="s">
        <v>382</v>
      </c>
      <c r="G1358" s="63" t="s">
        <v>477</v>
      </c>
      <c r="H1358" s="64" t="n">
        <v>0.141419575465528</v>
      </c>
      <c r="I1358" s="62" t="s">
        <v>878</v>
      </c>
      <c r="J1358" s="64" t="n">
        <v>14.1419575465528</v>
      </c>
      <c r="K1358" s="62" t="s">
        <v>42</v>
      </c>
      <c r="L1358" s="68" t="b">
        <f aca="false">TRUE()</f>
        <v>1</v>
      </c>
    </row>
    <row r="1359" customFormat="false" ht="15" hidden="false" customHeight="false" outlineLevel="0" collapsed="false">
      <c r="A1359" s="62" t="n">
        <v>0</v>
      </c>
      <c r="B1359" s="21" t="s">
        <v>336</v>
      </c>
      <c r="C1359" s="62" t="s">
        <v>60</v>
      </c>
      <c r="D1359" s="62" t="s">
        <v>388</v>
      </c>
      <c r="E1359" s="62" t="s">
        <v>382</v>
      </c>
      <c r="F1359" s="62" t="s">
        <v>382</v>
      </c>
      <c r="G1359" s="63" t="s">
        <v>477</v>
      </c>
      <c r="H1359" s="64" t="n">
        <v>0.141419575465528</v>
      </c>
      <c r="I1359" s="62" t="s">
        <v>878</v>
      </c>
      <c r="J1359" s="64" t="n">
        <v>14.1419575465528</v>
      </c>
      <c r="K1359" s="62" t="s">
        <v>42</v>
      </c>
      <c r="L1359" s="68" t="b">
        <f aca="false">TRUE()</f>
        <v>1</v>
      </c>
    </row>
    <row r="1360" customFormat="false" ht="15" hidden="false" customHeight="false" outlineLevel="0" collapsed="false">
      <c r="A1360" s="62" t="n">
        <v>0</v>
      </c>
      <c r="B1360" s="21" t="s">
        <v>336</v>
      </c>
      <c r="C1360" s="62" t="s">
        <v>60</v>
      </c>
      <c r="D1360" s="62" t="s">
        <v>381</v>
      </c>
      <c r="E1360" s="62" t="s">
        <v>382</v>
      </c>
      <c r="F1360" s="62" t="s">
        <v>382</v>
      </c>
      <c r="G1360" s="63" t="s">
        <v>478</v>
      </c>
      <c r="H1360" s="64" t="n">
        <v>0.125770216008319</v>
      </c>
      <c r="I1360" s="62" t="s">
        <v>878</v>
      </c>
      <c r="J1360" s="64" t="n">
        <v>12.5770216008319</v>
      </c>
      <c r="K1360" s="62" t="s">
        <v>42</v>
      </c>
      <c r="L1360" s="68" t="b">
        <f aca="false">TRUE()</f>
        <v>1</v>
      </c>
    </row>
    <row r="1361" customFormat="false" ht="15" hidden="false" customHeight="false" outlineLevel="0" collapsed="false">
      <c r="A1361" s="62" t="n">
        <v>0</v>
      </c>
      <c r="B1361" s="21" t="s">
        <v>336</v>
      </c>
      <c r="C1361" s="62" t="s">
        <v>60</v>
      </c>
      <c r="D1361" s="62" t="s">
        <v>383</v>
      </c>
      <c r="E1361" s="62" t="s">
        <v>382</v>
      </c>
      <c r="F1361" s="62" t="s">
        <v>382</v>
      </c>
      <c r="G1361" s="63" t="s">
        <v>478</v>
      </c>
      <c r="H1361" s="64" t="n">
        <v>0.125770216008319</v>
      </c>
      <c r="I1361" s="62" t="s">
        <v>878</v>
      </c>
      <c r="J1361" s="64" t="n">
        <v>12.5770216008319</v>
      </c>
      <c r="K1361" s="62" t="s">
        <v>42</v>
      </c>
      <c r="L1361" s="68" t="b">
        <f aca="false">TRUE()</f>
        <v>1</v>
      </c>
    </row>
    <row r="1362" customFormat="false" ht="15" hidden="false" customHeight="false" outlineLevel="0" collapsed="false">
      <c r="A1362" s="62" t="n">
        <v>0</v>
      </c>
      <c r="B1362" s="21" t="s">
        <v>336</v>
      </c>
      <c r="C1362" s="62" t="s">
        <v>60</v>
      </c>
      <c r="D1362" s="62" t="s">
        <v>384</v>
      </c>
      <c r="E1362" s="62" t="s">
        <v>382</v>
      </c>
      <c r="F1362" s="62" t="s">
        <v>382</v>
      </c>
      <c r="G1362" s="63" t="s">
        <v>478</v>
      </c>
      <c r="H1362" s="64" t="n">
        <v>0.125770216008319</v>
      </c>
      <c r="I1362" s="62" t="s">
        <v>878</v>
      </c>
      <c r="J1362" s="64" t="n">
        <v>12.5770216008319</v>
      </c>
      <c r="K1362" s="62" t="s">
        <v>42</v>
      </c>
      <c r="L1362" s="68" t="b">
        <f aca="false">TRUE()</f>
        <v>1</v>
      </c>
    </row>
    <row r="1363" customFormat="false" ht="15" hidden="false" customHeight="false" outlineLevel="0" collapsed="false">
      <c r="A1363" s="62" t="n">
        <v>0</v>
      </c>
      <c r="B1363" s="21" t="s">
        <v>336</v>
      </c>
      <c r="C1363" s="62" t="s">
        <v>60</v>
      </c>
      <c r="D1363" s="62" t="s">
        <v>385</v>
      </c>
      <c r="E1363" s="62" t="s">
        <v>382</v>
      </c>
      <c r="F1363" s="62" t="s">
        <v>382</v>
      </c>
      <c r="G1363" s="63" t="s">
        <v>478</v>
      </c>
      <c r="H1363" s="64" t="n">
        <v>0.125770216008319</v>
      </c>
      <c r="I1363" s="62" t="s">
        <v>878</v>
      </c>
      <c r="J1363" s="64" t="n">
        <v>12.5770216008319</v>
      </c>
      <c r="K1363" s="62" t="s">
        <v>42</v>
      </c>
      <c r="L1363" s="68" t="b">
        <f aca="false">TRUE()</f>
        <v>1</v>
      </c>
    </row>
    <row r="1364" customFormat="false" ht="15" hidden="false" customHeight="false" outlineLevel="0" collapsed="false">
      <c r="A1364" s="62" t="n">
        <v>0</v>
      </c>
      <c r="B1364" s="21" t="s">
        <v>336</v>
      </c>
      <c r="C1364" s="62" t="s">
        <v>60</v>
      </c>
      <c r="D1364" s="62" t="s">
        <v>386</v>
      </c>
      <c r="E1364" s="62" t="s">
        <v>382</v>
      </c>
      <c r="F1364" s="62" t="s">
        <v>382</v>
      </c>
      <c r="G1364" s="63" t="s">
        <v>478</v>
      </c>
      <c r="H1364" s="64" t="n">
        <v>0.125770216008319</v>
      </c>
      <c r="I1364" s="62" t="s">
        <v>878</v>
      </c>
      <c r="J1364" s="64" t="n">
        <v>12.5770216008319</v>
      </c>
      <c r="K1364" s="62" t="s">
        <v>42</v>
      </c>
      <c r="L1364" s="68" t="b">
        <f aca="false">TRUE()</f>
        <v>1</v>
      </c>
    </row>
    <row r="1365" customFormat="false" ht="15" hidden="false" customHeight="false" outlineLevel="0" collapsed="false">
      <c r="A1365" s="62" t="n">
        <v>0</v>
      </c>
      <c r="B1365" s="21" t="s">
        <v>336</v>
      </c>
      <c r="C1365" s="62" t="s">
        <v>60</v>
      </c>
      <c r="D1365" s="62" t="s">
        <v>387</v>
      </c>
      <c r="E1365" s="62" t="s">
        <v>382</v>
      </c>
      <c r="F1365" s="62" t="s">
        <v>382</v>
      </c>
      <c r="G1365" s="63" t="s">
        <v>478</v>
      </c>
      <c r="H1365" s="64" t="n">
        <v>0.125770216008319</v>
      </c>
      <c r="I1365" s="62" t="s">
        <v>878</v>
      </c>
      <c r="J1365" s="64" t="n">
        <v>12.5770216008319</v>
      </c>
      <c r="K1365" s="62" t="s">
        <v>42</v>
      </c>
      <c r="L1365" s="68" t="b">
        <f aca="false">TRUE()</f>
        <v>1</v>
      </c>
    </row>
    <row r="1366" customFormat="false" ht="15" hidden="false" customHeight="false" outlineLevel="0" collapsed="false">
      <c r="A1366" s="62" t="n">
        <v>0</v>
      </c>
      <c r="B1366" s="21" t="s">
        <v>336</v>
      </c>
      <c r="C1366" s="62" t="s">
        <v>60</v>
      </c>
      <c r="D1366" s="62" t="s">
        <v>388</v>
      </c>
      <c r="E1366" s="62" t="s">
        <v>382</v>
      </c>
      <c r="F1366" s="62" t="s">
        <v>382</v>
      </c>
      <c r="G1366" s="63" t="s">
        <v>478</v>
      </c>
      <c r="H1366" s="64" t="n">
        <v>0.125770216008319</v>
      </c>
      <c r="I1366" s="62" t="s">
        <v>878</v>
      </c>
      <c r="J1366" s="64" t="n">
        <v>12.5770216008319</v>
      </c>
      <c r="K1366" s="62" t="s">
        <v>42</v>
      </c>
      <c r="L1366" s="68" t="b">
        <f aca="false">TRUE()</f>
        <v>1</v>
      </c>
    </row>
    <row r="1367" customFormat="false" ht="15" hidden="false" customHeight="false" outlineLevel="0" collapsed="false">
      <c r="A1367" s="62" t="n">
        <v>0</v>
      </c>
      <c r="B1367" s="21" t="s">
        <v>336</v>
      </c>
      <c r="C1367" s="62" t="s">
        <v>60</v>
      </c>
      <c r="D1367" s="62" t="s">
        <v>381</v>
      </c>
      <c r="E1367" s="62" t="s">
        <v>105</v>
      </c>
      <c r="F1367" s="62" t="s">
        <v>92</v>
      </c>
      <c r="G1367" s="63" t="s">
        <v>479</v>
      </c>
      <c r="H1367" s="64" t="n">
        <v>0.142857142857143</v>
      </c>
      <c r="I1367" s="62" t="s">
        <v>878</v>
      </c>
      <c r="J1367" s="64" t="n">
        <v>14.2857142857143</v>
      </c>
      <c r="K1367" s="62" t="s">
        <v>42</v>
      </c>
      <c r="L1367" s="68" t="b">
        <f aca="false">TRUE()</f>
        <v>1</v>
      </c>
    </row>
    <row r="1368" customFormat="false" ht="15" hidden="false" customHeight="false" outlineLevel="0" collapsed="false">
      <c r="A1368" s="62" t="n">
        <v>0</v>
      </c>
      <c r="B1368" s="21" t="s">
        <v>336</v>
      </c>
      <c r="C1368" s="62" t="s">
        <v>60</v>
      </c>
      <c r="D1368" s="62" t="s">
        <v>383</v>
      </c>
      <c r="E1368" s="62" t="s">
        <v>105</v>
      </c>
      <c r="F1368" s="62" t="s">
        <v>92</v>
      </c>
      <c r="G1368" s="63" t="s">
        <v>479</v>
      </c>
      <c r="H1368" s="64" t="n">
        <v>0.142857142857143</v>
      </c>
      <c r="I1368" s="62" t="s">
        <v>878</v>
      </c>
      <c r="J1368" s="64" t="n">
        <v>14.2857142857143</v>
      </c>
      <c r="K1368" s="62" t="s">
        <v>42</v>
      </c>
      <c r="L1368" s="68" t="b">
        <f aca="false">TRUE()</f>
        <v>1</v>
      </c>
    </row>
    <row r="1369" customFormat="false" ht="15" hidden="false" customHeight="false" outlineLevel="0" collapsed="false">
      <c r="A1369" s="62" t="n">
        <v>0</v>
      </c>
      <c r="B1369" s="21" t="s">
        <v>336</v>
      </c>
      <c r="C1369" s="62" t="s">
        <v>60</v>
      </c>
      <c r="D1369" s="62" t="s">
        <v>384</v>
      </c>
      <c r="E1369" s="62" t="s">
        <v>105</v>
      </c>
      <c r="F1369" s="62" t="s">
        <v>92</v>
      </c>
      <c r="G1369" s="63" t="s">
        <v>479</v>
      </c>
      <c r="H1369" s="64" t="n">
        <v>0.142857142857143</v>
      </c>
      <c r="I1369" s="62" t="s">
        <v>878</v>
      </c>
      <c r="J1369" s="64" t="n">
        <v>14.2857142857143</v>
      </c>
      <c r="K1369" s="62" t="s">
        <v>42</v>
      </c>
      <c r="L1369" s="68" t="b">
        <f aca="false">TRUE()</f>
        <v>1</v>
      </c>
    </row>
    <row r="1370" customFormat="false" ht="15" hidden="false" customHeight="false" outlineLevel="0" collapsed="false">
      <c r="A1370" s="62" t="n">
        <v>0</v>
      </c>
      <c r="B1370" s="21" t="s">
        <v>336</v>
      </c>
      <c r="C1370" s="62" t="s">
        <v>60</v>
      </c>
      <c r="D1370" s="62" t="s">
        <v>385</v>
      </c>
      <c r="E1370" s="62" t="s">
        <v>105</v>
      </c>
      <c r="F1370" s="62" t="s">
        <v>92</v>
      </c>
      <c r="G1370" s="63" t="s">
        <v>479</v>
      </c>
      <c r="H1370" s="64" t="n">
        <v>0.142857142857143</v>
      </c>
      <c r="I1370" s="62" t="s">
        <v>878</v>
      </c>
      <c r="J1370" s="64" t="n">
        <v>14.2857142857143</v>
      </c>
      <c r="K1370" s="62" t="s">
        <v>42</v>
      </c>
      <c r="L1370" s="68" t="b">
        <f aca="false">TRUE()</f>
        <v>1</v>
      </c>
    </row>
    <row r="1371" customFormat="false" ht="15" hidden="false" customHeight="false" outlineLevel="0" collapsed="false">
      <c r="A1371" s="62" t="n">
        <v>0</v>
      </c>
      <c r="B1371" s="21" t="s">
        <v>336</v>
      </c>
      <c r="C1371" s="62" t="s">
        <v>60</v>
      </c>
      <c r="D1371" s="62" t="s">
        <v>386</v>
      </c>
      <c r="E1371" s="62" t="s">
        <v>105</v>
      </c>
      <c r="F1371" s="62" t="s">
        <v>92</v>
      </c>
      <c r="G1371" s="63" t="s">
        <v>479</v>
      </c>
      <c r="H1371" s="64" t="n">
        <v>0.142857142857143</v>
      </c>
      <c r="I1371" s="62" t="s">
        <v>878</v>
      </c>
      <c r="J1371" s="64" t="n">
        <v>14.2857142857143</v>
      </c>
      <c r="K1371" s="62" t="s">
        <v>42</v>
      </c>
      <c r="L1371" s="68" t="b">
        <f aca="false">TRUE()</f>
        <v>1</v>
      </c>
    </row>
    <row r="1372" customFormat="false" ht="15" hidden="false" customHeight="false" outlineLevel="0" collapsed="false">
      <c r="A1372" s="62" t="n">
        <v>0</v>
      </c>
      <c r="B1372" s="21" t="s">
        <v>336</v>
      </c>
      <c r="C1372" s="62" t="s">
        <v>60</v>
      </c>
      <c r="D1372" s="62" t="s">
        <v>387</v>
      </c>
      <c r="E1372" s="62" t="s">
        <v>105</v>
      </c>
      <c r="F1372" s="62" t="s">
        <v>92</v>
      </c>
      <c r="G1372" s="63" t="s">
        <v>479</v>
      </c>
      <c r="H1372" s="64" t="n">
        <v>0.142857142857143</v>
      </c>
      <c r="I1372" s="62" t="s">
        <v>878</v>
      </c>
      <c r="J1372" s="64" t="n">
        <v>14.2857142857143</v>
      </c>
      <c r="K1372" s="62" t="s">
        <v>42</v>
      </c>
      <c r="L1372" s="68" t="b">
        <f aca="false">TRUE()</f>
        <v>1</v>
      </c>
    </row>
    <row r="1373" customFormat="false" ht="15" hidden="false" customHeight="false" outlineLevel="0" collapsed="false">
      <c r="A1373" s="62" t="n">
        <v>0</v>
      </c>
      <c r="B1373" s="21" t="s">
        <v>336</v>
      </c>
      <c r="C1373" s="62" t="s">
        <v>60</v>
      </c>
      <c r="D1373" s="62" t="s">
        <v>388</v>
      </c>
      <c r="E1373" s="62" t="s">
        <v>105</v>
      </c>
      <c r="F1373" s="62" t="s">
        <v>92</v>
      </c>
      <c r="G1373" s="63" t="s">
        <v>479</v>
      </c>
      <c r="H1373" s="64" t="n">
        <v>0.142857142857143</v>
      </c>
      <c r="I1373" s="62" t="s">
        <v>878</v>
      </c>
      <c r="J1373" s="64" t="n">
        <v>14.2857142857143</v>
      </c>
      <c r="K1373" s="62" t="s">
        <v>42</v>
      </c>
      <c r="L1373" s="68" t="b">
        <f aca="false">TRUE()</f>
        <v>1</v>
      </c>
    </row>
    <row r="1374" customFormat="false" ht="15" hidden="false" customHeight="false" outlineLevel="0" collapsed="false">
      <c r="A1374" s="62" t="n">
        <v>0</v>
      </c>
      <c r="B1374" s="21" t="s">
        <v>336</v>
      </c>
      <c r="C1374" s="62" t="s">
        <v>60</v>
      </c>
      <c r="D1374" s="62" t="s">
        <v>381</v>
      </c>
      <c r="E1374" s="62" t="s">
        <v>105</v>
      </c>
      <c r="F1374" s="62" t="s">
        <v>94</v>
      </c>
      <c r="G1374" s="63" t="s">
        <v>479</v>
      </c>
      <c r="H1374" s="64" t="n">
        <v>0</v>
      </c>
      <c r="I1374" s="62" t="s">
        <v>878</v>
      </c>
      <c r="J1374" s="64" t="n">
        <v>0</v>
      </c>
      <c r="K1374" s="62" t="s">
        <v>42</v>
      </c>
      <c r="L1374" s="68" t="b">
        <f aca="false">TRUE()</f>
        <v>1</v>
      </c>
    </row>
    <row r="1375" customFormat="false" ht="15" hidden="false" customHeight="false" outlineLevel="0" collapsed="false">
      <c r="A1375" s="62" t="n">
        <v>0</v>
      </c>
      <c r="B1375" s="21" t="s">
        <v>336</v>
      </c>
      <c r="C1375" s="62" t="s">
        <v>60</v>
      </c>
      <c r="D1375" s="62" t="s">
        <v>383</v>
      </c>
      <c r="E1375" s="62" t="s">
        <v>105</v>
      </c>
      <c r="F1375" s="62" t="s">
        <v>94</v>
      </c>
      <c r="G1375" s="63" t="s">
        <v>479</v>
      </c>
      <c r="H1375" s="64" t="n">
        <v>0</v>
      </c>
      <c r="I1375" s="62" t="s">
        <v>878</v>
      </c>
      <c r="J1375" s="64" t="n">
        <v>0</v>
      </c>
      <c r="K1375" s="62" t="s">
        <v>42</v>
      </c>
      <c r="L1375" s="68" t="b">
        <f aca="false">TRUE()</f>
        <v>1</v>
      </c>
    </row>
    <row r="1376" customFormat="false" ht="15" hidden="false" customHeight="false" outlineLevel="0" collapsed="false">
      <c r="A1376" s="62" t="n">
        <v>0</v>
      </c>
      <c r="B1376" s="21" t="s">
        <v>336</v>
      </c>
      <c r="C1376" s="62" t="s">
        <v>60</v>
      </c>
      <c r="D1376" s="62" t="s">
        <v>384</v>
      </c>
      <c r="E1376" s="62" t="s">
        <v>105</v>
      </c>
      <c r="F1376" s="62" t="s">
        <v>94</v>
      </c>
      <c r="G1376" s="63" t="s">
        <v>479</v>
      </c>
      <c r="H1376" s="64" t="n">
        <v>0</v>
      </c>
      <c r="I1376" s="62" t="s">
        <v>878</v>
      </c>
      <c r="J1376" s="64" t="n">
        <v>0</v>
      </c>
      <c r="K1376" s="62" t="s">
        <v>42</v>
      </c>
      <c r="L1376" s="68" t="b">
        <f aca="false">TRUE()</f>
        <v>1</v>
      </c>
    </row>
    <row r="1377" customFormat="false" ht="15" hidden="false" customHeight="false" outlineLevel="0" collapsed="false">
      <c r="A1377" s="62" t="n">
        <v>0</v>
      </c>
      <c r="B1377" s="21" t="s">
        <v>336</v>
      </c>
      <c r="C1377" s="62" t="s">
        <v>60</v>
      </c>
      <c r="D1377" s="62" t="s">
        <v>385</v>
      </c>
      <c r="E1377" s="62" t="s">
        <v>105</v>
      </c>
      <c r="F1377" s="62" t="s">
        <v>94</v>
      </c>
      <c r="G1377" s="63" t="s">
        <v>479</v>
      </c>
      <c r="H1377" s="64" t="n">
        <v>0</v>
      </c>
      <c r="I1377" s="62" t="s">
        <v>878</v>
      </c>
      <c r="J1377" s="64" t="n">
        <v>0</v>
      </c>
      <c r="K1377" s="62" t="s">
        <v>42</v>
      </c>
      <c r="L1377" s="68" t="b">
        <f aca="false">TRUE()</f>
        <v>1</v>
      </c>
    </row>
    <row r="1378" customFormat="false" ht="15" hidden="false" customHeight="false" outlineLevel="0" collapsed="false">
      <c r="A1378" s="62" t="n">
        <v>0</v>
      </c>
      <c r="B1378" s="21" t="s">
        <v>336</v>
      </c>
      <c r="C1378" s="62" t="s">
        <v>60</v>
      </c>
      <c r="D1378" s="62" t="s">
        <v>386</v>
      </c>
      <c r="E1378" s="62" t="s">
        <v>105</v>
      </c>
      <c r="F1378" s="62" t="s">
        <v>94</v>
      </c>
      <c r="G1378" s="63" t="s">
        <v>479</v>
      </c>
      <c r="H1378" s="64" t="n">
        <v>0</v>
      </c>
      <c r="I1378" s="62" t="s">
        <v>878</v>
      </c>
      <c r="J1378" s="64" t="n">
        <v>0</v>
      </c>
      <c r="K1378" s="62" t="s">
        <v>42</v>
      </c>
      <c r="L1378" s="68" t="b">
        <f aca="false">TRUE()</f>
        <v>1</v>
      </c>
    </row>
    <row r="1379" customFormat="false" ht="15" hidden="false" customHeight="false" outlineLevel="0" collapsed="false">
      <c r="A1379" s="62" t="n">
        <v>0</v>
      </c>
      <c r="B1379" s="21" t="s">
        <v>336</v>
      </c>
      <c r="C1379" s="62" t="s">
        <v>60</v>
      </c>
      <c r="D1379" s="62" t="s">
        <v>387</v>
      </c>
      <c r="E1379" s="62" t="s">
        <v>105</v>
      </c>
      <c r="F1379" s="62" t="s">
        <v>94</v>
      </c>
      <c r="G1379" s="63" t="s">
        <v>479</v>
      </c>
      <c r="H1379" s="64" t="n">
        <v>0</v>
      </c>
      <c r="I1379" s="62" t="s">
        <v>878</v>
      </c>
      <c r="J1379" s="64" t="n">
        <v>0</v>
      </c>
      <c r="K1379" s="62" t="s">
        <v>42</v>
      </c>
      <c r="L1379" s="68" t="b">
        <f aca="false">TRUE()</f>
        <v>1</v>
      </c>
    </row>
    <row r="1380" customFormat="false" ht="15" hidden="false" customHeight="false" outlineLevel="0" collapsed="false">
      <c r="A1380" s="62" t="n">
        <v>0</v>
      </c>
      <c r="B1380" s="21" t="s">
        <v>336</v>
      </c>
      <c r="C1380" s="62" t="s">
        <v>60</v>
      </c>
      <c r="D1380" s="62" t="s">
        <v>388</v>
      </c>
      <c r="E1380" s="62" t="s">
        <v>105</v>
      </c>
      <c r="F1380" s="62" t="s">
        <v>94</v>
      </c>
      <c r="G1380" s="63" t="s">
        <v>479</v>
      </c>
      <c r="H1380" s="64" t="n">
        <v>0</v>
      </c>
      <c r="I1380" s="62" t="s">
        <v>878</v>
      </c>
      <c r="J1380" s="64" t="n">
        <v>0</v>
      </c>
      <c r="K1380" s="62" t="s">
        <v>42</v>
      </c>
      <c r="L1380" s="68" t="b">
        <f aca="false">TRUE()</f>
        <v>1</v>
      </c>
    </row>
    <row r="1381" customFormat="false" ht="15" hidden="false" customHeight="false" outlineLevel="0" collapsed="false">
      <c r="A1381" s="62" t="n">
        <v>0</v>
      </c>
      <c r="B1381" s="21" t="s">
        <v>336</v>
      </c>
      <c r="C1381" s="62" t="s">
        <v>60</v>
      </c>
      <c r="D1381" s="62" t="s">
        <v>381</v>
      </c>
      <c r="E1381" s="62" t="s">
        <v>105</v>
      </c>
      <c r="F1381" s="62" t="s">
        <v>95</v>
      </c>
      <c r="G1381" s="63" t="s">
        <v>479</v>
      </c>
      <c r="H1381" s="64" t="n">
        <v>0</v>
      </c>
      <c r="I1381" s="62" t="s">
        <v>878</v>
      </c>
      <c r="J1381" s="64" t="n">
        <v>0</v>
      </c>
      <c r="K1381" s="62" t="s">
        <v>42</v>
      </c>
      <c r="L1381" s="68" t="b">
        <f aca="false">TRUE()</f>
        <v>1</v>
      </c>
    </row>
    <row r="1382" customFormat="false" ht="15" hidden="false" customHeight="false" outlineLevel="0" collapsed="false">
      <c r="A1382" s="62" t="n">
        <v>0</v>
      </c>
      <c r="B1382" s="21" t="s">
        <v>336</v>
      </c>
      <c r="C1382" s="62" t="s">
        <v>60</v>
      </c>
      <c r="D1382" s="62" t="s">
        <v>383</v>
      </c>
      <c r="E1382" s="62" t="s">
        <v>105</v>
      </c>
      <c r="F1382" s="62" t="s">
        <v>95</v>
      </c>
      <c r="G1382" s="63" t="s">
        <v>479</v>
      </c>
      <c r="H1382" s="64" t="n">
        <v>0</v>
      </c>
      <c r="I1382" s="62" t="s">
        <v>878</v>
      </c>
      <c r="J1382" s="64" t="n">
        <v>0</v>
      </c>
      <c r="K1382" s="62" t="s">
        <v>42</v>
      </c>
      <c r="L1382" s="68" t="b">
        <f aca="false">TRUE()</f>
        <v>1</v>
      </c>
    </row>
    <row r="1383" customFormat="false" ht="15" hidden="false" customHeight="false" outlineLevel="0" collapsed="false">
      <c r="A1383" s="62" t="n">
        <v>0</v>
      </c>
      <c r="B1383" s="21" t="s">
        <v>336</v>
      </c>
      <c r="C1383" s="62" t="s">
        <v>60</v>
      </c>
      <c r="D1383" s="62" t="s">
        <v>384</v>
      </c>
      <c r="E1383" s="62" t="s">
        <v>105</v>
      </c>
      <c r="F1383" s="62" t="s">
        <v>95</v>
      </c>
      <c r="G1383" s="63" t="s">
        <v>479</v>
      </c>
      <c r="H1383" s="64" t="n">
        <v>0</v>
      </c>
      <c r="I1383" s="62" t="s">
        <v>878</v>
      </c>
      <c r="J1383" s="64" t="n">
        <v>0</v>
      </c>
      <c r="K1383" s="62" t="s">
        <v>42</v>
      </c>
      <c r="L1383" s="68" t="b">
        <f aca="false">TRUE()</f>
        <v>1</v>
      </c>
    </row>
    <row r="1384" customFormat="false" ht="15" hidden="false" customHeight="false" outlineLevel="0" collapsed="false">
      <c r="A1384" s="62" t="n">
        <v>0</v>
      </c>
      <c r="B1384" s="21" t="s">
        <v>336</v>
      </c>
      <c r="C1384" s="62" t="s">
        <v>60</v>
      </c>
      <c r="D1384" s="62" t="s">
        <v>385</v>
      </c>
      <c r="E1384" s="62" t="s">
        <v>105</v>
      </c>
      <c r="F1384" s="62" t="s">
        <v>95</v>
      </c>
      <c r="G1384" s="63" t="s">
        <v>479</v>
      </c>
      <c r="H1384" s="64" t="n">
        <v>0</v>
      </c>
      <c r="I1384" s="62" t="s">
        <v>878</v>
      </c>
      <c r="J1384" s="64" t="n">
        <v>0</v>
      </c>
      <c r="K1384" s="62" t="s">
        <v>42</v>
      </c>
      <c r="L1384" s="68" t="b">
        <f aca="false">TRUE()</f>
        <v>1</v>
      </c>
    </row>
    <row r="1385" customFormat="false" ht="15" hidden="false" customHeight="false" outlineLevel="0" collapsed="false">
      <c r="A1385" s="62" t="n">
        <v>0</v>
      </c>
      <c r="B1385" s="21" t="s">
        <v>336</v>
      </c>
      <c r="C1385" s="62" t="s">
        <v>60</v>
      </c>
      <c r="D1385" s="62" t="s">
        <v>386</v>
      </c>
      <c r="E1385" s="62" t="s">
        <v>105</v>
      </c>
      <c r="F1385" s="62" t="s">
        <v>95</v>
      </c>
      <c r="G1385" s="63" t="s">
        <v>479</v>
      </c>
      <c r="H1385" s="64" t="n">
        <v>0</v>
      </c>
      <c r="I1385" s="62" t="s">
        <v>878</v>
      </c>
      <c r="J1385" s="64" t="n">
        <v>0</v>
      </c>
      <c r="K1385" s="62" t="s">
        <v>42</v>
      </c>
      <c r="L1385" s="68" t="b">
        <f aca="false">TRUE()</f>
        <v>1</v>
      </c>
    </row>
    <row r="1386" customFormat="false" ht="15" hidden="false" customHeight="false" outlineLevel="0" collapsed="false">
      <c r="A1386" s="62" t="n">
        <v>0</v>
      </c>
      <c r="B1386" s="21" t="s">
        <v>336</v>
      </c>
      <c r="C1386" s="62" t="s">
        <v>60</v>
      </c>
      <c r="D1386" s="62" t="s">
        <v>387</v>
      </c>
      <c r="E1386" s="62" t="s">
        <v>105</v>
      </c>
      <c r="F1386" s="62" t="s">
        <v>95</v>
      </c>
      <c r="G1386" s="63" t="s">
        <v>479</v>
      </c>
      <c r="H1386" s="64" t="n">
        <v>0</v>
      </c>
      <c r="I1386" s="62" t="s">
        <v>878</v>
      </c>
      <c r="J1386" s="64" t="n">
        <v>0</v>
      </c>
      <c r="K1386" s="62" t="s">
        <v>42</v>
      </c>
      <c r="L1386" s="68" t="b">
        <f aca="false">TRUE()</f>
        <v>1</v>
      </c>
    </row>
    <row r="1387" customFormat="false" ht="15" hidden="false" customHeight="false" outlineLevel="0" collapsed="false">
      <c r="A1387" s="62" t="n">
        <v>0</v>
      </c>
      <c r="B1387" s="21" t="s">
        <v>336</v>
      </c>
      <c r="C1387" s="62" t="s">
        <v>60</v>
      </c>
      <c r="D1387" s="62" t="s">
        <v>388</v>
      </c>
      <c r="E1387" s="62" t="s">
        <v>105</v>
      </c>
      <c r="F1387" s="62" t="s">
        <v>95</v>
      </c>
      <c r="G1387" s="63" t="s">
        <v>479</v>
      </c>
      <c r="H1387" s="64" t="n">
        <v>0</v>
      </c>
      <c r="I1387" s="62" t="s">
        <v>878</v>
      </c>
      <c r="J1387" s="64" t="n">
        <v>0</v>
      </c>
      <c r="K1387" s="62" t="s">
        <v>42</v>
      </c>
      <c r="L1387" s="68" t="b">
        <f aca="false">TRUE()</f>
        <v>1</v>
      </c>
    </row>
    <row r="1388" customFormat="false" ht="15" hidden="false" customHeight="false" outlineLevel="0" collapsed="false">
      <c r="A1388" s="62" t="n">
        <v>0</v>
      </c>
      <c r="B1388" s="21" t="s">
        <v>336</v>
      </c>
      <c r="C1388" s="62" t="s">
        <v>60</v>
      </c>
      <c r="D1388" s="62" t="s">
        <v>381</v>
      </c>
      <c r="E1388" s="62" t="s">
        <v>105</v>
      </c>
      <c r="F1388" s="62" t="s">
        <v>97</v>
      </c>
      <c r="G1388" s="63" t="s">
        <v>479</v>
      </c>
      <c r="H1388" s="64" t="n">
        <v>0</v>
      </c>
      <c r="I1388" s="62" t="s">
        <v>878</v>
      </c>
      <c r="J1388" s="64" t="n">
        <v>0</v>
      </c>
      <c r="K1388" s="62" t="s">
        <v>42</v>
      </c>
      <c r="L1388" s="68" t="b">
        <f aca="false">TRUE()</f>
        <v>1</v>
      </c>
    </row>
    <row r="1389" customFormat="false" ht="15" hidden="false" customHeight="false" outlineLevel="0" collapsed="false">
      <c r="A1389" s="62" t="n">
        <v>0</v>
      </c>
      <c r="B1389" s="21" t="s">
        <v>336</v>
      </c>
      <c r="C1389" s="62" t="s">
        <v>60</v>
      </c>
      <c r="D1389" s="62" t="s">
        <v>383</v>
      </c>
      <c r="E1389" s="62" t="s">
        <v>105</v>
      </c>
      <c r="F1389" s="62" t="s">
        <v>97</v>
      </c>
      <c r="G1389" s="63" t="s">
        <v>479</v>
      </c>
      <c r="H1389" s="64" t="n">
        <v>0</v>
      </c>
      <c r="I1389" s="62" t="s">
        <v>878</v>
      </c>
      <c r="J1389" s="64" t="n">
        <v>0</v>
      </c>
      <c r="K1389" s="62" t="s">
        <v>42</v>
      </c>
      <c r="L1389" s="68" t="b">
        <f aca="false">TRUE()</f>
        <v>1</v>
      </c>
    </row>
    <row r="1390" customFormat="false" ht="15" hidden="false" customHeight="false" outlineLevel="0" collapsed="false">
      <c r="A1390" s="62" t="n">
        <v>0</v>
      </c>
      <c r="B1390" s="21" t="s">
        <v>336</v>
      </c>
      <c r="C1390" s="62" t="s">
        <v>60</v>
      </c>
      <c r="D1390" s="62" t="s">
        <v>384</v>
      </c>
      <c r="E1390" s="62" t="s">
        <v>105</v>
      </c>
      <c r="F1390" s="62" t="s">
        <v>97</v>
      </c>
      <c r="G1390" s="63" t="s">
        <v>479</v>
      </c>
      <c r="H1390" s="64" t="n">
        <v>0</v>
      </c>
      <c r="I1390" s="62" t="s">
        <v>878</v>
      </c>
      <c r="J1390" s="64" t="n">
        <v>0</v>
      </c>
      <c r="K1390" s="62" t="s">
        <v>42</v>
      </c>
      <c r="L1390" s="68" t="b">
        <f aca="false">TRUE()</f>
        <v>1</v>
      </c>
    </row>
    <row r="1391" customFormat="false" ht="15" hidden="false" customHeight="false" outlineLevel="0" collapsed="false">
      <c r="A1391" s="62" t="n">
        <v>0</v>
      </c>
      <c r="B1391" s="21" t="s">
        <v>336</v>
      </c>
      <c r="C1391" s="62" t="s">
        <v>60</v>
      </c>
      <c r="D1391" s="62" t="s">
        <v>385</v>
      </c>
      <c r="E1391" s="62" t="s">
        <v>105</v>
      </c>
      <c r="F1391" s="62" t="s">
        <v>97</v>
      </c>
      <c r="G1391" s="63" t="s">
        <v>479</v>
      </c>
      <c r="H1391" s="64" t="n">
        <v>0</v>
      </c>
      <c r="I1391" s="62" t="s">
        <v>878</v>
      </c>
      <c r="J1391" s="64" t="n">
        <v>0</v>
      </c>
      <c r="K1391" s="62" t="s">
        <v>42</v>
      </c>
      <c r="L1391" s="68" t="b">
        <f aca="false">TRUE()</f>
        <v>1</v>
      </c>
    </row>
    <row r="1392" customFormat="false" ht="15" hidden="false" customHeight="false" outlineLevel="0" collapsed="false">
      <c r="A1392" s="62" t="n">
        <v>0</v>
      </c>
      <c r="B1392" s="21" t="s">
        <v>336</v>
      </c>
      <c r="C1392" s="62" t="s">
        <v>60</v>
      </c>
      <c r="D1392" s="62" t="s">
        <v>386</v>
      </c>
      <c r="E1392" s="62" t="s">
        <v>105</v>
      </c>
      <c r="F1392" s="62" t="s">
        <v>97</v>
      </c>
      <c r="G1392" s="63" t="s">
        <v>479</v>
      </c>
      <c r="H1392" s="64" t="n">
        <v>0</v>
      </c>
      <c r="I1392" s="62" t="s">
        <v>878</v>
      </c>
      <c r="J1392" s="64" t="n">
        <v>0</v>
      </c>
      <c r="K1392" s="62" t="s">
        <v>42</v>
      </c>
      <c r="L1392" s="68" t="b">
        <f aca="false">TRUE()</f>
        <v>1</v>
      </c>
    </row>
    <row r="1393" customFormat="false" ht="15" hidden="false" customHeight="false" outlineLevel="0" collapsed="false">
      <c r="A1393" s="62" t="n">
        <v>0</v>
      </c>
      <c r="B1393" s="21" t="s">
        <v>336</v>
      </c>
      <c r="C1393" s="62" t="s">
        <v>60</v>
      </c>
      <c r="D1393" s="62" t="s">
        <v>387</v>
      </c>
      <c r="E1393" s="62" t="s">
        <v>105</v>
      </c>
      <c r="F1393" s="62" t="s">
        <v>97</v>
      </c>
      <c r="G1393" s="63" t="s">
        <v>479</v>
      </c>
      <c r="H1393" s="64" t="n">
        <v>0</v>
      </c>
      <c r="I1393" s="62" t="s">
        <v>878</v>
      </c>
      <c r="J1393" s="64" t="n">
        <v>0</v>
      </c>
      <c r="K1393" s="62" t="s">
        <v>42</v>
      </c>
      <c r="L1393" s="68" t="b">
        <f aca="false">TRUE()</f>
        <v>1</v>
      </c>
    </row>
    <row r="1394" customFormat="false" ht="15" hidden="false" customHeight="false" outlineLevel="0" collapsed="false">
      <c r="A1394" s="62" t="n">
        <v>0</v>
      </c>
      <c r="B1394" s="21" t="s">
        <v>336</v>
      </c>
      <c r="C1394" s="62" t="s">
        <v>60</v>
      </c>
      <c r="D1394" s="62" t="s">
        <v>388</v>
      </c>
      <c r="E1394" s="62" t="s">
        <v>105</v>
      </c>
      <c r="F1394" s="62" t="s">
        <v>97</v>
      </c>
      <c r="G1394" s="63" t="s">
        <v>479</v>
      </c>
      <c r="H1394" s="64" t="n">
        <v>0</v>
      </c>
      <c r="I1394" s="62" t="s">
        <v>878</v>
      </c>
      <c r="J1394" s="64" t="n">
        <v>0</v>
      </c>
      <c r="K1394" s="62" t="s">
        <v>42</v>
      </c>
      <c r="L1394" s="68" t="b">
        <f aca="false">TRUE()</f>
        <v>1</v>
      </c>
    </row>
    <row r="1395" customFormat="false" ht="15" hidden="false" customHeight="false" outlineLevel="0" collapsed="false">
      <c r="A1395" s="62" t="n">
        <v>0</v>
      </c>
      <c r="B1395" s="21" t="s">
        <v>336</v>
      </c>
      <c r="C1395" s="62" t="s">
        <v>60</v>
      </c>
      <c r="D1395" s="62" t="s">
        <v>381</v>
      </c>
      <c r="E1395" s="62" t="s">
        <v>105</v>
      </c>
      <c r="F1395" s="62" t="s">
        <v>382</v>
      </c>
      <c r="G1395" s="63" t="s">
        <v>480</v>
      </c>
      <c r="H1395" s="64" t="n">
        <v>0.142857142857143</v>
      </c>
      <c r="I1395" s="62" t="s">
        <v>878</v>
      </c>
      <c r="J1395" s="64" t="n">
        <v>14.2857142857143</v>
      </c>
      <c r="K1395" s="62" t="s">
        <v>42</v>
      </c>
      <c r="L1395" s="68" t="b">
        <f aca="false">TRUE()</f>
        <v>1</v>
      </c>
    </row>
    <row r="1396" customFormat="false" ht="15" hidden="false" customHeight="false" outlineLevel="0" collapsed="false">
      <c r="A1396" s="62" t="n">
        <v>0</v>
      </c>
      <c r="B1396" s="21" t="s">
        <v>336</v>
      </c>
      <c r="C1396" s="62" t="s">
        <v>60</v>
      </c>
      <c r="D1396" s="62" t="s">
        <v>383</v>
      </c>
      <c r="E1396" s="62" t="s">
        <v>105</v>
      </c>
      <c r="F1396" s="62" t="s">
        <v>382</v>
      </c>
      <c r="G1396" s="63" t="s">
        <v>480</v>
      </c>
      <c r="H1396" s="64" t="n">
        <v>0.1429</v>
      </c>
      <c r="I1396" s="62" t="s">
        <v>878</v>
      </c>
      <c r="J1396" s="64" t="n">
        <v>14.29</v>
      </c>
      <c r="K1396" s="62" t="s">
        <v>42</v>
      </c>
      <c r="L1396" s="68" t="b">
        <f aca="false">TRUE()</f>
        <v>1</v>
      </c>
    </row>
    <row r="1397" customFormat="false" ht="15" hidden="false" customHeight="false" outlineLevel="0" collapsed="false">
      <c r="A1397" s="62" t="n">
        <v>0</v>
      </c>
      <c r="B1397" s="21" t="s">
        <v>336</v>
      </c>
      <c r="C1397" s="62" t="s">
        <v>60</v>
      </c>
      <c r="D1397" s="62" t="s">
        <v>384</v>
      </c>
      <c r="E1397" s="62" t="s">
        <v>105</v>
      </c>
      <c r="F1397" s="62" t="s">
        <v>382</v>
      </c>
      <c r="G1397" s="63" t="s">
        <v>480</v>
      </c>
      <c r="H1397" s="64" t="n">
        <v>0.1429</v>
      </c>
      <c r="I1397" s="62" t="s">
        <v>878</v>
      </c>
      <c r="J1397" s="64" t="n">
        <v>14.29</v>
      </c>
      <c r="K1397" s="62" t="s">
        <v>42</v>
      </c>
      <c r="L1397" s="68" t="b">
        <f aca="false">TRUE()</f>
        <v>1</v>
      </c>
    </row>
    <row r="1398" customFormat="false" ht="15" hidden="false" customHeight="false" outlineLevel="0" collapsed="false">
      <c r="A1398" s="62" t="n">
        <v>0</v>
      </c>
      <c r="B1398" s="21" t="s">
        <v>336</v>
      </c>
      <c r="C1398" s="62" t="s">
        <v>60</v>
      </c>
      <c r="D1398" s="62" t="s">
        <v>385</v>
      </c>
      <c r="E1398" s="62" t="s">
        <v>105</v>
      </c>
      <c r="F1398" s="62" t="s">
        <v>382</v>
      </c>
      <c r="G1398" s="63" t="s">
        <v>480</v>
      </c>
      <c r="H1398" s="64" t="n">
        <v>0.1429</v>
      </c>
      <c r="I1398" s="62" t="s">
        <v>878</v>
      </c>
      <c r="J1398" s="64" t="n">
        <v>14.29</v>
      </c>
      <c r="K1398" s="62" t="s">
        <v>42</v>
      </c>
      <c r="L1398" s="68" t="b">
        <f aca="false">TRUE()</f>
        <v>1</v>
      </c>
    </row>
    <row r="1399" customFormat="false" ht="15" hidden="false" customHeight="false" outlineLevel="0" collapsed="false">
      <c r="A1399" s="62" t="n">
        <v>0</v>
      </c>
      <c r="B1399" s="21" t="s">
        <v>336</v>
      </c>
      <c r="C1399" s="62" t="s">
        <v>60</v>
      </c>
      <c r="D1399" s="62" t="s">
        <v>386</v>
      </c>
      <c r="E1399" s="62" t="s">
        <v>105</v>
      </c>
      <c r="F1399" s="62" t="s">
        <v>382</v>
      </c>
      <c r="G1399" s="63" t="s">
        <v>480</v>
      </c>
      <c r="H1399" s="64" t="n">
        <v>0.1429</v>
      </c>
      <c r="I1399" s="62" t="s">
        <v>878</v>
      </c>
      <c r="J1399" s="64" t="n">
        <v>14.29</v>
      </c>
      <c r="K1399" s="62" t="s">
        <v>42</v>
      </c>
      <c r="L1399" s="68" t="b">
        <f aca="false">TRUE()</f>
        <v>1</v>
      </c>
    </row>
    <row r="1400" customFormat="false" ht="15" hidden="false" customHeight="false" outlineLevel="0" collapsed="false">
      <c r="A1400" s="62" t="n">
        <v>0</v>
      </c>
      <c r="B1400" s="21" t="s">
        <v>336</v>
      </c>
      <c r="C1400" s="62" t="s">
        <v>60</v>
      </c>
      <c r="D1400" s="62" t="s">
        <v>387</v>
      </c>
      <c r="E1400" s="62" t="s">
        <v>105</v>
      </c>
      <c r="F1400" s="62" t="s">
        <v>382</v>
      </c>
      <c r="G1400" s="63" t="s">
        <v>480</v>
      </c>
      <c r="H1400" s="64" t="n">
        <v>0.1429</v>
      </c>
      <c r="I1400" s="62" t="s">
        <v>878</v>
      </c>
      <c r="J1400" s="64" t="n">
        <v>14.29</v>
      </c>
      <c r="K1400" s="62" t="s">
        <v>42</v>
      </c>
      <c r="L1400" s="68" t="b">
        <f aca="false">TRUE()</f>
        <v>1</v>
      </c>
    </row>
    <row r="1401" customFormat="false" ht="15" hidden="false" customHeight="false" outlineLevel="0" collapsed="false">
      <c r="A1401" s="62" t="n">
        <v>0</v>
      </c>
      <c r="B1401" s="21" t="s">
        <v>336</v>
      </c>
      <c r="C1401" s="62" t="s">
        <v>60</v>
      </c>
      <c r="D1401" s="62" t="s">
        <v>388</v>
      </c>
      <c r="E1401" s="62" t="s">
        <v>105</v>
      </c>
      <c r="F1401" s="62" t="s">
        <v>382</v>
      </c>
      <c r="G1401" s="63" t="s">
        <v>480</v>
      </c>
      <c r="H1401" s="64" t="n">
        <v>0.1429</v>
      </c>
      <c r="I1401" s="62" t="s">
        <v>878</v>
      </c>
      <c r="J1401" s="64" t="n">
        <v>14.29</v>
      </c>
      <c r="K1401" s="62" t="s">
        <v>42</v>
      </c>
      <c r="L1401" s="68" t="b">
        <f aca="false">TRUE()</f>
        <v>1</v>
      </c>
    </row>
    <row r="1402" customFormat="false" ht="15" hidden="false" customHeight="false" outlineLevel="0" collapsed="false">
      <c r="A1402" s="62" t="n">
        <v>0</v>
      </c>
      <c r="B1402" s="21" t="s">
        <v>336</v>
      </c>
      <c r="C1402" s="62" t="s">
        <v>60</v>
      </c>
      <c r="D1402" s="62" t="s">
        <v>381</v>
      </c>
      <c r="E1402" s="62" t="s">
        <v>67</v>
      </c>
      <c r="F1402" s="62" t="s">
        <v>382</v>
      </c>
      <c r="G1402" s="63" t="s">
        <v>481</v>
      </c>
      <c r="H1402" s="64" t="n">
        <v>18500</v>
      </c>
      <c r="I1402" s="62"/>
      <c r="J1402" s="64" t="n">
        <v>18500</v>
      </c>
      <c r="K1402" s="62"/>
      <c r="L1402" s="68" t="b">
        <f aca="false">TRUE()</f>
        <v>1</v>
      </c>
    </row>
    <row r="1403" customFormat="false" ht="15" hidden="false" customHeight="false" outlineLevel="0" collapsed="false">
      <c r="A1403" s="62" t="n">
        <v>0</v>
      </c>
      <c r="B1403" s="21" t="s">
        <v>336</v>
      </c>
      <c r="C1403" s="62" t="s">
        <v>60</v>
      </c>
      <c r="D1403" s="62" t="s">
        <v>383</v>
      </c>
      <c r="E1403" s="62" t="s">
        <v>67</v>
      </c>
      <c r="F1403" s="62" t="s">
        <v>382</v>
      </c>
      <c r="G1403" s="63" t="s">
        <v>481</v>
      </c>
      <c r="H1403" s="64" t="n">
        <v>18500</v>
      </c>
      <c r="I1403" s="62"/>
      <c r="J1403" s="64" t="n">
        <v>18500</v>
      </c>
      <c r="K1403" s="62"/>
      <c r="L1403" s="68" t="b">
        <f aca="false">TRUE()</f>
        <v>1</v>
      </c>
    </row>
    <row r="1404" customFormat="false" ht="15" hidden="false" customHeight="false" outlineLevel="0" collapsed="false">
      <c r="A1404" s="62" t="n">
        <v>0</v>
      </c>
      <c r="B1404" s="21" t="s">
        <v>336</v>
      </c>
      <c r="C1404" s="62" t="s">
        <v>60</v>
      </c>
      <c r="D1404" s="62" t="s">
        <v>384</v>
      </c>
      <c r="E1404" s="62" t="s">
        <v>67</v>
      </c>
      <c r="F1404" s="62" t="s">
        <v>382</v>
      </c>
      <c r="G1404" s="63" t="s">
        <v>481</v>
      </c>
      <c r="H1404" s="64" t="n">
        <v>18500</v>
      </c>
      <c r="I1404" s="62"/>
      <c r="J1404" s="64" t="n">
        <v>18500</v>
      </c>
      <c r="K1404" s="62"/>
      <c r="L1404" s="68" t="b">
        <f aca="false">TRUE()</f>
        <v>1</v>
      </c>
    </row>
    <row r="1405" customFormat="false" ht="15" hidden="false" customHeight="false" outlineLevel="0" collapsed="false">
      <c r="A1405" s="62" t="n">
        <v>0</v>
      </c>
      <c r="B1405" s="21" t="s">
        <v>336</v>
      </c>
      <c r="C1405" s="62" t="s">
        <v>60</v>
      </c>
      <c r="D1405" s="62" t="s">
        <v>385</v>
      </c>
      <c r="E1405" s="62" t="s">
        <v>67</v>
      </c>
      <c r="F1405" s="62" t="s">
        <v>382</v>
      </c>
      <c r="G1405" s="63" t="s">
        <v>481</v>
      </c>
      <c r="H1405" s="64" t="n">
        <v>18500</v>
      </c>
      <c r="I1405" s="62"/>
      <c r="J1405" s="64" t="n">
        <v>18500</v>
      </c>
      <c r="K1405" s="62"/>
      <c r="L1405" s="68" t="b">
        <f aca="false">TRUE()</f>
        <v>1</v>
      </c>
    </row>
    <row r="1406" customFormat="false" ht="15" hidden="false" customHeight="false" outlineLevel="0" collapsed="false">
      <c r="A1406" s="62" t="n">
        <v>0</v>
      </c>
      <c r="B1406" s="21" t="s">
        <v>336</v>
      </c>
      <c r="C1406" s="62" t="s">
        <v>60</v>
      </c>
      <c r="D1406" s="62" t="s">
        <v>386</v>
      </c>
      <c r="E1406" s="62" t="s">
        <v>67</v>
      </c>
      <c r="F1406" s="62" t="s">
        <v>382</v>
      </c>
      <c r="G1406" s="63" t="s">
        <v>481</v>
      </c>
      <c r="H1406" s="64" t="n">
        <v>18500</v>
      </c>
      <c r="I1406" s="62"/>
      <c r="J1406" s="64" t="n">
        <v>18500</v>
      </c>
      <c r="K1406" s="62"/>
      <c r="L1406" s="68" t="b">
        <f aca="false">TRUE()</f>
        <v>1</v>
      </c>
    </row>
    <row r="1407" customFormat="false" ht="15" hidden="false" customHeight="false" outlineLevel="0" collapsed="false">
      <c r="A1407" s="62" t="n">
        <v>0</v>
      </c>
      <c r="B1407" s="21" t="s">
        <v>336</v>
      </c>
      <c r="C1407" s="62" t="s">
        <v>60</v>
      </c>
      <c r="D1407" s="62" t="s">
        <v>387</v>
      </c>
      <c r="E1407" s="62" t="s">
        <v>67</v>
      </c>
      <c r="F1407" s="62" t="s">
        <v>382</v>
      </c>
      <c r="G1407" s="63" t="s">
        <v>481</v>
      </c>
      <c r="H1407" s="64" t="n">
        <v>18500</v>
      </c>
      <c r="I1407" s="62"/>
      <c r="J1407" s="64" t="n">
        <v>18500</v>
      </c>
      <c r="K1407" s="62"/>
      <c r="L1407" s="68" t="b">
        <f aca="false">TRUE()</f>
        <v>1</v>
      </c>
    </row>
    <row r="1408" customFormat="false" ht="15" hidden="false" customHeight="false" outlineLevel="0" collapsed="false">
      <c r="A1408" s="62" t="n">
        <v>0</v>
      </c>
      <c r="B1408" s="21" t="s">
        <v>336</v>
      </c>
      <c r="C1408" s="62" t="s">
        <v>60</v>
      </c>
      <c r="D1408" s="62" t="s">
        <v>388</v>
      </c>
      <c r="E1408" s="62" t="s">
        <v>67</v>
      </c>
      <c r="F1408" s="62" t="s">
        <v>382</v>
      </c>
      <c r="G1408" s="63" t="s">
        <v>481</v>
      </c>
      <c r="H1408" s="64" t="n">
        <v>18500</v>
      </c>
      <c r="I1408" s="62"/>
      <c r="J1408" s="64" t="n">
        <v>18500</v>
      </c>
      <c r="K1408" s="62"/>
      <c r="L1408" s="68" t="b">
        <f aca="false">TRUE()</f>
        <v>1</v>
      </c>
    </row>
    <row r="1409" customFormat="false" ht="15" hidden="false" customHeight="false" outlineLevel="0" collapsed="false">
      <c r="A1409" s="62" t="n">
        <v>0</v>
      </c>
      <c r="B1409" s="21" t="s">
        <v>336</v>
      </c>
      <c r="C1409" s="62" t="s">
        <v>60</v>
      </c>
      <c r="D1409" s="62" t="s">
        <v>381</v>
      </c>
      <c r="E1409" s="62" t="s">
        <v>67</v>
      </c>
      <c r="F1409" s="62" t="s">
        <v>382</v>
      </c>
      <c r="G1409" s="63" t="s">
        <v>482</v>
      </c>
      <c r="H1409" s="64" t="n">
        <v>3</v>
      </c>
      <c r="I1409" s="62"/>
      <c r="J1409" s="64" t="n">
        <v>3</v>
      </c>
      <c r="K1409" s="62"/>
      <c r="L1409" s="68" t="b">
        <f aca="false">TRUE()</f>
        <v>1</v>
      </c>
    </row>
    <row r="1410" customFormat="false" ht="15" hidden="false" customHeight="false" outlineLevel="0" collapsed="false">
      <c r="A1410" s="62" t="n">
        <v>0</v>
      </c>
      <c r="B1410" s="21" t="s">
        <v>336</v>
      </c>
      <c r="C1410" s="62" t="s">
        <v>60</v>
      </c>
      <c r="D1410" s="62" t="s">
        <v>383</v>
      </c>
      <c r="E1410" s="62" t="s">
        <v>67</v>
      </c>
      <c r="F1410" s="62" t="s">
        <v>382</v>
      </c>
      <c r="G1410" s="63" t="s">
        <v>482</v>
      </c>
      <c r="H1410" s="64" t="n">
        <v>3</v>
      </c>
      <c r="I1410" s="62"/>
      <c r="J1410" s="64" t="n">
        <v>3</v>
      </c>
      <c r="K1410" s="62"/>
      <c r="L1410" s="68" t="b">
        <f aca="false">TRUE()</f>
        <v>1</v>
      </c>
    </row>
    <row r="1411" customFormat="false" ht="15" hidden="false" customHeight="false" outlineLevel="0" collapsed="false">
      <c r="A1411" s="62" t="n">
        <v>0</v>
      </c>
      <c r="B1411" s="21" t="s">
        <v>336</v>
      </c>
      <c r="C1411" s="62" t="s">
        <v>60</v>
      </c>
      <c r="D1411" s="62" t="s">
        <v>384</v>
      </c>
      <c r="E1411" s="62" t="s">
        <v>67</v>
      </c>
      <c r="F1411" s="62" t="s">
        <v>382</v>
      </c>
      <c r="G1411" s="63" t="s">
        <v>482</v>
      </c>
      <c r="H1411" s="64" t="n">
        <v>3</v>
      </c>
      <c r="I1411" s="62"/>
      <c r="J1411" s="64" t="n">
        <v>3</v>
      </c>
      <c r="K1411" s="62"/>
      <c r="L1411" s="68" t="b">
        <f aca="false">TRUE()</f>
        <v>1</v>
      </c>
    </row>
    <row r="1412" customFormat="false" ht="15" hidden="false" customHeight="false" outlineLevel="0" collapsed="false">
      <c r="A1412" s="62" t="n">
        <v>0</v>
      </c>
      <c r="B1412" s="21" t="s">
        <v>336</v>
      </c>
      <c r="C1412" s="62" t="s">
        <v>60</v>
      </c>
      <c r="D1412" s="62" t="s">
        <v>385</v>
      </c>
      <c r="E1412" s="62" t="s">
        <v>67</v>
      </c>
      <c r="F1412" s="62" t="s">
        <v>382</v>
      </c>
      <c r="G1412" s="63" t="s">
        <v>482</v>
      </c>
      <c r="H1412" s="64" t="n">
        <v>3</v>
      </c>
      <c r="I1412" s="62"/>
      <c r="J1412" s="64" t="n">
        <v>3</v>
      </c>
      <c r="K1412" s="62"/>
      <c r="L1412" s="68" t="b">
        <f aca="false">TRUE()</f>
        <v>1</v>
      </c>
    </row>
    <row r="1413" customFormat="false" ht="15" hidden="false" customHeight="false" outlineLevel="0" collapsed="false">
      <c r="A1413" s="62" t="n">
        <v>0</v>
      </c>
      <c r="B1413" s="21" t="s">
        <v>336</v>
      </c>
      <c r="C1413" s="62" t="s">
        <v>60</v>
      </c>
      <c r="D1413" s="62" t="s">
        <v>386</v>
      </c>
      <c r="E1413" s="62" t="s">
        <v>67</v>
      </c>
      <c r="F1413" s="62" t="s">
        <v>382</v>
      </c>
      <c r="G1413" s="63" t="s">
        <v>482</v>
      </c>
      <c r="H1413" s="64" t="n">
        <v>3</v>
      </c>
      <c r="I1413" s="62"/>
      <c r="J1413" s="64" t="n">
        <v>3</v>
      </c>
      <c r="K1413" s="62"/>
      <c r="L1413" s="68" t="b">
        <f aca="false">TRUE()</f>
        <v>1</v>
      </c>
    </row>
    <row r="1414" customFormat="false" ht="15" hidden="false" customHeight="false" outlineLevel="0" collapsed="false">
      <c r="A1414" s="62" t="n">
        <v>0</v>
      </c>
      <c r="B1414" s="21" t="s">
        <v>336</v>
      </c>
      <c r="C1414" s="62" t="s">
        <v>60</v>
      </c>
      <c r="D1414" s="62" t="s">
        <v>387</v>
      </c>
      <c r="E1414" s="62" t="s">
        <v>67</v>
      </c>
      <c r="F1414" s="62" t="s">
        <v>382</v>
      </c>
      <c r="G1414" s="63" t="s">
        <v>482</v>
      </c>
      <c r="H1414" s="64" t="n">
        <v>3</v>
      </c>
      <c r="I1414" s="62"/>
      <c r="J1414" s="64" t="n">
        <v>3</v>
      </c>
      <c r="K1414" s="62"/>
      <c r="L1414" s="68" t="b">
        <f aca="false">TRUE()</f>
        <v>1</v>
      </c>
    </row>
    <row r="1415" customFormat="false" ht="15" hidden="false" customHeight="false" outlineLevel="0" collapsed="false">
      <c r="A1415" s="62" t="n">
        <v>0</v>
      </c>
      <c r="B1415" s="21" t="s">
        <v>336</v>
      </c>
      <c r="C1415" s="62" t="s">
        <v>60</v>
      </c>
      <c r="D1415" s="62" t="s">
        <v>388</v>
      </c>
      <c r="E1415" s="62" t="s">
        <v>67</v>
      </c>
      <c r="F1415" s="62" t="s">
        <v>382</v>
      </c>
      <c r="G1415" s="63" t="s">
        <v>482</v>
      </c>
      <c r="H1415" s="64" t="n">
        <v>3</v>
      </c>
      <c r="I1415" s="62"/>
      <c r="J1415" s="64" t="n">
        <v>3</v>
      </c>
      <c r="K1415" s="62"/>
      <c r="L1415" s="68" t="b">
        <f aca="false">TRUE()</f>
        <v>1</v>
      </c>
    </row>
    <row r="1416" customFormat="false" ht="15" hidden="false" customHeight="false" outlineLevel="0" collapsed="false">
      <c r="A1416" s="62" t="n">
        <v>0</v>
      </c>
      <c r="B1416" s="21" t="s">
        <v>336</v>
      </c>
      <c r="C1416" s="62" t="s">
        <v>60</v>
      </c>
      <c r="D1416" s="62" t="s">
        <v>381</v>
      </c>
      <c r="E1416" s="62" t="s">
        <v>67</v>
      </c>
      <c r="F1416" s="62" t="s">
        <v>382</v>
      </c>
      <c r="G1416" s="63" t="s">
        <v>483</v>
      </c>
      <c r="H1416" s="64" t="s">
        <v>29</v>
      </c>
      <c r="I1416" s="62"/>
      <c r="J1416" s="64" t="s">
        <v>29</v>
      </c>
      <c r="K1416" s="62"/>
      <c r="L1416" s="68" t="b">
        <f aca="false">TRUE()</f>
        <v>1</v>
      </c>
    </row>
    <row r="1417" customFormat="false" ht="15" hidden="false" customHeight="false" outlineLevel="0" collapsed="false">
      <c r="A1417" s="62" t="n">
        <v>0</v>
      </c>
      <c r="B1417" s="21" t="s">
        <v>336</v>
      </c>
      <c r="C1417" s="62" t="s">
        <v>60</v>
      </c>
      <c r="D1417" s="62" t="s">
        <v>383</v>
      </c>
      <c r="E1417" s="62" t="s">
        <v>67</v>
      </c>
      <c r="F1417" s="62" t="s">
        <v>382</v>
      </c>
      <c r="G1417" s="63" t="s">
        <v>483</v>
      </c>
      <c r="H1417" s="64" t="s">
        <v>29</v>
      </c>
      <c r="I1417" s="62"/>
      <c r="J1417" s="64" t="s">
        <v>29</v>
      </c>
      <c r="K1417" s="62"/>
      <c r="L1417" s="68" t="b">
        <f aca="false">TRUE()</f>
        <v>1</v>
      </c>
    </row>
    <row r="1418" customFormat="false" ht="15" hidden="false" customHeight="false" outlineLevel="0" collapsed="false">
      <c r="A1418" s="62" t="n">
        <v>0</v>
      </c>
      <c r="B1418" s="21" t="s">
        <v>336</v>
      </c>
      <c r="C1418" s="62" t="s">
        <v>60</v>
      </c>
      <c r="D1418" s="62" t="s">
        <v>384</v>
      </c>
      <c r="E1418" s="62" t="s">
        <v>67</v>
      </c>
      <c r="F1418" s="62" t="s">
        <v>382</v>
      </c>
      <c r="G1418" s="63" t="s">
        <v>483</v>
      </c>
      <c r="H1418" s="64" t="s">
        <v>29</v>
      </c>
      <c r="I1418" s="62"/>
      <c r="J1418" s="64" t="s">
        <v>29</v>
      </c>
      <c r="K1418" s="62"/>
      <c r="L1418" s="68" t="b">
        <f aca="false">TRUE()</f>
        <v>1</v>
      </c>
    </row>
    <row r="1419" customFormat="false" ht="15" hidden="false" customHeight="false" outlineLevel="0" collapsed="false">
      <c r="A1419" s="62" t="n">
        <v>0</v>
      </c>
      <c r="B1419" s="21" t="s">
        <v>336</v>
      </c>
      <c r="C1419" s="62" t="s">
        <v>60</v>
      </c>
      <c r="D1419" s="62" t="s">
        <v>385</v>
      </c>
      <c r="E1419" s="62" t="s">
        <v>67</v>
      </c>
      <c r="F1419" s="62" t="s">
        <v>382</v>
      </c>
      <c r="G1419" s="63" t="s">
        <v>483</v>
      </c>
      <c r="H1419" s="64" t="s">
        <v>29</v>
      </c>
      <c r="I1419" s="62"/>
      <c r="J1419" s="64" t="s">
        <v>29</v>
      </c>
      <c r="K1419" s="62"/>
      <c r="L1419" s="68" t="b">
        <f aca="false">TRUE()</f>
        <v>1</v>
      </c>
    </row>
    <row r="1420" customFormat="false" ht="15" hidden="false" customHeight="false" outlineLevel="0" collapsed="false">
      <c r="A1420" s="62" t="n">
        <v>0</v>
      </c>
      <c r="B1420" s="21" t="s">
        <v>336</v>
      </c>
      <c r="C1420" s="62" t="s">
        <v>60</v>
      </c>
      <c r="D1420" s="62" t="s">
        <v>386</v>
      </c>
      <c r="E1420" s="62" t="s">
        <v>67</v>
      </c>
      <c r="F1420" s="62" t="s">
        <v>382</v>
      </c>
      <c r="G1420" s="63" t="s">
        <v>483</v>
      </c>
      <c r="H1420" s="64" t="s">
        <v>29</v>
      </c>
      <c r="I1420" s="62"/>
      <c r="J1420" s="64" t="s">
        <v>29</v>
      </c>
      <c r="K1420" s="62"/>
      <c r="L1420" s="68" t="b">
        <f aca="false">TRUE()</f>
        <v>1</v>
      </c>
    </row>
    <row r="1421" customFormat="false" ht="15" hidden="false" customHeight="false" outlineLevel="0" collapsed="false">
      <c r="A1421" s="62" t="n">
        <v>0</v>
      </c>
      <c r="B1421" s="21" t="s">
        <v>336</v>
      </c>
      <c r="C1421" s="62" t="s">
        <v>60</v>
      </c>
      <c r="D1421" s="62" t="s">
        <v>387</v>
      </c>
      <c r="E1421" s="62" t="s">
        <v>67</v>
      </c>
      <c r="F1421" s="62" t="s">
        <v>382</v>
      </c>
      <c r="G1421" s="63" t="s">
        <v>483</v>
      </c>
      <c r="H1421" s="64" t="s">
        <v>29</v>
      </c>
      <c r="I1421" s="62"/>
      <c r="J1421" s="64" t="s">
        <v>29</v>
      </c>
      <c r="K1421" s="62"/>
      <c r="L1421" s="68" t="b">
        <f aca="false">TRUE()</f>
        <v>1</v>
      </c>
    </row>
    <row r="1422" customFormat="false" ht="15" hidden="false" customHeight="false" outlineLevel="0" collapsed="false">
      <c r="A1422" s="62" t="n">
        <v>0</v>
      </c>
      <c r="B1422" s="21" t="s">
        <v>336</v>
      </c>
      <c r="C1422" s="62" t="s">
        <v>60</v>
      </c>
      <c r="D1422" s="62" t="s">
        <v>388</v>
      </c>
      <c r="E1422" s="62" t="s">
        <v>67</v>
      </c>
      <c r="F1422" s="62" t="s">
        <v>382</v>
      </c>
      <c r="G1422" s="63" t="s">
        <v>483</v>
      </c>
      <c r="H1422" s="64" t="s">
        <v>29</v>
      </c>
      <c r="I1422" s="62"/>
      <c r="J1422" s="64" t="s">
        <v>29</v>
      </c>
      <c r="K1422" s="62"/>
      <c r="L1422" s="68" t="b">
        <f aca="false">TRUE()</f>
        <v>1</v>
      </c>
    </row>
    <row r="1423" customFormat="false" ht="15" hidden="false" customHeight="false" outlineLevel="0" collapsed="false">
      <c r="A1423" s="62" t="n">
        <v>0</v>
      </c>
      <c r="B1423" s="21" t="s">
        <v>336</v>
      </c>
      <c r="C1423" s="62" t="s">
        <v>60</v>
      </c>
      <c r="D1423" s="62" t="s">
        <v>381</v>
      </c>
      <c r="E1423" s="62" t="s">
        <v>67</v>
      </c>
      <c r="F1423" s="62" t="s">
        <v>382</v>
      </c>
      <c r="G1423" s="63" t="s">
        <v>484</v>
      </c>
      <c r="H1423" s="64" t="n">
        <v>725</v>
      </c>
      <c r="I1423" s="62"/>
      <c r="J1423" s="64" t="n">
        <v>725</v>
      </c>
      <c r="K1423" s="62"/>
      <c r="L1423" s="68" t="b">
        <f aca="false">TRUE()</f>
        <v>1</v>
      </c>
    </row>
    <row r="1424" customFormat="false" ht="15" hidden="false" customHeight="false" outlineLevel="0" collapsed="false">
      <c r="A1424" s="62" t="n">
        <v>0</v>
      </c>
      <c r="B1424" s="21" t="s">
        <v>336</v>
      </c>
      <c r="C1424" s="62" t="s">
        <v>60</v>
      </c>
      <c r="D1424" s="62" t="s">
        <v>383</v>
      </c>
      <c r="E1424" s="62" t="s">
        <v>67</v>
      </c>
      <c r="F1424" s="62" t="s">
        <v>382</v>
      </c>
      <c r="G1424" s="63" t="s">
        <v>484</v>
      </c>
      <c r="H1424" s="64" t="n">
        <v>725</v>
      </c>
      <c r="I1424" s="62"/>
      <c r="J1424" s="64" t="n">
        <v>725</v>
      </c>
      <c r="K1424" s="62"/>
      <c r="L1424" s="68" t="b">
        <f aca="false">TRUE()</f>
        <v>1</v>
      </c>
    </row>
    <row r="1425" customFormat="false" ht="15" hidden="false" customHeight="false" outlineLevel="0" collapsed="false">
      <c r="A1425" s="62" t="n">
        <v>0</v>
      </c>
      <c r="B1425" s="21" t="s">
        <v>336</v>
      </c>
      <c r="C1425" s="62" t="s">
        <v>60</v>
      </c>
      <c r="D1425" s="62" t="s">
        <v>384</v>
      </c>
      <c r="E1425" s="62" t="s">
        <v>67</v>
      </c>
      <c r="F1425" s="62" t="s">
        <v>382</v>
      </c>
      <c r="G1425" s="63" t="s">
        <v>484</v>
      </c>
      <c r="H1425" s="64" t="n">
        <v>725</v>
      </c>
      <c r="I1425" s="62"/>
      <c r="J1425" s="64" t="n">
        <v>725</v>
      </c>
      <c r="K1425" s="62"/>
      <c r="L1425" s="68" t="b">
        <f aca="false">TRUE()</f>
        <v>1</v>
      </c>
    </row>
    <row r="1426" customFormat="false" ht="15" hidden="false" customHeight="false" outlineLevel="0" collapsed="false">
      <c r="A1426" s="62" t="n">
        <v>0</v>
      </c>
      <c r="B1426" s="21" t="s">
        <v>336</v>
      </c>
      <c r="C1426" s="62" t="s">
        <v>60</v>
      </c>
      <c r="D1426" s="62" t="s">
        <v>385</v>
      </c>
      <c r="E1426" s="62" t="s">
        <v>67</v>
      </c>
      <c r="F1426" s="62" t="s">
        <v>382</v>
      </c>
      <c r="G1426" s="63" t="s">
        <v>484</v>
      </c>
      <c r="H1426" s="64" t="n">
        <v>725</v>
      </c>
      <c r="I1426" s="62"/>
      <c r="J1426" s="64" t="n">
        <v>725</v>
      </c>
      <c r="K1426" s="62"/>
      <c r="L1426" s="68" t="b">
        <f aca="false">TRUE()</f>
        <v>1</v>
      </c>
    </row>
    <row r="1427" customFormat="false" ht="15" hidden="false" customHeight="false" outlineLevel="0" collapsed="false">
      <c r="A1427" s="62" t="n">
        <v>0</v>
      </c>
      <c r="B1427" s="21" t="s">
        <v>336</v>
      </c>
      <c r="C1427" s="62" t="s">
        <v>60</v>
      </c>
      <c r="D1427" s="62" t="s">
        <v>386</v>
      </c>
      <c r="E1427" s="62" t="s">
        <v>67</v>
      </c>
      <c r="F1427" s="62" t="s">
        <v>382</v>
      </c>
      <c r="G1427" s="63" t="s">
        <v>484</v>
      </c>
      <c r="H1427" s="64" t="n">
        <v>725</v>
      </c>
      <c r="I1427" s="62"/>
      <c r="J1427" s="64" t="n">
        <v>725</v>
      </c>
      <c r="K1427" s="62"/>
      <c r="L1427" s="68" t="b">
        <f aca="false">TRUE()</f>
        <v>1</v>
      </c>
    </row>
    <row r="1428" customFormat="false" ht="15" hidden="false" customHeight="false" outlineLevel="0" collapsed="false">
      <c r="A1428" s="62" t="n">
        <v>0</v>
      </c>
      <c r="B1428" s="21" t="s">
        <v>336</v>
      </c>
      <c r="C1428" s="62" t="s">
        <v>60</v>
      </c>
      <c r="D1428" s="62" t="s">
        <v>387</v>
      </c>
      <c r="E1428" s="62" t="s">
        <v>67</v>
      </c>
      <c r="F1428" s="62" t="s">
        <v>382</v>
      </c>
      <c r="G1428" s="63" t="s">
        <v>484</v>
      </c>
      <c r="H1428" s="64" t="n">
        <v>725</v>
      </c>
      <c r="I1428" s="62"/>
      <c r="J1428" s="64" t="n">
        <v>725</v>
      </c>
      <c r="K1428" s="62"/>
      <c r="L1428" s="68" t="b">
        <f aca="false">TRUE()</f>
        <v>1</v>
      </c>
    </row>
    <row r="1429" customFormat="false" ht="15" hidden="false" customHeight="false" outlineLevel="0" collapsed="false">
      <c r="A1429" s="62" t="n">
        <v>0</v>
      </c>
      <c r="B1429" s="21" t="s">
        <v>336</v>
      </c>
      <c r="C1429" s="62" t="s">
        <v>60</v>
      </c>
      <c r="D1429" s="62" t="s">
        <v>388</v>
      </c>
      <c r="E1429" s="62" t="s">
        <v>67</v>
      </c>
      <c r="F1429" s="62" t="s">
        <v>382</v>
      </c>
      <c r="G1429" s="63" t="s">
        <v>484</v>
      </c>
      <c r="H1429" s="64" t="n">
        <v>725</v>
      </c>
      <c r="I1429" s="62"/>
      <c r="J1429" s="64" t="n">
        <v>725</v>
      </c>
      <c r="K1429" s="62"/>
      <c r="L1429" s="68" t="b">
        <f aca="false">TRUE()</f>
        <v>1</v>
      </c>
    </row>
    <row r="1430" customFormat="false" ht="15" hidden="false" customHeight="false" outlineLevel="0" collapsed="false">
      <c r="A1430" s="62" t="n">
        <v>0</v>
      </c>
      <c r="B1430" s="21" t="s">
        <v>336</v>
      </c>
      <c r="C1430" s="62" t="s">
        <v>60</v>
      </c>
      <c r="D1430" s="62" t="s">
        <v>381</v>
      </c>
      <c r="E1430" s="62" t="s">
        <v>67</v>
      </c>
      <c r="F1430" s="62" t="s">
        <v>382</v>
      </c>
      <c r="G1430" s="63" t="s">
        <v>485</v>
      </c>
      <c r="H1430" s="64" t="n">
        <v>725</v>
      </c>
      <c r="I1430" s="62"/>
      <c r="J1430" s="64" t="n">
        <v>725</v>
      </c>
      <c r="K1430" s="62"/>
      <c r="L1430" s="68" t="b">
        <f aca="false">TRUE()</f>
        <v>1</v>
      </c>
    </row>
    <row r="1431" customFormat="false" ht="15" hidden="false" customHeight="false" outlineLevel="0" collapsed="false">
      <c r="A1431" s="62" t="n">
        <v>0</v>
      </c>
      <c r="B1431" s="21" t="s">
        <v>336</v>
      </c>
      <c r="C1431" s="62" t="s">
        <v>60</v>
      </c>
      <c r="D1431" s="62" t="s">
        <v>383</v>
      </c>
      <c r="E1431" s="62" t="s">
        <v>67</v>
      </c>
      <c r="F1431" s="62" t="s">
        <v>382</v>
      </c>
      <c r="G1431" s="63" t="s">
        <v>485</v>
      </c>
      <c r="H1431" s="64" t="n">
        <v>725</v>
      </c>
      <c r="I1431" s="62"/>
      <c r="J1431" s="64" t="n">
        <v>725</v>
      </c>
      <c r="K1431" s="62"/>
      <c r="L1431" s="68" t="b">
        <f aca="false">TRUE()</f>
        <v>1</v>
      </c>
    </row>
    <row r="1432" customFormat="false" ht="15" hidden="false" customHeight="false" outlineLevel="0" collapsed="false">
      <c r="A1432" s="62" t="n">
        <v>0</v>
      </c>
      <c r="B1432" s="21" t="s">
        <v>336</v>
      </c>
      <c r="C1432" s="62" t="s">
        <v>60</v>
      </c>
      <c r="D1432" s="62" t="s">
        <v>384</v>
      </c>
      <c r="E1432" s="62" t="s">
        <v>67</v>
      </c>
      <c r="F1432" s="62" t="s">
        <v>382</v>
      </c>
      <c r="G1432" s="63" t="s">
        <v>485</v>
      </c>
      <c r="H1432" s="64" t="n">
        <v>725</v>
      </c>
      <c r="I1432" s="62"/>
      <c r="J1432" s="64" t="n">
        <v>725</v>
      </c>
      <c r="K1432" s="62"/>
      <c r="L1432" s="68" t="b">
        <f aca="false">TRUE()</f>
        <v>1</v>
      </c>
    </row>
    <row r="1433" customFormat="false" ht="15" hidden="false" customHeight="false" outlineLevel="0" collapsed="false">
      <c r="A1433" s="62" t="n">
        <v>0</v>
      </c>
      <c r="B1433" s="21" t="s">
        <v>336</v>
      </c>
      <c r="C1433" s="62" t="s">
        <v>60</v>
      </c>
      <c r="D1433" s="62" t="s">
        <v>385</v>
      </c>
      <c r="E1433" s="62" t="s">
        <v>67</v>
      </c>
      <c r="F1433" s="62" t="s">
        <v>382</v>
      </c>
      <c r="G1433" s="63" t="s">
        <v>485</v>
      </c>
      <c r="H1433" s="64" t="n">
        <v>725</v>
      </c>
      <c r="I1433" s="62"/>
      <c r="J1433" s="64" t="n">
        <v>725</v>
      </c>
      <c r="K1433" s="62"/>
      <c r="L1433" s="68" t="b">
        <f aca="false">TRUE()</f>
        <v>1</v>
      </c>
    </row>
    <row r="1434" customFormat="false" ht="15" hidden="false" customHeight="false" outlineLevel="0" collapsed="false">
      <c r="A1434" s="62" t="n">
        <v>0</v>
      </c>
      <c r="B1434" s="21" t="s">
        <v>336</v>
      </c>
      <c r="C1434" s="62" t="s">
        <v>60</v>
      </c>
      <c r="D1434" s="62" t="s">
        <v>386</v>
      </c>
      <c r="E1434" s="62" t="s">
        <v>67</v>
      </c>
      <c r="F1434" s="62" t="s">
        <v>382</v>
      </c>
      <c r="G1434" s="63" t="s">
        <v>485</v>
      </c>
      <c r="H1434" s="64" t="n">
        <v>725</v>
      </c>
      <c r="I1434" s="62"/>
      <c r="J1434" s="64" t="n">
        <v>725</v>
      </c>
      <c r="K1434" s="62"/>
      <c r="L1434" s="68" t="b">
        <f aca="false">TRUE()</f>
        <v>1</v>
      </c>
    </row>
    <row r="1435" customFormat="false" ht="15" hidden="false" customHeight="false" outlineLevel="0" collapsed="false">
      <c r="A1435" s="62" t="n">
        <v>0</v>
      </c>
      <c r="B1435" s="21" t="s">
        <v>336</v>
      </c>
      <c r="C1435" s="62" t="s">
        <v>60</v>
      </c>
      <c r="D1435" s="62" t="s">
        <v>387</v>
      </c>
      <c r="E1435" s="62" t="s">
        <v>67</v>
      </c>
      <c r="F1435" s="62" t="s">
        <v>382</v>
      </c>
      <c r="G1435" s="63" t="s">
        <v>485</v>
      </c>
      <c r="H1435" s="64" t="n">
        <v>725</v>
      </c>
      <c r="I1435" s="62"/>
      <c r="J1435" s="64" t="n">
        <v>725</v>
      </c>
      <c r="K1435" s="62"/>
      <c r="L1435" s="68" t="b">
        <f aca="false">TRUE()</f>
        <v>1</v>
      </c>
    </row>
    <row r="1436" customFormat="false" ht="15" hidden="false" customHeight="false" outlineLevel="0" collapsed="false">
      <c r="A1436" s="62" t="n">
        <v>0</v>
      </c>
      <c r="B1436" s="21" t="s">
        <v>336</v>
      </c>
      <c r="C1436" s="62" t="s">
        <v>60</v>
      </c>
      <c r="D1436" s="62" t="s">
        <v>388</v>
      </c>
      <c r="E1436" s="62" t="s">
        <v>67</v>
      </c>
      <c r="F1436" s="62" t="s">
        <v>382</v>
      </c>
      <c r="G1436" s="63" t="s">
        <v>485</v>
      </c>
      <c r="H1436" s="64" t="n">
        <v>725</v>
      </c>
      <c r="I1436" s="62"/>
      <c r="J1436" s="64" t="n">
        <v>725</v>
      </c>
      <c r="K1436" s="62"/>
      <c r="L1436" s="68" t="b">
        <f aca="false">TRUE()</f>
        <v>1</v>
      </c>
    </row>
    <row r="1437" customFormat="false" ht="15" hidden="false" customHeight="false" outlineLevel="0" collapsed="false">
      <c r="A1437" s="62" t="n">
        <v>0</v>
      </c>
      <c r="B1437" s="21" t="s">
        <v>336</v>
      </c>
      <c r="C1437" s="62" t="s">
        <v>60</v>
      </c>
      <c r="D1437" s="62" t="s">
        <v>381</v>
      </c>
      <c r="E1437" s="62" t="s">
        <v>67</v>
      </c>
      <c r="F1437" s="62" t="s">
        <v>92</v>
      </c>
      <c r="G1437" s="63" t="s">
        <v>479</v>
      </c>
      <c r="H1437" s="64" t="n">
        <v>0.142857142857143</v>
      </c>
      <c r="I1437" s="62" t="s">
        <v>878</v>
      </c>
      <c r="J1437" s="64" t="n">
        <v>14.2857142857143</v>
      </c>
      <c r="K1437" s="62" t="s">
        <v>42</v>
      </c>
      <c r="L1437" s="68" t="b">
        <f aca="false">TRUE()</f>
        <v>1</v>
      </c>
    </row>
    <row r="1438" customFormat="false" ht="15" hidden="false" customHeight="false" outlineLevel="0" collapsed="false">
      <c r="A1438" s="62" t="n">
        <v>0</v>
      </c>
      <c r="B1438" s="21" t="s">
        <v>336</v>
      </c>
      <c r="C1438" s="62" t="s">
        <v>60</v>
      </c>
      <c r="D1438" s="62" t="s">
        <v>383</v>
      </c>
      <c r="E1438" s="62" t="s">
        <v>67</v>
      </c>
      <c r="F1438" s="62" t="s">
        <v>92</v>
      </c>
      <c r="G1438" s="63" t="s">
        <v>479</v>
      </c>
      <c r="H1438" s="64" t="n">
        <v>0.142857142857143</v>
      </c>
      <c r="I1438" s="62" t="s">
        <v>878</v>
      </c>
      <c r="J1438" s="64" t="n">
        <v>14.2857142857143</v>
      </c>
      <c r="K1438" s="62" t="s">
        <v>42</v>
      </c>
      <c r="L1438" s="68" t="b">
        <f aca="false">TRUE()</f>
        <v>1</v>
      </c>
    </row>
    <row r="1439" customFormat="false" ht="15" hidden="false" customHeight="false" outlineLevel="0" collapsed="false">
      <c r="A1439" s="62" t="n">
        <v>0</v>
      </c>
      <c r="B1439" s="21" t="s">
        <v>336</v>
      </c>
      <c r="C1439" s="62" t="s">
        <v>60</v>
      </c>
      <c r="D1439" s="62" t="s">
        <v>384</v>
      </c>
      <c r="E1439" s="62" t="s">
        <v>67</v>
      </c>
      <c r="F1439" s="62" t="s">
        <v>92</v>
      </c>
      <c r="G1439" s="63" t="s">
        <v>479</v>
      </c>
      <c r="H1439" s="64" t="n">
        <v>0.142857142857143</v>
      </c>
      <c r="I1439" s="62" t="s">
        <v>878</v>
      </c>
      <c r="J1439" s="64" t="n">
        <v>14.2857142857143</v>
      </c>
      <c r="K1439" s="62" t="s">
        <v>42</v>
      </c>
      <c r="L1439" s="68" t="b">
        <f aca="false">TRUE()</f>
        <v>1</v>
      </c>
    </row>
    <row r="1440" customFormat="false" ht="15" hidden="false" customHeight="false" outlineLevel="0" collapsed="false">
      <c r="A1440" s="62" t="n">
        <v>0</v>
      </c>
      <c r="B1440" s="21" t="s">
        <v>336</v>
      </c>
      <c r="C1440" s="62" t="s">
        <v>60</v>
      </c>
      <c r="D1440" s="62" t="s">
        <v>385</v>
      </c>
      <c r="E1440" s="62" t="s">
        <v>67</v>
      </c>
      <c r="F1440" s="62" t="s">
        <v>92</v>
      </c>
      <c r="G1440" s="63" t="s">
        <v>479</v>
      </c>
      <c r="H1440" s="64" t="n">
        <v>0.142857142857143</v>
      </c>
      <c r="I1440" s="62" t="s">
        <v>878</v>
      </c>
      <c r="J1440" s="64" t="n">
        <v>14.2857142857143</v>
      </c>
      <c r="K1440" s="62" t="s">
        <v>42</v>
      </c>
      <c r="L1440" s="68" t="b">
        <f aca="false">TRUE()</f>
        <v>1</v>
      </c>
    </row>
    <row r="1441" customFormat="false" ht="15" hidden="false" customHeight="false" outlineLevel="0" collapsed="false">
      <c r="A1441" s="62" t="n">
        <v>0</v>
      </c>
      <c r="B1441" s="21" t="s">
        <v>336</v>
      </c>
      <c r="C1441" s="62" t="s">
        <v>60</v>
      </c>
      <c r="D1441" s="62" t="s">
        <v>386</v>
      </c>
      <c r="E1441" s="62" t="s">
        <v>67</v>
      </c>
      <c r="F1441" s="62" t="s">
        <v>92</v>
      </c>
      <c r="G1441" s="63" t="s">
        <v>479</v>
      </c>
      <c r="H1441" s="64" t="n">
        <v>0.142857142857143</v>
      </c>
      <c r="I1441" s="62" t="s">
        <v>878</v>
      </c>
      <c r="J1441" s="64" t="n">
        <v>14.2857142857143</v>
      </c>
      <c r="K1441" s="62" t="s">
        <v>42</v>
      </c>
      <c r="L1441" s="68" t="b">
        <f aca="false">TRUE()</f>
        <v>1</v>
      </c>
    </row>
    <row r="1442" customFormat="false" ht="15" hidden="false" customHeight="false" outlineLevel="0" collapsed="false">
      <c r="A1442" s="62" t="n">
        <v>0</v>
      </c>
      <c r="B1442" s="21" t="s">
        <v>336</v>
      </c>
      <c r="C1442" s="62" t="s">
        <v>60</v>
      </c>
      <c r="D1442" s="62" t="s">
        <v>387</v>
      </c>
      <c r="E1442" s="62" t="s">
        <v>67</v>
      </c>
      <c r="F1442" s="62" t="s">
        <v>92</v>
      </c>
      <c r="G1442" s="63" t="s">
        <v>479</v>
      </c>
      <c r="H1442" s="64" t="n">
        <v>0.142857142857143</v>
      </c>
      <c r="I1442" s="62" t="s">
        <v>878</v>
      </c>
      <c r="J1442" s="64" t="n">
        <v>14.2857142857143</v>
      </c>
      <c r="K1442" s="62" t="s">
        <v>42</v>
      </c>
      <c r="L1442" s="68" t="b">
        <f aca="false">TRUE()</f>
        <v>1</v>
      </c>
    </row>
    <row r="1443" customFormat="false" ht="15" hidden="false" customHeight="false" outlineLevel="0" collapsed="false">
      <c r="A1443" s="62" t="n">
        <v>0</v>
      </c>
      <c r="B1443" s="21" t="s">
        <v>336</v>
      </c>
      <c r="C1443" s="62" t="s">
        <v>60</v>
      </c>
      <c r="D1443" s="62" t="s">
        <v>388</v>
      </c>
      <c r="E1443" s="62" t="s">
        <v>67</v>
      </c>
      <c r="F1443" s="62" t="s">
        <v>92</v>
      </c>
      <c r="G1443" s="63" t="s">
        <v>479</v>
      </c>
      <c r="H1443" s="64" t="n">
        <v>0.142857142857143</v>
      </c>
      <c r="I1443" s="62" t="s">
        <v>878</v>
      </c>
      <c r="J1443" s="64" t="n">
        <v>14.2857142857143</v>
      </c>
      <c r="K1443" s="62" t="s">
        <v>42</v>
      </c>
      <c r="L1443" s="68" t="b">
        <f aca="false">TRUE()</f>
        <v>1</v>
      </c>
    </row>
    <row r="1444" customFormat="false" ht="15" hidden="false" customHeight="false" outlineLevel="0" collapsed="false">
      <c r="A1444" s="62" t="n">
        <v>0</v>
      </c>
      <c r="B1444" s="21" t="s">
        <v>336</v>
      </c>
      <c r="C1444" s="62" t="s">
        <v>60</v>
      </c>
      <c r="D1444" s="62" t="s">
        <v>381</v>
      </c>
      <c r="E1444" s="62" t="s">
        <v>67</v>
      </c>
      <c r="F1444" s="62" t="s">
        <v>94</v>
      </c>
      <c r="G1444" s="63" t="s">
        <v>479</v>
      </c>
      <c r="H1444" s="64" t="n">
        <v>0</v>
      </c>
      <c r="I1444" s="62" t="s">
        <v>878</v>
      </c>
      <c r="J1444" s="64" t="n">
        <v>0</v>
      </c>
      <c r="K1444" s="62" t="s">
        <v>42</v>
      </c>
      <c r="L1444" s="68" t="b">
        <f aca="false">TRUE()</f>
        <v>1</v>
      </c>
    </row>
    <row r="1445" customFormat="false" ht="15" hidden="false" customHeight="false" outlineLevel="0" collapsed="false">
      <c r="A1445" s="62" t="n">
        <v>0</v>
      </c>
      <c r="B1445" s="21" t="s">
        <v>336</v>
      </c>
      <c r="C1445" s="62" t="s">
        <v>60</v>
      </c>
      <c r="D1445" s="62" t="s">
        <v>383</v>
      </c>
      <c r="E1445" s="62" t="s">
        <v>67</v>
      </c>
      <c r="F1445" s="62" t="s">
        <v>94</v>
      </c>
      <c r="G1445" s="63" t="s">
        <v>479</v>
      </c>
      <c r="H1445" s="64" t="n">
        <v>0</v>
      </c>
      <c r="I1445" s="62" t="s">
        <v>878</v>
      </c>
      <c r="J1445" s="64" t="n">
        <v>0</v>
      </c>
      <c r="K1445" s="62" t="s">
        <v>42</v>
      </c>
      <c r="L1445" s="68" t="b">
        <f aca="false">TRUE()</f>
        <v>1</v>
      </c>
    </row>
    <row r="1446" customFormat="false" ht="15" hidden="false" customHeight="false" outlineLevel="0" collapsed="false">
      <c r="A1446" s="62" t="n">
        <v>0</v>
      </c>
      <c r="B1446" s="21" t="s">
        <v>336</v>
      </c>
      <c r="C1446" s="62" t="s">
        <v>60</v>
      </c>
      <c r="D1446" s="62" t="s">
        <v>384</v>
      </c>
      <c r="E1446" s="62" t="s">
        <v>67</v>
      </c>
      <c r="F1446" s="62" t="s">
        <v>94</v>
      </c>
      <c r="G1446" s="63" t="s">
        <v>479</v>
      </c>
      <c r="H1446" s="64" t="n">
        <v>0</v>
      </c>
      <c r="I1446" s="62" t="s">
        <v>878</v>
      </c>
      <c r="J1446" s="64" t="n">
        <v>0</v>
      </c>
      <c r="K1446" s="62" t="s">
        <v>42</v>
      </c>
      <c r="L1446" s="68" t="b">
        <f aca="false">TRUE()</f>
        <v>1</v>
      </c>
    </row>
    <row r="1447" customFormat="false" ht="15" hidden="false" customHeight="false" outlineLevel="0" collapsed="false">
      <c r="A1447" s="62" t="n">
        <v>0</v>
      </c>
      <c r="B1447" s="21" t="s">
        <v>336</v>
      </c>
      <c r="C1447" s="62" t="s">
        <v>60</v>
      </c>
      <c r="D1447" s="62" t="s">
        <v>385</v>
      </c>
      <c r="E1447" s="62" t="s">
        <v>67</v>
      </c>
      <c r="F1447" s="62" t="s">
        <v>94</v>
      </c>
      <c r="G1447" s="63" t="s">
        <v>479</v>
      </c>
      <c r="H1447" s="64" t="n">
        <v>0</v>
      </c>
      <c r="I1447" s="62" t="s">
        <v>878</v>
      </c>
      <c r="J1447" s="64" t="n">
        <v>0</v>
      </c>
      <c r="K1447" s="62" t="s">
        <v>42</v>
      </c>
      <c r="L1447" s="68" t="b">
        <f aca="false">TRUE()</f>
        <v>1</v>
      </c>
    </row>
    <row r="1448" customFormat="false" ht="15" hidden="false" customHeight="false" outlineLevel="0" collapsed="false">
      <c r="A1448" s="62" t="n">
        <v>0</v>
      </c>
      <c r="B1448" s="21" t="s">
        <v>336</v>
      </c>
      <c r="C1448" s="62" t="s">
        <v>60</v>
      </c>
      <c r="D1448" s="62" t="s">
        <v>386</v>
      </c>
      <c r="E1448" s="62" t="s">
        <v>67</v>
      </c>
      <c r="F1448" s="62" t="s">
        <v>94</v>
      </c>
      <c r="G1448" s="63" t="s">
        <v>479</v>
      </c>
      <c r="H1448" s="64" t="n">
        <v>0</v>
      </c>
      <c r="I1448" s="62" t="s">
        <v>878</v>
      </c>
      <c r="J1448" s="64" t="n">
        <v>0</v>
      </c>
      <c r="K1448" s="62" t="s">
        <v>42</v>
      </c>
      <c r="L1448" s="68" t="b">
        <f aca="false">TRUE()</f>
        <v>1</v>
      </c>
    </row>
    <row r="1449" customFormat="false" ht="15" hidden="false" customHeight="false" outlineLevel="0" collapsed="false">
      <c r="A1449" s="62" t="n">
        <v>0</v>
      </c>
      <c r="B1449" s="21" t="s">
        <v>336</v>
      </c>
      <c r="C1449" s="62" t="s">
        <v>60</v>
      </c>
      <c r="D1449" s="62" t="s">
        <v>387</v>
      </c>
      <c r="E1449" s="62" t="s">
        <v>67</v>
      </c>
      <c r="F1449" s="62" t="s">
        <v>94</v>
      </c>
      <c r="G1449" s="63" t="s">
        <v>479</v>
      </c>
      <c r="H1449" s="64" t="n">
        <v>0</v>
      </c>
      <c r="I1449" s="62" t="s">
        <v>878</v>
      </c>
      <c r="J1449" s="64" t="n">
        <v>0</v>
      </c>
      <c r="K1449" s="62" t="s">
        <v>42</v>
      </c>
      <c r="L1449" s="68" t="b">
        <f aca="false">TRUE()</f>
        <v>1</v>
      </c>
    </row>
    <row r="1450" customFormat="false" ht="15" hidden="false" customHeight="false" outlineLevel="0" collapsed="false">
      <c r="A1450" s="62" t="n">
        <v>0</v>
      </c>
      <c r="B1450" s="21" t="s">
        <v>336</v>
      </c>
      <c r="C1450" s="62" t="s">
        <v>60</v>
      </c>
      <c r="D1450" s="62" t="s">
        <v>388</v>
      </c>
      <c r="E1450" s="62" t="s">
        <v>67</v>
      </c>
      <c r="F1450" s="62" t="s">
        <v>94</v>
      </c>
      <c r="G1450" s="63" t="s">
        <v>479</v>
      </c>
      <c r="H1450" s="64" t="n">
        <v>0</v>
      </c>
      <c r="I1450" s="62" t="s">
        <v>878</v>
      </c>
      <c r="J1450" s="64" t="n">
        <v>0</v>
      </c>
      <c r="K1450" s="62" t="s">
        <v>42</v>
      </c>
      <c r="L1450" s="68" t="b">
        <f aca="false">TRUE()</f>
        <v>1</v>
      </c>
    </row>
    <row r="1451" customFormat="false" ht="15" hidden="false" customHeight="false" outlineLevel="0" collapsed="false">
      <c r="A1451" s="62" t="n">
        <v>0</v>
      </c>
      <c r="B1451" s="21" t="s">
        <v>336</v>
      </c>
      <c r="C1451" s="62" t="s">
        <v>60</v>
      </c>
      <c r="D1451" s="62" t="s">
        <v>381</v>
      </c>
      <c r="E1451" s="62" t="s">
        <v>67</v>
      </c>
      <c r="F1451" s="62" t="s">
        <v>95</v>
      </c>
      <c r="G1451" s="63" t="s">
        <v>479</v>
      </c>
      <c r="H1451" s="64" t="n">
        <v>0</v>
      </c>
      <c r="I1451" s="62" t="s">
        <v>878</v>
      </c>
      <c r="J1451" s="64" t="n">
        <v>0</v>
      </c>
      <c r="K1451" s="62" t="s">
        <v>42</v>
      </c>
      <c r="L1451" s="68" t="b">
        <f aca="false">TRUE()</f>
        <v>1</v>
      </c>
    </row>
    <row r="1452" customFormat="false" ht="15" hidden="false" customHeight="false" outlineLevel="0" collapsed="false">
      <c r="A1452" s="62" t="n">
        <v>0</v>
      </c>
      <c r="B1452" s="21" t="s">
        <v>336</v>
      </c>
      <c r="C1452" s="62" t="s">
        <v>60</v>
      </c>
      <c r="D1452" s="62" t="s">
        <v>383</v>
      </c>
      <c r="E1452" s="62" t="s">
        <v>67</v>
      </c>
      <c r="F1452" s="62" t="s">
        <v>95</v>
      </c>
      <c r="G1452" s="63" t="s">
        <v>479</v>
      </c>
      <c r="H1452" s="64" t="n">
        <v>0</v>
      </c>
      <c r="I1452" s="62" t="s">
        <v>878</v>
      </c>
      <c r="J1452" s="64" t="n">
        <v>0</v>
      </c>
      <c r="K1452" s="62" t="s">
        <v>42</v>
      </c>
      <c r="L1452" s="68" t="b">
        <f aca="false">TRUE()</f>
        <v>1</v>
      </c>
    </row>
    <row r="1453" customFormat="false" ht="15" hidden="false" customHeight="false" outlineLevel="0" collapsed="false">
      <c r="A1453" s="62" t="n">
        <v>0</v>
      </c>
      <c r="B1453" s="21" t="s">
        <v>336</v>
      </c>
      <c r="C1453" s="62" t="s">
        <v>60</v>
      </c>
      <c r="D1453" s="62" t="s">
        <v>384</v>
      </c>
      <c r="E1453" s="62" t="s">
        <v>67</v>
      </c>
      <c r="F1453" s="62" t="s">
        <v>95</v>
      </c>
      <c r="G1453" s="63" t="s">
        <v>479</v>
      </c>
      <c r="H1453" s="64" t="n">
        <v>0</v>
      </c>
      <c r="I1453" s="62" t="s">
        <v>878</v>
      </c>
      <c r="J1453" s="64" t="n">
        <v>0</v>
      </c>
      <c r="K1453" s="62" t="s">
        <v>42</v>
      </c>
      <c r="L1453" s="68" t="b">
        <f aca="false">TRUE()</f>
        <v>1</v>
      </c>
    </row>
    <row r="1454" customFormat="false" ht="15" hidden="false" customHeight="false" outlineLevel="0" collapsed="false">
      <c r="A1454" s="62" t="n">
        <v>0</v>
      </c>
      <c r="B1454" s="21" t="s">
        <v>336</v>
      </c>
      <c r="C1454" s="62" t="s">
        <v>60</v>
      </c>
      <c r="D1454" s="62" t="s">
        <v>385</v>
      </c>
      <c r="E1454" s="62" t="s">
        <v>67</v>
      </c>
      <c r="F1454" s="62" t="s">
        <v>95</v>
      </c>
      <c r="G1454" s="63" t="s">
        <v>479</v>
      </c>
      <c r="H1454" s="64" t="n">
        <v>0</v>
      </c>
      <c r="I1454" s="62" t="s">
        <v>878</v>
      </c>
      <c r="J1454" s="64" t="n">
        <v>0</v>
      </c>
      <c r="K1454" s="62" t="s">
        <v>42</v>
      </c>
      <c r="L1454" s="68" t="b">
        <f aca="false">TRUE()</f>
        <v>1</v>
      </c>
    </row>
    <row r="1455" customFormat="false" ht="15" hidden="false" customHeight="false" outlineLevel="0" collapsed="false">
      <c r="A1455" s="62" t="n">
        <v>0</v>
      </c>
      <c r="B1455" s="21" t="s">
        <v>336</v>
      </c>
      <c r="C1455" s="62" t="s">
        <v>60</v>
      </c>
      <c r="D1455" s="62" t="s">
        <v>386</v>
      </c>
      <c r="E1455" s="62" t="s">
        <v>67</v>
      </c>
      <c r="F1455" s="62" t="s">
        <v>95</v>
      </c>
      <c r="G1455" s="63" t="s">
        <v>479</v>
      </c>
      <c r="H1455" s="64" t="n">
        <v>0</v>
      </c>
      <c r="I1455" s="62" t="s">
        <v>878</v>
      </c>
      <c r="J1455" s="64" t="n">
        <v>0</v>
      </c>
      <c r="K1455" s="62" t="s">
        <v>42</v>
      </c>
      <c r="L1455" s="68" t="b">
        <f aca="false">TRUE()</f>
        <v>1</v>
      </c>
    </row>
    <row r="1456" customFormat="false" ht="15" hidden="false" customHeight="false" outlineLevel="0" collapsed="false">
      <c r="A1456" s="62" t="n">
        <v>0</v>
      </c>
      <c r="B1456" s="21" t="s">
        <v>336</v>
      </c>
      <c r="C1456" s="62" t="s">
        <v>60</v>
      </c>
      <c r="D1456" s="62" t="s">
        <v>387</v>
      </c>
      <c r="E1456" s="62" t="s">
        <v>67</v>
      </c>
      <c r="F1456" s="62" t="s">
        <v>95</v>
      </c>
      <c r="G1456" s="63" t="s">
        <v>479</v>
      </c>
      <c r="H1456" s="64" t="n">
        <v>0</v>
      </c>
      <c r="I1456" s="62" t="s">
        <v>878</v>
      </c>
      <c r="J1456" s="64" t="n">
        <v>0</v>
      </c>
      <c r="K1456" s="62" t="s">
        <v>42</v>
      </c>
      <c r="L1456" s="68" t="b">
        <f aca="false">TRUE()</f>
        <v>1</v>
      </c>
    </row>
    <row r="1457" customFormat="false" ht="15" hidden="false" customHeight="false" outlineLevel="0" collapsed="false">
      <c r="A1457" s="62" t="n">
        <v>0</v>
      </c>
      <c r="B1457" s="21" t="s">
        <v>336</v>
      </c>
      <c r="C1457" s="62" t="s">
        <v>60</v>
      </c>
      <c r="D1457" s="62" t="s">
        <v>388</v>
      </c>
      <c r="E1457" s="62" t="s">
        <v>67</v>
      </c>
      <c r="F1457" s="62" t="s">
        <v>95</v>
      </c>
      <c r="G1457" s="63" t="s">
        <v>479</v>
      </c>
      <c r="H1457" s="64" t="n">
        <v>0</v>
      </c>
      <c r="I1457" s="62" t="s">
        <v>878</v>
      </c>
      <c r="J1457" s="64" t="n">
        <v>0</v>
      </c>
      <c r="K1457" s="62" t="s">
        <v>42</v>
      </c>
      <c r="L1457" s="68" t="b">
        <f aca="false">TRUE()</f>
        <v>1</v>
      </c>
    </row>
    <row r="1458" customFormat="false" ht="15" hidden="false" customHeight="false" outlineLevel="0" collapsed="false">
      <c r="A1458" s="62" t="n">
        <v>0</v>
      </c>
      <c r="B1458" s="21" t="s">
        <v>336</v>
      </c>
      <c r="C1458" s="62" t="s">
        <v>60</v>
      </c>
      <c r="D1458" s="62" t="s">
        <v>381</v>
      </c>
      <c r="E1458" s="62" t="s">
        <v>67</v>
      </c>
      <c r="F1458" s="62" t="s">
        <v>97</v>
      </c>
      <c r="G1458" s="63" t="s">
        <v>479</v>
      </c>
      <c r="H1458" s="64" t="n">
        <v>0</v>
      </c>
      <c r="I1458" s="62" t="s">
        <v>878</v>
      </c>
      <c r="J1458" s="64" t="n">
        <v>0</v>
      </c>
      <c r="K1458" s="62" t="s">
        <v>42</v>
      </c>
      <c r="L1458" s="68" t="b">
        <f aca="false">TRUE()</f>
        <v>1</v>
      </c>
    </row>
    <row r="1459" customFormat="false" ht="15" hidden="false" customHeight="false" outlineLevel="0" collapsed="false">
      <c r="A1459" s="62" t="n">
        <v>0</v>
      </c>
      <c r="B1459" s="21" t="s">
        <v>336</v>
      </c>
      <c r="C1459" s="62" t="s">
        <v>60</v>
      </c>
      <c r="D1459" s="62" t="s">
        <v>383</v>
      </c>
      <c r="E1459" s="62" t="s">
        <v>67</v>
      </c>
      <c r="F1459" s="62" t="s">
        <v>97</v>
      </c>
      <c r="G1459" s="63" t="s">
        <v>479</v>
      </c>
      <c r="H1459" s="64" t="n">
        <v>0</v>
      </c>
      <c r="I1459" s="62" t="s">
        <v>878</v>
      </c>
      <c r="J1459" s="64" t="n">
        <v>0</v>
      </c>
      <c r="K1459" s="62" t="s">
        <v>42</v>
      </c>
      <c r="L1459" s="68" t="b">
        <f aca="false">TRUE()</f>
        <v>1</v>
      </c>
    </row>
    <row r="1460" customFormat="false" ht="15" hidden="false" customHeight="false" outlineLevel="0" collapsed="false">
      <c r="A1460" s="62" t="n">
        <v>0</v>
      </c>
      <c r="B1460" s="21" t="s">
        <v>336</v>
      </c>
      <c r="C1460" s="62" t="s">
        <v>60</v>
      </c>
      <c r="D1460" s="62" t="s">
        <v>384</v>
      </c>
      <c r="E1460" s="62" t="s">
        <v>67</v>
      </c>
      <c r="F1460" s="62" t="s">
        <v>97</v>
      </c>
      <c r="G1460" s="63" t="s">
        <v>479</v>
      </c>
      <c r="H1460" s="64" t="n">
        <v>0</v>
      </c>
      <c r="I1460" s="62" t="s">
        <v>878</v>
      </c>
      <c r="J1460" s="64" t="n">
        <v>0</v>
      </c>
      <c r="K1460" s="62" t="s">
        <v>42</v>
      </c>
      <c r="L1460" s="68" t="b">
        <f aca="false">TRUE()</f>
        <v>1</v>
      </c>
    </row>
    <row r="1461" customFormat="false" ht="15" hidden="false" customHeight="false" outlineLevel="0" collapsed="false">
      <c r="A1461" s="62" t="n">
        <v>0</v>
      </c>
      <c r="B1461" s="21" t="s">
        <v>336</v>
      </c>
      <c r="C1461" s="62" t="s">
        <v>60</v>
      </c>
      <c r="D1461" s="62" t="s">
        <v>385</v>
      </c>
      <c r="E1461" s="62" t="s">
        <v>67</v>
      </c>
      <c r="F1461" s="62" t="s">
        <v>97</v>
      </c>
      <c r="G1461" s="63" t="s">
        <v>479</v>
      </c>
      <c r="H1461" s="64" t="n">
        <v>0</v>
      </c>
      <c r="I1461" s="62" t="s">
        <v>878</v>
      </c>
      <c r="J1461" s="64" t="n">
        <v>0</v>
      </c>
      <c r="K1461" s="62" t="s">
        <v>42</v>
      </c>
      <c r="L1461" s="68" t="b">
        <f aca="false">TRUE()</f>
        <v>1</v>
      </c>
    </row>
    <row r="1462" customFormat="false" ht="15" hidden="false" customHeight="false" outlineLevel="0" collapsed="false">
      <c r="A1462" s="62" t="n">
        <v>0</v>
      </c>
      <c r="B1462" s="21" t="s">
        <v>336</v>
      </c>
      <c r="C1462" s="62" t="s">
        <v>60</v>
      </c>
      <c r="D1462" s="62" t="s">
        <v>386</v>
      </c>
      <c r="E1462" s="62" t="s">
        <v>67</v>
      </c>
      <c r="F1462" s="62" t="s">
        <v>97</v>
      </c>
      <c r="G1462" s="63" t="s">
        <v>479</v>
      </c>
      <c r="H1462" s="64" t="n">
        <v>0</v>
      </c>
      <c r="I1462" s="62" t="s">
        <v>878</v>
      </c>
      <c r="J1462" s="64" t="n">
        <v>0</v>
      </c>
      <c r="K1462" s="62" t="s">
        <v>42</v>
      </c>
      <c r="L1462" s="68" t="b">
        <f aca="false">TRUE()</f>
        <v>1</v>
      </c>
    </row>
    <row r="1463" customFormat="false" ht="15" hidden="false" customHeight="false" outlineLevel="0" collapsed="false">
      <c r="A1463" s="62" t="n">
        <v>0</v>
      </c>
      <c r="B1463" s="21" t="s">
        <v>336</v>
      </c>
      <c r="C1463" s="62" t="s">
        <v>60</v>
      </c>
      <c r="D1463" s="62" t="s">
        <v>387</v>
      </c>
      <c r="E1463" s="62" t="s">
        <v>67</v>
      </c>
      <c r="F1463" s="62" t="s">
        <v>97</v>
      </c>
      <c r="G1463" s="63" t="s">
        <v>479</v>
      </c>
      <c r="H1463" s="64" t="n">
        <v>0</v>
      </c>
      <c r="I1463" s="62" t="s">
        <v>878</v>
      </c>
      <c r="J1463" s="64" t="n">
        <v>0</v>
      </c>
      <c r="K1463" s="62" t="s">
        <v>42</v>
      </c>
      <c r="L1463" s="68" t="b">
        <f aca="false">TRUE()</f>
        <v>1</v>
      </c>
    </row>
    <row r="1464" customFormat="false" ht="15" hidden="false" customHeight="false" outlineLevel="0" collapsed="false">
      <c r="A1464" s="62" t="n">
        <v>0</v>
      </c>
      <c r="B1464" s="21" t="s">
        <v>336</v>
      </c>
      <c r="C1464" s="62" t="s">
        <v>60</v>
      </c>
      <c r="D1464" s="62" t="s">
        <v>388</v>
      </c>
      <c r="E1464" s="62" t="s">
        <v>67</v>
      </c>
      <c r="F1464" s="62" t="s">
        <v>97</v>
      </c>
      <c r="G1464" s="63" t="s">
        <v>479</v>
      </c>
      <c r="H1464" s="64" t="n">
        <v>0</v>
      </c>
      <c r="I1464" s="62" t="s">
        <v>878</v>
      </c>
      <c r="J1464" s="64" t="n">
        <v>0</v>
      </c>
      <c r="K1464" s="62" t="s">
        <v>42</v>
      </c>
      <c r="L1464" s="68" t="b">
        <f aca="false">TRUE()</f>
        <v>1</v>
      </c>
    </row>
    <row r="1465" customFormat="false" ht="15" hidden="false" customHeight="false" outlineLevel="0" collapsed="false">
      <c r="A1465" s="62" t="n">
        <v>0</v>
      </c>
      <c r="B1465" s="21" t="s">
        <v>336</v>
      </c>
      <c r="C1465" s="62" t="s">
        <v>60</v>
      </c>
      <c r="D1465" s="62" t="s">
        <v>381</v>
      </c>
      <c r="E1465" s="62" t="s">
        <v>67</v>
      </c>
      <c r="F1465" s="62" t="s">
        <v>382</v>
      </c>
      <c r="G1465" s="63" t="s">
        <v>486</v>
      </c>
      <c r="H1465" s="64" t="n">
        <v>0.142857142857143</v>
      </c>
      <c r="I1465" s="62" t="s">
        <v>878</v>
      </c>
      <c r="J1465" s="64" t="n">
        <v>14.2857142857143</v>
      </c>
      <c r="K1465" s="62" t="s">
        <v>42</v>
      </c>
      <c r="L1465" s="68" t="b">
        <f aca="false">TRUE()</f>
        <v>1</v>
      </c>
    </row>
    <row r="1466" customFormat="false" ht="15" hidden="false" customHeight="false" outlineLevel="0" collapsed="false">
      <c r="A1466" s="62" t="n">
        <v>0</v>
      </c>
      <c r="B1466" s="21" t="s">
        <v>336</v>
      </c>
      <c r="C1466" s="62" t="s">
        <v>60</v>
      </c>
      <c r="D1466" s="62" t="s">
        <v>383</v>
      </c>
      <c r="E1466" s="62" t="s">
        <v>67</v>
      </c>
      <c r="F1466" s="62" t="s">
        <v>382</v>
      </c>
      <c r="G1466" s="63" t="s">
        <v>486</v>
      </c>
      <c r="H1466" s="64" t="n">
        <v>0.142857142857143</v>
      </c>
      <c r="I1466" s="62" t="s">
        <v>878</v>
      </c>
      <c r="J1466" s="64" t="n">
        <v>14.2857142857143</v>
      </c>
      <c r="K1466" s="62" t="s">
        <v>42</v>
      </c>
      <c r="L1466" s="68" t="b">
        <f aca="false">TRUE()</f>
        <v>1</v>
      </c>
    </row>
    <row r="1467" customFormat="false" ht="15" hidden="false" customHeight="false" outlineLevel="0" collapsed="false">
      <c r="A1467" s="62" t="n">
        <v>0</v>
      </c>
      <c r="B1467" s="21" t="s">
        <v>336</v>
      </c>
      <c r="C1467" s="62" t="s">
        <v>60</v>
      </c>
      <c r="D1467" s="62" t="s">
        <v>384</v>
      </c>
      <c r="E1467" s="62" t="s">
        <v>67</v>
      </c>
      <c r="F1467" s="62" t="s">
        <v>382</v>
      </c>
      <c r="G1467" s="63" t="s">
        <v>486</v>
      </c>
      <c r="H1467" s="64" t="n">
        <v>0.142857142857143</v>
      </c>
      <c r="I1467" s="62" t="s">
        <v>878</v>
      </c>
      <c r="J1467" s="64" t="n">
        <v>14.2857142857143</v>
      </c>
      <c r="K1467" s="62" t="s">
        <v>42</v>
      </c>
      <c r="L1467" s="68" t="b">
        <f aca="false">TRUE()</f>
        <v>1</v>
      </c>
    </row>
    <row r="1468" customFormat="false" ht="15" hidden="false" customHeight="false" outlineLevel="0" collapsed="false">
      <c r="A1468" s="62" t="n">
        <v>0</v>
      </c>
      <c r="B1468" s="21" t="s">
        <v>336</v>
      </c>
      <c r="C1468" s="62" t="s">
        <v>60</v>
      </c>
      <c r="D1468" s="62" t="s">
        <v>385</v>
      </c>
      <c r="E1468" s="62" t="s">
        <v>67</v>
      </c>
      <c r="F1468" s="62" t="s">
        <v>382</v>
      </c>
      <c r="G1468" s="63" t="s">
        <v>486</v>
      </c>
      <c r="H1468" s="64" t="n">
        <v>0.142857142857143</v>
      </c>
      <c r="I1468" s="62" t="s">
        <v>878</v>
      </c>
      <c r="J1468" s="64" t="n">
        <v>14.2857142857143</v>
      </c>
      <c r="K1468" s="62" t="s">
        <v>42</v>
      </c>
      <c r="L1468" s="68" t="b">
        <f aca="false">TRUE()</f>
        <v>1</v>
      </c>
    </row>
    <row r="1469" customFormat="false" ht="15" hidden="false" customHeight="false" outlineLevel="0" collapsed="false">
      <c r="A1469" s="62" t="n">
        <v>0</v>
      </c>
      <c r="B1469" s="21" t="s">
        <v>336</v>
      </c>
      <c r="C1469" s="62" t="s">
        <v>60</v>
      </c>
      <c r="D1469" s="62" t="s">
        <v>386</v>
      </c>
      <c r="E1469" s="62" t="s">
        <v>67</v>
      </c>
      <c r="F1469" s="62" t="s">
        <v>382</v>
      </c>
      <c r="G1469" s="63" t="s">
        <v>486</v>
      </c>
      <c r="H1469" s="64" t="n">
        <v>0.142857142857143</v>
      </c>
      <c r="I1469" s="62" t="s">
        <v>878</v>
      </c>
      <c r="J1469" s="64" t="n">
        <v>14.2857142857143</v>
      </c>
      <c r="K1469" s="62" t="s">
        <v>42</v>
      </c>
      <c r="L1469" s="68" t="b">
        <f aca="false">TRUE()</f>
        <v>1</v>
      </c>
    </row>
    <row r="1470" customFormat="false" ht="15" hidden="false" customHeight="false" outlineLevel="0" collapsed="false">
      <c r="A1470" s="62" t="n">
        <v>0</v>
      </c>
      <c r="B1470" s="21" t="s">
        <v>336</v>
      </c>
      <c r="C1470" s="62" t="s">
        <v>60</v>
      </c>
      <c r="D1470" s="62" t="s">
        <v>387</v>
      </c>
      <c r="E1470" s="62" t="s">
        <v>67</v>
      </c>
      <c r="F1470" s="62" t="s">
        <v>382</v>
      </c>
      <c r="G1470" s="63" t="s">
        <v>486</v>
      </c>
      <c r="H1470" s="64" t="n">
        <v>0.142857142857143</v>
      </c>
      <c r="I1470" s="62" t="s">
        <v>878</v>
      </c>
      <c r="J1470" s="64" t="n">
        <v>14.2857142857143</v>
      </c>
      <c r="K1470" s="62" t="s">
        <v>42</v>
      </c>
      <c r="L1470" s="68" t="b">
        <f aca="false">TRUE()</f>
        <v>1</v>
      </c>
    </row>
    <row r="1471" customFormat="false" ht="15" hidden="false" customHeight="false" outlineLevel="0" collapsed="false">
      <c r="A1471" s="62" t="n">
        <v>0</v>
      </c>
      <c r="B1471" s="21" t="s">
        <v>336</v>
      </c>
      <c r="C1471" s="62" t="s">
        <v>60</v>
      </c>
      <c r="D1471" s="62" t="s">
        <v>388</v>
      </c>
      <c r="E1471" s="62" t="s">
        <v>67</v>
      </c>
      <c r="F1471" s="62" t="s">
        <v>382</v>
      </c>
      <c r="G1471" s="63" t="s">
        <v>486</v>
      </c>
      <c r="H1471" s="64" t="n">
        <v>0.142857142857143</v>
      </c>
      <c r="I1471" s="62" t="s">
        <v>878</v>
      </c>
      <c r="J1471" s="64" t="n">
        <v>14.2857142857143</v>
      </c>
      <c r="K1471" s="62" t="s">
        <v>42</v>
      </c>
      <c r="L1471" s="68" t="b">
        <f aca="false">TRUE()</f>
        <v>1</v>
      </c>
    </row>
    <row r="1472" customFormat="false" ht="15" hidden="false" customHeight="false" outlineLevel="0" collapsed="false">
      <c r="A1472" s="62" t="n">
        <v>0</v>
      </c>
      <c r="B1472" s="21" t="s">
        <v>336</v>
      </c>
      <c r="C1472" s="62" t="s">
        <v>60</v>
      </c>
      <c r="D1472" s="62" t="s">
        <v>381</v>
      </c>
      <c r="E1472" s="62" t="s">
        <v>71</v>
      </c>
      <c r="F1472" s="62" t="s">
        <v>382</v>
      </c>
      <c r="G1472" s="63" t="s">
        <v>487</v>
      </c>
      <c r="H1472" s="64" t="n">
        <v>125000</v>
      </c>
      <c r="I1472" s="62"/>
      <c r="J1472" s="64" t="n">
        <v>125000</v>
      </c>
      <c r="K1472" s="62"/>
      <c r="L1472" s="68" t="b">
        <f aca="false">TRUE()</f>
        <v>1</v>
      </c>
    </row>
    <row r="1473" customFormat="false" ht="15" hidden="false" customHeight="false" outlineLevel="0" collapsed="false">
      <c r="A1473" s="62" t="n">
        <v>0</v>
      </c>
      <c r="B1473" s="21" t="s">
        <v>336</v>
      </c>
      <c r="C1473" s="62" t="s">
        <v>60</v>
      </c>
      <c r="D1473" s="62" t="s">
        <v>383</v>
      </c>
      <c r="E1473" s="62" t="s">
        <v>71</v>
      </c>
      <c r="F1473" s="62" t="s">
        <v>382</v>
      </c>
      <c r="G1473" s="63" t="s">
        <v>487</v>
      </c>
      <c r="H1473" s="64" t="n">
        <v>125000</v>
      </c>
      <c r="I1473" s="62"/>
      <c r="J1473" s="64" t="n">
        <v>125000</v>
      </c>
      <c r="K1473" s="62"/>
      <c r="L1473" s="68" t="b">
        <f aca="false">TRUE()</f>
        <v>1</v>
      </c>
    </row>
    <row r="1474" customFormat="false" ht="15" hidden="false" customHeight="false" outlineLevel="0" collapsed="false">
      <c r="A1474" s="62" t="n">
        <v>0</v>
      </c>
      <c r="B1474" s="21" t="s">
        <v>336</v>
      </c>
      <c r="C1474" s="62" t="s">
        <v>60</v>
      </c>
      <c r="D1474" s="62" t="s">
        <v>384</v>
      </c>
      <c r="E1474" s="62" t="s">
        <v>71</v>
      </c>
      <c r="F1474" s="62" t="s">
        <v>382</v>
      </c>
      <c r="G1474" s="63" t="s">
        <v>487</v>
      </c>
      <c r="H1474" s="64" t="n">
        <v>125000</v>
      </c>
      <c r="I1474" s="62"/>
      <c r="J1474" s="64" t="n">
        <v>125000</v>
      </c>
      <c r="K1474" s="62"/>
      <c r="L1474" s="68" t="b">
        <f aca="false">TRUE()</f>
        <v>1</v>
      </c>
    </row>
    <row r="1475" customFormat="false" ht="15" hidden="false" customHeight="false" outlineLevel="0" collapsed="false">
      <c r="A1475" s="62" t="n">
        <v>0</v>
      </c>
      <c r="B1475" s="21" t="s">
        <v>336</v>
      </c>
      <c r="C1475" s="62" t="s">
        <v>60</v>
      </c>
      <c r="D1475" s="62" t="s">
        <v>385</v>
      </c>
      <c r="E1475" s="62" t="s">
        <v>71</v>
      </c>
      <c r="F1475" s="62" t="s">
        <v>382</v>
      </c>
      <c r="G1475" s="63" t="s">
        <v>487</v>
      </c>
      <c r="H1475" s="64" t="n">
        <v>125000</v>
      </c>
      <c r="I1475" s="62"/>
      <c r="J1475" s="64" t="n">
        <v>125000</v>
      </c>
      <c r="K1475" s="62"/>
      <c r="L1475" s="68" t="b">
        <f aca="false">TRUE()</f>
        <v>1</v>
      </c>
    </row>
    <row r="1476" customFormat="false" ht="15" hidden="false" customHeight="false" outlineLevel="0" collapsed="false">
      <c r="A1476" s="62" t="n">
        <v>0</v>
      </c>
      <c r="B1476" s="21" t="s">
        <v>336</v>
      </c>
      <c r="C1476" s="62" t="s">
        <v>60</v>
      </c>
      <c r="D1476" s="62" t="s">
        <v>386</v>
      </c>
      <c r="E1476" s="62" t="s">
        <v>71</v>
      </c>
      <c r="F1476" s="62" t="s">
        <v>382</v>
      </c>
      <c r="G1476" s="63" t="s">
        <v>487</v>
      </c>
      <c r="H1476" s="64" t="n">
        <v>125000</v>
      </c>
      <c r="I1476" s="62"/>
      <c r="J1476" s="64" t="n">
        <v>125000</v>
      </c>
      <c r="K1476" s="62"/>
      <c r="L1476" s="68" t="b">
        <f aca="false">TRUE()</f>
        <v>1</v>
      </c>
    </row>
    <row r="1477" customFormat="false" ht="15" hidden="false" customHeight="false" outlineLevel="0" collapsed="false">
      <c r="A1477" s="62" t="n">
        <v>0</v>
      </c>
      <c r="B1477" s="21" t="s">
        <v>336</v>
      </c>
      <c r="C1477" s="62" t="s">
        <v>60</v>
      </c>
      <c r="D1477" s="62" t="s">
        <v>387</v>
      </c>
      <c r="E1477" s="62" t="s">
        <v>71</v>
      </c>
      <c r="F1477" s="62" t="s">
        <v>382</v>
      </c>
      <c r="G1477" s="63" t="s">
        <v>487</v>
      </c>
      <c r="H1477" s="64" t="n">
        <v>125000</v>
      </c>
      <c r="I1477" s="62"/>
      <c r="J1477" s="64" t="n">
        <v>125000</v>
      </c>
      <c r="K1477" s="62"/>
      <c r="L1477" s="68" t="b">
        <f aca="false">TRUE()</f>
        <v>1</v>
      </c>
    </row>
    <row r="1478" customFormat="false" ht="15" hidden="false" customHeight="false" outlineLevel="0" collapsed="false">
      <c r="A1478" s="62" t="n">
        <v>0</v>
      </c>
      <c r="B1478" s="21" t="s">
        <v>336</v>
      </c>
      <c r="C1478" s="62" t="s">
        <v>60</v>
      </c>
      <c r="D1478" s="62" t="s">
        <v>388</v>
      </c>
      <c r="E1478" s="62" t="s">
        <v>71</v>
      </c>
      <c r="F1478" s="62" t="s">
        <v>382</v>
      </c>
      <c r="G1478" s="63" t="s">
        <v>487</v>
      </c>
      <c r="H1478" s="64" t="n">
        <v>125000</v>
      </c>
      <c r="I1478" s="62"/>
      <c r="J1478" s="64" t="n">
        <v>125000</v>
      </c>
      <c r="K1478" s="62"/>
      <c r="L1478" s="68" t="b">
        <f aca="false">TRUE()</f>
        <v>1</v>
      </c>
    </row>
    <row r="1479" customFormat="false" ht="15" hidden="false" customHeight="false" outlineLevel="0" collapsed="false">
      <c r="A1479" s="62" t="n">
        <v>0</v>
      </c>
      <c r="B1479" s="21" t="s">
        <v>336</v>
      </c>
      <c r="C1479" s="62" t="s">
        <v>60</v>
      </c>
      <c r="D1479" s="62" t="s">
        <v>381</v>
      </c>
      <c r="E1479" s="62" t="s">
        <v>71</v>
      </c>
      <c r="F1479" s="62" t="s">
        <v>382</v>
      </c>
      <c r="G1479" s="63" t="s">
        <v>482</v>
      </c>
      <c r="H1479" s="64" t="n">
        <v>4</v>
      </c>
      <c r="I1479" s="62"/>
      <c r="J1479" s="64" t="n">
        <v>4</v>
      </c>
      <c r="K1479" s="62"/>
      <c r="L1479" s="68" t="b">
        <f aca="false">TRUE()</f>
        <v>1</v>
      </c>
    </row>
    <row r="1480" customFormat="false" ht="15" hidden="false" customHeight="false" outlineLevel="0" collapsed="false">
      <c r="A1480" s="62" t="n">
        <v>0</v>
      </c>
      <c r="B1480" s="21" t="s">
        <v>336</v>
      </c>
      <c r="C1480" s="62" t="s">
        <v>60</v>
      </c>
      <c r="D1480" s="62" t="s">
        <v>383</v>
      </c>
      <c r="E1480" s="62" t="s">
        <v>71</v>
      </c>
      <c r="F1480" s="62" t="s">
        <v>382</v>
      </c>
      <c r="G1480" s="63" t="s">
        <v>482</v>
      </c>
      <c r="H1480" s="64" t="n">
        <v>4</v>
      </c>
      <c r="I1480" s="62"/>
      <c r="J1480" s="64" t="n">
        <v>4</v>
      </c>
      <c r="K1480" s="62"/>
      <c r="L1480" s="68" t="b">
        <f aca="false">TRUE()</f>
        <v>1</v>
      </c>
    </row>
    <row r="1481" customFormat="false" ht="15" hidden="false" customHeight="false" outlineLevel="0" collapsed="false">
      <c r="A1481" s="62" t="n">
        <v>0</v>
      </c>
      <c r="B1481" s="21" t="s">
        <v>336</v>
      </c>
      <c r="C1481" s="62" t="s">
        <v>60</v>
      </c>
      <c r="D1481" s="62" t="s">
        <v>384</v>
      </c>
      <c r="E1481" s="62" t="s">
        <v>71</v>
      </c>
      <c r="F1481" s="62" t="s">
        <v>382</v>
      </c>
      <c r="G1481" s="63" t="s">
        <v>482</v>
      </c>
      <c r="H1481" s="64" t="n">
        <v>4</v>
      </c>
      <c r="I1481" s="62"/>
      <c r="J1481" s="64" t="n">
        <v>4</v>
      </c>
      <c r="K1481" s="62"/>
      <c r="L1481" s="68" t="b">
        <f aca="false">TRUE()</f>
        <v>1</v>
      </c>
    </row>
    <row r="1482" customFormat="false" ht="15" hidden="false" customHeight="false" outlineLevel="0" collapsed="false">
      <c r="A1482" s="62" t="n">
        <v>0</v>
      </c>
      <c r="B1482" s="21" t="s">
        <v>336</v>
      </c>
      <c r="C1482" s="62" t="s">
        <v>60</v>
      </c>
      <c r="D1482" s="62" t="s">
        <v>385</v>
      </c>
      <c r="E1482" s="62" t="s">
        <v>71</v>
      </c>
      <c r="F1482" s="62" t="s">
        <v>382</v>
      </c>
      <c r="G1482" s="63" t="s">
        <v>482</v>
      </c>
      <c r="H1482" s="64" t="n">
        <v>4</v>
      </c>
      <c r="I1482" s="62"/>
      <c r="J1482" s="64" t="n">
        <v>4</v>
      </c>
      <c r="K1482" s="62"/>
      <c r="L1482" s="68" t="b">
        <f aca="false">TRUE()</f>
        <v>1</v>
      </c>
    </row>
    <row r="1483" customFormat="false" ht="15" hidden="false" customHeight="false" outlineLevel="0" collapsed="false">
      <c r="A1483" s="62" t="n">
        <v>0</v>
      </c>
      <c r="B1483" s="21" t="s">
        <v>336</v>
      </c>
      <c r="C1483" s="62" t="s">
        <v>60</v>
      </c>
      <c r="D1483" s="62" t="s">
        <v>386</v>
      </c>
      <c r="E1483" s="62" t="s">
        <v>71</v>
      </c>
      <c r="F1483" s="62" t="s">
        <v>382</v>
      </c>
      <c r="G1483" s="63" t="s">
        <v>482</v>
      </c>
      <c r="H1483" s="64" t="n">
        <v>4</v>
      </c>
      <c r="I1483" s="62"/>
      <c r="J1483" s="64" t="n">
        <v>4</v>
      </c>
      <c r="K1483" s="62"/>
      <c r="L1483" s="68" t="b">
        <f aca="false">TRUE()</f>
        <v>1</v>
      </c>
    </row>
    <row r="1484" customFormat="false" ht="15" hidden="false" customHeight="false" outlineLevel="0" collapsed="false">
      <c r="A1484" s="62" t="n">
        <v>0</v>
      </c>
      <c r="B1484" s="21" t="s">
        <v>336</v>
      </c>
      <c r="C1484" s="62" t="s">
        <v>60</v>
      </c>
      <c r="D1484" s="62" t="s">
        <v>387</v>
      </c>
      <c r="E1484" s="62" t="s">
        <v>71</v>
      </c>
      <c r="F1484" s="62" t="s">
        <v>382</v>
      </c>
      <c r="G1484" s="63" t="s">
        <v>482</v>
      </c>
      <c r="H1484" s="64" t="n">
        <v>4</v>
      </c>
      <c r="I1484" s="62"/>
      <c r="J1484" s="64" t="n">
        <v>4</v>
      </c>
      <c r="K1484" s="62"/>
      <c r="L1484" s="68" t="b">
        <f aca="false">TRUE()</f>
        <v>1</v>
      </c>
    </row>
    <row r="1485" customFormat="false" ht="15" hidden="false" customHeight="false" outlineLevel="0" collapsed="false">
      <c r="A1485" s="62" t="n">
        <v>0</v>
      </c>
      <c r="B1485" s="21" t="s">
        <v>336</v>
      </c>
      <c r="C1485" s="62" t="s">
        <v>60</v>
      </c>
      <c r="D1485" s="62" t="s">
        <v>388</v>
      </c>
      <c r="E1485" s="62" t="s">
        <v>71</v>
      </c>
      <c r="F1485" s="62" t="s">
        <v>382</v>
      </c>
      <c r="G1485" s="63" t="s">
        <v>482</v>
      </c>
      <c r="H1485" s="64" t="n">
        <v>4</v>
      </c>
      <c r="I1485" s="62"/>
      <c r="J1485" s="64" t="n">
        <v>4</v>
      </c>
      <c r="K1485" s="62"/>
      <c r="L1485" s="68" t="b">
        <f aca="false">TRUE()</f>
        <v>1</v>
      </c>
    </row>
    <row r="1486" customFormat="false" ht="15" hidden="false" customHeight="false" outlineLevel="0" collapsed="false">
      <c r="A1486" s="62" t="n">
        <v>0</v>
      </c>
      <c r="B1486" s="21" t="s">
        <v>336</v>
      </c>
      <c r="C1486" s="62" t="s">
        <v>60</v>
      </c>
      <c r="D1486" s="62" t="s">
        <v>381</v>
      </c>
      <c r="E1486" s="62" t="s">
        <v>71</v>
      </c>
      <c r="F1486" s="62" t="s">
        <v>382</v>
      </c>
      <c r="G1486" s="63" t="s">
        <v>483</v>
      </c>
      <c r="H1486" s="64" t="s">
        <v>29</v>
      </c>
      <c r="I1486" s="62"/>
      <c r="J1486" s="64" t="s">
        <v>29</v>
      </c>
      <c r="K1486" s="62"/>
      <c r="L1486" s="68" t="b">
        <f aca="false">TRUE()</f>
        <v>1</v>
      </c>
    </row>
    <row r="1487" customFormat="false" ht="15" hidden="false" customHeight="false" outlineLevel="0" collapsed="false">
      <c r="A1487" s="62" t="n">
        <v>0</v>
      </c>
      <c r="B1487" s="21" t="s">
        <v>336</v>
      </c>
      <c r="C1487" s="62" t="s">
        <v>60</v>
      </c>
      <c r="D1487" s="62" t="s">
        <v>383</v>
      </c>
      <c r="E1487" s="62" t="s">
        <v>71</v>
      </c>
      <c r="F1487" s="62" t="s">
        <v>382</v>
      </c>
      <c r="G1487" s="63" t="s">
        <v>483</v>
      </c>
      <c r="H1487" s="64" t="s">
        <v>29</v>
      </c>
      <c r="I1487" s="62"/>
      <c r="J1487" s="64" t="s">
        <v>29</v>
      </c>
      <c r="K1487" s="62"/>
      <c r="L1487" s="68" t="b">
        <f aca="false">TRUE()</f>
        <v>1</v>
      </c>
    </row>
    <row r="1488" customFormat="false" ht="15" hidden="false" customHeight="false" outlineLevel="0" collapsed="false">
      <c r="A1488" s="62" t="n">
        <v>0</v>
      </c>
      <c r="B1488" s="21" t="s">
        <v>336</v>
      </c>
      <c r="C1488" s="62" t="s">
        <v>60</v>
      </c>
      <c r="D1488" s="62" t="s">
        <v>384</v>
      </c>
      <c r="E1488" s="62" t="s">
        <v>71</v>
      </c>
      <c r="F1488" s="62" t="s">
        <v>382</v>
      </c>
      <c r="G1488" s="63" t="s">
        <v>483</v>
      </c>
      <c r="H1488" s="64" t="s">
        <v>29</v>
      </c>
      <c r="I1488" s="62"/>
      <c r="J1488" s="64" t="s">
        <v>29</v>
      </c>
      <c r="K1488" s="62"/>
      <c r="L1488" s="68" t="b">
        <f aca="false">TRUE()</f>
        <v>1</v>
      </c>
    </row>
    <row r="1489" customFormat="false" ht="15" hidden="false" customHeight="false" outlineLevel="0" collapsed="false">
      <c r="A1489" s="62" t="n">
        <v>0</v>
      </c>
      <c r="B1489" s="21" t="s">
        <v>336</v>
      </c>
      <c r="C1489" s="62" t="s">
        <v>60</v>
      </c>
      <c r="D1489" s="62" t="s">
        <v>385</v>
      </c>
      <c r="E1489" s="62" t="s">
        <v>71</v>
      </c>
      <c r="F1489" s="62" t="s">
        <v>382</v>
      </c>
      <c r="G1489" s="63" t="s">
        <v>483</v>
      </c>
      <c r="H1489" s="64" t="s">
        <v>29</v>
      </c>
      <c r="I1489" s="62"/>
      <c r="J1489" s="64" t="s">
        <v>29</v>
      </c>
      <c r="K1489" s="62"/>
      <c r="L1489" s="68" t="b">
        <f aca="false">TRUE()</f>
        <v>1</v>
      </c>
    </row>
    <row r="1490" customFormat="false" ht="15" hidden="false" customHeight="false" outlineLevel="0" collapsed="false">
      <c r="A1490" s="62" t="n">
        <v>0</v>
      </c>
      <c r="B1490" s="21" t="s">
        <v>336</v>
      </c>
      <c r="C1490" s="62" t="s">
        <v>60</v>
      </c>
      <c r="D1490" s="62" t="s">
        <v>386</v>
      </c>
      <c r="E1490" s="62" t="s">
        <v>71</v>
      </c>
      <c r="F1490" s="62" t="s">
        <v>382</v>
      </c>
      <c r="G1490" s="63" t="s">
        <v>483</v>
      </c>
      <c r="H1490" s="64" t="s">
        <v>29</v>
      </c>
      <c r="I1490" s="62"/>
      <c r="J1490" s="64" t="s">
        <v>29</v>
      </c>
      <c r="K1490" s="62"/>
      <c r="L1490" s="68" t="b">
        <f aca="false">TRUE()</f>
        <v>1</v>
      </c>
    </row>
    <row r="1491" customFormat="false" ht="15" hidden="false" customHeight="false" outlineLevel="0" collapsed="false">
      <c r="A1491" s="62" t="n">
        <v>0</v>
      </c>
      <c r="B1491" s="21" t="s">
        <v>336</v>
      </c>
      <c r="C1491" s="62" t="s">
        <v>60</v>
      </c>
      <c r="D1491" s="62" t="s">
        <v>387</v>
      </c>
      <c r="E1491" s="62" t="s">
        <v>71</v>
      </c>
      <c r="F1491" s="62" t="s">
        <v>382</v>
      </c>
      <c r="G1491" s="63" t="s">
        <v>483</v>
      </c>
      <c r="H1491" s="64" t="s">
        <v>29</v>
      </c>
      <c r="I1491" s="62"/>
      <c r="J1491" s="64" t="s">
        <v>29</v>
      </c>
      <c r="K1491" s="62"/>
      <c r="L1491" s="68" t="b">
        <f aca="false">TRUE()</f>
        <v>1</v>
      </c>
    </row>
    <row r="1492" customFormat="false" ht="15" hidden="false" customHeight="false" outlineLevel="0" collapsed="false">
      <c r="A1492" s="62" t="n">
        <v>0</v>
      </c>
      <c r="B1492" s="21" t="s">
        <v>336</v>
      </c>
      <c r="C1492" s="62" t="s">
        <v>60</v>
      </c>
      <c r="D1492" s="62" t="s">
        <v>388</v>
      </c>
      <c r="E1492" s="62" t="s">
        <v>71</v>
      </c>
      <c r="F1492" s="62" t="s">
        <v>382</v>
      </c>
      <c r="G1492" s="63" t="s">
        <v>483</v>
      </c>
      <c r="H1492" s="64" t="s">
        <v>29</v>
      </c>
      <c r="I1492" s="62"/>
      <c r="J1492" s="64" t="s">
        <v>29</v>
      </c>
      <c r="K1492" s="62"/>
      <c r="L1492" s="68" t="b">
        <f aca="false">TRUE()</f>
        <v>1</v>
      </c>
    </row>
    <row r="1493" customFormat="false" ht="15" hidden="false" customHeight="false" outlineLevel="0" collapsed="false">
      <c r="A1493" s="62" t="n">
        <v>0</v>
      </c>
      <c r="B1493" s="21" t="s">
        <v>336</v>
      </c>
      <c r="C1493" s="62" t="s">
        <v>60</v>
      </c>
      <c r="D1493" s="62" t="s">
        <v>381</v>
      </c>
      <c r="E1493" s="62" t="s">
        <v>71</v>
      </c>
      <c r="F1493" s="62" t="s">
        <v>382</v>
      </c>
      <c r="G1493" s="63" t="s">
        <v>484</v>
      </c>
      <c r="H1493" s="64" t="n">
        <v>515</v>
      </c>
      <c r="I1493" s="62"/>
      <c r="J1493" s="64" t="n">
        <v>515</v>
      </c>
      <c r="K1493" s="62"/>
      <c r="L1493" s="68" t="b">
        <f aca="false">TRUE()</f>
        <v>1</v>
      </c>
    </row>
    <row r="1494" customFormat="false" ht="15" hidden="false" customHeight="false" outlineLevel="0" collapsed="false">
      <c r="A1494" s="62" t="n">
        <v>0</v>
      </c>
      <c r="B1494" s="21" t="s">
        <v>336</v>
      </c>
      <c r="C1494" s="62" t="s">
        <v>60</v>
      </c>
      <c r="D1494" s="62" t="s">
        <v>383</v>
      </c>
      <c r="E1494" s="62" t="s">
        <v>71</v>
      </c>
      <c r="F1494" s="62" t="s">
        <v>382</v>
      </c>
      <c r="G1494" s="63" t="s">
        <v>484</v>
      </c>
      <c r="H1494" s="64" t="n">
        <v>515</v>
      </c>
      <c r="I1494" s="62"/>
      <c r="J1494" s="64" t="n">
        <v>515</v>
      </c>
      <c r="K1494" s="62"/>
      <c r="L1494" s="68" t="b">
        <f aca="false">TRUE()</f>
        <v>1</v>
      </c>
    </row>
    <row r="1495" customFormat="false" ht="15" hidden="false" customHeight="false" outlineLevel="0" collapsed="false">
      <c r="A1495" s="62" t="n">
        <v>0</v>
      </c>
      <c r="B1495" s="21" t="s">
        <v>336</v>
      </c>
      <c r="C1495" s="62" t="s">
        <v>60</v>
      </c>
      <c r="D1495" s="62" t="s">
        <v>384</v>
      </c>
      <c r="E1495" s="62" t="s">
        <v>71</v>
      </c>
      <c r="F1495" s="62" t="s">
        <v>382</v>
      </c>
      <c r="G1495" s="63" t="s">
        <v>484</v>
      </c>
      <c r="H1495" s="64" t="n">
        <v>515</v>
      </c>
      <c r="I1495" s="62"/>
      <c r="J1495" s="64" t="n">
        <v>515</v>
      </c>
      <c r="K1495" s="62"/>
      <c r="L1495" s="68" t="b">
        <f aca="false">TRUE()</f>
        <v>1</v>
      </c>
    </row>
    <row r="1496" customFormat="false" ht="15" hidden="false" customHeight="false" outlineLevel="0" collapsed="false">
      <c r="A1496" s="62" t="n">
        <v>0</v>
      </c>
      <c r="B1496" s="21" t="s">
        <v>336</v>
      </c>
      <c r="C1496" s="62" t="s">
        <v>60</v>
      </c>
      <c r="D1496" s="62" t="s">
        <v>385</v>
      </c>
      <c r="E1496" s="62" t="s">
        <v>71</v>
      </c>
      <c r="F1496" s="62" t="s">
        <v>382</v>
      </c>
      <c r="G1496" s="63" t="s">
        <v>484</v>
      </c>
      <c r="H1496" s="64" t="n">
        <v>515</v>
      </c>
      <c r="I1496" s="62"/>
      <c r="J1496" s="64" t="n">
        <v>515</v>
      </c>
      <c r="K1496" s="62"/>
      <c r="L1496" s="68" t="b">
        <f aca="false">TRUE()</f>
        <v>1</v>
      </c>
    </row>
    <row r="1497" customFormat="false" ht="15" hidden="false" customHeight="false" outlineLevel="0" collapsed="false">
      <c r="A1497" s="62" t="n">
        <v>0</v>
      </c>
      <c r="B1497" s="21" t="s">
        <v>336</v>
      </c>
      <c r="C1497" s="62" t="s">
        <v>60</v>
      </c>
      <c r="D1497" s="62" t="s">
        <v>386</v>
      </c>
      <c r="E1497" s="62" t="s">
        <v>71</v>
      </c>
      <c r="F1497" s="62" t="s">
        <v>382</v>
      </c>
      <c r="G1497" s="63" t="s">
        <v>484</v>
      </c>
      <c r="H1497" s="64" t="n">
        <v>515</v>
      </c>
      <c r="I1497" s="62"/>
      <c r="J1497" s="64" t="n">
        <v>515</v>
      </c>
      <c r="K1497" s="62"/>
      <c r="L1497" s="68" t="b">
        <f aca="false">TRUE()</f>
        <v>1</v>
      </c>
    </row>
    <row r="1498" customFormat="false" ht="15" hidden="false" customHeight="false" outlineLevel="0" collapsed="false">
      <c r="A1498" s="62" t="n">
        <v>0</v>
      </c>
      <c r="B1498" s="21" t="s">
        <v>336</v>
      </c>
      <c r="C1498" s="62" t="s">
        <v>60</v>
      </c>
      <c r="D1498" s="62" t="s">
        <v>387</v>
      </c>
      <c r="E1498" s="62" t="s">
        <v>71</v>
      </c>
      <c r="F1498" s="62" t="s">
        <v>382</v>
      </c>
      <c r="G1498" s="63" t="s">
        <v>484</v>
      </c>
      <c r="H1498" s="64" t="n">
        <v>515</v>
      </c>
      <c r="I1498" s="62"/>
      <c r="J1498" s="64" t="n">
        <v>515</v>
      </c>
      <c r="K1498" s="62"/>
      <c r="L1498" s="68" t="b">
        <f aca="false">TRUE()</f>
        <v>1</v>
      </c>
    </row>
    <row r="1499" customFormat="false" ht="15" hidden="false" customHeight="false" outlineLevel="0" collapsed="false">
      <c r="A1499" s="62" t="n">
        <v>0</v>
      </c>
      <c r="B1499" s="21" t="s">
        <v>336</v>
      </c>
      <c r="C1499" s="62" t="s">
        <v>60</v>
      </c>
      <c r="D1499" s="62" t="s">
        <v>388</v>
      </c>
      <c r="E1499" s="62" t="s">
        <v>71</v>
      </c>
      <c r="F1499" s="62" t="s">
        <v>382</v>
      </c>
      <c r="G1499" s="63" t="s">
        <v>484</v>
      </c>
      <c r="H1499" s="64" t="n">
        <v>515</v>
      </c>
      <c r="I1499" s="62"/>
      <c r="J1499" s="64" t="n">
        <v>515</v>
      </c>
      <c r="K1499" s="62"/>
      <c r="L1499" s="68" t="b">
        <f aca="false">TRUE()</f>
        <v>1</v>
      </c>
    </row>
    <row r="1500" customFormat="false" ht="15" hidden="false" customHeight="false" outlineLevel="0" collapsed="false">
      <c r="A1500" s="62" t="n">
        <v>0</v>
      </c>
      <c r="B1500" s="21" t="s">
        <v>336</v>
      </c>
      <c r="C1500" s="62" t="s">
        <v>60</v>
      </c>
      <c r="D1500" s="62" t="s">
        <v>381</v>
      </c>
      <c r="E1500" s="62" t="s">
        <v>71</v>
      </c>
      <c r="F1500" s="62" t="s">
        <v>382</v>
      </c>
      <c r="G1500" s="63" t="s">
        <v>485</v>
      </c>
      <c r="H1500" s="64" t="n">
        <v>515</v>
      </c>
      <c r="I1500" s="62"/>
      <c r="J1500" s="64" t="n">
        <v>515</v>
      </c>
      <c r="K1500" s="62"/>
      <c r="L1500" s="68" t="b">
        <f aca="false">TRUE()</f>
        <v>1</v>
      </c>
    </row>
    <row r="1501" customFormat="false" ht="15" hidden="false" customHeight="false" outlineLevel="0" collapsed="false">
      <c r="A1501" s="62" t="n">
        <v>0</v>
      </c>
      <c r="B1501" s="21" t="s">
        <v>336</v>
      </c>
      <c r="C1501" s="62" t="s">
        <v>60</v>
      </c>
      <c r="D1501" s="62" t="s">
        <v>383</v>
      </c>
      <c r="E1501" s="62" t="s">
        <v>71</v>
      </c>
      <c r="F1501" s="62" t="s">
        <v>382</v>
      </c>
      <c r="G1501" s="63" t="s">
        <v>485</v>
      </c>
      <c r="H1501" s="64" t="n">
        <v>515</v>
      </c>
      <c r="I1501" s="62"/>
      <c r="J1501" s="64" t="n">
        <v>515</v>
      </c>
      <c r="K1501" s="62"/>
      <c r="L1501" s="68" t="b">
        <f aca="false">TRUE()</f>
        <v>1</v>
      </c>
    </row>
    <row r="1502" customFormat="false" ht="15" hidden="false" customHeight="false" outlineLevel="0" collapsed="false">
      <c r="A1502" s="62" t="n">
        <v>0</v>
      </c>
      <c r="B1502" s="21" t="s">
        <v>336</v>
      </c>
      <c r="C1502" s="62" t="s">
        <v>60</v>
      </c>
      <c r="D1502" s="62" t="s">
        <v>384</v>
      </c>
      <c r="E1502" s="62" t="s">
        <v>71</v>
      </c>
      <c r="F1502" s="62" t="s">
        <v>382</v>
      </c>
      <c r="G1502" s="63" t="s">
        <v>485</v>
      </c>
      <c r="H1502" s="64" t="n">
        <v>515</v>
      </c>
      <c r="I1502" s="62"/>
      <c r="J1502" s="64" t="n">
        <v>515</v>
      </c>
      <c r="K1502" s="62"/>
      <c r="L1502" s="68" t="b">
        <f aca="false">TRUE()</f>
        <v>1</v>
      </c>
    </row>
    <row r="1503" customFormat="false" ht="15" hidden="false" customHeight="false" outlineLevel="0" collapsed="false">
      <c r="A1503" s="62" t="n">
        <v>0</v>
      </c>
      <c r="B1503" s="21" t="s">
        <v>336</v>
      </c>
      <c r="C1503" s="62" t="s">
        <v>60</v>
      </c>
      <c r="D1503" s="62" t="s">
        <v>385</v>
      </c>
      <c r="E1503" s="62" t="s">
        <v>71</v>
      </c>
      <c r="F1503" s="62" t="s">
        <v>382</v>
      </c>
      <c r="G1503" s="63" t="s">
        <v>485</v>
      </c>
      <c r="H1503" s="64" t="n">
        <v>515</v>
      </c>
      <c r="I1503" s="62"/>
      <c r="J1503" s="64" t="n">
        <v>515</v>
      </c>
      <c r="K1503" s="62"/>
      <c r="L1503" s="68" t="b">
        <f aca="false">TRUE()</f>
        <v>1</v>
      </c>
    </row>
    <row r="1504" customFormat="false" ht="15" hidden="false" customHeight="false" outlineLevel="0" collapsed="false">
      <c r="A1504" s="62" t="n">
        <v>0</v>
      </c>
      <c r="B1504" s="21" t="s">
        <v>336</v>
      </c>
      <c r="C1504" s="62" t="s">
        <v>60</v>
      </c>
      <c r="D1504" s="62" t="s">
        <v>386</v>
      </c>
      <c r="E1504" s="62" t="s">
        <v>71</v>
      </c>
      <c r="F1504" s="62" t="s">
        <v>382</v>
      </c>
      <c r="G1504" s="63" t="s">
        <v>485</v>
      </c>
      <c r="H1504" s="64" t="n">
        <v>515</v>
      </c>
      <c r="I1504" s="62"/>
      <c r="J1504" s="64" t="n">
        <v>515</v>
      </c>
      <c r="K1504" s="62"/>
      <c r="L1504" s="68" t="b">
        <f aca="false">TRUE()</f>
        <v>1</v>
      </c>
    </row>
    <row r="1505" customFormat="false" ht="15" hidden="false" customHeight="false" outlineLevel="0" collapsed="false">
      <c r="A1505" s="62" t="n">
        <v>0</v>
      </c>
      <c r="B1505" s="21" t="s">
        <v>336</v>
      </c>
      <c r="C1505" s="62" t="s">
        <v>60</v>
      </c>
      <c r="D1505" s="62" t="s">
        <v>387</v>
      </c>
      <c r="E1505" s="62" t="s">
        <v>71</v>
      </c>
      <c r="F1505" s="62" t="s">
        <v>382</v>
      </c>
      <c r="G1505" s="63" t="s">
        <v>485</v>
      </c>
      <c r="H1505" s="64" t="n">
        <v>515</v>
      </c>
      <c r="I1505" s="62"/>
      <c r="J1505" s="64" t="n">
        <v>515</v>
      </c>
      <c r="K1505" s="62"/>
      <c r="L1505" s="68" t="b">
        <f aca="false">TRUE()</f>
        <v>1</v>
      </c>
    </row>
    <row r="1506" customFormat="false" ht="15" hidden="false" customHeight="false" outlineLevel="0" collapsed="false">
      <c r="A1506" s="62" t="n">
        <v>0</v>
      </c>
      <c r="B1506" s="21" t="s">
        <v>336</v>
      </c>
      <c r="C1506" s="62" t="s">
        <v>60</v>
      </c>
      <c r="D1506" s="62" t="s">
        <v>388</v>
      </c>
      <c r="E1506" s="62" t="s">
        <v>71</v>
      </c>
      <c r="F1506" s="62" t="s">
        <v>382</v>
      </c>
      <c r="G1506" s="63" t="s">
        <v>485</v>
      </c>
      <c r="H1506" s="64" t="n">
        <v>515</v>
      </c>
      <c r="I1506" s="62"/>
      <c r="J1506" s="64" t="n">
        <v>515</v>
      </c>
      <c r="K1506" s="62"/>
      <c r="L1506" s="68" t="b">
        <f aca="false">TRUE()</f>
        <v>1</v>
      </c>
    </row>
    <row r="1507" customFormat="false" ht="15" hidden="false" customHeight="false" outlineLevel="0" collapsed="false">
      <c r="A1507" s="62" t="n">
        <v>0</v>
      </c>
      <c r="B1507" s="21" t="s">
        <v>336</v>
      </c>
      <c r="C1507" s="62" t="s">
        <v>60</v>
      </c>
      <c r="D1507" s="62" t="s">
        <v>381</v>
      </c>
      <c r="E1507" s="62" t="s">
        <v>71</v>
      </c>
      <c r="F1507" s="62" t="s">
        <v>92</v>
      </c>
      <c r="G1507" s="63" t="s">
        <v>479</v>
      </c>
      <c r="H1507" s="64" t="n">
        <v>0.142857142857143</v>
      </c>
      <c r="I1507" s="62" t="s">
        <v>878</v>
      </c>
      <c r="J1507" s="64" t="n">
        <v>14.2857142857143</v>
      </c>
      <c r="K1507" s="62" t="s">
        <v>42</v>
      </c>
      <c r="L1507" s="68" t="b">
        <f aca="false">TRUE()</f>
        <v>1</v>
      </c>
    </row>
    <row r="1508" customFormat="false" ht="15" hidden="false" customHeight="false" outlineLevel="0" collapsed="false">
      <c r="A1508" s="62" t="n">
        <v>0</v>
      </c>
      <c r="B1508" s="21" t="s">
        <v>336</v>
      </c>
      <c r="C1508" s="62" t="s">
        <v>60</v>
      </c>
      <c r="D1508" s="62" t="s">
        <v>383</v>
      </c>
      <c r="E1508" s="62" t="s">
        <v>71</v>
      </c>
      <c r="F1508" s="62" t="s">
        <v>92</v>
      </c>
      <c r="G1508" s="63" t="s">
        <v>479</v>
      </c>
      <c r="H1508" s="64" t="n">
        <v>0.142857142857143</v>
      </c>
      <c r="I1508" s="62" t="s">
        <v>878</v>
      </c>
      <c r="J1508" s="64" t="n">
        <v>14.2857142857143</v>
      </c>
      <c r="K1508" s="62" t="s">
        <v>42</v>
      </c>
      <c r="L1508" s="68" t="b">
        <f aca="false">TRUE()</f>
        <v>1</v>
      </c>
    </row>
    <row r="1509" customFormat="false" ht="15" hidden="false" customHeight="false" outlineLevel="0" collapsed="false">
      <c r="A1509" s="62" t="n">
        <v>0</v>
      </c>
      <c r="B1509" s="21" t="s">
        <v>336</v>
      </c>
      <c r="C1509" s="62" t="s">
        <v>60</v>
      </c>
      <c r="D1509" s="62" t="s">
        <v>384</v>
      </c>
      <c r="E1509" s="62" t="s">
        <v>71</v>
      </c>
      <c r="F1509" s="62" t="s">
        <v>92</v>
      </c>
      <c r="G1509" s="63" t="s">
        <v>479</v>
      </c>
      <c r="H1509" s="64" t="n">
        <v>0.142857142857143</v>
      </c>
      <c r="I1509" s="62" t="s">
        <v>878</v>
      </c>
      <c r="J1509" s="64" t="n">
        <v>14.2857142857143</v>
      </c>
      <c r="K1509" s="62" t="s">
        <v>42</v>
      </c>
      <c r="L1509" s="68" t="b">
        <f aca="false">TRUE()</f>
        <v>1</v>
      </c>
    </row>
    <row r="1510" customFormat="false" ht="15" hidden="false" customHeight="false" outlineLevel="0" collapsed="false">
      <c r="A1510" s="62" t="n">
        <v>0</v>
      </c>
      <c r="B1510" s="21" t="s">
        <v>336</v>
      </c>
      <c r="C1510" s="62" t="s">
        <v>60</v>
      </c>
      <c r="D1510" s="62" t="s">
        <v>385</v>
      </c>
      <c r="E1510" s="62" t="s">
        <v>71</v>
      </c>
      <c r="F1510" s="62" t="s">
        <v>92</v>
      </c>
      <c r="G1510" s="63" t="s">
        <v>479</v>
      </c>
      <c r="H1510" s="64" t="n">
        <v>0.142857142857143</v>
      </c>
      <c r="I1510" s="62" t="s">
        <v>878</v>
      </c>
      <c r="J1510" s="64" t="n">
        <v>14.2857142857143</v>
      </c>
      <c r="K1510" s="62" t="s">
        <v>42</v>
      </c>
      <c r="L1510" s="68" t="b">
        <f aca="false">TRUE()</f>
        <v>1</v>
      </c>
    </row>
    <row r="1511" customFormat="false" ht="15" hidden="false" customHeight="false" outlineLevel="0" collapsed="false">
      <c r="A1511" s="62" t="n">
        <v>0</v>
      </c>
      <c r="B1511" s="21" t="s">
        <v>336</v>
      </c>
      <c r="C1511" s="62" t="s">
        <v>60</v>
      </c>
      <c r="D1511" s="62" t="s">
        <v>386</v>
      </c>
      <c r="E1511" s="62" t="s">
        <v>71</v>
      </c>
      <c r="F1511" s="62" t="s">
        <v>92</v>
      </c>
      <c r="G1511" s="63" t="s">
        <v>479</v>
      </c>
      <c r="H1511" s="64" t="n">
        <v>0.142857142857143</v>
      </c>
      <c r="I1511" s="62" t="s">
        <v>878</v>
      </c>
      <c r="J1511" s="64" t="n">
        <v>14.2857142857143</v>
      </c>
      <c r="K1511" s="62" t="s">
        <v>42</v>
      </c>
      <c r="L1511" s="68" t="b">
        <f aca="false">TRUE()</f>
        <v>1</v>
      </c>
    </row>
    <row r="1512" customFormat="false" ht="15" hidden="false" customHeight="false" outlineLevel="0" collapsed="false">
      <c r="A1512" s="62" t="n">
        <v>0</v>
      </c>
      <c r="B1512" s="21" t="s">
        <v>336</v>
      </c>
      <c r="C1512" s="62" t="s">
        <v>60</v>
      </c>
      <c r="D1512" s="62" t="s">
        <v>387</v>
      </c>
      <c r="E1512" s="62" t="s">
        <v>71</v>
      </c>
      <c r="F1512" s="62" t="s">
        <v>92</v>
      </c>
      <c r="G1512" s="63" t="s">
        <v>479</v>
      </c>
      <c r="H1512" s="64" t="n">
        <v>0.142857142857143</v>
      </c>
      <c r="I1512" s="62" t="s">
        <v>878</v>
      </c>
      <c r="J1512" s="64" t="n">
        <v>14.2857142857143</v>
      </c>
      <c r="K1512" s="62" t="s">
        <v>42</v>
      </c>
      <c r="L1512" s="68" t="b">
        <f aca="false">TRUE()</f>
        <v>1</v>
      </c>
    </row>
    <row r="1513" customFormat="false" ht="15" hidden="false" customHeight="false" outlineLevel="0" collapsed="false">
      <c r="A1513" s="62" t="n">
        <v>0</v>
      </c>
      <c r="B1513" s="21" t="s">
        <v>336</v>
      </c>
      <c r="C1513" s="62" t="s">
        <v>60</v>
      </c>
      <c r="D1513" s="62" t="s">
        <v>388</v>
      </c>
      <c r="E1513" s="62" t="s">
        <v>71</v>
      </c>
      <c r="F1513" s="62" t="s">
        <v>92</v>
      </c>
      <c r="G1513" s="63" t="s">
        <v>479</v>
      </c>
      <c r="H1513" s="64" t="n">
        <v>0.142857142857143</v>
      </c>
      <c r="I1513" s="62" t="s">
        <v>878</v>
      </c>
      <c r="J1513" s="64" t="n">
        <v>14.2857142857143</v>
      </c>
      <c r="K1513" s="62" t="s">
        <v>42</v>
      </c>
      <c r="L1513" s="68" t="b">
        <f aca="false">TRUE()</f>
        <v>1</v>
      </c>
    </row>
    <row r="1514" customFormat="false" ht="15" hidden="false" customHeight="false" outlineLevel="0" collapsed="false">
      <c r="A1514" s="62" t="n">
        <v>0</v>
      </c>
      <c r="B1514" s="21" t="s">
        <v>336</v>
      </c>
      <c r="C1514" s="62" t="s">
        <v>60</v>
      </c>
      <c r="D1514" s="62" t="s">
        <v>381</v>
      </c>
      <c r="E1514" s="62" t="s">
        <v>71</v>
      </c>
      <c r="F1514" s="62" t="s">
        <v>94</v>
      </c>
      <c r="G1514" s="63" t="s">
        <v>479</v>
      </c>
      <c r="H1514" s="64" t="n">
        <v>0</v>
      </c>
      <c r="I1514" s="62" t="s">
        <v>878</v>
      </c>
      <c r="J1514" s="64" t="n">
        <v>0</v>
      </c>
      <c r="K1514" s="62" t="s">
        <v>42</v>
      </c>
      <c r="L1514" s="68" t="b">
        <f aca="false">TRUE()</f>
        <v>1</v>
      </c>
    </row>
    <row r="1515" customFormat="false" ht="15" hidden="false" customHeight="false" outlineLevel="0" collapsed="false">
      <c r="A1515" s="62" t="n">
        <v>0</v>
      </c>
      <c r="B1515" s="21" t="s">
        <v>336</v>
      </c>
      <c r="C1515" s="62" t="s">
        <v>60</v>
      </c>
      <c r="D1515" s="62" t="s">
        <v>383</v>
      </c>
      <c r="E1515" s="62" t="s">
        <v>71</v>
      </c>
      <c r="F1515" s="62" t="s">
        <v>94</v>
      </c>
      <c r="G1515" s="63" t="s">
        <v>479</v>
      </c>
      <c r="H1515" s="64" t="n">
        <v>0</v>
      </c>
      <c r="I1515" s="62" t="s">
        <v>878</v>
      </c>
      <c r="J1515" s="64" t="n">
        <v>0</v>
      </c>
      <c r="K1515" s="62" t="s">
        <v>42</v>
      </c>
      <c r="L1515" s="68" t="b">
        <f aca="false">TRUE()</f>
        <v>1</v>
      </c>
    </row>
    <row r="1516" customFormat="false" ht="15" hidden="false" customHeight="false" outlineLevel="0" collapsed="false">
      <c r="A1516" s="62" t="n">
        <v>0</v>
      </c>
      <c r="B1516" s="21" t="s">
        <v>336</v>
      </c>
      <c r="C1516" s="62" t="s">
        <v>60</v>
      </c>
      <c r="D1516" s="62" t="s">
        <v>384</v>
      </c>
      <c r="E1516" s="62" t="s">
        <v>71</v>
      </c>
      <c r="F1516" s="62" t="s">
        <v>94</v>
      </c>
      <c r="G1516" s="63" t="s">
        <v>479</v>
      </c>
      <c r="H1516" s="64" t="n">
        <v>0</v>
      </c>
      <c r="I1516" s="62" t="s">
        <v>878</v>
      </c>
      <c r="J1516" s="64" t="n">
        <v>0</v>
      </c>
      <c r="K1516" s="62" t="s">
        <v>42</v>
      </c>
      <c r="L1516" s="68" t="b">
        <f aca="false">TRUE()</f>
        <v>1</v>
      </c>
    </row>
    <row r="1517" customFormat="false" ht="15" hidden="false" customHeight="false" outlineLevel="0" collapsed="false">
      <c r="A1517" s="62" t="n">
        <v>0</v>
      </c>
      <c r="B1517" s="21" t="s">
        <v>336</v>
      </c>
      <c r="C1517" s="62" t="s">
        <v>60</v>
      </c>
      <c r="D1517" s="62" t="s">
        <v>385</v>
      </c>
      <c r="E1517" s="62" t="s">
        <v>71</v>
      </c>
      <c r="F1517" s="62" t="s">
        <v>94</v>
      </c>
      <c r="G1517" s="63" t="s">
        <v>479</v>
      </c>
      <c r="H1517" s="64" t="n">
        <v>0</v>
      </c>
      <c r="I1517" s="62" t="s">
        <v>878</v>
      </c>
      <c r="J1517" s="64" t="n">
        <v>0</v>
      </c>
      <c r="K1517" s="62" t="s">
        <v>42</v>
      </c>
      <c r="L1517" s="68" t="b">
        <f aca="false">TRUE()</f>
        <v>1</v>
      </c>
    </row>
    <row r="1518" customFormat="false" ht="15" hidden="false" customHeight="false" outlineLevel="0" collapsed="false">
      <c r="A1518" s="62" t="n">
        <v>0</v>
      </c>
      <c r="B1518" s="21" t="s">
        <v>336</v>
      </c>
      <c r="C1518" s="62" t="s">
        <v>60</v>
      </c>
      <c r="D1518" s="62" t="s">
        <v>386</v>
      </c>
      <c r="E1518" s="62" t="s">
        <v>71</v>
      </c>
      <c r="F1518" s="62" t="s">
        <v>94</v>
      </c>
      <c r="G1518" s="63" t="s">
        <v>479</v>
      </c>
      <c r="H1518" s="64" t="n">
        <v>0</v>
      </c>
      <c r="I1518" s="62" t="s">
        <v>878</v>
      </c>
      <c r="J1518" s="64" t="n">
        <v>0</v>
      </c>
      <c r="K1518" s="62" t="s">
        <v>42</v>
      </c>
      <c r="L1518" s="68" t="b">
        <f aca="false">TRUE()</f>
        <v>1</v>
      </c>
    </row>
    <row r="1519" customFormat="false" ht="15" hidden="false" customHeight="false" outlineLevel="0" collapsed="false">
      <c r="A1519" s="62" t="n">
        <v>0</v>
      </c>
      <c r="B1519" s="21" t="s">
        <v>336</v>
      </c>
      <c r="C1519" s="62" t="s">
        <v>60</v>
      </c>
      <c r="D1519" s="62" t="s">
        <v>387</v>
      </c>
      <c r="E1519" s="62" t="s">
        <v>71</v>
      </c>
      <c r="F1519" s="62" t="s">
        <v>94</v>
      </c>
      <c r="G1519" s="63" t="s">
        <v>479</v>
      </c>
      <c r="H1519" s="64" t="n">
        <v>0</v>
      </c>
      <c r="I1519" s="62" t="s">
        <v>878</v>
      </c>
      <c r="J1519" s="64" t="n">
        <v>0</v>
      </c>
      <c r="K1519" s="62" t="s">
        <v>42</v>
      </c>
      <c r="L1519" s="68" t="b">
        <f aca="false">TRUE()</f>
        <v>1</v>
      </c>
    </row>
    <row r="1520" customFormat="false" ht="15" hidden="false" customHeight="false" outlineLevel="0" collapsed="false">
      <c r="A1520" s="62" t="n">
        <v>0</v>
      </c>
      <c r="B1520" s="21" t="s">
        <v>336</v>
      </c>
      <c r="C1520" s="62" t="s">
        <v>60</v>
      </c>
      <c r="D1520" s="62" t="s">
        <v>388</v>
      </c>
      <c r="E1520" s="62" t="s">
        <v>71</v>
      </c>
      <c r="F1520" s="62" t="s">
        <v>94</v>
      </c>
      <c r="G1520" s="63" t="s">
        <v>479</v>
      </c>
      <c r="H1520" s="64" t="n">
        <v>0</v>
      </c>
      <c r="I1520" s="62" t="s">
        <v>878</v>
      </c>
      <c r="J1520" s="64" t="n">
        <v>0</v>
      </c>
      <c r="K1520" s="62" t="s">
        <v>42</v>
      </c>
      <c r="L1520" s="68" t="b">
        <f aca="false">TRUE()</f>
        <v>1</v>
      </c>
    </row>
    <row r="1521" customFormat="false" ht="15" hidden="false" customHeight="false" outlineLevel="0" collapsed="false">
      <c r="A1521" s="62" t="n">
        <v>0</v>
      </c>
      <c r="B1521" s="21" t="s">
        <v>336</v>
      </c>
      <c r="C1521" s="62" t="s">
        <v>60</v>
      </c>
      <c r="D1521" s="62" t="s">
        <v>381</v>
      </c>
      <c r="E1521" s="62" t="s">
        <v>71</v>
      </c>
      <c r="F1521" s="62" t="s">
        <v>95</v>
      </c>
      <c r="G1521" s="63" t="s">
        <v>479</v>
      </c>
      <c r="H1521" s="64" t="n">
        <v>0</v>
      </c>
      <c r="I1521" s="62" t="s">
        <v>878</v>
      </c>
      <c r="J1521" s="64" t="n">
        <v>0</v>
      </c>
      <c r="K1521" s="62" t="s">
        <v>42</v>
      </c>
      <c r="L1521" s="68" t="b">
        <f aca="false">TRUE()</f>
        <v>1</v>
      </c>
    </row>
    <row r="1522" customFormat="false" ht="15" hidden="false" customHeight="false" outlineLevel="0" collapsed="false">
      <c r="A1522" s="62" t="n">
        <v>0</v>
      </c>
      <c r="B1522" s="21" t="s">
        <v>336</v>
      </c>
      <c r="C1522" s="62" t="s">
        <v>60</v>
      </c>
      <c r="D1522" s="62" t="s">
        <v>383</v>
      </c>
      <c r="E1522" s="62" t="s">
        <v>71</v>
      </c>
      <c r="F1522" s="62" t="s">
        <v>95</v>
      </c>
      <c r="G1522" s="63" t="s">
        <v>479</v>
      </c>
      <c r="H1522" s="64" t="n">
        <v>0</v>
      </c>
      <c r="I1522" s="62" t="s">
        <v>878</v>
      </c>
      <c r="J1522" s="64" t="n">
        <v>0</v>
      </c>
      <c r="K1522" s="62" t="s">
        <v>42</v>
      </c>
      <c r="L1522" s="68" t="b">
        <f aca="false">TRUE()</f>
        <v>1</v>
      </c>
    </row>
    <row r="1523" customFormat="false" ht="15" hidden="false" customHeight="false" outlineLevel="0" collapsed="false">
      <c r="A1523" s="62" t="n">
        <v>0</v>
      </c>
      <c r="B1523" s="21" t="s">
        <v>336</v>
      </c>
      <c r="C1523" s="62" t="s">
        <v>60</v>
      </c>
      <c r="D1523" s="62" t="s">
        <v>384</v>
      </c>
      <c r="E1523" s="62" t="s">
        <v>71</v>
      </c>
      <c r="F1523" s="62" t="s">
        <v>95</v>
      </c>
      <c r="G1523" s="63" t="s">
        <v>479</v>
      </c>
      <c r="H1523" s="64" t="n">
        <v>0</v>
      </c>
      <c r="I1523" s="62" t="s">
        <v>878</v>
      </c>
      <c r="J1523" s="64" t="n">
        <v>0</v>
      </c>
      <c r="K1523" s="62" t="s">
        <v>42</v>
      </c>
      <c r="L1523" s="68" t="b">
        <f aca="false">TRUE()</f>
        <v>1</v>
      </c>
    </row>
    <row r="1524" customFormat="false" ht="15" hidden="false" customHeight="false" outlineLevel="0" collapsed="false">
      <c r="A1524" s="62" t="n">
        <v>0</v>
      </c>
      <c r="B1524" s="21" t="s">
        <v>336</v>
      </c>
      <c r="C1524" s="62" t="s">
        <v>60</v>
      </c>
      <c r="D1524" s="62" t="s">
        <v>385</v>
      </c>
      <c r="E1524" s="62" t="s">
        <v>71</v>
      </c>
      <c r="F1524" s="62" t="s">
        <v>95</v>
      </c>
      <c r="G1524" s="63" t="s">
        <v>479</v>
      </c>
      <c r="H1524" s="64" t="n">
        <v>0</v>
      </c>
      <c r="I1524" s="62" t="s">
        <v>878</v>
      </c>
      <c r="J1524" s="64" t="n">
        <v>0</v>
      </c>
      <c r="K1524" s="62" t="s">
        <v>42</v>
      </c>
      <c r="L1524" s="68" t="b">
        <f aca="false">TRUE()</f>
        <v>1</v>
      </c>
    </row>
    <row r="1525" customFormat="false" ht="15" hidden="false" customHeight="false" outlineLevel="0" collapsed="false">
      <c r="A1525" s="62" t="n">
        <v>0</v>
      </c>
      <c r="B1525" s="21" t="s">
        <v>336</v>
      </c>
      <c r="C1525" s="62" t="s">
        <v>60</v>
      </c>
      <c r="D1525" s="62" t="s">
        <v>386</v>
      </c>
      <c r="E1525" s="62" t="s">
        <v>71</v>
      </c>
      <c r="F1525" s="62" t="s">
        <v>95</v>
      </c>
      <c r="G1525" s="63" t="s">
        <v>479</v>
      </c>
      <c r="H1525" s="64" t="n">
        <v>0</v>
      </c>
      <c r="I1525" s="62" t="s">
        <v>878</v>
      </c>
      <c r="J1525" s="64" t="n">
        <v>0</v>
      </c>
      <c r="K1525" s="62" t="s">
        <v>42</v>
      </c>
      <c r="L1525" s="68" t="b">
        <f aca="false">TRUE()</f>
        <v>1</v>
      </c>
    </row>
    <row r="1526" customFormat="false" ht="15" hidden="false" customHeight="false" outlineLevel="0" collapsed="false">
      <c r="A1526" s="62" t="n">
        <v>0</v>
      </c>
      <c r="B1526" s="21" t="s">
        <v>336</v>
      </c>
      <c r="C1526" s="62" t="s">
        <v>60</v>
      </c>
      <c r="D1526" s="62" t="s">
        <v>387</v>
      </c>
      <c r="E1526" s="62" t="s">
        <v>71</v>
      </c>
      <c r="F1526" s="62" t="s">
        <v>95</v>
      </c>
      <c r="G1526" s="63" t="s">
        <v>479</v>
      </c>
      <c r="H1526" s="64" t="n">
        <v>0</v>
      </c>
      <c r="I1526" s="62" t="s">
        <v>878</v>
      </c>
      <c r="J1526" s="64" t="n">
        <v>0</v>
      </c>
      <c r="K1526" s="62" t="s">
        <v>42</v>
      </c>
      <c r="L1526" s="68" t="b">
        <f aca="false">TRUE()</f>
        <v>1</v>
      </c>
    </row>
    <row r="1527" customFormat="false" ht="15" hidden="false" customHeight="false" outlineLevel="0" collapsed="false">
      <c r="A1527" s="62" t="n">
        <v>0</v>
      </c>
      <c r="B1527" s="21" t="s">
        <v>336</v>
      </c>
      <c r="C1527" s="62" t="s">
        <v>60</v>
      </c>
      <c r="D1527" s="62" t="s">
        <v>388</v>
      </c>
      <c r="E1527" s="62" t="s">
        <v>71</v>
      </c>
      <c r="F1527" s="62" t="s">
        <v>95</v>
      </c>
      <c r="G1527" s="63" t="s">
        <v>479</v>
      </c>
      <c r="H1527" s="64" t="n">
        <v>0</v>
      </c>
      <c r="I1527" s="62" t="s">
        <v>878</v>
      </c>
      <c r="J1527" s="64" t="n">
        <v>0</v>
      </c>
      <c r="K1527" s="62" t="s">
        <v>42</v>
      </c>
      <c r="L1527" s="68" t="b">
        <f aca="false">TRUE()</f>
        <v>1</v>
      </c>
    </row>
    <row r="1528" customFormat="false" ht="15" hidden="false" customHeight="false" outlineLevel="0" collapsed="false">
      <c r="A1528" s="62" t="n">
        <v>0</v>
      </c>
      <c r="B1528" s="21" t="s">
        <v>336</v>
      </c>
      <c r="C1528" s="62" t="s">
        <v>60</v>
      </c>
      <c r="D1528" s="62" t="s">
        <v>381</v>
      </c>
      <c r="E1528" s="62" t="s">
        <v>71</v>
      </c>
      <c r="F1528" s="62" t="s">
        <v>97</v>
      </c>
      <c r="G1528" s="63" t="s">
        <v>479</v>
      </c>
      <c r="H1528" s="64" t="n">
        <v>0</v>
      </c>
      <c r="I1528" s="62" t="s">
        <v>878</v>
      </c>
      <c r="J1528" s="64" t="n">
        <v>0</v>
      </c>
      <c r="K1528" s="62" t="s">
        <v>42</v>
      </c>
      <c r="L1528" s="68" t="b">
        <f aca="false">TRUE()</f>
        <v>1</v>
      </c>
    </row>
    <row r="1529" customFormat="false" ht="15" hidden="false" customHeight="false" outlineLevel="0" collapsed="false">
      <c r="A1529" s="62" t="n">
        <v>0</v>
      </c>
      <c r="B1529" s="21" t="s">
        <v>336</v>
      </c>
      <c r="C1529" s="62" t="s">
        <v>60</v>
      </c>
      <c r="D1529" s="62" t="s">
        <v>383</v>
      </c>
      <c r="E1529" s="62" t="s">
        <v>71</v>
      </c>
      <c r="F1529" s="62" t="s">
        <v>97</v>
      </c>
      <c r="G1529" s="63" t="s">
        <v>479</v>
      </c>
      <c r="H1529" s="64" t="n">
        <v>0</v>
      </c>
      <c r="I1529" s="62" t="s">
        <v>878</v>
      </c>
      <c r="J1529" s="64" t="n">
        <v>0</v>
      </c>
      <c r="K1529" s="62" t="s">
        <v>42</v>
      </c>
      <c r="L1529" s="68" t="b">
        <f aca="false">TRUE()</f>
        <v>1</v>
      </c>
    </row>
    <row r="1530" customFormat="false" ht="15" hidden="false" customHeight="false" outlineLevel="0" collapsed="false">
      <c r="A1530" s="62" t="n">
        <v>0</v>
      </c>
      <c r="B1530" s="21" t="s">
        <v>336</v>
      </c>
      <c r="C1530" s="62" t="s">
        <v>60</v>
      </c>
      <c r="D1530" s="62" t="s">
        <v>384</v>
      </c>
      <c r="E1530" s="62" t="s">
        <v>71</v>
      </c>
      <c r="F1530" s="62" t="s">
        <v>97</v>
      </c>
      <c r="G1530" s="63" t="s">
        <v>479</v>
      </c>
      <c r="H1530" s="64" t="n">
        <v>0</v>
      </c>
      <c r="I1530" s="62" t="s">
        <v>878</v>
      </c>
      <c r="J1530" s="64" t="n">
        <v>0</v>
      </c>
      <c r="K1530" s="62" t="s">
        <v>42</v>
      </c>
      <c r="L1530" s="68" t="b">
        <f aca="false">TRUE()</f>
        <v>1</v>
      </c>
    </row>
    <row r="1531" customFormat="false" ht="15" hidden="false" customHeight="false" outlineLevel="0" collapsed="false">
      <c r="A1531" s="62" t="n">
        <v>0</v>
      </c>
      <c r="B1531" s="21" t="s">
        <v>336</v>
      </c>
      <c r="C1531" s="62" t="s">
        <v>60</v>
      </c>
      <c r="D1531" s="62" t="s">
        <v>385</v>
      </c>
      <c r="E1531" s="62" t="s">
        <v>71</v>
      </c>
      <c r="F1531" s="62" t="s">
        <v>97</v>
      </c>
      <c r="G1531" s="63" t="s">
        <v>479</v>
      </c>
      <c r="H1531" s="64" t="n">
        <v>0</v>
      </c>
      <c r="I1531" s="62" t="s">
        <v>878</v>
      </c>
      <c r="J1531" s="64" t="n">
        <v>0</v>
      </c>
      <c r="K1531" s="62" t="s">
        <v>42</v>
      </c>
      <c r="L1531" s="68" t="b">
        <f aca="false">TRUE()</f>
        <v>1</v>
      </c>
    </row>
    <row r="1532" customFormat="false" ht="15" hidden="false" customHeight="false" outlineLevel="0" collapsed="false">
      <c r="A1532" s="62" t="n">
        <v>0</v>
      </c>
      <c r="B1532" s="21" t="s">
        <v>336</v>
      </c>
      <c r="C1532" s="62" t="s">
        <v>60</v>
      </c>
      <c r="D1532" s="62" t="s">
        <v>386</v>
      </c>
      <c r="E1532" s="62" t="s">
        <v>71</v>
      </c>
      <c r="F1532" s="62" t="s">
        <v>97</v>
      </c>
      <c r="G1532" s="63" t="s">
        <v>479</v>
      </c>
      <c r="H1532" s="64" t="n">
        <v>0</v>
      </c>
      <c r="I1532" s="62" t="s">
        <v>878</v>
      </c>
      <c r="J1532" s="64" t="n">
        <v>0</v>
      </c>
      <c r="K1532" s="62" t="s">
        <v>42</v>
      </c>
      <c r="L1532" s="68" t="b">
        <f aca="false">TRUE()</f>
        <v>1</v>
      </c>
    </row>
    <row r="1533" customFormat="false" ht="15" hidden="false" customHeight="false" outlineLevel="0" collapsed="false">
      <c r="A1533" s="62" t="n">
        <v>0</v>
      </c>
      <c r="B1533" s="21" t="s">
        <v>336</v>
      </c>
      <c r="C1533" s="62" t="s">
        <v>60</v>
      </c>
      <c r="D1533" s="62" t="s">
        <v>387</v>
      </c>
      <c r="E1533" s="62" t="s">
        <v>71</v>
      </c>
      <c r="F1533" s="62" t="s">
        <v>97</v>
      </c>
      <c r="G1533" s="63" t="s">
        <v>479</v>
      </c>
      <c r="H1533" s="64" t="n">
        <v>0</v>
      </c>
      <c r="I1533" s="62" t="s">
        <v>878</v>
      </c>
      <c r="J1533" s="64" t="n">
        <v>0</v>
      </c>
      <c r="K1533" s="62" t="s">
        <v>42</v>
      </c>
      <c r="L1533" s="68" t="b">
        <f aca="false">TRUE()</f>
        <v>1</v>
      </c>
    </row>
    <row r="1534" customFormat="false" ht="15" hidden="false" customHeight="false" outlineLevel="0" collapsed="false">
      <c r="A1534" s="62" t="n">
        <v>0</v>
      </c>
      <c r="B1534" s="21" t="s">
        <v>336</v>
      </c>
      <c r="C1534" s="62" t="s">
        <v>60</v>
      </c>
      <c r="D1534" s="62" t="s">
        <v>388</v>
      </c>
      <c r="E1534" s="62" t="s">
        <v>71</v>
      </c>
      <c r="F1534" s="62" t="s">
        <v>97</v>
      </c>
      <c r="G1534" s="63" t="s">
        <v>479</v>
      </c>
      <c r="H1534" s="64" t="n">
        <v>0</v>
      </c>
      <c r="I1534" s="62" t="s">
        <v>878</v>
      </c>
      <c r="J1534" s="64" t="n">
        <v>0</v>
      </c>
      <c r="K1534" s="62" t="s">
        <v>42</v>
      </c>
      <c r="L1534" s="68" t="b">
        <f aca="false">TRUE()</f>
        <v>1</v>
      </c>
    </row>
    <row r="1535" customFormat="false" ht="15" hidden="false" customHeight="false" outlineLevel="0" collapsed="false">
      <c r="A1535" s="62" t="n">
        <v>0</v>
      </c>
      <c r="B1535" s="21" t="s">
        <v>336</v>
      </c>
      <c r="C1535" s="62" t="s">
        <v>60</v>
      </c>
      <c r="D1535" s="62" t="s">
        <v>381</v>
      </c>
      <c r="E1535" s="62" t="s">
        <v>71</v>
      </c>
      <c r="F1535" s="62" t="s">
        <v>382</v>
      </c>
      <c r="G1535" s="63" t="s">
        <v>486</v>
      </c>
      <c r="H1535" s="64" t="n">
        <v>0.142857142857143</v>
      </c>
      <c r="I1535" s="62" t="s">
        <v>878</v>
      </c>
      <c r="J1535" s="64" t="n">
        <v>14.2857142857143</v>
      </c>
      <c r="K1535" s="62" t="s">
        <v>42</v>
      </c>
      <c r="L1535" s="68" t="b">
        <f aca="false">TRUE()</f>
        <v>1</v>
      </c>
    </row>
    <row r="1536" customFormat="false" ht="15" hidden="false" customHeight="false" outlineLevel="0" collapsed="false">
      <c r="A1536" s="62" t="n">
        <v>0</v>
      </c>
      <c r="B1536" s="21" t="s">
        <v>336</v>
      </c>
      <c r="C1536" s="62" t="s">
        <v>60</v>
      </c>
      <c r="D1536" s="62" t="s">
        <v>383</v>
      </c>
      <c r="E1536" s="62" t="s">
        <v>71</v>
      </c>
      <c r="F1536" s="62" t="s">
        <v>382</v>
      </c>
      <c r="G1536" s="63" t="s">
        <v>486</v>
      </c>
      <c r="H1536" s="64" t="n">
        <v>0.142857142857143</v>
      </c>
      <c r="I1536" s="62" t="s">
        <v>878</v>
      </c>
      <c r="J1536" s="64" t="n">
        <v>14.2857142857143</v>
      </c>
      <c r="K1536" s="62" t="s">
        <v>42</v>
      </c>
      <c r="L1536" s="68" t="b">
        <f aca="false">TRUE()</f>
        <v>1</v>
      </c>
    </row>
    <row r="1537" customFormat="false" ht="15" hidden="false" customHeight="false" outlineLevel="0" collapsed="false">
      <c r="A1537" s="62" t="n">
        <v>0</v>
      </c>
      <c r="B1537" s="21" t="s">
        <v>336</v>
      </c>
      <c r="C1537" s="62" t="s">
        <v>60</v>
      </c>
      <c r="D1537" s="62" t="s">
        <v>384</v>
      </c>
      <c r="E1537" s="62" t="s">
        <v>71</v>
      </c>
      <c r="F1537" s="62" t="s">
        <v>382</v>
      </c>
      <c r="G1537" s="63" t="s">
        <v>486</v>
      </c>
      <c r="H1537" s="64" t="n">
        <v>0.142857142857143</v>
      </c>
      <c r="I1537" s="62" t="s">
        <v>878</v>
      </c>
      <c r="J1537" s="64" t="n">
        <v>14.2857142857143</v>
      </c>
      <c r="K1537" s="62" t="s">
        <v>42</v>
      </c>
      <c r="L1537" s="68" t="b">
        <f aca="false">TRUE()</f>
        <v>1</v>
      </c>
    </row>
    <row r="1538" customFormat="false" ht="15" hidden="false" customHeight="false" outlineLevel="0" collapsed="false">
      <c r="A1538" s="62" t="n">
        <v>0</v>
      </c>
      <c r="B1538" s="21" t="s">
        <v>336</v>
      </c>
      <c r="C1538" s="62" t="s">
        <v>60</v>
      </c>
      <c r="D1538" s="62" t="s">
        <v>385</v>
      </c>
      <c r="E1538" s="62" t="s">
        <v>71</v>
      </c>
      <c r="F1538" s="62" t="s">
        <v>382</v>
      </c>
      <c r="G1538" s="63" t="s">
        <v>486</v>
      </c>
      <c r="H1538" s="64" t="n">
        <v>0.142857142857143</v>
      </c>
      <c r="I1538" s="62" t="s">
        <v>878</v>
      </c>
      <c r="J1538" s="64" t="n">
        <v>14.2857142857143</v>
      </c>
      <c r="K1538" s="62" t="s">
        <v>42</v>
      </c>
      <c r="L1538" s="68" t="b">
        <f aca="false">TRUE()</f>
        <v>1</v>
      </c>
    </row>
    <row r="1539" customFormat="false" ht="15" hidden="false" customHeight="false" outlineLevel="0" collapsed="false">
      <c r="A1539" s="62" t="n">
        <v>0</v>
      </c>
      <c r="B1539" s="21" t="s">
        <v>336</v>
      </c>
      <c r="C1539" s="62" t="s">
        <v>60</v>
      </c>
      <c r="D1539" s="62" t="s">
        <v>386</v>
      </c>
      <c r="E1539" s="62" t="s">
        <v>71</v>
      </c>
      <c r="F1539" s="62" t="s">
        <v>382</v>
      </c>
      <c r="G1539" s="63" t="s">
        <v>486</v>
      </c>
      <c r="H1539" s="64" t="n">
        <v>0.142857142857143</v>
      </c>
      <c r="I1539" s="62" t="s">
        <v>878</v>
      </c>
      <c r="J1539" s="64" t="n">
        <v>14.2857142857143</v>
      </c>
      <c r="K1539" s="62" t="s">
        <v>42</v>
      </c>
      <c r="L1539" s="68" t="b">
        <f aca="false">TRUE()</f>
        <v>1</v>
      </c>
    </row>
    <row r="1540" customFormat="false" ht="15" hidden="false" customHeight="false" outlineLevel="0" collapsed="false">
      <c r="A1540" s="62" t="n">
        <v>0</v>
      </c>
      <c r="B1540" s="21" t="s">
        <v>336</v>
      </c>
      <c r="C1540" s="62" t="s">
        <v>60</v>
      </c>
      <c r="D1540" s="62" t="s">
        <v>387</v>
      </c>
      <c r="E1540" s="62" t="s">
        <v>71</v>
      </c>
      <c r="F1540" s="62" t="s">
        <v>382</v>
      </c>
      <c r="G1540" s="63" t="s">
        <v>486</v>
      </c>
      <c r="H1540" s="64" t="n">
        <v>0.142857142857143</v>
      </c>
      <c r="I1540" s="62" t="s">
        <v>878</v>
      </c>
      <c r="J1540" s="64" t="n">
        <v>14.2857142857143</v>
      </c>
      <c r="K1540" s="62" t="s">
        <v>42</v>
      </c>
      <c r="L1540" s="68" t="b">
        <f aca="false">TRUE()</f>
        <v>1</v>
      </c>
    </row>
    <row r="1541" customFormat="false" ht="15" hidden="false" customHeight="false" outlineLevel="0" collapsed="false">
      <c r="A1541" s="62" t="n">
        <v>0</v>
      </c>
      <c r="B1541" s="21" t="s">
        <v>336</v>
      </c>
      <c r="C1541" s="62" t="s">
        <v>60</v>
      </c>
      <c r="D1541" s="62" t="s">
        <v>388</v>
      </c>
      <c r="E1541" s="62" t="s">
        <v>71</v>
      </c>
      <c r="F1541" s="62" t="s">
        <v>382</v>
      </c>
      <c r="G1541" s="63" t="s">
        <v>486</v>
      </c>
      <c r="H1541" s="64" t="n">
        <v>0.142857142857143</v>
      </c>
      <c r="I1541" s="62" t="s">
        <v>878</v>
      </c>
      <c r="J1541" s="64" t="n">
        <v>14.2857142857143</v>
      </c>
      <c r="K1541" s="62" t="s">
        <v>42</v>
      </c>
      <c r="L1541" s="68" t="b">
        <f aca="false">TRUE()</f>
        <v>1</v>
      </c>
    </row>
    <row r="1542" customFormat="false" ht="15" hidden="false" customHeight="false" outlineLevel="0" collapsed="false">
      <c r="A1542" s="62" t="n">
        <v>0</v>
      </c>
      <c r="B1542" s="21" t="s">
        <v>336</v>
      </c>
      <c r="C1542" s="62" t="s">
        <v>60</v>
      </c>
      <c r="D1542" s="62" t="s">
        <v>381</v>
      </c>
      <c r="E1542" s="62" t="s">
        <v>72</v>
      </c>
      <c r="F1542" s="62" t="s">
        <v>382</v>
      </c>
      <c r="G1542" s="63" t="s">
        <v>488</v>
      </c>
      <c r="H1542" s="64" t="n">
        <v>20000</v>
      </c>
      <c r="I1542" s="62"/>
      <c r="J1542" s="64" t="n">
        <v>20000</v>
      </c>
      <c r="K1542" s="62"/>
      <c r="L1542" s="68" t="b">
        <f aca="false">TRUE()</f>
        <v>1</v>
      </c>
    </row>
    <row r="1543" customFormat="false" ht="15" hidden="false" customHeight="false" outlineLevel="0" collapsed="false">
      <c r="A1543" s="62" t="n">
        <v>0</v>
      </c>
      <c r="B1543" s="21" t="s">
        <v>336</v>
      </c>
      <c r="C1543" s="62" t="s">
        <v>60</v>
      </c>
      <c r="D1543" s="62" t="s">
        <v>383</v>
      </c>
      <c r="E1543" s="62" t="s">
        <v>72</v>
      </c>
      <c r="F1543" s="62" t="s">
        <v>382</v>
      </c>
      <c r="G1543" s="63" t="s">
        <v>488</v>
      </c>
      <c r="H1543" s="64" t="n">
        <v>20000</v>
      </c>
      <c r="I1543" s="62"/>
      <c r="J1543" s="64" t="n">
        <v>20000</v>
      </c>
      <c r="K1543" s="62"/>
      <c r="L1543" s="68" t="b">
        <f aca="false">TRUE()</f>
        <v>1</v>
      </c>
    </row>
    <row r="1544" customFormat="false" ht="15" hidden="false" customHeight="false" outlineLevel="0" collapsed="false">
      <c r="A1544" s="62" t="n">
        <v>0</v>
      </c>
      <c r="B1544" s="21" t="s">
        <v>336</v>
      </c>
      <c r="C1544" s="62" t="s">
        <v>60</v>
      </c>
      <c r="D1544" s="62" t="s">
        <v>384</v>
      </c>
      <c r="E1544" s="62" t="s">
        <v>72</v>
      </c>
      <c r="F1544" s="62" t="s">
        <v>382</v>
      </c>
      <c r="G1544" s="63" t="s">
        <v>488</v>
      </c>
      <c r="H1544" s="64" t="n">
        <v>20000</v>
      </c>
      <c r="I1544" s="62"/>
      <c r="J1544" s="64" t="n">
        <v>20000</v>
      </c>
      <c r="K1544" s="62"/>
      <c r="L1544" s="68" t="b">
        <f aca="false">TRUE()</f>
        <v>1</v>
      </c>
    </row>
    <row r="1545" customFormat="false" ht="15" hidden="false" customHeight="false" outlineLevel="0" collapsed="false">
      <c r="A1545" s="62" t="n">
        <v>0</v>
      </c>
      <c r="B1545" s="21" t="s">
        <v>336</v>
      </c>
      <c r="C1545" s="62" t="s">
        <v>60</v>
      </c>
      <c r="D1545" s="62" t="s">
        <v>385</v>
      </c>
      <c r="E1545" s="62" t="s">
        <v>72</v>
      </c>
      <c r="F1545" s="62" t="s">
        <v>382</v>
      </c>
      <c r="G1545" s="63" t="s">
        <v>488</v>
      </c>
      <c r="H1545" s="64" t="n">
        <v>20000</v>
      </c>
      <c r="I1545" s="62"/>
      <c r="J1545" s="64" t="n">
        <v>20000</v>
      </c>
      <c r="K1545" s="62"/>
      <c r="L1545" s="68" t="b">
        <f aca="false">TRUE()</f>
        <v>1</v>
      </c>
    </row>
    <row r="1546" customFormat="false" ht="15" hidden="false" customHeight="false" outlineLevel="0" collapsed="false">
      <c r="A1546" s="62" t="n">
        <v>0</v>
      </c>
      <c r="B1546" s="21" t="s">
        <v>336</v>
      </c>
      <c r="C1546" s="62" t="s">
        <v>60</v>
      </c>
      <c r="D1546" s="62" t="s">
        <v>386</v>
      </c>
      <c r="E1546" s="62" t="s">
        <v>72</v>
      </c>
      <c r="F1546" s="62" t="s">
        <v>382</v>
      </c>
      <c r="G1546" s="63" t="s">
        <v>488</v>
      </c>
      <c r="H1546" s="64" t="n">
        <v>20000</v>
      </c>
      <c r="I1546" s="62"/>
      <c r="J1546" s="64" t="n">
        <v>20000</v>
      </c>
      <c r="K1546" s="62"/>
      <c r="L1546" s="68" t="b">
        <f aca="false">TRUE()</f>
        <v>1</v>
      </c>
    </row>
    <row r="1547" customFormat="false" ht="15" hidden="false" customHeight="false" outlineLevel="0" collapsed="false">
      <c r="A1547" s="62" t="n">
        <v>0</v>
      </c>
      <c r="B1547" s="21" t="s">
        <v>336</v>
      </c>
      <c r="C1547" s="62" t="s">
        <v>60</v>
      </c>
      <c r="D1547" s="62" t="s">
        <v>387</v>
      </c>
      <c r="E1547" s="62" t="s">
        <v>72</v>
      </c>
      <c r="F1547" s="62" t="s">
        <v>382</v>
      </c>
      <c r="G1547" s="63" t="s">
        <v>488</v>
      </c>
      <c r="H1547" s="64" t="n">
        <v>20000</v>
      </c>
      <c r="I1547" s="62"/>
      <c r="J1547" s="64" t="n">
        <v>20000</v>
      </c>
      <c r="K1547" s="62"/>
      <c r="L1547" s="68" t="b">
        <f aca="false">TRUE()</f>
        <v>1</v>
      </c>
    </row>
    <row r="1548" customFormat="false" ht="15" hidden="false" customHeight="false" outlineLevel="0" collapsed="false">
      <c r="A1548" s="62" t="n">
        <v>0</v>
      </c>
      <c r="B1548" s="21" t="s">
        <v>336</v>
      </c>
      <c r="C1548" s="62" t="s">
        <v>60</v>
      </c>
      <c r="D1548" s="62" t="s">
        <v>388</v>
      </c>
      <c r="E1548" s="62" t="s">
        <v>72</v>
      </c>
      <c r="F1548" s="62" t="s">
        <v>382</v>
      </c>
      <c r="G1548" s="63" t="s">
        <v>488</v>
      </c>
      <c r="H1548" s="64" t="n">
        <v>20000</v>
      </c>
      <c r="I1548" s="62"/>
      <c r="J1548" s="64" t="n">
        <v>20000</v>
      </c>
      <c r="K1548" s="62"/>
      <c r="L1548" s="68" t="b">
        <f aca="false">TRUE()</f>
        <v>1</v>
      </c>
    </row>
    <row r="1549" customFormat="false" ht="15" hidden="false" customHeight="false" outlineLevel="0" collapsed="false">
      <c r="A1549" s="62" t="n">
        <v>0</v>
      </c>
      <c r="B1549" s="21" t="s">
        <v>336</v>
      </c>
      <c r="C1549" s="62" t="s">
        <v>60</v>
      </c>
      <c r="D1549" s="62" t="s">
        <v>381</v>
      </c>
      <c r="E1549" s="62" t="s">
        <v>72</v>
      </c>
      <c r="F1549" s="62" t="s">
        <v>382</v>
      </c>
      <c r="G1549" s="63" t="s">
        <v>482</v>
      </c>
      <c r="H1549" s="64" t="n">
        <v>2</v>
      </c>
      <c r="I1549" s="62"/>
      <c r="J1549" s="64" t="n">
        <v>2</v>
      </c>
      <c r="K1549" s="62"/>
      <c r="L1549" s="68" t="b">
        <f aca="false">TRUE()</f>
        <v>1</v>
      </c>
    </row>
    <row r="1550" customFormat="false" ht="15" hidden="false" customHeight="false" outlineLevel="0" collapsed="false">
      <c r="A1550" s="62" t="n">
        <v>0</v>
      </c>
      <c r="B1550" s="21" t="s">
        <v>336</v>
      </c>
      <c r="C1550" s="62" t="s">
        <v>60</v>
      </c>
      <c r="D1550" s="62" t="s">
        <v>383</v>
      </c>
      <c r="E1550" s="62" t="s">
        <v>72</v>
      </c>
      <c r="F1550" s="62" t="s">
        <v>382</v>
      </c>
      <c r="G1550" s="63" t="s">
        <v>482</v>
      </c>
      <c r="H1550" s="64" t="n">
        <v>2</v>
      </c>
      <c r="I1550" s="62"/>
      <c r="J1550" s="64" t="n">
        <v>2</v>
      </c>
      <c r="K1550" s="62"/>
      <c r="L1550" s="68" t="b">
        <f aca="false">TRUE()</f>
        <v>1</v>
      </c>
    </row>
    <row r="1551" customFormat="false" ht="15" hidden="false" customHeight="false" outlineLevel="0" collapsed="false">
      <c r="A1551" s="62" t="n">
        <v>0</v>
      </c>
      <c r="B1551" s="21" t="s">
        <v>336</v>
      </c>
      <c r="C1551" s="62" t="s">
        <v>60</v>
      </c>
      <c r="D1551" s="62" t="s">
        <v>384</v>
      </c>
      <c r="E1551" s="62" t="s">
        <v>72</v>
      </c>
      <c r="F1551" s="62" t="s">
        <v>382</v>
      </c>
      <c r="G1551" s="63" t="s">
        <v>482</v>
      </c>
      <c r="H1551" s="64" t="n">
        <v>2</v>
      </c>
      <c r="I1551" s="62"/>
      <c r="J1551" s="64" t="n">
        <v>2</v>
      </c>
      <c r="K1551" s="62"/>
      <c r="L1551" s="68" t="b">
        <f aca="false">TRUE()</f>
        <v>1</v>
      </c>
    </row>
    <row r="1552" customFormat="false" ht="15" hidden="false" customHeight="false" outlineLevel="0" collapsed="false">
      <c r="A1552" s="62" t="n">
        <v>0</v>
      </c>
      <c r="B1552" s="21" t="s">
        <v>336</v>
      </c>
      <c r="C1552" s="62" t="s">
        <v>60</v>
      </c>
      <c r="D1552" s="62" t="s">
        <v>385</v>
      </c>
      <c r="E1552" s="62" t="s">
        <v>72</v>
      </c>
      <c r="F1552" s="62" t="s">
        <v>382</v>
      </c>
      <c r="G1552" s="63" t="s">
        <v>482</v>
      </c>
      <c r="H1552" s="64" t="n">
        <v>2</v>
      </c>
      <c r="I1552" s="62"/>
      <c r="J1552" s="64" t="n">
        <v>2</v>
      </c>
      <c r="K1552" s="62"/>
      <c r="L1552" s="68" t="b">
        <f aca="false">TRUE()</f>
        <v>1</v>
      </c>
    </row>
    <row r="1553" customFormat="false" ht="15" hidden="false" customHeight="false" outlineLevel="0" collapsed="false">
      <c r="A1553" s="62" t="n">
        <v>0</v>
      </c>
      <c r="B1553" s="21" t="s">
        <v>336</v>
      </c>
      <c r="C1553" s="62" t="s">
        <v>60</v>
      </c>
      <c r="D1553" s="62" t="s">
        <v>386</v>
      </c>
      <c r="E1553" s="62" t="s">
        <v>72</v>
      </c>
      <c r="F1553" s="62" t="s">
        <v>382</v>
      </c>
      <c r="G1553" s="63" t="s">
        <v>482</v>
      </c>
      <c r="H1553" s="64" t="n">
        <v>2</v>
      </c>
      <c r="I1553" s="62"/>
      <c r="J1553" s="64" t="n">
        <v>2</v>
      </c>
      <c r="K1553" s="62"/>
      <c r="L1553" s="68" t="b">
        <f aca="false">TRUE()</f>
        <v>1</v>
      </c>
    </row>
    <row r="1554" customFormat="false" ht="15" hidden="false" customHeight="false" outlineLevel="0" collapsed="false">
      <c r="A1554" s="62" t="n">
        <v>0</v>
      </c>
      <c r="B1554" s="21" t="s">
        <v>336</v>
      </c>
      <c r="C1554" s="62" t="s">
        <v>60</v>
      </c>
      <c r="D1554" s="62" t="s">
        <v>387</v>
      </c>
      <c r="E1554" s="62" t="s">
        <v>72</v>
      </c>
      <c r="F1554" s="62" t="s">
        <v>382</v>
      </c>
      <c r="G1554" s="63" t="s">
        <v>482</v>
      </c>
      <c r="H1554" s="64" t="n">
        <v>2</v>
      </c>
      <c r="I1554" s="62"/>
      <c r="J1554" s="64" t="n">
        <v>2</v>
      </c>
      <c r="K1554" s="62"/>
      <c r="L1554" s="68" t="b">
        <f aca="false">TRUE()</f>
        <v>1</v>
      </c>
    </row>
    <row r="1555" customFormat="false" ht="15" hidden="false" customHeight="false" outlineLevel="0" collapsed="false">
      <c r="A1555" s="62" t="n">
        <v>0</v>
      </c>
      <c r="B1555" s="21" t="s">
        <v>336</v>
      </c>
      <c r="C1555" s="62" t="s">
        <v>60</v>
      </c>
      <c r="D1555" s="62" t="s">
        <v>388</v>
      </c>
      <c r="E1555" s="62" t="s">
        <v>72</v>
      </c>
      <c r="F1555" s="62" t="s">
        <v>382</v>
      </c>
      <c r="G1555" s="63" t="s">
        <v>482</v>
      </c>
      <c r="H1555" s="64" t="n">
        <v>2</v>
      </c>
      <c r="I1555" s="62"/>
      <c r="J1555" s="64" t="n">
        <v>2</v>
      </c>
      <c r="K1555" s="62"/>
      <c r="L1555" s="68" t="b">
        <f aca="false">TRUE()</f>
        <v>1</v>
      </c>
    </row>
    <row r="1556" customFormat="false" ht="15" hidden="false" customHeight="false" outlineLevel="0" collapsed="false">
      <c r="A1556" s="62" t="n">
        <v>0</v>
      </c>
      <c r="B1556" s="21" t="s">
        <v>336</v>
      </c>
      <c r="C1556" s="62" t="s">
        <v>60</v>
      </c>
      <c r="D1556" s="62" t="s">
        <v>381</v>
      </c>
      <c r="E1556" s="62" t="s">
        <v>72</v>
      </c>
      <c r="F1556" s="62" t="s">
        <v>382</v>
      </c>
      <c r="G1556" s="63" t="s">
        <v>483</v>
      </c>
      <c r="H1556" s="64" t="s">
        <v>29</v>
      </c>
      <c r="I1556" s="62"/>
      <c r="J1556" s="64" t="s">
        <v>29</v>
      </c>
      <c r="K1556" s="62"/>
      <c r="L1556" s="68" t="b">
        <f aca="false">TRUE()</f>
        <v>1</v>
      </c>
    </row>
    <row r="1557" customFormat="false" ht="15" hidden="false" customHeight="false" outlineLevel="0" collapsed="false">
      <c r="A1557" s="62" t="n">
        <v>0</v>
      </c>
      <c r="B1557" s="21" t="s">
        <v>336</v>
      </c>
      <c r="C1557" s="62" t="s">
        <v>60</v>
      </c>
      <c r="D1557" s="62" t="s">
        <v>383</v>
      </c>
      <c r="E1557" s="62" t="s">
        <v>72</v>
      </c>
      <c r="F1557" s="62" t="s">
        <v>382</v>
      </c>
      <c r="G1557" s="63" t="s">
        <v>483</v>
      </c>
      <c r="H1557" s="64" t="s">
        <v>29</v>
      </c>
      <c r="I1557" s="62"/>
      <c r="J1557" s="64" t="s">
        <v>29</v>
      </c>
      <c r="K1557" s="62"/>
      <c r="L1557" s="68" t="b">
        <f aca="false">TRUE()</f>
        <v>1</v>
      </c>
    </row>
    <row r="1558" customFormat="false" ht="15" hidden="false" customHeight="false" outlineLevel="0" collapsed="false">
      <c r="A1558" s="62" t="n">
        <v>0</v>
      </c>
      <c r="B1558" s="21" t="s">
        <v>336</v>
      </c>
      <c r="C1558" s="62" t="s">
        <v>60</v>
      </c>
      <c r="D1558" s="62" t="s">
        <v>384</v>
      </c>
      <c r="E1558" s="62" t="s">
        <v>72</v>
      </c>
      <c r="F1558" s="62" t="s">
        <v>382</v>
      </c>
      <c r="G1558" s="63" t="s">
        <v>483</v>
      </c>
      <c r="H1558" s="64" t="s">
        <v>29</v>
      </c>
      <c r="I1558" s="62"/>
      <c r="J1558" s="64" t="s">
        <v>29</v>
      </c>
      <c r="K1558" s="62"/>
      <c r="L1558" s="68" t="b">
        <f aca="false">TRUE()</f>
        <v>1</v>
      </c>
    </row>
    <row r="1559" customFormat="false" ht="15" hidden="false" customHeight="false" outlineLevel="0" collapsed="false">
      <c r="A1559" s="62" t="n">
        <v>0</v>
      </c>
      <c r="B1559" s="21" t="s">
        <v>336</v>
      </c>
      <c r="C1559" s="62" t="s">
        <v>60</v>
      </c>
      <c r="D1559" s="62" t="s">
        <v>385</v>
      </c>
      <c r="E1559" s="62" t="s">
        <v>72</v>
      </c>
      <c r="F1559" s="62" t="s">
        <v>382</v>
      </c>
      <c r="G1559" s="63" t="s">
        <v>483</v>
      </c>
      <c r="H1559" s="64" t="s">
        <v>29</v>
      </c>
      <c r="I1559" s="62"/>
      <c r="J1559" s="64" t="s">
        <v>29</v>
      </c>
      <c r="K1559" s="62"/>
      <c r="L1559" s="68" t="b">
        <f aca="false">TRUE()</f>
        <v>1</v>
      </c>
    </row>
    <row r="1560" customFormat="false" ht="15" hidden="false" customHeight="false" outlineLevel="0" collapsed="false">
      <c r="A1560" s="62" t="n">
        <v>0</v>
      </c>
      <c r="B1560" s="21" t="s">
        <v>336</v>
      </c>
      <c r="C1560" s="62" t="s">
        <v>60</v>
      </c>
      <c r="D1560" s="62" t="s">
        <v>386</v>
      </c>
      <c r="E1560" s="62" t="s">
        <v>72</v>
      </c>
      <c r="F1560" s="62" t="s">
        <v>382</v>
      </c>
      <c r="G1560" s="63" t="s">
        <v>483</v>
      </c>
      <c r="H1560" s="64" t="s">
        <v>29</v>
      </c>
      <c r="I1560" s="62"/>
      <c r="J1560" s="64" t="s">
        <v>29</v>
      </c>
      <c r="K1560" s="62"/>
      <c r="L1560" s="68" t="b">
        <f aca="false">TRUE()</f>
        <v>1</v>
      </c>
    </row>
    <row r="1561" customFormat="false" ht="15" hidden="false" customHeight="false" outlineLevel="0" collapsed="false">
      <c r="A1561" s="62" t="n">
        <v>0</v>
      </c>
      <c r="B1561" s="21" t="s">
        <v>336</v>
      </c>
      <c r="C1561" s="62" t="s">
        <v>60</v>
      </c>
      <c r="D1561" s="62" t="s">
        <v>387</v>
      </c>
      <c r="E1561" s="62" t="s">
        <v>72</v>
      </c>
      <c r="F1561" s="62" t="s">
        <v>382</v>
      </c>
      <c r="G1561" s="63" t="s">
        <v>483</v>
      </c>
      <c r="H1561" s="64" t="s">
        <v>29</v>
      </c>
      <c r="I1561" s="62"/>
      <c r="J1561" s="64" t="s">
        <v>29</v>
      </c>
      <c r="K1561" s="62"/>
      <c r="L1561" s="68" t="b">
        <f aca="false">TRUE()</f>
        <v>1</v>
      </c>
    </row>
    <row r="1562" customFormat="false" ht="15" hidden="false" customHeight="false" outlineLevel="0" collapsed="false">
      <c r="A1562" s="62" t="n">
        <v>0</v>
      </c>
      <c r="B1562" s="21" t="s">
        <v>336</v>
      </c>
      <c r="C1562" s="62" t="s">
        <v>60</v>
      </c>
      <c r="D1562" s="62" t="s">
        <v>388</v>
      </c>
      <c r="E1562" s="62" t="s">
        <v>72</v>
      </c>
      <c r="F1562" s="62" t="s">
        <v>382</v>
      </c>
      <c r="G1562" s="63" t="s">
        <v>483</v>
      </c>
      <c r="H1562" s="64" t="s">
        <v>29</v>
      </c>
      <c r="I1562" s="62"/>
      <c r="J1562" s="64" t="s">
        <v>29</v>
      </c>
      <c r="K1562" s="62"/>
      <c r="L1562" s="68" t="b">
        <f aca="false">TRUE()</f>
        <v>1</v>
      </c>
    </row>
    <row r="1563" customFormat="false" ht="15" hidden="false" customHeight="false" outlineLevel="0" collapsed="false">
      <c r="A1563" s="62" t="n">
        <v>0</v>
      </c>
      <c r="B1563" s="21" t="s">
        <v>336</v>
      </c>
      <c r="C1563" s="62" t="s">
        <v>60</v>
      </c>
      <c r="D1563" s="62" t="s">
        <v>381</v>
      </c>
      <c r="E1563" s="62" t="s">
        <v>72</v>
      </c>
      <c r="F1563" s="62" t="s">
        <v>382</v>
      </c>
      <c r="G1563" s="63" t="s">
        <v>484</v>
      </c>
      <c r="H1563" s="64" t="n">
        <v>790</v>
      </c>
      <c r="I1563" s="62"/>
      <c r="J1563" s="64" t="n">
        <v>790</v>
      </c>
      <c r="K1563" s="62"/>
      <c r="L1563" s="68" t="b">
        <f aca="false">TRUE()</f>
        <v>1</v>
      </c>
    </row>
    <row r="1564" customFormat="false" ht="15" hidden="false" customHeight="false" outlineLevel="0" collapsed="false">
      <c r="A1564" s="62" t="n">
        <v>0</v>
      </c>
      <c r="B1564" s="21" t="s">
        <v>336</v>
      </c>
      <c r="C1564" s="62" t="s">
        <v>60</v>
      </c>
      <c r="D1564" s="62" t="s">
        <v>383</v>
      </c>
      <c r="E1564" s="62" t="s">
        <v>72</v>
      </c>
      <c r="F1564" s="62" t="s">
        <v>382</v>
      </c>
      <c r="G1564" s="63" t="s">
        <v>484</v>
      </c>
      <c r="H1564" s="64" t="n">
        <v>790</v>
      </c>
      <c r="I1564" s="62"/>
      <c r="J1564" s="64" t="n">
        <v>790</v>
      </c>
      <c r="K1564" s="62"/>
      <c r="L1564" s="68" t="b">
        <f aca="false">TRUE()</f>
        <v>1</v>
      </c>
    </row>
    <row r="1565" customFormat="false" ht="15" hidden="false" customHeight="false" outlineLevel="0" collapsed="false">
      <c r="A1565" s="62" t="n">
        <v>0</v>
      </c>
      <c r="B1565" s="21" t="s">
        <v>336</v>
      </c>
      <c r="C1565" s="62" t="s">
        <v>60</v>
      </c>
      <c r="D1565" s="62" t="s">
        <v>384</v>
      </c>
      <c r="E1565" s="62" t="s">
        <v>72</v>
      </c>
      <c r="F1565" s="62" t="s">
        <v>382</v>
      </c>
      <c r="G1565" s="63" t="s">
        <v>484</v>
      </c>
      <c r="H1565" s="64" t="n">
        <v>790</v>
      </c>
      <c r="I1565" s="62"/>
      <c r="J1565" s="64" t="n">
        <v>790</v>
      </c>
      <c r="K1565" s="62"/>
      <c r="L1565" s="68" t="b">
        <f aca="false">TRUE()</f>
        <v>1</v>
      </c>
    </row>
    <row r="1566" customFormat="false" ht="15" hidden="false" customHeight="false" outlineLevel="0" collapsed="false">
      <c r="A1566" s="62" t="n">
        <v>0</v>
      </c>
      <c r="B1566" s="21" t="s">
        <v>336</v>
      </c>
      <c r="C1566" s="62" t="s">
        <v>60</v>
      </c>
      <c r="D1566" s="62" t="s">
        <v>385</v>
      </c>
      <c r="E1566" s="62" t="s">
        <v>72</v>
      </c>
      <c r="F1566" s="62" t="s">
        <v>382</v>
      </c>
      <c r="G1566" s="63" t="s">
        <v>484</v>
      </c>
      <c r="H1566" s="64" t="n">
        <v>790</v>
      </c>
      <c r="I1566" s="62"/>
      <c r="J1566" s="64" t="n">
        <v>790</v>
      </c>
      <c r="K1566" s="62"/>
      <c r="L1566" s="68" t="b">
        <f aca="false">TRUE()</f>
        <v>1</v>
      </c>
    </row>
    <row r="1567" customFormat="false" ht="15" hidden="false" customHeight="false" outlineLevel="0" collapsed="false">
      <c r="A1567" s="62" t="n">
        <v>0</v>
      </c>
      <c r="B1567" s="21" t="s">
        <v>336</v>
      </c>
      <c r="C1567" s="62" t="s">
        <v>60</v>
      </c>
      <c r="D1567" s="62" t="s">
        <v>386</v>
      </c>
      <c r="E1567" s="62" t="s">
        <v>72</v>
      </c>
      <c r="F1567" s="62" t="s">
        <v>382</v>
      </c>
      <c r="G1567" s="63" t="s">
        <v>484</v>
      </c>
      <c r="H1567" s="64" t="n">
        <v>790</v>
      </c>
      <c r="I1567" s="62"/>
      <c r="J1567" s="64" t="n">
        <v>790</v>
      </c>
      <c r="K1567" s="62"/>
      <c r="L1567" s="68" t="b">
        <f aca="false">TRUE()</f>
        <v>1</v>
      </c>
    </row>
    <row r="1568" customFormat="false" ht="15" hidden="false" customHeight="false" outlineLevel="0" collapsed="false">
      <c r="A1568" s="62" t="n">
        <v>0</v>
      </c>
      <c r="B1568" s="21" t="s">
        <v>336</v>
      </c>
      <c r="C1568" s="62" t="s">
        <v>60</v>
      </c>
      <c r="D1568" s="62" t="s">
        <v>387</v>
      </c>
      <c r="E1568" s="62" t="s">
        <v>72</v>
      </c>
      <c r="F1568" s="62" t="s">
        <v>382</v>
      </c>
      <c r="G1568" s="63" t="s">
        <v>484</v>
      </c>
      <c r="H1568" s="64" t="n">
        <v>790</v>
      </c>
      <c r="I1568" s="62"/>
      <c r="J1568" s="64" t="n">
        <v>790</v>
      </c>
      <c r="K1568" s="62"/>
      <c r="L1568" s="68" t="b">
        <f aca="false">TRUE()</f>
        <v>1</v>
      </c>
    </row>
    <row r="1569" customFormat="false" ht="15" hidden="false" customHeight="false" outlineLevel="0" collapsed="false">
      <c r="A1569" s="62" t="n">
        <v>0</v>
      </c>
      <c r="B1569" s="21" t="s">
        <v>336</v>
      </c>
      <c r="C1569" s="62" t="s">
        <v>60</v>
      </c>
      <c r="D1569" s="62" t="s">
        <v>388</v>
      </c>
      <c r="E1569" s="62" t="s">
        <v>72</v>
      </c>
      <c r="F1569" s="62" t="s">
        <v>382</v>
      </c>
      <c r="G1569" s="63" t="s">
        <v>484</v>
      </c>
      <c r="H1569" s="64" t="n">
        <v>790</v>
      </c>
      <c r="I1569" s="62"/>
      <c r="J1569" s="64" t="n">
        <v>790</v>
      </c>
      <c r="K1569" s="62"/>
      <c r="L1569" s="68" t="b">
        <f aca="false">TRUE()</f>
        <v>1</v>
      </c>
    </row>
    <row r="1570" customFormat="false" ht="15" hidden="false" customHeight="false" outlineLevel="0" collapsed="false">
      <c r="A1570" s="62" t="n">
        <v>0</v>
      </c>
      <c r="B1570" s="21" t="s">
        <v>336</v>
      </c>
      <c r="C1570" s="62" t="s">
        <v>60</v>
      </c>
      <c r="D1570" s="62" t="s">
        <v>381</v>
      </c>
      <c r="E1570" s="62" t="s">
        <v>72</v>
      </c>
      <c r="F1570" s="62" t="s">
        <v>382</v>
      </c>
      <c r="G1570" s="63" t="s">
        <v>485</v>
      </c>
      <c r="H1570" s="64" t="n">
        <v>945</v>
      </c>
      <c r="I1570" s="62"/>
      <c r="J1570" s="64" t="n">
        <v>945</v>
      </c>
      <c r="K1570" s="62"/>
      <c r="L1570" s="68" t="b">
        <f aca="false">TRUE()</f>
        <v>1</v>
      </c>
    </row>
    <row r="1571" customFormat="false" ht="15" hidden="false" customHeight="false" outlineLevel="0" collapsed="false">
      <c r="A1571" s="62" t="n">
        <v>0</v>
      </c>
      <c r="B1571" s="21" t="s">
        <v>336</v>
      </c>
      <c r="C1571" s="62" t="s">
        <v>60</v>
      </c>
      <c r="D1571" s="62" t="s">
        <v>383</v>
      </c>
      <c r="E1571" s="62" t="s">
        <v>72</v>
      </c>
      <c r="F1571" s="62" t="s">
        <v>382</v>
      </c>
      <c r="G1571" s="63" t="s">
        <v>485</v>
      </c>
      <c r="H1571" s="64" t="n">
        <v>945</v>
      </c>
      <c r="I1571" s="62"/>
      <c r="J1571" s="64" t="n">
        <v>945</v>
      </c>
      <c r="K1571" s="62"/>
      <c r="L1571" s="68" t="b">
        <f aca="false">TRUE()</f>
        <v>1</v>
      </c>
    </row>
    <row r="1572" customFormat="false" ht="15" hidden="false" customHeight="false" outlineLevel="0" collapsed="false">
      <c r="A1572" s="62" t="n">
        <v>0</v>
      </c>
      <c r="B1572" s="21" t="s">
        <v>336</v>
      </c>
      <c r="C1572" s="62" t="s">
        <v>60</v>
      </c>
      <c r="D1572" s="62" t="s">
        <v>384</v>
      </c>
      <c r="E1572" s="62" t="s">
        <v>72</v>
      </c>
      <c r="F1572" s="62" t="s">
        <v>382</v>
      </c>
      <c r="G1572" s="63" t="s">
        <v>485</v>
      </c>
      <c r="H1572" s="64" t="n">
        <v>945</v>
      </c>
      <c r="I1572" s="62"/>
      <c r="J1572" s="64" t="n">
        <v>945</v>
      </c>
      <c r="K1572" s="62"/>
      <c r="L1572" s="68" t="b">
        <f aca="false">TRUE()</f>
        <v>1</v>
      </c>
    </row>
    <row r="1573" customFormat="false" ht="15" hidden="false" customHeight="false" outlineLevel="0" collapsed="false">
      <c r="A1573" s="62" t="n">
        <v>0</v>
      </c>
      <c r="B1573" s="21" t="s">
        <v>336</v>
      </c>
      <c r="C1573" s="62" t="s">
        <v>60</v>
      </c>
      <c r="D1573" s="62" t="s">
        <v>385</v>
      </c>
      <c r="E1573" s="62" t="s">
        <v>72</v>
      </c>
      <c r="F1573" s="62" t="s">
        <v>382</v>
      </c>
      <c r="G1573" s="63" t="s">
        <v>485</v>
      </c>
      <c r="H1573" s="64" t="n">
        <v>945</v>
      </c>
      <c r="I1573" s="62"/>
      <c r="J1573" s="64" t="n">
        <v>945</v>
      </c>
      <c r="K1573" s="62"/>
      <c r="L1573" s="68" t="b">
        <f aca="false">TRUE()</f>
        <v>1</v>
      </c>
    </row>
    <row r="1574" customFormat="false" ht="15" hidden="false" customHeight="false" outlineLevel="0" collapsed="false">
      <c r="A1574" s="62" t="n">
        <v>0</v>
      </c>
      <c r="B1574" s="21" t="s">
        <v>336</v>
      </c>
      <c r="C1574" s="62" t="s">
        <v>60</v>
      </c>
      <c r="D1574" s="62" t="s">
        <v>386</v>
      </c>
      <c r="E1574" s="62" t="s">
        <v>72</v>
      </c>
      <c r="F1574" s="62" t="s">
        <v>382</v>
      </c>
      <c r="G1574" s="63" t="s">
        <v>485</v>
      </c>
      <c r="H1574" s="64" t="n">
        <v>945</v>
      </c>
      <c r="I1574" s="62"/>
      <c r="J1574" s="64" t="n">
        <v>945</v>
      </c>
      <c r="K1574" s="62"/>
      <c r="L1574" s="68" t="b">
        <f aca="false">TRUE()</f>
        <v>1</v>
      </c>
    </row>
    <row r="1575" customFormat="false" ht="15" hidden="false" customHeight="false" outlineLevel="0" collapsed="false">
      <c r="A1575" s="62" t="n">
        <v>0</v>
      </c>
      <c r="B1575" s="21" t="s">
        <v>336</v>
      </c>
      <c r="C1575" s="62" t="s">
        <v>60</v>
      </c>
      <c r="D1575" s="62" t="s">
        <v>387</v>
      </c>
      <c r="E1575" s="62" t="s">
        <v>72</v>
      </c>
      <c r="F1575" s="62" t="s">
        <v>382</v>
      </c>
      <c r="G1575" s="63" t="s">
        <v>485</v>
      </c>
      <c r="H1575" s="64" t="n">
        <v>945</v>
      </c>
      <c r="I1575" s="62"/>
      <c r="J1575" s="64" t="n">
        <v>945</v>
      </c>
      <c r="K1575" s="62"/>
      <c r="L1575" s="68" t="b">
        <f aca="false">TRUE()</f>
        <v>1</v>
      </c>
    </row>
    <row r="1576" customFormat="false" ht="15" hidden="false" customHeight="false" outlineLevel="0" collapsed="false">
      <c r="A1576" s="62" t="n">
        <v>0</v>
      </c>
      <c r="B1576" s="21" t="s">
        <v>336</v>
      </c>
      <c r="C1576" s="62" t="s">
        <v>60</v>
      </c>
      <c r="D1576" s="62" t="s">
        <v>388</v>
      </c>
      <c r="E1576" s="62" t="s">
        <v>72</v>
      </c>
      <c r="F1576" s="62" t="s">
        <v>382</v>
      </c>
      <c r="G1576" s="63" t="s">
        <v>485</v>
      </c>
      <c r="H1576" s="64" t="n">
        <v>945</v>
      </c>
      <c r="I1576" s="62"/>
      <c r="J1576" s="64" t="n">
        <v>945</v>
      </c>
      <c r="K1576" s="62"/>
      <c r="L1576" s="68" t="b">
        <f aca="false">TRUE()</f>
        <v>1</v>
      </c>
    </row>
    <row r="1577" customFormat="false" ht="15" hidden="false" customHeight="false" outlineLevel="0" collapsed="false">
      <c r="A1577" s="62" t="n">
        <v>0</v>
      </c>
      <c r="B1577" s="21" t="s">
        <v>336</v>
      </c>
      <c r="C1577" s="62" t="s">
        <v>60</v>
      </c>
      <c r="D1577" s="62" t="s">
        <v>381</v>
      </c>
      <c r="E1577" s="62" t="s">
        <v>72</v>
      </c>
      <c r="F1577" s="62" t="s">
        <v>92</v>
      </c>
      <c r="G1577" s="63" t="s">
        <v>479</v>
      </c>
      <c r="H1577" s="64" t="n">
        <v>0.142857142857143</v>
      </c>
      <c r="I1577" s="62" t="s">
        <v>878</v>
      </c>
      <c r="J1577" s="64" t="n">
        <v>14.2857142857143</v>
      </c>
      <c r="K1577" s="62" t="s">
        <v>42</v>
      </c>
      <c r="L1577" s="68" t="b">
        <f aca="false">TRUE()</f>
        <v>1</v>
      </c>
    </row>
    <row r="1578" customFormat="false" ht="15" hidden="false" customHeight="false" outlineLevel="0" collapsed="false">
      <c r="A1578" s="62" t="n">
        <v>0</v>
      </c>
      <c r="B1578" s="21" t="s">
        <v>336</v>
      </c>
      <c r="C1578" s="62" t="s">
        <v>60</v>
      </c>
      <c r="D1578" s="62" t="s">
        <v>383</v>
      </c>
      <c r="E1578" s="62" t="s">
        <v>72</v>
      </c>
      <c r="F1578" s="62" t="s">
        <v>92</v>
      </c>
      <c r="G1578" s="63" t="s">
        <v>479</v>
      </c>
      <c r="H1578" s="64" t="n">
        <v>0.142857142857143</v>
      </c>
      <c r="I1578" s="62" t="s">
        <v>878</v>
      </c>
      <c r="J1578" s="64" t="n">
        <v>14.2857142857143</v>
      </c>
      <c r="K1578" s="62" t="s">
        <v>42</v>
      </c>
      <c r="L1578" s="68" t="b">
        <f aca="false">TRUE()</f>
        <v>1</v>
      </c>
    </row>
    <row r="1579" customFormat="false" ht="15" hidden="false" customHeight="false" outlineLevel="0" collapsed="false">
      <c r="A1579" s="62" t="n">
        <v>0</v>
      </c>
      <c r="B1579" s="21" t="s">
        <v>336</v>
      </c>
      <c r="C1579" s="62" t="s">
        <v>60</v>
      </c>
      <c r="D1579" s="62" t="s">
        <v>384</v>
      </c>
      <c r="E1579" s="62" t="s">
        <v>72</v>
      </c>
      <c r="F1579" s="62" t="s">
        <v>92</v>
      </c>
      <c r="G1579" s="63" t="s">
        <v>479</v>
      </c>
      <c r="H1579" s="64" t="n">
        <v>0.142857142857143</v>
      </c>
      <c r="I1579" s="62" t="s">
        <v>878</v>
      </c>
      <c r="J1579" s="64" t="n">
        <v>14.2857142857143</v>
      </c>
      <c r="K1579" s="62" t="s">
        <v>42</v>
      </c>
      <c r="L1579" s="68" t="b">
        <f aca="false">TRUE()</f>
        <v>1</v>
      </c>
    </row>
    <row r="1580" customFormat="false" ht="15" hidden="false" customHeight="false" outlineLevel="0" collapsed="false">
      <c r="A1580" s="62" t="n">
        <v>0</v>
      </c>
      <c r="B1580" s="21" t="s">
        <v>336</v>
      </c>
      <c r="C1580" s="62" t="s">
        <v>60</v>
      </c>
      <c r="D1580" s="62" t="s">
        <v>385</v>
      </c>
      <c r="E1580" s="62" t="s">
        <v>72</v>
      </c>
      <c r="F1580" s="62" t="s">
        <v>92</v>
      </c>
      <c r="G1580" s="63" t="s">
        <v>479</v>
      </c>
      <c r="H1580" s="64" t="n">
        <v>0.142857142857143</v>
      </c>
      <c r="I1580" s="62" t="s">
        <v>878</v>
      </c>
      <c r="J1580" s="64" t="n">
        <v>14.2857142857143</v>
      </c>
      <c r="K1580" s="62" t="s">
        <v>42</v>
      </c>
      <c r="L1580" s="68" t="b">
        <f aca="false">TRUE()</f>
        <v>1</v>
      </c>
    </row>
    <row r="1581" customFormat="false" ht="15" hidden="false" customHeight="false" outlineLevel="0" collapsed="false">
      <c r="A1581" s="62" t="n">
        <v>0</v>
      </c>
      <c r="B1581" s="21" t="s">
        <v>336</v>
      </c>
      <c r="C1581" s="62" t="s">
        <v>60</v>
      </c>
      <c r="D1581" s="62" t="s">
        <v>386</v>
      </c>
      <c r="E1581" s="62" t="s">
        <v>72</v>
      </c>
      <c r="F1581" s="62" t="s">
        <v>92</v>
      </c>
      <c r="G1581" s="63" t="s">
        <v>479</v>
      </c>
      <c r="H1581" s="64" t="n">
        <v>0.142857142857143</v>
      </c>
      <c r="I1581" s="62" t="s">
        <v>878</v>
      </c>
      <c r="J1581" s="64" t="n">
        <v>14.2857142857143</v>
      </c>
      <c r="K1581" s="62" t="s">
        <v>42</v>
      </c>
      <c r="L1581" s="68" t="b">
        <f aca="false">TRUE()</f>
        <v>1</v>
      </c>
    </row>
    <row r="1582" customFormat="false" ht="15" hidden="false" customHeight="false" outlineLevel="0" collapsed="false">
      <c r="A1582" s="62" t="n">
        <v>0</v>
      </c>
      <c r="B1582" s="21" t="s">
        <v>336</v>
      </c>
      <c r="C1582" s="62" t="s">
        <v>60</v>
      </c>
      <c r="D1582" s="62" t="s">
        <v>387</v>
      </c>
      <c r="E1582" s="62" t="s">
        <v>72</v>
      </c>
      <c r="F1582" s="62" t="s">
        <v>92</v>
      </c>
      <c r="G1582" s="63" t="s">
        <v>479</v>
      </c>
      <c r="H1582" s="64" t="n">
        <v>0.142857142857143</v>
      </c>
      <c r="I1582" s="62" t="s">
        <v>878</v>
      </c>
      <c r="J1582" s="64" t="n">
        <v>14.2857142857143</v>
      </c>
      <c r="K1582" s="62" t="s">
        <v>42</v>
      </c>
      <c r="L1582" s="68" t="b">
        <f aca="false">TRUE()</f>
        <v>1</v>
      </c>
    </row>
    <row r="1583" customFormat="false" ht="15" hidden="false" customHeight="false" outlineLevel="0" collapsed="false">
      <c r="A1583" s="62" t="n">
        <v>0</v>
      </c>
      <c r="B1583" s="21" t="s">
        <v>336</v>
      </c>
      <c r="C1583" s="62" t="s">
        <v>60</v>
      </c>
      <c r="D1583" s="62" t="s">
        <v>388</v>
      </c>
      <c r="E1583" s="62" t="s">
        <v>72</v>
      </c>
      <c r="F1583" s="62" t="s">
        <v>92</v>
      </c>
      <c r="G1583" s="63" t="s">
        <v>479</v>
      </c>
      <c r="H1583" s="64" t="n">
        <v>0.142857142857143</v>
      </c>
      <c r="I1583" s="62" t="s">
        <v>878</v>
      </c>
      <c r="J1583" s="64" t="n">
        <v>14.2857142857143</v>
      </c>
      <c r="K1583" s="62" t="s">
        <v>42</v>
      </c>
      <c r="L1583" s="68" t="b">
        <f aca="false">TRUE()</f>
        <v>1</v>
      </c>
    </row>
    <row r="1584" customFormat="false" ht="15" hidden="false" customHeight="false" outlineLevel="0" collapsed="false">
      <c r="A1584" s="62" t="n">
        <v>0</v>
      </c>
      <c r="B1584" s="21" t="s">
        <v>336</v>
      </c>
      <c r="C1584" s="62" t="s">
        <v>60</v>
      </c>
      <c r="D1584" s="62" t="s">
        <v>381</v>
      </c>
      <c r="E1584" s="62" t="s">
        <v>72</v>
      </c>
      <c r="F1584" s="62" t="s">
        <v>94</v>
      </c>
      <c r="G1584" s="63" t="s">
        <v>479</v>
      </c>
      <c r="H1584" s="64" t="n">
        <v>0</v>
      </c>
      <c r="I1584" s="62" t="s">
        <v>878</v>
      </c>
      <c r="J1584" s="64" t="n">
        <v>0</v>
      </c>
      <c r="K1584" s="62" t="s">
        <v>42</v>
      </c>
      <c r="L1584" s="68" t="b">
        <f aca="false">TRUE()</f>
        <v>1</v>
      </c>
    </row>
    <row r="1585" customFormat="false" ht="15" hidden="false" customHeight="false" outlineLevel="0" collapsed="false">
      <c r="A1585" s="62" t="n">
        <v>0</v>
      </c>
      <c r="B1585" s="21" t="s">
        <v>336</v>
      </c>
      <c r="C1585" s="62" t="s">
        <v>60</v>
      </c>
      <c r="D1585" s="62" t="s">
        <v>383</v>
      </c>
      <c r="E1585" s="62" t="s">
        <v>72</v>
      </c>
      <c r="F1585" s="62" t="s">
        <v>94</v>
      </c>
      <c r="G1585" s="63" t="s">
        <v>479</v>
      </c>
      <c r="H1585" s="64" t="n">
        <v>0</v>
      </c>
      <c r="I1585" s="62" t="s">
        <v>878</v>
      </c>
      <c r="J1585" s="64" t="n">
        <v>0</v>
      </c>
      <c r="K1585" s="62" t="s">
        <v>42</v>
      </c>
      <c r="L1585" s="68" t="b">
        <f aca="false">TRUE()</f>
        <v>1</v>
      </c>
    </row>
    <row r="1586" customFormat="false" ht="15" hidden="false" customHeight="false" outlineLevel="0" collapsed="false">
      <c r="A1586" s="62" t="n">
        <v>0</v>
      </c>
      <c r="B1586" s="21" t="s">
        <v>336</v>
      </c>
      <c r="C1586" s="62" t="s">
        <v>60</v>
      </c>
      <c r="D1586" s="62" t="s">
        <v>384</v>
      </c>
      <c r="E1586" s="62" t="s">
        <v>72</v>
      </c>
      <c r="F1586" s="62" t="s">
        <v>94</v>
      </c>
      <c r="G1586" s="63" t="s">
        <v>479</v>
      </c>
      <c r="H1586" s="64" t="n">
        <v>0</v>
      </c>
      <c r="I1586" s="62" t="s">
        <v>878</v>
      </c>
      <c r="J1586" s="64" t="n">
        <v>0</v>
      </c>
      <c r="K1586" s="62" t="s">
        <v>42</v>
      </c>
      <c r="L1586" s="68" t="b">
        <f aca="false">TRUE()</f>
        <v>1</v>
      </c>
    </row>
    <row r="1587" customFormat="false" ht="15" hidden="false" customHeight="false" outlineLevel="0" collapsed="false">
      <c r="A1587" s="62" t="n">
        <v>0</v>
      </c>
      <c r="B1587" s="21" t="s">
        <v>336</v>
      </c>
      <c r="C1587" s="62" t="s">
        <v>60</v>
      </c>
      <c r="D1587" s="62" t="s">
        <v>385</v>
      </c>
      <c r="E1587" s="62" t="s">
        <v>72</v>
      </c>
      <c r="F1587" s="62" t="s">
        <v>94</v>
      </c>
      <c r="G1587" s="63" t="s">
        <v>479</v>
      </c>
      <c r="H1587" s="64" t="n">
        <v>0</v>
      </c>
      <c r="I1587" s="62" t="s">
        <v>878</v>
      </c>
      <c r="J1587" s="64" t="n">
        <v>0</v>
      </c>
      <c r="K1587" s="62" t="s">
        <v>42</v>
      </c>
      <c r="L1587" s="68" t="b">
        <f aca="false">TRUE()</f>
        <v>1</v>
      </c>
    </row>
    <row r="1588" customFormat="false" ht="15" hidden="false" customHeight="false" outlineLevel="0" collapsed="false">
      <c r="A1588" s="62" t="n">
        <v>0</v>
      </c>
      <c r="B1588" s="21" t="s">
        <v>336</v>
      </c>
      <c r="C1588" s="62" t="s">
        <v>60</v>
      </c>
      <c r="D1588" s="62" t="s">
        <v>386</v>
      </c>
      <c r="E1588" s="62" t="s">
        <v>72</v>
      </c>
      <c r="F1588" s="62" t="s">
        <v>94</v>
      </c>
      <c r="G1588" s="63" t="s">
        <v>479</v>
      </c>
      <c r="H1588" s="64" t="n">
        <v>0</v>
      </c>
      <c r="I1588" s="62" t="s">
        <v>878</v>
      </c>
      <c r="J1588" s="64" t="n">
        <v>0</v>
      </c>
      <c r="K1588" s="62" t="s">
        <v>42</v>
      </c>
      <c r="L1588" s="68" t="b">
        <f aca="false">TRUE()</f>
        <v>1</v>
      </c>
    </row>
    <row r="1589" customFormat="false" ht="15" hidden="false" customHeight="false" outlineLevel="0" collapsed="false">
      <c r="A1589" s="62" t="n">
        <v>0</v>
      </c>
      <c r="B1589" s="21" t="s">
        <v>336</v>
      </c>
      <c r="C1589" s="62" t="s">
        <v>60</v>
      </c>
      <c r="D1589" s="62" t="s">
        <v>387</v>
      </c>
      <c r="E1589" s="62" t="s">
        <v>72</v>
      </c>
      <c r="F1589" s="62" t="s">
        <v>94</v>
      </c>
      <c r="G1589" s="63" t="s">
        <v>479</v>
      </c>
      <c r="H1589" s="64" t="n">
        <v>0</v>
      </c>
      <c r="I1589" s="62" t="s">
        <v>878</v>
      </c>
      <c r="J1589" s="64" t="n">
        <v>0</v>
      </c>
      <c r="K1589" s="62" t="s">
        <v>42</v>
      </c>
      <c r="L1589" s="68" t="b">
        <f aca="false">TRUE()</f>
        <v>1</v>
      </c>
    </row>
    <row r="1590" customFormat="false" ht="15" hidden="false" customHeight="false" outlineLevel="0" collapsed="false">
      <c r="A1590" s="62" t="n">
        <v>0</v>
      </c>
      <c r="B1590" s="21" t="s">
        <v>336</v>
      </c>
      <c r="C1590" s="62" t="s">
        <v>60</v>
      </c>
      <c r="D1590" s="62" t="s">
        <v>388</v>
      </c>
      <c r="E1590" s="62" t="s">
        <v>72</v>
      </c>
      <c r="F1590" s="62" t="s">
        <v>94</v>
      </c>
      <c r="G1590" s="63" t="s">
        <v>479</v>
      </c>
      <c r="H1590" s="64" t="n">
        <v>0</v>
      </c>
      <c r="I1590" s="62" t="s">
        <v>878</v>
      </c>
      <c r="J1590" s="64" t="n">
        <v>0</v>
      </c>
      <c r="K1590" s="62" t="s">
        <v>42</v>
      </c>
      <c r="L1590" s="68" t="b">
        <f aca="false">TRUE()</f>
        <v>1</v>
      </c>
    </row>
    <row r="1591" customFormat="false" ht="15" hidden="false" customHeight="false" outlineLevel="0" collapsed="false">
      <c r="A1591" s="62" t="n">
        <v>0</v>
      </c>
      <c r="B1591" s="21" t="s">
        <v>336</v>
      </c>
      <c r="C1591" s="62" t="s">
        <v>60</v>
      </c>
      <c r="D1591" s="62" t="s">
        <v>381</v>
      </c>
      <c r="E1591" s="62" t="s">
        <v>72</v>
      </c>
      <c r="F1591" s="62" t="s">
        <v>95</v>
      </c>
      <c r="G1591" s="63" t="s">
        <v>479</v>
      </c>
      <c r="H1591" s="64" t="n">
        <v>0</v>
      </c>
      <c r="I1591" s="62" t="s">
        <v>878</v>
      </c>
      <c r="J1591" s="64" t="n">
        <v>0</v>
      </c>
      <c r="K1591" s="62" t="s">
        <v>42</v>
      </c>
      <c r="L1591" s="68" t="b">
        <f aca="false">TRUE()</f>
        <v>1</v>
      </c>
    </row>
    <row r="1592" customFormat="false" ht="15" hidden="false" customHeight="false" outlineLevel="0" collapsed="false">
      <c r="A1592" s="62" t="n">
        <v>0</v>
      </c>
      <c r="B1592" s="21" t="s">
        <v>336</v>
      </c>
      <c r="C1592" s="62" t="s">
        <v>60</v>
      </c>
      <c r="D1592" s="62" t="s">
        <v>383</v>
      </c>
      <c r="E1592" s="62" t="s">
        <v>72</v>
      </c>
      <c r="F1592" s="62" t="s">
        <v>95</v>
      </c>
      <c r="G1592" s="63" t="s">
        <v>479</v>
      </c>
      <c r="H1592" s="64" t="n">
        <v>0</v>
      </c>
      <c r="I1592" s="62" t="s">
        <v>878</v>
      </c>
      <c r="J1592" s="64" t="n">
        <v>0</v>
      </c>
      <c r="K1592" s="62" t="s">
        <v>42</v>
      </c>
      <c r="L1592" s="68" t="b">
        <f aca="false">TRUE()</f>
        <v>1</v>
      </c>
    </row>
    <row r="1593" customFormat="false" ht="15" hidden="false" customHeight="false" outlineLevel="0" collapsed="false">
      <c r="A1593" s="62" t="n">
        <v>0</v>
      </c>
      <c r="B1593" s="21" t="s">
        <v>336</v>
      </c>
      <c r="C1593" s="62" t="s">
        <v>60</v>
      </c>
      <c r="D1593" s="62" t="s">
        <v>384</v>
      </c>
      <c r="E1593" s="62" t="s">
        <v>72</v>
      </c>
      <c r="F1593" s="62" t="s">
        <v>95</v>
      </c>
      <c r="G1593" s="63" t="s">
        <v>479</v>
      </c>
      <c r="H1593" s="64" t="n">
        <v>0</v>
      </c>
      <c r="I1593" s="62" t="s">
        <v>878</v>
      </c>
      <c r="J1593" s="64" t="n">
        <v>0</v>
      </c>
      <c r="K1593" s="62" t="s">
        <v>42</v>
      </c>
      <c r="L1593" s="68" t="b">
        <f aca="false">TRUE()</f>
        <v>1</v>
      </c>
    </row>
    <row r="1594" customFormat="false" ht="15" hidden="false" customHeight="false" outlineLevel="0" collapsed="false">
      <c r="A1594" s="62" t="n">
        <v>0</v>
      </c>
      <c r="B1594" s="21" t="s">
        <v>336</v>
      </c>
      <c r="C1594" s="62" t="s">
        <v>60</v>
      </c>
      <c r="D1594" s="62" t="s">
        <v>385</v>
      </c>
      <c r="E1594" s="62" t="s">
        <v>72</v>
      </c>
      <c r="F1594" s="62" t="s">
        <v>95</v>
      </c>
      <c r="G1594" s="63" t="s">
        <v>479</v>
      </c>
      <c r="H1594" s="64" t="n">
        <v>0</v>
      </c>
      <c r="I1594" s="62" t="s">
        <v>878</v>
      </c>
      <c r="J1594" s="64" t="n">
        <v>0</v>
      </c>
      <c r="K1594" s="62" t="s">
        <v>42</v>
      </c>
      <c r="L1594" s="68" t="b">
        <f aca="false">TRUE()</f>
        <v>1</v>
      </c>
    </row>
    <row r="1595" customFormat="false" ht="15" hidden="false" customHeight="false" outlineLevel="0" collapsed="false">
      <c r="A1595" s="62" t="n">
        <v>0</v>
      </c>
      <c r="B1595" s="21" t="s">
        <v>336</v>
      </c>
      <c r="C1595" s="62" t="s">
        <v>60</v>
      </c>
      <c r="D1595" s="62" t="s">
        <v>386</v>
      </c>
      <c r="E1595" s="62" t="s">
        <v>72</v>
      </c>
      <c r="F1595" s="62" t="s">
        <v>95</v>
      </c>
      <c r="G1595" s="63" t="s">
        <v>479</v>
      </c>
      <c r="H1595" s="64" t="n">
        <v>0</v>
      </c>
      <c r="I1595" s="62" t="s">
        <v>878</v>
      </c>
      <c r="J1595" s="64" t="n">
        <v>0</v>
      </c>
      <c r="K1595" s="62" t="s">
        <v>42</v>
      </c>
      <c r="L1595" s="68" t="b">
        <f aca="false">TRUE()</f>
        <v>1</v>
      </c>
    </row>
    <row r="1596" customFormat="false" ht="15" hidden="false" customHeight="false" outlineLevel="0" collapsed="false">
      <c r="A1596" s="62" t="n">
        <v>0</v>
      </c>
      <c r="B1596" s="21" t="s">
        <v>336</v>
      </c>
      <c r="C1596" s="62" t="s">
        <v>60</v>
      </c>
      <c r="D1596" s="62" t="s">
        <v>387</v>
      </c>
      <c r="E1596" s="62" t="s">
        <v>72</v>
      </c>
      <c r="F1596" s="62" t="s">
        <v>95</v>
      </c>
      <c r="G1596" s="63" t="s">
        <v>479</v>
      </c>
      <c r="H1596" s="64" t="n">
        <v>0</v>
      </c>
      <c r="I1596" s="62" t="s">
        <v>878</v>
      </c>
      <c r="J1596" s="64" t="n">
        <v>0</v>
      </c>
      <c r="K1596" s="62" t="s">
        <v>42</v>
      </c>
      <c r="L1596" s="68" t="b">
        <f aca="false">TRUE()</f>
        <v>1</v>
      </c>
    </row>
    <row r="1597" customFormat="false" ht="15" hidden="false" customHeight="false" outlineLevel="0" collapsed="false">
      <c r="A1597" s="62" t="n">
        <v>0</v>
      </c>
      <c r="B1597" s="21" t="s">
        <v>336</v>
      </c>
      <c r="C1597" s="62" t="s">
        <v>60</v>
      </c>
      <c r="D1597" s="62" t="s">
        <v>388</v>
      </c>
      <c r="E1597" s="62" t="s">
        <v>72</v>
      </c>
      <c r="F1597" s="62" t="s">
        <v>95</v>
      </c>
      <c r="G1597" s="63" t="s">
        <v>479</v>
      </c>
      <c r="H1597" s="64" t="n">
        <v>0</v>
      </c>
      <c r="I1597" s="62" t="s">
        <v>878</v>
      </c>
      <c r="J1597" s="64" t="n">
        <v>0</v>
      </c>
      <c r="K1597" s="62" t="s">
        <v>42</v>
      </c>
      <c r="L1597" s="68" t="b">
        <f aca="false">TRUE()</f>
        <v>1</v>
      </c>
    </row>
    <row r="1598" customFormat="false" ht="15" hidden="false" customHeight="false" outlineLevel="0" collapsed="false">
      <c r="A1598" s="62" t="n">
        <v>0</v>
      </c>
      <c r="B1598" s="21" t="s">
        <v>336</v>
      </c>
      <c r="C1598" s="62" t="s">
        <v>60</v>
      </c>
      <c r="D1598" s="62" t="s">
        <v>381</v>
      </c>
      <c r="E1598" s="62" t="s">
        <v>72</v>
      </c>
      <c r="F1598" s="62" t="s">
        <v>97</v>
      </c>
      <c r="G1598" s="63" t="s">
        <v>479</v>
      </c>
      <c r="H1598" s="64" t="n">
        <v>0</v>
      </c>
      <c r="I1598" s="62" t="s">
        <v>878</v>
      </c>
      <c r="J1598" s="64" t="n">
        <v>0</v>
      </c>
      <c r="K1598" s="62" t="s">
        <v>42</v>
      </c>
      <c r="L1598" s="68" t="b">
        <f aca="false">TRUE()</f>
        <v>1</v>
      </c>
    </row>
    <row r="1599" customFormat="false" ht="15" hidden="false" customHeight="false" outlineLevel="0" collapsed="false">
      <c r="A1599" s="62" t="n">
        <v>0</v>
      </c>
      <c r="B1599" s="21" t="s">
        <v>336</v>
      </c>
      <c r="C1599" s="62" t="s">
        <v>60</v>
      </c>
      <c r="D1599" s="62" t="s">
        <v>383</v>
      </c>
      <c r="E1599" s="62" t="s">
        <v>72</v>
      </c>
      <c r="F1599" s="62" t="s">
        <v>97</v>
      </c>
      <c r="G1599" s="63" t="s">
        <v>479</v>
      </c>
      <c r="H1599" s="64" t="n">
        <v>0</v>
      </c>
      <c r="I1599" s="62" t="s">
        <v>878</v>
      </c>
      <c r="J1599" s="64" t="n">
        <v>0</v>
      </c>
      <c r="K1599" s="62" t="s">
        <v>42</v>
      </c>
      <c r="L1599" s="68" t="b">
        <f aca="false">TRUE()</f>
        <v>1</v>
      </c>
    </row>
    <row r="1600" customFormat="false" ht="15" hidden="false" customHeight="false" outlineLevel="0" collapsed="false">
      <c r="A1600" s="62" t="n">
        <v>0</v>
      </c>
      <c r="B1600" s="21" t="s">
        <v>336</v>
      </c>
      <c r="C1600" s="62" t="s">
        <v>60</v>
      </c>
      <c r="D1600" s="62" t="s">
        <v>384</v>
      </c>
      <c r="E1600" s="62" t="s">
        <v>72</v>
      </c>
      <c r="F1600" s="62" t="s">
        <v>97</v>
      </c>
      <c r="G1600" s="63" t="s">
        <v>479</v>
      </c>
      <c r="H1600" s="64" t="n">
        <v>0</v>
      </c>
      <c r="I1600" s="62" t="s">
        <v>878</v>
      </c>
      <c r="J1600" s="64" t="n">
        <v>0</v>
      </c>
      <c r="K1600" s="62" t="s">
        <v>42</v>
      </c>
      <c r="L1600" s="68" t="b">
        <f aca="false">TRUE()</f>
        <v>1</v>
      </c>
    </row>
    <row r="1601" customFormat="false" ht="15" hidden="false" customHeight="false" outlineLevel="0" collapsed="false">
      <c r="A1601" s="62" t="n">
        <v>0</v>
      </c>
      <c r="B1601" s="21" t="s">
        <v>336</v>
      </c>
      <c r="C1601" s="62" t="s">
        <v>60</v>
      </c>
      <c r="D1601" s="62" t="s">
        <v>385</v>
      </c>
      <c r="E1601" s="62" t="s">
        <v>72</v>
      </c>
      <c r="F1601" s="62" t="s">
        <v>97</v>
      </c>
      <c r="G1601" s="63" t="s">
        <v>479</v>
      </c>
      <c r="H1601" s="64" t="n">
        <v>0</v>
      </c>
      <c r="I1601" s="62" t="s">
        <v>878</v>
      </c>
      <c r="J1601" s="64" t="n">
        <v>0</v>
      </c>
      <c r="K1601" s="62" t="s">
        <v>42</v>
      </c>
      <c r="L1601" s="68" t="b">
        <f aca="false">TRUE()</f>
        <v>1</v>
      </c>
    </row>
    <row r="1602" customFormat="false" ht="15" hidden="false" customHeight="false" outlineLevel="0" collapsed="false">
      <c r="A1602" s="62" t="n">
        <v>0</v>
      </c>
      <c r="B1602" s="21" t="s">
        <v>336</v>
      </c>
      <c r="C1602" s="62" t="s">
        <v>60</v>
      </c>
      <c r="D1602" s="62" t="s">
        <v>386</v>
      </c>
      <c r="E1602" s="62" t="s">
        <v>72</v>
      </c>
      <c r="F1602" s="62" t="s">
        <v>97</v>
      </c>
      <c r="G1602" s="63" t="s">
        <v>479</v>
      </c>
      <c r="H1602" s="64" t="n">
        <v>0</v>
      </c>
      <c r="I1602" s="62" t="s">
        <v>878</v>
      </c>
      <c r="J1602" s="64" t="n">
        <v>0</v>
      </c>
      <c r="K1602" s="62" t="s">
        <v>42</v>
      </c>
      <c r="L1602" s="68" t="b">
        <f aca="false">TRUE()</f>
        <v>1</v>
      </c>
    </row>
    <row r="1603" customFormat="false" ht="15" hidden="false" customHeight="false" outlineLevel="0" collapsed="false">
      <c r="A1603" s="62" t="n">
        <v>0</v>
      </c>
      <c r="B1603" s="21" t="s">
        <v>336</v>
      </c>
      <c r="C1603" s="62" t="s">
        <v>60</v>
      </c>
      <c r="D1603" s="62" t="s">
        <v>387</v>
      </c>
      <c r="E1603" s="62" t="s">
        <v>72</v>
      </c>
      <c r="F1603" s="62" t="s">
        <v>97</v>
      </c>
      <c r="G1603" s="63" t="s">
        <v>479</v>
      </c>
      <c r="H1603" s="64" t="n">
        <v>0</v>
      </c>
      <c r="I1603" s="62" t="s">
        <v>878</v>
      </c>
      <c r="J1603" s="64" t="n">
        <v>0</v>
      </c>
      <c r="K1603" s="62" t="s">
        <v>42</v>
      </c>
      <c r="L1603" s="68" t="b">
        <f aca="false">TRUE()</f>
        <v>1</v>
      </c>
    </row>
    <row r="1604" customFormat="false" ht="15" hidden="false" customHeight="false" outlineLevel="0" collapsed="false">
      <c r="A1604" s="62" t="n">
        <v>0</v>
      </c>
      <c r="B1604" s="21" t="s">
        <v>336</v>
      </c>
      <c r="C1604" s="62" t="s">
        <v>60</v>
      </c>
      <c r="D1604" s="62" t="s">
        <v>388</v>
      </c>
      <c r="E1604" s="62" t="s">
        <v>72</v>
      </c>
      <c r="F1604" s="62" t="s">
        <v>97</v>
      </c>
      <c r="G1604" s="63" t="s">
        <v>479</v>
      </c>
      <c r="H1604" s="64" t="n">
        <v>0</v>
      </c>
      <c r="I1604" s="62" t="s">
        <v>878</v>
      </c>
      <c r="J1604" s="64" t="n">
        <v>0</v>
      </c>
      <c r="K1604" s="62" t="s">
        <v>42</v>
      </c>
      <c r="L1604" s="68" t="b">
        <f aca="false">TRUE()</f>
        <v>1</v>
      </c>
    </row>
    <row r="1605" customFormat="false" ht="15" hidden="false" customHeight="false" outlineLevel="0" collapsed="false">
      <c r="A1605" s="62" t="n">
        <v>0</v>
      </c>
      <c r="B1605" s="21" t="s">
        <v>336</v>
      </c>
      <c r="C1605" s="62" t="s">
        <v>60</v>
      </c>
      <c r="D1605" s="62" t="s">
        <v>381</v>
      </c>
      <c r="E1605" s="62" t="s">
        <v>72</v>
      </c>
      <c r="F1605" s="62" t="s">
        <v>382</v>
      </c>
      <c r="G1605" s="63" t="s">
        <v>486</v>
      </c>
      <c r="H1605" s="64" t="n">
        <v>0.142857142857143</v>
      </c>
      <c r="I1605" s="62" t="s">
        <v>878</v>
      </c>
      <c r="J1605" s="64" t="n">
        <v>14.2857142857143</v>
      </c>
      <c r="K1605" s="62" t="s">
        <v>42</v>
      </c>
      <c r="L1605" s="68" t="b">
        <f aca="false">TRUE()</f>
        <v>1</v>
      </c>
    </row>
    <row r="1606" customFormat="false" ht="15" hidden="false" customHeight="false" outlineLevel="0" collapsed="false">
      <c r="A1606" s="62" t="n">
        <v>0</v>
      </c>
      <c r="B1606" s="21" t="s">
        <v>336</v>
      </c>
      <c r="C1606" s="62" t="s">
        <v>60</v>
      </c>
      <c r="D1606" s="62" t="s">
        <v>383</v>
      </c>
      <c r="E1606" s="62" t="s">
        <v>72</v>
      </c>
      <c r="F1606" s="62" t="s">
        <v>382</v>
      </c>
      <c r="G1606" s="63" t="s">
        <v>486</v>
      </c>
      <c r="H1606" s="64" t="n">
        <v>0.142857142857143</v>
      </c>
      <c r="I1606" s="62" t="s">
        <v>878</v>
      </c>
      <c r="J1606" s="64" t="n">
        <v>14.2857142857143</v>
      </c>
      <c r="K1606" s="62" t="s">
        <v>42</v>
      </c>
      <c r="L1606" s="68" t="b">
        <f aca="false">TRUE()</f>
        <v>1</v>
      </c>
    </row>
    <row r="1607" customFormat="false" ht="15" hidden="false" customHeight="false" outlineLevel="0" collapsed="false">
      <c r="A1607" s="62" t="n">
        <v>0</v>
      </c>
      <c r="B1607" s="21" t="s">
        <v>336</v>
      </c>
      <c r="C1607" s="62" t="s">
        <v>60</v>
      </c>
      <c r="D1607" s="62" t="s">
        <v>384</v>
      </c>
      <c r="E1607" s="62" t="s">
        <v>72</v>
      </c>
      <c r="F1607" s="62" t="s">
        <v>382</v>
      </c>
      <c r="G1607" s="63" t="s">
        <v>486</v>
      </c>
      <c r="H1607" s="64" t="n">
        <v>0.142857142857143</v>
      </c>
      <c r="I1607" s="62" t="s">
        <v>878</v>
      </c>
      <c r="J1607" s="64" t="n">
        <v>14.2857142857143</v>
      </c>
      <c r="K1607" s="62" t="s">
        <v>42</v>
      </c>
      <c r="L1607" s="68" t="b">
        <f aca="false">TRUE()</f>
        <v>1</v>
      </c>
    </row>
    <row r="1608" customFormat="false" ht="15" hidden="false" customHeight="false" outlineLevel="0" collapsed="false">
      <c r="A1608" s="62" t="n">
        <v>0</v>
      </c>
      <c r="B1608" s="21" t="s">
        <v>336</v>
      </c>
      <c r="C1608" s="62" t="s">
        <v>60</v>
      </c>
      <c r="D1608" s="62" t="s">
        <v>385</v>
      </c>
      <c r="E1608" s="62" t="s">
        <v>72</v>
      </c>
      <c r="F1608" s="62" t="s">
        <v>382</v>
      </c>
      <c r="G1608" s="63" t="s">
        <v>486</v>
      </c>
      <c r="H1608" s="64" t="n">
        <v>0.142857142857143</v>
      </c>
      <c r="I1608" s="62" t="s">
        <v>878</v>
      </c>
      <c r="J1608" s="64" t="n">
        <v>14.2857142857143</v>
      </c>
      <c r="K1608" s="62" t="s">
        <v>42</v>
      </c>
      <c r="L1608" s="68" t="b">
        <f aca="false">TRUE()</f>
        <v>1</v>
      </c>
    </row>
    <row r="1609" customFormat="false" ht="15" hidden="false" customHeight="false" outlineLevel="0" collapsed="false">
      <c r="A1609" s="62" t="n">
        <v>0</v>
      </c>
      <c r="B1609" s="21" t="s">
        <v>336</v>
      </c>
      <c r="C1609" s="62" t="s">
        <v>60</v>
      </c>
      <c r="D1609" s="62" t="s">
        <v>386</v>
      </c>
      <c r="E1609" s="62" t="s">
        <v>72</v>
      </c>
      <c r="F1609" s="62" t="s">
        <v>382</v>
      </c>
      <c r="G1609" s="63" t="s">
        <v>486</v>
      </c>
      <c r="H1609" s="64" t="n">
        <v>0.142857142857143</v>
      </c>
      <c r="I1609" s="62" t="s">
        <v>878</v>
      </c>
      <c r="J1609" s="64" t="n">
        <v>14.2857142857143</v>
      </c>
      <c r="K1609" s="62" t="s">
        <v>42</v>
      </c>
      <c r="L1609" s="68" t="b">
        <f aca="false">TRUE()</f>
        <v>1</v>
      </c>
    </row>
    <row r="1610" customFormat="false" ht="15" hidden="false" customHeight="false" outlineLevel="0" collapsed="false">
      <c r="A1610" s="62" t="n">
        <v>0</v>
      </c>
      <c r="B1610" s="21" t="s">
        <v>336</v>
      </c>
      <c r="C1610" s="62" t="s">
        <v>60</v>
      </c>
      <c r="D1610" s="62" t="s">
        <v>387</v>
      </c>
      <c r="E1610" s="62" t="s">
        <v>72</v>
      </c>
      <c r="F1610" s="62" t="s">
        <v>382</v>
      </c>
      <c r="G1610" s="63" t="s">
        <v>486</v>
      </c>
      <c r="H1610" s="64" t="n">
        <v>0.142857142857143</v>
      </c>
      <c r="I1610" s="62" t="s">
        <v>878</v>
      </c>
      <c r="J1610" s="64" t="n">
        <v>14.2857142857143</v>
      </c>
      <c r="K1610" s="62" t="s">
        <v>42</v>
      </c>
      <c r="L1610" s="68" t="b">
        <f aca="false">TRUE()</f>
        <v>1</v>
      </c>
    </row>
    <row r="1611" customFormat="false" ht="15" hidden="false" customHeight="false" outlineLevel="0" collapsed="false">
      <c r="A1611" s="62" t="n">
        <v>0</v>
      </c>
      <c r="B1611" s="21" t="s">
        <v>336</v>
      </c>
      <c r="C1611" s="62" t="s">
        <v>60</v>
      </c>
      <c r="D1611" s="62" t="s">
        <v>388</v>
      </c>
      <c r="E1611" s="62" t="s">
        <v>72</v>
      </c>
      <c r="F1611" s="62" t="s">
        <v>382</v>
      </c>
      <c r="G1611" s="63" t="s">
        <v>486</v>
      </c>
      <c r="H1611" s="64" t="n">
        <v>0.142857142857143</v>
      </c>
      <c r="I1611" s="62" t="s">
        <v>878</v>
      </c>
      <c r="J1611" s="64" t="n">
        <v>14.2857142857143</v>
      </c>
      <c r="K1611" s="62" t="s">
        <v>42</v>
      </c>
      <c r="L1611" s="68" t="b">
        <f aca="false">TRUE()</f>
        <v>1</v>
      </c>
    </row>
    <row r="1612" customFormat="false" ht="15" hidden="false" customHeight="false" outlineLevel="0" collapsed="false">
      <c r="A1612" s="62" t="n">
        <v>0</v>
      </c>
      <c r="B1612" s="21" t="s">
        <v>336</v>
      </c>
      <c r="C1612" s="62" t="s">
        <v>60</v>
      </c>
      <c r="D1612" s="62" t="s">
        <v>381</v>
      </c>
      <c r="E1612" s="62" t="s">
        <v>382</v>
      </c>
      <c r="F1612" s="62" t="s">
        <v>382</v>
      </c>
      <c r="G1612" s="63" t="s">
        <v>489</v>
      </c>
      <c r="H1612" s="64" t="n">
        <v>5000</v>
      </c>
      <c r="I1612" s="62"/>
      <c r="J1612" s="64" t="n">
        <v>5000</v>
      </c>
      <c r="K1612" s="62"/>
      <c r="L1612" s="68" t="b">
        <f aca="false">TRUE()</f>
        <v>1</v>
      </c>
    </row>
    <row r="1613" customFormat="false" ht="15" hidden="false" customHeight="false" outlineLevel="0" collapsed="false">
      <c r="A1613" s="62" t="n">
        <v>0</v>
      </c>
      <c r="B1613" s="21" t="s">
        <v>336</v>
      </c>
      <c r="C1613" s="62" t="s">
        <v>60</v>
      </c>
      <c r="D1613" s="62" t="s">
        <v>383</v>
      </c>
      <c r="E1613" s="62" t="s">
        <v>382</v>
      </c>
      <c r="F1613" s="62" t="s">
        <v>382</v>
      </c>
      <c r="G1613" s="63" t="s">
        <v>489</v>
      </c>
      <c r="H1613" s="64" t="n">
        <v>5000</v>
      </c>
      <c r="I1613" s="62"/>
      <c r="J1613" s="64" t="n">
        <v>5000</v>
      </c>
      <c r="K1613" s="62"/>
      <c r="L1613" s="68" t="b">
        <f aca="false">TRUE()</f>
        <v>1</v>
      </c>
    </row>
    <row r="1614" customFormat="false" ht="15" hidden="false" customHeight="false" outlineLevel="0" collapsed="false">
      <c r="A1614" s="62" t="n">
        <v>0</v>
      </c>
      <c r="B1614" s="21" t="s">
        <v>336</v>
      </c>
      <c r="C1614" s="62" t="s">
        <v>60</v>
      </c>
      <c r="D1614" s="62" t="s">
        <v>384</v>
      </c>
      <c r="E1614" s="62" t="s">
        <v>382</v>
      </c>
      <c r="F1614" s="62" t="s">
        <v>382</v>
      </c>
      <c r="G1614" s="63" t="s">
        <v>489</v>
      </c>
      <c r="H1614" s="64" t="n">
        <v>5000</v>
      </c>
      <c r="I1614" s="62"/>
      <c r="J1614" s="64" t="n">
        <v>5000</v>
      </c>
      <c r="K1614" s="62"/>
      <c r="L1614" s="68" t="b">
        <f aca="false">TRUE()</f>
        <v>1</v>
      </c>
    </row>
    <row r="1615" customFormat="false" ht="15" hidden="false" customHeight="false" outlineLevel="0" collapsed="false">
      <c r="A1615" s="62" t="n">
        <v>0</v>
      </c>
      <c r="B1615" s="21" t="s">
        <v>336</v>
      </c>
      <c r="C1615" s="62" t="s">
        <v>60</v>
      </c>
      <c r="D1615" s="62" t="s">
        <v>385</v>
      </c>
      <c r="E1615" s="62" t="s">
        <v>382</v>
      </c>
      <c r="F1615" s="62" t="s">
        <v>382</v>
      </c>
      <c r="G1615" s="63" t="s">
        <v>489</v>
      </c>
      <c r="H1615" s="64" t="n">
        <v>5000</v>
      </c>
      <c r="I1615" s="62"/>
      <c r="J1615" s="64" t="n">
        <v>5000</v>
      </c>
      <c r="K1615" s="62"/>
      <c r="L1615" s="68" t="b">
        <f aca="false">TRUE()</f>
        <v>1</v>
      </c>
    </row>
    <row r="1616" customFormat="false" ht="15" hidden="false" customHeight="false" outlineLevel="0" collapsed="false">
      <c r="A1616" s="62" t="n">
        <v>0</v>
      </c>
      <c r="B1616" s="21" t="s">
        <v>336</v>
      </c>
      <c r="C1616" s="62" t="s">
        <v>60</v>
      </c>
      <c r="D1616" s="62" t="s">
        <v>386</v>
      </c>
      <c r="E1616" s="62" t="s">
        <v>382</v>
      </c>
      <c r="F1616" s="62" t="s">
        <v>382</v>
      </c>
      <c r="G1616" s="63" t="s">
        <v>489</v>
      </c>
      <c r="H1616" s="64" t="n">
        <v>5000</v>
      </c>
      <c r="I1616" s="62"/>
      <c r="J1616" s="64" t="n">
        <v>5000</v>
      </c>
      <c r="K1616" s="62"/>
      <c r="L1616" s="68" t="b">
        <f aca="false">TRUE()</f>
        <v>1</v>
      </c>
    </row>
    <row r="1617" customFormat="false" ht="15" hidden="false" customHeight="false" outlineLevel="0" collapsed="false">
      <c r="A1617" s="62" t="n">
        <v>0</v>
      </c>
      <c r="B1617" s="21" t="s">
        <v>336</v>
      </c>
      <c r="C1617" s="62" t="s">
        <v>60</v>
      </c>
      <c r="D1617" s="62" t="s">
        <v>387</v>
      </c>
      <c r="E1617" s="62" t="s">
        <v>382</v>
      </c>
      <c r="F1617" s="62" t="s">
        <v>382</v>
      </c>
      <c r="G1617" s="63" t="s">
        <v>489</v>
      </c>
      <c r="H1617" s="64" t="n">
        <v>5000</v>
      </c>
      <c r="I1617" s="62"/>
      <c r="J1617" s="64" t="n">
        <v>5000</v>
      </c>
      <c r="K1617" s="62"/>
      <c r="L1617" s="68" t="b">
        <f aca="false">TRUE()</f>
        <v>1</v>
      </c>
    </row>
    <row r="1618" customFormat="false" ht="15" hidden="false" customHeight="false" outlineLevel="0" collapsed="false">
      <c r="A1618" s="62" t="n">
        <v>0</v>
      </c>
      <c r="B1618" s="21" t="s">
        <v>336</v>
      </c>
      <c r="C1618" s="62" t="s">
        <v>60</v>
      </c>
      <c r="D1618" s="62" t="s">
        <v>388</v>
      </c>
      <c r="E1618" s="62" t="s">
        <v>382</v>
      </c>
      <c r="F1618" s="62" t="s">
        <v>382</v>
      </c>
      <c r="G1618" s="63" t="s">
        <v>489</v>
      </c>
      <c r="H1618" s="64" t="n">
        <v>5000</v>
      </c>
      <c r="I1618" s="62"/>
      <c r="J1618" s="64" t="n">
        <v>5000</v>
      </c>
      <c r="K1618" s="62"/>
      <c r="L1618" s="68" t="b">
        <f aca="false">TRUE()</f>
        <v>1</v>
      </c>
    </row>
    <row r="1619" customFormat="false" ht="15" hidden="false" customHeight="false" outlineLevel="0" collapsed="false">
      <c r="A1619" s="62" t="n">
        <v>0</v>
      </c>
      <c r="B1619" s="21" t="s">
        <v>336</v>
      </c>
      <c r="C1619" s="62" t="s">
        <v>60</v>
      </c>
      <c r="D1619" s="62" t="s">
        <v>381</v>
      </c>
      <c r="E1619" s="62" t="s">
        <v>382</v>
      </c>
      <c r="F1619" s="62" t="s">
        <v>382</v>
      </c>
      <c r="G1619" s="63" t="s">
        <v>490</v>
      </c>
      <c r="H1619" s="64" t="n">
        <v>500</v>
      </c>
      <c r="I1619" s="62"/>
      <c r="J1619" s="64" t="n">
        <v>500</v>
      </c>
      <c r="K1619" s="62"/>
      <c r="L1619" s="68" t="b">
        <f aca="false">TRUE()</f>
        <v>1</v>
      </c>
    </row>
    <row r="1620" customFormat="false" ht="15" hidden="false" customHeight="false" outlineLevel="0" collapsed="false">
      <c r="A1620" s="62" t="n">
        <v>0</v>
      </c>
      <c r="B1620" s="21" t="s">
        <v>336</v>
      </c>
      <c r="C1620" s="62" t="s">
        <v>60</v>
      </c>
      <c r="D1620" s="62" t="s">
        <v>383</v>
      </c>
      <c r="E1620" s="62" t="s">
        <v>382</v>
      </c>
      <c r="F1620" s="62" t="s">
        <v>382</v>
      </c>
      <c r="G1620" s="63" t="s">
        <v>490</v>
      </c>
      <c r="H1620" s="64" t="n">
        <v>500</v>
      </c>
      <c r="I1620" s="62"/>
      <c r="J1620" s="64" t="n">
        <v>500</v>
      </c>
      <c r="K1620" s="62"/>
      <c r="L1620" s="68" t="b">
        <f aca="false">TRUE()</f>
        <v>1</v>
      </c>
    </row>
    <row r="1621" customFormat="false" ht="15" hidden="false" customHeight="false" outlineLevel="0" collapsed="false">
      <c r="A1621" s="62" t="n">
        <v>0</v>
      </c>
      <c r="B1621" s="21" t="s">
        <v>336</v>
      </c>
      <c r="C1621" s="62" t="s">
        <v>60</v>
      </c>
      <c r="D1621" s="62" t="s">
        <v>384</v>
      </c>
      <c r="E1621" s="62" t="s">
        <v>382</v>
      </c>
      <c r="F1621" s="62" t="s">
        <v>382</v>
      </c>
      <c r="G1621" s="63" t="s">
        <v>490</v>
      </c>
      <c r="H1621" s="64" t="n">
        <v>500</v>
      </c>
      <c r="I1621" s="62"/>
      <c r="J1621" s="64" t="n">
        <v>500</v>
      </c>
      <c r="K1621" s="62"/>
      <c r="L1621" s="68" t="b">
        <f aca="false">TRUE()</f>
        <v>1</v>
      </c>
    </row>
    <row r="1622" customFormat="false" ht="15" hidden="false" customHeight="false" outlineLevel="0" collapsed="false">
      <c r="A1622" s="62" t="n">
        <v>0</v>
      </c>
      <c r="B1622" s="21" t="s">
        <v>336</v>
      </c>
      <c r="C1622" s="62" t="s">
        <v>60</v>
      </c>
      <c r="D1622" s="62" t="s">
        <v>385</v>
      </c>
      <c r="E1622" s="62" t="s">
        <v>382</v>
      </c>
      <c r="F1622" s="62" t="s">
        <v>382</v>
      </c>
      <c r="G1622" s="63" t="s">
        <v>490</v>
      </c>
      <c r="H1622" s="64" t="n">
        <v>500</v>
      </c>
      <c r="I1622" s="62"/>
      <c r="J1622" s="64" t="n">
        <v>500</v>
      </c>
      <c r="K1622" s="62"/>
      <c r="L1622" s="68" t="b">
        <f aca="false">TRUE()</f>
        <v>1</v>
      </c>
    </row>
    <row r="1623" customFormat="false" ht="15" hidden="false" customHeight="false" outlineLevel="0" collapsed="false">
      <c r="A1623" s="62" t="n">
        <v>0</v>
      </c>
      <c r="B1623" s="21" t="s">
        <v>336</v>
      </c>
      <c r="C1623" s="62" t="s">
        <v>60</v>
      </c>
      <c r="D1623" s="62" t="s">
        <v>386</v>
      </c>
      <c r="E1623" s="62" t="s">
        <v>382</v>
      </c>
      <c r="F1623" s="62" t="s">
        <v>382</v>
      </c>
      <c r="G1623" s="63" t="s">
        <v>490</v>
      </c>
      <c r="H1623" s="64" t="n">
        <v>500</v>
      </c>
      <c r="I1623" s="62"/>
      <c r="J1623" s="64" t="n">
        <v>500</v>
      </c>
      <c r="K1623" s="62"/>
      <c r="L1623" s="68" t="b">
        <f aca="false">TRUE()</f>
        <v>1</v>
      </c>
    </row>
    <row r="1624" customFormat="false" ht="15" hidden="false" customHeight="false" outlineLevel="0" collapsed="false">
      <c r="A1624" s="62" t="n">
        <v>0</v>
      </c>
      <c r="B1624" s="21" t="s">
        <v>336</v>
      </c>
      <c r="C1624" s="62" t="s">
        <v>60</v>
      </c>
      <c r="D1624" s="62" t="s">
        <v>387</v>
      </c>
      <c r="E1624" s="62" t="s">
        <v>382</v>
      </c>
      <c r="F1624" s="62" t="s">
        <v>382</v>
      </c>
      <c r="G1624" s="63" t="s">
        <v>490</v>
      </c>
      <c r="H1624" s="64" t="n">
        <v>500</v>
      </c>
      <c r="I1624" s="62"/>
      <c r="J1624" s="64" t="n">
        <v>500</v>
      </c>
      <c r="K1624" s="62"/>
      <c r="L1624" s="68" t="b">
        <f aca="false">TRUE()</f>
        <v>1</v>
      </c>
    </row>
    <row r="1625" customFormat="false" ht="15" hidden="false" customHeight="false" outlineLevel="0" collapsed="false">
      <c r="A1625" s="62" t="n">
        <v>0</v>
      </c>
      <c r="B1625" s="21" t="s">
        <v>336</v>
      </c>
      <c r="C1625" s="62" t="s">
        <v>60</v>
      </c>
      <c r="D1625" s="62" t="s">
        <v>388</v>
      </c>
      <c r="E1625" s="62" t="s">
        <v>382</v>
      </c>
      <c r="F1625" s="62" t="s">
        <v>382</v>
      </c>
      <c r="G1625" s="63" t="s">
        <v>490</v>
      </c>
      <c r="H1625" s="64" t="n">
        <v>500</v>
      </c>
      <c r="I1625" s="62"/>
      <c r="J1625" s="64" t="n">
        <v>500</v>
      </c>
      <c r="K1625" s="62"/>
      <c r="L1625" s="68" t="b">
        <f aca="false">TRUE()</f>
        <v>1</v>
      </c>
    </row>
    <row r="1626" customFormat="false" ht="15" hidden="false" customHeight="false" outlineLevel="0" collapsed="false">
      <c r="A1626" s="62" t="n">
        <v>0</v>
      </c>
      <c r="B1626" s="21" t="s">
        <v>336</v>
      </c>
      <c r="C1626" s="62" t="s">
        <v>60</v>
      </c>
      <c r="D1626" s="62" t="s">
        <v>381</v>
      </c>
      <c r="E1626" s="62" t="s">
        <v>382</v>
      </c>
      <c r="F1626" s="62" t="s">
        <v>382</v>
      </c>
      <c r="G1626" s="63" t="s">
        <v>491</v>
      </c>
      <c r="H1626" s="64" t="n">
        <v>56</v>
      </c>
      <c r="I1626" s="62"/>
      <c r="J1626" s="64" t="n">
        <v>56</v>
      </c>
      <c r="K1626" s="62"/>
      <c r="L1626" s="68" t="b">
        <f aca="false">TRUE()</f>
        <v>1</v>
      </c>
    </row>
    <row r="1627" customFormat="false" ht="15" hidden="false" customHeight="false" outlineLevel="0" collapsed="false">
      <c r="A1627" s="62" t="n">
        <v>0</v>
      </c>
      <c r="B1627" s="21" t="s">
        <v>336</v>
      </c>
      <c r="C1627" s="62" t="s">
        <v>60</v>
      </c>
      <c r="D1627" s="62" t="s">
        <v>383</v>
      </c>
      <c r="E1627" s="62" t="s">
        <v>382</v>
      </c>
      <c r="F1627" s="62" t="s">
        <v>382</v>
      </c>
      <c r="G1627" s="63" t="s">
        <v>491</v>
      </c>
      <c r="H1627" s="64" t="n">
        <v>56</v>
      </c>
      <c r="I1627" s="62"/>
      <c r="J1627" s="64" t="n">
        <v>56</v>
      </c>
      <c r="K1627" s="62"/>
      <c r="L1627" s="68" t="b">
        <f aca="false">TRUE()</f>
        <v>1</v>
      </c>
    </row>
    <row r="1628" customFormat="false" ht="15" hidden="false" customHeight="false" outlineLevel="0" collapsed="false">
      <c r="A1628" s="62" t="n">
        <v>0</v>
      </c>
      <c r="B1628" s="21" t="s">
        <v>336</v>
      </c>
      <c r="C1628" s="62" t="s">
        <v>60</v>
      </c>
      <c r="D1628" s="62" t="s">
        <v>384</v>
      </c>
      <c r="E1628" s="62" t="s">
        <v>382</v>
      </c>
      <c r="F1628" s="62" t="s">
        <v>382</v>
      </c>
      <c r="G1628" s="63" t="s">
        <v>491</v>
      </c>
      <c r="H1628" s="64" t="n">
        <v>56</v>
      </c>
      <c r="I1628" s="62"/>
      <c r="J1628" s="64" t="n">
        <v>56</v>
      </c>
      <c r="K1628" s="62"/>
      <c r="L1628" s="68" t="b">
        <f aca="false">TRUE()</f>
        <v>1</v>
      </c>
    </row>
    <row r="1629" customFormat="false" ht="15" hidden="false" customHeight="false" outlineLevel="0" collapsed="false">
      <c r="A1629" s="62" t="n">
        <v>0</v>
      </c>
      <c r="B1629" s="21" t="s">
        <v>336</v>
      </c>
      <c r="C1629" s="62" t="s">
        <v>60</v>
      </c>
      <c r="D1629" s="62" t="s">
        <v>385</v>
      </c>
      <c r="E1629" s="62" t="s">
        <v>382</v>
      </c>
      <c r="F1629" s="62" t="s">
        <v>382</v>
      </c>
      <c r="G1629" s="63" t="s">
        <v>491</v>
      </c>
      <c r="H1629" s="64" t="n">
        <v>56</v>
      </c>
      <c r="I1629" s="62"/>
      <c r="J1629" s="64" t="n">
        <v>56</v>
      </c>
      <c r="K1629" s="62"/>
      <c r="L1629" s="68" t="b">
        <f aca="false">TRUE()</f>
        <v>1</v>
      </c>
    </row>
    <row r="1630" customFormat="false" ht="15" hidden="false" customHeight="false" outlineLevel="0" collapsed="false">
      <c r="A1630" s="62" t="n">
        <v>0</v>
      </c>
      <c r="B1630" s="21" t="s">
        <v>336</v>
      </c>
      <c r="C1630" s="62" t="s">
        <v>60</v>
      </c>
      <c r="D1630" s="62" t="s">
        <v>386</v>
      </c>
      <c r="E1630" s="62" t="s">
        <v>382</v>
      </c>
      <c r="F1630" s="62" t="s">
        <v>382</v>
      </c>
      <c r="G1630" s="63" t="s">
        <v>491</v>
      </c>
      <c r="H1630" s="64" t="n">
        <v>56</v>
      </c>
      <c r="I1630" s="62"/>
      <c r="J1630" s="64" t="n">
        <v>56</v>
      </c>
      <c r="K1630" s="62"/>
      <c r="L1630" s="68" t="b">
        <f aca="false">TRUE()</f>
        <v>1</v>
      </c>
    </row>
    <row r="1631" customFormat="false" ht="15" hidden="false" customHeight="false" outlineLevel="0" collapsed="false">
      <c r="A1631" s="62" t="n">
        <v>0</v>
      </c>
      <c r="B1631" s="21" t="s">
        <v>336</v>
      </c>
      <c r="C1631" s="62" t="s">
        <v>60</v>
      </c>
      <c r="D1631" s="62" t="s">
        <v>387</v>
      </c>
      <c r="E1631" s="62" t="s">
        <v>382</v>
      </c>
      <c r="F1631" s="62" t="s">
        <v>382</v>
      </c>
      <c r="G1631" s="63" t="s">
        <v>491</v>
      </c>
      <c r="H1631" s="64" t="n">
        <v>56</v>
      </c>
      <c r="I1631" s="62"/>
      <c r="J1631" s="64" t="n">
        <v>56</v>
      </c>
      <c r="K1631" s="62"/>
      <c r="L1631" s="68" t="b">
        <f aca="false">TRUE()</f>
        <v>1</v>
      </c>
    </row>
    <row r="1632" customFormat="false" ht="15" hidden="false" customHeight="false" outlineLevel="0" collapsed="false">
      <c r="A1632" s="62" t="n">
        <v>0</v>
      </c>
      <c r="B1632" s="21" t="s">
        <v>336</v>
      </c>
      <c r="C1632" s="62" t="s">
        <v>60</v>
      </c>
      <c r="D1632" s="62" t="s">
        <v>388</v>
      </c>
      <c r="E1632" s="62" t="s">
        <v>382</v>
      </c>
      <c r="F1632" s="62" t="s">
        <v>382</v>
      </c>
      <c r="G1632" s="63" t="s">
        <v>491</v>
      </c>
      <c r="H1632" s="64" t="n">
        <v>56</v>
      </c>
      <c r="I1632" s="62"/>
      <c r="J1632" s="64" t="n">
        <v>56</v>
      </c>
      <c r="K1632" s="62"/>
      <c r="L1632" s="68" t="b">
        <f aca="false">TRUE()</f>
        <v>1</v>
      </c>
    </row>
    <row r="1633" customFormat="false" ht="15" hidden="false" customHeight="false" outlineLevel="0" collapsed="false">
      <c r="A1633" s="62" t="n">
        <v>0</v>
      </c>
      <c r="B1633" s="21" t="s">
        <v>336</v>
      </c>
      <c r="C1633" s="62" t="s">
        <v>60</v>
      </c>
      <c r="D1633" s="62" t="s">
        <v>381</v>
      </c>
      <c r="E1633" s="62" t="s">
        <v>382</v>
      </c>
      <c r="F1633" s="62" t="s">
        <v>382</v>
      </c>
      <c r="G1633" s="63" t="s">
        <v>492</v>
      </c>
      <c r="H1633" s="64" t="n">
        <v>1.02893235439932</v>
      </c>
      <c r="I1633" s="62"/>
      <c r="J1633" s="64" t="n">
        <v>1.02893235439932</v>
      </c>
      <c r="K1633" s="62"/>
      <c r="L1633" s="68" t="b">
        <f aca="false">TRUE()</f>
        <v>1</v>
      </c>
    </row>
    <row r="1634" customFormat="false" ht="15" hidden="false" customHeight="false" outlineLevel="0" collapsed="false">
      <c r="A1634" s="62" t="n">
        <v>0</v>
      </c>
      <c r="B1634" s="21" t="s">
        <v>336</v>
      </c>
      <c r="C1634" s="62" t="s">
        <v>60</v>
      </c>
      <c r="D1634" s="62" t="s">
        <v>383</v>
      </c>
      <c r="E1634" s="62" t="s">
        <v>382</v>
      </c>
      <c r="F1634" s="62" t="s">
        <v>382</v>
      </c>
      <c r="G1634" s="63" t="s">
        <v>492</v>
      </c>
      <c r="H1634" s="64" t="n">
        <v>1.02893235439932</v>
      </c>
      <c r="I1634" s="62"/>
      <c r="J1634" s="64" t="n">
        <v>1.02893235439932</v>
      </c>
      <c r="K1634" s="62"/>
      <c r="L1634" s="68" t="b">
        <f aca="false">TRUE()</f>
        <v>1</v>
      </c>
    </row>
    <row r="1635" customFormat="false" ht="15" hidden="false" customHeight="false" outlineLevel="0" collapsed="false">
      <c r="A1635" s="62" t="n">
        <v>0</v>
      </c>
      <c r="B1635" s="21" t="s">
        <v>336</v>
      </c>
      <c r="C1635" s="62" t="s">
        <v>60</v>
      </c>
      <c r="D1635" s="62" t="s">
        <v>384</v>
      </c>
      <c r="E1635" s="62" t="s">
        <v>382</v>
      </c>
      <c r="F1635" s="62" t="s">
        <v>382</v>
      </c>
      <c r="G1635" s="63" t="s">
        <v>492</v>
      </c>
      <c r="H1635" s="64" t="n">
        <v>1.02893235439932</v>
      </c>
      <c r="I1635" s="62"/>
      <c r="J1635" s="64" t="n">
        <v>1.02893235439932</v>
      </c>
      <c r="K1635" s="62"/>
      <c r="L1635" s="68" t="b">
        <f aca="false">TRUE()</f>
        <v>1</v>
      </c>
    </row>
    <row r="1636" customFormat="false" ht="15" hidden="false" customHeight="false" outlineLevel="0" collapsed="false">
      <c r="A1636" s="62" t="n">
        <v>0</v>
      </c>
      <c r="B1636" s="21" t="s">
        <v>336</v>
      </c>
      <c r="C1636" s="62" t="s">
        <v>60</v>
      </c>
      <c r="D1636" s="62" t="s">
        <v>385</v>
      </c>
      <c r="E1636" s="62" t="s">
        <v>382</v>
      </c>
      <c r="F1636" s="62" t="s">
        <v>382</v>
      </c>
      <c r="G1636" s="63" t="s">
        <v>492</v>
      </c>
      <c r="H1636" s="64" t="n">
        <v>1.02893235439932</v>
      </c>
      <c r="I1636" s="62"/>
      <c r="J1636" s="64" t="n">
        <v>1.02893235439932</v>
      </c>
      <c r="K1636" s="62"/>
      <c r="L1636" s="68" t="b">
        <f aca="false">TRUE()</f>
        <v>1</v>
      </c>
    </row>
    <row r="1637" customFormat="false" ht="15" hidden="false" customHeight="false" outlineLevel="0" collapsed="false">
      <c r="A1637" s="62" t="n">
        <v>0</v>
      </c>
      <c r="B1637" s="21" t="s">
        <v>336</v>
      </c>
      <c r="C1637" s="62" t="s">
        <v>60</v>
      </c>
      <c r="D1637" s="62" t="s">
        <v>386</v>
      </c>
      <c r="E1637" s="62" t="s">
        <v>382</v>
      </c>
      <c r="F1637" s="62" t="s">
        <v>382</v>
      </c>
      <c r="G1637" s="63" t="s">
        <v>492</v>
      </c>
      <c r="H1637" s="64" t="n">
        <v>1.02893235439932</v>
      </c>
      <c r="I1637" s="62"/>
      <c r="J1637" s="64" t="n">
        <v>1.02893235439932</v>
      </c>
      <c r="K1637" s="62"/>
      <c r="L1637" s="68" t="b">
        <f aca="false">TRUE()</f>
        <v>1</v>
      </c>
    </row>
    <row r="1638" customFormat="false" ht="15" hidden="false" customHeight="false" outlineLevel="0" collapsed="false">
      <c r="A1638" s="62" t="n">
        <v>0</v>
      </c>
      <c r="B1638" s="21" t="s">
        <v>336</v>
      </c>
      <c r="C1638" s="62" t="s">
        <v>60</v>
      </c>
      <c r="D1638" s="62" t="s">
        <v>387</v>
      </c>
      <c r="E1638" s="62" t="s">
        <v>382</v>
      </c>
      <c r="F1638" s="62" t="s">
        <v>382</v>
      </c>
      <c r="G1638" s="63" t="s">
        <v>492</v>
      </c>
      <c r="H1638" s="64" t="n">
        <v>1.02893235439932</v>
      </c>
      <c r="I1638" s="62"/>
      <c r="J1638" s="64" t="n">
        <v>1.02893235439932</v>
      </c>
      <c r="K1638" s="62"/>
      <c r="L1638" s="68" t="b">
        <f aca="false">TRUE()</f>
        <v>1</v>
      </c>
    </row>
    <row r="1639" customFormat="false" ht="15" hidden="false" customHeight="false" outlineLevel="0" collapsed="false">
      <c r="A1639" s="62" t="n">
        <v>0</v>
      </c>
      <c r="B1639" s="21" t="s">
        <v>336</v>
      </c>
      <c r="C1639" s="62" t="s">
        <v>60</v>
      </c>
      <c r="D1639" s="62" t="s">
        <v>388</v>
      </c>
      <c r="E1639" s="62" t="s">
        <v>382</v>
      </c>
      <c r="F1639" s="62" t="s">
        <v>382</v>
      </c>
      <c r="G1639" s="63" t="s">
        <v>492</v>
      </c>
      <c r="H1639" s="64" t="n">
        <v>1.02893235439932</v>
      </c>
      <c r="I1639" s="62"/>
      <c r="J1639" s="64" t="n">
        <v>1.02893235439932</v>
      </c>
      <c r="K1639" s="62"/>
      <c r="L1639" s="68" t="b">
        <f aca="false">TRUE()</f>
        <v>1</v>
      </c>
    </row>
    <row r="1640" customFormat="false" ht="15" hidden="false" customHeight="false" outlineLevel="0" collapsed="false">
      <c r="A1640" s="62" t="n">
        <v>0</v>
      </c>
      <c r="B1640" s="21" t="s">
        <v>336</v>
      </c>
      <c r="C1640" s="62" t="s">
        <v>60</v>
      </c>
      <c r="D1640" s="62" t="s">
        <v>381</v>
      </c>
      <c r="E1640" s="62" t="s">
        <v>382</v>
      </c>
      <c r="F1640" s="62" t="s">
        <v>382</v>
      </c>
      <c r="G1640" s="63" t="s">
        <v>493</v>
      </c>
      <c r="H1640" s="64" t="n">
        <v>5000</v>
      </c>
      <c r="I1640" s="62"/>
      <c r="J1640" s="64" t="n">
        <v>5000</v>
      </c>
      <c r="K1640" s="62"/>
      <c r="L1640" s="68" t="b">
        <f aca="false">TRUE()</f>
        <v>1</v>
      </c>
    </row>
    <row r="1641" customFormat="false" ht="15" hidden="false" customHeight="false" outlineLevel="0" collapsed="false">
      <c r="A1641" s="62" t="n">
        <v>0</v>
      </c>
      <c r="B1641" s="21" t="s">
        <v>336</v>
      </c>
      <c r="C1641" s="62" t="s">
        <v>60</v>
      </c>
      <c r="D1641" s="62" t="s">
        <v>383</v>
      </c>
      <c r="E1641" s="62" t="s">
        <v>382</v>
      </c>
      <c r="F1641" s="62" t="s">
        <v>382</v>
      </c>
      <c r="G1641" s="63" t="s">
        <v>493</v>
      </c>
      <c r="H1641" s="64" t="n">
        <v>5000</v>
      </c>
      <c r="I1641" s="62"/>
      <c r="J1641" s="64" t="n">
        <v>5000</v>
      </c>
      <c r="K1641" s="62"/>
      <c r="L1641" s="68" t="b">
        <f aca="false">TRUE()</f>
        <v>1</v>
      </c>
    </row>
    <row r="1642" customFormat="false" ht="15" hidden="false" customHeight="false" outlineLevel="0" collapsed="false">
      <c r="A1642" s="62" t="n">
        <v>0</v>
      </c>
      <c r="B1642" s="21" t="s">
        <v>336</v>
      </c>
      <c r="C1642" s="62" t="s">
        <v>60</v>
      </c>
      <c r="D1642" s="62" t="s">
        <v>384</v>
      </c>
      <c r="E1642" s="62" t="s">
        <v>382</v>
      </c>
      <c r="F1642" s="62" t="s">
        <v>382</v>
      </c>
      <c r="G1642" s="63" t="s">
        <v>493</v>
      </c>
      <c r="H1642" s="64" t="n">
        <v>5000</v>
      </c>
      <c r="I1642" s="62"/>
      <c r="J1642" s="64" t="n">
        <v>5000</v>
      </c>
      <c r="K1642" s="62"/>
      <c r="L1642" s="68" t="b">
        <f aca="false">TRUE()</f>
        <v>1</v>
      </c>
    </row>
    <row r="1643" customFormat="false" ht="15" hidden="false" customHeight="false" outlineLevel="0" collapsed="false">
      <c r="A1643" s="62" t="n">
        <v>0</v>
      </c>
      <c r="B1643" s="21" t="s">
        <v>336</v>
      </c>
      <c r="C1643" s="62" t="s">
        <v>60</v>
      </c>
      <c r="D1643" s="62" t="s">
        <v>385</v>
      </c>
      <c r="E1643" s="62" t="s">
        <v>382</v>
      </c>
      <c r="F1643" s="62" t="s">
        <v>382</v>
      </c>
      <c r="G1643" s="63" t="s">
        <v>493</v>
      </c>
      <c r="H1643" s="64" t="n">
        <v>5000</v>
      </c>
      <c r="I1643" s="62"/>
      <c r="J1643" s="64" t="n">
        <v>5000</v>
      </c>
      <c r="K1643" s="62"/>
      <c r="L1643" s="68" t="b">
        <f aca="false">TRUE()</f>
        <v>1</v>
      </c>
    </row>
    <row r="1644" customFormat="false" ht="15" hidden="false" customHeight="false" outlineLevel="0" collapsed="false">
      <c r="A1644" s="62" t="n">
        <v>0</v>
      </c>
      <c r="B1644" s="21" t="s">
        <v>336</v>
      </c>
      <c r="C1644" s="62" t="s">
        <v>60</v>
      </c>
      <c r="D1644" s="62" t="s">
        <v>386</v>
      </c>
      <c r="E1644" s="62" t="s">
        <v>382</v>
      </c>
      <c r="F1644" s="62" t="s">
        <v>382</v>
      </c>
      <c r="G1644" s="63" t="s">
        <v>493</v>
      </c>
      <c r="H1644" s="64" t="n">
        <v>5000</v>
      </c>
      <c r="I1644" s="62"/>
      <c r="J1644" s="64" t="n">
        <v>5000</v>
      </c>
      <c r="K1644" s="62"/>
      <c r="L1644" s="68" t="b">
        <f aca="false">TRUE()</f>
        <v>1</v>
      </c>
    </row>
    <row r="1645" customFormat="false" ht="15" hidden="false" customHeight="false" outlineLevel="0" collapsed="false">
      <c r="A1645" s="62" t="n">
        <v>0</v>
      </c>
      <c r="B1645" s="21" t="s">
        <v>336</v>
      </c>
      <c r="C1645" s="62" t="s">
        <v>60</v>
      </c>
      <c r="D1645" s="62" t="s">
        <v>387</v>
      </c>
      <c r="E1645" s="62" t="s">
        <v>382</v>
      </c>
      <c r="F1645" s="62" t="s">
        <v>382</v>
      </c>
      <c r="G1645" s="63" t="s">
        <v>493</v>
      </c>
      <c r="H1645" s="64" t="n">
        <v>5000</v>
      </c>
      <c r="I1645" s="62"/>
      <c r="J1645" s="64" t="n">
        <v>5000</v>
      </c>
      <c r="K1645" s="62"/>
      <c r="L1645" s="68" t="b">
        <f aca="false">TRUE()</f>
        <v>1</v>
      </c>
    </row>
    <row r="1646" customFormat="false" ht="15" hidden="false" customHeight="false" outlineLevel="0" collapsed="false">
      <c r="A1646" s="62" t="n">
        <v>0</v>
      </c>
      <c r="B1646" s="21" t="s">
        <v>336</v>
      </c>
      <c r="C1646" s="62" t="s">
        <v>60</v>
      </c>
      <c r="D1646" s="62" t="s">
        <v>388</v>
      </c>
      <c r="E1646" s="62" t="s">
        <v>382</v>
      </c>
      <c r="F1646" s="62" t="s">
        <v>382</v>
      </c>
      <c r="G1646" s="63" t="s">
        <v>493</v>
      </c>
      <c r="H1646" s="64" t="n">
        <v>5000</v>
      </c>
      <c r="I1646" s="62"/>
      <c r="J1646" s="64" t="n">
        <v>5000</v>
      </c>
      <c r="K1646" s="62"/>
      <c r="L1646" s="68" t="b">
        <f aca="false">TRUE()</f>
        <v>1</v>
      </c>
    </row>
    <row r="1647" customFormat="false" ht="15" hidden="false" customHeight="false" outlineLevel="0" collapsed="false">
      <c r="A1647" s="62" t="n">
        <v>0</v>
      </c>
      <c r="B1647" s="21" t="s">
        <v>336</v>
      </c>
      <c r="C1647" s="62" t="s">
        <v>60</v>
      </c>
      <c r="D1647" s="62" t="s">
        <v>381</v>
      </c>
      <c r="E1647" s="62" t="s">
        <v>382</v>
      </c>
      <c r="F1647" s="62" t="s">
        <v>382</v>
      </c>
      <c r="G1647" s="63" t="s">
        <v>494</v>
      </c>
      <c r="H1647" s="64" t="n">
        <v>-281</v>
      </c>
      <c r="I1647" s="62"/>
      <c r="J1647" s="64" t="n">
        <v>-281</v>
      </c>
      <c r="K1647" s="62"/>
      <c r="L1647" s="68" t="b">
        <f aca="false">TRUE()</f>
        <v>1</v>
      </c>
    </row>
    <row r="1648" customFormat="false" ht="15" hidden="false" customHeight="false" outlineLevel="0" collapsed="false">
      <c r="A1648" s="62" t="n">
        <v>0</v>
      </c>
      <c r="B1648" s="21" t="s">
        <v>336</v>
      </c>
      <c r="C1648" s="62" t="s">
        <v>60</v>
      </c>
      <c r="D1648" s="62" t="s">
        <v>383</v>
      </c>
      <c r="E1648" s="62" t="s">
        <v>382</v>
      </c>
      <c r="F1648" s="62" t="s">
        <v>382</v>
      </c>
      <c r="G1648" s="63" t="s">
        <v>494</v>
      </c>
      <c r="H1648" s="64" t="n">
        <v>-281</v>
      </c>
      <c r="I1648" s="62"/>
      <c r="J1648" s="64" t="n">
        <v>-281</v>
      </c>
      <c r="K1648" s="62"/>
      <c r="L1648" s="68" t="b">
        <f aca="false">TRUE()</f>
        <v>1</v>
      </c>
    </row>
    <row r="1649" customFormat="false" ht="15" hidden="false" customHeight="false" outlineLevel="0" collapsed="false">
      <c r="A1649" s="62" t="n">
        <v>0</v>
      </c>
      <c r="B1649" s="21" t="s">
        <v>336</v>
      </c>
      <c r="C1649" s="62" t="s">
        <v>60</v>
      </c>
      <c r="D1649" s="62" t="s">
        <v>384</v>
      </c>
      <c r="E1649" s="62" t="s">
        <v>382</v>
      </c>
      <c r="F1649" s="62" t="s">
        <v>382</v>
      </c>
      <c r="G1649" s="63" t="s">
        <v>494</v>
      </c>
      <c r="H1649" s="64" t="n">
        <v>-281</v>
      </c>
      <c r="I1649" s="62"/>
      <c r="J1649" s="64" t="n">
        <v>-281</v>
      </c>
      <c r="K1649" s="62"/>
      <c r="L1649" s="68" t="b">
        <f aca="false">TRUE()</f>
        <v>1</v>
      </c>
    </row>
    <row r="1650" customFormat="false" ht="15" hidden="false" customHeight="false" outlineLevel="0" collapsed="false">
      <c r="A1650" s="62" t="n">
        <v>0</v>
      </c>
      <c r="B1650" s="21" t="s">
        <v>336</v>
      </c>
      <c r="C1650" s="62" t="s">
        <v>60</v>
      </c>
      <c r="D1650" s="62" t="s">
        <v>385</v>
      </c>
      <c r="E1650" s="62" t="s">
        <v>382</v>
      </c>
      <c r="F1650" s="62" t="s">
        <v>382</v>
      </c>
      <c r="G1650" s="63" t="s">
        <v>494</v>
      </c>
      <c r="H1650" s="64" t="n">
        <v>-281</v>
      </c>
      <c r="I1650" s="62"/>
      <c r="J1650" s="64" t="n">
        <v>-281</v>
      </c>
      <c r="K1650" s="62"/>
      <c r="L1650" s="68" t="b">
        <f aca="false">TRUE()</f>
        <v>1</v>
      </c>
    </row>
    <row r="1651" customFormat="false" ht="15" hidden="false" customHeight="false" outlineLevel="0" collapsed="false">
      <c r="A1651" s="62" t="n">
        <v>0</v>
      </c>
      <c r="B1651" s="21" t="s">
        <v>336</v>
      </c>
      <c r="C1651" s="62" t="s">
        <v>60</v>
      </c>
      <c r="D1651" s="62" t="s">
        <v>386</v>
      </c>
      <c r="E1651" s="62" t="s">
        <v>382</v>
      </c>
      <c r="F1651" s="62" t="s">
        <v>382</v>
      </c>
      <c r="G1651" s="63" t="s">
        <v>494</v>
      </c>
      <c r="H1651" s="64" t="n">
        <v>-281</v>
      </c>
      <c r="I1651" s="62"/>
      <c r="J1651" s="64" t="n">
        <v>-281</v>
      </c>
      <c r="K1651" s="62"/>
      <c r="L1651" s="68" t="b">
        <f aca="false">TRUE()</f>
        <v>1</v>
      </c>
    </row>
    <row r="1652" customFormat="false" ht="15" hidden="false" customHeight="false" outlineLevel="0" collapsed="false">
      <c r="A1652" s="62" t="n">
        <v>0</v>
      </c>
      <c r="B1652" s="21" t="s">
        <v>336</v>
      </c>
      <c r="C1652" s="62" t="s">
        <v>60</v>
      </c>
      <c r="D1652" s="62" t="s">
        <v>387</v>
      </c>
      <c r="E1652" s="62" t="s">
        <v>382</v>
      </c>
      <c r="F1652" s="62" t="s">
        <v>382</v>
      </c>
      <c r="G1652" s="63" t="s">
        <v>494</v>
      </c>
      <c r="H1652" s="64" t="n">
        <v>-281</v>
      </c>
      <c r="I1652" s="62"/>
      <c r="J1652" s="64" t="n">
        <v>-281</v>
      </c>
      <c r="K1652" s="62"/>
      <c r="L1652" s="68" t="b">
        <f aca="false">TRUE()</f>
        <v>1</v>
      </c>
    </row>
    <row r="1653" customFormat="false" ht="15" hidden="false" customHeight="false" outlineLevel="0" collapsed="false">
      <c r="A1653" s="62" t="n">
        <v>0</v>
      </c>
      <c r="B1653" s="21" t="s">
        <v>336</v>
      </c>
      <c r="C1653" s="62" t="s">
        <v>60</v>
      </c>
      <c r="D1653" s="62" t="s">
        <v>388</v>
      </c>
      <c r="E1653" s="62" t="s">
        <v>382</v>
      </c>
      <c r="F1653" s="62" t="s">
        <v>382</v>
      </c>
      <c r="G1653" s="63" t="s">
        <v>494</v>
      </c>
      <c r="H1653" s="64" t="n">
        <v>-281</v>
      </c>
      <c r="I1653" s="62"/>
      <c r="J1653" s="64" t="n">
        <v>-281</v>
      </c>
      <c r="K1653" s="62"/>
      <c r="L1653" s="68" t="b">
        <f aca="false">TRUE()</f>
        <v>1</v>
      </c>
    </row>
    <row r="1654" customFormat="false" ht="15" hidden="false" customHeight="false" outlineLevel="0" collapsed="false">
      <c r="A1654" s="62" t="n">
        <v>0</v>
      </c>
      <c r="B1654" s="21" t="s">
        <v>336</v>
      </c>
      <c r="C1654" s="62" t="s">
        <v>60</v>
      </c>
      <c r="D1654" s="62" t="s">
        <v>381</v>
      </c>
      <c r="E1654" s="62" t="s">
        <v>382</v>
      </c>
      <c r="F1654" s="62" t="s">
        <v>382</v>
      </c>
      <c r="G1654" s="63" t="s">
        <v>495</v>
      </c>
      <c r="H1654" s="64" t="n">
        <v>281</v>
      </c>
      <c r="I1654" s="62"/>
      <c r="J1654" s="64" t="n">
        <v>281</v>
      </c>
      <c r="K1654" s="62"/>
      <c r="L1654" s="68" t="b">
        <f aca="false">TRUE()</f>
        <v>1</v>
      </c>
    </row>
    <row r="1655" customFormat="false" ht="15" hidden="false" customHeight="false" outlineLevel="0" collapsed="false">
      <c r="A1655" s="62" t="n">
        <v>0</v>
      </c>
      <c r="B1655" s="21" t="s">
        <v>336</v>
      </c>
      <c r="C1655" s="62" t="s">
        <v>60</v>
      </c>
      <c r="D1655" s="62" t="s">
        <v>383</v>
      </c>
      <c r="E1655" s="62" t="s">
        <v>382</v>
      </c>
      <c r="F1655" s="62" t="s">
        <v>382</v>
      </c>
      <c r="G1655" s="63" t="s">
        <v>495</v>
      </c>
      <c r="H1655" s="64" t="n">
        <v>281</v>
      </c>
      <c r="I1655" s="62"/>
      <c r="J1655" s="64" t="n">
        <v>281</v>
      </c>
      <c r="K1655" s="62"/>
      <c r="L1655" s="68" t="b">
        <f aca="false">TRUE()</f>
        <v>1</v>
      </c>
    </row>
    <row r="1656" customFormat="false" ht="15" hidden="false" customHeight="false" outlineLevel="0" collapsed="false">
      <c r="A1656" s="62" t="n">
        <v>0</v>
      </c>
      <c r="B1656" s="21" t="s">
        <v>336</v>
      </c>
      <c r="C1656" s="62" t="s">
        <v>60</v>
      </c>
      <c r="D1656" s="62" t="s">
        <v>384</v>
      </c>
      <c r="E1656" s="62" t="s">
        <v>382</v>
      </c>
      <c r="F1656" s="62" t="s">
        <v>382</v>
      </c>
      <c r="G1656" s="63" t="s">
        <v>495</v>
      </c>
      <c r="H1656" s="64" t="n">
        <v>281</v>
      </c>
      <c r="I1656" s="62"/>
      <c r="J1656" s="64" t="n">
        <v>281</v>
      </c>
      <c r="K1656" s="62"/>
      <c r="L1656" s="68" t="b">
        <f aca="false">TRUE()</f>
        <v>1</v>
      </c>
    </row>
    <row r="1657" customFormat="false" ht="15" hidden="false" customHeight="false" outlineLevel="0" collapsed="false">
      <c r="A1657" s="62" t="n">
        <v>0</v>
      </c>
      <c r="B1657" s="21" t="s">
        <v>336</v>
      </c>
      <c r="C1657" s="62" t="s">
        <v>60</v>
      </c>
      <c r="D1657" s="62" t="s">
        <v>385</v>
      </c>
      <c r="E1657" s="62" t="s">
        <v>382</v>
      </c>
      <c r="F1657" s="62" t="s">
        <v>382</v>
      </c>
      <c r="G1657" s="63" t="s">
        <v>495</v>
      </c>
      <c r="H1657" s="64" t="n">
        <v>281</v>
      </c>
      <c r="I1657" s="62"/>
      <c r="J1657" s="64" t="n">
        <v>281</v>
      </c>
      <c r="K1657" s="62"/>
      <c r="L1657" s="68" t="b">
        <f aca="false">TRUE()</f>
        <v>1</v>
      </c>
    </row>
    <row r="1658" customFormat="false" ht="15" hidden="false" customHeight="false" outlineLevel="0" collapsed="false">
      <c r="A1658" s="62" t="n">
        <v>0</v>
      </c>
      <c r="B1658" s="21" t="s">
        <v>336</v>
      </c>
      <c r="C1658" s="62" t="s">
        <v>60</v>
      </c>
      <c r="D1658" s="62" t="s">
        <v>386</v>
      </c>
      <c r="E1658" s="62" t="s">
        <v>382</v>
      </c>
      <c r="F1658" s="62" t="s">
        <v>382</v>
      </c>
      <c r="G1658" s="63" t="s">
        <v>495</v>
      </c>
      <c r="H1658" s="64" t="n">
        <v>281</v>
      </c>
      <c r="I1658" s="62"/>
      <c r="J1658" s="64" t="n">
        <v>281</v>
      </c>
      <c r="K1658" s="62"/>
      <c r="L1658" s="68" t="b">
        <f aca="false">TRUE()</f>
        <v>1</v>
      </c>
    </row>
    <row r="1659" customFormat="false" ht="15" hidden="false" customHeight="false" outlineLevel="0" collapsed="false">
      <c r="A1659" s="62" t="n">
        <v>0</v>
      </c>
      <c r="B1659" s="21" t="s">
        <v>336</v>
      </c>
      <c r="C1659" s="62" t="s">
        <v>60</v>
      </c>
      <c r="D1659" s="62" t="s">
        <v>387</v>
      </c>
      <c r="E1659" s="62" t="s">
        <v>382</v>
      </c>
      <c r="F1659" s="62" t="s">
        <v>382</v>
      </c>
      <c r="G1659" s="63" t="s">
        <v>495</v>
      </c>
      <c r="H1659" s="64" t="n">
        <v>281</v>
      </c>
      <c r="I1659" s="62"/>
      <c r="J1659" s="64" t="n">
        <v>281</v>
      </c>
      <c r="K1659" s="62"/>
      <c r="L1659" s="68" t="b">
        <f aca="false">TRUE()</f>
        <v>1</v>
      </c>
    </row>
    <row r="1660" customFormat="false" ht="15" hidden="false" customHeight="false" outlineLevel="0" collapsed="false">
      <c r="A1660" s="62" t="n">
        <v>0</v>
      </c>
      <c r="B1660" s="21" t="s">
        <v>336</v>
      </c>
      <c r="C1660" s="62" t="s">
        <v>60</v>
      </c>
      <c r="D1660" s="62" t="s">
        <v>388</v>
      </c>
      <c r="E1660" s="62" t="s">
        <v>382</v>
      </c>
      <c r="F1660" s="62" t="s">
        <v>382</v>
      </c>
      <c r="G1660" s="63" t="s">
        <v>495</v>
      </c>
      <c r="H1660" s="64" t="n">
        <v>281</v>
      </c>
      <c r="I1660" s="62"/>
      <c r="J1660" s="64" t="n">
        <v>281</v>
      </c>
      <c r="K1660" s="62"/>
      <c r="L1660" s="68" t="b">
        <f aca="false">TRUE()</f>
        <v>1</v>
      </c>
    </row>
    <row r="1661" customFormat="false" ht="15" hidden="false" customHeight="false" outlineLevel="0" collapsed="false">
      <c r="A1661" s="62" t="n">
        <v>0</v>
      </c>
      <c r="B1661" s="21" t="s">
        <v>336</v>
      </c>
      <c r="C1661" s="62" t="s">
        <v>60</v>
      </c>
      <c r="D1661" s="62" t="s">
        <v>381</v>
      </c>
      <c r="E1661" s="62" t="s">
        <v>382</v>
      </c>
      <c r="F1661" s="62" t="s">
        <v>382</v>
      </c>
      <c r="G1661" s="63" t="s">
        <v>496</v>
      </c>
      <c r="H1661" s="64" t="n">
        <v>5000</v>
      </c>
      <c r="I1661" s="62"/>
      <c r="J1661" s="64" t="n">
        <v>5000</v>
      </c>
      <c r="K1661" s="62"/>
      <c r="L1661" s="68" t="b">
        <f aca="false">TRUE()</f>
        <v>1</v>
      </c>
    </row>
    <row r="1662" customFormat="false" ht="15" hidden="false" customHeight="false" outlineLevel="0" collapsed="false">
      <c r="A1662" s="62" t="n">
        <v>0</v>
      </c>
      <c r="B1662" s="21" t="s">
        <v>336</v>
      </c>
      <c r="C1662" s="62" t="s">
        <v>60</v>
      </c>
      <c r="D1662" s="62" t="s">
        <v>383</v>
      </c>
      <c r="E1662" s="62" t="s">
        <v>382</v>
      </c>
      <c r="F1662" s="62" t="s">
        <v>382</v>
      </c>
      <c r="G1662" s="63" t="s">
        <v>496</v>
      </c>
      <c r="H1662" s="64" t="n">
        <v>5000</v>
      </c>
      <c r="I1662" s="62"/>
      <c r="J1662" s="64" t="n">
        <v>5000</v>
      </c>
      <c r="K1662" s="62"/>
      <c r="L1662" s="68" t="b">
        <f aca="false">TRUE()</f>
        <v>1</v>
      </c>
    </row>
    <row r="1663" customFormat="false" ht="15" hidden="false" customHeight="false" outlineLevel="0" collapsed="false">
      <c r="A1663" s="62" t="n">
        <v>0</v>
      </c>
      <c r="B1663" s="21" t="s">
        <v>336</v>
      </c>
      <c r="C1663" s="62" t="s">
        <v>60</v>
      </c>
      <c r="D1663" s="62" t="s">
        <v>384</v>
      </c>
      <c r="E1663" s="62" t="s">
        <v>382</v>
      </c>
      <c r="F1663" s="62" t="s">
        <v>382</v>
      </c>
      <c r="G1663" s="63" t="s">
        <v>496</v>
      </c>
      <c r="H1663" s="64" t="n">
        <v>5000</v>
      </c>
      <c r="I1663" s="62"/>
      <c r="J1663" s="64" t="n">
        <v>5000</v>
      </c>
      <c r="K1663" s="62"/>
      <c r="L1663" s="68" t="b">
        <f aca="false">TRUE()</f>
        <v>1</v>
      </c>
    </row>
    <row r="1664" customFormat="false" ht="15" hidden="false" customHeight="false" outlineLevel="0" collapsed="false">
      <c r="A1664" s="62" t="n">
        <v>0</v>
      </c>
      <c r="B1664" s="21" t="s">
        <v>336</v>
      </c>
      <c r="C1664" s="62" t="s">
        <v>60</v>
      </c>
      <c r="D1664" s="62" t="s">
        <v>385</v>
      </c>
      <c r="E1664" s="62" t="s">
        <v>382</v>
      </c>
      <c r="F1664" s="62" t="s">
        <v>382</v>
      </c>
      <c r="G1664" s="63" t="s">
        <v>496</v>
      </c>
      <c r="H1664" s="64" t="n">
        <v>5000</v>
      </c>
      <c r="I1664" s="62"/>
      <c r="J1664" s="64" t="n">
        <v>5000</v>
      </c>
      <c r="K1664" s="62"/>
      <c r="L1664" s="68" t="b">
        <f aca="false">TRUE()</f>
        <v>1</v>
      </c>
    </row>
    <row r="1665" customFormat="false" ht="15" hidden="false" customHeight="false" outlineLevel="0" collapsed="false">
      <c r="A1665" s="62" t="n">
        <v>0</v>
      </c>
      <c r="B1665" s="21" t="s">
        <v>336</v>
      </c>
      <c r="C1665" s="62" t="s">
        <v>60</v>
      </c>
      <c r="D1665" s="62" t="s">
        <v>386</v>
      </c>
      <c r="E1665" s="62" t="s">
        <v>382</v>
      </c>
      <c r="F1665" s="62" t="s">
        <v>382</v>
      </c>
      <c r="G1665" s="63" t="s">
        <v>496</v>
      </c>
      <c r="H1665" s="64" t="n">
        <v>5000</v>
      </c>
      <c r="I1665" s="62"/>
      <c r="J1665" s="64" t="n">
        <v>5000</v>
      </c>
      <c r="K1665" s="62"/>
      <c r="L1665" s="68" t="b">
        <f aca="false">TRUE()</f>
        <v>1</v>
      </c>
    </row>
    <row r="1666" customFormat="false" ht="15" hidden="false" customHeight="false" outlineLevel="0" collapsed="false">
      <c r="A1666" s="62" t="n">
        <v>0</v>
      </c>
      <c r="B1666" s="21" t="s">
        <v>336</v>
      </c>
      <c r="C1666" s="62" t="s">
        <v>60</v>
      </c>
      <c r="D1666" s="62" t="s">
        <v>387</v>
      </c>
      <c r="E1666" s="62" t="s">
        <v>382</v>
      </c>
      <c r="F1666" s="62" t="s">
        <v>382</v>
      </c>
      <c r="G1666" s="63" t="s">
        <v>496</v>
      </c>
      <c r="H1666" s="64" t="n">
        <v>5000</v>
      </c>
      <c r="I1666" s="62"/>
      <c r="J1666" s="64" t="n">
        <v>5000</v>
      </c>
      <c r="K1666" s="62"/>
      <c r="L1666" s="68" t="b">
        <f aca="false">TRUE()</f>
        <v>1</v>
      </c>
    </row>
    <row r="1667" customFormat="false" ht="15" hidden="false" customHeight="false" outlineLevel="0" collapsed="false">
      <c r="A1667" s="62" t="n">
        <v>0</v>
      </c>
      <c r="B1667" s="21" t="s">
        <v>336</v>
      </c>
      <c r="C1667" s="62" t="s">
        <v>60</v>
      </c>
      <c r="D1667" s="62" t="s">
        <v>388</v>
      </c>
      <c r="E1667" s="62" t="s">
        <v>382</v>
      </c>
      <c r="F1667" s="62" t="s">
        <v>382</v>
      </c>
      <c r="G1667" s="63" t="s">
        <v>496</v>
      </c>
      <c r="H1667" s="64" t="n">
        <v>5000</v>
      </c>
      <c r="I1667" s="62"/>
      <c r="J1667" s="64" t="n">
        <v>5000</v>
      </c>
      <c r="K1667" s="62"/>
      <c r="L1667" s="68" t="b">
        <f aca="false">TRUE()</f>
        <v>1</v>
      </c>
    </row>
    <row r="1668" customFormat="false" ht="15" hidden="false" customHeight="false" outlineLevel="0" collapsed="false">
      <c r="A1668" s="62" t="n">
        <v>0</v>
      </c>
      <c r="B1668" s="21" t="s">
        <v>336</v>
      </c>
      <c r="C1668" s="62" t="s">
        <v>60</v>
      </c>
      <c r="D1668" s="62" t="s">
        <v>381</v>
      </c>
      <c r="E1668" s="62" t="s">
        <v>382</v>
      </c>
      <c r="F1668" s="62" t="s">
        <v>382</v>
      </c>
      <c r="G1668" s="63" t="s">
        <v>497</v>
      </c>
      <c r="H1668" s="64" t="n">
        <v>5.62</v>
      </c>
      <c r="I1668" s="62"/>
      <c r="J1668" s="64" t="n">
        <v>5.62</v>
      </c>
      <c r="K1668" s="62"/>
      <c r="L1668" s="68" t="b">
        <f aca="false">TRUE()</f>
        <v>1</v>
      </c>
    </row>
    <row r="1669" customFormat="false" ht="15" hidden="false" customHeight="false" outlineLevel="0" collapsed="false">
      <c r="A1669" s="62" t="n">
        <v>0</v>
      </c>
      <c r="B1669" s="21" t="s">
        <v>336</v>
      </c>
      <c r="C1669" s="62" t="s">
        <v>60</v>
      </c>
      <c r="D1669" s="62" t="s">
        <v>383</v>
      </c>
      <c r="E1669" s="62" t="s">
        <v>382</v>
      </c>
      <c r="F1669" s="62" t="s">
        <v>382</v>
      </c>
      <c r="G1669" s="63" t="s">
        <v>497</v>
      </c>
      <c r="H1669" s="64" t="n">
        <v>5.62</v>
      </c>
      <c r="I1669" s="62"/>
      <c r="J1669" s="64" t="n">
        <v>5.62</v>
      </c>
      <c r="K1669" s="62"/>
      <c r="L1669" s="68" t="b">
        <f aca="false">TRUE()</f>
        <v>1</v>
      </c>
    </row>
    <row r="1670" customFormat="false" ht="15" hidden="false" customHeight="false" outlineLevel="0" collapsed="false">
      <c r="A1670" s="62" t="n">
        <v>0</v>
      </c>
      <c r="B1670" s="21" t="s">
        <v>336</v>
      </c>
      <c r="C1670" s="62" t="s">
        <v>60</v>
      </c>
      <c r="D1670" s="62" t="s">
        <v>384</v>
      </c>
      <c r="E1670" s="62" t="s">
        <v>382</v>
      </c>
      <c r="F1670" s="62" t="s">
        <v>382</v>
      </c>
      <c r="G1670" s="63" t="s">
        <v>497</v>
      </c>
      <c r="H1670" s="64" t="n">
        <v>5.62</v>
      </c>
      <c r="I1670" s="62"/>
      <c r="J1670" s="64" t="n">
        <v>5.62</v>
      </c>
      <c r="K1670" s="62"/>
      <c r="L1670" s="68" t="b">
        <f aca="false">TRUE()</f>
        <v>1</v>
      </c>
    </row>
    <row r="1671" customFormat="false" ht="15" hidden="false" customHeight="false" outlineLevel="0" collapsed="false">
      <c r="A1671" s="62" t="n">
        <v>0</v>
      </c>
      <c r="B1671" s="21" t="s">
        <v>336</v>
      </c>
      <c r="C1671" s="62" t="s">
        <v>60</v>
      </c>
      <c r="D1671" s="62" t="s">
        <v>385</v>
      </c>
      <c r="E1671" s="62" t="s">
        <v>382</v>
      </c>
      <c r="F1671" s="62" t="s">
        <v>382</v>
      </c>
      <c r="G1671" s="63" t="s">
        <v>497</v>
      </c>
      <c r="H1671" s="64" t="n">
        <v>5.62</v>
      </c>
      <c r="I1671" s="62"/>
      <c r="J1671" s="64" t="n">
        <v>5.62</v>
      </c>
      <c r="K1671" s="62"/>
      <c r="L1671" s="68" t="b">
        <f aca="false">TRUE()</f>
        <v>1</v>
      </c>
    </row>
    <row r="1672" customFormat="false" ht="15" hidden="false" customHeight="false" outlineLevel="0" collapsed="false">
      <c r="A1672" s="62" t="n">
        <v>0</v>
      </c>
      <c r="B1672" s="21" t="s">
        <v>336</v>
      </c>
      <c r="C1672" s="62" t="s">
        <v>60</v>
      </c>
      <c r="D1672" s="62" t="s">
        <v>386</v>
      </c>
      <c r="E1672" s="62" t="s">
        <v>382</v>
      </c>
      <c r="F1672" s="62" t="s">
        <v>382</v>
      </c>
      <c r="G1672" s="63" t="s">
        <v>497</v>
      </c>
      <c r="H1672" s="64" t="n">
        <v>5.62</v>
      </c>
      <c r="I1672" s="62"/>
      <c r="J1672" s="64" t="n">
        <v>5.62</v>
      </c>
      <c r="K1672" s="62"/>
      <c r="L1672" s="68" t="b">
        <f aca="false">TRUE()</f>
        <v>1</v>
      </c>
    </row>
    <row r="1673" customFormat="false" ht="15" hidden="false" customHeight="false" outlineLevel="0" collapsed="false">
      <c r="A1673" s="62" t="n">
        <v>0</v>
      </c>
      <c r="B1673" s="21" t="s">
        <v>336</v>
      </c>
      <c r="C1673" s="62" t="s">
        <v>60</v>
      </c>
      <c r="D1673" s="62" t="s">
        <v>387</v>
      </c>
      <c r="E1673" s="62" t="s">
        <v>382</v>
      </c>
      <c r="F1673" s="62" t="s">
        <v>382</v>
      </c>
      <c r="G1673" s="63" t="s">
        <v>497</v>
      </c>
      <c r="H1673" s="64" t="n">
        <v>5.62</v>
      </c>
      <c r="I1673" s="62"/>
      <c r="J1673" s="64" t="n">
        <v>5.62</v>
      </c>
      <c r="K1673" s="62"/>
      <c r="L1673" s="68" t="b">
        <f aca="false">TRUE()</f>
        <v>1</v>
      </c>
    </row>
    <row r="1674" customFormat="false" ht="15" hidden="false" customHeight="false" outlineLevel="0" collapsed="false">
      <c r="A1674" s="62" t="n">
        <v>0</v>
      </c>
      <c r="B1674" s="21" t="s">
        <v>336</v>
      </c>
      <c r="C1674" s="62" t="s">
        <v>60</v>
      </c>
      <c r="D1674" s="62" t="s">
        <v>388</v>
      </c>
      <c r="E1674" s="62" t="s">
        <v>382</v>
      </c>
      <c r="F1674" s="62" t="s">
        <v>382</v>
      </c>
      <c r="G1674" s="63" t="s">
        <v>497</v>
      </c>
      <c r="H1674" s="64" t="n">
        <v>5.62</v>
      </c>
      <c r="I1674" s="62"/>
      <c r="J1674" s="64" t="n">
        <v>5.62</v>
      </c>
      <c r="K1674" s="62"/>
      <c r="L1674" s="68" t="b">
        <f aca="false">TRUE()</f>
        <v>1</v>
      </c>
    </row>
    <row r="1675" customFormat="false" ht="15" hidden="false" customHeight="false" outlineLevel="0" collapsed="false">
      <c r="A1675" s="62" t="n">
        <v>0</v>
      </c>
      <c r="B1675" s="21" t="s">
        <v>336</v>
      </c>
      <c r="C1675" s="62" t="s">
        <v>60</v>
      </c>
      <c r="D1675" s="62" t="s">
        <v>381</v>
      </c>
      <c r="E1675" s="62" t="s">
        <v>382</v>
      </c>
      <c r="F1675" s="62" t="s">
        <v>382</v>
      </c>
      <c r="G1675" s="63" t="s">
        <v>498</v>
      </c>
      <c r="H1675" s="64" t="n">
        <v>0</v>
      </c>
      <c r="I1675" s="62"/>
      <c r="J1675" s="64" t="n">
        <v>0</v>
      </c>
      <c r="K1675" s="62"/>
      <c r="L1675" s="68" t="b">
        <f aca="false">TRUE()</f>
        <v>1</v>
      </c>
    </row>
    <row r="1676" customFormat="false" ht="15" hidden="false" customHeight="false" outlineLevel="0" collapsed="false">
      <c r="A1676" s="62" t="n">
        <v>0</v>
      </c>
      <c r="B1676" s="21" t="s">
        <v>336</v>
      </c>
      <c r="C1676" s="62" t="s">
        <v>60</v>
      </c>
      <c r="D1676" s="62" t="s">
        <v>383</v>
      </c>
      <c r="E1676" s="62" t="s">
        <v>382</v>
      </c>
      <c r="F1676" s="62" t="s">
        <v>382</v>
      </c>
      <c r="G1676" s="63" t="s">
        <v>498</v>
      </c>
      <c r="H1676" s="64" t="n">
        <v>0</v>
      </c>
      <c r="I1676" s="62"/>
      <c r="J1676" s="64" t="n">
        <v>0</v>
      </c>
      <c r="K1676" s="62"/>
      <c r="L1676" s="68" t="b">
        <f aca="false">TRUE()</f>
        <v>1</v>
      </c>
    </row>
    <row r="1677" customFormat="false" ht="15" hidden="false" customHeight="false" outlineLevel="0" collapsed="false">
      <c r="A1677" s="62" t="n">
        <v>0</v>
      </c>
      <c r="B1677" s="21" t="s">
        <v>336</v>
      </c>
      <c r="C1677" s="62" t="s">
        <v>60</v>
      </c>
      <c r="D1677" s="62" t="s">
        <v>384</v>
      </c>
      <c r="E1677" s="62" t="s">
        <v>382</v>
      </c>
      <c r="F1677" s="62" t="s">
        <v>382</v>
      </c>
      <c r="G1677" s="63" t="s">
        <v>498</v>
      </c>
      <c r="H1677" s="64" t="n">
        <v>0</v>
      </c>
      <c r="I1677" s="62"/>
      <c r="J1677" s="64" t="n">
        <v>0</v>
      </c>
      <c r="K1677" s="62"/>
      <c r="L1677" s="68" t="b">
        <f aca="false">TRUE()</f>
        <v>1</v>
      </c>
    </row>
    <row r="1678" customFormat="false" ht="15" hidden="false" customHeight="false" outlineLevel="0" collapsed="false">
      <c r="A1678" s="62" t="n">
        <v>0</v>
      </c>
      <c r="B1678" s="21" t="s">
        <v>336</v>
      </c>
      <c r="C1678" s="62" t="s">
        <v>60</v>
      </c>
      <c r="D1678" s="62" t="s">
        <v>385</v>
      </c>
      <c r="E1678" s="62" t="s">
        <v>382</v>
      </c>
      <c r="F1678" s="62" t="s">
        <v>382</v>
      </c>
      <c r="G1678" s="63" t="s">
        <v>498</v>
      </c>
      <c r="H1678" s="64" t="n">
        <v>0</v>
      </c>
      <c r="I1678" s="62"/>
      <c r="J1678" s="64" t="n">
        <v>0</v>
      </c>
      <c r="K1678" s="62"/>
      <c r="L1678" s="68" t="b">
        <f aca="false">TRUE()</f>
        <v>1</v>
      </c>
    </row>
    <row r="1679" customFormat="false" ht="15" hidden="false" customHeight="false" outlineLevel="0" collapsed="false">
      <c r="A1679" s="62" t="n">
        <v>0</v>
      </c>
      <c r="B1679" s="21" t="s">
        <v>336</v>
      </c>
      <c r="C1679" s="62" t="s">
        <v>60</v>
      </c>
      <c r="D1679" s="62" t="s">
        <v>386</v>
      </c>
      <c r="E1679" s="62" t="s">
        <v>382</v>
      </c>
      <c r="F1679" s="62" t="s">
        <v>382</v>
      </c>
      <c r="G1679" s="63" t="s">
        <v>498</v>
      </c>
      <c r="H1679" s="64" t="n">
        <v>0</v>
      </c>
      <c r="I1679" s="62"/>
      <c r="J1679" s="64" t="n">
        <v>0</v>
      </c>
      <c r="K1679" s="62"/>
      <c r="L1679" s="68" t="b">
        <f aca="false">TRUE()</f>
        <v>1</v>
      </c>
    </row>
    <row r="1680" customFormat="false" ht="15" hidden="false" customHeight="false" outlineLevel="0" collapsed="false">
      <c r="A1680" s="62" t="n">
        <v>0</v>
      </c>
      <c r="B1680" s="21" t="s">
        <v>336</v>
      </c>
      <c r="C1680" s="62" t="s">
        <v>60</v>
      </c>
      <c r="D1680" s="62" t="s">
        <v>387</v>
      </c>
      <c r="E1680" s="62" t="s">
        <v>382</v>
      </c>
      <c r="F1680" s="62" t="s">
        <v>382</v>
      </c>
      <c r="G1680" s="63" t="s">
        <v>498</v>
      </c>
      <c r="H1680" s="64" t="n">
        <v>0</v>
      </c>
      <c r="I1680" s="62"/>
      <c r="J1680" s="64" t="n">
        <v>0</v>
      </c>
      <c r="K1680" s="62"/>
      <c r="L1680" s="68" t="b">
        <f aca="false">TRUE()</f>
        <v>1</v>
      </c>
    </row>
    <row r="1681" customFormat="false" ht="15" hidden="false" customHeight="false" outlineLevel="0" collapsed="false">
      <c r="A1681" s="62" t="n">
        <v>0</v>
      </c>
      <c r="B1681" s="21" t="s">
        <v>336</v>
      </c>
      <c r="C1681" s="62" t="s">
        <v>60</v>
      </c>
      <c r="D1681" s="62" t="s">
        <v>388</v>
      </c>
      <c r="E1681" s="62" t="s">
        <v>382</v>
      </c>
      <c r="F1681" s="62" t="s">
        <v>382</v>
      </c>
      <c r="G1681" s="63" t="s">
        <v>498</v>
      </c>
      <c r="H1681" s="64" t="n">
        <v>0</v>
      </c>
      <c r="I1681" s="62"/>
      <c r="J1681" s="64" t="n">
        <v>0</v>
      </c>
      <c r="K1681" s="62"/>
      <c r="L1681" s="68" t="b">
        <f aca="false">TRUE()</f>
        <v>1</v>
      </c>
    </row>
    <row r="1682" customFormat="false" ht="15" hidden="false" customHeight="false" outlineLevel="0" collapsed="false">
      <c r="A1682" s="62" t="n">
        <v>0</v>
      </c>
      <c r="B1682" s="21" t="s">
        <v>336</v>
      </c>
      <c r="C1682" s="62" t="s">
        <v>60</v>
      </c>
      <c r="D1682" s="62" t="s">
        <v>381</v>
      </c>
      <c r="E1682" s="62" t="s">
        <v>382</v>
      </c>
      <c r="F1682" s="62" t="s">
        <v>382</v>
      </c>
      <c r="G1682" s="63" t="s">
        <v>499</v>
      </c>
      <c r="H1682" s="64" t="n">
        <v>5.62</v>
      </c>
      <c r="I1682" s="62"/>
      <c r="J1682" s="64" t="n">
        <v>5.62</v>
      </c>
      <c r="K1682" s="62"/>
      <c r="L1682" s="68" t="b">
        <f aca="false">TRUE()</f>
        <v>1</v>
      </c>
    </row>
    <row r="1683" customFormat="false" ht="15" hidden="false" customHeight="false" outlineLevel="0" collapsed="false">
      <c r="A1683" s="62" t="n">
        <v>0</v>
      </c>
      <c r="B1683" s="21" t="s">
        <v>336</v>
      </c>
      <c r="C1683" s="62" t="s">
        <v>60</v>
      </c>
      <c r="D1683" s="62" t="s">
        <v>383</v>
      </c>
      <c r="E1683" s="62" t="s">
        <v>382</v>
      </c>
      <c r="F1683" s="62" t="s">
        <v>382</v>
      </c>
      <c r="G1683" s="63" t="s">
        <v>499</v>
      </c>
      <c r="H1683" s="64" t="n">
        <v>5.62</v>
      </c>
      <c r="I1683" s="62"/>
      <c r="J1683" s="64" t="n">
        <v>5.62</v>
      </c>
      <c r="K1683" s="62"/>
      <c r="L1683" s="68" t="b">
        <f aca="false">TRUE()</f>
        <v>1</v>
      </c>
    </row>
    <row r="1684" customFormat="false" ht="15" hidden="false" customHeight="false" outlineLevel="0" collapsed="false">
      <c r="A1684" s="62" t="n">
        <v>0</v>
      </c>
      <c r="B1684" s="21" t="s">
        <v>336</v>
      </c>
      <c r="C1684" s="62" t="s">
        <v>60</v>
      </c>
      <c r="D1684" s="62" t="s">
        <v>384</v>
      </c>
      <c r="E1684" s="62" t="s">
        <v>382</v>
      </c>
      <c r="F1684" s="62" t="s">
        <v>382</v>
      </c>
      <c r="G1684" s="63" t="s">
        <v>499</v>
      </c>
      <c r="H1684" s="64" t="n">
        <v>5.62</v>
      </c>
      <c r="I1684" s="62"/>
      <c r="J1684" s="64" t="n">
        <v>5.62</v>
      </c>
      <c r="K1684" s="62"/>
      <c r="L1684" s="68" t="b">
        <f aca="false">TRUE()</f>
        <v>1</v>
      </c>
    </row>
    <row r="1685" customFormat="false" ht="15" hidden="false" customHeight="false" outlineLevel="0" collapsed="false">
      <c r="A1685" s="62" t="n">
        <v>0</v>
      </c>
      <c r="B1685" s="21" t="s">
        <v>336</v>
      </c>
      <c r="C1685" s="62" t="s">
        <v>60</v>
      </c>
      <c r="D1685" s="62" t="s">
        <v>385</v>
      </c>
      <c r="E1685" s="62" t="s">
        <v>382</v>
      </c>
      <c r="F1685" s="62" t="s">
        <v>382</v>
      </c>
      <c r="G1685" s="63" t="s">
        <v>499</v>
      </c>
      <c r="H1685" s="64" t="n">
        <v>5.62</v>
      </c>
      <c r="I1685" s="62"/>
      <c r="J1685" s="64" t="n">
        <v>5.62</v>
      </c>
      <c r="K1685" s="62"/>
      <c r="L1685" s="68" t="b">
        <f aca="false">TRUE()</f>
        <v>1</v>
      </c>
    </row>
    <row r="1686" customFormat="false" ht="15" hidden="false" customHeight="false" outlineLevel="0" collapsed="false">
      <c r="A1686" s="62" t="n">
        <v>0</v>
      </c>
      <c r="B1686" s="21" t="s">
        <v>336</v>
      </c>
      <c r="C1686" s="62" t="s">
        <v>60</v>
      </c>
      <c r="D1686" s="62" t="s">
        <v>386</v>
      </c>
      <c r="E1686" s="62" t="s">
        <v>382</v>
      </c>
      <c r="F1686" s="62" t="s">
        <v>382</v>
      </c>
      <c r="G1686" s="63" t="s">
        <v>499</v>
      </c>
      <c r="H1686" s="64" t="n">
        <v>5.62</v>
      </c>
      <c r="I1686" s="62"/>
      <c r="J1686" s="64" t="n">
        <v>5.62</v>
      </c>
      <c r="K1686" s="62"/>
      <c r="L1686" s="68" t="b">
        <f aca="false">TRUE()</f>
        <v>1</v>
      </c>
    </row>
    <row r="1687" customFormat="false" ht="15" hidden="false" customHeight="false" outlineLevel="0" collapsed="false">
      <c r="A1687" s="62" t="n">
        <v>0</v>
      </c>
      <c r="B1687" s="21" t="s">
        <v>336</v>
      </c>
      <c r="C1687" s="62" t="s">
        <v>60</v>
      </c>
      <c r="D1687" s="62" t="s">
        <v>387</v>
      </c>
      <c r="E1687" s="62" t="s">
        <v>382</v>
      </c>
      <c r="F1687" s="62" t="s">
        <v>382</v>
      </c>
      <c r="G1687" s="63" t="s">
        <v>499</v>
      </c>
      <c r="H1687" s="64" t="n">
        <v>5.62</v>
      </c>
      <c r="I1687" s="62"/>
      <c r="J1687" s="64" t="n">
        <v>5.62</v>
      </c>
      <c r="K1687" s="62"/>
      <c r="L1687" s="68" t="b">
        <f aca="false">TRUE()</f>
        <v>1</v>
      </c>
    </row>
    <row r="1688" customFormat="false" ht="15" hidden="false" customHeight="false" outlineLevel="0" collapsed="false">
      <c r="A1688" s="62" t="n">
        <v>0</v>
      </c>
      <c r="B1688" s="21" t="s">
        <v>336</v>
      </c>
      <c r="C1688" s="62" t="s">
        <v>60</v>
      </c>
      <c r="D1688" s="62" t="s">
        <v>388</v>
      </c>
      <c r="E1688" s="62" t="s">
        <v>382</v>
      </c>
      <c r="F1688" s="62" t="s">
        <v>382</v>
      </c>
      <c r="G1688" s="63" t="s">
        <v>499</v>
      </c>
      <c r="H1688" s="64" t="n">
        <v>5.62</v>
      </c>
      <c r="I1688" s="62"/>
      <c r="J1688" s="64" t="n">
        <v>5.62</v>
      </c>
      <c r="K1688" s="62"/>
      <c r="L1688" s="68" t="b">
        <f aca="false">TRUE()</f>
        <v>1</v>
      </c>
    </row>
    <row r="1689" customFormat="false" ht="15" hidden="false" customHeight="false" outlineLevel="0" collapsed="false">
      <c r="A1689" s="62" t="n">
        <v>0</v>
      </c>
      <c r="B1689" s="21" t="s">
        <v>336</v>
      </c>
      <c r="C1689" s="62" t="s">
        <v>60</v>
      </c>
      <c r="D1689" s="62" t="s">
        <v>381</v>
      </c>
      <c r="E1689" s="62" t="s">
        <v>382</v>
      </c>
      <c r="F1689" s="62" t="s">
        <v>382</v>
      </c>
      <c r="G1689" s="63" t="s">
        <v>500</v>
      </c>
      <c r="H1689" s="64" t="n">
        <v>0</v>
      </c>
      <c r="I1689" s="62" t="s">
        <v>81</v>
      </c>
      <c r="J1689" s="64" t="n">
        <v>0</v>
      </c>
      <c r="K1689" s="62" t="s">
        <v>138</v>
      </c>
      <c r="L1689" s="68" t="b">
        <f aca="false">TRUE()</f>
        <v>1</v>
      </c>
    </row>
    <row r="1690" customFormat="false" ht="15" hidden="false" customHeight="false" outlineLevel="0" collapsed="false">
      <c r="A1690" s="62" t="n">
        <v>0</v>
      </c>
      <c r="B1690" s="21" t="s">
        <v>336</v>
      </c>
      <c r="C1690" s="62" t="s">
        <v>60</v>
      </c>
      <c r="D1690" s="62" t="s">
        <v>383</v>
      </c>
      <c r="E1690" s="62" t="s">
        <v>382</v>
      </c>
      <c r="F1690" s="62" t="s">
        <v>382</v>
      </c>
      <c r="G1690" s="63" t="s">
        <v>500</v>
      </c>
      <c r="H1690" s="64" t="n">
        <v>0</v>
      </c>
      <c r="I1690" s="62" t="s">
        <v>81</v>
      </c>
      <c r="J1690" s="64" t="n">
        <v>0</v>
      </c>
      <c r="K1690" s="62" t="s">
        <v>138</v>
      </c>
      <c r="L1690" s="68" t="b">
        <f aca="false">TRUE()</f>
        <v>1</v>
      </c>
    </row>
    <row r="1691" customFormat="false" ht="15" hidden="false" customHeight="false" outlineLevel="0" collapsed="false">
      <c r="A1691" s="62" t="n">
        <v>0</v>
      </c>
      <c r="B1691" s="21" t="s">
        <v>336</v>
      </c>
      <c r="C1691" s="62" t="s">
        <v>60</v>
      </c>
      <c r="D1691" s="62" t="s">
        <v>384</v>
      </c>
      <c r="E1691" s="62" t="s">
        <v>382</v>
      </c>
      <c r="F1691" s="62" t="s">
        <v>382</v>
      </c>
      <c r="G1691" s="63" t="s">
        <v>500</v>
      </c>
      <c r="H1691" s="64" t="n">
        <v>0</v>
      </c>
      <c r="I1691" s="62" t="s">
        <v>81</v>
      </c>
      <c r="J1691" s="64" t="n">
        <v>0</v>
      </c>
      <c r="K1691" s="62" t="s">
        <v>138</v>
      </c>
      <c r="L1691" s="68" t="b">
        <f aca="false">TRUE()</f>
        <v>1</v>
      </c>
    </row>
    <row r="1692" customFormat="false" ht="15" hidden="false" customHeight="false" outlineLevel="0" collapsed="false">
      <c r="A1692" s="62" t="n">
        <v>0</v>
      </c>
      <c r="B1692" s="21" t="s">
        <v>336</v>
      </c>
      <c r="C1692" s="62" t="s">
        <v>60</v>
      </c>
      <c r="D1692" s="62" t="s">
        <v>385</v>
      </c>
      <c r="E1692" s="62" t="s">
        <v>382</v>
      </c>
      <c r="F1692" s="62" t="s">
        <v>382</v>
      </c>
      <c r="G1692" s="63" t="s">
        <v>500</v>
      </c>
      <c r="H1692" s="64" t="n">
        <v>0</v>
      </c>
      <c r="I1692" s="62" t="s">
        <v>81</v>
      </c>
      <c r="J1692" s="64" t="n">
        <v>0</v>
      </c>
      <c r="K1692" s="62" t="s">
        <v>138</v>
      </c>
      <c r="L1692" s="68" t="b">
        <f aca="false">TRUE()</f>
        <v>1</v>
      </c>
    </row>
    <row r="1693" customFormat="false" ht="15" hidden="false" customHeight="false" outlineLevel="0" collapsed="false">
      <c r="A1693" s="62" t="n">
        <v>0</v>
      </c>
      <c r="B1693" s="21" t="s">
        <v>336</v>
      </c>
      <c r="C1693" s="62" t="s">
        <v>60</v>
      </c>
      <c r="D1693" s="62" t="s">
        <v>386</v>
      </c>
      <c r="E1693" s="62" t="s">
        <v>382</v>
      </c>
      <c r="F1693" s="62" t="s">
        <v>382</v>
      </c>
      <c r="G1693" s="63" t="s">
        <v>500</v>
      </c>
      <c r="H1693" s="64" t="n">
        <v>0</v>
      </c>
      <c r="I1693" s="62" t="s">
        <v>81</v>
      </c>
      <c r="J1693" s="64" t="n">
        <v>0</v>
      </c>
      <c r="K1693" s="62" t="s">
        <v>138</v>
      </c>
      <c r="L1693" s="68" t="b">
        <f aca="false">TRUE()</f>
        <v>1</v>
      </c>
    </row>
    <row r="1694" customFormat="false" ht="15" hidden="false" customHeight="false" outlineLevel="0" collapsed="false">
      <c r="A1694" s="62" t="n">
        <v>0</v>
      </c>
      <c r="B1694" s="21" t="s">
        <v>336</v>
      </c>
      <c r="C1694" s="62" t="s">
        <v>60</v>
      </c>
      <c r="D1694" s="62" t="s">
        <v>387</v>
      </c>
      <c r="E1694" s="62" t="s">
        <v>382</v>
      </c>
      <c r="F1694" s="62" t="s">
        <v>382</v>
      </c>
      <c r="G1694" s="63" t="s">
        <v>500</v>
      </c>
      <c r="H1694" s="64" t="n">
        <v>0</v>
      </c>
      <c r="I1694" s="62" t="s">
        <v>81</v>
      </c>
      <c r="J1694" s="64" t="n">
        <v>0</v>
      </c>
      <c r="K1694" s="62" t="s">
        <v>138</v>
      </c>
      <c r="L1694" s="68" t="b">
        <f aca="false">TRUE()</f>
        <v>1</v>
      </c>
    </row>
    <row r="1695" customFormat="false" ht="15" hidden="false" customHeight="false" outlineLevel="0" collapsed="false">
      <c r="A1695" s="62" t="n">
        <v>0</v>
      </c>
      <c r="B1695" s="21" t="s">
        <v>336</v>
      </c>
      <c r="C1695" s="62" t="s">
        <v>60</v>
      </c>
      <c r="D1695" s="62" t="s">
        <v>388</v>
      </c>
      <c r="E1695" s="62" t="s">
        <v>382</v>
      </c>
      <c r="F1695" s="62" t="s">
        <v>382</v>
      </c>
      <c r="G1695" s="63" t="s">
        <v>500</v>
      </c>
      <c r="H1695" s="64" t="n">
        <v>0</v>
      </c>
      <c r="I1695" s="62" t="s">
        <v>81</v>
      </c>
      <c r="J1695" s="64" t="n">
        <v>0</v>
      </c>
      <c r="K1695" s="62" t="s">
        <v>138</v>
      </c>
      <c r="L1695" s="68" t="b">
        <f aca="false">TRUE()</f>
        <v>1</v>
      </c>
    </row>
    <row r="1696" customFormat="false" ht="15" hidden="false" customHeight="false" outlineLevel="0" collapsed="false">
      <c r="A1696" s="62" t="n">
        <v>0</v>
      </c>
      <c r="B1696" s="21" t="s">
        <v>336</v>
      </c>
      <c r="C1696" s="62" t="s">
        <v>60</v>
      </c>
      <c r="D1696" s="62" t="s">
        <v>381</v>
      </c>
      <c r="E1696" s="62" t="s">
        <v>382</v>
      </c>
      <c r="F1696" s="62" t="s">
        <v>382</v>
      </c>
      <c r="G1696" s="63" t="s">
        <v>501</v>
      </c>
      <c r="H1696" s="64" t="n">
        <v>2248000</v>
      </c>
      <c r="I1696" s="62" t="s">
        <v>81</v>
      </c>
      <c r="J1696" s="64" t="n">
        <v>2248</v>
      </c>
      <c r="K1696" s="62" t="s">
        <v>138</v>
      </c>
      <c r="L1696" s="68" t="b">
        <f aca="false">TRUE()</f>
        <v>1</v>
      </c>
    </row>
    <row r="1697" customFormat="false" ht="15" hidden="false" customHeight="false" outlineLevel="0" collapsed="false">
      <c r="A1697" s="62" t="n">
        <v>0</v>
      </c>
      <c r="B1697" s="21" t="s">
        <v>336</v>
      </c>
      <c r="C1697" s="62" t="s">
        <v>60</v>
      </c>
      <c r="D1697" s="62" t="s">
        <v>383</v>
      </c>
      <c r="E1697" s="62" t="s">
        <v>382</v>
      </c>
      <c r="F1697" s="62" t="s">
        <v>382</v>
      </c>
      <c r="G1697" s="63" t="s">
        <v>501</v>
      </c>
      <c r="H1697" s="64" t="n">
        <v>2248000</v>
      </c>
      <c r="I1697" s="62" t="s">
        <v>81</v>
      </c>
      <c r="J1697" s="64" t="n">
        <v>2248</v>
      </c>
      <c r="K1697" s="62" t="s">
        <v>138</v>
      </c>
      <c r="L1697" s="68" t="b">
        <f aca="false">TRUE()</f>
        <v>1</v>
      </c>
    </row>
    <row r="1698" customFormat="false" ht="15" hidden="false" customHeight="false" outlineLevel="0" collapsed="false">
      <c r="A1698" s="62" t="n">
        <v>0</v>
      </c>
      <c r="B1698" s="21" t="s">
        <v>336</v>
      </c>
      <c r="C1698" s="62" t="s">
        <v>60</v>
      </c>
      <c r="D1698" s="62" t="s">
        <v>384</v>
      </c>
      <c r="E1698" s="62" t="s">
        <v>382</v>
      </c>
      <c r="F1698" s="62" t="s">
        <v>382</v>
      </c>
      <c r="G1698" s="63" t="s">
        <v>501</v>
      </c>
      <c r="H1698" s="64" t="n">
        <v>2248000</v>
      </c>
      <c r="I1698" s="62" t="s">
        <v>81</v>
      </c>
      <c r="J1698" s="64" t="n">
        <v>2248</v>
      </c>
      <c r="K1698" s="62" t="s">
        <v>138</v>
      </c>
      <c r="L1698" s="68" t="b">
        <f aca="false">TRUE()</f>
        <v>1</v>
      </c>
    </row>
    <row r="1699" customFormat="false" ht="15" hidden="false" customHeight="false" outlineLevel="0" collapsed="false">
      <c r="A1699" s="62" t="n">
        <v>0</v>
      </c>
      <c r="B1699" s="21" t="s">
        <v>336</v>
      </c>
      <c r="C1699" s="62" t="s">
        <v>60</v>
      </c>
      <c r="D1699" s="62" t="s">
        <v>385</v>
      </c>
      <c r="E1699" s="62" t="s">
        <v>382</v>
      </c>
      <c r="F1699" s="62" t="s">
        <v>382</v>
      </c>
      <c r="G1699" s="63" t="s">
        <v>501</v>
      </c>
      <c r="H1699" s="64" t="n">
        <v>2248000</v>
      </c>
      <c r="I1699" s="62" t="s">
        <v>81</v>
      </c>
      <c r="J1699" s="64" t="n">
        <v>2248</v>
      </c>
      <c r="K1699" s="62" t="s">
        <v>138</v>
      </c>
      <c r="L1699" s="68" t="b">
        <f aca="false">TRUE()</f>
        <v>1</v>
      </c>
    </row>
    <row r="1700" customFormat="false" ht="15" hidden="false" customHeight="false" outlineLevel="0" collapsed="false">
      <c r="A1700" s="62" t="n">
        <v>0</v>
      </c>
      <c r="B1700" s="21" t="s">
        <v>336</v>
      </c>
      <c r="C1700" s="62" t="s">
        <v>60</v>
      </c>
      <c r="D1700" s="62" t="s">
        <v>386</v>
      </c>
      <c r="E1700" s="62" t="s">
        <v>382</v>
      </c>
      <c r="F1700" s="62" t="s">
        <v>382</v>
      </c>
      <c r="G1700" s="63" t="s">
        <v>501</v>
      </c>
      <c r="H1700" s="64" t="n">
        <v>2248000</v>
      </c>
      <c r="I1700" s="62" t="s">
        <v>81</v>
      </c>
      <c r="J1700" s="64" t="n">
        <v>2248</v>
      </c>
      <c r="K1700" s="62" t="s">
        <v>138</v>
      </c>
      <c r="L1700" s="68" t="b">
        <f aca="false">TRUE()</f>
        <v>1</v>
      </c>
    </row>
    <row r="1701" customFormat="false" ht="15" hidden="false" customHeight="false" outlineLevel="0" collapsed="false">
      <c r="A1701" s="62" t="n">
        <v>0</v>
      </c>
      <c r="B1701" s="21" t="s">
        <v>336</v>
      </c>
      <c r="C1701" s="62" t="s">
        <v>60</v>
      </c>
      <c r="D1701" s="62" t="s">
        <v>387</v>
      </c>
      <c r="E1701" s="62" t="s">
        <v>382</v>
      </c>
      <c r="F1701" s="62" t="s">
        <v>382</v>
      </c>
      <c r="G1701" s="63" t="s">
        <v>501</v>
      </c>
      <c r="H1701" s="64" t="n">
        <v>2248000</v>
      </c>
      <c r="I1701" s="62" t="s">
        <v>81</v>
      </c>
      <c r="J1701" s="64" t="n">
        <v>2248</v>
      </c>
      <c r="K1701" s="62" t="s">
        <v>138</v>
      </c>
      <c r="L1701" s="68" t="b">
        <f aca="false">TRUE()</f>
        <v>1</v>
      </c>
    </row>
    <row r="1702" customFormat="false" ht="15" hidden="false" customHeight="false" outlineLevel="0" collapsed="false">
      <c r="A1702" s="62" t="n">
        <v>0</v>
      </c>
      <c r="B1702" s="21" t="s">
        <v>336</v>
      </c>
      <c r="C1702" s="62" t="s">
        <v>60</v>
      </c>
      <c r="D1702" s="62" t="s">
        <v>388</v>
      </c>
      <c r="E1702" s="62" t="s">
        <v>382</v>
      </c>
      <c r="F1702" s="62" t="s">
        <v>382</v>
      </c>
      <c r="G1702" s="63" t="s">
        <v>501</v>
      </c>
      <c r="H1702" s="64" t="n">
        <v>2248000</v>
      </c>
      <c r="I1702" s="62" t="s">
        <v>81</v>
      </c>
      <c r="J1702" s="64" t="n">
        <v>2248</v>
      </c>
      <c r="K1702" s="62" t="s">
        <v>138</v>
      </c>
      <c r="L1702" s="68" t="b">
        <f aca="false">TRUE()</f>
        <v>1</v>
      </c>
    </row>
    <row r="1703" customFormat="false" ht="15" hidden="false" customHeight="false" outlineLevel="0" collapsed="false">
      <c r="A1703" s="62" t="n">
        <v>0</v>
      </c>
      <c r="B1703" s="21" t="s">
        <v>336</v>
      </c>
      <c r="C1703" s="62" t="s">
        <v>60</v>
      </c>
      <c r="D1703" s="62" t="s">
        <v>381</v>
      </c>
      <c r="E1703" s="62" t="s">
        <v>382</v>
      </c>
      <c r="F1703" s="62" t="s">
        <v>382</v>
      </c>
      <c r="G1703" s="63" t="s">
        <v>502</v>
      </c>
      <c r="H1703" s="64" t="n">
        <v>428571428.571429</v>
      </c>
      <c r="I1703" s="62" t="s">
        <v>81</v>
      </c>
      <c r="J1703" s="64" t="n">
        <v>428571.428571429</v>
      </c>
      <c r="K1703" s="62" t="s">
        <v>138</v>
      </c>
      <c r="L1703" s="68" t="b">
        <f aca="false">TRUE()</f>
        <v>1</v>
      </c>
    </row>
    <row r="1704" customFormat="false" ht="15" hidden="false" customHeight="false" outlineLevel="0" collapsed="false">
      <c r="A1704" s="62" t="n">
        <v>0</v>
      </c>
      <c r="B1704" s="21" t="s">
        <v>336</v>
      </c>
      <c r="C1704" s="62" t="s">
        <v>60</v>
      </c>
      <c r="D1704" s="62" t="s">
        <v>383</v>
      </c>
      <c r="E1704" s="62" t="s">
        <v>382</v>
      </c>
      <c r="F1704" s="62" t="s">
        <v>382</v>
      </c>
      <c r="G1704" s="63" t="s">
        <v>502</v>
      </c>
      <c r="H1704" s="64" t="n">
        <v>428571428.571429</v>
      </c>
      <c r="I1704" s="62" t="s">
        <v>81</v>
      </c>
      <c r="J1704" s="64" t="n">
        <v>428571.428571429</v>
      </c>
      <c r="K1704" s="62" t="s">
        <v>138</v>
      </c>
      <c r="L1704" s="68" t="b">
        <f aca="false">TRUE()</f>
        <v>1</v>
      </c>
    </row>
    <row r="1705" customFormat="false" ht="15" hidden="false" customHeight="false" outlineLevel="0" collapsed="false">
      <c r="A1705" s="62" t="n">
        <v>0</v>
      </c>
      <c r="B1705" s="21" t="s">
        <v>336</v>
      </c>
      <c r="C1705" s="62" t="s">
        <v>60</v>
      </c>
      <c r="D1705" s="62" t="s">
        <v>384</v>
      </c>
      <c r="E1705" s="62" t="s">
        <v>382</v>
      </c>
      <c r="F1705" s="62" t="s">
        <v>382</v>
      </c>
      <c r="G1705" s="63" t="s">
        <v>502</v>
      </c>
      <c r="H1705" s="64" t="n">
        <v>428571428.571429</v>
      </c>
      <c r="I1705" s="62" t="s">
        <v>81</v>
      </c>
      <c r="J1705" s="64" t="n">
        <v>428571.428571429</v>
      </c>
      <c r="K1705" s="62" t="s">
        <v>138</v>
      </c>
      <c r="L1705" s="68" t="b">
        <f aca="false">TRUE()</f>
        <v>1</v>
      </c>
    </row>
    <row r="1706" customFormat="false" ht="15" hidden="false" customHeight="false" outlineLevel="0" collapsed="false">
      <c r="A1706" s="62" t="n">
        <v>0</v>
      </c>
      <c r="B1706" s="21" t="s">
        <v>336</v>
      </c>
      <c r="C1706" s="62" t="s">
        <v>60</v>
      </c>
      <c r="D1706" s="62" t="s">
        <v>385</v>
      </c>
      <c r="E1706" s="62" t="s">
        <v>382</v>
      </c>
      <c r="F1706" s="62" t="s">
        <v>382</v>
      </c>
      <c r="G1706" s="63" t="s">
        <v>502</v>
      </c>
      <c r="H1706" s="64" t="n">
        <v>428571428.571429</v>
      </c>
      <c r="I1706" s="62" t="s">
        <v>81</v>
      </c>
      <c r="J1706" s="64" t="n">
        <v>428571.428571429</v>
      </c>
      <c r="K1706" s="62" t="s">
        <v>138</v>
      </c>
      <c r="L1706" s="68" t="b">
        <f aca="false">TRUE()</f>
        <v>1</v>
      </c>
    </row>
    <row r="1707" customFormat="false" ht="15" hidden="false" customHeight="false" outlineLevel="0" collapsed="false">
      <c r="A1707" s="62" t="n">
        <v>0</v>
      </c>
      <c r="B1707" s="21" t="s">
        <v>336</v>
      </c>
      <c r="C1707" s="62" t="s">
        <v>60</v>
      </c>
      <c r="D1707" s="62" t="s">
        <v>386</v>
      </c>
      <c r="E1707" s="62" t="s">
        <v>382</v>
      </c>
      <c r="F1707" s="62" t="s">
        <v>382</v>
      </c>
      <c r="G1707" s="63" t="s">
        <v>502</v>
      </c>
      <c r="H1707" s="64" t="n">
        <v>428571428.571429</v>
      </c>
      <c r="I1707" s="62" t="s">
        <v>81</v>
      </c>
      <c r="J1707" s="64" t="n">
        <v>428571.428571429</v>
      </c>
      <c r="K1707" s="62" t="s">
        <v>138</v>
      </c>
      <c r="L1707" s="68" t="b">
        <f aca="false">TRUE()</f>
        <v>1</v>
      </c>
    </row>
    <row r="1708" customFormat="false" ht="15" hidden="false" customHeight="false" outlineLevel="0" collapsed="false">
      <c r="A1708" s="62" t="n">
        <v>0</v>
      </c>
      <c r="B1708" s="21" t="s">
        <v>336</v>
      </c>
      <c r="C1708" s="62" t="s">
        <v>60</v>
      </c>
      <c r="D1708" s="62" t="s">
        <v>387</v>
      </c>
      <c r="E1708" s="62" t="s">
        <v>382</v>
      </c>
      <c r="F1708" s="62" t="s">
        <v>382</v>
      </c>
      <c r="G1708" s="63" t="s">
        <v>502</v>
      </c>
      <c r="H1708" s="64" t="n">
        <v>428571428.571429</v>
      </c>
      <c r="I1708" s="62" t="s">
        <v>81</v>
      </c>
      <c r="J1708" s="64" t="n">
        <v>428571.428571429</v>
      </c>
      <c r="K1708" s="62" t="s">
        <v>138</v>
      </c>
      <c r="L1708" s="68" t="b">
        <f aca="false">TRUE()</f>
        <v>1</v>
      </c>
    </row>
    <row r="1709" customFormat="false" ht="15" hidden="false" customHeight="false" outlineLevel="0" collapsed="false">
      <c r="A1709" s="62" t="n">
        <v>0</v>
      </c>
      <c r="B1709" s="21" t="s">
        <v>336</v>
      </c>
      <c r="C1709" s="62" t="s">
        <v>60</v>
      </c>
      <c r="D1709" s="62" t="s">
        <v>388</v>
      </c>
      <c r="E1709" s="62" t="s">
        <v>382</v>
      </c>
      <c r="F1709" s="62" t="s">
        <v>382</v>
      </c>
      <c r="G1709" s="63" t="s">
        <v>502</v>
      </c>
      <c r="H1709" s="64" t="n">
        <v>428571428.571429</v>
      </c>
      <c r="I1709" s="62" t="s">
        <v>81</v>
      </c>
      <c r="J1709" s="64" t="n">
        <v>428571.428571429</v>
      </c>
      <c r="K1709" s="62" t="s">
        <v>138</v>
      </c>
      <c r="L1709" s="68" t="b">
        <f aca="false">TRUE()</f>
        <v>1</v>
      </c>
    </row>
    <row r="1710" customFormat="false" ht="15" hidden="false" customHeight="false" outlineLevel="0" collapsed="false">
      <c r="A1710" s="62" t="n">
        <v>0</v>
      </c>
      <c r="B1710" s="21" t="s">
        <v>336</v>
      </c>
      <c r="C1710" s="62" t="s">
        <v>60</v>
      </c>
      <c r="D1710" s="62" t="s">
        <v>381</v>
      </c>
      <c r="E1710" s="62" t="s">
        <v>382</v>
      </c>
      <c r="F1710" s="62" t="s">
        <v>382</v>
      </c>
      <c r="G1710" s="63" t="s">
        <v>503</v>
      </c>
      <c r="H1710" s="64" t="n">
        <v>30000000</v>
      </c>
      <c r="I1710" s="62" t="s">
        <v>81</v>
      </c>
      <c r="J1710" s="64" t="n">
        <v>30000</v>
      </c>
      <c r="K1710" s="62" t="s">
        <v>138</v>
      </c>
      <c r="L1710" s="68" t="b">
        <f aca="false">TRUE()</f>
        <v>1</v>
      </c>
    </row>
    <row r="1711" customFormat="false" ht="15" hidden="false" customHeight="false" outlineLevel="0" collapsed="false">
      <c r="A1711" s="62" t="n">
        <v>0</v>
      </c>
      <c r="B1711" s="21" t="s">
        <v>336</v>
      </c>
      <c r="C1711" s="62" t="s">
        <v>60</v>
      </c>
      <c r="D1711" s="62" t="s">
        <v>383</v>
      </c>
      <c r="E1711" s="62" t="s">
        <v>382</v>
      </c>
      <c r="F1711" s="62" t="s">
        <v>382</v>
      </c>
      <c r="G1711" s="63" t="s">
        <v>503</v>
      </c>
      <c r="H1711" s="64" t="n">
        <v>30000000</v>
      </c>
      <c r="I1711" s="62" t="s">
        <v>81</v>
      </c>
      <c r="J1711" s="64" t="n">
        <v>30000</v>
      </c>
      <c r="K1711" s="62" t="s">
        <v>138</v>
      </c>
      <c r="L1711" s="68" t="b">
        <f aca="false">TRUE()</f>
        <v>1</v>
      </c>
    </row>
    <row r="1712" customFormat="false" ht="15" hidden="false" customHeight="false" outlineLevel="0" collapsed="false">
      <c r="A1712" s="62" t="n">
        <v>0</v>
      </c>
      <c r="B1712" s="21" t="s">
        <v>336</v>
      </c>
      <c r="C1712" s="62" t="s">
        <v>60</v>
      </c>
      <c r="D1712" s="62" t="s">
        <v>384</v>
      </c>
      <c r="E1712" s="62" t="s">
        <v>382</v>
      </c>
      <c r="F1712" s="62" t="s">
        <v>382</v>
      </c>
      <c r="G1712" s="63" t="s">
        <v>503</v>
      </c>
      <c r="H1712" s="64" t="n">
        <v>30000000</v>
      </c>
      <c r="I1712" s="62" t="s">
        <v>81</v>
      </c>
      <c r="J1712" s="64" t="n">
        <v>30000</v>
      </c>
      <c r="K1712" s="62" t="s">
        <v>138</v>
      </c>
      <c r="L1712" s="68" t="b">
        <f aca="false">TRUE()</f>
        <v>1</v>
      </c>
    </row>
    <row r="1713" customFormat="false" ht="15" hidden="false" customHeight="false" outlineLevel="0" collapsed="false">
      <c r="A1713" s="62" t="n">
        <v>0</v>
      </c>
      <c r="B1713" s="21" t="s">
        <v>336</v>
      </c>
      <c r="C1713" s="62" t="s">
        <v>60</v>
      </c>
      <c r="D1713" s="62" t="s">
        <v>385</v>
      </c>
      <c r="E1713" s="62" t="s">
        <v>382</v>
      </c>
      <c r="F1713" s="62" t="s">
        <v>382</v>
      </c>
      <c r="G1713" s="63" t="s">
        <v>503</v>
      </c>
      <c r="H1713" s="64" t="n">
        <v>30000000</v>
      </c>
      <c r="I1713" s="62" t="s">
        <v>81</v>
      </c>
      <c r="J1713" s="64" t="n">
        <v>30000</v>
      </c>
      <c r="K1713" s="62" t="s">
        <v>138</v>
      </c>
      <c r="L1713" s="68" t="b">
        <f aca="false">TRUE()</f>
        <v>1</v>
      </c>
    </row>
    <row r="1714" customFormat="false" ht="15" hidden="false" customHeight="false" outlineLevel="0" collapsed="false">
      <c r="A1714" s="62" t="n">
        <v>0</v>
      </c>
      <c r="B1714" s="21" t="s">
        <v>336</v>
      </c>
      <c r="C1714" s="62" t="s">
        <v>60</v>
      </c>
      <c r="D1714" s="62" t="s">
        <v>386</v>
      </c>
      <c r="E1714" s="62" t="s">
        <v>382</v>
      </c>
      <c r="F1714" s="62" t="s">
        <v>382</v>
      </c>
      <c r="G1714" s="63" t="s">
        <v>503</v>
      </c>
      <c r="H1714" s="64" t="n">
        <v>30000000</v>
      </c>
      <c r="I1714" s="62" t="s">
        <v>81</v>
      </c>
      <c r="J1714" s="64" t="n">
        <v>30000</v>
      </c>
      <c r="K1714" s="62" t="s">
        <v>138</v>
      </c>
      <c r="L1714" s="68" t="b">
        <f aca="false">TRUE()</f>
        <v>1</v>
      </c>
    </row>
    <row r="1715" customFormat="false" ht="15" hidden="false" customHeight="false" outlineLevel="0" collapsed="false">
      <c r="A1715" s="62" t="n">
        <v>0</v>
      </c>
      <c r="B1715" s="21" t="s">
        <v>336</v>
      </c>
      <c r="C1715" s="62" t="s">
        <v>60</v>
      </c>
      <c r="D1715" s="62" t="s">
        <v>387</v>
      </c>
      <c r="E1715" s="62" t="s">
        <v>382</v>
      </c>
      <c r="F1715" s="62" t="s">
        <v>382</v>
      </c>
      <c r="G1715" s="63" t="s">
        <v>503</v>
      </c>
      <c r="H1715" s="64" t="n">
        <v>30000000</v>
      </c>
      <c r="I1715" s="62" t="s">
        <v>81</v>
      </c>
      <c r="J1715" s="64" t="n">
        <v>30000</v>
      </c>
      <c r="K1715" s="62" t="s">
        <v>138</v>
      </c>
      <c r="L1715" s="68" t="b">
        <f aca="false">TRUE()</f>
        <v>1</v>
      </c>
    </row>
    <row r="1716" customFormat="false" ht="15" hidden="false" customHeight="false" outlineLevel="0" collapsed="false">
      <c r="A1716" s="62" t="n">
        <v>0</v>
      </c>
      <c r="B1716" s="21" t="s">
        <v>336</v>
      </c>
      <c r="C1716" s="62" t="s">
        <v>60</v>
      </c>
      <c r="D1716" s="62" t="s">
        <v>388</v>
      </c>
      <c r="E1716" s="62" t="s">
        <v>382</v>
      </c>
      <c r="F1716" s="62" t="s">
        <v>382</v>
      </c>
      <c r="G1716" s="63" t="s">
        <v>503</v>
      </c>
      <c r="H1716" s="64" t="n">
        <v>30000000</v>
      </c>
      <c r="I1716" s="62" t="s">
        <v>81</v>
      </c>
      <c r="J1716" s="64" t="n">
        <v>30000</v>
      </c>
      <c r="K1716" s="62" t="s">
        <v>138</v>
      </c>
      <c r="L1716" s="68" t="b">
        <f aca="false">TRUE()</f>
        <v>1</v>
      </c>
    </row>
    <row r="1717" customFormat="false" ht="15" hidden="false" customHeight="false" outlineLevel="0" collapsed="false">
      <c r="A1717" s="62" t="n">
        <v>0</v>
      </c>
      <c r="B1717" s="21" t="s">
        <v>336</v>
      </c>
      <c r="C1717" s="62" t="s">
        <v>60</v>
      </c>
      <c r="D1717" s="62" t="s">
        <v>381</v>
      </c>
      <c r="E1717" s="62" t="s">
        <v>382</v>
      </c>
      <c r="F1717" s="62" t="s">
        <v>382</v>
      </c>
      <c r="G1717" s="63" t="s">
        <v>504</v>
      </c>
      <c r="H1717" s="64" t="n">
        <v>40000000</v>
      </c>
      <c r="I1717" s="62" t="s">
        <v>81</v>
      </c>
      <c r="J1717" s="64" t="n">
        <v>40000</v>
      </c>
      <c r="K1717" s="62" t="s">
        <v>138</v>
      </c>
      <c r="L1717" s="68" t="b">
        <f aca="false">TRUE()</f>
        <v>1</v>
      </c>
    </row>
    <row r="1718" customFormat="false" ht="15" hidden="false" customHeight="false" outlineLevel="0" collapsed="false">
      <c r="A1718" s="62" t="n">
        <v>0</v>
      </c>
      <c r="B1718" s="21" t="s">
        <v>336</v>
      </c>
      <c r="C1718" s="62" t="s">
        <v>60</v>
      </c>
      <c r="D1718" s="62" t="s">
        <v>383</v>
      </c>
      <c r="E1718" s="62" t="s">
        <v>382</v>
      </c>
      <c r="F1718" s="62" t="s">
        <v>382</v>
      </c>
      <c r="G1718" s="63" t="s">
        <v>504</v>
      </c>
      <c r="H1718" s="64" t="n">
        <v>40000000</v>
      </c>
      <c r="I1718" s="62" t="s">
        <v>81</v>
      </c>
      <c r="J1718" s="64" t="n">
        <v>40000</v>
      </c>
      <c r="K1718" s="62" t="s">
        <v>138</v>
      </c>
      <c r="L1718" s="68" t="b">
        <f aca="false">TRUE()</f>
        <v>1</v>
      </c>
    </row>
    <row r="1719" customFormat="false" ht="15" hidden="false" customHeight="false" outlineLevel="0" collapsed="false">
      <c r="A1719" s="62" t="n">
        <v>0</v>
      </c>
      <c r="B1719" s="21" t="s">
        <v>336</v>
      </c>
      <c r="C1719" s="62" t="s">
        <v>60</v>
      </c>
      <c r="D1719" s="62" t="s">
        <v>384</v>
      </c>
      <c r="E1719" s="62" t="s">
        <v>382</v>
      </c>
      <c r="F1719" s="62" t="s">
        <v>382</v>
      </c>
      <c r="G1719" s="63" t="s">
        <v>504</v>
      </c>
      <c r="H1719" s="64" t="n">
        <v>40000000</v>
      </c>
      <c r="I1719" s="62" t="s">
        <v>81</v>
      </c>
      <c r="J1719" s="64" t="n">
        <v>40000</v>
      </c>
      <c r="K1719" s="62" t="s">
        <v>138</v>
      </c>
      <c r="L1719" s="68" t="b">
        <f aca="false">TRUE()</f>
        <v>1</v>
      </c>
    </row>
    <row r="1720" customFormat="false" ht="15" hidden="false" customHeight="false" outlineLevel="0" collapsed="false">
      <c r="A1720" s="62" t="n">
        <v>0</v>
      </c>
      <c r="B1720" s="21" t="s">
        <v>336</v>
      </c>
      <c r="C1720" s="62" t="s">
        <v>60</v>
      </c>
      <c r="D1720" s="62" t="s">
        <v>385</v>
      </c>
      <c r="E1720" s="62" t="s">
        <v>382</v>
      </c>
      <c r="F1720" s="62" t="s">
        <v>382</v>
      </c>
      <c r="G1720" s="63" t="s">
        <v>504</v>
      </c>
      <c r="H1720" s="64" t="n">
        <v>40000000</v>
      </c>
      <c r="I1720" s="62" t="s">
        <v>81</v>
      </c>
      <c r="J1720" s="64" t="n">
        <v>40000</v>
      </c>
      <c r="K1720" s="62" t="s">
        <v>138</v>
      </c>
      <c r="L1720" s="68" t="b">
        <f aca="false">TRUE()</f>
        <v>1</v>
      </c>
    </row>
    <row r="1721" customFormat="false" ht="15" hidden="false" customHeight="false" outlineLevel="0" collapsed="false">
      <c r="A1721" s="62" t="n">
        <v>0</v>
      </c>
      <c r="B1721" s="21" t="s">
        <v>336</v>
      </c>
      <c r="C1721" s="62" t="s">
        <v>60</v>
      </c>
      <c r="D1721" s="62" t="s">
        <v>386</v>
      </c>
      <c r="E1721" s="62" t="s">
        <v>382</v>
      </c>
      <c r="F1721" s="62" t="s">
        <v>382</v>
      </c>
      <c r="G1721" s="63" t="s">
        <v>504</v>
      </c>
      <c r="H1721" s="64" t="n">
        <v>40000000</v>
      </c>
      <c r="I1721" s="62" t="s">
        <v>81</v>
      </c>
      <c r="J1721" s="64" t="n">
        <v>40000</v>
      </c>
      <c r="K1721" s="62" t="s">
        <v>138</v>
      </c>
      <c r="L1721" s="68" t="b">
        <f aca="false">TRUE()</f>
        <v>1</v>
      </c>
    </row>
    <row r="1722" customFormat="false" ht="15" hidden="false" customHeight="false" outlineLevel="0" collapsed="false">
      <c r="A1722" s="62" t="n">
        <v>0</v>
      </c>
      <c r="B1722" s="21" t="s">
        <v>336</v>
      </c>
      <c r="C1722" s="62" t="s">
        <v>60</v>
      </c>
      <c r="D1722" s="62" t="s">
        <v>387</v>
      </c>
      <c r="E1722" s="62" t="s">
        <v>382</v>
      </c>
      <c r="F1722" s="62" t="s">
        <v>382</v>
      </c>
      <c r="G1722" s="63" t="s">
        <v>504</v>
      </c>
      <c r="H1722" s="64" t="n">
        <v>40000000</v>
      </c>
      <c r="I1722" s="62" t="s">
        <v>81</v>
      </c>
      <c r="J1722" s="64" t="n">
        <v>40000</v>
      </c>
      <c r="K1722" s="62" t="s">
        <v>138</v>
      </c>
      <c r="L1722" s="68" t="b">
        <f aca="false">TRUE()</f>
        <v>1</v>
      </c>
    </row>
    <row r="1723" customFormat="false" ht="15" hidden="false" customHeight="false" outlineLevel="0" collapsed="false">
      <c r="A1723" s="62" t="n">
        <v>0</v>
      </c>
      <c r="B1723" s="21" t="s">
        <v>336</v>
      </c>
      <c r="C1723" s="62" t="s">
        <v>60</v>
      </c>
      <c r="D1723" s="62" t="s">
        <v>388</v>
      </c>
      <c r="E1723" s="62" t="s">
        <v>382</v>
      </c>
      <c r="F1723" s="62" t="s">
        <v>382</v>
      </c>
      <c r="G1723" s="63" t="s">
        <v>504</v>
      </c>
      <c r="H1723" s="64" t="n">
        <v>40000000</v>
      </c>
      <c r="I1723" s="62" t="s">
        <v>81</v>
      </c>
      <c r="J1723" s="64" t="n">
        <v>40000</v>
      </c>
      <c r="K1723" s="62" t="s">
        <v>138</v>
      </c>
      <c r="L1723" s="68" t="b">
        <f aca="false">TRUE()</f>
        <v>1</v>
      </c>
    </row>
    <row r="1724" customFormat="false" ht="15" hidden="false" customHeight="false" outlineLevel="0" collapsed="false">
      <c r="A1724" s="62" t="n">
        <v>0</v>
      </c>
      <c r="B1724" s="21" t="s">
        <v>336</v>
      </c>
      <c r="C1724" s="62" t="s">
        <v>60</v>
      </c>
      <c r="D1724" s="62" t="s">
        <v>381</v>
      </c>
      <c r="E1724" s="62" t="s">
        <v>382</v>
      </c>
      <c r="F1724" s="62" t="s">
        <v>382</v>
      </c>
      <c r="G1724" s="63" t="s">
        <v>505</v>
      </c>
      <c r="H1724" s="64" t="n">
        <v>0</v>
      </c>
      <c r="I1724" s="62" t="s">
        <v>81</v>
      </c>
      <c r="J1724" s="64" t="n">
        <v>0</v>
      </c>
      <c r="K1724" s="62" t="s">
        <v>138</v>
      </c>
      <c r="L1724" s="68" t="b">
        <f aca="false">TRUE()</f>
        <v>1</v>
      </c>
    </row>
    <row r="1725" customFormat="false" ht="15" hidden="false" customHeight="false" outlineLevel="0" collapsed="false">
      <c r="A1725" s="62" t="n">
        <v>0</v>
      </c>
      <c r="B1725" s="21" t="s">
        <v>336</v>
      </c>
      <c r="C1725" s="62" t="s">
        <v>60</v>
      </c>
      <c r="D1725" s="62" t="s">
        <v>383</v>
      </c>
      <c r="E1725" s="62" t="s">
        <v>382</v>
      </c>
      <c r="F1725" s="62" t="s">
        <v>382</v>
      </c>
      <c r="G1725" s="63" t="s">
        <v>505</v>
      </c>
      <c r="H1725" s="64" t="n">
        <v>0</v>
      </c>
      <c r="I1725" s="62" t="s">
        <v>81</v>
      </c>
      <c r="J1725" s="64" t="n">
        <v>0</v>
      </c>
      <c r="K1725" s="62" t="s">
        <v>138</v>
      </c>
      <c r="L1725" s="68" t="b">
        <f aca="false">TRUE()</f>
        <v>1</v>
      </c>
    </row>
    <row r="1726" customFormat="false" ht="15" hidden="false" customHeight="false" outlineLevel="0" collapsed="false">
      <c r="A1726" s="62" t="n">
        <v>0</v>
      </c>
      <c r="B1726" s="21" t="s">
        <v>336</v>
      </c>
      <c r="C1726" s="62" t="s">
        <v>60</v>
      </c>
      <c r="D1726" s="62" t="s">
        <v>384</v>
      </c>
      <c r="E1726" s="62" t="s">
        <v>382</v>
      </c>
      <c r="F1726" s="62" t="s">
        <v>382</v>
      </c>
      <c r="G1726" s="63" t="s">
        <v>505</v>
      </c>
      <c r="H1726" s="64" t="n">
        <v>0</v>
      </c>
      <c r="I1726" s="62" t="s">
        <v>81</v>
      </c>
      <c r="J1726" s="64" t="n">
        <v>0</v>
      </c>
      <c r="K1726" s="62" t="s">
        <v>138</v>
      </c>
      <c r="L1726" s="68" t="b">
        <f aca="false">TRUE()</f>
        <v>1</v>
      </c>
    </row>
    <row r="1727" customFormat="false" ht="15" hidden="false" customHeight="false" outlineLevel="0" collapsed="false">
      <c r="A1727" s="62" t="n">
        <v>0</v>
      </c>
      <c r="B1727" s="21" t="s">
        <v>336</v>
      </c>
      <c r="C1727" s="62" t="s">
        <v>60</v>
      </c>
      <c r="D1727" s="62" t="s">
        <v>385</v>
      </c>
      <c r="E1727" s="62" t="s">
        <v>382</v>
      </c>
      <c r="F1727" s="62" t="s">
        <v>382</v>
      </c>
      <c r="G1727" s="63" t="s">
        <v>505</v>
      </c>
      <c r="H1727" s="64" t="n">
        <v>0</v>
      </c>
      <c r="I1727" s="62" t="s">
        <v>81</v>
      </c>
      <c r="J1727" s="64" t="n">
        <v>0</v>
      </c>
      <c r="K1727" s="62" t="s">
        <v>138</v>
      </c>
      <c r="L1727" s="68" t="b">
        <f aca="false">TRUE()</f>
        <v>1</v>
      </c>
    </row>
    <row r="1728" customFormat="false" ht="15" hidden="false" customHeight="false" outlineLevel="0" collapsed="false">
      <c r="A1728" s="62" t="n">
        <v>0</v>
      </c>
      <c r="B1728" s="21" t="s">
        <v>336</v>
      </c>
      <c r="C1728" s="62" t="s">
        <v>60</v>
      </c>
      <c r="D1728" s="62" t="s">
        <v>386</v>
      </c>
      <c r="E1728" s="62" t="s">
        <v>382</v>
      </c>
      <c r="F1728" s="62" t="s">
        <v>382</v>
      </c>
      <c r="G1728" s="63" t="s">
        <v>505</v>
      </c>
      <c r="H1728" s="64" t="n">
        <v>0</v>
      </c>
      <c r="I1728" s="62" t="s">
        <v>81</v>
      </c>
      <c r="J1728" s="64" t="n">
        <v>0</v>
      </c>
      <c r="K1728" s="62" t="s">
        <v>138</v>
      </c>
      <c r="L1728" s="68" t="b">
        <f aca="false">TRUE()</f>
        <v>1</v>
      </c>
    </row>
    <row r="1729" customFormat="false" ht="15" hidden="false" customHeight="false" outlineLevel="0" collapsed="false">
      <c r="A1729" s="62" t="n">
        <v>0</v>
      </c>
      <c r="B1729" s="21" t="s">
        <v>336</v>
      </c>
      <c r="C1729" s="62" t="s">
        <v>60</v>
      </c>
      <c r="D1729" s="62" t="s">
        <v>387</v>
      </c>
      <c r="E1729" s="62" t="s">
        <v>382</v>
      </c>
      <c r="F1729" s="62" t="s">
        <v>382</v>
      </c>
      <c r="G1729" s="63" t="s">
        <v>505</v>
      </c>
      <c r="H1729" s="64" t="n">
        <v>0</v>
      </c>
      <c r="I1729" s="62" t="s">
        <v>81</v>
      </c>
      <c r="J1729" s="64" t="n">
        <v>0</v>
      </c>
      <c r="K1729" s="62" t="s">
        <v>138</v>
      </c>
      <c r="L1729" s="68" t="b">
        <f aca="false">TRUE()</f>
        <v>1</v>
      </c>
    </row>
    <row r="1730" customFormat="false" ht="15" hidden="false" customHeight="false" outlineLevel="0" collapsed="false">
      <c r="A1730" s="62" t="n">
        <v>0</v>
      </c>
      <c r="B1730" s="21" t="s">
        <v>336</v>
      </c>
      <c r="C1730" s="62" t="s">
        <v>60</v>
      </c>
      <c r="D1730" s="62" t="s">
        <v>388</v>
      </c>
      <c r="E1730" s="62" t="s">
        <v>382</v>
      </c>
      <c r="F1730" s="62" t="s">
        <v>382</v>
      </c>
      <c r="G1730" s="63" t="s">
        <v>505</v>
      </c>
      <c r="H1730" s="64" t="n">
        <v>0</v>
      </c>
      <c r="I1730" s="62" t="s">
        <v>81</v>
      </c>
      <c r="J1730" s="64" t="n">
        <v>0</v>
      </c>
      <c r="K1730" s="62" t="s">
        <v>138</v>
      </c>
      <c r="L1730" s="68" t="b">
        <f aca="false">TRUE()</f>
        <v>1</v>
      </c>
    </row>
    <row r="1731" customFormat="false" ht="15" hidden="false" customHeight="false" outlineLevel="0" collapsed="false">
      <c r="A1731" s="62" t="n">
        <v>0</v>
      </c>
      <c r="B1731" s="21" t="s">
        <v>336</v>
      </c>
      <c r="C1731" s="62" t="s">
        <v>60</v>
      </c>
      <c r="D1731" s="62" t="s">
        <v>381</v>
      </c>
      <c r="E1731" s="62" t="s">
        <v>382</v>
      </c>
      <c r="F1731" s="62" t="s">
        <v>382</v>
      </c>
      <c r="G1731" s="63" t="s">
        <v>506</v>
      </c>
      <c r="H1731" s="64" t="n">
        <v>500819428.571429</v>
      </c>
      <c r="I1731" s="62" t="s">
        <v>81</v>
      </c>
      <c r="J1731" s="64" t="n">
        <v>500819.428571429</v>
      </c>
      <c r="K1731" s="62" t="s">
        <v>138</v>
      </c>
      <c r="L1731" s="68" t="b">
        <f aca="false">TRUE()</f>
        <v>1</v>
      </c>
    </row>
    <row r="1732" customFormat="false" ht="15" hidden="false" customHeight="false" outlineLevel="0" collapsed="false">
      <c r="A1732" s="62" t="n">
        <v>0</v>
      </c>
      <c r="B1732" s="21" t="s">
        <v>336</v>
      </c>
      <c r="C1732" s="62" t="s">
        <v>60</v>
      </c>
      <c r="D1732" s="62" t="s">
        <v>383</v>
      </c>
      <c r="E1732" s="62" t="s">
        <v>382</v>
      </c>
      <c r="F1732" s="62" t="s">
        <v>382</v>
      </c>
      <c r="G1732" s="63" t="s">
        <v>506</v>
      </c>
      <c r="H1732" s="64" t="n">
        <v>500819428.571429</v>
      </c>
      <c r="I1732" s="62" t="s">
        <v>81</v>
      </c>
      <c r="J1732" s="64" t="n">
        <v>500819.428571429</v>
      </c>
      <c r="K1732" s="62" t="s">
        <v>138</v>
      </c>
      <c r="L1732" s="68" t="b">
        <f aca="false">TRUE()</f>
        <v>1</v>
      </c>
    </row>
    <row r="1733" customFormat="false" ht="15" hidden="false" customHeight="false" outlineLevel="0" collapsed="false">
      <c r="A1733" s="62" t="n">
        <v>0</v>
      </c>
      <c r="B1733" s="21" t="s">
        <v>336</v>
      </c>
      <c r="C1733" s="62" t="s">
        <v>60</v>
      </c>
      <c r="D1733" s="62" t="s">
        <v>384</v>
      </c>
      <c r="E1733" s="62" t="s">
        <v>382</v>
      </c>
      <c r="F1733" s="62" t="s">
        <v>382</v>
      </c>
      <c r="G1733" s="63" t="s">
        <v>506</v>
      </c>
      <c r="H1733" s="64" t="n">
        <v>500819428.571429</v>
      </c>
      <c r="I1733" s="62" t="s">
        <v>81</v>
      </c>
      <c r="J1733" s="64" t="n">
        <v>500819.428571429</v>
      </c>
      <c r="K1733" s="62" t="s">
        <v>138</v>
      </c>
      <c r="L1733" s="68" t="b">
        <f aca="false">TRUE()</f>
        <v>1</v>
      </c>
    </row>
    <row r="1734" customFormat="false" ht="15" hidden="false" customHeight="false" outlineLevel="0" collapsed="false">
      <c r="A1734" s="62" t="n">
        <v>0</v>
      </c>
      <c r="B1734" s="21" t="s">
        <v>336</v>
      </c>
      <c r="C1734" s="62" t="s">
        <v>60</v>
      </c>
      <c r="D1734" s="62" t="s">
        <v>385</v>
      </c>
      <c r="E1734" s="62" t="s">
        <v>382</v>
      </c>
      <c r="F1734" s="62" t="s">
        <v>382</v>
      </c>
      <c r="G1734" s="63" t="s">
        <v>506</v>
      </c>
      <c r="H1734" s="64" t="n">
        <v>500819428.571429</v>
      </c>
      <c r="I1734" s="62" t="s">
        <v>81</v>
      </c>
      <c r="J1734" s="64" t="n">
        <v>500819.428571429</v>
      </c>
      <c r="K1734" s="62" t="s">
        <v>138</v>
      </c>
      <c r="L1734" s="68" t="b">
        <f aca="false">TRUE()</f>
        <v>1</v>
      </c>
    </row>
    <row r="1735" customFormat="false" ht="15" hidden="false" customHeight="false" outlineLevel="0" collapsed="false">
      <c r="A1735" s="62" t="n">
        <v>0</v>
      </c>
      <c r="B1735" s="21" t="s">
        <v>336</v>
      </c>
      <c r="C1735" s="62" t="s">
        <v>60</v>
      </c>
      <c r="D1735" s="62" t="s">
        <v>386</v>
      </c>
      <c r="E1735" s="62" t="s">
        <v>382</v>
      </c>
      <c r="F1735" s="62" t="s">
        <v>382</v>
      </c>
      <c r="G1735" s="63" t="s">
        <v>506</v>
      </c>
      <c r="H1735" s="64" t="n">
        <v>500819428.571429</v>
      </c>
      <c r="I1735" s="62" t="s">
        <v>81</v>
      </c>
      <c r="J1735" s="64" t="n">
        <v>500819.428571429</v>
      </c>
      <c r="K1735" s="62" t="s">
        <v>138</v>
      </c>
      <c r="L1735" s="68" t="b">
        <f aca="false">TRUE()</f>
        <v>1</v>
      </c>
    </row>
    <row r="1736" customFormat="false" ht="15" hidden="false" customHeight="false" outlineLevel="0" collapsed="false">
      <c r="A1736" s="62" t="n">
        <v>0</v>
      </c>
      <c r="B1736" s="21" t="s">
        <v>336</v>
      </c>
      <c r="C1736" s="62" t="s">
        <v>60</v>
      </c>
      <c r="D1736" s="62" t="s">
        <v>387</v>
      </c>
      <c r="E1736" s="62" t="s">
        <v>382</v>
      </c>
      <c r="F1736" s="62" t="s">
        <v>382</v>
      </c>
      <c r="G1736" s="63" t="s">
        <v>506</v>
      </c>
      <c r="H1736" s="64" t="n">
        <v>500819428.571429</v>
      </c>
      <c r="I1736" s="62" t="s">
        <v>81</v>
      </c>
      <c r="J1736" s="64" t="n">
        <v>500819.428571429</v>
      </c>
      <c r="K1736" s="62" t="s">
        <v>138</v>
      </c>
      <c r="L1736" s="68" t="b">
        <f aca="false">TRUE()</f>
        <v>1</v>
      </c>
    </row>
    <row r="1737" customFormat="false" ht="15" hidden="false" customHeight="false" outlineLevel="0" collapsed="false">
      <c r="A1737" s="62" t="n">
        <v>0</v>
      </c>
      <c r="B1737" s="21" t="s">
        <v>336</v>
      </c>
      <c r="C1737" s="62" t="s">
        <v>60</v>
      </c>
      <c r="D1737" s="62" t="s">
        <v>388</v>
      </c>
      <c r="E1737" s="62" t="s">
        <v>382</v>
      </c>
      <c r="F1737" s="62" t="s">
        <v>382</v>
      </c>
      <c r="G1737" s="63" t="s">
        <v>506</v>
      </c>
      <c r="H1737" s="64" t="n">
        <v>500819428.571429</v>
      </c>
      <c r="I1737" s="62" t="s">
        <v>81</v>
      </c>
      <c r="J1737" s="64" t="n">
        <v>500819.428571429</v>
      </c>
      <c r="K1737" s="62" t="s">
        <v>138</v>
      </c>
      <c r="L1737" s="68" t="b">
        <f aca="false">TRUE()</f>
        <v>1</v>
      </c>
    </row>
    <row r="1738" customFormat="false" ht="15" hidden="false" customHeight="false" outlineLevel="0" collapsed="false">
      <c r="A1738" s="62" t="n">
        <v>0</v>
      </c>
      <c r="B1738" s="21" t="s">
        <v>336</v>
      </c>
      <c r="C1738" s="62" t="s">
        <v>60</v>
      </c>
      <c r="D1738" s="62" t="s">
        <v>381</v>
      </c>
      <c r="E1738" s="62" t="s">
        <v>382</v>
      </c>
      <c r="F1738" s="62" t="s">
        <v>382</v>
      </c>
      <c r="G1738" s="63" t="s">
        <v>507</v>
      </c>
      <c r="H1738" s="64" t="n">
        <v>8346990.47619048</v>
      </c>
      <c r="I1738" s="62" t="s">
        <v>81</v>
      </c>
      <c r="J1738" s="64" t="n">
        <v>8346.99047619048</v>
      </c>
      <c r="K1738" s="62" t="s">
        <v>138</v>
      </c>
      <c r="L1738" s="68" t="b">
        <f aca="false">TRUE()</f>
        <v>1</v>
      </c>
    </row>
    <row r="1739" customFormat="false" ht="15" hidden="false" customHeight="false" outlineLevel="0" collapsed="false">
      <c r="A1739" s="62" t="n">
        <v>0</v>
      </c>
      <c r="B1739" s="21" t="s">
        <v>336</v>
      </c>
      <c r="C1739" s="62" t="s">
        <v>60</v>
      </c>
      <c r="D1739" s="62" t="s">
        <v>383</v>
      </c>
      <c r="E1739" s="62" t="s">
        <v>382</v>
      </c>
      <c r="F1739" s="62" t="s">
        <v>382</v>
      </c>
      <c r="G1739" s="63" t="s">
        <v>507</v>
      </c>
      <c r="H1739" s="64" t="n">
        <v>8346990.47619048</v>
      </c>
      <c r="I1739" s="62" t="s">
        <v>81</v>
      </c>
      <c r="J1739" s="64" t="n">
        <v>8346.99047619048</v>
      </c>
      <c r="K1739" s="62" t="s">
        <v>138</v>
      </c>
      <c r="L1739" s="68" t="b">
        <f aca="false">TRUE()</f>
        <v>1</v>
      </c>
    </row>
    <row r="1740" customFormat="false" ht="15" hidden="false" customHeight="false" outlineLevel="0" collapsed="false">
      <c r="A1740" s="62" t="n">
        <v>0</v>
      </c>
      <c r="B1740" s="21" t="s">
        <v>336</v>
      </c>
      <c r="C1740" s="62" t="s">
        <v>60</v>
      </c>
      <c r="D1740" s="62" t="s">
        <v>384</v>
      </c>
      <c r="E1740" s="62" t="s">
        <v>382</v>
      </c>
      <c r="F1740" s="62" t="s">
        <v>382</v>
      </c>
      <c r="G1740" s="63" t="s">
        <v>507</v>
      </c>
      <c r="H1740" s="64" t="n">
        <v>8346990.47619048</v>
      </c>
      <c r="I1740" s="62" t="s">
        <v>81</v>
      </c>
      <c r="J1740" s="64" t="n">
        <v>8346.99047619048</v>
      </c>
      <c r="K1740" s="62" t="s">
        <v>138</v>
      </c>
      <c r="L1740" s="68" t="b">
        <f aca="false">TRUE()</f>
        <v>1</v>
      </c>
    </row>
    <row r="1741" customFormat="false" ht="15" hidden="false" customHeight="false" outlineLevel="0" collapsed="false">
      <c r="A1741" s="62" t="n">
        <v>0</v>
      </c>
      <c r="B1741" s="21" t="s">
        <v>336</v>
      </c>
      <c r="C1741" s="62" t="s">
        <v>60</v>
      </c>
      <c r="D1741" s="62" t="s">
        <v>385</v>
      </c>
      <c r="E1741" s="62" t="s">
        <v>382</v>
      </c>
      <c r="F1741" s="62" t="s">
        <v>382</v>
      </c>
      <c r="G1741" s="63" t="s">
        <v>507</v>
      </c>
      <c r="H1741" s="64" t="n">
        <v>8346990.47619048</v>
      </c>
      <c r="I1741" s="62" t="s">
        <v>81</v>
      </c>
      <c r="J1741" s="64" t="n">
        <v>8346.99047619048</v>
      </c>
      <c r="K1741" s="62" t="s">
        <v>138</v>
      </c>
      <c r="L1741" s="68" t="b">
        <f aca="false">TRUE()</f>
        <v>1</v>
      </c>
    </row>
    <row r="1742" customFormat="false" ht="15" hidden="false" customHeight="false" outlineLevel="0" collapsed="false">
      <c r="A1742" s="62" t="n">
        <v>0</v>
      </c>
      <c r="B1742" s="21" t="s">
        <v>336</v>
      </c>
      <c r="C1742" s="62" t="s">
        <v>60</v>
      </c>
      <c r="D1742" s="62" t="s">
        <v>386</v>
      </c>
      <c r="E1742" s="62" t="s">
        <v>382</v>
      </c>
      <c r="F1742" s="62" t="s">
        <v>382</v>
      </c>
      <c r="G1742" s="63" t="s">
        <v>507</v>
      </c>
      <c r="H1742" s="64" t="n">
        <v>8346990.47619048</v>
      </c>
      <c r="I1742" s="62" t="s">
        <v>81</v>
      </c>
      <c r="J1742" s="64" t="n">
        <v>8346.99047619048</v>
      </c>
      <c r="K1742" s="62" t="s">
        <v>138</v>
      </c>
      <c r="L1742" s="68" t="b">
        <f aca="false">TRUE()</f>
        <v>1</v>
      </c>
    </row>
    <row r="1743" customFormat="false" ht="15" hidden="false" customHeight="false" outlineLevel="0" collapsed="false">
      <c r="A1743" s="62" t="n">
        <v>0</v>
      </c>
      <c r="B1743" s="21" t="s">
        <v>336</v>
      </c>
      <c r="C1743" s="62" t="s">
        <v>60</v>
      </c>
      <c r="D1743" s="62" t="s">
        <v>387</v>
      </c>
      <c r="E1743" s="62" t="s">
        <v>382</v>
      </c>
      <c r="F1743" s="62" t="s">
        <v>382</v>
      </c>
      <c r="G1743" s="63" t="s">
        <v>507</v>
      </c>
      <c r="H1743" s="64" t="n">
        <v>8346990.47619048</v>
      </c>
      <c r="I1743" s="62" t="s">
        <v>81</v>
      </c>
      <c r="J1743" s="64" t="n">
        <v>8346.99047619048</v>
      </c>
      <c r="K1743" s="62" t="s">
        <v>138</v>
      </c>
      <c r="L1743" s="68" t="b">
        <f aca="false">TRUE()</f>
        <v>1</v>
      </c>
    </row>
    <row r="1744" customFormat="false" ht="15" hidden="false" customHeight="false" outlineLevel="0" collapsed="false">
      <c r="A1744" s="62" t="n">
        <v>0</v>
      </c>
      <c r="B1744" s="21" t="s">
        <v>336</v>
      </c>
      <c r="C1744" s="62" t="s">
        <v>60</v>
      </c>
      <c r="D1744" s="62" t="s">
        <v>388</v>
      </c>
      <c r="E1744" s="62" t="s">
        <v>382</v>
      </c>
      <c r="F1744" s="62" t="s">
        <v>382</v>
      </c>
      <c r="G1744" s="63" t="s">
        <v>507</v>
      </c>
      <c r="H1744" s="64" t="n">
        <v>8346990.47619048</v>
      </c>
      <c r="I1744" s="62" t="s">
        <v>81</v>
      </c>
      <c r="J1744" s="64" t="n">
        <v>8346.99047619048</v>
      </c>
      <c r="K1744" s="62" t="s">
        <v>138</v>
      </c>
      <c r="L1744" s="68" t="b">
        <f aca="false">TRUE()</f>
        <v>1</v>
      </c>
    </row>
    <row r="1745" customFormat="false" ht="15" hidden="false" customHeight="false" outlineLevel="0" collapsed="false">
      <c r="A1745" s="62" t="n">
        <v>0</v>
      </c>
      <c r="B1745" s="21" t="s">
        <v>336</v>
      </c>
      <c r="C1745" s="62" t="s">
        <v>60</v>
      </c>
      <c r="D1745" s="62" t="s">
        <v>381</v>
      </c>
      <c r="E1745" s="62" t="s">
        <v>382</v>
      </c>
      <c r="F1745" s="62" t="s">
        <v>382</v>
      </c>
      <c r="G1745" s="63" t="s">
        <v>508</v>
      </c>
      <c r="H1745" s="64" t="s">
        <v>509</v>
      </c>
      <c r="I1745" s="62" t="s">
        <v>138</v>
      </c>
      <c r="J1745" s="64" t="s">
        <v>509</v>
      </c>
      <c r="K1745" s="62" t="s">
        <v>138</v>
      </c>
      <c r="L1745" s="68" t="b">
        <f aca="false">TRUE()</f>
        <v>1</v>
      </c>
    </row>
    <row r="1746" customFormat="false" ht="15" hidden="false" customHeight="false" outlineLevel="0" collapsed="false">
      <c r="A1746" s="62" t="n">
        <v>0</v>
      </c>
      <c r="B1746" s="21" t="s">
        <v>336</v>
      </c>
      <c r="C1746" s="62" t="s">
        <v>60</v>
      </c>
      <c r="D1746" s="62" t="s">
        <v>383</v>
      </c>
      <c r="E1746" s="62" t="s">
        <v>382</v>
      </c>
      <c r="F1746" s="62" t="s">
        <v>382</v>
      </c>
      <c r="G1746" s="63" t="s">
        <v>508</v>
      </c>
      <c r="H1746" s="64" t="s">
        <v>509</v>
      </c>
      <c r="I1746" s="62" t="s">
        <v>138</v>
      </c>
      <c r="J1746" s="64" t="s">
        <v>509</v>
      </c>
      <c r="K1746" s="62" t="s">
        <v>138</v>
      </c>
      <c r="L1746" s="68" t="b">
        <f aca="false">TRUE()</f>
        <v>1</v>
      </c>
    </row>
    <row r="1747" customFormat="false" ht="15" hidden="false" customHeight="false" outlineLevel="0" collapsed="false">
      <c r="A1747" s="62" t="n">
        <v>0</v>
      </c>
      <c r="B1747" s="21" t="s">
        <v>336</v>
      </c>
      <c r="C1747" s="62" t="s">
        <v>60</v>
      </c>
      <c r="D1747" s="62" t="s">
        <v>384</v>
      </c>
      <c r="E1747" s="62" t="s">
        <v>382</v>
      </c>
      <c r="F1747" s="62" t="s">
        <v>382</v>
      </c>
      <c r="G1747" s="63" t="s">
        <v>508</v>
      </c>
      <c r="H1747" s="64" t="s">
        <v>509</v>
      </c>
      <c r="I1747" s="62" t="s">
        <v>138</v>
      </c>
      <c r="J1747" s="64" t="s">
        <v>509</v>
      </c>
      <c r="K1747" s="62" t="s">
        <v>138</v>
      </c>
      <c r="L1747" s="68" t="b">
        <f aca="false">TRUE()</f>
        <v>1</v>
      </c>
    </row>
    <row r="1748" customFormat="false" ht="15" hidden="false" customHeight="false" outlineLevel="0" collapsed="false">
      <c r="A1748" s="62" t="n">
        <v>0</v>
      </c>
      <c r="B1748" s="21" t="s">
        <v>336</v>
      </c>
      <c r="C1748" s="62" t="s">
        <v>60</v>
      </c>
      <c r="D1748" s="62" t="s">
        <v>385</v>
      </c>
      <c r="E1748" s="62" t="s">
        <v>382</v>
      </c>
      <c r="F1748" s="62" t="s">
        <v>382</v>
      </c>
      <c r="G1748" s="63" t="s">
        <v>508</v>
      </c>
      <c r="H1748" s="64" t="s">
        <v>509</v>
      </c>
      <c r="I1748" s="62" t="s">
        <v>138</v>
      </c>
      <c r="J1748" s="64" t="s">
        <v>509</v>
      </c>
      <c r="K1748" s="62" t="s">
        <v>138</v>
      </c>
      <c r="L1748" s="68" t="b">
        <f aca="false">TRUE()</f>
        <v>1</v>
      </c>
    </row>
    <row r="1749" customFormat="false" ht="15" hidden="false" customHeight="false" outlineLevel="0" collapsed="false">
      <c r="A1749" s="62" t="n">
        <v>0</v>
      </c>
      <c r="B1749" s="21" t="s">
        <v>336</v>
      </c>
      <c r="C1749" s="62" t="s">
        <v>60</v>
      </c>
      <c r="D1749" s="62" t="s">
        <v>386</v>
      </c>
      <c r="E1749" s="62" t="s">
        <v>382</v>
      </c>
      <c r="F1749" s="62" t="s">
        <v>382</v>
      </c>
      <c r="G1749" s="63" t="s">
        <v>508</v>
      </c>
      <c r="H1749" s="64" t="s">
        <v>509</v>
      </c>
      <c r="I1749" s="62" t="s">
        <v>138</v>
      </c>
      <c r="J1749" s="64" t="s">
        <v>509</v>
      </c>
      <c r="K1749" s="62" t="s">
        <v>138</v>
      </c>
      <c r="L1749" s="68" t="b">
        <f aca="false">TRUE()</f>
        <v>1</v>
      </c>
    </row>
    <row r="1750" customFormat="false" ht="15" hidden="false" customHeight="false" outlineLevel="0" collapsed="false">
      <c r="A1750" s="62" t="n">
        <v>0</v>
      </c>
      <c r="B1750" s="21" t="s">
        <v>336</v>
      </c>
      <c r="C1750" s="62" t="s">
        <v>60</v>
      </c>
      <c r="D1750" s="62" t="s">
        <v>387</v>
      </c>
      <c r="E1750" s="62" t="s">
        <v>382</v>
      </c>
      <c r="F1750" s="62" t="s">
        <v>382</v>
      </c>
      <c r="G1750" s="63" t="s">
        <v>508</v>
      </c>
      <c r="H1750" s="64" t="s">
        <v>509</v>
      </c>
      <c r="I1750" s="62" t="s">
        <v>138</v>
      </c>
      <c r="J1750" s="64" t="s">
        <v>509</v>
      </c>
      <c r="K1750" s="62" t="s">
        <v>138</v>
      </c>
      <c r="L1750" s="68" t="b">
        <f aca="false">TRUE()</f>
        <v>1</v>
      </c>
    </row>
    <row r="1751" customFormat="false" ht="15" hidden="false" customHeight="false" outlineLevel="0" collapsed="false">
      <c r="A1751" s="62" t="n">
        <v>0</v>
      </c>
      <c r="B1751" s="21" t="s">
        <v>336</v>
      </c>
      <c r="C1751" s="62" t="s">
        <v>60</v>
      </c>
      <c r="D1751" s="62" t="s">
        <v>388</v>
      </c>
      <c r="E1751" s="62" t="s">
        <v>382</v>
      </c>
      <c r="F1751" s="62" t="s">
        <v>382</v>
      </c>
      <c r="G1751" s="63" t="s">
        <v>508</v>
      </c>
      <c r="H1751" s="64" t="s">
        <v>509</v>
      </c>
      <c r="I1751" s="62" t="s">
        <v>138</v>
      </c>
      <c r="J1751" s="64" t="s">
        <v>509</v>
      </c>
      <c r="K1751" s="62" t="s">
        <v>138</v>
      </c>
      <c r="L1751" s="68" t="b">
        <f aca="false">TRUE()</f>
        <v>1</v>
      </c>
    </row>
    <row r="1752" customFormat="false" ht="15" hidden="false" customHeight="false" outlineLevel="0" collapsed="false">
      <c r="A1752" s="62" t="n">
        <v>0</v>
      </c>
      <c r="B1752" s="21" t="s">
        <v>336</v>
      </c>
      <c r="C1752" s="62" t="s">
        <v>60</v>
      </c>
      <c r="D1752" s="62" t="s">
        <v>381</v>
      </c>
      <c r="E1752" s="62" t="s">
        <v>382</v>
      </c>
      <c r="F1752" s="62" t="s">
        <v>382</v>
      </c>
      <c r="G1752" s="63" t="s">
        <v>510</v>
      </c>
      <c r="H1752" s="64" t="s">
        <v>509</v>
      </c>
      <c r="I1752" s="62" t="s">
        <v>138</v>
      </c>
      <c r="J1752" s="64" t="s">
        <v>509</v>
      </c>
      <c r="K1752" s="62" t="s">
        <v>138</v>
      </c>
      <c r="L1752" s="68" t="b">
        <f aca="false">TRUE()</f>
        <v>1</v>
      </c>
    </row>
    <row r="1753" customFormat="false" ht="15" hidden="false" customHeight="false" outlineLevel="0" collapsed="false">
      <c r="A1753" s="62" t="n">
        <v>0</v>
      </c>
      <c r="B1753" s="21" t="s">
        <v>336</v>
      </c>
      <c r="C1753" s="62" t="s">
        <v>60</v>
      </c>
      <c r="D1753" s="62" t="s">
        <v>383</v>
      </c>
      <c r="E1753" s="62" t="s">
        <v>382</v>
      </c>
      <c r="F1753" s="62" t="s">
        <v>382</v>
      </c>
      <c r="G1753" s="63" t="s">
        <v>510</v>
      </c>
      <c r="H1753" s="64" t="s">
        <v>509</v>
      </c>
      <c r="I1753" s="62" t="s">
        <v>138</v>
      </c>
      <c r="J1753" s="64" t="s">
        <v>509</v>
      </c>
      <c r="K1753" s="62" t="s">
        <v>138</v>
      </c>
      <c r="L1753" s="68" t="b">
        <f aca="false">TRUE()</f>
        <v>1</v>
      </c>
    </row>
    <row r="1754" customFormat="false" ht="15" hidden="false" customHeight="false" outlineLevel="0" collapsed="false">
      <c r="A1754" s="62" t="n">
        <v>0</v>
      </c>
      <c r="B1754" s="21" t="s">
        <v>336</v>
      </c>
      <c r="C1754" s="62" t="s">
        <v>60</v>
      </c>
      <c r="D1754" s="62" t="s">
        <v>384</v>
      </c>
      <c r="E1754" s="62" t="s">
        <v>382</v>
      </c>
      <c r="F1754" s="62" t="s">
        <v>382</v>
      </c>
      <c r="G1754" s="63" t="s">
        <v>510</v>
      </c>
      <c r="H1754" s="64" t="s">
        <v>509</v>
      </c>
      <c r="I1754" s="62" t="s">
        <v>138</v>
      </c>
      <c r="J1754" s="64" t="s">
        <v>509</v>
      </c>
      <c r="K1754" s="62" t="s">
        <v>138</v>
      </c>
      <c r="L1754" s="68" t="b">
        <f aca="false">TRUE()</f>
        <v>1</v>
      </c>
    </row>
    <row r="1755" customFormat="false" ht="15" hidden="false" customHeight="false" outlineLevel="0" collapsed="false">
      <c r="A1755" s="62" t="n">
        <v>0</v>
      </c>
      <c r="B1755" s="21" t="s">
        <v>336</v>
      </c>
      <c r="C1755" s="62" t="s">
        <v>60</v>
      </c>
      <c r="D1755" s="62" t="s">
        <v>385</v>
      </c>
      <c r="E1755" s="62" t="s">
        <v>382</v>
      </c>
      <c r="F1755" s="62" t="s">
        <v>382</v>
      </c>
      <c r="G1755" s="63" t="s">
        <v>510</v>
      </c>
      <c r="H1755" s="64" t="s">
        <v>509</v>
      </c>
      <c r="I1755" s="62" t="s">
        <v>138</v>
      </c>
      <c r="J1755" s="64" t="s">
        <v>509</v>
      </c>
      <c r="K1755" s="62" t="s">
        <v>138</v>
      </c>
      <c r="L1755" s="68" t="b">
        <f aca="false">TRUE()</f>
        <v>1</v>
      </c>
    </row>
    <row r="1756" customFormat="false" ht="15" hidden="false" customHeight="false" outlineLevel="0" collapsed="false">
      <c r="A1756" s="62" t="n">
        <v>0</v>
      </c>
      <c r="B1756" s="21" t="s">
        <v>336</v>
      </c>
      <c r="C1756" s="62" t="s">
        <v>60</v>
      </c>
      <c r="D1756" s="62" t="s">
        <v>386</v>
      </c>
      <c r="E1756" s="62" t="s">
        <v>382</v>
      </c>
      <c r="F1756" s="62" t="s">
        <v>382</v>
      </c>
      <c r="G1756" s="63" t="s">
        <v>510</v>
      </c>
      <c r="H1756" s="64" t="s">
        <v>509</v>
      </c>
      <c r="I1756" s="62" t="s">
        <v>138</v>
      </c>
      <c r="J1756" s="64" t="s">
        <v>509</v>
      </c>
      <c r="K1756" s="62" t="s">
        <v>138</v>
      </c>
      <c r="L1756" s="68" t="b">
        <f aca="false">TRUE()</f>
        <v>1</v>
      </c>
    </row>
    <row r="1757" customFormat="false" ht="15" hidden="false" customHeight="false" outlineLevel="0" collapsed="false">
      <c r="A1757" s="62" t="n">
        <v>0</v>
      </c>
      <c r="B1757" s="21" t="s">
        <v>336</v>
      </c>
      <c r="C1757" s="62" t="s">
        <v>60</v>
      </c>
      <c r="D1757" s="62" t="s">
        <v>387</v>
      </c>
      <c r="E1757" s="62" t="s">
        <v>382</v>
      </c>
      <c r="F1757" s="62" t="s">
        <v>382</v>
      </c>
      <c r="G1757" s="63" t="s">
        <v>510</v>
      </c>
      <c r="H1757" s="64" t="s">
        <v>509</v>
      </c>
      <c r="I1757" s="62" t="s">
        <v>138</v>
      </c>
      <c r="J1757" s="64" t="s">
        <v>509</v>
      </c>
      <c r="K1757" s="62" t="s">
        <v>138</v>
      </c>
      <c r="L1757" s="68" t="b">
        <f aca="false">TRUE()</f>
        <v>1</v>
      </c>
    </row>
    <row r="1758" customFormat="false" ht="15" hidden="false" customHeight="false" outlineLevel="0" collapsed="false">
      <c r="A1758" s="62" t="n">
        <v>0</v>
      </c>
      <c r="B1758" s="21" t="s">
        <v>336</v>
      </c>
      <c r="C1758" s="62" t="s">
        <v>60</v>
      </c>
      <c r="D1758" s="62" t="s">
        <v>388</v>
      </c>
      <c r="E1758" s="62" t="s">
        <v>382</v>
      </c>
      <c r="F1758" s="62" t="s">
        <v>382</v>
      </c>
      <c r="G1758" s="63" t="s">
        <v>510</v>
      </c>
      <c r="H1758" s="64" t="s">
        <v>509</v>
      </c>
      <c r="I1758" s="62" t="s">
        <v>138</v>
      </c>
      <c r="J1758" s="64" t="s">
        <v>509</v>
      </c>
      <c r="K1758" s="62" t="s">
        <v>138</v>
      </c>
      <c r="L1758" s="68" t="b">
        <f aca="false">TRUE()</f>
        <v>1</v>
      </c>
    </row>
    <row r="1759" customFormat="false" ht="15" hidden="false" customHeight="false" outlineLevel="0" collapsed="false">
      <c r="A1759" s="62" t="n">
        <v>0</v>
      </c>
      <c r="B1759" s="21" t="s">
        <v>336</v>
      </c>
      <c r="C1759" s="62" t="s">
        <v>60</v>
      </c>
      <c r="D1759" s="62" t="s">
        <v>381</v>
      </c>
      <c r="E1759" s="62" t="s">
        <v>382</v>
      </c>
      <c r="F1759" s="62" t="s">
        <v>382</v>
      </c>
      <c r="G1759" s="63" t="s">
        <v>511</v>
      </c>
      <c r="H1759" s="64" t="s">
        <v>509</v>
      </c>
      <c r="I1759" s="62" t="s">
        <v>138</v>
      </c>
      <c r="J1759" s="64" t="s">
        <v>509</v>
      </c>
      <c r="K1759" s="62" t="s">
        <v>138</v>
      </c>
      <c r="L1759" s="68" t="b">
        <f aca="false">TRUE()</f>
        <v>1</v>
      </c>
    </row>
    <row r="1760" customFormat="false" ht="15" hidden="false" customHeight="false" outlineLevel="0" collapsed="false">
      <c r="A1760" s="62" t="n">
        <v>0</v>
      </c>
      <c r="B1760" s="21" t="s">
        <v>336</v>
      </c>
      <c r="C1760" s="62" t="s">
        <v>60</v>
      </c>
      <c r="D1760" s="62" t="s">
        <v>383</v>
      </c>
      <c r="E1760" s="62" t="s">
        <v>382</v>
      </c>
      <c r="F1760" s="62" t="s">
        <v>382</v>
      </c>
      <c r="G1760" s="63" t="s">
        <v>511</v>
      </c>
      <c r="H1760" s="64" t="s">
        <v>509</v>
      </c>
      <c r="I1760" s="62" t="s">
        <v>138</v>
      </c>
      <c r="J1760" s="64" t="s">
        <v>509</v>
      </c>
      <c r="K1760" s="62" t="s">
        <v>138</v>
      </c>
      <c r="L1760" s="68" t="b">
        <f aca="false">TRUE()</f>
        <v>1</v>
      </c>
    </row>
    <row r="1761" customFormat="false" ht="15" hidden="false" customHeight="false" outlineLevel="0" collapsed="false">
      <c r="A1761" s="62" t="n">
        <v>0</v>
      </c>
      <c r="B1761" s="21" t="s">
        <v>336</v>
      </c>
      <c r="C1761" s="62" t="s">
        <v>60</v>
      </c>
      <c r="D1761" s="62" t="s">
        <v>384</v>
      </c>
      <c r="E1761" s="62" t="s">
        <v>382</v>
      </c>
      <c r="F1761" s="62" t="s">
        <v>382</v>
      </c>
      <c r="G1761" s="63" t="s">
        <v>511</v>
      </c>
      <c r="H1761" s="64" t="s">
        <v>509</v>
      </c>
      <c r="I1761" s="62" t="s">
        <v>138</v>
      </c>
      <c r="J1761" s="64" t="s">
        <v>509</v>
      </c>
      <c r="K1761" s="62" t="s">
        <v>138</v>
      </c>
      <c r="L1761" s="68" t="b">
        <f aca="false">TRUE()</f>
        <v>1</v>
      </c>
    </row>
    <row r="1762" customFormat="false" ht="15" hidden="false" customHeight="false" outlineLevel="0" collapsed="false">
      <c r="A1762" s="62" t="n">
        <v>0</v>
      </c>
      <c r="B1762" s="21" t="s">
        <v>336</v>
      </c>
      <c r="C1762" s="62" t="s">
        <v>60</v>
      </c>
      <c r="D1762" s="62" t="s">
        <v>385</v>
      </c>
      <c r="E1762" s="62" t="s">
        <v>382</v>
      </c>
      <c r="F1762" s="62" t="s">
        <v>382</v>
      </c>
      <c r="G1762" s="63" t="s">
        <v>511</v>
      </c>
      <c r="H1762" s="64" t="s">
        <v>509</v>
      </c>
      <c r="I1762" s="62" t="s">
        <v>138</v>
      </c>
      <c r="J1762" s="64" t="s">
        <v>509</v>
      </c>
      <c r="K1762" s="62" t="s">
        <v>138</v>
      </c>
      <c r="L1762" s="68" t="b">
        <f aca="false">TRUE()</f>
        <v>1</v>
      </c>
    </row>
    <row r="1763" customFormat="false" ht="15" hidden="false" customHeight="false" outlineLevel="0" collapsed="false">
      <c r="A1763" s="62" t="n">
        <v>0</v>
      </c>
      <c r="B1763" s="21" t="s">
        <v>336</v>
      </c>
      <c r="C1763" s="62" t="s">
        <v>60</v>
      </c>
      <c r="D1763" s="62" t="s">
        <v>386</v>
      </c>
      <c r="E1763" s="62" t="s">
        <v>382</v>
      </c>
      <c r="F1763" s="62" t="s">
        <v>382</v>
      </c>
      <c r="G1763" s="63" t="s">
        <v>511</v>
      </c>
      <c r="H1763" s="64" t="s">
        <v>509</v>
      </c>
      <c r="I1763" s="62" t="s">
        <v>138</v>
      </c>
      <c r="J1763" s="64" t="s">
        <v>509</v>
      </c>
      <c r="K1763" s="62" t="s">
        <v>138</v>
      </c>
      <c r="L1763" s="68" t="b">
        <f aca="false">TRUE()</f>
        <v>1</v>
      </c>
    </row>
    <row r="1764" customFormat="false" ht="15" hidden="false" customHeight="false" outlineLevel="0" collapsed="false">
      <c r="A1764" s="62" t="n">
        <v>0</v>
      </c>
      <c r="B1764" s="21" t="s">
        <v>336</v>
      </c>
      <c r="C1764" s="62" t="s">
        <v>60</v>
      </c>
      <c r="D1764" s="62" t="s">
        <v>387</v>
      </c>
      <c r="E1764" s="62" t="s">
        <v>382</v>
      </c>
      <c r="F1764" s="62" t="s">
        <v>382</v>
      </c>
      <c r="G1764" s="63" t="s">
        <v>511</v>
      </c>
      <c r="H1764" s="64" t="s">
        <v>509</v>
      </c>
      <c r="I1764" s="62" t="s">
        <v>138</v>
      </c>
      <c r="J1764" s="64" t="s">
        <v>509</v>
      </c>
      <c r="K1764" s="62" t="s">
        <v>138</v>
      </c>
      <c r="L1764" s="68" t="b">
        <f aca="false">TRUE()</f>
        <v>1</v>
      </c>
    </row>
    <row r="1765" customFormat="false" ht="15" hidden="false" customHeight="false" outlineLevel="0" collapsed="false">
      <c r="A1765" s="62" t="n">
        <v>0</v>
      </c>
      <c r="B1765" s="21" t="s">
        <v>336</v>
      </c>
      <c r="C1765" s="62" t="s">
        <v>60</v>
      </c>
      <c r="D1765" s="62" t="s">
        <v>388</v>
      </c>
      <c r="E1765" s="62" t="s">
        <v>382</v>
      </c>
      <c r="F1765" s="62" t="s">
        <v>382</v>
      </c>
      <c r="G1765" s="63" t="s">
        <v>511</v>
      </c>
      <c r="H1765" s="64" t="s">
        <v>509</v>
      </c>
      <c r="I1765" s="62" t="s">
        <v>138</v>
      </c>
      <c r="J1765" s="64" t="s">
        <v>509</v>
      </c>
      <c r="K1765" s="62" t="s">
        <v>138</v>
      </c>
      <c r="L1765" s="68" t="b">
        <f aca="false">TRUE()</f>
        <v>1</v>
      </c>
    </row>
    <row r="1766" customFormat="false" ht="15" hidden="false" customHeight="false" outlineLevel="0" collapsed="false">
      <c r="A1766" s="62" t="n">
        <v>0</v>
      </c>
      <c r="B1766" s="21" t="s">
        <v>336</v>
      </c>
      <c r="C1766" s="62" t="s">
        <v>60</v>
      </c>
      <c r="D1766" s="62" t="s">
        <v>381</v>
      </c>
      <c r="E1766" s="62" t="s">
        <v>382</v>
      </c>
      <c r="F1766" s="62" t="s">
        <v>382</v>
      </c>
      <c r="G1766" s="63" t="s">
        <v>512</v>
      </c>
      <c r="H1766" s="64" t="s">
        <v>509</v>
      </c>
      <c r="I1766" s="62" t="s">
        <v>138</v>
      </c>
      <c r="J1766" s="64" t="s">
        <v>509</v>
      </c>
      <c r="K1766" s="62" t="s">
        <v>138</v>
      </c>
      <c r="L1766" s="68" t="b">
        <f aca="false">TRUE()</f>
        <v>1</v>
      </c>
    </row>
    <row r="1767" customFormat="false" ht="15" hidden="false" customHeight="false" outlineLevel="0" collapsed="false">
      <c r="A1767" s="62" t="n">
        <v>0</v>
      </c>
      <c r="B1767" s="21" t="s">
        <v>336</v>
      </c>
      <c r="C1767" s="62" t="s">
        <v>60</v>
      </c>
      <c r="D1767" s="62" t="s">
        <v>383</v>
      </c>
      <c r="E1767" s="62" t="s">
        <v>382</v>
      </c>
      <c r="F1767" s="62" t="s">
        <v>382</v>
      </c>
      <c r="G1767" s="63" t="s">
        <v>512</v>
      </c>
      <c r="H1767" s="64" t="s">
        <v>509</v>
      </c>
      <c r="I1767" s="62" t="s">
        <v>138</v>
      </c>
      <c r="J1767" s="64" t="s">
        <v>509</v>
      </c>
      <c r="K1767" s="62" t="s">
        <v>138</v>
      </c>
      <c r="L1767" s="68" t="b">
        <f aca="false">TRUE()</f>
        <v>1</v>
      </c>
    </row>
    <row r="1768" customFormat="false" ht="15" hidden="false" customHeight="false" outlineLevel="0" collapsed="false">
      <c r="A1768" s="62" t="n">
        <v>0</v>
      </c>
      <c r="B1768" s="21" t="s">
        <v>336</v>
      </c>
      <c r="C1768" s="62" t="s">
        <v>60</v>
      </c>
      <c r="D1768" s="62" t="s">
        <v>384</v>
      </c>
      <c r="E1768" s="62" t="s">
        <v>382</v>
      </c>
      <c r="F1768" s="62" t="s">
        <v>382</v>
      </c>
      <c r="G1768" s="63" t="s">
        <v>512</v>
      </c>
      <c r="H1768" s="64" t="s">
        <v>509</v>
      </c>
      <c r="I1768" s="62" t="s">
        <v>138</v>
      </c>
      <c r="J1768" s="64" t="s">
        <v>509</v>
      </c>
      <c r="K1768" s="62" t="s">
        <v>138</v>
      </c>
      <c r="L1768" s="68" t="b">
        <f aca="false">TRUE()</f>
        <v>1</v>
      </c>
    </row>
    <row r="1769" customFormat="false" ht="15" hidden="false" customHeight="false" outlineLevel="0" collapsed="false">
      <c r="A1769" s="62" t="n">
        <v>0</v>
      </c>
      <c r="B1769" s="21" t="s">
        <v>336</v>
      </c>
      <c r="C1769" s="62" t="s">
        <v>60</v>
      </c>
      <c r="D1769" s="62" t="s">
        <v>385</v>
      </c>
      <c r="E1769" s="62" t="s">
        <v>382</v>
      </c>
      <c r="F1769" s="62" t="s">
        <v>382</v>
      </c>
      <c r="G1769" s="63" t="s">
        <v>512</v>
      </c>
      <c r="H1769" s="64" t="s">
        <v>509</v>
      </c>
      <c r="I1769" s="62" t="s">
        <v>138</v>
      </c>
      <c r="J1769" s="64" t="s">
        <v>509</v>
      </c>
      <c r="K1769" s="62" t="s">
        <v>138</v>
      </c>
      <c r="L1769" s="68" t="b">
        <f aca="false">TRUE()</f>
        <v>1</v>
      </c>
    </row>
    <row r="1770" customFormat="false" ht="15" hidden="false" customHeight="false" outlineLevel="0" collapsed="false">
      <c r="A1770" s="62" t="n">
        <v>0</v>
      </c>
      <c r="B1770" s="21" t="s">
        <v>336</v>
      </c>
      <c r="C1770" s="62" t="s">
        <v>60</v>
      </c>
      <c r="D1770" s="62" t="s">
        <v>386</v>
      </c>
      <c r="E1770" s="62" t="s">
        <v>382</v>
      </c>
      <c r="F1770" s="62" t="s">
        <v>382</v>
      </c>
      <c r="G1770" s="63" t="s">
        <v>512</v>
      </c>
      <c r="H1770" s="64" t="s">
        <v>509</v>
      </c>
      <c r="I1770" s="62" t="s">
        <v>138</v>
      </c>
      <c r="J1770" s="64" t="s">
        <v>509</v>
      </c>
      <c r="K1770" s="62" t="s">
        <v>138</v>
      </c>
      <c r="L1770" s="68" t="b">
        <f aca="false">TRUE()</f>
        <v>1</v>
      </c>
    </row>
    <row r="1771" customFormat="false" ht="15" hidden="false" customHeight="false" outlineLevel="0" collapsed="false">
      <c r="A1771" s="62" t="n">
        <v>0</v>
      </c>
      <c r="B1771" s="21" t="s">
        <v>336</v>
      </c>
      <c r="C1771" s="62" t="s">
        <v>60</v>
      </c>
      <c r="D1771" s="62" t="s">
        <v>387</v>
      </c>
      <c r="E1771" s="62" t="s">
        <v>382</v>
      </c>
      <c r="F1771" s="62" t="s">
        <v>382</v>
      </c>
      <c r="G1771" s="63" t="s">
        <v>512</v>
      </c>
      <c r="H1771" s="64" t="s">
        <v>509</v>
      </c>
      <c r="I1771" s="62" t="s">
        <v>138</v>
      </c>
      <c r="J1771" s="64" t="s">
        <v>509</v>
      </c>
      <c r="K1771" s="62" t="s">
        <v>138</v>
      </c>
      <c r="L1771" s="68" t="b">
        <f aca="false">TRUE()</f>
        <v>1</v>
      </c>
    </row>
    <row r="1772" customFormat="false" ht="15" hidden="false" customHeight="false" outlineLevel="0" collapsed="false">
      <c r="A1772" s="62" t="n">
        <v>0</v>
      </c>
      <c r="B1772" s="21" t="s">
        <v>336</v>
      </c>
      <c r="C1772" s="62" t="s">
        <v>60</v>
      </c>
      <c r="D1772" s="62" t="s">
        <v>388</v>
      </c>
      <c r="E1772" s="62" t="s">
        <v>382</v>
      </c>
      <c r="F1772" s="62" t="s">
        <v>382</v>
      </c>
      <c r="G1772" s="63" t="s">
        <v>512</v>
      </c>
      <c r="H1772" s="64" t="s">
        <v>509</v>
      </c>
      <c r="I1772" s="62" t="s">
        <v>138</v>
      </c>
      <c r="J1772" s="64" t="s">
        <v>509</v>
      </c>
      <c r="K1772" s="62" t="s">
        <v>138</v>
      </c>
      <c r="L1772" s="68" t="b">
        <f aca="false">TRUE()</f>
        <v>1</v>
      </c>
    </row>
    <row r="1773" customFormat="false" ht="15" hidden="false" customHeight="false" outlineLevel="0" collapsed="false">
      <c r="A1773" s="62" t="n">
        <v>0</v>
      </c>
      <c r="B1773" s="21" t="s">
        <v>336</v>
      </c>
      <c r="C1773" s="62" t="s">
        <v>60</v>
      </c>
      <c r="D1773" s="62" t="s">
        <v>381</v>
      </c>
      <c r="E1773" s="62" t="s">
        <v>382</v>
      </c>
      <c r="F1773" s="62" t="s">
        <v>382</v>
      </c>
      <c r="G1773" s="63" t="s">
        <v>513</v>
      </c>
      <c r="H1773" s="64" t="s">
        <v>509</v>
      </c>
      <c r="I1773" s="62" t="s">
        <v>138</v>
      </c>
      <c r="J1773" s="64" t="s">
        <v>509</v>
      </c>
      <c r="K1773" s="62" t="s">
        <v>138</v>
      </c>
      <c r="L1773" s="68" t="b">
        <f aca="false">TRUE()</f>
        <v>1</v>
      </c>
    </row>
    <row r="1774" customFormat="false" ht="15" hidden="false" customHeight="false" outlineLevel="0" collapsed="false">
      <c r="A1774" s="62" t="n">
        <v>0</v>
      </c>
      <c r="B1774" s="21" t="s">
        <v>336</v>
      </c>
      <c r="C1774" s="62" t="s">
        <v>60</v>
      </c>
      <c r="D1774" s="62" t="s">
        <v>383</v>
      </c>
      <c r="E1774" s="62" t="s">
        <v>382</v>
      </c>
      <c r="F1774" s="62" t="s">
        <v>382</v>
      </c>
      <c r="G1774" s="63" t="s">
        <v>513</v>
      </c>
      <c r="H1774" s="64" t="s">
        <v>509</v>
      </c>
      <c r="I1774" s="62" t="s">
        <v>138</v>
      </c>
      <c r="J1774" s="64" t="s">
        <v>509</v>
      </c>
      <c r="K1774" s="62" t="s">
        <v>138</v>
      </c>
      <c r="L1774" s="68" t="b">
        <f aca="false">TRUE()</f>
        <v>1</v>
      </c>
    </row>
    <row r="1775" customFormat="false" ht="15" hidden="false" customHeight="false" outlineLevel="0" collapsed="false">
      <c r="A1775" s="62" t="n">
        <v>0</v>
      </c>
      <c r="B1775" s="21" t="s">
        <v>336</v>
      </c>
      <c r="C1775" s="62" t="s">
        <v>60</v>
      </c>
      <c r="D1775" s="62" t="s">
        <v>384</v>
      </c>
      <c r="E1775" s="62" t="s">
        <v>382</v>
      </c>
      <c r="F1775" s="62" t="s">
        <v>382</v>
      </c>
      <c r="G1775" s="63" t="s">
        <v>513</v>
      </c>
      <c r="H1775" s="64" t="s">
        <v>509</v>
      </c>
      <c r="I1775" s="62" t="s">
        <v>138</v>
      </c>
      <c r="J1775" s="64" t="s">
        <v>509</v>
      </c>
      <c r="K1775" s="62" t="s">
        <v>138</v>
      </c>
      <c r="L1775" s="68" t="b">
        <f aca="false">TRUE()</f>
        <v>1</v>
      </c>
    </row>
    <row r="1776" customFormat="false" ht="15" hidden="false" customHeight="false" outlineLevel="0" collapsed="false">
      <c r="A1776" s="62" t="n">
        <v>0</v>
      </c>
      <c r="B1776" s="21" t="s">
        <v>336</v>
      </c>
      <c r="C1776" s="62" t="s">
        <v>60</v>
      </c>
      <c r="D1776" s="62" t="s">
        <v>385</v>
      </c>
      <c r="E1776" s="62" t="s">
        <v>382</v>
      </c>
      <c r="F1776" s="62" t="s">
        <v>382</v>
      </c>
      <c r="G1776" s="63" t="s">
        <v>513</v>
      </c>
      <c r="H1776" s="64" t="s">
        <v>509</v>
      </c>
      <c r="I1776" s="62" t="s">
        <v>138</v>
      </c>
      <c r="J1776" s="64" t="s">
        <v>509</v>
      </c>
      <c r="K1776" s="62" t="s">
        <v>138</v>
      </c>
      <c r="L1776" s="68" t="b">
        <f aca="false">TRUE()</f>
        <v>1</v>
      </c>
    </row>
    <row r="1777" customFormat="false" ht="15" hidden="false" customHeight="false" outlineLevel="0" collapsed="false">
      <c r="A1777" s="62" t="n">
        <v>0</v>
      </c>
      <c r="B1777" s="21" t="s">
        <v>336</v>
      </c>
      <c r="C1777" s="62" t="s">
        <v>60</v>
      </c>
      <c r="D1777" s="62" t="s">
        <v>386</v>
      </c>
      <c r="E1777" s="62" t="s">
        <v>382</v>
      </c>
      <c r="F1777" s="62" t="s">
        <v>382</v>
      </c>
      <c r="G1777" s="63" t="s">
        <v>513</v>
      </c>
      <c r="H1777" s="64" t="s">
        <v>509</v>
      </c>
      <c r="I1777" s="62" t="s">
        <v>138</v>
      </c>
      <c r="J1777" s="64" t="s">
        <v>509</v>
      </c>
      <c r="K1777" s="62" t="s">
        <v>138</v>
      </c>
      <c r="L1777" s="68" t="b">
        <f aca="false">TRUE()</f>
        <v>1</v>
      </c>
    </row>
    <row r="1778" customFormat="false" ht="15" hidden="false" customHeight="false" outlineLevel="0" collapsed="false">
      <c r="A1778" s="62" t="n">
        <v>0</v>
      </c>
      <c r="B1778" s="21" t="s">
        <v>336</v>
      </c>
      <c r="C1778" s="62" t="s">
        <v>60</v>
      </c>
      <c r="D1778" s="62" t="s">
        <v>387</v>
      </c>
      <c r="E1778" s="62" t="s">
        <v>382</v>
      </c>
      <c r="F1778" s="62" t="s">
        <v>382</v>
      </c>
      <c r="G1778" s="63" t="s">
        <v>513</v>
      </c>
      <c r="H1778" s="64" t="s">
        <v>509</v>
      </c>
      <c r="I1778" s="62" t="s">
        <v>138</v>
      </c>
      <c r="J1778" s="64" t="s">
        <v>509</v>
      </c>
      <c r="K1778" s="62" t="s">
        <v>138</v>
      </c>
      <c r="L1778" s="68" t="b">
        <f aca="false">TRUE()</f>
        <v>1</v>
      </c>
    </row>
    <row r="1779" customFormat="false" ht="15" hidden="false" customHeight="false" outlineLevel="0" collapsed="false">
      <c r="A1779" s="62" t="n">
        <v>0</v>
      </c>
      <c r="B1779" s="21" t="s">
        <v>336</v>
      </c>
      <c r="C1779" s="62" t="s">
        <v>60</v>
      </c>
      <c r="D1779" s="62" t="s">
        <v>388</v>
      </c>
      <c r="E1779" s="62" t="s">
        <v>382</v>
      </c>
      <c r="F1779" s="62" t="s">
        <v>382</v>
      </c>
      <c r="G1779" s="63" t="s">
        <v>513</v>
      </c>
      <c r="H1779" s="64" t="s">
        <v>509</v>
      </c>
      <c r="I1779" s="62" t="s">
        <v>138</v>
      </c>
      <c r="J1779" s="64" t="s">
        <v>509</v>
      </c>
      <c r="K1779" s="62" t="s">
        <v>138</v>
      </c>
      <c r="L1779" s="68" t="b">
        <f aca="false">TRUE()</f>
        <v>1</v>
      </c>
    </row>
    <row r="1780" customFormat="false" ht="15" hidden="false" customHeight="false" outlineLevel="0" collapsed="false">
      <c r="A1780" s="62" t="n">
        <v>0</v>
      </c>
      <c r="B1780" s="21" t="s">
        <v>336</v>
      </c>
      <c r="C1780" s="62" t="s">
        <v>60</v>
      </c>
      <c r="D1780" s="62" t="s">
        <v>381</v>
      </c>
      <c r="E1780" s="62" t="s">
        <v>382</v>
      </c>
      <c r="F1780" s="62" t="s">
        <v>382</v>
      </c>
      <c r="G1780" s="63" t="s">
        <v>514</v>
      </c>
      <c r="H1780" s="64" t="s">
        <v>509</v>
      </c>
      <c r="I1780" s="62" t="s">
        <v>138</v>
      </c>
      <c r="J1780" s="64" t="s">
        <v>509</v>
      </c>
      <c r="K1780" s="62" t="s">
        <v>138</v>
      </c>
      <c r="L1780" s="68" t="b">
        <f aca="false">TRUE()</f>
        <v>1</v>
      </c>
    </row>
    <row r="1781" customFormat="false" ht="15" hidden="false" customHeight="false" outlineLevel="0" collapsed="false">
      <c r="A1781" s="62" t="n">
        <v>0</v>
      </c>
      <c r="B1781" s="21" t="s">
        <v>336</v>
      </c>
      <c r="C1781" s="62" t="s">
        <v>60</v>
      </c>
      <c r="D1781" s="62" t="s">
        <v>383</v>
      </c>
      <c r="E1781" s="62" t="s">
        <v>382</v>
      </c>
      <c r="F1781" s="62" t="s">
        <v>382</v>
      </c>
      <c r="G1781" s="63" t="s">
        <v>514</v>
      </c>
      <c r="H1781" s="64" t="s">
        <v>509</v>
      </c>
      <c r="I1781" s="62" t="s">
        <v>138</v>
      </c>
      <c r="J1781" s="64" t="s">
        <v>509</v>
      </c>
      <c r="K1781" s="62" t="s">
        <v>138</v>
      </c>
      <c r="L1781" s="68" t="b">
        <f aca="false">TRUE()</f>
        <v>1</v>
      </c>
    </row>
    <row r="1782" customFormat="false" ht="15" hidden="false" customHeight="false" outlineLevel="0" collapsed="false">
      <c r="A1782" s="62" t="n">
        <v>0</v>
      </c>
      <c r="B1782" s="21" t="s">
        <v>336</v>
      </c>
      <c r="C1782" s="62" t="s">
        <v>60</v>
      </c>
      <c r="D1782" s="62" t="s">
        <v>384</v>
      </c>
      <c r="E1782" s="62" t="s">
        <v>382</v>
      </c>
      <c r="F1782" s="62" t="s">
        <v>382</v>
      </c>
      <c r="G1782" s="63" t="s">
        <v>514</v>
      </c>
      <c r="H1782" s="64" t="s">
        <v>509</v>
      </c>
      <c r="I1782" s="62" t="s">
        <v>138</v>
      </c>
      <c r="J1782" s="64" t="s">
        <v>509</v>
      </c>
      <c r="K1782" s="62" t="s">
        <v>138</v>
      </c>
      <c r="L1782" s="68" t="b">
        <f aca="false">TRUE()</f>
        <v>1</v>
      </c>
    </row>
    <row r="1783" customFormat="false" ht="15" hidden="false" customHeight="false" outlineLevel="0" collapsed="false">
      <c r="A1783" s="62" t="n">
        <v>0</v>
      </c>
      <c r="B1783" s="21" t="s">
        <v>336</v>
      </c>
      <c r="C1783" s="62" t="s">
        <v>60</v>
      </c>
      <c r="D1783" s="62" t="s">
        <v>385</v>
      </c>
      <c r="E1783" s="62" t="s">
        <v>382</v>
      </c>
      <c r="F1783" s="62" t="s">
        <v>382</v>
      </c>
      <c r="G1783" s="63" t="s">
        <v>514</v>
      </c>
      <c r="H1783" s="64" t="s">
        <v>509</v>
      </c>
      <c r="I1783" s="62" t="s">
        <v>138</v>
      </c>
      <c r="J1783" s="64" t="s">
        <v>509</v>
      </c>
      <c r="K1783" s="62" t="s">
        <v>138</v>
      </c>
      <c r="L1783" s="68" t="b">
        <f aca="false">TRUE()</f>
        <v>1</v>
      </c>
    </row>
    <row r="1784" customFormat="false" ht="15" hidden="false" customHeight="false" outlineLevel="0" collapsed="false">
      <c r="A1784" s="62" t="n">
        <v>0</v>
      </c>
      <c r="B1784" s="21" t="s">
        <v>336</v>
      </c>
      <c r="C1784" s="62" t="s">
        <v>60</v>
      </c>
      <c r="D1784" s="62" t="s">
        <v>386</v>
      </c>
      <c r="E1784" s="62" t="s">
        <v>382</v>
      </c>
      <c r="F1784" s="62" t="s">
        <v>382</v>
      </c>
      <c r="G1784" s="63" t="s">
        <v>514</v>
      </c>
      <c r="H1784" s="64" t="s">
        <v>509</v>
      </c>
      <c r="I1784" s="62" t="s">
        <v>138</v>
      </c>
      <c r="J1784" s="64" t="s">
        <v>509</v>
      </c>
      <c r="K1784" s="62" t="s">
        <v>138</v>
      </c>
      <c r="L1784" s="68" t="b">
        <f aca="false">TRUE()</f>
        <v>1</v>
      </c>
    </row>
    <row r="1785" customFormat="false" ht="15" hidden="false" customHeight="false" outlineLevel="0" collapsed="false">
      <c r="A1785" s="62" t="n">
        <v>0</v>
      </c>
      <c r="B1785" s="21" t="s">
        <v>336</v>
      </c>
      <c r="C1785" s="62" t="s">
        <v>60</v>
      </c>
      <c r="D1785" s="62" t="s">
        <v>387</v>
      </c>
      <c r="E1785" s="62" t="s">
        <v>382</v>
      </c>
      <c r="F1785" s="62" t="s">
        <v>382</v>
      </c>
      <c r="G1785" s="63" t="s">
        <v>514</v>
      </c>
      <c r="H1785" s="64" t="s">
        <v>509</v>
      </c>
      <c r="I1785" s="62" t="s">
        <v>138</v>
      </c>
      <c r="J1785" s="64" t="s">
        <v>509</v>
      </c>
      <c r="K1785" s="62" t="s">
        <v>138</v>
      </c>
      <c r="L1785" s="68" t="b">
        <f aca="false">TRUE()</f>
        <v>1</v>
      </c>
    </row>
    <row r="1786" customFormat="false" ht="15" hidden="false" customHeight="false" outlineLevel="0" collapsed="false">
      <c r="A1786" s="62" t="n">
        <v>0</v>
      </c>
      <c r="B1786" s="21" t="s">
        <v>336</v>
      </c>
      <c r="C1786" s="62" t="s">
        <v>60</v>
      </c>
      <c r="D1786" s="62" t="s">
        <v>388</v>
      </c>
      <c r="E1786" s="62" t="s">
        <v>382</v>
      </c>
      <c r="F1786" s="62" t="s">
        <v>382</v>
      </c>
      <c r="G1786" s="63" t="s">
        <v>514</v>
      </c>
      <c r="H1786" s="64" t="s">
        <v>509</v>
      </c>
      <c r="I1786" s="62" t="s">
        <v>138</v>
      </c>
      <c r="J1786" s="64" t="s">
        <v>509</v>
      </c>
      <c r="K1786" s="62" t="s">
        <v>138</v>
      </c>
      <c r="L1786" s="68" t="b">
        <f aca="false">TRUE()</f>
        <v>1</v>
      </c>
    </row>
    <row r="1787" customFormat="false" ht="15" hidden="false" customHeight="false" outlineLevel="0" collapsed="false">
      <c r="A1787" s="62" t="n">
        <v>0</v>
      </c>
      <c r="B1787" s="21" t="s">
        <v>336</v>
      </c>
      <c r="C1787" s="62" t="s">
        <v>60</v>
      </c>
      <c r="D1787" s="62" t="s">
        <v>381</v>
      </c>
      <c r="E1787" s="62" t="s">
        <v>382</v>
      </c>
      <c r="F1787" s="62" t="s">
        <v>382</v>
      </c>
      <c r="G1787" s="63" t="s">
        <v>515</v>
      </c>
      <c r="H1787" s="64" t="s">
        <v>509</v>
      </c>
      <c r="I1787" s="62" t="s">
        <v>138</v>
      </c>
      <c r="J1787" s="64" t="s">
        <v>509</v>
      </c>
      <c r="K1787" s="62" t="s">
        <v>138</v>
      </c>
      <c r="L1787" s="68" t="b">
        <f aca="false">TRUE()</f>
        <v>1</v>
      </c>
    </row>
    <row r="1788" customFormat="false" ht="15" hidden="false" customHeight="false" outlineLevel="0" collapsed="false">
      <c r="A1788" s="62" t="n">
        <v>0</v>
      </c>
      <c r="B1788" s="21" t="s">
        <v>336</v>
      </c>
      <c r="C1788" s="62" t="s">
        <v>60</v>
      </c>
      <c r="D1788" s="62" t="s">
        <v>383</v>
      </c>
      <c r="E1788" s="62" t="s">
        <v>382</v>
      </c>
      <c r="F1788" s="62" t="s">
        <v>382</v>
      </c>
      <c r="G1788" s="63" t="s">
        <v>515</v>
      </c>
      <c r="H1788" s="64" t="s">
        <v>509</v>
      </c>
      <c r="I1788" s="62" t="s">
        <v>138</v>
      </c>
      <c r="J1788" s="64" t="s">
        <v>509</v>
      </c>
      <c r="K1788" s="62" t="s">
        <v>138</v>
      </c>
      <c r="L1788" s="68" t="b">
        <f aca="false">TRUE()</f>
        <v>1</v>
      </c>
    </row>
    <row r="1789" customFormat="false" ht="15" hidden="false" customHeight="false" outlineLevel="0" collapsed="false">
      <c r="A1789" s="62" t="n">
        <v>0</v>
      </c>
      <c r="B1789" s="21" t="s">
        <v>336</v>
      </c>
      <c r="C1789" s="62" t="s">
        <v>60</v>
      </c>
      <c r="D1789" s="62" t="s">
        <v>384</v>
      </c>
      <c r="E1789" s="62" t="s">
        <v>382</v>
      </c>
      <c r="F1789" s="62" t="s">
        <v>382</v>
      </c>
      <c r="G1789" s="63" t="s">
        <v>515</v>
      </c>
      <c r="H1789" s="64" t="s">
        <v>509</v>
      </c>
      <c r="I1789" s="62" t="s">
        <v>138</v>
      </c>
      <c r="J1789" s="64" t="s">
        <v>509</v>
      </c>
      <c r="K1789" s="62" t="s">
        <v>138</v>
      </c>
      <c r="L1789" s="68" t="b">
        <f aca="false">TRUE()</f>
        <v>1</v>
      </c>
    </row>
    <row r="1790" customFormat="false" ht="15" hidden="false" customHeight="false" outlineLevel="0" collapsed="false">
      <c r="A1790" s="62" t="n">
        <v>0</v>
      </c>
      <c r="B1790" s="21" t="s">
        <v>336</v>
      </c>
      <c r="C1790" s="62" t="s">
        <v>60</v>
      </c>
      <c r="D1790" s="62" t="s">
        <v>385</v>
      </c>
      <c r="E1790" s="62" t="s">
        <v>382</v>
      </c>
      <c r="F1790" s="62" t="s">
        <v>382</v>
      </c>
      <c r="G1790" s="63" t="s">
        <v>515</v>
      </c>
      <c r="H1790" s="64" t="s">
        <v>509</v>
      </c>
      <c r="I1790" s="62" t="s">
        <v>138</v>
      </c>
      <c r="J1790" s="64" t="s">
        <v>509</v>
      </c>
      <c r="K1790" s="62" t="s">
        <v>138</v>
      </c>
      <c r="L1790" s="68" t="b">
        <f aca="false">TRUE()</f>
        <v>1</v>
      </c>
    </row>
    <row r="1791" customFormat="false" ht="15" hidden="false" customHeight="false" outlineLevel="0" collapsed="false">
      <c r="A1791" s="62" t="n">
        <v>0</v>
      </c>
      <c r="B1791" s="21" t="s">
        <v>336</v>
      </c>
      <c r="C1791" s="62" t="s">
        <v>60</v>
      </c>
      <c r="D1791" s="62" t="s">
        <v>386</v>
      </c>
      <c r="E1791" s="62" t="s">
        <v>382</v>
      </c>
      <c r="F1791" s="62" t="s">
        <v>382</v>
      </c>
      <c r="G1791" s="63" t="s">
        <v>515</v>
      </c>
      <c r="H1791" s="64" t="s">
        <v>509</v>
      </c>
      <c r="I1791" s="62" t="s">
        <v>138</v>
      </c>
      <c r="J1791" s="64" t="s">
        <v>509</v>
      </c>
      <c r="K1791" s="62" t="s">
        <v>138</v>
      </c>
      <c r="L1791" s="68" t="b">
        <f aca="false">TRUE()</f>
        <v>1</v>
      </c>
    </row>
    <row r="1792" customFormat="false" ht="15" hidden="false" customHeight="false" outlineLevel="0" collapsed="false">
      <c r="A1792" s="62" t="n">
        <v>0</v>
      </c>
      <c r="B1792" s="21" t="s">
        <v>336</v>
      </c>
      <c r="C1792" s="62" t="s">
        <v>60</v>
      </c>
      <c r="D1792" s="62" t="s">
        <v>387</v>
      </c>
      <c r="E1792" s="62" t="s">
        <v>382</v>
      </c>
      <c r="F1792" s="62" t="s">
        <v>382</v>
      </c>
      <c r="G1792" s="63" t="s">
        <v>515</v>
      </c>
      <c r="H1792" s="64" t="s">
        <v>509</v>
      </c>
      <c r="I1792" s="62" t="s">
        <v>138</v>
      </c>
      <c r="J1792" s="64" t="s">
        <v>509</v>
      </c>
      <c r="K1792" s="62" t="s">
        <v>138</v>
      </c>
      <c r="L1792" s="68" t="b">
        <f aca="false">TRUE()</f>
        <v>1</v>
      </c>
    </row>
    <row r="1793" customFormat="false" ht="15" hidden="false" customHeight="false" outlineLevel="0" collapsed="false">
      <c r="A1793" s="62" t="n">
        <v>0</v>
      </c>
      <c r="B1793" s="21" t="s">
        <v>336</v>
      </c>
      <c r="C1793" s="62" t="s">
        <v>60</v>
      </c>
      <c r="D1793" s="62" t="s">
        <v>388</v>
      </c>
      <c r="E1793" s="62" t="s">
        <v>382</v>
      </c>
      <c r="F1793" s="62" t="s">
        <v>382</v>
      </c>
      <c r="G1793" s="63" t="s">
        <v>515</v>
      </c>
      <c r="H1793" s="64" t="s">
        <v>509</v>
      </c>
      <c r="I1793" s="62" t="s">
        <v>138</v>
      </c>
      <c r="J1793" s="64" t="s">
        <v>509</v>
      </c>
      <c r="K1793" s="62" t="s">
        <v>138</v>
      </c>
      <c r="L1793" s="68" t="b">
        <f aca="false">TRUE()</f>
        <v>1</v>
      </c>
    </row>
    <row r="1794" customFormat="false" ht="15" hidden="false" customHeight="false" outlineLevel="0" collapsed="false">
      <c r="A1794" s="62" t="n">
        <v>0</v>
      </c>
      <c r="B1794" s="21" t="s">
        <v>336</v>
      </c>
      <c r="C1794" s="62" t="s">
        <v>60</v>
      </c>
      <c r="D1794" s="62" t="s">
        <v>381</v>
      </c>
      <c r="E1794" s="62" t="s">
        <v>382</v>
      </c>
      <c r="F1794" s="62" t="s">
        <v>382</v>
      </c>
      <c r="G1794" s="63" t="s">
        <v>516</v>
      </c>
      <c r="H1794" s="64" t="s">
        <v>509</v>
      </c>
      <c r="I1794" s="62" t="s">
        <v>138</v>
      </c>
      <c r="J1794" s="64" t="s">
        <v>509</v>
      </c>
      <c r="K1794" s="62" t="s">
        <v>138</v>
      </c>
      <c r="L1794" s="68" t="b">
        <f aca="false">TRUE()</f>
        <v>1</v>
      </c>
    </row>
    <row r="1795" customFormat="false" ht="15" hidden="false" customHeight="false" outlineLevel="0" collapsed="false">
      <c r="A1795" s="62" t="n">
        <v>0</v>
      </c>
      <c r="B1795" s="21" t="s">
        <v>336</v>
      </c>
      <c r="C1795" s="62" t="s">
        <v>60</v>
      </c>
      <c r="D1795" s="62" t="s">
        <v>383</v>
      </c>
      <c r="E1795" s="62" t="s">
        <v>382</v>
      </c>
      <c r="F1795" s="62" t="s">
        <v>382</v>
      </c>
      <c r="G1795" s="63" t="s">
        <v>516</v>
      </c>
      <c r="H1795" s="64" t="s">
        <v>509</v>
      </c>
      <c r="I1795" s="62" t="s">
        <v>138</v>
      </c>
      <c r="J1795" s="64" t="s">
        <v>509</v>
      </c>
      <c r="K1795" s="62" t="s">
        <v>138</v>
      </c>
      <c r="L1795" s="68" t="b">
        <f aca="false">TRUE()</f>
        <v>1</v>
      </c>
    </row>
    <row r="1796" customFormat="false" ht="15" hidden="false" customHeight="false" outlineLevel="0" collapsed="false">
      <c r="A1796" s="62" t="n">
        <v>0</v>
      </c>
      <c r="B1796" s="21" t="s">
        <v>336</v>
      </c>
      <c r="C1796" s="62" t="s">
        <v>60</v>
      </c>
      <c r="D1796" s="62" t="s">
        <v>384</v>
      </c>
      <c r="E1796" s="62" t="s">
        <v>382</v>
      </c>
      <c r="F1796" s="62" t="s">
        <v>382</v>
      </c>
      <c r="G1796" s="63" t="s">
        <v>516</v>
      </c>
      <c r="H1796" s="64" t="s">
        <v>509</v>
      </c>
      <c r="I1796" s="62" t="s">
        <v>138</v>
      </c>
      <c r="J1796" s="64" t="s">
        <v>509</v>
      </c>
      <c r="K1796" s="62" t="s">
        <v>138</v>
      </c>
      <c r="L1796" s="68" t="b">
        <f aca="false">TRUE()</f>
        <v>1</v>
      </c>
    </row>
    <row r="1797" customFormat="false" ht="15" hidden="false" customHeight="false" outlineLevel="0" collapsed="false">
      <c r="A1797" s="62" t="n">
        <v>0</v>
      </c>
      <c r="B1797" s="21" t="s">
        <v>336</v>
      </c>
      <c r="C1797" s="62" t="s">
        <v>60</v>
      </c>
      <c r="D1797" s="62" t="s">
        <v>385</v>
      </c>
      <c r="E1797" s="62" t="s">
        <v>382</v>
      </c>
      <c r="F1797" s="62" t="s">
        <v>382</v>
      </c>
      <c r="G1797" s="63" t="s">
        <v>516</v>
      </c>
      <c r="H1797" s="64" t="s">
        <v>509</v>
      </c>
      <c r="I1797" s="62" t="s">
        <v>138</v>
      </c>
      <c r="J1797" s="64" t="s">
        <v>509</v>
      </c>
      <c r="K1797" s="62" t="s">
        <v>138</v>
      </c>
      <c r="L1797" s="68" t="b">
        <f aca="false">TRUE()</f>
        <v>1</v>
      </c>
    </row>
    <row r="1798" customFormat="false" ht="15" hidden="false" customHeight="false" outlineLevel="0" collapsed="false">
      <c r="A1798" s="62" t="n">
        <v>0</v>
      </c>
      <c r="B1798" s="21" t="s">
        <v>336</v>
      </c>
      <c r="C1798" s="62" t="s">
        <v>60</v>
      </c>
      <c r="D1798" s="62" t="s">
        <v>386</v>
      </c>
      <c r="E1798" s="62" t="s">
        <v>382</v>
      </c>
      <c r="F1798" s="62" t="s">
        <v>382</v>
      </c>
      <c r="G1798" s="63" t="s">
        <v>516</v>
      </c>
      <c r="H1798" s="64" t="s">
        <v>509</v>
      </c>
      <c r="I1798" s="62" t="s">
        <v>138</v>
      </c>
      <c r="J1798" s="64" t="s">
        <v>509</v>
      </c>
      <c r="K1798" s="62" t="s">
        <v>138</v>
      </c>
      <c r="L1798" s="68" t="b">
        <f aca="false">TRUE()</f>
        <v>1</v>
      </c>
    </row>
    <row r="1799" customFormat="false" ht="15" hidden="false" customHeight="false" outlineLevel="0" collapsed="false">
      <c r="A1799" s="62" t="n">
        <v>0</v>
      </c>
      <c r="B1799" s="21" t="s">
        <v>336</v>
      </c>
      <c r="C1799" s="62" t="s">
        <v>60</v>
      </c>
      <c r="D1799" s="62" t="s">
        <v>387</v>
      </c>
      <c r="E1799" s="62" t="s">
        <v>382</v>
      </c>
      <c r="F1799" s="62" t="s">
        <v>382</v>
      </c>
      <c r="G1799" s="63" t="s">
        <v>516</v>
      </c>
      <c r="H1799" s="64" t="s">
        <v>509</v>
      </c>
      <c r="I1799" s="62" t="s">
        <v>138</v>
      </c>
      <c r="J1799" s="64" t="s">
        <v>509</v>
      </c>
      <c r="K1799" s="62" t="s">
        <v>138</v>
      </c>
      <c r="L1799" s="68" t="b">
        <f aca="false">TRUE()</f>
        <v>1</v>
      </c>
    </row>
    <row r="1800" customFormat="false" ht="15" hidden="false" customHeight="false" outlineLevel="0" collapsed="false">
      <c r="A1800" s="62" t="n">
        <v>0</v>
      </c>
      <c r="B1800" s="21" t="s">
        <v>336</v>
      </c>
      <c r="C1800" s="62" t="s">
        <v>60</v>
      </c>
      <c r="D1800" s="62" t="s">
        <v>388</v>
      </c>
      <c r="E1800" s="62" t="s">
        <v>382</v>
      </c>
      <c r="F1800" s="62" t="s">
        <v>382</v>
      </c>
      <c r="G1800" s="63" t="s">
        <v>516</v>
      </c>
      <c r="H1800" s="64" t="s">
        <v>509</v>
      </c>
      <c r="I1800" s="62" t="s">
        <v>138</v>
      </c>
      <c r="J1800" s="64" t="s">
        <v>509</v>
      </c>
      <c r="K1800" s="62" t="s">
        <v>138</v>
      </c>
      <c r="L1800" s="68" t="b">
        <f aca="false">TRUE()</f>
        <v>1</v>
      </c>
    </row>
    <row r="1801" customFormat="false" ht="15" hidden="false" customHeight="false" outlineLevel="0" collapsed="false">
      <c r="A1801" s="62" t="n">
        <v>0</v>
      </c>
      <c r="B1801" s="21" t="s">
        <v>336</v>
      </c>
      <c r="C1801" s="62" t="s">
        <v>60</v>
      </c>
      <c r="D1801" s="62" t="s">
        <v>381</v>
      </c>
      <c r="E1801" s="62" t="s">
        <v>382</v>
      </c>
      <c r="F1801" s="62" t="s">
        <v>382</v>
      </c>
      <c r="G1801" s="63" t="s">
        <v>517</v>
      </c>
      <c r="H1801" s="64" t="s">
        <v>509</v>
      </c>
      <c r="I1801" s="62" t="s">
        <v>138</v>
      </c>
      <c r="J1801" s="64" t="s">
        <v>509</v>
      </c>
      <c r="K1801" s="62" t="s">
        <v>138</v>
      </c>
      <c r="L1801" s="68" t="b">
        <f aca="false">TRUE()</f>
        <v>1</v>
      </c>
    </row>
    <row r="1802" customFormat="false" ht="15" hidden="false" customHeight="false" outlineLevel="0" collapsed="false">
      <c r="A1802" s="62" t="n">
        <v>0</v>
      </c>
      <c r="B1802" s="21" t="s">
        <v>336</v>
      </c>
      <c r="C1802" s="62" t="s">
        <v>60</v>
      </c>
      <c r="D1802" s="62" t="s">
        <v>383</v>
      </c>
      <c r="E1802" s="62" t="s">
        <v>382</v>
      </c>
      <c r="F1802" s="62" t="s">
        <v>382</v>
      </c>
      <c r="G1802" s="63" t="s">
        <v>517</v>
      </c>
      <c r="H1802" s="64" t="s">
        <v>509</v>
      </c>
      <c r="I1802" s="62" t="s">
        <v>138</v>
      </c>
      <c r="J1802" s="64" t="s">
        <v>509</v>
      </c>
      <c r="K1802" s="62" t="s">
        <v>138</v>
      </c>
      <c r="L1802" s="68" t="b">
        <f aca="false">TRUE()</f>
        <v>1</v>
      </c>
    </row>
    <row r="1803" customFormat="false" ht="15" hidden="false" customHeight="false" outlineLevel="0" collapsed="false">
      <c r="A1803" s="62" t="n">
        <v>0</v>
      </c>
      <c r="B1803" s="21" t="s">
        <v>336</v>
      </c>
      <c r="C1803" s="62" t="s">
        <v>60</v>
      </c>
      <c r="D1803" s="62" t="s">
        <v>384</v>
      </c>
      <c r="E1803" s="62" t="s">
        <v>382</v>
      </c>
      <c r="F1803" s="62" t="s">
        <v>382</v>
      </c>
      <c r="G1803" s="63" t="s">
        <v>517</v>
      </c>
      <c r="H1803" s="64" t="s">
        <v>509</v>
      </c>
      <c r="I1803" s="62" t="s">
        <v>138</v>
      </c>
      <c r="J1803" s="64" t="s">
        <v>509</v>
      </c>
      <c r="K1803" s="62" t="s">
        <v>138</v>
      </c>
      <c r="L1803" s="68" t="b">
        <f aca="false">TRUE()</f>
        <v>1</v>
      </c>
    </row>
    <row r="1804" customFormat="false" ht="15" hidden="false" customHeight="false" outlineLevel="0" collapsed="false">
      <c r="A1804" s="62" t="n">
        <v>0</v>
      </c>
      <c r="B1804" s="21" t="s">
        <v>336</v>
      </c>
      <c r="C1804" s="62" t="s">
        <v>60</v>
      </c>
      <c r="D1804" s="62" t="s">
        <v>385</v>
      </c>
      <c r="E1804" s="62" t="s">
        <v>382</v>
      </c>
      <c r="F1804" s="62" t="s">
        <v>382</v>
      </c>
      <c r="G1804" s="63" t="s">
        <v>517</v>
      </c>
      <c r="H1804" s="64" t="s">
        <v>509</v>
      </c>
      <c r="I1804" s="62" t="s">
        <v>138</v>
      </c>
      <c r="J1804" s="64" t="s">
        <v>509</v>
      </c>
      <c r="K1804" s="62" t="s">
        <v>138</v>
      </c>
      <c r="L1804" s="68" t="b">
        <f aca="false">TRUE()</f>
        <v>1</v>
      </c>
    </row>
    <row r="1805" customFormat="false" ht="15" hidden="false" customHeight="false" outlineLevel="0" collapsed="false">
      <c r="A1805" s="62" t="n">
        <v>0</v>
      </c>
      <c r="B1805" s="21" t="s">
        <v>336</v>
      </c>
      <c r="C1805" s="62" t="s">
        <v>60</v>
      </c>
      <c r="D1805" s="62" t="s">
        <v>386</v>
      </c>
      <c r="E1805" s="62" t="s">
        <v>382</v>
      </c>
      <c r="F1805" s="62" t="s">
        <v>382</v>
      </c>
      <c r="G1805" s="63" t="s">
        <v>517</v>
      </c>
      <c r="H1805" s="64" t="s">
        <v>509</v>
      </c>
      <c r="I1805" s="62" t="s">
        <v>138</v>
      </c>
      <c r="J1805" s="64" t="s">
        <v>509</v>
      </c>
      <c r="K1805" s="62" t="s">
        <v>138</v>
      </c>
      <c r="L1805" s="68" t="b">
        <f aca="false">TRUE()</f>
        <v>1</v>
      </c>
    </row>
    <row r="1806" customFormat="false" ht="15" hidden="false" customHeight="false" outlineLevel="0" collapsed="false">
      <c r="A1806" s="62" t="n">
        <v>0</v>
      </c>
      <c r="B1806" s="21" t="s">
        <v>336</v>
      </c>
      <c r="C1806" s="62" t="s">
        <v>60</v>
      </c>
      <c r="D1806" s="62" t="s">
        <v>387</v>
      </c>
      <c r="E1806" s="62" t="s">
        <v>382</v>
      </c>
      <c r="F1806" s="62" t="s">
        <v>382</v>
      </c>
      <c r="G1806" s="63" t="s">
        <v>517</v>
      </c>
      <c r="H1806" s="64" t="s">
        <v>509</v>
      </c>
      <c r="I1806" s="62" t="s">
        <v>138</v>
      </c>
      <c r="J1806" s="64" t="s">
        <v>509</v>
      </c>
      <c r="K1806" s="62" t="s">
        <v>138</v>
      </c>
      <c r="L1806" s="68" t="b">
        <f aca="false">TRUE()</f>
        <v>1</v>
      </c>
    </row>
    <row r="1807" customFormat="false" ht="15" hidden="false" customHeight="false" outlineLevel="0" collapsed="false">
      <c r="A1807" s="62" t="n">
        <v>0</v>
      </c>
      <c r="B1807" s="21" t="s">
        <v>336</v>
      </c>
      <c r="C1807" s="62" t="s">
        <v>60</v>
      </c>
      <c r="D1807" s="62" t="s">
        <v>388</v>
      </c>
      <c r="E1807" s="62" t="s">
        <v>382</v>
      </c>
      <c r="F1807" s="62" t="s">
        <v>382</v>
      </c>
      <c r="G1807" s="63" t="s">
        <v>517</v>
      </c>
      <c r="H1807" s="64" t="s">
        <v>509</v>
      </c>
      <c r="I1807" s="62" t="s">
        <v>138</v>
      </c>
      <c r="J1807" s="64" t="s">
        <v>509</v>
      </c>
      <c r="K1807" s="62" t="s">
        <v>138</v>
      </c>
      <c r="L1807" s="68" t="b">
        <f aca="false">TRUE()</f>
        <v>1</v>
      </c>
    </row>
    <row r="1808" customFormat="false" ht="15" hidden="false" customHeight="false" outlineLevel="0" collapsed="false">
      <c r="A1808" s="62" t="n">
        <v>0</v>
      </c>
      <c r="B1808" s="21" t="s">
        <v>336</v>
      </c>
      <c r="C1808" s="62" t="s">
        <v>60</v>
      </c>
      <c r="D1808" s="62" t="s">
        <v>381</v>
      </c>
      <c r="E1808" s="62" t="s">
        <v>382</v>
      </c>
      <c r="F1808" s="62" t="s">
        <v>382</v>
      </c>
      <c r="G1808" s="63" t="s">
        <v>518</v>
      </c>
      <c r="H1808" s="64" t="s">
        <v>509</v>
      </c>
      <c r="I1808" s="62" t="s">
        <v>138</v>
      </c>
      <c r="J1808" s="64" t="s">
        <v>509</v>
      </c>
      <c r="K1808" s="62" t="s">
        <v>138</v>
      </c>
      <c r="L1808" s="68" t="b">
        <f aca="false">TRUE()</f>
        <v>1</v>
      </c>
    </row>
    <row r="1809" customFormat="false" ht="15" hidden="false" customHeight="false" outlineLevel="0" collapsed="false">
      <c r="A1809" s="62" t="n">
        <v>0</v>
      </c>
      <c r="B1809" s="21" t="s">
        <v>336</v>
      </c>
      <c r="C1809" s="62" t="s">
        <v>60</v>
      </c>
      <c r="D1809" s="62" t="s">
        <v>383</v>
      </c>
      <c r="E1809" s="62" t="s">
        <v>382</v>
      </c>
      <c r="F1809" s="62" t="s">
        <v>382</v>
      </c>
      <c r="G1809" s="63" t="s">
        <v>518</v>
      </c>
      <c r="H1809" s="64" t="s">
        <v>509</v>
      </c>
      <c r="I1809" s="62" t="s">
        <v>138</v>
      </c>
      <c r="J1809" s="64" t="s">
        <v>509</v>
      </c>
      <c r="K1809" s="62" t="s">
        <v>138</v>
      </c>
      <c r="L1809" s="68" t="b">
        <f aca="false">TRUE()</f>
        <v>1</v>
      </c>
    </row>
    <row r="1810" customFormat="false" ht="15" hidden="false" customHeight="false" outlineLevel="0" collapsed="false">
      <c r="A1810" s="62" t="n">
        <v>0</v>
      </c>
      <c r="B1810" s="21" t="s">
        <v>336</v>
      </c>
      <c r="C1810" s="62" t="s">
        <v>60</v>
      </c>
      <c r="D1810" s="62" t="s">
        <v>384</v>
      </c>
      <c r="E1810" s="62" t="s">
        <v>382</v>
      </c>
      <c r="F1810" s="62" t="s">
        <v>382</v>
      </c>
      <c r="G1810" s="63" t="s">
        <v>518</v>
      </c>
      <c r="H1810" s="64" t="s">
        <v>509</v>
      </c>
      <c r="I1810" s="62" t="s">
        <v>138</v>
      </c>
      <c r="J1810" s="64" t="s">
        <v>509</v>
      </c>
      <c r="K1810" s="62" t="s">
        <v>138</v>
      </c>
      <c r="L1810" s="68" t="b">
        <f aca="false">TRUE()</f>
        <v>1</v>
      </c>
    </row>
    <row r="1811" customFormat="false" ht="15" hidden="false" customHeight="false" outlineLevel="0" collapsed="false">
      <c r="A1811" s="62" t="n">
        <v>0</v>
      </c>
      <c r="B1811" s="21" t="s">
        <v>336</v>
      </c>
      <c r="C1811" s="62" t="s">
        <v>60</v>
      </c>
      <c r="D1811" s="62" t="s">
        <v>385</v>
      </c>
      <c r="E1811" s="62" t="s">
        <v>382</v>
      </c>
      <c r="F1811" s="62" t="s">
        <v>382</v>
      </c>
      <c r="G1811" s="63" t="s">
        <v>518</v>
      </c>
      <c r="H1811" s="64" t="s">
        <v>509</v>
      </c>
      <c r="I1811" s="62" t="s">
        <v>138</v>
      </c>
      <c r="J1811" s="64" t="s">
        <v>509</v>
      </c>
      <c r="K1811" s="62" t="s">
        <v>138</v>
      </c>
      <c r="L1811" s="68" t="b">
        <f aca="false">TRUE()</f>
        <v>1</v>
      </c>
    </row>
    <row r="1812" customFormat="false" ht="15" hidden="false" customHeight="false" outlineLevel="0" collapsed="false">
      <c r="A1812" s="62" t="n">
        <v>0</v>
      </c>
      <c r="B1812" s="21" t="s">
        <v>336</v>
      </c>
      <c r="C1812" s="62" t="s">
        <v>60</v>
      </c>
      <c r="D1812" s="62" t="s">
        <v>386</v>
      </c>
      <c r="E1812" s="62" t="s">
        <v>382</v>
      </c>
      <c r="F1812" s="62" t="s">
        <v>382</v>
      </c>
      <c r="G1812" s="63" t="s">
        <v>518</v>
      </c>
      <c r="H1812" s="64" t="s">
        <v>509</v>
      </c>
      <c r="I1812" s="62" t="s">
        <v>138</v>
      </c>
      <c r="J1812" s="64" t="s">
        <v>509</v>
      </c>
      <c r="K1812" s="62" t="s">
        <v>138</v>
      </c>
      <c r="L1812" s="68" t="b">
        <f aca="false">TRUE()</f>
        <v>1</v>
      </c>
    </row>
    <row r="1813" customFormat="false" ht="15" hidden="false" customHeight="false" outlineLevel="0" collapsed="false">
      <c r="A1813" s="62" t="n">
        <v>0</v>
      </c>
      <c r="B1813" s="21" t="s">
        <v>336</v>
      </c>
      <c r="C1813" s="62" t="s">
        <v>60</v>
      </c>
      <c r="D1813" s="62" t="s">
        <v>387</v>
      </c>
      <c r="E1813" s="62" t="s">
        <v>382</v>
      </c>
      <c r="F1813" s="62" t="s">
        <v>382</v>
      </c>
      <c r="G1813" s="63" t="s">
        <v>518</v>
      </c>
      <c r="H1813" s="64" t="s">
        <v>509</v>
      </c>
      <c r="I1813" s="62" t="s">
        <v>138</v>
      </c>
      <c r="J1813" s="64" t="s">
        <v>509</v>
      </c>
      <c r="K1813" s="62" t="s">
        <v>138</v>
      </c>
      <c r="L1813" s="68" t="b">
        <f aca="false">TRUE()</f>
        <v>1</v>
      </c>
    </row>
    <row r="1814" customFormat="false" ht="15" hidden="false" customHeight="false" outlineLevel="0" collapsed="false">
      <c r="A1814" s="62" t="n">
        <v>0</v>
      </c>
      <c r="B1814" s="21" t="s">
        <v>336</v>
      </c>
      <c r="C1814" s="62" t="s">
        <v>60</v>
      </c>
      <c r="D1814" s="62" t="s">
        <v>388</v>
      </c>
      <c r="E1814" s="62" t="s">
        <v>382</v>
      </c>
      <c r="F1814" s="62" t="s">
        <v>382</v>
      </c>
      <c r="G1814" s="63" t="s">
        <v>518</v>
      </c>
      <c r="H1814" s="64" t="s">
        <v>509</v>
      </c>
      <c r="I1814" s="62" t="s">
        <v>138</v>
      </c>
      <c r="J1814" s="64" t="s">
        <v>509</v>
      </c>
      <c r="K1814" s="62" t="s">
        <v>138</v>
      </c>
      <c r="L1814" s="68" t="b">
        <f aca="false">TRUE()</f>
        <v>1</v>
      </c>
    </row>
    <row r="1815" customFormat="false" ht="15" hidden="false" customHeight="false" outlineLevel="0" collapsed="false">
      <c r="A1815" s="62" t="n">
        <v>0</v>
      </c>
      <c r="B1815" s="21" t="s">
        <v>336</v>
      </c>
      <c r="C1815" s="62" t="s">
        <v>60</v>
      </c>
      <c r="D1815" s="62" t="s">
        <v>381</v>
      </c>
      <c r="E1815" s="62" t="s">
        <v>382</v>
      </c>
      <c r="F1815" s="62" t="s">
        <v>382</v>
      </c>
      <c r="G1815" s="63" t="s">
        <v>519</v>
      </c>
      <c r="H1815" s="64" t="s">
        <v>509</v>
      </c>
      <c r="I1815" s="62" t="s">
        <v>138</v>
      </c>
      <c r="J1815" s="64" t="s">
        <v>509</v>
      </c>
      <c r="K1815" s="62" t="s">
        <v>138</v>
      </c>
      <c r="L1815" s="68" t="b">
        <f aca="false">TRUE()</f>
        <v>1</v>
      </c>
    </row>
    <row r="1816" customFormat="false" ht="15" hidden="false" customHeight="false" outlineLevel="0" collapsed="false">
      <c r="A1816" s="62" t="n">
        <v>0</v>
      </c>
      <c r="B1816" s="21" t="s">
        <v>336</v>
      </c>
      <c r="C1816" s="62" t="s">
        <v>60</v>
      </c>
      <c r="D1816" s="62" t="s">
        <v>383</v>
      </c>
      <c r="E1816" s="62" t="s">
        <v>382</v>
      </c>
      <c r="F1816" s="62" t="s">
        <v>382</v>
      </c>
      <c r="G1816" s="63" t="s">
        <v>519</v>
      </c>
      <c r="H1816" s="64" t="s">
        <v>509</v>
      </c>
      <c r="I1816" s="62" t="s">
        <v>138</v>
      </c>
      <c r="J1816" s="64" t="s">
        <v>509</v>
      </c>
      <c r="K1816" s="62" t="s">
        <v>138</v>
      </c>
      <c r="L1816" s="68" t="b">
        <f aca="false">TRUE()</f>
        <v>1</v>
      </c>
    </row>
    <row r="1817" customFormat="false" ht="15" hidden="false" customHeight="false" outlineLevel="0" collapsed="false">
      <c r="A1817" s="62" t="n">
        <v>0</v>
      </c>
      <c r="B1817" s="21" t="s">
        <v>336</v>
      </c>
      <c r="C1817" s="62" t="s">
        <v>60</v>
      </c>
      <c r="D1817" s="62" t="s">
        <v>384</v>
      </c>
      <c r="E1817" s="62" t="s">
        <v>382</v>
      </c>
      <c r="F1817" s="62" t="s">
        <v>382</v>
      </c>
      <c r="G1817" s="63" t="s">
        <v>519</v>
      </c>
      <c r="H1817" s="64" t="s">
        <v>509</v>
      </c>
      <c r="I1817" s="62" t="s">
        <v>138</v>
      </c>
      <c r="J1817" s="64" t="s">
        <v>509</v>
      </c>
      <c r="K1817" s="62" t="s">
        <v>138</v>
      </c>
      <c r="L1817" s="68" t="b">
        <f aca="false">TRUE()</f>
        <v>1</v>
      </c>
    </row>
    <row r="1818" customFormat="false" ht="15" hidden="false" customHeight="false" outlineLevel="0" collapsed="false">
      <c r="A1818" s="62" t="n">
        <v>0</v>
      </c>
      <c r="B1818" s="21" t="s">
        <v>336</v>
      </c>
      <c r="C1818" s="62" t="s">
        <v>60</v>
      </c>
      <c r="D1818" s="62" t="s">
        <v>385</v>
      </c>
      <c r="E1818" s="62" t="s">
        <v>382</v>
      </c>
      <c r="F1818" s="62" t="s">
        <v>382</v>
      </c>
      <c r="G1818" s="63" t="s">
        <v>519</v>
      </c>
      <c r="H1818" s="64" t="s">
        <v>509</v>
      </c>
      <c r="I1818" s="62" t="s">
        <v>138</v>
      </c>
      <c r="J1818" s="64" t="s">
        <v>509</v>
      </c>
      <c r="K1818" s="62" t="s">
        <v>138</v>
      </c>
      <c r="L1818" s="68" t="b">
        <f aca="false">TRUE()</f>
        <v>1</v>
      </c>
    </row>
    <row r="1819" customFormat="false" ht="15" hidden="false" customHeight="false" outlineLevel="0" collapsed="false">
      <c r="A1819" s="62" t="n">
        <v>0</v>
      </c>
      <c r="B1819" s="21" t="s">
        <v>336</v>
      </c>
      <c r="C1819" s="62" t="s">
        <v>60</v>
      </c>
      <c r="D1819" s="62" t="s">
        <v>386</v>
      </c>
      <c r="E1819" s="62" t="s">
        <v>382</v>
      </c>
      <c r="F1819" s="62" t="s">
        <v>382</v>
      </c>
      <c r="G1819" s="63" t="s">
        <v>519</v>
      </c>
      <c r="H1819" s="64" t="s">
        <v>509</v>
      </c>
      <c r="I1819" s="62" t="s">
        <v>138</v>
      </c>
      <c r="J1819" s="64" t="s">
        <v>509</v>
      </c>
      <c r="K1819" s="62" t="s">
        <v>138</v>
      </c>
      <c r="L1819" s="68" t="b">
        <f aca="false">TRUE()</f>
        <v>1</v>
      </c>
    </row>
    <row r="1820" customFormat="false" ht="15" hidden="false" customHeight="false" outlineLevel="0" collapsed="false">
      <c r="A1820" s="62" t="n">
        <v>0</v>
      </c>
      <c r="B1820" s="21" t="s">
        <v>336</v>
      </c>
      <c r="C1820" s="62" t="s">
        <v>60</v>
      </c>
      <c r="D1820" s="62" t="s">
        <v>387</v>
      </c>
      <c r="E1820" s="62" t="s">
        <v>382</v>
      </c>
      <c r="F1820" s="62" t="s">
        <v>382</v>
      </c>
      <c r="G1820" s="63" t="s">
        <v>519</v>
      </c>
      <c r="H1820" s="64" t="s">
        <v>509</v>
      </c>
      <c r="I1820" s="62" t="s">
        <v>138</v>
      </c>
      <c r="J1820" s="64" t="s">
        <v>509</v>
      </c>
      <c r="K1820" s="62" t="s">
        <v>138</v>
      </c>
      <c r="L1820" s="68" t="b">
        <f aca="false">TRUE()</f>
        <v>1</v>
      </c>
    </row>
    <row r="1821" customFormat="false" ht="15" hidden="false" customHeight="false" outlineLevel="0" collapsed="false">
      <c r="A1821" s="62" t="n">
        <v>0</v>
      </c>
      <c r="B1821" s="21" t="s">
        <v>336</v>
      </c>
      <c r="C1821" s="62" t="s">
        <v>60</v>
      </c>
      <c r="D1821" s="62" t="s">
        <v>388</v>
      </c>
      <c r="E1821" s="62" t="s">
        <v>382</v>
      </c>
      <c r="F1821" s="62" t="s">
        <v>382</v>
      </c>
      <c r="G1821" s="63" t="s">
        <v>519</v>
      </c>
      <c r="H1821" s="64" t="s">
        <v>509</v>
      </c>
      <c r="I1821" s="62" t="s">
        <v>138</v>
      </c>
      <c r="J1821" s="64" t="s">
        <v>509</v>
      </c>
      <c r="K1821" s="62" t="s">
        <v>138</v>
      </c>
      <c r="L1821" s="68" t="b">
        <f aca="false">TRUE()</f>
        <v>1</v>
      </c>
    </row>
    <row r="1822" customFormat="false" ht="15" hidden="false" customHeight="false" outlineLevel="0" collapsed="false">
      <c r="A1822" s="62" t="n">
        <v>0</v>
      </c>
      <c r="B1822" s="21" t="s">
        <v>336</v>
      </c>
      <c r="C1822" s="62" t="s">
        <v>60</v>
      </c>
      <c r="D1822" s="62" t="s">
        <v>381</v>
      </c>
      <c r="E1822" s="62" t="s">
        <v>382</v>
      </c>
      <c r="F1822" s="62" t="s">
        <v>382</v>
      </c>
      <c r="G1822" s="63" t="s">
        <v>520</v>
      </c>
      <c r="H1822" s="64" t="n">
        <v>3000</v>
      </c>
      <c r="I1822" s="62" t="s">
        <v>81</v>
      </c>
      <c r="J1822" s="64" t="n">
        <v>3</v>
      </c>
      <c r="K1822" s="62" t="s">
        <v>138</v>
      </c>
      <c r="L1822" s="68" t="b">
        <f aca="false">TRUE()</f>
        <v>1</v>
      </c>
    </row>
    <row r="1823" customFormat="false" ht="15" hidden="false" customHeight="false" outlineLevel="0" collapsed="false">
      <c r="A1823" s="62" t="n">
        <v>0</v>
      </c>
      <c r="B1823" s="21" t="s">
        <v>336</v>
      </c>
      <c r="C1823" s="62" t="s">
        <v>60</v>
      </c>
      <c r="D1823" s="62" t="s">
        <v>383</v>
      </c>
      <c r="E1823" s="62" t="s">
        <v>382</v>
      </c>
      <c r="F1823" s="62" t="s">
        <v>382</v>
      </c>
      <c r="G1823" s="63" t="s">
        <v>520</v>
      </c>
      <c r="H1823" s="64" t="n">
        <v>3000</v>
      </c>
      <c r="I1823" s="62" t="s">
        <v>81</v>
      </c>
      <c r="J1823" s="64" t="n">
        <v>3</v>
      </c>
      <c r="K1823" s="62" t="s">
        <v>138</v>
      </c>
      <c r="L1823" s="68" t="b">
        <f aca="false">TRUE()</f>
        <v>1</v>
      </c>
    </row>
    <row r="1824" customFormat="false" ht="15" hidden="false" customHeight="false" outlineLevel="0" collapsed="false">
      <c r="A1824" s="62" t="n">
        <v>0</v>
      </c>
      <c r="B1824" s="21" t="s">
        <v>336</v>
      </c>
      <c r="C1824" s="62" t="s">
        <v>60</v>
      </c>
      <c r="D1824" s="62" t="s">
        <v>384</v>
      </c>
      <c r="E1824" s="62" t="s">
        <v>382</v>
      </c>
      <c r="F1824" s="62" t="s">
        <v>382</v>
      </c>
      <c r="G1824" s="63" t="s">
        <v>520</v>
      </c>
      <c r="H1824" s="64" t="n">
        <v>3000</v>
      </c>
      <c r="I1824" s="62" t="s">
        <v>81</v>
      </c>
      <c r="J1824" s="64" t="n">
        <v>3</v>
      </c>
      <c r="K1824" s="62" t="s">
        <v>138</v>
      </c>
      <c r="L1824" s="68" t="b">
        <f aca="false">TRUE()</f>
        <v>1</v>
      </c>
    </row>
    <row r="1825" customFormat="false" ht="15" hidden="false" customHeight="false" outlineLevel="0" collapsed="false">
      <c r="A1825" s="62" t="n">
        <v>0</v>
      </c>
      <c r="B1825" s="21" t="s">
        <v>336</v>
      </c>
      <c r="C1825" s="62" t="s">
        <v>60</v>
      </c>
      <c r="D1825" s="62" t="s">
        <v>385</v>
      </c>
      <c r="E1825" s="62" t="s">
        <v>382</v>
      </c>
      <c r="F1825" s="62" t="s">
        <v>382</v>
      </c>
      <c r="G1825" s="63" t="s">
        <v>520</v>
      </c>
      <c r="H1825" s="64" t="n">
        <v>3000</v>
      </c>
      <c r="I1825" s="62" t="s">
        <v>81</v>
      </c>
      <c r="J1825" s="64" t="n">
        <v>3</v>
      </c>
      <c r="K1825" s="62" t="s">
        <v>138</v>
      </c>
      <c r="L1825" s="68" t="b">
        <f aca="false">TRUE()</f>
        <v>1</v>
      </c>
    </row>
    <row r="1826" customFormat="false" ht="15" hidden="false" customHeight="false" outlineLevel="0" collapsed="false">
      <c r="A1826" s="62" t="n">
        <v>0</v>
      </c>
      <c r="B1826" s="21" t="s">
        <v>336</v>
      </c>
      <c r="C1826" s="62" t="s">
        <v>60</v>
      </c>
      <c r="D1826" s="62" t="s">
        <v>386</v>
      </c>
      <c r="E1826" s="62" t="s">
        <v>382</v>
      </c>
      <c r="F1826" s="62" t="s">
        <v>382</v>
      </c>
      <c r="G1826" s="63" t="s">
        <v>520</v>
      </c>
      <c r="H1826" s="64" t="n">
        <v>3000</v>
      </c>
      <c r="I1826" s="62" t="s">
        <v>81</v>
      </c>
      <c r="J1826" s="64" t="n">
        <v>3</v>
      </c>
      <c r="K1826" s="62" t="s">
        <v>138</v>
      </c>
      <c r="L1826" s="68" t="b">
        <f aca="false">TRUE()</f>
        <v>1</v>
      </c>
    </row>
    <row r="1827" customFormat="false" ht="15" hidden="false" customHeight="false" outlineLevel="0" collapsed="false">
      <c r="A1827" s="62" t="n">
        <v>0</v>
      </c>
      <c r="B1827" s="21" t="s">
        <v>336</v>
      </c>
      <c r="C1827" s="62" t="s">
        <v>60</v>
      </c>
      <c r="D1827" s="62" t="s">
        <v>387</v>
      </c>
      <c r="E1827" s="62" t="s">
        <v>382</v>
      </c>
      <c r="F1827" s="62" t="s">
        <v>382</v>
      </c>
      <c r="G1827" s="63" t="s">
        <v>520</v>
      </c>
      <c r="H1827" s="64" t="n">
        <v>3000</v>
      </c>
      <c r="I1827" s="62" t="s">
        <v>81</v>
      </c>
      <c r="J1827" s="64" t="n">
        <v>3</v>
      </c>
      <c r="K1827" s="62" t="s">
        <v>138</v>
      </c>
      <c r="L1827" s="68" t="b">
        <f aca="false">TRUE()</f>
        <v>1</v>
      </c>
    </row>
    <row r="1828" customFormat="false" ht="15" hidden="false" customHeight="false" outlineLevel="0" collapsed="false">
      <c r="A1828" s="62" t="n">
        <v>0</v>
      </c>
      <c r="B1828" s="21" t="s">
        <v>336</v>
      </c>
      <c r="C1828" s="62" t="s">
        <v>60</v>
      </c>
      <c r="D1828" s="62" t="s">
        <v>388</v>
      </c>
      <c r="E1828" s="62" t="s">
        <v>382</v>
      </c>
      <c r="F1828" s="62" t="s">
        <v>382</v>
      </c>
      <c r="G1828" s="63" t="s">
        <v>520</v>
      </c>
      <c r="H1828" s="64" t="n">
        <v>3000</v>
      </c>
      <c r="I1828" s="62" t="s">
        <v>81</v>
      </c>
      <c r="J1828" s="64" t="n">
        <v>3</v>
      </c>
      <c r="K1828" s="62" t="s">
        <v>138</v>
      </c>
      <c r="L1828" s="68" t="b">
        <f aca="false">TRUE()</f>
        <v>1</v>
      </c>
    </row>
    <row r="1829" customFormat="false" ht="15" hidden="false" customHeight="false" outlineLevel="0" collapsed="false">
      <c r="A1829" s="62" t="n">
        <v>0</v>
      </c>
      <c r="B1829" s="21" t="s">
        <v>336</v>
      </c>
      <c r="C1829" s="62" t="s">
        <v>60</v>
      </c>
      <c r="D1829" s="62" t="s">
        <v>381</v>
      </c>
      <c r="E1829" s="62" t="s">
        <v>382</v>
      </c>
      <c r="F1829" s="62" t="s">
        <v>382</v>
      </c>
      <c r="G1829" s="63" t="s">
        <v>521</v>
      </c>
      <c r="H1829" s="64" t="n">
        <v>3000</v>
      </c>
      <c r="I1829" s="62" t="s">
        <v>81</v>
      </c>
      <c r="J1829" s="64" t="n">
        <v>3</v>
      </c>
      <c r="K1829" s="62" t="s">
        <v>138</v>
      </c>
      <c r="L1829" s="68" t="b">
        <f aca="false">TRUE()</f>
        <v>1</v>
      </c>
    </row>
    <row r="1830" customFormat="false" ht="15" hidden="false" customHeight="false" outlineLevel="0" collapsed="false">
      <c r="A1830" s="62" t="n">
        <v>0</v>
      </c>
      <c r="B1830" s="21" t="s">
        <v>336</v>
      </c>
      <c r="C1830" s="62" t="s">
        <v>60</v>
      </c>
      <c r="D1830" s="62" t="s">
        <v>383</v>
      </c>
      <c r="E1830" s="62" t="s">
        <v>382</v>
      </c>
      <c r="F1830" s="62" t="s">
        <v>382</v>
      </c>
      <c r="G1830" s="63" t="s">
        <v>521</v>
      </c>
      <c r="H1830" s="64" t="n">
        <v>3000</v>
      </c>
      <c r="I1830" s="62" t="s">
        <v>81</v>
      </c>
      <c r="J1830" s="64" t="n">
        <v>3</v>
      </c>
      <c r="K1830" s="62" t="s">
        <v>138</v>
      </c>
      <c r="L1830" s="68" t="b">
        <f aca="false">TRUE()</f>
        <v>1</v>
      </c>
    </row>
    <row r="1831" customFormat="false" ht="15" hidden="false" customHeight="false" outlineLevel="0" collapsed="false">
      <c r="A1831" s="62" t="n">
        <v>0</v>
      </c>
      <c r="B1831" s="21" t="s">
        <v>336</v>
      </c>
      <c r="C1831" s="62" t="s">
        <v>60</v>
      </c>
      <c r="D1831" s="62" t="s">
        <v>384</v>
      </c>
      <c r="E1831" s="62" t="s">
        <v>382</v>
      </c>
      <c r="F1831" s="62" t="s">
        <v>382</v>
      </c>
      <c r="G1831" s="63" t="s">
        <v>521</v>
      </c>
      <c r="H1831" s="64" t="n">
        <v>3000</v>
      </c>
      <c r="I1831" s="62" t="s">
        <v>81</v>
      </c>
      <c r="J1831" s="64" t="n">
        <v>3</v>
      </c>
      <c r="K1831" s="62" t="s">
        <v>138</v>
      </c>
      <c r="L1831" s="68" t="b">
        <f aca="false">TRUE()</f>
        <v>1</v>
      </c>
    </row>
    <row r="1832" customFormat="false" ht="15" hidden="false" customHeight="false" outlineLevel="0" collapsed="false">
      <c r="A1832" s="62" t="n">
        <v>0</v>
      </c>
      <c r="B1832" s="21" t="s">
        <v>336</v>
      </c>
      <c r="C1832" s="62" t="s">
        <v>60</v>
      </c>
      <c r="D1832" s="62" t="s">
        <v>385</v>
      </c>
      <c r="E1832" s="62" t="s">
        <v>382</v>
      </c>
      <c r="F1832" s="62" t="s">
        <v>382</v>
      </c>
      <c r="G1832" s="63" t="s">
        <v>521</v>
      </c>
      <c r="H1832" s="64" t="n">
        <v>3000</v>
      </c>
      <c r="I1832" s="62" t="s">
        <v>81</v>
      </c>
      <c r="J1832" s="64" t="n">
        <v>3</v>
      </c>
      <c r="K1832" s="62" t="s">
        <v>138</v>
      </c>
      <c r="L1832" s="68" t="b">
        <f aca="false">TRUE()</f>
        <v>1</v>
      </c>
    </row>
    <row r="1833" customFormat="false" ht="15" hidden="false" customHeight="false" outlineLevel="0" collapsed="false">
      <c r="A1833" s="62" t="n">
        <v>0</v>
      </c>
      <c r="B1833" s="21" t="s">
        <v>336</v>
      </c>
      <c r="C1833" s="62" t="s">
        <v>60</v>
      </c>
      <c r="D1833" s="62" t="s">
        <v>386</v>
      </c>
      <c r="E1833" s="62" t="s">
        <v>382</v>
      </c>
      <c r="F1833" s="62" t="s">
        <v>382</v>
      </c>
      <c r="G1833" s="63" t="s">
        <v>521</v>
      </c>
      <c r="H1833" s="64" t="n">
        <v>3000</v>
      </c>
      <c r="I1833" s="62" t="s">
        <v>81</v>
      </c>
      <c r="J1833" s="64" t="n">
        <v>3</v>
      </c>
      <c r="K1833" s="62" t="s">
        <v>138</v>
      </c>
      <c r="L1833" s="68" t="b">
        <f aca="false">TRUE()</f>
        <v>1</v>
      </c>
    </row>
    <row r="1834" customFormat="false" ht="15" hidden="false" customHeight="false" outlineLevel="0" collapsed="false">
      <c r="A1834" s="62" t="n">
        <v>0</v>
      </c>
      <c r="B1834" s="21" t="s">
        <v>336</v>
      </c>
      <c r="C1834" s="62" t="s">
        <v>60</v>
      </c>
      <c r="D1834" s="62" t="s">
        <v>387</v>
      </c>
      <c r="E1834" s="62" t="s">
        <v>382</v>
      </c>
      <c r="F1834" s="62" t="s">
        <v>382</v>
      </c>
      <c r="G1834" s="63" t="s">
        <v>521</v>
      </c>
      <c r="H1834" s="64" t="n">
        <v>3000</v>
      </c>
      <c r="I1834" s="62" t="s">
        <v>81</v>
      </c>
      <c r="J1834" s="64" t="n">
        <v>3</v>
      </c>
      <c r="K1834" s="62" t="s">
        <v>138</v>
      </c>
      <c r="L1834" s="68" t="b">
        <f aca="false">TRUE()</f>
        <v>1</v>
      </c>
    </row>
    <row r="1835" customFormat="false" ht="15" hidden="false" customHeight="false" outlineLevel="0" collapsed="false">
      <c r="A1835" s="62" t="n">
        <v>0</v>
      </c>
      <c r="B1835" s="21" t="s">
        <v>336</v>
      </c>
      <c r="C1835" s="62" t="s">
        <v>60</v>
      </c>
      <c r="D1835" s="62" t="s">
        <v>388</v>
      </c>
      <c r="E1835" s="62" t="s">
        <v>382</v>
      </c>
      <c r="F1835" s="62" t="s">
        <v>382</v>
      </c>
      <c r="G1835" s="63" t="s">
        <v>521</v>
      </c>
      <c r="H1835" s="64" t="n">
        <v>3000</v>
      </c>
      <c r="I1835" s="62" t="s">
        <v>81</v>
      </c>
      <c r="J1835" s="64" t="n">
        <v>3</v>
      </c>
      <c r="K1835" s="62" t="s">
        <v>138</v>
      </c>
      <c r="L1835" s="68" t="b">
        <f aca="false">TRUE()</f>
        <v>1</v>
      </c>
    </row>
    <row r="1836" customFormat="false" ht="15" hidden="false" customHeight="false" outlineLevel="0" collapsed="false">
      <c r="A1836" s="62" t="n">
        <v>0</v>
      </c>
      <c r="B1836" s="21" t="s">
        <v>336</v>
      </c>
      <c r="C1836" s="62" t="s">
        <v>60</v>
      </c>
      <c r="D1836" s="62" t="s">
        <v>381</v>
      </c>
      <c r="E1836" s="62" t="s">
        <v>382</v>
      </c>
      <c r="F1836" s="62" t="s">
        <v>382</v>
      </c>
      <c r="G1836" s="63" t="s">
        <v>522</v>
      </c>
      <c r="H1836" s="64" t="n">
        <v>3000</v>
      </c>
      <c r="I1836" s="62" t="s">
        <v>81</v>
      </c>
      <c r="J1836" s="64" t="n">
        <v>3</v>
      </c>
      <c r="K1836" s="62" t="s">
        <v>138</v>
      </c>
      <c r="L1836" s="68" t="b">
        <f aca="false">TRUE()</f>
        <v>1</v>
      </c>
    </row>
    <row r="1837" customFormat="false" ht="15" hidden="false" customHeight="false" outlineLevel="0" collapsed="false">
      <c r="A1837" s="62" t="n">
        <v>0</v>
      </c>
      <c r="B1837" s="21" t="s">
        <v>336</v>
      </c>
      <c r="C1837" s="62" t="s">
        <v>60</v>
      </c>
      <c r="D1837" s="62" t="s">
        <v>383</v>
      </c>
      <c r="E1837" s="62" t="s">
        <v>382</v>
      </c>
      <c r="F1837" s="62" t="s">
        <v>382</v>
      </c>
      <c r="G1837" s="63" t="s">
        <v>522</v>
      </c>
      <c r="H1837" s="64" t="n">
        <v>3000</v>
      </c>
      <c r="I1837" s="62" t="s">
        <v>81</v>
      </c>
      <c r="J1837" s="64" t="n">
        <v>3</v>
      </c>
      <c r="K1837" s="62" t="s">
        <v>138</v>
      </c>
      <c r="L1837" s="68" t="b">
        <f aca="false">TRUE()</f>
        <v>1</v>
      </c>
    </row>
    <row r="1838" customFormat="false" ht="15" hidden="false" customHeight="false" outlineLevel="0" collapsed="false">
      <c r="A1838" s="62" t="n">
        <v>0</v>
      </c>
      <c r="B1838" s="21" t="s">
        <v>336</v>
      </c>
      <c r="C1838" s="62" t="s">
        <v>60</v>
      </c>
      <c r="D1838" s="62" t="s">
        <v>384</v>
      </c>
      <c r="E1838" s="62" t="s">
        <v>382</v>
      </c>
      <c r="F1838" s="62" t="s">
        <v>382</v>
      </c>
      <c r="G1838" s="63" t="s">
        <v>522</v>
      </c>
      <c r="H1838" s="64" t="n">
        <v>3000</v>
      </c>
      <c r="I1838" s="62" t="s">
        <v>81</v>
      </c>
      <c r="J1838" s="64" t="n">
        <v>3</v>
      </c>
      <c r="K1838" s="62" t="s">
        <v>138</v>
      </c>
      <c r="L1838" s="68" t="b">
        <f aca="false">TRUE()</f>
        <v>1</v>
      </c>
    </row>
    <row r="1839" customFormat="false" ht="15" hidden="false" customHeight="false" outlineLevel="0" collapsed="false">
      <c r="A1839" s="62" t="n">
        <v>0</v>
      </c>
      <c r="B1839" s="21" t="s">
        <v>336</v>
      </c>
      <c r="C1839" s="62" t="s">
        <v>60</v>
      </c>
      <c r="D1839" s="62" t="s">
        <v>385</v>
      </c>
      <c r="E1839" s="62" t="s">
        <v>382</v>
      </c>
      <c r="F1839" s="62" t="s">
        <v>382</v>
      </c>
      <c r="G1839" s="63" t="s">
        <v>522</v>
      </c>
      <c r="H1839" s="64" t="n">
        <v>3000</v>
      </c>
      <c r="I1839" s="62" t="s">
        <v>81</v>
      </c>
      <c r="J1839" s="64" t="n">
        <v>3</v>
      </c>
      <c r="K1839" s="62" t="s">
        <v>138</v>
      </c>
      <c r="L1839" s="68" t="b">
        <f aca="false">TRUE()</f>
        <v>1</v>
      </c>
    </row>
    <row r="1840" customFormat="false" ht="15" hidden="false" customHeight="false" outlineLevel="0" collapsed="false">
      <c r="A1840" s="62" t="n">
        <v>0</v>
      </c>
      <c r="B1840" s="21" t="s">
        <v>336</v>
      </c>
      <c r="C1840" s="62" t="s">
        <v>60</v>
      </c>
      <c r="D1840" s="62" t="s">
        <v>386</v>
      </c>
      <c r="E1840" s="62" t="s">
        <v>382</v>
      </c>
      <c r="F1840" s="62" t="s">
        <v>382</v>
      </c>
      <c r="G1840" s="63" t="s">
        <v>522</v>
      </c>
      <c r="H1840" s="64" t="n">
        <v>3000</v>
      </c>
      <c r="I1840" s="62" t="s">
        <v>81</v>
      </c>
      <c r="J1840" s="64" t="n">
        <v>3</v>
      </c>
      <c r="K1840" s="62" t="s">
        <v>138</v>
      </c>
      <c r="L1840" s="68" t="b">
        <f aca="false">TRUE()</f>
        <v>1</v>
      </c>
    </row>
    <row r="1841" customFormat="false" ht="15" hidden="false" customHeight="false" outlineLevel="0" collapsed="false">
      <c r="A1841" s="62" t="n">
        <v>0</v>
      </c>
      <c r="B1841" s="21" t="s">
        <v>336</v>
      </c>
      <c r="C1841" s="62" t="s">
        <v>60</v>
      </c>
      <c r="D1841" s="62" t="s">
        <v>387</v>
      </c>
      <c r="E1841" s="62" t="s">
        <v>382</v>
      </c>
      <c r="F1841" s="62" t="s">
        <v>382</v>
      </c>
      <c r="G1841" s="63" t="s">
        <v>522</v>
      </c>
      <c r="H1841" s="64" t="n">
        <v>3000</v>
      </c>
      <c r="I1841" s="62" t="s">
        <v>81</v>
      </c>
      <c r="J1841" s="64" t="n">
        <v>3</v>
      </c>
      <c r="K1841" s="62" t="s">
        <v>138</v>
      </c>
      <c r="L1841" s="68" t="b">
        <f aca="false">TRUE()</f>
        <v>1</v>
      </c>
    </row>
    <row r="1842" customFormat="false" ht="15" hidden="false" customHeight="false" outlineLevel="0" collapsed="false">
      <c r="A1842" s="62" t="n">
        <v>0</v>
      </c>
      <c r="B1842" s="21" t="s">
        <v>336</v>
      </c>
      <c r="C1842" s="62" t="s">
        <v>60</v>
      </c>
      <c r="D1842" s="62" t="s">
        <v>388</v>
      </c>
      <c r="E1842" s="62" t="s">
        <v>382</v>
      </c>
      <c r="F1842" s="62" t="s">
        <v>382</v>
      </c>
      <c r="G1842" s="63" t="s">
        <v>522</v>
      </c>
      <c r="H1842" s="64" t="n">
        <v>3000</v>
      </c>
      <c r="I1842" s="62" t="s">
        <v>81</v>
      </c>
      <c r="J1842" s="64" t="n">
        <v>3</v>
      </c>
      <c r="K1842" s="62" t="s">
        <v>138</v>
      </c>
      <c r="L1842" s="68" t="b">
        <f aca="false">TRUE()</f>
        <v>1</v>
      </c>
    </row>
    <row r="1843" customFormat="false" ht="15" hidden="false" customHeight="false" outlineLevel="0" collapsed="false">
      <c r="A1843" s="62" t="n">
        <v>0</v>
      </c>
      <c r="B1843" s="21" t="s">
        <v>336</v>
      </c>
      <c r="C1843" s="62" t="s">
        <v>60</v>
      </c>
      <c r="D1843" s="62" t="s">
        <v>381</v>
      </c>
      <c r="E1843" s="62" t="s">
        <v>382</v>
      </c>
      <c r="F1843" s="62" t="s">
        <v>382</v>
      </c>
      <c r="G1843" s="63" t="s">
        <v>523</v>
      </c>
      <c r="H1843" s="64" t="n">
        <v>3000</v>
      </c>
      <c r="I1843" s="62" t="s">
        <v>81</v>
      </c>
      <c r="J1843" s="64" t="n">
        <v>3</v>
      </c>
      <c r="K1843" s="62" t="s">
        <v>138</v>
      </c>
      <c r="L1843" s="68" t="b">
        <f aca="false">TRUE()</f>
        <v>1</v>
      </c>
    </row>
    <row r="1844" customFormat="false" ht="15" hidden="false" customHeight="false" outlineLevel="0" collapsed="false">
      <c r="A1844" s="62" t="n">
        <v>0</v>
      </c>
      <c r="B1844" s="21" t="s">
        <v>336</v>
      </c>
      <c r="C1844" s="62" t="s">
        <v>60</v>
      </c>
      <c r="D1844" s="62" t="s">
        <v>383</v>
      </c>
      <c r="E1844" s="62" t="s">
        <v>382</v>
      </c>
      <c r="F1844" s="62" t="s">
        <v>382</v>
      </c>
      <c r="G1844" s="63" t="s">
        <v>523</v>
      </c>
      <c r="H1844" s="64" t="n">
        <v>3000</v>
      </c>
      <c r="I1844" s="62" t="s">
        <v>81</v>
      </c>
      <c r="J1844" s="64" t="n">
        <v>3</v>
      </c>
      <c r="K1844" s="62" t="s">
        <v>138</v>
      </c>
      <c r="L1844" s="68" t="b">
        <f aca="false">TRUE()</f>
        <v>1</v>
      </c>
    </row>
    <row r="1845" customFormat="false" ht="15" hidden="false" customHeight="false" outlineLevel="0" collapsed="false">
      <c r="A1845" s="62" t="n">
        <v>0</v>
      </c>
      <c r="B1845" s="21" t="s">
        <v>336</v>
      </c>
      <c r="C1845" s="62" t="s">
        <v>60</v>
      </c>
      <c r="D1845" s="62" t="s">
        <v>384</v>
      </c>
      <c r="E1845" s="62" t="s">
        <v>382</v>
      </c>
      <c r="F1845" s="62" t="s">
        <v>382</v>
      </c>
      <c r="G1845" s="63" t="s">
        <v>523</v>
      </c>
      <c r="H1845" s="64" t="n">
        <v>3000</v>
      </c>
      <c r="I1845" s="62" t="s">
        <v>81</v>
      </c>
      <c r="J1845" s="64" t="n">
        <v>3</v>
      </c>
      <c r="K1845" s="62" t="s">
        <v>138</v>
      </c>
      <c r="L1845" s="68" t="b">
        <f aca="false">TRUE()</f>
        <v>1</v>
      </c>
    </row>
    <row r="1846" customFormat="false" ht="15" hidden="false" customHeight="false" outlineLevel="0" collapsed="false">
      <c r="A1846" s="62" t="n">
        <v>0</v>
      </c>
      <c r="B1846" s="21" t="s">
        <v>336</v>
      </c>
      <c r="C1846" s="62" t="s">
        <v>60</v>
      </c>
      <c r="D1846" s="62" t="s">
        <v>385</v>
      </c>
      <c r="E1846" s="62" t="s">
        <v>382</v>
      </c>
      <c r="F1846" s="62" t="s">
        <v>382</v>
      </c>
      <c r="G1846" s="63" t="s">
        <v>523</v>
      </c>
      <c r="H1846" s="64" t="n">
        <v>3000</v>
      </c>
      <c r="I1846" s="62" t="s">
        <v>81</v>
      </c>
      <c r="J1846" s="64" t="n">
        <v>3</v>
      </c>
      <c r="K1846" s="62" t="s">
        <v>138</v>
      </c>
      <c r="L1846" s="68" t="b">
        <f aca="false">TRUE()</f>
        <v>1</v>
      </c>
    </row>
    <row r="1847" customFormat="false" ht="15" hidden="false" customHeight="false" outlineLevel="0" collapsed="false">
      <c r="A1847" s="62" t="n">
        <v>0</v>
      </c>
      <c r="B1847" s="21" t="s">
        <v>336</v>
      </c>
      <c r="C1847" s="62" t="s">
        <v>60</v>
      </c>
      <c r="D1847" s="62" t="s">
        <v>386</v>
      </c>
      <c r="E1847" s="62" t="s">
        <v>382</v>
      </c>
      <c r="F1847" s="62" t="s">
        <v>382</v>
      </c>
      <c r="G1847" s="63" t="s">
        <v>523</v>
      </c>
      <c r="H1847" s="64" t="n">
        <v>3000</v>
      </c>
      <c r="I1847" s="62" t="s">
        <v>81</v>
      </c>
      <c r="J1847" s="64" t="n">
        <v>3</v>
      </c>
      <c r="K1847" s="62" t="s">
        <v>138</v>
      </c>
      <c r="L1847" s="68" t="b">
        <f aca="false">TRUE()</f>
        <v>1</v>
      </c>
    </row>
    <row r="1848" customFormat="false" ht="15" hidden="false" customHeight="false" outlineLevel="0" collapsed="false">
      <c r="A1848" s="62" t="n">
        <v>0</v>
      </c>
      <c r="B1848" s="21" t="s">
        <v>336</v>
      </c>
      <c r="C1848" s="62" t="s">
        <v>60</v>
      </c>
      <c r="D1848" s="62" t="s">
        <v>387</v>
      </c>
      <c r="E1848" s="62" t="s">
        <v>382</v>
      </c>
      <c r="F1848" s="62" t="s">
        <v>382</v>
      </c>
      <c r="G1848" s="63" t="s">
        <v>523</v>
      </c>
      <c r="H1848" s="64" t="n">
        <v>3000</v>
      </c>
      <c r="I1848" s="62" t="s">
        <v>81</v>
      </c>
      <c r="J1848" s="64" t="n">
        <v>3</v>
      </c>
      <c r="K1848" s="62" t="s">
        <v>138</v>
      </c>
      <c r="L1848" s="68" t="b">
        <f aca="false">TRUE()</f>
        <v>1</v>
      </c>
    </row>
    <row r="1849" customFormat="false" ht="15" hidden="false" customHeight="false" outlineLevel="0" collapsed="false">
      <c r="A1849" s="62" t="n">
        <v>0</v>
      </c>
      <c r="B1849" s="21" t="s">
        <v>336</v>
      </c>
      <c r="C1849" s="62" t="s">
        <v>60</v>
      </c>
      <c r="D1849" s="62" t="s">
        <v>388</v>
      </c>
      <c r="E1849" s="62" t="s">
        <v>382</v>
      </c>
      <c r="F1849" s="62" t="s">
        <v>382</v>
      </c>
      <c r="G1849" s="63" t="s">
        <v>523</v>
      </c>
      <c r="H1849" s="64" t="n">
        <v>3000</v>
      </c>
      <c r="I1849" s="62" t="s">
        <v>81</v>
      </c>
      <c r="J1849" s="64" t="n">
        <v>3</v>
      </c>
      <c r="K1849" s="62" t="s">
        <v>138</v>
      </c>
      <c r="L1849" s="68" t="b">
        <f aca="false">TRUE()</f>
        <v>1</v>
      </c>
    </row>
    <row r="1850" customFormat="false" ht="15" hidden="false" customHeight="false" outlineLevel="0" collapsed="false">
      <c r="A1850" s="62" t="n">
        <v>0</v>
      </c>
      <c r="B1850" s="21" t="s">
        <v>336</v>
      </c>
      <c r="C1850" s="62" t="s">
        <v>60</v>
      </c>
      <c r="D1850" s="62" t="s">
        <v>381</v>
      </c>
      <c r="E1850" s="62" t="s">
        <v>382</v>
      </c>
      <c r="F1850" s="62" t="s">
        <v>382</v>
      </c>
      <c r="G1850" s="63" t="s">
        <v>524</v>
      </c>
      <c r="H1850" s="64" t="n">
        <v>41000</v>
      </c>
      <c r="I1850" s="62" t="s">
        <v>81</v>
      </c>
      <c r="J1850" s="64" t="n">
        <v>41</v>
      </c>
      <c r="K1850" s="62" t="s">
        <v>138</v>
      </c>
      <c r="L1850" s="68" t="b">
        <f aca="false">FALSE()</f>
        <v>0</v>
      </c>
    </row>
    <row r="1851" customFormat="false" ht="15" hidden="false" customHeight="false" outlineLevel="0" collapsed="false">
      <c r="A1851" s="62" t="n">
        <v>0</v>
      </c>
      <c r="B1851" s="21" t="s">
        <v>336</v>
      </c>
      <c r="C1851" s="62" t="s">
        <v>60</v>
      </c>
      <c r="D1851" s="62" t="s">
        <v>383</v>
      </c>
      <c r="E1851" s="62" t="s">
        <v>382</v>
      </c>
      <c r="F1851" s="62" t="s">
        <v>382</v>
      </c>
      <c r="G1851" s="63" t="s">
        <v>524</v>
      </c>
      <c r="H1851" s="64" t="n">
        <v>41000</v>
      </c>
      <c r="I1851" s="62" t="s">
        <v>81</v>
      </c>
      <c r="J1851" s="64" t="n">
        <v>41</v>
      </c>
      <c r="K1851" s="62" t="s">
        <v>138</v>
      </c>
      <c r="L1851" s="68" t="b">
        <f aca="false">FALSE()</f>
        <v>0</v>
      </c>
    </row>
    <row r="1852" customFormat="false" ht="15" hidden="false" customHeight="false" outlineLevel="0" collapsed="false">
      <c r="A1852" s="62" t="n">
        <v>0</v>
      </c>
      <c r="B1852" s="21" t="s">
        <v>336</v>
      </c>
      <c r="C1852" s="62" t="s">
        <v>60</v>
      </c>
      <c r="D1852" s="62" t="s">
        <v>384</v>
      </c>
      <c r="E1852" s="62" t="s">
        <v>382</v>
      </c>
      <c r="F1852" s="62" t="s">
        <v>382</v>
      </c>
      <c r="G1852" s="63" t="s">
        <v>524</v>
      </c>
      <c r="H1852" s="64" t="n">
        <v>41000</v>
      </c>
      <c r="I1852" s="62" t="s">
        <v>81</v>
      </c>
      <c r="J1852" s="64" t="n">
        <v>41</v>
      </c>
      <c r="K1852" s="62" t="s">
        <v>138</v>
      </c>
      <c r="L1852" s="68" t="b">
        <f aca="false">FALSE()</f>
        <v>0</v>
      </c>
    </row>
    <row r="1853" customFormat="false" ht="15" hidden="false" customHeight="false" outlineLevel="0" collapsed="false">
      <c r="A1853" s="62" t="n">
        <v>0</v>
      </c>
      <c r="B1853" s="21" t="s">
        <v>336</v>
      </c>
      <c r="C1853" s="62" t="s">
        <v>60</v>
      </c>
      <c r="D1853" s="62" t="s">
        <v>385</v>
      </c>
      <c r="E1853" s="62" t="s">
        <v>382</v>
      </c>
      <c r="F1853" s="62" t="s">
        <v>382</v>
      </c>
      <c r="G1853" s="63" t="s">
        <v>524</v>
      </c>
      <c r="H1853" s="64" t="n">
        <v>41000</v>
      </c>
      <c r="I1853" s="62" t="s">
        <v>81</v>
      </c>
      <c r="J1853" s="64" t="n">
        <v>41</v>
      </c>
      <c r="K1853" s="62" t="s">
        <v>138</v>
      </c>
      <c r="L1853" s="68" t="b">
        <f aca="false">FALSE()</f>
        <v>0</v>
      </c>
    </row>
    <row r="1854" customFormat="false" ht="15" hidden="false" customHeight="false" outlineLevel="0" collapsed="false">
      <c r="A1854" s="62" t="n">
        <v>0</v>
      </c>
      <c r="B1854" s="21" t="s">
        <v>336</v>
      </c>
      <c r="C1854" s="62" t="s">
        <v>60</v>
      </c>
      <c r="D1854" s="62" t="s">
        <v>386</v>
      </c>
      <c r="E1854" s="62" t="s">
        <v>382</v>
      </c>
      <c r="F1854" s="62" t="s">
        <v>382</v>
      </c>
      <c r="G1854" s="63" t="s">
        <v>524</v>
      </c>
      <c r="H1854" s="64" t="n">
        <v>41000</v>
      </c>
      <c r="I1854" s="62" t="s">
        <v>81</v>
      </c>
      <c r="J1854" s="64" t="n">
        <v>41</v>
      </c>
      <c r="K1854" s="62" t="s">
        <v>138</v>
      </c>
      <c r="L1854" s="68" t="b">
        <f aca="false">FALSE()</f>
        <v>0</v>
      </c>
    </row>
    <row r="1855" customFormat="false" ht="15" hidden="false" customHeight="false" outlineLevel="0" collapsed="false">
      <c r="A1855" s="62" t="n">
        <v>0</v>
      </c>
      <c r="B1855" s="21" t="s">
        <v>336</v>
      </c>
      <c r="C1855" s="62" t="s">
        <v>60</v>
      </c>
      <c r="D1855" s="62" t="s">
        <v>387</v>
      </c>
      <c r="E1855" s="62" t="s">
        <v>382</v>
      </c>
      <c r="F1855" s="62" t="s">
        <v>382</v>
      </c>
      <c r="G1855" s="63" t="s">
        <v>524</v>
      </c>
      <c r="H1855" s="64" t="n">
        <v>41000</v>
      </c>
      <c r="I1855" s="62" t="s">
        <v>81</v>
      </c>
      <c r="J1855" s="64" t="n">
        <v>41</v>
      </c>
      <c r="K1855" s="62" t="s">
        <v>138</v>
      </c>
      <c r="L1855" s="68" t="b">
        <f aca="false">FALSE()</f>
        <v>0</v>
      </c>
    </row>
    <row r="1856" customFormat="false" ht="15" hidden="false" customHeight="false" outlineLevel="0" collapsed="false">
      <c r="A1856" s="62" t="n">
        <v>0</v>
      </c>
      <c r="B1856" s="21" t="s">
        <v>336</v>
      </c>
      <c r="C1856" s="62" t="s">
        <v>60</v>
      </c>
      <c r="D1856" s="62" t="s">
        <v>388</v>
      </c>
      <c r="E1856" s="62" t="s">
        <v>382</v>
      </c>
      <c r="F1856" s="62" t="s">
        <v>382</v>
      </c>
      <c r="G1856" s="63" t="s">
        <v>524</v>
      </c>
      <c r="H1856" s="64" t="n">
        <v>41000</v>
      </c>
      <c r="I1856" s="62" t="s">
        <v>81</v>
      </c>
      <c r="J1856" s="64" t="n">
        <v>41</v>
      </c>
      <c r="K1856" s="62" t="s">
        <v>138</v>
      </c>
      <c r="L1856" s="68" t="b">
        <f aca="false">FALSE()</f>
        <v>0</v>
      </c>
    </row>
    <row r="1857" customFormat="false" ht="15" hidden="false" customHeight="false" outlineLevel="0" collapsed="false">
      <c r="A1857" s="62" t="n">
        <v>0</v>
      </c>
      <c r="B1857" s="21" t="s">
        <v>336</v>
      </c>
      <c r="C1857" s="62" t="s">
        <v>60</v>
      </c>
      <c r="D1857" s="62" t="s">
        <v>381</v>
      </c>
      <c r="E1857" s="62" t="s">
        <v>382</v>
      </c>
      <c r="F1857" s="62" t="s">
        <v>382</v>
      </c>
      <c r="G1857" s="63" t="s">
        <v>525</v>
      </c>
      <c r="H1857" s="64" t="n">
        <v>41.6869918699187</v>
      </c>
      <c r="I1857" s="62" t="s">
        <v>81</v>
      </c>
      <c r="J1857" s="64" t="n">
        <v>0.0416869918699187</v>
      </c>
      <c r="K1857" s="62" t="s">
        <v>138</v>
      </c>
      <c r="L1857" s="68" t="b">
        <f aca="false">TRUE()</f>
        <v>1</v>
      </c>
    </row>
    <row r="1858" customFormat="false" ht="15" hidden="false" customHeight="false" outlineLevel="0" collapsed="false">
      <c r="A1858" s="62" t="n">
        <v>0</v>
      </c>
      <c r="B1858" s="21" t="s">
        <v>336</v>
      </c>
      <c r="C1858" s="62" t="s">
        <v>60</v>
      </c>
      <c r="D1858" s="62" t="s">
        <v>383</v>
      </c>
      <c r="E1858" s="62" t="s">
        <v>382</v>
      </c>
      <c r="F1858" s="62" t="s">
        <v>382</v>
      </c>
      <c r="G1858" s="63" t="s">
        <v>525</v>
      </c>
      <c r="H1858" s="64" t="n">
        <v>41.6869918699187</v>
      </c>
      <c r="I1858" s="62" t="s">
        <v>81</v>
      </c>
      <c r="J1858" s="64" t="n">
        <v>0.0416869918699187</v>
      </c>
      <c r="K1858" s="62" t="s">
        <v>138</v>
      </c>
      <c r="L1858" s="68" t="b">
        <f aca="false">TRUE()</f>
        <v>1</v>
      </c>
    </row>
    <row r="1859" customFormat="false" ht="15" hidden="false" customHeight="false" outlineLevel="0" collapsed="false">
      <c r="A1859" s="62" t="n">
        <v>0</v>
      </c>
      <c r="B1859" s="21" t="s">
        <v>336</v>
      </c>
      <c r="C1859" s="62" t="s">
        <v>60</v>
      </c>
      <c r="D1859" s="62" t="s">
        <v>384</v>
      </c>
      <c r="E1859" s="62" t="s">
        <v>382</v>
      </c>
      <c r="F1859" s="62" t="s">
        <v>382</v>
      </c>
      <c r="G1859" s="63" t="s">
        <v>525</v>
      </c>
      <c r="H1859" s="64" t="n">
        <v>41.6869918699187</v>
      </c>
      <c r="I1859" s="62" t="s">
        <v>81</v>
      </c>
      <c r="J1859" s="64" t="n">
        <v>0.0416869918699187</v>
      </c>
      <c r="K1859" s="62" t="s">
        <v>138</v>
      </c>
      <c r="L1859" s="68" t="b">
        <f aca="false">TRUE()</f>
        <v>1</v>
      </c>
    </row>
    <row r="1860" customFormat="false" ht="15" hidden="false" customHeight="false" outlineLevel="0" collapsed="false">
      <c r="A1860" s="62" t="n">
        <v>0</v>
      </c>
      <c r="B1860" s="21" t="s">
        <v>336</v>
      </c>
      <c r="C1860" s="62" t="s">
        <v>60</v>
      </c>
      <c r="D1860" s="62" t="s">
        <v>385</v>
      </c>
      <c r="E1860" s="62" t="s">
        <v>382</v>
      </c>
      <c r="F1860" s="62" t="s">
        <v>382</v>
      </c>
      <c r="G1860" s="63" t="s">
        <v>525</v>
      </c>
      <c r="H1860" s="64" t="n">
        <v>41.6869918699187</v>
      </c>
      <c r="I1860" s="62" t="s">
        <v>81</v>
      </c>
      <c r="J1860" s="64" t="n">
        <v>0.0416869918699187</v>
      </c>
      <c r="K1860" s="62" t="s">
        <v>138</v>
      </c>
      <c r="L1860" s="68" t="b">
        <f aca="false">TRUE()</f>
        <v>1</v>
      </c>
    </row>
    <row r="1861" customFormat="false" ht="15" hidden="false" customHeight="false" outlineLevel="0" collapsed="false">
      <c r="A1861" s="62" t="n">
        <v>0</v>
      </c>
      <c r="B1861" s="21" t="s">
        <v>336</v>
      </c>
      <c r="C1861" s="62" t="s">
        <v>60</v>
      </c>
      <c r="D1861" s="62" t="s">
        <v>386</v>
      </c>
      <c r="E1861" s="62" t="s">
        <v>382</v>
      </c>
      <c r="F1861" s="62" t="s">
        <v>382</v>
      </c>
      <c r="G1861" s="63" t="s">
        <v>525</v>
      </c>
      <c r="H1861" s="64" t="n">
        <v>41.6869918699187</v>
      </c>
      <c r="I1861" s="62" t="s">
        <v>81</v>
      </c>
      <c r="J1861" s="64" t="n">
        <v>0.0416869918699187</v>
      </c>
      <c r="K1861" s="62" t="s">
        <v>138</v>
      </c>
      <c r="L1861" s="68" t="b">
        <f aca="false">TRUE()</f>
        <v>1</v>
      </c>
    </row>
    <row r="1862" customFormat="false" ht="15" hidden="false" customHeight="false" outlineLevel="0" collapsed="false">
      <c r="A1862" s="62" t="n">
        <v>0</v>
      </c>
      <c r="B1862" s="21" t="s">
        <v>336</v>
      </c>
      <c r="C1862" s="62" t="s">
        <v>60</v>
      </c>
      <c r="D1862" s="62" t="s">
        <v>387</v>
      </c>
      <c r="E1862" s="62" t="s">
        <v>382</v>
      </c>
      <c r="F1862" s="62" t="s">
        <v>382</v>
      </c>
      <c r="G1862" s="63" t="s">
        <v>525</v>
      </c>
      <c r="H1862" s="64" t="n">
        <v>41.6869918699187</v>
      </c>
      <c r="I1862" s="62" t="s">
        <v>81</v>
      </c>
      <c r="J1862" s="64" t="n">
        <v>0.0416869918699187</v>
      </c>
      <c r="K1862" s="62" t="s">
        <v>138</v>
      </c>
      <c r="L1862" s="68" t="b">
        <f aca="false">TRUE()</f>
        <v>1</v>
      </c>
    </row>
    <row r="1863" customFormat="false" ht="15" hidden="false" customHeight="false" outlineLevel="0" collapsed="false">
      <c r="A1863" s="62" t="n">
        <v>0</v>
      </c>
      <c r="B1863" s="21" t="s">
        <v>336</v>
      </c>
      <c r="C1863" s="62" t="s">
        <v>60</v>
      </c>
      <c r="D1863" s="62" t="s">
        <v>388</v>
      </c>
      <c r="E1863" s="62" t="s">
        <v>382</v>
      </c>
      <c r="F1863" s="62" t="s">
        <v>382</v>
      </c>
      <c r="G1863" s="63" t="s">
        <v>525</v>
      </c>
      <c r="H1863" s="64" t="n">
        <v>41.6869918699187</v>
      </c>
      <c r="I1863" s="62" t="s">
        <v>81</v>
      </c>
      <c r="J1863" s="64" t="n">
        <v>0.0416869918699187</v>
      </c>
      <c r="K1863" s="62" t="s">
        <v>138</v>
      </c>
      <c r="L1863" s="68" t="b">
        <f aca="false">TRUE()</f>
        <v>1</v>
      </c>
    </row>
    <row r="1864" customFormat="false" ht="15" hidden="false" customHeight="false" outlineLevel="0" collapsed="false">
      <c r="A1864" s="62" t="n">
        <v>0</v>
      </c>
      <c r="B1864" s="21" t="s">
        <v>336</v>
      </c>
      <c r="C1864" s="62" t="s">
        <v>60</v>
      </c>
      <c r="D1864" s="62" t="s">
        <v>381</v>
      </c>
      <c r="E1864" s="62" t="s">
        <v>382</v>
      </c>
      <c r="F1864" s="62" t="s">
        <v>382</v>
      </c>
      <c r="G1864" s="63" t="s">
        <v>526</v>
      </c>
      <c r="H1864" s="64" t="n">
        <v>50481275</v>
      </c>
      <c r="I1864" s="62" t="s">
        <v>81</v>
      </c>
      <c r="J1864" s="64" t="n">
        <v>50481.275</v>
      </c>
      <c r="K1864" s="62" t="s">
        <v>138</v>
      </c>
      <c r="L1864" s="68" t="b">
        <f aca="false">FALSE()</f>
        <v>0</v>
      </c>
    </row>
    <row r="1865" customFormat="false" ht="15" hidden="false" customHeight="false" outlineLevel="0" collapsed="false">
      <c r="A1865" s="62" t="n">
        <v>0</v>
      </c>
      <c r="B1865" s="21" t="s">
        <v>336</v>
      </c>
      <c r="C1865" s="62" t="s">
        <v>60</v>
      </c>
      <c r="D1865" s="62" t="s">
        <v>383</v>
      </c>
      <c r="E1865" s="62" t="s">
        <v>382</v>
      </c>
      <c r="F1865" s="62" t="s">
        <v>382</v>
      </c>
      <c r="G1865" s="63" t="s">
        <v>526</v>
      </c>
      <c r="H1865" s="64" t="n">
        <v>50481275</v>
      </c>
      <c r="I1865" s="62" t="s">
        <v>81</v>
      </c>
      <c r="J1865" s="64" t="n">
        <v>50481.275</v>
      </c>
      <c r="K1865" s="62" t="s">
        <v>138</v>
      </c>
      <c r="L1865" s="68" t="b">
        <f aca="false">FALSE()</f>
        <v>0</v>
      </c>
    </row>
    <row r="1866" customFormat="false" ht="15" hidden="false" customHeight="false" outlineLevel="0" collapsed="false">
      <c r="A1866" s="62" t="n">
        <v>0</v>
      </c>
      <c r="B1866" s="21" t="s">
        <v>336</v>
      </c>
      <c r="C1866" s="62" t="s">
        <v>60</v>
      </c>
      <c r="D1866" s="62" t="s">
        <v>384</v>
      </c>
      <c r="E1866" s="62" t="s">
        <v>382</v>
      </c>
      <c r="F1866" s="62" t="s">
        <v>382</v>
      </c>
      <c r="G1866" s="63" t="s">
        <v>526</v>
      </c>
      <c r="H1866" s="64" t="n">
        <v>50481275</v>
      </c>
      <c r="I1866" s="62" t="s">
        <v>81</v>
      </c>
      <c r="J1866" s="64" t="n">
        <v>50481.275</v>
      </c>
      <c r="K1866" s="62" t="s">
        <v>138</v>
      </c>
      <c r="L1866" s="68" t="b">
        <f aca="false">FALSE()</f>
        <v>0</v>
      </c>
    </row>
    <row r="1867" customFormat="false" ht="15" hidden="false" customHeight="false" outlineLevel="0" collapsed="false">
      <c r="A1867" s="62" t="n">
        <v>0</v>
      </c>
      <c r="B1867" s="21" t="s">
        <v>336</v>
      </c>
      <c r="C1867" s="62" t="s">
        <v>60</v>
      </c>
      <c r="D1867" s="62" t="s">
        <v>385</v>
      </c>
      <c r="E1867" s="62" t="s">
        <v>382</v>
      </c>
      <c r="F1867" s="62" t="s">
        <v>382</v>
      </c>
      <c r="G1867" s="63" t="s">
        <v>526</v>
      </c>
      <c r="H1867" s="64" t="n">
        <v>50481275</v>
      </c>
      <c r="I1867" s="62" t="s">
        <v>81</v>
      </c>
      <c r="J1867" s="64" t="n">
        <v>50481.275</v>
      </c>
      <c r="K1867" s="62" t="s">
        <v>138</v>
      </c>
      <c r="L1867" s="68" t="b">
        <f aca="false">FALSE()</f>
        <v>0</v>
      </c>
    </row>
    <row r="1868" customFormat="false" ht="15" hidden="false" customHeight="false" outlineLevel="0" collapsed="false">
      <c r="A1868" s="62" t="n">
        <v>0</v>
      </c>
      <c r="B1868" s="21" t="s">
        <v>336</v>
      </c>
      <c r="C1868" s="62" t="s">
        <v>60</v>
      </c>
      <c r="D1868" s="62" t="s">
        <v>386</v>
      </c>
      <c r="E1868" s="62" t="s">
        <v>382</v>
      </c>
      <c r="F1868" s="62" t="s">
        <v>382</v>
      </c>
      <c r="G1868" s="63" t="s">
        <v>526</v>
      </c>
      <c r="H1868" s="64" t="n">
        <v>50481275</v>
      </c>
      <c r="I1868" s="62" t="s">
        <v>81</v>
      </c>
      <c r="J1868" s="64" t="n">
        <v>50481.275</v>
      </c>
      <c r="K1868" s="62" t="s">
        <v>138</v>
      </c>
      <c r="L1868" s="68" t="b">
        <f aca="false">FALSE()</f>
        <v>0</v>
      </c>
    </row>
    <row r="1869" customFormat="false" ht="15" hidden="false" customHeight="false" outlineLevel="0" collapsed="false">
      <c r="A1869" s="62" t="n">
        <v>0</v>
      </c>
      <c r="B1869" s="21" t="s">
        <v>336</v>
      </c>
      <c r="C1869" s="62" t="s">
        <v>60</v>
      </c>
      <c r="D1869" s="62" t="s">
        <v>387</v>
      </c>
      <c r="E1869" s="62" t="s">
        <v>382</v>
      </c>
      <c r="F1869" s="62" t="s">
        <v>382</v>
      </c>
      <c r="G1869" s="63" t="s">
        <v>526</v>
      </c>
      <c r="H1869" s="64" t="n">
        <v>50481275</v>
      </c>
      <c r="I1869" s="62" t="s">
        <v>81</v>
      </c>
      <c r="J1869" s="64" t="n">
        <v>50481.275</v>
      </c>
      <c r="K1869" s="62" t="s">
        <v>138</v>
      </c>
      <c r="L1869" s="68" t="b">
        <f aca="false">FALSE()</f>
        <v>0</v>
      </c>
    </row>
    <row r="1870" customFormat="false" ht="15" hidden="false" customHeight="false" outlineLevel="0" collapsed="false">
      <c r="A1870" s="62" t="n">
        <v>0</v>
      </c>
      <c r="B1870" s="21" t="s">
        <v>336</v>
      </c>
      <c r="C1870" s="62" t="s">
        <v>60</v>
      </c>
      <c r="D1870" s="62" t="s">
        <v>388</v>
      </c>
      <c r="E1870" s="62" t="s">
        <v>382</v>
      </c>
      <c r="F1870" s="62" t="s">
        <v>382</v>
      </c>
      <c r="G1870" s="63" t="s">
        <v>526</v>
      </c>
      <c r="H1870" s="64" t="n">
        <v>50481275</v>
      </c>
      <c r="I1870" s="62" t="s">
        <v>81</v>
      </c>
      <c r="J1870" s="64" t="n">
        <v>50481.275</v>
      </c>
      <c r="K1870" s="62" t="s">
        <v>138</v>
      </c>
      <c r="L1870" s="68" t="b">
        <f aca="false">FALSE()</f>
        <v>0</v>
      </c>
    </row>
    <row r="1871" customFormat="false" ht="15" hidden="false" customHeight="false" outlineLevel="0" collapsed="false">
      <c r="A1871" s="62" t="n">
        <v>0</v>
      </c>
      <c r="B1871" s="21" t="s">
        <v>336</v>
      </c>
      <c r="C1871" s="62" t="s">
        <v>60</v>
      </c>
      <c r="D1871" s="62" t="s">
        <v>381</v>
      </c>
      <c r="E1871" s="62" t="s">
        <v>382</v>
      </c>
      <c r="F1871" s="62" t="s">
        <v>382</v>
      </c>
      <c r="G1871" s="63" t="s">
        <v>527</v>
      </c>
      <c r="H1871" s="64" t="n">
        <v>58000</v>
      </c>
      <c r="I1871" s="62" t="s">
        <v>81</v>
      </c>
      <c r="J1871" s="64" t="n">
        <v>58</v>
      </c>
      <c r="K1871" s="62" t="s">
        <v>138</v>
      </c>
      <c r="L1871" s="68" t="b">
        <f aca="false">FALSE()</f>
        <v>0</v>
      </c>
    </row>
    <row r="1872" customFormat="false" ht="15" hidden="false" customHeight="false" outlineLevel="0" collapsed="false">
      <c r="A1872" s="62" t="n">
        <v>0</v>
      </c>
      <c r="B1872" s="21" t="s">
        <v>336</v>
      </c>
      <c r="C1872" s="62" t="s">
        <v>60</v>
      </c>
      <c r="D1872" s="62" t="s">
        <v>383</v>
      </c>
      <c r="E1872" s="62" t="s">
        <v>382</v>
      </c>
      <c r="F1872" s="62" t="s">
        <v>382</v>
      </c>
      <c r="G1872" s="63" t="s">
        <v>527</v>
      </c>
      <c r="H1872" s="64" t="n">
        <v>58000</v>
      </c>
      <c r="I1872" s="62" t="s">
        <v>81</v>
      </c>
      <c r="J1872" s="64" t="n">
        <v>58</v>
      </c>
      <c r="K1872" s="62" t="s">
        <v>138</v>
      </c>
      <c r="L1872" s="68" t="b">
        <f aca="false">FALSE()</f>
        <v>0</v>
      </c>
    </row>
    <row r="1873" customFormat="false" ht="15" hidden="false" customHeight="false" outlineLevel="0" collapsed="false">
      <c r="A1873" s="62" t="n">
        <v>0</v>
      </c>
      <c r="B1873" s="21" t="s">
        <v>336</v>
      </c>
      <c r="C1873" s="62" t="s">
        <v>60</v>
      </c>
      <c r="D1873" s="62" t="s">
        <v>384</v>
      </c>
      <c r="E1873" s="62" t="s">
        <v>382</v>
      </c>
      <c r="F1873" s="62" t="s">
        <v>382</v>
      </c>
      <c r="G1873" s="63" t="s">
        <v>527</v>
      </c>
      <c r="H1873" s="64" t="n">
        <v>58000</v>
      </c>
      <c r="I1873" s="62" t="s">
        <v>81</v>
      </c>
      <c r="J1873" s="64" t="n">
        <v>58</v>
      </c>
      <c r="K1873" s="62" t="s">
        <v>138</v>
      </c>
      <c r="L1873" s="68" t="b">
        <f aca="false">FALSE()</f>
        <v>0</v>
      </c>
    </row>
    <row r="1874" customFormat="false" ht="15" hidden="false" customHeight="false" outlineLevel="0" collapsed="false">
      <c r="A1874" s="62" t="n">
        <v>0</v>
      </c>
      <c r="B1874" s="21" t="s">
        <v>336</v>
      </c>
      <c r="C1874" s="62" t="s">
        <v>60</v>
      </c>
      <c r="D1874" s="62" t="s">
        <v>385</v>
      </c>
      <c r="E1874" s="62" t="s">
        <v>382</v>
      </c>
      <c r="F1874" s="62" t="s">
        <v>382</v>
      </c>
      <c r="G1874" s="63" t="s">
        <v>527</v>
      </c>
      <c r="H1874" s="64" t="n">
        <v>58000</v>
      </c>
      <c r="I1874" s="62" t="s">
        <v>81</v>
      </c>
      <c r="J1874" s="64" t="n">
        <v>58</v>
      </c>
      <c r="K1874" s="62" t="s">
        <v>138</v>
      </c>
      <c r="L1874" s="68" t="b">
        <f aca="false">FALSE()</f>
        <v>0</v>
      </c>
    </row>
    <row r="1875" customFormat="false" ht="15" hidden="false" customHeight="false" outlineLevel="0" collapsed="false">
      <c r="A1875" s="62" t="n">
        <v>0</v>
      </c>
      <c r="B1875" s="21" t="s">
        <v>336</v>
      </c>
      <c r="C1875" s="62" t="s">
        <v>60</v>
      </c>
      <c r="D1875" s="62" t="s">
        <v>386</v>
      </c>
      <c r="E1875" s="62" t="s">
        <v>382</v>
      </c>
      <c r="F1875" s="62" t="s">
        <v>382</v>
      </c>
      <c r="G1875" s="63" t="s">
        <v>527</v>
      </c>
      <c r="H1875" s="64" t="n">
        <v>58000</v>
      </c>
      <c r="I1875" s="62" t="s">
        <v>81</v>
      </c>
      <c r="J1875" s="64" t="n">
        <v>58</v>
      </c>
      <c r="K1875" s="62" t="s">
        <v>138</v>
      </c>
      <c r="L1875" s="68" t="b">
        <f aca="false">FALSE()</f>
        <v>0</v>
      </c>
    </row>
    <row r="1876" customFormat="false" ht="15" hidden="false" customHeight="false" outlineLevel="0" collapsed="false">
      <c r="A1876" s="62" t="n">
        <v>0</v>
      </c>
      <c r="B1876" s="21" t="s">
        <v>336</v>
      </c>
      <c r="C1876" s="62" t="s">
        <v>60</v>
      </c>
      <c r="D1876" s="62" t="s">
        <v>387</v>
      </c>
      <c r="E1876" s="62" t="s">
        <v>382</v>
      </c>
      <c r="F1876" s="62" t="s">
        <v>382</v>
      </c>
      <c r="G1876" s="63" t="s">
        <v>527</v>
      </c>
      <c r="H1876" s="64" t="n">
        <v>58000</v>
      </c>
      <c r="I1876" s="62" t="s">
        <v>81</v>
      </c>
      <c r="J1876" s="64" t="n">
        <v>58</v>
      </c>
      <c r="K1876" s="62" t="s">
        <v>138</v>
      </c>
      <c r="L1876" s="68" t="b">
        <f aca="false">FALSE()</f>
        <v>0</v>
      </c>
    </row>
    <row r="1877" customFormat="false" ht="15" hidden="false" customHeight="false" outlineLevel="0" collapsed="false">
      <c r="A1877" s="62" t="n">
        <v>0</v>
      </c>
      <c r="B1877" s="21" t="s">
        <v>336</v>
      </c>
      <c r="C1877" s="62" t="s">
        <v>60</v>
      </c>
      <c r="D1877" s="62" t="s">
        <v>388</v>
      </c>
      <c r="E1877" s="62" t="s">
        <v>382</v>
      </c>
      <c r="F1877" s="62" t="s">
        <v>382</v>
      </c>
      <c r="G1877" s="63" t="s">
        <v>527</v>
      </c>
      <c r="H1877" s="64" t="n">
        <v>58000</v>
      </c>
      <c r="I1877" s="62" t="s">
        <v>81</v>
      </c>
      <c r="J1877" s="64" t="n">
        <v>58</v>
      </c>
      <c r="K1877" s="62" t="s">
        <v>138</v>
      </c>
      <c r="L1877" s="68" t="b">
        <f aca="false">FALSE()</f>
        <v>0</v>
      </c>
    </row>
    <row r="1878" customFormat="false" ht="15" hidden="false" customHeight="false" outlineLevel="0" collapsed="false">
      <c r="A1878" s="62" t="n">
        <v>0</v>
      </c>
      <c r="B1878" s="21" t="s">
        <v>336</v>
      </c>
      <c r="C1878" s="62" t="s">
        <v>60</v>
      </c>
      <c r="D1878" s="62" t="s">
        <v>381</v>
      </c>
      <c r="E1878" s="62" t="s">
        <v>382</v>
      </c>
      <c r="F1878" s="62" t="s">
        <v>382</v>
      </c>
      <c r="G1878" s="63" t="s">
        <v>528</v>
      </c>
      <c r="H1878" s="64" t="n">
        <v>71340000</v>
      </c>
      <c r="I1878" s="62" t="s">
        <v>81</v>
      </c>
      <c r="J1878" s="64" t="n">
        <v>71340</v>
      </c>
      <c r="K1878" s="62" t="s">
        <v>138</v>
      </c>
      <c r="L1878" s="68" t="b">
        <f aca="false">FALSE()</f>
        <v>0</v>
      </c>
    </row>
    <row r="1879" customFormat="false" ht="15" hidden="false" customHeight="false" outlineLevel="0" collapsed="false">
      <c r="A1879" s="62" t="n">
        <v>0</v>
      </c>
      <c r="B1879" s="21" t="s">
        <v>336</v>
      </c>
      <c r="C1879" s="62" t="s">
        <v>60</v>
      </c>
      <c r="D1879" s="62" t="s">
        <v>383</v>
      </c>
      <c r="E1879" s="62" t="s">
        <v>382</v>
      </c>
      <c r="F1879" s="62" t="s">
        <v>382</v>
      </c>
      <c r="G1879" s="63" t="s">
        <v>528</v>
      </c>
      <c r="H1879" s="64" t="n">
        <v>71340000</v>
      </c>
      <c r="I1879" s="62" t="s">
        <v>81</v>
      </c>
      <c r="J1879" s="64" t="n">
        <v>71340</v>
      </c>
      <c r="K1879" s="62" t="s">
        <v>138</v>
      </c>
      <c r="L1879" s="68" t="b">
        <f aca="false">FALSE()</f>
        <v>0</v>
      </c>
    </row>
    <row r="1880" customFormat="false" ht="15" hidden="false" customHeight="false" outlineLevel="0" collapsed="false">
      <c r="A1880" s="62" t="n">
        <v>0</v>
      </c>
      <c r="B1880" s="21" t="s">
        <v>336</v>
      </c>
      <c r="C1880" s="62" t="s">
        <v>60</v>
      </c>
      <c r="D1880" s="62" t="s">
        <v>384</v>
      </c>
      <c r="E1880" s="62" t="s">
        <v>382</v>
      </c>
      <c r="F1880" s="62" t="s">
        <v>382</v>
      </c>
      <c r="G1880" s="63" t="s">
        <v>528</v>
      </c>
      <c r="H1880" s="64" t="n">
        <v>71340000</v>
      </c>
      <c r="I1880" s="62" t="s">
        <v>81</v>
      </c>
      <c r="J1880" s="64" t="n">
        <v>71340</v>
      </c>
      <c r="K1880" s="62" t="s">
        <v>138</v>
      </c>
      <c r="L1880" s="68" t="b">
        <f aca="false">FALSE()</f>
        <v>0</v>
      </c>
    </row>
    <row r="1881" customFormat="false" ht="15" hidden="false" customHeight="false" outlineLevel="0" collapsed="false">
      <c r="A1881" s="62" t="n">
        <v>0</v>
      </c>
      <c r="B1881" s="21" t="s">
        <v>336</v>
      </c>
      <c r="C1881" s="62" t="s">
        <v>60</v>
      </c>
      <c r="D1881" s="62" t="s">
        <v>385</v>
      </c>
      <c r="E1881" s="62" t="s">
        <v>382</v>
      </c>
      <c r="F1881" s="62" t="s">
        <v>382</v>
      </c>
      <c r="G1881" s="63" t="s">
        <v>528</v>
      </c>
      <c r="H1881" s="64" t="n">
        <v>71340000</v>
      </c>
      <c r="I1881" s="62" t="s">
        <v>81</v>
      </c>
      <c r="J1881" s="64" t="n">
        <v>71340</v>
      </c>
      <c r="K1881" s="62" t="s">
        <v>138</v>
      </c>
      <c r="L1881" s="68" t="b">
        <f aca="false">FALSE()</f>
        <v>0</v>
      </c>
    </row>
    <row r="1882" customFormat="false" ht="15" hidden="false" customHeight="false" outlineLevel="0" collapsed="false">
      <c r="A1882" s="62" t="n">
        <v>0</v>
      </c>
      <c r="B1882" s="21" t="s">
        <v>336</v>
      </c>
      <c r="C1882" s="62" t="s">
        <v>60</v>
      </c>
      <c r="D1882" s="62" t="s">
        <v>386</v>
      </c>
      <c r="E1882" s="62" t="s">
        <v>382</v>
      </c>
      <c r="F1882" s="62" t="s">
        <v>382</v>
      </c>
      <c r="G1882" s="63" t="s">
        <v>528</v>
      </c>
      <c r="H1882" s="64" t="n">
        <v>71340000</v>
      </c>
      <c r="I1882" s="62" t="s">
        <v>81</v>
      </c>
      <c r="J1882" s="64" t="n">
        <v>71340</v>
      </c>
      <c r="K1882" s="62" t="s">
        <v>138</v>
      </c>
      <c r="L1882" s="68" t="b">
        <f aca="false">FALSE()</f>
        <v>0</v>
      </c>
    </row>
    <row r="1883" customFormat="false" ht="15" hidden="false" customHeight="false" outlineLevel="0" collapsed="false">
      <c r="A1883" s="62" t="n">
        <v>0</v>
      </c>
      <c r="B1883" s="21" t="s">
        <v>336</v>
      </c>
      <c r="C1883" s="62" t="s">
        <v>60</v>
      </c>
      <c r="D1883" s="62" t="s">
        <v>387</v>
      </c>
      <c r="E1883" s="62" t="s">
        <v>382</v>
      </c>
      <c r="F1883" s="62" t="s">
        <v>382</v>
      </c>
      <c r="G1883" s="63" t="s">
        <v>528</v>
      </c>
      <c r="H1883" s="64" t="n">
        <v>71340000</v>
      </c>
      <c r="I1883" s="62" t="s">
        <v>81</v>
      </c>
      <c r="J1883" s="64" t="n">
        <v>71340</v>
      </c>
      <c r="K1883" s="62" t="s">
        <v>138</v>
      </c>
      <c r="L1883" s="68" t="b">
        <f aca="false">FALSE()</f>
        <v>0</v>
      </c>
    </row>
    <row r="1884" customFormat="false" ht="15" hidden="false" customHeight="false" outlineLevel="0" collapsed="false">
      <c r="A1884" s="62" t="n">
        <v>0</v>
      </c>
      <c r="B1884" s="21" t="s">
        <v>336</v>
      </c>
      <c r="C1884" s="62" t="s">
        <v>60</v>
      </c>
      <c r="D1884" s="62" t="s">
        <v>388</v>
      </c>
      <c r="E1884" s="62" t="s">
        <v>382</v>
      </c>
      <c r="F1884" s="62" t="s">
        <v>382</v>
      </c>
      <c r="G1884" s="63" t="s">
        <v>528</v>
      </c>
      <c r="H1884" s="64" t="n">
        <v>71340000</v>
      </c>
      <c r="I1884" s="62" t="s">
        <v>81</v>
      </c>
      <c r="J1884" s="64" t="n">
        <v>71340</v>
      </c>
      <c r="K1884" s="62" t="s">
        <v>138</v>
      </c>
      <c r="L1884" s="68" t="b">
        <f aca="false">FALSE()</f>
        <v>0</v>
      </c>
    </row>
    <row r="1885" customFormat="false" ht="15" hidden="false" customHeight="false" outlineLevel="0" collapsed="false">
      <c r="A1885" s="62" t="n">
        <v>0</v>
      </c>
      <c r="B1885" s="21" t="s">
        <v>336</v>
      </c>
      <c r="C1885" s="62" t="s">
        <v>60</v>
      </c>
      <c r="D1885" s="62" t="s">
        <v>381</v>
      </c>
      <c r="E1885" s="62" t="s">
        <v>382</v>
      </c>
      <c r="F1885" s="62" t="s">
        <v>382</v>
      </c>
      <c r="G1885" s="63" t="s">
        <v>529</v>
      </c>
      <c r="H1885" s="64" t="n">
        <v>7500</v>
      </c>
      <c r="I1885" s="62" t="s">
        <v>81</v>
      </c>
      <c r="J1885" s="64" t="n">
        <v>7.5</v>
      </c>
      <c r="K1885" s="62" t="s">
        <v>138</v>
      </c>
      <c r="L1885" s="68" t="b">
        <f aca="false">FALSE()</f>
        <v>0</v>
      </c>
    </row>
    <row r="1886" customFormat="false" ht="15" hidden="false" customHeight="false" outlineLevel="0" collapsed="false">
      <c r="A1886" s="62" t="n">
        <v>0</v>
      </c>
      <c r="B1886" s="21" t="s">
        <v>336</v>
      </c>
      <c r="C1886" s="62" t="s">
        <v>60</v>
      </c>
      <c r="D1886" s="62" t="s">
        <v>383</v>
      </c>
      <c r="E1886" s="62" t="s">
        <v>382</v>
      </c>
      <c r="F1886" s="62" t="s">
        <v>382</v>
      </c>
      <c r="G1886" s="63" t="s">
        <v>529</v>
      </c>
      <c r="H1886" s="64" t="n">
        <v>7500</v>
      </c>
      <c r="I1886" s="62" t="s">
        <v>81</v>
      </c>
      <c r="J1886" s="64" t="n">
        <v>7.5</v>
      </c>
      <c r="K1886" s="62" t="s">
        <v>138</v>
      </c>
      <c r="L1886" s="68" t="b">
        <f aca="false">FALSE()</f>
        <v>0</v>
      </c>
    </row>
    <row r="1887" customFormat="false" ht="15" hidden="false" customHeight="false" outlineLevel="0" collapsed="false">
      <c r="A1887" s="62" t="n">
        <v>0</v>
      </c>
      <c r="B1887" s="21" t="s">
        <v>336</v>
      </c>
      <c r="C1887" s="62" t="s">
        <v>60</v>
      </c>
      <c r="D1887" s="62" t="s">
        <v>384</v>
      </c>
      <c r="E1887" s="62" t="s">
        <v>382</v>
      </c>
      <c r="F1887" s="62" t="s">
        <v>382</v>
      </c>
      <c r="G1887" s="63" t="s">
        <v>529</v>
      </c>
      <c r="H1887" s="64" t="n">
        <v>7500</v>
      </c>
      <c r="I1887" s="62" t="s">
        <v>81</v>
      </c>
      <c r="J1887" s="64" t="n">
        <v>7.5</v>
      </c>
      <c r="K1887" s="62" t="s">
        <v>138</v>
      </c>
      <c r="L1887" s="68" t="b">
        <f aca="false">FALSE()</f>
        <v>0</v>
      </c>
    </row>
    <row r="1888" customFormat="false" ht="15" hidden="false" customHeight="false" outlineLevel="0" collapsed="false">
      <c r="A1888" s="62" t="n">
        <v>0</v>
      </c>
      <c r="B1888" s="21" t="s">
        <v>336</v>
      </c>
      <c r="C1888" s="62" t="s">
        <v>60</v>
      </c>
      <c r="D1888" s="62" t="s">
        <v>385</v>
      </c>
      <c r="E1888" s="62" t="s">
        <v>382</v>
      </c>
      <c r="F1888" s="62" t="s">
        <v>382</v>
      </c>
      <c r="G1888" s="63" t="s">
        <v>529</v>
      </c>
      <c r="H1888" s="64" t="n">
        <v>7500</v>
      </c>
      <c r="I1888" s="62" t="s">
        <v>81</v>
      </c>
      <c r="J1888" s="64" t="n">
        <v>7.5</v>
      </c>
      <c r="K1888" s="62" t="s">
        <v>138</v>
      </c>
      <c r="L1888" s="68" t="b">
        <f aca="false">FALSE()</f>
        <v>0</v>
      </c>
    </row>
    <row r="1889" customFormat="false" ht="15" hidden="false" customHeight="false" outlineLevel="0" collapsed="false">
      <c r="A1889" s="62" t="n">
        <v>0</v>
      </c>
      <c r="B1889" s="21" t="s">
        <v>336</v>
      </c>
      <c r="C1889" s="62" t="s">
        <v>60</v>
      </c>
      <c r="D1889" s="62" t="s">
        <v>386</v>
      </c>
      <c r="E1889" s="62" t="s">
        <v>382</v>
      </c>
      <c r="F1889" s="62" t="s">
        <v>382</v>
      </c>
      <c r="G1889" s="63" t="s">
        <v>529</v>
      </c>
      <c r="H1889" s="64" t="n">
        <v>7500</v>
      </c>
      <c r="I1889" s="62" t="s">
        <v>81</v>
      </c>
      <c r="J1889" s="64" t="n">
        <v>7.5</v>
      </c>
      <c r="K1889" s="62" t="s">
        <v>138</v>
      </c>
      <c r="L1889" s="68" t="b">
        <f aca="false">FALSE()</f>
        <v>0</v>
      </c>
    </row>
    <row r="1890" customFormat="false" ht="15" hidden="false" customHeight="false" outlineLevel="0" collapsed="false">
      <c r="A1890" s="62" t="n">
        <v>0</v>
      </c>
      <c r="B1890" s="21" t="s">
        <v>336</v>
      </c>
      <c r="C1890" s="62" t="s">
        <v>60</v>
      </c>
      <c r="D1890" s="62" t="s">
        <v>387</v>
      </c>
      <c r="E1890" s="62" t="s">
        <v>382</v>
      </c>
      <c r="F1890" s="62" t="s">
        <v>382</v>
      </c>
      <c r="G1890" s="63" t="s">
        <v>529</v>
      </c>
      <c r="H1890" s="64" t="n">
        <v>7500</v>
      </c>
      <c r="I1890" s="62" t="s">
        <v>81</v>
      </c>
      <c r="J1890" s="64" t="n">
        <v>7.5</v>
      </c>
      <c r="K1890" s="62" t="s">
        <v>138</v>
      </c>
      <c r="L1890" s="68" t="b">
        <f aca="false">FALSE()</f>
        <v>0</v>
      </c>
    </row>
    <row r="1891" customFormat="false" ht="15" hidden="false" customHeight="false" outlineLevel="0" collapsed="false">
      <c r="A1891" s="62" t="n">
        <v>0</v>
      </c>
      <c r="B1891" s="21" t="s">
        <v>336</v>
      </c>
      <c r="C1891" s="62" t="s">
        <v>60</v>
      </c>
      <c r="D1891" s="62" t="s">
        <v>388</v>
      </c>
      <c r="E1891" s="62" t="s">
        <v>382</v>
      </c>
      <c r="F1891" s="62" t="s">
        <v>382</v>
      </c>
      <c r="G1891" s="63" t="s">
        <v>529</v>
      </c>
      <c r="H1891" s="64" t="n">
        <v>7500</v>
      </c>
      <c r="I1891" s="62" t="s">
        <v>81</v>
      </c>
      <c r="J1891" s="64" t="n">
        <v>7.5</v>
      </c>
      <c r="K1891" s="62" t="s">
        <v>138</v>
      </c>
      <c r="L1891" s="68" t="b">
        <f aca="false">FALSE()</f>
        <v>0</v>
      </c>
    </row>
    <row r="1892" customFormat="false" ht="15" hidden="false" customHeight="false" outlineLevel="0" collapsed="false">
      <c r="A1892" s="62" t="n">
        <v>0</v>
      </c>
      <c r="B1892" s="21" t="s">
        <v>336</v>
      </c>
      <c r="C1892" s="62" t="s">
        <v>60</v>
      </c>
      <c r="D1892" s="62" t="s">
        <v>381</v>
      </c>
      <c r="E1892" s="62" t="s">
        <v>382</v>
      </c>
      <c r="F1892" s="62" t="s">
        <v>382</v>
      </c>
      <c r="G1892" s="63" t="s">
        <v>530</v>
      </c>
      <c r="H1892" s="64" t="n">
        <v>9225000</v>
      </c>
      <c r="I1892" s="62" t="s">
        <v>81</v>
      </c>
      <c r="J1892" s="64" t="n">
        <v>9225</v>
      </c>
      <c r="K1892" s="62" t="s">
        <v>138</v>
      </c>
      <c r="L1892" s="68" t="b">
        <f aca="false">FALSE()</f>
        <v>0</v>
      </c>
    </row>
    <row r="1893" customFormat="false" ht="15" hidden="false" customHeight="false" outlineLevel="0" collapsed="false">
      <c r="A1893" s="62" t="n">
        <v>0</v>
      </c>
      <c r="B1893" s="21" t="s">
        <v>336</v>
      </c>
      <c r="C1893" s="62" t="s">
        <v>60</v>
      </c>
      <c r="D1893" s="62" t="s">
        <v>383</v>
      </c>
      <c r="E1893" s="62" t="s">
        <v>382</v>
      </c>
      <c r="F1893" s="62" t="s">
        <v>382</v>
      </c>
      <c r="G1893" s="63" t="s">
        <v>530</v>
      </c>
      <c r="H1893" s="64" t="n">
        <v>9225000</v>
      </c>
      <c r="I1893" s="62" t="s">
        <v>81</v>
      </c>
      <c r="J1893" s="64" t="n">
        <v>9225</v>
      </c>
      <c r="K1893" s="62" t="s">
        <v>138</v>
      </c>
      <c r="L1893" s="68" t="b">
        <f aca="false">FALSE()</f>
        <v>0</v>
      </c>
    </row>
    <row r="1894" customFormat="false" ht="15" hidden="false" customHeight="false" outlineLevel="0" collapsed="false">
      <c r="A1894" s="62" t="n">
        <v>0</v>
      </c>
      <c r="B1894" s="21" t="s">
        <v>336</v>
      </c>
      <c r="C1894" s="62" t="s">
        <v>60</v>
      </c>
      <c r="D1894" s="62" t="s">
        <v>384</v>
      </c>
      <c r="E1894" s="62" t="s">
        <v>382</v>
      </c>
      <c r="F1894" s="62" t="s">
        <v>382</v>
      </c>
      <c r="G1894" s="63" t="s">
        <v>530</v>
      </c>
      <c r="H1894" s="64" t="n">
        <v>9225000</v>
      </c>
      <c r="I1894" s="62" t="s">
        <v>81</v>
      </c>
      <c r="J1894" s="64" t="n">
        <v>9225</v>
      </c>
      <c r="K1894" s="62" t="s">
        <v>138</v>
      </c>
      <c r="L1894" s="68" t="b">
        <f aca="false">FALSE()</f>
        <v>0</v>
      </c>
    </row>
    <row r="1895" customFormat="false" ht="15" hidden="false" customHeight="false" outlineLevel="0" collapsed="false">
      <c r="A1895" s="62" t="n">
        <v>0</v>
      </c>
      <c r="B1895" s="21" t="s">
        <v>336</v>
      </c>
      <c r="C1895" s="62" t="s">
        <v>60</v>
      </c>
      <c r="D1895" s="62" t="s">
        <v>385</v>
      </c>
      <c r="E1895" s="62" t="s">
        <v>382</v>
      </c>
      <c r="F1895" s="62" t="s">
        <v>382</v>
      </c>
      <c r="G1895" s="63" t="s">
        <v>530</v>
      </c>
      <c r="H1895" s="64" t="n">
        <v>9225000</v>
      </c>
      <c r="I1895" s="62" t="s">
        <v>81</v>
      </c>
      <c r="J1895" s="64" t="n">
        <v>9225</v>
      </c>
      <c r="K1895" s="62" t="s">
        <v>138</v>
      </c>
      <c r="L1895" s="68" t="b">
        <f aca="false">FALSE()</f>
        <v>0</v>
      </c>
    </row>
    <row r="1896" customFormat="false" ht="15" hidden="false" customHeight="false" outlineLevel="0" collapsed="false">
      <c r="A1896" s="62" t="n">
        <v>0</v>
      </c>
      <c r="B1896" s="21" t="s">
        <v>336</v>
      </c>
      <c r="C1896" s="62" t="s">
        <v>60</v>
      </c>
      <c r="D1896" s="62" t="s">
        <v>386</v>
      </c>
      <c r="E1896" s="62" t="s">
        <v>382</v>
      </c>
      <c r="F1896" s="62" t="s">
        <v>382</v>
      </c>
      <c r="G1896" s="63" t="s">
        <v>530</v>
      </c>
      <c r="H1896" s="64" t="n">
        <v>9225000</v>
      </c>
      <c r="I1896" s="62" t="s">
        <v>81</v>
      </c>
      <c r="J1896" s="64" t="n">
        <v>9225</v>
      </c>
      <c r="K1896" s="62" t="s">
        <v>138</v>
      </c>
      <c r="L1896" s="68" t="b">
        <f aca="false">FALSE()</f>
        <v>0</v>
      </c>
    </row>
    <row r="1897" customFormat="false" ht="15" hidden="false" customHeight="false" outlineLevel="0" collapsed="false">
      <c r="A1897" s="62" t="n">
        <v>0</v>
      </c>
      <c r="B1897" s="21" t="s">
        <v>336</v>
      </c>
      <c r="C1897" s="62" t="s">
        <v>60</v>
      </c>
      <c r="D1897" s="62" t="s">
        <v>387</v>
      </c>
      <c r="E1897" s="62" t="s">
        <v>382</v>
      </c>
      <c r="F1897" s="62" t="s">
        <v>382</v>
      </c>
      <c r="G1897" s="63" t="s">
        <v>530</v>
      </c>
      <c r="H1897" s="64" t="n">
        <v>9225000</v>
      </c>
      <c r="I1897" s="62" t="s">
        <v>81</v>
      </c>
      <c r="J1897" s="64" t="n">
        <v>9225</v>
      </c>
      <c r="K1897" s="62" t="s">
        <v>138</v>
      </c>
      <c r="L1897" s="68" t="b">
        <f aca="false">FALSE()</f>
        <v>0</v>
      </c>
    </row>
    <row r="1898" customFormat="false" ht="15" hidden="false" customHeight="false" outlineLevel="0" collapsed="false">
      <c r="A1898" s="62" t="n">
        <v>0</v>
      </c>
      <c r="B1898" s="21" t="s">
        <v>336</v>
      </c>
      <c r="C1898" s="62" t="s">
        <v>60</v>
      </c>
      <c r="D1898" s="62" t="s">
        <v>388</v>
      </c>
      <c r="E1898" s="62" t="s">
        <v>382</v>
      </c>
      <c r="F1898" s="62" t="s">
        <v>382</v>
      </c>
      <c r="G1898" s="63" t="s">
        <v>530</v>
      </c>
      <c r="H1898" s="64" t="n">
        <v>9225000</v>
      </c>
      <c r="I1898" s="62" t="s">
        <v>81</v>
      </c>
      <c r="J1898" s="64" t="n">
        <v>9225</v>
      </c>
      <c r="K1898" s="62" t="s">
        <v>138</v>
      </c>
      <c r="L1898" s="68" t="b">
        <f aca="false">FALSE()</f>
        <v>0</v>
      </c>
    </row>
    <row r="1899" customFormat="false" ht="15" hidden="false" customHeight="false" outlineLevel="0" collapsed="false">
      <c r="A1899" s="62" t="n">
        <v>0</v>
      </c>
      <c r="B1899" s="21" t="s">
        <v>336</v>
      </c>
      <c r="C1899" s="62" t="s">
        <v>60</v>
      </c>
      <c r="D1899" s="62" t="s">
        <v>381</v>
      </c>
      <c r="E1899" s="62" t="s">
        <v>382</v>
      </c>
      <c r="F1899" s="62" t="s">
        <v>382</v>
      </c>
      <c r="G1899" s="63" t="s">
        <v>531</v>
      </c>
      <c r="H1899" s="64" t="n">
        <v>49000</v>
      </c>
      <c r="I1899" s="62" t="s">
        <v>81</v>
      </c>
      <c r="J1899" s="64" t="n">
        <v>49</v>
      </c>
      <c r="K1899" s="62" t="s">
        <v>138</v>
      </c>
      <c r="L1899" s="68" t="b">
        <f aca="false">FALSE()</f>
        <v>0</v>
      </c>
    </row>
    <row r="1900" customFormat="false" ht="15" hidden="false" customHeight="false" outlineLevel="0" collapsed="false">
      <c r="A1900" s="62" t="n">
        <v>0</v>
      </c>
      <c r="B1900" s="21" t="s">
        <v>336</v>
      </c>
      <c r="C1900" s="62" t="s">
        <v>60</v>
      </c>
      <c r="D1900" s="62" t="s">
        <v>383</v>
      </c>
      <c r="E1900" s="62" t="s">
        <v>382</v>
      </c>
      <c r="F1900" s="62" t="s">
        <v>382</v>
      </c>
      <c r="G1900" s="63" t="s">
        <v>531</v>
      </c>
      <c r="H1900" s="64" t="n">
        <v>49000</v>
      </c>
      <c r="I1900" s="62" t="s">
        <v>81</v>
      </c>
      <c r="J1900" s="64" t="n">
        <v>49</v>
      </c>
      <c r="K1900" s="62" t="s">
        <v>138</v>
      </c>
      <c r="L1900" s="68" t="b">
        <f aca="false">FALSE()</f>
        <v>0</v>
      </c>
    </row>
    <row r="1901" customFormat="false" ht="15" hidden="false" customHeight="false" outlineLevel="0" collapsed="false">
      <c r="A1901" s="62" t="n">
        <v>0</v>
      </c>
      <c r="B1901" s="21" t="s">
        <v>336</v>
      </c>
      <c r="C1901" s="62" t="s">
        <v>60</v>
      </c>
      <c r="D1901" s="62" t="s">
        <v>384</v>
      </c>
      <c r="E1901" s="62" t="s">
        <v>382</v>
      </c>
      <c r="F1901" s="62" t="s">
        <v>382</v>
      </c>
      <c r="G1901" s="63" t="s">
        <v>531</v>
      </c>
      <c r="H1901" s="64" t="n">
        <v>49000</v>
      </c>
      <c r="I1901" s="62" t="s">
        <v>81</v>
      </c>
      <c r="J1901" s="64" t="n">
        <v>49</v>
      </c>
      <c r="K1901" s="62" t="s">
        <v>138</v>
      </c>
      <c r="L1901" s="68" t="b">
        <f aca="false">FALSE()</f>
        <v>0</v>
      </c>
    </row>
    <row r="1902" customFormat="false" ht="15" hidden="false" customHeight="false" outlineLevel="0" collapsed="false">
      <c r="A1902" s="62" t="n">
        <v>0</v>
      </c>
      <c r="B1902" s="21" t="s">
        <v>336</v>
      </c>
      <c r="C1902" s="62" t="s">
        <v>60</v>
      </c>
      <c r="D1902" s="62" t="s">
        <v>385</v>
      </c>
      <c r="E1902" s="62" t="s">
        <v>382</v>
      </c>
      <c r="F1902" s="62" t="s">
        <v>382</v>
      </c>
      <c r="G1902" s="63" t="s">
        <v>531</v>
      </c>
      <c r="H1902" s="64" t="n">
        <v>49000</v>
      </c>
      <c r="I1902" s="62" t="s">
        <v>81</v>
      </c>
      <c r="J1902" s="64" t="n">
        <v>49</v>
      </c>
      <c r="K1902" s="62" t="s">
        <v>138</v>
      </c>
      <c r="L1902" s="68" t="b">
        <f aca="false">FALSE()</f>
        <v>0</v>
      </c>
    </row>
    <row r="1903" customFormat="false" ht="15" hidden="false" customHeight="false" outlineLevel="0" collapsed="false">
      <c r="A1903" s="62" t="n">
        <v>0</v>
      </c>
      <c r="B1903" s="21" t="s">
        <v>336</v>
      </c>
      <c r="C1903" s="62" t="s">
        <v>60</v>
      </c>
      <c r="D1903" s="62" t="s">
        <v>386</v>
      </c>
      <c r="E1903" s="62" t="s">
        <v>382</v>
      </c>
      <c r="F1903" s="62" t="s">
        <v>382</v>
      </c>
      <c r="G1903" s="63" t="s">
        <v>531</v>
      </c>
      <c r="H1903" s="64" t="n">
        <v>49000</v>
      </c>
      <c r="I1903" s="62" t="s">
        <v>81</v>
      </c>
      <c r="J1903" s="64" t="n">
        <v>49</v>
      </c>
      <c r="K1903" s="62" t="s">
        <v>138</v>
      </c>
      <c r="L1903" s="68" t="b">
        <f aca="false">FALSE()</f>
        <v>0</v>
      </c>
    </row>
    <row r="1904" customFormat="false" ht="15" hidden="false" customHeight="false" outlineLevel="0" collapsed="false">
      <c r="A1904" s="62" t="n">
        <v>0</v>
      </c>
      <c r="B1904" s="21" t="s">
        <v>336</v>
      </c>
      <c r="C1904" s="62" t="s">
        <v>60</v>
      </c>
      <c r="D1904" s="62" t="s">
        <v>387</v>
      </c>
      <c r="E1904" s="62" t="s">
        <v>382</v>
      </c>
      <c r="F1904" s="62" t="s">
        <v>382</v>
      </c>
      <c r="G1904" s="63" t="s">
        <v>531</v>
      </c>
      <c r="H1904" s="64" t="n">
        <v>49000</v>
      </c>
      <c r="I1904" s="62" t="s">
        <v>81</v>
      </c>
      <c r="J1904" s="64" t="n">
        <v>49</v>
      </c>
      <c r="K1904" s="62" t="s">
        <v>138</v>
      </c>
      <c r="L1904" s="68" t="b">
        <f aca="false">FALSE()</f>
        <v>0</v>
      </c>
    </row>
    <row r="1905" customFormat="false" ht="15" hidden="false" customHeight="false" outlineLevel="0" collapsed="false">
      <c r="A1905" s="62" t="n">
        <v>0</v>
      </c>
      <c r="B1905" s="21" t="s">
        <v>336</v>
      </c>
      <c r="C1905" s="62" t="s">
        <v>60</v>
      </c>
      <c r="D1905" s="62" t="s">
        <v>388</v>
      </c>
      <c r="E1905" s="62" t="s">
        <v>382</v>
      </c>
      <c r="F1905" s="62" t="s">
        <v>382</v>
      </c>
      <c r="G1905" s="63" t="s">
        <v>531</v>
      </c>
      <c r="H1905" s="64" t="n">
        <v>49000</v>
      </c>
      <c r="I1905" s="62" t="s">
        <v>81</v>
      </c>
      <c r="J1905" s="64" t="n">
        <v>49</v>
      </c>
      <c r="K1905" s="62" t="s">
        <v>138</v>
      </c>
      <c r="L1905" s="68" t="b">
        <f aca="false">FALSE()</f>
        <v>0</v>
      </c>
    </row>
    <row r="1906" customFormat="false" ht="15" hidden="false" customHeight="false" outlineLevel="0" collapsed="false">
      <c r="A1906" s="62" t="n">
        <v>0</v>
      </c>
      <c r="B1906" s="21" t="s">
        <v>336</v>
      </c>
      <c r="C1906" s="62" t="s">
        <v>60</v>
      </c>
      <c r="D1906" s="62" t="s">
        <v>381</v>
      </c>
      <c r="E1906" s="62" t="s">
        <v>382</v>
      </c>
      <c r="F1906" s="62" t="s">
        <v>382</v>
      </c>
      <c r="G1906" s="63" t="s">
        <v>532</v>
      </c>
      <c r="H1906" s="64" t="n">
        <v>39230250</v>
      </c>
      <c r="I1906" s="62" t="s">
        <v>81</v>
      </c>
      <c r="J1906" s="64" t="n">
        <v>39230.25</v>
      </c>
      <c r="K1906" s="62" t="s">
        <v>138</v>
      </c>
      <c r="L1906" s="68" t="b">
        <f aca="false">FALSE()</f>
        <v>0</v>
      </c>
    </row>
    <row r="1907" customFormat="false" ht="15" hidden="false" customHeight="false" outlineLevel="0" collapsed="false">
      <c r="A1907" s="62" t="n">
        <v>0</v>
      </c>
      <c r="B1907" s="21" t="s">
        <v>336</v>
      </c>
      <c r="C1907" s="62" t="s">
        <v>60</v>
      </c>
      <c r="D1907" s="62" t="s">
        <v>383</v>
      </c>
      <c r="E1907" s="62" t="s">
        <v>382</v>
      </c>
      <c r="F1907" s="62" t="s">
        <v>382</v>
      </c>
      <c r="G1907" s="63" t="s">
        <v>532</v>
      </c>
      <c r="H1907" s="64" t="n">
        <v>39230250</v>
      </c>
      <c r="I1907" s="62" t="s">
        <v>81</v>
      </c>
      <c r="J1907" s="64" t="n">
        <v>39230.25</v>
      </c>
      <c r="K1907" s="62" t="s">
        <v>138</v>
      </c>
      <c r="L1907" s="68" t="b">
        <f aca="false">FALSE()</f>
        <v>0</v>
      </c>
    </row>
    <row r="1908" customFormat="false" ht="15" hidden="false" customHeight="false" outlineLevel="0" collapsed="false">
      <c r="A1908" s="62" t="n">
        <v>0</v>
      </c>
      <c r="B1908" s="21" t="s">
        <v>336</v>
      </c>
      <c r="C1908" s="62" t="s">
        <v>60</v>
      </c>
      <c r="D1908" s="62" t="s">
        <v>384</v>
      </c>
      <c r="E1908" s="62" t="s">
        <v>382</v>
      </c>
      <c r="F1908" s="62" t="s">
        <v>382</v>
      </c>
      <c r="G1908" s="63" t="s">
        <v>532</v>
      </c>
      <c r="H1908" s="64" t="n">
        <v>39230250</v>
      </c>
      <c r="I1908" s="62" t="s">
        <v>81</v>
      </c>
      <c r="J1908" s="64" t="n">
        <v>39230.25</v>
      </c>
      <c r="K1908" s="62" t="s">
        <v>138</v>
      </c>
      <c r="L1908" s="68" t="b">
        <f aca="false">FALSE()</f>
        <v>0</v>
      </c>
    </row>
    <row r="1909" customFormat="false" ht="15" hidden="false" customHeight="false" outlineLevel="0" collapsed="false">
      <c r="A1909" s="62" t="n">
        <v>0</v>
      </c>
      <c r="B1909" s="21" t="s">
        <v>336</v>
      </c>
      <c r="C1909" s="62" t="s">
        <v>60</v>
      </c>
      <c r="D1909" s="62" t="s">
        <v>385</v>
      </c>
      <c r="E1909" s="62" t="s">
        <v>382</v>
      </c>
      <c r="F1909" s="62" t="s">
        <v>382</v>
      </c>
      <c r="G1909" s="63" t="s">
        <v>532</v>
      </c>
      <c r="H1909" s="64" t="n">
        <v>39230250</v>
      </c>
      <c r="I1909" s="62" t="s">
        <v>81</v>
      </c>
      <c r="J1909" s="64" t="n">
        <v>39230.25</v>
      </c>
      <c r="K1909" s="62" t="s">
        <v>138</v>
      </c>
      <c r="L1909" s="68" t="b">
        <f aca="false">FALSE()</f>
        <v>0</v>
      </c>
    </row>
    <row r="1910" customFormat="false" ht="15" hidden="false" customHeight="false" outlineLevel="0" collapsed="false">
      <c r="A1910" s="62" t="n">
        <v>0</v>
      </c>
      <c r="B1910" s="21" t="s">
        <v>336</v>
      </c>
      <c r="C1910" s="62" t="s">
        <v>60</v>
      </c>
      <c r="D1910" s="62" t="s">
        <v>386</v>
      </c>
      <c r="E1910" s="62" t="s">
        <v>382</v>
      </c>
      <c r="F1910" s="62" t="s">
        <v>382</v>
      </c>
      <c r="G1910" s="63" t="s">
        <v>532</v>
      </c>
      <c r="H1910" s="64" t="n">
        <v>39230250</v>
      </c>
      <c r="I1910" s="62" t="s">
        <v>81</v>
      </c>
      <c r="J1910" s="64" t="n">
        <v>39230.25</v>
      </c>
      <c r="K1910" s="62" t="s">
        <v>138</v>
      </c>
      <c r="L1910" s="68" t="b">
        <f aca="false">FALSE()</f>
        <v>0</v>
      </c>
    </row>
    <row r="1911" customFormat="false" ht="15" hidden="false" customHeight="false" outlineLevel="0" collapsed="false">
      <c r="A1911" s="62" t="n">
        <v>0</v>
      </c>
      <c r="B1911" s="21" t="s">
        <v>336</v>
      </c>
      <c r="C1911" s="62" t="s">
        <v>60</v>
      </c>
      <c r="D1911" s="62" t="s">
        <v>387</v>
      </c>
      <c r="E1911" s="62" t="s">
        <v>382</v>
      </c>
      <c r="F1911" s="62" t="s">
        <v>382</v>
      </c>
      <c r="G1911" s="63" t="s">
        <v>532</v>
      </c>
      <c r="H1911" s="64" t="n">
        <v>39230250</v>
      </c>
      <c r="I1911" s="62" t="s">
        <v>81</v>
      </c>
      <c r="J1911" s="64" t="n">
        <v>39230.25</v>
      </c>
      <c r="K1911" s="62" t="s">
        <v>138</v>
      </c>
      <c r="L1911" s="68" t="b">
        <f aca="false">FALSE()</f>
        <v>0</v>
      </c>
    </row>
    <row r="1912" customFormat="false" ht="15" hidden="false" customHeight="false" outlineLevel="0" collapsed="false">
      <c r="A1912" s="62" t="n">
        <v>0</v>
      </c>
      <c r="B1912" s="21" t="s">
        <v>336</v>
      </c>
      <c r="C1912" s="62" t="s">
        <v>60</v>
      </c>
      <c r="D1912" s="62" t="s">
        <v>388</v>
      </c>
      <c r="E1912" s="62" t="s">
        <v>382</v>
      </c>
      <c r="F1912" s="62" t="s">
        <v>382</v>
      </c>
      <c r="G1912" s="63" t="s">
        <v>532</v>
      </c>
      <c r="H1912" s="64" t="n">
        <v>39230250</v>
      </c>
      <c r="I1912" s="62" t="s">
        <v>81</v>
      </c>
      <c r="J1912" s="64" t="n">
        <v>39230.25</v>
      </c>
      <c r="K1912" s="62" t="s">
        <v>138</v>
      </c>
      <c r="L1912" s="68" t="b">
        <f aca="false">FALSE()</f>
        <v>0</v>
      </c>
    </row>
    <row r="1913" customFormat="false" ht="15" hidden="false" customHeight="false" outlineLevel="0" collapsed="false">
      <c r="A1913" s="62" t="n">
        <v>0</v>
      </c>
      <c r="B1913" s="21" t="s">
        <v>336</v>
      </c>
      <c r="C1913" s="62" t="s">
        <v>60</v>
      </c>
      <c r="D1913" s="62" t="s">
        <v>381</v>
      </c>
      <c r="E1913" s="62" t="s">
        <v>382</v>
      </c>
      <c r="F1913" s="62" t="s">
        <v>382</v>
      </c>
      <c r="G1913" s="63" t="s">
        <v>533</v>
      </c>
      <c r="H1913" s="64" t="n">
        <v>70000</v>
      </c>
      <c r="I1913" s="62" t="s">
        <v>81</v>
      </c>
      <c r="J1913" s="64" t="n">
        <v>70</v>
      </c>
      <c r="K1913" s="62" t="s">
        <v>138</v>
      </c>
      <c r="L1913" s="68" t="b">
        <f aca="false">FALSE()</f>
        <v>0</v>
      </c>
    </row>
    <row r="1914" customFormat="false" ht="15" hidden="false" customHeight="false" outlineLevel="0" collapsed="false">
      <c r="A1914" s="62" t="n">
        <v>0</v>
      </c>
      <c r="B1914" s="21" t="s">
        <v>336</v>
      </c>
      <c r="C1914" s="62" t="s">
        <v>60</v>
      </c>
      <c r="D1914" s="62" t="s">
        <v>383</v>
      </c>
      <c r="E1914" s="62" t="s">
        <v>382</v>
      </c>
      <c r="F1914" s="62" t="s">
        <v>382</v>
      </c>
      <c r="G1914" s="63" t="s">
        <v>533</v>
      </c>
      <c r="H1914" s="64" t="n">
        <v>70000</v>
      </c>
      <c r="I1914" s="62" t="s">
        <v>81</v>
      </c>
      <c r="J1914" s="64" t="n">
        <v>70</v>
      </c>
      <c r="K1914" s="62" t="s">
        <v>138</v>
      </c>
      <c r="L1914" s="68" t="b">
        <f aca="false">FALSE()</f>
        <v>0</v>
      </c>
    </row>
    <row r="1915" customFormat="false" ht="15" hidden="false" customHeight="false" outlineLevel="0" collapsed="false">
      <c r="A1915" s="62" t="n">
        <v>0</v>
      </c>
      <c r="B1915" s="21" t="s">
        <v>336</v>
      </c>
      <c r="C1915" s="62" t="s">
        <v>60</v>
      </c>
      <c r="D1915" s="62" t="s">
        <v>384</v>
      </c>
      <c r="E1915" s="62" t="s">
        <v>382</v>
      </c>
      <c r="F1915" s="62" t="s">
        <v>382</v>
      </c>
      <c r="G1915" s="63" t="s">
        <v>533</v>
      </c>
      <c r="H1915" s="64" t="n">
        <v>70000</v>
      </c>
      <c r="I1915" s="62" t="s">
        <v>81</v>
      </c>
      <c r="J1915" s="64" t="n">
        <v>70</v>
      </c>
      <c r="K1915" s="62" t="s">
        <v>138</v>
      </c>
      <c r="L1915" s="68" t="b">
        <f aca="false">FALSE()</f>
        <v>0</v>
      </c>
    </row>
    <row r="1916" customFormat="false" ht="15" hidden="false" customHeight="false" outlineLevel="0" collapsed="false">
      <c r="A1916" s="62" t="n">
        <v>0</v>
      </c>
      <c r="B1916" s="21" t="s">
        <v>336</v>
      </c>
      <c r="C1916" s="62" t="s">
        <v>60</v>
      </c>
      <c r="D1916" s="62" t="s">
        <v>385</v>
      </c>
      <c r="E1916" s="62" t="s">
        <v>382</v>
      </c>
      <c r="F1916" s="62" t="s">
        <v>382</v>
      </c>
      <c r="G1916" s="63" t="s">
        <v>533</v>
      </c>
      <c r="H1916" s="64" t="n">
        <v>70000</v>
      </c>
      <c r="I1916" s="62" t="s">
        <v>81</v>
      </c>
      <c r="J1916" s="64" t="n">
        <v>70</v>
      </c>
      <c r="K1916" s="62" t="s">
        <v>138</v>
      </c>
      <c r="L1916" s="68" t="b">
        <f aca="false">FALSE()</f>
        <v>0</v>
      </c>
    </row>
    <row r="1917" customFormat="false" ht="15" hidden="false" customHeight="false" outlineLevel="0" collapsed="false">
      <c r="A1917" s="62" t="n">
        <v>0</v>
      </c>
      <c r="B1917" s="21" t="s">
        <v>336</v>
      </c>
      <c r="C1917" s="62" t="s">
        <v>60</v>
      </c>
      <c r="D1917" s="62" t="s">
        <v>386</v>
      </c>
      <c r="E1917" s="62" t="s">
        <v>382</v>
      </c>
      <c r="F1917" s="62" t="s">
        <v>382</v>
      </c>
      <c r="G1917" s="63" t="s">
        <v>533</v>
      </c>
      <c r="H1917" s="64" t="n">
        <v>70000</v>
      </c>
      <c r="I1917" s="62" t="s">
        <v>81</v>
      </c>
      <c r="J1917" s="64" t="n">
        <v>70</v>
      </c>
      <c r="K1917" s="62" t="s">
        <v>138</v>
      </c>
      <c r="L1917" s="68" t="b">
        <f aca="false">FALSE()</f>
        <v>0</v>
      </c>
    </row>
    <row r="1918" customFormat="false" ht="15" hidden="false" customHeight="false" outlineLevel="0" collapsed="false">
      <c r="A1918" s="62" t="n">
        <v>0</v>
      </c>
      <c r="B1918" s="21" t="s">
        <v>336</v>
      </c>
      <c r="C1918" s="62" t="s">
        <v>60</v>
      </c>
      <c r="D1918" s="62" t="s">
        <v>387</v>
      </c>
      <c r="E1918" s="62" t="s">
        <v>382</v>
      </c>
      <c r="F1918" s="62" t="s">
        <v>382</v>
      </c>
      <c r="G1918" s="63" t="s">
        <v>533</v>
      </c>
      <c r="H1918" s="64" t="n">
        <v>70000</v>
      </c>
      <c r="I1918" s="62" t="s">
        <v>81</v>
      </c>
      <c r="J1918" s="64" t="n">
        <v>70</v>
      </c>
      <c r="K1918" s="62" t="s">
        <v>138</v>
      </c>
      <c r="L1918" s="68" t="b">
        <f aca="false">FALSE()</f>
        <v>0</v>
      </c>
    </row>
    <row r="1919" customFormat="false" ht="15" hidden="false" customHeight="false" outlineLevel="0" collapsed="false">
      <c r="A1919" s="62" t="n">
        <v>0</v>
      </c>
      <c r="B1919" s="21" t="s">
        <v>336</v>
      </c>
      <c r="C1919" s="62" t="s">
        <v>60</v>
      </c>
      <c r="D1919" s="62" t="s">
        <v>388</v>
      </c>
      <c r="E1919" s="62" t="s">
        <v>382</v>
      </c>
      <c r="F1919" s="62" t="s">
        <v>382</v>
      </c>
      <c r="G1919" s="63" t="s">
        <v>533</v>
      </c>
      <c r="H1919" s="64" t="n">
        <v>70000</v>
      </c>
      <c r="I1919" s="62" t="s">
        <v>81</v>
      </c>
      <c r="J1919" s="64" t="n">
        <v>70</v>
      </c>
      <c r="K1919" s="62" t="s">
        <v>138</v>
      </c>
      <c r="L1919" s="68" t="b">
        <f aca="false">FALSE()</f>
        <v>0</v>
      </c>
    </row>
    <row r="1920" customFormat="false" ht="15" hidden="false" customHeight="false" outlineLevel="0" collapsed="false">
      <c r="A1920" s="62" t="n">
        <v>0</v>
      </c>
      <c r="B1920" s="21" t="s">
        <v>336</v>
      </c>
      <c r="C1920" s="62" t="s">
        <v>60</v>
      </c>
      <c r="D1920" s="62" t="s">
        <v>381</v>
      </c>
      <c r="E1920" s="62" t="s">
        <v>382</v>
      </c>
      <c r="F1920" s="62" t="s">
        <v>382</v>
      </c>
      <c r="G1920" s="63" t="s">
        <v>534</v>
      </c>
      <c r="H1920" s="64" t="n">
        <v>56000000</v>
      </c>
      <c r="I1920" s="62" t="s">
        <v>81</v>
      </c>
      <c r="J1920" s="64" t="n">
        <v>56000</v>
      </c>
      <c r="K1920" s="62" t="s">
        <v>138</v>
      </c>
      <c r="L1920" s="68" t="b">
        <f aca="false">FALSE()</f>
        <v>0</v>
      </c>
    </row>
    <row r="1921" customFormat="false" ht="15" hidden="false" customHeight="false" outlineLevel="0" collapsed="false">
      <c r="A1921" s="62" t="n">
        <v>0</v>
      </c>
      <c r="B1921" s="21" t="s">
        <v>336</v>
      </c>
      <c r="C1921" s="62" t="s">
        <v>60</v>
      </c>
      <c r="D1921" s="62" t="s">
        <v>383</v>
      </c>
      <c r="E1921" s="62" t="s">
        <v>382</v>
      </c>
      <c r="F1921" s="62" t="s">
        <v>382</v>
      </c>
      <c r="G1921" s="63" t="s">
        <v>534</v>
      </c>
      <c r="H1921" s="64" t="n">
        <v>56000000</v>
      </c>
      <c r="I1921" s="62" t="s">
        <v>81</v>
      </c>
      <c r="J1921" s="64" t="n">
        <v>56000</v>
      </c>
      <c r="K1921" s="62" t="s">
        <v>138</v>
      </c>
      <c r="L1921" s="68" t="b">
        <f aca="false">FALSE()</f>
        <v>0</v>
      </c>
    </row>
    <row r="1922" customFormat="false" ht="15" hidden="false" customHeight="false" outlineLevel="0" collapsed="false">
      <c r="A1922" s="62" t="n">
        <v>0</v>
      </c>
      <c r="B1922" s="21" t="s">
        <v>336</v>
      </c>
      <c r="C1922" s="62" t="s">
        <v>60</v>
      </c>
      <c r="D1922" s="62" t="s">
        <v>384</v>
      </c>
      <c r="E1922" s="62" t="s">
        <v>382</v>
      </c>
      <c r="F1922" s="62" t="s">
        <v>382</v>
      </c>
      <c r="G1922" s="63" t="s">
        <v>534</v>
      </c>
      <c r="H1922" s="64" t="n">
        <v>56000000</v>
      </c>
      <c r="I1922" s="62" t="s">
        <v>81</v>
      </c>
      <c r="J1922" s="64" t="n">
        <v>56000</v>
      </c>
      <c r="K1922" s="62" t="s">
        <v>138</v>
      </c>
      <c r="L1922" s="68" t="b">
        <f aca="false">FALSE()</f>
        <v>0</v>
      </c>
    </row>
    <row r="1923" customFormat="false" ht="15" hidden="false" customHeight="false" outlineLevel="0" collapsed="false">
      <c r="A1923" s="62" t="n">
        <v>0</v>
      </c>
      <c r="B1923" s="21" t="s">
        <v>336</v>
      </c>
      <c r="C1923" s="62" t="s">
        <v>60</v>
      </c>
      <c r="D1923" s="62" t="s">
        <v>385</v>
      </c>
      <c r="E1923" s="62" t="s">
        <v>382</v>
      </c>
      <c r="F1923" s="62" t="s">
        <v>382</v>
      </c>
      <c r="G1923" s="63" t="s">
        <v>534</v>
      </c>
      <c r="H1923" s="64" t="n">
        <v>56000000</v>
      </c>
      <c r="I1923" s="62" t="s">
        <v>81</v>
      </c>
      <c r="J1923" s="64" t="n">
        <v>56000</v>
      </c>
      <c r="K1923" s="62" t="s">
        <v>138</v>
      </c>
      <c r="L1923" s="68" t="b">
        <f aca="false">FALSE()</f>
        <v>0</v>
      </c>
    </row>
    <row r="1924" customFormat="false" ht="15" hidden="false" customHeight="false" outlineLevel="0" collapsed="false">
      <c r="A1924" s="62" t="n">
        <v>0</v>
      </c>
      <c r="B1924" s="21" t="s">
        <v>336</v>
      </c>
      <c r="C1924" s="62" t="s">
        <v>60</v>
      </c>
      <c r="D1924" s="62" t="s">
        <v>386</v>
      </c>
      <c r="E1924" s="62" t="s">
        <v>382</v>
      </c>
      <c r="F1924" s="62" t="s">
        <v>382</v>
      </c>
      <c r="G1924" s="63" t="s">
        <v>534</v>
      </c>
      <c r="H1924" s="64" t="n">
        <v>56000000</v>
      </c>
      <c r="I1924" s="62" t="s">
        <v>81</v>
      </c>
      <c r="J1924" s="64" t="n">
        <v>56000</v>
      </c>
      <c r="K1924" s="62" t="s">
        <v>138</v>
      </c>
      <c r="L1924" s="68" t="b">
        <f aca="false">FALSE()</f>
        <v>0</v>
      </c>
    </row>
    <row r="1925" customFormat="false" ht="15" hidden="false" customHeight="false" outlineLevel="0" collapsed="false">
      <c r="A1925" s="62" t="n">
        <v>0</v>
      </c>
      <c r="B1925" s="21" t="s">
        <v>336</v>
      </c>
      <c r="C1925" s="62" t="s">
        <v>60</v>
      </c>
      <c r="D1925" s="62" t="s">
        <v>387</v>
      </c>
      <c r="E1925" s="62" t="s">
        <v>382</v>
      </c>
      <c r="F1925" s="62" t="s">
        <v>382</v>
      </c>
      <c r="G1925" s="63" t="s">
        <v>534</v>
      </c>
      <c r="H1925" s="64" t="n">
        <v>56000000</v>
      </c>
      <c r="I1925" s="62" t="s">
        <v>81</v>
      </c>
      <c r="J1925" s="64" t="n">
        <v>56000</v>
      </c>
      <c r="K1925" s="62" t="s">
        <v>138</v>
      </c>
      <c r="L1925" s="68" t="b">
        <f aca="false">FALSE()</f>
        <v>0</v>
      </c>
    </row>
    <row r="1926" customFormat="false" ht="15" hidden="false" customHeight="false" outlineLevel="0" collapsed="false">
      <c r="A1926" s="62" t="n">
        <v>0</v>
      </c>
      <c r="B1926" s="21" t="s">
        <v>336</v>
      </c>
      <c r="C1926" s="62" t="s">
        <v>60</v>
      </c>
      <c r="D1926" s="62" t="s">
        <v>388</v>
      </c>
      <c r="E1926" s="62" t="s">
        <v>382</v>
      </c>
      <c r="F1926" s="62" t="s">
        <v>382</v>
      </c>
      <c r="G1926" s="63" t="s">
        <v>534</v>
      </c>
      <c r="H1926" s="64" t="n">
        <v>56000000</v>
      </c>
      <c r="I1926" s="62" t="s">
        <v>81</v>
      </c>
      <c r="J1926" s="64" t="n">
        <v>56000</v>
      </c>
      <c r="K1926" s="62" t="s">
        <v>138</v>
      </c>
      <c r="L1926" s="68" t="b">
        <f aca="false">FALSE()</f>
        <v>0</v>
      </c>
    </row>
    <row r="1927" customFormat="false" ht="15" hidden="false" customHeight="false" outlineLevel="0" collapsed="false">
      <c r="A1927" s="62" t="n">
        <v>0</v>
      </c>
      <c r="B1927" s="21" t="s">
        <v>336</v>
      </c>
      <c r="C1927" s="62" t="s">
        <v>60</v>
      </c>
      <c r="D1927" s="62" t="s">
        <v>381</v>
      </c>
      <c r="E1927" s="62" t="s">
        <v>382</v>
      </c>
      <c r="F1927" s="62" t="s">
        <v>382</v>
      </c>
      <c r="G1927" s="63" t="s">
        <v>535</v>
      </c>
      <c r="H1927" s="64" t="n">
        <v>9000</v>
      </c>
      <c r="I1927" s="62" t="s">
        <v>81</v>
      </c>
      <c r="J1927" s="64" t="n">
        <v>9</v>
      </c>
      <c r="K1927" s="62" t="s">
        <v>138</v>
      </c>
      <c r="L1927" s="68" t="b">
        <f aca="false">FALSE()</f>
        <v>0</v>
      </c>
    </row>
    <row r="1928" customFormat="false" ht="15" hidden="false" customHeight="false" outlineLevel="0" collapsed="false">
      <c r="A1928" s="62" t="n">
        <v>0</v>
      </c>
      <c r="B1928" s="21" t="s">
        <v>336</v>
      </c>
      <c r="C1928" s="62" t="s">
        <v>60</v>
      </c>
      <c r="D1928" s="62" t="s">
        <v>383</v>
      </c>
      <c r="E1928" s="62" t="s">
        <v>382</v>
      </c>
      <c r="F1928" s="62" t="s">
        <v>382</v>
      </c>
      <c r="G1928" s="63" t="s">
        <v>535</v>
      </c>
      <c r="H1928" s="64" t="n">
        <v>9000</v>
      </c>
      <c r="I1928" s="62" t="s">
        <v>81</v>
      </c>
      <c r="J1928" s="64" t="n">
        <v>9</v>
      </c>
      <c r="K1928" s="62" t="s">
        <v>138</v>
      </c>
      <c r="L1928" s="68" t="b">
        <f aca="false">FALSE()</f>
        <v>0</v>
      </c>
    </row>
    <row r="1929" customFormat="false" ht="15" hidden="false" customHeight="false" outlineLevel="0" collapsed="false">
      <c r="A1929" s="62" t="n">
        <v>0</v>
      </c>
      <c r="B1929" s="21" t="s">
        <v>336</v>
      </c>
      <c r="C1929" s="62" t="s">
        <v>60</v>
      </c>
      <c r="D1929" s="62" t="s">
        <v>384</v>
      </c>
      <c r="E1929" s="62" t="s">
        <v>382</v>
      </c>
      <c r="F1929" s="62" t="s">
        <v>382</v>
      </c>
      <c r="G1929" s="63" t="s">
        <v>535</v>
      </c>
      <c r="H1929" s="64" t="n">
        <v>9000</v>
      </c>
      <c r="I1929" s="62" t="s">
        <v>81</v>
      </c>
      <c r="J1929" s="64" t="n">
        <v>9</v>
      </c>
      <c r="K1929" s="62" t="s">
        <v>138</v>
      </c>
      <c r="L1929" s="68" t="b">
        <f aca="false">FALSE()</f>
        <v>0</v>
      </c>
    </row>
    <row r="1930" customFormat="false" ht="15" hidden="false" customHeight="false" outlineLevel="0" collapsed="false">
      <c r="A1930" s="62" t="n">
        <v>0</v>
      </c>
      <c r="B1930" s="21" t="s">
        <v>336</v>
      </c>
      <c r="C1930" s="62" t="s">
        <v>60</v>
      </c>
      <c r="D1930" s="62" t="s">
        <v>385</v>
      </c>
      <c r="E1930" s="62" t="s">
        <v>382</v>
      </c>
      <c r="F1930" s="62" t="s">
        <v>382</v>
      </c>
      <c r="G1930" s="63" t="s">
        <v>535</v>
      </c>
      <c r="H1930" s="64" t="n">
        <v>9000</v>
      </c>
      <c r="I1930" s="62" t="s">
        <v>81</v>
      </c>
      <c r="J1930" s="64" t="n">
        <v>9</v>
      </c>
      <c r="K1930" s="62" t="s">
        <v>138</v>
      </c>
      <c r="L1930" s="68" t="b">
        <f aca="false">FALSE()</f>
        <v>0</v>
      </c>
    </row>
    <row r="1931" customFormat="false" ht="15" hidden="false" customHeight="false" outlineLevel="0" collapsed="false">
      <c r="A1931" s="62" t="n">
        <v>0</v>
      </c>
      <c r="B1931" s="21" t="s">
        <v>336</v>
      </c>
      <c r="C1931" s="62" t="s">
        <v>60</v>
      </c>
      <c r="D1931" s="62" t="s">
        <v>386</v>
      </c>
      <c r="E1931" s="62" t="s">
        <v>382</v>
      </c>
      <c r="F1931" s="62" t="s">
        <v>382</v>
      </c>
      <c r="G1931" s="63" t="s">
        <v>535</v>
      </c>
      <c r="H1931" s="64" t="n">
        <v>9000</v>
      </c>
      <c r="I1931" s="62" t="s">
        <v>81</v>
      </c>
      <c r="J1931" s="64" t="n">
        <v>9</v>
      </c>
      <c r="K1931" s="62" t="s">
        <v>138</v>
      </c>
      <c r="L1931" s="68" t="b">
        <f aca="false">FALSE()</f>
        <v>0</v>
      </c>
    </row>
    <row r="1932" customFormat="false" ht="15" hidden="false" customHeight="false" outlineLevel="0" collapsed="false">
      <c r="A1932" s="62" t="n">
        <v>0</v>
      </c>
      <c r="B1932" s="21" t="s">
        <v>336</v>
      </c>
      <c r="C1932" s="62" t="s">
        <v>60</v>
      </c>
      <c r="D1932" s="62" t="s">
        <v>387</v>
      </c>
      <c r="E1932" s="62" t="s">
        <v>382</v>
      </c>
      <c r="F1932" s="62" t="s">
        <v>382</v>
      </c>
      <c r="G1932" s="63" t="s">
        <v>535</v>
      </c>
      <c r="H1932" s="64" t="n">
        <v>9000</v>
      </c>
      <c r="I1932" s="62" t="s">
        <v>81</v>
      </c>
      <c r="J1932" s="64" t="n">
        <v>9</v>
      </c>
      <c r="K1932" s="62" t="s">
        <v>138</v>
      </c>
      <c r="L1932" s="68" t="b">
        <f aca="false">FALSE()</f>
        <v>0</v>
      </c>
    </row>
    <row r="1933" customFormat="false" ht="15" hidden="false" customHeight="false" outlineLevel="0" collapsed="false">
      <c r="A1933" s="62" t="n">
        <v>0</v>
      </c>
      <c r="B1933" s="21" t="s">
        <v>336</v>
      </c>
      <c r="C1933" s="62" t="s">
        <v>60</v>
      </c>
      <c r="D1933" s="62" t="s">
        <v>388</v>
      </c>
      <c r="E1933" s="62" t="s">
        <v>382</v>
      </c>
      <c r="F1933" s="62" t="s">
        <v>382</v>
      </c>
      <c r="G1933" s="63" t="s">
        <v>535</v>
      </c>
      <c r="H1933" s="64" t="n">
        <v>9000</v>
      </c>
      <c r="I1933" s="62" t="s">
        <v>81</v>
      </c>
      <c r="J1933" s="64" t="n">
        <v>9</v>
      </c>
      <c r="K1933" s="62" t="s">
        <v>138</v>
      </c>
      <c r="L1933" s="68" t="b">
        <f aca="false">FALSE()</f>
        <v>0</v>
      </c>
    </row>
    <row r="1934" customFormat="false" ht="15" hidden="false" customHeight="false" outlineLevel="0" collapsed="false">
      <c r="A1934" s="62" t="n">
        <v>0</v>
      </c>
      <c r="B1934" s="21" t="s">
        <v>336</v>
      </c>
      <c r="C1934" s="62" t="s">
        <v>60</v>
      </c>
      <c r="D1934" s="62" t="s">
        <v>381</v>
      </c>
      <c r="E1934" s="62" t="s">
        <v>382</v>
      </c>
      <c r="F1934" s="62" t="s">
        <v>382</v>
      </c>
      <c r="G1934" s="63" t="s">
        <v>536</v>
      </c>
      <c r="H1934" s="64" t="n">
        <v>7200000</v>
      </c>
      <c r="I1934" s="62" t="s">
        <v>81</v>
      </c>
      <c r="J1934" s="64" t="n">
        <v>7200</v>
      </c>
      <c r="K1934" s="62" t="s">
        <v>138</v>
      </c>
      <c r="L1934" s="68" t="b">
        <f aca="false">FALSE()</f>
        <v>0</v>
      </c>
    </row>
    <row r="1935" customFormat="false" ht="15" hidden="false" customHeight="false" outlineLevel="0" collapsed="false">
      <c r="A1935" s="62" t="n">
        <v>0</v>
      </c>
      <c r="B1935" s="21" t="s">
        <v>336</v>
      </c>
      <c r="C1935" s="62" t="s">
        <v>60</v>
      </c>
      <c r="D1935" s="62" t="s">
        <v>383</v>
      </c>
      <c r="E1935" s="62" t="s">
        <v>382</v>
      </c>
      <c r="F1935" s="62" t="s">
        <v>382</v>
      </c>
      <c r="G1935" s="63" t="s">
        <v>536</v>
      </c>
      <c r="H1935" s="64" t="n">
        <v>7200000</v>
      </c>
      <c r="I1935" s="62" t="s">
        <v>81</v>
      </c>
      <c r="J1935" s="64" t="n">
        <v>7200</v>
      </c>
      <c r="K1935" s="62" t="s">
        <v>138</v>
      </c>
      <c r="L1935" s="68" t="b">
        <f aca="false">FALSE()</f>
        <v>0</v>
      </c>
    </row>
    <row r="1936" customFormat="false" ht="15" hidden="false" customHeight="false" outlineLevel="0" collapsed="false">
      <c r="A1936" s="62" t="n">
        <v>0</v>
      </c>
      <c r="B1936" s="21" t="s">
        <v>336</v>
      </c>
      <c r="C1936" s="62" t="s">
        <v>60</v>
      </c>
      <c r="D1936" s="62" t="s">
        <v>384</v>
      </c>
      <c r="E1936" s="62" t="s">
        <v>382</v>
      </c>
      <c r="F1936" s="62" t="s">
        <v>382</v>
      </c>
      <c r="G1936" s="63" t="s">
        <v>536</v>
      </c>
      <c r="H1936" s="64" t="n">
        <v>7200000</v>
      </c>
      <c r="I1936" s="62" t="s">
        <v>81</v>
      </c>
      <c r="J1936" s="64" t="n">
        <v>7200</v>
      </c>
      <c r="K1936" s="62" t="s">
        <v>138</v>
      </c>
      <c r="L1936" s="68" t="b">
        <f aca="false">FALSE()</f>
        <v>0</v>
      </c>
    </row>
    <row r="1937" customFormat="false" ht="15" hidden="false" customHeight="false" outlineLevel="0" collapsed="false">
      <c r="A1937" s="62" t="n">
        <v>0</v>
      </c>
      <c r="B1937" s="21" t="s">
        <v>336</v>
      </c>
      <c r="C1937" s="62" t="s">
        <v>60</v>
      </c>
      <c r="D1937" s="62" t="s">
        <v>385</v>
      </c>
      <c r="E1937" s="62" t="s">
        <v>382</v>
      </c>
      <c r="F1937" s="62" t="s">
        <v>382</v>
      </c>
      <c r="G1937" s="63" t="s">
        <v>536</v>
      </c>
      <c r="H1937" s="64" t="n">
        <v>7200000</v>
      </c>
      <c r="I1937" s="62" t="s">
        <v>81</v>
      </c>
      <c r="J1937" s="64" t="n">
        <v>7200</v>
      </c>
      <c r="K1937" s="62" t="s">
        <v>138</v>
      </c>
      <c r="L1937" s="68" t="b">
        <f aca="false">FALSE()</f>
        <v>0</v>
      </c>
    </row>
    <row r="1938" customFormat="false" ht="15" hidden="false" customHeight="false" outlineLevel="0" collapsed="false">
      <c r="A1938" s="62" t="n">
        <v>0</v>
      </c>
      <c r="B1938" s="21" t="s">
        <v>336</v>
      </c>
      <c r="C1938" s="62" t="s">
        <v>60</v>
      </c>
      <c r="D1938" s="62" t="s">
        <v>386</v>
      </c>
      <c r="E1938" s="62" t="s">
        <v>382</v>
      </c>
      <c r="F1938" s="62" t="s">
        <v>382</v>
      </c>
      <c r="G1938" s="63" t="s">
        <v>536</v>
      </c>
      <c r="H1938" s="64" t="n">
        <v>7200000</v>
      </c>
      <c r="I1938" s="62" t="s">
        <v>81</v>
      </c>
      <c r="J1938" s="64" t="n">
        <v>7200</v>
      </c>
      <c r="K1938" s="62" t="s">
        <v>138</v>
      </c>
      <c r="L1938" s="68" t="b">
        <f aca="false">FALSE()</f>
        <v>0</v>
      </c>
    </row>
    <row r="1939" customFormat="false" ht="15" hidden="false" customHeight="false" outlineLevel="0" collapsed="false">
      <c r="A1939" s="62" t="n">
        <v>0</v>
      </c>
      <c r="B1939" s="21" t="s">
        <v>336</v>
      </c>
      <c r="C1939" s="62" t="s">
        <v>60</v>
      </c>
      <c r="D1939" s="62" t="s">
        <v>387</v>
      </c>
      <c r="E1939" s="62" t="s">
        <v>382</v>
      </c>
      <c r="F1939" s="62" t="s">
        <v>382</v>
      </c>
      <c r="G1939" s="63" t="s">
        <v>536</v>
      </c>
      <c r="H1939" s="64" t="n">
        <v>7200000</v>
      </c>
      <c r="I1939" s="62" t="s">
        <v>81</v>
      </c>
      <c r="J1939" s="64" t="n">
        <v>7200</v>
      </c>
      <c r="K1939" s="62" t="s">
        <v>138</v>
      </c>
      <c r="L1939" s="68" t="b">
        <f aca="false">FALSE()</f>
        <v>0</v>
      </c>
    </row>
    <row r="1940" customFormat="false" ht="15" hidden="false" customHeight="false" outlineLevel="0" collapsed="false">
      <c r="A1940" s="62" t="n">
        <v>0</v>
      </c>
      <c r="B1940" s="21" t="s">
        <v>336</v>
      </c>
      <c r="C1940" s="62" t="s">
        <v>60</v>
      </c>
      <c r="D1940" s="62" t="s">
        <v>388</v>
      </c>
      <c r="E1940" s="62" t="s">
        <v>382</v>
      </c>
      <c r="F1940" s="62" t="s">
        <v>382</v>
      </c>
      <c r="G1940" s="63" t="s">
        <v>536</v>
      </c>
      <c r="H1940" s="64" t="n">
        <v>7200000</v>
      </c>
      <c r="I1940" s="62" t="s">
        <v>81</v>
      </c>
      <c r="J1940" s="64" t="n">
        <v>7200</v>
      </c>
      <c r="K1940" s="62" t="s">
        <v>138</v>
      </c>
      <c r="L1940" s="68" t="b">
        <f aca="false">FALSE()</f>
        <v>0</v>
      </c>
    </row>
    <row r="1941" customFormat="false" ht="15" hidden="false" customHeight="false" outlineLevel="0" collapsed="false">
      <c r="A1941" s="62" t="n">
        <v>0</v>
      </c>
      <c r="B1941" s="21" t="s">
        <v>336</v>
      </c>
      <c r="C1941" s="62" t="s">
        <v>60</v>
      </c>
      <c r="D1941" s="62" t="s">
        <v>381</v>
      </c>
      <c r="E1941" s="62" t="s">
        <v>382</v>
      </c>
      <c r="F1941" s="62" t="s">
        <v>382</v>
      </c>
      <c r="G1941" s="63" t="s">
        <v>537</v>
      </c>
      <c r="H1941" s="64" t="s">
        <v>538</v>
      </c>
      <c r="I1941" s="62" t="s">
        <v>138</v>
      </c>
      <c r="J1941" s="64" t="s">
        <v>538</v>
      </c>
      <c r="K1941" s="62" t="s">
        <v>138</v>
      </c>
      <c r="L1941" s="68" t="b">
        <f aca="false">TRUE()</f>
        <v>1</v>
      </c>
    </row>
    <row r="1942" customFormat="false" ht="15" hidden="false" customHeight="false" outlineLevel="0" collapsed="false">
      <c r="A1942" s="62" t="n">
        <v>0</v>
      </c>
      <c r="B1942" s="21" t="s">
        <v>336</v>
      </c>
      <c r="C1942" s="62" t="s">
        <v>60</v>
      </c>
      <c r="D1942" s="62" t="s">
        <v>383</v>
      </c>
      <c r="E1942" s="62" t="s">
        <v>382</v>
      </c>
      <c r="F1942" s="62" t="s">
        <v>382</v>
      </c>
      <c r="G1942" s="63" t="s">
        <v>537</v>
      </c>
      <c r="H1942" s="64" t="s">
        <v>538</v>
      </c>
      <c r="I1942" s="62" t="s">
        <v>138</v>
      </c>
      <c r="J1942" s="64" t="s">
        <v>538</v>
      </c>
      <c r="K1942" s="62" t="s">
        <v>138</v>
      </c>
      <c r="L1942" s="68" t="b">
        <f aca="false">TRUE()</f>
        <v>1</v>
      </c>
    </row>
    <row r="1943" customFormat="false" ht="15" hidden="false" customHeight="false" outlineLevel="0" collapsed="false">
      <c r="A1943" s="62" t="n">
        <v>0</v>
      </c>
      <c r="B1943" s="21" t="s">
        <v>336</v>
      </c>
      <c r="C1943" s="62" t="s">
        <v>60</v>
      </c>
      <c r="D1943" s="62" t="s">
        <v>384</v>
      </c>
      <c r="E1943" s="62" t="s">
        <v>382</v>
      </c>
      <c r="F1943" s="62" t="s">
        <v>382</v>
      </c>
      <c r="G1943" s="63" t="s">
        <v>537</v>
      </c>
      <c r="H1943" s="64" t="s">
        <v>538</v>
      </c>
      <c r="I1943" s="62" t="s">
        <v>138</v>
      </c>
      <c r="J1943" s="64" t="s">
        <v>538</v>
      </c>
      <c r="K1943" s="62" t="s">
        <v>138</v>
      </c>
      <c r="L1943" s="68" t="b">
        <f aca="false">TRUE()</f>
        <v>1</v>
      </c>
    </row>
    <row r="1944" customFormat="false" ht="15" hidden="false" customHeight="false" outlineLevel="0" collapsed="false">
      <c r="A1944" s="62" t="n">
        <v>0</v>
      </c>
      <c r="B1944" s="21" t="s">
        <v>336</v>
      </c>
      <c r="C1944" s="62" t="s">
        <v>60</v>
      </c>
      <c r="D1944" s="62" t="s">
        <v>385</v>
      </c>
      <c r="E1944" s="62" t="s">
        <v>382</v>
      </c>
      <c r="F1944" s="62" t="s">
        <v>382</v>
      </c>
      <c r="G1944" s="63" t="s">
        <v>537</v>
      </c>
      <c r="H1944" s="64" t="s">
        <v>538</v>
      </c>
      <c r="I1944" s="62" t="s">
        <v>138</v>
      </c>
      <c r="J1944" s="64" t="s">
        <v>538</v>
      </c>
      <c r="K1944" s="62" t="s">
        <v>138</v>
      </c>
      <c r="L1944" s="68" t="b">
        <f aca="false">TRUE()</f>
        <v>1</v>
      </c>
    </row>
    <row r="1945" customFormat="false" ht="15" hidden="false" customHeight="false" outlineLevel="0" collapsed="false">
      <c r="A1945" s="62" t="n">
        <v>0</v>
      </c>
      <c r="B1945" s="21" t="s">
        <v>336</v>
      </c>
      <c r="C1945" s="62" t="s">
        <v>60</v>
      </c>
      <c r="D1945" s="62" t="s">
        <v>386</v>
      </c>
      <c r="E1945" s="62" t="s">
        <v>382</v>
      </c>
      <c r="F1945" s="62" t="s">
        <v>382</v>
      </c>
      <c r="G1945" s="63" t="s">
        <v>537</v>
      </c>
      <c r="H1945" s="64" t="s">
        <v>538</v>
      </c>
      <c r="I1945" s="62" t="s">
        <v>138</v>
      </c>
      <c r="J1945" s="64" t="s">
        <v>538</v>
      </c>
      <c r="K1945" s="62" t="s">
        <v>138</v>
      </c>
      <c r="L1945" s="68" t="b">
        <f aca="false">TRUE()</f>
        <v>1</v>
      </c>
    </row>
    <row r="1946" customFormat="false" ht="15" hidden="false" customHeight="false" outlineLevel="0" collapsed="false">
      <c r="A1946" s="62" t="n">
        <v>0</v>
      </c>
      <c r="B1946" s="21" t="s">
        <v>336</v>
      </c>
      <c r="C1946" s="62" t="s">
        <v>60</v>
      </c>
      <c r="D1946" s="62" t="s">
        <v>387</v>
      </c>
      <c r="E1946" s="62" t="s">
        <v>382</v>
      </c>
      <c r="F1946" s="62" t="s">
        <v>382</v>
      </c>
      <c r="G1946" s="63" t="s">
        <v>537</v>
      </c>
      <c r="H1946" s="64" t="s">
        <v>538</v>
      </c>
      <c r="I1946" s="62" t="s">
        <v>138</v>
      </c>
      <c r="J1946" s="64" t="s">
        <v>538</v>
      </c>
      <c r="K1946" s="62" t="s">
        <v>138</v>
      </c>
      <c r="L1946" s="68" t="b">
        <f aca="false">TRUE()</f>
        <v>1</v>
      </c>
    </row>
    <row r="1947" customFormat="false" ht="15" hidden="false" customHeight="false" outlineLevel="0" collapsed="false">
      <c r="A1947" s="62" t="n">
        <v>0</v>
      </c>
      <c r="B1947" s="21" t="s">
        <v>336</v>
      </c>
      <c r="C1947" s="62" t="s">
        <v>60</v>
      </c>
      <c r="D1947" s="62" t="s">
        <v>388</v>
      </c>
      <c r="E1947" s="62" t="s">
        <v>382</v>
      </c>
      <c r="F1947" s="62" t="s">
        <v>382</v>
      </c>
      <c r="G1947" s="63" t="s">
        <v>537</v>
      </c>
      <c r="H1947" s="64" t="s">
        <v>538</v>
      </c>
      <c r="I1947" s="62" t="s">
        <v>138</v>
      </c>
      <c r="J1947" s="64" t="s">
        <v>538</v>
      </c>
      <c r="K1947" s="62" t="s">
        <v>138</v>
      </c>
      <c r="L1947" s="68" t="b">
        <f aca="false">TRUE()</f>
        <v>1</v>
      </c>
    </row>
    <row r="1948" customFormat="false" ht="15" hidden="false" customHeight="false" outlineLevel="0" collapsed="false">
      <c r="A1948" s="62" t="n">
        <v>0</v>
      </c>
      <c r="B1948" s="21" t="s">
        <v>336</v>
      </c>
      <c r="C1948" s="62" t="s">
        <v>60</v>
      </c>
      <c r="D1948" s="62" t="s">
        <v>381</v>
      </c>
      <c r="E1948" s="62" t="s">
        <v>382</v>
      </c>
      <c r="F1948" s="62" t="s">
        <v>382</v>
      </c>
      <c r="G1948" s="63" t="s">
        <v>539</v>
      </c>
      <c r="H1948" s="64" t="s">
        <v>540</v>
      </c>
      <c r="I1948" s="62" t="s">
        <v>138</v>
      </c>
      <c r="J1948" s="64" t="s">
        <v>540</v>
      </c>
      <c r="K1948" s="62" t="s">
        <v>138</v>
      </c>
      <c r="L1948" s="68" t="b">
        <f aca="false">TRUE()</f>
        <v>1</v>
      </c>
    </row>
    <row r="1949" customFormat="false" ht="15" hidden="false" customHeight="false" outlineLevel="0" collapsed="false">
      <c r="A1949" s="62" t="n">
        <v>0</v>
      </c>
      <c r="B1949" s="21" t="s">
        <v>336</v>
      </c>
      <c r="C1949" s="62" t="s">
        <v>60</v>
      </c>
      <c r="D1949" s="62" t="s">
        <v>383</v>
      </c>
      <c r="E1949" s="62" t="s">
        <v>382</v>
      </c>
      <c r="F1949" s="62" t="s">
        <v>382</v>
      </c>
      <c r="G1949" s="63" t="s">
        <v>539</v>
      </c>
      <c r="H1949" s="64" t="s">
        <v>540</v>
      </c>
      <c r="I1949" s="62" t="s">
        <v>138</v>
      </c>
      <c r="J1949" s="64" t="s">
        <v>540</v>
      </c>
      <c r="K1949" s="62" t="s">
        <v>138</v>
      </c>
      <c r="L1949" s="68" t="b">
        <f aca="false">TRUE()</f>
        <v>1</v>
      </c>
    </row>
    <row r="1950" customFormat="false" ht="15" hidden="false" customHeight="false" outlineLevel="0" collapsed="false">
      <c r="A1950" s="62" t="n">
        <v>0</v>
      </c>
      <c r="B1950" s="21" t="s">
        <v>336</v>
      </c>
      <c r="C1950" s="62" t="s">
        <v>60</v>
      </c>
      <c r="D1950" s="62" t="s">
        <v>384</v>
      </c>
      <c r="E1950" s="62" t="s">
        <v>382</v>
      </c>
      <c r="F1950" s="62" t="s">
        <v>382</v>
      </c>
      <c r="G1950" s="63" t="s">
        <v>539</v>
      </c>
      <c r="H1950" s="64" t="s">
        <v>540</v>
      </c>
      <c r="I1950" s="62" t="s">
        <v>138</v>
      </c>
      <c r="J1950" s="64" t="s">
        <v>540</v>
      </c>
      <c r="K1950" s="62" t="s">
        <v>138</v>
      </c>
      <c r="L1950" s="68" t="b">
        <f aca="false">TRUE()</f>
        <v>1</v>
      </c>
    </row>
    <row r="1951" customFormat="false" ht="15" hidden="false" customHeight="false" outlineLevel="0" collapsed="false">
      <c r="A1951" s="62" t="n">
        <v>0</v>
      </c>
      <c r="B1951" s="21" t="s">
        <v>336</v>
      </c>
      <c r="C1951" s="62" t="s">
        <v>60</v>
      </c>
      <c r="D1951" s="62" t="s">
        <v>385</v>
      </c>
      <c r="E1951" s="62" t="s">
        <v>382</v>
      </c>
      <c r="F1951" s="62" t="s">
        <v>382</v>
      </c>
      <c r="G1951" s="63" t="s">
        <v>539</v>
      </c>
      <c r="H1951" s="64" t="s">
        <v>540</v>
      </c>
      <c r="I1951" s="62" t="s">
        <v>138</v>
      </c>
      <c r="J1951" s="64" t="s">
        <v>540</v>
      </c>
      <c r="K1951" s="62" t="s">
        <v>138</v>
      </c>
      <c r="L1951" s="68" t="b">
        <f aca="false">TRUE()</f>
        <v>1</v>
      </c>
    </row>
    <row r="1952" customFormat="false" ht="15" hidden="false" customHeight="false" outlineLevel="0" collapsed="false">
      <c r="A1952" s="62" t="n">
        <v>0</v>
      </c>
      <c r="B1952" s="21" t="s">
        <v>336</v>
      </c>
      <c r="C1952" s="62" t="s">
        <v>60</v>
      </c>
      <c r="D1952" s="62" t="s">
        <v>386</v>
      </c>
      <c r="E1952" s="62" t="s">
        <v>382</v>
      </c>
      <c r="F1952" s="62" t="s">
        <v>382</v>
      </c>
      <c r="G1952" s="63" t="s">
        <v>539</v>
      </c>
      <c r="H1952" s="64" t="s">
        <v>540</v>
      </c>
      <c r="I1952" s="62" t="s">
        <v>138</v>
      </c>
      <c r="J1952" s="64" t="s">
        <v>540</v>
      </c>
      <c r="K1952" s="62" t="s">
        <v>138</v>
      </c>
      <c r="L1952" s="68" t="b">
        <f aca="false">TRUE()</f>
        <v>1</v>
      </c>
    </row>
    <row r="1953" customFormat="false" ht="15" hidden="false" customHeight="false" outlineLevel="0" collapsed="false">
      <c r="A1953" s="62" t="n">
        <v>0</v>
      </c>
      <c r="B1953" s="21" t="s">
        <v>336</v>
      </c>
      <c r="C1953" s="62" t="s">
        <v>60</v>
      </c>
      <c r="D1953" s="62" t="s">
        <v>387</v>
      </c>
      <c r="E1953" s="62" t="s">
        <v>382</v>
      </c>
      <c r="F1953" s="62" t="s">
        <v>382</v>
      </c>
      <c r="G1953" s="63" t="s">
        <v>539</v>
      </c>
      <c r="H1953" s="64" t="s">
        <v>540</v>
      </c>
      <c r="I1953" s="62" t="s">
        <v>138</v>
      </c>
      <c r="J1953" s="64" t="s">
        <v>540</v>
      </c>
      <c r="K1953" s="62" t="s">
        <v>138</v>
      </c>
      <c r="L1953" s="68" t="b">
        <f aca="false">TRUE()</f>
        <v>1</v>
      </c>
    </row>
    <row r="1954" customFormat="false" ht="15" hidden="false" customHeight="false" outlineLevel="0" collapsed="false">
      <c r="A1954" s="62" t="n">
        <v>0</v>
      </c>
      <c r="B1954" s="21" t="s">
        <v>336</v>
      </c>
      <c r="C1954" s="62" t="s">
        <v>60</v>
      </c>
      <c r="D1954" s="62" t="s">
        <v>388</v>
      </c>
      <c r="E1954" s="62" t="s">
        <v>382</v>
      </c>
      <c r="F1954" s="62" t="s">
        <v>382</v>
      </c>
      <c r="G1954" s="63" t="s">
        <v>539</v>
      </c>
      <c r="H1954" s="64" t="s">
        <v>540</v>
      </c>
      <c r="I1954" s="62" t="s">
        <v>138</v>
      </c>
      <c r="J1954" s="64" t="s">
        <v>540</v>
      </c>
      <c r="K1954" s="62" t="s">
        <v>138</v>
      </c>
      <c r="L1954" s="68" t="b">
        <f aca="false">TRUE()</f>
        <v>1</v>
      </c>
    </row>
    <row r="1955" customFormat="false" ht="15" hidden="false" customHeight="false" outlineLevel="0" collapsed="false">
      <c r="A1955" s="62" t="n">
        <v>0</v>
      </c>
      <c r="B1955" s="21" t="s">
        <v>336</v>
      </c>
      <c r="C1955" s="62" t="s">
        <v>60</v>
      </c>
      <c r="D1955" s="62" t="s">
        <v>381</v>
      </c>
      <c r="E1955" s="62" t="s">
        <v>382</v>
      </c>
      <c r="F1955" s="62" t="s">
        <v>382</v>
      </c>
      <c r="G1955" s="63" t="s">
        <v>541</v>
      </c>
      <c r="H1955" s="64" t="s">
        <v>542</v>
      </c>
      <c r="I1955" s="62" t="s">
        <v>138</v>
      </c>
      <c r="J1955" s="64" t="s">
        <v>542</v>
      </c>
      <c r="K1955" s="62" t="s">
        <v>138</v>
      </c>
      <c r="L1955" s="68" t="b">
        <f aca="false">TRUE()</f>
        <v>1</v>
      </c>
    </row>
    <row r="1956" customFormat="false" ht="15" hidden="false" customHeight="false" outlineLevel="0" collapsed="false">
      <c r="A1956" s="62" t="n">
        <v>0</v>
      </c>
      <c r="B1956" s="21" t="s">
        <v>336</v>
      </c>
      <c r="C1956" s="62" t="s">
        <v>60</v>
      </c>
      <c r="D1956" s="62" t="s">
        <v>383</v>
      </c>
      <c r="E1956" s="62" t="s">
        <v>382</v>
      </c>
      <c r="F1956" s="62" t="s">
        <v>382</v>
      </c>
      <c r="G1956" s="63" t="s">
        <v>541</v>
      </c>
      <c r="H1956" s="64" t="s">
        <v>542</v>
      </c>
      <c r="I1956" s="62" t="s">
        <v>138</v>
      </c>
      <c r="J1956" s="64" t="s">
        <v>542</v>
      </c>
      <c r="K1956" s="62" t="s">
        <v>138</v>
      </c>
      <c r="L1956" s="68" t="b">
        <f aca="false">TRUE()</f>
        <v>1</v>
      </c>
    </row>
    <row r="1957" customFormat="false" ht="15" hidden="false" customHeight="false" outlineLevel="0" collapsed="false">
      <c r="A1957" s="62" t="n">
        <v>0</v>
      </c>
      <c r="B1957" s="21" t="s">
        <v>336</v>
      </c>
      <c r="C1957" s="62" t="s">
        <v>60</v>
      </c>
      <c r="D1957" s="62" t="s">
        <v>384</v>
      </c>
      <c r="E1957" s="62" t="s">
        <v>382</v>
      </c>
      <c r="F1957" s="62" t="s">
        <v>382</v>
      </c>
      <c r="G1957" s="63" t="s">
        <v>541</v>
      </c>
      <c r="H1957" s="64" t="s">
        <v>542</v>
      </c>
      <c r="I1957" s="62" t="s">
        <v>138</v>
      </c>
      <c r="J1957" s="64" t="s">
        <v>542</v>
      </c>
      <c r="K1957" s="62" t="s">
        <v>138</v>
      </c>
      <c r="L1957" s="68" t="b">
        <f aca="false">TRUE()</f>
        <v>1</v>
      </c>
    </row>
    <row r="1958" customFormat="false" ht="15" hidden="false" customHeight="false" outlineLevel="0" collapsed="false">
      <c r="A1958" s="62" t="n">
        <v>0</v>
      </c>
      <c r="B1958" s="21" t="s">
        <v>336</v>
      </c>
      <c r="C1958" s="62" t="s">
        <v>60</v>
      </c>
      <c r="D1958" s="62" t="s">
        <v>385</v>
      </c>
      <c r="E1958" s="62" t="s">
        <v>382</v>
      </c>
      <c r="F1958" s="62" t="s">
        <v>382</v>
      </c>
      <c r="G1958" s="63" t="s">
        <v>541</v>
      </c>
      <c r="H1958" s="64" t="s">
        <v>542</v>
      </c>
      <c r="I1958" s="62" t="s">
        <v>138</v>
      </c>
      <c r="J1958" s="64" t="s">
        <v>542</v>
      </c>
      <c r="K1958" s="62" t="s">
        <v>138</v>
      </c>
      <c r="L1958" s="68" t="b">
        <f aca="false">TRUE()</f>
        <v>1</v>
      </c>
    </row>
    <row r="1959" customFormat="false" ht="15" hidden="false" customHeight="false" outlineLevel="0" collapsed="false">
      <c r="A1959" s="62" t="n">
        <v>0</v>
      </c>
      <c r="B1959" s="21" t="s">
        <v>336</v>
      </c>
      <c r="C1959" s="62" t="s">
        <v>60</v>
      </c>
      <c r="D1959" s="62" t="s">
        <v>386</v>
      </c>
      <c r="E1959" s="62" t="s">
        <v>382</v>
      </c>
      <c r="F1959" s="62" t="s">
        <v>382</v>
      </c>
      <c r="G1959" s="63" t="s">
        <v>541</v>
      </c>
      <c r="H1959" s="64" t="s">
        <v>542</v>
      </c>
      <c r="I1959" s="62" t="s">
        <v>138</v>
      </c>
      <c r="J1959" s="64" t="s">
        <v>542</v>
      </c>
      <c r="K1959" s="62" t="s">
        <v>138</v>
      </c>
      <c r="L1959" s="68" t="b">
        <f aca="false">TRUE()</f>
        <v>1</v>
      </c>
    </row>
    <row r="1960" customFormat="false" ht="15" hidden="false" customHeight="false" outlineLevel="0" collapsed="false">
      <c r="A1960" s="62" t="n">
        <v>0</v>
      </c>
      <c r="B1960" s="21" t="s">
        <v>336</v>
      </c>
      <c r="C1960" s="62" t="s">
        <v>60</v>
      </c>
      <c r="D1960" s="62" t="s">
        <v>387</v>
      </c>
      <c r="E1960" s="62" t="s">
        <v>382</v>
      </c>
      <c r="F1960" s="62" t="s">
        <v>382</v>
      </c>
      <c r="G1960" s="63" t="s">
        <v>541</v>
      </c>
      <c r="H1960" s="64" t="s">
        <v>542</v>
      </c>
      <c r="I1960" s="62" t="s">
        <v>138</v>
      </c>
      <c r="J1960" s="64" t="s">
        <v>542</v>
      </c>
      <c r="K1960" s="62" t="s">
        <v>138</v>
      </c>
      <c r="L1960" s="68" t="b">
        <f aca="false">TRUE()</f>
        <v>1</v>
      </c>
    </row>
    <row r="1961" customFormat="false" ht="15" hidden="false" customHeight="false" outlineLevel="0" collapsed="false">
      <c r="A1961" s="62" t="n">
        <v>0</v>
      </c>
      <c r="B1961" s="21" t="s">
        <v>336</v>
      </c>
      <c r="C1961" s="62" t="s">
        <v>60</v>
      </c>
      <c r="D1961" s="62" t="s">
        <v>388</v>
      </c>
      <c r="E1961" s="62" t="s">
        <v>382</v>
      </c>
      <c r="F1961" s="62" t="s">
        <v>382</v>
      </c>
      <c r="G1961" s="63" t="s">
        <v>541</v>
      </c>
      <c r="H1961" s="64" t="s">
        <v>542</v>
      </c>
      <c r="I1961" s="62" t="s">
        <v>138</v>
      </c>
      <c r="J1961" s="64" t="s">
        <v>542</v>
      </c>
      <c r="K1961" s="62" t="s">
        <v>138</v>
      </c>
      <c r="L1961" s="68" t="b">
        <f aca="false">TRUE()</f>
        <v>1</v>
      </c>
    </row>
    <row r="1962" customFormat="false" ht="15" hidden="false" customHeight="false" outlineLevel="0" collapsed="false">
      <c r="A1962" s="62" t="n">
        <v>0</v>
      </c>
      <c r="B1962" s="21" t="s">
        <v>336</v>
      </c>
      <c r="C1962" s="62" t="s">
        <v>60</v>
      </c>
      <c r="D1962" s="62" t="s">
        <v>381</v>
      </c>
      <c r="E1962" s="62" t="s">
        <v>382</v>
      </c>
      <c r="F1962" s="62" t="s">
        <v>382</v>
      </c>
      <c r="G1962" s="63" t="s">
        <v>543</v>
      </c>
      <c r="H1962" s="64" t="s">
        <v>544</v>
      </c>
      <c r="I1962" s="62" t="s">
        <v>138</v>
      </c>
      <c r="J1962" s="64" t="s">
        <v>544</v>
      </c>
      <c r="K1962" s="62" t="s">
        <v>138</v>
      </c>
      <c r="L1962" s="68" t="b">
        <f aca="false">TRUE()</f>
        <v>1</v>
      </c>
    </row>
    <row r="1963" customFormat="false" ht="15" hidden="false" customHeight="false" outlineLevel="0" collapsed="false">
      <c r="A1963" s="62" t="n">
        <v>0</v>
      </c>
      <c r="B1963" s="21" t="s">
        <v>336</v>
      </c>
      <c r="C1963" s="62" t="s">
        <v>60</v>
      </c>
      <c r="D1963" s="62" t="s">
        <v>383</v>
      </c>
      <c r="E1963" s="62" t="s">
        <v>382</v>
      </c>
      <c r="F1963" s="62" t="s">
        <v>382</v>
      </c>
      <c r="G1963" s="63" t="s">
        <v>543</v>
      </c>
      <c r="H1963" s="64" t="s">
        <v>544</v>
      </c>
      <c r="I1963" s="62" t="s">
        <v>138</v>
      </c>
      <c r="J1963" s="64" t="s">
        <v>544</v>
      </c>
      <c r="K1963" s="62" t="s">
        <v>138</v>
      </c>
      <c r="L1963" s="68" t="b">
        <f aca="false">TRUE()</f>
        <v>1</v>
      </c>
    </row>
    <row r="1964" customFormat="false" ht="15" hidden="false" customHeight="false" outlineLevel="0" collapsed="false">
      <c r="A1964" s="62" t="n">
        <v>0</v>
      </c>
      <c r="B1964" s="21" t="s">
        <v>336</v>
      </c>
      <c r="C1964" s="62" t="s">
        <v>60</v>
      </c>
      <c r="D1964" s="62" t="s">
        <v>384</v>
      </c>
      <c r="E1964" s="62" t="s">
        <v>382</v>
      </c>
      <c r="F1964" s="62" t="s">
        <v>382</v>
      </c>
      <c r="G1964" s="63" t="s">
        <v>543</v>
      </c>
      <c r="H1964" s="64" t="s">
        <v>544</v>
      </c>
      <c r="I1964" s="62" t="s">
        <v>138</v>
      </c>
      <c r="J1964" s="64" t="s">
        <v>544</v>
      </c>
      <c r="K1964" s="62" t="s">
        <v>138</v>
      </c>
      <c r="L1964" s="68" t="b">
        <f aca="false">TRUE()</f>
        <v>1</v>
      </c>
    </row>
    <row r="1965" customFormat="false" ht="15" hidden="false" customHeight="false" outlineLevel="0" collapsed="false">
      <c r="A1965" s="62" t="n">
        <v>0</v>
      </c>
      <c r="B1965" s="21" t="s">
        <v>336</v>
      </c>
      <c r="C1965" s="62" t="s">
        <v>60</v>
      </c>
      <c r="D1965" s="62" t="s">
        <v>385</v>
      </c>
      <c r="E1965" s="62" t="s">
        <v>382</v>
      </c>
      <c r="F1965" s="62" t="s">
        <v>382</v>
      </c>
      <c r="G1965" s="63" t="s">
        <v>543</v>
      </c>
      <c r="H1965" s="64" t="s">
        <v>544</v>
      </c>
      <c r="I1965" s="62" t="s">
        <v>138</v>
      </c>
      <c r="J1965" s="64" t="s">
        <v>544</v>
      </c>
      <c r="K1965" s="62" t="s">
        <v>138</v>
      </c>
      <c r="L1965" s="68" t="b">
        <f aca="false">TRUE()</f>
        <v>1</v>
      </c>
    </row>
    <row r="1966" customFormat="false" ht="15" hidden="false" customHeight="false" outlineLevel="0" collapsed="false">
      <c r="A1966" s="62" t="n">
        <v>0</v>
      </c>
      <c r="B1966" s="21" t="s">
        <v>336</v>
      </c>
      <c r="C1966" s="62" t="s">
        <v>60</v>
      </c>
      <c r="D1966" s="62" t="s">
        <v>386</v>
      </c>
      <c r="E1966" s="62" t="s">
        <v>382</v>
      </c>
      <c r="F1966" s="62" t="s">
        <v>382</v>
      </c>
      <c r="G1966" s="63" t="s">
        <v>543</v>
      </c>
      <c r="H1966" s="64" t="s">
        <v>544</v>
      </c>
      <c r="I1966" s="62" t="s">
        <v>138</v>
      </c>
      <c r="J1966" s="64" t="s">
        <v>544</v>
      </c>
      <c r="K1966" s="62" t="s">
        <v>138</v>
      </c>
      <c r="L1966" s="68" t="b">
        <f aca="false">TRUE()</f>
        <v>1</v>
      </c>
    </row>
    <row r="1967" customFormat="false" ht="15" hidden="false" customHeight="false" outlineLevel="0" collapsed="false">
      <c r="A1967" s="62" t="n">
        <v>0</v>
      </c>
      <c r="B1967" s="21" t="s">
        <v>336</v>
      </c>
      <c r="C1967" s="62" t="s">
        <v>60</v>
      </c>
      <c r="D1967" s="62" t="s">
        <v>387</v>
      </c>
      <c r="E1967" s="62" t="s">
        <v>382</v>
      </c>
      <c r="F1967" s="62" t="s">
        <v>382</v>
      </c>
      <c r="G1967" s="63" t="s">
        <v>543</v>
      </c>
      <c r="H1967" s="64" t="s">
        <v>544</v>
      </c>
      <c r="I1967" s="62" t="s">
        <v>138</v>
      </c>
      <c r="J1967" s="64" t="s">
        <v>544</v>
      </c>
      <c r="K1967" s="62" t="s">
        <v>138</v>
      </c>
      <c r="L1967" s="68" t="b">
        <f aca="false">TRUE()</f>
        <v>1</v>
      </c>
    </row>
    <row r="1968" customFormat="false" ht="15" hidden="false" customHeight="false" outlineLevel="0" collapsed="false">
      <c r="A1968" s="62" t="n">
        <v>0</v>
      </c>
      <c r="B1968" s="21" t="s">
        <v>336</v>
      </c>
      <c r="C1968" s="62" t="s">
        <v>60</v>
      </c>
      <c r="D1968" s="62" t="s">
        <v>388</v>
      </c>
      <c r="E1968" s="62" t="s">
        <v>382</v>
      </c>
      <c r="F1968" s="62" t="s">
        <v>382</v>
      </c>
      <c r="G1968" s="63" t="s">
        <v>543</v>
      </c>
      <c r="H1968" s="64" t="s">
        <v>544</v>
      </c>
      <c r="I1968" s="62" t="s">
        <v>138</v>
      </c>
      <c r="J1968" s="64" t="s">
        <v>544</v>
      </c>
      <c r="K1968" s="62" t="s">
        <v>138</v>
      </c>
      <c r="L1968" s="68" t="b">
        <f aca="false">TRUE()</f>
        <v>1</v>
      </c>
    </row>
    <row r="1969" customFormat="false" ht="15" hidden="false" customHeight="false" outlineLevel="0" collapsed="false">
      <c r="A1969" s="62" t="n">
        <v>0</v>
      </c>
      <c r="B1969" s="21" t="s">
        <v>336</v>
      </c>
      <c r="C1969" s="62" t="s">
        <v>60</v>
      </c>
      <c r="D1969" s="62" t="s">
        <v>381</v>
      </c>
      <c r="E1969" s="62" t="s">
        <v>382</v>
      </c>
      <c r="F1969" s="62" t="s">
        <v>382</v>
      </c>
      <c r="G1969" s="63" t="s">
        <v>545</v>
      </c>
      <c r="H1969" s="64" t="s">
        <v>546</v>
      </c>
      <c r="I1969" s="62" t="s">
        <v>138</v>
      </c>
      <c r="J1969" s="64" t="s">
        <v>546</v>
      </c>
      <c r="K1969" s="62" t="s">
        <v>138</v>
      </c>
      <c r="L1969" s="68" t="b">
        <f aca="false">TRUE()</f>
        <v>1</v>
      </c>
    </row>
    <row r="1970" customFormat="false" ht="15" hidden="false" customHeight="false" outlineLevel="0" collapsed="false">
      <c r="A1970" s="62" t="n">
        <v>0</v>
      </c>
      <c r="B1970" s="21" t="s">
        <v>336</v>
      </c>
      <c r="C1970" s="62" t="s">
        <v>60</v>
      </c>
      <c r="D1970" s="62" t="s">
        <v>383</v>
      </c>
      <c r="E1970" s="62" t="s">
        <v>382</v>
      </c>
      <c r="F1970" s="62" t="s">
        <v>382</v>
      </c>
      <c r="G1970" s="63" t="s">
        <v>545</v>
      </c>
      <c r="H1970" s="64" t="s">
        <v>546</v>
      </c>
      <c r="I1970" s="62" t="s">
        <v>138</v>
      </c>
      <c r="J1970" s="64" t="s">
        <v>546</v>
      </c>
      <c r="K1970" s="62" t="s">
        <v>138</v>
      </c>
      <c r="L1970" s="68" t="b">
        <f aca="false">TRUE()</f>
        <v>1</v>
      </c>
    </row>
    <row r="1971" customFormat="false" ht="15" hidden="false" customHeight="false" outlineLevel="0" collapsed="false">
      <c r="A1971" s="62" t="n">
        <v>0</v>
      </c>
      <c r="B1971" s="21" t="s">
        <v>336</v>
      </c>
      <c r="C1971" s="62" t="s">
        <v>60</v>
      </c>
      <c r="D1971" s="62" t="s">
        <v>384</v>
      </c>
      <c r="E1971" s="62" t="s">
        <v>382</v>
      </c>
      <c r="F1971" s="62" t="s">
        <v>382</v>
      </c>
      <c r="G1971" s="63" t="s">
        <v>545</v>
      </c>
      <c r="H1971" s="64" t="s">
        <v>546</v>
      </c>
      <c r="I1971" s="62" t="s">
        <v>138</v>
      </c>
      <c r="J1971" s="64" t="s">
        <v>546</v>
      </c>
      <c r="K1971" s="62" t="s">
        <v>138</v>
      </c>
      <c r="L1971" s="68" t="b">
        <f aca="false">TRUE()</f>
        <v>1</v>
      </c>
    </row>
    <row r="1972" customFormat="false" ht="15" hidden="false" customHeight="false" outlineLevel="0" collapsed="false">
      <c r="A1972" s="62" t="n">
        <v>0</v>
      </c>
      <c r="B1972" s="21" t="s">
        <v>336</v>
      </c>
      <c r="C1972" s="62" t="s">
        <v>60</v>
      </c>
      <c r="D1972" s="62" t="s">
        <v>385</v>
      </c>
      <c r="E1972" s="62" t="s">
        <v>382</v>
      </c>
      <c r="F1972" s="62" t="s">
        <v>382</v>
      </c>
      <c r="G1972" s="63" t="s">
        <v>545</v>
      </c>
      <c r="H1972" s="64" t="s">
        <v>546</v>
      </c>
      <c r="I1972" s="62" t="s">
        <v>138</v>
      </c>
      <c r="J1972" s="64" t="s">
        <v>546</v>
      </c>
      <c r="K1972" s="62" t="s">
        <v>138</v>
      </c>
      <c r="L1972" s="68" t="b">
        <f aca="false">TRUE()</f>
        <v>1</v>
      </c>
    </row>
    <row r="1973" customFormat="false" ht="15" hidden="false" customHeight="false" outlineLevel="0" collapsed="false">
      <c r="A1973" s="62" t="n">
        <v>0</v>
      </c>
      <c r="B1973" s="21" t="s">
        <v>336</v>
      </c>
      <c r="C1973" s="62" t="s">
        <v>60</v>
      </c>
      <c r="D1973" s="62" t="s">
        <v>386</v>
      </c>
      <c r="E1973" s="62" t="s">
        <v>382</v>
      </c>
      <c r="F1973" s="62" t="s">
        <v>382</v>
      </c>
      <c r="G1973" s="63" t="s">
        <v>545</v>
      </c>
      <c r="H1973" s="64" t="s">
        <v>546</v>
      </c>
      <c r="I1973" s="62" t="s">
        <v>138</v>
      </c>
      <c r="J1973" s="64" t="s">
        <v>546</v>
      </c>
      <c r="K1973" s="62" t="s">
        <v>138</v>
      </c>
      <c r="L1973" s="68" t="b">
        <f aca="false">TRUE()</f>
        <v>1</v>
      </c>
    </row>
    <row r="1974" customFormat="false" ht="15" hidden="false" customHeight="false" outlineLevel="0" collapsed="false">
      <c r="A1974" s="62" t="n">
        <v>0</v>
      </c>
      <c r="B1974" s="21" t="s">
        <v>336</v>
      </c>
      <c r="C1974" s="62" t="s">
        <v>60</v>
      </c>
      <c r="D1974" s="62" t="s">
        <v>387</v>
      </c>
      <c r="E1974" s="62" t="s">
        <v>382</v>
      </c>
      <c r="F1974" s="62" t="s">
        <v>382</v>
      </c>
      <c r="G1974" s="63" t="s">
        <v>545</v>
      </c>
      <c r="H1974" s="64" t="s">
        <v>546</v>
      </c>
      <c r="I1974" s="62" t="s">
        <v>138</v>
      </c>
      <c r="J1974" s="64" t="s">
        <v>546</v>
      </c>
      <c r="K1974" s="62" t="s">
        <v>138</v>
      </c>
      <c r="L1974" s="68" t="b">
        <f aca="false">TRUE()</f>
        <v>1</v>
      </c>
    </row>
    <row r="1975" customFormat="false" ht="15" hidden="false" customHeight="false" outlineLevel="0" collapsed="false">
      <c r="A1975" s="62" t="n">
        <v>0</v>
      </c>
      <c r="B1975" s="21" t="s">
        <v>336</v>
      </c>
      <c r="C1975" s="62" t="s">
        <v>60</v>
      </c>
      <c r="D1975" s="62" t="s">
        <v>388</v>
      </c>
      <c r="E1975" s="62" t="s">
        <v>382</v>
      </c>
      <c r="F1975" s="62" t="s">
        <v>382</v>
      </c>
      <c r="G1975" s="63" t="s">
        <v>545</v>
      </c>
      <c r="H1975" s="64" t="s">
        <v>546</v>
      </c>
      <c r="I1975" s="62" t="s">
        <v>138</v>
      </c>
      <c r="J1975" s="64" t="s">
        <v>546</v>
      </c>
      <c r="K1975" s="62" t="s">
        <v>138</v>
      </c>
      <c r="L1975" s="68" t="b">
        <f aca="false">TRUE()</f>
        <v>1</v>
      </c>
    </row>
    <row r="1976" customFormat="false" ht="15" hidden="false" customHeight="false" outlineLevel="0" collapsed="false">
      <c r="A1976" s="62" t="n">
        <v>0</v>
      </c>
      <c r="B1976" s="21" t="s">
        <v>336</v>
      </c>
      <c r="C1976" s="62" t="s">
        <v>60</v>
      </c>
      <c r="D1976" s="62" t="s">
        <v>381</v>
      </c>
      <c r="E1976" s="62" t="s">
        <v>382</v>
      </c>
      <c r="F1976" s="62" t="s">
        <v>382</v>
      </c>
      <c r="G1976" s="63" t="s">
        <v>547</v>
      </c>
      <c r="H1976" s="64" t="s">
        <v>548</v>
      </c>
      <c r="I1976" s="62" t="s">
        <v>138</v>
      </c>
      <c r="J1976" s="64" t="s">
        <v>548</v>
      </c>
      <c r="K1976" s="62" t="s">
        <v>138</v>
      </c>
      <c r="L1976" s="68" t="b">
        <f aca="false">TRUE()</f>
        <v>1</v>
      </c>
    </row>
    <row r="1977" customFormat="false" ht="15" hidden="false" customHeight="false" outlineLevel="0" collapsed="false">
      <c r="A1977" s="62" t="n">
        <v>0</v>
      </c>
      <c r="B1977" s="21" t="s">
        <v>336</v>
      </c>
      <c r="C1977" s="62" t="s">
        <v>60</v>
      </c>
      <c r="D1977" s="62" t="s">
        <v>383</v>
      </c>
      <c r="E1977" s="62" t="s">
        <v>382</v>
      </c>
      <c r="F1977" s="62" t="s">
        <v>382</v>
      </c>
      <c r="G1977" s="63" t="s">
        <v>547</v>
      </c>
      <c r="H1977" s="64" t="s">
        <v>548</v>
      </c>
      <c r="I1977" s="62" t="s">
        <v>138</v>
      </c>
      <c r="J1977" s="64" t="s">
        <v>548</v>
      </c>
      <c r="K1977" s="62" t="s">
        <v>138</v>
      </c>
      <c r="L1977" s="68" t="b">
        <f aca="false">TRUE()</f>
        <v>1</v>
      </c>
    </row>
    <row r="1978" customFormat="false" ht="15" hidden="false" customHeight="false" outlineLevel="0" collapsed="false">
      <c r="A1978" s="62" t="n">
        <v>0</v>
      </c>
      <c r="B1978" s="21" t="s">
        <v>336</v>
      </c>
      <c r="C1978" s="62" t="s">
        <v>60</v>
      </c>
      <c r="D1978" s="62" t="s">
        <v>384</v>
      </c>
      <c r="E1978" s="62" t="s">
        <v>382</v>
      </c>
      <c r="F1978" s="62" t="s">
        <v>382</v>
      </c>
      <c r="G1978" s="63" t="s">
        <v>547</v>
      </c>
      <c r="H1978" s="64" t="s">
        <v>548</v>
      </c>
      <c r="I1978" s="62" t="s">
        <v>138</v>
      </c>
      <c r="J1978" s="64" t="s">
        <v>548</v>
      </c>
      <c r="K1978" s="62" t="s">
        <v>138</v>
      </c>
      <c r="L1978" s="68" t="b">
        <f aca="false">TRUE()</f>
        <v>1</v>
      </c>
    </row>
    <row r="1979" customFormat="false" ht="15" hidden="false" customHeight="false" outlineLevel="0" collapsed="false">
      <c r="A1979" s="62" t="n">
        <v>0</v>
      </c>
      <c r="B1979" s="21" t="s">
        <v>336</v>
      </c>
      <c r="C1979" s="62" t="s">
        <v>60</v>
      </c>
      <c r="D1979" s="62" t="s">
        <v>385</v>
      </c>
      <c r="E1979" s="62" t="s">
        <v>382</v>
      </c>
      <c r="F1979" s="62" t="s">
        <v>382</v>
      </c>
      <c r="G1979" s="63" t="s">
        <v>547</v>
      </c>
      <c r="H1979" s="64" t="s">
        <v>548</v>
      </c>
      <c r="I1979" s="62" t="s">
        <v>138</v>
      </c>
      <c r="J1979" s="64" t="s">
        <v>548</v>
      </c>
      <c r="K1979" s="62" t="s">
        <v>138</v>
      </c>
      <c r="L1979" s="68" t="b">
        <f aca="false">TRUE()</f>
        <v>1</v>
      </c>
    </row>
    <row r="1980" customFormat="false" ht="15" hidden="false" customHeight="false" outlineLevel="0" collapsed="false">
      <c r="A1980" s="62" t="n">
        <v>0</v>
      </c>
      <c r="B1980" s="21" t="s">
        <v>336</v>
      </c>
      <c r="C1980" s="62" t="s">
        <v>60</v>
      </c>
      <c r="D1980" s="62" t="s">
        <v>386</v>
      </c>
      <c r="E1980" s="62" t="s">
        <v>382</v>
      </c>
      <c r="F1980" s="62" t="s">
        <v>382</v>
      </c>
      <c r="G1980" s="63" t="s">
        <v>547</v>
      </c>
      <c r="H1980" s="64" t="s">
        <v>548</v>
      </c>
      <c r="I1980" s="62" t="s">
        <v>138</v>
      </c>
      <c r="J1980" s="64" t="s">
        <v>548</v>
      </c>
      <c r="K1980" s="62" t="s">
        <v>138</v>
      </c>
      <c r="L1980" s="68" t="b">
        <f aca="false">TRUE()</f>
        <v>1</v>
      </c>
    </row>
    <row r="1981" customFormat="false" ht="15" hidden="false" customHeight="false" outlineLevel="0" collapsed="false">
      <c r="A1981" s="62" t="n">
        <v>0</v>
      </c>
      <c r="B1981" s="21" t="s">
        <v>336</v>
      </c>
      <c r="C1981" s="62" t="s">
        <v>60</v>
      </c>
      <c r="D1981" s="62" t="s">
        <v>387</v>
      </c>
      <c r="E1981" s="62" t="s">
        <v>382</v>
      </c>
      <c r="F1981" s="62" t="s">
        <v>382</v>
      </c>
      <c r="G1981" s="63" t="s">
        <v>547</v>
      </c>
      <c r="H1981" s="64" t="s">
        <v>548</v>
      </c>
      <c r="I1981" s="62" t="s">
        <v>138</v>
      </c>
      <c r="J1981" s="64" t="s">
        <v>548</v>
      </c>
      <c r="K1981" s="62" t="s">
        <v>138</v>
      </c>
      <c r="L1981" s="68" t="b">
        <f aca="false">TRUE()</f>
        <v>1</v>
      </c>
    </row>
    <row r="1982" customFormat="false" ht="15" hidden="false" customHeight="false" outlineLevel="0" collapsed="false">
      <c r="A1982" s="62" t="n">
        <v>0</v>
      </c>
      <c r="B1982" s="21" t="s">
        <v>336</v>
      </c>
      <c r="C1982" s="62" t="s">
        <v>60</v>
      </c>
      <c r="D1982" s="62" t="s">
        <v>388</v>
      </c>
      <c r="E1982" s="62" t="s">
        <v>382</v>
      </c>
      <c r="F1982" s="62" t="s">
        <v>382</v>
      </c>
      <c r="G1982" s="63" t="s">
        <v>547</v>
      </c>
      <c r="H1982" s="64" t="s">
        <v>548</v>
      </c>
      <c r="I1982" s="62" t="s">
        <v>138</v>
      </c>
      <c r="J1982" s="64" t="s">
        <v>548</v>
      </c>
      <c r="K1982" s="62" t="s">
        <v>138</v>
      </c>
      <c r="L1982" s="68" t="b">
        <f aca="false">TRUE()</f>
        <v>1</v>
      </c>
    </row>
    <row r="1983" customFormat="false" ht="15" hidden="false" customHeight="false" outlineLevel="0" collapsed="false">
      <c r="A1983" s="62" t="n">
        <v>0</v>
      </c>
      <c r="B1983" s="21" t="s">
        <v>336</v>
      </c>
      <c r="C1983" s="62" t="s">
        <v>60</v>
      </c>
      <c r="D1983" s="62" t="s">
        <v>381</v>
      </c>
      <c r="E1983" s="62" t="s">
        <v>382</v>
      </c>
      <c r="F1983" s="62" t="s">
        <v>382</v>
      </c>
      <c r="G1983" s="63" t="s">
        <v>549</v>
      </c>
      <c r="H1983" s="64" t="s">
        <v>550</v>
      </c>
      <c r="I1983" s="62"/>
      <c r="J1983" s="64" t="s">
        <v>550</v>
      </c>
      <c r="K1983" s="62"/>
      <c r="L1983" s="68" t="b">
        <f aca="false">FALSE()</f>
        <v>0</v>
      </c>
    </row>
    <row r="1984" customFormat="false" ht="15" hidden="false" customHeight="false" outlineLevel="0" collapsed="false">
      <c r="A1984" s="62" t="n">
        <v>0</v>
      </c>
      <c r="B1984" s="21" t="s">
        <v>336</v>
      </c>
      <c r="C1984" s="62" t="s">
        <v>60</v>
      </c>
      <c r="D1984" s="62" t="s">
        <v>383</v>
      </c>
      <c r="E1984" s="62" t="s">
        <v>382</v>
      </c>
      <c r="F1984" s="62" t="s">
        <v>382</v>
      </c>
      <c r="G1984" s="63" t="s">
        <v>549</v>
      </c>
      <c r="H1984" s="64" t="s">
        <v>550</v>
      </c>
      <c r="I1984" s="62"/>
      <c r="J1984" s="64" t="s">
        <v>550</v>
      </c>
      <c r="K1984" s="62"/>
      <c r="L1984" s="68" t="b">
        <f aca="false">TRUE()</f>
        <v>1</v>
      </c>
    </row>
    <row r="1985" customFormat="false" ht="15" hidden="false" customHeight="false" outlineLevel="0" collapsed="false">
      <c r="A1985" s="62" t="n">
        <v>0</v>
      </c>
      <c r="B1985" s="21" t="s">
        <v>336</v>
      </c>
      <c r="C1985" s="62" t="s">
        <v>60</v>
      </c>
      <c r="D1985" s="62" t="s">
        <v>384</v>
      </c>
      <c r="E1985" s="62" t="s">
        <v>382</v>
      </c>
      <c r="F1985" s="62" t="s">
        <v>382</v>
      </c>
      <c r="G1985" s="63" t="s">
        <v>549</v>
      </c>
      <c r="H1985" s="64" t="s">
        <v>550</v>
      </c>
      <c r="I1985" s="62"/>
      <c r="J1985" s="64" t="s">
        <v>550</v>
      </c>
      <c r="K1985" s="62"/>
      <c r="L1985" s="68" t="b">
        <f aca="false">TRUE()</f>
        <v>1</v>
      </c>
    </row>
    <row r="1986" customFormat="false" ht="15" hidden="false" customHeight="false" outlineLevel="0" collapsed="false">
      <c r="A1986" s="62" t="n">
        <v>0</v>
      </c>
      <c r="B1986" s="21" t="s">
        <v>336</v>
      </c>
      <c r="C1986" s="62" t="s">
        <v>60</v>
      </c>
      <c r="D1986" s="62" t="s">
        <v>385</v>
      </c>
      <c r="E1986" s="62" t="s">
        <v>382</v>
      </c>
      <c r="F1986" s="62" t="s">
        <v>382</v>
      </c>
      <c r="G1986" s="63" t="s">
        <v>549</v>
      </c>
      <c r="H1986" s="64" t="s">
        <v>550</v>
      </c>
      <c r="I1986" s="62"/>
      <c r="J1986" s="64" t="s">
        <v>550</v>
      </c>
      <c r="K1986" s="62"/>
      <c r="L1986" s="68" t="b">
        <f aca="false">TRUE()</f>
        <v>1</v>
      </c>
    </row>
    <row r="1987" customFormat="false" ht="15" hidden="false" customHeight="false" outlineLevel="0" collapsed="false">
      <c r="A1987" s="62" t="n">
        <v>0</v>
      </c>
      <c r="B1987" s="21" t="s">
        <v>336</v>
      </c>
      <c r="C1987" s="62" t="s">
        <v>60</v>
      </c>
      <c r="D1987" s="62" t="s">
        <v>386</v>
      </c>
      <c r="E1987" s="62" t="s">
        <v>382</v>
      </c>
      <c r="F1987" s="62" t="s">
        <v>382</v>
      </c>
      <c r="G1987" s="63" t="s">
        <v>549</v>
      </c>
      <c r="H1987" s="64" t="s">
        <v>550</v>
      </c>
      <c r="I1987" s="62"/>
      <c r="J1987" s="64" t="s">
        <v>550</v>
      </c>
      <c r="K1987" s="62"/>
      <c r="L1987" s="68" t="b">
        <f aca="false">TRUE()</f>
        <v>1</v>
      </c>
    </row>
    <row r="1988" customFormat="false" ht="15" hidden="false" customHeight="false" outlineLevel="0" collapsed="false">
      <c r="A1988" s="62" t="n">
        <v>0</v>
      </c>
      <c r="B1988" s="21" t="s">
        <v>336</v>
      </c>
      <c r="C1988" s="62" t="s">
        <v>60</v>
      </c>
      <c r="D1988" s="62" t="s">
        <v>387</v>
      </c>
      <c r="E1988" s="62" t="s">
        <v>382</v>
      </c>
      <c r="F1988" s="62" t="s">
        <v>382</v>
      </c>
      <c r="G1988" s="63" t="s">
        <v>549</v>
      </c>
      <c r="H1988" s="64" t="s">
        <v>550</v>
      </c>
      <c r="I1988" s="62"/>
      <c r="J1988" s="64" t="s">
        <v>550</v>
      </c>
      <c r="K1988" s="62"/>
      <c r="L1988" s="68" t="b">
        <f aca="false">TRUE()</f>
        <v>1</v>
      </c>
    </row>
    <row r="1989" customFormat="false" ht="15" hidden="false" customHeight="false" outlineLevel="0" collapsed="false">
      <c r="A1989" s="62" t="n">
        <v>0</v>
      </c>
      <c r="B1989" s="21" t="s">
        <v>336</v>
      </c>
      <c r="C1989" s="62" t="s">
        <v>60</v>
      </c>
      <c r="D1989" s="62" t="s">
        <v>388</v>
      </c>
      <c r="E1989" s="62" t="s">
        <v>382</v>
      </c>
      <c r="F1989" s="62" t="s">
        <v>382</v>
      </c>
      <c r="G1989" s="63" t="s">
        <v>549</v>
      </c>
      <c r="H1989" s="64" t="s">
        <v>550</v>
      </c>
      <c r="I1989" s="62"/>
      <c r="J1989" s="64" t="s">
        <v>550</v>
      </c>
      <c r="K1989" s="62"/>
      <c r="L1989" s="68" t="b">
        <f aca="false">TRUE()</f>
        <v>1</v>
      </c>
    </row>
    <row r="1990" customFormat="false" ht="15" hidden="false" customHeight="false" outlineLevel="0" collapsed="false">
      <c r="A1990" s="62" t="n">
        <v>0</v>
      </c>
      <c r="B1990" s="21" t="s">
        <v>336</v>
      </c>
      <c r="C1990" s="62" t="s">
        <v>60</v>
      </c>
      <c r="D1990" s="62" t="s">
        <v>381</v>
      </c>
      <c r="E1990" s="62" t="s">
        <v>382</v>
      </c>
      <c r="F1990" s="62" t="s">
        <v>382</v>
      </c>
      <c r="G1990" s="63" t="s">
        <v>551</v>
      </c>
      <c r="H1990" s="64" t="s">
        <v>550</v>
      </c>
      <c r="I1990" s="62"/>
      <c r="J1990" s="64" t="s">
        <v>550</v>
      </c>
      <c r="K1990" s="62"/>
      <c r="L1990" s="68" t="b">
        <f aca="false">FALSE()</f>
        <v>0</v>
      </c>
    </row>
    <row r="1991" customFormat="false" ht="15" hidden="false" customHeight="false" outlineLevel="0" collapsed="false">
      <c r="A1991" s="62" t="n">
        <v>0</v>
      </c>
      <c r="B1991" s="21" t="s">
        <v>336</v>
      </c>
      <c r="C1991" s="62" t="s">
        <v>60</v>
      </c>
      <c r="D1991" s="62" t="s">
        <v>383</v>
      </c>
      <c r="E1991" s="62" t="s">
        <v>382</v>
      </c>
      <c r="F1991" s="62" t="s">
        <v>382</v>
      </c>
      <c r="G1991" s="63" t="s">
        <v>551</v>
      </c>
      <c r="H1991" s="64" t="s">
        <v>550</v>
      </c>
      <c r="I1991" s="62"/>
      <c r="J1991" s="64" t="s">
        <v>550</v>
      </c>
      <c r="K1991" s="62"/>
      <c r="L1991" s="68" t="b">
        <f aca="false">TRUE()</f>
        <v>1</v>
      </c>
    </row>
    <row r="1992" customFormat="false" ht="15" hidden="false" customHeight="false" outlineLevel="0" collapsed="false">
      <c r="A1992" s="62" t="n">
        <v>0</v>
      </c>
      <c r="B1992" s="21" t="s">
        <v>336</v>
      </c>
      <c r="C1992" s="62" t="s">
        <v>60</v>
      </c>
      <c r="D1992" s="62" t="s">
        <v>384</v>
      </c>
      <c r="E1992" s="62" t="s">
        <v>382</v>
      </c>
      <c r="F1992" s="62" t="s">
        <v>382</v>
      </c>
      <c r="G1992" s="63" t="s">
        <v>551</v>
      </c>
      <c r="H1992" s="64" t="s">
        <v>550</v>
      </c>
      <c r="I1992" s="62"/>
      <c r="J1992" s="64" t="s">
        <v>550</v>
      </c>
      <c r="K1992" s="62"/>
      <c r="L1992" s="68" t="b">
        <f aca="false">TRUE()</f>
        <v>1</v>
      </c>
    </row>
    <row r="1993" customFormat="false" ht="15" hidden="false" customHeight="false" outlineLevel="0" collapsed="false">
      <c r="A1993" s="62" t="n">
        <v>0</v>
      </c>
      <c r="B1993" s="21" t="s">
        <v>336</v>
      </c>
      <c r="C1993" s="62" t="s">
        <v>60</v>
      </c>
      <c r="D1993" s="62" t="s">
        <v>385</v>
      </c>
      <c r="E1993" s="62" t="s">
        <v>382</v>
      </c>
      <c r="F1993" s="62" t="s">
        <v>382</v>
      </c>
      <c r="G1993" s="63" t="s">
        <v>551</v>
      </c>
      <c r="H1993" s="64" t="s">
        <v>550</v>
      </c>
      <c r="I1993" s="62"/>
      <c r="J1993" s="64" t="s">
        <v>550</v>
      </c>
      <c r="K1993" s="62"/>
      <c r="L1993" s="68" t="b">
        <f aca="false">TRUE()</f>
        <v>1</v>
      </c>
    </row>
    <row r="1994" customFormat="false" ht="15" hidden="false" customHeight="false" outlineLevel="0" collapsed="false">
      <c r="A1994" s="62" t="n">
        <v>0</v>
      </c>
      <c r="B1994" s="21" t="s">
        <v>336</v>
      </c>
      <c r="C1994" s="62" t="s">
        <v>60</v>
      </c>
      <c r="D1994" s="62" t="s">
        <v>386</v>
      </c>
      <c r="E1994" s="62" t="s">
        <v>382</v>
      </c>
      <c r="F1994" s="62" t="s">
        <v>382</v>
      </c>
      <c r="G1994" s="63" t="s">
        <v>551</v>
      </c>
      <c r="H1994" s="64" t="s">
        <v>550</v>
      </c>
      <c r="I1994" s="62"/>
      <c r="J1994" s="64" t="s">
        <v>550</v>
      </c>
      <c r="K1994" s="62"/>
      <c r="L1994" s="68" t="b">
        <f aca="false">TRUE()</f>
        <v>1</v>
      </c>
    </row>
    <row r="1995" customFormat="false" ht="15" hidden="false" customHeight="false" outlineLevel="0" collapsed="false">
      <c r="A1995" s="62" t="n">
        <v>0</v>
      </c>
      <c r="B1995" s="21" t="s">
        <v>336</v>
      </c>
      <c r="C1995" s="62" t="s">
        <v>60</v>
      </c>
      <c r="D1995" s="62" t="s">
        <v>387</v>
      </c>
      <c r="E1995" s="62" t="s">
        <v>382</v>
      </c>
      <c r="F1995" s="62" t="s">
        <v>382</v>
      </c>
      <c r="G1995" s="63" t="s">
        <v>551</v>
      </c>
      <c r="H1995" s="64" t="s">
        <v>550</v>
      </c>
      <c r="I1995" s="62"/>
      <c r="J1995" s="64" t="s">
        <v>550</v>
      </c>
      <c r="K1995" s="62"/>
      <c r="L1995" s="68" t="b">
        <f aca="false">TRUE()</f>
        <v>1</v>
      </c>
    </row>
    <row r="1996" customFormat="false" ht="15" hidden="false" customHeight="false" outlineLevel="0" collapsed="false">
      <c r="A1996" s="62" t="n">
        <v>0</v>
      </c>
      <c r="B1996" s="21" t="s">
        <v>336</v>
      </c>
      <c r="C1996" s="62" t="s">
        <v>60</v>
      </c>
      <c r="D1996" s="62" t="s">
        <v>388</v>
      </c>
      <c r="E1996" s="62" t="s">
        <v>382</v>
      </c>
      <c r="F1996" s="62" t="s">
        <v>382</v>
      </c>
      <c r="G1996" s="63" t="s">
        <v>551</v>
      </c>
      <c r="H1996" s="64" t="s">
        <v>550</v>
      </c>
      <c r="I1996" s="62"/>
      <c r="J1996" s="64" t="s">
        <v>550</v>
      </c>
      <c r="K1996" s="62"/>
      <c r="L1996" s="68" t="b">
        <f aca="false">TRUE()</f>
        <v>1</v>
      </c>
    </row>
    <row r="1997" customFormat="false" ht="15" hidden="false" customHeight="false" outlineLevel="0" collapsed="false">
      <c r="A1997" s="62" t="n">
        <v>0</v>
      </c>
      <c r="B1997" s="21" t="s">
        <v>336</v>
      </c>
      <c r="C1997" s="62" t="s">
        <v>60</v>
      </c>
      <c r="D1997" s="62" t="s">
        <v>381</v>
      </c>
      <c r="E1997" s="62" t="s">
        <v>382</v>
      </c>
      <c r="F1997" s="62" t="s">
        <v>382</v>
      </c>
      <c r="G1997" s="63" t="s">
        <v>552</v>
      </c>
      <c r="H1997" s="64" t="s">
        <v>550</v>
      </c>
      <c r="I1997" s="62"/>
      <c r="J1997" s="64" t="s">
        <v>550</v>
      </c>
      <c r="K1997" s="62"/>
      <c r="L1997" s="68" t="b">
        <f aca="false">FALSE()</f>
        <v>0</v>
      </c>
    </row>
    <row r="1998" customFormat="false" ht="15" hidden="false" customHeight="false" outlineLevel="0" collapsed="false">
      <c r="A1998" s="62" t="n">
        <v>0</v>
      </c>
      <c r="B1998" s="21" t="s">
        <v>336</v>
      </c>
      <c r="C1998" s="62" t="s">
        <v>60</v>
      </c>
      <c r="D1998" s="62" t="s">
        <v>383</v>
      </c>
      <c r="E1998" s="62" t="s">
        <v>382</v>
      </c>
      <c r="F1998" s="62" t="s">
        <v>382</v>
      </c>
      <c r="G1998" s="63" t="s">
        <v>552</v>
      </c>
      <c r="H1998" s="64" t="s">
        <v>550</v>
      </c>
      <c r="I1998" s="62"/>
      <c r="J1998" s="64" t="s">
        <v>550</v>
      </c>
      <c r="K1998" s="62"/>
      <c r="L1998" s="68" t="b">
        <f aca="false">TRUE()</f>
        <v>1</v>
      </c>
    </row>
    <row r="1999" customFormat="false" ht="15" hidden="false" customHeight="false" outlineLevel="0" collapsed="false">
      <c r="A1999" s="62" t="n">
        <v>0</v>
      </c>
      <c r="B1999" s="21" t="s">
        <v>336</v>
      </c>
      <c r="C1999" s="62" t="s">
        <v>60</v>
      </c>
      <c r="D1999" s="62" t="s">
        <v>384</v>
      </c>
      <c r="E1999" s="62" t="s">
        <v>382</v>
      </c>
      <c r="F1999" s="62" t="s">
        <v>382</v>
      </c>
      <c r="G1999" s="63" t="s">
        <v>552</v>
      </c>
      <c r="H1999" s="64" t="s">
        <v>550</v>
      </c>
      <c r="I1999" s="62"/>
      <c r="J1999" s="64" t="s">
        <v>550</v>
      </c>
      <c r="K1999" s="62"/>
      <c r="L1999" s="68" t="b">
        <f aca="false">TRUE()</f>
        <v>1</v>
      </c>
    </row>
    <row r="2000" customFormat="false" ht="15" hidden="false" customHeight="false" outlineLevel="0" collapsed="false">
      <c r="A2000" s="62" t="n">
        <v>0</v>
      </c>
      <c r="B2000" s="21" t="s">
        <v>336</v>
      </c>
      <c r="C2000" s="62" t="s">
        <v>60</v>
      </c>
      <c r="D2000" s="62" t="s">
        <v>385</v>
      </c>
      <c r="E2000" s="62" t="s">
        <v>382</v>
      </c>
      <c r="F2000" s="62" t="s">
        <v>382</v>
      </c>
      <c r="G2000" s="63" t="s">
        <v>552</v>
      </c>
      <c r="H2000" s="64" t="s">
        <v>550</v>
      </c>
      <c r="I2000" s="62"/>
      <c r="J2000" s="64" t="s">
        <v>550</v>
      </c>
      <c r="K2000" s="62"/>
      <c r="L2000" s="68" t="b">
        <f aca="false">TRUE()</f>
        <v>1</v>
      </c>
    </row>
    <row r="2001" customFormat="false" ht="15" hidden="false" customHeight="false" outlineLevel="0" collapsed="false">
      <c r="A2001" s="62" t="n">
        <v>0</v>
      </c>
      <c r="B2001" s="21" t="s">
        <v>336</v>
      </c>
      <c r="C2001" s="62" t="s">
        <v>60</v>
      </c>
      <c r="D2001" s="62" t="s">
        <v>386</v>
      </c>
      <c r="E2001" s="62" t="s">
        <v>382</v>
      </c>
      <c r="F2001" s="62" t="s">
        <v>382</v>
      </c>
      <c r="G2001" s="63" t="s">
        <v>552</v>
      </c>
      <c r="H2001" s="64" t="s">
        <v>550</v>
      </c>
      <c r="I2001" s="62"/>
      <c r="J2001" s="64" t="s">
        <v>550</v>
      </c>
      <c r="K2001" s="62"/>
      <c r="L2001" s="68" t="b">
        <f aca="false">TRUE()</f>
        <v>1</v>
      </c>
    </row>
    <row r="2002" customFormat="false" ht="15" hidden="false" customHeight="false" outlineLevel="0" collapsed="false">
      <c r="A2002" s="62" t="n">
        <v>0</v>
      </c>
      <c r="B2002" s="21" t="s">
        <v>336</v>
      </c>
      <c r="C2002" s="62" t="s">
        <v>60</v>
      </c>
      <c r="D2002" s="62" t="s">
        <v>387</v>
      </c>
      <c r="E2002" s="62" t="s">
        <v>382</v>
      </c>
      <c r="F2002" s="62" t="s">
        <v>382</v>
      </c>
      <c r="G2002" s="63" t="s">
        <v>552</v>
      </c>
      <c r="H2002" s="64" t="s">
        <v>550</v>
      </c>
      <c r="I2002" s="62"/>
      <c r="J2002" s="64" t="s">
        <v>550</v>
      </c>
      <c r="K2002" s="62"/>
      <c r="L2002" s="68" t="b">
        <f aca="false">TRUE()</f>
        <v>1</v>
      </c>
    </row>
    <row r="2003" customFormat="false" ht="15" hidden="false" customHeight="false" outlineLevel="0" collapsed="false">
      <c r="A2003" s="62" t="n">
        <v>0</v>
      </c>
      <c r="B2003" s="21" t="s">
        <v>336</v>
      </c>
      <c r="C2003" s="62" t="s">
        <v>60</v>
      </c>
      <c r="D2003" s="62" t="s">
        <v>388</v>
      </c>
      <c r="E2003" s="62" t="s">
        <v>382</v>
      </c>
      <c r="F2003" s="62" t="s">
        <v>382</v>
      </c>
      <c r="G2003" s="63" t="s">
        <v>552</v>
      </c>
      <c r="H2003" s="64" t="s">
        <v>550</v>
      </c>
      <c r="I2003" s="62"/>
      <c r="J2003" s="64" t="s">
        <v>550</v>
      </c>
      <c r="K2003" s="62"/>
      <c r="L2003" s="68" t="b">
        <f aca="false">TRUE()</f>
        <v>1</v>
      </c>
    </row>
    <row r="2004" customFormat="false" ht="15" hidden="false" customHeight="false" outlineLevel="0" collapsed="false">
      <c r="A2004" s="62" t="n">
        <v>0</v>
      </c>
      <c r="B2004" s="21" t="s">
        <v>336</v>
      </c>
      <c r="C2004" s="62" t="s">
        <v>60</v>
      </c>
      <c r="D2004" s="62" t="s">
        <v>381</v>
      </c>
      <c r="E2004" s="62" t="s">
        <v>382</v>
      </c>
      <c r="F2004" s="62" t="s">
        <v>382</v>
      </c>
      <c r="G2004" s="63" t="s">
        <v>553</v>
      </c>
      <c r="H2004" s="64" t="s">
        <v>550</v>
      </c>
      <c r="I2004" s="62"/>
      <c r="J2004" s="64" t="s">
        <v>550</v>
      </c>
      <c r="K2004" s="62"/>
      <c r="L2004" s="68" t="b">
        <f aca="false">FALSE()</f>
        <v>0</v>
      </c>
    </row>
    <row r="2005" customFormat="false" ht="15" hidden="false" customHeight="false" outlineLevel="0" collapsed="false">
      <c r="A2005" s="62" t="n">
        <v>0</v>
      </c>
      <c r="B2005" s="21" t="s">
        <v>336</v>
      </c>
      <c r="C2005" s="62" t="s">
        <v>60</v>
      </c>
      <c r="D2005" s="62" t="s">
        <v>383</v>
      </c>
      <c r="E2005" s="62" t="s">
        <v>382</v>
      </c>
      <c r="F2005" s="62" t="s">
        <v>382</v>
      </c>
      <c r="G2005" s="63" t="s">
        <v>553</v>
      </c>
      <c r="H2005" s="64" t="s">
        <v>550</v>
      </c>
      <c r="I2005" s="62"/>
      <c r="J2005" s="64" t="s">
        <v>550</v>
      </c>
      <c r="K2005" s="62"/>
      <c r="L2005" s="68" t="b">
        <f aca="false">TRUE()</f>
        <v>1</v>
      </c>
    </row>
    <row r="2006" customFormat="false" ht="15" hidden="false" customHeight="false" outlineLevel="0" collapsed="false">
      <c r="A2006" s="62" t="n">
        <v>0</v>
      </c>
      <c r="B2006" s="21" t="s">
        <v>336</v>
      </c>
      <c r="C2006" s="62" t="s">
        <v>60</v>
      </c>
      <c r="D2006" s="62" t="s">
        <v>384</v>
      </c>
      <c r="E2006" s="62" t="s">
        <v>382</v>
      </c>
      <c r="F2006" s="62" t="s">
        <v>382</v>
      </c>
      <c r="G2006" s="63" t="s">
        <v>553</v>
      </c>
      <c r="H2006" s="64" t="s">
        <v>550</v>
      </c>
      <c r="I2006" s="62"/>
      <c r="J2006" s="64" t="s">
        <v>550</v>
      </c>
      <c r="K2006" s="62"/>
      <c r="L2006" s="68" t="b">
        <f aca="false">TRUE()</f>
        <v>1</v>
      </c>
    </row>
    <row r="2007" customFormat="false" ht="15" hidden="false" customHeight="false" outlineLevel="0" collapsed="false">
      <c r="A2007" s="62" t="n">
        <v>0</v>
      </c>
      <c r="B2007" s="21" t="s">
        <v>336</v>
      </c>
      <c r="C2007" s="62" t="s">
        <v>60</v>
      </c>
      <c r="D2007" s="62" t="s">
        <v>385</v>
      </c>
      <c r="E2007" s="62" t="s">
        <v>382</v>
      </c>
      <c r="F2007" s="62" t="s">
        <v>382</v>
      </c>
      <c r="G2007" s="63" t="s">
        <v>553</v>
      </c>
      <c r="H2007" s="64" t="s">
        <v>550</v>
      </c>
      <c r="I2007" s="62"/>
      <c r="J2007" s="64" t="s">
        <v>550</v>
      </c>
      <c r="K2007" s="62"/>
      <c r="L2007" s="68" t="b">
        <f aca="false">TRUE()</f>
        <v>1</v>
      </c>
    </row>
    <row r="2008" customFormat="false" ht="15" hidden="false" customHeight="false" outlineLevel="0" collapsed="false">
      <c r="A2008" s="62" t="n">
        <v>0</v>
      </c>
      <c r="B2008" s="21" t="s">
        <v>336</v>
      </c>
      <c r="C2008" s="62" t="s">
        <v>60</v>
      </c>
      <c r="D2008" s="62" t="s">
        <v>386</v>
      </c>
      <c r="E2008" s="62" t="s">
        <v>382</v>
      </c>
      <c r="F2008" s="62" t="s">
        <v>382</v>
      </c>
      <c r="G2008" s="63" t="s">
        <v>553</v>
      </c>
      <c r="H2008" s="64" t="s">
        <v>550</v>
      </c>
      <c r="I2008" s="62"/>
      <c r="J2008" s="64" t="s">
        <v>550</v>
      </c>
      <c r="K2008" s="62"/>
      <c r="L2008" s="68" t="b">
        <f aca="false">TRUE()</f>
        <v>1</v>
      </c>
    </row>
    <row r="2009" customFormat="false" ht="15" hidden="false" customHeight="false" outlineLevel="0" collapsed="false">
      <c r="A2009" s="62" t="n">
        <v>0</v>
      </c>
      <c r="B2009" s="21" t="s">
        <v>336</v>
      </c>
      <c r="C2009" s="62" t="s">
        <v>60</v>
      </c>
      <c r="D2009" s="62" t="s">
        <v>387</v>
      </c>
      <c r="E2009" s="62" t="s">
        <v>382</v>
      </c>
      <c r="F2009" s="62" t="s">
        <v>382</v>
      </c>
      <c r="G2009" s="63" t="s">
        <v>553</v>
      </c>
      <c r="H2009" s="64" t="s">
        <v>550</v>
      </c>
      <c r="I2009" s="62"/>
      <c r="J2009" s="64" t="s">
        <v>550</v>
      </c>
      <c r="K2009" s="62"/>
      <c r="L2009" s="68" t="b">
        <f aca="false">TRUE()</f>
        <v>1</v>
      </c>
    </row>
    <row r="2010" customFormat="false" ht="15" hidden="false" customHeight="false" outlineLevel="0" collapsed="false">
      <c r="A2010" s="62" t="n">
        <v>0</v>
      </c>
      <c r="B2010" s="21" t="s">
        <v>336</v>
      </c>
      <c r="C2010" s="62" t="s">
        <v>60</v>
      </c>
      <c r="D2010" s="62" t="s">
        <v>388</v>
      </c>
      <c r="E2010" s="62" t="s">
        <v>382</v>
      </c>
      <c r="F2010" s="62" t="s">
        <v>382</v>
      </c>
      <c r="G2010" s="63" t="s">
        <v>553</v>
      </c>
      <c r="H2010" s="64" t="s">
        <v>550</v>
      </c>
      <c r="I2010" s="62"/>
      <c r="J2010" s="64" t="s">
        <v>550</v>
      </c>
      <c r="K2010" s="62"/>
      <c r="L2010" s="68" t="b">
        <f aca="false">TRUE()</f>
        <v>1</v>
      </c>
    </row>
    <row r="2011" customFormat="false" ht="15" hidden="false" customHeight="false" outlineLevel="0" collapsed="false">
      <c r="A2011" s="62" t="n">
        <v>0</v>
      </c>
      <c r="B2011" s="21" t="s">
        <v>336</v>
      </c>
      <c r="C2011" s="62" t="s">
        <v>60</v>
      </c>
      <c r="D2011" s="62" t="s">
        <v>381</v>
      </c>
      <c r="E2011" s="62" t="s">
        <v>382</v>
      </c>
      <c r="F2011" s="62" t="s">
        <v>382</v>
      </c>
      <c r="G2011" s="63" t="s">
        <v>554</v>
      </c>
      <c r="H2011" s="64" t="s">
        <v>550</v>
      </c>
      <c r="I2011" s="62"/>
      <c r="J2011" s="64" t="s">
        <v>550</v>
      </c>
      <c r="K2011" s="62"/>
      <c r="L2011" s="68" t="b">
        <f aca="false">FALSE()</f>
        <v>0</v>
      </c>
    </row>
    <row r="2012" customFormat="false" ht="15" hidden="false" customHeight="false" outlineLevel="0" collapsed="false">
      <c r="A2012" s="62" t="n">
        <v>0</v>
      </c>
      <c r="B2012" s="21" t="s">
        <v>336</v>
      </c>
      <c r="C2012" s="62" t="s">
        <v>60</v>
      </c>
      <c r="D2012" s="62" t="s">
        <v>383</v>
      </c>
      <c r="E2012" s="62" t="s">
        <v>382</v>
      </c>
      <c r="F2012" s="62" t="s">
        <v>382</v>
      </c>
      <c r="G2012" s="63" t="s">
        <v>554</v>
      </c>
      <c r="H2012" s="64" t="s">
        <v>550</v>
      </c>
      <c r="I2012" s="62"/>
      <c r="J2012" s="64" t="s">
        <v>550</v>
      </c>
      <c r="K2012" s="62"/>
      <c r="L2012" s="68" t="b">
        <f aca="false">TRUE()</f>
        <v>1</v>
      </c>
    </row>
    <row r="2013" customFormat="false" ht="15" hidden="false" customHeight="false" outlineLevel="0" collapsed="false">
      <c r="A2013" s="62" t="n">
        <v>0</v>
      </c>
      <c r="B2013" s="21" t="s">
        <v>336</v>
      </c>
      <c r="C2013" s="62" t="s">
        <v>60</v>
      </c>
      <c r="D2013" s="62" t="s">
        <v>384</v>
      </c>
      <c r="E2013" s="62" t="s">
        <v>382</v>
      </c>
      <c r="F2013" s="62" t="s">
        <v>382</v>
      </c>
      <c r="G2013" s="63" t="s">
        <v>554</v>
      </c>
      <c r="H2013" s="64" t="s">
        <v>550</v>
      </c>
      <c r="I2013" s="62"/>
      <c r="J2013" s="64" t="s">
        <v>550</v>
      </c>
      <c r="K2013" s="62"/>
      <c r="L2013" s="68" t="b">
        <f aca="false">TRUE()</f>
        <v>1</v>
      </c>
    </row>
    <row r="2014" customFormat="false" ht="15" hidden="false" customHeight="false" outlineLevel="0" collapsed="false">
      <c r="A2014" s="62" t="n">
        <v>0</v>
      </c>
      <c r="B2014" s="21" t="s">
        <v>336</v>
      </c>
      <c r="C2014" s="62" t="s">
        <v>60</v>
      </c>
      <c r="D2014" s="62" t="s">
        <v>385</v>
      </c>
      <c r="E2014" s="62" t="s">
        <v>382</v>
      </c>
      <c r="F2014" s="62" t="s">
        <v>382</v>
      </c>
      <c r="G2014" s="63" t="s">
        <v>554</v>
      </c>
      <c r="H2014" s="64" t="s">
        <v>550</v>
      </c>
      <c r="I2014" s="62"/>
      <c r="J2014" s="64" t="s">
        <v>550</v>
      </c>
      <c r="K2014" s="62"/>
      <c r="L2014" s="68" t="b">
        <f aca="false">TRUE()</f>
        <v>1</v>
      </c>
    </row>
    <row r="2015" customFormat="false" ht="15" hidden="false" customHeight="false" outlineLevel="0" collapsed="false">
      <c r="A2015" s="62" t="n">
        <v>0</v>
      </c>
      <c r="B2015" s="21" t="s">
        <v>336</v>
      </c>
      <c r="C2015" s="62" t="s">
        <v>60</v>
      </c>
      <c r="D2015" s="62" t="s">
        <v>386</v>
      </c>
      <c r="E2015" s="62" t="s">
        <v>382</v>
      </c>
      <c r="F2015" s="62" t="s">
        <v>382</v>
      </c>
      <c r="G2015" s="63" t="s">
        <v>554</v>
      </c>
      <c r="H2015" s="64" t="s">
        <v>550</v>
      </c>
      <c r="I2015" s="62"/>
      <c r="J2015" s="64" t="s">
        <v>550</v>
      </c>
      <c r="K2015" s="62"/>
      <c r="L2015" s="68" t="b">
        <f aca="false">TRUE()</f>
        <v>1</v>
      </c>
    </row>
    <row r="2016" customFormat="false" ht="15" hidden="false" customHeight="false" outlineLevel="0" collapsed="false">
      <c r="A2016" s="62" t="n">
        <v>0</v>
      </c>
      <c r="B2016" s="21" t="s">
        <v>336</v>
      </c>
      <c r="C2016" s="62" t="s">
        <v>60</v>
      </c>
      <c r="D2016" s="62" t="s">
        <v>387</v>
      </c>
      <c r="E2016" s="62" t="s">
        <v>382</v>
      </c>
      <c r="F2016" s="62" t="s">
        <v>382</v>
      </c>
      <c r="G2016" s="63" t="s">
        <v>554</v>
      </c>
      <c r="H2016" s="64" t="s">
        <v>550</v>
      </c>
      <c r="I2016" s="62"/>
      <c r="J2016" s="64" t="s">
        <v>550</v>
      </c>
      <c r="K2016" s="62"/>
      <c r="L2016" s="68" t="b">
        <f aca="false">TRUE()</f>
        <v>1</v>
      </c>
    </row>
    <row r="2017" customFormat="false" ht="15" hidden="false" customHeight="false" outlineLevel="0" collapsed="false">
      <c r="A2017" s="62" t="n">
        <v>0</v>
      </c>
      <c r="B2017" s="21" t="s">
        <v>336</v>
      </c>
      <c r="C2017" s="62" t="s">
        <v>60</v>
      </c>
      <c r="D2017" s="62" t="s">
        <v>388</v>
      </c>
      <c r="E2017" s="62" t="s">
        <v>382</v>
      </c>
      <c r="F2017" s="62" t="s">
        <v>382</v>
      </c>
      <c r="G2017" s="63" t="s">
        <v>554</v>
      </c>
      <c r="H2017" s="64" t="s">
        <v>550</v>
      </c>
      <c r="I2017" s="62"/>
      <c r="J2017" s="64" t="s">
        <v>550</v>
      </c>
      <c r="K2017" s="62"/>
      <c r="L2017" s="68" t="b">
        <f aca="false">TRUE()</f>
        <v>1</v>
      </c>
    </row>
    <row r="2018" customFormat="false" ht="15" hidden="false" customHeight="false" outlineLevel="0" collapsed="false">
      <c r="A2018" s="62" t="n">
        <v>0</v>
      </c>
      <c r="B2018" s="21" t="s">
        <v>336</v>
      </c>
      <c r="C2018" s="62" t="s">
        <v>60</v>
      </c>
      <c r="D2018" s="62" t="s">
        <v>381</v>
      </c>
      <c r="E2018" s="62" t="s">
        <v>382</v>
      </c>
      <c r="F2018" s="62" t="s">
        <v>382</v>
      </c>
      <c r="G2018" s="63" t="s">
        <v>555</v>
      </c>
      <c r="H2018" s="64" t="n">
        <v>3</v>
      </c>
      <c r="I2018" s="62"/>
      <c r="J2018" s="64" t="n">
        <v>3</v>
      </c>
      <c r="K2018" s="62"/>
      <c r="L2018" s="68" t="b">
        <f aca="false">TRUE()</f>
        <v>1</v>
      </c>
    </row>
    <row r="2019" customFormat="false" ht="15" hidden="false" customHeight="false" outlineLevel="0" collapsed="false">
      <c r="A2019" s="62" t="n">
        <v>0</v>
      </c>
      <c r="B2019" s="21" t="s">
        <v>336</v>
      </c>
      <c r="C2019" s="62" t="s">
        <v>60</v>
      </c>
      <c r="D2019" s="62" t="s">
        <v>383</v>
      </c>
      <c r="E2019" s="62" t="s">
        <v>382</v>
      </c>
      <c r="F2019" s="62" t="s">
        <v>382</v>
      </c>
      <c r="G2019" s="63" t="s">
        <v>555</v>
      </c>
      <c r="H2019" s="64" t="n">
        <v>3</v>
      </c>
      <c r="I2019" s="62"/>
      <c r="J2019" s="64" t="n">
        <v>3</v>
      </c>
      <c r="K2019" s="62"/>
      <c r="L2019" s="68" t="b">
        <f aca="false">TRUE()</f>
        <v>1</v>
      </c>
    </row>
    <row r="2020" customFormat="false" ht="15" hidden="false" customHeight="false" outlineLevel="0" collapsed="false">
      <c r="A2020" s="62" t="n">
        <v>0</v>
      </c>
      <c r="B2020" s="21" t="s">
        <v>336</v>
      </c>
      <c r="C2020" s="62" t="s">
        <v>60</v>
      </c>
      <c r="D2020" s="62" t="s">
        <v>384</v>
      </c>
      <c r="E2020" s="62" t="s">
        <v>382</v>
      </c>
      <c r="F2020" s="62" t="s">
        <v>382</v>
      </c>
      <c r="G2020" s="63" t="s">
        <v>555</v>
      </c>
      <c r="H2020" s="64" t="n">
        <v>3</v>
      </c>
      <c r="I2020" s="62"/>
      <c r="J2020" s="64" t="n">
        <v>3</v>
      </c>
      <c r="K2020" s="62"/>
      <c r="L2020" s="68" t="b">
        <f aca="false">TRUE()</f>
        <v>1</v>
      </c>
    </row>
    <row r="2021" customFormat="false" ht="15" hidden="false" customHeight="false" outlineLevel="0" collapsed="false">
      <c r="A2021" s="62" t="n">
        <v>0</v>
      </c>
      <c r="B2021" s="21" t="s">
        <v>336</v>
      </c>
      <c r="C2021" s="62" t="s">
        <v>60</v>
      </c>
      <c r="D2021" s="62" t="s">
        <v>385</v>
      </c>
      <c r="E2021" s="62" t="s">
        <v>382</v>
      </c>
      <c r="F2021" s="62" t="s">
        <v>382</v>
      </c>
      <c r="G2021" s="63" t="s">
        <v>555</v>
      </c>
      <c r="H2021" s="64" t="n">
        <v>3</v>
      </c>
      <c r="I2021" s="62"/>
      <c r="J2021" s="64" t="n">
        <v>3</v>
      </c>
      <c r="K2021" s="62"/>
      <c r="L2021" s="68" t="b">
        <f aca="false">TRUE()</f>
        <v>1</v>
      </c>
    </row>
    <row r="2022" customFormat="false" ht="15" hidden="false" customHeight="false" outlineLevel="0" collapsed="false">
      <c r="A2022" s="62" t="n">
        <v>0</v>
      </c>
      <c r="B2022" s="21" t="s">
        <v>336</v>
      </c>
      <c r="C2022" s="62" t="s">
        <v>60</v>
      </c>
      <c r="D2022" s="62" t="s">
        <v>386</v>
      </c>
      <c r="E2022" s="62" t="s">
        <v>382</v>
      </c>
      <c r="F2022" s="62" t="s">
        <v>382</v>
      </c>
      <c r="G2022" s="63" t="s">
        <v>555</v>
      </c>
      <c r="H2022" s="64" t="n">
        <v>3</v>
      </c>
      <c r="I2022" s="62"/>
      <c r="J2022" s="64" t="n">
        <v>3</v>
      </c>
      <c r="K2022" s="62"/>
      <c r="L2022" s="68" t="b">
        <f aca="false">TRUE()</f>
        <v>1</v>
      </c>
    </row>
    <row r="2023" customFormat="false" ht="15" hidden="false" customHeight="false" outlineLevel="0" collapsed="false">
      <c r="A2023" s="62" t="n">
        <v>0</v>
      </c>
      <c r="B2023" s="21" t="s">
        <v>336</v>
      </c>
      <c r="C2023" s="62" t="s">
        <v>60</v>
      </c>
      <c r="D2023" s="62" t="s">
        <v>387</v>
      </c>
      <c r="E2023" s="62" t="s">
        <v>382</v>
      </c>
      <c r="F2023" s="62" t="s">
        <v>382</v>
      </c>
      <c r="G2023" s="63" t="s">
        <v>555</v>
      </c>
      <c r="H2023" s="64" t="n">
        <v>3</v>
      </c>
      <c r="I2023" s="62"/>
      <c r="J2023" s="64" t="n">
        <v>3</v>
      </c>
      <c r="K2023" s="62"/>
      <c r="L2023" s="68" t="b">
        <f aca="false">TRUE()</f>
        <v>1</v>
      </c>
    </row>
    <row r="2024" customFormat="false" ht="15" hidden="false" customHeight="false" outlineLevel="0" collapsed="false">
      <c r="A2024" s="62" t="n">
        <v>0</v>
      </c>
      <c r="B2024" s="21" t="s">
        <v>336</v>
      </c>
      <c r="C2024" s="62" t="s">
        <v>60</v>
      </c>
      <c r="D2024" s="62" t="s">
        <v>388</v>
      </c>
      <c r="E2024" s="62" t="s">
        <v>382</v>
      </c>
      <c r="F2024" s="62" t="s">
        <v>382</v>
      </c>
      <c r="G2024" s="63" t="s">
        <v>555</v>
      </c>
      <c r="H2024" s="64" t="n">
        <v>3</v>
      </c>
      <c r="I2024" s="62"/>
      <c r="J2024" s="64" t="n">
        <v>3</v>
      </c>
      <c r="K2024" s="62"/>
      <c r="L2024" s="68" t="b">
        <f aca="false">TRUE()</f>
        <v>1</v>
      </c>
    </row>
    <row r="2025" customFormat="false" ht="15" hidden="false" customHeight="false" outlineLevel="0" collapsed="false">
      <c r="A2025" s="62" t="n">
        <v>0</v>
      </c>
      <c r="B2025" s="21" t="s">
        <v>336</v>
      </c>
      <c r="C2025" s="62" t="s">
        <v>60</v>
      </c>
      <c r="D2025" s="62" t="s">
        <v>381</v>
      </c>
      <c r="E2025" s="62" t="s">
        <v>382</v>
      </c>
      <c r="F2025" s="62" t="s">
        <v>382</v>
      </c>
      <c r="G2025" s="63" t="s">
        <v>556</v>
      </c>
      <c r="H2025" s="64" t="n">
        <v>3.3</v>
      </c>
      <c r="I2025" s="62"/>
      <c r="J2025" s="64" t="n">
        <v>3.3</v>
      </c>
      <c r="K2025" s="62"/>
      <c r="L2025" s="68" t="b">
        <f aca="false">TRUE()</f>
        <v>1</v>
      </c>
    </row>
    <row r="2026" customFormat="false" ht="15" hidden="false" customHeight="false" outlineLevel="0" collapsed="false">
      <c r="A2026" s="62" t="n">
        <v>0</v>
      </c>
      <c r="B2026" s="21" t="s">
        <v>336</v>
      </c>
      <c r="C2026" s="62" t="s">
        <v>60</v>
      </c>
      <c r="D2026" s="62" t="s">
        <v>383</v>
      </c>
      <c r="E2026" s="62" t="s">
        <v>382</v>
      </c>
      <c r="F2026" s="62" t="s">
        <v>382</v>
      </c>
      <c r="G2026" s="63" t="s">
        <v>556</v>
      </c>
      <c r="H2026" s="64" t="n">
        <v>3.3</v>
      </c>
      <c r="I2026" s="62"/>
      <c r="J2026" s="64" t="n">
        <v>3.3</v>
      </c>
      <c r="K2026" s="62"/>
      <c r="L2026" s="68" t="b">
        <f aca="false">TRUE()</f>
        <v>1</v>
      </c>
    </row>
    <row r="2027" customFormat="false" ht="15" hidden="false" customHeight="false" outlineLevel="0" collapsed="false">
      <c r="A2027" s="62" t="n">
        <v>0</v>
      </c>
      <c r="B2027" s="21" t="s">
        <v>336</v>
      </c>
      <c r="C2027" s="62" t="s">
        <v>60</v>
      </c>
      <c r="D2027" s="62" t="s">
        <v>384</v>
      </c>
      <c r="E2027" s="62" t="s">
        <v>382</v>
      </c>
      <c r="F2027" s="62" t="s">
        <v>382</v>
      </c>
      <c r="G2027" s="63" t="s">
        <v>556</v>
      </c>
      <c r="H2027" s="64" t="n">
        <v>3.3</v>
      </c>
      <c r="I2027" s="62"/>
      <c r="J2027" s="64" t="n">
        <v>3.3</v>
      </c>
      <c r="K2027" s="62"/>
      <c r="L2027" s="68" t="b">
        <f aca="false">TRUE()</f>
        <v>1</v>
      </c>
    </row>
    <row r="2028" customFormat="false" ht="15" hidden="false" customHeight="false" outlineLevel="0" collapsed="false">
      <c r="A2028" s="62" t="n">
        <v>0</v>
      </c>
      <c r="B2028" s="21" t="s">
        <v>336</v>
      </c>
      <c r="C2028" s="62" t="s">
        <v>60</v>
      </c>
      <c r="D2028" s="62" t="s">
        <v>385</v>
      </c>
      <c r="E2028" s="62" t="s">
        <v>382</v>
      </c>
      <c r="F2028" s="62" t="s">
        <v>382</v>
      </c>
      <c r="G2028" s="63" t="s">
        <v>556</v>
      </c>
      <c r="H2028" s="64" t="n">
        <v>3.3</v>
      </c>
      <c r="I2028" s="62"/>
      <c r="J2028" s="64" t="n">
        <v>3.3</v>
      </c>
      <c r="K2028" s="62"/>
      <c r="L2028" s="68" t="b">
        <f aca="false">TRUE()</f>
        <v>1</v>
      </c>
    </row>
    <row r="2029" customFormat="false" ht="15" hidden="false" customHeight="false" outlineLevel="0" collapsed="false">
      <c r="A2029" s="62" t="n">
        <v>0</v>
      </c>
      <c r="B2029" s="21" t="s">
        <v>336</v>
      </c>
      <c r="C2029" s="62" t="s">
        <v>60</v>
      </c>
      <c r="D2029" s="62" t="s">
        <v>386</v>
      </c>
      <c r="E2029" s="62" t="s">
        <v>382</v>
      </c>
      <c r="F2029" s="62" t="s">
        <v>382</v>
      </c>
      <c r="G2029" s="63" t="s">
        <v>556</v>
      </c>
      <c r="H2029" s="64" t="n">
        <v>3.3</v>
      </c>
      <c r="I2029" s="62"/>
      <c r="J2029" s="64" t="n">
        <v>3.3</v>
      </c>
      <c r="K2029" s="62"/>
      <c r="L2029" s="68" t="b">
        <f aca="false">TRUE()</f>
        <v>1</v>
      </c>
    </row>
    <row r="2030" customFormat="false" ht="15" hidden="false" customHeight="false" outlineLevel="0" collapsed="false">
      <c r="A2030" s="62" t="n">
        <v>0</v>
      </c>
      <c r="B2030" s="21" t="s">
        <v>336</v>
      </c>
      <c r="C2030" s="62" t="s">
        <v>60</v>
      </c>
      <c r="D2030" s="62" t="s">
        <v>387</v>
      </c>
      <c r="E2030" s="62" t="s">
        <v>382</v>
      </c>
      <c r="F2030" s="62" t="s">
        <v>382</v>
      </c>
      <c r="G2030" s="63" t="s">
        <v>556</v>
      </c>
      <c r="H2030" s="64" t="n">
        <v>3.3</v>
      </c>
      <c r="I2030" s="62"/>
      <c r="J2030" s="64" t="n">
        <v>3.3</v>
      </c>
      <c r="K2030" s="62"/>
      <c r="L2030" s="68" t="b">
        <f aca="false">TRUE()</f>
        <v>1</v>
      </c>
    </row>
    <row r="2031" customFormat="false" ht="15" hidden="false" customHeight="false" outlineLevel="0" collapsed="false">
      <c r="A2031" s="62" t="n">
        <v>0</v>
      </c>
      <c r="B2031" s="21" t="s">
        <v>336</v>
      </c>
      <c r="C2031" s="62" t="s">
        <v>60</v>
      </c>
      <c r="D2031" s="62" t="s">
        <v>388</v>
      </c>
      <c r="E2031" s="62" t="s">
        <v>382</v>
      </c>
      <c r="F2031" s="62" t="s">
        <v>382</v>
      </c>
      <c r="G2031" s="63" t="s">
        <v>556</v>
      </c>
      <c r="H2031" s="64" t="n">
        <v>3.3</v>
      </c>
      <c r="I2031" s="62"/>
      <c r="J2031" s="64" t="n">
        <v>3.3</v>
      </c>
      <c r="K2031" s="62"/>
      <c r="L2031" s="68" t="b">
        <f aca="false">TRUE()</f>
        <v>1</v>
      </c>
    </row>
    <row r="2032" customFormat="false" ht="15" hidden="false" customHeight="false" outlineLevel="0" collapsed="false">
      <c r="A2032" s="62" t="n">
        <v>0</v>
      </c>
      <c r="B2032" s="21" t="s">
        <v>336</v>
      </c>
      <c r="C2032" s="62" t="s">
        <v>60</v>
      </c>
      <c r="D2032" s="62" t="s">
        <v>381</v>
      </c>
      <c r="E2032" s="62" t="s">
        <v>382</v>
      </c>
      <c r="F2032" s="62" t="s">
        <v>382</v>
      </c>
      <c r="G2032" s="63" t="s">
        <v>557</v>
      </c>
      <c r="H2032" s="64" t="n">
        <v>2040</v>
      </c>
      <c r="I2032" s="62"/>
      <c r="J2032" s="64" t="n">
        <v>2040</v>
      </c>
      <c r="K2032" s="62"/>
      <c r="L2032" s="68" t="b">
        <f aca="false">TRUE()</f>
        <v>1</v>
      </c>
    </row>
    <row r="2033" customFormat="false" ht="15" hidden="false" customHeight="false" outlineLevel="0" collapsed="false">
      <c r="A2033" s="62" t="n">
        <v>0</v>
      </c>
      <c r="B2033" s="21" t="s">
        <v>336</v>
      </c>
      <c r="C2033" s="62" t="s">
        <v>60</v>
      </c>
      <c r="D2033" s="62" t="s">
        <v>383</v>
      </c>
      <c r="E2033" s="62" t="s">
        <v>382</v>
      </c>
      <c r="F2033" s="62" t="s">
        <v>382</v>
      </c>
      <c r="G2033" s="63" t="s">
        <v>557</v>
      </c>
      <c r="H2033" s="64" t="n">
        <v>2040</v>
      </c>
      <c r="I2033" s="62"/>
      <c r="J2033" s="64" t="n">
        <v>2040</v>
      </c>
      <c r="K2033" s="62"/>
      <c r="L2033" s="68" t="b">
        <f aca="false">TRUE()</f>
        <v>1</v>
      </c>
    </row>
    <row r="2034" customFormat="false" ht="15" hidden="false" customHeight="false" outlineLevel="0" collapsed="false">
      <c r="A2034" s="62" t="n">
        <v>0</v>
      </c>
      <c r="B2034" s="21" t="s">
        <v>336</v>
      </c>
      <c r="C2034" s="62" t="s">
        <v>60</v>
      </c>
      <c r="D2034" s="62" t="s">
        <v>384</v>
      </c>
      <c r="E2034" s="62" t="s">
        <v>382</v>
      </c>
      <c r="F2034" s="62" t="s">
        <v>382</v>
      </c>
      <c r="G2034" s="63" t="s">
        <v>557</v>
      </c>
      <c r="H2034" s="64" t="n">
        <v>2040</v>
      </c>
      <c r="I2034" s="62"/>
      <c r="J2034" s="64" t="n">
        <v>2040</v>
      </c>
      <c r="K2034" s="62"/>
      <c r="L2034" s="68" t="b">
        <f aca="false">TRUE()</f>
        <v>1</v>
      </c>
    </row>
    <row r="2035" customFormat="false" ht="15" hidden="false" customHeight="false" outlineLevel="0" collapsed="false">
      <c r="A2035" s="62" t="n">
        <v>0</v>
      </c>
      <c r="B2035" s="21" t="s">
        <v>336</v>
      </c>
      <c r="C2035" s="62" t="s">
        <v>60</v>
      </c>
      <c r="D2035" s="62" t="s">
        <v>385</v>
      </c>
      <c r="E2035" s="62" t="s">
        <v>382</v>
      </c>
      <c r="F2035" s="62" t="s">
        <v>382</v>
      </c>
      <c r="G2035" s="63" t="s">
        <v>557</v>
      </c>
      <c r="H2035" s="64" t="n">
        <v>2040</v>
      </c>
      <c r="I2035" s="62"/>
      <c r="J2035" s="64" t="n">
        <v>2040</v>
      </c>
      <c r="K2035" s="62"/>
      <c r="L2035" s="68" t="b">
        <f aca="false">TRUE()</f>
        <v>1</v>
      </c>
    </row>
    <row r="2036" customFormat="false" ht="15" hidden="false" customHeight="false" outlineLevel="0" collapsed="false">
      <c r="A2036" s="62" t="n">
        <v>0</v>
      </c>
      <c r="B2036" s="21" t="s">
        <v>336</v>
      </c>
      <c r="C2036" s="62" t="s">
        <v>60</v>
      </c>
      <c r="D2036" s="62" t="s">
        <v>386</v>
      </c>
      <c r="E2036" s="62" t="s">
        <v>382</v>
      </c>
      <c r="F2036" s="62" t="s">
        <v>382</v>
      </c>
      <c r="G2036" s="63" t="s">
        <v>557</v>
      </c>
      <c r="H2036" s="64" t="n">
        <v>2040</v>
      </c>
      <c r="I2036" s="62"/>
      <c r="J2036" s="64" t="n">
        <v>2040</v>
      </c>
      <c r="K2036" s="62"/>
      <c r="L2036" s="68" t="b">
        <f aca="false">TRUE()</f>
        <v>1</v>
      </c>
    </row>
    <row r="2037" customFormat="false" ht="15" hidden="false" customHeight="false" outlineLevel="0" collapsed="false">
      <c r="A2037" s="62" t="n">
        <v>0</v>
      </c>
      <c r="B2037" s="21" t="s">
        <v>336</v>
      </c>
      <c r="C2037" s="62" t="s">
        <v>60</v>
      </c>
      <c r="D2037" s="62" t="s">
        <v>387</v>
      </c>
      <c r="E2037" s="62" t="s">
        <v>382</v>
      </c>
      <c r="F2037" s="62" t="s">
        <v>382</v>
      </c>
      <c r="G2037" s="63" t="s">
        <v>557</v>
      </c>
      <c r="H2037" s="64" t="n">
        <v>2040</v>
      </c>
      <c r="I2037" s="62"/>
      <c r="J2037" s="64" t="n">
        <v>2040</v>
      </c>
      <c r="K2037" s="62"/>
      <c r="L2037" s="68" t="b">
        <f aca="false">TRUE()</f>
        <v>1</v>
      </c>
    </row>
    <row r="2038" customFormat="false" ht="15" hidden="false" customHeight="false" outlineLevel="0" collapsed="false">
      <c r="A2038" s="62" t="n">
        <v>0</v>
      </c>
      <c r="B2038" s="21" t="s">
        <v>336</v>
      </c>
      <c r="C2038" s="62" t="s">
        <v>60</v>
      </c>
      <c r="D2038" s="62" t="s">
        <v>388</v>
      </c>
      <c r="E2038" s="62" t="s">
        <v>382</v>
      </c>
      <c r="F2038" s="62" t="s">
        <v>382</v>
      </c>
      <c r="G2038" s="63" t="s">
        <v>557</v>
      </c>
      <c r="H2038" s="64" t="n">
        <v>2040</v>
      </c>
      <c r="I2038" s="62"/>
      <c r="J2038" s="64" t="n">
        <v>2040</v>
      </c>
      <c r="K2038" s="62"/>
      <c r="L2038" s="68" t="b">
        <f aca="false">TRUE()</f>
        <v>1</v>
      </c>
    </row>
    <row r="2039" customFormat="false" ht="15" hidden="false" customHeight="false" outlineLevel="0" collapsed="false">
      <c r="A2039" s="62" t="n">
        <v>0</v>
      </c>
      <c r="B2039" s="21" t="s">
        <v>336</v>
      </c>
      <c r="C2039" s="62" t="s">
        <v>60</v>
      </c>
      <c r="D2039" s="62" t="s">
        <v>381</v>
      </c>
      <c r="E2039" s="62" t="s">
        <v>382</v>
      </c>
      <c r="F2039" s="62" t="s">
        <v>382</v>
      </c>
      <c r="G2039" s="63" t="s">
        <v>558</v>
      </c>
      <c r="H2039" s="64" t="n">
        <v>4.5</v>
      </c>
      <c r="I2039" s="62"/>
      <c r="J2039" s="64" t="n">
        <v>4.5</v>
      </c>
      <c r="K2039" s="62"/>
      <c r="L2039" s="68" t="b">
        <f aca="false">FALSE()</f>
        <v>0</v>
      </c>
    </row>
    <row r="2040" customFormat="false" ht="15" hidden="false" customHeight="false" outlineLevel="0" collapsed="false">
      <c r="A2040" s="62" t="n">
        <v>0</v>
      </c>
      <c r="B2040" s="21" t="s">
        <v>336</v>
      </c>
      <c r="C2040" s="62" t="s">
        <v>60</v>
      </c>
      <c r="D2040" s="62" t="s">
        <v>381</v>
      </c>
      <c r="E2040" s="62" t="s">
        <v>382</v>
      </c>
      <c r="F2040" s="62" t="s">
        <v>382</v>
      </c>
      <c r="G2040" s="63" t="s">
        <v>559</v>
      </c>
      <c r="H2040" s="64" t="n">
        <v>2</v>
      </c>
      <c r="I2040" s="62"/>
      <c r="J2040" s="64" t="n">
        <v>2</v>
      </c>
      <c r="K2040" s="62"/>
      <c r="L2040" s="68" t="b">
        <f aca="false">FALSE()</f>
        <v>0</v>
      </c>
    </row>
    <row r="2041" customFormat="false" ht="15" hidden="false" customHeight="false" outlineLevel="0" collapsed="false">
      <c r="A2041" s="62" t="n">
        <v>0</v>
      </c>
      <c r="B2041" s="21" t="s">
        <v>336</v>
      </c>
      <c r="C2041" s="62" t="s">
        <v>60</v>
      </c>
      <c r="D2041" s="62" t="s">
        <v>381</v>
      </c>
      <c r="E2041" s="62" t="s">
        <v>382</v>
      </c>
      <c r="F2041" s="62" t="s">
        <v>382</v>
      </c>
      <c r="G2041" s="63" t="s">
        <v>560</v>
      </c>
      <c r="H2041" s="64" t="n">
        <v>1.75</v>
      </c>
      <c r="I2041" s="62"/>
      <c r="J2041" s="64" t="n">
        <v>1.75</v>
      </c>
      <c r="K2041" s="62"/>
      <c r="L2041" s="68" t="b">
        <f aca="false">FALSE()</f>
        <v>0</v>
      </c>
    </row>
    <row r="2042" customFormat="false" ht="15" hidden="false" customHeight="false" outlineLevel="0" collapsed="false">
      <c r="A2042" s="62" t="n">
        <v>0</v>
      </c>
      <c r="B2042" s="21" t="s">
        <v>336</v>
      </c>
      <c r="C2042" s="62" t="s">
        <v>60</v>
      </c>
      <c r="D2042" s="62" t="s">
        <v>381</v>
      </c>
      <c r="E2042" s="62" t="s">
        <v>382</v>
      </c>
      <c r="F2042" s="62" t="s">
        <v>382</v>
      </c>
      <c r="G2042" s="63" t="s">
        <v>561</v>
      </c>
      <c r="H2042" s="64" t="n">
        <v>4</v>
      </c>
      <c r="I2042" s="62"/>
      <c r="J2042" s="64" t="n">
        <v>4</v>
      </c>
      <c r="K2042" s="62"/>
      <c r="L2042" s="68" t="b">
        <f aca="false">FALSE()</f>
        <v>0</v>
      </c>
    </row>
    <row r="2043" customFormat="false" ht="15" hidden="false" customHeight="false" outlineLevel="0" collapsed="false">
      <c r="A2043" s="62" t="n">
        <v>0</v>
      </c>
      <c r="B2043" s="21" t="s">
        <v>336</v>
      </c>
      <c r="C2043" s="62" t="s">
        <v>60</v>
      </c>
      <c r="D2043" s="62" t="s">
        <v>381</v>
      </c>
      <c r="E2043" s="62" t="s">
        <v>382</v>
      </c>
      <c r="F2043" s="62" t="s">
        <v>382</v>
      </c>
      <c r="G2043" s="63" t="s">
        <v>562</v>
      </c>
      <c r="H2043" s="64" t="n">
        <v>3.5</v>
      </c>
      <c r="I2043" s="62"/>
      <c r="J2043" s="64" t="n">
        <v>3.5</v>
      </c>
      <c r="K2043" s="62"/>
      <c r="L2043" s="68" t="b">
        <f aca="false">FALSE()</f>
        <v>0</v>
      </c>
    </row>
    <row r="2044" customFormat="false" ht="15" hidden="false" customHeight="false" outlineLevel="0" collapsed="false">
      <c r="A2044" s="62" t="n">
        <v>0</v>
      </c>
      <c r="B2044" s="21" t="s">
        <v>336</v>
      </c>
      <c r="C2044" s="62" t="s">
        <v>60</v>
      </c>
      <c r="D2044" s="62" t="s">
        <v>381</v>
      </c>
      <c r="E2044" s="62" t="s">
        <v>382</v>
      </c>
      <c r="F2044" s="62" t="s">
        <v>382</v>
      </c>
      <c r="G2044" s="63" t="s">
        <v>563</v>
      </c>
      <c r="H2044" s="64" t="n">
        <v>2250</v>
      </c>
      <c r="I2044" s="62"/>
      <c r="J2044" s="64" t="n">
        <v>2250</v>
      </c>
      <c r="K2044" s="62"/>
      <c r="L2044" s="68" t="b">
        <f aca="false">FALSE()</f>
        <v>0</v>
      </c>
    </row>
    <row r="2045" customFormat="false" ht="15" hidden="false" customHeight="false" outlineLevel="0" collapsed="false">
      <c r="A2045" s="62" t="n">
        <v>0</v>
      </c>
      <c r="B2045" s="21" t="s">
        <v>336</v>
      </c>
      <c r="C2045" s="62" t="s">
        <v>60</v>
      </c>
      <c r="D2045" s="62" t="s">
        <v>381</v>
      </c>
      <c r="E2045" s="62" t="s">
        <v>382</v>
      </c>
      <c r="F2045" s="62" t="s">
        <v>382</v>
      </c>
      <c r="G2045" s="63" t="s">
        <v>564</v>
      </c>
      <c r="H2045" s="64" t="n">
        <v>1700</v>
      </c>
      <c r="I2045" s="62"/>
      <c r="J2045" s="64" t="n">
        <v>1700</v>
      </c>
      <c r="K2045" s="62"/>
      <c r="L2045" s="68" t="b">
        <f aca="false">FALSE()</f>
        <v>0</v>
      </c>
    </row>
    <row r="2046" customFormat="false" ht="15" hidden="false" customHeight="false" outlineLevel="0" collapsed="false">
      <c r="A2046" s="62" t="n">
        <v>0</v>
      </c>
      <c r="B2046" s="21" t="s">
        <v>336</v>
      </c>
      <c r="C2046" s="62" t="s">
        <v>60</v>
      </c>
      <c r="D2046" s="62" t="s">
        <v>381</v>
      </c>
      <c r="E2046" s="62" t="s">
        <v>382</v>
      </c>
      <c r="F2046" s="62" t="s">
        <v>382</v>
      </c>
      <c r="G2046" s="63" t="s">
        <v>565</v>
      </c>
      <c r="H2046" s="64" t="n">
        <v>2000</v>
      </c>
      <c r="I2046" s="62"/>
      <c r="J2046" s="64" t="n">
        <v>2000</v>
      </c>
      <c r="K2046" s="62"/>
      <c r="L2046" s="68" t="b">
        <f aca="false">FALSE()</f>
        <v>0</v>
      </c>
    </row>
    <row r="2047" customFormat="false" ht="15" hidden="false" customHeight="false" outlineLevel="0" collapsed="false">
      <c r="A2047" s="62" t="n">
        <v>0</v>
      </c>
      <c r="B2047" s="21" t="s">
        <v>336</v>
      </c>
      <c r="C2047" s="62" t="s">
        <v>60</v>
      </c>
      <c r="D2047" s="62" t="s">
        <v>381</v>
      </c>
      <c r="E2047" s="62" t="s">
        <v>382</v>
      </c>
      <c r="F2047" s="62" t="s">
        <v>382</v>
      </c>
      <c r="G2047" s="63" t="s">
        <v>566</v>
      </c>
      <c r="H2047" s="64" t="n">
        <v>2250</v>
      </c>
      <c r="I2047" s="62"/>
      <c r="J2047" s="64" t="n">
        <v>2250</v>
      </c>
      <c r="K2047" s="62"/>
      <c r="L2047" s="68" t="b">
        <f aca="false">FALSE()</f>
        <v>0</v>
      </c>
    </row>
    <row r="2048" customFormat="false" ht="15" hidden="false" customHeight="false" outlineLevel="0" collapsed="false">
      <c r="A2048" s="62" t="n">
        <v>0</v>
      </c>
      <c r="B2048" s="21" t="s">
        <v>336</v>
      </c>
      <c r="C2048" s="62" t="s">
        <v>60</v>
      </c>
      <c r="D2048" s="62" t="s">
        <v>381</v>
      </c>
      <c r="E2048" s="62" t="s">
        <v>382</v>
      </c>
      <c r="F2048" s="62" t="s">
        <v>382</v>
      </c>
      <c r="G2048" s="63" t="s">
        <v>567</v>
      </c>
      <c r="H2048" s="64" t="n">
        <v>2000</v>
      </c>
      <c r="I2048" s="62"/>
      <c r="J2048" s="64" t="n">
        <v>2000</v>
      </c>
      <c r="K2048" s="62"/>
      <c r="L2048" s="68" t="b">
        <f aca="false">FALSE()</f>
        <v>0</v>
      </c>
    </row>
    <row r="2049" customFormat="false" ht="15" hidden="false" customHeight="false" outlineLevel="0" collapsed="false">
      <c r="A2049" s="62" t="n">
        <v>0</v>
      </c>
      <c r="B2049" s="21" t="s">
        <v>336</v>
      </c>
      <c r="C2049" s="62" t="s">
        <v>60</v>
      </c>
      <c r="D2049" s="62" t="s">
        <v>381</v>
      </c>
      <c r="E2049" s="62" t="s">
        <v>382</v>
      </c>
      <c r="F2049" s="62" t="s">
        <v>382</v>
      </c>
      <c r="G2049" s="63" t="s">
        <v>568</v>
      </c>
      <c r="H2049" s="64" t="n">
        <v>980</v>
      </c>
      <c r="I2049" s="62"/>
      <c r="J2049" s="64" t="n">
        <v>980</v>
      </c>
      <c r="K2049" s="62"/>
      <c r="L2049" s="68" t="b">
        <f aca="false">FALSE()</f>
        <v>0</v>
      </c>
    </row>
    <row r="2050" customFormat="false" ht="15" hidden="false" customHeight="false" outlineLevel="0" collapsed="false">
      <c r="A2050" s="62" t="n">
        <v>0</v>
      </c>
      <c r="B2050" s="21" t="s">
        <v>336</v>
      </c>
      <c r="C2050" s="62" t="s">
        <v>60</v>
      </c>
      <c r="D2050" s="62" t="s">
        <v>383</v>
      </c>
      <c r="E2050" s="62" t="s">
        <v>382</v>
      </c>
      <c r="F2050" s="62" t="s">
        <v>382</v>
      </c>
      <c r="G2050" s="63" t="s">
        <v>568</v>
      </c>
      <c r="H2050" s="64" t="n">
        <v>980</v>
      </c>
      <c r="I2050" s="62"/>
      <c r="J2050" s="64" t="n">
        <v>980</v>
      </c>
      <c r="K2050" s="62"/>
      <c r="L2050" s="68" t="b">
        <f aca="false">FALSE()</f>
        <v>0</v>
      </c>
    </row>
    <row r="2051" customFormat="false" ht="15" hidden="false" customHeight="false" outlineLevel="0" collapsed="false">
      <c r="A2051" s="62" t="n">
        <v>0</v>
      </c>
      <c r="B2051" s="21" t="s">
        <v>336</v>
      </c>
      <c r="C2051" s="62" t="s">
        <v>60</v>
      </c>
      <c r="D2051" s="62" t="s">
        <v>384</v>
      </c>
      <c r="E2051" s="62" t="s">
        <v>382</v>
      </c>
      <c r="F2051" s="62" t="s">
        <v>382</v>
      </c>
      <c r="G2051" s="63" t="s">
        <v>568</v>
      </c>
      <c r="H2051" s="64" t="n">
        <v>980</v>
      </c>
      <c r="I2051" s="62"/>
      <c r="J2051" s="64" t="n">
        <v>980</v>
      </c>
      <c r="K2051" s="62"/>
      <c r="L2051" s="68" t="b">
        <f aca="false">FALSE()</f>
        <v>0</v>
      </c>
    </row>
    <row r="2052" customFormat="false" ht="15" hidden="false" customHeight="false" outlineLevel="0" collapsed="false">
      <c r="A2052" s="62" t="n">
        <v>0</v>
      </c>
      <c r="B2052" s="21" t="s">
        <v>336</v>
      </c>
      <c r="C2052" s="62" t="s">
        <v>60</v>
      </c>
      <c r="D2052" s="62" t="s">
        <v>385</v>
      </c>
      <c r="E2052" s="62" t="s">
        <v>382</v>
      </c>
      <c r="F2052" s="62" t="s">
        <v>382</v>
      </c>
      <c r="G2052" s="63" t="s">
        <v>568</v>
      </c>
      <c r="H2052" s="64" t="n">
        <v>980</v>
      </c>
      <c r="I2052" s="62"/>
      <c r="J2052" s="64" t="n">
        <v>980</v>
      </c>
      <c r="K2052" s="62"/>
      <c r="L2052" s="68" t="b">
        <f aca="false">FALSE()</f>
        <v>0</v>
      </c>
    </row>
    <row r="2053" customFormat="false" ht="15" hidden="false" customHeight="false" outlineLevel="0" collapsed="false">
      <c r="A2053" s="62" t="n">
        <v>0</v>
      </c>
      <c r="B2053" s="21" t="s">
        <v>336</v>
      </c>
      <c r="C2053" s="62" t="s">
        <v>60</v>
      </c>
      <c r="D2053" s="62" t="s">
        <v>386</v>
      </c>
      <c r="E2053" s="62" t="s">
        <v>382</v>
      </c>
      <c r="F2053" s="62" t="s">
        <v>382</v>
      </c>
      <c r="G2053" s="63" t="s">
        <v>568</v>
      </c>
      <c r="H2053" s="64" t="n">
        <v>980</v>
      </c>
      <c r="I2053" s="62"/>
      <c r="J2053" s="64" t="n">
        <v>980</v>
      </c>
      <c r="K2053" s="62"/>
      <c r="L2053" s="68" t="b">
        <f aca="false">FALSE()</f>
        <v>0</v>
      </c>
    </row>
    <row r="2054" customFormat="false" ht="15" hidden="false" customHeight="false" outlineLevel="0" collapsed="false">
      <c r="A2054" s="62" t="n">
        <v>0</v>
      </c>
      <c r="B2054" s="21" t="s">
        <v>336</v>
      </c>
      <c r="C2054" s="62" t="s">
        <v>60</v>
      </c>
      <c r="D2054" s="62" t="s">
        <v>387</v>
      </c>
      <c r="E2054" s="62" t="s">
        <v>382</v>
      </c>
      <c r="F2054" s="62" t="s">
        <v>382</v>
      </c>
      <c r="G2054" s="63" t="s">
        <v>568</v>
      </c>
      <c r="H2054" s="64" t="n">
        <v>980</v>
      </c>
      <c r="I2054" s="62"/>
      <c r="J2054" s="64" t="n">
        <v>980</v>
      </c>
      <c r="K2054" s="62"/>
      <c r="L2054" s="68" t="b">
        <f aca="false">FALSE()</f>
        <v>0</v>
      </c>
    </row>
    <row r="2055" customFormat="false" ht="15" hidden="false" customHeight="false" outlineLevel="0" collapsed="false">
      <c r="A2055" s="62" t="n">
        <v>0</v>
      </c>
      <c r="B2055" s="21" t="s">
        <v>336</v>
      </c>
      <c r="C2055" s="62" t="s">
        <v>60</v>
      </c>
      <c r="D2055" s="62" t="s">
        <v>388</v>
      </c>
      <c r="E2055" s="62" t="s">
        <v>382</v>
      </c>
      <c r="F2055" s="62" t="s">
        <v>382</v>
      </c>
      <c r="G2055" s="63" t="s">
        <v>568</v>
      </c>
      <c r="H2055" s="64" t="n">
        <v>980</v>
      </c>
      <c r="I2055" s="62"/>
      <c r="J2055" s="64" t="n">
        <v>980</v>
      </c>
      <c r="K2055" s="62"/>
      <c r="L2055" s="68" t="b">
        <f aca="false">FALSE()</f>
        <v>0</v>
      </c>
    </row>
    <row r="2056" customFormat="false" ht="15" hidden="false" customHeight="false" outlineLevel="0" collapsed="false">
      <c r="A2056" s="62" t="n">
        <v>0</v>
      </c>
      <c r="B2056" s="21" t="s">
        <v>336</v>
      </c>
      <c r="C2056" s="62" t="s">
        <v>60</v>
      </c>
      <c r="D2056" s="62" t="s">
        <v>381</v>
      </c>
      <c r="E2056" s="62" t="s">
        <v>382</v>
      </c>
      <c r="F2056" s="62" t="s">
        <v>382</v>
      </c>
      <c r="G2056" s="63" t="s">
        <v>569</v>
      </c>
      <c r="H2056" s="64" t="n">
        <v>400</v>
      </c>
      <c r="I2056" s="62"/>
      <c r="J2056" s="64" t="n">
        <v>400</v>
      </c>
      <c r="K2056" s="62"/>
      <c r="L2056" s="68" t="b">
        <f aca="false">FALSE()</f>
        <v>0</v>
      </c>
    </row>
    <row r="2057" customFormat="false" ht="15" hidden="false" customHeight="false" outlineLevel="0" collapsed="false">
      <c r="A2057" s="62" t="n">
        <v>0</v>
      </c>
      <c r="B2057" s="21" t="s">
        <v>336</v>
      </c>
      <c r="C2057" s="62" t="s">
        <v>60</v>
      </c>
      <c r="D2057" s="62" t="s">
        <v>383</v>
      </c>
      <c r="E2057" s="62" t="s">
        <v>382</v>
      </c>
      <c r="F2057" s="62" t="s">
        <v>382</v>
      </c>
      <c r="G2057" s="63" t="s">
        <v>569</v>
      </c>
      <c r="H2057" s="64" t="n">
        <v>400</v>
      </c>
      <c r="I2057" s="62"/>
      <c r="J2057" s="64" t="n">
        <v>400</v>
      </c>
      <c r="K2057" s="62"/>
      <c r="L2057" s="68" t="b">
        <f aca="false">FALSE()</f>
        <v>0</v>
      </c>
    </row>
    <row r="2058" customFormat="false" ht="15" hidden="false" customHeight="false" outlineLevel="0" collapsed="false">
      <c r="A2058" s="62" t="n">
        <v>0</v>
      </c>
      <c r="B2058" s="21" t="s">
        <v>336</v>
      </c>
      <c r="C2058" s="62" t="s">
        <v>60</v>
      </c>
      <c r="D2058" s="62" t="s">
        <v>384</v>
      </c>
      <c r="E2058" s="62" t="s">
        <v>382</v>
      </c>
      <c r="F2058" s="62" t="s">
        <v>382</v>
      </c>
      <c r="G2058" s="63" t="s">
        <v>569</v>
      </c>
      <c r="H2058" s="64" t="n">
        <v>400</v>
      </c>
      <c r="I2058" s="62"/>
      <c r="J2058" s="64" t="n">
        <v>400</v>
      </c>
      <c r="K2058" s="62"/>
      <c r="L2058" s="68" t="b">
        <f aca="false">FALSE()</f>
        <v>0</v>
      </c>
    </row>
    <row r="2059" customFormat="false" ht="15" hidden="false" customHeight="false" outlineLevel="0" collapsed="false">
      <c r="A2059" s="62" t="n">
        <v>0</v>
      </c>
      <c r="B2059" s="21" t="s">
        <v>336</v>
      </c>
      <c r="C2059" s="62" t="s">
        <v>60</v>
      </c>
      <c r="D2059" s="62" t="s">
        <v>385</v>
      </c>
      <c r="E2059" s="62" t="s">
        <v>382</v>
      </c>
      <c r="F2059" s="62" t="s">
        <v>382</v>
      </c>
      <c r="G2059" s="63" t="s">
        <v>569</v>
      </c>
      <c r="H2059" s="64" t="n">
        <v>400</v>
      </c>
      <c r="I2059" s="62"/>
      <c r="J2059" s="64" t="n">
        <v>400</v>
      </c>
      <c r="K2059" s="62"/>
      <c r="L2059" s="68" t="b">
        <f aca="false">FALSE()</f>
        <v>0</v>
      </c>
    </row>
    <row r="2060" customFormat="false" ht="15" hidden="false" customHeight="false" outlineLevel="0" collapsed="false">
      <c r="A2060" s="62" t="n">
        <v>0</v>
      </c>
      <c r="B2060" s="21" t="s">
        <v>336</v>
      </c>
      <c r="C2060" s="62" t="s">
        <v>60</v>
      </c>
      <c r="D2060" s="62" t="s">
        <v>386</v>
      </c>
      <c r="E2060" s="62" t="s">
        <v>382</v>
      </c>
      <c r="F2060" s="62" t="s">
        <v>382</v>
      </c>
      <c r="G2060" s="63" t="s">
        <v>569</v>
      </c>
      <c r="H2060" s="64" t="n">
        <v>400</v>
      </c>
      <c r="I2060" s="62"/>
      <c r="J2060" s="64" t="n">
        <v>400</v>
      </c>
      <c r="K2060" s="62"/>
      <c r="L2060" s="68" t="b">
        <f aca="false">FALSE()</f>
        <v>0</v>
      </c>
    </row>
    <row r="2061" customFormat="false" ht="15" hidden="false" customHeight="false" outlineLevel="0" collapsed="false">
      <c r="A2061" s="62" t="n">
        <v>0</v>
      </c>
      <c r="B2061" s="21" t="s">
        <v>336</v>
      </c>
      <c r="C2061" s="62" t="s">
        <v>60</v>
      </c>
      <c r="D2061" s="62" t="s">
        <v>387</v>
      </c>
      <c r="E2061" s="62" t="s">
        <v>382</v>
      </c>
      <c r="F2061" s="62" t="s">
        <v>382</v>
      </c>
      <c r="G2061" s="63" t="s">
        <v>569</v>
      </c>
      <c r="H2061" s="64" t="n">
        <v>400</v>
      </c>
      <c r="I2061" s="62"/>
      <c r="J2061" s="64" t="n">
        <v>400</v>
      </c>
      <c r="K2061" s="62"/>
      <c r="L2061" s="68" t="b">
        <f aca="false">FALSE()</f>
        <v>0</v>
      </c>
    </row>
    <row r="2062" customFormat="false" ht="15" hidden="false" customHeight="false" outlineLevel="0" collapsed="false">
      <c r="A2062" s="62" t="n">
        <v>0</v>
      </c>
      <c r="B2062" s="21" t="s">
        <v>336</v>
      </c>
      <c r="C2062" s="62" t="s">
        <v>60</v>
      </c>
      <c r="D2062" s="62" t="s">
        <v>388</v>
      </c>
      <c r="E2062" s="62" t="s">
        <v>382</v>
      </c>
      <c r="F2062" s="62" t="s">
        <v>382</v>
      </c>
      <c r="G2062" s="63" t="s">
        <v>569</v>
      </c>
      <c r="H2062" s="64" t="n">
        <v>400</v>
      </c>
      <c r="I2062" s="62"/>
      <c r="J2062" s="64" t="n">
        <v>400</v>
      </c>
      <c r="K2062" s="62"/>
      <c r="L2062" s="68" t="b">
        <f aca="false">FALSE()</f>
        <v>0</v>
      </c>
    </row>
    <row r="2063" customFormat="false" ht="15" hidden="false" customHeight="false" outlineLevel="0" collapsed="false">
      <c r="A2063" s="62" t="n">
        <v>0</v>
      </c>
      <c r="B2063" s="21" t="s">
        <v>336</v>
      </c>
      <c r="C2063" s="62" t="s">
        <v>60</v>
      </c>
      <c r="D2063" s="62" t="s">
        <v>381</v>
      </c>
      <c r="E2063" s="62" t="s">
        <v>382</v>
      </c>
      <c r="F2063" s="62" t="s">
        <v>382</v>
      </c>
      <c r="G2063" s="63" t="s">
        <v>570</v>
      </c>
      <c r="H2063" s="64" t="n">
        <v>250</v>
      </c>
      <c r="I2063" s="62"/>
      <c r="J2063" s="64" t="n">
        <v>250</v>
      </c>
      <c r="K2063" s="62"/>
      <c r="L2063" s="68" t="b">
        <f aca="false">FALSE()</f>
        <v>0</v>
      </c>
    </row>
    <row r="2064" customFormat="false" ht="15" hidden="false" customHeight="false" outlineLevel="0" collapsed="false">
      <c r="A2064" s="62" t="n">
        <v>0</v>
      </c>
      <c r="B2064" s="21" t="s">
        <v>336</v>
      </c>
      <c r="C2064" s="62" t="s">
        <v>60</v>
      </c>
      <c r="D2064" s="62" t="s">
        <v>383</v>
      </c>
      <c r="E2064" s="62" t="s">
        <v>382</v>
      </c>
      <c r="F2064" s="62" t="s">
        <v>382</v>
      </c>
      <c r="G2064" s="63" t="s">
        <v>570</v>
      </c>
      <c r="H2064" s="64" t="n">
        <v>250</v>
      </c>
      <c r="I2064" s="62"/>
      <c r="J2064" s="64" t="n">
        <v>250</v>
      </c>
      <c r="K2064" s="62"/>
      <c r="L2064" s="68" t="b">
        <f aca="false">FALSE()</f>
        <v>0</v>
      </c>
    </row>
    <row r="2065" customFormat="false" ht="15" hidden="false" customHeight="false" outlineLevel="0" collapsed="false">
      <c r="A2065" s="62" t="n">
        <v>0</v>
      </c>
      <c r="B2065" s="21" t="s">
        <v>336</v>
      </c>
      <c r="C2065" s="62" t="s">
        <v>60</v>
      </c>
      <c r="D2065" s="62" t="s">
        <v>384</v>
      </c>
      <c r="E2065" s="62" t="s">
        <v>382</v>
      </c>
      <c r="F2065" s="62" t="s">
        <v>382</v>
      </c>
      <c r="G2065" s="63" t="s">
        <v>570</v>
      </c>
      <c r="H2065" s="64" t="n">
        <v>250</v>
      </c>
      <c r="I2065" s="62"/>
      <c r="J2065" s="64" t="n">
        <v>250</v>
      </c>
      <c r="K2065" s="62"/>
      <c r="L2065" s="68" t="b">
        <f aca="false">FALSE()</f>
        <v>0</v>
      </c>
    </row>
    <row r="2066" customFormat="false" ht="15" hidden="false" customHeight="false" outlineLevel="0" collapsed="false">
      <c r="A2066" s="62" t="n">
        <v>0</v>
      </c>
      <c r="B2066" s="21" t="s">
        <v>336</v>
      </c>
      <c r="C2066" s="62" t="s">
        <v>60</v>
      </c>
      <c r="D2066" s="62" t="s">
        <v>385</v>
      </c>
      <c r="E2066" s="62" t="s">
        <v>382</v>
      </c>
      <c r="F2066" s="62" t="s">
        <v>382</v>
      </c>
      <c r="G2066" s="63" t="s">
        <v>570</v>
      </c>
      <c r="H2066" s="64" t="n">
        <v>250</v>
      </c>
      <c r="I2066" s="62"/>
      <c r="J2066" s="64" t="n">
        <v>250</v>
      </c>
      <c r="K2066" s="62"/>
      <c r="L2066" s="68" t="b">
        <f aca="false">FALSE()</f>
        <v>0</v>
      </c>
    </row>
    <row r="2067" customFormat="false" ht="15" hidden="false" customHeight="false" outlineLevel="0" collapsed="false">
      <c r="A2067" s="62" t="n">
        <v>0</v>
      </c>
      <c r="B2067" s="21" t="s">
        <v>336</v>
      </c>
      <c r="C2067" s="62" t="s">
        <v>60</v>
      </c>
      <c r="D2067" s="62" t="s">
        <v>386</v>
      </c>
      <c r="E2067" s="62" t="s">
        <v>382</v>
      </c>
      <c r="F2067" s="62" t="s">
        <v>382</v>
      </c>
      <c r="G2067" s="63" t="s">
        <v>570</v>
      </c>
      <c r="H2067" s="64" t="n">
        <v>250</v>
      </c>
      <c r="I2067" s="62"/>
      <c r="J2067" s="64" t="n">
        <v>250</v>
      </c>
      <c r="K2067" s="62"/>
      <c r="L2067" s="68" t="b">
        <f aca="false">FALSE()</f>
        <v>0</v>
      </c>
    </row>
    <row r="2068" customFormat="false" ht="15" hidden="false" customHeight="false" outlineLevel="0" collapsed="false">
      <c r="A2068" s="62" t="n">
        <v>0</v>
      </c>
      <c r="B2068" s="21" t="s">
        <v>336</v>
      </c>
      <c r="C2068" s="62" t="s">
        <v>60</v>
      </c>
      <c r="D2068" s="62" t="s">
        <v>387</v>
      </c>
      <c r="E2068" s="62" t="s">
        <v>382</v>
      </c>
      <c r="F2068" s="62" t="s">
        <v>382</v>
      </c>
      <c r="G2068" s="63" t="s">
        <v>570</v>
      </c>
      <c r="H2068" s="64" t="n">
        <v>250</v>
      </c>
      <c r="I2068" s="62"/>
      <c r="J2068" s="64" t="n">
        <v>250</v>
      </c>
      <c r="K2068" s="62"/>
      <c r="L2068" s="68" t="b">
        <f aca="false">FALSE()</f>
        <v>0</v>
      </c>
    </row>
    <row r="2069" customFormat="false" ht="15" hidden="false" customHeight="false" outlineLevel="0" collapsed="false">
      <c r="A2069" s="62" t="n">
        <v>0</v>
      </c>
      <c r="B2069" s="21" t="s">
        <v>336</v>
      </c>
      <c r="C2069" s="62" t="s">
        <v>60</v>
      </c>
      <c r="D2069" s="62" t="s">
        <v>388</v>
      </c>
      <c r="E2069" s="62" t="s">
        <v>382</v>
      </c>
      <c r="F2069" s="62" t="s">
        <v>382</v>
      </c>
      <c r="G2069" s="63" t="s">
        <v>570</v>
      </c>
      <c r="H2069" s="64" t="n">
        <v>250</v>
      </c>
      <c r="I2069" s="62"/>
      <c r="J2069" s="64" t="n">
        <v>250</v>
      </c>
      <c r="K2069" s="62"/>
      <c r="L2069" s="68" t="b">
        <f aca="false">FALSE()</f>
        <v>0</v>
      </c>
    </row>
    <row r="2070" customFormat="false" ht="15" hidden="false" customHeight="false" outlineLevel="0" collapsed="false">
      <c r="A2070" s="62" t="n">
        <v>0</v>
      </c>
      <c r="B2070" s="21" t="s">
        <v>336</v>
      </c>
      <c r="C2070" s="62" t="s">
        <v>60</v>
      </c>
      <c r="D2070" s="62" t="s">
        <v>381</v>
      </c>
      <c r="E2070" s="62" t="s">
        <v>382</v>
      </c>
      <c r="F2070" s="62" t="s">
        <v>382</v>
      </c>
      <c r="G2070" s="63" t="s">
        <v>571</v>
      </c>
      <c r="H2070" s="64" t="n">
        <v>0.7</v>
      </c>
      <c r="I2070" s="62" t="s">
        <v>878</v>
      </c>
      <c r="J2070" s="64" t="n">
        <v>70</v>
      </c>
      <c r="K2070" s="62" t="s">
        <v>42</v>
      </c>
      <c r="L2070" s="68" t="b">
        <f aca="false">FALSE()</f>
        <v>0</v>
      </c>
    </row>
    <row r="2071" customFormat="false" ht="15" hidden="false" customHeight="false" outlineLevel="0" collapsed="false">
      <c r="A2071" s="62" t="n">
        <v>0</v>
      </c>
      <c r="B2071" s="21" t="s">
        <v>336</v>
      </c>
      <c r="C2071" s="62" t="s">
        <v>60</v>
      </c>
      <c r="D2071" s="62" t="s">
        <v>383</v>
      </c>
      <c r="E2071" s="62" t="s">
        <v>382</v>
      </c>
      <c r="F2071" s="62" t="s">
        <v>382</v>
      </c>
      <c r="G2071" s="63" t="s">
        <v>571</v>
      </c>
      <c r="H2071" s="64" t="n">
        <v>0.7</v>
      </c>
      <c r="I2071" s="62" t="s">
        <v>878</v>
      </c>
      <c r="J2071" s="64" t="n">
        <v>70</v>
      </c>
      <c r="K2071" s="62" t="s">
        <v>42</v>
      </c>
      <c r="L2071" s="68" t="b">
        <f aca="false">FALSE()</f>
        <v>0</v>
      </c>
    </row>
    <row r="2072" customFormat="false" ht="15" hidden="false" customHeight="false" outlineLevel="0" collapsed="false">
      <c r="A2072" s="62" t="n">
        <v>0</v>
      </c>
      <c r="B2072" s="21" t="s">
        <v>336</v>
      </c>
      <c r="C2072" s="62" t="s">
        <v>60</v>
      </c>
      <c r="D2072" s="62" t="s">
        <v>384</v>
      </c>
      <c r="E2072" s="62" t="s">
        <v>382</v>
      </c>
      <c r="F2072" s="62" t="s">
        <v>382</v>
      </c>
      <c r="G2072" s="63" t="s">
        <v>571</v>
      </c>
      <c r="H2072" s="64" t="n">
        <v>0.7</v>
      </c>
      <c r="I2072" s="62" t="s">
        <v>878</v>
      </c>
      <c r="J2072" s="64" t="n">
        <v>70</v>
      </c>
      <c r="K2072" s="62" t="s">
        <v>42</v>
      </c>
      <c r="L2072" s="68" t="b">
        <f aca="false">FALSE()</f>
        <v>0</v>
      </c>
    </row>
    <row r="2073" customFormat="false" ht="15" hidden="false" customHeight="false" outlineLevel="0" collapsed="false">
      <c r="A2073" s="62" t="n">
        <v>0</v>
      </c>
      <c r="B2073" s="21" t="s">
        <v>336</v>
      </c>
      <c r="C2073" s="62" t="s">
        <v>60</v>
      </c>
      <c r="D2073" s="62" t="s">
        <v>385</v>
      </c>
      <c r="E2073" s="62" t="s">
        <v>382</v>
      </c>
      <c r="F2073" s="62" t="s">
        <v>382</v>
      </c>
      <c r="G2073" s="63" t="s">
        <v>571</v>
      </c>
      <c r="H2073" s="64" t="n">
        <v>0.7</v>
      </c>
      <c r="I2073" s="62" t="s">
        <v>878</v>
      </c>
      <c r="J2073" s="64" t="n">
        <v>70</v>
      </c>
      <c r="K2073" s="62" t="s">
        <v>42</v>
      </c>
      <c r="L2073" s="68" t="b">
        <f aca="false">FALSE()</f>
        <v>0</v>
      </c>
    </row>
    <row r="2074" customFormat="false" ht="15" hidden="false" customHeight="false" outlineLevel="0" collapsed="false">
      <c r="A2074" s="62" t="n">
        <v>0</v>
      </c>
      <c r="B2074" s="21" t="s">
        <v>336</v>
      </c>
      <c r="C2074" s="62" t="s">
        <v>60</v>
      </c>
      <c r="D2074" s="62" t="s">
        <v>386</v>
      </c>
      <c r="E2074" s="62" t="s">
        <v>382</v>
      </c>
      <c r="F2074" s="62" t="s">
        <v>382</v>
      </c>
      <c r="G2074" s="63" t="s">
        <v>571</v>
      </c>
      <c r="H2074" s="64" t="n">
        <v>0.7</v>
      </c>
      <c r="I2074" s="62" t="s">
        <v>878</v>
      </c>
      <c r="J2074" s="64" t="n">
        <v>70</v>
      </c>
      <c r="K2074" s="62" t="s">
        <v>42</v>
      </c>
      <c r="L2074" s="68" t="b">
        <f aca="false">FALSE()</f>
        <v>0</v>
      </c>
    </row>
    <row r="2075" customFormat="false" ht="15" hidden="false" customHeight="false" outlineLevel="0" collapsed="false">
      <c r="A2075" s="62" t="n">
        <v>0</v>
      </c>
      <c r="B2075" s="21" t="s">
        <v>336</v>
      </c>
      <c r="C2075" s="62" t="s">
        <v>60</v>
      </c>
      <c r="D2075" s="62" t="s">
        <v>387</v>
      </c>
      <c r="E2075" s="62" t="s">
        <v>382</v>
      </c>
      <c r="F2075" s="62" t="s">
        <v>382</v>
      </c>
      <c r="G2075" s="63" t="s">
        <v>571</v>
      </c>
      <c r="H2075" s="64" t="n">
        <v>0.7</v>
      </c>
      <c r="I2075" s="62" t="s">
        <v>878</v>
      </c>
      <c r="J2075" s="64" t="n">
        <v>70</v>
      </c>
      <c r="K2075" s="62" t="s">
        <v>42</v>
      </c>
      <c r="L2075" s="68" t="b">
        <f aca="false">FALSE()</f>
        <v>0</v>
      </c>
    </row>
    <row r="2076" customFormat="false" ht="15" hidden="false" customHeight="false" outlineLevel="0" collapsed="false">
      <c r="A2076" s="62" t="n">
        <v>0</v>
      </c>
      <c r="B2076" s="21" t="s">
        <v>336</v>
      </c>
      <c r="C2076" s="62" t="s">
        <v>60</v>
      </c>
      <c r="D2076" s="62" t="s">
        <v>388</v>
      </c>
      <c r="E2076" s="62" t="s">
        <v>382</v>
      </c>
      <c r="F2076" s="62" t="s">
        <v>382</v>
      </c>
      <c r="G2076" s="63" t="s">
        <v>571</v>
      </c>
      <c r="H2076" s="64" t="n">
        <v>0.7</v>
      </c>
      <c r="I2076" s="62" t="s">
        <v>878</v>
      </c>
      <c r="J2076" s="64" t="n">
        <v>70</v>
      </c>
      <c r="K2076" s="62" t="s">
        <v>42</v>
      </c>
      <c r="L2076" s="68" t="b">
        <f aca="false">FALSE()</f>
        <v>0</v>
      </c>
    </row>
    <row r="2077" customFormat="false" ht="15" hidden="false" customHeight="false" outlineLevel="0" collapsed="false">
      <c r="A2077" s="62" t="n">
        <v>0</v>
      </c>
      <c r="B2077" s="21" t="s">
        <v>336</v>
      </c>
      <c r="C2077" s="62" t="s">
        <v>60</v>
      </c>
      <c r="D2077" s="62" t="s">
        <v>381</v>
      </c>
      <c r="E2077" s="62" t="s">
        <v>382</v>
      </c>
      <c r="F2077" s="62" t="s">
        <v>382</v>
      </c>
      <c r="G2077" s="63" t="s">
        <v>572</v>
      </c>
      <c r="H2077" s="64" t="n">
        <v>0.3</v>
      </c>
      <c r="I2077" s="62" t="s">
        <v>878</v>
      </c>
      <c r="J2077" s="64" t="n">
        <v>30</v>
      </c>
      <c r="K2077" s="62" t="s">
        <v>42</v>
      </c>
      <c r="L2077" s="68" t="b">
        <f aca="false">FALSE()</f>
        <v>0</v>
      </c>
    </row>
    <row r="2078" customFormat="false" ht="15" hidden="false" customHeight="false" outlineLevel="0" collapsed="false">
      <c r="A2078" s="62" t="n">
        <v>0</v>
      </c>
      <c r="B2078" s="21" t="s">
        <v>336</v>
      </c>
      <c r="C2078" s="62" t="s">
        <v>60</v>
      </c>
      <c r="D2078" s="62" t="s">
        <v>383</v>
      </c>
      <c r="E2078" s="62" t="s">
        <v>382</v>
      </c>
      <c r="F2078" s="62" t="s">
        <v>382</v>
      </c>
      <c r="G2078" s="63" t="s">
        <v>572</v>
      </c>
      <c r="H2078" s="64" t="n">
        <v>0.3</v>
      </c>
      <c r="I2078" s="62" t="s">
        <v>878</v>
      </c>
      <c r="J2078" s="64" t="n">
        <v>30</v>
      </c>
      <c r="K2078" s="62" t="s">
        <v>42</v>
      </c>
      <c r="L2078" s="68" t="b">
        <f aca="false">FALSE()</f>
        <v>0</v>
      </c>
    </row>
    <row r="2079" customFormat="false" ht="15" hidden="false" customHeight="false" outlineLevel="0" collapsed="false">
      <c r="A2079" s="62" t="n">
        <v>0</v>
      </c>
      <c r="B2079" s="21" t="s">
        <v>336</v>
      </c>
      <c r="C2079" s="62" t="s">
        <v>60</v>
      </c>
      <c r="D2079" s="62" t="s">
        <v>384</v>
      </c>
      <c r="E2079" s="62" t="s">
        <v>382</v>
      </c>
      <c r="F2079" s="62" t="s">
        <v>382</v>
      </c>
      <c r="G2079" s="63" t="s">
        <v>572</v>
      </c>
      <c r="H2079" s="64" t="n">
        <v>0.3</v>
      </c>
      <c r="I2079" s="62" t="s">
        <v>878</v>
      </c>
      <c r="J2079" s="64" t="n">
        <v>30</v>
      </c>
      <c r="K2079" s="62" t="s">
        <v>42</v>
      </c>
      <c r="L2079" s="68" t="b">
        <f aca="false">FALSE()</f>
        <v>0</v>
      </c>
    </row>
    <row r="2080" customFormat="false" ht="15" hidden="false" customHeight="false" outlineLevel="0" collapsed="false">
      <c r="A2080" s="62" t="n">
        <v>0</v>
      </c>
      <c r="B2080" s="21" t="s">
        <v>336</v>
      </c>
      <c r="C2080" s="62" t="s">
        <v>60</v>
      </c>
      <c r="D2080" s="62" t="s">
        <v>385</v>
      </c>
      <c r="E2080" s="62" t="s">
        <v>382</v>
      </c>
      <c r="F2080" s="62" t="s">
        <v>382</v>
      </c>
      <c r="G2080" s="63" t="s">
        <v>572</v>
      </c>
      <c r="H2080" s="64" t="n">
        <v>0.3</v>
      </c>
      <c r="I2080" s="62" t="s">
        <v>878</v>
      </c>
      <c r="J2080" s="64" t="n">
        <v>30</v>
      </c>
      <c r="K2080" s="62" t="s">
        <v>42</v>
      </c>
      <c r="L2080" s="68" t="b">
        <f aca="false">FALSE()</f>
        <v>0</v>
      </c>
    </row>
    <row r="2081" customFormat="false" ht="15" hidden="false" customHeight="false" outlineLevel="0" collapsed="false">
      <c r="A2081" s="62" t="n">
        <v>0</v>
      </c>
      <c r="B2081" s="21" t="s">
        <v>336</v>
      </c>
      <c r="C2081" s="62" t="s">
        <v>60</v>
      </c>
      <c r="D2081" s="62" t="s">
        <v>386</v>
      </c>
      <c r="E2081" s="62" t="s">
        <v>382</v>
      </c>
      <c r="F2081" s="62" t="s">
        <v>382</v>
      </c>
      <c r="G2081" s="63" t="s">
        <v>572</v>
      </c>
      <c r="H2081" s="64" t="n">
        <v>0.3</v>
      </c>
      <c r="I2081" s="62" t="s">
        <v>878</v>
      </c>
      <c r="J2081" s="64" t="n">
        <v>30</v>
      </c>
      <c r="K2081" s="62" t="s">
        <v>42</v>
      </c>
      <c r="L2081" s="68" t="b">
        <f aca="false">FALSE()</f>
        <v>0</v>
      </c>
    </row>
    <row r="2082" customFormat="false" ht="15" hidden="false" customHeight="false" outlineLevel="0" collapsed="false">
      <c r="A2082" s="62" t="n">
        <v>0</v>
      </c>
      <c r="B2082" s="21" t="s">
        <v>336</v>
      </c>
      <c r="C2082" s="62" t="s">
        <v>60</v>
      </c>
      <c r="D2082" s="62" t="s">
        <v>387</v>
      </c>
      <c r="E2082" s="62" t="s">
        <v>382</v>
      </c>
      <c r="F2082" s="62" t="s">
        <v>382</v>
      </c>
      <c r="G2082" s="63" t="s">
        <v>572</v>
      </c>
      <c r="H2082" s="64" t="n">
        <v>0.3</v>
      </c>
      <c r="I2082" s="62" t="s">
        <v>878</v>
      </c>
      <c r="J2082" s="64" t="n">
        <v>30</v>
      </c>
      <c r="K2082" s="62" t="s">
        <v>42</v>
      </c>
      <c r="L2082" s="68" t="b">
        <f aca="false">FALSE()</f>
        <v>0</v>
      </c>
    </row>
    <row r="2083" customFormat="false" ht="15" hidden="false" customHeight="false" outlineLevel="0" collapsed="false">
      <c r="A2083" s="62" t="n">
        <v>0</v>
      </c>
      <c r="B2083" s="21" t="s">
        <v>336</v>
      </c>
      <c r="C2083" s="62" t="s">
        <v>60</v>
      </c>
      <c r="D2083" s="62" t="s">
        <v>388</v>
      </c>
      <c r="E2083" s="62" t="s">
        <v>382</v>
      </c>
      <c r="F2083" s="62" t="s">
        <v>382</v>
      </c>
      <c r="G2083" s="63" t="s">
        <v>572</v>
      </c>
      <c r="H2083" s="64" t="n">
        <v>0.3</v>
      </c>
      <c r="I2083" s="62" t="s">
        <v>878</v>
      </c>
      <c r="J2083" s="64" t="n">
        <v>30</v>
      </c>
      <c r="K2083" s="62" t="s">
        <v>42</v>
      </c>
      <c r="L2083" s="68" t="b">
        <f aca="false">FALSE()</f>
        <v>0</v>
      </c>
    </row>
    <row r="2084" customFormat="false" ht="15" hidden="false" customHeight="false" outlineLevel="0" collapsed="false">
      <c r="A2084" s="62" t="n">
        <v>0</v>
      </c>
      <c r="B2084" s="21" t="s">
        <v>336</v>
      </c>
      <c r="C2084" s="62" t="s">
        <v>60</v>
      </c>
      <c r="D2084" s="62" t="s">
        <v>381</v>
      </c>
      <c r="E2084" s="62" t="s">
        <v>382</v>
      </c>
      <c r="F2084" s="62" t="s">
        <v>382</v>
      </c>
      <c r="G2084" s="63" t="s">
        <v>573</v>
      </c>
      <c r="H2084" s="64" t="n">
        <v>0.8</v>
      </c>
      <c r="I2084" s="62" t="s">
        <v>878</v>
      </c>
      <c r="J2084" s="64" t="n">
        <v>80</v>
      </c>
      <c r="K2084" s="62" t="s">
        <v>42</v>
      </c>
      <c r="L2084" s="68" t="b">
        <f aca="false">FALSE()</f>
        <v>0</v>
      </c>
    </row>
    <row r="2085" customFormat="false" ht="15" hidden="false" customHeight="false" outlineLevel="0" collapsed="false">
      <c r="A2085" s="62" t="n">
        <v>0</v>
      </c>
      <c r="B2085" s="21" t="s">
        <v>336</v>
      </c>
      <c r="C2085" s="62" t="s">
        <v>60</v>
      </c>
      <c r="D2085" s="62" t="s">
        <v>383</v>
      </c>
      <c r="E2085" s="62" t="s">
        <v>382</v>
      </c>
      <c r="F2085" s="62" t="s">
        <v>382</v>
      </c>
      <c r="G2085" s="63" t="s">
        <v>573</v>
      </c>
      <c r="H2085" s="64" t="n">
        <v>0.8</v>
      </c>
      <c r="I2085" s="62" t="s">
        <v>878</v>
      </c>
      <c r="J2085" s="64" t="n">
        <v>80</v>
      </c>
      <c r="K2085" s="62" t="s">
        <v>42</v>
      </c>
      <c r="L2085" s="68" t="b">
        <f aca="false">FALSE()</f>
        <v>0</v>
      </c>
    </row>
    <row r="2086" customFormat="false" ht="15" hidden="false" customHeight="false" outlineLevel="0" collapsed="false">
      <c r="A2086" s="62" t="n">
        <v>0</v>
      </c>
      <c r="B2086" s="21" t="s">
        <v>336</v>
      </c>
      <c r="C2086" s="62" t="s">
        <v>60</v>
      </c>
      <c r="D2086" s="62" t="s">
        <v>384</v>
      </c>
      <c r="E2086" s="62" t="s">
        <v>382</v>
      </c>
      <c r="F2086" s="62" t="s">
        <v>382</v>
      </c>
      <c r="G2086" s="63" t="s">
        <v>573</v>
      </c>
      <c r="H2086" s="64" t="n">
        <v>0.8</v>
      </c>
      <c r="I2086" s="62" t="s">
        <v>878</v>
      </c>
      <c r="J2086" s="64" t="n">
        <v>80</v>
      </c>
      <c r="K2086" s="62" t="s">
        <v>42</v>
      </c>
      <c r="L2086" s="68" t="b">
        <f aca="false">FALSE()</f>
        <v>0</v>
      </c>
    </row>
    <row r="2087" customFormat="false" ht="15" hidden="false" customHeight="false" outlineLevel="0" collapsed="false">
      <c r="A2087" s="62" t="n">
        <v>0</v>
      </c>
      <c r="B2087" s="21" t="s">
        <v>336</v>
      </c>
      <c r="C2087" s="62" t="s">
        <v>60</v>
      </c>
      <c r="D2087" s="62" t="s">
        <v>385</v>
      </c>
      <c r="E2087" s="62" t="s">
        <v>382</v>
      </c>
      <c r="F2087" s="62" t="s">
        <v>382</v>
      </c>
      <c r="G2087" s="63" t="s">
        <v>573</v>
      </c>
      <c r="H2087" s="64" t="n">
        <v>0.8</v>
      </c>
      <c r="I2087" s="62" t="s">
        <v>878</v>
      </c>
      <c r="J2087" s="64" t="n">
        <v>80</v>
      </c>
      <c r="K2087" s="62" t="s">
        <v>42</v>
      </c>
      <c r="L2087" s="68" t="b">
        <f aca="false">FALSE()</f>
        <v>0</v>
      </c>
    </row>
    <row r="2088" customFormat="false" ht="15" hidden="false" customHeight="false" outlineLevel="0" collapsed="false">
      <c r="A2088" s="62" t="n">
        <v>0</v>
      </c>
      <c r="B2088" s="21" t="s">
        <v>336</v>
      </c>
      <c r="C2088" s="62" t="s">
        <v>60</v>
      </c>
      <c r="D2088" s="62" t="s">
        <v>386</v>
      </c>
      <c r="E2088" s="62" t="s">
        <v>382</v>
      </c>
      <c r="F2088" s="62" t="s">
        <v>382</v>
      </c>
      <c r="G2088" s="63" t="s">
        <v>573</v>
      </c>
      <c r="H2088" s="64" t="n">
        <v>0.8</v>
      </c>
      <c r="I2088" s="62" t="s">
        <v>878</v>
      </c>
      <c r="J2088" s="64" t="n">
        <v>80</v>
      </c>
      <c r="K2088" s="62" t="s">
        <v>42</v>
      </c>
      <c r="L2088" s="68" t="b">
        <f aca="false">FALSE()</f>
        <v>0</v>
      </c>
    </row>
    <row r="2089" customFormat="false" ht="15" hidden="false" customHeight="false" outlineLevel="0" collapsed="false">
      <c r="A2089" s="62" t="n">
        <v>0</v>
      </c>
      <c r="B2089" s="21" t="s">
        <v>336</v>
      </c>
      <c r="C2089" s="62" t="s">
        <v>60</v>
      </c>
      <c r="D2089" s="62" t="s">
        <v>387</v>
      </c>
      <c r="E2089" s="62" t="s">
        <v>382</v>
      </c>
      <c r="F2089" s="62" t="s">
        <v>382</v>
      </c>
      <c r="G2089" s="63" t="s">
        <v>573</v>
      </c>
      <c r="H2089" s="64" t="n">
        <v>0.8</v>
      </c>
      <c r="I2089" s="62" t="s">
        <v>878</v>
      </c>
      <c r="J2089" s="64" t="n">
        <v>80</v>
      </c>
      <c r="K2089" s="62" t="s">
        <v>42</v>
      </c>
      <c r="L2089" s="68" t="b">
        <f aca="false">FALSE()</f>
        <v>0</v>
      </c>
    </row>
    <row r="2090" customFormat="false" ht="15" hidden="false" customHeight="false" outlineLevel="0" collapsed="false">
      <c r="A2090" s="62" t="n">
        <v>0</v>
      </c>
      <c r="B2090" s="21" t="s">
        <v>336</v>
      </c>
      <c r="C2090" s="62" t="s">
        <v>60</v>
      </c>
      <c r="D2090" s="62" t="s">
        <v>388</v>
      </c>
      <c r="E2090" s="62" t="s">
        <v>382</v>
      </c>
      <c r="F2090" s="62" t="s">
        <v>382</v>
      </c>
      <c r="G2090" s="63" t="s">
        <v>573</v>
      </c>
      <c r="H2090" s="64" t="n">
        <v>0.8</v>
      </c>
      <c r="I2090" s="62" t="s">
        <v>878</v>
      </c>
      <c r="J2090" s="64" t="n">
        <v>80</v>
      </c>
      <c r="K2090" s="62" t="s">
        <v>42</v>
      </c>
      <c r="L2090" s="68" t="b">
        <f aca="false">FALSE()</f>
        <v>0</v>
      </c>
    </row>
    <row r="2091" customFormat="false" ht="15" hidden="false" customHeight="false" outlineLevel="0" collapsed="false">
      <c r="A2091" s="62" t="n">
        <v>0</v>
      </c>
      <c r="B2091" s="21" t="s">
        <v>336</v>
      </c>
      <c r="C2091" s="62" t="s">
        <v>60</v>
      </c>
      <c r="D2091" s="62" t="s">
        <v>381</v>
      </c>
      <c r="E2091" s="62" t="s">
        <v>382</v>
      </c>
      <c r="F2091" s="62" t="s">
        <v>382</v>
      </c>
      <c r="G2091" s="63" t="s">
        <v>574</v>
      </c>
      <c r="H2091" s="64" t="n">
        <v>0.2</v>
      </c>
      <c r="I2091" s="62" t="s">
        <v>878</v>
      </c>
      <c r="J2091" s="64" t="n">
        <v>20</v>
      </c>
      <c r="K2091" s="62" t="s">
        <v>42</v>
      </c>
      <c r="L2091" s="68" t="b">
        <f aca="false">FALSE()</f>
        <v>0</v>
      </c>
    </row>
    <row r="2092" customFormat="false" ht="15" hidden="false" customHeight="false" outlineLevel="0" collapsed="false">
      <c r="A2092" s="62" t="n">
        <v>0</v>
      </c>
      <c r="B2092" s="21" t="s">
        <v>336</v>
      </c>
      <c r="C2092" s="62" t="s">
        <v>60</v>
      </c>
      <c r="D2092" s="62" t="s">
        <v>383</v>
      </c>
      <c r="E2092" s="62" t="s">
        <v>382</v>
      </c>
      <c r="F2092" s="62" t="s">
        <v>382</v>
      </c>
      <c r="G2092" s="63" t="s">
        <v>574</v>
      </c>
      <c r="H2092" s="64" t="n">
        <v>0.2</v>
      </c>
      <c r="I2092" s="62" t="s">
        <v>878</v>
      </c>
      <c r="J2092" s="64" t="n">
        <v>20</v>
      </c>
      <c r="K2092" s="62" t="s">
        <v>42</v>
      </c>
      <c r="L2092" s="68" t="b">
        <f aca="false">FALSE()</f>
        <v>0</v>
      </c>
    </row>
    <row r="2093" customFormat="false" ht="15" hidden="false" customHeight="false" outlineLevel="0" collapsed="false">
      <c r="A2093" s="62" t="n">
        <v>0</v>
      </c>
      <c r="B2093" s="21" t="s">
        <v>336</v>
      </c>
      <c r="C2093" s="62" t="s">
        <v>60</v>
      </c>
      <c r="D2093" s="62" t="s">
        <v>384</v>
      </c>
      <c r="E2093" s="62" t="s">
        <v>382</v>
      </c>
      <c r="F2093" s="62" t="s">
        <v>382</v>
      </c>
      <c r="G2093" s="63" t="s">
        <v>574</v>
      </c>
      <c r="H2093" s="64" t="n">
        <v>0.2</v>
      </c>
      <c r="I2093" s="62" t="s">
        <v>878</v>
      </c>
      <c r="J2093" s="64" t="n">
        <v>20</v>
      </c>
      <c r="K2093" s="62" t="s">
        <v>42</v>
      </c>
      <c r="L2093" s="68" t="b">
        <f aca="false">FALSE()</f>
        <v>0</v>
      </c>
    </row>
    <row r="2094" customFormat="false" ht="15" hidden="false" customHeight="false" outlineLevel="0" collapsed="false">
      <c r="A2094" s="62" t="n">
        <v>0</v>
      </c>
      <c r="B2094" s="21" t="s">
        <v>336</v>
      </c>
      <c r="C2094" s="62" t="s">
        <v>60</v>
      </c>
      <c r="D2094" s="62" t="s">
        <v>385</v>
      </c>
      <c r="E2094" s="62" t="s">
        <v>382</v>
      </c>
      <c r="F2094" s="62" t="s">
        <v>382</v>
      </c>
      <c r="G2094" s="63" t="s">
        <v>574</v>
      </c>
      <c r="H2094" s="64" t="n">
        <v>0.2</v>
      </c>
      <c r="I2094" s="62" t="s">
        <v>878</v>
      </c>
      <c r="J2094" s="64" t="n">
        <v>20</v>
      </c>
      <c r="K2094" s="62" t="s">
        <v>42</v>
      </c>
      <c r="L2094" s="68" t="b">
        <f aca="false">FALSE()</f>
        <v>0</v>
      </c>
    </row>
    <row r="2095" customFormat="false" ht="15" hidden="false" customHeight="false" outlineLevel="0" collapsed="false">
      <c r="A2095" s="62" t="n">
        <v>0</v>
      </c>
      <c r="B2095" s="21" t="s">
        <v>336</v>
      </c>
      <c r="C2095" s="62" t="s">
        <v>60</v>
      </c>
      <c r="D2095" s="62" t="s">
        <v>386</v>
      </c>
      <c r="E2095" s="62" t="s">
        <v>382</v>
      </c>
      <c r="F2095" s="62" t="s">
        <v>382</v>
      </c>
      <c r="G2095" s="63" t="s">
        <v>574</v>
      </c>
      <c r="H2095" s="64" t="n">
        <v>0.2</v>
      </c>
      <c r="I2095" s="62" t="s">
        <v>878</v>
      </c>
      <c r="J2095" s="64" t="n">
        <v>20</v>
      </c>
      <c r="K2095" s="62" t="s">
        <v>42</v>
      </c>
      <c r="L2095" s="68" t="b">
        <f aca="false">FALSE()</f>
        <v>0</v>
      </c>
    </row>
    <row r="2096" customFormat="false" ht="15" hidden="false" customHeight="false" outlineLevel="0" collapsed="false">
      <c r="A2096" s="62" t="n">
        <v>0</v>
      </c>
      <c r="B2096" s="21" t="s">
        <v>336</v>
      </c>
      <c r="C2096" s="62" t="s">
        <v>60</v>
      </c>
      <c r="D2096" s="62" t="s">
        <v>387</v>
      </c>
      <c r="E2096" s="62" t="s">
        <v>382</v>
      </c>
      <c r="F2096" s="62" t="s">
        <v>382</v>
      </c>
      <c r="G2096" s="63" t="s">
        <v>574</v>
      </c>
      <c r="H2096" s="64" t="n">
        <v>0.2</v>
      </c>
      <c r="I2096" s="62" t="s">
        <v>878</v>
      </c>
      <c r="J2096" s="64" t="n">
        <v>20</v>
      </c>
      <c r="K2096" s="62" t="s">
        <v>42</v>
      </c>
      <c r="L2096" s="68" t="b">
        <f aca="false">FALSE()</f>
        <v>0</v>
      </c>
    </row>
    <row r="2097" customFormat="false" ht="15" hidden="false" customHeight="false" outlineLevel="0" collapsed="false">
      <c r="A2097" s="62" t="n">
        <v>0</v>
      </c>
      <c r="B2097" s="21" t="s">
        <v>336</v>
      </c>
      <c r="C2097" s="62" t="s">
        <v>60</v>
      </c>
      <c r="D2097" s="62" t="s">
        <v>388</v>
      </c>
      <c r="E2097" s="62" t="s">
        <v>382</v>
      </c>
      <c r="F2097" s="62" t="s">
        <v>382</v>
      </c>
      <c r="G2097" s="63" t="s">
        <v>574</v>
      </c>
      <c r="H2097" s="64" t="n">
        <v>0.2</v>
      </c>
      <c r="I2097" s="62" t="s">
        <v>878</v>
      </c>
      <c r="J2097" s="64" t="n">
        <v>20</v>
      </c>
      <c r="K2097" s="62" t="s">
        <v>42</v>
      </c>
      <c r="L2097" s="68" t="b">
        <f aca="false">FALSE()</f>
        <v>0</v>
      </c>
    </row>
    <row r="2098" customFormat="false" ht="15" hidden="false" customHeight="false" outlineLevel="0" collapsed="false">
      <c r="A2098" s="62" t="n">
        <v>0</v>
      </c>
      <c r="B2098" s="21" t="s">
        <v>336</v>
      </c>
      <c r="C2098" s="62" t="s">
        <v>60</v>
      </c>
      <c r="D2098" s="62" t="s">
        <v>381</v>
      </c>
      <c r="E2098" s="62" t="s">
        <v>382</v>
      </c>
      <c r="F2098" s="62" t="s">
        <v>382</v>
      </c>
      <c r="G2098" s="63" t="s">
        <v>575</v>
      </c>
      <c r="H2098" s="64" t="n">
        <v>0</v>
      </c>
      <c r="I2098" s="62" t="s">
        <v>878</v>
      </c>
      <c r="J2098" s="64" t="n">
        <v>0</v>
      </c>
      <c r="K2098" s="62" t="s">
        <v>42</v>
      </c>
      <c r="L2098" s="68" t="b">
        <f aca="false">FALSE()</f>
        <v>0</v>
      </c>
    </row>
    <row r="2099" customFormat="false" ht="15" hidden="false" customHeight="false" outlineLevel="0" collapsed="false">
      <c r="A2099" s="62" t="n">
        <v>0</v>
      </c>
      <c r="B2099" s="21" t="s">
        <v>336</v>
      </c>
      <c r="C2099" s="62" t="s">
        <v>60</v>
      </c>
      <c r="D2099" s="62" t="s">
        <v>383</v>
      </c>
      <c r="E2099" s="62" t="s">
        <v>382</v>
      </c>
      <c r="F2099" s="62" t="s">
        <v>382</v>
      </c>
      <c r="G2099" s="63" t="s">
        <v>575</v>
      </c>
      <c r="H2099" s="64" t="n">
        <v>0</v>
      </c>
      <c r="I2099" s="62" t="s">
        <v>878</v>
      </c>
      <c r="J2099" s="64" t="n">
        <v>0</v>
      </c>
      <c r="K2099" s="62" t="s">
        <v>42</v>
      </c>
      <c r="L2099" s="68" t="b">
        <f aca="false">FALSE()</f>
        <v>0</v>
      </c>
    </row>
    <row r="2100" customFormat="false" ht="15" hidden="false" customHeight="false" outlineLevel="0" collapsed="false">
      <c r="A2100" s="62" t="n">
        <v>0</v>
      </c>
      <c r="B2100" s="21" t="s">
        <v>336</v>
      </c>
      <c r="C2100" s="62" t="s">
        <v>60</v>
      </c>
      <c r="D2100" s="62" t="s">
        <v>384</v>
      </c>
      <c r="E2100" s="62" t="s">
        <v>382</v>
      </c>
      <c r="F2100" s="62" t="s">
        <v>382</v>
      </c>
      <c r="G2100" s="63" t="s">
        <v>575</v>
      </c>
      <c r="H2100" s="64" t="n">
        <v>0</v>
      </c>
      <c r="I2100" s="62" t="s">
        <v>878</v>
      </c>
      <c r="J2100" s="64" t="n">
        <v>0</v>
      </c>
      <c r="K2100" s="62" t="s">
        <v>42</v>
      </c>
      <c r="L2100" s="68" t="b">
        <f aca="false">FALSE()</f>
        <v>0</v>
      </c>
    </row>
    <row r="2101" customFormat="false" ht="15" hidden="false" customHeight="false" outlineLevel="0" collapsed="false">
      <c r="A2101" s="62" t="n">
        <v>0</v>
      </c>
      <c r="B2101" s="21" t="s">
        <v>336</v>
      </c>
      <c r="C2101" s="62" t="s">
        <v>60</v>
      </c>
      <c r="D2101" s="62" t="s">
        <v>385</v>
      </c>
      <c r="E2101" s="62" t="s">
        <v>382</v>
      </c>
      <c r="F2101" s="62" t="s">
        <v>382</v>
      </c>
      <c r="G2101" s="63" t="s">
        <v>575</v>
      </c>
      <c r="H2101" s="64" t="n">
        <v>0</v>
      </c>
      <c r="I2101" s="62" t="s">
        <v>878</v>
      </c>
      <c r="J2101" s="64" t="n">
        <v>0</v>
      </c>
      <c r="K2101" s="62" t="s">
        <v>42</v>
      </c>
      <c r="L2101" s="68" t="b">
        <f aca="false">FALSE()</f>
        <v>0</v>
      </c>
    </row>
    <row r="2102" customFormat="false" ht="15" hidden="false" customHeight="false" outlineLevel="0" collapsed="false">
      <c r="A2102" s="62" t="n">
        <v>0</v>
      </c>
      <c r="B2102" s="21" t="s">
        <v>336</v>
      </c>
      <c r="C2102" s="62" t="s">
        <v>60</v>
      </c>
      <c r="D2102" s="62" t="s">
        <v>386</v>
      </c>
      <c r="E2102" s="62" t="s">
        <v>382</v>
      </c>
      <c r="F2102" s="62" t="s">
        <v>382</v>
      </c>
      <c r="G2102" s="63" t="s">
        <v>575</v>
      </c>
      <c r="H2102" s="64" t="n">
        <v>0</v>
      </c>
      <c r="I2102" s="62" t="s">
        <v>878</v>
      </c>
      <c r="J2102" s="64" t="n">
        <v>0</v>
      </c>
      <c r="K2102" s="62" t="s">
        <v>42</v>
      </c>
      <c r="L2102" s="68" t="b">
        <f aca="false">FALSE()</f>
        <v>0</v>
      </c>
    </row>
    <row r="2103" customFormat="false" ht="15" hidden="false" customHeight="false" outlineLevel="0" collapsed="false">
      <c r="A2103" s="62" t="n">
        <v>0</v>
      </c>
      <c r="B2103" s="21" t="s">
        <v>336</v>
      </c>
      <c r="C2103" s="62" t="s">
        <v>60</v>
      </c>
      <c r="D2103" s="62" t="s">
        <v>387</v>
      </c>
      <c r="E2103" s="62" t="s">
        <v>382</v>
      </c>
      <c r="F2103" s="62" t="s">
        <v>382</v>
      </c>
      <c r="G2103" s="63" t="s">
        <v>575</v>
      </c>
      <c r="H2103" s="64" t="n">
        <v>0</v>
      </c>
      <c r="I2103" s="62" t="s">
        <v>878</v>
      </c>
      <c r="J2103" s="64" t="n">
        <v>0</v>
      </c>
      <c r="K2103" s="62" t="s">
        <v>42</v>
      </c>
      <c r="L2103" s="68" t="b">
        <f aca="false">FALSE()</f>
        <v>0</v>
      </c>
    </row>
    <row r="2104" customFormat="false" ht="15" hidden="false" customHeight="false" outlineLevel="0" collapsed="false">
      <c r="A2104" s="62" t="n">
        <v>0</v>
      </c>
      <c r="B2104" s="21" t="s">
        <v>336</v>
      </c>
      <c r="C2104" s="62" t="s">
        <v>60</v>
      </c>
      <c r="D2104" s="62" t="s">
        <v>388</v>
      </c>
      <c r="E2104" s="62" t="s">
        <v>382</v>
      </c>
      <c r="F2104" s="62" t="s">
        <v>382</v>
      </c>
      <c r="G2104" s="63" t="s">
        <v>575</v>
      </c>
      <c r="H2104" s="64" t="n">
        <v>0</v>
      </c>
      <c r="I2104" s="62" t="s">
        <v>878</v>
      </c>
      <c r="J2104" s="64" t="n">
        <v>0</v>
      </c>
      <c r="K2104" s="62" t="s">
        <v>42</v>
      </c>
      <c r="L2104" s="68" t="b">
        <f aca="false">FALSE()</f>
        <v>0</v>
      </c>
    </row>
    <row r="2105" customFormat="false" ht="15" hidden="false" customHeight="false" outlineLevel="0" collapsed="false">
      <c r="A2105" s="62" t="n">
        <v>0</v>
      </c>
      <c r="B2105" s="21" t="s">
        <v>336</v>
      </c>
      <c r="C2105" s="62" t="s">
        <v>60</v>
      </c>
      <c r="D2105" s="62" t="s">
        <v>381</v>
      </c>
      <c r="E2105" s="62" t="s">
        <v>382</v>
      </c>
      <c r="F2105" s="62" t="s">
        <v>382</v>
      </c>
      <c r="G2105" s="63" t="s">
        <v>576</v>
      </c>
      <c r="H2105" s="64" t="n">
        <v>0</v>
      </c>
      <c r="I2105" s="62" t="s">
        <v>878</v>
      </c>
      <c r="J2105" s="64" t="n">
        <v>0</v>
      </c>
      <c r="K2105" s="62" t="s">
        <v>42</v>
      </c>
      <c r="L2105" s="68" t="b">
        <f aca="false">TRUE()</f>
        <v>1</v>
      </c>
    </row>
    <row r="2106" customFormat="false" ht="15" hidden="false" customHeight="false" outlineLevel="0" collapsed="false">
      <c r="A2106" s="62" t="n">
        <v>0</v>
      </c>
      <c r="B2106" s="21" t="s">
        <v>336</v>
      </c>
      <c r="C2106" s="62" t="s">
        <v>60</v>
      </c>
      <c r="D2106" s="62" t="s">
        <v>383</v>
      </c>
      <c r="E2106" s="62" t="s">
        <v>382</v>
      </c>
      <c r="F2106" s="62" t="s">
        <v>382</v>
      </c>
      <c r="G2106" s="63" t="s">
        <v>576</v>
      </c>
      <c r="H2106" s="64" t="n">
        <v>0</v>
      </c>
      <c r="I2106" s="62" t="s">
        <v>878</v>
      </c>
      <c r="J2106" s="64" t="n">
        <v>0</v>
      </c>
      <c r="K2106" s="62" t="s">
        <v>42</v>
      </c>
      <c r="L2106" s="68" t="b">
        <f aca="false">TRUE()</f>
        <v>1</v>
      </c>
    </row>
    <row r="2107" customFormat="false" ht="15" hidden="false" customHeight="false" outlineLevel="0" collapsed="false">
      <c r="A2107" s="62" t="n">
        <v>0</v>
      </c>
      <c r="B2107" s="21" t="s">
        <v>336</v>
      </c>
      <c r="C2107" s="62" t="s">
        <v>60</v>
      </c>
      <c r="D2107" s="62" t="s">
        <v>384</v>
      </c>
      <c r="E2107" s="62" t="s">
        <v>382</v>
      </c>
      <c r="F2107" s="62" t="s">
        <v>382</v>
      </c>
      <c r="G2107" s="63" t="s">
        <v>576</v>
      </c>
      <c r="H2107" s="64" t="n">
        <v>0</v>
      </c>
      <c r="I2107" s="62" t="s">
        <v>878</v>
      </c>
      <c r="J2107" s="64" t="n">
        <v>0</v>
      </c>
      <c r="K2107" s="62" t="s">
        <v>42</v>
      </c>
      <c r="L2107" s="68" t="b">
        <f aca="false">TRUE()</f>
        <v>1</v>
      </c>
    </row>
    <row r="2108" customFormat="false" ht="15" hidden="false" customHeight="false" outlineLevel="0" collapsed="false">
      <c r="A2108" s="62" t="n">
        <v>0</v>
      </c>
      <c r="B2108" s="21" t="s">
        <v>336</v>
      </c>
      <c r="C2108" s="62" t="s">
        <v>60</v>
      </c>
      <c r="D2108" s="62" t="s">
        <v>385</v>
      </c>
      <c r="E2108" s="62" t="s">
        <v>382</v>
      </c>
      <c r="F2108" s="62" t="s">
        <v>382</v>
      </c>
      <c r="G2108" s="63" t="s">
        <v>576</v>
      </c>
      <c r="H2108" s="64" t="n">
        <v>0</v>
      </c>
      <c r="I2108" s="62" t="s">
        <v>878</v>
      </c>
      <c r="J2108" s="64" t="n">
        <v>0</v>
      </c>
      <c r="K2108" s="62" t="s">
        <v>42</v>
      </c>
      <c r="L2108" s="68" t="b">
        <f aca="false">TRUE()</f>
        <v>1</v>
      </c>
    </row>
    <row r="2109" customFormat="false" ht="15" hidden="false" customHeight="false" outlineLevel="0" collapsed="false">
      <c r="A2109" s="62" t="n">
        <v>0</v>
      </c>
      <c r="B2109" s="21" t="s">
        <v>336</v>
      </c>
      <c r="C2109" s="62" t="s">
        <v>60</v>
      </c>
      <c r="D2109" s="62" t="s">
        <v>386</v>
      </c>
      <c r="E2109" s="62" t="s">
        <v>382</v>
      </c>
      <c r="F2109" s="62" t="s">
        <v>382</v>
      </c>
      <c r="G2109" s="63" t="s">
        <v>576</v>
      </c>
      <c r="H2109" s="64" t="n">
        <v>0</v>
      </c>
      <c r="I2109" s="62" t="s">
        <v>878</v>
      </c>
      <c r="J2109" s="64" t="n">
        <v>0</v>
      </c>
      <c r="K2109" s="62" t="s">
        <v>42</v>
      </c>
      <c r="L2109" s="68" t="b">
        <f aca="false">TRUE()</f>
        <v>1</v>
      </c>
    </row>
    <row r="2110" customFormat="false" ht="15" hidden="false" customHeight="false" outlineLevel="0" collapsed="false">
      <c r="A2110" s="62" t="n">
        <v>0</v>
      </c>
      <c r="B2110" s="21" t="s">
        <v>336</v>
      </c>
      <c r="C2110" s="62" t="s">
        <v>60</v>
      </c>
      <c r="D2110" s="62" t="s">
        <v>387</v>
      </c>
      <c r="E2110" s="62" t="s">
        <v>382</v>
      </c>
      <c r="F2110" s="62" t="s">
        <v>382</v>
      </c>
      <c r="G2110" s="63" t="s">
        <v>576</v>
      </c>
      <c r="H2110" s="64" t="n">
        <v>0</v>
      </c>
      <c r="I2110" s="62" t="s">
        <v>878</v>
      </c>
      <c r="J2110" s="64" t="n">
        <v>0</v>
      </c>
      <c r="K2110" s="62" t="s">
        <v>42</v>
      </c>
      <c r="L2110" s="68" t="b">
        <f aca="false">TRUE()</f>
        <v>1</v>
      </c>
    </row>
    <row r="2111" customFormat="false" ht="15" hidden="false" customHeight="false" outlineLevel="0" collapsed="false">
      <c r="A2111" s="62" t="n">
        <v>0</v>
      </c>
      <c r="B2111" s="21" t="s">
        <v>336</v>
      </c>
      <c r="C2111" s="62" t="s">
        <v>60</v>
      </c>
      <c r="D2111" s="62" t="s">
        <v>388</v>
      </c>
      <c r="E2111" s="62" t="s">
        <v>382</v>
      </c>
      <c r="F2111" s="62" t="s">
        <v>382</v>
      </c>
      <c r="G2111" s="63" t="s">
        <v>576</v>
      </c>
      <c r="H2111" s="64" t="n">
        <v>0</v>
      </c>
      <c r="I2111" s="62" t="s">
        <v>878</v>
      </c>
      <c r="J2111" s="64" t="n">
        <v>0</v>
      </c>
      <c r="K2111" s="62" t="s">
        <v>42</v>
      </c>
      <c r="L2111" s="68" t="b">
        <f aca="false">TRUE()</f>
        <v>1</v>
      </c>
    </row>
    <row r="2112" customFormat="false" ht="15" hidden="false" customHeight="false" outlineLevel="0" collapsed="false">
      <c r="A2112" s="62" t="n">
        <v>0</v>
      </c>
      <c r="B2112" s="21" t="s">
        <v>336</v>
      </c>
      <c r="C2112" s="62" t="s">
        <v>60</v>
      </c>
      <c r="D2112" s="62" t="s">
        <v>381</v>
      </c>
      <c r="E2112" s="62" t="s">
        <v>382</v>
      </c>
      <c r="F2112" s="62" t="s">
        <v>382</v>
      </c>
      <c r="G2112" s="63" t="s">
        <v>577</v>
      </c>
      <c r="H2112" s="64" t="n">
        <v>0</v>
      </c>
      <c r="I2112" s="62" t="s">
        <v>878</v>
      </c>
      <c r="J2112" s="64" t="n">
        <v>0</v>
      </c>
      <c r="K2112" s="62" t="s">
        <v>42</v>
      </c>
      <c r="L2112" s="68" t="b">
        <f aca="false">TRUE()</f>
        <v>1</v>
      </c>
    </row>
    <row r="2113" customFormat="false" ht="15" hidden="false" customHeight="false" outlineLevel="0" collapsed="false">
      <c r="A2113" s="62" t="n">
        <v>0</v>
      </c>
      <c r="B2113" s="21" t="s">
        <v>336</v>
      </c>
      <c r="C2113" s="62" t="s">
        <v>60</v>
      </c>
      <c r="D2113" s="62" t="s">
        <v>383</v>
      </c>
      <c r="E2113" s="62" t="s">
        <v>382</v>
      </c>
      <c r="F2113" s="62" t="s">
        <v>382</v>
      </c>
      <c r="G2113" s="63" t="s">
        <v>577</v>
      </c>
      <c r="H2113" s="64" t="n">
        <v>0</v>
      </c>
      <c r="I2113" s="62" t="s">
        <v>878</v>
      </c>
      <c r="J2113" s="64" t="n">
        <v>0</v>
      </c>
      <c r="K2113" s="62" t="s">
        <v>42</v>
      </c>
      <c r="L2113" s="68" t="b">
        <f aca="false">TRUE()</f>
        <v>1</v>
      </c>
    </row>
    <row r="2114" customFormat="false" ht="15" hidden="false" customHeight="false" outlineLevel="0" collapsed="false">
      <c r="A2114" s="62" t="n">
        <v>0</v>
      </c>
      <c r="B2114" s="21" t="s">
        <v>336</v>
      </c>
      <c r="C2114" s="62" t="s">
        <v>60</v>
      </c>
      <c r="D2114" s="62" t="s">
        <v>384</v>
      </c>
      <c r="E2114" s="62" t="s">
        <v>382</v>
      </c>
      <c r="F2114" s="62" t="s">
        <v>382</v>
      </c>
      <c r="G2114" s="63" t="s">
        <v>577</v>
      </c>
      <c r="H2114" s="64" t="n">
        <v>0</v>
      </c>
      <c r="I2114" s="62" t="s">
        <v>878</v>
      </c>
      <c r="J2114" s="64" t="n">
        <v>0</v>
      </c>
      <c r="K2114" s="62" t="s">
        <v>42</v>
      </c>
      <c r="L2114" s="68" t="b">
        <f aca="false">TRUE()</f>
        <v>1</v>
      </c>
    </row>
    <row r="2115" customFormat="false" ht="15" hidden="false" customHeight="false" outlineLevel="0" collapsed="false">
      <c r="A2115" s="62" t="n">
        <v>0</v>
      </c>
      <c r="B2115" s="21" t="s">
        <v>336</v>
      </c>
      <c r="C2115" s="62" t="s">
        <v>60</v>
      </c>
      <c r="D2115" s="62" t="s">
        <v>385</v>
      </c>
      <c r="E2115" s="62" t="s">
        <v>382</v>
      </c>
      <c r="F2115" s="62" t="s">
        <v>382</v>
      </c>
      <c r="G2115" s="63" t="s">
        <v>577</v>
      </c>
      <c r="H2115" s="64" t="n">
        <v>0</v>
      </c>
      <c r="I2115" s="62" t="s">
        <v>878</v>
      </c>
      <c r="J2115" s="64" t="n">
        <v>0</v>
      </c>
      <c r="K2115" s="62" t="s">
        <v>42</v>
      </c>
      <c r="L2115" s="68" t="b">
        <f aca="false">TRUE()</f>
        <v>1</v>
      </c>
    </row>
    <row r="2116" customFormat="false" ht="15" hidden="false" customHeight="false" outlineLevel="0" collapsed="false">
      <c r="A2116" s="62" t="n">
        <v>0</v>
      </c>
      <c r="B2116" s="21" t="s">
        <v>336</v>
      </c>
      <c r="C2116" s="62" t="s">
        <v>60</v>
      </c>
      <c r="D2116" s="62" t="s">
        <v>386</v>
      </c>
      <c r="E2116" s="62" t="s">
        <v>382</v>
      </c>
      <c r="F2116" s="62" t="s">
        <v>382</v>
      </c>
      <c r="G2116" s="63" t="s">
        <v>577</v>
      </c>
      <c r="H2116" s="64" t="n">
        <v>0</v>
      </c>
      <c r="I2116" s="62" t="s">
        <v>878</v>
      </c>
      <c r="J2116" s="64" t="n">
        <v>0</v>
      </c>
      <c r="K2116" s="62" t="s">
        <v>42</v>
      </c>
      <c r="L2116" s="68" t="b">
        <f aca="false">TRUE()</f>
        <v>1</v>
      </c>
    </row>
    <row r="2117" customFormat="false" ht="15" hidden="false" customHeight="false" outlineLevel="0" collapsed="false">
      <c r="A2117" s="62" t="n">
        <v>0</v>
      </c>
      <c r="B2117" s="21" t="s">
        <v>336</v>
      </c>
      <c r="C2117" s="62" t="s">
        <v>60</v>
      </c>
      <c r="D2117" s="62" t="s">
        <v>387</v>
      </c>
      <c r="E2117" s="62" t="s">
        <v>382</v>
      </c>
      <c r="F2117" s="62" t="s">
        <v>382</v>
      </c>
      <c r="G2117" s="63" t="s">
        <v>577</v>
      </c>
      <c r="H2117" s="64" t="n">
        <v>0</v>
      </c>
      <c r="I2117" s="62" t="s">
        <v>878</v>
      </c>
      <c r="J2117" s="64" t="n">
        <v>0</v>
      </c>
      <c r="K2117" s="62" t="s">
        <v>42</v>
      </c>
      <c r="L2117" s="68" t="b">
        <f aca="false">TRUE()</f>
        <v>1</v>
      </c>
    </row>
    <row r="2118" customFormat="false" ht="15" hidden="false" customHeight="false" outlineLevel="0" collapsed="false">
      <c r="A2118" s="62" t="n">
        <v>0</v>
      </c>
      <c r="B2118" s="21" t="s">
        <v>336</v>
      </c>
      <c r="C2118" s="62" t="s">
        <v>60</v>
      </c>
      <c r="D2118" s="62" t="s">
        <v>388</v>
      </c>
      <c r="E2118" s="62" t="s">
        <v>382</v>
      </c>
      <c r="F2118" s="62" t="s">
        <v>382</v>
      </c>
      <c r="G2118" s="63" t="s">
        <v>577</v>
      </c>
      <c r="H2118" s="64" t="n">
        <v>0</v>
      </c>
      <c r="I2118" s="62" t="s">
        <v>878</v>
      </c>
      <c r="J2118" s="64" t="n">
        <v>0</v>
      </c>
      <c r="K2118" s="62" t="s">
        <v>42</v>
      </c>
      <c r="L2118" s="68" t="b">
        <f aca="false">TRUE()</f>
        <v>1</v>
      </c>
    </row>
    <row r="2119" customFormat="false" ht="15" hidden="false" customHeight="false" outlineLevel="0" collapsed="false">
      <c r="A2119" s="62" t="n">
        <v>0</v>
      </c>
      <c r="B2119" s="21" t="s">
        <v>336</v>
      </c>
      <c r="C2119" s="62" t="s">
        <v>60</v>
      </c>
      <c r="D2119" s="62" t="s">
        <v>381</v>
      </c>
      <c r="E2119" s="62" t="s">
        <v>382</v>
      </c>
      <c r="F2119" s="62" t="s">
        <v>382</v>
      </c>
      <c r="G2119" s="63" t="s">
        <v>578</v>
      </c>
      <c r="H2119" s="64" t="n">
        <v>0</v>
      </c>
      <c r="I2119" s="62" t="s">
        <v>878</v>
      </c>
      <c r="J2119" s="64" t="n">
        <v>0</v>
      </c>
      <c r="K2119" s="62" t="s">
        <v>42</v>
      </c>
      <c r="L2119" s="68" t="b">
        <f aca="false">TRUE()</f>
        <v>1</v>
      </c>
    </row>
    <row r="2120" customFormat="false" ht="15" hidden="false" customHeight="false" outlineLevel="0" collapsed="false">
      <c r="A2120" s="62" t="n">
        <v>0</v>
      </c>
      <c r="B2120" s="21" t="s">
        <v>336</v>
      </c>
      <c r="C2120" s="62" t="s">
        <v>60</v>
      </c>
      <c r="D2120" s="62" t="s">
        <v>383</v>
      </c>
      <c r="E2120" s="62" t="s">
        <v>382</v>
      </c>
      <c r="F2120" s="62" t="s">
        <v>382</v>
      </c>
      <c r="G2120" s="63" t="s">
        <v>578</v>
      </c>
      <c r="H2120" s="64" t="n">
        <v>0</v>
      </c>
      <c r="I2120" s="62" t="s">
        <v>878</v>
      </c>
      <c r="J2120" s="64" t="n">
        <v>0</v>
      </c>
      <c r="K2120" s="62" t="s">
        <v>42</v>
      </c>
      <c r="L2120" s="68" t="b">
        <f aca="false">TRUE()</f>
        <v>1</v>
      </c>
    </row>
    <row r="2121" customFormat="false" ht="15" hidden="false" customHeight="false" outlineLevel="0" collapsed="false">
      <c r="A2121" s="62" t="n">
        <v>0</v>
      </c>
      <c r="B2121" s="21" t="s">
        <v>336</v>
      </c>
      <c r="C2121" s="62" t="s">
        <v>60</v>
      </c>
      <c r="D2121" s="62" t="s">
        <v>384</v>
      </c>
      <c r="E2121" s="62" t="s">
        <v>382</v>
      </c>
      <c r="F2121" s="62" t="s">
        <v>382</v>
      </c>
      <c r="G2121" s="63" t="s">
        <v>578</v>
      </c>
      <c r="H2121" s="64" t="n">
        <v>0</v>
      </c>
      <c r="I2121" s="62" t="s">
        <v>878</v>
      </c>
      <c r="J2121" s="64" t="n">
        <v>0</v>
      </c>
      <c r="K2121" s="62" t="s">
        <v>42</v>
      </c>
      <c r="L2121" s="68" t="b">
        <f aca="false">TRUE()</f>
        <v>1</v>
      </c>
    </row>
    <row r="2122" customFormat="false" ht="15" hidden="false" customHeight="false" outlineLevel="0" collapsed="false">
      <c r="A2122" s="62" t="n">
        <v>0</v>
      </c>
      <c r="B2122" s="21" t="s">
        <v>336</v>
      </c>
      <c r="C2122" s="62" t="s">
        <v>60</v>
      </c>
      <c r="D2122" s="62" t="s">
        <v>385</v>
      </c>
      <c r="E2122" s="62" t="s">
        <v>382</v>
      </c>
      <c r="F2122" s="62" t="s">
        <v>382</v>
      </c>
      <c r="G2122" s="63" t="s">
        <v>578</v>
      </c>
      <c r="H2122" s="64" t="n">
        <v>0</v>
      </c>
      <c r="I2122" s="62" t="s">
        <v>878</v>
      </c>
      <c r="J2122" s="64" t="n">
        <v>0</v>
      </c>
      <c r="K2122" s="62" t="s">
        <v>42</v>
      </c>
      <c r="L2122" s="68" t="b">
        <f aca="false">TRUE()</f>
        <v>1</v>
      </c>
    </row>
    <row r="2123" customFormat="false" ht="15" hidden="false" customHeight="false" outlineLevel="0" collapsed="false">
      <c r="A2123" s="62" t="n">
        <v>0</v>
      </c>
      <c r="B2123" s="21" t="s">
        <v>336</v>
      </c>
      <c r="C2123" s="62" t="s">
        <v>60</v>
      </c>
      <c r="D2123" s="62" t="s">
        <v>386</v>
      </c>
      <c r="E2123" s="62" t="s">
        <v>382</v>
      </c>
      <c r="F2123" s="62" t="s">
        <v>382</v>
      </c>
      <c r="G2123" s="63" t="s">
        <v>578</v>
      </c>
      <c r="H2123" s="64" t="n">
        <v>0</v>
      </c>
      <c r="I2123" s="62" t="s">
        <v>878</v>
      </c>
      <c r="J2123" s="64" t="n">
        <v>0</v>
      </c>
      <c r="K2123" s="62" t="s">
        <v>42</v>
      </c>
      <c r="L2123" s="68" t="b">
        <f aca="false">TRUE()</f>
        <v>1</v>
      </c>
    </row>
    <row r="2124" customFormat="false" ht="15" hidden="false" customHeight="false" outlineLevel="0" collapsed="false">
      <c r="A2124" s="62" t="n">
        <v>0</v>
      </c>
      <c r="B2124" s="21" t="s">
        <v>336</v>
      </c>
      <c r="C2124" s="62" t="s">
        <v>60</v>
      </c>
      <c r="D2124" s="62" t="s">
        <v>387</v>
      </c>
      <c r="E2124" s="62" t="s">
        <v>382</v>
      </c>
      <c r="F2124" s="62" t="s">
        <v>382</v>
      </c>
      <c r="G2124" s="63" t="s">
        <v>578</v>
      </c>
      <c r="H2124" s="64" t="n">
        <v>0</v>
      </c>
      <c r="I2124" s="62" t="s">
        <v>878</v>
      </c>
      <c r="J2124" s="64" t="n">
        <v>0</v>
      </c>
      <c r="K2124" s="62" t="s">
        <v>42</v>
      </c>
      <c r="L2124" s="68" t="b">
        <f aca="false">TRUE()</f>
        <v>1</v>
      </c>
    </row>
    <row r="2125" customFormat="false" ht="15" hidden="false" customHeight="false" outlineLevel="0" collapsed="false">
      <c r="A2125" s="62" t="n">
        <v>0</v>
      </c>
      <c r="B2125" s="21" t="s">
        <v>336</v>
      </c>
      <c r="C2125" s="62" t="s">
        <v>60</v>
      </c>
      <c r="D2125" s="62" t="s">
        <v>388</v>
      </c>
      <c r="E2125" s="62" t="s">
        <v>382</v>
      </c>
      <c r="F2125" s="62" t="s">
        <v>382</v>
      </c>
      <c r="G2125" s="63" t="s">
        <v>578</v>
      </c>
      <c r="H2125" s="64" t="n">
        <v>0</v>
      </c>
      <c r="I2125" s="62" t="s">
        <v>878</v>
      </c>
      <c r="J2125" s="64" t="n">
        <v>0</v>
      </c>
      <c r="K2125" s="62" t="s">
        <v>42</v>
      </c>
      <c r="L2125" s="68" t="b">
        <f aca="false">TRUE()</f>
        <v>1</v>
      </c>
    </row>
    <row r="2126" customFormat="false" ht="15" hidden="false" customHeight="false" outlineLevel="0" collapsed="false">
      <c r="A2126" s="62" t="n">
        <v>0</v>
      </c>
      <c r="B2126" s="21" t="s">
        <v>336</v>
      </c>
      <c r="C2126" s="62" t="s">
        <v>60</v>
      </c>
      <c r="D2126" s="62" t="s">
        <v>381</v>
      </c>
      <c r="E2126" s="62" t="s">
        <v>382</v>
      </c>
      <c r="F2126" s="62" t="s">
        <v>382</v>
      </c>
      <c r="G2126" s="63" t="s">
        <v>579</v>
      </c>
      <c r="H2126" s="64" t="n">
        <v>1.5</v>
      </c>
      <c r="I2126" s="62" t="s">
        <v>878</v>
      </c>
      <c r="J2126" s="64" t="n">
        <v>150</v>
      </c>
      <c r="K2126" s="62" t="s">
        <v>42</v>
      </c>
      <c r="L2126" s="68" t="b">
        <f aca="false">FALSE()</f>
        <v>0</v>
      </c>
    </row>
    <row r="2127" customFormat="false" ht="15" hidden="false" customHeight="false" outlineLevel="0" collapsed="false">
      <c r="A2127" s="62" t="n">
        <v>0</v>
      </c>
      <c r="B2127" s="21" t="s">
        <v>336</v>
      </c>
      <c r="C2127" s="62" t="s">
        <v>60</v>
      </c>
      <c r="D2127" s="62" t="s">
        <v>383</v>
      </c>
      <c r="E2127" s="62" t="s">
        <v>382</v>
      </c>
      <c r="F2127" s="62" t="s">
        <v>382</v>
      </c>
      <c r="G2127" s="63" t="s">
        <v>579</v>
      </c>
      <c r="H2127" s="64" t="n">
        <v>1.5</v>
      </c>
      <c r="I2127" s="62" t="s">
        <v>878</v>
      </c>
      <c r="J2127" s="64" t="n">
        <v>150</v>
      </c>
      <c r="K2127" s="62" t="s">
        <v>42</v>
      </c>
      <c r="L2127" s="68" t="b">
        <f aca="false">FALSE()</f>
        <v>0</v>
      </c>
    </row>
    <row r="2128" customFormat="false" ht="15" hidden="false" customHeight="false" outlineLevel="0" collapsed="false">
      <c r="A2128" s="62" t="n">
        <v>0</v>
      </c>
      <c r="B2128" s="21" t="s">
        <v>336</v>
      </c>
      <c r="C2128" s="62" t="s">
        <v>60</v>
      </c>
      <c r="D2128" s="62" t="s">
        <v>384</v>
      </c>
      <c r="E2128" s="62" t="s">
        <v>382</v>
      </c>
      <c r="F2128" s="62" t="s">
        <v>382</v>
      </c>
      <c r="G2128" s="63" t="s">
        <v>579</v>
      </c>
      <c r="H2128" s="64" t="n">
        <v>1.5</v>
      </c>
      <c r="I2128" s="62" t="s">
        <v>878</v>
      </c>
      <c r="J2128" s="64" t="n">
        <v>150</v>
      </c>
      <c r="K2128" s="62" t="s">
        <v>42</v>
      </c>
      <c r="L2128" s="68" t="b">
        <f aca="false">FALSE()</f>
        <v>0</v>
      </c>
    </row>
    <row r="2129" customFormat="false" ht="15" hidden="false" customHeight="false" outlineLevel="0" collapsed="false">
      <c r="A2129" s="62" t="n">
        <v>0</v>
      </c>
      <c r="B2129" s="21" t="s">
        <v>336</v>
      </c>
      <c r="C2129" s="62" t="s">
        <v>60</v>
      </c>
      <c r="D2129" s="62" t="s">
        <v>385</v>
      </c>
      <c r="E2129" s="62" t="s">
        <v>382</v>
      </c>
      <c r="F2129" s="62" t="s">
        <v>382</v>
      </c>
      <c r="G2129" s="63" t="s">
        <v>579</v>
      </c>
      <c r="H2129" s="64" t="n">
        <v>1.5</v>
      </c>
      <c r="I2129" s="62" t="s">
        <v>878</v>
      </c>
      <c r="J2129" s="64" t="n">
        <v>150</v>
      </c>
      <c r="K2129" s="62" t="s">
        <v>42</v>
      </c>
      <c r="L2129" s="68" t="b">
        <f aca="false">FALSE()</f>
        <v>0</v>
      </c>
    </row>
    <row r="2130" customFormat="false" ht="15" hidden="false" customHeight="false" outlineLevel="0" collapsed="false">
      <c r="A2130" s="62" t="n">
        <v>0</v>
      </c>
      <c r="B2130" s="21" t="s">
        <v>336</v>
      </c>
      <c r="C2130" s="62" t="s">
        <v>60</v>
      </c>
      <c r="D2130" s="62" t="s">
        <v>386</v>
      </c>
      <c r="E2130" s="62" t="s">
        <v>382</v>
      </c>
      <c r="F2130" s="62" t="s">
        <v>382</v>
      </c>
      <c r="G2130" s="63" t="s">
        <v>579</v>
      </c>
      <c r="H2130" s="64" t="n">
        <v>1.5</v>
      </c>
      <c r="I2130" s="62" t="s">
        <v>878</v>
      </c>
      <c r="J2130" s="64" t="n">
        <v>150</v>
      </c>
      <c r="K2130" s="62" t="s">
        <v>42</v>
      </c>
      <c r="L2130" s="68" t="b">
        <f aca="false">FALSE()</f>
        <v>0</v>
      </c>
    </row>
    <row r="2131" customFormat="false" ht="15" hidden="false" customHeight="false" outlineLevel="0" collapsed="false">
      <c r="A2131" s="62" t="n">
        <v>0</v>
      </c>
      <c r="B2131" s="21" t="s">
        <v>336</v>
      </c>
      <c r="C2131" s="62" t="s">
        <v>60</v>
      </c>
      <c r="D2131" s="62" t="s">
        <v>387</v>
      </c>
      <c r="E2131" s="62" t="s">
        <v>382</v>
      </c>
      <c r="F2131" s="62" t="s">
        <v>382</v>
      </c>
      <c r="G2131" s="63" t="s">
        <v>579</v>
      </c>
      <c r="H2131" s="64" t="n">
        <v>1.5</v>
      </c>
      <c r="I2131" s="62" t="s">
        <v>878</v>
      </c>
      <c r="J2131" s="64" t="n">
        <v>150</v>
      </c>
      <c r="K2131" s="62" t="s">
        <v>42</v>
      </c>
      <c r="L2131" s="68" t="b">
        <f aca="false">FALSE()</f>
        <v>0</v>
      </c>
    </row>
    <row r="2132" customFormat="false" ht="15" hidden="false" customHeight="false" outlineLevel="0" collapsed="false">
      <c r="A2132" s="62" t="n">
        <v>0</v>
      </c>
      <c r="B2132" s="21" t="s">
        <v>336</v>
      </c>
      <c r="C2132" s="62" t="s">
        <v>60</v>
      </c>
      <c r="D2132" s="62" t="s">
        <v>388</v>
      </c>
      <c r="E2132" s="62" t="s">
        <v>382</v>
      </c>
      <c r="F2132" s="62" t="s">
        <v>382</v>
      </c>
      <c r="G2132" s="63" t="s">
        <v>579</v>
      </c>
      <c r="H2132" s="64" t="n">
        <v>1.5</v>
      </c>
      <c r="I2132" s="62" t="s">
        <v>878</v>
      </c>
      <c r="J2132" s="64" t="n">
        <v>150</v>
      </c>
      <c r="K2132" s="62" t="s">
        <v>42</v>
      </c>
      <c r="L2132" s="68" t="b">
        <f aca="false">FALSE()</f>
        <v>0</v>
      </c>
    </row>
    <row r="2133" customFormat="false" ht="15" hidden="false" customHeight="false" outlineLevel="0" collapsed="false">
      <c r="A2133" s="62" t="n">
        <v>0</v>
      </c>
      <c r="B2133" s="21" t="s">
        <v>336</v>
      </c>
      <c r="C2133" s="62" t="s">
        <v>60</v>
      </c>
      <c r="D2133" s="62" t="s">
        <v>381</v>
      </c>
      <c r="E2133" s="62" t="s">
        <v>382</v>
      </c>
      <c r="F2133" s="62" t="s">
        <v>382</v>
      </c>
      <c r="G2133" s="63" t="s">
        <v>580</v>
      </c>
      <c r="H2133" s="64" t="n">
        <v>0.95</v>
      </c>
      <c r="I2133" s="62" t="s">
        <v>878</v>
      </c>
      <c r="J2133" s="64" t="n">
        <v>95</v>
      </c>
      <c r="K2133" s="62" t="s">
        <v>42</v>
      </c>
      <c r="L2133" s="68" t="b">
        <f aca="false">FALSE()</f>
        <v>0</v>
      </c>
    </row>
    <row r="2134" customFormat="false" ht="15" hidden="false" customHeight="false" outlineLevel="0" collapsed="false">
      <c r="A2134" s="62" t="n">
        <v>0</v>
      </c>
      <c r="B2134" s="21" t="s">
        <v>336</v>
      </c>
      <c r="C2134" s="62" t="s">
        <v>60</v>
      </c>
      <c r="D2134" s="62" t="s">
        <v>383</v>
      </c>
      <c r="E2134" s="62" t="s">
        <v>382</v>
      </c>
      <c r="F2134" s="62" t="s">
        <v>382</v>
      </c>
      <c r="G2134" s="63" t="s">
        <v>580</v>
      </c>
      <c r="H2134" s="64" t="n">
        <v>0.95</v>
      </c>
      <c r="I2134" s="62" t="s">
        <v>878</v>
      </c>
      <c r="J2134" s="64" t="n">
        <v>95</v>
      </c>
      <c r="K2134" s="62" t="s">
        <v>42</v>
      </c>
      <c r="L2134" s="68" t="b">
        <f aca="false">FALSE()</f>
        <v>0</v>
      </c>
    </row>
    <row r="2135" customFormat="false" ht="15" hidden="false" customHeight="false" outlineLevel="0" collapsed="false">
      <c r="A2135" s="62" t="n">
        <v>0</v>
      </c>
      <c r="B2135" s="21" t="s">
        <v>336</v>
      </c>
      <c r="C2135" s="62" t="s">
        <v>60</v>
      </c>
      <c r="D2135" s="62" t="s">
        <v>384</v>
      </c>
      <c r="E2135" s="62" t="s">
        <v>382</v>
      </c>
      <c r="F2135" s="62" t="s">
        <v>382</v>
      </c>
      <c r="G2135" s="63" t="s">
        <v>580</v>
      </c>
      <c r="H2135" s="64" t="n">
        <v>0.95</v>
      </c>
      <c r="I2135" s="62" t="s">
        <v>878</v>
      </c>
      <c r="J2135" s="64" t="n">
        <v>95</v>
      </c>
      <c r="K2135" s="62" t="s">
        <v>42</v>
      </c>
      <c r="L2135" s="68" t="b">
        <f aca="false">FALSE()</f>
        <v>0</v>
      </c>
    </row>
    <row r="2136" customFormat="false" ht="15" hidden="false" customHeight="false" outlineLevel="0" collapsed="false">
      <c r="A2136" s="62" t="n">
        <v>0</v>
      </c>
      <c r="B2136" s="21" t="s">
        <v>336</v>
      </c>
      <c r="C2136" s="62" t="s">
        <v>60</v>
      </c>
      <c r="D2136" s="62" t="s">
        <v>385</v>
      </c>
      <c r="E2136" s="62" t="s">
        <v>382</v>
      </c>
      <c r="F2136" s="62" t="s">
        <v>382</v>
      </c>
      <c r="G2136" s="63" t="s">
        <v>580</v>
      </c>
      <c r="H2136" s="64" t="n">
        <v>0.95</v>
      </c>
      <c r="I2136" s="62" t="s">
        <v>878</v>
      </c>
      <c r="J2136" s="64" t="n">
        <v>95</v>
      </c>
      <c r="K2136" s="62" t="s">
        <v>42</v>
      </c>
      <c r="L2136" s="68" t="b">
        <f aca="false">FALSE()</f>
        <v>0</v>
      </c>
    </row>
    <row r="2137" customFormat="false" ht="15" hidden="false" customHeight="false" outlineLevel="0" collapsed="false">
      <c r="A2137" s="62" t="n">
        <v>0</v>
      </c>
      <c r="B2137" s="21" t="s">
        <v>336</v>
      </c>
      <c r="C2137" s="62" t="s">
        <v>60</v>
      </c>
      <c r="D2137" s="62" t="s">
        <v>386</v>
      </c>
      <c r="E2137" s="62" t="s">
        <v>382</v>
      </c>
      <c r="F2137" s="62" t="s">
        <v>382</v>
      </c>
      <c r="G2137" s="63" t="s">
        <v>580</v>
      </c>
      <c r="H2137" s="64" t="n">
        <v>0.95</v>
      </c>
      <c r="I2137" s="62" t="s">
        <v>878</v>
      </c>
      <c r="J2137" s="64" t="n">
        <v>95</v>
      </c>
      <c r="K2137" s="62" t="s">
        <v>42</v>
      </c>
      <c r="L2137" s="68" t="b">
        <f aca="false">FALSE()</f>
        <v>0</v>
      </c>
    </row>
    <row r="2138" customFormat="false" ht="15" hidden="false" customHeight="false" outlineLevel="0" collapsed="false">
      <c r="A2138" s="62" t="n">
        <v>0</v>
      </c>
      <c r="B2138" s="21" t="s">
        <v>336</v>
      </c>
      <c r="C2138" s="62" t="s">
        <v>60</v>
      </c>
      <c r="D2138" s="62" t="s">
        <v>387</v>
      </c>
      <c r="E2138" s="62" t="s">
        <v>382</v>
      </c>
      <c r="F2138" s="62" t="s">
        <v>382</v>
      </c>
      <c r="G2138" s="63" t="s">
        <v>580</v>
      </c>
      <c r="H2138" s="64" t="n">
        <v>0.95</v>
      </c>
      <c r="I2138" s="62" t="s">
        <v>878</v>
      </c>
      <c r="J2138" s="64" t="n">
        <v>95</v>
      </c>
      <c r="K2138" s="62" t="s">
        <v>42</v>
      </c>
      <c r="L2138" s="68" t="b">
        <f aca="false">FALSE()</f>
        <v>0</v>
      </c>
    </row>
    <row r="2139" customFormat="false" ht="15" hidden="false" customHeight="false" outlineLevel="0" collapsed="false">
      <c r="A2139" s="62" t="n">
        <v>0</v>
      </c>
      <c r="B2139" s="21" t="s">
        <v>336</v>
      </c>
      <c r="C2139" s="62" t="s">
        <v>60</v>
      </c>
      <c r="D2139" s="62" t="s">
        <v>388</v>
      </c>
      <c r="E2139" s="62" t="s">
        <v>382</v>
      </c>
      <c r="F2139" s="62" t="s">
        <v>382</v>
      </c>
      <c r="G2139" s="63" t="s">
        <v>580</v>
      </c>
      <c r="H2139" s="64" t="n">
        <v>0.95</v>
      </c>
      <c r="I2139" s="62" t="s">
        <v>878</v>
      </c>
      <c r="J2139" s="64" t="n">
        <v>95</v>
      </c>
      <c r="K2139" s="62" t="s">
        <v>42</v>
      </c>
      <c r="L2139" s="68" t="b">
        <f aca="false">FALSE()</f>
        <v>0</v>
      </c>
    </row>
    <row r="2140" customFormat="false" ht="15" hidden="false" customHeight="false" outlineLevel="0" collapsed="false">
      <c r="A2140" s="62" t="n">
        <v>0</v>
      </c>
      <c r="B2140" s="21" t="s">
        <v>336</v>
      </c>
      <c r="C2140" s="62" t="s">
        <v>60</v>
      </c>
      <c r="D2140" s="62" t="s">
        <v>381</v>
      </c>
      <c r="E2140" s="62" t="s">
        <v>382</v>
      </c>
      <c r="F2140" s="62" t="s">
        <v>382</v>
      </c>
      <c r="G2140" s="63" t="s">
        <v>581</v>
      </c>
      <c r="H2140" s="64" t="n">
        <v>0.07</v>
      </c>
      <c r="I2140" s="62" t="s">
        <v>878</v>
      </c>
      <c r="J2140" s="64" t="n">
        <v>7</v>
      </c>
      <c r="K2140" s="62" t="s">
        <v>42</v>
      </c>
      <c r="L2140" s="68" t="b">
        <f aca="false">FALSE()</f>
        <v>0</v>
      </c>
    </row>
    <row r="2141" customFormat="false" ht="15" hidden="false" customHeight="false" outlineLevel="0" collapsed="false">
      <c r="A2141" s="62" t="n">
        <v>0</v>
      </c>
      <c r="B2141" s="21" t="s">
        <v>336</v>
      </c>
      <c r="C2141" s="62" t="s">
        <v>60</v>
      </c>
      <c r="D2141" s="62" t="s">
        <v>383</v>
      </c>
      <c r="E2141" s="62" t="s">
        <v>382</v>
      </c>
      <c r="F2141" s="62" t="s">
        <v>382</v>
      </c>
      <c r="G2141" s="63" t="s">
        <v>581</v>
      </c>
      <c r="H2141" s="64" t="n">
        <v>0.07</v>
      </c>
      <c r="I2141" s="62" t="s">
        <v>878</v>
      </c>
      <c r="J2141" s="64" t="n">
        <v>7</v>
      </c>
      <c r="K2141" s="62" t="s">
        <v>42</v>
      </c>
      <c r="L2141" s="68" t="b">
        <f aca="false">FALSE()</f>
        <v>0</v>
      </c>
    </row>
    <row r="2142" customFormat="false" ht="15" hidden="false" customHeight="false" outlineLevel="0" collapsed="false">
      <c r="A2142" s="62" t="n">
        <v>0</v>
      </c>
      <c r="B2142" s="21" t="s">
        <v>336</v>
      </c>
      <c r="C2142" s="62" t="s">
        <v>60</v>
      </c>
      <c r="D2142" s="62" t="s">
        <v>384</v>
      </c>
      <c r="E2142" s="62" t="s">
        <v>382</v>
      </c>
      <c r="F2142" s="62" t="s">
        <v>382</v>
      </c>
      <c r="G2142" s="63" t="s">
        <v>581</v>
      </c>
      <c r="H2142" s="64" t="n">
        <v>0.07</v>
      </c>
      <c r="I2142" s="62" t="s">
        <v>878</v>
      </c>
      <c r="J2142" s="64" t="n">
        <v>7</v>
      </c>
      <c r="K2142" s="62" t="s">
        <v>42</v>
      </c>
      <c r="L2142" s="68" t="b">
        <f aca="false">FALSE()</f>
        <v>0</v>
      </c>
    </row>
    <row r="2143" customFormat="false" ht="15" hidden="false" customHeight="false" outlineLevel="0" collapsed="false">
      <c r="A2143" s="62" t="n">
        <v>0</v>
      </c>
      <c r="B2143" s="21" t="s">
        <v>336</v>
      </c>
      <c r="C2143" s="62" t="s">
        <v>60</v>
      </c>
      <c r="D2143" s="62" t="s">
        <v>385</v>
      </c>
      <c r="E2143" s="62" t="s">
        <v>382</v>
      </c>
      <c r="F2143" s="62" t="s">
        <v>382</v>
      </c>
      <c r="G2143" s="63" t="s">
        <v>581</v>
      </c>
      <c r="H2143" s="64" t="n">
        <v>0.07</v>
      </c>
      <c r="I2143" s="62" t="s">
        <v>878</v>
      </c>
      <c r="J2143" s="64" t="n">
        <v>7</v>
      </c>
      <c r="K2143" s="62" t="s">
        <v>42</v>
      </c>
      <c r="L2143" s="68" t="b">
        <f aca="false">FALSE()</f>
        <v>0</v>
      </c>
    </row>
    <row r="2144" customFormat="false" ht="15" hidden="false" customHeight="false" outlineLevel="0" collapsed="false">
      <c r="A2144" s="62" t="n">
        <v>0</v>
      </c>
      <c r="B2144" s="21" t="s">
        <v>336</v>
      </c>
      <c r="C2144" s="62" t="s">
        <v>60</v>
      </c>
      <c r="D2144" s="62" t="s">
        <v>386</v>
      </c>
      <c r="E2144" s="62" t="s">
        <v>382</v>
      </c>
      <c r="F2144" s="62" t="s">
        <v>382</v>
      </c>
      <c r="G2144" s="63" t="s">
        <v>581</v>
      </c>
      <c r="H2144" s="64" t="n">
        <v>0.07</v>
      </c>
      <c r="I2144" s="62" t="s">
        <v>878</v>
      </c>
      <c r="J2144" s="64" t="n">
        <v>7</v>
      </c>
      <c r="K2144" s="62" t="s">
        <v>42</v>
      </c>
      <c r="L2144" s="68" t="b">
        <f aca="false">FALSE()</f>
        <v>0</v>
      </c>
    </row>
    <row r="2145" customFormat="false" ht="15" hidden="false" customHeight="false" outlineLevel="0" collapsed="false">
      <c r="A2145" s="62" t="n">
        <v>0</v>
      </c>
      <c r="B2145" s="21" t="s">
        <v>336</v>
      </c>
      <c r="C2145" s="62" t="s">
        <v>60</v>
      </c>
      <c r="D2145" s="62" t="s">
        <v>387</v>
      </c>
      <c r="E2145" s="62" t="s">
        <v>382</v>
      </c>
      <c r="F2145" s="62" t="s">
        <v>382</v>
      </c>
      <c r="G2145" s="63" t="s">
        <v>581</v>
      </c>
      <c r="H2145" s="64" t="n">
        <v>0.07</v>
      </c>
      <c r="I2145" s="62" t="s">
        <v>878</v>
      </c>
      <c r="J2145" s="64" t="n">
        <v>7</v>
      </c>
      <c r="K2145" s="62" t="s">
        <v>42</v>
      </c>
      <c r="L2145" s="68" t="b">
        <f aca="false">FALSE()</f>
        <v>0</v>
      </c>
    </row>
    <row r="2146" customFormat="false" ht="15" hidden="false" customHeight="false" outlineLevel="0" collapsed="false">
      <c r="A2146" s="62" t="n">
        <v>0</v>
      </c>
      <c r="B2146" s="21" t="s">
        <v>336</v>
      </c>
      <c r="C2146" s="62" t="s">
        <v>60</v>
      </c>
      <c r="D2146" s="62" t="s">
        <v>388</v>
      </c>
      <c r="E2146" s="62" t="s">
        <v>382</v>
      </c>
      <c r="F2146" s="62" t="s">
        <v>382</v>
      </c>
      <c r="G2146" s="63" t="s">
        <v>581</v>
      </c>
      <c r="H2146" s="64" t="n">
        <v>0.07</v>
      </c>
      <c r="I2146" s="62" t="s">
        <v>878</v>
      </c>
      <c r="J2146" s="64" t="n">
        <v>7</v>
      </c>
      <c r="K2146" s="62" t="s">
        <v>42</v>
      </c>
      <c r="L2146" s="68" t="b">
        <f aca="false">FALSE()</f>
        <v>0</v>
      </c>
    </row>
    <row r="2147" customFormat="false" ht="15" hidden="false" customHeight="false" outlineLevel="0" collapsed="false">
      <c r="A2147" s="62" t="n">
        <v>0</v>
      </c>
      <c r="B2147" s="21" t="s">
        <v>336</v>
      </c>
      <c r="C2147" s="62" t="s">
        <v>60</v>
      </c>
      <c r="D2147" s="62" t="s">
        <v>381</v>
      </c>
      <c r="E2147" s="62" t="s">
        <v>382</v>
      </c>
      <c r="F2147" s="62" t="s">
        <v>382</v>
      </c>
      <c r="G2147" s="63" t="s">
        <v>582</v>
      </c>
      <c r="H2147" s="64" t="n">
        <v>0.02</v>
      </c>
      <c r="I2147" s="62" t="s">
        <v>878</v>
      </c>
      <c r="J2147" s="64" t="n">
        <v>2</v>
      </c>
      <c r="K2147" s="62" t="s">
        <v>42</v>
      </c>
      <c r="L2147" s="68" t="b">
        <f aca="false">FALSE()</f>
        <v>0</v>
      </c>
    </row>
    <row r="2148" customFormat="false" ht="15" hidden="false" customHeight="false" outlineLevel="0" collapsed="false">
      <c r="A2148" s="62" t="n">
        <v>0</v>
      </c>
      <c r="B2148" s="21" t="s">
        <v>336</v>
      </c>
      <c r="C2148" s="62" t="s">
        <v>60</v>
      </c>
      <c r="D2148" s="62" t="s">
        <v>383</v>
      </c>
      <c r="E2148" s="62" t="s">
        <v>382</v>
      </c>
      <c r="F2148" s="62" t="s">
        <v>382</v>
      </c>
      <c r="G2148" s="63" t="s">
        <v>582</v>
      </c>
      <c r="H2148" s="64" t="n">
        <v>0.02</v>
      </c>
      <c r="I2148" s="62" t="s">
        <v>878</v>
      </c>
      <c r="J2148" s="64" t="n">
        <v>2</v>
      </c>
      <c r="K2148" s="62" t="s">
        <v>42</v>
      </c>
      <c r="L2148" s="68" t="b">
        <f aca="false">FALSE()</f>
        <v>0</v>
      </c>
    </row>
    <row r="2149" customFormat="false" ht="15" hidden="false" customHeight="false" outlineLevel="0" collapsed="false">
      <c r="A2149" s="62" t="n">
        <v>0</v>
      </c>
      <c r="B2149" s="21" t="s">
        <v>336</v>
      </c>
      <c r="C2149" s="62" t="s">
        <v>60</v>
      </c>
      <c r="D2149" s="62" t="s">
        <v>384</v>
      </c>
      <c r="E2149" s="62" t="s">
        <v>382</v>
      </c>
      <c r="F2149" s="62" t="s">
        <v>382</v>
      </c>
      <c r="G2149" s="63" t="s">
        <v>582</v>
      </c>
      <c r="H2149" s="64" t="n">
        <v>0.02</v>
      </c>
      <c r="I2149" s="62" t="s">
        <v>878</v>
      </c>
      <c r="J2149" s="64" t="n">
        <v>2</v>
      </c>
      <c r="K2149" s="62" t="s">
        <v>42</v>
      </c>
      <c r="L2149" s="68" t="b">
        <f aca="false">FALSE()</f>
        <v>0</v>
      </c>
    </row>
    <row r="2150" customFormat="false" ht="15" hidden="false" customHeight="false" outlineLevel="0" collapsed="false">
      <c r="A2150" s="62" t="n">
        <v>0</v>
      </c>
      <c r="B2150" s="21" t="s">
        <v>336</v>
      </c>
      <c r="C2150" s="62" t="s">
        <v>60</v>
      </c>
      <c r="D2150" s="62" t="s">
        <v>385</v>
      </c>
      <c r="E2150" s="62" t="s">
        <v>382</v>
      </c>
      <c r="F2150" s="62" t="s">
        <v>382</v>
      </c>
      <c r="G2150" s="63" t="s">
        <v>582</v>
      </c>
      <c r="H2150" s="64" t="n">
        <v>0.02</v>
      </c>
      <c r="I2150" s="62" t="s">
        <v>878</v>
      </c>
      <c r="J2150" s="64" t="n">
        <v>2</v>
      </c>
      <c r="K2150" s="62" t="s">
        <v>42</v>
      </c>
      <c r="L2150" s="68" t="b">
        <f aca="false">FALSE()</f>
        <v>0</v>
      </c>
    </row>
    <row r="2151" customFormat="false" ht="15" hidden="false" customHeight="false" outlineLevel="0" collapsed="false">
      <c r="A2151" s="62" t="n">
        <v>0</v>
      </c>
      <c r="B2151" s="21" t="s">
        <v>336</v>
      </c>
      <c r="C2151" s="62" t="s">
        <v>60</v>
      </c>
      <c r="D2151" s="62" t="s">
        <v>386</v>
      </c>
      <c r="E2151" s="62" t="s">
        <v>382</v>
      </c>
      <c r="F2151" s="62" t="s">
        <v>382</v>
      </c>
      <c r="G2151" s="63" t="s">
        <v>582</v>
      </c>
      <c r="H2151" s="64" t="n">
        <v>0.02</v>
      </c>
      <c r="I2151" s="62" t="s">
        <v>878</v>
      </c>
      <c r="J2151" s="64" t="n">
        <v>2</v>
      </c>
      <c r="K2151" s="62" t="s">
        <v>42</v>
      </c>
      <c r="L2151" s="68" t="b">
        <f aca="false">FALSE()</f>
        <v>0</v>
      </c>
    </row>
    <row r="2152" customFormat="false" ht="15" hidden="false" customHeight="false" outlineLevel="0" collapsed="false">
      <c r="A2152" s="62" t="n">
        <v>0</v>
      </c>
      <c r="B2152" s="21" t="s">
        <v>336</v>
      </c>
      <c r="C2152" s="62" t="s">
        <v>60</v>
      </c>
      <c r="D2152" s="62" t="s">
        <v>387</v>
      </c>
      <c r="E2152" s="62" t="s">
        <v>382</v>
      </c>
      <c r="F2152" s="62" t="s">
        <v>382</v>
      </c>
      <c r="G2152" s="63" t="s">
        <v>582</v>
      </c>
      <c r="H2152" s="64" t="n">
        <v>0.02</v>
      </c>
      <c r="I2152" s="62" t="s">
        <v>878</v>
      </c>
      <c r="J2152" s="64" t="n">
        <v>2</v>
      </c>
      <c r="K2152" s="62" t="s">
        <v>42</v>
      </c>
      <c r="L2152" s="68" t="b">
        <f aca="false">FALSE()</f>
        <v>0</v>
      </c>
    </row>
    <row r="2153" customFormat="false" ht="15" hidden="false" customHeight="false" outlineLevel="0" collapsed="false">
      <c r="A2153" s="62" t="n">
        <v>0</v>
      </c>
      <c r="B2153" s="21" t="s">
        <v>336</v>
      </c>
      <c r="C2153" s="62" t="s">
        <v>60</v>
      </c>
      <c r="D2153" s="62" t="s">
        <v>388</v>
      </c>
      <c r="E2153" s="62" t="s">
        <v>382</v>
      </c>
      <c r="F2153" s="62" t="s">
        <v>382</v>
      </c>
      <c r="G2153" s="63" t="s">
        <v>582</v>
      </c>
      <c r="H2153" s="64" t="n">
        <v>0.02</v>
      </c>
      <c r="I2153" s="62" t="s">
        <v>878</v>
      </c>
      <c r="J2153" s="64" t="n">
        <v>2</v>
      </c>
      <c r="K2153" s="62" t="s">
        <v>42</v>
      </c>
      <c r="L2153" s="68" t="b">
        <f aca="false">FALSE()</f>
        <v>0</v>
      </c>
    </row>
    <row r="2154" customFormat="false" ht="15" hidden="false" customHeight="false" outlineLevel="0" collapsed="false">
      <c r="A2154" s="62" t="n">
        <v>0</v>
      </c>
      <c r="B2154" s="21" t="s">
        <v>336</v>
      </c>
      <c r="C2154" s="62" t="s">
        <v>60</v>
      </c>
      <c r="D2154" s="62" t="s">
        <v>381</v>
      </c>
      <c r="E2154" s="62" t="s">
        <v>382</v>
      </c>
      <c r="F2154" s="62" t="s">
        <v>382</v>
      </c>
      <c r="G2154" s="63" t="s">
        <v>583</v>
      </c>
      <c r="H2154" s="64" t="n">
        <v>0</v>
      </c>
      <c r="I2154" s="62" t="s">
        <v>878</v>
      </c>
      <c r="J2154" s="64" t="n">
        <v>0</v>
      </c>
      <c r="K2154" s="62" t="s">
        <v>42</v>
      </c>
      <c r="L2154" s="68" t="b">
        <f aca="false">TRUE()</f>
        <v>1</v>
      </c>
    </row>
    <row r="2155" customFormat="false" ht="15" hidden="false" customHeight="false" outlineLevel="0" collapsed="false">
      <c r="A2155" s="62" t="n">
        <v>0</v>
      </c>
      <c r="B2155" s="21" t="s">
        <v>336</v>
      </c>
      <c r="C2155" s="62" t="s">
        <v>60</v>
      </c>
      <c r="D2155" s="62" t="s">
        <v>383</v>
      </c>
      <c r="E2155" s="62" t="s">
        <v>382</v>
      </c>
      <c r="F2155" s="62" t="s">
        <v>382</v>
      </c>
      <c r="G2155" s="63" t="s">
        <v>583</v>
      </c>
      <c r="H2155" s="64" t="n">
        <v>0</v>
      </c>
      <c r="I2155" s="62" t="s">
        <v>878</v>
      </c>
      <c r="J2155" s="64" t="n">
        <v>0</v>
      </c>
      <c r="K2155" s="62" t="s">
        <v>42</v>
      </c>
      <c r="L2155" s="68" t="b">
        <f aca="false">TRUE()</f>
        <v>1</v>
      </c>
    </row>
    <row r="2156" customFormat="false" ht="15" hidden="false" customHeight="false" outlineLevel="0" collapsed="false">
      <c r="A2156" s="62" t="n">
        <v>0</v>
      </c>
      <c r="B2156" s="21" t="s">
        <v>336</v>
      </c>
      <c r="C2156" s="62" t="s">
        <v>60</v>
      </c>
      <c r="D2156" s="62" t="s">
        <v>384</v>
      </c>
      <c r="E2156" s="62" t="s">
        <v>382</v>
      </c>
      <c r="F2156" s="62" t="s">
        <v>382</v>
      </c>
      <c r="G2156" s="63" t="s">
        <v>583</v>
      </c>
      <c r="H2156" s="64" t="n">
        <v>0</v>
      </c>
      <c r="I2156" s="62" t="s">
        <v>878</v>
      </c>
      <c r="J2156" s="64" t="n">
        <v>0</v>
      </c>
      <c r="K2156" s="62" t="s">
        <v>42</v>
      </c>
      <c r="L2156" s="68" t="b">
        <f aca="false">TRUE()</f>
        <v>1</v>
      </c>
    </row>
    <row r="2157" customFormat="false" ht="15" hidden="false" customHeight="false" outlineLevel="0" collapsed="false">
      <c r="A2157" s="62" t="n">
        <v>0</v>
      </c>
      <c r="B2157" s="21" t="s">
        <v>336</v>
      </c>
      <c r="C2157" s="62" t="s">
        <v>60</v>
      </c>
      <c r="D2157" s="62" t="s">
        <v>385</v>
      </c>
      <c r="E2157" s="62" t="s">
        <v>382</v>
      </c>
      <c r="F2157" s="62" t="s">
        <v>382</v>
      </c>
      <c r="G2157" s="63" t="s">
        <v>583</v>
      </c>
      <c r="H2157" s="64" t="n">
        <v>0</v>
      </c>
      <c r="I2157" s="62" t="s">
        <v>878</v>
      </c>
      <c r="J2157" s="64" t="n">
        <v>0</v>
      </c>
      <c r="K2157" s="62" t="s">
        <v>42</v>
      </c>
      <c r="L2157" s="68" t="b">
        <f aca="false">TRUE()</f>
        <v>1</v>
      </c>
    </row>
    <row r="2158" customFormat="false" ht="15" hidden="false" customHeight="false" outlineLevel="0" collapsed="false">
      <c r="A2158" s="62" t="n">
        <v>0</v>
      </c>
      <c r="B2158" s="21" t="s">
        <v>336</v>
      </c>
      <c r="C2158" s="62" t="s">
        <v>60</v>
      </c>
      <c r="D2158" s="62" t="s">
        <v>386</v>
      </c>
      <c r="E2158" s="62" t="s">
        <v>382</v>
      </c>
      <c r="F2158" s="62" t="s">
        <v>382</v>
      </c>
      <c r="G2158" s="63" t="s">
        <v>583</v>
      </c>
      <c r="H2158" s="64" t="n">
        <v>0</v>
      </c>
      <c r="I2158" s="62" t="s">
        <v>878</v>
      </c>
      <c r="J2158" s="64" t="n">
        <v>0</v>
      </c>
      <c r="K2158" s="62" t="s">
        <v>42</v>
      </c>
      <c r="L2158" s="68" t="b">
        <f aca="false">TRUE()</f>
        <v>1</v>
      </c>
    </row>
    <row r="2159" customFormat="false" ht="15" hidden="false" customHeight="false" outlineLevel="0" collapsed="false">
      <c r="A2159" s="62" t="n">
        <v>0</v>
      </c>
      <c r="B2159" s="21" t="s">
        <v>336</v>
      </c>
      <c r="C2159" s="62" t="s">
        <v>60</v>
      </c>
      <c r="D2159" s="62" t="s">
        <v>387</v>
      </c>
      <c r="E2159" s="62" t="s">
        <v>382</v>
      </c>
      <c r="F2159" s="62" t="s">
        <v>382</v>
      </c>
      <c r="G2159" s="63" t="s">
        <v>583</v>
      </c>
      <c r="H2159" s="64" t="n">
        <v>0</v>
      </c>
      <c r="I2159" s="62" t="s">
        <v>878</v>
      </c>
      <c r="J2159" s="64" t="n">
        <v>0</v>
      </c>
      <c r="K2159" s="62" t="s">
        <v>42</v>
      </c>
      <c r="L2159" s="68" t="b">
        <f aca="false">TRUE()</f>
        <v>1</v>
      </c>
    </row>
    <row r="2160" customFormat="false" ht="15" hidden="false" customHeight="false" outlineLevel="0" collapsed="false">
      <c r="A2160" s="62" t="n">
        <v>0</v>
      </c>
      <c r="B2160" s="21" t="s">
        <v>336</v>
      </c>
      <c r="C2160" s="62" t="s">
        <v>60</v>
      </c>
      <c r="D2160" s="62" t="s">
        <v>388</v>
      </c>
      <c r="E2160" s="62" t="s">
        <v>382</v>
      </c>
      <c r="F2160" s="62" t="s">
        <v>382</v>
      </c>
      <c r="G2160" s="63" t="s">
        <v>583</v>
      </c>
      <c r="H2160" s="64" t="n">
        <v>0</v>
      </c>
      <c r="I2160" s="62" t="s">
        <v>878</v>
      </c>
      <c r="J2160" s="64" t="n">
        <v>0</v>
      </c>
      <c r="K2160" s="62" t="s">
        <v>42</v>
      </c>
      <c r="L2160" s="68" t="b">
        <f aca="false">TRUE()</f>
        <v>1</v>
      </c>
    </row>
    <row r="2161" customFormat="false" ht="15" hidden="false" customHeight="false" outlineLevel="0" collapsed="false">
      <c r="A2161" s="62" t="n">
        <v>0</v>
      </c>
      <c r="B2161" s="21" t="s">
        <v>336</v>
      </c>
      <c r="C2161" s="62" t="s">
        <v>60</v>
      </c>
      <c r="D2161" s="62" t="s">
        <v>381</v>
      </c>
      <c r="E2161" s="62" t="s">
        <v>382</v>
      </c>
      <c r="F2161" s="62" t="s">
        <v>382</v>
      </c>
      <c r="G2161" s="63" t="s">
        <v>584</v>
      </c>
      <c r="H2161" s="64" t="n">
        <v>9.8</v>
      </c>
      <c r="I2161" s="62" t="s">
        <v>878</v>
      </c>
      <c r="J2161" s="64" t="n">
        <v>980</v>
      </c>
      <c r="K2161" s="62" t="s">
        <v>42</v>
      </c>
      <c r="L2161" s="68" t="b">
        <f aca="false">FALSE()</f>
        <v>0</v>
      </c>
    </row>
    <row r="2162" customFormat="false" ht="15" hidden="false" customHeight="false" outlineLevel="0" collapsed="false">
      <c r="A2162" s="62" t="n">
        <v>0</v>
      </c>
      <c r="B2162" s="21" t="s">
        <v>336</v>
      </c>
      <c r="C2162" s="62" t="s">
        <v>60</v>
      </c>
      <c r="D2162" s="62" t="s">
        <v>383</v>
      </c>
      <c r="E2162" s="62" t="s">
        <v>382</v>
      </c>
      <c r="F2162" s="62" t="s">
        <v>382</v>
      </c>
      <c r="G2162" s="63" t="s">
        <v>584</v>
      </c>
      <c r="H2162" s="64" t="n">
        <v>9.8</v>
      </c>
      <c r="I2162" s="62" t="s">
        <v>878</v>
      </c>
      <c r="J2162" s="64" t="n">
        <v>980</v>
      </c>
      <c r="K2162" s="62" t="s">
        <v>42</v>
      </c>
      <c r="L2162" s="68" t="b">
        <f aca="false">FALSE()</f>
        <v>0</v>
      </c>
    </row>
    <row r="2163" customFormat="false" ht="15" hidden="false" customHeight="false" outlineLevel="0" collapsed="false">
      <c r="A2163" s="62" t="n">
        <v>0</v>
      </c>
      <c r="B2163" s="21" t="s">
        <v>336</v>
      </c>
      <c r="C2163" s="62" t="s">
        <v>60</v>
      </c>
      <c r="D2163" s="62" t="s">
        <v>384</v>
      </c>
      <c r="E2163" s="62" t="s">
        <v>382</v>
      </c>
      <c r="F2163" s="62" t="s">
        <v>382</v>
      </c>
      <c r="G2163" s="63" t="s">
        <v>584</v>
      </c>
      <c r="H2163" s="64" t="n">
        <v>9.8</v>
      </c>
      <c r="I2163" s="62" t="s">
        <v>878</v>
      </c>
      <c r="J2163" s="64" t="n">
        <v>980</v>
      </c>
      <c r="K2163" s="62" t="s">
        <v>42</v>
      </c>
      <c r="L2163" s="68" t="b">
        <f aca="false">FALSE()</f>
        <v>0</v>
      </c>
    </row>
    <row r="2164" customFormat="false" ht="15" hidden="false" customHeight="false" outlineLevel="0" collapsed="false">
      <c r="A2164" s="62" t="n">
        <v>0</v>
      </c>
      <c r="B2164" s="21" t="s">
        <v>336</v>
      </c>
      <c r="C2164" s="62" t="s">
        <v>60</v>
      </c>
      <c r="D2164" s="62" t="s">
        <v>385</v>
      </c>
      <c r="E2164" s="62" t="s">
        <v>382</v>
      </c>
      <c r="F2164" s="62" t="s">
        <v>382</v>
      </c>
      <c r="G2164" s="63" t="s">
        <v>584</v>
      </c>
      <c r="H2164" s="64" t="n">
        <v>9.8</v>
      </c>
      <c r="I2164" s="62" t="s">
        <v>878</v>
      </c>
      <c r="J2164" s="64" t="n">
        <v>980</v>
      </c>
      <c r="K2164" s="62" t="s">
        <v>42</v>
      </c>
      <c r="L2164" s="68" t="b">
        <f aca="false">FALSE()</f>
        <v>0</v>
      </c>
    </row>
    <row r="2165" customFormat="false" ht="15" hidden="false" customHeight="false" outlineLevel="0" collapsed="false">
      <c r="A2165" s="62" t="n">
        <v>0</v>
      </c>
      <c r="B2165" s="21" t="s">
        <v>336</v>
      </c>
      <c r="C2165" s="62" t="s">
        <v>60</v>
      </c>
      <c r="D2165" s="62" t="s">
        <v>386</v>
      </c>
      <c r="E2165" s="62" t="s">
        <v>382</v>
      </c>
      <c r="F2165" s="62" t="s">
        <v>382</v>
      </c>
      <c r="G2165" s="63" t="s">
        <v>584</v>
      </c>
      <c r="H2165" s="64" t="n">
        <v>9.8</v>
      </c>
      <c r="I2165" s="62" t="s">
        <v>878</v>
      </c>
      <c r="J2165" s="64" t="n">
        <v>980</v>
      </c>
      <c r="K2165" s="62" t="s">
        <v>42</v>
      </c>
      <c r="L2165" s="68" t="b">
        <f aca="false">FALSE()</f>
        <v>0</v>
      </c>
    </row>
    <row r="2166" customFormat="false" ht="15" hidden="false" customHeight="false" outlineLevel="0" collapsed="false">
      <c r="A2166" s="62" t="n">
        <v>0</v>
      </c>
      <c r="B2166" s="21" t="s">
        <v>336</v>
      </c>
      <c r="C2166" s="62" t="s">
        <v>60</v>
      </c>
      <c r="D2166" s="62" t="s">
        <v>387</v>
      </c>
      <c r="E2166" s="62" t="s">
        <v>382</v>
      </c>
      <c r="F2166" s="62" t="s">
        <v>382</v>
      </c>
      <c r="G2166" s="63" t="s">
        <v>584</v>
      </c>
      <c r="H2166" s="64" t="n">
        <v>9.8</v>
      </c>
      <c r="I2166" s="62" t="s">
        <v>878</v>
      </c>
      <c r="J2166" s="64" t="n">
        <v>980</v>
      </c>
      <c r="K2166" s="62" t="s">
        <v>42</v>
      </c>
      <c r="L2166" s="68" t="b">
        <f aca="false">FALSE()</f>
        <v>0</v>
      </c>
    </row>
    <row r="2167" customFormat="false" ht="15" hidden="false" customHeight="false" outlineLevel="0" collapsed="false">
      <c r="A2167" s="62" t="n">
        <v>0</v>
      </c>
      <c r="B2167" s="21" t="s">
        <v>336</v>
      </c>
      <c r="C2167" s="62" t="s">
        <v>60</v>
      </c>
      <c r="D2167" s="62" t="s">
        <v>388</v>
      </c>
      <c r="E2167" s="62" t="s">
        <v>382</v>
      </c>
      <c r="F2167" s="62" t="s">
        <v>382</v>
      </c>
      <c r="G2167" s="63" t="s">
        <v>584</v>
      </c>
      <c r="H2167" s="64" t="n">
        <v>9.8</v>
      </c>
      <c r="I2167" s="62" t="s">
        <v>878</v>
      </c>
      <c r="J2167" s="64" t="n">
        <v>980</v>
      </c>
      <c r="K2167" s="62" t="s">
        <v>42</v>
      </c>
      <c r="L2167" s="68" t="b">
        <f aca="false">FALSE()</f>
        <v>0</v>
      </c>
    </row>
    <row r="2168" customFormat="false" ht="15" hidden="false" customHeight="false" outlineLevel="0" collapsed="false">
      <c r="A2168" s="62" t="n">
        <v>0</v>
      </c>
      <c r="B2168" s="21" t="s">
        <v>336</v>
      </c>
      <c r="C2168" s="62" t="s">
        <v>60</v>
      </c>
      <c r="D2168" s="62" t="s">
        <v>381</v>
      </c>
      <c r="E2168" s="62" t="s">
        <v>382</v>
      </c>
      <c r="F2168" s="62" t="s">
        <v>382</v>
      </c>
      <c r="G2168" s="63" t="s">
        <v>585</v>
      </c>
      <c r="H2168" s="64" t="n">
        <v>2.5</v>
      </c>
      <c r="I2168" s="62" t="s">
        <v>878</v>
      </c>
      <c r="J2168" s="64" t="n">
        <v>250</v>
      </c>
      <c r="K2168" s="62" t="s">
        <v>42</v>
      </c>
      <c r="L2168" s="68" t="b">
        <f aca="false">FALSE()</f>
        <v>0</v>
      </c>
    </row>
    <row r="2169" customFormat="false" ht="15" hidden="false" customHeight="false" outlineLevel="0" collapsed="false">
      <c r="A2169" s="62" t="n">
        <v>0</v>
      </c>
      <c r="B2169" s="21" t="s">
        <v>336</v>
      </c>
      <c r="C2169" s="62" t="s">
        <v>60</v>
      </c>
      <c r="D2169" s="62" t="s">
        <v>383</v>
      </c>
      <c r="E2169" s="62" t="s">
        <v>382</v>
      </c>
      <c r="F2169" s="62" t="s">
        <v>382</v>
      </c>
      <c r="G2169" s="63" t="s">
        <v>585</v>
      </c>
      <c r="H2169" s="64" t="n">
        <v>2.5</v>
      </c>
      <c r="I2169" s="62" t="s">
        <v>878</v>
      </c>
      <c r="J2169" s="64" t="n">
        <v>250</v>
      </c>
      <c r="K2169" s="62" t="s">
        <v>42</v>
      </c>
      <c r="L2169" s="68" t="b">
        <f aca="false">FALSE()</f>
        <v>0</v>
      </c>
    </row>
    <row r="2170" customFormat="false" ht="15" hidden="false" customHeight="false" outlineLevel="0" collapsed="false">
      <c r="A2170" s="62" t="n">
        <v>0</v>
      </c>
      <c r="B2170" s="21" t="s">
        <v>336</v>
      </c>
      <c r="C2170" s="62" t="s">
        <v>60</v>
      </c>
      <c r="D2170" s="62" t="s">
        <v>384</v>
      </c>
      <c r="E2170" s="62" t="s">
        <v>382</v>
      </c>
      <c r="F2170" s="62" t="s">
        <v>382</v>
      </c>
      <c r="G2170" s="63" t="s">
        <v>585</v>
      </c>
      <c r="H2170" s="64" t="n">
        <v>2.5</v>
      </c>
      <c r="I2170" s="62" t="s">
        <v>878</v>
      </c>
      <c r="J2170" s="64" t="n">
        <v>250</v>
      </c>
      <c r="K2170" s="62" t="s">
        <v>42</v>
      </c>
      <c r="L2170" s="68" t="b">
        <f aca="false">FALSE()</f>
        <v>0</v>
      </c>
    </row>
    <row r="2171" customFormat="false" ht="15" hidden="false" customHeight="false" outlineLevel="0" collapsed="false">
      <c r="A2171" s="62" t="n">
        <v>0</v>
      </c>
      <c r="B2171" s="21" t="s">
        <v>336</v>
      </c>
      <c r="C2171" s="62" t="s">
        <v>60</v>
      </c>
      <c r="D2171" s="62" t="s">
        <v>385</v>
      </c>
      <c r="E2171" s="62" t="s">
        <v>382</v>
      </c>
      <c r="F2171" s="62" t="s">
        <v>382</v>
      </c>
      <c r="G2171" s="63" t="s">
        <v>585</v>
      </c>
      <c r="H2171" s="64" t="n">
        <v>2.5</v>
      </c>
      <c r="I2171" s="62" t="s">
        <v>878</v>
      </c>
      <c r="J2171" s="64" t="n">
        <v>250</v>
      </c>
      <c r="K2171" s="62" t="s">
        <v>42</v>
      </c>
      <c r="L2171" s="68" t="b">
        <f aca="false">FALSE()</f>
        <v>0</v>
      </c>
    </row>
    <row r="2172" customFormat="false" ht="15" hidden="false" customHeight="false" outlineLevel="0" collapsed="false">
      <c r="A2172" s="62" t="n">
        <v>0</v>
      </c>
      <c r="B2172" s="21" t="s">
        <v>336</v>
      </c>
      <c r="C2172" s="62" t="s">
        <v>60</v>
      </c>
      <c r="D2172" s="62" t="s">
        <v>386</v>
      </c>
      <c r="E2172" s="62" t="s">
        <v>382</v>
      </c>
      <c r="F2172" s="62" t="s">
        <v>382</v>
      </c>
      <c r="G2172" s="63" t="s">
        <v>585</v>
      </c>
      <c r="H2172" s="64" t="n">
        <v>2.5</v>
      </c>
      <c r="I2172" s="62" t="s">
        <v>878</v>
      </c>
      <c r="J2172" s="64" t="n">
        <v>250</v>
      </c>
      <c r="K2172" s="62" t="s">
        <v>42</v>
      </c>
      <c r="L2172" s="68" t="b">
        <f aca="false">FALSE()</f>
        <v>0</v>
      </c>
    </row>
    <row r="2173" customFormat="false" ht="15" hidden="false" customHeight="false" outlineLevel="0" collapsed="false">
      <c r="A2173" s="62" t="n">
        <v>0</v>
      </c>
      <c r="B2173" s="21" t="s">
        <v>336</v>
      </c>
      <c r="C2173" s="62" t="s">
        <v>60</v>
      </c>
      <c r="D2173" s="62" t="s">
        <v>387</v>
      </c>
      <c r="E2173" s="62" t="s">
        <v>382</v>
      </c>
      <c r="F2173" s="62" t="s">
        <v>382</v>
      </c>
      <c r="G2173" s="63" t="s">
        <v>585</v>
      </c>
      <c r="H2173" s="64" t="n">
        <v>2.5</v>
      </c>
      <c r="I2173" s="62" t="s">
        <v>878</v>
      </c>
      <c r="J2173" s="64" t="n">
        <v>250</v>
      </c>
      <c r="K2173" s="62" t="s">
        <v>42</v>
      </c>
      <c r="L2173" s="68" t="b">
        <f aca="false">FALSE()</f>
        <v>0</v>
      </c>
    </row>
    <row r="2174" customFormat="false" ht="15" hidden="false" customHeight="false" outlineLevel="0" collapsed="false">
      <c r="A2174" s="62" t="n">
        <v>0</v>
      </c>
      <c r="B2174" s="21" t="s">
        <v>336</v>
      </c>
      <c r="C2174" s="62" t="s">
        <v>60</v>
      </c>
      <c r="D2174" s="62" t="s">
        <v>388</v>
      </c>
      <c r="E2174" s="62" t="s">
        <v>382</v>
      </c>
      <c r="F2174" s="62" t="s">
        <v>382</v>
      </c>
      <c r="G2174" s="63" t="s">
        <v>585</v>
      </c>
      <c r="H2174" s="64" t="n">
        <v>2.5</v>
      </c>
      <c r="I2174" s="62" t="s">
        <v>878</v>
      </c>
      <c r="J2174" s="64" t="n">
        <v>250</v>
      </c>
      <c r="K2174" s="62" t="s">
        <v>42</v>
      </c>
      <c r="L2174" s="68" t="b">
        <f aca="false">FALSE()</f>
        <v>0</v>
      </c>
    </row>
    <row r="2175" customFormat="false" ht="15" hidden="false" customHeight="false" outlineLevel="0" collapsed="false">
      <c r="A2175" s="62" t="n">
        <v>0</v>
      </c>
      <c r="B2175" s="21" t="s">
        <v>336</v>
      </c>
      <c r="C2175" s="62" t="s">
        <v>60</v>
      </c>
      <c r="D2175" s="62" t="s">
        <v>381</v>
      </c>
      <c r="E2175" s="62" t="s">
        <v>382</v>
      </c>
      <c r="F2175" s="62" t="s">
        <v>382</v>
      </c>
      <c r="G2175" s="63" t="s">
        <v>586</v>
      </c>
      <c r="H2175" s="64" t="n">
        <v>0</v>
      </c>
      <c r="I2175" s="62" t="s">
        <v>878</v>
      </c>
      <c r="J2175" s="64" t="n">
        <v>0</v>
      </c>
      <c r="K2175" s="62" t="s">
        <v>42</v>
      </c>
      <c r="L2175" s="68" t="b">
        <f aca="false">FALSE()</f>
        <v>0</v>
      </c>
    </row>
    <row r="2176" customFormat="false" ht="15" hidden="false" customHeight="false" outlineLevel="0" collapsed="false">
      <c r="A2176" s="62" t="n">
        <v>0</v>
      </c>
      <c r="B2176" s="21" t="s">
        <v>336</v>
      </c>
      <c r="C2176" s="62" t="s">
        <v>60</v>
      </c>
      <c r="D2176" s="62" t="s">
        <v>383</v>
      </c>
      <c r="E2176" s="62" t="s">
        <v>382</v>
      </c>
      <c r="F2176" s="62" t="s">
        <v>382</v>
      </c>
      <c r="G2176" s="63" t="s">
        <v>586</v>
      </c>
      <c r="H2176" s="64" t="n">
        <v>0</v>
      </c>
      <c r="I2176" s="62" t="s">
        <v>878</v>
      </c>
      <c r="J2176" s="64" t="n">
        <v>0</v>
      </c>
      <c r="K2176" s="62" t="s">
        <v>42</v>
      </c>
      <c r="L2176" s="68" t="b">
        <f aca="false">FALSE()</f>
        <v>0</v>
      </c>
    </row>
    <row r="2177" customFormat="false" ht="15" hidden="false" customHeight="false" outlineLevel="0" collapsed="false">
      <c r="A2177" s="62" t="n">
        <v>0</v>
      </c>
      <c r="B2177" s="21" t="s">
        <v>336</v>
      </c>
      <c r="C2177" s="62" t="s">
        <v>60</v>
      </c>
      <c r="D2177" s="62" t="s">
        <v>384</v>
      </c>
      <c r="E2177" s="62" t="s">
        <v>382</v>
      </c>
      <c r="F2177" s="62" t="s">
        <v>382</v>
      </c>
      <c r="G2177" s="63" t="s">
        <v>586</v>
      </c>
      <c r="H2177" s="64" t="n">
        <v>0</v>
      </c>
      <c r="I2177" s="62" t="s">
        <v>878</v>
      </c>
      <c r="J2177" s="64" t="n">
        <v>0</v>
      </c>
      <c r="K2177" s="62" t="s">
        <v>42</v>
      </c>
      <c r="L2177" s="68" t="b">
        <f aca="false">FALSE()</f>
        <v>0</v>
      </c>
    </row>
    <row r="2178" customFormat="false" ht="15" hidden="false" customHeight="false" outlineLevel="0" collapsed="false">
      <c r="A2178" s="62" t="n">
        <v>0</v>
      </c>
      <c r="B2178" s="21" t="s">
        <v>336</v>
      </c>
      <c r="C2178" s="62" t="s">
        <v>60</v>
      </c>
      <c r="D2178" s="62" t="s">
        <v>385</v>
      </c>
      <c r="E2178" s="62" t="s">
        <v>382</v>
      </c>
      <c r="F2178" s="62" t="s">
        <v>382</v>
      </c>
      <c r="G2178" s="63" t="s">
        <v>586</v>
      </c>
      <c r="H2178" s="64" t="n">
        <v>0</v>
      </c>
      <c r="I2178" s="62" t="s">
        <v>878</v>
      </c>
      <c r="J2178" s="64" t="n">
        <v>0</v>
      </c>
      <c r="K2178" s="62" t="s">
        <v>42</v>
      </c>
      <c r="L2178" s="68" t="b">
        <f aca="false">FALSE()</f>
        <v>0</v>
      </c>
    </row>
    <row r="2179" customFormat="false" ht="15" hidden="false" customHeight="false" outlineLevel="0" collapsed="false">
      <c r="A2179" s="62" t="n">
        <v>0</v>
      </c>
      <c r="B2179" s="21" t="s">
        <v>336</v>
      </c>
      <c r="C2179" s="62" t="s">
        <v>60</v>
      </c>
      <c r="D2179" s="62" t="s">
        <v>386</v>
      </c>
      <c r="E2179" s="62" t="s">
        <v>382</v>
      </c>
      <c r="F2179" s="62" t="s">
        <v>382</v>
      </c>
      <c r="G2179" s="63" t="s">
        <v>586</v>
      </c>
      <c r="H2179" s="64" t="n">
        <v>0</v>
      </c>
      <c r="I2179" s="62" t="s">
        <v>878</v>
      </c>
      <c r="J2179" s="64" t="n">
        <v>0</v>
      </c>
      <c r="K2179" s="62" t="s">
        <v>42</v>
      </c>
      <c r="L2179" s="68" t="b">
        <f aca="false">FALSE()</f>
        <v>0</v>
      </c>
    </row>
    <row r="2180" customFormat="false" ht="15" hidden="false" customHeight="false" outlineLevel="0" collapsed="false">
      <c r="A2180" s="62" t="n">
        <v>0</v>
      </c>
      <c r="B2180" s="21" t="s">
        <v>336</v>
      </c>
      <c r="C2180" s="62" t="s">
        <v>60</v>
      </c>
      <c r="D2180" s="62" t="s">
        <v>387</v>
      </c>
      <c r="E2180" s="62" t="s">
        <v>382</v>
      </c>
      <c r="F2180" s="62" t="s">
        <v>382</v>
      </c>
      <c r="G2180" s="63" t="s">
        <v>586</v>
      </c>
      <c r="H2180" s="64" t="n">
        <v>0</v>
      </c>
      <c r="I2180" s="62" t="s">
        <v>878</v>
      </c>
      <c r="J2180" s="64" t="n">
        <v>0</v>
      </c>
      <c r="K2180" s="62" t="s">
        <v>42</v>
      </c>
      <c r="L2180" s="68" t="b">
        <f aca="false">FALSE()</f>
        <v>0</v>
      </c>
    </row>
    <row r="2181" customFormat="false" ht="15" hidden="false" customHeight="false" outlineLevel="0" collapsed="false">
      <c r="A2181" s="62" t="n">
        <v>0</v>
      </c>
      <c r="B2181" s="21" t="s">
        <v>336</v>
      </c>
      <c r="C2181" s="62" t="s">
        <v>60</v>
      </c>
      <c r="D2181" s="62" t="s">
        <v>388</v>
      </c>
      <c r="E2181" s="62" t="s">
        <v>382</v>
      </c>
      <c r="F2181" s="62" t="s">
        <v>382</v>
      </c>
      <c r="G2181" s="63" t="s">
        <v>586</v>
      </c>
      <c r="H2181" s="64" t="n">
        <v>0</v>
      </c>
      <c r="I2181" s="62" t="s">
        <v>878</v>
      </c>
      <c r="J2181" s="64" t="n">
        <v>0</v>
      </c>
      <c r="K2181" s="62" t="s">
        <v>42</v>
      </c>
      <c r="L2181" s="68" t="b">
        <f aca="false">FALSE()</f>
        <v>0</v>
      </c>
    </row>
    <row r="2182" customFormat="false" ht="15" hidden="false" customHeight="false" outlineLevel="0" collapsed="false">
      <c r="A2182" s="62" t="n">
        <v>0</v>
      </c>
      <c r="B2182" s="21" t="s">
        <v>336</v>
      </c>
      <c r="C2182" s="62" t="s">
        <v>60</v>
      </c>
      <c r="D2182" s="62" t="s">
        <v>381</v>
      </c>
      <c r="E2182" s="62" t="s">
        <v>382</v>
      </c>
      <c r="F2182" s="62" t="s">
        <v>382</v>
      </c>
      <c r="G2182" s="63" t="s">
        <v>587</v>
      </c>
      <c r="H2182" s="64" t="n">
        <v>12.3</v>
      </c>
      <c r="I2182" s="62" t="s">
        <v>878</v>
      </c>
      <c r="J2182" s="64" t="n">
        <v>1230</v>
      </c>
      <c r="K2182" s="62" t="s">
        <v>42</v>
      </c>
      <c r="L2182" s="68" t="b">
        <f aca="false">FALSE()</f>
        <v>0</v>
      </c>
    </row>
    <row r="2183" customFormat="false" ht="15" hidden="false" customHeight="false" outlineLevel="0" collapsed="false">
      <c r="A2183" s="62" t="n">
        <v>0</v>
      </c>
      <c r="B2183" s="21" t="s">
        <v>336</v>
      </c>
      <c r="C2183" s="62" t="s">
        <v>60</v>
      </c>
      <c r="D2183" s="62" t="s">
        <v>383</v>
      </c>
      <c r="E2183" s="62" t="s">
        <v>382</v>
      </c>
      <c r="F2183" s="62" t="s">
        <v>382</v>
      </c>
      <c r="G2183" s="63" t="s">
        <v>587</v>
      </c>
      <c r="H2183" s="64" t="n">
        <v>12.3</v>
      </c>
      <c r="I2183" s="62" t="s">
        <v>878</v>
      </c>
      <c r="J2183" s="64" t="n">
        <v>1230</v>
      </c>
      <c r="K2183" s="62" t="s">
        <v>42</v>
      </c>
      <c r="L2183" s="68" t="b">
        <f aca="false">FALSE()</f>
        <v>0</v>
      </c>
    </row>
    <row r="2184" customFormat="false" ht="15" hidden="false" customHeight="false" outlineLevel="0" collapsed="false">
      <c r="A2184" s="62" t="n">
        <v>0</v>
      </c>
      <c r="B2184" s="21" t="s">
        <v>336</v>
      </c>
      <c r="C2184" s="62" t="s">
        <v>60</v>
      </c>
      <c r="D2184" s="62" t="s">
        <v>384</v>
      </c>
      <c r="E2184" s="62" t="s">
        <v>382</v>
      </c>
      <c r="F2184" s="62" t="s">
        <v>382</v>
      </c>
      <c r="G2184" s="63" t="s">
        <v>587</v>
      </c>
      <c r="H2184" s="64" t="n">
        <v>12.3</v>
      </c>
      <c r="I2184" s="62" t="s">
        <v>878</v>
      </c>
      <c r="J2184" s="64" t="n">
        <v>1230</v>
      </c>
      <c r="K2184" s="62" t="s">
        <v>42</v>
      </c>
      <c r="L2184" s="68" t="b">
        <f aca="false">FALSE()</f>
        <v>0</v>
      </c>
    </row>
    <row r="2185" customFormat="false" ht="15" hidden="false" customHeight="false" outlineLevel="0" collapsed="false">
      <c r="A2185" s="62" t="n">
        <v>0</v>
      </c>
      <c r="B2185" s="21" t="s">
        <v>336</v>
      </c>
      <c r="C2185" s="62" t="s">
        <v>60</v>
      </c>
      <c r="D2185" s="62" t="s">
        <v>385</v>
      </c>
      <c r="E2185" s="62" t="s">
        <v>382</v>
      </c>
      <c r="F2185" s="62" t="s">
        <v>382</v>
      </c>
      <c r="G2185" s="63" t="s">
        <v>587</v>
      </c>
      <c r="H2185" s="64" t="n">
        <v>12.3</v>
      </c>
      <c r="I2185" s="62" t="s">
        <v>878</v>
      </c>
      <c r="J2185" s="64" t="n">
        <v>1230</v>
      </c>
      <c r="K2185" s="62" t="s">
        <v>42</v>
      </c>
      <c r="L2185" s="68" t="b">
        <f aca="false">FALSE()</f>
        <v>0</v>
      </c>
    </row>
    <row r="2186" customFormat="false" ht="15" hidden="false" customHeight="false" outlineLevel="0" collapsed="false">
      <c r="A2186" s="62" t="n">
        <v>0</v>
      </c>
      <c r="B2186" s="21" t="s">
        <v>336</v>
      </c>
      <c r="C2186" s="62" t="s">
        <v>60</v>
      </c>
      <c r="D2186" s="62" t="s">
        <v>386</v>
      </c>
      <c r="E2186" s="62" t="s">
        <v>382</v>
      </c>
      <c r="F2186" s="62" t="s">
        <v>382</v>
      </c>
      <c r="G2186" s="63" t="s">
        <v>587</v>
      </c>
      <c r="H2186" s="64" t="n">
        <v>12.3</v>
      </c>
      <c r="I2186" s="62" t="s">
        <v>878</v>
      </c>
      <c r="J2186" s="64" t="n">
        <v>1230</v>
      </c>
      <c r="K2186" s="62" t="s">
        <v>42</v>
      </c>
      <c r="L2186" s="68" t="b">
        <f aca="false">FALSE()</f>
        <v>0</v>
      </c>
    </row>
    <row r="2187" customFormat="false" ht="15" hidden="false" customHeight="false" outlineLevel="0" collapsed="false">
      <c r="A2187" s="62" t="n">
        <v>0</v>
      </c>
      <c r="B2187" s="21" t="s">
        <v>336</v>
      </c>
      <c r="C2187" s="62" t="s">
        <v>60</v>
      </c>
      <c r="D2187" s="62" t="s">
        <v>387</v>
      </c>
      <c r="E2187" s="62" t="s">
        <v>382</v>
      </c>
      <c r="F2187" s="62" t="s">
        <v>382</v>
      </c>
      <c r="G2187" s="63" t="s">
        <v>587</v>
      </c>
      <c r="H2187" s="64" t="n">
        <v>12.3</v>
      </c>
      <c r="I2187" s="62" t="s">
        <v>878</v>
      </c>
      <c r="J2187" s="64" t="n">
        <v>1230</v>
      </c>
      <c r="K2187" s="62" t="s">
        <v>42</v>
      </c>
      <c r="L2187" s="68" t="b">
        <f aca="false">FALSE()</f>
        <v>0</v>
      </c>
    </row>
    <row r="2188" customFormat="false" ht="15" hidden="false" customHeight="false" outlineLevel="0" collapsed="false">
      <c r="A2188" s="62" t="n">
        <v>0</v>
      </c>
      <c r="B2188" s="21" t="s">
        <v>336</v>
      </c>
      <c r="C2188" s="62" t="s">
        <v>60</v>
      </c>
      <c r="D2188" s="62" t="s">
        <v>388</v>
      </c>
      <c r="E2188" s="62" t="s">
        <v>382</v>
      </c>
      <c r="F2188" s="62" t="s">
        <v>382</v>
      </c>
      <c r="G2188" s="63" t="s">
        <v>587</v>
      </c>
      <c r="H2188" s="64" t="n">
        <v>12.3</v>
      </c>
      <c r="I2188" s="62" t="s">
        <v>878</v>
      </c>
      <c r="J2188" s="64" t="n">
        <v>1230</v>
      </c>
      <c r="K2188" s="62" t="s">
        <v>42</v>
      </c>
      <c r="L2188" s="68" t="b">
        <f aca="false">FALSE()</f>
        <v>0</v>
      </c>
    </row>
    <row r="2189" customFormat="false" ht="15" hidden="false" customHeight="false" outlineLevel="0" collapsed="false">
      <c r="A2189" s="62" t="n">
        <v>0</v>
      </c>
      <c r="B2189" s="21" t="s">
        <v>336</v>
      </c>
      <c r="C2189" s="62" t="s">
        <v>60</v>
      </c>
      <c r="D2189" s="62" t="s">
        <v>381</v>
      </c>
      <c r="E2189" s="62" t="s">
        <v>382</v>
      </c>
      <c r="F2189" s="62" t="s">
        <v>382</v>
      </c>
      <c r="G2189" s="63" t="s">
        <v>588</v>
      </c>
      <c r="H2189" s="64" t="n">
        <v>-7.25</v>
      </c>
      <c r="I2189" s="62" t="s">
        <v>878</v>
      </c>
      <c r="J2189" s="64" t="n">
        <v>-725</v>
      </c>
      <c r="K2189" s="62" t="s">
        <v>42</v>
      </c>
      <c r="L2189" s="68" t="b">
        <f aca="false">TRUE()</f>
        <v>1</v>
      </c>
    </row>
    <row r="2190" customFormat="false" ht="15" hidden="false" customHeight="false" outlineLevel="0" collapsed="false">
      <c r="A2190" s="62" t="n">
        <v>0</v>
      </c>
      <c r="B2190" s="21" t="s">
        <v>336</v>
      </c>
      <c r="C2190" s="62" t="s">
        <v>60</v>
      </c>
      <c r="D2190" s="62" t="s">
        <v>383</v>
      </c>
      <c r="E2190" s="62" t="s">
        <v>382</v>
      </c>
      <c r="F2190" s="62" t="s">
        <v>382</v>
      </c>
      <c r="G2190" s="63" t="s">
        <v>588</v>
      </c>
      <c r="H2190" s="64" t="n">
        <v>-7.25</v>
      </c>
      <c r="I2190" s="62" t="s">
        <v>878</v>
      </c>
      <c r="J2190" s="64" t="n">
        <v>-725</v>
      </c>
      <c r="K2190" s="62" t="s">
        <v>42</v>
      </c>
      <c r="L2190" s="68" t="b">
        <f aca="false">TRUE()</f>
        <v>1</v>
      </c>
    </row>
    <row r="2191" customFormat="false" ht="15" hidden="false" customHeight="false" outlineLevel="0" collapsed="false">
      <c r="A2191" s="62" t="n">
        <v>0</v>
      </c>
      <c r="B2191" s="21" t="s">
        <v>336</v>
      </c>
      <c r="C2191" s="62" t="s">
        <v>60</v>
      </c>
      <c r="D2191" s="62" t="s">
        <v>384</v>
      </c>
      <c r="E2191" s="62" t="s">
        <v>382</v>
      </c>
      <c r="F2191" s="62" t="s">
        <v>382</v>
      </c>
      <c r="G2191" s="63" t="s">
        <v>588</v>
      </c>
      <c r="H2191" s="64" t="n">
        <v>-7.25</v>
      </c>
      <c r="I2191" s="62" t="s">
        <v>878</v>
      </c>
      <c r="J2191" s="64" t="n">
        <v>-725</v>
      </c>
      <c r="K2191" s="62" t="s">
        <v>42</v>
      </c>
      <c r="L2191" s="68" t="b">
        <f aca="false">TRUE()</f>
        <v>1</v>
      </c>
    </row>
    <row r="2192" customFormat="false" ht="15" hidden="false" customHeight="false" outlineLevel="0" collapsed="false">
      <c r="A2192" s="62" t="n">
        <v>0</v>
      </c>
      <c r="B2192" s="21" t="s">
        <v>336</v>
      </c>
      <c r="C2192" s="62" t="s">
        <v>60</v>
      </c>
      <c r="D2192" s="62" t="s">
        <v>385</v>
      </c>
      <c r="E2192" s="62" t="s">
        <v>382</v>
      </c>
      <c r="F2192" s="62" t="s">
        <v>382</v>
      </c>
      <c r="G2192" s="63" t="s">
        <v>588</v>
      </c>
      <c r="H2192" s="64" t="n">
        <v>-7.25</v>
      </c>
      <c r="I2192" s="62" t="s">
        <v>878</v>
      </c>
      <c r="J2192" s="64" t="n">
        <v>-725</v>
      </c>
      <c r="K2192" s="62" t="s">
        <v>42</v>
      </c>
      <c r="L2192" s="68" t="b">
        <f aca="false">TRUE()</f>
        <v>1</v>
      </c>
    </row>
    <row r="2193" customFormat="false" ht="15" hidden="false" customHeight="false" outlineLevel="0" collapsed="false">
      <c r="A2193" s="62" t="n">
        <v>0</v>
      </c>
      <c r="B2193" s="21" t="s">
        <v>336</v>
      </c>
      <c r="C2193" s="62" t="s">
        <v>60</v>
      </c>
      <c r="D2193" s="62" t="s">
        <v>386</v>
      </c>
      <c r="E2193" s="62" t="s">
        <v>382</v>
      </c>
      <c r="F2193" s="62" t="s">
        <v>382</v>
      </c>
      <c r="G2193" s="63" t="s">
        <v>588</v>
      </c>
      <c r="H2193" s="64" t="n">
        <v>-7.25</v>
      </c>
      <c r="I2193" s="62" t="s">
        <v>878</v>
      </c>
      <c r="J2193" s="64" t="n">
        <v>-725</v>
      </c>
      <c r="K2193" s="62" t="s">
        <v>42</v>
      </c>
      <c r="L2193" s="68" t="b">
        <f aca="false">TRUE()</f>
        <v>1</v>
      </c>
    </row>
    <row r="2194" customFormat="false" ht="15" hidden="false" customHeight="false" outlineLevel="0" collapsed="false">
      <c r="A2194" s="62" t="n">
        <v>0</v>
      </c>
      <c r="B2194" s="21" t="s">
        <v>336</v>
      </c>
      <c r="C2194" s="62" t="s">
        <v>60</v>
      </c>
      <c r="D2194" s="62" t="s">
        <v>387</v>
      </c>
      <c r="E2194" s="62" t="s">
        <v>382</v>
      </c>
      <c r="F2194" s="62" t="s">
        <v>382</v>
      </c>
      <c r="G2194" s="63" t="s">
        <v>588</v>
      </c>
      <c r="H2194" s="64" t="n">
        <v>-7.25</v>
      </c>
      <c r="I2194" s="62" t="s">
        <v>878</v>
      </c>
      <c r="J2194" s="64" t="n">
        <v>-725</v>
      </c>
      <c r="K2194" s="62" t="s">
        <v>42</v>
      </c>
      <c r="L2194" s="68" t="b">
        <f aca="false">TRUE()</f>
        <v>1</v>
      </c>
    </row>
    <row r="2195" customFormat="false" ht="15" hidden="false" customHeight="false" outlineLevel="0" collapsed="false">
      <c r="A2195" s="62" t="n">
        <v>0</v>
      </c>
      <c r="B2195" s="21" t="s">
        <v>336</v>
      </c>
      <c r="C2195" s="62" t="s">
        <v>60</v>
      </c>
      <c r="D2195" s="62" t="s">
        <v>388</v>
      </c>
      <c r="E2195" s="62" t="s">
        <v>382</v>
      </c>
      <c r="F2195" s="62" t="s">
        <v>382</v>
      </c>
      <c r="G2195" s="63" t="s">
        <v>588</v>
      </c>
      <c r="H2195" s="64" t="n">
        <v>-7.25</v>
      </c>
      <c r="I2195" s="62" t="s">
        <v>878</v>
      </c>
      <c r="J2195" s="64" t="n">
        <v>-725</v>
      </c>
      <c r="K2195" s="62" t="s">
        <v>42</v>
      </c>
      <c r="L2195" s="68" t="b">
        <f aca="false">TRUE()</f>
        <v>1</v>
      </c>
    </row>
    <row r="2196" customFormat="false" ht="15" hidden="false" customHeight="false" outlineLevel="0" collapsed="false">
      <c r="A2196" s="62" t="n">
        <v>0</v>
      </c>
      <c r="B2196" s="21" t="s">
        <v>336</v>
      </c>
      <c r="C2196" s="62" t="s">
        <v>60</v>
      </c>
      <c r="D2196" s="62" t="s">
        <v>381</v>
      </c>
      <c r="E2196" s="62" t="s">
        <v>382</v>
      </c>
      <c r="F2196" s="62" t="s">
        <v>382</v>
      </c>
      <c r="G2196" s="63" t="s">
        <v>589</v>
      </c>
      <c r="H2196" s="64" t="n">
        <v>0</v>
      </c>
      <c r="I2196" s="62" t="s">
        <v>878</v>
      </c>
      <c r="J2196" s="64" t="n">
        <v>0</v>
      </c>
      <c r="K2196" s="62" t="s">
        <v>42</v>
      </c>
      <c r="L2196" s="68" t="b">
        <f aca="false">TRUE()</f>
        <v>1</v>
      </c>
    </row>
    <row r="2197" customFormat="false" ht="15" hidden="false" customHeight="false" outlineLevel="0" collapsed="false">
      <c r="A2197" s="62" t="n">
        <v>0</v>
      </c>
      <c r="B2197" s="21" t="s">
        <v>336</v>
      </c>
      <c r="C2197" s="62" t="s">
        <v>60</v>
      </c>
      <c r="D2197" s="62" t="s">
        <v>383</v>
      </c>
      <c r="E2197" s="62" t="s">
        <v>382</v>
      </c>
      <c r="F2197" s="62" t="s">
        <v>382</v>
      </c>
      <c r="G2197" s="63" t="s">
        <v>589</v>
      </c>
      <c r="H2197" s="64" t="n">
        <v>0</v>
      </c>
      <c r="I2197" s="62" t="s">
        <v>878</v>
      </c>
      <c r="J2197" s="64" t="n">
        <v>0</v>
      </c>
      <c r="K2197" s="62" t="s">
        <v>42</v>
      </c>
      <c r="L2197" s="68" t="b">
        <f aca="false">TRUE()</f>
        <v>1</v>
      </c>
    </row>
    <row r="2198" customFormat="false" ht="15" hidden="false" customHeight="false" outlineLevel="0" collapsed="false">
      <c r="A2198" s="62" t="n">
        <v>0</v>
      </c>
      <c r="B2198" s="21" t="s">
        <v>336</v>
      </c>
      <c r="C2198" s="62" t="s">
        <v>60</v>
      </c>
      <c r="D2198" s="62" t="s">
        <v>384</v>
      </c>
      <c r="E2198" s="62" t="s">
        <v>382</v>
      </c>
      <c r="F2198" s="62" t="s">
        <v>382</v>
      </c>
      <c r="G2198" s="63" t="s">
        <v>589</v>
      </c>
      <c r="H2198" s="64" t="n">
        <v>0</v>
      </c>
      <c r="I2198" s="62" t="s">
        <v>878</v>
      </c>
      <c r="J2198" s="64" t="n">
        <v>0</v>
      </c>
      <c r="K2198" s="62" t="s">
        <v>42</v>
      </c>
      <c r="L2198" s="68" t="b">
        <f aca="false">TRUE()</f>
        <v>1</v>
      </c>
    </row>
    <row r="2199" customFormat="false" ht="15" hidden="false" customHeight="false" outlineLevel="0" collapsed="false">
      <c r="A2199" s="62" t="n">
        <v>0</v>
      </c>
      <c r="B2199" s="21" t="s">
        <v>336</v>
      </c>
      <c r="C2199" s="62" t="s">
        <v>60</v>
      </c>
      <c r="D2199" s="62" t="s">
        <v>385</v>
      </c>
      <c r="E2199" s="62" t="s">
        <v>382</v>
      </c>
      <c r="F2199" s="62" t="s">
        <v>382</v>
      </c>
      <c r="G2199" s="63" t="s">
        <v>589</v>
      </c>
      <c r="H2199" s="64" t="n">
        <v>0</v>
      </c>
      <c r="I2199" s="62" t="s">
        <v>878</v>
      </c>
      <c r="J2199" s="64" t="n">
        <v>0</v>
      </c>
      <c r="K2199" s="62" t="s">
        <v>42</v>
      </c>
      <c r="L2199" s="68" t="b">
        <f aca="false">TRUE()</f>
        <v>1</v>
      </c>
    </row>
    <row r="2200" customFormat="false" ht="15" hidden="false" customHeight="false" outlineLevel="0" collapsed="false">
      <c r="A2200" s="62" t="n">
        <v>0</v>
      </c>
      <c r="B2200" s="21" t="s">
        <v>336</v>
      </c>
      <c r="C2200" s="62" t="s">
        <v>60</v>
      </c>
      <c r="D2200" s="62" t="s">
        <v>386</v>
      </c>
      <c r="E2200" s="62" t="s">
        <v>382</v>
      </c>
      <c r="F2200" s="62" t="s">
        <v>382</v>
      </c>
      <c r="G2200" s="63" t="s">
        <v>589</v>
      </c>
      <c r="H2200" s="64" t="n">
        <v>0</v>
      </c>
      <c r="I2200" s="62" t="s">
        <v>878</v>
      </c>
      <c r="J2200" s="64" t="n">
        <v>0</v>
      </c>
      <c r="K2200" s="62" t="s">
        <v>42</v>
      </c>
      <c r="L2200" s="68" t="b">
        <f aca="false">TRUE()</f>
        <v>1</v>
      </c>
    </row>
    <row r="2201" customFormat="false" ht="15" hidden="false" customHeight="false" outlineLevel="0" collapsed="false">
      <c r="A2201" s="62" t="n">
        <v>0</v>
      </c>
      <c r="B2201" s="21" t="s">
        <v>336</v>
      </c>
      <c r="C2201" s="62" t="s">
        <v>60</v>
      </c>
      <c r="D2201" s="62" t="s">
        <v>387</v>
      </c>
      <c r="E2201" s="62" t="s">
        <v>382</v>
      </c>
      <c r="F2201" s="62" t="s">
        <v>382</v>
      </c>
      <c r="G2201" s="63" t="s">
        <v>589</v>
      </c>
      <c r="H2201" s="64" t="n">
        <v>0</v>
      </c>
      <c r="I2201" s="62" t="s">
        <v>878</v>
      </c>
      <c r="J2201" s="64" t="n">
        <v>0</v>
      </c>
      <c r="K2201" s="62" t="s">
        <v>42</v>
      </c>
      <c r="L2201" s="68" t="b">
        <f aca="false">TRUE()</f>
        <v>1</v>
      </c>
    </row>
    <row r="2202" customFormat="false" ht="15" hidden="false" customHeight="false" outlineLevel="0" collapsed="false">
      <c r="A2202" s="62" t="n">
        <v>0</v>
      </c>
      <c r="B2202" s="21" t="s">
        <v>336</v>
      </c>
      <c r="C2202" s="62" t="s">
        <v>60</v>
      </c>
      <c r="D2202" s="62" t="s">
        <v>388</v>
      </c>
      <c r="E2202" s="62" t="s">
        <v>382</v>
      </c>
      <c r="F2202" s="62" t="s">
        <v>382</v>
      </c>
      <c r="G2202" s="63" t="s">
        <v>589</v>
      </c>
      <c r="H2202" s="64" t="n">
        <v>0</v>
      </c>
      <c r="I2202" s="62" t="s">
        <v>878</v>
      </c>
      <c r="J2202" s="64" t="n">
        <v>0</v>
      </c>
      <c r="K2202" s="62" t="s">
        <v>42</v>
      </c>
      <c r="L2202" s="68" t="b">
        <f aca="false">TRUE()</f>
        <v>1</v>
      </c>
    </row>
    <row r="2203" customFormat="false" ht="15" hidden="false" customHeight="false" outlineLevel="0" collapsed="false">
      <c r="A2203" s="62" t="n">
        <v>0</v>
      </c>
      <c r="B2203" s="21" t="s">
        <v>336</v>
      </c>
      <c r="C2203" s="62" t="s">
        <v>60</v>
      </c>
      <c r="D2203" s="62" t="s">
        <v>381</v>
      </c>
      <c r="E2203" s="62" t="s">
        <v>382</v>
      </c>
      <c r="F2203" s="62" t="s">
        <v>382</v>
      </c>
      <c r="G2203" s="63" t="s">
        <v>590</v>
      </c>
      <c r="H2203" s="64" t="n">
        <v>-5.05</v>
      </c>
      <c r="I2203" s="62" t="s">
        <v>878</v>
      </c>
      <c r="J2203" s="64" t="n">
        <v>-505</v>
      </c>
      <c r="K2203" s="62" t="s">
        <v>42</v>
      </c>
      <c r="L2203" s="68" t="b">
        <f aca="false">FALSE()</f>
        <v>0</v>
      </c>
    </row>
    <row r="2204" customFormat="false" ht="15" hidden="false" customHeight="false" outlineLevel="0" collapsed="false">
      <c r="A2204" s="62" t="n">
        <v>0</v>
      </c>
      <c r="B2204" s="21" t="s">
        <v>336</v>
      </c>
      <c r="C2204" s="62" t="s">
        <v>60</v>
      </c>
      <c r="D2204" s="62" t="s">
        <v>383</v>
      </c>
      <c r="E2204" s="62" t="s">
        <v>382</v>
      </c>
      <c r="F2204" s="62" t="s">
        <v>382</v>
      </c>
      <c r="G2204" s="63" t="s">
        <v>590</v>
      </c>
      <c r="H2204" s="64" t="n">
        <v>-5.05</v>
      </c>
      <c r="I2204" s="62" t="s">
        <v>878</v>
      </c>
      <c r="J2204" s="64" t="n">
        <v>-505</v>
      </c>
      <c r="K2204" s="62" t="s">
        <v>42</v>
      </c>
      <c r="L2204" s="68" t="b">
        <f aca="false">FALSE()</f>
        <v>0</v>
      </c>
    </row>
    <row r="2205" customFormat="false" ht="15" hidden="false" customHeight="false" outlineLevel="0" collapsed="false">
      <c r="A2205" s="62" t="n">
        <v>0</v>
      </c>
      <c r="B2205" s="21" t="s">
        <v>336</v>
      </c>
      <c r="C2205" s="62" t="s">
        <v>60</v>
      </c>
      <c r="D2205" s="62" t="s">
        <v>384</v>
      </c>
      <c r="E2205" s="62" t="s">
        <v>382</v>
      </c>
      <c r="F2205" s="62" t="s">
        <v>382</v>
      </c>
      <c r="G2205" s="63" t="s">
        <v>590</v>
      </c>
      <c r="H2205" s="64" t="n">
        <v>-5.05</v>
      </c>
      <c r="I2205" s="62" t="s">
        <v>878</v>
      </c>
      <c r="J2205" s="64" t="n">
        <v>-505</v>
      </c>
      <c r="K2205" s="62" t="s">
        <v>42</v>
      </c>
      <c r="L2205" s="68" t="b">
        <f aca="false">FALSE()</f>
        <v>0</v>
      </c>
    </row>
    <row r="2206" customFormat="false" ht="15" hidden="false" customHeight="false" outlineLevel="0" collapsed="false">
      <c r="A2206" s="62" t="n">
        <v>0</v>
      </c>
      <c r="B2206" s="21" t="s">
        <v>336</v>
      </c>
      <c r="C2206" s="62" t="s">
        <v>60</v>
      </c>
      <c r="D2206" s="62" t="s">
        <v>385</v>
      </c>
      <c r="E2206" s="62" t="s">
        <v>382</v>
      </c>
      <c r="F2206" s="62" t="s">
        <v>382</v>
      </c>
      <c r="G2206" s="63" t="s">
        <v>590</v>
      </c>
      <c r="H2206" s="64" t="n">
        <v>-5.05</v>
      </c>
      <c r="I2206" s="62" t="s">
        <v>878</v>
      </c>
      <c r="J2206" s="64" t="n">
        <v>-505</v>
      </c>
      <c r="K2206" s="62" t="s">
        <v>42</v>
      </c>
      <c r="L2206" s="68" t="b">
        <f aca="false">FALSE()</f>
        <v>0</v>
      </c>
    </row>
    <row r="2207" customFormat="false" ht="15" hidden="false" customHeight="false" outlineLevel="0" collapsed="false">
      <c r="A2207" s="62" t="n">
        <v>0</v>
      </c>
      <c r="B2207" s="21" t="s">
        <v>336</v>
      </c>
      <c r="C2207" s="62" t="s">
        <v>60</v>
      </c>
      <c r="D2207" s="62" t="s">
        <v>386</v>
      </c>
      <c r="E2207" s="62" t="s">
        <v>382</v>
      </c>
      <c r="F2207" s="62" t="s">
        <v>382</v>
      </c>
      <c r="G2207" s="63" t="s">
        <v>590</v>
      </c>
      <c r="H2207" s="64" t="n">
        <v>-5.05</v>
      </c>
      <c r="I2207" s="62" t="s">
        <v>878</v>
      </c>
      <c r="J2207" s="64" t="n">
        <v>-505</v>
      </c>
      <c r="K2207" s="62" t="s">
        <v>42</v>
      </c>
      <c r="L2207" s="68" t="b">
        <f aca="false">FALSE()</f>
        <v>0</v>
      </c>
    </row>
    <row r="2208" customFormat="false" ht="15" hidden="false" customHeight="false" outlineLevel="0" collapsed="false">
      <c r="A2208" s="62" t="n">
        <v>0</v>
      </c>
      <c r="B2208" s="21" t="s">
        <v>336</v>
      </c>
      <c r="C2208" s="62" t="s">
        <v>60</v>
      </c>
      <c r="D2208" s="62" t="s">
        <v>387</v>
      </c>
      <c r="E2208" s="62" t="s">
        <v>382</v>
      </c>
      <c r="F2208" s="62" t="s">
        <v>382</v>
      </c>
      <c r="G2208" s="63" t="s">
        <v>590</v>
      </c>
      <c r="H2208" s="64" t="n">
        <v>-5.05</v>
      </c>
      <c r="I2208" s="62" t="s">
        <v>878</v>
      </c>
      <c r="J2208" s="64" t="n">
        <v>-505</v>
      </c>
      <c r="K2208" s="62" t="s">
        <v>42</v>
      </c>
      <c r="L2208" s="68" t="b">
        <f aca="false">FALSE()</f>
        <v>0</v>
      </c>
    </row>
    <row r="2209" customFormat="false" ht="15" hidden="false" customHeight="false" outlineLevel="0" collapsed="false">
      <c r="A2209" s="62" t="n">
        <v>0</v>
      </c>
      <c r="B2209" s="21" t="s">
        <v>336</v>
      </c>
      <c r="C2209" s="62" t="s">
        <v>60</v>
      </c>
      <c r="D2209" s="62" t="s">
        <v>388</v>
      </c>
      <c r="E2209" s="62" t="s">
        <v>382</v>
      </c>
      <c r="F2209" s="62" t="s">
        <v>382</v>
      </c>
      <c r="G2209" s="63" t="s">
        <v>590</v>
      </c>
      <c r="H2209" s="64" t="n">
        <v>-5.05</v>
      </c>
      <c r="I2209" s="62" t="s">
        <v>878</v>
      </c>
      <c r="J2209" s="64" t="n">
        <v>-505</v>
      </c>
      <c r="K2209" s="62" t="s">
        <v>42</v>
      </c>
      <c r="L2209" s="68" t="b">
        <f aca="false">FALSE()</f>
        <v>0</v>
      </c>
    </row>
    <row r="2210" customFormat="false" ht="15" hidden="false" customHeight="false" outlineLevel="0" collapsed="false">
      <c r="A2210" s="62" t="n">
        <v>0</v>
      </c>
      <c r="B2210" s="21" t="s">
        <v>336</v>
      </c>
      <c r="C2210" s="62" t="s">
        <v>60</v>
      </c>
      <c r="D2210" s="62" t="s">
        <v>381</v>
      </c>
      <c r="E2210" s="62" t="s">
        <v>382</v>
      </c>
      <c r="F2210" s="62" t="s">
        <v>382</v>
      </c>
      <c r="G2210" s="63" t="s">
        <v>591</v>
      </c>
      <c r="H2210" s="64" t="n">
        <v>0</v>
      </c>
      <c r="I2210" s="62" t="s">
        <v>878</v>
      </c>
      <c r="J2210" s="64" t="n">
        <v>0</v>
      </c>
      <c r="K2210" s="62" t="s">
        <v>42</v>
      </c>
      <c r="L2210" s="68" t="b">
        <f aca="false">TRUE()</f>
        <v>1</v>
      </c>
    </row>
    <row r="2211" customFormat="false" ht="15" hidden="false" customHeight="false" outlineLevel="0" collapsed="false">
      <c r="A2211" s="62" t="n">
        <v>0</v>
      </c>
      <c r="B2211" s="21" t="s">
        <v>336</v>
      </c>
      <c r="C2211" s="62" t="s">
        <v>60</v>
      </c>
      <c r="D2211" s="62" t="s">
        <v>383</v>
      </c>
      <c r="E2211" s="62" t="s">
        <v>382</v>
      </c>
      <c r="F2211" s="62" t="s">
        <v>382</v>
      </c>
      <c r="G2211" s="63" t="s">
        <v>591</v>
      </c>
      <c r="H2211" s="64" t="n">
        <v>0</v>
      </c>
      <c r="I2211" s="62" t="s">
        <v>878</v>
      </c>
      <c r="J2211" s="64" t="n">
        <v>0</v>
      </c>
      <c r="K2211" s="62" t="s">
        <v>42</v>
      </c>
      <c r="L2211" s="68" t="b">
        <f aca="false">TRUE()</f>
        <v>1</v>
      </c>
    </row>
    <row r="2212" customFormat="false" ht="15" hidden="false" customHeight="false" outlineLevel="0" collapsed="false">
      <c r="A2212" s="62" t="n">
        <v>0</v>
      </c>
      <c r="B2212" s="21" t="s">
        <v>336</v>
      </c>
      <c r="C2212" s="62" t="s">
        <v>60</v>
      </c>
      <c r="D2212" s="62" t="s">
        <v>384</v>
      </c>
      <c r="E2212" s="62" t="s">
        <v>382</v>
      </c>
      <c r="F2212" s="62" t="s">
        <v>382</v>
      </c>
      <c r="G2212" s="63" t="s">
        <v>591</v>
      </c>
      <c r="H2212" s="64" t="n">
        <v>0</v>
      </c>
      <c r="I2212" s="62" t="s">
        <v>878</v>
      </c>
      <c r="J2212" s="64" t="n">
        <v>0</v>
      </c>
      <c r="K2212" s="62" t="s">
        <v>42</v>
      </c>
      <c r="L2212" s="68" t="b">
        <f aca="false">TRUE()</f>
        <v>1</v>
      </c>
    </row>
    <row r="2213" customFormat="false" ht="15" hidden="false" customHeight="false" outlineLevel="0" collapsed="false">
      <c r="A2213" s="62" t="n">
        <v>0</v>
      </c>
      <c r="B2213" s="21" t="s">
        <v>336</v>
      </c>
      <c r="C2213" s="62" t="s">
        <v>60</v>
      </c>
      <c r="D2213" s="62" t="s">
        <v>385</v>
      </c>
      <c r="E2213" s="62" t="s">
        <v>382</v>
      </c>
      <c r="F2213" s="62" t="s">
        <v>382</v>
      </c>
      <c r="G2213" s="63" t="s">
        <v>591</v>
      </c>
      <c r="H2213" s="64" t="n">
        <v>0</v>
      </c>
      <c r="I2213" s="62" t="s">
        <v>878</v>
      </c>
      <c r="J2213" s="64" t="n">
        <v>0</v>
      </c>
      <c r="K2213" s="62" t="s">
        <v>42</v>
      </c>
      <c r="L2213" s="68" t="b">
        <f aca="false">TRUE()</f>
        <v>1</v>
      </c>
    </row>
    <row r="2214" customFormat="false" ht="15" hidden="false" customHeight="false" outlineLevel="0" collapsed="false">
      <c r="A2214" s="62" t="n">
        <v>0</v>
      </c>
      <c r="B2214" s="21" t="s">
        <v>336</v>
      </c>
      <c r="C2214" s="62" t="s">
        <v>60</v>
      </c>
      <c r="D2214" s="62" t="s">
        <v>386</v>
      </c>
      <c r="E2214" s="62" t="s">
        <v>382</v>
      </c>
      <c r="F2214" s="62" t="s">
        <v>382</v>
      </c>
      <c r="G2214" s="63" t="s">
        <v>591</v>
      </c>
      <c r="H2214" s="64" t="n">
        <v>0</v>
      </c>
      <c r="I2214" s="62" t="s">
        <v>878</v>
      </c>
      <c r="J2214" s="64" t="n">
        <v>0</v>
      </c>
      <c r="K2214" s="62" t="s">
        <v>42</v>
      </c>
      <c r="L2214" s="68" t="b">
        <f aca="false">TRUE()</f>
        <v>1</v>
      </c>
    </row>
    <row r="2215" customFormat="false" ht="15" hidden="false" customHeight="false" outlineLevel="0" collapsed="false">
      <c r="A2215" s="62" t="n">
        <v>0</v>
      </c>
      <c r="B2215" s="21" t="s">
        <v>336</v>
      </c>
      <c r="C2215" s="62" t="s">
        <v>60</v>
      </c>
      <c r="D2215" s="62" t="s">
        <v>387</v>
      </c>
      <c r="E2215" s="62" t="s">
        <v>382</v>
      </c>
      <c r="F2215" s="62" t="s">
        <v>382</v>
      </c>
      <c r="G2215" s="63" t="s">
        <v>591</v>
      </c>
      <c r="H2215" s="64" t="n">
        <v>0</v>
      </c>
      <c r="I2215" s="62" t="s">
        <v>878</v>
      </c>
      <c r="J2215" s="64" t="n">
        <v>0</v>
      </c>
      <c r="K2215" s="62" t="s">
        <v>42</v>
      </c>
      <c r="L2215" s="68" t="b">
        <f aca="false">TRUE()</f>
        <v>1</v>
      </c>
    </row>
    <row r="2216" customFormat="false" ht="15" hidden="false" customHeight="false" outlineLevel="0" collapsed="false">
      <c r="A2216" s="62" t="n">
        <v>0</v>
      </c>
      <c r="B2216" s="21" t="s">
        <v>336</v>
      </c>
      <c r="C2216" s="62" t="s">
        <v>60</v>
      </c>
      <c r="D2216" s="62" t="s">
        <v>388</v>
      </c>
      <c r="E2216" s="62" t="s">
        <v>382</v>
      </c>
      <c r="F2216" s="62" t="s">
        <v>382</v>
      </c>
      <c r="G2216" s="63" t="s">
        <v>591</v>
      </c>
      <c r="H2216" s="64" t="n">
        <v>0</v>
      </c>
      <c r="I2216" s="62" t="s">
        <v>878</v>
      </c>
      <c r="J2216" s="64" t="n">
        <v>0</v>
      </c>
      <c r="K2216" s="62" t="s">
        <v>42</v>
      </c>
      <c r="L2216" s="68" t="b">
        <f aca="false">TRUE()</f>
        <v>1</v>
      </c>
    </row>
    <row r="2217" customFormat="false" ht="15" hidden="false" customHeight="false" outlineLevel="0" collapsed="false">
      <c r="A2217" s="62" t="n">
        <v>0</v>
      </c>
      <c r="B2217" s="21" t="s">
        <v>336</v>
      </c>
      <c r="C2217" s="62" t="s">
        <v>60</v>
      </c>
      <c r="D2217" s="62" t="s">
        <v>381</v>
      </c>
      <c r="E2217" s="62" t="s">
        <v>382</v>
      </c>
      <c r="F2217" s="62" t="s">
        <v>382</v>
      </c>
      <c r="G2217" s="63" t="s">
        <v>592</v>
      </c>
      <c r="H2217" s="64" t="n">
        <v>0</v>
      </c>
      <c r="I2217" s="62" t="s">
        <v>878</v>
      </c>
      <c r="J2217" s="64" t="n">
        <v>0</v>
      </c>
      <c r="K2217" s="62" t="s">
        <v>42</v>
      </c>
      <c r="L2217" s="68" t="b">
        <f aca="false">FALSE()</f>
        <v>0</v>
      </c>
    </row>
    <row r="2218" customFormat="false" ht="15" hidden="false" customHeight="false" outlineLevel="0" collapsed="false">
      <c r="A2218" s="62" t="n">
        <v>0</v>
      </c>
      <c r="B2218" s="21" t="s">
        <v>336</v>
      </c>
      <c r="C2218" s="62" t="s">
        <v>60</v>
      </c>
      <c r="D2218" s="62" t="s">
        <v>383</v>
      </c>
      <c r="E2218" s="62" t="s">
        <v>382</v>
      </c>
      <c r="F2218" s="62" t="s">
        <v>382</v>
      </c>
      <c r="G2218" s="63" t="s">
        <v>592</v>
      </c>
      <c r="H2218" s="64" t="n">
        <v>0</v>
      </c>
      <c r="I2218" s="62" t="s">
        <v>878</v>
      </c>
      <c r="J2218" s="64" t="n">
        <v>0</v>
      </c>
      <c r="K2218" s="62" t="s">
        <v>42</v>
      </c>
      <c r="L2218" s="68" t="b">
        <f aca="false">FALSE()</f>
        <v>0</v>
      </c>
    </row>
    <row r="2219" customFormat="false" ht="15" hidden="false" customHeight="false" outlineLevel="0" collapsed="false">
      <c r="A2219" s="62" t="n">
        <v>0</v>
      </c>
      <c r="B2219" s="21" t="s">
        <v>336</v>
      </c>
      <c r="C2219" s="62" t="s">
        <v>60</v>
      </c>
      <c r="D2219" s="62" t="s">
        <v>384</v>
      </c>
      <c r="E2219" s="62" t="s">
        <v>382</v>
      </c>
      <c r="F2219" s="62" t="s">
        <v>382</v>
      </c>
      <c r="G2219" s="63" t="s">
        <v>592</v>
      </c>
      <c r="H2219" s="64" t="n">
        <v>0</v>
      </c>
      <c r="I2219" s="62" t="s">
        <v>878</v>
      </c>
      <c r="J2219" s="64" t="n">
        <v>0</v>
      </c>
      <c r="K2219" s="62" t="s">
        <v>42</v>
      </c>
      <c r="L2219" s="68" t="b">
        <f aca="false">FALSE()</f>
        <v>0</v>
      </c>
    </row>
    <row r="2220" customFormat="false" ht="15" hidden="false" customHeight="false" outlineLevel="0" collapsed="false">
      <c r="A2220" s="62" t="n">
        <v>0</v>
      </c>
      <c r="B2220" s="21" t="s">
        <v>336</v>
      </c>
      <c r="C2220" s="62" t="s">
        <v>60</v>
      </c>
      <c r="D2220" s="62" t="s">
        <v>385</v>
      </c>
      <c r="E2220" s="62" t="s">
        <v>382</v>
      </c>
      <c r="F2220" s="62" t="s">
        <v>382</v>
      </c>
      <c r="G2220" s="63" t="s">
        <v>592</v>
      </c>
      <c r="H2220" s="64" t="n">
        <v>0</v>
      </c>
      <c r="I2220" s="62" t="s">
        <v>878</v>
      </c>
      <c r="J2220" s="64" t="n">
        <v>0</v>
      </c>
      <c r="K2220" s="62" t="s">
        <v>42</v>
      </c>
      <c r="L2220" s="68" t="b">
        <f aca="false">FALSE()</f>
        <v>0</v>
      </c>
    </row>
    <row r="2221" customFormat="false" ht="15" hidden="false" customHeight="false" outlineLevel="0" collapsed="false">
      <c r="A2221" s="62" t="n">
        <v>0</v>
      </c>
      <c r="B2221" s="21" t="s">
        <v>336</v>
      </c>
      <c r="C2221" s="62" t="s">
        <v>60</v>
      </c>
      <c r="D2221" s="62" t="s">
        <v>386</v>
      </c>
      <c r="E2221" s="62" t="s">
        <v>382</v>
      </c>
      <c r="F2221" s="62" t="s">
        <v>382</v>
      </c>
      <c r="G2221" s="63" t="s">
        <v>592</v>
      </c>
      <c r="H2221" s="64" t="n">
        <v>0</v>
      </c>
      <c r="I2221" s="62" t="s">
        <v>878</v>
      </c>
      <c r="J2221" s="64" t="n">
        <v>0</v>
      </c>
      <c r="K2221" s="62" t="s">
        <v>42</v>
      </c>
      <c r="L2221" s="68" t="b">
        <f aca="false">FALSE()</f>
        <v>0</v>
      </c>
    </row>
    <row r="2222" customFormat="false" ht="15" hidden="false" customHeight="false" outlineLevel="0" collapsed="false">
      <c r="A2222" s="62" t="n">
        <v>0</v>
      </c>
      <c r="B2222" s="21" t="s">
        <v>336</v>
      </c>
      <c r="C2222" s="62" t="s">
        <v>60</v>
      </c>
      <c r="D2222" s="62" t="s">
        <v>387</v>
      </c>
      <c r="E2222" s="62" t="s">
        <v>382</v>
      </c>
      <c r="F2222" s="62" t="s">
        <v>382</v>
      </c>
      <c r="G2222" s="63" t="s">
        <v>592</v>
      </c>
      <c r="H2222" s="64" t="n">
        <v>0</v>
      </c>
      <c r="I2222" s="62" t="s">
        <v>878</v>
      </c>
      <c r="J2222" s="64" t="n">
        <v>0</v>
      </c>
      <c r="K2222" s="62" t="s">
        <v>42</v>
      </c>
      <c r="L2222" s="68" t="b">
        <f aca="false">FALSE()</f>
        <v>0</v>
      </c>
    </row>
    <row r="2223" customFormat="false" ht="15" hidden="false" customHeight="false" outlineLevel="0" collapsed="false">
      <c r="A2223" s="62" t="n">
        <v>0</v>
      </c>
      <c r="B2223" s="21" t="s">
        <v>336</v>
      </c>
      <c r="C2223" s="62" t="s">
        <v>60</v>
      </c>
      <c r="D2223" s="62" t="s">
        <v>388</v>
      </c>
      <c r="E2223" s="62" t="s">
        <v>382</v>
      </c>
      <c r="F2223" s="62" t="s">
        <v>382</v>
      </c>
      <c r="G2223" s="63" t="s">
        <v>592</v>
      </c>
      <c r="H2223" s="64" t="n">
        <v>0</v>
      </c>
      <c r="I2223" s="62" t="s">
        <v>878</v>
      </c>
      <c r="J2223" s="64" t="n">
        <v>0</v>
      </c>
      <c r="K2223" s="62" t="s">
        <v>42</v>
      </c>
      <c r="L2223" s="68" t="b">
        <f aca="false">FALSE()</f>
        <v>0</v>
      </c>
    </row>
    <row r="2224" customFormat="false" ht="15" hidden="false" customHeight="false" outlineLevel="0" collapsed="false">
      <c r="A2224" s="62" t="n">
        <v>0</v>
      </c>
      <c r="B2224" s="21" t="s">
        <v>336</v>
      </c>
      <c r="C2224" s="62" t="s">
        <v>60</v>
      </c>
      <c r="D2224" s="62" t="s">
        <v>381</v>
      </c>
      <c r="E2224" s="62" t="s">
        <v>382</v>
      </c>
      <c r="F2224" s="62" t="s">
        <v>382</v>
      </c>
      <c r="G2224" s="63" t="s">
        <v>593</v>
      </c>
      <c r="H2224" s="64" t="n">
        <v>4</v>
      </c>
      <c r="I2224" s="62" t="s">
        <v>878</v>
      </c>
      <c r="J2224" s="64" t="n">
        <v>400</v>
      </c>
      <c r="K2224" s="62" t="s">
        <v>42</v>
      </c>
      <c r="L2224" s="68" t="b">
        <f aca="false">FALSE()</f>
        <v>0</v>
      </c>
    </row>
    <row r="2225" customFormat="false" ht="15" hidden="false" customHeight="false" outlineLevel="0" collapsed="false">
      <c r="A2225" s="62" t="n">
        <v>0</v>
      </c>
      <c r="B2225" s="21" t="s">
        <v>336</v>
      </c>
      <c r="C2225" s="62" t="s">
        <v>60</v>
      </c>
      <c r="D2225" s="62" t="s">
        <v>383</v>
      </c>
      <c r="E2225" s="62" t="s">
        <v>382</v>
      </c>
      <c r="F2225" s="62" t="s">
        <v>382</v>
      </c>
      <c r="G2225" s="63" t="s">
        <v>593</v>
      </c>
      <c r="H2225" s="64" t="n">
        <v>4</v>
      </c>
      <c r="I2225" s="62" t="s">
        <v>878</v>
      </c>
      <c r="J2225" s="64" t="n">
        <v>400</v>
      </c>
      <c r="K2225" s="62" t="s">
        <v>42</v>
      </c>
      <c r="L2225" s="68" t="b">
        <f aca="false">FALSE()</f>
        <v>0</v>
      </c>
    </row>
    <row r="2226" customFormat="false" ht="15" hidden="false" customHeight="false" outlineLevel="0" collapsed="false">
      <c r="A2226" s="62" t="n">
        <v>0</v>
      </c>
      <c r="B2226" s="21" t="s">
        <v>336</v>
      </c>
      <c r="C2226" s="62" t="s">
        <v>60</v>
      </c>
      <c r="D2226" s="62" t="s">
        <v>384</v>
      </c>
      <c r="E2226" s="62" t="s">
        <v>382</v>
      </c>
      <c r="F2226" s="62" t="s">
        <v>382</v>
      </c>
      <c r="G2226" s="63" t="s">
        <v>593</v>
      </c>
      <c r="H2226" s="64" t="n">
        <v>4</v>
      </c>
      <c r="I2226" s="62" t="s">
        <v>878</v>
      </c>
      <c r="J2226" s="64" t="n">
        <v>400</v>
      </c>
      <c r="K2226" s="62" t="s">
        <v>42</v>
      </c>
      <c r="L2226" s="68" t="b">
        <f aca="false">FALSE()</f>
        <v>0</v>
      </c>
    </row>
    <row r="2227" customFormat="false" ht="15" hidden="false" customHeight="false" outlineLevel="0" collapsed="false">
      <c r="A2227" s="62" t="n">
        <v>0</v>
      </c>
      <c r="B2227" s="21" t="s">
        <v>336</v>
      </c>
      <c r="C2227" s="62" t="s">
        <v>60</v>
      </c>
      <c r="D2227" s="62" t="s">
        <v>385</v>
      </c>
      <c r="E2227" s="62" t="s">
        <v>382</v>
      </c>
      <c r="F2227" s="62" t="s">
        <v>382</v>
      </c>
      <c r="G2227" s="63" t="s">
        <v>593</v>
      </c>
      <c r="H2227" s="64" t="n">
        <v>4</v>
      </c>
      <c r="I2227" s="62" t="s">
        <v>878</v>
      </c>
      <c r="J2227" s="64" t="n">
        <v>400</v>
      </c>
      <c r="K2227" s="62" t="s">
        <v>42</v>
      </c>
      <c r="L2227" s="68" t="b">
        <f aca="false">FALSE()</f>
        <v>0</v>
      </c>
    </row>
    <row r="2228" customFormat="false" ht="15" hidden="false" customHeight="false" outlineLevel="0" collapsed="false">
      <c r="A2228" s="62" t="n">
        <v>0</v>
      </c>
      <c r="B2228" s="21" t="s">
        <v>336</v>
      </c>
      <c r="C2228" s="62" t="s">
        <v>60</v>
      </c>
      <c r="D2228" s="62" t="s">
        <v>386</v>
      </c>
      <c r="E2228" s="62" t="s">
        <v>382</v>
      </c>
      <c r="F2228" s="62" t="s">
        <v>382</v>
      </c>
      <c r="G2228" s="63" t="s">
        <v>593</v>
      </c>
      <c r="H2228" s="64" t="n">
        <v>4</v>
      </c>
      <c r="I2228" s="62" t="s">
        <v>878</v>
      </c>
      <c r="J2228" s="64" t="n">
        <v>400</v>
      </c>
      <c r="K2228" s="62" t="s">
        <v>42</v>
      </c>
      <c r="L2228" s="68" t="b">
        <f aca="false">FALSE()</f>
        <v>0</v>
      </c>
    </row>
    <row r="2229" customFormat="false" ht="15" hidden="false" customHeight="false" outlineLevel="0" collapsed="false">
      <c r="A2229" s="62" t="n">
        <v>0</v>
      </c>
      <c r="B2229" s="21" t="s">
        <v>336</v>
      </c>
      <c r="C2229" s="62" t="s">
        <v>60</v>
      </c>
      <c r="D2229" s="62" t="s">
        <v>387</v>
      </c>
      <c r="E2229" s="62" t="s">
        <v>382</v>
      </c>
      <c r="F2229" s="62" t="s">
        <v>382</v>
      </c>
      <c r="G2229" s="63" t="s">
        <v>593</v>
      </c>
      <c r="H2229" s="64" t="n">
        <v>4</v>
      </c>
      <c r="I2229" s="62" t="s">
        <v>878</v>
      </c>
      <c r="J2229" s="64" t="n">
        <v>400</v>
      </c>
      <c r="K2229" s="62" t="s">
        <v>42</v>
      </c>
      <c r="L2229" s="68" t="b">
        <f aca="false">FALSE()</f>
        <v>0</v>
      </c>
    </row>
    <row r="2230" customFormat="false" ht="15" hidden="false" customHeight="false" outlineLevel="0" collapsed="false">
      <c r="A2230" s="62" t="n">
        <v>0</v>
      </c>
      <c r="B2230" s="21" t="s">
        <v>336</v>
      </c>
      <c r="C2230" s="62" t="s">
        <v>60</v>
      </c>
      <c r="D2230" s="62" t="s">
        <v>388</v>
      </c>
      <c r="E2230" s="62" t="s">
        <v>382</v>
      </c>
      <c r="F2230" s="62" t="s">
        <v>382</v>
      </c>
      <c r="G2230" s="63" t="s">
        <v>593</v>
      </c>
      <c r="H2230" s="64" t="n">
        <v>4</v>
      </c>
      <c r="I2230" s="62" t="s">
        <v>878</v>
      </c>
      <c r="J2230" s="64" t="n">
        <v>400</v>
      </c>
      <c r="K2230" s="62" t="s">
        <v>42</v>
      </c>
      <c r="L2230" s="68" t="b">
        <f aca="false">FALSE()</f>
        <v>0</v>
      </c>
    </row>
    <row r="2231" customFormat="false" ht="15" hidden="false" customHeight="false" outlineLevel="0" collapsed="false">
      <c r="A2231" s="62" t="n">
        <v>0</v>
      </c>
      <c r="B2231" s="21" t="s">
        <v>336</v>
      </c>
      <c r="C2231" s="62" t="s">
        <v>60</v>
      </c>
      <c r="D2231" s="62" t="s">
        <v>381</v>
      </c>
      <c r="E2231" s="62" t="s">
        <v>382</v>
      </c>
      <c r="F2231" s="62" t="s">
        <v>382</v>
      </c>
      <c r="G2231" s="63" t="s">
        <v>594</v>
      </c>
      <c r="H2231" s="64" t="n">
        <v>4</v>
      </c>
      <c r="I2231" s="62" t="s">
        <v>878</v>
      </c>
      <c r="J2231" s="64" t="n">
        <v>400</v>
      </c>
      <c r="K2231" s="62" t="s">
        <v>42</v>
      </c>
      <c r="L2231" s="68" t="b">
        <f aca="false">FALSE()</f>
        <v>0</v>
      </c>
    </row>
    <row r="2232" customFormat="false" ht="15" hidden="false" customHeight="false" outlineLevel="0" collapsed="false">
      <c r="A2232" s="62" t="n">
        <v>0</v>
      </c>
      <c r="B2232" s="21" t="s">
        <v>336</v>
      </c>
      <c r="C2232" s="62" t="s">
        <v>60</v>
      </c>
      <c r="D2232" s="62" t="s">
        <v>383</v>
      </c>
      <c r="E2232" s="62" t="s">
        <v>382</v>
      </c>
      <c r="F2232" s="62" t="s">
        <v>382</v>
      </c>
      <c r="G2232" s="63" t="s">
        <v>594</v>
      </c>
      <c r="H2232" s="64" t="n">
        <v>4</v>
      </c>
      <c r="I2232" s="62" t="s">
        <v>878</v>
      </c>
      <c r="J2232" s="64" t="n">
        <v>400</v>
      </c>
      <c r="K2232" s="62" t="s">
        <v>42</v>
      </c>
      <c r="L2232" s="68" t="b">
        <f aca="false">FALSE()</f>
        <v>0</v>
      </c>
    </row>
    <row r="2233" customFormat="false" ht="15" hidden="false" customHeight="false" outlineLevel="0" collapsed="false">
      <c r="A2233" s="62" t="n">
        <v>0</v>
      </c>
      <c r="B2233" s="21" t="s">
        <v>336</v>
      </c>
      <c r="C2233" s="62" t="s">
        <v>60</v>
      </c>
      <c r="D2233" s="62" t="s">
        <v>384</v>
      </c>
      <c r="E2233" s="62" t="s">
        <v>382</v>
      </c>
      <c r="F2233" s="62" t="s">
        <v>382</v>
      </c>
      <c r="G2233" s="63" t="s">
        <v>594</v>
      </c>
      <c r="H2233" s="64" t="n">
        <v>4</v>
      </c>
      <c r="I2233" s="62" t="s">
        <v>878</v>
      </c>
      <c r="J2233" s="64" t="n">
        <v>400</v>
      </c>
      <c r="K2233" s="62" t="s">
        <v>42</v>
      </c>
      <c r="L2233" s="68" t="b">
        <f aca="false">FALSE()</f>
        <v>0</v>
      </c>
    </row>
    <row r="2234" customFormat="false" ht="15" hidden="false" customHeight="false" outlineLevel="0" collapsed="false">
      <c r="A2234" s="62" t="n">
        <v>0</v>
      </c>
      <c r="B2234" s="21" t="s">
        <v>336</v>
      </c>
      <c r="C2234" s="62" t="s">
        <v>60</v>
      </c>
      <c r="D2234" s="62" t="s">
        <v>385</v>
      </c>
      <c r="E2234" s="62" t="s">
        <v>382</v>
      </c>
      <c r="F2234" s="62" t="s">
        <v>382</v>
      </c>
      <c r="G2234" s="63" t="s">
        <v>594</v>
      </c>
      <c r="H2234" s="64" t="n">
        <v>4</v>
      </c>
      <c r="I2234" s="62" t="s">
        <v>878</v>
      </c>
      <c r="J2234" s="64" t="n">
        <v>400</v>
      </c>
      <c r="K2234" s="62" t="s">
        <v>42</v>
      </c>
      <c r="L2234" s="68" t="b">
        <f aca="false">FALSE()</f>
        <v>0</v>
      </c>
    </row>
    <row r="2235" customFormat="false" ht="15" hidden="false" customHeight="false" outlineLevel="0" collapsed="false">
      <c r="A2235" s="62" t="n">
        <v>0</v>
      </c>
      <c r="B2235" s="21" t="s">
        <v>336</v>
      </c>
      <c r="C2235" s="62" t="s">
        <v>60</v>
      </c>
      <c r="D2235" s="62" t="s">
        <v>386</v>
      </c>
      <c r="E2235" s="62" t="s">
        <v>382</v>
      </c>
      <c r="F2235" s="62" t="s">
        <v>382</v>
      </c>
      <c r="G2235" s="63" t="s">
        <v>594</v>
      </c>
      <c r="H2235" s="64" t="n">
        <v>4</v>
      </c>
      <c r="I2235" s="62" t="s">
        <v>878</v>
      </c>
      <c r="J2235" s="64" t="n">
        <v>400</v>
      </c>
      <c r="K2235" s="62" t="s">
        <v>42</v>
      </c>
      <c r="L2235" s="68" t="b">
        <f aca="false">FALSE()</f>
        <v>0</v>
      </c>
    </row>
    <row r="2236" customFormat="false" ht="15" hidden="false" customHeight="false" outlineLevel="0" collapsed="false">
      <c r="A2236" s="62" t="n">
        <v>0</v>
      </c>
      <c r="B2236" s="21" t="s">
        <v>336</v>
      </c>
      <c r="C2236" s="62" t="s">
        <v>60</v>
      </c>
      <c r="D2236" s="62" t="s">
        <v>387</v>
      </c>
      <c r="E2236" s="62" t="s">
        <v>382</v>
      </c>
      <c r="F2236" s="62" t="s">
        <v>382</v>
      </c>
      <c r="G2236" s="63" t="s">
        <v>594</v>
      </c>
      <c r="H2236" s="64" t="n">
        <v>4</v>
      </c>
      <c r="I2236" s="62" t="s">
        <v>878</v>
      </c>
      <c r="J2236" s="64" t="n">
        <v>400</v>
      </c>
      <c r="K2236" s="62" t="s">
        <v>42</v>
      </c>
      <c r="L2236" s="68" t="b">
        <f aca="false">FALSE()</f>
        <v>0</v>
      </c>
    </row>
    <row r="2237" customFormat="false" ht="15" hidden="false" customHeight="false" outlineLevel="0" collapsed="false">
      <c r="A2237" s="62" t="n">
        <v>0</v>
      </c>
      <c r="B2237" s="21" t="s">
        <v>336</v>
      </c>
      <c r="C2237" s="62" t="s">
        <v>60</v>
      </c>
      <c r="D2237" s="62" t="s">
        <v>388</v>
      </c>
      <c r="E2237" s="62" t="s">
        <v>382</v>
      </c>
      <c r="F2237" s="62" t="s">
        <v>382</v>
      </c>
      <c r="G2237" s="63" t="s">
        <v>594</v>
      </c>
      <c r="H2237" s="64" t="n">
        <v>4</v>
      </c>
      <c r="I2237" s="62" t="s">
        <v>878</v>
      </c>
      <c r="J2237" s="64" t="n">
        <v>400</v>
      </c>
      <c r="K2237" s="62" t="s">
        <v>42</v>
      </c>
      <c r="L2237" s="68" t="b">
        <f aca="false">FALSE()</f>
        <v>0</v>
      </c>
    </row>
    <row r="2238" customFormat="false" ht="15" hidden="false" customHeight="false" outlineLevel="0" collapsed="false">
      <c r="A2238" s="62" t="n">
        <v>0</v>
      </c>
      <c r="B2238" s="21" t="s">
        <v>336</v>
      </c>
      <c r="C2238" s="62" t="s">
        <v>60</v>
      </c>
      <c r="D2238" s="62" t="s">
        <v>381</v>
      </c>
      <c r="E2238" s="62" t="s">
        <v>382</v>
      </c>
      <c r="F2238" s="62" t="s">
        <v>382</v>
      </c>
      <c r="G2238" s="63" t="s">
        <v>595</v>
      </c>
      <c r="H2238" s="64" t="n">
        <v>0</v>
      </c>
      <c r="I2238" s="62" t="s">
        <v>878</v>
      </c>
      <c r="J2238" s="64" t="n">
        <v>0</v>
      </c>
      <c r="K2238" s="62" t="s">
        <v>42</v>
      </c>
      <c r="L2238" s="68" t="b">
        <f aca="false">FALSE()</f>
        <v>0</v>
      </c>
    </row>
    <row r="2239" customFormat="false" ht="15" hidden="false" customHeight="false" outlineLevel="0" collapsed="false">
      <c r="A2239" s="62" t="n">
        <v>0</v>
      </c>
      <c r="B2239" s="21" t="s">
        <v>336</v>
      </c>
      <c r="C2239" s="62" t="s">
        <v>60</v>
      </c>
      <c r="D2239" s="62" t="s">
        <v>383</v>
      </c>
      <c r="E2239" s="62" t="s">
        <v>382</v>
      </c>
      <c r="F2239" s="62" t="s">
        <v>382</v>
      </c>
      <c r="G2239" s="63" t="s">
        <v>595</v>
      </c>
      <c r="H2239" s="64" t="n">
        <v>0</v>
      </c>
      <c r="I2239" s="62" t="s">
        <v>878</v>
      </c>
      <c r="J2239" s="64" t="n">
        <v>0</v>
      </c>
      <c r="K2239" s="62" t="s">
        <v>42</v>
      </c>
      <c r="L2239" s="68" t="b">
        <f aca="false">FALSE()</f>
        <v>0</v>
      </c>
    </row>
    <row r="2240" customFormat="false" ht="15" hidden="false" customHeight="false" outlineLevel="0" collapsed="false">
      <c r="A2240" s="62" t="n">
        <v>0</v>
      </c>
      <c r="B2240" s="21" t="s">
        <v>336</v>
      </c>
      <c r="C2240" s="62" t="s">
        <v>60</v>
      </c>
      <c r="D2240" s="62" t="s">
        <v>384</v>
      </c>
      <c r="E2240" s="62" t="s">
        <v>382</v>
      </c>
      <c r="F2240" s="62" t="s">
        <v>382</v>
      </c>
      <c r="G2240" s="63" t="s">
        <v>595</v>
      </c>
      <c r="H2240" s="64" t="n">
        <v>0</v>
      </c>
      <c r="I2240" s="62" t="s">
        <v>878</v>
      </c>
      <c r="J2240" s="64" t="n">
        <v>0</v>
      </c>
      <c r="K2240" s="62" t="s">
        <v>42</v>
      </c>
      <c r="L2240" s="68" t="b">
        <f aca="false">FALSE()</f>
        <v>0</v>
      </c>
    </row>
    <row r="2241" customFormat="false" ht="15" hidden="false" customHeight="false" outlineLevel="0" collapsed="false">
      <c r="A2241" s="62" t="n">
        <v>0</v>
      </c>
      <c r="B2241" s="21" t="s">
        <v>336</v>
      </c>
      <c r="C2241" s="62" t="s">
        <v>60</v>
      </c>
      <c r="D2241" s="62" t="s">
        <v>385</v>
      </c>
      <c r="E2241" s="62" t="s">
        <v>382</v>
      </c>
      <c r="F2241" s="62" t="s">
        <v>382</v>
      </c>
      <c r="G2241" s="63" t="s">
        <v>595</v>
      </c>
      <c r="H2241" s="64" t="n">
        <v>0</v>
      </c>
      <c r="I2241" s="62" t="s">
        <v>878</v>
      </c>
      <c r="J2241" s="64" t="n">
        <v>0</v>
      </c>
      <c r="K2241" s="62" t="s">
        <v>42</v>
      </c>
      <c r="L2241" s="68" t="b">
        <f aca="false">FALSE()</f>
        <v>0</v>
      </c>
    </row>
    <row r="2242" customFormat="false" ht="15" hidden="false" customHeight="false" outlineLevel="0" collapsed="false">
      <c r="A2242" s="62" t="n">
        <v>0</v>
      </c>
      <c r="B2242" s="21" t="s">
        <v>336</v>
      </c>
      <c r="C2242" s="62" t="s">
        <v>60</v>
      </c>
      <c r="D2242" s="62" t="s">
        <v>386</v>
      </c>
      <c r="E2242" s="62" t="s">
        <v>382</v>
      </c>
      <c r="F2242" s="62" t="s">
        <v>382</v>
      </c>
      <c r="G2242" s="63" t="s">
        <v>595</v>
      </c>
      <c r="H2242" s="64" t="n">
        <v>0</v>
      </c>
      <c r="I2242" s="62" t="s">
        <v>878</v>
      </c>
      <c r="J2242" s="64" t="n">
        <v>0</v>
      </c>
      <c r="K2242" s="62" t="s">
        <v>42</v>
      </c>
      <c r="L2242" s="68" t="b">
        <f aca="false">FALSE()</f>
        <v>0</v>
      </c>
    </row>
    <row r="2243" customFormat="false" ht="15" hidden="false" customHeight="false" outlineLevel="0" collapsed="false">
      <c r="A2243" s="62" t="n">
        <v>0</v>
      </c>
      <c r="B2243" s="21" t="s">
        <v>336</v>
      </c>
      <c r="C2243" s="62" t="s">
        <v>60</v>
      </c>
      <c r="D2243" s="62" t="s">
        <v>387</v>
      </c>
      <c r="E2243" s="62" t="s">
        <v>382</v>
      </c>
      <c r="F2243" s="62" t="s">
        <v>382</v>
      </c>
      <c r="G2243" s="63" t="s">
        <v>595</v>
      </c>
      <c r="H2243" s="64" t="n">
        <v>0</v>
      </c>
      <c r="I2243" s="62" t="s">
        <v>878</v>
      </c>
      <c r="J2243" s="64" t="n">
        <v>0</v>
      </c>
      <c r="K2243" s="62" t="s">
        <v>42</v>
      </c>
      <c r="L2243" s="68" t="b">
        <f aca="false">FALSE()</f>
        <v>0</v>
      </c>
    </row>
    <row r="2244" customFormat="false" ht="15" hidden="false" customHeight="false" outlineLevel="0" collapsed="false">
      <c r="A2244" s="62" t="n">
        <v>0</v>
      </c>
      <c r="B2244" s="21" t="s">
        <v>336</v>
      </c>
      <c r="C2244" s="62" t="s">
        <v>60</v>
      </c>
      <c r="D2244" s="62" t="s">
        <v>388</v>
      </c>
      <c r="E2244" s="62" t="s">
        <v>382</v>
      </c>
      <c r="F2244" s="62" t="s">
        <v>382</v>
      </c>
      <c r="G2244" s="63" t="s">
        <v>595</v>
      </c>
      <c r="H2244" s="64" t="n">
        <v>0</v>
      </c>
      <c r="I2244" s="62" t="s">
        <v>878</v>
      </c>
      <c r="J2244" s="64" t="n">
        <v>0</v>
      </c>
      <c r="K2244" s="62" t="s">
        <v>42</v>
      </c>
      <c r="L2244" s="68" t="b">
        <f aca="false">FALSE()</f>
        <v>0</v>
      </c>
    </row>
    <row r="2245" customFormat="false" ht="15" hidden="false" customHeight="false" outlineLevel="0" collapsed="false">
      <c r="A2245" s="62" t="n">
        <v>0</v>
      </c>
      <c r="B2245" s="21" t="s">
        <v>336</v>
      </c>
      <c r="C2245" s="62" t="s">
        <v>60</v>
      </c>
      <c r="D2245" s="62" t="s">
        <v>381</v>
      </c>
      <c r="E2245" s="62" t="s">
        <v>382</v>
      </c>
      <c r="F2245" s="62" t="s">
        <v>382</v>
      </c>
      <c r="G2245" s="63" t="s">
        <v>596</v>
      </c>
      <c r="H2245" s="64" t="n">
        <v>8</v>
      </c>
      <c r="I2245" s="62" t="s">
        <v>878</v>
      </c>
      <c r="J2245" s="64" t="n">
        <v>800</v>
      </c>
      <c r="K2245" s="62" t="s">
        <v>42</v>
      </c>
      <c r="L2245" s="68" t="b">
        <f aca="false">FALSE()</f>
        <v>0</v>
      </c>
    </row>
    <row r="2246" customFormat="false" ht="15" hidden="false" customHeight="false" outlineLevel="0" collapsed="false">
      <c r="A2246" s="62" t="n">
        <v>0</v>
      </c>
      <c r="B2246" s="21" t="s">
        <v>336</v>
      </c>
      <c r="C2246" s="62" t="s">
        <v>60</v>
      </c>
      <c r="D2246" s="62" t="s">
        <v>383</v>
      </c>
      <c r="E2246" s="62" t="s">
        <v>382</v>
      </c>
      <c r="F2246" s="62" t="s">
        <v>382</v>
      </c>
      <c r="G2246" s="63" t="s">
        <v>596</v>
      </c>
      <c r="H2246" s="64" t="n">
        <v>8</v>
      </c>
      <c r="I2246" s="62" t="s">
        <v>878</v>
      </c>
      <c r="J2246" s="64" t="n">
        <v>800</v>
      </c>
      <c r="K2246" s="62" t="s">
        <v>42</v>
      </c>
      <c r="L2246" s="68" t="b">
        <f aca="false">FALSE()</f>
        <v>0</v>
      </c>
    </row>
    <row r="2247" customFormat="false" ht="15" hidden="false" customHeight="false" outlineLevel="0" collapsed="false">
      <c r="A2247" s="62" t="n">
        <v>0</v>
      </c>
      <c r="B2247" s="21" t="s">
        <v>336</v>
      </c>
      <c r="C2247" s="62" t="s">
        <v>60</v>
      </c>
      <c r="D2247" s="62" t="s">
        <v>384</v>
      </c>
      <c r="E2247" s="62" t="s">
        <v>382</v>
      </c>
      <c r="F2247" s="62" t="s">
        <v>382</v>
      </c>
      <c r="G2247" s="63" t="s">
        <v>596</v>
      </c>
      <c r="H2247" s="64" t="n">
        <v>8</v>
      </c>
      <c r="I2247" s="62" t="s">
        <v>878</v>
      </c>
      <c r="J2247" s="64" t="n">
        <v>800</v>
      </c>
      <c r="K2247" s="62" t="s">
        <v>42</v>
      </c>
      <c r="L2247" s="68" t="b">
        <f aca="false">FALSE()</f>
        <v>0</v>
      </c>
    </row>
    <row r="2248" customFormat="false" ht="15" hidden="false" customHeight="false" outlineLevel="0" collapsed="false">
      <c r="A2248" s="62" t="n">
        <v>0</v>
      </c>
      <c r="B2248" s="21" t="s">
        <v>336</v>
      </c>
      <c r="C2248" s="62" t="s">
        <v>60</v>
      </c>
      <c r="D2248" s="62" t="s">
        <v>385</v>
      </c>
      <c r="E2248" s="62" t="s">
        <v>382</v>
      </c>
      <c r="F2248" s="62" t="s">
        <v>382</v>
      </c>
      <c r="G2248" s="63" t="s">
        <v>596</v>
      </c>
      <c r="H2248" s="64" t="n">
        <v>8</v>
      </c>
      <c r="I2248" s="62" t="s">
        <v>878</v>
      </c>
      <c r="J2248" s="64" t="n">
        <v>800</v>
      </c>
      <c r="K2248" s="62" t="s">
        <v>42</v>
      </c>
      <c r="L2248" s="68" t="b">
        <f aca="false">FALSE()</f>
        <v>0</v>
      </c>
    </row>
    <row r="2249" customFormat="false" ht="15" hidden="false" customHeight="false" outlineLevel="0" collapsed="false">
      <c r="A2249" s="62" t="n">
        <v>0</v>
      </c>
      <c r="B2249" s="21" t="s">
        <v>336</v>
      </c>
      <c r="C2249" s="62" t="s">
        <v>60</v>
      </c>
      <c r="D2249" s="62" t="s">
        <v>386</v>
      </c>
      <c r="E2249" s="62" t="s">
        <v>382</v>
      </c>
      <c r="F2249" s="62" t="s">
        <v>382</v>
      </c>
      <c r="G2249" s="63" t="s">
        <v>596</v>
      </c>
      <c r="H2249" s="64" t="n">
        <v>8</v>
      </c>
      <c r="I2249" s="62" t="s">
        <v>878</v>
      </c>
      <c r="J2249" s="64" t="n">
        <v>800</v>
      </c>
      <c r="K2249" s="62" t="s">
        <v>42</v>
      </c>
      <c r="L2249" s="68" t="b">
        <f aca="false">FALSE()</f>
        <v>0</v>
      </c>
    </row>
    <row r="2250" customFormat="false" ht="15" hidden="false" customHeight="false" outlineLevel="0" collapsed="false">
      <c r="A2250" s="62" t="n">
        <v>0</v>
      </c>
      <c r="B2250" s="21" t="s">
        <v>336</v>
      </c>
      <c r="C2250" s="62" t="s">
        <v>60</v>
      </c>
      <c r="D2250" s="62" t="s">
        <v>387</v>
      </c>
      <c r="E2250" s="62" t="s">
        <v>382</v>
      </c>
      <c r="F2250" s="62" t="s">
        <v>382</v>
      </c>
      <c r="G2250" s="63" t="s">
        <v>596</v>
      </c>
      <c r="H2250" s="64" t="n">
        <v>8</v>
      </c>
      <c r="I2250" s="62" t="s">
        <v>878</v>
      </c>
      <c r="J2250" s="64" t="n">
        <v>800</v>
      </c>
      <c r="K2250" s="62" t="s">
        <v>42</v>
      </c>
      <c r="L2250" s="68" t="b">
        <f aca="false">FALSE()</f>
        <v>0</v>
      </c>
    </row>
    <row r="2251" customFormat="false" ht="15" hidden="false" customHeight="false" outlineLevel="0" collapsed="false">
      <c r="A2251" s="62" t="n">
        <v>0</v>
      </c>
      <c r="B2251" s="21" t="s">
        <v>336</v>
      </c>
      <c r="C2251" s="62" t="s">
        <v>60</v>
      </c>
      <c r="D2251" s="62" t="s">
        <v>388</v>
      </c>
      <c r="E2251" s="62" t="s">
        <v>382</v>
      </c>
      <c r="F2251" s="62" t="s">
        <v>382</v>
      </c>
      <c r="G2251" s="63" t="s">
        <v>596</v>
      </c>
      <c r="H2251" s="64" t="n">
        <v>8</v>
      </c>
      <c r="I2251" s="62" t="s">
        <v>878</v>
      </c>
      <c r="J2251" s="64" t="n">
        <v>800</v>
      </c>
      <c r="K2251" s="62" t="s">
        <v>42</v>
      </c>
      <c r="L2251" s="68" t="b">
        <f aca="false">FALSE()</f>
        <v>0</v>
      </c>
    </row>
    <row r="2252" customFormat="false" ht="15" hidden="false" customHeight="false" outlineLevel="0" collapsed="false">
      <c r="A2252" s="62" t="n">
        <v>0</v>
      </c>
      <c r="B2252" s="21" t="s">
        <v>336</v>
      </c>
      <c r="C2252" s="62" t="s">
        <v>60</v>
      </c>
      <c r="D2252" s="62" t="s">
        <v>381</v>
      </c>
      <c r="E2252" s="62" t="s">
        <v>382</v>
      </c>
      <c r="F2252" s="62" t="s">
        <v>382</v>
      </c>
      <c r="G2252" s="63" t="s">
        <v>597</v>
      </c>
      <c r="H2252" s="64" t="n">
        <v>-5.15</v>
      </c>
      <c r="I2252" s="62" t="s">
        <v>878</v>
      </c>
      <c r="J2252" s="64" t="n">
        <v>-515</v>
      </c>
      <c r="K2252" s="62" t="s">
        <v>42</v>
      </c>
      <c r="L2252" s="68" t="b">
        <f aca="false">TRUE()</f>
        <v>1</v>
      </c>
    </row>
    <row r="2253" customFormat="false" ht="15" hidden="false" customHeight="false" outlineLevel="0" collapsed="false">
      <c r="A2253" s="62" t="n">
        <v>0</v>
      </c>
      <c r="B2253" s="21" t="s">
        <v>336</v>
      </c>
      <c r="C2253" s="62" t="s">
        <v>60</v>
      </c>
      <c r="D2253" s="62" t="s">
        <v>383</v>
      </c>
      <c r="E2253" s="62" t="s">
        <v>382</v>
      </c>
      <c r="F2253" s="62" t="s">
        <v>382</v>
      </c>
      <c r="G2253" s="63" t="s">
        <v>597</v>
      </c>
      <c r="H2253" s="64" t="n">
        <v>-5.15</v>
      </c>
      <c r="I2253" s="62" t="s">
        <v>878</v>
      </c>
      <c r="J2253" s="64" t="n">
        <v>-515</v>
      </c>
      <c r="K2253" s="62" t="s">
        <v>42</v>
      </c>
      <c r="L2253" s="68" t="b">
        <f aca="false">TRUE()</f>
        <v>1</v>
      </c>
    </row>
    <row r="2254" customFormat="false" ht="15" hidden="false" customHeight="false" outlineLevel="0" collapsed="false">
      <c r="A2254" s="62" t="n">
        <v>0</v>
      </c>
      <c r="B2254" s="21" t="s">
        <v>336</v>
      </c>
      <c r="C2254" s="62" t="s">
        <v>60</v>
      </c>
      <c r="D2254" s="62" t="s">
        <v>384</v>
      </c>
      <c r="E2254" s="62" t="s">
        <v>382</v>
      </c>
      <c r="F2254" s="62" t="s">
        <v>382</v>
      </c>
      <c r="G2254" s="63" t="s">
        <v>597</v>
      </c>
      <c r="H2254" s="64" t="n">
        <v>-5.15</v>
      </c>
      <c r="I2254" s="62" t="s">
        <v>878</v>
      </c>
      <c r="J2254" s="64" t="n">
        <v>-515</v>
      </c>
      <c r="K2254" s="62" t="s">
        <v>42</v>
      </c>
      <c r="L2254" s="68" t="b">
        <f aca="false">TRUE()</f>
        <v>1</v>
      </c>
    </row>
    <row r="2255" customFormat="false" ht="15" hidden="false" customHeight="false" outlineLevel="0" collapsed="false">
      <c r="A2255" s="62" t="n">
        <v>0</v>
      </c>
      <c r="B2255" s="21" t="s">
        <v>336</v>
      </c>
      <c r="C2255" s="62" t="s">
        <v>60</v>
      </c>
      <c r="D2255" s="62" t="s">
        <v>385</v>
      </c>
      <c r="E2255" s="62" t="s">
        <v>382</v>
      </c>
      <c r="F2255" s="62" t="s">
        <v>382</v>
      </c>
      <c r="G2255" s="63" t="s">
        <v>597</v>
      </c>
      <c r="H2255" s="64" t="n">
        <v>-5.15</v>
      </c>
      <c r="I2255" s="62" t="s">
        <v>878</v>
      </c>
      <c r="J2255" s="64" t="n">
        <v>-515</v>
      </c>
      <c r="K2255" s="62" t="s">
        <v>42</v>
      </c>
      <c r="L2255" s="68" t="b">
        <f aca="false">TRUE()</f>
        <v>1</v>
      </c>
    </row>
    <row r="2256" customFormat="false" ht="15" hidden="false" customHeight="false" outlineLevel="0" collapsed="false">
      <c r="A2256" s="62" t="n">
        <v>0</v>
      </c>
      <c r="B2256" s="21" t="s">
        <v>336</v>
      </c>
      <c r="C2256" s="62" t="s">
        <v>60</v>
      </c>
      <c r="D2256" s="62" t="s">
        <v>386</v>
      </c>
      <c r="E2256" s="62" t="s">
        <v>382</v>
      </c>
      <c r="F2256" s="62" t="s">
        <v>382</v>
      </c>
      <c r="G2256" s="63" t="s">
        <v>597</v>
      </c>
      <c r="H2256" s="64" t="n">
        <v>-5.15</v>
      </c>
      <c r="I2256" s="62" t="s">
        <v>878</v>
      </c>
      <c r="J2256" s="64" t="n">
        <v>-515</v>
      </c>
      <c r="K2256" s="62" t="s">
        <v>42</v>
      </c>
      <c r="L2256" s="68" t="b">
        <f aca="false">TRUE()</f>
        <v>1</v>
      </c>
    </row>
    <row r="2257" customFormat="false" ht="15" hidden="false" customHeight="false" outlineLevel="0" collapsed="false">
      <c r="A2257" s="62" t="n">
        <v>0</v>
      </c>
      <c r="B2257" s="21" t="s">
        <v>336</v>
      </c>
      <c r="C2257" s="62" t="s">
        <v>60</v>
      </c>
      <c r="D2257" s="62" t="s">
        <v>387</v>
      </c>
      <c r="E2257" s="62" t="s">
        <v>382</v>
      </c>
      <c r="F2257" s="62" t="s">
        <v>382</v>
      </c>
      <c r="G2257" s="63" t="s">
        <v>597</v>
      </c>
      <c r="H2257" s="64" t="n">
        <v>-5.15</v>
      </c>
      <c r="I2257" s="62" t="s">
        <v>878</v>
      </c>
      <c r="J2257" s="64" t="n">
        <v>-515</v>
      </c>
      <c r="K2257" s="62" t="s">
        <v>42</v>
      </c>
      <c r="L2257" s="68" t="b">
        <f aca="false">TRUE()</f>
        <v>1</v>
      </c>
    </row>
    <row r="2258" customFormat="false" ht="15" hidden="false" customHeight="false" outlineLevel="0" collapsed="false">
      <c r="A2258" s="62" t="n">
        <v>0</v>
      </c>
      <c r="B2258" s="21" t="s">
        <v>336</v>
      </c>
      <c r="C2258" s="62" t="s">
        <v>60</v>
      </c>
      <c r="D2258" s="62" t="s">
        <v>388</v>
      </c>
      <c r="E2258" s="62" t="s">
        <v>382</v>
      </c>
      <c r="F2258" s="62" t="s">
        <v>382</v>
      </c>
      <c r="G2258" s="63" t="s">
        <v>597</v>
      </c>
      <c r="H2258" s="64" t="n">
        <v>-5.15</v>
      </c>
      <c r="I2258" s="62" t="s">
        <v>878</v>
      </c>
      <c r="J2258" s="64" t="n">
        <v>-515</v>
      </c>
      <c r="K2258" s="62" t="s">
        <v>42</v>
      </c>
      <c r="L2258" s="68" t="b">
        <f aca="false">TRUE()</f>
        <v>1</v>
      </c>
    </row>
    <row r="2259" customFormat="false" ht="15" hidden="false" customHeight="false" outlineLevel="0" collapsed="false">
      <c r="A2259" s="62" t="n">
        <v>0</v>
      </c>
      <c r="B2259" s="21" t="s">
        <v>336</v>
      </c>
      <c r="C2259" s="62" t="s">
        <v>60</v>
      </c>
      <c r="D2259" s="62" t="s">
        <v>381</v>
      </c>
      <c r="E2259" s="62" t="s">
        <v>382</v>
      </c>
      <c r="F2259" s="62" t="s">
        <v>382</v>
      </c>
      <c r="G2259" s="63" t="s">
        <v>598</v>
      </c>
      <c r="H2259" s="64" t="n">
        <v>0</v>
      </c>
      <c r="I2259" s="62" t="s">
        <v>878</v>
      </c>
      <c r="J2259" s="64" t="n">
        <v>0</v>
      </c>
      <c r="K2259" s="62" t="s">
        <v>42</v>
      </c>
      <c r="L2259" s="68" t="b">
        <f aca="false">TRUE()</f>
        <v>1</v>
      </c>
    </row>
    <row r="2260" customFormat="false" ht="15" hidden="false" customHeight="false" outlineLevel="0" collapsed="false">
      <c r="A2260" s="62" t="n">
        <v>0</v>
      </c>
      <c r="B2260" s="21" t="s">
        <v>336</v>
      </c>
      <c r="C2260" s="62" t="s">
        <v>60</v>
      </c>
      <c r="D2260" s="62" t="s">
        <v>383</v>
      </c>
      <c r="E2260" s="62" t="s">
        <v>382</v>
      </c>
      <c r="F2260" s="62" t="s">
        <v>382</v>
      </c>
      <c r="G2260" s="63" t="s">
        <v>598</v>
      </c>
      <c r="H2260" s="64" t="n">
        <v>0</v>
      </c>
      <c r="I2260" s="62" t="s">
        <v>878</v>
      </c>
      <c r="J2260" s="64" t="n">
        <v>0</v>
      </c>
      <c r="K2260" s="62" t="s">
        <v>42</v>
      </c>
      <c r="L2260" s="68" t="b">
        <f aca="false">TRUE()</f>
        <v>1</v>
      </c>
    </row>
    <row r="2261" customFormat="false" ht="15" hidden="false" customHeight="false" outlineLevel="0" collapsed="false">
      <c r="A2261" s="62" t="n">
        <v>0</v>
      </c>
      <c r="B2261" s="21" t="s">
        <v>336</v>
      </c>
      <c r="C2261" s="62" t="s">
        <v>60</v>
      </c>
      <c r="D2261" s="62" t="s">
        <v>384</v>
      </c>
      <c r="E2261" s="62" t="s">
        <v>382</v>
      </c>
      <c r="F2261" s="62" t="s">
        <v>382</v>
      </c>
      <c r="G2261" s="63" t="s">
        <v>598</v>
      </c>
      <c r="H2261" s="64" t="n">
        <v>0</v>
      </c>
      <c r="I2261" s="62" t="s">
        <v>878</v>
      </c>
      <c r="J2261" s="64" t="n">
        <v>0</v>
      </c>
      <c r="K2261" s="62" t="s">
        <v>42</v>
      </c>
      <c r="L2261" s="68" t="b">
        <f aca="false">TRUE()</f>
        <v>1</v>
      </c>
    </row>
    <row r="2262" customFormat="false" ht="15" hidden="false" customHeight="false" outlineLevel="0" collapsed="false">
      <c r="A2262" s="62" t="n">
        <v>0</v>
      </c>
      <c r="B2262" s="21" t="s">
        <v>336</v>
      </c>
      <c r="C2262" s="62" t="s">
        <v>60</v>
      </c>
      <c r="D2262" s="62" t="s">
        <v>385</v>
      </c>
      <c r="E2262" s="62" t="s">
        <v>382</v>
      </c>
      <c r="F2262" s="62" t="s">
        <v>382</v>
      </c>
      <c r="G2262" s="63" t="s">
        <v>598</v>
      </c>
      <c r="H2262" s="64" t="n">
        <v>0</v>
      </c>
      <c r="I2262" s="62" t="s">
        <v>878</v>
      </c>
      <c r="J2262" s="64" t="n">
        <v>0</v>
      </c>
      <c r="K2262" s="62" t="s">
        <v>42</v>
      </c>
      <c r="L2262" s="68" t="b">
        <f aca="false">TRUE()</f>
        <v>1</v>
      </c>
    </row>
    <row r="2263" customFormat="false" ht="15" hidden="false" customHeight="false" outlineLevel="0" collapsed="false">
      <c r="A2263" s="62" t="n">
        <v>0</v>
      </c>
      <c r="B2263" s="21" t="s">
        <v>336</v>
      </c>
      <c r="C2263" s="62" t="s">
        <v>60</v>
      </c>
      <c r="D2263" s="62" t="s">
        <v>386</v>
      </c>
      <c r="E2263" s="62" t="s">
        <v>382</v>
      </c>
      <c r="F2263" s="62" t="s">
        <v>382</v>
      </c>
      <c r="G2263" s="63" t="s">
        <v>598</v>
      </c>
      <c r="H2263" s="64" t="n">
        <v>0</v>
      </c>
      <c r="I2263" s="62" t="s">
        <v>878</v>
      </c>
      <c r="J2263" s="64" t="n">
        <v>0</v>
      </c>
      <c r="K2263" s="62" t="s">
        <v>42</v>
      </c>
      <c r="L2263" s="68" t="b">
        <f aca="false">TRUE()</f>
        <v>1</v>
      </c>
    </row>
    <row r="2264" customFormat="false" ht="15" hidden="false" customHeight="false" outlineLevel="0" collapsed="false">
      <c r="A2264" s="62" t="n">
        <v>0</v>
      </c>
      <c r="B2264" s="21" t="s">
        <v>336</v>
      </c>
      <c r="C2264" s="62" t="s">
        <v>60</v>
      </c>
      <c r="D2264" s="62" t="s">
        <v>387</v>
      </c>
      <c r="E2264" s="62" t="s">
        <v>382</v>
      </c>
      <c r="F2264" s="62" t="s">
        <v>382</v>
      </c>
      <c r="G2264" s="63" t="s">
        <v>598</v>
      </c>
      <c r="H2264" s="64" t="n">
        <v>0</v>
      </c>
      <c r="I2264" s="62" t="s">
        <v>878</v>
      </c>
      <c r="J2264" s="64" t="n">
        <v>0</v>
      </c>
      <c r="K2264" s="62" t="s">
        <v>42</v>
      </c>
      <c r="L2264" s="68" t="b">
        <f aca="false">TRUE()</f>
        <v>1</v>
      </c>
    </row>
    <row r="2265" customFormat="false" ht="15" hidden="false" customHeight="false" outlineLevel="0" collapsed="false">
      <c r="A2265" s="62" t="n">
        <v>0</v>
      </c>
      <c r="B2265" s="21" t="s">
        <v>336</v>
      </c>
      <c r="C2265" s="62" t="s">
        <v>60</v>
      </c>
      <c r="D2265" s="62" t="s">
        <v>388</v>
      </c>
      <c r="E2265" s="62" t="s">
        <v>382</v>
      </c>
      <c r="F2265" s="62" t="s">
        <v>382</v>
      </c>
      <c r="G2265" s="63" t="s">
        <v>598</v>
      </c>
      <c r="H2265" s="64" t="n">
        <v>0</v>
      </c>
      <c r="I2265" s="62" t="s">
        <v>878</v>
      </c>
      <c r="J2265" s="64" t="n">
        <v>0</v>
      </c>
      <c r="K2265" s="62" t="s">
        <v>42</v>
      </c>
      <c r="L2265" s="68" t="b">
        <f aca="false">TRUE()</f>
        <v>1</v>
      </c>
    </row>
    <row r="2266" customFormat="false" ht="15" hidden="false" customHeight="false" outlineLevel="0" collapsed="false">
      <c r="A2266" s="62" t="n">
        <v>0</v>
      </c>
      <c r="B2266" s="21" t="s">
        <v>336</v>
      </c>
      <c r="C2266" s="62" t="s">
        <v>60</v>
      </c>
      <c r="D2266" s="62" t="s">
        <v>381</v>
      </c>
      <c r="E2266" s="62" t="s">
        <v>382</v>
      </c>
      <c r="F2266" s="62" t="s">
        <v>382</v>
      </c>
      <c r="G2266" s="63" t="s">
        <v>599</v>
      </c>
      <c r="H2266" s="64" t="n">
        <v>-2.85</v>
      </c>
      <c r="I2266" s="62" t="s">
        <v>878</v>
      </c>
      <c r="J2266" s="64" t="n">
        <v>-285</v>
      </c>
      <c r="K2266" s="62" t="s">
        <v>42</v>
      </c>
      <c r="L2266" s="68" t="b">
        <f aca="false">FALSE()</f>
        <v>0</v>
      </c>
    </row>
    <row r="2267" customFormat="false" ht="15" hidden="false" customHeight="false" outlineLevel="0" collapsed="false">
      <c r="A2267" s="62" t="n">
        <v>0</v>
      </c>
      <c r="B2267" s="21" t="s">
        <v>336</v>
      </c>
      <c r="C2267" s="62" t="s">
        <v>60</v>
      </c>
      <c r="D2267" s="62" t="s">
        <v>383</v>
      </c>
      <c r="E2267" s="62" t="s">
        <v>382</v>
      </c>
      <c r="F2267" s="62" t="s">
        <v>382</v>
      </c>
      <c r="G2267" s="63" t="s">
        <v>599</v>
      </c>
      <c r="H2267" s="64" t="n">
        <v>-2.85</v>
      </c>
      <c r="I2267" s="62" t="s">
        <v>878</v>
      </c>
      <c r="J2267" s="64" t="n">
        <v>-285</v>
      </c>
      <c r="K2267" s="62" t="s">
        <v>42</v>
      </c>
      <c r="L2267" s="68" t="b">
        <f aca="false">FALSE()</f>
        <v>0</v>
      </c>
    </row>
    <row r="2268" customFormat="false" ht="15" hidden="false" customHeight="false" outlineLevel="0" collapsed="false">
      <c r="A2268" s="62" t="n">
        <v>0</v>
      </c>
      <c r="B2268" s="21" t="s">
        <v>336</v>
      </c>
      <c r="C2268" s="62" t="s">
        <v>60</v>
      </c>
      <c r="D2268" s="62" t="s">
        <v>384</v>
      </c>
      <c r="E2268" s="62" t="s">
        <v>382</v>
      </c>
      <c r="F2268" s="62" t="s">
        <v>382</v>
      </c>
      <c r="G2268" s="63" t="s">
        <v>599</v>
      </c>
      <c r="H2268" s="64" t="n">
        <v>-2.85</v>
      </c>
      <c r="I2268" s="62" t="s">
        <v>878</v>
      </c>
      <c r="J2268" s="64" t="n">
        <v>-285</v>
      </c>
      <c r="K2268" s="62" t="s">
        <v>42</v>
      </c>
      <c r="L2268" s="68" t="b">
        <f aca="false">FALSE()</f>
        <v>0</v>
      </c>
    </row>
    <row r="2269" customFormat="false" ht="15" hidden="false" customHeight="false" outlineLevel="0" collapsed="false">
      <c r="A2269" s="62" t="n">
        <v>0</v>
      </c>
      <c r="B2269" s="21" t="s">
        <v>336</v>
      </c>
      <c r="C2269" s="62" t="s">
        <v>60</v>
      </c>
      <c r="D2269" s="62" t="s">
        <v>385</v>
      </c>
      <c r="E2269" s="62" t="s">
        <v>382</v>
      </c>
      <c r="F2269" s="62" t="s">
        <v>382</v>
      </c>
      <c r="G2269" s="63" t="s">
        <v>599</v>
      </c>
      <c r="H2269" s="64" t="n">
        <v>-2.85</v>
      </c>
      <c r="I2269" s="62" t="s">
        <v>878</v>
      </c>
      <c r="J2269" s="64" t="n">
        <v>-285</v>
      </c>
      <c r="K2269" s="62" t="s">
        <v>42</v>
      </c>
      <c r="L2269" s="68" t="b">
        <f aca="false">FALSE()</f>
        <v>0</v>
      </c>
    </row>
    <row r="2270" customFormat="false" ht="15" hidden="false" customHeight="false" outlineLevel="0" collapsed="false">
      <c r="A2270" s="62" t="n">
        <v>0</v>
      </c>
      <c r="B2270" s="21" t="s">
        <v>336</v>
      </c>
      <c r="C2270" s="62" t="s">
        <v>60</v>
      </c>
      <c r="D2270" s="62" t="s">
        <v>386</v>
      </c>
      <c r="E2270" s="62" t="s">
        <v>382</v>
      </c>
      <c r="F2270" s="62" t="s">
        <v>382</v>
      </c>
      <c r="G2270" s="63" t="s">
        <v>599</v>
      </c>
      <c r="H2270" s="64" t="n">
        <v>-2.85</v>
      </c>
      <c r="I2270" s="62" t="s">
        <v>878</v>
      </c>
      <c r="J2270" s="64" t="n">
        <v>-285</v>
      </c>
      <c r="K2270" s="62" t="s">
        <v>42</v>
      </c>
      <c r="L2270" s="68" t="b">
        <f aca="false">FALSE()</f>
        <v>0</v>
      </c>
    </row>
    <row r="2271" customFormat="false" ht="15" hidden="false" customHeight="false" outlineLevel="0" collapsed="false">
      <c r="A2271" s="62" t="n">
        <v>0</v>
      </c>
      <c r="B2271" s="21" t="s">
        <v>336</v>
      </c>
      <c r="C2271" s="62" t="s">
        <v>60</v>
      </c>
      <c r="D2271" s="62" t="s">
        <v>387</v>
      </c>
      <c r="E2271" s="62" t="s">
        <v>382</v>
      </c>
      <c r="F2271" s="62" t="s">
        <v>382</v>
      </c>
      <c r="G2271" s="63" t="s">
        <v>599</v>
      </c>
      <c r="H2271" s="64" t="n">
        <v>-2.85</v>
      </c>
      <c r="I2271" s="62" t="s">
        <v>878</v>
      </c>
      <c r="J2271" s="64" t="n">
        <v>-285</v>
      </c>
      <c r="K2271" s="62" t="s">
        <v>42</v>
      </c>
      <c r="L2271" s="68" t="b">
        <f aca="false">FALSE()</f>
        <v>0</v>
      </c>
    </row>
    <row r="2272" customFormat="false" ht="15" hidden="false" customHeight="false" outlineLevel="0" collapsed="false">
      <c r="A2272" s="62" t="n">
        <v>0</v>
      </c>
      <c r="B2272" s="21" t="s">
        <v>336</v>
      </c>
      <c r="C2272" s="62" t="s">
        <v>60</v>
      </c>
      <c r="D2272" s="62" t="s">
        <v>388</v>
      </c>
      <c r="E2272" s="62" t="s">
        <v>382</v>
      </c>
      <c r="F2272" s="62" t="s">
        <v>382</v>
      </c>
      <c r="G2272" s="63" t="s">
        <v>599</v>
      </c>
      <c r="H2272" s="64" t="n">
        <v>-2.85</v>
      </c>
      <c r="I2272" s="62" t="s">
        <v>878</v>
      </c>
      <c r="J2272" s="64" t="n">
        <v>-285</v>
      </c>
      <c r="K2272" s="62" t="s">
        <v>42</v>
      </c>
      <c r="L2272" s="68" t="b">
        <f aca="false">FALSE()</f>
        <v>0</v>
      </c>
    </row>
    <row r="2273" customFormat="false" ht="15" hidden="false" customHeight="false" outlineLevel="0" collapsed="false">
      <c r="A2273" s="62" t="n">
        <v>0</v>
      </c>
      <c r="B2273" s="21" t="s">
        <v>336</v>
      </c>
      <c r="C2273" s="62" t="s">
        <v>60</v>
      </c>
      <c r="D2273" s="62" t="s">
        <v>381</v>
      </c>
      <c r="E2273" s="62" t="s">
        <v>382</v>
      </c>
      <c r="F2273" s="62" t="s">
        <v>382</v>
      </c>
      <c r="G2273" s="63" t="s">
        <v>600</v>
      </c>
      <c r="H2273" s="64" t="n">
        <v>5.05</v>
      </c>
      <c r="I2273" s="62" t="s">
        <v>878</v>
      </c>
      <c r="J2273" s="64" t="n">
        <v>505</v>
      </c>
      <c r="K2273" s="62" t="s">
        <v>42</v>
      </c>
      <c r="L2273" s="68" t="b">
        <f aca="false">FALSE()</f>
        <v>0</v>
      </c>
    </row>
    <row r="2274" customFormat="false" ht="15" hidden="false" customHeight="false" outlineLevel="0" collapsed="false">
      <c r="A2274" s="62" t="n">
        <v>0</v>
      </c>
      <c r="B2274" s="21" t="s">
        <v>336</v>
      </c>
      <c r="C2274" s="62" t="s">
        <v>60</v>
      </c>
      <c r="D2274" s="62" t="s">
        <v>383</v>
      </c>
      <c r="E2274" s="62" t="s">
        <v>382</v>
      </c>
      <c r="F2274" s="62" t="s">
        <v>382</v>
      </c>
      <c r="G2274" s="63" t="s">
        <v>600</v>
      </c>
      <c r="H2274" s="64" t="n">
        <v>5.05</v>
      </c>
      <c r="I2274" s="62" t="s">
        <v>878</v>
      </c>
      <c r="J2274" s="64" t="n">
        <v>505</v>
      </c>
      <c r="K2274" s="62" t="s">
        <v>42</v>
      </c>
      <c r="L2274" s="68" t="b">
        <f aca="false">FALSE()</f>
        <v>0</v>
      </c>
    </row>
    <row r="2275" customFormat="false" ht="15" hidden="false" customHeight="false" outlineLevel="0" collapsed="false">
      <c r="A2275" s="62" t="n">
        <v>0</v>
      </c>
      <c r="B2275" s="21" t="s">
        <v>336</v>
      </c>
      <c r="C2275" s="62" t="s">
        <v>60</v>
      </c>
      <c r="D2275" s="62" t="s">
        <v>384</v>
      </c>
      <c r="E2275" s="62" t="s">
        <v>382</v>
      </c>
      <c r="F2275" s="62" t="s">
        <v>382</v>
      </c>
      <c r="G2275" s="63" t="s">
        <v>600</v>
      </c>
      <c r="H2275" s="64" t="n">
        <v>5.05</v>
      </c>
      <c r="I2275" s="62" t="s">
        <v>878</v>
      </c>
      <c r="J2275" s="64" t="n">
        <v>505</v>
      </c>
      <c r="K2275" s="62" t="s">
        <v>42</v>
      </c>
      <c r="L2275" s="68" t="b">
        <f aca="false">FALSE()</f>
        <v>0</v>
      </c>
    </row>
    <row r="2276" customFormat="false" ht="15" hidden="false" customHeight="false" outlineLevel="0" collapsed="false">
      <c r="A2276" s="62" t="n">
        <v>0</v>
      </c>
      <c r="B2276" s="21" t="s">
        <v>336</v>
      </c>
      <c r="C2276" s="62" t="s">
        <v>60</v>
      </c>
      <c r="D2276" s="62" t="s">
        <v>385</v>
      </c>
      <c r="E2276" s="62" t="s">
        <v>382</v>
      </c>
      <c r="F2276" s="62" t="s">
        <v>382</v>
      </c>
      <c r="G2276" s="63" t="s">
        <v>600</v>
      </c>
      <c r="H2276" s="64" t="n">
        <v>5.05</v>
      </c>
      <c r="I2276" s="62" t="s">
        <v>878</v>
      </c>
      <c r="J2276" s="64" t="n">
        <v>505</v>
      </c>
      <c r="K2276" s="62" t="s">
        <v>42</v>
      </c>
      <c r="L2276" s="68" t="b">
        <f aca="false">FALSE()</f>
        <v>0</v>
      </c>
    </row>
    <row r="2277" customFormat="false" ht="15" hidden="false" customHeight="false" outlineLevel="0" collapsed="false">
      <c r="A2277" s="62" t="n">
        <v>0</v>
      </c>
      <c r="B2277" s="21" t="s">
        <v>336</v>
      </c>
      <c r="C2277" s="62" t="s">
        <v>60</v>
      </c>
      <c r="D2277" s="62" t="s">
        <v>386</v>
      </c>
      <c r="E2277" s="62" t="s">
        <v>382</v>
      </c>
      <c r="F2277" s="62" t="s">
        <v>382</v>
      </c>
      <c r="G2277" s="63" t="s">
        <v>600</v>
      </c>
      <c r="H2277" s="64" t="n">
        <v>5.05</v>
      </c>
      <c r="I2277" s="62" t="s">
        <v>878</v>
      </c>
      <c r="J2277" s="64" t="n">
        <v>505</v>
      </c>
      <c r="K2277" s="62" t="s">
        <v>42</v>
      </c>
      <c r="L2277" s="68" t="b">
        <f aca="false">FALSE()</f>
        <v>0</v>
      </c>
    </row>
    <row r="2278" customFormat="false" ht="15" hidden="false" customHeight="false" outlineLevel="0" collapsed="false">
      <c r="A2278" s="62" t="n">
        <v>0</v>
      </c>
      <c r="B2278" s="21" t="s">
        <v>336</v>
      </c>
      <c r="C2278" s="62" t="s">
        <v>60</v>
      </c>
      <c r="D2278" s="62" t="s">
        <v>387</v>
      </c>
      <c r="E2278" s="62" t="s">
        <v>382</v>
      </c>
      <c r="F2278" s="62" t="s">
        <v>382</v>
      </c>
      <c r="G2278" s="63" t="s">
        <v>600</v>
      </c>
      <c r="H2278" s="64" t="n">
        <v>5.05</v>
      </c>
      <c r="I2278" s="62" t="s">
        <v>878</v>
      </c>
      <c r="J2278" s="64" t="n">
        <v>505</v>
      </c>
      <c r="K2278" s="62" t="s">
        <v>42</v>
      </c>
      <c r="L2278" s="68" t="b">
        <f aca="false">FALSE()</f>
        <v>0</v>
      </c>
    </row>
    <row r="2279" customFormat="false" ht="15" hidden="false" customHeight="false" outlineLevel="0" collapsed="false">
      <c r="A2279" s="62" t="n">
        <v>0</v>
      </c>
      <c r="B2279" s="21" t="s">
        <v>336</v>
      </c>
      <c r="C2279" s="62" t="s">
        <v>60</v>
      </c>
      <c r="D2279" s="62" t="s">
        <v>388</v>
      </c>
      <c r="E2279" s="62" t="s">
        <v>382</v>
      </c>
      <c r="F2279" s="62" t="s">
        <v>382</v>
      </c>
      <c r="G2279" s="63" t="s">
        <v>600</v>
      </c>
      <c r="H2279" s="64" t="n">
        <v>5.05</v>
      </c>
      <c r="I2279" s="62" t="s">
        <v>878</v>
      </c>
      <c r="J2279" s="64" t="n">
        <v>505</v>
      </c>
      <c r="K2279" s="62" t="s">
        <v>42</v>
      </c>
      <c r="L2279" s="68" t="b">
        <f aca="false">FALSE()</f>
        <v>0</v>
      </c>
    </row>
    <row r="2280" customFormat="false" ht="15" hidden="false" customHeight="false" outlineLevel="0" collapsed="false">
      <c r="A2280" s="62" t="n">
        <v>0</v>
      </c>
      <c r="B2280" s="21" t="s">
        <v>336</v>
      </c>
      <c r="C2280" s="62" t="s">
        <v>60</v>
      </c>
      <c r="D2280" s="62" t="s">
        <v>381</v>
      </c>
      <c r="E2280" s="62" t="s">
        <v>382</v>
      </c>
      <c r="F2280" s="62" t="s">
        <v>382</v>
      </c>
      <c r="G2280" s="63" t="s">
        <v>601</v>
      </c>
      <c r="H2280" s="64" t="n">
        <v>2.85</v>
      </c>
      <c r="I2280" s="62" t="s">
        <v>878</v>
      </c>
      <c r="J2280" s="64" t="n">
        <v>285</v>
      </c>
      <c r="K2280" s="62" t="s">
        <v>42</v>
      </c>
      <c r="L2280" s="68" t="b">
        <f aca="false">FALSE()</f>
        <v>0</v>
      </c>
    </row>
    <row r="2281" customFormat="false" ht="15" hidden="false" customHeight="false" outlineLevel="0" collapsed="false">
      <c r="A2281" s="62" t="n">
        <v>0</v>
      </c>
      <c r="B2281" s="21" t="s">
        <v>336</v>
      </c>
      <c r="C2281" s="62" t="s">
        <v>60</v>
      </c>
      <c r="D2281" s="62" t="s">
        <v>383</v>
      </c>
      <c r="E2281" s="62" t="s">
        <v>382</v>
      </c>
      <c r="F2281" s="62" t="s">
        <v>382</v>
      </c>
      <c r="G2281" s="63" t="s">
        <v>601</v>
      </c>
      <c r="H2281" s="64" t="n">
        <v>2.85</v>
      </c>
      <c r="I2281" s="62" t="s">
        <v>878</v>
      </c>
      <c r="J2281" s="64" t="n">
        <v>285</v>
      </c>
      <c r="K2281" s="62" t="s">
        <v>42</v>
      </c>
      <c r="L2281" s="68" t="b">
        <f aca="false">FALSE()</f>
        <v>0</v>
      </c>
    </row>
    <row r="2282" customFormat="false" ht="15" hidden="false" customHeight="false" outlineLevel="0" collapsed="false">
      <c r="A2282" s="62" t="n">
        <v>0</v>
      </c>
      <c r="B2282" s="21" t="s">
        <v>336</v>
      </c>
      <c r="C2282" s="62" t="s">
        <v>60</v>
      </c>
      <c r="D2282" s="62" t="s">
        <v>384</v>
      </c>
      <c r="E2282" s="62" t="s">
        <v>382</v>
      </c>
      <c r="F2282" s="62" t="s">
        <v>382</v>
      </c>
      <c r="G2282" s="63" t="s">
        <v>601</v>
      </c>
      <c r="H2282" s="64" t="n">
        <v>2.85</v>
      </c>
      <c r="I2282" s="62" t="s">
        <v>878</v>
      </c>
      <c r="J2282" s="64" t="n">
        <v>285</v>
      </c>
      <c r="K2282" s="62" t="s">
        <v>42</v>
      </c>
      <c r="L2282" s="68" t="b">
        <f aca="false">FALSE()</f>
        <v>0</v>
      </c>
    </row>
    <row r="2283" customFormat="false" ht="15" hidden="false" customHeight="false" outlineLevel="0" collapsed="false">
      <c r="A2283" s="62" t="n">
        <v>0</v>
      </c>
      <c r="B2283" s="21" t="s">
        <v>336</v>
      </c>
      <c r="C2283" s="62" t="s">
        <v>60</v>
      </c>
      <c r="D2283" s="62" t="s">
        <v>385</v>
      </c>
      <c r="E2283" s="62" t="s">
        <v>382</v>
      </c>
      <c r="F2283" s="62" t="s">
        <v>382</v>
      </c>
      <c r="G2283" s="63" t="s">
        <v>601</v>
      </c>
      <c r="H2283" s="64" t="n">
        <v>2.85</v>
      </c>
      <c r="I2283" s="62" t="s">
        <v>878</v>
      </c>
      <c r="J2283" s="64" t="n">
        <v>285</v>
      </c>
      <c r="K2283" s="62" t="s">
        <v>42</v>
      </c>
      <c r="L2283" s="68" t="b">
        <f aca="false">FALSE()</f>
        <v>0</v>
      </c>
    </row>
    <row r="2284" customFormat="false" ht="15" hidden="false" customHeight="false" outlineLevel="0" collapsed="false">
      <c r="A2284" s="62" t="n">
        <v>0</v>
      </c>
      <c r="B2284" s="21" t="s">
        <v>336</v>
      </c>
      <c r="C2284" s="62" t="s">
        <v>60</v>
      </c>
      <c r="D2284" s="62" t="s">
        <v>386</v>
      </c>
      <c r="E2284" s="62" t="s">
        <v>382</v>
      </c>
      <c r="F2284" s="62" t="s">
        <v>382</v>
      </c>
      <c r="G2284" s="63" t="s">
        <v>601</v>
      </c>
      <c r="H2284" s="64" t="n">
        <v>2.85</v>
      </c>
      <c r="I2284" s="62" t="s">
        <v>878</v>
      </c>
      <c r="J2284" s="64" t="n">
        <v>285</v>
      </c>
      <c r="K2284" s="62" t="s">
        <v>42</v>
      </c>
      <c r="L2284" s="68" t="b">
        <f aca="false">FALSE()</f>
        <v>0</v>
      </c>
    </row>
    <row r="2285" customFormat="false" ht="15" hidden="false" customHeight="false" outlineLevel="0" collapsed="false">
      <c r="A2285" s="62" t="n">
        <v>0</v>
      </c>
      <c r="B2285" s="21" t="s">
        <v>336</v>
      </c>
      <c r="C2285" s="62" t="s">
        <v>60</v>
      </c>
      <c r="D2285" s="62" t="s">
        <v>387</v>
      </c>
      <c r="E2285" s="62" t="s">
        <v>382</v>
      </c>
      <c r="F2285" s="62" t="s">
        <v>382</v>
      </c>
      <c r="G2285" s="63" t="s">
        <v>601</v>
      </c>
      <c r="H2285" s="64" t="n">
        <v>2.85</v>
      </c>
      <c r="I2285" s="62" t="s">
        <v>878</v>
      </c>
      <c r="J2285" s="64" t="n">
        <v>285</v>
      </c>
      <c r="K2285" s="62" t="s">
        <v>42</v>
      </c>
      <c r="L2285" s="68" t="b">
        <f aca="false">FALSE()</f>
        <v>0</v>
      </c>
    </row>
    <row r="2286" customFormat="false" ht="15" hidden="false" customHeight="false" outlineLevel="0" collapsed="false">
      <c r="A2286" s="62" t="n">
        <v>0</v>
      </c>
      <c r="B2286" s="21" t="s">
        <v>336</v>
      </c>
      <c r="C2286" s="62" t="s">
        <v>60</v>
      </c>
      <c r="D2286" s="62" t="s">
        <v>388</v>
      </c>
      <c r="E2286" s="62" t="s">
        <v>382</v>
      </c>
      <c r="F2286" s="62" t="s">
        <v>382</v>
      </c>
      <c r="G2286" s="63" t="s">
        <v>601</v>
      </c>
      <c r="H2286" s="64" t="n">
        <v>2.85</v>
      </c>
      <c r="I2286" s="62" t="s">
        <v>878</v>
      </c>
      <c r="J2286" s="64" t="n">
        <v>285</v>
      </c>
      <c r="K2286" s="62" t="s">
        <v>42</v>
      </c>
      <c r="L2286" s="68" t="b">
        <f aca="false">FALSE()</f>
        <v>0</v>
      </c>
    </row>
    <row r="2287" customFormat="false" ht="15" hidden="false" customHeight="false" outlineLevel="0" collapsed="false">
      <c r="A2287" s="62" t="n">
        <v>0</v>
      </c>
      <c r="B2287" s="21" t="s">
        <v>336</v>
      </c>
      <c r="C2287" s="62" t="s">
        <v>60</v>
      </c>
      <c r="D2287" s="62" t="s">
        <v>381</v>
      </c>
      <c r="E2287" s="62" t="s">
        <v>382</v>
      </c>
      <c r="F2287" s="62" t="s">
        <v>382</v>
      </c>
      <c r="G2287" s="63" t="s">
        <v>602</v>
      </c>
      <c r="H2287" s="64" t="n">
        <v>7.9</v>
      </c>
      <c r="I2287" s="62" t="s">
        <v>878</v>
      </c>
      <c r="J2287" s="64" t="n">
        <v>790</v>
      </c>
      <c r="K2287" s="62" t="s">
        <v>42</v>
      </c>
      <c r="L2287" s="68" t="b">
        <f aca="false">FALSE()</f>
        <v>0</v>
      </c>
    </row>
    <row r="2288" customFormat="false" ht="15" hidden="false" customHeight="false" outlineLevel="0" collapsed="false">
      <c r="A2288" s="62" t="n">
        <v>0</v>
      </c>
      <c r="B2288" s="21" t="s">
        <v>336</v>
      </c>
      <c r="C2288" s="62" t="s">
        <v>60</v>
      </c>
      <c r="D2288" s="62" t="s">
        <v>383</v>
      </c>
      <c r="E2288" s="62" t="s">
        <v>382</v>
      </c>
      <c r="F2288" s="62" t="s">
        <v>382</v>
      </c>
      <c r="G2288" s="63" t="s">
        <v>602</v>
      </c>
      <c r="H2288" s="64" t="n">
        <v>7.9</v>
      </c>
      <c r="I2288" s="62" t="s">
        <v>878</v>
      </c>
      <c r="J2288" s="64" t="n">
        <v>790</v>
      </c>
      <c r="K2288" s="62" t="s">
        <v>42</v>
      </c>
      <c r="L2288" s="68" t="b">
        <f aca="false">FALSE()</f>
        <v>0</v>
      </c>
    </row>
    <row r="2289" customFormat="false" ht="15" hidden="false" customHeight="false" outlineLevel="0" collapsed="false">
      <c r="A2289" s="62" t="n">
        <v>0</v>
      </c>
      <c r="B2289" s="21" t="s">
        <v>336</v>
      </c>
      <c r="C2289" s="62" t="s">
        <v>60</v>
      </c>
      <c r="D2289" s="62" t="s">
        <v>384</v>
      </c>
      <c r="E2289" s="62" t="s">
        <v>382</v>
      </c>
      <c r="F2289" s="62" t="s">
        <v>382</v>
      </c>
      <c r="G2289" s="63" t="s">
        <v>602</v>
      </c>
      <c r="H2289" s="64" t="n">
        <v>7.9</v>
      </c>
      <c r="I2289" s="62" t="s">
        <v>878</v>
      </c>
      <c r="J2289" s="64" t="n">
        <v>790</v>
      </c>
      <c r="K2289" s="62" t="s">
        <v>42</v>
      </c>
      <c r="L2289" s="68" t="b">
        <f aca="false">FALSE()</f>
        <v>0</v>
      </c>
    </row>
    <row r="2290" customFormat="false" ht="15" hidden="false" customHeight="false" outlineLevel="0" collapsed="false">
      <c r="A2290" s="62" t="n">
        <v>0</v>
      </c>
      <c r="B2290" s="21" t="s">
        <v>336</v>
      </c>
      <c r="C2290" s="62" t="s">
        <v>60</v>
      </c>
      <c r="D2290" s="62" t="s">
        <v>385</v>
      </c>
      <c r="E2290" s="62" t="s">
        <v>382</v>
      </c>
      <c r="F2290" s="62" t="s">
        <v>382</v>
      </c>
      <c r="G2290" s="63" t="s">
        <v>602</v>
      </c>
      <c r="H2290" s="64" t="n">
        <v>7.9</v>
      </c>
      <c r="I2290" s="62" t="s">
        <v>878</v>
      </c>
      <c r="J2290" s="64" t="n">
        <v>790</v>
      </c>
      <c r="K2290" s="62" t="s">
        <v>42</v>
      </c>
      <c r="L2290" s="68" t="b">
        <f aca="false">FALSE()</f>
        <v>0</v>
      </c>
    </row>
    <row r="2291" customFormat="false" ht="15" hidden="false" customHeight="false" outlineLevel="0" collapsed="false">
      <c r="A2291" s="62" t="n">
        <v>0</v>
      </c>
      <c r="B2291" s="21" t="s">
        <v>336</v>
      </c>
      <c r="C2291" s="62" t="s">
        <v>60</v>
      </c>
      <c r="D2291" s="62" t="s">
        <v>386</v>
      </c>
      <c r="E2291" s="62" t="s">
        <v>382</v>
      </c>
      <c r="F2291" s="62" t="s">
        <v>382</v>
      </c>
      <c r="G2291" s="63" t="s">
        <v>602</v>
      </c>
      <c r="H2291" s="64" t="n">
        <v>7.9</v>
      </c>
      <c r="I2291" s="62" t="s">
        <v>878</v>
      </c>
      <c r="J2291" s="64" t="n">
        <v>790</v>
      </c>
      <c r="K2291" s="62" t="s">
        <v>42</v>
      </c>
      <c r="L2291" s="68" t="b">
        <f aca="false">FALSE()</f>
        <v>0</v>
      </c>
    </row>
    <row r="2292" customFormat="false" ht="15" hidden="false" customHeight="false" outlineLevel="0" collapsed="false">
      <c r="A2292" s="62" t="n">
        <v>0</v>
      </c>
      <c r="B2292" s="21" t="s">
        <v>336</v>
      </c>
      <c r="C2292" s="62" t="s">
        <v>60</v>
      </c>
      <c r="D2292" s="62" t="s">
        <v>387</v>
      </c>
      <c r="E2292" s="62" t="s">
        <v>382</v>
      </c>
      <c r="F2292" s="62" t="s">
        <v>382</v>
      </c>
      <c r="G2292" s="63" t="s">
        <v>602</v>
      </c>
      <c r="H2292" s="64" t="n">
        <v>7.9</v>
      </c>
      <c r="I2292" s="62" t="s">
        <v>878</v>
      </c>
      <c r="J2292" s="64" t="n">
        <v>790</v>
      </c>
      <c r="K2292" s="62" t="s">
        <v>42</v>
      </c>
      <c r="L2292" s="68" t="b">
        <f aca="false">FALSE()</f>
        <v>0</v>
      </c>
    </row>
    <row r="2293" customFormat="false" ht="15" hidden="false" customHeight="false" outlineLevel="0" collapsed="false">
      <c r="A2293" s="62" t="n">
        <v>0</v>
      </c>
      <c r="B2293" s="21" t="s">
        <v>336</v>
      </c>
      <c r="C2293" s="62" t="s">
        <v>60</v>
      </c>
      <c r="D2293" s="62" t="s">
        <v>388</v>
      </c>
      <c r="E2293" s="62" t="s">
        <v>382</v>
      </c>
      <c r="F2293" s="62" t="s">
        <v>382</v>
      </c>
      <c r="G2293" s="63" t="s">
        <v>602</v>
      </c>
      <c r="H2293" s="64" t="n">
        <v>7.9</v>
      </c>
      <c r="I2293" s="62" t="s">
        <v>878</v>
      </c>
      <c r="J2293" s="64" t="n">
        <v>790</v>
      </c>
      <c r="K2293" s="62" t="s">
        <v>42</v>
      </c>
      <c r="L2293" s="68" t="b">
        <f aca="false">FALSE()</f>
        <v>0</v>
      </c>
    </row>
    <row r="2294" customFormat="false" ht="15" hidden="false" customHeight="false" outlineLevel="0" collapsed="false">
      <c r="A2294" s="62" t="n">
        <v>0</v>
      </c>
      <c r="B2294" s="21" t="s">
        <v>336</v>
      </c>
      <c r="C2294" s="62" t="s">
        <v>60</v>
      </c>
      <c r="D2294" s="62" t="s">
        <v>381</v>
      </c>
      <c r="E2294" s="62" t="s">
        <v>382</v>
      </c>
      <c r="F2294" s="62" t="s">
        <v>382</v>
      </c>
      <c r="G2294" s="63" t="s">
        <v>603</v>
      </c>
      <c r="H2294" s="64" t="n">
        <v>-7.9</v>
      </c>
      <c r="I2294" s="62" t="s">
        <v>878</v>
      </c>
      <c r="J2294" s="64" t="n">
        <v>-790</v>
      </c>
      <c r="K2294" s="62" t="s">
        <v>42</v>
      </c>
      <c r="L2294" s="68" t="b">
        <f aca="false">TRUE()</f>
        <v>1</v>
      </c>
    </row>
    <row r="2295" customFormat="false" ht="15" hidden="false" customHeight="false" outlineLevel="0" collapsed="false">
      <c r="A2295" s="62" t="n">
        <v>0</v>
      </c>
      <c r="B2295" s="21" t="s">
        <v>336</v>
      </c>
      <c r="C2295" s="62" t="s">
        <v>60</v>
      </c>
      <c r="D2295" s="62" t="s">
        <v>383</v>
      </c>
      <c r="E2295" s="62" t="s">
        <v>382</v>
      </c>
      <c r="F2295" s="62" t="s">
        <v>382</v>
      </c>
      <c r="G2295" s="63" t="s">
        <v>603</v>
      </c>
      <c r="H2295" s="64" t="n">
        <v>-7.9</v>
      </c>
      <c r="I2295" s="62" t="s">
        <v>878</v>
      </c>
      <c r="J2295" s="64" t="n">
        <v>-790</v>
      </c>
      <c r="K2295" s="62" t="s">
        <v>42</v>
      </c>
      <c r="L2295" s="68" t="b">
        <f aca="false">TRUE()</f>
        <v>1</v>
      </c>
    </row>
    <row r="2296" customFormat="false" ht="15" hidden="false" customHeight="false" outlineLevel="0" collapsed="false">
      <c r="A2296" s="62" t="n">
        <v>0</v>
      </c>
      <c r="B2296" s="21" t="s">
        <v>336</v>
      </c>
      <c r="C2296" s="62" t="s">
        <v>60</v>
      </c>
      <c r="D2296" s="62" t="s">
        <v>384</v>
      </c>
      <c r="E2296" s="62" t="s">
        <v>382</v>
      </c>
      <c r="F2296" s="62" t="s">
        <v>382</v>
      </c>
      <c r="G2296" s="63" t="s">
        <v>603</v>
      </c>
      <c r="H2296" s="64" t="n">
        <v>-7.9</v>
      </c>
      <c r="I2296" s="62" t="s">
        <v>878</v>
      </c>
      <c r="J2296" s="64" t="n">
        <v>-790</v>
      </c>
      <c r="K2296" s="62" t="s">
        <v>42</v>
      </c>
      <c r="L2296" s="68" t="b">
        <f aca="false">TRUE()</f>
        <v>1</v>
      </c>
    </row>
    <row r="2297" customFormat="false" ht="15" hidden="false" customHeight="false" outlineLevel="0" collapsed="false">
      <c r="A2297" s="62" t="n">
        <v>0</v>
      </c>
      <c r="B2297" s="21" t="s">
        <v>336</v>
      </c>
      <c r="C2297" s="62" t="s">
        <v>60</v>
      </c>
      <c r="D2297" s="62" t="s">
        <v>385</v>
      </c>
      <c r="E2297" s="62" t="s">
        <v>382</v>
      </c>
      <c r="F2297" s="62" t="s">
        <v>382</v>
      </c>
      <c r="G2297" s="63" t="s">
        <v>603</v>
      </c>
      <c r="H2297" s="64" t="n">
        <v>-7.9</v>
      </c>
      <c r="I2297" s="62" t="s">
        <v>878</v>
      </c>
      <c r="J2297" s="64" t="n">
        <v>-790</v>
      </c>
      <c r="K2297" s="62" t="s">
        <v>42</v>
      </c>
      <c r="L2297" s="68" t="b">
        <f aca="false">TRUE()</f>
        <v>1</v>
      </c>
    </row>
    <row r="2298" customFormat="false" ht="15" hidden="false" customHeight="false" outlineLevel="0" collapsed="false">
      <c r="A2298" s="62" t="n">
        <v>0</v>
      </c>
      <c r="B2298" s="21" t="s">
        <v>336</v>
      </c>
      <c r="C2298" s="62" t="s">
        <v>60</v>
      </c>
      <c r="D2298" s="62" t="s">
        <v>386</v>
      </c>
      <c r="E2298" s="62" t="s">
        <v>382</v>
      </c>
      <c r="F2298" s="62" t="s">
        <v>382</v>
      </c>
      <c r="G2298" s="63" t="s">
        <v>603</v>
      </c>
      <c r="H2298" s="64" t="n">
        <v>-7.9</v>
      </c>
      <c r="I2298" s="62" t="s">
        <v>878</v>
      </c>
      <c r="J2298" s="64" t="n">
        <v>-790</v>
      </c>
      <c r="K2298" s="62" t="s">
        <v>42</v>
      </c>
      <c r="L2298" s="68" t="b">
        <f aca="false">TRUE()</f>
        <v>1</v>
      </c>
    </row>
    <row r="2299" customFormat="false" ht="15" hidden="false" customHeight="false" outlineLevel="0" collapsed="false">
      <c r="A2299" s="62" t="n">
        <v>0</v>
      </c>
      <c r="B2299" s="21" t="s">
        <v>336</v>
      </c>
      <c r="C2299" s="62" t="s">
        <v>60</v>
      </c>
      <c r="D2299" s="62" t="s">
        <v>387</v>
      </c>
      <c r="E2299" s="62" t="s">
        <v>382</v>
      </c>
      <c r="F2299" s="62" t="s">
        <v>382</v>
      </c>
      <c r="G2299" s="63" t="s">
        <v>603</v>
      </c>
      <c r="H2299" s="64" t="n">
        <v>-7.9</v>
      </c>
      <c r="I2299" s="62" t="s">
        <v>878</v>
      </c>
      <c r="J2299" s="64" t="n">
        <v>-790</v>
      </c>
      <c r="K2299" s="62" t="s">
        <v>42</v>
      </c>
      <c r="L2299" s="68" t="b">
        <f aca="false">TRUE()</f>
        <v>1</v>
      </c>
    </row>
    <row r="2300" customFormat="false" ht="15" hidden="false" customHeight="false" outlineLevel="0" collapsed="false">
      <c r="A2300" s="62" t="n">
        <v>0</v>
      </c>
      <c r="B2300" s="21" t="s">
        <v>336</v>
      </c>
      <c r="C2300" s="62" t="s">
        <v>60</v>
      </c>
      <c r="D2300" s="62" t="s">
        <v>388</v>
      </c>
      <c r="E2300" s="62" t="s">
        <v>382</v>
      </c>
      <c r="F2300" s="62" t="s">
        <v>382</v>
      </c>
      <c r="G2300" s="63" t="s">
        <v>603</v>
      </c>
      <c r="H2300" s="64" t="n">
        <v>-7.9</v>
      </c>
      <c r="I2300" s="62" t="s">
        <v>878</v>
      </c>
      <c r="J2300" s="64" t="n">
        <v>-790</v>
      </c>
      <c r="K2300" s="62" t="s">
        <v>42</v>
      </c>
      <c r="L2300" s="68" t="b">
        <f aca="false">TRUE()</f>
        <v>1</v>
      </c>
    </row>
    <row r="2301" customFormat="false" ht="15" hidden="false" customHeight="false" outlineLevel="0" collapsed="false">
      <c r="A2301" s="62" t="n">
        <v>0</v>
      </c>
      <c r="B2301" s="21" t="s">
        <v>336</v>
      </c>
      <c r="C2301" s="62" t="s">
        <v>60</v>
      </c>
      <c r="D2301" s="62" t="s">
        <v>381</v>
      </c>
      <c r="E2301" s="62" t="s">
        <v>382</v>
      </c>
      <c r="F2301" s="62" t="s">
        <v>382</v>
      </c>
      <c r="G2301" s="63" t="s">
        <v>604</v>
      </c>
      <c r="H2301" s="64" t="n">
        <v>1.55</v>
      </c>
      <c r="I2301" s="62" t="s">
        <v>878</v>
      </c>
      <c r="J2301" s="64" t="n">
        <v>155</v>
      </c>
      <c r="K2301" s="62" t="s">
        <v>42</v>
      </c>
      <c r="L2301" s="68" t="b">
        <f aca="false">FALSE()</f>
        <v>0</v>
      </c>
    </row>
    <row r="2302" customFormat="false" ht="15" hidden="false" customHeight="false" outlineLevel="0" collapsed="false">
      <c r="A2302" s="62" t="n">
        <v>0</v>
      </c>
      <c r="B2302" s="21" t="s">
        <v>336</v>
      </c>
      <c r="C2302" s="62" t="s">
        <v>60</v>
      </c>
      <c r="D2302" s="62" t="s">
        <v>383</v>
      </c>
      <c r="E2302" s="62" t="s">
        <v>382</v>
      </c>
      <c r="F2302" s="62" t="s">
        <v>382</v>
      </c>
      <c r="G2302" s="63" t="s">
        <v>604</v>
      </c>
      <c r="H2302" s="64" t="n">
        <v>1.55</v>
      </c>
      <c r="I2302" s="62" t="s">
        <v>878</v>
      </c>
      <c r="J2302" s="64" t="n">
        <v>155</v>
      </c>
      <c r="K2302" s="62" t="s">
        <v>42</v>
      </c>
      <c r="L2302" s="68" t="b">
        <f aca="false">FALSE()</f>
        <v>0</v>
      </c>
    </row>
    <row r="2303" customFormat="false" ht="15" hidden="false" customHeight="false" outlineLevel="0" collapsed="false">
      <c r="A2303" s="62" t="n">
        <v>0</v>
      </c>
      <c r="B2303" s="21" t="s">
        <v>336</v>
      </c>
      <c r="C2303" s="62" t="s">
        <v>60</v>
      </c>
      <c r="D2303" s="62" t="s">
        <v>384</v>
      </c>
      <c r="E2303" s="62" t="s">
        <v>382</v>
      </c>
      <c r="F2303" s="62" t="s">
        <v>382</v>
      </c>
      <c r="G2303" s="63" t="s">
        <v>604</v>
      </c>
      <c r="H2303" s="64" t="n">
        <v>1.55</v>
      </c>
      <c r="I2303" s="62" t="s">
        <v>878</v>
      </c>
      <c r="J2303" s="64" t="n">
        <v>155</v>
      </c>
      <c r="K2303" s="62" t="s">
        <v>42</v>
      </c>
      <c r="L2303" s="68" t="b">
        <f aca="false">FALSE()</f>
        <v>0</v>
      </c>
    </row>
    <row r="2304" customFormat="false" ht="15" hidden="false" customHeight="false" outlineLevel="0" collapsed="false">
      <c r="A2304" s="62" t="n">
        <v>0</v>
      </c>
      <c r="B2304" s="21" t="s">
        <v>336</v>
      </c>
      <c r="C2304" s="62" t="s">
        <v>60</v>
      </c>
      <c r="D2304" s="62" t="s">
        <v>385</v>
      </c>
      <c r="E2304" s="62" t="s">
        <v>382</v>
      </c>
      <c r="F2304" s="62" t="s">
        <v>382</v>
      </c>
      <c r="G2304" s="63" t="s">
        <v>604</v>
      </c>
      <c r="H2304" s="64" t="n">
        <v>1.55</v>
      </c>
      <c r="I2304" s="62" t="s">
        <v>878</v>
      </c>
      <c r="J2304" s="64" t="n">
        <v>155</v>
      </c>
      <c r="K2304" s="62" t="s">
        <v>42</v>
      </c>
      <c r="L2304" s="68" t="b">
        <f aca="false">FALSE()</f>
        <v>0</v>
      </c>
    </row>
    <row r="2305" customFormat="false" ht="15" hidden="false" customHeight="false" outlineLevel="0" collapsed="false">
      <c r="A2305" s="62" t="n">
        <v>0</v>
      </c>
      <c r="B2305" s="21" t="s">
        <v>336</v>
      </c>
      <c r="C2305" s="62" t="s">
        <v>60</v>
      </c>
      <c r="D2305" s="62" t="s">
        <v>386</v>
      </c>
      <c r="E2305" s="62" t="s">
        <v>382</v>
      </c>
      <c r="F2305" s="62" t="s">
        <v>382</v>
      </c>
      <c r="G2305" s="63" t="s">
        <v>604</v>
      </c>
      <c r="H2305" s="64" t="n">
        <v>1.55</v>
      </c>
      <c r="I2305" s="62" t="s">
        <v>878</v>
      </c>
      <c r="J2305" s="64" t="n">
        <v>155</v>
      </c>
      <c r="K2305" s="62" t="s">
        <v>42</v>
      </c>
      <c r="L2305" s="68" t="b">
        <f aca="false">FALSE()</f>
        <v>0</v>
      </c>
    </row>
    <row r="2306" customFormat="false" ht="15" hidden="false" customHeight="false" outlineLevel="0" collapsed="false">
      <c r="A2306" s="62" t="n">
        <v>0</v>
      </c>
      <c r="B2306" s="21" t="s">
        <v>336</v>
      </c>
      <c r="C2306" s="62" t="s">
        <v>60</v>
      </c>
      <c r="D2306" s="62" t="s">
        <v>387</v>
      </c>
      <c r="E2306" s="62" t="s">
        <v>382</v>
      </c>
      <c r="F2306" s="62" t="s">
        <v>382</v>
      </c>
      <c r="G2306" s="63" t="s">
        <v>604</v>
      </c>
      <c r="H2306" s="64" t="n">
        <v>1.55</v>
      </c>
      <c r="I2306" s="62" t="s">
        <v>878</v>
      </c>
      <c r="J2306" s="64" t="n">
        <v>155</v>
      </c>
      <c r="K2306" s="62" t="s">
        <v>42</v>
      </c>
      <c r="L2306" s="68" t="b">
        <f aca="false">FALSE()</f>
        <v>0</v>
      </c>
    </row>
    <row r="2307" customFormat="false" ht="15" hidden="false" customHeight="false" outlineLevel="0" collapsed="false">
      <c r="A2307" s="62" t="n">
        <v>0</v>
      </c>
      <c r="B2307" s="21" t="s">
        <v>336</v>
      </c>
      <c r="C2307" s="62" t="s">
        <v>60</v>
      </c>
      <c r="D2307" s="62" t="s">
        <v>388</v>
      </c>
      <c r="E2307" s="62" t="s">
        <v>382</v>
      </c>
      <c r="F2307" s="62" t="s">
        <v>382</v>
      </c>
      <c r="G2307" s="63" t="s">
        <v>604</v>
      </c>
      <c r="H2307" s="64" t="n">
        <v>1.55</v>
      </c>
      <c r="I2307" s="62" t="s">
        <v>878</v>
      </c>
      <c r="J2307" s="64" t="n">
        <v>155</v>
      </c>
      <c r="K2307" s="62" t="s">
        <v>42</v>
      </c>
      <c r="L2307" s="68" t="b">
        <f aca="false">FALSE()</f>
        <v>0</v>
      </c>
    </row>
    <row r="2308" customFormat="false" ht="15" hidden="false" customHeight="false" outlineLevel="0" collapsed="false">
      <c r="A2308" s="62" t="n">
        <v>0</v>
      </c>
      <c r="B2308" s="21" t="s">
        <v>336</v>
      </c>
      <c r="C2308" s="62" t="s">
        <v>60</v>
      </c>
      <c r="D2308" s="62" t="s">
        <v>381</v>
      </c>
      <c r="E2308" s="62" t="s">
        <v>382</v>
      </c>
      <c r="F2308" s="62" t="s">
        <v>382</v>
      </c>
      <c r="G2308" s="63" t="s">
        <v>605</v>
      </c>
      <c r="H2308" s="64" t="n">
        <v>7.25</v>
      </c>
      <c r="I2308" s="62" t="s">
        <v>878</v>
      </c>
      <c r="J2308" s="64" t="n">
        <v>725</v>
      </c>
      <c r="K2308" s="62" t="s">
        <v>42</v>
      </c>
      <c r="L2308" s="68" t="b">
        <f aca="false">FALSE()</f>
        <v>0</v>
      </c>
    </row>
    <row r="2309" customFormat="false" ht="15" hidden="false" customHeight="false" outlineLevel="0" collapsed="false">
      <c r="A2309" s="62" t="n">
        <v>0</v>
      </c>
      <c r="B2309" s="21" t="s">
        <v>336</v>
      </c>
      <c r="C2309" s="62" t="s">
        <v>60</v>
      </c>
      <c r="D2309" s="62" t="s">
        <v>383</v>
      </c>
      <c r="E2309" s="62" t="s">
        <v>382</v>
      </c>
      <c r="F2309" s="62" t="s">
        <v>382</v>
      </c>
      <c r="G2309" s="63" t="s">
        <v>605</v>
      </c>
      <c r="H2309" s="64" t="n">
        <v>7.25</v>
      </c>
      <c r="I2309" s="62" t="s">
        <v>878</v>
      </c>
      <c r="J2309" s="64" t="n">
        <v>725</v>
      </c>
      <c r="K2309" s="62" t="s">
        <v>42</v>
      </c>
      <c r="L2309" s="68" t="b">
        <f aca="false">FALSE()</f>
        <v>0</v>
      </c>
    </row>
    <row r="2310" customFormat="false" ht="15" hidden="false" customHeight="false" outlineLevel="0" collapsed="false">
      <c r="A2310" s="62" t="n">
        <v>0</v>
      </c>
      <c r="B2310" s="21" t="s">
        <v>336</v>
      </c>
      <c r="C2310" s="62" t="s">
        <v>60</v>
      </c>
      <c r="D2310" s="62" t="s">
        <v>384</v>
      </c>
      <c r="E2310" s="62" t="s">
        <v>382</v>
      </c>
      <c r="F2310" s="62" t="s">
        <v>382</v>
      </c>
      <c r="G2310" s="63" t="s">
        <v>605</v>
      </c>
      <c r="H2310" s="64" t="n">
        <v>7.25</v>
      </c>
      <c r="I2310" s="62" t="s">
        <v>878</v>
      </c>
      <c r="J2310" s="64" t="n">
        <v>725</v>
      </c>
      <c r="K2310" s="62" t="s">
        <v>42</v>
      </c>
      <c r="L2310" s="68" t="b">
        <f aca="false">FALSE()</f>
        <v>0</v>
      </c>
    </row>
    <row r="2311" customFormat="false" ht="15" hidden="false" customHeight="false" outlineLevel="0" collapsed="false">
      <c r="A2311" s="62" t="n">
        <v>0</v>
      </c>
      <c r="B2311" s="21" t="s">
        <v>336</v>
      </c>
      <c r="C2311" s="62" t="s">
        <v>60</v>
      </c>
      <c r="D2311" s="62" t="s">
        <v>385</v>
      </c>
      <c r="E2311" s="62" t="s">
        <v>382</v>
      </c>
      <c r="F2311" s="62" t="s">
        <v>382</v>
      </c>
      <c r="G2311" s="63" t="s">
        <v>605</v>
      </c>
      <c r="H2311" s="64" t="n">
        <v>7.25</v>
      </c>
      <c r="I2311" s="62" t="s">
        <v>878</v>
      </c>
      <c r="J2311" s="64" t="n">
        <v>725</v>
      </c>
      <c r="K2311" s="62" t="s">
        <v>42</v>
      </c>
      <c r="L2311" s="68" t="b">
        <f aca="false">FALSE()</f>
        <v>0</v>
      </c>
    </row>
    <row r="2312" customFormat="false" ht="15" hidden="false" customHeight="false" outlineLevel="0" collapsed="false">
      <c r="A2312" s="62" t="n">
        <v>0</v>
      </c>
      <c r="B2312" s="21" t="s">
        <v>336</v>
      </c>
      <c r="C2312" s="62" t="s">
        <v>60</v>
      </c>
      <c r="D2312" s="62" t="s">
        <v>386</v>
      </c>
      <c r="E2312" s="62" t="s">
        <v>382</v>
      </c>
      <c r="F2312" s="62" t="s">
        <v>382</v>
      </c>
      <c r="G2312" s="63" t="s">
        <v>605</v>
      </c>
      <c r="H2312" s="64" t="n">
        <v>7.25</v>
      </c>
      <c r="I2312" s="62" t="s">
        <v>878</v>
      </c>
      <c r="J2312" s="64" t="n">
        <v>725</v>
      </c>
      <c r="K2312" s="62" t="s">
        <v>42</v>
      </c>
      <c r="L2312" s="68" t="b">
        <f aca="false">FALSE()</f>
        <v>0</v>
      </c>
    </row>
    <row r="2313" customFormat="false" ht="15" hidden="false" customHeight="false" outlineLevel="0" collapsed="false">
      <c r="A2313" s="62" t="n">
        <v>0</v>
      </c>
      <c r="B2313" s="21" t="s">
        <v>336</v>
      </c>
      <c r="C2313" s="62" t="s">
        <v>60</v>
      </c>
      <c r="D2313" s="62" t="s">
        <v>387</v>
      </c>
      <c r="E2313" s="62" t="s">
        <v>382</v>
      </c>
      <c r="F2313" s="62" t="s">
        <v>382</v>
      </c>
      <c r="G2313" s="63" t="s">
        <v>605</v>
      </c>
      <c r="H2313" s="64" t="n">
        <v>7.25</v>
      </c>
      <c r="I2313" s="62" t="s">
        <v>878</v>
      </c>
      <c r="J2313" s="64" t="n">
        <v>725</v>
      </c>
      <c r="K2313" s="62" t="s">
        <v>42</v>
      </c>
      <c r="L2313" s="68" t="b">
        <f aca="false">FALSE()</f>
        <v>0</v>
      </c>
    </row>
    <row r="2314" customFormat="false" ht="15" hidden="false" customHeight="false" outlineLevel="0" collapsed="false">
      <c r="A2314" s="62" t="n">
        <v>0</v>
      </c>
      <c r="B2314" s="21" t="s">
        <v>336</v>
      </c>
      <c r="C2314" s="62" t="s">
        <v>60</v>
      </c>
      <c r="D2314" s="62" t="s">
        <v>388</v>
      </c>
      <c r="E2314" s="62" t="s">
        <v>382</v>
      </c>
      <c r="F2314" s="62" t="s">
        <v>382</v>
      </c>
      <c r="G2314" s="63" t="s">
        <v>605</v>
      </c>
      <c r="H2314" s="64" t="n">
        <v>7.25</v>
      </c>
      <c r="I2314" s="62" t="s">
        <v>878</v>
      </c>
      <c r="J2314" s="64" t="n">
        <v>725</v>
      </c>
      <c r="K2314" s="62" t="s">
        <v>42</v>
      </c>
      <c r="L2314" s="68" t="b">
        <f aca="false">FALSE()</f>
        <v>0</v>
      </c>
    </row>
    <row r="2315" customFormat="false" ht="15" hidden="false" customHeight="false" outlineLevel="0" collapsed="false">
      <c r="A2315" s="62" t="n">
        <v>0</v>
      </c>
      <c r="B2315" s="21" t="s">
        <v>336</v>
      </c>
      <c r="C2315" s="62" t="s">
        <v>60</v>
      </c>
      <c r="D2315" s="62" t="s">
        <v>381</v>
      </c>
      <c r="E2315" s="62" t="s">
        <v>382</v>
      </c>
      <c r="F2315" s="62" t="s">
        <v>382</v>
      </c>
      <c r="G2315" s="63" t="s">
        <v>606</v>
      </c>
      <c r="H2315" s="64" t="n">
        <v>5.15</v>
      </c>
      <c r="I2315" s="62" t="s">
        <v>878</v>
      </c>
      <c r="J2315" s="64" t="n">
        <v>515</v>
      </c>
      <c r="K2315" s="62" t="s">
        <v>42</v>
      </c>
      <c r="L2315" s="68" t="b">
        <f aca="false">FALSE()</f>
        <v>0</v>
      </c>
    </row>
    <row r="2316" customFormat="false" ht="15" hidden="false" customHeight="false" outlineLevel="0" collapsed="false">
      <c r="A2316" s="62" t="n">
        <v>0</v>
      </c>
      <c r="B2316" s="21" t="s">
        <v>336</v>
      </c>
      <c r="C2316" s="62" t="s">
        <v>60</v>
      </c>
      <c r="D2316" s="62" t="s">
        <v>383</v>
      </c>
      <c r="E2316" s="62" t="s">
        <v>382</v>
      </c>
      <c r="F2316" s="62" t="s">
        <v>382</v>
      </c>
      <c r="G2316" s="63" t="s">
        <v>606</v>
      </c>
      <c r="H2316" s="64" t="n">
        <v>5.15</v>
      </c>
      <c r="I2316" s="62" t="s">
        <v>878</v>
      </c>
      <c r="J2316" s="64" t="n">
        <v>515</v>
      </c>
      <c r="K2316" s="62" t="s">
        <v>42</v>
      </c>
      <c r="L2316" s="68" t="b">
        <f aca="false">FALSE()</f>
        <v>0</v>
      </c>
    </row>
    <row r="2317" customFormat="false" ht="15" hidden="false" customHeight="false" outlineLevel="0" collapsed="false">
      <c r="A2317" s="62" t="n">
        <v>0</v>
      </c>
      <c r="B2317" s="21" t="s">
        <v>336</v>
      </c>
      <c r="C2317" s="62" t="s">
        <v>60</v>
      </c>
      <c r="D2317" s="62" t="s">
        <v>384</v>
      </c>
      <c r="E2317" s="62" t="s">
        <v>382</v>
      </c>
      <c r="F2317" s="62" t="s">
        <v>382</v>
      </c>
      <c r="G2317" s="63" t="s">
        <v>606</v>
      </c>
      <c r="H2317" s="64" t="n">
        <v>5.15</v>
      </c>
      <c r="I2317" s="62" t="s">
        <v>878</v>
      </c>
      <c r="J2317" s="64" t="n">
        <v>515</v>
      </c>
      <c r="K2317" s="62" t="s">
        <v>42</v>
      </c>
      <c r="L2317" s="68" t="b">
        <f aca="false">FALSE()</f>
        <v>0</v>
      </c>
    </row>
    <row r="2318" customFormat="false" ht="15" hidden="false" customHeight="false" outlineLevel="0" collapsed="false">
      <c r="A2318" s="62" t="n">
        <v>0</v>
      </c>
      <c r="B2318" s="21" t="s">
        <v>336</v>
      </c>
      <c r="C2318" s="62" t="s">
        <v>60</v>
      </c>
      <c r="D2318" s="62" t="s">
        <v>385</v>
      </c>
      <c r="E2318" s="62" t="s">
        <v>382</v>
      </c>
      <c r="F2318" s="62" t="s">
        <v>382</v>
      </c>
      <c r="G2318" s="63" t="s">
        <v>606</v>
      </c>
      <c r="H2318" s="64" t="n">
        <v>5.15</v>
      </c>
      <c r="I2318" s="62" t="s">
        <v>878</v>
      </c>
      <c r="J2318" s="64" t="n">
        <v>515</v>
      </c>
      <c r="K2318" s="62" t="s">
        <v>42</v>
      </c>
      <c r="L2318" s="68" t="b">
        <f aca="false">FALSE()</f>
        <v>0</v>
      </c>
    </row>
    <row r="2319" customFormat="false" ht="15" hidden="false" customHeight="false" outlineLevel="0" collapsed="false">
      <c r="A2319" s="62" t="n">
        <v>0</v>
      </c>
      <c r="B2319" s="21" t="s">
        <v>336</v>
      </c>
      <c r="C2319" s="62" t="s">
        <v>60</v>
      </c>
      <c r="D2319" s="62" t="s">
        <v>386</v>
      </c>
      <c r="E2319" s="62" t="s">
        <v>382</v>
      </c>
      <c r="F2319" s="62" t="s">
        <v>382</v>
      </c>
      <c r="G2319" s="63" t="s">
        <v>606</v>
      </c>
      <c r="H2319" s="64" t="n">
        <v>5.15</v>
      </c>
      <c r="I2319" s="62" t="s">
        <v>878</v>
      </c>
      <c r="J2319" s="64" t="n">
        <v>515</v>
      </c>
      <c r="K2319" s="62" t="s">
        <v>42</v>
      </c>
      <c r="L2319" s="68" t="b">
        <f aca="false">FALSE()</f>
        <v>0</v>
      </c>
    </row>
    <row r="2320" customFormat="false" ht="15" hidden="false" customHeight="false" outlineLevel="0" collapsed="false">
      <c r="A2320" s="62" t="n">
        <v>0</v>
      </c>
      <c r="B2320" s="21" t="s">
        <v>336</v>
      </c>
      <c r="C2320" s="62" t="s">
        <v>60</v>
      </c>
      <c r="D2320" s="62" t="s">
        <v>387</v>
      </c>
      <c r="E2320" s="62" t="s">
        <v>382</v>
      </c>
      <c r="F2320" s="62" t="s">
        <v>382</v>
      </c>
      <c r="G2320" s="63" t="s">
        <v>606</v>
      </c>
      <c r="H2320" s="64" t="n">
        <v>5.15</v>
      </c>
      <c r="I2320" s="62" t="s">
        <v>878</v>
      </c>
      <c r="J2320" s="64" t="n">
        <v>515</v>
      </c>
      <c r="K2320" s="62" t="s">
        <v>42</v>
      </c>
      <c r="L2320" s="68" t="b">
        <f aca="false">FALSE()</f>
        <v>0</v>
      </c>
    </row>
    <row r="2321" customFormat="false" ht="15" hidden="false" customHeight="false" outlineLevel="0" collapsed="false">
      <c r="A2321" s="62" t="n">
        <v>0</v>
      </c>
      <c r="B2321" s="21" t="s">
        <v>336</v>
      </c>
      <c r="C2321" s="62" t="s">
        <v>60</v>
      </c>
      <c r="D2321" s="62" t="s">
        <v>388</v>
      </c>
      <c r="E2321" s="62" t="s">
        <v>382</v>
      </c>
      <c r="F2321" s="62" t="s">
        <v>382</v>
      </c>
      <c r="G2321" s="63" t="s">
        <v>606</v>
      </c>
      <c r="H2321" s="64" t="n">
        <v>5.15</v>
      </c>
      <c r="I2321" s="62" t="s">
        <v>878</v>
      </c>
      <c r="J2321" s="64" t="n">
        <v>515</v>
      </c>
      <c r="K2321" s="62" t="s">
        <v>42</v>
      </c>
      <c r="L2321" s="68" t="b">
        <f aca="false">FALSE()</f>
        <v>0</v>
      </c>
    </row>
    <row r="2322" customFormat="false" ht="15" hidden="false" customHeight="false" outlineLevel="0" collapsed="false">
      <c r="A2322" s="62" t="n">
        <v>0</v>
      </c>
      <c r="B2322" s="21" t="s">
        <v>336</v>
      </c>
      <c r="C2322" s="62" t="s">
        <v>60</v>
      </c>
      <c r="D2322" s="62" t="s">
        <v>381</v>
      </c>
      <c r="E2322" s="62" t="s">
        <v>382</v>
      </c>
      <c r="F2322" s="62" t="s">
        <v>382</v>
      </c>
      <c r="G2322" s="63" t="s">
        <v>607</v>
      </c>
      <c r="H2322" s="64" t="n">
        <v>5.05</v>
      </c>
      <c r="I2322" s="62" t="s">
        <v>878</v>
      </c>
      <c r="J2322" s="64" t="n">
        <v>505</v>
      </c>
      <c r="K2322" s="62" t="s">
        <v>42</v>
      </c>
      <c r="L2322" s="68" t="b">
        <f aca="false">FALSE()</f>
        <v>0</v>
      </c>
    </row>
    <row r="2323" customFormat="false" ht="15" hidden="false" customHeight="false" outlineLevel="0" collapsed="false">
      <c r="A2323" s="62" t="n">
        <v>0</v>
      </c>
      <c r="B2323" s="21" t="s">
        <v>336</v>
      </c>
      <c r="C2323" s="62" t="s">
        <v>60</v>
      </c>
      <c r="D2323" s="62" t="s">
        <v>383</v>
      </c>
      <c r="E2323" s="62" t="s">
        <v>382</v>
      </c>
      <c r="F2323" s="62" t="s">
        <v>382</v>
      </c>
      <c r="G2323" s="63" t="s">
        <v>607</v>
      </c>
      <c r="H2323" s="64" t="n">
        <v>5.05</v>
      </c>
      <c r="I2323" s="62" t="s">
        <v>878</v>
      </c>
      <c r="J2323" s="64" t="n">
        <v>505</v>
      </c>
      <c r="K2323" s="62" t="s">
        <v>42</v>
      </c>
      <c r="L2323" s="68" t="b">
        <f aca="false">FALSE()</f>
        <v>0</v>
      </c>
    </row>
    <row r="2324" customFormat="false" ht="15" hidden="false" customHeight="false" outlineLevel="0" collapsed="false">
      <c r="A2324" s="62" t="n">
        <v>0</v>
      </c>
      <c r="B2324" s="21" t="s">
        <v>336</v>
      </c>
      <c r="C2324" s="62" t="s">
        <v>60</v>
      </c>
      <c r="D2324" s="62" t="s">
        <v>384</v>
      </c>
      <c r="E2324" s="62" t="s">
        <v>382</v>
      </c>
      <c r="F2324" s="62" t="s">
        <v>382</v>
      </c>
      <c r="G2324" s="63" t="s">
        <v>607</v>
      </c>
      <c r="H2324" s="64" t="n">
        <v>5.05</v>
      </c>
      <c r="I2324" s="62" t="s">
        <v>878</v>
      </c>
      <c r="J2324" s="64" t="n">
        <v>505</v>
      </c>
      <c r="K2324" s="62" t="s">
        <v>42</v>
      </c>
      <c r="L2324" s="68" t="b">
        <f aca="false">FALSE()</f>
        <v>0</v>
      </c>
    </row>
    <row r="2325" customFormat="false" ht="15" hidden="false" customHeight="false" outlineLevel="0" collapsed="false">
      <c r="A2325" s="62" t="n">
        <v>0</v>
      </c>
      <c r="B2325" s="21" t="s">
        <v>336</v>
      </c>
      <c r="C2325" s="62" t="s">
        <v>60</v>
      </c>
      <c r="D2325" s="62" t="s">
        <v>385</v>
      </c>
      <c r="E2325" s="62" t="s">
        <v>382</v>
      </c>
      <c r="F2325" s="62" t="s">
        <v>382</v>
      </c>
      <c r="G2325" s="63" t="s">
        <v>607</v>
      </c>
      <c r="H2325" s="64" t="n">
        <v>5.05</v>
      </c>
      <c r="I2325" s="62" t="s">
        <v>878</v>
      </c>
      <c r="J2325" s="64" t="n">
        <v>505</v>
      </c>
      <c r="K2325" s="62" t="s">
        <v>42</v>
      </c>
      <c r="L2325" s="68" t="b">
        <f aca="false">FALSE()</f>
        <v>0</v>
      </c>
    </row>
    <row r="2326" customFormat="false" ht="15" hidden="false" customHeight="false" outlineLevel="0" collapsed="false">
      <c r="A2326" s="62" t="n">
        <v>0</v>
      </c>
      <c r="B2326" s="21" t="s">
        <v>336</v>
      </c>
      <c r="C2326" s="62" t="s">
        <v>60</v>
      </c>
      <c r="D2326" s="62" t="s">
        <v>386</v>
      </c>
      <c r="E2326" s="62" t="s">
        <v>382</v>
      </c>
      <c r="F2326" s="62" t="s">
        <v>382</v>
      </c>
      <c r="G2326" s="63" t="s">
        <v>607</v>
      </c>
      <c r="H2326" s="64" t="n">
        <v>5.05</v>
      </c>
      <c r="I2326" s="62" t="s">
        <v>878</v>
      </c>
      <c r="J2326" s="64" t="n">
        <v>505</v>
      </c>
      <c r="K2326" s="62" t="s">
        <v>42</v>
      </c>
      <c r="L2326" s="68" t="b">
        <f aca="false">FALSE()</f>
        <v>0</v>
      </c>
    </row>
    <row r="2327" customFormat="false" ht="15" hidden="false" customHeight="false" outlineLevel="0" collapsed="false">
      <c r="A2327" s="62" t="n">
        <v>0</v>
      </c>
      <c r="B2327" s="21" t="s">
        <v>336</v>
      </c>
      <c r="C2327" s="62" t="s">
        <v>60</v>
      </c>
      <c r="D2327" s="62" t="s">
        <v>387</v>
      </c>
      <c r="E2327" s="62" t="s">
        <v>382</v>
      </c>
      <c r="F2327" s="62" t="s">
        <v>382</v>
      </c>
      <c r="G2327" s="63" t="s">
        <v>607</v>
      </c>
      <c r="H2327" s="64" t="n">
        <v>5.05</v>
      </c>
      <c r="I2327" s="62" t="s">
        <v>878</v>
      </c>
      <c r="J2327" s="64" t="n">
        <v>505</v>
      </c>
      <c r="K2327" s="62" t="s">
        <v>42</v>
      </c>
      <c r="L2327" s="68" t="b">
        <f aca="false">FALSE()</f>
        <v>0</v>
      </c>
    </row>
    <row r="2328" customFormat="false" ht="15" hidden="false" customHeight="false" outlineLevel="0" collapsed="false">
      <c r="A2328" s="62" t="n">
        <v>0</v>
      </c>
      <c r="B2328" s="21" t="s">
        <v>336</v>
      </c>
      <c r="C2328" s="62" t="s">
        <v>60</v>
      </c>
      <c r="D2328" s="62" t="s">
        <v>388</v>
      </c>
      <c r="E2328" s="62" t="s">
        <v>382</v>
      </c>
      <c r="F2328" s="62" t="s">
        <v>382</v>
      </c>
      <c r="G2328" s="63" t="s">
        <v>607</v>
      </c>
      <c r="H2328" s="64" t="n">
        <v>5.05</v>
      </c>
      <c r="I2328" s="62" t="s">
        <v>878</v>
      </c>
      <c r="J2328" s="64" t="n">
        <v>505</v>
      </c>
      <c r="K2328" s="62" t="s">
        <v>42</v>
      </c>
      <c r="L2328" s="68" t="b">
        <f aca="false">FALSE()</f>
        <v>0</v>
      </c>
    </row>
    <row r="2329" customFormat="false" ht="15" hidden="false" customHeight="false" outlineLevel="0" collapsed="false">
      <c r="A2329" s="62" t="n">
        <v>0</v>
      </c>
      <c r="B2329" s="21" t="s">
        <v>336</v>
      </c>
      <c r="C2329" s="62" t="s">
        <v>60</v>
      </c>
      <c r="D2329" s="62" t="s">
        <v>381</v>
      </c>
      <c r="E2329" s="62" t="s">
        <v>382</v>
      </c>
      <c r="F2329" s="62" t="s">
        <v>382</v>
      </c>
      <c r="G2329" s="63" t="s">
        <v>608</v>
      </c>
      <c r="H2329" s="64" t="n">
        <v>2.85</v>
      </c>
      <c r="I2329" s="62" t="s">
        <v>878</v>
      </c>
      <c r="J2329" s="64" t="n">
        <v>285</v>
      </c>
      <c r="K2329" s="62" t="s">
        <v>42</v>
      </c>
      <c r="L2329" s="68" t="b">
        <f aca="false">FALSE()</f>
        <v>0</v>
      </c>
    </row>
    <row r="2330" customFormat="false" ht="15" hidden="false" customHeight="false" outlineLevel="0" collapsed="false">
      <c r="A2330" s="62" t="n">
        <v>0</v>
      </c>
      <c r="B2330" s="21" t="s">
        <v>336</v>
      </c>
      <c r="C2330" s="62" t="s">
        <v>60</v>
      </c>
      <c r="D2330" s="62" t="s">
        <v>383</v>
      </c>
      <c r="E2330" s="62" t="s">
        <v>382</v>
      </c>
      <c r="F2330" s="62" t="s">
        <v>382</v>
      </c>
      <c r="G2330" s="63" t="s">
        <v>608</v>
      </c>
      <c r="H2330" s="64" t="n">
        <v>2.85</v>
      </c>
      <c r="I2330" s="62" t="s">
        <v>878</v>
      </c>
      <c r="J2330" s="64" t="n">
        <v>285</v>
      </c>
      <c r="K2330" s="62" t="s">
        <v>42</v>
      </c>
      <c r="L2330" s="68" t="b">
        <f aca="false">FALSE()</f>
        <v>0</v>
      </c>
    </row>
    <row r="2331" customFormat="false" ht="15" hidden="false" customHeight="false" outlineLevel="0" collapsed="false">
      <c r="A2331" s="62" t="n">
        <v>0</v>
      </c>
      <c r="B2331" s="21" t="s">
        <v>336</v>
      </c>
      <c r="C2331" s="62" t="s">
        <v>60</v>
      </c>
      <c r="D2331" s="62" t="s">
        <v>384</v>
      </c>
      <c r="E2331" s="62" t="s">
        <v>382</v>
      </c>
      <c r="F2331" s="62" t="s">
        <v>382</v>
      </c>
      <c r="G2331" s="63" t="s">
        <v>608</v>
      </c>
      <c r="H2331" s="64" t="n">
        <v>2.85</v>
      </c>
      <c r="I2331" s="62" t="s">
        <v>878</v>
      </c>
      <c r="J2331" s="64" t="n">
        <v>285</v>
      </c>
      <c r="K2331" s="62" t="s">
        <v>42</v>
      </c>
      <c r="L2331" s="68" t="b">
        <f aca="false">FALSE()</f>
        <v>0</v>
      </c>
    </row>
    <row r="2332" customFormat="false" ht="15" hidden="false" customHeight="false" outlineLevel="0" collapsed="false">
      <c r="A2332" s="62" t="n">
        <v>0</v>
      </c>
      <c r="B2332" s="21" t="s">
        <v>336</v>
      </c>
      <c r="C2332" s="62" t="s">
        <v>60</v>
      </c>
      <c r="D2332" s="62" t="s">
        <v>385</v>
      </c>
      <c r="E2332" s="62" t="s">
        <v>382</v>
      </c>
      <c r="F2332" s="62" t="s">
        <v>382</v>
      </c>
      <c r="G2332" s="63" t="s">
        <v>608</v>
      </c>
      <c r="H2332" s="64" t="n">
        <v>2.85</v>
      </c>
      <c r="I2332" s="62" t="s">
        <v>878</v>
      </c>
      <c r="J2332" s="64" t="n">
        <v>285</v>
      </c>
      <c r="K2332" s="62" t="s">
        <v>42</v>
      </c>
      <c r="L2332" s="68" t="b">
        <f aca="false">FALSE()</f>
        <v>0</v>
      </c>
    </row>
    <row r="2333" customFormat="false" ht="15" hidden="false" customHeight="false" outlineLevel="0" collapsed="false">
      <c r="A2333" s="62" t="n">
        <v>0</v>
      </c>
      <c r="B2333" s="21" t="s">
        <v>336</v>
      </c>
      <c r="C2333" s="62" t="s">
        <v>60</v>
      </c>
      <c r="D2333" s="62" t="s">
        <v>386</v>
      </c>
      <c r="E2333" s="62" t="s">
        <v>382</v>
      </c>
      <c r="F2333" s="62" t="s">
        <v>382</v>
      </c>
      <c r="G2333" s="63" t="s">
        <v>608</v>
      </c>
      <c r="H2333" s="64" t="n">
        <v>2.85</v>
      </c>
      <c r="I2333" s="62" t="s">
        <v>878</v>
      </c>
      <c r="J2333" s="64" t="n">
        <v>285</v>
      </c>
      <c r="K2333" s="62" t="s">
        <v>42</v>
      </c>
      <c r="L2333" s="68" t="b">
        <f aca="false">FALSE()</f>
        <v>0</v>
      </c>
    </row>
    <row r="2334" customFormat="false" ht="15" hidden="false" customHeight="false" outlineLevel="0" collapsed="false">
      <c r="A2334" s="62" t="n">
        <v>0</v>
      </c>
      <c r="B2334" s="21" t="s">
        <v>336</v>
      </c>
      <c r="C2334" s="62" t="s">
        <v>60</v>
      </c>
      <c r="D2334" s="62" t="s">
        <v>387</v>
      </c>
      <c r="E2334" s="62" t="s">
        <v>382</v>
      </c>
      <c r="F2334" s="62" t="s">
        <v>382</v>
      </c>
      <c r="G2334" s="63" t="s">
        <v>608</v>
      </c>
      <c r="H2334" s="64" t="n">
        <v>2.85</v>
      </c>
      <c r="I2334" s="62" t="s">
        <v>878</v>
      </c>
      <c r="J2334" s="64" t="n">
        <v>285</v>
      </c>
      <c r="K2334" s="62" t="s">
        <v>42</v>
      </c>
      <c r="L2334" s="68" t="b">
        <f aca="false">FALSE()</f>
        <v>0</v>
      </c>
    </row>
    <row r="2335" customFormat="false" ht="15" hidden="false" customHeight="false" outlineLevel="0" collapsed="false">
      <c r="A2335" s="62" t="n">
        <v>0</v>
      </c>
      <c r="B2335" s="21" t="s">
        <v>336</v>
      </c>
      <c r="C2335" s="62" t="s">
        <v>60</v>
      </c>
      <c r="D2335" s="62" t="s">
        <v>388</v>
      </c>
      <c r="E2335" s="62" t="s">
        <v>382</v>
      </c>
      <c r="F2335" s="62" t="s">
        <v>382</v>
      </c>
      <c r="G2335" s="63" t="s">
        <v>608</v>
      </c>
      <c r="H2335" s="64" t="n">
        <v>2.85</v>
      </c>
      <c r="I2335" s="62" t="s">
        <v>878</v>
      </c>
      <c r="J2335" s="64" t="n">
        <v>285</v>
      </c>
      <c r="K2335" s="62" t="s">
        <v>42</v>
      </c>
      <c r="L2335" s="68" t="b">
        <f aca="false">FALSE()</f>
        <v>0</v>
      </c>
    </row>
    <row r="2336" customFormat="false" ht="15" hidden="false" customHeight="false" outlineLevel="0" collapsed="false">
      <c r="A2336" s="62" t="n">
        <v>0</v>
      </c>
      <c r="B2336" s="21" t="s">
        <v>336</v>
      </c>
      <c r="C2336" s="62" t="s">
        <v>60</v>
      </c>
      <c r="D2336" s="62" t="s">
        <v>381</v>
      </c>
      <c r="E2336" s="62" t="s">
        <v>382</v>
      </c>
      <c r="F2336" s="62" t="s">
        <v>382</v>
      </c>
      <c r="G2336" s="63" t="s">
        <v>609</v>
      </c>
      <c r="H2336" s="64" t="n">
        <v>0</v>
      </c>
      <c r="I2336" s="62"/>
      <c r="J2336" s="64" t="n">
        <v>0</v>
      </c>
      <c r="K2336" s="62"/>
      <c r="L2336" s="68" t="b">
        <f aca="false">FALSE()</f>
        <v>0</v>
      </c>
    </row>
    <row r="2337" customFormat="false" ht="15" hidden="false" customHeight="false" outlineLevel="0" collapsed="false">
      <c r="A2337" s="62" t="n">
        <v>0</v>
      </c>
      <c r="B2337" s="21" t="s">
        <v>336</v>
      </c>
      <c r="C2337" s="62" t="s">
        <v>60</v>
      </c>
      <c r="D2337" s="62" t="s">
        <v>383</v>
      </c>
      <c r="E2337" s="62" t="s">
        <v>382</v>
      </c>
      <c r="F2337" s="62" t="s">
        <v>382</v>
      </c>
      <c r="G2337" s="63" t="s">
        <v>609</v>
      </c>
      <c r="H2337" s="64" t="n">
        <v>0</v>
      </c>
      <c r="I2337" s="62"/>
      <c r="J2337" s="64" t="n">
        <v>0</v>
      </c>
      <c r="K2337" s="62"/>
      <c r="L2337" s="68" t="b">
        <f aca="false">FALSE()</f>
        <v>0</v>
      </c>
    </row>
    <row r="2338" customFormat="false" ht="15" hidden="false" customHeight="false" outlineLevel="0" collapsed="false">
      <c r="A2338" s="62" t="n">
        <v>0</v>
      </c>
      <c r="B2338" s="21" t="s">
        <v>336</v>
      </c>
      <c r="C2338" s="62" t="s">
        <v>60</v>
      </c>
      <c r="D2338" s="62" t="s">
        <v>384</v>
      </c>
      <c r="E2338" s="62" t="s">
        <v>382</v>
      </c>
      <c r="F2338" s="62" t="s">
        <v>382</v>
      </c>
      <c r="G2338" s="63" t="s">
        <v>609</v>
      </c>
      <c r="H2338" s="64" t="n">
        <v>0</v>
      </c>
      <c r="I2338" s="62"/>
      <c r="J2338" s="64" t="n">
        <v>0</v>
      </c>
      <c r="K2338" s="62"/>
      <c r="L2338" s="68" t="b">
        <f aca="false">FALSE()</f>
        <v>0</v>
      </c>
    </row>
    <row r="2339" customFormat="false" ht="15" hidden="false" customHeight="false" outlineLevel="0" collapsed="false">
      <c r="A2339" s="62" t="n">
        <v>0</v>
      </c>
      <c r="B2339" s="21" t="s">
        <v>336</v>
      </c>
      <c r="C2339" s="62" t="s">
        <v>60</v>
      </c>
      <c r="D2339" s="62" t="s">
        <v>385</v>
      </c>
      <c r="E2339" s="62" t="s">
        <v>382</v>
      </c>
      <c r="F2339" s="62" t="s">
        <v>382</v>
      </c>
      <c r="G2339" s="63" t="s">
        <v>609</v>
      </c>
      <c r="H2339" s="64" t="n">
        <v>0</v>
      </c>
      <c r="I2339" s="62"/>
      <c r="J2339" s="64" t="n">
        <v>0</v>
      </c>
      <c r="K2339" s="62"/>
      <c r="L2339" s="68" t="b">
        <f aca="false">FALSE()</f>
        <v>0</v>
      </c>
    </row>
    <row r="2340" customFormat="false" ht="15" hidden="false" customHeight="false" outlineLevel="0" collapsed="false">
      <c r="A2340" s="62" t="n">
        <v>0</v>
      </c>
      <c r="B2340" s="21" t="s">
        <v>336</v>
      </c>
      <c r="C2340" s="62" t="s">
        <v>60</v>
      </c>
      <c r="D2340" s="62" t="s">
        <v>386</v>
      </c>
      <c r="E2340" s="62" t="s">
        <v>382</v>
      </c>
      <c r="F2340" s="62" t="s">
        <v>382</v>
      </c>
      <c r="G2340" s="63" t="s">
        <v>609</v>
      </c>
      <c r="H2340" s="64" t="n">
        <v>0</v>
      </c>
      <c r="I2340" s="62"/>
      <c r="J2340" s="64" t="n">
        <v>0</v>
      </c>
      <c r="K2340" s="62"/>
      <c r="L2340" s="68" t="b">
        <f aca="false">FALSE()</f>
        <v>0</v>
      </c>
    </row>
    <row r="2341" customFormat="false" ht="15" hidden="false" customHeight="false" outlineLevel="0" collapsed="false">
      <c r="A2341" s="62" t="n">
        <v>0</v>
      </c>
      <c r="B2341" s="21" t="s">
        <v>336</v>
      </c>
      <c r="C2341" s="62" t="s">
        <v>60</v>
      </c>
      <c r="D2341" s="62" t="s">
        <v>387</v>
      </c>
      <c r="E2341" s="62" t="s">
        <v>382</v>
      </c>
      <c r="F2341" s="62" t="s">
        <v>382</v>
      </c>
      <c r="G2341" s="63" t="s">
        <v>609</v>
      </c>
      <c r="H2341" s="64" t="n">
        <v>0</v>
      </c>
      <c r="I2341" s="62"/>
      <c r="J2341" s="64" t="n">
        <v>0</v>
      </c>
      <c r="K2341" s="62"/>
      <c r="L2341" s="68" t="b">
        <f aca="false">FALSE()</f>
        <v>0</v>
      </c>
    </row>
    <row r="2342" customFormat="false" ht="15" hidden="false" customHeight="false" outlineLevel="0" collapsed="false">
      <c r="A2342" s="62" t="n">
        <v>0</v>
      </c>
      <c r="B2342" s="21" t="s">
        <v>336</v>
      </c>
      <c r="C2342" s="62" t="s">
        <v>60</v>
      </c>
      <c r="D2342" s="62" t="s">
        <v>388</v>
      </c>
      <c r="E2342" s="62" t="s">
        <v>382</v>
      </c>
      <c r="F2342" s="62" t="s">
        <v>382</v>
      </c>
      <c r="G2342" s="63" t="s">
        <v>609</v>
      </c>
      <c r="H2342" s="64" t="n">
        <v>0</v>
      </c>
      <c r="I2342" s="62"/>
      <c r="J2342" s="64" t="n">
        <v>0</v>
      </c>
      <c r="K2342" s="62"/>
      <c r="L2342" s="68" t="b">
        <f aca="false">FALSE()</f>
        <v>0</v>
      </c>
    </row>
    <row r="2343" customFormat="false" ht="15" hidden="false" customHeight="false" outlineLevel="0" collapsed="false">
      <c r="A2343" s="62" t="n">
        <v>0</v>
      </c>
      <c r="B2343" s="21" t="s">
        <v>336</v>
      </c>
      <c r="C2343" s="62" t="s">
        <v>60</v>
      </c>
      <c r="D2343" s="62" t="s">
        <v>381</v>
      </c>
      <c r="E2343" s="62" t="s">
        <v>382</v>
      </c>
      <c r="F2343" s="62" t="s">
        <v>382</v>
      </c>
      <c r="G2343" s="63" t="s">
        <v>610</v>
      </c>
      <c r="H2343" s="64" t="n">
        <v>0</v>
      </c>
      <c r="I2343" s="62"/>
      <c r="J2343" s="64" t="n">
        <v>0</v>
      </c>
      <c r="K2343" s="62"/>
      <c r="L2343" s="68" t="b">
        <f aca="false">FALSE()</f>
        <v>0</v>
      </c>
    </row>
    <row r="2344" customFormat="false" ht="15" hidden="false" customHeight="false" outlineLevel="0" collapsed="false">
      <c r="A2344" s="62" t="n">
        <v>0</v>
      </c>
      <c r="B2344" s="21" t="s">
        <v>336</v>
      </c>
      <c r="C2344" s="62" t="s">
        <v>60</v>
      </c>
      <c r="D2344" s="62" t="s">
        <v>383</v>
      </c>
      <c r="E2344" s="62" t="s">
        <v>382</v>
      </c>
      <c r="F2344" s="62" t="s">
        <v>382</v>
      </c>
      <c r="G2344" s="63" t="s">
        <v>610</v>
      </c>
      <c r="H2344" s="64" t="n">
        <v>0</v>
      </c>
      <c r="I2344" s="62"/>
      <c r="J2344" s="64" t="n">
        <v>0</v>
      </c>
      <c r="K2344" s="62"/>
      <c r="L2344" s="68" t="b">
        <f aca="false">FALSE()</f>
        <v>0</v>
      </c>
    </row>
    <row r="2345" customFormat="false" ht="15" hidden="false" customHeight="false" outlineLevel="0" collapsed="false">
      <c r="A2345" s="62" t="n">
        <v>0</v>
      </c>
      <c r="B2345" s="21" t="s">
        <v>336</v>
      </c>
      <c r="C2345" s="62" t="s">
        <v>60</v>
      </c>
      <c r="D2345" s="62" t="s">
        <v>384</v>
      </c>
      <c r="E2345" s="62" t="s">
        <v>382</v>
      </c>
      <c r="F2345" s="62" t="s">
        <v>382</v>
      </c>
      <c r="G2345" s="63" t="s">
        <v>610</v>
      </c>
      <c r="H2345" s="64" t="n">
        <v>0</v>
      </c>
      <c r="I2345" s="62"/>
      <c r="J2345" s="64" t="n">
        <v>0</v>
      </c>
      <c r="K2345" s="62"/>
      <c r="L2345" s="68" t="b">
        <f aca="false">FALSE()</f>
        <v>0</v>
      </c>
    </row>
    <row r="2346" customFormat="false" ht="15" hidden="false" customHeight="false" outlineLevel="0" collapsed="false">
      <c r="A2346" s="62" t="n">
        <v>0</v>
      </c>
      <c r="B2346" s="21" t="s">
        <v>336</v>
      </c>
      <c r="C2346" s="62" t="s">
        <v>60</v>
      </c>
      <c r="D2346" s="62" t="s">
        <v>385</v>
      </c>
      <c r="E2346" s="62" t="s">
        <v>382</v>
      </c>
      <c r="F2346" s="62" t="s">
        <v>382</v>
      </c>
      <c r="G2346" s="63" t="s">
        <v>610</v>
      </c>
      <c r="H2346" s="64" t="n">
        <v>0</v>
      </c>
      <c r="I2346" s="62"/>
      <c r="J2346" s="64" t="n">
        <v>0</v>
      </c>
      <c r="K2346" s="62"/>
      <c r="L2346" s="68" t="b">
        <f aca="false">FALSE()</f>
        <v>0</v>
      </c>
    </row>
    <row r="2347" customFormat="false" ht="15" hidden="false" customHeight="false" outlineLevel="0" collapsed="false">
      <c r="A2347" s="62" t="n">
        <v>0</v>
      </c>
      <c r="B2347" s="21" t="s">
        <v>336</v>
      </c>
      <c r="C2347" s="62" t="s">
        <v>60</v>
      </c>
      <c r="D2347" s="62" t="s">
        <v>386</v>
      </c>
      <c r="E2347" s="62" t="s">
        <v>382</v>
      </c>
      <c r="F2347" s="62" t="s">
        <v>382</v>
      </c>
      <c r="G2347" s="63" t="s">
        <v>610</v>
      </c>
      <c r="H2347" s="64" t="n">
        <v>0</v>
      </c>
      <c r="I2347" s="62"/>
      <c r="J2347" s="64" t="n">
        <v>0</v>
      </c>
      <c r="K2347" s="62"/>
      <c r="L2347" s="68" t="b">
        <f aca="false">FALSE()</f>
        <v>0</v>
      </c>
    </row>
    <row r="2348" customFormat="false" ht="15" hidden="false" customHeight="false" outlineLevel="0" collapsed="false">
      <c r="A2348" s="62" t="n">
        <v>0</v>
      </c>
      <c r="B2348" s="21" t="s">
        <v>336</v>
      </c>
      <c r="C2348" s="62" t="s">
        <v>60</v>
      </c>
      <c r="D2348" s="62" t="s">
        <v>387</v>
      </c>
      <c r="E2348" s="62" t="s">
        <v>382</v>
      </c>
      <c r="F2348" s="62" t="s">
        <v>382</v>
      </c>
      <c r="G2348" s="63" t="s">
        <v>610</v>
      </c>
      <c r="H2348" s="64" t="n">
        <v>0</v>
      </c>
      <c r="I2348" s="62"/>
      <c r="J2348" s="64" t="n">
        <v>0</v>
      </c>
      <c r="K2348" s="62"/>
      <c r="L2348" s="68" t="b">
        <f aca="false">FALSE()</f>
        <v>0</v>
      </c>
    </row>
    <row r="2349" customFormat="false" ht="15" hidden="false" customHeight="false" outlineLevel="0" collapsed="false">
      <c r="A2349" s="62" t="n">
        <v>0</v>
      </c>
      <c r="B2349" s="21" t="s">
        <v>336</v>
      </c>
      <c r="C2349" s="62" t="s">
        <v>60</v>
      </c>
      <c r="D2349" s="62" t="s">
        <v>388</v>
      </c>
      <c r="E2349" s="62" t="s">
        <v>382</v>
      </c>
      <c r="F2349" s="62" t="s">
        <v>382</v>
      </c>
      <c r="G2349" s="63" t="s">
        <v>610</v>
      </c>
      <c r="H2349" s="64" t="n">
        <v>0</v>
      </c>
      <c r="I2349" s="62"/>
      <c r="J2349" s="64" t="n">
        <v>0</v>
      </c>
      <c r="K2349" s="62"/>
      <c r="L2349" s="68" t="b">
        <f aca="false">FALSE()</f>
        <v>0</v>
      </c>
    </row>
    <row r="2350" customFormat="false" ht="15" hidden="false" customHeight="false" outlineLevel="0" collapsed="false">
      <c r="A2350" s="62" t="n">
        <v>0</v>
      </c>
      <c r="B2350" s="21" t="s">
        <v>336</v>
      </c>
      <c r="C2350" s="62" t="s">
        <v>60</v>
      </c>
      <c r="D2350" s="62" t="s">
        <v>381</v>
      </c>
      <c r="E2350" s="62" t="s">
        <v>382</v>
      </c>
      <c r="F2350" s="62" t="s">
        <v>382</v>
      </c>
      <c r="G2350" s="63" t="s">
        <v>611</v>
      </c>
      <c r="H2350" s="64" t="n">
        <v>1985.29761950203</v>
      </c>
      <c r="I2350" s="62"/>
      <c r="J2350" s="64" t="n">
        <v>1985.29761950203</v>
      </c>
      <c r="K2350" s="62"/>
      <c r="L2350" s="68" t="b">
        <f aca="false">FALSE()</f>
        <v>0</v>
      </c>
    </row>
    <row r="2351" customFormat="false" ht="15" hidden="false" customHeight="false" outlineLevel="0" collapsed="false">
      <c r="A2351" s="62" t="n">
        <v>0</v>
      </c>
      <c r="B2351" s="21" t="s">
        <v>336</v>
      </c>
      <c r="C2351" s="62" t="s">
        <v>60</v>
      </c>
      <c r="D2351" s="62" t="s">
        <v>383</v>
      </c>
      <c r="E2351" s="62" t="s">
        <v>382</v>
      </c>
      <c r="F2351" s="62" t="s">
        <v>382</v>
      </c>
      <c r="G2351" s="63" t="s">
        <v>611</v>
      </c>
      <c r="H2351" s="64" t="n">
        <v>1985.29761950203</v>
      </c>
      <c r="I2351" s="62"/>
      <c r="J2351" s="64" t="n">
        <v>1985.29761950203</v>
      </c>
      <c r="K2351" s="62"/>
      <c r="L2351" s="68" t="b">
        <f aca="false">FALSE()</f>
        <v>0</v>
      </c>
    </row>
    <row r="2352" customFormat="false" ht="15" hidden="false" customHeight="false" outlineLevel="0" collapsed="false">
      <c r="A2352" s="62" t="n">
        <v>0</v>
      </c>
      <c r="B2352" s="21" t="s">
        <v>336</v>
      </c>
      <c r="C2352" s="62" t="s">
        <v>60</v>
      </c>
      <c r="D2352" s="62" t="s">
        <v>384</v>
      </c>
      <c r="E2352" s="62" t="s">
        <v>382</v>
      </c>
      <c r="F2352" s="62" t="s">
        <v>382</v>
      </c>
      <c r="G2352" s="63" t="s">
        <v>611</v>
      </c>
      <c r="H2352" s="64" t="n">
        <v>1985.29761950203</v>
      </c>
      <c r="I2352" s="62"/>
      <c r="J2352" s="64" t="n">
        <v>1985.29761950203</v>
      </c>
      <c r="K2352" s="62"/>
      <c r="L2352" s="68" t="b">
        <f aca="false">FALSE()</f>
        <v>0</v>
      </c>
    </row>
    <row r="2353" customFormat="false" ht="15" hidden="false" customHeight="false" outlineLevel="0" collapsed="false">
      <c r="A2353" s="62" t="n">
        <v>0</v>
      </c>
      <c r="B2353" s="21" t="s">
        <v>336</v>
      </c>
      <c r="C2353" s="62" t="s">
        <v>60</v>
      </c>
      <c r="D2353" s="62" t="s">
        <v>385</v>
      </c>
      <c r="E2353" s="62" t="s">
        <v>382</v>
      </c>
      <c r="F2353" s="62" t="s">
        <v>382</v>
      </c>
      <c r="G2353" s="63" t="s">
        <v>611</v>
      </c>
      <c r="H2353" s="64" t="n">
        <v>1985.29761950203</v>
      </c>
      <c r="I2353" s="62"/>
      <c r="J2353" s="64" t="n">
        <v>1985.29761950203</v>
      </c>
      <c r="K2353" s="62"/>
      <c r="L2353" s="68" t="b">
        <f aca="false">FALSE()</f>
        <v>0</v>
      </c>
    </row>
    <row r="2354" customFormat="false" ht="15" hidden="false" customHeight="false" outlineLevel="0" collapsed="false">
      <c r="A2354" s="62" t="n">
        <v>0</v>
      </c>
      <c r="B2354" s="21" t="s">
        <v>336</v>
      </c>
      <c r="C2354" s="62" t="s">
        <v>60</v>
      </c>
      <c r="D2354" s="62" t="s">
        <v>386</v>
      </c>
      <c r="E2354" s="62" t="s">
        <v>382</v>
      </c>
      <c r="F2354" s="62" t="s">
        <v>382</v>
      </c>
      <c r="G2354" s="63" t="s">
        <v>611</v>
      </c>
      <c r="H2354" s="64" t="n">
        <v>1985.29761950203</v>
      </c>
      <c r="I2354" s="62"/>
      <c r="J2354" s="64" t="n">
        <v>1985.29761950203</v>
      </c>
      <c r="K2354" s="62"/>
      <c r="L2354" s="68" t="b">
        <f aca="false">FALSE()</f>
        <v>0</v>
      </c>
    </row>
    <row r="2355" customFormat="false" ht="15" hidden="false" customHeight="false" outlineLevel="0" collapsed="false">
      <c r="A2355" s="62" t="n">
        <v>0</v>
      </c>
      <c r="B2355" s="21" t="s">
        <v>336</v>
      </c>
      <c r="C2355" s="62" t="s">
        <v>60</v>
      </c>
      <c r="D2355" s="62" t="s">
        <v>387</v>
      </c>
      <c r="E2355" s="62" t="s">
        <v>382</v>
      </c>
      <c r="F2355" s="62" t="s">
        <v>382</v>
      </c>
      <c r="G2355" s="63" t="s">
        <v>611</v>
      </c>
      <c r="H2355" s="64" t="n">
        <v>1985.29761950203</v>
      </c>
      <c r="I2355" s="62"/>
      <c r="J2355" s="64" t="n">
        <v>1985.29761950203</v>
      </c>
      <c r="K2355" s="62"/>
      <c r="L2355" s="68" t="b">
        <f aca="false">FALSE()</f>
        <v>0</v>
      </c>
    </row>
    <row r="2356" customFormat="false" ht="15" hidden="false" customHeight="false" outlineLevel="0" collapsed="false">
      <c r="A2356" s="62" t="n">
        <v>0</v>
      </c>
      <c r="B2356" s="21" t="s">
        <v>336</v>
      </c>
      <c r="C2356" s="62" t="s">
        <v>60</v>
      </c>
      <c r="D2356" s="62" t="s">
        <v>388</v>
      </c>
      <c r="E2356" s="62" t="s">
        <v>382</v>
      </c>
      <c r="F2356" s="62" t="s">
        <v>382</v>
      </c>
      <c r="G2356" s="63" t="s">
        <v>611</v>
      </c>
      <c r="H2356" s="64" t="n">
        <v>1985.29761950203</v>
      </c>
      <c r="I2356" s="62"/>
      <c r="J2356" s="64" t="n">
        <v>1985.29761950203</v>
      </c>
      <c r="K2356" s="62"/>
      <c r="L2356" s="68" t="b">
        <f aca="false">FALSE()</f>
        <v>0</v>
      </c>
    </row>
    <row r="2357" customFormat="false" ht="15" hidden="false" customHeight="false" outlineLevel="0" collapsed="false">
      <c r="A2357" s="62" t="n">
        <v>0</v>
      </c>
      <c r="B2357" s="21" t="s">
        <v>336</v>
      </c>
      <c r="C2357" s="62" t="s">
        <v>60</v>
      </c>
      <c r="D2357" s="62" t="s">
        <v>381</v>
      </c>
      <c r="E2357" s="62" t="s">
        <v>382</v>
      </c>
      <c r="F2357" s="62" t="s">
        <v>382</v>
      </c>
      <c r="G2357" s="63" t="s">
        <v>612</v>
      </c>
      <c r="H2357" s="64" t="n">
        <v>1985.29761950203</v>
      </c>
      <c r="I2357" s="62"/>
      <c r="J2357" s="64" t="n">
        <v>1985.29761950203</v>
      </c>
      <c r="K2357" s="62"/>
      <c r="L2357" s="68" t="b">
        <f aca="false">FALSE()</f>
        <v>0</v>
      </c>
    </row>
    <row r="2358" customFormat="false" ht="15" hidden="false" customHeight="false" outlineLevel="0" collapsed="false">
      <c r="A2358" s="62" t="n">
        <v>0</v>
      </c>
      <c r="B2358" s="21" t="s">
        <v>336</v>
      </c>
      <c r="C2358" s="62" t="s">
        <v>60</v>
      </c>
      <c r="D2358" s="62" t="s">
        <v>383</v>
      </c>
      <c r="E2358" s="62" t="s">
        <v>382</v>
      </c>
      <c r="F2358" s="62" t="s">
        <v>382</v>
      </c>
      <c r="G2358" s="63" t="s">
        <v>612</v>
      </c>
      <c r="H2358" s="64" t="n">
        <v>1985.29761950203</v>
      </c>
      <c r="I2358" s="62"/>
      <c r="J2358" s="64" t="n">
        <v>1985.29761950203</v>
      </c>
      <c r="K2358" s="62"/>
      <c r="L2358" s="68" t="b">
        <f aca="false">FALSE()</f>
        <v>0</v>
      </c>
    </row>
    <row r="2359" customFormat="false" ht="15" hidden="false" customHeight="false" outlineLevel="0" collapsed="false">
      <c r="A2359" s="62" t="n">
        <v>0</v>
      </c>
      <c r="B2359" s="21" t="s">
        <v>336</v>
      </c>
      <c r="C2359" s="62" t="s">
        <v>60</v>
      </c>
      <c r="D2359" s="62" t="s">
        <v>384</v>
      </c>
      <c r="E2359" s="62" t="s">
        <v>382</v>
      </c>
      <c r="F2359" s="62" t="s">
        <v>382</v>
      </c>
      <c r="G2359" s="63" t="s">
        <v>612</v>
      </c>
      <c r="H2359" s="64" t="n">
        <v>1985.29761950203</v>
      </c>
      <c r="I2359" s="62"/>
      <c r="J2359" s="64" t="n">
        <v>1985.29761950203</v>
      </c>
      <c r="K2359" s="62"/>
      <c r="L2359" s="68" t="b">
        <f aca="false">FALSE()</f>
        <v>0</v>
      </c>
    </row>
    <row r="2360" customFormat="false" ht="15" hidden="false" customHeight="false" outlineLevel="0" collapsed="false">
      <c r="A2360" s="62" t="n">
        <v>0</v>
      </c>
      <c r="B2360" s="21" t="s">
        <v>336</v>
      </c>
      <c r="C2360" s="62" t="s">
        <v>60</v>
      </c>
      <c r="D2360" s="62" t="s">
        <v>385</v>
      </c>
      <c r="E2360" s="62" t="s">
        <v>382</v>
      </c>
      <c r="F2360" s="62" t="s">
        <v>382</v>
      </c>
      <c r="G2360" s="63" t="s">
        <v>612</v>
      </c>
      <c r="H2360" s="64" t="n">
        <v>1985.29761950203</v>
      </c>
      <c r="I2360" s="62"/>
      <c r="J2360" s="64" t="n">
        <v>1985.29761950203</v>
      </c>
      <c r="K2360" s="62"/>
      <c r="L2360" s="68" t="b">
        <f aca="false">FALSE()</f>
        <v>0</v>
      </c>
    </row>
    <row r="2361" customFormat="false" ht="15" hidden="false" customHeight="false" outlineLevel="0" collapsed="false">
      <c r="A2361" s="62" t="n">
        <v>0</v>
      </c>
      <c r="B2361" s="21" t="s">
        <v>336</v>
      </c>
      <c r="C2361" s="62" t="s">
        <v>60</v>
      </c>
      <c r="D2361" s="62" t="s">
        <v>386</v>
      </c>
      <c r="E2361" s="62" t="s">
        <v>382</v>
      </c>
      <c r="F2361" s="62" t="s">
        <v>382</v>
      </c>
      <c r="G2361" s="63" t="s">
        <v>612</v>
      </c>
      <c r="H2361" s="64" t="n">
        <v>1985.29761950203</v>
      </c>
      <c r="I2361" s="62"/>
      <c r="J2361" s="64" t="n">
        <v>1985.29761950203</v>
      </c>
      <c r="K2361" s="62"/>
      <c r="L2361" s="68" t="b">
        <f aca="false">FALSE()</f>
        <v>0</v>
      </c>
    </row>
    <row r="2362" customFormat="false" ht="15" hidden="false" customHeight="false" outlineLevel="0" collapsed="false">
      <c r="A2362" s="62" t="n">
        <v>0</v>
      </c>
      <c r="B2362" s="21" t="s">
        <v>336</v>
      </c>
      <c r="C2362" s="62" t="s">
        <v>60</v>
      </c>
      <c r="D2362" s="62" t="s">
        <v>387</v>
      </c>
      <c r="E2362" s="62" t="s">
        <v>382</v>
      </c>
      <c r="F2362" s="62" t="s">
        <v>382</v>
      </c>
      <c r="G2362" s="63" t="s">
        <v>612</v>
      </c>
      <c r="H2362" s="64" t="n">
        <v>1985.29761950203</v>
      </c>
      <c r="I2362" s="62"/>
      <c r="J2362" s="64" t="n">
        <v>1985.29761950203</v>
      </c>
      <c r="K2362" s="62"/>
      <c r="L2362" s="68" t="b">
        <f aca="false">FALSE()</f>
        <v>0</v>
      </c>
    </row>
    <row r="2363" customFormat="false" ht="15" hidden="false" customHeight="false" outlineLevel="0" collapsed="false">
      <c r="A2363" s="62" t="n">
        <v>0</v>
      </c>
      <c r="B2363" s="21" t="s">
        <v>336</v>
      </c>
      <c r="C2363" s="62" t="s">
        <v>60</v>
      </c>
      <c r="D2363" s="62" t="s">
        <v>388</v>
      </c>
      <c r="E2363" s="62" t="s">
        <v>382</v>
      </c>
      <c r="F2363" s="62" t="s">
        <v>382</v>
      </c>
      <c r="G2363" s="63" t="s">
        <v>612</v>
      </c>
      <c r="H2363" s="64" t="n">
        <v>1985.29761950203</v>
      </c>
      <c r="I2363" s="62"/>
      <c r="J2363" s="64" t="n">
        <v>1985.29761950203</v>
      </c>
      <c r="K2363" s="62"/>
      <c r="L2363" s="68" t="b">
        <f aca="false">FALSE()</f>
        <v>0</v>
      </c>
    </row>
    <row r="2364" customFormat="false" ht="15" hidden="false" customHeight="false" outlineLevel="0" collapsed="false">
      <c r="A2364" s="62" t="n">
        <v>0</v>
      </c>
      <c r="B2364" s="21" t="s">
        <v>336</v>
      </c>
      <c r="C2364" s="62" t="s">
        <v>60</v>
      </c>
      <c r="D2364" s="62" t="s">
        <v>381</v>
      </c>
      <c r="E2364" s="62" t="s">
        <v>382</v>
      </c>
      <c r="F2364" s="62" t="s">
        <v>382</v>
      </c>
      <c r="G2364" s="63" t="s">
        <v>613</v>
      </c>
      <c r="H2364" s="64" t="n">
        <v>14886.7970205094</v>
      </c>
      <c r="I2364" s="62"/>
      <c r="J2364" s="64" t="n">
        <v>14886.7970205094</v>
      </c>
      <c r="K2364" s="62"/>
      <c r="L2364" s="68" t="b">
        <f aca="false">FALSE()</f>
        <v>0</v>
      </c>
    </row>
    <row r="2365" customFormat="false" ht="15" hidden="false" customHeight="false" outlineLevel="0" collapsed="false">
      <c r="A2365" s="62" t="n">
        <v>0</v>
      </c>
      <c r="B2365" s="21" t="s">
        <v>336</v>
      </c>
      <c r="C2365" s="62" t="s">
        <v>60</v>
      </c>
      <c r="D2365" s="62" t="s">
        <v>383</v>
      </c>
      <c r="E2365" s="62" t="s">
        <v>382</v>
      </c>
      <c r="F2365" s="62" t="s">
        <v>382</v>
      </c>
      <c r="G2365" s="63" t="s">
        <v>613</v>
      </c>
      <c r="H2365" s="64" t="n">
        <v>14886.7970205094</v>
      </c>
      <c r="I2365" s="62"/>
      <c r="J2365" s="64" t="n">
        <v>14886.7970205094</v>
      </c>
      <c r="K2365" s="62"/>
      <c r="L2365" s="68" t="b">
        <f aca="false">FALSE()</f>
        <v>0</v>
      </c>
    </row>
    <row r="2366" customFormat="false" ht="15" hidden="false" customHeight="false" outlineLevel="0" collapsed="false">
      <c r="A2366" s="62" t="n">
        <v>0</v>
      </c>
      <c r="B2366" s="21" t="s">
        <v>336</v>
      </c>
      <c r="C2366" s="62" t="s">
        <v>60</v>
      </c>
      <c r="D2366" s="62" t="s">
        <v>384</v>
      </c>
      <c r="E2366" s="62" t="s">
        <v>382</v>
      </c>
      <c r="F2366" s="62" t="s">
        <v>382</v>
      </c>
      <c r="G2366" s="63" t="s">
        <v>613</v>
      </c>
      <c r="H2366" s="64" t="n">
        <v>14886.7970205094</v>
      </c>
      <c r="I2366" s="62"/>
      <c r="J2366" s="64" t="n">
        <v>14886.7970205094</v>
      </c>
      <c r="K2366" s="62"/>
      <c r="L2366" s="68" t="b">
        <f aca="false">FALSE()</f>
        <v>0</v>
      </c>
    </row>
    <row r="2367" customFormat="false" ht="15" hidden="false" customHeight="false" outlineLevel="0" collapsed="false">
      <c r="A2367" s="62" t="n">
        <v>0</v>
      </c>
      <c r="B2367" s="21" t="s">
        <v>336</v>
      </c>
      <c r="C2367" s="62" t="s">
        <v>60</v>
      </c>
      <c r="D2367" s="62" t="s">
        <v>385</v>
      </c>
      <c r="E2367" s="62" t="s">
        <v>382</v>
      </c>
      <c r="F2367" s="62" t="s">
        <v>382</v>
      </c>
      <c r="G2367" s="63" t="s">
        <v>613</v>
      </c>
      <c r="H2367" s="64" t="n">
        <v>14886.7970205094</v>
      </c>
      <c r="I2367" s="62"/>
      <c r="J2367" s="64" t="n">
        <v>14886.7970205094</v>
      </c>
      <c r="K2367" s="62"/>
      <c r="L2367" s="68" t="b">
        <f aca="false">FALSE()</f>
        <v>0</v>
      </c>
    </row>
    <row r="2368" customFormat="false" ht="15" hidden="false" customHeight="false" outlineLevel="0" collapsed="false">
      <c r="A2368" s="62" t="n">
        <v>0</v>
      </c>
      <c r="B2368" s="21" t="s">
        <v>336</v>
      </c>
      <c r="C2368" s="62" t="s">
        <v>60</v>
      </c>
      <c r="D2368" s="62" t="s">
        <v>386</v>
      </c>
      <c r="E2368" s="62" t="s">
        <v>382</v>
      </c>
      <c r="F2368" s="62" t="s">
        <v>382</v>
      </c>
      <c r="G2368" s="63" t="s">
        <v>613</v>
      </c>
      <c r="H2368" s="64" t="n">
        <v>14886.7970205094</v>
      </c>
      <c r="I2368" s="62"/>
      <c r="J2368" s="64" t="n">
        <v>14886.7970205094</v>
      </c>
      <c r="K2368" s="62"/>
      <c r="L2368" s="68" t="b">
        <f aca="false">FALSE()</f>
        <v>0</v>
      </c>
    </row>
    <row r="2369" customFormat="false" ht="15" hidden="false" customHeight="false" outlineLevel="0" collapsed="false">
      <c r="A2369" s="62" t="n">
        <v>0</v>
      </c>
      <c r="B2369" s="21" t="s">
        <v>336</v>
      </c>
      <c r="C2369" s="62" t="s">
        <v>60</v>
      </c>
      <c r="D2369" s="62" t="s">
        <v>387</v>
      </c>
      <c r="E2369" s="62" t="s">
        <v>382</v>
      </c>
      <c r="F2369" s="62" t="s">
        <v>382</v>
      </c>
      <c r="G2369" s="63" t="s">
        <v>613</v>
      </c>
      <c r="H2369" s="64" t="n">
        <v>14886.7970205094</v>
      </c>
      <c r="I2369" s="62"/>
      <c r="J2369" s="64" t="n">
        <v>14886.7970205094</v>
      </c>
      <c r="K2369" s="62"/>
      <c r="L2369" s="68" t="b">
        <f aca="false">FALSE()</f>
        <v>0</v>
      </c>
    </row>
    <row r="2370" customFormat="false" ht="15" hidden="false" customHeight="false" outlineLevel="0" collapsed="false">
      <c r="A2370" s="62" t="n">
        <v>0</v>
      </c>
      <c r="B2370" s="21" t="s">
        <v>336</v>
      </c>
      <c r="C2370" s="62" t="s">
        <v>60</v>
      </c>
      <c r="D2370" s="62" t="s">
        <v>388</v>
      </c>
      <c r="E2370" s="62" t="s">
        <v>382</v>
      </c>
      <c r="F2370" s="62" t="s">
        <v>382</v>
      </c>
      <c r="G2370" s="63" t="s">
        <v>613</v>
      </c>
      <c r="H2370" s="64" t="n">
        <v>14886.7970205094</v>
      </c>
      <c r="I2370" s="62"/>
      <c r="J2370" s="64" t="n">
        <v>14886.7970205094</v>
      </c>
      <c r="K2370" s="62"/>
      <c r="L2370" s="68" t="b">
        <f aca="false">FALSE()</f>
        <v>0</v>
      </c>
    </row>
    <row r="2371" customFormat="false" ht="15" hidden="false" customHeight="false" outlineLevel="0" collapsed="false">
      <c r="A2371" s="62" t="n">
        <v>0</v>
      </c>
      <c r="B2371" s="21" t="s">
        <v>336</v>
      </c>
      <c r="C2371" s="62" t="s">
        <v>60</v>
      </c>
      <c r="D2371" s="62" t="s">
        <v>381</v>
      </c>
      <c r="E2371" s="62" t="s">
        <v>382</v>
      </c>
      <c r="F2371" s="62" t="s">
        <v>382</v>
      </c>
      <c r="G2371" s="63" t="s">
        <v>614</v>
      </c>
      <c r="H2371" s="64" t="n">
        <v>14051.3756273759</v>
      </c>
      <c r="I2371" s="62"/>
      <c r="J2371" s="64" t="n">
        <v>14051.3756273759</v>
      </c>
      <c r="K2371" s="62"/>
      <c r="L2371" s="68" t="b">
        <f aca="false">FALSE()</f>
        <v>0</v>
      </c>
    </row>
    <row r="2372" customFormat="false" ht="15" hidden="false" customHeight="false" outlineLevel="0" collapsed="false">
      <c r="A2372" s="62" t="n">
        <v>0</v>
      </c>
      <c r="B2372" s="21" t="s">
        <v>336</v>
      </c>
      <c r="C2372" s="62" t="s">
        <v>60</v>
      </c>
      <c r="D2372" s="62" t="s">
        <v>383</v>
      </c>
      <c r="E2372" s="62" t="s">
        <v>382</v>
      </c>
      <c r="F2372" s="62" t="s">
        <v>382</v>
      </c>
      <c r="G2372" s="63" t="s">
        <v>614</v>
      </c>
      <c r="H2372" s="64" t="n">
        <v>14051.3756273759</v>
      </c>
      <c r="I2372" s="62"/>
      <c r="J2372" s="64" t="n">
        <v>14051.3756273759</v>
      </c>
      <c r="K2372" s="62"/>
      <c r="L2372" s="68" t="b">
        <f aca="false">FALSE()</f>
        <v>0</v>
      </c>
    </row>
    <row r="2373" customFormat="false" ht="15" hidden="false" customHeight="false" outlineLevel="0" collapsed="false">
      <c r="A2373" s="62" t="n">
        <v>0</v>
      </c>
      <c r="B2373" s="21" t="s">
        <v>336</v>
      </c>
      <c r="C2373" s="62" t="s">
        <v>60</v>
      </c>
      <c r="D2373" s="62" t="s">
        <v>384</v>
      </c>
      <c r="E2373" s="62" t="s">
        <v>382</v>
      </c>
      <c r="F2373" s="62" t="s">
        <v>382</v>
      </c>
      <c r="G2373" s="63" t="s">
        <v>614</v>
      </c>
      <c r="H2373" s="64" t="n">
        <v>14051.3756273759</v>
      </c>
      <c r="I2373" s="62"/>
      <c r="J2373" s="64" t="n">
        <v>14051.3756273759</v>
      </c>
      <c r="K2373" s="62"/>
      <c r="L2373" s="68" t="b">
        <f aca="false">FALSE()</f>
        <v>0</v>
      </c>
    </row>
    <row r="2374" customFormat="false" ht="15" hidden="false" customHeight="false" outlineLevel="0" collapsed="false">
      <c r="A2374" s="62" t="n">
        <v>0</v>
      </c>
      <c r="B2374" s="21" t="s">
        <v>336</v>
      </c>
      <c r="C2374" s="62" t="s">
        <v>60</v>
      </c>
      <c r="D2374" s="62" t="s">
        <v>385</v>
      </c>
      <c r="E2374" s="62" t="s">
        <v>382</v>
      </c>
      <c r="F2374" s="62" t="s">
        <v>382</v>
      </c>
      <c r="G2374" s="63" t="s">
        <v>614</v>
      </c>
      <c r="H2374" s="64" t="n">
        <v>14051.3756273759</v>
      </c>
      <c r="I2374" s="62"/>
      <c r="J2374" s="64" t="n">
        <v>14051.3756273759</v>
      </c>
      <c r="K2374" s="62"/>
      <c r="L2374" s="68" t="b">
        <f aca="false">FALSE()</f>
        <v>0</v>
      </c>
    </row>
    <row r="2375" customFormat="false" ht="15" hidden="false" customHeight="false" outlineLevel="0" collapsed="false">
      <c r="A2375" s="62" t="n">
        <v>0</v>
      </c>
      <c r="B2375" s="21" t="s">
        <v>336</v>
      </c>
      <c r="C2375" s="62" t="s">
        <v>60</v>
      </c>
      <c r="D2375" s="62" t="s">
        <v>386</v>
      </c>
      <c r="E2375" s="62" t="s">
        <v>382</v>
      </c>
      <c r="F2375" s="62" t="s">
        <v>382</v>
      </c>
      <c r="G2375" s="63" t="s">
        <v>614</v>
      </c>
      <c r="H2375" s="64" t="n">
        <v>14051.3756273759</v>
      </c>
      <c r="I2375" s="62"/>
      <c r="J2375" s="64" t="n">
        <v>14051.3756273759</v>
      </c>
      <c r="K2375" s="62"/>
      <c r="L2375" s="68" t="b">
        <f aca="false">FALSE()</f>
        <v>0</v>
      </c>
    </row>
    <row r="2376" customFormat="false" ht="15" hidden="false" customHeight="false" outlineLevel="0" collapsed="false">
      <c r="A2376" s="62" t="n">
        <v>0</v>
      </c>
      <c r="B2376" s="21" t="s">
        <v>336</v>
      </c>
      <c r="C2376" s="62" t="s">
        <v>60</v>
      </c>
      <c r="D2376" s="62" t="s">
        <v>387</v>
      </c>
      <c r="E2376" s="62" t="s">
        <v>382</v>
      </c>
      <c r="F2376" s="62" t="s">
        <v>382</v>
      </c>
      <c r="G2376" s="63" t="s">
        <v>614</v>
      </c>
      <c r="H2376" s="64" t="n">
        <v>14051.3756273759</v>
      </c>
      <c r="I2376" s="62"/>
      <c r="J2376" s="64" t="n">
        <v>14051.3756273759</v>
      </c>
      <c r="K2376" s="62"/>
      <c r="L2376" s="68" t="b">
        <f aca="false">FALSE()</f>
        <v>0</v>
      </c>
    </row>
    <row r="2377" customFormat="false" ht="15" hidden="false" customHeight="false" outlineLevel="0" collapsed="false">
      <c r="A2377" s="62" t="n">
        <v>0</v>
      </c>
      <c r="B2377" s="21" t="s">
        <v>336</v>
      </c>
      <c r="C2377" s="62" t="s">
        <v>60</v>
      </c>
      <c r="D2377" s="62" t="s">
        <v>388</v>
      </c>
      <c r="E2377" s="62" t="s">
        <v>382</v>
      </c>
      <c r="F2377" s="62" t="s">
        <v>382</v>
      </c>
      <c r="G2377" s="63" t="s">
        <v>614</v>
      </c>
      <c r="H2377" s="64" t="n">
        <v>14051.3756273759</v>
      </c>
      <c r="I2377" s="62"/>
      <c r="J2377" s="64" t="n">
        <v>14051.3756273759</v>
      </c>
      <c r="K2377" s="62"/>
      <c r="L2377" s="68" t="b">
        <f aca="false">FALSE()</f>
        <v>0</v>
      </c>
    </row>
    <row r="2378" customFormat="false" ht="15" hidden="false" customHeight="false" outlineLevel="0" collapsed="false">
      <c r="A2378" s="62" t="n">
        <v>0</v>
      </c>
      <c r="B2378" s="21" t="s">
        <v>336</v>
      </c>
      <c r="C2378" s="62" t="s">
        <v>60</v>
      </c>
      <c r="D2378" s="62" t="s">
        <v>381</v>
      </c>
      <c r="E2378" s="62" t="s">
        <v>382</v>
      </c>
      <c r="F2378" s="62" t="s">
        <v>382</v>
      </c>
      <c r="G2378" s="63" t="s">
        <v>615</v>
      </c>
      <c r="H2378" s="64" t="n">
        <v>11425.6408888889</v>
      </c>
      <c r="I2378" s="62"/>
      <c r="J2378" s="64" t="n">
        <v>11425.6408888889</v>
      </c>
      <c r="K2378" s="62"/>
      <c r="L2378" s="68" t="b">
        <f aca="false">FALSE()</f>
        <v>0</v>
      </c>
    </row>
    <row r="2379" customFormat="false" ht="15" hidden="false" customHeight="false" outlineLevel="0" collapsed="false">
      <c r="A2379" s="62" t="n">
        <v>0</v>
      </c>
      <c r="B2379" s="21" t="s">
        <v>336</v>
      </c>
      <c r="C2379" s="62" t="s">
        <v>60</v>
      </c>
      <c r="D2379" s="62" t="s">
        <v>383</v>
      </c>
      <c r="E2379" s="62" t="s">
        <v>382</v>
      </c>
      <c r="F2379" s="62" t="s">
        <v>382</v>
      </c>
      <c r="G2379" s="63" t="s">
        <v>615</v>
      </c>
      <c r="H2379" s="64" t="n">
        <v>11425.6408888889</v>
      </c>
      <c r="I2379" s="62"/>
      <c r="J2379" s="64" t="n">
        <v>11425.6408888889</v>
      </c>
      <c r="K2379" s="62"/>
      <c r="L2379" s="68" t="b">
        <f aca="false">FALSE()</f>
        <v>0</v>
      </c>
    </row>
    <row r="2380" customFormat="false" ht="15" hidden="false" customHeight="false" outlineLevel="0" collapsed="false">
      <c r="A2380" s="62" t="n">
        <v>0</v>
      </c>
      <c r="B2380" s="21" t="s">
        <v>336</v>
      </c>
      <c r="C2380" s="62" t="s">
        <v>60</v>
      </c>
      <c r="D2380" s="62" t="s">
        <v>384</v>
      </c>
      <c r="E2380" s="62" t="s">
        <v>382</v>
      </c>
      <c r="F2380" s="62" t="s">
        <v>382</v>
      </c>
      <c r="G2380" s="63" t="s">
        <v>615</v>
      </c>
      <c r="H2380" s="64" t="n">
        <v>11425.6408888889</v>
      </c>
      <c r="I2380" s="62"/>
      <c r="J2380" s="64" t="n">
        <v>11425.6408888889</v>
      </c>
      <c r="K2380" s="62"/>
      <c r="L2380" s="68" t="b">
        <f aca="false">FALSE()</f>
        <v>0</v>
      </c>
    </row>
    <row r="2381" customFormat="false" ht="15" hidden="false" customHeight="false" outlineLevel="0" collapsed="false">
      <c r="A2381" s="62" t="n">
        <v>0</v>
      </c>
      <c r="B2381" s="21" t="s">
        <v>336</v>
      </c>
      <c r="C2381" s="62" t="s">
        <v>60</v>
      </c>
      <c r="D2381" s="62" t="s">
        <v>385</v>
      </c>
      <c r="E2381" s="62" t="s">
        <v>382</v>
      </c>
      <c r="F2381" s="62" t="s">
        <v>382</v>
      </c>
      <c r="G2381" s="63" t="s">
        <v>615</v>
      </c>
      <c r="H2381" s="64" t="n">
        <v>11425.6408888889</v>
      </c>
      <c r="I2381" s="62"/>
      <c r="J2381" s="64" t="n">
        <v>11425.6408888889</v>
      </c>
      <c r="K2381" s="62"/>
      <c r="L2381" s="68" t="b">
        <f aca="false">FALSE()</f>
        <v>0</v>
      </c>
    </row>
    <row r="2382" customFormat="false" ht="15" hidden="false" customHeight="false" outlineLevel="0" collapsed="false">
      <c r="A2382" s="62" t="n">
        <v>0</v>
      </c>
      <c r="B2382" s="21" t="s">
        <v>336</v>
      </c>
      <c r="C2382" s="62" t="s">
        <v>60</v>
      </c>
      <c r="D2382" s="62" t="s">
        <v>386</v>
      </c>
      <c r="E2382" s="62" t="s">
        <v>382</v>
      </c>
      <c r="F2382" s="62" t="s">
        <v>382</v>
      </c>
      <c r="G2382" s="63" t="s">
        <v>615</v>
      </c>
      <c r="H2382" s="64" t="n">
        <v>11425.6408888889</v>
      </c>
      <c r="I2382" s="62"/>
      <c r="J2382" s="64" t="n">
        <v>11425.6408888889</v>
      </c>
      <c r="K2382" s="62"/>
      <c r="L2382" s="68" t="b">
        <f aca="false">FALSE()</f>
        <v>0</v>
      </c>
    </row>
    <row r="2383" customFormat="false" ht="15" hidden="false" customHeight="false" outlineLevel="0" collapsed="false">
      <c r="A2383" s="62" t="n">
        <v>0</v>
      </c>
      <c r="B2383" s="21" t="s">
        <v>336</v>
      </c>
      <c r="C2383" s="62" t="s">
        <v>60</v>
      </c>
      <c r="D2383" s="62" t="s">
        <v>387</v>
      </c>
      <c r="E2383" s="62" t="s">
        <v>382</v>
      </c>
      <c r="F2383" s="62" t="s">
        <v>382</v>
      </c>
      <c r="G2383" s="63" t="s">
        <v>615</v>
      </c>
      <c r="H2383" s="64" t="n">
        <v>11425.6408888889</v>
      </c>
      <c r="I2383" s="62"/>
      <c r="J2383" s="64" t="n">
        <v>11425.6408888889</v>
      </c>
      <c r="K2383" s="62"/>
      <c r="L2383" s="68" t="b">
        <f aca="false">FALSE()</f>
        <v>0</v>
      </c>
    </row>
    <row r="2384" customFormat="false" ht="15" hidden="false" customHeight="false" outlineLevel="0" collapsed="false">
      <c r="A2384" s="62" t="n">
        <v>0</v>
      </c>
      <c r="B2384" s="21" t="s">
        <v>336</v>
      </c>
      <c r="C2384" s="62" t="s">
        <v>60</v>
      </c>
      <c r="D2384" s="62" t="s">
        <v>388</v>
      </c>
      <c r="E2384" s="62" t="s">
        <v>382</v>
      </c>
      <c r="F2384" s="62" t="s">
        <v>382</v>
      </c>
      <c r="G2384" s="63" t="s">
        <v>615</v>
      </c>
      <c r="H2384" s="64" t="n">
        <v>11425.6408888889</v>
      </c>
      <c r="I2384" s="62"/>
      <c r="J2384" s="64" t="n">
        <v>11425.6408888889</v>
      </c>
      <c r="K2384" s="62"/>
      <c r="L2384" s="68" t="b">
        <f aca="false">FALSE()</f>
        <v>0</v>
      </c>
    </row>
    <row r="2385" customFormat="false" ht="15" hidden="false" customHeight="false" outlineLevel="0" collapsed="false">
      <c r="A2385" s="62" t="n">
        <v>0</v>
      </c>
      <c r="B2385" s="21" t="s">
        <v>336</v>
      </c>
      <c r="C2385" s="62" t="s">
        <v>60</v>
      </c>
      <c r="D2385" s="62" t="s">
        <v>381</v>
      </c>
      <c r="E2385" s="62" t="s">
        <v>382</v>
      </c>
      <c r="F2385" s="62" t="s">
        <v>382</v>
      </c>
      <c r="G2385" s="63" t="s">
        <v>616</v>
      </c>
      <c r="H2385" s="64" t="n">
        <v>10264.4712345679</v>
      </c>
      <c r="I2385" s="62"/>
      <c r="J2385" s="64" t="n">
        <v>10264.4712345679</v>
      </c>
      <c r="K2385" s="62"/>
      <c r="L2385" s="68" t="b">
        <f aca="false">FALSE()</f>
        <v>0</v>
      </c>
    </row>
    <row r="2386" customFormat="false" ht="15" hidden="false" customHeight="false" outlineLevel="0" collapsed="false">
      <c r="A2386" s="62" t="n">
        <v>0</v>
      </c>
      <c r="B2386" s="21" t="s">
        <v>336</v>
      </c>
      <c r="C2386" s="62" t="s">
        <v>60</v>
      </c>
      <c r="D2386" s="62" t="s">
        <v>383</v>
      </c>
      <c r="E2386" s="62" t="s">
        <v>382</v>
      </c>
      <c r="F2386" s="62" t="s">
        <v>382</v>
      </c>
      <c r="G2386" s="63" t="s">
        <v>616</v>
      </c>
      <c r="H2386" s="64" t="n">
        <v>10264.4712345679</v>
      </c>
      <c r="I2386" s="62"/>
      <c r="J2386" s="64" t="n">
        <v>10264.4712345679</v>
      </c>
      <c r="K2386" s="62"/>
      <c r="L2386" s="68" t="b">
        <f aca="false">FALSE()</f>
        <v>0</v>
      </c>
    </row>
    <row r="2387" customFormat="false" ht="15" hidden="false" customHeight="false" outlineLevel="0" collapsed="false">
      <c r="A2387" s="62" t="n">
        <v>0</v>
      </c>
      <c r="B2387" s="21" t="s">
        <v>336</v>
      </c>
      <c r="C2387" s="62" t="s">
        <v>60</v>
      </c>
      <c r="D2387" s="62" t="s">
        <v>384</v>
      </c>
      <c r="E2387" s="62" t="s">
        <v>382</v>
      </c>
      <c r="F2387" s="62" t="s">
        <v>382</v>
      </c>
      <c r="G2387" s="63" t="s">
        <v>616</v>
      </c>
      <c r="H2387" s="64" t="n">
        <v>10264.4712345679</v>
      </c>
      <c r="I2387" s="62"/>
      <c r="J2387" s="64" t="n">
        <v>10264.4712345679</v>
      </c>
      <c r="K2387" s="62"/>
      <c r="L2387" s="68" t="b">
        <f aca="false">FALSE()</f>
        <v>0</v>
      </c>
    </row>
    <row r="2388" customFormat="false" ht="15" hidden="false" customHeight="false" outlineLevel="0" collapsed="false">
      <c r="A2388" s="62" t="n">
        <v>0</v>
      </c>
      <c r="B2388" s="21" t="s">
        <v>336</v>
      </c>
      <c r="C2388" s="62" t="s">
        <v>60</v>
      </c>
      <c r="D2388" s="62" t="s">
        <v>385</v>
      </c>
      <c r="E2388" s="62" t="s">
        <v>382</v>
      </c>
      <c r="F2388" s="62" t="s">
        <v>382</v>
      </c>
      <c r="G2388" s="63" t="s">
        <v>616</v>
      </c>
      <c r="H2388" s="64" t="n">
        <v>10264.4712345679</v>
      </c>
      <c r="I2388" s="62"/>
      <c r="J2388" s="64" t="n">
        <v>10264.4712345679</v>
      </c>
      <c r="K2388" s="62"/>
      <c r="L2388" s="68" t="b">
        <f aca="false">FALSE()</f>
        <v>0</v>
      </c>
    </row>
    <row r="2389" customFormat="false" ht="15" hidden="false" customHeight="false" outlineLevel="0" collapsed="false">
      <c r="A2389" s="62" t="n">
        <v>0</v>
      </c>
      <c r="B2389" s="21" t="s">
        <v>336</v>
      </c>
      <c r="C2389" s="62" t="s">
        <v>60</v>
      </c>
      <c r="D2389" s="62" t="s">
        <v>386</v>
      </c>
      <c r="E2389" s="62" t="s">
        <v>382</v>
      </c>
      <c r="F2389" s="62" t="s">
        <v>382</v>
      </c>
      <c r="G2389" s="63" t="s">
        <v>616</v>
      </c>
      <c r="H2389" s="64" t="n">
        <v>10264.4712345679</v>
      </c>
      <c r="I2389" s="62"/>
      <c r="J2389" s="64" t="n">
        <v>10264.4712345679</v>
      </c>
      <c r="K2389" s="62"/>
      <c r="L2389" s="68" t="b">
        <f aca="false">FALSE()</f>
        <v>0</v>
      </c>
    </row>
    <row r="2390" customFormat="false" ht="15" hidden="false" customHeight="false" outlineLevel="0" collapsed="false">
      <c r="A2390" s="62" t="n">
        <v>0</v>
      </c>
      <c r="B2390" s="21" t="s">
        <v>336</v>
      </c>
      <c r="C2390" s="62" t="s">
        <v>60</v>
      </c>
      <c r="D2390" s="62" t="s">
        <v>387</v>
      </c>
      <c r="E2390" s="62" t="s">
        <v>382</v>
      </c>
      <c r="F2390" s="62" t="s">
        <v>382</v>
      </c>
      <c r="G2390" s="63" t="s">
        <v>616</v>
      </c>
      <c r="H2390" s="64" t="n">
        <v>10264.4712345679</v>
      </c>
      <c r="I2390" s="62"/>
      <c r="J2390" s="64" t="n">
        <v>10264.4712345679</v>
      </c>
      <c r="K2390" s="62"/>
      <c r="L2390" s="68" t="b">
        <f aca="false">FALSE()</f>
        <v>0</v>
      </c>
    </row>
    <row r="2391" customFormat="false" ht="15" hidden="false" customHeight="false" outlineLevel="0" collapsed="false">
      <c r="A2391" s="62" t="n">
        <v>0</v>
      </c>
      <c r="B2391" s="21" t="s">
        <v>336</v>
      </c>
      <c r="C2391" s="62" t="s">
        <v>60</v>
      </c>
      <c r="D2391" s="62" t="s">
        <v>388</v>
      </c>
      <c r="E2391" s="62" t="s">
        <v>382</v>
      </c>
      <c r="F2391" s="62" t="s">
        <v>382</v>
      </c>
      <c r="G2391" s="63" t="s">
        <v>616</v>
      </c>
      <c r="H2391" s="64" t="n">
        <v>10264.4712345679</v>
      </c>
      <c r="I2391" s="62"/>
      <c r="J2391" s="64" t="n">
        <v>10264.4712345679</v>
      </c>
      <c r="K2391" s="62"/>
      <c r="L2391" s="68" t="b">
        <f aca="false">FALSE()</f>
        <v>0</v>
      </c>
    </row>
    <row r="2392" customFormat="false" ht="15" hidden="false" customHeight="false" outlineLevel="0" collapsed="false">
      <c r="A2392" s="62" t="n">
        <v>0</v>
      </c>
      <c r="B2392" s="21" t="s">
        <v>336</v>
      </c>
      <c r="C2392" s="62" t="s">
        <v>60</v>
      </c>
      <c r="D2392" s="62" t="s">
        <v>381</v>
      </c>
      <c r="E2392" s="62" t="s">
        <v>382</v>
      </c>
      <c r="F2392" s="62" t="s">
        <v>382</v>
      </c>
      <c r="G2392" s="63" t="s">
        <v>617</v>
      </c>
      <c r="H2392" s="64" t="n">
        <v>14183.3100018874</v>
      </c>
      <c r="I2392" s="62"/>
      <c r="J2392" s="64" t="n">
        <v>14183.3100018874</v>
      </c>
      <c r="K2392" s="62"/>
      <c r="L2392" s="68" t="b">
        <f aca="false">FALSE()</f>
        <v>0</v>
      </c>
    </row>
    <row r="2393" customFormat="false" ht="15" hidden="false" customHeight="false" outlineLevel="0" collapsed="false">
      <c r="A2393" s="62" t="n">
        <v>0</v>
      </c>
      <c r="B2393" s="21" t="s">
        <v>336</v>
      </c>
      <c r="C2393" s="62" t="s">
        <v>60</v>
      </c>
      <c r="D2393" s="62" t="s">
        <v>383</v>
      </c>
      <c r="E2393" s="62" t="s">
        <v>382</v>
      </c>
      <c r="F2393" s="62" t="s">
        <v>382</v>
      </c>
      <c r="G2393" s="63" t="s">
        <v>617</v>
      </c>
      <c r="H2393" s="64" t="n">
        <v>14183.3100018874</v>
      </c>
      <c r="I2393" s="62"/>
      <c r="J2393" s="64" t="n">
        <v>14183.3100018874</v>
      </c>
      <c r="K2393" s="62"/>
      <c r="L2393" s="68" t="b">
        <f aca="false">FALSE()</f>
        <v>0</v>
      </c>
    </row>
    <row r="2394" customFormat="false" ht="15" hidden="false" customHeight="false" outlineLevel="0" collapsed="false">
      <c r="A2394" s="62" t="n">
        <v>0</v>
      </c>
      <c r="B2394" s="21" t="s">
        <v>336</v>
      </c>
      <c r="C2394" s="62" t="s">
        <v>60</v>
      </c>
      <c r="D2394" s="62" t="s">
        <v>384</v>
      </c>
      <c r="E2394" s="62" t="s">
        <v>382</v>
      </c>
      <c r="F2394" s="62" t="s">
        <v>382</v>
      </c>
      <c r="G2394" s="63" t="s">
        <v>617</v>
      </c>
      <c r="H2394" s="64" t="n">
        <v>14183.3100018874</v>
      </c>
      <c r="I2394" s="62"/>
      <c r="J2394" s="64" t="n">
        <v>14183.3100018874</v>
      </c>
      <c r="K2394" s="62"/>
      <c r="L2394" s="68" t="b">
        <f aca="false">FALSE()</f>
        <v>0</v>
      </c>
    </row>
    <row r="2395" customFormat="false" ht="15" hidden="false" customHeight="false" outlineLevel="0" collapsed="false">
      <c r="A2395" s="62" t="n">
        <v>0</v>
      </c>
      <c r="B2395" s="21" t="s">
        <v>336</v>
      </c>
      <c r="C2395" s="62" t="s">
        <v>60</v>
      </c>
      <c r="D2395" s="62" t="s">
        <v>385</v>
      </c>
      <c r="E2395" s="62" t="s">
        <v>382</v>
      </c>
      <c r="F2395" s="62" t="s">
        <v>382</v>
      </c>
      <c r="G2395" s="63" t="s">
        <v>617</v>
      </c>
      <c r="H2395" s="64" t="n">
        <v>14183.3100018874</v>
      </c>
      <c r="I2395" s="62"/>
      <c r="J2395" s="64" t="n">
        <v>14183.3100018874</v>
      </c>
      <c r="K2395" s="62"/>
      <c r="L2395" s="68" t="b">
        <f aca="false">FALSE()</f>
        <v>0</v>
      </c>
    </row>
    <row r="2396" customFormat="false" ht="15" hidden="false" customHeight="false" outlineLevel="0" collapsed="false">
      <c r="A2396" s="62" t="n">
        <v>0</v>
      </c>
      <c r="B2396" s="21" t="s">
        <v>336</v>
      </c>
      <c r="C2396" s="62" t="s">
        <v>60</v>
      </c>
      <c r="D2396" s="62" t="s">
        <v>386</v>
      </c>
      <c r="E2396" s="62" t="s">
        <v>382</v>
      </c>
      <c r="F2396" s="62" t="s">
        <v>382</v>
      </c>
      <c r="G2396" s="63" t="s">
        <v>617</v>
      </c>
      <c r="H2396" s="64" t="n">
        <v>14183.3100018874</v>
      </c>
      <c r="I2396" s="62"/>
      <c r="J2396" s="64" t="n">
        <v>14183.3100018874</v>
      </c>
      <c r="K2396" s="62"/>
      <c r="L2396" s="68" t="b">
        <f aca="false">FALSE()</f>
        <v>0</v>
      </c>
    </row>
    <row r="2397" customFormat="false" ht="15" hidden="false" customHeight="false" outlineLevel="0" collapsed="false">
      <c r="A2397" s="62" t="n">
        <v>0</v>
      </c>
      <c r="B2397" s="21" t="s">
        <v>336</v>
      </c>
      <c r="C2397" s="62" t="s">
        <v>60</v>
      </c>
      <c r="D2397" s="62" t="s">
        <v>387</v>
      </c>
      <c r="E2397" s="62" t="s">
        <v>382</v>
      </c>
      <c r="F2397" s="62" t="s">
        <v>382</v>
      </c>
      <c r="G2397" s="63" t="s">
        <v>617</v>
      </c>
      <c r="H2397" s="64" t="n">
        <v>14183.3100018874</v>
      </c>
      <c r="I2397" s="62"/>
      <c r="J2397" s="64" t="n">
        <v>14183.3100018874</v>
      </c>
      <c r="K2397" s="62"/>
      <c r="L2397" s="68" t="b">
        <f aca="false">FALSE()</f>
        <v>0</v>
      </c>
    </row>
    <row r="2398" customFormat="false" ht="15" hidden="false" customHeight="false" outlineLevel="0" collapsed="false">
      <c r="A2398" s="62" t="n">
        <v>0</v>
      </c>
      <c r="B2398" s="21" t="s">
        <v>336</v>
      </c>
      <c r="C2398" s="62" t="s">
        <v>60</v>
      </c>
      <c r="D2398" s="62" t="s">
        <v>388</v>
      </c>
      <c r="E2398" s="62" t="s">
        <v>382</v>
      </c>
      <c r="F2398" s="62" t="s">
        <v>382</v>
      </c>
      <c r="G2398" s="63" t="s">
        <v>617</v>
      </c>
      <c r="H2398" s="64" t="n">
        <v>14183.3100018874</v>
      </c>
      <c r="I2398" s="62"/>
      <c r="J2398" s="64" t="n">
        <v>14183.3100018874</v>
      </c>
      <c r="K2398" s="62"/>
      <c r="L2398" s="68" t="b">
        <f aca="false">FALSE()</f>
        <v>0</v>
      </c>
    </row>
    <row r="2399" customFormat="false" ht="15" hidden="false" customHeight="false" outlineLevel="0" collapsed="false">
      <c r="A2399" s="62" t="n">
        <v>0</v>
      </c>
      <c r="B2399" s="21" t="s">
        <v>336</v>
      </c>
      <c r="C2399" s="62" t="s">
        <v>60</v>
      </c>
      <c r="D2399" s="62" t="s">
        <v>381</v>
      </c>
      <c r="E2399" s="62" t="s">
        <v>382</v>
      </c>
      <c r="F2399" s="62" t="s">
        <v>382</v>
      </c>
      <c r="G2399" s="63" t="s">
        <v>618</v>
      </c>
      <c r="H2399" s="64" t="n">
        <v>14183.3100018874</v>
      </c>
      <c r="I2399" s="62"/>
      <c r="J2399" s="64" t="n">
        <v>14183.3100018874</v>
      </c>
      <c r="K2399" s="62"/>
      <c r="L2399" s="68" t="b">
        <f aca="false">FALSE()</f>
        <v>0</v>
      </c>
    </row>
    <row r="2400" customFormat="false" ht="15" hidden="false" customHeight="false" outlineLevel="0" collapsed="false">
      <c r="A2400" s="62" t="n">
        <v>0</v>
      </c>
      <c r="B2400" s="21" t="s">
        <v>336</v>
      </c>
      <c r="C2400" s="62" t="s">
        <v>60</v>
      </c>
      <c r="D2400" s="62" t="s">
        <v>383</v>
      </c>
      <c r="E2400" s="62" t="s">
        <v>382</v>
      </c>
      <c r="F2400" s="62" t="s">
        <v>382</v>
      </c>
      <c r="G2400" s="63" t="s">
        <v>618</v>
      </c>
      <c r="H2400" s="64" t="n">
        <v>14183.3100018874</v>
      </c>
      <c r="I2400" s="62"/>
      <c r="J2400" s="64" t="n">
        <v>14183.3100018874</v>
      </c>
      <c r="K2400" s="62"/>
      <c r="L2400" s="68" t="b">
        <f aca="false">FALSE()</f>
        <v>0</v>
      </c>
    </row>
    <row r="2401" customFormat="false" ht="15" hidden="false" customHeight="false" outlineLevel="0" collapsed="false">
      <c r="A2401" s="62" t="n">
        <v>0</v>
      </c>
      <c r="B2401" s="21" t="s">
        <v>336</v>
      </c>
      <c r="C2401" s="62" t="s">
        <v>60</v>
      </c>
      <c r="D2401" s="62" t="s">
        <v>384</v>
      </c>
      <c r="E2401" s="62" t="s">
        <v>382</v>
      </c>
      <c r="F2401" s="62" t="s">
        <v>382</v>
      </c>
      <c r="G2401" s="63" t="s">
        <v>618</v>
      </c>
      <c r="H2401" s="64" t="n">
        <v>14183.3100018874</v>
      </c>
      <c r="I2401" s="62"/>
      <c r="J2401" s="64" t="n">
        <v>14183.3100018874</v>
      </c>
      <c r="K2401" s="62"/>
      <c r="L2401" s="68" t="b">
        <f aca="false">FALSE()</f>
        <v>0</v>
      </c>
    </row>
    <row r="2402" customFormat="false" ht="15" hidden="false" customHeight="false" outlineLevel="0" collapsed="false">
      <c r="A2402" s="62" t="n">
        <v>0</v>
      </c>
      <c r="B2402" s="21" t="s">
        <v>336</v>
      </c>
      <c r="C2402" s="62" t="s">
        <v>60</v>
      </c>
      <c r="D2402" s="62" t="s">
        <v>385</v>
      </c>
      <c r="E2402" s="62" t="s">
        <v>382</v>
      </c>
      <c r="F2402" s="62" t="s">
        <v>382</v>
      </c>
      <c r="G2402" s="63" t="s">
        <v>618</v>
      </c>
      <c r="H2402" s="64" t="n">
        <v>14183.3100018874</v>
      </c>
      <c r="I2402" s="62"/>
      <c r="J2402" s="64" t="n">
        <v>14183.3100018874</v>
      </c>
      <c r="K2402" s="62"/>
      <c r="L2402" s="68" t="b">
        <f aca="false">FALSE()</f>
        <v>0</v>
      </c>
    </row>
    <row r="2403" customFormat="false" ht="15" hidden="false" customHeight="false" outlineLevel="0" collapsed="false">
      <c r="A2403" s="62" t="n">
        <v>0</v>
      </c>
      <c r="B2403" s="21" t="s">
        <v>336</v>
      </c>
      <c r="C2403" s="62" t="s">
        <v>60</v>
      </c>
      <c r="D2403" s="62" t="s">
        <v>386</v>
      </c>
      <c r="E2403" s="62" t="s">
        <v>382</v>
      </c>
      <c r="F2403" s="62" t="s">
        <v>382</v>
      </c>
      <c r="G2403" s="63" t="s">
        <v>618</v>
      </c>
      <c r="H2403" s="64" t="n">
        <v>14183.3100018874</v>
      </c>
      <c r="I2403" s="62"/>
      <c r="J2403" s="64" t="n">
        <v>14183.3100018874</v>
      </c>
      <c r="K2403" s="62"/>
      <c r="L2403" s="68" t="b">
        <f aca="false">FALSE()</f>
        <v>0</v>
      </c>
    </row>
    <row r="2404" customFormat="false" ht="15" hidden="false" customHeight="false" outlineLevel="0" collapsed="false">
      <c r="A2404" s="62" t="n">
        <v>0</v>
      </c>
      <c r="B2404" s="21" t="s">
        <v>336</v>
      </c>
      <c r="C2404" s="62" t="s">
        <v>60</v>
      </c>
      <c r="D2404" s="62" t="s">
        <v>387</v>
      </c>
      <c r="E2404" s="62" t="s">
        <v>382</v>
      </c>
      <c r="F2404" s="62" t="s">
        <v>382</v>
      </c>
      <c r="G2404" s="63" t="s">
        <v>618</v>
      </c>
      <c r="H2404" s="64" t="n">
        <v>14183.3100018874</v>
      </c>
      <c r="I2404" s="62"/>
      <c r="J2404" s="64" t="n">
        <v>14183.3100018874</v>
      </c>
      <c r="K2404" s="62"/>
      <c r="L2404" s="68" t="b">
        <f aca="false">FALSE()</f>
        <v>0</v>
      </c>
    </row>
    <row r="2405" customFormat="false" ht="15" hidden="false" customHeight="false" outlineLevel="0" collapsed="false">
      <c r="A2405" s="62" t="n">
        <v>0</v>
      </c>
      <c r="B2405" s="21" t="s">
        <v>336</v>
      </c>
      <c r="C2405" s="62" t="s">
        <v>60</v>
      </c>
      <c r="D2405" s="62" t="s">
        <v>388</v>
      </c>
      <c r="E2405" s="62" t="s">
        <v>382</v>
      </c>
      <c r="F2405" s="62" t="s">
        <v>382</v>
      </c>
      <c r="G2405" s="63" t="s">
        <v>618</v>
      </c>
      <c r="H2405" s="64" t="n">
        <v>14183.3100018874</v>
      </c>
      <c r="I2405" s="62"/>
      <c r="J2405" s="64" t="n">
        <v>14183.3100018874</v>
      </c>
      <c r="K2405" s="62"/>
      <c r="L2405" s="68" t="b">
        <f aca="false">FALSE()</f>
        <v>0</v>
      </c>
    </row>
    <row r="2406" customFormat="false" ht="15" hidden="false" customHeight="false" outlineLevel="0" collapsed="false">
      <c r="A2406" s="62" t="n">
        <v>0</v>
      </c>
      <c r="B2406" s="21" t="s">
        <v>336</v>
      </c>
      <c r="C2406" s="62" t="s">
        <v>60</v>
      </c>
      <c r="D2406" s="62" t="s">
        <v>381</v>
      </c>
      <c r="E2406" s="62" t="s">
        <v>382</v>
      </c>
      <c r="F2406" s="62" t="s">
        <v>382</v>
      </c>
      <c r="G2406" s="63" t="s">
        <v>619</v>
      </c>
      <c r="H2406" s="64" t="n">
        <v>12157.9234309719</v>
      </c>
      <c r="I2406" s="62"/>
      <c r="J2406" s="64" t="n">
        <v>12157.9234309719</v>
      </c>
      <c r="K2406" s="62"/>
      <c r="L2406" s="68" t="b">
        <f aca="false">FALSE()</f>
        <v>0</v>
      </c>
    </row>
    <row r="2407" customFormat="false" ht="15" hidden="false" customHeight="false" outlineLevel="0" collapsed="false">
      <c r="A2407" s="62" t="n">
        <v>0</v>
      </c>
      <c r="B2407" s="21" t="s">
        <v>336</v>
      </c>
      <c r="C2407" s="62" t="s">
        <v>60</v>
      </c>
      <c r="D2407" s="62" t="s">
        <v>383</v>
      </c>
      <c r="E2407" s="62" t="s">
        <v>382</v>
      </c>
      <c r="F2407" s="62" t="s">
        <v>382</v>
      </c>
      <c r="G2407" s="63" t="s">
        <v>619</v>
      </c>
      <c r="H2407" s="64" t="n">
        <v>12157.9234309719</v>
      </c>
      <c r="I2407" s="62"/>
      <c r="J2407" s="64" t="n">
        <v>12157.9234309719</v>
      </c>
      <c r="K2407" s="62"/>
      <c r="L2407" s="68" t="b">
        <f aca="false">FALSE()</f>
        <v>0</v>
      </c>
    </row>
    <row r="2408" customFormat="false" ht="15" hidden="false" customHeight="false" outlineLevel="0" collapsed="false">
      <c r="A2408" s="62" t="n">
        <v>0</v>
      </c>
      <c r="B2408" s="21" t="s">
        <v>336</v>
      </c>
      <c r="C2408" s="62" t="s">
        <v>60</v>
      </c>
      <c r="D2408" s="62" t="s">
        <v>384</v>
      </c>
      <c r="E2408" s="62" t="s">
        <v>382</v>
      </c>
      <c r="F2408" s="62" t="s">
        <v>382</v>
      </c>
      <c r="G2408" s="63" t="s">
        <v>619</v>
      </c>
      <c r="H2408" s="64" t="n">
        <v>12157.9234309719</v>
      </c>
      <c r="I2408" s="62"/>
      <c r="J2408" s="64" t="n">
        <v>12157.9234309719</v>
      </c>
      <c r="K2408" s="62"/>
      <c r="L2408" s="68" t="b">
        <f aca="false">FALSE()</f>
        <v>0</v>
      </c>
    </row>
    <row r="2409" customFormat="false" ht="15" hidden="false" customHeight="false" outlineLevel="0" collapsed="false">
      <c r="A2409" s="62" t="n">
        <v>0</v>
      </c>
      <c r="B2409" s="21" t="s">
        <v>336</v>
      </c>
      <c r="C2409" s="62" t="s">
        <v>60</v>
      </c>
      <c r="D2409" s="62" t="s">
        <v>385</v>
      </c>
      <c r="E2409" s="62" t="s">
        <v>382</v>
      </c>
      <c r="F2409" s="62" t="s">
        <v>382</v>
      </c>
      <c r="G2409" s="63" t="s">
        <v>619</v>
      </c>
      <c r="H2409" s="64" t="n">
        <v>12157.9234309719</v>
      </c>
      <c r="I2409" s="62"/>
      <c r="J2409" s="64" t="n">
        <v>12157.9234309719</v>
      </c>
      <c r="K2409" s="62"/>
      <c r="L2409" s="68" t="b">
        <f aca="false">FALSE()</f>
        <v>0</v>
      </c>
    </row>
    <row r="2410" customFormat="false" ht="15" hidden="false" customHeight="false" outlineLevel="0" collapsed="false">
      <c r="A2410" s="62" t="n">
        <v>0</v>
      </c>
      <c r="B2410" s="21" t="s">
        <v>336</v>
      </c>
      <c r="C2410" s="62" t="s">
        <v>60</v>
      </c>
      <c r="D2410" s="62" t="s">
        <v>386</v>
      </c>
      <c r="E2410" s="62" t="s">
        <v>382</v>
      </c>
      <c r="F2410" s="62" t="s">
        <v>382</v>
      </c>
      <c r="G2410" s="63" t="s">
        <v>619</v>
      </c>
      <c r="H2410" s="64" t="n">
        <v>12157.9234309719</v>
      </c>
      <c r="I2410" s="62"/>
      <c r="J2410" s="64" t="n">
        <v>12157.9234309719</v>
      </c>
      <c r="K2410" s="62"/>
      <c r="L2410" s="68" t="b">
        <f aca="false">FALSE()</f>
        <v>0</v>
      </c>
    </row>
    <row r="2411" customFormat="false" ht="15" hidden="false" customHeight="false" outlineLevel="0" collapsed="false">
      <c r="A2411" s="62" t="n">
        <v>0</v>
      </c>
      <c r="B2411" s="21" t="s">
        <v>336</v>
      </c>
      <c r="C2411" s="62" t="s">
        <v>60</v>
      </c>
      <c r="D2411" s="62" t="s">
        <v>387</v>
      </c>
      <c r="E2411" s="62" t="s">
        <v>382</v>
      </c>
      <c r="F2411" s="62" t="s">
        <v>382</v>
      </c>
      <c r="G2411" s="63" t="s">
        <v>619</v>
      </c>
      <c r="H2411" s="64" t="n">
        <v>12157.9234309719</v>
      </c>
      <c r="I2411" s="62"/>
      <c r="J2411" s="64" t="n">
        <v>12157.9234309719</v>
      </c>
      <c r="K2411" s="62"/>
      <c r="L2411" s="68" t="b">
        <f aca="false">FALSE()</f>
        <v>0</v>
      </c>
    </row>
    <row r="2412" customFormat="false" ht="15" hidden="false" customHeight="false" outlineLevel="0" collapsed="false">
      <c r="A2412" s="62" t="n">
        <v>0</v>
      </c>
      <c r="B2412" s="21" t="s">
        <v>336</v>
      </c>
      <c r="C2412" s="62" t="s">
        <v>60</v>
      </c>
      <c r="D2412" s="62" t="s">
        <v>388</v>
      </c>
      <c r="E2412" s="62" t="s">
        <v>382</v>
      </c>
      <c r="F2412" s="62" t="s">
        <v>382</v>
      </c>
      <c r="G2412" s="63" t="s">
        <v>619</v>
      </c>
      <c r="H2412" s="64" t="n">
        <v>12157.9234309719</v>
      </c>
      <c r="I2412" s="62"/>
      <c r="J2412" s="64" t="n">
        <v>12157.9234309719</v>
      </c>
      <c r="K2412" s="62"/>
      <c r="L2412" s="68" t="b">
        <f aca="false">FALSE()</f>
        <v>0</v>
      </c>
    </row>
    <row r="2413" customFormat="false" ht="15" hidden="false" customHeight="false" outlineLevel="0" collapsed="false">
      <c r="A2413" s="62" t="n">
        <v>0</v>
      </c>
      <c r="B2413" s="21" t="s">
        <v>336</v>
      </c>
      <c r="C2413" s="62" t="s">
        <v>60</v>
      </c>
      <c r="D2413" s="62" t="s">
        <v>381</v>
      </c>
      <c r="E2413" s="62" t="s">
        <v>382</v>
      </c>
      <c r="F2413" s="62" t="s">
        <v>382</v>
      </c>
      <c r="G2413" s="63" t="s">
        <v>620</v>
      </c>
      <c r="H2413" s="64" t="n">
        <v>12157.9234309719</v>
      </c>
      <c r="I2413" s="62"/>
      <c r="J2413" s="64" t="n">
        <v>12157.9234309719</v>
      </c>
      <c r="K2413" s="62"/>
      <c r="L2413" s="68" t="b">
        <f aca="false">FALSE()</f>
        <v>0</v>
      </c>
    </row>
    <row r="2414" customFormat="false" ht="15" hidden="false" customHeight="false" outlineLevel="0" collapsed="false">
      <c r="A2414" s="62" t="n">
        <v>0</v>
      </c>
      <c r="B2414" s="21" t="s">
        <v>336</v>
      </c>
      <c r="C2414" s="62" t="s">
        <v>60</v>
      </c>
      <c r="D2414" s="62" t="s">
        <v>383</v>
      </c>
      <c r="E2414" s="62" t="s">
        <v>382</v>
      </c>
      <c r="F2414" s="62" t="s">
        <v>382</v>
      </c>
      <c r="G2414" s="63" t="s">
        <v>620</v>
      </c>
      <c r="H2414" s="64" t="n">
        <v>12157.9234309719</v>
      </c>
      <c r="I2414" s="62"/>
      <c r="J2414" s="64" t="n">
        <v>12157.9234309719</v>
      </c>
      <c r="K2414" s="62"/>
      <c r="L2414" s="68" t="b">
        <f aca="false">FALSE()</f>
        <v>0</v>
      </c>
    </row>
    <row r="2415" customFormat="false" ht="15" hidden="false" customHeight="false" outlineLevel="0" collapsed="false">
      <c r="A2415" s="62" t="n">
        <v>0</v>
      </c>
      <c r="B2415" s="21" t="s">
        <v>336</v>
      </c>
      <c r="C2415" s="62" t="s">
        <v>60</v>
      </c>
      <c r="D2415" s="62" t="s">
        <v>384</v>
      </c>
      <c r="E2415" s="62" t="s">
        <v>382</v>
      </c>
      <c r="F2415" s="62" t="s">
        <v>382</v>
      </c>
      <c r="G2415" s="63" t="s">
        <v>620</v>
      </c>
      <c r="H2415" s="64" t="n">
        <v>12157.9234309719</v>
      </c>
      <c r="I2415" s="62"/>
      <c r="J2415" s="64" t="n">
        <v>12157.9234309719</v>
      </c>
      <c r="K2415" s="62"/>
      <c r="L2415" s="68" t="b">
        <f aca="false">FALSE()</f>
        <v>0</v>
      </c>
    </row>
    <row r="2416" customFormat="false" ht="15" hidden="false" customHeight="false" outlineLevel="0" collapsed="false">
      <c r="A2416" s="62" t="n">
        <v>0</v>
      </c>
      <c r="B2416" s="21" t="s">
        <v>336</v>
      </c>
      <c r="C2416" s="62" t="s">
        <v>60</v>
      </c>
      <c r="D2416" s="62" t="s">
        <v>385</v>
      </c>
      <c r="E2416" s="62" t="s">
        <v>382</v>
      </c>
      <c r="F2416" s="62" t="s">
        <v>382</v>
      </c>
      <c r="G2416" s="63" t="s">
        <v>620</v>
      </c>
      <c r="H2416" s="64" t="n">
        <v>12157.9234309719</v>
      </c>
      <c r="I2416" s="62"/>
      <c r="J2416" s="64" t="n">
        <v>12157.9234309719</v>
      </c>
      <c r="K2416" s="62"/>
      <c r="L2416" s="68" t="b">
        <f aca="false">FALSE()</f>
        <v>0</v>
      </c>
    </row>
    <row r="2417" customFormat="false" ht="15" hidden="false" customHeight="false" outlineLevel="0" collapsed="false">
      <c r="A2417" s="62" t="n">
        <v>0</v>
      </c>
      <c r="B2417" s="21" t="s">
        <v>336</v>
      </c>
      <c r="C2417" s="62" t="s">
        <v>60</v>
      </c>
      <c r="D2417" s="62" t="s">
        <v>386</v>
      </c>
      <c r="E2417" s="62" t="s">
        <v>382</v>
      </c>
      <c r="F2417" s="62" t="s">
        <v>382</v>
      </c>
      <c r="G2417" s="63" t="s">
        <v>620</v>
      </c>
      <c r="H2417" s="64" t="n">
        <v>12157.9234309719</v>
      </c>
      <c r="I2417" s="62"/>
      <c r="J2417" s="64" t="n">
        <v>12157.9234309719</v>
      </c>
      <c r="K2417" s="62"/>
      <c r="L2417" s="68" t="b">
        <f aca="false">FALSE()</f>
        <v>0</v>
      </c>
    </row>
    <row r="2418" customFormat="false" ht="15" hidden="false" customHeight="false" outlineLevel="0" collapsed="false">
      <c r="A2418" s="62" t="n">
        <v>0</v>
      </c>
      <c r="B2418" s="21" t="s">
        <v>336</v>
      </c>
      <c r="C2418" s="62" t="s">
        <v>60</v>
      </c>
      <c r="D2418" s="62" t="s">
        <v>387</v>
      </c>
      <c r="E2418" s="62" t="s">
        <v>382</v>
      </c>
      <c r="F2418" s="62" t="s">
        <v>382</v>
      </c>
      <c r="G2418" s="63" t="s">
        <v>620</v>
      </c>
      <c r="H2418" s="64" t="n">
        <v>12157.9234309719</v>
      </c>
      <c r="I2418" s="62"/>
      <c r="J2418" s="64" t="n">
        <v>12157.9234309719</v>
      </c>
      <c r="K2418" s="62"/>
      <c r="L2418" s="68" t="b">
        <f aca="false">FALSE()</f>
        <v>0</v>
      </c>
    </row>
    <row r="2419" customFormat="false" ht="15" hidden="false" customHeight="false" outlineLevel="0" collapsed="false">
      <c r="A2419" s="62" t="n">
        <v>0</v>
      </c>
      <c r="B2419" s="21" t="s">
        <v>336</v>
      </c>
      <c r="C2419" s="62" t="s">
        <v>60</v>
      </c>
      <c r="D2419" s="62" t="s">
        <v>388</v>
      </c>
      <c r="E2419" s="62" t="s">
        <v>382</v>
      </c>
      <c r="F2419" s="62" t="s">
        <v>382</v>
      </c>
      <c r="G2419" s="63" t="s">
        <v>620</v>
      </c>
      <c r="H2419" s="64" t="n">
        <v>12157.9234309719</v>
      </c>
      <c r="I2419" s="62"/>
      <c r="J2419" s="64" t="n">
        <v>12157.9234309719</v>
      </c>
      <c r="K2419" s="62"/>
      <c r="L2419" s="68" t="b">
        <f aca="false">FALSE()</f>
        <v>0</v>
      </c>
    </row>
    <row r="2420" customFormat="false" ht="15" hidden="false" customHeight="false" outlineLevel="0" collapsed="false">
      <c r="A2420" s="62" t="n">
        <v>0</v>
      </c>
      <c r="B2420" s="21" t="s">
        <v>336</v>
      </c>
      <c r="C2420" s="62" t="s">
        <v>60</v>
      </c>
      <c r="D2420" s="62" t="s">
        <v>381</v>
      </c>
      <c r="E2420" s="62" t="s">
        <v>382</v>
      </c>
      <c r="F2420" s="62" t="s">
        <v>382</v>
      </c>
      <c r="G2420" s="63" t="s">
        <v>621</v>
      </c>
      <c r="H2420" s="64" t="n">
        <v>13452.6325680761</v>
      </c>
      <c r="I2420" s="62"/>
      <c r="J2420" s="64" t="n">
        <v>13452.6325680761</v>
      </c>
      <c r="K2420" s="62"/>
      <c r="L2420" s="68" t="b">
        <f aca="false">FALSE()</f>
        <v>0</v>
      </c>
    </row>
    <row r="2421" customFormat="false" ht="15" hidden="false" customHeight="false" outlineLevel="0" collapsed="false">
      <c r="A2421" s="62" t="n">
        <v>0</v>
      </c>
      <c r="B2421" s="21" t="s">
        <v>336</v>
      </c>
      <c r="C2421" s="62" t="s">
        <v>60</v>
      </c>
      <c r="D2421" s="62" t="s">
        <v>383</v>
      </c>
      <c r="E2421" s="62" t="s">
        <v>382</v>
      </c>
      <c r="F2421" s="62" t="s">
        <v>382</v>
      </c>
      <c r="G2421" s="63" t="s">
        <v>621</v>
      </c>
      <c r="H2421" s="64" t="n">
        <v>13452.6325680761</v>
      </c>
      <c r="I2421" s="62"/>
      <c r="J2421" s="64" t="n">
        <v>13452.6325680761</v>
      </c>
      <c r="K2421" s="62"/>
      <c r="L2421" s="68" t="b">
        <f aca="false">FALSE()</f>
        <v>0</v>
      </c>
    </row>
    <row r="2422" customFormat="false" ht="15" hidden="false" customHeight="false" outlineLevel="0" collapsed="false">
      <c r="A2422" s="62" t="n">
        <v>0</v>
      </c>
      <c r="B2422" s="21" t="s">
        <v>336</v>
      </c>
      <c r="C2422" s="62" t="s">
        <v>60</v>
      </c>
      <c r="D2422" s="62" t="s">
        <v>384</v>
      </c>
      <c r="E2422" s="62" t="s">
        <v>382</v>
      </c>
      <c r="F2422" s="62" t="s">
        <v>382</v>
      </c>
      <c r="G2422" s="63" t="s">
        <v>621</v>
      </c>
      <c r="H2422" s="64" t="n">
        <v>13452.6325680761</v>
      </c>
      <c r="I2422" s="62"/>
      <c r="J2422" s="64" t="n">
        <v>13452.6325680761</v>
      </c>
      <c r="K2422" s="62"/>
      <c r="L2422" s="68" t="b">
        <f aca="false">FALSE()</f>
        <v>0</v>
      </c>
    </row>
    <row r="2423" customFormat="false" ht="15" hidden="false" customHeight="false" outlineLevel="0" collapsed="false">
      <c r="A2423" s="62" t="n">
        <v>0</v>
      </c>
      <c r="B2423" s="21" t="s">
        <v>336</v>
      </c>
      <c r="C2423" s="62" t="s">
        <v>60</v>
      </c>
      <c r="D2423" s="62" t="s">
        <v>385</v>
      </c>
      <c r="E2423" s="62" t="s">
        <v>382</v>
      </c>
      <c r="F2423" s="62" t="s">
        <v>382</v>
      </c>
      <c r="G2423" s="63" t="s">
        <v>621</v>
      </c>
      <c r="H2423" s="64" t="n">
        <v>13452.6325680761</v>
      </c>
      <c r="I2423" s="62"/>
      <c r="J2423" s="64" t="n">
        <v>13452.6325680761</v>
      </c>
      <c r="K2423" s="62"/>
      <c r="L2423" s="68" t="b">
        <f aca="false">FALSE()</f>
        <v>0</v>
      </c>
    </row>
    <row r="2424" customFormat="false" ht="15" hidden="false" customHeight="false" outlineLevel="0" collapsed="false">
      <c r="A2424" s="62" t="n">
        <v>0</v>
      </c>
      <c r="B2424" s="21" t="s">
        <v>336</v>
      </c>
      <c r="C2424" s="62" t="s">
        <v>60</v>
      </c>
      <c r="D2424" s="62" t="s">
        <v>386</v>
      </c>
      <c r="E2424" s="62" t="s">
        <v>382</v>
      </c>
      <c r="F2424" s="62" t="s">
        <v>382</v>
      </c>
      <c r="G2424" s="63" t="s">
        <v>621</v>
      </c>
      <c r="H2424" s="64" t="n">
        <v>13452.6325680761</v>
      </c>
      <c r="I2424" s="62"/>
      <c r="J2424" s="64" t="n">
        <v>13452.6325680761</v>
      </c>
      <c r="K2424" s="62"/>
      <c r="L2424" s="68" t="b">
        <f aca="false">FALSE()</f>
        <v>0</v>
      </c>
    </row>
    <row r="2425" customFormat="false" ht="15" hidden="false" customHeight="false" outlineLevel="0" collapsed="false">
      <c r="A2425" s="62" t="n">
        <v>0</v>
      </c>
      <c r="B2425" s="21" t="s">
        <v>336</v>
      </c>
      <c r="C2425" s="62" t="s">
        <v>60</v>
      </c>
      <c r="D2425" s="62" t="s">
        <v>387</v>
      </c>
      <c r="E2425" s="62" t="s">
        <v>382</v>
      </c>
      <c r="F2425" s="62" t="s">
        <v>382</v>
      </c>
      <c r="G2425" s="63" t="s">
        <v>621</v>
      </c>
      <c r="H2425" s="64" t="n">
        <v>13452.6325680761</v>
      </c>
      <c r="I2425" s="62"/>
      <c r="J2425" s="64" t="n">
        <v>13452.6325680761</v>
      </c>
      <c r="K2425" s="62"/>
      <c r="L2425" s="68" t="b">
        <f aca="false">FALSE()</f>
        <v>0</v>
      </c>
    </row>
    <row r="2426" customFormat="false" ht="15" hidden="false" customHeight="false" outlineLevel="0" collapsed="false">
      <c r="A2426" s="62" t="n">
        <v>0</v>
      </c>
      <c r="B2426" s="21" t="s">
        <v>336</v>
      </c>
      <c r="C2426" s="62" t="s">
        <v>60</v>
      </c>
      <c r="D2426" s="62" t="s">
        <v>388</v>
      </c>
      <c r="E2426" s="62" t="s">
        <v>382</v>
      </c>
      <c r="F2426" s="62" t="s">
        <v>382</v>
      </c>
      <c r="G2426" s="63" t="s">
        <v>621</v>
      </c>
      <c r="H2426" s="64" t="n">
        <v>13452.6325680761</v>
      </c>
      <c r="I2426" s="62"/>
      <c r="J2426" s="64" t="n">
        <v>13452.6325680761</v>
      </c>
      <c r="K2426" s="62"/>
      <c r="L2426" s="68" t="b">
        <f aca="false">FALSE()</f>
        <v>0</v>
      </c>
    </row>
    <row r="2427" customFormat="false" ht="15" hidden="false" customHeight="false" outlineLevel="0" collapsed="false">
      <c r="A2427" s="62" t="n">
        <v>0</v>
      </c>
      <c r="B2427" s="21" t="s">
        <v>336</v>
      </c>
      <c r="C2427" s="62" t="s">
        <v>60</v>
      </c>
      <c r="D2427" s="62" t="s">
        <v>381</v>
      </c>
      <c r="E2427" s="62" t="s">
        <v>382</v>
      </c>
      <c r="F2427" s="62" t="s">
        <v>382</v>
      </c>
      <c r="G2427" s="63" t="s">
        <v>622</v>
      </c>
      <c r="H2427" s="64" t="n">
        <v>13452.6325680761</v>
      </c>
      <c r="I2427" s="62"/>
      <c r="J2427" s="64" t="n">
        <v>13452.6325680761</v>
      </c>
      <c r="K2427" s="62"/>
      <c r="L2427" s="68" t="b">
        <f aca="false">FALSE()</f>
        <v>0</v>
      </c>
    </row>
    <row r="2428" customFormat="false" ht="15" hidden="false" customHeight="false" outlineLevel="0" collapsed="false">
      <c r="A2428" s="62" t="n">
        <v>0</v>
      </c>
      <c r="B2428" s="21" t="s">
        <v>336</v>
      </c>
      <c r="C2428" s="62" t="s">
        <v>60</v>
      </c>
      <c r="D2428" s="62" t="s">
        <v>383</v>
      </c>
      <c r="E2428" s="62" t="s">
        <v>382</v>
      </c>
      <c r="F2428" s="62" t="s">
        <v>382</v>
      </c>
      <c r="G2428" s="63" t="s">
        <v>622</v>
      </c>
      <c r="H2428" s="64" t="n">
        <v>13452.6325680761</v>
      </c>
      <c r="I2428" s="62"/>
      <c r="J2428" s="64" t="n">
        <v>13452.6325680761</v>
      </c>
      <c r="K2428" s="62"/>
      <c r="L2428" s="68" t="b">
        <f aca="false">FALSE()</f>
        <v>0</v>
      </c>
    </row>
    <row r="2429" customFormat="false" ht="15" hidden="false" customHeight="false" outlineLevel="0" collapsed="false">
      <c r="A2429" s="62" t="n">
        <v>0</v>
      </c>
      <c r="B2429" s="21" t="s">
        <v>336</v>
      </c>
      <c r="C2429" s="62" t="s">
        <v>60</v>
      </c>
      <c r="D2429" s="62" t="s">
        <v>384</v>
      </c>
      <c r="E2429" s="62" t="s">
        <v>382</v>
      </c>
      <c r="F2429" s="62" t="s">
        <v>382</v>
      </c>
      <c r="G2429" s="63" t="s">
        <v>622</v>
      </c>
      <c r="H2429" s="64" t="n">
        <v>13452.6325680761</v>
      </c>
      <c r="I2429" s="62"/>
      <c r="J2429" s="64" t="n">
        <v>13452.6325680761</v>
      </c>
      <c r="K2429" s="62"/>
      <c r="L2429" s="68" t="b">
        <f aca="false">FALSE()</f>
        <v>0</v>
      </c>
    </row>
    <row r="2430" customFormat="false" ht="15" hidden="false" customHeight="false" outlineLevel="0" collapsed="false">
      <c r="A2430" s="62" t="n">
        <v>0</v>
      </c>
      <c r="B2430" s="21" t="s">
        <v>336</v>
      </c>
      <c r="C2430" s="62" t="s">
        <v>60</v>
      </c>
      <c r="D2430" s="62" t="s">
        <v>385</v>
      </c>
      <c r="E2430" s="62" t="s">
        <v>382</v>
      </c>
      <c r="F2430" s="62" t="s">
        <v>382</v>
      </c>
      <c r="G2430" s="63" t="s">
        <v>622</v>
      </c>
      <c r="H2430" s="64" t="n">
        <v>13452.6325680761</v>
      </c>
      <c r="I2430" s="62"/>
      <c r="J2430" s="64" t="n">
        <v>13452.6325680761</v>
      </c>
      <c r="K2430" s="62"/>
      <c r="L2430" s="68" t="b">
        <f aca="false">FALSE()</f>
        <v>0</v>
      </c>
    </row>
    <row r="2431" customFormat="false" ht="15" hidden="false" customHeight="false" outlineLevel="0" collapsed="false">
      <c r="A2431" s="62" t="n">
        <v>0</v>
      </c>
      <c r="B2431" s="21" t="s">
        <v>336</v>
      </c>
      <c r="C2431" s="62" t="s">
        <v>60</v>
      </c>
      <c r="D2431" s="62" t="s">
        <v>386</v>
      </c>
      <c r="E2431" s="62" t="s">
        <v>382</v>
      </c>
      <c r="F2431" s="62" t="s">
        <v>382</v>
      </c>
      <c r="G2431" s="63" t="s">
        <v>622</v>
      </c>
      <c r="H2431" s="64" t="n">
        <v>13452.6325680761</v>
      </c>
      <c r="I2431" s="62"/>
      <c r="J2431" s="64" t="n">
        <v>13452.6325680761</v>
      </c>
      <c r="K2431" s="62"/>
      <c r="L2431" s="68" t="b">
        <f aca="false">FALSE()</f>
        <v>0</v>
      </c>
    </row>
    <row r="2432" customFormat="false" ht="15" hidden="false" customHeight="false" outlineLevel="0" collapsed="false">
      <c r="A2432" s="62" t="n">
        <v>0</v>
      </c>
      <c r="B2432" s="21" t="s">
        <v>336</v>
      </c>
      <c r="C2432" s="62" t="s">
        <v>60</v>
      </c>
      <c r="D2432" s="62" t="s">
        <v>387</v>
      </c>
      <c r="E2432" s="62" t="s">
        <v>382</v>
      </c>
      <c r="F2432" s="62" t="s">
        <v>382</v>
      </c>
      <c r="G2432" s="63" t="s">
        <v>622</v>
      </c>
      <c r="H2432" s="64" t="n">
        <v>13452.6325680761</v>
      </c>
      <c r="I2432" s="62"/>
      <c r="J2432" s="64" t="n">
        <v>13452.6325680761</v>
      </c>
      <c r="K2432" s="62"/>
      <c r="L2432" s="68" t="b">
        <f aca="false">FALSE()</f>
        <v>0</v>
      </c>
    </row>
    <row r="2433" customFormat="false" ht="15" hidden="false" customHeight="false" outlineLevel="0" collapsed="false">
      <c r="A2433" s="62" t="n">
        <v>0</v>
      </c>
      <c r="B2433" s="21" t="s">
        <v>336</v>
      </c>
      <c r="C2433" s="62" t="s">
        <v>60</v>
      </c>
      <c r="D2433" s="62" t="s">
        <v>388</v>
      </c>
      <c r="E2433" s="62" t="s">
        <v>382</v>
      </c>
      <c r="F2433" s="62" t="s">
        <v>382</v>
      </c>
      <c r="G2433" s="63" t="s">
        <v>622</v>
      </c>
      <c r="H2433" s="64" t="n">
        <v>13452.6325680761</v>
      </c>
      <c r="I2433" s="62"/>
      <c r="J2433" s="64" t="n">
        <v>13452.6325680761</v>
      </c>
      <c r="K2433" s="62"/>
      <c r="L2433" s="68" t="b">
        <f aca="false">FALSE()</f>
        <v>0</v>
      </c>
    </row>
    <row r="2434" customFormat="false" ht="15" hidden="false" customHeight="false" outlineLevel="0" collapsed="false">
      <c r="A2434" s="62" t="n">
        <v>0</v>
      </c>
      <c r="B2434" s="21" t="s">
        <v>336</v>
      </c>
      <c r="C2434" s="62" t="s">
        <v>60</v>
      </c>
      <c r="D2434" s="62" t="s">
        <v>381</v>
      </c>
      <c r="E2434" s="62" t="s">
        <v>382</v>
      </c>
      <c r="F2434" s="62" t="s">
        <v>382</v>
      </c>
      <c r="G2434" s="63" t="s">
        <v>623</v>
      </c>
      <c r="H2434" s="64" t="n">
        <v>0.0544993783334979</v>
      </c>
      <c r="I2434" s="62" t="s">
        <v>878</v>
      </c>
      <c r="J2434" s="64" t="n">
        <v>5.44993783334979</v>
      </c>
      <c r="K2434" s="62" t="s">
        <v>42</v>
      </c>
      <c r="L2434" s="68" t="b">
        <f aca="false">FALSE()</f>
        <v>0</v>
      </c>
    </row>
    <row r="2435" customFormat="false" ht="15" hidden="false" customHeight="false" outlineLevel="0" collapsed="false">
      <c r="A2435" s="62" t="n">
        <v>0</v>
      </c>
      <c r="B2435" s="21" t="s">
        <v>336</v>
      </c>
      <c r="C2435" s="62" t="s">
        <v>60</v>
      </c>
      <c r="D2435" s="62" t="s">
        <v>383</v>
      </c>
      <c r="E2435" s="62" t="s">
        <v>382</v>
      </c>
      <c r="F2435" s="62" t="s">
        <v>382</v>
      </c>
      <c r="G2435" s="63" t="s">
        <v>623</v>
      </c>
      <c r="H2435" s="64" t="n">
        <v>0.0544993783334979</v>
      </c>
      <c r="I2435" s="62" t="s">
        <v>878</v>
      </c>
      <c r="J2435" s="64" t="n">
        <v>5.44993783334979</v>
      </c>
      <c r="K2435" s="62" t="s">
        <v>42</v>
      </c>
      <c r="L2435" s="68" t="b">
        <f aca="false">FALSE()</f>
        <v>0</v>
      </c>
    </row>
    <row r="2436" customFormat="false" ht="15" hidden="false" customHeight="false" outlineLevel="0" collapsed="false">
      <c r="A2436" s="62" t="n">
        <v>0</v>
      </c>
      <c r="B2436" s="21" t="s">
        <v>336</v>
      </c>
      <c r="C2436" s="62" t="s">
        <v>60</v>
      </c>
      <c r="D2436" s="62" t="s">
        <v>384</v>
      </c>
      <c r="E2436" s="62" t="s">
        <v>382</v>
      </c>
      <c r="F2436" s="62" t="s">
        <v>382</v>
      </c>
      <c r="G2436" s="63" t="s">
        <v>623</v>
      </c>
      <c r="H2436" s="64" t="n">
        <v>0.0544993783334979</v>
      </c>
      <c r="I2436" s="62" t="s">
        <v>878</v>
      </c>
      <c r="J2436" s="64" t="n">
        <v>5.44993783334979</v>
      </c>
      <c r="K2436" s="62" t="s">
        <v>42</v>
      </c>
      <c r="L2436" s="68" t="b">
        <f aca="false">FALSE()</f>
        <v>0</v>
      </c>
    </row>
    <row r="2437" customFormat="false" ht="15" hidden="false" customHeight="false" outlineLevel="0" collapsed="false">
      <c r="A2437" s="62" t="n">
        <v>0</v>
      </c>
      <c r="B2437" s="21" t="s">
        <v>336</v>
      </c>
      <c r="C2437" s="62" t="s">
        <v>60</v>
      </c>
      <c r="D2437" s="62" t="s">
        <v>385</v>
      </c>
      <c r="E2437" s="62" t="s">
        <v>382</v>
      </c>
      <c r="F2437" s="62" t="s">
        <v>382</v>
      </c>
      <c r="G2437" s="63" t="s">
        <v>623</v>
      </c>
      <c r="H2437" s="64" t="n">
        <v>0.0544993783334979</v>
      </c>
      <c r="I2437" s="62" t="s">
        <v>878</v>
      </c>
      <c r="J2437" s="64" t="n">
        <v>5.44993783334979</v>
      </c>
      <c r="K2437" s="62" t="s">
        <v>42</v>
      </c>
      <c r="L2437" s="68" t="b">
        <f aca="false">FALSE()</f>
        <v>0</v>
      </c>
    </row>
    <row r="2438" customFormat="false" ht="15" hidden="false" customHeight="false" outlineLevel="0" collapsed="false">
      <c r="A2438" s="62" t="n">
        <v>0</v>
      </c>
      <c r="B2438" s="21" t="s">
        <v>336</v>
      </c>
      <c r="C2438" s="62" t="s">
        <v>60</v>
      </c>
      <c r="D2438" s="62" t="s">
        <v>386</v>
      </c>
      <c r="E2438" s="62" t="s">
        <v>382</v>
      </c>
      <c r="F2438" s="62" t="s">
        <v>382</v>
      </c>
      <c r="G2438" s="63" t="s">
        <v>623</v>
      </c>
      <c r="H2438" s="64" t="n">
        <v>0.0544993783334979</v>
      </c>
      <c r="I2438" s="62" t="s">
        <v>878</v>
      </c>
      <c r="J2438" s="64" t="n">
        <v>5.44993783334979</v>
      </c>
      <c r="K2438" s="62" t="s">
        <v>42</v>
      </c>
      <c r="L2438" s="68" t="b">
        <f aca="false">FALSE()</f>
        <v>0</v>
      </c>
    </row>
    <row r="2439" customFormat="false" ht="15" hidden="false" customHeight="false" outlineLevel="0" collapsed="false">
      <c r="A2439" s="62" t="n">
        <v>0</v>
      </c>
      <c r="B2439" s="21" t="s">
        <v>336</v>
      </c>
      <c r="C2439" s="62" t="s">
        <v>60</v>
      </c>
      <c r="D2439" s="62" t="s">
        <v>387</v>
      </c>
      <c r="E2439" s="62" t="s">
        <v>382</v>
      </c>
      <c r="F2439" s="62" t="s">
        <v>382</v>
      </c>
      <c r="G2439" s="63" t="s">
        <v>623</v>
      </c>
      <c r="H2439" s="64" t="n">
        <v>0.0544993783334979</v>
      </c>
      <c r="I2439" s="62" t="s">
        <v>878</v>
      </c>
      <c r="J2439" s="64" t="n">
        <v>5.44993783334979</v>
      </c>
      <c r="K2439" s="62" t="s">
        <v>42</v>
      </c>
      <c r="L2439" s="68" t="b">
        <f aca="false">FALSE()</f>
        <v>0</v>
      </c>
    </row>
    <row r="2440" customFormat="false" ht="15" hidden="false" customHeight="false" outlineLevel="0" collapsed="false">
      <c r="A2440" s="62" t="n">
        <v>0</v>
      </c>
      <c r="B2440" s="21" t="s">
        <v>336</v>
      </c>
      <c r="C2440" s="62" t="s">
        <v>60</v>
      </c>
      <c r="D2440" s="62" t="s">
        <v>388</v>
      </c>
      <c r="E2440" s="62" t="s">
        <v>382</v>
      </c>
      <c r="F2440" s="62" t="s">
        <v>382</v>
      </c>
      <c r="G2440" s="63" t="s">
        <v>623</v>
      </c>
      <c r="H2440" s="64" t="n">
        <v>0.0544993783334979</v>
      </c>
      <c r="I2440" s="62" t="s">
        <v>878</v>
      </c>
      <c r="J2440" s="64" t="n">
        <v>5.44993783334979</v>
      </c>
      <c r="K2440" s="62" t="s">
        <v>42</v>
      </c>
      <c r="L2440" s="68" t="b">
        <f aca="false">FALSE()</f>
        <v>0</v>
      </c>
    </row>
    <row r="2441" customFormat="false" ht="15" hidden="false" customHeight="false" outlineLevel="0" collapsed="false">
      <c r="A2441" s="62" t="n">
        <v>0</v>
      </c>
      <c r="B2441" s="21" t="s">
        <v>336</v>
      </c>
      <c r="C2441" s="62" t="s">
        <v>60</v>
      </c>
      <c r="D2441" s="62" t="s">
        <v>381</v>
      </c>
      <c r="E2441" s="62" t="s">
        <v>382</v>
      </c>
      <c r="F2441" s="62" t="s">
        <v>382</v>
      </c>
      <c r="G2441" s="63" t="s">
        <v>624</v>
      </c>
      <c r="H2441" s="64" t="n">
        <v>0.0862051371235546</v>
      </c>
      <c r="I2441" s="62" t="s">
        <v>878</v>
      </c>
      <c r="J2441" s="64" t="n">
        <v>8.62051371235546</v>
      </c>
      <c r="K2441" s="62" t="s">
        <v>42</v>
      </c>
      <c r="L2441" s="68" t="b">
        <f aca="false">FALSE()</f>
        <v>0</v>
      </c>
    </row>
    <row r="2442" customFormat="false" ht="15" hidden="false" customHeight="false" outlineLevel="0" collapsed="false">
      <c r="A2442" s="62" t="n">
        <v>0</v>
      </c>
      <c r="B2442" s="21" t="s">
        <v>336</v>
      </c>
      <c r="C2442" s="62" t="s">
        <v>60</v>
      </c>
      <c r="D2442" s="62" t="s">
        <v>383</v>
      </c>
      <c r="E2442" s="62" t="s">
        <v>382</v>
      </c>
      <c r="F2442" s="62" t="s">
        <v>382</v>
      </c>
      <c r="G2442" s="63" t="s">
        <v>624</v>
      </c>
      <c r="H2442" s="64" t="n">
        <v>0.0862051371235546</v>
      </c>
      <c r="I2442" s="62" t="s">
        <v>878</v>
      </c>
      <c r="J2442" s="64" t="n">
        <v>8.62051371235546</v>
      </c>
      <c r="K2442" s="62" t="s">
        <v>42</v>
      </c>
      <c r="L2442" s="68" t="b">
        <f aca="false">FALSE()</f>
        <v>0</v>
      </c>
    </row>
    <row r="2443" customFormat="false" ht="15" hidden="false" customHeight="false" outlineLevel="0" collapsed="false">
      <c r="A2443" s="62" t="n">
        <v>0</v>
      </c>
      <c r="B2443" s="21" t="s">
        <v>336</v>
      </c>
      <c r="C2443" s="62" t="s">
        <v>60</v>
      </c>
      <c r="D2443" s="62" t="s">
        <v>384</v>
      </c>
      <c r="E2443" s="62" t="s">
        <v>382</v>
      </c>
      <c r="F2443" s="62" t="s">
        <v>382</v>
      </c>
      <c r="G2443" s="63" t="s">
        <v>624</v>
      </c>
      <c r="H2443" s="64" t="n">
        <v>0.0862051371235546</v>
      </c>
      <c r="I2443" s="62" t="s">
        <v>878</v>
      </c>
      <c r="J2443" s="64" t="n">
        <v>8.62051371235546</v>
      </c>
      <c r="K2443" s="62" t="s">
        <v>42</v>
      </c>
      <c r="L2443" s="68" t="b">
        <f aca="false">FALSE()</f>
        <v>0</v>
      </c>
    </row>
    <row r="2444" customFormat="false" ht="15" hidden="false" customHeight="false" outlineLevel="0" collapsed="false">
      <c r="A2444" s="62" t="n">
        <v>0</v>
      </c>
      <c r="B2444" s="21" t="s">
        <v>336</v>
      </c>
      <c r="C2444" s="62" t="s">
        <v>60</v>
      </c>
      <c r="D2444" s="62" t="s">
        <v>385</v>
      </c>
      <c r="E2444" s="62" t="s">
        <v>382</v>
      </c>
      <c r="F2444" s="62" t="s">
        <v>382</v>
      </c>
      <c r="G2444" s="63" t="s">
        <v>624</v>
      </c>
      <c r="H2444" s="64" t="n">
        <v>0.0862051371235546</v>
      </c>
      <c r="I2444" s="62" t="s">
        <v>878</v>
      </c>
      <c r="J2444" s="64" t="n">
        <v>8.62051371235546</v>
      </c>
      <c r="K2444" s="62" t="s">
        <v>42</v>
      </c>
      <c r="L2444" s="68" t="b">
        <f aca="false">FALSE()</f>
        <v>0</v>
      </c>
    </row>
    <row r="2445" customFormat="false" ht="15" hidden="false" customHeight="false" outlineLevel="0" collapsed="false">
      <c r="A2445" s="62" t="n">
        <v>0</v>
      </c>
      <c r="B2445" s="21" t="s">
        <v>336</v>
      </c>
      <c r="C2445" s="62" t="s">
        <v>60</v>
      </c>
      <c r="D2445" s="62" t="s">
        <v>386</v>
      </c>
      <c r="E2445" s="62" t="s">
        <v>382</v>
      </c>
      <c r="F2445" s="62" t="s">
        <v>382</v>
      </c>
      <c r="G2445" s="63" t="s">
        <v>624</v>
      </c>
      <c r="H2445" s="64" t="n">
        <v>0.0862051371235546</v>
      </c>
      <c r="I2445" s="62" t="s">
        <v>878</v>
      </c>
      <c r="J2445" s="64" t="n">
        <v>8.62051371235546</v>
      </c>
      <c r="K2445" s="62" t="s">
        <v>42</v>
      </c>
      <c r="L2445" s="68" t="b">
        <f aca="false">FALSE()</f>
        <v>0</v>
      </c>
    </row>
    <row r="2446" customFormat="false" ht="15" hidden="false" customHeight="false" outlineLevel="0" collapsed="false">
      <c r="A2446" s="62" t="n">
        <v>0</v>
      </c>
      <c r="B2446" s="21" t="s">
        <v>336</v>
      </c>
      <c r="C2446" s="62" t="s">
        <v>60</v>
      </c>
      <c r="D2446" s="62" t="s">
        <v>387</v>
      </c>
      <c r="E2446" s="62" t="s">
        <v>382</v>
      </c>
      <c r="F2446" s="62" t="s">
        <v>382</v>
      </c>
      <c r="G2446" s="63" t="s">
        <v>624</v>
      </c>
      <c r="H2446" s="64" t="n">
        <v>0.0862051371235546</v>
      </c>
      <c r="I2446" s="62" t="s">
        <v>878</v>
      </c>
      <c r="J2446" s="64" t="n">
        <v>8.62051371235546</v>
      </c>
      <c r="K2446" s="62" t="s">
        <v>42</v>
      </c>
      <c r="L2446" s="68" t="b">
        <f aca="false">FALSE()</f>
        <v>0</v>
      </c>
    </row>
    <row r="2447" customFormat="false" ht="15" hidden="false" customHeight="false" outlineLevel="0" collapsed="false">
      <c r="A2447" s="62" t="n">
        <v>0</v>
      </c>
      <c r="B2447" s="21" t="s">
        <v>336</v>
      </c>
      <c r="C2447" s="62" t="s">
        <v>60</v>
      </c>
      <c r="D2447" s="62" t="s">
        <v>388</v>
      </c>
      <c r="E2447" s="62" t="s">
        <v>382</v>
      </c>
      <c r="F2447" s="62" t="s">
        <v>382</v>
      </c>
      <c r="G2447" s="63" t="s">
        <v>624</v>
      </c>
      <c r="H2447" s="64" t="n">
        <v>0.0862051371235546</v>
      </c>
      <c r="I2447" s="62" t="s">
        <v>878</v>
      </c>
      <c r="J2447" s="64" t="n">
        <v>8.62051371235546</v>
      </c>
      <c r="K2447" s="62" t="s">
        <v>42</v>
      </c>
      <c r="L2447" s="68" t="b">
        <f aca="false">FALSE()</f>
        <v>0</v>
      </c>
    </row>
    <row r="2448" customFormat="false" ht="15" hidden="false" customHeight="false" outlineLevel="0" collapsed="false">
      <c r="A2448" s="62" t="n">
        <v>0</v>
      </c>
      <c r="B2448" s="21" t="s">
        <v>336</v>
      </c>
      <c r="C2448" s="62" t="s">
        <v>60</v>
      </c>
      <c r="D2448" s="62" t="s">
        <v>381</v>
      </c>
      <c r="E2448" s="62" t="s">
        <v>67</v>
      </c>
      <c r="F2448" s="62" t="s">
        <v>382</v>
      </c>
      <c r="G2448" s="63" t="s">
        <v>625</v>
      </c>
      <c r="H2448" s="64" t="n">
        <v>13412500000</v>
      </c>
      <c r="I2448" s="62" t="s">
        <v>81</v>
      </c>
      <c r="J2448" s="64" t="n">
        <v>13412500</v>
      </c>
      <c r="K2448" s="62" t="s">
        <v>138</v>
      </c>
      <c r="L2448" s="68" t="b">
        <f aca="false">TRUE()</f>
        <v>1</v>
      </c>
    </row>
    <row r="2449" customFormat="false" ht="15" hidden="false" customHeight="false" outlineLevel="0" collapsed="false">
      <c r="A2449" s="62" t="n">
        <v>0</v>
      </c>
      <c r="B2449" s="21" t="s">
        <v>336</v>
      </c>
      <c r="C2449" s="62" t="s">
        <v>60</v>
      </c>
      <c r="D2449" s="62" t="s">
        <v>383</v>
      </c>
      <c r="E2449" s="62" t="s">
        <v>67</v>
      </c>
      <c r="F2449" s="62" t="s">
        <v>382</v>
      </c>
      <c r="G2449" s="63" t="s">
        <v>625</v>
      </c>
      <c r="H2449" s="64" t="n">
        <v>13412500000</v>
      </c>
      <c r="I2449" s="62" t="s">
        <v>81</v>
      </c>
      <c r="J2449" s="64" t="n">
        <v>13412500</v>
      </c>
      <c r="K2449" s="62" t="s">
        <v>138</v>
      </c>
      <c r="L2449" s="68" t="b">
        <f aca="false">TRUE()</f>
        <v>1</v>
      </c>
    </row>
    <row r="2450" customFormat="false" ht="15" hidden="false" customHeight="false" outlineLevel="0" collapsed="false">
      <c r="A2450" s="62" t="n">
        <v>0</v>
      </c>
      <c r="B2450" s="21" t="s">
        <v>336</v>
      </c>
      <c r="C2450" s="62" t="s">
        <v>60</v>
      </c>
      <c r="D2450" s="62" t="s">
        <v>384</v>
      </c>
      <c r="E2450" s="62" t="s">
        <v>67</v>
      </c>
      <c r="F2450" s="62" t="s">
        <v>382</v>
      </c>
      <c r="G2450" s="63" t="s">
        <v>625</v>
      </c>
      <c r="H2450" s="64" t="n">
        <v>13412500000</v>
      </c>
      <c r="I2450" s="62" t="s">
        <v>81</v>
      </c>
      <c r="J2450" s="64" t="n">
        <v>13412500</v>
      </c>
      <c r="K2450" s="62" t="s">
        <v>138</v>
      </c>
      <c r="L2450" s="68" t="b">
        <f aca="false">TRUE()</f>
        <v>1</v>
      </c>
    </row>
    <row r="2451" customFormat="false" ht="15" hidden="false" customHeight="false" outlineLevel="0" collapsed="false">
      <c r="A2451" s="62" t="n">
        <v>0</v>
      </c>
      <c r="B2451" s="21" t="s">
        <v>336</v>
      </c>
      <c r="C2451" s="62" t="s">
        <v>60</v>
      </c>
      <c r="D2451" s="62" t="s">
        <v>385</v>
      </c>
      <c r="E2451" s="62" t="s">
        <v>67</v>
      </c>
      <c r="F2451" s="62" t="s">
        <v>382</v>
      </c>
      <c r="G2451" s="63" t="s">
        <v>625</v>
      </c>
      <c r="H2451" s="64" t="n">
        <v>13412500000</v>
      </c>
      <c r="I2451" s="62" t="s">
        <v>81</v>
      </c>
      <c r="J2451" s="64" t="n">
        <v>13412500</v>
      </c>
      <c r="K2451" s="62" t="s">
        <v>138</v>
      </c>
      <c r="L2451" s="68" t="b">
        <f aca="false">TRUE()</f>
        <v>1</v>
      </c>
    </row>
    <row r="2452" customFormat="false" ht="15" hidden="false" customHeight="false" outlineLevel="0" collapsed="false">
      <c r="A2452" s="62" t="n">
        <v>0</v>
      </c>
      <c r="B2452" s="21" t="s">
        <v>336</v>
      </c>
      <c r="C2452" s="62" t="s">
        <v>60</v>
      </c>
      <c r="D2452" s="62" t="s">
        <v>386</v>
      </c>
      <c r="E2452" s="62" t="s">
        <v>67</v>
      </c>
      <c r="F2452" s="62" t="s">
        <v>382</v>
      </c>
      <c r="G2452" s="63" t="s">
        <v>625</v>
      </c>
      <c r="H2452" s="64" t="n">
        <v>13412500000</v>
      </c>
      <c r="I2452" s="62" t="s">
        <v>81</v>
      </c>
      <c r="J2452" s="64" t="n">
        <v>13412500</v>
      </c>
      <c r="K2452" s="62" t="s">
        <v>138</v>
      </c>
      <c r="L2452" s="68" t="b">
        <f aca="false">TRUE()</f>
        <v>1</v>
      </c>
    </row>
    <row r="2453" customFormat="false" ht="15" hidden="false" customHeight="false" outlineLevel="0" collapsed="false">
      <c r="A2453" s="62" t="n">
        <v>0</v>
      </c>
      <c r="B2453" s="21" t="s">
        <v>336</v>
      </c>
      <c r="C2453" s="62" t="s">
        <v>60</v>
      </c>
      <c r="D2453" s="62" t="s">
        <v>387</v>
      </c>
      <c r="E2453" s="62" t="s">
        <v>67</v>
      </c>
      <c r="F2453" s="62" t="s">
        <v>382</v>
      </c>
      <c r="G2453" s="63" t="s">
        <v>625</v>
      </c>
      <c r="H2453" s="64" t="n">
        <v>13412500000</v>
      </c>
      <c r="I2453" s="62" t="s">
        <v>81</v>
      </c>
      <c r="J2453" s="64" t="n">
        <v>13412500</v>
      </c>
      <c r="K2453" s="62" t="s">
        <v>138</v>
      </c>
      <c r="L2453" s="68" t="b">
        <f aca="false">TRUE()</f>
        <v>1</v>
      </c>
    </row>
    <row r="2454" customFormat="false" ht="15" hidden="false" customHeight="false" outlineLevel="0" collapsed="false">
      <c r="A2454" s="62" t="n">
        <v>0</v>
      </c>
      <c r="B2454" s="21" t="s">
        <v>336</v>
      </c>
      <c r="C2454" s="62" t="s">
        <v>60</v>
      </c>
      <c r="D2454" s="62" t="s">
        <v>388</v>
      </c>
      <c r="E2454" s="62" t="s">
        <v>67</v>
      </c>
      <c r="F2454" s="62" t="s">
        <v>382</v>
      </c>
      <c r="G2454" s="63" t="s">
        <v>625</v>
      </c>
      <c r="H2454" s="64" t="n">
        <v>13412500000</v>
      </c>
      <c r="I2454" s="62" t="s">
        <v>81</v>
      </c>
      <c r="J2454" s="64" t="n">
        <v>13412500</v>
      </c>
      <c r="K2454" s="62" t="s">
        <v>138</v>
      </c>
      <c r="L2454" s="68" t="b">
        <f aca="false">TRUE()</f>
        <v>1</v>
      </c>
    </row>
    <row r="2455" customFormat="false" ht="15" hidden="false" customHeight="false" outlineLevel="0" collapsed="false">
      <c r="A2455" s="62" t="n">
        <v>0</v>
      </c>
      <c r="B2455" s="21" t="s">
        <v>336</v>
      </c>
      <c r="C2455" s="62" t="s">
        <v>60</v>
      </c>
      <c r="D2455" s="62" t="s">
        <v>381</v>
      </c>
      <c r="E2455" s="62" t="s">
        <v>67</v>
      </c>
      <c r="F2455" s="62" t="s">
        <v>382</v>
      </c>
      <c r="G2455" s="63" t="s">
        <v>626</v>
      </c>
      <c r="H2455" s="64" t="n">
        <v>10282899751.3683</v>
      </c>
      <c r="I2455" s="62" t="s">
        <v>81</v>
      </c>
      <c r="J2455" s="64" t="n">
        <v>10282899.7513683</v>
      </c>
      <c r="K2455" s="62" t="s">
        <v>138</v>
      </c>
      <c r="L2455" s="68" t="b">
        <f aca="false">TRUE()</f>
        <v>1</v>
      </c>
    </row>
    <row r="2456" customFormat="false" ht="15" hidden="false" customHeight="false" outlineLevel="0" collapsed="false">
      <c r="A2456" s="62" t="n">
        <v>0</v>
      </c>
      <c r="B2456" s="21" t="s">
        <v>336</v>
      </c>
      <c r="C2456" s="62" t="s">
        <v>60</v>
      </c>
      <c r="D2456" s="62" t="s">
        <v>383</v>
      </c>
      <c r="E2456" s="62" t="s">
        <v>67</v>
      </c>
      <c r="F2456" s="62" t="s">
        <v>382</v>
      </c>
      <c r="G2456" s="63" t="s">
        <v>626</v>
      </c>
      <c r="H2456" s="64" t="n">
        <v>10282899751.3683</v>
      </c>
      <c r="I2456" s="62" t="s">
        <v>81</v>
      </c>
      <c r="J2456" s="64" t="n">
        <v>10282899.7513683</v>
      </c>
      <c r="K2456" s="62" t="s">
        <v>138</v>
      </c>
      <c r="L2456" s="68" t="b">
        <f aca="false">TRUE()</f>
        <v>1</v>
      </c>
    </row>
    <row r="2457" customFormat="false" ht="15" hidden="false" customHeight="false" outlineLevel="0" collapsed="false">
      <c r="A2457" s="62" t="n">
        <v>0</v>
      </c>
      <c r="B2457" s="21" t="s">
        <v>336</v>
      </c>
      <c r="C2457" s="62" t="s">
        <v>60</v>
      </c>
      <c r="D2457" s="62" t="s">
        <v>384</v>
      </c>
      <c r="E2457" s="62" t="s">
        <v>67</v>
      </c>
      <c r="F2457" s="62" t="s">
        <v>382</v>
      </c>
      <c r="G2457" s="63" t="s">
        <v>626</v>
      </c>
      <c r="H2457" s="64" t="n">
        <v>10282899751.3683</v>
      </c>
      <c r="I2457" s="62" t="s">
        <v>81</v>
      </c>
      <c r="J2457" s="64" t="n">
        <v>10282899.7513683</v>
      </c>
      <c r="K2457" s="62" t="s">
        <v>138</v>
      </c>
      <c r="L2457" s="68" t="b">
        <f aca="false">TRUE()</f>
        <v>1</v>
      </c>
    </row>
    <row r="2458" customFormat="false" ht="15" hidden="false" customHeight="false" outlineLevel="0" collapsed="false">
      <c r="A2458" s="62" t="n">
        <v>0</v>
      </c>
      <c r="B2458" s="21" t="s">
        <v>336</v>
      </c>
      <c r="C2458" s="62" t="s">
        <v>60</v>
      </c>
      <c r="D2458" s="62" t="s">
        <v>385</v>
      </c>
      <c r="E2458" s="62" t="s">
        <v>67</v>
      </c>
      <c r="F2458" s="62" t="s">
        <v>382</v>
      </c>
      <c r="G2458" s="63" t="s">
        <v>626</v>
      </c>
      <c r="H2458" s="64" t="n">
        <v>10282899751.3683</v>
      </c>
      <c r="I2458" s="62" t="s">
        <v>81</v>
      </c>
      <c r="J2458" s="64" t="n">
        <v>10282899.7513683</v>
      </c>
      <c r="K2458" s="62" t="s">
        <v>138</v>
      </c>
      <c r="L2458" s="68" t="b">
        <f aca="false">TRUE()</f>
        <v>1</v>
      </c>
    </row>
    <row r="2459" customFormat="false" ht="15" hidden="false" customHeight="false" outlineLevel="0" collapsed="false">
      <c r="A2459" s="62" t="n">
        <v>0</v>
      </c>
      <c r="B2459" s="21" t="s">
        <v>336</v>
      </c>
      <c r="C2459" s="62" t="s">
        <v>60</v>
      </c>
      <c r="D2459" s="62" t="s">
        <v>386</v>
      </c>
      <c r="E2459" s="62" t="s">
        <v>67</v>
      </c>
      <c r="F2459" s="62" t="s">
        <v>382</v>
      </c>
      <c r="G2459" s="63" t="s">
        <v>626</v>
      </c>
      <c r="H2459" s="64" t="n">
        <v>10282899751.3683</v>
      </c>
      <c r="I2459" s="62" t="s">
        <v>81</v>
      </c>
      <c r="J2459" s="64" t="n">
        <v>10282899.7513683</v>
      </c>
      <c r="K2459" s="62" t="s">
        <v>138</v>
      </c>
      <c r="L2459" s="68" t="b">
        <f aca="false">TRUE()</f>
        <v>1</v>
      </c>
    </row>
    <row r="2460" customFormat="false" ht="15" hidden="false" customHeight="false" outlineLevel="0" collapsed="false">
      <c r="A2460" s="62" t="n">
        <v>0</v>
      </c>
      <c r="B2460" s="21" t="s">
        <v>336</v>
      </c>
      <c r="C2460" s="62" t="s">
        <v>60</v>
      </c>
      <c r="D2460" s="62" t="s">
        <v>387</v>
      </c>
      <c r="E2460" s="62" t="s">
        <v>67</v>
      </c>
      <c r="F2460" s="62" t="s">
        <v>382</v>
      </c>
      <c r="G2460" s="63" t="s">
        <v>626</v>
      </c>
      <c r="H2460" s="64" t="n">
        <v>10282899751.3683</v>
      </c>
      <c r="I2460" s="62" t="s">
        <v>81</v>
      </c>
      <c r="J2460" s="64" t="n">
        <v>10282899.7513683</v>
      </c>
      <c r="K2460" s="62" t="s">
        <v>138</v>
      </c>
      <c r="L2460" s="68" t="b">
        <f aca="false">TRUE()</f>
        <v>1</v>
      </c>
    </row>
    <row r="2461" customFormat="false" ht="15" hidden="false" customHeight="false" outlineLevel="0" collapsed="false">
      <c r="A2461" s="62" t="n">
        <v>0</v>
      </c>
      <c r="B2461" s="21" t="s">
        <v>336</v>
      </c>
      <c r="C2461" s="62" t="s">
        <v>60</v>
      </c>
      <c r="D2461" s="62" t="s">
        <v>388</v>
      </c>
      <c r="E2461" s="62" t="s">
        <v>67</v>
      </c>
      <c r="F2461" s="62" t="s">
        <v>382</v>
      </c>
      <c r="G2461" s="63" t="s">
        <v>626</v>
      </c>
      <c r="H2461" s="64" t="n">
        <v>10282899751.3683</v>
      </c>
      <c r="I2461" s="62" t="s">
        <v>81</v>
      </c>
      <c r="J2461" s="64" t="n">
        <v>10282899.7513683</v>
      </c>
      <c r="K2461" s="62" t="s">
        <v>138</v>
      </c>
      <c r="L2461" s="68" t="b">
        <f aca="false">TRUE()</f>
        <v>1</v>
      </c>
    </row>
    <row r="2462" customFormat="false" ht="15" hidden="false" customHeight="false" outlineLevel="0" collapsed="false">
      <c r="A2462" s="62" t="n">
        <v>0</v>
      </c>
      <c r="B2462" s="21" t="s">
        <v>336</v>
      </c>
      <c r="C2462" s="62" t="s">
        <v>60</v>
      </c>
      <c r="D2462" s="62" t="s">
        <v>381</v>
      </c>
      <c r="E2462" s="62" t="s">
        <v>67</v>
      </c>
      <c r="F2462" s="62" t="s">
        <v>382</v>
      </c>
      <c r="G2462" s="63" t="s">
        <v>627</v>
      </c>
      <c r="H2462" s="64" t="n">
        <v>0</v>
      </c>
      <c r="I2462" s="62" t="s">
        <v>81</v>
      </c>
      <c r="J2462" s="64" t="n">
        <v>0</v>
      </c>
      <c r="K2462" s="62" t="s">
        <v>138</v>
      </c>
      <c r="L2462" s="68" t="b">
        <f aca="false">TRUE()</f>
        <v>1</v>
      </c>
    </row>
    <row r="2463" customFormat="false" ht="15" hidden="false" customHeight="false" outlineLevel="0" collapsed="false">
      <c r="A2463" s="62" t="n">
        <v>0</v>
      </c>
      <c r="B2463" s="21" t="s">
        <v>336</v>
      </c>
      <c r="C2463" s="62" t="s">
        <v>60</v>
      </c>
      <c r="D2463" s="62" t="s">
        <v>383</v>
      </c>
      <c r="E2463" s="62" t="s">
        <v>67</v>
      </c>
      <c r="F2463" s="62" t="s">
        <v>382</v>
      </c>
      <c r="G2463" s="63" t="s">
        <v>627</v>
      </c>
      <c r="H2463" s="64" t="n">
        <v>0</v>
      </c>
      <c r="I2463" s="62" t="s">
        <v>81</v>
      </c>
      <c r="J2463" s="64" t="n">
        <v>0</v>
      </c>
      <c r="K2463" s="62" t="s">
        <v>138</v>
      </c>
      <c r="L2463" s="68" t="b">
        <f aca="false">TRUE()</f>
        <v>1</v>
      </c>
    </row>
    <row r="2464" customFormat="false" ht="15" hidden="false" customHeight="false" outlineLevel="0" collapsed="false">
      <c r="A2464" s="62" t="n">
        <v>0</v>
      </c>
      <c r="B2464" s="21" t="s">
        <v>336</v>
      </c>
      <c r="C2464" s="62" t="s">
        <v>60</v>
      </c>
      <c r="D2464" s="62" t="s">
        <v>384</v>
      </c>
      <c r="E2464" s="62" t="s">
        <v>67</v>
      </c>
      <c r="F2464" s="62" t="s">
        <v>382</v>
      </c>
      <c r="G2464" s="63" t="s">
        <v>627</v>
      </c>
      <c r="H2464" s="64" t="n">
        <v>0</v>
      </c>
      <c r="I2464" s="62" t="s">
        <v>81</v>
      </c>
      <c r="J2464" s="64" t="n">
        <v>0</v>
      </c>
      <c r="K2464" s="62" t="s">
        <v>138</v>
      </c>
      <c r="L2464" s="68" t="b">
        <f aca="false">TRUE()</f>
        <v>1</v>
      </c>
    </row>
    <row r="2465" customFormat="false" ht="15" hidden="false" customHeight="false" outlineLevel="0" collapsed="false">
      <c r="A2465" s="62" t="n">
        <v>0</v>
      </c>
      <c r="B2465" s="21" t="s">
        <v>336</v>
      </c>
      <c r="C2465" s="62" t="s">
        <v>60</v>
      </c>
      <c r="D2465" s="62" t="s">
        <v>385</v>
      </c>
      <c r="E2465" s="62" t="s">
        <v>67</v>
      </c>
      <c r="F2465" s="62" t="s">
        <v>382</v>
      </c>
      <c r="G2465" s="63" t="s">
        <v>627</v>
      </c>
      <c r="H2465" s="64" t="n">
        <v>0</v>
      </c>
      <c r="I2465" s="62" t="s">
        <v>81</v>
      </c>
      <c r="J2465" s="64" t="n">
        <v>0</v>
      </c>
      <c r="K2465" s="62" t="s">
        <v>138</v>
      </c>
      <c r="L2465" s="68" t="b">
        <f aca="false">TRUE()</f>
        <v>1</v>
      </c>
    </row>
    <row r="2466" customFormat="false" ht="15" hidden="false" customHeight="false" outlineLevel="0" collapsed="false">
      <c r="A2466" s="62" t="n">
        <v>0</v>
      </c>
      <c r="B2466" s="21" t="s">
        <v>336</v>
      </c>
      <c r="C2466" s="62" t="s">
        <v>60</v>
      </c>
      <c r="D2466" s="62" t="s">
        <v>386</v>
      </c>
      <c r="E2466" s="62" t="s">
        <v>67</v>
      </c>
      <c r="F2466" s="62" t="s">
        <v>382</v>
      </c>
      <c r="G2466" s="63" t="s">
        <v>627</v>
      </c>
      <c r="H2466" s="64" t="n">
        <v>0</v>
      </c>
      <c r="I2466" s="62" t="s">
        <v>81</v>
      </c>
      <c r="J2466" s="64" t="n">
        <v>0</v>
      </c>
      <c r="K2466" s="62" t="s">
        <v>138</v>
      </c>
      <c r="L2466" s="68" t="b">
        <f aca="false">TRUE()</f>
        <v>1</v>
      </c>
    </row>
    <row r="2467" customFormat="false" ht="15" hidden="false" customHeight="false" outlineLevel="0" collapsed="false">
      <c r="A2467" s="62" t="n">
        <v>0</v>
      </c>
      <c r="B2467" s="21" t="s">
        <v>336</v>
      </c>
      <c r="C2467" s="62" t="s">
        <v>60</v>
      </c>
      <c r="D2467" s="62" t="s">
        <v>387</v>
      </c>
      <c r="E2467" s="62" t="s">
        <v>67</v>
      </c>
      <c r="F2467" s="62" t="s">
        <v>382</v>
      </c>
      <c r="G2467" s="63" t="s">
        <v>627</v>
      </c>
      <c r="H2467" s="64" t="n">
        <v>0</v>
      </c>
      <c r="I2467" s="62" t="s">
        <v>81</v>
      </c>
      <c r="J2467" s="64" t="n">
        <v>0</v>
      </c>
      <c r="K2467" s="62" t="s">
        <v>138</v>
      </c>
      <c r="L2467" s="68" t="b">
        <f aca="false">TRUE()</f>
        <v>1</v>
      </c>
    </row>
    <row r="2468" customFormat="false" ht="15" hidden="false" customHeight="false" outlineLevel="0" collapsed="false">
      <c r="A2468" s="62" t="n">
        <v>0</v>
      </c>
      <c r="B2468" s="21" t="s">
        <v>336</v>
      </c>
      <c r="C2468" s="62" t="s">
        <v>60</v>
      </c>
      <c r="D2468" s="62" t="s">
        <v>388</v>
      </c>
      <c r="E2468" s="62" t="s">
        <v>67</v>
      </c>
      <c r="F2468" s="62" t="s">
        <v>382</v>
      </c>
      <c r="G2468" s="63" t="s">
        <v>627</v>
      </c>
      <c r="H2468" s="64" t="n">
        <v>0</v>
      </c>
      <c r="I2468" s="62" t="s">
        <v>81</v>
      </c>
      <c r="J2468" s="64" t="n">
        <v>0</v>
      </c>
      <c r="K2468" s="62" t="s">
        <v>138</v>
      </c>
      <c r="L2468" s="68" t="b">
        <f aca="false">TRUE()</f>
        <v>1</v>
      </c>
    </row>
    <row r="2469" customFormat="false" ht="15" hidden="false" customHeight="false" outlineLevel="0" collapsed="false">
      <c r="A2469" s="62" t="n">
        <v>0</v>
      </c>
      <c r="B2469" s="21" t="s">
        <v>336</v>
      </c>
      <c r="C2469" s="62" t="s">
        <v>60</v>
      </c>
      <c r="D2469" s="62" t="s">
        <v>381</v>
      </c>
      <c r="E2469" s="62" t="s">
        <v>67</v>
      </c>
      <c r="F2469" s="62" t="s">
        <v>382</v>
      </c>
      <c r="G2469" s="63" t="s">
        <v>628</v>
      </c>
      <c r="H2469" s="64" t="n">
        <v>0</v>
      </c>
      <c r="I2469" s="62" t="s">
        <v>81</v>
      </c>
      <c r="J2469" s="64" t="n">
        <v>0</v>
      </c>
      <c r="K2469" s="62" t="s">
        <v>138</v>
      </c>
      <c r="L2469" s="68" t="b">
        <f aca="false">TRUE()</f>
        <v>1</v>
      </c>
    </row>
    <row r="2470" customFormat="false" ht="15" hidden="false" customHeight="false" outlineLevel="0" collapsed="false">
      <c r="A2470" s="62" t="n">
        <v>0</v>
      </c>
      <c r="B2470" s="21" t="s">
        <v>336</v>
      </c>
      <c r="C2470" s="62" t="s">
        <v>60</v>
      </c>
      <c r="D2470" s="62" t="s">
        <v>383</v>
      </c>
      <c r="E2470" s="62" t="s">
        <v>67</v>
      </c>
      <c r="F2470" s="62" t="s">
        <v>382</v>
      </c>
      <c r="G2470" s="63" t="s">
        <v>628</v>
      </c>
      <c r="H2470" s="64" t="n">
        <v>0</v>
      </c>
      <c r="I2470" s="62" t="s">
        <v>81</v>
      </c>
      <c r="J2470" s="64" t="n">
        <v>0</v>
      </c>
      <c r="K2470" s="62" t="s">
        <v>138</v>
      </c>
      <c r="L2470" s="68" t="b">
        <f aca="false">TRUE()</f>
        <v>1</v>
      </c>
    </row>
    <row r="2471" customFormat="false" ht="15" hidden="false" customHeight="false" outlineLevel="0" collapsed="false">
      <c r="A2471" s="62" t="n">
        <v>0</v>
      </c>
      <c r="B2471" s="21" t="s">
        <v>336</v>
      </c>
      <c r="C2471" s="62" t="s">
        <v>60</v>
      </c>
      <c r="D2471" s="62" t="s">
        <v>384</v>
      </c>
      <c r="E2471" s="62" t="s">
        <v>67</v>
      </c>
      <c r="F2471" s="62" t="s">
        <v>382</v>
      </c>
      <c r="G2471" s="63" t="s">
        <v>628</v>
      </c>
      <c r="H2471" s="64" t="n">
        <v>0</v>
      </c>
      <c r="I2471" s="62" t="s">
        <v>81</v>
      </c>
      <c r="J2471" s="64" t="n">
        <v>0</v>
      </c>
      <c r="K2471" s="62" t="s">
        <v>138</v>
      </c>
      <c r="L2471" s="68" t="b">
        <f aca="false">TRUE()</f>
        <v>1</v>
      </c>
    </row>
    <row r="2472" customFormat="false" ht="15" hidden="false" customHeight="false" outlineLevel="0" collapsed="false">
      <c r="A2472" s="62" t="n">
        <v>0</v>
      </c>
      <c r="B2472" s="21" t="s">
        <v>336</v>
      </c>
      <c r="C2472" s="62" t="s">
        <v>60</v>
      </c>
      <c r="D2472" s="62" t="s">
        <v>385</v>
      </c>
      <c r="E2472" s="62" t="s">
        <v>67</v>
      </c>
      <c r="F2472" s="62" t="s">
        <v>382</v>
      </c>
      <c r="G2472" s="63" t="s">
        <v>628</v>
      </c>
      <c r="H2472" s="64" t="n">
        <v>0</v>
      </c>
      <c r="I2472" s="62" t="s">
        <v>81</v>
      </c>
      <c r="J2472" s="64" t="n">
        <v>0</v>
      </c>
      <c r="K2472" s="62" t="s">
        <v>138</v>
      </c>
      <c r="L2472" s="68" t="b">
        <f aca="false">TRUE()</f>
        <v>1</v>
      </c>
    </row>
    <row r="2473" customFormat="false" ht="15" hidden="false" customHeight="false" outlineLevel="0" collapsed="false">
      <c r="A2473" s="62" t="n">
        <v>0</v>
      </c>
      <c r="B2473" s="21" t="s">
        <v>336</v>
      </c>
      <c r="C2473" s="62" t="s">
        <v>60</v>
      </c>
      <c r="D2473" s="62" t="s">
        <v>386</v>
      </c>
      <c r="E2473" s="62" t="s">
        <v>67</v>
      </c>
      <c r="F2473" s="62" t="s">
        <v>382</v>
      </c>
      <c r="G2473" s="63" t="s">
        <v>628</v>
      </c>
      <c r="H2473" s="64" t="n">
        <v>0</v>
      </c>
      <c r="I2473" s="62" t="s">
        <v>81</v>
      </c>
      <c r="J2473" s="64" t="n">
        <v>0</v>
      </c>
      <c r="K2473" s="62" t="s">
        <v>138</v>
      </c>
      <c r="L2473" s="68" t="b">
        <f aca="false">TRUE()</f>
        <v>1</v>
      </c>
    </row>
    <row r="2474" customFormat="false" ht="15" hidden="false" customHeight="false" outlineLevel="0" collapsed="false">
      <c r="A2474" s="62" t="n">
        <v>0</v>
      </c>
      <c r="B2474" s="21" t="s">
        <v>336</v>
      </c>
      <c r="C2474" s="62" t="s">
        <v>60</v>
      </c>
      <c r="D2474" s="62" t="s">
        <v>387</v>
      </c>
      <c r="E2474" s="62" t="s">
        <v>67</v>
      </c>
      <c r="F2474" s="62" t="s">
        <v>382</v>
      </c>
      <c r="G2474" s="63" t="s">
        <v>628</v>
      </c>
      <c r="H2474" s="64" t="n">
        <v>0</v>
      </c>
      <c r="I2474" s="62" t="s">
        <v>81</v>
      </c>
      <c r="J2474" s="64" t="n">
        <v>0</v>
      </c>
      <c r="K2474" s="62" t="s">
        <v>138</v>
      </c>
      <c r="L2474" s="68" t="b">
        <f aca="false">TRUE()</f>
        <v>1</v>
      </c>
    </row>
    <row r="2475" customFormat="false" ht="15" hidden="false" customHeight="false" outlineLevel="0" collapsed="false">
      <c r="A2475" s="62" t="n">
        <v>0</v>
      </c>
      <c r="B2475" s="21" t="s">
        <v>336</v>
      </c>
      <c r="C2475" s="62" t="s">
        <v>60</v>
      </c>
      <c r="D2475" s="62" t="s">
        <v>388</v>
      </c>
      <c r="E2475" s="62" t="s">
        <v>67</v>
      </c>
      <c r="F2475" s="62" t="s">
        <v>382</v>
      </c>
      <c r="G2475" s="63" t="s">
        <v>628</v>
      </c>
      <c r="H2475" s="64" t="n">
        <v>0</v>
      </c>
      <c r="I2475" s="62" t="s">
        <v>81</v>
      </c>
      <c r="J2475" s="64" t="n">
        <v>0</v>
      </c>
      <c r="K2475" s="62" t="s">
        <v>138</v>
      </c>
      <c r="L2475" s="68" t="b">
        <f aca="false">TRUE()</f>
        <v>1</v>
      </c>
    </row>
    <row r="2476" customFormat="false" ht="15" hidden="false" customHeight="false" outlineLevel="0" collapsed="false">
      <c r="A2476" s="62" t="n">
        <v>0</v>
      </c>
      <c r="B2476" s="21" t="s">
        <v>336</v>
      </c>
      <c r="C2476" s="62" t="s">
        <v>60</v>
      </c>
      <c r="D2476" s="62" t="s">
        <v>381</v>
      </c>
      <c r="E2476" s="62" t="s">
        <v>67</v>
      </c>
      <c r="F2476" s="62" t="s">
        <v>382</v>
      </c>
      <c r="G2476" s="63" t="s">
        <v>629</v>
      </c>
      <c r="H2476" s="64" t="n">
        <v>1522500000</v>
      </c>
      <c r="I2476" s="62" t="s">
        <v>81</v>
      </c>
      <c r="J2476" s="64" t="n">
        <v>1522500</v>
      </c>
      <c r="K2476" s="62" t="s">
        <v>138</v>
      </c>
      <c r="L2476" s="68" t="b">
        <f aca="false">TRUE()</f>
        <v>1</v>
      </c>
    </row>
    <row r="2477" customFormat="false" ht="15" hidden="false" customHeight="false" outlineLevel="0" collapsed="false">
      <c r="A2477" s="62" t="n">
        <v>0</v>
      </c>
      <c r="B2477" s="21" t="s">
        <v>336</v>
      </c>
      <c r="C2477" s="62" t="s">
        <v>60</v>
      </c>
      <c r="D2477" s="62" t="s">
        <v>383</v>
      </c>
      <c r="E2477" s="62" t="s">
        <v>67</v>
      </c>
      <c r="F2477" s="62" t="s">
        <v>382</v>
      </c>
      <c r="G2477" s="63" t="s">
        <v>629</v>
      </c>
      <c r="H2477" s="64" t="n">
        <v>1522500000</v>
      </c>
      <c r="I2477" s="62" t="s">
        <v>81</v>
      </c>
      <c r="J2477" s="64" t="n">
        <v>1522500</v>
      </c>
      <c r="K2477" s="62" t="s">
        <v>138</v>
      </c>
      <c r="L2477" s="68" t="b">
        <f aca="false">TRUE()</f>
        <v>1</v>
      </c>
    </row>
    <row r="2478" customFormat="false" ht="15" hidden="false" customHeight="false" outlineLevel="0" collapsed="false">
      <c r="A2478" s="62" t="n">
        <v>0</v>
      </c>
      <c r="B2478" s="21" t="s">
        <v>336</v>
      </c>
      <c r="C2478" s="62" t="s">
        <v>60</v>
      </c>
      <c r="D2478" s="62" t="s">
        <v>384</v>
      </c>
      <c r="E2478" s="62" t="s">
        <v>67</v>
      </c>
      <c r="F2478" s="62" t="s">
        <v>382</v>
      </c>
      <c r="G2478" s="63" t="s">
        <v>629</v>
      </c>
      <c r="H2478" s="64" t="n">
        <v>1522500000</v>
      </c>
      <c r="I2478" s="62" t="s">
        <v>81</v>
      </c>
      <c r="J2478" s="64" t="n">
        <v>1522500</v>
      </c>
      <c r="K2478" s="62" t="s">
        <v>138</v>
      </c>
      <c r="L2478" s="68" t="b">
        <f aca="false">TRUE()</f>
        <v>1</v>
      </c>
    </row>
    <row r="2479" customFormat="false" ht="15" hidden="false" customHeight="false" outlineLevel="0" collapsed="false">
      <c r="A2479" s="62" t="n">
        <v>0</v>
      </c>
      <c r="B2479" s="21" t="s">
        <v>336</v>
      </c>
      <c r="C2479" s="62" t="s">
        <v>60</v>
      </c>
      <c r="D2479" s="62" t="s">
        <v>385</v>
      </c>
      <c r="E2479" s="62" t="s">
        <v>67</v>
      </c>
      <c r="F2479" s="62" t="s">
        <v>382</v>
      </c>
      <c r="G2479" s="63" t="s">
        <v>629</v>
      </c>
      <c r="H2479" s="64" t="n">
        <v>1522500000</v>
      </c>
      <c r="I2479" s="62" t="s">
        <v>81</v>
      </c>
      <c r="J2479" s="64" t="n">
        <v>1522500</v>
      </c>
      <c r="K2479" s="62" t="s">
        <v>138</v>
      </c>
      <c r="L2479" s="68" t="b">
        <f aca="false">TRUE()</f>
        <v>1</v>
      </c>
    </row>
    <row r="2480" customFormat="false" ht="15" hidden="false" customHeight="false" outlineLevel="0" collapsed="false">
      <c r="A2480" s="62" t="n">
        <v>0</v>
      </c>
      <c r="B2480" s="21" t="s">
        <v>336</v>
      </c>
      <c r="C2480" s="62" t="s">
        <v>60</v>
      </c>
      <c r="D2480" s="62" t="s">
        <v>386</v>
      </c>
      <c r="E2480" s="62" t="s">
        <v>67</v>
      </c>
      <c r="F2480" s="62" t="s">
        <v>382</v>
      </c>
      <c r="G2480" s="63" t="s">
        <v>629</v>
      </c>
      <c r="H2480" s="64" t="n">
        <v>1522500000</v>
      </c>
      <c r="I2480" s="62" t="s">
        <v>81</v>
      </c>
      <c r="J2480" s="64" t="n">
        <v>1522500</v>
      </c>
      <c r="K2480" s="62" t="s">
        <v>138</v>
      </c>
      <c r="L2480" s="68" t="b">
        <f aca="false">TRUE()</f>
        <v>1</v>
      </c>
    </row>
    <row r="2481" customFormat="false" ht="15" hidden="false" customHeight="false" outlineLevel="0" collapsed="false">
      <c r="A2481" s="62" t="n">
        <v>0</v>
      </c>
      <c r="B2481" s="21" t="s">
        <v>336</v>
      </c>
      <c r="C2481" s="62" t="s">
        <v>60</v>
      </c>
      <c r="D2481" s="62" t="s">
        <v>387</v>
      </c>
      <c r="E2481" s="62" t="s">
        <v>67</v>
      </c>
      <c r="F2481" s="62" t="s">
        <v>382</v>
      </c>
      <c r="G2481" s="63" t="s">
        <v>629</v>
      </c>
      <c r="H2481" s="64" t="n">
        <v>1522500000</v>
      </c>
      <c r="I2481" s="62" t="s">
        <v>81</v>
      </c>
      <c r="J2481" s="64" t="n">
        <v>1522500</v>
      </c>
      <c r="K2481" s="62" t="s">
        <v>138</v>
      </c>
      <c r="L2481" s="68" t="b">
        <f aca="false">TRUE()</f>
        <v>1</v>
      </c>
    </row>
    <row r="2482" customFormat="false" ht="15" hidden="false" customHeight="false" outlineLevel="0" collapsed="false">
      <c r="A2482" s="62" t="n">
        <v>0</v>
      </c>
      <c r="B2482" s="21" t="s">
        <v>336</v>
      </c>
      <c r="C2482" s="62" t="s">
        <v>60</v>
      </c>
      <c r="D2482" s="62" t="s">
        <v>388</v>
      </c>
      <c r="E2482" s="62" t="s">
        <v>67</v>
      </c>
      <c r="F2482" s="62" t="s">
        <v>382</v>
      </c>
      <c r="G2482" s="63" t="s">
        <v>629</v>
      </c>
      <c r="H2482" s="64" t="n">
        <v>1522500000</v>
      </c>
      <c r="I2482" s="62" t="s">
        <v>81</v>
      </c>
      <c r="J2482" s="64" t="n">
        <v>1522500</v>
      </c>
      <c r="K2482" s="62" t="s">
        <v>138</v>
      </c>
      <c r="L2482" s="68" t="b">
        <f aca="false">TRUE()</f>
        <v>1</v>
      </c>
    </row>
    <row r="2483" customFormat="false" ht="15" hidden="false" customHeight="false" outlineLevel="0" collapsed="false">
      <c r="A2483" s="62" t="n">
        <v>0</v>
      </c>
      <c r="B2483" s="21" t="s">
        <v>336</v>
      </c>
      <c r="C2483" s="62" t="s">
        <v>60</v>
      </c>
      <c r="D2483" s="62" t="s">
        <v>381</v>
      </c>
      <c r="E2483" s="62" t="s">
        <v>67</v>
      </c>
      <c r="F2483" s="62" t="s">
        <v>382</v>
      </c>
      <c r="G2483" s="63" t="s">
        <v>630</v>
      </c>
      <c r="H2483" s="64" t="n">
        <v>11805399751.3683</v>
      </c>
      <c r="I2483" s="62" t="s">
        <v>81</v>
      </c>
      <c r="J2483" s="64" t="n">
        <v>11805399.7513683</v>
      </c>
      <c r="K2483" s="62" t="s">
        <v>138</v>
      </c>
      <c r="L2483" s="68" t="b">
        <f aca="false">TRUE()</f>
        <v>1</v>
      </c>
    </row>
    <row r="2484" customFormat="false" ht="15" hidden="false" customHeight="false" outlineLevel="0" collapsed="false">
      <c r="A2484" s="62" t="n">
        <v>0</v>
      </c>
      <c r="B2484" s="21" t="s">
        <v>336</v>
      </c>
      <c r="C2484" s="62" t="s">
        <v>60</v>
      </c>
      <c r="D2484" s="62" t="s">
        <v>383</v>
      </c>
      <c r="E2484" s="62" t="s">
        <v>67</v>
      </c>
      <c r="F2484" s="62" t="s">
        <v>382</v>
      </c>
      <c r="G2484" s="63" t="s">
        <v>630</v>
      </c>
      <c r="H2484" s="64" t="n">
        <v>11805399751.3683</v>
      </c>
      <c r="I2484" s="62" t="s">
        <v>81</v>
      </c>
      <c r="J2484" s="64" t="n">
        <v>11805399.7513683</v>
      </c>
      <c r="K2484" s="62" t="s">
        <v>138</v>
      </c>
      <c r="L2484" s="68" t="b">
        <f aca="false">TRUE()</f>
        <v>1</v>
      </c>
    </row>
    <row r="2485" customFormat="false" ht="15" hidden="false" customHeight="false" outlineLevel="0" collapsed="false">
      <c r="A2485" s="62" t="n">
        <v>0</v>
      </c>
      <c r="B2485" s="21" t="s">
        <v>336</v>
      </c>
      <c r="C2485" s="62" t="s">
        <v>60</v>
      </c>
      <c r="D2485" s="62" t="s">
        <v>384</v>
      </c>
      <c r="E2485" s="62" t="s">
        <v>67</v>
      </c>
      <c r="F2485" s="62" t="s">
        <v>382</v>
      </c>
      <c r="G2485" s="63" t="s">
        <v>630</v>
      </c>
      <c r="H2485" s="64" t="n">
        <v>11805399751.3683</v>
      </c>
      <c r="I2485" s="62" t="s">
        <v>81</v>
      </c>
      <c r="J2485" s="64" t="n">
        <v>11805399.7513683</v>
      </c>
      <c r="K2485" s="62" t="s">
        <v>138</v>
      </c>
      <c r="L2485" s="68" t="b">
        <f aca="false">TRUE()</f>
        <v>1</v>
      </c>
    </row>
    <row r="2486" customFormat="false" ht="15" hidden="false" customHeight="false" outlineLevel="0" collapsed="false">
      <c r="A2486" s="62" t="n">
        <v>0</v>
      </c>
      <c r="B2486" s="21" t="s">
        <v>336</v>
      </c>
      <c r="C2486" s="62" t="s">
        <v>60</v>
      </c>
      <c r="D2486" s="62" t="s">
        <v>385</v>
      </c>
      <c r="E2486" s="62" t="s">
        <v>67</v>
      </c>
      <c r="F2486" s="62" t="s">
        <v>382</v>
      </c>
      <c r="G2486" s="63" t="s">
        <v>630</v>
      </c>
      <c r="H2486" s="64" t="n">
        <v>11805399751.3683</v>
      </c>
      <c r="I2486" s="62" t="s">
        <v>81</v>
      </c>
      <c r="J2486" s="64" t="n">
        <v>11805399.7513683</v>
      </c>
      <c r="K2486" s="62" t="s">
        <v>138</v>
      </c>
      <c r="L2486" s="68" t="b">
        <f aca="false">TRUE()</f>
        <v>1</v>
      </c>
    </row>
    <row r="2487" customFormat="false" ht="15" hidden="false" customHeight="false" outlineLevel="0" collapsed="false">
      <c r="A2487" s="62" t="n">
        <v>0</v>
      </c>
      <c r="B2487" s="21" t="s">
        <v>336</v>
      </c>
      <c r="C2487" s="62" t="s">
        <v>60</v>
      </c>
      <c r="D2487" s="62" t="s">
        <v>386</v>
      </c>
      <c r="E2487" s="62" t="s">
        <v>67</v>
      </c>
      <c r="F2487" s="62" t="s">
        <v>382</v>
      </c>
      <c r="G2487" s="63" t="s">
        <v>630</v>
      </c>
      <c r="H2487" s="64" t="n">
        <v>11805399751.3683</v>
      </c>
      <c r="I2487" s="62" t="s">
        <v>81</v>
      </c>
      <c r="J2487" s="64" t="n">
        <v>11805399.7513683</v>
      </c>
      <c r="K2487" s="62" t="s">
        <v>138</v>
      </c>
      <c r="L2487" s="68" t="b">
        <f aca="false">TRUE()</f>
        <v>1</v>
      </c>
    </row>
    <row r="2488" customFormat="false" ht="15" hidden="false" customHeight="false" outlineLevel="0" collapsed="false">
      <c r="A2488" s="62" t="n">
        <v>0</v>
      </c>
      <c r="B2488" s="21" t="s">
        <v>336</v>
      </c>
      <c r="C2488" s="62" t="s">
        <v>60</v>
      </c>
      <c r="D2488" s="62" t="s">
        <v>387</v>
      </c>
      <c r="E2488" s="62" t="s">
        <v>67</v>
      </c>
      <c r="F2488" s="62" t="s">
        <v>382</v>
      </c>
      <c r="G2488" s="63" t="s">
        <v>630</v>
      </c>
      <c r="H2488" s="64" t="n">
        <v>11805399751.3683</v>
      </c>
      <c r="I2488" s="62" t="s">
        <v>81</v>
      </c>
      <c r="J2488" s="64" t="n">
        <v>11805399.7513683</v>
      </c>
      <c r="K2488" s="62" t="s">
        <v>138</v>
      </c>
      <c r="L2488" s="68" t="b">
        <f aca="false">TRUE()</f>
        <v>1</v>
      </c>
    </row>
    <row r="2489" customFormat="false" ht="15" hidden="false" customHeight="false" outlineLevel="0" collapsed="false">
      <c r="A2489" s="62" t="n">
        <v>0</v>
      </c>
      <c r="B2489" s="21" t="s">
        <v>336</v>
      </c>
      <c r="C2489" s="62" t="s">
        <v>60</v>
      </c>
      <c r="D2489" s="62" t="s">
        <v>388</v>
      </c>
      <c r="E2489" s="62" t="s">
        <v>67</v>
      </c>
      <c r="F2489" s="62" t="s">
        <v>382</v>
      </c>
      <c r="G2489" s="63" t="s">
        <v>630</v>
      </c>
      <c r="H2489" s="64" t="n">
        <v>11805399751.3683</v>
      </c>
      <c r="I2489" s="62" t="s">
        <v>81</v>
      </c>
      <c r="J2489" s="64" t="n">
        <v>11805399.7513683</v>
      </c>
      <c r="K2489" s="62" t="s">
        <v>138</v>
      </c>
      <c r="L2489" s="68" t="b">
        <f aca="false">TRUE()</f>
        <v>1</v>
      </c>
    </row>
    <row r="2490" customFormat="false" ht="15" hidden="false" customHeight="false" outlineLevel="0" collapsed="false">
      <c r="A2490" s="62" t="n">
        <v>0</v>
      </c>
      <c r="B2490" s="21" t="s">
        <v>336</v>
      </c>
      <c r="C2490" s="62" t="s">
        <v>60</v>
      </c>
      <c r="D2490" s="62" t="s">
        <v>381</v>
      </c>
      <c r="E2490" s="62" t="s">
        <v>67</v>
      </c>
      <c r="F2490" s="62" t="s">
        <v>382</v>
      </c>
      <c r="G2490" s="63" t="s">
        <v>631</v>
      </c>
      <c r="H2490" s="64" t="n">
        <v>1607100248.63166</v>
      </c>
      <c r="I2490" s="62" t="s">
        <v>81</v>
      </c>
      <c r="J2490" s="64" t="n">
        <v>1607100.24863166</v>
      </c>
      <c r="K2490" s="62" t="s">
        <v>138</v>
      </c>
      <c r="L2490" s="68" t="b">
        <f aca="false">TRUE()</f>
        <v>1</v>
      </c>
    </row>
    <row r="2491" customFormat="false" ht="15" hidden="false" customHeight="false" outlineLevel="0" collapsed="false">
      <c r="A2491" s="62" t="n">
        <v>0</v>
      </c>
      <c r="B2491" s="21" t="s">
        <v>336</v>
      </c>
      <c r="C2491" s="62" t="s">
        <v>60</v>
      </c>
      <c r="D2491" s="62" t="s">
        <v>383</v>
      </c>
      <c r="E2491" s="62" t="s">
        <v>67</v>
      </c>
      <c r="F2491" s="62" t="s">
        <v>382</v>
      </c>
      <c r="G2491" s="63" t="s">
        <v>631</v>
      </c>
      <c r="H2491" s="64" t="n">
        <v>1607100248.63166</v>
      </c>
      <c r="I2491" s="62" t="s">
        <v>81</v>
      </c>
      <c r="J2491" s="64" t="n">
        <v>1607100.24863166</v>
      </c>
      <c r="K2491" s="62" t="s">
        <v>138</v>
      </c>
      <c r="L2491" s="68" t="b">
        <f aca="false">TRUE()</f>
        <v>1</v>
      </c>
    </row>
    <row r="2492" customFormat="false" ht="15" hidden="false" customHeight="false" outlineLevel="0" collapsed="false">
      <c r="A2492" s="62" t="n">
        <v>0</v>
      </c>
      <c r="B2492" s="21" t="s">
        <v>336</v>
      </c>
      <c r="C2492" s="62" t="s">
        <v>60</v>
      </c>
      <c r="D2492" s="62" t="s">
        <v>384</v>
      </c>
      <c r="E2492" s="62" t="s">
        <v>67</v>
      </c>
      <c r="F2492" s="62" t="s">
        <v>382</v>
      </c>
      <c r="G2492" s="63" t="s">
        <v>631</v>
      </c>
      <c r="H2492" s="64" t="n">
        <v>1607100248.63166</v>
      </c>
      <c r="I2492" s="62" t="s">
        <v>81</v>
      </c>
      <c r="J2492" s="64" t="n">
        <v>1607100.24863166</v>
      </c>
      <c r="K2492" s="62" t="s">
        <v>138</v>
      </c>
      <c r="L2492" s="68" t="b">
        <f aca="false">TRUE()</f>
        <v>1</v>
      </c>
    </row>
    <row r="2493" customFormat="false" ht="15" hidden="false" customHeight="false" outlineLevel="0" collapsed="false">
      <c r="A2493" s="62" t="n">
        <v>0</v>
      </c>
      <c r="B2493" s="21" t="s">
        <v>336</v>
      </c>
      <c r="C2493" s="62" t="s">
        <v>60</v>
      </c>
      <c r="D2493" s="62" t="s">
        <v>385</v>
      </c>
      <c r="E2493" s="62" t="s">
        <v>67</v>
      </c>
      <c r="F2493" s="62" t="s">
        <v>382</v>
      </c>
      <c r="G2493" s="63" t="s">
        <v>631</v>
      </c>
      <c r="H2493" s="64" t="n">
        <v>1607100248.63166</v>
      </c>
      <c r="I2493" s="62" t="s">
        <v>81</v>
      </c>
      <c r="J2493" s="64" t="n">
        <v>1607100.24863166</v>
      </c>
      <c r="K2493" s="62" t="s">
        <v>138</v>
      </c>
      <c r="L2493" s="68" t="b">
        <f aca="false">TRUE()</f>
        <v>1</v>
      </c>
    </row>
    <row r="2494" customFormat="false" ht="15" hidden="false" customHeight="false" outlineLevel="0" collapsed="false">
      <c r="A2494" s="62" t="n">
        <v>0</v>
      </c>
      <c r="B2494" s="21" t="s">
        <v>336</v>
      </c>
      <c r="C2494" s="62" t="s">
        <v>60</v>
      </c>
      <c r="D2494" s="62" t="s">
        <v>386</v>
      </c>
      <c r="E2494" s="62" t="s">
        <v>67</v>
      </c>
      <c r="F2494" s="62" t="s">
        <v>382</v>
      </c>
      <c r="G2494" s="63" t="s">
        <v>631</v>
      </c>
      <c r="H2494" s="64" t="n">
        <v>1607100248.63166</v>
      </c>
      <c r="I2494" s="62" t="s">
        <v>81</v>
      </c>
      <c r="J2494" s="64" t="n">
        <v>1607100.24863166</v>
      </c>
      <c r="K2494" s="62" t="s">
        <v>138</v>
      </c>
      <c r="L2494" s="68" t="b">
        <f aca="false">TRUE()</f>
        <v>1</v>
      </c>
    </row>
    <row r="2495" customFormat="false" ht="15" hidden="false" customHeight="false" outlineLevel="0" collapsed="false">
      <c r="A2495" s="62" t="n">
        <v>0</v>
      </c>
      <c r="B2495" s="21" t="s">
        <v>336</v>
      </c>
      <c r="C2495" s="62" t="s">
        <v>60</v>
      </c>
      <c r="D2495" s="62" t="s">
        <v>387</v>
      </c>
      <c r="E2495" s="62" t="s">
        <v>67</v>
      </c>
      <c r="F2495" s="62" t="s">
        <v>382</v>
      </c>
      <c r="G2495" s="63" t="s">
        <v>631</v>
      </c>
      <c r="H2495" s="64" t="n">
        <v>1607100248.63166</v>
      </c>
      <c r="I2495" s="62" t="s">
        <v>81</v>
      </c>
      <c r="J2495" s="64" t="n">
        <v>1607100.24863166</v>
      </c>
      <c r="K2495" s="62" t="s">
        <v>138</v>
      </c>
      <c r="L2495" s="68" t="b">
        <f aca="false">TRUE()</f>
        <v>1</v>
      </c>
    </row>
    <row r="2496" customFormat="false" ht="15" hidden="false" customHeight="false" outlineLevel="0" collapsed="false">
      <c r="A2496" s="62" t="n">
        <v>0</v>
      </c>
      <c r="B2496" s="21" t="s">
        <v>336</v>
      </c>
      <c r="C2496" s="62" t="s">
        <v>60</v>
      </c>
      <c r="D2496" s="62" t="s">
        <v>388</v>
      </c>
      <c r="E2496" s="62" t="s">
        <v>67</v>
      </c>
      <c r="F2496" s="62" t="s">
        <v>382</v>
      </c>
      <c r="G2496" s="63" t="s">
        <v>631</v>
      </c>
      <c r="H2496" s="64" t="n">
        <v>1607100248.63166</v>
      </c>
      <c r="I2496" s="62" t="s">
        <v>81</v>
      </c>
      <c r="J2496" s="64" t="n">
        <v>1607100.24863166</v>
      </c>
      <c r="K2496" s="62" t="s">
        <v>138</v>
      </c>
      <c r="L2496" s="68" t="b">
        <f aca="false">TRUE()</f>
        <v>1</v>
      </c>
    </row>
    <row r="2497" customFormat="false" ht="15" hidden="false" customHeight="false" outlineLevel="0" collapsed="false">
      <c r="A2497" s="62" t="n">
        <v>0</v>
      </c>
      <c r="B2497" s="21" t="s">
        <v>336</v>
      </c>
      <c r="C2497" s="62" t="s">
        <v>60</v>
      </c>
      <c r="D2497" s="62" t="s">
        <v>381</v>
      </c>
      <c r="E2497" s="62" t="s">
        <v>67</v>
      </c>
      <c r="F2497" s="62" t="s">
        <v>382</v>
      </c>
      <c r="G2497" s="63" t="s">
        <v>632</v>
      </c>
      <c r="H2497" s="64" t="n">
        <v>600000000</v>
      </c>
      <c r="I2497" s="62" t="s">
        <v>81</v>
      </c>
      <c r="J2497" s="64" t="n">
        <v>600000</v>
      </c>
      <c r="K2497" s="62" t="s">
        <v>138</v>
      </c>
      <c r="L2497" s="68" t="b">
        <f aca="false">TRUE()</f>
        <v>1</v>
      </c>
    </row>
    <row r="2498" customFormat="false" ht="15" hidden="false" customHeight="false" outlineLevel="0" collapsed="false">
      <c r="A2498" s="62" t="n">
        <v>0</v>
      </c>
      <c r="B2498" s="21" t="s">
        <v>336</v>
      </c>
      <c r="C2498" s="62" t="s">
        <v>60</v>
      </c>
      <c r="D2498" s="62" t="s">
        <v>383</v>
      </c>
      <c r="E2498" s="62" t="s">
        <v>67</v>
      </c>
      <c r="F2498" s="62" t="s">
        <v>382</v>
      </c>
      <c r="G2498" s="63" t="s">
        <v>632</v>
      </c>
      <c r="H2498" s="64" t="n">
        <v>600000000</v>
      </c>
      <c r="I2498" s="62" t="s">
        <v>81</v>
      </c>
      <c r="J2498" s="64" t="n">
        <v>600000</v>
      </c>
      <c r="K2498" s="62" t="s">
        <v>138</v>
      </c>
      <c r="L2498" s="68" t="b">
        <f aca="false">TRUE()</f>
        <v>1</v>
      </c>
    </row>
    <row r="2499" customFormat="false" ht="15" hidden="false" customHeight="false" outlineLevel="0" collapsed="false">
      <c r="A2499" s="62" t="n">
        <v>0</v>
      </c>
      <c r="B2499" s="21" t="s">
        <v>336</v>
      </c>
      <c r="C2499" s="62" t="s">
        <v>60</v>
      </c>
      <c r="D2499" s="62" t="s">
        <v>384</v>
      </c>
      <c r="E2499" s="62" t="s">
        <v>67</v>
      </c>
      <c r="F2499" s="62" t="s">
        <v>382</v>
      </c>
      <c r="G2499" s="63" t="s">
        <v>632</v>
      </c>
      <c r="H2499" s="64" t="n">
        <v>600000000</v>
      </c>
      <c r="I2499" s="62" t="s">
        <v>81</v>
      </c>
      <c r="J2499" s="64" t="n">
        <v>600000</v>
      </c>
      <c r="K2499" s="62" t="s">
        <v>138</v>
      </c>
      <c r="L2499" s="68" t="b">
        <f aca="false">TRUE()</f>
        <v>1</v>
      </c>
    </row>
    <row r="2500" customFormat="false" ht="15" hidden="false" customHeight="false" outlineLevel="0" collapsed="false">
      <c r="A2500" s="62" t="n">
        <v>0</v>
      </c>
      <c r="B2500" s="21" t="s">
        <v>336</v>
      </c>
      <c r="C2500" s="62" t="s">
        <v>60</v>
      </c>
      <c r="D2500" s="62" t="s">
        <v>385</v>
      </c>
      <c r="E2500" s="62" t="s">
        <v>67</v>
      </c>
      <c r="F2500" s="62" t="s">
        <v>382</v>
      </c>
      <c r="G2500" s="63" t="s">
        <v>632</v>
      </c>
      <c r="H2500" s="64" t="n">
        <v>600000000</v>
      </c>
      <c r="I2500" s="62" t="s">
        <v>81</v>
      </c>
      <c r="J2500" s="64" t="n">
        <v>600000</v>
      </c>
      <c r="K2500" s="62" t="s">
        <v>138</v>
      </c>
      <c r="L2500" s="68" t="b">
        <f aca="false">TRUE()</f>
        <v>1</v>
      </c>
    </row>
    <row r="2501" customFormat="false" ht="15" hidden="false" customHeight="false" outlineLevel="0" collapsed="false">
      <c r="A2501" s="62" t="n">
        <v>0</v>
      </c>
      <c r="B2501" s="21" t="s">
        <v>336</v>
      </c>
      <c r="C2501" s="62" t="s">
        <v>60</v>
      </c>
      <c r="D2501" s="62" t="s">
        <v>386</v>
      </c>
      <c r="E2501" s="62" t="s">
        <v>67</v>
      </c>
      <c r="F2501" s="62" t="s">
        <v>382</v>
      </c>
      <c r="G2501" s="63" t="s">
        <v>632</v>
      </c>
      <c r="H2501" s="64" t="n">
        <v>600000000</v>
      </c>
      <c r="I2501" s="62" t="s">
        <v>81</v>
      </c>
      <c r="J2501" s="64" t="n">
        <v>600000</v>
      </c>
      <c r="K2501" s="62" t="s">
        <v>138</v>
      </c>
      <c r="L2501" s="68" t="b">
        <f aca="false">TRUE()</f>
        <v>1</v>
      </c>
    </row>
    <row r="2502" customFormat="false" ht="15" hidden="false" customHeight="false" outlineLevel="0" collapsed="false">
      <c r="A2502" s="62" t="n">
        <v>0</v>
      </c>
      <c r="B2502" s="21" t="s">
        <v>336</v>
      </c>
      <c r="C2502" s="62" t="s">
        <v>60</v>
      </c>
      <c r="D2502" s="62" t="s">
        <v>387</v>
      </c>
      <c r="E2502" s="62" t="s">
        <v>67</v>
      </c>
      <c r="F2502" s="62" t="s">
        <v>382</v>
      </c>
      <c r="G2502" s="63" t="s">
        <v>632</v>
      </c>
      <c r="H2502" s="64" t="n">
        <v>600000000</v>
      </c>
      <c r="I2502" s="62" t="s">
        <v>81</v>
      </c>
      <c r="J2502" s="64" t="n">
        <v>600000</v>
      </c>
      <c r="K2502" s="62" t="s">
        <v>138</v>
      </c>
      <c r="L2502" s="68" t="b">
        <f aca="false">TRUE()</f>
        <v>1</v>
      </c>
    </row>
    <row r="2503" customFormat="false" ht="15" hidden="false" customHeight="false" outlineLevel="0" collapsed="false">
      <c r="A2503" s="62" t="n">
        <v>0</v>
      </c>
      <c r="B2503" s="21" t="s">
        <v>336</v>
      </c>
      <c r="C2503" s="62" t="s">
        <v>60</v>
      </c>
      <c r="D2503" s="62" t="s">
        <v>388</v>
      </c>
      <c r="E2503" s="62" t="s">
        <v>67</v>
      </c>
      <c r="F2503" s="62" t="s">
        <v>382</v>
      </c>
      <c r="G2503" s="63" t="s">
        <v>632</v>
      </c>
      <c r="H2503" s="64" t="n">
        <v>600000000</v>
      </c>
      <c r="I2503" s="62" t="s">
        <v>81</v>
      </c>
      <c r="J2503" s="64" t="n">
        <v>600000</v>
      </c>
      <c r="K2503" s="62" t="s">
        <v>138</v>
      </c>
      <c r="L2503" s="68" t="b">
        <f aca="false">TRUE()</f>
        <v>1</v>
      </c>
    </row>
    <row r="2504" customFormat="false" ht="15" hidden="false" customHeight="false" outlineLevel="0" collapsed="false">
      <c r="A2504" s="62" t="n">
        <v>0</v>
      </c>
      <c r="B2504" s="21" t="s">
        <v>336</v>
      </c>
      <c r="C2504" s="62" t="s">
        <v>60</v>
      </c>
      <c r="D2504" s="62" t="s">
        <v>381</v>
      </c>
      <c r="E2504" s="62" t="s">
        <v>67</v>
      </c>
      <c r="F2504" s="62" t="s">
        <v>382</v>
      </c>
      <c r="G2504" s="63" t="s">
        <v>633</v>
      </c>
      <c r="H2504" s="64" t="n">
        <v>1007100248.63166</v>
      </c>
      <c r="I2504" s="62" t="s">
        <v>81</v>
      </c>
      <c r="J2504" s="64" t="n">
        <v>1007100.24863166</v>
      </c>
      <c r="K2504" s="62" t="s">
        <v>138</v>
      </c>
      <c r="L2504" s="68" t="b">
        <f aca="false">TRUE()</f>
        <v>1</v>
      </c>
    </row>
    <row r="2505" customFormat="false" ht="15" hidden="false" customHeight="false" outlineLevel="0" collapsed="false">
      <c r="A2505" s="62" t="n">
        <v>0</v>
      </c>
      <c r="B2505" s="21" t="s">
        <v>336</v>
      </c>
      <c r="C2505" s="62" t="s">
        <v>60</v>
      </c>
      <c r="D2505" s="62" t="s">
        <v>383</v>
      </c>
      <c r="E2505" s="62" t="s">
        <v>67</v>
      </c>
      <c r="F2505" s="62" t="s">
        <v>382</v>
      </c>
      <c r="G2505" s="63" t="s">
        <v>633</v>
      </c>
      <c r="H2505" s="64" t="n">
        <v>1007100248.63166</v>
      </c>
      <c r="I2505" s="62" t="s">
        <v>81</v>
      </c>
      <c r="J2505" s="64" t="n">
        <v>1007100.24863166</v>
      </c>
      <c r="K2505" s="62" t="s">
        <v>138</v>
      </c>
      <c r="L2505" s="68" t="b">
        <f aca="false">TRUE()</f>
        <v>1</v>
      </c>
    </row>
    <row r="2506" customFormat="false" ht="15" hidden="false" customHeight="false" outlineLevel="0" collapsed="false">
      <c r="A2506" s="62" t="n">
        <v>0</v>
      </c>
      <c r="B2506" s="21" t="s">
        <v>336</v>
      </c>
      <c r="C2506" s="62" t="s">
        <v>60</v>
      </c>
      <c r="D2506" s="62" t="s">
        <v>384</v>
      </c>
      <c r="E2506" s="62" t="s">
        <v>67</v>
      </c>
      <c r="F2506" s="62" t="s">
        <v>382</v>
      </c>
      <c r="G2506" s="63" t="s">
        <v>633</v>
      </c>
      <c r="H2506" s="64" t="n">
        <v>1007100248.63166</v>
      </c>
      <c r="I2506" s="62" t="s">
        <v>81</v>
      </c>
      <c r="J2506" s="64" t="n">
        <v>1007100.24863166</v>
      </c>
      <c r="K2506" s="62" t="s">
        <v>138</v>
      </c>
      <c r="L2506" s="68" t="b">
        <f aca="false">TRUE()</f>
        <v>1</v>
      </c>
    </row>
    <row r="2507" customFormat="false" ht="15" hidden="false" customHeight="false" outlineLevel="0" collapsed="false">
      <c r="A2507" s="62" t="n">
        <v>0</v>
      </c>
      <c r="B2507" s="21" t="s">
        <v>336</v>
      </c>
      <c r="C2507" s="62" t="s">
        <v>60</v>
      </c>
      <c r="D2507" s="62" t="s">
        <v>385</v>
      </c>
      <c r="E2507" s="62" t="s">
        <v>67</v>
      </c>
      <c r="F2507" s="62" t="s">
        <v>382</v>
      </c>
      <c r="G2507" s="63" t="s">
        <v>633</v>
      </c>
      <c r="H2507" s="64" t="n">
        <v>1007100248.63166</v>
      </c>
      <c r="I2507" s="62" t="s">
        <v>81</v>
      </c>
      <c r="J2507" s="64" t="n">
        <v>1007100.24863166</v>
      </c>
      <c r="K2507" s="62" t="s">
        <v>138</v>
      </c>
      <c r="L2507" s="68" t="b">
        <f aca="false">TRUE()</f>
        <v>1</v>
      </c>
    </row>
    <row r="2508" customFormat="false" ht="15" hidden="false" customHeight="false" outlineLevel="0" collapsed="false">
      <c r="A2508" s="62" t="n">
        <v>0</v>
      </c>
      <c r="B2508" s="21" t="s">
        <v>336</v>
      </c>
      <c r="C2508" s="62" t="s">
        <v>60</v>
      </c>
      <c r="D2508" s="62" t="s">
        <v>386</v>
      </c>
      <c r="E2508" s="62" t="s">
        <v>67</v>
      </c>
      <c r="F2508" s="62" t="s">
        <v>382</v>
      </c>
      <c r="G2508" s="63" t="s">
        <v>633</v>
      </c>
      <c r="H2508" s="64" t="n">
        <v>1007100248.63166</v>
      </c>
      <c r="I2508" s="62" t="s">
        <v>81</v>
      </c>
      <c r="J2508" s="64" t="n">
        <v>1007100.24863166</v>
      </c>
      <c r="K2508" s="62" t="s">
        <v>138</v>
      </c>
      <c r="L2508" s="68" t="b">
        <f aca="false">TRUE()</f>
        <v>1</v>
      </c>
    </row>
    <row r="2509" customFormat="false" ht="15" hidden="false" customHeight="false" outlineLevel="0" collapsed="false">
      <c r="A2509" s="62" t="n">
        <v>0</v>
      </c>
      <c r="B2509" s="21" t="s">
        <v>336</v>
      </c>
      <c r="C2509" s="62" t="s">
        <v>60</v>
      </c>
      <c r="D2509" s="62" t="s">
        <v>387</v>
      </c>
      <c r="E2509" s="62" t="s">
        <v>67</v>
      </c>
      <c r="F2509" s="62" t="s">
        <v>382</v>
      </c>
      <c r="G2509" s="63" t="s">
        <v>633</v>
      </c>
      <c r="H2509" s="64" t="n">
        <v>1007100248.63166</v>
      </c>
      <c r="I2509" s="62" t="s">
        <v>81</v>
      </c>
      <c r="J2509" s="64" t="n">
        <v>1007100.24863166</v>
      </c>
      <c r="K2509" s="62" t="s">
        <v>138</v>
      </c>
      <c r="L2509" s="68" t="b">
        <f aca="false">TRUE()</f>
        <v>1</v>
      </c>
    </row>
    <row r="2510" customFormat="false" ht="15" hidden="false" customHeight="false" outlineLevel="0" collapsed="false">
      <c r="A2510" s="62" t="n">
        <v>0</v>
      </c>
      <c r="B2510" s="21" t="s">
        <v>336</v>
      </c>
      <c r="C2510" s="62" t="s">
        <v>60</v>
      </c>
      <c r="D2510" s="62" t="s">
        <v>388</v>
      </c>
      <c r="E2510" s="62" t="s">
        <v>67</v>
      </c>
      <c r="F2510" s="62" t="s">
        <v>382</v>
      </c>
      <c r="G2510" s="63" t="s">
        <v>633</v>
      </c>
      <c r="H2510" s="64" t="n">
        <v>1007100248.63166</v>
      </c>
      <c r="I2510" s="62" t="s">
        <v>81</v>
      </c>
      <c r="J2510" s="64" t="n">
        <v>1007100.24863166</v>
      </c>
      <c r="K2510" s="62" t="s">
        <v>138</v>
      </c>
      <c r="L2510" s="68" t="b">
        <f aca="false">TRUE()</f>
        <v>1</v>
      </c>
    </row>
    <row r="2511" customFormat="false" ht="15" hidden="false" customHeight="false" outlineLevel="0" collapsed="false">
      <c r="A2511" s="62" t="n">
        <v>0</v>
      </c>
      <c r="B2511" s="21" t="s">
        <v>336</v>
      </c>
      <c r="C2511" s="62" t="s">
        <v>60</v>
      </c>
      <c r="D2511" s="62" t="s">
        <v>381</v>
      </c>
      <c r="E2511" s="62" t="s">
        <v>71</v>
      </c>
      <c r="F2511" s="62" t="s">
        <v>382</v>
      </c>
      <c r="G2511" s="63" t="s">
        <v>625</v>
      </c>
      <c r="H2511" s="64" t="n">
        <v>9012500000</v>
      </c>
      <c r="I2511" s="62" t="s">
        <v>81</v>
      </c>
      <c r="J2511" s="64" t="n">
        <v>9012500</v>
      </c>
      <c r="K2511" s="62" t="s">
        <v>138</v>
      </c>
      <c r="L2511" s="68" t="b">
        <f aca="false">TRUE()</f>
        <v>1</v>
      </c>
    </row>
    <row r="2512" customFormat="false" ht="15" hidden="false" customHeight="false" outlineLevel="0" collapsed="false">
      <c r="A2512" s="62" t="n">
        <v>0</v>
      </c>
      <c r="B2512" s="21" t="s">
        <v>336</v>
      </c>
      <c r="C2512" s="62" t="s">
        <v>60</v>
      </c>
      <c r="D2512" s="62" t="s">
        <v>383</v>
      </c>
      <c r="E2512" s="62" t="s">
        <v>71</v>
      </c>
      <c r="F2512" s="62" t="s">
        <v>382</v>
      </c>
      <c r="G2512" s="63" t="s">
        <v>625</v>
      </c>
      <c r="H2512" s="64" t="n">
        <v>9012500000</v>
      </c>
      <c r="I2512" s="62" t="s">
        <v>81</v>
      </c>
      <c r="J2512" s="64" t="n">
        <v>9012500</v>
      </c>
      <c r="K2512" s="62" t="s">
        <v>138</v>
      </c>
      <c r="L2512" s="68" t="b">
        <f aca="false">TRUE()</f>
        <v>1</v>
      </c>
    </row>
    <row r="2513" customFormat="false" ht="15" hidden="false" customHeight="false" outlineLevel="0" collapsed="false">
      <c r="A2513" s="62" t="n">
        <v>0</v>
      </c>
      <c r="B2513" s="21" t="s">
        <v>336</v>
      </c>
      <c r="C2513" s="62" t="s">
        <v>60</v>
      </c>
      <c r="D2513" s="62" t="s">
        <v>384</v>
      </c>
      <c r="E2513" s="62" t="s">
        <v>71</v>
      </c>
      <c r="F2513" s="62" t="s">
        <v>382</v>
      </c>
      <c r="G2513" s="63" t="s">
        <v>625</v>
      </c>
      <c r="H2513" s="64" t="n">
        <v>9012500000</v>
      </c>
      <c r="I2513" s="62" t="s">
        <v>81</v>
      </c>
      <c r="J2513" s="64" t="n">
        <v>9012500</v>
      </c>
      <c r="K2513" s="62" t="s">
        <v>138</v>
      </c>
      <c r="L2513" s="68" t="b">
        <f aca="false">TRUE()</f>
        <v>1</v>
      </c>
    </row>
    <row r="2514" customFormat="false" ht="15" hidden="false" customHeight="false" outlineLevel="0" collapsed="false">
      <c r="A2514" s="62" t="n">
        <v>0</v>
      </c>
      <c r="B2514" s="21" t="s">
        <v>336</v>
      </c>
      <c r="C2514" s="62" t="s">
        <v>60</v>
      </c>
      <c r="D2514" s="62" t="s">
        <v>385</v>
      </c>
      <c r="E2514" s="62" t="s">
        <v>71</v>
      </c>
      <c r="F2514" s="62" t="s">
        <v>382</v>
      </c>
      <c r="G2514" s="63" t="s">
        <v>625</v>
      </c>
      <c r="H2514" s="64" t="n">
        <v>9012500000</v>
      </c>
      <c r="I2514" s="62" t="s">
        <v>81</v>
      </c>
      <c r="J2514" s="64" t="n">
        <v>9012500</v>
      </c>
      <c r="K2514" s="62" t="s">
        <v>138</v>
      </c>
      <c r="L2514" s="68" t="b">
        <f aca="false">TRUE()</f>
        <v>1</v>
      </c>
    </row>
    <row r="2515" customFormat="false" ht="15" hidden="false" customHeight="false" outlineLevel="0" collapsed="false">
      <c r="A2515" s="62" t="n">
        <v>0</v>
      </c>
      <c r="B2515" s="21" t="s">
        <v>336</v>
      </c>
      <c r="C2515" s="62" t="s">
        <v>60</v>
      </c>
      <c r="D2515" s="62" t="s">
        <v>386</v>
      </c>
      <c r="E2515" s="62" t="s">
        <v>71</v>
      </c>
      <c r="F2515" s="62" t="s">
        <v>382</v>
      </c>
      <c r="G2515" s="63" t="s">
        <v>625</v>
      </c>
      <c r="H2515" s="64" t="n">
        <v>9012500000</v>
      </c>
      <c r="I2515" s="62" t="s">
        <v>81</v>
      </c>
      <c r="J2515" s="64" t="n">
        <v>9012500</v>
      </c>
      <c r="K2515" s="62" t="s">
        <v>138</v>
      </c>
      <c r="L2515" s="68" t="b">
        <f aca="false">TRUE()</f>
        <v>1</v>
      </c>
    </row>
    <row r="2516" customFormat="false" ht="15" hidden="false" customHeight="false" outlineLevel="0" collapsed="false">
      <c r="A2516" s="62" t="n">
        <v>0</v>
      </c>
      <c r="B2516" s="21" t="s">
        <v>336</v>
      </c>
      <c r="C2516" s="62" t="s">
        <v>60</v>
      </c>
      <c r="D2516" s="62" t="s">
        <v>387</v>
      </c>
      <c r="E2516" s="62" t="s">
        <v>71</v>
      </c>
      <c r="F2516" s="62" t="s">
        <v>382</v>
      </c>
      <c r="G2516" s="63" t="s">
        <v>625</v>
      </c>
      <c r="H2516" s="64" t="n">
        <v>9012500000</v>
      </c>
      <c r="I2516" s="62" t="s">
        <v>81</v>
      </c>
      <c r="J2516" s="64" t="n">
        <v>9012500</v>
      </c>
      <c r="K2516" s="62" t="s">
        <v>138</v>
      </c>
      <c r="L2516" s="68" t="b">
        <f aca="false">TRUE()</f>
        <v>1</v>
      </c>
    </row>
    <row r="2517" customFormat="false" ht="15" hidden="false" customHeight="false" outlineLevel="0" collapsed="false">
      <c r="A2517" s="62" t="n">
        <v>0</v>
      </c>
      <c r="B2517" s="21" t="s">
        <v>336</v>
      </c>
      <c r="C2517" s="62" t="s">
        <v>60</v>
      </c>
      <c r="D2517" s="62" t="s">
        <v>388</v>
      </c>
      <c r="E2517" s="62" t="s">
        <v>71</v>
      </c>
      <c r="F2517" s="62" t="s">
        <v>382</v>
      </c>
      <c r="G2517" s="63" t="s">
        <v>625</v>
      </c>
      <c r="H2517" s="64" t="n">
        <v>9012500000</v>
      </c>
      <c r="I2517" s="62" t="s">
        <v>81</v>
      </c>
      <c r="J2517" s="64" t="n">
        <v>9012500</v>
      </c>
      <c r="K2517" s="62" t="s">
        <v>138</v>
      </c>
      <c r="L2517" s="68" t="b">
        <f aca="false">TRUE()</f>
        <v>1</v>
      </c>
    </row>
    <row r="2518" customFormat="false" ht="15" hidden="false" customHeight="false" outlineLevel="0" collapsed="false">
      <c r="A2518" s="62" t="n">
        <v>0</v>
      </c>
      <c r="B2518" s="21" t="s">
        <v>336</v>
      </c>
      <c r="C2518" s="62" t="s">
        <v>60</v>
      </c>
      <c r="D2518" s="62" t="s">
        <v>381</v>
      </c>
      <c r="E2518" s="62" t="s">
        <v>71</v>
      </c>
      <c r="F2518" s="62" t="s">
        <v>382</v>
      </c>
      <c r="G2518" s="63" t="s">
        <v>626</v>
      </c>
      <c r="H2518" s="64" t="n">
        <v>6261330566.95054</v>
      </c>
      <c r="I2518" s="62" t="s">
        <v>81</v>
      </c>
      <c r="J2518" s="64" t="n">
        <v>6261330.56695054</v>
      </c>
      <c r="K2518" s="62" t="s">
        <v>138</v>
      </c>
      <c r="L2518" s="68" t="b">
        <f aca="false">TRUE()</f>
        <v>1</v>
      </c>
    </row>
    <row r="2519" customFormat="false" ht="15" hidden="false" customHeight="false" outlineLevel="0" collapsed="false">
      <c r="A2519" s="62" t="n">
        <v>0</v>
      </c>
      <c r="B2519" s="21" t="s">
        <v>336</v>
      </c>
      <c r="C2519" s="62" t="s">
        <v>60</v>
      </c>
      <c r="D2519" s="62" t="s">
        <v>383</v>
      </c>
      <c r="E2519" s="62" t="s">
        <v>71</v>
      </c>
      <c r="F2519" s="62" t="s">
        <v>382</v>
      </c>
      <c r="G2519" s="63" t="s">
        <v>626</v>
      </c>
      <c r="H2519" s="64" t="n">
        <v>6261330566.95054</v>
      </c>
      <c r="I2519" s="62" t="s">
        <v>81</v>
      </c>
      <c r="J2519" s="64" t="n">
        <v>6261330.56695054</v>
      </c>
      <c r="K2519" s="62" t="s">
        <v>138</v>
      </c>
      <c r="L2519" s="68" t="b">
        <f aca="false">TRUE()</f>
        <v>1</v>
      </c>
    </row>
    <row r="2520" customFormat="false" ht="15" hidden="false" customHeight="false" outlineLevel="0" collapsed="false">
      <c r="A2520" s="62" t="n">
        <v>0</v>
      </c>
      <c r="B2520" s="21" t="s">
        <v>336</v>
      </c>
      <c r="C2520" s="62" t="s">
        <v>60</v>
      </c>
      <c r="D2520" s="62" t="s">
        <v>384</v>
      </c>
      <c r="E2520" s="62" t="s">
        <v>71</v>
      </c>
      <c r="F2520" s="62" t="s">
        <v>382</v>
      </c>
      <c r="G2520" s="63" t="s">
        <v>626</v>
      </c>
      <c r="H2520" s="64" t="n">
        <v>6261330566.95054</v>
      </c>
      <c r="I2520" s="62" t="s">
        <v>81</v>
      </c>
      <c r="J2520" s="64" t="n">
        <v>6261330.56695054</v>
      </c>
      <c r="K2520" s="62" t="s">
        <v>138</v>
      </c>
      <c r="L2520" s="68" t="b">
        <f aca="false">TRUE()</f>
        <v>1</v>
      </c>
    </row>
    <row r="2521" customFormat="false" ht="15" hidden="false" customHeight="false" outlineLevel="0" collapsed="false">
      <c r="A2521" s="62" t="n">
        <v>0</v>
      </c>
      <c r="B2521" s="21" t="s">
        <v>336</v>
      </c>
      <c r="C2521" s="62" t="s">
        <v>60</v>
      </c>
      <c r="D2521" s="62" t="s">
        <v>385</v>
      </c>
      <c r="E2521" s="62" t="s">
        <v>71</v>
      </c>
      <c r="F2521" s="62" t="s">
        <v>382</v>
      </c>
      <c r="G2521" s="63" t="s">
        <v>626</v>
      </c>
      <c r="H2521" s="64" t="n">
        <v>6261330566.95054</v>
      </c>
      <c r="I2521" s="62" t="s">
        <v>81</v>
      </c>
      <c r="J2521" s="64" t="n">
        <v>6261330.56695054</v>
      </c>
      <c r="K2521" s="62" t="s">
        <v>138</v>
      </c>
      <c r="L2521" s="68" t="b">
        <f aca="false">TRUE()</f>
        <v>1</v>
      </c>
    </row>
    <row r="2522" customFormat="false" ht="15" hidden="false" customHeight="false" outlineLevel="0" collapsed="false">
      <c r="A2522" s="62" t="n">
        <v>0</v>
      </c>
      <c r="B2522" s="21" t="s">
        <v>336</v>
      </c>
      <c r="C2522" s="62" t="s">
        <v>60</v>
      </c>
      <c r="D2522" s="62" t="s">
        <v>386</v>
      </c>
      <c r="E2522" s="62" t="s">
        <v>71</v>
      </c>
      <c r="F2522" s="62" t="s">
        <v>382</v>
      </c>
      <c r="G2522" s="63" t="s">
        <v>626</v>
      </c>
      <c r="H2522" s="64" t="n">
        <v>6261330566.95054</v>
      </c>
      <c r="I2522" s="62" t="s">
        <v>81</v>
      </c>
      <c r="J2522" s="64" t="n">
        <v>6261330.56695054</v>
      </c>
      <c r="K2522" s="62" t="s">
        <v>138</v>
      </c>
      <c r="L2522" s="68" t="b">
        <f aca="false">TRUE()</f>
        <v>1</v>
      </c>
    </row>
    <row r="2523" customFormat="false" ht="15" hidden="false" customHeight="false" outlineLevel="0" collapsed="false">
      <c r="A2523" s="62" t="n">
        <v>0</v>
      </c>
      <c r="B2523" s="21" t="s">
        <v>336</v>
      </c>
      <c r="C2523" s="62" t="s">
        <v>60</v>
      </c>
      <c r="D2523" s="62" t="s">
        <v>387</v>
      </c>
      <c r="E2523" s="62" t="s">
        <v>71</v>
      </c>
      <c r="F2523" s="62" t="s">
        <v>382</v>
      </c>
      <c r="G2523" s="63" t="s">
        <v>626</v>
      </c>
      <c r="H2523" s="64" t="n">
        <v>6261330566.95054</v>
      </c>
      <c r="I2523" s="62" t="s">
        <v>81</v>
      </c>
      <c r="J2523" s="64" t="n">
        <v>6261330.56695054</v>
      </c>
      <c r="K2523" s="62" t="s">
        <v>138</v>
      </c>
      <c r="L2523" s="68" t="b">
        <f aca="false">TRUE()</f>
        <v>1</v>
      </c>
    </row>
    <row r="2524" customFormat="false" ht="15" hidden="false" customHeight="false" outlineLevel="0" collapsed="false">
      <c r="A2524" s="62" t="n">
        <v>0</v>
      </c>
      <c r="B2524" s="21" t="s">
        <v>336</v>
      </c>
      <c r="C2524" s="62" t="s">
        <v>60</v>
      </c>
      <c r="D2524" s="62" t="s">
        <v>388</v>
      </c>
      <c r="E2524" s="62" t="s">
        <v>71</v>
      </c>
      <c r="F2524" s="62" t="s">
        <v>382</v>
      </c>
      <c r="G2524" s="63" t="s">
        <v>626</v>
      </c>
      <c r="H2524" s="64" t="n">
        <v>6261330566.95054</v>
      </c>
      <c r="I2524" s="62" t="s">
        <v>81</v>
      </c>
      <c r="J2524" s="64" t="n">
        <v>6261330.56695054</v>
      </c>
      <c r="K2524" s="62" t="s">
        <v>138</v>
      </c>
      <c r="L2524" s="68" t="b">
        <f aca="false">TRUE()</f>
        <v>1</v>
      </c>
    </row>
    <row r="2525" customFormat="false" ht="15" hidden="false" customHeight="false" outlineLevel="0" collapsed="false">
      <c r="A2525" s="62" t="n">
        <v>0</v>
      </c>
      <c r="B2525" s="21" t="s">
        <v>336</v>
      </c>
      <c r="C2525" s="62" t="s">
        <v>60</v>
      </c>
      <c r="D2525" s="62" t="s">
        <v>381</v>
      </c>
      <c r="E2525" s="62" t="s">
        <v>71</v>
      </c>
      <c r="F2525" s="62" t="s">
        <v>382</v>
      </c>
      <c r="G2525" s="63" t="s">
        <v>627</v>
      </c>
      <c r="H2525" s="64" t="n">
        <v>0</v>
      </c>
      <c r="I2525" s="62" t="s">
        <v>81</v>
      </c>
      <c r="J2525" s="64" t="n">
        <v>0</v>
      </c>
      <c r="K2525" s="62" t="s">
        <v>138</v>
      </c>
      <c r="L2525" s="68" t="b">
        <f aca="false">TRUE()</f>
        <v>1</v>
      </c>
    </row>
    <row r="2526" customFormat="false" ht="15" hidden="false" customHeight="false" outlineLevel="0" collapsed="false">
      <c r="A2526" s="62" t="n">
        <v>0</v>
      </c>
      <c r="B2526" s="21" t="s">
        <v>336</v>
      </c>
      <c r="C2526" s="62" t="s">
        <v>60</v>
      </c>
      <c r="D2526" s="62" t="s">
        <v>383</v>
      </c>
      <c r="E2526" s="62" t="s">
        <v>71</v>
      </c>
      <c r="F2526" s="62" t="s">
        <v>382</v>
      </c>
      <c r="G2526" s="63" t="s">
        <v>627</v>
      </c>
      <c r="H2526" s="64" t="n">
        <v>0</v>
      </c>
      <c r="I2526" s="62" t="s">
        <v>81</v>
      </c>
      <c r="J2526" s="64" t="n">
        <v>0</v>
      </c>
      <c r="K2526" s="62" t="s">
        <v>138</v>
      </c>
      <c r="L2526" s="68" t="b">
        <f aca="false">TRUE()</f>
        <v>1</v>
      </c>
    </row>
    <row r="2527" customFormat="false" ht="15" hidden="false" customHeight="false" outlineLevel="0" collapsed="false">
      <c r="A2527" s="62" t="n">
        <v>0</v>
      </c>
      <c r="B2527" s="21" t="s">
        <v>336</v>
      </c>
      <c r="C2527" s="62" t="s">
        <v>60</v>
      </c>
      <c r="D2527" s="62" t="s">
        <v>384</v>
      </c>
      <c r="E2527" s="62" t="s">
        <v>71</v>
      </c>
      <c r="F2527" s="62" t="s">
        <v>382</v>
      </c>
      <c r="G2527" s="63" t="s">
        <v>627</v>
      </c>
      <c r="H2527" s="64" t="n">
        <v>0</v>
      </c>
      <c r="I2527" s="62" t="s">
        <v>81</v>
      </c>
      <c r="J2527" s="64" t="n">
        <v>0</v>
      </c>
      <c r="K2527" s="62" t="s">
        <v>138</v>
      </c>
      <c r="L2527" s="68" t="b">
        <f aca="false">TRUE()</f>
        <v>1</v>
      </c>
    </row>
    <row r="2528" customFormat="false" ht="15" hidden="false" customHeight="false" outlineLevel="0" collapsed="false">
      <c r="A2528" s="62" t="n">
        <v>0</v>
      </c>
      <c r="B2528" s="21" t="s">
        <v>336</v>
      </c>
      <c r="C2528" s="62" t="s">
        <v>60</v>
      </c>
      <c r="D2528" s="62" t="s">
        <v>385</v>
      </c>
      <c r="E2528" s="62" t="s">
        <v>71</v>
      </c>
      <c r="F2528" s="62" t="s">
        <v>382</v>
      </c>
      <c r="G2528" s="63" t="s">
        <v>627</v>
      </c>
      <c r="H2528" s="64" t="n">
        <v>0</v>
      </c>
      <c r="I2528" s="62" t="s">
        <v>81</v>
      </c>
      <c r="J2528" s="64" t="n">
        <v>0</v>
      </c>
      <c r="K2528" s="62" t="s">
        <v>138</v>
      </c>
      <c r="L2528" s="68" t="b">
        <f aca="false">TRUE()</f>
        <v>1</v>
      </c>
    </row>
    <row r="2529" customFormat="false" ht="15" hidden="false" customHeight="false" outlineLevel="0" collapsed="false">
      <c r="A2529" s="62" t="n">
        <v>0</v>
      </c>
      <c r="B2529" s="21" t="s">
        <v>336</v>
      </c>
      <c r="C2529" s="62" t="s">
        <v>60</v>
      </c>
      <c r="D2529" s="62" t="s">
        <v>386</v>
      </c>
      <c r="E2529" s="62" t="s">
        <v>71</v>
      </c>
      <c r="F2529" s="62" t="s">
        <v>382</v>
      </c>
      <c r="G2529" s="63" t="s">
        <v>627</v>
      </c>
      <c r="H2529" s="64" t="n">
        <v>0</v>
      </c>
      <c r="I2529" s="62" t="s">
        <v>81</v>
      </c>
      <c r="J2529" s="64" t="n">
        <v>0</v>
      </c>
      <c r="K2529" s="62" t="s">
        <v>138</v>
      </c>
      <c r="L2529" s="68" t="b">
        <f aca="false">TRUE()</f>
        <v>1</v>
      </c>
    </row>
    <row r="2530" customFormat="false" ht="15" hidden="false" customHeight="false" outlineLevel="0" collapsed="false">
      <c r="A2530" s="62" t="n">
        <v>0</v>
      </c>
      <c r="B2530" s="21" t="s">
        <v>336</v>
      </c>
      <c r="C2530" s="62" t="s">
        <v>60</v>
      </c>
      <c r="D2530" s="62" t="s">
        <v>387</v>
      </c>
      <c r="E2530" s="62" t="s">
        <v>71</v>
      </c>
      <c r="F2530" s="62" t="s">
        <v>382</v>
      </c>
      <c r="G2530" s="63" t="s">
        <v>627</v>
      </c>
      <c r="H2530" s="64" t="n">
        <v>0</v>
      </c>
      <c r="I2530" s="62" t="s">
        <v>81</v>
      </c>
      <c r="J2530" s="64" t="n">
        <v>0</v>
      </c>
      <c r="K2530" s="62" t="s">
        <v>138</v>
      </c>
      <c r="L2530" s="68" t="b">
        <f aca="false">TRUE()</f>
        <v>1</v>
      </c>
    </row>
    <row r="2531" customFormat="false" ht="15" hidden="false" customHeight="false" outlineLevel="0" collapsed="false">
      <c r="A2531" s="62" t="n">
        <v>0</v>
      </c>
      <c r="B2531" s="21" t="s">
        <v>336</v>
      </c>
      <c r="C2531" s="62" t="s">
        <v>60</v>
      </c>
      <c r="D2531" s="62" t="s">
        <v>388</v>
      </c>
      <c r="E2531" s="62" t="s">
        <v>71</v>
      </c>
      <c r="F2531" s="62" t="s">
        <v>382</v>
      </c>
      <c r="G2531" s="63" t="s">
        <v>627</v>
      </c>
      <c r="H2531" s="64" t="n">
        <v>0</v>
      </c>
      <c r="I2531" s="62" t="s">
        <v>81</v>
      </c>
      <c r="J2531" s="64" t="n">
        <v>0</v>
      </c>
      <c r="K2531" s="62" t="s">
        <v>138</v>
      </c>
      <c r="L2531" s="68" t="b">
        <f aca="false">TRUE()</f>
        <v>1</v>
      </c>
    </row>
    <row r="2532" customFormat="false" ht="15" hidden="false" customHeight="false" outlineLevel="0" collapsed="false">
      <c r="A2532" s="62" t="n">
        <v>0</v>
      </c>
      <c r="B2532" s="21" t="s">
        <v>336</v>
      </c>
      <c r="C2532" s="62" t="s">
        <v>60</v>
      </c>
      <c r="D2532" s="62" t="s">
        <v>381</v>
      </c>
      <c r="E2532" s="62" t="s">
        <v>71</v>
      </c>
      <c r="F2532" s="62" t="s">
        <v>382</v>
      </c>
      <c r="G2532" s="63" t="s">
        <v>628</v>
      </c>
      <c r="H2532" s="64" t="n">
        <v>0</v>
      </c>
      <c r="I2532" s="62" t="s">
        <v>81</v>
      </c>
      <c r="J2532" s="64" t="n">
        <v>0</v>
      </c>
      <c r="K2532" s="62" t="s">
        <v>138</v>
      </c>
      <c r="L2532" s="68" t="b">
        <f aca="false">TRUE()</f>
        <v>1</v>
      </c>
    </row>
    <row r="2533" customFormat="false" ht="15" hidden="false" customHeight="false" outlineLevel="0" collapsed="false">
      <c r="A2533" s="62" t="n">
        <v>0</v>
      </c>
      <c r="B2533" s="21" t="s">
        <v>336</v>
      </c>
      <c r="C2533" s="62" t="s">
        <v>60</v>
      </c>
      <c r="D2533" s="62" t="s">
        <v>383</v>
      </c>
      <c r="E2533" s="62" t="s">
        <v>71</v>
      </c>
      <c r="F2533" s="62" t="s">
        <v>382</v>
      </c>
      <c r="G2533" s="63" t="s">
        <v>628</v>
      </c>
      <c r="H2533" s="64" t="n">
        <v>0</v>
      </c>
      <c r="I2533" s="62" t="s">
        <v>81</v>
      </c>
      <c r="J2533" s="64" t="n">
        <v>0</v>
      </c>
      <c r="K2533" s="62" t="s">
        <v>138</v>
      </c>
      <c r="L2533" s="68" t="b">
        <f aca="false">TRUE()</f>
        <v>1</v>
      </c>
    </row>
    <row r="2534" customFormat="false" ht="15" hidden="false" customHeight="false" outlineLevel="0" collapsed="false">
      <c r="A2534" s="62" t="n">
        <v>0</v>
      </c>
      <c r="B2534" s="21" t="s">
        <v>336</v>
      </c>
      <c r="C2534" s="62" t="s">
        <v>60</v>
      </c>
      <c r="D2534" s="62" t="s">
        <v>384</v>
      </c>
      <c r="E2534" s="62" t="s">
        <v>71</v>
      </c>
      <c r="F2534" s="62" t="s">
        <v>382</v>
      </c>
      <c r="G2534" s="63" t="s">
        <v>628</v>
      </c>
      <c r="H2534" s="64" t="n">
        <v>0</v>
      </c>
      <c r="I2534" s="62" t="s">
        <v>81</v>
      </c>
      <c r="J2534" s="64" t="n">
        <v>0</v>
      </c>
      <c r="K2534" s="62" t="s">
        <v>138</v>
      </c>
      <c r="L2534" s="68" t="b">
        <f aca="false">TRUE()</f>
        <v>1</v>
      </c>
    </row>
    <row r="2535" customFormat="false" ht="15" hidden="false" customHeight="false" outlineLevel="0" collapsed="false">
      <c r="A2535" s="62" t="n">
        <v>0</v>
      </c>
      <c r="B2535" s="21" t="s">
        <v>336</v>
      </c>
      <c r="C2535" s="62" t="s">
        <v>60</v>
      </c>
      <c r="D2535" s="62" t="s">
        <v>385</v>
      </c>
      <c r="E2535" s="62" t="s">
        <v>71</v>
      </c>
      <c r="F2535" s="62" t="s">
        <v>382</v>
      </c>
      <c r="G2535" s="63" t="s">
        <v>628</v>
      </c>
      <c r="H2535" s="64" t="n">
        <v>0</v>
      </c>
      <c r="I2535" s="62" t="s">
        <v>81</v>
      </c>
      <c r="J2535" s="64" t="n">
        <v>0</v>
      </c>
      <c r="K2535" s="62" t="s">
        <v>138</v>
      </c>
      <c r="L2535" s="68" t="b">
        <f aca="false">TRUE()</f>
        <v>1</v>
      </c>
    </row>
    <row r="2536" customFormat="false" ht="15" hidden="false" customHeight="false" outlineLevel="0" collapsed="false">
      <c r="A2536" s="62" t="n">
        <v>0</v>
      </c>
      <c r="B2536" s="21" t="s">
        <v>336</v>
      </c>
      <c r="C2536" s="62" t="s">
        <v>60</v>
      </c>
      <c r="D2536" s="62" t="s">
        <v>386</v>
      </c>
      <c r="E2536" s="62" t="s">
        <v>71</v>
      </c>
      <c r="F2536" s="62" t="s">
        <v>382</v>
      </c>
      <c r="G2536" s="63" t="s">
        <v>628</v>
      </c>
      <c r="H2536" s="64" t="n">
        <v>0</v>
      </c>
      <c r="I2536" s="62" t="s">
        <v>81</v>
      </c>
      <c r="J2536" s="64" t="n">
        <v>0</v>
      </c>
      <c r="K2536" s="62" t="s">
        <v>138</v>
      </c>
      <c r="L2536" s="68" t="b">
        <f aca="false">TRUE()</f>
        <v>1</v>
      </c>
    </row>
    <row r="2537" customFormat="false" ht="15" hidden="false" customHeight="false" outlineLevel="0" collapsed="false">
      <c r="A2537" s="62" t="n">
        <v>0</v>
      </c>
      <c r="B2537" s="21" t="s">
        <v>336</v>
      </c>
      <c r="C2537" s="62" t="s">
        <v>60</v>
      </c>
      <c r="D2537" s="62" t="s">
        <v>387</v>
      </c>
      <c r="E2537" s="62" t="s">
        <v>71</v>
      </c>
      <c r="F2537" s="62" t="s">
        <v>382</v>
      </c>
      <c r="G2537" s="63" t="s">
        <v>628</v>
      </c>
      <c r="H2537" s="64" t="n">
        <v>0</v>
      </c>
      <c r="I2537" s="62" t="s">
        <v>81</v>
      </c>
      <c r="J2537" s="64" t="n">
        <v>0</v>
      </c>
      <c r="K2537" s="62" t="s">
        <v>138</v>
      </c>
      <c r="L2537" s="68" t="b">
        <f aca="false">TRUE()</f>
        <v>1</v>
      </c>
    </row>
    <row r="2538" customFormat="false" ht="15" hidden="false" customHeight="false" outlineLevel="0" collapsed="false">
      <c r="A2538" s="62" t="n">
        <v>0</v>
      </c>
      <c r="B2538" s="21" t="s">
        <v>336</v>
      </c>
      <c r="C2538" s="62" t="s">
        <v>60</v>
      </c>
      <c r="D2538" s="62" t="s">
        <v>388</v>
      </c>
      <c r="E2538" s="62" t="s">
        <v>71</v>
      </c>
      <c r="F2538" s="62" t="s">
        <v>382</v>
      </c>
      <c r="G2538" s="63" t="s">
        <v>628</v>
      </c>
      <c r="H2538" s="64" t="n">
        <v>0</v>
      </c>
      <c r="I2538" s="62" t="s">
        <v>81</v>
      </c>
      <c r="J2538" s="64" t="n">
        <v>0</v>
      </c>
      <c r="K2538" s="62" t="s">
        <v>138</v>
      </c>
      <c r="L2538" s="68" t="b">
        <f aca="false">TRUE()</f>
        <v>1</v>
      </c>
    </row>
    <row r="2539" customFormat="false" ht="15" hidden="false" customHeight="false" outlineLevel="0" collapsed="false">
      <c r="A2539" s="62" t="n">
        <v>0</v>
      </c>
      <c r="B2539" s="21" t="s">
        <v>336</v>
      </c>
      <c r="C2539" s="62" t="s">
        <v>60</v>
      </c>
      <c r="D2539" s="62" t="s">
        <v>381</v>
      </c>
      <c r="E2539" s="62" t="s">
        <v>71</v>
      </c>
      <c r="F2539" s="62" t="s">
        <v>382</v>
      </c>
      <c r="G2539" s="63" t="s">
        <v>629</v>
      </c>
      <c r="H2539" s="64" t="n">
        <v>1339000000</v>
      </c>
      <c r="I2539" s="62" t="s">
        <v>81</v>
      </c>
      <c r="J2539" s="64" t="n">
        <v>1339000</v>
      </c>
      <c r="K2539" s="62" t="s">
        <v>138</v>
      </c>
      <c r="L2539" s="68" t="b">
        <f aca="false">TRUE()</f>
        <v>1</v>
      </c>
    </row>
    <row r="2540" customFormat="false" ht="15" hidden="false" customHeight="false" outlineLevel="0" collapsed="false">
      <c r="A2540" s="62" t="n">
        <v>0</v>
      </c>
      <c r="B2540" s="21" t="s">
        <v>336</v>
      </c>
      <c r="C2540" s="62" t="s">
        <v>60</v>
      </c>
      <c r="D2540" s="62" t="s">
        <v>383</v>
      </c>
      <c r="E2540" s="62" t="s">
        <v>71</v>
      </c>
      <c r="F2540" s="62" t="s">
        <v>382</v>
      </c>
      <c r="G2540" s="63" t="s">
        <v>629</v>
      </c>
      <c r="H2540" s="64" t="n">
        <v>1339000000</v>
      </c>
      <c r="I2540" s="62" t="s">
        <v>81</v>
      </c>
      <c r="J2540" s="64" t="n">
        <v>1339000</v>
      </c>
      <c r="K2540" s="62" t="s">
        <v>138</v>
      </c>
      <c r="L2540" s="68" t="b">
        <f aca="false">TRUE()</f>
        <v>1</v>
      </c>
    </row>
    <row r="2541" customFormat="false" ht="15" hidden="false" customHeight="false" outlineLevel="0" collapsed="false">
      <c r="A2541" s="62" t="n">
        <v>0</v>
      </c>
      <c r="B2541" s="21" t="s">
        <v>336</v>
      </c>
      <c r="C2541" s="62" t="s">
        <v>60</v>
      </c>
      <c r="D2541" s="62" t="s">
        <v>384</v>
      </c>
      <c r="E2541" s="62" t="s">
        <v>71</v>
      </c>
      <c r="F2541" s="62" t="s">
        <v>382</v>
      </c>
      <c r="G2541" s="63" t="s">
        <v>629</v>
      </c>
      <c r="H2541" s="64" t="n">
        <v>1339000000</v>
      </c>
      <c r="I2541" s="62" t="s">
        <v>81</v>
      </c>
      <c r="J2541" s="64" t="n">
        <v>1339000</v>
      </c>
      <c r="K2541" s="62" t="s">
        <v>138</v>
      </c>
      <c r="L2541" s="68" t="b">
        <f aca="false">TRUE()</f>
        <v>1</v>
      </c>
    </row>
    <row r="2542" customFormat="false" ht="15" hidden="false" customHeight="false" outlineLevel="0" collapsed="false">
      <c r="A2542" s="62" t="n">
        <v>0</v>
      </c>
      <c r="B2542" s="21" t="s">
        <v>336</v>
      </c>
      <c r="C2542" s="62" t="s">
        <v>60</v>
      </c>
      <c r="D2542" s="62" t="s">
        <v>385</v>
      </c>
      <c r="E2542" s="62" t="s">
        <v>71</v>
      </c>
      <c r="F2542" s="62" t="s">
        <v>382</v>
      </c>
      <c r="G2542" s="63" t="s">
        <v>629</v>
      </c>
      <c r="H2542" s="64" t="n">
        <v>1339000000</v>
      </c>
      <c r="I2542" s="62" t="s">
        <v>81</v>
      </c>
      <c r="J2542" s="64" t="n">
        <v>1339000</v>
      </c>
      <c r="K2542" s="62" t="s">
        <v>138</v>
      </c>
      <c r="L2542" s="68" t="b">
        <f aca="false">TRUE()</f>
        <v>1</v>
      </c>
    </row>
    <row r="2543" customFormat="false" ht="15" hidden="false" customHeight="false" outlineLevel="0" collapsed="false">
      <c r="A2543" s="62" t="n">
        <v>0</v>
      </c>
      <c r="B2543" s="21" t="s">
        <v>336</v>
      </c>
      <c r="C2543" s="62" t="s">
        <v>60</v>
      </c>
      <c r="D2543" s="62" t="s">
        <v>386</v>
      </c>
      <c r="E2543" s="62" t="s">
        <v>71</v>
      </c>
      <c r="F2543" s="62" t="s">
        <v>382</v>
      </c>
      <c r="G2543" s="63" t="s">
        <v>629</v>
      </c>
      <c r="H2543" s="64" t="n">
        <v>1339000000</v>
      </c>
      <c r="I2543" s="62" t="s">
        <v>81</v>
      </c>
      <c r="J2543" s="64" t="n">
        <v>1339000</v>
      </c>
      <c r="K2543" s="62" t="s">
        <v>138</v>
      </c>
      <c r="L2543" s="68" t="b">
        <f aca="false">TRUE()</f>
        <v>1</v>
      </c>
    </row>
    <row r="2544" customFormat="false" ht="15" hidden="false" customHeight="false" outlineLevel="0" collapsed="false">
      <c r="A2544" s="62" t="n">
        <v>0</v>
      </c>
      <c r="B2544" s="21" t="s">
        <v>336</v>
      </c>
      <c r="C2544" s="62" t="s">
        <v>60</v>
      </c>
      <c r="D2544" s="62" t="s">
        <v>387</v>
      </c>
      <c r="E2544" s="62" t="s">
        <v>71</v>
      </c>
      <c r="F2544" s="62" t="s">
        <v>382</v>
      </c>
      <c r="G2544" s="63" t="s">
        <v>629</v>
      </c>
      <c r="H2544" s="64" t="n">
        <v>1339000000</v>
      </c>
      <c r="I2544" s="62" t="s">
        <v>81</v>
      </c>
      <c r="J2544" s="64" t="n">
        <v>1339000</v>
      </c>
      <c r="K2544" s="62" t="s">
        <v>138</v>
      </c>
      <c r="L2544" s="68" t="b">
        <f aca="false">TRUE()</f>
        <v>1</v>
      </c>
    </row>
    <row r="2545" customFormat="false" ht="15" hidden="false" customHeight="false" outlineLevel="0" collapsed="false">
      <c r="A2545" s="62" t="n">
        <v>0</v>
      </c>
      <c r="B2545" s="21" t="s">
        <v>336</v>
      </c>
      <c r="C2545" s="62" t="s">
        <v>60</v>
      </c>
      <c r="D2545" s="62" t="s">
        <v>388</v>
      </c>
      <c r="E2545" s="62" t="s">
        <v>71</v>
      </c>
      <c r="F2545" s="62" t="s">
        <v>382</v>
      </c>
      <c r="G2545" s="63" t="s">
        <v>629</v>
      </c>
      <c r="H2545" s="64" t="n">
        <v>1339000000</v>
      </c>
      <c r="I2545" s="62" t="s">
        <v>81</v>
      </c>
      <c r="J2545" s="64" t="n">
        <v>1339000</v>
      </c>
      <c r="K2545" s="62" t="s">
        <v>138</v>
      </c>
      <c r="L2545" s="68" t="b">
        <f aca="false">TRUE()</f>
        <v>1</v>
      </c>
    </row>
    <row r="2546" customFormat="false" ht="15" hidden="false" customHeight="false" outlineLevel="0" collapsed="false">
      <c r="A2546" s="62" t="n">
        <v>0</v>
      </c>
      <c r="B2546" s="21" t="s">
        <v>336</v>
      </c>
      <c r="C2546" s="62" t="s">
        <v>60</v>
      </c>
      <c r="D2546" s="62" t="s">
        <v>381</v>
      </c>
      <c r="E2546" s="62" t="s">
        <v>71</v>
      </c>
      <c r="F2546" s="62" t="s">
        <v>382</v>
      </c>
      <c r="G2546" s="63" t="s">
        <v>630</v>
      </c>
      <c r="H2546" s="64" t="n">
        <v>7600330566.95054</v>
      </c>
      <c r="I2546" s="62" t="s">
        <v>81</v>
      </c>
      <c r="J2546" s="64" t="n">
        <v>7600330.56695054</v>
      </c>
      <c r="K2546" s="62" t="s">
        <v>138</v>
      </c>
      <c r="L2546" s="68" t="b">
        <f aca="false">TRUE()</f>
        <v>1</v>
      </c>
    </row>
    <row r="2547" customFormat="false" ht="15" hidden="false" customHeight="false" outlineLevel="0" collapsed="false">
      <c r="A2547" s="62" t="n">
        <v>0</v>
      </c>
      <c r="B2547" s="21" t="s">
        <v>336</v>
      </c>
      <c r="C2547" s="62" t="s">
        <v>60</v>
      </c>
      <c r="D2547" s="62" t="s">
        <v>383</v>
      </c>
      <c r="E2547" s="62" t="s">
        <v>71</v>
      </c>
      <c r="F2547" s="62" t="s">
        <v>382</v>
      </c>
      <c r="G2547" s="63" t="s">
        <v>630</v>
      </c>
      <c r="H2547" s="64" t="n">
        <v>7600330566.95054</v>
      </c>
      <c r="I2547" s="62" t="s">
        <v>81</v>
      </c>
      <c r="J2547" s="64" t="n">
        <v>7600330.56695054</v>
      </c>
      <c r="K2547" s="62" t="s">
        <v>138</v>
      </c>
      <c r="L2547" s="68" t="b">
        <f aca="false">TRUE()</f>
        <v>1</v>
      </c>
    </row>
    <row r="2548" customFormat="false" ht="15" hidden="false" customHeight="false" outlineLevel="0" collapsed="false">
      <c r="A2548" s="62" t="n">
        <v>0</v>
      </c>
      <c r="B2548" s="21" t="s">
        <v>336</v>
      </c>
      <c r="C2548" s="62" t="s">
        <v>60</v>
      </c>
      <c r="D2548" s="62" t="s">
        <v>384</v>
      </c>
      <c r="E2548" s="62" t="s">
        <v>71</v>
      </c>
      <c r="F2548" s="62" t="s">
        <v>382</v>
      </c>
      <c r="G2548" s="63" t="s">
        <v>630</v>
      </c>
      <c r="H2548" s="64" t="n">
        <v>7600330566.95054</v>
      </c>
      <c r="I2548" s="62" t="s">
        <v>81</v>
      </c>
      <c r="J2548" s="64" t="n">
        <v>7600330.56695054</v>
      </c>
      <c r="K2548" s="62" t="s">
        <v>138</v>
      </c>
      <c r="L2548" s="68" t="b">
        <f aca="false">TRUE()</f>
        <v>1</v>
      </c>
    </row>
    <row r="2549" customFormat="false" ht="15" hidden="false" customHeight="false" outlineLevel="0" collapsed="false">
      <c r="A2549" s="62" t="n">
        <v>0</v>
      </c>
      <c r="B2549" s="21" t="s">
        <v>336</v>
      </c>
      <c r="C2549" s="62" t="s">
        <v>60</v>
      </c>
      <c r="D2549" s="62" t="s">
        <v>385</v>
      </c>
      <c r="E2549" s="62" t="s">
        <v>71</v>
      </c>
      <c r="F2549" s="62" t="s">
        <v>382</v>
      </c>
      <c r="G2549" s="63" t="s">
        <v>630</v>
      </c>
      <c r="H2549" s="64" t="n">
        <v>7600330566.95054</v>
      </c>
      <c r="I2549" s="62" t="s">
        <v>81</v>
      </c>
      <c r="J2549" s="64" t="n">
        <v>7600330.56695054</v>
      </c>
      <c r="K2549" s="62" t="s">
        <v>138</v>
      </c>
      <c r="L2549" s="68" t="b">
        <f aca="false">TRUE()</f>
        <v>1</v>
      </c>
    </row>
    <row r="2550" customFormat="false" ht="15" hidden="false" customHeight="false" outlineLevel="0" collapsed="false">
      <c r="A2550" s="62" t="n">
        <v>0</v>
      </c>
      <c r="B2550" s="21" t="s">
        <v>336</v>
      </c>
      <c r="C2550" s="62" t="s">
        <v>60</v>
      </c>
      <c r="D2550" s="62" t="s">
        <v>386</v>
      </c>
      <c r="E2550" s="62" t="s">
        <v>71</v>
      </c>
      <c r="F2550" s="62" t="s">
        <v>382</v>
      </c>
      <c r="G2550" s="63" t="s">
        <v>630</v>
      </c>
      <c r="H2550" s="64" t="n">
        <v>7600330566.95054</v>
      </c>
      <c r="I2550" s="62" t="s">
        <v>81</v>
      </c>
      <c r="J2550" s="64" t="n">
        <v>7600330.56695054</v>
      </c>
      <c r="K2550" s="62" t="s">
        <v>138</v>
      </c>
      <c r="L2550" s="68" t="b">
        <f aca="false">TRUE()</f>
        <v>1</v>
      </c>
    </row>
    <row r="2551" customFormat="false" ht="15" hidden="false" customHeight="false" outlineLevel="0" collapsed="false">
      <c r="A2551" s="62" t="n">
        <v>0</v>
      </c>
      <c r="B2551" s="21" t="s">
        <v>336</v>
      </c>
      <c r="C2551" s="62" t="s">
        <v>60</v>
      </c>
      <c r="D2551" s="62" t="s">
        <v>387</v>
      </c>
      <c r="E2551" s="62" t="s">
        <v>71</v>
      </c>
      <c r="F2551" s="62" t="s">
        <v>382</v>
      </c>
      <c r="G2551" s="63" t="s">
        <v>630</v>
      </c>
      <c r="H2551" s="64" t="n">
        <v>7600330566.95054</v>
      </c>
      <c r="I2551" s="62" t="s">
        <v>81</v>
      </c>
      <c r="J2551" s="64" t="n">
        <v>7600330.56695054</v>
      </c>
      <c r="K2551" s="62" t="s">
        <v>138</v>
      </c>
      <c r="L2551" s="68" t="b">
        <f aca="false">TRUE()</f>
        <v>1</v>
      </c>
    </row>
    <row r="2552" customFormat="false" ht="15" hidden="false" customHeight="false" outlineLevel="0" collapsed="false">
      <c r="A2552" s="62" t="n">
        <v>0</v>
      </c>
      <c r="B2552" s="21" t="s">
        <v>336</v>
      </c>
      <c r="C2552" s="62" t="s">
        <v>60</v>
      </c>
      <c r="D2552" s="62" t="s">
        <v>388</v>
      </c>
      <c r="E2552" s="62" t="s">
        <v>71</v>
      </c>
      <c r="F2552" s="62" t="s">
        <v>382</v>
      </c>
      <c r="G2552" s="63" t="s">
        <v>630</v>
      </c>
      <c r="H2552" s="64" t="n">
        <v>7600330566.95054</v>
      </c>
      <c r="I2552" s="62" t="s">
        <v>81</v>
      </c>
      <c r="J2552" s="64" t="n">
        <v>7600330.56695054</v>
      </c>
      <c r="K2552" s="62" t="s">
        <v>138</v>
      </c>
      <c r="L2552" s="68" t="b">
        <f aca="false">TRUE()</f>
        <v>1</v>
      </c>
    </row>
    <row r="2553" customFormat="false" ht="15" hidden="false" customHeight="false" outlineLevel="0" collapsed="false">
      <c r="A2553" s="62" t="n">
        <v>0</v>
      </c>
      <c r="B2553" s="21" t="s">
        <v>336</v>
      </c>
      <c r="C2553" s="62" t="s">
        <v>60</v>
      </c>
      <c r="D2553" s="62" t="s">
        <v>381</v>
      </c>
      <c r="E2553" s="62" t="s">
        <v>71</v>
      </c>
      <c r="F2553" s="62" t="s">
        <v>382</v>
      </c>
      <c r="G2553" s="63" t="s">
        <v>631</v>
      </c>
      <c r="H2553" s="64" t="n">
        <v>1412169433.04946</v>
      </c>
      <c r="I2553" s="62" t="s">
        <v>81</v>
      </c>
      <c r="J2553" s="64" t="n">
        <v>1412169.43304946</v>
      </c>
      <c r="K2553" s="62" t="s">
        <v>138</v>
      </c>
      <c r="L2553" s="68" t="b">
        <f aca="false">TRUE()</f>
        <v>1</v>
      </c>
    </row>
    <row r="2554" customFormat="false" ht="15" hidden="false" customHeight="false" outlineLevel="0" collapsed="false">
      <c r="A2554" s="62" t="n">
        <v>0</v>
      </c>
      <c r="B2554" s="21" t="s">
        <v>336</v>
      </c>
      <c r="C2554" s="62" t="s">
        <v>60</v>
      </c>
      <c r="D2554" s="62" t="s">
        <v>383</v>
      </c>
      <c r="E2554" s="62" t="s">
        <v>71</v>
      </c>
      <c r="F2554" s="62" t="s">
        <v>382</v>
      </c>
      <c r="G2554" s="63" t="s">
        <v>631</v>
      </c>
      <c r="H2554" s="64" t="n">
        <v>1412169433.04946</v>
      </c>
      <c r="I2554" s="62" t="s">
        <v>81</v>
      </c>
      <c r="J2554" s="64" t="n">
        <v>1412169.43304946</v>
      </c>
      <c r="K2554" s="62" t="s">
        <v>138</v>
      </c>
      <c r="L2554" s="68" t="b">
        <f aca="false">TRUE()</f>
        <v>1</v>
      </c>
    </row>
    <row r="2555" customFormat="false" ht="15" hidden="false" customHeight="false" outlineLevel="0" collapsed="false">
      <c r="A2555" s="62" t="n">
        <v>0</v>
      </c>
      <c r="B2555" s="21" t="s">
        <v>336</v>
      </c>
      <c r="C2555" s="62" t="s">
        <v>60</v>
      </c>
      <c r="D2555" s="62" t="s">
        <v>384</v>
      </c>
      <c r="E2555" s="62" t="s">
        <v>71</v>
      </c>
      <c r="F2555" s="62" t="s">
        <v>382</v>
      </c>
      <c r="G2555" s="63" t="s">
        <v>631</v>
      </c>
      <c r="H2555" s="64" t="n">
        <v>1412169433.04946</v>
      </c>
      <c r="I2555" s="62" t="s">
        <v>81</v>
      </c>
      <c r="J2555" s="64" t="n">
        <v>1412169.43304946</v>
      </c>
      <c r="K2555" s="62" t="s">
        <v>138</v>
      </c>
      <c r="L2555" s="68" t="b">
        <f aca="false">TRUE()</f>
        <v>1</v>
      </c>
    </row>
    <row r="2556" customFormat="false" ht="15" hidden="false" customHeight="false" outlineLevel="0" collapsed="false">
      <c r="A2556" s="62" t="n">
        <v>0</v>
      </c>
      <c r="B2556" s="21" t="s">
        <v>336</v>
      </c>
      <c r="C2556" s="62" t="s">
        <v>60</v>
      </c>
      <c r="D2556" s="62" t="s">
        <v>385</v>
      </c>
      <c r="E2556" s="62" t="s">
        <v>71</v>
      </c>
      <c r="F2556" s="62" t="s">
        <v>382</v>
      </c>
      <c r="G2556" s="63" t="s">
        <v>631</v>
      </c>
      <c r="H2556" s="64" t="n">
        <v>1412169433.04946</v>
      </c>
      <c r="I2556" s="62" t="s">
        <v>81</v>
      </c>
      <c r="J2556" s="64" t="n">
        <v>1412169.43304946</v>
      </c>
      <c r="K2556" s="62" t="s">
        <v>138</v>
      </c>
      <c r="L2556" s="68" t="b">
        <f aca="false">TRUE()</f>
        <v>1</v>
      </c>
    </row>
    <row r="2557" customFormat="false" ht="15" hidden="false" customHeight="false" outlineLevel="0" collapsed="false">
      <c r="A2557" s="62" t="n">
        <v>0</v>
      </c>
      <c r="B2557" s="21" t="s">
        <v>336</v>
      </c>
      <c r="C2557" s="62" t="s">
        <v>60</v>
      </c>
      <c r="D2557" s="62" t="s">
        <v>386</v>
      </c>
      <c r="E2557" s="62" t="s">
        <v>71</v>
      </c>
      <c r="F2557" s="62" t="s">
        <v>382</v>
      </c>
      <c r="G2557" s="63" t="s">
        <v>631</v>
      </c>
      <c r="H2557" s="64" t="n">
        <v>1412169433.04946</v>
      </c>
      <c r="I2557" s="62" t="s">
        <v>81</v>
      </c>
      <c r="J2557" s="64" t="n">
        <v>1412169.43304946</v>
      </c>
      <c r="K2557" s="62" t="s">
        <v>138</v>
      </c>
      <c r="L2557" s="68" t="b">
        <f aca="false">TRUE()</f>
        <v>1</v>
      </c>
    </row>
    <row r="2558" customFormat="false" ht="15" hidden="false" customHeight="false" outlineLevel="0" collapsed="false">
      <c r="A2558" s="62" t="n">
        <v>0</v>
      </c>
      <c r="B2558" s="21" t="s">
        <v>336</v>
      </c>
      <c r="C2558" s="62" t="s">
        <v>60</v>
      </c>
      <c r="D2558" s="62" t="s">
        <v>387</v>
      </c>
      <c r="E2558" s="62" t="s">
        <v>71</v>
      </c>
      <c r="F2558" s="62" t="s">
        <v>382</v>
      </c>
      <c r="G2558" s="63" t="s">
        <v>631</v>
      </c>
      <c r="H2558" s="64" t="n">
        <v>1412169433.04946</v>
      </c>
      <c r="I2558" s="62" t="s">
        <v>81</v>
      </c>
      <c r="J2558" s="64" t="n">
        <v>1412169.43304946</v>
      </c>
      <c r="K2558" s="62" t="s">
        <v>138</v>
      </c>
      <c r="L2558" s="68" t="b">
        <f aca="false">TRUE()</f>
        <v>1</v>
      </c>
    </row>
    <row r="2559" customFormat="false" ht="15" hidden="false" customHeight="false" outlineLevel="0" collapsed="false">
      <c r="A2559" s="62" t="n">
        <v>0</v>
      </c>
      <c r="B2559" s="21" t="s">
        <v>336</v>
      </c>
      <c r="C2559" s="62" t="s">
        <v>60</v>
      </c>
      <c r="D2559" s="62" t="s">
        <v>388</v>
      </c>
      <c r="E2559" s="62" t="s">
        <v>71</v>
      </c>
      <c r="F2559" s="62" t="s">
        <v>382</v>
      </c>
      <c r="G2559" s="63" t="s">
        <v>631</v>
      </c>
      <c r="H2559" s="64" t="n">
        <v>1412169433.04946</v>
      </c>
      <c r="I2559" s="62" t="s">
        <v>81</v>
      </c>
      <c r="J2559" s="64" t="n">
        <v>1412169.43304946</v>
      </c>
      <c r="K2559" s="62" t="s">
        <v>138</v>
      </c>
      <c r="L2559" s="68" t="b">
        <f aca="false">TRUE()</f>
        <v>1</v>
      </c>
    </row>
    <row r="2560" customFormat="false" ht="15" hidden="false" customHeight="false" outlineLevel="0" collapsed="false">
      <c r="A2560" s="62" t="n">
        <v>0</v>
      </c>
      <c r="B2560" s="21" t="s">
        <v>336</v>
      </c>
      <c r="C2560" s="62" t="s">
        <v>60</v>
      </c>
      <c r="D2560" s="62" t="s">
        <v>381</v>
      </c>
      <c r="E2560" s="62" t="s">
        <v>71</v>
      </c>
      <c r="F2560" s="62" t="s">
        <v>382</v>
      </c>
      <c r="G2560" s="63" t="s">
        <v>632</v>
      </c>
      <c r="H2560" s="64" t="n">
        <v>300000000</v>
      </c>
      <c r="I2560" s="62" t="s">
        <v>81</v>
      </c>
      <c r="J2560" s="64" t="n">
        <v>300000</v>
      </c>
      <c r="K2560" s="62" t="s">
        <v>138</v>
      </c>
      <c r="L2560" s="68" t="b">
        <f aca="false">TRUE()</f>
        <v>1</v>
      </c>
    </row>
    <row r="2561" customFormat="false" ht="15" hidden="false" customHeight="false" outlineLevel="0" collapsed="false">
      <c r="A2561" s="62" t="n">
        <v>0</v>
      </c>
      <c r="B2561" s="21" t="s">
        <v>336</v>
      </c>
      <c r="C2561" s="62" t="s">
        <v>60</v>
      </c>
      <c r="D2561" s="62" t="s">
        <v>383</v>
      </c>
      <c r="E2561" s="62" t="s">
        <v>71</v>
      </c>
      <c r="F2561" s="62" t="s">
        <v>382</v>
      </c>
      <c r="G2561" s="63" t="s">
        <v>632</v>
      </c>
      <c r="H2561" s="64" t="n">
        <v>300000000</v>
      </c>
      <c r="I2561" s="62" t="s">
        <v>81</v>
      </c>
      <c r="J2561" s="64" t="n">
        <v>300000</v>
      </c>
      <c r="K2561" s="62" t="s">
        <v>138</v>
      </c>
      <c r="L2561" s="68" t="b">
        <f aca="false">TRUE()</f>
        <v>1</v>
      </c>
    </row>
    <row r="2562" customFormat="false" ht="15" hidden="false" customHeight="false" outlineLevel="0" collapsed="false">
      <c r="A2562" s="62" t="n">
        <v>0</v>
      </c>
      <c r="B2562" s="21" t="s">
        <v>336</v>
      </c>
      <c r="C2562" s="62" t="s">
        <v>60</v>
      </c>
      <c r="D2562" s="62" t="s">
        <v>384</v>
      </c>
      <c r="E2562" s="62" t="s">
        <v>71</v>
      </c>
      <c r="F2562" s="62" t="s">
        <v>382</v>
      </c>
      <c r="G2562" s="63" t="s">
        <v>632</v>
      </c>
      <c r="H2562" s="64" t="n">
        <v>300000000</v>
      </c>
      <c r="I2562" s="62" t="s">
        <v>81</v>
      </c>
      <c r="J2562" s="64" t="n">
        <v>300000</v>
      </c>
      <c r="K2562" s="62" t="s">
        <v>138</v>
      </c>
      <c r="L2562" s="68" t="b">
        <f aca="false">TRUE()</f>
        <v>1</v>
      </c>
    </row>
    <row r="2563" customFormat="false" ht="15" hidden="false" customHeight="false" outlineLevel="0" collapsed="false">
      <c r="A2563" s="62" t="n">
        <v>0</v>
      </c>
      <c r="B2563" s="21" t="s">
        <v>336</v>
      </c>
      <c r="C2563" s="62" t="s">
        <v>60</v>
      </c>
      <c r="D2563" s="62" t="s">
        <v>385</v>
      </c>
      <c r="E2563" s="62" t="s">
        <v>71</v>
      </c>
      <c r="F2563" s="62" t="s">
        <v>382</v>
      </c>
      <c r="G2563" s="63" t="s">
        <v>632</v>
      </c>
      <c r="H2563" s="64" t="n">
        <v>300000000</v>
      </c>
      <c r="I2563" s="62" t="s">
        <v>81</v>
      </c>
      <c r="J2563" s="64" t="n">
        <v>300000</v>
      </c>
      <c r="K2563" s="62" t="s">
        <v>138</v>
      </c>
      <c r="L2563" s="68" t="b">
        <f aca="false">TRUE()</f>
        <v>1</v>
      </c>
    </row>
    <row r="2564" customFormat="false" ht="15" hidden="false" customHeight="false" outlineLevel="0" collapsed="false">
      <c r="A2564" s="62" t="n">
        <v>0</v>
      </c>
      <c r="B2564" s="21" t="s">
        <v>336</v>
      </c>
      <c r="C2564" s="62" t="s">
        <v>60</v>
      </c>
      <c r="D2564" s="62" t="s">
        <v>386</v>
      </c>
      <c r="E2564" s="62" t="s">
        <v>71</v>
      </c>
      <c r="F2564" s="62" t="s">
        <v>382</v>
      </c>
      <c r="G2564" s="63" t="s">
        <v>632</v>
      </c>
      <c r="H2564" s="64" t="n">
        <v>300000000</v>
      </c>
      <c r="I2564" s="62" t="s">
        <v>81</v>
      </c>
      <c r="J2564" s="64" t="n">
        <v>300000</v>
      </c>
      <c r="K2564" s="62" t="s">
        <v>138</v>
      </c>
      <c r="L2564" s="68" t="b">
        <f aca="false">TRUE()</f>
        <v>1</v>
      </c>
    </row>
    <row r="2565" customFormat="false" ht="15" hidden="false" customHeight="false" outlineLevel="0" collapsed="false">
      <c r="A2565" s="62" t="n">
        <v>0</v>
      </c>
      <c r="B2565" s="21" t="s">
        <v>336</v>
      </c>
      <c r="C2565" s="62" t="s">
        <v>60</v>
      </c>
      <c r="D2565" s="62" t="s">
        <v>387</v>
      </c>
      <c r="E2565" s="62" t="s">
        <v>71</v>
      </c>
      <c r="F2565" s="62" t="s">
        <v>382</v>
      </c>
      <c r="G2565" s="63" t="s">
        <v>632</v>
      </c>
      <c r="H2565" s="64" t="n">
        <v>300000000</v>
      </c>
      <c r="I2565" s="62" t="s">
        <v>81</v>
      </c>
      <c r="J2565" s="64" t="n">
        <v>300000</v>
      </c>
      <c r="K2565" s="62" t="s">
        <v>138</v>
      </c>
      <c r="L2565" s="68" t="b">
        <f aca="false">TRUE()</f>
        <v>1</v>
      </c>
    </row>
    <row r="2566" customFormat="false" ht="15" hidden="false" customHeight="false" outlineLevel="0" collapsed="false">
      <c r="A2566" s="62" t="n">
        <v>0</v>
      </c>
      <c r="B2566" s="21" t="s">
        <v>336</v>
      </c>
      <c r="C2566" s="62" t="s">
        <v>60</v>
      </c>
      <c r="D2566" s="62" t="s">
        <v>388</v>
      </c>
      <c r="E2566" s="62" t="s">
        <v>71</v>
      </c>
      <c r="F2566" s="62" t="s">
        <v>382</v>
      </c>
      <c r="G2566" s="63" t="s">
        <v>632</v>
      </c>
      <c r="H2566" s="64" t="n">
        <v>300000000</v>
      </c>
      <c r="I2566" s="62" t="s">
        <v>81</v>
      </c>
      <c r="J2566" s="64" t="n">
        <v>300000</v>
      </c>
      <c r="K2566" s="62" t="s">
        <v>138</v>
      </c>
      <c r="L2566" s="68" t="b">
        <f aca="false">TRUE()</f>
        <v>1</v>
      </c>
    </row>
    <row r="2567" customFormat="false" ht="15" hidden="false" customHeight="false" outlineLevel="0" collapsed="false">
      <c r="A2567" s="62" t="n">
        <v>0</v>
      </c>
      <c r="B2567" s="21" t="s">
        <v>336</v>
      </c>
      <c r="C2567" s="62" t="s">
        <v>60</v>
      </c>
      <c r="D2567" s="62" t="s">
        <v>381</v>
      </c>
      <c r="E2567" s="62" t="s">
        <v>71</v>
      </c>
      <c r="F2567" s="62" t="s">
        <v>382</v>
      </c>
      <c r="G2567" s="63" t="s">
        <v>633</v>
      </c>
      <c r="H2567" s="64" t="n">
        <v>1112169433.04946</v>
      </c>
      <c r="I2567" s="62" t="s">
        <v>81</v>
      </c>
      <c r="J2567" s="64" t="n">
        <v>1112169.43304946</v>
      </c>
      <c r="K2567" s="62" t="s">
        <v>138</v>
      </c>
      <c r="L2567" s="68" t="b">
        <f aca="false">TRUE()</f>
        <v>1</v>
      </c>
    </row>
    <row r="2568" customFormat="false" ht="15" hidden="false" customHeight="false" outlineLevel="0" collapsed="false">
      <c r="A2568" s="62" t="n">
        <v>0</v>
      </c>
      <c r="B2568" s="21" t="s">
        <v>336</v>
      </c>
      <c r="C2568" s="62" t="s">
        <v>60</v>
      </c>
      <c r="D2568" s="62" t="s">
        <v>383</v>
      </c>
      <c r="E2568" s="62" t="s">
        <v>71</v>
      </c>
      <c r="F2568" s="62" t="s">
        <v>382</v>
      </c>
      <c r="G2568" s="63" t="s">
        <v>633</v>
      </c>
      <c r="H2568" s="64" t="n">
        <v>1112169433.04946</v>
      </c>
      <c r="I2568" s="62" t="s">
        <v>81</v>
      </c>
      <c r="J2568" s="64" t="n">
        <v>1112169.43304946</v>
      </c>
      <c r="K2568" s="62" t="s">
        <v>138</v>
      </c>
      <c r="L2568" s="68" t="b">
        <f aca="false">TRUE()</f>
        <v>1</v>
      </c>
    </row>
    <row r="2569" customFormat="false" ht="15" hidden="false" customHeight="false" outlineLevel="0" collapsed="false">
      <c r="A2569" s="62" t="n">
        <v>0</v>
      </c>
      <c r="B2569" s="21" t="s">
        <v>336</v>
      </c>
      <c r="C2569" s="62" t="s">
        <v>60</v>
      </c>
      <c r="D2569" s="62" t="s">
        <v>384</v>
      </c>
      <c r="E2569" s="62" t="s">
        <v>71</v>
      </c>
      <c r="F2569" s="62" t="s">
        <v>382</v>
      </c>
      <c r="G2569" s="63" t="s">
        <v>633</v>
      </c>
      <c r="H2569" s="64" t="n">
        <v>1112169433.04946</v>
      </c>
      <c r="I2569" s="62" t="s">
        <v>81</v>
      </c>
      <c r="J2569" s="64" t="n">
        <v>1112169.43304946</v>
      </c>
      <c r="K2569" s="62" t="s">
        <v>138</v>
      </c>
      <c r="L2569" s="68" t="b">
        <f aca="false">TRUE()</f>
        <v>1</v>
      </c>
    </row>
    <row r="2570" customFormat="false" ht="15" hidden="false" customHeight="false" outlineLevel="0" collapsed="false">
      <c r="A2570" s="62" t="n">
        <v>0</v>
      </c>
      <c r="B2570" s="21" t="s">
        <v>336</v>
      </c>
      <c r="C2570" s="62" t="s">
        <v>60</v>
      </c>
      <c r="D2570" s="62" t="s">
        <v>385</v>
      </c>
      <c r="E2570" s="62" t="s">
        <v>71</v>
      </c>
      <c r="F2570" s="62" t="s">
        <v>382</v>
      </c>
      <c r="G2570" s="63" t="s">
        <v>633</v>
      </c>
      <c r="H2570" s="64" t="n">
        <v>1112169433.04946</v>
      </c>
      <c r="I2570" s="62" t="s">
        <v>81</v>
      </c>
      <c r="J2570" s="64" t="n">
        <v>1112169.43304946</v>
      </c>
      <c r="K2570" s="62" t="s">
        <v>138</v>
      </c>
      <c r="L2570" s="68" t="b">
        <f aca="false">TRUE()</f>
        <v>1</v>
      </c>
    </row>
    <row r="2571" customFormat="false" ht="15" hidden="false" customHeight="false" outlineLevel="0" collapsed="false">
      <c r="A2571" s="62" t="n">
        <v>0</v>
      </c>
      <c r="B2571" s="21" t="s">
        <v>336</v>
      </c>
      <c r="C2571" s="62" t="s">
        <v>60</v>
      </c>
      <c r="D2571" s="62" t="s">
        <v>386</v>
      </c>
      <c r="E2571" s="62" t="s">
        <v>71</v>
      </c>
      <c r="F2571" s="62" t="s">
        <v>382</v>
      </c>
      <c r="G2571" s="63" t="s">
        <v>633</v>
      </c>
      <c r="H2571" s="64" t="n">
        <v>1112169433.04946</v>
      </c>
      <c r="I2571" s="62" t="s">
        <v>81</v>
      </c>
      <c r="J2571" s="64" t="n">
        <v>1112169.43304946</v>
      </c>
      <c r="K2571" s="62" t="s">
        <v>138</v>
      </c>
      <c r="L2571" s="68" t="b">
        <f aca="false">TRUE()</f>
        <v>1</v>
      </c>
    </row>
    <row r="2572" customFormat="false" ht="15" hidden="false" customHeight="false" outlineLevel="0" collapsed="false">
      <c r="A2572" s="62" t="n">
        <v>0</v>
      </c>
      <c r="B2572" s="21" t="s">
        <v>336</v>
      </c>
      <c r="C2572" s="62" t="s">
        <v>60</v>
      </c>
      <c r="D2572" s="62" t="s">
        <v>387</v>
      </c>
      <c r="E2572" s="62" t="s">
        <v>71</v>
      </c>
      <c r="F2572" s="62" t="s">
        <v>382</v>
      </c>
      <c r="G2572" s="63" t="s">
        <v>633</v>
      </c>
      <c r="H2572" s="64" t="n">
        <v>1112169433.04946</v>
      </c>
      <c r="I2572" s="62" t="s">
        <v>81</v>
      </c>
      <c r="J2572" s="64" t="n">
        <v>1112169.43304946</v>
      </c>
      <c r="K2572" s="62" t="s">
        <v>138</v>
      </c>
      <c r="L2572" s="68" t="b">
        <f aca="false">TRUE()</f>
        <v>1</v>
      </c>
    </row>
    <row r="2573" customFormat="false" ht="15" hidden="false" customHeight="false" outlineLevel="0" collapsed="false">
      <c r="A2573" s="62" t="n">
        <v>0</v>
      </c>
      <c r="B2573" s="21" t="s">
        <v>336</v>
      </c>
      <c r="C2573" s="62" t="s">
        <v>60</v>
      </c>
      <c r="D2573" s="62" t="s">
        <v>388</v>
      </c>
      <c r="E2573" s="62" t="s">
        <v>71</v>
      </c>
      <c r="F2573" s="62" t="s">
        <v>382</v>
      </c>
      <c r="G2573" s="63" t="s">
        <v>633</v>
      </c>
      <c r="H2573" s="64" t="n">
        <v>1112169433.04946</v>
      </c>
      <c r="I2573" s="62" t="s">
        <v>81</v>
      </c>
      <c r="J2573" s="64" t="n">
        <v>1112169.43304946</v>
      </c>
      <c r="K2573" s="62" t="s">
        <v>138</v>
      </c>
      <c r="L2573" s="68" t="b">
        <f aca="false">TRUE()</f>
        <v>1</v>
      </c>
    </row>
    <row r="2574" customFormat="false" ht="15" hidden="false" customHeight="false" outlineLevel="0" collapsed="false">
      <c r="A2574" s="62" t="n">
        <v>0</v>
      </c>
      <c r="B2574" s="21" t="s">
        <v>336</v>
      </c>
      <c r="C2574" s="62" t="s">
        <v>60</v>
      </c>
      <c r="D2574" s="62" t="s">
        <v>381</v>
      </c>
      <c r="E2574" s="62" t="s">
        <v>72</v>
      </c>
      <c r="F2574" s="62" t="s">
        <v>382</v>
      </c>
      <c r="G2574" s="63" t="s">
        <v>625</v>
      </c>
      <c r="H2574" s="64" t="n">
        <v>17064000000</v>
      </c>
      <c r="I2574" s="62" t="s">
        <v>81</v>
      </c>
      <c r="J2574" s="64" t="n">
        <v>17064000</v>
      </c>
      <c r="K2574" s="62" t="s">
        <v>138</v>
      </c>
      <c r="L2574" s="68" t="b">
        <f aca="false">TRUE()</f>
        <v>1</v>
      </c>
    </row>
    <row r="2575" customFormat="false" ht="15" hidden="false" customHeight="false" outlineLevel="0" collapsed="false">
      <c r="A2575" s="62" t="n">
        <v>0</v>
      </c>
      <c r="B2575" s="21" t="s">
        <v>336</v>
      </c>
      <c r="C2575" s="62" t="s">
        <v>60</v>
      </c>
      <c r="D2575" s="62" t="s">
        <v>383</v>
      </c>
      <c r="E2575" s="62" t="s">
        <v>72</v>
      </c>
      <c r="F2575" s="62" t="s">
        <v>382</v>
      </c>
      <c r="G2575" s="63" t="s">
        <v>625</v>
      </c>
      <c r="H2575" s="64" t="n">
        <v>17064000000</v>
      </c>
      <c r="I2575" s="62" t="s">
        <v>81</v>
      </c>
      <c r="J2575" s="64" t="n">
        <v>17064000</v>
      </c>
      <c r="K2575" s="62" t="s">
        <v>138</v>
      </c>
      <c r="L2575" s="68" t="b">
        <f aca="false">TRUE()</f>
        <v>1</v>
      </c>
    </row>
    <row r="2576" customFormat="false" ht="15" hidden="false" customHeight="false" outlineLevel="0" collapsed="false">
      <c r="A2576" s="62" t="n">
        <v>0</v>
      </c>
      <c r="B2576" s="21" t="s">
        <v>336</v>
      </c>
      <c r="C2576" s="62" t="s">
        <v>60</v>
      </c>
      <c r="D2576" s="62" t="s">
        <v>384</v>
      </c>
      <c r="E2576" s="62" t="s">
        <v>72</v>
      </c>
      <c r="F2576" s="62" t="s">
        <v>382</v>
      </c>
      <c r="G2576" s="63" t="s">
        <v>625</v>
      </c>
      <c r="H2576" s="64" t="n">
        <v>17064000000</v>
      </c>
      <c r="I2576" s="62" t="s">
        <v>81</v>
      </c>
      <c r="J2576" s="64" t="n">
        <v>17064000</v>
      </c>
      <c r="K2576" s="62" t="s">
        <v>138</v>
      </c>
      <c r="L2576" s="68" t="b">
        <f aca="false">TRUE()</f>
        <v>1</v>
      </c>
    </row>
    <row r="2577" customFormat="false" ht="15" hidden="false" customHeight="false" outlineLevel="0" collapsed="false">
      <c r="A2577" s="62" t="n">
        <v>0</v>
      </c>
      <c r="B2577" s="21" t="s">
        <v>336</v>
      </c>
      <c r="C2577" s="62" t="s">
        <v>60</v>
      </c>
      <c r="D2577" s="62" t="s">
        <v>385</v>
      </c>
      <c r="E2577" s="62" t="s">
        <v>72</v>
      </c>
      <c r="F2577" s="62" t="s">
        <v>382</v>
      </c>
      <c r="G2577" s="63" t="s">
        <v>625</v>
      </c>
      <c r="H2577" s="64" t="n">
        <v>17064000000</v>
      </c>
      <c r="I2577" s="62" t="s">
        <v>81</v>
      </c>
      <c r="J2577" s="64" t="n">
        <v>17064000</v>
      </c>
      <c r="K2577" s="62" t="s">
        <v>138</v>
      </c>
      <c r="L2577" s="68" t="b">
        <f aca="false">TRUE()</f>
        <v>1</v>
      </c>
    </row>
    <row r="2578" customFormat="false" ht="15" hidden="false" customHeight="false" outlineLevel="0" collapsed="false">
      <c r="A2578" s="62" t="n">
        <v>0</v>
      </c>
      <c r="B2578" s="21" t="s">
        <v>336</v>
      </c>
      <c r="C2578" s="62" t="s">
        <v>60</v>
      </c>
      <c r="D2578" s="62" t="s">
        <v>386</v>
      </c>
      <c r="E2578" s="62" t="s">
        <v>72</v>
      </c>
      <c r="F2578" s="62" t="s">
        <v>382</v>
      </c>
      <c r="G2578" s="63" t="s">
        <v>625</v>
      </c>
      <c r="H2578" s="64" t="n">
        <v>17064000000</v>
      </c>
      <c r="I2578" s="62" t="s">
        <v>81</v>
      </c>
      <c r="J2578" s="64" t="n">
        <v>17064000</v>
      </c>
      <c r="K2578" s="62" t="s">
        <v>138</v>
      </c>
      <c r="L2578" s="68" t="b">
        <f aca="false">TRUE()</f>
        <v>1</v>
      </c>
    </row>
    <row r="2579" customFormat="false" ht="15" hidden="false" customHeight="false" outlineLevel="0" collapsed="false">
      <c r="A2579" s="62" t="n">
        <v>0</v>
      </c>
      <c r="B2579" s="21" t="s">
        <v>336</v>
      </c>
      <c r="C2579" s="62" t="s">
        <v>60</v>
      </c>
      <c r="D2579" s="62" t="s">
        <v>387</v>
      </c>
      <c r="E2579" s="62" t="s">
        <v>72</v>
      </c>
      <c r="F2579" s="62" t="s">
        <v>382</v>
      </c>
      <c r="G2579" s="63" t="s">
        <v>625</v>
      </c>
      <c r="H2579" s="64" t="n">
        <v>17064000000</v>
      </c>
      <c r="I2579" s="62" t="s">
        <v>81</v>
      </c>
      <c r="J2579" s="64" t="n">
        <v>17064000</v>
      </c>
      <c r="K2579" s="62" t="s">
        <v>138</v>
      </c>
      <c r="L2579" s="68" t="b">
        <f aca="false">TRUE()</f>
        <v>1</v>
      </c>
    </row>
    <row r="2580" customFormat="false" ht="15" hidden="false" customHeight="false" outlineLevel="0" collapsed="false">
      <c r="A2580" s="62" t="n">
        <v>0</v>
      </c>
      <c r="B2580" s="21" t="s">
        <v>336</v>
      </c>
      <c r="C2580" s="62" t="s">
        <v>60</v>
      </c>
      <c r="D2580" s="62" t="s">
        <v>388</v>
      </c>
      <c r="E2580" s="62" t="s">
        <v>72</v>
      </c>
      <c r="F2580" s="62" t="s">
        <v>382</v>
      </c>
      <c r="G2580" s="63" t="s">
        <v>625</v>
      </c>
      <c r="H2580" s="64" t="n">
        <v>17064000000</v>
      </c>
      <c r="I2580" s="62" t="s">
        <v>81</v>
      </c>
      <c r="J2580" s="64" t="n">
        <v>17064000</v>
      </c>
      <c r="K2580" s="62" t="s">
        <v>138</v>
      </c>
      <c r="L2580" s="68" t="b">
        <f aca="false">TRUE()</f>
        <v>1</v>
      </c>
    </row>
    <row r="2581" customFormat="false" ht="15" hidden="false" customHeight="false" outlineLevel="0" collapsed="false">
      <c r="A2581" s="62" t="n">
        <v>0</v>
      </c>
      <c r="B2581" s="21" t="s">
        <v>336</v>
      </c>
      <c r="C2581" s="62" t="s">
        <v>60</v>
      </c>
      <c r="D2581" s="62" t="s">
        <v>381</v>
      </c>
      <c r="E2581" s="62" t="s">
        <v>72</v>
      </c>
      <c r="F2581" s="62" t="s">
        <v>382</v>
      </c>
      <c r="G2581" s="63" t="s">
        <v>626</v>
      </c>
      <c r="H2581" s="64" t="n">
        <v>0</v>
      </c>
      <c r="I2581" s="62" t="s">
        <v>81</v>
      </c>
      <c r="J2581" s="64" t="n">
        <v>0</v>
      </c>
      <c r="K2581" s="62" t="s">
        <v>138</v>
      </c>
      <c r="L2581" s="68" t="b">
        <f aca="false">TRUE()</f>
        <v>1</v>
      </c>
    </row>
    <row r="2582" customFormat="false" ht="15" hidden="false" customHeight="false" outlineLevel="0" collapsed="false">
      <c r="A2582" s="62" t="n">
        <v>0</v>
      </c>
      <c r="B2582" s="21" t="s">
        <v>336</v>
      </c>
      <c r="C2582" s="62" t="s">
        <v>60</v>
      </c>
      <c r="D2582" s="62" t="s">
        <v>383</v>
      </c>
      <c r="E2582" s="62" t="s">
        <v>72</v>
      </c>
      <c r="F2582" s="62" t="s">
        <v>382</v>
      </c>
      <c r="G2582" s="63" t="s">
        <v>626</v>
      </c>
      <c r="H2582" s="64" t="n">
        <v>0</v>
      </c>
      <c r="I2582" s="62" t="s">
        <v>81</v>
      </c>
      <c r="J2582" s="64" t="n">
        <v>0</v>
      </c>
      <c r="K2582" s="62" t="s">
        <v>138</v>
      </c>
      <c r="L2582" s="68" t="b">
        <f aca="false">TRUE()</f>
        <v>1</v>
      </c>
    </row>
    <row r="2583" customFormat="false" ht="15" hidden="false" customHeight="false" outlineLevel="0" collapsed="false">
      <c r="A2583" s="62" t="n">
        <v>0</v>
      </c>
      <c r="B2583" s="21" t="s">
        <v>336</v>
      </c>
      <c r="C2583" s="62" t="s">
        <v>60</v>
      </c>
      <c r="D2583" s="62" t="s">
        <v>384</v>
      </c>
      <c r="E2583" s="62" t="s">
        <v>72</v>
      </c>
      <c r="F2583" s="62" t="s">
        <v>382</v>
      </c>
      <c r="G2583" s="63" t="s">
        <v>626</v>
      </c>
      <c r="H2583" s="64" t="n">
        <v>0</v>
      </c>
      <c r="I2583" s="62" t="s">
        <v>81</v>
      </c>
      <c r="J2583" s="64" t="n">
        <v>0</v>
      </c>
      <c r="K2583" s="62" t="s">
        <v>138</v>
      </c>
      <c r="L2583" s="68" t="b">
        <f aca="false">TRUE()</f>
        <v>1</v>
      </c>
    </row>
    <row r="2584" customFormat="false" ht="15" hidden="false" customHeight="false" outlineLevel="0" collapsed="false">
      <c r="A2584" s="62" t="n">
        <v>0</v>
      </c>
      <c r="B2584" s="21" t="s">
        <v>336</v>
      </c>
      <c r="C2584" s="62" t="s">
        <v>60</v>
      </c>
      <c r="D2584" s="62" t="s">
        <v>385</v>
      </c>
      <c r="E2584" s="62" t="s">
        <v>72</v>
      </c>
      <c r="F2584" s="62" t="s">
        <v>382</v>
      </c>
      <c r="G2584" s="63" t="s">
        <v>626</v>
      </c>
      <c r="H2584" s="64" t="n">
        <v>0</v>
      </c>
      <c r="I2584" s="62" t="s">
        <v>81</v>
      </c>
      <c r="J2584" s="64" t="n">
        <v>0</v>
      </c>
      <c r="K2584" s="62" t="s">
        <v>138</v>
      </c>
      <c r="L2584" s="68" t="b">
        <f aca="false">TRUE()</f>
        <v>1</v>
      </c>
    </row>
    <row r="2585" customFormat="false" ht="15" hidden="false" customHeight="false" outlineLevel="0" collapsed="false">
      <c r="A2585" s="62" t="n">
        <v>0</v>
      </c>
      <c r="B2585" s="21" t="s">
        <v>336</v>
      </c>
      <c r="C2585" s="62" t="s">
        <v>60</v>
      </c>
      <c r="D2585" s="62" t="s">
        <v>386</v>
      </c>
      <c r="E2585" s="62" t="s">
        <v>72</v>
      </c>
      <c r="F2585" s="62" t="s">
        <v>382</v>
      </c>
      <c r="G2585" s="63" t="s">
        <v>626</v>
      </c>
      <c r="H2585" s="64" t="n">
        <v>0</v>
      </c>
      <c r="I2585" s="62" t="s">
        <v>81</v>
      </c>
      <c r="J2585" s="64" t="n">
        <v>0</v>
      </c>
      <c r="K2585" s="62" t="s">
        <v>138</v>
      </c>
      <c r="L2585" s="68" t="b">
        <f aca="false">TRUE()</f>
        <v>1</v>
      </c>
    </row>
    <row r="2586" customFormat="false" ht="15" hidden="false" customHeight="false" outlineLevel="0" collapsed="false">
      <c r="A2586" s="62" t="n">
        <v>0</v>
      </c>
      <c r="B2586" s="21" t="s">
        <v>336</v>
      </c>
      <c r="C2586" s="62" t="s">
        <v>60</v>
      </c>
      <c r="D2586" s="62" t="s">
        <v>387</v>
      </c>
      <c r="E2586" s="62" t="s">
        <v>72</v>
      </c>
      <c r="F2586" s="62" t="s">
        <v>382</v>
      </c>
      <c r="G2586" s="63" t="s">
        <v>626</v>
      </c>
      <c r="H2586" s="64" t="n">
        <v>0</v>
      </c>
      <c r="I2586" s="62" t="s">
        <v>81</v>
      </c>
      <c r="J2586" s="64" t="n">
        <v>0</v>
      </c>
      <c r="K2586" s="62" t="s">
        <v>138</v>
      </c>
      <c r="L2586" s="68" t="b">
        <f aca="false">TRUE()</f>
        <v>1</v>
      </c>
    </row>
    <row r="2587" customFormat="false" ht="15" hidden="false" customHeight="false" outlineLevel="0" collapsed="false">
      <c r="A2587" s="62" t="n">
        <v>0</v>
      </c>
      <c r="B2587" s="21" t="s">
        <v>336</v>
      </c>
      <c r="C2587" s="62" t="s">
        <v>60</v>
      </c>
      <c r="D2587" s="62" t="s">
        <v>388</v>
      </c>
      <c r="E2587" s="62" t="s">
        <v>72</v>
      </c>
      <c r="F2587" s="62" t="s">
        <v>382</v>
      </c>
      <c r="G2587" s="63" t="s">
        <v>626</v>
      </c>
      <c r="H2587" s="64" t="n">
        <v>0</v>
      </c>
      <c r="I2587" s="62" t="s">
        <v>81</v>
      </c>
      <c r="J2587" s="64" t="n">
        <v>0</v>
      </c>
      <c r="K2587" s="62" t="s">
        <v>138</v>
      </c>
      <c r="L2587" s="68" t="b">
        <f aca="false">TRUE()</f>
        <v>1</v>
      </c>
    </row>
    <row r="2588" customFormat="false" ht="15" hidden="false" customHeight="false" outlineLevel="0" collapsed="false">
      <c r="A2588" s="62" t="n">
        <v>0</v>
      </c>
      <c r="B2588" s="21" t="s">
        <v>336</v>
      </c>
      <c r="C2588" s="62" t="s">
        <v>60</v>
      </c>
      <c r="D2588" s="62" t="s">
        <v>381</v>
      </c>
      <c r="E2588" s="62" t="s">
        <v>72</v>
      </c>
      <c r="F2588" s="62" t="s">
        <v>382</v>
      </c>
      <c r="G2588" s="63" t="s">
        <v>627</v>
      </c>
      <c r="H2588" s="64" t="n">
        <v>10627579728.7801</v>
      </c>
      <c r="I2588" s="62" t="s">
        <v>81</v>
      </c>
      <c r="J2588" s="64" t="n">
        <v>10627579.7287801</v>
      </c>
      <c r="K2588" s="62" t="s">
        <v>138</v>
      </c>
      <c r="L2588" s="68" t="b">
        <f aca="false">TRUE()</f>
        <v>1</v>
      </c>
    </row>
    <row r="2589" customFormat="false" ht="15" hidden="false" customHeight="false" outlineLevel="0" collapsed="false">
      <c r="A2589" s="62" t="n">
        <v>0</v>
      </c>
      <c r="B2589" s="21" t="s">
        <v>336</v>
      </c>
      <c r="C2589" s="62" t="s">
        <v>60</v>
      </c>
      <c r="D2589" s="62" t="s">
        <v>383</v>
      </c>
      <c r="E2589" s="62" t="s">
        <v>72</v>
      </c>
      <c r="F2589" s="62" t="s">
        <v>382</v>
      </c>
      <c r="G2589" s="63" t="s">
        <v>627</v>
      </c>
      <c r="H2589" s="64" t="n">
        <v>10627579728.7801</v>
      </c>
      <c r="I2589" s="62" t="s">
        <v>81</v>
      </c>
      <c r="J2589" s="64" t="n">
        <v>10627579.7287801</v>
      </c>
      <c r="K2589" s="62" t="s">
        <v>138</v>
      </c>
      <c r="L2589" s="68" t="b">
        <f aca="false">TRUE()</f>
        <v>1</v>
      </c>
    </row>
    <row r="2590" customFormat="false" ht="15" hidden="false" customHeight="false" outlineLevel="0" collapsed="false">
      <c r="A2590" s="62" t="n">
        <v>0</v>
      </c>
      <c r="B2590" s="21" t="s">
        <v>336</v>
      </c>
      <c r="C2590" s="62" t="s">
        <v>60</v>
      </c>
      <c r="D2590" s="62" t="s">
        <v>384</v>
      </c>
      <c r="E2590" s="62" t="s">
        <v>72</v>
      </c>
      <c r="F2590" s="62" t="s">
        <v>382</v>
      </c>
      <c r="G2590" s="63" t="s">
        <v>627</v>
      </c>
      <c r="H2590" s="64" t="n">
        <v>10627579728.7801</v>
      </c>
      <c r="I2590" s="62" t="s">
        <v>81</v>
      </c>
      <c r="J2590" s="64" t="n">
        <v>10627579.7287801</v>
      </c>
      <c r="K2590" s="62" t="s">
        <v>138</v>
      </c>
      <c r="L2590" s="68" t="b">
        <f aca="false">TRUE()</f>
        <v>1</v>
      </c>
    </row>
    <row r="2591" customFormat="false" ht="15" hidden="false" customHeight="false" outlineLevel="0" collapsed="false">
      <c r="A2591" s="62" t="n">
        <v>0</v>
      </c>
      <c r="B2591" s="21" t="s">
        <v>336</v>
      </c>
      <c r="C2591" s="62" t="s">
        <v>60</v>
      </c>
      <c r="D2591" s="62" t="s">
        <v>385</v>
      </c>
      <c r="E2591" s="62" t="s">
        <v>72</v>
      </c>
      <c r="F2591" s="62" t="s">
        <v>382</v>
      </c>
      <c r="G2591" s="63" t="s">
        <v>627</v>
      </c>
      <c r="H2591" s="64" t="n">
        <v>10627579728.7801</v>
      </c>
      <c r="I2591" s="62" t="s">
        <v>81</v>
      </c>
      <c r="J2591" s="64" t="n">
        <v>10627579.7287801</v>
      </c>
      <c r="K2591" s="62" t="s">
        <v>138</v>
      </c>
      <c r="L2591" s="68" t="b">
        <f aca="false">TRUE()</f>
        <v>1</v>
      </c>
    </row>
    <row r="2592" customFormat="false" ht="15" hidden="false" customHeight="false" outlineLevel="0" collapsed="false">
      <c r="A2592" s="62" t="n">
        <v>0</v>
      </c>
      <c r="B2592" s="21" t="s">
        <v>336</v>
      </c>
      <c r="C2592" s="62" t="s">
        <v>60</v>
      </c>
      <c r="D2592" s="62" t="s">
        <v>386</v>
      </c>
      <c r="E2592" s="62" t="s">
        <v>72</v>
      </c>
      <c r="F2592" s="62" t="s">
        <v>382</v>
      </c>
      <c r="G2592" s="63" t="s">
        <v>627</v>
      </c>
      <c r="H2592" s="64" t="n">
        <v>10627579728.7801</v>
      </c>
      <c r="I2592" s="62" t="s">
        <v>81</v>
      </c>
      <c r="J2592" s="64" t="n">
        <v>10627579.7287801</v>
      </c>
      <c r="K2592" s="62" t="s">
        <v>138</v>
      </c>
      <c r="L2592" s="68" t="b">
        <f aca="false">TRUE()</f>
        <v>1</v>
      </c>
    </row>
    <row r="2593" customFormat="false" ht="15" hidden="false" customHeight="false" outlineLevel="0" collapsed="false">
      <c r="A2593" s="62" t="n">
        <v>0</v>
      </c>
      <c r="B2593" s="21" t="s">
        <v>336</v>
      </c>
      <c r="C2593" s="62" t="s">
        <v>60</v>
      </c>
      <c r="D2593" s="62" t="s">
        <v>387</v>
      </c>
      <c r="E2593" s="62" t="s">
        <v>72</v>
      </c>
      <c r="F2593" s="62" t="s">
        <v>382</v>
      </c>
      <c r="G2593" s="63" t="s">
        <v>627</v>
      </c>
      <c r="H2593" s="64" t="n">
        <v>10627579728.7801</v>
      </c>
      <c r="I2593" s="62" t="s">
        <v>81</v>
      </c>
      <c r="J2593" s="64" t="n">
        <v>10627579.7287801</v>
      </c>
      <c r="K2593" s="62" t="s">
        <v>138</v>
      </c>
      <c r="L2593" s="68" t="b">
        <f aca="false">TRUE()</f>
        <v>1</v>
      </c>
    </row>
    <row r="2594" customFormat="false" ht="15" hidden="false" customHeight="false" outlineLevel="0" collapsed="false">
      <c r="A2594" s="62" t="n">
        <v>0</v>
      </c>
      <c r="B2594" s="21" t="s">
        <v>336</v>
      </c>
      <c r="C2594" s="62" t="s">
        <v>60</v>
      </c>
      <c r="D2594" s="62" t="s">
        <v>388</v>
      </c>
      <c r="E2594" s="62" t="s">
        <v>72</v>
      </c>
      <c r="F2594" s="62" t="s">
        <v>382</v>
      </c>
      <c r="G2594" s="63" t="s">
        <v>627</v>
      </c>
      <c r="H2594" s="64" t="n">
        <v>10627579728.7801</v>
      </c>
      <c r="I2594" s="62" t="s">
        <v>81</v>
      </c>
      <c r="J2594" s="64" t="n">
        <v>10627579.7287801</v>
      </c>
      <c r="K2594" s="62" t="s">
        <v>138</v>
      </c>
      <c r="L2594" s="68" t="b">
        <f aca="false">TRUE()</f>
        <v>1</v>
      </c>
    </row>
    <row r="2595" customFormat="false" ht="15" hidden="false" customHeight="false" outlineLevel="0" collapsed="false">
      <c r="A2595" s="62" t="n">
        <v>0</v>
      </c>
      <c r="B2595" s="21" t="s">
        <v>336</v>
      </c>
      <c r="C2595" s="62" t="s">
        <v>60</v>
      </c>
      <c r="D2595" s="62" t="s">
        <v>381</v>
      </c>
      <c r="E2595" s="62" t="s">
        <v>72</v>
      </c>
      <c r="F2595" s="62" t="s">
        <v>382</v>
      </c>
      <c r="G2595" s="63" t="s">
        <v>628</v>
      </c>
      <c r="H2595" s="64" t="n">
        <v>1353507972.87801</v>
      </c>
      <c r="I2595" s="62" t="s">
        <v>81</v>
      </c>
      <c r="J2595" s="64" t="n">
        <v>1353507.97287801</v>
      </c>
      <c r="K2595" s="62" t="s">
        <v>138</v>
      </c>
      <c r="L2595" s="68" t="b">
        <f aca="false">TRUE()</f>
        <v>1</v>
      </c>
    </row>
    <row r="2596" customFormat="false" ht="15" hidden="false" customHeight="false" outlineLevel="0" collapsed="false">
      <c r="A2596" s="62" t="n">
        <v>0</v>
      </c>
      <c r="B2596" s="21" t="s">
        <v>336</v>
      </c>
      <c r="C2596" s="62" t="s">
        <v>60</v>
      </c>
      <c r="D2596" s="62" t="s">
        <v>383</v>
      </c>
      <c r="E2596" s="62" t="s">
        <v>72</v>
      </c>
      <c r="F2596" s="62" t="s">
        <v>382</v>
      </c>
      <c r="G2596" s="63" t="s">
        <v>628</v>
      </c>
      <c r="H2596" s="64" t="n">
        <v>1353507972.87801</v>
      </c>
      <c r="I2596" s="62" t="s">
        <v>81</v>
      </c>
      <c r="J2596" s="64" t="n">
        <v>1353507.97287801</v>
      </c>
      <c r="K2596" s="62" t="s">
        <v>138</v>
      </c>
      <c r="L2596" s="68" t="b">
        <f aca="false">TRUE()</f>
        <v>1</v>
      </c>
    </row>
    <row r="2597" customFormat="false" ht="15" hidden="false" customHeight="false" outlineLevel="0" collapsed="false">
      <c r="A2597" s="62" t="n">
        <v>0</v>
      </c>
      <c r="B2597" s="21" t="s">
        <v>336</v>
      </c>
      <c r="C2597" s="62" t="s">
        <v>60</v>
      </c>
      <c r="D2597" s="62" t="s">
        <v>384</v>
      </c>
      <c r="E2597" s="62" t="s">
        <v>72</v>
      </c>
      <c r="F2597" s="62" t="s">
        <v>382</v>
      </c>
      <c r="G2597" s="63" t="s">
        <v>628</v>
      </c>
      <c r="H2597" s="64" t="n">
        <v>1353507972.87801</v>
      </c>
      <c r="I2597" s="62" t="s">
        <v>81</v>
      </c>
      <c r="J2597" s="64" t="n">
        <v>1353507.97287801</v>
      </c>
      <c r="K2597" s="62" t="s">
        <v>138</v>
      </c>
      <c r="L2597" s="68" t="b">
        <f aca="false">TRUE()</f>
        <v>1</v>
      </c>
    </row>
    <row r="2598" customFormat="false" ht="15" hidden="false" customHeight="false" outlineLevel="0" collapsed="false">
      <c r="A2598" s="62" t="n">
        <v>0</v>
      </c>
      <c r="B2598" s="21" t="s">
        <v>336</v>
      </c>
      <c r="C2598" s="62" t="s">
        <v>60</v>
      </c>
      <c r="D2598" s="62" t="s">
        <v>385</v>
      </c>
      <c r="E2598" s="62" t="s">
        <v>72</v>
      </c>
      <c r="F2598" s="62" t="s">
        <v>382</v>
      </c>
      <c r="G2598" s="63" t="s">
        <v>628</v>
      </c>
      <c r="H2598" s="64" t="n">
        <v>1353507972.87801</v>
      </c>
      <c r="I2598" s="62" t="s">
        <v>81</v>
      </c>
      <c r="J2598" s="64" t="n">
        <v>1353507.97287801</v>
      </c>
      <c r="K2598" s="62" t="s">
        <v>138</v>
      </c>
      <c r="L2598" s="68" t="b">
        <f aca="false">TRUE()</f>
        <v>1</v>
      </c>
    </row>
    <row r="2599" customFormat="false" ht="15" hidden="false" customHeight="false" outlineLevel="0" collapsed="false">
      <c r="A2599" s="62" t="n">
        <v>0</v>
      </c>
      <c r="B2599" s="21" t="s">
        <v>336</v>
      </c>
      <c r="C2599" s="62" t="s">
        <v>60</v>
      </c>
      <c r="D2599" s="62" t="s">
        <v>386</v>
      </c>
      <c r="E2599" s="62" t="s">
        <v>72</v>
      </c>
      <c r="F2599" s="62" t="s">
        <v>382</v>
      </c>
      <c r="G2599" s="63" t="s">
        <v>628</v>
      </c>
      <c r="H2599" s="64" t="n">
        <v>1353507972.87801</v>
      </c>
      <c r="I2599" s="62" t="s">
        <v>81</v>
      </c>
      <c r="J2599" s="64" t="n">
        <v>1353507.97287801</v>
      </c>
      <c r="K2599" s="62" t="s">
        <v>138</v>
      </c>
      <c r="L2599" s="68" t="b">
        <f aca="false">TRUE()</f>
        <v>1</v>
      </c>
    </row>
    <row r="2600" customFormat="false" ht="15" hidden="false" customHeight="false" outlineLevel="0" collapsed="false">
      <c r="A2600" s="62" t="n">
        <v>0</v>
      </c>
      <c r="B2600" s="21" t="s">
        <v>336</v>
      </c>
      <c r="C2600" s="62" t="s">
        <v>60</v>
      </c>
      <c r="D2600" s="62" t="s">
        <v>387</v>
      </c>
      <c r="E2600" s="62" t="s">
        <v>72</v>
      </c>
      <c r="F2600" s="62" t="s">
        <v>382</v>
      </c>
      <c r="G2600" s="63" t="s">
        <v>628</v>
      </c>
      <c r="H2600" s="64" t="n">
        <v>1353507972.87801</v>
      </c>
      <c r="I2600" s="62" t="s">
        <v>81</v>
      </c>
      <c r="J2600" s="64" t="n">
        <v>1353507.97287801</v>
      </c>
      <c r="K2600" s="62" t="s">
        <v>138</v>
      </c>
      <c r="L2600" s="68" t="b">
        <f aca="false">TRUE()</f>
        <v>1</v>
      </c>
    </row>
    <row r="2601" customFormat="false" ht="15" hidden="false" customHeight="false" outlineLevel="0" collapsed="false">
      <c r="A2601" s="62" t="n">
        <v>0</v>
      </c>
      <c r="B2601" s="21" t="s">
        <v>336</v>
      </c>
      <c r="C2601" s="62" t="s">
        <v>60</v>
      </c>
      <c r="D2601" s="62" t="s">
        <v>388</v>
      </c>
      <c r="E2601" s="62" t="s">
        <v>72</v>
      </c>
      <c r="F2601" s="62" t="s">
        <v>382</v>
      </c>
      <c r="G2601" s="63" t="s">
        <v>628</v>
      </c>
      <c r="H2601" s="64" t="n">
        <v>1353507972.87801</v>
      </c>
      <c r="I2601" s="62" t="s">
        <v>81</v>
      </c>
      <c r="J2601" s="64" t="n">
        <v>1353507.97287801</v>
      </c>
      <c r="K2601" s="62" t="s">
        <v>138</v>
      </c>
      <c r="L2601" s="68" t="b">
        <f aca="false">TRUE()</f>
        <v>1</v>
      </c>
    </row>
    <row r="2602" customFormat="false" ht="15" hidden="false" customHeight="false" outlineLevel="0" collapsed="false">
      <c r="A2602" s="62" t="n">
        <v>0</v>
      </c>
      <c r="B2602" s="21" t="s">
        <v>336</v>
      </c>
      <c r="C2602" s="62" t="s">
        <v>60</v>
      </c>
      <c r="D2602" s="62" t="s">
        <v>381</v>
      </c>
      <c r="E2602" s="62" t="s">
        <v>72</v>
      </c>
      <c r="F2602" s="62" t="s">
        <v>382</v>
      </c>
      <c r="G2602" s="63" t="s">
        <v>629</v>
      </c>
      <c r="H2602" s="64" t="n">
        <v>1185000000</v>
      </c>
      <c r="I2602" s="62" t="s">
        <v>81</v>
      </c>
      <c r="J2602" s="64" t="n">
        <v>1185000</v>
      </c>
      <c r="K2602" s="62" t="s">
        <v>138</v>
      </c>
      <c r="L2602" s="68" t="b">
        <f aca="false">TRUE()</f>
        <v>1</v>
      </c>
    </row>
    <row r="2603" customFormat="false" ht="15" hidden="false" customHeight="false" outlineLevel="0" collapsed="false">
      <c r="A2603" s="62" t="n">
        <v>0</v>
      </c>
      <c r="B2603" s="21" t="s">
        <v>336</v>
      </c>
      <c r="C2603" s="62" t="s">
        <v>60</v>
      </c>
      <c r="D2603" s="62" t="s">
        <v>383</v>
      </c>
      <c r="E2603" s="62" t="s">
        <v>72</v>
      </c>
      <c r="F2603" s="62" t="s">
        <v>382</v>
      </c>
      <c r="G2603" s="63" t="s">
        <v>629</v>
      </c>
      <c r="H2603" s="64" t="n">
        <v>1185000000</v>
      </c>
      <c r="I2603" s="62" t="s">
        <v>81</v>
      </c>
      <c r="J2603" s="64" t="n">
        <v>1185000</v>
      </c>
      <c r="K2603" s="62" t="s">
        <v>138</v>
      </c>
      <c r="L2603" s="68" t="b">
        <f aca="false">TRUE()</f>
        <v>1</v>
      </c>
    </row>
    <row r="2604" customFormat="false" ht="15" hidden="false" customHeight="false" outlineLevel="0" collapsed="false">
      <c r="A2604" s="62" t="n">
        <v>0</v>
      </c>
      <c r="B2604" s="21" t="s">
        <v>336</v>
      </c>
      <c r="C2604" s="62" t="s">
        <v>60</v>
      </c>
      <c r="D2604" s="62" t="s">
        <v>384</v>
      </c>
      <c r="E2604" s="62" t="s">
        <v>72</v>
      </c>
      <c r="F2604" s="62" t="s">
        <v>382</v>
      </c>
      <c r="G2604" s="63" t="s">
        <v>629</v>
      </c>
      <c r="H2604" s="64" t="n">
        <v>1185000000</v>
      </c>
      <c r="I2604" s="62" t="s">
        <v>81</v>
      </c>
      <c r="J2604" s="64" t="n">
        <v>1185000</v>
      </c>
      <c r="K2604" s="62" t="s">
        <v>138</v>
      </c>
      <c r="L2604" s="68" t="b">
        <f aca="false">TRUE()</f>
        <v>1</v>
      </c>
    </row>
    <row r="2605" customFormat="false" ht="15" hidden="false" customHeight="false" outlineLevel="0" collapsed="false">
      <c r="A2605" s="62" t="n">
        <v>0</v>
      </c>
      <c r="B2605" s="21" t="s">
        <v>336</v>
      </c>
      <c r="C2605" s="62" t="s">
        <v>60</v>
      </c>
      <c r="D2605" s="62" t="s">
        <v>385</v>
      </c>
      <c r="E2605" s="62" t="s">
        <v>72</v>
      </c>
      <c r="F2605" s="62" t="s">
        <v>382</v>
      </c>
      <c r="G2605" s="63" t="s">
        <v>629</v>
      </c>
      <c r="H2605" s="64" t="n">
        <v>1185000000</v>
      </c>
      <c r="I2605" s="62" t="s">
        <v>81</v>
      </c>
      <c r="J2605" s="64" t="n">
        <v>1185000</v>
      </c>
      <c r="K2605" s="62" t="s">
        <v>138</v>
      </c>
      <c r="L2605" s="68" t="b">
        <f aca="false">TRUE()</f>
        <v>1</v>
      </c>
    </row>
    <row r="2606" customFormat="false" ht="15" hidden="false" customHeight="false" outlineLevel="0" collapsed="false">
      <c r="A2606" s="62" t="n">
        <v>0</v>
      </c>
      <c r="B2606" s="21" t="s">
        <v>336</v>
      </c>
      <c r="C2606" s="62" t="s">
        <v>60</v>
      </c>
      <c r="D2606" s="62" t="s">
        <v>386</v>
      </c>
      <c r="E2606" s="62" t="s">
        <v>72</v>
      </c>
      <c r="F2606" s="62" t="s">
        <v>382</v>
      </c>
      <c r="G2606" s="63" t="s">
        <v>629</v>
      </c>
      <c r="H2606" s="64" t="n">
        <v>1185000000</v>
      </c>
      <c r="I2606" s="62" t="s">
        <v>81</v>
      </c>
      <c r="J2606" s="64" t="n">
        <v>1185000</v>
      </c>
      <c r="K2606" s="62" t="s">
        <v>138</v>
      </c>
      <c r="L2606" s="68" t="b">
        <f aca="false">TRUE()</f>
        <v>1</v>
      </c>
    </row>
    <row r="2607" customFormat="false" ht="15" hidden="false" customHeight="false" outlineLevel="0" collapsed="false">
      <c r="A2607" s="62" t="n">
        <v>0</v>
      </c>
      <c r="B2607" s="21" t="s">
        <v>336</v>
      </c>
      <c r="C2607" s="62" t="s">
        <v>60</v>
      </c>
      <c r="D2607" s="62" t="s">
        <v>387</v>
      </c>
      <c r="E2607" s="62" t="s">
        <v>72</v>
      </c>
      <c r="F2607" s="62" t="s">
        <v>382</v>
      </c>
      <c r="G2607" s="63" t="s">
        <v>629</v>
      </c>
      <c r="H2607" s="64" t="n">
        <v>1185000000</v>
      </c>
      <c r="I2607" s="62" t="s">
        <v>81</v>
      </c>
      <c r="J2607" s="64" t="n">
        <v>1185000</v>
      </c>
      <c r="K2607" s="62" t="s">
        <v>138</v>
      </c>
      <c r="L2607" s="68" t="b">
        <f aca="false">TRUE()</f>
        <v>1</v>
      </c>
    </row>
    <row r="2608" customFormat="false" ht="15" hidden="false" customHeight="false" outlineLevel="0" collapsed="false">
      <c r="A2608" s="62" t="n">
        <v>0</v>
      </c>
      <c r="B2608" s="21" t="s">
        <v>336</v>
      </c>
      <c r="C2608" s="62" t="s">
        <v>60</v>
      </c>
      <c r="D2608" s="62" t="s">
        <v>388</v>
      </c>
      <c r="E2608" s="62" t="s">
        <v>72</v>
      </c>
      <c r="F2608" s="62" t="s">
        <v>382</v>
      </c>
      <c r="G2608" s="63" t="s">
        <v>629</v>
      </c>
      <c r="H2608" s="64" t="n">
        <v>1185000000</v>
      </c>
      <c r="I2608" s="62" t="s">
        <v>81</v>
      </c>
      <c r="J2608" s="64" t="n">
        <v>1185000</v>
      </c>
      <c r="K2608" s="62" t="s">
        <v>138</v>
      </c>
      <c r="L2608" s="68" t="b">
        <f aca="false">TRUE()</f>
        <v>1</v>
      </c>
    </row>
    <row r="2609" customFormat="false" ht="15" hidden="false" customHeight="false" outlineLevel="0" collapsed="false">
      <c r="A2609" s="62" t="n">
        <v>0</v>
      </c>
      <c r="B2609" s="21" t="s">
        <v>336</v>
      </c>
      <c r="C2609" s="62" t="s">
        <v>60</v>
      </c>
      <c r="D2609" s="62" t="s">
        <v>381</v>
      </c>
      <c r="E2609" s="62" t="s">
        <v>72</v>
      </c>
      <c r="F2609" s="62" t="s">
        <v>382</v>
      </c>
      <c r="G2609" s="63" t="s">
        <v>630</v>
      </c>
      <c r="H2609" s="64" t="n">
        <v>13166087701.6581</v>
      </c>
      <c r="I2609" s="62" t="s">
        <v>81</v>
      </c>
      <c r="J2609" s="64" t="n">
        <v>13166087.7016581</v>
      </c>
      <c r="K2609" s="62" t="s">
        <v>138</v>
      </c>
      <c r="L2609" s="68" t="b">
        <f aca="false">TRUE()</f>
        <v>1</v>
      </c>
    </row>
    <row r="2610" customFormat="false" ht="15" hidden="false" customHeight="false" outlineLevel="0" collapsed="false">
      <c r="A2610" s="62" t="n">
        <v>0</v>
      </c>
      <c r="B2610" s="21" t="s">
        <v>336</v>
      </c>
      <c r="C2610" s="62" t="s">
        <v>60</v>
      </c>
      <c r="D2610" s="62" t="s">
        <v>383</v>
      </c>
      <c r="E2610" s="62" t="s">
        <v>72</v>
      </c>
      <c r="F2610" s="62" t="s">
        <v>382</v>
      </c>
      <c r="G2610" s="63" t="s">
        <v>630</v>
      </c>
      <c r="H2610" s="64" t="n">
        <v>13166087701.6581</v>
      </c>
      <c r="I2610" s="62" t="s">
        <v>81</v>
      </c>
      <c r="J2610" s="64" t="n">
        <v>13166087.7016581</v>
      </c>
      <c r="K2610" s="62" t="s">
        <v>138</v>
      </c>
      <c r="L2610" s="68" t="b">
        <f aca="false">TRUE()</f>
        <v>1</v>
      </c>
    </row>
    <row r="2611" customFormat="false" ht="15" hidden="false" customHeight="false" outlineLevel="0" collapsed="false">
      <c r="A2611" s="62" t="n">
        <v>0</v>
      </c>
      <c r="B2611" s="21" t="s">
        <v>336</v>
      </c>
      <c r="C2611" s="62" t="s">
        <v>60</v>
      </c>
      <c r="D2611" s="62" t="s">
        <v>384</v>
      </c>
      <c r="E2611" s="62" t="s">
        <v>72</v>
      </c>
      <c r="F2611" s="62" t="s">
        <v>382</v>
      </c>
      <c r="G2611" s="63" t="s">
        <v>630</v>
      </c>
      <c r="H2611" s="64" t="n">
        <v>13166087701.6581</v>
      </c>
      <c r="I2611" s="62" t="s">
        <v>81</v>
      </c>
      <c r="J2611" s="64" t="n">
        <v>13166087.7016581</v>
      </c>
      <c r="K2611" s="62" t="s">
        <v>138</v>
      </c>
      <c r="L2611" s="68" t="b">
        <f aca="false">TRUE()</f>
        <v>1</v>
      </c>
    </row>
    <row r="2612" customFormat="false" ht="15" hidden="false" customHeight="false" outlineLevel="0" collapsed="false">
      <c r="A2612" s="62" t="n">
        <v>0</v>
      </c>
      <c r="B2612" s="21" t="s">
        <v>336</v>
      </c>
      <c r="C2612" s="62" t="s">
        <v>60</v>
      </c>
      <c r="D2612" s="62" t="s">
        <v>385</v>
      </c>
      <c r="E2612" s="62" t="s">
        <v>72</v>
      </c>
      <c r="F2612" s="62" t="s">
        <v>382</v>
      </c>
      <c r="G2612" s="63" t="s">
        <v>630</v>
      </c>
      <c r="H2612" s="64" t="n">
        <v>13166087701.6581</v>
      </c>
      <c r="I2612" s="62" t="s">
        <v>81</v>
      </c>
      <c r="J2612" s="64" t="n">
        <v>13166087.7016581</v>
      </c>
      <c r="K2612" s="62" t="s">
        <v>138</v>
      </c>
      <c r="L2612" s="68" t="b">
        <f aca="false">TRUE()</f>
        <v>1</v>
      </c>
    </row>
    <row r="2613" customFormat="false" ht="15" hidden="false" customHeight="false" outlineLevel="0" collapsed="false">
      <c r="A2613" s="62" t="n">
        <v>0</v>
      </c>
      <c r="B2613" s="21" t="s">
        <v>336</v>
      </c>
      <c r="C2613" s="62" t="s">
        <v>60</v>
      </c>
      <c r="D2613" s="62" t="s">
        <v>386</v>
      </c>
      <c r="E2613" s="62" t="s">
        <v>72</v>
      </c>
      <c r="F2613" s="62" t="s">
        <v>382</v>
      </c>
      <c r="G2613" s="63" t="s">
        <v>630</v>
      </c>
      <c r="H2613" s="64" t="n">
        <v>13166087701.6581</v>
      </c>
      <c r="I2613" s="62" t="s">
        <v>81</v>
      </c>
      <c r="J2613" s="64" t="n">
        <v>13166087.7016581</v>
      </c>
      <c r="K2613" s="62" t="s">
        <v>138</v>
      </c>
      <c r="L2613" s="68" t="b">
        <f aca="false">TRUE()</f>
        <v>1</v>
      </c>
    </row>
    <row r="2614" customFormat="false" ht="15" hidden="false" customHeight="false" outlineLevel="0" collapsed="false">
      <c r="A2614" s="62" t="n">
        <v>0</v>
      </c>
      <c r="B2614" s="21" t="s">
        <v>336</v>
      </c>
      <c r="C2614" s="62" t="s">
        <v>60</v>
      </c>
      <c r="D2614" s="62" t="s">
        <v>387</v>
      </c>
      <c r="E2614" s="62" t="s">
        <v>72</v>
      </c>
      <c r="F2614" s="62" t="s">
        <v>382</v>
      </c>
      <c r="G2614" s="63" t="s">
        <v>630</v>
      </c>
      <c r="H2614" s="64" t="n">
        <v>13166087701.6581</v>
      </c>
      <c r="I2614" s="62" t="s">
        <v>81</v>
      </c>
      <c r="J2614" s="64" t="n">
        <v>13166087.7016581</v>
      </c>
      <c r="K2614" s="62" t="s">
        <v>138</v>
      </c>
      <c r="L2614" s="68" t="b">
        <f aca="false">TRUE()</f>
        <v>1</v>
      </c>
    </row>
    <row r="2615" customFormat="false" ht="15" hidden="false" customHeight="false" outlineLevel="0" collapsed="false">
      <c r="A2615" s="62" t="n">
        <v>0</v>
      </c>
      <c r="B2615" s="21" t="s">
        <v>336</v>
      </c>
      <c r="C2615" s="62" t="s">
        <v>60</v>
      </c>
      <c r="D2615" s="62" t="s">
        <v>388</v>
      </c>
      <c r="E2615" s="62" t="s">
        <v>72</v>
      </c>
      <c r="F2615" s="62" t="s">
        <v>382</v>
      </c>
      <c r="G2615" s="63" t="s">
        <v>630</v>
      </c>
      <c r="H2615" s="64" t="n">
        <v>13166087701.6581</v>
      </c>
      <c r="I2615" s="62" t="s">
        <v>81</v>
      </c>
      <c r="J2615" s="64" t="n">
        <v>13166087.7016581</v>
      </c>
      <c r="K2615" s="62" t="s">
        <v>138</v>
      </c>
      <c r="L2615" s="68" t="b">
        <f aca="false">TRUE()</f>
        <v>1</v>
      </c>
    </row>
    <row r="2616" customFormat="false" ht="15" hidden="false" customHeight="false" outlineLevel="0" collapsed="false">
      <c r="A2616" s="62" t="n">
        <v>0</v>
      </c>
      <c r="B2616" s="21" t="s">
        <v>336</v>
      </c>
      <c r="C2616" s="62" t="s">
        <v>60</v>
      </c>
      <c r="D2616" s="62" t="s">
        <v>381</v>
      </c>
      <c r="E2616" s="62" t="s">
        <v>72</v>
      </c>
      <c r="F2616" s="62" t="s">
        <v>382</v>
      </c>
      <c r="G2616" s="63" t="s">
        <v>631</v>
      </c>
      <c r="H2616" s="64" t="n">
        <v>3897912298.34187</v>
      </c>
      <c r="I2616" s="62" t="s">
        <v>81</v>
      </c>
      <c r="J2616" s="64" t="n">
        <v>3897912.29834187</v>
      </c>
      <c r="K2616" s="62" t="s">
        <v>138</v>
      </c>
      <c r="L2616" s="68" t="b">
        <f aca="false">TRUE()</f>
        <v>1</v>
      </c>
    </row>
    <row r="2617" customFormat="false" ht="15" hidden="false" customHeight="false" outlineLevel="0" collapsed="false">
      <c r="A2617" s="62" t="n">
        <v>0</v>
      </c>
      <c r="B2617" s="21" t="s">
        <v>336</v>
      </c>
      <c r="C2617" s="62" t="s">
        <v>60</v>
      </c>
      <c r="D2617" s="62" t="s">
        <v>383</v>
      </c>
      <c r="E2617" s="62" t="s">
        <v>72</v>
      </c>
      <c r="F2617" s="62" t="s">
        <v>382</v>
      </c>
      <c r="G2617" s="63" t="s">
        <v>631</v>
      </c>
      <c r="H2617" s="64" t="n">
        <v>3897912298.34187</v>
      </c>
      <c r="I2617" s="62" t="s">
        <v>81</v>
      </c>
      <c r="J2617" s="64" t="n">
        <v>3897912.29834187</v>
      </c>
      <c r="K2617" s="62" t="s">
        <v>138</v>
      </c>
      <c r="L2617" s="68" t="b">
        <f aca="false">TRUE()</f>
        <v>1</v>
      </c>
    </row>
    <row r="2618" customFormat="false" ht="15" hidden="false" customHeight="false" outlineLevel="0" collapsed="false">
      <c r="A2618" s="62" t="n">
        <v>0</v>
      </c>
      <c r="B2618" s="21" t="s">
        <v>336</v>
      </c>
      <c r="C2618" s="62" t="s">
        <v>60</v>
      </c>
      <c r="D2618" s="62" t="s">
        <v>384</v>
      </c>
      <c r="E2618" s="62" t="s">
        <v>72</v>
      </c>
      <c r="F2618" s="62" t="s">
        <v>382</v>
      </c>
      <c r="G2618" s="63" t="s">
        <v>631</v>
      </c>
      <c r="H2618" s="64" t="n">
        <v>3897912298.34187</v>
      </c>
      <c r="I2618" s="62" t="s">
        <v>81</v>
      </c>
      <c r="J2618" s="64" t="n">
        <v>3897912.29834187</v>
      </c>
      <c r="K2618" s="62" t="s">
        <v>138</v>
      </c>
      <c r="L2618" s="68" t="b">
        <f aca="false">TRUE()</f>
        <v>1</v>
      </c>
    </row>
    <row r="2619" customFormat="false" ht="15" hidden="false" customHeight="false" outlineLevel="0" collapsed="false">
      <c r="A2619" s="62" t="n">
        <v>0</v>
      </c>
      <c r="B2619" s="21" t="s">
        <v>336</v>
      </c>
      <c r="C2619" s="62" t="s">
        <v>60</v>
      </c>
      <c r="D2619" s="62" t="s">
        <v>385</v>
      </c>
      <c r="E2619" s="62" t="s">
        <v>72</v>
      </c>
      <c r="F2619" s="62" t="s">
        <v>382</v>
      </c>
      <c r="G2619" s="63" t="s">
        <v>631</v>
      </c>
      <c r="H2619" s="64" t="n">
        <v>3897912298.34187</v>
      </c>
      <c r="I2619" s="62" t="s">
        <v>81</v>
      </c>
      <c r="J2619" s="64" t="n">
        <v>3897912.29834187</v>
      </c>
      <c r="K2619" s="62" t="s">
        <v>138</v>
      </c>
      <c r="L2619" s="68" t="b">
        <f aca="false">TRUE()</f>
        <v>1</v>
      </c>
    </row>
    <row r="2620" customFormat="false" ht="15" hidden="false" customHeight="false" outlineLevel="0" collapsed="false">
      <c r="A2620" s="62" t="n">
        <v>0</v>
      </c>
      <c r="B2620" s="21" t="s">
        <v>336</v>
      </c>
      <c r="C2620" s="62" t="s">
        <v>60</v>
      </c>
      <c r="D2620" s="62" t="s">
        <v>386</v>
      </c>
      <c r="E2620" s="62" t="s">
        <v>72</v>
      </c>
      <c r="F2620" s="62" t="s">
        <v>382</v>
      </c>
      <c r="G2620" s="63" t="s">
        <v>631</v>
      </c>
      <c r="H2620" s="64" t="n">
        <v>3897912298.34187</v>
      </c>
      <c r="I2620" s="62" t="s">
        <v>81</v>
      </c>
      <c r="J2620" s="64" t="n">
        <v>3897912.29834187</v>
      </c>
      <c r="K2620" s="62" t="s">
        <v>138</v>
      </c>
      <c r="L2620" s="68" t="b">
        <f aca="false">TRUE()</f>
        <v>1</v>
      </c>
    </row>
    <row r="2621" customFormat="false" ht="15" hidden="false" customHeight="false" outlineLevel="0" collapsed="false">
      <c r="A2621" s="62" t="n">
        <v>0</v>
      </c>
      <c r="B2621" s="21" t="s">
        <v>336</v>
      </c>
      <c r="C2621" s="62" t="s">
        <v>60</v>
      </c>
      <c r="D2621" s="62" t="s">
        <v>387</v>
      </c>
      <c r="E2621" s="62" t="s">
        <v>72</v>
      </c>
      <c r="F2621" s="62" t="s">
        <v>382</v>
      </c>
      <c r="G2621" s="63" t="s">
        <v>631</v>
      </c>
      <c r="H2621" s="64" t="n">
        <v>3897912298.34187</v>
      </c>
      <c r="I2621" s="62" t="s">
        <v>81</v>
      </c>
      <c r="J2621" s="64" t="n">
        <v>3897912.29834187</v>
      </c>
      <c r="K2621" s="62" t="s">
        <v>138</v>
      </c>
      <c r="L2621" s="68" t="b">
        <f aca="false">TRUE()</f>
        <v>1</v>
      </c>
    </row>
    <row r="2622" customFormat="false" ht="15" hidden="false" customHeight="false" outlineLevel="0" collapsed="false">
      <c r="A2622" s="62" t="n">
        <v>0</v>
      </c>
      <c r="B2622" s="21" t="s">
        <v>336</v>
      </c>
      <c r="C2622" s="62" t="s">
        <v>60</v>
      </c>
      <c r="D2622" s="62" t="s">
        <v>388</v>
      </c>
      <c r="E2622" s="62" t="s">
        <v>72</v>
      </c>
      <c r="F2622" s="62" t="s">
        <v>382</v>
      </c>
      <c r="G2622" s="63" t="s">
        <v>631</v>
      </c>
      <c r="H2622" s="64" t="n">
        <v>3897912298.34187</v>
      </c>
      <c r="I2622" s="62" t="s">
        <v>81</v>
      </c>
      <c r="J2622" s="64" t="n">
        <v>3897912.29834187</v>
      </c>
      <c r="K2622" s="62" t="s">
        <v>138</v>
      </c>
      <c r="L2622" s="68" t="b">
        <f aca="false">TRUE()</f>
        <v>1</v>
      </c>
    </row>
    <row r="2623" customFormat="false" ht="15" hidden="false" customHeight="false" outlineLevel="0" collapsed="false">
      <c r="A2623" s="62" t="n">
        <v>0</v>
      </c>
      <c r="B2623" s="21" t="s">
        <v>336</v>
      </c>
      <c r="C2623" s="62" t="s">
        <v>60</v>
      </c>
      <c r="D2623" s="62" t="s">
        <v>381</v>
      </c>
      <c r="E2623" s="62" t="s">
        <v>72</v>
      </c>
      <c r="F2623" s="62" t="s">
        <v>382</v>
      </c>
      <c r="G2623" s="63" t="s">
        <v>632</v>
      </c>
      <c r="H2623" s="64" t="n">
        <v>700000000</v>
      </c>
      <c r="I2623" s="62" t="s">
        <v>81</v>
      </c>
      <c r="J2623" s="64" t="n">
        <v>700000</v>
      </c>
      <c r="K2623" s="62" t="s">
        <v>138</v>
      </c>
      <c r="L2623" s="68" t="b">
        <f aca="false">TRUE()</f>
        <v>1</v>
      </c>
    </row>
    <row r="2624" customFormat="false" ht="15" hidden="false" customHeight="false" outlineLevel="0" collapsed="false">
      <c r="A2624" s="62" t="n">
        <v>0</v>
      </c>
      <c r="B2624" s="21" t="s">
        <v>336</v>
      </c>
      <c r="C2624" s="62" t="s">
        <v>60</v>
      </c>
      <c r="D2624" s="62" t="s">
        <v>383</v>
      </c>
      <c r="E2624" s="62" t="s">
        <v>72</v>
      </c>
      <c r="F2624" s="62" t="s">
        <v>382</v>
      </c>
      <c r="G2624" s="63" t="s">
        <v>632</v>
      </c>
      <c r="H2624" s="64" t="n">
        <v>700000000</v>
      </c>
      <c r="I2624" s="62" t="s">
        <v>81</v>
      </c>
      <c r="J2624" s="64" t="n">
        <v>700000</v>
      </c>
      <c r="K2624" s="62" t="s">
        <v>138</v>
      </c>
      <c r="L2624" s="68" t="b">
        <f aca="false">TRUE()</f>
        <v>1</v>
      </c>
    </row>
    <row r="2625" customFormat="false" ht="15" hidden="false" customHeight="false" outlineLevel="0" collapsed="false">
      <c r="A2625" s="62" t="n">
        <v>0</v>
      </c>
      <c r="B2625" s="21" t="s">
        <v>336</v>
      </c>
      <c r="C2625" s="62" t="s">
        <v>60</v>
      </c>
      <c r="D2625" s="62" t="s">
        <v>384</v>
      </c>
      <c r="E2625" s="62" t="s">
        <v>72</v>
      </c>
      <c r="F2625" s="62" t="s">
        <v>382</v>
      </c>
      <c r="G2625" s="63" t="s">
        <v>632</v>
      </c>
      <c r="H2625" s="64" t="n">
        <v>700000000</v>
      </c>
      <c r="I2625" s="62" t="s">
        <v>81</v>
      </c>
      <c r="J2625" s="64" t="n">
        <v>700000</v>
      </c>
      <c r="K2625" s="62" t="s">
        <v>138</v>
      </c>
      <c r="L2625" s="68" t="b">
        <f aca="false">TRUE()</f>
        <v>1</v>
      </c>
    </row>
    <row r="2626" customFormat="false" ht="15" hidden="false" customHeight="false" outlineLevel="0" collapsed="false">
      <c r="A2626" s="62" t="n">
        <v>0</v>
      </c>
      <c r="B2626" s="21" t="s">
        <v>336</v>
      </c>
      <c r="C2626" s="62" t="s">
        <v>60</v>
      </c>
      <c r="D2626" s="62" t="s">
        <v>385</v>
      </c>
      <c r="E2626" s="62" t="s">
        <v>72</v>
      </c>
      <c r="F2626" s="62" t="s">
        <v>382</v>
      </c>
      <c r="G2626" s="63" t="s">
        <v>632</v>
      </c>
      <c r="H2626" s="64" t="n">
        <v>700000000</v>
      </c>
      <c r="I2626" s="62" t="s">
        <v>81</v>
      </c>
      <c r="J2626" s="64" t="n">
        <v>700000</v>
      </c>
      <c r="K2626" s="62" t="s">
        <v>138</v>
      </c>
      <c r="L2626" s="68" t="b">
        <f aca="false">TRUE()</f>
        <v>1</v>
      </c>
    </row>
    <row r="2627" customFormat="false" ht="15" hidden="false" customHeight="false" outlineLevel="0" collapsed="false">
      <c r="A2627" s="62" t="n">
        <v>0</v>
      </c>
      <c r="B2627" s="21" t="s">
        <v>336</v>
      </c>
      <c r="C2627" s="62" t="s">
        <v>60</v>
      </c>
      <c r="D2627" s="62" t="s">
        <v>386</v>
      </c>
      <c r="E2627" s="62" t="s">
        <v>72</v>
      </c>
      <c r="F2627" s="62" t="s">
        <v>382</v>
      </c>
      <c r="G2627" s="63" t="s">
        <v>632</v>
      </c>
      <c r="H2627" s="64" t="n">
        <v>700000000</v>
      </c>
      <c r="I2627" s="62" t="s">
        <v>81</v>
      </c>
      <c r="J2627" s="64" t="n">
        <v>700000</v>
      </c>
      <c r="K2627" s="62" t="s">
        <v>138</v>
      </c>
      <c r="L2627" s="68" t="b">
        <f aca="false">TRUE()</f>
        <v>1</v>
      </c>
    </row>
    <row r="2628" customFormat="false" ht="15" hidden="false" customHeight="false" outlineLevel="0" collapsed="false">
      <c r="A2628" s="62" t="n">
        <v>0</v>
      </c>
      <c r="B2628" s="21" t="s">
        <v>336</v>
      </c>
      <c r="C2628" s="62" t="s">
        <v>60</v>
      </c>
      <c r="D2628" s="62" t="s">
        <v>387</v>
      </c>
      <c r="E2628" s="62" t="s">
        <v>72</v>
      </c>
      <c r="F2628" s="62" t="s">
        <v>382</v>
      </c>
      <c r="G2628" s="63" t="s">
        <v>632</v>
      </c>
      <c r="H2628" s="64" t="n">
        <v>700000000</v>
      </c>
      <c r="I2628" s="62" t="s">
        <v>81</v>
      </c>
      <c r="J2628" s="64" t="n">
        <v>700000</v>
      </c>
      <c r="K2628" s="62" t="s">
        <v>138</v>
      </c>
      <c r="L2628" s="68" t="b">
        <f aca="false">TRUE()</f>
        <v>1</v>
      </c>
    </row>
    <row r="2629" customFormat="false" ht="15" hidden="false" customHeight="false" outlineLevel="0" collapsed="false">
      <c r="A2629" s="62" t="n">
        <v>0</v>
      </c>
      <c r="B2629" s="21" t="s">
        <v>336</v>
      </c>
      <c r="C2629" s="62" t="s">
        <v>60</v>
      </c>
      <c r="D2629" s="62" t="s">
        <v>388</v>
      </c>
      <c r="E2629" s="62" t="s">
        <v>72</v>
      </c>
      <c r="F2629" s="62" t="s">
        <v>382</v>
      </c>
      <c r="G2629" s="63" t="s">
        <v>632</v>
      </c>
      <c r="H2629" s="64" t="n">
        <v>700000000</v>
      </c>
      <c r="I2629" s="62" t="s">
        <v>81</v>
      </c>
      <c r="J2629" s="64" t="n">
        <v>700000</v>
      </c>
      <c r="K2629" s="62" t="s">
        <v>138</v>
      </c>
      <c r="L2629" s="68" t="b">
        <f aca="false">TRUE()</f>
        <v>1</v>
      </c>
    </row>
    <row r="2630" customFormat="false" ht="15" hidden="false" customHeight="false" outlineLevel="0" collapsed="false">
      <c r="A2630" s="62" t="n">
        <v>0</v>
      </c>
      <c r="B2630" s="21" t="s">
        <v>336</v>
      </c>
      <c r="C2630" s="62" t="s">
        <v>60</v>
      </c>
      <c r="D2630" s="62" t="s">
        <v>381</v>
      </c>
      <c r="E2630" s="62" t="s">
        <v>72</v>
      </c>
      <c r="F2630" s="62" t="s">
        <v>382</v>
      </c>
      <c r="G2630" s="63" t="s">
        <v>633</v>
      </c>
      <c r="H2630" s="64" t="n">
        <v>3197912298.34187</v>
      </c>
      <c r="I2630" s="62" t="s">
        <v>81</v>
      </c>
      <c r="J2630" s="64" t="n">
        <v>3197912.29834187</v>
      </c>
      <c r="K2630" s="62" t="s">
        <v>138</v>
      </c>
      <c r="L2630" s="68" t="b">
        <f aca="false">TRUE()</f>
        <v>1</v>
      </c>
    </row>
    <row r="2631" customFormat="false" ht="15" hidden="false" customHeight="false" outlineLevel="0" collapsed="false">
      <c r="A2631" s="62" t="n">
        <v>0</v>
      </c>
      <c r="B2631" s="21" t="s">
        <v>336</v>
      </c>
      <c r="C2631" s="62" t="s">
        <v>60</v>
      </c>
      <c r="D2631" s="62" t="s">
        <v>383</v>
      </c>
      <c r="E2631" s="62" t="s">
        <v>72</v>
      </c>
      <c r="F2631" s="62" t="s">
        <v>382</v>
      </c>
      <c r="G2631" s="63" t="s">
        <v>633</v>
      </c>
      <c r="H2631" s="64" t="n">
        <v>3197912298.34187</v>
      </c>
      <c r="I2631" s="62" t="s">
        <v>81</v>
      </c>
      <c r="J2631" s="64" t="n">
        <v>3197912.29834187</v>
      </c>
      <c r="K2631" s="62" t="s">
        <v>138</v>
      </c>
      <c r="L2631" s="68" t="b">
        <f aca="false">TRUE()</f>
        <v>1</v>
      </c>
    </row>
    <row r="2632" customFormat="false" ht="15" hidden="false" customHeight="false" outlineLevel="0" collapsed="false">
      <c r="A2632" s="62" t="n">
        <v>0</v>
      </c>
      <c r="B2632" s="21" t="s">
        <v>336</v>
      </c>
      <c r="C2632" s="62" t="s">
        <v>60</v>
      </c>
      <c r="D2632" s="62" t="s">
        <v>384</v>
      </c>
      <c r="E2632" s="62" t="s">
        <v>72</v>
      </c>
      <c r="F2632" s="62" t="s">
        <v>382</v>
      </c>
      <c r="G2632" s="63" t="s">
        <v>633</v>
      </c>
      <c r="H2632" s="64" t="n">
        <v>3197912298.34187</v>
      </c>
      <c r="I2632" s="62" t="s">
        <v>81</v>
      </c>
      <c r="J2632" s="64" t="n">
        <v>3197912.29834187</v>
      </c>
      <c r="K2632" s="62" t="s">
        <v>138</v>
      </c>
      <c r="L2632" s="68" t="b">
        <f aca="false">TRUE()</f>
        <v>1</v>
      </c>
    </row>
    <row r="2633" customFormat="false" ht="15" hidden="false" customHeight="false" outlineLevel="0" collapsed="false">
      <c r="A2633" s="62" t="n">
        <v>0</v>
      </c>
      <c r="B2633" s="21" t="s">
        <v>336</v>
      </c>
      <c r="C2633" s="62" t="s">
        <v>60</v>
      </c>
      <c r="D2633" s="62" t="s">
        <v>385</v>
      </c>
      <c r="E2633" s="62" t="s">
        <v>72</v>
      </c>
      <c r="F2633" s="62" t="s">
        <v>382</v>
      </c>
      <c r="G2633" s="63" t="s">
        <v>633</v>
      </c>
      <c r="H2633" s="64" t="n">
        <v>3197912298.34187</v>
      </c>
      <c r="I2633" s="62" t="s">
        <v>81</v>
      </c>
      <c r="J2633" s="64" t="n">
        <v>3197912.29834187</v>
      </c>
      <c r="K2633" s="62" t="s">
        <v>138</v>
      </c>
      <c r="L2633" s="68" t="b">
        <f aca="false">TRUE()</f>
        <v>1</v>
      </c>
    </row>
    <row r="2634" customFormat="false" ht="15" hidden="false" customHeight="false" outlineLevel="0" collapsed="false">
      <c r="A2634" s="62" t="n">
        <v>0</v>
      </c>
      <c r="B2634" s="21" t="s">
        <v>336</v>
      </c>
      <c r="C2634" s="62" t="s">
        <v>60</v>
      </c>
      <c r="D2634" s="62" t="s">
        <v>386</v>
      </c>
      <c r="E2634" s="62" t="s">
        <v>72</v>
      </c>
      <c r="F2634" s="62" t="s">
        <v>382</v>
      </c>
      <c r="G2634" s="63" t="s">
        <v>633</v>
      </c>
      <c r="H2634" s="64" t="n">
        <v>3197912298.34187</v>
      </c>
      <c r="I2634" s="62" t="s">
        <v>81</v>
      </c>
      <c r="J2634" s="64" t="n">
        <v>3197912.29834187</v>
      </c>
      <c r="K2634" s="62" t="s">
        <v>138</v>
      </c>
      <c r="L2634" s="68" t="b">
        <f aca="false">TRUE()</f>
        <v>1</v>
      </c>
    </row>
    <row r="2635" customFormat="false" ht="15" hidden="false" customHeight="false" outlineLevel="0" collapsed="false">
      <c r="A2635" s="62" t="n">
        <v>0</v>
      </c>
      <c r="B2635" s="21" t="s">
        <v>336</v>
      </c>
      <c r="C2635" s="62" t="s">
        <v>60</v>
      </c>
      <c r="D2635" s="62" t="s">
        <v>387</v>
      </c>
      <c r="E2635" s="62" t="s">
        <v>72</v>
      </c>
      <c r="F2635" s="62" t="s">
        <v>382</v>
      </c>
      <c r="G2635" s="63" t="s">
        <v>633</v>
      </c>
      <c r="H2635" s="64" t="n">
        <v>3197912298.34187</v>
      </c>
      <c r="I2635" s="62" t="s">
        <v>81</v>
      </c>
      <c r="J2635" s="64" t="n">
        <v>3197912.29834187</v>
      </c>
      <c r="K2635" s="62" t="s">
        <v>138</v>
      </c>
      <c r="L2635" s="68" t="b">
        <f aca="false">TRUE()</f>
        <v>1</v>
      </c>
    </row>
    <row r="2636" customFormat="false" ht="15" hidden="false" customHeight="false" outlineLevel="0" collapsed="false">
      <c r="A2636" s="62" t="n">
        <v>0</v>
      </c>
      <c r="B2636" s="21" t="s">
        <v>336</v>
      </c>
      <c r="C2636" s="62" t="s">
        <v>60</v>
      </c>
      <c r="D2636" s="62" t="s">
        <v>388</v>
      </c>
      <c r="E2636" s="62" t="s">
        <v>72</v>
      </c>
      <c r="F2636" s="62" t="s">
        <v>382</v>
      </c>
      <c r="G2636" s="63" t="s">
        <v>633</v>
      </c>
      <c r="H2636" s="64" t="n">
        <v>3197912298.34187</v>
      </c>
      <c r="I2636" s="62" t="s">
        <v>81</v>
      </c>
      <c r="J2636" s="64" t="n">
        <v>3197912.29834187</v>
      </c>
      <c r="K2636" s="62" t="s">
        <v>138</v>
      </c>
      <c r="L2636" s="68" t="b">
        <f aca="false">TRUE()</f>
        <v>1</v>
      </c>
    </row>
    <row r="2637" customFormat="false" ht="15" hidden="false" customHeight="false" outlineLevel="0" collapsed="false">
      <c r="A2637" s="62" t="n">
        <v>0</v>
      </c>
      <c r="B2637" s="21" t="s">
        <v>336</v>
      </c>
      <c r="C2637" s="62" t="s">
        <v>60</v>
      </c>
      <c r="D2637" s="62" t="s">
        <v>381</v>
      </c>
      <c r="E2637" s="62" t="s">
        <v>72</v>
      </c>
      <c r="F2637" s="62" t="s">
        <v>382</v>
      </c>
      <c r="G2637" s="63" t="s">
        <v>634</v>
      </c>
      <c r="H2637" s="64" t="n">
        <v>54512278812.778</v>
      </c>
      <c r="I2637" s="62" t="s">
        <v>81</v>
      </c>
      <c r="J2637" s="64" t="n">
        <v>54512278.812778</v>
      </c>
      <c r="K2637" s="62" t="s">
        <v>138</v>
      </c>
      <c r="L2637" s="68" t="b">
        <f aca="false">FALSE()</f>
        <v>0</v>
      </c>
    </row>
    <row r="2638" customFormat="false" ht="15" hidden="false" customHeight="false" outlineLevel="0" collapsed="false">
      <c r="A2638" s="62" t="n">
        <v>0</v>
      </c>
      <c r="B2638" s="21" t="s">
        <v>336</v>
      </c>
      <c r="C2638" s="62" t="s">
        <v>60</v>
      </c>
      <c r="D2638" s="62" t="s">
        <v>383</v>
      </c>
      <c r="E2638" s="62" t="s">
        <v>72</v>
      </c>
      <c r="F2638" s="62" t="s">
        <v>382</v>
      </c>
      <c r="G2638" s="63" t="s">
        <v>634</v>
      </c>
      <c r="H2638" s="64" t="n">
        <v>54512278812.778</v>
      </c>
      <c r="I2638" s="62" t="s">
        <v>81</v>
      </c>
      <c r="J2638" s="64" t="n">
        <v>54512278.812778</v>
      </c>
      <c r="K2638" s="62" t="s">
        <v>138</v>
      </c>
      <c r="L2638" s="68" t="b">
        <f aca="false">FALSE()</f>
        <v>0</v>
      </c>
    </row>
    <row r="2639" customFormat="false" ht="15" hidden="false" customHeight="false" outlineLevel="0" collapsed="false">
      <c r="A2639" s="62" t="n">
        <v>0</v>
      </c>
      <c r="B2639" s="21" t="s">
        <v>336</v>
      </c>
      <c r="C2639" s="62" t="s">
        <v>60</v>
      </c>
      <c r="D2639" s="62" t="s">
        <v>384</v>
      </c>
      <c r="E2639" s="62" t="s">
        <v>72</v>
      </c>
      <c r="F2639" s="62" t="s">
        <v>382</v>
      </c>
      <c r="G2639" s="63" t="s">
        <v>634</v>
      </c>
      <c r="H2639" s="64" t="n">
        <v>54512278812.778</v>
      </c>
      <c r="I2639" s="62" t="s">
        <v>81</v>
      </c>
      <c r="J2639" s="64" t="n">
        <v>54512278.812778</v>
      </c>
      <c r="K2639" s="62" t="s">
        <v>138</v>
      </c>
      <c r="L2639" s="68" t="b">
        <f aca="false">FALSE()</f>
        <v>0</v>
      </c>
    </row>
    <row r="2640" customFormat="false" ht="15" hidden="false" customHeight="false" outlineLevel="0" collapsed="false">
      <c r="A2640" s="62" t="n">
        <v>0</v>
      </c>
      <c r="B2640" s="21" t="s">
        <v>336</v>
      </c>
      <c r="C2640" s="62" t="s">
        <v>60</v>
      </c>
      <c r="D2640" s="62" t="s">
        <v>385</v>
      </c>
      <c r="E2640" s="62" t="s">
        <v>72</v>
      </c>
      <c r="F2640" s="62" t="s">
        <v>382</v>
      </c>
      <c r="G2640" s="63" t="s">
        <v>634</v>
      </c>
      <c r="H2640" s="64" t="n">
        <v>54512278812.778</v>
      </c>
      <c r="I2640" s="62" t="s">
        <v>81</v>
      </c>
      <c r="J2640" s="64" t="n">
        <v>54512278.812778</v>
      </c>
      <c r="K2640" s="62" t="s">
        <v>138</v>
      </c>
      <c r="L2640" s="68" t="b">
        <f aca="false">FALSE()</f>
        <v>0</v>
      </c>
    </row>
    <row r="2641" customFormat="false" ht="15" hidden="false" customHeight="false" outlineLevel="0" collapsed="false">
      <c r="A2641" s="62" t="n">
        <v>0</v>
      </c>
      <c r="B2641" s="21" t="s">
        <v>336</v>
      </c>
      <c r="C2641" s="62" t="s">
        <v>60</v>
      </c>
      <c r="D2641" s="62" t="s">
        <v>386</v>
      </c>
      <c r="E2641" s="62" t="s">
        <v>72</v>
      </c>
      <c r="F2641" s="62" t="s">
        <v>382</v>
      </c>
      <c r="G2641" s="63" t="s">
        <v>634</v>
      </c>
      <c r="H2641" s="64" t="n">
        <v>54512278812.778</v>
      </c>
      <c r="I2641" s="62" t="s">
        <v>81</v>
      </c>
      <c r="J2641" s="64" t="n">
        <v>54512278.812778</v>
      </c>
      <c r="K2641" s="62" t="s">
        <v>138</v>
      </c>
      <c r="L2641" s="68" t="b">
        <f aca="false">FALSE()</f>
        <v>0</v>
      </c>
    </row>
    <row r="2642" customFormat="false" ht="15" hidden="false" customHeight="false" outlineLevel="0" collapsed="false">
      <c r="A2642" s="62" t="n">
        <v>0</v>
      </c>
      <c r="B2642" s="21" t="s">
        <v>336</v>
      </c>
      <c r="C2642" s="62" t="s">
        <v>60</v>
      </c>
      <c r="D2642" s="62" t="s">
        <v>387</v>
      </c>
      <c r="E2642" s="62" t="s">
        <v>72</v>
      </c>
      <c r="F2642" s="62" t="s">
        <v>382</v>
      </c>
      <c r="G2642" s="63" t="s">
        <v>634</v>
      </c>
      <c r="H2642" s="64" t="n">
        <v>54512278812.778</v>
      </c>
      <c r="I2642" s="62" t="s">
        <v>81</v>
      </c>
      <c r="J2642" s="64" t="n">
        <v>54512278.812778</v>
      </c>
      <c r="K2642" s="62" t="s">
        <v>138</v>
      </c>
      <c r="L2642" s="68" t="b">
        <f aca="false">FALSE()</f>
        <v>0</v>
      </c>
    </row>
    <row r="2643" customFormat="false" ht="15" hidden="false" customHeight="false" outlineLevel="0" collapsed="false">
      <c r="A2643" s="62" t="n">
        <v>0</v>
      </c>
      <c r="B2643" s="21" t="s">
        <v>336</v>
      </c>
      <c r="C2643" s="62" t="s">
        <v>60</v>
      </c>
      <c r="D2643" s="62" t="s">
        <v>388</v>
      </c>
      <c r="E2643" s="62" t="s">
        <v>72</v>
      </c>
      <c r="F2643" s="62" t="s">
        <v>382</v>
      </c>
      <c r="G2643" s="63" t="s">
        <v>634</v>
      </c>
      <c r="H2643" s="64" t="n">
        <v>54512278812.778</v>
      </c>
      <c r="I2643" s="62" t="s">
        <v>81</v>
      </c>
      <c r="J2643" s="64" t="n">
        <v>54512278.812778</v>
      </c>
      <c r="K2643" s="62" t="s">
        <v>138</v>
      </c>
      <c r="L2643" s="68" t="b">
        <f aca="false">FALSE()</f>
        <v>0</v>
      </c>
    </row>
    <row r="2644" customFormat="false" ht="15" hidden="false" customHeight="false" outlineLevel="0" collapsed="false">
      <c r="A2644" s="62" t="n">
        <v>0</v>
      </c>
      <c r="B2644" s="21" t="s">
        <v>336</v>
      </c>
      <c r="C2644" s="62" t="s">
        <v>60</v>
      </c>
      <c r="D2644" s="62" t="s">
        <v>381</v>
      </c>
      <c r="E2644" s="62" t="s">
        <v>72</v>
      </c>
      <c r="F2644" s="62" t="s">
        <v>382</v>
      </c>
      <c r="G2644" s="63" t="s">
        <v>635</v>
      </c>
      <c r="H2644" s="64" t="n">
        <v>10811319047.8053</v>
      </c>
      <c r="I2644" s="62" t="s">
        <v>81</v>
      </c>
      <c r="J2644" s="64" t="n">
        <v>10811319.0478053</v>
      </c>
      <c r="K2644" s="62" t="s">
        <v>138</v>
      </c>
      <c r="L2644" s="68" t="b">
        <f aca="false">FALSE()</f>
        <v>0</v>
      </c>
    </row>
    <row r="2645" customFormat="false" ht="15" hidden="false" customHeight="false" outlineLevel="0" collapsed="false">
      <c r="A2645" s="62" t="n">
        <v>0</v>
      </c>
      <c r="B2645" s="21" t="s">
        <v>336</v>
      </c>
      <c r="C2645" s="62" t="s">
        <v>60</v>
      </c>
      <c r="D2645" s="62" t="s">
        <v>383</v>
      </c>
      <c r="E2645" s="62" t="s">
        <v>72</v>
      </c>
      <c r="F2645" s="62" t="s">
        <v>382</v>
      </c>
      <c r="G2645" s="63" t="s">
        <v>635</v>
      </c>
      <c r="H2645" s="64" t="n">
        <v>10811319047.8053</v>
      </c>
      <c r="I2645" s="62" t="s">
        <v>81</v>
      </c>
      <c r="J2645" s="64" t="n">
        <v>10811319.0478053</v>
      </c>
      <c r="K2645" s="62" t="s">
        <v>138</v>
      </c>
      <c r="L2645" s="68" t="b">
        <f aca="false">FALSE()</f>
        <v>0</v>
      </c>
    </row>
    <row r="2646" customFormat="false" ht="15" hidden="false" customHeight="false" outlineLevel="0" collapsed="false">
      <c r="A2646" s="62" t="n">
        <v>0</v>
      </c>
      <c r="B2646" s="21" t="s">
        <v>336</v>
      </c>
      <c r="C2646" s="62" t="s">
        <v>60</v>
      </c>
      <c r="D2646" s="62" t="s">
        <v>384</v>
      </c>
      <c r="E2646" s="62" t="s">
        <v>72</v>
      </c>
      <c r="F2646" s="62" t="s">
        <v>382</v>
      </c>
      <c r="G2646" s="63" t="s">
        <v>635</v>
      </c>
      <c r="H2646" s="64" t="n">
        <v>10811319047.8053</v>
      </c>
      <c r="I2646" s="62" t="s">
        <v>81</v>
      </c>
      <c r="J2646" s="64" t="n">
        <v>10811319.0478053</v>
      </c>
      <c r="K2646" s="62" t="s">
        <v>138</v>
      </c>
      <c r="L2646" s="68" t="b">
        <f aca="false">FALSE()</f>
        <v>0</v>
      </c>
    </row>
    <row r="2647" customFormat="false" ht="15" hidden="false" customHeight="false" outlineLevel="0" collapsed="false">
      <c r="A2647" s="62" t="n">
        <v>0</v>
      </c>
      <c r="B2647" s="21" t="s">
        <v>336</v>
      </c>
      <c r="C2647" s="62" t="s">
        <v>60</v>
      </c>
      <c r="D2647" s="62" t="s">
        <v>385</v>
      </c>
      <c r="E2647" s="62" t="s">
        <v>72</v>
      </c>
      <c r="F2647" s="62" t="s">
        <v>382</v>
      </c>
      <c r="G2647" s="63" t="s">
        <v>635</v>
      </c>
      <c r="H2647" s="64" t="n">
        <v>10811319047.8053</v>
      </c>
      <c r="I2647" s="62" t="s">
        <v>81</v>
      </c>
      <c r="J2647" s="64" t="n">
        <v>10811319.0478053</v>
      </c>
      <c r="K2647" s="62" t="s">
        <v>138</v>
      </c>
      <c r="L2647" s="68" t="b">
        <f aca="false">FALSE()</f>
        <v>0</v>
      </c>
    </row>
    <row r="2648" customFormat="false" ht="15" hidden="false" customHeight="false" outlineLevel="0" collapsed="false">
      <c r="A2648" s="62" t="n">
        <v>0</v>
      </c>
      <c r="B2648" s="21" t="s">
        <v>336</v>
      </c>
      <c r="C2648" s="62" t="s">
        <v>60</v>
      </c>
      <c r="D2648" s="62" t="s">
        <v>386</v>
      </c>
      <c r="E2648" s="62" t="s">
        <v>72</v>
      </c>
      <c r="F2648" s="62" t="s">
        <v>382</v>
      </c>
      <c r="G2648" s="63" t="s">
        <v>635</v>
      </c>
      <c r="H2648" s="64" t="n">
        <v>10811319047.8053</v>
      </c>
      <c r="I2648" s="62" t="s">
        <v>81</v>
      </c>
      <c r="J2648" s="64" t="n">
        <v>10811319.0478053</v>
      </c>
      <c r="K2648" s="62" t="s">
        <v>138</v>
      </c>
      <c r="L2648" s="68" t="b">
        <f aca="false">FALSE()</f>
        <v>0</v>
      </c>
    </row>
    <row r="2649" customFormat="false" ht="15" hidden="false" customHeight="false" outlineLevel="0" collapsed="false">
      <c r="A2649" s="62" t="n">
        <v>0</v>
      </c>
      <c r="B2649" s="21" t="s">
        <v>336</v>
      </c>
      <c r="C2649" s="62" t="s">
        <v>60</v>
      </c>
      <c r="D2649" s="62" t="s">
        <v>387</v>
      </c>
      <c r="E2649" s="62" t="s">
        <v>72</v>
      </c>
      <c r="F2649" s="62" t="s">
        <v>382</v>
      </c>
      <c r="G2649" s="63" t="s">
        <v>635</v>
      </c>
      <c r="H2649" s="64" t="n">
        <v>10811319047.8053</v>
      </c>
      <c r="I2649" s="62" t="s">
        <v>81</v>
      </c>
      <c r="J2649" s="64" t="n">
        <v>10811319.0478053</v>
      </c>
      <c r="K2649" s="62" t="s">
        <v>138</v>
      </c>
      <c r="L2649" s="68" t="b">
        <f aca="false">FALSE()</f>
        <v>0</v>
      </c>
    </row>
    <row r="2650" customFormat="false" ht="15" hidden="false" customHeight="false" outlineLevel="0" collapsed="false">
      <c r="A2650" s="62" t="n">
        <v>0</v>
      </c>
      <c r="B2650" s="21" t="s">
        <v>336</v>
      </c>
      <c r="C2650" s="62" t="s">
        <v>60</v>
      </c>
      <c r="D2650" s="62" t="s">
        <v>388</v>
      </c>
      <c r="E2650" s="62" t="s">
        <v>72</v>
      </c>
      <c r="F2650" s="62" t="s">
        <v>382</v>
      </c>
      <c r="G2650" s="63" t="s">
        <v>635</v>
      </c>
      <c r="H2650" s="64" t="n">
        <v>10811319047.8053</v>
      </c>
      <c r="I2650" s="62" t="s">
        <v>81</v>
      </c>
      <c r="J2650" s="64" t="n">
        <v>10811319.0478053</v>
      </c>
      <c r="K2650" s="62" t="s">
        <v>138</v>
      </c>
      <c r="L2650" s="68" t="b">
        <f aca="false">FALSE()</f>
        <v>0</v>
      </c>
    </row>
    <row r="2651" customFormat="false" ht="15" hidden="false" customHeight="false" outlineLevel="0" collapsed="false">
      <c r="A2651" s="62" t="n">
        <v>0</v>
      </c>
      <c r="B2651" s="21" t="s">
        <v>336</v>
      </c>
      <c r="C2651" s="62" t="s">
        <v>60</v>
      </c>
      <c r="D2651" s="62" t="s">
        <v>381</v>
      </c>
      <c r="E2651" s="62" t="s">
        <v>72</v>
      </c>
      <c r="F2651" s="62" t="s">
        <v>382</v>
      </c>
      <c r="G2651" s="63" t="s">
        <v>636</v>
      </c>
      <c r="H2651" s="64" t="n">
        <v>-10736012699.169</v>
      </c>
      <c r="I2651" s="62" t="s">
        <v>81</v>
      </c>
      <c r="J2651" s="64" t="n">
        <v>-10736012.699169</v>
      </c>
      <c r="K2651" s="62" t="s">
        <v>138</v>
      </c>
      <c r="L2651" s="68" t="b">
        <f aca="false">FALSE()</f>
        <v>0</v>
      </c>
    </row>
    <row r="2652" customFormat="false" ht="15" hidden="false" customHeight="false" outlineLevel="0" collapsed="false">
      <c r="A2652" s="62" t="n">
        <v>0</v>
      </c>
      <c r="B2652" s="21" t="s">
        <v>336</v>
      </c>
      <c r="C2652" s="62" t="s">
        <v>60</v>
      </c>
      <c r="D2652" s="62" t="s">
        <v>383</v>
      </c>
      <c r="E2652" s="62" t="s">
        <v>72</v>
      </c>
      <c r="F2652" s="62" t="s">
        <v>382</v>
      </c>
      <c r="G2652" s="63" t="s">
        <v>636</v>
      </c>
      <c r="H2652" s="64" t="n">
        <v>-10736012699.169</v>
      </c>
      <c r="I2652" s="62" t="s">
        <v>81</v>
      </c>
      <c r="J2652" s="64" t="n">
        <v>-10736012.699169</v>
      </c>
      <c r="K2652" s="62" t="s">
        <v>138</v>
      </c>
      <c r="L2652" s="68" t="b">
        <f aca="false">FALSE()</f>
        <v>0</v>
      </c>
    </row>
    <row r="2653" customFormat="false" ht="15" hidden="false" customHeight="false" outlineLevel="0" collapsed="false">
      <c r="A2653" s="62" t="n">
        <v>0</v>
      </c>
      <c r="B2653" s="21" t="s">
        <v>336</v>
      </c>
      <c r="C2653" s="62" t="s">
        <v>60</v>
      </c>
      <c r="D2653" s="62" t="s">
        <v>384</v>
      </c>
      <c r="E2653" s="62" t="s">
        <v>72</v>
      </c>
      <c r="F2653" s="62" t="s">
        <v>382</v>
      </c>
      <c r="G2653" s="63" t="s">
        <v>636</v>
      </c>
      <c r="H2653" s="64" t="n">
        <v>-10736012699.169</v>
      </c>
      <c r="I2653" s="62" t="s">
        <v>81</v>
      </c>
      <c r="J2653" s="64" t="n">
        <v>-10736012.699169</v>
      </c>
      <c r="K2653" s="62" t="s">
        <v>138</v>
      </c>
      <c r="L2653" s="68" t="b">
        <f aca="false">FALSE()</f>
        <v>0</v>
      </c>
    </row>
    <row r="2654" customFormat="false" ht="15" hidden="false" customHeight="false" outlineLevel="0" collapsed="false">
      <c r="A2654" s="62" t="n">
        <v>0</v>
      </c>
      <c r="B2654" s="21" t="s">
        <v>336</v>
      </c>
      <c r="C2654" s="62" t="s">
        <v>60</v>
      </c>
      <c r="D2654" s="62" t="s">
        <v>385</v>
      </c>
      <c r="E2654" s="62" t="s">
        <v>72</v>
      </c>
      <c r="F2654" s="62" t="s">
        <v>382</v>
      </c>
      <c r="G2654" s="63" t="s">
        <v>636</v>
      </c>
      <c r="H2654" s="64" t="n">
        <v>-10736012699.169</v>
      </c>
      <c r="I2654" s="62" t="s">
        <v>81</v>
      </c>
      <c r="J2654" s="64" t="n">
        <v>-10736012.699169</v>
      </c>
      <c r="K2654" s="62" t="s">
        <v>138</v>
      </c>
      <c r="L2654" s="68" t="b">
        <f aca="false">FALSE()</f>
        <v>0</v>
      </c>
    </row>
    <row r="2655" customFormat="false" ht="15" hidden="false" customHeight="false" outlineLevel="0" collapsed="false">
      <c r="A2655" s="62" t="n">
        <v>0</v>
      </c>
      <c r="B2655" s="21" t="s">
        <v>336</v>
      </c>
      <c r="C2655" s="62" t="s">
        <v>60</v>
      </c>
      <c r="D2655" s="62" t="s">
        <v>386</v>
      </c>
      <c r="E2655" s="62" t="s">
        <v>72</v>
      </c>
      <c r="F2655" s="62" t="s">
        <v>382</v>
      </c>
      <c r="G2655" s="63" t="s">
        <v>636</v>
      </c>
      <c r="H2655" s="64" t="n">
        <v>-10736012699.169</v>
      </c>
      <c r="I2655" s="62" t="s">
        <v>81</v>
      </c>
      <c r="J2655" s="64" t="n">
        <v>-10736012.699169</v>
      </c>
      <c r="K2655" s="62" t="s">
        <v>138</v>
      </c>
      <c r="L2655" s="68" t="b">
        <f aca="false">FALSE()</f>
        <v>0</v>
      </c>
    </row>
    <row r="2656" customFormat="false" ht="15" hidden="false" customHeight="false" outlineLevel="0" collapsed="false">
      <c r="A2656" s="62" t="n">
        <v>0</v>
      </c>
      <c r="B2656" s="21" t="s">
        <v>336</v>
      </c>
      <c r="C2656" s="62" t="s">
        <v>60</v>
      </c>
      <c r="D2656" s="62" t="s">
        <v>387</v>
      </c>
      <c r="E2656" s="62" t="s">
        <v>72</v>
      </c>
      <c r="F2656" s="62" t="s">
        <v>382</v>
      </c>
      <c r="G2656" s="63" t="s">
        <v>636</v>
      </c>
      <c r="H2656" s="64" t="n">
        <v>-10736012699.169</v>
      </c>
      <c r="I2656" s="62" t="s">
        <v>81</v>
      </c>
      <c r="J2656" s="64" t="n">
        <v>-10736012.699169</v>
      </c>
      <c r="K2656" s="62" t="s">
        <v>138</v>
      </c>
      <c r="L2656" s="68" t="b">
        <f aca="false">FALSE()</f>
        <v>0</v>
      </c>
    </row>
    <row r="2657" customFormat="false" ht="15" hidden="false" customHeight="false" outlineLevel="0" collapsed="false">
      <c r="A2657" s="62" t="n">
        <v>0</v>
      </c>
      <c r="B2657" s="21" t="s">
        <v>336</v>
      </c>
      <c r="C2657" s="62" t="s">
        <v>60</v>
      </c>
      <c r="D2657" s="62" t="s">
        <v>388</v>
      </c>
      <c r="E2657" s="62" t="s">
        <v>72</v>
      </c>
      <c r="F2657" s="62" t="s">
        <v>382</v>
      </c>
      <c r="G2657" s="63" t="s">
        <v>636</v>
      </c>
      <c r="H2657" s="64" t="n">
        <v>-10736012699.169</v>
      </c>
      <c r="I2657" s="62" t="s">
        <v>81</v>
      </c>
      <c r="J2657" s="64" t="n">
        <v>-10736012.699169</v>
      </c>
      <c r="K2657" s="62" t="s">
        <v>138</v>
      </c>
      <c r="L2657" s="68" t="b">
        <f aca="false">FALSE()</f>
        <v>0</v>
      </c>
    </row>
    <row r="2658" customFormat="false" ht="15" hidden="false" customHeight="false" outlineLevel="0" collapsed="false">
      <c r="A2658" s="62" t="n">
        <v>0</v>
      </c>
      <c r="B2658" s="21" t="s">
        <v>336</v>
      </c>
      <c r="C2658" s="62" t="s">
        <v>60</v>
      </c>
      <c r="D2658" s="62" t="s">
        <v>381</v>
      </c>
      <c r="E2658" s="62" t="s">
        <v>72</v>
      </c>
      <c r="F2658" s="62" t="s">
        <v>382</v>
      </c>
      <c r="G2658" s="63" t="s">
        <v>637</v>
      </c>
      <c r="H2658" s="64" t="n">
        <v>54587585161.4142</v>
      </c>
      <c r="I2658" s="62" t="s">
        <v>81</v>
      </c>
      <c r="J2658" s="64" t="n">
        <v>54587585.1614142</v>
      </c>
      <c r="K2658" s="62" t="s">
        <v>138</v>
      </c>
      <c r="L2658" s="68" t="b">
        <f aca="false">FALSE()</f>
        <v>0</v>
      </c>
    </row>
    <row r="2659" customFormat="false" ht="15" hidden="false" customHeight="false" outlineLevel="0" collapsed="false">
      <c r="A2659" s="62" t="n">
        <v>0</v>
      </c>
      <c r="B2659" s="21" t="s">
        <v>336</v>
      </c>
      <c r="C2659" s="62" t="s">
        <v>60</v>
      </c>
      <c r="D2659" s="62" t="s">
        <v>383</v>
      </c>
      <c r="E2659" s="62" t="s">
        <v>72</v>
      </c>
      <c r="F2659" s="62" t="s">
        <v>382</v>
      </c>
      <c r="G2659" s="63" t="s">
        <v>637</v>
      </c>
      <c r="H2659" s="64" t="n">
        <v>54587585161.4142</v>
      </c>
      <c r="I2659" s="62" t="s">
        <v>81</v>
      </c>
      <c r="J2659" s="64" t="n">
        <v>54587585.1614142</v>
      </c>
      <c r="K2659" s="62" t="s">
        <v>138</v>
      </c>
      <c r="L2659" s="68" t="b">
        <f aca="false">FALSE()</f>
        <v>0</v>
      </c>
    </row>
    <row r="2660" customFormat="false" ht="15" hidden="false" customHeight="false" outlineLevel="0" collapsed="false">
      <c r="A2660" s="62" t="n">
        <v>0</v>
      </c>
      <c r="B2660" s="21" t="s">
        <v>336</v>
      </c>
      <c r="C2660" s="62" t="s">
        <v>60</v>
      </c>
      <c r="D2660" s="62" t="s">
        <v>384</v>
      </c>
      <c r="E2660" s="62" t="s">
        <v>72</v>
      </c>
      <c r="F2660" s="62" t="s">
        <v>382</v>
      </c>
      <c r="G2660" s="63" t="s">
        <v>637</v>
      </c>
      <c r="H2660" s="64" t="n">
        <v>54587585161.4142</v>
      </c>
      <c r="I2660" s="62" t="s">
        <v>81</v>
      </c>
      <c r="J2660" s="64" t="n">
        <v>54587585.1614142</v>
      </c>
      <c r="K2660" s="62" t="s">
        <v>138</v>
      </c>
      <c r="L2660" s="68" t="b">
        <f aca="false">FALSE()</f>
        <v>0</v>
      </c>
    </row>
    <row r="2661" customFormat="false" ht="15" hidden="false" customHeight="false" outlineLevel="0" collapsed="false">
      <c r="A2661" s="62" t="n">
        <v>0</v>
      </c>
      <c r="B2661" s="21" t="s">
        <v>336</v>
      </c>
      <c r="C2661" s="62" t="s">
        <v>60</v>
      </c>
      <c r="D2661" s="62" t="s">
        <v>385</v>
      </c>
      <c r="E2661" s="62" t="s">
        <v>72</v>
      </c>
      <c r="F2661" s="62" t="s">
        <v>382</v>
      </c>
      <c r="G2661" s="63" t="s">
        <v>637</v>
      </c>
      <c r="H2661" s="64" t="n">
        <v>54587585161.4142</v>
      </c>
      <c r="I2661" s="62" t="s">
        <v>81</v>
      </c>
      <c r="J2661" s="64" t="n">
        <v>54587585.1614142</v>
      </c>
      <c r="K2661" s="62" t="s">
        <v>138</v>
      </c>
      <c r="L2661" s="68" t="b">
        <f aca="false">FALSE()</f>
        <v>0</v>
      </c>
    </row>
    <row r="2662" customFormat="false" ht="15" hidden="false" customHeight="false" outlineLevel="0" collapsed="false">
      <c r="A2662" s="62" t="n">
        <v>0</v>
      </c>
      <c r="B2662" s="21" t="s">
        <v>336</v>
      </c>
      <c r="C2662" s="62" t="s">
        <v>60</v>
      </c>
      <c r="D2662" s="62" t="s">
        <v>386</v>
      </c>
      <c r="E2662" s="62" t="s">
        <v>72</v>
      </c>
      <c r="F2662" s="62" t="s">
        <v>382</v>
      </c>
      <c r="G2662" s="63" t="s">
        <v>637</v>
      </c>
      <c r="H2662" s="64" t="n">
        <v>54587585161.4142</v>
      </c>
      <c r="I2662" s="62" t="s">
        <v>81</v>
      </c>
      <c r="J2662" s="64" t="n">
        <v>54587585.1614142</v>
      </c>
      <c r="K2662" s="62" t="s">
        <v>138</v>
      </c>
      <c r="L2662" s="68" t="b">
        <f aca="false">FALSE()</f>
        <v>0</v>
      </c>
    </row>
    <row r="2663" customFormat="false" ht="15" hidden="false" customHeight="false" outlineLevel="0" collapsed="false">
      <c r="A2663" s="62" t="n">
        <v>0</v>
      </c>
      <c r="B2663" s="21" t="s">
        <v>336</v>
      </c>
      <c r="C2663" s="62" t="s">
        <v>60</v>
      </c>
      <c r="D2663" s="62" t="s">
        <v>387</v>
      </c>
      <c r="E2663" s="62" t="s">
        <v>72</v>
      </c>
      <c r="F2663" s="62" t="s">
        <v>382</v>
      </c>
      <c r="G2663" s="63" t="s">
        <v>637</v>
      </c>
      <c r="H2663" s="64" t="n">
        <v>54587585161.4142</v>
      </c>
      <c r="I2663" s="62" t="s">
        <v>81</v>
      </c>
      <c r="J2663" s="64" t="n">
        <v>54587585.1614142</v>
      </c>
      <c r="K2663" s="62" t="s">
        <v>138</v>
      </c>
      <c r="L2663" s="68" t="b">
        <f aca="false">FALSE()</f>
        <v>0</v>
      </c>
    </row>
    <row r="2664" customFormat="false" ht="15" hidden="false" customHeight="false" outlineLevel="0" collapsed="false">
      <c r="A2664" s="62" t="n">
        <v>0</v>
      </c>
      <c r="B2664" s="21" t="s">
        <v>336</v>
      </c>
      <c r="C2664" s="62" t="s">
        <v>60</v>
      </c>
      <c r="D2664" s="62" t="s">
        <v>388</v>
      </c>
      <c r="E2664" s="62" t="s">
        <v>72</v>
      </c>
      <c r="F2664" s="62" t="s">
        <v>382</v>
      </c>
      <c r="G2664" s="63" t="s">
        <v>637</v>
      </c>
      <c r="H2664" s="64" t="n">
        <v>54587585161.4142</v>
      </c>
      <c r="I2664" s="62" t="s">
        <v>81</v>
      </c>
      <c r="J2664" s="64" t="n">
        <v>54587585.1614142</v>
      </c>
      <c r="K2664" s="62" t="s">
        <v>138</v>
      </c>
      <c r="L2664" s="68" t="b">
        <f aca="false">FALSE()</f>
        <v>0</v>
      </c>
    </row>
    <row r="2665" customFormat="false" ht="15" hidden="false" customHeight="false" outlineLevel="0" collapsed="false">
      <c r="A2665" s="62" t="n">
        <v>0</v>
      </c>
      <c r="B2665" s="21" t="s">
        <v>336</v>
      </c>
      <c r="C2665" s="62" t="s">
        <v>60</v>
      </c>
      <c r="D2665" s="62" t="s">
        <v>381</v>
      </c>
      <c r="E2665" s="62" t="s">
        <v>72</v>
      </c>
      <c r="F2665" s="62" t="s">
        <v>382</v>
      </c>
      <c r="G2665" s="63" t="s">
        <v>638</v>
      </c>
      <c r="H2665" s="64" t="n">
        <v>1226.54253272992</v>
      </c>
      <c r="I2665" s="62" t="s">
        <v>81</v>
      </c>
      <c r="J2665" s="64" t="n">
        <v>1.22654253272992</v>
      </c>
      <c r="K2665" s="62" t="s">
        <v>138</v>
      </c>
      <c r="L2665" s="68" t="b">
        <f aca="false">TRUE()</f>
        <v>1</v>
      </c>
    </row>
    <row r="2666" customFormat="false" ht="15" hidden="false" customHeight="false" outlineLevel="0" collapsed="false">
      <c r="A2666" s="62" t="n">
        <v>0</v>
      </c>
      <c r="B2666" s="21" t="s">
        <v>336</v>
      </c>
      <c r="C2666" s="62" t="s">
        <v>60</v>
      </c>
      <c r="D2666" s="62" t="s">
        <v>383</v>
      </c>
      <c r="E2666" s="62" t="s">
        <v>72</v>
      </c>
      <c r="F2666" s="62" t="s">
        <v>382</v>
      </c>
      <c r="G2666" s="63" t="s">
        <v>638</v>
      </c>
      <c r="H2666" s="64" t="n">
        <v>1226.54253272992</v>
      </c>
      <c r="I2666" s="62" t="s">
        <v>81</v>
      </c>
      <c r="J2666" s="64" t="n">
        <v>1.22654253272992</v>
      </c>
      <c r="K2666" s="62" t="s">
        <v>138</v>
      </c>
      <c r="L2666" s="68" t="b">
        <f aca="false">TRUE()</f>
        <v>1</v>
      </c>
    </row>
    <row r="2667" customFormat="false" ht="15" hidden="false" customHeight="false" outlineLevel="0" collapsed="false">
      <c r="A2667" s="62" t="n">
        <v>0</v>
      </c>
      <c r="B2667" s="21" t="s">
        <v>336</v>
      </c>
      <c r="C2667" s="62" t="s">
        <v>60</v>
      </c>
      <c r="D2667" s="62" t="s">
        <v>384</v>
      </c>
      <c r="E2667" s="62" t="s">
        <v>72</v>
      </c>
      <c r="F2667" s="62" t="s">
        <v>382</v>
      </c>
      <c r="G2667" s="63" t="s">
        <v>638</v>
      </c>
      <c r="H2667" s="64" t="n">
        <v>1226.54253272992</v>
      </c>
      <c r="I2667" s="62" t="s">
        <v>81</v>
      </c>
      <c r="J2667" s="64" t="n">
        <v>1.22654253272992</v>
      </c>
      <c r="K2667" s="62" t="s">
        <v>138</v>
      </c>
      <c r="L2667" s="68" t="b">
        <f aca="false">TRUE()</f>
        <v>1</v>
      </c>
    </row>
    <row r="2668" customFormat="false" ht="15" hidden="false" customHeight="false" outlineLevel="0" collapsed="false">
      <c r="A2668" s="62" t="n">
        <v>0</v>
      </c>
      <c r="B2668" s="21" t="s">
        <v>336</v>
      </c>
      <c r="C2668" s="62" t="s">
        <v>60</v>
      </c>
      <c r="D2668" s="62" t="s">
        <v>385</v>
      </c>
      <c r="E2668" s="62" t="s">
        <v>72</v>
      </c>
      <c r="F2668" s="62" t="s">
        <v>382</v>
      </c>
      <c r="G2668" s="63" t="s">
        <v>638</v>
      </c>
      <c r="H2668" s="64" t="n">
        <v>1226.54253272992</v>
      </c>
      <c r="I2668" s="62" t="s">
        <v>81</v>
      </c>
      <c r="J2668" s="64" t="n">
        <v>1.22654253272992</v>
      </c>
      <c r="K2668" s="62" t="s">
        <v>138</v>
      </c>
      <c r="L2668" s="68" t="b">
        <f aca="false">TRUE()</f>
        <v>1</v>
      </c>
    </row>
    <row r="2669" customFormat="false" ht="15" hidden="false" customHeight="false" outlineLevel="0" collapsed="false">
      <c r="A2669" s="62" t="n">
        <v>0</v>
      </c>
      <c r="B2669" s="21" t="s">
        <v>336</v>
      </c>
      <c r="C2669" s="62" t="s">
        <v>60</v>
      </c>
      <c r="D2669" s="62" t="s">
        <v>386</v>
      </c>
      <c r="E2669" s="62" t="s">
        <v>72</v>
      </c>
      <c r="F2669" s="62" t="s">
        <v>382</v>
      </c>
      <c r="G2669" s="63" t="s">
        <v>638</v>
      </c>
      <c r="H2669" s="64" t="n">
        <v>1226.54253272992</v>
      </c>
      <c r="I2669" s="62" t="s">
        <v>81</v>
      </c>
      <c r="J2669" s="64" t="n">
        <v>1.22654253272992</v>
      </c>
      <c r="K2669" s="62" t="s">
        <v>138</v>
      </c>
      <c r="L2669" s="68" t="b">
        <f aca="false">TRUE()</f>
        <v>1</v>
      </c>
    </row>
    <row r="2670" customFormat="false" ht="15" hidden="false" customHeight="false" outlineLevel="0" collapsed="false">
      <c r="A2670" s="62" t="n">
        <v>0</v>
      </c>
      <c r="B2670" s="21" t="s">
        <v>336</v>
      </c>
      <c r="C2670" s="62" t="s">
        <v>60</v>
      </c>
      <c r="D2670" s="62" t="s">
        <v>387</v>
      </c>
      <c r="E2670" s="62" t="s">
        <v>72</v>
      </c>
      <c r="F2670" s="62" t="s">
        <v>382</v>
      </c>
      <c r="G2670" s="63" t="s">
        <v>638</v>
      </c>
      <c r="H2670" s="64" t="n">
        <v>1226.54253272992</v>
      </c>
      <c r="I2670" s="62" t="s">
        <v>81</v>
      </c>
      <c r="J2670" s="64" t="n">
        <v>1.22654253272992</v>
      </c>
      <c r="K2670" s="62" t="s">
        <v>138</v>
      </c>
      <c r="L2670" s="68" t="b">
        <f aca="false">TRUE()</f>
        <v>1</v>
      </c>
    </row>
    <row r="2671" customFormat="false" ht="15" hidden="false" customHeight="false" outlineLevel="0" collapsed="false">
      <c r="A2671" s="62" t="n">
        <v>0</v>
      </c>
      <c r="B2671" s="21" t="s">
        <v>336</v>
      </c>
      <c r="C2671" s="62" t="s">
        <v>60</v>
      </c>
      <c r="D2671" s="62" t="s">
        <v>388</v>
      </c>
      <c r="E2671" s="62" t="s">
        <v>72</v>
      </c>
      <c r="F2671" s="62" t="s">
        <v>382</v>
      </c>
      <c r="G2671" s="63" t="s">
        <v>638</v>
      </c>
      <c r="H2671" s="64" t="n">
        <v>1226.54253272992</v>
      </c>
      <c r="I2671" s="62" t="s">
        <v>81</v>
      </c>
      <c r="J2671" s="64" t="n">
        <v>1.22654253272992</v>
      </c>
      <c r="K2671" s="62" t="s">
        <v>138</v>
      </c>
      <c r="L2671" s="68" t="b">
        <f aca="false">TRUE()</f>
        <v>1</v>
      </c>
    </row>
    <row r="2672" customFormat="false" ht="15" hidden="false" customHeight="false" outlineLevel="0" collapsed="false">
      <c r="A2672" s="62" t="n">
        <v>0</v>
      </c>
      <c r="B2672" s="21" t="s">
        <v>336</v>
      </c>
      <c r="C2672" s="62" t="s">
        <v>60</v>
      </c>
      <c r="D2672" s="62" t="s">
        <v>381</v>
      </c>
      <c r="E2672" s="62" t="s">
        <v>72</v>
      </c>
      <c r="F2672" s="62" t="s">
        <v>382</v>
      </c>
      <c r="G2672" s="63" t="s">
        <v>639</v>
      </c>
      <c r="H2672" s="64" t="n">
        <v>12253.0169188966</v>
      </c>
      <c r="I2672" s="62" t="s">
        <v>81</v>
      </c>
      <c r="J2672" s="64" t="n">
        <v>12.2530169188966</v>
      </c>
      <c r="K2672" s="62" t="s">
        <v>138</v>
      </c>
      <c r="L2672" s="68" t="b">
        <f aca="false">FALSE()</f>
        <v>0</v>
      </c>
    </row>
    <row r="2673" customFormat="false" ht="15" hidden="false" customHeight="false" outlineLevel="0" collapsed="false">
      <c r="A2673" s="62" t="n">
        <v>0</v>
      </c>
      <c r="B2673" s="21" t="s">
        <v>336</v>
      </c>
      <c r="C2673" s="62" t="s">
        <v>60</v>
      </c>
      <c r="D2673" s="62" t="s">
        <v>383</v>
      </c>
      <c r="E2673" s="62" t="s">
        <v>72</v>
      </c>
      <c r="F2673" s="62" t="s">
        <v>382</v>
      </c>
      <c r="G2673" s="63" t="s">
        <v>639</v>
      </c>
      <c r="H2673" s="64" t="n">
        <v>12253.0169188966</v>
      </c>
      <c r="I2673" s="62" t="s">
        <v>81</v>
      </c>
      <c r="J2673" s="64" t="n">
        <v>12.2530169188966</v>
      </c>
      <c r="K2673" s="62" t="s">
        <v>138</v>
      </c>
      <c r="L2673" s="68" t="b">
        <f aca="false">FALSE()</f>
        <v>0</v>
      </c>
    </row>
    <row r="2674" customFormat="false" ht="15" hidden="false" customHeight="false" outlineLevel="0" collapsed="false">
      <c r="A2674" s="62" t="n">
        <v>0</v>
      </c>
      <c r="B2674" s="21" t="s">
        <v>336</v>
      </c>
      <c r="C2674" s="62" t="s">
        <v>60</v>
      </c>
      <c r="D2674" s="62" t="s">
        <v>384</v>
      </c>
      <c r="E2674" s="62" t="s">
        <v>72</v>
      </c>
      <c r="F2674" s="62" t="s">
        <v>382</v>
      </c>
      <c r="G2674" s="63" t="s">
        <v>639</v>
      </c>
      <c r="H2674" s="64" t="n">
        <v>12253.0169188966</v>
      </c>
      <c r="I2674" s="62" t="s">
        <v>81</v>
      </c>
      <c r="J2674" s="64" t="n">
        <v>12.2530169188966</v>
      </c>
      <c r="K2674" s="62" t="s">
        <v>138</v>
      </c>
      <c r="L2674" s="68" t="b">
        <f aca="false">FALSE()</f>
        <v>0</v>
      </c>
    </row>
    <row r="2675" customFormat="false" ht="15" hidden="false" customHeight="false" outlineLevel="0" collapsed="false">
      <c r="A2675" s="62" t="n">
        <v>0</v>
      </c>
      <c r="B2675" s="21" t="s">
        <v>336</v>
      </c>
      <c r="C2675" s="62" t="s">
        <v>60</v>
      </c>
      <c r="D2675" s="62" t="s">
        <v>385</v>
      </c>
      <c r="E2675" s="62" t="s">
        <v>72</v>
      </c>
      <c r="F2675" s="62" t="s">
        <v>382</v>
      </c>
      <c r="G2675" s="63" t="s">
        <v>639</v>
      </c>
      <c r="H2675" s="64" t="n">
        <v>12253.0169188966</v>
      </c>
      <c r="I2675" s="62" t="s">
        <v>81</v>
      </c>
      <c r="J2675" s="64" t="n">
        <v>12.2530169188966</v>
      </c>
      <c r="K2675" s="62" t="s">
        <v>138</v>
      </c>
      <c r="L2675" s="68" t="b">
        <f aca="false">FALSE()</f>
        <v>0</v>
      </c>
    </row>
    <row r="2676" customFormat="false" ht="15" hidden="false" customHeight="false" outlineLevel="0" collapsed="false">
      <c r="A2676" s="62" t="n">
        <v>0</v>
      </c>
      <c r="B2676" s="21" t="s">
        <v>336</v>
      </c>
      <c r="C2676" s="62" t="s">
        <v>60</v>
      </c>
      <c r="D2676" s="62" t="s">
        <v>386</v>
      </c>
      <c r="E2676" s="62" t="s">
        <v>72</v>
      </c>
      <c r="F2676" s="62" t="s">
        <v>382</v>
      </c>
      <c r="G2676" s="63" t="s">
        <v>639</v>
      </c>
      <c r="H2676" s="64" t="n">
        <v>12253.0169188966</v>
      </c>
      <c r="I2676" s="62" t="s">
        <v>81</v>
      </c>
      <c r="J2676" s="64" t="n">
        <v>12.2530169188966</v>
      </c>
      <c r="K2676" s="62" t="s">
        <v>138</v>
      </c>
      <c r="L2676" s="68" t="b">
        <f aca="false">FALSE()</f>
        <v>0</v>
      </c>
    </row>
    <row r="2677" customFormat="false" ht="15" hidden="false" customHeight="false" outlineLevel="0" collapsed="false">
      <c r="A2677" s="62" t="n">
        <v>0</v>
      </c>
      <c r="B2677" s="21" t="s">
        <v>336</v>
      </c>
      <c r="C2677" s="62" t="s">
        <v>60</v>
      </c>
      <c r="D2677" s="62" t="s">
        <v>387</v>
      </c>
      <c r="E2677" s="62" t="s">
        <v>72</v>
      </c>
      <c r="F2677" s="62" t="s">
        <v>382</v>
      </c>
      <c r="G2677" s="63" t="s">
        <v>639</v>
      </c>
      <c r="H2677" s="64" t="n">
        <v>12253.0169188966</v>
      </c>
      <c r="I2677" s="62" t="s">
        <v>81</v>
      </c>
      <c r="J2677" s="64" t="n">
        <v>12.2530169188966</v>
      </c>
      <c r="K2677" s="62" t="s">
        <v>138</v>
      </c>
      <c r="L2677" s="68" t="b">
        <f aca="false">FALSE()</f>
        <v>0</v>
      </c>
    </row>
    <row r="2678" customFormat="false" ht="15" hidden="false" customHeight="false" outlineLevel="0" collapsed="false">
      <c r="A2678" s="62" t="n">
        <v>0</v>
      </c>
      <c r="B2678" s="21" t="s">
        <v>336</v>
      </c>
      <c r="C2678" s="62" t="s">
        <v>60</v>
      </c>
      <c r="D2678" s="62" t="s">
        <v>388</v>
      </c>
      <c r="E2678" s="62" t="s">
        <v>72</v>
      </c>
      <c r="F2678" s="62" t="s">
        <v>382</v>
      </c>
      <c r="G2678" s="63" t="s">
        <v>639</v>
      </c>
      <c r="H2678" s="64" t="n">
        <v>12253.0169188966</v>
      </c>
      <c r="I2678" s="62" t="s">
        <v>81</v>
      </c>
      <c r="J2678" s="64" t="n">
        <v>12.2530169188966</v>
      </c>
      <c r="K2678" s="62" t="s">
        <v>138</v>
      </c>
      <c r="L2678" s="68" t="b">
        <f aca="false">FALSE()</f>
        <v>0</v>
      </c>
    </row>
    <row r="2679" customFormat="false" ht="15" hidden="false" customHeight="false" outlineLevel="0" collapsed="false">
      <c r="A2679" s="62" t="n">
        <v>0</v>
      </c>
      <c r="B2679" s="21" t="s">
        <v>336</v>
      </c>
      <c r="C2679" s="62" t="s">
        <v>60</v>
      </c>
      <c r="D2679" s="62" t="s">
        <v>381</v>
      </c>
      <c r="E2679" s="62" t="s">
        <v>72</v>
      </c>
      <c r="F2679" s="62" t="s">
        <v>382</v>
      </c>
      <c r="G2679" s="63" t="s">
        <v>640</v>
      </c>
      <c r="H2679" s="64" t="n">
        <v>5855.32973853825</v>
      </c>
      <c r="I2679" s="62" t="s">
        <v>81</v>
      </c>
      <c r="J2679" s="64" t="n">
        <v>5.85532973853825</v>
      </c>
      <c r="K2679" s="62" t="s">
        <v>138</v>
      </c>
      <c r="L2679" s="68" t="b">
        <f aca="false">FALSE()</f>
        <v>0</v>
      </c>
    </row>
    <row r="2680" customFormat="false" ht="15" hidden="false" customHeight="false" outlineLevel="0" collapsed="false">
      <c r="A2680" s="62" t="n">
        <v>0</v>
      </c>
      <c r="B2680" s="21" t="s">
        <v>336</v>
      </c>
      <c r="C2680" s="62" t="s">
        <v>60</v>
      </c>
      <c r="D2680" s="62" t="s">
        <v>383</v>
      </c>
      <c r="E2680" s="62" t="s">
        <v>72</v>
      </c>
      <c r="F2680" s="62" t="s">
        <v>382</v>
      </c>
      <c r="G2680" s="63" t="s">
        <v>640</v>
      </c>
      <c r="H2680" s="64" t="n">
        <v>5855.32973853825</v>
      </c>
      <c r="I2680" s="62" t="s">
        <v>81</v>
      </c>
      <c r="J2680" s="64" t="n">
        <v>5.85532973853825</v>
      </c>
      <c r="K2680" s="62" t="s">
        <v>138</v>
      </c>
      <c r="L2680" s="68" t="b">
        <f aca="false">FALSE()</f>
        <v>0</v>
      </c>
    </row>
    <row r="2681" customFormat="false" ht="15" hidden="false" customHeight="false" outlineLevel="0" collapsed="false">
      <c r="A2681" s="62" t="n">
        <v>0</v>
      </c>
      <c r="B2681" s="21" t="s">
        <v>336</v>
      </c>
      <c r="C2681" s="62" t="s">
        <v>60</v>
      </c>
      <c r="D2681" s="62" t="s">
        <v>384</v>
      </c>
      <c r="E2681" s="62" t="s">
        <v>72</v>
      </c>
      <c r="F2681" s="62" t="s">
        <v>382</v>
      </c>
      <c r="G2681" s="63" t="s">
        <v>640</v>
      </c>
      <c r="H2681" s="64" t="n">
        <v>5855.32973853825</v>
      </c>
      <c r="I2681" s="62" t="s">
        <v>81</v>
      </c>
      <c r="J2681" s="64" t="n">
        <v>5.85532973853825</v>
      </c>
      <c r="K2681" s="62" t="s">
        <v>138</v>
      </c>
      <c r="L2681" s="68" t="b">
        <f aca="false">FALSE()</f>
        <v>0</v>
      </c>
    </row>
    <row r="2682" customFormat="false" ht="15" hidden="false" customHeight="false" outlineLevel="0" collapsed="false">
      <c r="A2682" s="62" t="n">
        <v>0</v>
      </c>
      <c r="B2682" s="21" t="s">
        <v>336</v>
      </c>
      <c r="C2682" s="62" t="s">
        <v>60</v>
      </c>
      <c r="D2682" s="62" t="s">
        <v>385</v>
      </c>
      <c r="E2682" s="62" t="s">
        <v>72</v>
      </c>
      <c r="F2682" s="62" t="s">
        <v>382</v>
      </c>
      <c r="G2682" s="63" t="s">
        <v>640</v>
      </c>
      <c r="H2682" s="64" t="n">
        <v>5855.32973853825</v>
      </c>
      <c r="I2682" s="62" t="s">
        <v>81</v>
      </c>
      <c r="J2682" s="64" t="n">
        <v>5.85532973853825</v>
      </c>
      <c r="K2682" s="62" t="s">
        <v>138</v>
      </c>
      <c r="L2682" s="68" t="b">
        <f aca="false">FALSE()</f>
        <v>0</v>
      </c>
    </row>
    <row r="2683" customFormat="false" ht="15" hidden="false" customHeight="false" outlineLevel="0" collapsed="false">
      <c r="A2683" s="62" t="n">
        <v>0</v>
      </c>
      <c r="B2683" s="21" t="s">
        <v>336</v>
      </c>
      <c r="C2683" s="62" t="s">
        <v>60</v>
      </c>
      <c r="D2683" s="62" t="s">
        <v>386</v>
      </c>
      <c r="E2683" s="62" t="s">
        <v>72</v>
      </c>
      <c r="F2683" s="62" t="s">
        <v>382</v>
      </c>
      <c r="G2683" s="63" t="s">
        <v>640</v>
      </c>
      <c r="H2683" s="64" t="n">
        <v>5855.32973853825</v>
      </c>
      <c r="I2683" s="62" t="s">
        <v>81</v>
      </c>
      <c r="J2683" s="64" t="n">
        <v>5.85532973853825</v>
      </c>
      <c r="K2683" s="62" t="s">
        <v>138</v>
      </c>
      <c r="L2683" s="68" t="b">
        <f aca="false">FALSE()</f>
        <v>0</v>
      </c>
    </row>
    <row r="2684" customFormat="false" ht="15" hidden="false" customHeight="false" outlineLevel="0" collapsed="false">
      <c r="A2684" s="62" t="n">
        <v>0</v>
      </c>
      <c r="B2684" s="21" t="s">
        <v>336</v>
      </c>
      <c r="C2684" s="62" t="s">
        <v>60</v>
      </c>
      <c r="D2684" s="62" t="s">
        <v>387</v>
      </c>
      <c r="E2684" s="62" t="s">
        <v>72</v>
      </c>
      <c r="F2684" s="62" t="s">
        <v>382</v>
      </c>
      <c r="G2684" s="63" t="s">
        <v>640</v>
      </c>
      <c r="H2684" s="64" t="n">
        <v>5855.32973853825</v>
      </c>
      <c r="I2684" s="62" t="s">
        <v>81</v>
      </c>
      <c r="J2684" s="64" t="n">
        <v>5.85532973853825</v>
      </c>
      <c r="K2684" s="62" t="s">
        <v>138</v>
      </c>
      <c r="L2684" s="68" t="b">
        <f aca="false">FALSE()</f>
        <v>0</v>
      </c>
    </row>
    <row r="2685" customFormat="false" ht="15" hidden="false" customHeight="false" outlineLevel="0" collapsed="false">
      <c r="A2685" s="62" t="n">
        <v>0</v>
      </c>
      <c r="B2685" s="21" t="s">
        <v>336</v>
      </c>
      <c r="C2685" s="62" t="s">
        <v>60</v>
      </c>
      <c r="D2685" s="62" t="s">
        <v>388</v>
      </c>
      <c r="E2685" s="62" t="s">
        <v>72</v>
      </c>
      <c r="F2685" s="62" t="s">
        <v>382</v>
      </c>
      <c r="G2685" s="63" t="s">
        <v>640</v>
      </c>
      <c r="H2685" s="64" t="n">
        <v>5855.32973853825</v>
      </c>
      <c r="I2685" s="62" t="s">
        <v>81</v>
      </c>
      <c r="J2685" s="64" t="n">
        <v>5.85532973853825</v>
      </c>
      <c r="K2685" s="62" t="s">
        <v>138</v>
      </c>
      <c r="L2685" s="68" t="b">
        <f aca="false">FALSE()</f>
        <v>0</v>
      </c>
    </row>
    <row r="2686" customFormat="false" ht="15" hidden="false" customHeight="false" outlineLevel="0" collapsed="false">
      <c r="A2686" s="62" t="n">
        <v>0</v>
      </c>
      <c r="B2686" s="21" t="s">
        <v>336</v>
      </c>
      <c r="C2686" s="62" t="s">
        <v>60</v>
      </c>
      <c r="D2686" s="62" t="s">
        <v>381</v>
      </c>
      <c r="E2686" s="62" t="s">
        <v>72</v>
      </c>
      <c r="F2686" s="62" t="s">
        <v>382</v>
      </c>
      <c r="G2686" s="63" t="s">
        <v>641</v>
      </c>
      <c r="H2686" s="64" t="n">
        <v>1189.57627484673</v>
      </c>
      <c r="I2686" s="62" t="s">
        <v>81</v>
      </c>
      <c r="J2686" s="64" t="n">
        <v>1.18957627484673</v>
      </c>
      <c r="K2686" s="62" t="s">
        <v>138</v>
      </c>
      <c r="L2686" s="68" t="b">
        <f aca="false">TRUE()</f>
        <v>1</v>
      </c>
    </row>
    <row r="2687" customFormat="false" ht="15" hidden="false" customHeight="false" outlineLevel="0" collapsed="false">
      <c r="A2687" s="62" t="n">
        <v>0</v>
      </c>
      <c r="B2687" s="21" t="s">
        <v>336</v>
      </c>
      <c r="C2687" s="62" t="s">
        <v>60</v>
      </c>
      <c r="D2687" s="62" t="s">
        <v>383</v>
      </c>
      <c r="E2687" s="62" t="s">
        <v>72</v>
      </c>
      <c r="F2687" s="62" t="s">
        <v>382</v>
      </c>
      <c r="G2687" s="63" t="s">
        <v>641</v>
      </c>
      <c r="H2687" s="64" t="n">
        <v>1189.57627484673</v>
      </c>
      <c r="I2687" s="62" t="s">
        <v>81</v>
      </c>
      <c r="J2687" s="64" t="n">
        <v>1.18957627484673</v>
      </c>
      <c r="K2687" s="62" t="s">
        <v>138</v>
      </c>
      <c r="L2687" s="68" t="b">
        <f aca="false">TRUE()</f>
        <v>1</v>
      </c>
    </row>
    <row r="2688" customFormat="false" ht="15" hidden="false" customHeight="false" outlineLevel="0" collapsed="false">
      <c r="A2688" s="62" t="n">
        <v>0</v>
      </c>
      <c r="B2688" s="21" t="s">
        <v>336</v>
      </c>
      <c r="C2688" s="62" t="s">
        <v>60</v>
      </c>
      <c r="D2688" s="62" t="s">
        <v>384</v>
      </c>
      <c r="E2688" s="62" t="s">
        <v>72</v>
      </c>
      <c r="F2688" s="62" t="s">
        <v>382</v>
      </c>
      <c r="G2688" s="63" t="s">
        <v>641</v>
      </c>
      <c r="H2688" s="64" t="n">
        <v>1189.57627484673</v>
      </c>
      <c r="I2688" s="62" t="s">
        <v>81</v>
      </c>
      <c r="J2688" s="64" t="n">
        <v>1.18957627484673</v>
      </c>
      <c r="K2688" s="62" t="s">
        <v>138</v>
      </c>
      <c r="L2688" s="68" t="b">
        <f aca="false">TRUE()</f>
        <v>1</v>
      </c>
    </row>
    <row r="2689" customFormat="false" ht="15" hidden="false" customHeight="false" outlineLevel="0" collapsed="false">
      <c r="A2689" s="62" t="n">
        <v>0</v>
      </c>
      <c r="B2689" s="21" t="s">
        <v>336</v>
      </c>
      <c r="C2689" s="62" t="s">
        <v>60</v>
      </c>
      <c r="D2689" s="62" t="s">
        <v>385</v>
      </c>
      <c r="E2689" s="62" t="s">
        <v>72</v>
      </c>
      <c r="F2689" s="62" t="s">
        <v>382</v>
      </c>
      <c r="G2689" s="63" t="s">
        <v>641</v>
      </c>
      <c r="H2689" s="64" t="n">
        <v>1189.57627484673</v>
      </c>
      <c r="I2689" s="62" t="s">
        <v>81</v>
      </c>
      <c r="J2689" s="64" t="n">
        <v>1.18957627484673</v>
      </c>
      <c r="K2689" s="62" t="s">
        <v>138</v>
      </c>
      <c r="L2689" s="68" t="b">
        <f aca="false">TRUE()</f>
        <v>1</v>
      </c>
    </row>
    <row r="2690" customFormat="false" ht="15" hidden="false" customHeight="false" outlineLevel="0" collapsed="false">
      <c r="A2690" s="62" t="n">
        <v>0</v>
      </c>
      <c r="B2690" s="21" t="s">
        <v>336</v>
      </c>
      <c r="C2690" s="62" t="s">
        <v>60</v>
      </c>
      <c r="D2690" s="62" t="s">
        <v>386</v>
      </c>
      <c r="E2690" s="62" t="s">
        <v>72</v>
      </c>
      <c r="F2690" s="62" t="s">
        <v>382</v>
      </c>
      <c r="G2690" s="63" t="s">
        <v>641</v>
      </c>
      <c r="H2690" s="64" t="n">
        <v>1189.57627484673</v>
      </c>
      <c r="I2690" s="62" t="s">
        <v>81</v>
      </c>
      <c r="J2690" s="64" t="n">
        <v>1.18957627484673</v>
      </c>
      <c r="K2690" s="62" t="s">
        <v>138</v>
      </c>
      <c r="L2690" s="68" t="b">
        <f aca="false">TRUE()</f>
        <v>1</v>
      </c>
    </row>
    <row r="2691" customFormat="false" ht="15" hidden="false" customHeight="false" outlineLevel="0" collapsed="false">
      <c r="A2691" s="62" t="n">
        <v>0</v>
      </c>
      <c r="B2691" s="21" t="s">
        <v>336</v>
      </c>
      <c r="C2691" s="62" t="s">
        <v>60</v>
      </c>
      <c r="D2691" s="62" t="s">
        <v>387</v>
      </c>
      <c r="E2691" s="62" t="s">
        <v>72</v>
      </c>
      <c r="F2691" s="62" t="s">
        <v>382</v>
      </c>
      <c r="G2691" s="63" t="s">
        <v>641</v>
      </c>
      <c r="H2691" s="64" t="n">
        <v>1189.57627484673</v>
      </c>
      <c r="I2691" s="62" t="s">
        <v>81</v>
      </c>
      <c r="J2691" s="64" t="n">
        <v>1.18957627484673</v>
      </c>
      <c r="K2691" s="62" t="s">
        <v>138</v>
      </c>
      <c r="L2691" s="68" t="b">
        <f aca="false">TRUE()</f>
        <v>1</v>
      </c>
    </row>
    <row r="2692" customFormat="false" ht="15" hidden="false" customHeight="false" outlineLevel="0" collapsed="false">
      <c r="A2692" s="62" t="n">
        <v>0</v>
      </c>
      <c r="B2692" s="21" t="s">
        <v>336</v>
      </c>
      <c r="C2692" s="62" t="s">
        <v>60</v>
      </c>
      <c r="D2692" s="62" t="s">
        <v>388</v>
      </c>
      <c r="E2692" s="62" t="s">
        <v>72</v>
      </c>
      <c r="F2692" s="62" t="s">
        <v>382</v>
      </c>
      <c r="G2692" s="63" t="s">
        <v>641</v>
      </c>
      <c r="H2692" s="64" t="n">
        <v>1189.57627484673</v>
      </c>
      <c r="I2692" s="62" t="s">
        <v>81</v>
      </c>
      <c r="J2692" s="64" t="n">
        <v>1.18957627484673</v>
      </c>
      <c r="K2692" s="62" t="s">
        <v>138</v>
      </c>
      <c r="L2692" s="68" t="b">
        <f aca="false">TRUE()</f>
        <v>1</v>
      </c>
    </row>
    <row r="2693" customFormat="false" ht="15" hidden="false" customHeight="false" outlineLevel="0" collapsed="false">
      <c r="A2693" s="62" t="n">
        <v>0</v>
      </c>
      <c r="B2693" s="21" t="s">
        <v>336</v>
      </c>
      <c r="C2693" s="62" t="s">
        <v>60</v>
      </c>
      <c r="D2693" s="62" t="s">
        <v>381</v>
      </c>
      <c r="E2693" s="62" t="s">
        <v>72</v>
      </c>
      <c r="F2693" s="62" t="s">
        <v>382</v>
      </c>
      <c r="G2693" s="63" t="s">
        <v>642</v>
      </c>
      <c r="H2693" s="64" t="n">
        <v>8777.2134170624</v>
      </c>
      <c r="I2693" s="62" t="s">
        <v>81</v>
      </c>
      <c r="J2693" s="64" t="n">
        <v>8.7772134170624</v>
      </c>
      <c r="K2693" s="62" t="s">
        <v>138</v>
      </c>
      <c r="L2693" s="68" t="b">
        <f aca="false">FALSE()</f>
        <v>0</v>
      </c>
    </row>
    <row r="2694" customFormat="false" ht="15" hidden="false" customHeight="false" outlineLevel="0" collapsed="false">
      <c r="A2694" s="62" t="n">
        <v>0</v>
      </c>
      <c r="B2694" s="21" t="s">
        <v>336</v>
      </c>
      <c r="C2694" s="62" t="s">
        <v>60</v>
      </c>
      <c r="D2694" s="62" t="s">
        <v>383</v>
      </c>
      <c r="E2694" s="62" t="s">
        <v>72</v>
      </c>
      <c r="F2694" s="62" t="s">
        <v>382</v>
      </c>
      <c r="G2694" s="63" t="s">
        <v>642</v>
      </c>
      <c r="H2694" s="64" t="n">
        <v>8777.2134170624</v>
      </c>
      <c r="I2694" s="62" t="s">
        <v>81</v>
      </c>
      <c r="J2694" s="64" t="n">
        <v>8.7772134170624</v>
      </c>
      <c r="K2694" s="62" t="s">
        <v>138</v>
      </c>
      <c r="L2694" s="68" t="b">
        <f aca="false">FALSE()</f>
        <v>0</v>
      </c>
    </row>
    <row r="2695" customFormat="false" ht="15" hidden="false" customHeight="false" outlineLevel="0" collapsed="false">
      <c r="A2695" s="62" t="n">
        <v>0</v>
      </c>
      <c r="B2695" s="21" t="s">
        <v>336</v>
      </c>
      <c r="C2695" s="62" t="s">
        <v>60</v>
      </c>
      <c r="D2695" s="62" t="s">
        <v>384</v>
      </c>
      <c r="E2695" s="62" t="s">
        <v>72</v>
      </c>
      <c r="F2695" s="62" t="s">
        <v>382</v>
      </c>
      <c r="G2695" s="63" t="s">
        <v>642</v>
      </c>
      <c r="H2695" s="64" t="n">
        <v>8777.2134170624</v>
      </c>
      <c r="I2695" s="62" t="s">
        <v>81</v>
      </c>
      <c r="J2695" s="64" t="n">
        <v>8.7772134170624</v>
      </c>
      <c r="K2695" s="62" t="s">
        <v>138</v>
      </c>
      <c r="L2695" s="68" t="b">
        <f aca="false">FALSE()</f>
        <v>0</v>
      </c>
    </row>
    <row r="2696" customFormat="false" ht="15" hidden="false" customHeight="false" outlineLevel="0" collapsed="false">
      <c r="A2696" s="62" t="n">
        <v>0</v>
      </c>
      <c r="B2696" s="21" t="s">
        <v>336</v>
      </c>
      <c r="C2696" s="62" t="s">
        <v>60</v>
      </c>
      <c r="D2696" s="62" t="s">
        <v>385</v>
      </c>
      <c r="E2696" s="62" t="s">
        <v>72</v>
      </c>
      <c r="F2696" s="62" t="s">
        <v>382</v>
      </c>
      <c r="G2696" s="63" t="s">
        <v>642</v>
      </c>
      <c r="H2696" s="64" t="n">
        <v>8777.2134170624</v>
      </c>
      <c r="I2696" s="62" t="s">
        <v>81</v>
      </c>
      <c r="J2696" s="64" t="n">
        <v>8.7772134170624</v>
      </c>
      <c r="K2696" s="62" t="s">
        <v>138</v>
      </c>
      <c r="L2696" s="68" t="b">
        <f aca="false">FALSE()</f>
        <v>0</v>
      </c>
    </row>
    <row r="2697" customFormat="false" ht="15" hidden="false" customHeight="false" outlineLevel="0" collapsed="false">
      <c r="A2697" s="62" t="n">
        <v>0</v>
      </c>
      <c r="B2697" s="21" t="s">
        <v>336</v>
      </c>
      <c r="C2697" s="62" t="s">
        <v>60</v>
      </c>
      <c r="D2697" s="62" t="s">
        <v>386</v>
      </c>
      <c r="E2697" s="62" t="s">
        <v>72</v>
      </c>
      <c r="F2697" s="62" t="s">
        <v>382</v>
      </c>
      <c r="G2697" s="63" t="s">
        <v>642</v>
      </c>
      <c r="H2697" s="64" t="n">
        <v>8777.2134170624</v>
      </c>
      <c r="I2697" s="62" t="s">
        <v>81</v>
      </c>
      <c r="J2697" s="64" t="n">
        <v>8.7772134170624</v>
      </c>
      <c r="K2697" s="62" t="s">
        <v>138</v>
      </c>
      <c r="L2697" s="68" t="b">
        <f aca="false">FALSE()</f>
        <v>0</v>
      </c>
    </row>
    <row r="2698" customFormat="false" ht="15" hidden="false" customHeight="false" outlineLevel="0" collapsed="false">
      <c r="A2698" s="62" t="n">
        <v>0</v>
      </c>
      <c r="B2698" s="21" t="s">
        <v>336</v>
      </c>
      <c r="C2698" s="62" t="s">
        <v>60</v>
      </c>
      <c r="D2698" s="62" t="s">
        <v>387</v>
      </c>
      <c r="E2698" s="62" t="s">
        <v>72</v>
      </c>
      <c r="F2698" s="62" t="s">
        <v>382</v>
      </c>
      <c r="G2698" s="63" t="s">
        <v>642</v>
      </c>
      <c r="H2698" s="64" t="n">
        <v>8777.2134170624</v>
      </c>
      <c r="I2698" s="62" t="s">
        <v>81</v>
      </c>
      <c r="J2698" s="64" t="n">
        <v>8.7772134170624</v>
      </c>
      <c r="K2698" s="62" t="s">
        <v>138</v>
      </c>
      <c r="L2698" s="68" t="b">
        <f aca="false">FALSE()</f>
        <v>0</v>
      </c>
    </row>
    <row r="2699" customFormat="false" ht="15" hidden="false" customHeight="false" outlineLevel="0" collapsed="false">
      <c r="A2699" s="62" t="n">
        <v>0</v>
      </c>
      <c r="B2699" s="21" t="s">
        <v>336</v>
      </c>
      <c r="C2699" s="62" t="s">
        <v>60</v>
      </c>
      <c r="D2699" s="62" t="s">
        <v>388</v>
      </c>
      <c r="E2699" s="62" t="s">
        <v>72</v>
      </c>
      <c r="F2699" s="62" t="s">
        <v>382</v>
      </c>
      <c r="G2699" s="63" t="s">
        <v>642</v>
      </c>
      <c r="H2699" s="64" t="n">
        <v>8777.2134170624</v>
      </c>
      <c r="I2699" s="62" t="s">
        <v>81</v>
      </c>
      <c r="J2699" s="64" t="n">
        <v>8.7772134170624</v>
      </c>
      <c r="K2699" s="62" t="s">
        <v>138</v>
      </c>
      <c r="L2699" s="68" t="b">
        <f aca="false">FALSE()</f>
        <v>0</v>
      </c>
    </row>
    <row r="2700" customFormat="false" ht="15" hidden="false" customHeight="false" outlineLevel="0" collapsed="false">
      <c r="A2700" s="62" t="n">
        <v>0</v>
      </c>
      <c r="B2700" s="21" t="s">
        <v>336</v>
      </c>
      <c r="C2700" s="62" t="s">
        <v>60</v>
      </c>
      <c r="D2700" s="62" t="s">
        <v>381</v>
      </c>
      <c r="E2700" s="62" t="s">
        <v>72</v>
      </c>
      <c r="F2700" s="62" t="s">
        <v>382</v>
      </c>
      <c r="G2700" s="63" t="s">
        <v>643</v>
      </c>
      <c r="H2700" s="64" t="n">
        <v>48492130201.6113</v>
      </c>
      <c r="I2700" s="62" t="s">
        <v>81</v>
      </c>
      <c r="J2700" s="64" t="n">
        <v>48492130.2016113</v>
      </c>
      <c r="K2700" s="62" t="s">
        <v>138</v>
      </c>
      <c r="L2700" s="68" t="b">
        <f aca="false">FALSE()</f>
        <v>0</v>
      </c>
    </row>
    <row r="2701" customFormat="false" ht="15" hidden="false" customHeight="false" outlineLevel="0" collapsed="false">
      <c r="A2701" s="62" t="n">
        <v>0</v>
      </c>
      <c r="B2701" s="21" t="s">
        <v>336</v>
      </c>
      <c r="C2701" s="62" t="s">
        <v>60</v>
      </c>
      <c r="D2701" s="62" t="s">
        <v>383</v>
      </c>
      <c r="E2701" s="62" t="s">
        <v>72</v>
      </c>
      <c r="F2701" s="62" t="s">
        <v>382</v>
      </c>
      <c r="G2701" s="63" t="s">
        <v>643</v>
      </c>
      <c r="H2701" s="64" t="n">
        <v>48492130201.6113</v>
      </c>
      <c r="I2701" s="62" t="s">
        <v>81</v>
      </c>
      <c r="J2701" s="64" t="n">
        <v>48492130.2016113</v>
      </c>
      <c r="K2701" s="62" t="s">
        <v>138</v>
      </c>
      <c r="L2701" s="68" t="b">
        <f aca="false">FALSE()</f>
        <v>0</v>
      </c>
    </row>
    <row r="2702" customFormat="false" ht="15" hidden="false" customHeight="false" outlineLevel="0" collapsed="false">
      <c r="A2702" s="62" t="n">
        <v>0</v>
      </c>
      <c r="B2702" s="21" t="s">
        <v>336</v>
      </c>
      <c r="C2702" s="62" t="s">
        <v>60</v>
      </c>
      <c r="D2702" s="62" t="s">
        <v>384</v>
      </c>
      <c r="E2702" s="62" t="s">
        <v>72</v>
      </c>
      <c r="F2702" s="62" t="s">
        <v>382</v>
      </c>
      <c r="G2702" s="63" t="s">
        <v>643</v>
      </c>
      <c r="H2702" s="64" t="n">
        <v>48492130201.6113</v>
      </c>
      <c r="I2702" s="62" t="s">
        <v>81</v>
      </c>
      <c r="J2702" s="64" t="n">
        <v>48492130.2016113</v>
      </c>
      <c r="K2702" s="62" t="s">
        <v>138</v>
      </c>
      <c r="L2702" s="68" t="b">
        <f aca="false">FALSE()</f>
        <v>0</v>
      </c>
    </row>
    <row r="2703" customFormat="false" ht="15" hidden="false" customHeight="false" outlineLevel="0" collapsed="false">
      <c r="A2703" s="62" t="n">
        <v>0</v>
      </c>
      <c r="B2703" s="21" t="s">
        <v>336</v>
      </c>
      <c r="C2703" s="62" t="s">
        <v>60</v>
      </c>
      <c r="D2703" s="62" t="s">
        <v>385</v>
      </c>
      <c r="E2703" s="62" t="s">
        <v>72</v>
      </c>
      <c r="F2703" s="62" t="s">
        <v>382</v>
      </c>
      <c r="G2703" s="63" t="s">
        <v>643</v>
      </c>
      <c r="H2703" s="64" t="n">
        <v>48492130201.6113</v>
      </c>
      <c r="I2703" s="62" t="s">
        <v>81</v>
      </c>
      <c r="J2703" s="64" t="n">
        <v>48492130.2016113</v>
      </c>
      <c r="K2703" s="62" t="s">
        <v>138</v>
      </c>
      <c r="L2703" s="68" t="b">
        <f aca="false">FALSE()</f>
        <v>0</v>
      </c>
    </row>
    <row r="2704" customFormat="false" ht="15" hidden="false" customHeight="false" outlineLevel="0" collapsed="false">
      <c r="A2704" s="62" t="n">
        <v>0</v>
      </c>
      <c r="B2704" s="21" t="s">
        <v>336</v>
      </c>
      <c r="C2704" s="62" t="s">
        <v>60</v>
      </c>
      <c r="D2704" s="62" t="s">
        <v>386</v>
      </c>
      <c r="E2704" s="62" t="s">
        <v>72</v>
      </c>
      <c r="F2704" s="62" t="s">
        <v>382</v>
      </c>
      <c r="G2704" s="63" t="s">
        <v>643</v>
      </c>
      <c r="H2704" s="64" t="n">
        <v>48492130201.6113</v>
      </c>
      <c r="I2704" s="62" t="s">
        <v>81</v>
      </c>
      <c r="J2704" s="64" t="n">
        <v>48492130.2016113</v>
      </c>
      <c r="K2704" s="62" t="s">
        <v>138</v>
      </c>
      <c r="L2704" s="68" t="b">
        <f aca="false">FALSE()</f>
        <v>0</v>
      </c>
    </row>
    <row r="2705" customFormat="false" ht="15" hidden="false" customHeight="false" outlineLevel="0" collapsed="false">
      <c r="A2705" s="62" t="n">
        <v>0</v>
      </c>
      <c r="B2705" s="21" t="s">
        <v>336</v>
      </c>
      <c r="C2705" s="62" t="s">
        <v>60</v>
      </c>
      <c r="D2705" s="62" t="s">
        <v>387</v>
      </c>
      <c r="E2705" s="62" t="s">
        <v>72</v>
      </c>
      <c r="F2705" s="62" t="s">
        <v>382</v>
      </c>
      <c r="G2705" s="63" t="s">
        <v>643</v>
      </c>
      <c r="H2705" s="64" t="n">
        <v>48492130201.6113</v>
      </c>
      <c r="I2705" s="62" t="s">
        <v>81</v>
      </c>
      <c r="J2705" s="64" t="n">
        <v>48492130.2016113</v>
      </c>
      <c r="K2705" s="62" t="s">
        <v>138</v>
      </c>
      <c r="L2705" s="68" t="b">
        <f aca="false">FALSE()</f>
        <v>0</v>
      </c>
    </row>
    <row r="2706" customFormat="false" ht="15" hidden="false" customHeight="false" outlineLevel="0" collapsed="false">
      <c r="A2706" s="62" t="n">
        <v>0</v>
      </c>
      <c r="B2706" s="21" t="s">
        <v>336</v>
      </c>
      <c r="C2706" s="62" t="s">
        <v>60</v>
      </c>
      <c r="D2706" s="62" t="s">
        <v>388</v>
      </c>
      <c r="E2706" s="62" t="s">
        <v>72</v>
      </c>
      <c r="F2706" s="62" t="s">
        <v>382</v>
      </c>
      <c r="G2706" s="63" t="s">
        <v>643</v>
      </c>
      <c r="H2706" s="64" t="n">
        <v>48492130201.6113</v>
      </c>
      <c r="I2706" s="62" t="s">
        <v>81</v>
      </c>
      <c r="J2706" s="64" t="n">
        <v>48492130.2016113</v>
      </c>
      <c r="K2706" s="62" t="s">
        <v>138</v>
      </c>
      <c r="L2706" s="68" t="b">
        <f aca="false">FALSE()</f>
        <v>0</v>
      </c>
    </row>
    <row r="2707" customFormat="false" ht="15" hidden="false" customHeight="false" outlineLevel="0" collapsed="false">
      <c r="A2707" s="62" t="n">
        <v>0</v>
      </c>
      <c r="B2707" s="21" t="s">
        <v>336</v>
      </c>
      <c r="C2707" s="62" t="s">
        <v>60</v>
      </c>
      <c r="D2707" s="62" t="s">
        <v>381</v>
      </c>
      <c r="E2707" s="62" t="s">
        <v>72</v>
      </c>
      <c r="F2707" s="62" t="s">
        <v>382</v>
      </c>
      <c r="G2707" s="63" t="s">
        <v>644</v>
      </c>
      <c r="H2707" s="64" t="n">
        <v>4000</v>
      </c>
      <c r="I2707" s="62" t="s">
        <v>81</v>
      </c>
      <c r="J2707" s="64" t="n">
        <v>4</v>
      </c>
      <c r="K2707" s="62" t="s">
        <v>138</v>
      </c>
      <c r="L2707" s="68" t="b">
        <f aca="false">TRUE()</f>
        <v>1</v>
      </c>
    </row>
    <row r="2708" customFormat="false" ht="15" hidden="false" customHeight="false" outlineLevel="0" collapsed="false">
      <c r="A2708" s="62" t="n">
        <v>0</v>
      </c>
      <c r="B2708" s="21" t="s">
        <v>336</v>
      </c>
      <c r="C2708" s="62" t="s">
        <v>60</v>
      </c>
      <c r="D2708" s="62" t="s">
        <v>383</v>
      </c>
      <c r="E2708" s="62" t="s">
        <v>72</v>
      </c>
      <c r="F2708" s="62" t="s">
        <v>382</v>
      </c>
      <c r="G2708" s="63" t="s">
        <v>644</v>
      </c>
      <c r="H2708" s="64" t="n">
        <v>4000</v>
      </c>
      <c r="I2708" s="62" t="s">
        <v>81</v>
      </c>
      <c r="J2708" s="64" t="n">
        <v>4</v>
      </c>
      <c r="K2708" s="62" t="s">
        <v>138</v>
      </c>
      <c r="L2708" s="68" t="b">
        <f aca="false">TRUE()</f>
        <v>1</v>
      </c>
    </row>
    <row r="2709" customFormat="false" ht="15" hidden="false" customHeight="false" outlineLevel="0" collapsed="false">
      <c r="A2709" s="62" t="n">
        <v>0</v>
      </c>
      <c r="B2709" s="21" t="s">
        <v>336</v>
      </c>
      <c r="C2709" s="62" t="s">
        <v>60</v>
      </c>
      <c r="D2709" s="62" t="s">
        <v>384</v>
      </c>
      <c r="E2709" s="62" t="s">
        <v>72</v>
      </c>
      <c r="F2709" s="62" t="s">
        <v>382</v>
      </c>
      <c r="G2709" s="63" t="s">
        <v>644</v>
      </c>
      <c r="H2709" s="64" t="n">
        <v>4000</v>
      </c>
      <c r="I2709" s="62" t="s">
        <v>81</v>
      </c>
      <c r="J2709" s="64" t="n">
        <v>4</v>
      </c>
      <c r="K2709" s="62" t="s">
        <v>138</v>
      </c>
      <c r="L2709" s="68" t="b">
        <f aca="false">TRUE()</f>
        <v>1</v>
      </c>
    </row>
    <row r="2710" customFormat="false" ht="15" hidden="false" customHeight="false" outlineLevel="0" collapsed="false">
      <c r="A2710" s="62" t="n">
        <v>0</v>
      </c>
      <c r="B2710" s="21" t="s">
        <v>336</v>
      </c>
      <c r="C2710" s="62" t="s">
        <v>60</v>
      </c>
      <c r="D2710" s="62" t="s">
        <v>385</v>
      </c>
      <c r="E2710" s="62" t="s">
        <v>72</v>
      </c>
      <c r="F2710" s="62" t="s">
        <v>382</v>
      </c>
      <c r="G2710" s="63" t="s">
        <v>644</v>
      </c>
      <c r="H2710" s="64" t="n">
        <v>4000</v>
      </c>
      <c r="I2710" s="62" t="s">
        <v>81</v>
      </c>
      <c r="J2710" s="64" t="n">
        <v>4</v>
      </c>
      <c r="K2710" s="62" t="s">
        <v>138</v>
      </c>
      <c r="L2710" s="68" t="b">
        <f aca="false">TRUE()</f>
        <v>1</v>
      </c>
    </row>
    <row r="2711" customFormat="false" ht="15" hidden="false" customHeight="false" outlineLevel="0" collapsed="false">
      <c r="A2711" s="62" t="n">
        <v>0</v>
      </c>
      <c r="B2711" s="21" t="s">
        <v>336</v>
      </c>
      <c r="C2711" s="62" t="s">
        <v>60</v>
      </c>
      <c r="D2711" s="62" t="s">
        <v>386</v>
      </c>
      <c r="E2711" s="62" t="s">
        <v>72</v>
      </c>
      <c r="F2711" s="62" t="s">
        <v>382</v>
      </c>
      <c r="G2711" s="63" t="s">
        <v>644</v>
      </c>
      <c r="H2711" s="64" t="n">
        <v>4000</v>
      </c>
      <c r="I2711" s="62" t="s">
        <v>81</v>
      </c>
      <c r="J2711" s="64" t="n">
        <v>4</v>
      </c>
      <c r="K2711" s="62" t="s">
        <v>138</v>
      </c>
      <c r="L2711" s="68" t="b">
        <f aca="false">TRUE()</f>
        <v>1</v>
      </c>
    </row>
    <row r="2712" customFormat="false" ht="15" hidden="false" customHeight="false" outlineLevel="0" collapsed="false">
      <c r="A2712" s="62" t="n">
        <v>0</v>
      </c>
      <c r="B2712" s="21" t="s">
        <v>336</v>
      </c>
      <c r="C2712" s="62" t="s">
        <v>60</v>
      </c>
      <c r="D2712" s="62" t="s">
        <v>387</v>
      </c>
      <c r="E2712" s="62" t="s">
        <v>72</v>
      </c>
      <c r="F2712" s="62" t="s">
        <v>382</v>
      </c>
      <c r="G2712" s="63" t="s">
        <v>644</v>
      </c>
      <c r="H2712" s="64" t="n">
        <v>4000</v>
      </c>
      <c r="I2712" s="62" t="s">
        <v>81</v>
      </c>
      <c r="J2712" s="64" t="n">
        <v>4</v>
      </c>
      <c r="K2712" s="62" t="s">
        <v>138</v>
      </c>
      <c r="L2712" s="68" t="b">
        <f aca="false">TRUE()</f>
        <v>1</v>
      </c>
    </row>
    <row r="2713" customFormat="false" ht="15" hidden="false" customHeight="false" outlineLevel="0" collapsed="false">
      <c r="A2713" s="62" t="n">
        <v>0</v>
      </c>
      <c r="B2713" s="21" t="s">
        <v>336</v>
      </c>
      <c r="C2713" s="62" t="s">
        <v>60</v>
      </c>
      <c r="D2713" s="62" t="s">
        <v>388</v>
      </c>
      <c r="E2713" s="62" t="s">
        <v>72</v>
      </c>
      <c r="F2713" s="62" t="s">
        <v>382</v>
      </c>
      <c r="G2713" s="63" t="s">
        <v>644</v>
      </c>
      <c r="H2713" s="64" t="n">
        <v>4000</v>
      </c>
      <c r="I2713" s="62" t="s">
        <v>81</v>
      </c>
      <c r="J2713" s="64" t="n">
        <v>4</v>
      </c>
      <c r="K2713" s="62" t="s">
        <v>138</v>
      </c>
      <c r="L2713" s="68" t="b">
        <f aca="false">TRUE()</f>
        <v>1</v>
      </c>
    </row>
    <row r="2714" customFormat="false" ht="15" hidden="false" customHeight="false" outlineLevel="0" collapsed="false">
      <c r="A2714" s="62" t="n">
        <v>0</v>
      </c>
      <c r="B2714" s="21" t="s">
        <v>336</v>
      </c>
      <c r="C2714" s="62" t="s">
        <v>60</v>
      </c>
      <c r="D2714" s="62" t="s">
        <v>381</v>
      </c>
      <c r="E2714" s="62" t="s">
        <v>72</v>
      </c>
      <c r="F2714" s="62" t="s">
        <v>382</v>
      </c>
      <c r="G2714" s="63" t="s">
        <v>645</v>
      </c>
      <c r="H2714" s="64" t="n">
        <v>39489000000</v>
      </c>
      <c r="I2714" s="62" t="s">
        <v>81</v>
      </c>
      <c r="J2714" s="64" t="n">
        <v>39489000</v>
      </c>
      <c r="K2714" s="62" t="s">
        <v>138</v>
      </c>
      <c r="L2714" s="68" t="b">
        <f aca="false">FALSE()</f>
        <v>0</v>
      </c>
    </row>
    <row r="2715" customFormat="false" ht="15" hidden="false" customHeight="false" outlineLevel="0" collapsed="false">
      <c r="A2715" s="62" t="n">
        <v>0</v>
      </c>
      <c r="B2715" s="21" t="s">
        <v>336</v>
      </c>
      <c r="C2715" s="62" t="s">
        <v>60</v>
      </c>
      <c r="D2715" s="62" t="s">
        <v>383</v>
      </c>
      <c r="E2715" s="62" t="s">
        <v>72</v>
      </c>
      <c r="F2715" s="62" t="s">
        <v>382</v>
      </c>
      <c r="G2715" s="63" t="s">
        <v>645</v>
      </c>
      <c r="H2715" s="64" t="n">
        <v>39489000000</v>
      </c>
      <c r="I2715" s="62" t="s">
        <v>81</v>
      </c>
      <c r="J2715" s="64" t="n">
        <v>39489000</v>
      </c>
      <c r="K2715" s="62" t="s">
        <v>138</v>
      </c>
      <c r="L2715" s="68" t="b">
        <f aca="false">FALSE()</f>
        <v>0</v>
      </c>
    </row>
    <row r="2716" customFormat="false" ht="15" hidden="false" customHeight="false" outlineLevel="0" collapsed="false">
      <c r="A2716" s="62" t="n">
        <v>0</v>
      </c>
      <c r="B2716" s="21" t="s">
        <v>336</v>
      </c>
      <c r="C2716" s="62" t="s">
        <v>60</v>
      </c>
      <c r="D2716" s="62" t="s">
        <v>384</v>
      </c>
      <c r="E2716" s="62" t="s">
        <v>72</v>
      </c>
      <c r="F2716" s="62" t="s">
        <v>382</v>
      </c>
      <c r="G2716" s="63" t="s">
        <v>645</v>
      </c>
      <c r="H2716" s="64" t="n">
        <v>39489000000</v>
      </c>
      <c r="I2716" s="62" t="s">
        <v>81</v>
      </c>
      <c r="J2716" s="64" t="n">
        <v>39489000</v>
      </c>
      <c r="K2716" s="62" t="s">
        <v>138</v>
      </c>
      <c r="L2716" s="68" t="b">
        <f aca="false">FALSE()</f>
        <v>0</v>
      </c>
    </row>
    <row r="2717" customFormat="false" ht="15" hidden="false" customHeight="false" outlineLevel="0" collapsed="false">
      <c r="A2717" s="62" t="n">
        <v>0</v>
      </c>
      <c r="B2717" s="21" t="s">
        <v>336</v>
      </c>
      <c r="C2717" s="62" t="s">
        <v>60</v>
      </c>
      <c r="D2717" s="62" t="s">
        <v>385</v>
      </c>
      <c r="E2717" s="62" t="s">
        <v>72</v>
      </c>
      <c r="F2717" s="62" t="s">
        <v>382</v>
      </c>
      <c r="G2717" s="63" t="s">
        <v>645</v>
      </c>
      <c r="H2717" s="64" t="n">
        <v>39489000000</v>
      </c>
      <c r="I2717" s="62" t="s">
        <v>81</v>
      </c>
      <c r="J2717" s="64" t="n">
        <v>39489000</v>
      </c>
      <c r="K2717" s="62" t="s">
        <v>138</v>
      </c>
      <c r="L2717" s="68" t="b">
        <f aca="false">FALSE()</f>
        <v>0</v>
      </c>
    </row>
    <row r="2718" customFormat="false" ht="15" hidden="false" customHeight="false" outlineLevel="0" collapsed="false">
      <c r="A2718" s="62" t="n">
        <v>0</v>
      </c>
      <c r="B2718" s="21" t="s">
        <v>336</v>
      </c>
      <c r="C2718" s="62" t="s">
        <v>60</v>
      </c>
      <c r="D2718" s="62" t="s">
        <v>386</v>
      </c>
      <c r="E2718" s="62" t="s">
        <v>72</v>
      </c>
      <c r="F2718" s="62" t="s">
        <v>382</v>
      </c>
      <c r="G2718" s="63" t="s">
        <v>645</v>
      </c>
      <c r="H2718" s="64" t="n">
        <v>39489000000</v>
      </c>
      <c r="I2718" s="62" t="s">
        <v>81</v>
      </c>
      <c r="J2718" s="64" t="n">
        <v>39489000</v>
      </c>
      <c r="K2718" s="62" t="s">
        <v>138</v>
      </c>
      <c r="L2718" s="68" t="b">
        <f aca="false">FALSE()</f>
        <v>0</v>
      </c>
    </row>
    <row r="2719" customFormat="false" ht="15" hidden="false" customHeight="false" outlineLevel="0" collapsed="false">
      <c r="A2719" s="62" t="n">
        <v>0</v>
      </c>
      <c r="B2719" s="21" t="s">
        <v>336</v>
      </c>
      <c r="C2719" s="62" t="s">
        <v>60</v>
      </c>
      <c r="D2719" s="62" t="s">
        <v>387</v>
      </c>
      <c r="E2719" s="62" t="s">
        <v>72</v>
      </c>
      <c r="F2719" s="62" t="s">
        <v>382</v>
      </c>
      <c r="G2719" s="63" t="s">
        <v>645</v>
      </c>
      <c r="H2719" s="64" t="n">
        <v>39489000000</v>
      </c>
      <c r="I2719" s="62" t="s">
        <v>81</v>
      </c>
      <c r="J2719" s="64" t="n">
        <v>39489000</v>
      </c>
      <c r="K2719" s="62" t="s">
        <v>138</v>
      </c>
      <c r="L2719" s="68" t="b">
        <f aca="false">FALSE()</f>
        <v>0</v>
      </c>
    </row>
    <row r="2720" customFormat="false" ht="15" hidden="false" customHeight="false" outlineLevel="0" collapsed="false">
      <c r="A2720" s="62" t="n">
        <v>0</v>
      </c>
      <c r="B2720" s="21" t="s">
        <v>336</v>
      </c>
      <c r="C2720" s="62" t="s">
        <v>60</v>
      </c>
      <c r="D2720" s="62" t="s">
        <v>388</v>
      </c>
      <c r="E2720" s="62" t="s">
        <v>72</v>
      </c>
      <c r="F2720" s="62" t="s">
        <v>382</v>
      </c>
      <c r="G2720" s="63" t="s">
        <v>645</v>
      </c>
      <c r="H2720" s="64" t="n">
        <v>39489000000</v>
      </c>
      <c r="I2720" s="62" t="s">
        <v>81</v>
      </c>
      <c r="J2720" s="64" t="n">
        <v>39489000</v>
      </c>
      <c r="K2720" s="62" t="s">
        <v>138</v>
      </c>
      <c r="L2720" s="68" t="b">
        <f aca="false">FALSE()</f>
        <v>0</v>
      </c>
    </row>
    <row r="2721" customFormat="false" ht="15" hidden="false" customHeight="false" outlineLevel="0" collapsed="false">
      <c r="A2721" s="62" t="n">
        <v>0</v>
      </c>
      <c r="B2721" s="21" t="s">
        <v>336</v>
      </c>
      <c r="C2721" s="62" t="s">
        <v>60</v>
      </c>
      <c r="D2721" s="62" t="s">
        <v>381</v>
      </c>
      <c r="E2721" s="62" t="s">
        <v>72</v>
      </c>
      <c r="F2721" s="62" t="s">
        <v>382</v>
      </c>
      <c r="G2721" s="63" t="s">
        <v>646</v>
      </c>
      <c r="H2721" s="64" t="n">
        <v>157956000000</v>
      </c>
      <c r="I2721" s="62" t="s">
        <v>81</v>
      </c>
      <c r="J2721" s="64" t="n">
        <v>157956000</v>
      </c>
      <c r="K2721" s="62" t="s">
        <v>138</v>
      </c>
      <c r="L2721" s="68" t="b">
        <f aca="false">FALSE()</f>
        <v>0</v>
      </c>
    </row>
    <row r="2722" customFormat="false" ht="15" hidden="false" customHeight="false" outlineLevel="0" collapsed="false">
      <c r="A2722" s="62" t="n">
        <v>0</v>
      </c>
      <c r="B2722" s="21" t="s">
        <v>336</v>
      </c>
      <c r="C2722" s="62" t="s">
        <v>60</v>
      </c>
      <c r="D2722" s="62" t="s">
        <v>383</v>
      </c>
      <c r="E2722" s="62" t="s">
        <v>72</v>
      </c>
      <c r="F2722" s="62" t="s">
        <v>382</v>
      </c>
      <c r="G2722" s="63" t="s">
        <v>646</v>
      </c>
      <c r="H2722" s="64" t="n">
        <v>157956000000</v>
      </c>
      <c r="I2722" s="62" t="s">
        <v>81</v>
      </c>
      <c r="J2722" s="64" t="n">
        <v>157956000</v>
      </c>
      <c r="K2722" s="62" t="s">
        <v>138</v>
      </c>
      <c r="L2722" s="68" t="b">
        <f aca="false">FALSE()</f>
        <v>0</v>
      </c>
    </row>
    <row r="2723" customFormat="false" ht="15" hidden="false" customHeight="false" outlineLevel="0" collapsed="false">
      <c r="A2723" s="62" t="n">
        <v>0</v>
      </c>
      <c r="B2723" s="21" t="s">
        <v>336</v>
      </c>
      <c r="C2723" s="62" t="s">
        <v>60</v>
      </c>
      <c r="D2723" s="62" t="s">
        <v>384</v>
      </c>
      <c r="E2723" s="62" t="s">
        <v>72</v>
      </c>
      <c r="F2723" s="62" t="s">
        <v>382</v>
      </c>
      <c r="G2723" s="63" t="s">
        <v>646</v>
      </c>
      <c r="H2723" s="64" t="n">
        <v>157956000000</v>
      </c>
      <c r="I2723" s="62" t="s">
        <v>81</v>
      </c>
      <c r="J2723" s="64" t="n">
        <v>157956000</v>
      </c>
      <c r="K2723" s="62" t="s">
        <v>138</v>
      </c>
      <c r="L2723" s="68" t="b">
        <f aca="false">FALSE()</f>
        <v>0</v>
      </c>
    </row>
    <row r="2724" customFormat="false" ht="15" hidden="false" customHeight="false" outlineLevel="0" collapsed="false">
      <c r="A2724" s="62" t="n">
        <v>0</v>
      </c>
      <c r="B2724" s="21" t="s">
        <v>336</v>
      </c>
      <c r="C2724" s="62" t="s">
        <v>60</v>
      </c>
      <c r="D2724" s="62" t="s">
        <v>385</v>
      </c>
      <c r="E2724" s="62" t="s">
        <v>72</v>
      </c>
      <c r="F2724" s="62" t="s">
        <v>382</v>
      </c>
      <c r="G2724" s="63" t="s">
        <v>646</v>
      </c>
      <c r="H2724" s="64" t="n">
        <v>157956000000</v>
      </c>
      <c r="I2724" s="62" t="s">
        <v>81</v>
      </c>
      <c r="J2724" s="64" t="n">
        <v>157956000</v>
      </c>
      <c r="K2724" s="62" t="s">
        <v>138</v>
      </c>
      <c r="L2724" s="68" t="b">
        <f aca="false">FALSE()</f>
        <v>0</v>
      </c>
    </row>
    <row r="2725" customFormat="false" ht="15" hidden="false" customHeight="false" outlineLevel="0" collapsed="false">
      <c r="A2725" s="62" t="n">
        <v>0</v>
      </c>
      <c r="B2725" s="21" t="s">
        <v>336</v>
      </c>
      <c r="C2725" s="62" t="s">
        <v>60</v>
      </c>
      <c r="D2725" s="62" t="s">
        <v>386</v>
      </c>
      <c r="E2725" s="62" t="s">
        <v>72</v>
      </c>
      <c r="F2725" s="62" t="s">
        <v>382</v>
      </c>
      <c r="G2725" s="63" t="s">
        <v>646</v>
      </c>
      <c r="H2725" s="64" t="n">
        <v>157956000000</v>
      </c>
      <c r="I2725" s="62" t="s">
        <v>81</v>
      </c>
      <c r="J2725" s="64" t="n">
        <v>157956000</v>
      </c>
      <c r="K2725" s="62" t="s">
        <v>138</v>
      </c>
      <c r="L2725" s="68" t="b">
        <f aca="false">FALSE()</f>
        <v>0</v>
      </c>
    </row>
    <row r="2726" customFormat="false" ht="15" hidden="false" customHeight="false" outlineLevel="0" collapsed="false">
      <c r="A2726" s="62" t="n">
        <v>0</v>
      </c>
      <c r="B2726" s="21" t="s">
        <v>336</v>
      </c>
      <c r="C2726" s="62" t="s">
        <v>60</v>
      </c>
      <c r="D2726" s="62" t="s">
        <v>387</v>
      </c>
      <c r="E2726" s="62" t="s">
        <v>72</v>
      </c>
      <c r="F2726" s="62" t="s">
        <v>382</v>
      </c>
      <c r="G2726" s="63" t="s">
        <v>646</v>
      </c>
      <c r="H2726" s="64" t="n">
        <v>157956000000</v>
      </c>
      <c r="I2726" s="62" t="s">
        <v>81</v>
      </c>
      <c r="J2726" s="64" t="n">
        <v>157956000</v>
      </c>
      <c r="K2726" s="62" t="s">
        <v>138</v>
      </c>
      <c r="L2726" s="68" t="b">
        <f aca="false">FALSE()</f>
        <v>0</v>
      </c>
    </row>
    <row r="2727" customFormat="false" ht="15" hidden="false" customHeight="false" outlineLevel="0" collapsed="false">
      <c r="A2727" s="62" t="n">
        <v>0</v>
      </c>
      <c r="B2727" s="21" t="s">
        <v>336</v>
      </c>
      <c r="C2727" s="62" t="s">
        <v>60</v>
      </c>
      <c r="D2727" s="62" t="s">
        <v>388</v>
      </c>
      <c r="E2727" s="62" t="s">
        <v>72</v>
      </c>
      <c r="F2727" s="62" t="s">
        <v>382</v>
      </c>
      <c r="G2727" s="63" t="s">
        <v>646</v>
      </c>
      <c r="H2727" s="64" t="n">
        <v>157956000000</v>
      </c>
      <c r="I2727" s="62" t="s">
        <v>81</v>
      </c>
      <c r="J2727" s="64" t="n">
        <v>157956000</v>
      </c>
      <c r="K2727" s="62" t="s">
        <v>138</v>
      </c>
      <c r="L2727" s="68" t="b">
        <f aca="false">FALSE()</f>
        <v>0</v>
      </c>
    </row>
    <row r="2728" customFormat="false" ht="15" hidden="false" customHeight="false" outlineLevel="0" collapsed="false">
      <c r="A2728" s="62" t="n">
        <v>0</v>
      </c>
      <c r="B2728" s="21" t="s">
        <v>336</v>
      </c>
      <c r="C2728" s="62" t="s">
        <v>60</v>
      </c>
      <c r="D2728" s="62" t="s">
        <v>381</v>
      </c>
      <c r="E2728" s="62" t="s">
        <v>72</v>
      </c>
      <c r="F2728" s="62" t="s">
        <v>382</v>
      </c>
      <c r="G2728" s="63" t="s">
        <v>647</v>
      </c>
      <c r="H2728" s="64" t="n">
        <v>11650</v>
      </c>
      <c r="I2728" s="62" t="s">
        <v>81</v>
      </c>
      <c r="J2728" s="64" t="n">
        <v>11.65</v>
      </c>
      <c r="K2728" s="62" t="s">
        <v>138</v>
      </c>
      <c r="L2728" s="68" t="b">
        <f aca="false">FALSE()</f>
        <v>0</v>
      </c>
    </row>
    <row r="2729" customFormat="false" ht="15" hidden="false" customHeight="false" outlineLevel="0" collapsed="false">
      <c r="A2729" s="62" t="n">
        <v>0</v>
      </c>
      <c r="B2729" s="21" t="s">
        <v>336</v>
      </c>
      <c r="C2729" s="62" t="s">
        <v>60</v>
      </c>
      <c r="D2729" s="62" t="s">
        <v>383</v>
      </c>
      <c r="E2729" s="62" t="s">
        <v>72</v>
      </c>
      <c r="F2729" s="62" t="s">
        <v>382</v>
      </c>
      <c r="G2729" s="63" t="s">
        <v>647</v>
      </c>
      <c r="H2729" s="64" t="n">
        <v>11650</v>
      </c>
      <c r="I2729" s="62" t="s">
        <v>81</v>
      </c>
      <c r="J2729" s="64" t="n">
        <v>11.65</v>
      </c>
      <c r="K2729" s="62" t="s">
        <v>138</v>
      </c>
      <c r="L2729" s="68" t="b">
        <f aca="false">FALSE()</f>
        <v>0</v>
      </c>
    </row>
    <row r="2730" customFormat="false" ht="15" hidden="false" customHeight="false" outlineLevel="0" collapsed="false">
      <c r="A2730" s="62" t="n">
        <v>0</v>
      </c>
      <c r="B2730" s="21" t="s">
        <v>336</v>
      </c>
      <c r="C2730" s="62" t="s">
        <v>60</v>
      </c>
      <c r="D2730" s="62" t="s">
        <v>384</v>
      </c>
      <c r="E2730" s="62" t="s">
        <v>72</v>
      </c>
      <c r="F2730" s="62" t="s">
        <v>382</v>
      </c>
      <c r="G2730" s="63" t="s">
        <v>647</v>
      </c>
      <c r="H2730" s="64" t="n">
        <v>11650</v>
      </c>
      <c r="I2730" s="62" t="s">
        <v>81</v>
      </c>
      <c r="J2730" s="64" t="n">
        <v>11.65</v>
      </c>
      <c r="K2730" s="62" t="s">
        <v>138</v>
      </c>
      <c r="L2730" s="68" t="b">
        <f aca="false">FALSE()</f>
        <v>0</v>
      </c>
    </row>
    <row r="2731" customFormat="false" ht="15" hidden="false" customHeight="false" outlineLevel="0" collapsed="false">
      <c r="A2731" s="62" t="n">
        <v>0</v>
      </c>
      <c r="B2731" s="21" t="s">
        <v>336</v>
      </c>
      <c r="C2731" s="62" t="s">
        <v>60</v>
      </c>
      <c r="D2731" s="62" t="s">
        <v>385</v>
      </c>
      <c r="E2731" s="62" t="s">
        <v>72</v>
      </c>
      <c r="F2731" s="62" t="s">
        <v>382</v>
      </c>
      <c r="G2731" s="63" t="s">
        <v>647</v>
      </c>
      <c r="H2731" s="64" t="n">
        <v>11650</v>
      </c>
      <c r="I2731" s="62" t="s">
        <v>81</v>
      </c>
      <c r="J2731" s="64" t="n">
        <v>11.65</v>
      </c>
      <c r="K2731" s="62" t="s">
        <v>138</v>
      </c>
      <c r="L2731" s="68" t="b">
        <f aca="false">FALSE()</f>
        <v>0</v>
      </c>
    </row>
    <row r="2732" customFormat="false" ht="15" hidden="false" customHeight="false" outlineLevel="0" collapsed="false">
      <c r="A2732" s="62" t="n">
        <v>0</v>
      </c>
      <c r="B2732" s="21" t="s">
        <v>336</v>
      </c>
      <c r="C2732" s="62" t="s">
        <v>60</v>
      </c>
      <c r="D2732" s="62" t="s">
        <v>386</v>
      </c>
      <c r="E2732" s="62" t="s">
        <v>72</v>
      </c>
      <c r="F2732" s="62" t="s">
        <v>382</v>
      </c>
      <c r="G2732" s="63" t="s">
        <v>647</v>
      </c>
      <c r="H2732" s="64" t="n">
        <v>11650</v>
      </c>
      <c r="I2732" s="62" t="s">
        <v>81</v>
      </c>
      <c r="J2732" s="64" t="n">
        <v>11.65</v>
      </c>
      <c r="K2732" s="62" t="s">
        <v>138</v>
      </c>
      <c r="L2732" s="68" t="b">
        <f aca="false">FALSE()</f>
        <v>0</v>
      </c>
    </row>
    <row r="2733" customFormat="false" ht="15" hidden="false" customHeight="false" outlineLevel="0" collapsed="false">
      <c r="A2733" s="62" t="n">
        <v>0</v>
      </c>
      <c r="B2733" s="21" t="s">
        <v>336</v>
      </c>
      <c r="C2733" s="62" t="s">
        <v>60</v>
      </c>
      <c r="D2733" s="62" t="s">
        <v>387</v>
      </c>
      <c r="E2733" s="62" t="s">
        <v>72</v>
      </c>
      <c r="F2733" s="62" t="s">
        <v>382</v>
      </c>
      <c r="G2733" s="63" t="s">
        <v>647</v>
      </c>
      <c r="H2733" s="64" t="n">
        <v>11650</v>
      </c>
      <c r="I2733" s="62" t="s">
        <v>81</v>
      </c>
      <c r="J2733" s="64" t="n">
        <v>11.65</v>
      </c>
      <c r="K2733" s="62" t="s">
        <v>138</v>
      </c>
      <c r="L2733" s="68" t="b">
        <f aca="false">FALSE()</f>
        <v>0</v>
      </c>
    </row>
    <row r="2734" customFormat="false" ht="15" hidden="false" customHeight="false" outlineLevel="0" collapsed="false">
      <c r="A2734" s="62" t="n">
        <v>0</v>
      </c>
      <c r="B2734" s="21" t="s">
        <v>336</v>
      </c>
      <c r="C2734" s="62" t="s">
        <v>60</v>
      </c>
      <c r="D2734" s="62" t="s">
        <v>388</v>
      </c>
      <c r="E2734" s="62" t="s">
        <v>72</v>
      </c>
      <c r="F2734" s="62" t="s">
        <v>382</v>
      </c>
      <c r="G2734" s="63" t="s">
        <v>647</v>
      </c>
      <c r="H2734" s="64" t="n">
        <v>11650</v>
      </c>
      <c r="I2734" s="62" t="s">
        <v>81</v>
      </c>
      <c r="J2734" s="64" t="n">
        <v>11.65</v>
      </c>
      <c r="K2734" s="62" t="s">
        <v>138</v>
      </c>
      <c r="L2734" s="68" t="b">
        <f aca="false">FALSE()</f>
        <v>0</v>
      </c>
    </row>
    <row r="2735" customFormat="false" ht="15" hidden="false" customHeight="false" outlineLevel="0" collapsed="false">
      <c r="A2735" s="62" t="n">
        <v>0</v>
      </c>
      <c r="B2735" s="21" t="s">
        <v>336</v>
      </c>
      <c r="C2735" s="62" t="s">
        <v>60</v>
      </c>
      <c r="D2735" s="62" t="s">
        <v>381</v>
      </c>
      <c r="E2735" s="62" t="s">
        <v>72</v>
      </c>
      <c r="F2735" s="62" t="s">
        <v>382</v>
      </c>
      <c r="G2735" s="63" t="s">
        <v>648</v>
      </c>
      <c r="H2735" s="64" t="n">
        <v>4623144991.39401</v>
      </c>
      <c r="I2735" s="62" t="s">
        <v>81</v>
      </c>
      <c r="J2735" s="64" t="n">
        <v>4623144.99139401</v>
      </c>
      <c r="K2735" s="62" t="s">
        <v>138</v>
      </c>
      <c r="L2735" s="68" t="b">
        <f aca="false">FALSE()</f>
        <v>0</v>
      </c>
    </row>
    <row r="2736" customFormat="false" ht="15" hidden="false" customHeight="false" outlineLevel="0" collapsed="false">
      <c r="A2736" s="62" t="n">
        <v>0</v>
      </c>
      <c r="B2736" s="21" t="s">
        <v>336</v>
      </c>
      <c r="C2736" s="62" t="s">
        <v>60</v>
      </c>
      <c r="D2736" s="62" t="s">
        <v>383</v>
      </c>
      <c r="E2736" s="62" t="s">
        <v>72</v>
      </c>
      <c r="F2736" s="62" t="s">
        <v>382</v>
      </c>
      <c r="G2736" s="63" t="s">
        <v>648</v>
      </c>
      <c r="H2736" s="64" t="n">
        <v>4623144991.39401</v>
      </c>
      <c r="I2736" s="62" t="s">
        <v>81</v>
      </c>
      <c r="J2736" s="64" t="n">
        <v>4623144.99139401</v>
      </c>
      <c r="K2736" s="62" t="s">
        <v>138</v>
      </c>
      <c r="L2736" s="68" t="b">
        <f aca="false">FALSE()</f>
        <v>0</v>
      </c>
    </row>
    <row r="2737" customFormat="false" ht="15" hidden="false" customHeight="false" outlineLevel="0" collapsed="false">
      <c r="A2737" s="62" t="n">
        <v>0</v>
      </c>
      <c r="B2737" s="21" t="s">
        <v>336</v>
      </c>
      <c r="C2737" s="62" t="s">
        <v>60</v>
      </c>
      <c r="D2737" s="62" t="s">
        <v>384</v>
      </c>
      <c r="E2737" s="62" t="s">
        <v>72</v>
      </c>
      <c r="F2737" s="62" t="s">
        <v>382</v>
      </c>
      <c r="G2737" s="63" t="s">
        <v>648</v>
      </c>
      <c r="H2737" s="64" t="n">
        <v>4623144991.39401</v>
      </c>
      <c r="I2737" s="62" t="s">
        <v>81</v>
      </c>
      <c r="J2737" s="64" t="n">
        <v>4623144.99139401</v>
      </c>
      <c r="K2737" s="62" t="s">
        <v>138</v>
      </c>
      <c r="L2737" s="68" t="b">
        <f aca="false">FALSE()</f>
        <v>0</v>
      </c>
    </row>
    <row r="2738" customFormat="false" ht="15" hidden="false" customHeight="false" outlineLevel="0" collapsed="false">
      <c r="A2738" s="62" t="n">
        <v>0</v>
      </c>
      <c r="B2738" s="21" t="s">
        <v>336</v>
      </c>
      <c r="C2738" s="62" t="s">
        <v>60</v>
      </c>
      <c r="D2738" s="62" t="s">
        <v>385</v>
      </c>
      <c r="E2738" s="62" t="s">
        <v>72</v>
      </c>
      <c r="F2738" s="62" t="s">
        <v>382</v>
      </c>
      <c r="G2738" s="63" t="s">
        <v>648</v>
      </c>
      <c r="H2738" s="64" t="n">
        <v>4623144991.39401</v>
      </c>
      <c r="I2738" s="62" t="s">
        <v>81</v>
      </c>
      <c r="J2738" s="64" t="n">
        <v>4623144.99139401</v>
      </c>
      <c r="K2738" s="62" t="s">
        <v>138</v>
      </c>
      <c r="L2738" s="68" t="b">
        <f aca="false">FALSE()</f>
        <v>0</v>
      </c>
    </row>
    <row r="2739" customFormat="false" ht="15" hidden="false" customHeight="false" outlineLevel="0" collapsed="false">
      <c r="A2739" s="62" t="n">
        <v>0</v>
      </c>
      <c r="B2739" s="21" t="s">
        <v>336</v>
      </c>
      <c r="C2739" s="62" t="s">
        <v>60</v>
      </c>
      <c r="D2739" s="62" t="s">
        <v>386</v>
      </c>
      <c r="E2739" s="62" t="s">
        <v>72</v>
      </c>
      <c r="F2739" s="62" t="s">
        <v>382</v>
      </c>
      <c r="G2739" s="63" t="s">
        <v>648</v>
      </c>
      <c r="H2739" s="64" t="n">
        <v>4623144991.39401</v>
      </c>
      <c r="I2739" s="62" t="s">
        <v>81</v>
      </c>
      <c r="J2739" s="64" t="n">
        <v>4623144.99139401</v>
      </c>
      <c r="K2739" s="62" t="s">
        <v>138</v>
      </c>
      <c r="L2739" s="68" t="b">
        <f aca="false">FALSE()</f>
        <v>0</v>
      </c>
    </row>
    <row r="2740" customFormat="false" ht="15" hidden="false" customHeight="false" outlineLevel="0" collapsed="false">
      <c r="A2740" s="62" t="n">
        <v>0</v>
      </c>
      <c r="B2740" s="21" t="s">
        <v>336</v>
      </c>
      <c r="C2740" s="62" t="s">
        <v>60</v>
      </c>
      <c r="D2740" s="62" t="s">
        <v>387</v>
      </c>
      <c r="E2740" s="62" t="s">
        <v>72</v>
      </c>
      <c r="F2740" s="62" t="s">
        <v>382</v>
      </c>
      <c r="G2740" s="63" t="s">
        <v>648</v>
      </c>
      <c r="H2740" s="64" t="n">
        <v>4623144991.39401</v>
      </c>
      <c r="I2740" s="62" t="s">
        <v>81</v>
      </c>
      <c r="J2740" s="64" t="n">
        <v>4623144.99139401</v>
      </c>
      <c r="K2740" s="62" t="s">
        <v>138</v>
      </c>
      <c r="L2740" s="68" t="b">
        <f aca="false">FALSE()</f>
        <v>0</v>
      </c>
    </row>
    <row r="2741" customFormat="false" ht="15" hidden="false" customHeight="false" outlineLevel="0" collapsed="false">
      <c r="A2741" s="62" t="n">
        <v>0</v>
      </c>
      <c r="B2741" s="21" t="s">
        <v>336</v>
      </c>
      <c r="C2741" s="62" t="s">
        <v>60</v>
      </c>
      <c r="D2741" s="62" t="s">
        <v>388</v>
      </c>
      <c r="E2741" s="62" t="s">
        <v>72</v>
      </c>
      <c r="F2741" s="62" t="s">
        <v>382</v>
      </c>
      <c r="G2741" s="63" t="s">
        <v>648</v>
      </c>
      <c r="H2741" s="64" t="n">
        <v>4623144991.39401</v>
      </c>
      <c r="I2741" s="62" t="s">
        <v>81</v>
      </c>
      <c r="J2741" s="64" t="n">
        <v>4623144.99139401</v>
      </c>
      <c r="K2741" s="62" t="s">
        <v>138</v>
      </c>
      <c r="L2741" s="68" t="b">
        <f aca="false">FALSE()</f>
        <v>0</v>
      </c>
    </row>
    <row r="2742" customFormat="false" ht="15" hidden="false" customHeight="false" outlineLevel="0" collapsed="false">
      <c r="A2742" s="62" t="n">
        <v>0</v>
      </c>
      <c r="B2742" s="21" t="s">
        <v>336</v>
      </c>
      <c r="C2742" s="62" t="s">
        <v>60</v>
      </c>
      <c r="D2742" s="62" t="s">
        <v>381</v>
      </c>
      <c r="E2742" s="62" t="s">
        <v>72</v>
      </c>
      <c r="F2742" s="62" t="s">
        <v>382</v>
      </c>
      <c r="G2742" s="63" t="s">
        <v>649</v>
      </c>
      <c r="H2742" s="64" t="n">
        <v>53859639149.7402</v>
      </c>
      <c r="I2742" s="62" t="s">
        <v>81</v>
      </c>
      <c r="J2742" s="64" t="n">
        <v>53859639.1497402</v>
      </c>
      <c r="K2742" s="62" t="s">
        <v>138</v>
      </c>
      <c r="L2742" s="68" t="b">
        <f aca="false">FALSE()</f>
        <v>0</v>
      </c>
    </row>
    <row r="2743" customFormat="false" ht="15" hidden="false" customHeight="false" outlineLevel="0" collapsed="false">
      <c r="A2743" s="62" t="n">
        <v>0</v>
      </c>
      <c r="B2743" s="21" t="s">
        <v>336</v>
      </c>
      <c r="C2743" s="62" t="s">
        <v>60</v>
      </c>
      <c r="D2743" s="62" t="s">
        <v>383</v>
      </c>
      <c r="E2743" s="62" t="s">
        <v>72</v>
      </c>
      <c r="F2743" s="62" t="s">
        <v>382</v>
      </c>
      <c r="G2743" s="63" t="s">
        <v>649</v>
      </c>
      <c r="H2743" s="64" t="n">
        <v>53859639149.7402</v>
      </c>
      <c r="I2743" s="62" t="s">
        <v>81</v>
      </c>
      <c r="J2743" s="64" t="n">
        <v>53859639.1497402</v>
      </c>
      <c r="K2743" s="62" t="s">
        <v>138</v>
      </c>
      <c r="L2743" s="68" t="b">
        <f aca="false">FALSE()</f>
        <v>0</v>
      </c>
    </row>
    <row r="2744" customFormat="false" ht="15" hidden="false" customHeight="false" outlineLevel="0" collapsed="false">
      <c r="A2744" s="62" t="n">
        <v>0</v>
      </c>
      <c r="B2744" s="21" t="s">
        <v>336</v>
      </c>
      <c r="C2744" s="62" t="s">
        <v>60</v>
      </c>
      <c r="D2744" s="62" t="s">
        <v>384</v>
      </c>
      <c r="E2744" s="62" t="s">
        <v>72</v>
      </c>
      <c r="F2744" s="62" t="s">
        <v>382</v>
      </c>
      <c r="G2744" s="63" t="s">
        <v>649</v>
      </c>
      <c r="H2744" s="64" t="n">
        <v>53859639149.7402</v>
      </c>
      <c r="I2744" s="62" t="s">
        <v>81</v>
      </c>
      <c r="J2744" s="64" t="n">
        <v>53859639.1497402</v>
      </c>
      <c r="K2744" s="62" t="s">
        <v>138</v>
      </c>
      <c r="L2744" s="68" t="b">
        <f aca="false">FALSE()</f>
        <v>0</v>
      </c>
    </row>
    <row r="2745" customFormat="false" ht="15" hidden="false" customHeight="false" outlineLevel="0" collapsed="false">
      <c r="A2745" s="62" t="n">
        <v>0</v>
      </c>
      <c r="B2745" s="21" t="s">
        <v>336</v>
      </c>
      <c r="C2745" s="62" t="s">
        <v>60</v>
      </c>
      <c r="D2745" s="62" t="s">
        <v>385</v>
      </c>
      <c r="E2745" s="62" t="s">
        <v>72</v>
      </c>
      <c r="F2745" s="62" t="s">
        <v>382</v>
      </c>
      <c r="G2745" s="63" t="s">
        <v>649</v>
      </c>
      <c r="H2745" s="64" t="n">
        <v>53859639149.7402</v>
      </c>
      <c r="I2745" s="62" t="s">
        <v>81</v>
      </c>
      <c r="J2745" s="64" t="n">
        <v>53859639.1497402</v>
      </c>
      <c r="K2745" s="62" t="s">
        <v>138</v>
      </c>
      <c r="L2745" s="68" t="b">
        <f aca="false">FALSE()</f>
        <v>0</v>
      </c>
    </row>
    <row r="2746" customFormat="false" ht="15" hidden="false" customHeight="false" outlineLevel="0" collapsed="false">
      <c r="A2746" s="62" t="n">
        <v>0</v>
      </c>
      <c r="B2746" s="21" t="s">
        <v>336</v>
      </c>
      <c r="C2746" s="62" t="s">
        <v>60</v>
      </c>
      <c r="D2746" s="62" t="s">
        <v>386</v>
      </c>
      <c r="E2746" s="62" t="s">
        <v>72</v>
      </c>
      <c r="F2746" s="62" t="s">
        <v>382</v>
      </c>
      <c r="G2746" s="63" t="s">
        <v>649</v>
      </c>
      <c r="H2746" s="64" t="n">
        <v>53859639149.7402</v>
      </c>
      <c r="I2746" s="62" t="s">
        <v>81</v>
      </c>
      <c r="J2746" s="64" t="n">
        <v>53859639.1497402</v>
      </c>
      <c r="K2746" s="62" t="s">
        <v>138</v>
      </c>
      <c r="L2746" s="68" t="b">
        <f aca="false">FALSE()</f>
        <v>0</v>
      </c>
    </row>
    <row r="2747" customFormat="false" ht="15" hidden="false" customHeight="false" outlineLevel="0" collapsed="false">
      <c r="A2747" s="62" t="n">
        <v>0</v>
      </c>
      <c r="B2747" s="21" t="s">
        <v>336</v>
      </c>
      <c r="C2747" s="62" t="s">
        <v>60</v>
      </c>
      <c r="D2747" s="62" t="s">
        <v>387</v>
      </c>
      <c r="E2747" s="62" t="s">
        <v>72</v>
      </c>
      <c r="F2747" s="62" t="s">
        <v>382</v>
      </c>
      <c r="G2747" s="63" t="s">
        <v>649</v>
      </c>
      <c r="H2747" s="64" t="n">
        <v>53859639149.7402</v>
      </c>
      <c r="I2747" s="62" t="s">
        <v>81</v>
      </c>
      <c r="J2747" s="64" t="n">
        <v>53859639.1497402</v>
      </c>
      <c r="K2747" s="62" t="s">
        <v>138</v>
      </c>
      <c r="L2747" s="68" t="b">
        <f aca="false">FALSE()</f>
        <v>0</v>
      </c>
    </row>
    <row r="2748" customFormat="false" ht="15" hidden="false" customHeight="false" outlineLevel="0" collapsed="false">
      <c r="A2748" s="62" t="n">
        <v>0</v>
      </c>
      <c r="B2748" s="21" t="s">
        <v>336</v>
      </c>
      <c r="C2748" s="62" t="s">
        <v>60</v>
      </c>
      <c r="D2748" s="62" t="s">
        <v>388</v>
      </c>
      <c r="E2748" s="62" t="s">
        <v>72</v>
      </c>
      <c r="F2748" s="62" t="s">
        <v>382</v>
      </c>
      <c r="G2748" s="63" t="s">
        <v>649</v>
      </c>
      <c r="H2748" s="64" t="n">
        <v>53859639149.7402</v>
      </c>
      <c r="I2748" s="62" t="s">
        <v>81</v>
      </c>
      <c r="J2748" s="64" t="n">
        <v>53859639.1497402</v>
      </c>
      <c r="K2748" s="62" t="s">
        <v>138</v>
      </c>
      <c r="L2748" s="68" t="b">
        <f aca="false">FALSE()</f>
        <v>0</v>
      </c>
    </row>
    <row r="2749" customFormat="false" ht="15" hidden="false" customHeight="false" outlineLevel="0" collapsed="false">
      <c r="A2749" s="62" t="n">
        <v>0</v>
      </c>
      <c r="B2749" s="21" t="s">
        <v>336</v>
      </c>
      <c r="C2749" s="62" t="s">
        <v>60</v>
      </c>
      <c r="D2749" s="62" t="s">
        <v>381</v>
      </c>
      <c r="E2749" s="62" t="s">
        <v>72</v>
      </c>
      <c r="F2749" s="62" t="s">
        <v>382</v>
      </c>
      <c r="G2749" s="63" t="s">
        <v>650</v>
      </c>
      <c r="H2749" s="64" t="n">
        <v>14630</v>
      </c>
      <c r="I2749" s="62" t="s">
        <v>81</v>
      </c>
      <c r="J2749" s="64" t="n">
        <v>14.63</v>
      </c>
      <c r="K2749" s="62" t="s">
        <v>138</v>
      </c>
      <c r="L2749" s="68" t="b">
        <f aca="false">FALSE()</f>
        <v>0</v>
      </c>
    </row>
    <row r="2750" customFormat="false" ht="15" hidden="false" customHeight="false" outlineLevel="0" collapsed="false">
      <c r="A2750" s="62" t="n">
        <v>0</v>
      </c>
      <c r="B2750" s="21" t="s">
        <v>336</v>
      </c>
      <c r="C2750" s="62" t="s">
        <v>60</v>
      </c>
      <c r="D2750" s="62" t="s">
        <v>383</v>
      </c>
      <c r="E2750" s="62" t="s">
        <v>72</v>
      </c>
      <c r="F2750" s="62" t="s">
        <v>382</v>
      </c>
      <c r="G2750" s="63" t="s">
        <v>650</v>
      </c>
      <c r="H2750" s="64" t="n">
        <v>14630</v>
      </c>
      <c r="I2750" s="62" t="s">
        <v>81</v>
      </c>
      <c r="J2750" s="64" t="n">
        <v>14.63</v>
      </c>
      <c r="K2750" s="62" t="s">
        <v>138</v>
      </c>
      <c r="L2750" s="68" t="b">
        <f aca="false">FALSE()</f>
        <v>0</v>
      </c>
    </row>
    <row r="2751" customFormat="false" ht="15" hidden="false" customHeight="false" outlineLevel="0" collapsed="false">
      <c r="A2751" s="62" t="n">
        <v>0</v>
      </c>
      <c r="B2751" s="21" t="s">
        <v>336</v>
      </c>
      <c r="C2751" s="62" t="s">
        <v>60</v>
      </c>
      <c r="D2751" s="62" t="s">
        <v>384</v>
      </c>
      <c r="E2751" s="62" t="s">
        <v>72</v>
      </c>
      <c r="F2751" s="62" t="s">
        <v>382</v>
      </c>
      <c r="G2751" s="63" t="s">
        <v>650</v>
      </c>
      <c r="H2751" s="64" t="n">
        <v>14630</v>
      </c>
      <c r="I2751" s="62" t="s">
        <v>81</v>
      </c>
      <c r="J2751" s="64" t="n">
        <v>14.63</v>
      </c>
      <c r="K2751" s="62" t="s">
        <v>138</v>
      </c>
      <c r="L2751" s="68" t="b">
        <f aca="false">FALSE()</f>
        <v>0</v>
      </c>
    </row>
    <row r="2752" customFormat="false" ht="15" hidden="false" customHeight="false" outlineLevel="0" collapsed="false">
      <c r="A2752" s="62" t="n">
        <v>0</v>
      </c>
      <c r="B2752" s="21" t="s">
        <v>336</v>
      </c>
      <c r="C2752" s="62" t="s">
        <v>60</v>
      </c>
      <c r="D2752" s="62" t="s">
        <v>385</v>
      </c>
      <c r="E2752" s="62" t="s">
        <v>72</v>
      </c>
      <c r="F2752" s="62" t="s">
        <v>382</v>
      </c>
      <c r="G2752" s="63" t="s">
        <v>650</v>
      </c>
      <c r="H2752" s="64" t="n">
        <v>14630</v>
      </c>
      <c r="I2752" s="62" t="s">
        <v>81</v>
      </c>
      <c r="J2752" s="64" t="n">
        <v>14.63</v>
      </c>
      <c r="K2752" s="62" t="s">
        <v>138</v>
      </c>
      <c r="L2752" s="68" t="b">
        <f aca="false">FALSE()</f>
        <v>0</v>
      </c>
    </row>
    <row r="2753" customFormat="false" ht="15" hidden="false" customHeight="false" outlineLevel="0" collapsed="false">
      <c r="A2753" s="62" t="n">
        <v>0</v>
      </c>
      <c r="B2753" s="21" t="s">
        <v>336</v>
      </c>
      <c r="C2753" s="62" t="s">
        <v>60</v>
      </c>
      <c r="D2753" s="62" t="s">
        <v>386</v>
      </c>
      <c r="E2753" s="62" t="s">
        <v>72</v>
      </c>
      <c r="F2753" s="62" t="s">
        <v>382</v>
      </c>
      <c r="G2753" s="63" t="s">
        <v>650</v>
      </c>
      <c r="H2753" s="64" t="n">
        <v>14630</v>
      </c>
      <c r="I2753" s="62" t="s">
        <v>81</v>
      </c>
      <c r="J2753" s="64" t="n">
        <v>14.63</v>
      </c>
      <c r="K2753" s="62" t="s">
        <v>138</v>
      </c>
      <c r="L2753" s="68" t="b">
        <f aca="false">FALSE()</f>
        <v>0</v>
      </c>
    </row>
    <row r="2754" customFormat="false" ht="15" hidden="false" customHeight="false" outlineLevel="0" collapsed="false">
      <c r="A2754" s="62" t="n">
        <v>0</v>
      </c>
      <c r="B2754" s="21" t="s">
        <v>336</v>
      </c>
      <c r="C2754" s="62" t="s">
        <v>60</v>
      </c>
      <c r="D2754" s="62" t="s">
        <v>387</v>
      </c>
      <c r="E2754" s="62" t="s">
        <v>72</v>
      </c>
      <c r="F2754" s="62" t="s">
        <v>382</v>
      </c>
      <c r="G2754" s="63" t="s">
        <v>650</v>
      </c>
      <c r="H2754" s="64" t="n">
        <v>14630</v>
      </c>
      <c r="I2754" s="62" t="s">
        <v>81</v>
      </c>
      <c r="J2754" s="64" t="n">
        <v>14.63</v>
      </c>
      <c r="K2754" s="62" t="s">
        <v>138</v>
      </c>
      <c r="L2754" s="68" t="b">
        <f aca="false">FALSE()</f>
        <v>0</v>
      </c>
    </row>
    <row r="2755" customFormat="false" ht="15" hidden="false" customHeight="false" outlineLevel="0" collapsed="false">
      <c r="A2755" s="62" t="n">
        <v>0</v>
      </c>
      <c r="B2755" s="21" t="s">
        <v>336</v>
      </c>
      <c r="C2755" s="62" t="s">
        <v>60</v>
      </c>
      <c r="D2755" s="62" t="s">
        <v>388</v>
      </c>
      <c r="E2755" s="62" t="s">
        <v>72</v>
      </c>
      <c r="F2755" s="62" t="s">
        <v>382</v>
      </c>
      <c r="G2755" s="63" t="s">
        <v>650</v>
      </c>
      <c r="H2755" s="64" t="n">
        <v>14630</v>
      </c>
      <c r="I2755" s="62" t="s">
        <v>81</v>
      </c>
      <c r="J2755" s="64" t="n">
        <v>14.63</v>
      </c>
      <c r="K2755" s="62" t="s">
        <v>138</v>
      </c>
      <c r="L2755" s="68" t="b">
        <f aca="false">FALSE()</f>
        <v>0</v>
      </c>
    </row>
    <row r="2756" customFormat="false" ht="15" hidden="false" customHeight="false" outlineLevel="0" collapsed="false">
      <c r="A2756" s="62" t="n">
        <v>0</v>
      </c>
      <c r="B2756" s="21" t="s">
        <v>336</v>
      </c>
      <c r="C2756" s="62" t="s">
        <v>60</v>
      </c>
      <c r="D2756" s="62" t="s">
        <v>381</v>
      </c>
      <c r="E2756" s="62" t="s">
        <v>72</v>
      </c>
      <c r="F2756" s="62" t="s">
        <v>382</v>
      </c>
      <c r="G2756" s="63" t="s">
        <v>651</v>
      </c>
      <c r="H2756" s="64" t="n">
        <v>3420011191.39401</v>
      </c>
      <c r="I2756" s="62" t="s">
        <v>81</v>
      </c>
      <c r="J2756" s="64" t="n">
        <v>3420011.19139401</v>
      </c>
      <c r="K2756" s="62" t="s">
        <v>138</v>
      </c>
      <c r="L2756" s="68" t="b">
        <f aca="false">FALSE()</f>
        <v>0</v>
      </c>
    </row>
    <row r="2757" customFormat="false" ht="15" hidden="false" customHeight="false" outlineLevel="0" collapsed="false">
      <c r="A2757" s="62" t="n">
        <v>0</v>
      </c>
      <c r="B2757" s="21" t="s">
        <v>336</v>
      </c>
      <c r="C2757" s="62" t="s">
        <v>60</v>
      </c>
      <c r="D2757" s="62" t="s">
        <v>383</v>
      </c>
      <c r="E2757" s="62" t="s">
        <v>72</v>
      </c>
      <c r="F2757" s="62" t="s">
        <v>382</v>
      </c>
      <c r="G2757" s="63" t="s">
        <v>651</v>
      </c>
      <c r="H2757" s="64" t="n">
        <v>3420011191.39401</v>
      </c>
      <c r="I2757" s="62" t="s">
        <v>81</v>
      </c>
      <c r="J2757" s="64" t="n">
        <v>3420011.19139401</v>
      </c>
      <c r="K2757" s="62" t="s">
        <v>138</v>
      </c>
      <c r="L2757" s="68" t="b">
        <f aca="false">FALSE()</f>
        <v>0</v>
      </c>
    </row>
    <row r="2758" customFormat="false" ht="15" hidden="false" customHeight="false" outlineLevel="0" collapsed="false">
      <c r="A2758" s="62" t="n">
        <v>0</v>
      </c>
      <c r="B2758" s="21" t="s">
        <v>336</v>
      </c>
      <c r="C2758" s="62" t="s">
        <v>60</v>
      </c>
      <c r="D2758" s="62" t="s">
        <v>384</v>
      </c>
      <c r="E2758" s="62" t="s">
        <v>72</v>
      </c>
      <c r="F2758" s="62" t="s">
        <v>382</v>
      </c>
      <c r="G2758" s="63" t="s">
        <v>651</v>
      </c>
      <c r="H2758" s="64" t="n">
        <v>3420011191.39401</v>
      </c>
      <c r="I2758" s="62" t="s">
        <v>81</v>
      </c>
      <c r="J2758" s="64" t="n">
        <v>3420011.19139401</v>
      </c>
      <c r="K2758" s="62" t="s">
        <v>138</v>
      </c>
      <c r="L2758" s="68" t="b">
        <f aca="false">FALSE()</f>
        <v>0</v>
      </c>
    </row>
    <row r="2759" customFormat="false" ht="15" hidden="false" customHeight="false" outlineLevel="0" collapsed="false">
      <c r="A2759" s="62" t="n">
        <v>0</v>
      </c>
      <c r="B2759" s="21" t="s">
        <v>336</v>
      </c>
      <c r="C2759" s="62" t="s">
        <v>60</v>
      </c>
      <c r="D2759" s="62" t="s">
        <v>385</v>
      </c>
      <c r="E2759" s="62" t="s">
        <v>72</v>
      </c>
      <c r="F2759" s="62" t="s">
        <v>382</v>
      </c>
      <c r="G2759" s="63" t="s">
        <v>651</v>
      </c>
      <c r="H2759" s="64" t="n">
        <v>3420011191.39401</v>
      </c>
      <c r="I2759" s="62" t="s">
        <v>81</v>
      </c>
      <c r="J2759" s="64" t="n">
        <v>3420011.19139401</v>
      </c>
      <c r="K2759" s="62" t="s">
        <v>138</v>
      </c>
      <c r="L2759" s="68" t="b">
        <f aca="false">FALSE()</f>
        <v>0</v>
      </c>
    </row>
    <row r="2760" customFormat="false" ht="15" hidden="false" customHeight="false" outlineLevel="0" collapsed="false">
      <c r="A2760" s="62" t="n">
        <v>0</v>
      </c>
      <c r="B2760" s="21" t="s">
        <v>336</v>
      </c>
      <c r="C2760" s="62" t="s">
        <v>60</v>
      </c>
      <c r="D2760" s="62" t="s">
        <v>386</v>
      </c>
      <c r="E2760" s="62" t="s">
        <v>72</v>
      </c>
      <c r="F2760" s="62" t="s">
        <v>382</v>
      </c>
      <c r="G2760" s="63" t="s">
        <v>651</v>
      </c>
      <c r="H2760" s="64" t="n">
        <v>3420011191.39401</v>
      </c>
      <c r="I2760" s="62" t="s">
        <v>81</v>
      </c>
      <c r="J2760" s="64" t="n">
        <v>3420011.19139401</v>
      </c>
      <c r="K2760" s="62" t="s">
        <v>138</v>
      </c>
      <c r="L2760" s="68" t="b">
        <f aca="false">FALSE()</f>
        <v>0</v>
      </c>
    </row>
    <row r="2761" customFormat="false" ht="15" hidden="false" customHeight="false" outlineLevel="0" collapsed="false">
      <c r="A2761" s="62" t="n">
        <v>0</v>
      </c>
      <c r="B2761" s="21" t="s">
        <v>336</v>
      </c>
      <c r="C2761" s="62" t="s">
        <v>60</v>
      </c>
      <c r="D2761" s="62" t="s">
        <v>387</v>
      </c>
      <c r="E2761" s="62" t="s">
        <v>72</v>
      </c>
      <c r="F2761" s="62" t="s">
        <v>382</v>
      </c>
      <c r="G2761" s="63" t="s">
        <v>651</v>
      </c>
      <c r="H2761" s="64" t="n">
        <v>3420011191.39401</v>
      </c>
      <c r="I2761" s="62" t="s">
        <v>81</v>
      </c>
      <c r="J2761" s="64" t="n">
        <v>3420011.19139401</v>
      </c>
      <c r="K2761" s="62" t="s">
        <v>138</v>
      </c>
      <c r="L2761" s="68" t="b">
        <f aca="false">FALSE()</f>
        <v>0</v>
      </c>
    </row>
    <row r="2762" customFormat="false" ht="15" hidden="false" customHeight="false" outlineLevel="0" collapsed="false">
      <c r="A2762" s="62" t="n">
        <v>0</v>
      </c>
      <c r="B2762" s="21" t="s">
        <v>336</v>
      </c>
      <c r="C2762" s="62" t="s">
        <v>60</v>
      </c>
      <c r="D2762" s="62" t="s">
        <v>388</v>
      </c>
      <c r="E2762" s="62" t="s">
        <v>72</v>
      </c>
      <c r="F2762" s="62" t="s">
        <v>382</v>
      </c>
      <c r="G2762" s="63" t="s">
        <v>651</v>
      </c>
      <c r="H2762" s="64" t="n">
        <v>3420011191.39401</v>
      </c>
      <c r="I2762" s="62" t="s">
        <v>81</v>
      </c>
      <c r="J2762" s="64" t="n">
        <v>3420011.19139401</v>
      </c>
      <c r="K2762" s="62" t="s">
        <v>138</v>
      </c>
      <c r="L2762" s="68" t="b">
        <f aca="false">FALSE()</f>
        <v>0</v>
      </c>
    </row>
    <row r="2763" customFormat="false" ht="15" hidden="false" customHeight="false" outlineLevel="0" collapsed="false">
      <c r="A2763" s="62" t="n">
        <v>0</v>
      </c>
      <c r="B2763" s="21" t="s">
        <v>336</v>
      </c>
      <c r="C2763" s="62" t="s">
        <v>60</v>
      </c>
      <c r="D2763" s="62" t="s">
        <v>381</v>
      </c>
      <c r="E2763" s="62" t="s">
        <v>72</v>
      </c>
      <c r="F2763" s="62" t="s">
        <v>382</v>
      </c>
      <c r="G2763" s="63" t="s">
        <v>652</v>
      </c>
      <c r="H2763" s="64" t="n">
        <v>50034763730.0943</v>
      </c>
      <c r="I2763" s="62" t="s">
        <v>81</v>
      </c>
      <c r="J2763" s="64" t="n">
        <v>50034763.7300943</v>
      </c>
      <c r="K2763" s="62" t="s">
        <v>138</v>
      </c>
      <c r="L2763" s="68" t="b">
        <f aca="false">FALSE()</f>
        <v>0</v>
      </c>
    </row>
    <row r="2764" customFormat="false" ht="15" hidden="false" customHeight="false" outlineLevel="0" collapsed="false">
      <c r="A2764" s="62" t="n">
        <v>0</v>
      </c>
      <c r="B2764" s="21" t="s">
        <v>336</v>
      </c>
      <c r="C2764" s="62" t="s">
        <v>60</v>
      </c>
      <c r="D2764" s="62" t="s">
        <v>383</v>
      </c>
      <c r="E2764" s="62" t="s">
        <v>72</v>
      </c>
      <c r="F2764" s="62" t="s">
        <v>382</v>
      </c>
      <c r="G2764" s="63" t="s">
        <v>652</v>
      </c>
      <c r="H2764" s="64" t="n">
        <v>50034763730.0943</v>
      </c>
      <c r="I2764" s="62" t="s">
        <v>81</v>
      </c>
      <c r="J2764" s="64" t="n">
        <v>50034763.7300943</v>
      </c>
      <c r="K2764" s="62" t="s">
        <v>138</v>
      </c>
      <c r="L2764" s="68" t="b">
        <f aca="false">FALSE()</f>
        <v>0</v>
      </c>
    </row>
    <row r="2765" customFormat="false" ht="15" hidden="false" customHeight="false" outlineLevel="0" collapsed="false">
      <c r="A2765" s="62" t="n">
        <v>0</v>
      </c>
      <c r="B2765" s="21" t="s">
        <v>336</v>
      </c>
      <c r="C2765" s="62" t="s">
        <v>60</v>
      </c>
      <c r="D2765" s="62" t="s">
        <v>384</v>
      </c>
      <c r="E2765" s="62" t="s">
        <v>72</v>
      </c>
      <c r="F2765" s="62" t="s">
        <v>382</v>
      </c>
      <c r="G2765" s="63" t="s">
        <v>652</v>
      </c>
      <c r="H2765" s="64" t="n">
        <v>50034763730.0943</v>
      </c>
      <c r="I2765" s="62" t="s">
        <v>81</v>
      </c>
      <c r="J2765" s="64" t="n">
        <v>50034763.7300943</v>
      </c>
      <c r="K2765" s="62" t="s">
        <v>138</v>
      </c>
      <c r="L2765" s="68" t="b">
        <f aca="false">FALSE()</f>
        <v>0</v>
      </c>
    </row>
    <row r="2766" customFormat="false" ht="15" hidden="false" customHeight="false" outlineLevel="0" collapsed="false">
      <c r="A2766" s="62" t="n">
        <v>0</v>
      </c>
      <c r="B2766" s="21" t="s">
        <v>336</v>
      </c>
      <c r="C2766" s="62" t="s">
        <v>60</v>
      </c>
      <c r="D2766" s="62" t="s">
        <v>385</v>
      </c>
      <c r="E2766" s="62" t="s">
        <v>72</v>
      </c>
      <c r="F2766" s="62" t="s">
        <v>382</v>
      </c>
      <c r="G2766" s="63" t="s">
        <v>652</v>
      </c>
      <c r="H2766" s="64" t="n">
        <v>50034763730.0943</v>
      </c>
      <c r="I2766" s="62" t="s">
        <v>81</v>
      </c>
      <c r="J2766" s="64" t="n">
        <v>50034763.7300943</v>
      </c>
      <c r="K2766" s="62" t="s">
        <v>138</v>
      </c>
      <c r="L2766" s="68" t="b">
        <f aca="false">FALSE()</f>
        <v>0</v>
      </c>
    </row>
    <row r="2767" customFormat="false" ht="15" hidden="false" customHeight="false" outlineLevel="0" collapsed="false">
      <c r="A2767" s="62" t="n">
        <v>0</v>
      </c>
      <c r="B2767" s="21" t="s">
        <v>336</v>
      </c>
      <c r="C2767" s="62" t="s">
        <v>60</v>
      </c>
      <c r="D2767" s="62" t="s">
        <v>386</v>
      </c>
      <c r="E2767" s="62" t="s">
        <v>72</v>
      </c>
      <c r="F2767" s="62" t="s">
        <v>382</v>
      </c>
      <c r="G2767" s="63" t="s">
        <v>652</v>
      </c>
      <c r="H2767" s="64" t="n">
        <v>50034763730.0943</v>
      </c>
      <c r="I2767" s="62" t="s">
        <v>81</v>
      </c>
      <c r="J2767" s="64" t="n">
        <v>50034763.7300943</v>
      </c>
      <c r="K2767" s="62" t="s">
        <v>138</v>
      </c>
      <c r="L2767" s="68" t="b">
        <f aca="false">FALSE()</f>
        <v>0</v>
      </c>
    </row>
    <row r="2768" customFormat="false" ht="15" hidden="false" customHeight="false" outlineLevel="0" collapsed="false">
      <c r="A2768" s="62" t="n">
        <v>0</v>
      </c>
      <c r="B2768" s="21" t="s">
        <v>336</v>
      </c>
      <c r="C2768" s="62" t="s">
        <v>60</v>
      </c>
      <c r="D2768" s="62" t="s">
        <v>387</v>
      </c>
      <c r="E2768" s="62" t="s">
        <v>72</v>
      </c>
      <c r="F2768" s="62" t="s">
        <v>382</v>
      </c>
      <c r="G2768" s="63" t="s">
        <v>652</v>
      </c>
      <c r="H2768" s="64" t="n">
        <v>50034763730.0943</v>
      </c>
      <c r="I2768" s="62" t="s">
        <v>81</v>
      </c>
      <c r="J2768" s="64" t="n">
        <v>50034763.7300943</v>
      </c>
      <c r="K2768" s="62" t="s">
        <v>138</v>
      </c>
      <c r="L2768" s="68" t="b">
        <f aca="false">FALSE()</f>
        <v>0</v>
      </c>
    </row>
    <row r="2769" customFormat="false" ht="15" hidden="false" customHeight="false" outlineLevel="0" collapsed="false">
      <c r="A2769" s="62" t="n">
        <v>0</v>
      </c>
      <c r="B2769" s="21" t="s">
        <v>336</v>
      </c>
      <c r="C2769" s="62" t="s">
        <v>60</v>
      </c>
      <c r="D2769" s="62" t="s">
        <v>388</v>
      </c>
      <c r="E2769" s="62" t="s">
        <v>72</v>
      </c>
      <c r="F2769" s="62" t="s">
        <v>382</v>
      </c>
      <c r="G2769" s="63" t="s">
        <v>652</v>
      </c>
      <c r="H2769" s="64" t="n">
        <v>50034763730.0943</v>
      </c>
      <c r="I2769" s="62" t="s">
        <v>81</v>
      </c>
      <c r="J2769" s="64" t="n">
        <v>50034763.7300943</v>
      </c>
      <c r="K2769" s="62" t="s">
        <v>138</v>
      </c>
      <c r="L2769" s="68" t="b">
        <f aca="false">FALSE()</f>
        <v>0</v>
      </c>
    </row>
    <row r="2770" customFormat="false" ht="15" hidden="false" customHeight="false" outlineLevel="0" collapsed="false">
      <c r="A2770" s="62" t="n">
        <v>0</v>
      </c>
      <c r="B2770" s="21" t="s">
        <v>336</v>
      </c>
      <c r="C2770" s="62" t="s">
        <v>60</v>
      </c>
      <c r="D2770" s="62" t="s">
        <v>381</v>
      </c>
      <c r="E2770" s="62" t="s">
        <v>72</v>
      </c>
      <c r="F2770" s="62" t="s">
        <v>382</v>
      </c>
      <c r="G2770" s="63" t="s">
        <v>653</v>
      </c>
      <c r="H2770" s="64" t="n">
        <v>17300</v>
      </c>
      <c r="I2770" s="62" t="s">
        <v>81</v>
      </c>
      <c r="J2770" s="64" t="n">
        <v>17.3</v>
      </c>
      <c r="K2770" s="62" t="s">
        <v>138</v>
      </c>
      <c r="L2770" s="68" t="b">
        <f aca="false">FALSE()</f>
        <v>0</v>
      </c>
    </row>
    <row r="2771" customFormat="false" ht="15" hidden="false" customHeight="false" outlineLevel="0" collapsed="false">
      <c r="A2771" s="62" t="n">
        <v>0</v>
      </c>
      <c r="B2771" s="21" t="s">
        <v>336</v>
      </c>
      <c r="C2771" s="62" t="s">
        <v>60</v>
      </c>
      <c r="D2771" s="62" t="s">
        <v>383</v>
      </c>
      <c r="E2771" s="62" t="s">
        <v>72</v>
      </c>
      <c r="F2771" s="62" t="s">
        <v>382</v>
      </c>
      <c r="G2771" s="63" t="s">
        <v>653</v>
      </c>
      <c r="H2771" s="64" t="n">
        <v>17300</v>
      </c>
      <c r="I2771" s="62" t="s">
        <v>81</v>
      </c>
      <c r="J2771" s="64" t="n">
        <v>17.3</v>
      </c>
      <c r="K2771" s="62" t="s">
        <v>138</v>
      </c>
      <c r="L2771" s="68" t="b">
        <f aca="false">FALSE()</f>
        <v>0</v>
      </c>
    </row>
    <row r="2772" customFormat="false" ht="15" hidden="false" customHeight="false" outlineLevel="0" collapsed="false">
      <c r="A2772" s="62" t="n">
        <v>0</v>
      </c>
      <c r="B2772" s="21" t="s">
        <v>336</v>
      </c>
      <c r="C2772" s="62" t="s">
        <v>60</v>
      </c>
      <c r="D2772" s="62" t="s">
        <v>384</v>
      </c>
      <c r="E2772" s="62" t="s">
        <v>72</v>
      </c>
      <c r="F2772" s="62" t="s">
        <v>382</v>
      </c>
      <c r="G2772" s="63" t="s">
        <v>653</v>
      </c>
      <c r="H2772" s="64" t="n">
        <v>17300</v>
      </c>
      <c r="I2772" s="62" t="s">
        <v>81</v>
      </c>
      <c r="J2772" s="64" t="n">
        <v>17.3</v>
      </c>
      <c r="K2772" s="62" t="s">
        <v>138</v>
      </c>
      <c r="L2772" s="68" t="b">
        <f aca="false">FALSE()</f>
        <v>0</v>
      </c>
    </row>
    <row r="2773" customFormat="false" ht="15" hidden="false" customHeight="false" outlineLevel="0" collapsed="false">
      <c r="A2773" s="62" t="n">
        <v>0</v>
      </c>
      <c r="B2773" s="21" t="s">
        <v>336</v>
      </c>
      <c r="C2773" s="62" t="s">
        <v>60</v>
      </c>
      <c r="D2773" s="62" t="s">
        <v>385</v>
      </c>
      <c r="E2773" s="62" t="s">
        <v>72</v>
      </c>
      <c r="F2773" s="62" t="s">
        <v>382</v>
      </c>
      <c r="G2773" s="63" t="s">
        <v>653</v>
      </c>
      <c r="H2773" s="64" t="n">
        <v>17300</v>
      </c>
      <c r="I2773" s="62" t="s">
        <v>81</v>
      </c>
      <c r="J2773" s="64" t="n">
        <v>17.3</v>
      </c>
      <c r="K2773" s="62" t="s">
        <v>138</v>
      </c>
      <c r="L2773" s="68" t="b">
        <f aca="false">FALSE()</f>
        <v>0</v>
      </c>
    </row>
    <row r="2774" customFormat="false" ht="15" hidden="false" customHeight="false" outlineLevel="0" collapsed="false">
      <c r="A2774" s="62" t="n">
        <v>0</v>
      </c>
      <c r="B2774" s="21" t="s">
        <v>336</v>
      </c>
      <c r="C2774" s="62" t="s">
        <v>60</v>
      </c>
      <c r="D2774" s="62" t="s">
        <v>386</v>
      </c>
      <c r="E2774" s="62" t="s">
        <v>72</v>
      </c>
      <c r="F2774" s="62" t="s">
        <v>382</v>
      </c>
      <c r="G2774" s="63" t="s">
        <v>653</v>
      </c>
      <c r="H2774" s="64" t="n">
        <v>17300</v>
      </c>
      <c r="I2774" s="62" t="s">
        <v>81</v>
      </c>
      <c r="J2774" s="64" t="n">
        <v>17.3</v>
      </c>
      <c r="K2774" s="62" t="s">
        <v>138</v>
      </c>
      <c r="L2774" s="68" t="b">
        <f aca="false">FALSE()</f>
        <v>0</v>
      </c>
    </row>
    <row r="2775" customFormat="false" ht="15" hidden="false" customHeight="false" outlineLevel="0" collapsed="false">
      <c r="A2775" s="62" t="n">
        <v>0</v>
      </c>
      <c r="B2775" s="21" t="s">
        <v>336</v>
      </c>
      <c r="C2775" s="62" t="s">
        <v>60</v>
      </c>
      <c r="D2775" s="62" t="s">
        <v>387</v>
      </c>
      <c r="E2775" s="62" t="s">
        <v>72</v>
      </c>
      <c r="F2775" s="62" t="s">
        <v>382</v>
      </c>
      <c r="G2775" s="63" t="s">
        <v>653</v>
      </c>
      <c r="H2775" s="64" t="n">
        <v>17300</v>
      </c>
      <c r="I2775" s="62" t="s">
        <v>81</v>
      </c>
      <c r="J2775" s="64" t="n">
        <v>17.3</v>
      </c>
      <c r="K2775" s="62" t="s">
        <v>138</v>
      </c>
      <c r="L2775" s="68" t="b">
        <f aca="false">FALSE()</f>
        <v>0</v>
      </c>
    </row>
    <row r="2776" customFormat="false" ht="15" hidden="false" customHeight="false" outlineLevel="0" collapsed="false">
      <c r="A2776" s="62" t="n">
        <v>0</v>
      </c>
      <c r="B2776" s="21" t="s">
        <v>336</v>
      </c>
      <c r="C2776" s="62" t="s">
        <v>60</v>
      </c>
      <c r="D2776" s="62" t="s">
        <v>388</v>
      </c>
      <c r="E2776" s="62" t="s">
        <v>72</v>
      </c>
      <c r="F2776" s="62" t="s">
        <v>382</v>
      </c>
      <c r="G2776" s="63" t="s">
        <v>653</v>
      </c>
      <c r="H2776" s="64" t="n">
        <v>17300</v>
      </c>
      <c r="I2776" s="62" t="s">
        <v>81</v>
      </c>
      <c r="J2776" s="64" t="n">
        <v>17.3</v>
      </c>
      <c r="K2776" s="62" t="s">
        <v>138</v>
      </c>
      <c r="L2776" s="68" t="b">
        <f aca="false">FALSE()</f>
        <v>0</v>
      </c>
    </row>
    <row r="2777" customFormat="false" ht="15" hidden="false" customHeight="false" outlineLevel="0" collapsed="false">
      <c r="A2777" s="62" t="n">
        <v>0</v>
      </c>
      <c r="B2777" s="21" t="s">
        <v>336</v>
      </c>
      <c r="C2777" s="62" t="s">
        <v>60</v>
      </c>
      <c r="D2777" s="62" t="s">
        <v>381</v>
      </c>
      <c r="E2777" s="62" t="s">
        <v>72</v>
      </c>
      <c r="F2777" s="62" t="s">
        <v>382</v>
      </c>
      <c r="G2777" s="63" t="s">
        <v>654</v>
      </c>
      <c r="H2777" s="64" t="n">
        <v>2764326919.17418</v>
      </c>
      <c r="I2777" s="62" t="s">
        <v>81</v>
      </c>
      <c r="J2777" s="64" t="n">
        <v>2764326.91917418</v>
      </c>
      <c r="K2777" s="62" t="s">
        <v>138</v>
      </c>
      <c r="L2777" s="68" t="b">
        <f aca="false">FALSE()</f>
        <v>0</v>
      </c>
    </row>
    <row r="2778" customFormat="false" ht="15" hidden="false" customHeight="false" outlineLevel="0" collapsed="false">
      <c r="A2778" s="62" t="n">
        <v>0</v>
      </c>
      <c r="B2778" s="21" t="s">
        <v>336</v>
      </c>
      <c r="C2778" s="62" t="s">
        <v>60</v>
      </c>
      <c r="D2778" s="62" t="s">
        <v>383</v>
      </c>
      <c r="E2778" s="62" t="s">
        <v>72</v>
      </c>
      <c r="F2778" s="62" t="s">
        <v>382</v>
      </c>
      <c r="G2778" s="63" t="s">
        <v>654</v>
      </c>
      <c r="H2778" s="64" t="n">
        <v>2764326919.17418</v>
      </c>
      <c r="I2778" s="62" t="s">
        <v>81</v>
      </c>
      <c r="J2778" s="64" t="n">
        <v>2764326.91917418</v>
      </c>
      <c r="K2778" s="62" t="s">
        <v>138</v>
      </c>
      <c r="L2778" s="68" t="b">
        <f aca="false">FALSE()</f>
        <v>0</v>
      </c>
    </row>
    <row r="2779" customFormat="false" ht="15" hidden="false" customHeight="false" outlineLevel="0" collapsed="false">
      <c r="A2779" s="62" t="n">
        <v>0</v>
      </c>
      <c r="B2779" s="21" t="s">
        <v>336</v>
      </c>
      <c r="C2779" s="62" t="s">
        <v>60</v>
      </c>
      <c r="D2779" s="62" t="s">
        <v>384</v>
      </c>
      <c r="E2779" s="62" t="s">
        <v>72</v>
      </c>
      <c r="F2779" s="62" t="s">
        <v>382</v>
      </c>
      <c r="G2779" s="63" t="s">
        <v>654</v>
      </c>
      <c r="H2779" s="64" t="n">
        <v>2764326919.17418</v>
      </c>
      <c r="I2779" s="62" t="s">
        <v>81</v>
      </c>
      <c r="J2779" s="64" t="n">
        <v>2764326.91917418</v>
      </c>
      <c r="K2779" s="62" t="s">
        <v>138</v>
      </c>
      <c r="L2779" s="68" t="b">
        <f aca="false">FALSE()</f>
        <v>0</v>
      </c>
    </row>
    <row r="2780" customFormat="false" ht="15" hidden="false" customHeight="false" outlineLevel="0" collapsed="false">
      <c r="A2780" s="62" t="n">
        <v>0</v>
      </c>
      <c r="B2780" s="21" t="s">
        <v>336</v>
      </c>
      <c r="C2780" s="62" t="s">
        <v>60</v>
      </c>
      <c r="D2780" s="62" t="s">
        <v>385</v>
      </c>
      <c r="E2780" s="62" t="s">
        <v>72</v>
      </c>
      <c r="F2780" s="62" t="s">
        <v>382</v>
      </c>
      <c r="G2780" s="63" t="s">
        <v>654</v>
      </c>
      <c r="H2780" s="64" t="n">
        <v>2764326919.17418</v>
      </c>
      <c r="I2780" s="62" t="s">
        <v>81</v>
      </c>
      <c r="J2780" s="64" t="n">
        <v>2764326.91917418</v>
      </c>
      <c r="K2780" s="62" t="s">
        <v>138</v>
      </c>
      <c r="L2780" s="68" t="b">
        <f aca="false">FALSE()</f>
        <v>0</v>
      </c>
    </row>
    <row r="2781" customFormat="false" ht="15" hidden="false" customHeight="false" outlineLevel="0" collapsed="false">
      <c r="A2781" s="62" t="n">
        <v>0</v>
      </c>
      <c r="B2781" s="21" t="s">
        <v>336</v>
      </c>
      <c r="C2781" s="62" t="s">
        <v>60</v>
      </c>
      <c r="D2781" s="62" t="s">
        <v>386</v>
      </c>
      <c r="E2781" s="62" t="s">
        <v>72</v>
      </c>
      <c r="F2781" s="62" t="s">
        <v>382</v>
      </c>
      <c r="G2781" s="63" t="s">
        <v>654</v>
      </c>
      <c r="H2781" s="64" t="n">
        <v>2764326919.17418</v>
      </c>
      <c r="I2781" s="62" t="s">
        <v>81</v>
      </c>
      <c r="J2781" s="64" t="n">
        <v>2764326.91917418</v>
      </c>
      <c r="K2781" s="62" t="s">
        <v>138</v>
      </c>
      <c r="L2781" s="68" t="b">
        <f aca="false">FALSE()</f>
        <v>0</v>
      </c>
    </row>
    <row r="2782" customFormat="false" ht="15" hidden="false" customHeight="false" outlineLevel="0" collapsed="false">
      <c r="A2782" s="62" t="n">
        <v>0</v>
      </c>
      <c r="B2782" s="21" t="s">
        <v>336</v>
      </c>
      <c r="C2782" s="62" t="s">
        <v>60</v>
      </c>
      <c r="D2782" s="62" t="s">
        <v>387</v>
      </c>
      <c r="E2782" s="62" t="s">
        <v>72</v>
      </c>
      <c r="F2782" s="62" t="s">
        <v>382</v>
      </c>
      <c r="G2782" s="63" t="s">
        <v>654</v>
      </c>
      <c r="H2782" s="64" t="n">
        <v>2764326919.17418</v>
      </c>
      <c r="I2782" s="62" t="s">
        <v>81</v>
      </c>
      <c r="J2782" s="64" t="n">
        <v>2764326.91917418</v>
      </c>
      <c r="K2782" s="62" t="s">
        <v>138</v>
      </c>
      <c r="L2782" s="68" t="b">
        <f aca="false">FALSE()</f>
        <v>0</v>
      </c>
    </row>
    <row r="2783" customFormat="false" ht="15" hidden="false" customHeight="false" outlineLevel="0" collapsed="false">
      <c r="A2783" s="62" t="n">
        <v>0</v>
      </c>
      <c r="B2783" s="21" t="s">
        <v>336</v>
      </c>
      <c r="C2783" s="62" t="s">
        <v>60</v>
      </c>
      <c r="D2783" s="62" t="s">
        <v>388</v>
      </c>
      <c r="E2783" s="62" t="s">
        <v>72</v>
      </c>
      <c r="F2783" s="62" t="s">
        <v>382</v>
      </c>
      <c r="G2783" s="63" t="s">
        <v>654</v>
      </c>
      <c r="H2783" s="64" t="n">
        <v>2764326919.17418</v>
      </c>
      <c r="I2783" s="62" t="s">
        <v>81</v>
      </c>
      <c r="J2783" s="64" t="n">
        <v>2764326.91917418</v>
      </c>
      <c r="K2783" s="62" t="s">
        <v>138</v>
      </c>
      <c r="L2783" s="68" t="b">
        <f aca="false">FALSE()</f>
        <v>0</v>
      </c>
    </row>
    <row r="2784" customFormat="false" ht="15" hidden="false" customHeight="false" outlineLevel="0" collapsed="false">
      <c r="A2784" s="62" t="n">
        <v>0</v>
      </c>
      <c r="B2784" s="21" t="s">
        <v>336</v>
      </c>
      <c r="C2784" s="62" t="s">
        <v>60</v>
      </c>
      <c r="D2784" s="62" t="s">
        <v>381</v>
      </c>
      <c r="E2784" s="62" t="s">
        <v>72</v>
      </c>
      <c r="F2784" s="62" t="s">
        <v>382</v>
      </c>
      <c r="G2784" s="63" t="s">
        <v>655</v>
      </c>
      <c r="H2784" s="64" t="n">
        <v>47822855701.7134</v>
      </c>
      <c r="I2784" s="62" t="s">
        <v>81</v>
      </c>
      <c r="J2784" s="64" t="n">
        <v>47822855.7017134</v>
      </c>
      <c r="K2784" s="62" t="s">
        <v>138</v>
      </c>
      <c r="L2784" s="68" t="b">
        <f aca="false">FALSE()</f>
        <v>0</v>
      </c>
    </row>
    <row r="2785" customFormat="false" ht="15" hidden="false" customHeight="false" outlineLevel="0" collapsed="false">
      <c r="A2785" s="62" t="n">
        <v>0</v>
      </c>
      <c r="B2785" s="21" t="s">
        <v>336</v>
      </c>
      <c r="C2785" s="62" t="s">
        <v>60</v>
      </c>
      <c r="D2785" s="62" t="s">
        <v>383</v>
      </c>
      <c r="E2785" s="62" t="s">
        <v>72</v>
      </c>
      <c r="F2785" s="62" t="s">
        <v>382</v>
      </c>
      <c r="G2785" s="63" t="s">
        <v>655</v>
      </c>
      <c r="H2785" s="64" t="n">
        <v>47822855701.7134</v>
      </c>
      <c r="I2785" s="62" t="s">
        <v>81</v>
      </c>
      <c r="J2785" s="64" t="n">
        <v>47822855.7017134</v>
      </c>
      <c r="K2785" s="62" t="s">
        <v>138</v>
      </c>
      <c r="L2785" s="68" t="b">
        <f aca="false">FALSE()</f>
        <v>0</v>
      </c>
    </row>
    <row r="2786" customFormat="false" ht="15" hidden="false" customHeight="false" outlineLevel="0" collapsed="false">
      <c r="A2786" s="62" t="n">
        <v>0</v>
      </c>
      <c r="B2786" s="21" t="s">
        <v>336</v>
      </c>
      <c r="C2786" s="62" t="s">
        <v>60</v>
      </c>
      <c r="D2786" s="62" t="s">
        <v>384</v>
      </c>
      <c r="E2786" s="62" t="s">
        <v>72</v>
      </c>
      <c r="F2786" s="62" t="s">
        <v>382</v>
      </c>
      <c r="G2786" s="63" t="s">
        <v>655</v>
      </c>
      <c r="H2786" s="64" t="n">
        <v>47822855701.7134</v>
      </c>
      <c r="I2786" s="62" t="s">
        <v>81</v>
      </c>
      <c r="J2786" s="64" t="n">
        <v>47822855.7017134</v>
      </c>
      <c r="K2786" s="62" t="s">
        <v>138</v>
      </c>
      <c r="L2786" s="68" t="b">
        <f aca="false">FALSE()</f>
        <v>0</v>
      </c>
    </row>
    <row r="2787" customFormat="false" ht="15" hidden="false" customHeight="false" outlineLevel="0" collapsed="false">
      <c r="A2787" s="62" t="n">
        <v>0</v>
      </c>
      <c r="B2787" s="21" t="s">
        <v>336</v>
      </c>
      <c r="C2787" s="62" t="s">
        <v>60</v>
      </c>
      <c r="D2787" s="62" t="s">
        <v>385</v>
      </c>
      <c r="E2787" s="62" t="s">
        <v>72</v>
      </c>
      <c r="F2787" s="62" t="s">
        <v>382</v>
      </c>
      <c r="G2787" s="63" t="s">
        <v>655</v>
      </c>
      <c r="H2787" s="64" t="n">
        <v>47822855701.7134</v>
      </c>
      <c r="I2787" s="62" t="s">
        <v>81</v>
      </c>
      <c r="J2787" s="64" t="n">
        <v>47822855.7017134</v>
      </c>
      <c r="K2787" s="62" t="s">
        <v>138</v>
      </c>
      <c r="L2787" s="68" t="b">
        <f aca="false">FALSE()</f>
        <v>0</v>
      </c>
    </row>
    <row r="2788" customFormat="false" ht="15" hidden="false" customHeight="false" outlineLevel="0" collapsed="false">
      <c r="A2788" s="62" t="n">
        <v>0</v>
      </c>
      <c r="B2788" s="21" t="s">
        <v>336</v>
      </c>
      <c r="C2788" s="62" t="s">
        <v>60</v>
      </c>
      <c r="D2788" s="62" t="s">
        <v>386</v>
      </c>
      <c r="E2788" s="62" t="s">
        <v>72</v>
      </c>
      <c r="F2788" s="62" t="s">
        <v>382</v>
      </c>
      <c r="G2788" s="63" t="s">
        <v>655</v>
      </c>
      <c r="H2788" s="64" t="n">
        <v>47822855701.7134</v>
      </c>
      <c r="I2788" s="62" t="s">
        <v>81</v>
      </c>
      <c r="J2788" s="64" t="n">
        <v>47822855.7017134</v>
      </c>
      <c r="K2788" s="62" t="s">
        <v>138</v>
      </c>
      <c r="L2788" s="68" t="b">
        <f aca="false">FALSE()</f>
        <v>0</v>
      </c>
    </row>
    <row r="2789" customFormat="false" ht="15" hidden="false" customHeight="false" outlineLevel="0" collapsed="false">
      <c r="A2789" s="62" t="n">
        <v>0</v>
      </c>
      <c r="B2789" s="21" t="s">
        <v>336</v>
      </c>
      <c r="C2789" s="62" t="s">
        <v>60</v>
      </c>
      <c r="D2789" s="62" t="s">
        <v>387</v>
      </c>
      <c r="E2789" s="62" t="s">
        <v>72</v>
      </c>
      <c r="F2789" s="62" t="s">
        <v>382</v>
      </c>
      <c r="G2789" s="63" t="s">
        <v>655</v>
      </c>
      <c r="H2789" s="64" t="n">
        <v>47822855701.7134</v>
      </c>
      <c r="I2789" s="62" t="s">
        <v>81</v>
      </c>
      <c r="J2789" s="64" t="n">
        <v>47822855.7017134</v>
      </c>
      <c r="K2789" s="62" t="s">
        <v>138</v>
      </c>
      <c r="L2789" s="68" t="b">
        <f aca="false">FALSE()</f>
        <v>0</v>
      </c>
    </row>
    <row r="2790" customFormat="false" ht="15" hidden="false" customHeight="false" outlineLevel="0" collapsed="false">
      <c r="A2790" s="62" t="n">
        <v>0</v>
      </c>
      <c r="B2790" s="21" t="s">
        <v>336</v>
      </c>
      <c r="C2790" s="62" t="s">
        <v>60</v>
      </c>
      <c r="D2790" s="62" t="s">
        <v>388</v>
      </c>
      <c r="E2790" s="62" t="s">
        <v>72</v>
      </c>
      <c r="F2790" s="62" t="s">
        <v>382</v>
      </c>
      <c r="G2790" s="63" t="s">
        <v>655</v>
      </c>
      <c r="H2790" s="64" t="n">
        <v>47822855701.7134</v>
      </c>
      <c r="I2790" s="62" t="s">
        <v>81</v>
      </c>
      <c r="J2790" s="64" t="n">
        <v>47822855.7017134</v>
      </c>
      <c r="K2790" s="62" t="s">
        <v>138</v>
      </c>
      <c r="L2790" s="68" t="b">
        <f aca="false">FALSE()</f>
        <v>0</v>
      </c>
    </row>
    <row r="2791" customFormat="false" ht="15" hidden="false" customHeight="false" outlineLevel="0" collapsed="false">
      <c r="A2791" s="62" t="n">
        <v>0</v>
      </c>
      <c r="B2791" s="21" t="s">
        <v>336</v>
      </c>
      <c r="C2791" s="62" t="s">
        <v>60</v>
      </c>
      <c r="D2791" s="62" t="s">
        <v>381</v>
      </c>
      <c r="E2791" s="62" t="s">
        <v>72</v>
      </c>
      <c r="F2791" s="62" t="s">
        <v>382</v>
      </c>
      <c r="G2791" s="63" t="s">
        <v>656</v>
      </c>
      <c r="H2791" s="64" t="s">
        <v>474</v>
      </c>
      <c r="I2791" s="62" t="s">
        <v>138</v>
      </c>
      <c r="J2791" s="64" t="s">
        <v>474</v>
      </c>
      <c r="K2791" s="62" t="s">
        <v>138</v>
      </c>
      <c r="L2791" s="68" t="b">
        <f aca="false">TRUE()</f>
        <v>1</v>
      </c>
    </row>
    <row r="2792" customFormat="false" ht="15" hidden="false" customHeight="false" outlineLevel="0" collapsed="false">
      <c r="A2792" s="62" t="n">
        <v>0</v>
      </c>
      <c r="B2792" s="21" t="s">
        <v>336</v>
      </c>
      <c r="C2792" s="62" t="s">
        <v>60</v>
      </c>
      <c r="D2792" s="62" t="s">
        <v>383</v>
      </c>
      <c r="E2792" s="62" t="s">
        <v>72</v>
      </c>
      <c r="F2792" s="62" t="s">
        <v>382</v>
      </c>
      <c r="G2792" s="63" t="s">
        <v>656</v>
      </c>
      <c r="H2792" s="64" t="s">
        <v>474</v>
      </c>
      <c r="I2792" s="62" t="s">
        <v>138</v>
      </c>
      <c r="J2792" s="64" t="s">
        <v>474</v>
      </c>
      <c r="K2792" s="62" t="s">
        <v>138</v>
      </c>
      <c r="L2792" s="68" t="b">
        <f aca="false">TRUE()</f>
        <v>1</v>
      </c>
    </row>
    <row r="2793" customFormat="false" ht="15" hidden="false" customHeight="false" outlineLevel="0" collapsed="false">
      <c r="A2793" s="62" t="n">
        <v>0</v>
      </c>
      <c r="B2793" s="21" t="s">
        <v>336</v>
      </c>
      <c r="C2793" s="62" t="s">
        <v>60</v>
      </c>
      <c r="D2793" s="62" t="s">
        <v>384</v>
      </c>
      <c r="E2793" s="62" t="s">
        <v>72</v>
      </c>
      <c r="F2793" s="62" t="s">
        <v>382</v>
      </c>
      <c r="G2793" s="63" t="s">
        <v>656</v>
      </c>
      <c r="H2793" s="64" t="s">
        <v>474</v>
      </c>
      <c r="I2793" s="62" t="s">
        <v>138</v>
      </c>
      <c r="J2793" s="64" t="s">
        <v>474</v>
      </c>
      <c r="K2793" s="62" t="s">
        <v>138</v>
      </c>
      <c r="L2793" s="68" t="b">
        <f aca="false">TRUE()</f>
        <v>1</v>
      </c>
    </row>
    <row r="2794" customFormat="false" ht="15" hidden="false" customHeight="false" outlineLevel="0" collapsed="false">
      <c r="A2794" s="62" t="n">
        <v>0</v>
      </c>
      <c r="B2794" s="21" t="s">
        <v>336</v>
      </c>
      <c r="C2794" s="62" t="s">
        <v>60</v>
      </c>
      <c r="D2794" s="62" t="s">
        <v>385</v>
      </c>
      <c r="E2794" s="62" t="s">
        <v>72</v>
      </c>
      <c r="F2794" s="62" t="s">
        <v>382</v>
      </c>
      <c r="G2794" s="63" t="s">
        <v>656</v>
      </c>
      <c r="H2794" s="64" t="s">
        <v>474</v>
      </c>
      <c r="I2794" s="62" t="s">
        <v>138</v>
      </c>
      <c r="J2794" s="64" t="s">
        <v>474</v>
      </c>
      <c r="K2794" s="62" t="s">
        <v>138</v>
      </c>
      <c r="L2794" s="68" t="b">
        <f aca="false">TRUE()</f>
        <v>1</v>
      </c>
    </row>
    <row r="2795" customFormat="false" ht="15" hidden="false" customHeight="false" outlineLevel="0" collapsed="false">
      <c r="A2795" s="62" t="n">
        <v>0</v>
      </c>
      <c r="B2795" s="21" t="s">
        <v>336</v>
      </c>
      <c r="C2795" s="62" t="s">
        <v>60</v>
      </c>
      <c r="D2795" s="62" t="s">
        <v>386</v>
      </c>
      <c r="E2795" s="62" t="s">
        <v>72</v>
      </c>
      <c r="F2795" s="62" t="s">
        <v>382</v>
      </c>
      <c r="G2795" s="63" t="s">
        <v>656</v>
      </c>
      <c r="H2795" s="64" t="s">
        <v>474</v>
      </c>
      <c r="I2795" s="62" t="s">
        <v>138</v>
      </c>
      <c r="J2795" s="64" t="s">
        <v>474</v>
      </c>
      <c r="K2795" s="62" t="s">
        <v>138</v>
      </c>
      <c r="L2795" s="68" t="b">
        <f aca="false">TRUE()</f>
        <v>1</v>
      </c>
    </row>
    <row r="2796" customFormat="false" ht="15" hidden="false" customHeight="false" outlineLevel="0" collapsed="false">
      <c r="A2796" s="62" t="n">
        <v>0</v>
      </c>
      <c r="B2796" s="21" t="s">
        <v>336</v>
      </c>
      <c r="C2796" s="62" t="s">
        <v>60</v>
      </c>
      <c r="D2796" s="62" t="s">
        <v>387</v>
      </c>
      <c r="E2796" s="62" t="s">
        <v>72</v>
      </c>
      <c r="F2796" s="62" t="s">
        <v>382</v>
      </c>
      <c r="G2796" s="63" t="s">
        <v>656</v>
      </c>
      <c r="H2796" s="64" t="s">
        <v>474</v>
      </c>
      <c r="I2796" s="62" t="s">
        <v>138</v>
      </c>
      <c r="J2796" s="64" t="s">
        <v>474</v>
      </c>
      <c r="K2796" s="62" t="s">
        <v>138</v>
      </c>
      <c r="L2796" s="68" t="b">
        <f aca="false">TRUE()</f>
        <v>1</v>
      </c>
    </row>
    <row r="2797" customFormat="false" ht="15" hidden="false" customHeight="false" outlineLevel="0" collapsed="false">
      <c r="A2797" s="62" t="n">
        <v>0</v>
      </c>
      <c r="B2797" s="21" t="s">
        <v>336</v>
      </c>
      <c r="C2797" s="62" t="s">
        <v>60</v>
      </c>
      <c r="D2797" s="62" t="s">
        <v>388</v>
      </c>
      <c r="E2797" s="62" t="s">
        <v>72</v>
      </c>
      <c r="F2797" s="62" t="s">
        <v>382</v>
      </c>
      <c r="G2797" s="63" t="s">
        <v>656</v>
      </c>
      <c r="H2797" s="64" t="s">
        <v>474</v>
      </c>
      <c r="I2797" s="62" t="s">
        <v>138</v>
      </c>
      <c r="J2797" s="64" t="s">
        <v>474</v>
      </c>
      <c r="K2797" s="62" t="s">
        <v>138</v>
      </c>
      <c r="L2797" s="68" t="b">
        <f aca="false">TRUE()</f>
        <v>1</v>
      </c>
    </row>
    <row r="2798" customFormat="false" ht="15" hidden="false" customHeight="false" outlineLevel="0" collapsed="false">
      <c r="A2798" s="62" t="n">
        <v>0</v>
      </c>
      <c r="B2798" s="21" t="s">
        <v>336</v>
      </c>
      <c r="C2798" s="62" t="s">
        <v>60</v>
      </c>
      <c r="D2798" s="62" t="s">
        <v>381</v>
      </c>
      <c r="E2798" s="62" t="s">
        <v>72</v>
      </c>
      <c r="F2798" s="62" t="s">
        <v>382</v>
      </c>
      <c r="G2798" s="63" t="s">
        <v>657</v>
      </c>
      <c r="H2798" s="64" t="n">
        <v>34086620859.31</v>
      </c>
      <c r="I2798" s="62" t="s">
        <v>81</v>
      </c>
      <c r="J2798" s="64" t="n">
        <v>34086620.85931</v>
      </c>
      <c r="K2798" s="62" t="s">
        <v>138</v>
      </c>
      <c r="L2798" s="68" t="b">
        <f aca="false">FALSE()</f>
        <v>0</v>
      </c>
    </row>
    <row r="2799" customFormat="false" ht="15" hidden="false" customHeight="false" outlineLevel="0" collapsed="false">
      <c r="A2799" s="62" t="n">
        <v>0</v>
      </c>
      <c r="B2799" s="21" t="s">
        <v>336</v>
      </c>
      <c r="C2799" s="62" t="s">
        <v>60</v>
      </c>
      <c r="D2799" s="62" t="s">
        <v>383</v>
      </c>
      <c r="E2799" s="62" t="s">
        <v>72</v>
      </c>
      <c r="F2799" s="62" t="s">
        <v>382</v>
      </c>
      <c r="G2799" s="63" t="s">
        <v>657</v>
      </c>
      <c r="H2799" s="64" t="n">
        <v>34086620859.31</v>
      </c>
      <c r="I2799" s="62" t="s">
        <v>81</v>
      </c>
      <c r="J2799" s="64" t="n">
        <v>34086620.85931</v>
      </c>
      <c r="K2799" s="62" t="s">
        <v>138</v>
      </c>
      <c r="L2799" s="68" t="b">
        <f aca="false">FALSE()</f>
        <v>0</v>
      </c>
    </row>
    <row r="2800" customFormat="false" ht="15" hidden="false" customHeight="false" outlineLevel="0" collapsed="false">
      <c r="A2800" s="62" t="n">
        <v>0</v>
      </c>
      <c r="B2800" s="21" t="s">
        <v>336</v>
      </c>
      <c r="C2800" s="62" t="s">
        <v>60</v>
      </c>
      <c r="D2800" s="62" t="s">
        <v>384</v>
      </c>
      <c r="E2800" s="62" t="s">
        <v>72</v>
      </c>
      <c r="F2800" s="62" t="s">
        <v>382</v>
      </c>
      <c r="G2800" s="63" t="s">
        <v>657</v>
      </c>
      <c r="H2800" s="64" t="n">
        <v>34086620859.31</v>
      </c>
      <c r="I2800" s="62" t="s">
        <v>81</v>
      </c>
      <c r="J2800" s="64" t="n">
        <v>34086620.85931</v>
      </c>
      <c r="K2800" s="62" t="s">
        <v>138</v>
      </c>
      <c r="L2800" s="68" t="b">
        <f aca="false">FALSE()</f>
        <v>0</v>
      </c>
    </row>
    <row r="2801" customFormat="false" ht="15" hidden="false" customHeight="false" outlineLevel="0" collapsed="false">
      <c r="A2801" s="62" t="n">
        <v>0</v>
      </c>
      <c r="B2801" s="21" t="s">
        <v>336</v>
      </c>
      <c r="C2801" s="62" t="s">
        <v>60</v>
      </c>
      <c r="D2801" s="62" t="s">
        <v>385</v>
      </c>
      <c r="E2801" s="62" t="s">
        <v>72</v>
      </c>
      <c r="F2801" s="62" t="s">
        <v>382</v>
      </c>
      <c r="G2801" s="63" t="s">
        <v>657</v>
      </c>
      <c r="H2801" s="64" t="n">
        <v>34086620859.31</v>
      </c>
      <c r="I2801" s="62" t="s">
        <v>81</v>
      </c>
      <c r="J2801" s="64" t="n">
        <v>34086620.85931</v>
      </c>
      <c r="K2801" s="62" t="s">
        <v>138</v>
      </c>
      <c r="L2801" s="68" t="b">
        <f aca="false">FALSE()</f>
        <v>0</v>
      </c>
    </row>
    <row r="2802" customFormat="false" ht="15" hidden="false" customHeight="false" outlineLevel="0" collapsed="false">
      <c r="A2802" s="62" t="n">
        <v>0</v>
      </c>
      <c r="B2802" s="21" t="s">
        <v>336</v>
      </c>
      <c r="C2802" s="62" t="s">
        <v>60</v>
      </c>
      <c r="D2802" s="62" t="s">
        <v>386</v>
      </c>
      <c r="E2802" s="62" t="s">
        <v>72</v>
      </c>
      <c r="F2802" s="62" t="s">
        <v>382</v>
      </c>
      <c r="G2802" s="63" t="s">
        <v>657</v>
      </c>
      <c r="H2802" s="64" t="n">
        <v>34086620859.31</v>
      </c>
      <c r="I2802" s="62" t="s">
        <v>81</v>
      </c>
      <c r="J2802" s="64" t="n">
        <v>34086620.85931</v>
      </c>
      <c r="K2802" s="62" t="s">
        <v>138</v>
      </c>
      <c r="L2802" s="68" t="b">
        <f aca="false">FALSE()</f>
        <v>0</v>
      </c>
    </row>
    <row r="2803" customFormat="false" ht="15" hidden="false" customHeight="false" outlineLevel="0" collapsed="false">
      <c r="A2803" s="62" t="n">
        <v>0</v>
      </c>
      <c r="B2803" s="21" t="s">
        <v>336</v>
      </c>
      <c r="C2803" s="62" t="s">
        <v>60</v>
      </c>
      <c r="D2803" s="62" t="s">
        <v>387</v>
      </c>
      <c r="E2803" s="62" t="s">
        <v>72</v>
      </c>
      <c r="F2803" s="62" t="s">
        <v>382</v>
      </c>
      <c r="G2803" s="63" t="s">
        <v>657</v>
      </c>
      <c r="H2803" s="64" t="n">
        <v>34086620859.31</v>
      </c>
      <c r="I2803" s="62" t="s">
        <v>81</v>
      </c>
      <c r="J2803" s="64" t="n">
        <v>34086620.85931</v>
      </c>
      <c r="K2803" s="62" t="s">
        <v>138</v>
      </c>
      <c r="L2803" s="68" t="b">
        <f aca="false">FALSE()</f>
        <v>0</v>
      </c>
    </row>
    <row r="2804" customFormat="false" ht="15" hidden="false" customHeight="false" outlineLevel="0" collapsed="false">
      <c r="A2804" s="62" t="n">
        <v>0</v>
      </c>
      <c r="B2804" s="21" t="s">
        <v>336</v>
      </c>
      <c r="C2804" s="62" t="s">
        <v>60</v>
      </c>
      <c r="D2804" s="62" t="s">
        <v>388</v>
      </c>
      <c r="E2804" s="62" t="s">
        <v>72</v>
      </c>
      <c r="F2804" s="62" t="s">
        <v>382</v>
      </c>
      <c r="G2804" s="63" t="s">
        <v>657</v>
      </c>
      <c r="H2804" s="64" t="n">
        <v>34086620859.31</v>
      </c>
      <c r="I2804" s="62" t="s">
        <v>81</v>
      </c>
      <c r="J2804" s="64" t="n">
        <v>34086620.85931</v>
      </c>
      <c r="K2804" s="62" t="s">
        <v>138</v>
      </c>
      <c r="L2804" s="68" t="b">
        <f aca="false">FALSE()</f>
        <v>0</v>
      </c>
    </row>
    <row r="2805" customFormat="false" ht="15" hidden="false" customHeight="false" outlineLevel="0" collapsed="false">
      <c r="A2805" s="62" t="n">
        <v>0</v>
      </c>
      <c r="B2805" s="21" t="s">
        <v>336</v>
      </c>
      <c r="C2805" s="62" t="s">
        <v>60</v>
      </c>
      <c r="D2805" s="62" t="s">
        <v>381</v>
      </c>
      <c r="E2805" s="62" t="s">
        <v>72</v>
      </c>
      <c r="F2805" s="62" t="s">
        <v>382</v>
      </c>
      <c r="G2805" s="63" t="s">
        <v>658</v>
      </c>
      <c r="H2805" s="64" t="n">
        <v>9272082785.33571</v>
      </c>
      <c r="I2805" s="62" t="s">
        <v>81</v>
      </c>
      <c r="J2805" s="64" t="n">
        <v>9272082.78533571</v>
      </c>
      <c r="K2805" s="62" t="s">
        <v>138</v>
      </c>
      <c r="L2805" s="68" t="b">
        <f aca="false">FALSE()</f>
        <v>0</v>
      </c>
    </row>
    <row r="2806" customFormat="false" ht="15" hidden="false" customHeight="false" outlineLevel="0" collapsed="false">
      <c r="A2806" s="62" t="n">
        <v>0</v>
      </c>
      <c r="B2806" s="21" t="s">
        <v>336</v>
      </c>
      <c r="C2806" s="62" t="s">
        <v>60</v>
      </c>
      <c r="D2806" s="62" t="s">
        <v>383</v>
      </c>
      <c r="E2806" s="62" t="s">
        <v>72</v>
      </c>
      <c r="F2806" s="62" t="s">
        <v>382</v>
      </c>
      <c r="G2806" s="63" t="s">
        <v>658</v>
      </c>
      <c r="H2806" s="64" t="n">
        <v>9272082785.33571</v>
      </c>
      <c r="I2806" s="62" t="s">
        <v>81</v>
      </c>
      <c r="J2806" s="64" t="n">
        <v>9272082.78533571</v>
      </c>
      <c r="K2806" s="62" t="s">
        <v>138</v>
      </c>
      <c r="L2806" s="68" t="b">
        <f aca="false">FALSE()</f>
        <v>0</v>
      </c>
    </row>
    <row r="2807" customFormat="false" ht="15" hidden="false" customHeight="false" outlineLevel="0" collapsed="false">
      <c r="A2807" s="62" t="n">
        <v>0</v>
      </c>
      <c r="B2807" s="21" t="s">
        <v>336</v>
      </c>
      <c r="C2807" s="62" t="s">
        <v>60</v>
      </c>
      <c r="D2807" s="62" t="s">
        <v>384</v>
      </c>
      <c r="E2807" s="62" t="s">
        <v>72</v>
      </c>
      <c r="F2807" s="62" t="s">
        <v>382</v>
      </c>
      <c r="G2807" s="63" t="s">
        <v>658</v>
      </c>
      <c r="H2807" s="64" t="n">
        <v>9272082785.33571</v>
      </c>
      <c r="I2807" s="62" t="s">
        <v>81</v>
      </c>
      <c r="J2807" s="64" t="n">
        <v>9272082.78533571</v>
      </c>
      <c r="K2807" s="62" t="s">
        <v>138</v>
      </c>
      <c r="L2807" s="68" t="b">
        <f aca="false">FALSE()</f>
        <v>0</v>
      </c>
    </row>
    <row r="2808" customFormat="false" ht="15" hidden="false" customHeight="false" outlineLevel="0" collapsed="false">
      <c r="A2808" s="62" t="n">
        <v>0</v>
      </c>
      <c r="B2808" s="21" t="s">
        <v>336</v>
      </c>
      <c r="C2808" s="62" t="s">
        <v>60</v>
      </c>
      <c r="D2808" s="62" t="s">
        <v>385</v>
      </c>
      <c r="E2808" s="62" t="s">
        <v>72</v>
      </c>
      <c r="F2808" s="62" t="s">
        <v>382</v>
      </c>
      <c r="G2808" s="63" t="s">
        <v>658</v>
      </c>
      <c r="H2808" s="64" t="n">
        <v>9272082785.33571</v>
      </c>
      <c r="I2808" s="62" t="s">
        <v>81</v>
      </c>
      <c r="J2808" s="64" t="n">
        <v>9272082.78533571</v>
      </c>
      <c r="K2808" s="62" t="s">
        <v>138</v>
      </c>
      <c r="L2808" s="68" t="b">
        <f aca="false">FALSE()</f>
        <v>0</v>
      </c>
    </row>
    <row r="2809" customFormat="false" ht="15" hidden="false" customHeight="false" outlineLevel="0" collapsed="false">
      <c r="A2809" s="62" t="n">
        <v>0</v>
      </c>
      <c r="B2809" s="21" t="s">
        <v>336</v>
      </c>
      <c r="C2809" s="62" t="s">
        <v>60</v>
      </c>
      <c r="D2809" s="62" t="s">
        <v>386</v>
      </c>
      <c r="E2809" s="62" t="s">
        <v>72</v>
      </c>
      <c r="F2809" s="62" t="s">
        <v>382</v>
      </c>
      <c r="G2809" s="63" t="s">
        <v>658</v>
      </c>
      <c r="H2809" s="64" t="n">
        <v>9272082785.33571</v>
      </c>
      <c r="I2809" s="62" t="s">
        <v>81</v>
      </c>
      <c r="J2809" s="64" t="n">
        <v>9272082.78533571</v>
      </c>
      <c r="K2809" s="62" t="s">
        <v>138</v>
      </c>
      <c r="L2809" s="68" t="b">
        <f aca="false">FALSE()</f>
        <v>0</v>
      </c>
    </row>
    <row r="2810" customFormat="false" ht="15" hidden="false" customHeight="false" outlineLevel="0" collapsed="false">
      <c r="A2810" s="62" t="n">
        <v>0</v>
      </c>
      <c r="B2810" s="21" t="s">
        <v>336</v>
      </c>
      <c r="C2810" s="62" t="s">
        <v>60</v>
      </c>
      <c r="D2810" s="62" t="s">
        <v>387</v>
      </c>
      <c r="E2810" s="62" t="s">
        <v>72</v>
      </c>
      <c r="F2810" s="62" t="s">
        <v>382</v>
      </c>
      <c r="G2810" s="63" t="s">
        <v>658</v>
      </c>
      <c r="H2810" s="64" t="n">
        <v>9272082785.33571</v>
      </c>
      <c r="I2810" s="62" t="s">
        <v>81</v>
      </c>
      <c r="J2810" s="64" t="n">
        <v>9272082.78533571</v>
      </c>
      <c r="K2810" s="62" t="s">
        <v>138</v>
      </c>
      <c r="L2810" s="68" t="b">
        <f aca="false">FALSE()</f>
        <v>0</v>
      </c>
    </row>
    <row r="2811" customFormat="false" ht="15" hidden="false" customHeight="false" outlineLevel="0" collapsed="false">
      <c r="A2811" s="62" t="n">
        <v>0</v>
      </c>
      <c r="B2811" s="21" t="s">
        <v>336</v>
      </c>
      <c r="C2811" s="62" t="s">
        <v>60</v>
      </c>
      <c r="D2811" s="62" t="s">
        <v>388</v>
      </c>
      <c r="E2811" s="62" t="s">
        <v>72</v>
      </c>
      <c r="F2811" s="62" t="s">
        <v>382</v>
      </c>
      <c r="G2811" s="63" t="s">
        <v>658</v>
      </c>
      <c r="H2811" s="64" t="n">
        <v>9272082785.33571</v>
      </c>
      <c r="I2811" s="62" t="s">
        <v>81</v>
      </c>
      <c r="J2811" s="64" t="n">
        <v>9272082.78533571</v>
      </c>
      <c r="K2811" s="62" t="s">
        <v>138</v>
      </c>
      <c r="L2811" s="68" t="b">
        <f aca="false">FALSE()</f>
        <v>0</v>
      </c>
    </row>
    <row r="2812" customFormat="false" ht="15" hidden="false" customHeight="false" outlineLevel="0" collapsed="false">
      <c r="A2812" s="62" t="n">
        <v>0</v>
      </c>
      <c r="B2812" s="21" t="s">
        <v>336</v>
      </c>
      <c r="C2812" s="62" t="s">
        <v>60</v>
      </c>
      <c r="D2812" s="62" t="s">
        <v>381</v>
      </c>
      <c r="E2812" s="62" t="s">
        <v>72</v>
      </c>
      <c r="F2812" s="62" t="s">
        <v>382</v>
      </c>
      <c r="G2812" s="63" t="s">
        <v>659</v>
      </c>
      <c r="H2812" s="64" t="n">
        <v>-11436012699.169</v>
      </c>
      <c r="I2812" s="62" t="s">
        <v>81</v>
      </c>
      <c r="J2812" s="64" t="n">
        <v>-11436012.699169</v>
      </c>
      <c r="K2812" s="62" t="s">
        <v>138</v>
      </c>
      <c r="L2812" s="68" t="b">
        <f aca="false">FALSE()</f>
        <v>0</v>
      </c>
    </row>
    <row r="2813" customFormat="false" ht="15" hidden="false" customHeight="false" outlineLevel="0" collapsed="false">
      <c r="A2813" s="62" t="n">
        <v>0</v>
      </c>
      <c r="B2813" s="21" t="s">
        <v>336</v>
      </c>
      <c r="C2813" s="62" t="s">
        <v>60</v>
      </c>
      <c r="D2813" s="62" t="s">
        <v>383</v>
      </c>
      <c r="E2813" s="62" t="s">
        <v>72</v>
      </c>
      <c r="F2813" s="62" t="s">
        <v>382</v>
      </c>
      <c r="G2813" s="63" t="s">
        <v>659</v>
      </c>
      <c r="H2813" s="64" t="n">
        <v>-11436012699.169</v>
      </c>
      <c r="I2813" s="62" t="s">
        <v>81</v>
      </c>
      <c r="J2813" s="64" t="n">
        <v>-11436012.699169</v>
      </c>
      <c r="K2813" s="62" t="s">
        <v>138</v>
      </c>
      <c r="L2813" s="68" t="b">
        <f aca="false">FALSE()</f>
        <v>0</v>
      </c>
    </row>
    <row r="2814" customFormat="false" ht="15" hidden="false" customHeight="false" outlineLevel="0" collapsed="false">
      <c r="A2814" s="62" t="n">
        <v>0</v>
      </c>
      <c r="B2814" s="21" t="s">
        <v>336</v>
      </c>
      <c r="C2814" s="62" t="s">
        <v>60</v>
      </c>
      <c r="D2814" s="62" t="s">
        <v>384</v>
      </c>
      <c r="E2814" s="62" t="s">
        <v>72</v>
      </c>
      <c r="F2814" s="62" t="s">
        <v>382</v>
      </c>
      <c r="G2814" s="63" t="s">
        <v>659</v>
      </c>
      <c r="H2814" s="64" t="n">
        <v>-11436012699.169</v>
      </c>
      <c r="I2814" s="62" t="s">
        <v>81</v>
      </c>
      <c r="J2814" s="64" t="n">
        <v>-11436012.699169</v>
      </c>
      <c r="K2814" s="62" t="s">
        <v>138</v>
      </c>
      <c r="L2814" s="68" t="b">
        <f aca="false">FALSE()</f>
        <v>0</v>
      </c>
    </row>
    <row r="2815" customFormat="false" ht="15" hidden="false" customHeight="false" outlineLevel="0" collapsed="false">
      <c r="A2815" s="62" t="n">
        <v>0</v>
      </c>
      <c r="B2815" s="21" t="s">
        <v>336</v>
      </c>
      <c r="C2815" s="62" t="s">
        <v>60</v>
      </c>
      <c r="D2815" s="62" t="s">
        <v>385</v>
      </c>
      <c r="E2815" s="62" t="s">
        <v>72</v>
      </c>
      <c r="F2815" s="62" t="s">
        <v>382</v>
      </c>
      <c r="G2815" s="63" t="s">
        <v>659</v>
      </c>
      <c r="H2815" s="64" t="n">
        <v>-11436012699.169</v>
      </c>
      <c r="I2815" s="62" t="s">
        <v>81</v>
      </c>
      <c r="J2815" s="64" t="n">
        <v>-11436012.699169</v>
      </c>
      <c r="K2815" s="62" t="s">
        <v>138</v>
      </c>
      <c r="L2815" s="68" t="b">
        <f aca="false">FALSE()</f>
        <v>0</v>
      </c>
    </row>
    <row r="2816" customFormat="false" ht="15" hidden="false" customHeight="false" outlineLevel="0" collapsed="false">
      <c r="A2816" s="62" t="n">
        <v>0</v>
      </c>
      <c r="B2816" s="21" t="s">
        <v>336</v>
      </c>
      <c r="C2816" s="62" t="s">
        <v>60</v>
      </c>
      <c r="D2816" s="62" t="s">
        <v>386</v>
      </c>
      <c r="E2816" s="62" t="s">
        <v>72</v>
      </c>
      <c r="F2816" s="62" t="s">
        <v>382</v>
      </c>
      <c r="G2816" s="63" t="s">
        <v>659</v>
      </c>
      <c r="H2816" s="64" t="n">
        <v>-11436012699.169</v>
      </c>
      <c r="I2816" s="62" t="s">
        <v>81</v>
      </c>
      <c r="J2816" s="64" t="n">
        <v>-11436012.699169</v>
      </c>
      <c r="K2816" s="62" t="s">
        <v>138</v>
      </c>
      <c r="L2816" s="68" t="b">
        <f aca="false">FALSE()</f>
        <v>0</v>
      </c>
    </row>
    <row r="2817" customFormat="false" ht="15" hidden="false" customHeight="false" outlineLevel="0" collapsed="false">
      <c r="A2817" s="62" t="n">
        <v>0</v>
      </c>
      <c r="B2817" s="21" t="s">
        <v>336</v>
      </c>
      <c r="C2817" s="62" t="s">
        <v>60</v>
      </c>
      <c r="D2817" s="62" t="s">
        <v>387</v>
      </c>
      <c r="E2817" s="62" t="s">
        <v>72</v>
      </c>
      <c r="F2817" s="62" t="s">
        <v>382</v>
      </c>
      <c r="G2817" s="63" t="s">
        <v>659</v>
      </c>
      <c r="H2817" s="64" t="n">
        <v>-11436012699.169</v>
      </c>
      <c r="I2817" s="62" t="s">
        <v>81</v>
      </c>
      <c r="J2817" s="64" t="n">
        <v>-11436012.699169</v>
      </c>
      <c r="K2817" s="62" t="s">
        <v>138</v>
      </c>
      <c r="L2817" s="68" t="b">
        <f aca="false">FALSE()</f>
        <v>0</v>
      </c>
    </row>
    <row r="2818" customFormat="false" ht="15" hidden="false" customHeight="false" outlineLevel="0" collapsed="false">
      <c r="A2818" s="62" t="n">
        <v>0</v>
      </c>
      <c r="B2818" s="21" t="s">
        <v>336</v>
      </c>
      <c r="C2818" s="62" t="s">
        <v>60</v>
      </c>
      <c r="D2818" s="62" t="s">
        <v>388</v>
      </c>
      <c r="E2818" s="62" t="s">
        <v>72</v>
      </c>
      <c r="F2818" s="62" t="s">
        <v>382</v>
      </c>
      <c r="G2818" s="63" t="s">
        <v>659</v>
      </c>
      <c r="H2818" s="64" t="n">
        <v>-11436012699.169</v>
      </c>
      <c r="I2818" s="62" t="s">
        <v>81</v>
      </c>
      <c r="J2818" s="64" t="n">
        <v>-11436012.699169</v>
      </c>
      <c r="K2818" s="62" t="s">
        <v>138</v>
      </c>
      <c r="L2818" s="68" t="b">
        <f aca="false">FALSE()</f>
        <v>0</v>
      </c>
    </row>
    <row r="2819" customFormat="false" ht="15" hidden="false" customHeight="false" outlineLevel="0" collapsed="false">
      <c r="A2819" s="62" t="n">
        <v>0</v>
      </c>
      <c r="B2819" s="21" t="s">
        <v>336</v>
      </c>
      <c r="C2819" s="62" t="s">
        <v>60</v>
      </c>
      <c r="D2819" s="62" t="s">
        <v>381</v>
      </c>
      <c r="E2819" s="62" t="s">
        <v>72</v>
      </c>
      <c r="F2819" s="62" t="s">
        <v>382</v>
      </c>
      <c r="G2819" s="63" t="s">
        <v>660</v>
      </c>
      <c r="H2819" s="64" t="n">
        <v>31922690945.4767</v>
      </c>
      <c r="I2819" s="62" t="s">
        <v>81</v>
      </c>
      <c r="J2819" s="64" t="n">
        <v>31922690.9454767</v>
      </c>
      <c r="K2819" s="62" t="s">
        <v>138</v>
      </c>
      <c r="L2819" s="68" t="b">
        <f aca="false">FALSE()</f>
        <v>0</v>
      </c>
    </row>
    <row r="2820" customFormat="false" ht="15" hidden="false" customHeight="false" outlineLevel="0" collapsed="false">
      <c r="A2820" s="62" t="n">
        <v>0</v>
      </c>
      <c r="B2820" s="21" t="s">
        <v>336</v>
      </c>
      <c r="C2820" s="62" t="s">
        <v>60</v>
      </c>
      <c r="D2820" s="62" t="s">
        <v>383</v>
      </c>
      <c r="E2820" s="62" t="s">
        <v>72</v>
      </c>
      <c r="F2820" s="62" t="s">
        <v>382</v>
      </c>
      <c r="G2820" s="63" t="s">
        <v>660</v>
      </c>
      <c r="H2820" s="64" t="n">
        <v>31922690945.4767</v>
      </c>
      <c r="I2820" s="62" t="s">
        <v>81</v>
      </c>
      <c r="J2820" s="64" t="n">
        <v>31922690.9454767</v>
      </c>
      <c r="K2820" s="62" t="s">
        <v>138</v>
      </c>
      <c r="L2820" s="68" t="b">
        <f aca="false">FALSE()</f>
        <v>0</v>
      </c>
    </row>
    <row r="2821" customFormat="false" ht="15" hidden="false" customHeight="false" outlineLevel="0" collapsed="false">
      <c r="A2821" s="62" t="n">
        <v>0</v>
      </c>
      <c r="B2821" s="21" t="s">
        <v>336</v>
      </c>
      <c r="C2821" s="62" t="s">
        <v>60</v>
      </c>
      <c r="D2821" s="62" t="s">
        <v>384</v>
      </c>
      <c r="E2821" s="62" t="s">
        <v>72</v>
      </c>
      <c r="F2821" s="62" t="s">
        <v>382</v>
      </c>
      <c r="G2821" s="63" t="s">
        <v>660</v>
      </c>
      <c r="H2821" s="64" t="n">
        <v>31922690945.4767</v>
      </c>
      <c r="I2821" s="62" t="s">
        <v>81</v>
      </c>
      <c r="J2821" s="64" t="n">
        <v>31922690.9454767</v>
      </c>
      <c r="K2821" s="62" t="s">
        <v>138</v>
      </c>
      <c r="L2821" s="68" t="b">
        <f aca="false">FALSE()</f>
        <v>0</v>
      </c>
    </row>
    <row r="2822" customFormat="false" ht="15" hidden="false" customHeight="false" outlineLevel="0" collapsed="false">
      <c r="A2822" s="62" t="n">
        <v>0</v>
      </c>
      <c r="B2822" s="21" t="s">
        <v>336</v>
      </c>
      <c r="C2822" s="62" t="s">
        <v>60</v>
      </c>
      <c r="D2822" s="62" t="s">
        <v>385</v>
      </c>
      <c r="E2822" s="62" t="s">
        <v>72</v>
      </c>
      <c r="F2822" s="62" t="s">
        <v>382</v>
      </c>
      <c r="G2822" s="63" t="s">
        <v>660</v>
      </c>
      <c r="H2822" s="64" t="n">
        <v>31922690945.4767</v>
      </c>
      <c r="I2822" s="62" t="s">
        <v>81</v>
      </c>
      <c r="J2822" s="64" t="n">
        <v>31922690.9454767</v>
      </c>
      <c r="K2822" s="62" t="s">
        <v>138</v>
      </c>
      <c r="L2822" s="68" t="b">
        <f aca="false">FALSE()</f>
        <v>0</v>
      </c>
    </row>
    <row r="2823" customFormat="false" ht="15" hidden="false" customHeight="false" outlineLevel="0" collapsed="false">
      <c r="A2823" s="62" t="n">
        <v>0</v>
      </c>
      <c r="B2823" s="21" t="s">
        <v>336</v>
      </c>
      <c r="C2823" s="62" t="s">
        <v>60</v>
      </c>
      <c r="D2823" s="62" t="s">
        <v>386</v>
      </c>
      <c r="E2823" s="62" t="s">
        <v>72</v>
      </c>
      <c r="F2823" s="62" t="s">
        <v>382</v>
      </c>
      <c r="G2823" s="63" t="s">
        <v>660</v>
      </c>
      <c r="H2823" s="64" t="n">
        <v>31922690945.4767</v>
      </c>
      <c r="I2823" s="62" t="s">
        <v>81</v>
      </c>
      <c r="J2823" s="64" t="n">
        <v>31922690.9454767</v>
      </c>
      <c r="K2823" s="62" t="s">
        <v>138</v>
      </c>
      <c r="L2823" s="68" t="b">
        <f aca="false">FALSE()</f>
        <v>0</v>
      </c>
    </row>
    <row r="2824" customFormat="false" ht="15" hidden="false" customHeight="false" outlineLevel="0" collapsed="false">
      <c r="A2824" s="62" t="n">
        <v>0</v>
      </c>
      <c r="B2824" s="21" t="s">
        <v>336</v>
      </c>
      <c r="C2824" s="62" t="s">
        <v>60</v>
      </c>
      <c r="D2824" s="62" t="s">
        <v>387</v>
      </c>
      <c r="E2824" s="62" t="s">
        <v>72</v>
      </c>
      <c r="F2824" s="62" t="s">
        <v>382</v>
      </c>
      <c r="G2824" s="63" t="s">
        <v>660</v>
      </c>
      <c r="H2824" s="64" t="n">
        <v>31922690945.4767</v>
      </c>
      <c r="I2824" s="62" t="s">
        <v>81</v>
      </c>
      <c r="J2824" s="64" t="n">
        <v>31922690.9454767</v>
      </c>
      <c r="K2824" s="62" t="s">
        <v>138</v>
      </c>
      <c r="L2824" s="68" t="b">
        <f aca="false">FALSE()</f>
        <v>0</v>
      </c>
    </row>
    <row r="2825" customFormat="false" ht="15" hidden="false" customHeight="false" outlineLevel="0" collapsed="false">
      <c r="A2825" s="62" t="n">
        <v>0</v>
      </c>
      <c r="B2825" s="21" t="s">
        <v>336</v>
      </c>
      <c r="C2825" s="62" t="s">
        <v>60</v>
      </c>
      <c r="D2825" s="62" t="s">
        <v>388</v>
      </c>
      <c r="E2825" s="62" t="s">
        <v>72</v>
      </c>
      <c r="F2825" s="62" t="s">
        <v>382</v>
      </c>
      <c r="G2825" s="63" t="s">
        <v>660</v>
      </c>
      <c r="H2825" s="64" t="n">
        <v>31922690945.4767</v>
      </c>
      <c r="I2825" s="62" t="s">
        <v>81</v>
      </c>
      <c r="J2825" s="64" t="n">
        <v>31922690.9454767</v>
      </c>
      <c r="K2825" s="62" t="s">
        <v>138</v>
      </c>
      <c r="L2825" s="68" t="b">
        <f aca="false">FALSE()</f>
        <v>0</v>
      </c>
    </row>
    <row r="2826" customFormat="false" ht="15" hidden="false" customHeight="false" outlineLevel="0" collapsed="false">
      <c r="A2826" s="62" t="n">
        <v>0</v>
      </c>
      <c r="B2826" s="21" t="s">
        <v>336</v>
      </c>
      <c r="C2826" s="62" t="s">
        <v>60</v>
      </c>
      <c r="D2826" s="62" t="s">
        <v>381</v>
      </c>
      <c r="E2826" s="62" t="s">
        <v>72</v>
      </c>
      <c r="F2826" s="62" t="s">
        <v>382</v>
      </c>
      <c r="G2826" s="63" t="s">
        <v>661</v>
      </c>
      <c r="H2826" s="64" t="n">
        <v>22723843016.2391</v>
      </c>
      <c r="I2826" s="62" t="s">
        <v>81</v>
      </c>
      <c r="J2826" s="64" t="n">
        <v>22723843.0162391</v>
      </c>
      <c r="K2826" s="62" t="s">
        <v>138</v>
      </c>
      <c r="L2826" s="68" t="b">
        <f aca="false">FALSE()</f>
        <v>0</v>
      </c>
    </row>
    <row r="2827" customFormat="false" ht="15" hidden="false" customHeight="false" outlineLevel="0" collapsed="false">
      <c r="A2827" s="62" t="n">
        <v>0</v>
      </c>
      <c r="B2827" s="21" t="s">
        <v>336</v>
      </c>
      <c r="C2827" s="62" t="s">
        <v>60</v>
      </c>
      <c r="D2827" s="62" t="s">
        <v>383</v>
      </c>
      <c r="E2827" s="62" t="s">
        <v>72</v>
      </c>
      <c r="F2827" s="62" t="s">
        <v>382</v>
      </c>
      <c r="G2827" s="63" t="s">
        <v>661</v>
      </c>
      <c r="H2827" s="64" t="n">
        <v>22723843016.2391</v>
      </c>
      <c r="I2827" s="62" t="s">
        <v>81</v>
      </c>
      <c r="J2827" s="64" t="n">
        <v>22723843.0162391</v>
      </c>
      <c r="K2827" s="62" t="s">
        <v>138</v>
      </c>
      <c r="L2827" s="68" t="b">
        <f aca="false">FALSE()</f>
        <v>0</v>
      </c>
    </row>
    <row r="2828" customFormat="false" ht="15" hidden="false" customHeight="false" outlineLevel="0" collapsed="false">
      <c r="A2828" s="62" t="n">
        <v>0</v>
      </c>
      <c r="B2828" s="21" t="s">
        <v>336</v>
      </c>
      <c r="C2828" s="62" t="s">
        <v>60</v>
      </c>
      <c r="D2828" s="62" t="s">
        <v>384</v>
      </c>
      <c r="E2828" s="62" t="s">
        <v>72</v>
      </c>
      <c r="F2828" s="62" t="s">
        <v>382</v>
      </c>
      <c r="G2828" s="63" t="s">
        <v>661</v>
      </c>
      <c r="H2828" s="64" t="n">
        <v>22723843016.2391</v>
      </c>
      <c r="I2828" s="62" t="s">
        <v>81</v>
      </c>
      <c r="J2828" s="64" t="n">
        <v>22723843.0162391</v>
      </c>
      <c r="K2828" s="62" t="s">
        <v>138</v>
      </c>
      <c r="L2828" s="68" t="b">
        <f aca="false">FALSE()</f>
        <v>0</v>
      </c>
    </row>
    <row r="2829" customFormat="false" ht="15" hidden="false" customHeight="false" outlineLevel="0" collapsed="false">
      <c r="A2829" s="62" t="n">
        <v>0</v>
      </c>
      <c r="B2829" s="21" t="s">
        <v>336</v>
      </c>
      <c r="C2829" s="62" t="s">
        <v>60</v>
      </c>
      <c r="D2829" s="62" t="s">
        <v>385</v>
      </c>
      <c r="E2829" s="62" t="s">
        <v>72</v>
      </c>
      <c r="F2829" s="62" t="s">
        <v>382</v>
      </c>
      <c r="G2829" s="63" t="s">
        <v>661</v>
      </c>
      <c r="H2829" s="64" t="n">
        <v>22723843016.2391</v>
      </c>
      <c r="I2829" s="62" t="s">
        <v>81</v>
      </c>
      <c r="J2829" s="64" t="n">
        <v>22723843.0162391</v>
      </c>
      <c r="K2829" s="62" t="s">
        <v>138</v>
      </c>
      <c r="L2829" s="68" t="b">
        <f aca="false">FALSE()</f>
        <v>0</v>
      </c>
    </row>
    <row r="2830" customFormat="false" ht="15" hidden="false" customHeight="false" outlineLevel="0" collapsed="false">
      <c r="A2830" s="62" t="n">
        <v>0</v>
      </c>
      <c r="B2830" s="21" t="s">
        <v>336</v>
      </c>
      <c r="C2830" s="62" t="s">
        <v>60</v>
      </c>
      <c r="D2830" s="62" t="s">
        <v>386</v>
      </c>
      <c r="E2830" s="62" t="s">
        <v>72</v>
      </c>
      <c r="F2830" s="62" t="s">
        <v>382</v>
      </c>
      <c r="G2830" s="63" t="s">
        <v>661</v>
      </c>
      <c r="H2830" s="64" t="n">
        <v>22723843016.2391</v>
      </c>
      <c r="I2830" s="62" t="s">
        <v>81</v>
      </c>
      <c r="J2830" s="64" t="n">
        <v>22723843.0162391</v>
      </c>
      <c r="K2830" s="62" t="s">
        <v>138</v>
      </c>
      <c r="L2830" s="68" t="b">
        <f aca="false">FALSE()</f>
        <v>0</v>
      </c>
    </row>
    <row r="2831" customFormat="false" ht="15" hidden="false" customHeight="false" outlineLevel="0" collapsed="false">
      <c r="A2831" s="62" t="n">
        <v>0</v>
      </c>
      <c r="B2831" s="21" t="s">
        <v>336</v>
      </c>
      <c r="C2831" s="62" t="s">
        <v>60</v>
      </c>
      <c r="D2831" s="62" t="s">
        <v>387</v>
      </c>
      <c r="E2831" s="62" t="s">
        <v>72</v>
      </c>
      <c r="F2831" s="62" t="s">
        <v>382</v>
      </c>
      <c r="G2831" s="63" t="s">
        <v>661</v>
      </c>
      <c r="H2831" s="64" t="n">
        <v>22723843016.2391</v>
      </c>
      <c r="I2831" s="62" t="s">
        <v>81</v>
      </c>
      <c r="J2831" s="64" t="n">
        <v>22723843.0162391</v>
      </c>
      <c r="K2831" s="62" t="s">
        <v>138</v>
      </c>
      <c r="L2831" s="68" t="b">
        <f aca="false">FALSE()</f>
        <v>0</v>
      </c>
    </row>
    <row r="2832" customFormat="false" ht="15" hidden="false" customHeight="false" outlineLevel="0" collapsed="false">
      <c r="A2832" s="62" t="n">
        <v>0</v>
      </c>
      <c r="B2832" s="21" t="s">
        <v>336</v>
      </c>
      <c r="C2832" s="62" t="s">
        <v>60</v>
      </c>
      <c r="D2832" s="62" t="s">
        <v>388</v>
      </c>
      <c r="E2832" s="62" t="s">
        <v>72</v>
      </c>
      <c r="F2832" s="62" t="s">
        <v>382</v>
      </c>
      <c r="G2832" s="63" t="s">
        <v>661</v>
      </c>
      <c r="H2832" s="64" t="n">
        <v>22723843016.2391</v>
      </c>
      <c r="I2832" s="62" t="s">
        <v>81</v>
      </c>
      <c r="J2832" s="64" t="n">
        <v>22723843.0162391</v>
      </c>
      <c r="K2832" s="62" t="s">
        <v>138</v>
      </c>
      <c r="L2832" s="68" t="b">
        <f aca="false">FALSE()</f>
        <v>0</v>
      </c>
    </row>
    <row r="2833" customFormat="false" ht="15" hidden="false" customHeight="false" outlineLevel="0" collapsed="false">
      <c r="A2833" s="62" t="n">
        <v>0</v>
      </c>
      <c r="B2833" s="21" t="s">
        <v>336</v>
      </c>
      <c r="C2833" s="62" t="s">
        <v>60</v>
      </c>
      <c r="D2833" s="62" t="s">
        <v>381</v>
      </c>
      <c r="E2833" s="62" t="s">
        <v>72</v>
      </c>
      <c r="F2833" s="62" t="s">
        <v>382</v>
      </c>
      <c r="G2833" s="63" t="s">
        <v>662</v>
      </c>
      <c r="H2833" s="64" t="n">
        <v>12203.6951086323</v>
      </c>
      <c r="I2833" s="62" t="s">
        <v>81</v>
      </c>
      <c r="J2833" s="64" t="n">
        <v>12.2036951086323</v>
      </c>
      <c r="K2833" s="62" t="s">
        <v>138</v>
      </c>
      <c r="L2833" s="68" t="b">
        <f aca="false">FALSE()</f>
        <v>0</v>
      </c>
    </row>
    <row r="2834" customFormat="false" ht="15" hidden="false" customHeight="false" outlineLevel="0" collapsed="false">
      <c r="A2834" s="62" t="n">
        <v>0</v>
      </c>
      <c r="B2834" s="21" t="s">
        <v>336</v>
      </c>
      <c r="C2834" s="62" t="s">
        <v>60</v>
      </c>
      <c r="D2834" s="62" t="s">
        <v>383</v>
      </c>
      <c r="E2834" s="62" t="s">
        <v>72</v>
      </c>
      <c r="F2834" s="62" t="s">
        <v>382</v>
      </c>
      <c r="G2834" s="63" t="s">
        <v>662</v>
      </c>
      <c r="H2834" s="64" t="n">
        <v>12203.6951086323</v>
      </c>
      <c r="I2834" s="62" t="s">
        <v>81</v>
      </c>
      <c r="J2834" s="64" t="n">
        <v>12.2036951086323</v>
      </c>
      <c r="K2834" s="62" t="s">
        <v>138</v>
      </c>
      <c r="L2834" s="68" t="b">
        <f aca="false">FALSE()</f>
        <v>0</v>
      </c>
    </row>
    <row r="2835" customFormat="false" ht="15" hidden="false" customHeight="false" outlineLevel="0" collapsed="false">
      <c r="A2835" s="62" t="n">
        <v>0</v>
      </c>
      <c r="B2835" s="21" t="s">
        <v>336</v>
      </c>
      <c r="C2835" s="62" t="s">
        <v>60</v>
      </c>
      <c r="D2835" s="62" t="s">
        <v>384</v>
      </c>
      <c r="E2835" s="62" t="s">
        <v>72</v>
      </c>
      <c r="F2835" s="62" t="s">
        <v>382</v>
      </c>
      <c r="G2835" s="63" t="s">
        <v>662</v>
      </c>
      <c r="H2835" s="64" t="n">
        <v>12203.6951086323</v>
      </c>
      <c r="I2835" s="62" t="s">
        <v>81</v>
      </c>
      <c r="J2835" s="64" t="n">
        <v>12.2036951086323</v>
      </c>
      <c r="K2835" s="62" t="s">
        <v>138</v>
      </c>
      <c r="L2835" s="68" t="b">
        <f aca="false">FALSE()</f>
        <v>0</v>
      </c>
    </row>
    <row r="2836" customFormat="false" ht="15" hidden="false" customHeight="false" outlineLevel="0" collapsed="false">
      <c r="A2836" s="62" t="n">
        <v>0</v>
      </c>
      <c r="B2836" s="21" t="s">
        <v>336</v>
      </c>
      <c r="C2836" s="62" t="s">
        <v>60</v>
      </c>
      <c r="D2836" s="62" t="s">
        <v>385</v>
      </c>
      <c r="E2836" s="62" t="s">
        <v>72</v>
      </c>
      <c r="F2836" s="62" t="s">
        <v>382</v>
      </c>
      <c r="G2836" s="63" t="s">
        <v>662</v>
      </c>
      <c r="H2836" s="64" t="n">
        <v>12203.6951086323</v>
      </c>
      <c r="I2836" s="62" t="s">
        <v>81</v>
      </c>
      <c r="J2836" s="64" t="n">
        <v>12.2036951086323</v>
      </c>
      <c r="K2836" s="62" t="s">
        <v>138</v>
      </c>
      <c r="L2836" s="68" t="b">
        <f aca="false">FALSE()</f>
        <v>0</v>
      </c>
    </row>
    <row r="2837" customFormat="false" ht="15" hidden="false" customHeight="false" outlineLevel="0" collapsed="false">
      <c r="A2837" s="62" t="n">
        <v>0</v>
      </c>
      <c r="B2837" s="21" t="s">
        <v>336</v>
      </c>
      <c r="C2837" s="62" t="s">
        <v>60</v>
      </c>
      <c r="D2837" s="62" t="s">
        <v>386</v>
      </c>
      <c r="E2837" s="62" t="s">
        <v>72</v>
      </c>
      <c r="F2837" s="62" t="s">
        <v>382</v>
      </c>
      <c r="G2837" s="63" t="s">
        <v>662</v>
      </c>
      <c r="H2837" s="64" t="n">
        <v>12203.6951086323</v>
      </c>
      <c r="I2837" s="62" t="s">
        <v>81</v>
      </c>
      <c r="J2837" s="64" t="n">
        <v>12.2036951086323</v>
      </c>
      <c r="K2837" s="62" t="s">
        <v>138</v>
      </c>
      <c r="L2837" s="68" t="b">
        <f aca="false">FALSE()</f>
        <v>0</v>
      </c>
    </row>
    <row r="2838" customFormat="false" ht="15" hidden="false" customHeight="false" outlineLevel="0" collapsed="false">
      <c r="A2838" s="62" t="n">
        <v>0</v>
      </c>
      <c r="B2838" s="21" t="s">
        <v>336</v>
      </c>
      <c r="C2838" s="62" t="s">
        <v>60</v>
      </c>
      <c r="D2838" s="62" t="s">
        <v>387</v>
      </c>
      <c r="E2838" s="62" t="s">
        <v>72</v>
      </c>
      <c r="F2838" s="62" t="s">
        <v>382</v>
      </c>
      <c r="G2838" s="63" t="s">
        <v>662</v>
      </c>
      <c r="H2838" s="64" t="n">
        <v>12203.6951086323</v>
      </c>
      <c r="I2838" s="62" t="s">
        <v>81</v>
      </c>
      <c r="J2838" s="64" t="n">
        <v>12.2036951086323</v>
      </c>
      <c r="K2838" s="62" t="s">
        <v>138</v>
      </c>
      <c r="L2838" s="68" t="b">
        <f aca="false">FALSE()</f>
        <v>0</v>
      </c>
    </row>
    <row r="2839" customFormat="false" ht="15" hidden="false" customHeight="false" outlineLevel="0" collapsed="false">
      <c r="A2839" s="62" t="n">
        <v>0</v>
      </c>
      <c r="B2839" s="21" t="s">
        <v>336</v>
      </c>
      <c r="C2839" s="62" t="s">
        <v>60</v>
      </c>
      <c r="D2839" s="62" t="s">
        <v>388</v>
      </c>
      <c r="E2839" s="62" t="s">
        <v>72</v>
      </c>
      <c r="F2839" s="62" t="s">
        <v>382</v>
      </c>
      <c r="G2839" s="63" t="s">
        <v>662</v>
      </c>
      <c r="H2839" s="64" t="n">
        <v>12203.6951086323</v>
      </c>
      <c r="I2839" s="62" t="s">
        <v>81</v>
      </c>
      <c r="J2839" s="64" t="n">
        <v>12.2036951086323</v>
      </c>
      <c r="K2839" s="62" t="s">
        <v>138</v>
      </c>
      <c r="L2839" s="68" t="b">
        <f aca="false">FALSE()</f>
        <v>0</v>
      </c>
    </row>
    <row r="2840" customFormat="false" ht="15" hidden="false" customHeight="false" outlineLevel="0" collapsed="false">
      <c r="A2840" s="62" t="n">
        <v>0</v>
      </c>
      <c r="B2840" s="21" t="s">
        <v>336</v>
      </c>
      <c r="C2840" s="62" t="s">
        <v>60</v>
      </c>
      <c r="D2840" s="62" t="s">
        <v>381</v>
      </c>
      <c r="E2840" s="62" t="s">
        <v>72</v>
      </c>
      <c r="F2840" s="62" t="s">
        <v>382</v>
      </c>
      <c r="G2840" s="63" t="s">
        <v>663</v>
      </c>
      <c r="H2840" s="64" t="n">
        <v>358612589.676336</v>
      </c>
      <c r="I2840" s="62" t="s">
        <v>81</v>
      </c>
      <c r="J2840" s="64" t="n">
        <v>358612.589676336</v>
      </c>
      <c r="K2840" s="62" t="s">
        <v>138</v>
      </c>
      <c r="L2840" s="68" t="b">
        <f aca="false">FALSE()</f>
        <v>0</v>
      </c>
    </row>
    <row r="2841" customFormat="false" ht="15" hidden="false" customHeight="false" outlineLevel="0" collapsed="false">
      <c r="A2841" s="62" t="n">
        <v>0</v>
      </c>
      <c r="B2841" s="21" t="s">
        <v>336</v>
      </c>
      <c r="C2841" s="62" t="s">
        <v>60</v>
      </c>
      <c r="D2841" s="62" t="s">
        <v>383</v>
      </c>
      <c r="E2841" s="62" t="s">
        <v>72</v>
      </c>
      <c r="F2841" s="62" t="s">
        <v>382</v>
      </c>
      <c r="G2841" s="63" t="s">
        <v>663</v>
      </c>
      <c r="H2841" s="64" t="n">
        <v>358612589.676336</v>
      </c>
      <c r="I2841" s="62" t="s">
        <v>81</v>
      </c>
      <c r="J2841" s="64" t="n">
        <v>358612.589676336</v>
      </c>
      <c r="K2841" s="62" t="s">
        <v>138</v>
      </c>
      <c r="L2841" s="68" t="b">
        <f aca="false">FALSE()</f>
        <v>0</v>
      </c>
    </row>
    <row r="2842" customFormat="false" ht="15" hidden="false" customHeight="false" outlineLevel="0" collapsed="false">
      <c r="A2842" s="62" t="n">
        <v>0</v>
      </c>
      <c r="B2842" s="21" t="s">
        <v>336</v>
      </c>
      <c r="C2842" s="62" t="s">
        <v>60</v>
      </c>
      <c r="D2842" s="62" t="s">
        <v>384</v>
      </c>
      <c r="E2842" s="62" t="s">
        <v>72</v>
      </c>
      <c r="F2842" s="62" t="s">
        <v>382</v>
      </c>
      <c r="G2842" s="63" t="s">
        <v>663</v>
      </c>
      <c r="H2842" s="64" t="n">
        <v>358612589.676336</v>
      </c>
      <c r="I2842" s="62" t="s">
        <v>81</v>
      </c>
      <c r="J2842" s="64" t="n">
        <v>358612.589676336</v>
      </c>
      <c r="K2842" s="62" t="s">
        <v>138</v>
      </c>
      <c r="L2842" s="68" t="b">
        <f aca="false">FALSE()</f>
        <v>0</v>
      </c>
    </row>
    <row r="2843" customFormat="false" ht="15" hidden="false" customHeight="false" outlineLevel="0" collapsed="false">
      <c r="A2843" s="62" t="n">
        <v>0</v>
      </c>
      <c r="B2843" s="21" t="s">
        <v>336</v>
      </c>
      <c r="C2843" s="62" t="s">
        <v>60</v>
      </c>
      <c r="D2843" s="62" t="s">
        <v>385</v>
      </c>
      <c r="E2843" s="62" t="s">
        <v>72</v>
      </c>
      <c r="F2843" s="62" t="s">
        <v>382</v>
      </c>
      <c r="G2843" s="63" t="s">
        <v>663</v>
      </c>
      <c r="H2843" s="64" t="n">
        <v>358612589.676336</v>
      </c>
      <c r="I2843" s="62" t="s">
        <v>81</v>
      </c>
      <c r="J2843" s="64" t="n">
        <v>358612.589676336</v>
      </c>
      <c r="K2843" s="62" t="s">
        <v>138</v>
      </c>
      <c r="L2843" s="68" t="b">
        <f aca="false">FALSE()</f>
        <v>0</v>
      </c>
    </row>
    <row r="2844" customFormat="false" ht="15" hidden="false" customHeight="false" outlineLevel="0" collapsed="false">
      <c r="A2844" s="62" t="n">
        <v>0</v>
      </c>
      <c r="B2844" s="21" t="s">
        <v>336</v>
      </c>
      <c r="C2844" s="62" t="s">
        <v>60</v>
      </c>
      <c r="D2844" s="62" t="s">
        <v>386</v>
      </c>
      <c r="E2844" s="62" t="s">
        <v>72</v>
      </c>
      <c r="F2844" s="62" t="s">
        <v>382</v>
      </c>
      <c r="G2844" s="63" t="s">
        <v>663</v>
      </c>
      <c r="H2844" s="64" t="n">
        <v>358612589.676336</v>
      </c>
      <c r="I2844" s="62" t="s">
        <v>81</v>
      </c>
      <c r="J2844" s="64" t="n">
        <v>358612.589676336</v>
      </c>
      <c r="K2844" s="62" t="s">
        <v>138</v>
      </c>
      <c r="L2844" s="68" t="b">
        <f aca="false">FALSE()</f>
        <v>0</v>
      </c>
    </row>
    <row r="2845" customFormat="false" ht="15" hidden="false" customHeight="false" outlineLevel="0" collapsed="false">
      <c r="A2845" s="62" t="n">
        <v>0</v>
      </c>
      <c r="B2845" s="21" t="s">
        <v>336</v>
      </c>
      <c r="C2845" s="62" t="s">
        <v>60</v>
      </c>
      <c r="D2845" s="62" t="s">
        <v>387</v>
      </c>
      <c r="E2845" s="62" t="s">
        <v>72</v>
      </c>
      <c r="F2845" s="62" t="s">
        <v>382</v>
      </c>
      <c r="G2845" s="63" t="s">
        <v>663</v>
      </c>
      <c r="H2845" s="64" t="n">
        <v>358612589.676336</v>
      </c>
      <c r="I2845" s="62" t="s">
        <v>81</v>
      </c>
      <c r="J2845" s="64" t="n">
        <v>358612.589676336</v>
      </c>
      <c r="K2845" s="62" t="s">
        <v>138</v>
      </c>
      <c r="L2845" s="68" t="b">
        <f aca="false">FALSE()</f>
        <v>0</v>
      </c>
    </row>
    <row r="2846" customFormat="false" ht="15" hidden="false" customHeight="false" outlineLevel="0" collapsed="false">
      <c r="A2846" s="62" t="n">
        <v>0</v>
      </c>
      <c r="B2846" s="21" t="s">
        <v>336</v>
      </c>
      <c r="C2846" s="62" t="s">
        <v>60</v>
      </c>
      <c r="D2846" s="62" t="s">
        <v>388</v>
      </c>
      <c r="E2846" s="62" t="s">
        <v>72</v>
      </c>
      <c r="F2846" s="62" t="s">
        <v>382</v>
      </c>
      <c r="G2846" s="63" t="s">
        <v>663</v>
      </c>
      <c r="H2846" s="64" t="n">
        <v>358612589.676336</v>
      </c>
      <c r="I2846" s="62" t="s">
        <v>81</v>
      </c>
      <c r="J2846" s="64" t="n">
        <v>358612.589676336</v>
      </c>
      <c r="K2846" s="62" t="s">
        <v>138</v>
      </c>
      <c r="L2846" s="68" t="b">
        <f aca="false">FALSE()</f>
        <v>0</v>
      </c>
    </row>
    <row r="2847" customFormat="false" ht="15" hidden="false" customHeight="false" outlineLevel="0" collapsed="false">
      <c r="A2847" s="62" t="n">
        <v>0</v>
      </c>
      <c r="B2847" s="21" t="s">
        <v>336</v>
      </c>
      <c r="C2847" s="62" t="s">
        <v>60</v>
      </c>
      <c r="D2847" s="62" t="s">
        <v>381</v>
      </c>
      <c r="E2847" s="62" t="s">
        <v>72</v>
      </c>
      <c r="F2847" s="62" t="s">
        <v>382</v>
      </c>
      <c r="G2847" s="63" t="s">
        <v>664</v>
      </c>
      <c r="H2847" s="64" t="n">
        <v>34703997907.6009</v>
      </c>
      <c r="I2847" s="62" t="s">
        <v>81</v>
      </c>
      <c r="J2847" s="64" t="n">
        <v>34703997.9076009</v>
      </c>
      <c r="K2847" s="62" t="s">
        <v>138</v>
      </c>
      <c r="L2847" s="68" t="b">
        <f aca="false">FALSE()</f>
        <v>0</v>
      </c>
    </row>
    <row r="2848" customFormat="false" ht="15" hidden="false" customHeight="false" outlineLevel="0" collapsed="false">
      <c r="A2848" s="62" t="n">
        <v>0</v>
      </c>
      <c r="B2848" s="21" t="s">
        <v>336</v>
      </c>
      <c r="C2848" s="62" t="s">
        <v>60</v>
      </c>
      <c r="D2848" s="62" t="s">
        <v>383</v>
      </c>
      <c r="E2848" s="62" t="s">
        <v>72</v>
      </c>
      <c r="F2848" s="62" t="s">
        <v>382</v>
      </c>
      <c r="G2848" s="63" t="s">
        <v>664</v>
      </c>
      <c r="H2848" s="64" t="n">
        <v>34703997907.6009</v>
      </c>
      <c r="I2848" s="62" t="s">
        <v>81</v>
      </c>
      <c r="J2848" s="64" t="n">
        <v>34703997.9076009</v>
      </c>
      <c r="K2848" s="62" t="s">
        <v>138</v>
      </c>
      <c r="L2848" s="68" t="b">
        <f aca="false">FALSE()</f>
        <v>0</v>
      </c>
    </row>
    <row r="2849" customFormat="false" ht="15" hidden="false" customHeight="false" outlineLevel="0" collapsed="false">
      <c r="A2849" s="62" t="n">
        <v>0</v>
      </c>
      <c r="B2849" s="21" t="s">
        <v>336</v>
      </c>
      <c r="C2849" s="62" t="s">
        <v>60</v>
      </c>
      <c r="D2849" s="62" t="s">
        <v>384</v>
      </c>
      <c r="E2849" s="62" t="s">
        <v>72</v>
      </c>
      <c r="F2849" s="62" t="s">
        <v>382</v>
      </c>
      <c r="G2849" s="63" t="s">
        <v>664</v>
      </c>
      <c r="H2849" s="64" t="n">
        <v>34703997907.6009</v>
      </c>
      <c r="I2849" s="62" t="s">
        <v>81</v>
      </c>
      <c r="J2849" s="64" t="n">
        <v>34703997.9076009</v>
      </c>
      <c r="K2849" s="62" t="s">
        <v>138</v>
      </c>
      <c r="L2849" s="68" t="b">
        <f aca="false">FALSE()</f>
        <v>0</v>
      </c>
    </row>
    <row r="2850" customFormat="false" ht="15" hidden="false" customHeight="false" outlineLevel="0" collapsed="false">
      <c r="A2850" s="62" t="n">
        <v>0</v>
      </c>
      <c r="B2850" s="21" t="s">
        <v>336</v>
      </c>
      <c r="C2850" s="62" t="s">
        <v>60</v>
      </c>
      <c r="D2850" s="62" t="s">
        <v>385</v>
      </c>
      <c r="E2850" s="62" t="s">
        <v>72</v>
      </c>
      <c r="F2850" s="62" t="s">
        <v>382</v>
      </c>
      <c r="G2850" s="63" t="s">
        <v>664</v>
      </c>
      <c r="H2850" s="64" t="n">
        <v>34703997907.6009</v>
      </c>
      <c r="I2850" s="62" t="s">
        <v>81</v>
      </c>
      <c r="J2850" s="64" t="n">
        <v>34703997.9076009</v>
      </c>
      <c r="K2850" s="62" t="s">
        <v>138</v>
      </c>
      <c r="L2850" s="68" t="b">
        <f aca="false">FALSE()</f>
        <v>0</v>
      </c>
    </row>
    <row r="2851" customFormat="false" ht="15" hidden="false" customHeight="false" outlineLevel="0" collapsed="false">
      <c r="A2851" s="62" t="n">
        <v>0</v>
      </c>
      <c r="B2851" s="21" t="s">
        <v>336</v>
      </c>
      <c r="C2851" s="62" t="s">
        <v>60</v>
      </c>
      <c r="D2851" s="62" t="s">
        <v>386</v>
      </c>
      <c r="E2851" s="62" t="s">
        <v>72</v>
      </c>
      <c r="F2851" s="62" t="s">
        <v>382</v>
      </c>
      <c r="G2851" s="63" t="s">
        <v>664</v>
      </c>
      <c r="H2851" s="64" t="n">
        <v>34703997907.6009</v>
      </c>
      <c r="I2851" s="62" t="s">
        <v>81</v>
      </c>
      <c r="J2851" s="64" t="n">
        <v>34703997.9076009</v>
      </c>
      <c r="K2851" s="62" t="s">
        <v>138</v>
      </c>
      <c r="L2851" s="68" t="b">
        <f aca="false">FALSE()</f>
        <v>0</v>
      </c>
    </row>
    <row r="2852" customFormat="false" ht="15" hidden="false" customHeight="false" outlineLevel="0" collapsed="false">
      <c r="A2852" s="62" t="n">
        <v>0</v>
      </c>
      <c r="B2852" s="21" t="s">
        <v>336</v>
      </c>
      <c r="C2852" s="62" t="s">
        <v>60</v>
      </c>
      <c r="D2852" s="62" t="s">
        <v>387</v>
      </c>
      <c r="E2852" s="62" t="s">
        <v>72</v>
      </c>
      <c r="F2852" s="62" t="s">
        <v>382</v>
      </c>
      <c r="G2852" s="63" t="s">
        <v>664</v>
      </c>
      <c r="H2852" s="64" t="n">
        <v>34703997907.6009</v>
      </c>
      <c r="I2852" s="62" t="s">
        <v>81</v>
      </c>
      <c r="J2852" s="64" t="n">
        <v>34703997.9076009</v>
      </c>
      <c r="K2852" s="62" t="s">
        <v>138</v>
      </c>
      <c r="L2852" s="68" t="b">
        <f aca="false">FALSE()</f>
        <v>0</v>
      </c>
    </row>
    <row r="2853" customFormat="false" ht="15" hidden="false" customHeight="false" outlineLevel="0" collapsed="false">
      <c r="A2853" s="62" t="n">
        <v>0</v>
      </c>
      <c r="B2853" s="21" t="s">
        <v>336</v>
      </c>
      <c r="C2853" s="62" t="s">
        <v>60</v>
      </c>
      <c r="D2853" s="62" t="s">
        <v>388</v>
      </c>
      <c r="E2853" s="62" t="s">
        <v>72</v>
      </c>
      <c r="F2853" s="62" t="s">
        <v>382</v>
      </c>
      <c r="G2853" s="63" t="s">
        <v>664</v>
      </c>
      <c r="H2853" s="64" t="n">
        <v>34703997907.6009</v>
      </c>
      <c r="I2853" s="62" t="s">
        <v>81</v>
      </c>
      <c r="J2853" s="64" t="n">
        <v>34703997.9076009</v>
      </c>
      <c r="K2853" s="62" t="s">
        <v>138</v>
      </c>
      <c r="L2853" s="68" t="b">
        <f aca="false">FALSE()</f>
        <v>0</v>
      </c>
    </row>
    <row r="2854" customFormat="false" ht="15" hidden="false" customHeight="false" outlineLevel="0" collapsed="false">
      <c r="A2854" s="62" t="n">
        <v>0</v>
      </c>
      <c r="B2854" s="21" t="s">
        <v>336</v>
      </c>
      <c r="C2854" s="62" t="s">
        <v>60</v>
      </c>
      <c r="D2854" s="62" t="s">
        <v>381</v>
      </c>
      <c r="E2854" s="62" t="s">
        <v>72</v>
      </c>
      <c r="F2854" s="62" t="s">
        <v>382</v>
      </c>
      <c r="G2854" s="63" t="s">
        <v>665</v>
      </c>
      <c r="H2854" s="64" t="n">
        <v>13412500000</v>
      </c>
      <c r="I2854" s="62" t="s">
        <v>81</v>
      </c>
      <c r="J2854" s="64" t="n">
        <v>13412500</v>
      </c>
      <c r="K2854" s="62" t="s">
        <v>138</v>
      </c>
      <c r="L2854" s="68" t="b">
        <f aca="false">FALSE()</f>
        <v>0</v>
      </c>
    </row>
    <row r="2855" customFormat="false" ht="15" hidden="false" customHeight="false" outlineLevel="0" collapsed="false">
      <c r="A2855" s="62" t="n">
        <v>0</v>
      </c>
      <c r="B2855" s="21" t="s">
        <v>336</v>
      </c>
      <c r="C2855" s="62" t="s">
        <v>60</v>
      </c>
      <c r="D2855" s="62" t="s">
        <v>383</v>
      </c>
      <c r="E2855" s="62" t="s">
        <v>72</v>
      </c>
      <c r="F2855" s="62" t="s">
        <v>382</v>
      </c>
      <c r="G2855" s="63" t="s">
        <v>665</v>
      </c>
      <c r="H2855" s="64" t="n">
        <v>13412500000</v>
      </c>
      <c r="I2855" s="62" t="s">
        <v>81</v>
      </c>
      <c r="J2855" s="64" t="n">
        <v>13412500</v>
      </c>
      <c r="K2855" s="62" t="s">
        <v>138</v>
      </c>
      <c r="L2855" s="68" t="b">
        <f aca="false">FALSE()</f>
        <v>0</v>
      </c>
    </row>
    <row r="2856" customFormat="false" ht="15" hidden="false" customHeight="false" outlineLevel="0" collapsed="false">
      <c r="A2856" s="62" t="n">
        <v>0</v>
      </c>
      <c r="B2856" s="21" t="s">
        <v>336</v>
      </c>
      <c r="C2856" s="62" t="s">
        <v>60</v>
      </c>
      <c r="D2856" s="62" t="s">
        <v>384</v>
      </c>
      <c r="E2856" s="62" t="s">
        <v>72</v>
      </c>
      <c r="F2856" s="62" t="s">
        <v>382</v>
      </c>
      <c r="G2856" s="63" t="s">
        <v>665</v>
      </c>
      <c r="H2856" s="64" t="n">
        <v>13412500000</v>
      </c>
      <c r="I2856" s="62" t="s">
        <v>81</v>
      </c>
      <c r="J2856" s="64" t="n">
        <v>13412500</v>
      </c>
      <c r="K2856" s="62" t="s">
        <v>138</v>
      </c>
      <c r="L2856" s="68" t="b">
        <f aca="false">FALSE()</f>
        <v>0</v>
      </c>
    </row>
    <row r="2857" customFormat="false" ht="15" hidden="false" customHeight="false" outlineLevel="0" collapsed="false">
      <c r="A2857" s="62" t="n">
        <v>0</v>
      </c>
      <c r="B2857" s="21" t="s">
        <v>336</v>
      </c>
      <c r="C2857" s="62" t="s">
        <v>60</v>
      </c>
      <c r="D2857" s="62" t="s">
        <v>385</v>
      </c>
      <c r="E2857" s="62" t="s">
        <v>72</v>
      </c>
      <c r="F2857" s="62" t="s">
        <v>382</v>
      </c>
      <c r="G2857" s="63" t="s">
        <v>665</v>
      </c>
      <c r="H2857" s="64" t="n">
        <v>13412500000</v>
      </c>
      <c r="I2857" s="62" t="s">
        <v>81</v>
      </c>
      <c r="J2857" s="64" t="n">
        <v>13412500</v>
      </c>
      <c r="K2857" s="62" t="s">
        <v>138</v>
      </c>
      <c r="L2857" s="68" t="b">
        <f aca="false">FALSE()</f>
        <v>0</v>
      </c>
    </row>
    <row r="2858" customFormat="false" ht="15" hidden="false" customHeight="false" outlineLevel="0" collapsed="false">
      <c r="A2858" s="62" t="n">
        <v>0</v>
      </c>
      <c r="B2858" s="21" t="s">
        <v>336</v>
      </c>
      <c r="C2858" s="62" t="s">
        <v>60</v>
      </c>
      <c r="D2858" s="62" t="s">
        <v>386</v>
      </c>
      <c r="E2858" s="62" t="s">
        <v>72</v>
      </c>
      <c r="F2858" s="62" t="s">
        <v>382</v>
      </c>
      <c r="G2858" s="63" t="s">
        <v>665</v>
      </c>
      <c r="H2858" s="64" t="n">
        <v>13412500000</v>
      </c>
      <c r="I2858" s="62" t="s">
        <v>81</v>
      </c>
      <c r="J2858" s="64" t="n">
        <v>13412500</v>
      </c>
      <c r="K2858" s="62" t="s">
        <v>138</v>
      </c>
      <c r="L2858" s="68" t="b">
        <f aca="false">FALSE()</f>
        <v>0</v>
      </c>
    </row>
    <row r="2859" customFormat="false" ht="15" hidden="false" customHeight="false" outlineLevel="0" collapsed="false">
      <c r="A2859" s="62" t="n">
        <v>0</v>
      </c>
      <c r="B2859" s="21" t="s">
        <v>336</v>
      </c>
      <c r="C2859" s="62" t="s">
        <v>60</v>
      </c>
      <c r="D2859" s="62" t="s">
        <v>387</v>
      </c>
      <c r="E2859" s="62" t="s">
        <v>72</v>
      </c>
      <c r="F2859" s="62" t="s">
        <v>382</v>
      </c>
      <c r="G2859" s="63" t="s">
        <v>665</v>
      </c>
      <c r="H2859" s="64" t="n">
        <v>13412500000</v>
      </c>
      <c r="I2859" s="62" t="s">
        <v>81</v>
      </c>
      <c r="J2859" s="64" t="n">
        <v>13412500</v>
      </c>
      <c r="K2859" s="62" t="s">
        <v>138</v>
      </c>
      <c r="L2859" s="68" t="b">
        <f aca="false">FALSE()</f>
        <v>0</v>
      </c>
    </row>
    <row r="2860" customFormat="false" ht="15" hidden="false" customHeight="false" outlineLevel="0" collapsed="false">
      <c r="A2860" s="62" t="n">
        <v>0</v>
      </c>
      <c r="B2860" s="21" t="s">
        <v>336</v>
      </c>
      <c r="C2860" s="62" t="s">
        <v>60</v>
      </c>
      <c r="D2860" s="62" t="s">
        <v>388</v>
      </c>
      <c r="E2860" s="62" t="s">
        <v>72</v>
      </c>
      <c r="F2860" s="62" t="s">
        <v>382</v>
      </c>
      <c r="G2860" s="63" t="s">
        <v>665</v>
      </c>
      <c r="H2860" s="64" t="n">
        <v>13412500000</v>
      </c>
      <c r="I2860" s="62" t="s">
        <v>81</v>
      </c>
      <c r="J2860" s="64" t="n">
        <v>13412500</v>
      </c>
      <c r="K2860" s="62" t="s">
        <v>138</v>
      </c>
      <c r="L2860" s="68" t="b">
        <f aca="false">FALSE()</f>
        <v>0</v>
      </c>
    </row>
    <row r="2861" customFormat="false" ht="15" hidden="false" customHeight="false" outlineLevel="0" collapsed="false">
      <c r="A2861" s="62" t="n">
        <v>0</v>
      </c>
      <c r="B2861" s="21" t="s">
        <v>336</v>
      </c>
      <c r="C2861" s="62" t="s">
        <v>60</v>
      </c>
      <c r="D2861" s="62" t="s">
        <v>381</v>
      </c>
      <c r="E2861" s="62" t="s">
        <v>72</v>
      </c>
      <c r="F2861" s="62" t="s">
        <v>382</v>
      </c>
      <c r="G2861" s="63" t="s">
        <v>666</v>
      </c>
      <c r="H2861" s="64" t="n">
        <v>53650000000</v>
      </c>
      <c r="I2861" s="62" t="s">
        <v>81</v>
      </c>
      <c r="J2861" s="64" t="n">
        <v>53650000</v>
      </c>
      <c r="K2861" s="62" t="s">
        <v>138</v>
      </c>
      <c r="L2861" s="68" t="b">
        <f aca="false">FALSE()</f>
        <v>0</v>
      </c>
    </row>
    <row r="2862" customFormat="false" ht="15" hidden="false" customHeight="false" outlineLevel="0" collapsed="false">
      <c r="A2862" s="62" t="n">
        <v>0</v>
      </c>
      <c r="B2862" s="21" t="s">
        <v>336</v>
      </c>
      <c r="C2862" s="62" t="s">
        <v>60</v>
      </c>
      <c r="D2862" s="62" t="s">
        <v>383</v>
      </c>
      <c r="E2862" s="62" t="s">
        <v>72</v>
      </c>
      <c r="F2862" s="62" t="s">
        <v>382</v>
      </c>
      <c r="G2862" s="63" t="s">
        <v>666</v>
      </c>
      <c r="H2862" s="64" t="n">
        <v>53650000000</v>
      </c>
      <c r="I2862" s="62" t="s">
        <v>81</v>
      </c>
      <c r="J2862" s="64" t="n">
        <v>53650000</v>
      </c>
      <c r="K2862" s="62" t="s">
        <v>138</v>
      </c>
      <c r="L2862" s="68" t="b">
        <f aca="false">FALSE()</f>
        <v>0</v>
      </c>
    </row>
    <row r="2863" customFormat="false" ht="15" hidden="false" customHeight="false" outlineLevel="0" collapsed="false">
      <c r="A2863" s="62" t="n">
        <v>0</v>
      </c>
      <c r="B2863" s="21" t="s">
        <v>336</v>
      </c>
      <c r="C2863" s="62" t="s">
        <v>60</v>
      </c>
      <c r="D2863" s="62" t="s">
        <v>384</v>
      </c>
      <c r="E2863" s="62" t="s">
        <v>72</v>
      </c>
      <c r="F2863" s="62" t="s">
        <v>382</v>
      </c>
      <c r="G2863" s="63" t="s">
        <v>666</v>
      </c>
      <c r="H2863" s="64" t="n">
        <v>53650000000</v>
      </c>
      <c r="I2863" s="62" t="s">
        <v>81</v>
      </c>
      <c r="J2863" s="64" t="n">
        <v>53650000</v>
      </c>
      <c r="K2863" s="62" t="s">
        <v>138</v>
      </c>
      <c r="L2863" s="68" t="b">
        <f aca="false">FALSE()</f>
        <v>0</v>
      </c>
    </row>
    <row r="2864" customFormat="false" ht="15" hidden="false" customHeight="false" outlineLevel="0" collapsed="false">
      <c r="A2864" s="62" t="n">
        <v>0</v>
      </c>
      <c r="B2864" s="21" t="s">
        <v>336</v>
      </c>
      <c r="C2864" s="62" t="s">
        <v>60</v>
      </c>
      <c r="D2864" s="62" t="s">
        <v>385</v>
      </c>
      <c r="E2864" s="62" t="s">
        <v>72</v>
      </c>
      <c r="F2864" s="62" t="s">
        <v>382</v>
      </c>
      <c r="G2864" s="63" t="s">
        <v>666</v>
      </c>
      <c r="H2864" s="64" t="n">
        <v>53650000000</v>
      </c>
      <c r="I2864" s="62" t="s">
        <v>81</v>
      </c>
      <c r="J2864" s="64" t="n">
        <v>53650000</v>
      </c>
      <c r="K2864" s="62" t="s">
        <v>138</v>
      </c>
      <c r="L2864" s="68" t="b">
        <f aca="false">FALSE()</f>
        <v>0</v>
      </c>
    </row>
    <row r="2865" customFormat="false" ht="15" hidden="false" customHeight="false" outlineLevel="0" collapsed="false">
      <c r="A2865" s="62" t="n">
        <v>0</v>
      </c>
      <c r="B2865" s="21" t="s">
        <v>336</v>
      </c>
      <c r="C2865" s="62" t="s">
        <v>60</v>
      </c>
      <c r="D2865" s="62" t="s">
        <v>386</v>
      </c>
      <c r="E2865" s="62" t="s">
        <v>72</v>
      </c>
      <c r="F2865" s="62" t="s">
        <v>382</v>
      </c>
      <c r="G2865" s="63" t="s">
        <v>666</v>
      </c>
      <c r="H2865" s="64" t="n">
        <v>53650000000</v>
      </c>
      <c r="I2865" s="62" t="s">
        <v>81</v>
      </c>
      <c r="J2865" s="64" t="n">
        <v>53650000</v>
      </c>
      <c r="K2865" s="62" t="s">
        <v>138</v>
      </c>
      <c r="L2865" s="68" t="b">
        <f aca="false">FALSE()</f>
        <v>0</v>
      </c>
    </row>
    <row r="2866" customFormat="false" ht="15" hidden="false" customHeight="false" outlineLevel="0" collapsed="false">
      <c r="A2866" s="62" t="n">
        <v>0</v>
      </c>
      <c r="B2866" s="21" t="s">
        <v>336</v>
      </c>
      <c r="C2866" s="62" t="s">
        <v>60</v>
      </c>
      <c r="D2866" s="62" t="s">
        <v>387</v>
      </c>
      <c r="E2866" s="62" t="s">
        <v>72</v>
      </c>
      <c r="F2866" s="62" t="s">
        <v>382</v>
      </c>
      <c r="G2866" s="63" t="s">
        <v>666</v>
      </c>
      <c r="H2866" s="64" t="n">
        <v>53650000000</v>
      </c>
      <c r="I2866" s="62" t="s">
        <v>81</v>
      </c>
      <c r="J2866" s="64" t="n">
        <v>53650000</v>
      </c>
      <c r="K2866" s="62" t="s">
        <v>138</v>
      </c>
      <c r="L2866" s="68" t="b">
        <f aca="false">FALSE()</f>
        <v>0</v>
      </c>
    </row>
    <row r="2867" customFormat="false" ht="15" hidden="false" customHeight="false" outlineLevel="0" collapsed="false">
      <c r="A2867" s="62" t="n">
        <v>0</v>
      </c>
      <c r="B2867" s="21" t="s">
        <v>336</v>
      </c>
      <c r="C2867" s="62" t="s">
        <v>60</v>
      </c>
      <c r="D2867" s="62" t="s">
        <v>388</v>
      </c>
      <c r="E2867" s="62" t="s">
        <v>72</v>
      </c>
      <c r="F2867" s="62" t="s">
        <v>382</v>
      </c>
      <c r="G2867" s="63" t="s">
        <v>666</v>
      </c>
      <c r="H2867" s="64" t="n">
        <v>53650000000</v>
      </c>
      <c r="I2867" s="62" t="s">
        <v>81</v>
      </c>
      <c r="J2867" s="64" t="n">
        <v>53650000</v>
      </c>
      <c r="K2867" s="62" t="s">
        <v>138</v>
      </c>
      <c r="L2867" s="68" t="b">
        <f aca="false">FALSE()</f>
        <v>0</v>
      </c>
    </row>
    <row r="2868" customFormat="false" ht="15" hidden="false" customHeight="false" outlineLevel="0" collapsed="false">
      <c r="A2868" s="62" t="n">
        <v>0</v>
      </c>
      <c r="B2868" s="21" t="s">
        <v>336</v>
      </c>
      <c r="C2868" s="62" t="s">
        <v>60</v>
      </c>
      <c r="D2868" s="62" t="s">
        <v>381</v>
      </c>
      <c r="E2868" s="62" t="s">
        <v>72</v>
      </c>
      <c r="F2868" s="62" t="s">
        <v>382</v>
      </c>
      <c r="G2868" s="63" t="s">
        <v>667</v>
      </c>
      <c r="H2868" s="64" t="n">
        <v>2773148518.66604</v>
      </c>
      <c r="I2868" s="62" t="s">
        <v>81</v>
      </c>
      <c r="J2868" s="64" t="n">
        <v>2773148.51866604</v>
      </c>
      <c r="K2868" s="62" t="s">
        <v>138</v>
      </c>
      <c r="L2868" s="68" t="b">
        <f aca="false">FALSE()</f>
        <v>0</v>
      </c>
    </row>
    <row r="2869" customFormat="false" ht="15" hidden="false" customHeight="false" outlineLevel="0" collapsed="false">
      <c r="A2869" s="62" t="n">
        <v>0</v>
      </c>
      <c r="B2869" s="21" t="s">
        <v>336</v>
      </c>
      <c r="C2869" s="62" t="s">
        <v>60</v>
      </c>
      <c r="D2869" s="62" t="s">
        <v>383</v>
      </c>
      <c r="E2869" s="62" t="s">
        <v>72</v>
      </c>
      <c r="F2869" s="62" t="s">
        <v>382</v>
      </c>
      <c r="G2869" s="63" t="s">
        <v>667</v>
      </c>
      <c r="H2869" s="64" t="n">
        <v>2773148518.66604</v>
      </c>
      <c r="I2869" s="62" t="s">
        <v>81</v>
      </c>
      <c r="J2869" s="64" t="n">
        <v>2773148.51866604</v>
      </c>
      <c r="K2869" s="62" t="s">
        <v>138</v>
      </c>
      <c r="L2869" s="68" t="b">
        <f aca="false">FALSE()</f>
        <v>0</v>
      </c>
    </row>
    <row r="2870" customFormat="false" ht="15" hidden="false" customHeight="false" outlineLevel="0" collapsed="false">
      <c r="A2870" s="62" t="n">
        <v>0</v>
      </c>
      <c r="B2870" s="21" t="s">
        <v>336</v>
      </c>
      <c r="C2870" s="62" t="s">
        <v>60</v>
      </c>
      <c r="D2870" s="62" t="s">
        <v>384</v>
      </c>
      <c r="E2870" s="62" t="s">
        <v>72</v>
      </c>
      <c r="F2870" s="62" t="s">
        <v>382</v>
      </c>
      <c r="G2870" s="63" t="s">
        <v>667</v>
      </c>
      <c r="H2870" s="64" t="n">
        <v>2773148518.66604</v>
      </c>
      <c r="I2870" s="62" t="s">
        <v>81</v>
      </c>
      <c r="J2870" s="64" t="n">
        <v>2773148.51866604</v>
      </c>
      <c r="K2870" s="62" t="s">
        <v>138</v>
      </c>
      <c r="L2870" s="68" t="b">
        <f aca="false">FALSE()</f>
        <v>0</v>
      </c>
    </row>
    <row r="2871" customFormat="false" ht="15" hidden="false" customHeight="false" outlineLevel="0" collapsed="false">
      <c r="A2871" s="62" t="n">
        <v>0</v>
      </c>
      <c r="B2871" s="21" t="s">
        <v>336</v>
      </c>
      <c r="C2871" s="62" t="s">
        <v>60</v>
      </c>
      <c r="D2871" s="62" t="s">
        <v>385</v>
      </c>
      <c r="E2871" s="62" t="s">
        <v>72</v>
      </c>
      <c r="F2871" s="62" t="s">
        <v>382</v>
      </c>
      <c r="G2871" s="63" t="s">
        <v>667</v>
      </c>
      <c r="H2871" s="64" t="n">
        <v>2773148518.66604</v>
      </c>
      <c r="I2871" s="62" t="s">
        <v>81</v>
      </c>
      <c r="J2871" s="64" t="n">
        <v>2773148.51866604</v>
      </c>
      <c r="K2871" s="62" t="s">
        <v>138</v>
      </c>
      <c r="L2871" s="68" t="b">
        <f aca="false">FALSE()</f>
        <v>0</v>
      </c>
    </row>
    <row r="2872" customFormat="false" ht="15" hidden="false" customHeight="false" outlineLevel="0" collapsed="false">
      <c r="A2872" s="62" t="n">
        <v>0</v>
      </c>
      <c r="B2872" s="21" t="s">
        <v>336</v>
      </c>
      <c r="C2872" s="62" t="s">
        <v>60</v>
      </c>
      <c r="D2872" s="62" t="s">
        <v>386</v>
      </c>
      <c r="E2872" s="62" t="s">
        <v>72</v>
      </c>
      <c r="F2872" s="62" t="s">
        <v>382</v>
      </c>
      <c r="G2872" s="63" t="s">
        <v>667</v>
      </c>
      <c r="H2872" s="64" t="n">
        <v>2773148518.66604</v>
      </c>
      <c r="I2872" s="62" t="s">
        <v>81</v>
      </c>
      <c r="J2872" s="64" t="n">
        <v>2773148.51866604</v>
      </c>
      <c r="K2872" s="62" t="s">
        <v>138</v>
      </c>
      <c r="L2872" s="68" t="b">
        <f aca="false">FALSE()</f>
        <v>0</v>
      </c>
    </row>
    <row r="2873" customFormat="false" ht="15" hidden="false" customHeight="false" outlineLevel="0" collapsed="false">
      <c r="A2873" s="62" t="n">
        <v>0</v>
      </c>
      <c r="B2873" s="21" t="s">
        <v>336</v>
      </c>
      <c r="C2873" s="62" t="s">
        <v>60</v>
      </c>
      <c r="D2873" s="62" t="s">
        <v>387</v>
      </c>
      <c r="E2873" s="62" t="s">
        <v>72</v>
      </c>
      <c r="F2873" s="62" t="s">
        <v>382</v>
      </c>
      <c r="G2873" s="63" t="s">
        <v>667</v>
      </c>
      <c r="H2873" s="64" t="n">
        <v>2773148518.66604</v>
      </c>
      <c r="I2873" s="62" t="s">
        <v>81</v>
      </c>
      <c r="J2873" s="64" t="n">
        <v>2773148.51866604</v>
      </c>
      <c r="K2873" s="62" t="s">
        <v>138</v>
      </c>
      <c r="L2873" s="68" t="b">
        <f aca="false">FALSE()</f>
        <v>0</v>
      </c>
    </row>
    <row r="2874" customFormat="false" ht="15" hidden="false" customHeight="false" outlineLevel="0" collapsed="false">
      <c r="A2874" s="62" t="n">
        <v>0</v>
      </c>
      <c r="B2874" s="21" t="s">
        <v>336</v>
      </c>
      <c r="C2874" s="62" t="s">
        <v>60</v>
      </c>
      <c r="D2874" s="62" t="s">
        <v>388</v>
      </c>
      <c r="E2874" s="62" t="s">
        <v>72</v>
      </c>
      <c r="F2874" s="62" t="s">
        <v>382</v>
      </c>
      <c r="G2874" s="63" t="s">
        <v>667</v>
      </c>
      <c r="H2874" s="64" t="n">
        <v>2773148518.66604</v>
      </c>
      <c r="I2874" s="62" t="s">
        <v>81</v>
      </c>
      <c r="J2874" s="64" t="n">
        <v>2773148.51866604</v>
      </c>
      <c r="K2874" s="62" t="s">
        <v>138</v>
      </c>
      <c r="L2874" s="68" t="b">
        <f aca="false">FALSE()</f>
        <v>0</v>
      </c>
    </row>
    <row r="2875" customFormat="false" ht="15" hidden="false" customHeight="false" outlineLevel="0" collapsed="false">
      <c r="A2875" s="62" t="n">
        <v>0</v>
      </c>
      <c r="B2875" s="21" t="s">
        <v>336</v>
      </c>
      <c r="C2875" s="62" t="s">
        <v>60</v>
      </c>
      <c r="D2875" s="62" t="s">
        <v>381</v>
      </c>
      <c r="E2875" s="62" t="s">
        <v>72</v>
      </c>
      <c r="F2875" s="62" t="s">
        <v>382</v>
      </c>
      <c r="G2875" s="63" t="s">
        <v>668</v>
      </c>
      <c r="H2875" s="64" t="n">
        <v>32307180242.4594</v>
      </c>
      <c r="I2875" s="62" t="s">
        <v>81</v>
      </c>
      <c r="J2875" s="64" t="n">
        <v>32307180.2424594</v>
      </c>
      <c r="K2875" s="62" t="s">
        <v>138</v>
      </c>
      <c r="L2875" s="68" t="b">
        <f aca="false">FALSE()</f>
        <v>0</v>
      </c>
    </row>
    <row r="2876" customFormat="false" ht="15" hidden="false" customHeight="false" outlineLevel="0" collapsed="false">
      <c r="A2876" s="62" t="n">
        <v>0</v>
      </c>
      <c r="B2876" s="21" t="s">
        <v>336</v>
      </c>
      <c r="C2876" s="62" t="s">
        <v>60</v>
      </c>
      <c r="D2876" s="62" t="s">
        <v>383</v>
      </c>
      <c r="E2876" s="62" t="s">
        <v>72</v>
      </c>
      <c r="F2876" s="62" t="s">
        <v>382</v>
      </c>
      <c r="G2876" s="63" t="s">
        <v>668</v>
      </c>
      <c r="H2876" s="64" t="n">
        <v>32307180242.4594</v>
      </c>
      <c r="I2876" s="62" t="s">
        <v>81</v>
      </c>
      <c r="J2876" s="64" t="n">
        <v>32307180.2424594</v>
      </c>
      <c r="K2876" s="62" t="s">
        <v>138</v>
      </c>
      <c r="L2876" s="68" t="b">
        <f aca="false">FALSE()</f>
        <v>0</v>
      </c>
    </row>
    <row r="2877" customFormat="false" ht="15" hidden="false" customHeight="false" outlineLevel="0" collapsed="false">
      <c r="A2877" s="62" t="n">
        <v>0</v>
      </c>
      <c r="B2877" s="21" t="s">
        <v>336</v>
      </c>
      <c r="C2877" s="62" t="s">
        <v>60</v>
      </c>
      <c r="D2877" s="62" t="s">
        <v>384</v>
      </c>
      <c r="E2877" s="62" t="s">
        <v>72</v>
      </c>
      <c r="F2877" s="62" t="s">
        <v>382</v>
      </c>
      <c r="G2877" s="63" t="s">
        <v>668</v>
      </c>
      <c r="H2877" s="64" t="n">
        <v>32307180242.4594</v>
      </c>
      <c r="I2877" s="62" t="s">
        <v>81</v>
      </c>
      <c r="J2877" s="64" t="n">
        <v>32307180.2424594</v>
      </c>
      <c r="K2877" s="62" t="s">
        <v>138</v>
      </c>
      <c r="L2877" s="68" t="b">
        <f aca="false">FALSE()</f>
        <v>0</v>
      </c>
    </row>
    <row r="2878" customFormat="false" ht="15" hidden="false" customHeight="false" outlineLevel="0" collapsed="false">
      <c r="A2878" s="62" t="n">
        <v>0</v>
      </c>
      <c r="B2878" s="21" t="s">
        <v>336</v>
      </c>
      <c r="C2878" s="62" t="s">
        <v>60</v>
      </c>
      <c r="D2878" s="62" t="s">
        <v>385</v>
      </c>
      <c r="E2878" s="62" t="s">
        <v>72</v>
      </c>
      <c r="F2878" s="62" t="s">
        <v>382</v>
      </c>
      <c r="G2878" s="63" t="s">
        <v>668</v>
      </c>
      <c r="H2878" s="64" t="n">
        <v>32307180242.4594</v>
      </c>
      <c r="I2878" s="62" t="s">
        <v>81</v>
      </c>
      <c r="J2878" s="64" t="n">
        <v>32307180.2424594</v>
      </c>
      <c r="K2878" s="62" t="s">
        <v>138</v>
      </c>
      <c r="L2878" s="68" t="b">
        <f aca="false">FALSE()</f>
        <v>0</v>
      </c>
    </row>
    <row r="2879" customFormat="false" ht="15" hidden="false" customHeight="false" outlineLevel="0" collapsed="false">
      <c r="A2879" s="62" t="n">
        <v>0</v>
      </c>
      <c r="B2879" s="21" t="s">
        <v>336</v>
      </c>
      <c r="C2879" s="62" t="s">
        <v>60</v>
      </c>
      <c r="D2879" s="62" t="s">
        <v>386</v>
      </c>
      <c r="E2879" s="62" t="s">
        <v>72</v>
      </c>
      <c r="F2879" s="62" t="s">
        <v>382</v>
      </c>
      <c r="G2879" s="63" t="s">
        <v>668</v>
      </c>
      <c r="H2879" s="64" t="n">
        <v>32307180242.4594</v>
      </c>
      <c r="I2879" s="62" t="s">
        <v>81</v>
      </c>
      <c r="J2879" s="64" t="n">
        <v>32307180.2424594</v>
      </c>
      <c r="K2879" s="62" t="s">
        <v>138</v>
      </c>
      <c r="L2879" s="68" t="b">
        <f aca="false">FALSE()</f>
        <v>0</v>
      </c>
    </row>
    <row r="2880" customFormat="false" ht="15" hidden="false" customHeight="false" outlineLevel="0" collapsed="false">
      <c r="A2880" s="62" t="n">
        <v>0</v>
      </c>
      <c r="B2880" s="21" t="s">
        <v>336</v>
      </c>
      <c r="C2880" s="62" t="s">
        <v>60</v>
      </c>
      <c r="D2880" s="62" t="s">
        <v>387</v>
      </c>
      <c r="E2880" s="62" t="s">
        <v>72</v>
      </c>
      <c r="F2880" s="62" t="s">
        <v>382</v>
      </c>
      <c r="G2880" s="63" t="s">
        <v>668</v>
      </c>
      <c r="H2880" s="64" t="n">
        <v>32307180242.4594</v>
      </c>
      <c r="I2880" s="62" t="s">
        <v>81</v>
      </c>
      <c r="J2880" s="64" t="n">
        <v>32307180.2424594</v>
      </c>
      <c r="K2880" s="62" t="s">
        <v>138</v>
      </c>
      <c r="L2880" s="68" t="b">
        <f aca="false">FALSE()</f>
        <v>0</v>
      </c>
    </row>
    <row r="2881" customFormat="false" ht="15" hidden="false" customHeight="false" outlineLevel="0" collapsed="false">
      <c r="A2881" s="62" t="n">
        <v>0</v>
      </c>
      <c r="B2881" s="21" t="s">
        <v>336</v>
      </c>
      <c r="C2881" s="62" t="s">
        <v>60</v>
      </c>
      <c r="D2881" s="62" t="s">
        <v>388</v>
      </c>
      <c r="E2881" s="62" t="s">
        <v>72</v>
      </c>
      <c r="F2881" s="62" t="s">
        <v>382</v>
      </c>
      <c r="G2881" s="63" t="s">
        <v>668</v>
      </c>
      <c r="H2881" s="64" t="n">
        <v>32307180242.4594</v>
      </c>
      <c r="I2881" s="62" t="s">
        <v>81</v>
      </c>
      <c r="J2881" s="64" t="n">
        <v>32307180.2424594</v>
      </c>
      <c r="K2881" s="62" t="s">
        <v>138</v>
      </c>
      <c r="L2881" s="68" t="b">
        <f aca="false">FALSE()</f>
        <v>0</v>
      </c>
    </row>
    <row r="2882" customFormat="false" ht="15" hidden="false" customHeight="false" outlineLevel="0" collapsed="false">
      <c r="A2882" s="62" t="n">
        <v>0</v>
      </c>
      <c r="B2882" s="21" t="s">
        <v>336</v>
      </c>
      <c r="C2882" s="62" t="s">
        <v>60</v>
      </c>
      <c r="D2882" s="62" t="s">
        <v>381</v>
      </c>
      <c r="E2882" s="62" t="s">
        <v>72</v>
      </c>
      <c r="F2882" s="62" t="s">
        <v>382</v>
      </c>
      <c r="G2882" s="63" t="s">
        <v>669</v>
      </c>
      <c r="H2882" s="64" t="n">
        <v>1768080118.66604</v>
      </c>
      <c r="I2882" s="62" t="s">
        <v>81</v>
      </c>
      <c r="J2882" s="64" t="n">
        <v>1768080.11866604</v>
      </c>
      <c r="K2882" s="62" t="s">
        <v>138</v>
      </c>
      <c r="L2882" s="68" t="b">
        <f aca="false">FALSE()</f>
        <v>0</v>
      </c>
    </row>
    <row r="2883" customFormat="false" ht="15" hidden="false" customHeight="false" outlineLevel="0" collapsed="false">
      <c r="A2883" s="62" t="n">
        <v>0</v>
      </c>
      <c r="B2883" s="21" t="s">
        <v>336</v>
      </c>
      <c r="C2883" s="62" t="s">
        <v>60</v>
      </c>
      <c r="D2883" s="62" t="s">
        <v>383</v>
      </c>
      <c r="E2883" s="62" t="s">
        <v>72</v>
      </c>
      <c r="F2883" s="62" t="s">
        <v>382</v>
      </c>
      <c r="G2883" s="63" t="s">
        <v>669</v>
      </c>
      <c r="H2883" s="64" t="n">
        <v>1768080118.66604</v>
      </c>
      <c r="I2883" s="62" t="s">
        <v>81</v>
      </c>
      <c r="J2883" s="64" t="n">
        <v>1768080.11866604</v>
      </c>
      <c r="K2883" s="62" t="s">
        <v>138</v>
      </c>
      <c r="L2883" s="68" t="b">
        <f aca="false">FALSE()</f>
        <v>0</v>
      </c>
    </row>
    <row r="2884" customFormat="false" ht="15" hidden="false" customHeight="false" outlineLevel="0" collapsed="false">
      <c r="A2884" s="62" t="n">
        <v>0</v>
      </c>
      <c r="B2884" s="21" t="s">
        <v>336</v>
      </c>
      <c r="C2884" s="62" t="s">
        <v>60</v>
      </c>
      <c r="D2884" s="62" t="s">
        <v>384</v>
      </c>
      <c r="E2884" s="62" t="s">
        <v>72</v>
      </c>
      <c r="F2884" s="62" t="s">
        <v>382</v>
      </c>
      <c r="G2884" s="63" t="s">
        <v>669</v>
      </c>
      <c r="H2884" s="64" t="n">
        <v>1768080118.66604</v>
      </c>
      <c r="I2884" s="62" t="s">
        <v>81</v>
      </c>
      <c r="J2884" s="64" t="n">
        <v>1768080.11866604</v>
      </c>
      <c r="K2884" s="62" t="s">
        <v>138</v>
      </c>
      <c r="L2884" s="68" t="b">
        <f aca="false">FALSE()</f>
        <v>0</v>
      </c>
    </row>
    <row r="2885" customFormat="false" ht="15" hidden="false" customHeight="false" outlineLevel="0" collapsed="false">
      <c r="A2885" s="62" t="n">
        <v>0</v>
      </c>
      <c r="B2885" s="21" t="s">
        <v>336</v>
      </c>
      <c r="C2885" s="62" t="s">
        <v>60</v>
      </c>
      <c r="D2885" s="62" t="s">
        <v>385</v>
      </c>
      <c r="E2885" s="62" t="s">
        <v>72</v>
      </c>
      <c r="F2885" s="62" t="s">
        <v>382</v>
      </c>
      <c r="G2885" s="63" t="s">
        <v>669</v>
      </c>
      <c r="H2885" s="64" t="n">
        <v>1768080118.66604</v>
      </c>
      <c r="I2885" s="62" t="s">
        <v>81</v>
      </c>
      <c r="J2885" s="64" t="n">
        <v>1768080.11866604</v>
      </c>
      <c r="K2885" s="62" t="s">
        <v>138</v>
      </c>
      <c r="L2885" s="68" t="b">
        <f aca="false">FALSE()</f>
        <v>0</v>
      </c>
    </row>
    <row r="2886" customFormat="false" ht="15" hidden="false" customHeight="false" outlineLevel="0" collapsed="false">
      <c r="A2886" s="62" t="n">
        <v>0</v>
      </c>
      <c r="B2886" s="21" t="s">
        <v>336</v>
      </c>
      <c r="C2886" s="62" t="s">
        <v>60</v>
      </c>
      <c r="D2886" s="62" t="s">
        <v>386</v>
      </c>
      <c r="E2886" s="62" t="s">
        <v>72</v>
      </c>
      <c r="F2886" s="62" t="s">
        <v>382</v>
      </c>
      <c r="G2886" s="63" t="s">
        <v>669</v>
      </c>
      <c r="H2886" s="64" t="n">
        <v>1768080118.66604</v>
      </c>
      <c r="I2886" s="62" t="s">
        <v>81</v>
      </c>
      <c r="J2886" s="64" t="n">
        <v>1768080.11866604</v>
      </c>
      <c r="K2886" s="62" t="s">
        <v>138</v>
      </c>
      <c r="L2886" s="68" t="b">
        <f aca="false">FALSE()</f>
        <v>0</v>
      </c>
    </row>
    <row r="2887" customFormat="false" ht="15" hidden="false" customHeight="false" outlineLevel="0" collapsed="false">
      <c r="A2887" s="62" t="n">
        <v>0</v>
      </c>
      <c r="B2887" s="21" t="s">
        <v>336</v>
      </c>
      <c r="C2887" s="62" t="s">
        <v>60</v>
      </c>
      <c r="D2887" s="62" t="s">
        <v>387</v>
      </c>
      <c r="E2887" s="62" t="s">
        <v>72</v>
      </c>
      <c r="F2887" s="62" t="s">
        <v>382</v>
      </c>
      <c r="G2887" s="63" t="s">
        <v>669</v>
      </c>
      <c r="H2887" s="64" t="n">
        <v>1768080118.66604</v>
      </c>
      <c r="I2887" s="62" t="s">
        <v>81</v>
      </c>
      <c r="J2887" s="64" t="n">
        <v>1768080.11866604</v>
      </c>
      <c r="K2887" s="62" t="s">
        <v>138</v>
      </c>
      <c r="L2887" s="68" t="b">
        <f aca="false">FALSE()</f>
        <v>0</v>
      </c>
    </row>
    <row r="2888" customFormat="false" ht="15" hidden="false" customHeight="false" outlineLevel="0" collapsed="false">
      <c r="A2888" s="62" t="n">
        <v>0</v>
      </c>
      <c r="B2888" s="21" t="s">
        <v>336</v>
      </c>
      <c r="C2888" s="62" t="s">
        <v>60</v>
      </c>
      <c r="D2888" s="62" t="s">
        <v>388</v>
      </c>
      <c r="E2888" s="62" t="s">
        <v>72</v>
      </c>
      <c r="F2888" s="62" t="s">
        <v>382</v>
      </c>
      <c r="G2888" s="63" t="s">
        <v>669</v>
      </c>
      <c r="H2888" s="64" t="n">
        <v>1768080118.66604</v>
      </c>
      <c r="I2888" s="62" t="s">
        <v>81</v>
      </c>
      <c r="J2888" s="64" t="n">
        <v>1768080.11866604</v>
      </c>
      <c r="K2888" s="62" t="s">
        <v>138</v>
      </c>
      <c r="L2888" s="68" t="b">
        <f aca="false">FALSE()</f>
        <v>0</v>
      </c>
    </row>
    <row r="2889" customFormat="false" ht="15" hidden="false" customHeight="false" outlineLevel="0" collapsed="false">
      <c r="A2889" s="62" t="n">
        <v>0</v>
      </c>
      <c r="B2889" s="21" t="s">
        <v>336</v>
      </c>
      <c r="C2889" s="62" t="s">
        <v>60</v>
      </c>
      <c r="D2889" s="62" t="s">
        <v>381</v>
      </c>
      <c r="E2889" s="62" t="s">
        <v>72</v>
      </c>
      <c r="F2889" s="62" t="s">
        <v>382</v>
      </c>
      <c r="G2889" s="63" t="s">
        <v>670</v>
      </c>
      <c r="H2889" s="64" t="n">
        <v>25867012136.0842</v>
      </c>
      <c r="I2889" s="62" t="s">
        <v>81</v>
      </c>
      <c r="J2889" s="64" t="n">
        <v>25867012.1360842</v>
      </c>
      <c r="K2889" s="62" t="s">
        <v>138</v>
      </c>
      <c r="L2889" s="68" t="b">
        <f aca="false">FALSE()</f>
        <v>0</v>
      </c>
    </row>
    <row r="2890" customFormat="false" ht="15" hidden="false" customHeight="false" outlineLevel="0" collapsed="false">
      <c r="A2890" s="62" t="n">
        <v>0</v>
      </c>
      <c r="B2890" s="21" t="s">
        <v>336</v>
      </c>
      <c r="C2890" s="62" t="s">
        <v>60</v>
      </c>
      <c r="D2890" s="62" t="s">
        <v>383</v>
      </c>
      <c r="E2890" s="62" t="s">
        <v>72</v>
      </c>
      <c r="F2890" s="62" t="s">
        <v>382</v>
      </c>
      <c r="G2890" s="63" t="s">
        <v>670</v>
      </c>
      <c r="H2890" s="64" t="n">
        <v>25867012136.0842</v>
      </c>
      <c r="I2890" s="62" t="s">
        <v>81</v>
      </c>
      <c r="J2890" s="64" t="n">
        <v>25867012.1360842</v>
      </c>
      <c r="K2890" s="62" t="s">
        <v>138</v>
      </c>
      <c r="L2890" s="68" t="b">
        <f aca="false">FALSE()</f>
        <v>0</v>
      </c>
    </row>
    <row r="2891" customFormat="false" ht="15" hidden="false" customHeight="false" outlineLevel="0" collapsed="false">
      <c r="A2891" s="62" t="n">
        <v>0</v>
      </c>
      <c r="B2891" s="21" t="s">
        <v>336</v>
      </c>
      <c r="C2891" s="62" t="s">
        <v>60</v>
      </c>
      <c r="D2891" s="62" t="s">
        <v>384</v>
      </c>
      <c r="E2891" s="62" t="s">
        <v>72</v>
      </c>
      <c r="F2891" s="62" t="s">
        <v>382</v>
      </c>
      <c r="G2891" s="63" t="s">
        <v>670</v>
      </c>
      <c r="H2891" s="64" t="n">
        <v>25867012136.0842</v>
      </c>
      <c r="I2891" s="62" t="s">
        <v>81</v>
      </c>
      <c r="J2891" s="64" t="n">
        <v>25867012.1360842</v>
      </c>
      <c r="K2891" s="62" t="s">
        <v>138</v>
      </c>
      <c r="L2891" s="68" t="b">
        <f aca="false">FALSE()</f>
        <v>0</v>
      </c>
    </row>
    <row r="2892" customFormat="false" ht="15" hidden="false" customHeight="false" outlineLevel="0" collapsed="false">
      <c r="A2892" s="62" t="n">
        <v>0</v>
      </c>
      <c r="B2892" s="21" t="s">
        <v>336</v>
      </c>
      <c r="C2892" s="62" t="s">
        <v>60</v>
      </c>
      <c r="D2892" s="62" t="s">
        <v>385</v>
      </c>
      <c r="E2892" s="62" t="s">
        <v>72</v>
      </c>
      <c r="F2892" s="62" t="s">
        <v>382</v>
      </c>
      <c r="G2892" s="63" t="s">
        <v>670</v>
      </c>
      <c r="H2892" s="64" t="n">
        <v>25867012136.0842</v>
      </c>
      <c r="I2892" s="62" t="s">
        <v>81</v>
      </c>
      <c r="J2892" s="64" t="n">
        <v>25867012.1360842</v>
      </c>
      <c r="K2892" s="62" t="s">
        <v>138</v>
      </c>
      <c r="L2892" s="68" t="b">
        <f aca="false">FALSE()</f>
        <v>0</v>
      </c>
    </row>
    <row r="2893" customFormat="false" ht="15" hidden="false" customHeight="false" outlineLevel="0" collapsed="false">
      <c r="A2893" s="62" t="n">
        <v>0</v>
      </c>
      <c r="B2893" s="21" t="s">
        <v>336</v>
      </c>
      <c r="C2893" s="62" t="s">
        <v>60</v>
      </c>
      <c r="D2893" s="62" t="s">
        <v>386</v>
      </c>
      <c r="E2893" s="62" t="s">
        <v>72</v>
      </c>
      <c r="F2893" s="62" t="s">
        <v>382</v>
      </c>
      <c r="G2893" s="63" t="s">
        <v>670</v>
      </c>
      <c r="H2893" s="64" t="n">
        <v>25867012136.0842</v>
      </c>
      <c r="I2893" s="62" t="s">
        <v>81</v>
      </c>
      <c r="J2893" s="64" t="n">
        <v>25867012.1360842</v>
      </c>
      <c r="K2893" s="62" t="s">
        <v>138</v>
      </c>
      <c r="L2893" s="68" t="b">
        <f aca="false">FALSE()</f>
        <v>0</v>
      </c>
    </row>
    <row r="2894" customFormat="false" ht="15" hidden="false" customHeight="false" outlineLevel="0" collapsed="false">
      <c r="A2894" s="62" t="n">
        <v>0</v>
      </c>
      <c r="B2894" s="21" t="s">
        <v>336</v>
      </c>
      <c r="C2894" s="62" t="s">
        <v>60</v>
      </c>
      <c r="D2894" s="62" t="s">
        <v>387</v>
      </c>
      <c r="E2894" s="62" t="s">
        <v>72</v>
      </c>
      <c r="F2894" s="62" t="s">
        <v>382</v>
      </c>
      <c r="G2894" s="63" t="s">
        <v>670</v>
      </c>
      <c r="H2894" s="64" t="n">
        <v>25867012136.0842</v>
      </c>
      <c r="I2894" s="62" t="s">
        <v>81</v>
      </c>
      <c r="J2894" s="64" t="n">
        <v>25867012.1360842</v>
      </c>
      <c r="K2894" s="62" t="s">
        <v>138</v>
      </c>
      <c r="L2894" s="68" t="b">
        <f aca="false">FALSE()</f>
        <v>0</v>
      </c>
    </row>
    <row r="2895" customFormat="false" ht="15" hidden="false" customHeight="false" outlineLevel="0" collapsed="false">
      <c r="A2895" s="62" t="n">
        <v>0</v>
      </c>
      <c r="B2895" s="21" t="s">
        <v>336</v>
      </c>
      <c r="C2895" s="62" t="s">
        <v>60</v>
      </c>
      <c r="D2895" s="62" t="s">
        <v>388</v>
      </c>
      <c r="E2895" s="62" t="s">
        <v>72</v>
      </c>
      <c r="F2895" s="62" t="s">
        <v>382</v>
      </c>
      <c r="G2895" s="63" t="s">
        <v>670</v>
      </c>
      <c r="H2895" s="64" t="n">
        <v>25867012136.0842</v>
      </c>
      <c r="I2895" s="62" t="s">
        <v>81</v>
      </c>
      <c r="J2895" s="64" t="n">
        <v>25867012.1360842</v>
      </c>
      <c r="K2895" s="62" t="s">
        <v>138</v>
      </c>
      <c r="L2895" s="68" t="b">
        <f aca="false">FALSE()</f>
        <v>0</v>
      </c>
    </row>
    <row r="2896" customFormat="false" ht="15" hidden="false" customHeight="false" outlineLevel="0" collapsed="false">
      <c r="A2896" s="62" t="n">
        <v>0</v>
      </c>
      <c r="B2896" s="21" t="s">
        <v>336</v>
      </c>
      <c r="C2896" s="62" t="s">
        <v>60</v>
      </c>
      <c r="D2896" s="62" t="s">
        <v>381</v>
      </c>
      <c r="E2896" s="62" t="s">
        <v>72</v>
      </c>
      <c r="F2896" s="62" t="s">
        <v>382</v>
      </c>
      <c r="G2896" s="63" t="s">
        <v>671</v>
      </c>
      <c r="H2896" s="64" t="n">
        <v>1495522365.86083</v>
      </c>
      <c r="I2896" s="62" t="s">
        <v>81</v>
      </c>
      <c r="J2896" s="64" t="n">
        <v>1495522.36586083</v>
      </c>
      <c r="K2896" s="62" t="s">
        <v>138</v>
      </c>
      <c r="L2896" s="68" t="b">
        <f aca="false">FALSE()</f>
        <v>0</v>
      </c>
    </row>
    <row r="2897" customFormat="false" ht="15" hidden="false" customHeight="false" outlineLevel="0" collapsed="false">
      <c r="A2897" s="62" t="n">
        <v>0</v>
      </c>
      <c r="B2897" s="21" t="s">
        <v>336</v>
      </c>
      <c r="C2897" s="62" t="s">
        <v>60</v>
      </c>
      <c r="D2897" s="62" t="s">
        <v>383</v>
      </c>
      <c r="E2897" s="62" t="s">
        <v>72</v>
      </c>
      <c r="F2897" s="62" t="s">
        <v>382</v>
      </c>
      <c r="G2897" s="63" t="s">
        <v>671</v>
      </c>
      <c r="H2897" s="64" t="n">
        <v>1495522365.86083</v>
      </c>
      <c r="I2897" s="62" t="s">
        <v>81</v>
      </c>
      <c r="J2897" s="64" t="n">
        <v>1495522.36586083</v>
      </c>
      <c r="K2897" s="62" t="s">
        <v>138</v>
      </c>
      <c r="L2897" s="68" t="b">
        <f aca="false">FALSE()</f>
        <v>0</v>
      </c>
    </row>
    <row r="2898" customFormat="false" ht="15" hidden="false" customHeight="false" outlineLevel="0" collapsed="false">
      <c r="A2898" s="62" t="n">
        <v>0</v>
      </c>
      <c r="B2898" s="21" t="s">
        <v>336</v>
      </c>
      <c r="C2898" s="62" t="s">
        <v>60</v>
      </c>
      <c r="D2898" s="62" t="s">
        <v>384</v>
      </c>
      <c r="E2898" s="62" t="s">
        <v>72</v>
      </c>
      <c r="F2898" s="62" t="s">
        <v>382</v>
      </c>
      <c r="G2898" s="63" t="s">
        <v>671</v>
      </c>
      <c r="H2898" s="64" t="n">
        <v>1495522365.86083</v>
      </c>
      <c r="I2898" s="62" t="s">
        <v>81</v>
      </c>
      <c r="J2898" s="64" t="n">
        <v>1495522.36586083</v>
      </c>
      <c r="K2898" s="62" t="s">
        <v>138</v>
      </c>
      <c r="L2898" s="68" t="b">
        <f aca="false">FALSE()</f>
        <v>0</v>
      </c>
    </row>
    <row r="2899" customFormat="false" ht="15" hidden="false" customHeight="false" outlineLevel="0" collapsed="false">
      <c r="A2899" s="62" t="n">
        <v>0</v>
      </c>
      <c r="B2899" s="21" t="s">
        <v>336</v>
      </c>
      <c r="C2899" s="62" t="s">
        <v>60</v>
      </c>
      <c r="D2899" s="62" t="s">
        <v>385</v>
      </c>
      <c r="E2899" s="62" t="s">
        <v>72</v>
      </c>
      <c r="F2899" s="62" t="s">
        <v>382</v>
      </c>
      <c r="G2899" s="63" t="s">
        <v>671</v>
      </c>
      <c r="H2899" s="64" t="n">
        <v>1495522365.86083</v>
      </c>
      <c r="I2899" s="62" t="s">
        <v>81</v>
      </c>
      <c r="J2899" s="64" t="n">
        <v>1495522.36586083</v>
      </c>
      <c r="K2899" s="62" t="s">
        <v>138</v>
      </c>
      <c r="L2899" s="68" t="b">
        <f aca="false">FALSE()</f>
        <v>0</v>
      </c>
    </row>
    <row r="2900" customFormat="false" ht="15" hidden="false" customHeight="false" outlineLevel="0" collapsed="false">
      <c r="A2900" s="62" t="n">
        <v>0</v>
      </c>
      <c r="B2900" s="21" t="s">
        <v>336</v>
      </c>
      <c r="C2900" s="62" t="s">
        <v>60</v>
      </c>
      <c r="D2900" s="62" t="s">
        <v>386</v>
      </c>
      <c r="E2900" s="62" t="s">
        <v>72</v>
      </c>
      <c r="F2900" s="62" t="s">
        <v>382</v>
      </c>
      <c r="G2900" s="63" t="s">
        <v>671</v>
      </c>
      <c r="H2900" s="64" t="n">
        <v>1495522365.86083</v>
      </c>
      <c r="I2900" s="62" t="s">
        <v>81</v>
      </c>
      <c r="J2900" s="64" t="n">
        <v>1495522.36586083</v>
      </c>
      <c r="K2900" s="62" t="s">
        <v>138</v>
      </c>
      <c r="L2900" s="68" t="b">
        <f aca="false">FALSE()</f>
        <v>0</v>
      </c>
    </row>
    <row r="2901" customFormat="false" ht="15" hidden="false" customHeight="false" outlineLevel="0" collapsed="false">
      <c r="A2901" s="62" t="n">
        <v>0</v>
      </c>
      <c r="B2901" s="21" t="s">
        <v>336</v>
      </c>
      <c r="C2901" s="62" t="s">
        <v>60</v>
      </c>
      <c r="D2901" s="62" t="s">
        <v>387</v>
      </c>
      <c r="E2901" s="62" t="s">
        <v>72</v>
      </c>
      <c r="F2901" s="62" t="s">
        <v>382</v>
      </c>
      <c r="G2901" s="63" t="s">
        <v>671</v>
      </c>
      <c r="H2901" s="64" t="n">
        <v>1495522365.86083</v>
      </c>
      <c r="I2901" s="62" t="s">
        <v>81</v>
      </c>
      <c r="J2901" s="64" t="n">
        <v>1495522.36586083</v>
      </c>
      <c r="K2901" s="62" t="s">
        <v>138</v>
      </c>
      <c r="L2901" s="68" t="b">
        <f aca="false">FALSE()</f>
        <v>0</v>
      </c>
    </row>
    <row r="2902" customFormat="false" ht="15" hidden="false" customHeight="false" outlineLevel="0" collapsed="false">
      <c r="A2902" s="62" t="n">
        <v>0</v>
      </c>
      <c r="B2902" s="21" t="s">
        <v>336</v>
      </c>
      <c r="C2902" s="62" t="s">
        <v>60</v>
      </c>
      <c r="D2902" s="62" t="s">
        <v>388</v>
      </c>
      <c r="E2902" s="62" t="s">
        <v>72</v>
      </c>
      <c r="F2902" s="62" t="s">
        <v>382</v>
      </c>
      <c r="G2902" s="63" t="s">
        <v>671</v>
      </c>
      <c r="H2902" s="64" t="n">
        <v>1495522365.86083</v>
      </c>
      <c r="I2902" s="62" t="s">
        <v>81</v>
      </c>
      <c r="J2902" s="64" t="n">
        <v>1495522.36586083</v>
      </c>
      <c r="K2902" s="62" t="s">
        <v>138</v>
      </c>
      <c r="L2902" s="68" t="b">
        <f aca="false">FALSE()</f>
        <v>0</v>
      </c>
    </row>
    <row r="2903" customFormat="false" ht="15" hidden="false" customHeight="false" outlineLevel="0" collapsed="false">
      <c r="A2903" s="62" t="n">
        <v>0</v>
      </c>
      <c r="B2903" s="21" t="s">
        <v>336</v>
      </c>
      <c r="C2903" s="62" t="s">
        <v>60</v>
      </c>
      <c r="D2903" s="62" t="s">
        <v>381</v>
      </c>
      <c r="E2903" s="62" t="s">
        <v>72</v>
      </c>
      <c r="F2903" s="62" t="s">
        <v>382</v>
      </c>
      <c r="G2903" s="63" t="s">
        <v>672</v>
      </c>
      <c r="H2903" s="64" t="n">
        <v>25872536929.3923</v>
      </c>
      <c r="I2903" s="62" t="s">
        <v>81</v>
      </c>
      <c r="J2903" s="64" t="n">
        <v>25872536.9293923</v>
      </c>
      <c r="K2903" s="62" t="s">
        <v>138</v>
      </c>
      <c r="L2903" s="68" t="b">
        <f aca="false">FALSE()</f>
        <v>0</v>
      </c>
    </row>
    <row r="2904" customFormat="false" ht="15" hidden="false" customHeight="false" outlineLevel="0" collapsed="false">
      <c r="A2904" s="62" t="n">
        <v>0</v>
      </c>
      <c r="B2904" s="21" t="s">
        <v>336</v>
      </c>
      <c r="C2904" s="62" t="s">
        <v>60</v>
      </c>
      <c r="D2904" s="62" t="s">
        <v>383</v>
      </c>
      <c r="E2904" s="62" t="s">
        <v>72</v>
      </c>
      <c r="F2904" s="62" t="s">
        <v>382</v>
      </c>
      <c r="G2904" s="63" t="s">
        <v>672</v>
      </c>
      <c r="H2904" s="64" t="n">
        <v>25872536929.3923</v>
      </c>
      <c r="I2904" s="62" t="s">
        <v>81</v>
      </c>
      <c r="J2904" s="64" t="n">
        <v>25872536.9293923</v>
      </c>
      <c r="K2904" s="62" t="s">
        <v>138</v>
      </c>
      <c r="L2904" s="68" t="b">
        <f aca="false">FALSE()</f>
        <v>0</v>
      </c>
    </row>
    <row r="2905" customFormat="false" ht="15" hidden="false" customHeight="false" outlineLevel="0" collapsed="false">
      <c r="A2905" s="62" t="n">
        <v>0</v>
      </c>
      <c r="B2905" s="21" t="s">
        <v>336</v>
      </c>
      <c r="C2905" s="62" t="s">
        <v>60</v>
      </c>
      <c r="D2905" s="62" t="s">
        <v>384</v>
      </c>
      <c r="E2905" s="62" t="s">
        <v>72</v>
      </c>
      <c r="F2905" s="62" t="s">
        <v>382</v>
      </c>
      <c r="G2905" s="63" t="s">
        <v>672</v>
      </c>
      <c r="H2905" s="64" t="n">
        <v>25872536929.3923</v>
      </c>
      <c r="I2905" s="62" t="s">
        <v>81</v>
      </c>
      <c r="J2905" s="64" t="n">
        <v>25872536.9293923</v>
      </c>
      <c r="K2905" s="62" t="s">
        <v>138</v>
      </c>
      <c r="L2905" s="68" t="b">
        <f aca="false">FALSE()</f>
        <v>0</v>
      </c>
    </row>
    <row r="2906" customFormat="false" ht="15" hidden="false" customHeight="false" outlineLevel="0" collapsed="false">
      <c r="A2906" s="62" t="n">
        <v>0</v>
      </c>
      <c r="B2906" s="21" t="s">
        <v>336</v>
      </c>
      <c r="C2906" s="62" t="s">
        <v>60</v>
      </c>
      <c r="D2906" s="62" t="s">
        <v>385</v>
      </c>
      <c r="E2906" s="62" t="s">
        <v>72</v>
      </c>
      <c r="F2906" s="62" t="s">
        <v>382</v>
      </c>
      <c r="G2906" s="63" t="s">
        <v>672</v>
      </c>
      <c r="H2906" s="64" t="n">
        <v>25872536929.3923</v>
      </c>
      <c r="I2906" s="62" t="s">
        <v>81</v>
      </c>
      <c r="J2906" s="64" t="n">
        <v>25872536.9293923</v>
      </c>
      <c r="K2906" s="62" t="s">
        <v>138</v>
      </c>
      <c r="L2906" s="68" t="b">
        <f aca="false">FALSE()</f>
        <v>0</v>
      </c>
    </row>
    <row r="2907" customFormat="false" ht="15" hidden="false" customHeight="false" outlineLevel="0" collapsed="false">
      <c r="A2907" s="62" t="n">
        <v>0</v>
      </c>
      <c r="B2907" s="21" t="s">
        <v>336</v>
      </c>
      <c r="C2907" s="62" t="s">
        <v>60</v>
      </c>
      <c r="D2907" s="62" t="s">
        <v>386</v>
      </c>
      <c r="E2907" s="62" t="s">
        <v>72</v>
      </c>
      <c r="F2907" s="62" t="s">
        <v>382</v>
      </c>
      <c r="G2907" s="63" t="s">
        <v>672</v>
      </c>
      <c r="H2907" s="64" t="n">
        <v>25872536929.3923</v>
      </c>
      <c r="I2907" s="62" t="s">
        <v>81</v>
      </c>
      <c r="J2907" s="64" t="n">
        <v>25872536.9293923</v>
      </c>
      <c r="K2907" s="62" t="s">
        <v>138</v>
      </c>
      <c r="L2907" s="68" t="b">
        <f aca="false">FALSE()</f>
        <v>0</v>
      </c>
    </row>
    <row r="2908" customFormat="false" ht="15" hidden="false" customHeight="false" outlineLevel="0" collapsed="false">
      <c r="A2908" s="62" t="n">
        <v>0</v>
      </c>
      <c r="B2908" s="21" t="s">
        <v>336</v>
      </c>
      <c r="C2908" s="62" t="s">
        <v>60</v>
      </c>
      <c r="D2908" s="62" t="s">
        <v>387</v>
      </c>
      <c r="E2908" s="62" t="s">
        <v>72</v>
      </c>
      <c r="F2908" s="62" t="s">
        <v>382</v>
      </c>
      <c r="G2908" s="63" t="s">
        <v>672</v>
      </c>
      <c r="H2908" s="64" t="n">
        <v>25872536929.3923</v>
      </c>
      <c r="I2908" s="62" t="s">
        <v>81</v>
      </c>
      <c r="J2908" s="64" t="n">
        <v>25872536.9293923</v>
      </c>
      <c r="K2908" s="62" t="s">
        <v>138</v>
      </c>
      <c r="L2908" s="68" t="b">
        <f aca="false">FALSE()</f>
        <v>0</v>
      </c>
    </row>
    <row r="2909" customFormat="false" ht="15" hidden="false" customHeight="false" outlineLevel="0" collapsed="false">
      <c r="A2909" s="62" t="n">
        <v>0</v>
      </c>
      <c r="B2909" s="21" t="s">
        <v>336</v>
      </c>
      <c r="C2909" s="62" t="s">
        <v>60</v>
      </c>
      <c r="D2909" s="62" t="s">
        <v>388</v>
      </c>
      <c r="E2909" s="62" t="s">
        <v>72</v>
      </c>
      <c r="F2909" s="62" t="s">
        <v>382</v>
      </c>
      <c r="G2909" s="63" t="s">
        <v>672</v>
      </c>
      <c r="H2909" s="64" t="n">
        <v>25872536929.3923</v>
      </c>
      <c r="I2909" s="62" t="s">
        <v>81</v>
      </c>
      <c r="J2909" s="64" t="n">
        <v>25872536.9293923</v>
      </c>
      <c r="K2909" s="62" t="s">
        <v>138</v>
      </c>
      <c r="L2909" s="68" t="b">
        <f aca="false">FALSE()</f>
        <v>0</v>
      </c>
    </row>
    <row r="2910" customFormat="false" ht="15" hidden="false" customHeight="false" outlineLevel="0" collapsed="false">
      <c r="A2910" s="62" t="n">
        <v>0</v>
      </c>
      <c r="B2910" s="21" t="s">
        <v>336</v>
      </c>
      <c r="C2910" s="62" t="s">
        <v>60</v>
      </c>
      <c r="D2910" s="62" t="s">
        <v>381</v>
      </c>
      <c r="E2910" s="62" t="s">
        <v>72</v>
      </c>
      <c r="F2910" s="62" t="s">
        <v>382</v>
      </c>
      <c r="G2910" s="63" t="s">
        <v>673</v>
      </c>
      <c r="H2910" s="64" t="n">
        <v>19785391129.7046</v>
      </c>
      <c r="I2910" s="62" t="s">
        <v>81</v>
      </c>
      <c r="J2910" s="64" t="n">
        <v>19785391.1297046</v>
      </c>
      <c r="K2910" s="62" t="s">
        <v>138</v>
      </c>
      <c r="L2910" s="68" t="b">
        <f aca="false">FALSE()</f>
        <v>0</v>
      </c>
    </row>
    <row r="2911" customFormat="false" ht="15" hidden="false" customHeight="false" outlineLevel="0" collapsed="false">
      <c r="A2911" s="62" t="n">
        <v>0</v>
      </c>
      <c r="B2911" s="21" t="s">
        <v>336</v>
      </c>
      <c r="C2911" s="62" t="s">
        <v>60</v>
      </c>
      <c r="D2911" s="62" t="s">
        <v>383</v>
      </c>
      <c r="E2911" s="62" t="s">
        <v>72</v>
      </c>
      <c r="F2911" s="62" t="s">
        <v>382</v>
      </c>
      <c r="G2911" s="63" t="s">
        <v>673</v>
      </c>
      <c r="H2911" s="64" t="n">
        <v>19785391129.7046</v>
      </c>
      <c r="I2911" s="62" t="s">
        <v>81</v>
      </c>
      <c r="J2911" s="64" t="n">
        <v>19785391.1297046</v>
      </c>
      <c r="K2911" s="62" t="s">
        <v>138</v>
      </c>
      <c r="L2911" s="68" t="b">
        <f aca="false">FALSE()</f>
        <v>0</v>
      </c>
    </row>
    <row r="2912" customFormat="false" ht="15" hidden="false" customHeight="false" outlineLevel="0" collapsed="false">
      <c r="A2912" s="62" t="n">
        <v>0</v>
      </c>
      <c r="B2912" s="21" t="s">
        <v>336</v>
      </c>
      <c r="C2912" s="62" t="s">
        <v>60</v>
      </c>
      <c r="D2912" s="62" t="s">
        <v>384</v>
      </c>
      <c r="E2912" s="62" t="s">
        <v>72</v>
      </c>
      <c r="F2912" s="62" t="s">
        <v>382</v>
      </c>
      <c r="G2912" s="63" t="s">
        <v>673</v>
      </c>
      <c r="H2912" s="64" t="n">
        <v>19785391129.7046</v>
      </c>
      <c r="I2912" s="62" t="s">
        <v>81</v>
      </c>
      <c r="J2912" s="64" t="n">
        <v>19785391.1297046</v>
      </c>
      <c r="K2912" s="62" t="s">
        <v>138</v>
      </c>
      <c r="L2912" s="68" t="b">
        <f aca="false">FALSE()</f>
        <v>0</v>
      </c>
    </row>
    <row r="2913" customFormat="false" ht="15" hidden="false" customHeight="false" outlineLevel="0" collapsed="false">
      <c r="A2913" s="62" t="n">
        <v>0</v>
      </c>
      <c r="B2913" s="21" t="s">
        <v>336</v>
      </c>
      <c r="C2913" s="62" t="s">
        <v>60</v>
      </c>
      <c r="D2913" s="62" t="s">
        <v>385</v>
      </c>
      <c r="E2913" s="62" t="s">
        <v>72</v>
      </c>
      <c r="F2913" s="62" t="s">
        <v>382</v>
      </c>
      <c r="G2913" s="63" t="s">
        <v>673</v>
      </c>
      <c r="H2913" s="64" t="n">
        <v>19785391129.7046</v>
      </c>
      <c r="I2913" s="62" t="s">
        <v>81</v>
      </c>
      <c r="J2913" s="64" t="n">
        <v>19785391.1297046</v>
      </c>
      <c r="K2913" s="62" t="s">
        <v>138</v>
      </c>
      <c r="L2913" s="68" t="b">
        <f aca="false">FALSE()</f>
        <v>0</v>
      </c>
    </row>
    <row r="2914" customFormat="false" ht="15" hidden="false" customHeight="false" outlineLevel="0" collapsed="false">
      <c r="A2914" s="62" t="n">
        <v>0</v>
      </c>
      <c r="B2914" s="21" t="s">
        <v>336</v>
      </c>
      <c r="C2914" s="62" t="s">
        <v>60</v>
      </c>
      <c r="D2914" s="62" t="s">
        <v>386</v>
      </c>
      <c r="E2914" s="62" t="s">
        <v>72</v>
      </c>
      <c r="F2914" s="62" t="s">
        <v>382</v>
      </c>
      <c r="G2914" s="63" t="s">
        <v>673</v>
      </c>
      <c r="H2914" s="64" t="n">
        <v>19785391129.7046</v>
      </c>
      <c r="I2914" s="62" t="s">
        <v>81</v>
      </c>
      <c r="J2914" s="64" t="n">
        <v>19785391.1297046</v>
      </c>
      <c r="K2914" s="62" t="s">
        <v>138</v>
      </c>
      <c r="L2914" s="68" t="b">
        <f aca="false">FALSE()</f>
        <v>0</v>
      </c>
    </row>
    <row r="2915" customFormat="false" ht="15" hidden="false" customHeight="false" outlineLevel="0" collapsed="false">
      <c r="A2915" s="62" t="n">
        <v>0</v>
      </c>
      <c r="B2915" s="21" t="s">
        <v>336</v>
      </c>
      <c r="C2915" s="62" t="s">
        <v>60</v>
      </c>
      <c r="D2915" s="62" t="s">
        <v>387</v>
      </c>
      <c r="E2915" s="62" t="s">
        <v>72</v>
      </c>
      <c r="F2915" s="62" t="s">
        <v>382</v>
      </c>
      <c r="G2915" s="63" t="s">
        <v>673</v>
      </c>
      <c r="H2915" s="64" t="n">
        <v>19785391129.7046</v>
      </c>
      <c r="I2915" s="62" t="s">
        <v>81</v>
      </c>
      <c r="J2915" s="64" t="n">
        <v>19785391.1297046</v>
      </c>
      <c r="K2915" s="62" t="s">
        <v>138</v>
      </c>
      <c r="L2915" s="68" t="b">
        <f aca="false">FALSE()</f>
        <v>0</v>
      </c>
    </row>
    <row r="2916" customFormat="false" ht="15" hidden="false" customHeight="false" outlineLevel="0" collapsed="false">
      <c r="A2916" s="62" t="n">
        <v>0</v>
      </c>
      <c r="B2916" s="21" t="s">
        <v>336</v>
      </c>
      <c r="C2916" s="62" t="s">
        <v>60</v>
      </c>
      <c r="D2916" s="62" t="s">
        <v>388</v>
      </c>
      <c r="E2916" s="62" t="s">
        <v>72</v>
      </c>
      <c r="F2916" s="62" t="s">
        <v>382</v>
      </c>
      <c r="G2916" s="63" t="s">
        <v>673</v>
      </c>
      <c r="H2916" s="64" t="n">
        <v>19785391129.7046</v>
      </c>
      <c r="I2916" s="62" t="s">
        <v>81</v>
      </c>
      <c r="J2916" s="64" t="n">
        <v>19785391.1297046</v>
      </c>
      <c r="K2916" s="62" t="s">
        <v>138</v>
      </c>
      <c r="L2916" s="68" t="b">
        <f aca="false">FALSE()</f>
        <v>0</v>
      </c>
    </row>
    <row r="2917" customFormat="false" ht="15" hidden="false" customHeight="false" outlineLevel="0" collapsed="false">
      <c r="A2917" s="62" t="n">
        <v>0</v>
      </c>
      <c r="B2917" s="21" t="s">
        <v>336</v>
      </c>
      <c r="C2917" s="62" t="s">
        <v>60</v>
      </c>
      <c r="D2917" s="62" t="s">
        <v>381</v>
      </c>
      <c r="E2917" s="62" t="s">
        <v>72</v>
      </c>
      <c r="F2917" s="62" t="s">
        <v>382</v>
      </c>
      <c r="G2917" s="63" t="s">
        <v>674</v>
      </c>
      <c r="H2917" s="64" t="n">
        <v>363032427.722816</v>
      </c>
      <c r="I2917" s="62" t="s">
        <v>81</v>
      </c>
      <c r="J2917" s="64" t="n">
        <v>363032.427722816</v>
      </c>
      <c r="K2917" s="62" t="s">
        <v>138</v>
      </c>
      <c r="L2917" s="68" t="b">
        <f aca="false">FALSE()</f>
        <v>0</v>
      </c>
    </row>
    <row r="2918" customFormat="false" ht="15" hidden="false" customHeight="false" outlineLevel="0" collapsed="false">
      <c r="A2918" s="62" t="n">
        <v>0</v>
      </c>
      <c r="B2918" s="21" t="s">
        <v>336</v>
      </c>
      <c r="C2918" s="62" t="s">
        <v>60</v>
      </c>
      <c r="D2918" s="62" t="s">
        <v>383</v>
      </c>
      <c r="E2918" s="62" t="s">
        <v>72</v>
      </c>
      <c r="F2918" s="62" t="s">
        <v>382</v>
      </c>
      <c r="G2918" s="63" t="s">
        <v>674</v>
      </c>
      <c r="H2918" s="64" t="n">
        <v>363032427.722816</v>
      </c>
      <c r="I2918" s="62" t="s">
        <v>81</v>
      </c>
      <c r="J2918" s="64" t="n">
        <v>363032.427722816</v>
      </c>
      <c r="K2918" s="62" t="s">
        <v>138</v>
      </c>
      <c r="L2918" s="68" t="b">
        <f aca="false">FALSE()</f>
        <v>0</v>
      </c>
    </row>
    <row r="2919" customFormat="false" ht="15" hidden="false" customHeight="false" outlineLevel="0" collapsed="false">
      <c r="A2919" s="62" t="n">
        <v>0</v>
      </c>
      <c r="B2919" s="21" t="s">
        <v>336</v>
      </c>
      <c r="C2919" s="62" t="s">
        <v>60</v>
      </c>
      <c r="D2919" s="62" t="s">
        <v>384</v>
      </c>
      <c r="E2919" s="62" t="s">
        <v>72</v>
      </c>
      <c r="F2919" s="62" t="s">
        <v>382</v>
      </c>
      <c r="G2919" s="63" t="s">
        <v>674</v>
      </c>
      <c r="H2919" s="64" t="n">
        <v>363032427.722816</v>
      </c>
      <c r="I2919" s="62" t="s">
        <v>81</v>
      </c>
      <c r="J2919" s="64" t="n">
        <v>363032.427722816</v>
      </c>
      <c r="K2919" s="62" t="s">
        <v>138</v>
      </c>
      <c r="L2919" s="68" t="b">
        <f aca="false">FALSE()</f>
        <v>0</v>
      </c>
    </row>
    <row r="2920" customFormat="false" ht="15" hidden="false" customHeight="false" outlineLevel="0" collapsed="false">
      <c r="A2920" s="62" t="n">
        <v>0</v>
      </c>
      <c r="B2920" s="21" t="s">
        <v>336</v>
      </c>
      <c r="C2920" s="62" t="s">
        <v>60</v>
      </c>
      <c r="D2920" s="62" t="s">
        <v>385</v>
      </c>
      <c r="E2920" s="62" t="s">
        <v>72</v>
      </c>
      <c r="F2920" s="62" t="s">
        <v>382</v>
      </c>
      <c r="G2920" s="63" t="s">
        <v>674</v>
      </c>
      <c r="H2920" s="64" t="n">
        <v>363032427.722816</v>
      </c>
      <c r="I2920" s="62" t="s">
        <v>81</v>
      </c>
      <c r="J2920" s="64" t="n">
        <v>363032.427722816</v>
      </c>
      <c r="K2920" s="62" t="s">
        <v>138</v>
      </c>
      <c r="L2920" s="68" t="b">
        <f aca="false">FALSE()</f>
        <v>0</v>
      </c>
    </row>
    <row r="2921" customFormat="false" ht="15" hidden="false" customHeight="false" outlineLevel="0" collapsed="false">
      <c r="A2921" s="62" t="n">
        <v>0</v>
      </c>
      <c r="B2921" s="21" t="s">
        <v>336</v>
      </c>
      <c r="C2921" s="62" t="s">
        <v>60</v>
      </c>
      <c r="D2921" s="62" t="s">
        <v>386</v>
      </c>
      <c r="E2921" s="62" t="s">
        <v>72</v>
      </c>
      <c r="F2921" s="62" t="s">
        <v>382</v>
      </c>
      <c r="G2921" s="63" t="s">
        <v>674</v>
      </c>
      <c r="H2921" s="64" t="n">
        <v>363032427.722816</v>
      </c>
      <c r="I2921" s="62" t="s">
        <v>81</v>
      </c>
      <c r="J2921" s="64" t="n">
        <v>363032.427722816</v>
      </c>
      <c r="K2921" s="62" t="s">
        <v>138</v>
      </c>
      <c r="L2921" s="68" t="b">
        <f aca="false">FALSE()</f>
        <v>0</v>
      </c>
    </row>
    <row r="2922" customFormat="false" ht="15" hidden="false" customHeight="false" outlineLevel="0" collapsed="false">
      <c r="A2922" s="62" t="n">
        <v>0</v>
      </c>
      <c r="B2922" s="21" t="s">
        <v>336</v>
      </c>
      <c r="C2922" s="62" t="s">
        <v>60</v>
      </c>
      <c r="D2922" s="62" t="s">
        <v>387</v>
      </c>
      <c r="E2922" s="62" t="s">
        <v>72</v>
      </c>
      <c r="F2922" s="62" t="s">
        <v>382</v>
      </c>
      <c r="G2922" s="63" t="s">
        <v>674</v>
      </c>
      <c r="H2922" s="64" t="n">
        <v>363032427.722816</v>
      </c>
      <c r="I2922" s="62" t="s">
        <v>81</v>
      </c>
      <c r="J2922" s="64" t="n">
        <v>363032.427722816</v>
      </c>
      <c r="K2922" s="62" t="s">
        <v>138</v>
      </c>
      <c r="L2922" s="68" t="b">
        <f aca="false">FALSE()</f>
        <v>0</v>
      </c>
    </row>
    <row r="2923" customFormat="false" ht="15" hidden="false" customHeight="false" outlineLevel="0" collapsed="false">
      <c r="A2923" s="62" t="n">
        <v>0</v>
      </c>
      <c r="B2923" s="21" t="s">
        <v>336</v>
      </c>
      <c r="C2923" s="62" t="s">
        <v>60</v>
      </c>
      <c r="D2923" s="62" t="s">
        <v>388</v>
      </c>
      <c r="E2923" s="62" t="s">
        <v>72</v>
      </c>
      <c r="F2923" s="62" t="s">
        <v>382</v>
      </c>
      <c r="G2923" s="63" t="s">
        <v>674</v>
      </c>
      <c r="H2923" s="64" t="n">
        <v>363032427.722816</v>
      </c>
      <c r="I2923" s="62" t="s">
        <v>81</v>
      </c>
      <c r="J2923" s="64" t="n">
        <v>363032.427722816</v>
      </c>
      <c r="K2923" s="62" t="s">
        <v>138</v>
      </c>
      <c r="L2923" s="68" t="b">
        <f aca="false">FALSE()</f>
        <v>0</v>
      </c>
    </row>
    <row r="2924" customFormat="false" ht="15" hidden="false" customHeight="false" outlineLevel="0" collapsed="false">
      <c r="A2924" s="62" t="n">
        <v>0</v>
      </c>
      <c r="B2924" s="21" t="s">
        <v>336</v>
      </c>
      <c r="C2924" s="62" t="s">
        <v>60</v>
      </c>
      <c r="D2924" s="62" t="s">
        <v>381</v>
      </c>
      <c r="E2924" s="62" t="s">
        <v>72</v>
      </c>
      <c r="F2924" s="62" t="s">
        <v>382</v>
      </c>
      <c r="G2924" s="63" t="s">
        <v>675</v>
      </c>
      <c r="H2924" s="64" t="n">
        <v>600000000</v>
      </c>
      <c r="I2924" s="62" t="s">
        <v>81</v>
      </c>
      <c r="J2924" s="64" t="n">
        <v>600000</v>
      </c>
      <c r="K2924" s="62" t="s">
        <v>138</v>
      </c>
      <c r="L2924" s="68" t="b">
        <f aca="false">FALSE()</f>
        <v>0</v>
      </c>
    </row>
    <row r="2925" customFormat="false" ht="15" hidden="false" customHeight="false" outlineLevel="0" collapsed="false">
      <c r="A2925" s="62" t="n">
        <v>0</v>
      </c>
      <c r="B2925" s="21" t="s">
        <v>336</v>
      </c>
      <c r="C2925" s="62" t="s">
        <v>60</v>
      </c>
      <c r="D2925" s="62" t="s">
        <v>383</v>
      </c>
      <c r="E2925" s="62" t="s">
        <v>72</v>
      </c>
      <c r="F2925" s="62" t="s">
        <v>382</v>
      </c>
      <c r="G2925" s="63" t="s">
        <v>675</v>
      </c>
      <c r="H2925" s="64" t="n">
        <v>600000000</v>
      </c>
      <c r="I2925" s="62" t="s">
        <v>81</v>
      </c>
      <c r="J2925" s="64" t="n">
        <v>600000</v>
      </c>
      <c r="K2925" s="62" t="s">
        <v>138</v>
      </c>
      <c r="L2925" s="68" t="b">
        <f aca="false">FALSE()</f>
        <v>0</v>
      </c>
    </row>
    <row r="2926" customFormat="false" ht="15" hidden="false" customHeight="false" outlineLevel="0" collapsed="false">
      <c r="A2926" s="62" t="n">
        <v>0</v>
      </c>
      <c r="B2926" s="21" t="s">
        <v>336</v>
      </c>
      <c r="C2926" s="62" t="s">
        <v>60</v>
      </c>
      <c r="D2926" s="62" t="s">
        <v>384</v>
      </c>
      <c r="E2926" s="62" t="s">
        <v>72</v>
      </c>
      <c r="F2926" s="62" t="s">
        <v>382</v>
      </c>
      <c r="G2926" s="63" t="s">
        <v>675</v>
      </c>
      <c r="H2926" s="64" t="n">
        <v>600000000</v>
      </c>
      <c r="I2926" s="62" t="s">
        <v>81</v>
      </c>
      <c r="J2926" s="64" t="n">
        <v>600000</v>
      </c>
      <c r="K2926" s="62" t="s">
        <v>138</v>
      </c>
      <c r="L2926" s="68" t="b">
        <f aca="false">FALSE()</f>
        <v>0</v>
      </c>
    </row>
    <row r="2927" customFormat="false" ht="15" hidden="false" customHeight="false" outlineLevel="0" collapsed="false">
      <c r="A2927" s="62" t="n">
        <v>0</v>
      </c>
      <c r="B2927" s="21" t="s">
        <v>336</v>
      </c>
      <c r="C2927" s="62" t="s">
        <v>60</v>
      </c>
      <c r="D2927" s="62" t="s">
        <v>385</v>
      </c>
      <c r="E2927" s="62" t="s">
        <v>72</v>
      </c>
      <c r="F2927" s="62" t="s">
        <v>382</v>
      </c>
      <c r="G2927" s="63" t="s">
        <v>675</v>
      </c>
      <c r="H2927" s="64" t="n">
        <v>600000000</v>
      </c>
      <c r="I2927" s="62" t="s">
        <v>81</v>
      </c>
      <c r="J2927" s="64" t="n">
        <v>600000</v>
      </c>
      <c r="K2927" s="62" t="s">
        <v>138</v>
      </c>
      <c r="L2927" s="68" t="b">
        <f aca="false">FALSE()</f>
        <v>0</v>
      </c>
    </row>
    <row r="2928" customFormat="false" ht="15" hidden="false" customHeight="false" outlineLevel="0" collapsed="false">
      <c r="A2928" s="62" t="n">
        <v>0</v>
      </c>
      <c r="B2928" s="21" t="s">
        <v>336</v>
      </c>
      <c r="C2928" s="62" t="s">
        <v>60</v>
      </c>
      <c r="D2928" s="62" t="s">
        <v>386</v>
      </c>
      <c r="E2928" s="62" t="s">
        <v>72</v>
      </c>
      <c r="F2928" s="62" t="s">
        <v>382</v>
      </c>
      <c r="G2928" s="63" t="s">
        <v>675</v>
      </c>
      <c r="H2928" s="64" t="n">
        <v>600000000</v>
      </c>
      <c r="I2928" s="62" t="s">
        <v>81</v>
      </c>
      <c r="J2928" s="64" t="n">
        <v>600000</v>
      </c>
      <c r="K2928" s="62" t="s">
        <v>138</v>
      </c>
      <c r="L2928" s="68" t="b">
        <f aca="false">FALSE()</f>
        <v>0</v>
      </c>
    </row>
    <row r="2929" customFormat="false" ht="15" hidden="false" customHeight="false" outlineLevel="0" collapsed="false">
      <c r="A2929" s="62" t="n">
        <v>0</v>
      </c>
      <c r="B2929" s="21" t="s">
        <v>336</v>
      </c>
      <c r="C2929" s="62" t="s">
        <v>60</v>
      </c>
      <c r="D2929" s="62" t="s">
        <v>387</v>
      </c>
      <c r="E2929" s="62" t="s">
        <v>72</v>
      </c>
      <c r="F2929" s="62" t="s">
        <v>382</v>
      </c>
      <c r="G2929" s="63" t="s">
        <v>675</v>
      </c>
      <c r="H2929" s="64" t="n">
        <v>600000000</v>
      </c>
      <c r="I2929" s="62" t="s">
        <v>81</v>
      </c>
      <c r="J2929" s="64" t="n">
        <v>600000</v>
      </c>
      <c r="K2929" s="62" t="s">
        <v>138</v>
      </c>
      <c r="L2929" s="68" t="b">
        <f aca="false">FALSE()</f>
        <v>0</v>
      </c>
    </row>
    <row r="2930" customFormat="false" ht="15" hidden="false" customHeight="false" outlineLevel="0" collapsed="false">
      <c r="A2930" s="62" t="n">
        <v>0</v>
      </c>
      <c r="B2930" s="21" t="s">
        <v>336</v>
      </c>
      <c r="C2930" s="62" t="s">
        <v>60</v>
      </c>
      <c r="D2930" s="62" t="s">
        <v>388</v>
      </c>
      <c r="E2930" s="62" t="s">
        <v>72</v>
      </c>
      <c r="F2930" s="62" t="s">
        <v>382</v>
      </c>
      <c r="G2930" s="63" t="s">
        <v>675</v>
      </c>
      <c r="H2930" s="64" t="n">
        <v>600000000</v>
      </c>
      <c r="I2930" s="62" t="s">
        <v>81</v>
      </c>
      <c r="J2930" s="64" t="n">
        <v>600000</v>
      </c>
      <c r="K2930" s="62" t="s">
        <v>138</v>
      </c>
      <c r="L2930" s="68" t="b">
        <f aca="false">FALSE()</f>
        <v>0</v>
      </c>
    </row>
    <row r="2931" customFormat="false" ht="15" hidden="false" customHeight="false" outlineLevel="0" collapsed="false">
      <c r="A2931" s="62" t="n">
        <v>0</v>
      </c>
      <c r="B2931" s="21" t="s">
        <v>336</v>
      </c>
      <c r="C2931" s="62" t="s">
        <v>60</v>
      </c>
      <c r="D2931" s="62" t="s">
        <v>381</v>
      </c>
      <c r="E2931" s="62" t="s">
        <v>72</v>
      </c>
      <c r="F2931" s="62" t="s">
        <v>382</v>
      </c>
      <c r="G2931" s="63" t="s">
        <v>676</v>
      </c>
      <c r="H2931" s="64" t="n">
        <v>20748423557.4274</v>
      </c>
      <c r="I2931" s="62" t="s">
        <v>81</v>
      </c>
      <c r="J2931" s="64" t="n">
        <v>20748423.5574274</v>
      </c>
      <c r="K2931" s="62" t="s">
        <v>138</v>
      </c>
      <c r="L2931" s="68" t="b">
        <f aca="false">FALSE()</f>
        <v>0</v>
      </c>
    </row>
    <row r="2932" customFormat="false" ht="15" hidden="false" customHeight="false" outlineLevel="0" collapsed="false">
      <c r="A2932" s="62" t="n">
        <v>0</v>
      </c>
      <c r="B2932" s="21" t="s">
        <v>336</v>
      </c>
      <c r="C2932" s="62" t="s">
        <v>60</v>
      </c>
      <c r="D2932" s="62" t="s">
        <v>383</v>
      </c>
      <c r="E2932" s="62" t="s">
        <v>72</v>
      </c>
      <c r="F2932" s="62" t="s">
        <v>382</v>
      </c>
      <c r="G2932" s="63" t="s">
        <v>676</v>
      </c>
      <c r="H2932" s="64" t="n">
        <v>20748423557.4274</v>
      </c>
      <c r="I2932" s="62" t="s">
        <v>81</v>
      </c>
      <c r="J2932" s="64" t="n">
        <v>20748423.5574274</v>
      </c>
      <c r="K2932" s="62" t="s">
        <v>138</v>
      </c>
      <c r="L2932" s="68" t="b">
        <f aca="false">FALSE()</f>
        <v>0</v>
      </c>
    </row>
    <row r="2933" customFormat="false" ht="15" hidden="false" customHeight="false" outlineLevel="0" collapsed="false">
      <c r="A2933" s="62" t="n">
        <v>0</v>
      </c>
      <c r="B2933" s="21" t="s">
        <v>336</v>
      </c>
      <c r="C2933" s="62" t="s">
        <v>60</v>
      </c>
      <c r="D2933" s="62" t="s">
        <v>384</v>
      </c>
      <c r="E2933" s="62" t="s">
        <v>72</v>
      </c>
      <c r="F2933" s="62" t="s">
        <v>382</v>
      </c>
      <c r="G2933" s="63" t="s">
        <v>676</v>
      </c>
      <c r="H2933" s="64" t="n">
        <v>20748423557.4274</v>
      </c>
      <c r="I2933" s="62" t="s">
        <v>81</v>
      </c>
      <c r="J2933" s="64" t="n">
        <v>20748423.5574274</v>
      </c>
      <c r="K2933" s="62" t="s">
        <v>138</v>
      </c>
      <c r="L2933" s="68" t="b">
        <f aca="false">FALSE()</f>
        <v>0</v>
      </c>
    </row>
    <row r="2934" customFormat="false" ht="15" hidden="false" customHeight="false" outlineLevel="0" collapsed="false">
      <c r="A2934" s="62" t="n">
        <v>0</v>
      </c>
      <c r="B2934" s="21" t="s">
        <v>336</v>
      </c>
      <c r="C2934" s="62" t="s">
        <v>60</v>
      </c>
      <c r="D2934" s="62" t="s">
        <v>385</v>
      </c>
      <c r="E2934" s="62" t="s">
        <v>72</v>
      </c>
      <c r="F2934" s="62" t="s">
        <v>382</v>
      </c>
      <c r="G2934" s="63" t="s">
        <v>676</v>
      </c>
      <c r="H2934" s="64" t="n">
        <v>20748423557.4274</v>
      </c>
      <c r="I2934" s="62" t="s">
        <v>81</v>
      </c>
      <c r="J2934" s="64" t="n">
        <v>20748423.5574274</v>
      </c>
      <c r="K2934" s="62" t="s">
        <v>138</v>
      </c>
      <c r="L2934" s="68" t="b">
        <f aca="false">FALSE()</f>
        <v>0</v>
      </c>
    </row>
    <row r="2935" customFormat="false" ht="15" hidden="false" customHeight="false" outlineLevel="0" collapsed="false">
      <c r="A2935" s="62" t="n">
        <v>0</v>
      </c>
      <c r="B2935" s="21" t="s">
        <v>336</v>
      </c>
      <c r="C2935" s="62" t="s">
        <v>60</v>
      </c>
      <c r="D2935" s="62" t="s">
        <v>386</v>
      </c>
      <c r="E2935" s="62" t="s">
        <v>72</v>
      </c>
      <c r="F2935" s="62" t="s">
        <v>382</v>
      </c>
      <c r="G2935" s="63" t="s">
        <v>676</v>
      </c>
      <c r="H2935" s="64" t="n">
        <v>20748423557.4274</v>
      </c>
      <c r="I2935" s="62" t="s">
        <v>81</v>
      </c>
      <c r="J2935" s="64" t="n">
        <v>20748423.5574274</v>
      </c>
      <c r="K2935" s="62" t="s">
        <v>138</v>
      </c>
      <c r="L2935" s="68" t="b">
        <f aca="false">FALSE()</f>
        <v>0</v>
      </c>
    </row>
    <row r="2936" customFormat="false" ht="15" hidden="false" customHeight="false" outlineLevel="0" collapsed="false">
      <c r="A2936" s="62" t="n">
        <v>0</v>
      </c>
      <c r="B2936" s="21" t="s">
        <v>336</v>
      </c>
      <c r="C2936" s="62" t="s">
        <v>60</v>
      </c>
      <c r="D2936" s="62" t="s">
        <v>387</v>
      </c>
      <c r="E2936" s="62" t="s">
        <v>72</v>
      </c>
      <c r="F2936" s="62" t="s">
        <v>382</v>
      </c>
      <c r="G2936" s="63" t="s">
        <v>676</v>
      </c>
      <c r="H2936" s="64" t="n">
        <v>20748423557.4274</v>
      </c>
      <c r="I2936" s="62" t="s">
        <v>81</v>
      </c>
      <c r="J2936" s="64" t="n">
        <v>20748423.5574274</v>
      </c>
      <c r="K2936" s="62" t="s">
        <v>138</v>
      </c>
      <c r="L2936" s="68" t="b">
        <f aca="false">FALSE()</f>
        <v>0</v>
      </c>
    </row>
    <row r="2937" customFormat="false" ht="15" hidden="false" customHeight="false" outlineLevel="0" collapsed="false">
      <c r="A2937" s="62" t="n">
        <v>0</v>
      </c>
      <c r="B2937" s="21" t="s">
        <v>336</v>
      </c>
      <c r="C2937" s="62" t="s">
        <v>60</v>
      </c>
      <c r="D2937" s="62" t="s">
        <v>388</v>
      </c>
      <c r="E2937" s="62" t="s">
        <v>72</v>
      </c>
      <c r="F2937" s="62" t="s">
        <v>382</v>
      </c>
      <c r="G2937" s="63" t="s">
        <v>676</v>
      </c>
      <c r="H2937" s="64" t="n">
        <v>20748423557.4274</v>
      </c>
      <c r="I2937" s="62" t="s">
        <v>81</v>
      </c>
      <c r="J2937" s="64" t="n">
        <v>20748423.5574274</v>
      </c>
      <c r="K2937" s="62" t="s">
        <v>138</v>
      </c>
      <c r="L2937" s="68" t="b">
        <f aca="false">FALSE()</f>
        <v>0</v>
      </c>
    </row>
    <row r="2938" customFormat="false" ht="15" hidden="false" customHeight="false" outlineLevel="0" collapsed="false">
      <c r="A2938" s="62" t="n">
        <v>0</v>
      </c>
      <c r="B2938" s="21" t="s">
        <v>336</v>
      </c>
      <c r="C2938" s="62" t="s">
        <v>60</v>
      </c>
      <c r="D2938" s="62" t="s">
        <v>381</v>
      </c>
      <c r="E2938" s="62" t="s">
        <v>72</v>
      </c>
      <c r="F2938" s="62" t="s">
        <v>382</v>
      </c>
      <c r="G2938" s="63" t="s">
        <v>677</v>
      </c>
      <c r="H2938" s="64" t="n">
        <v>14196.2203543563</v>
      </c>
      <c r="I2938" s="62" t="s">
        <v>81</v>
      </c>
      <c r="J2938" s="64" t="n">
        <v>14.1962203543563</v>
      </c>
      <c r="K2938" s="62" t="s">
        <v>138</v>
      </c>
      <c r="L2938" s="68" t="b">
        <f aca="false">FALSE()</f>
        <v>0</v>
      </c>
    </row>
    <row r="2939" customFormat="false" ht="15" hidden="false" customHeight="false" outlineLevel="0" collapsed="false">
      <c r="A2939" s="62" t="n">
        <v>0</v>
      </c>
      <c r="B2939" s="21" t="s">
        <v>336</v>
      </c>
      <c r="C2939" s="62" t="s">
        <v>60</v>
      </c>
      <c r="D2939" s="62" t="s">
        <v>383</v>
      </c>
      <c r="E2939" s="62" t="s">
        <v>72</v>
      </c>
      <c r="F2939" s="62" t="s">
        <v>382</v>
      </c>
      <c r="G2939" s="63" t="s">
        <v>677</v>
      </c>
      <c r="H2939" s="64" t="n">
        <v>14196.2203543563</v>
      </c>
      <c r="I2939" s="62" t="s">
        <v>81</v>
      </c>
      <c r="J2939" s="64" t="n">
        <v>14.1962203543563</v>
      </c>
      <c r="K2939" s="62" t="s">
        <v>138</v>
      </c>
      <c r="L2939" s="68" t="b">
        <f aca="false">FALSE()</f>
        <v>0</v>
      </c>
    </row>
    <row r="2940" customFormat="false" ht="15" hidden="false" customHeight="false" outlineLevel="0" collapsed="false">
      <c r="A2940" s="62" t="n">
        <v>0</v>
      </c>
      <c r="B2940" s="21" t="s">
        <v>336</v>
      </c>
      <c r="C2940" s="62" t="s">
        <v>60</v>
      </c>
      <c r="D2940" s="62" t="s">
        <v>384</v>
      </c>
      <c r="E2940" s="62" t="s">
        <v>72</v>
      </c>
      <c r="F2940" s="62" t="s">
        <v>382</v>
      </c>
      <c r="G2940" s="63" t="s">
        <v>677</v>
      </c>
      <c r="H2940" s="64" t="n">
        <v>14196.2203543563</v>
      </c>
      <c r="I2940" s="62" t="s">
        <v>81</v>
      </c>
      <c r="J2940" s="64" t="n">
        <v>14.1962203543563</v>
      </c>
      <c r="K2940" s="62" t="s">
        <v>138</v>
      </c>
      <c r="L2940" s="68" t="b">
        <f aca="false">FALSE()</f>
        <v>0</v>
      </c>
    </row>
    <row r="2941" customFormat="false" ht="15" hidden="false" customHeight="false" outlineLevel="0" collapsed="false">
      <c r="A2941" s="62" t="n">
        <v>0</v>
      </c>
      <c r="B2941" s="21" t="s">
        <v>336</v>
      </c>
      <c r="C2941" s="62" t="s">
        <v>60</v>
      </c>
      <c r="D2941" s="62" t="s">
        <v>385</v>
      </c>
      <c r="E2941" s="62" t="s">
        <v>72</v>
      </c>
      <c r="F2941" s="62" t="s">
        <v>382</v>
      </c>
      <c r="G2941" s="63" t="s">
        <v>677</v>
      </c>
      <c r="H2941" s="64" t="n">
        <v>14196.2203543563</v>
      </c>
      <c r="I2941" s="62" t="s">
        <v>81</v>
      </c>
      <c r="J2941" s="64" t="n">
        <v>14.1962203543563</v>
      </c>
      <c r="K2941" s="62" t="s">
        <v>138</v>
      </c>
      <c r="L2941" s="68" t="b">
        <f aca="false">FALSE()</f>
        <v>0</v>
      </c>
    </row>
    <row r="2942" customFormat="false" ht="15" hidden="false" customHeight="false" outlineLevel="0" collapsed="false">
      <c r="A2942" s="62" t="n">
        <v>0</v>
      </c>
      <c r="B2942" s="21" t="s">
        <v>336</v>
      </c>
      <c r="C2942" s="62" t="s">
        <v>60</v>
      </c>
      <c r="D2942" s="62" t="s">
        <v>386</v>
      </c>
      <c r="E2942" s="62" t="s">
        <v>72</v>
      </c>
      <c r="F2942" s="62" t="s">
        <v>382</v>
      </c>
      <c r="G2942" s="63" t="s">
        <v>677</v>
      </c>
      <c r="H2942" s="64" t="n">
        <v>14196.2203543563</v>
      </c>
      <c r="I2942" s="62" t="s">
        <v>81</v>
      </c>
      <c r="J2942" s="64" t="n">
        <v>14.1962203543563</v>
      </c>
      <c r="K2942" s="62" t="s">
        <v>138</v>
      </c>
      <c r="L2942" s="68" t="b">
        <f aca="false">FALSE()</f>
        <v>0</v>
      </c>
    </row>
    <row r="2943" customFormat="false" ht="15" hidden="false" customHeight="false" outlineLevel="0" collapsed="false">
      <c r="A2943" s="62" t="n">
        <v>0</v>
      </c>
      <c r="B2943" s="21" t="s">
        <v>336</v>
      </c>
      <c r="C2943" s="62" t="s">
        <v>60</v>
      </c>
      <c r="D2943" s="62" t="s">
        <v>387</v>
      </c>
      <c r="E2943" s="62" t="s">
        <v>72</v>
      </c>
      <c r="F2943" s="62" t="s">
        <v>382</v>
      </c>
      <c r="G2943" s="63" t="s">
        <v>677</v>
      </c>
      <c r="H2943" s="64" t="n">
        <v>14196.2203543563</v>
      </c>
      <c r="I2943" s="62" t="s">
        <v>81</v>
      </c>
      <c r="J2943" s="64" t="n">
        <v>14.1962203543563</v>
      </c>
      <c r="K2943" s="62" t="s">
        <v>138</v>
      </c>
      <c r="L2943" s="68" t="b">
        <f aca="false">FALSE()</f>
        <v>0</v>
      </c>
    </row>
    <row r="2944" customFormat="false" ht="15" hidden="false" customHeight="false" outlineLevel="0" collapsed="false">
      <c r="A2944" s="62" t="n">
        <v>0</v>
      </c>
      <c r="B2944" s="21" t="s">
        <v>336</v>
      </c>
      <c r="C2944" s="62" t="s">
        <v>60</v>
      </c>
      <c r="D2944" s="62" t="s">
        <v>388</v>
      </c>
      <c r="E2944" s="62" t="s">
        <v>72</v>
      </c>
      <c r="F2944" s="62" t="s">
        <v>382</v>
      </c>
      <c r="G2944" s="63" t="s">
        <v>677</v>
      </c>
      <c r="H2944" s="64" t="n">
        <v>14196.2203543563</v>
      </c>
      <c r="I2944" s="62" t="s">
        <v>81</v>
      </c>
      <c r="J2944" s="64" t="n">
        <v>14.1962203543563</v>
      </c>
      <c r="K2944" s="62" t="s">
        <v>138</v>
      </c>
      <c r="L2944" s="68" t="b">
        <f aca="false">FALSE()</f>
        <v>0</v>
      </c>
    </row>
    <row r="2945" customFormat="false" ht="15" hidden="false" customHeight="false" outlineLevel="0" collapsed="false">
      <c r="A2945" s="62" t="n">
        <v>0</v>
      </c>
      <c r="B2945" s="21" t="s">
        <v>336</v>
      </c>
      <c r="C2945" s="62" t="s">
        <v>60</v>
      </c>
      <c r="D2945" s="62" t="s">
        <v>381</v>
      </c>
      <c r="E2945" s="62" t="s">
        <v>72</v>
      </c>
      <c r="F2945" s="62" t="s">
        <v>382</v>
      </c>
      <c r="G2945" s="63" t="s">
        <v>678</v>
      </c>
      <c r="H2945" s="64" t="n">
        <v>6856.46815991457</v>
      </c>
      <c r="I2945" s="62" t="s">
        <v>81</v>
      </c>
      <c r="J2945" s="64" t="n">
        <v>6.85646815991457</v>
      </c>
      <c r="K2945" s="62" t="s">
        <v>138</v>
      </c>
      <c r="L2945" s="68" t="b">
        <f aca="false">FALSE()</f>
        <v>0</v>
      </c>
    </row>
    <row r="2946" customFormat="false" ht="15" hidden="false" customHeight="false" outlineLevel="0" collapsed="false">
      <c r="A2946" s="62" t="n">
        <v>0</v>
      </c>
      <c r="B2946" s="21" t="s">
        <v>336</v>
      </c>
      <c r="C2946" s="62" t="s">
        <v>60</v>
      </c>
      <c r="D2946" s="62" t="s">
        <v>383</v>
      </c>
      <c r="E2946" s="62" t="s">
        <v>72</v>
      </c>
      <c r="F2946" s="62" t="s">
        <v>382</v>
      </c>
      <c r="G2946" s="63" t="s">
        <v>678</v>
      </c>
      <c r="H2946" s="64" t="n">
        <v>6856.46815991457</v>
      </c>
      <c r="I2946" s="62" t="s">
        <v>81</v>
      </c>
      <c r="J2946" s="64" t="n">
        <v>6.85646815991457</v>
      </c>
      <c r="K2946" s="62" t="s">
        <v>138</v>
      </c>
      <c r="L2946" s="68" t="b">
        <f aca="false">FALSE()</f>
        <v>0</v>
      </c>
    </row>
    <row r="2947" customFormat="false" ht="15" hidden="false" customHeight="false" outlineLevel="0" collapsed="false">
      <c r="A2947" s="62" t="n">
        <v>0</v>
      </c>
      <c r="B2947" s="21" t="s">
        <v>336</v>
      </c>
      <c r="C2947" s="62" t="s">
        <v>60</v>
      </c>
      <c r="D2947" s="62" t="s">
        <v>384</v>
      </c>
      <c r="E2947" s="62" t="s">
        <v>72</v>
      </c>
      <c r="F2947" s="62" t="s">
        <v>382</v>
      </c>
      <c r="G2947" s="63" t="s">
        <v>678</v>
      </c>
      <c r="H2947" s="64" t="n">
        <v>6856.46815991457</v>
      </c>
      <c r="I2947" s="62" t="s">
        <v>81</v>
      </c>
      <c r="J2947" s="64" t="n">
        <v>6.85646815991457</v>
      </c>
      <c r="K2947" s="62" t="s">
        <v>138</v>
      </c>
      <c r="L2947" s="68" t="b">
        <f aca="false">FALSE()</f>
        <v>0</v>
      </c>
    </row>
    <row r="2948" customFormat="false" ht="15" hidden="false" customHeight="false" outlineLevel="0" collapsed="false">
      <c r="A2948" s="62" t="n">
        <v>0</v>
      </c>
      <c r="B2948" s="21" t="s">
        <v>336</v>
      </c>
      <c r="C2948" s="62" t="s">
        <v>60</v>
      </c>
      <c r="D2948" s="62" t="s">
        <v>385</v>
      </c>
      <c r="E2948" s="62" t="s">
        <v>72</v>
      </c>
      <c r="F2948" s="62" t="s">
        <v>382</v>
      </c>
      <c r="G2948" s="63" t="s">
        <v>678</v>
      </c>
      <c r="H2948" s="64" t="n">
        <v>6856.46815991457</v>
      </c>
      <c r="I2948" s="62" t="s">
        <v>81</v>
      </c>
      <c r="J2948" s="64" t="n">
        <v>6.85646815991457</v>
      </c>
      <c r="K2948" s="62" t="s">
        <v>138</v>
      </c>
      <c r="L2948" s="68" t="b">
        <f aca="false">FALSE()</f>
        <v>0</v>
      </c>
    </row>
    <row r="2949" customFormat="false" ht="15" hidden="false" customHeight="false" outlineLevel="0" collapsed="false">
      <c r="A2949" s="62" t="n">
        <v>0</v>
      </c>
      <c r="B2949" s="21" t="s">
        <v>336</v>
      </c>
      <c r="C2949" s="62" t="s">
        <v>60</v>
      </c>
      <c r="D2949" s="62" t="s">
        <v>386</v>
      </c>
      <c r="E2949" s="62" t="s">
        <v>72</v>
      </c>
      <c r="F2949" s="62" t="s">
        <v>382</v>
      </c>
      <c r="G2949" s="63" t="s">
        <v>678</v>
      </c>
      <c r="H2949" s="64" t="n">
        <v>6856.46815991457</v>
      </c>
      <c r="I2949" s="62" t="s">
        <v>81</v>
      </c>
      <c r="J2949" s="64" t="n">
        <v>6.85646815991457</v>
      </c>
      <c r="K2949" s="62" t="s">
        <v>138</v>
      </c>
      <c r="L2949" s="68" t="b">
        <f aca="false">FALSE()</f>
        <v>0</v>
      </c>
    </row>
    <row r="2950" customFormat="false" ht="15" hidden="false" customHeight="false" outlineLevel="0" collapsed="false">
      <c r="A2950" s="62" t="n">
        <v>0</v>
      </c>
      <c r="B2950" s="21" t="s">
        <v>336</v>
      </c>
      <c r="C2950" s="62" t="s">
        <v>60</v>
      </c>
      <c r="D2950" s="62" t="s">
        <v>387</v>
      </c>
      <c r="E2950" s="62" t="s">
        <v>72</v>
      </c>
      <c r="F2950" s="62" t="s">
        <v>382</v>
      </c>
      <c r="G2950" s="63" t="s">
        <v>678</v>
      </c>
      <c r="H2950" s="64" t="n">
        <v>6856.46815991457</v>
      </c>
      <c r="I2950" s="62" t="s">
        <v>81</v>
      </c>
      <c r="J2950" s="64" t="n">
        <v>6.85646815991457</v>
      </c>
      <c r="K2950" s="62" t="s">
        <v>138</v>
      </c>
      <c r="L2950" s="68" t="b">
        <f aca="false">FALSE()</f>
        <v>0</v>
      </c>
    </row>
    <row r="2951" customFormat="false" ht="15" hidden="false" customHeight="false" outlineLevel="0" collapsed="false">
      <c r="A2951" s="62" t="n">
        <v>0</v>
      </c>
      <c r="B2951" s="21" t="s">
        <v>336</v>
      </c>
      <c r="C2951" s="62" t="s">
        <v>60</v>
      </c>
      <c r="D2951" s="62" t="s">
        <v>388</v>
      </c>
      <c r="E2951" s="62" t="s">
        <v>72</v>
      </c>
      <c r="F2951" s="62" t="s">
        <v>382</v>
      </c>
      <c r="G2951" s="63" t="s">
        <v>678</v>
      </c>
      <c r="H2951" s="64" t="n">
        <v>6856.46815991457</v>
      </c>
      <c r="I2951" s="62" t="s">
        <v>81</v>
      </c>
      <c r="J2951" s="64" t="n">
        <v>6.85646815991457</v>
      </c>
      <c r="K2951" s="62" t="s">
        <v>138</v>
      </c>
      <c r="L2951" s="68" t="b">
        <f aca="false">FALSE()</f>
        <v>0</v>
      </c>
    </row>
    <row r="2952" customFormat="false" ht="15" hidden="false" customHeight="false" outlineLevel="0" collapsed="false">
      <c r="A2952" s="62" t="n">
        <v>0</v>
      </c>
      <c r="B2952" s="21" t="s">
        <v>336</v>
      </c>
      <c r="C2952" s="62" t="s">
        <v>60</v>
      </c>
      <c r="D2952" s="62" t="s">
        <v>381</v>
      </c>
      <c r="E2952" s="62" t="s">
        <v>72</v>
      </c>
      <c r="F2952" s="62" t="s">
        <v>382</v>
      </c>
      <c r="G2952" s="63" t="s">
        <v>679</v>
      </c>
      <c r="H2952" s="64" t="n">
        <v>10208.6017570671</v>
      </c>
      <c r="I2952" s="62" t="s">
        <v>81</v>
      </c>
      <c r="J2952" s="64" t="n">
        <v>10.2086017570671</v>
      </c>
      <c r="K2952" s="62" t="s">
        <v>138</v>
      </c>
      <c r="L2952" s="68" t="b">
        <f aca="false">FALSE()</f>
        <v>0</v>
      </c>
    </row>
    <row r="2953" customFormat="false" ht="15" hidden="false" customHeight="false" outlineLevel="0" collapsed="false">
      <c r="A2953" s="62" t="n">
        <v>0</v>
      </c>
      <c r="B2953" s="21" t="s">
        <v>336</v>
      </c>
      <c r="C2953" s="62" t="s">
        <v>60</v>
      </c>
      <c r="D2953" s="62" t="s">
        <v>383</v>
      </c>
      <c r="E2953" s="62" t="s">
        <v>72</v>
      </c>
      <c r="F2953" s="62" t="s">
        <v>382</v>
      </c>
      <c r="G2953" s="63" t="s">
        <v>679</v>
      </c>
      <c r="H2953" s="64" t="n">
        <v>10208.6017570671</v>
      </c>
      <c r="I2953" s="62" t="s">
        <v>81</v>
      </c>
      <c r="J2953" s="64" t="n">
        <v>10.2086017570671</v>
      </c>
      <c r="K2953" s="62" t="s">
        <v>138</v>
      </c>
      <c r="L2953" s="68" t="b">
        <f aca="false">FALSE()</f>
        <v>0</v>
      </c>
    </row>
    <row r="2954" customFormat="false" ht="15" hidden="false" customHeight="false" outlineLevel="0" collapsed="false">
      <c r="A2954" s="62" t="n">
        <v>0</v>
      </c>
      <c r="B2954" s="21" t="s">
        <v>336</v>
      </c>
      <c r="C2954" s="62" t="s">
        <v>60</v>
      </c>
      <c r="D2954" s="62" t="s">
        <v>384</v>
      </c>
      <c r="E2954" s="62" t="s">
        <v>72</v>
      </c>
      <c r="F2954" s="62" t="s">
        <v>382</v>
      </c>
      <c r="G2954" s="63" t="s">
        <v>679</v>
      </c>
      <c r="H2954" s="64" t="n">
        <v>10208.6017570671</v>
      </c>
      <c r="I2954" s="62" t="s">
        <v>81</v>
      </c>
      <c r="J2954" s="64" t="n">
        <v>10.2086017570671</v>
      </c>
      <c r="K2954" s="62" t="s">
        <v>138</v>
      </c>
      <c r="L2954" s="68" t="b">
        <f aca="false">FALSE()</f>
        <v>0</v>
      </c>
    </row>
    <row r="2955" customFormat="false" ht="15" hidden="false" customHeight="false" outlineLevel="0" collapsed="false">
      <c r="A2955" s="62" t="n">
        <v>0</v>
      </c>
      <c r="B2955" s="21" t="s">
        <v>336</v>
      </c>
      <c r="C2955" s="62" t="s">
        <v>60</v>
      </c>
      <c r="D2955" s="62" t="s">
        <v>385</v>
      </c>
      <c r="E2955" s="62" t="s">
        <v>72</v>
      </c>
      <c r="F2955" s="62" t="s">
        <v>382</v>
      </c>
      <c r="G2955" s="63" t="s">
        <v>679</v>
      </c>
      <c r="H2955" s="64" t="n">
        <v>10208.6017570671</v>
      </c>
      <c r="I2955" s="62" t="s">
        <v>81</v>
      </c>
      <c r="J2955" s="64" t="n">
        <v>10.2086017570671</v>
      </c>
      <c r="K2955" s="62" t="s">
        <v>138</v>
      </c>
      <c r="L2955" s="68" t="b">
        <f aca="false">FALSE()</f>
        <v>0</v>
      </c>
    </row>
    <row r="2956" customFormat="false" ht="15" hidden="false" customHeight="false" outlineLevel="0" collapsed="false">
      <c r="A2956" s="62" t="n">
        <v>0</v>
      </c>
      <c r="B2956" s="21" t="s">
        <v>336</v>
      </c>
      <c r="C2956" s="62" t="s">
        <v>60</v>
      </c>
      <c r="D2956" s="62" t="s">
        <v>386</v>
      </c>
      <c r="E2956" s="62" t="s">
        <v>72</v>
      </c>
      <c r="F2956" s="62" t="s">
        <v>382</v>
      </c>
      <c r="G2956" s="63" t="s">
        <v>679</v>
      </c>
      <c r="H2956" s="64" t="n">
        <v>10208.6017570671</v>
      </c>
      <c r="I2956" s="62" t="s">
        <v>81</v>
      </c>
      <c r="J2956" s="64" t="n">
        <v>10.2086017570671</v>
      </c>
      <c r="K2956" s="62" t="s">
        <v>138</v>
      </c>
      <c r="L2956" s="68" t="b">
        <f aca="false">FALSE()</f>
        <v>0</v>
      </c>
    </row>
    <row r="2957" customFormat="false" ht="15" hidden="false" customHeight="false" outlineLevel="0" collapsed="false">
      <c r="A2957" s="62" t="n">
        <v>0</v>
      </c>
      <c r="B2957" s="21" t="s">
        <v>336</v>
      </c>
      <c r="C2957" s="62" t="s">
        <v>60</v>
      </c>
      <c r="D2957" s="62" t="s">
        <v>387</v>
      </c>
      <c r="E2957" s="62" t="s">
        <v>72</v>
      </c>
      <c r="F2957" s="62" t="s">
        <v>382</v>
      </c>
      <c r="G2957" s="63" t="s">
        <v>679</v>
      </c>
      <c r="H2957" s="64" t="n">
        <v>10208.6017570671</v>
      </c>
      <c r="I2957" s="62" t="s">
        <v>81</v>
      </c>
      <c r="J2957" s="64" t="n">
        <v>10.2086017570671</v>
      </c>
      <c r="K2957" s="62" t="s">
        <v>138</v>
      </c>
      <c r="L2957" s="68" t="b">
        <f aca="false">FALSE()</f>
        <v>0</v>
      </c>
    </row>
    <row r="2958" customFormat="false" ht="15" hidden="false" customHeight="false" outlineLevel="0" collapsed="false">
      <c r="A2958" s="62" t="n">
        <v>0</v>
      </c>
      <c r="B2958" s="21" t="s">
        <v>336</v>
      </c>
      <c r="C2958" s="62" t="s">
        <v>60</v>
      </c>
      <c r="D2958" s="62" t="s">
        <v>388</v>
      </c>
      <c r="E2958" s="62" t="s">
        <v>72</v>
      </c>
      <c r="F2958" s="62" t="s">
        <v>382</v>
      </c>
      <c r="G2958" s="63" t="s">
        <v>679</v>
      </c>
      <c r="H2958" s="64" t="n">
        <v>10208.6017570671</v>
      </c>
      <c r="I2958" s="62" t="s">
        <v>81</v>
      </c>
      <c r="J2958" s="64" t="n">
        <v>10.2086017570671</v>
      </c>
      <c r="K2958" s="62" t="s">
        <v>138</v>
      </c>
      <c r="L2958" s="68" t="b">
        <f aca="false">FALSE()</f>
        <v>0</v>
      </c>
    </row>
    <row r="2959" customFormat="false" ht="15" hidden="false" customHeight="false" outlineLevel="0" collapsed="false">
      <c r="A2959" s="62" t="n">
        <v>0</v>
      </c>
      <c r="B2959" s="21" t="s">
        <v>336</v>
      </c>
      <c r="C2959" s="62" t="s">
        <v>60</v>
      </c>
      <c r="D2959" s="62" t="s">
        <v>381</v>
      </c>
      <c r="E2959" s="62" t="s">
        <v>72</v>
      </c>
      <c r="F2959" s="62" t="s">
        <v>382</v>
      </c>
      <c r="G2959" s="63" t="s">
        <v>680</v>
      </c>
      <c r="H2959" s="64" t="n">
        <v>13517010631.1751</v>
      </c>
      <c r="I2959" s="62" t="s">
        <v>81</v>
      </c>
      <c r="J2959" s="64" t="n">
        <v>13517010.6311751</v>
      </c>
      <c r="K2959" s="62" t="s">
        <v>138</v>
      </c>
      <c r="L2959" s="68" t="b">
        <f aca="false">FALSE()</f>
        <v>0</v>
      </c>
    </row>
    <row r="2960" customFormat="false" ht="15" hidden="false" customHeight="false" outlineLevel="0" collapsed="false">
      <c r="A2960" s="62" t="n">
        <v>0</v>
      </c>
      <c r="B2960" s="21" t="s">
        <v>336</v>
      </c>
      <c r="C2960" s="62" t="s">
        <v>60</v>
      </c>
      <c r="D2960" s="62" t="s">
        <v>383</v>
      </c>
      <c r="E2960" s="62" t="s">
        <v>72</v>
      </c>
      <c r="F2960" s="62" t="s">
        <v>382</v>
      </c>
      <c r="G2960" s="63" t="s">
        <v>680</v>
      </c>
      <c r="H2960" s="64" t="n">
        <v>13517010631.1751</v>
      </c>
      <c r="I2960" s="62" t="s">
        <v>81</v>
      </c>
      <c r="J2960" s="64" t="n">
        <v>13517010.6311751</v>
      </c>
      <c r="K2960" s="62" t="s">
        <v>138</v>
      </c>
      <c r="L2960" s="68" t="b">
        <f aca="false">FALSE()</f>
        <v>0</v>
      </c>
    </row>
    <row r="2961" customFormat="false" ht="15" hidden="false" customHeight="false" outlineLevel="0" collapsed="false">
      <c r="A2961" s="62" t="n">
        <v>0</v>
      </c>
      <c r="B2961" s="21" t="s">
        <v>336</v>
      </c>
      <c r="C2961" s="62" t="s">
        <v>60</v>
      </c>
      <c r="D2961" s="62" t="s">
        <v>384</v>
      </c>
      <c r="E2961" s="62" t="s">
        <v>72</v>
      </c>
      <c r="F2961" s="62" t="s">
        <v>382</v>
      </c>
      <c r="G2961" s="63" t="s">
        <v>680</v>
      </c>
      <c r="H2961" s="64" t="n">
        <v>13517010631.1751</v>
      </c>
      <c r="I2961" s="62" t="s">
        <v>81</v>
      </c>
      <c r="J2961" s="64" t="n">
        <v>13517010.6311751</v>
      </c>
      <c r="K2961" s="62" t="s">
        <v>138</v>
      </c>
      <c r="L2961" s="68" t="b">
        <f aca="false">FALSE()</f>
        <v>0</v>
      </c>
    </row>
    <row r="2962" customFormat="false" ht="15" hidden="false" customHeight="false" outlineLevel="0" collapsed="false">
      <c r="A2962" s="62" t="n">
        <v>0</v>
      </c>
      <c r="B2962" s="21" t="s">
        <v>336</v>
      </c>
      <c r="C2962" s="62" t="s">
        <v>60</v>
      </c>
      <c r="D2962" s="62" t="s">
        <v>385</v>
      </c>
      <c r="E2962" s="62" t="s">
        <v>72</v>
      </c>
      <c r="F2962" s="62" t="s">
        <v>382</v>
      </c>
      <c r="G2962" s="63" t="s">
        <v>680</v>
      </c>
      <c r="H2962" s="64" t="n">
        <v>13517010631.1751</v>
      </c>
      <c r="I2962" s="62" t="s">
        <v>81</v>
      </c>
      <c r="J2962" s="64" t="n">
        <v>13517010.6311751</v>
      </c>
      <c r="K2962" s="62" t="s">
        <v>138</v>
      </c>
      <c r="L2962" s="68" t="b">
        <f aca="false">FALSE()</f>
        <v>0</v>
      </c>
    </row>
    <row r="2963" customFormat="false" ht="15" hidden="false" customHeight="false" outlineLevel="0" collapsed="false">
      <c r="A2963" s="62" t="n">
        <v>0</v>
      </c>
      <c r="B2963" s="21" t="s">
        <v>336</v>
      </c>
      <c r="C2963" s="62" t="s">
        <v>60</v>
      </c>
      <c r="D2963" s="62" t="s">
        <v>386</v>
      </c>
      <c r="E2963" s="62" t="s">
        <v>72</v>
      </c>
      <c r="F2963" s="62" t="s">
        <v>382</v>
      </c>
      <c r="G2963" s="63" t="s">
        <v>680</v>
      </c>
      <c r="H2963" s="64" t="n">
        <v>13517010631.1751</v>
      </c>
      <c r="I2963" s="62" t="s">
        <v>81</v>
      </c>
      <c r="J2963" s="64" t="n">
        <v>13517010.6311751</v>
      </c>
      <c r="K2963" s="62" t="s">
        <v>138</v>
      </c>
      <c r="L2963" s="68" t="b">
        <f aca="false">FALSE()</f>
        <v>0</v>
      </c>
    </row>
    <row r="2964" customFormat="false" ht="15" hidden="false" customHeight="false" outlineLevel="0" collapsed="false">
      <c r="A2964" s="62" t="n">
        <v>0</v>
      </c>
      <c r="B2964" s="21" t="s">
        <v>336</v>
      </c>
      <c r="C2964" s="62" t="s">
        <v>60</v>
      </c>
      <c r="D2964" s="62" t="s">
        <v>387</v>
      </c>
      <c r="E2964" s="62" t="s">
        <v>72</v>
      </c>
      <c r="F2964" s="62" t="s">
        <v>382</v>
      </c>
      <c r="G2964" s="63" t="s">
        <v>680</v>
      </c>
      <c r="H2964" s="64" t="n">
        <v>13517010631.1751</v>
      </c>
      <c r="I2964" s="62" t="s">
        <v>81</v>
      </c>
      <c r="J2964" s="64" t="n">
        <v>13517010.6311751</v>
      </c>
      <c r="K2964" s="62" t="s">
        <v>138</v>
      </c>
      <c r="L2964" s="68" t="b">
        <f aca="false">FALSE()</f>
        <v>0</v>
      </c>
    </row>
    <row r="2965" customFormat="false" ht="15" hidden="false" customHeight="false" outlineLevel="0" collapsed="false">
      <c r="A2965" s="62" t="n">
        <v>0</v>
      </c>
      <c r="B2965" s="21" t="s">
        <v>336</v>
      </c>
      <c r="C2965" s="62" t="s">
        <v>60</v>
      </c>
      <c r="D2965" s="62" t="s">
        <v>388</v>
      </c>
      <c r="E2965" s="62" t="s">
        <v>72</v>
      </c>
      <c r="F2965" s="62" t="s">
        <v>382</v>
      </c>
      <c r="G2965" s="63" t="s">
        <v>680</v>
      </c>
      <c r="H2965" s="64" t="n">
        <v>13517010631.1751</v>
      </c>
      <c r="I2965" s="62" t="s">
        <v>81</v>
      </c>
      <c r="J2965" s="64" t="n">
        <v>13517010.6311751</v>
      </c>
      <c r="K2965" s="62" t="s">
        <v>138</v>
      </c>
      <c r="L2965" s="68" t="b">
        <f aca="false">FALSE()</f>
        <v>0</v>
      </c>
    </row>
    <row r="2966" customFormat="false" ht="15" hidden="false" customHeight="false" outlineLevel="0" collapsed="false">
      <c r="A2966" s="62" t="n">
        <v>0</v>
      </c>
      <c r="B2966" s="21" t="s">
        <v>336</v>
      </c>
      <c r="C2966" s="62" t="s">
        <v>60</v>
      </c>
      <c r="D2966" s="62" t="s">
        <v>381</v>
      </c>
      <c r="E2966" s="62" t="s">
        <v>72</v>
      </c>
      <c r="F2966" s="62" t="s">
        <v>382</v>
      </c>
      <c r="G2966" s="63" t="s">
        <v>681</v>
      </c>
      <c r="H2966" s="64" t="n">
        <v>13686.4320315115</v>
      </c>
      <c r="I2966" s="62" t="s">
        <v>81</v>
      </c>
      <c r="J2966" s="64" t="n">
        <v>13.6864320315115</v>
      </c>
      <c r="K2966" s="62" t="s">
        <v>138</v>
      </c>
      <c r="L2966" s="68" t="b">
        <f aca="false">FALSE()</f>
        <v>0</v>
      </c>
    </row>
    <row r="2967" customFormat="false" ht="15" hidden="false" customHeight="false" outlineLevel="0" collapsed="false">
      <c r="A2967" s="62" t="n">
        <v>0</v>
      </c>
      <c r="B2967" s="21" t="s">
        <v>336</v>
      </c>
      <c r="C2967" s="62" t="s">
        <v>60</v>
      </c>
      <c r="D2967" s="62" t="s">
        <v>383</v>
      </c>
      <c r="E2967" s="62" t="s">
        <v>72</v>
      </c>
      <c r="F2967" s="62" t="s">
        <v>382</v>
      </c>
      <c r="G2967" s="63" t="s">
        <v>681</v>
      </c>
      <c r="H2967" s="64" t="n">
        <v>13686.4320315115</v>
      </c>
      <c r="I2967" s="62" t="s">
        <v>81</v>
      </c>
      <c r="J2967" s="64" t="n">
        <v>13.6864320315115</v>
      </c>
      <c r="K2967" s="62" t="s">
        <v>138</v>
      </c>
      <c r="L2967" s="68" t="b">
        <f aca="false">FALSE()</f>
        <v>0</v>
      </c>
    </row>
    <row r="2968" customFormat="false" ht="15" hidden="false" customHeight="false" outlineLevel="0" collapsed="false">
      <c r="A2968" s="62" t="n">
        <v>0</v>
      </c>
      <c r="B2968" s="21" t="s">
        <v>336</v>
      </c>
      <c r="C2968" s="62" t="s">
        <v>60</v>
      </c>
      <c r="D2968" s="62" t="s">
        <v>384</v>
      </c>
      <c r="E2968" s="62" t="s">
        <v>72</v>
      </c>
      <c r="F2968" s="62" t="s">
        <v>382</v>
      </c>
      <c r="G2968" s="63" t="s">
        <v>681</v>
      </c>
      <c r="H2968" s="64" t="n">
        <v>13686.4320315115</v>
      </c>
      <c r="I2968" s="62" t="s">
        <v>81</v>
      </c>
      <c r="J2968" s="64" t="n">
        <v>13.6864320315115</v>
      </c>
      <c r="K2968" s="62" t="s">
        <v>138</v>
      </c>
      <c r="L2968" s="68" t="b">
        <f aca="false">FALSE()</f>
        <v>0</v>
      </c>
    </row>
    <row r="2969" customFormat="false" ht="15" hidden="false" customHeight="false" outlineLevel="0" collapsed="false">
      <c r="A2969" s="62" t="n">
        <v>0</v>
      </c>
      <c r="B2969" s="21" t="s">
        <v>336</v>
      </c>
      <c r="C2969" s="62" t="s">
        <v>60</v>
      </c>
      <c r="D2969" s="62" t="s">
        <v>385</v>
      </c>
      <c r="E2969" s="62" t="s">
        <v>72</v>
      </c>
      <c r="F2969" s="62" t="s">
        <v>382</v>
      </c>
      <c r="G2969" s="63" t="s">
        <v>681</v>
      </c>
      <c r="H2969" s="64" t="n">
        <v>13686.4320315115</v>
      </c>
      <c r="I2969" s="62" t="s">
        <v>81</v>
      </c>
      <c r="J2969" s="64" t="n">
        <v>13.6864320315115</v>
      </c>
      <c r="K2969" s="62" t="s">
        <v>138</v>
      </c>
      <c r="L2969" s="68" t="b">
        <f aca="false">FALSE()</f>
        <v>0</v>
      </c>
    </row>
    <row r="2970" customFormat="false" ht="15" hidden="false" customHeight="false" outlineLevel="0" collapsed="false">
      <c r="A2970" s="62" t="n">
        <v>0</v>
      </c>
      <c r="B2970" s="21" t="s">
        <v>336</v>
      </c>
      <c r="C2970" s="62" t="s">
        <v>60</v>
      </c>
      <c r="D2970" s="62" t="s">
        <v>386</v>
      </c>
      <c r="E2970" s="62" t="s">
        <v>72</v>
      </c>
      <c r="F2970" s="62" t="s">
        <v>382</v>
      </c>
      <c r="G2970" s="63" t="s">
        <v>681</v>
      </c>
      <c r="H2970" s="64" t="n">
        <v>13686.4320315115</v>
      </c>
      <c r="I2970" s="62" t="s">
        <v>81</v>
      </c>
      <c r="J2970" s="64" t="n">
        <v>13.6864320315115</v>
      </c>
      <c r="K2970" s="62" t="s">
        <v>138</v>
      </c>
      <c r="L2970" s="68" t="b">
        <f aca="false">FALSE()</f>
        <v>0</v>
      </c>
    </row>
    <row r="2971" customFormat="false" ht="15" hidden="false" customHeight="false" outlineLevel="0" collapsed="false">
      <c r="A2971" s="62" t="n">
        <v>0</v>
      </c>
      <c r="B2971" s="21" t="s">
        <v>336</v>
      </c>
      <c r="C2971" s="62" t="s">
        <v>60</v>
      </c>
      <c r="D2971" s="62" t="s">
        <v>387</v>
      </c>
      <c r="E2971" s="62" t="s">
        <v>72</v>
      </c>
      <c r="F2971" s="62" t="s">
        <v>382</v>
      </c>
      <c r="G2971" s="63" t="s">
        <v>681</v>
      </c>
      <c r="H2971" s="64" t="n">
        <v>13686.4320315115</v>
      </c>
      <c r="I2971" s="62" t="s">
        <v>81</v>
      </c>
      <c r="J2971" s="64" t="n">
        <v>13.6864320315115</v>
      </c>
      <c r="K2971" s="62" t="s">
        <v>138</v>
      </c>
      <c r="L2971" s="68" t="b">
        <f aca="false">FALSE()</f>
        <v>0</v>
      </c>
    </row>
    <row r="2972" customFormat="false" ht="15" hidden="false" customHeight="false" outlineLevel="0" collapsed="false">
      <c r="A2972" s="62" t="n">
        <v>0</v>
      </c>
      <c r="B2972" s="21" t="s">
        <v>336</v>
      </c>
      <c r="C2972" s="62" t="s">
        <v>60</v>
      </c>
      <c r="D2972" s="62" t="s">
        <v>388</v>
      </c>
      <c r="E2972" s="62" t="s">
        <v>72</v>
      </c>
      <c r="F2972" s="62" t="s">
        <v>382</v>
      </c>
      <c r="G2972" s="63" t="s">
        <v>681</v>
      </c>
      <c r="H2972" s="64" t="n">
        <v>13686.4320315115</v>
      </c>
      <c r="I2972" s="62" t="s">
        <v>81</v>
      </c>
      <c r="J2972" s="64" t="n">
        <v>13.6864320315115</v>
      </c>
      <c r="K2972" s="62" t="s">
        <v>138</v>
      </c>
      <c r="L2972" s="68" t="b">
        <f aca="false">FALSE()</f>
        <v>0</v>
      </c>
    </row>
    <row r="2973" customFormat="false" ht="15" hidden="false" customHeight="false" outlineLevel="0" collapsed="false">
      <c r="A2973" s="62" t="n">
        <v>0</v>
      </c>
      <c r="B2973" s="21" t="s">
        <v>336</v>
      </c>
      <c r="C2973" s="62" t="s">
        <v>60</v>
      </c>
      <c r="D2973" s="62" t="s">
        <v>381</v>
      </c>
      <c r="E2973" s="62" t="s">
        <v>72</v>
      </c>
      <c r="F2973" s="62" t="s">
        <v>382</v>
      </c>
      <c r="G2973" s="63" t="s">
        <v>682</v>
      </c>
      <c r="H2973" s="64" t="n">
        <v>210476396.770717</v>
      </c>
      <c r="I2973" s="62" t="s">
        <v>81</v>
      </c>
      <c r="J2973" s="64" t="n">
        <v>210476.396770717</v>
      </c>
      <c r="K2973" s="62" t="s">
        <v>138</v>
      </c>
      <c r="L2973" s="68" t="b">
        <f aca="false">FALSE()</f>
        <v>0</v>
      </c>
    </row>
    <row r="2974" customFormat="false" ht="15" hidden="false" customHeight="false" outlineLevel="0" collapsed="false">
      <c r="A2974" s="62" t="n">
        <v>0</v>
      </c>
      <c r="B2974" s="21" t="s">
        <v>336</v>
      </c>
      <c r="C2974" s="62" t="s">
        <v>60</v>
      </c>
      <c r="D2974" s="62" t="s">
        <v>383</v>
      </c>
      <c r="E2974" s="62" t="s">
        <v>72</v>
      </c>
      <c r="F2974" s="62" t="s">
        <v>382</v>
      </c>
      <c r="G2974" s="63" t="s">
        <v>682</v>
      </c>
      <c r="H2974" s="64" t="n">
        <v>210476396.770717</v>
      </c>
      <c r="I2974" s="62" t="s">
        <v>81</v>
      </c>
      <c r="J2974" s="64" t="n">
        <v>210476.396770717</v>
      </c>
      <c r="K2974" s="62" t="s">
        <v>138</v>
      </c>
      <c r="L2974" s="68" t="b">
        <f aca="false">FALSE()</f>
        <v>0</v>
      </c>
    </row>
    <row r="2975" customFormat="false" ht="15" hidden="false" customHeight="false" outlineLevel="0" collapsed="false">
      <c r="A2975" s="62" t="n">
        <v>0</v>
      </c>
      <c r="B2975" s="21" t="s">
        <v>336</v>
      </c>
      <c r="C2975" s="62" t="s">
        <v>60</v>
      </c>
      <c r="D2975" s="62" t="s">
        <v>384</v>
      </c>
      <c r="E2975" s="62" t="s">
        <v>72</v>
      </c>
      <c r="F2975" s="62" t="s">
        <v>382</v>
      </c>
      <c r="G2975" s="63" t="s">
        <v>682</v>
      </c>
      <c r="H2975" s="64" t="n">
        <v>210476396.770717</v>
      </c>
      <c r="I2975" s="62" t="s">
        <v>81</v>
      </c>
      <c r="J2975" s="64" t="n">
        <v>210476.396770717</v>
      </c>
      <c r="K2975" s="62" t="s">
        <v>138</v>
      </c>
      <c r="L2975" s="68" t="b">
        <f aca="false">FALSE()</f>
        <v>0</v>
      </c>
    </row>
    <row r="2976" customFormat="false" ht="15" hidden="false" customHeight="false" outlineLevel="0" collapsed="false">
      <c r="A2976" s="62" t="n">
        <v>0</v>
      </c>
      <c r="B2976" s="21" t="s">
        <v>336</v>
      </c>
      <c r="C2976" s="62" t="s">
        <v>60</v>
      </c>
      <c r="D2976" s="62" t="s">
        <v>385</v>
      </c>
      <c r="E2976" s="62" t="s">
        <v>72</v>
      </c>
      <c r="F2976" s="62" t="s">
        <v>382</v>
      </c>
      <c r="G2976" s="63" t="s">
        <v>682</v>
      </c>
      <c r="H2976" s="64" t="n">
        <v>210476396.770717</v>
      </c>
      <c r="I2976" s="62" t="s">
        <v>81</v>
      </c>
      <c r="J2976" s="64" t="n">
        <v>210476.396770717</v>
      </c>
      <c r="K2976" s="62" t="s">
        <v>138</v>
      </c>
      <c r="L2976" s="68" t="b">
        <f aca="false">FALSE()</f>
        <v>0</v>
      </c>
    </row>
    <row r="2977" customFormat="false" ht="15" hidden="false" customHeight="false" outlineLevel="0" collapsed="false">
      <c r="A2977" s="62" t="n">
        <v>0</v>
      </c>
      <c r="B2977" s="21" t="s">
        <v>336</v>
      </c>
      <c r="C2977" s="62" t="s">
        <v>60</v>
      </c>
      <c r="D2977" s="62" t="s">
        <v>386</v>
      </c>
      <c r="E2977" s="62" t="s">
        <v>72</v>
      </c>
      <c r="F2977" s="62" t="s">
        <v>382</v>
      </c>
      <c r="G2977" s="63" t="s">
        <v>682</v>
      </c>
      <c r="H2977" s="64" t="n">
        <v>210476396.770717</v>
      </c>
      <c r="I2977" s="62" t="s">
        <v>81</v>
      </c>
      <c r="J2977" s="64" t="n">
        <v>210476.396770717</v>
      </c>
      <c r="K2977" s="62" t="s">
        <v>138</v>
      </c>
      <c r="L2977" s="68" t="b">
        <f aca="false">FALSE()</f>
        <v>0</v>
      </c>
    </row>
    <row r="2978" customFormat="false" ht="15" hidden="false" customHeight="false" outlineLevel="0" collapsed="false">
      <c r="A2978" s="62" t="n">
        <v>0</v>
      </c>
      <c r="B2978" s="21" t="s">
        <v>336</v>
      </c>
      <c r="C2978" s="62" t="s">
        <v>60</v>
      </c>
      <c r="D2978" s="62" t="s">
        <v>387</v>
      </c>
      <c r="E2978" s="62" t="s">
        <v>72</v>
      </c>
      <c r="F2978" s="62" t="s">
        <v>382</v>
      </c>
      <c r="G2978" s="63" t="s">
        <v>682</v>
      </c>
      <c r="H2978" s="64" t="n">
        <v>210476396.770717</v>
      </c>
      <c r="I2978" s="62" t="s">
        <v>81</v>
      </c>
      <c r="J2978" s="64" t="n">
        <v>210476.396770717</v>
      </c>
      <c r="K2978" s="62" t="s">
        <v>138</v>
      </c>
      <c r="L2978" s="68" t="b">
        <f aca="false">FALSE()</f>
        <v>0</v>
      </c>
    </row>
    <row r="2979" customFormat="false" ht="15" hidden="false" customHeight="false" outlineLevel="0" collapsed="false">
      <c r="A2979" s="62" t="n">
        <v>0</v>
      </c>
      <c r="B2979" s="21" t="s">
        <v>336</v>
      </c>
      <c r="C2979" s="62" t="s">
        <v>60</v>
      </c>
      <c r="D2979" s="62" t="s">
        <v>388</v>
      </c>
      <c r="E2979" s="62" t="s">
        <v>72</v>
      </c>
      <c r="F2979" s="62" t="s">
        <v>382</v>
      </c>
      <c r="G2979" s="63" t="s">
        <v>682</v>
      </c>
      <c r="H2979" s="64" t="n">
        <v>210476396.770717</v>
      </c>
      <c r="I2979" s="62" t="s">
        <v>81</v>
      </c>
      <c r="J2979" s="64" t="n">
        <v>210476.396770717</v>
      </c>
      <c r="K2979" s="62" t="s">
        <v>138</v>
      </c>
      <c r="L2979" s="68" t="b">
        <f aca="false">FALSE()</f>
        <v>0</v>
      </c>
    </row>
    <row r="2980" customFormat="false" ht="15" hidden="false" customHeight="false" outlineLevel="0" collapsed="false">
      <c r="A2980" s="62" t="n">
        <v>0</v>
      </c>
      <c r="B2980" s="21" t="s">
        <v>336</v>
      </c>
      <c r="C2980" s="62" t="s">
        <v>60</v>
      </c>
      <c r="D2980" s="62" t="s">
        <v>381</v>
      </c>
      <c r="E2980" s="62" t="s">
        <v>72</v>
      </c>
      <c r="F2980" s="62" t="s">
        <v>382</v>
      </c>
      <c r="G2980" s="63" t="s">
        <v>683</v>
      </c>
      <c r="H2980" s="64" t="n">
        <v>17748893974.3485</v>
      </c>
      <c r="I2980" s="62" t="s">
        <v>81</v>
      </c>
      <c r="J2980" s="64" t="n">
        <v>17748893.9743485</v>
      </c>
      <c r="K2980" s="62" t="s">
        <v>138</v>
      </c>
      <c r="L2980" s="68" t="b">
        <f aca="false">FALSE()</f>
        <v>0</v>
      </c>
    </row>
    <row r="2981" customFormat="false" ht="15" hidden="false" customHeight="false" outlineLevel="0" collapsed="false">
      <c r="A2981" s="62" t="n">
        <v>0</v>
      </c>
      <c r="B2981" s="21" t="s">
        <v>336</v>
      </c>
      <c r="C2981" s="62" t="s">
        <v>60</v>
      </c>
      <c r="D2981" s="62" t="s">
        <v>383</v>
      </c>
      <c r="E2981" s="62" t="s">
        <v>72</v>
      </c>
      <c r="F2981" s="62" t="s">
        <v>382</v>
      </c>
      <c r="G2981" s="63" t="s">
        <v>683</v>
      </c>
      <c r="H2981" s="64" t="n">
        <v>17748893974.3485</v>
      </c>
      <c r="I2981" s="62" t="s">
        <v>81</v>
      </c>
      <c r="J2981" s="64" t="n">
        <v>17748893.9743485</v>
      </c>
      <c r="K2981" s="62" t="s">
        <v>138</v>
      </c>
      <c r="L2981" s="68" t="b">
        <f aca="false">FALSE()</f>
        <v>0</v>
      </c>
    </row>
    <row r="2982" customFormat="false" ht="15" hidden="false" customHeight="false" outlineLevel="0" collapsed="false">
      <c r="A2982" s="62" t="n">
        <v>0</v>
      </c>
      <c r="B2982" s="21" t="s">
        <v>336</v>
      </c>
      <c r="C2982" s="62" t="s">
        <v>60</v>
      </c>
      <c r="D2982" s="62" t="s">
        <v>384</v>
      </c>
      <c r="E2982" s="62" t="s">
        <v>72</v>
      </c>
      <c r="F2982" s="62" t="s">
        <v>382</v>
      </c>
      <c r="G2982" s="63" t="s">
        <v>683</v>
      </c>
      <c r="H2982" s="64" t="n">
        <v>17748893974.3485</v>
      </c>
      <c r="I2982" s="62" t="s">
        <v>81</v>
      </c>
      <c r="J2982" s="64" t="n">
        <v>17748893.9743485</v>
      </c>
      <c r="K2982" s="62" t="s">
        <v>138</v>
      </c>
      <c r="L2982" s="68" t="b">
        <f aca="false">FALSE()</f>
        <v>0</v>
      </c>
    </row>
    <row r="2983" customFormat="false" ht="15" hidden="false" customHeight="false" outlineLevel="0" collapsed="false">
      <c r="A2983" s="62" t="n">
        <v>0</v>
      </c>
      <c r="B2983" s="21" t="s">
        <v>336</v>
      </c>
      <c r="C2983" s="62" t="s">
        <v>60</v>
      </c>
      <c r="D2983" s="62" t="s">
        <v>385</v>
      </c>
      <c r="E2983" s="62" t="s">
        <v>72</v>
      </c>
      <c r="F2983" s="62" t="s">
        <v>382</v>
      </c>
      <c r="G2983" s="63" t="s">
        <v>683</v>
      </c>
      <c r="H2983" s="64" t="n">
        <v>17748893974.3485</v>
      </c>
      <c r="I2983" s="62" t="s">
        <v>81</v>
      </c>
      <c r="J2983" s="64" t="n">
        <v>17748893.9743485</v>
      </c>
      <c r="K2983" s="62" t="s">
        <v>138</v>
      </c>
      <c r="L2983" s="68" t="b">
        <f aca="false">FALSE()</f>
        <v>0</v>
      </c>
    </row>
    <row r="2984" customFormat="false" ht="15" hidden="false" customHeight="false" outlineLevel="0" collapsed="false">
      <c r="A2984" s="62" t="n">
        <v>0</v>
      </c>
      <c r="B2984" s="21" t="s">
        <v>336</v>
      </c>
      <c r="C2984" s="62" t="s">
        <v>60</v>
      </c>
      <c r="D2984" s="62" t="s">
        <v>386</v>
      </c>
      <c r="E2984" s="62" t="s">
        <v>72</v>
      </c>
      <c r="F2984" s="62" t="s">
        <v>382</v>
      </c>
      <c r="G2984" s="63" t="s">
        <v>683</v>
      </c>
      <c r="H2984" s="64" t="n">
        <v>17748893974.3485</v>
      </c>
      <c r="I2984" s="62" t="s">
        <v>81</v>
      </c>
      <c r="J2984" s="64" t="n">
        <v>17748893.9743485</v>
      </c>
      <c r="K2984" s="62" t="s">
        <v>138</v>
      </c>
      <c r="L2984" s="68" t="b">
        <f aca="false">FALSE()</f>
        <v>0</v>
      </c>
    </row>
    <row r="2985" customFormat="false" ht="15" hidden="false" customHeight="false" outlineLevel="0" collapsed="false">
      <c r="A2985" s="62" t="n">
        <v>0</v>
      </c>
      <c r="B2985" s="21" t="s">
        <v>336</v>
      </c>
      <c r="C2985" s="62" t="s">
        <v>60</v>
      </c>
      <c r="D2985" s="62" t="s">
        <v>387</v>
      </c>
      <c r="E2985" s="62" t="s">
        <v>72</v>
      </c>
      <c r="F2985" s="62" t="s">
        <v>382</v>
      </c>
      <c r="G2985" s="63" t="s">
        <v>683</v>
      </c>
      <c r="H2985" s="64" t="n">
        <v>17748893974.3485</v>
      </c>
      <c r="I2985" s="62" t="s">
        <v>81</v>
      </c>
      <c r="J2985" s="64" t="n">
        <v>17748893.9743485</v>
      </c>
      <c r="K2985" s="62" t="s">
        <v>138</v>
      </c>
      <c r="L2985" s="68" t="b">
        <f aca="false">FALSE()</f>
        <v>0</v>
      </c>
    </row>
    <row r="2986" customFormat="false" ht="15" hidden="false" customHeight="false" outlineLevel="0" collapsed="false">
      <c r="A2986" s="62" t="n">
        <v>0</v>
      </c>
      <c r="B2986" s="21" t="s">
        <v>336</v>
      </c>
      <c r="C2986" s="62" t="s">
        <v>60</v>
      </c>
      <c r="D2986" s="62" t="s">
        <v>388</v>
      </c>
      <c r="E2986" s="62" t="s">
        <v>72</v>
      </c>
      <c r="F2986" s="62" t="s">
        <v>382</v>
      </c>
      <c r="G2986" s="63" t="s">
        <v>683</v>
      </c>
      <c r="H2986" s="64" t="n">
        <v>17748893974.3485</v>
      </c>
      <c r="I2986" s="62" t="s">
        <v>81</v>
      </c>
      <c r="J2986" s="64" t="n">
        <v>17748893.9743485</v>
      </c>
      <c r="K2986" s="62" t="s">
        <v>138</v>
      </c>
      <c r="L2986" s="68" t="b">
        <f aca="false">FALSE()</f>
        <v>0</v>
      </c>
    </row>
    <row r="2987" customFormat="false" ht="15" hidden="false" customHeight="false" outlineLevel="0" collapsed="false">
      <c r="A2987" s="62" t="n">
        <v>0</v>
      </c>
      <c r="B2987" s="21" t="s">
        <v>336</v>
      </c>
      <c r="C2987" s="62" t="s">
        <v>60</v>
      </c>
      <c r="D2987" s="62" t="s">
        <v>381</v>
      </c>
      <c r="E2987" s="62" t="s">
        <v>72</v>
      </c>
      <c r="F2987" s="62" t="s">
        <v>382</v>
      </c>
      <c r="G2987" s="63" t="s">
        <v>684</v>
      </c>
      <c r="H2987" s="64" t="n">
        <v>9012500000</v>
      </c>
      <c r="I2987" s="62" t="s">
        <v>81</v>
      </c>
      <c r="J2987" s="64" t="n">
        <v>9012500</v>
      </c>
      <c r="K2987" s="62" t="s">
        <v>138</v>
      </c>
      <c r="L2987" s="68" t="b">
        <f aca="false">FALSE()</f>
        <v>0</v>
      </c>
    </row>
    <row r="2988" customFormat="false" ht="15" hidden="false" customHeight="false" outlineLevel="0" collapsed="false">
      <c r="A2988" s="62" t="n">
        <v>0</v>
      </c>
      <c r="B2988" s="21" t="s">
        <v>336</v>
      </c>
      <c r="C2988" s="62" t="s">
        <v>60</v>
      </c>
      <c r="D2988" s="62" t="s">
        <v>383</v>
      </c>
      <c r="E2988" s="62" t="s">
        <v>72</v>
      </c>
      <c r="F2988" s="62" t="s">
        <v>382</v>
      </c>
      <c r="G2988" s="63" t="s">
        <v>684</v>
      </c>
      <c r="H2988" s="64" t="n">
        <v>9012500000</v>
      </c>
      <c r="I2988" s="62" t="s">
        <v>81</v>
      </c>
      <c r="J2988" s="64" t="n">
        <v>9012500</v>
      </c>
      <c r="K2988" s="62" t="s">
        <v>138</v>
      </c>
      <c r="L2988" s="68" t="b">
        <f aca="false">FALSE()</f>
        <v>0</v>
      </c>
    </row>
    <row r="2989" customFormat="false" ht="15" hidden="false" customHeight="false" outlineLevel="0" collapsed="false">
      <c r="A2989" s="62" t="n">
        <v>0</v>
      </c>
      <c r="B2989" s="21" t="s">
        <v>336</v>
      </c>
      <c r="C2989" s="62" t="s">
        <v>60</v>
      </c>
      <c r="D2989" s="62" t="s">
        <v>384</v>
      </c>
      <c r="E2989" s="62" t="s">
        <v>72</v>
      </c>
      <c r="F2989" s="62" t="s">
        <v>382</v>
      </c>
      <c r="G2989" s="63" t="s">
        <v>684</v>
      </c>
      <c r="H2989" s="64" t="n">
        <v>9012500000</v>
      </c>
      <c r="I2989" s="62" t="s">
        <v>81</v>
      </c>
      <c r="J2989" s="64" t="n">
        <v>9012500</v>
      </c>
      <c r="K2989" s="62" t="s">
        <v>138</v>
      </c>
      <c r="L2989" s="68" t="b">
        <f aca="false">FALSE()</f>
        <v>0</v>
      </c>
    </row>
    <row r="2990" customFormat="false" ht="15" hidden="false" customHeight="false" outlineLevel="0" collapsed="false">
      <c r="A2990" s="62" t="n">
        <v>0</v>
      </c>
      <c r="B2990" s="21" t="s">
        <v>336</v>
      </c>
      <c r="C2990" s="62" t="s">
        <v>60</v>
      </c>
      <c r="D2990" s="62" t="s">
        <v>385</v>
      </c>
      <c r="E2990" s="62" t="s">
        <v>72</v>
      </c>
      <c r="F2990" s="62" t="s">
        <v>382</v>
      </c>
      <c r="G2990" s="63" t="s">
        <v>684</v>
      </c>
      <c r="H2990" s="64" t="n">
        <v>9012500000</v>
      </c>
      <c r="I2990" s="62" t="s">
        <v>81</v>
      </c>
      <c r="J2990" s="64" t="n">
        <v>9012500</v>
      </c>
      <c r="K2990" s="62" t="s">
        <v>138</v>
      </c>
      <c r="L2990" s="68" t="b">
        <f aca="false">FALSE()</f>
        <v>0</v>
      </c>
    </row>
    <row r="2991" customFormat="false" ht="15" hidden="false" customHeight="false" outlineLevel="0" collapsed="false">
      <c r="A2991" s="62" t="n">
        <v>0</v>
      </c>
      <c r="B2991" s="21" t="s">
        <v>336</v>
      </c>
      <c r="C2991" s="62" t="s">
        <v>60</v>
      </c>
      <c r="D2991" s="62" t="s">
        <v>386</v>
      </c>
      <c r="E2991" s="62" t="s">
        <v>72</v>
      </c>
      <c r="F2991" s="62" t="s">
        <v>382</v>
      </c>
      <c r="G2991" s="63" t="s">
        <v>684</v>
      </c>
      <c r="H2991" s="64" t="n">
        <v>9012500000</v>
      </c>
      <c r="I2991" s="62" t="s">
        <v>81</v>
      </c>
      <c r="J2991" s="64" t="n">
        <v>9012500</v>
      </c>
      <c r="K2991" s="62" t="s">
        <v>138</v>
      </c>
      <c r="L2991" s="68" t="b">
        <f aca="false">FALSE()</f>
        <v>0</v>
      </c>
    </row>
    <row r="2992" customFormat="false" ht="15" hidden="false" customHeight="false" outlineLevel="0" collapsed="false">
      <c r="A2992" s="62" t="n">
        <v>0</v>
      </c>
      <c r="B2992" s="21" t="s">
        <v>336</v>
      </c>
      <c r="C2992" s="62" t="s">
        <v>60</v>
      </c>
      <c r="D2992" s="62" t="s">
        <v>387</v>
      </c>
      <c r="E2992" s="62" t="s">
        <v>72</v>
      </c>
      <c r="F2992" s="62" t="s">
        <v>382</v>
      </c>
      <c r="G2992" s="63" t="s">
        <v>684</v>
      </c>
      <c r="H2992" s="64" t="n">
        <v>9012500000</v>
      </c>
      <c r="I2992" s="62" t="s">
        <v>81</v>
      </c>
      <c r="J2992" s="64" t="n">
        <v>9012500</v>
      </c>
      <c r="K2992" s="62" t="s">
        <v>138</v>
      </c>
      <c r="L2992" s="68" t="b">
        <f aca="false">FALSE()</f>
        <v>0</v>
      </c>
    </row>
    <row r="2993" customFormat="false" ht="15" hidden="false" customHeight="false" outlineLevel="0" collapsed="false">
      <c r="A2993" s="62" t="n">
        <v>0</v>
      </c>
      <c r="B2993" s="21" t="s">
        <v>336</v>
      </c>
      <c r="C2993" s="62" t="s">
        <v>60</v>
      </c>
      <c r="D2993" s="62" t="s">
        <v>388</v>
      </c>
      <c r="E2993" s="62" t="s">
        <v>72</v>
      </c>
      <c r="F2993" s="62" t="s">
        <v>382</v>
      </c>
      <c r="G2993" s="63" t="s">
        <v>684</v>
      </c>
      <c r="H2993" s="64" t="n">
        <v>9012500000</v>
      </c>
      <c r="I2993" s="62" t="s">
        <v>81</v>
      </c>
      <c r="J2993" s="64" t="n">
        <v>9012500</v>
      </c>
      <c r="K2993" s="62" t="s">
        <v>138</v>
      </c>
      <c r="L2993" s="68" t="b">
        <f aca="false">FALSE()</f>
        <v>0</v>
      </c>
    </row>
    <row r="2994" customFormat="false" ht="15" hidden="false" customHeight="false" outlineLevel="0" collapsed="false">
      <c r="A2994" s="62" t="n">
        <v>0</v>
      </c>
      <c r="B2994" s="21" t="s">
        <v>336</v>
      </c>
      <c r="C2994" s="62" t="s">
        <v>60</v>
      </c>
      <c r="D2994" s="62" t="s">
        <v>381</v>
      </c>
      <c r="E2994" s="62" t="s">
        <v>72</v>
      </c>
      <c r="F2994" s="62" t="s">
        <v>382</v>
      </c>
      <c r="G2994" s="63" t="s">
        <v>685</v>
      </c>
      <c r="H2994" s="64" t="n">
        <v>36050000000</v>
      </c>
      <c r="I2994" s="62" t="s">
        <v>81</v>
      </c>
      <c r="J2994" s="64" t="n">
        <v>36050000</v>
      </c>
      <c r="K2994" s="62" t="s">
        <v>138</v>
      </c>
      <c r="L2994" s="68" t="b">
        <f aca="false">FALSE()</f>
        <v>0</v>
      </c>
    </row>
    <row r="2995" customFormat="false" ht="15" hidden="false" customHeight="false" outlineLevel="0" collapsed="false">
      <c r="A2995" s="62" t="n">
        <v>0</v>
      </c>
      <c r="B2995" s="21" t="s">
        <v>336</v>
      </c>
      <c r="C2995" s="62" t="s">
        <v>60</v>
      </c>
      <c r="D2995" s="62" t="s">
        <v>383</v>
      </c>
      <c r="E2995" s="62" t="s">
        <v>72</v>
      </c>
      <c r="F2995" s="62" t="s">
        <v>382</v>
      </c>
      <c r="G2995" s="63" t="s">
        <v>685</v>
      </c>
      <c r="H2995" s="64" t="n">
        <v>36050000000</v>
      </c>
      <c r="I2995" s="62" t="s">
        <v>81</v>
      </c>
      <c r="J2995" s="64" t="n">
        <v>36050000</v>
      </c>
      <c r="K2995" s="62" t="s">
        <v>138</v>
      </c>
      <c r="L2995" s="68" t="b">
        <f aca="false">FALSE()</f>
        <v>0</v>
      </c>
    </row>
    <row r="2996" customFormat="false" ht="15" hidden="false" customHeight="false" outlineLevel="0" collapsed="false">
      <c r="A2996" s="62" t="n">
        <v>0</v>
      </c>
      <c r="B2996" s="21" t="s">
        <v>336</v>
      </c>
      <c r="C2996" s="62" t="s">
        <v>60</v>
      </c>
      <c r="D2996" s="62" t="s">
        <v>384</v>
      </c>
      <c r="E2996" s="62" t="s">
        <v>72</v>
      </c>
      <c r="F2996" s="62" t="s">
        <v>382</v>
      </c>
      <c r="G2996" s="63" t="s">
        <v>685</v>
      </c>
      <c r="H2996" s="64" t="n">
        <v>36050000000</v>
      </c>
      <c r="I2996" s="62" t="s">
        <v>81</v>
      </c>
      <c r="J2996" s="64" t="n">
        <v>36050000</v>
      </c>
      <c r="K2996" s="62" t="s">
        <v>138</v>
      </c>
      <c r="L2996" s="68" t="b">
        <f aca="false">FALSE()</f>
        <v>0</v>
      </c>
    </row>
    <row r="2997" customFormat="false" ht="15" hidden="false" customHeight="false" outlineLevel="0" collapsed="false">
      <c r="A2997" s="62" t="n">
        <v>0</v>
      </c>
      <c r="B2997" s="21" t="s">
        <v>336</v>
      </c>
      <c r="C2997" s="62" t="s">
        <v>60</v>
      </c>
      <c r="D2997" s="62" t="s">
        <v>385</v>
      </c>
      <c r="E2997" s="62" t="s">
        <v>72</v>
      </c>
      <c r="F2997" s="62" t="s">
        <v>382</v>
      </c>
      <c r="G2997" s="63" t="s">
        <v>685</v>
      </c>
      <c r="H2997" s="64" t="n">
        <v>36050000000</v>
      </c>
      <c r="I2997" s="62" t="s">
        <v>81</v>
      </c>
      <c r="J2997" s="64" t="n">
        <v>36050000</v>
      </c>
      <c r="K2997" s="62" t="s">
        <v>138</v>
      </c>
      <c r="L2997" s="68" t="b">
        <f aca="false">FALSE()</f>
        <v>0</v>
      </c>
    </row>
    <row r="2998" customFormat="false" ht="15" hidden="false" customHeight="false" outlineLevel="0" collapsed="false">
      <c r="A2998" s="62" t="n">
        <v>0</v>
      </c>
      <c r="B2998" s="21" t="s">
        <v>336</v>
      </c>
      <c r="C2998" s="62" t="s">
        <v>60</v>
      </c>
      <c r="D2998" s="62" t="s">
        <v>386</v>
      </c>
      <c r="E2998" s="62" t="s">
        <v>72</v>
      </c>
      <c r="F2998" s="62" t="s">
        <v>382</v>
      </c>
      <c r="G2998" s="63" t="s">
        <v>685</v>
      </c>
      <c r="H2998" s="64" t="n">
        <v>36050000000</v>
      </c>
      <c r="I2998" s="62" t="s">
        <v>81</v>
      </c>
      <c r="J2998" s="64" t="n">
        <v>36050000</v>
      </c>
      <c r="K2998" s="62" t="s">
        <v>138</v>
      </c>
      <c r="L2998" s="68" t="b">
        <f aca="false">FALSE()</f>
        <v>0</v>
      </c>
    </row>
    <row r="2999" customFormat="false" ht="15" hidden="false" customHeight="false" outlineLevel="0" collapsed="false">
      <c r="A2999" s="62" t="n">
        <v>0</v>
      </c>
      <c r="B2999" s="21" t="s">
        <v>336</v>
      </c>
      <c r="C2999" s="62" t="s">
        <v>60</v>
      </c>
      <c r="D2999" s="62" t="s">
        <v>387</v>
      </c>
      <c r="E2999" s="62" t="s">
        <v>72</v>
      </c>
      <c r="F2999" s="62" t="s">
        <v>382</v>
      </c>
      <c r="G2999" s="63" t="s">
        <v>685</v>
      </c>
      <c r="H2999" s="64" t="n">
        <v>36050000000</v>
      </c>
      <c r="I2999" s="62" t="s">
        <v>81</v>
      </c>
      <c r="J2999" s="64" t="n">
        <v>36050000</v>
      </c>
      <c r="K2999" s="62" t="s">
        <v>138</v>
      </c>
      <c r="L2999" s="68" t="b">
        <f aca="false">FALSE()</f>
        <v>0</v>
      </c>
    </row>
    <row r="3000" customFormat="false" ht="15" hidden="false" customHeight="false" outlineLevel="0" collapsed="false">
      <c r="A3000" s="62" t="n">
        <v>0</v>
      </c>
      <c r="B3000" s="21" t="s">
        <v>336</v>
      </c>
      <c r="C3000" s="62" t="s">
        <v>60</v>
      </c>
      <c r="D3000" s="62" t="s">
        <v>388</v>
      </c>
      <c r="E3000" s="62" t="s">
        <v>72</v>
      </c>
      <c r="F3000" s="62" t="s">
        <v>382</v>
      </c>
      <c r="G3000" s="63" t="s">
        <v>685</v>
      </c>
      <c r="H3000" s="64" t="n">
        <v>36050000000</v>
      </c>
      <c r="I3000" s="62" t="s">
        <v>81</v>
      </c>
      <c r="J3000" s="64" t="n">
        <v>36050000</v>
      </c>
      <c r="K3000" s="62" t="s">
        <v>138</v>
      </c>
      <c r="L3000" s="68" t="b">
        <f aca="false">FALSE()</f>
        <v>0</v>
      </c>
    </row>
    <row r="3001" customFormat="false" ht="15" hidden="false" customHeight="false" outlineLevel="0" collapsed="false">
      <c r="A3001" s="62" t="n">
        <v>0</v>
      </c>
      <c r="B3001" s="21" t="s">
        <v>336</v>
      </c>
      <c r="C3001" s="62" t="s">
        <v>60</v>
      </c>
      <c r="D3001" s="62" t="s">
        <v>381</v>
      </c>
      <c r="E3001" s="62" t="s">
        <v>72</v>
      </c>
      <c r="F3001" s="62" t="s">
        <v>382</v>
      </c>
      <c r="G3001" s="63" t="s">
        <v>686</v>
      </c>
      <c r="H3001" s="64" t="n">
        <v>1849996472.72796</v>
      </c>
      <c r="I3001" s="62" t="s">
        <v>81</v>
      </c>
      <c r="J3001" s="64" t="n">
        <v>1849996.47272796</v>
      </c>
      <c r="K3001" s="62" t="s">
        <v>138</v>
      </c>
      <c r="L3001" s="68" t="b">
        <f aca="false">FALSE()</f>
        <v>0</v>
      </c>
    </row>
    <row r="3002" customFormat="false" ht="15" hidden="false" customHeight="false" outlineLevel="0" collapsed="false">
      <c r="A3002" s="62" t="n">
        <v>0</v>
      </c>
      <c r="B3002" s="21" t="s">
        <v>336</v>
      </c>
      <c r="C3002" s="62" t="s">
        <v>60</v>
      </c>
      <c r="D3002" s="62" t="s">
        <v>383</v>
      </c>
      <c r="E3002" s="62" t="s">
        <v>72</v>
      </c>
      <c r="F3002" s="62" t="s">
        <v>382</v>
      </c>
      <c r="G3002" s="63" t="s">
        <v>686</v>
      </c>
      <c r="H3002" s="64" t="n">
        <v>1849996472.72796</v>
      </c>
      <c r="I3002" s="62" t="s">
        <v>81</v>
      </c>
      <c r="J3002" s="64" t="n">
        <v>1849996.47272796</v>
      </c>
      <c r="K3002" s="62" t="s">
        <v>138</v>
      </c>
      <c r="L3002" s="68" t="b">
        <f aca="false">FALSE()</f>
        <v>0</v>
      </c>
    </row>
    <row r="3003" customFormat="false" ht="15" hidden="false" customHeight="false" outlineLevel="0" collapsed="false">
      <c r="A3003" s="62" t="n">
        <v>0</v>
      </c>
      <c r="B3003" s="21" t="s">
        <v>336</v>
      </c>
      <c r="C3003" s="62" t="s">
        <v>60</v>
      </c>
      <c r="D3003" s="62" t="s">
        <v>384</v>
      </c>
      <c r="E3003" s="62" t="s">
        <v>72</v>
      </c>
      <c r="F3003" s="62" t="s">
        <v>382</v>
      </c>
      <c r="G3003" s="63" t="s">
        <v>686</v>
      </c>
      <c r="H3003" s="64" t="n">
        <v>1849996472.72796</v>
      </c>
      <c r="I3003" s="62" t="s">
        <v>81</v>
      </c>
      <c r="J3003" s="64" t="n">
        <v>1849996.47272796</v>
      </c>
      <c r="K3003" s="62" t="s">
        <v>138</v>
      </c>
      <c r="L3003" s="68" t="b">
        <f aca="false">FALSE()</f>
        <v>0</v>
      </c>
    </row>
    <row r="3004" customFormat="false" ht="15" hidden="false" customHeight="false" outlineLevel="0" collapsed="false">
      <c r="A3004" s="62" t="n">
        <v>0</v>
      </c>
      <c r="B3004" s="21" t="s">
        <v>336</v>
      </c>
      <c r="C3004" s="62" t="s">
        <v>60</v>
      </c>
      <c r="D3004" s="62" t="s">
        <v>385</v>
      </c>
      <c r="E3004" s="62" t="s">
        <v>72</v>
      </c>
      <c r="F3004" s="62" t="s">
        <v>382</v>
      </c>
      <c r="G3004" s="63" t="s">
        <v>686</v>
      </c>
      <c r="H3004" s="64" t="n">
        <v>1849996472.72796</v>
      </c>
      <c r="I3004" s="62" t="s">
        <v>81</v>
      </c>
      <c r="J3004" s="64" t="n">
        <v>1849996.47272796</v>
      </c>
      <c r="K3004" s="62" t="s">
        <v>138</v>
      </c>
      <c r="L3004" s="68" t="b">
        <f aca="false">FALSE()</f>
        <v>0</v>
      </c>
    </row>
    <row r="3005" customFormat="false" ht="15" hidden="false" customHeight="false" outlineLevel="0" collapsed="false">
      <c r="A3005" s="62" t="n">
        <v>0</v>
      </c>
      <c r="B3005" s="21" t="s">
        <v>336</v>
      </c>
      <c r="C3005" s="62" t="s">
        <v>60</v>
      </c>
      <c r="D3005" s="62" t="s">
        <v>386</v>
      </c>
      <c r="E3005" s="62" t="s">
        <v>72</v>
      </c>
      <c r="F3005" s="62" t="s">
        <v>382</v>
      </c>
      <c r="G3005" s="63" t="s">
        <v>686</v>
      </c>
      <c r="H3005" s="64" t="n">
        <v>1849996472.72796</v>
      </c>
      <c r="I3005" s="62" t="s">
        <v>81</v>
      </c>
      <c r="J3005" s="64" t="n">
        <v>1849996.47272796</v>
      </c>
      <c r="K3005" s="62" t="s">
        <v>138</v>
      </c>
      <c r="L3005" s="68" t="b">
        <f aca="false">FALSE()</f>
        <v>0</v>
      </c>
    </row>
    <row r="3006" customFormat="false" ht="15" hidden="false" customHeight="false" outlineLevel="0" collapsed="false">
      <c r="A3006" s="62" t="n">
        <v>0</v>
      </c>
      <c r="B3006" s="21" t="s">
        <v>336</v>
      </c>
      <c r="C3006" s="62" t="s">
        <v>60</v>
      </c>
      <c r="D3006" s="62" t="s">
        <v>387</v>
      </c>
      <c r="E3006" s="62" t="s">
        <v>72</v>
      </c>
      <c r="F3006" s="62" t="s">
        <v>382</v>
      </c>
      <c r="G3006" s="63" t="s">
        <v>686</v>
      </c>
      <c r="H3006" s="64" t="n">
        <v>1849996472.72796</v>
      </c>
      <c r="I3006" s="62" t="s">
        <v>81</v>
      </c>
      <c r="J3006" s="64" t="n">
        <v>1849996.47272796</v>
      </c>
      <c r="K3006" s="62" t="s">
        <v>138</v>
      </c>
      <c r="L3006" s="68" t="b">
        <f aca="false">FALSE()</f>
        <v>0</v>
      </c>
    </row>
    <row r="3007" customFormat="false" ht="15" hidden="false" customHeight="false" outlineLevel="0" collapsed="false">
      <c r="A3007" s="62" t="n">
        <v>0</v>
      </c>
      <c r="B3007" s="21" t="s">
        <v>336</v>
      </c>
      <c r="C3007" s="62" t="s">
        <v>60</v>
      </c>
      <c r="D3007" s="62" t="s">
        <v>388</v>
      </c>
      <c r="E3007" s="62" t="s">
        <v>72</v>
      </c>
      <c r="F3007" s="62" t="s">
        <v>382</v>
      </c>
      <c r="G3007" s="63" t="s">
        <v>686</v>
      </c>
      <c r="H3007" s="64" t="n">
        <v>1849996472.72796</v>
      </c>
      <c r="I3007" s="62" t="s">
        <v>81</v>
      </c>
      <c r="J3007" s="64" t="n">
        <v>1849996.47272796</v>
      </c>
      <c r="K3007" s="62" t="s">
        <v>138</v>
      </c>
      <c r="L3007" s="68" t="b">
        <f aca="false">FALSE()</f>
        <v>0</v>
      </c>
    </row>
    <row r="3008" customFormat="false" ht="15" hidden="false" customHeight="false" outlineLevel="0" collapsed="false">
      <c r="A3008" s="62" t="n">
        <v>0</v>
      </c>
      <c r="B3008" s="21" t="s">
        <v>336</v>
      </c>
      <c r="C3008" s="62" t="s">
        <v>60</v>
      </c>
      <c r="D3008" s="62" t="s">
        <v>381</v>
      </c>
      <c r="E3008" s="62" t="s">
        <v>72</v>
      </c>
      <c r="F3008" s="62" t="s">
        <v>382</v>
      </c>
      <c r="G3008" s="63" t="s">
        <v>687</v>
      </c>
      <c r="H3008" s="64" t="n">
        <v>21552458907.2808</v>
      </c>
      <c r="I3008" s="62" t="s">
        <v>81</v>
      </c>
      <c r="J3008" s="64" t="n">
        <v>21552458.9072808</v>
      </c>
      <c r="K3008" s="62" t="s">
        <v>138</v>
      </c>
      <c r="L3008" s="68" t="b">
        <f aca="false">FALSE()</f>
        <v>0</v>
      </c>
    </row>
    <row r="3009" customFormat="false" ht="15" hidden="false" customHeight="false" outlineLevel="0" collapsed="false">
      <c r="A3009" s="62" t="n">
        <v>0</v>
      </c>
      <c r="B3009" s="21" t="s">
        <v>336</v>
      </c>
      <c r="C3009" s="62" t="s">
        <v>60</v>
      </c>
      <c r="D3009" s="62" t="s">
        <v>383</v>
      </c>
      <c r="E3009" s="62" t="s">
        <v>72</v>
      </c>
      <c r="F3009" s="62" t="s">
        <v>382</v>
      </c>
      <c r="G3009" s="63" t="s">
        <v>687</v>
      </c>
      <c r="H3009" s="64" t="n">
        <v>21552458907.2808</v>
      </c>
      <c r="I3009" s="62" t="s">
        <v>81</v>
      </c>
      <c r="J3009" s="64" t="n">
        <v>21552458.9072808</v>
      </c>
      <c r="K3009" s="62" t="s">
        <v>138</v>
      </c>
      <c r="L3009" s="68" t="b">
        <f aca="false">FALSE()</f>
        <v>0</v>
      </c>
    </row>
    <row r="3010" customFormat="false" ht="15" hidden="false" customHeight="false" outlineLevel="0" collapsed="false">
      <c r="A3010" s="62" t="n">
        <v>0</v>
      </c>
      <c r="B3010" s="21" t="s">
        <v>336</v>
      </c>
      <c r="C3010" s="62" t="s">
        <v>60</v>
      </c>
      <c r="D3010" s="62" t="s">
        <v>384</v>
      </c>
      <c r="E3010" s="62" t="s">
        <v>72</v>
      </c>
      <c r="F3010" s="62" t="s">
        <v>382</v>
      </c>
      <c r="G3010" s="63" t="s">
        <v>687</v>
      </c>
      <c r="H3010" s="64" t="n">
        <v>21552458907.2808</v>
      </c>
      <c r="I3010" s="62" t="s">
        <v>81</v>
      </c>
      <c r="J3010" s="64" t="n">
        <v>21552458.9072808</v>
      </c>
      <c r="K3010" s="62" t="s">
        <v>138</v>
      </c>
      <c r="L3010" s="68" t="b">
        <f aca="false">FALSE()</f>
        <v>0</v>
      </c>
    </row>
    <row r="3011" customFormat="false" ht="15" hidden="false" customHeight="false" outlineLevel="0" collapsed="false">
      <c r="A3011" s="62" t="n">
        <v>0</v>
      </c>
      <c r="B3011" s="21" t="s">
        <v>336</v>
      </c>
      <c r="C3011" s="62" t="s">
        <v>60</v>
      </c>
      <c r="D3011" s="62" t="s">
        <v>385</v>
      </c>
      <c r="E3011" s="62" t="s">
        <v>72</v>
      </c>
      <c r="F3011" s="62" t="s">
        <v>382</v>
      </c>
      <c r="G3011" s="63" t="s">
        <v>687</v>
      </c>
      <c r="H3011" s="64" t="n">
        <v>21552458907.2808</v>
      </c>
      <c r="I3011" s="62" t="s">
        <v>81</v>
      </c>
      <c r="J3011" s="64" t="n">
        <v>21552458.9072808</v>
      </c>
      <c r="K3011" s="62" t="s">
        <v>138</v>
      </c>
      <c r="L3011" s="68" t="b">
        <f aca="false">FALSE()</f>
        <v>0</v>
      </c>
    </row>
    <row r="3012" customFormat="false" ht="15" hidden="false" customHeight="false" outlineLevel="0" collapsed="false">
      <c r="A3012" s="62" t="n">
        <v>0</v>
      </c>
      <c r="B3012" s="21" t="s">
        <v>336</v>
      </c>
      <c r="C3012" s="62" t="s">
        <v>60</v>
      </c>
      <c r="D3012" s="62" t="s">
        <v>386</v>
      </c>
      <c r="E3012" s="62" t="s">
        <v>72</v>
      </c>
      <c r="F3012" s="62" t="s">
        <v>382</v>
      </c>
      <c r="G3012" s="63" t="s">
        <v>687</v>
      </c>
      <c r="H3012" s="64" t="n">
        <v>21552458907.2808</v>
      </c>
      <c r="I3012" s="62" t="s">
        <v>81</v>
      </c>
      <c r="J3012" s="64" t="n">
        <v>21552458.9072808</v>
      </c>
      <c r="K3012" s="62" t="s">
        <v>138</v>
      </c>
      <c r="L3012" s="68" t="b">
        <f aca="false">FALSE()</f>
        <v>0</v>
      </c>
    </row>
    <row r="3013" customFormat="false" ht="15" hidden="false" customHeight="false" outlineLevel="0" collapsed="false">
      <c r="A3013" s="62" t="n">
        <v>0</v>
      </c>
      <c r="B3013" s="21" t="s">
        <v>336</v>
      </c>
      <c r="C3013" s="62" t="s">
        <v>60</v>
      </c>
      <c r="D3013" s="62" t="s">
        <v>387</v>
      </c>
      <c r="E3013" s="62" t="s">
        <v>72</v>
      </c>
      <c r="F3013" s="62" t="s">
        <v>382</v>
      </c>
      <c r="G3013" s="63" t="s">
        <v>687</v>
      </c>
      <c r="H3013" s="64" t="n">
        <v>21552458907.2808</v>
      </c>
      <c r="I3013" s="62" t="s">
        <v>81</v>
      </c>
      <c r="J3013" s="64" t="n">
        <v>21552458.9072808</v>
      </c>
      <c r="K3013" s="62" t="s">
        <v>138</v>
      </c>
      <c r="L3013" s="68" t="b">
        <f aca="false">FALSE()</f>
        <v>0</v>
      </c>
    </row>
    <row r="3014" customFormat="false" ht="15" hidden="false" customHeight="false" outlineLevel="0" collapsed="false">
      <c r="A3014" s="62" t="n">
        <v>0</v>
      </c>
      <c r="B3014" s="21" t="s">
        <v>336</v>
      </c>
      <c r="C3014" s="62" t="s">
        <v>60</v>
      </c>
      <c r="D3014" s="62" t="s">
        <v>388</v>
      </c>
      <c r="E3014" s="62" t="s">
        <v>72</v>
      </c>
      <c r="F3014" s="62" t="s">
        <v>382</v>
      </c>
      <c r="G3014" s="63" t="s">
        <v>687</v>
      </c>
      <c r="H3014" s="64" t="n">
        <v>21552458907.2808</v>
      </c>
      <c r="I3014" s="62" t="s">
        <v>81</v>
      </c>
      <c r="J3014" s="64" t="n">
        <v>21552458.9072808</v>
      </c>
      <c r="K3014" s="62" t="s">
        <v>138</v>
      </c>
      <c r="L3014" s="68" t="b">
        <f aca="false">FALSE()</f>
        <v>0</v>
      </c>
    </row>
    <row r="3015" customFormat="false" ht="15" hidden="false" customHeight="false" outlineLevel="0" collapsed="false">
      <c r="A3015" s="62" t="n">
        <v>0</v>
      </c>
      <c r="B3015" s="21" t="s">
        <v>336</v>
      </c>
      <c r="C3015" s="62" t="s">
        <v>60</v>
      </c>
      <c r="D3015" s="62" t="s">
        <v>381</v>
      </c>
      <c r="E3015" s="62" t="s">
        <v>72</v>
      </c>
      <c r="F3015" s="62" t="s">
        <v>382</v>
      </c>
      <c r="G3015" s="63" t="s">
        <v>688</v>
      </c>
      <c r="H3015" s="64" t="n">
        <v>1651931072.72796</v>
      </c>
      <c r="I3015" s="62" t="s">
        <v>81</v>
      </c>
      <c r="J3015" s="64" t="n">
        <v>1651931.07272796</v>
      </c>
      <c r="K3015" s="62" t="s">
        <v>138</v>
      </c>
      <c r="L3015" s="68" t="b">
        <f aca="false">FALSE()</f>
        <v>0</v>
      </c>
    </row>
    <row r="3016" customFormat="false" ht="15" hidden="false" customHeight="false" outlineLevel="0" collapsed="false">
      <c r="A3016" s="62" t="n">
        <v>0</v>
      </c>
      <c r="B3016" s="21" t="s">
        <v>336</v>
      </c>
      <c r="C3016" s="62" t="s">
        <v>60</v>
      </c>
      <c r="D3016" s="62" t="s">
        <v>383</v>
      </c>
      <c r="E3016" s="62" t="s">
        <v>72</v>
      </c>
      <c r="F3016" s="62" t="s">
        <v>382</v>
      </c>
      <c r="G3016" s="63" t="s">
        <v>688</v>
      </c>
      <c r="H3016" s="64" t="n">
        <v>1651931072.72796</v>
      </c>
      <c r="I3016" s="62" t="s">
        <v>81</v>
      </c>
      <c r="J3016" s="64" t="n">
        <v>1651931.07272796</v>
      </c>
      <c r="K3016" s="62" t="s">
        <v>138</v>
      </c>
      <c r="L3016" s="68" t="b">
        <f aca="false">FALSE()</f>
        <v>0</v>
      </c>
    </row>
    <row r="3017" customFormat="false" ht="15" hidden="false" customHeight="false" outlineLevel="0" collapsed="false">
      <c r="A3017" s="62" t="n">
        <v>0</v>
      </c>
      <c r="B3017" s="21" t="s">
        <v>336</v>
      </c>
      <c r="C3017" s="62" t="s">
        <v>60</v>
      </c>
      <c r="D3017" s="62" t="s">
        <v>384</v>
      </c>
      <c r="E3017" s="62" t="s">
        <v>72</v>
      </c>
      <c r="F3017" s="62" t="s">
        <v>382</v>
      </c>
      <c r="G3017" s="63" t="s">
        <v>688</v>
      </c>
      <c r="H3017" s="64" t="n">
        <v>1651931072.72796</v>
      </c>
      <c r="I3017" s="62" t="s">
        <v>81</v>
      </c>
      <c r="J3017" s="64" t="n">
        <v>1651931.07272796</v>
      </c>
      <c r="K3017" s="62" t="s">
        <v>138</v>
      </c>
      <c r="L3017" s="68" t="b">
        <f aca="false">FALSE()</f>
        <v>0</v>
      </c>
    </row>
    <row r="3018" customFormat="false" ht="15" hidden="false" customHeight="false" outlineLevel="0" collapsed="false">
      <c r="A3018" s="62" t="n">
        <v>0</v>
      </c>
      <c r="B3018" s="21" t="s">
        <v>336</v>
      </c>
      <c r="C3018" s="62" t="s">
        <v>60</v>
      </c>
      <c r="D3018" s="62" t="s">
        <v>385</v>
      </c>
      <c r="E3018" s="62" t="s">
        <v>72</v>
      </c>
      <c r="F3018" s="62" t="s">
        <v>382</v>
      </c>
      <c r="G3018" s="63" t="s">
        <v>688</v>
      </c>
      <c r="H3018" s="64" t="n">
        <v>1651931072.72796</v>
      </c>
      <c r="I3018" s="62" t="s">
        <v>81</v>
      </c>
      <c r="J3018" s="64" t="n">
        <v>1651931.07272796</v>
      </c>
      <c r="K3018" s="62" t="s">
        <v>138</v>
      </c>
      <c r="L3018" s="68" t="b">
        <f aca="false">FALSE()</f>
        <v>0</v>
      </c>
    </row>
    <row r="3019" customFormat="false" ht="15" hidden="false" customHeight="false" outlineLevel="0" collapsed="false">
      <c r="A3019" s="62" t="n">
        <v>0</v>
      </c>
      <c r="B3019" s="21" t="s">
        <v>336</v>
      </c>
      <c r="C3019" s="62" t="s">
        <v>60</v>
      </c>
      <c r="D3019" s="62" t="s">
        <v>386</v>
      </c>
      <c r="E3019" s="62" t="s">
        <v>72</v>
      </c>
      <c r="F3019" s="62" t="s">
        <v>382</v>
      </c>
      <c r="G3019" s="63" t="s">
        <v>688</v>
      </c>
      <c r="H3019" s="64" t="n">
        <v>1651931072.72796</v>
      </c>
      <c r="I3019" s="62" t="s">
        <v>81</v>
      </c>
      <c r="J3019" s="64" t="n">
        <v>1651931.07272796</v>
      </c>
      <c r="K3019" s="62" t="s">
        <v>138</v>
      </c>
      <c r="L3019" s="68" t="b">
        <f aca="false">FALSE()</f>
        <v>0</v>
      </c>
    </row>
    <row r="3020" customFormat="false" ht="15" hidden="false" customHeight="false" outlineLevel="0" collapsed="false">
      <c r="A3020" s="62" t="n">
        <v>0</v>
      </c>
      <c r="B3020" s="21" t="s">
        <v>336</v>
      </c>
      <c r="C3020" s="62" t="s">
        <v>60</v>
      </c>
      <c r="D3020" s="62" t="s">
        <v>387</v>
      </c>
      <c r="E3020" s="62" t="s">
        <v>72</v>
      </c>
      <c r="F3020" s="62" t="s">
        <v>382</v>
      </c>
      <c r="G3020" s="63" t="s">
        <v>688</v>
      </c>
      <c r="H3020" s="64" t="n">
        <v>1651931072.72796</v>
      </c>
      <c r="I3020" s="62" t="s">
        <v>81</v>
      </c>
      <c r="J3020" s="64" t="n">
        <v>1651931.07272796</v>
      </c>
      <c r="K3020" s="62" t="s">
        <v>138</v>
      </c>
      <c r="L3020" s="68" t="b">
        <f aca="false">FALSE()</f>
        <v>0</v>
      </c>
    </row>
    <row r="3021" customFormat="false" ht="15" hidden="false" customHeight="false" outlineLevel="0" collapsed="false">
      <c r="A3021" s="62" t="n">
        <v>0</v>
      </c>
      <c r="B3021" s="21" t="s">
        <v>336</v>
      </c>
      <c r="C3021" s="62" t="s">
        <v>60</v>
      </c>
      <c r="D3021" s="62" t="s">
        <v>388</v>
      </c>
      <c r="E3021" s="62" t="s">
        <v>72</v>
      </c>
      <c r="F3021" s="62" t="s">
        <v>382</v>
      </c>
      <c r="G3021" s="63" t="s">
        <v>688</v>
      </c>
      <c r="H3021" s="64" t="n">
        <v>1651931072.72796</v>
      </c>
      <c r="I3021" s="62" t="s">
        <v>81</v>
      </c>
      <c r="J3021" s="64" t="n">
        <v>1651931.07272796</v>
      </c>
      <c r="K3021" s="62" t="s">
        <v>138</v>
      </c>
      <c r="L3021" s="68" t="b">
        <f aca="false">FALSE()</f>
        <v>0</v>
      </c>
    </row>
    <row r="3022" customFormat="false" ht="15" hidden="false" customHeight="false" outlineLevel="0" collapsed="false">
      <c r="A3022" s="62" t="n">
        <v>0</v>
      </c>
      <c r="B3022" s="21" t="s">
        <v>336</v>
      </c>
      <c r="C3022" s="62" t="s">
        <v>60</v>
      </c>
      <c r="D3022" s="62" t="s">
        <v>381</v>
      </c>
      <c r="E3022" s="62" t="s">
        <v>72</v>
      </c>
      <c r="F3022" s="62" t="s">
        <v>382</v>
      </c>
      <c r="G3022" s="63" t="s">
        <v>689</v>
      </c>
      <c r="H3022" s="64" t="n">
        <v>24167751594.0101</v>
      </c>
      <c r="I3022" s="62" t="s">
        <v>81</v>
      </c>
      <c r="J3022" s="64" t="n">
        <v>24167751.5940101</v>
      </c>
      <c r="K3022" s="62" t="s">
        <v>138</v>
      </c>
      <c r="L3022" s="68" t="b">
        <f aca="false">FALSE()</f>
        <v>0</v>
      </c>
    </row>
    <row r="3023" customFormat="false" ht="15" hidden="false" customHeight="false" outlineLevel="0" collapsed="false">
      <c r="A3023" s="62" t="n">
        <v>0</v>
      </c>
      <c r="B3023" s="21" t="s">
        <v>336</v>
      </c>
      <c r="C3023" s="62" t="s">
        <v>60</v>
      </c>
      <c r="D3023" s="62" t="s">
        <v>383</v>
      </c>
      <c r="E3023" s="62" t="s">
        <v>72</v>
      </c>
      <c r="F3023" s="62" t="s">
        <v>382</v>
      </c>
      <c r="G3023" s="63" t="s">
        <v>689</v>
      </c>
      <c r="H3023" s="64" t="n">
        <v>24167751594.0101</v>
      </c>
      <c r="I3023" s="62" t="s">
        <v>81</v>
      </c>
      <c r="J3023" s="64" t="n">
        <v>24167751.5940101</v>
      </c>
      <c r="K3023" s="62" t="s">
        <v>138</v>
      </c>
      <c r="L3023" s="68" t="b">
        <f aca="false">FALSE()</f>
        <v>0</v>
      </c>
    </row>
    <row r="3024" customFormat="false" ht="15" hidden="false" customHeight="false" outlineLevel="0" collapsed="false">
      <c r="A3024" s="62" t="n">
        <v>0</v>
      </c>
      <c r="B3024" s="21" t="s">
        <v>336</v>
      </c>
      <c r="C3024" s="62" t="s">
        <v>60</v>
      </c>
      <c r="D3024" s="62" t="s">
        <v>384</v>
      </c>
      <c r="E3024" s="62" t="s">
        <v>72</v>
      </c>
      <c r="F3024" s="62" t="s">
        <v>382</v>
      </c>
      <c r="G3024" s="63" t="s">
        <v>689</v>
      </c>
      <c r="H3024" s="64" t="n">
        <v>24167751594.0101</v>
      </c>
      <c r="I3024" s="62" t="s">
        <v>81</v>
      </c>
      <c r="J3024" s="64" t="n">
        <v>24167751.5940101</v>
      </c>
      <c r="K3024" s="62" t="s">
        <v>138</v>
      </c>
      <c r="L3024" s="68" t="b">
        <f aca="false">FALSE()</f>
        <v>0</v>
      </c>
    </row>
    <row r="3025" customFormat="false" ht="15" hidden="false" customHeight="false" outlineLevel="0" collapsed="false">
      <c r="A3025" s="62" t="n">
        <v>0</v>
      </c>
      <c r="B3025" s="21" t="s">
        <v>336</v>
      </c>
      <c r="C3025" s="62" t="s">
        <v>60</v>
      </c>
      <c r="D3025" s="62" t="s">
        <v>385</v>
      </c>
      <c r="E3025" s="62" t="s">
        <v>72</v>
      </c>
      <c r="F3025" s="62" t="s">
        <v>382</v>
      </c>
      <c r="G3025" s="63" t="s">
        <v>689</v>
      </c>
      <c r="H3025" s="64" t="n">
        <v>24167751594.0101</v>
      </c>
      <c r="I3025" s="62" t="s">
        <v>81</v>
      </c>
      <c r="J3025" s="64" t="n">
        <v>24167751.5940101</v>
      </c>
      <c r="K3025" s="62" t="s">
        <v>138</v>
      </c>
      <c r="L3025" s="68" t="b">
        <f aca="false">FALSE()</f>
        <v>0</v>
      </c>
    </row>
    <row r="3026" customFormat="false" ht="15" hidden="false" customHeight="false" outlineLevel="0" collapsed="false">
      <c r="A3026" s="62" t="n">
        <v>0</v>
      </c>
      <c r="B3026" s="21" t="s">
        <v>336</v>
      </c>
      <c r="C3026" s="62" t="s">
        <v>60</v>
      </c>
      <c r="D3026" s="62" t="s">
        <v>386</v>
      </c>
      <c r="E3026" s="62" t="s">
        <v>72</v>
      </c>
      <c r="F3026" s="62" t="s">
        <v>382</v>
      </c>
      <c r="G3026" s="63" t="s">
        <v>689</v>
      </c>
      <c r="H3026" s="64" t="n">
        <v>24167751594.0101</v>
      </c>
      <c r="I3026" s="62" t="s">
        <v>81</v>
      </c>
      <c r="J3026" s="64" t="n">
        <v>24167751.5940101</v>
      </c>
      <c r="K3026" s="62" t="s">
        <v>138</v>
      </c>
      <c r="L3026" s="68" t="b">
        <f aca="false">FALSE()</f>
        <v>0</v>
      </c>
    </row>
    <row r="3027" customFormat="false" ht="15" hidden="false" customHeight="false" outlineLevel="0" collapsed="false">
      <c r="A3027" s="62" t="n">
        <v>0</v>
      </c>
      <c r="B3027" s="21" t="s">
        <v>336</v>
      </c>
      <c r="C3027" s="62" t="s">
        <v>60</v>
      </c>
      <c r="D3027" s="62" t="s">
        <v>387</v>
      </c>
      <c r="E3027" s="62" t="s">
        <v>72</v>
      </c>
      <c r="F3027" s="62" t="s">
        <v>382</v>
      </c>
      <c r="G3027" s="63" t="s">
        <v>689</v>
      </c>
      <c r="H3027" s="64" t="n">
        <v>24167751594.0101</v>
      </c>
      <c r="I3027" s="62" t="s">
        <v>81</v>
      </c>
      <c r="J3027" s="64" t="n">
        <v>24167751.5940101</v>
      </c>
      <c r="K3027" s="62" t="s">
        <v>138</v>
      </c>
      <c r="L3027" s="68" t="b">
        <f aca="false">FALSE()</f>
        <v>0</v>
      </c>
    </row>
    <row r="3028" customFormat="false" ht="15" hidden="false" customHeight="false" outlineLevel="0" collapsed="false">
      <c r="A3028" s="62" t="n">
        <v>0</v>
      </c>
      <c r="B3028" s="21" t="s">
        <v>336</v>
      </c>
      <c r="C3028" s="62" t="s">
        <v>60</v>
      </c>
      <c r="D3028" s="62" t="s">
        <v>388</v>
      </c>
      <c r="E3028" s="62" t="s">
        <v>72</v>
      </c>
      <c r="F3028" s="62" t="s">
        <v>382</v>
      </c>
      <c r="G3028" s="63" t="s">
        <v>689</v>
      </c>
      <c r="H3028" s="64" t="n">
        <v>24167751594.0101</v>
      </c>
      <c r="I3028" s="62" t="s">
        <v>81</v>
      </c>
      <c r="J3028" s="64" t="n">
        <v>24167751.5940101</v>
      </c>
      <c r="K3028" s="62" t="s">
        <v>138</v>
      </c>
      <c r="L3028" s="68" t="b">
        <f aca="false">FALSE()</f>
        <v>0</v>
      </c>
    </row>
    <row r="3029" customFormat="false" ht="15" hidden="false" customHeight="false" outlineLevel="0" collapsed="false">
      <c r="A3029" s="62" t="n">
        <v>0</v>
      </c>
      <c r="B3029" s="21" t="s">
        <v>336</v>
      </c>
      <c r="C3029" s="62" t="s">
        <v>60</v>
      </c>
      <c r="D3029" s="62" t="s">
        <v>381</v>
      </c>
      <c r="E3029" s="62" t="s">
        <v>72</v>
      </c>
      <c r="F3029" s="62" t="s">
        <v>382</v>
      </c>
      <c r="G3029" s="63" t="s">
        <v>690</v>
      </c>
      <c r="H3029" s="64" t="n">
        <v>1268804553.31336</v>
      </c>
      <c r="I3029" s="62" t="s">
        <v>81</v>
      </c>
      <c r="J3029" s="64" t="n">
        <v>1268804.55331336</v>
      </c>
      <c r="K3029" s="62" t="s">
        <v>138</v>
      </c>
      <c r="L3029" s="68" t="b">
        <f aca="false">FALSE()</f>
        <v>0</v>
      </c>
    </row>
    <row r="3030" customFormat="false" ht="15" hidden="false" customHeight="false" outlineLevel="0" collapsed="false">
      <c r="A3030" s="62" t="n">
        <v>0</v>
      </c>
      <c r="B3030" s="21" t="s">
        <v>336</v>
      </c>
      <c r="C3030" s="62" t="s">
        <v>60</v>
      </c>
      <c r="D3030" s="62" t="s">
        <v>383</v>
      </c>
      <c r="E3030" s="62" t="s">
        <v>72</v>
      </c>
      <c r="F3030" s="62" t="s">
        <v>382</v>
      </c>
      <c r="G3030" s="63" t="s">
        <v>690</v>
      </c>
      <c r="H3030" s="64" t="n">
        <v>1268804553.31336</v>
      </c>
      <c r="I3030" s="62" t="s">
        <v>81</v>
      </c>
      <c r="J3030" s="64" t="n">
        <v>1268804.55331336</v>
      </c>
      <c r="K3030" s="62" t="s">
        <v>138</v>
      </c>
      <c r="L3030" s="68" t="b">
        <f aca="false">FALSE()</f>
        <v>0</v>
      </c>
    </row>
    <row r="3031" customFormat="false" ht="15" hidden="false" customHeight="false" outlineLevel="0" collapsed="false">
      <c r="A3031" s="62" t="n">
        <v>0</v>
      </c>
      <c r="B3031" s="21" t="s">
        <v>336</v>
      </c>
      <c r="C3031" s="62" t="s">
        <v>60</v>
      </c>
      <c r="D3031" s="62" t="s">
        <v>384</v>
      </c>
      <c r="E3031" s="62" t="s">
        <v>72</v>
      </c>
      <c r="F3031" s="62" t="s">
        <v>382</v>
      </c>
      <c r="G3031" s="63" t="s">
        <v>690</v>
      </c>
      <c r="H3031" s="64" t="n">
        <v>1268804553.31336</v>
      </c>
      <c r="I3031" s="62" t="s">
        <v>81</v>
      </c>
      <c r="J3031" s="64" t="n">
        <v>1268804.55331336</v>
      </c>
      <c r="K3031" s="62" t="s">
        <v>138</v>
      </c>
      <c r="L3031" s="68" t="b">
        <f aca="false">FALSE()</f>
        <v>0</v>
      </c>
    </row>
    <row r="3032" customFormat="false" ht="15" hidden="false" customHeight="false" outlineLevel="0" collapsed="false">
      <c r="A3032" s="62" t="n">
        <v>0</v>
      </c>
      <c r="B3032" s="21" t="s">
        <v>336</v>
      </c>
      <c r="C3032" s="62" t="s">
        <v>60</v>
      </c>
      <c r="D3032" s="62" t="s">
        <v>385</v>
      </c>
      <c r="E3032" s="62" t="s">
        <v>72</v>
      </c>
      <c r="F3032" s="62" t="s">
        <v>382</v>
      </c>
      <c r="G3032" s="63" t="s">
        <v>690</v>
      </c>
      <c r="H3032" s="64" t="n">
        <v>1268804553.31336</v>
      </c>
      <c r="I3032" s="62" t="s">
        <v>81</v>
      </c>
      <c r="J3032" s="64" t="n">
        <v>1268804.55331336</v>
      </c>
      <c r="K3032" s="62" t="s">
        <v>138</v>
      </c>
      <c r="L3032" s="68" t="b">
        <f aca="false">FALSE()</f>
        <v>0</v>
      </c>
    </row>
    <row r="3033" customFormat="false" ht="15" hidden="false" customHeight="false" outlineLevel="0" collapsed="false">
      <c r="A3033" s="62" t="n">
        <v>0</v>
      </c>
      <c r="B3033" s="21" t="s">
        <v>336</v>
      </c>
      <c r="C3033" s="62" t="s">
        <v>60</v>
      </c>
      <c r="D3033" s="62" t="s">
        <v>386</v>
      </c>
      <c r="E3033" s="62" t="s">
        <v>72</v>
      </c>
      <c r="F3033" s="62" t="s">
        <v>382</v>
      </c>
      <c r="G3033" s="63" t="s">
        <v>690</v>
      </c>
      <c r="H3033" s="64" t="n">
        <v>1268804553.31336</v>
      </c>
      <c r="I3033" s="62" t="s">
        <v>81</v>
      </c>
      <c r="J3033" s="64" t="n">
        <v>1268804.55331336</v>
      </c>
      <c r="K3033" s="62" t="s">
        <v>138</v>
      </c>
      <c r="L3033" s="68" t="b">
        <f aca="false">FALSE()</f>
        <v>0</v>
      </c>
    </row>
    <row r="3034" customFormat="false" ht="15" hidden="false" customHeight="false" outlineLevel="0" collapsed="false">
      <c r="A3034" s="62" t="n">
        <v>0</v>
      </c>
      <c r="B3034" s="21" t="s">
        <v>336</v>
      </c>
      <c r="C3034" s="62" t="s">
        <v>60</v>
      </c>
      <c r="D3034" s="62" t="s">
        <v>387</v>
      </c>
      <c r="E3034" s="62" t="s">
        <v>72</v>
      </c>
      <c r="F3034" s="62" t="s">
        <v>382</v>
      </c>
      <c r="G3034" s="63" t="s">
        <v>690</v>
      </c>
      <c r="H3034" s="64" t="n">
        <v>1268804553.31336</v>
      </c>
      <c r="I3034" s="62" t="s">
        <v>81</v>
      </c>
      <c r="J3034" s="64" t="n">
        <v>1268804.55331336</v>
      </c>
      <c r="K3034" s="62" t="s">
        <v>138</v>
      </c>
      <c r="L3034" s="68" t="b">
        <f aca="false">FALSE()</f>
        <v>0</v>
      </c>
    </row>
    <row r="3035" customFormat="false" ht="15" hidden="false" customHeight="false" outlineLevel="0" collapsed="false">
      <c r="A3035" s="62" t="n">
        <v>0</v>
      </c>
      <c r="B3035" s="21" t="s">
        <v>336</v>
      </c>
      <c r="C3035" s="62" t="s">
        <v>60</v>
      </c>
      <c r="D3035" s="62" t="s">
        <v>388</v>
      </c>
      <c r="E3035" s="62" t="s">
        <v>72</v>
      </c>
      <c r="F3035" s="62" t="s">
        <v>382</v>
      </c>
      <c r="G3035" s="63" t="s">
        <v>690</v>
      </c>
      <c r="H3035" s="64" t="n">
        <v>1268804553.31336</v>
      </c>
      <c r="I3035" s="62" t="s">
        <v>81</v>
      </c>
      <c r="J3035" s="64" t="n">
        <v>1268804.55331336</v>
      </c>
      <c r="K3035" s="62" t="s">
        <v>138</v>
      </c>
      <c r="L3035" s="68" t="b">
        <f aca="false">FALSE()</f>
        <v>0</v>
      </c>
    </row>
    <row r="3036" customFormat="false" ht="15" hidden="false" customHeight="false" outlineLevel="0" collapsed="false">
      <c r="A3036" s="62" t="n">
        <v>0</v>
      </c>
      <c r="B3036" s="21" t="s">
        <v>336</v>
      </c>
      <c r="C3036" s="62" t="s">
        <v>60</v>
      </c>
      <c r="D3036" s="62" t="s">
        <v>381</v>
      </c>
      <c r="E3036" s="62" t="s">
        <v>72</v>
      </c>
      <c r="F3036" s="62" t="s">
        <v>382</v>
      </c>
      <c r="G3036" s="63" t="s">
        <v>691</v>
      </c>
      <c r="H3036" s="64" t="n">
        <v>21950318772.3211</v>
      </c>
      <c r="I3036" s="62" t="s">
        <v>81</v>
      </c>
      <c r="J3036" s="64" t="n">
        <v>21950318.7723211</v>
      </c>
      <c r="K3036" s="62" t="s">
        <v>138</v>
      </c>
      <c r="L3036" s="68" t="b">
        <f aca="false">FALSE()</f>
        <v>0</v>
      </c>
    </row>
    <row r="3037" customFormat="false" ht="15" hidden="false" customHeight="false" outlineLevel="0" collapsed="false">
      <c r="A3037" s="62" t="n">
        <v>0</v>
      </c>
      <c r="B3037" s="21" t="s">
        <v>336</v>
      </c>
      <c r="C3037" s="62" t="s">
        <v>60</v>
      </c>
      <c r="D3037" s="62" t="s">
        <v>383</v>
      </c>
      <c r="E3037" s="62" t="s">
        <v>72</v>
      </c>
      <c r="F3037" s="62" t="s">
        <v>382</v>
      </c>
      <c r="G3037" s="63" t="s">
        <v>691</v>
      </c>
      <c r="H3037" s="64" t="n">
        <v>21950318772.3211</v>
      </c>
      <c r="I3037" s="62" t="s">
        <v>81</v>
      </c>
      <c r="J3037" s="64" t="n">
        <v>21950318.7723211</v>
      </c>
      <c r="K3037" s="62" t="s">
        <v>138</v>
      </c>
      <c r="L3037" s="68" t="b">
        <f aca="false">FALSE()</f>
        <v>0</v>
      </c>
    </row>
    <row r="3038" customFormat="false" ht="15" hidden="false" customHeight="false" outlineLevel="0" collapsed="false">
      <c r="A3038" s="62" t="n">
        <v>0</v>
      </c>
      <c r="B3038" s="21" t="s">
        <v>336</v>
      </c>
      <c r="C3038" s="62" t="s">
        <v>60</v>
      </c>
      <c r="D3038" s="62" t="s">
        <v>384</v>
      </c>
      <c r="E3038" s="62" t="s">
        <v>72</v>
      </c>
      <c r="F3038" s="62" t="s">
        <v>382</v>
      </c>
      <c r="G3038" s="63" t="s">
        <v>691</v>
      </c>
      <c r="H3038" s="64" t="n">
        <v>21950318772.3211</v>
      </c>
      <c r="I3038" s="62" t="s">
        <v>81</v>
      </c>
      <c r="J3038" s="64" t="n">
        <v>21950318.7723211</v>
      </c>
      <c r="K3038" s="62" t="s">
        <v>138</v>
      </c>
      <c r="L3038" s="68" t="b">
        <f aca="false">FALSE()</f>
        <v>0</v>
      </c>
    </row>
    <row r="3039" customFormat="false" ht="15" hidden="false" customHeight="false" outlineLevel="0" collapsed="false">
      <c r="A3039" s="62" t="n">
        <v>0</v>
      </c>
      <c r="B3039" s="21" t="s">
        <v>336</v>
      </c>
      <c r="C3039" s="62" t="s">
        <v>60</v>
      </c>
      <c r="D3039" s="62" t="s">
        <v>385</v>
      </c>
      <c r="E3039" s="62" t="s">
        <v>72</v>
      </c>
      <c r="F3039" s="62" t="s">
        <v>382</v>
      </c>
      <c r="G3039" s="63" t="s">
        <v>691</v>
      </c>
      <c r="H3039" s="64" t="n">
        <v>21950318772.3211</v>
      </c>
      <c r="I3039" s="62" t="s">
        <v>81</v>
      </c>
      <c r="J3039" s="64" t="n">
        <v>21950318.7723211</v>
      </c>
      <c r="K3039" s="62" t="s">
        <v>138</v>
      </c>
      <c r="L3039" s="68" t="b">
        <f aca="false">FALSE()</f>
        <v>0</v>
      </c>
    </row>
    <row r="3040" customFormat="false" ht="15" hidden="false" customHeight="false" outlineLevel="0" collapsed="false">
      <c r="A3040" s="62" t="n">
        <v>0</v>
      </c>
      <c r="B3040" s="21" t="s">
        <v>336</v>
      </c>
      <c r="C3040" s="62" t="s">
        <v>60</v>
      </c>
      <c r="D3040" s="62" t="s">
        <v>386</v>
      </c>
      <c r="E3040" s="62" t="s">
        <v>72</v>
      </c>
      <c r="F3040" s="62" t="s">
        <v>382</v>
      </c>
      <c r="G3040" s="63" t="s">
        <v>691</v>
      </c>
      <c r="H3040" s="64" t="n">
        <v>21950318772.3211</v>
      </c>
      <c r="I3040" s="62" t="s">
        <v>81</v>
      </c>
      <c r="J3040" s="64" t="n">
        <v>21950318.7723211</v>
      </c>
      <c r="K3040" s="62" t="s">
        <v>138</v>
      </c>
      <c r="L3040" s="68" t="b">
        <f aca="false">FALSE()</f>
        <v>0</v>
      </c>
    </row>
    <row r="3041" customFormat="false" ht="15" hidden="false" customHeight="false" outlineLevel="0" collapsed="false">
      <c r="A3041" s="62" t="n">
        <v>0</v>
      </c>
      <c r="B3041" s="21" t="s">
        <v>336</v>
      </c>
      <c r="C3041" s="62" t="s">
        <v>60</v>
      </c>
      <c r="D3041" s="62" t="s">
        <v>387</v>
      </c>
      <c r="E3041" s="62" t="s">
        <v>72</v>
      </c>
      <c r="F3041" s="62" t="s">
        <v>382</v>
      </c>
      <c r="G3041" s="63" t="s">
        <v>691</v>
      </c>
      <c r="H3041" s="64" t="n">
        <v>21950318772.3211</v>
      </c>
      <c r="I3041" s="62" t="s">
        <v>81</v>
      </c>
      <c r="J3041" s="64" t="n">
        <v>21950318.7723211</v>
      </c>
      <c r="K3041" s="62" t="s">
        <v>138</v>
      </c>
      <c r="L3041" s="68" t="b">
        <f aca="false">FALSE()</f>
        <v>0</v>
      </c>
    </row>
    <row r="3042" customFormat="false" ht="15" hidden="false" customHeight="false" outlineLevel="0" collapsed="false">
      <c r="A3042" s="62" t="n">
        <v>0</v>
      </c>
      <c r="B3042" s="21" t="s">
        <v>336</v>
      </c>
      <c r="C3042" s="62" t="s">
        <v>60</v>
      </c>
      <c r="D3042" s="62" t="s">
        <v>388</v>
      </c>
      <c r="E3042" s="62" t="s">
        <v>72</v>
      </c>
      <c r="F3042" s="62" t="s">
        <v>382</v>
      </c>
      <c r="G3042" s="63" t="s">
        <v>691</v>
      </c>
      <c r="H3042" s="64" t="n">
        <v>21950318772.3211</v>
      </c>
      <c r="I3042" s="62" t="s">
        <v>81</v>
      </c>
      <c r="J3042" s="64" t="n">
        <v>21950318.7723211</v>
      </c>
      <c r="K3042" s="62" t="s">
        <v>138</v>
      </c>
      <c r="L3042" s="68" t="b">
        <f aca="false">FALSE()</f>
        <v>0</v>
      </c>
    </row>
    <row r="3043" customFormat="false" ht="15" hidden="false" customHeight="false" outlineLevel="0" collapsed="false">
      <c r="A3043" s="62" t="n">
        <v>0</v>
      </c>
      <c r="B3043" s="21" t="s">
        <v>336</v>
      </c>
      <c r="C3043" s="62" t="s">
        <v>60</v>
      </c>
      <c r="D3043" s="62" t="s">
        <v>381</v>
      </c>
      <c r="E3043" s="62" t="s">
        <v>72</v>
      </c>
      <c r="F3043" s="62" t="s">
        <v>382</v>
      </c>
      <c r="G3043" s="63" t="s">
        <v>692</v>
      </c>
      <c r="H3043" s="64" t="n">
        <v>640266823.76334</v>
      </c>
      <c r="I3043" s="62" t="s">
        <v>81</v>
      </c>
      <c r="J3043" s="64" t="n">
        <v>640266.82376334</v>
      </c>
      <c r="K3043" s="62" t="s">
        <v>138</v>
      </c>
      <c r="L3043" s="68" t="b">
        <f aca="false">FALSE()</f>
        <v>0</v>
      </c>
    </row>
    <row r="3044" customFormat="false" ht="15" hidden="false" customHeight="false" outlineLevel="0" collapsed="false">
      <c r="A3044" s="62" t="n">
        <v>0</v>
      </c>
      <c r="B3044" s="21" t="s">
        <v>336</v>
      </c>
      <c r="C3044" s="62" t="s">
        <v>60</v>
      </c>
      <c r="D3044" s="62" t="s">
        <v>383</v>
      </c>
      <c r="E3044" s="62" t="s">
        <v>72</v>
      </c>
      <c r="F3044" s="62" t="s">
        <v>382</v>
      </c>
      <c r="G3044" s="63" t="s">
        <v>692</v>
      </c>
      <c r="H3044" s="64" t="n">
        <v>640266823.76334</v>
      </c>
      <c r="I3044" s="62" t="s">
        <v>81</v>
      </c>
      <c r="J3044" s="64" t="n">
        <v>640266.82376334</v>
      </c>
      <c r="K3044" s="62" t="s">
        <v>138</v>
      </c>
      <c r="L3044" s="68" t="b">
        <f aca="false">FALSE()</f>
        <v>0</v>
      </c>
    </row>
    <row r="3045" customFormat="false" ht="15" hidden="false" customHeight="false" outlineLevel="0" collapsed="false">
      <c r="A3045" s="62" t="n">
        <v>0</v>
      </c>
      <c r="B3045" s="21" t="s">
        <v>336</v>
      </c>
      <c r="C3045" s="62" t="s">
        <v>60</v>
      </c>
      <c r="D3045" s="62" t="s">
        <v>384</v>
      </c>
      <c r="E3045" s="62" t="s">
        <v>72</v>
      </c>
      <c r="F3045" s="62" t="s">
        <v>382</v>
      </c>
      <c r="G3045" s="63" t="s">
        <v>692</v>
      </c>
      <c r="H3045" s="64" t="n">
        <v>640266823.76334</v>
      </c>
      <c r="I3045" s="62" t="s">
        <v>81</v>
      </c>
      <c r="J3045" s="64" t="n">
        <v>640266.82376334</v>
      </c>
      <c r="K3045" s="62" t="s">
        <v>138</v>
      </c>
      <c r="L3045" s="68" t="b">
        <f aca="false">FALSE()</f>
        <v>0</v>
      </c>
    </row>
    <row r="3046" customFormat="false" ht="15" hidden="false" customHeight="false" outlineLevel="0" collapsed="false">
      <c r="A3046" s="62" t="n">
        <v>0</v>
      </c>
      <c r="B3046" s="21" t="s">
        <v>336</v>
      </c>
      <c r="C3046" s="62" t="s">
        <v>60</v>
      </c>
      <c r="D3046" s="62" t="s">
        <v>385</v>
      </c>
      <c r="E3046" s="62" t="s">
        <v>72</v>
      </c>
      <c r="F3046" s="62" t="s">
        <v>382</v>
      </c>
      <c r="G3046" s="63" t="s">
        <v>692</v>
      </c>
      <c r="H3046" s="64" t="n">
        <v>640266823.76334</v>
      </c>
      <c r="I3046" s="62" t="s">
        <v>81</v>
      </c>
      <c r="J3046" s="64" t="n">
        <v>640266.82376334</v>
      </c>
      <c r="K3046" s="62" t="s">
        <v>138</v>
      </c>
      <c r="L3046" s="68" t="b">
        <f aca="false">FALSE()</f>
        <v>0</v>
      </c>
    </row>
    <row r="3047" customFormat="false" ht="15" hidden="false" customHeight="false" outlineLevel="0" collapsed="false">
      <c r="A3047" s="62" t="n">
        <v>0</v>
      </c>
      <c r="B3047" s="21" t="s">
        <v>336</v>
      </c>
      <c r="C3047" s="62" t="s">
        <v>60</v>
      </c>
      <c r="D3047" s="62" t="s">
        <v>386</v>
      </c>
      <c r="E3047" s="62" t="s">
        <v>72</v>
      </c>
      <c r="F3047" s="62" t="s">
        <v>382</v>
      </c>
      <c r="G3047" s="63" t="s">
        <v>692</v>
      </c>
      <c r="H3047" s="64" t="n">
        <v>640266823.76334</v>
      </c>
      <c r="I3047" s="62" t="s">
        <v>81</v>
      </c>
      <c r="J3047" s="64" t="n">
        <v>640266.82376334</v>
      </c>
      <c r="K3047" s="62" t="s">
        <v>138</v>
      </c>
      <c r="L3047" s="68" t="b">
        <f aca="false">FALSE()</f>
        <v>0</v>
      </c>
    </row>
    <row r="3048" customFormat="false" ht="15" hidden="false" customHeight="false" outlineLevel="0" collapsed="false">
      <c r="A3048" s="62" t="n">
        <v>0</v>
      </c>
      <c r="B3048" s="21" t="s">
        <v>336</v>
      </c>
      <c r="C3048" s="62" t="s">
        <v>60</v>
      </c>
      <c r="D3048" s="62" t="s">
        <v>387</v>
      </c>
      <c r="E3048" s="62" t="s">
        <v>72</v>
      </c>
      <c r="F3048" s="62" t="s">
        <v>382</v>
      </c>
      <c r="G3048" s="63" t="s">
        <v>692</v>
      </c>
      <c r="H3048" s="64" t="n">
        <v>640266823.76334</v>
      </c>
      <c r="I3048" s="62" t="s">
        <v>81</v>
      </c>
      <c r="J3048" s="64" t="n">
        <v>640266.82376334</v>
      </c>
      <c r="K3048" s="62" t="s">
        <v>138</v>
      </c>
      <c r="L3048" s="68" t="b">
        <f aca="false">FALSE()</f>
        <v>0</v>
      </c>
    </row>
    <row r="3049" customFormat="false" ht="15" hidden="false" customHeight="false" outlineLevel="0" collapsed="false">
      <c r="A3049" s="62" t="n">
        <v>0</v>
      </c>
      <c r="B3049" s="21" t="s">
        <v>336</v>
      </c>
      <c r="C3049" s="62" t="s">
        <v>60</v>
      </c>
      <c r="D3049" s="62" t="s">
        <v>388</v>
      </c>
      <c r="E3049" s="62" t="s">
        <v>72</v>
      </c>
      <c r="F3049" s="62" t="s">
        <v>382</v>
      </c>
      <c r="G3049" s="63" t="s">
        <v>692</v>
      </c>
      <c r="H3049" s="64" t="n">
        <v>640266823.76334</v>
      </c>
      <c r="I3049" s="62" t="s">
        <v>81</v>
      </c>
      <c r="J3049" s="64" t="n">
        <v>640266.82376334</v>
      </c>
      <c r="K3049" s="62" t="s">
        <v>138</v>
      </c>
      <c r="L3049" s="68" t="b">
        <f aca="false">FALSE()</f>
        <v>0</v>
      </c>
    </row>
    <row r="3050" customFormat="false" ht="15" hidden="false" customHeight="false" outlineLevel="0" collapsed="false">
      <c r="A3050" s="62" t="n">
        <v>0</v>
      </c>
      <c r="B3050" s="21" t="s">
        <v>336</v>
      </c>
      <c r="C3050" s="62" t="s">
        <v>60</v>
      </c>
      <c r="D3050" s="62" t="s">
        <v>381</v>
      </c>
      <c r="E3050" s="62" t="s">
        <v>72</v>
      </c>
      <c r="F3050" s="62" t="s">
        <v>382</v>
      </c>
      <c r="G3050" s="63" t="s">
        <v>693</v>
      </c>
      <c r="H3050" s="64" t="n">
        <v>1176203834.74677</v>
      </c>
      <c r="I3050" s="62" t="s">
        <v>81</v>
      </c>
      <c r="J3050" s="64" t="n">
        <v>1176203.83474677</v>
      </c>
      <c r="K3050" s="62" t="s">
        <v>138</v>
      </c>
      <c r="L3050" s="68" t="b">
        <f aca="false">FALSE()</f>
        <v>0</v>
      </c>
    </row>
    <row r="3051" customFormat="false" ht="15" hidden="false" customHeight="false" outlineLevel="0" collapsed="false">
      <c r="A3051" s="62" t="n">
        <v>0</v>
      </c>
      <c r="B3051" s="21" t="s">
        <v>336</v>
      </c>
      <c r="C3051" s="62" t="s">
        <v>60</v>
      </c>
      <c r="D3051" s="62" t="s">
        <v>383</v>
      </c>
      <c r="E3051" s="62" t="s">
        <v>72</v>
      </c>
      <c r="F3051" s="62" t="s">
        <v>382</v>
      </c>
      <c r="G3051" s="63" t="s">
        <v>693</v>
      </c>
      <c r="H3051" s="64" t="n">
        <v>1176203834.74677</v>
      </c>
      <c r="I3051" s="62" t="s">
        <v>81</v>
      </c>
      <c r="J3051" s="64" t="n">
        <v>1176203.83474677</v>
      </c>
      <c r="K3051" s="62" t="s">
        <v>138</v>
      </c>
      <c r="L3051" s="68" t="b">
        <f aca="false">FALSE()</f>
        <v>0</v>
      </c>
    </row>
    <row r="3052" customFormat="false" ht="15" hidden="false" customHeight="false" outlineLevel="0" collapsed="false">
      <c r="A3052" s="62" t="n">
        <v>0</v>
      </c>
      <c r="B3052" s="21" t="s">
        <v>336</v>
      </c>
      <c r="C3052" s="62" t="s">
        <v>60</v>
      </c>
      <c r="D3052" s="62" t="s">
        <v>384</v>
      </c>
      <c r="E3052" s="62" t="s">
        <v>72</v>
      </c>
      <c r="F3052" s="62" t="s">
        <v>382</v>
      </c>
      <c r="G3052" s="63" t="s">
        <v>693</v>
      </c>
      <c r="H3052" s="64" t="n">
        <v>1176203834.74677</v>
      </c>
      <c r="I3052" s="62" t="s">
        <v>81</v>
      </c>
      <c r="J3052" s="64" t="n">
        <v>1176203.83474677</v>
      </c>
      <c r="K3052" s="62" t="s">
        <v>138</v>
      </c>
      <c r="L3052" s="68" t="b">
        <f aca="false">FALSE()</f>
        <v>0</v>
      </c>
    </row>
    <row r="3053" customFormat="false" ht="15" hidden="false" customHeight="false" outlineLevel="0" collapsed="false">
      <c r="A3053" s="62" t="n">
        <v>0</v>
      </c>
      <c r="B3053" s="21" t="s">
        <v>336</v>
      </c>
      <c r="C3053" s="62" t="s">
        <v>60</v>
      </c>
      <c r="D3053" s="62" t="s">
        <v>385</v>
      </c>
      <c r="E3053" s="62" t="s">
        <v>72</v>
      </c>
      <c r="F3053" s="62" t="s">
        <v>382</v>
      </c>
      <c r="G3053" s="63" t="s">
        <v>693</v>
      </c>
      <c r="H3053" s="64" t="n">
        <v>1176203834.74677</v>
      </c>
      <c r="I3053" s="62" t="s">
        <v>81</v>
      </c>
      <c r="J3053" s="64" t="n">
        <v>1176203.83474677</v>
      </c>
      <c r="K3053" s="62" t="s">
        <v>138</v>
      </c>
      <c r="L3053" s="68" t="b">
        <f aca="false">FALSE()</f>
        <v>0</v>
      </c>
    </row>
    <row r="3054" customFormat="false" ht="15" hidden="false" customHeight="false" outlineLevel="0" collapsed="false">
      <c r="A3054" s="62" t="n">
        <v>0</v>
      </c>
      <c r="B3054" s="21" t="s">
        <v>336</v>
      </c>
      <c r="C3054" s="62" t="s">
        <v>60</v>
      </c>
      <c r="D3054" s="62" t="s">
        <v>386</v>
      </c>
      <c r="E3054" s="62" t="s">
        <v>72</v>
      </c>
      <c r="F3054" s="62" t="s">
        <v>382</v>
      </c>
      <c r="G3054" s="63" t="s">
        <v>693</v>
      </c>
      <c r="H3054" s="64" t="n">
        <v>1176203834.74677</v>
      </c>
      <c r="I3054" s="62" t="s">
        <v>81</v>
      </c>
      <c r="J3054" s="64" t="n">
        <v>1176203.83474677</v>
      </c>
      <c r="K3054" s="62" t="s">
        <v>138</v>
      </c>
      <c r="L3054" s="68" t="b">
        <f aca="false">FALSE()</f>
        <v>0</v>
      </c>
    </row>
    <row r="3055" customFormat="false" ht="15" hidden="false" customHeight="false" outlineLevel="0" collapsed="false">
      <c r="A3055" s="62" t="n">
        <v>0</v>
      </c>
      <c r="B3055" s="21" t="s">
        <v>336</v>
      </c>
      <c r="C3055" s="62" t="s">
        <v>60</v>
      </c>
      <c r="D3055" s="62" t="s">
        <v>387</v>
      </c>
      <c r="E3055" s="62" t="s">
        <v>72</v>
      </c>
      <c r="F3055" s="62" t="s">
        <v>382</v>
      </c>
      <c r="G3055" s="63" t="s">
        <v>693</v>
      </c>
      <c r="H3055" s="64" t="n">
        <v>1176203834.74677</v>
      </c>
      <c r="I3055" s="62" t="s">
        <v>81</v>
      </c>
      <c r="J3055" s="64" t="n">
        <v>1176203.83474677</v>
      </c>
      <c r="K3055" s="62" t="s">
        <v>138</v>
      </c>
      <c r="L3055" s="68" t="b">
        <f aca="false">FALSE()</f>
        <v>0</v>
      </c>
    </row>
    <row r="3056" customFormat="false" ht="15" hidden="false" customHeight="false" outlineLevel="0" collapsed="false">
      <c r="A3056" s="62" t="n">
        <v>0</v>
      </c>
      <c r="B3056" s="21" t="s">
        <v>336</v>
      </c>
      <c r="C3056" s="62" t="s">
        <v>60</v>
      </c>
      <c r="D3056" s="62" t="s">
        <v>388</v>
      </c>
      <c r="E3056" s="62" t="s">
        <v>72</v>
      </c>
      <c r="F3056" s="62" t="s">
        <v>382</v>
      </c>
      <c r="G3056" s="63" t="s">
        <v>693</v>
      </c>
      <c r="H3056" s="64" t="n">
        <v>1176203834.74677</v>
      </c>
      <c r="I3056" s="62" t="s">
        <v>81</v>
      </c>
      <c r="J3056" s="64" t="n">
        <v>1176203.83474677</v>
      </c>
      <c r="K3056" s="62" t="s">
        <v>138</v>
      </c>
      <c r="L3056" s="68" t="b">
        <f aca="false">FALSE()</f>
        <v>0</v>
      </c>
    </row>
    <row r="3057" customFormat="false" ht="15" hidden="false" customHeight="false" outlineLevel="0" collapsed="false">
      <c r="A3057" s="62" t="n">
        <v>0</v>
      </c>
      <c r="B3057" s="21" t="s">
        <v>336</v>
      </c>
      <c r="C3057" s="62" t="s">
        <v>60</v>
      </c>
      <c r="D3057" s="62" t="s">
        <v>381</v>
      </c>
      <c r="E3057" s="62" t="s">
        <v>72</v>
      </c>
      <c r="F3057" s="62" t="s">
        <v>382</v>
      </c>
      <c r="G3057" s="63" t="s">
        <v>694</v>
      </c>
      <c r="H3057" s="64" t="n">
        <v>100000000</v>
      </c>
      <c r="I3057" s="62" t="s">
        <v>81</v>
      </c>
      <c r="J3057" s="64" t="n">
        <v>100000</v>
      </c>
      <c r="K3057" s="62" t="s">
        <v>138</v>
      </c>
      <c r="L3057" s="68" t="b">
        <f aca="false">FALSE()</f>
        <v>0</v>
      </c>
    </row>
    <row r="3058" customFormat="false" ht="15" hidden="false" customHeight="false" outlineLevel="0" collapsed="false">
      <c r="A3058" s="62" t="n">
        <v>0</v>
      </c>
      <c r="B3058" s="21" t="s">
        <v>336</v>
      </c>
      <c r="C3058" s="62" t="s">
        <v>60</v>
      </c>
      <c r="D3058" s="62" t="s">
        <v>383</v>
      </c>
      <c r="E3058" s="62" t="s">
        <v>72</v>
      </c>
      <c r="F3058" s="62" t="s">
        <v>382</v>
      </c>
      <c r="G3058" s="63" t="s">
        <v>694</v>
      </c>
      <c r="H3058" s="64" t="n">
        <v>100000000</v>
      </c>
      <c r="I3058" s="62" t="s">
        <v>81</v>
      </c>
      <c r="J3058" s="64" t="n">
        <v>100000</v>
      </c>
      <c r="K3058" s="62" t="s">
        <v>138</v>
      </c>
      <c r="L3058" s="68" t="b">
        <f aca="false">FALSE()</f>
        <v>0</v>
      </c>
    </row>
    <row r="3059" customFormat="false" ht="15" hidden="false" customHeight="false" outlineLevel="0" collapsed="false">
      <c r="A3059" s="62" t="n">
        <v>0</v>
      </c>
      <c r="B3059" s="21" t="s">
        <v>336</v>
      </c>
      <c r="C3059" s="62" t="s">
        <v>60</v>
      </c>
      <c r="D3059" s="62" t="s">
        <v>384</v>
      </c>
      <c r="E3059" s="62" t="s">
        <v>72</v>
      </c>
      <c r="F3059" s="62" t="s">
        <v>382</v>
      </c>
      <c r="G3059" s="63" t="s">
        <v>694</v>
      </c>
      <c r="H3059" s="64" t="n">
        <v>100000000</v>
      </c>
      <c r="I3059" s="62" t="s">
        <v>81</v>
      </c>
      <c r="J3059" s="64" t="n">
        <v>100000</v>
      </c>
      <c r="K3059" s="62" t="s">
        <v>138</v>
      </c>
      <c r="L3059" s="68" t="b">
        <f aca="false">FALSE()</f>
        <v>0</v>
      </c>
    </row>
    <row r="3060" customFormat="false" ht="15" hidden="false" customHeight="false" outlineLevel="0" collapsed="false">
      <c r="A3060" s="62" t="n">
        <v>0</v>
      </c>
      <c r="B3060" s="21" t="s">
        <v>336</v>
      </c>
      <c r="C3060" s="62" t="s">
        <v>60</v>
      </c>
      <c r="D3060" s="62" t="s">
        <v>385</v>
      </c>
      <c r="E3060" s="62" t="s">
        <v>72</v>
      </c>
      <c r="F3060" s="62" t="s">
        <v>382</v>
      </c>
      <c r="G3060" s="63" t="s">
        <v>694</v>
      </c>
      <c r="H3060" s="64" t="n">
        <v>100000000</v>
      </c>
      <c r="I3060" s="62" t="s">
        <v>81</v>
      </c>
      <c r="J3060" s="64" t="n">
        <v>100000</v>
      </c>
      <c r="K3060" s="62" t="s">
        <v>138</v>
      </c>
      <c r="L3060" s="68" t="b">
        <f aca="false">FALSE()</f>
        <v>0</v>
      </c>
    </row>
    <row r="3061" customFormat="false" ht="15" hidden="false" customHeight="false" outlineLevel="0" collapsed="false">
      <c r="A3061" s="62" t="n">
        <v>0</v>
      </c>
      <c r="B3061" s="21" t="s">
        <v>336</v>
      </c>
      <c r="C3061" s="62" t="s">
        <v>60</v>
      </c>
      <c r="D3061" s="62" t="s">
        <v>386</v>
      </c>
      <c r="E3061" s="62" t="s">
        <v>72</v>
      </c>
      <c r="F3061" s="62" t="s">
        <v>382</v>
      </c>
      <c r="G3061" s="63" t="s">
        <v>694</v>
      </c>
      <c r="H3061" s="64" t="n">
        <v>100000000</v>
      </c>
      <c r="I3061" s="62" t="s">
        <v>81</v>
      </c>
      <c r="J3061" s="64" t="n">
        <v>100000</v>
      </c>
      <c r="K3061" s="62" t="s">
        <v>138</v>
      </c>
      <c r="L3061" s="68" t="b">
        <f aca="false">FALSE()</f>
        <v>0</v>
      </c>
    </row>
    <row r="3062" customFormat="false" ht="15" hidden="false" customHeight="false" outlineLevel="0" collapsed="false">
      <c r="A3062" s="62" t="n">
        <v>0</v>
      </c>
      <c r="B3062" s="21" t="s">
        <v>336</v>
      </c>
      <c r="C3062" s="62" t="s">
        <v>60</v>
      </c>
      <c r="D3062" s="62" t="s">
        <v>387</v>
      </c>
      <c r="E3062" s="62" t="s">
        <v>72</v>
      </c>
      <c r="F3062" s="62" t="s">
        <v>382</v>
      </c>
      <c r="G3062" s="63" t="s">
        <v>694</v>
      </c>
      <c r="H3062" s="64" t="n">
        <v>100000000</v>
      </c>
      <c r="I3062" s="62" t="s">
        <v>81</v>
      </c>
      <c r="J3062" s="64" t="n">
        <v>100000</v>
      </c>
      <c r="K3062" s="62" t="s">
        <v>138</v>
      </c>
      <c r="L3062" s="68" t="b">
        <f aca="false">FALSE()</f>
        <v>0</v>
      </c>
    </row>
    <row r="3063" customFormat="false" ht="15" hidden="false" customHeight="false" outlineLevel="0" collapsed="false">
      <c r="A3063" s="62" t="n">
        <v>0</v>
      </c>
      <c r="B3063" s="21" t="s">
        <v>336</v>
      </c>
      <c r="C3063" s="62" t="s">
        <v>60</v>
      </c>
      <c r="D3063" s="62" t="s">
        <v>388</v>
      </c>
      <c r="E3063" s="62" t="s">
        <v>72</v>
      </c>
      <c r="F3063" s="62" t="s">
        <v>382</v>
      </c>
      <c r="G3063" s="63" t="s">
        <v>694</v>
      </c>
      <c r="H3063" s="64" t="n">
        <v>100000000</v>
      </c>
      <c r="I3063" s="62" t="s">
        <v>81</v>
      </c>
      <c r="J3063" s="64" t="n">
        <v>100000</v>
      </c>
      <c r="K3063" s="62" t="s">
        <v>138</v>
      </c>
      <c r="L3063" s="68" t="b">
        <f aca="false">FALSE()</f>
        <v>0</v>
      </c>
    </row>
    <row r="3064" customFormat="false" ht="15" hidden="false" customHeight="false" outlineLevel="0" collapsed="false">
      <c r="A3064" s="62" t="n">
        <v>0</v>
      </c>
      <c r="B3064" s="21" t="s">
        <v>336</v>
      </c>
      <c r="C3064" s="62" t="s">
        <v>60</v>
      </c>
      <c r="D3064" s="62" t="s">
        <v>381</v>
      </c>
      <c r="E3064" s="62" t="s">
        <v>72</v>
      </c>
      <c r="F3064" s="62" t="s">
        <v>382</v>
      </c>
      <c r="G3064" s="63" t="s">
        <v>695</v>
      </c>
      <c r="H3064" s="64" t="n">
        <v>1916470658.51011</v>
      </c>
      <c r="I3064" s="62" t="s">
        <v>81</v>
      </c>
      <c r="J3064" s="64" t="n">
        <v>1916470.65851011</v>
      </c>
      <c r="K3064" s="62" t="s">
        <v>138</v>
      </c>
      <c r="L3064" s="68" t="b">
        <f aca="false">FALSE()</f>
        <v>0</v>
      </c>
    </row>
    <row r="3065" customFormat="false" ht="15" hidden="false" customHeight="false" outlineLevel="0" collapsed="false">
      <c r="A3065" s="62" t="n">
        <v>0</v>
      </c>
      <c r="B3065" s="21" t="s">
        <v>336</v>
      </c>
      <c r="C3065" s="62" t="s">
        <v>60</v>
      </c>
      <c r="D3065" s="62" t="s">
        <v>383</v>
      </c>
      <c r="E3065" s="62" t="s">
        <v>72</v>
      </c>
      <c r="F3065" s="62" t="s">
        <v>382</v>
      </c>
      <c r="G3065" s="63" t="s">
        <v>695</v>
      </c>
      <c r="H3065" s="64" t="n">
        <v>1916470658.51011</v>
      </c>
      <c r="I3065" s="62" t="s">
        <v>81</v>
      </c>
      <c r="J3065" s="64" t="n">
        <v>1916470.65851011</v>
      </c>
      <c r="K3065" s="62" t="s">
        <v>138</v>
      </c>
      <c r="L3065" s="68" t="b">
        <f aca="false">FALSE()</f>
        <v>0</v>
      </c>
    </row>
    <row r="3066" customFormat="false" ht="15" hidden="false" customHeight="false" outlineLevel="0" collapsed="false">
      <c r="A3066" s="62" t="n">
        <v>0</v>
      </c>
      <c r="B3066" s="21" t="s">
        <v>336</v>
      </c>
      <c r="C3066" s="62" t="s">
        <v>60</v>
      </c>
      <c r="D3066" s="62" t="s">
        <v>384</v>
      </c>
      <c r="E3066" s="62" t="s">
        <v>72</v>
      </c>
      <c r="F3066" s="62" t="s">
        <v>382</v>
      </c>
      <c r="G3066" s="63" t="s">
        <v>695</v>
      </c>
      <c r="H3066" s="64" t="n">
        <v>1916470658.51011</v>
      </c>
      <c r="I3066" s="62" t="s">
        <v>81</v>
      </c>
      <c r="J3066" s="64" t="n">
        <v>1916470.65851011</v>
      </c>
      <c r="K3066" s="62" t="s">
        <v>138</v>
      </c>
      <c r="L3066" s="68" t="b">
        <f aca="false">FALSE()</f>
        <v>0</v>
      </c>
    </row>
    <row r="3067" customFormat="false" ht="15" hidden="false" customHeight="false" outlineLevel="0" collapsed="false">
      <c r="A3067" s="62" t="n">
        <v>0</v>
      </c>
      <c r="B3067" s="21" t="s">
        <v>336</v>
      </c>
      <c r="C3067" s="62" t="s">
        <v>60</v>
      </c>
      <c r="D3067" s="62" t="s">
        <v>385</v>
      </c>
      <c r="E3067" s="62" t="s">
        <v>72</v>
      </c>
      <c r="F3067" s="62" t="s">
        <v>382</v>
      </c>
      <c r="G3067" s="63" t="s">
        <v>695</v>
      </c>
      <c r="H3067" s="64" t="n">
        <v>1916470658.51011</v>
      </c>
      <c r="I3067" s="62" t="s">
        <v>81</v>
      </c>
      <c r="J3067" s="64" t="n">
        <v>1916470.65851011</v>
      </c>
      <c r="K3067" s="62" t="s">
        <v>138</v>
      </c>
      <c r="L3067" s="68" t="b">
        <f aca="false">FALSE()</f>
        <v>0</v>
      </c>
    </row>
    <row r="3068" customFormat="false" ht="15" hidden="false" customHeight="false" outlineLevel="0" collapsed="false">
      <c r="A3068" s="62" t="n">
        <v>0</v>
      </c>
      <c r="B3068" s="21" t="s">
        <v>336</v>
      </c>
      <c r="C3068" s="62" t="s">
        <v>60</v>
      </c>
      <c r="D3068" s="62" t="s">
        <v>386</v>
      </c>
      <c r="E3068" s="62" t="s">
        <v>72</v>
      </c>
      <c r="F3068" s="62" t="s">
        <v>382</v>
      </c>
      <c r="G3068" s="63" t="s">
        <v>695</v>
      </c>
      <c r="H3068" s="64" t="n">
        <v>1916470658.51011</v>
      </c>
      <c r="I3068" s="62" t="s">
        <v>81</v>
      </c>
      <c r="J3068" s="64" t="n">
        <v>1916470.65851011</v>
      </c>
      <c r="K3068" s="62" t="s">
        <v>138</v>
      </c>
      <c r="L3068" s="68" t="b">
        <f aca="false">FALSE()</f>
        <v>0</v>
      </c>
    </row>
    <row r="3069" customFormat="false" ht="15" hidden="false" customHeight="false" outlineLevel="0" collapsed="false">
      <c r="A3069" s="62" t="n">
        <v>0</v>
      </c>
      <c r="B3069" s="21" t="s">
        <v>336</v>
      </c>
      <c r="C3069" s="62" t="s">
        <v>60</v>
      </c>
      <c r="D3069" s="62" t="s">
        <v>387</v>
      </c>
      <c r="E3069" s="62" t="s">
        <v>72</v>
      </c>
      <c r="F3069" s="62" t="s">
        <v>382</v>
      </c>
      <c r="G3069" s="63" t="s">
        <v>695</v>
      </c>
      <c r="H3069" s="64" t="n">
        <v>1916470658.51011</v>
      </c>
      <c r="I3069" s="62" t="s">
        <v>81</v>
      </c>
      <c r="J3069" s="64" t="n">
        <v>1916470.65851011</v>
      </c>
      <c r="K3069" s="62" t="s">
        <v>138</v>
      </c>
      <c r="L3069" s="68" t="b">
        <f aca="false">FALSE()</f>
        <v>0</v>
      </c>
    </row>
    <row r="3070" customFormat="false" ht="15" hidden="false" customHeight="false" outlineLevel="0" collapsed="false">
      <c r="A3070" s="62" t="n">
        <v>0</v>
      </c>
      <c r="B3070" s="21" t="s">
        <v>336</v>
      </c>
      <c r="C3070" s="62" t="s">
        <v>60</v>
      </c>
      <c r="D3070" s="62" t="s">
        <v>388</v>
      </c>
      <c r="E3070" s="62" t="s">
        <v>72</v>
      </c>
      <c r="F3070" s="62" t="s">
        <v>382</v>
      </c>
      <c r="G3070" s="63" t="s">
        <v>695</v>
      </c>
      <c r="H3070" s="64" t="n">
        <v>1916470658.51011</v>
      </c>
      <c r="I3070" s="62" t="s">
        <v>81</v>
      </c>
      <c r="J3070" s="64" t="n">
        <v>1916470.65851011</v>
      </c>
      <c r="K3070" s="62" t="s">
        <v>138</v>
      </c>
      <c r="L3070" s="68" t="b">
        <f aca="false">FALSE()</f>
        <v>0</v>
      </c>
    </row>
    <row r="3071" customFormat="false" ht="15" hidden="false" customHeight="false" outlineLevel="0" collapsed="false">
      <c r="A3071" s="62" t="n">
        <v>0</v>
      </c>
      <c r="B3071" s="21" t="s">
        <v>336</v>
      </c>
      <c r="C3071" s="62" t="s">
        <v>60</v>
      </c>
      <c r="D3071" s="62" t="s">
        <v>381</v>
      </c>
      <c r="E3071" s="62" t="s">
        <v>72</v>
      </c>
      <c r="F3071" s="62" t="s">
        <v>382</v>
      </c>
      <c r="G3071" s="63" t="s">
        <v>696</v>
      </c>
      <c r="H3071" s="64" t="n">
        <v>17064000000</v>
      </c>
      <c r="I3071" s="62" t="s">
        <v>81</v>
      </c>
      <c r="J3071" s="64" t="n">
        <v>17064000</v>
      </c>
      <c r="K3071" s="62" t="s">
        <v>138</v>
      </c>
      <c r="L3071" s="68" t="b">
        <f aca="false">FALSE()</f>
        <v>0</v>
      </c>
    </row>
    <row r="3072" customFormat="false" ht="15" hidden="false" customHeight="false" outlineLevel="0" collapsed="false">
      <c r="A3072" s="62" t="n">
        <v>0</v>
      </c>
      <c r="B3072" s="21" t="s">
        <v>336</v>
      </c>
      <c r="C3072" s="62" t="s">
        <v>60</v>
      </c>
      <c r="D3072" s="62" t="s">
        <v>383</v>
      </c>
      <c r="E3072" s="62" t="s">
        <v>72</v>
      </c>
      <c r="F3072" s="62" t="s">
        <v>382</v>
      </c>
      <c r="G3072" s="63" t="s">
        <v>696</v>
      </c>
      <c r="H3072" s="64" t="n">
        <v>17064000000</v>
      </c>
      <c r="I3072" s="62" t="s">
        <v>81</v>
      </c>
      <c r="J3072" s="64" t="n">
        <v>17064000</v>
      </c>
      <c r="K3072" s="62" t="s">
        <v>138</v>
      </c>
      <c r="L3072" s="68" t="b">
        <f aca="false">FALSE()</f>
        <v>0</v>
      </c>
    </row>
    <row r="3073" customFormat="false" ht="15" hidden="false" customHeight="false" outlineLevel="0" collapsed="false">
      <c r="A3073" s="62" t="n">
        <v>0</v>
      </c>
      <c r="B3073" s="21" t="s">
        <v>336</v>
      </c>
      <c r="C3073" s="62" t="s">
        <v>60</v>
      </c>
      <c r="D3073" s="62" t="s">
        <v>384</v>
      </c>
      <c r="E3073" s="62" t="s">
        <v>72</v>
      </c>
      <c r="F3073" s="62" t="s">
        <v>382</v>
      </c>
      <c r="G3073" s="63" t="s">
        <v>696</v>
      </c>
      <c r="H3073" s="64" t="n">
        <v>17064000000</v>
      </c>
      <c r="I3073" s="62" t="s">
        <v>81</v>
      </c>
      <c r="J3073" s="64" t="n">
        <v>17064000</v>
      </c>
      <c r="K3073" s="62" t="s">
        <v>138</v>
      </c>
      <c r="L3073" s="68" t="b">
        <f aca="false">FALSE()</f>
        <v>0</v>
      </c>
    </row>
    <row r="3074" customFormat="false" ht="15" hidden="false" customHeight="false" outlineLevel="0" collapsed="false">
      <c r="A3074" s="62" t="n">
        <v>0</v>
      </c>
      <c r="B3074" s="21" t="s">
        <v>336</v>
      </c>
      <c r="C3074" s="62" t="s">
        <v>60</v>
      </c>
      <c r="D3074" s="62" t="s">
        <v>385</v>
      </c>
      <c r="E3074" s="62" t="s">
        <v>72</v>
      </c>
      <c r="F3074" s="62" t="s">
        <v>382</v>
      </c>
      <c r="G3074" s="63" t="s">
        <v>696</v>
      </c>
      <c r="H3074" s="64" t="n">
        <v>17064000000</v>
      </c>
      <c r="I3074" s="62" t="s">
        <v>81</v>
      </c>
      <c r="J3074" s="64" t="n">
        <v>17064000</v>
      </c>
      <c r="K3074" s="62" t="s">
        <v>138</v>
      </c>
      <c r="L3074" s="68" t="b">
        <f aca="false">FALSE()</f>
        <v>0</v>
      </c>
    </row>
    <row r="3075" customFormat="false" ht="15" hidden="false" customHeight="false" outlineLevel="0" collapsed="false">
      <c r="A3075" s="62" t="n">
        <v>0</v>
      </c>
      <c r="B3075" s="21" t="s">
        <v>336</v>
      </c>
      <c r="C3075" s="62" t="s">
        <v>60</v>
      </c>
      <c r="D3075" s="62" t="s">
        <v>386</v>
      </c>
      <c r="E3075" s="62" t="s">
        <v>72</v>
      </c>
      <c r="F3075" s="62" t="s">
        <v>382</v>
      </c>
      <c r="G3075" s="63" t="s">
        <v>696</v>
      </c>
      <c r="H3075" s="64" t="n">
        <v>17064000000</v>
      </c>
      <c r="I3075" s="62" t="s">
        <v>81</v>
      </c>
      <c r="J3075" s="64" t="n">
        <v>17064000</v>
      </c>
      <c r="K3075" s="62" t="s">
        <v>138</v>
      </c>
      <c r="L3075" s="68" t="b">
        <f aca="false">FALSE()</f>
        <v>0</v>
      </c>
    </row>
    <row r="3076" customFormat="false" ht="15" hidden="false" customHeight="false" outlineLevel="0" collapsed="false">
      <c r="A3076" s="62" t="n">
        <v>0</v>
      </c>
      <c r="B3076" s="21" t="s">
        <v>336</v>
      </c>
      <c r="C3076" s="62" t="s">
        <v>60</v>
      </c>
      <c r="D3076" s="62" t="s">
        <v>387</v>
      </c>
      <c r="E3076" s="62" t="s">
        <v>72</v>
      </c>
      <c r="F3076" s="62" t="s">
        <v>382</v>
      </c>
      <c r="G3076" s="63" t="s">
        <v>696</v>
      </c>
      <c r="H3076" s="64" t="n">
        <v>17064000000</v>
      </c>
      <c r="I3076" s="62" t="s">
        <v>81</v>
      </c>
      <c r="J3076" s="64" t="n">
        <v>17064000</v>
      </c>
      <c r="K3076" s="62" t="s">
        <v>138</v>
      </c>
      <c r="L3076" s="68" t="b">
        <f aca="false">FALSE()</f>
        <v>0</v>
      </c>
    </row>
    <row r="3077" customFormat="false" ht="15" hidden="false" customHeight="false" outlineLevel="0" collapsed="false">
      <c r="A3077" s="62" t="n">
        <v>0</v>
      </c>
      <c r="B3077" s="21" t="s">
        <v>336</v>
      </c>
      <c r="C3077" s="62" t="s">
        <v>60</v>
      </c>
      <c r="D3077" s="62" t="s">
        <v>388</v>
      </c>
      <c r="E3077" s="62" t="s">
        <v>72</v>
      </c>
      <c r="F3077" s="62" t="s">
        <v>382</v>
      </c>
      <c r="G3077" s="63" t="s">
        <v>696</v>
      </c>
      <c r="H3077" s="64" t="n">
        <v>17064000000</v>
      </c>
      <c r="I3077" s="62" t="s">
        <v>81</v>
      </c>
      <c r="J3077" s="64" t="n">
        <v>17064000</v>
      </c>
      <c r="K3077" s="62" t="s">
        <v>138</v>
      </c>
      <c r="L3077" s="68" t="b">
        <f aca="false">FALSE()</f>
        <v>0</v>
      </c>
    </row>
    <row r="3078" customFormat="false" ht="15" hidden="false" customHeight="false" outlineLevel="0" collapsed="false">
      <c r="A3078" s="62" t="n">
        <v>0</v>
      </c>
      <c r="B3078" s="21" t="s">
        <v>336</v>
      </c>
      <c r="C3078" s="62" t="s">
        <v>60</v>
      </c>
      <c r="D3078" s="62" t="s">
        <v>381</v>
      </c>
      <c r="E3078" s="62" t="s">
        <v>72</v>
      </c>
      <c r="F3078" s="62" t="s">
        <v>382</v>
      </c>
      <c r="G3078" s="63" t="s">
        <v>697</v>
      </c>
      <c r="H3078" s="64" t="n">
        <v>-2766.02325917215</v>
      </c>
      <c r="I3078" s="62" t="s">
        <v>81</v>
      </c>
      <c r="J3078" s="64" t="n">
        <v>-2.76602325917215</v>
      </c>
      <c r="K3078" s="62" t="s">
        <v>138</v>
      </c>
      <c r="L3078" s="68" t="b">
        <f aca="false">FALSE()</f>
        <v>0</v>
      </c>
    </row>
    <row r="3079" customFormat="false" ht="15" hidden="false" customHeight="false" outlineLevel="0" collapsed="false">
      <c r="A3079" s="62" t="n">
        <v>0</v>
      </c>
      <c r="B3079" s="21" t="s">
        <v>336</v>
      </c>
      <c r="C3079" s="62" t="s">
        <v>60</v>
      </c>
      <c r="D3079" s="62" t="s">
        <v>383</v>
      </c>
      <c r="E3079" s="62" t="s">
        <v>72</v>
      </c>
      <c r="F3079" s="62" t="s">
        <v>382</v>
      </c>
      <c r="G3079" s="63" t="s">
        <v>697</v>
      </c>
      <c r="H3079" s="64" t="n">
        <v>-2766.02325917215</v>
      </c>
      <c r="I3079" s="62" t="s">
        <v>81</v>
      </c>
      <c r="J3079" s="64" t="n">
        <v>-2.76602325917215</v>
      </c>
      <c r="K3079" s="62" t="s">
        <v>138</v>
      </c>
      <c r="L3079" s="68" t="b">
        <f aca="false">FALSE()</f>
        <v>0</v>
      </c>
    </row>
    <row r="3080" customFormat="false" ht="15" hidden="false" customHeight="false" outlineLevel="0" collapsed="false">
      <c r="A3080" s="62" t="n">
        <v>0</v>
      </c>
      <c r="B3080" s="21" t="s">
        <v>336</v>
      </c>
      <c r="C3080" s="62" t="s">
        <v>60</v>
      </c>
      <c r="D3080" s="62" t="s">
        <v>384</v>
      </c>
      <c r="E3080" s="62" t="s">
        <v>72</v>
      </c>
      <c r="F3080" s="62" t="s">
        <v>382</v>
      </c>
      <c r="G3080" s="63" t="s">
        <v>697</v>
      </c>
      <c r="H3080" s="64" t="n">
        <v>-2766.02325917215</v>
      </c>
      <c r="I3080" s="62" t="s">
        <v>81</v>
      </c>
      <c r="J3080" s="64" t="n">
        <v>-2.76602325917215</v>
      </c>
      <c r="K3080" s="62" t="s">
        <v>138</v>
      </c>
      <c r="L3080" s="68" t="b">
        <f aca="false">FALSE()</f>
        <v>0</v>
      </c>
    </row>
    <row r="3081" customFormat="false" ht="15" hidden="false" customHeight="false" outlineLevel="0" collapsed="false">
      <c r="A3081" s="62" t="n">
        <v>0</v>
      </c>
      <c r="B3081" s="21" t="s">
        <v>336</v>
      </c>
      <c r="C3081" s="62" t="s">
        <v>60</v>
      </c>
      <c r="D3081" s="62" t="s">
        <v>385</v>
      </c>
      <c r="E3081" s="62" t="s">
        <v>72</v>
      </c>
      <c r="F3081" s="62" t="s">
        <v>382</v>
      </c>
      <c r="G3081" s="63" t="s">
        <v>697</v>
      </c>
      <c r="H3081" s="64" t="n">
        <v>-2766.02325917215</v>
      </c>
      <c r="I3081" s="62" t="s">
        <v>81</v>
      </c>
      <c r="J3081" s="64" t="n">
        <v>-2.76602325917215</v>
      </c>
      <c r="K3081" s="62" t="s">
        <v>138</v>
      </c>
      <c r="L3081" s="68" t="b">
        <f aca="false">FALSE()</f>
        <v>0</v>
      </c>
    </row>
    <row r="3082" customFormat="false" ht="15" hidden="false" customHeight="false" outlineLevel="0" collapsed="false">
      <c r="A3082" s="62" t="n">
        <v>0</v>
      </c>
      <c r="B3082" s="21" t="s">
        <v>336</v>
      </c>
      <c r="C3082" s="62" t="s">
        <v>60</v>
      </c>
      <c r="D3082" s="62" t="s">
        <v>386</v>
      </c>
      <c r="E3082" s="62" t="s">
        <v>72</v>
      </c>
      <c r="F3082" s="62" t="s">
        <v>382</v>
      </c>
      <c r="G3082" s="63" t="s">
        <v>697</v>
      </c>
      <c r="H3082" s="64" t="n">
        <v>-2766.02325917215</v>
      </c>
      <c r="I3082" s="62" t="s">
        <v>81</v>
      </c>
      <c r="J3082" s="64" t="n">
        <v>-2.76602325917215</v>
      </c>
      <c r="K3082" s="62" t="s">
        <v>138</v>
      </c>
      <c r="L3082" s="68" t="b">
        <f aca="false">FALSE()</f>
        <v>0</v>
      </c>
    </row>
    <row r="3083" customFormat="false" ht="15" hidden="false" customHeight="false" outlineLevel="0" collapsed="false">
      <c r="A3083" s="62" t="n">
        <v>0</v>
      </c>
      <c r="B3083" s="21" t="s">
        <v>336</v>
      </c>
      <c r="C3083" s="62" t="s">
        <v>60</v>
      </c>
      <c r="D3083" s="62" t="s">
        <v>387</v>
      </c>
      <c r="E3083" s="62" t="s">
        <v>72</v>
      </c>
      <c r="F3083" s="62" t="s">
        <v>382</v>
      </c>
      <c r="G3083" s="63" t="s">
        <v>697</v>
      </c>
      <c r="H3083" s="64" t="n">
        <v>-2766.02325917215</v>
      </c>
      <c r="I3083" s="62" t="s">
        <v>81</v>
      </c>
      <c r="J3083" s="64" t="n">
        <v>-2.76602325917215</v>
      </c>
      <c r="K3083" s="62" t="s">
        <v>138</v>
      </c>
      <c r="L3083" s="68" t="b">
        <f aca="false">FALSE()</f>
        <v>0</v>
      </c>
    </row>
    <row r="3084" customFormat="false" ht="15" hidden="false" customHeight="false" outlineLevel="0" collapsed="false">
      <c r="A3084" s="62" t="n">
        <v>0</v>
      </c>
      <c r="B3084" s="21" t="s">
        <v>336</v>
      </c>
      <c r="C3084" s="62" t="s">
        <v>60</v>
      </c>
      <c r="D3084" s="62" t="s">
        <v>388</v>
      </c>
      <c r="E3084" s="62" t="s">
        <v>72</v>
      </c>
      <c r="F3084" s="62" t="s">
        <v>382</v>
      </c>
      <c r="G3084" s="63" t="s">
        <v>697</v>
      </c>
      <c r="H3084" s="64" t="n">
        <v>-2766.02325917215</v>
      </c>
      <c r="I3084" s="62" t="s">
        <v>81</v>
      </c>
      <c r="J3084" s="64" t="n">
        <v>-2.76602325917215</v>
      </c>
      <c r="K3084" s="62" t="s">
        <v>138</v>
      </c>
      <c r="L3084" s="68" t="b">
        <f aca="false">FALSE()</f>
        <v>0</v>
      </c>
    </row>
    <row r="3085" customFormat="false" ht="15" hidden="false" customHeight="false" outlineLevel="0" collapsed="false">
      <c r="A3085" s="62" t="n">
        <v>0</v>
      </c>
      <c r="B3085" s="21" t="s">
        <v>336</v>
      </c>
      <c r="C3085" s="62" t="s">
        <v>60</v>
      </c>
      <c r="D3085" s="62" t="s">
        <v>381</v>
      </c>
      <c r="E3085" s="62" t="s">
        <v>72</v>
      </c>
      <c r="F3085" s="62" t="s">
        <v>382</v>
      </c>
      <c r="G3085" s="63" t="s">
        <v>698</v>
      </c>
      <c r="H3085" s="64" t="n">
        <v>281767942.124376</v>
      </c>
      <c r="I3085" s="62" t="s">
        <v>81</v>
      </c>
      <c r="J3085" s="64" t="n">
        <v>281767.942124376</v>
      </c>
      <c r="K3085" s="62" t="s">
        <v>138</v>
      </c>
      <c r="L3085" s="68" t="b">
        <f aca="false">FALSE()</f>
        <v>0</v>
      </c>
    </row>
    <row r="3086" customFormat="false" ht="15" hidden="false" customHeight="false" outlineLevel="0" collapsed="false">
      <c r="A3086" s="62" t="n">
        <v>0</v>
      </c>
      <c r="B3086" s="21" t="s">
        <v>336</v>
      </c>
      <c r="C3086" s="62" t="s">
        <v>60</v>
      </c>
      <c r="D3086" s="62" t="s">
        <v>383</v>
      </c>
      <c r="E3086" s="62" t="s">
        <v>72</v>
      </c>
      <c r="F3086" s="62" t="s">
        <v>382</v>
      </c>
      <c r="G3086" s="63" t="s">
        <v>698</v>
      </c>
      <c r="H3086" s="64" t="n">
        <v>281767942.124376</v>
      </c>
      <c r="I3086" s="62" t="s">
        <v>81</v>
      </c>
      <c r="J3086" s="64" t="n">
        <v>281767.942124376</v>
      </c>
      <c r="K3086" s="62" t="s">
        <v>138</v>
      </c>
      <c r="L3086" s="68" t="b">
        <f aca="false">FALSE()</f>
        <v>0</v>
      </c>
    </row>
    <row r="3087" customFormat="false" ht="15" hidden="false" customHeight="false" outlineLevel="0" collapsed="false">
      <c r="A3087" s="62" t="n">
        <v>0</v>
      </c>
      <c r="B3087" s="21" t="s">
        <v>336</v>
      </c>
      <c r="C3087" s="62" t="s">
        <v>60</v>
      </c>
      <c r="D3087" s="62" t="s">
        <v>384</v>
      </c>
      <c r="E3087" s="62" t="s">
        <v>72</v>
      </c>
      <c r="F3087" s="62" t="s">
        <v>382</v>
      </c>
      <c r="G3087" s="63" t="s">
        <v>698</v>
      </c>
      <c r="H3087" s="64" t="n">
        <v>281767942.124376</v>
      </c>
      <c r="I3087" s="62" t="s">
        <v>81</v>
      </c>
      <c r="J3087" s="64" t="n">
        <v>281767.942124376</v>
      </c>
      <c r="K3087" s="62" t="s">
        <v>138</v>
      </c>
      <c r="L3087" s="68" t="b">
        <f aca="false">FALSE()</f>
        <v>0</v>
      </c>
    </row>
    <row r="3088" customFormat="false" ht="15" hidden="false" customHeight="false" outlineLevel="0" collapsed="false">
      <c r="A3088" s="62" t="n">
        <v>0</v>
      </c>
      <c r="B3088" s="21" t="s">
        <v>336</v>
      </c>
      <c r="C3088" s="62" t="s">
        <v>60</v>
      </c>
      <c r="D3088" s="62" t="s">
        <v>385</v>
      </c>
      <c r="E3088" s="62" t="s">
        <v>72</v>
      </c>
      <c r="F3088" s="62" t="s">
        <v>382</v>
      </c>
      <c r="G3088" s="63" t="s">
        <v>698</v>
      </c>
      <c r="H3088" s="64" t="n">
        <v>281767942.124376</v>
      </c>
      <c r="I3088" s="62" t="s">
        <v>81</v>
      </c>
      <c r="J3088" s="64" t="n">
        <v>281767.942124376</v>
      </c>
      <c r="K3088" s="62" t="s">
        <v>138</v>
      </c>
      <c r="L3088" s="68" t="b">
        <f aca="false">FALSE()</f>
        <v>0</v>
      </c>
    </row>
    <row r="3089" customFormat="false" ht="15" hidden="false" customHeight="false" outlineLevel="0" collapsed="false">
      <c r="A3089" s="62" t="n">
        <v>0</v>
      </c>
      <c r="B3089" s="21" t="s">
        <v>336</v>
      </c>
      <c r="C3089" s="62" t="s">
        <v>60</v>
      </c>
      <c r="D3089" s="62" t="s">
        <v>386</v>
      </c>
      <c r="E3089" s="62" t="s">
        <v>72</v>
      </c>
      <c r="F3089" s="62" t="s">
        <v>382</v>
      </c>
      <c r="G3089" s="63" t="s">
        <v>698</v>
      </c>
      <c r="H3089" s="64" t="n">
        <v>281767942.124376</v>
      </c>
      <c r="I3089" s="62" t="s">
        <v>81</v>
      </c>
      <c r="J3089" s="64" t="n">
        <v>281767.942124376</v>
      </c>
      <c r="K3089" s="62" t="s">
        <v>138</v>
      </c>
      <c r="L3089" s="68" t="b">
        <f aca="false">FALSE()</f>
        <v>0</v>
      </c>
    </row>
    <row r="3090" customFormat="false" ht="15" hidden="false" customHeight="false" outlineLevel="0" collapsed="false">
      <c r="A3090" s="62" t="n">
        <v>0</v>
      </c>
      <c r="B3090" s="21" t="s">
        <v>336</v>
      </c>
      <c r="C3090" s="62" t="s">
        <v>60</v>
      </c>
      <c r="D3090" s="62" t="s">
        <v>387</v>
      </c>
      <c r="E3090" s="62" t="s">
        <v>72</v>
      </c>
      <c r="F3090" s="62" t="s">
        <v>382</v>
      </c>
      <c r="G3090" s="63" t="s">
        <v>698</v>
      </c>
      <c r="H3090" s="64" t="n">
        <v>281767942.124376</v>
      </c>
      <c r="I3090" s="62" t="s">
        <v>81</v>
      </c>
      <c r="J3090" s="64" t="n">
        <v>281767.942124376</v>
      </c>
      <c r="K3090" s="62" t="s">
        <v>138</v>
      </c>
      <c r="L3090" s="68" t="b">
        <f aca="false">FALSE()</f>
        <v>0</v>
      </c>
    </row>
    <row r="3091" customFormat="false" ht="15" hidden="false" customHeight="false" outlineLevel="0" collapsed="false">
      <c r="A3091" s="62" t="n">
        <v>0</v>
      </c>
      <c r="B3091" s="21" t="s">
        <v>336</v>
      </c>
      <c r="C3091" s="62" t="s">
        <v>60</v>
      </c>
      <c r="D3091" s="62" t="s">
        <v>388</v>
      </c>
      <c r="E3091" s="62" t="s">
        <v>72</v>
      </c>
      <c r="F3091" s="62" t="s">
        <v>382</v>
      </c>
      <c r="G3091" s="63" t="s">
        <v>698</v>
      </c>
      <c r="H3091" s="64" t="n">
        <v>281767942.124376</v>
      </c>
      <c r="I3091" s="62" t="s">
        <v>81</v>
      </c>
      <c r="J3091" s="64" t="n">
        <v>281767.942124376</v>
      </c>
      <c r="K3091" s="62" t="s">
        <v>138</v>
      </c>
      <c r="L3091" s="68" t="b">
        <f aca="false">FALSE()</f>
        <v>0</v>
      </c>
    </row>
    <row r="3092" customFormat="false" ht="15" hidden="false" customHeight="false" outlineLevel="0" collapsed="false">
      <c r="A3092" s="62" t="n">
        <v>0</v>
      </c>
      <c r="B3092" s="21" t="s">
        <v>336</v>
      </c>
      <c r="C3092" s="62" t="s">
        <v>60</v>
      </c>
      <c r="D3092" s="62" t="s">
        <v>381</v>
      </c>
      <c r="E3092" s="62" t="s">
        <v>72</v>
      </c>
      <c r="F3092" s="62" t="s">
        <v>382</v>
      </c>
      <c r="G3092" s="63" t="s">
        <v>699</v>
      </c>
      <c r="H3092" s="64" t="n">
        <v>-3960761680.33809</v>
      </c>
      <c r="I3092" s="62" t="s">
        <v>81</v>
      </c>
      <c r="J3092" s="64" t="n">
        <v>-3960761.68033809</v>
      </c>
      <c r="K3092" s="62" t="s">
        <v>138</v>
      </c>
      <c r="L3092" s="68" t="b">
        <f aca="false">FALSE()</f>
        <v>0</v>
      </c>
    </row>
    <row r="3093" customFormat="false" ht="15" hidden="false" customHeight="false" outlineLevel="0" collapsed="false">
      <c r="A3093" s="62" t="n">
        <v>0</v>
      </c>
      <c r="B3093" s="21" t="s">
        <v>336</v>
      </c>
      <c r="C3093" s="62" t="s">
        <v>60</v>
      </c>
      <c r="D3093" s="62" t="s">
        <v>383</v>
      </c>
      <c r="E3093" s="62" t="s">
        <v>72</v>
      </c>
      <c r="F3093" s="62" t="s">
        <v>382</v>
      </c>
      <c r="G3093" s="63" t="s">
        <v>699</v>
      </c>
      <c r="H3093" s="64" t="n">
        <v>-3960761680.33809</v>
      </c>
      <c r="I3093" s="62" t="s">
        <v>81</v>
      </c>
      <c r="J3093" s="64" t="n">
        <v>-3960761.68033809</v>
      </c>
      <c r="K3093" s="62" t="s">
        <v>138</v>
      </c>
      <c r="L3093" s="68" t="b">
        <f aca="false">FALSE()</f>
        <v>0</v>
      </c>
    </row>
    <row r="3094" customFormat="false" ht="15" hidden="false" customHeight="false" outlineLevel="0" collapsed="false">
      <c r="A3094" s="62" t="n">
        <v>0</v>
      </c>
      <c r="B3094" s="21" t="s">
        <v>336</v>
      </c>
      <c r="C3094" s="62" t="s">
        <v>60</v>
      </c>
      <c r="D3094" s="62" t="s">
        <v>384</v>
      </c>
      <c r="E3094" s="62" t="s">
        <v>72</v>
      </c>
      <c r="F3094" s="62" t="s">
        <v>382</v>
      </c>
      <c r="G3094" s="63" t="s">
        <v>699</v>
      </c>
      <c r="H3094" s="64" t="n">
        <v>-3960761680.33809</v>
      </c>
      <c r="I3094" s="62" t="s">
        <v>81</v>
      </c>
      <c r="J3094" s="64" t="n">
        <v>-3960761.68033809</v>
      </c>
      <c r="K3094" s="62" t="s">
        <v>138</v>
      </c>
      <c r="L3094" s="68" t="b">
        <f aca="false">FALSE()</f>
        <v>0</v>
      </c>
    </row>
    <row r="3095" customFormat="false" ht="15" hidden="false" customHeight="false" outlineLevel="0" collapsed="false">
      <c r="A3095" s="62" t="n">
        <v>0</v>
      </c>
      <c r="B3095" s="21" t="s">
        <v>336</v>
      </c>
      <c r="C3095" s="62" t="s">
        <v>60</v>
      </c>
      <c r="D3095" s="62" t="s">
        <v>385</v>
      </c>
      <c r="E3095" s="62" t="s">
        <v>72</v>
      </c>
      <c r="F3095" s="62" t="s">
        <v>382</v>
      </c>
      <c r="G3095" s="63" t="s">
        <v>699</v>
      </c>
      <c r="H3095" s="64" t="n">
        <v>-3960761680.33809</v>
      </c>
      <c r="I3095" s="62" t="s">
        <v>81</v>
      </c>
      <c r="J3095" s="64" t="n">
        <v>-3960761.68033809</v>
      </c>
      <c r="K3095" s="62" t="s">
        <v>138</v>
      </c>
      <c r="L3095" s="68" t="b">
        <f aca="false">FALSE()</f>
        <v>0</v>
      </c>
    </row>
    <row r="3096" customFormat="false" ht="15" hidden="false" customHeight="false" outlineLevel="0" collapsed="false">
      <c r="A3096" s="62" t="n">
        <v>0</v>
      </c>
      <c r="B3096" s="21" t="s">
        <v>336</v>
      </c>
      <c r="C3096" s="62" t="s">
        <v>60</v>
      </c>
      <c r="D3096" s="62" t="s">
        <v>386</v>
      </c>
      <c r="E3096" s="62" t="s">
        <v>72</v>
      </c>
      <c r="F3096" s="62" t="s">
        <v>382</v>
      </c>
      <c r="G3096" s="63" t="s">
        <v>699</v>
      </c>
      <c r="H3096" s="64" t="n">
        <v>-3960761680.33809</v>
      </c>
      <c r="I3096" s="62" t="s">
        <v>81</v>
      </c>
      <c r="J3096" s="64" t="n">
        <v>-3960761.68033809</v>
      </c>
      <c r="K3096" s="62" t="s">
        <v>138</v>
      </c>
      <c r="L3096" s="68" t="b">
        <f aca="false">FALSE()</f>
        <v>0</v>
      </c>
    </row>
    <row r="3097" customFormat="false" ht="15" hidden="false" customHeight="false" outlineLevel="0" collapsed="false">
      <c r="A3097" s="62" t="n">
        <v>0</v>
      </c>
      <c r="B3097" s="21" t="s">
        <v>336</v>
      </c>
      <c r="C3097" s="62" t="s">
        <v>60</v>
      </c>
      <c r="D3097" s="62" t="s">
        <v>387</v>
      </c>
      <c r="E3097" s="62" t="s">
        <v>72</v>
      </c>
      <c r="F3097" s="62" t="s">
        <v>382</v>
      </c>
      <c r="G3097" s="63" t="s">
        <v>699</v>
      </c>
      <c r="H3097" s="64" t="n">
        <v>-3960761680.33809</v>
      </c>
      <c r="I3097" s="62" t="s">
        <v>81</v>
      </c>
      <c r="J3097" s="64" t="n">
        <v>-3960761.68033809</v>
      </c>
      <c r="K3097" s="62" t="s">
        <v>138</v>
      </c>
      <c r="L3097" s="68" t="b">
        <f aca="false">FALSE()</f>
        <v>0</v>
      </c>
    </row>
    <row r="3098" customFormat="false" ht="15" hidden="false" customHeight="false" outlineLevel="0" collapsed="false">
      <c r="A3098" s="62" t="n">
        <v>0</v>
      </c>
      <c r="B3098" s="21" t="s">
        <v>336</v>
      </c>
      <c r="C3098" s="62" t="s">
        <v>60</v>
      </c>
      <c r="D3098" s="62" t="s">
        <v>388</v>
      </c>
      <c r="E3098" s="62" t="s">
        <v>72</v>
      </c>
      <c r="F3098" s="62" t="s">
        <v>382</v>
      </c>
      <c r="G3098" s="63" t="s">
        <v>699</v>
      </c>
      <c r="H3098" s="64" t="n">
        <v>-3960761680.33809</v>
      </c>
      <c r="I3098" s="62" t="s">
        <v>81</v>
      </c>
      <c r="J3098" s="64" t="n">
        <v>-3960761.68033809</v>
      </c>
      <c r="K3098" s="62" t="s">
        <v>138</v>
      </c>
      <c r="L3098" s="68" t="b">
        <f aca="false">FALSE()</f>
        <v>0</v>
      </c>
    </row>
    <row r="3099" customFormat="false" ht="15" hidden="false" customHeight="false" outlineLevel="0" collapsed="false">
      <c r="A3099" s="62" t="n">
        <v>0</v>
      </c>
      <c r="B3099" s="21" t="s">
        <v>336</v>
      </c>
      <c r="C3099" s="62" t="s">
        <v>60</v>
      </c>
      <c r="D3099" s="62" t="s">
        <v>381</v>
      </c>
      <c r="E3099" s="62" t="s">
        <v>72</v>
      </c>
      <c r="F3099" s="62" t="s">
        <v>382</v>
      </c>
      <c r="G3099" s="63" t="s">
        <v>700</v>
      </c>
      <c r="H3099" s="64" t="n">
        <v>17064000000</v>
      </c>
      <c r="I3099" s="62" t="s">
        <v>81</v>
      </c>
      <c r="J3099" s="64" t="n">
        <v>17064000</v>
      </c>
      <c r="K3099" s="62" t="s">
        <v>138</v>
      </c>
      <c r="L3099" s="68" t="b">
        <f aca="false">FALSE()</f>
        <v>0</v>
      </c>
    </row>
    <row r="3100" customFormat="false" ht="15" hidden="false" customHeight="false" outlineLevel="0" collapsed="false">
      <c r="A3100" s="62" t="n">
        <v>0</v>
      </c>
      <c r="B3100" s="21" t="s">
        <v>336</v>
      </c>
      <c r="C3100" s="62" t="s">
        <v>60</v>
      </c>
      <c r="D3100" s="62" t="s">
        <v>383</v>
      </c>
      <c r="E3100" s="62" t="s">
        <v>72</v>
      </c>
      <c r="F3100" s="62" t="s">
        <v>382</v>
      </c>
      <c r="G3100" s="63" t="s">
        <v>700</v>
      </c>
      <c r="H3100" s="64" t="n">
        <v>17064000000</v>
      </c>
      <c r="I3100" s="62" t="s">
        <v>81</v>
      </c>
      <c r="J3100" s="64" t="n">
        <v>17064000</v>
      </c>
      <c r="K3100" s="62" t="s">
        <v>138</v>
      </c>
      <c r="L3100" s="68" t="b">
        <f aca="false">FALSE()</f>
        <v>0</v>
      </c>
    </row>
    <row r="3101" customFormat="false" ht="15" hidden="false" customHeight="false" outlineLevel="0" collapsed="false">
      <c r="A3101" s="62" t="n">
        <v>0</v>
      </c>
      <c r="B3101" s="21" t="s">
        <v>336</v>
      </c>
      <c r="C3101" s="62" t="s">
        <v>60</v>
      </c>
      <c r="D3101" s="62" t="s">
        <v>384</v>
      </c>
      <c r="E3101" s="62" t="s">
        <v>72</v>
      </c>
      <c r="F3101" s="62" t="s">
        <v>382</v>
      </c>
      <c r="G3101" s="63" t="s">
        <v>700</v>
      </c>
      <c r="H3101" s="64" t="n">
        <v>17064000000</v>
      </c>
      <c r="I3101" s="62" t="s">
        <v>81</v>
      </c>
      <c r="J3101" s="64" t="n">
        <v>17064000</v>
      </c>
      <c r="K3101" s="62" t="s">
        <v>138</v>
      </c>
      <c r="L3101" s="68" t="b">
        <f aca="false">FALSE()</f>
        <v>0</v>
      </c>
    </row>
    <row r="3102" customFormat="false" ht="15" hidden="false" customHeight="false" outlineLevel="0" collapsed="false">
      <c r="A3102" s="62" t="n">
        <v>0</v>
      </c>
      <c r="B3102" s="21" t="s">
        <v>336</v>
      </c>
      <c r="C3102" s="62" t="s">
        <v>60</v>
      </c>
      <c r="D3102" s="62" t="s">
        <v>385</v>
      </c>
      <c r="E3102" s="62" t="s">
        <v>72</v>
      </c>
      <c r="F3102" s="62" t="s">
        <v>382</v>
      </c>
      <c r="G3102" s="63" t="s">
        <v>700</v>
      </c>
      <c r="H3102" s="64" t="n">
        <v>17064000000</v>
      </c>
      <c r="I3102" s="62" t="s">
        <v>81</v>
      </c>
      <c r="J3102" s="64" t="n">
        <v>17064000</v>
      </c>
      <c r="K3102" s="62" t="s">
        <v>138</v>
      </c>
      <c r="L3102" s="68" t="b">
        <f aca="false">FALSE()</f>
        <v>0</v>
      </c>
    </row>
    <row r="3103" customFormat="false" ht="15" hidden="false" customHeight="false" outlineLevel="0" collapsed="false">
      <c r="A3103" s="62" t="n">
        <v>0</v>
      </c>
      <c r="B3103" s="21" t="s">
        <v>336</v>
      </c>
      <c r="C3103" s="62" t="s">
        <v>60</v>
      </c>
      <c r="D3103" s="62" t="s">
        <v>386</v>
      </c>
      <c r="E3103" s="62" t="s">
        <v>72</v>
      </c>
      <c r="F3103" s="62" t="s">
        <v>382</v>
      </c>
      <c r="G3103" s="63" t="s">
        <v>700</v>
      </c>
      <c r="H3103" s="64" t="n">
        <v>17064000000</v>
      </c>
      <c r="I3103" s="62" t="s">
        <v>81</v>
      </c>
      <c r="J3103" s="64" t="n">
        <v>17064000</v>
      </c>
      <c r="K3103" s="62" t="s">
        <v>138</v>
      </c>
      <c r="L3103" s="68" t="b">
        <f aca="false">FALSE()</f>
        <v>0</v>
      </c>
    </row>
    <row r="3104" customFormat="false" ht="15" hidden="false" customHeight="false" outlineLevel="0" collapsed="false">
      <c r="A3104" s="62" t="n">
        <v>0</v>
      </c>
      <c r="B3104" s="21" t="s">
        <v>336</v>
      </c>
      <c r="C3104" s="62" t="s">
        <v>60</v>
      </c>
      <c r="D3104" s="62" t="s">
        <v>387</v>
      </c>
      <c r="E3104" s="62" t="s">
        <v>72</v>
      </c>
      <c r="F3104" s="62" t="s">
        <v>382</v>
      </c>
      <c r="G3104" s="63" t="s">
        <v>700</v>
      </c>
      <c r="H3104" s="64" t="n">
        <v>17064000000</v>
      </c>
      <c r="I3104" s="62" t="s">
        <v>81</v>
      </c>
      <c r="J3104" s="64" t="n">
        <v>17064000</v>
      </c>
      <c r="K3104" s="62" t="s">
        <v>138</v>
      </c>
      <c r="L3104" s="68" t="b">
        <f aca="false">FALSE()</f>
        <v>0</v>
      </c>
    </row>
    <row r="3105" customFormat="false" ht="15" hidden="false" customHeight="false" outlineLevel="0" collapsed="false">
      <c r="A3105" s="62" t="n">
        <v>0</v>
      </c>
      <c r="B3105" s="21" t="s">
        <v>336</v>
      </c>
      <c r="C3105" s="62" t="s">
        <v>60</v>
      </c>
      <c r="D3105" s="62" t="s">
        <v>388</v>
      </c>
      <c r="E3105" s="62" t="s">
        <v>72</v>
      </c>
      <c r="F3105" s="62" t="s">
        <v>382</v>
      </c>
      <c r="G3105" s="63" t="s">
        <v>700</v>
      </c>
      <c r="H3105" s="64" t="n">
        <v>17064000000</v>
      </c>
      <c r="I3105" s="62" t="s">
        <v>81</v>
      </c>
      <c r="J3105" s="64" t="n">
        <v>17064000</v>
      </c>
      <c r="K3105" s="62" t="s">
        <v>138</v>
      </c>
      <c r="L3105" s="68" t="b">
        <f aca="false">FALSE()</f>
        <v>0</v>
      </c>
    </row>
    <row r="3106" customFormat="false" ht="15" hidden="false" customHeight="false" outlineLevel="0" collapsed="false">
      <c r="A3106" s="62" t="n">
        <v>0</v>
      </c>
      <c r="B3106" s="21" t="s">
        <v>336</v>
      </c>
      <c r="C3106" s="62" t="s">
        <v>60</v>
      </c>
      <c r="D3106" s="62" t="s">
        <v>381</v>
      </c>
      <c r="E3106" s="62" t="s">
        <v>72</v>
      </c>
      <c r="F3106" s="62" t="s">
        <v>382</v>
      </c>
      <c r="G3106" s="63" t="s">
        <v>701</v>
      </c>
      <c r="H3106" s="64" t="n">
        <v>68256000000</v>
      </c>
      <c r="I3106" s="62" t="s">
        <v>81</v>
      </c>
      <c r="J3106" s="64" t="n">
        <v>68256000</v>
      </c>
      <c r="K3106" s="62" t="s">
        <v>138</v>
      </c>
      <c r="L3106" s="68" t="b">
        <f aca="false">FALSE()</f>
        <v>0</v>
      </c>
    </row>
    <row r="3107" customFormat="false" ht="15" hidden="false" customHeight="false" outlineLevel="0" collapsed="false">
      <c r="A3107" s="62" t="n">
        <v>0</v>
      </c>
      <c r="B3107" s="21" t="s">
        <v>336</v>
      </c>
      <c r="C3107" s="62" t="s">
        <v>60</v>
      </c>
      <c r="D3107" s="62" t="s">
        <v>383</v>
      </c>
      <c r="E3107" s="62" t="s">
        <v>72</v>
      </c>
      <c r="F3107" s="62" t="s">
        <v>382</v>
      </c>
      <c r="G3107" s="63" t="s">
        <v>701</v>
      </c>
      <c r="H3107" s="64" t="n">
        <v>68256000000</v>
      </c>
      <c r="I3107" s="62" t="s">
        <v>81</v>
      </c>
      <c r="J3107" s="64" t="n">
        <v>68256000</v>
      </c>
      <c r="K3107" s="62" t="s">
        <v>138</v>
      </c>
      <c r="L3107" s="68" t="b">
        <f aca="false">FALSE()</f>
        <v>0</v>
      </c>
    </row>
    <row r="3108" customFormat="false" ht="15" hidden="false" customHeight="false" outlineLevel="0" collapsed="false">
      <c r="A3108" s="62" t="n">
        <v>0</v>
      </c>
      <c r="B3108" s="21" t="s">
        <v>336</v>
      </c>
      <c r="C3108" s="62" t="s">
        <v>60</v>
      </c>
      <c r="D3108" s="62" t="s">
        <v>384</v>
      </c>
      <c r="E3108" s="62" t="s">
        <v>72</v>
      </c>
      <c r="F3108" s="62" t="s">
        <v>382</v>
      </c>
      <c r="G3108" s="63" t="s">
        <v>701</v>
      </c>
      <c r="H3108" s="64" t="n">
        <v>68256000000</v>
      </c>
      <c r="I3108" s="62" t="s">
        <v>81</v>
      </c>
      <c r="J3108" s="64" t="n">
        <v>68256000</v>
      </c>
      <c r="K3108" s="62" t="s">
        <v>138</v>
      </c>
      <c r="L3108" s="68" t="b">
        <f aca="false">FALSE()</f>
        <v>0</v>
      </c>
    </row>
    <row r="3109" customFormat="false" ht="15" hidden="false" customHeight="false" outlineLevel="0" collapsed="false">
      <c r="A3109" s="62" t="n">
        <v>0</v>
      </c>
      <c r="B3109" s="21" t="s">
        <v>336</v>
      </c>
      <c r="C3109" s="62" t="s">
        <v>60</v>
      </c>
      <c r="D3109" s="62" t="s">
        <v>385</v>
      </c>
      <c r="E3109" s="62" t="s">
        <v>72</v>
      </c>
      <c r="F3109" s="62" t="s">
        <v>382</v>
      </c>
      <c r="G3109" s="63" t="s">
        <v>701</v>
      </c>
      <c r="H3109" s="64" t="n">
        <v>68256000000</v>
      </c>
      <c r="I3109" s="62" t="s">
        <v>81</v>
      </c>
      <c r="J3109" s="64" t="n">
        <v>68256000</v>
      </c>
      <c r="K3109" s="62" t="s">
        <v>138</v>
      </c>
      <c r="L3109" s="68" t="b">
        <f aca="false">FALSE()</f>
        <v>0</v>
      </c>
    </row>
    <row r="3110" customFormat="false" ht="15" hidden="false" customHeight="false" outlineLevel="0" collapsed="false">
      <c r="A3110" s="62" t="n">
        <v>0</v>
      </c>
      <c r="B3110" s="21" t="s">
        <v>336</v>
      </c>
      <c r="C3110" s="62" t="s">
        <v>60</v>
      </c>
      <c r="D3110" s="62" t="s">
        <v>386</v>
      </c>
      <c r="E3110" s="62" t="s">
        <v>72</v>
      </c>
      <c r="F3110" s="62" t="s">
        <v>382</v>
      </c>
      <c r="G3110" s="63" t="s">
        <v>701</v>
      </c>
      <c r="H3110" s="64" t="n">
        <v>68256000000</v>
      </c>
      <c r="I3110" s="62" t="s">
        <v>81</v>
      </c>
      <c r="J3110" s="64" t="n">
        <v>68256000</v>
      </c>
      <c r="K3110" s="62" t="s">
        <v>138</v>
      </c>
      <c r="L3110" s="68" t="b">
        <f aca="false">FALSE()</f>
        <v>0</v>
      </c>
    </row>
    <row r="3111" customFormat="false" ht="15" hidden="false" customHeight="false" outlineLevel="0" collapsed="false">
      <c r="A3111" s="62" t="n">
        <v>0</v>
      </c>
      <c r="B3111" s="21" t="s">
        <v>336</v>
      </c>
      <c r="C3111" s="62" t="s">
        <v>60</v>
      </c>
      <c r="D3111" s="62" t="s">
        <v>387</v>
      </c>
      <c r="E3111" s="62" t="s">
        <v>72</v>
      </c>
      <c r="F3111" s="62" t="s">
        <v>382</v>
      </c>
      <c r="G3111" s="63" t="s">
        <v>701</v>
      </c>
      <c r="H3111" s="64" t="n">
        <v>68256000000</v>
      </c>
      <c r="I3111" s="62" t="s">
        <v>81</v>
      </c>
      <c r="J3111" s="64" t="n">
        <v>68256000</v>
      </c>
      <c r="K3111" s="62" t="s">
        <v>138</v>
      </c>
      <c r="L3111" s="68" t="b">
        <f aca="false">FALSE()</f>
        <v>0</v>
      </c>
    </row>
    <row r="3112" customFormat="false" ht="15" hidden="false" customHeight="false" outlineLevel="0" collapsed="false">
      <c r="A3112" s="62" t="n">
        <v>0</v>
      </c>
      <c r="B3112" s="21" t="s">
        <v>336</v>
      </c>
      <c r="C3112" s="62" t="s">
        <v>60</v>
      </c>
      <c r="D3112" s="62" t="s">
        <v>388</v>
      </c>
      <c r="E3112" s="62" t="s">
        <v>72</v>
      </c>
      <c r="F3112" s="62" t="s">
        <v>382</v>
      </c>
      <c r="G3112" s="63" t="s">
        <v>701</v>
      </c>
      <c r="H3112" s="64" t="n">
        <v>68256000000</v>
      </c>
      <c r="I3112" s="62" t="s">
        <v>81</v>
      </c>
      <c r="J3112" s="64" t="n">
        <v>68256000</v>
      </c>
      <c r="K3112" s="62" t="s">
        <v>138</v>
      </c>
      <c r="L3112" s="68" t="b">
        <f aca="false">FALSE()</f>
        <v>0</v>
      </c>
    </row>
    <row r="3113" customFormat="false" ht="15" hidden="false" customHeight="false" outlineLevel="0" collapsed="false">
      <c r="A3113" s="62" t="n">
        <v>0</v>
      </c>
      <c r="B3113" s="21" t="s">
        <v>336</v>
      </c>
      <c r="C3113" s="62" t="s">
        <v>60</v>
      </c>
      <c r="D3113" s="62" t="s">
        <v>381</v>
      </c>
      <c r="E3113" s="62" t="s">
        <v>72</v>
      </c>
      <c r="F3113" s="62" t="s">
        <v>382</v>
      </c>
      <c r="G3113" s="63" t="s">
        <v>702</v>
      </c>
      <c r="H3113" s="64" t="s">
        <v>51</v>
      </c>
      <c r="I3113" s="62" t="s">
        <v>138</v>
      </c>
      <c r="J3113" s="64" t="s">
        <v>51</v>
      </c>
      <c r="K3113" s="62" t="s">
        <v>138</v>
      </c>
      <c r="L3113" s="68" t="b">
        <f aca="false">FALSE()</f>
        <v>0</v>
      </c>
    </row>
    <row r="3114" customFormat="false" ht="15" hidden="false" customHeight="false" outlineLevel="0" collapsed="false">
      <c r="A3114" s="62" t="n">
        <v>0</v>
      </c>
      <c r="B3114" s="21" t="s">
        <v>336</v>
      </c>
      <c r="C3114" s="62" t="s">
        <v>60</v>
      </c>
      <c r="D3114" s="62" t="s">
        <v>383</v>
      </c>
      <c r="E3114" s="62" t="s">
        <v>72</v>
      </c>
      <c r="F3114" s="62" t="s">
        <v>382</v>
      </c>
      <c r="G3114" s="63" t="s">
        <v>702</v>
      </c>
      <c r="H3114" s="64" t="s">
        <v>51</v>
      </c>
      <c r="I3114" s="62" t="s">
        <v>138</v>
      </c>
      <c r="J3114" s="64" t="s">
        <v>51</v>
      </c>
      <c r="K3114" s="62" t="s">
        <v>138</v>
      </c>
      <c r="L3114" s="68" t="b">
        <f aca="false">FALSE()</f>
        <v>0</v>
      </c>
    </row>
    <row r="3115" customFormat="false" ht="15" hidden="false" customHeight="false" outlineLevel="0" collapsed="false">
      <c r="A3115" s="62" t="n">
        <v>0</v>
      </c>
      <c r="B3115" s="21" t="s">
        <v>336</v>
      </c>
      <c r="C3115" s="62" t="s">
        <v>60</v>
      </c>
      <c r="D3115" s="62" t="s">
        <v>384</v>
      </c>
      <c r="E3115" s="62" t="s">
        <v>72</v>
      </c>
      <c r="F3115" s="62" t="s">
        <v>382</v>
      </c>
      <c r="G3115" s="63" t="s">
        <v>702</v>
      </c>
      <c r="H3115" s="64" t="s">
        <v>51</v>
      </c>
      <c r="I3115" s="62" t="s">
        <v>138</v>
      </c>
      <c r="J3115" s="64" t="s">
        <v>51</v>
      </c>
      <c r="K3115" s="62" t="s">
        <v>138</v>
      </c>
      <c r="L3115" s="68" t="b">
        <f aca="false">FALSE()</f>
        <v>0</v>
      </c>
    </row>
    <row r="3116" customFormat="false" ht="15" hidden="false" customHeight="false" outlineLevel="0" collapsed="false">
      <c r="A3116" s="62" t="n">
        <v>0</v>
      </c>
      <c r="B3116" s="21" t="s">
        <v>336</v>
      </c>
      <c r="C3116" s="62" t="s">
        <v>60</v>
      </c>
      <c r="D3116" s="62" t="s">
        <v>385</v>
      </c>
      <c r="E3116" s="62" t="s">
        <v>72</v>
      </c>
      <c r="F3116" s="62" t="s">
        <v>382</v>
      </c>
      <c r="G3116" s="63" t="s">
        <v>702</v>
      </c>
      <c r="H3116" s="64" t="s">
        <v>51</v>
      </c>
      <c r="I3116" s="62" t="s">
        <v>138</v>
      </c>
      <c r="J3116" s="64" t="s">
        <v>51</v>
      </c>
      <c r="K3116" s="62" t="s">
        <v>138</v>
      </c>
      <c r="L3116" s="68" t="b">
        <f aca="false">FALSE()</f>
        <v>0</v>
      </c>
    </row>
    <row r="3117" customFormat="false" ht="15" hidden="false" customHeight="false" outlineLevel="0" collapsed="false">
      <c r="A3117" s="62" t="n">
        <v>0</v>
      </c>
      <c r="B3117" s="21" t="s">
        <v>336</v>
      </c>
      <c r="C3117" s="62" t="s">
        <v>60</v>
      </c>
      <c r="D3117" s="62" t="s">
        <v>386</v>
      </c>
      <c r="E3117" s="62" t="s">
        <v>72</v>
      </c>
      <c r="F3117" s="62" t="s">
        <v>382</v>
      </c>
      <c r="G3117" s="63" t="s">
        <v>702</v>
      </c>
      <c r="H3117" s="64" t="s">
        <v>51</v>
      </c>
      <c r="I3117" s="62" t="s">
        <v>138</v>
      </c>
      <c r="J3117" s="64" t="s">
        <v>51</v>
      </c>
      <c r="K3117" s="62" t="s">
        <v>138</v>
      </c>
      <c r="L3117" s="68" t="b">
        <f aca="false">FALSE()</f>
        <v>0</v>
      </c>
    </row>
    <row r="3118" customFormat="false" ht="15" hidden="false" customHeight="false" outlineLevel="0" collapsed="false">
      <c r="A3118" s="62" t="n">
        <v>0</v>
      </c>
      <c r="B3118" s="21" t="s">
        <v>336</v>
      </c>
      <c r="C3118" s="62" t="s">
        <v>60</v>
      </c>
      <c r="D3118" s="62" t="s">
        <v>387</v>
      </c>
      <c r="E3118" s="62" t="s">
        <v>72</v>
      </c>
      <c r="F3118" s="62" t="s">
        <v>382</v>
      </c>
      <c r="G3118" s="63" t="s">
        <v>702</v>
      </c>
      <c r="H3118" s="64" t="s">
        <v>51</v>
      </c>
      <c r="I3118" s="62" t="s">
        <v>138</v>
      </c>
      <c r="J3118" s="64" t="s">
        <v>51</v>
      </c>
      <c r="K3118" s="62" t="s">
        <v>138</v>
      </c>
      <c r="L3118" s="68" t="b">
        <f aca="false">FALSE()</f>
        <v>0</v>
      </c>
    </row>
    <row r="3119" customFormat="false" ht="15" hidden="false" customHeight="false" outlineLevel="0" collapsed="false">
      <c r="A3119" s="62" t="n">
        <v>0</v>
      </c>
      <c r="B3119" s="21" t="s">
        <v>336</v>
      </c>
      <c r="C3119" s="62" t="s">
        <v>60</v>
      </c>
      <c r="D3119" s="62" t="s">
        <v>388</v>
      </c>
      <c r="E3119" s="62" t="s">
        <v>72</v>
      </c>
      <c r="F3119" s="62" t="s">
        <v>382</v>
      </c>
      <c r="G3119" s="63" t="s">
        <v>702</v>
      </c>
      <c r="H3119" s="64" t="s">
        <v>51</v>
      </c>
      <c r="I3119" s="62" t="s">
        <v>138</v>
      </c>
      <c r="J3119" s="64" t="s">
        <v>51</v>
      </c>
      <c r="K3119" s="62" t="s">
        <v>138</v>
      </c>
      <c r="L3119" s="68" t="b">
        <f aca="false">FALSE()</f>
        <v>0</v>
      </c>
    </row>
    <row r="3120" customFormat="false" ht="15" hidden="false" customHeight="false" outlineLevel="0" collapsed="false">
      <c r="A3120" s="62" t="n">
        <v>0</v>
      </c>
      <c r="B3120" s="21" t="s">
        <v>336</v>
      </c>
      <c r="C3120" s="62" t="s">
        <v>60</v>
      </c>
      <c r="D3120" s="62" t="s">
        <v>381</v>
      </c>
      <c r="E3120" s="62" t="s">
        <v>72</v>
      </c>
      <c r="F3120" s="62" t="s">
        <v>382</v>
      </c>
      <c r="G3120" s="63" t="s">
        <v>703</v>
      </c>
      <c r="H3120" s="64" t="n">
        <v>0</v>
      </c>
      <c r="I3120" s="62" t="s">
        <v>81</v>
      </c>
      <c r="J3120" s="64" t="n">
        <v>0</v>
      </c>
      <c r="K3120" s="62" t="s">
        <v>138</v>
      </c>
      <c r="L3120" s="68" t="b">
        <f aca="false">FALSE()</f>
        <v>0</v>
      </c>
    </row>
    <row r="3121" customFormat="false" ht="15" hidden="false" customHeight="false" outlineLevel="0" collapsed="false">
      <c r="A3121" s="62" t="n">
        <v>0</v>
      </c>
      <c r="B3121" s="21" t="s">
        <v>336</v>
      </c>
      <c r="C3121" s="62" t="s">
        <v>60</v>
      </c>
      <c r="D3121" s="62" t="s">
        <v>383</v>
      </c>
      <c r="E3121" s="62" t="s">
        <v>72</v>
      </c>
      <c r="F3121" s="62" t="s">
        <v>382</v>
      </c>
      <c r="G3121" s="63" t="s">
        <v>703</v>
      </c>
      <c r="H3121" s="64" t="n">
        <v>0</v>
      </c>
      <c r="I3121" s="62" t="s">
        <v>81</v>
      </c>
      <c r="J3121" s="64" t="n">
        <v>0</v>
      </c>
      <c r="K3121" s="62" t="s">
        <v>138</v>
      </c>
      <c r="L3121" s="68" t="b">
        <f aca="false">FALSE()</f>
        <v>0</v>
      </c>
    </row>
    <row r="3122" customFormat="false" ht="15" hidden="false" customHeight="false" outlineLevel="0" collapsed="false">
      <c r="A3122" s="62" t="n">
        <v>0</v>
      </c>
      <c r="B3122" s="21" t="s">
        <v>336</v>
      </c>
      <c r="C3122" s="62" t="s">
        <v>60</v>
      </c>
      <c r="D3122" s="62" t="s">
        <v>384</v>
      </c>
      <c r="E3122" s="62" t="s">
        <v>72</v>
      </c>
      <c r="F3122" s="62" t="s">
        <v>382</v>
      </c>
      <c r="G3122" s="63" t="s">
        <v>703</v>
      </c>
      <c r="H3122" s="64" t="n">
        <v>0</v>
      </c>
      <c r="I3122" s="62" t="s">
        <v>81</v>
      </c>
      <c r="J3122" s="64" t="n">
        <v>0</v>
      </c>
      <c r="K3122" s="62" t="s">
        <v>138</v>
      </c>
      <c r="L3122" s="68" t="b">
        <f aca="false">FALSE()</f>
        <v>0</v>
      </c>
    </row>
    <row r="3123" customFormat="false" ht="15" hidden="false" customHeight="false" outlineLevel="0" collapsed="false">
      <c r="A3123" s="62" t="n">
        <v>0</v>
      </c>
      <c r="B3123" s="21" t="s">
        <v>336</v>
      </c>
      <c r="C3123" s="62" t="s">
        <v>60</v>
      </c>
      <c r="D3123" s="62" t="s">
        <v>385</v>
      </c>
      <c r="E3123" s="62" t="s">
        <v>72</v>
      </c>
      <c r="F3123" s="62" t="s">
        <v>382</v>
      </c>
      <c r="G3123" s="63" t="s">
        <v>703</v>
      </c>
      <c r="H3123" s="64" t="n">
        <v>0</v>
      </c>
      <c r="I3123" s="62" t="s">
        <v>81</v>
      </c>
      <c r="J3123" s="64" t="n">
        <v>0</v>
      </c>
      <c r="K3123" s="62" t="s">
        <v>138</v>
      </c>
      <c r="L3123" s="68" t="b">
        <f aca="false">FALSE()</f>
        <v>0</v>
      </c>
    </row>
    <row r="3124" customFormat="false" ht="15" hidden="false" customHeight="false" outlineLevel="0" collapsed="false">
      <c r="A3124" s="62" t="n">
        <v>0</v>
      </c>
      <c r="B3124" s="21" t="s">
        <v>336</v>
      </c>
      <c r="C3124" s="62" t="s">
        <v>60</v>
      </c>
      <c r="D3124" s="62" t="s">
        <v>386</v>
      </c>
      <c r="E3124" s="62" t="s">
        <v>72</v>
      </c>
      <c r="F3124" s="62" t="s">
        <v>382</v>
      </c>
      <c r="G3124" s="63" t="s">
        <v>703</v>
      </c>
      <c r="H3124" s="64" t="n">
        <v>0</v>
      </c>
      <c r="I3124" s="62" t="s">
        <v>81</v>
      </c>
      <c r="J3124" s="64" t="n">
        <v>0</v>
      </c>
      <c r="K3124" s="62" t="s">
        <v>138</v>
      </c>
      <c r="L3124" s="68" t="b">
        <f aca="false">FALSE()</f>
        <v>0</v>
      </c>
    </row>
    <row r="3125" customFormat="false" ht="15" hidden="false" customHeight="false" outlineLevel="0" collapsed="false">
      <c r="A3125" s="62" t="n">
        <v>0</v>
      </c>
      <c r="B3125" s="21" t="s">
        <v>336</v>
      </c>
      <c r="C3125" s="62" t="s">
        <v>60</v>
      </c>
      <c r="D3125" s="62" t="s">
        <v>387</v>
      </c>
      <c r="E3125" s="62" t="s">
        <v>72</v>
      </c>
      <c r="F3125" s="62" t="s">
        <v>382</v>
      </c>
      <c r="G3125" s="63" t="s">
        <v>703</v>
      </c>
      <c r="H3125" s="64" t="n">
        <v>0</v>
      </c>
      <c r="I3125" s="62" t="s">
        <v>81</v>
      </c>
      <c r="J3125" s="64" t="n">
        <v>0</v>
      </c>
      <c r="K3125" s="62" t="s">
        <v>138</v>
      </c>
      <c r="L3125" s="68" t="b">
        <f aca="false">FALSE()</f>
        <v>0</v>
      </c>
    </row>
    <row r="3126" customFormat="false" ht="15" hidden="false" customHeight="false" outlineLevel="0" collapsed="false">
      <c r="A3126" s="62" t="n">
        <v>0</v>
      </c>
      <c r="B3126" s="21" t="s">
        <v>336</v>
      </c>
      <c r="C3126" s="62" t="s">
        <v>60</v>
      </c>
      <c r="D3126" s="62" t="s">
        <v>388</v>
      </c>
      <c r="E3126" s="62" t="s">
        <v>72</v>
      </c>
      <c r="F3126" s="62" t="s">
        <v>382</v>
      </c>
      <c r="G3126" s="63" t="s">
        <v>703</v>
      </c>
      <c r="H3126" s="64" t="n">
        <v>0</v>
      </c>
      <c r="I3126" s="62" t="s">
        <v>81</v>
      </c>
      <c r="J3126" s="64" t="n">
        <v>0</v>
      </c>
      <c r="K3126" s="62" t="s">
        <v>138</v>
      </c>
      <c r="L3126" s="68" t="b">
        <f aca="false">FALSE()</f>
        <v>0</v>
      </c>
    </row>
    <row r="3127" customFormat="false" ht="15" hidden="false" customHeight="false" outlineLevel="0" collapsed="false">
      <c r="A3127" s="62" t="n">
        <v>0</v>
      </c>
      <c r="B3127" s="21" t="s">
        <v>336</v>
      </c>
      <c r="C3127" s="62" t="s">
        <v>60</v>
      </c>
      <c r="D3127" s="62" t="s">
        <v>381</v>
      </c>
      <c r="E3127" s="62" t="s">
        <v>72</v>
      </c>
      <c r="F3127" s="62" t="s">
        <v>382</v>
      </c>
      <c r="G3127" s="63" t="s">
        <v>704</v>
      </c>
      <c r="H3127" s="64" t="s">
        <v>51</v>
      </c>
      <c r="I3127" s="62" t="s">
        <v>138</v>
      </c>
      <c r="J3127" s="64" t="s">
        <v>51</v>
      </c>
      <c r="K3127" s="62" t="s">
        <v>138</v>
      </c>
      <c r="L3127" s="68" t="b">
        <f aca="false">FALSE()</f>
        <v>0</v>
      </c>
    </row>
    <row r="3128" customFormat="false" ht="15" hidden="false" customHeight="false" outlineLevel="0" collapsed="false">
      <c r="A3128" s="62" t="n">
        <v>0</v>
      </c>
      <c r="B3128" s="21" t="s">
        <v>336</v>
      </c>
      <c r="C3128" s="62" t="s">
        <v>60</v>
      </c>
      <c r="D3128" s="62" t="s">
        <v>383</v>
      </c>
      <c r="E3128" s="62" t="s">
        <v>72</v>
      </c>
      <c r="F3128" s="62" t="s">
        <v>382</v>
      </c>
      <c r="G3128" s="63" t="s">
        <v>704</v>
      </c>
      <c r="H3128" s="64" t="s">
        <v>51</v>
      </c>
      <c r="I3128" s="62" t="s">
        <v>138</v>
      </c>
      <c r="J3128" s="64" t="s">
        <v>51</v>
      </c>
      <c r="K3128" s="62" t="s">
        <v>138</v>
      </c>
      <c r="L3128" s="68" t="b">
        <f aca="false">FALSE()</f>
        <v>0</v>
      </c>
    </row>
    <row r="3129" customFormat="false" ht="15" hidden="false" customHeight="false" outlineLevel="0" collapsed="false">
      <c r="A3129" s="62" t="n">
        <v>0</v>
      </c>
      <c r="B3129" s="21" t="s">
        <v>336</v>
      </c>
      <c r="C3129" s="62" t="s">
        <v>60</v>
      </c>
      <c r="D3129" s="62" t="s">
        <v>384</v>
      </c>
      <c r="E3129" s="62" t="s">
        <v>72</v>
      </c>
      <c r="F3129" s="62" t="s">
        <v>382</v>
      </c>
      <c r="G3129" s="63" t="s">
        <v>704</v>
      </c>
      <c r="H3129" s="64" t="s">
        <v>51</v>
      </c>
      <c r="I3129" s="62" t="s">
        <v>138</v>
      </c>
      <c r="J3129" s="64" t="s">
        <v>51</v>
      </c>
      <c r="K3129" s="62" t="s">
        <v>138</v>
      </c>
      <c r="L3129" s="68" t="b">
        <f aca="false">FALSE()</f>
        <v>0</v>
      </c>
    </row>
    <row r="3130" customFormat="false" ht="15" hidden="false" customHeight="false" outlineLevel="0" collapsed="false">
      <c r="A3130" s="62" t="n">
        <v>0</v>
      </c>
      <c r="B3130" s="21" t="s">
        <v>336</v>
      </c>
      <c r="C3130" s="62" t="s">
        <v>60</v>
      </c>
      <c r="D3130" s="62" t="s">
        <v>385</v>
      </c>
      <c r="E3130" s="62" t="s">
        <v>72</v>
      </c>
      <c r="F3130" s="62" t="s">
        <v>382</v>
      </c>
      <c r="G3130" s="63" t="s">
        <v>704</v>
      </c>
      <c r="H3130" s="64" t="s">
        <v>51</v>
      </c>
      <c r="I3130" s="62" t="s">
        <v>138</v>
      </c>
      <c r="J3130" s="64" t="s">
        <v>51</v>
      </c>
      <c r="K3130" s="62" t="s">
        <v>138</v>
      </c>
      <c r="L3130" s="68" t="b">
        <f aca="false">FALSE()</f>
        <v>0</v>
      </c>
    </row>
    <row r="3131" customFormat="false" ht="15" hidden="false" customHeight="false" outlineLevel="0" collapsed="false">
      <c r="A3131" s="62" t="n">
        <v>0</v>
      </c>
      <c r="B3131" s="21" t="s">
        <v>336</v>
      </c>
      <c r="C3131" s="62" t="s">
        <v>60</v>
      </c>
      <c r="D3131" s="62" t="s">
        <v>386</v>
      </c>
      <c r="E3131" s="62" t="s">
        <v>72</v>
      </c>
      <c r="F3131" s="62" t="s">
        <v>382</v>
      </c>
      <c r="G3131" s="63" t="s">
        <v>704</v>
      </c>
      <c r="H3131" s="64" t="s">
        <v>51</v>
      </c>
      <c r="I3131" s="62" t="s">
        <v>138</v>
      </c>
      <c r="J3131" s="64" t="s">
        <v>51</v>
      </c>
      <c r="K3131" s="62" t="s">
        <v>138</v>
      </c>
      <c r="L3131" s="68" t="b">
        <f aca="false">FALSE()</f>
        <v>0</v>
      </c>
    </row>
    <row r="3132" customFormat="false" ht="15" hidden="false" customHeight="false" outlineLevel="0" collapsed="false">
      <c r="A3132" s="62" t="n">
        <v>0</v>
      </c>
      <c r="B3132" s="21" t="s">
        <v>336</v>
      </c>
      <c r="C3132" s="62" t="s">
        <v>60</v>
      </c>
      <c r="D3132" s="62" t="s">
        <v>387</v>
      </c>
      <c r="E3132" s="62" t="s">
        <v>72</v>
      </c>
      <c r="F3132" s="62" t="s">
        <v>382</v>
      </c>
      <c r="G3132" s="63" t="s">
        <v>704</v>
      </c>
      <c r="H3132" s="64" t="s">
        <v>51</v>
      </c>
      <c r="I3132" s="62" t="s">
        <v>138</v>
      </c>
      <c r="J3132" s="64" t="s">
        <v>51</v>
      </c>
      <c r="K3132" s="62" t="s">
        <v>138</v>
      </c>
      <c r="L3132" s="68" t="b">
        <f aca="false">FALSE()</f>
        <v>0</v>
      </c>
    </row>
    <row r="3133" customFormat="false" ht="15" hidden="false" customHeight="false" outlineLevel="0" collapsed="false">
      <c r="A3133" s="62" t="n">
        <v>0</v>
      </c>
      <c r="B3133" s="21" t="s">
        <v>336</v>
      </c>
      <c r="C3133" s="62" t="s">
        <v>60</v>
      </c>
      <c r="D3133" s="62" t="s">
        <v>388</v>
      </c>
      <c r="E3133" s="62" t="s">
        <v>72</v>
      </c>
      <c r="F3133" s="62" t="s">
        <v>382</v>
      </c>
      <c r="G3133" s="63" t="s">
        <v>704</v>
      </c>
      <c r="H3133" s="64" t="s">
        <v>51</v>
      </c>
      <c r="I3133" s="62" t="s">
        <v>138</v>
      </c>
      <c r="J3133" s="64" t="s">
        <v>51</v>
      </c>
      <c r="K3133" s="62" t="s">
        <v>138</v>
      </c>
      <c r="L3133" s="68" t="b">
        <f aca="false">FALSE()</f>
        <v>0</v>
      </c>
    </row>
    <row r="3134" customFormat="false" ht="15" hidden="false" customHeight="false" outlineLevel="0" collapsed="false">
      <c r="A3134" s="62" t="n">
        <v>0</v>
      </c>
      <c r="B3134" s="21" t="s">
        <v>336</v>
      </c>
      <c r="C3134" s="62" t="s">
        <v>60</v>
      </c>
      <c r="D3134" s="62" t="s">
        <v>381</v>
      </c>
      <c r="E3134" s="62" t="s">
        <v>72</v>
      </c>
      <c r="F3134" s="62" t="s">
        <v>382</v>
      </c>
      <c r="G3134" s="63" t="s">
        <v>705</v>
      </c>
      <c r="H3134" s="64" t="s">
        <v>51</v>
      </c>
      <c r="I3134" s="62" t="s">
        <v>138</v>
      </c>
      <c r="J3134" s="64" t="s">
        <v>51</v>
      </c>
      <c r="K3134" s="62" t="s">
        <v>138</v>
      </c>
      <c r="L3134" s="68" t="b">
        <f aca="false">FALSE()</f>
        <v>0</v>
      </c>
    </row>
    <row r="3135" customFormat="false" ht="15" hidden="false" customHeight="false" outlineLevel="0" collapsed="false">
      <c r="A3135" s="62" t="n">
        <v>0</v>
      </c>
      <c r="B3135" s="21" t="s">
        <v>336</v>
      </c>
      <c r="C3135" s="62" t="s">
        <v>60</v>
      </c>
      <c r="D3135" s="62" t="s">
        <v>383</v>
      </c>
      <c r="E3135" s="62" t="s">
        <v>72</v>
      </c>
      <c r="F3135" s="62" t="s">
        <v>382</v>
      </c>
      <c r="G3135" s="63" t="s">
        <v>705</v>
      </c>
      <c r="H3135" s="64" t="s">
        <v>51</v>
      </c>
      <c r="I3135" s="62" t="s">
        <v>138</v>
      </c>
      <c r="J3135" s="64" t="s">
        <v>51</v>
      </c>
      <c r="K3135" s="62" t="s">
        <v>138</v>
      </c>
      <c r="L3135" s="68" t="b">
        <f aca="false">FALSE()</f>
        <v>0</v>
      </c>
    </row>
    <row r="3136" customFormat="false" ht="15" hidden="false" customHeight="false" outlineLevel="0" collapsed="false">
      <c r="A3136" s="62" t="n">
        <v>0</v>
      </c>
      <c r="B3136" s="21" t="s">
        <v>336</v>
      </c>
      <c r="C3136" s="62" t="s">
        <v>60</v>
      </c>
      <c r="D3136" s="62" t="s">
        <v>384</v>
      </c>
      <c r="E3136" s="62" t="s">
        <v>72</v>
      </c>
      <c r="F3136" s="62" t="s">
        <v>382</v>
      </c>
      <c r="G3136" s="63" t="s">
        <v>705</v>
      </c>
      <c r="H3136" s="64" t="s">
        <v>51</v>
      </c>
      <c r="I3136" s="62" t="s">
        <v>138</v>
      </c>
      <c r="J3136" s="64" t="s">
        <v>51</v>
      </c>
      <c r="K3136" s="62" t="s">
        <v>138</v>
      </c>
      <c r="L3136" s="68" t="b">
        <f aca="false">FALSE()</f>
        <v>0</v>
      </c>
    </row>
    <row r="3137" customFormat="false" ht="15" hidden="false" customHeight="false" outlineLevel="0" collapsed="false">
      <c r="A3137" s="62" t="n">
        <v>0</v>
      </c>
      <c r="B3137" s="21" t="s">
        <v>336</v>
      </c>
      <c r="C3137" s="62" t="s">
        <v>60</v>
      </c>
      <c r="D3137" s="62" t="s">
        <v>385</v>
      </c>
      <c r="E3137" s="62" t="s">
        <v>72</v>
      </c>
      <c r="F3137" s="62" t="s">
        <v>382</v>
      </c>
      <c r="G3137" s="63" t="s">
        <v>705</v>
      </c>
      <c r="H3137" s="64" t="s">
        <v>51</v>
      </c>
      <c r="I3137" s="62" t="s">
        <v>138</v>
      </c>
      <c r="J3137" s="64" t="s">
        <v>51</v>
      </c>
      <c r="K3137" s="62" t="s">
        <v>138</v>
      </c>
      <c r="L3137" s="68" t="b">
        <f aca="false">FALSE()</f>
        <v>0</v>
      </c>
    </row>
    <row r="3138" customFormat="false" ht="15" hidden="false" customHeight="false" outlineLevel="0" collapsed="false">
      <c r="A3138" s="62" t="n">
        <v>0</v>
      </c>
      <c r="B3138" s="21" t="s">
        <v>336</v>
      </c>
      <c r="C3138" s="62" t="s">
        <v>60</v>
      </c>
      <c r="D3138" s="62" t="s">
        <v>386</v>
      </c>
      <c r="E3138" s="62" t="s">
        <v>72</v>
      </c>
      <c r="F3138" s="62" t="s">
        <v>382</v>
      </c>
      <c r="G3138" s="63" t="s">
        <v>705</v>
      </c>
      <c r="H3138" s="64" t="s">
        <v>51</v>
      </c>
      <c r="I3138" s="62" t="s">
        <v>138</v>
      </c>
      <c r="J3138" s="64" t="s">
        <v>51</v>
      </c>
      <c r="K3138" s="62" t="s">
        <v>138</v>
      </c>
      <c r="L3138" s="68" t="b">
        <f aca="false">FALSE()</f>
        <v>0</v>
      </c>
    </row>
    <row r="3139" customFormat="false" ht="15" hidden="false" customHeight="false" outlineLevel="0" collapsed="false">
      <c r="A3139" s="62" t="n">
        <v>0</v>
      </c>
      <c r="B3139" s="21" t="s">
        <v>336</v>
      </c>
      <c r="C3139" s="62" t="s">
        <v>60</v>
      </c>
      <c r="D3139" s="62" t="s">
        <v>387</v>
      </c>
      <c r="E3139" s="62" t="s">
        <v>72</v>
      </c>
      <c r="F3139" s="62" t="s">
        <v>382</v>
      </c>
      <c r="G3139" s="63" t="s">
        <v>705</v>
      </c>
      <c r="H3139" s="64" t="s">
        <v>51</v>
      </c>
      <c r="I3139" s="62" t="s">
        <v>138</v>
      </c>
      <c r="J3139" s="64" t="s">
        <v>51</v>
      </c>
      <c r="K3139" s="62" t="s">
        <v>138</v>
      </c>
      <c r="L3139" s="68" t="b">
        <f aca="false">FALSE()</f>
        <v>0</v>
      </c>
    </row>
    <row r="3140" customFormat="false" ht="15" hidden="false" customHeight="false" outlineLevel="0" collapsed="false">
      <c r="A3140" s="62" t="n">
        <v>0</v>
      </c>
      <c r="B3140" s="21" t="s">
        <v>336</v>
      </c>
      <c r="C3140" s="62" t="s">
        <v>60</v>
      </c>
      <c r="D3140" s="62" t="s">
        <v>388</v>
      </c>
      <c r="E3140" s="62" t="s">
        <v>72</v>
      </c>
      <c r="F3140" s="62" t="s">
        <v>382</v>
      </c>
      <c r="G3140" s="63" t="s">
        <v>705</v>
      </c>
      <c r="H3140" s="64" t="s">
        <v>51</v>
      </c>
      <c r="I3140" s="62" t="s">
        <v>138</v>
      </c>
      <c r="J3140" s="64" t="s">
        <v>51</v>
      </c>
      <c r="K3140" s="62" t="s">
        <v>138</v>
      </c>
      <c r="L3140" s="68" t="b">
        <f aca="false">FALSE()</f>
        <v>0</v>
      </c>
    </row>
    <row r="3141" customFormat="false" ht="15" hidden="false" customHeight="false" outlineLevel="0" collapsed="false">
      <c r="A3141" s="62" t="n">
        <v>0</v>
      </c>
      <c r="B3141" s="21" t="s">
        <v>336</v>
      </c>
      <c r="C3141" s="62" t="s">
        <v>60</v>
      </c>
      <c r="D3141" s="62" t="s">
        <v>381</v>
      </c>
      <c r="E3141" s="62" t="s">
        <v>72</v>
      </c>
      <c r="F3141" s="62" t="s">
        <v>382</v>
      </c>
      <c r="G3141" s="63" t="s">
        <v>706</v>
      </c>
      <c r="H3141" s="64" t="n">
        <v>0</v>
      </c>
      <c r="I3141" s="62" t="s">
        <v>81</v>
      </c>
      <c r="J3141" s="64" t="n">
        <v>0</v>
      </c>
      <c r="K3141" s="62" t="s">
        <v>138</v>
      </c>
      <c r="L3141" s="68" t="b">
        <f aca="false">FALSE()</f>
        <v>0</v>
      </c>
    </row>
    <row r="3142" customFormat="false" ht="15" hidden="false" customHeight="false" outlineLevel="0" collapsed="false">
      <c r="A3142" s="62" t="n">
        <v>0</v>
      </c>
      <c r="B3142" s="21" t="s">
        <v>336</v>
      </c>
      <c r="C3142" s="62" t="s">
        <v>60</v>
      </c>
      <c r="D3142" s="62" t="s">
        <v>383</v>
      </c>
      <c r="E3142" s="62" t="s">
        <v>72</v>
      </c>
      <c r="F3142" s="62" t="s">
        <v>382</v>
      </c>
      <c r="G3142" s="63" t="s">
        <v>706</v>
      </c>
      <c r="H3142" s="64" t="n">
        <v>0</v>
      </c>
      <c r="I3142" s="62" t="s">
        <v>81</v>
      </c>
      <c r="J3142" s="64" t="n">
        <v>0</v>
      </c>
      <c r="K3142" s="62" t="s">
        <v>138</v>
      </c>
      <c r="L3142" s="68" t="b">
        <f aca="false">FALSE()</f>
        <v>0</v>
      </c>
    </row>
    <row r="3143" customFormat="false" ht="15" hidden="false" customHeight="false" outlineLevel="0" collapsed="false">
      <c r="A3143" s="62" t="n">
        <v>0</v>
      </c>
      <c r="B3143" s="21" t="s">
        <v>336</v>
      </c>
      <c r="C3143" s="62" t="s">
        <v>60</v>
      </c>
      <c r="D3143" s="62" t="s">
        <v>384</v>
      </c>
      <c r="E3143" s="62" t="s">
        <v>72</v>
      </c>
      <c r="F3143" s="62" t="s">
        <v>382</v>
      </c>
      <c r="G3143" s="63" t="s">
        <v>706</v>
      </c>
      <c r="H3143" s="64" t="n">
        <v>0</v>
      </c>
      <c r="I3143" s="62" t="s">
        <v>81</v>
      </c>
      <c r="J3143" s="64" t="n">
        <v>0</v>
      </c>
      <c r="K3143" s="62" t="s">
        <v>138</v>
      </c>
      <c r="L3143" s="68" t="b">
        <f aca="false">FALSE()</f>
        <v>0</v>
      </c>
    </row>
    <row r="3144" customFormat="false" ht="15" hidden="false" customHeight="false" outlineLevel="0" collapsed="false">
      <c r="A3144" s="62" t="n">
        <v>0</v>
      </c>
      <c r="B3144" s="21" t="s">
        <v>336</v>
      </c>
      <c r="C3144" s="62" t="s">
        <v>60</v>
      </c>
      <c r="D3144" s="62" t="s">
        <v>385</v>
      </c>
      <c r="E3144" s="62" t="s">
        <v>72</v>
      </c>
      <c r="F3144" s="62" t="s">
        <v>382</v>
      </c>
      <c r="G3144" s="63" t="s">
        <v>706</v>
      </c>
      <c r="H3144" s="64" t="n">
        <v>0</v>
      </c>
      <c r="I3144" s="62" t="s">
        <v>81</v>
      </c>
      <c r="J3144" s="64" t="n">
        <v>0</v>
      </c>
      <c r="K3144" s="62" t="s">
        <v>138</v>
      </c>
      <c r="L3144" s="68" t="b">
        <f aca="false">FALSE()</f>
        <v>0</v>
      </c>
    </row>
    <row r="3145" customFormat="false" ht="15" hidden="false" customHeight="false" outlineLevel="0" collapsed="false">
      <c r="A3145" s="62" t="n">
        <v>0</v>
      </c>
      <c r="B3145" s="21" t="s">
        <v>336</v>
      </c>
      <c r="C3145" s="62" t="s">
        <v>60</v>
      </c>
      <c r="D3145" s="62" t="s">
        <v>386</v>
      </c>
      <c r="E3145" s="62" t="s">
        <v>72</v>
      </c>
      <c r="F3145" s="62" t="s">
        <v>382</v>
      </c>
      <c r="G3145" s="63" t="s">
        <v>706</v>
      </c>
      <c r="H3145" s="64" t="n">
        <v>0</v>
      </c>
      <c r="I3145" s="62" t="s">
        <v>81</v>
      </c>
      <c r="J3145" s="64" t="n">
        <v>0</v>
      </c>
      <c r="K3145" s="62" t="s">
        <v>138</v>
      </c>
      <c r="L3145" s="68" t="b">
        <f aca="false">FALSE()</f>
        <v>0</v>
      </c>
    </row>
    <row r="3146" customFormat="false" ht="15" hidden="false" customHeight="false" outlineLevel="0" collapsed="false">
      <c r="A3146" s="62" t="n">
        <v>0</v>
      </c>
      <c r="B3146" s="21" t="s">
        <v>336</v>
      </c>
      <c r="C3146" s="62" t="s">
        <v>60</v>
      </c>
      <c r="D3146" s="62" t="s">
        <v>387</v>
      </c>
      <c r="E3146" s="62" t="s">
        <v>72</v>
      </c>
      <c r="F3146" s="62" t="s">
        <v>382</v>
      </c>
      <c r="G3146" s="63" t="s">
        <v>706</v>
      </c>
      <c r="H3146" s="64" t="n">
        <v>0</v>
      </c>
      <c r="I3146" s="62" t="s">
        <v>81</v>
      </c>
      <c r="J3146" s="64" t="n">
        <v>0</v>
      </c>
      <c r="K3146" s="62" t="s">
        <v>138</v>
      </c>
      <c r="L3146" s="68" t="b">
        <f aca="false">FALSE()</f>
        <v>0</v>
      </c>
    </row>
    <row r="3147" customFormat="false" ht="15" hidden="false" customHeight="false" outlineLevel="0" collapsed="false">
      <c r="A3147" s="62" t="n">
        <v>0</v>
      </c>
      <c r="B3147" s="21" t="s">
        <v>336</v>
      </c>
      <c r="C3147" s="62" t="s">
        <v>60</v>
      </c>
      <c r="D3147" s="62" t="s">
        <v>388</v>
      </c>
      <c r="E3147" s="62" t="s">
        <v>72</v>
      </c>
      <c r="F3147" s="62" t="s">
        <v>382</v>
      </c>
      <c r="G3147" s="63" t="s">
        <v>706</v>
      </c>
      <c r="H3147" s="64" t="n">
        <v>0</v>
      </c>
      <c r="I3147" s="62" t="s">
        <v>81</v>
      </c>
      <c r="J3147" s="64" t="n">
        <v>0</v>
      </c>
      <c r="K3147" s="62" t="s">
        <v>138</v>
      </c>
      <c r="L3147" s="68" t="b">
        <f aca="false">FALSE()</f>
        <v>0</v>
      </c>
    </row>
    <row r="3148" customFormat="false" ht="15" hidden="false" customHeight="false" outlineLevel="0" collapsed="false">
      <c r="A3148" s="62" t="n">
        <v>0</v>
      </c>
      <c r="B3148" s="21" t="s">
        <v>336</v>
      </c>
      <c r="C3148" s="62" t="s">
        <v>60</v>
      </c>
      <c r="D3148" s="62" t="s">
        <v>381</v>
      </c>
      <c r="E3148" s="62" t="s">
        <v>72</v>
      </c>
      <c r="F3148" s="62" t="s">
        <v>382</v>
      </c>
      <c r="G3148" s="63" t="s">
        <v>707</v>
      </c>
      <c r="H3148" s="64" t="s">
        <v>51</v>
      </c>
      <c r="I3148" s="62" t="s">
        <v>138</v>
      </c>
      <c r="J3148" s="64" t="s">
        <v>51</v>
      </c>
      <c r="K3148" s="62" t="s">
        <v>138</v>
      </c>
      <c r="L3148" s="68" t="b">
        <f aca="false">FALSE()</f>
        <v>0</v>
      </c>
    </row>
    <row r="3149" customFormat="false" ht="15" hidden="false" customHeight="false" outlineLevel="0" collapsed="false">
      <c r="A3149" s="62" t="n">
        <v>0</v>
      </c>
      <c r="B3149" s="21" t="s">
        <v>336</v>
      </c>
      <c r="C3149" s="62" t="s">
        <v>60</v>
      </c>
      <c r="D3149" s="62" t="s">
        <v>383</v>
      </c>
      <c r="E3149" s="62" t="s">
        <v>72</v>
      </c>
      <c r="F3149" s="62" t="s">
        <v>382</v>
      </c>
      <c r="G3149" s="63" t="s">
        <v>707</v>
      </c>
      <c r="H3149" s="64" t="s">
        <v>51</v>
      </c>
      <c r="I3149" s="62" t="s">
        <v>138</v>
      </c>
      <c r="J3149" s="64" t="s">
        <v>51</v>
      </c>
      <c r="K3149" s="62" t="s">
        <v>138</v>
      </c>
      <c r="L3149" s="68" t="b">
        <f aca="false">FALSE()</f>
        <v>0</v>
      </c>
    </row>
    <row r="3150" customFormat="false" ht="15" hidden="false" customHeight="false" outlineLevel="0" collapsed="false">
      <c r="A3150" s="62" t="n">
        <v>0</v>
      </c>
      <c r="B3150" s="21" t="s">
        <v>336</v>
      </c>
      <c r="C3150" s="62" t="s">
        <v>60</v>
      </c>
      <c r="D3150" s="62" t="s">
        <v>384</v>
      </c>
      <c r="E3150" s="62" t="s">
        <v>72</v>
      </c>
      <c r="F3150" s="62" t="s">
        <v>382</v>
      </c>
      <c r="G3150" s="63" t="s">
        <v>707</v>
      </c>
      <c r="H3150" s="64" t="s">
        <v>51</v>
      </c>
      <c r="I3150" s="62" t="s">
        <v>138</v>
      </c>
      <c r="J3150" s="64" t="s">
        <v>51</v>
      </c>
      <c r="K3150" s="62" t="s">
        <v>138</v>
      </c>
      <c r="L3150" s="68" t="b">
        <f aca="false">FALSE()</f>
        <v>0</v>
      </c>
    </row>
    <row r="3151" customFormat="false" ht="15" hidden="false" customHeight="false" outlineLevel="0" collapsed="false">
      <c r="A3151" s="62" t="n">
        <v>0</v>
      </c>
      <c r="B3151" s="21" t="s">
        <v>336</v>
      </c>
      <c r="C3151" s="62" t="s">
        <v>60</v>
      </c>
      <c r="D3151" s="62" t="s">
        <v>385</v>
      </c>
      <c r="E3151" s="62" t="s">
        <v>72</v>
      </c>
      <c r="F3151" s="62" t="s">
        <v>382</v>
      </c>
      <c r="G3151" s="63" t="s">
        <v>707</v>
      </c>
      <c r="H3151" s="64" t="s">
        <v>51</v>
      </c>
      <c r="I3151" s="62" t="s">
        <v>138</v>
      </c>
      <c r="J3151" s="64" t="s">
        <v>51</v>
      </c>
      <c r="K3151" s="62" t="s">
        <v>138</v>
      </c>
      <c r="L3151" s="68" t="b">
        <f aca="false">FALSE()</f>
        <v>0</v>
      </c>
    </row>
    <row r="3152" customFormat="false" ht="15" hidden="false" customHeight="false" outlineLevel="0" collapsed="false">
      <c r="A3152" s="62" t="n">
        <v>0</v>
      </c>
      <c r="B3152" s="21" t="s">
        <v>336</v>
      </c>
      <c r="C3152" s="62" t="s">
        <v>60</v>
      </c>
      <c r="D3152" s="62" t="s">
        <v>386</v>
      </c>
      <c r="E3152" s="62" t="s">
        <v>72</v>
      </c>
      <c r="F3152" s="62" t="s">
        <v>382</v>
      </c>
      <c r="G3152" s="63" t="s">
        <v>707</v>
      </c>
      <c r="H3152" s="64" t="s">
        <v>51</v>
      </c>
      <c r="I3152" s="62" t="s">
        <v>138</v>
      </c>
      <c r="J3152" s="64" t="s">
        <v>51</v>
      </c>
      <c r="K3152" s="62" t="s">
        <v>138</v>
      </c>
      <c r="L3152" s="68" t="b">
        <f aca="false">FALSE()</f>
        <v>0</v>
      </c>
    </row>
    <row r="3153" customFormat="false" ht="15" hidden="false" customHeight="false" outlineLevel="0" collapsed="false">
      <c r="A3153" s="62" t="n">
        <v>0</v>
      </c>
      <c r="B3153" s="21" t="s">
        <v>336</v>
      </c>
      <c r="C3153" s="62" t="s">
        <v>60</v>
      </c>
      <c r="D3153" s="62" t="s">
        <v>387</v>
      </c>
      <c r="E3153" s="62" t="s">
        <v>72</v>
      </c>
      <c r="F3153" s="62" t="s">
        <v>382</v>
      </c>
      <c r="G3153" s="63" t="s">
        <v>707</v>
      </c>
      <c r="H3153" s="64" t="s">
        <v>51</v>
      </c>
      <c r="I3153" s="62" t="s">
        <v>138</v>
      </c>
      <c r="J3153" s="64" t="s">
        <v>51</v>
      </c>
      <c r="K3153" s="62" t="s">
        <v>138</v>
      </c>
      <c r="L3153" s="68" t="b">
        <f aca="false">FALSE()</f>
        <v>0</v>
      </c>
    </row>
    <row r="3154" customFormat="false" ht="15" hidden="false" customHeight="false" outlineLevel="0" collapsed="false">
      <c r="A3154" s="62" t="n">
        <v>0</v>
      </c>
      <c r="B3154" s="21" t="s">
        <v>336</v>
      </c>
      <c r="C3154" s="62" t="s">
        <v>60</v>
      </c>
      <c r="D3154" s="62" t="s">
        <v>388</v>
      </c>
      <c r="E3154" s="62" t="s">
        <v>72</v>
      </c>
      <c r="F3154" s="62" t="s">
        <v>382</v>
      </c>
      <c r="G3154" s="63" t="s">
        <v>707</v>
      </c>
      <c r="H3154" s="64" t="s">
        <v>51</v>
      </c>
      <c r="I3154" s="62" t="s">
        <v>138</v>
      </c>
      <c r="J3154" s="64" t="s">
        <v>51</v>
      </c>
      <c r="K3154" s="62" t="s">
        <v>138</v>
      </c>
      <c r="L3154" s="68" t="b">
        <f aca="false">FALSE()</f>
        <v>0</v>
      </c>
    </row>
    <row r="3155" customFormat="false" ht="15" hidden="false" customHeight="false" outlineLevel="0" collapsed="false">
      <c r="A3155" s="62" t="n">
        <v>0</v>
      </c>
      <c r="B3155" s="21" t="s">
        <v>336</v>
      </c>
      <c r="C3155" s="62" t="s">
        <v>60</v>
      </c>
      <c r="D3155" s="62" t="s">
        <v>381</v>
      </c>
      <c r="E3155" s="62" t="s">
        <v>72</v>
      </c>
      <c r="F3155" s="62" t="s">
        <v>382</v>
      </c>
      <c r="G3155" s="63" t="s">
        <v>708</v>
      </c>
      <c r="H3155" s="64" t="n">
        <v>0</v>
      </c>
      <c r="I3155" s="62" t="s">
        <v>81</v>
      </c>
      <c r="J3155" s="64" t="n">
        <v>0</v>
      </c>
      <c r="K3155" s="62" t="s">
        <v>138</v>
      </c>
      <c r="L3155" s="68" t="b">
        <f aca="false">FALSE()</f>
        <v>0</v>
      </c>
    </row>
    <row r="3156" customFormat="false" ht="15" hidden="false" customHeight="false" outlineLevel="0" collapsed="false">
      <c r="A3156" s="62" t="n">
        <v>0</v>
      </c>
      <c r="B3156" s="21" t="s">
        <v>336</v>
      </c>
      <c r="C3156" s="62" t="s">
        <v>60</v>
      </c>
      <c r="D3156" s="62" t="s">
        <v>383</v>
      </c>
      <c r="E3156" s="62" t="s">
        <v>72</v>
      </c>
      <c r="F3156" s="62" t="s">
        <v>382</v>
      </c>
      <c r="G3156" s="63" t="s">
        <v>708</v>
      </c>
      <c r="H3156" s="64" t="n">
        <v>0</v>
      </c>
      <c r="I3156" s="62" t="s">
        <v>81</v>
      </c>
      <c r="J3156" s="64" t="n">
        <v>0</v>
      </c>
      <c r="K3156" s="62" t="s">
        <v>138</v>
      </c>
      <c r="L3156" s="68" t="b">
        <f aca="false">FALSE()</f>
        <v>0</v>
      </c>
    </row>
    <row r="3157" customFormat="false" ht="15" hidden="false" customHeight="false" outlineLevel="0" collapsed="false">
      <c r="A3157" s="62" t="n">
        <v>0</v>
      </c>
      <c r="B3157" s="21" t="s">
        <v>336</v>
      </c>
      <c r="C3157" s="62" t="s">
        <v>60</v>
      </c>
      <c r="D3157" s="62" t="s">
        <v>384</v>
      </c>
      <c r="E3157" s="62" t="s">
        <v>72</v>
      </c>
      <c r="F3157" s="62" t="s">
        <v>382</v>
      </c>
      <c r="G3157" s="63" t="s">
        <v>708</v>
      </c>
      <c r="H3157" s="64" t="n">
        <v>0</v>
      </c>
      <c r="I3157" s="62" t="s">
        <v>81</v>
      </c>
      <c r="J3157" s="64" t="n">
        <v>0</v>
      </c>
      <c r="K3157" s="62" t="s">
        <v>138</v>
      </c>
      <c r="L3157" s="68" t="b">
        <f aca="false">FALSE()</f>
        <v>0</v>
      </c>
    </row>
    <row r="3158" customFormat="false" ht="15" hidden="false" customHeight="false" outlineLevel="0" collapsed="false">
      <c r="A3158" s="62" t="n">
        <v>0</v>
      </c>
      <c r="B3158" s="21" t="s">
        <v>336</v>
      </c>
      <c r="C3158" s="62" t="s">
        <v>60</v>
      </c>
      <c r="D3158" s="62" t="s">
        <v>385</v>
      </c>
      <c r="E3158" s="62" t="s">
        <v>72</v>
      </c>
      <c r="F3158" s="62" t="s">
        <v>382</v>
      </c>
      <c r="G3158" s="63" t="s">
        <v>708</v>
      </c>
      <c r="H3158" s="64" t="n">
        <v>0</v>
      </c>
      <c r="I3158" s="62" t="s">
        <v>81</v>
      </c>
      <c r="J3158" s="64" t="n">
        <v>0</v>
      </c>
      <c r="K3158" s="62" t="s">
        <v>138</v>
      </c>
      <c r="L3158" s="68" t="b">
        <f aca="false">FALSE()</f>
        <v>0</v>
      </c>
    </row>
    <row r="3159" customFormat="false" ht="15" hidden="false" customHeight="false" outlineLevel="0" collapsed="false">
      <c r="A3159" s="62" t="n">
        <v>0</v>
      </c>
      <c r="B3159" s="21" t="s">
        <v>336</v>
      </c>
      <c r="C3159" s="62" t="s">
        <v>60</v>
      </c>
      <c r="D3159" s="62" t="s">
        <v>386</v>
      </c>
      <c r="E3159" s="62" t="s">
        <v>72</v>
      </c>
      <c r="F3159" s="62" t="s">
        <v>382</v>
      </c>
      <c r="G3159" s="63" t="s">
        <v>708</v>
      </c>
      <c r="H3159" s="64" t="n">
        <v>0</v>
      </c>
      <c r="I3159" s="62" t="s">
        <v>81</v>
      </c>
      <c r="J3159" s="64" t="n">
        <v>0</v>
      </c>
      <c r="K3159" s="62" t="s">
        <v>138</v>
      </c>
      <c r="L3159" s="68" t="b">
        <f aca="false">FALSE()</f>
        <v>0</v>
      </c>
    </row>
    <row r="3160" customFormat="false" ht="15" hidden="false" customHeight="false" outlineLevel="0" collapsed="false">
      <c r="A3160" s="62" t="n">
        <v>0</v>
      </c>
      <c r="B3160" s="21" t="s">
        <v>336</v>
      </c>
      <c r="C3160" s="62" t="s">
        <v>60</v>
      </c>
      <c r="D3160" s="62" t="s">
        <v>387</v>
      </c>
      <c r="E3160" s="62" t="s">
        <v>72</v>
      </c>
      <c r="F3160" s="62" t="s">
        <v>382</v>
      </c>
      <c r="G3160" s="63" t="s">
        <v>708</v>
      </c>
      <c r="H3160" s="64" t="n">
        <v>0</v>
      </c>
      <c r="I3160" s="62" t="s">
        <v>81</v>
      </c>
      <c r="J3160" s="64" t="n">
        <v>0</v>
      </c>
      <c r="K3160" s="62" t="s">
        <v>138</v>
      </c>
      <c r="L3160" s="68" t="b">
        <f aca="false">FALSE()</f>
        <v>0</v>
      </c>
    </row>
    <row r="3161" customFormat="false" ht="15" hidden="false" customHeight="false" outlineLevel="0" collapsed="false">
      <c r="A3161" s="62" t="n">
        <v>0</v>
      </c>
      <c r="B3161" s="21" t="s">
        <v>336</v>
      </c>
      <c r="C3161" s="62" t="s">
        <v>60</v>
      </c>
      <c r="D3161" s="62" t="s">
        <v>388</v>
      </c>
      <c r="E3161" s="62" t="s">
        <v>72</v>
      </c>
      <c r="F3161" s="62" t="s">
        <v>382</v>
      </c>
      <c r="G3161" s="63" t="s">
        <v>708</v>
      </c>
      <c r="H3161" s="64" t="n">
        <v>0</v>
      </c>
      <c r="I3161" s="62" t="s">
        <v>81</v>
      </c>
      <c r="J3161" s="64" t="n">
        <v>0</v>
      </c>
      <c r="K3161" s="62" t="s">
        <v>138</v>
      </c>
      <c r="L3161" s="68" t="b">
        <f aca="false">FALSE()</f>
        <v>0</v>
      </c>
    </row>
    <row r="3162" customFormat="false" ht="15" hidden="false" customHeight="false" outlineLevel="0" collapsed="false">
      <c r="A3162" s="62" t="n">
        <v>0</v>
      </c>
      <c r="B3162" s="21" t="s">
        <v>336</v>
      </c>
      <c r="C3162" s="62" t="s">
        <v>60</v>
      </c>
      <c r="D3162" s="62" t="s">
        <v>381</v>
      </c>
      <c r="E3162" s="62" t="s">
        <v>382</v>
      </c>
      <c r="F3162" s="62" t="s">
        <v>382</v>
      </c>
      <c r="G3162" s="63" t="s">
        <v>709</v>
      </c>
      <c r="H3162" s="64" t="n">
        <v>755018740.19634</v>
      </c>
      <c r="I3162" s="62" t="s">
        <v>81</v>
      </c>
      <c r="J3162" s="64" t="n">
        <v>755018.74019634</v>
      </c>
      <c r="K3162" s="62" t="s">
        <v>138</v>
      </c>
      <c r="L3162" s="68" t="b">
        <f aca="false">TRUE()</f>
        <v>1</v>
      </c>
    </row>
    <row r="3163" customFormat="false" ht="15" hidden="false" customHeight="false" outlineLevel="0" collapsed="false">
      <c r="A3163" s="62" t="n">
        <v>0</v>
      </c>
      <c r="B3163" s="21" t="s">
        <v>336</v>
      </c>
      <c r="C3163" s="62" t="s">
        <v>60</v>
      </c>
      <c r="D3163" s="62" t="s">
        <v>383</v>
      </c>
      <c r="E3163" s="62" t="s">
        <v>382</v>
      </c>
      <c r="F3163" s="62" t="s">
        <v>382</v>
      </c>
      <c r="G3163" s="63" t="s">
        <v>709</v>
      </c>
      <c r="H3163" s="64" t="n">
        <v>755018740.19634</v>
      </c>
      <c r="I3163" s="62" t="s">
        <v>81</v>
      </c>
      <c r="J3163" s="64" t="n">
        <v>755018.74019634</v>
      </c>
      <c r="K3163" s="62" t="s">
        <v>138</v>
      </c>
      <c r="L3163" s="68" t="b">
        <f aca="false">TRUE()</f>
        <v>1</v>
      </c>
    </row>
    <row r="3164" customFormat="false" ht="15" hidden="false" customHeight="false" outlineLevel="0" collapsed="false">
      <c r="A3164" s="62" t="n">
        <v>0</v>
      </c>
      <c r="B3164" s="21" t="s">
        <v>336</v>
      </c>
      <c r="C3164" s="62" t="s">
        <v>60</v>
      </c>
      <c r="D3164" s="62" t="s">
        <v>384</v>
      </c>
      <c r="E3164" s="62" t="s">
        <v>382</v>
      </c>
      <c r="F3164" s="62" t="s">
        <v>382</v>
      </c>
      <c r="G3164" s="63" t="s">
        <v>709</v>
      </c>
      <c r="H3164" s="64" t="n">
        <v>755018740.19634</v>
      </c>
      <c r="I3164" s="62" t="s">
        <v>81</v>
      </c>
      <c r="J3164" s="64" t="n">
        <v>755018.74019634</v>
      </c>
      <c r="K3164" s="62" t="s">
        <v>138</v>
      </c>
      <c r="L3164" s="68" t="b">
        <f aca="false">TRUE()</f>
        <v>1</v>
      </c>
    </row>
    <row r="3165" customFormat="false" ht="15" hidden="false" customHeight="false" outlineLevel="0" collapsed="false">
      <c r="A3165" s="62" t="n">
        <v>0</v>
      </c>
      <c r="B3165" s="21" t="s">
        <v>336</v>
      </c>
      <c r="C3165" s="62" t="s">
        <v>60</v>
      </c>
      <c r="D3165" s="62" t="s">
        <v>385</v>
      </c>
      <c r="E3165" s="62" t="s">
        <v>382</v>
      </c>
      <c r="F3165" s="62" t="s">
        <v>382</v>
      </c>
      <c r="G3165" s="63" t="s">
        <v>709</v>
      </c>
      <c r="H3165" s="64" t="n">
        <v>755018740.19634</v>
      </c>
      <c r="I3165" s="62" t="s">
        <v>81</v>
      </c>
      <c r="J3165" s="64" t="n">
        <v>755018.74019634</v>
      </c>
      <c r="K3165" s="62" t="s">
        <v>138</v>
      </c>
      <c r="L3165" s="68" t="b">
        <f aca="false">TRUE()</f>
        <v>1</v>
      </c>
    </row>
    <row r="3166" customFormat="false" ht="15" hidden="false" customHeight="false" outlineLevel="0" collapsed="false">
      <c r="A3166" s="62" t="n">
        <v>0</v>
      </c>
      <c r="B3166" s="21" t="s">
        <v>336</v>
      </c>
      <c r="C3166" s="62" t="s">
        <v>60</v>
      </c>
      <c r="D3166" s="62" t="s">
        <v>386</v>
      </c>
      <c r="E3166" s="62" t="s">
        <v>382</v>
      </c>
      <c r="F3166" s="62" t="s">
        <v>382</v>
      </c>
      <c r="G3166" s="63" t="s">
        <v>709</v>
      </c>
      <c r="H3166" s="64" t="n">
        <v>755018740.19634</v>
      </c>
      <c r="I3166" s="62" t="s">
        <v>81</v>
      </c>
      <c r="J3166" s="64" t="n">
        <v>755018.74019634</v>
      </c>
      <c r="K3166" s="62" t="s">
        <v>138</v>
      </c>
      <c r="L3166" s="68" t="b">
        <f aca="false">TRUE()</f>
        <v>1</v>
      </c>
    </row>
    <row r="3167" customFormat="false" ht="15" hidden="false" customHeight="false" outlineLevel="0" collapsed="false">
      <c r="A3167" s="62" t="n">
        <v>0</v>
      </c>
      <c r="B3167" s="21" t="s">
        <v>336</v>
      </c>
      <c r="C3167" s="62" t="s">
        <v>60</v>
      </c>
      <c r="D3167" s="62" t="s">
        <v>387</v>
      </c>
      <c r="E3167" s="62" t="s">
        <v>382</v>
      </c>
      <c r="F3167" s="62" t="s">
        <v>382</v>
      </c>
      <c r="G3167" s="63" t="s">
        <v>709</v>
      </c>
      <c r="H3167" s="64" t="n">
        <v>755018740.19634</v>
      </c>
      <c r="I3167" s="62" t="s">
        <v>81</v>
      </c>
      <c r="J3167" s="64" t="n">
        <v>755018.74019634</v>
      </c>
      <c r="K3167" s="62" t="s">
        <v>138</v>
      </c>
      <c r="L3167" s="68" t="b">
        <f aca="false">TRUE()</f>
        <v>1</v>
      </c>
    </row>
    <row r="3168" customFormat="false" ht="15" hidden="false" customHeight="false" outlineLevel="0" collapsed="false">
      <c r="A3168" s="62" t="n">
        <v>0</v>
      </c>
      <c r="B3168" s="21" t="s">
        <v>336</v>
      </c>
      <c r="C3168" s="62" t="s">
        <v>60</v>
      </c>
      <c r="D3168" s="62" t="s">
        <v>388</v>
      </c>
      <c r="E3168" s="62" t="s">
        <v>382</v>
      </c>
      <c r="F3168" s="62" t="s">
        <v>382</v>
      </c>
      <c r="G3168" s="63" t="s">
        <v>709</v>
      </c>
      <c r="H3168" s="64" t="n">
        <v>755018740.19634</v>
      </c>
      <c r="I3168" s="62" t="s">
        <v>81</v>
      </c>
      <c r="J3168" s="64" t="n">
        <v>755018.74019634</v>
      </c>
      <c r="K3168" s="62" t="s">
        <v>138</v>
      </c>
      <c r="L3168" s="68" t="b">
        <f aca="false">TRUE()</f>
        <v>1</v>
      </c>
    </row>
    <row r="3169" customFormat="false" ht="15" hidden="false" customHeight="false" outlineLevel="0" collapsed="false">
      <c r="A3169" s="62" t="n">
        <v>0</v>
      </c>
      <c r="B3169" s="21" t="s">
        <v>336</v>
      </c>
      <c r="C3169" s="62" t="s">
        <v>60</v>
      </c>
      <c r="D3169" s="62" t="s">
        <v>381</v>
      </c>
      <c r="E3169" s="62" t="s">
        <v>382</v>
      </c>
      <c r="F3169" s="62" t="s">
        <v>382</v>
      </c>
      <c r="G3169" s="63" t="s">
        <v>710</v>
      </c>
      <c r="H3169" s="64" t="n">
        <v>387880736.048881</v>
      </c>
      <c r="I3169" s="62" t="s">
        <v>81</v>
      </c>
      <c r="J3169" s="64" t="n">
        <v>387880.736048881</v>
      </c>
      <c r="K3169" s="62" t="s">
        <v>138</v>
      </c>
      <c r="L3169" s="68" t="b">
        <f aca="false">TRUE()</f>
        <v>1</v>
      </c>
    </row>
    <row r="3170" customFormat="false" ht="15" hidden="false" customHeight="false" outlineLevel="0" collapsed="false">
      <c r="A3170" s="62" t="n">
        <v>0</v>
      </c>
      <c r="B3170" s="21" t="s">
        <v>336</v>
      </c>
      <c r="C3170" s="62" t="s">
        <v>60</v>
      </c>
      <c r="D3170" s="62" t="s">
        <v>383</v>
      </c>
      <c r="E3170" s="62" t="s">
        <v>382</v>
      </c>
      <c r="F3170" s="62" t="s">
        <v>382</v>
      </c>
      <c r="G3170" s="63" t="s">
        <v>710</v>
      </c>
      <c r="H3170" s="64" t="n">
        <v>387880736.048881</v>
      </c>
      <c r="I3170" s="62" t="s">
        <v>81</v>
      </c>
      <c r="J3170" s="64" t="n">
        <v>387880.736048881</v>
      </c>
      <c r="K3170" s="62" t="s">
        <v>138</v>
      </c>
      <c r="L3170" s="68" t="b">
        <f aca="false">TRUE()</f>
        <v>1</v>
      </c>
    </row>
    <row r="3171" customFormat="false" ht="15" hidden="false" customHeight="false" outlineLevel="0" collapsed="false">
      <c r="A3171" s="62" t="n">
        <v>0</v>
      </c>
      <c r="B3171" s="21" t="s">
        <v>336</v>
      </c>
      <c r="C3171" s="62" t="s">
        <v>60</v>
      </c>
      <c r="D3171" s="62" t="s">
        <v>384</v>
      </c>
      <c r="E3171" s="62" t="s">
        <v>382</v>
      </c>
      <c r="F3171" s="62" t="s">
        <v>382</v>
      </c>
      <c r="G3171" s="63" t="s">
        <v>710</v>
      </c>
      <c r="H3171" s="64" t="n">
        <v>387880736.048881</v>
      </c>
      <c r="I3171" s="62" t="s">
        <v>81</v>
      </c>
      <c r="J3171" s="64" t="n">
        <v>387880.736048881</v>
      </c>
      <c r="K3171" s="62" t="s">
        <v>138</v>
      </c>
      <c r="L3171" s="68" t="b">
        <f aca="false">TRUE()</f>
        <v>1</v>
      </c>
    </row>
    <row r="3172" customFormat="false" ht="15" hidden="false" customHeight="false" outlineLevel="0" collapsed="false">
      <c r="A3172" s="62" t="n">
        <v>0</v>
      </c>
      <c r="B3172" s="21" t="s">
        <v>336</v>
      </c>
      <c r="C3172" s="62" t="s">
        <v>60</v>
      </c>
      <c r="D3172" s="62" t="s">
        <v>385</v>
      </c>
      <c r="E3172" s="62" t="s">
        <v>382</v>
      </c>
      <c r="F3172" s="62" t="s">
        <v>382</v>
      </c>
      <c r="G3172" s="63" t="s">
        <v>710</v>
      </c>
      <c r="H3172" s="64" t="n">
        <v>387880736.048881</v>
      </c>
      <c r="I3172" s="62" t="s">
        <v>81</v>
      </c>
      <c r="J3172" s="64" t="n">
        <v>387880.736048881</v>
      </c>
      <c r="K3172" s="62" t="s">
        <v>138</v>
      </c>
      <c r="L3172" s="68" t="b">
        <f aca="false">TRUE()</f>
        <v>1</v>
      </c>
    </row>
    <row r="3173" customFormat="false" ht="15" hidden="false" customHeight="false" outlineLevel="0" collapsed="false">
      <c r="A3173" s="62" t="n">
        <v>0</v>
      </c>
      <c r="B3173" s="21" t="s">
        <v>336</v>
      </c>
      <c r="C3173" s="62" t="s">
        <v>60</v>
      </c>
      <c r="D3173" s="62" t="s">
        <v>386</v>
      </c>
      <c r="E3173" s="62" t="s">
        <v>382</v>
      </c>
      <c r="F3173" s="62" t="s">
        <v>382</v>
      </c>
      <c r="G3173" s="63" t="s">
        <v>710</v>
      </c>
      <c r="H3173" s="64" t="n">
        <v>387880736.048881</v>
      </c>
      <c r="I3173" s="62" t="s">
        <v>81</v>
      </c>
      <c r="J3173" s="64" t="n">
        <v>387880.736048881</v>
      </c>
      <c r="K3173" s="62" t="s">
        <v>138</v>
      </c>
      <c r="L3173" s="68" t="b">
        <f aca="false">TRUE()</f>
        <v>1</v>
      </c>
    </row>
    <row r="3174" customFormat="false" ht="15" hidden="false" customHeight="false" outlineLevel="0" collapsed="false">
      <c r="A3174" s="62" t="n">
        <v>0</v>
      </c>
      <c r="B3174" s="21" t="s">
        <v>336</v>
      </c>
      <c r="C3174" s="62" t="s">
        <v>60</v>
      </c>
      <c r="D3174" s="62" t="s">
        <v>387</v>
      </c>
      <c r="E3174" s="62" t="s">
        <v>382</v>
      </c>
      <c r="F3174" s="62" t="s">
        <v>382</v>
      </c>
      <c r="G3174" s="63" t="s">
        <v>710</v>
      </c>
      <c r="H3174" s="64" t="n">
        <v>387880736.048881</v>
      </c>
      <c r="I3174" s="62" t="s">
        <v>81</v>
      </c>
      <c r="J3174" s="64" t="n">
        <v>387880.736048881</v>
      </c>
      <c r="K3174" s="62" t="s">
        <v>138</v>
      </c>
      <c r="L3174" s="68" t="b">
        <f aca="false">TRUE()</f>
        <v>1</v>
      </c>
    </row>
    <row r="3175" customFormat="false" ht="15" hidden="false" customHeight="false" outlineLevel="0" collapsed="false">
      <c r="A3175" s="62" t="n">
        <v>0</v>
      </c>
      <c r="B3175" s="21" t="s">
        <v>336</v>
      </c>
      <c r="C3175" s="62" t="s">
        <v>60</v>
      </c>
      <c r="D3175" s="62" t="s">
        <v>388</v>
      </c>
      <c r="E3175" s="62" t="s">
        <v>382</v>
      </c>
      <c r="F3175" s="62" t="s">
        <v>382</v>
      </c>
      <c r="G3175" s="63" t="s">
        <v>710</v>
      </c>
      <c r="H3175" s="64" t="n">
        <v>387880736.048881</v>
      </c>
      <c r="I3175" s="62" t="s">
        <v>81</v>
      </c>
      <c r="J3175" s="64" t="n">
        <v>387880.736048881</v>
      </c>
      <c r="K3175" s="62" t="s">
        <v>138</v>
      </c>
      <c r="L3175" s="68" t="b">
        <f aca="false">TRUE()</f>
        <v>1</v>
      </c>
    </row>
    <row r="3176" customFormat="false" ht="15" hidden="false" customHeight="false" outlineLevel="0" collapsed="false">
      <c r="A3176" s="62" t="n">
        <v>0</v>
      </c>
      <c r="B3176" s="21" t="s">
        <v>336</v>
      </c>
      <c r="C3176" s="62" t="s">
        <v>60</v>
      </c>
      <c r="D3176" s="62" t="s">
        <v>381</v>
      </c>
      <c r="E3176" s="62" t="s">
        <v>382</v>
      </c>
      <c r="F3176" s="62" t="s">
        <v>382</v>
      </c>
      <c r="G3176" s="63" t="s">
        <v>711</v>
      </c>
      <c r="H3176" s="64" t="n">
        <v>598718507.649613</v>
      </c>
      <c r="I3176" s="62" t="s">
        <v>81</v>
      </c>
      <c r="J3176" s="64" t="n">
        <v>598718.507649613</v>
      </c>
      <c r="K3176" s="62" t="s">
        <v>138</v>
      </c>
      <c r="L3176" s="68" t="b">
        <f aca="false">TRUE()</f>
        <v>1</v>
      </c>
    </row>
    <row r="3177" customFormat="false" ht="15" hidden="false" customHeight="false" outlineLevel="0" collapsed="false">
      <c r="A3177" s="62" t="n">
        <v>0</v>
      </c>
      <c r="B3177" s="21" t="s">
        <v>336</v>
      </c>
      <c r="C3177" s="62" t="s">
        <v>60</v>
      </c>
      <c r="D3177" s="62" t="s">
        <v>383</v>
      </c>
      <c r="E3177" s="62" t="s">
        <v>382</v>
      </c>
      <c r="F3177" s="62" t="s">
        <v>382</v>
      </c>
      <c r="G3177" s="63" t="s">
        <v>711</v>
      </c>
      <c r="H3177" s="64" t="n">
        <v>598718507.649613</v>
      </c>
      <c r="I3177" s="62" t="s">
        <v>81</v>
      </c>
      <c r="J3177" s="64" t="n">
        <v>598718.507649613</v>
      </c>
      <c r="K3177" s="62" t="s">
        <v>138</v>
      </c>
      <c r="L3177" s="68" t="b">
        <f aca="false">TRUE()</f>
        <v>1</v>
      </c>
    </row>
    <row r="3178" customFormat="false" ht="15" hidden="false" customHeight="false" outlineLevel="0" collapsed="false">
      <c r="A3178" s="62" t="n">
        <v>0</v>
      </c>
      <c r="B3178" s="21" t="s">
        <v>336</v>
      </c>
      <c r="C3178" s="62" t="s">
        <v>60</v>
      </c>
      <c r="D3178" s="62" t="s">
        <v>384</v>
      </c>
      <c r="E3178" s="62" t="s">
        <v>382</v>
      </c>
      <c r="F3178" s="62" t="s">
        <v>382</v>
      </c>
      <c r="G3178" s="63" t="s">
        <v>711</v>
      </c>
      <c r="H3178" s="64" t="n">
        <v>598718507.649613</v>
      </c>
      <c r="I3178" s="62" t="s">
        <v>81</v>
      </c>
      <c r="J3178" s="64" t="n">
        <v>598718.507649613</v>
      </c>
      <c r="K3178" s="62" t="s">
        <v>138</v>
      </c>
      <c r="L3178" s="68" t="b">
        <f aca="false">TRUE()</f>
        <v>1</v>
      </c>
    </row>
    <row r="3179" customFormat="false" ht="15" hidden="false" customHeight="false" outlineLevel="0" collapsed="false">
      <c r="A3179" s="62" t="n">
        <v>0</v>
      </c>
      <c r="B3179" s="21" t="s">
        <v>336</v>
      </c>
      <c r="C3179" s="62" t="s">
        <v>60</v>
      </c>
      <c r="D3179" s="62" t="s">
        <v>385</v>
      </c>
      <c r="E3179" s="62" t="s">
        <v>382</v>
      </c>
      <c r="F3179" s="62" t="s">
        <v>382</v>
      </c>
      <c r="G3179" s="63" t="s">
        <v>711</v>
      </c>
      <c r="H3179" s="64" t="n">
        <v>598718507.649613</v>
      </c>
      <c r="I3179" s="62" t="s">
        <v>81</v>
      </c>
      <c r="J3179" s="64" t="n">
        <v>598718.507649613</v>
      </c>
      <c r="K3179" s="62" t="s">
        <v>138</v>
      </c>
      <c r="L3179" s="68" t="b">
        <f aca="false">TRUE()</f>
        <v>1</v>
      </c>
    </row>
    <row r="3180" customFormat="false" ht="15" hidden="false" customHeight="false" outlineLevel="0" collapsed="false">
      <c r="A3180" s="62" t="n">
        <v>0</v>
      </c>
      <c r="B3180" s="21" t="s">
        <v>336</v>
      </c>
      <c r="C3180" s="62" t="s">
        <v>60</v>
      </c>
      <c r="D3180" s="62" t="s">
        <v>386</v>
      </c>
      <c r="E3180" s="62" t="s">
        <v>382</v>
      </c>
      <c r="F3180" s="62" t="s">
        <v>382</v>
      </c>
      <c r="G3180" s="63" t="s">
        <v>711</v>
      </c>
      <c r="H3180" s="64" t="n">
        <v>598718507.649613</v>
      </c>
      <c r="I3180" s="62" t="s">
        <v>81</v>
      </c>
      <c r="J3180" s="64" t="n">
        <v>598718.507649613</v>
      </c>
      <c r="K3180" s="62" t="s">
        <v>138</v>
      </c>
      <c r="L3180" s="68" t="b">
        <f aca="false">TRUE()</f>
        <v>1</v>
      </c>
    </row>
    <row r="3181" customFormat="false" ht="15" hidden="false" customHeight="false" outlineLevel="0" collapsed="false">
      <c r="A3181" s="62" t="n">
        <v>0</v>
      </c>
      <c r="B3181" s="21" t="s">
        <v>336</v>
      </c>
      <c r="C3181" s="62" t="s">
        <v>60</v>
      </c>
      <c r="D3181" s="62" t="s">
        <v>387</v>
      </c>
      <c r="E3181" s="62" t="s">
        <v>382</v>
      </c>
      <c r="F3181" s="62" t="s">
        <v>382</v>
      </c>
      <c r="G3181" s="63" t="s">
        <v>711</v>
      </c>
      <c r="H3181" s="64" t="n">
        <v>598718507.649613</v>
      </c>
      <c r="I3181" s="62" t="s">
        <v>81</v>
      </c>
      <c r="J3181" s="64" t="n">
        <v>598718.507649613</v>
      </c>
      <c r="K3181" s="62" t="s">
        <v>138</v>
      </c>
      <c r="L3181" s="68" t="b">
        <f aca="false">TRUE()</f>
        <v>1</v>
      </c>
    </row>
    <row r="3182" customFormat="false" ht="15" hidden="false" customHeight="false" outlineLevel="0" collapsed="false">
      <c r="A3182" s="62" t="n">
        <v>0</v>
      </c>
      <c r="B3182" s="21" t="s">
        <v>336</v>
      </c>
      <c r="C3182" s="62" t="s">
        <v>60</v>
      </c>
      <c r="D3182" s="62" t="s">
        <v>388</v>
      </c>
      <c r="E3182" s="62" t="s">
        <v>382</v>
      </c>
      <c r="F3182" s="62" t="s">
        <v>382</v>
      </c>
      <c r="G3182" s="63" t="s">
        <v>711</v>
      </c>
      <c r="H3182" s="64" t="n">
        <v>598718507.649613</v>
      </c>
      <c r="I3182" s="62" t="s">
        <v>81</v>
      </c>
      <c r="J3182" s="64" t="n">
        <v>598718.507649613</v>
      </c>
      <c r="K3182" s="62" t="s">
        <v>138</v>
      </c>
      <c r="L3182" s="68" t="b">
        <f aca="false">TRUE()</f>
        <v>1</v>
      </c>
    </row>
    <row r="3183" customFormat="false" ht="15" hidden="false" customHeight="false" outlineLevel="0" collapsed="false">
      <c r="A3183" s="62" t="n">
        <v>0</v>
      </c>
      <c r="B3183" s="21" t="s">
        <v>336</v>
      </c>
      <c r="C3183" s="62" t="s">
        <v>60</v>
      </c>
      <c r="D3183" s="62" t="s">
        <v>381</v>
      </c>
      <c r="E3183" s="62" t="s">
        <v>382</v>
      </c>
      <c r="F3183" s="62" t="s">
        <v>382</v>
      </c>
      <c r="G3183" s="63" t="s">
        <v>712</v>
      </c>
      <c r="H3183" s="64" t="n">
        <v>1741617983.89484</v>
      </c>
      <c r="I3183" s="62" t="s">
        <v>81</v>
      </c>
      <c r="J3183" s="64" t="n">
        <v>1741617.98389484</v>
      </c>
      <c r="K3183" s="62" t="s">
        <v>138</v>
      </c>
      <c r="L3183" s="68" t="b">
        <f aca="false">FALSE()</f>
        <v>0</v>
      </c>
    </row>
    <row r="3184" customFormat="false" ht="15" hidden="false" customHeight="false" outlineLevel="0" collapsed="false">
      <c r="A3184" s="62" t="n">
        <v>0</v>
      </c>
      <c r="B3184" s="21" t="s">
        <v>336</v>
      </c>
      <c r="C3184" s="62" t="s">
        <v>60</v>
      </c>
      <c r="D3184" s="62" t="s">
        <v>383</v>
      </c>
      <c r="E3184" s="62" t="s">
        <v>382</v>
      </c>
      <c r="F3184" s="62" t="s">
        <v>382</v>
      </c>
      <c r="G3184" s="63" t="s">
        <v>712</v>
      </c>
      <c r="H3184" s="64" t="n">
        <v>1741617983.89484</v>
      </c>
      <c r="I3184" s="62" t="s">
        <v>81</v>
      </c>
      <c r="J3184" s="64" t="n">
        <v>1741617.98389484</v>
      </c>
      <c r="K3184" s="62" t="s">
        <v>138</v>
      </c>
      <c r="L3184" s="68" t="b">
        <f aca="false">FALSE()</f>
        <v>0</v>
      </c>
    </row>
    <row r="3185" customFormat="false" ht="15" hidden="false" customHeight="false" outlineLevel="0" collapsed="false">
      <c r="A3185" s="62" t="n">
        <v>0</v>
      </c>
      <c r="B3185" s="21" t="s">
        <v>336</v>
      </c>
      <c r="C3185" s="62" t="s">
        <v>60</v>
      </c>
      <c r="D3185" s="62" t="s">
        <v>384</v>
      </c>
      <c r="E3185" s="62" t="s">
        <v>382</v>
      </c>
      <c r="F3185" s="62" t="s">
        <v>382</v>
      </c>
      <c r="G3185" s="63" t="s">
        <v>712</v>
      </c>
      <c r="H3185" s="64" t="n">
        <v>1741617983.89484</v>
      </c>
      <c r="I3185" s="62" t="s">
        <v>81</v>
      </c>
      <c r="J3185" s="64" t="n">
        <v>1741617.98389484</v>
      </c>
      <c r="K3185" s="62" t="s">
        <v>138</v>
      </c>
      <c r="L3185" s="68" t="b">
        <f aca="false">FALSE()</f>
        <v>0</v>
      </c>
    </row>
    <row r="3186" customFormat="false" ht="15" hidden="false" customHeight="false" outlineLevel="0" collapsed="false">
      <c r="A3186" s="62" t="n">
        <v>0</v>
      </c>
      <c r="B3186" s="21" t="s">
        <v>336</v>
      </c>
      <c r="C3186" s="62" t="s">
        <v>60</v>
      </c>
      <c r="D3186" s="62" t="s">
        <v>385</v>
      </c>
      <c r="E3186" s="62" t="s">
        <v>382</v>
      </c>
      <c r="F3186" s="62" t="s">
        <v>382</v>
      </c>
      <c r="G3186" s="63" t="s">
        <v>712</v>
      </c>
      <c r="H3186" s="64" t="n">
        <v>1741617983.89484</v>
      </c>
      <c r="I3186" s="62" t="s">
        <v>81</v>
      </c>
      <c r="J3186" s="64" t="n">
        <v>1741617.98389484</v>
      </c>
      <c r="K3186" s="62" t="s">
        <v>138</v>
      </c>
      <c r="L3186" s="68" t="b">
        <f aca="false">FALSE()</f>
        <v>0</v>
      </c>
    </row>
    <row r="3187" customFormat="false" ht="15" hidden="false" customHeight="false" outlineLevel="0" collapsed="false">
      <c r="A3187" s="62" t="n">
        <v>0</v>
      </c>
      <c r="B3187" s="21" t="s">
        <v>336</v>
      </c>
      <c r="C3187" s="62" t="s">
        <v>60</v>
      </c>
      <c r="D3187" s="62" t="s">
        <v>386</v>
      </c>
      <c r="E3187" s="62" t="s">
        <v>382</v>
      </c>
      <c r="F3187" s="62" t="s">
        <v>382</v>
      </c>
      <c r="G3187" s="63" t="s">
        <v>712</v>
      </c>
      <c r="H3187" s="64" t="n">
        <v>1741617983.89484</v>
      </c>
      <c r="I3187" s="62" t="s">
        <v>81</v>
      </c>
      <c r="J3187" s="64" t="n">
        <v>1741617.98389484</v>
      </c>
      <c r="K3187" s="62" t="s">
        <v>138</v>
      </c>
      <c r="L3187" s="68" t="b">
        <f aca="false">FALSE()</f>
        <v>0</v>
      </c>
    </row>
    <row r="3188" customFormat="false" ht="15" hidden="false" customHeight="false" outlineLevel="0" collapsed="false">
      <c r="A3188" s="62" t="n">
        <v>0</v>
      </c>
      <c r="B3188" s="21" t="s">
        <v>336</v>
      </c>
      <c r="C3188" s="62" t="s">
        <v>60</v>
      </c>
      <c r="D3188" s="62" t="s">
        <v>387</v>
      </c>
      <c r="E3188" s="62" t="s">
        <v>382</v>
      </c>
      <c r="F3188" s="62" t="s">
        <v>382</v>
      </c>
      <c r="G3188" s="63" t="s">
        <v>712</v>
      </c>
      <c r="H3188" s="64" t="n">
        <v>1741617983.89484</v>
      </c>
      <c r="I3188" s="62" t="s">
        <v>81</v>
      </c>
      <c r="J3188" s="64" t="n">
        <v>1741617.98389484</v>
      </c>
      <c r="K3188" s="62" t="s">
        <v>138</v>
      </c>
      <c r="L3188" s="68" t="b">
        <f aca="false">FALSE()</f>
        <v>0</v>
      </c>
    </row>
    <row r="3189" customFormat="false" ht="15" hidden="false" customHeight="false" outlineLevel="0" collapsed="false">
      <c r="A3189" s="62" t="n">
        <v>0</v>
      </c>
      <c r="B3189" s="21" t="s">
        <v>336</v>
      </c>
      <c r="C3189" s="62" t="s">
        <v>60</v>
      </c>
      <c r="D3189" s="62" t="s">
        <v>388</v>
      </c>
      <c r="E3189" s="62" t="s">
        <v>382</v>
      </c>
      <c r="F3189" s="62" t="s">
        <v>382</v>
      </c>
      <c r="G3189" s="63" t="s">
        <v>712</v>
      </c>
      <c r="H3189" s="64" t="n">
        <v>1741617983.89484</v>
      </c>
      <c r="I3189" s="62" t="s">
        <v>81</v>
      </c>
      <c r="J3189" s="64" t="n">
        <v>1741617.98389484</v>
      </c>
      <c r="K3189" s="62" t="s">
        <v>138</v>
      </c>
      <c r="L3189" s="68" t="b">
        <f aca="false">FALSE()</f>
        <v>0</v>
      </c>
    </row>
    <row r="3190" customFormat="false" ht="15" hidden="false" customHeight="false" outlineLevel="0" collapsed="false">
      <c r="A3190" s="62" t="n">
        <v>0</v>
      </c>
      <c r="B3190" s="21" t="s">
        <v>336</v>
      </c>
      <c r="C3190" s="62" t="s">
        <v>60</v>
      </c>
      <c r="D3190" s="62" t="s">
        <v>381</v>
      </c>
      <c r="E3190" s="62" t="s">
        <v>382</v>
      </c>
      <c r="F3190" s="62" t="s">
        <v>382</v>
      </c>
      <c r="G3190" s="63" t="s">
        <v>713</v>
      </c>
      <c r="H3190" s="64" t="n">
        <v>529181242.278694</v>
      </c>
      <c r="I3190" s="62" t="s">
        <v>81</v>
      </c>
      <c r="J3190" s="64" t="n">
        <v>529181.242278694</v>
      </c>
      <c r="K3190" s="62" t="s">
        <v>138</v>
      </c>
      <c r="L3190" s="68" t="b">
        <f aca="false">TRUE()</f>
        <v>1</v>
      </c>
    </row>
    <row r="3191" customFormat="false" ht="15" hidden="false" customHeight="false" outlineLevel="0" collapsed="false">
      <c r="A3191" s="62" t="n">
        <v>0</v>
      </c>
      <c r="B3191" s="21" t="s">
        <v>336</v>
      </c>
      <c r="C3191" s="62" t="s">
        <v>60</v>
      </c>
      <c r="D3191" s="62" t="s">
        <v>383</v>
      </c>
      <c r="E3191" s="62" t="s">
        <v>382</v>
      </c>
      <c r="F3191" s="62" t="s">
        <v>382</v>
      </c>
      <c r="G3191" s="63" t="s">
        <v>713</v>
      </c>
      <c r="H3191" s="64" t="n">
        <v>529181242.278694</v>
      </c>
      <c r="I3191" s="62" t="s">
        <v>81</v>
      </c>
      <c r="J3191" s="64" t="n">
        <v>529181.242278694</v>
      </c>
      <c r="K3191" s="62" t="s">
        <v>138</v>
      </c>
      <c r="L3191" s="68" t="b">
        <f aca="false">TRUE()</f>
        <v>1</v>
      </c>
    </row>
    <row r="3192" customFormat="false" ht="15" hidden="false" customHeight="false" outlineLevel="0" collapsed="false">
      <c r="A3192" s="62" t="n">
        <v>0</v>
      </c>
      <c r="B3192" s="21" t="s">
        <v>336</v>
      </c>
      <c r="C3192" s="62" t="s">
        <v>60</v>
      </c>
      <c r="D3192" s="62" t="s">
        <v>384</v>
      </c>
      <c r="E3192" s="62" t="s">
        <v>382</v>
      </c>
      <c r="F3192" s="62" t="s">
        <v>382</v>
      </c>
      <c r="G3192" s="63" t="s">
        <v>713</v>
      </c>
      <c r="H3192" s="64" t="n">
        <v>529181242.278694</v>
      </c>
      <c r="I3192" s="62" t="s">
        <v>81</v>
      </c>
      <c r="J3192" s="64" t="n">
        <v>529181.242278694</v>
      </c>
      <c r="K3192" s="62" t="s">
        <v>138</v>
      </c>
      <c r="L3192" s="68" t="b">
        <f aca="false">TRUE()</f>
        <v>1</v>
      </c>
    </row>
    <row r="3193" customFormat="false" ht="15" hidden="false" customHeight="false" outlineLevel="0" collapsed="false">
      <c r="A3193" s="62" t="n">
        <v>0</v>
      </c>
      <c r="B3193" s="21" t="s">
        <v>336</v>
      </c>
      <c r="C3193" s="62" t="s">
        <v>60</v>
      </c>
      <c r="D3193" s="62" t="s">
        <v>385</v>
      </c>
      <c r="E3193" s="62" t="s">
        <v>382</v>
      </c>
      <c r="F3193" s="62" t="s">
        <v>382</v>
      </c>
      <c r="G3193" s="63" t="s">
        <v>713</v>
      </c>
      <c r="H3193" s="64" t="n">
        <v>529181242.278694</v>
      </c>
      <c r="I3193" s="62" t="s">
        <v>81</v>
      </c>
      <c r="J3193" s="64" t="n">
        <v>529181.242278694</v>
      </c>
      <c r="K3193" s="62" t="s">
        <v>138</v>
      </c>
      <c r="L3193" s="68" t="b">
        <f aca="false">TRUE()</f>
        <v>1</v>
      </c>
    </row>
    <row r="3194" customFormat="false" ht="15" hidden="false" customHeight="false" outlineLevel="0" collapsed="false">
      <c r="A3194" s="62" t="n">
        <v>0</v>
      </c>
      <c r="B3194" s="21" t="s">
        <v>336</v>
      </c>
      <c r="C3194" s="62" t="s">
        <v>60</v>
      </c>
      <c r="D3194" s="62" t="s">
        <v>386</v>
      </c>
      <c r="E3194" s="62" t="s">
        <v>382</v>
      </c>
      <c r="F3194" s="62" t="s">
        <v>382</v>
      </c>
      <c r="G3194" s="63" t="s">
        <v>713</v>
      </c>
      <c r="H3194" s="64" t="n">
        <v>529181242.278694</v>
      </c>
      <c r="I3194" s="62" t="s">
        <v>81</v>
      </c>
      <c r="J3194" s="64" t="n">
        <v>529181.242278694</v>
      </c>
      <c r="K3194" s="62" t="s">
        <v>138</v>
      </c>
      <c r="L3194" s="68" t="b">
        <f aca="false">TRUE()</f>
        <v>1</v>
      </c>
    </row>
    <row r="3195" customFormat="false" ht="15" hidden="false" customHeight="false" outlineLevel="0" collapsed="false">
      <c r="A3195" s="62" t="n">
        <v>0</v>
      </c>
      <c r="B3195" s="21" t="s">
        <v>336</v>
      </c>
      <c r="C3195" s="62" t="s">
        <v>60</v>
      </c>
      <c r="D3195" s="62" t="s">
        <v>387</v>
      </c>
      <c r="E3195" s="62" t="s">
        <v>382</v>
      </c>
      <c r="F3195" s="62" t="s">
        <v>382</v>
      </c>
      <c r="G3195" s="63" t="s">
        <v>713</v>
      </c>
      <c r="H3195" s="64" t="n">
        <v>529181242.278694</v>
      </c>
      <c r="I3195" s="62" t="s">
        <v>81</v>
      </c>
      <c r="J3195" s="64" t="n">
        <v>529181.242278694</v>
      </c>
      <c r="K3195" s="62" t="s">
        <v>138</v>
      </c>
      <c r="L3195" s="68" t="b">
        <f aca="false">TRUE()</f>
        <v>1</v>
      </c>
    </row>
    <row r="3196" customFormat="false" ht="15" hidden="false" customHeight="false" outlineLevel="0" collapsed="false">
      <c r="A3196" s="62" t="n">
        <v>0</v>
      </c>
      <c r="B3196" s="21" t="s">
        <v>336</v>
      </c>
      <c r="C3196" s="62" t="s">
        <v>60</v>
      </c>
      <c r="D3196" s="62" t="s">
        <v>388</v>
      </c>
      <c r="E3196" s="62" t="s">
        <v>382</v>
      </c>
      <c r="F3196" s="62" t="s">
        <v>382</v>
      </c>
      <c r="G3196" s="63" t="s">
        <v>713</v>
      </c>
      <c r="H3196" s="64" t="n">
        <v>529181242.278694</v>
      </c>
      <c r="I3196" s="62" t="s">
        <v>81</v>
      </c>
      <c r="J3196" s="64" t="n">
        <v>529181.242278694</v>
      </c>
      <c r="K3196" s="62" t="s">
        <v>138</v>
      </c>
      <c r="L3196" s="68" t="b">
        <f aca="false">TRUE()</f>
        <v>1</v>
      </c>
    </row>
    <row r="3197" customFormat="false" ht="15" hidden="false" customHeight="false" outlineLevel="0" collapsed="false">
      <c r="A3197" s="62" t="n">
        <v>0</v>
      </c>
      <c r="B3197" s="21" t="s">
        <v>336</v>
      </c>
      <c r="C3197" s="62" t="s">
        <v>60</v>
      </c>
      <c r="D3197" s="62" t="s">
        <v>381</v>
      </c>
      <c r="E3197" s="62" t="s">
        <v>382</v>
      </c>
      <c r="F3197" s="62" t="s">
        <v>382</v>
      </c>
      <c r="G3197" s="63" t="s">
        <v>714</v>
      </c>
      <c r="H3197" s="64" t="n">
        <v>119424995.069532</v>
      </c>
      <c r="I3197" s="62" t="s">
        <v>81</v>
      </c>
      <c r="J3197" s="64" t="n">
        <v>119424.995069532</v>
      </c>
      <c r="K3197" s="62" t="s">
        <v>138</v>
      </c>
      <c r="L3197" s="68" t="b">
        <f aca="false">TRUE()</f>
        <v>1</v>
      </c>
    </row>
    <row r="3198" customFormat="false" ht="15" hidden="false" customHeight="false" outlineLevel="0" collapsed="false">
      <c r="A3198" s="62" t="n">
        <v>0</v>
      </c>
      <c r="B3198" s="21" t="s">
        <v>336</v>
      </c>
      <c r="C3198" s="62" t="s">
        <v>60</v>
      </c>
      <c r="D3198" s="62" t="s">
        <v>383</v>
      </c>
      <c r="E3198" s="62" t="s">
        <v>382</v>
      </c>
      <c r="F3198" s="62" t="s">
        <v>382</v>
      </c>
      <c r="G3198" s="63" t="s">
        <v>714</v>
      </c>
      <c r="H3198" s="64" t="n">
        <v>119424995.069532</v>
      </c>
      <c r="I3198" s="62" t="s">
        <v>81</v>
      </c>
      <c r="J3198" s="64" t="n">
        <v>119424.995069532</v>
      </c>
      <c r="K3198" s="62" t="s">
        <v>138</v>
      </c>
      <c r="L3198" s="68" t="b">
        <f aca="false">TRUE()</f>
        <v>1</v>
      </c>
    </row>
    <row r="3199" customFormat="false" ht="15" hidden="false" customHeight="false" outlineLevel="0" collapsed="false">
      <c r="A3199" s="62" t="n">
        <v>0</v>
      </c>
      <c r="B3199" s="21" t="s">
        <v>336</v>
      </c>
      <c r="C3199" s="62" t="s">
        <v>60</v>
      </c>
      <c r="D3199" s="62" t="s">
        <v>384</v>
      </c>
      <c r="E3199" s="62" t="s">
        <v>382</v>
      </c>
      <c r="F3199" s="62" t="s">
        <v>382</v>
      </c>
      <c r="G3199" s="63" t="s">
        <v>714</v>
      </c>
      <c r="H3199" s="64" t="n">
        <v>119424995.069532</v>
      </c>
      <c r="I3199" s="62" t="s">
        <v>81</v>
      </c>
      <c r="J3199" s="64" t="n">
        <v>119424.995069532</v>
      </c>
      <c r="K3199" s="62" t="s">
        <v>138</v>
      </c>
      <c r="L3199" s="68" t="b">
        <f aca="false">TRUE()</f>
        <v>1</v>
      </c>
    </row>
    <row r="3200" customFormat="false" ht="15" hidden="false" customHeight="false" outlineLevel="0" collapsed="false">
      <c r="A3200" s="62" t="n">
        <v>0</v>
      </c>
      <c r="B3200" s="21" t="s">
        <v>336</v>
      </c>
      <c r="C3200" s="62" t="s">
        <v>60</v>
      </c>
      <c r="D3200" s="62" t="s">
        <v>385</v>
      </c>
      <c r="E3200" s="62" t="s">
        <v>382</v>
      </c>
      <c r="F3200" s="62" t="s">
        <v>382</v>
      </c>
      <c r="G3200" s="63" t="s">
        <v>714</v>
      </c>
      <c r="H3200" s="64" t="n">
        <v>119424995.069532</v>
      </c>
      <c r="I3200" s="62" t="s">
        <v>81</v>
      </c>
      <c r="J3200" s="64" t="n">
        <v>119424.995069532</v>
      </c>
      <c r="K3200" s="62" t="s">
        <v>138</v>
      </c>
      <c r="L3200" s="68" t="b">
        <f aca="false">TRUE()</f>
        <v>1</v>
      </c>
    </row>
    <row r="3201" customFormat="false" ht="15" hidden="false" customHeight="false" outlineLevel="0" collapsed="false">
      <c r="A3201" s="62" t="n">
        <v>0</v>
      </c>
      <c r="B3201" s="21" t="s">
        <v>336</v>
      </c>
      <c r="C3201" s="62" t="s">
        <v>60</v>
      </c>
      <c r="D3201" s="62" t="s">
        <v>386</v>
      </c>
      <c r="E3201" s="62" t="s">
        <v>382</v>
      </c>
      <c r="F3201" s="62" t="s">
        <v>382</v>
      </c>
      <c r="G3201" s="63" t="s">
        <v>714</v>
      </c>
      <c r="H3201" s="64" t="n">
        <v>119424995.069532</v>
      </c>
      <c r="I3201" s="62" t="s">
        <v>81</v>
      </c>
      <c r="J3201" s="64" t="n">
        <v>119424.995069532</v>
      </c>
      <c r="K3201" s="62" t="s">
        <v>138</v>
      </c>
      <c r="L3201" s="68" t="b">
        <f aca="false">TRUE()</f>
        <v>1</v>
      </c>
    </row>
    <row r="3202" customFormat="false" ht="15" hidden="false" customHeight="false" outlineLevel="0" collapsed="false">
      <c r="A3202" s="62" t="n">
        <v>0</v>
      </c>
      <c r="B3202" s="21" t="s">
        <v>336</v>
      </c>
      <c r="C3202" s="62" t="s">
        <v>60</v>
      </c>
      <c r="D3202" s="62" t="s">
        <v>387</v>
      </c>
      <c r="E3202" s="62" t="s">
        <v>382</v>
      </c>
      <c r="F3202" s="62" t="s">
        <v>382</v>
      </c>
      <c r="G3202" s="63" t="s">
        <v>714</v>
      </c>
      <c r="H3202" s="64" t="n">
        <v>119424995.069532</v>
      </c>
      <c r="I3202" s="62" t="s">
        <v>81</v>
      </c>
      <c r="J3202" s="64" t="n">
        <v>119424.995069532</v>
      </c>
      <c r="K3202" s="62" t="s">
        <v>138</v>
      </c>
      <c r="L3202" s="68" t="b">
        <f aca="false">TRUE()</f>
        <v>1</v>
      </c>
    </row>
    <row r="3203" customFormat="false" ht="15" hidden="false" customHeight="false" outlineLevel="0" collapsed="false">
      <c r="A3203" s="62" t="n">
        <v>0</v>
      </c>
      <c r="B3203" s="21" t="s">
        <v>336</v>
      </c>
      <c r="C3203" s="62" t="s">
        <v>60</v>
      </c>
      <c r="D3203" s="62" t="s">
        <v>388</v>
      </c>
      <c r="E3203" s="62" t="s">
        <v>382</v>
      </c>
      <c r="F3203" s="62" t="s">
        <v>382</v>
      </c>
      <c r="G3203" s="63" t="s">
        <v>714</v>
      </c>
      <c r="H3203" s="64" t="n">
        <v>119424995.069532</v>
      </c>
      <c r="I3203" s="62" t="s">
        <v>81</v>
      </c>
      <c r="J3203" s="64" t="n">
        <v>119424.995069532</v>
      </c>
      <c r="K3203" s="62" t="s">
        <v>138</v>
      </c>
      <c r="L3203" s="68" t="b">
        <f aca="false">TRUE()</f>
        <v>1</v>
      </c>
    </row>
    <row r="3204" customFormat="false" ht="15" hidden="false" customHeight="false" outlineLevel="0" collapsed="false">
      <c r="A3204" s="62" t="n">
        <v>0</v>
      </c>
      <c r="B3204" s="21" t="s">
        <v>336</v>
      </c>
      <c r="C3204" s="62" t="s">
        <v>60</v>
      </c>
      <c r="D3204" s="62" t="s">
        <v>381</v>
      </c>
      <c r="E3204" s="62" t="s">
        <v>382</v>
      </c>
      <c r="F3204" s="62" t="s">
        <v>382</v>
      </c>
      <c r="G3204" s="63" t="s">
        <v>715</v>
      </c>
      <c r="H3204" s="64" t="n">
        <v>-5898652.71870569</v>
      </c>
      <c r="I3204" s="62" t="s">
        <v>81</v>
      </c>
      <c r="J3204" s="64" t="n">
        <v>-5898.65271870569</v>
      </c>
      <c r="K3204" s="62" t="s">
        <v>138</v>
      </c>
      <c r="L3204" s="68" t="b">
        <f aca="false">TRUE()</f>
        <v>1</v>
      </c>
    </row>
    <row r="3205" customFormat="false" ht="15" hidden="false" customHeight="false" outlineLevel="0" collapsed="false">
      <c r="A3205" s="62" t="n">
        <v>0</v>
      </c>
      <c r="B3205" s="21" t="s">
        <v>336</v>
      </c>
      <c r="C3205" s="62" t="s">
        <v>60</v>
      </c>
      <c r="D3205" s="62" t="s">
        <v>383</v>
      </c>
      <c r="E3205" s="62" t="s">
        <v>382</v>
      </c>
      <c r="F3205" s="62" t="s">
        <v>382</v>
      </c>
      <c r="G3205" s="63" t="s">
        <v>715</v>
      </c>
      <c r="H3205" s="64" t="n">
        <v>-5898652.71870569</v>
      </c>
      <c r="I3205" s="62" t="s">
        <v>81</v>
      </c>
      <c r="J3205" s="64" t="n">
        <v>-5898.65271870569</v>
      </c>
      <c r="K3205" s="62" t="s">
        <v>138</v>
      </c>
      <c r="L3205" s="68" t="b">
        <f aca="false">TRUE()</f>
        <v>1</v>
      </c>
    </row>
    <row r="3206" customFormat="false" ht="15" hidden="false" customHeight="false" outlineLevel="0" collapsed="false">
      <c r="A3206" s="62" t="n">
        <v>0</v>
      </c>
      <c r="B3206" s="21" t="s">
        <v>336</v>
      </c>
      <c r="C3206" s="62" t="s">
        <v>60</v>
      </c>
      <c r="D3206" s="62" t="s">
        <v>384</v>
      </c>
      <c r="E3206" s="62" t="s">
        <v>382</v>
      </c>
      <c r="F3206" s="62" t="s">
        <v>382</v>
      </c>
      <c r="G3206" s="63" t="s">
        <v>715</v>
      </c>
      <c r="H3206" s="64" t="n">
        <v>-5898652.71870569</v>
      </c>
      <c r="I3206" s="62" t="s">
        <v>81</v>
      </c>
      <c r="J3206" s="64" t="n">
        <v>-5898.65271870569</v>
      </c>
      <c r="K3206" s="62" t="s">
        <v>138</v>
      </c>
      <c r="L3206" s="68" t="b">
        <f aca="false">TRUE()</f>
        <v>1</v>
      </c>
    </row>
    <row r="3207" customFormat="false" ht="15" hidden="false" customHeight="false" outlineLevel="0" collapsed="false">
      <c r="A3207" s="62" t="n">
        <v>0</v>
      </c>
      <c r="B3207" s="21" t="s">
        <v>336</v>
      </c>
      <c r="C3207" s="62" t="s">
        <v>60</v>
      </c>
      <c r="D3207" s="62" t="s">
        <v>385</v>
      </c>
      <c r="E3207" s="62" t="s">
        <v>382</v>
      </c>
      <c r="F3207" s="62" t="s">
        <v>382</v>
      </c>
      <c r="G3207" s="63" t="s">
        <v>715</v>
      </c>
      <c r="H3207" s="64" t="n">
        <v>-5898652.71870569</v>
      </c>
      <c r="I3207" s="62" t="s">
        <v>81</v>
      </c>
      <c r="J3207" s="64" t="n">
        <v>-5898.65271870569</v>
      </c>
      <c r="K3207" s="62" t="s">
        <v>138</v>
      </c>
      <c r="L3207" s="68" t="b">
        <f aca="false">TRUE()</f>
        <v>1</v>
      </c>
    </row>
    <row r="3208" customFormat="false" ht="15" hidden="false" customHeight="false" outlineLevel="0" collapsed="false">
      <c r="A3208" s="62" t="n">
        <v>0</v>
      </c>
      <c r="B3208" s="21" t="s">
        <v>336</v>
      </c>
      <c r="C3208" s="62" t="s">
        <v>60</v>
      </c>
      <c r="D3208" s="62" t="s">
        <v>386</v>
      </c>
      <c r="E3208" s="62" t="s">
        <v>382</v>
      </c>
      <c r="F3208" s="62" t="s">
        <v>382</v>
      </c>
      <c r="G3208" s="63" t="s">
        <v>715</v>
      </c>
      <c r="H3208" s="64" t="n">
        <v>-5898652.71870569</v>
      </c>
      <c r="I3208" s="62" t="s">
        <v>81</v>
      </c>
      <c r="J3208" s="64" t="n">
        <v>-5898.65271870569</v>
      </c>
      <c r="K3208" s="62" t="s">
        <v>138</v>
      </c>
      <c r="L3208" s="68" t="b">
        <f aca="false">TRUE()</f>
        <v>1</v>
      </c>
    </row>
    <row r="3209" customFormat="false" ht="15" hidden="false" customHeight="false" outlineLevel="0" collapsed="false">
      <c r="A3209" s="62" t="n">
        <v>0</v>
      </c>
      <c r="B3209" s="21" t="s">
        <v>336</v>
      </c>
      <c r="C3209" s="62" t="s">
        <v>60</v>
      </c>
      <c r="D3209" s="62" t="s">
        <v>387</v>
      </c>
      <c r="E3209" s="62" t="s">
        <v>382</v>
      </c>
      <c r="F3209" s="62" t="s">
        <v>382</v>
      </c>
      <c r="G3209" s="63" t="s">
        <v>715</v>
      </c>
      <c r="H3209" s="64" t="n">
        <v>-5898652.71870569</v>
      </c>
      <c r="I3209" s="62" t="s">
        <v>81</v>
      </c>
      <c r="J3209" s="64" t="n">
        <v>-5898.65271870569</v>
      </c>
      <c r="K3209" s="62" t="s">
        <v>138</v>
      </c>
      <c r="L3209" s="68" t="b">
        <f aca="false">TRUE()</f>
        <v>1</v>
      </c>
    </row>
    <row r="3210" customFormat="false" ht="15" hidden="false" customHeight="false" outlineLevel="0" collapsed="false">
      <c r="A3210" s="62" t="n">
        <v>0</v>
      </c>
      <c r="B3210" s="21" t="s">
        <v>336</v>
      </c>
      <c r="C3210" s="62" t="s">
        <v>60</v>
      </c>
      <c r="D3210" s="62" t="s">
        <v>388</v>
      </c>
      <c r="E3210" s="62" t="s">
        <v>382</v>
      </c>
      <c r="F3210" s="62" t="s">
        <v>382</v>
      </c>
      <c r="G3210" s="63" t="s">
        <v>715</v>
      </c>
      <c r="H3210" s="64" t="n">
        <v>-5898652.71870569</v>
      </c>
      <c r="I3210" s="62" t="s">
        <v>81</v>
      </c>
      <c r="J3210" s="64" t="n">
        <v>-5898.65271870569</v>
      </c>
      <c r="K3210" s="62" t="s">
        <v>138</v>
      </c>
      <c r="L3210" s="68" t="b">
        <f aca="false">TRUE()</f>
        <v>1</v>
      </c>
    </row>
    <row r="3211" customFormat="false" ht="15" hidden="false" customHeight="false" outlineLevel="0" collapsed="false">
      <c r="A3211" s="62" t="n">
        <v>0</v>
      </c>
      <c r="B3211" s="21" t="s">
        <v>336</v>
      </c>
      <c r="C3211" s="62" t="s">
        <v>60</v>
      </c>
      <c r="D3211" s="62" t="s">
        <v>381</v>
      </c>
      <c r="E3211" s="62" t="s">
        <v>382</v>
      </c>
      <c r="F3211" s="62" t="s">
        <v>382</v>
      </c>
      <c r="G3211" s="63" t="s">
        <v>716</v>
      </c>
      <c r="H3211" s="64" t="n">
        <v>642707584.62952</v>
      </c>
      <c r="I3211" s="62" t="s">
        <v>81</v>
      </c>
      <c r="J3211" s="64" t="n">
        <v>642707.58462952</v>
      </c>
      <c r="K3211" s="62" t="s">
        <v>138</v>
      </c>
      <c r="L3211" s="68" t="b">
        <f aca="false">FALSE()</f>
        <v>0</v>
      </c>
    </row>
    <row r="3212" customFormat="false" ht="15" hidden="false" customHeight="false" outlineLevel="0" collapsed="false">
      <c r="A3212" s="62" t="n">
        <v>0</v>
      </c>
      <c r="B3212" s="21" t="s">
        <v>336</v>
      </c>
      <c r="C3212" s="62" t="s">
        <v>60</v>
      </c>
      <c r="D3212" s="62" t="s">
        <v>383</v>
      </c>
      <c r="E3212" s="62" t="s">
        <v>382</v>
      </c>
      <c r="F3212" s="62" t="s">
        <v>382</v>
      </c>
      <c r="G3212" s="63" t="s">
        <v>716</v>
      </c>
      <c r="H3212" s="64" t="n">
        <v>642707584.62952</v>
      </c>
      <c r="I3212" s="62" t="s">
        <v>81</v>
      </c>
      <c r="J3212" s="64" t="n">
        <v>642707.58462952</v>
      </c>
      <c r="K3212" s="62" t="s">
        <v>138</v>
      </c>
      <c r="L3212" s="68" t="b">
        <f aca="false">FALSE()</f>
        <v>0</v>
      </c>
    </row>
    <row r="3213" customFormat="false" ht="15" hidden="false" customHeight="false" outlineLevel="0" collapsed="false">
      <c r="A3213" s="62" t="n">
        <v>0</v>
      </c>
      <c r="B3213" s="21" t="s">
        <v>336</v>
      </c>
      <c r="C3213" s="62" t="s">
        <v>60</v>
      </c>
      <c r="D3213" s="62" t="s">
        <v>384</v>
      </c>
      <c r="E3213" s="62" t="s">
        <v>382</v>
      </c>
      <c r="F3213" s="62" t="s">
        <v>382</v>
      </c>
      <c r="G3213" s="63" t="s">
        <v>716</v>
      </c>
      <c r="H3213" s="64" t="n">
        <v>642707584.62952</v>
      </c>
      <c r="I3213" s="62" t="s">
        <v>81</v>
      </c>
      <c r="J3213" s="64" t="n">
        <v>642707.58462952</v>
      </c>
      <c r="K3213" s="62" t="s">
        <v>138</v>
      </c>
      <c r="L3213" s="68" t="b">
        <f aca="false">FALSE()</f>
        <v>0</v>
      </c>
    </row>
    <row r="3214" customFormat="false" ht="15" hidden="false" customHeight="false" outlineLevel="0" collapsed="false">
      <c r="A3214" s="62" t="n">
        <v>0</v>
      </c>
      <c r="B3214" s="21" t="s">
        <v>336</v>
      </c>
      <c r="C3214" s="62" t="s">
        <v>60</v>
      </c>
      <c r="D3214" s="62" t="s">
        <v>385</v>
      </c>
      <c r="E3214" s="62" t="s">
        <v>382</v>
      </c>
      <c r="F3214" s="62" t="s">
        <v>382</v>
      </c>
      <c r="G3214" s="63" t="s">
        <v>716</v>
      </c>
      <c r="H3214" s="64" t="n">
        <v>642707584.62952</v>
      </c>
      <c r="I3214" s="62" t="s">
        <v>81</v>
      </c>
      <c r="J3214" s="64" t="n">
        <v>642707.58462952</v>
      </c>
      <c r="K3214" s="62" t="s">
        <v>138</v>
      </c>
      <c r="L3214" s="68" t="b">
        <f aca="false">FALSE()</f>
        <v>0</v>
      </c>
    </row>
    <row r="3215" customFormat="false" ht="15" hidden="false" customHeight="false" outlineLevel="0" collapsed="false">
      <c r="A3215" s="62" t="n">
        <v>0</v>
      </c>
      <c r="B3215" s="21" t="s">
        <v>336</v>
      </c>
      <c r="C3215" s="62" t="s">
        <v>60</v>
      </c>
      <c r="D3215" s="62" t="s">
        <v>386</v>
      </c>
      <c r="E3215" s="62" t="s">
        <v>382</v>
      </c>
      <c r="F3215" s="62" t="s">
        <v>382</v>
      </c>
      <c r="G3215" s="63" t="s">
        <v>716</v>
      </c>
      <c r="H3215" s="64" t="n">
        <v>642707584.62952</v>
      </c>
      <c r="I3215" s="62" t="s">
        <v>81</v>
      </c>
      <c r="J3215" s="64" t="n">
        <v>642707.58462952</v>
      </c>
      <c r="K3215" s="62" t="s">
        <v>138</v>
      </c>
      <c r="L3215" s="68" t="b">
        <f aca="false">FALSE()</f>
        <v>0</v>
      </c>
    </row>
    <row r="3216" customFormat="false" ht="15" hidden="false" customHeight="false" outlineLevel="0" collapsed="false">
      <c r="A3216" s="62" t="n">
        <v>0</v>
      </c>
      <c r="B3216" s="21" t="s">
        <v>336</v>
      </c>
      <c r="C3216" s="62" t="s">
        <v>60</v>
      </c>
      <c r="D3216" s="62" t="s">
        <v>387</v>
      </c>
      <c r="E3216" s="62" t="s">
        <v>382</v>
      </c>
      <c r="F3216" s="62" t="s">
        <v>382</v>
      </c>
      <c r="G3216" s="63" t="s">
        <v>716</v>
      </c>
      <c r="H3216" s="64" t="n">
        <v>642707584.62952</v>
      </c>
      <c r="I3216" s="62" t="s">
        <v>81</v>
      </c>
      <c r="J3216" s="64" t="n">
        <v>642707.58462952</v>
      </c>
      <c r="K3216" s="62" t="s">
        <v>138</v>
      </c>
      <c r="L3216" s="68" t="b">
        <f aca="false">FALSE()</f>
        <v>0</v>
      </c>
    </row>
    <row r="3217" customFormat="false" ht="15" hidden="false" customHeight="false" outlineLevel="0" collapsed="false">
      <c r="A3217" s="62" t="n">
        <v>0</v>
      </c>
      <c r="B3217" s="21" t="s">
        <v>336</v>
      </c>
      <c r="C3217" s="62" t="s">
        <v>60</v>
      </c>
      <c r="D3217" s="62" t="s">
        <v>388</v>
      </c>
      <c r="E3217" s="62" t="s">
        <v>382</v>
      </c>
      <c r="F3217" s="62" t="s">
        <v>382</v>
      </c>
      <c r="G3217" s="63" t="s">
        <v>716</v>
      </c>
      <c r="H3217" s="64" t="n">
        <v>642707584.62952</v>
      </c>
      <c r="I3217" s="62" t="s">
        <v>81</v>
      </c>
      <c r="J3217" s="64" t="n">
        <v>642707.58462952</v>
      </c>
      <c r="K3217" s="62" t="s">
        <v>138</v>
      </c>
      <c r="L3217" s="68" t="b">
        <f aca="false">FALSE()</f>
        <v>0</v>
      </c>
    </row>
    <row r="3218" customFormat="false" ht="15" hidden="false" customHeight="false" outlineLevel="0" collapsed="false">
      <c r="A3218" s="62" t="n">
        <v>0</v>
      </c>
      <c r="B3218" s="21" t="s">
        <v>336</v>
      </c>
      <c r="C3218" s="62" t="s">
        <v>60</v>
      </c>
      <c r="D3218" s="62" t="s">
        <v>381</v>
      </c>
      <c r="E3218" s="62" t="s">
        <v>382</v>
      </c>
      <c r="F3218" s="62" t="s">
        <v>382</v>
      </c>
      <c r="G3218" s="63" t="s">
        <v>717</v>
      </c>
      <c r="H3218" s="64" t="n">
        <v>770819428.571429</v>
      </c>
      <c r="I3218" s="62" t="s">
        <v>81</v>
      </c>
      <c r="J3218" s="64" t="n">
        <v>770819.428571429</v>
      </c>
      <c r="K3218" s="62" t="s">
        <v>138</v>
      </c>
      <c r="L3218" s="68" t="b">
        <f aca="false">TRUE()</f>
        <v>1</v>
      </c>
    </row>
    <row r="3219" customFormat="false" ht="15" hidden="false" customHeight="false" outlineLevel="0" collapsed="false">
      <c r="A3219" s="62" t="n">
        <v>0</v>
      </c>
      <c r="B3219" s="21" t="s">
        <v>336</v>
      </c>
      <c r="C3219" s="62" t="s">
        <v>60</v>
      </c>
      <c r="D3219" s="62" t="s">
        <v>383</v>
      </c>
      <c r="E3219" s="62" t="s">
        <v>382</v>
      </c>
      <c r="F3219" s="62" t="s">
        <v>382</v>
      </c>
      <c r="G3219" s="63" t="s">
        <v>717</v>
      </c>
      <c r="H3219" s="64" t="n">
        <v>770819428.571429</v>
      </c>
      <c r="I3219" s="62" t="s">
        <v>81</v>
      </c>
      <c r="J3219" s="64" t="n">
        <v>770819.428571429</v>
      </c>
      <c r="K3219" s="62" t="s">
        <v>138</v>
      </c>
      <c r="L3219" s="68" t="b">
        <f aca="false">TRUE()</f>
        <v>1</v>
      </c>
    </row>
    <row r="3220" customFormat="false" ht="15" hidden="false" customHeight="false" outlineLevel="0" collapsed="false">
      <c r="A3220" s="62" t="n">
        <v>0</v>
      </c>
      <c r="B3220" s="21" t="s">
        <v>336</v>
      </c>
      <c r="C3220" s="62" t="s">
        <v>60</v>
      </c>
      <c r="D3220" s="62" t="s">
        <v>384</v>
      </c>
      <c r="E3220" s="62" t="s">
        <v>382</v>
      </c>
      <c r="F3220" s="62" t="s">
        <v>382</v>
      </c>
      <c r="G3220" s="63" t="s">
        <v>717</v>
      </c>
      <c r="H3220" s="64" t="n">
        <v>770819428.571429</v>
      </c>
      <c r="I3220" s="62" t="s">
        <v>81</v>
      </c>
      <c r="J3220" s="64" t="n">
        <v>770819.428571429</v>
      </c>
      <c r="K3220" s="62" t="s">
        <v>138</v>
      </c>
      <c r="L3220" s="68" t="b">
        <f aca="false">TRUE()</f>
        <v>1</v>
      </c>
    </row>
    <row r="3221" customFormat="false" ht="15" hidden="false" customHeight="false" outlineLevel="0" collapsed="false">
      <c r="A3221" s="62" t="n">
        <v>0</v>
      </c>
      <c r="B3221" s="21" t="s">
        <v>336</v>
      </c>
      <c r="C3221" s="62" t="s">
        <v>60</v>
      </c>
      <c r="D3221" s="62" t="s">
        <v>385</v>
      </c>
      <c r="E3221" s="62" t="s">
        <v>382</v>
      </c>
      <c r="F3221" s="62" t="s">
        <v>382</v>
      </c>
      <c r="G3221" s="63" t="s">
        <v>717</v>
      </c>
      <c r="H3221" s="64" t="n">
        <v>770819428.571429</v>
      </c>
      <c r="I3221" s="62" t="s">
        <v>81</v>
      </c>
      <c r="J3221" s="64" t="n">
        <v>770819.428571429</v>
      </c>
      <c r="K3221" s="62" t="s">
        <v>138</v>
      </c>
      <c r="L3221" s="68" t="b">
        <f aca="false">TRUE()</f>
        <v>1</v>
      </c>
    </row>
    <row r="3222" customFormat="false" ht="15" hidden="false" customHeight="false" outlineLevel="0" collapsed="false">
      <c r="A3222" s="62" t="n">
        <v>0</v>
      </c>
      <c r="B3222" s="21" t="s">
        <v>336</v>
      </c>
      <c r="C3222" s="62" t="s">
        <v>60</v>
      </c>
      <c r="D3222" s="62" t="s">
        <v>386</v>
      </c>
      <c r="E3222" s="62" t="s">
        <v>382</v>
      </c>
      <c r="F3222" s="62" t="s">
        <v>382</v>
      </c>
      <c r="G3222" s="63" t="s">
        <v>717</v>
      </c>
      <c r="H3222" s="64" t="n">
        <v>770819428.571429</v>
      </c>
      <c r="I3222" s="62" t="s">
        <v>81</v>
      </c>
      <c r="J3222" s="64" t="n">
        <v>770819.428571429</v>
      </c>
      <c r="K3222" s="62" t="s">
        <v>138</v>
      </c>
      <c r="L3222" s="68" t="b">
        <f aca="false">TRUE()</f>
        <v>1</v>
      </c>
    </row>
    <row r="3223" customFormat="false" ht="15" hidden="false" customHeight="false" outlineLevel="0" collapsed="false">
      <c r="A3223" s="62" t="n">
        <v>0</v>
      </c>
      <c r="B3223" s="21" t="s">
        <v>336</v>
      </c>
      <c r="C3223" s="62" t="s">
        <v>60</v>
      </c>
      <c r="D3223" s="62" t="s">
        <v>387</v>
      </c>
      <c r="E3223" s="62" t="s">
        <v>382</v>
      </c>
      <c r="F3223" s="62" t="s">
        <v>382</v>
      </c>
      <c r="G3223" s="63" t="s">
        <v>717</v>
      </c>
      <c r="H3223" s="64" t="n">
        <v>770819428.571429</v>
      </c>
      <c r="I3223" s="62" t="s">
        <v>81</v>
      </c>
      <c r="J3223" s="64" t="n">
        <v>770819.428571429</v>
      </c>
      <c r="K3223" s="62" t="s">
        <v>138</v>
      </c>
      <c r="L3223" s="68" t="b">
        <f aca="false">TRUE()</f>
        <v>1</v>
      </c>
    </row>
    <row r="3224" customFormat="false" ht="15" hidden="false" customHeight="false" outlineLevel="0" collapsed="false">
      <c r="A3224" s="62" t="n">
        <v>0</v>
      </c>
      <c r="B3224" s="21" t="s">
        <v>336</v>
      </c>
      <c r="C3224" s="62" t="s">
        <v>60</v>
      </c>
      <c r="D3224" s="62" t="s">
        <v>388</v>
      </c>
      <c r="E3224" s="62" t="s">
        <v>382</v>
      </c>
      <c r="F3224" s="62" t="s">
        <v>382</v>
      </c>
      <c r="G3224" s="63" t="s">
        <v>717</v>
      </c>
      <c r="H3224" s="64" t="n">
        <v>770819428.571429</v>
      </c>
      <c r="I3224" s="62" t="s">
        <v>81</v>
      </c>
      <c r="J3224" s="64" t="n">
        <v>770819.428571429</v>
      </c>
      <c r="K3224" s="62" t="s">
        <v>138</v>
      </c>
      <c r="L3224" s="68" t="b">
        <f aca="false">TRUE()</f>
        <v>1</v>
      </c>
    </row>
    <row r="3225" customFormat="false" ht="15" hidden="false" customHeight="false" outlineLevel="0" collapsed="false">
      <c r="A3225" s="62" t="n">
        <v>0</v>
      </c>
      <c r="B3225" s="21" t="s">
        <v>336</v>
      </c>
      <c r="C3225" s="62" t="s">
        <v>60</v>
      </c>
      <c r="D3225" s="62" t="s">
        <v>381</v>
      </c>
      <c r="E3225" s="62" t="s">
        <v>382</v>
      </c>
      <c r="F3225" s="62" t="s">
        <v>382</v>
      </c>
      <c r="G3225" s="63" t="s">
        <v>718</v>
      </c>
      <c r="H3225" s="64" t="n">
        <v>4041922266.20992</v>
      </c>
      <c r="I3225" s="62" t="s">
        <v>81</v>
      </c>
      <c r="J3225" s="64" t="n">
        <v>4041922.26620992</v>
      </c>
      <c r="K3225" s="62" t="s">
        <v>138</v>
      </c>
      <c r="L3225" s="68" t="b">
        <f aca="false">TRUE()</f>
        <v>1</v>
      </c>
    </row>
    <row r="3226" customFormat="false" ht="15" hidden="false" customHeight="false" outlineLevel="0" collapsed="false">
      <c r="A3226" s="62" t="n">
        <v>0</v>
      </c>
      <c r="B3226" s="21" t="s">
        <v>336</v>
      </c>
      <c r="C3226" s="62" t="s">
        <v>60</v>
      </c>
      <c r="D3226" s="62" t="s">
        <v>383</v>
      </c>
      <c r="E3226" s="62" t="s">
        <v>382</v>
      </c>
      <c r="F3226" s="62" t="s">
        <v>382</v>
      </c>
      <c r="G3226" s="63" t="s">
        <v>718</v>
      </c>
      <c r="H3226" s="64" t="n">
        <v>4041922266.20992</v>
      </c>
      <c r="I3226" s="62" t="s">
        <v>81</v>
      </c>
      <c r="J3226" s="64" t="n">
        <v>4041922.26620992</v>
      </c>
      <c r="K3226" s="62" t="s">
        <v>138</v>
      </c>
      <c r="L3226" s="68" t="b">
        <f aca="false">TRUE()</f>
        <v>1</v>
      </c>
    </row>
    <row r="3227" customFormat="false" ht="15" hidden="false" customHeight="false" outlineLevel="0" collapsed="false">
      <c r="A3227" s="62" t="n">
        <v>0</v>
      </c>
      <c r="B3227" s="21" t="s">
        <v>336</v>
      </c>
      <c r="C3227" s="62" t="s">
        <v>60</v>
      </c>
      <c r="D3227" s="62" t="s">
        <v>384</v>
      </c>
      <c r="E3227" s="62" t="s">
        <v>382</v>
      </c>
      <c r="F3227" s="62" t="s">
        <v>382</v>
      </c>
      <c r="G3227" s="63" t="s">
        <v>718</v>
      </c>
      <c r="H3227" s="64" t="n">
        <v>4041922266.20992</v>
      </c>
      <c r="I3227" s="62" t="s">
        <v>81</v>
      </c>
      <c r="J3227" s="64" t="n">
        <v>4041922.26620992</v>
      </c>
      <c r="K3227" s="62" t="s">
        <v>138</v>
      </c>
      <c r="L3227" s="68" t="b">
        <f aca="false">TRUE()</f>
        <v>1</v>
      </c>
    </row>
    <row r="3228" customFormat="false" ht="15" hidden="false" customHeight="false" outlineLevel="0" collapsed="false">
      <c r="A3228" s="62" t="n">
        <v>0</v>
      </c>
      <c r="B3228" s="21" t="s">
        <v>336</v>
      </c>
      <c r="C3228" s="62" t="s">
        <v>60</v>
      </c>
      <c r="D3228" s="62" t="s">
        <v>385</v>
      </c>
      <c r="E3228" s="62" t="s">
        <v>382</v>
      </c>
      <c r="F3228" s="62" t="s">
        <v>382</v>
      </c>
      <c r="G3228" s="63" t="s">
        <v>718</v>
      </c>
      <c r="H3228" s="64" t="n">
        <v>4041922266.20992</v>
      </c>
      <c r="I3228" s="62" t="s">
        <v>81</v>
      </c>
      <c r="J3228" s="64" t="n">
        <v>4041922.26620992</v>
      </c>
      <c r="K3228" s="62" t="s">
        <v>138</v>
      </c>
      <c r="L3228" s="68" t="b">
        <f aca="false">TRUE()</f>
        <v>1</v>
      </c>
    </row>
    <row r="3229" customFormat="false" ht="15" hidden="false" customHeight="false" outlineLevel="0" collapsed="false">
      <c r="A3229" s="62" t="n">
        <v>0</v>
      </c>
      <c r="B3229" s="21" t="s">
        <v>336</v>
      </c>
      <c r="C3229" s="62" t="s">
        <v>60</v>
      </c>
      <c r="D3229" s="62" t="s">
        <v>386</v>
      </c>
      <c r="E3229" s="62" t="s">
        <v>382</v>
      </c>
      <c r="F3229" s="62" t="s">
        <v>382</v>
      </c>
      <c r="G3229" s="63" t="s">
        <v>718</v>
      </c>
      <c r="H3229" s="64" t="n">
        <v>4041922266.20992</v>
      </c>
      <c r="I3229" s="62" t="s">
        <v>81</v>
      </c>
      <c r="J3229" s="64" t="n">
        <v>4041922.26620992</v>
      </c>
      <c r="K3229" s="62" t="s">
        <v>138</v>
      </c>
      <c r="L3229" s="68" t="b">
        <f aca="false">TRUE()</f>
        <v>1</v>
      </c>
    </row>
    <row r="3230" customFormat="false" ht="15" hidden="false" customHeight="false" outlineLevel="0" collapsed="false">
      <c r="A3230" s="62" t="n">
        <v>0</v>
      </c>
      <c r="B3230" s="21" t="s">
        <v>336</v>
      </c>
      <c r="C3230" s="62" t="s">
        <v>60</v>
      </c>
      <c r="D3230" s="62" t="s">
        <v>387</v>
      </c>
      <c r="E3230" s="62" t="s">
        <v>382</v>
      </c>
      <c r="F3230" s="62" t="s">
        <v>382</v>
      </c>
      <c r="G3230" s="63" t="s">
        <v>718</v>
      </c>
      <c r="H3230" s="64" t="n">
        <v>4041922266.20992</v>
      </c>
      <c r="I3230" s="62" t="s">
        <v>81</v>
      </c>
      <c r="J3230" s="64" t="n">
        <v>4041922.26620992</v>
      </c>
      <c r="K3230" s="62" t="s">
        <v>138</v>
      </c>
      <c r="L3230" s="68" t="b">
        <f aca="false">TRUE()</f>
        <v>1</v>
      </c>
    </row>
    <row r="3231" customFormat="false" ht="15" hidden="false" customHeight="false" outlineLevel="0" collapsed="false">
      <c r="A3231" s="62" t="n">
        <v>0</v>
      </c>
      <c r="B3231" s="21" t="s">
        <v>336</v>
      </c>
      <c r="C3231" s="62" t="s">
        <v>60</v>
      </c>
      <c r="D3231" s="62" t="s">
        <v>388</v>
      </c>
      <c r="E3231" s="62" t="s">
        <v>382</v>
      </c>
      <c r="F3231" s="62" t="s">
        <v>382</v>
      </c>
      <c r="G3231" s="63" t="s">
        <v>718</v>
      </c>
      <c r="H3231" s="64" t="n">
        <v>4041922266.20992</v>
      </c>
      <c r="I3231" s="62" t="s">
        <v>81</v>
      </c>
      <c r="J3231" s="64" t="n">
        <v>4041922.26620992</v>
      </c>
      <c r="K3231" s="62" t="s">
        <v>138</v>
      </c>
      <c r="L3231" s="68" t="b">
        <f aca="false">TRUE()</f>
        <v>1</v>
      </c>
    </row>
    <row r="3232" customFormat="false" ht="15" hidden="false" customHeight="false" outlineLevel="0" collapsed="false">
      <c r="A3232" s="62" t="n">
        <v>0</v>
      </c>
      <c r="B3232" s="21" t="s">
        <v>336</v>
      </c>
      <c r="C3232" s="62" t="s">
        <v>60</v>
      </c>
      <c r="D3232" s="62" t="s">
        <v>381</v>
      </c>
      <c r="E3232" s="62" t="s">
        <v>382</v>
      </c>
      <c r="F3232" s="62" t="s">
        <v>382</v>
      </c>
      <c r="G3232" s="63" t="s">
        <v>719</v>
      </c>
      <c r="H3232" s="64" t="n">
        <v>4812741694.78135</v>
      </c>
      <c r="I3232" s="62" t="s">
        <v>81</v>
      </c>
      <c r="J3232" s="64" t="n">
        <v>4812741.69478135</v>
      </c>
      <c r="K3232" s="62" t="s">
        <v>138</v>
      </c>
      <c r="L3232" s="68" t="b">
        <f aca="false">FALSE()</f>
        <v>0</v>
      </c>
    </row>
    <row r="3233" customFormat="false" ht="15" hidden="false" customHeight="false" outlineLevel="0" collapsed="false">
      <c r="A3233" s="62" t="n">
        <v>0</v>
      </c>
      <c r="B3233" s="21" t="s">
        <v>336</v>
      </c>
      <c r="C3233" s="62" t="s">
        <v>60</v>
      </c>
      <c r="D3233" s="62" t="s">
        <v>383</v>
      </c>
      <c r="E3233" s="62" t="s">
        <v>382</v>
      </c>
      <c r="F3233" s="62" t="s">
        <v>382</v>
      </c>
      <c r="G3233" s="63" t="s">
        <v>719</v>
      </c>
      <c r="H3233" s="64" t="n">
        <v>4812741694.78135</v>
      </c>
      <c r="I3233" s="62" t="s">
        <v>81</v>
      </c>
      <c r="J3233" s="64" t="n">
        <v>4812741.69478135</v>
      </c>
      <c r="K3233" s="62" t="s">
        <v>138</v>
      </c>
      <c r="L3233" s="68" t="b">
        <f aca="false">FALSE()</f>
        <v>0</v>
      </c>
    </row>
    <row r="3234" customFormat="false" ht="15" hidden="false" customHeight="false" outlineLevel="0" collapsed="false">
      <c r="A3234" s="62" t="n">
        <v>0</v>
      </c>
      <c r="B3234" s="21" t="s">
        <v>336</v>
      </c>
      <c r="C3234" s="62" t="s">
        <v>60</v>
      </c>
      <c r="D3234" s="62" t="s">
        <v>384</v>
      </c>
      <c r="E3234" s="62" t="s">
        <v>382</v>
      </c>
      <c r="F3234" s="62" t="s">
        <v>382</v>
      </c>
      <c r="G3234" s="63" t="s">
        <v>719</v>
      </c>
      <c r="H3234" s="64" t="n">
        <v>4812741694.78135</v>
      </c>
      <c r="I3234" s="62" t="s">
        <v>81</v>
      </c>
      <c r="J3234" s="64" t="n">
        <v>4812741.69478135</v>
      </c>
      <c r="K3234" s="62" t="s">
        <v>138</v>
      </c>
      <c r="L3234" s="68" t="b">
        <f aca="false">FALSE()</f>
        <v>0</v>
      </c>
    </row>
    <row r="3235" customFormat="false" ht="15" hidden="false" customHeight="false" outlineLevel="0" collapsed="false">
      <c r="A3235" s="62" t="n">
        <v>0</v>
      </c>
      <c r="B3235" s="21" t="s">
        <v>336</v>
      </c>
      <c r="C3235" s="62" t="s">
        <v>60</v>
      </c>
      <c r="D3235" s="62" t="s">
        <v>385</v>
      </c>
      <c r="E3235" s="62" t="s">
        <v>382</v>
      </c>
      <c r="F3235" s="62" t="s">
        <v>382</v>
      </c>
      <c r="G3235" s="63" t="s">
        <v>719</v>
      </c>
      <c r="H3235" s="64" t="n">
        <v>4812741694.78135</v>
      </c>
      <c r="I3235" s="62" t="s">
        <v>81</v>
      </c>
      <c r="J3235" s="64" t="n">
        <v>4812741.69478135</v>
      </c>
      <c r="K3235" s="62" t="s">
        <v>138</v>
      </c>
      <c r="L3235" s="68" t="b">
        <f aca="false">FALSE()</f>
        <v>0</v>
      </c>
    </row>
    <row r="3236" customFormat="false" ht="15" hidden="false" customHeight="false" outlineLevel="0" collapsed="false">
      <c r="A3236" s="62" t="n">
        <v>0</v>
      </c>
      <c r="B3236" s="21" t="s">
        <v>336</v>
      </c>
      <c r="C3236" s="62" t="s">
        <v>60</v>
      </c>
      <c r="D3236" s="62" t="s">
        <v>386</v>
      </c>
      <c r="E3236" s="62" t="s">
        <v>382</v>
      </c>
      <c r="F3236" s="62" t="s">
        <v>382</v>
      </c>
      <c r="G3236" s="63" t="s">
        <v>719</v>
      </c>
      <c r="H3236" s="64" t="n">
        <v>4812741694.78135</v>
      </c>
      <c r="I3236" s="62" t="s">
        <v>81</v>
      </c>
      <c r="J3236" s="64" t="n">
        <v>4812741.69478135</v>
      </c>
      <c r="K3236" s="62" t="s">
        <v>138</v>
      </c>
      <c r="L3236" s="68" t="b">
        <f aca="false">FALSE()</f>
        <v>0</v>
      </c>
    </row>
    <row r="3237" customFormat="false" ht="15" hidden="false" customHeight="false" outlineLevel="0" collapsed="false">
      <c r="A3237" s="62" t="n">
        <v>0</v>
      </c>
      <c r="B3237" s="21" t="s">
        <v>336</v>
      </c>
      <c r="C3237" s="62" t="s">
        <v>60</v>
      </c>
      <c r="D3237" s="62" t="s">
        <v>387</v>
      </c>
      <c r="E3237" s="62" t="s">
        <v>382</v>
      </c>
      <c r="F3237" s="62" t="s">
        <v>382</v>
      </c>
      <c r="G3237" s="63" t="s">
        <v>719</v>
      </c>
      <c r="H3237" s="64" t="n">
        <v>4812741694.78135</v>
      </c>
      <c r="I3237" s="62" t="s">
        <v>81</v>
      </c>
      <c r="J3237" s="64" t="n">
        <v>4812741.69478135</v>
      </c>
      <c r="K3237" s="62" t="s">
        <v>138</v>
      </c>
      <c r="L3237" s="68" t="b">
        <f aca="false">FALSE()</f>
        <v>0</v>
      </c>
    </row>
    <row r="3238" customFormat="false" ht="15" hidden="false" customHeight="false" outlineLevel="0" collapsed="false">
      <c r="A3238" s="62" t="n">
        <v>0</v>
      </c>
      <c r="B3238" s="21" t="s">
        <v>336</v>
      </c>
      <c r="C3238" s="62" t="s">
        <v>60</v>
      </c>
      <c r="D3238" s="62" t="s">
        <v>388</v>
      </c>
      <c r="E3238" s="62" t="s">
        <v>382</v>
      </c>
      <c r="F3238" s="62" t="s">
        <v>382</v>
      </c>
      <c r="G3238" s="63" t="s">
        <v>719</v>
      </c>
      <c r="H3238" s="64" t="n">
        <v>4812741694.78135</v>
      </c>
      <c r="I3238" s="62" t="s">
        <v>81</v>
      </c>
      <c r="J3238" s="64" t="n">
        <v>4812741.69478135</v>
      </c>
      <c r="K3238" s="62" t="s">
        <v>138</v>
      </c>
      <c r="L3238" s="68" t="b">
        <f aca="false">FALSE()</f>
        <v>0</v>
      </c>
    </row>
    <row r="3239" customFormat="false" ht="15" hidden="false" customHeight="false" outlineLevel="0" collapsed="false">
      <c r="A3239" s="62" t="n">
        <v>0</v>
      </c>
      <c r="B3239" s="21" t="s">
        <v>336</v>
      </c>
      <c r="C3239" s="62" t="s">
        <v>60</v>
      </c>
      <c r="D3239" s="62" t="s">
        <v>381</v>
      </c>
      <c r="E3239" s="62" t="s">
        <v>382</v>
      </c>
      <c r="F3239" s="62" t="s">
        <v>382</v>
      </c>
      <c r="G3239" s="63" t="s">
        <v>720</v>
      </c>
      <c r="H3239" s="64" t="n">
        <v>212954003.645122</v>
      </c>
      <c r="I3239" s="62" t="s">
        <v>81</v>
      </c>
      <c r="J3239" s="64" t="n">
        <v>212954.003645122</v>
      </c>
      <c r="K3239" s="62" t="s">
        <v>138</v>
      </c>
      <c r="L3239" s="68" t="b">
        <f aca="false">TRUE()</f>
        <v>1</v>
      </c>
    </row>
    <row r="3240" customFormat="false" ht="15" hidden="false" customHeight="false" outlineLevel="0" collapsed="false">
      <c r="A3240" s="62" t="n">
        <v>0</v>
      </c>
      <c r="B3240" s="21" t="s">
        <v>336</v>
      </c>
      <c r="C3240" s="62" t="s">
        <v>60</v>
      </c>
      <c r="D3240" s="62" t="s">
        <v>383</v>
      </c>
      <c r="E3240" s="62" t="s">
        <v>382</v>
      </c>
      <c r="F3240" s="62" t="s">
        <v>382</v>
      </c>
      <c r="G3240" s="63" t="s">
        <v>720</v>
      </c>
      <c r="H3240" s="64" t="n">
        <v>212954003.645122</v>
      </c>
      <c r="I3240" s="62" t="s">
        <v>81</v>
      </c>
      <c r="J3240" s="64" t="n">
        <v>212954.003645122</v>
      </c>
      <c r="K3240" s="62" t="s">
        <v>138</v>
      </c>
      <c r="L3240" s="68" t="b">
        <f aca="false">TRUE()</f>
        <v>1</v>
      </c>
    </row>
    <row r="3241" customFormat="false" ht="15" hidden="false" customHeight="false" outlineLevel="0" collapsed="false">
      <c r="A3241" s="62" t="n">
        <v>0</v>
      </c>
      <c r="B3241" s="21" t="s">
        <v>336</v>
      </c>
      <c r="C3241" s="62" t="s">
        <v>60</v>
      </c>
      <c r="D3241" s="62" t="s">
        <v>384</v>
      </c>
      <c r="E3241" s="62" t="s">
        <v>382</v>
      </c>
      <c r="F3241" s="62" t="s">
        <v>382</v>
      </c>
      <c r="G3241" s="63" t="s">
        <v>720</v>
      </c>
      <c r="H3241" s="64" t="n">
        <v>212954003.645122</v>
      </c>
      <c r="I3241" s="62" t="s">
        <v>81</v>
      </c>
      <c r="J3241" s="64" t="n">
        <v>212954.003645122</v>
      </c>
      <c r="K3241" s="62" t="s">
        <v>138</v>
      </c>
      <c r="L3241" s="68" t="b">
        <f aca="false">TRUE()</f>
        <v>1</v>
      </c>
    </row>
    <row r="3242" customFormat="false" ht="15" hidden="false" customHeight="false" outlineLevel="0" collapsed="false">
      <c r="A3242" s="62" t="n">
        <v>0</v>
      </c>
      <c r="B3242" s="21" t="s">
        <v>336</v>
      </c>
      <c r="C3242" s="62" t="s">
        <v>60</v>
      </c>
      <c r="D3242" s="62" t="s">
        <v>385</v>
      </c>
      <c r="E3242" s="62" t="s">
        <v>382</v>
      </c>
      <c r="F3242" s="62" t="s">
        <v>382</v>
      </c>
      <c r="G3242" s="63" t="s">
        <v>720</v>
      </c>
      <c r="H3242" s="64" t="n">
        <v>212954003.645122</v>
      </c>
      <c r="I3242" s="62" t="s">
        <v>81</v>
      </c>
      <c r="J3242" s="64" t="n">
        <v>212954.003645122</v>
      </c>
      <c r="K3242" s="62" t="s">
        <v>138</v>
      </c>
      <c r="L3242" s="68" t="b">
        <f aca="false">TRUE()</f>
        <v>1</v>
      </c>
    </row>
    <row r="3243" customFormat="false" ht="15" hidden="false" customHeight="false" outlineLevel="0" collapsed="false">
      <c r="A3243" s="62" t="n">
        <v>0</v>
      </c>
      <c r="B3243" s="21" t="s">
        <v>336</v>
      </c>
      <c r="C3243" s="62" t="s">
        <v>60</v>
      </c>
      <c r="D3243" s="62" t="s">
        <v>386</v>
      </c>
      <c r="E3243" s="62" t="s">
        <v>382</v>
      </c>
      <c r="F3243" s="62" t="s">
        <v>382</v>
      </c>
      <c r="G3243" s="63" t="s">
        <v>720</v>
      </c>
      <c r="H3243" s="64" t="n">
        <v>212954003.645122</v>
      </c>
      <c r="I3243" s="62" t="s">
        <v>81</v>
      </c>
      <c r="J3243" s="64" t="n">
        <v>212954.003645122</v>
      </c>
      <c r="K3243" s="62" t="s">
        <v>138</v>
      </c>
      <c r="L3243" s="68" t="b">
        <f aca="false">TRUE()</f>
        <v>1</v>
      </c>
    </row>
    <row r="3244" customFormat="false" ht="15" hidden="false" customHeight="false" outlineLevel="0" collapsed="false">
      <c r="A3244" s="62" t="n">
        <v>0</v>
      </c>
      <c r="B3244" s="21" t="s">
        <v>336</v>
      </c>
      <c r="C3244" s="62" t="s">
        <v>60</v>
      </c>
      <c r="D3244" s="62" t="s">
        <v>387</v>
      </c>
      <c r="E3244" s="62" t="s">
        <v>382</v>
      </c>
      <c r="F3244" s="62" t="s">
        <v>382</v>
      </c>
      <c r="G3244" s="63" t="s">
        <v>720</v>
      </c>
      <c r="H3244" s="64" t="n">
        <v>212954003.645122</v>
      </c>
      <c r="I3244" s="62" t="s">
        <v>81</v>
      </c>
      <c r="J3244" s="64" t="n">
        <v>212954.003645122</v>
      </c>
      <c r="K3244" s="62" t="s">
        <v>138</v>
      </c>
      <c r="L3244" s="68" t="b">
        <f aca="false">TRUE()</f>
        <v>1</v>
      </c>
    </row>
    <row r="3245" customFormat="false" ht="15" hidden="false" customHeight="false" outlineLevel="0" collapsed="false">
      <c r="A3245" s="62" t="n">
        <v>0</v>
      </c>
      <c r="B3245" s="21" t="s">
        <v>336</v>
      </c>
      <c r="C3245" s="62" t="s">
        <v>60</v>
      </c>
      <c r="D3245" s="62" t="s">
        <v>388</v>
      </c>
      <c r="E3245" s="62" t="s">
        <v>382</v>
      </c>
      <c r="F3245" s="62" t="s">
        <v>382</v>
      </c>
      <c r="G3245" s="63" t="s">
        <v>720</v>
      </c>
      <c r="H3245" s="64" t="n">
        <v>212954003.645122</v>
      </c>
      <c r="I3245" s="62" t="s">
        <v>81</v>
      </c>
      <c r="J3245" s="64" t="n">
        <v>212954.003645122</v>
      </c>
      <c r="K3245" s="62" t="s">
        <v>138</v>
      </c>
      <c r="L3245" s="68" t="b">
        <f aca="false">TRUE()</f>
        <v>1</v>
      </c>
    </row>
    <row r="3246" customFormat="false" ht="15" hidden="false" customHeight="false" outlineLevel="0" collapsed="false">
      <c r="A3246" s="62" t="n">
        <v>0</v>
      </c>
      <c r="B3246" s="21" t="s">
        <v>336</v>
      </c>
      <c r="C3246" s="62" t="s">
        <v>60</v>
      </c>
      <c r="D3246" s="62" t="s">
        <v>381</v>
      </c>
      <c r="E3246" s="62" t="s">
        <v>382</v>
      </c>
      <c r="F3246" s="62" t="s">
        <v>382</v>
      </c>
      <c r="G3246" s="63" t="s">
        <v>721</v>
      </c>
      <c r="H3246" s="64" t="n">
        <v>129293578.682961</v>
      </c>
      <c r="I3246" s="62" t="s">
        <v>81</v>
      </c>
      <c r="J3246" s="64" t="n">
        <v>129293.578682961</v>
      </c>
      <c r="K3246" s="62" t="s">
        <v>138</v>
      </c>
      <c r="L3246" s="68" t="b">
        <f aca="false">TRUE()</f>
        <v>1</v>
      </c>
    </row>
    <row r="3247" customFormat="false" ht="15" hidden="false" customHeight="false" outlineLevel="0" collapsed="false">
      <c r="A3247" s="62" t="n">
        <v>0</v>
      </c>
      <c r="B3247" s="21" t="s">
        <v>336</v>
      </c>
      <c r="C3247" s="62" t="s">
        <v>60</v>
      </c>
      <c r="D3247" s="62" t="s">
        <v>383</v>
      </c>
      <c r="E3247" s="62" t="s">
        <v>382</v>
      </c>
      <c r="F3247" s="62" t="s">
        <v>382</v>
      </c>
      <c r="G3247" s="63" t="s">
        <v>721</v>
      </c>
      <c r="H3247" s="64" t="n">
        <v>129293578.682961</v>
      </c>
      <c r="I3247" s="62" t="s">
        <v>81</v>
      </c>
      <c r="J3247" s="64" t="n">
        <v>129293.578682961</v>
      </c>
      <c r="K3247" s="62" t="s">
        <v>138</v>
      </c>
      <c r="L3247" s="68" t="b">
        <f aca="false">TRUE()</f>
        <v>1</v>
      </c>
    </row>
    <row r="3248" customFormat="false" ht="15" hidden="false" customHeight="false" outlineLevel="0" collapsed="false">
      <c r="A3248" s="62" t="n">
        <v>0</v>
      </c>
      <c r="B3248" s="21" t="s">
        <v>336</v>
      </c>
      <c r="C3248" s="62" t="s">
        <v>60</v>
      </c>
      <c r="D3248" s="62" t="s">
        <v>384</v>
      </c>
      <c r="E3248" s="62" t="s">
        <v>382</v>
      </c>
      <c r="F3248" s="62" t="s">
        <v>382</v>
      </c>
      <c r="G3248" s="63" t="s">
        <v>721</v>
      </c>
      <c r="H3248" s="64" t="n">
        <v>129293578.682961</v>
      </c>
      <c r="I3248" s="62" t="s">
        <v>81</v>
      </c>
      <c r="J3248" s="64" t="n">
        <v>129293.578682961</v>
      </c>
      <c r="K3248" s="62" t="s">
        <v>138</v>
      </c>
      <c r="L3248" s="68" t="b">
        <f aca="false">TRUE()</f>
        <v>1</v>
      </c>
    </row>
    <row r="3249" customFormat="false" ht="15" hidden="false" customHeight="false" outlineLevel="0" collapsed="false">
      <c r="A3249" s="62" t="n">
        <v>0</v>
      </c>
      <c r="B3249" s="21" t="s">
        <v>336</v>
      </c>
      <c r="C3249" s="62" t="s">
        <v>60</v>
      </c>
      <c r="D3249" s="62" t="s">
        <v>385</v>
      </c>
      <c r="E3249" s="62" t="s">
        <v>382</v>
      </c>
      <c r="F3249" s="62" t="s">
        <v>382</v>
      </c>
      <c r="G3249" s="63" t="s">
        <v>721</v>
      </c>
      <c r="H3249" s="64" t="n">
        <v>129293578.682961</v>
      </c>
      <c r="I3249" s="62" t="s">
        <v>81</v>
      </c>
      <c r="J3249" s="64" t="n">
        <v>129293.578682961</v>
      </c>
      <c r="K3249" s="62" t="s">
        <v>138</v>
      </c>
      <c r="L3249" s="68" t="b">
        <f aca="false">TRUE()</f>
        <v>1</v>
      </c>
    </row>
    <row r="3250" customFormat="false" ht="15" hidden="false" customHeight="false" outlineLevel="0" collapsed="false">
      <c r="A3250" s="62" t="n">
        <v>0</v>
      </c>
      <c r="B3250" s="21" t="s">
        <v>336</v>
      </c>
      <c r="C3250" s="62" t="s">
        <v>60</v>
      </c>
      <c r="D3250" s="62" t="s">
        <v>386</v>
      </c>
      <c r="E3250" s="62" t="s">
        <v>382</v>
      </c>
      <c r="F3250" s="62" t="s">
        <v>382</v>
      </c>
      <c r="G3250" s="63" t="s">
        <v>721</v>
      </c>
      <c r="H3250" s="64" t="n">
        <v>129293578.682961</v>
      </c>
      <c r="I3250" s="62" t="s">
        <v>81</v>
      </c>
      <c r="J3250" s="64" t="n">
        <v>129293.578682961</v>
      </c>
      <c r="K3250" s="62" t="s">
        <v>138</v>
      </c>
      <c r="L3250" s="68" t="b">
        <f aca="false">TRUE()</f>
        <v>1</v>
      </c>
    </row>
    <row r="3251" customFormat="false" ht="15" hidden="false" customHeight="false" outlineLevel="0" collapsed="false">
      <c r="A3251" s="62" t="n">
        <v>0</v>
      </c>
      <c r="B3251" s="21" t="s">
        <v>336</v>
      </c>
      <c r="C3251" s="62" t="s">
        <v>60</v>
      </c>
      <c r="D3251" s="62" t="s">
        <v>387</v>
      </c>
      <c r="E3251" s="62" t="s">
        <v>382</v>
      </c>
      <c r="F3251" s="62" t="s">
        <v>382</v>
      </c>
      <c r="G3251" s="63" t="s">
        <v>721</v>
      </c>
      <c r="H3251" s="64" t="n">
        <v>129293578.682961</v>
      </c>
      <c r="I3251" s="62" t="s">
        <v>81</v>
      </c>
      <c r="J3251" s="64" t="n">
        <v>129293.578682961</v>
      </c>
      <c r="K3251" s="62" t="s">
        <v>138</v>
      </c>
      <c r="L3251" s="68" t="b">
        <f aca="false">TRUE()</f>
        <v>1</v>
      </c>
    </row>
    <row r="3252" customFormat="false" ht="15" hidden="false" customHeight="false" outlineLevel="0" collapsed="false">
      <c r="A3252" s="62" t="n">
        <v>0</v>
      </c>
      <c r="B3252" s="21" t="s">
        <v>336</v>
      </c>
      <c r="C3252" s="62" t="s">
        <v>60</v>
      </c>
      <c r="D3252" s="62" t="s">
        <v>388</v>
      </c>
      <c r="E3252" s="62" t="s">
        <v>382</v>
      </c>
      <c r="F3252" s="62" t="s">
        <v>382</v>
      </c>
      <c r="G3252" s="63" t="s">
        <v>721</v>
      </c>
      <c r="H3252" s="64" t="n">
        <v>129293578.682961</v>
      </c>
      <c r="I3252" s="62" t="s">
        <v>81</v>
      </c>
      <c r="J3252" s="64" t="n">
        <v>129293.578682961</v>
      </c>
      <c r="K3252" s="62" t="s">
        <v>138</v>
      </c>
      <c r="L3252" s="68" t="b">
        <f aca="false">TRUE()</f>
        <v>1</v>
      </c>
    </row>
    <row r="3253" customFormat="false" ht="15" hidden="false" customHeight="false" outlineLevel="0" collapsed="false">
      <c r="A3253" s="62" t="n">
        <v>0</v>
      </c>
      <c r="B3253" s="21" t="s">
        <v>336</v>
      </c>
      <c r="C3253" s="62" t="s">
        <v>60</v>
      </c>
      <c r="D3253" s="62" t="s">
        <v>381</v>
      </c>
      <c r="E3253" s="62" t="s">
        <v>382</v>
      </c>
      <c r="F3253" s="62" t="s">
        <v>382</v>
      </c>
      <c r="G3253" s="63" t="s">
        <v>722</v>
      </c>
      <c r="H3253" s="64" t="n">
        <v>221443831.596432</v>
      </c>
      <c r="I3253" s="62" t="s">
        <v>81</v>
      </c>
      <c r="J3253" s="64" t="n">
        <v>221443.831596432</v>
      </c>
      <c r="K3253" s="62" t="s">
        <v>138</v>
      </c>
      <c r="L3253" s="68" t="b">
        <f aca="false">TRUE()</f>
        <v>1</v>
      </c>
    </row>
    <row r="3254" customFormat="false" ht="15" hidden="false" customHeight="false" outlineLevel="0" collapsed="false">
      <c r="A3254" s="62" t="n">
        <v>0</v>
      </c>
      <c r="B3254" s="21" t="s">
        <v>336</v>
      </c>
      <c r="C3254" s="62" t="s">
        <v>60</v>
      </c>
      <c r="D3254" s="62" t="s">
        <v>383</v>
      </c>
      <c r="E3254" s="62" t="s">
        <v>382</v>
      </c>
      <c r="F3254" s="62" t="s">
        <v>382</v>
      </c>
      <c r="G3254" s="63" t="s">
        <v>722</v>
      </c>
      <c r="H3254" s="64" t="n">
        <v>221443831.596432</v>
      </c>
      <c r="I3254" s="62" t="s">
        <v>81</v>
      </c>
      <c r="J3254" s="64" t="n">
        <v>221443.831596432</v>
      </c>
      <c r="K3254" s="62" t="s">
        <v>138</v>
      </c>
      <c r="L3254" s="68" t="b">
        <f aca="false">TRUE()</f>
        <v>1</v>
      </c>
    </row>
    <row r="3255" customFormat="false" ht="15" hidden="false" customHeight="false" outlineLevel="0" collapsed="false">
      <c r="A3255" s="62" t="n">
        <v>0</v>
      </c>
      <c r="B3255" s="21" t="s">
        <v>336</v>
      </c>
      <c r="C3255" s="62" t="s">
        <v>60</v>
      </c>
      <c r="D3255" s="62" t="s">
        <v>384</v>
      </c>
      <c r="E3255" s="62" t="s">
        <v>382</v>
      </c>
      <c r="F3255" s="62" t="s">
        <v>382</v>
      </c>
      <c r="G3255" s="63" t="s">
        <v>722</v>
      </c>
      <c r="H3255" s="64" t="n">
        <v>221443831.596432</v>
      </c>
      <c r="I3255" s="62" t="s">
        <v>81</v>
      </c>
      <c r="J3255" s="64" t="n">
        <v>221443.831596432</v>
      </c>
      <c r="K3255" s="62" t="s">
        <v>138</v>
      </c>
      <c r="L3255" s="68" t="b">
        <f aca="false">TRUE()</f>
        <v>1</v>
      </c>
    </row>
    <row r="3256" customFormat="false" ht="15" hidden="false" customHeight="false" outlineLevel="0" collapsed="false">
      <c r="A3256" s="62" t="n">
        <v>0</v>
      </c>
      <c r="B3256" s="21" t="s">
        <v>336</v>
      </c>
      <c r="C3256" s="62" t="s">
        <v>60</v>
      </c>
      <c r="D3256" s="62" t="s">
        <v>385</v>
      </c>
      <c r="E3256" s="62" t="s">
        <v>382</v>
      </c>
      <c r="F3256" s="62" t="s">
        <v>382</v>
      </c>
      <c r="G3256" s="63" t="s">
        <v>722</v>
      </c>
      <c r="H3256" s="64" t="n">
        <v>221443831.596432</v>
      </c>
      <c r="I3256" s="62" t="s">
        <v>81</v>
      </c>
      <c r="J3256" s="64" t="n">
        <v>221443.831596432</v>
      </c>
      <c r="K3256" s="62" t="s">
        <v>138</v>
      </c>
      <c r="L3256" s="68" t="b">
        <f aca="false">TRUE()</f>
        <v>1</v>
      </c>
    </row>
    <row r="3257" customFormat="false" ht="15" hidden="false" customHeight="false" outlineLevel="0" collapsed="false">
      <c r="A3257" s="62" t="n">
        <v>0</v>
      </c>
      <c r="B3257" s="21" t="s">
        <v>336</v>
      </c>
      <c r="C3257" s="62" t="s">
        <v>60</v>
      </c>
      <c r="D3257" s="62" t="s">
        <v>386</v>
      </c>
      <c r="E3257" s="62" t="s">
        <v>382</v>
      </c>
      <c r="F3257" s="62" t="s">
        <v>382</v>
      </c>
      <c r="G3257" s="63" t="s">
        <v>722</v>
      </c>
      <c r="H3257" s="64" t="n">
        <v>221443831.596432</v>
      </c>
      <c r="I3257" s="62" t="s">
        <v>81</v>
      </c>
      <c r="J3257" s="64" t="n">
        <v>221443.831596432</v>
      </c>
      <c r="K3257" s="62" t="s">
        <v>138</v>
      </c>
      <c r="L3257" s="68" t="b">
        <f aca="false">TRUE()</f>
        <v>1</v>
      </c>
    </row>
    <row r="3258" customFormat="false" ht="15" hidden="false" customHeight="false" outlineLevel="0" collapsed="false">
      <c r="A3258" s="62" t="n">
        <v>0</v>
      </c>
      <c r="B3258" s="21" t="s">
        <v>336</v>
      </c>
      <c r="C3258" s="62" t="s">
        <v>60</v>
      </c>
      <c r="D3258" s="62" t="s">
        <v>387</v>
      </c>
      <c r="E3258" s="62" t="s">
        <v>382</v>
      </c>
      <c r="F3258" s="62" t="s">
        <v>382</v>
      </c>
      <c r="G3258" s="63" t="s">
        <v>722</v>
      </c>
      <c r="H3258" s="64" t="n">
        <v>221443831.596432</v>
      </c>
      <c r="I3258" s="62" t="s">
        <v>81</v>
      </c>
      <c r="J3258" s="64" t="n">
        <v>221443.831596432</v>
      </c>
      <c r="K3258" s="62" t="s">
        <v>138</v>
      </c>
      <c r="L3258" s="68" t="b">
        <f aca="false">TRUE()</f>
        <v>1</v>
      </c>
    </row>
    <row r="3259" customFormat="false" ht="15" hidden="false" customHeight="false" outlineLevel="0" collapsed="false">
      <c r="A3259" s="62" t="n">
        <v>0</v>
      </c>
      <c r="B3259" s="21" t="s">
        <v>336</v>
      </c>
      <c r="C3259" s="62" t="s">
        <v>60</v>
      </c>
      <c r="D3259" s="62" t="s">
        <v>388</v>
      </c>
      <c r="E3259" s="62" t="s">
        <v>382</v>
      </c>
      <c r="F3259" s="62" t="s">
        <v>382</v>
      </c>
      <c r="G3259" s="63" t="s">
        <v>722</v>
      </c>
      <c r="H3259" s="64" t="n">
        <v>221443831.596432</v>
      </c>
      <c r="I3259" s="62" t="s">
        <v>81</v>
      </c>
      <c r="J3259" s="64" t="n">
        <v>221443.831596432</v>
      </c>
      <c r="K3259" s="62" t="s">
        <v>138</v>
      </c>
      <c r="L3259" s="68" t="b">
        <f aca="false">TRUE()</f>
        <v>1</v>
      </c>
    </row>
    <row r="3260" customFormat="false" ht="15" hidden="false" customHeight="false" outlineLevel="0" collapsed="false">
      <c r="A3260" s="62" t="n">
        <v>0</v>
      </c>
      <c r="B3260" s="21" t="s">
        <v>336</v>
      </c>
      <c r="C3260" s="62" t="s">
        <v>60</v>
      </c>
      <c r="D3260" s="62" t="s">
        <v>381</v>
      </c>
      <c r="E3260" s="62" t="s">
        <v>382</v>
      </c>
      <c r="F3260" s="62" t="s">
        <v>382</v>
      </c>
      <c r="G3260" s="63" t="s">
        <v>723</v>
      </c>
      <c r="H3260" s="64" t="n">
        <v>563691413.924514</v>
      </c>
      <c r="I3260" s="62" t="s">
        <v>81</v>
      </c>
      <c r="J3260" s="64" t="n">
        <v>563691.413924514</v>
      </c>
      <c r="K3260" s="62" t="s">
        <v>138</v>
      </c>
      <c r="L3260" s="68" t="b">
        <f aca="false">FALSE()</f>
        <v>0</v>
      </c>
    </row>
    <row r="3261" customFormat="false" ht="15" hidden="false" customHeight="false" outlineLevel="0" collapsed="false">
      <c r="A3261" s="62" t="n">
        <v>0</v>
      </c>
      <c r="B3261" s="21" t="s">
        <v>336</v>
      </c>
      <c r="C3261" s="62" t="s">
        <v>60</v>
      </c>
      <c r="D3261" s="62" t="s">
        <v>383</v>
      </c>
      <c r="E3261" s="62" t="s">
        <v>382</v>
      </c>
      <c r="F3261" s="62" t="s">
        <v>382</v>
      </c>
      <c r="G3261" s="63" t="s">
        <v>723</v>
      </c>
      <c r="H3261" s="64" t="n">
        <v>563691413.924514</v>
      </c>
      <c r="I3261" s="62" t="s">
        <v>81</v>
      </c>
      <c r="J3261" s="64" t="n">
        <v>563691.413924514</v>
      </c>
      <c r="K3261" s="62" t="s">
        <v>138</v>
      </c>
      <c r="L3261" s="68" t="b">
        <f aca="false">FALSE()</f>
        <v>0</v>
      </c>
    </row>
    <row r="3262" customFormat="false" ht="15" hidden="false" customHeight="false" outlineLevel="0" collapsed="false">
      <c r="A3262" s="62" t="n">
        <v>0</v>
      </c>
      <c r="B3262" s="21" t="s">
        <v>336</v>
      </c>
      <c r="C3262" s="62" t="s">
        <v>60</v>
      </c>
      <c r="D3262" s="62" t="s">
        <v>384</v>
      </c>
      <c r="E3262" s="62" t="s">
        <v>382</v>
      </c>
      <c r="F3262" s="62" t="s">
        <v>382</v>
      </c>
      <c r="G3262" s="63" t="s">
        <v>723</v>
      </c>
      <c r="H3262" s="64" t="n">
        <v>563691413.924514</v>
      </c>
      <c r="I3262" s="62" t="s">
        <v>81</v>
      </c>
      <c r="J3262" s="64" t="n">
        <v>563691.413924514</v>
      </c>
      <c r="K3262" s="62" t="s">
        <v>138</v>
      </c>
      <c r="L3262" s="68" t="b">
        <f aca="false">FALSE()</f>
        <v>0</v>
      </c>
    </row>
    <row r="3263" customFormat="false" ht="15" hidden="false" customHeight="false" outlineLevel="0" collapsed="false">
      <c r="A3263" s="62" t="n">
        <v>0</v>
      </c>
      <c r="B3263" s="21" t="s">
        <v>336</v>
      </c>
      <c r="C3263" s="62" t="s">
        <v>60</v>
      </c>
      <c r="D3263" s="62" t="s">
        <v>385</v>
      </c>
      <c r="E3263" s="62" t="s">
        <v>382</v>
      </c>
      <c r="F3263" s="62" t="s">
        <v>382</v>
      </c>
      <c r="G3263" s="63" t="s">
        <v>723</v>
      </c>
      <c r="H3263" s="64" t="n">
        <v>563691413.924514</v>
      </c>
      <c r="I3263" s="62" t="s">
        <v>81</v>
      </c>
      <c r="J3263" s="64" t="n">
        <v>563691.413924514</v>
      </c>
      <c r="K3263" s="62" t="s">
        <v>138</v>
      </c>
      <c r="L3263" s="68" t="b">
        <f aca="false">FALSE()</f>
        <v>0</v>
      </c>
    </row>
    <row r="3264" customFormat="false" ht="15" hidden="false" customHeight="false" outlineLevel="0" collapsed="false">
      <c r="A3264" s="62" t="n">
        <v>0</v>
      </c>
      <c r="B3264" s="21" t="s">
        <v>336</v>
      </c>
      <c r="C3264" s="62" t="s">
        <v>60</v>
      </c>
      <c r="D3264" s="62" t="s">
        <v>386</v>
      </c>
      <c r="E3264" s="62" t="s">
        <v>382</v>
      </c>
      <c r="F3264" s="62" t="s">
        <v>382</v>
      </c>
      <c r="G3264" s="63" t="s">
        <v>723</v>
      </c>
      <c r="H3264" s="64" t="n">
        <v>563691413.924514</v>
      </c>
      <c r="I3264" s="62" t="s">
        <v>81</v>
      </c>
      <c r="J3264" s="64" t="n">
        <v>563691.413924514</v>
      </c>
      <c r="K3264" s="62" t="s">
        <v>138</v>
      </c>
      <c r="L3264" s="68" t="b">
        <f aca="false">FALSE()</f>
        <v>0</v>
      </c>
    </row>
    <row r="3265" customFormat="false" ht="15" hidden="false" customHeight="false" outlineLevel="0" collapsed="false">
      <c r="A3265" s="62" t="n">
        <v>0</v>
      </c>
      <c r="B3265" s="21" t="s">
        <v>336</v>
      </c>
      <c r="C3265" s="62" t="s">
        <v>60</v>
      </c>
      <c r="D3265" s="62" t="s">
        <v>387</v>
      </c>
      <c r="E3265" s="62" t="s">
        <v>382</v>
      </c>
      <c r="F3265" s="62" t="s">
        <v>382</v>
      </c>
      <c r="G3265" s="63" t="s">
        <v>723</v>
      </c>
      <c r="H3265" s="64" t="n">
        <v>563691413.924514</v>
      </c>
      <c r="I3265" s="62" t="s">
        <v>81</v>
      </c>
      <c r="J3265" s="64" t="n">
        <v>563691.413924514</v>
      </c>
      <c r="K3265" s="62" t="s">
        <v>138</v>
      </c>
      <c r="L3265" s="68" t="b">
        <f aca="false">FALSE()</f>
        <v>0</v>
      </c>
    </row>
    <row r="3266" customFormat="false" ht="15" hidden="false" customHeight="false" outlineLevel="0" collapsed="false">
      <c r="A3266" s="62" t="n">
        <v>0</v>
      </c>
      <c r="B3266" s="21" t="s">
        <v>336</v>
      </c>
      <c r="C3266" s="62" t="s">
        <v>60</v>
      </c>
      <c r="D3266" s="62" t="s">
        <v>388</v>
      </c>
      <c r="E3266" s="62" t="s">
        <v>382</v>
      </c>
      <c r="F3266" s="62" t="s">
        <v>382</v>
      </c>
      <c r="G3266" s="63" t="s">
        <v>723</v>
      </c>
      <c r="H3266" s="64" t="n">
        <v>563691413.924514</v>
      </c>
      <c r="I3266" s="62" t="s">
        <v>81</v>
      </c>
      <c r="J3266" s="64" t="n">
        <v>563691.413924514</v>
      </c>
      <c r="K3266" s="62" t="s">
        <v>138</v>
      </c>
      <c r="L3266" s="68" t="b">
        <f aca="false">FALSE()</f>
        <v>0</v>
      </c>
    </row>
    <row r="3267" customFormat="false" ht="15" hidden="false" customHeight="false" outlineLevel="0" collapsed="false">
      <c r="A3267" s="62" t="n">
        <v>0</v>
      </c>
      <c r="B3267" s="21" t="s">
        <v>336</v>
      </c>
      <c r="C3267" s="62" t="s">
        <v>60</v>
      </c>
      <c r="D3267" s="62" t="s">
        <v>381</v>
      </c>
      <c r="E3267" s="62" t="s">
        <v>382</v>
      </c>
      <c r="F3267" s="62" t="s">
        <v>382</v>
      </c>
      <c r="G3267" s="63" t="s">
        <v>724</v>
      </c>
      <c r="H3267" s="64" t="n">
        <v>16167689064.8397</v>
      </c>
      <c r="I3267" s="62" t="s">
        <v>81</v>
      </c>
      <c r="J3267" s="64" t="n">
        <v>16167689.0648397</v>
      </c>
      <c r="K3267" s="62" t="s">
        <v>138</v>
      </c>
      <c r="L3267" s="68" t="b">
        <f aca="false">TRUE()</f>
        <v>1</v>
      </c>
    </row>
    <row r="3268" customFormat="false" ht="15" hidden="false" customHeight="false" outlineLevel="0" collapsed="false">
      <c r="A3268" s="62" t="n">
        <v>0</v>
      </c>
      <c r="B3268" s="21" t="s">
        <v>336</v>
      </c>
      <c r="C3268" s="62" t="s">
        <v>60</v>
      </c>
      <c r="D3268" s="62" t="s">
        <v>383</v>
      </c>
      <c r="E3268" s="62" t="s">
        <v>382</v>
      </c>
      <c r="F3268" s="62" t="s">
        <v>382</v>
      </c>
      <c r="G3268" s="63" t="s">
        <v>724</v>
      </c>
      <c r="H3268" s="64" t="n">
        <v>16167689064.8397</v>
      </c>
      <c r="I3268" s="62" t="s">
        <v>81</v>
      </c>
      <c r="J3268" s="64" t="n">
        <v>16167689.0648397</v>
      </c>
      <c r="K3268" s="62" t="s">
        <v>138</v>
      </c>
      <c r="L3268" s="68" t="b">
        <f aca="false">TRUE()</f>
        <v>1</v>
      </c>
    </row>
    <row r="3269" customFormat="false" ht="15" hidden="false" customHeight="false" outlineLevel="0" collapsed="false">
      <c r="A3269" s="62" t="n">
        <v>0</v>
      </c>
      <c r="B3269" s="21" t="s">
        <v>336</v>
      </c>
      <c r="C3269" s="62" t="s">
        <v>60</v>
      </c>
      <c r="D3269" s="62" t="s">
        <v>384</v>
      </c>
      <c r="E3269" s="62" t="s">
        <v>382</v>
      </c>
      <c r="F3269" s="62" t="s">
        <v>382</v>
      </c>
      <c r="G3269" s="63" t="s">
        <v>724</v>
      </c>
      <c r="H3269" s="64" t="n">
        <v>16167689064.8397</v>
      </c>
      <c r="I3269" s="62" t="s">
        <v>81</v>
      </c>
      <c r="J3269" s="64" t="n">
        <v>16167689.0648397</v>
      </c>
      <c r="K3269" s="62" t="s">
        <v>138</v>
      </c>
      <c r="L3269" s="68" t="b">
        <f aca="false">TRUE()</f>
        <v>1</v>
      </c>
    </row>
    <row r="3270" customFormat="false" ht="15" hidden="false" customHeight="false" outlineLevel="0" collapsed="false">
      <c r="A3270" s="62" t="n">
        <v>0</v>
      </c>
      <c r="B3270" s="21" t="s">
        <v>336</v>
      </c>
      <c r="C3270" s="62" t="s">
        <v>60</v>
      </c>
      <c r="D3270" s="62" t="s">
        <v>385</v>
      </c>
      <c r="E3270" s="62" t="s">
        <v>382</v>
      </c>
      <c r="F3270" s="62" t="s">
        <v>382</v>
      </c>
      <c r="G3270" s="63" t="s">
        <v>724</v>
      </c>
      <c r="H3270" s="64" t="n">
        <v>16167689064.8397</v>
      </c>
      <c r="I3270" s="62" t="s">
        <v>81</v>
      </c>
      <c r="J3270" s="64" t="n">
        <v>16167689.0648397</v>
      </c>
      <c r="K3270" s="62" t="s">
        <v>138</v>
      </c>
      <c r="L3270" s="68" t="b">
        <f aca="false">TRUE()</f>
        <v>1</v>
      </c>
    </row>
    <row r="3271" customFormat="false" ht="15" hidden="false" customHeight="false" outlineLevel="0" collapsed="false">
      <c r="A3271" s="62" t="n">
        <v>0</v>
      </c>
      <c r="B3271" s="21" t="s">
        <v>336</v>
      </c>
      <c r="C3271" s="62" t="s">
        <v>60</v>
      </c>
      <c r="D3271" s="62" t="s">
        <v>386</v>
      </c>
      <c r="E3271" s="62" t="s">
        <v>382</v>
      </c>
      <c r="F3271" s="62" t="s">
        <v>382</v>
      </c>
      <c r="G3271" s="63" t="s">
        <v>724</v>
      </c>
      <c r="H3271" s="64" t="n">
        <v>16167689064.8397</v>
      </c>
      <c r="I3271" s="62" t="s">
        <v>81</v>
      </c>
      <c r="J3271" s="64" t="n">
        <v>16167689.0648397</v>
      </c>
      <c r="K3271" s="62" t="s">
        <v>138</v>
      </c>
      <c r="L3271" s="68" t="b">
        <f aca="false">TRUE()</f>
        <v>1</v>
      </c>
    </row>
    <row r="3272" customFormat="false" ht="15" hidden="false" customHeight="false" outlineLevel="0" collapsed="false">
      <c r="A3272" s="62" t="n">
        <v>0</v>
      </c>
      <c r="B3272" s="21" t="s">
        <v>336</v>
      </c>
      <c r="C3272" s="62" t="s">
        <v>60</v>
      </c>
      <c r="D3272" s="62" t="s">
        <v>387</v>
      </c>
      <c r="E3272" s="62" t="s">
        <v>382</v>
      </c>
      <c r="F3272" s="62" t="s">
        <v>382</v>
      </c>
      <c r="G3272" s="63" t="s">
        <v>724</v>
      </c>
      <c r="H3272" s="64" t="n">
        <v>16167689064.8397</v>
      </c>
      <c r="I3272" s="62" t="s">
        <v>81</v>
      </c>
      <c r="J3272" s="64" t="n">
        <v>16167689.0648397</v>
      </c>
      <c r="K3272" s="62" t="s">
        <v>138</v>
      </c>
      <c r="L3272" s="68" t="b">
        <f aca="false">TRUE()</f>
        <v>1</v>
      </c>
    </row>
    <row r="3273" customFormat="false" ht="15" hidden="false" customHeight="false" outlineLevel="0" collapsed="false">
      <c r="A3273" s="62" t="n">
        <v>0</v>
      </c>
      <c r="B3273" s="21" t="s">
        <v>336</v>
      </c>
      <c r="C3273" s="62" t="s">
        <v>60</v>
      </c>
      <c r="D3273" s="62" t="s">
        <v>388</v>
      </c>
      <c r="E3273" s="62" t="s">
        <v>382</v>
      </c>
      <c r="F3273" s="62" t="s">
        <v>382</v>
      </c>
      <c r="G3273" s="63" t="s">
        <v>724</v>
      </c>
      <c r="H3273" s="64" t="n">
        <v>16167689064.8397</v>
      </c>
      <c r="I3273" s="62" t="s">
        <v>81</v>
      </c>
      <c r="J3273" s="64" t="n">
        <v>16167689.0648397</v>
      </c>
      <c r="K3273" s="62" t="s">
        <v>138</v>
      </c>
      <c r="L3273" s="68" t="b">
        <f aca="false">TRUE()</f>
        <v>1</v>
      </c>
    </row>
    <row r="3274" customFormat="false" ht="15" hidden="false" customHeight="false" outlineLevel="0" collapsed="false">
      <c r="A3274" s="62" t="n">
        <v>0</v>
      </c>
      <c r="B3274" s="21" t="s">
        <v>336</v>
      </c>
      <c r="C3274" s="62" t="s">
        <v>60</v>
      </c>
      <c r="D3274" s="62" t="s">
        <v>381</v>
      </c>
      <c r="E3274" s="62" t="s">
        <v>382</v>
      </c>
      <c r="F3274" s="62" t="s">
        <v>382</v>
      </c>
      <c r="G3274" s="63" t="s">
        <v>725</v>
      </c>
      <c r="H3274" s="64" t="n">
        <v>4046500000</v>
      </c>
      <c r="I3274" s="62" t="s">
        <v>81</v>
      </c>
      <c r="J3274" s="64" t="n">
        <v>4046500</v>
      </c>
      <c r="K3274" s="62" t="s">
        <v>138</v>
      </c>
      <c r="L3274" s="68" t="b">
        <f aca="false">TRUE()</f>
        <v>1</v>
      </c>
    </row>
    <row r="3275" customFormat="false" ht="15" hidden="false" customHeight="false" outlineLevel="0" collapsed="false">
      <c r="A3275" s="62" t="n">
        <v>0</v>
      </c>
      <c r="B3275" s="21" t="s">
        <v>336</v>
      </c>
      <c r="C3275" s="62" t="s">
        <v>60</v>
      </c>
      <c r="D3275" s="62" t="s">
        <v>383</v>
      </c>
      <c r="E3275" s="62" t="s">
        <v>382</v>
      </c>
      <c r="F3275" s="62" t="s">
        <v>382</v>
      </c>
      <c r="G3275" s="63" t="s">
        <v>725</v>
      </c>
      <c r="H3275" s="64" t="n">
        <v>4046500000</v>
      </c>
      <c r="I3275" s="62" t="s">
        <v>81</v>
      </c>
      <c r="J3275" s="64" t="n">
        <v>4046500</v>
      </c>
      <c r="K3275" s="62" t="s">
        <v>138</v>
      </c>
      <c r="L3275" s="68" t="b">
        <f aca="false">TRUE()</f>
        <v>1</v>
      </c>
    </row>
    <row r="3276" customFormat="false" ht="15" hidden="false" customHeight="false" outlineLevel="0" collapsed="false">
      <c r="A3276" s="62" t="n">
        <v>0</v>
      </c>
      <c r="B3276" s="21" t="s">
        <v>336</v>
      </c>
      <c r="C3276" s="62" t="s">
        <v>60</v>
      </c>
      <c r="D3276" s="62" t="s">
        <v>384</v>
      </c>
      <c r="E3276" s="62" t="s">
        <v>382</v>
      </c>
      <c r="F3276" s="62" t="s">
        <v>382</v>
      </c>
      <c r="G3276" s="63" t="s">
        <v>725</v>
      </c>
      <c r="H3276" s="64" t="n">
        <v>4046500000</v>
      </c>
      <c r="I3276" s="62" t="s">
        <v>81</v>
      </c>
      <c r="J3276" s="64" t="n">
        <v>4046500</v>
      </c>
      <c r="K3276" s="62" t="s">
        <v>138</v>
      </c>
      <c r="L3276" s="68" t="b">
        <f aca="false">TRUE()</f>
        <v>1</v>
      </c>
    </row>
    <row r="3277" customFormat="false" ht="15" hidden="false" customHeight="false" outlineLevel="0" collapsed="false">
      <c r="A3277" s="62" t="n">
        <v>0</v>
      </c>
      <c r="B3277" s="21" t="s">
        <v>336</v>
      </c>
      <c r="C3277" s="62" t="s">
        <v>60</v>
      </c>
      <c r="D3277" s="62" t="s">
        <v>385</v>
      </c>
      <c r="E3277" s="62" t="s">
        <v>382</v>
      </c>
      <c r="F3277" s="62" t="s">
        <v>382</v>
      </c>
      <c r="G3277" s="63" t="s">
        <v>725</v>
      </c>
      <c r="H3277" s="64" t="n">
        <v>4046500000</v>
      </c>
      <c r="I3277" s="62" t="s">
        <v>81</v>
      </c>
      <c r="J3277" s="64" t="n">
        <v>4046500</v>
      </c>
      <c r="K3277" s="62" t="s">
        <v>138</v>
      </c>
      <c r="L3277" s="68" t="b">
        <f aca="false">TRUE()</f>
        <v>1</v>
      </c>
    </row>
    <row r="3278" customFormat="false" ht="15" hidden="false" customHeight="false" outlineLevel="0" collapsed="false">
      <c r="A3278" s="62" t="n">
        <v>0</v>
      </c>
      <c r="B3278" s="21" t="s">
        <v>336</v>
      </c>
      <c r="C3278" s="62" t="s">
        <v>60</v>
      </c>
      <c r="D3278" s="62" t="s">
        <v>386</v>
      </c>
      <c r="E3278" s="62" t="s">
        <v>382</v>
      </c>
      <c r="F3278" s="62" t="s">
        <v>382</v>
      </c>
      <c r="G3278" s="63" t="s">
        <v>725</v>
      </c>
      <c r="H3278" s="64" t="n">
        <v>4046500000</v>
      </c>
      <c r="I3278" s="62" t="s">
        <v>81</v>
      </c>
      <c r="J3278" s="64" t="n">
        <v>4046500</v>
      </c>
      <c r="K3278" s="62" t="s">
        <v>138</v>
      </c>
      <c r="L3278" s="68" t="b">
        <f aca="false">TRUE()</f>
        <v>1</v>
      </c>
    </row>
    <row r="3279" customFormat="false" ht="15" hidden="false" customHeight="false" outlineLevel="0" collapsed="false">
      <c r="A3279" s="62" t="n">
        <v>0</v>
      </c>
      <c r="B3279" s="21" t="s">
        <v>336</v>
      </c>
      <c r="C3279" s="62" t="s">
        <v>60</v>
      </c>
      <c r="D3279" s="62" t="s">
        <v>387</v>
      </c>
      <c r="E3279" s="62" t="s">
        <v>382</v>
      </c>
      <c r="F3279" s="62" t="s">
        <v>382</v>
      </c>
      <c r="G3279" s="63" t="s">
        <v>725</v>
      </c>
      <c r="H3279" s="64" t="n">
        <v>4046500000</v>
      </c>
      <c r="I3279" s="62" t="s">
        <v>81</v>
      </c>
      <c r="J3279" s="64" t="n">
        <v>4046500</v>
      </c>
      <c r="K3279" s="62" t="s">
        <v>138</v>
      </c>
      <c r="L3279" s="68" t="b">
        <f aca="false">TRUE()</f>
        <v>1</v>
      </c>
    </row>
    <row r="3280" customFormat="false" ht="15" hidden="false" customHeight="false" outlineLevel="0" collapsed="false">
      <c r="A3280" s="62" t="n">
        <v>0</v>
      </c>
      <c r="B3280" s="21" t="s">
        <v>336</v>
      </c>
      <c r="C3280" s="62" t="s">
        <v>60</v>
      </c>
      <c r="D3280" s="62" t="s">
        <v>388</v>
      </c>
      <c r="E3280" s="62" t="s">
        <v>382</v>
      </c>
      <c r="F3280" s="62" t="s">
        <v>382</v>
      </c>
      <c r="G3280" s="63" t="s">
        <v>725</v>
      </c>
      <c r="H3280" s="64" t="n">
        <v>4046500000</v>
      </c>
      <c r="I3280" s="62" t="s">
        <v>81</v>
      </c>
      <c r="J3280" s="64" t="n">
        <v>4046500</v>
      </c>
      <c r="K3280" s="62" t="s">
        <v>138</v>
      </c>
      <c r="L3280" s="68" t="b">
        <f aca="false">TRUE()</f>
        <v>1</v>
      </c>
    </row>
    <row r="3281" customFormat="false" ht="15" hidden="false" customHeight="false" outlineLevel="0" collapsed="false">
      <c r="A3281" s="62" t="n">
        <v>0</v>
      </c>
      <c r="B3281" s="21" t="s">
        <v>336</v>
      </c>
      <c r="C3281" s="62" t="s">
        <v>60</v>
      </c>
      <c r="D3281" s="62" t="s">
        <v>381</v>
      </c>
      <c r="E3281" s="62" t="s">
        <v>382</v>
      </c>
      <c r="F3281" s="62" t="s">
        <v>382</v>
      </c>
      <c r="G3281" s="63" t="s">
        <v>726</v>
      </c>
      <c r="H3281" s="64" t="n">
        <v>6962198716.04938</v>
      </c>
      <c r="I3281" s="62" t="s">
        <v>81</v>
      </c>
      <c r="J3281" s="64" t="n">
        <v>6962198.71604938</v>
      </c>
      <c r="K3281" s="62" t="s">
        <v>138</v>
      </c>
      <c r="L3281" s="68" t="b">
        <f aca="false">TRUE()</f>
        <v>1</v>
      </c>
    </row>
    <row r="3282" customFormat="false" ht="15" hidden="false" customHeight="false" outlineLevel="0" collapsed="false">
      <c r="A3282" s="62" t="n">
        <v>0</v>
      </c>
      <c r="B3282" s="21" t="s">
        <v>336</v>
      </c>
      <c r="C3282" s="62" t="s">
        <v>60</v>
      </c>
      <c r="D3282" s="62" t="s">
        <v>383</v>
      </c>
      <c r="E3282" s="62" t="s">
        <v>382</v>
      </c>
      <c r="F3282" s="62" t="s">
        <v>382</v>
      </c>
      <c r="G3282" s="63" t="s">
        <v>726</v>
      </c>
      <c r="H3282" s="64" t="n">
        <v>6962198716.04938</v>
      </c>
      <c r="I3282" s="62" t="s">
        <v>81</v>
      </c>
      <c r="J3282" s="64" t="n">
        <v>6962198.71604938</v>
      </c>
      <c r="K3282" s="62" t="s">
        <v>138</v>
      </c>
      <c r="L3282" s="68" t="b">
        <f aca="false">TRUE()</f>
        <v>1</v>
      </c>
    </row>
    <row r="3283" customFormat="false" ht="15" hidden="false" customHeight="false" outlineLevel="0" collapsed="false">
      <c r="A3283" s="62" t="n">
        <v>0</v>
      </c>
      <c r="B3283" s="21" t="s">
        <v>336</v>
      </c>
      <c r="C3283" s="62" t="s">
        <v>60</v>
      </c>
      <c r="D3283" s="62" t="s">
        <v>384</v>
      </c>
      <c r="E3283" s="62" t="s">
        <v>382</v>
      </c>
      <c r="F3283" s="62" t="s">
        <v>382</v>
      </c>
      <c r="G3283" s="63" t="s">
        <v>726</v>
      </c>
      <c r="H3283" s="64" t="n">
        <v>6962198716.04938</v>
      </c>
      <c r="I3283" s="62" t="s">
        <v>81</v>
      </c>
      <c r="J3283" s="64" t="n">
        <v>6962198.71604938</v>
      </c>
      <c r="K3283" s="62" t="s">
        <v>138</v>
      </c>
      <c r="L3283" s="68" t="b">
        <f aca="false">TRUE()</f>
        <v>1</v>
      </c>
    </row>
    <row r="3284" customFormat="false" ht="15" hidden="false" customHeight="false" outlineLevel="0" collapsed="false">
      <c r="A3284" s="62" t="n">
        <v>0</v>
      </c>
      <c r="B3284" s="21" t="s">
        <v>336</v>
      </c>
      <c r="C3284" s="62" t="s">
        <v>60</v>
      </c>
      <c r="D3284" s="62" t="s">
        <v>385</v>
      </c>
      <c r="E3284" s="62" t="s">
        <v>382</v>
      </c>
      <c r="F3284" s="62" t="s">
        <v>382</v>
      </c>
      <c r="G3284" s="63" t="s">
        <v>726</v>
      </c>
      <c r="H3284" s="64" t="n">
        <v>6962198716.04938</v>
      </c>
      <c r="I3284" s="62" t="s">
        <v>81</v>
      </c>
      <c r="J3284" s="64" t="n">
        <v>6962198.71604938</v>
      </c>
      <c r="K3284" s="62" t="s">
        <v>138</v>
      </c>
      <c r="L3284" s="68" t="b">
        <f aca="false">TRUE()</f>
        <v>1</v>
      </c>
    </row>
    <row r="3285" customFormat="false" ht="15" hidden="false" customHeight="false" outlineLevel="0" collapsed="false">
      <c r="A3285" s="62" t="n">
        <v>0</v>
      </c>
      <c r="B3285" s="21" t="s">
        <v>336</v>
      </c>
      <c r="C3285" s="62" t="s">
        <v>60</v>
      </c>
      <c r="D3285" s="62" t="s">
        <v>386</v>
      </c>
      <c r="E3285" s="62" t="s">
        <v>382</v>
      </c>
      <c r="F3285" s="62" t="s">
        <v>382</v>
      </c>
      <c r="G3285" s="63" t="s">
        <v>726</v>
      </c>
      <c r="H3285" s="64" t="n">
        <v>6962198716.04938</v>
      </c>
      <c r="I3285" s="62" t="s">
        <v>81</v>
      </c>
      <c r="J3285" s="64" t="n">
        <v>6962198.71604938</v>
      </c>
      <c r="K3285" s="62" t="s">
        <v>138</v>
      </c>
      <c r="L3285" s="68" t="b">
        <f aca="false">TRUE()</f>
        <v>1</v>
      </c>
    </row>
    <row r="3286" customFormat="false" ht="15" hidden="false" customHeight="false" outlineLevel="0" collapsed="false">
      <c r="A3286" s="62" t="n">
        <v>0</v>
      </c>
      <c r="B3286" s="21" t="s">
        <v>336</v>
      </c>
      <c r="C3286" s="62" t="s">
        <v>60</v>
      </c>
      <c r="D3286" s="62" t="s">
        <v>387</v>
      </c>
      <c r="E3286" s="62" t="s">
        <v>382</v>
      </c>
      <c r="F3286" s="62" t="s">
        <v>382</v>
      </c>
      <c r="G3286" s="63" t="s">
        <v>726</v>
      </c>
      <c r="H3286" s="64" t="n">
        <v>6962198716.04938</v>
      </c>
      <c r="I3286" s="62" t="s">
        <v>81</v>
      </c>
      <c r="J3286" s="64" t="n">
        <v>6962198.71604938</v>
      </c>
      <c r="K3286" s="62" t="s">
        <v>138</v>
      </c>
      <c r="L3286" s="68" t="b">
        <f aca="false">TRUE()</f>
        <v>1</v>
      </c>
    </row>
    <row r="3287" customFormat="false" ht="15" hidden="false" customHeight="false" outlineLevel="0" collapsed="false">
      <c r="A3287" s="62" t="n">
        <v>0</v>
      </c>
      <c r="B3287" s="21" t="s">
        <v>336</v>
      </c>
      <c r="C3287" s="62" t="s">
        <v>60</v>
      </c>
      <c r="D3287" s="62" t="s">
        <v>388</v>
      </c>
      <c r="E3287" s="62" t="s">
        <v>382</v>
      </c>
      <c r="F3287" s="62" t="s">
        <v>382</v>
      </c>
      <c r="G3287" s="63" t="s">
        <v>726</v>
      </c>
      <c r="H3287" s="64" t="n">
        <v>6962198716.04938</v>
      </c>
      <c r="I3287" s="62" t="s">
        <v>81</v>
      </c>
      <c r="J3287" s="64" t="n">
        <v>6962198.71604938</v>
      </c>
      <c r="K3287" s="62" t="s">
        <v>138</v>
      </c>
      <c r="L3287" s="68" t="b">
        <f aca="false">TRUE()</f>
        <v>1</v>
      </c>
    </row>
    <row r="3288" customFormat="false" ht="15" hidden="false" customHeight="false" outlineLevel="0" collapsed="false">
      <c r="A3288" s="62" t="n">
        <v>0</v>
      </c>
      <c r="B3288" s="21" t="s">
        <v>336</v>
      </c>
      <c r="C3288" s="62" t="s">
        <v>60</v>
      </c>
      <c r="D3288" s="62" t="s">
        <v>381</v>
      </c>
      <c r="E3288" s="62" t="s">
        <v>382</v>
      </c>
      <c r="F3288" s="62" t="s">
        <v>382</v>
      </c>
      <c r="G3288" s="63" t="s">
        <v>727</v>
      </c>
      <c r="H3288" s="64" t="n">
        <v>0</v>
      </c>
      <c r="I3288" s="62" t="s">
        <v>81</v>
      </c>
      <c r="J3288" s="64" t="n">
        <v>0</v>
      </c>
      <c r="K3288" s="62" t="s">
        <v>138</v>
      </c>
      <c r="L3288" s="68" t="b">
        <f aca="false">TRUE()</f>
        <v>1</v>
      </c>
    </row>
    <row r="3289" customFormat="false" ht="15" hidden="false" customHeight="false" outlineLevel="0" collapsed="false">
      <c r="A3289" s="62" t="n">
        <v>0</v>
      </c>
      <c r="B3289" s="21" t="s">
        <v>336</v>
      </c>
      <c r="C3289" s="62" t="s">
        <v>60</v>
      </c>
      <c r="D3289" s="62" t="s">
        <v>383</v>
      </c>
      <c r="E3289" s="62" t="s">
        <v>382</v>
      </c>
      <c r="F3289" s="62" t="s">
        <v>382</v>
      </c>
      <c r="G3289" s="63" t="s">
        <v>727</v>
      </c>
      <c r="H3289" s="64" t="n">
        <v>0</v>
      </c>
      <c r="I3289" s="62" t="s">
        <v>81</v>
      </c>
      <c r="J3289" s="64" t="n">
        <v>0</v>
      </c>
      <c r="K3289" s="62" t="s">
        <v>138</v>
      </c>
      <c r="L3289" s="68" t="b">
        <f aca="false">TRUE()</f>
        <v>1</v>
      </c>
    </row>
    <row r="3290" customFormat="false" ht="15" hidden="false" customHeight="false" outlineLevel="0" collapsed="false">
      <c r="A3290" s="62" t="n">
        <v>0</v>
      </c>
      <c r="B3290" s="21" t="s">
        <v>336</v>
      </c>
      <c r="C3290" s="62" t="s">
        <v>60</v>
      </c>
      <c r="D3290" s="62" t="s">
        <v>384</v>
      </c>
      <c r="E3290" s="62" t="s">
        <v>382</v>
      </c>
      <c r="F3290" s="62" t="s">
        <v>382</v>
      </c>
      <c r="G3290" s="63" t="s">
        <v>727</v>
      </c>
      <c r="H3290" s="64" t="n">
        <v>0</v>
      </c>
      <c r="I3290" s="62" t="s">
        <v>81</v>
      </c>
      <c r="J3290" s="64" t="n">
        <v>0</v>
      </c>
      <c r="K3290" s="62" t="s">
        <v>138</v>
      </c>
      <c r="L3290" s="68" t="b">
        <f aca="false">TRUE()</f>
        <v>1</v>
      </c>
    </row>
    <row r="3291" customFormat="false" ht="15" hidden="false" customHeight="false" outlineLevel="0" collapsed="false">
      <c r="A3291" s="62" t="n">
        <v>0</v>
      </c>
      <c r="B3291" s="21" t="s">
        <v>336</v>
      </c>
      <c r="C3291" s="62" t="s">
        <v>60</v>
      </c>
      <c r="D3291" s="62" t="s">
        <v>385</v>
      </c>
      <c r="E3291" s="62" t="s">
        <v>382</v>
      </c>
      <c r="F3291" s="62" t="s">
        <v>382</v>
      </c>
      <c r="G3291" s="63" t="s">
        <v>727</v>
      </c>
      <c r="H3291" s="64" t="n">
        <v>0</v>
      </c>
      <c r="I3291" s="62" t="s">
        <v>81</v>
      </c>
      <c r="J3291" s="64" t="n">
        <v>0</v>
      </c>
      <c r="K3291" s="62" t="s">
        <v>138</v>
      </c>
      <c r="L3291" s="68" t="b">
        <f aca="false">TRUE()</f>
        <v>1</v>
      </c>
    </row>
    <row r="3292" customFormat="false" ht="15" hidden="false" customHeight="false" outlineLevel="0" collapsed="false">
      <c r="A3292" s="62" t="n">
        <v>0</v>
      </c>
      <c r="B3292" s="21" t="s">
        <v>336</v>
      </c>
      <c r="C3292" s="62" t="s">
        <v>60</v>
      </c>
      <c r="D3292" s="62" t="s">
        <v>386</v>
      </c>
      <c r="E3292" s="62" t="s">
        <v>382</v>
      </c>
      <c r="F3292" s="62" t="s">
        <v>382</v>
      </c>
      <c r="G3292" s="63" t="s">
        <v>727</v>
      </c>
      <c r="H3292" s="64" t="n">
        <v>0</v>
      </c>
      <c r="I3292" s="62" t="s">
        <v>81</v>
      </c>
      <c r="J3292" s="64" t="n">
        <v>0</v>
      </c>
      <c r="K3292" s="62" t="s">
        <v>138</v>
      </c>
      <c r="L3292" s="68" t="b">
        <f aca="false">TRUE()</f>
        <v>1</v>
      </c>
    </row>
    <row r="3293" customFormat="false" ht="15" hidden="false" customHeight="false" outlineLevel="0" collapsed="false">
      <c r="A3293" s="62" t="n">
        <v>0</v>
      </c>
      <c r="B3293" s="21" t="s">
        <v>336</v>
      </c>
      <c r="C3293" s="62" t="s">
        <v>60</v>
      </c>
      <c r="D3293" s="62" t="s">
        <v>387</v>
      </c>
      <c r="E3293" s="62" t="s">
        <v>382</v>
      </c>
      <c r="F3293" s="62" t="s">
        <v>382</v>
      </c>
      <c r="G3293" s="63" t="s">
        <v>727</v>
      </c>
      <c r="H3293" s="64" t="n">
        <v>0</v>
      </c>
      <c r="I3293" s="62" t="s">
        <v>81</v>
      </c>
      <c r="J3293" s="64" t="n">
        <v>0</v>
      </c>
      <c r="K3293" s="62" t="s">
        <v>138</v>
      </c>
      <c r="L3293" s="68" t="b">
        <f aca="false">TRUE()</f>
        <v>1</v>
      </c>
    </row>
    <row r="3294" customFormat="false" ht="15" hidden="false" customHeight="false" outlineLevel="0" collapsed="false">
      <c r="A3294" s="62" t="n">
        <v>0</v>
      </c>
      <c r="B3294" s="21" t="s">
        <v>336</v>
      </c>
      <c r="C3294" s="62" t="s">
        <v>60</v>
      </c>
      <c r="D3294" s="62" t="s">
        <v>388</v>
      </c>
      <c r="E3294" s="62" t="s">
        <v>382</v>
      </c>
      <c r="F3294" s="62" t="s">
        <v>382</v>
      </c>
      <c r="G3294" s="63" t="s">
        <v>727</v>
      </c>
      <c r="H3294" s="64" t="n">
        <v>0</v>
      </c>
      <c r="I3294" s="62" t="s">
        <v>81</v>
      </c>
      <c r="J3294" s="64" t="n">
        <v>0</v>
      </c>
      <c r="K3294" s="62" t="s">
        <v>138</v>
      </c>
      <c r="L3294" s="68" t="b">
        <f aca="false">TRUE()</f>
        <v>1</v>
      </c>
    </row>
    <row r="3295" customFormat="false" ht="15" hidden="false" customHeight="false" outlineLevel="0" collapsed="false">
      <c r="A3295" s="62" t="n">
        <v>0</v>
      </c>
      <c r="B3295" s="21" t="s">
        <v>336</v>
      </c>
      <c r="C3295" s="62" t="s">
        <v>60</v>
      </c>
      <c r="D3295" s="62" t="s">
        <v>381</v>
      </c>
      <c r="E3295" s="62" t="s">
        <v>382</v>
      </c>
      <c r="F3295" s="62" t="s">
        <v>382</v>
      </c>
      <c r="G3295" s="63" t="s">
        <v>728</v>
      </c>
      <c r="H3295" s="64" t="n">
        <v>27176387780.8891</v>
      </c>
      <c r="I3295" s="62" t="s">
        <v>81</v>
      </c>
      <c r="J3295" s="64" t="n">
        <v>27176387.7808891</v>
      </c>
      <c r="K3295" s="62" t="s">
        <v>138</v>
      </c>
      <c r="L3295" s="68" t="b">
        <f aca="false">FALSE()</f>
        <v>0</v>
      </c>
    </row>
    <row r="3296" customFormat="false" ht="15" hidden="false" customHeight="false" outlineLevel="0" collapsed="false">
      <c r="A3296" s="62" t="n">
        <v>0</v>
      </c>
      <c r="B3296" s="21" t="s">
        <v>336</v>
      </c>
      <c r="C3296" s="62" t="s">
        <v>60</v>
      </c>
      <c r="D3296" s="62" t="s">
        <v>383</v>
      </c>
      <c r="E3296" s="62" t="s">
        <v>382</v>
      </c>
      <c r="F3296" s="62" t="s">
        <v>382</v>
      </c>
      <c r="G3296" s="63" t="s">
        <v>728</v>
      </c>
      <c r="H3296" s="64" t="n">
        <v>27176387780.8891</v>
      </c>
      <c r="I3296" s="62" t="s">
        <v>81</v>
      </c>
      <c r="J3296" s="64" t="n">
        <v>27176387.7808891</v>
      </c>
      <c r="K3296" s="62" t="s">
        <v>138</v>
      </c>
      <c r="L3296" s="68" t="b">
        <f aca="false">FALSE()</f>
        <v>0</v>
      </c>
    </row>
    <row r="3297" customFormat="false" ht="15" hidden="false" customHeight="false" outlineLevel="0" collapsed="false">
      <c r="A3297" s="62" t="n">
        <v>0</v>
      </c>
      <c r="B3297" s="21" t="s">
        <v>336</v>
      </c>
      <c r="C3297" s="62" t="s">
        <v>60</v>
      </c>
      <c r="D3297" s="62" t="s">
        <v>384</v>
      </c>
      <c r="E3297" s="62" t="s">
        <v>382</v>
      </c>
      <c r="F3297" s="62" t="s">
        <v>382</v>
      </c>
      <c r="G3297" s="63" t="s">
        <v>728</v>
      </c>
      <c r="H3297" s="64" t="n">
        <v>27176387780.8891</v>
      </c>
      <c r="I3297" s="62" t="s">
        <v>81</v>
      </c>
      <c r="J3297" s="64" t="n">
        <v>27176387.7808891</v>
      </c>
      <c r="K3297" s="62" t="s">
        <v>138</v>
      </c>
      <c r="L3297" s="68" t="b">
        <f aca="false">FALSE()</f>
        <v>0</v>
      </c>
    </row>
    <row r="3298" customFormat="false" ht="15" hidden="false" customHeight="false" outlineLevel="0" collapsed="false">
      <c r="A3298" s="62" t="n">
        <v>0</v>
      </c>
      <c r="B3298" s="21" t="s">
        <v>336</v>
      </c>
      <c r="C3298" s="62" t="s">
        <v>60</v>
      </c>
      <c r="D3298" s="62" t="s">
        <v>385</v>
      </c>
      <c r="E3298" s="62" t="s">
        <v>382</v>
      </c>
      <c r="F3298" s="62" t="s">
        <v>382</v>
      </c>
      <c r="G3298" s="63" t="s">
        <v>728</v>
      </c>
      <c r="H3298" s="64" t="n">
        <v>27176387780.8891</v>
      </c>
      <c r="I3298" s="62" t="s">
        <v>81</v>
      </c>
      <c r="J3298" s="64" t="n">
        <v>27176387.7808891</v>
      </c>
      <c r="K3298" s="62" t="s">
        <v>138</v>
      </c>
      <c r="L3298" s="68" t="b">
        <f aca="false">FALSE()</f>
        <v>0</v>
      </c>
    </row>
    <row r="3299" customFormat="false" ht="15" hidden="false" customHeight="false" outlineLevel="0" collapsed="false">
      <c r="A3299" s="62" t="n">
        <v>0</v>
      </c>
      <c r="B3299" s="21" t="s">
        <v>336</v>
      </c>
      <c r="C3299" s="62" t="s">
        <v>60</v>
      </c>
      <c r="D3299" s="62" t="s">
        <v>386</v>
      </c>
      <c r="E3299" s="62" t="s">
        <v>382</v>
      </c>
      <c r="F3299" s="62" t="s">
        <v>382</v>
      </c>
      <c r="G3299" s="63" t="s">
        <v>728</v>
      </c>
      <c r="H3299" s="64" t="n">
        <v>27176387780.8891</v>
      </c>
      <c r="I3299" s="62" t="s">
        <v>81</v>
      </c>
      <c r="J3299" s="64" t="n">
        <v>27176387.7808891</v>
      </c>
      <c r="K3299" s="62" t="s">
        <v>138</v>
      </c>
      <c r="L3299" s="68" t="b">
        <f aca="false">FALSE()</f>
        <v>0</v>
      </c>
    </row>
    <row r="3300" customFormat="false" ht="15" hidden="false" customHeight="false" outlineLevel="0" collapsed="false">
      <c r="A3300" s="62" t="n">
        <v>0</v>
      </c>
      <c r="B3300" s="21" t="s">
        <v>336</v>
      </c>
      <c r="C3300" s="62" t="s">
        <v>60</v>
      </c>
      <c r="D3300" s="62" t="s">
        <v>387</v>
      </c>
      <c r="E3300" s="62" t="s">
        <v>382</v>
      </c>
      <c r="F3300" s="62" t="s">
        <v>382</v>
      </c>
      <c r="G3300" s="63" t="s">
        <v>728</v>
      </c>
      <c r="H3300" s="64" t="n">
        <v>27176387780.8891</v>
      </c>
      <c r="I3300" s="62" t="s">
        <v>81</v>
      </c>
      <c r="J3300" s="64" t="n">
        <v>27176387.7808891</v>
      </c>
      <c r="K3300" s="62" t="s">
        <v>138</v>
      </c>
      <c r="L3300" s="68" t="b">
        <f aca="false">FALSE()</f>
        <v>0</v>
      </c>
    </row>
    <row r="3301" customFormat="false" ht="15" hidden="false" customHeight="false" outlineLevel="0" collapsed="false">
      <c r="A3301" s="62" t="n">
        <v>0</v>
      </c>
      <c r="B3301" s="21" t="s">
        <v>336</v>
      </c>
      <c r="C3301" s="62" t="s">
        <v>60</v>
      </c>
      <c r="D3301" s="62" t="s">
        <v>388</v>
      </c>
      <c r="E3301" s="62" t="s">
        <v>382</v>
      </c>
      <c r="F3301" s="62" t="s">
        <v>382</v>
      </c>
      <c r="G3301" s="63" t="s">
        <v>728</v>
      </c>
      <c r="H3301" s="64" t="n">
        <v>27176387780.8891</v>
      </c>
      <c r="I3301" s="62" t="s">
        <v>81</v>
      </c>
      <c r="J3301" s="64" t="n">
        <v>27176387.7808891</v>
      </c>
      <c r="K3301" s="62" t="s">
        <v>138</v>
      </c>
      <c r="L3301" s="68" t="b">
        <f aca="false">FALSE()</f>
        <v>0</v>
      </c>
    </row>
    <row r="3302" customFormat="false" ht="15" hidden="false" customHeight="false" outlineLevel="0" collapsed="false">
      <c r="A3302" s="62" t="n">
        <v>0</v>
      </c>
      <c r="B3302" s="21" t="s">
        <v>336</v>
      </c>
      <c r="C3302" s="62" t="s">
        <v>60</v>
      </c>
      <c r="D3302" s="62" t="s">
        <v>381</v>
      </c>
      <c r="E3302" s="62" t="s">
        <v>382</v>
      </c>
      <c r="F3302" s="62" t="s">
        <v>382</v>
      </c>
      <c r="G3302" s="63" t="s">
        <v>729</v>
      </c>
      <c r="H3302" s="64" t="n">
        <v>34937146458.1193</v>
      </c>
      <c r="I3302" s="62" t="s">
        <v>81</v>
      </c>
      <c r="J3302" s="64" t="n">
        <v>34937146.4581193</v>
      </c>
      <c r="K3302" s="62" t="s">
        <v>138</v>
      </c>
      <c r="L3302" s="68" t="b">
        <f aca="false">TRUE()</f>
        <v>1</v>
      </c>
    </row>
    <row r="3303" customFormat="false" ht="15" hidden="false" customHeight="false" outlineLevel="0" collapsed="false">
      <c r="A3303" s="62" t="n">
        <v>0</v>
      </c>
      <c r="B3303" s="21" t="s">
        <v>336</v>
      </c>
      <c r="C3303" s="62" t="s">
        <v>60</v>
      </c>
      <c r="D3303" s="62" t="s">
        <v>383</v>
      </c>
      <c r="E3303" s="62" t="s">
        <v>382</v>
      </c>
      <c r="F3303" s="62" t="s">
        <v>382</v>
      </c>
      <c r="G3303" s="63" t="s">
        <v>729</v>
      </c>
      <c r="H3303" s="64" t="n">
        <v>34937146458.1193</v>
      </c>
      <c r="I3303" s="62" t="s">
        <v>81</v>
      </c>
      <c r="J3303" s="64" t="n">
        <v>34937146.4581193</v>
      </c>
      <c r="K3303" s="62" t="s">
        <v>138</v>
      </c>
      <c r="L3303" s="68" t="b">
        <f aca="false">TRUE()</f>
        <v>1</v>
      </c>
    </row>
    <row r="3304" customFormat="false" ht="15" hidden="false" customHeight="false" outlineLevel="0" collapsed="false">
      <c r="A3304" s="62" t="n">
        <v>0</v>
      </c>
      <c r="B3304" s="21" t="s">
        <v>336</v>
      </c>
      <c r="C3304" s="62" t="s">
        <v>60</v>
      </c>
      <c r="D3304" s="62" t="s">
        <v>384</v>
      </c>
      <c r="E3304" s="62" t="s">
        <v>382</v>
      </c>
      <c r="F3304" s="62" t="s">
        <v>382</v>
      </c>
      <c r="G3304" s="63" t="s">
        <v>729</v>
      </c>
      <c r="H3304" s="64" t="n">
        <v>34937146458.1193</v>
      </c>
      <c r="I3304" s="62" t="s">
        <v>81</v>
      </c>
      <c r="J3304" s="64" t="n">
        <v>34937146.4581193</v>
      </c>
      <c r="K3304" s="62" t="s">
        <v>138</v>
      </c>
      <c r="L3304" s="68" t="b">
        <f aca="false">TRUE()</f>
        <v>1</v>
      </c>
    </row>
    <row r="3305" customFormat="false" ht="15" hidden="false" customHeight="false" outlineLevel="0" collapsed="false">
      <c r="A3305" s="62" t="n">
        <v>0</v>
      </c>
      <c r="B3305" s="21" t="s">
        <v>336</v>
      </c>
      <c r="C3305" s="62" t="s">
        <v>60</v>
      </c>
      <c r="D3305" s="62" t="s">
        <v>385</v>
      </c>
      <c r="E3305" s="62" t="s">
        <v>382</v>
      </c>
      <c r="F3305" s="62" t="s">
        <v>382</v>
      </c>
      <c r="G3305" s="63" t="s">
        <v>729</v>
      </c>
      <c r="H3305" s="64" t="n">
        <v>34937146458.1193</v>
      </c>
      <c r="I3305" s="62" t="s">
        <v>81</v>
      </c>
      <c r="J3305" s="64" t="n">
        <v>34937146.4581193</v>
      </c>
      <c r="K3305" s="62" t="s">
        <v>138</v>
      </c>
      <c r="L3305" s="68" t="b">
        <f aca="false">TRUE()</f>
        <v>1</v>
      </c>
    </row>
    <row r="3306" customFormat="false" ht="15" hidden="false" customHeight="false" outlineLevel="0" collapsed="false">
      <c r="A3306" s="62" t="n">
        <v>0</v>
      </c>
      <c r="B3306" s="21" t="s">
        <v>336</v>
      </c>
      <c r="C3306" s="62" t="s">
        <v>60</v>
      </c>
      <c r="D3306" s="62" t="s">
        <v>386</v>
      </c>
      <c r="E3306" s="62" t="s">
        <v>382</v>
      </c>
      <c r="F3306" s="62" t="s">
        <v>382</v>
      </c>
      <c r="G3306" s="63" t="s">
        <v>729</v>
      </c>
      <c r="H3306" s="64" t="n">
        <v>34937146458.1193</v>
      </c>
      <c r="I3306" s="62" t="s">
        <v>81</v>
      </c>
      <c r="J3306" s="64" t="n">
        <v>34937146.4581193</v>
      </c>
      <c r="K3306" s="62" t="s">
        <v>138</v>
      </c>
      <c r="L3306" s="68" t="b">
        <f aca="false">TRUE()</f>
        <v>1</v>
      </c>
    </row>
    <row r="3307" customFormat="false" ht="15" hidden="false" customHeight="false" outlineLevel="0" collapsed="false">
      <c r="A3307" s="62" t="n">
        <v>0</v>
      </c>
      <c r="B3307" s="21" t="s">
        <v>336</v>
      </c>
      <c r="C3307" s="62" t="s">
        <v>60</v>
      </c>
      <c r="D3307" s="62" t="s">
        <v>387</v>
      </c>
      <c r="E3307" s="62" t="s">
        <v>382</v>
      </c>
      <c r="F3307" s="62" t="s">
        <v>382</v>
      </c>
      <c r="G3307" s="63" t="s">
        <v>729</v>
      </c>
      <c r="H3307" s="64" t="n">
        <v>34937146458.1193</v>
      </c>
      <c r="I3307" s="62" t="s">
        <v>81</v>
      </c>
      <c r="J3307" s="64" t="n">
        <v>34937146.4581193</v>
      </c>
      <c r="K3307" s="62" t="s">
        <v>138</v>
      </c>
      <c r="L3307" s="68" t="b">
        <f aca="false">TRUE()</f>
        <v>1</v>
      </c>
    </row>
    <row r="3308" customFormat="false" ht="15" hidden="false" customHeight="false" outlineLevel="0" collapsed="false">
      <c r="A3308" s="62" t="n">
        <v>0</v>
      </c>
      <c r="B3308" s="21" t="s">
        <v>336</v>
      </c>
      <c r="C3308" s="62" t="s">
        <v>60</v>
      </c>
      <c r="D3308" s="62" t="s">
        <v>388</v>
      </c>
      <c r="E3308" s="62" t="s">
        <v>382</v>
      </c>
      <c r="F3308" s="62" t="s">
        <v>382</v>
      </c>
      <c r="G3308" s="63" t="s">
        <v>729</v>
      </c>
      <c r="H3308" s="64" t="n">
        <v>34937146458.1193</v>
      </c>
      <c r="I3308" s="62" t="s">
        <v>81</v>
      </c>
      <c r="J3308" s="64" t="n">
        <v>34937146.4581193</v>
      </c>
      <c r="K3308" s="62" t="s">
        <v>138</v>
      </c>
      <c r="L3308" s="68" t="b">
        <f aca="false">TRUE()</f>
        <v>1</v>
      </c>
    </row>
    <row r="3309" customFormat="false" ht="15" hidden="false" customHeight="false" outlineLevel="0" collapsed="false">
      <c r="A3309" s="62" t="n">
        <v>0</v>
      </c>
      <c r="B3309" s="21" t="s">
        <v>336</v>
      </c>
      <c r="C3309" s="62" t="s">
        <v>60</v>
      </c>
      <c r="D3309" s="62" t="s">
        <v>381</v>
      </c>
      <c r="E3309" s="62" t="s">
        <v>382</v>
      </c>
      <c r="F3309" s="62" t="s">
        <v>382</v>
      </c>
      <c r="G3309" s="63" t="s">
        <v>730</v>
      </c>
      <c r="H3309" s="64" t="n">
        <v>0</v>
      </c>
      <c r="I3309" s="62" t="s">
        <v>81</v>
      </c>
      <c r="J3309" s="64" t="n">
        <v>0</v>
      </c>
      <c r="K3309" s="62" t="s">
        <v>138</v>
      </c>
      <c r="L3309" s="68" t="b">
        <f aca="false">TRUE()</f>
        <v>1</v>
      </c>
    </row>
    <row r="3310" customFormat="false" ht="15" hidden="false" customHeight="false" outlineLevel="0" collapsed="false">
      <c r="A3310" s="62" t="n">
        <v>0</v>
      </c>
      <c r="B3310" s="21" t="s">
        <v>336</v>
      </c>
      <c r="C3310" s="62" t="s">
        <v>60</v>
      </c>
      <c r="D3310" s="62" t="s">
        <v>383</v>
      </c>
      <c r="E3310" s="62" t="s">
        <v>382</v>
      </c>
      <c r="F3310" s="62" t="s">
        <v>382</v>
      </c>
      <c r="G3310" s="63" t="s">
        <v>730</v>
      </c>
      <c r="H3310" s="64" t="n">
        <v>0</v>
      </c>
      <c r="I3310" s="62" t="s">
        <v>81</v>
      </c>
      <c r="J3310" s="64" t="n">
        <v>0</v>
      </c>
      <c r="K3310" s="62" t="s">
        <v>138</v>
      </c>
      <c r="L3310" s="68" t="b">
        <f aca="false">TRUE()</f>
        <v>1</v>
      </c>
    </row>
    <row r="3311" customFormat="false" ht="15" hidden="false" customHeight="false" outlineLevel="0" collapsed="false">
      <c r="A3311" s="62" t="n">
        <v>0</v>
      </c>
      <c r="B3311" s="21" t="s">
        <v>336</v>
      </c>
      <c r="C3311" s="62" t="s">
        <v>60</v>
      </c>
      <c r="D3311" s="62" t="s">
        <v>384</v>
      </c>
      <c r="E3311" s="62" t="s">
        <v>382</v>
      </c>
      <c r="F3311" s="62" t="s">
        <v>382</v>
      </c>
      <c r="G3311" s="63" t="s">
        <v>730</v>
      </c>
      <c r="H3311" s="64" t="n">
        <v>0</v>
      </c>
      <c r="I3311" s="62" t="s">
        <v>81</v>
      </c>
      <c r="J3311" s="64" t="n">
        <v>0</v>
      </c>
      <c r="K3311" s="62" t="s">
        <v>138</v>
      </c>
      <c r="L3311" s="68" t="b">
        <f aca="false">TRUE()</f>
        <v>1</v>
      </c>
    </row>
    <row r="3312" customFormat="false" ht="15" hidden="false" customHeight="false" outlineLevel="0" collapsed="false">
      <c r="A3312" s="62" t="n">
        <v>0</v>
      </c>
      <c r="B3312" s="21" t="s">
        <v>336</v>
      </c>
      <c r="C3312" s="62" t="s">
        <v>60</v>
      </c>
      <c r="D3312" s="62" t="s">
        <v>385</v>
      </c>
      <c r="E3312" s="62" t="s">
        <v>382</v>
      </c>
      <c r="F3312" s="62" t="s">
        <v>382</v>
      </c>
      <c r="G3312" s="63" t="s">
        <v>730</v>
      </c>
      <c r="H3312" s="64" t="n">
        <v>0</v>
      </c>
      <c r="I3312" s="62" t="s">
        <v>81</v>
      </c>
      <c r="J3312" s="64" t="n">
        <v>0</v>
      </c>
      <c r="K3312" s="62" t="s">
        <v>138</v>
      </c>
      <c r="L3312" s="68" t="b">
        <f aca="false">TRUE()</f>
        <v>1</v>
      </c>
    </row>
    <row r="3313" customFormat="false" ht="15" hidden="false" customHeight="false" outlineLevel="0" collapsed="false">
      <c r="A3313" s="62" t="n">
        <v>0</v>
      </c>
      <c r="B3313" s="21" t="s">
        <v>336</v>
      </c>
      <c r="C3313" s="62" t="s">
        <v>60</v>
      </c>
      <c r="D3313" s="62" t="s">
        <v>386</v>
      </c>
      <c r="E3313" s="62" t="s">
        <v>382</v>
      </c>
      <c r="F3313" s="62" t="s">
        <v>382</v>
      </c>
      <c r="G3313" s="63" t="s">
        <v>730</v>
      </c>
      <c r="H3313" s="64" t="n">
        <v>0</v>
      </c>
      <c r="I3313" s="62" t="s">
        <v>81</v>
      </c>
      <c r="J3313" s="64" t="n">
        <v>0</v>
      </c>
      <c r="K3313" s="62" t="s">
        <v>138</v>
      </c>
      <c r="L3313" s="68" t="b">
        <f aca="false">TRUE()</f>
        <v>1</v>
      </c>
    </row>
    <row r="3314" customFormat="false" ht="15" hidden="false" customHeight="false" outlineLevel="0" collapsed="false">
      <c r="A3314" s="62" t="n">
        <v>0</v>
      </c>
      <c r="B3314" s="21" t="s">
        <v>336</v>
      </c>
      <c r="C3314" s="62" t="s">
        <v>60</v>
      </c>
      <c r="D3314" s="62" t="s">
        <v>387</v>
      </c>
      <c r="E3314" s="62" t="s">
        <v>382</v>
      </c>
      <c r="F3314" s="62" t="s">
        <v>382</v>
      </c>
      <c r="G3314" s="63" t="s">
        <v>730</v>
      </c>
      <c r="H3314" s="64" t="n">
        <v>0</v>
      </c>
      <c r="I3314" s="62" t="s">
        <v>81</v>
      </c>
      <c r="J3314" s="64" t="n">
        <v>0</v>
      </c>
      <c r="K3314" s="62" t="s">
        <v>138</v>
      </c>
      <c r="L3314" s="68" t="b">
        <f aca="false">TRUE()</f>
        <v>1</v>
      </c>
    </row>
    <row r="3315" customFormat="false" ht="15" hidden="false" customHeight="false" outlineLevel="0" collapsed="false">
      <c r="A3315" s="62" t="n">
        <v>0</v>
      </c>
      <c r="B3315" s="21" t="s">
        <v>336</v>
      </c>
      <c r="C3315" s="62" t="s">
        <v>60</v>
      </c>
      <c r="D3315" s="62" t="s">
        <v>388</v>
      </c>
      <c r="E3315" s="62" t="s">
        <v>382</v>
      </c>
      <c r="F3315" s="62" t="s">
        <v>382</v>
      </c>
      <c r="G3315" s="63" t="s">
        <v>730</v>
      </c>
      <c r="H3315" s="64" t="n">
        <v>0</v>
      </c>
      <c r="I3315" s="62" t="s">
        <v>81</v>
      </c>
      <c r="J3315" s="64" t="n">
        <v>0</v>
      </c>
      <c r="K3315" s="62" t="s">
        <v>138</v>
      </c>
      <c r="L3315" s="68" t="b">
        <f aca="false">TRUE()</f>
        <v>1</v>
      </c>
    </row>
    <row r="3316" customFormat="false" ht="15" hidden="false" customHeight="false" outlineLevel="0" collapsed="false">
      <c r="A3316" s="62" t="n">
        <v>0</v>
      </c>
      <c r="B3316" s="21" t="s">
        <v>336</v>
      </c>
      <c r="C3316" s="62" t="s">
        <v>60</v>
      </c>
      <c r="D3316" s="62" t="s">
        <v>381</v>
      </c>
      <c r="E3316" s="62" t="s">
        <v>382</v>
      </c>
      <c r="F3316" s="62" t="s">
        <v>382</v>
      </c>
      <c r="G3316" s="63" t="s">
        <v>731</v>
      </c>
      <c r="H3316" s="64" t="n">
        <v>0</v>
      </c>
      <c r="I3316" s="62" t="s">
        <v>81</v>
      </c>
      <c r="J3316" s="64" t="n">
        <v>0</v>
      </c>
      <c r="K3316" s="62" t="s">
        <v>138</v>
      </c>
      <c r="L3316" s="68" t="b">
        <f aca="false">TRUE()</f>
        <v>1</v>
      </c>
    </row>
    <row r="3317" customFormat="false" ht="15" hidden="false" customHeight="false" outlineLevel="0" collapsed="false">
      <c r="A3317" s="62" t="n">
        <v>0</v>
      </c>
      <c r="B3317" s="21" t="s">
        <v>336</v>
      </c>
      <c r="C3317" s="62" t="s">
        <v>60</v>
      </c>
      <c r="D3317" s="62" t="s">
        <v>383</v>
      </c>
      <c r="E3317" s="62" t="s">
        <v>382</v>
      </c>
      <c r="F3317" s="62" t="s">
        <v>382</v>
      </c>
      <c r="G3317" s="63" t="s">
        <v>731</v>
      </c>
      <c r="H3317" s="64" t="n">
        <v>0</v>
      </c>
      <c r="I3317" s="62" t="s">
        <v>81</v>
      </c>
      <c r="J3317" s="64" t="n">
        <v>0</v>
      </c>
      <c r="K3317" s="62" t="s">
        <v>138</v>
      </c>
      <c r="L3317" s="68" t="b">
        <f aca="false">TRUE()</f>
        <v>1</v>
      </c>
    </row>
    <row r="3318" customFormat="false" ht="15" hidden="false" customHeight="false" outlineLevel="0" collapsed="false">
      <c r="A3318" s="62" t="n">
        <v>0</v>
      </c>
      <c r="B3318" s="21" t="s">
        <v>336</v>
      </c>
      <c r="C3318" s="62" t="s">
        <v>60</v>
      </c>
      <c r="D3318" s="62" t="s">
        <v>384</v>
      </c>
      <c r="E3318" s="62" t="s">
        <v>382</v>
      </c>
      <c r="F3318" s="62" t="s">
        <v>382</v>
      </c>
      <c r="G3318" s="63" t="s">
        <v>731</v>
      </c>
      <c r="H3318" s="64" t="n">
        <v>0</v>
      </c>
      <c r="I3318" s="62" t="s">
        <v>81</v>
      </c>
      <c r="J3318" s="64" t="n">
        <v>0</v>
      </c>
      <c r="K3318" s="62" t="s">
        <v>138</v>
      </c>
      <c r="L3318" s="68" t="b">
        <f aca="false">TRUE()</f>
        <v>1</v>
      </c>
    </row>
    <row r="3319" customFormat="false" ht="15" hidden="false" customHeight="false" outlineLevel="0" collapsed="false">
      <c r="A3319" s="62" t="n">
        <v>0</v>
      </c>
      <c r="B3319" s="21" t="s">
        <v>336</v>
      </c>
      <c r="C3319" s="62" t="s">
        <v>60</v>
      </c>
      <c r="D3319" s="62" t="s">
        <v>385</v>
      </c>
      <c r="E3319" s="62" t="s">
        <v>382</v>
      </c>
      <c r="F3319" s="62" t="s">
        <v>382</v>
      </c>
      <c r="G3319" s="63" t="s">
        <v>731</v>
      </c>
      <c r="H3319" s="64" t="n">
        <v>0</v>
      </c>
      <c r="I3319" s="62" t="s">
        <v>81</v>
      </c>
      <c r="J3319" s="64" t="n">
        <v>0</v>
      </c>
      <c r="K3319" s="62" t="s">
        <v>138</v>
      </c>
      <c r="L3319" s="68" t="b">
        <f aca="false">TRUE()</f>
        <v>1</v>
      </c>
    </row>
    <row r="3320" customFormat="false" ht="15" hidden="false" customHeight="false" outlineLevel="0" collapsed="false">
      <c r="A3320" s="62" t="n">
        <v>0</v>
      </c>
      <c r="B3320" s="21" t="s">
        <v>336</v>
      </c>
      <c r="C3320" s="62" t="s">
        <v>60</v>
      </c>
      <c r="D3320" s="62" t="s">
        <v>386</v>
      </c>
      <c r="E3320" s="62" t="s">
        <v>382</v>
      </c>
      <c r="F3320" s="62" t="s">
        <v>382</v>
      </c>
      <c r="G3320" s="63" t="s">
        <v>731</v>
      </c>
      <c r="H3320" s="64" t="n">
        <v>0</v>
      </c>
      <c r="I3320" s="62" t="s">
        <v>81</v>
      </c>
      <c r="J3320" s="64" t="n">
        <v>0</v>
      </c>
      <c r="K3320" s="62" t="s">
        <v>138</v>
      </c>
      <c r="L3320" s="68" t="b">
        <f aca="false">TRUE()</f>
        <v>1</v>
      </c>
    </row>
    <row r="3321" customFormat="false" ht="15" hidden="false" customHeight="false" outlineLevel="0" collapsed="false">
      <c r="A3321" s="62" t="n">
        <v>0</v>
      </c>
      <c r="B3321" s="21" t="s">
        <v>336</v>
      </c>
      <c r="C3321" s="62" t="s">
        <v>60</v>
      </c>
      <c r="D3321" s="62" t="s">
        <v>387</v>
      </c>
      <c r="E3321" s="62" t="s">
        <v>382</v>
      </c>
      <c r="F3321" s="62" t="s">
        <v>382</v>
      </c>
      <c r="G3321" s="63" t="s">
        <v>731</v>
      </c>
      <c r="H3321" s="64" t="n">
        <v>0</v>
      </c>
      <c r="I3321" s="62" t="s">
        <v>81</v>
      </c>
      <c r="J3321" s="64" t="n">
        <v>0</v>
      </c>
      <c r="K3321" s="62" t="s">
        <v>138</v>
      </c>
      <c r="L3321" s="68" t="b">
        <f aca="false">TRUE()</f>
        <v>1</v>
      </c>
    </row>
    <row r="3322" customFormat="false" ht="15" hidden="false" customHeight="false" outlineLevel="0" collapsed="false">
      <c r="A3322" s="62" t="n">
        <v>0</v>
      </c>
      <c r="B3322" s="21" t="s">
        <v>336</v>
      </c>
      <c r="C3322" s="62" t="s">
        <v>60</v>
      </c>
      <c r="D3322" s="62" t="s">
        <v>388</v>
      </c>
      <c r="E3322" s="62" t="s">
        <v>382</v>
      </c>
      <c r="F3322" s="62" t="s">
        <v>382</v>
      </c>
      <c r="G3322" s="63" t="s">
        <v>731</v>
      </c>
      <c r="H3322" s="64" t="n">
        <v>0</v>
      </c>
      <c r="I3322" s="62" t="s">
        <v>81</v>
      </c>
      <c r="J3322" s="64" t="n">
        <v>0</v>
      </c>
      <c r="K3322" s="62" t="s">
        <v>138</v>
      </c>
      <c r="L3322" s="68" t="b">
        <f aca="false">TRUE()</f>
        <v>1</v>
      </c>
    </row>
    <row r="3323" customFormat="false" ht="15" hidden="false" customHeight="false" outlineLevel="0" collapsed="false">
      <c r="A3323" s="62" t="n">
        <v>0</v>
      </c>
      <c r="B3323" s="21" t="s">
        <v>336</v>
      </c>
      <c r="C3323" s="62" t="s">
        <v>60</v>
      </c>
      <c r="D3323" s="62" t="s">
        <v>381</v>
      </c>
      <c r="E3323" s="62" t="s">
        <v>382</v>
      </c>
      <c r="F3323" s="62" t="s">
        <v>382</v>
      </c>
      <c r="G3323" s="63" t="s">
        <v>732</v>
      </c>
      <c r="H3323" s="64" t="n">
        <v>0</v>
      </c>
      <c r="I3323" s="62" t="s">
        <v>81</v>
      </c>
      <c r="J3323" s="64" t="n">
        <v>0</v>
      </c>
      <c r="K3323" s="62" t="s">
        <v>138</v>
      </c>
      <c r="L3323" s="68" t="b">
        <f aca="false">TRUE()</f>
        <v>1</v>
      </c>
    </row>
    <row r="3324" customFormat="false" ht="15" hidden="false" customHeight="false" outlineLevel="0" collapsed="false">
      <c r="A3324" s="62" t="n">
        <v>0</v>
      </c>
      <c r="B3324" s="21" t="s">
        <v>336</v>
      </c>
      <c r="C3324" s="62" t="s">
        <v>60</v>
      </c>
      <c r="D3324" s="62" t="s">
        <v>383</v>
      </c>
      <c r="E3324" s="62" t="s">
        <v>382</v>
      </c>
      <c r="F3324" s="62" t="s">
        <v>382</v>
      </c>
      <c r="G3324" s="63" t="s">
        <v>732</v>
      </c>
      <c r="H3324" s="64" t="n">
        <v>0</v>
      </c>
      <c r="I3324" s="62" t="s">
        <v>81</v>
      </c>
      <c r="J3324" s="64" t="n">
        <v>0</v>
      </c>
      <c r="K3324" s="62" t="s">
        <v>138</v>
      </c>
      <c r="L3324" s="68" t="b">
        <f aca="false">TRUE()</f>
        <v>1</v>
      </c>
    </row>
    <row r="3325" customFormat="false" ht="15" hidden="false" customHeight="false" outlineLevel="0" collapsed="false">
      <c r="A3325" s="62" t="n">
        <v>0</v>
      </c>
      <c r="B3325" s="21" t="s">
        <v>336</v>
      </c>
      <c r="C3325" s="62" t="s">
        <v>60</v>
      </c>
      <c r="D3325" s="62" t="s">
        <v>384</v>
      </c>
      <c r="E3325" s="62" t="s">
        <v>382</v>
      </c>
      <c r="F3325" s="62" t="s">
        <v>382</v>
      </c>
      <c r="G3325" s="63" t="s">
        <v>732</v>
      </c>
      <c r="H3325" s="64" t="n">
        <v>0</v>
      </c>
      <c r="I3325" s="62" t="s">
        <v>81</v>
      </c>
      <c r="J3325" s="64" t="n">
        <v>0</v>
      </c>
      <c r="K3325" s="62" t="s">
        <v>138</v>
      </c>
      <c r="L3325" s="68" t="b">
        <f aca="false">TRUE()</f>
        <v>1</v>
      </c>
    </row>
    <row r="3326" customFormat="false" ht="15" hidden="false" customHeight="false" outlineLevel="0" collapsed="false">
      <c r="A3326" s="62" t="n">
        <v>0</v>
      </c>
      <c r="B3326" s="21" t="s">
        <v>336</v>
      </c>
      <c r="C3326" s="62" t="s">
        <v>60</v>
      </c>
      <c r="D3326" s="62" t="s">
        <v>385</v>
      </c>
      <c r="E3326" s="62" t="s">
        <v>382</v>
      </c>
      <c r="F3326" s="62" t="s">
        <v>382</v>
      </c>
      <c r="G3326" s="63" t="s">
        <v>732</v>
      </c>
      <c r="H3326" s="64" t="n">
        <v>0</v>
      </c>
      <c r="I3326" s="62" t="s">
        <v>81</v>
      </c>
      <c r="J3326" s="64" t="n">
        <v>0</v>
      </c>
      <c r="K3326" s="62" t="s">
        <v>138</v>
      </c>
      <c r="L3326" s="68" t="b">
        <f aca="false">TRUE()</f>
        <v>1</v>
      </c>
    </row>
    <row r="3327" customFormat="false" ht="15" hidden="false" customHeight="false" outlineLevel="0" collapsed="false">
      <c r="A3327" s="62" t="n">
        <v>0</v>
      </c>
      <c r="B3327" s="21" t="s">
        <v>336</v>
      </c>
      <c r="C3327" s="62" t="s">
        <v>60</v>
      </c>
      <c r="D3327" s="62" t="s">
        <v>386</v>
      </c>
      <c r="E3327" s="62" t="s">
        <v>382</v>
      </c>
      <c r="F3327" s="62" t="s">
        <v>382</v>
      </c>
      <c r="G3327" s="63" t="s">
        <v>732</v>
      </c>
      <c r="H3327" s="64" t="n">
        <v>0</v>
      </c>
      <c r="I3327" s="62" t="s">
        <v>81</v>
      </c>
      <c r="J3327" s="64" t="n">
        <v>0</v>
      </c>
      <c r="K3327" s="62" t="s">
        <v>138</v>
      </c>
      <c r="L3327" s="68" t="b">
        <f aca="false">TRUE()</f>
        <v>1</v>
      </c>
    </row>
    <row r="3328" customFormat="false" ht="15" hidden="false" customHeight="false" outlineLevel="0" collapsed="false">
      <c r="A3328" s="62" t="n">
        <v>0</v>
      </c>
      <c r="B3328" s="21" t="s">
        <v>336</v>
      </c>
      <c r="C3328" s="62" t="s">
        <v>60</v>
      </c>
      <c r="D3328" s="62" t="s">
        <v>387</v>
      </c>
      <c r="E3328" s="62" t="s">
        <v>382</v>
      </c>
      <c r="F3328" s="62" t="s">
        <v>382</v>
      </c>
      <c r="G3328" s="63" t="s">
        <v>732</v>
      </c>
      <c r="H3328" s="64" t="n">
        <v>0</v>
      </c>
      <c r="I3328" s="62" t="s">
        <v>81</v>
      </c>
      <c r="J3328" s="64" t="n">
        <v>0</v>
      </c>
      <c r="K3328" s="62" t="s">
        <v>138</v>
      </c>
      <c r="L3328" s="68" t="b">
        <f aca="false">TRUE()</f>
        <v>1</v>
      </c>
    </row>
    <row r="3329" customFormat="false" ht="15" hidden="false" customHeight="false" outlineLevel="0" collapsed="false">
      <c r="A3329" s="62" t="n">
        <v>0</v>
      </c>
      <c r="B3329" s="21" t="s">
        <v>336</v>
      </c>
      <c r="C3329" s="62" t="s">
        <v>60</v>
      </c>
      <c r="D3329" s="62" t="s">
        <v>388</v>
      </c>
      <c r="E3329" s="62" t="s">
        <v>382</v>
      </c>
      <c r="F3329" s="62" t="s">
        <v>382</v>
      </c>
      <c r="G3329" s="63" t="s">
        <v>732</v>
      </c>
      <c r="H3329" s="64" t="n">
        <v>0</v>
      </c>
      <c r="I3329" s="62" t="s">
        <v>81</v>
      </c>
      <c r="J3329" s="64" t="n">
        <v>0</v>
      </c>
      <c r="K3329" s="62" t="s">
        <v>138</v>
      </c>
      <c r="L3329" s="68" t="b">
        <f aca="false">TRUE()</f>
        <v>1</v>
      </c>
    </row>
    <row r="3330" customFormat="false" ht="15" hidden="false" customHeight="false" outlineLevel="0" collapsed="false">
      <c r="A3330" s="62" t="n">
        <v>0</v>
      </c>
      <c r="B3330" s="21" t="s">
        <v>336</v>
      </c>
      <c r="C3330" s="62" t="s">
        <v>60</v>
      </c>
      <c r="D3330" s="62" t="s">
        <v>381</v>
      </c>
      <c r="E3330" s="62" t="s">
        <v>382</v>
      </c>
      <c r="F3330" s="62" t="s">
        <v>382</v>
      </c>
      <c r="G3330" s="63" t="s">
        <v>733</v>
      </c>
      <c r="H3330" s="64" t="n">
        <v>0</v>
      </c>
      <c r="I3330" s="62" t="s">
        <v>81</v>
      </c>
      <c r="J3330" s="64" t="n">
        <v>0</v>
      </c>
      <c r="K3330" s="62" t="s">
        <v>138</v>
      </c>
      <c r="L3330" s="68" t="b">
        <f aca="false">TRUE()</f>
        <v>1</v>
      </c>
    </row>
    <row r="3331" customFormat="false" ht="15" hidden="false" customHeight="false" outlineLevel="0" collapsed="false">
      <c r="A3331" s="62" t="n">
        <v>0</v>
      </c>
      <c r="B3331" s="21" t="s">
        <v>336</v>
      </c>
      <c r="C3331" s="62" t="s">
        <v>60</v>
      </c>
      <c r="D3331" s="62" t="s">
        <v>383</v>
      </c>
      <c r="E3331" s="62" t="s">
        <v>382</v>
      </c>
      <c r="F3331" s="62" t="s">
        <v>382</v>
      </c>
      <c r="G3331" s="63" t="s">
        <v>733</v>
      </c>
      <c r="H3331" s="64" t="n">
        <v>0</v>
      </c>
      <c r="I3331" s="62" t="s">
        <v>81</v>
      </c>
      <c r="J3331" s="64" t="n">
        <v>0</v>
      </c>
      <c r="K3331" s="62" t="s">
        <v>138</v>
      </c>
      <c r="L3331" s="68" t="b">
        <f aca="false">TRUE()</f>
        <v>1</v>
      </c>
    </row>
    <row r="3332" customFormat="false" ht="15" hidden="false" customHeight="false" outlineLevel="0" collapsed="false">
      <c r="A3332" s="62" t="n">
        <v>0</v>
      </c>
      <c r="B3332" s="21" t="s">
        <v>336</v>
      </c>
      <c r="C3332" s="62" t="s">
        <v>60</v>
      </c>
      <c r="D3332" s="62" t="s">
        <v>384</v>
      </c>
      <c r="E3332" s="62" t="s">
        <v>382</v>
      </c>
      <c r="F3332" s="62" t="s">
        <v>382</v>
      </c>
      <c r="G3332" s="63" t="s">
        <v>733</v>
      </c>
      <c r="H3332" s="64" t="n">
        <v>0</v>
      </c>
      <c r="I3332" s="62" t="s">
        <v>81</v>
      </c>
      <c r="J3332" s="64" t="n">
        <v>0</v>
      </c>
      <c r="K3332" s="62" t="s">
        <v>138</v>
      </c>
      <c r="L3332" s="68" t="b">
        <f aca="false">TRUE()</f>
        <v>1</v>
      </c>
    </row>
    <row r="3333" customFormat="false" ht="15" hidden="false" customHeight="false" outlineLevel="0" collapsed="false">
      <c r="A3333" s="62" t="n">
        <v>0</v>
      </c>
      <c r="B3333" s="21" t="s">
        <v>336</v>
      </c>
      <c r="C3333" s="62" t="s">
        <v>60</v>
      </c>
      <c r="D3333" s="62" t="s">
        <v>385</v>
      </c>
      <c r="E3333" s="62" t="s">
        <v>382</v>
      </c>
      <c r="F3333" s="62" t="s">
        <v>382</v>
      </c>
      <c r="G3333" s="63" t="s">
        <v>733</v>
      </c>
      <c r="H3333" s="64" t="n">
        <v>0</v>
      </c>
      <c r="I3333" s="62" t="s">
        <v>81</v>
      </c>
      <c r="J3333" s="64" t="n">
        <v>0</v>
      </c>
      <c r="K3333" s="62" t="s">
        <v>138</v>
      </c>
      <c r="L3333" s="68" t="b">
        <f aca="false">TRUE()</f>
        <v>1</v>
      </c>
    </row>
    <row r="3334" customFormat="false" ht="15" hidden="false" customHeight="false" outlineLevel="0" collapsed="false">
      <c r="A3334" s="62" t="n">
        <v>0</v>
      </c>
      <c r="B3334" s="21" t="s">
        <v>336</v>
      </c>
      <c r="C3334" s="62" t="s">
        <v>60</v>
      </c>
      <c r="D3334" s="62" t="s">
        <v>386</v>
      </c>
      <c r="E3334" s="62" t="s">
        <v>382</v>
      </c>
      <c r="F3334" s="62" t="s">
        <v>382</v>
      </c>
      <c r="G3334" s="63" t="s">
        <v>733</v>
      </c>
      <c r="H3334" s="64" t="n">
        <v>0</v>
      </c>
      <c r="I3334" s="62" t="s">
        <v>81</v>
      </c>
      <c r="J3334" s="64" t="n">
        <v>0</v>
      </c>
      <c r="K3334" s="62" t="s">
        <v>138</v>
      </c>
      <c r="L3334" s="68" t="b">
        <f aca="false">TRUE()</f>
        <v>1</v>
      </c>
    </row>
    <row r="3335" customFormat="false" ht="15" hidden="false" customHeight="false" outlineLevel="0" collapsed="false">
      <c r="A3335" s="62" t="n">
        <v>0</v>
      </c>
      <c r="B3335" s="21" t="s">
        <v>336</v>
      </c>
      <c r="C3335" s="62" t="s">
        <v>60</v>
      </c>
      <c r="D3335" s="62" t="s">
        <v>387</v>
      </c>
      <c r="E3335" s="62" t="s">
        <v>382</v>
      </c>
      <c r="F3335" s="62" t="s">
        <v>382</v>
      </c>
      <c r="G3335" s="63" t="s">
        <v>733</v>
      </c>
      <c r="H3335" s="64" t="n">
        <v>0</v>
      </c>
      <c r="I3335" s="62" t="s">
        <v>81</v>
      </c>
      <c r="J3335" s="64" t="n">
        <v>0</v>
      </c>
      <c r="K3335" s="62" t="s">
        <v>138</v>
      </c>
      <c r="L3335" s="68" t="b">
        <f aca="false">TRUE()</f>
        <v>1</v>
      </c>
    </row>
    <row r="3336" customFormat="false" ht="15" hidden="false" customHeight="false" outlineLevel="0" collapsed="false">
      <c r="A3336" s="62" t="n">
        <v>0</v>
      </c>
      <c r="B3336" s="21" t="s">
        <v>336</v>
      </c>
      <c r="C3336" s="62" t="s">
        <v>60</v>
      </c>
      <c r="D3336" s="62" t="s">
        <v>388</v>
      </c>
      <c r="E3336" s="62" t="s">
        <v>382</v>
      </c>
      <c r="F3336" s="62" t="s">
        <v>382</v>
      </c>
      <c r="G3336" s="63" t="s">
        <v>733</v>
      </c>
      <c r="H3336" s="64" t="n">
        <v>0</v>
      </c>
      <c r="I3336" s="62" t="s">
        <v>81</v>
      </c>
      <c r="J3336" s="64" t="n">
        <v>0</v>
      </c>
      <c r="K3336" s="62" t="s">
        <v>138</v>
      </c>
      <c r="L3336" s="68" t="b">
        <f aca="false">TRUE()</f>
        <v>1</v>
      </c>
    </row>
    <row r="3337" customFormat="false" ht="15" hidden="false" customHeight="false" outlineLevel="0" collapsed="false">
      <c r="A3337" s="62" t="n">
        <v>0</v>
      </c>
      <c r="B3337" s="21" t="s">
        <v>336</v>
      </c>
      <c r="C3337" s="62" t="s">
        <v>60</v>
      </c>
      <c r="D3337" s="62" t="s">
        <v>381</v>
      </c>
      <c r="E3337" s="62" t="s">
        <v>382</v>
      </c>
      <c r="F3337" s="62" t="s">
        <v>382</v>
      </c>
      <c r="G3337" s="63" t="s">
        <v>734</v>
      </c>
      <c r="H3337" s="64" t="n">
        <v>18500000</v>
      </c>
      <c r="I3337" s="62" t="s">
        <v>81</v>
      </c>
      <c r="J3337" s="64" t="n">
        <v>18500</v>
      </c>
      <c r="K3337" s="62" t="s">
        <v>138</v>
      </c>
      <c r="L3337" s="68" t="b">
        <f aca="false">TRUE()</f>
        <v>1</v>
      </c>
    </row>
    <row r="3338" customFormat="false" ht="15" hidden="false" customHeight="false" outlineLevel="0" collapsed="false">
      <c r="A3338" s="62" t="n">
        <v>0</v>
      </c>
      <c r="B3338" s="21" t="s">
        <v>336</v>
      </c>
      <c r="C3338" s="62" t="s">
        <v>60</v>
      </c>
      <c r="D3338" s="62" t="s">
        <v>383</v>
      </c>
      <c r="E3338" s="62" t="s">
        <v>382</v>
      </c>
      <c r="F3338" s="62" t="s">
        <v>382</v>
      </c>
      <c r="G3338" s="63" t="s">
        <v>734</v>
      </c>
      <c r="H3338" s="64" t="n">
        <v>18500000</v>
      </c>
      <c r="I3338" s="62" t="s">
        <v>81</v>
      </c>
      <c r="J3338" s="64" t="n">
        <v>18500</v>
      </c>
      <c r="K3338" s="62" t="s">
        <v>138</v>
      </c>
      <c r="L3338" s="68" t="b">
        <f aca="false">TRUE()</f>
        <v>1</v>
      </c>
    </row>
    <row r="3339" customFormat="false" ht="15" hidden="false" customHeight="false" outlineLevel="0" collapsed="false">
      <c r="A3339" s="62" t="n">
        <v>0</v>
      </c>
      <c r="B3339" s="21" t="s">
        <v>336</v>
      </c>
      <c r="C3339" s="62" t="s">
        <v>60</v>
      </c>
      <c r="D3339" s="62" t="s">
        <v>384</v>
      </c>
      <c r="E3339" s="62" t="s">
        <v>382</v>
      </c>
      <c r="F3339" s="62" t="s">
        <v>382</v>
      </c>
      <c r="G3339" s="63" t="s">
        <v>734</v>
      </c>
      <c r="H3339" s="64" t="n">
        <v>18500000</v>
      </c>
      <c r="I3339" s="62" t="s">
        <v>81</v>
      </c>
      <c r="J3339" s="64" t="n">
        <v>18500</v>
      </c>
      <c r="K3339" s="62" t="s">
        <v>138</v>
      </c>
      <c r="L3339" s="68" t="b">
        <f aca="false">TRUE()</f>
        <v>1</v>
      </c>
    </row>
    <row r="3340" customFormat="false" ht="15" hidden="false" customHeight="false" outlineLevel="0" collapsed="false">
      <c r="A3340" s="62" t="n">
        <v>0</v>
      </c>
      <c r="B3340" s="21" t="s">
        <v>336</v>
      </c>
      <c r="C3340" s="62" t="s">
        <v>60</v>
      </c>
      <c r="D3340" s="62" t="s">
        <v>385</v>
      </c>
      <c r="E3340" s="62" t="s">
        <v>382</v>
      </c>
      <c r="F3340" s="62" t="s">
        <v>382</v>
      </c>
      <c r="G3340" s="63" t="s">
        <v>734</v>
      </c>
      <c r="H3340" s="64" t="n">
        <v>18500000</v>
      </c>
      <c r="I3340" s="62" t="s">
        <v>81</v>
      </c>
      <c r="J3340" s="64" t="n">
        <v>18500</v>
      </c>
      <c r="K3340" s="62" t="s">
        <v>138</v>
      </c>
      <c r="L3340" s="68" t="b">
        <f aca="false">TRUE()</f>
        <v>1</v>
      </c>
    </row>
    <row r="3341" customFormat="false" ht="15" hidden="false" customHeight="false" outlineLevel="0" collapsed="false">
      <c r="A3341" s="62" t="n">
        <v>0</v>
      </c>
      <c r="B3341" s="21" t="s">
        <v>336</v>
      </c>
      <c r="C3341" s="62" t="s">
        <v>60</v>
      </c>
      <c r="D3341" s="62" t="s">
        <v>386</v>
      </c>
      <c r="E3341" s="62" t="s">
        <v>382</v>
      </c>
      <c r="F3341" s="62" t="s">
        <v>382</v>
      </c>
      <c r="G3341" s="63" t="s">
        <v>734</v>
      </c>
      <c r="H3341" s="64" t="n">
        <v>18500000</v>
      </c>
      <c r="I3341" s="62" t="s">
        <v>81</v>
      </c>
      <c r="J3341" s="64" t="n">
        <v>18500</v>
      </c>
      <c r="K3341" s="62" t="s">
        <v>138</v>
      </c>
      <c r="L3341" s="68" t="b">
        <f aca="false">TRUE()</f>
        <v>1</v>
      </c>
    </row>
    <row r="3342" customFormat="false" ht="15" hidden="false" customHeight="false" outlineLevel="0" collapsed="false">
      <c r="A3342" s="62" t="n">
        <v>0</v>
      </c>
      <c r="B3342" s="21" t="s">
        <v>336</v>
      </c>
      <c r="C3342" s="62" t="s">
        <v>60</v>
      </c>
      <c r="D3342" s="62" t="s">
        <v>387</v>
      </c>
      <c r="E3342" s="62" t="s">
        <v>382</v>
      </c>
      <c r="F3342" s="62" t="s">
        <v>382</v>
      </c>
      <c r="G3342" s="63" t="s">
        <v>734</v>
      </c>
      <c r="H3342" s="64" t="n">
        <v>18500000</v>
      </c>
      <c r="I3342" s="62" t="s">
        <v>81</v>
      </c>
      <c r="J3342" s="64" t="n">
        <v>18500</v>
      </c>
      <c r="K3342" s="62" t="s">
        <v>138</v>
      </c>
      <c r="L3342" s="68" t="b">
        <f aca="false">TRUE()</f>
        <v>1</v>
      </c>
    </row>
    <row r="3343" customFormat="false" ht="15" hidden="false" customHeight="false" outlineLevel="0" collapsed="false">
      <c r="A3343" s="62" t="n">
        <v>0</v>
      </c>
      <c r="B3343" s="21" t="s">
        <v>336</v>
      </c>
      <c r="C3343" s="62" t="s">
        <v>60</v>
      </c>
      <c r="D3343" s="62" t="s">
        <v>388</v>
      </c>
      <c r="E3343" s="62" t="s">
        <v>382</v>
      </c>
      <c r="F3343" s="62" t="s">
        <v>382</v>
      </c>
      <c r="G3343" s="63" t="s">
        <v>734</v>
      </c>
      <c r="H3343" s="64" t="n">
        <v>18500000</v>
      </c>
      <c r="I3343" s="62" t="s">
        <v>81</v>
      </c>
      <c r="J3343" s="64" t="n">
        <v>18500</v>
      </c>
      <c r="K3343" s="62" t="s">
        <v>138</v>
      </c>
      <c r="L3343" s="68" t="b">
        <f aca="false">TRUE()</f>
        <v>1</v>
      </c>
    </row>
    <row r="3344" customFormat="false" ht="15" hidden="false" customHeight="false" outlineLevel="0" collapsed="false">
      <c r="A3344" s="62" t="n">
        <v>0</v>
      </c>
      <c r="B3344" s="21" t="s">
        <v>336</v>
      </c>
      <c r="C3344" s="62" t="s">
        <v>60</v>
      </c>
      <c r="D3344" s="62" t="s">
        <v>381</v>
      </c>
      <c r="E3344" s="62" t="s">
        <v>382</v>
      </c>
      <c r="F3344" s="62" t="s">
        <v>382</v>
      </c>
      <c r="G3344" s="63" t="s">
        <v>735</v>
      </c>
      <c r="H3344" s="64" t="n">
        <v>0</v>
      </c>
      <c r="I3344" s="62" t="s">
        <v>81</v>
      </c>
      <c r="J3344" s="64" t="n">
        <v>0</v>
      </c>
      <c r="K3344" s="62" t="s">
        <v>138</v>
      </c>
      <c r="L3344" s="68" t="b">
        <f aca="false">TRUE()</f>
        <v>1</v>
      </c>
    </row>
    <row r="3345" customFormat="false" ht="15" hidden="false" customHeight="false" outlineLevel="0" collapsed="false">
      <c r="A3345" s="62" t="n">
        <v>0</v>
      </c>
      <c r="B3345" s="21" t="s">
        <v>336</v>
      </c>
      <c r="C3345" s="62" t="s">
        <v>60</v>
      </c>
      <c r="D3345" s="62" t="s">
        <v>383</v>
      </c>
      <c r="E3345" s="62" t="s">
        <v>382</v>
      </c>
      <c r="F3345" s="62" t="s">
        <v>382</v>
      </c>
      <c r="G3345" s="63" t="s">
        <v>735</v>
      </c>
      <c r="H3345" s="64" t="n">
        <v>0</v>
      </c>
      <c r="I3345" s="62" t="s">
        <v>81</v>
      </c>
      <c r="J3345" s="64" t="n">
        <v>0</v>
      </c>
      <c r="K3345" s="62" t="s">
        <v>138</v>
      </c>
      <c r="L3345" s="68" t="b">
        <f aca="false">TRUE()</f>
        <v>1</v>
      </c>
    </row>
    <row r="3346" customFormat="false" ht="15" hidden="false" customHeight="false" outlineLevel="0" collapsed="false">
      <c r="A3346" s="62" t="n">
        <v>0</v>
      </c>
      <c r="B3346" s="21" t="s">
        <v>336</v>
      </c>
      <c r="C3346" s="62" t="s">
        <v>60</v>
      </c>
      <c r="D3346" s="62" t="s">
        <v>384</v>
      </c>
      <c r="E3346" s="62" t="s">
        <v>382</v>
      </c>
      <c r="F3346" s="62" t="s">
        <v>382</v>
      </c>
      <c r="G3346" s="63" t="s">
        <v>735</v>
      </c>
      <c r="H3346" s="64" t="n">
        <v>0</v>
      </c>
      <c r="I3346" s="62" t="s">
        <v>81</v>
      </c>
      <c r="J3346" s="64" t="n">
        <v>0</v>
      </c>
      <c r="K3346" s="62" t="s">
        <v>138</v>
      </c>
      <c r="L3346" s="68" t="b">
        <f aca="false">TRUE()</f>
        <v>1</v>
      </c>
    </row>
    <row r="3347" customFormat="false" ht="15" hidden="false" customHeight="false" outlineLevel="0" collapsed="false">
      <c r="A3347" s="62" t="n">
        <v>0</v>
      </c>
      <c r="B3347" s="21" t="s">
        <v>336</v>
      </c>
      <c r="C3347" s="62" t="s">
        <v>60</v>
      </c>
      <c r="D3347" s="62" t="s">
        <v>385</v>
      </c>
      <c r="E3347" s="62" t="s">
        <v>382</v>
      </c>
      <c r="F3347" s="62" t="s">
        <v>382</v>
      </c>
      <c r="G3347" s="63" t="s">
        <v>735</v>
      </c>
      <c r="H3347" s="64" t="n">
        <v>0</v>
      </c>
      <c r="I3347" s="62" t="s">
        <v>81</v>
      </c>
      <c r="J3347" s="64" t="n">
        <v>0</v>
      </c>
      <c r="K3347" s="62" t="s">
        <v>138</v>
      </c>
      <c r="L3347" s="68" t="b">
        <f aca="false">TRUE()</f>
        <v>1</v>
      </c>
    </row>
    <row r="3348" customFormat="false" ht="15" hidden="false" customHeight="false" outlineLevel="0" collapsed="false">
      <c r="A3348" s="62" t="n">
        <v>0</v>
      </c>
      <c r="B3348" s="21" t="s">
        <v>336</v>
      </c>
      <c r="C3348" s="62" t="s">
        <v>60</v>
      </c>
      <c r="D3348" s="62" t="s">
        <v>386</v>
      </c>
      <c r="E3348" s="62" t="s">
        <v>382</v>
      </c>
      <c r="F3348" s="62" t="s">
        <v>382</v>
      </c>
      <c r="G3348" s="63" t="s">
        <v>735</v>
      </c>
      <c r="H3348" s="64" t="n">
        <v>0</v>
      </c>
      <c r="I3348" s="62" t="s">
        <v>81</v>
      </c>
      <c r="J3348" s="64" t="n">
        <v>0</v>
      </c>
      <c r="K3348" s="62" t="s">
        <v>138</v>
      </c>
      <c r="L3348" s="68" t="b">
        <f aca="false">TRUE()</f>
        <v>1</v>
      </c>
    </row>
    <row r="3349" customFormat="false" ht="15" hidden="false" customHeight="false" outlineLevel="0" collapsed="false">
      <c r="A3349" s="62" t="n">
        <v>0</v>
      </c>
      <c r="B3349" s="21" t="s">
        <v>336</v>
      </c>
      <c r="C3349" s="62" t="s">
        <v>60</v>
      </c>
      <c r="D3349" s="62" t="s">
        <v>387</v>
      </c>
      <c r="E3349" s="62" t="s">
        <v>382</v>
      </c>
      <c r="F3349" s="62" t="s">
        <v>382</v>
      </c>
      <c r="G3349" s="63" t="s">
        <v>735</v>
      </c>
      <c r="H3349" s="64" t="n">
        <v>0</v>
      </c>
      <c r="I3349" s="62" t="s">
        <v>81</v>
      </c>
      <c r="J3349" s="64" t="n">
        <v>0</v>
      </c>
      <c r="K3349" s="62" t="s">
        <v>138</v>
      </c>
      <c r="L3349" s="68" t="b">
        <f aca="false">TRUE()</f>
        <v>1</v>
      </c>
    </row>
    <row r="3350" customFormat="false" ht="15" hidden="false" customHeight="false" outlineLevel="0" collapsed="false">
      <c r="A3350" s="62" t="n">
        <v>0</v>
      </c>
      <c r="B3350" s="21" t="s">
        <v>336</v>
      </c>
      <c r="C3350" s="62" t="s">
        <v>60</v>
      </c>
      <c r="D3350" s="62" t="s">
        <v>388</v>
      </c>
      <c r="E3350" s="62" t="s">
        <v>382</v>
      </c>
      <c r="F3350" s="62" t="s">
        <v>382</v>
      </c>
      <c r="G3350" s="63" t="s">
        <v>735</v>
      </c>
      <c r="H3350" s="64" t="n">
        <v>0</v>
      </c>
      <c r="I3350" s="62" t="s">
        <v>81</v>
      </c>
      <c r="J3350" s="64" t="n">
        <v>0</v>
      </c>
      <c r="K3350" s="62" t="s">
        <v>138</v>
      </c>
      <c r="L3350" s="68" t="b">
        <f aca="false">TRUE()</f>
        <v>1</v>
      </c>
    </row>
    <row r="3351" customFormat="false" ht="15" hidden="false" customHeight="false" outlineLevel="0" collapsed="false">
      <c r="A3351" s="62" t="n">
        <v>0</v>
      </c>
      <c r="B3351" s="21" t="s">
        <v>336</v>
      </c>
      <c r="C3351" s="62" t="s">
        <v>60</v>
      </c>
      <c r="D3351" s="62" t="s">
        <v>381</v>
      </c>
      <c r="E3351" s="62" t="s">
        <v>382</v>
      </c>
      <c r="F3351" s="62" t="s">
        <v>382</v>
      </c>
      <c r="G3351" s="63" t="s">
        <v>736</v>
      </c>
      <c r="H3351" s="64" t="n">
        <v>0</v>
      </c>
      <c r="I3351" s="62" t="s">
        <v>81</v>
      </c>
      <c r="J3351" s="64" t="n">
        <v>0</v>
      </c>
      <c r="K3351" s="62" t="s">
        <v>138</v>
      </c>
      <c r="L3351" s="68" t="b">
        <f aca="false">TRUE()</f>
        <v>1</v>
      </c>
    </row>
    <row r="3352" customFormat="false" ht="15" hidden="false" customHeight="false" outlineLevel="0" collapsed="false">
      <c r="A3352" s="62" t="n">
        <v>0</v>
      </c>
      <c r="B3352" s="21" t="s">
        <v>336</v>
      </c>
      <c r="C3352" s="62" t="s">
        <v>60</v>
      </c>
      <c r="D3352" s="62" t="s">
        <v>383</v>
      </c>
      <c r="E3352" s="62" t="s">
        <v>382</v>
      </c>
      <c r="F3352" s="62" t="s">
        <v>382</v>
      </c>
      <c r="G3352" s="63" t="s">
        <v>736</v>
      </c>
      <c r="H3352" s="64" t="n">
        <v>0</v>
      </c>
      <c r="I3352" s="62" t="s">
        <v>81</v>
      </c>
      <c r="J3352" s="64" t="n">
        <v>0</v>
      </c>
      <c r="K3352" s="62" t="s">
        <v>138</v>
      </c>
      <c r="L3352" s="68" t="b">
        <f aca="false">TRUE()</f>
        <v>1</v>
      </c>
    </row>
    <row r="3353" customFormat="false" ht="15" hidden="false" customHeight="false" outlineLevel="0" collapsed="false">
      <c r="A3353" s="62" t="n">
        <v>0</v>
      </c>
      <c r="B3353" s="21" t="s">
        <v>336</v>
      </c>
      <c r="C3353" s="62" t="s">
        <v>60</v>
      </c>
      <c r="D3353" s="62" t="s">
        <v>384</v>
      </c>
      <c r="E3353" s="62" t="s">
        <v>382</v>
      </c>
      <c r="F3353" s="62" t="s">
        <v>382</v>
      </c>
      <c r="G3353" s="63" t="s">
        <v>736</v>
      </c>
      <c r="H3353" s="64" t="n">
        <v>0</v>
      </c>
      <c r="I3353" s="62" t="s">
        <v>81</v>
      </c>
      <c r="J3353" s="64" t="n">
        <v>0</v>
      </c>
      <c r="K3353" s="62" t="s">
        <v>138</v>
      </c>
      <c r="L3353" s="68" t="b">
        <f aca="false">TRUE()</f>
        <v>1</v>
      </c>
    </row>
    <row r="3354" customFormat="false" ht="15" hidden="false" customHeight="false" outlineLevel="0" collapsed="false">
      <c r="A3354" s="62" t="n">
        <v>0</v>
      </c>
      <c r="B3354" s="21" t="s">
        <v>336</v>
      </c>
      <c r="C3354" s="62" t="s">
        <v>60</v>
      </c>
      <c r="D3354" s="62" t="s">
        <v>385</v>
      </c>
      <c r="E3354" s="62" t="s">
        <v>382</v>
      </c>
      <c r="F3354" s="62" t="s">
        <v>382</v>
      </c>
      <c r="G3354" s="63" t="s">
        <v>736</v>
      </c>
      <c r="H3354" s="64" t="n">
        <v>0</v>
      </c>
      <c r="I3354" s="62" t="s">
        <v>81</v>
      </c>
      <c r="J3354" s="64" t="n">
        <v>0</v>
      </c>
      <c r="K3354" s="62" t="s">
        <v>138</v>
      </c>
      <c r="L3354" s="68" t="b">
        <f aca="false">TRUE()</f>
        <v>1</v>
      </c>
    </row>
    <row r="3355" customFormat="false" ht="15" hidden="false" customHeight="false" outlineLevel="0" collapsed="false">
      <c r="A3355" s="62" t="n">
        <v>0</v>
      </c>
      <c r="B3355" s="21" t="s">
        <v>336</v>
      </c>
      <c r="C3355" s="62" t="s">
        <v>60</v>
      </c>
      <c r="D3355" s="62" t="s">
        <v>386</v>
      </c>
      <c r="E3355" s="62" t="s">
        <v>382</v>
      </c>
      <c r="F3355" s="62" t="s">
        <v>382</v>
      </c>
      <c r="G3355" s="63" t="s">
        <v>736</v>
      </c>
      <c r="H3355" s="64" t="n">
        <v>0</v>
      </c>
      <c r="I3355" s="62" t="s">
        <v>81</v>
      </c>
      <c r="J3355" s="64" t="n">
        <v>0</v>
      </c>
      <c r="K3355" s="62" t="s">
        <v>138</v>
      </c>
      <c r="L3355" s="68" t="b">
        <f aca="false">TRUE()</f>
        <v>1</v>
      </c>
    </row>
    <row r="3356" customFormat="false" ht="15" hidden="false" customHeight="false" outlineLevel="0" collapsed="false">
      <c r="A3356" s="62" t="n">
        <v>0</v>
      </c>
      <c r="B3356" s="21" t="s">
        <v>336</v>
      </c>
      <c r="C3356" s="62" t="s">
        <v>60</v>
      </c>
      <c r="D3356" s="62" t="s">
        <v>387</v>
      </c>
      <c r="E3356" s="62" t="s">
        <v>382</v>
      </c>
      <c r="F3356" s="62" t="s">
        <v>382</v>
      </c>
      <c r="G3356" s="63" t="s">
        <v>736</v>
      </c>
      <c r="H3356" s="64" t="n">
        <v>0</v>
      </c>
      <c r="I3356" s="62" t="s">
        <v>81</v>
      </c>
      <c r="J3356" s="64" t="n">
        <v>0</v>
      </c>
      <c r="K3356" s="62" t="s">
        <v>138</v>
      </c>
      <c r="L3356" s="68" t="b">
        <f aca="false">TRUE()</f>
        <v>1</v>
      </c>
    </row>
    <row r="3357" customFormat="false" ht="15" hidden="false" customHeight="false" outlineLevel="0" collapsed="false">
      <c r="A3357" s="62" t="n">
        <v>0</v>
      </c>
      <c r="B3357" s="21" t="s">
        <v>336</v>
      </c>
      <c r="C3357" s="62" t="s">
        <v>60</v>
      </c>
      <c r="D3357" s="62" t="s">
        <v>388</v>
      </c>
      <c r="E3357" s="62" t="s">
        <v>382</v>
      </c>
      <c r="F3357" s="62" t="s">
        <v>382</v>
      </c>
      <c r="G3357" s="63" t="s">
        <v>736</v>
      </c>
      <c r="H3357" s="64" t="n">
        <v>0</v>
      </c>
      <c r="I3357" s="62" t="s">
        <v>81</v>
      </c>
      <c r="J3357" s="64" t="n">
        <v>0</v>
      </c>
      <c r="K3357" s="62" t="s">
        <v>138</v>
      </c>
      <c r="L3357" s="68" t="b">
        <f aca="false">TRUE()</f>
        <v>1</v>
      </c>
    </row>
    <row r="3358" customFormat="false" ht="15" hidden="false" customHeight="false" outlineLevel="0" collapsed="false">
      <c r="A3358" s="62" t="n">
        <v>0</v>
      </c>
      <c r="B3358" s="21" t="s">
        <v>336</v>
      </c>
      <c r="C3358" s="62" t="s">
        <v>60</v>
      </c>
      <c r="D3358" s="62" t="s">
        <v>381</v>
      </c>
      <c r="E3358" s="62" t="s">
        <v>382</v>
      </c>
      <c r="F3358" s="62" t="s">
        <v>382</v>
      </c>
      <c r="G3358" s="63" t="s">
        <v>737</v>
      </c>
      <c r="H3358" s="64" t="n">
        <v>0</v>
      </c>
      <c r="I3358" s="62" t="s">
        <v>81</v>
      </c>
      <c r="J3358" s="64" t="n">
        <v>0</v>
      </c>
      <c r="K3358" s="62" t="s">
        <v>138</v>
      </c>
      <c r="L3358" s="68" t="b">
        <f aca="false">TRUE()</f>
        <v>1</v>
      </c>
    </row>
    <row r="3359" customFormat="false" ht="15" hidden="false" customHeight="false" outlineLevel="0" collapsed="false">
      <c r="A3359" s="62" t="n">
        <v>0</v>
      </c>
      <c r="B3359" s="21" t="s">
        <v>336</v>
      </c>
      <c r="C3359" s="62" t="s">
        <v>60</v>
      </c>
      <c r="D3359" s="62" t="s">
        <v>383</v>
      </c>
      <c r="E3359" s="62" t="s">
        <v>382</v>
      </c>
      <c r="F3359" s="62" t="s">
        <v>382</v>
      </c>
      <c r="G3359" s="63" t="s">
        <v>737</v>
      </c>
      <c r="H3359" s="64" t="n">
        <v>0</v>
      </c>
      <c r="I3359" s="62" t="s">
        <v>81</v>
      </c>
      <c r="J3359" s="64" t="n">
        <v>0</v>
      </c>
      <c r="K3359" s="62" t="s">
        <v>138</v>
      </c>
      <c r="L3359" s="68" t="b">
        <f aca="false">TRUE()</f>
        <v>1</v>
      </c>
    </row>
    <row r="3360" customFormat="false" ht="15" hidden="false" customHeight="false" outlineLevel="0" collapsed="false">
      <c r="A3360" s="62" t="n">
        <v>0</v>
      </c>
      <c r="B3360" s="21" t="s">
        <v>336</v>
      </c>
      <c r="C3360" s="62" t="s">
        <v>60</v>
      </c>
      <c r="D3360" s="62" t="s">
        <v>384</v>
      </c>
      <c r="E3360" s="62" t="s">
        <v>382</v>
      </c>
      <c r="F3360" s="62" t="s">
        <v>382</v>
      </c>
      <c r="G3360" s="63" t="s">
        <v>737</v>
      </c>
      <c r="H3360" s="64" t="n">
        <v>0</v>
      </c>
      <c r="I3360" s="62" t="s">
        <v>81</v>
      </c>
      <c r="J3360" s="64" t="n">
        <v>0</v>
      </c>
      <c r="K3360" s="62" t="s">
        <v>138</v>
      </c>
      <c r="L3360" s="68" t="b">
        <f aca="false">TRUE()</f>
        <v>1</v>
      </c>
    </row>
    <row r="3361" customFormat="false" ht="15" hidden="false" customHeight="false" outlineLevel="0" collapsed="false">
      <c r="A3361" s="62" t="n">
        <v>0</v>
      </c>
      <c r="B3361" s="21" t="s">
        <v>336</v>
      </c>
      <c r="C3361" s="62" t="s">
        <v>60</v>
      </c>
      <c r="D3361" s="62" t="s">
        <v>385</v>
      </c>
      <c r="E3361" s="62" t="s">
        <v>382</v>
      </c>
      <c r="F3361" s="62" t="s">
        <v>382</v>
      </c>
      <c r="G3361" s="63" t="s">
        <v>737</v>
      </c>
      <c r="H3361" s="64" t="n">
        <v>0</v>
      </c>
      <c r="I3361" s="62" t="s">
        <v>81</v>
      </c>
      <c r="J3361" s="64" t="n">
        <v>0</v>
      </c>
      <c r="K3361" s="62" t="s">
        <v>138</v>
      </c>
      <c r="L3361" s="68" t="b">
        <f aca="false">TRUE()</f>
        <v>1</v>
      </c>
    </row>
    <row r="3362" customFormat="false" ht="15" hidden="false" customHeight="false" outlineLevel="0" collapsed="false">
      <c r="A3362" s="62" t="n">
        <v>0</v>
      </c>
      <c r="B3362" s="21" t="s">
        <v>336</v>
      </c>
      <c r="C3362" s="62" t="s">
        <v>60</v>
      </c>
      <c r="D3362" s="62" t="s">
        <v>386</v>
      </c>
      <c r="E3362" s="62" t="s">
        <v>382</v>
      </c>
      <c r="F3362" s="62" t="s">
        <v>382</v>
      </c>
      <c r="G3362" s="63" t="s">
        <v>737</v>
      </c>
      <c r="H3362" s="64" t="n">
        <v>0</v>
      </c>
      <c r="I3362" s="62" t="s">
        <v>81</v>
      </c>
      <c r="J3362" s="64" t="n">
        <v>0</v>
      </c>
      <c r="K3362" s="62" t="s">
        <v>138</v>
      </c>
      <c r="L3362" s="68" t="b">
        <f aca="false">TRUE()</f>
        <v>1</v>
      </c>
    </row>
    <row r="3363" customFormat="false" ht="15" hidden="false" customHeight="false" outlineLevel="0" collapsed="false">
      <c r="A3363" s="62" t="n">
        <v>0</v>
      </c>
      <c r="B3363" s="21" t="s">
        <v>336</v>
      </c>
      <c r="C3363" s="62" t="s">
        <v>60</v>
      </c>
      <c r="D3363" s="62" t="s">
        <v>387</v>
      </c>
      <c r="E3363" s="62" t="s">
        <v>382</v>
      </c>
      <c r="F3363" s="62" t="s">
        <v>382</v>
      </c>
      <c r="G3363" s="63" t="s">
        <v>737</v>
      </c>
      <c r="H3363" s="64" t="n">
        <v>0</v>
      </c>
      <c r="I3363" s="62" t="s">
        <v>81</v>
      </c>
      <c r="J3363" s="64" t="n">
        <v>0</v>
      </c>
      <c r="K3363" s="62" t="s">
        <v>138</v>
      </c>
      <c r="L3363" s="68" t="b">
        <f aca="false">TRUE()</f>
        <v>1</v>
      </c>
    </row>
    <row r="3364" customFormat="false" ht="15" hidden="false" customHeight="false" outlineLevel="0" collapsed="false">
      <c r="A3364" s="62" t="n">
        <v>0</v>
      </c>
      <c r="B3364" s="21" t="s">
        <v>336</v>
      </c>
      <c r="C3364" s="62" t="s">
        <v>60</v>
      </c>
      <c r="D3364" s="62" t="s">
        <v>388</v>
      </c>
      <c r="E3364" s="62" t="s">
        <v>382</v>
      </c>
      <c r="F3364" s="62" t="s">
        <v>382</v>
      </c>
      <c r="G3364" s="63" t="s">
        <v>737</v>
      </c>
      <c r="H3364" s="64" t="n">
        <v>0</v>
      </c>
      <c r="I3364" s="62" t="s">
        <v>81</v>
      </c>
      <c r="J3364" s="64" t="n">
        <v>0</v>
      </c>
      <c r="K3364" s="62" t="s">
        <v>138</v>
      </c>
      <c r="L3364" s="68" t="b">
        <f aca="false">TRUE()</f>
        <v>1</v>
      </c>
    </row>
    <row r="3365" customFormat="false" ht="15" hidden="false" customHeight="false" outlineLevel="0" collapsed="false">
      <c r="A3365" s="62" t="n">
        <v>0</v>
      </c>
      <c r="B3365" s="21" t="s">
        <v>336</v>
      </c>
      <c r="C3365" s="62" t="s">
        <v>60</v>
      </c>
      <c r="D3365" s="62" t="s">
        <v>381</v>
      </c>
      <c r="E3365" s="62" t="s">
        <v>382</v>
      </c>
      <c r="F3365" s="62" t="s">
        <v>382</v>
      </c>
      <c r="G3365" s="63" t="s">
        <v>738</v>
      </c>
      <c r="H3365" s="64" t="n">
        <v>125000000</v>
      </c>
      <c r="I3365" s="62" t="s">
        <v>81</v>
      </c>
      <c r="J3365" s="64" t="n">
        <v>125000</v>
      </c>
      <c r="K3365" s="62" t="s">
        <v>138</v>
      </c>
      <c r="L3365" s="68" t="b">
        <f aca="false">TRUE()</f>
        <v>1</v>
      </c>
    </row>
    <row r="3366" customFormat="false" ht="15" hidden="false" customHeight="false" outlineLevel="0" collapsed="false">
      <c r="A3366" s="62" t="n">
        <v>0</v>
      </c>
      <c r="B3366" s="21" t="s">
        <v>336</v>
      </c>
      <c r="C3366" s="62" t="s">
        <v>60</v>
      </c>
      <c r="D3366" s="62" t="s">
        <v>383</v>
      </c>
      <c r="E3366" s="62" t="s">
        <v>382</v>
      </c>
      <c r="F3366" s="62" t="s">
        <v>382</v>
      </c>
      <c r="G3366" s="63" t="s">
        <v>738</v>
      </c>
      <c r="H3366" s="64" t="n">
        <v>125000000</v>
      </c>
      <c r="I3366" s="62" t="s">
        <v>81</v>
      </c>
      <c r="J3366" s="64" t="n">
        <v>125000</v>
      </c>
      <c r="K3366" s="62" t="s">
        <v>138</v>
      </c>
      <c r="L3366" s="68" t="b">
        <f aca="false">TRUE()</f>
        <v>1</v>
      </c>
    </row>
    <row r="3367" customFormat="false" ht="15" hidden="false" customHeight="false" outlineLevel="0" collapsed="false">
      <c r="A3367" s="62" t="n">
        <v>0</v>
      </c>
      <c r="B3367" s="21" t="s">
        <v>336</v>
      </c>
      <c r="C3367" s="62" t="s">
        <v>60</v>
      </c>
      <c r="D3367" s="62" t="s">
        <v>384</v>
      </c>
      <c r="E3367" s="62" t="s">
        <v>382</v>
      </c>
      <c r="F3367" s="62" t="s">
        <v>382</v>
      </c>
      <c r="G3367" s="63" t="s">
        <v>738</v>
      </c>
      <c r="H3367" s="64" t="n">
        <v>125000000</v>
      </c>
      <c r="I3367" s="62" t="s">
        <v>81</v>
      </c>
      <c r="J3367" s="64" t="n">
        <v>125000</v>
      </c>
      <c r="K3367" s="62" t="s">
        <v>138</v>
      </c>
      <c r="L3367" s="68" t="b">
        <f aca="false">TRUE()</f>
        <v>1</v>
      </c>
    </row>
    <row r="3368" customFormat="false" ht="15" hidden="false" customHeight="false" outlineLevel="0" collapsed="false">
      <c r="A3368" s="62" t="n">
        <v>0</v>
      </c>
      <c r="B3368" s="21" t="s">
        <v>336</v>
      </c>
      <c r="C3368" s="62" t="s">
        <v>60</v>
      </c>
      <c r="D3368" s="62" t="s">
        <v>385</v>
      </c>
      <c r="E3368" s="62" t="s">
        <v>382</v>
      </c>
      <c r="F3368" s="62" t="s">
        <v>382</v>
      </c>
      <c r="G3368" s="63" t="s">
        <v>738</v>
      </c>
      <c r="H3368" s="64" t="n">
        <v>125000000</v>
      </c>
      <c r="I3368" s="62" t="s">
        <v>81</v>
      </c>
      <c r="J3368" s="64" t="n">
        <v>125000</v>
      </c>
      <c r="K3368" s="62" t="s">
        <v>138</v>
      </c>
      <c r="L3368" s="68" t="b">
        <f aca="false">TRUE()</f>
        <v>1</v>
      </c>
    </row>
    <row r="3369" customFormat="false" ht="15" hidden="false" customHeight="false" outlineLevel="0" collapsed="false">
      <c r="A3369" s="62" t="n">
        <v>0</v>
      </c>
      <c r="B3369" s="21" t="s">
        <v>336</v>
      </c>
      <c r="C3369" s="62" t="s">
        <v>60</v>
      </c>
      <c r="D3369" s="62" t="s">
        <v>386</v>
      </c>
      <c r="E3369" s="62" t="s">
        <v>382</v>
      </c>
      <c r="F3369" s="62" t="s">
        <v>382</v>
      </c>
      <c r="G3369" s="63" t="s">
        <v>738</v>
      </c>
      <c r="H3369" s="64" t="n">
        <v>125000000</v>
      </c>
      <c r="I3369" s="62" t="s">
        <v>81</v>
      </c>
      <c r="J3369" s="64" t="n">
        <v>125000</v>
      </c>
      <c r="K3369" s="62" t="s">
        <v>138</v>
      </c>
      <c r="L3369" s="68" t="b">
        <f aca="false">TRUE()</f>
        <v>1</v>
      </c>
    </row>
    <row r="3370" customFormat="false" ht="15" hidden="false" customHeight="false" outlineLevel="0" collapsed="false">
      <c r="A3370" s="62" t="n">
        <v>0</v>
      </c>
      <c r="B3370" s="21" t="s">
        <v>336</v>
      </c>
      <c r="C3370" s="62" t="s">
        <v>60</v>
      </c>
      <c r="D3370" s="62" t="s">
        <v>387</v>
      </c>
      <c r="E3370" s="62" t="s">
        <v>382</v>
      </c>
      <c r="F3370" s="62" t="s">
        <v>382</v>
      </c>
      <c r="G3370" s="63" t="s">
        <v>738</v>
      </c>
      <c r="H3370" s="64" t="n">
        <v>125000000</v>
      </c>
      <c r="I3370" s="62" t="s">
        <v>81</v>
      </c>
      <c r="J3370" s="64" t="n">
        <v>125000</v>
      </c>
      <c r="K3370" s="62" t="s">
        <v>138</v>
      </c>
      <c r="L3370" s="68" t="b">
        <f aca="false">TRUE()</f>
        <v>1</v>
      </c>
    </row>
    <row r="3371" customFormat="false" ht="15" hidden="false" customHeight="false" outlineLevel="0" collapsed="false">
      <c r="A3371" s="62" t="n">
        <v>0</v>
      </c>
      <c r="B3371" s="21" t="s">
        <v>336</v>
      </c>
      <c r="C3371" s="62" t="s">
        <v>60</v>
      </c>
      <c r="D3371" s="62" t="s">
        <v>388</v>
      </c>
      <c r="E3371" s="62" t="s">
        <v>382</v>
      </c>
      <c r="F3371" s="62" t="s">
        <v>382</v>
      </c>
      <c r="G3371" s="63" t="s">
        <v>738</v>
      </c>
      <c r="H3371" s="64" t="n">
        <v>125000000</v>
      </c>
      <c r="I3371" s="62" t="s">
        <v>81</v>
      </c>
      <c r="J3371" s="64" t="n">
        <v>125000</v>
      </c>
      <c r="K3371" s="62" t="s">
        <v>138</v>
      </c>
      <c r="L3371" s="68" t="b">
        <f aca="false">TRUE()</f>
        <v>1</v>
      </c>
    </row>
    <row r="3372" customFormat="false" ht="15" hidden="false" customHeight="false" outlineLevel="0" collapsed="false">
      <c r="A3372" s="62" t="n">
        <v>0</v>
      </c>
      <c r="B3372" s="21" t="s">
        <v>336</v>
      </c>
      <c r="C3372" s="62" t="s">
        <v>60</v>
      </c>
      <c r="D3372" s="62" t="s">
        <v>381</v>
      </c>
      <c r="E3372" s="62" t="s">
        <v>382</v>
      </c>
      <c r="F3372" s="62" t="s">
        <v>382</v>
      </c>
      <c r="G3372" s="63" t="s">
        <v>739</v>
      </c>
      <c r="H3372" s="64" t="n">
        <v>0</v>
      </c>
      <c r="I3372" s="62" t="s">
        <v>81</v>
      </c>
      <c r="J3372" s="64" t="n">
        <v>0</v>
      </c>
      <c r="K3372" s="62" t="s">
        <v>138</v>
      </c>
      <c r="L3372" s="68" t="b">
        <f aca="false">TRUE()</f>
        <v>1</v>
      </c>
    </row>
    <row r="3373" customFormat="false" ht="15" hidden="false" customHeight="false" outlineLevel="0" collapsed="false">
      <c r="A3373" s="62" t="n">
        <v>0</v>
      </c>
      <c r="B3373" s="21" t="s">
        <v>336</v>
      </c>
      <c r="C3373" s="62" t="s">
        <v>60</v>
      </c>
      <c r="D3373" s="62" t="s">
        <v>383</v>
      </c>
      <c r="E3373" s="62" t="s">
        <v>382</v>
      </c>
      <c r="F3373" s="62" t="s">
        <v>382</v>
      </c>
      <c r="G3373" s="63" t="s">
        <v>739</v>
      </c>
      <c r="H3373" s="64" t="n">
        <v>0</v>
      </c>
      <c r="I3373" s="62" t="s">
        <v>81</v>
      </c>
      <c r="J3373" s="64" t="n">
        <v>0</v>
      </c>
      <c r="K3373" s="62" t="s">
        <v>138</v>
      </c>
      <c r="L3373" s="68" t="b">
        <f aca="false">TRUE()</f>
        <v>1</v>
      </c>
    </row>
    <row r="3374" customFormat="false" ht="15" hidden="false" customHeight="false" outlineLevel="0" collapsed="false">
      <c r="A3374" s="62" t="n">
        <v>0</v>
      </c>
      <c r="B3374" s="21" t="s">
        <v>336</v>
      </c>
      <c r="C3374" s="62" t="s">
        <v>60</v>
      </c>
      <c r="D3374" s="62" t="s">
        <v>384</v>
      </c>
      <c r="E3374" s="62" t="s">
        <v>382</v>
      </c>
      <c r="F3374" s="62" t="s">
        <v>382</v>
      </c>
      <c r="G3374" s="63" t="s">
        <v>739</v>
      </c>
      <c r="H3374" s="64" t="n">
        <v>0</v>
      </c>
      <c r="I3374" s="62" t="s">
        <v>81</v>
      </c>
      <c r="J3374" s="64" t="n">
        <v>0</v>
      </c>
      <c r="K3374" s="62" t="s">
        <v>138</v>
      </c>
      <c r="L3374" s="68" t="b">
        <f aca="false">TRUE()</f>
        <v>1</v>
      </c>
    </row>
    <row r="3375" customFormat="false" ht="15" hidden="false" customHeight="false" outlineLevel="0" collapsed="false">
      <c r="A3375" s="62" t="n">
        <v>0</v>
      </c>
      <c r="B3375" s="21" t="s">
        <v>336</v>
      </c>
      <c r="C3375" s="62" t="s">
        <v>60</v>
      </c>
      <c r="D3375" s="62" t="s">
        <v>385</v>
      </c>
      <c r="E3375" s="62" t="s">
        <v>382</v>
      </c>
      <c r="F3375" s="62" t="s">
        <v>382</v>
      </c>
      <c r="G3375" s="63" t="s">
        <v>739</v>
      </c>
      <c r="H3375" s="64" t="n">
        <v>0</v>
      </c>
      <c r="I3375" s="62" t="s">
        <v>81</v>
      </c>
      <c r="J3375" s="64" t="n">
        <v>0</v>
      </c>
      <c r="K3375" s="62" t="s">
        <v>138</v>
      </c>
      <c r="L3375" s="68" t="b">
        <f aca="false">TRUE()</f>
        <v>1</v>
      </c>
    </row>
    <row r="3376" customFormat="false" ht="15" hidden="false" customHeight="false" outlineLevel="0" collapsed="false">
      <c r="A3376" s="62" t="n">
        <v>0</v>
      </c>
      <c r="B3376" s="21" t="s">
        <v>336</v>
      </c>
      <c r="C3376" s="62" t="s">
        <v>60</v>
      </c>
      <c r="D3376" s="62" t="s">
        <v>386</v>
      </c>
      <c r="E3376" s="62" t="s">
        <v>382</v>
      </c>
      <c r="F3376" s="62" t="s">
        <v>382</v>
      </c>
      <c r="G3376" s="63" t="s">
        <v>739</v>
      </c>
      <c r="H3376" s="64" t="n">
        <v>0</v>
      </c>
      <c r="I3376" s="62" t="s">
        <v>81</v>
      </c>
      <c r="J3376" s="64" t="n">
        <v>0</v>
      </c>
      <c r="K3376" s="62" t="s">
        <v>138</v>
      </c>
      <c r="L3376" s="68" t="b">
        <f aca="false">TRUE()</f>
        <v>1</v>
      </c>
    </row>
    <row r="3377" customFormat="false" ht="15" hidden="false" customHeight="false" outlineLevel="0" collapsed="false">
      <c r="A3377" s="62" t="n">
        <v>0</v>
      </c>
      <c r="B3377" s="21" t="s">
        <v>336</v>
      </c>
      <c r="C3377" s="62" t="s">
        <v>60</v>
      </c>
      <c r="D3377" s="62" t="s">
        <v>387</v>
      </c>
      <c r="E3377" s="62" t="s">
        <v>382</v>
      </c>
      <c r="F3377" s="62" t="s">
        <v>382</v>
      </c>
      <c r="G3377" s="63" t="s">
        <v>739</v>
      </c>
      <c r="H3377" s="64" t="n">
        <v>0</v>
      </c>
      <c r="I3377" s="62" t="s">
        <v>81</v>
      </c>
      <c r="J3377" s="64" t="n">
        <v>0</v>
      </c>
      <c r="K3377" s="62" t="s">
        <v>138</v>
      </c>
      <c r="L3377" s="68" t="b">
        <f aca="false">TRUE()</f>
        <v>1</v>
      </c>
    </row>
    <row r="3378" customFormat="false" ht="15" hidden="false" customHeight="false" outlineLevel="0" collapsed="false">
      <c r="A3378" s="62" t="n">
        <v>0</v>
      </c>
      <c r="B3378" s="21" t="s">
        <v>336</v>
      </c>
      <c r="C3378" s="62" t="s">
        <v>60</v>
      </c>
      <c r="D3378" s="62" t="s">
        <v>388</v>
      </c>
      <c r="E3378" s="62" t="s">
        <v>382</v>
      </c>
      <c r="F3378" s="62" t="s">
        <v>382</v>
      </c>
      <c r="G3378" s="63" t="s">
        <v>739</v>
      </c>
      <c r="H3378" s="64" t="n">
        <v>0</v>
      </c>
      <c r="I3378" s="62" t="s">
        <v>81</v>
      </c>
      <c r="J3378" s="64" t="n">
        <v>0</v>
      </c>
      <c r="K3378" s="62" t="s">
        <v>138</v>
      </c>
      <c r="L3378" s="68" t="b">
        <f aca="false">TRUE()</f>
        <v>1</v>
      </c>
    </row>
    <row r="3379" customFormat="false" ht="15" hidden="false" customHeight="false" outlineLevel="0" collapsed="false">
      <c r="A3379" s="62" t="n">
        <v>0</v>
      </c>
      <c r="B3379" s="21" t="s">
        <v>336</v>
      </c>
      <c r="C3379" s="62" t="s">
        <v>60</v>
      </c>
      <c r="D3379" s="62" t="s">
        <v>381</v>
      </c>
      <c r="E3379" s="62" t="s">
        <v>382</v>
      </c>
      <c r="F3379" s="62" t="s">
        <v>382</v>
      </c>
      <c r="G3379" s="63" t="s">
        <v>740</v>
      </c>
      <c r="H3379" s="64" t="n">
        <v>0</v>
      </c>
      <c r="I3379" s="62" t="s">
        <v>81</v>
      </c>
      <c r="J3379" s="64" t="n">
        <v>0</v>
      </c>
      <c r="K3379" s="62" t="s">
        <v>138</v>
      </c>
      <c r="L3379" s="68" t="b">
        <f aca="false">TRUE()</f>
        <v>1</v>
      </c>
    </row>
    <row r="3380" customFormat="false" ht="15" hidden="false" customHeight="false" outlineLevel="0" collapsed="false">
      <c r="A3380" s="62" t="n">
        <v>0</v>
      </c>
      <c r="B3380" s="21" t="s">
        <v>336</v>
      </c>
      <c r="C3380" s="62" t="s">
        <v>60</v>
      </c>
      <c r="D3380" s="62" t="s">
        <v>383</v>
      </c>
      <c r="E3380" s="62" t="s">
        <v>382</v>
      </c>
      <c r="F3380" s="62" t="s">
        <v>382</v>
      </c>
      <c r="G3380" s="63" t="s">
        <v>740</v>
      </c>
      <c r="H3380" s="64" t="n">
        <v>0</v>
      </c>
      <c r="I3380" s="62" t="s">
        <v>81</v>
      </c>
      <c r="J3380" s="64" t="n">
        <v>0</v>
      </c>
      <c r="K3380" s="62" t="s">
        <v>138</v>
      </c>
      <c r="L3380" s="68" t="b">
        <f aca="false">TRUE()</f>
        <v>1</v>
      </c>
    </row>
    <row r="3381" customFormat="false" ht="15" hidden="false" customHeight="false" outlineLevel="0" collapsed="false">
      <c r="A3381" s="62" t="n">
        <v>0</v>
      </c>
      <c r="B3381" s="21" t="s">
        <v>336</v>
      </c>
      <c r="C3381" s="62" t="s">
        <v>60</v>
      </c>
      <c r="D3381" s="62" t="s">
        <v>384</v>
      </c>
      <c r="E3381" s="62" t="s">
        <v>382</v>
      </c>
      <c r="F3381" s="62" t="s">
        <v>382</v>
      </c>
      <c r="G3381" s="63" t="s">
        <v>740</v>
      </c>
      <c r="H3381" s="64" t="n">
        <v>0</v>
      </c>
      <c r="I3381" s="62" t="s">
        <v>81</v>
      </c>
      <c r="J3381" s="64" t="n">
        <v>0</v>
      </c>
      <c r="K3381" s="62" t="s">
        <v>138</v>
      </c>
      <c r="L3381" s="68" t="b">
        <f aca="false">TRUE()</f>
        <v>1</v>
      </c>
    </row>
    <row r="3382" customFormat="false" ht="15" hidden="false" customHeight="false" outlineLevel="0" collapsed="false">
      <c r="A3382" s="62" t="n">
        <v>0</v>
      </c>
      <c r="B3382" s="21" t="s">
        <v>336</v>
      </c>
      <c r="C3382" s="62" t="s">
        <v>60</v>
      </c>
      <c r="D3382" s="62" t="s">
        <v>385</v>
      </c>
      <c r="E3382" s="62" t="s">
        <v>382</v>
      </c>
      <c r="F3382" s="62" t="s">
        <v>382</v>
      </c>
      <c r="G3382" s="63" t="s">
        <v>740</v>
      </c>
      <c r="H3382" s="64" t="n">
        <v>0</v>
      </c>
      <c r="I3382" s="62" t="s">
        <v>81</v>
      </c>
      <c r="J3382" s="64" t="n">
        <v>0</v>
      </c>
      <c r="K3382" s="62" t="s">
        <v>138</v>
      </c>
      <c r="L3382" s="68" t="b">
        <f aca="false">TRUE()</f>
        <v>1</v>
      </c>
    </row>
    <row r="3383" customFormat="false" ht="15" hidden="false" customHeight="false" outlineLevel="0" collapsed="false">
      <c r="A3383" s="62" t="n">
        <v>0</v>
      </c>
      <c r="B3383" s="21" t="s">
        <v>336</v>
      </c>
      <c r="C3383" s="62" t="s">
        <v>60</v>
      </c>
      <c r="D3383" s="62" t="s">
        <v>386</v>
      </c>
      <c r="E3383" s="62" t="s">
        <v>382</v>
      </c>
      <c r="F3383" s="62" t="s">
        <v>382</v>
      </c>
      <c r="G3383" s="63" t="s">
        <v>740</v>
      </c>
      <c r="H3383" s="64" t="n">
        <v>0</v>
      </c>
      <c r="I3383" s="62" t="s">
        <v>81</v>
      </c>
      <c r="J3383" s="64" t="n">
        <v>0</v>
      </c>
      <c r="K3383" s="62" t="s">
        <v>138</v>
      </c>
      <c r="L3383" s="68" t="b">
        <f aca="false">TRUE()</f>
        <v>1</v>
      </c>
    </row>
    <row r="3384" customFormat="false" ht="15" hidden="false" customHeight="false" outlineLevel="0" collapsed="false">
      <c r="A3384" s="62" t="n">
        <v>0</v>
      </c>
      <c r="B3384" s="21" t="s">
        <v>336</v>
      </c>
      <c r="C3384" s="62" t="s">
        <v>60</v>
      </c>
      <c r="D3384" s="62" t="s">
        <v>387</v>
      </c>
      <c r="E3384" s="62" t="s">
        <v>382</v>
      </c>
      <c r="F3384" s="62" t="s">
        <v>382</v>
      </c>
      <c r="G3384" s="63" t="s">
        <v>740</v>
      </c>
      <c r="H3384" s="64" t="n">
        <v>0</v>
      </c>
      <c r="I3384" s="62" t="s">
        <v>81</v>
      </c>
      <c r="J3384" s="64" t="n">
        <v>0</v>
      </c>
      <c r="K3384" s="62" t="s">
        <v>138</v>
      </c>
      <c r="L3384" s="68" t="b">
        <f aca="false">TRUE()</f>
        <v>1</v>
      </c>
    </row>
    <row r="3385" customFormat="false" ht="15" hidden="false" customHeight="false" outlineLevel="0" collapsed="false">
      <c r="A3385" s="62" t="n">
        <v>0</v>
      </c>
      <c r="B3385" s="21" t="s">
        <v>336</v>
      </c>
      <c r="C3385" s="62" t="s">
        <v>60</v>
      </c>
      <c r="D3385" s="62" t="s">
        <v>388</v>
      </c>
      <c r="E3385" s="62" t="s">
        <v>382</v>
      </c>
      <c r="F3385" s="62" t="s">
        <v>382</v>
      </c>
      <c r="G3385" s="63" t="s">
        <v>740</v>
      </c>
      <c r="H3385" s="64" t="n">
        <v>0</v>
      </c>
      <c r="I3385" s="62" t="s">
        <v>81</v>
      </c>
      <c r="J3385" s="64" t="n">
        <v>0</v>
      </c>
      <c r="K3385" s="62" t="s">
        <v>138</v>
      </c>
      <c r="L3385" s="68" t="b">
        <f aca="false">TRUE()</f>
        <v>1</v>
      </c>
    </row>
    <row r="3386" customFormat="false" ht="15" hidden="false" customHeight="false" outlineLevel="0" collapsed="false">
      <c r="A3386" s="62" t="n">
        <v>0</v>
      </c>
      <c r="B3386" s="21" t="s">
        <v>336</v>
      </c>
      <c r="C3386" s="62" t="s">
        <v>60</v>
      </c>
      <c r="D3386" s="62" t="s">
        <v>381</v>
      </c>
      <c r="E3386" s="62" t="s">
        <v>382</v>
      </c>
      <c r="F3386" s="62" t="s">
        <v>382</v>
      </c>
      <c r="G3386" s="63" t="s">
        <v>741</v>
      </c>
      <c r="H3386" s="64" t="n">
        <v>0</v>
      </c>
      <c r="I3386" s="62" t="s">
        <v>81</v>
      </c>
      <c r="J3386" s="64" t="n">
        <v>0</v>
      </c>
      <c r="K3386" s="62" t="s">
        <v>138</v>
      </c>
      <c r="L3386" s="68" t="b">
        <f aca="false">TRUE()</f>
        <v>1</v>
      </c>
    </row>
    <row r="3387" customFormat="false" ht="15" hidden="false" customHeight="false" outlineLevel="0" collapsed="false">
      <c r="A3387" s="62" t="n">
        <v>0</v>
      </c>
      <c r="B3387" s="21" t="s">
        <v>336</v>
      </c>
      <c r="C3387" s="62" t="s">
        <v>60</v>
      </c>
      <c r="D3387" s="62" t="s">
        <v>383</v>
      </c>
      <c r="E3387" s="62" t="s">
        <v>382</v>
      </c>
      <c r="F3387" s="62" t="s">
        <v>382</v>
      </c>
      <c r="G3387" s="63" t="s">
        <v>741</v>
      </c>
      <c r="H3387" s="64" t="n">
        <v>0</v>
      </c>
      <c r="I3387" s="62" t="s">
        <v>81</v>
      </c>
      <c r="J3387" s="64" t="n">
        <v>0</v>
      </c>
      <c r="K3387" s="62" t="s">
        <v>138</v>
      </c>
      <c r="L3387" s="68" t="b">
        <f aca="false">TRUE()</f>
        <v>1</v>
      </c>
    </row>
    <row r="3388" customFormat="false" ht="15" hidden="false" customHeight="false" outlineLevel="0" collapsed="false">
      <c r="A3388" s="62" t="n">
        <v>0</v>
      </c>
      <c r="B3388" s="21" t="s">
        <v>336</v>
      </c>
      <c r="C3388" s="62" t="s">
        <v>60</v>
      </c>
      <c r="D3388" s="62" t="s">
        <v>384</v>
      </c>
      <c r="E3388" s="62" t="s">
        <v>382</v>
      </c>
      <c r="F3388" s="62" t="s">
        <v>382</v>
      </c>
      <c r="G3388" s="63" t="s">
        <v>741</v>
      </c>
      <c r="H3388" s="64" t="n">
        <v>0</v>
      </c>
      <c r="I3388" s="62" t="s">
        <v>81</v>
      </c>
      <c r="J3388" s="64" t="n">
        <v>0</v>
      </c>
      <c r="K3388" s="62" t="s">
        <v>138</v>
      </c>
      <c r="L3388" s="68" t="b">
        <f aca="false">TRUE()</f>
        <v>1</v>
      </c>
    </row>
    <row r="3389" customFormat="false" ht="15" hidden="false" customHeight="false" outlineLevel="0" collapsed="false">
      <c r="A3389" s="62" t="n">
        <v>0</v>
      </c>
      <c r="B3389" s="21" t="s">
        <v>336</v>
      </c>
      <c r="C3389" s="62" t="s">
        <v>60</v>
      </c>
      <c r="D3389" s="62" t="s">
        <v>385</v>
      </c>
      <c r="E3389" s="62" t="s">
        <v>382</v>
      </c>
      <c r="F3389" s="62" t="s">
        <v>382</v>
      </c>
      <c r="G3389" s="63" t="s">
        <v>741</v>
      </c>
      <c r="H3389" s="64" t="n">
        <v>0</v>
      </c>
      <c r="I3389" s="62" t="s">
        <v>81</v>
      </c>
      <c r="J3389" s="64" t="n">
        <v>0</v>
      </c>
      <c r="K3389" s="62" t="s">
        <v>138</v>
      </c>
      <c r="L3389" s="68" t="b">
        <f aca="false">TRUE()</f>
        <v>1</v>
      </c>
    </row>
    <row r="3390" customFormat="false" ht="15" hidden="false" customHeight="false" outlineLevel="0" collapsed="false">
      <c r="A3390" s="62" t="n">
        <v>0</v>
      </c>
      <c r="B3390" s="21" t="s">
        <v>336</v>
      </c>
      <c r="C3390" s="62" t="s">
        <v>60</v>
      </c>
      <c r="D3390" s="62" t="s">
        <v>386</v>
      </c>
      <c r="E3390" s="62" t="s">
        <v>382</v>
      </c>
      <c r="F3390" s="62" t="s">
        <v>382</v>
      </c>
      <c r="G3390" s="63" t="s">
        <v>741</v>
      </c>
      <c r="H3390" s="64" t="n">
        <v>0</v>
      </c>
      <c r="I3390" s="62" t="s">
        <v>81</v>
      </c>
      <c r="J3390" s="64" t="n">
        <v>0</v>
      </c>
      <c r="K3390" s="62" t="s">
        <v>138</v>
      </c>
      <c r="L3390" s="68" t="b">
        <f aca="false">TRUE()</f>
        <v>1</v>
      </c>
    </row>
    <row r="3391" customFormat="false" ht="15" hidden="false" customHeight="false" outlineLevel="0" collapsed="false">
      <c r="A3391" s="62" t="n">
        <v>0</v>
      </c>
      <c r="B3391" s="21" t="s">
        <v>336</v>
      </c>
      <c r="C3391" s="62" t="s">
        <v>60</v>
      </c>
      <c r="D3391" s="62" t="s">
        <v>387</v>
      </c>
      <c r="E3391" s="62" t="s">
        <v>382</v>
      </c>
      <c r="F3391" s="62" t="s">
        <v>382</v>
      </c>
      <c r="G3391" s="63" t="s">
        <v>741</v>
      </c>
      <c r="H3391" s="64" t="n">
        <v>0</v>
      </c>
      <c r="I3391" s="62" t="s">
        <v>81</v>
      </c>
      <c r="J3391" s="64" t="n">
        <v>0</v>
      </c>
      <c r="K3391" s="62" t="s">
        <v>138</v>
      </c>
      <c r="L3391" s="68" t="b">
        <f aca="false">TRUE()</f>
        <v>1</v>
      </c>
    </row>
    <row r="3392" customFormat="false" ht="15" hidden="false" customHeight="false" outlineLevel="0" collapsed="false">
      <c r="A3392" s="62" t="n">
        <v>0</v>
      </c>
      <c r="B3392" s="21" t="s">
        <v>336</v>
      </c>
      <c r="C3392" s="62" t="s">
        <v>60</v>
      </c>
      <c r="D3392" s="62" t="s">
        <v>388</v>
      </c>
      <c r="E3392" s="62" t="s">
        <v>382</v>
      </c>
      <c r="F3392" s="62" t="s">
        <v>382</v>
      </c>
      <c r="G3392" s="63" t="s">
        <v>741</v>
      </c>
      <c r="H3392" s="64" t="n">
        <v>0</v>
      </c>
      <c r="I3392" s="62" t="s">
        <v>81</v>
      </c>
      <c r="J3392" s="64" t="n">
        <v>0</v>
      </c>
      <c r="K3392" s="62" t="s">
        <v>138</v>
      </c>
      <c r="L3392" s="68" t="b">
        <f aca="false">TRUE()</f>
        <v>1</v>
      </c>
    </row>
    <row r="3393" customFormat="false" ht="15" hidden="false" customHeight="false" outlineLevel="0" collapsed="false">
      <c r="A3393" s="62" t="n">
        <v>0</v>
      </c>
      <c r="B3393" s="21" t="s">
        <v>336</v>
      </c>
      <c r="C3393" s="62" t="s">
        <v>60</v>
      </c>
      <c r="D3393" s="62" t="s">
        <v>381</v>
      </c>
      <c r="E3393" s="62" t="s">
        <v>382</v>
      </c>
      <c r="F3393" s="62" t="s">
        <v>382</v>
      </c>
      <c r="G3393" s="63" t="s">
        <v>742</v>
      </c>
      <c r="H3393" s="64" t="n">
        <v>20000000</v>
      </c>
      <c r="I3393" s="62" t="s">
        <v>81</v>
      </c>
      <c r="J3393" s="64" t="n">
        <v>20000</v>
      </c>
      <c r="K3393" s="62" t="s">
        <v>138</v>
      </c>
      <c r="L3393" s="68" t="b">
        <f aca="false">TRUE()</f>
        <v>1</v>
      </c>
    </row>
    <row r="3394" customFormat="false" ht="15" hidden="false" customHeight="false" outlineLevel="0" collapsed="false">
      <c r="A3394" s="62" t="n">
        <v>0</v>
      </c>
      <c r="B3394" s="21" t="s">
        <v>336</v>
      </c>
      <c r="C3394" s="62" t="s">
        <v>60</v>
      </c>
      <c r="D3394" s="62" t="s">
        <v>383</v>
      </c>
      <c r="E3394" s="62" t="s">
        <v>382</v>
      </c>
      <c r="F3394" s="62" t="s">
        <v>382</v>
      </c>
      <c r="G3394" s="63" t="s">
        <v>742</v>
      </c>
      <c r="H3394" s="64" t="n">
        <v>20000000</v>
      </c>
      <c r="I3394" s="62" t="s">
        <v>81</v>
      </c>
      <c r="J3394" s="64" t="n">
        <v>20000</v>
      </c>
      <c r="K3394" s="62" t="s">
        <v>138</v>
      </c>
      <c r="L3394" s="68" t="b">
        <f aca="false">TRUE()</f>
        <v>1</v>
      </c>
    </row>
    <row r="3395" customFormat="false" ht="15" hidden="false" customHeight="false" outlineLevel="0" collapsed="false">
      <c r="A3395" s="62" t="n">
        <v>0</v>
      </c>
      <c r="B3395" s="21" t="s">
        <v>336</v>
      </c>
      <c r="C3395" s="62" t="s">
        <v>60</v>
      </c>
      <c r="D3395" s="62" t="s">
        <v>384</v>
      </c>
      <c r="E3395" s="62" t="s">
        <v>382</v>
      </c>
      <c r="F3395" s="62" t="s">
        <v>382</v>
      </c>
      <c r="G3395" s="63" t="s">
        <v>742</v>
      </c>
      <c r="H3395" s="64" t="n">
        <v>20000000</v>
      </c>
      <c r="I3395" s="62" t="s">
        <v>81</v>
      </c>
      <c r="J3395" s="64" t="n">
        <v>20000</v>
      </c>
      <c r="K3395" s="62" t="s">
        <v>138</v>
      </c>
      <c r="L3395" s="68" t="b">
        <f aca="false">TRUE()</f>
        <v>1</v>
      </c>
    </row>
    <row r="3396" customFormat="false" ht="15" hidden="false" customHeight="false" outlineLevel="0" collapsed="false">
      <c r="A3396" s="62" t="n">
        <v>0</v>
      </c>
      <c r="B3396" s="21" t="s">
        <v>336</v>
      </c>
      <c r="C3396" s="62" t="s">
        <v>60</v>
      </c>
      <c r="D3396" s="62" t="s">
        <v>385</v>
      </c>
      <c r="E3396" s="62" t="s">
        <v>382</v>
      </c>
      <c r="F3396" s="62" t="s">
        <v>382</v>
      </c>
      <c r="G3396" s="63" t="s">
        <v>742</v>
      </c>
      <c r="H3396" s="64" t="n">
        <v>20000000</v>
      </c>
      <c r="I3396" s="62" t="s">
        <v>81</v>
      </c>
      <c r="J3396" s="64" t="n">
        <v>20000</v>
      </c>
      <c r="K3396" s="62" t="s">
        <v>138</v>
      </c>
      <c r="L3396" s="68" t="b">
        <f aca="false">TRUE()</f>
        <v>1</v>
      </c>
    </row>
    <row r="3397" customFormat="false" ht="15" hidden="false" customHeight="false" outlineLevel="0" collapsed="false">
      <c r="A3397" s="62" t="n">
        <v>0</v>
      </c>
      <c r="B3397" s="21" t="s">
        <v>336</v>
      </c>
      <c r="C3397" s="62" t="s">
        <v>60</v>
      </c>
      <c r="D3397" s="62" t="s">
        <v>386</v>
      </c>
      <c r="E3397" s="62" t="s">
        <v>382</v>
      </c>
      <c r="F3397" s="62" t="s">
        <v>382</v>
      </c>
      <c r="G3397" s="63" t="s">
        <v>742</v>
      </c>
      <c r="H3397" s="64" t="n">
        <v>20000000</v>
      </c>
      <c r="I3397" s="62" t="s">
        <v>81</v>
      </c>
      <c r="J3397" s="64" t="n">
        <v>20000</v>
      </c>
      <c r="K3397" s="62" t="s">
        <v>138</v>
      </c>
      <c r="L3397" s="68" t="b">
        <f aca="false">TRUE()</f>
        <v>1</v>
      </c>
    </row>
    <row r="3398" customFormat="false" ht="15" hidden="false" customHeight="false" outlineLevel="0" collapsed="false">
      <c r="A3398" s="62" t="n">
        <v>0</v>
      </c>
      <c r="B3398" s="21" t="s">
        <v>336</v>
      </c>
      <c r="C3398" s="62" t="s">
        <v>60</v>
      </c>
      <c r="D3398" s="62" t="s">
        <v>387</v>
      </c>
      <c r="E3398" s="62" t="s">
        <v>382</v>
      </c>
      <c r="F3398" s="62" t="s">
        <v>382</v>
      </c>
      <c r="G3398" s="63" t="s">
        <v>742</v>
      </c>
      <c r="H3398" s="64" t="n">
        <v>20000000</v>
      </c>
      <c r="I3398" s="62" t="s">
        <v>81</v>
      </c>
      <c r="J3398" s="64" t="n">
        <v>20000</v>
      </c>
      <c r="K3398" s="62" t="s">
        <v>138</v>
      </c>
      <c r="L3398" s="68" t="b">
        <f aca="false">TRUE()</f>
        <v>1</v>
      </c>
    </row>
    <row r="3399" customFormat="false" ht="15" hidden="false" customHeight="false" outlineLevel="0" collapsed="false">
      <c r="A3399" s="62" t="n">
        <v>0</v>
      </c>
      <c r="B3399" s="21" t="s">
        <v>336</v>
      </c>
      <c r="C3399" s="62" t="s">
        <v>60</v>
      </c>
      <c r="D3399" s="62" t="s">
        <v>388</v>
      </c>
      <c r="E3399" s="62" t="s">
        <v>382</v>
      </c>
      <c r="F3399" s="62" t="s">
        <v>382</v>
      </c>
      <c r="G3399" s="63" t="s">
        <v>742</v>
      </c>
      <c r="H3399" s="64" t="n">
        <v>20000000</v>
      </c>
      <c r="I3399" s="62" t="s">
        <v>81</v>
      </c>
      <c r="J3399" s="64" t="n">
        <v>20000</v>
      </c>
      <c r="K3399" s="62" t="s">
        <v>138</v>
      </c>
      <c r="L3399" s="68" t="b">
        <f aca="false">TRUE()</f>
        <v>1</v>
      </c>
    </row>
    <row r="3400" customFormat="false" ht="15" hidden="false" customHeight="false" outlineLevel="0" collapsed="false">
      <c r="A3400" s="62" t="n">
        <v>0</v>
      </c>
      <c r="B3400" s="21" t="s">
        <v>336</v>
      </c>
      <c r="C3400" s="62" t="s">
        <v>60</v>
      </c>
      <c r="D3400" s="62" t="s">
        <v>381</v>
      </c>
      <c r="E3400" s="62" t="s">
        <v>382</v>
      </c>
      <c r="F3400" s="62" t="s">
        <v>382</v>
      </c>
      <c r="G3400" s="63" t="s">
        <v>743</v>
      </c>
      <c r="H3400" s="64" t="n">
        <v>0</v>
      </c>
      <c r="I3400" s="62" t="s">
        <v>81</v>
      </c>
      <c r="J3400" s="64" t="n">
        <v>0</v>
      </c>
      <c r="K3400" s="62" t="s">
        <v>138</v>
      </c>
      <c r="L3400" s="68" t="b">
        <f aca="false">TRUE()</f>
        <v>1</v>
      </c>
    </row>
    <row r="3401" customFormat="false" ht="15" hidden="false" customHeight="false" outlineLevel="0" collapsed="false">
      <c r="A3401" s="62" t="n">
        <v>0</v>
      </c>
      <c r="B3401" s="21" t="s">
        <v>336</v>
      </c>
      <c r="C3401" s="62" t="s">
        <v>60</v>
      </c>
      <c r="D3401" s="62" t="s">
        <v>383</v>
      </c>
      <c r="E3401" s="62" t="s">
        <v>382</v>
      </c>
      <c r="F3401" s="62" t="s">
        <v>382</v>
      </c>
      <c r="G3401" s="63" t="s">
        <v>743</v>
      </c>
      <c r="H3401" s="64" t="n">
        <v>0</v>
      </c>
      <c r="I3401" s="62" t="s">
        <v>81</v>
      </c>
      <c r="J3401" s="64" t="n">
        <v>0</v>
      </c>
      <c r="K3401" s="62" t="s">
        <v>138</v>
      </c>
      <c r="L3401" s="68" t="b">
        <f aca="false">TRUE()</f>
        <v>1</v>
      </c>
    </row>
    <row r="3402" customFormat="false" ht="15" hidden="false" customHeight="false" outlineLevel="0" collapsed="false">
      <c r="A3402" s="62" t="n">
        <v>0</v>
      </c>
      <c r="B3402" s="21" t="s">
        <v>336</v>
      </c>
      <c r="C3402" s="62" t="s">
        <v>60</v>
      </c>
      <c r="D3402" s="62" t="s">
        <v>384</v>
      </c>
      <c r="E3402" s="62" t="s">
        <v>382</v>
      </c>
      <c r="F3402" s="62" t="s">
        <v>382</v>
      </c>
      <c r="G3402" s="63" t="s">
        <v>743</v>
      </c>
      <c r="H3402" s="64" t="n">
        <v>0</v>
      </c>
      <c r="I3402" s="62" t="s">
        <v>81</v>
      </c>
      <c r="J3402" s="64" t="n">
        <v>0</v>
      </c>
      <c r="K3402" s="62" t="s">
        <v>138</v>
      </c>
      <c r="L3402" s="68" t="b">
        <f aca="false">TRUE()</f>
        <v>1</v>
      </c>
    </row>
    <row r="3403" customFormat="false" ht="15" hidden="false" customHeight="false" outlineLevel="0" collapsed="false">
      <c r="A3403" s="62" t="n">
        <v>0</v>
      </c>
      <c r="B3403" s="21" t="s">
        <v>336</v>
      </c>
      <c r="C3403" s="62" t="s">
        <v>60</v>
      </c>
      <c r="D3403" s="62" t="s">
        <v>385</v>
      </c>
      <c r="E3403" s="62" t="s">
        <v>382</v>
      </c>
      <c r="F3403" s="62" t="s">
        <v>382</v>
      </c>
      <c r="G3403" s="63" t="s">
        <v>743</v>
      </c>
      <c r="H3403" s="64" t="n">
        <v>0</v>
      </c>
      <c r="I3403" s="62" t="s">
        <v>81</v>
      </c>
      <c r="J3403" s="64" t="n">
        <v>0</v>
      </c>
      <c r="K3403" s="62" t="s">
        <v>138</v>
      </c>
      <c r="L3403" s="68" t="b">
        <f aca="false">TRUE()</f>
        <v>1</v>
      </c>
    </row>
    <row r="3404" customFormat="false" ht="15" hidden="false" customHeight="false" outlineLevel="0" collapsed="false">
      <c r="A3404" s="62" t="n">
        <v>0</v>
      </c>
      <c r="B3404" s="21" t="s">
        <v>336</v>
      </c>
      <c r="C3404" s="62" t="s">
        <v>60</v>
      </c>
      <c r="D3404" s="62" t="s">
        <v>386</v>
      </c>
      <c r="E3404" s="62" t="s">
        <v>382</v>
      </c>
      <c r="F3404" s="62" t="s">
        <v>382</v>
      </c>
      <c r="G3404" s="63" t="s">
        <v>743</v>
      </c>
      <c r="H3404" s="64" t="n">
        <v>0</v>
      </c>
      <c r="I3404" s="62" t="s">
        <v>81</v>
      </c>
      <c r="J3404" s="64" t="n">
        <v>0</v>
      </c>
      <c r="K3404" s="62" t="s">
        <v>138</v>
      </c>
      <c r="L3404" s="68" t="b">
        <f aca="false">TRUE()</f>
        <v>1</v>
      </c>
    </row>
    <row r="3405" customFormat="false" ht="15" hidden="false" customHeight="false" outlineLevel="0" collapsed="false">
      <c r="A3405" s="62" t="n">
        <v>0</v>
      </c>
      <c r="B3405" s="21" t="s">
        <v>336</v>
      </c>
      <c r="C3405" s="62" t="s">
        <v>60</v>
      </c>
      <c r="D3405" s="62" t="s">
        <v>387</v>
      </c>
      <c r="E3405" s="62" t="s">
        <v>382</v>
      </c>
      <c r="F3405" s="62" t="s">
        <v>382</v>
      </c>
      <c r="G3405" s="63" t="s">
        <v>743</v>
      </c>
      <c r="H3405" s="64" t="n">
        <v>0</v>
      </c>
      <c r="I3405" s="62" t="s">
        <v>81</v>
      </c>
      <c r="J3405" s="64" t="n">
        <v>0</v>
      </c>
      <c r="K3405" s="62" t="s">
        <v>138</v>
      </c>
      <c r="L3405" s="68" t="b">
        <f aca="false">TRUE()</f>
        <v>1</v>
      </c>
    </row>
    <row r="3406" customFormat="false" ht="15" hidden="false" customHeight="false" outlineLevel="0" collapsed="false">
      <c r="A3406" s="62" t="n">
        <v>0</v>
      </c>
      <c r="B3406" s="21" t="s">
        <v>336</v>
      </c>
      <c r="C3406" s="62" t="s">
        <v>60</v>
      </c>
      <c r="D3406" s="62" t="s">
        <v>388</v>
      </c>
      <c r="E3406" s="62" t="s">
        <v>382</v>
      </c>
      <c r="F3406" s="62" t="s">
        <v>382</v>
      </c>
      <c r="G3406" s="63" t="s">
        <v>743</v>
      </c>
      <c r="H3406" s="64" t="n">
        <v>0</v>
      </c>
      <c r="I3406" s="62" t="s">
        <v>81</v>
      </c>
      <c r="J3406" s="64" t="n">
        <v>0</v>
      </c>
      <c r="K3406" s="62" t="s">
        <v>138</v>
      </c>
      <c r="L3406" s="68" t="b">
        <f aca="false">TRUE()</f>
        <v>1</v>
      </c>
    </row>
    <row r="3407" customFormat="false" ht="15" hidden="false" customHeight="false" outlineLevel="0" collapsed="false">
      <c r="A3407" s="62" t="n">
        <v>0</v>
      </c>
      <c r="B3407" s="21" t="s">
        <v>336</v>
      </c>
      <c r="C3407" s="62" t="s">
        <v>60</v>
      </c>
      <c r="D3407" s="62" t="s">
        <v>381</v>
      </c>
      <c r="E3407" s="62" t="s">
        <v>382</v>
      </c>
      <c r="F3407" s="62" t="s">
        <v>382</v>
      </c>
      <c r="G3407" s="63" t="s">
        <v>744</v>
      </c>
      <c r="H3407" s="64" t="n">
        <v>0</v>
      </c>
      <c r="I3407" s="62" t="s">
        <v>81</v>
      </c>
      <c r="J3407" s="64" t="n">
        <v>0</v>
      </c>
      <c r="K3407" s="62" t="s">
        <v>138</v>
      </c>
      <c r="L3407" s="68" t="b">
        <f aca="false">TRUE()</f>
        <v>1</v>
      </c>
    </row>
    <row r="3408" customFormat="false" ht="15" hidden="false" customHeight="false" outlineLevel="0" collapsed="false">
      <c r="A3408" s="62" t="n">
        <v>0</v>
      </c>
      <c r="B3408" s="21" t="s">
        <v>336</v>
      </c>
      <c r="C3408" s="62" t="s">
        <v>60</v>
      </c>
      <c r="D3408" s="62" t="s">
        <v>383</v>
      </c>
      <c r="E3408" s="62" t="s">
        <v>382</v>
      </c>
      <c r="F3408" s="62" t="s">
        <v>382</v>
      </c>
      <c r="G3408" s="63" t="s">
        <v>744</v>
      </c>
      <c r="H3408" s="64" t="n">
        <v>0</v>
      </c>
      <c r="I3408" s="62" t="s">
        <v>81</v>
      </c>
      <c r="J3408" s="64" t="n">
        <v>0</v>
      </c>
      <c r="K3408" s="62" t="s">
        <v>138</v>
      </c>
      <c r="L3408" s="68" t="b">
        <f aca="false">TRUE()</f>
        <v>1</v>
      </c>
    </row>
    <row r="3409" customFormat="false" ht="15" hidden="false" customHeight="false" outlineLevel="0" collapsed="false">
      <c r="A3409" s="62" t="n">
        <v>0</v>
      </c>
      <c r="B3409" s="21" t="s">
        <v>336</v>
      </c>
      <c r="C3409" s="62" t="s">
        <v>60</v>
      </c>
      <c r="D3409" s="62" t="s">
        <v>384</v>
      </c>
      <c r="E3409" s="62" t="s">
        <v>382</v>
      </c>
      <c r="F3409" s="62" t="s">
        <v>382</v>
      </c>
      <c r="G3409" s="63" t="s">
        <v>744</v>
      </c>
      <c r="H3409" s="64" t="n">
        <v>0</v>
      </c>
      <c r="I3409" s="62" t="s">
        <v>81</v>
      </c>
      <c r="J3409" s="64" t="n">
        <v>0</v>
      </c>
      <c r="K3409" s="62" t="s">
        <v>138</v>
      </c>
      <c r="L3409" s="68" t="b">
        <f aca="false">TRUE()</f>
        <v>1</v>
      </c>
    </row>
    <row r="3410" customFormat="false" ht="15" hidden="false" customHeight="false" outlineLevel="0" collapsed="false">
      <c r="A3410" s="62" t="n">
        <v>0</v>
      </c>
      <c r="B3410" s="21" t="s">
        <v>336</v>
      </c>
      <c r="C3410" s="62" t="s">
        <v>60</v>
      </c>
      <c r="D3410" s="62" t="s">
        <v>385</v>
      </c>
      <c r="E3410" s="62" t="s">
        <v>382</v>
      </c>
      <c r="F3410" s="62" t="s">
        <v>382</v>
      </c>
      <c r="G3410" s="63" t="s">
        <v>744</v>
      </c>
      <c r="H3410" s="64" t="n">
        <v>0</v>
      </c>
      <c r="I3410" s="62" t="s">
        <v>81</v>
      </c>
      <c r="J3410" s="64" t="n">
        <v>0</v>
      </c>
      <c r="K3410" s="62" t="s">
        <v>138</v>
      </c>
      <c r="L3410" s="68" t="b">
        <f aca="false">TRUE()</f>
        <v>1</v>
      </c>
    </row>
    <row r="3411" customFormat="false" ht="15" hidden="false" customHeight="false" outlineLevel="0" collapsed="false">
      <c r="A3411" s="62" t="n">
        <v>0</v>
      </c>
      <c r="B3411" s="21" t="s">
        <v>336</v>
      </c>
      <c r="C3411" s="62" t="s">
        <v>60</v>
      </c>
      <c r="D3411" s="62" t="s">
        <v>386</v>
      </c>
      <c r="E3411" s="62" t="s">
        <v>382</v>
      </c>
      <c r="F3411" s="62" t="s">
        <v>382</v>
      </c>
      <c r="G3411" s="63" t="s">
        <v>744</v>
      </c>
      <c r="H3411" s="64" t="n">
        <v>0</v>
      </c>
      <c r="I3411" s="62" t="s">
        <v>81</v>
      </c>
      <c r="J3411" s="64" t="n">
        <v>0</v>
      </c>
      <c r="K3411" s="62" t="s">
        <v>138</v>
      </c>
      <c r="L3411" s="68" t="b">
        <f aca="false">TRUE()</f>
        <v>1</v>
      </c>
    </row>
    <row r="3412" customFormat="false" ht="15" hidden="false" customHeight="false" outlineLevel="0" collapsed="false">
      <c r="A3412" s="62" t="n">
        <v>0</v>
      </c>
      <c r="B3412" s="21" t="s">
        <v>336</v>
      </c>
      <c r="C3412" s="62" t="s">
        <v>60</v>
      </c>
      <c r="D3412" s="62" t="s">
        <v>387</v>
      </c>
      <c r="E3412" s="62" t="s">
        <v>382</v>
      </c>
      <c r="F3412" s="62" t="s">
        <v>382</v>
      </c>
      <c r="G3412" s="63" t="s">
        <v>744</v>
      </c>
      <c r="H3412" s="64" t="n">
        <v>0</v>
      </c>
      <c r="I3412" s="62" t="s">
        <v>81</v>
      </c>
      <c r="J3412" s="64" t="n">
        <v>0</v>
      </c>
      <c r="K3412" s="62" t="s">
        <v>138</v>
      </c>
      <c r="L3412" s="68" t="b">
        <f aca="false">TRUE()</f>
        <v>1</v>
      </c>
    </row>
    <row r="3413" customFormat="false" ht="15" hidden="false" customHeight="false" outlineLevel="0" collapsed="false">
      <c r="A3413" s="62" t="n">
        <v>0</v>
      </c>
      <c r="B3413" s="21" t="s">
        <v>336</v>
      </c>
      <c r="C3413" s="62" t="s">
        <v>60</v>
      </c>
      <c r="D3413" s="62" t="s">
        <v>388</v>
      </c>
      <c r="E3413" s="62" t="s">
        <v>382</v>
      </c>
      <c r="F3413" s="62" t="s">
        <v>382</v>
      </c>
      <c r="G3413" s="63" t="s">
        <v>744</v>
      </c>
      <c r="H3413" s="64" t="n">
        <v>0</v>
      </c>
      <c r="I3413" s="62" t="s">
        <v>81</v>
      </c>
      <c r="J3413" s="64" t="n">
        <v>0</v>
      </c>
      <c r="K3413" s="62" t="s">
        <v>138</v>
      </c>
      <c r="L3413" s="68" t="b">
        <f aca="false">TRUE()</f>
        <v>1</v>
      </c>
    </row>
    <row r="3414" customFormat="false" ht="15" hidden="false" customHeight="false" outlineLevel="0" collapsed="false">
      <c r="A3414" s="62" t="n">
        <v>0</v>
      </c>
      <c r="B3414" s="21" t="s">
        <v>336</v>
      </c>
      <c r="C3414" s="62" t="s">
        <v>60</v>
      </c>
      <c r="D3414" s="62" t="s">
        <v>381</v>
      </c>
      <c r="E3414" s="62" t="s">
        <v>382</v>
      </c>
      <c r="F3414" s="62" t="s">
        <v>382</v>
      </c>
      <c r="G3414" s="63" t="s">
        <v>745</v>
      </c>
      <c r="H3414" s="64" t="n">
        <v>0</v>
      </c>
      <c r="I3414" s="62" t="s">
        <v>81</v>
      </c>
      <c r="J3414" s="64" t="n">
        <v>0</v>
      </c>
      <c r="K3414" s="62" t="s">
        <v>138</v>
      </c>
      <c r="L3414" s="68" t="b">
        <f aca="false">TRUE()</f>
        <v>1</v>
      </c>
    </row>
    <row r="3415" customFormat="false" ht="15" hidden="false" customHeight="false" outlineLevel="0" collapsed="false">
      <c r="A3415" s="62" t="n">
        <v>0</v>
      </c>
      <c r="B3415" s="21" t="s">
        <v>336</v>
      </c>
      <c r="C3415" s="62" t="s">
        <v>60</v>
      </c>
      <c r="D3415" s="62" t="s">
        <v>383</v>
      </c>
      <c r="E3415" s="62" t="s">
        <v>382</v>
      </c>
      <c r="F3415" s="62" t="s">
        <v>382</v>
      </c>
      <c r="G3415" s="63" t="s">
        <v>745</v>
      </c>
      <c r="H3415" s="64" t="n">
        <v>0</v>
      </c>
      <c r="I3415" s="62" t="s">
        <v>81</v>
      </c>
      <c r="J3415" s="64" t="n">
        <v>0</v>
      </c>
      <c r="K3415" s="62" t="s">
        <v>138</v>
      </c>
      <c r="L3415" s="68" t="b">
        <f aca="false">TRUE()</f>
        <v>1</v>
      </c>
    </row>
    <row r="3416" customFormat="false" ht="15" hidden="false" customHeight="false" outlineLevel="0" collapsed="false">
      <c r="A3416" s="62" t="n">
        <v>0</v>
      </c>
      <c r="B3416" s="21" t="s">
        <v>336</v>
      </c>
      <c r="C3416" s="62" t="s">
        <v>60</v>
      </c>
      <c r="D3416" s="62" t="s">
        <v>384</v>
      </c>
      <c r="E3416" s="62" t="s">
        <v>382</v>
      </c>
      <c r="F3416" s="62" t="s">
        <v>382</v>
      </c>
      <c r="G3416" s="63" t="s">
        <v>745</v>
      </c>
      <c r="H3416" s="64" t="n">
        <v>0</v>
      </c>
      <c r="I3416" s="62" t="s">
        <v>81</v>
      </c>
      <c r="J3416" s="64" t="n">
        <v>0</v>
      </c>
      <c r="K3416" s="62" t="s">
        <v>138</v>
      </c>
      <c r="L3416" s="68" t="b">
        <f aca="false">TRUE()</f>
        <v>1</v>
      </c>
    </row>
    <row r="3417" customFormat="false" ht="15" hidden="false" customHeight="false" outlineLevel="0" collapsed="false">
      <c r="A3417" s="62" t="n">
        <v>0</v>
      </c>
      <c r="B3417" s="21" t="s">
        <v>336</v>
      </c>
      <c r="C3417" s="62" t="s">
        <v>60</v>
      </c>
      <c r="D3417" s="62" t="s">
        <v>385</v>
      </c>
      <c r="E3417" s="62" t="s">
        <v>382</v>
      </c>
      <c r="F3417" s="62" t="s">
        <v>382</v>
      </c>
      <c r="G3417" s="63" t="s">
        <v>745</v>
      </c>
      <c r="H3417" s="64" t="n">
        <v>0</v>
      </c>
      <c r="I3417" s="62" t="s">
        <v>81</v>
      </c>
      <c r="J3417" s="64" t="n">
        <v>0</v>
      </c>
      <c r="K3417" s="62" t="s">
        <v>138</v>
      </c>
      <c r="L3417" s="68" t="b">
        <f aca="false">TRUE()</f>
        <v>1</v>
      </c>
    </row>
    <row r="3418" customFormat="false" ht="15" hidden="false" customHeight="false" outlineLevel="0" collapsed="false">
      <c r="A3418" s="62" t="n">
        <v>0</v>
      </c>
      <c r="B3418" s="21" t="s">
        <v>336</v>
      </c>
      <c r="C3418" s="62" t="s">
        <v>60</v>
      </c>
      <c r="D3418" s="62" t="s">
        <v>386</v>
      </c>
      <c r="E3418" s="62" t="s">
        <v>382</v>
      </c>
      <c r="F3418" s="62" t="s">
        <v>382</v>
      </c>
      <c r="G3418" s="63" t="s">
        <v>745</v>
      </c>
      <c r="H3418" s="64" t="n">
        <v>0</v>
      </c>
      <c r="I3418" s="62" t="s">
        <v>81</v>
      </c>
      <c r="J3418" s="64" t="n">
        <v>0</v>
      </c>
      <c r="K3418" s="62" t="s">
        <v>138</v>
      </c>
      <c r="L3418" s="68" t="b">
        <f aca="false">TRUE()</f>
        <v>1</v>
      </c>
    </row>
    <row r="3419" customFormat="false" ht="15" hidden="false" customHeight="false" outlineLevel="0" collapsed="false">
      <c r="A3419" s="62" t="n">
        <v>0</v>
      </c>
      <c r="B3419" s="21" t="s">
        <v>336</v>
      </c>
      <c r="C3419" s="62" t="s">
        <v>60</v>
      </c>
      <c r="D3419" s="62" t="s">
        <v>387</v>
      </c>
      <c r="E3419" s="62" t="s">
        <v>382</v>
      </c>
      <c r="F3419" s="62" t="s">
        <v>382</v>
      </c>
      <c r="G3419" s="63" t="s">
        <v>745</v>
      </c>
      <c r="H3419" s="64" t="n">
        <v>0</v>
      </c>
      <c r="I3419" s="62" t="s">
        <v>81</v>
      </c>
      <c r="J3419" s="64" t="n">
        <v>0</v>
      </c>
      <c r="K3419" s="62" t="s">
        <v>138</v>
      </c>
      <c r="L3419" s="68" t="b">
        <f aca="false">TRUE()</f>
        <v>1</v>
      </c>
    </row>
    <row r="3420" customFormat="false" ht="15" hidden="false" customHeight="false" outlineLevel="0" collapsed="false">
      <c r="A3420" s="62" t="n">
        <v>0</v>
      </c>
      <c r="B3420" s="21" t="s">
        <v>336</v>
      </c>
      <c r="C3420" s="62" t="s">
        <v>60</v>
      </c>
      <c r="D3420" s="62" t="s">
        <v>388</v>
      </c>
      <c r="E3420" s="62" t="s">
        <v>382</v>
      </c>
      <c r="F3420" s="62" t="s">
        <v>382</v>
      </c>
      <c r="G3420" s="63" t="s">
        <v>745</v>
      </c>
      <c r="H3420" s="64" t="n">
        <v>0</v>
      </c>
      <c r="I3420" s="62" t="s">
        <v>81</v>
      </c>
      <c r="J3420" s="64" t="n">
        <v>0</v>
      </c>
      <c r="K3420" s="62" t="s">
        <v>138</v>
      </c>
      <c r="L3420" s="68" t="b">
        <f aca="false">TRUE()</f>
        <v>1</v>
      </c>
    </row>
    <row r="3421" customFormat="false" ht="15" hidden="false" customHeight="false" outlineLevel="0" collapsed="false">
      <c r="A3421" s="62" t="n">
        <v>0</v>
      </c>
      <c r="B3421" s="21" t="s">
        <v>336</v>
      </c>
      <c r="C3421" s="62" t="s">
        <v>60</v>
      </c>
      <c r="D3421" s="62" t="s">
        <v>381</v>
      </c>
      <c r="E3421" s="62" t="s">
        <v>382</v>
      </c>
      <c r="F3421" s="62" t="s">
        <v>382</v>
      </c>
      <c r="G3421" s="63" t="s">
        <v>746</v>
      </c>
      <c r="H3421" s="64" t="n">
        <v>0</v>
      </c>
      <c r="I3421" s="62" t="s">
        <v>81</v>
      </c>
      <c r="J3421" s="64" t="n">
        <v>0</v>
      </c>
      <c r="K3421" s="62" t="s">
        <v>138</v>
      </c>
      <c r="L3421" s="68" t="b">
        <f aca="false">TRUE()</f>
        <v>1</v>
      </c>
    </row>
    <row r="3422" customFormat="false" ht="15" hidden="false" customHeight="false" outlineLevel="0" collapsed="false">
      <c r="A3422" s="62" t="n">
        <v>0</v>
      </c>
      <c r="B3422" s="21" t="s">
        <v>336</v>
      </c>
      <c r="C3422" s="62" t="s">
        <v>60</v>
      </c>
      <c r="D3422" s="62" t="s">
        <v>383</v>
      </c>
      <c r="E3422" s="62" t="s">
        <v>382</v>
      </c>
      <c r="F3422" s="62" t="s">
        <v>382</v>
      </c>
      <c r="G3422" s="63" t="s">
        <v>746</v>
      </c>
      <c r="H3422" s="64" t="n">
        <v>0</v>
      </c>
      <c r="I3422" s="62" t="s">
        <v>81</v>
      </c>
      <c r="J3422" s="64" t="n">
        <v>0</v>
      </c>
      <c r="K3422" s="62" t="s">
        <v>138</v>
      </c>
      <c r="L3422" s="68" t="b">
        <f aca="false">TRUE()</f>
        <v>1</v>
      </c>
    </row>
    <row r="3423" customFormat="false" ht="15" hidden="false" customHeight="false" outlineLevel="0" collapsed="false">
      <c r="A3423" s="62" t="n">
        <v>0</v>
      </c>
      <c r="B3423" s="21" t="s">
        <v>336</v>
      </c>
      <c r="C3423" s="62" t="s">
        <v>60</v>
      </c>
      <c r="D3423" s="62" t="s">
        <v>384</v>
      </c>
      <c r="E3423" s="62" t="s">
        <v>382</v>
      </c>
      <c r="F3423" s="62" t="s">
        <v>382</v>
      </c>
      <c r="G3423" s="63" t="s">
        <v>746</v>
      </c>
      <c r="H3423" s="64" t="n">
        <v>0</v>
      </c>
      <c r="I3423" s="62" t="s">
        <v>81</v>
      </c>
      <c r="J3423" s="64" t="n">
        <v>0</v>
      </c>
      <c r="K3423" s="62" t="s">
        <v>138</v>
      </c>
      <c r="L3423" s="68" t="b">
        <f aca="false">TRUE()</f>
        <v>1</v>
      </c>
    </row>
    <row r="3424" customFormat="false" ht="15" hidden="false" customHeight="false" outlineLevel="0" collapsed="false">
      <c r="A3424" s="62" t="n">
        <v>0</v>
      </c>
      <c r="B3424" s="21" t="s">
        <v>336</v>
      </c>
      <c r="C3424" s="62" t="s">
        <v>60</v>
      </c>
      <c r="D3424" s="62" t="s">
        <v>385</v>
      </c>
      <c r="E3424" s="62" t="s">
        <v>382</v>
      </c>
      <c r="F3424" s="62" t="s">
        <v>382</v>
      </c>
      <c r="G3424" s="63" t="s">
        <v>746</v>
      </c>
      <c r="H3424" s="64" t="n">
        <v>0</v>
      </c>
      <c r="I3424" s="62" t="s">
        <v>81</v>
      </c>
      <c r="J3424" s="64" t="n">
        <v>0</v>
      </c>
      <c r="K3424" s="62" t="s">
        <v>138</v>
      </c>
      <c r="L3424" s="68" t="b">
        <f aca="false">TRUE()</f>
        <v>1</v>
      </c>
    </row>
    <row r="3425" customFormat="false" ht="15" hidden="false" customHeight="false" outlineLevel="0" collapsed="false">
      <c r="A3425" s="62" t="n">
        <v>0</v>
      </c>
      <c r="B3425" s="21" t="s">
        <v>336</v>
      </c>
      <c r="C3425" s="62" t="s">
        <v>60</v>
      </c>
      <c r="D3425" s="62" t="s">
        <v>386</v>
      </c>
      <c r="E3425" s="62" t="s">
        <v>382</v>
      </c>
      <c r="F3425" s="62" t="s">
        <v>382</v>
      </c>
      <c r="G3425" s="63" t="s">
        <v>746</v>
      </c>
      <c r="H3425" s="64" t="n">
        <v>0</v>
      </c>
      <c r="I3425" s="62" t="s">
        <v>81</v>
      </c>
      <c r="J3425" s="64" t="n">
        <v>0</v>
      </c>
      <c r="K3425" s="62" t="s">
        <v>138</v>
      </c>
      <c r="L3425" s="68" t="b">
        <f aca="false">TRUE()</f>
        <v>1</v>
      </c>
    </row>
    <row r="3426" customFormat="false" ht="15" hidden="false" customHeight="false" outlineLevel="0" collapsed="false">
      <c r="A3426" s="62" t="n">
        <v>0</v>
      </c>
      <c r="B3426" s="21" t="s">
        <v>336</v>
      </c>
      <c r="C3426" s="62" t="s">
        <v>60</v>
      </c>
      <c r="D3426" s="62" t="s">
        <v>387</v>
      </c>
      <c r="E3426" s="62" t="s">
        <v>382</v>
      </c>
      <c r="F3426" s="62" t="s">
        <v>382</v>
      </c>
      <c r="G3426" s="63" t="s">
        <v>746</v>
      </c>
      <c r="H3426" s="64" t="n">
        <v>0</v>
      </c>
      <c r="I3426" s="62" t="s">
        <v>81</v>
      </c>
      <c r="J3426" s="64" t="n">
        <v>0</v>
      </c>
      <c r="K3426" s="62" t="s">
        <v>138</v>
      </c>
      <c r="L3426" s="68" t="b">
        <f aca="false">TRUE()</f>
        <v>1</v>
      </c>
    </row>
    <row r="3427" customFormat="false" ht="15" hidden="false" customHeight="false" outlineLevel="0" collapsed="false">
      <c r="A3427" s="62" t="n">
        <v>0</v>
      </c>
      <c r="B3427" s="21" t="s">
        <v>336</v>
      </c>
      <c r="C3427" s="62" t="s">
        <v>60</v>
      </c>
      <c r="D3427" s="62" t="s">
        <v>388</v>
      </c>
      <c r="E3427" s="62" t="s">
        <v>382</v>
      </c>
      <c r="F3427" s="62" t="s">
        <v>382</v>
      </c>
      <c r="G3427" s="63" t="s">
        <v>746</v>
      </c>
      <c r="H3427" s="64" t="n">
        <v>0</v>
      </c>
      <c r="I3427" s="62" t="s">
        <v>81</v>
      </c>
      <c r="J3427" s="64" t="n">
        <v>0</v>
      </c>
      <c r="K3427" s="62" t="s">
        <v>138</v>
      </c>
      <c r="L3427" s="68" t="b">
        <f aca="false">TRUE()</f>
        <v>1</v>
      </c>
    </row>
    <row r="3428" customFormat="false" ht="15" hidden="false" customHeight="false" outlineLevel="0" collapsed="false">
      <c r="A3428" s="62" t="n">
        <v>0</v>
      </c>
      <c r="B3428" s="21" t="s">
        <v>336</v>
      </c>
      <c r="C3428" s="62" t="s">
        <v>60</v>
      </c>
      <c r="D3428" s="62" t="s">
        <v>381</v>
      </c>
      <c r="E3428" s="62" t="s">
        <v>382</v>
      </c>
      <c r="F3428" s="62" t="s">
        <v>382</v>
      </c>
      <c r="G3428" s="63" t="s">
        <v>747</v>
      </c>
      <c r="H3428" s="64" t="n">
        <v>0</v>
      </c>
      <c r="I3428" s="62" t="s">
        <v>81</v>
      </c>
      <c r="J3428" s="64" t="n">
        <v>0</v>
      </c>
      <c r="K3428" s="62" t="s">
        <v>138</v>
      </c>
      <c r="L3428" s="68" t="b">
        <f aca="false">TRUE()</f>
        <v>1</v>
      </c>
    </row>
    <row r="3429" customFormat="false" ht="15" hidden="false" customHeight="false" outlineLevel="0" collapsed="false">
      <c r="A3429" s="62" t="n">
        <v>0</v>
      </c>
      <c r="B3429" s="21" t="s">
        <v>336</v>
      </c>
      <c r="C3429" s="62" t="s">
        <v>60</v>
      </c>
      <c r="D3429" s="62" t="s">
        <v>383</v>
      </c>
      <c r="E3429" s="62" t="s">
        <v>382</v>
      </c>
      <c r="F3429" s="62" t="s">
        <v>382</v>
      </c>
      <c r="G3429" s="63" t="s">
        <v>747</v>
      </c>
      <c r="H3429" s="64" t="n">
        <v>0</v>
      </c>
      <c r="I3429" s="62" t="s">
        <v>81</v>
      </c>
      <c r="J3429" s="64" t="n">
        <v>0</v>
      </c>
      <c r="K3429" s="62" t="s">
        <v>138</v>
      </c>
      <c r="L3429" s="68" t="b">
        <f aca="false">TRUE()</f>
        <v>1</v>
      </c>
    </row>
    <row r="3430" customFormat="false" ht="15" hidden="false" customHeight="false" outlineLevel="0" collapsed="false">
      <c r="A3430" s="62" t="n">
        <v>0</v>
      </c>
      <c r="B3430" s="21" t="s">
        <v>336</v>
      </c>
      <c r="C3430" s="62" t="s">
        <v>60</v>
      </c>
      <c r="D3430" s="62" t="s">
        <v>384</v>
      </c>
      <c r="E3430" s="62" t="s">
        <v>382</v>
      </c>
      <c r="F3430" s="62" t="s">
        <v>382</v>
      </c>
      <c r="G3430" s="63" t="s">
        <v>747</v>
      </c>
      <c r="H3430" s="64" t="n">
        <v>0</v>
      </c>
      <c r="I3430" s="62" t="s">
        <v>81</v>
      </c>
      <c r="J3430" s="64" t="n">
        <v>0</v>
      </c>
      <c r="K3430" s="62" t="s">
        <v>138</v>
      </c>
      <c r="L3430" s="68" t="b">
        <f aca="false">TRUE()</f>
        <v>1</v>
      </c>
    </row>
    <row r="3431" customFormat="false" ht="15" hidden="false" customHeight="false" outlineLevel="0" collapsed="false">
      <c r="A3431" s="62" t="n">
        <v>0</v>
      </c>
      <c r="B3431" s="21" t="s">
        <v>336</v>
      </c>
      <c r="C3431" s="62" t="s">
        <v>60</v>
      </c>
      <c r="D3431" s="62" t="s">
        <v>385</v>
      </c>
      <c r="E3431" s="62" t="s">
        <v>382</v>
      </c>
      <c r="F3431" s="62" t="s">
        <v>382</v>
      </c>
      <c r="G3431" s="63" t="s">
        <v>747</v>
      </c>
      <c r="H3431" s="64" t="n">
        <v>0</v>
      </c>
      <c r="I3431" s="62" t="s">
        <v>81</v>
      </c>
      <c r="J3431" s="64" t="n">
        <v>0</v>
      </c>
      <c r="K3431" s="62" t="s">
        <v>138</v>
      </c>
      <c r="L3431" s="68" t="b">
        <f aca="false">TRUE()</f>
        <v>1</v>
      </c>
    </row>
    <row r="3432" customFormat="false" ht="15" hidden="false" customHeight="false" outlineLevel="0" collapsed="false">
      <c r="A3432" s="62" t="n">
        <v>0</v>
      </c>
      <c r="B3432" s="21" t="s">
        <v>336</v>
      </c>
      <c r="C3432" s="62" t="s">
        <v>60</v>
      </c>
      <c r="D3432" s="62" t="s">
        <v>386</v>
      </c>
      <c r="E3432" s="62" t="s">
        <v>382</v>
      </c>
      <c r="F3432" s="62" t="s">
        <v>382</v>
      </c>
      <c r="G3432" s="63" t="s">
        <v>747</v>
      </c>
      <c r="H3432" s="64" t="n">
        <v>0</v>
      </c>
      <c r="I3432" s="62" t="s">
        <v>81</v>
      </c>
      <c r="J3432" s="64" t="n">
        <v>0</v>
      </c>
      <c r="K3432" s="62" t="s">
        <v>138</v>
      </c>
      <c r="L3432" s="68" t="b">
        <f aca="false">TRUE()</f>
        <v>1</v>
      </c>
    </row>
    <row r="3433" customFormat="false" ht="15" hidden="false" customHeight="false" outlineLevel="0" collapsed="false">
      <c r="A3433" s="62" t="n">
        <v>0</v>
      </c>
      <c r="B3433" s="21" t="s">
        <v>336</v>
      </c>
      <c r="C3433" s="62" t="s">
        <v>60</v>
      </c>
      <c r="D3433" s="62" t="s">
        <v>387</v>
      </c>
      <c r="E3433" s="62" t="s">
        <v>382</v>
      </c>
      <c r="F3433" s="62" t="s">
        <v>382</v>
      </c>
      <c r="G3433" s="63" t="s">
        <v>747</v>
      </c>
      <c r="H3433" s="64" t="n">
        <v>0</v>
      </c>
      <c r="I3433" s="62" t="s">
        <v>81</v>
      </c>
      <c r="J3433" s="64" t="n">
        <v>0</v>
      </c>
      <c r="K3433" s="62" t="s">
        <v>138</v>
      </c>
      <c r="L3433" s="68" t="b">
        <f aca="false">TRUE()</f>
        <v>1</v>
      </c>
    </row>
    <row r="3434" customFormat="false" ht="15" hidden="false" customHeight="false" outlineLevel="0" collapsed="false">
      <c r="A3434" s="62" t="n">
        <v>0</v>
      </c>
      <c r="B3434" s="21" t="s">
        <v>336</v>
      </c>
      <c r="C3434" s="62" t="s">
        <v>60</v>
      </c>
      <c r="D3434" s="62" t="s">
        <v>388</v>
      </c>
      <c r="E3434" s="62" t="s">
        <v>382</v>
      </c>
      <c r="F3434" s="62" t="s">
        <v>382</v>
      </c>
      <c r="G3434" s="63" t="s">
        <v>747</v>
      </c>
      <c r="H3434" s="64" t="n">
        <v>0</v>
      </c>
      <c r="I3434" s="62" t="s">
        <v>81</v>
      </c>
      <c r="J3434" s="64" t="n">
        <v>0</v>
      </c>
      <c r="K3434" s="62" t="s">
        <v>138</v>
      </c>
      <c r="L3434" s="68" t="b">
        <f aca="false">TRUE()</f>
        <v>1</v>
      </c>
    </row>
    <row r="3435" customFormat="false" ht="15" hidden="false" customHeight="false" outlineLevel="0" collapsed="false">
      <c r="A3435" s="62" t="n">
        <v>1</v>
      </c>
      <c r="B3435" s="21" t="s">
        <v>336</v>
      </c>
      <c r="C3435" s="62" t="s">
        <v>60</v>
      </c>
      <c r="D3435" s="62" t="s">
        <v>381</v>
      </c>
      <c r="E3435" s="62" t="s">
        <v>105</v>
      </c>
      <c r="F3435" s="62" t="s">
        <v>382</v>
      </c>
      <c r="G3435" s="63" t="s">
        <v>267</v>
      </c>
      <c r="H3435" s="64" t="n">
        <v>46479518404.9282</v>
      </c>
      <c r="I3435" s="62" t="s">
        <v>81</v>
      </c>
      <c r="J3435" s="64" t="n">
        <v>46479518.4049282</v>
      </c>
      <c r="K3435" s="62" t="s">
        <v>138</v>
      </c>
      <c r="L3435" s="68" t="b">
        <f aca="false">TRUE()</f>
        <v>1</v>
      </c>
    </row>
    <row r="3436" customFormat="false" ht="15" hidden="false" customHeight="false" outlineLevel="0" collapsed="false">
      <c r="A3436" s="62" t="n">
        <v>1</v>
      </c>
      <c r="B3436" s="21" t="s">
        <v>336</v>
      </c>
      <c r="C3436" s="62" t="s">
        <v>60</v>
      </c>
      <c r="D3436" s="62" t="s">
        <v>383</v>
      </c>
      <c r="E3436" s="62" t="s">
        <v>105</v>
      </c>
      <c r="F3436" s="62" t="s">
        <v>382</v>
      </c>
      <c r="G3436" s="63" t="s">
        <v>267</v>
      </c>
      <c r="H3436" s="64" t="n">
        <v>63664086278.3436</v>
      </c>
      <c r="I3436" s="62" t="s">
        <v>81</v>
      </c>
      <c r="J3436" s="64" t="n">
        <v>63664086.2783436</v>
      </c>
      <c r="K3436" s="62" t="s">
        <v>138</v>
      </c>
      <c r="L3436" s="68" t="b">
        <f aca="false">TRUE()</f>
        <v>1</v>
      </c>
    </row>
    <row r="3437" customFormat="false" ht="15" hidden="false" customHeight="false" outlineLevel="0" collapsed="false">
      <c r="A3437" s="62" t="n">
        <v>1</v>
      </c>
      <c r="B3437" s="21" t="s">
        <v>336</v>
      </c>
      <c r="C3437" s="62" t="s">
        <v>60</v>
      </c>
      <c r="D3437" s="62" t="s">
        <v>384</v>
      </c>
      <c r="E3437" s="62" t="s">
        <v>105</v>
      </c>
      <c r="F3437" s="62" t="s">
        <v>382</v>
      </c>
      <c r="G3437" s="63" t="s">
        <v>267</v>
      </c>
      <c r="H3437" s="64" t="n">
        <v>48983960392.8447</v>
      </c>
      <c r="I3437" s="62" t="s">
        <v>81</v>
      </c>
      <c r="J3437" s="64" t="n">
        <v>48983960.3928447</v>
      </c>
      <c r="K3437" s="62" t="s">
        <v>138</v>
      </c>
      <c r="L3437" s="68" t="b">
        <f aca="false">TRUE()</f>
        <v>1</v>
      </c>
    </row>
    <row r="3438" customFormat="false" ht="15" hidden="false" customHeight="false" outlineLevel="0" collapsed="false">
      <c r="A3438" s="62" t="n">
        <v>1</v>
      </c>
      <c r="B3438" s="21" t="s">
        <v>336</v>
      </c>
      <c r="C3438" s="62" t="s">
        <v>60</v>
      </c>
      <c r="D3438" s="62" t="s">
        <v>385</v>
      </c>
      <c r="E3438" s="62" t="s">
        <v>105</v>
      </c>
      <c r="F3438" s="62" t="s">
        <v>382</v>
      </c>
      <c r="G3438" s="63" t="s">
        <v>267</v>
      </c>
      <c r="H3438" s="64" t="n">
        <v>32965268990.4068</v>
      </c>
      <c r="I3438" s="62" t="s">
        <v>81</v>
      </c>
      <c r="J3438" s="64" t="n">
        <v>32965268.9904068</v>
      </c>
      <c r="K3438" s="62" t="s">
        <v>138</v>
      </c>
      <c r="L3438" s="68" t="b">
        <f aca="false">TRUE()</f>
        <v>1</v>
      </c>
    </row>
    <row r="3439" customFormat="false" ht="15" hidden="false" customHeight="false" outlineLevel="0" collapsed="false">
      <c r="A3439" s="62" t="n">
        <v>1</v>
      </c>
      <c r="B3439" s="21" t="s">
        <v>336</v>
      </c>
      <c r="C3439" s="62" t="s">
        <v>60</v>
      </c>
      <c r="D3439" s="62" t="s">
        <v>386</v>
      </c>
      <c r="E3439" s="62" t="s">
        <v>105</v>
      </c>
      <c r="F3439" s="62" t="s">
        <v>382</v>
      </c>
      <c r="G3439" s="63" t="s">
        <v>267</v>
      </c>
      <c r="H3439" s="64" t="n">
        <v>36513302112.0522</v>
      </c>
      <c r="I3439" s="62" t="s">
        <v>81</v>
      </c>
      <c r="J3439" s="64" t="n">
        <v>36513302.1120522</v>
      </c>
      <c r="K3439" s="62" t="s">
        <v>138</v>
      </c>
      <c r="L3439" s="68" t="b">
        <f aca="false">TRUE()</f>
        <v>1</v>
      </c>
    </row>
    <row r="3440" customFormat="false" ht="15" hidden="false" customHeight="false" outlineLevel="0" collapsed="false">
      <c r="A3440" s="62" t="n">
        <v>1</v>
      </c>
      <c r="B3440" s="21" t="s">
        <v>336</v>
      </c>
      <c r="C3440" s="62" t="s">
        <v>60</v>
      </c>
      <c r="D3440" s="62" t="s">
        <v>387</v>
      </c>
      <c r="E3440" s="62" t="s">
        <v>105</v>
      </c>
      <c r="F3440" s="62" t="s">
        <v>382</v>
      </c>
      <c r="G3440" s="63" t="s">
        <v>267</v>
      </c>
      <c r="H3440" s="64" t="n">
        <v>47893222170.6776</v>
      </c>
      <c r="I3440" s="62" t="s">
        <v>81</v>
      </c>
      <c r="J3440" s="64" t="n">
        <v>47893222.1706776</v>
      </c>
      <c r="K3440" s="62" t="s">
        <v>138</v>
      </c>
      <c r="L3440" s="68" t="b">
        <f aca="false">TRUE()</f>
        <v>1</v>
      </c>
    </row>
    <row r="3441" customFormat="false" ht="15" hidden="false" customHeight="false" outlineLevel="0" collapsed="false">
      <c r="A3441" s="62" t="n">
        <v>1</v>
      </c>
      <c r="B3441" s="21" t="s">
        <v>336</v>
      </c>
      <c r="C3441" s="62" t="s">
        <v>60</v>
      </c>
      <c r="D3441" s="62" t="s">
        <v>388</v>
      </c>
      <c r="E3441" s="62" t="s">
        <v>105</v>
      </c>
      <c r="F3441" s="62" t="s">
        <v>382</v>
      </c>
      <c r="G3441" s="63" t="s">
        <v>267</v>
      </c>
      <c r="H3441" s="64" t="n">
        <v>27472487364</v>
      </c>
      <c r="I3441" s="62" t="s">
        <v>81</v>
      </c>
      <c r="J3441" s="64" t="n">
        <v>27472487.364</v>
      </c>
      <c r="K3441" s="62" t="s">
        <v>138</v>
      </c>
      <c r="L3441" s="68" t="b">
        <f aca="false">TRUE()</f>
        <v>1</v>
      </c>
    </row>
    <row r="3442" customFormat="false" ht="15" hidden="false" customHeight="false" outlineLevel="0" collapsed="false">
      <c r="A3442" s="62" t="n">
        <v>1</v>
      </c>
      <c r="B3442" s="21" t="s">
        <v>336</v>
      </c>
      <c r="C3442" s="62" t="s">
        <v>60</v>
      </c>
      <c r="D3442" s="62" t="s">
        <v>381</v>
      </c>
      <c r="E3442" s="62" t="s">
        <v>105</v>
      </c>
      <c r="F3442" s="62" t="s">
        <v>382</v>
      </c>
      <c r="G3442" s="63" t="s">
        <v>389</v>
      </c>
      <c r="H3442" s="64" t="n">
        <v>16759035917.5582</v>
      </c>
      <c r="I3442" s="62" t="s">
        <v>81</v>
      </c>
      <c r="J3442" s="64" t="n">
        <v>16759035.9175582</v>
      </c>
      <c r="K3442" s="62" t="s">
        <v>138</v>
      </c>
      <c r="L3442" s="68" t="b">
        <f aca="false">TRUE()</f>
        <v>1</v>
      </c>
    </row>
    <row r="3443" customFormat="false" ht="15" hidden="false" customHeight="false" outlineLevel="0" collapsed="false">
      <c r="A3443" s="62" t="n">
        <v>1</v>
      </c>
      <c r="B3443" s="21" t="s">
        <v>336</v>
      </c>
      <c r="C3443" s="62" t="s">
        <v>60</v>
      </c>
      <c r="D3443" s="62" t="s">
        <v>383</v>
      </c>
      <c r="E3443" s="62" t="s">
        <v>105</v>
      </c>
      <c r="F3443" s="62" t="s">
        <v>382</v>
      </c>
      <c r="G3443" s="63" t="s">
        <v>389</v>
      </c>
      <c r="H3443" s="64" t="n">
        <v>23541969519.0922</v>
      </c>
      <c r="I3443" s="62" t="s">
        <v>81</v>
      </c>
      <c r="J3443" s="64" t="n">
        <v>23541969.5190922</v>
      </c>
      <c r="K3443" s="62" t="s">
        <v>138</v>
      </c>
      <c r="L3443" s="68" t="b">
        <f aca="false">TRUE()</f>
        <v>1</v>
      </c>
    </row>
    <row r="3444" customFormat="false" ht="15" hidden="false" customHeight="false" outlineLevel="0" collapsed="false">
      <c r="A3444" s="62" t="n">
        <v>1</v>
      </c>
      <c r="B3444" s="21" t="s">
        <v>336</v>
      </c>
      <c r="C3444" s="62" t="s">
        <v>60</v>
      </c>
      <c r="D3444" s="62" t="s">
        <v>384</v>
      </c>
      <c r="E3444" s="62" t="s">
        <v>105</v>
      </c>
      <c r="F3444" s="62" t="s">
        <v>382</v>
      </c>
      <c r="G3444" s="63" t="s">
        <v>389</v>
      </c>
      <c r="H3444" s="64" t="n">
        <v>14544627687.4323</v>
      </c>
      <c r="I3444" s="62" t="s">
        <v>81</v>
      </c>
      <c r="J3444" s="64" t="n">
        <v>14544627.6874323</v>
      </c>
      <c r="K3444" s="62" t="s">
        <v>138</v>
      </c>
      <c r="L3444" s="68" t="b">
        <f aca="false">TRUE()</f>
        <v>1</v>
      </c>
    </row>
    <row r="3445" customFormat="false" ht="15" hidden="false" customHeight="false" outlineLevel="0" collapsed="false">
      <c r="A3445" s="62" t="n">
        <v>1</v>
      </c>
      <c r="B3445" s="21" t="s">
        <v>336</v>
      </c>
      <c r="C3445" s="62" t="s">
        <v>60</v>
      </c>
      <c r="D3445" s="62" t="s">
        <v>385</v>
      </c>
      <c r="E3445" s="62" t="s">
        <v>105</v>
      </c>
      <c r="F3445" s="62" t="s">
        <v>382</v>
      </c>
      <c r="G3445" s="63" t="s">
        <v>389</v>
      </c>
      <c r="H3445" s="64" t="n">
        <v>14110073588.1497</v>
      </c>
      <c r="I3445" s="62" t="s">
        <v>81</v>
      </c>
      <c r="J3445" s="64" t="n">
        <v>14110073.5881497</v>
      </c>
      <c r="K3445" s="62" t="s">
        <v>138</v>
      </c>
      <c r="L3445" s="68" t="b">
        <f aca="false">TRUE()</f>
        <v>1</v>
      </c>
    </row>
    <row r="3446" customFormat="false" ht="15" hidden="false" customHeight="false" outlineLevel="0" collapsed="false">
      <c r="A3446" s="62" t="n">
        <v>1</v>
      </c>
      <c r="B3446" s="21" t="s">
        <v>336</v>
      </c>
      <c r="C3446" s="62" t="s">
        <v>60</v>
      </c>
      <c r="D3446" s="62" t="s">
        <v>386</v>
      </c>
      <c r="E3446" s="62" t="s">
        <v>105</v>
      </c>
      <c r="F3446" s="62" t="s">
        <v>382</v>
      </c>
      <c r="G3446" s="63" t="s">
        <v>389</v>
      </c>
      <c r="H3446" s="64" t="n">
        <v>12615972005.7305</v>
      </c>
      <c r="I3446" s="62" t="s">
        <v>81</v>
      </c>
      <c r="J3446" s="64" t="n">
        <v>12615972.0057305</v>
      </c>
      <c r="K3446" s="62" t="s">
        <v>138</v>
      </c>
      <c r="L3446" s="68" t="b">
        <f aca="false">TRUE()</f>
        <v>1</v>
      </c>
    </row>
    <row r="3447" customFormat="false" ht="15" hidden="false" customHeight="false" outlineLevel="0" collapsed="false">
      <c r="A3447" s="62" t="n">
        <v>1</v>
      </c>
      <c r="B3447" s="21" t="s">
        <v>336</v>
      </c>
      <c r="C3447" s="62" t="s">
        <v>60</v>
      </c>
      <c r="D3447" s="62" t="s">
        <v>387</v>
      </c>
      <c r="E3447" s="62" t="s">
        <v>105</v>
      </c>
      <c r="F3447" s="62" t="s">
        <v>382</v>
      </c>
      <c r="G3447" s="63" t="s">
        <v>389</v>
      </c>
      <c r="H3447" s="64" t="n">
        <v>21559958197.7851</v>
      </c>
      <c r="I3447" s="62" t="s">
        <v>81</v>
      </c>
      <c r="J3447" s="64" t="n">
        <v>21559958.1977851</v>
      </c>
      <c r="K3447" s="62" t="s">
        <v>138</v>
      </c>
      <c r="L3447" s="68" t="b">
        <f aca="false">TRUE()</f>
        <v>1</v>
      </c>
    </row>
    <row r="3448" customFormat="false" ht="15" hidden="false" customHeight="false" outlineLevel="0" collapsed="false">
      <c r="A3448" s="62" t="n">
        <v>1</v>
      </c>
      <c r="B3448" s="21" t="s">
        <v>336</v>
      </c>
      <c r="C3448" s="62" t="s">
        <v>60</v>
      </c>
      <c r="D3448" s="62" t="s">
        <v>388</v>
      </c>
      <c r="E3448" s="62" t="s">
        <v>105</v>
      </c>
      <c r="F3448" s="62" t="s">
        <v>382</v>
      </c>
      <c r="G3448" s="63" t="s">
        <v>389</v>
      </c>
      <c r="H3448" s="64" t="n">
        <v>16362214143.4808</v>
      </c>
      <c r="I3448" s="62" t="s">
        <v>81</v>
      </c>
      <c r="J3448" s="64" t="n">
        <v>16362214.1434808</v>
      </c>
      <c r="K3448" s="62" t="s">
        <v>138</v>
      </c>
      <c r="L3448" s="68" t="b">
        <f aca="false">TRUE()</f>
        <v>1</v>
      </c>
    </row>
    <row r="3449" customFormat="false" ht="15" hidden="false" customHeight="false" outlineLevel="0" collapsed="false">
      <c r="A3449" s="62" t="n">
        <v>1</v>
      </c>
      <c r="B3449" s="21" t="s">
        <v>336</v>
      </c>
      <c r="C3449" s="62" t="s">
        <v>60</v>
      </c>
      <c r="D3449" s="62" t="s">
        <v>381</v>
      </c>
      <c r="E3449" s="62" t="s">
        <v>105</v>
      </c>
      <c r="F3449" s="62" t="s">
        <v>382</v>
      </c>
      <c r="G3449" s="63" t="s">
        <v>390</v>
      </c>
      <c r="H3449" s="64" t="n">
        <v>6342543861.15284</v>
      </c>
      <c r="I3449" s="62" t="s">
        <v>81</v>
      </c>
      <c r="J3449" s="64" t="n">
        <v>6342543.86115284</v>
      </c>
      <c r="K3449" s="62" t="s">
        <v>138</v>
      </c>
      <c r="L3449" s="68" t="b">
        <f aca="false">TRUE()</f>
        <v>1</v>
      </c>
    </row>
    <row r="3450" customFormat="false" ht="15" hidden="false" customHeight="false" outlineLevel="0" collapsed="false">
      <c r="A3450" s="62" t="n">
        <v>1</v>
      </c>
      <c r="B3450" s="21" t="s">
        <v>336</v>
      </c>
      <c r="C3450" s="62" t="s">
        <v>60</v>
      </c>
      <c r="D3450" s="62" t="s">
        <v>383</v>
      </c>
      <c r="E3450" s="62" t="s">
        <v>105</v>
      </c>
      <c r="F3450" s="62" t="s">
        <v>382</v>
      </c>
      <c r="G3450" s="63" t="s">
        <v>390</v>
      </c>
      <c r="H3450" s="64" t="n">
        <v>6967709425.75127</v>
      </c>
      <c r="I3450" s="62" t="s">
        <v>81</v>
      </c>
      <c r="J3450" s="64" t="n">
        <v>6967709.42575127</v>
      </c>
      <c r="K3450" s="62" t="s">
        <v>138</v>
      </c>
      <c r="L3450" s="68" t="b">
        <f aca="false">TRUE()</f>
        <v>1</v>
      </c>
    </row>
    <row r="3451" customFormat="false" ht="15" hidden="false" customHeight="false" outlineLevel="0" collapsed="false">
      <c r="A3451" s="62" t="n">
        <v>1</v>
      </c>
      <c r="B3451" s="21" t="s">
        <v>336</v>
      </c>
      <c r="C3451" s="62" t="s">
        <v>60</v>
      </c>
      <c r="D3451" s="62" t="s">
        <v>384</v>
      </c>
      <c r="E3451" s="62" t="s">
        <v>105</v>
      </c>
      <c r="F3451" s="62" t="s">
        <v>382</v>
      </c>
      <c r="G3451" s="63" t="s">
        <v>390</v>
      </c>
      <c r="H3451" s="64" t="n">
        <v>8448149976.37876</v>
      </c>
      <c r="I3451" s="62" t="s">
        <v>81</v>
      </c>
      <c r="J3451" s="64" t="n">
        <v>8448149.97637876</v>
      </c>
      <c r="K3451" s="62" t="s">
        <v>138</v>
      </c>
      <c r="L3451" s="68" t="b">
        <f aca="false">TRUE()</f>
        <v>1</v>
      </c>
    </row>
    <row r="3452" customFormat="false" ht="15" hidden="false" customHeight="false" outlineLevel="0" collapsed="false">
      <c r="A3452" s="62" t="n">
        <v>1</v>
      </c>
      <c r="B3452" s="21" t="s">
        <v>336</v>
      </c>
      <c r="C3452" s="62" t="s">
        <v>60</v>
      </c>
      <c r="D3452" s="62" t="s">
        <v>385</v>
      </c>
      <c r="E3452" s="62" t="s">
        <v>105</v>
      </c>
      <c r="F3452" s="62" t="s">
        <v>382</v>
      </c>
      <c r="G3452" s="63" t="s">
        <v>390</v>
      </c>
      <c r="H3452" s="64" t="n">
        <v>4896289743.78424</v>
      </c>
      <c r="I3452" s="62" t="s">
        <v>81</v>
      </c>
      <c r="J3452" s="64" t="n">
        <v>4896289.74378424</v>
      </c>
      <c r="K3452" s="62" t="s">
        <v>138</v>
      </c>
      <c r="L3452" s="68" t="b">
        <f aca="false">TRUE()</f>
        <v>1</v>
      </c>
    </row>
    <row r="3453" customFormat="false" ht="15" hidden="false" customHeight="false" outlineLevel="0" collapsed="false">
      <c r="A3453" s="62" t="n">
        <v>1</v>
      </c>
      <c r="B3453" s="21" t="s">
        <v>336</v>
      </c>
      <c r="C3453" s="62" t="s">
        <v>60</v>
      </c>
      <c r="D3453" s="62" t="s">
        <v>386</v>
      </c>
      <c r="E3453" s="62" t="s">
        <v>105</v>
      </c>
      <c r="F3453" s="62" t="s">
        <v>382</v>
      </c>
      <c r="G3453" s="63" t="s">
        <v>390</v>
      </c>
      <c r="H3453" s="64" t="n">
        <v>5791359863.66864</v>
      </c>
      <c r="I3453" s="62" t="s">
        <v>81</v>
      </c>
      <c r="J3453" s="64" t="n">
        <v>5791359.86366864</v>
      </c>
      <c r="K3453" s="62" t="s">
        <v>138</v>
      </c>
      <c r="L3453" s="68" t="b">
        <f aca="false">TRUE()</f>
        <v>1</v>
      </c>
    </row>
    <row r="3454" customFormat="false" ht="15" hidden="false" customHeight="false" outlineLevel="0" collapsed="false">
      <c r="A3454" s="62" t="n">
        <v>1</v>
      </c>
      <c r="B3454" s="21" t="s">
        <v>336</v>
      </c>
      <c r="C3454" s="62" t="s">
        <v>60</v>
      </c>
      <c r="D3454" s="62" t="s">
        <v>387</v>
      </c>
      <c r="E3454" s="62" t="s">
        <v>105</v>
      </c>
      <c r="F3454" s="62" t="s">
        <v>382</v>
      </c>
      <c r="G3454" s="63" t="s">
        <v>390</v>
      </c>
      <c r="H3454" s="64" t="n">
        <v>5860003876.90102</v>
      </c>
      <c r="I3454" s="62" t="s">
        <v>81</v>
      </c>
      <c r="J3454" s="64" t="n">
        <v>5860003.87690102</v>
      </c>
      <c r="K3454" s="62" t="s">
        <v>138</v>
      </c>
      <c r="L3454" s="68" t="b">
        <f aca="false">TRUE()</f>
        <v>1</v>
      </c>
    </row>
    <row r="3455" customFormat="false" ht="15" hidden="false" customHeight="false" outlineLevel="0" collapsed="false">
      <c r="A3455" s="62" t="n">
        <v>1</v>
      </c>
      <c r="B3455" s="21" t="s">
        <v>336</v>
      </c>
      <c r="C3455" s="62" t="s">
        <v>60</v>
      </c>
      <c r="D3455" s="62" t="s">
        <v>388</v>
      </c>
      <c r="E3455" s="62" t="s">
        <v>105</v>
      </c>
      <c r="F3455" s="62" t="s">
        <v>382</v>
      </c>
      <c r="G3455" s="63" t="s">
        <v>390</v>
      </c>
      <c r="H3455" s="64" t="n">
        <v>4839520000</v>
      </c>
      <c r="I3455" s="62" t="s">
        <v>81</v>
      </c>
      <c r="J3455" s="64" t="n">
        <v>4839520</v>
      </c>
      <c r="K3455" s="62" t="s">
        <v>138</v>
      </c>
      <c r="L3455" s="68" t="b">
        <f aca="false">TRUE()</f>
        <v>1</v>
      </c>
    </row>
    <row r="3456" customFormat="false" ht="15" hidden="false" customHeight="false" outlineLevel="0" collapsed="false">
      <c r="A3456" s="62" t="n">
        <v>1</v>
      </c>
      <c r="B3456" s="21" t="s">
        <v>336</v>
      </c>
      <c r="C3456" s="62" t="s">
        <v>60</v>
      </c>
      <c r="D3456" s="62" t="s">
        <v>381</v>
      </c>
      <c r="E3456" s="62" t="s">
        <v>105</v>
      </c>
      <c r="F3456" s="62" t="s">
        <v>382</v>
      </c>
      <c r="G3456" s="63" t="s">
        <v>391</v>
      </c>
      <c r="H3456" s="64" t="n">
        <v>12927498431.8747</v>
      </c>
      <c r="I3456" s="62" t="s">
        <v>81</v>
      </c>
      <c r="J3456" s="64" t="n">
        <v>12927498.4318747</v>
      </c>
      <c r="K3456" s="62" t="s">
        <v>138</v>
      </c>
      <c r="L3456" s="68" t="b">
        <f aca="false">TRUE()</f>
        <v>1</v>
      </c>
    </row>
    <row r="3457" customFormat="false" ht="15" hidden="false" customHeight="false" outlineLevel="0" collapsed="false">
      <c r="A3457" s="62" t="n">
        <v>1</v>
      </c>
      <c r="B3457" s="21" t="s">
        <v>336</v>
      </c>
      <c r="C3457" s="62" t="s">
        <v>60</v>
      </c>
      <c r="D3457" s="62" t="s">
        <v>383</v>
      </c>
      <c r="E3457" s="62" t="s">
        <v>105</v>
      </c>
      <c r="F3457" s="62" t="s">
        <v>382</v>
      </c>
      <c r="G3457" s="63" t="s">
        <v>391</v>
      </c>
      <c r="H3457" s="64" t="n">
        <v>4189208771.78431</v>
      </c>
      <c r="I3457" s="62" t="s">
        <v>81</v>
      </c>
      <c r="J3457" s="64" t="n">
        <v>4189208.77178431</v>
      </c>
      <c r="K3457" s="62" t="s">
        <v>138</v>
      </c>
      <c r="L3457" s="68" t="b">
        <f aca="false">TRUE()</f>
        <v>1</v>
      </c>
    </row>
    <row r="3458" customFormat="false" ht="15" hidden="false" customHeight="false" outlineLevel="0" collapsed="false">
      <c r="A3458" s="62" t="n">
        <v>1</v>
      </c>
      <c r="B3458" s="21" t="s">
        <v>336</v>
      </c>
      <c r="C3458" s="62" t="s">
        <v>60</v>
      </c>
      <c r="D3458" s="62" t="s">
        <v>384</v>
      </c>
      <c r="E3458" s="62" t="s">
        <v>105</v>
      </c>
      <c r="F3458" s="62" t="s">
        <v>382</v>
      </c>
      <c r="G3458" s="63" t="s">
        <v>391</v>
      </c>
      <c r="H3458" s="64" t="n">
        <v>7157343072.56458</v>
      </c>
      <c r="I3458" s="62" t="s">
        <v>81</v>
      </c>
      <c r="J3458" s="64" t="n">
        <v>7157343.07256458</v>
      </c>
      <c r="K3458" s="62" t="s">
        <v>138</v>
      </c>
      <c r="L3458" s="68" t="b">
        <f aca="false">TRUE()</f>
        <v>1</v>
      </c>
    </row>
    <row r="3459" customFormat="false" ht="15" hidden="false" customHeight="false" outlineLevel="0" collapsed="false">
      <c r="A3459" s="62" t="n">
        <v>1</v>
      </c>
      <c r="B3459" s="21" t="s">
        <v>336</v>
      </c>
      <c r="C3459" s="62" t="s">
        <v>60</v>
      </c>
      <c r="D3459" s="62" t="s">
        <v>385</v>
      </c>
      <c r="E3459" s="62" t="s">
        <v>105</v>
      </c>
      <c r="F3459" s="62" t="s">
        <v>382</v>
      </c>
      <c r="G3459" s="63" t="s">
        <v>391</v>
      </c>
      <c r="H3459" s="64" t="n">
        <v>0</v>
      </c>
      <c r="I3459" s="62" t="s">
        <v>81</v>
      </c>
      <c r="J3459" s="64" t="n">
        <v>0</v>
      </c>
      <c r="K3459" s="62" t="s">
        <v>138</v>
      </c>
      <c r="L3459" s="68" t="b">
        <f aca="false">TRUE()</f>
        <v>1</v>
      </c>
    </row>
    <row r="3460" customFormat="false" ht="15" hidden="false" customHeight="false" outlineLevel="0" collapsed="false">
      <c r="A3460" s="62" t="n">
        <v>1</v>
      </c>
      <c r="B3460" s="21" t="s">
        <v>336</v>
      </c>
      <c r="C3460" s="62" t="s">
        <v>60</v>
      </c>
      <c r="D3460" s="62" t="s">
        <v>386</v>
      </c>
      <c r="E3460" s="62" t="s">
        <v>105</v>
      </c>
      <c r="F3460" s="62" t="s">
        <v>382</v>
      </c>
      <c r="G3460" s="63" t="s">
        <v>391</v>
      </c>
      <c r="H3460" s="64" t="n">
        <v>5663654667.26401</v>
      </c>
      <c r="I3460" s="62" t="s">
        <v>81</v>
      </c>
      <c r="J3460" s="64" t="n">
        <v>5663654.66726401</v>
      </c>
      <c r="K3460" s="62" t="s">
        <v>138</v>
      </c>
      <c r="L3460" s="68" t="b">
        <f aca="false">TRUE()</f>
        <v>1</v>
      </c>
    </row>
    <row r="3461" customFormat="false" ht="15" hidden="false" customHeight="false" outlineLevel="0" collapsed="false">
      <c r="A3461" s="62" t="n">
        <v>1</v>
      </c>
      <c r="B3461" s="21" t="s">
        <v>336</v>
      </c>
      <c r="C3461" s="62" t="s">
        <v>60</v>
      </c>
      <c r="D3461" s="62" t="s">
        <v>387</v>
      </c>
      <c r="E3461" s="62" t="s">
        <v>105</v>
      </c>
      <c r="F3461" s="62" t="s">
        <v>382</v>
      </c>
      <c r="G3461" s="63" t="s">
        <v>391</v>
      </c>
      <c r="H3461" s="64" t="n">
        <v>2882275800.23416</v>
      </c>
      <c r="I3461" s="62" t="s">
        <v>81</v>
      </c>
      <c r="J3461" s="64" t="n">
        <v>2882275.80023416</v>
      </c>
      <c r="K3461" s="62" t="s">
        <v>138</v>
      </c>
      <c r="L3461" s="68" t="b">
        <f aca="false">TRUE()</f>
        <v>1</v>
      </c>
    </row>
    <row r="3462" customFormat="false" ht="15" hidden="false" customHeight="false" outlineLevel="0" collapsed="false">
      <c r="A3462" s="62" t="n">
        <v>1</v>
      </c>
      <c r="B3462" s="21" t="s">
        <v>336</v>
      </c>
      <c r="C3462" s="62" t="s">
        <v>60</v>
      </c>
      <c r="D3462" s="62" t="s">
        <v>388</v>
      </c>
      <c r="E3462" s="62" t="s">
        <v>105</v>
      </c>
      <c r="F3462" s="62" t="s">
        <v>382</v>
      </c>
      <c r="G3462" s="63" t="s">
        <v>391</v>
      </c>
      <c r="H3462" s="64" t="n">
        <v>0</v>
      </c>
      <c r="I3462" s="62" t="s">
        <v>81</v>
      </c>
      <c r="J3462" s="64" t="n">
        <v>0</v>
      </c>
      <c r="K3462" s="62" t="s">
        <v>138</v>
      </c>
      <c r="L3462" s="68" t="b">
        <f aca="false">TRUE()</f>
        <v>1</v>
      </c>
    </row>
    <row r="3463" customFormat="false" ht="15" hidden="false" customHeight="false" outlineLevel="0" collapsed="false">
      <c r="A3463" s="62" t="n">
        <v>1</v>
      </c>
      <c r="B3463" s="21" t="s">
        <v>336</v>
      </c>
      <c r="C3463" s="62" t="s">
        <v>60</v>
      </c>
      <c r="D3463" s="62" t="s">
        <v>381</v>
      </c>
      <c r="E3463" s="62" t="s">
        <v>105</v>
      </c>
      <c r="F3463" s="62" t="s">
        <v>382</v>
      </c>
      <c r="G3463" s="63" t="s">
        <v>392</v>
      </c>
      <c r="H3463" s="64" t="n">
        <v>1160295925.81436</v>
      </c>
      <c r="I3463" s="62" t="s">
        <v>81</v>
      </c>
      <c r="J3463" s="64" t="n">
        <v>1160295.92581436</v>
      </c>
      <c r="K3463" s="62" t="s">
        <v>138</v>
      </c>
      <c r="L3463" s="68" t="b">
        <f aca="false">TRUE()</f>
        <v>1</v>
      </c>
    </row>
    <row r="3464" customFormat="false" ht="15" hidden="false" customHeight="false" outlineLevel="0" collapsed="false">
      <c r="A3464" s="62" t="n">
        <v>1</v>
      </c>
      <c r="B3464" s="21" t="s">
        <v>336</v>
      </c>
      <c r="C3464" s="62" t="s">
        <v>60</v>
      </c>
      <c r="D3464" s="62" t="s">
        <v>383</v>
      </c>
      <c r="E3464" s="62" t="s">
        <v>105</v>
      </c>
      <c r="F3464" s="62" t="s">
        <v>382</v>
      </c>
      <c r="G3464" s="63" t="s">
        <v>392</v>
      </c>
      <c r="H3464" s="64" t="n">
        <v>1939295787.10139</v>
      </c>
      <c r="I3464" s="62" t="s">
        <v>81</v>
      </c>
      <c r="J3464" s="64" t="n">
        <v>1939295.78710139</v>
      </c>
      <c r="K3464" s="62" t="s">
        <v>138</v>
      </c>
      <c r="L3464" s="68" t="b">
        <f aca="false">TRUE()</f>
        <v>1</v>
      </c>
    </row>
    <row r="3465" customFormat="false" ht="15" hidden="false" customHeight="false" outlineLevel="0" collapsed="false">
      <c r="A3465" s="62" t="n">
        <v>1</v>
      </c>
      <c r="B3465" s="21" t="s">
        <v>336</v>
      </c>
      <c r="C3465" s="62" t="s">
        <v>60</v>
      </c>
      <c r="D3465" s="62" t="s">
        <v>384</v>
      </c>
      <c r="E3465" s="62" t="s">
        <v>105</v>
      </c>
      <c r="F3465" s="62" t="s">
        <v>382</v>
      </c>
      <c r="G3465" s="63" t="s">
        <v>392</v>
      </c>
      <c r="H3465" s="64" t="n">
        <v>1567067332.30724</v>
      </c>
      <c r="I3465" s="62" t="s">
        <v>81</v>
      </c>
      <c r="J3465" s="64" t="n">
        <v>1567067.33230724</v>
      </c>
      <c r="K3465" s="62" t="s">
        <v>138</v>
      </c>
      <c r="L3465" s="68" t="b">
        <f aca="false">TRUE()</f>
        <v>1</v>
      </c>
    </row>
    <row r="3466" customFormat="false" ht="15" hidden="false" customHeight="false" outlineLevel="0" collapsed="false">
      <c r="A3466" s="62" t="n">
        <v>1</v>
      </c>
      <c r="B3466" s="21" t="s">
        <v>336</v>
      </c>
      <c r="C3466" s="62" t="s">
        <v>60</v>
      </c>
      <c r="D3466" s="62" t="s">
        <v>385</v>
      </c>
      <c r="E3466" s="62" t="s">
        <v>105</v>
      </c>
      <c r="F3466" s="62" t="s">
        <v>382</v>
      </c>
      <c r="G3466" s="63" t="s">
        <v>392</v>
      </c>
      <c r="H3466" s="64" t="n">
        <v>855919875.908831</v>
      </c>
      <c r="I3466" s="62" t="s">
        <v>81</v>
      </c>
      <c r="J3466" s="64" t="n">
        <v>855919.875908831</v>
      </c>
      <c r="K3466" s="62" t="s">
        <v>138</v>
      </c>
      <c r="L3466" s="68" t="b">
        <f aca="false">TRUE()</f>
        <v>1</v>
      </c>
    </row>
    <row r="3467" customFormat="false" ht="15" hidden="false" customHeight="false" outlineLevel="0" collapsed="false">
      <c r="A3467" s="62" t="n">
        <v>1</v>
      </c>
      <c r="B3467" s="21" t="s">
        <v>336</v>
      </c>
      <c r="C3467" s="62" t="s">
        <v>60</v>
      </c>
      <c r="D3467" s="62" t="s">
        <v>386</v>
      </c>
      <c r="E3467" s="62" t="s">
        <v>105</v>
      </c>
      <c r="F3467" s="62" t="s">
        <v>382</v>
      </c>
      <c r="G3467" s="63" t="s">
        <v>392</v>
      </c>
      <c r="H3467" s="64" t="n">
        <v>330943875.469526</v>
      </c>
      <c r="I3467" s="62" t="s">
        <v>81</v>
      </c>
      <c r="J3467" s="64" t="n">
        <v>330943.875469526</v>
      </c>
      <c r="K3467" s="62" t="s">
        <v>138</v>
      </c>
      <c r="L3467" s="68" t="b">
        <f aca="false">TRUE()</f>
        <v>1</v>
      </c>
    </row>
    <row r="3468" customFormat="false" ht="15" hidden="false" customHeight="false" outlineLevel="0" collapsed="false">
      <c r="A3468" s="62" t="n">
        <v>1</v>
      </c>
      <c r="B3468" s="21" t="s">
        <v>336</v>
      </c>
      <c r="C3468" s="62" t="s">
        <v>60</v>
      </c>
      <c r="D3468" s="62" t="s">
        <v>387</v>
      </c>
      <c r="E3468" s="62" t="s">
        <v>105</v>
      </c>
      <c r="F3468" s="62" t="s">
        <v>382</v>
      </c>
      <c r="G3468" s="63" t="s">
        <v>392</v>
      </c>
      <c r="H3468" s="64" t="n">
        <v>1765281998.36599</v>
      </c>
      <c r="I3468" s="62" t="s">
        <v>81</v>
      </c>
      <c r="J3468" s="64" t="n">
        <v>1765281.99836599</v>
      </c>
      <c r="K3468" s="62" t="s">
        <v>138</v>
      </c>
      <c r="L3468" s="68" t="b">
        <f aca="false">TRUE()</f>
        <v>1</v>
      </c>
    </row>
    <row r="3469" customFormat="false" ht="15" hidden="false" customHeight="false" outlineLevel="0" collapsed="false">
      <c r="A3469" s="62" t="n">
        <v>1</v>
      </c>
      <c r="B3469" s="21" t="s">
        <v>336</v>
      </c>
      <c r="C3469" s="62" t="s">
        <v>60</v>
      </c>
      <c r="D3469" s="62" t="s">
        <v>388</v>
      </c>
      <c r="E3469" s="62" t="s">
        <v>105</v>
      </c>
      <c r="F3469" s="62" t="s">
        <v>382</v>
      </c>
      <c r="G3469" s="63" t="s">
        <v>392</v>
      </c>
      <c r="H3469" s="64" t="n">
        <v>0</v>
      </c>
      <c r="I3469" s="62" t="s">
        <v>81</v>
      </c>
      <c r="J3469" s="64" t="n">
        <v>0</v>
      </c>
      <c r="K3469" s="62" t="s">
        <v>138</v>
      </c>
      <c r="L3469" s="68" t="b">
        <f aca="false">TRUE()</f>
        <v>1</v>
      </c>
    </row>
    <row r="3470" customFormat="false" ht="15" hidden="false" customHeight="false" outlineLevel="0" collapsed="false">
      <c r="A3470" s="62" t="n">
        <v>1</v>
      </c>
      <c r="B3470" s="21" t="s">
        <v>336</v>
      </c>
      <c r="C3470" s="62" t="s">
        <v>60</v>
      </c>
      <c r="D3470" s="62" t="s">
        <v>381</v>
      </c>
      <c r="E3470" s="62" t="s">
        <v>105</v>
      </c>
      <c r="F3470" s="62" t="s">
        <v>382</v>
      </c>
      <c r="G3470" s="63" t="s">
        <v>393</v>
      </c>
      <c r="H3470" s="64" t="n">
        <v>1122191857.14286</v>
      </c>
      <c r="I3470" s="62" t="s">
        <v>81</v>
      </c>
      <c r="J3470" s="64" t="n">
        <v>1122191.85714286</v>
      </c>
      <c r="K3470" s="62" t="s">
        <v>138</v>
      </c>
      <c r="L3470" s="68" t="b">
        <f aca="false">TRUE()</f>
        <v>1</v>
      </c>
    </row>
    <row r="3471" customFormat="false" ht="15" hidden="false" customHeight="false" outlineLevel="0" collapsed="false">
      <c r="A3471" s="62" t="n">
        <v>1</v>
      </c>
      <c r="B3471" s="21" t="s">
        <v>336</v>
      </c>
      <c r="C3471" s="62" t="s">
        <v>60</v>
      </c>
      <c r="D3471" s="62" t="s">
        <v>383</v>
      </c>
      <c r="E3471" s="62" t="s">
        <v>105</v>
      </c>
      <c r="F3471" s="62" t="s">
        <v>382</v>
      </c>
      <c r="G3471" s="63" t="s">
        <v>393</v>
      </c>
      <c r="H3471" s="64" t="n">
        <v>1813270428.57143</v>
      </c>
      <c r="I3471" s="62" t="s">
        <v>81</v>
      </c>
      <c r="J3471" s="64" t="n">
        <v>1813270.42857143</v>
      </c>
      <c r="K3471" s="62" t="s">
        <v>138</v>
      </c>
      <c r="L3471" s="68" t="b">
        <f aca="false">TRUE()</f>
        <v>1</v>
      </c>
    </row>
    <row r="3472" customFormat="false" ht="15" hidden="false" customHeight="false" outlineLevel="0" collapsed="false">
      <c r="A3472" s="62" t="n">
        <v>1</v>
      </c>
      <c r="B3472" s="21" t="s">
        <v>336</v>
      </c>
      <c r="C3472" s="62" t="s">
        <v>60</v>
      </c>
      <c r="D3472" s="62" t="s">
        <v>384</v>
      </c>
      <c r="E3472" s="62" t="s">
        <v>105</v>
      </c>
      <c r="F3472" s="62" t="s">
        <v>382</v>
      </c>
      <c r="G3472" s="63" t="s">
        <v>393</v>
      </c>
      <c r="H3472" s="64" t="n">
        <v>720207657.142857</v>
      </c>
      <c r="I3472" s="62" t="s">
        <v>81</v>
      </c>
      <c r="J3472" s="64" t="n">
        <v>720207.657142857</v>
      </c>
      <c r="K3472" s="62" t="s">
        <v>138</v>
      </c>
      <c r="L3472" s="68" t="b">
        <f aca="false">TRUE()</f>
        <v>1</v>
      </c>
    </row>
    <row r="3473" customFormat="false" ht="15" hidden="false" customHeight="false" outlineLevel="0" collapsed="false">
      <c r="A3473" s="62" t="n">
        <v>1</v>
      </c>
      <c r="B3473" s="21" t="s">
        <v>336</v>
      </c>
      <c r="C3473" s="62" t="s">
        <v>60</v>
      </c>
      <c r="D3473" s="62" t="s">
        <v>385</v>
      </c>
      <c r="E3473" s="62" t="s">
        <v>105</v>
      </c>
      <c r="F3473" s="62" t="s">
        <v>382</v>
      </c>
      <c r="G3473" s="63" t="s">
        <v>393</v>
      </c>
      <c r="H3473" s="64" t="n">
        <v>667136571.428572</v>
      </c>
      <c r="I3473" s="62" t="s">
        <v>81</v>
      </c>
      <c r="J3473" s="64" t="n">
        <v>667136.571428572</v>
      </c>
      <c r="K3473" s="62" t="s">
        <v>138</v>
      </c>
      <c r="L3473" s="68" t="b">
        <f aca="false">TRUE()</f>
        <v>1</v>
      </c>
    </row>
    <row r="3474" customFormat="false" ht="15" hidden="false" customHeight="false" outlineLevel="0" collapsed="false">
      <c r="A3474" s="62" t="n">
        <v>1</v>
      </c>
      <c r="B3474" s="21" t="s">
        <v>336</v>
      </c>
      <c r="C3474" s="62" t="s">
        <v>60</v>
      </c>
      <c r="D3474" s="62" t="s">
        <v>386</v>
      </c>
      <c r="E3474" s="62" t="s">
        <v>105</v>
      </c>
      <c r="F3474" s="62" t="s">
        <v>382</v>
      </c>
      <c r="G3474" s="63" t="s">
        <v>393</v>
      </c>
      <c r="H3474" s="64" t="n">
        <v>802446571.428572</v>
      </c>
      <c r="I3474" s="62" t="s">
        <v>81</v>
      </c>
      <c r="J3474" s="64" t="n">
        <v>802446.571428572</v>
      </c>
      <c r="K3474" s="62" t="s">
        <v>138</v>
      </c>
      <c r="L3474" s="68" t="b">
        <f aca="false">TRUE()</f>
        <v>1</v>
      </c>
    </row>
    <row r="3475" customFormat="false" ht="15" hidden="false" customHeight="false" outlineLevel="0" collapsed="false">
      <c r="A3475" s="62" t="n">
        <v>1</v>
      </c>
      <c r="B3475" s="21" t="s">
        <v>336</v>
      </c>
      <c r="C3475" s="62" t="s">
        <v>60</v>
      </c>
      <c r="D3475" s="62" t="s">
        <v>387</v>
      </c>
      <c r="E3475" s="62" t="s">
        <v>105</v>
      </c>
      <c r="F3475" s="62" t="s">
        <v>382</v>
      </c>
      <c r="G3475" s="63" t="s">
        <v>393</v>
      </c>
      <c r="H3475" s="64" t="n">
        <v>2957886000</v>
      </c>
      <c r="I3475" s="62" t="s">
        <v>81</v>
      </c>
      <c r="J3475" s="64" t="n">
        <v>2957886</v>
      </c>
      <c r="K3475" s="62" t="s">
        <v>138</v>
      </c>
      <c r="L3475" s="68" t="b">
        <f aca="false">TRUE()</f>
        <v>1</v>
      </c>
    </row>
    <row r="3476" customFormat="false" ht="15" hidden="false" customHeight="false" outlineLevel="0" collapsed="false">
      <c r="A3476" s="62" t="n">
        <v>1</v>
      </c>
      <c r="B3476" s="21" t="s">
        <v>336</v>
      </c>
      <c r="C3476" s="62" t="s">
        <v>60</v>
      </c>
      <c r="D3476" s="62" t="s">
        <v>388</v>
      </c>
      <c r="E3476" s="62" t="s">
        <v>105</v>
      </c>
      <c r="F3476" s="62" t="s">
        <v>382</v>
      </c>
      <c r="G3476" s="63" t="s">
        <v>393</v>
      </c>
      <c r="H3476" s="64" t="n">
        <v>1666575714.28571</v>
      </c>
      <c r="I3476" s="62" t="s">
        <v>81</v>
      </c>
      <c r="J3476" s="64" t="n">
        <v>1666575.71428571</v>
      </c>
      <c r="K3476" s="62" t="s">
        <v>138</v>
      </c>
      <c r="L3476" s="68" t="b">
        <f aca="false">TRUE()</f>
        <v>1</v>
      </c>
    </row>
    <row r="3477" customFormat="false" ht="15" hidden="false" customHeight="false" outlineLevel="0" collapsed="false">
      <c r="A3477" s="62" t="n">
        <v>1</v>
      </c>
      <c r="B3477" s="21" t="s">
        <v>336</v>
      </c>
      <c r="C3477" s="62" t="s">
        <v>60</v>
      </c>
      <c r="D3477" s="62" t="s">
        <v>381</v>
      </c>
      <c r="E3477" s="62" t="s">
        <v>105</v>
      </c>
      <c r="F3477" s="62" t="s">
        <v>382</v>
      </c>
      <c r="G3477" s="63" t="s">
        <v>394</v>
      </c>
      <c r="H3477" s="64" t="n">
        <v>1600000000</v>
      </c>
      <c r="I3477" s="62" t="s">
        <v>81</v>
      </c>
      <c r="J3477" s="64" t="n">
        <v>1600000</v>
      </c>
      <c r="K3477" s="62" t="s">
        <v>138</v>
      </c>
      <c r="L3477" s="68" t="b">
        <f aca="false">TRUE()</f>
        <v>1</v>
      </c>
    </row>
    <row r="3478" customFormat="false" ht="15" hidden="false" customHeight="false" outlineLevel="0" collapsed="false">
      <c r="A3478" s="62" t="n">
        <v>1</v>
      </c>
      <c r="B3478" s="21" t="s">
        <v>336</v>
      </c>
      <c r="C3478" s="62" t="s">
        <v>60</v>
      </c>
      <c r="D3478" s="62" t="s">
        <v>383</v>
      </c>
      <c r="E3478" s="62" t="s">
        <v>105</v>
      </c>
      <c r="F3478" s="62" t="s">
        <v>382</v>
      </c>
      <c r="G3478" s="63" t="s">
        <v>394</v>
      </c>
      <c r="H3478" s="64" t="n">
        <v>6954052000</v>
      </c>
      <c r="I3478" s="62" t="s">
        <v>81</v>
      </c>
      <c r="J3478" s="64" t="n">
        <v>6954052</v>
      </c>
      <c r="K3478" s="62" t="s">
        <v>138</v>
      </c>
      <c r="L3478" s="68" t="b">
        <f aca="false">TRUE()</f>
        <v>1</v>
      </c>
    </row>
    <row r="3479" customFormat="false" ht="15" hidden="false" customHeight="false" outlineLevel="0" collapsed="false">
      <c r="A3479" s="62" t="n">
        <v>1</v>
      </c>
      <c r="B3479" s="21" t="s">
        <v>336</v>
      </c>
      <c r="C3479" s="62" t="s">
        <v>60</v>
      </c>
      <c r="D3479" s="62" t="s">
        <v>384</v>
      </c>
      <c r="E3479" s="62" t="s">
        <v>105</v>
      </c>
      <c r="F3479" s="62" t="s">
        <v>382</v>
      </c>
      <c r="G3479" s="63" t="s">
        <v>394</v>
      </c>
      <c r="H3479" s="64" t="n">
        <v>1730505000</v>
      </c>
      <c r="I3479" s="62" t="s">
        <v>81</v>
      </c>
      <c r="J3479" s="64" t="n">
        <v>1730505</v>
      </c>
      <c r="K3479" s="62" t="s">
        <v>138</v>
      </c>
      <c r="L3479" s="68" t="b">
        <f aca="false">TRUE()</f>
        <v>1</v>
      </c>
    </row>
    <row r="3480" customFormat="false" ht="15" hidden="false" customHeight="false" outlineLevel="0" collapsed="false">
      <c r="A3480" s="62" t="n">
        <v>1</v>
      </c>
      <c r="B3480" s="21" t="s">
        <v>336</v>
      </c>
      <c r="C3480" s="62" t="s">
        <v>60</v>
      </c>
      <c r="D3480" s="62" t="s">
        <v>385</v>
      </c>
      <c r="E3480" s="62" t="s">
        <v>105</v>
      </c>
      <c r="F3480" s="62" t="s">
        <v>382</v>
      </c>
      <c r="G3480" s="63" t="s">
        <v>394</v>
      </c>
      <c r="H3480" s="64" t="n">
        <v>1931857000</v>
      </c>
      <c r="I3480" s="62" t="s">
        <v>81</v>
      </c>
      <c r="J3480" s="64" t="n">
        <v>1931857</v>
      </c>
      <c r="K3480" s="62" t="s">
        <v>138</v>
      </c>
      <c r="L3480" s="68" t="b">
        <f aca="false">TRUE()</f>
        <v>1</v>
      </c>
    </row>
    <row r="3481" customFormat="false" ht="15" hidden="false" customHeight="false" outlineLevel="0" collapsed="false">
      <c r="A3481" s="62" t="n">
        <v>1</v>
      </c>
      <c r="B3481" s="21" t="s">
        <v>336</v>
      </c>
      <c r="C3481" s="62" t="s">
        <v>60</v>
      </c>
      <c r="D3481" s="62" t="s">
        <v>386</v>
      </c>
      <c r="E3481" s="62" t="s">
        <v>105</v>
      </c>
      <c r="F3481" s="62" t="s">
        <v>382</v>
      </c>
      <c r="G3481" s="63" t="s">
        <v>394</v>
      </c>
      <c r="H3481" s="64" t="n">
        <v>2350000000</v>
      </c>
      <c r="I3481" s="62" t="s">
        <v>81</v>
      </c>
      <c r="J3481" s="64" t="n">
        <v>2350000</v>
      </c>
      <c r="K3481" s="62" t="s">
        <v>138</v>
      </c>
      <c r="L3481" s="68" t="b">
        <f aca="false">TRUE()</f>
        <v>1</v>
      </c>
    </row>
    <row r="3482" customFormat="false" ht="15" hidden="false" customHeight="false" outlineLevel="0" collapsed="false">
      <c r="A3482" s="62" t="n">
        <v>1</v>
      </c>
      <c r="B3482" s="21" t="s">
        <v>336</v>
      </c>
      <c r="C3482" s="62" t="s">
        <v>60</v>
      </c>
      <c r="D3482" s="62" t="s">
        <v>387</v>
      </c>
      <c r="E3482" s="62" t="s">
        <v>105</v>
      </c>
      <c r="F3482" s="62" t="s">
        <v>382</v>
      </c>
      <c r="G3482" s="63" t="s">
        <v>394</v>
      </c>
      <c r="H3482" s="64" t="n">
        <v>2108580000</v>
      </c>
      <c r="I3482" s="62" t="s">
        <v>81</v>
      </c>
      <c r="J3482" s="64" t="n">
        <v>2108580</v>
      </c>
      <c r="K3482" s="62" t="s">
        <v>138</v>
      </c>
      <c r="L3482" s="68" t="b">
        <f aca="false">TRUE()</f>
        <v>1</v>
      </c>
    </row>
    <row r="3483" customFormat="false" ht="15" hidden="false" customHeight="false" outlineLevel="0" collapsed="false">
      <c r="A3483" s="62" t="n">
        <v>1</v>
      </c>
      <c r="B3483" s="21" t="s">
        <v>336</v>
      </c>
      <c r="C3483" s="62" t="s">
        <v>60</v>
      </c>
      <c r="D3483" s="62" t="s">
        <v>388</v>
      </c>
      <c r="E3483" s="62" t="s">
        <v>105</v>
      </c>
      <c r="F3483" s="62" t="s">
        <v>382</v>
      </c>
      <c r="G3483" s="63" t="s">
        <v>394</v>
      </c>
      <c r="H3483" s="64" t="n">
        <v>2425449000</v>
      </c>
      <c r="I3483" s="62" t="s">
        <v>81</v>
      </c>
      <c r="J3483" s="64" t="n">
        <v>2425449</v>
      </c>
      <c r="K3483" s="62" t="s">
        <v>138</v>
      </c>
      <c r="L3483" s="68" t="b">
        <f aca="false">TRUE()</f>
        <v>1</v>
      </c>
    </row>
    <row r="3484" customFormat="false" ht="15" hidden="false" customHeight="false" outlineLevel="0" collapsed="false">
      <c r="A3484" s="62" t="n">
        <v>1</v>
      </c>
      <c r="B3484" s="21" t="s">
        <v>336</v>
      </c>
      <c r="C3484" s="62" t="s">
        <v>60</v>
      </c>
      <c r="D3484" s="62" t="s">
        <v>381</v>
      </c>
      <c r="E3484" s="62" t="s">
        <v>105</v>
      </c>
      <c r="F3484" s="62" t="s">
        <v>382</v>
      </c>
      <c r="G3484" s="63" t="s">
        <v>395</v>
      </c>
      <c r="H3484" s="64" t="n">
        <v>362726306.152728</v>
      </c>
      <c r="I3484" s="62" t="s">
        <v>81</v>
      </c>
      <c r="J3484" s="64" t="n">
        <v>362726.306152728</v>
      </c>
      <c r="K3484" s="62" t="s">
        <v>138</v>
      </c>
      <c r="L3484" s="68" t="b">
        <f aca="false">TRUE()</f>
        <v>1</v>
      </c>
    </row>
    <row r="3485" customFormat="false" ht="15" hidden="false" customHeight="false" outlineLevel="0" collapsed="false">
      <c r="A3485" s="62" t="n">
        <v>1</v>
      </c>
      <c r="B3485" s="21" t="s">
        <v>336</v>
      </c>
      <c r="C3485" s="62" t="s">
        <v>60</v>
      </c>
      <c r="D3485" s="62" t="s">
        <v>383</v>
      </c>
      <c r="E3485" s="62" t="s">
        <v>105</v>
      </c>
      <c r="F3485" s="62" t="s">
        <v>382</v>
      </c>
      <c r="G3485" s="63" t="s">
        <v>395</v>
      </c>
      <c r="H3485" s="64" t="n">
        <v>262472131.222349</v>
      </c>
      <c r="I3485" s="62" t="s">
        <v>81</v>
      </c>
      <c r="J3485" s="64" t="n">
        <v>262472.131222349</v>
      </c>
      <c r="K3485" s="62" t="s">
        <v>138</v>
      </c>
      <c r="L3485" s="68" t="b">
        <f aca="false">TRUE()</f>
        <v>1</v>
      </c>
    </row>
    <row r="3486" customFormat="false" ht="15" hidden="false" customHeight="false" outlineLevel="0" collapsed="false">
      <c r="A3486" s="62" t="n">
        <v>1</v>
      </c>
      <c r="B3486" s="21" t="s">
        <v>336</v>
      </c>
      <c r="C3486" s="62" t="s">
        <v>60</v>
      </c>
      <c r="D3486" s="62" t="s">
        <v>384</v>
      </c>
      <c r="E3486" s="62" t="s">
        <v>105</v>
      </c>
      <c r="F3486" s="62" t="s">
        <v>382</v>
      </c>
      <c r="G3486" s="63" t="s">
        <v>395</v>
      </c>
      <c r="H3486" s="64" t="n">
        <v>278953396.183612</v>
      </c>
      <c r="I3486" s="62" t="s">
        <v>81</v>
      </c>
      <c r="J3486" s="64" t="n">
        <v>278953.396183612</v>
      </c>
      <c r="K3486" s="62" t="s">
        <v>138</v>
      </c>
      <c r="L3486" s="68" t="b">
        <f aca="false">TRUE()</f>
        <v>1</v>
      </c>
    </row>
    <row r="3487" customFormat="false" ht="15" hidden="false" customHeight="false" outlineLevel="0" collapsed="false">
      <c r="A3487" s="62" t="n">
        <v>1</v>
      </c>
      <c r="B3487" s="21" t="s">
        <v>336</v>
      </c>
      <c r="C3487" s="62" t="s">
        <v>60</v>
      </c>
      <c r="D3487" s="62" t="s">
        <v>385</v>
      </c>
      <c r="E3487" s="62" t="s">
        <v>105</v>
      </c>
      <c r="F3487" s="62" t="s">
        <v>382</v>
      </c>
      <c r="G3487" s="63" t="s">
        <v>395</v>
      </c>
      <c r="H3487" s="64" t="n">
        <v>344113181.205255</v>
      </c>
      <c r="I3487" s="62" t="s">
        <v>81</v>
      </c>
      <c r="J3487" s="64" t="n">
        <v>344113.181205255</v>
      </c>
      <c r="K3487" s="62" t="s">
        <v>138</v>
      </c>
      <c r="L3487" s="68" t="b">
        <f aca="false">TRUE()</f>
        <v>1</v>
      </c>
    </row>
    <row r="3488" customFormat="false" ht="15" hidden="false" customHeight="false" outlineLevel="0" collapsed="false">
      <c r="A3488" s="62" t="n">
        <v>1</v>
      </c>
      <c r="B3488" s="21" t="s">
        <v>336</v>
      </c>
      <c r="C3488" s="62" t="s">
        <v>60</v>
      </c>
      <c r="D3488" s="62" t="s">
        <v>386</v>
      </c>
      <c r="E3488" s="62" t="s">
        <v>105</v>
      </c>
      <c r="F3488" s="62" t="s">
        <v>382</v>
      </c>
      <c r="G3488" s="63" t="s">
        <v>395</v>
      </c>
      <c r="H3488" s="64" t="n">
        <v>217593521.347505</v>
      </c>
      <c r="I3488" s="62" t="s">
        <v>81</v>
      </c>
      <c r="J3488" s="64" t="n">
        <v>217593.521347505</v>
      </c>
      <c r="K3488" s="62" t="s">
        <v>138</v>
      </c>
      <c r="L3488" s="68" t="b">
        <f aca="false">TRUE()</f>
        <v>1</v>
      </c>
    </row>
    <row r="3489" customFormat="false" ht="15" hidden="false" customHeight="false" outlineLevel="0" collapsed="false">
      <c r="A3489" s="62" t="n">
        <v>1</v>
      </c>
      <c r="B3489" s="21" t="s">
        <v>336</v>
      </c>
      <c r="C3489" s="62" t="s">
        <v>60</v>
      </c>
      <c r="D3489" s="62" t="s">
        <v>387</v>
      </c>
      <c r="E3489" s="62" t="s">
        <v>105</v>
      </c>
      <c r="F3489" s="62" t="s">
        <v>382</v>
      </c>
      <c r="G3489" s="63" t="s">
        <v>395</v>
      </c>
      <c r="H3489" s="64" t="n">
        <v>299104749.670388</v>
      </c>
      <c r="I3489" s="62" t="s">
        <v>81</v>
      </c>
      <c r="J3489" s="64" t="n">
        <v>299104.749670388</v>
      </c>
      <c r="K3489" s="62" t="s">
        <v>138</v>
      </c>
      <c r="L3489" s="68" t="b">
        <f aca="false">TRUE()</f>
        <v>1</v>
      </c>
    </row>
    <row r="3490" customFormat="false" ht="15" hidden="false" customHeight="false" outlineLevel="0" collapsed="false">
      <c r="A3490" s="62" t="n">
        <v>1</v>
      </c>
      <c r="B3490" s="21" t="s">
        <v>336</v>
      </c>
      <c r="C3490" s="62" t="s">
        <v>60</v>
      </c>
      <c r="D3490" s="62" t="s">
        <v>388</v>
      </c>
      <c r="E3490" s="62" t="s">
        <v>105</v>
      </c>
      <c r="F3490" s="62" t="s">
        <v>382</v>
      </c>
      <c r="G3490" s="63" t="s">
        <v>395</v>
      </c>
      <c r="H3490" s="64" t="n">
        <v>222593521.347505</v>
      </c>
      <c r="I3490" s="62" t="s">
        <v>81</v>
      </c>
      <c r="J3490" s="64" t="n">
        <v>222593.521347505</v>
      </c>
      <c r="K3490" s="62" t="s">
        <v>138</v>
      </c>
      <c r="L3490" s="68" t="b">
        <f aca="false">TRUE()</f>
        <v>1</v>
      </c>
    </row>
    <row r="3491" customFormat="false" ht="15" hidden="false" customHeight="false" outlineLevel="0" collapsed="false">
      <c r="A3491" s="62" t="n">
        <v>1</v>
      </c>
      <c r="B3491" s="21" t="s">
        <v>336</v>
      </c>
      <c r="C3491" s="62" t="s">
        <v>60</v>
      </c>
      <c r="D3491" s="62" t="s">
        <v>381</v>
      </c>
      <c r="E3491" s="62" t="s">
        <v>105</v>
      </c>
      <c r="F3491" s="62" t="s">
        <v>382</v>
      </c>
      <c r="G3491" s="63" t="s">
        <v>271</v>
      </c>
      <c r="H3491" s="64" t="n">
        <v>40274292299.6956</v>
      </c>
      <c r="I3491" s="62" t="s">
        <v>81</v>
      </c>
      <c r="J3491" s="64" t="n">
        <v>40274292.2996956</v>
      </c>
      <c r="K3491" s="62" t="s">
        <v>138</v>
      </c>
      <c r="L3491" s="68" t="b">
        <f aca="false">TRUE()</f>
        <v>1</v>
      </c>
    </row>
    <row r="3492" customFormat="false" ht="15" hidden="false" customHeight="false" outlineLevel="0" collapsed="false">
      <c r="A3492" s="62" t="n">
        <v>1</v>
      </c>
      <c r="B3492" s="21" t="s">
        <v>336</v>
      </c>
      <c r="C3492" s="62" t="s">
        <v>60</v>
      </c>
      <c r="D3492" s="62" t="s">
        <v>383</v>
      </c>
      <c r="E3492" s="62" t="s">
        <v>105</v>
      </c>
      <c r="F3492" s="62" t="s">
        <v>382</v>
      </c>
      <c r="G3492" s="63" t="s">
        <v>271</v>
      </c>
      <c r="H3492" s="64" t="n">
        <v>45667978063.523</v>
      </c>
      <c r="I3492" s="62" t="s">
        <v>81</v>
      </c>
      <c r="J3492" s="64" t="n">
        <v>45667978.063523</v>
      </c>
      <c r="K3492" s="62" t="s">
        <v>138</v>
      </c>
      <c r="L3492" s="68" t="b">
        <f aca="false">TRUE()</f>
        <v>1</v>
      </c>
    </row>
    <row r="3493" customFormat="false" ht="15" hidden="false" customHeight="false" outlineLevel="0" collapsed="false">
      <c r="A3493" s="62" t="n">
        <v>1</v>
      </c>
      <c r="B3493" s="21" t="s">
        <v>336</v>
      </c>
      <c r="C3493" s="62" t="s">
        <v>60</v>
      </c>
      <c r="D3493" s="62" t="s">
        <v>384</v>
      </c>
      <c r="E3493" s="62" t="s">
        <v>105</v>
      </c>
      <c r="F3493" s="62" t="s">
        <v>382</v>
      </c>
      <c r="G3493" s="63" t="s">
        <v>271</v>
      </c>
      <c r="H3493" s="64" t="n">
        <v>34446854122.0093</v>
      </c>
      <c r="I3493" s="62" t="s">
        <v>81</v>
      </c>
      <c r="J3493" s="64" t="n">
        <v>34446854.1220093</v>
      </c>
      <c r="K3493" s="62" t="s">
        <v>138</v>
      </c>
      <c r="L3493" s="68" t="b">
        <f aca="false">TRUE()</f>
        <v>1</v>
      </c>
    </row>
    <row r="3494" customFormat="false" ht="15" hidden="false" customHeight="false" outlineLevel="0" collapsed="false">
      <c r="A3494" s="62" t="n">
        <v>1</v>
      </c>
      <c r="B3494" s="21" t="s">
        <v>336</v>
      </c>
      <c r="C3494" s="62" t="s">
        <v>60</v>
      </c>
      <c r="D3494" s="62" t="s">
        <v>385</v>
      </c>
      <c r="E3494" s="62" t="s">
        <v>105</v>
      </c>
      <c r="F3494" s="62" t="s">
        <v>382</v>
      </c>
      <c r="G3494" s="63" t="s">
        <v>271</v>
      </c>
      <c r="H3494" s="64" t="n">
        <v>22805389960.4766</v>
      </c>
      <c r="I3494" s="62" t="s">
        <v>81</v>
      </c>
      <c r="J3494" s="64" t="n">
        <v>22805389.9604766</v>
      </c>
      <c r="K3494" s="62" t="s">
        <v>138</v>
      </c>
      <c r="L3494" s="68" t="b">
        <f aca="false">TRUE()</f>
        <v>1</v>
      </c>
    </row>
    <row r="3495" customFormat="false" ht="15" hidden="false" customHeight="false" outlineLevel="0" collapsed="false">
      <c r="A3495" s="62" t="n">
        <v>1</v>
      </c>
      <c r="B3495" s="21" t="s">
        <v>336</v>
      </c>
      <c r="C3495" s="62" t="s">
        <v>60</v>
      </c>
      <c r="D3495" s="62" t="s">
        <v>386</v>
      </c>
      <c r="E3495" s="62" t="s">
        <v>105</v>
      </c>
      <c r="F3495" s="62" t="s">
        <v>382</v>
      </c>
      <c r="G3495" s="63" t="s">
        <v>271</v>
      </c>
      <c r="H3495" s="64" t="n">
        <v>27771970504.9088</v>
      </c>
      <c r="I3495" s="62" t="s">
        <v>81</v>
      </c>
      <c r="J3495" s="64" t="n">
        <v>27771970.5049088</v>
      </c>
      <c r="K3495" s="62" t="s">
        <v>138</v>
      </c>
      <c r="L3495" s="68" t="b">
        <f aca="false">TRUE()</f>
        <v>1</v>
      </c>
    </row>
    <row r="3496" customFormat="false" ht="15" hidden="false" customHeight="false" outlineLevel="0" collapsed="false">
      <c r="A3496" s="62" t="n">
        <v>1</v>
      </c>
      <c r="B3496" s="21" t="s">
        <v>336</v>
      </c>
      <c r="C3496" s="62" t="s">
        <v>60</v>
      </c>
      <c r="D3496" s="62" t="s">
        <v>387</v>
      </c>
      <c r="E3496" s="62" t="s">
        <v>105</v>
      </c>
      <c r="F3496" s="62" t="s">
        <v>382</v>
      </c>
      <c r="G3496" s="63" t="s">
        <v>271</v>
      </c>
      <c r="H3496" s="64" t="n">
        <v>37433090622.9567</v>
      </c>
      <c r="I3496" s="62" t="s">
        <v>81</v>
      </c>
      <c r="J3496" s="64" t="n">
        <v>37433090.6229567</v>
      </c>
      <c r="K3496" s="62" t="s">
        <v>138</v>
      </c>
      <c r="L3496" s="68" t="b">
        <f aca="false">TRUE()</f>
        <v>1</v>
      </c>
    </row>
    <row r="3497" customFormat="false" ht="15" hidden="false" customHeight="false" outlineLevel="0" collapsed="false">
      <c r="A3497" s="62" t="n">
        <v>1</v>
      </c>
      <c r="B3497" s="21" t="s">
        <v>336</v>
      </c>
      <c r="C3497" s="62" t="s">
        <v>60</v>
      </c>
      <c r="D3497" s="62" t="s">
        <v>388</v>
      </c>
      <c r="E3497" s="62" t="s">
        <v>105</v>
      </c>
      <c r="F3497" s="62" t="s">
        <v>382</v>
      </c>
      <c r="G3497" s="63" t="s">
        <v>271</v>
      </c>
      <c r="H3497" s="64" t="n">
        <v>25516352379.1141</v>
      </c>
      <c r="I3497" s="62" t="s">
        <v>81</v>
      </c>
      <c r="J3497" s="64" t="n">
        <v>25516352.3791141</v>
      </c>
      <c r="K3497" s="62" t="s">
        <v>138</v>
      </c>
      <c r="L3497" s="68" t="b">
        <f aca="false">TRUE()</f>
        <v>1</v>
      </c>
    </row>
    <row r="3498" customFormat="false" ht="15" hidden="false" customHeight="false" outlineLevel="0" collapsed="false">
      <c r="A3498" s="62" t="n">
        <v>1</v>
      </c>
      <c r="B3498" s="21" t="s">
        <v>336</v>
      </c>
      <c r="C3498" s="62" t="s">
        <v>60</v>
      </c>
      <c r="D3498" s="62" t="s">
        <v>381</v>
      </c>
      <c r="E3498" s="62" t="s">
        <v>105</v>
      </c>
      <c r="F3498" s="62" t="s">
        <v>382</v>
      </c>
      <c r="G3498" s="63" t="s">
        <v>272</v>
      </c>
      <c r="H3498" s="64" t="n">
        <v>6205226105.23255</v>
      </c>
      <c r="I3498" s="62" t="s">
        <v>81</v>
      </c>
      <c r="J3498" s="64" t="n">
        <v>6205226.10523255</v>
      </c>
      <c r="K3498" s="62" t="s">
        <v>138</v>
      </c>
      <c r="L3498" s="68" t="b">
        <f aca="false">TRUE()</f>
        <v>1</v>
      </c>
    </row>
    <row r="3499" customFormat="false" ht="15" hidden="false" customHeight="false" outlineLevel="0" collapsed="false">
      <c r="A3499" s="62" t="n">
        <v>1</v>
      </c>
      <c r="B3499" s="21" t="s">
        <v>336</v>
      </c>
      <c r="C3499" s="62" t="s">
        <v>60</v>
      </c>
      <c r="D3499" s="62" t="s">
        <v>383</v>
      </c>
      <c r="E3499" s="62" t="s">
        <v>105</v>
      </c>
      <c r="F3499" s="62" t="s">
        <v>382</v>
      </c>
      <c r="G3499" s="63" t="s">
        <v>272</v>
      </c>
      <c r="H3499" s="64" t="n">
        <v>17996108214.8206</v>
      </c>
      <c r="I3499" s="62" t="s">
        <v>81</v>
      </c>
      <c r="J3499" s="64" t="n">
        <v>17996108.2148206</v>
      </c>
      <c r="K3499" s="62" t="s">
        <v>138</v>
      </c>
      <c r="L3499" s="68" t="b">
        <f aca="false">TRUE()</f>
        <v>1</v>
      </c>
    </row>
    <row r="3500" customFormat="false" ht="15" hidden="false" customHeight="false" outlineLevel="0" collapsed="false">
      <c r="A3500" s="62" t="n">
        <v>1</v>
      </c>
      <c r="B3500" s="21" t="s">
        <v>336</v>
      </c>
      <c r="C3500" s="62" t="s">
        <v>60</v>
      </c>
      <c r="D3500" s="62" t="s">
        <v>384</v>
      </c>
      <c r="E3500" s="62" t="s">
        <v>105</v>
      </c>
      <c r="F3500" s="62" t="s">
        <v>382</v>
      </c>
      <c r="G3500" s="63" t="s">
        <v>272</v>
      </c>
      <c r="H3500" s="64" t="n">
        <v>14537106270.8354</v>
      </c>
      <c r="I3500" s="62" t="s">
        <v>81</v>
      </c>
      <c r="J3500" s="64" t="n">
        <v>14537106.2708354</v>
      </c>
      <c r="K3500" s="62" t="s">
        <v>138</v>
      </c>
      <c r="L3500" s="68" t="b">
        <f aca="false">TRUE()</f>
        <v>1</v>
      </c>
    </row>
    <row r="3501" customFormat="false" ht="15" hidden="false" customHeight="false" outlineLevel="0" collapsed="false">
      <c r="A3501" s="62" t="n">
        <v>1</v>
      </c>
      <c r="B3501" s="21" t="s">
        <v>336</v>
      </c>
      <c r="C3501" s="62" t="s">
        <v>60</v>
      </c>
      <c r="D3501" s="62" t="s">
        <v>385</v>
      </c>
      <c r="E3501" s="62" t="s">
        <v>105</v>
      </c>
      <c r="F3501" s="62" t="s">
        <v>382</v>
      </c>
      <c r="G3501" s="63" t="s">
        <v>272</v>
      </c>
      <c r="H3501" s="64" t="n">
        <v>10159879029.9302</v>
      </c>
      <c r="I3501" s="62" t="s">
        <v>81</v>
      </c>
      <c r="J3501" s="64" t="n">
        <v>10159879.0299302</v>
      </c>
      <c r="K3501" s="62" t="s">
        <v>138</v>
      </c>
      <c r="L3501" s="68" t="b">
        <f aca="false">TRUE()</f>
        <v>1</v>
      </c>
    </row>
    <row r="3502" customFormat="false" ht="15" hidden="false" customHeight="false" outlineLevel="0" collapsed="false">
      <c r="A3502" s="62" t="n">
        <v>1</v>
      </c>
      <c r="B3502" s="21" t="s">
        <v>336</v>
      </c>
      <c r="C3502" s="62" t="s">
        <v>60</v>
      </c>
      <c r="D3502" s="62" t="s">
        <v>386</v>
      </c>
      <c r="E3502" s="62" t="s">
        <v>105</v>
      </c>
      <c r="F3502" s="62" t="s">
        <v>382</v>
      </c>
      <c r="G3502" s="63" t="s">
        <v>272</v>
      </c>
      <c r="H3502" s="64" t="n">
        <v>8741331607.14341</v>
      </c>
      <c r="I3502" s="62" t="s">
        <v>81</v>
      </c>
      <c r="J3502" s="64" t="n">
        <v>8741331.60714341</v>
      </c>
      <c r="K3502" s="62" t="s">
        <v>138</v>
      </c>
      <c r="L3502" s="68" t="b">
        <f aca="false">TRUE()</f>
        <v>1</v>
      </c>
    </row>
    <row r="3503" customFormat="false" ht="15" hidden="false" customHeight="false" outlineLevel="0" collapsed="false">
      <c r="A3503" s="62" t="n">
        <v>1</v>
      </c>
      <c r="B3503" s="21" t="s">
        <v>336</v>
      </c>
      <c r="C3503" s="62" t="s">
        <v>60</v>
      </c>
      <c r="D3503" s="62" t="s">
        <v>387</v>
      </c>
      <c r="E3503" s="62" t="s">
        <v>105</v>
      </c>
      <c r="F3503" s="62" t="s">
        <v>382</v>
      </c>
      <c r="G3503" s="63" t="s">
        <v>272</v>
      </c>
      <c r="H3503" s="64" t="n">
        <v>10460131547.7209</v>
      </c>
      <c r="I3503" s="62" t="s">
        <v>81</v>
      </c>
      <c r="J3503" s="64" t="n">
        <v>10460131.5477209</v>
      </c>
      <c r="K3503" s="62" t="s">
        <v>138</v>
      </c>
      <c r="L3503" s="68" t="b">
        <f aca="false">TRUE()</f>
        <v>1</v>
      </c>
    </row>
    <row r="3504" customFormat="false" ht="15" hidden="false" customHeight="false" outlineLevel="0" collapsed="false">
      <c r="A3504" s="62" t="n">
        <v>1</v>
      </c>
      <c r="B3504" s="21" t="s">
        <v>336</v>
      </c>
      <c r="C3504" s="62" t="s">
        <v>60</v>
      </c>
      <c r="D3504" s="62" t="s">
        <v>388</v>
      </c>
      <c r="E3504" s="62" t="s">
        <v>105</v>
      </c>
      <c r="F3504" s="62" t="s">
        <v>382</v>
      </c>
      <c r="G3504" s="63" t="s">
        <v>272</v>
      </c>
      <c r="H3504" s="64" t="n">
        <v>1956134984.88595</v>
      </c>
      <c r="I3504" s="62" t="s">
        <v>81</v>
      </c>
      <c r="J3504" s="64" t="n">
        <v>1956134.98488595</v>
      </c>
      <c r="K3504" s="62" t="s">
        <v>138</v>
      </c>
      <c r="L3504" s="68" t="b">
        <f aca="false">TRUE()</f>
        <v>1</v>
      </c>
    </row>
    <row r="3505" customFormat="false" ht="15" hidden="false" customHeight="false" outlineLevel="0" collapsed="false">
      <c r="A3505" s="62" t="n">
        <v>1</v>
      </c>
      <c r="B3505" s="21" t="s">
        <v>336</v>
      </c>
      <c r="C3505" s="62" t="s">
        <v>60</v>
      </c>
      <c r="D3505" s="62" t="s">
        <v>381</v>
      </c>
      <c r="E3505" s="62" t="s">
        <v>105</v>
      </c>
      <c r="F3505" s="62" t="s">
        <v>382</v>
      </c>
      <c r="G3505" s="63" t="s">
        <v>274</v>
      </c>
      <c r="H3505" s="64" t="n">
        <v>1082820420</v>
      </c>
      <c r="I3505" s="62" t="s">
        <v>81</v>
      </c>
      <c r="J3505" s="64" t="n">
        <v>1082820.42</v>
      </c>
      <c r="K3505" s="62" t="s">
        <v>138</v>
      </c>
      <c r="L3505" s="68" t="b">
        <f aca="false">TRUE()</f>
        <v>1</v>
      </c>
    </row>
    <row r="3506" customFormat="false" ht="15" hidden="false" customHeight="false" outlineLevel="0" collapsed="false">
      <c r="A3506" s="62" t="n">
        <v>1</v>
      </c>
      <c r="B3506" s="21" t="s">
        <v>336</v>
      </c>
      <c r="C3506" s="62" t="s">
        <v>60</v>
      </c>
      <c r="D3506" s="62" t="s">
        <v>383</v>
      </c>
      <c r="E3506" s="62" t="s">
        <v>105</v>
      </c>
      <c r="F3506" s="62" t="s">
        <v>382</v>
      </c>
      <c r="G3506" s="63" t="s">
        <v>274</v>
      </c>
      <c r="H3506" s="64" t="n">
        <v>1082820420</v>
      </c>
      <c r="I3506" s="62" t="s">
        <v>81</v>
      </c>
      <c r="J3506" s="64" t="n">
        <v>1082820.42</v>
      </c>
      <c r="K3506" s="62" t="s">
        <v>138</v>
      </c>
      <c r="L3506" s="68" t="b">
        <f aca="false">TRUE()</f>
        <v>1</v>
      </c>
    </row>
    <row r="3507" customFormat="false" ht="15" hidden="false" customHeight="false" outlineLevel="0" collapsed="false">
      <c r="A3507" s="62" t="n">
        <v>1</v>
      </c>
      <c r="B3507" s="21" t="s">
        <v>336</v>
      </c>
      <c r="C3507" s="62" t="s">
        <v>60</v>
      </c>
      <c r="D3507" s="62" t="s">
        <v>384</v>
      </c>
      <c r="E3507" s="62" t="s">
        <v>105</v>
      </c>
      <c r="F3507" s="62" t="s">
        <v>382</v>
      </c>
      <c r="G3507" s="63" t="s">
        <v>274</v>
      </c>
      <c r="H3507" s="64" t="n">
        <v>1082820420</v>
      </c>
      <c r="I3507" s="62" t="s">
        <v>81</v>
      </c>
      <c r="J3507" s="64" t="n">
        <v>1082820.42</v>
      </c>
      <c r="K3507" s="62" t="s">
        <v>138</v>
      </c>
      <c r="L3507" s="68" t="b">
        <f aca="false">TRUE()</f>
        <v>1</v>
      </c>
    </row>
    <row r="3508" customFormat="false" ht="15" hidden="false" customHeight="false" outlineLevel="0" collapsed="false">
      <c r="A3508" s="62" t="n">
        <v>1</v>
      </c>
      <c r="B3508" s="21" t="s">
        <v>336</v>
      </c>
      <c r="C3508" s="62" t="s">
        <v>60</v>
      </c>
      <c r="D3508" s="62" t="s">
        <v>385</v>
      </c>
      <c r="E3508" s="62" t="s">
        <v>105</v>
      </c>
      <c r="F3508" s="62" t="s">
        <v>382</v>
      </c>
      <c r="G3508" s="63" t="s">
        <v>274</v>
      </c>
      <c r="H3508" s="64" t="n">
        <v>1082820420</v>
      </c>
      <c r="I3508" s="62" t="s">
        <v>81</v>
      </c>
      <c r="J3508" s="64" t="n">
        <v>1082820.42</v>
      </c>
      <c r="K3508" s="62" t="s">
        <v>138</v>
      </c>
      <c r="L3508" s="68" t="b">
        <f aca="false">TRUE()</f>
        <v>1</v>
      </c>
    </row>
    <row r="3509" customFormat="false" ht="15" hidden="false" customHeight="false" outlineLevel="0" collapsed="false">
      <c r="A3509" s="62" t="n">
        <v>1</v>
      </c>
      <c r="B3509" s="21" t="s">
        <v>336</v>
      </c>
      <c r="C3509" s="62" t="s">
        <v>60</v>
      </c>
      <c r="D3509" s="62" t="s">
        <v>386</v>
      </c>
      <c r="E3509" s="62" t="s">
        <v>105</v>
      </c>
      <c r="F3509" s="62" t="s">
        <v>382</v>
      </c>
      <c r="G3509" s="63" t="s">
        <v>274</v>
      </c>
      <c r="H3509" s="64" t="n">
        <v>1082820420</v>
      </c>
      <c r="I3509" s="62" t="s">
        <v>81</v>
      </c>
      <c r="J3509" s="64" t="n">
        <v>1082820.42</v>
      </c>
      <c r="K3509" s="62" t="s">
        <v>138</v>
      </c>
      <c r="L3509" s="68" t="b">
        <f aca="false">TRUE()</f>
        <v>1</v>
      </c>
    </row>
    <row r="3510" customFormat="false" ht="15" hidden="false" customHeight="false" outlineLevel="0" collapsed="false">
      <c r="A3510" s="62" t="n">
        <v>1</v>
      </c>
      <c r="B3510" s="21" t="s">
        <v>336</v>
      </c>
      <c r="C3510" s="62" t="s">
        <v>60</v>
      </c>
      <c r="D3510" s="62" t="s">
        <v>387</v>
      </c>
      <c r="E3510" s="62" t="s">
        <v>105</v>
      </c>
      <c r="F3510" s="62" t="s">
        <v>382</v>
      </c>
      <c r="G3510" s="63" t="s">
        <v>274</v>
      </c>
      <c r="H3510" s="64" t="n">
        <v>1082820420</v>
      </c>
      <c r="I3510" s="62" t="s">
        <v>81</v>
      </c>
      <c r="J3510" s="64" t="n">
        <v>1082820.42</v>
      </c>
      <c r="K3510" s="62" t="s">
        <v>138</v>
      </c>
      <c r="L3510" s="68" t="b">
        <f aca="false">TRUE()</f>
        <v>1</v>
      </c>
    </row>
    <row r="3511" customFormat="false" ht="15" hidden="false" customHeight="false" outlineLevel="0" collapsed="false">
      <c r="A3511" s="62" t="n">
        <v>1</v>
      </c>
      <c r="B3511" s="21" t="s">
        <v>336</v>
      </c>
      <c r="C3511" s="62" t="s">
        <v>60</v>
      </c>
      <c r="D3511" s="62" t="s">
        <v>388</v>
      </c>
      <c r="E3511" s="62" t="s">
        <v>105</v>
      </c>
      <c r="F3511" s="62" t="s">
        <v>382</v>
      </c>
      <c r="G3511" s="63" t="s">
        <v>274</v>
      </c>
      <c r="H3511" s="64" t="n">
        <v>1082820420</v>
      </c>
      <c r="I3511" s="62" t="s">
        <v>81</v>
      </c>
      <c r="J3511" s="64" t="n">
        <v>1082820.42</v>
      </c>
      <c r="K3511" s="62" t="s">
        <v>138</v>
      </c>
      <c r="L3511" s="68" t="b">
        <f aca="false">TRUE()</f>
        <v>1</v>
      </c>
    </row>
    <row r="3512" customFormat="false" ht="15" hidden="false" customHeight="false" outlineLevel="0" collapsed="false">
      <c r="A3512" s="62" t="n">
        <v>1</v>
      </c>
      <c r="B3512" s="21" t="s">
        <v>336</v>
      </c>
      <c r="C3512" s="62" t="s">
        <v>60</v>
      </c>
      <c r="D3512" s="62" t="s">
        <v>381</v>
      </c>
      <c r="E3512" s="62" t="s">
        <v>105</v>
      </c>
      <c r="F3512" s="62" t="s">
        <v>382</v>
      </c>
      <c r="G3512" s="63" t="s">
        <v>275</v>
      </c>
      <c r="H3512" s="64" t="n">
        <v>5122405685.23255</v>
      </c>
      <c r="I3512" s="62" t="s">
        <v>81</v>
      </c>
      <c r="J3512" s="64" t="n">
        <v>5122405.68523255</v>
      </c>
      <c r="K3512" s="62" t="s">
        <v>138</v>
      </c>
      <c r="L3512" s="68" t="b">
        <f aca="false">TRUE()</f>
        <v>1</v>
      </c>
    </row>
    <row r="3513" customFormat="false" ht="15" hidden="false" customHeight="false" outlineLevel="0" collapsed="false">
      <c r="A3513" s="62" t="n">
        <v>1</v>
      </c>
      <c r="B3513" s="21" t="s">
        <v>336</v>
      </c>
      <c r="C3513" s="62" t="s">
        <v>60</v>
      </c>
      <c r="D3513" s="62" t="s">
        <v>383</v>
      </c>
      <c r="E3513" s="62" t="s">
        <v>105</v>
      </c>
      <c r="F3513" s="62" t="s">
        <v>382</v>
      </c>
      <c r="G3513" s="63" t="s">
        <v>275</v>
      </c>
      <c r="H3513" s="64" t="n">
        <v>16913287794.8206</v>
      </c>
      <c r="I3513" s="62" t="s">
        <v>81</v>
      </c>
      <c r="J3513" s="64" t="n">
        <v>16913287.7948206</v>
      </c>
      <c r="K3513" s="62" t="s">
        <v>138</v>
      </c>
      <c r="L3513" s="68" t="b">
        <f aca="false">TRUE()</f>
        <v>1</v>
      </c>
    </row>
    <row r="3514" customFormat="false" ht="15" hidden="false" customHeight="false" outlineLevel="0" collapsed="false">
      <c r="A3514" s="62" t="n">
        <v>1</v>
      </c>
      <c r="B3514" s="21" t="s">
        <v>336</v>
      </c>
      <c r="C3514" s="62" t="s">
        <v>60</v>
      </c>
      <c r="D3514" s="62" t="s">
        <v>384</v>
      </c>
      <c r="E3514" s="62" t="s">
        <v>105</v>
      </c>
      <c r="F3514" s="62" t="s">
        <v>382</v>
      </c>
      <c r="G3514" s="63" t="s">
        <v>275</v>
      </c>
      <c r="H3514" s="64" t="n">
        <v>13454285850.8354</v>
      </c>
      <c r="I3514" s="62" t="s">
        <v>81</v>
      </c>
      <c r="J3514" s="64" t="n">
        <v>13454285.8508354</v>
      </c>
      <c r="K3514" s="62" t="s">
        <v>138</v>
      </c>
      <c r="L3514" s="68" t="b">
        <f aca="false">TRUE()</f>
        <v>1</v>
      </c>
    </row>
    <row r="3515" customFormat="false" ht="15" hidden="false" customHeight="false" outlineLevel="0" collapsed="false">
      <c r="A3515" s="62" t="n">
        <v>1</v>
      </c>
      <c r="B3515" s="21" t="s">
        <v>336</v>
      </c>
      <c r="C3515" s="62" t="s">
        <v>60</v>
      </c>
      <c r="D3515" s="62" t="s">
        <v>385</v>
      </c>
      <c r="E3515" s="62" t="s">
        <v>105</v>
      </c>
      <c r="F3515" s="62" t="s">
        <v>382</v>
      </c>
      <c r="G3515" s="63" t="s">
        <v>275</v>
      </c>
      <c r="H3515" s="64" t="n">
        <v>9077058609.9302</v>
      </c>
      <c r="I3515" s="62" t="s">
        <v>81</v>
      </c>
      <c r="J3515" s="64" t="n">
        <v>9077058.6099302</v>
      </c>
      <c r="K3515" s="62" t="s">
        <v>138</v>
      </c>
      <c r="L3515" s="68" t="b">
        <f aca="false">TRUE()</f>
        <v>1</v>
      </c>
    </row>
    <row r="3516" customFormat="false" ht="15" hidden="false" customHeight="false" outlineLevel="0" collapsed="false">
      <c r="A3516" s="62" t="n">
        <v>1</v>
      </c>
      <c r="B3516" s="21" t="s">
        <v>336</v>
      </c>
      <c r="C3516" s="62" t="s">
        <v>60</v>
      </c>
      <c r="D3516" s="62" t="s">
        <v>386</v>
      </c>
      <c r="E3516" s="62" t="s">
        <v>105</v>
      </c>
      <c r="F3516" s="62" t="s">
        <v>382</v>
      </c>
      <c r="G3516" s="63" t="s">
        <v>275</v>
      </c>
      <c r="H3516" s="64" t="n">
        <v>7658511187.14341</v>
      </c>
      <c r="I3516" s="62" t="s">
        <v>81</v>
      </c>
      <c r="J3516" s="64" t="n">
        <v>7658511.18714341</v>
      </c>
      <c r="K3516" s="62" t="s">
        <v>138</v>
      </c>
      <c r="L3516" s="68" t="b">
        <f aca="false">TRUE()</f>
        <v>1</v>
      </c>
    </row>
    <row r="3517" customFormat="false" ht="15" hidden="false" customHeight="false" outlineLevel="0" collapsed="false">
      <c r="A3517" s="62" t="n">
        <v>1</v>
      </c>
      <c r="B3517" s="21" t="s">
        <v>336</v>
      </c>
      <c r="C3517" s="62" t="s">
        <v>60</v>
      </c>
      <c r="D3517" s="62" t="s">
        <v>387</v>
      </c>
      <c r="E3517" s="62" t="s">
        <v>105</v>
      </c>
      <c r="F3517" s="62" t="s">
        <v>382</v>
      </c>
      <c r="G3517" s="63" t="s">
        <v>275</v>
      </c>
      <c r="H3517" s="64" t="n">
        <v>9377311127.72091</v>
      </c>
      <c r="I3517" s="62" t="s">
        <v>81</v>
      </c>
      <c r="J3517" s="64" t="n">
        <v>9377311.12772091</v>
      </c>
      <c r="K3517" s="62" t="s">
        <v>138</v>
      </c>
      <c r="L3517" s="68" t="b">
        <f aca="false">TRUE()</f>
        <v>1</v>
      </c>
    </row>
    <row r="3518" customFormat="false" ht="15" hidden="false" customHeight="false" outlineLevel="0" collapsed="false">
      <c r="A3518" s="62" t="n">
        <v>1</v>
      </c>
      <c r="B3518" s="21" t="s">
        <v>336</v>
      </c>
      <c r="C3518" s="62" t="s">
        <v>60</v>
      </c>
      <c r="D3518" s="62" t="s">
        <v>388</v>
      </c>
      <c r="E3518" s="62" t="s">
        <v>105</v>
      </c>
      <c r="F3518" s="62" t="s">
        <v>382</v>
      </c>
      <c r="G3518" s="63" t="s">
        <v>275</v>
      </c>
      <c r="H3518" s="64" t="n">
        <v>873314564.885953</v>
      </c>
      <c r="I3518" s="62" t="s">
        <v>81</v>
      </c>
      <c r="J3518" s="64" t="n">
        <v>873314.564885953</v>
      </c>
      <c r="K3518" s="62" t="s">
        <v>138</v>
      </c>
      <c r="L3518" s="68" t="b">
        <f aca="false">TRUE()</f>
        <v>1</v>
      </c>
    </row>
    <row r="3519" customFormat="false" ht="15" hidden="false" customHeight="false" outlineLevel="0" collapsed="false">
      <c r="A3519" s="62" t="n">
        <v>1</v>
      </c>
      <c r="B3519" s="21" t="s">
        <v>336</v>
      </c>
      <c r="C3519" s="62" t="s">
        <v>60</v>
      </c>
      <c r="D3519" s="62" t="s">
        <v>381</v>
      </c>
      <c r="E3519" s="62" t="s">
        <v>105</v>
      </c>
      <c r="F3519" s="62" t="s">
        <v>382</v>
      </c>
      <c r="G3519" s="63" t="s">
        <v>276</v>
      </c>
      <c r="H3519" s="64" t="n">
        <v>337553462.017924</v>
      </c>
      <c r="I3519" s="62" t="s">
        <v>81</v>
      </c>
      <c r="J3519" s="64" t="n">
        <v>337553.462017924</v>
      </c>
      <c r="K3519" s="62" t="s">
        <v>138</v>
      </c>
      <c r="L3519" s="68" t="b">
        <f aca="false">TRUE()</f>
        <v>1</v>
      </c>
    </row>
    <row r="3520" customFormat="false" ht="15" hidden="false" customHeight="false" outlineLevel="0" collapsed="false">
      <c r="A3520" s="62" t="n">
        <v>1</v>
      </c>
      <c r="B3520" s="21" t="s">
        <v>336</v>
      </c>
      <c r="C3520" s="62" t="s">
        <v>60</v>
      </c>
      <c r="D3520" s="62" t="s">
        <v>383</v>
      </c>
      <c r="E3520" s="62" t="s">
        <v>105</v>
      </c>
      <c r="F3520" s="62" t="s">
        <v>382</v>
      </c>
      <c r="G3520" s="63" t="s">
        <v>276</v>
      </c>
      <c r="H3520" s="64" t="n">
        <v>-69174801.7443487</v>
      </c>
      <c r="I3520" s="62" t="s">
        <v>81</v>
      </c>
      <c r="J3520" s="64" t="n">
        <v>-69174.8017443487</v>
      </c>
      <c r="K3520" s="62" t="s">
        <v>138</v>
      </c>
      <c r="L3520" s="68" t="b">
        <f aca="false">TRUE()</f>
        <v>1</v>
      </c>
    </row>
    <row r="3521" customFormat="false" ht="15" hidden="false" customHeight="false" outlineLevel="0" collapsed="false">
      <c r="A3521" s="62" t="n">
        <v>1</v>
      </c>
      <c r="B3521" s="21" t="s">
        <v>336</v>
      </c>
      <c r="C3521" s="62" t="s">
        <v>60</v>
      </c>
      <c r="D3521" s="62" t="s">
        <v>384</v>
      </c>
      <c r="E3521" s="62" t="s">
        <v>105</v>
      </c>
      <c r="F3521" s="62" t="s">
        <v>382</v>
      </c>
      <c r="G3521" s="63" t="s">
        <v>276</v>
      </c>
      <c r="H3521" s="64" t="n">
        <v>163264.345389063</v>
      </c>
      <c r="I3521" s="62" t="s">
        <v>81</v>
      </c>
      <c r="J3521" s="64" t="n">
        <v>163.264345389063</v>
      </c>
      <c r="K3521" s="62" t="s">
        <v>138</v>
      </c>
      <c r="L3521" s="68" t="b">
        <f aca="false">TRUE()</f>
        <v>1</v>
      </c>
    </row>
    <row r="3522" customFormat="false" ht="15" hidden="false" customHeight="false" outlineLevel="0" collapsed="false">
      <c r="A3522" s="62" t="n">
        <v>1</v>
      </c>
      <c r="B3522" s="21" t="s">
        <v>336</v>
      </c>
      <c r="C3522" s="62" t="s">
        <v>60</v>
      </c>
      <c r="D3522" s="62" t="s">
        <v>385</v>
      </c>
      <c r="E3522" s="62" t="s">
        <v>105</v>
      </c>
      <c r="F3522" s="62" t="s">
        <v>382</v>
      </c>
      <c r="G3522" s="63" t="s">
        <v>276</v>
      </c>
      <c r="H3522" s="64" t="n">
        <v>122042281.056413</v>
      </c>
      <c r="I3522" s="62" t="s">
        <v>81</v>
      </c>
      <c r="J3522" s="64" t="n">
        <v>122042.281056413</v>
      </c>
      <c r="K3522" s="62" t="s">
        <v>138</v>
      </c>
      <c r="L3522" s="68" t="b">
        <f aca="false">TRUE()</f>
        <v>1</v>
      </c>
    </row>
    <row r="3523" customFormat="false" ht="15" hidden="false" customHeight="false" outlineLevel="0" collapsed="false">
      <c r="A3523" s="62" t="n">
        <v>1</v>
      </c>
      <c r="B3523" s="21" t="s">
        <v>336</v>
      </c>
      <c r="C3523" s="62" t="s">
        <v>60</v>
      </c>
      <c r="D3523" s="62" t="s">
        <v>386</v>
      </c>
      <c r="E3523" s="62" t="s">
        <v>105</v>
      </c>
      <c r="F3523" s="62" t="s">
        <v>382</v>
      </c>
      <c r="G3523" s="63" t="s">
        <v>276</v>
      </c>
      <c r="H3523" s="64" t="n">
        <v>170004417.974786</v>
      </c>
      <c r="I3523" s="62" t="s">
        <v>81</v>
      </c>
      <c r="J3523" s="64" t="n">
        <v>170004.417974786</v>
      </c>
      <c r="K3523" s="62" t="s">
        <v>138</v>
      </c>
      <c r="L3523" s="68" t="b">
        <f aca="false">TRUE()</f>
        <v>1</v>
      </c>
    </row>
    <row r="3524" customFormat="false" ht="15" hidden="false" customHeight="false" outlineLevel="0" collapsed="false">
      <c r="A3524" s="62" t="n">
        <v>1</v>
      </c>
      <c r="B3524" s="21" t="s">
        <v>336</v>
      </c>
      <c r="C3524" s="62" t="s">
        <v>60</v>
      </c>
      <c r="D3524" s="62" t="s">
        <v>387</v>
      </c>
      <c r="E3524" s="62" t="s">
        <v>105</v>
      </c>
      <c r="F3524" s="62" t="s">
        <v>382</v>
      </c>
      <c r="G3524" s="63" t="s">
        <v>276</v>
      </c>
      <c r="H3524" s="64" t="n">
        <v>38369908.8881416</v>
      </c>
      <c r="I3524" s="62" t="s">
        <v>81</v>
      </c>
      <c r="J3524" s="64" t="n">
        <v>38369.9088881416</v>
      </c>
      <c r="K3524" s="62" t="s">
        <v>138</v>
      </c>
      <c r="L3524" s="68" t="b">
        <f aca="false">TRUE()</f>
        <v>1</v>
      </c>
    </row>
    <row r="3525" customFormat="false" ht="15" hidden="false" customHeight="false" outlineLevel="0" collapsed="false">
      <c r="A3525" s="62" t="n">
        <v>1</v>
      </c>
      <c r="B3525" s="21" t="s">
        <v>336</v>
      </c>
      <c r="C3525" s="62" t="s">
        <v>60</v>
      </c>
      <c r="D3525" s="62" t="s">
        <v>388</v>
      </c>
      <c r="E3525" s="62" t="s">
        <v>105</v>
      </c>
      <c r="F3525" s="62" t="s">
        <v>382</v>
      </c>
      <c r="G3525" s="63" t="s">
        <v>276</v>
      </c>
      <c r="H3525" s="64" t="n">
        <v>625574722.489692</v>
      </c>
      <c r="I3525" s="62" t="s">
        <v>81</v>
      </c>
      <c r="J3525" s="64" t="n">
        <v>625574.722489692</v>
      </c>
      <c r="K3525" s="62" t="s">
        <v>138</v>
      </c>
      <c r="L3525" s="68" t="b">
        <f aca="false">TRUE()</f>
        <v>1</v>
      </c>
    </row>
    <row r="3526" customFormat="false" ht="15" hidden="false" customHeight="false" outlineLevel="0" collapsed="false">
      <c r="A3526" s="62" t="n">
        <v>1</v>
      </c>
      <c r="B3526" s="21" t="s">
        <v>336</v>
      </c>
      <c r="C3526" s="62" t="s">
        <v>60</v>
      </c>
      <c r="D3526" s="62" t="s">
        <v>381</v>
      </c>
      <c r="E3526" s="62" t="s">
        <v>105</v>
      </c>
      <c r="F3526" s="62" t="s">
        <v>382</v>
      </c>
      <c r="G3526" s="63" t="s">
        <v>277</v>
      </c>
      <c r="H3526" s="64" t="n">
        <v>4784852223.21463</v>
      </c>
      <c r="I3526" s="62" t="s">
        <v>81</v>
      </c>
      <c r="J3526" s="64" t="n">
        <v>4784852.22321463</v>
      </c>
      <c r="K3526" s="62" t="s">
        <v>138</v>
      </c>
      <c r="L3526" s="68" t="b">
        <f aca="false">TRUE()</f>
        <v>1</v>
      </c>
    </row>
    <row r="3527" customFormat="false" ht="15" hidden="false" customHeight="false" outlineLevel="0" collapsed="false">
      <c r="A3527" s="62" t="n">
        <v>1</v>
      </c>
      <c r="B3527" s="21" t="s">
        <v>336</v>
      </c>
      <c r="C3527" s="62" t="s">
        <v>60</v>
      </c>
      <c r="D3527" s="62" t="s">
        <v>383</v>
      </c>
      <c r="E3527" s="62" t="s">
        <v>105</v>
      </c>
      <c r="F3527" s="62" t="s">
        <v>382</v>
      </c>
      <c r="G3527" s="63" t="s">
        <v>277</v>
      </c>
      <c r="H3527" s="64" t="n">
        <v>16982462596.5649</v>
      </c>
      <c r="I3527" s="62" t="s">
        <v>81</v>
      </c>
      <c r="J3527" s="64" t="n">
        <v>16982462.5965649</v>
      </c>
      <c r="K3527" s="62" t="s">
        <v>138</v>
      </c>
      <c r="L3527" s="68" t="b">
        <f aca="false">TRUE()</f>
        <v>1</v>
      </c>
    </row>
    <row r="3528" customFormat="false" ht="15" hidden="false" customHeight="false" outlineLevel="0" collapsed="false">
      <c r="A3528" s="62" t="n">
        <v>1</v>
      </c>
      <c r="B3528" s="21" t="s">
        <v>336</v>
      </c>
      <c r="C3528" s="62" t="s">
        <v>60</v>
      </c>
      <c r="D3528" s="62" t="s">
        <v>384</v>
      </c>
      <c r="E3528" s="62" t="s">
        <v>105</v>
      </c>
      <c r="F3528" s="62" t="s">
        <v>382</v>
      </c>
      <c r="G3528" s="63" t="s">
        <v>277</v>
      </c>
      <c r="H3528" s="64" t="n">
        <v>13454122586.49</v>
      </c>
      <c r="I3528" s="62" t="s">
        <v>81</v>
      </c>
      <c r="J3528" s="64" t="n">
        <v>13454122.58649</v>
      </c>
      <c r="K3528" s="62" t="s">
        <v>138</v>
      </c>
      <c r="L3528" s="68" t="b">
        <f aca="false">TRUE()</f>
        <v>1</v>
      </c>
    </row>
    <row r="3529" customFormat="false" ht="15" hidden="false" customHeight="false" outlineLevel="0" collapsed="false">
      <c r="A3529" s="62" t="n">
        <v>1</v>
      </c>
      <c r="B3529" s="21" t="s">
        <v>336</v>
      </c>
      <c r="C3529" s="62" t="s">
        <v>60</v>
      </c>
      <c r="D3529" s="62" t="s">
        <v>385</v>
      </c>
      <c r="E3529" s="62" t="s">
        <v>105</v>
      </c>
      <c r="F3529" s="62" t="s">
        <v>382</v>
      </c>
      <c r="G3529" s="63" t="s">
        <v>277</v>
      </c>
      <c r="H3529" s="64" t="n">
        <v>8955016328.87379</v>
      </c>
      <c r="I3529" s="62" t="s">
        <v>81</v>
      </c>
      <c r="J3529" s="64" t="n">
        <v>8955016.32887379</v>
      </c>
      <c r="K3529" s="62" t="s">
        <v>138</v>
      </c>
      <c r="L3529" s="68" t="b">
        <f aca="false">TRUE()</f>
        <v>1</v>
      </c>
    </row>
    <row r="3530" customFormat="false" ht="15" hidden="false" customHeight="false" outlineLevel="0" collapsed="false">
      <c r="A3530" s="62" t="n">
        <v>1</v>
      </c>
      <c r="B3530" s="21" t="s">
        <v>336</v>
      </c>
      <c r="C3530" s="62" t="s">
        <v>60</v>
      </c>
      <c r="D3530" s="62" t="s">
        <v>386</v>
      </c>
      <c r="E3530" s="62" t="s">
        <v>105</v>
      </c>
      <c r="F3530" s="62" t="s">
        <v>382</v>
      </c>
      <c r="G3530" s="63" t="s">
        <v>277</v>
      </c>
      <c r="H3530" s="64" t="n">
        <v>7488506769.16863</v>
      </c>
      <c r="I3530" s="62" t="s">
        <v>81</v>
      </c>
      <c r="J3530" s="64" t="n">
        <v>7488506.76916863</v>
      </c>
      <c r="K3530" s="62" t="s">
        <v>138</v>
      </c>
      <c r="L3530" s="68" t="b">
        <f aca="false">TRUE()</f>
        <v>1</v>
      </c>
    </row>
    <row r="3531" customFormat="false" ht="15" hidden="false" customHeight="false" outlineLevel="0" collapsed="false">
      <c r="A3531" s="62" t="n">
        <v>1</v>
      </c>
      <c r="B3531" s="21" t="s">
        <v>336</v>
      </c>
      <c r="C3531" s="62" t="s">
        <v>60</v>
      </c>
      <c r="D3531" s="62" t="s">
        <v>387</v>
      </c>
      <c r="E3531" s="62" t="s">
        <v>105</v>
      </c>
      <c r="F3531" s="62" t="s">
        <v>382</v>
      </c>
      <c r="G3531" s="63" t="s">
        <v>277</v>
      </c>
      <c r="H3531" s="64" t="n">
        <v>9338941218.83277</v>
      </c>
      <c r="I3531" s="62" t="s">
        <v>81</v>
      </c>
      <c r="J3531" s="64" t="n">
        <v>9338941.21883277</v>
      </c>
      <c r="K3531" s="62" t="s">
        <v>138</v>
      </c>
      <c r="L3531" s="68" t="b">
        <f aca="false">TRUE()</f>
        <v>1</v>
      </c>
    </row>
    <row r="3532" customFormat="false" ht="15" hidden="false" customHeight="false" outlineLevel="0" collapsed="false">
      <c r="A3532" s="62" t="n">
        <v>1</v>
      </c>
      <c r="B3532" s="21" t="s">
        <v>336</v>
      </c>
      <c r="C3532" s="62" t="s">
        <v>60</v>
      </c>
      <c r="D3532" s="62" t="s">
        <v>388</v>
      </c>
      <c r="E3532" s="62" t="s">
        <v>105</v>
      </c>
      <c r="F3532" s="62" t="s">
        <v>382</v>
      </c>
      <c r="G3532" s="63" t="s">
        <v>277</v>
      </c>
      <c r="H3532" s="64" t="n">
        <v>247739842.396261</v>
      </c>
      <c r="I3532" s="62" t="s">
        <v>81</v>
      </c>
      <c r="J3532" s="64" t="n">
        <v>247739.842396261</v>
      </c>
      <c r="K3532" s="62" t="s">
        <v>138</v>
      </c>
      <c r="L3532" s="68" t="b">
        <f aca="false">TRUE()</f>
        <v>1</v>
      </c>
    </row>
    <row r="3533" customFormat="false" ht="15" hidden="false" customHeight="false" outlineLevel="0" collapsed="false">
      <c r="A3533" s="62" t="n">
        <v>1</v>
      </c>
      <c r="B3533" s="21" t="s">
        <v>336</v>
      </c>
      <c r="C3533" s="62" t="s">
        <v>60</v>
      </c>
      <c r="D3533" s="62" t="s">
        <v>381</v>
      </c>
      <c r="E3533" s="62" t="s">
        <v>105</v>
      </c>
      <c r="F3533" s="62" t="s">
        <v>382</v>
      </c>
      <c r="G3533" s="63" t="s">
        <v>278</v>
      </c>
      <c r="H3533" s="64" t="n">
        <v>1175515748.93371</v>
      </c>
      <c r="I3533" s="62" t="s">
        <v>81</v>
      </c>
      <c r="J3533" s="64" t="n">
        <v>1175515.74893371</v>
      </c>
      <c r="K3533" s="62" t="s">
        <v>138</v>
      </c>
      <c r="L3533" s="68" t="b">
        <f aca="false">TRUE()</f>
        <v>1</v>
      </c>
    </row>
    <row r="3534" customFormat="false" ht="15" hidden="false" customHeight="false" outlineLevel="0" collapsed="false">
      <c r="A3534" s="62" t="n">
        <v>1</v>
      </c>
      <c r="B3534" s="21" t="s">
        <v>336</v>
      </c>
      <c r="C3534" s="62" t="s">
        <v>60</v>
      </c>
      <c r="D3534" s="62" t="s">
        <v>383</v>
      </c>
      <c r="E3534" s="62" t="s">
        <v>105</v>
      </c>
      <c r="F3534" s="62" t="s">
        <v>382</v>
      </c>
      <c r="G3534" s="63" t="s">
        <v>278</v>
      </c>
      <c r="H3534" s="64" t="n">
        <v>4449016993.32739</v>
      </c>
      <c r="I3534" s="62" t="s">
        <v>81</v>
      </c>
      <c r="J3534" s="64" t="n">
        <v>4449016.99332739</v>
      </c>
      <c r="K3534" s="62" t="s">
        <v>138</v>
      </c>
      <c r="L3534" s="68" t="b">
        <f aca="false">TRUE()</f>
        <v>1</v>
      </c>
    </row>
    <row r="3535" customFormat="false" ht="15" hidden="false" customHeight="false" outlineLevel="0" collapsed="false">
      <c r="A3535" s="62" t="n">
        <v>1</v>
      </c>
      <c r="B3535" s="21" t="s">
        <v>336</v>
      </c>
      <c r="C3535" s="62" t="s">
        <v>60</v>
      </c>
      <c r="D3535" s="62" t="s">
        <v>384</v>
      </c>
      <c r="E3535" s="62" t="s">
        <v>105</v>
      </c>
      <c r="F3535" s="62" t="s">
        <v>382</v>
      </c>
      <c r="G3535" s="63" t="s">
        <v>278</v>
      </c>
      <c r="H3535" s="64" t="n">
        <v>3486391069.13948</v>
      </c>
      <c r="I3535" s="62" t="s">
        <v>81</v>
      </c>
      <c r="J3535" s="64" t="n">
        <v>3486391.06913948</v>
      </c>
      <c r="K3535" s="62" t="s">
        <v>138</v>
      </c>
      <c r="L3535" s="68" t="b">
        <f aca="false">TRUE()</f>
        <v>1</v>
      </c>
    </row>
    <row r="3536" customFormat="false" ht="15" hidden="false" customHeight="false" outlineLevel="0" collapsed="false">
      <c r="A3536" s="62" t="n">
        <v>1</v>
      </c>
      <c r="B3536" s="21" t="s">
        <v>336</v>
      </c>
      <c r="C3536" s="62" t="s">
        <v>60</v>
      </c>
      <c r="D3536" s="62" t="s">
        <v>385</v>
      </c>
      <c r="E3536" s="62" t="s">
        <v>105</v>
      </c>
      <c r="F3536" s="62" t="s">
        <v>382</v>
      </c>
      <c r="G3536" s="63" t="s">
        <v>278</v>
      </c>
      <c r="H3536" s="64" t="n">
        <v>2174683843.90881</v>
      </c>
      <c r="I3536" s="62" t="s">
        <v>81</v>
      </c>
      <c r="J3536" s="64" t="n">
        <v>2174683.84390881</v>
      </c>
      <c r="K3536" s="62" t="s">
        <v>138</v>
      </c>
      <c r="L3536" s="68" t="b">
        <f aca="false">TRUE()</f>
        <v>1</v>
      </c>
    </row>
    <row r="3537" customFormat="false" ht="15" hidden="false" customHeight="false" outlineLevel="0" collapsed="false">
      <c r="A3537" s="62" t="n">
        <v>1</v>
      </c>
      <c r="B3537" s="21" t="s">
        <v>336</v>
      </c>
      <c r="C3537" s="62" t="s">
        <v>60</v>
      </c>
      <c r="D3537" s="62" t="s">
        <v>386</v>
      </c>
      <c r="E3537" s="62" t="s">
        <v>105</v>
      </c>
      <c r="F3537" s="62" t="s">
        <v>382</v>
      </c>
      <c r="G3537" s="63" t="s">
        <v>278</v>
      </c>
      <c r="H3537" s="64" t="n">
        <v>1802625814.70303</v>
      </c>
      <c r="I3537" s="62" t="s">
        <v>81</v>
      </c>
      <c r="J3537" s="64" t="n">
        <v>1802625.81470303</v>
      </c>
      <c r="K3537" s="62" t="s">
        <v>138</v>
      </c>
      <c r="L3537" s="68" t="b">
        <f aca="false">TRUE()</f>
        <v>1</v>
      </c>
    </row>
    <row r="3538" customFormat="false" ht="15" hidden="false" customHeight="false" outlineLevel="0" collapsed="false">
      <c r="A3538" s="62" t="n">
        <v>1</v>
      </c>
      <c r="B3538" s="21" t="s">
        <v>336</v>
      </c>
      <c r="C3538" s="62" t="s">
        <v>60</v>
      </c>
      <c r="D3538" s="62" t="s">
        <v>387</v>
      </c>
      <c r="E3538" s="62" t="s">
        <v>105</v>
      </c>
      <c r="F3538" s="62" t="s">
        <v>382</v>
      </c>
      <c r="G3538" s="63" t="s">
        <v>278</v>
      </c>
      <c r="H3538" s="64" t="n">
        <v>2157698480.81882</v>
      </c>
      <c r="I3538" s="62" t="s">
        <v>81</v>
      </c>
      <c r="J3538" s="64" t="n">
        <v>2157698.48081882</v>
      </c>
      <c r="K3538" s="62" t="s">
        <v>138</v>
      </c>
      <c r="L3538" s="68" t="b">
        <f aca="false">TRUE()</f>
        <v>1</v>
      </c>
    </row>
    <row r="3539" customFormat="false" ht="15" hidden="false" customHeight="false" outlineLevel="0" collapsed="false">
      <c r="A3539" s="62" t="n">
        <v>1</v>
      </c>
      <c r="B3539" s="21" t="s">
        <v>336</v>
      </c>
      <c r="C3539" s="62" t="s">
        <v>60</v>
      </c>
      <c r="D3539" s="62" t="s">
        <v>388</v>
      </c>
      <c r="E3539" s="62" t="s">
        <v>105</v>
      </c>
      <c r="F3539" s="62" t="s">
        <v>382</v>
      </c>
      <c r="G3539" s="63" t="s">
        <v>278</v>
      </c>
      <c r="H3539" s="64" t="n">
        <v>193806115.392853</v>
      </c>
      <c r="I3539" s="62" t="s">
        <v>81</v>
      </c>
      <c r="J3539" s="64" t="n">
        <v>193806.115392853</v>
      </c>
      <c r="K3539" s="62" t="s">
        <v>138</v>
      </c>
      <c r="L3539" s="68" t="b">
        <f aca="false">TRUE()</f>
        <v>1</v>
      </c>
    </row>
    <row r="3540" customFormat="false" ht="15" hidden="false" customHeight="false" outlineLevel="0" collapsed="false">
      <c r="A3540" s="62" t="n">
        <v>1</v>
      </c>
      <c r="B3540" s="21" t="s">
        <v>336</v>
      </c>
      <c r="C3540" s="62" t="s">
        <v>60</v>
      </c>
      <c r="D3540" s="62" t="s">
        <v>381</v>
      </c>
      <c r="E3540" s="62" t="s">
        <v>105</v>
      </c>
      <c r="F3540" s="62" t="s">
        <v>382</v>
      </c>
      <c r="G3540" s="63" t="s">
        <v>279</v>
      </c>
      <c r="H3540" s="64" t="n">
        <v>3609336474.28092</v>
      </c>
      <c r="I3540" s="62" t="s">
        <v>81</v>
      </c>
      <c r="J3540" s="64" t="n">
        <v>3609336.47428092</v>
      </c>
      <c r="K3540" s="62" t="s">
        <v>138</v>
      </c>
      <c r="L3540" s="68" t="b">
        <f aca="false">TRUE()</f>
        <v>1</v>
      </c>
    </row>
    <row r="3541" customFormat="false" ht="15" hidden="false" customHeight="false" outlineLevel="0" collapsed="false">
      <c r="A3541" s="62" t="n">
        <v>1</v>
      </c>
      <c r="B3541" s="21" t="s">
        <v>336</v>
      </c>
      <c r="C3541" s="62" t="s">
        <v>60</v>
      </c>
      <c r="D3541" s="62" t="s">
        <v>383</v>
      </c>
      <c r="E3541" s="62" t="s">
        <v>105</v>
      </c>
      <c r="F3541" s="62" t="s">
        <v>382</v>
      </c>
      <c r="G3541" s="63" t="s">
        <v>279</v>
      </c>
      <c r="H3541" s="64" t="n">
        <v>12533445603.2376</v>
      </c>
      <c r="I3541" s="62" t="s">
        <v>81</v>
      </c>
      <c r="J3541" s="64" t="n">
        <v>12533445.6032376</v>
      </c>
      <c r="K3541" s="62" t="s">
        <v>138</v>
      </c>
      <c r="L3541" s="68" t="b">
        <f aca="false">TRUE()</f>
        <v>1</v>
      </c>
    </row>
    <row r="3542" customFormat="false" ht="15" hidden="false" customHeight="false" outlineLevel="0" collapsed="false">
      <c r="A3542" s="62" t="n">
        <v>1</v>
      </c>
      <c r="B3542" s="21" t="s">
        <v>336</v>
      </c>
      <c r="C3542" s="62" t="s">
        <v>60</v>
      </c>
      <c r="D3542" s="62" t="s">
        <v>384</v>
      </c>
      <c r="E3542" s="62" t="s">
        <v>105</v>
      </c>
      <c r="F3542" s="62" t="s">
        <v>382</v>
      </c>
      <c r="G3542" s="63" t="s">
        <v>279</v>
      </c>
      <c r="H3542" s="64" t="n">
        <v>9967731517.35053</v>
      </c>
      <c r="I3542" s="62" t="s">
        <v>81</v>
      </c>
      <c r="J3542" s="64" t="n">
        <v>9967731.51735053</v>
      </c>
      <c r="K3542" s="62" t="s">
        <v>138</v>
      </c>
      <c r="L3542" s="68" t="b">
        <f aca="false">TRUE()</f>
        <v>1</v>
      </c>
    </row>
    <row r="3543" customFormat="false" ht="15" hidden="false" customHeight="false" outlineLevel="0" collapsed="false">
      <c r="A3543" s="62" t="n">
        <v>1</v>
      </c>
      <c r="B3543" s="21" t="s">
        <v>336</v>
      </c>
      <c r="C3543" s="62" t="s">
        <v>60</v>
      </c>
      <c r="D3543" s="62" t="s">
        <v>385</v>
      </c>
      <c r="E3543" s="62" t="s">
        <v>105</v>
      </c>
      <c r="F3543" s="62" t="s">
        <v>382</v>
      </c>
      <c r="G3543" s="63" t="s">
        <v>279</v>
      </c>
      <c r="H3543" s="64" t="n">
        <v>6780332484.96499</v>
      </c>
      <c r="I3543" s="62" t="s">
        <v>81</v>
      </c>
      <c r="J3543" s="64" t="n">
        <v>6780332.48496499</v>
      </c>
      <c r="K3543" s="62" t="s">
        <v>138</v>
      </c>
      <c r="L3543" s="68" t="b">
        <f aca="false">TRUE()</f>
        <v>1</v>
      </c>
    </row>
    <row r="3544" customFormat="false" ht="15" hidden="false" customHeight="false" outlineLevel="0" collapsed="false">
      <c r="A3544" s="62" t="n">
        <v>1</v>
      </c>
      <c r="B3544" s="21" t="s">
        <v>336</v>
      </c>
      <c r="C3544" s="62" t="s">
        <v>60</v>
      </c>
      <c r="D3544" s="62" t="s">
        <v>386</v>
      </c>
      <c r="E3544" s="62" t="s">
        <v>105</v>
      </c>
      <c r="F3544" s="62" t="s">
        <v>382</v>
      </c>
      <c r="G3544" s="63" t="s">
        <v>279</v>
      </c>
      <c r="H3544" s="64" t="n">
        <v>5685880954.4656</v>
      </c>
      <c r="I3544" s="62" t="s">
        <v>81</v>
      </c>
      <c r="J3544" s="64" t="n">
        <v>5685880.9544656</v>
      </c>
      <c r="K3544" s="62" t="s">
        <v>138</v>
      </c>
      <c r="L3544" s="68" t="b">
        <f aca="false">TRUE()</f>
        <v>1</v>
      </c>
    </row>
    <row r="3545" customFormat="false" ht="15" hidden="false" customHeight="false" outlineLevel="0" collapsed="false">
      <c r="A3545" s="62" t="n">
        <v>1</v>
      </c>
      <c r="B3545" s="21" t="s">
        <v>336</v>
      </c>
      <c r="C3545" s="62" t="s">
        <v>60</v>
      </c>
      <c r="D3545" s="62" t="s">
        <v>387</v>
      </c>
      <c r="E3545" s="62" t="s">
        <v>105</v>
      </c>
      <c r="F3545" s="62" t="s">
        <v>382</v>
      </c>
      <c r="G3545" s="63" t="s">
        <v>279</v>
      </c>
      <c r="H3545" s="64" t="n">
        <v>7181242738.01395</v>
      </c>
      <c r="I3545" s="62" t="s">
        <v>81</v>
      </c>
      <c r="J3545" s="64" t="n">
        <v>7181242.73801395</v>
      </c>
      <c r="K3545" s="62" t="s">
        <v>138</v>
      </c>
      <c r="L3545" s="68" t="b">
        <f aca="false">TRUE()</f>
        <v>1</v>
      </c>
    </row>
    <row r="3546" customFormat="false" ht="15" hidden="false" customHeight="false" outlineLevel="0" collapsed="false">
      <c r="A3546" s="62" t="n">
        <v>1</v>
      </c>
      <c r="B3546" s="21" t="s">
        <v>336</v>
      </c>
      <c r="C3546" s="62" t="s">
        <v>60</v>
      </c>
      <c r="D3546" s="62" t="s">
        <v>388</v>
      </c>
      <c r="E3546" s="62" t="s">
        <v>105</v>
      </c>
      <c r="F3546" s="62" t="s">
        <v>382</v>
      </c>
      <c r="G3546" s="63" t="s">
        <v>279</v>
      </c>
      <c r="H3546" s="64" t="n">
        <v>53933727.0034078</v>
      </c>
      <c r="I3546" s="62" t="s">
        <v>81</v>
      </c>
      <c r="J3546" s="64" t="n">
        <v>53933.7270034078</v>
      </c>
      <c r="K3546" s="62" t="s">
        <v>138</v>
      </c>
      <c r="L3546" s="68" t="b">
        <f aca="false">TRUE()</f>
        <v>1</v>
      </c>
    </row>
    <row r="3547" customFormat="false" ht="15" hidden="false" customHeight="false" outlineLevel="0" collapsed="false">
      <c r="A3547" s="62" t="n">
        <v>1</v>
      </c>
      <c r="B3547" s="21" t="s">
        <v>336</v>
      </c>
      <c r="C3547" s="62" t="s">
        <v>60</v>
      </c>
      <c r="D3547" s="62" t="s">
        <v>381</v>
      </c>
      <c r="E3547" s="62" t="s">
        <v>105</v>
      </c>
      <c r="F3547" s="62" t="s">
        <v>382</v>
      </c>
      <c r="G3547" s="63" t="s">
        <v>281</v>
      </c>
      <c r="H3547" s="64" t="n">
        <v>9763383780</v>
      </c>
      <c r="I3547" s="62" t="s">
        <v>81</v>
      </c>
      <c r="J3547" s="64" t="n">
        <v>9763383.78</v>
      </c>
      <c r="K3547" s="62" t="s">
        <v>138</v>
      </c>
      <c r="L3547" s="68" t="b">
        <f aca="false">TRUE()</f>
        <v>1</v>
      </c>
    </row>
    <row r="3548" customFormat="false" ht="15" hidden="false" customHeight="false" outlineLevel="0" collapsed="false">
      <c r="A3548" s="62" t="n">
        <v>1</v>
      </c>
      <c r="B3548" s="21" t="s">
        <v>336</v>
      </c>
      <c r="C3548" s="62" t="s">
        <v>60</v>
      </c>
      <c r="D3548" s="62" t="s">
        <v>383</v>
      </c>
      <c r="E3548" s="62" t="s">
        <v>105</v>
      </c>
      <c r="F3548" s="62" t="s">
        <v>382</v>
      </c>
      <c r="G3548" s="63" t="s">
        <v>281</v>
      </c>
      <c r="H3548" s="64" t="n">
        <v>9767883780</v>
      </c>
      <c r="I3548" s="62" t="s">
        <v>81</v>
      </c>
      <c r="J3548" s="64" t="n">
        <v>9767883.78</v>
      </c>
      <c r="K3548" s="62" t="s">
        <v>138</v>
      </c>
      <c r="L3548" s="68" t="b">
        <f aca="false">TRUE()</f>
        <v>1</v>
      </c>
    </row>
    <row r="3549" customFormat="false" ht="15" hidden="false" customHeight="false" outlineLevel="0" collapsed="false">
      <c r="A3549" s="62" t="n">
        <v>1</v>
      </c>
      <c r="B3549" s="21" t="s">
        <v>336</v>
      </c>
      <c r="C3549" s="62" t="s">
        <v>60</v>
      </c>
      <c r="D3549" s="62" t="s">
        <v>384</v>
      </c>
      <c r="E3549" s="62" t="s">
        <v>105</v>
      </c>
      <c r="F3549" s="62" t="s">
        <v>382</v>
      </c>
      <c r="G3549" s="63" t="s">
        <v>281</v>
      </c>
      <c r="H3549" s="64" t="n">
        <v>9763383780</v>
      </c>
      <c r="I3549" s="62" t="s">
        <v>81</v>
      </c>
      <c r="J3549" s="64" t="n">
        <v>9763383.78</v>
      </c>
      <c r="K3549" s="62" t="s">
        <v>138</v>
      </c>
      <c r="L3549" s="68" t="b">
        <f aca="false">TRUE()</f>
        <v>1</v>
      </c>
    </row>
    <row r="3550" customFormat="false" ht="15" hidden="false" customHeight="false" outlineLevel="0" collapsed="false">
      <c r="A3550" s="62" t="n">
        <v>1</v>
      </c>
      <c r="B3550" s="21" t="s">
        <v>336</v>
      </c>
      <c r="C3550" s="62" t="s">
        <v>60</v>
      </c>
      <c r="D3550" s="62" t="s">
        <v>385</v>
      </c>
      <c r="E3550" s="62" t="s">
        <v>105</v>
      </c>
      <c r="F3550" s="62" t="s">
        <v>382</v>
      </c>
      <c r="G3550" s="63" t="s">
        <v>281</v>
      </c>
      <c r="H3550" s="64" t="n">
        <v>9767883780</v>
      </c>
      <c r="I3550" s="62" t="s">
        <v>81</v>
      </c>
      <c r="J3550" s="64" t="n">
        <v>9767883.78</v>
      </c>
      <c r="K3550" s="62" t="s">
        <v>138</v>
      </c>
      <c r="L3550" s="68" t="b">
        <f aca="false">TRUE()</f>
        <v>1</v>
      </c>
    </row>
    <row r="3551" customFormat="false" ht="15" hidden="false" customHeight="false" outlineLevel="0" collapsed="false">
      <c r="A3551" s="62" t="n">
        <v>1</v>
      </c>
      <c r="B3551" s="21" t="s">
        <v>336</v>
      </c>
      <c r="C3551" s="62" t="s">
        <v>60</v>
      </c>
      <c r="D3551" s="62" t="s">
        <v>386</v>
      </c>
      <c r="E3551" s="62" t="s">
        <v>105</v>
      </c>
      <c r="F3551" s="62" t="s">
        <v>382</v>
      </c>
      <c r="G3551" s="63" t="s">
        <v>281</v>
      </c>
      <c r="H3551" s="64" t="n">
        <v>9812883780</v>
      </c>
      <c r="I3551" s="62" t="s">
        <v>81</v>
      </c>
      <c r="J3551" s="64" t="n">
        <v>9812883.78</v>
      </c>
      <c r="K3551" s="62" t="s">
        <v>138</v>
      </c>
      <c r="L3551" s="68" t="b">
        <f aca="false">TRUE()</f>
        <v>1</v>
      </c>
    </row>
    <row r="3552" customFormat="false" ht="15" hidden="false" customHeight="false" outlineLevel="0" collapsed="false">
      <c r="A3552" s="62" t="n">
        <v>1</v>
      </c>
      <c r="B3552" s="21" t="s">
        <v>336</v>
      </c>
      <c r="C3552" s="62" t="s">
        <v>60</v>
      </c>
      <c r="D3552" s="62" t="s">
        <v>387</v>
      </c>
      <c r="E3552" s="62" t="s">
        <v>105</v>
      </c>
      <c r="F3552" s="62" t="s">
        <v>382</v>
      </c>
      <c r="G3552" s="63" t="s">
        <v>281</v>
      </c>
      <c r="H3552" s="64" t="n">
        <v>9763383780</v>
      </c>
      <c r="I3552" s="62" t="s">
        <v>81</v>
      </c>
      <c r="J3552" s="64" t="n">
        <v>9763383.78</v>
      </c>
      <c r="K3552" s="62" t="s">
        <v>138</v>
      </c>
      <c r="L3552" s="68" t="b">
        <f aca="false">TRUE()</f>
        <v>1</v>
      </c>
    </row>
    <row r="3553" customFormat="false" ht="15" hidden="false" customHeight="false" outlineLevel="0" collapsed="false">
      <c r="A3553" s="62" t="n">
        <v>1</v>
      </c>
      <c r="B3553" s="21" t="s">
        <v>336</v>
      </c>
      <c r="C3553" s="62" t="s">
        <v>60</v>
      </c>
      <c r="D3553" s="62" t="s">
        <v>388</v>
      </c>
      <c r="E3553" s="62" t="s">
        <v>105</v>
      </c>
      <c r="F3553" s="62" t="s">
        <v>382</v>
      </c>
      <c r="G3553" s="63" t="s">
        <v>281</v>
      </c>
      <c r="H3553" s="64" t="n">
        <v>9785883780</v>
      </c>
      <c r="I3553" s="62" t="s">
        <v>81</v>
      </c>
      <c r="J3553" s="64" t="n">
        <v>9785883.78</v>
      </c>
      <c r="K3553" s="62" t="s">
        <v>138</v>
      </c>
      <c r="L3553" s="68" t="b">
        <f aca="false">TRUE()</f>
        <v>1</v>
      </c>
    </row>
    <row r="3554" customFormat="false" ht="15" hidden="false" customHeight="false" outlineLevel="0" collapsed="false">
      <c r="A3554" s="62" t="n">
        <v>1</v>
      </c>
      <c r="B3554" s="21" t="s">
        <v>336</v>
      </c>
      <c r="C3554" s="62" t="s">
        <v>60</v>
      </c>
      <c r="D3554" s="62" t="s">
        <v>381</v>
      </c>
      <c r="E3554" s="62" t="s">
        <v>105</v>
      </c>
      <c r="F3554" s="62" t="s">
        <v>382</v>
      </c>
      <c r="G3554" s="63" t="s">
        <v>282</v>
      </c>
      <c r="H3554" s="64" t="n">
        <v>8313255333.45181</v>
      </c>
      <c r="I3554" s="62" t="s">
        <v>81</v>
      </c>
      <c r="J3554" s="64" t="n">
        <v>8313255.33345181</v>
      </c>
      <c r="K3554" s="62" t="s">
        <v>138</v>
      </c>
      <c r="L3554" s="68" t="b">
        <f aca="false">TRUE()</f>
        <v>1</v>
      </c>
    </row>
    <row r="3555" customFormat="false" ht="15" hidden="false" customHeight="false" outlineLevel="0" collapsed="false">
      <c r="A3555" s="62" t="n">
        <v>1</v>
      </c>
      <c r="B3555" s="21" t="s">
        <v>336</v>
      </c>
      <c r="C3555" s="62" t="s">
        <v>60</v>
      </c>
      <c r="D3555" s="62" t="s">
        <v>383</v>
      </c>
      <c r="E3555" s="62" t="s">
        <v>105</v>
      </c>
      <c r="F3555" s="62" t="s">
        <v>382</v>
      </c>
      <c r="G3555" s="63" t="s">
        <v>282</v>
      </c>
      <c r="H3555" s="64" t="n">
        <v>2596845757.82328</v>
      </c>
      <c r="I3555" s="62" t="s">
        <v>81</v>
      </c>
      <c r="J3555" s="64" t="n">
        <v>2596845.75782328</v>
      </c>
      <c r="K3555" s="62" t="s">
        <v>138</v>
      </c>
      <c r="L3555" s="68" t="b">
        <f aca="false">TRUE()</f>
        <v>1</v>
      </c>
    </row>
    <row r="3556" customFormat="false" ht="15" hidden="false" customHeight="false" outlineLevel="0" collapsed="false">
      <c r="A3556" s="62" t="n">
        <v>1</v>
      </c>
      <c r="B3556" s="21" t="s">
        <v>336</v>
      </c>
      <c r="C3556" s="62" t="s">
        <v>60</v>
      </c>
      <c r="D3556" s="62" t="s">
        <v>384</v>
      </c>
      <c r="E3556" s="62" t="s">
        <v>105</v>
      </c>
      <c r="F3556" s="62" t="s">
        <v>382</v>
      </c>
      <c r="G3556" s="63" t="s">
        <v>282</v>
      </c>
      <c r="H3556" s="64" t="n">
        <v>2060407089.22184</v>
      </c>
      <c r="I3556" s="62" t="s">
        <v>81</v>
      </c>
      <c r="J3556" s="64" t="n">
        <v>2060407.08922184</v>
      </c>
      <c r="K3556" s="62" t="s">
        <v>138</v>
      </c>
      <c r="L3556" s="68" t="b">
        <f aca="false">TRUE()</f>
        <v>1</v>
      </c>
    </row>
    <row r="3557" customFormat="false" ht="15" hidden="false" customHeight="false" outlineLevel="0" collapsed="false">
      <c r="A3557" s="62" t="n">
        <v>1</v>
      </c>
      <c r="B3557" s="21" t="s">
        <v>336</v>
      </c>
      <c r="C3557" s="62" t="s">
        <v>60</v>
      </c>
      <c r="D3557" s="62" t="s">
        <v>385</v>
      </c>
      <c r="E3557" s="62" t="s">
        <v>105</v>
      </c>
      <c r="F3557" s="62" t="s">
        <v>382</v>
      </c>
      <c r="G3557" s="63" t="s">
        <v>282</v>
      </c>
      <c r="H3557" s="64" t="n">
        <v>5056256090.30618</v>
      </c>
      <c r="I3557" s="62" t="s">
        <v>81</v>
      </c>
      <c r="J3557" s="64" t="n">
        <v>5056256.09030618</v>
      </c>
      <c r="K3557" s="62" t="s">
        <v>138</v>
      </c>
      <c r="L3557" s="68" t="b">
        <f aca="false">TRUE()</f>
        <v>1</v>
      </c>
    </row>
    <row r="3558" customFormat="false" ht="15" hidden="false" customHeight="false" outlineLevel="0" collapsed="false">
      <c r="A3558" s="62" t="n">
        <v>1</v>
      </c>
      <c r="B3558" s="21" t="s">
        <v>336</v>
      </c>
      <c r="C3558" s="62" t="s">
        <v>60</v>
      </c>
      <c r="D3558" s="62" t="s">
        <v>386</v>
      </c>
      <c r="E3558" s="62" t="s">
        <v>105</v>
      </c>
      <c r="F3558" s="62" t="s">
        <v>382</v>
      </c>
      <c r="G3558" s="63" t="s">
        <v>282</v>
      </c>
      <c r="H3558" s="64" t="n">
        <v>0</v>
      </c>
      <c r="I3558" s="62" t="s">
        <v>81</v>
      </c>
      <c r="J3558" s="64" t="n">
        <v>0</v>
      </c>
      <c r="K3558" s="62" t="s">
        <v>138</v>
      </c>
      <c r="L3558" s="68" t="b">
        <f aca="false">TRUE()</f>
        <v>1</v>
      </c>
    </row>
    <row r="3559" customFormat="false" ht="15" hidden="false" customHeight="false" outlineLevel="0" collapsed="false">
      <c r="A3559" s="62" t="n">
        <v>1</v>
      </c>
      <c r="B3559" s="21" t="s">
        <v>336</v>
      </c>
      <c r="C3559" s="62" t="s">
        <v>60</v>
      </c>
      <c r="D3559" s="62" t="s">
        <v>387</v>
      </c>
      <c r="E3559" s="62" t="s">
        <v>105</v>
      </c>
      <c r="F3559" s="62" t="s">
        <v>382</v>
      </c>
      <c r="G3559" s="63" t="s">
        <v>282</v>
      </c>
      <c r="H3559" s="64" t="n">
        <v>3001607247.11275</v>
      </c>
      <c r="I3559" s="62" t="s">
        <v>81</v>
      </c>
      <c r="J3559" s="64" t="n">
        <v>3001607.24711275</v>
      </c>
      <c r="K3559" s="62" t="s">
        <v>138</v>
      </c>
      <c r="L3559" s="68" t="b">
        <f aca="false">TRUE()</f>
        <v>1</v>
      </c>
    </row>
    <row r="3560" customFormat="false" ht="15" hidden="false" customHeight="false" outlineLevel="0" collapsed="false">
      <c r="A3560" s="62" t="n">
        <v>1</v>
      </c>
      <c r="B3560" s="21" t="s">
        <v>336</v>
      </c>
      <c r="C3560" s="62" t="s">
        <v>60</v>
      </c>
      <c r="D3560" s="62" t="s">
        <v>388</v>
      </c>
      <c r="E3560" s="62" t="s">
        <v>105</v>
      </c>
      <c r="F3560" s="62" t="s">
        <v>382</v>
      </c>
      <c r="G3560" s="63" t="s">
        <v>282</v>
      </c>
      <c r="H3560" s="64" t="n">
        <v>0</v>
      </c>
      <c r="I3560" s="62" t="s">
        <v>81</v>
      </c>
      <c r="J3560" s="64" t="n">
        <v>0</v>
      </c>
      <c r="K3560" s="62" t="s">
        <v>138</v>
      </c>
      <c r="L3560" s="68" t="b">
        <f aca="false">TRUE()</f>
        <v>1</v>
      </c>
    </row>
    <row r="3561" customFormat="false" ht="15" hidden="false" customHeight="false" outlineLevel="0" collapsed="false">
      <c r="A3561" s="62" t="n">
        <v>1</v>
      </c>
      <c r="B3561" s="21" t="s">
        <v>336</v>
      </c>
      <c r="C3561" s="62" t="s">
        <v>60</v>
      </c>
      <c r="D3561" s="62" t="s">
        <v>381</v>
      </c>
      <c r="E3561" s="62" t="s">
        <v>105</v>
      </c>
      <c r="F3561" s="62" t="s">
        <v>382</v>
      </c>
      <c r="G3561" s="63" t="s">
        <v>283</v>
      </c>
      <c r="H3561" s="64" t="n">
        <v>1789461458.58974</v>
      </c>
      <c r="I3561" s="62" t="s">
        <v>81</v>
      </c>
      <c r="J3561" s="64" t="n">
        <v>1789461.45858974</v>
      </c>
      <c r="K3561" s="62" t="s">
        <v>138</v>
      </c>
      <c r="L3561" s="68" t="b">
        <f aca="false">TRUE()</f>
        <v>1</v>
      </c>
    </row>
    <row r="3562" customFormat="false" ht="15" hidden="false" customHeight="false" outlineLevel="0" collapsed="false">
      <c r="A3562" s="62" t="n">
        <v>1</v>
      </c>
      <c r="B3562" s="21" t="s">
        <v>336</v>
      </c>
      <c r="C3562" s="62" t="s">
        <v>60</v>
      </c>
      <c r="D3562" s="62" t="s">
        <v>383</v>
      </c>
      <c r="E3562" s="62" t="s">
        <v>105</v>
      </c>
      <c r="F3562" s="62" t="s">
        <v>382</v>
      </c>
      <c r="G3562" s="63" t="s">
        <v>283</v>
      </c>
      <c r="H3562" s="64" t="n">
        <v>2451067321.71623</v>
      </c>
      <c r="I3562" s="62" t="s">
        <v>81</v>
      </c>
      <c r="J3562" s="64" t="n">
        <v>2451067.32171623</v>
      </c>
      <c r="K3562" s="62" t="s">
        <v>138</v>
      </c>
      <c r="L3562" s="68" t="b">
        <f aca="false">TRUE()</f>
        <v>1</v>
      </c>
    </row>
    <row r="3563" customFormat="false" ht="15" hidden="false" customHeight="false" outlineLevel="0" collapsed="false">
      <c r="A3563" s="62" t="n">
        <v>1</v>
      </c>
      <c r="B3563" s="21" t="s">
        <v>336</v>
      </c>
      <c r="C3563" s="62" t="s">
        <v>60</v>
      </c>
      <c r="D3563" s="62" t="s">
        <v>384</v>
      </c>
      <c r="E3563" s="62" t="s">
        <v>105</v>
      </c>
      <c r="F3563" s="62" t="s">
        <v>382</v>
      </c>
      <c r="G3563" s="63" t="s">
        <v>283</v>
      </c>
      <c r="H3563" s="64" t="n">
        <v>1885882475.12452</v>
      </c>
      <c r="I3563" s="62" t="s">
        <v>81</v>
      </c>
      <c r="J3563" s="64" t="n">
        <v>1885882.47512452</v>
      </c>
      <c r="K3563" s="62" t="s">
        <v>138</v>
      </c>
      <c r="L3563" s="68" t="b">
        <f aca="false">TRUE()</f>
        <v>1</v>
      </c>
    </row>
    <row r="3564" customFormat="false" ht="15" hidden="false" customHeight="false" outlineLevel="0" collapsed="false">
      <c r="A3564" s="62" t="n">
        <v>1</v>
      </c>
      <c r="B3564" s="21" t="s">
        <v>336</v>
      </c>
      <c r="C3564" s="62" t="s">
        <v>60</v>
      </c>
      <c r="D3564" s="62" t="s">
        <v>385</v>
      </c>
      <c r="E3564" s="62" t="s">
        <v>105</v>
      </c>
      <c r="F3564" s="62" t="s">
        <v>382</v>
      </c>
      <c r="G3564" s="63" t="s">
        <v>283</v>
      </c>
      <c r="H3564" s="64" t="n">
        <v>1269162856.13066</v>
      </c>
      <c r="I3564" s="62" t="s">
        <v>81</v>
      </c>
      <c r="J3564" s="64" t="n">
        <v>1269162.85613066</v>
      </c>
      <c r="K3564" s="62" t="s">
        <v>138</v>
      </c>
      <c r="L3564" s="68" t="b">
        <f aca="false">TRUE()</f>
        <v>1</v>
      </c>
    </row>
    <row r="3565" customFormat="false" ht="15" hidden="false" customHeight="false" outlineLevel="0" collapsed="false">
      <c r="A3565" s="62" t="n">
        <v>1</v>
      </c>
      <c r="B3565" s="21" t="s">
        <v>336</v>
      </c>
      <c r="C3565" s="62" t="s">
        <v>60</v>
      </c>
      <c r="D3565" s="62" t="s">
        <v>386</v>
      </c>
      <c r="E3565" s="62" t="s">
        <v>105</v>
      </c>
      <c r="F3565" s="62" t="s">
        <v>382</v>
      </c>
      <c r="G3565" s="63" t="s">
        <v>283</v>
      </c>
      <c r="H3565" s="64" t="n">
        <v>1405762131.31401</v>
      </c>
      <c r="I3565" s="62" t="s">
        <v>81</v>
      </c>
      <c r="J3565" s="64" t="n">
        <v>1405762.13131401</v>
      </c>
      <c r="K3565" s="62" t="s">
        <v>138</v>
      </c>
      <c r="L3565" s="68" t="b">
        <f aca="false">TRUE()</f>
        <v>1</v>
      </c>
    </row>
    <row r="3566" customFormat="false" ht="15" hidden="false" customHeight="false" outlineLevel="0" collapsed="false">
      <c r="A3566" s="62" t="n">
        <v>1</v>
      </c>
      <c r="B3566" s="21" t="s">
        <v>336</v>
      </c>
      <c r="C3566" s="62" t="s">
        <v>60</v>
      </c>
      <c r="D3566" s="62" t="s">
        <v>387</v>
      </c>
      <c r="E3566" s="62" t="s">
        <v>105</v>
      </c>
      <c r="F3566" s="62" t="s">
        <v>382</v>
      </c>
      <c r="G3566" s="63" t="s">
        <v>283</v>
      </c>
      <c r="H3566" s="64" t="n">
        <v>1843889053.57109</v>
      </c>
      <c r="I3566" s="62" t="s">
        <v>81</v>
      </c>
      <c r="J3566" s="64" t="n">
        <v>1843889.05357109</v>
      </c>
      <c r="K3566" s="62" t="s">
        <v>138</v>
      </c>
      <c r="L3566" s="68" t="b">
        <f aca="false">TRUE()</f>
        <v>1</v>
      </c>
    </row>
    <row r="3567" customFormat="false" ht="15" hidden="false" customHeight="false" outlineLevel="0" collapsed="false">
      <c r="A3567" s="62" t="n">
        <v>1</v>
      </c>
      <c r="B3567" s="21" t="s">
        <v>336</v>
      </c>
      <c r="C3567" s="62" t="s">
        <v>60</v>
      </c>
      <c r="D3567" s="62" t="s">
        <v>388</v>
      </c>
      <c r="E3567" s="62" t="s">
        <v>105</v>
      </c>
      <c r="F3567" s="62" t="s">
        <v>382</v>
      </c>
      <c r="G3567" s="63" t="s">
        <v>283</v>
      </c>
      <c r="H3567" s="64" t="n">
        <v>1057690763.514</v>
      </c>
      <c r="I3567" s="62" t="s">
        <v>81</v>
      </c>
      <c r="J3567" s="64" t="n">
        <v>1057690.763514</v>
      </c>
      <c r="K3567" s="62" t="s">
        <v>138</v>
      </c>
      <c r="L3567" s="68" t="b">
        <f aca="false">TRUE()</f>
        <v>1</v>
      </c>
    </row>
    <row r="3568" customFormat="false" ht="15" hidden="false" customHeight="false" outlineLevel="0" collapsed="false">
      <c r="A3568" s="62" t="n">
        <v>1</v>
      </c>
      <c r="B3568" s="21" t="s">
        <v>336</v>
      </c>
      <c r="C3568" s="62" t="s">
        <v>60</v>
      </c>
      <c r="D3568" s="62" t="s">
        <v>381</v>
      </c>
      <c r="E3568" s="62" t="s">
        <v>105</v>
      </c>
      <c r="F3568" s="62" t="s">
        <v>382</v>
      </c>
      <c r="G3568" s="63" t="s">
        <v>284</v>
      </c>
      <c r="H3568" s="64" t="n">
        <v>5078588790.38561</v>
      </c>
      <c r="I3568" s="62" t="s">
        <v>81</v>
      </c>
      <c r="J3568" s="64" t="n">
        <v>5078588.79038561</v>
      </c>
      <c r="K3568" s="62" t="s">
        <v>138</v>
      </c>
      <c r="L3568" s="68" t="b">
        <f aca="false">TRUE()</f>
        <v>1</v>
      </c>
    </row>
    <row r="3569" customFormat="false" ht="15" hidden="false" customHeight="false" outlineLevel="0" collapsed="false">
      <c r="A3569" s="62" t="n">
        <v>1</v>
      </c>
      <c r="B3569" s="21" t="s">
        <v>336</v>
      </c>
      <c r="C3569" s="62" t="s">
        <v>60</v>
      </c>
      <c r="D3569" s="62" t="s">
        <v>383</v>
      </c>
      <c r="E3569" s="62" t="s">
        <v>105</v>
      </c>
      <c r="F3569" s="62" t="s">
        <v>382</v>
      </c>
      <c r="G3569" s="63" t="s">
        <v>284</v>
      </c>
      <c r="H3569" s="64" t="n">
        <v>20203197792.4865</v>
      </c>
      <c r="I3569" s="62" t="s">
        <v>81</v>
      </c>
      <c r="J3569" s="64" t="n">
        <v>20203197.7924865</v>
      </c>
      <c r="K3569" s="62" t="s">
        <v>138</v>
      </c>
      <c r="L3569" s="68" t="b">
        <f aca="false">TRUE()</f>
        <v>1</v>
      </c>
    </row>
    <row r="3570" customFormat="false" ht="15" hidden="false" customHeight="false" outlineLevel="0" collapsed="false">
      <c r="A3570" s="62" t="n">
        <v>1</v>
      </c>
      <c r="B3570" s="21" t="s">
        <v>336</v>
      </c>
      <c r="C3570" s="62" t="s">
        <v>60</v>
      </c>
      <c r="D3570" s="62" t="s">
        <v>384</v>
      </c>
      <c r="E3570" s="62" t="s">
        <v>105</v>
      </c>
      <c r="F3570" s="62" t="s">
        <v>382</v>
      </c>
      <c r="G3570" s="63" t="s">
        <v>284</v>
      </c>
      <c r="H3570" s="64" t="n">
        <v>15238818897.5433</v>
      </c>
      <c r="I3570" s="62" t="s">
        <v>81</v>
      </c>
      <c r="J3570" s="64" t="n">
        <v>15238818.8975433</v>
      </c>
      <c r="K3570" s="62" t="s">
        <v>138</v>
      </c>
      <c r="L3570" s="68" t="b">
        <f aca="false">TRUE()</f>
        <v>1</v>
      </c>
    </row>
    <row r="3571" customFormat="false" ht="15" hidden="false" customHeight="false" outlineLevel="0" collapsed="false">
      <c r="A3571" s="62" t="n">
        <v>1</v>
      </c>
      <c r="B3571" s="21" t="s">
        <v>336</v>
      </c>
      <c r="C3571" s="62" t="s">
        <v>60</v>
      </c>
      <c r="D3571" s="62" t="s">
        <v>385</v>
      </c>
      <c r="E3571" s="62" t="s">
        <v>105</v>
      </c>
      <c r="F3571" s="62" t="s">
        <v>382</v>
      </c>
      <c r="G3571" s="63" t="s">
        <v>284</v>
      </c>
      <c r="H3571" s="64" t="n">
        <v>11079095645.9249</v>
      </c>
      <c r="I3571" s="62" t="s">
        <v>81</v>
      </c>
      <c r="J3571" s="64" t="n">
        <v>11079095.6459249</v>
      </c>
      <c r="K3571" s="62" t="s">
        <v>138</v>
      </c>
      <c r="L3571" s="68" t="b">
        <f aca="false">TRUE()</f>
        <v>1</v>
      </c>
    </row>
    <row r="3572" customFormat="false" ht="15" hidden="false" customHeight="false" outlineLevel="0" collapsed="false">
      <c r="A3572" s="62" t="n">
        <v>1</v>
      </c>
      <c r="B3572" s="21" t="s">
        <v>336</v>
      </c>
      <c r="C3572" s="62" t="s">
        <v>60</v>
      </c>
      <c r="D3572" s="62" t="s">
        <v>386</v>
      </c>
      <c r="E3572" s="62" t="s">
        <v>105</v>
      </c>
      <c r="F3572" s="62" t="s">
        <v>382</v>
      </c>
      <c r="G3572" s="63" t="s">
        <v>284</v>
      </c>
      <c r="H3572" s="64" t="n">
        <v>12274171484.2365</v>
      </c>
      <c r="I3572" s="62" t="s">
        <v>81</v>
      </c>
      <c r="J3572" s="64" t="n">
        <v>12274171.4842365</v>
      </c>
      <c r="K3572" s="62" t="s">
        <v>138</v>
      </c>
      <c r="L3572" s="68" t="b">
        <f aca="false">TRUE()</f>
        <v>1</v>
      </c>
    </row>
    <row r="3573" customFormat="false" ht="15" hidden="false" customHeight="false" outlineLevel="0" collapsed="false">
      <c r="A3573" s="62" t="n">
        <v>1</v>
      </c>
      <c r="B3573" s="21" t="s">
        <v>336</v>
      </c>
      <c r="C3573" s="62" t="s">
        <v>60</v>
      </c>
      <c r="D3573" s="62" t="s">
        <v>387</v>
      </c>
      <c r="E3573" s="62" t="s">
        <v>105</v>
      </c>
      <c r="F3573" s="62" t="s">
        <v>382</v>
      </c>
      <c r="G3573" s="63" t="s">
        <v>284</v>
      </c>
      <c r="H3573" s="64" t="n">
        <v>14605746156.3465</v>
      </c>
      <c r="I3573" s="62" t="s">
        <v>81</v>
      </c>
      <c r="J3573" s="64" t="n">
        <v>14605746.1563465</v>
      </c>
      <c r="K3573" s="62" t="s">
        <v>138</v>
      </c>
      <c r="L3573" s="68" t="b">
        <f aca="false">TRUE()</f>
        <v>1</v>
      </c>
    </row>
    <row r="3574" customFormat="false" ht="15" hidden="false" customHeight="false" outlineLevel="0" collapsed="false">
      <c r="A3574" s="62" t="n">
        <v>1</v>
      </c>
      <c r="B3574" s="21" t="s">
        <v>336</v>
      </c>
      <c r="C3574" s="62" t="s">
        <v>60</v>
      </c>
      <c r="D3574" s="62" t="s">
        <v>388</v>
      </c>
      <c r="E3574" s="62" t="s">
        <v>105</v>
      </c>
      <c r="F3574" s="62" t="s">
        <v>382</v>
      </c>
      <c r="G3574" s="63" t="s">
        <v>284</v>
      </c>
      <c r="H3574" s="64" t="n">
        <v>9344724931.90826</v>
      </c>
      <c r="I3574" s="62" t="s">
        <v>81</v>
      </c>
      <c r="J3574" s="64" t="n">
        <v>9344724.93190826</v>
      </c>
      <c r="K3574" s="62" t="s">
        <v>138</v>
      </c>
      <c r="L3574" s="68" t="b">
        <f aca="false">TRUE()</f>
        <v>1</v>
      </c>
    </row>
    <row r="3575" customFormat="false" ht="15" hidden="false" customHeight="false" outlineLevel="0" collapsed="false">
      <c r="A3575" s="62" t="n">
        <v>1</v>
      </c>
      <c r="B3575" s="21" t="s">
        <v>336</v>
      </c>
      <c r="C3575" s="62" t="s">
        <v>60</v>
      </c>
      <c r="D3575" s="62" t="s">
        <v>381</v>
      </c>
      <c r="E3575" s="62" t="s">
        <v>105</v>
      </c>
      <c r="F3575" s="62" t="s">
        <v>382</v>
      </c>
      <c r="G3575" s="63" t="s">
        <v>285</v>
      </c>
      <c r="H3575" s="64" t="n">
        <v>24944689362.4272</v>
      </c>
      <c r="I3575" s="62" t="s">
        <v>81</v>
      </c>
      <c r="J3575" s="64" t="n">
        <v>24944689.3624272</v>
      </c>
      <c r="K3575" s="62" t="s">
        <v>138</v>
      </c>
      <c r="L3575" s="68" t="b">
        <f aca="false">TRUE()</f>
        <v>1</v>
      </c>
    </row>
    <row r="3576" customFormat="false" ht="15" hidden="false" customHeight="false" outlineLevel="0" collapsed="false">
      <c r="A3576" s="62" t="n">
        <v>1</v>
      </c>
      <c r="B3576" s="21" t="s">
        <v>336</v>
      </c>
      <c r="C3576" s="62" t="s">
        <v>60</v>
      </c>
      <c r="D3576" s="62" t="s">
        <v>383</v>
      </c>
      <c r="E3576" s="62" t="s">
        <v>105</v>
      </c>
      <c r="F3576" s="62" t="s">
        <v>382</v>
      </c>
      <c r="G3576" s="63" t="s">
        <v>285</v>
      </c>
      <c r="H3576" s="64" t="n">
        <v>35018994652.026</v>
      </c>
      <c r="I3576" s="62" t="s">
        <v>81</v>
      </c>
      <c r="J3576" s="64" t="n">
        <v>35018994.652026</v>
      </c>
      <c r="K3576" s="62" t="s">
        <v>138</v>
      </c>
      <c r="L3576" s="68" t="b">
        <f aca="false">TRUE()</f>
        <v>1</v>
      </c>
    </row>
    <row r="3577" customFormat="false" ht="15" hidden="false" customHeight="false" outlineLevel="0" collapsed="false">
      <c r="A3577" s="62" t="n">
        <v>1</v>
      </c>
      <c r="B3577" s="21" t="s">
        <v>336</v>
      </c>
      <c r="C3577" s="62" t="s">
        <v>60</v>
      </c>
      <c r="D3577" s="62" t="s">
        <v>384</v>
      </c>
      <c r="E3577" s="62" t="s">
        <v>105</v>
      </c>
      <c r="F3577" s="62" t="s">
        <v>382</v>
      </c>
      <c r="G3577" s="63" t="s">
        <v>285</v>
      </c>
      <c r="H3577" s="64" t="n">
        <v>28948492241.8897</v>
      </c>
      <c r="I3577" s="62" t="s">
        <v>81</v>
      </c>
      <c r="J3577" s="64" t="n">
        <v>28948492.2418897</v>
      </c>
      <c r="K3577" s="62" t="s">
        <v>138</v>
      </c>
      <c r="L3577" s="68" t="b">
        <f aca="false">TRUE()</f>
        <v>1</v>
      </c>
    </row>
    <row r="3578" customFormat="false" ht="15" hidden="false" customHeight="false" outlineLevel="0" collapsed="false">
      <c r="A3578" s="62" t="n">
        <v>1</v>
      </c>
      <c r="B3578" s="21" t="s">
        <v>336</v>
      </c>
      <c r="C3578" s="62" t="s">
        <v>60</v>
      </c>
      <c r="D3578" s="62" t="s">
        <v>385</v>
      </c>
      <c r="E3578" s="62" t="s">
        <v>105</v>
      </c>
      <c r="F3578" s="62" t="s">
        <v>382</v>
      </c>
      <c r="G3578" s="63" t="s">
        <v>285</v>
      </c>
      <c r="H3578" s="64" t="n">
        <v>27172398372.3618</v>
      </c>
      <c r="I3578" s="62" t="s">
        <v>81</v>
      </c>
      <c r="J3578" s="64" t="n">
        <v>27172398.3723618</v>
      </c>
      <c r="K3578" s="62" t="s">
        <v>138</v>
      </c>
      <c r="L3578" s="68" t="b">
        <f aca="false">TRUE()</f>
        <v>1</v>
      </c>
    </row>
    <row r="3579" customFormat="false" ht="15" hidden="false" customHeight="false" outlineLevel="0" collapsed="false">
      <c r="A3579" s="62" t="n">
        <v>1</v>
      </c>
      <c r="B3579" s="21" t="s">
        <v>336</v>
      </c>
      <c r="C3579" s="62" t="s">
        <v>60</v>
      </c>
      <c r="D3579" s="62" t="s">
        <v>386</v>
      </c>
      <c r="E3579" s="62" t="s">
        <v>105</v>
      </c>
      <c r="F3579" s="62" t="s">
        <v>382</v>
      </c>
      <c r="G3579" s="63" t="s">
        <v>285</v>
      </c>
      <c r="H3579" s="64" t="n">
        <v>23492817395.5505</v>
      </c>
      <c r="I3579" s="62" t="s">
        <v>81</v>
      </c>
      <c r="J3579" s="64" t="n">
        <v>23492817.3955505</v>
      </c>
      <c r="K3579" s="62" t="s">
        <v>138</v>
      </c>
      <c r="L3579" s="68" t="b">
        <f aca="false">TRUE()</f>
        <v>1</v>
      </c>
    </row>
    <row r="3580" customFormat="false" ht="15" hidden="false" customHeight="false" outlineLevel="0" collapsed="false">
      <c r="A3580" s="62" t="n">
        <v>1</v>
      </c>
      <c r="B3580" s="21" t="s">
        <v>336</v>
      </c>
      <c r="C3580" s="62" t="s">
        <v>60</v>
      </c>
      <c r="D3580" s="62" t="s">
        <v>387</v>
      </c>
      <c r="E3580" s="62" t="s">
        <v>105</v>
      </c>
      <c r="F3580" s="62" t="s">
        <v>382</v>
      </c>
      <c r="G3580" s="63" t="s">
        <v>285</v>
      </c>
      <c r="H3580" s="64" t="n">
        <v>29214626237.0303</v>
      </c>
      <c r="I3580" s="62" t="s">
        <v>81</v>
      </c>
      <c r="J3580" s="64" t="n">
        <v>29214626.2370303</v>
      </c>
      <c r="K3580" s="62" t="s">
        <v>138</v>
      </c>
      <c r="L3580" s="68" t="b">
        <f aca="false">TRUE()</f>
        <v>1</v>
      </c>
    </row>
    <row r="3581" customFormat="false" ht="15" hidden="false" customHeight="false" outlineLevel="0" collapsed="false">
      <c r="A3581" s="62" t="n">
        <v>1</v>
      </c>
      <c r="B3581" s="21" t="s">
        <v>336</v>
      </c>
      <c r="C3581" s="62" t="s">
        <v>60</v>
      </c>
      <c r="D3581" s="62" t="s">
        <v>388</v>
      </c>
      <c r="E3581" s="62" t="s">
        <v>105</v>
      </c>
      <c r="F3581" s="62" t="s">
        <v>382</v>
      </c>
      <c r="G3581" s="63" t="s">
        <v>285</v>
      </c>
      <c r="H3581" s="64" t="n">
        <v>20188299475.4223</v>
      </c>
      <c r="I3581" s="62" t="s">
        <v>81</v>
      </c>
      <c r="J3581" s="64" t="n">
        <v>20188299.4754223</v>
      </c>
      <c r="K3581" s="62" t="s">
        <v>138</v>
      </c>
      <c r="L3581" s="68" t="b">
        <f aca="false">TRUE()</f>
        <v>1</v>
      </c>
    </row>
    <row r="3582" customFormat="false" ht="15" hidden="false" customHeight="false" outlineLevel="0" collapsed="false">
      <c r="A3582" s="62" t="n">
        <v>1</v>
      </c>
      <c r="B3582" s="21" t="s">
        <v>336</v>
      </c>
      <c r="C3582" s="62" t="s">
        <v>60</v>
      </c>
      <c r="D3582" s="62" t="s">
        <v>381</v>
      </c>
      <c r="E3582" s="62" t="s">
        <v>105</v>
      </c>
      <c r="F3582" s="62" t="s">
        <v>382</v>
      </c>
      <c r="G3582" s="63" t="s">
        <v>396</v>
      </c>
      <c r="H3582" s="64" t="n">
        <v>5500000000</v>
      </c>
      <c r="I3582" s="62" t="s">
        <v>81</v>
      </c>
      <c r="J3582" s="64" t="n">
        <v>5500000</v>
      </c>
      <c r="K3582" s="62" t="s">
        <v>138</v>
      </c>
      <c r="L3582" s="68" t="b">
        <f aca="false">TRUE()</f>
        <v>1</v>
      </c>
    </row>
    <row r="3583" customFormat="false" ht="15" hidden="false" customHeight="false" outlineLevel="0" collapsed="false">
      <c r="A3583" s="62" t="n">
        <v>1</v>
      </c>
      <c r="B3583" s="21" t="s">
        <v>336</v>
      </c>
      <c r="C3583" s="62" t="s">
        <v>60</v>
      </c>
      <c r="D3583" s="62" t="s">
        <v>383</v>
      </c>
      <c r="E3583" s="62" t="s">
        <v>105</v>
      </c>
      <c r="F3583" s="62" t="s">
        <v>382</v>
      </c>
      <c r="G3583" s="63" t="s">
        <v>396</v>
      </c>
      <c r="H3583" s="64" t="n">
        <v>5500000000</v>
      </c>
      <c r="I3583" s="62" t="s">
        <v>81</v>
      </c>
      <c r="J3583" s="64" t="n">
        <v>5500000</v>
      </c>
      <c r="K3583" s="62" t="s">
        <v>138</v>
      </c>
      <c r="L3583" s="68" t="b">
        <f aca="false">TRUE()</f>
        <v>1</v>
      </c>
    </row>
    <row r="3584" customFormat="false" ht="15" hidden="false" customHeight="false" outlineLevel="0" collapsed="false">
      <c r="A3584" s="62" t="n">
        <v>1</v>
      </c>
      <c r="B3584" s="21" t="s">
        <v>336</v>
      </c>
      <c r="C3584" s="62" t="s">
        <v>60</v>
      </c>
      <c r="D3584" s="62" t="s">
        <v>384</v>
      </c>
      <c r="E3584" s="62" t="s">
        <v>105</v>
      </c>
      <c r="F3584" s="62" t="s">
        <v>382</v>
      </c>
      <c r="G3584" s="63" t="s">
        <v>396</v>
      </c>
      <c r="H3584" s="64" t="n">
        <v>5500000000</v>
      </c>
      <c r="I3584" s="62" t="s">
        <v>81</v>
      </c>
      <c r="J3584" s="64" t="n">
        <v>5500000</v>
      </c>
      <c r="K3584" s="62" t="s">
        <v>138</v>
      </c>
      <c r="L3584" s="68" t="b">
        <f aca="false">TRUE()</f>
        <v>1</v>
      </c>
    </row>
    <row r="3585" customFormat="false" ht="15" hidden="false" customHeight="false" outlineLevel="0" collapsed="false">
      <c r="A3585" s="62" t="n">
        <v>1</v>
      </c>
      <c r="B3585" s="21" t="s">
        <v>336</v>
      </c>
      <c r="C3585" s="62" t="s">
        <v>60</v>
      </c>
      <c r="D3585" s="62" t="s">
        <v>385</v>
      </c>
      <c r="E3585" s="62" t="s">
        <v>105</v>
      </c>
      <c r="F3585" s="62" t="s">
        <v>382</v>
      </c>
      <c r="G3585" s="63" t="s">
        <v>396</v>
      </c>
      <c r="H3585" s="64" t="n">
        <v>5500000000</v>
      </c>
      <c r="I3585" s="62" t="s">
        <v>81</v>
      </c>
      <c r="J3585" s="64" t="n">
        <v>5500000</v>
      </c>
      <c r="K3585" s="62" t="s">
        <v>138</v>
      </c>
      <c r="L3585" s="68" t="b">
        <f aca="false">TRUE()</f>
        <v>1</v>
      </c>
    </row>
    <row r="3586" customFormat="false" ht="15" hidden="false" customHeight="false" outlineLevel="0" collapsed="false">
      <c r="A3586" s="62" t="n">
        <v>1</v>
      </c>
      <c r="B3586" s="21" t="s">
        <v>336</v>
      </c>
      <c r="C3586" s="62" t="s">
        <v>60</v>
      </c>
      <c r="D3586" s="62" t="s">
        <v>386</v>
      </c>
      <c r="E3586" s="62" t="s">
        <v>105</v>
      </c>
      <c r="F3586" s="62" t="s">
        <v>382</v>
      </c>
      <c r="G3586" s="63" t="s">
        <v>396</v>
      </c>
      <c r="H3586" s="64" t="n">
        <v>5500000000</v>
      </c>
      <c r="I3586" s="62" t="s">
        <v>81</v>
      </c>
      <c r="J3586" s="64" t="n">
        <v>5500000</v>
      </c>
      <c r="K3586" s="62" t="s">
        <v>138</v>
      </c>
      <c r="L3586" s="68" t="b">
        <f aca="false">TRUE()</f>
        <v>1</v>
      </c>
    </row>
    <row r="3587" customFormat="false" ht="15" hidden="false" customHeight="false" outlineLevel="0" collapsed="false">
      <c r="A3587" s="62" t="n">
        <v>1</v>
      </c>
      <c r="B3587" s="21" t="s">
        <v>336</v>
      </c>
      <c r="C3587" s="62" t="s">
        <v>60</v>
      </c>
      <c r="D3587" s="62" t="s">
        <v>387</v>
      </c>
      <c r="E3587" s="62" t="s">
        <v>105</v>
      </c>
      <c r="F3587" s="62" t="s">
        <v>382</v>
      </c>
      <c r="G3587" s="63" t="s">
        <v>396</v>
      </c>
      <c r="H3587" s="64" t="n">
        <v>5500000000</v>
      </c>
      <c r="I3587" s="62" t="s">
        <v>81</v>
      </c>
      <c r="J3587" s="64" t="n">
        <v>5500000</v>
      </c>
      <c r="K3587" s="62" t="s">
        <v>138</v>
      </c>
      <c r="L3587" s="68" t="b">
        <f aca="false">TRUE()</f>
        <v>1</v>
      </c>
    </row>
    <row r="3588" customFormat="false" ht="15" hidden="false" customHeight="false" outlineLevel="0" collapsed="false">
      <c r="A3588" s="62" t="n">
        <v>1</v>
      </c>
      <c r="B3588" s="21" t="s">
        <v>336</v>
      </c>
      <c r="C3588" s="62" t="s">
        <v>60</v>
      </c>
      <c r="D3588" s="62" t="s">
        <v>388</v>
      </c>
      <c r="E3588" s="62" t="s">
        <v>105</v>
      </c>
      <c r="F3588" s="62" t="s">
        <v>382</v>
      </c>
      <c r="G3588" s="63" t="s">
        <v>396</v>
      </c>
      <c r="H3588" s="64" t="n">
        <v>5500000000</v>
      </c>
      <c r="I3588" s="62" t="s">
        <v>81</v>
      </c>
      <c r="J3588" s="64" t="n">
        <v>5500000</v>
      </c>
      <c r="K3588" s="62" t="s">
        <v>138</v>
      </c>
      <c r="L3588" s="68" t="b">
        <f aca="false">TRUE()</f>
        <v>1</v>
      </c>
    </row>
    <row r="3589" customFormat="false" ht="15" hidden="false" customHeight="false" outlineLevel="0" collapsed="false">
      <c r="A3589" s="62" t="n">
        <v>1</v>
      </c>
      <c r="B3589" s="21" t="s">
        <v>336</v>
      </c>
      <c r="C3589" s="62" t="s">
        <v>60</v>
      </c>
      <c r="D3589" s="62" t="s">
        <v>381</v>
      </c>
      <c r="E3589" s="62" t="s">
        <v>105</v>
      </c>
      <c r="F3589" s="62" t="s">
        <v>382</v>
      </c>
      <c r="G3589" s="63" t="s">
        <v>397</v>
      </c>
      <c r="H3589" s="64" t="n">
        <v>0</v>
      </c>
      <c r="I3589" s="62" t="s">
        <v>81</v>
      </c>
      <c r="J3589" s="64" t="n">
        <v>0</v>
      </c>
      <c r="K3589" s="62" t="s">
        <v>138</v>
      </c>
      <c r="L3589" s="68" t="b">
        <f aca="false">TRUE()</f>
        <v>1</v>
      </c>
    </row>
    <row r="3590" customFormat="false" ht="15" hidden="false" customHeight="false" outlineLevel="0" collapsed="false">
      <c r="A3590" s="62" t="n">
        <v>1</v>
      </c>
      <c r="B3590" s="21" t="s">
        <v>336</v>
      </c>
      <c r="C3590" s="62" t="s">
        <v>60</v>
      </c>
      <c r="D3590" s="62" t="s">
        <v>383</v>
      </c>
      <c r="E3590" s="62" t="s">
        <v>105</v>
      </c>
      <c r="F3590" s="62" t="s">
        <v>382</v>
      </c>
      <c r="G3590" s="63" t="s">
        <v>397</v>
      </c>
      <c r="H3590" s="64" t="n">
        <v>0</v>
      </c>
      <c r="I3590" s="62" t="s">
        <v>81</v>
      </c>
      <c r="J3590" s="64" t="n">
        <v>0</v>
      </c>
      <c r="K3590" s="62" t="s">
        <v>138</v>
      </c>
      <c r="L3590" s="68" t="b">
        <f aca="false">TRUE()</f>
        <v>1</v>
      </c>
    </row>
    <row r="3591" customFormat="false" ht="15" hidden="false" customHeight="false" outlineLevel="0" collapsed="false">
      <c r="A3591" s="62" t="n">
        <v>1</v>
      </c>
      <c r="B3591" s="21" t="s">
        <v>336</v>
      </c>
      <c r="C3591" s="62" t="s">
        <v>60</v>
      </c>
      <c r="D3591" s="62" t="s">
        <v>384</v>
      </c>
      <c r="E3591" s="62" t="s">
        <v>105</v>
      </c>
      <c r="F3591" s="62" t="s">
        <v>382</v>
      </c>
      <c r="G3591" s="63" t="s">
        <v>397</v>
      </c>
      <c r="H3591" s="64" t="n">
        <v>0</v>
      </c>
      <c r="I3591" s="62" t="s">
        <v>81</v>
      </c>
      <c r="J3591" s="64" t="n">
        <v>0</v>
      </c>
      <c r="K3591" s="62" t="s">
        <v>138</v>
      </c>
      <c r="L3591" s="68" t="b">
        <f aca="false">TRUE()</f>
        <v>1</v>
      </c>
    </row>
    <row r="3592" customFormat="false" ht="15" hidden="false" customHeight="false" outlineLevel="0" collapsed="false">
      <c r="A3592" s="62" t="n">
        <v>1</v>
      </c>
      <c r="B3592" s="21" t="s">
        <v>336</v>
      </c>
      <c r="C3592" s="62" t="s">
        <v>60</v>
      </c>
      <c r="D3592" s="62" t="s">
        <v>385</v>
      </c>
      <c r="E3592" s="62" t="s">
        <v>105</v>
      </c>
      <c r="F3592" s="62" t="s">
        <v>382</v>
      </c>
      <c r="G3592" s="63" t="s">
        <v>397</v>
      </c>
      <c r="H3592" s="64" t="n">
        <v>0</v>
      </c>
      <c r="I3592" s="62" t="s">
        <v>81</v>
      </c>
      <c r="J3592" s="64" t="n">
        <v>0</v>
      </c>
      <c r="K3592" s="62" t="s">
        <v>138</v>
      </c>
      <c r="L3592" s="68" t="b">
        <f aca="false">TRUE()</f>
        <v>1</v>
      </c>
    </row>
    <row r="3593" customFormat="false" ht="15" hidden="false" customHeight="false" outlineLevel="0" collapsed="false">
      <c r="A3593" s="62" t="n">
        <v>1</v>
      </c>
      <c r="B3593" s="21" t="s">
        <v>336</v>
      </c>
      <c r="C3593" s="62" t="s">
        <v>60</v>
      </c>
      <c r="D3593" s="62" t="s">
        <v>386</v>
      </c>
      <c r="E3593" s="62" t="s">
        <v>105</v>
      </c>
      <c r="F3593" s="62" t="s">
        <v>382</v>
      </c>
      <c r="G3593" s="63" t="s">
        <v>397</v>
      </c>
      <c r="H3593" s="64" t="n">
        <v>0</v>
      </c>
      <c r="I3593" s="62" t="s">
        <v>81</v>
      </c>
      <c r="J3593" s="64" t="n">
        <v>0</v>
      </c>
      <c r="K3593" s="62" t="s">
        <v>138</v>
      </c>
      <c r="L3593" s="68" t="b">
        <f aca="false">TRUE()</f>
        <v>1</v>
      </c>
    </row>
    <row r="3594" customFormat="false" ht="15" hidden="false" customHeight="false" outlineLevel="0" collapsed="false">
      <c r="A3594" s="62" t="n">
        <v>1</v>
      </c>
      <c r="B3594" s="21" t="s">
        <v>336</v>
      </c>
      <c r="C3594" s="62" t="s">
        <v>60</v>
      </c>
      <c r="D3594" s="62" t="s">
        <v>387</v>
      </c>
      <c r="E3594" s="62" t="s">
        <v>105</v>
      </c>
      <c r="F3594" s="62" t="s">
        <v>382</v>
      </c>
      <c r="G3594" s="63" t="s">
        <v>397</v>
      </c>
      <c r="H3594" s="64" t="n">
        <v>0</v>
      </c>
      <c r="I3594" s="62" t="s">
        <v>81</v>
      </c>
      <c r="J3594" s="64" t="n">
        <v>0</v>
      </c>
      <c r="K3594" s="62" t="s">
        <v>138</v>
      </c>
      <c r="L3594" s="68" t="b">
        <f aca="false">TRUE()</f>
        <v>1</v>
      </c>
    </row>
    <row r="3595" customFormat="false" ht="15" hidden="false" customHeight="false" outlineLevel="0" collapsed="false">
      <c r="A3595" s="62" t="n">
        <v>1</v>
      </c>
      <c r="B3595" s="21" t="s">
        <v>336</v>
      </c>
      <c r="C3595" s="62" t="s">
        <v>60</v>
      </c>
      <c r="D3595" s="62" t="s">
        <v>388</v>
      </c>
      <c r="E3595" s="62" t="s">
        <v>105</v>
      </c>
      <c r="F3595" s="62" t="s">
        <v>382</v>
      </c>
      <c r="G3595" s="63" t="s">
        <v>397</v>
      </c>
      <c r="H3595" s="64" t="n">
        <v>0</v>
      </c>
      <c r="I3595" s="62" t="s">
        <v>81</v>
      </c>
      <c r="J3595" s="64" t="n">
        <v>0</v>
      </c>
      <c r="K3595" s="62" t="s">
        <v>138</v>
      </c>
      <c r="L3595" s="68" t="b">
        <f aca="false">TRUE()</f>
        <v>1</v>
      </c>
    </row>
    <row r="3596" customFormat="false" ht="15" hidden="false" customHeight="false" outlineLevel="0" collapsed="false">
      <c r="A3596" s="62" t="n">
        <v>1</v>
      </c>
      <c r="B3596" s="21" t="s">
        <v>336</v>
      </c>
      <c r="C3596" s="62" t="s">
        <v>60</v>
      </c>
      <c r="D3596" s="62" t="s">
        <v>381</v>
      </c>
      <c r="E3596" s="62" t="s">
        <v>105</v>
      </c>
      <c r="F3596" s="62" t="s">
        <v>382</v>
      </c>
      <c r="G3596" s="63" t="s">
        <v>398</v>
      </c>
      <c r="H3596" s="64" t="n">
        <v>2503561983.89483</v>
      </c>
      <c r="I3596" s="62" t="s">
        <v>81</v>
      </c>
      <c r="J3596" s="64" t="n">
        <v>2503561.98389483</v>
      </c>
      <c r="K3596" s="62" t="s">
        <v>138</v>
      </c>
      <c r="L3596" s="68" t="b">
        <f aca="false">TRUE()</f>
        <v>1</v>
      </c>
    </row>
    <row r="3597" customFormat="false" ht="15" hidden="false" customHeight="false" outlineLevel="0" collapsed="false">
      <c r="A3597" s="62" t="n">
        <v>1</v>
      </c>
      <c r="B3597" s="21" t="s">
        <v>336</v>
      </c>
      <c r="C3597" s="62" t="s">
        <v>60</v>
      </c>
      <c r="D3597" s="62" t="s">
        <v>383</v>
      </c>
      <c r="E3597" s="62" t="s">
        <v>105</v>
      </c>
      <c r="F3597" s="62" t="s">
        <v>382</v>
      </c>
      <c r="G3597" s="63" t="s">
        <v>398</v>
      </c>
      <c r="H3597" s="64" t="n">
        <v>3674978983.89483</v>
      </c>
      <c r="I3597" s="62" t="s">
        <v>81</v>
      </c>
      <c r="J3597" s="64" t="n">
        <v>3674978.98389483</v>
      </c>
      <c r="K3597" s="62" t="s">
        <v>138</v>
      </c>
      <c r="L3597" s="68" t="b">
        <f aca="false">TRUE()</f>
        <v>1</v>
      </c>
    </row>
    <row r="3598" customFormat="false" ht="15" hidden="false" customHeight="false" outlineLevel="0" collapsed="false">
      <c r="A3598" s="62" t="n">
        <v>1</v>
      </c>
      <c r="B3598" s="21" t="s">
        <v>336</v>
      </c>
      <c r="C3598" s="62" t="s">
        <v>60</v>
      </c>
      <c r="D3598" s="62" t="s">
        <v>384</v>
      </c>
      <c r="E3598" s="62" t="s">
        <v>105</v>
      </c>
      <c r="F3598" s="62" t="s">
        <v>382</v>
      </c>
      <c r="G3598" s="63" t="s">
        <v>398</v>
      </c>
      <c r="H3598" s="64" t="n">
        <v>2845996983.89483</v>
      </c>
      <c r="I3598" s="62" t="s">
        <v>81</v>
      </c>
      <c r="J3598" s="64" t="n">
        <v>2845996.98389483</v>
      </c>
      <c r="K3598" s="62" t="s">
        <v>138</v>
      </c>
      <c r="L3598" s="68" t="b">
        <f aca="false">TRUE()</f>
        <v>1</v>
      </c>
    </row>
    <row r="3599" customFormat="false" ht="15" hidden="false" customHeight="false" outlineLevel="0" collapsed="false">
      <c r="A3599" s="62" t="n">
        <v>1</v>
      </c>
      <c r="B3599" s="21" t="s">
        <v>336</v>
      </c>
      <c r="C3599" s="62" t="s">
        <v>60</v>
      </c>
      <c r="D3599" s="62" t="s">
        <v>385</v>
      </c>
      <c r="E3599" s="62" t="s">
        <v>105</v>
      </c>
      <c r="F3599" s="62" t="s">
        <v>382</v>
      </c>
      <c r="G3599" s="63" t="s">
        <v>398</v>
      </c>
      <c r="H3599" s="64" t="n">
        <v>4227367983.89483</v>
      </c>
      <c r="I3599" s="62" t="s">
        <v>81</v>
      </c>
      <c r="J3599" s="64" t="n">
        <v>4227367.98389483</v>
      </c>
      <c r="K3599" s="62" t="s">
        <v>138</v>
      </c>
      <c r="L3599" s="68" t="b">
        <f aca="false">TRUE()</f>
        <v>1</v>
      </c>
    </row>
    <row r="3600" customFormat="false" ht="15" hidden="false" customHeight="false" outlineLevel="0" collapsed="false">
      <c r="A3600" s="62" t="n">
        <v>1</v>
      </c>
      <c r="B3600" s="21" t="s">
        <v>336</v>
      </c>
      <c r="C3600" s="62" t="s">
        <v>60</v>
      </c>
      <c r="D3600" s="62" t="s">
        <v>386</v>
      </c>
      <c r="E3600" s="62" t="s">
        <v>105</v>
      </c>
      <c r="F3600" s="62" t="s">
        <v>382</v>
      </c>
      <c r="G3600" s="63" t="s">
        <v>398</v>
      </c>
      <c r="H3600" s="64" t="n">
        <v>3561983.8948343</v>
      </c>
      <c r="I3600" s="62" t="s">
        <v>81</v>
      </c>
      <c r="J3600" s="64" t="n">
        <v>3561.9838948343</v>
      </c>
      <c r="K3600" s="62" t="s">
        <v>138</v>
      </c>
      <c r="L3600" s="68" t="b">
        <f aca="false">TRUE()</f>
        <v>1</v>
      </c>
    </row>
    <row r="3601" customFormat="false" ht="15" hidden="false" customHeight="false" outlineLevel="0" collapsed="false">
      <c r="A3601" s="62" t="n">
        <v>1</v>
      </c>
      <c r="B3601" s="21" t="s">
        <v>336</v>
      </c>
      <c r="C3601" s="62" t="s">
        <v>60</v>
      </c>
      <c r="D3601" s="62" t="s">
        <v>387</v>
      </c>
      <c r="E3601" s="62" t="s">
        <v>105</v>
      </c>
      <c r="F3601" s="62" t="s">
        <v>382</v>
      </c>
      <c r="G3601" s="63" t="s">
        <v>398</v>
      </c>
      <c r="H3601" s="64" t="n">
        <v>3398783983.89483</v>
      </c>
      <c r="I3601" s="62" t="s">
        <v>81</v>
      </c>
      <c r="J3601" s="64" t="n">
        <v>3398783.98389483</v>
      </c>
      <c r="K3601" s="62" t="s">
        <v>138</v>
      </c>
      <c r="L3601" s="68" t="b">
        <f aca="false">TRUE()</f>
        <v>1</v>
      </c>
    </row>
    <row r="3602" customFormat="false" ht="15" hidden="false" customHeight="false" outlineLevel="0" collapsed="false">
      <c r="A3602" s="62" t="n">
        <v>1</v>
      </c>
      <c r="B3602" s="21" t="s">
        <v>336</v>
      </c>
      <c r="C3602" s="62" t="s">
        <v>60</v>
      </c>
      <c r="D3602" s="62" t="s">
        <v>388</v>
      </c>
      <c r="E3602" s="62" t="s">
        <v>105</v>
      </c>
      <c r="F3602" s="62" t="s">
        <v>382</v>
      </c>
      <c r="G3602" s="63" t="s">
        <v>398</v>
      </c>
      <c r="H3602" s="64" t="n">
        <v>3918098983.89483</v>
      </c>
      <c r="I3602" s="62" t="s">
        <v>81</v>
      </c>
      <c r="J3602" s="64" t="n">
        <v>3918098.98389483</v>
      </c>
      <c r="K3602" s="62" t="s">
        <v>138</v>
      </c>
      <c r="L3602" s="68" t="b">
        <f aca="false">TRUE()</f>
        <v>1</v>
      </c>
    </row>
    <row r="3603" customFormat="false" ht="15" hidden="false" customHeight="false" outlineLevel="0" collapsed="false">
      <c r="A3603" s="62" t="n">
        <v>1</v>
      </c>
      <c r="B3603" s="21" t="s">
        <v>336</v>
      </c>
      <c r="C3603" s="62" t="s">
        <v>60</v>
      </c>
      <c r="D3603" s="62" t="s">
        <v>381</v>
      </c>
      <c r="E3603" s="62" t="s">
        <v>105</v>
      </c>
      <c r="F3603" s="62" t="s">
        <v>382</v>
      </c>
      <c r="G3603" s="63" t="s">
        <v>293</v>
      </c>
      <c r="H3603" s="64" t="n">
        <v>11612898458.1758</v>
      </c>
      <c r="I3603" s="62" t="s">
        <v>81</v>
      </c>
      <c r="J3603" s="64" t="n">
        <v>11612898.4581758</v>
      </c>
      <c r="K3603" s="62" t="s">
        <v>138</v>
      </c>
      <c r="L3603" s="68" t="b">
        <f aca="false">TRUE()</f>
        <v>1</v>
      </c>
    </row>
    <row r="3604" customFormat="false" ht="15" hidden="false" customHeight="false" outlineLevel="0" collapsed="false">
      <c r="A3604" s="62" t="n">
        <v>1</v>
      </c>
      <c r="B3604" s="21" t="s">
        <v>336</v>
      </c>
      <c r="C3604" s="62" t="s">
        <v>60</v>
      </c>
      <c r="D3604" s="62" t="s">
        <v>383</v>
      </c>
      <c r="E3604" s="62" t="s">
        <v>105</v>
      </c>
      <c r="F3604" s="62" t="s">
        <v>382</v>
      </c>
      <c r="G3604" s="63" t="s">
        <v>293</v>
      </c>
      <c r="H3604" s="64" t="n">
        <v>21708424587.1324</v>
      </c>
      <c r="I3604" s="62" t="s">
        <v>81</v>
      </c>
      <c r="J3604" s="64" t="n">
        <v>21708424.5871324</v>
      </c>
      <c r="K3604" s="62" t="s">
        <v>138</v>
      </c>
      <c r="L3604" s="68" t="b">
        <f aca="false">TRUE()</f>
        <v>1</v>
      </c>
    </row>
    <row r="3605" customFormat="false" ht="15" hidden="false" customHeight="false" outlineLevel="0" collapsed="false">
      <c r="A3605" s="62" t="n">
        <v>1</v>
      </c>
      <c r="B3605" s="21" t="s">
        <v>336</v>
      </c>
      <c r="C3605" s="62" t="s">
        <v>60</v>
      </c>
      <c r="D3605" s="62" t="s">
        <v>384</v>
      </c>
      <c r="E3605" s="62" t="s">
        <v>105</v>
      </c>
      <c r="F3605" s="62" t="s">
        <v>382</v>
      </c>
      <c r="G3605" s="63" t="s">
        <v>293</v>
      </c>
      <c r="H3605" s="64" t="n">
        <v>18313728501.2454</v>
      </c>
      <c r="I3605" s="62" t="s">
        <v>81</v>
      </c>
      <c r="J3605" s="64" t="n">
        <v>18313728.5012454</v>
      </c>
      <c r="K3605" s="62" t="s">
        <v>138</v>
      </c>
      <c r="L3605" s="68" t="b">
        <f aca="false">TRUE()</f>
        <v>1</v>
      </c>
    </row>
    <row r="3606" customFormat="false" ht="15" hidden="false" customHeight="false" outlineLevel="0" collapsed="false">
      <c r="A3606" s="62" t="n">
        <v>1</v>
      </c>
      <c r="B3606" s="21" t="s">
        <v>336</v>
      </c>
      <c r="C3606" s="62" t="s">
        <v>60</v>
      </c>
      <c r="D3606" s="62" t="s">
        <v>385</v>
      </c>
      <c r="E3606" s="62" t="s">
        <v>105</v>
      </c>
      <c r="F3606" s="62" t="s">
        <v>382</v>
      </c>
      <c r="G3606" s="63" t="s">
        <v>293</v>
      </c>
      <c r="H3606" s="64" t="n">
        <v>16507700468.8598</v>
      </c>
      <c r="I3606" s="62" t="s">
        <v>81</v>
      </c>
      <c r="J3606" s="64" t="n">
        <v>16507700.4688598</v>
      </c>
      <c r="K3606" s="62" t="s">
        <v>138</v>
      </c>
      <c r="L3606" s="68" t="b">
        <f aca="false">TRUE()</f>
        <v>1</v>
      </c>
    </row>
    <row r="3607" customFormat="false" ht="15" hidden="false" customHeight="false" outlineLevel="0" collapsed="false">
      <c r="A3607" s="62" t="n">
        <v>1</v>
      </c>
      <c r="B3607" s="21" t="s">
        <v>336</v>
      </c>
      <c r="C3607" s="62" t="s">
        <v>60</v>
      </c>
      <c r="D3607" s="62" t="s">
        <v>386</v>
      </c>
      <c r="E3607" s="62" t="s">
        <v>105</v>
      </c>
      <c r="F3607" s="62" t="s">
        <v>382</v>
      </c>
      <c r="G3607" s="63" t="s">
        <v>293</v>
      </c>
      <c r="H3607" s="64" t="n">
        <v>11189442938.3604</v>
      </c>
      <c r="I3607" s="62" t="s">
        <v>81</v>
      </c>
      <c r="J3607" s="64" t="n">
        <v>11189442.9383604</v>
      </c>
      <c r="K3607" s="62" t="s">
        <v>138</v>
      </c>
      <c r="L3607" s="68" t="b">
        <f aca="false">TRUE()</f>
        <v>1</v>
      </c>
    </row>
    <row r="3608" customFormat="false" ht="15" hidden="false" customHeight="false" outlineLevel="0" collapsed="false">
      <c r="A3608" s="62" t="n">
        <v>1</v>
      </c>
      <c r="B3608" s="21" t="s">
        <v>336</v>
      </c>
      <c r="C3608" s="62" t="s">
        <v>60</v>
      </c>
      <c r="D3608" s="62" t="s">
        <v>387</v>
      </c>
      <c r="E3608" s="62" t="s">
        <v>105</v>
      </c>
      <c r="F3608" s="62" t="s">
        <v>382</v>
      </c>
      <c r="G3608" s="63" t="s">
        <v>293</v>
      </c>
      <c r="H3608" s="64" t="n">
        <v>16080026721.9088</v>
      </c>
      <c r="I3608" s="62" t="s">
        <v>81</v>
      </c>
      <c r="J3608" s="64" t="n">
        <v>16080026.7219088</v>
      </c>
      <c r="K3608" s="62" t="s">
        <v>138</v>
      </c>
      <c r="L3608" s="68" t="b">
        <f aca="false">TRUE()</f>
        <v>1</v>
      </c>
    </row>
    <row r="3609" customFormat="false" ht="15" hidden="false" customHeight="false" outlineLevel="0" collapsed="false">
      <c r="A3609" s="62" t="n">
        <v>1</v>
      </c>
      <c r="B3609" s="21" t="s">
        <v>336</v>
      </c>
      <c r="C3609" s="62" t="s">
        <v>60</v>
      </c>
      <c r="D3609" s="62" t="s">
        <v>388</v>
      </c>
      <c r="E3609" s="62" t="s">
        <v>105</v>
      </c>
      <c r="F3609" s="62" t="s">
        <v>382</v>
      </c>
      <c r="G3609" s="63" t="s">
        <v>293</v>
      </c>
      <c r="H3609" s="64" t="n">
        <v>9472032710.89824</v>
      </c>
      <c r="I3609" s="62" t="s">
        <v>81</v>
      </c>
      <c r="J3609" s="64" t="n">
        <v>9472032.71089824</v>
      </c>
      <c r="K3609" s="62" t="s">
        <v>138</v>
      </c>
      <c r="L3609" s="68" t="b">
        <f aca="false">TRUE()</f>
        <v>1</v>
      </c>
    </row>
    <row r="3610" customFormat="false" ht="15" hidden="false" customHeight="false" outlineLevel="0" collapsed="false">
      <c r="A3610" s="62" t="n">
        <v>1</v>
      </c>
      <c r="B3610" s="21" t="s">
        <v>336</v>
      </c>
      <c r="C3610" s="62" t="s">
        <v>60</v>
      </c>
      <c r="D3610" s="62" t="s">
        <v>381</v>
      </c>
      <c r="E3610" s="62" t="s">
        <v>105</v>
      </c>
      <c r="F3610" s="62" t="s">
        <v>382</v>
      </c>
      <c r="G3610" s="63" t="s">
        <v>286</v>
      </c>
      <c r="H3610" s="64" t="n">
        <v>11900000000</v>
      </c>
      <c r="I3610" s="62" t="s">
        <v>81</v>
      </c>
      <c r="J3610" s="64" t="n">
        <v>11900000</v>
      </c>
      <c r="K3610" s="62" t="s">
        <v>138</v>
      </c>
      <c r="L3610" s="68" t="b">
        <f aca="false">TRUE()</f>
        <v>1</v>
      </c>
    </row>
    <row r="3611" customFormat="false" ht="15" hidden="false" customHeight="false" outlineLevel="0" collapsed="false">
      <c r="A3611" s="62" t="n">
        <v>1</v>
      </c>
      <c r="B3611" s="21" t="s">
        <v>336</v>
      </c>
      <c r="C3611" s="62" t="s">
        <v>60</v>
      </c>
      <c r="D3611" s="62" t="s">
        <v>383</v>
      </c>
      <c r="E3611" s="62" t="s">
        <v>105</v>
      </c>
      <c r="F3611" s="62" t="s">
        <v>382</v>
      </c>
      <c r="G3611" s="63" t="s">
        <v>286</v>
      </c>
      <c r="H3611" s="64" t="n">
        <v>11900000000</v>
      </c>
      <c r="I3611" s="62" t="s">
        <v>81</v>
      </c>
      <c r="J3611" s="64" t="n">
        <v>11900000</v>
      </c>
      <c r="K3611" s="62" t="s">
        <v>138</v>
      </c>
      <c r="L3611" s="68" t="b">
        <f aca="false">TRUE()</f>
        <v>1</v>
      </c>
    </row>
    <row r="3612" customFormat="false" ht="15" hidden="false" customHeight="false" outlineLevel="0" collapsed="false">
      <c r="A3612" s="62" t="n">
        <v>1</v>
      </c>
      <c r="B3612" s="21" t="s">
        <v>336</v>
      </c>
      <c r="C3612" s="62" t="s">
        <v>60</v>
      </c>
      <c r="D3612" s="62" t="s">
        <v>384</v>
      </c>
      <c r="E3612" s="62" t="s">
        <v>105</v>
      </c>
      <c r="F3612" s="62" t="s">
        <v>382</v>
      </c>
      <c r="G3612" s="63" t="s">
        <v>286</v>
      </c>
      <c r="H3612" s="64" t="n">
        <v>9413652000</v>
      </c>
      <c r="I3612" s="62" t="s">
        <v>81</v>
      </c>
      <c r="J3612" s="64" t="n">
        <v>9413652</v>
      </c>
      <c r="K3612" s="62" t="s">
        <v>138</v>
      </c>
      <c r="L3612" s="68" t="b">
        <f aca="false">TRUE()</f>
        <v>1</v>
      </c>
    </row>
    <row r="3613" customFormat="false" ht="15" hidden="false" customHeight="false" outlineLevel="0" collapsed="false">
      <c r="A3613" s="62" t="n">
        <v>1</v>
      </c>
      <c r="B3613" s="21" t="s">
        <v>336</v>
      </c>
      <c r="C3613" s="62" t="s">
        <v>60</v>
      </c>
      <c r="D3613" s="62" t="s">
        <v>385</v>
      </c>
      <c r="E3613" s="62" t="s">
        <v>105</v>
      </c>
      <c r="F3613" s="62" t="s">
        <v>382</v>
      </c>
      <c r="G3613" s="63" t="s">
        <v>286</v>
      </c>
      <c r="H3613" s="64" t="n">
        <v>9900000000</v>
      </c>
      <c r="I3613" s="62" t="s">
        <v>81</v>
      </c>
      <c r="J3613" s="64" t="n">
        <v>9900000</v>
      </c>
      <c r="K3613" s="62" t="s">
        <v>138</v>
      </c>
      <c r="L3613" s="68" t="b">
        <f aca="false">TRUE()</f>
        <v>1</v>
      </c>
    </row>
    <row r="3614" customFormat="false" ht="15" hidden="false" customHeight="false" outlineLevel="0" collapsed="false">
      <c r="A3614" s="62" t="n">
        <v>1</v>
      </c>
      <c r="B3614" s="21" t="s">
        <v>336</v>
      </c>
      <c r="C3614" s="62" t="s">
        <v>60</v>
      </c>
      <c r="D3614" s="62" t="s">
        <v>386</v>
      </c>
      <c r="E3614" s="62" t="s">
        <v>105</v>
      </c>
      <c r="F3614" s="62" t="s">
        <v>382</v>
      </c>
      <c r="G3614" s="63" t="s">
        <v>286</v>
      </c>
      <c r="H3614" s="64" t="n">
        <v>10400000000</v>
      </c>
      <c r="I3614" s="62" t="s">
        <v>81</v>
      </c>
      <c r="J3614" s="64" t="n">
        <v>10400000</v>
      </c>
      <c r="K3614" s="62" t="s">
        <v>138</v>
      </c>
      <c r="L3614" s="68" t="b">
        <f aca="false">TRUE()</f>
        <v>1</v>
      </c>
    </row>
    <row r="3615" customFormat="false" ht="15" hidden="false" customHeight="false" outlineLevel="0" collapsed="false">
      <c r="A3615" s="62" t="n">
        <v>1</v>
      </c>
      <c r="B3615" s="21" t="s">
        <v>336</v>
      </c>
      <c r="C3615" s="62" t="s">
        <v>60</v>
      </c>
      <c r="D3615" s="62" t="s">
        <v>387</v>
      </c>
      <c r="E3615" s="62" t="s">
        <v>105</v>
      </c>
      <c r="F3615" s="62" t="s">
        <v>382</v>
      </c>
      <c r="G3615" s="63" t="s">
        <v>286</v>
      </c>
      <c r="H3615" s="64" t="n">
        <v>11900000000</v>
      </c>
      <c r="I3615" s="62" t="s">
        <v>81</v>
      </c>
      <c r="J3615" s="64" t="n">
        <v>11900000</v>
      </c>
      <c r="K3615" s="62" t="s">
        <v>138</v>
      </c>
      <c r="L3615" s="68" t="b">
        <f aca="false">TRUE()</f>
        <v>1</v>
      </c>
    </row>
    <row r="3616" customFormat="false" ht="15" hidden="false" customHeight="false" outlineLevel="0" collapsed="false">
      <c r="A3616" s="62" t="n">
        <v>1</v>
      </c>
      <c r="B3616" s="21" t="s">
        <v>336</v>
      </c>
      <c r="C3616" s="62" t="s">
        <v>60</v>
      </c>
      <c r="D3616" s="62" t="s">
        <v>388</v>
      </c>
      <c r="E3616" s="62" t="s">
        <v>105</v>
      </c>
      <c r="F3616" s="62" t="s">
        <v>382</v>
      </c>
      <c r="G3616" s="63" t="s">
        <v>286</v>
      </c>
      <c r="H3616" s="64" t="n">
        <v>9900000000</v>
      </c>
      <c r="I3616" s="62" t="s">
        <v>81</v>
      </c>
      <c r="J3616" s="64" t="n">
        <v>9900000</v>
      </c>
      <c r="K3616" s="62" t="s">
        <v>138</v>
      </c>
      <c r="L3616" s="68" t="b">
        <f aca="false">TRUE()</f>
        <v>1</v>
      </c>
    </row>
    <row r="3617" customFormat="false" ht="15" hidden="false" customHeight="false" outlineLevel="0" collapsed="false">
      <c r="A3617" s="62" t="n">
        <v>1</v>
      </c>
      <c r="B3617" s="21" t="s">
        <v>336</v>
      </c>
      <c r="C3617" s="62" t="s">
        <v>60</v>
      </c>
      <c r="D3617" s="62" t="s">
        <v>381</v>
      </c>
      <c r="E3617" s="62" t="s">
        <v>105</v>
      </c>
      <c r="F3617" s="62" t="s">
        <v>382</v>
      </c>
      <c r="G3617" s="63" t="s">
        <v>287</v>
      </c>
      <c r="H3617" s="64" t="n">
        <v>0</v>
      </c>
      <c r="I3617" s="62" t="s">
        <v>81</v>
      </c>
      <c r="J3617" s="64" t="n">
        <v>0</v>
      </c>
      <c r="K3617" s="62" t="s">
        <v>138</v>
      </c>
      <c r="L3617" s="68" t="b">
        <f aca="false">TRUE()</f>
        <v>1</v>
      </c>
    </row>
    <row r="3618" customFormat="false" ht="15" hidden="false" customHeight="false" outlineLevel="0" collapsed="false">
      <c r="A3618" s="62" t="n">
        <v>1</v>
      </c>
      <c r="B3618" s="21" t="s">
        <v>336</v>
      </c>
      <c r="C3618" s="62" t="s">
        <v>60</v>
      </c>
      <c r="D3618" s="62" t="s">
        <v>383</v>
      </c>
      <c r="E3618" s="62" t="s">
        <v>105</v>
      </c>
      <c r="F3618" s="62" t="s">
        <v>382</v>
      </c>
      <c r="G3618" s="63" t="s">
        <v>287</v>
      </c>
      <c r="H3618" s="64" t="n">
        <v>0</v>
      </c>
      <c r="I3618" s="62" t="s">
        <v>81</v>
      </c>
      <c r="J3618" s="64" t="n">
        <v>0</v>
      </c>
      <c r="K3618" s="62" t="s">
        <v>138</v>
      </c>
      <c r="L3618" s="68" t="b">
        <f aca="false">TRUE()</f>
        <v>1</v>
      </c>
    </row>
    <row r="3619" customFormat="false" ht="15" hidden="false" customHeight="false" outlineLevel="0" collapsed="false">
      <c r="A3619" s="62" t="n">
        <v>1</v>
      </c>
      <c r="B3619" s="21" t="s">
        <v>336</v>
      </c>
      <c r="C3619" s="62" t="s">
        <v>60</v>
      </c>
      <c r="D3619" s="62" t="s">
        <v>384</v>
      </c>
      <c r="E3619" s="62" t="s">
        <v>105</v>
      </c>
      <c r="F3619" s="62" t="s">
        <v>382</v>
      </c>
      <c r="G3619" s="63" t="s">
        <v>287</v>
      </c>
      <c r="H3619" s="64" t="n">
        <v>0</v>
      </c>
      <c r="I3619" s="62" t="s">
        <v>81</v>
      </c>
      <c r="J3619" s="64" t="n">
        <v>0</v>
      </c>
      <c r="K3619" s="62" t="s">
        <v>138</v>
      </c>
      <c r="L3619" s="68" t="b">
        <f aca="false">TRUE()</f>
        <v>1</v>
      </c>
    </row>
    <row r="3620" customFormat="false" ht="15" hidden="false" customHeight="false" outlineLevel="0" collapsed="false">
      <c r="A3620" s="62" t="n">
        <v>1</v>
      </c>
      <c r="B3620" s="21" t="s">
        <v>336</v>
      </c>
      <c r="C3620" s="62" t="s">
        <v>60</v>
      </c>
      <c r="D3620" s="62" t="s">
        <v>385</v>
      </c>
      <c r="E3620" s="62" t="s">
        <v>105</v>
      </c>
      <c r="F3620" s="62" t="s">
        <v>382</v>
      </c>
      <c r="G3620" s="63" t="s">
        <v>287</v>
      </c>
      <c r="H3620" s="64" t="n">
        <v>0</v>
      </c>
      <c r="I3620" s="62" t="s">
        <v>81</v>
      </c>
      <c r="J3620" s="64" t="n">
        <v>0</v>
      </c>
      <c r="K3620" s="62" t="s">
        <v>138</v>
      </c>
      <c r="L3620" s="68" t="b">
        <f aca="false">TRUE()</f>
        <v>1</v>
      </c>
    </row>
    <row r="3621" customFormat="false" ht="15" hidden="false" customHeight="false" outlineLevel="0" collapsed="false">
      <c r="A3621" s="62" t="n">
        <v>1</v>
      </c>
      <c r="B3621" s="21" t="s">
        <v>336</v>
      </c>
      <c r="C3621" s="62" t="s">
        <v>60</v>
      </c>
      <c r="D3621" s="62" t="s">
        <v>386</v>
      </c>
      <c r="E3621" s="62" t="s">
        <v>105</v>
      </c>
      <c r="F3621" s="62" t="s">
        <v>382</v>
      </c>
      <c r="G3621" s="63" t="s">
        <v>287</v>
      </c>
      <c r="H3621" s="64" t="n">
        <v>963900136.322961</v>
      </c>
      <c r="I3621" s="62" t="s">
        <v>81</v>
      </c>
      <c r="J3621" s="64" t="n">
        <v>963900.136322961</v>
      </c>
      <c r="K3621" s="62" t="s">
        <v>138</v>
      </c>
      <c r="L3621" s="68" t="b">
        <f aca="false">TRUE()</f>
        <v>1</v>
      </c>
    </row>
    <row r="3622" customFormat="false" ht="15" hidden="false" customHeight="false" outlineLevel="0" collapsed="false">
      <c r="A3622" s="62" t="n">
        <v>1</v>
      </c>
      <c r="B3622" s="21" t="s">
        <v>336</v>
      </c>
      <c r="C3622" s="62" t="s">
        <v>60</v>
      </c>
      <c r="D3622" s="62" t="s">
        <v>387</v>
      </c>
      <c r="E3622" s="62" t="s">
        <v>105</v>
      </c>
      <c r="F3622" s="62" t="s">
        <v>382</v>
      </c>
      <c r="G3622" s="63" t="s">
        <v>287</v>
      </c>
      <c r="H3622" s="64" t="n">
        <v>0</v>
      </c>
      <c r="I3622" s="62" t="s">
        <v>81</v>
      </c>
      <c r="J3622" s="64" t="n">
        <v>0</v>
      </c>
      <c r="K3622" s="62" t="s">
        <v>138</v>
      </c>
      <c r="L3622" s="68" t="b">
        <f aca="false">TRUE()</f>
        <v>1</v>
      </c>
    </row>
    <row r="3623" customFormat="false" ht="15" hidden="false" customHeight="false" outlineLevel="0" collapsed="false">
      <c r="A3623" s="62" t="n">
        <v>1</v>
      </c>
      <c r="B3623" s="21" t="s">
        <v>336</v>
      </c>
      <c r="C3623" s="62" t="s">
        <v>60</v>
      </c>
      <c r="D3623" s="62" t="s">
        <v>388</v>
      </c>
      <c r="E3623" s="62" t="s">
        <v>105</v>
      </c>
      <c r="F3623" s="62" t="s">
        <v>382</v>
      </c>
      <c r="G3623" s="63" t="s">
        <v>287</v>
      </c>
      <c r="H3623" s="64" t="n">
        <v>0</v>
      </c>
      <c r="I3623" s="62" t="s">
        <v>81</v>
      </c>
      <c r="J3623" s="64" t="n">
        <v>0</v>
      </c>
      <c r="K3623" s="62" t="s">
        <v>138</v>
      </c>
      <c r="L3623" s="68" t="b">
        <f aca="false">TRUE()</f>
        <v>1</v>
      </c>
    </row>
    <row r="3624" customFormat="false" ht="15" hidden="false" customHeight="false" outlineLevel="0" collapsed="false">
      <c r="A3624" s="62" t="n">
        <v>1</v>
      </c>
      <c r="B3624" s="21" t="s">
        <v>336</v>
      </c>
      <c r="C3624" s="62" t="s">
        <v>60</v>
      </c>
      <c r="D3624" s="62" t="s">
        <v>381</v>
      </c>
      <c r="E3624" s="62" t="s">
        <v>105</v>
      </c>
      <c r="F3624" s="62" t="s">
        <v>382</v>
      </c>
      <c r="G3624" s="63" t="s">
        <v>288</v>
      </c>
      <c r="H3624" s="64" t="n">
        <v>1431790904.2514</v>
      </c>
      <c r="I3624" s="62" t="s">
        <v>81</v>
      </c>
      <c r="J3624" s="64" t="n">
        <v>1431790.9042514</v>
      </c>
      <c r="K3624" s="62" t="s">
        <v>138</v>
      </c>
      <c r="L3624" s="68" t="b">
        <f aca="false">TRUE()</f>
        <v>1</v>
      </c>
    </row>
    <row r="3625" customFormat="false" ht="15" hidden="false" customHeight="false" outlineLevel="0" collapsed="false">
      <c r="A3625" s="62" t="n">
        <v>1</v>
      </c>
      <c r="B3625" s="21" t="s">
        <v>336</v>
      </c>
      <c r="C3625" s="62" t="s">
        <v>60</v>
      </c>
      <c r="D3625" s="62" t="s">
        <v>383</v>
      </c>
      <c r="E3625" s="62" t="s">
        <v>105</v>
      </c>
      <c r="F3625" s="62" t="s">
        <v>382</v>
      </c>
      <c r="G3625" s="63" t="s">
        <v>288</v>
      </c>
      <c r="H3625" s="64" t="n">
        <v>1410570064.89357</v>
      </c>
      <c r="I3625" s="62" t="s">
        <v>81</v>
      </c>
      <c r="J3625" s="64" t="n">
        <v>1410570.06489357</v>
      </c>
      <c r="K3625" s="62" t="s">
        <v>138</v>
      </c>
      <c r="L3625" s="68" t="b">
        <f aca="false">TRUE()</f>
        <v>1</v>
      </c>
    </row>
    <row r="3626" customFormat="false" ht="15" hidden="false" customHeight="false" outlineLevel="0" collapsed="false">
      <c r="A3626" s="62" t="n">
        <v>1</v>
      </c>
      <c r="B3626" s="21" t="s">
        <v>336</v>
      </c>
      <c r="C3626" s="62" t="s">
        <v>60</v>
      </c>
      <c r="D3626" s="62" t="s">
        <v>384</v>
      </c>
      <c r="E3626" s="62" t="s">
        <v>105</v>
      </c>
      <c r="F3626" s="62" t="s">
        <v>382</v>
      </c>
      <c r="G3626" s="63" t="s">
        <v>288</v>
      </c>
      <c r="H3626" s="64" t="n">
        <v>1221111740.64429</v>
      </c>
      <c r="I3626" s="62" t="s">
        <v>81</v>
      </c>
      <c r="J3626" s="64" t="n">
        <v>1221111.74064429</v>
      </c>
      <c r="K3626" s="62" t="s">
        <v>138</v>
      </c>
      <c r="L3626" s="68" t="b">
        <f aca="false">TRUE()</f>
        <v>1</v>
      </c>
    </row>
    <row r="3627" customFormat="false" ht="15" hidden="false" customHeight="false" outlineLevel="0" collapsed="false">
      <c r="A3627" s="62" t="n">
        <v>1</v>
      </c>
      <c r="B3627" s="21" t="s">
        <v>336</v>
      </c>
      <c r="C3627" s="62" t="s">
        <v>60</v>
      </c>
      <c r="D3627" s="62" t="s">
        <v>385</v>
      </c>
      <c r="E3627" s="62" t="s">
        <v>105</v>
      </c>
      <c r="F3627" s="62" t="s">
        <v>382</v>
      </c>
      <c r="G3627" s="63" t="s">
        <v>288</v>
      </c>
      <c r="H3627" s="64" t="n">
        <v>764697903.501946</v>
      </c>
      <c r="I3627" s="62" t="s">
        <v>81</v>
      </c>
      <c r="J3627" s="64" t="n">
        <v>764697.903501946</v>
      </c>
      <c r="K3627" s="62" t="s">
        <v>138</v>
      </c>
      <c r="L3627" s="68" t="b">
        <f aca="false">TRUE()</f>
        <v>1</v>
      </c>
    </row>
    <row r="3628" customFormat="false" ht="15" hidden="false" customHeight="false" outlineLevel="0" collapsed="false">
      <c r="A3628" s="62" t="n">
        <v>1</v>
      </c>
      <c r="B3628" s="21" t="s">
        <v>336</v>
      </c>
      <c r="C3628" s="62" t="s">
        <v>60</v>
      </c>
      <c r="D3628" s="62" t="s">
        <v>386</v>
      </c>
      <c r="E3628" s="62" t="s">
        <v>105</v>
      </c>
      <c r="F3628" s="62" t="s">
        <v>382</v>
      </c>
      <c r="G3628" s="63" t="s">
        <v>288</v>
      </c>
      <c r="H3628" s="64" t="n">
        <v>939474320.867109</v>
      </c>
      <c r="I3628" s="62" t="s">
        <v>81</v>
      </c>
      <c r="J3628" s="64" t="n">
        <v>939474.320867109</v>
      </c>
      <c r="K3628" s="62" t="s">
        <v>138</v>
      </c>
      <c r="L3628" s="68" t="b">
        <f aca="false">TRUE()</f>
        <v>1</v>
      </c>
    </row>
    <row r="3629" customFormat="false" ht="15" hidden="false" customHeight="false" outlineLevel="0" collapsed="false">
      <c r="A3629" s="62" t="n">
        <v>1</v>
      </c>
      <c r="B3629" s="21" t="s">
        <v>336</v>
      </c>
      <c r="C3629" s="62" t="s">
        <v>60</v>
      </c>
      <c r="D3629" s="62" t="s">
        <v>387</v>
      </c>
      <c r="E3629" s="62" t="s">
        <v>105</v>
      </c>
      <c r="F3629" s="62" t="s">
        <v>382</v>
      </c>
      <c r="G3629" s="63" t="s">
        <v>288</v>
      </c>
      <c r="H3629" s="64" t="n">
        <v>1234599515.12152</v>
      </c>
      <c r="I3629" s="62" t="s">
        <v>81</v>
      </c>
      <c r="J3629" s="64" t="n">
        <v>1234599.51512152</v>
      </c>
      <c r="K3629" s="62" t="s">
        <v>138</v>
      </c>
      <c r="L3629" s="68" t="b">
        <f aca="false">TRUE()</f>
        <v>1</v>
      </c>
    </row>
    <row r="3630" customFormat="false" ht="15" hidden="false" customHeight="false" outlineLevel="0" collapsed="false">
      <c r="A3630" s="62" t="n">
        <v>1</v>
      </c>
      <c r="B3630" s="21" t="s">
        <v>336</v>
      </c>
      <c r="C3630" s="62" t="s">
        <v>60</v>
      </c>
      <c r="D3630" s="62" t="s">
        <v>388</v>
      </c>
      <c r="E3630" s="62" t="s">
        <v>105</v>
      </c>
      <c r="F3630" s="62" t="s">
        <v>382</v>
      </c>
      <c r="G3630" s="63" t="s">
        <v>288</v>
      </c>
      <c r="H3630" s="64" t="n">
        <v>816266764.524012</v>
      </c>
      <c r="I3630" s="62" t="s">
        <v>81</v>
      </c>
      <c r="J3630" s="64" t="n">
        <v>816266.764524012</v>
      </c>
      <c r="K3630" s="62" t="s">
        <v>138</v>
      </c>
      <c r="L3630" s="68" t="b">
        <f aca="false">TRUE()</f>
        <v>1</v>
      </c>
    </row>
    <row r="3631" customFormat="false" ht="15" hidden="false" customHeight="false" outlineLevel="0" collapsed="false">
      <c r="A3631" s="62" t="n">
        <v>1</v>
      </c>
      <c r="B3631" s="21" t="s">
        <v>336</v>
      </c>
      <c r="C3631" s="62" t="s">
        <v>60</v>
      </c>
      <c r="D3631" s="62" t="s">
        <v>381</v>
      </c>
      <c r="E3631" s="62" t="s">
        <v>105</v>
      </c>
      <c r="F3631" s="62" t="s">
        <v>382</v>
      </c>
      <c r="G3631" s="63" t="s">
        <v>289</v>
      </c>
      <c r="H3631" s="64" t="n">
        <v>13331790904.2514</v>
      </c>
      <c r="I3631" s="62" t="s">
        <v>81</v>
      </c>
      <c r="J3631" s="64" t="n">
        <v>13331790.9042514</v>
      </c>
      <c r="K3631" s="62" t="s">
        <v>138</v>
      </c>
      <c r="L3631" s="68" t="b">
        <f aca="false">TRUE()</f>
        <v>1</v>
      </c>
    </row>
    <row r="3632" customFormat="false" ht="15" hidden="false" customHeight="false" outlineLevel="0" collapsed="false">
      <c r="A3632" s="62" t="n">
        <v>1</v>
      </c>
      <c r="B3632" s="21" t="s">
        <v>336</v>
      </c>
      <c r="C3632" s="62" t="s">
        <v>60</v>
      </c>
      <c r="D3632" s="62" t="s">
        <v>383</v>
      </c>
      <c r="E3632" s="62" t="s">
        <v>105</v>
      </c>
      <c r="F3632" s="62" t="s">
        <v>382</v>
      </c>
      <c r="G3632" s="63" t="s">
        <v>289</v>
      </c>
      <c r="H3632" s="64" t="n">
        <v>13310570064.8936</v>
      </c>
      <c r="I3632" s="62" t="s">
        <v>81</v>
      </c>
      <c r="J3632" s="64" t="n">
        <v>13310570.0648936</v>
      </c>
      <c r="K3632" s="62" t="s">
        <v>138</v>
      </c>
      <c r="L3632" s="68" t="b">
        <f aca="false">TRUE()</f>
        <v>1</v>
      </c>
    </row>
    <row r="3633" customFormat="false" ht="15" hidden="false" customHeight="false" outlineLevel="0" collapsed="false">
      <c r="A3633" s="62" t="n">
        <v>1</v>
      </c>
      <c r="B3633" s="21" t="s">
        <v>336</v>
      </c>
      <c r="C3633" s="62" t="s">
        <v>60</v>
      </c>
      <c r="D3633" s="62" t="s">
        <v>384</v>
      </c>
      <c r="E3633" s="62" t="s">
        <v>105</v>
      </c>
      <c r="F3633" s="62" t="s">
        <v>382</v>
      </c>
      <c r="G3633" s="63" t="s">
        <v>289</v>
      </c>
      <c r="H3633" s="64" t="n">
        <v>10634763740.6443</v>
      </c>
      <c r="I3633" s="62" t="s">
        <v>81</v>
      </c>
      <c r="J3633" s="64" t="n">
        <v>10634763.7406443</v>
      </c>
      <c r="K3633" s="62" t="s">
        <v>138</v>
      </c>
      <c r="L3633" s="68" t="b">
        <f aca="false">TRUE()</f>
        <v>1</v>
      </c>
    </row>
    <row r="3634" customFormat="false" ht="15" hidden="false" customHeight="false" outlineLevel="0" collapsed="false">
      <c r="A3634" s="62" t="n">
        <v>1</v>
      </c>
      <c r="B3634" s="21" t="s">
        <v>336</v>
      </c>
      <c r="C3634" s="62" t="s">
        <v>60</v>
      </c>
      <c r="D3634" s="62" t="s">
        <v>385</v>
      </c>
      <c r="E3634" s="62" t="s">
        <v>105</v>
      </c>
      <c r="F3634" s="62" t="s">
        <v>382</v>
      </c>
      <c r="G3634" s="63" t="s">
        <v>289</v>
      </c>
      <c r="H3634" s="64" t="n">
        <v>10664697903.502</v>
      </c>
      <c r="I3634" s="62" t="s">
        <v>81</v>
      </c>
      <c r="J3634" s="64" t="n">
        <v>10664697.903502</v>
      </c>
      <c r="K3634" s="62" t="s">
        <v>138</v>
      </c>
      <c r="L3634" s="68" t="b">
        <f aca="false">TRUE()</f>
        <v>1</v>
      </c>
    </row>
    <row r="3635" customFormat="false" ht="15" hidden="false" customHeight="false" outlineLevel="0" collapsed="false">
      <c r="A3635" s="62" t="n">
        <v>1</v>
      </c>
      <c r="B3635" s="21" t="s">
        <v>336</v>
      </c>
      <c r="C3635" s="62" t="s">
        <v>60</v>
      </c>
      <c r="D3635" s="62" t="s">
        <v>386</v>
      </c>
      <c r="E3635" s="62" t="s">
        <v>105</v>
      </c>
      <c r="F3635" s="62" t="s">
        <v>382</v>
      </c>
      <c r="G3635" s="63" t="s">
        <v>289</v>
      </c>
      <c r="H3635" s="64" t="n">
        <v>12303374457.1901</v>
      </c>
      <c r="I3635" s="62" t="s">
        <v>81</v>
      </c>
      <c r="J3635" s="64" t="n">
        <v>12303374.4571901</v>
      </c>
      <c r="K3635" s="62" t="s">
        <v>138</v>
      </c>
      <c r="L3635" s="68" t="b">
        <f aca="false">TRUE()</f>
        <v>1</v>
      </c>
    </row>
    <row r="3636" customFormat="false" ht="15" hidden="false" customHeight="false" outlineLevel="0" collapsed="false">
      <c r="A3636" s="62" t="n">
        <v>1</v>
      </c>
      <c r="B3636" s="21" t="s">
        <v>336</v>
      </c>
      <c r="C3636" s="62" t="s">
        <v>60</v>
      </c>
      <c r="D3636" s="62" t="s">
        <v>387</v>
      </c>
      <c r="E3636" s="62" t="s">
        <v>105</v>
      </c>
      <c r="F3636" s="62" t="s">
        <v>382</v>
      </c>
      <c r="G3636" s="63" t="s">
        <v>289</v>
      </c>
      <c r="H3636" s="64" t="n">
        <v>13134599515.1215</v>
      </c>
      <c r="I3636" s="62" t="s">
        <v>81</v>
      </c>
      <c r="J3636" s="64" t="n">
        <v>13134599.5151215</v>
      </c>
      <c r="K3636" s="62" t="s">
        <v>138</v>
      </c>
      <c r="L3636" s="68" t="b">
        <f aca="false">TRUE()</f>
        <v>1</v>
      </c>
    </row>
    <row r="3637" customFormat="false" ht="15" hidden="false" customHeight="false" outlineLevel="0" collapsed="false">
      <c r="A3637" s="62" t="n">
        <v>1</v>
      </c>
      <c r="B3637" s="21" t="s">
        <v>336</v>
      </c>
      <c r="C3637" s="62" t="s">
        <v>60</v>
      </c>
      <c r="D3637" s="62" t="s">
        <v>388</v>
      </c>
      <c r="E3637" s="62" t="s">
        <v>105</v>
      </c>
      <c r="F3637" s="62" t="s">
        <v>382</v>
      </c>
      <c r="G3637" s="63" t="s">
        <v>289</v>
      </c>
      <c r="H3637" s="64" t="n">
        <v>10716266764.524</v>
      </c>
      <c r="I3637" s="62" t="s">
        <v>81</v>
      </c>
      <c r="J3637" s="64" t="n">
        <v>10716266.764524</v>
      </c>
      <c r="K3637" s="62" t="s">
        <v>138</v>
      </c>
      <c r="L3637" s="68" t="b">
        <f aca="false">TRUE()</f>
        <v>1</v>
      </c>
    </row>
    <row r="3638" customFormat="false" ht="15" hidden="false" customHeight="false" outlineLevel="0" collapsed="false">
      <c r="A3638" s="62" t="n">
        <v>1</v>
      </c>
      <c r="B3638" s="21" t="s">
        <v>336</v>
      </c>
      <c r="C3638" s="62" t="s">
        <v>60</v>
      </c>
      <c r="D3638" s="62" t="s">
        <v>381</v>
      </c>
      <c r="E3638" s="62" t="s">
        <v>105</v>
      </c>
      <c r="F3638" s="62" t="s">
        <v>382</v>
      </c>
      <c r="G3638" s="63" t="s">
        <v>399</v>
      </c>
      <c r="H3638" s="64" t="n">
        <v>24944689362.4272</v>
      </c>
      <c r="I3638" s="62" t="s">
        <v>81</v>
      </c>
      <c r="J3638" s="64" t="n">
        <v>24944689.3624272</v>
      </c>
      <c r="K3638" s="62" t="s">
        <v>138</v>
      </c>
      <c r="L3638" s="68" t="b">
        <f aca="false">TRUE()</f>
        <v>1</v>
      </c>
    </row>
    <row r="3639" customFormat="false" ht="15" hidden="false" customHeight="false" outlineLevel="0" collapsed="false">
      <c r="A3639" s="62" t="n">
        <v>1</v>
      </c>
      <c r="B3639" s="21" t="s">
        <v>336</v>
      </c>
      <c r="C3639" s="62" t="s">
        <v>60</v>
      </c>
      <c r="D3639" s="62" t="s">
        <v>383</v>
      </c>
      <c r="E3639" s="62" t="s">
        <v>105</v>
      </c>
      <c r="F3639" s="62" t="s">
        <v>382</v>
      </c>
      <c r="G3639" s="63" t="s">
        <v>399</v>
      </c>
      <c r="H3639" s="64" t="n">
        <v>35018994652.026</v>
      </c>
      <c r="I3639" s="62" t="s">
        <v>81</v>
      </c>
      <c r="J3639" s="64" t="n">
        <v>35018994.652026</v>
      </c>
      <c r="K3639" s="62" t="s">
        <v>138</v>
      </c>
      <c r="L3639" s="68" t="b">
        <f aca="false">TRUE()</f>
        <v>1</v>
      </c>
    </row>
    <row r="3640" customFormat="false" ht="15" hidden="false" customHeight="false" outlineLevel="0" collapsed="false">
      <c r="A3640" s="62" t="n">
        <v>1</v>
      </c>
      <c r="B3640" s="21" t="s">
        <v>336</v>
      </c>
      <c r="C3640" s="62" t="s">
        <v>60</v>
      </c>
      <c r="D3640" s="62" t="s">
        <v>384</v>
      </c>
      <c r="E3640" s="62" t="s">
        <v>105</v>
      </c>
      <c r="F3640" s="62" t="s">
        <v>382</v>
      </c>
      <c r="G3640" s="63" t="s">
        <v>399</v>
      </c>
      <c r="H3640" s="64" t="n">
        <v>28948492241.8897</v>
      </c>
      <c r="I3640" s="62" t="s">
        <v>81</v>
      </c>
      <c r="J3640" s="64" t="n">
        <v>28948492.2418897</v>
      </c>
      <c r="K3640" s="62" t="s">
        <v>138</v>
      </c>
      <c r="L3640" s="68" t="b">
        <f aca="false">TRUE()</f>
        <v>1</v>
      </c>
    </row>
    <row r="3641" customFormat="false" ht="15" hidden="false" customHeight="false" outlineLevel="0" collapsed="false">
      <c r="A3641" s="62" t="n">
        <v>1</v>
      </c>
      <c r="B3641" s="21" t="s">
        <v>336</v>
      </c>
      <c r="C3641" s="62" t="s">
        <v>60</v>
      </c>
      <c r="D3641" s="62" t="s">
        <v>385</v>
      </c>
      <c r="E3641" s="62" t="s">
        <v>105</v>
      </c>
      <c r="F3641" s="62" t="s">
        <v>382</v>
      </c>
      <c r="G3641" s="63" t="s">
        <v>399</v>
      </c>
      <c r="H3641" s="64" t="n">
        <v>27172398372.3618</v>
      </c>
      <c r="I3641" s="62" t="s">
        <v>81</v>
      </c>
      <c r="J3641" s="64" t="n">
        <v>27172398.3723618</v>
      </c>
      <c r="K3641" s="62" t="s">
        <v>138</v>
      </c>
      <c r="L3641" s="68" t="b">
        <f aca="false">TRUE()</f>
        <v>1</v>
      </c>
    </row>
    <row r="3642" customFormat="false" ht="15" hidden="false" customHeight="false" outlineLevel="0" collapsed="false">
      <c r="A3642" s="62" t="n">
        <v>1</v>
      </c>
      <c r="B3642" s="21" t="s">
        <v>336</v>
      </c>
      <c r="C3642" s="62" t="s">
        <v>60</v>
      </c>
      <c r="D3642" s="62" t="s">
        <v>386</v>
      </c>
      <c r="E3642" s="62" t="s">
        <v>105</v>
      </c>
      <c r="F3642" s="62" t="s">
        <v>382</v>
      </c>
      <c r="G3642" s="63" t="s">
        <v>399</v>
      </c>
      <c r="H3642" s="64" t="n">
        <v>23492817395.5505</v>
      </c>
      <c r="I3642" s="62" t="s">
        <v>81</v>
      </c>
      <c r="J3642" s="64" t="n">
        <v>23492817.3955505</v>
      </c>
      <c r="K3642" s="62" t="s">
        <v>138</v>
      </c>
      <c r="L3642" s="68" t="b">
        <f aca="false">TRUE()</f>
        <v>1</v>
      </c>
    </row>
    <row r="3643" customFormat="false" ht="15" hidden="false" customHeight="false" outlineLevel="0" collapsed="false">
      <c r="A3643" s="62" t="n">
        <v>1</v>
      </c>
      <c r="B3643" s="21" t="s">
        <v>336</v>
      </c>
      <c r="C3643" s="62" t="s">
        <v>60</v>
      </c>
      <c r="D3643" s="62" t="s">
        <v>387</v>
      </c>
      <c r="E3643" s="62" t="s">
        <v>105</v>
      </c>
      <c r="F3643" s="62" t="s">
        <v>382</v>
      </c>
      <c r="G3643" s="63" t="s">
        <v>399</v>
      </c>
      <c r="H3643" s="64" t="n">
        <v>29214626237.0303</v>
      </c>
      <c r="I3643" s="62" t="s">
        <v>81</v>
      </c>
      <c r="J3643" s="64" t="n">
        <v>29214626.2370303</v>
      </c>
      <c r="K3643" s="62" t="s">
        <v>138</v>
      </c>
      <c r="L3643" s="68" t="b">
        <f aca="false">TRUE()</f>
        <v>1</v>
      </c>
    </row>
    <row r="3644" customFormat="false" ht="15" hidden="false" customHeight="false" outlineLevel="0" collapsed="false">
      <c r="A3644" s="62" t="n">
        <v>1</v>
      </c>
      <c r="B3644" s="21" t="s">
        <v>336</v>
      </c>
      <c r="C3644" s="62" t="s">
        <v>60</v>
      </c>
      <c r="D3644" s="62" t="s">
        <v>388</v>
      </c>
      <c r="E3644" s="62" t="s">
        <v>105</v>
      </c>
      <c r="F3644" s="62" t="s">
        <v>382</v>
      </c>
      <c r="G3644" s="63" t="s">
        <v>399</v>
      </c>
      <c r="H3644" s="64" t="n">
        <v>20188299475.4223</v>
      </c>
      <c r="I3644" s="62" t="s">
        <v>81</v>
      </c>
      <c r="J3644" s="64" t="n">
        <v>20188299.4754223</v>
      </c>
      <c r="K3644" s="62" t="s">
        <v>138</v>
      </c>
      <c r="L3644" s="68" t="b">
        <f aca="false">TRUE()</f>
        <v>1</v>
      </c>
    </row>
    <row r="3645" customFormat="false" ht="15" hidden="false" customHeight="false" outlineLevel="0" collapsed="false">
      <c r="A3645" s="62" t="n">
        <v>1</v>
      </c>
      <c r="B3645" s="21" t="s">
        <v>336</v>
      </c>
      <c r="C3645" s="62" t="s">
        <v>60</v>
      </c>
      <c r="D3645" s="62" t="s">
        <v>381</v>
      </c>
      <c r="E3645" s="62" t="s">
        <v>67</v>
      </c>
      <c r="F3645" s="62" t="s">
        <v>382</v>
      </c>
      <c r="G3645" s="63" t="s">
        <v>400</v>
      </c>
      <c r="H3645" s="64" t="n">
        <v>19650080568.3672</v>
      </c>
      <c r="I3645" s="62" t="s">
        <v>81</v>
      </c>
      <c r="J3645" s="64" t="n">
        <v>19650080.5683672</v>
      </c>
      <c r="K3645" s="62" t="s">
        <v>138</v>
      </c>
      <c r="L3645" s="68" t="b">
        <f aca="false">TRUE()</f>
        <v>1</v>
      </c>
    </row>
    <row r="3646" customFormat="false" ht="15" hidden="false" customHeight="false" outlineLevel="0" collapsed="false">
      <c r="A3646" s="62" t="n">
        <v>1</v>
      </c>
      <c r="B3646" s="21" t="s">
        <v>336</v>
      </c>
      <c r="C3646" s="62" t="s">
        <v>60</v>
      </c>
      <c r="D3646" s="62" t="s">
        <v>383</v>
      </c>
      <c r="E3646" s="62" t="s">
        <v>67</v>
      </c>
      <c r="F3646" s="62" t="s">
        <v>382</v>
      </c>
      <c r="G3646" s="63" t="s">
        <v>400</v>
      </c>
      <c r="H3646" s="64" t="n">
        <v>21412244534.0313</v>
      </c>
      <c r="I3646" s="62" t="s">
        <v>81</v>
      </c>
      <c r="J3646" s="64" t="n">
        <v>21412244.5340313</v>
      </c>
      <c r="K3646" s="62" t="s">
        <v>138</v>
      </c>
      <c r="L3646" s="68" t="b">
        <f aca="false">TRUE()</f>
        <v>1</v>
      </c>
    </row>
    <row r="3647" customFormat="false" ht="15" hidden="false" customHeight="false" outlineLevel="0" collapsed="false">
      <c r="A3647" s="62" t="n">
        <v>1</v>
      </c>
      <c r="B3647" s="21" t="s">
        <v>336</v>
      </c>
      <c r="C3647" s="62" t="s">
        <v>60</v>
      </c>
      <c r="D3647" s="62" t="s">
        <v>384</v>
      </c>
      <c r="E3647" s="62" t="s">
        <v>67</v>
      </c>
      <c r="F3647" s="62" t="s">
        <v>382</v>
      </c>
      <c r="G3647" s="63" t="s">
        <v>400</v>
      </c>
      <c r="H3647" s="64" t="n">
        <v>12900363382.3954</v>
      </c>
      <c r="I3647" s="62" t="s">
        <v>81</v>
      </c>
      <c r="J3647" s="64" t="n">
        <v>12900363.3823954</v>
      </c>
      <c r="K3647" s="62" t="s">
        <v>138</v>
      </c>
      <c r="L3647" s="68" t="b">
        <f aca="false">TRUE()</f>
        <v>1</v>
      </c>
    </row>
    <row r="3648" customFormat="false" ht="15" hidden="false" customHeight="false" outlineLevel="0" collapsed="false">
      <c r="A3648" s="62" t="n">
        <v>1</v>
      </c>
      <c r="B3648" s="21" t="s">
        <v>336</v>
      </c>
      <c r="C3648" s="62" t="s">
        <v>60</v>
      </c>
      <c r="D3648" s="62" t="s">
        <v>385</v>
      </c>
      <c r="E3648" s="62" t="s">
        <v>67</v>
      </c>
      <c r="F3648" s="62" t="s">
        <v>382</v>
      </c>
      <c r="G3648" s="63" t="s">
        <v>400</v>
      </c>
      <c r="H3648" s="64" t="n">
        <v>12635937635.5892</v>
      </c>
      <c r="I3648" s="62" t="s">
        <v>81</v>
      </c>
      <c r="J3648" s="64" t="n">
        <v>12635937.6355892</v>
      </c>
      <c r="K3648" s="62" t="s">
        <v>138</v>
      </c>
      <c r="L3648" s="68" t="b">
        <f aca="false">TRUE()</f>
        <v>1</v>
      </c>
    </row>
    <row r="3649" customFormat="false" ht="15" hidden="false" customHeight="false" outlineLevel="0" collapsed="false">
      <c r="A3649" s="62" t="n">
        <v>1</v>
      </c>
      <c r="B3649" s="21" t="s">
        <v>336</v>
      </c>
      <c r="C3649" s="62" t="s">
        <v>60</v>
      </c>
      <c r="D3649" s="62" t="s">
        <v>386</v>
      </c>
      <c r="E3649" s="62" t="s">
        <v>67</v>
      </c>
      <c r="F3649" s="62" t="s">
        <v>382</v>
      </c>
      <c r="G3649" s="63" t="s">
        <v>400</v>
      </c>
      <c r="H3649" s="64" t="n">
        <v>19285175000</v>
      </c>
      <c r="I3649" s="62" t="s">
        <v>81</v>
      </c>
      <c r="J3649" s="64" t="n">
        <v>19285175</v>
      </c>
      <c r="K3649" s="62" t="s">
        <v>138</v>
      </c>
      <c r="L3649" s="68" t="b">
        <f aca="false">TRUE()</f>
        <v>1</v>
      </c>
    </row>
    <row r="3650" customFormat="false" ht="15" hidden="false" customHeight="false" outlineLevel="0" collapsed="false">
      <c r="A3650" s="62" t="n">
        <v>1</v>
      </c>
      <c r="B3650" s="21" t="s">
        <v>336</v>
      </c>
      <c r="C3650" s="62" t="s">
        <v>60</v>
      </c>
      <c r="D3650" s="62" t="s">
        <v>387</v>
      </c>
      <c r="E3650" s="62" t="s">
        <v>67</v>
      </c>
      <c r="F3650" s="62" t="s">
        <v>382</v>
      </c>
      <c r="G3650" s="63" t="s">
        <v>400</v>
      </c>
      <c r="H3650" s="64" t="n">
        <v>16978103183.7933</v>
      </c>
      <c r="I3650" s="62" t="s">
        <v>81</v>
      </c>
      <c r="J3650" s="64" t="n">
        <v>16978103.1837933</v>
      </c>
      <c r="K3650" s="62" t="s">
        <v>138</v>
      </c>
      <c r="L3650" s="68" t="b">
        <f aca="false">TRUE()</f>
        <v>1</v>
      </c>
    </row>
    <row r="3651" customFormat="false" ht="15" hidden="false" customHeight="false" outlineLevel="0" collapsed="false">
      <c r="A3651" s="62" t="n">
        <v>1</v>
      </c>
      <c r="B3651" s="21" t="s">
        <v>336</v>
      </c>
      <c r="C3651" s="62" t="s">
        <v>60</v>
      </c>
      <c r="D3651" s="62" t="s">
        <v>388</v>
      </c>
      <c r="E3651" s="62" t="s">
        <v>67</v>
      </c>
      <c r="F3651" s="62" t="s">
        <v>382</v>
      </c>
      <c r="G3651" s="63" t="s">
        <v>400</v>
      </c>
      <c r="H3651" s="64" t="n">
        <v>20356560000</v>
      </c>
      <c r="I3651" s="62" t="s">
        <v>81</v>
      </c>
      <c r="J3651" s="64" t="n">
        <v>20356560</v>
      </c>
      <c r="K3651" s="62" t="s">
        <v>138</v>
      </c>
      <c r="L3651" s="68" t="b">
        <f aca="false">TRUE()</f>
        <v>1</v>
      </c>
    </row>
    <row r="3652" customFormat="false" ht="15" hidden="false" customHeight="false" outlineLevel="0" collapsed="false">
      <c r="A3652" s="62" t="n">
        <v>1</v>
      </c>
      <c r="B3652" s="21" t="s">
        <v>336</v>
      </c>
      <c r="C3652" s="62" t="s">
        <v>60</v>
      </c>
      <c r="D3652" s="62" t="s">
        <v>381</v>
      </c>
      <c r="E3652" s="62" t="s">
        <v>67</v>
      </c>
      <c r="F3652" s="62" t="s">
        <v>382</v>
      </c>
      <c r="G3652" s="63" t="s">
        <v>401</v>
      </c>
      <c r="H3652" s="64" t="n">
        <v>8295420823.48767</v>
      </c>
      <c r="I3652" s="62" t="s">
        <v>81</v>
      </c>
      <c r="J3652" s="64" t="n">
        <v>8295420.82348767</v>
      </c>
      <c r="K3652" s="62" t="s">
        <v>138</v>
      </c>
      <c r="L3652" s="68" t="b">
        <f aca="false">TRUE()</f>
        <v>1</v>
      </c>
    </row>
    <row r="3653" customFormat="false" ht="15" hidden="false" customHeight="false" outlineLevel="0" collapsed="false">
      <c r="A3653" s="62" t="n">
        <v>1</v>
      </c>
      <c r="B3653" s="21" t="s">
        <v>336</v>
      </c>
      <c r="C3653" s="62" t="s">
        <v>60</v>
      </c>
      <c r="D3653" s="62" t="s">
        <v>383</v>
      </c>
      <c r="E3653" s="62" t="s">
        <v>67</v>
      </c>
      <c r="F3653" s="62" t="s">
        <v>382</v>
      </c>
      <c r="G3653" s="63" t="s">
        <v>401</v>
      </c>
      <c r="H3653" s="64" t="n">
        <v>5732837270.17176</v>
      </c>
      <c r="I3653" s="62" t="s">
        <v>81</v>
      </c>
      <c r="J3653" s="64" t="n">
        <v>5732837.27017176</v>
      </c>
      <c r="K3653" s="62" t="s">
        <v>138</v>
      </c>
      <c r="L3653" s="68" t="b">
        <f aca="false">TRUE()</f>
        <v>1</v>
      </c>
    </row>
    <row r="3654" customFormat="false" ht="15" hidden="false" customHeight="false" outlineLevel="0" collapsed="false">
      <c r="A3654" s="62" t="n">
        <v>1</v>
      </c>
      <c r="B3654" s="21" t="s">
        <v>336</v>
      </c>
      <c r="C3654" s="62" t="s">
        <v>60</v>
      </c>
      <c r="D3654" s="62" t="s">
        <v>384</v>
      </c>
      <c r="E3654" s="62" t="s">
        <v>67</v>
      </c>
      <c r="F3654" s="62" t="s">
        <v>382</v>
      </c>
      <c r="G3654" s="63" t="s">
        <v>401</v>
      </c>
      <c r="H3654" s="64" t="n">
        <v>5149916427.56612</v>
      </c>
      <c r="I3654" s="62" t="s">
        <v>81</v>
      </c>
      <c r="J3654" s="64" t="n">
        <v>5149916.42756612</v>
      </c>
      <c r="K3654" s="62" t="s">
        <v>138</v>
      </c>
      <c r="L3654" s="68" t="b">
        <f aca="false">TRUE()</f>
        <v>1</v>
      </c>
    </row>
    <row r="3655" customFormat="false" ht="15" hidden="false" customHeight="false" outlineLevel="0" collapsed="false">
      <c r="A3655" s="62" t="n">
        <v>1</v>
      </c>
      <c r="B3655" s="21" t="s">
        <v>336</v>
      </c>
      <c r="C3655" s="62" t="s">
        <v>60</v>
      </c>
      <c r="D3655" s="62" t="s">
        <v>385</v>
      </c>
      <c r="E3655" s="62" t="s">
        <v>67</v>
      </c>
      <c r="F3655" s="62" t="s">
        <v>382</v>
      </c>
      <c r="G3655" s="63" t="s">
        <v>401</v>
      </c>
      <c r="H3655" s="64" t="n">
        <v>6899574304.35038</v>
      </c>
      <c r="I3655" s="62" t="s">
        <v>81</v>
      </c>
      <c r="J3655" s="64" t="n">
        <v>6899574.30435038</v>
      </c>
      <c r="K3655" s="62" t="s">
        <v>138</v>
      </c>
      <c r="L3655" s="68" t="b">
        <f aca="false">TRUE()</f>
        <v>1</v>
      </c>
    </row>
    <row r="3656" customFormat="false" ht="15" hidden="false" customHeight="false" outlineLevel="0" collapsed="false">
      <c r="A3656" s="62" t="n">
        <v>1</v>
      </c>
      <c r="B3656" s="21" t="s">
        <v>336</v>
      </c>
      <c r="C3656" s="62" t="s">
        <v>60</v>
      </c>
      <c r="D3656" s="62" t="s">
        <v>386</v>
      </c>
      <c r="E3656" s="62" t="s">
        <v>67</v>
      </c>
      <c r="F3656" s="62" t="s">
        <v>382</v>
      </c>
      <c r="G3656" s="63" t="s">
        <v>401</v>
      </c>
      <c r="H3656" s="64" t="n">
        <v>0</v>
      </c>
      <c r="I3656" s="62" t="s">
        <v>81</v>
      </c>
      <c r="J3656" s="64" t="n">
        <v>0</v>
      </c>
      <c r="K3656" s="62" t="s">
        <v>138</v>
      </c>
      <c r="L3656" s="68" t="b">
        <f aca="false">TRUE()</f>
        <v>1</v>
      </c>
    </row>
    <row r="3657" customFormat="false" ht="15" hidden="false" customHeight="false" outlineLevel="0" collapsed="false">
      <c r="A3657" s="62" t="n">
        <v>1</v>
      </c>
      <c r="B3657" s="21" t="s">
        <v>336</v>
      </c>
      <c r="C3657" s="62" t="s">
        <v>60</v>
      </c>
      <c r="D3657" s="62" t="s">
        <v>387</v>
      </c>
      <c r="E3657" s="62" t="s">
        <v>67</v>
      </c>
      <c r="F3657" s="62" t="s">
        <v>382</v>
      </c>
      <c r="G3657" s="63" t="s">
        <v>401</v>
      </c>
      <c r="H3657" s="64" t="n">
        <v>12591695175.8629</v>
      </c>
      <c r="I3657" s="62" t="s">
        <v>81</v>
      </c>
      <c r="J3657" s="64" t="n">
        <v>12591695.1758629</v>
      </c>
      <c r="K3657" s="62" t="s">
        <v>138</v>
      </c>
      <c r="L3657" s="68" t="b">
        <f aca="false">TRUE()</f>
        <v>1</v>
      </c>
    </row>
    <row r="3658" customFormat="false" ht="15" hidden="false" customHeight="false" outlineLevel="0" collapsed="false">
      <c r="A3658" s="62" t="n">
        <v>1</v>
      </c>
      <c r="B3658" s="21" t="s">
        <v>336</v>
      </c>
      <c r="C3658" s="62" t="s">
        <v>60</v>
      </c>
      <c r="D3658" s="62" t="s">
        <v>388</v>
      </c>
      <c r="E3658" s="62" t="s">
        <v>67</v>
      </c>
      <c r="F3658" s="62" t="s">
        <v>382</v>
      </c>
      <c r="G3658" s="63" t="s">
        <v>401</v>
      </c>
      <c r="H3658" s="64" t="n">
        <v>0</v>
      </c>
      <c r="I3658" s="62" t="s">
        <v>81</v>
      </c>
      <c r="J3658" s="64" t="n">
        <v>0</v>
      </c>
      <c r="K3658" s="62" t="s">
        <v>138</v>
      </c>
      <c r="L3658" s="68" t="b">
        <f aca="false">TRUE()</f>
        <v>1</v>
      </c>
    </row>
    <row r="3659" customFormat="false" ht="15" hidden="false" customHeight="false" outlineLevel="0" collapsed="false">
      <c r="A3659" s="62" t="n">
        <v>1</v>
      </c>
      <c r="B3659" s="21" t="s">
        <v>336</v>
      </c>
      <c r="C3659" s="62" t="s">
        <v>60</v>
      </c>
      <c r="D3659" s="62" t="s">
        <v>381</v>
      </c>
      <c r="E3659" s="62" t="s">
        <v>67</v>
      </c>
      <c r="F3659" s="62" t="s">
        <v>382</v>
      </c>
      <c r="G3659" s="63" t="s">
        <v>402</v>
      </c>
      <c r="H3659" s="64" t="n">
        <v>27945501391.8549</v>
      </c>
      <c r="I3659" s="62" t="s">
        <v>81</v>
      </c>
      <c r="J3659" s="64" t="n">
        <v>27945501.3918549</v>
      </c>
      <c r="K3659" s="62" t="s">
        <v>138</v>
      </c>
      <c r="L3659" s="68" t="b">
        <f aca="false">TRUE()</f>
        <v>1</v>
      </c>
    </row>
    <row r="3660" customFormat="false" ht="15" hidden="false" customHeight="false" outlineLevel="0" collapsed="false">
      <c r="A3660" s="62" t="n">
        <v>1</v>
      </c>
      <c r="B3660" s="21" t="s">
        <v>336</v>
      </c>
      <c r="C3660" s="62" t="s">
        <v>60</v>
      </c>
      <c r="D3660" s="62" t="s">
        <v>383</v>
      </c>
      <c r="E3660" s="62" t="s">
        <v>67</v>
      </c>
      <c r="F3660" s="62" t="s">
        <v>382</v>
      </c>
      <c r="G3660" s="63" t="s">
        <v>402</v>
      </c>
      <c r="H3660" s="64" t="n">
        <v>27145081804.203</v>
      </c>
      <c r="I3660" s="62" t="s">
        <v>81</v>
      </c>
      <c r="J3660" s="64" t="n">
        <v>27145081.804203</v>
      </c>
      <c r="K3660" s="62" t="s">
        <v>138</v>
      </c>
      <c r="L3660" s="68" t="b">
        <f aca="false">TRUE()</f>
        <v>1</v>
      </c>
    </row>
    <row r="3661" customFormat="false" ht="15" hidden="false" customHeight="false" outlineLevel="0" collapsed="false">
      <c r="A3661" s="62" t="n">
        <v>1</v>
      </c>
      <c r="B3661" s="21" t="s">
        <v>336</v>
      </c>
      <c r="C3661" s="62" t="s">
        <v>60</v>
      </c>
      <c r="D3661" s="62" t="s">
        <v>384</v>
      </c>
      <c r="E3661" s="62" t="s">
        <v>67</v>
      </c>
      <c r="F3661" s="62" t="s">
        <v>382</v>
      </c>
      <c r="G3661" s="63" t="s">
        <v>402</v>
      </c>
      <c r="H3661" s="64" t="n">
        <v>18050279809.9615</v>
      </c>
      <c r="I3661" s="62" t="s">
        <v>81</v>
      </c>
      <c r="J3661" s="64" t="n">
        <v>18050279.8099615</v>
      </c>
      <c r="K3661" s="62" t="s">
        <v>138</v>
      </c>
      <c r="L3661" s="68" t="b">
        <f aca="false">TRUE()</f>
        <v>1</v>
      </c>
    </row>
    <row r="3662" customFormat="false" ht="15" hidden="false" customHeight="false" outlineLevel="0" collapsed="false">
      <c r="A3662" s="62" t="n">
        <v>1</v>
      </c>
      <c r="B3662" s="21" t="s">
        <v>336</v>
      </c>
      <c r="C3662" s="62" t="s">
        <v>60</v>
      </c>
      <c r="D3662" s="62" t="s">
        <v>385</v>
      </c>
      <c r="E3662" s="62" t="s">
        <v>67</v>
      </c>
      <c r="F3662" s="62" t="s">
        <v>382</v>
      </c>
      <c r="G3662" s="63" t="s">
        <v>402</v>
      </c>
      <c r="H3662" s="64" t="n">
        <v>19535511939.9396</v>
      </c>
      <c r="I3662" s="62" t="s">
        <v>81</v>
      </c>
      <c r="J3662" s="64" t="n">
        <v>19535511.9399396</v>
      </c>
      <c r="K3662" s="62" t="s">
        <v>138</v>
      </c>
      <c r="L3662" s="68" t="b">
        <f aca="false">TRUE()</f>
        <v>1</v>
      </c>
    </row>
    <row r="3663" customFormat="false" ht="15" hidden="false" customHeight="false" outlineLevel="0" collapsed="false">
      <c r="A3663" s="62" t="n">
        <v>1</v>
      </c>
      <c r="B3663" s="21" t="s">
        <v>336</v>
      </c>
      <c r="C3663" s="62" t="s">
        <v>60</v>
      </c>
      <c r="D3663" s="62" t="s">
        <v>386</v>
      </c>
      <c r="E3663" s="62" t="s">
        <v>67</v>
      </c>
      <c r="F3663" s="62" t="s">
        <v>382</v>
      </c>
      <c r="G3663" s="63" t="s">
        <v>402</v>
      </c>
      <c r="H3663" s="64" t="n">
        <v>19285175000</v>
      </c>
      <c r="I3663" s="62" t="s">
        <v>81</v>
      </c>
      <c r="J3663" s="64" t="n">
        <v>19285175</v>
      </c>
      <c r="K3663" s="62" t="s">
        <v>138</v>
      </c>
      <c r="L3663" s="68" t="b">
        <f aca="false">TRUE()</f>
        <v>1</v>
      </c>
    </row>
    <row r="3664" customFormat="false" ht="15" hidden="false" customHeight="false" outlineLevel="0" collapsed="false">
      <c r="A3664" s="62" t="n">
        <v>1</v>
      </c>
      <c r="B3664" s="21" t="s">
        <v>336</v>
      </c>
      <c r="C3664" s="62" t="s">
        <v>60</v>
      </c>
      <c r="D3664" s="62" t="s">
        <v>387</v>
      </c>
      <c r="E3664" s="62" t="s">
        <v>67</v>
      </c>
      <c r="F3664" s="62" t="s">
        <v>382</v>
      </c>
      <c r="G3664" s="63" t="s">
        <v>402</v>
      </c>
      <c r="H3664" s="64" t="n">
        <v>29569798359.6562</v>
      </c>
      <c r="I3664" s="62" t="s">
        <v>81</v>
      </c>
      <c r="J3664" s="64" t="n">
        <v>29569798.3596562</v>
      </c>
      <c r="K3664" s="62" t="s">
        <v>138</v>
      </c>
      <c r="L3664" s="68" t="b">
        <f aca="false">TRUE()</f>
        <v>1</v>
      </c>
    </row>
    <row r="3665" customFormat="false" ht="15" hidden="false" customHeight="false" outlineLevel="0" collapsed="false">
      <c r="A3665" s="62" t="n">
        <v>1</v>
      </c>
      <c r="B3665" s="21" t="s">
        <v>336</v>
      </c>
      <c r="C3665" s="62" t="s">
        <v>60</v>
      </c>
      <c r="D3665" s="62" t="s">
        <v>388</v>
      </c>
      <c r="E3665" s="62" t="s">
        <v>67</v>
      </c>
      <c r="F3665" s="62" t="s">
        <v>382</v>
      </c>
      <c r="G3665" s="63" t="s">
        <v>402</v>
      </c>
      <c r="H3665" s="64" t="n">
        <v>20356560000</v>
      </c>
      <c r="I3665" s="62" t="s">
        <v>81</v>
      </c>
      <c r="J3665" s="64" t="n">
        <v>20356560</v>
      </c>
      <c r="K3665" s="62" t="s">
        <v>138</v>
      </c>
      <c r="L3665" s="68" t="b">
        <f aca="false">TRUE()</f>
        <v>1</v>
      </c>
    </row>
    <row r="3666" customFormat="false" ht="15" hidden="false" customHeight="false" outlineLevel="0" collapsed="false">
      <c r="A3666" s="62" t="n">
        <v>1</v>
      </c>
      <c r="B3666" s="21" t="s">
        <v>336</v>
      </c>
      <c r="C3666" s="62" t="s">
        <v>60</v>
      </c>
      <c r="D3666" s="62" t="s">
        <v>381</v>
      </c>
      <c r="E3666" s="62" t="s">
        <v>67</v>
      </c>
      <c r="F3666" s="62" t="s">
        <v>382</v>
      </c>
      <c r="G3666" s="63" t="s">
        <v>389</v>
      </c>
      <c r="H3666" s="64" t="n">
        <v>12836450986.7767</v>
      </c>
      <c r="I3666" s="62" t="s">
        <v>81</v>
      </c>
      <c r="J3666" s="64" t="n">
        <v>12836450.9867767</v>
      </c>
      <c r="K3666" s="62" t="s">
        <v>138</v>
      </c>
      <c r="L3666" s="68" t="b">
        <f aca="false">TRUE()</f>
        <v>1</v>
      </c>
    </row>
    <row r="3667" customFormat="false" ht="15" hidden="false" customHeight="false" outlineLevel="0" collapsed="false">
      <c r="A3667" s="62" t="n">
        <v>1</v>
      </c>
      <c r="B3667" s="21" t="s">
        <v>336</v>
      </c>
      <c r="C3667" s="62" t="s">
        <v>60</v>
      </c>
      <c r="D3667" s="62" t="s">
        <v>383</v>
      </c>
      <c r="E3667" s="62" t="s">
        <v>67</v>
      </c>
      <c r="F3667" s="62" t="s">
        <v>382</v>
      </c>
      <c r="G3667" s="63" t="s">
        <v>389</v>
      </c>
      <c r="H3667" s="64" t="n">
        <v>17465684526.2309</v>
      </c>
      <c r="I3667" s="62" t="s">
        <v>81</v>
      </c>
      <c r="J3667" s="64" t="n">
        <v>17465684.5262309</v>
      </c>
      <c r="K3667" s="62" t="s">
        <v>138</v>
      </c>
      <c r="L3667" s="68" t="b">
        <f aca="false">TRUE()</f>
        <v>1</v>
      </c>
    </row>
    <row r="3668" customFormat="false" ht="15" hidden="false" customHeight="false" outlineLevel="0" collapsed="false">
      <c r="A3668" s="62" t="n">
        <v>1</v>
      </c>
      <c r="B3668" s="21" t="s">
        <v>336</v>
      </c>
      <c r="C3668" s="62" t="s">
        <v>60</v>
      </c>
      <c r="D3668" s="62" t="s">
        <v>384</v>
      </c>
      <c r="E3668" s="62" t="s">
        <v>67</v>
      </c>
      <c r="F3668" s="62" t="s">
        <v>382</v>
      </c>
      <c r="G3668" s="63" t="s">
        <v>389</v>
      </c>
      <c r="H3668" s="64" t="n">
        <v>11610256847.4949</v>
      </c>
      <c r="I3668" s="62" t="s">
        <v>81</v>
      </c>
      <c r="J3668" s="64" t="n">
        <v>11610256.8474949</v>
      </c>
      <c r="K3668" s="62" t="s">
        <v>138</v>
      </c>
      <c r="L3668" s="68" t="b">
        <f aca="false">TRUE()</f>
        <v>1</v>
      </c>
    </row>
    <row r="3669" customFormat="false" ht="15" hidden="false" customHeight="false" outlineLevel="0" collapsed="false">
      <c r="A3669" s="62" t="n">
        <v>1</v>
      </c>
      <c r="B3669" s="21" t="s">
        <v>336</v>
      </c>
      <c r="C3669" s="62" t="s">
        <v>60</v>
      </c>
      <c r="D3669" s="62" t="s">
        <v>385</v>
      </c>
      <c r="E3669" s="62" t="s">
        <v>67</v>
      </c>
      <c r="F3669" s="62" t="s">
        <v>382</v>
      </c>
      <c r="G3669" s="63" t="s">
        <v>389</v>
      </c>
      <c r="H3669" s="64" t="n">
        <v>10418890236.6287</v>
      </c>
      <c r="I3669" s="62" t="s">
        <v>81</v>
      </c>
      <c r="J3669" s="64" t="n">
        <v>10418890.2366287</v>
      </c>
      <c r="K3669" s="62" t="s">
        <v>138</v>
      </c>
      <c r="L3669" s="68" t="b">
        <f aca="false">TRUE()</f>
        <v>1</v>
      </c>
    </row>
    <row r="3670" customFormat="false" ht="15" hidden="false" customHeight="false" outlineLevel="0" collapsed="false">
      <c r="A3670" s="62" t="n">
        <v>1</v>
      </c>
      <c r="B3670" s="21" t="s">
        <v>336</v>
      </c>
      <c r="C3670" s="62" t="s">
        <v>60</v>
      </c>
      <c r="D3670" s="62" t="s">
        <v>386</v>
      </c>
      <c r="E3670" s="62" t="s">
        <v>67</v>
      </c>
      <c r="F3670" s="62" t="s">
        <v>382</v>
      </c>
      <c r="G3670" s="63" t="s">
        <v>389</v>
      </c>
      <c r="H3670" s="64" t="n">
        <v>9661871012.60454</v>
      </c>
      <c r="I3670" s="62" t="s">
        <v>81</v>
      </c>
      <c r="J3670" s="64" t="n">
        <v>9661871.01260454</v>
      </c>
      <c r="K3670" s="62" t="s">
        <v>138</v>
      </c>
      <c r="L3670" s="68" t="b">
        <f aca="false">TRUE()</f>
        <v>1</v>
      </c>
    </row>
    <row r="3671" customFormat="false" ht="15" hidden="false" customHeight="false" outlineLevel="0" collapsed="false">
      <c r="A3671" s="62" t="n">
        <v>1</v>
      </c>
      <c r="B3671" s="21" t="s">
        <v>336</v>
      </c>
      <c r="C3671" s="62" t="s">
        <v>60</v>
      </c>
      <c r="D3671" s="62" t="s">
        <v>387</v>
      </c>
      <c r="E3671" s="62" t="s">
        <v>67</v>
      </c>
      <c r="F3671" s="62" t="s">
        <v>382</v>
      </c>
      <c r="G3671" s="63" t="s">
        <v>389</v>
      </c>
      <c r="H3671" s="64" t="n">
        <v>16689035736.1018</v>
      </c>
      <c r="I3671" s="62" t="s">
        <v>81</v>
      </c>
      <c r="J3671" s="64" t="n">
        <v>16689035.7361018</v>
      </c>
      <c r="K3671" s="62" t="s">
        <v>138</v>
      </c>
      <c r="L3671" s="68" t="b">
        <f aca="false">TRUE()</f>
        <v>1</v>
      </c>
    </row>
    <row r="3672" customFormat="false" ht="15" hidden="false" customHeight="false" outlineLevel="0" collapsed="false">
      <c r="A3672" s="62" t="n">
        <v>1</v>
      </c>
      <c r="B3672" s="21" t="s">
        <v>336</v>
      </c>
      <c r="C3672" s="62" t="s">
        <v>60</v>
      </c>
      <c r="D3672" s="62" t="s">
        <v>388</v>
      </c>
      <c r="E3672" s="62" t="s">
        <v>67</v>
      </c>
      <c r="F3672" s="62" t="s">
        <v>382</v>
      </c>
      <c r="G3672" s="63" t="s">
        <v>389</v>
      </c>
      <c r="H3672" s="64" t="n">
        <v>12055532662.0681</v>
      </c>
      <c r="I3672" s="62" t="s">
        <v>81</v>
      </c>
      <c r="J3672" s="64" t="n">
        <v>12055532.6620681</v>
      </c>
      <c r="K3672" s="62" t="s">
        <v>138</v>
      </c>
      <c r="L3672" s="68" t="b">
        <f aca="false">TRUE()</f>
        <v>1</v>
      </c>
    </row>
    <row r="3673" customFormat="false" ht="15" hidden="false" customHeight="false" outlineLevel="0" collapsed="false">
      <c r="A3673" s="62" t="n">
        <v>1</v>
      </c>
      <c r="B3673" s="21" t="s">
        <v>336</v>
      </c>
      <c r="C3673" s="62" t="s">
        <v>60</v>
      </c>
      <c r="D3673" s="62" t="s">
        <v>381</v>
      </c>
      <c r="E3673" s="62" t="s">
        <v>67</v>
      </c>
      <c r="F3673" s="62" t="s">
        <v>382</v>
      </c>
      <c r="G3673" s="63" t="s">
        <v>390</v>
      </c>
      <c r="H3673" s="64" t="n">
        <v>2973399265.54344</v>
      </c>
      <c r="I3673" s="62" t="s">
        <v>81</v>
      </c>
      <c r="J3673" s="64" t="n">
        <v>2973399.26554344</v>
      </c>
      <c r="K3673" s="62" t="s">
        <v>138</v>
      </c>
      <c r="L3673" s="68" t="b">
        <f aca="false">TRUE()</f>
        <v>1</v>
      </c>
    </row>
    <row r="3674" customFormat="false" ht="15" hidden="false" customHeight="false" outlineLevel="0" collapsed="false">
      <c r="A3674" s="62" t="n">
        <v>1</v>
      </c>
      <c r="B3674" s="21" t="s">
        <v>336</v>
      </c>
      <c r="C3674" s="62" t="s">
        <v>60</v>
      </c>
      <c r="D3674" s="62" t="s">
        <v>383</v>
      </c>
      <c r="E3674" s="62" t="s">
        <v>67</v>
      </c>
      <c r="F3674" s="62" t="s">
        <v>382</v>
      </c>
      <c r="G3674" s="63" t="s">
        <v>390</v>
      </c>
      <c r="H3674" s="64" t="n">
        <v>2633532851.77101</v>
      </c>
      <c r="I3674" s="62" t="s">
        <v>81</v>
      </c>
      <c r="J3674" s="64" t="n">
        <v>2633532.85177101</v>
      </c>
      <c r="K3674" s="62" t="s">
        <v>138</v>
      </c>
      <c r="L3674" s="68" t="b">
        <f aca="false">TRUE()</f>
        <v>1</v>
      </c>
    </row>
    <row r="3675" customFormat="false" ht="15" hidden="false" customHeight="false" outlineLevel="0" collapsed="false">
      <c r="A3675" s="62" t="n">
        <v>1</v>
      </c>
      <c r="B3675" s="21" t="s">
        <v>336</v>
      </c>
      <c r="C3675" s="62" t="s">
        <v>60</v>
      </c>
      <c r="D3675" s="62" t="s">
        <v>384</v>
      </c>
      <c r="E3675" s="62" t="s">
        <v>67</v>
      </c>
      <c r="F3675" s="62" t="s">
        <v>382</v>
      </c>
      <c r="G3675" s="63" t="s">
        <v>390</v>
      </c>
      <c r="H3675" s="64" t="n">
        <v>1963098775.58191</v>
      </c>
      <c r="I3675" s="62" t="s">
        <v>81</v>
      </c>
      <c r="J3675" s="64" t="n">
        <v>1963098.77558191</v>
      </c>
      <c r="K3675" s="62" t="s">
        <v>138</v>
      </c>
      <c r="L3675" s="68" t="b">
        <f aca="false">TRUE()</f>
        <v>1</v>
      </c>
    </row>
    <row r="3676" customFormat="false" ht="15" hidden="false" customHeight="false" outlineLevel="0" collapsed="false">
      <c r="A3676" s="62" t="n">
        <v>1</v>
      </c>
      <c r="B3676" s="21" t="s">
        <v>336</v>
      </c>
      <c r="C3676" s="62" t="s">
        <v>60</v>
      </c>
      <c r="D3676" s="62" t="s">
        <v>385</v>
      </c>
      <c r="E3676" s="62" t="s">
        <v>67</v>
      </c>
      <c r="F3676" s="62" t="s">
        <v>382</v>
      </c>
      <c r="G3676" s="63" t="s">
        <v>390</v>
      </c>
      <c r="H3676" s="64" t="n">
        <v>2412315366.7943</v>
      </c>
      <c r="I3676" s="62" t="s">
        <v>81</v>
      </c>
      <c r="J3676" s="64" t="n">
        <v>2412315.3667943</v>
      </c>
      <c r="K3676" s="62" t="s">
        <v>138</v>
      </c>
      <c r="L3676" s="68" t="b">
        <f aca="false">TRUE()</f>
        <v>1</v>
      </c>
    </row>
    <row r="3677" customFormat="false" ht="15" hidden="false" customHeight="false" outlineLevel="0" collapsed="false">
      <c r="A3677" s="62" t="n">
        <v>1</v>
      </c>
      <c r="B3677" s="21" t="s">
        <v>336</v>
      </c>
      <c r="C3677" s="62" t="s">
        <v>60</v>
      </c>
      <c r="D3677" s="62" t="s">
        <v>386</v>
      </c>
      <c r="E3677" s="62" t="s">
        <v>67</v>
      </c>
      <c r="F3677" s="62" t="s">
        <v>382</v>
      </c>
      <c r="G3677" s="63" t="s">
        <v>390</v>
      </c>
      <c r="H3677" s="64" t="n">
        <v>3306030000</v>
      </c>
      <c r="I3677" s="62" t="s">
        <v>81</v>
      </c>
      <c r="J3677" s="64" t="n">
        <v>3306030</v>
      </c>
      <c r="K3677" s="62" t="s">
        <v>138</v>
      </c>
      <c r="L3677" s="68" t="b">
        <f aca="false">TRUE()</f>
        <v>1</v>
      </c>
    </row>
    <row r="3678" customFormat="false" ht="15" hidden="false" customHeight="false" outlineLevel="0" collapsed="false">
      <c r="A3678" s="62" t="n">
        <v>1</v>
      </c>
      <c r="B3678" s="21" t="s">
        <v>336</v>
      </c>
      <c r="C3678" s="62" t="s">
        <v>60</v>
      </c>
      <c r="D3678" s="62" t="s">
        <v>387</v>
      </c>
      <c r="E3678" s="62" t="s">
        <v>67</v>
      </c>
      <c r="F3678" s="62" t="s">
        <v>382</v>
      </c>
      <c r="G3678" s="63" t="s">
        <v>390</v>
      </c>
      <c r="H3678" s="64" t="n">
        <v>2031306780.9108</v>
      </c>
      <c r="I3678" s="62" t="s">
        <v>81</v>
      </c>
      <c r="J3678" s="64" t="n">
        <v>2031306.7809108</v>
      </c>
      <c r="K3678" s="62" t="s">
        <v>138</v>
      </c>
      <c r="L3678" s="68" t="b">
        <f aca="false">TRUE()</f>
        <v>1</v>
      </c>
    </row>
    <row r="3679" customFormat="false" ht="15" hidden="false" customHeight="false" outlineLevel="0" collapsed="false">
      <c r="A3679" s="62" t="n">
        <v>1</v>
      </c>
      <c r="B3679" s="21" t="s">
        <v>336</v>
      </c>
      <c r="C3679" s="62" t="s">
        <v>60</v>
      </c>
      <c r="D3679" s="62" t="s">
        <v>388</v>
      </c>
      <c r="E3679" s="62" t="s">
        <v>67</v>
      </c>
      <c r="F3679" s="62" t="s">
        <v>382</v>
      </c>
      <c r="G3679" s="63" t="s">
        <v>390</v>
      </c>
      <c r="H3679" s="64" t="n">
        <v>3747520000</v>
      </c>
      <c r="I3679" s="62" t="s">
        <v>81</v>
      </c>
      <c r="J3679" s="64" t="n">
        <v>3747520</v>
      </c>
      <c r="K3679" s="62" t="s">
        <v>138</v>
      </c>
      <c r="L3679" s="68" t="b">
        <f aca="false">TRUE()</f>
        <v>1</v>
      </c>
    </row>
    <row r="3680" customFormat="false" ht="15" hidden="false" customHeight="false" outlineLevel="0" collapsed="false">
      <c r="A3680" s="62" t="n">
        <v>1</v>
      </c>
      <c r="B3680" s="21" t="s">
        <v>336</v>
      </c>
      <c r="C3680" s="62" t="s">
        <v>60</v>
      </c>
      <c r="D3680" s="62" t="s">
        <v>381</v>
      </c>
      <c r="E3680" s="62" t="s">
        <v>67</v>
      </c>
      <c r="F3680" s="62" t="s">
        <v>382</v>
      </c>
      <c r="G3680" s="63" t="s">
        <v>391</v>
      </c>
      <c r="H3680" s="64" t="n">
        <v>7598674830.76082</v>
      </c>
      <c r="I3680" s="62" t="s">
        <v>81</v>
      </c>
      <c r="J3680" s="64" t="n">
        <v>7598674.83076082</v>
      </c>
      <c r="K3680" s="62" t="s">
        <v>138</v>
      </c>
      <c r="L3680" s="68" t="b">
        <f aca="false">TRUE()</f>
        <v>1</v>
      </c>
    </row>
    <row r="3681" customFormat="false" ht="15" hidden="false" customHeight="false" outlineLevel="0" collapsed="false">
      <c r="A3681" s="62" t="n">
        <v>1</v>
      </c>
      <c r="B3681" s="21" t="s">
        <v>336</v>
      </c>
      <c r="C3681" s="62" t="s">
        <v>60</v>
      </c>
      <c r="D3681" s="62" t="s">
        <v>383</v>
      </c>
      <c r="E3681" s="62" t="s">
        <v>67</v>
      </c>
      <c r="F3681" s="62" t="s">
        <v>382</v>
      </c>
      <c r="G3681" s="63" t="s">
        <v>391</v>
      </c>
      <c r="H3681" s="64" t="n">
        <v>0</v>
      </c>
      <c r="I3681" s="62" t="s">
        <v>81</v>
      </c>
      <c r="J3681" s="64" t="n">
        <v>0</v>
      </c>
      <c r="K3681" s="62" t="s">
        <v>138</v>
      </c>
      <c r="L3681" s="68" t="b">
        <f aca="false">TRUE()</f>
        <v>1</v>
      </c>
    </row>
    <row r="3682" customFormat="false" ht="15" hidden="false" customHeight="false" outlineLevel="0" collapsed="false">
      <c r="A3682" s="62" t="n">
        <v>1</v>
      </c>
      <c r="B3682" s="21" t="s">
        <v>336</v>
      </c>
      <c r="C3682" s="62" t="s">
        <v>60</v>
      </c>
      <c r="D3682" s="62" t="s">
        <v>384</v>
      </c>
      <c r="E3682" s="62" t="s">
        <v>67</v>
      </c>
      <c r="F3682" s="62" t="s">
        <v>382</v>
      </c>
      <c r="G3682" s="63" t="s">
        <v>391</v>
      </c>
      <c r="H3682" s="64" t="n">
        <v>0</v>
      </c>
      <c r="I3682" s="62" t="s">
        <v>81</v>
      </c>
      <c r="J3682" s="64" t="n">
        <v>0</v>
      </c>
      <c r="K3682" s="62" t="s">
        <v>138</v>
      </c>
      <c r="L3682" s="68" t="b">
        <f aca="false">TRUE()</f>
        <v>1</v>
      </c>
    </row>
    <row r="3683" customFormat="false" ht="15" hidden="false" customHeight="false" outlineLevel="0" collapsed="false">
      <c r="A3683" s="62" t="n">
        <v>1</v>
      </c>
      <c r="B3683" s="21" t="s">
        <v>336</v>
      </c>
      <c r="C3683" s="62" t="s">
        <v>60</v>
      </c>
      <c r="D3683" s="62" t="s">
        <v>385</v>
      </c>
      <c r="E3683" s="62" t="s">
        <v>67</v>
      </c>
      <c r="F3683" s="62" t="s">
        <v>382</v>
      </c>
      <c r="G3683" s="63" t="s">
        <v>391</v>
      </c>
      <c r="H3683" s="64" t="n">
        <v>0</v>
      </c>
      <c r="I3683" s="62" t="s">
        <v>81</v>
      </c>
      <c r="J3683" s="64" t="n">
        <v>0</v>
      </c>
      <c r="K3683" s="62" t="s">
        <v>138</v>
      </c>
      <c r="L3683" s="68" t="b">
        <f aca="false">TRUE()</f>
        <v>1</v>
      </c>
    </row>
    <row r="3684" customFormat="false" ht="15" hidden="false" customHeight="false" outlineLevel="0" collapsed="false">
      <c r="A3684" s="62" t="n">
        <v>1</v>
      </c>
      <c r="B3684" s="21" t="s">
        <v>336</v>
      </c>
      <c r="C3684" s="62" t="s">
        <v>60</v>
      </c>
      <c r="D3684" s="62" t="s">
        <v>386</v>
      </c>
      <c r="E3684" s="62" t="s">
        <v>67</v>
      </c>
      <c r="F3684" s="62" t="s">
        <v>382</v>
      </c>
      <c r="G3684" s="63" t="s">
        <v>391</v>
      </c>
      <c r="H3684" s="64" t="n">
        <v>0</v>
      </c>
      <c r="I3684" s="62" t="s">
        <v>81</v>
      </c>
      <c r="J3684" s="64" t="n">
        <v>0</v>
      </c>
      <c r="K3684" s="62" t="s">
        <v>138</v>
      </c>
      <c r="L3684" s="68" t="b">
        <f aca="false">TRUE()</f>
        <v>1</v>
      </c>
    </row>
    <row r="3685" customFormat="false" ht="15" hidden="false" customHeight="false" outlineLevel="0" collapsed="false">
      <c r="A3685" s="62" t="n">
        <v>1</v>
      </c>
      <c r="B3685" s="21" t="s">
        <v>336</v>
      </c>
      <c r="C3685" s="62" t="s">
        <v>60</v>
      </c>
      <c r="D3685" s="62" t="s">
        <v>387</v>
      </c>
      <c r="E3685" s="62" t="s">
        <v>67</v>
      </c>
      <c r="F3685" s="62" t="s">
        <v>382</v>
      </c>
      <c r="G3685" s="63" t="s">
        <v>391</v>
      </c>
      <c r="H3685" s="64" t="n">
        <v>0</v>
      </c>
      <c r="I3685" s="62" t="s">
        <v>81</v>
      </c>
      <c r="J3685" s="64" t="n">
        <v>0</v>
      </c>
      <c r="K3685" s="62" t="s">
        <v>138</v>
      </c>
      <c r="L3685" s="68" t="b">
        <f aca="false">TRUE()</f>
        <v>1</v>
      </c>
    </row>
    <row r="3686" customFormat="false" ht="15" hidden="false" customHeight="false" outlineLevel="0" collapsed="false">
      <c r="A3686" s="62" t="n">
        <v>1</v>
      </c>
      <c r="B3686" s="21" t="s">
        <v>336</v>
      </c>
      <c r="C3686" s="62" t="s">
        <v>60</v>
      </c>
      <c r="D3686" s="62" t="s">
        <v>388</v>
      </c>
      <c r="E3686" s="62" t="s">
        <v>67</v>
      </c>
      <c r="F3686" s="62" t="s">
        <v>382</v>
      </c>
      <c r="G3686" s="63" t="s">
        <v>391</v>
      </c>
      <c r="H3686" s="64" t="n">
        <v>0</v>
      </c>
      <c r="I3686" s="62" t="s">
        <v>81</v>
      </c>
      <c r="J3686" s="64" t="n">
        <v>0</v>
      </c>
      <c r="K3686" s="62" t="s">
        <v>138</v>
      </c>
      <c r="L3686" s="68" t="b">
        <f aca="false">TRUE()</f>
        <v>1</v>
      </c>
    </row>
    <row r="3687" customFormat="false" ht="15" hidden="false" customHeight="false" outlineLevel="0" collapsed="false">
      <c r="A3687" s="62" t="n">
        <v>1</v>
      </c>
      <c r="B3687" s="21" t="s">
        <v>336</v>
      </c>
      <c r="C3687" s="62" t="s">
        <v>60</v>
      </c>
      <c r="D3687" s="62" t="s">
        <v>381</v>
      </c>
      <c r="E3687" s="62" t="s">
        <v>67</v>
      </c>
      <c r="F3687" s="62" t="s">
        <v>382</v>
      </c>
      <c r="G3687" s="63" t="s">
        <v>392</v>
      </c>
      <c r="H3687" s="64" t="n">
        <v>0</v>
      </c>
      <c r="I3687" s="62" t="s">
        <v>81</v>
      </c>
      <c r="J3687" s="64" t="n">
        <v>0</v>
      </c>
      <c r="K3687" s="62" t="s">
        <v>138</v>
      </c>
      <c r="L3687" s="68" t="b">
        <f aca="false">TRUE()</f>
        <v>1</v>
      </c>
    </row>
    <row r="3688" customFormat="false" ht="15" hidden="false" customHeight="false" outlineLevel="0" collapsed="false">
      <c r="A3688" s="62" t="n">
        <v>1</v>
      </c>
      <c r="B3688" s="21" t="s">
        <v>336</v>
      </c>
      <c r="C3688" s="62" t="s">
        <v>60</v>
      </c>
      <c r="D3688" s="62" t="s">
        <v>383</v>
      </c>
      <c r="E3688" s="62" t="s">
        <v>67</v>
      </c>
      <c r="F3688" s="62" t="s">
        <v>382</v>
      </c>
      <c r="G3688" s="63" t="s">
        <v>392</v>
      </c>
      <c r="H3688" s="64" t="n">
        <v>0</v>
      </c>
      <c r="I3688" s="62" t="s">
        <v>81</v>
      </c>
      <c r="J3688" s="64" t="n">
        <v>0</v>
      </c>
      <c r="K3688" s="62" t="s">
        <v>138</v>
      </c>
      <c r="L3688" s="68" t="b">
        <f aca="false">TRUE()</f>
        <v>1</v>
      </c>
    </row>
    <row r="3689" customFormat="false" ht="15" hidden="false" customHeight="false" outlineLevel="0" collapsed="false">
      <c r="A3689" s="62" t="n">
        <v>1</v>
      </c>
      <c r="B3689" s="21" t="s">
        <v>336</v>
      </c>
      <c r="C3689" s="62" t="s">
        <v>60</v>
      </c>
      <c r="D3689" s="62" t="s">
        <v>384</v>
      </c>
      <c r="E3689" s="62" t="s">
        <v>67</v>
      </c>
      <c r="F3689" s="62" t="s">
        <v>382</v>
      </c>
      <c r="G3689" s="63" t="s">
        <v>392</v>
      </c>
      <c r="H3689" s="64" t="n">
        <v>0</v>
      </c>
      <c r="I3689" s="62" t="s">
        <v>81</v>
      </c>
      <c r="J3689" s="64" t="n">
        <v>0</v>
      </c>
      <c r="K3689" s="62" t="s">
        <v>138</v>
      </c>
      <c r="L3689" s="68" t="b">
        <f aca="false">TRUE()</f>
        <v>1</v>
      </c>
    </row>
    <row r="3690" customFormat="false" ht="15" hidden="false" customHeight="false" outlineLevel="0" collapsed="false">
      <c r="A3690" s="62" t="n">
        <v>1</v>
      </c>
      <c r="B3690" s="21" t="s">
        <v>336</v>
      </c>
      <c r="C3690" s="62" t="s">
        <v>60</v>
      </c>
      <c r="D3690" s="62" t="s">
        <v>385</v>
      </c>
      <c r="E3690" s="62" t="s">
        <v>67</v>
      </c>
      <c r="F3690" s="62" t="s">
        <v>382</v>
      </c>
      <c r="G3690" s="63" t="s">
        <v>392</v>
      </c>
      <c r="H3690" s="64" t="n">
        <v>0</v>
      </c>
      <c r="I3690" s="62" t="s">
        <v>81</v>
      </c>
      <c r="J3690" s="64" t="n">
        <v>0</v>
      </c>
      <c r="K3690" s="62" t="s">
        <v>138</v>
      </c>
      <c r="L3690" s="68" t="b">
        <f aca="false">TRUE()</f>
        <v>1</v>
      </c>
    </row>
    <row r="3691" customFormat="false" ht="15" hidden="false" customHeight="false" outlineLevel="0" collapsed="false">
      <c r="A3691" s="62" t="n">
        <v>1</v>
      </c>
      <c r="B3691" s="21" t="s">
        <v>336</v>
      </c>
      <c r="C3691" s="62" t="s">
        <v>60</v>
      </c>
      <c r="D3691" s="62" t="s">
        <v>386</v>
      </c>
      <c r="E3691" s="62" t="s">
        <v>67</v>
      </c>
      <c r="F3691" s="62" t="s">
        <v>382</v>
      </c>
      <c r="G3691" s="63" t="s">
        <v>392</v>
      </c>
      <c r="H3691" s="64" t="n">
        <v>0</v>
      </c>
      <c r="I3691" s="62" t="s">
        <v>81</v>
      </c>
      <c r="J3691" s="64" t="n">
        <v>0</v>
      </c>
      <c r="K3691" s="62" t="s">
        <v>138</v>
      </c>
      <c r="L3691" s="68" t="b">
        <f aca="false">TRUE()</f>
        <v>1</v>
      </c>
    </row>
    <row r="3692" customFormat="false" ht="15" hidden="false" customHeight="false" outlineLevel="0" collapsed="false">
      <c r="A3692" s="62" t="n">
        <v>1</v>
      </c>
      <c r="B3692" s="21" t="s">
        <v>336</v>
      </c>
      <c r="C3692" s="62" t="s">
        <v>60</v>
      </c>
      <c r="D3692" s="62" t="s">
        <v>387</v>
      </c>
      <c r="E3692" s="62" t="s">
        <v>67</v>
      </c>
      <c r="F3692" s="62" t="s">
        <v>382</v>
      </c>
      <c r="G3692" s="63" t="s">
        <v>392</v>
      </c>
      <c r="H3692" s="64" t="n">
        <v>0</v>
      </c>
      <c r="I3692" s="62" t="s">
        <v>81</v>
      </c>
      <c r="J3692" s="64" t="n">
        <v>0</v>
      </c>
      <c r="K3692" s="62" t="s">
        <v>138</v>
      </c>
      <c r="L3692" s="68" t="b">
        <f aca="false">TRUE()</f>
        <v>1</v>
      </c>
    </row>
    <row r="3693" customFormat="false" ht="15" hidden="false" customHeight="false" outlineLevel="0" collapsed="false">
      <c r="A3693" s="62" t="n">
        <v>1</v>
      </c>
      <c r="B3693" s="21" t="s">
        <v>336</v>
      </c>
      <c r="C3693" s="62" t="s">
        <v>60</v>
      </c>
      <c r="D3693" s="62" t="s">
        <v>388</v>
      </c>
      <c r="E3693" s="62" t="s">
        <v>67</v>
      </c>
      <c r="F3693" s="62" t="s">
        <v>382</v>
      </c>
      <c r="G3693" s="63" t="s">
        <v>392</v>
      </c>
      <c r="H3693" s="64" t="n">
        <v>0</v>
      </c>
      <c r="I3693" s="62" t="s">
        <v>81</v>
      </c>
      <c r="J3693" s="64" t="n">
        <v>0</v>
      </c>
      <c r="K3693" s="62" t="s">
        <v>138</v>
      </c>
      <c r="L3693" s="68" t="b">
        <f aca="false">TRUE()</f>
        <v>1</v>
      </c>
    </row>
    <row r="3694" customFormat="false" ht="15" hidden="false" customHeight="false" outlineLevel="0" collapsed="false">
      <c r="A3694" s="62" t="n">
        <v>1</v>
      </c>
      <c r="B3694" s="21" t="s">
        <v>336</v>
      </c>
      <c r="C3694" s="62" t="s">
        <v>60</v>
      </c>
      <c r="D3694" s="62" t="s">
        <v>381</v>
      </c>
      <c r="E3694" s="62" t="s">
        <v>67</v>
      </c>
      <c r="F3694" s="62" t="s">
        <v>382</v>
      </c>
      <c r="G3694" s="63" t="s">
        <v>393</v>
      </c>
      <c r="H3694" s="64" t="n">
        <v>872815888.888889</v>
      </c>
      <c r="I3694" s="62" t="s">
        <v>81</v>
      </c>
      <c r="J3694" s="64" t="n">
        <v>872815.888888889</v>
      </c>
      <c r="K3694" s="62" t="s">
        <v>138</v>
      </c>
      <c r="L3694" s="68" t="b">
        <f aca="false">TRUE()</f>
        <v>1</v>
      </c>
    </row>
    <row r="3695" customFormat="false" ht="15" hidden="false" customHeight="false" outlineLevel="0" collapsed="false">
      <c r="A3695" s="62" t="n">
        <v>1</v>
      </c>
      <c r="B3695" s="21" t="s">
        <v>336</v>
      </c>
      <c r="C3695" s="62" t="s">
        <v>60</v>
      </c>
      <c r="D3695" s="62" t="s">
        <v>383</v>
      </c>
      <c r="E3695" s="62" t="s">
        <v>67</v>
      </c>
      <c r="F3695" s="62" t="s">
        <v>382</v>
      </c>
      <c r="G3695" s="63" t="s">
        <v>393</v>
      </c>
      <c r="H3695" s="64" t="n">
        <v>1410321444.44444</v>
      </c>
      <c r="I3695" s="62" t="s">
        <v>81</v>
      </c>
      <c r="J3695" s="64" t="n">
        <v>1410321.44444444</v>
      </c>
      <c r="K3695" s="62" t="s">
        <v>138</v>
      </c>
      <c r="L3695" s="68" t="b">
        <f aca="false">TRUE()</f>
        <v>1</v>
      </c>
    </row>
    <row r="3696" customFormat="false" ht="15" hidden="false" customHeight="false" outlineLevel="0" collapsed="false">
      <c r="A3696" s="62" t="n">
        <v>1</v>
      </c>
      <c r="B3696" s="21" t="s">
        <v>336</v>
      </c>
      <c r="C3696" s="62" t="s">
        <v>60</v>
      </c>
      <c r="D3696" s="62" t="s">
        <v>384</v>
      </c>
      <c r="E3696" s="62" t="s">
        <v>67</v>
      </c>
      <c r="F3696" s="62" t="s">
        <v>382</v>
      </c>
      <c r="G3696" s="63" t="s">
        <v>393</v>
      </c>
      <c r="H3696" s="64" t="n">
        <v>560161511.111111</v>
      </c>
      <c r="I3696" s="62" t="s">
        <v>81</v>
      </c>
      <c r="J3696" s="64" t="n">
        <v>560161.511111111</v>
      </c>
      <c r="K3696" s="62" t="s">
        <v>138</v>
      </c>
      <c r="L3696" s="68" t="b">
        <f aca="false">TRUE()</f>
        <v>1</v>
      </c>
    </row>
    <row r="3697" customFormat="false" ht="15" hidden="false" customHeight="false" outlineLevel="0" collapsed="false">
      <c r="A3697" s="62" t="n">
        <v>1</v>
      </c>
      <c r="B3697" s="21" t="s">
        <v>336</v>
      </c>
      <c r="C3697" s="62" t="s">
        <v>60</v>
      </c>
      <c r="D3697" s="62" t="s">
        <v>385</v>
      </c>
      <c r="E3697" s="62" t="s">
        <v>67</v>
      </c>
      <c r="F3697" s="62" t="s">
        <v>382</v>
      </c>
      <c r="G3697" s="63" t="s">
        <v>393</v>
      </c>
      <c r="H3697" s="64" t="n">
        <v>518884000</v>
      </c>
      <c r="I3697" s="62" t="s">
        <v>81</v>
      </c>
      <c r="J3697" s="64" t="n">
        <v>518884</v>
      </c>
      <c r="K3697" s="62" t="s">
        <v>138</v>
      </c>
      <c r="L3697" s="68" t="b">
        <f aca="false">TRUE()</f>
        <v>1</v>
      </c>
    </row>
    <row r="3698" customFormat="false" ht="15" hidden="false" customHeight="false" outlineLevel="0" collapsed="false">
      <c r="A3698" s="62" t="n">
        <v>1</v>
      </c>
      <c r="B3698" s="21" t="s">
        <v>336</v>
      </c>
      <c r="C3698" s="62" t="s">
        <v>60</v>
      </c>
      <c r="D3698" s="62" t="s">
        <v>386</v>
      </c>
      <c r="E3698" s="62" t="s">
        <v>67</v>
      </c>
      <c r="F3698" s="62" t="s">
        <v>382</v>
      </c>
      <c r="G3698" s="63" t="s">
        <v>393</v>
      </c>
      <c r="H3698" s="64" t="n">
        <v>624125111.111111</v>
      </c>
      <c r="I3698" s="62" t="s">
        <v>81</v>
      </c>
      <c r="J3698" s="64" t="n">
        <v>624125.111111111</v>
      </c>
      <c r="K3698" s="62" t="s">
        <v>138</v>
      </c>
      <c r="L3698" s="68" t="b">
        <f aca="false">TRUE()</f>
        <v>1</v>
      </c>
    </row>
    <row r="3699" customFormat="false" ht="15" hidden="false" customHeight="false" outlineLevel="0" collapsed="false">
      <c r="A3699" s="62" t="n">
        <v>1</v>
      </c>
      <c r="B3699" s="21" t="s">
        <v>336</v>
      </c>
      <c r="C3699" s="62" t="s">
        <v>60</v>
      </c>
      <c r="D3699" s="62" t="s">
        <v>387</v>
      </c>
      <c r="E3699" s="62" t="s">
        <v>67</v>
      </c>
      <c r="F3699" s="62" t="s">
        <v>382</v>
      </c>
      <c r="G3699" s="63" t="s">
        <v>393</v>
      </c>
      <c r="H3699" s="64" t="n">
        <v>2300578000</v>
      </c>
      <c r="I3699" s="62" t="s">
        <v>81</v>
      </c>
      <c r="J3699" s="64" t="n">
        <v>2300578</v>
      </c>
      <c r="K3699" s="62" t="s">
        <v>138</v>
      </c>
      <c r="L3699" s="68" t="b">
        <f aca="false">TRUE()</f>
        <v>1</v>
      </c>
    </row>
    <row r="3700" customFormat="false" ht="15" hidden="false" customHeight="false" outlineLevel="0" collapsed="false">
      <c r="A3700" s="62" t="n">
        <v>1</v>
      </c>
      <c r="B3700" s="21" t="s">
        <v>336</v>
      </c>
      <c r="C3700" s="62" t="s">
        <v>60</v>
      </c>
      <c r="D3700" s="62" t="s">
        <v>388</v>
      </c>
      <c r="E3700" s="62" t="s">
        <v>67</v>
      </c>
      <c r="F3700" s="62" t="s">
        <v>382</v>
      </c>
      <c r="G3700" s="63" t="s">
        <v>393</v>
      </c>
      <c r="H3700" s="64" t="n">
        <v>1296225555.55556</v>
      </c>
      <c r="I3700" s="62" t="s">
        <v>81</v>
      </c>
      <c r="J3700" s="64" t="n">
        <v>1296225.55555556</v>
      </c>
      <c r="K3700" s="62" t="s">
        <v>138</v>
      </c>
      <c r="L3700" s="68" t="b">
        <f aca="false">TRUE()</f>
        <v>1</v>
      </c>
    </row>
    <row r="3701" customFormat="false" ht="15" hidden="false" customHeight="false" outlineLevel="0" collapsed="false">
      <c r="A3701" s="62" t="n">
        <v>1</v>
      </c>
      <c r="B3701" s="21" t="s">
        <v>336</v>
      </c>
      <c r="C3701" s="62" t="s">
        <v>60</v>
      </c>
      <c r="D3701" s="62" t="s">
        <v>381</v>
      </c>
      <c r="E3701" s="62" t="s">
        <v>67</v>
      </c>
      <c r="F3701" s="62" t="s">
        <v>382</v>
      </c>
      <c r="G3701" s="63" t="s">
        <v>394</v>
      </c>
      <c r="H3701" s="64" t="n">
        <v>600000000</v>
      </c>
      <c r="I3701" s="62" t="s">
        <v>81</v>
      </c>
      <c r="J3701" s="64" t="n">
        <v>600000</v>
      </c>
      <c r="K3701" s="62" t="s">
        <v>138</v>
      </c>
      <c r="L3701" s="68" t="b">
        <f aca="false">TRUE()</f>
        <v>1</v>
      </c>
    </row>
    <row r="3702" customFormat="false" ht="15" hidden="false" customHeight="false" outlineLevel="0" collapsed="false">
      <c r="A3702" s="62" t="n">
        <v>1</v>
      </c>
      <c r="B3702" s="21" t="s">
        <v>336</v>
      </c>
      <c r="C3702" s="62" t="s">
        <v>60</v>
      </c>
      <c r="D3702" s="62" t="s">
        <v>383</v>
      </c>
      <c r="E3702" s="62" t="s">
        <v>67</v>
      </c>
      <c r="F3702" s="62" t="s">
        <v>382</v>
      </c>
      <c r="G3702" s="63" t="s">
        <v>394</v>
      </c>
      <c r="H3702" s="64" t="n">
        <v>1885600000</v>
      </c>
      <c r="I3702" s="62" t="s">
        <v>81</v>
      </c>
      <c r="J3702" s="64" t="n">
        <v>1885600</v>
      </c>
      <c r="K3702" s="62" t="s">
        <v>138</v>
      </c>
      <c r="L3702" s="68" t="b">
        <f aca="false">TRUE()</f>
        <v>1</v>
      </c>
    </row>
    <row r="3703" customFormat="false" ht="15" hidden="false" customHeight="false" outlineLevel="0" collapsed="false">
      <c r="A3703" s="62" t="n">
        <v>1</v>
      </c>
      <c r="B3703" s="21" t="s">
        <v>336</v>
      </c>
      <c r="C3703" s="62" t="s">
        <v>60</v>
      </c>
      <c r="D3703" s="62" t="s">
        <v>384</v>
      </c>
      <c r="E3703" s="62" t="s">
        <v>67</v>
      </c>
      <c r="F3703" s="62" t="s">
        <v>382</v>
      </c>
      <c r="G3703" s="63" t="s">
        <v>394</v>
      </c>
      <c r="H3703" s="64" t="n">
        <v>703011000</v>
      </c>
      <c r="I3703" s="62" t="s">
        <v>81</v>
      </c>
      <c r="J3703" s="64" t="n">
        <v>703011</v>
      </c>
      <c r="K3703" s="62" t="s">
        <v>138</v>
      </c>
      <c r="L3703" s="68" t="b">
        <f aca="false">TRUE()</f>
        <v>1</v>
      </c>
    </row>
    <row r="3704" customFormat="false" ht="15" hidden="false" customHeight="false" outlineLevel="0" collapsed="false">
      <c r="A3704" s="62" t="n">
        <v>1</v>
      </c>
      <c r="B3704" s="21" t="s">
        <v>336</v>
      </c>
      <c r="C3704" s="62" t="s">
        <v>60</v>
      </c>
      <c r="D3704" s="62" t="s">
        <v>385</v>
      </c>
      <c r="E3704" s="62" t="s">
        <v>67</v>
      </c>
      <c r="F3704" s="62" t="s">
        <v>382</v>
      </c>
      <c r="G3704" s="63" t="s">
        <v>394</v>
      </c>
      <c r="H3704" s="64" t="n">
        <v>703395000</v>
      </c>
      <c r="I3704" s="62" t="s">
        <v>81</v>
      </c>
      <c r="J3704" s="64" t="n">
        <v>703395</v>
      </c>
      <c r="K3704" s="62" t="s">
        <v>138</v>
      </c>
      <c r="L3704" s="68" t="b">
        <f aca="false">TRUE()</f>
        <v>1</v>
      </c>
    </row>
    <row r="3705" customFormat="false" ht="15" hidden="false" customHeight="false" outlineLevel="0" collapsed="false">
      <c r="A3705" s="62" t="n">
        <v>1</v>
      </c>
      <c r="B3705" s="21" t="s">
        <v>336</v>
      </c>
      <c r="C3705" s="62" t="s">
        <v>60</v>
      </c>
      <c r="D3705" s="62" t="s">
        <v>386</v>
      </c>
      <c r="E3705" s="62" t="s">
        <v>67</v>
      </c>
      <c r="F3705" s="62" t="s">
        <v>382</v>
      </c>
      <c r="G3705" s="63" t="s">
        <v>394</v>
      </c>
      <c r="H3705" s="64" t="n">
        <v>1150000000</v>
      </c>
      <c r="I3705" s="62" t="s">
        <v>81</v>
      </c>
      <c r="J3705" s="64" t="n">
        <v>1150000</v>
      </c>
      <c r="K3705" s="62" t="s">
        <v>138</v>
      </c>
      <c r="L3705" s="68" t="b">
        <f aca="false">TRUE()</f>
        <v>1</v>
      </c>
    </row>
    <row r="3706" customFormat="false" ht="15" hidden="false" customHeight="false" outlineLevel="0" collapsed="false">
      <c r="A3706" s="62" t="n">
        <v>1</v>
      </c>
      <c r="B3706" s="21" t="s">
        <v>336</v>
      </c>
      <c r="C3706" s="62" t="s">
        <v>60</v>
      </c>
      <c r="D3706" s="62" t="s">
        <v>387</v>
      </c>
      <c r="E3706" s="62" t="s">
        <v>67</v>
      </c>
      <c r="F3706" s="62" t="s">
        <v>382</v>
      </c>
      <c r="G3706" s="63" t="s">
        <v>394</v>
      </c>
      <c r="H3706" s="64" t="n">
        <v>751383000</v>
      </c>
      <c r="I3706" s="62" t="s">
        <v>81</v>
      </c>
      <c r="J3706" s="64" t="n">
        <v>751383</v>
      </c>
      <c r="K3706" s="62" t="s">
        <v>138</v>
      </c>
      <c r="L3706" s="68" t="b">
        <f aca="false">TRUE()</f>
        <v>1</v>
      </c>
    </row>
    <row r="3707" customFormat="false" ht="15" hidden="false" customHeight="false" outlineLevel="0" collapsed="false">
      <c r="A3707" s="62" t="n">
        <v>1</v>
      </c>
      <c r="B3707" s="21" t="s">
        <v>336</v>
      </c>
      <c r="C3707" s="62" t="s">
        <v>60</v>
      </c>
      <c r="D3707" s="62" t="s">
        <v>388</v>
      </c>
      <c r="E3707" s="62" t="s">
        <v>67</v>
      </c>
      <c r="F3707" s="62" t="s">
        <v>382</v>
      </c>
      <c r="G3707" s="63" t="s">
        <v>394</v>
      </c>
      <c r="H3707" s="64" t="n">
        <v>1267862000</v>
      </c>
      <c r="I3707" s="62" t="s">
        <v>81</v>
      </c>
      <c r="J3707" s="64" t="n">
        <v>1267862</v>
      </c>
      <c r="K3707" s="62" t="s">
        <v>138</v>
      </c>
      <c r="L3707" s="68" t="b">
        <f aca="false">TRUE()</f>
        <v>1</v>
      </c>
    </row>
    <row r="3708" customFormat="false" ht="15" hidden="false" customHeight="false" outlineLevel="0" collapsed="false">
      <c r="A3708" s="62" t="n">
        <v>1</v>
      </c>
      <c r="B3708" s="21" t="s">
        <v>336</v>
      </c>
      <c r="C3708" s="62" t="s">
        <v>60</v>
      </c>
      <c r="D3708" s="62" t="s">
        <v>381</v>
      </c>
      <c r="E3708" s="62" t="s">
        <v>67</v>
      </c>
      <c r="F3708" s="62" t="s">
        <v>382</v>
      </c>
      <c r="G3708" s="63" t="s">
        <v>395</v>
      </c>
      <c r="H3708" s="64" t="n">
        <v>204207410.440965</v>
      </c>
      <c r="I3708" s="62" t="s">
        <v>81</v>
      </c>
      <c r="J3708" s="64" t="n">
        <v>204207.410440965</v>
      </c>
      <c r="K3708" s="62" t="s">
        <v>138</v>
      </c>
      <c r="L3708" s="68" t="b">
        <f aca="false">TRUE()</f>
        <v>1</v>
      </c>
    </row>
    <row r="3709" customFormat="false" ht="15" hidden="false" customHeight="false" outlineLevel="0" collapsed="false">
      <c r="A3709" s="62" t="n">
        <v>1</v>
      </c>
      <c r="B3709" s="21" t="s">
        <v>336</v>
      </c>
      <c r="C3709" s="62" t="s">
        <v>60</v>
      </c>
      <c r="D3709" s="62" t="s">
        <v>383</v>
      </c>
      <c r="E3709" s="62" t="s">
        <v>67</v>
      </c>
      <c r="F3709" s="62" t="s">
        <v>382</v>
      </c>
      <c r="G3709" s="63" t="s">
        <v>395</v>
      </c>
      <c r="H3709" s="64" t="n">
        <v>60011994.4641024</v>
      </c>
      <c r="I3709" s="62" t="s">
        <v>81</v>
      </c>
      <c r="J3709" s="64" t="n">
        <v>60011.9944641024</v>
      </c>
      <c r="K3709" s="62" t="s">
        <v>138</v>
      </c>
      <c r="L3709" s="68" t="b">
        <f aca="false">TRUE()</f>
        <v>1</v>
      </c>
    </row>
    <row r="3710" customFormat="false" ht="15" hidden="false" customHeight="false" outlineLevel="0" collapsed="false">
      <c r="A3710" s="62" t="n">
        <v>1</v>
      </c>
      <c r="B3710" s="21" t="s">
        <v>336</v>
      </c>
      <c r="C3710" s="62" t="s">
        <v>60</v>
      </c>
      <c r="D3710" s="62" t="s">
        <v>384</v>
      </c>
      <c r="E3710" s="62" t="s">
        <v>67</v>
      </c>
      <c r="F3710" s="62" t="s">
        <v>382</v>
      </c>
      <c r="G3710" s="63" t="s">
        <v>395</v>
      </c>
      <c r="H3710" s="64" t="n">
        <v>86123105.5752135</v>
      </c>
      <c r="I3710" s="62" t="s">
        <v>81</v>
      </c>
      <c r="J3710" s="64" t="n">
        <v>86123.1055752135</v>
      </c>
      <c r="K3710" s="62" t="s">
        <v>138</v>
      </c>
      <c r="L3710" s="68" t="b">
        <f aca="false">TRUE()</f>
        <v>1</v>
      </c>
    </row>
    <row r="3711" customFormat="false" ht="15" hidden="false" customHeight="false" outlineLevel="0" collapsed="false">
      <c r="A3711" s="62" t="n">
        <v>1</v>
      </c>
      <c r="B3711" s="21" t="s">
        <v>336</v>
      </c>
      <c r="C3711" s="62" t="s">
        <v>60</v>
      </c>
      <c r="D3711" s="62" t="s">
        <v>385</v>
      </c>
      <c r="E3711" s="62" t="s">
        <v>67</v>
      </c>
      <c r="F3711" s="62" t="s">
        <v>382</v>
      </c>
      <c r="G3711" s="63" t="s">
        <v>395</v>
      </c>
      <c r="H3711" s="64" t="n">
        <v>201318648.946368</v>
      </c>
      <c r="I3711" s="62" t="s">
        <v>81</v>
      </c>
      <c r="J3711" s="64" t="n">
        <v>201318.648946368</v>
      </c>
      <c r="K3711" s="62" t="s">
        <v>138</v>
      </c>
      <c r="L3711" s="68" t="b">
        <f aca="false">TRUE()</f>
        <v>1</v>
      </c>
    </row>
    <row r="3712" customFormat="false" ht="15" hidden="false" customHeight="false" outlineLevel="0" collapsed="false">
      <c r="A3712" s="62" t="n">
        <v>1</v>
      </c>
      <c r="B3712" s="21" t="s">
        <v>336</v>
      </c>
      <c r="C3712" s="62" t="s">
        <v>60</v>
      </c>
      <c r="D3712" s="62" t="s">
        <v>386</v>
      </c>
      <c r="E3712" s="62" t="s">
        <v>67</v>
      </c>
      <c r="F3712" s="62" t="s">
        <v>382</v>
      </c>
      <c r="G3712" s="63" t="s">
        <v>395</v>
      </c>
      <c r="H3712" s="64" t="n">
        <v>93900883.3529913</v>
      </c>
      <c r="I3712" s="62" t="s">
        <v>81</v>
      </c>
      <c r="J3712" s="64" t="n">
        <v>93900.8833529913</v>
      </c>
      <c r="K3712" s="62" t="s">
        <v>138</v>
      </c>
      <c r="L3712" s="68" t="b">
        <f aca="false">TRUE()</f>
        <v>1</v>
      </c>
    </row>
    <row r="3713" customFormat="false" ht="15" hidden="false" customHeight="false" outlineLevel="0" collapsed="false">
      <c r="A3713" s="62" t="n">
        <v>1</v>
      </c>
      <c r="B3713" s="21" t="s">
        <v>336</v>
      </c>
      <c r="C3713" s="62" t="s">
        <v>60</v>
      </c>
      <c r="D3713" s="62" t="s">
        <v>387</v>
      </c>
      <c r="E3713" s="62" t="s">
        <v>67</v>
      </c>
      <c r="F3713" s="62" t="s">
        <v>382</v>
      </c>
      <c r="G3713" s="63" t="s">
        <v>395</v>
      </c>
      <c r="H3713" s="64" t="n">
        <v>86123105.5752135</v>
      </c>
      <c r="I3713" s="62" t="s">
        <v>81</v>
      </c>
      <c r="J3713" s="64" t="n">
        <v>86123.1055752135</v>
      </c>
      <c r="K3713" s="62" t="s">
        <v>138</v>
      </c>
      <c r="L3713" s="68" t="b">
        <f aca="false">TRUE()</f>
        <v>1</v>
      </c>
    </row>
    <row r="3714" customFormat="false" ht="15" hidden="false" customHeight="false" outlineLevel="0" collapsed="false">
      <c r="A3714" s="62" t="n">
        <v>1</v>
      </c>
      <c r="B3714" s="21" t="s">
        <v>336</v>
      </c>
      <c r="C3714" s="62" t="s">
        <v>60</v>
      </c>
      <c r="D3714" s="62" t="s">
        <v>388</v>
      </c>
      <c r="E3714" s="62" t="s">
        <v>67</v>
      </c>
      <c r="F3714" s="62" t="s">
        <v>382</v>
      </c>
      <c r="G3714" s="63" t="s">
        <v>395</v>
      </c>
      <c r="H3714" s="64" t="n">
        <v>97789772.2418801</v>
      </c>
      <c r="I3714" s="62" t="s">
        <v>81</v>
      </c>
      <c r="J3714" s="64" t="n">
        <v>97789.7722418801</v>
      </c>
      <c r="K3714" s="62" t="s">
        <v>138</v>
      </c>
      <c r="L3714" s="68" t="b">
        <f aca="false">TRUE()</f>
        <v>1</v>
      </c>
    </row>
    <row r="3715" customFormat="false" ht="15" hidden="false" customHeight="false" outlineLevel="0" collapsed="false">
      <c r="A3715" s="62" t="n">
        <v>1</v>
      </c>
      <c r="B3715" s="21" t="s">
        <v>336</v>
      </c>
      <c r="C3715" s="62" t="s">
        <v>60</v>
      </c>
      <c r="D3715" s="62" t="s">
        <v>381</v>
      </c>
      <c r="E3715" s="62" t="s">
        <v>67</v>
      </c>
      <c r="F3715" s="62" t="s">
        <v>382</v>
      </c>
      <c r="G3715" s="63" t="s">
        <v>403</v>
      </c>
      <c r="H3715" s="64" t="n">
        <v>0</v>
      </c>
      <c r="I3715" s="62" t="s">
        <v>81</v>
      </c>
      <c r="J3715" s="64" t="n">
        <v>0</v>
      </c>
      <c r="K3715" s="62" t="s">
        <v>138</v>
      </c>
      <c r="L3715" s="68" t="b">
        <f aca="false">TRUE()</f>
        <v>1</v>
      </c>
    </row>
    <row r="3716" customFormat="false" ht="15" hidden="false" customHeight="false" outlineLevel="0" collapsed="false">
      <c r="A3716" s="62" t="n">
        <v>1</v>
      </c>
      <c r="B3716" s="21" t="s">
        <v>336</v>
      </c>
      <c r="C3716" s="62" t="s">
        <v>60</v>
      </c>
      <c r="D3716" s="62" t="s">
        <v>383</v>
      </c>
      <c r="E3716" s="62" t="s">
        <v>67</v>
      </c>
      <c r="F3716" s="62" t="s">
        <v>382</v>
      </c>
      <c r="G3716" s="63" t="s">
        <v>403</v>
      </c>
      <c r="H3716" s="64" t="n">
        <v>0</v>
      </c>
      <c r="I3716" s="62" t="s">
        <v>81</v>
      </c>
      <c r="J3716" s="64" t="n">
        <v>0</v>
      </c>
      <c r="K3716" s="62" t="s">
        <v>138</v>
      </c>
      <c r="L3716" s="68" t="b">
        <f aca="false">TRUE()</f>
        <v>1</v>
      </c>
    </row>
    <row r="3717" customFormat="false" ht="15" hidden="false" customHeight="false" outlineLevel="0" collapsed="false">
      <c r="A3717" s="62" t="n">
        <v>1</v>
      </c>
      <c r="B3717" s="21" t="s">
        <v>336</v>
      </c>
      <c r="C3717" s="62" t="s">
        <v>60</v>
      </c>
      <c r="D3717" s="62" t="s">
        <v>384</v>
      </c>
      <c r="E3717" s="62" t="s">
        <v>67</v>
      </c>
      <c r="F3717" s="62" t="s">
        <v>382</v>
      </c>
      <c r="G3717" s="63" t="s">
        <v>403</v>
      </c>
      <c r="H3717" s="64" t="n">
        <v>0</v>
      </c>
      <c r="I3717" s="62" t="s">
        <v>81</v>
      </c>
      <c r="J3717" s="64" t="n">
        <v>0</v>
      </c>
      <c r="K3717" s="62" t="s">
        <v>138</v>
      </c>
      <c r="L3717" s="68" t="b">
        <f aca="false">TRUE()</f>
        <v>1</v>
      </c>
    </row>
    <row r="3718" customFormat="false" ht="15" hidden="false" customHeight="false" outlineLevel="0" collapsed="false">
      <c r="A3718" s="62" t="n">
        <v>1</v>
      </c>
      <c r="B3718" s="21" t="s">
        <v>336</v>
      </c>
      <c r="C3718" s="62" t="s">
        <v>60</v>
      </c>
      <c r="D3718" s="62" t="s">
        <v>385</v>
      </c>
      <c r="E3718" s="62" t="s">
        <v>67</v>
      </c>
      <c r="F3718" s="62" t="s">
        <v>382</v>
      </c>
      <c r="G3718" s="63" t="s">
        <v>403</v>
      </c>
      <c r="H3718" s="64" t="n">
        <v>0</v>
      </c>
      <c r="I3718" s="62" t="s">
        <v>81</v>
      </c>
      <c r="J3718" s="64" t="n">
        <v>0</v>
      </c>
      <c r="K3718" s="62" t="s">
        <v>138</v>
      </c>
      <c r="L3718" s="68" t="b">
        <f aca="false">TRUE()</f>
        <v>1</v>
      </c>
    </row>
    <row r="3719" customFormat="false" ht="15" hidden="false" customHeight="false" outlineLevel="0" collapsed="false">
      <c r="A3719" s="62" t="n">
        <v>1</v>
      </c>
      <c r="B3719" s="21" t="s">
        <v>336</v>
      </c>
      <c r="C3719" s="62" t="s">
        <v>60</v>
      </c>
      <c r="D3719" s="62" t="s">
        <v>386</v>
      </c>
      <c r="E3719" s="62" t="s">
        <v>67</v>
      </c>
      <c r="F3719" s="62" t="s">
        <v>382</v>
      </c>
      <c r="G3719" s="63" t="s">
        <v>403</v>
      </c>
      <c r="H3719" s="64" t="n">
        <v>0</v>
      </c>
      <c r="I3719" s="62" t="s">
        <v>81</v>
      </c>
      <c r="J3719" s="64" t="n">
        <v>0</v>
      </c>
      <c r="K3719" s="62" t="s">
        <v>138</v>
      </c>
      <c r="L3719" s="68" t="b">
        <f aca="false">TRUE()</f>
        <v>1</v>
      </c>
    </row>
    <row r="3720" customFormat="false" ht="15" hidden="false" customHeight="false" outlineLevel="0" collapsed="false">
      <c r="A3720" s="62" t="n">
        <v>1</v>
      </c>
      <c r="B3720" s="21" t="s">
        <v>336</v>
      </c>
      <c r="C3720" s="62" t="s">
        <v>60</v>
      </c>
      <c r="D3720" s="62" t="s">
        <v>387</v>
      </c>
      <c r="E3720" s="62" t="s">
        <v>67</v>
      </c>
      <c r="F3720" s="62" t="s">
        <v>382</v>
      </c>
      <c r="G3720" s="63" t="s">
        <v>403</v>
      </c>
      <c r="H3720" s="64" t="n">
        <v>0</v>
      </c>
      <c r="I3720" s="62" t="s">
        <v>81</v>
      </c>
      <c r="J3720" s="64" t="n">
        <v>0</v>
      </c>
      <c r="K3720" s="62" t="s">
        <v>138</v>
      </c>
      <c r="L3720" s="68" t="b">
        <f aca="false">TRUE()</f>
        <v>1</v>
      </c>
    </row>
    <row r="3721" customFormat="false" ht="15" hidden="false" customHeight="false" outlineLevel="0" collapsed="false">
      <c r="A3721" s="62" t="n">
        <v>1</v>
      </c>
      <c r="B3721" s="21" t="s">
        <v>336</v>
      </c>
      <c r="C3721" s="62" t="s">
        <v>60</v>
      </c>
      <c r="D3721" s="62" t="s">
        <v>388</v>
      </c>
      <c r="E3721" s="62" t="s">
        <v>67</v>
      </c>
      <c r="F3721" s="62" t="s">
        <v>382</v>
      </c>
      <c r="G3721" s="63" t="s">
        <v>403</v>
      </c>
      <c r="H3721" s="64" t="n">
        <v>0</v>
      </c>
      <c r="I3721" s="62" t="s">
        <v>81</v>
      </c>
      <c r="J3721" s="64" t="n">
        <v>0</v>
      </c>
      <c r="K3721" s="62" t="s">
        <v>138</v>
      </c>
      <c r="L3721" s="68" t="b">
        <f aca="false">TRUE()</f>
        <v>1</v>
      </c>
    </row>
    <row r="3722" customFormat="false" ht="15" hidden="false" customHeight="false" outlineLevel="0" collapsed="false">
      <c r="A3722" s="62" t="n">
        <v>1</v>
      </c>
      <c r="B3722" s="21" t="s">
        <v>336</v>
      </c>
      <c r="C3722" s="62" t="s">
        <v>60</v>
      </c>
      <c r="D3722" s="62" t="s">
        <v>381</v>
      </c>
      <c r="E3722" s="62" t="s">
        <v>67</v>
      </c>
      <c r="F3722" s="62" t="s">
        <v>382</v>
      </c>
      <c r="G3722" s="63" t="s">
        <v>404</v>
      </c>
      <c r="H3722" s="64" t="n">
        <v>25085548382.4108</v>
      </c>
      <c r="I3722" s="62" t="s">
        <v>81</v>
      </c>
      <c r="J3722" s="64" t="n">
        <v>25085548.3824108</v>
      </c>
      <c r="K3722" s="62" t="s">
        <v>138</v>
      </c>
      <c r="L3722" s="68" t="b">
        <f aca="false">TRUE()</f>
        <v>1</v>
      </c>
    </row>
    <row r="3723" customFormat="false" ht="15" hidden="false" customHeight="false" outlineLevel="0" collapsed="false">
      <c r="A3723" s="62" t="n">
        <v>1</v>
      </c>
      <c r="B3723" s="21" t="s">
        <v>336</v>
      </c>
      <c r="C3723" s="62" t="s">
        <v>60</v>
      </c>
      <c r="D3723" s="62" t="s">
        <v>383</v>
      </c>
      <c r="E3723" s="62" t="s">
        <v>67</v>
      </c>
      <c r="F3723" s="62" t="s">
        <v>382</v>
      </c>
      <c r="G3723" s="63" t="s">
        <v>404</v>
      </c>
      <c r="H3723" s="64" t="n">
        <v>23455150816.9104</v>
      </c>
      <c r="I3723" s="62" t="s">
        <v>81</v>
      </c>
      <c r="J3723" s="64" t="n">
        <v>23455150.8169104</v>
      </c>
      <c r="K3723" s="62" t="s">
        <v>138</v>
      </c>
      <c r="L3723" s="68" t="b">
        <f aca="false">TRUE()</f>
        <v>1</v>
      </c>
    </row>
    <row r="3724" customFormat="false" ht="15" hidden="false" customHeight="false" outlineLevel="0" collapsed="false">
      <c r="A3724" s="62" t="n">
        <v>1</v>
      </c>
      <c r="B3724" s="21" t="s">
        <v>336</v>
      </c>
      <c r="C3724" s="62" t="s">
        <v>60</v>
      </c>
      <c r="D3724" s="62" t="s">
        <v>384</v>
      </c>
      <c r="E3724" s="62" t="s">
        <v>67</v>
      </c>
      <c r="F3724" s="62" t="s">
        <v>382</v>
      </c>
      <c r="G3724" s="63" t="s">
        <v>404</v>
      </c>
      <c r="H3724" s="64" t="n">
        <v>14922651239.7631</v>
      </c>
      <c r="I3724" s="62" t="s">
        <v>81</v>
      </c>
      <c r="J3724" s="64" t="n">
        <v>14922651.2397631</v>
      </c>
      <c r="K3724" s="62" t="s">
        <v>138</v>
      </c>
      <c r="L3724" s="68" t="b">
        <f aca="false">TRUE()</f>
        <v>1</v>
      </c>
    </row>
    <row r="3725" customFormat="false" ht="15" hidden="false" customHeight="false" outlineLevel="0" collapsed="false">
      <c r="A3725" s="62" t="n">
        <v>1</v>
      </c>
      <c r="B3725" s="21" t="s">
        <v>336</v>
      </c>
      <c r="C3725" s="62" t="s">
        <v>60</v>
      </c>
      <c r="D3725" s="62" t="s">
        <v>385</v>
      </c>
      <c r="E3725" s="62" t="s">
        <v>67</v>
      </c>
      <c r="F3725" s="62" t="s">
        <v>382</v>
      </c>
      <c r="G3725" s="63" t="s">
        <v>404</v>
      </c>
      <c r="H3725" s="64" t="n">
        <v>14254803252.3693</v>
      </c>
      <c r="I3725" s="62" t="s">
        <v>81</v>
      </c>
      <c r="J3725" s="64" t="n">
        <v>14254803.2523693</v>
      </c>
      <c r="K3725" s="62" t="s">
        <v>138</v>
      </c>
      <c r="L3725" s="68" t="b">
        <f aca="false">TRUE()</f>
        <v>1</v>
      </c>
    </row>
    <row r="3726" customFormat="false" ht="15" hidden="false" customHeight="false" outlineLevel="0" collapsed="false">
      <c r="A3726" s="62" t="n">
        <v>1</v>
      </c>
      <c r="B3726" s="21" t="s">
        <v>336</v>
      </c>
      <c r="C3726" s="62" t="s">
        <v>60</v>
      </c>
      <c r="D3726" s="62" t="s">
        <v>386</v>
      </c>
      <c r="E3726" s="62" t="s">
        <v>67</v>
      </c>
      <c r="F3726" s="62" t="s">
        <v>382</v>
      </c>
      <c r="G3726" s="63" t="s">
        <v>404</v>
      </c>
      <c r="H3726" s="64" t="n">
        <v>14835927007.0687</v>
      </c>
      <c r="I3726" s="62" t="s">
        <v>81</v>
      </c>
      <c r="J3726" s="64" t="n">
        <v>14835927.0070687</v>
      </c>
      <c r="K3726" s="62" t="s">
        <v>138</v>
      </c>
      <c r="L3726" s="68" t="b">
        <f aca="false">TRUE()</f>
        <v>1</v>
      </c>
    </row>
    <row r="3727" customFormat="false" ht="15" hidden="false" customHeight="false" outlineLevel="0" collapsed="false">
      <c r="A3727" s="62" t="n">
        <v>1</v>
      </c>
      <c r="B3727" s="21" t="s">
        <v>336</v>
      </c>
      <c r="C3727" s="62" t="s">
        <v>60</v>
      </c>
      <c r="D3727" s="62" t="s">
        <v>387</v>
      </c>
      <c r="E3727" s="62" t="s">
        <v>67</v>
      </c>
      <c r="F3727" s="62" t="s">
        <v>382</v>
      </c>
      <c r="G3727" s="63" t="s">
        <v>404</v>
      </c>
      <c r="H3727" s="64" t="n">
        <v>21858426622.5878</v>
      </c>
      <c r="I3727" s="62" t="s">
        <v>81</v>
      </c>
      <c r="J3727" s="64" t="n">
        <v>21858426.6225878</v>
      </c>
      <c r="K3727" s="62" t="s">
        <v>138</v>
      </c>
      <c r="L3727" s="68" t="b">
        <f aca="false">TRUE()</f>
        <v>1</v>
      </c>
    </row>
    <row r="3728" customFormat="false" ht="15" hidden="false" customHeight="false" outlineLevel="0" collapsed="false">
      <c r="A3728" s="62" t="n">
        <v>1</v>
      </c>
      <c r="B3728" s="21" t="s">
        <v>336</v>
      </c>
      <c r="C3728" s="62" t="s">
        <v>60</v>
      </c>
      <c r="D3728" s="62" t="s">
        <v>388</v>
      </c>
      <c r="E3728" s="62" t="s">
        <v>67</v>
      </c>
      <c r="F3728" s="62" t="s">
        <v>382</v>
      </c>
      <c r="G3728" s="63" t="s">
        <v>404</v>
      </c>
      <c r="H3728" s="64" t="n">
        <v>18464929989.8655</v>
      </c>
      <c r="I3728" s="62" t="s">
        <v>81</v>
      </c>
      <c r="J3728" s="64" t="n">
        <v>18464929.9898655</v>
      </c>
      <c r="K3728" s="62" t="s">
        <v>138</v>
      </c>
      <c r="L3728" s="68" t="b">
        <f aca="false">TRUE()</f>
        <v>1</v>
      </c>
    </row>
    <row r="3729" customFormat="false" ht="15" hidden="false" customHeight="false" outlineLevel="0" collapsed="false">
      <c r="A3729" s="62" t="n">
        <v>1</v>
      </c>
      <c r="B3729" s="21" t="s">
        <v>336</v>
      </c>
      <c r="C3729" s="62" t="s">
        <v>60</v>
      </c>
      <c r="D3729" s="62" t="s">
        <v>381</v>
      </c>
      <c r="E3729" s="62" t="s">
        <v>67</v>
      </c>
      <c r="F3729" s="62" t="s">
        <v>382</v>
      </c>
      <c r="G3729" s="63" t="s">
        <v>405</v>
      </c>
      <c r="H3729" s="64" t="n">
        <v>2859953009.44407</v>
      </c>
      <c r="I3729" s="62" t="s">
        <v>81</v>
      </c>
      <c r="J3729" s="64" t="n">
        <v>2859953.00944407</v>
      </c>
      <c r="K3729" s="62" t="s">
        <v>138</v>
      </c>
      <c r="L3729" s="68" t="b">
        <f aca="false">TRUE()</f>
        <v>1</v>
      </c>
    </row>
    <row r="3730" customFormat="false" ht="15" hidden="false" customHeight="false" outlineLevel="0" collapsed="false">
      <c r="A3730" s="62" t="n">
        <v>1</v>
      </c>
      <c r="B3730" s="21" t="s">
        <v>336</v>
      </c>
      <c r="C3730" s="62" t="s">
        <v>60</v>
      </c>
      <c r="D3730" s="62" t="s">
        <v>383</v>
      </c>
      <c r="E3730" s="62" t="s">
        <v>67</v>
      </c>
      <c r="F3730" s="62" t="s">
        <v>382</v>
      </c>
      <c r="G3730" s="63" t="s">
        <v>405</v>
      </c>
      <c r="H3730" s="64" t="n">
        <v>3689930987.2926</v>
      </c>
      <c r="I3730" s="62" t="s">
        <v>81</v>
      </c>
      <c r="J3730" s="64" t="n">
        <v>3689930.9872926</v>
      </c>
      <c r="K3730" s="62" t="s">
        <v>138</v>
      </c>
      <c r="L3730" s="68" t="b">
        <f aca="false">TRUE()</f>
        <v>1</v>
      </c>
    </row>
    <row r="3731" customFormat="false" ht="15" hidden="false" customHeight="false" outlineLevel="0" collapsed="false">
      <c r="A3731" s="62" t="n">
        <v>1</v>
      </c>
      <c r="B3731" s="21" t="s">
        <v>336</v>
      </c>
      <c r="C3731" s="62" t="s">
        <v>60</v>
      </c>
      <c r="D3731" s="62" t="s">
        <v>384</v>
      </c>
      <c r="E3731" s="62" t="s">
        <v>67</v>
      </c>
      <c r="F3731" s="62" t="s">
        <v>382</v>
      </c>
      <c r="G3731" s="63" t="s">
        <v>405</v>
      </c>
      <c r="H3731" s="64" t="n">
        <v>3127628570.19841</v>
      </c>
      <c r="I3731" s="62" t="s">
        <v>81</v>
      </c>
      <c r="J3731" s="64" t="n">
        <v>3127628.57019841</v>
      </c>
      <c r="K3731" s="62" t="s">
        <v>138</v>
      </c>
      <c r="L3731" s="68" t="b">
        <f aca="false">TRUE()</f>
        <v>1</v>
      </c>
    </row>
    <row r="3732" customFormat="false" ht="15" hidden="false" customHeight="false" outlineLevel="0" collapsed="false">
      <c r="A3732" s="62" t="n">
        <v>1</v>
      </c>
      <c r="B3732" s="21" t="s">
        <v>336</v>
      </c>
      <c r="C3732" s="62" t="s">
        <v>60</v>
      </c>
      <c r="D3732" s="62" t="s">
        <v>385</v>
      </c>
      <c r="E3732" s="62" t="s">
        <v>67</v>
      </c>
      <c r="F3732" s="62" t="s">
        <v>382</v>
      </c>
      <c r="G3732" s="63" t="s">
        <v>405</v>
      </c>
      <c r="H3732" s="64" t="n">
        <v>5280708687.57026</v>
      </c>
      <c r="I3732" s="62" t="s">
        <v>81</v>
      </c>
      <c r="J3732" s="64" t="n">
        <v>5280708.68757026</v>
      </c>
      <c r="K3732" s="62" t="s">
        <v>138</v>
      </c>
      <c r="L3732" s="68" t="b">
        <f aca="false">TRUE()</f>
        <v>1</v>
      </c>
    </row>
    <row r="3733" customFormat="false" ht="15" hidden="false" customHeight="false" outlineLevel="0" collapsed="false">
      <c r="A3733" s="62" t="n">
        <v>1</v>
      </c>
      <c r="B3733" s="21" t="s">
        <v>336</v>
      </c>
      <c r="C3733" s="62" t="s">
        <v>60</v>
      </c>
      <c r="D3733" s="62" t="s">
        <v>386</v>
      </c>
      <c r="E3733" s="62" t="s">
        <v>67</v>
      </c>
      <c r="F3733" s="62" t="s">
        <v>382</v>
      </c>
      <c r="G3733" s="63" t="s">
        <v>405</v>
      </c>
      <c r="H3733" s="64" t="n">
        <v>4449247992.93136</v>
      </c>
      <c r="I3733" s="62" t="s">
        <v>81</v>
      </c>
      <c r="J3733" s="64" t="n">
        <v>4449247.99293136</v>
      </c>
      <c r="K3733" s="62" t="s">
        <v>138</v>
      </c>
      <c r="L3733" s="68" t="b">
        <f aca="false">TRUE()</f>
        <v>1</v>
      </c>
    </row>
    <row r="3734" customFormat="false" ht="15" hidden="false" customHeight="false" outlineLevel="0" collapsed="false">
      <c r="A3734" s="62" t="n">
        <v>1</v>
      </c>
      <c r="B3734" s="21" t="s">
        <v>336</v>
      </c>
      <c r="C3734" s="62" t="s">
        <v>60</v>
      </c>
      <c r="D3734" s="62" t="s">
        <v>387</v>
      </c>
      <c r="E3734" s="62" t="s">
        <v>67</v>
      </c>
      <c r="F3734" s="62" t="s">
        <v>382</v>
      </c>
      <c r="G3734" s="63" t="s">
        <v>405</v>
      </c>
      <c r="H3734" s="64" t="n">
        <v>7711371737.06837</v>
      </c>
      <c r="I3734" s="62" t="s">
        <v>81</v>
      </c>
      <c r="J3734" s="64" t="n">
        <v>7711371.73706837</v>
      </c>
      <c r="K3734" s="62" t="s">
        <v>138</v>
      </c>
      <c r="L3734" s="68" t="b">
        <f aca="false">TRUE()</f>
        <v>1</v>
      </c>
    </row>
    <row r="3735" customFormat="false" ht="15" hidden="false" customHeight="false" outlineLevel="0" collapsed="false">
      <c r="A3735" s="62" t="n">
        <v>1</v>
      </c>
      <c r="B3735" s="21" t="s">
        <v>336</v>
      </c>
      <c r="C3735" s="62" t="s">
        <v>60</v>
      </c>
      <c r="D3735" s="62" t="s">
        <v>388</v>
      </c>
      <c r="E3735" s="62" t="s">
        <v>67</v>
      </c>
      <c r="F3735" s="62" t="s">
        <v>382</v>
      </c>
      <c r="G3735" s="63" t="s">
        <v>405</v>
      </c>
      <c r="H3735" s="64" t="n">
        <v>1891630010.1345</v>
      </c>
      <c r="I3735" s="62" t="s">
        <v>81</v>
      </c>
      <c r="J3735" s="64" t="n">
        <v>1891630.0101345</v>
      </c>
      <c r="K3735" s="62" t="s">
        <v>138</v>
      </c>
      <c r="L3735" s="68" t="b">
        <f aca="false">TRUE()</f>
        <v>1</v>
      </c>
    </row>
    <row r="3736" customFormat="false" ht="15" hidden="false" customHeight="false" outlineLevel="0" collapsed="false">
      <c r="A3736" s="62" t="n">
        <v>1</v>
      </c>
      <c r="B3736" s="21" t="s">
        <v>336</v>
      </c>
      <c r="C3736" s="62" t="s">
        <v>60</v>
      </c>
      <c r="D3736" s="62" t="s">
        <v>381</v>
      </c>
      <c r="E3736" s="62" t="s">
        <v>67</v>
      </c>
      <c r="F3736" s="62" t="s">
        <v>382</v>
      </c>
      <c r="G3736" s="63" t="s">
        <v>406</v>
      </c>
      <c r="H3736" s="64" t="n">
        <v>904561560</v>
      </c>
      <c r="I3736" s="62" t="s">
        <v>81</v>
      </c>
      <c r="J3736" s="64" t="n">
        <v>904561.56</v>
      </c>
      <c r="K3736" s="62" t="s">
        <v>138</v>
      </c>
      <c r="L3736" s="68" t="b">
        <f aca="false">TRUE()</f>
        <v>1</v>
      </c>
    </row>
    <row r="3737" customFormat="false" ht="15" hidden="false" customHeight="false" outlineLevel="0" collapsed="false">
      <c r="A3737" s="62" t="n">
        <v>1</v>
      </c>
      <c r="B3737" s="21" t="s">
        <v>336</v>
      </c>
      <c r="C3737" s="62" t="s">
        <v>60</v>
      </c>
      <c r="D3737" s="62" t="s">
        <v>383</v>
      </c>
      <c r="E3737" s="62" t="s">
        <v>67</v>
      </c>
      <c r="F3737" s="62" t="s">
        <v>382</v>
      </c>
      <c r="G3737" s="63" t="s">
        <v>406</v>
      </c>
      <c r="H3737" s="64" t="n">
        <v>904561560</v>
      </c>
      <c r="I3737" s="62" t="s">
        <v>81</v>
      </c>
      <c r="J3737" s="64" t="n">
        <v>904561.56</v>
      </c>
      <c r="K3737" s="62" t="s">
        <v>138</v>
      </c>
      <c r="L3737" s="68" t="b">
        <f aca="false">TRUE()</f>
        <v>1</v>
      </c>
    </row>
    <row r="3738" customFormat="false" ht="15" hidden="false" customHeight="false" outlineLevel="0" collapsed="false">
      <c r="A3738" s="62" t="n">
        <v>1</v>
      </c>
      <c r="B3738" s="21" t="s">
        <v>336</v>
      </c>
      <c r="C3738" s="62" t="s">
        <v>60</v>
      </c>
      <c r="D3738" s="62" t="s">
        <v>384</v>
      </c>
      <c r="E3738" s="62" t="s">
        <v>67</v>
      </c>
      <c r="F3738" s="62" t="s">
        <v>382</v>
      </c>
      <c r="G3738" s="63" t="s">
        <v>406</v>
      </c>
      <c r="H3738" s="64" t="n">
        <v>904561560</v>
      </c>
      <c r="I3738" s="62" t="s">
        <v>81</v>
      </c>
      <c r="J3738" s="64" t="n">
        <v>904561.56</v>
      </c>
      <c r="K3738" s="62" t="s">
        <v>138</v>
      </c>
      <c r="L3738" s="68" t="b">
        <f aca="false">TRUE()</f>
        <v>1</v>
      </c>
    </row>
    <row r="3739" customFormat="false" ht="15" hidden="false" customHeight="false" outlineLevel="0" collapsed="false">
      <c r="A3739" s="62" t="n">
        <v>1</v>
      </c>
      <c r="B3739" s="21" t="s">
        <v>336</v>
      </c>
      <c r="C3739" s="62" t="s">
        <v>60</v>
      </c>
      <c r="D3739" s="62" t="s">
        <v>385</v>
      </c>
      <c r="E3739" s="62" t="s">
        <v>67</v>
      </c>
      <c r="F3739" s="62" t="s">
        <v>382</v>
      </c>
      <c r="G3739" s="63" t="s">
        <v>406</v>
      </c>
      <c r="H3739" s="64" t="n">
        <v>904561560</v>
      </c>
      <c r="I3739" s="62" t="s">
        <v>81</v>
      </c>
      <c r="J3739" s="64" t="n">
        <v>904561.56</v>
      </c>
      <c r="K3739" s="62" t="s">
        <v>138</v>
      </c>
      <c r="L3739" s="68" t="b">
        <f aca="false">TRUE()</f>
        <v>1</v>
      </c>
    </row>
    <row r="3740" customFormat="false" ht="15" hidden="false" customHeight="false" outlineLevel="0" collapsed="false">
      <c r="A3740" s="62" t="n">
        <v>1</v>
      </c>
      <c r="B3740" s="21" t="s">
        <v>336</v>
      </c>
      <c r="C3740" s="62" t="s">
        <v>60</v>
      </c>
      <c r="D3740" s="62" t="s">
        <v>386</v>
      </c>
      <c r="E3740" s="62" t="s">
        <v>67</v>
      </c>
      <c r="F3740" s="62" t="s">
        <v>382</v>
      </c>
      <c r="G3740" s="63" t="s">
        <v>406</v>
      </c>
      <c r="H3740" s="64" t="n">
        <v>904561560</v>
      </c>
      <c r="I3740" s="62" t="s">
        <v>81</v>
      </c>
      <c r="J3740" s="64" t="n">
        <v>904561.56</v>
      </c>
      <c r="K3740" s="62" t="s">
        <v>138</v>
      </c>
      <c r="L3740" s="68" t="b">
        <f aca="false">TRUE()</f>
        <v>1</v>
      </c>
    </row>
    <row r="3741" customFormat="false" ht="15" hidden="false" customHeight="false" outlineLevel="0" collapsed="false">
      <c r="A3741" s="62" t="n">
        <v>1</v>
      </c>
      <c r="B3741" s="21" t="s">
        <v>336</v>
      </c>
      <c r="C3741" s="62" t="s">
        <v>60</v>
      </c>
      <c r="D3741" s="62" t="s">
        <v>387</v>
      </c>
      <c r="E3741" s="62" t="s">
        <v>67</v>
      </c>
      <c r="F3741" s="62" t="s">
        <v>382</v>
      </c>
      <c r="G3741" s="63" t="s">
        <v>406</v>
      </c>
      <c r="H3741" s="64" t="n">
        <v>904561560</v>
      </c>
      <c r="I3741" s="62" t="s">
        <v>81</v>
      </c>
      <c r="J3741" s="64" t="n">
        <v>904561.56</v>
      </c>
      <c r="K3741" s="62" t="s">
        <v>138</v>
      </c>
      <c r="L3741" s="68" t="b">
        <f aca="false">TRUE()</f>
        <v>1</v>
      </c>
    </row>
    <row r="3742" customFormat="false" ht="15" hidden="false" customHeight="false" outlineLevel="0" collapsed="false">
      <c r="A3742" s="62" t="n">
        <v>1</v>
      </c>
      <c r="B3742" s="21" t="s">
        <v>336</v>
      </c>
      <c r="C3742" s="62" t="s">
        <v>60</v>
      </c>
      <c r="D3742" s="62" t="s">
        <v>388</v>
      </c>
      <c r="E3742" s="62" t="s">
        <v>67</v>
      </c>
      <c r="F3742" s="62" t="s">
        <v>382</v>
      </c>
      <c r="G3742" s="63" t="s">
        <v>406</v>
      </c>
      <c r="H3742" s="64" t="n">
        <v>904561560</v>
      </c>
      <c r="I3742" s="62" t="s">
        <v>81</v>
      </c>
      <c r="J3742" s="64" t="n">
        <v>904561.56</v>
      </c>
      <c r="K3742" s="62" t="s">
        <v>138</v>
      </c>
      <c r="L3742" s="68" t="b">
        <f aca="false">TRUE()</f>
        <v>1</v>
      </c>
    </row>
    <row r="3743" customFormat="false" ht="15" hidden="false" customHeight="false" outlineLevel="0" collapsed="false">
      <c r="A3743" s="62" t="n">
        <v>1</v>
      </c>
      <c r="B3743" s="21" t="s">
        <v>336</v>
      </c>
      <c r="C3743" s="62" t="s">
        <v>60</v>
      </c>
      <c r="D3743" s="62" t="s">
        <v>381</v>
      </c>
      <c r="E3743" s="62" t="s">
        <v>67</v>
      </c>
      <c r="F3743" s="62" t="s">
        <v>382</v>
      </c>
      <c r="G3743" s="63" t="s">
        <v>407</v>
      </c>
      <c r="H3743" s="64" t="n">
        <v>1955391449.44407</v>
      </c>
      <c r="I3743" s="62" t="s">
        <v>81</v>
      </c>
      <c r="J3743" s="64" t="n">
        <v>1955391.44944407</v>
      </c>
      <c r="K3743" s="62" t="s">
        <v>138</v>
      </c>
      <c r="L3743" s="68" t="b">
        <f aca="false">TRUE()</f>
        <v>1</v>
      </c>
    </row>
    <row r="3744" customFormat="false" ht="15" hidden="false" customHeight="false" outlineLevel="0" collapsed="false">
      <c r="A3744" s="62" t="n">
        <v>1</v>
      </c>
      <c r="B3744" s="21" t="s">
        <v>336</v>
      </c>
      <c r="C3744" s="62" t="s">
        <v>60</v>
      </c>
      <c r="D3744" s="62" t="s">
        <v>383</v>
      </c>
      <c r="E3744" s="62" t="s">
        <v>67</v>
      </c>
      <c r="F3744" s="62" t="s">
        <v>382</v>
      </c>
      <c r="G3744" s="63" t="s">
        <v>407</v>
      </c>
      <c r="H3744" s="64" t="n">
        <v>2785369427.2926</v>
      </c>
      <c r="I3744" s="62" t="s">
        <v>81</v>
      </c>
      <c r="J3744" s="64" t="n">
        <v>2785369.4272926</v>
      </c>
      <c r="K3744" s="62" t="s">
        <v>138</v>
      </c>
      <c r="L3744" s="68" t="b">
        <f aca="false">TRUE()</f>
        <v>1</v>
      </c>
    </row>
    <row r="3745" customFormat="false" ht="15" hidden="false" customHeight="false" outlineLevel="0" collapsed="false">
      <c r="A3745" s="62" t="n">
        <v>1</v>
      </c>
      <c r="B3745" s="21" t="s">
        <v>336</v>
      </c>
      <c r="C3745" s="62" t="s">
        <v>60</v>
      </c>
      <c r="D3745" s="62" t="s">
        <v>384</v>
      </c>
      <c r="E3745" s="62" t="s">
        <v>67</v>
      </c>
      <c r="F3745" s="62" t="s">
        <v>382</v>
      </c>
      <c r="G3745" s="63" t="s">
        <v>407</v>
      </c>
      <c r="H3745" s="64" t="n">
        <v>2223067010.19841</v>
      </c>
      <c r="I3745" s="62" t="s">
        <v>81</v>
      </c>
      <c r="J3745" s="64" t="n">
        <v>2223067.01019841</v>
      </c>
      <c r="K3745" s="62" t="s">
        <v>138</v>
      </c>
      <c r="L3745" s="68" t="b">
        <f aca="false">TRUE()</f>
        <v>1</v>
      </c>
    </row>
    <row r="3746" customFormat="false" ht="15" hidden="false" customHeight="false" outlineLevel="0" collapsed="false">
      <c r="A3746" s="62" t="n">
        <v>1</v>
      </c>
      <c r="B3746" s="21" t="s">
        <v>336</v>
      </c>
      <c r="C3746" s="62" t="s">
        <v>60</v>
      </c>
      <c r="D3746" s="62" t="s">
        <v>385</v>
      </c>
      <c r="E3746" s="62" t="s">
        <v>67</v>
      </c>
      <c r="F3746" s="62" t="s">
        <v>382</v>
      </c>
      <c r="G3746" s="63" t="s">
        <v>407</v>
      </c>
      <c r="H3746" s="64" t="n">
        <v>4376147127.57026</v>
      </c>
      <c r="I3746" s="62" t="s">
        <v>81</v>
      </c>
      <c r="J3746" s="64" t="n">
        <v>4376147.12757026</v>
      </c>
      <c r="K3746" s="62" t="s">
        <v>138</v>
      </c>
      <c r="L3746" s="68" t="b">
        <f aca="false">TRUE()</f>
        <v>1</v>
      </c>
    </row>
    <row r="3747" customFormat="false" ht="15" hidden="false" customHeight="false" outlineLevel="0" collapsed="false">
      <c r="A3747" s="62" t="n">
        <v>1</v>
      </c>
      <c r="B3747" s="21" t="s">
        <v>336</v>
      </c>
      <c r="C3747" s="62" t="s">
        <v>60</v>
      </c>
      <c r="D3747" s="62" t="s">
        <v>386</v>
      </c>
      <c r="E3747" s="62" t="s">
        <v>67</v>
      </c>
      <c r="F3747" s="62" t="s">
        <v>382</v>
      </c>
      <c r="G3747" s="63" t="s">
        <v>407</v>
      </c>
      <c r="H3747" s="64" t="n">
        <v>3544686432.93136</v>
      </c>
      <c r="I3747" s="62" t="s">
        <v>81</v>
      </c>
      <c r="J3747" s="64" t="n">
        <v>3544686.43293136</v>
      </c>
      <c r="K3747" s="62" t="s">
        <v>138</v>
      </c>
      <c r="L3747" s="68" t="b">
        <f aca="false">TRUE()</f>
        <v>1</v>
      </c>
    </row>
    <row r="3748" customFormat="false" ht="15" hidden="false" customHeight="false" outlineLevel="0" collapsed="false">
      <c r="A3748" s="62" t="n">
        <v>1</v>
      </c>
      <c r="B3748" s="21" t="s">
        <v>336</v>
      </c>
      <c r="C3748" s="62" t="s">
        <v>60</v>
      </c>
      <c r="D3748" s="62" t="s">
        <v>387</v>
      </c>
      <c r="E3748" s="62" t="s">
        <v>67</v>
      </c>
      <c r="F3748" s="62" t="s">
        <v>382</v>
      </c>
      <c r="G3748" s="63" t="s">
        <v>407</v>
      </c>
      <c r="H3748" s="64" t="n">
        <v>6806810177.06837</v>
      </c>
      <c r="I3748" s="62" t="s">
        <v>81</v>
      </c>
      <c r="J3748" s="64" t="n">
        <v>6806810.17706837</v>
      </c>
      <c r="K3748" s="62" t="s">
        <v>138</v>
      </c>
      <c r="L3748" s="68" t="b">
        <f aca="false">TRUE()</f>
        <v>1</v>
      </c>
    </row>
    <row r="3749" customFormat="false" ht="15" hidden="false" customHeight="false" outlineLevel="0" collapsed="false">
      <c r="A3749" s="62" t="n">
        <v>1</v>
      </c>
      <c r="B3749" s="21" t="s">
        <v>336</v>
      </c>
      <c r="C3749" s="62" t="s">
        <v>60</v>
      </c>
      <c r="D3749" s="62" t="s">
        <v>388</v>
      </c>
      <c r="E3749" s="62" t="s">
        <v>67</v>
      </c>
      <c r="F3749" s="62" t="s">
        <v>382</v>
      </c>
      <c r="G3749" s="63" t="s">
        <v>407</v>
      </c>
      <c r="H3749" s="64" t="n">
        <v>987068450.1345</v>
      </c>
      <c r="I3749" s="62" t="s">
        <v>81</v>
      </c>
      <c r="J3749" s="64" t="n">
        <v>987068.4501345</v>
      </c>
      <c r="K3749" s="62" t="s">
        <v>138</v>
      </c>
      <c r="L3749" s="68" t="b">
        <f aca="false">TRUE()</f>
        <v>1</v>
      </c>
    </row>
    <row r="3750" customFormat="false" ht="15" hidden="false" customHeight="false" outlineLevel="0" collapsed="false">
      <c r="A3750" s="62" t="n">
        <v>1</v>
      </c>
      <c r="B3750" s="21" t="s">
        <v>336</v>
      </c>
      <c r="C3750" s="62" t="s">
        <v>60</v>
      </c>
      <c r="D3750" s="62" t="s">
        <v>381</v>
      </c>
      <c r="E3750" s="62" t="s">
        <v>67</v>
      </c>
      <c r="F3750" s="62" t="s">
        <v>382</v>
      </c>
      <c r="G3750" s="63" t="s">
        <v>408</v>
      </c>
      <c r="H3750" s="64" t="n">
        <v>453584115.025126</v>
      </c>
      <c r="I3750" s="62" t="s">
        <v>81</v>
      </c>
      <c r="J3750" s="64" t="n">
        <v>453584.115025126</v>
      </c>
      <c r="K3750" s="62" t="s">
        <v>138</v>
      </c>
      <c r="L3750" s="68" t="b">
        <f aca="false">TRUE()</f>
        <v>1</v>
      </c>
    </row>
    <row r="3751" customFormat="false" ht="15" hidden="false" customHeight="false" outlineLevel="0" collapsed="false">
      <c r="A3751" s="62" t="n">
        <v>1</v>
      </c>
      <c r="B3751" s="21" t="s">
        <v>336</v>
      </c>
      <c r="C3751" s="62" t="s">
        <v>60</v>
      </c>
      <c r="D3751" s="62" t="s">
        <v>383</v>
      </c>
      <c r="E3751" s="62" t="s">
        <v>67</v>
      </c>
      <c r="F3751" s="62" t="s">
        <v>382</v>
      </c>
      <c r="G3751" s="63" t="s">
        <v>408</v>
      </c>
      <c r="H3751" s="64" t="n">
        <v>285504102.94371</v>
      </c>
      <c r="I3751" s="62" t="s">
        <v>81</v>
      </c>
      <c r="J3751" s="64" t="n">
        <v>285504.10294371</v>
      </c>
      <c r="K3751" s="62" t="s">
        <v>138</v>
      </c>
      <c r="L3751" s="68" t="b">
        <f aca="false">TRUE()</f>
        <v>1</v>
      </c>
    </row>
    <row r="3752" customFormat="false" ht="15" hidden="false" customHeight="false" outlineLevel="0" collapsed="false">
      <c r="A3752" s="62" t="n">
        <v>1</v>
      </c>
      <c r="B3752" s="21" t="s">
        <v>336</v>
      </c>
      <c r="C3752" s="62" t="s">
        <v>60</v>
      </c>
      <c r="D3752" s="62" t="s">
        <v>384</v>
      </c>
      <c r="E3752" s="62" t="s">
        <v>67</v>
      </c>
      <c r="F3752" s="62" t="s">
        <v>382</v>
      </c>
      <c r="G3752" s="63" t="s">
        <v>408</v>
      </c>
      <c r="H3752" s="64" t="n">
        <v>265023478.648551</v>
      </c>
      <c r="I3752" s="62" t="s">
        <v>81</v>
      </c>
      <c r="J3752" s="64" t="n">
        <v>265023.478648551</v>
      </c>
      <c r="K3752" s="62" t="s">
        <v>138</v>
      </c>
      <c r="L3752" s="68" t="b">
        <f aca="false">TRUE()</f>
        <v>1</v>
      </c>
    </row>
    <row r="3753" customFormat="false" ht="15" hidden="false" customHeight="false" outlineLevel="0" collapsed="false">
      <c r="A3753" s="62" t="n">
        <v>1</v>
      </c>
      <c r="B3753" s="21" t="s">
        <v>336</v>
      </c>
      <c r="C3753" s="62" t="s">
        <v>60</v>
      </c>
      <c r="D3753" s="62" t="s">
        <v>385</v>
      </c>
      <c r="E3753" s="62" t="s">
        <v>67</v>
      </c>
      <c r="F3753" s="62" t="s">
        <v>382</v>
      </c>
      <c r="G3753" s="63" t="s">
        <v>408</v>
      </c>
      <c r="H3753" s="64" t="n">
        <v>256303605.687244</v>
      </c>
      <c r="I3753" s="62" t="s">
        <v>81</v>
      </c>
      <c r="J3753" s="64" t="n">
        <v>256303.605687244</v>
      </c>
      <c r="K3753" s="62" t="s">
        <v>138</v>
      </c>
      <c r="L3753" s="68" t="b">
        <f aca="false">TRUE()</f>
        <v>1</v>
      </c>
    </row>
    <row r="3754" customFormat="false" ht="15" hidden="false" customHeight="false" outlineLevel="0" collapsed="false">
      <c r="A3754" s="62" t="n">
        <v>1</v>
      </c>
      <c r="B3754" s="21" t="s">
        <v>336</v>
      </c>
      <c r="C3754" s="62" t="s">
        <v>60</v>
      </c>
      <c r="D3754" s="62" t="s">
        <v>386</v>
      </c>
      <c r="E3754" s="62" t="s">
        <v>67</v>
      </c>
      <c r="F3754" s="62" t="s">
        <v>382</v>
      </c>
      <c r="G3754" s="63" t="s">
        <v>408</v>
      </c>
      <c r="H3754" s="64" t="n">
        <v>249237759.523399</v>
      </c>
      <c r="I3754" s="62" t="s">
        <v>81</v>
      </c>
      <c r="J3754" s="64" t="n">
        <v>249237.759523399</v>
      </c>
      <c r="K3754" s="62" t="s">
        <v>138</v>
      </c>
      <c r="L3754" s="68" t="b">
        <f aca="false">TRUE()</f>
        <v>1</v>
      </c>
    </row>
    <row r="3755" customFormat="false" ht="15" hidden="false" customHeight="false" outlineLevel="0" collapsed="false">
      <c r="A3755" s="62" t="n">
        <v>1</v>
      </c>
      <c r="B3755" s="21" t="s">
        <v>336</v>
      </c>
      <c r="C3755" s="62" t="s">
        <v>60</v>
      </c>
      <c r="D3755" s="62" t="s">
        <v>387</v>
      </c>
      <c r="E3755" s="62" t="s">
        <v>67</v>
      </c>
      <c r="F3755" s="62" t="s">
        <v>382</v>
      </c>
      <c r="G3755" s="63" t="s">
        <v>408</v>
      </c>
      <c r="H3755" s="64" t="n">
        <v>403944478.547804</v>
      </c>
      <c r="I3755" s="62" t="s">
        <v>81</v>
      </c>
      <c r="J3755" s="64" t="n">
        <v>403944.478547804</v>
      </c>
      <c r="K3755" s="62" t="s">
        <v>138</v>
      </c>
      <c r="L3755" s="68" t="b">
        <f aca="false">TRUE()</f>
        <v>1</v>
      </c>
    </row>
    <row r="3756" customFormat="false" ht="15" hidden="false" customHeight="false" outlineLevel="0" collapsed="false">
      <c r="A3756" s="62" t="n">
        <v>1</v>
      </c>
      <c r="B3756" s="21" t="s">
        <v>336</v>
      </c>
      <c r="C3756" s="62" t="s">
        <v>60</v>
      </c>
      <c r="D3756" s="62" t="s">
        <v>388</v>
      </c>
      <c r="E3756" s="62" t="s">
        <v>67</v>
      </c>
      <c r="F3756" s="62" t="s">
        <v>382</v>
      </c>
      <c r="G3756" s="63" t="s">
        <v>408</v>
      </c>
      <c r="H3756" s="64" t="n">
        <v>741827150.148787</v>
      </c>
      <c r="I3756" s="62" t="s">
        <v>81</v>
      </c>
      <c r="J3756" s="64" t="n">
        <v>741827.150148787</v>
      </c>
      <c r="K3756" s="62" t="s">
        <v>138</v>
      </c>
      <c r="L3756" s="68" t="b">
        <f aca="false">TRUE()</f>
        <v>1</v>
      </c>
    </row>
    <row r="3757" customFormat="false" ht="15" hidden="false" customHeight="false" outlineLevel="0" collapsed="false">
      <c r="A3757" s="62" t="n">
        <v>1</v>
      </c>
      <c r="B3757" s="21" t="s">
        <v>336</v>
      </c>
      <c r="C3757" s="62" t="s">
        <v>60</v>
      </c>
      <c r="D3757" s="62" t="s">
        <v>381</v>
      </c>
      <c r="E3757" s="62" t="s">
        <v>67</v>
      </c>
      <c r="F3757" s="62" t="s">
        <v>382</v>
      </c>
      <c r="G3757" s="63" t="s">
        <v>409</v>
      </c>
      <c r="H3757" s="64" t="n">
        <v>1501807334.41894</v>
      </c>
      <c r="I3757" s="62" t="s">
        <v>81</v>
      </c>
      <c r="J3757" s="64" t="n">
        <v>1501807.33441894</v>
      </c>
      <c r="K3757" s="62" t="s">
        <v>138</v>
      </c>
      <c r="L3757" s="68" t="b">
        <f aca="false">TRUE()</f>
        <v>1</v>
      </c>
    </row>
    <row r="3758" customFormat="false" ht="15" hidden="false" customHeight="false" outlineLevel="0" collapsed="false">
      <c r="A3758" s="62" t="n">
        <v>1</v>
      </c>
      <c r="B3758" s="21" t="s">
        <v>336</v>
      </c>
      <c r="C3758" s="62" t="s">
        <v>60</v>
      </c>
      <c r="D3758" s="62" t="s">
        <v>383</v>
      </c>
      <c r="E3758" s="62" t="s">
        <v>67</v>
      </c>
      <c r="F3758" s="62" t="s">
        <v>382</v>
      </c>
      <c r="G3758" s="63" t="s">
        <v>409</v>
      </c>
      <c r="H3758" s="64" t="n">
        <v>2499865324.34889</v>
      </c>
      <c r="I3758" s="62" t="s">
        <v>81</v>
      </c>
      <c r="J3758" s="64" t="n">
        <v>2499865.32434889</v>
      </c>
      <c r="K3758" s="62" t="s">
        <v>138</v>
      </c>
      <c r="L3758" s="68" t="b">
        <f aca="false">TRUE()</f>
        <v>1</v>
      </c>
    </row>
    <row r="3759" customFormat="false" ht="15" hidden="false" customHeight="false" outlineLevel="0" collapsed="false">
      <c r="A3759" s="62" t="n">
        <v>1</v>
      </c>
      <c r="B3759" s="21" t="s">
        <v>336</v>
      </c>
      <c r="C3759" s="62" t="s">
        <v>60</v>
      </c>
      <c r="D3759" s="62" t="s">
        <v>384</v>
      </c>
      <c r="E3759" s="62" t="s">
        <v>67</v>
      </c>
      <c r="F3759" s="62" t="s">
        <v>382</v>
      </c>
      <c r="G3759" s="63" t="s">
        <v>409</v>
      </c>
      <c r="H3759" s="64" t="n">
        <v>1958043531.54986</v>
      </c>
      <c r="I3759" s="62" t="s">
        <v>81</v>
      </c>
      <c r="J3759" s="64" t="n">
        <v>1958043.53154986</v>
      </c>
      <c r="K3759" s="62" t="s">
        <v>138</v>
      </c>
      <c r="L3759" s="68" t="b">
        <f aca="false">TRUE()</f>
        <v>1</v>
      </c>
    </row>
    <row r="3760" customFormat="false" ht="15" hidden="false" customHeight="false" outlineLevel="0" collapsed="false">
      <c r="A3760" s="62" t="n">
        <v>1</v>
      </c>
      <c r="B3760" s="21" t="s">
        <v>336</v>
      </c>
      <c r="C3760" s="62" t="s">
        <v>60</v>
      </c>
      <c r="D3760" s="62" t="s">
        <v>385</v>
      </c>
      <c r="E3760" s="62" t="s">
        <v>67</v>
      </c>
      <c r="F3760" s="62" t="s">
        <v>382</v>
      </c>
      <c r="G3760" s="63" t="s">
        <v>409</v>
      </c>
      <c r="H3760" s="64" t="n">
        <v>4119843521.88302</v>
      </c>
      <c r="I3760" s="62" t="s">
        <v>81</v>
      </c>
      <c r="J3760" s="64" t="n">
        <v>4119843.52188302</v>
      </c>
      <c r="K3760" s="62" t="s">
        <v>138</v>
      </c>
      <c r="L3760" s="68" t="b">
        <f aca="false">TRUE()</f>
        <v>1</v>
      </c>
    </row>
    <row r="3761" customFormat="false" ht="15" hidden="false" customHeight="false" outlineLevel="0" collapsed="false">
      <c r="A3761" s="62" t="n">
        <v>1</v>
      </c>
      <c r="B3761" s="21" t="s">
        <v>336</v>
      </c>
      <c r="C3761" s="62" t="s">
        <v>60</v>
      </c>
      <c r="D3761" s="62" t="s">
        <v>386</v>
      </c>
      <c r="E3761" s="62" t="s">
        <v>67</v>
      </c>
      <c r="F3761" s="62" t="s">
        <v>382</v>
      </c>
      <c r="G3761" s="63" t="s">
        <v>409</v>
      </c>
      <c r="H3761" s="64" t="n">
        <v>3295448673.40796</v>
      </c>
      <c r="I3761" s="62" t="s">
        <v>81</v>
      </c>
      <c r="J3761" s="64" t="n">
        <v>3295448.67340796</v>
      </c>
      <c r="K3761" s="62" t="s">
        <v>138</v>
      </c>
      <c r="L3761" s="68" t="b">
        <f aca="false">TRUE()</f>
        <v>1</v>
      </c>
    </row>
    <row r="3762" customFormat="false" ht="15" hidden="false" customHeight="false" outlineLevel="0" collapsed="false">
      <c r="A3762" s="62" t="n">
        <v>1</v>
      </c>
      <c r="B3762" s="21" t="s">
        <v>336</v>
      </c>
      <c r="C3762" s="62" t="s">
        <v>60</v>
      </c>
      <c r="D3762" s="62" t="s">
        <v>387</v>
      </c>
      <c r="E3762" s="62" t="s">
        <v>67</v>
      </c>
      <c r="F3762" s="62" t="s">
        <v>382</v>
      </c>
      <c r="G3762" s="63" t="s">
        <v>409</v>
      </c>
      <c r="H3762" s="64" t="n">
        <v>6402865698.52056</v>
      </c>
      <c r="I3762" s="62" t="s">
        <v>81</v>
      </c>
      <c r="J3762" s="64" t="n">
        <v>6402865.69852056</v>
      </c>
      <c r="K3762" s="62" t="s">
        <v>138</v>
      </c>
      <c r="L3762" s="68" t="b">
        <f aca="false">TRUE()</f>
        <v>1</v>
      </c>
    </row>
    <row r="3763" customFormat="false" ht="15" hidden="false" customHeight="false" outlineLevel="0" collapsed="false">
      <c r="A3763" s="62" t="n">
        <v>1</v>
      </c>
      <c r="B3763" s="21" t="s">
        <v>336</v>
      </c>
      <c r="C3763" s="62" t="s">
        <v>60</v>
      </c>
      <c r="D3763" s="62" t="s">
        <v>388</v>
      </c>
      <c r="E3763" s="62" t="s">
        <v>67</v>
      </c>
      <c r="F3763" s="62" t="s">
        <v>382</v>
      </c>
      <c r="G3763" s="63" t="s">
        <v>409</v>
      </c>
      <c r="H3763" s="64" t="n">
        <v>245241299.985713</v>
      </c>
      <c r="I3763" s="62" t="s">
        <v>81</v>
      </c>
      <c r="J3763" s="64" t="n">
        <v>245241.299985713</v>
      </c>
      <c r="K3763" s="62" t="s">
        <v>138</v>
      </c>
      <c r="L3763" s="68" t="b">
        <f aca="false">TRUE()</f>
        <v>1</v>
      </c>
    </row>
    <row r="3764" customFormat="false" ht="15" hidden="false" customHeight="false" outlineLevel="0" collapsed="false">
      <c r="A3764" s="62" t="n">
        <v>1</v>
      </c>
      <c r="B3764" s="21" t="s">
        <v>336</v>
      </c>
      <c r="C3764" s="62" t="s">
        <v>60</v>
      </c>
      <c r="D3764" s="62" t="s">
        <v>381</v>
      </c>
      <c r="E3764" s="62" t="s">
        <v>67</v>
      </c>
      <c r="F3764" s="62" t="s">
        <v>382</v>
      </c>
      <c r="G3764" s="63" t="s">
        <v>410</v>
      </c>
      <c r="H3764" s="64" t="n">
        <v>330397613.572167</v>
      </c>
      <c r="I3764" s="62" t="s">
        <v>81</v>
      </c>
      <c r="J3764" s="64" t="n">
        <v>330397.613572167</v>
      </c>
      <c r="K3764" s="62" t="s">
        <v>138</v>
      </c>
      <c r="L3764" s="68" t="b">
        <f aca="false">TRUE()</f>
        <v>1</v>
      </c>
    </row>
    <row r="3765" customFormat="false" ht="15" hidden="false" customHeight="false" outlineLevel="0" collapsed="false">
      <c r="A3765" s="62" t="n">
        <v>1</v>
      </c>
      <c r="B3765" s="21" t="s">
        <v>336</v>
      </c>
      <c r="C3765" s="62" t="s">
        <v>60</v>
      </c>
      <c r="D3765" s="62" t="s">
        <v>383</v>
      </c>
      <c r="E3765" s="62" t="s">
        <v>67</v>
      </c>
      <c r="F3765" s="62" t="s">
        <v>382</v>
      </c>
      <c r="G3765" s="63" t="s">
        <v>410</v>
      </c>
      <c r="H3765" s="64" t="n">
        <v>549970371.356756</v>
      </c>
      <c r="I3765" s="62" t="s">
        <v>81</v>
      </c>
      <c r="J3765" s="64" t="n">
        <v>549970.371356756</v>
      </c>
      <c r="K3765" s="62" t="s">
        <v>138</v>
      </c>
      <c r="L3765" s="68" t="b">
        <f aca="false">TRUE()</f>
        <v>1</v>
      </c>
    </row>
    <row r="3766" customFormat="false" ht="15" hidden="false" customHeight="false" outlineLevel="0" collapsed="false">
      <c r="A3766" s="62" t="n">
        <v>1</v>
      </c>
      <c r="B3766" s="21" t="s">
        <v>336</v>
      </c>
      <c r="C3766" s="62" t="s">
        <v>60</v>
      </c>
      <c r="D3766" s="62" t="s">
        <v>384</v>
      </c>
      <c r="E3766" s="62" t="s">
        <v>67</v>
      </c>
      <c r="F3766" s="62" t="s">
        <v>382</v>
      </c>
      <c r="G3766" s="63" t="s">
        <v>410</v>
      </c>
      <c r="H3766" s="64" t="n">
        <v>430769576.940968</v>
      </c>
      <c r="I3766" s="62" t="s">
        <v>81</v>
      </c>
      <c r="J3766" s="64" t="n">
        <v>430769.576940968</v>
      </c>
      <c r="K3766" s="62" t="s">
        <v>138</v>
      </c>
      <c r="L3766" s="68" t="b">
        <f aca="false">TRUE()</f>
        <v>1</v>
      </c>
    </row>
    <row r="3767" customFormat="false" ht="15" hidden="false" customHeight="false" outlineLevel="0" collapsed="false">
      <c r="A3767" s="62" t="n">
        <v>1</v>
      </c>
      <c r="B3767" s="21" t="s">
        <v>336</v>
      </c>
      <c r="C3767" s="62" t="s">
        <v>60</v>
      </c>
      <c r="D3767" s="62" t="s">
        <v>385</v>
      </c>
      <c r="E3767" s="62" t="s">
        <v>67</v>
      </c>
      <c r="F3767" s="62" t="s">
        <v>382</v>
      </c>
      <c r="G3767" s="63" t="s">
        <v>410</v>
      </c>
      <c r="H3767" s="64" t="n">
        <v>906365574.814264</v>
      </c>
      <c r="I3767" s="62" t="s">
        <v>81</v>
      </c>
      <c r="J3767" s="64" t="n">
        <v>906365.574814264</v>
      </c>
      <c r="K3767" s="62" t="s">
        <v>138</v>
      </c>
      <c r="L3767" s="68" t="b">
        <f aca="false">TRUE()</f>
        <v>1</v>
      </c>
    </row>
    <row r="3768" customFormat="false" ht="15" hidden="false" customHeight="false" outlineLevel="0" collapsed="false">
      <c r="A3768" s="62" t="n">
        <v>1</v>
      </c>
      <c r="B3768" s="21" t="s">
        <v>336</v>
      </c>
      <c r="C3768" s="62" t="s">
        <v>60</v>
      </c>
      <c r="D3768" s="62" t="s">
        <v>386</v>
      </c>
      <c r="E3768" s="62" t="s">
        <v>67</v>
      </c>
      <c r="F3768" s="62" t="s">
        <v>382</v>
      </c>
      <c r="G3768" s="63" t="s">
        <v>410</v>
      </c>
      <c r="H3768" s="64" t="n">
        <v>724998708.14975</v>
      </c>
      <c r="I3768" s="62" t="s">
        <v>81</v>
      </c>
      <c r="J3768" s="64" t="n">
        <v>724998.70814975</v>
      </c>
      <c r="K3768" s="62" t="s">
        <v>138</v>
      </c>
      <c r="L3768" s="68" t="b">
        <f aca="false">TRUE()</f>
        <v>1</v>
      </c>
    </row>
    <row r="3769" customFormat="false" ht="15" hidden="false" customHeight="false" outlineLevel="0" collapsed="false">
      <c r="A3769" s="62" t="n">
        <v>1</v>
      </c>
      <c r="B3769" s="21" t="s">
        <v>336</v>
      </c>
      <c r="C3769" s="62" t="s">
        <v>60</v>
      </c>
      <c r="D3769" s="62" t="s">
        <v>387</v>
      </c>
      <c r="E3769" s="62" t="s">
        <v>67</v>
      </c>
      <c r="F3769" s="62" t="s">
        <v>382</v>
      </c>
      <c r="G3769" s="63" t="s">
        <v>410</v>
      </c>
      <c r="H3769" s="64" t="n">
        <v>1408630453.67452</v>
      </c>
      <c r="I3769" s="62" t="s">
        <v>81</v>
      </c>
      <c r="J3769" s="64" t="n">
        <v>1408630.45367452</v>
      </c>
      <c r="K3769" s="62" t="s">
        <v>138</v>
      </c>
      <c r="L3769" s="68" t="b">
        <f aca="false">TRUE()</f>
        <v>1</v>
      </c>
    </row>
    <row r="3770" customFormat="false" ht="15" hidden="false" customHeight="false" outlineLevel="0" collapsed="false">
      <c r="A3770" s="62" t="n">
        <v>1</v>
      </c>
      <c r="B3770" s="21" t="s">
        <v>336</v>
      </c>
      <c r="C3770" s="62" t="s">
        <v>60</v>
      </c>
      <c r="D3770" s="62" t="s">
        <v>388</v>
      </c>
      <c r="E3770" s="62" t="s">
        <v>67</v>
      </c>
      <c r="F3770" s="62" t="s">
        <v>382</v>
      </c>
      <c r="G3770" s="63" t="s">
        <v>410</v>
      </c>
      <c r="H3770" s="64" t="n">
        <v>53953085.9968569</v>
      </c>
      <c r="I3770" s="62" t="s">
        <v>81</v>
      </c>
      <c r="J3770" s="64" t="n">
        <v>53953.0859968569</v>
      </c>
      <c r="K3770" s="62" t="s">
        <v>138</v>
      </c>
      <c r="L3770" s="68" t="b">
        <f aca="false">TRUE()</f>
        <v>1</v>
      </c>
    </row>
    <row r="3771" customFormat="false" ht="15" hidden="false" customHeight="false" outlineLevel="0" collapsed="false">
      <c r="A3771" s="62" t="n">
        <v>1</v>
      </c>
      <c r="B3771" s="21" t="s">
        <v>336</v>
      </c>
      <c r="C3771" s="62" t="s">
        <v>60</v>
      </c>
      <c r="D3771" s="62" t="s">
        <v>381</v>
      </c>
      <c r="E3771" s="62" t="s">
        <v>67</v>
      </c>
      <c r="F3771" s="62" t="s">
        <v>382</v>
      </c>
      <c r="G3771" s="63" t="s">
        <v>411</v>
      </c>
      <c r="H3771" s="64" t="n">
        <v>1171409720.84677</v>
      </c>
      <c r="I3771" s="62" t="s">
        <v>81</v>
      </c>
      <c r="J3771" s="64" t="n">
        <v>1171409.72084677</v>
      </c>
      <c r="K3771" s="62" t="s">
        <v>138</v>
      </c>
      <c r="L3771" s="68" t="b">
        <f aca="false">TRUE()</f>
        <v>1</v>
      </c>
    </row>
    <row r="3772" customFormat="false" ht="15" hidden="false" customHeight="false" outlineLevel="0" collapsed="false">
      <c r="A3772" s="62" t="n">
        <v>1</v>
      </c>
      <c r="B3772" s="21" t="s">
        <v>336</v>
      </c>
      <c r="C3772" s="62" t="s">
        <v>60</v>
      </c>
      <c r="D3772" s="62" t="s">
        <v>383</v>
      </c>
      <c r="E3772" s="62" t="s">
        <v>67</v>
      </c>
      <c r="F3772" s="62" t="s">
        <v>382</v>
      </c>
      <c r="G3772" s="63" t="s">
        <v>411</v>
      </c>
      <c r="H3772" s="64" t="n">
        <v>1949894952.99213</v>
      </c>
      <c r="I3772" s="62" t="s">
        <v>81</v>
      </c>
      <c r="J3772" s="64" t="n">
        <v>1949894.95299213</v>
      </c>
      <c r="K3772" s="62" t="s">
        <v>138</v>
      </c>
      <c r="L3772" s="68" t="b">
        <f aca="false">TRUE()</f>
        <v>1</v>
      </c>
    </row>
    <row r="3773" customFormat="false" ht="15" hidden="false" customHeight="false" outlineLevel="0" collapsed="false">
      <c r="A3773" s="62" t="n">
        <v>1</v>
      </c>
      <c r="B3773" s="21" t="s">
        <v>336</v>
      </c>
      <c r="C3773" s="62" t="s">
        <v>60</v>
      </c>
      <c r="D3773" s="62" t="s">
        <v>384</v>
      </c>
      <c r="E3773" s="62" t="s">
        <v>67</v>
      </c>
      <c r="F3773" s="62" t="s">
        <v>382</v>
      </c>
      <c r="G3773" s="63" t="s">
        <v>411</v>
      </c>
      <c r="H3773" s="64" t="n">
        <v>1527273954.60889</v>
      </c>
      <c r="I3773" s="62" t="s">
        <v>81</v>
      </c>
      <c r="J3773" s="64" t="n">
        <v>1527273.95460889</v>
      </c>
      <c r="K3773" s="62" t="s">
        <v>138</v>
      </c>
      <c r="L3773" s="68" t="b">
        <f aca="false">TRUE()</f>
        <v>1</v>
      </c>
    </row>
    <row r="3774" customFormat="false" ht="15" hidden="false" customHeight="false" outlineLevel="0" collapsed="false">
      <c r="A3774" s="62" t="n">
        <v>1</v>
      </c>
      <c r="B3774" s="21" t="s">
        <v>336</v>
      </c>
      <c r="C3774" s="62" t="s">
        <v>60</v>
      </c>
      <c r="D3774" s="62" t="s">
        <v>385</v>
      </c>
      <c r="E3774" s="62" t="s">
        <v>67</v>
      </c>
      <c r="F3774" s="62" t="s">
        <v>382</v>
      </c>
      <c r="G3774" s="63" t="s">
        <v>411</v>
      </c>
      <c r="H3774" s="64" t="n">
        <v>3213477947.06875</v>
      </c>
      <c r="I3774" s="62" t="s">
        <v>81</v>
      </c>
      <c r="J3774" s="64" t="n">
        <v>3213477.94706875</v>
      </c>
      <c r="K3774" s="62" t="s">
        <v>138</v>
      </c>
      <c r="L3774" s="68" t="b">
        <f aca="false">TRUE()</f>
        <v>1</v>
      </c>
    </row>
    <row r="3775" customFormat="false" ht="15" hidden="false" customHeight="false" outlineLevel="0" collapsed="false">
      <c r="A3775" s="62" t="n">
        <v>1</v>
      </c>
      <c r="B3775" s="21" t="s">
        <v>336</v>
      </c>
      <c r="C3775" s="62" t="s">
        <v>60</v>
      </c>
      <c r="D3775" s="62" t="s">
        <v>386</v>
      </c>
      <c r="E3775" s="62" t="s">
        <v>67</v>
      </c>
      <c r="F3775" s="62" t="s">
        <v>382</v>
      </c>
      <c r="G3775" s="63" t="s">
        <v>411</v>
      </c>
      <c r="H3775" s="64" t="n">
        <v>2570449965.25821</v>
      </c>
      <c r="I3775" s="62" t="s">
        <v>81</v>
      </c>
      <c r="J3775" s="64" t="n">
        <v>2570449.96525821</v>
      </c>
      <c r="K3775" s="62" t="s">
        <v>138</v>
      </c>
      <c r="L3775" s="68" t="b">
        <f aca="false">TRUE()</f>
        <v>1</v>
      </c>
    </row>
    <row r="3776" customFormat="false" ht="15" hidden="false" customHeight="false" outlineLevel="0" collapsed="false">
      <c r="A3776" s="62" t="n">
        <v>1</v>
      </c>
      <c r="B3776" s="21" t="s">
        <v>336</v>
      </c>
      <c r="C3776" s="62" t="s">
        <v>60</v>
      </c>
      <c r="D3776" s="62" t="s">
        <v>387</v>
      </c>
      <c r="E3776" s="62" t="s">
        <v>67</v>
      </c>
      <c r="F3776" s="62" t="s">
        <v>382</v>
      </c>
      <c r="G3776" s="63" t="s">
        <v>411</v>
      </c>
      <c r="H3776" s="64" t="n">
        <v>4994235244.84604</v>
      </c>
      <c r="I3776" s="62" t="s">
        <v>81</v>
      </c>
      <c r="J3776" s="64" t="n">
        <v>4994235.24484604</v>
      </c>
      <c r="K3776" s="62" t="s">
        <v>138</v>
      </c>
      <c r="L3776" s="68" t="b">
        <f aca="false">TRUE()</f>
        <v>1</v>
      </c>
    </row>
    <row r="3777" customFormat="false" ht="15" hidden="false" customHeight="false" outlineLevel="0" collapsed="false">
      <c r="A3777" s="62" t="n">
        <v>1</v>
      </c>
      <c r="B3777" s="21" t="s">
        <v>336</v>
      </c>
      <c r="C3777" s="62" t="s">
        <v>60</v>
      </c>
      <c r="D3777" s="62" t="s">
        <v>388</v>
      </c>
      <c r="E3777" s="62" t="s">
        <v>67</v>
      </c>
      <c r="F3777" s="62" t="s">
        <v>382</v>
      </c>
      <c r="G3777" s="63" t="s">
        <v>411</v>
      </c>
      <c r="H3777" s="64" t="n">
        <v>191288213.988856</v>
      </c>
      <c r="I3777" s="62" t="s">
        <v>81</v>
      </c>
      <c r="J3777" s="64" t="n">
        <v>191288.213988856</v>
      </c>
      <c r="K3777" s="62" t="s">
        <v>138</v>
      </c>
      <c r="L3777" s="68" t="b">
        <f aca="false">TRUE()</f>
        <v>1</v>
      </c>
    </row>
    <row r="3778" customFormat="false" ht="15" hidden="false" customHeight="false" outlineLevel="0" collapsed="false">
      <c r="A3778" s="62" t="n">
        <v>1</v>
      </c>
      <c r="B3778" s="21" t="s">
        <v>336</v>
      </c>
      <c r="C3778" s="62" t="s">
        <v>60</v>
      </c>
      <c r="D3778" s="62" t="s">
        <v>381</v>
      </c>
      <c r="E3778" s="62" t="s">
        <v>67</v>
      </c>
      <c r="F3778" s="62" t="s">
        <v>382</v>
      </c>
      <c r="G3778" s="63" t="s">
        <v>412</v>
      </c>
      <c r="H3778" s="64" t="n">
        <v>8155054040</v>
      </c>
      <c r="I3778" s="62" t="s">
        <v>81</v>
      </c>
      <c r="J3778" s="64" t="n">
        <v>8155054.04</v>
      </c>
      <c r="K3778" s="62" t="s">
        <v>138</v>
      </c>
      <c r="L3778" s="68" t="b">
        <f aca="false">TRUE()</f>
        <v>1</v>
      </c>
    </row>
    <row r="3779" customFormat="false" ht="15" hidden="false" customHeight="false" outlineLevel="0" collapsed="false">
      <c r="A3779" s="62" t="n">
        <v>1</v>
      </c>
      <c r="B3779" s="21" t="s">
        <v>336</v>
      </c>
      <c r="C3779" s="62" t="s">
        <v>60</v>
      </c>
      <c r="D3779" s="62" t="s">
        <v>383</v>
      </c>
      <c r="E3779" s="62" t="s">
        <v>67</v>
      </c>
      <c r="F3779" s="62" t="s">
        <v>382</v>
      </c>
      <c r="G3779" s="63" t="s">
        <v>412</v>
      </c>
      <c r="H3779" s="64" t="n">
        <v>8158554040</v>
      </c>
      <c r="I3779" s="62" t="s">
        <v>81</v>
      </c>
      <c r="J3779" s="64" t="n">
        <v>8158554.04</v>
      </c>
      <c r="K3779" s="62" t="s">
        <v>138</v>
      </c>
      <c r="L3779" s="68" t="b">
        <f aca="false">TRUE()</f>
        <v>1</v>
      </c>
    </row>
    <row r="3780" customFormat="false" ht="15" hidden="false" customHeight="false" outlineLevel="0" collapsed="false">
      <c r="A3780" s="62" t="n">
        <v>1</v>
      </c>
      <c r="B3780" s="21" t="s">
        <v>336</v>
      </c>
      <c r="C3780" s="62" t="s">
        <v>60</v>
      </c>
      <c r="D3780" s="62" t="s">
        <v>384</v>
      </c>
      <c r="E3780" s="62" t="s">
        <v>67</v>
      </c>
      <c r="F3780" s="62" t="s">
        <v>382</v>
      </c>
      <c r="G3780" s="63" t="s">
        <v>412</v>
      </c>
      <c r="H3780" s="64" t="n">
        <v>8155054040</v>
      </c>
      <c r="I3780" s="62" t="s">
        <v>81</v>
      </c>
      <c r="J3780" s="64" t="n">
        <v>8155054.04</v>
      </c>
      <c r="K3780" s="62" t="s">
        <v>138</v>
      </c>
      <c r="L3780" s="68" t="b">
        <f aca="false">TRUE()</f>
        <v>1</v>
      </c>
    </row>
    <row r="3781" customFormat="false" ht="15" hidden="false" customHeight="false" outlineLevel="0" collapsed="false">
      <c r="A3781" s="62" t="n">
        <v>1</v>
      </c>
      <c r="B3781" s="21" t="s">
        <v>336</v>
      </c>
      <c r="C3781" s="62" t="s">
        <v>60</v>
      </c>
      <c r="D3781" s="62" t="s">
        <v>385</v>
      </c>
      <c r="E3781" s="62" t="s">
        <v>67</v>
      </c>
      <c r="F3781" s="62" t="s">
        <v>382</v>
      </c>
      <c r="G3781" s="63" t="s">
        <v>412</v>
      </c>
      <c r="H3781" s="64" t="n">
        <v>8158554040</v>
      </c>
      <c r="I3781" s="62" t="s">
        <v>81</v>
      </c>
      <c r="J3781" s="64" t="n">
        <v>8158554.04</v>
      </c>
      <c r="K3781" s="62" t="s">
        <v>138</v>
      </c>
      <c r="L3781" s="68" t="b">
        <f aca="false">TRUE()</f>
        <v>1</v>
      </c>
    </row>
    <row r="3782" customFormat="false" ht="15" hidden="false" customHeight="false" outlineLevel="0" collapsed="false">
      <c r="A3782" s="62" t="n">
        <v>1</v>
      </c>
      <c r="B3782" s="21" t="s">
        <v>336</v>
      </c>
      <c r="C3782" s="62" t="s">
        <v>60</v>
      </c>
      <c r="D3782" s="62" t="s">
        <v>386</v>
      </c>
      <c r="E3782" s="62" t="s">
        <v>67</v>
      </c>
      <c r="F3782" s="62" t="s">
        <v>382</v>
      </c>
      <c r="G3782" s="63" t="s">
        <v>412</v>
      </c>
      <c r="H3782" s="64" t="n">
        <v>8193554040</v>
      </c>
      <c r="I3782" s="62" t="s">
        <v>81</v>
      </c>
      <c r="J3782" s="64" t="n">
        <v>8193554.04</v>
      </c>
      <c r="K3782" s="62" t="s">
        <v>138</v>
      </c>
      <c r="L3782" s="68" t="b">
        <f aca="false">TRUE()</f>
        <v>1</v>
      </c>
    </row>
    <row r="3783" customFormat="false" ht="15" hidden="false" customHeight="false" outlineLevel="0" collapsed="false">
      <c r="A3783" s="62" t="n">
        <v>1</v>
      </c>
      <c r="B3783" s="21" t="s">
        <v>336</v>
      </c>
      <c r="C3783" s="62" t="s">
        <v>60</v>
      </c>
      <c r="D3783" s="62" t="s">
        <v>387</v>
      </c>
      <c r="E3783" s="62" t="s">
        <v>67</v>
      </c>
      <c r="F3783" s="62" t="s">
        <v>382</v>
      </c>
      <c r="G3783" s="63" t="s">
        <v>412</v>
      </c>
      <c r="H3783" s="64" t="n">
        <v>8155054040</v>
      </c>
      <c r="I3783" s="62" t="s">
        <v>81</v>
      </c>
      <c r="J3783" s="64" t="n">
        <v>8155054.04</v>
      </c>
      <c r="K3783" s="62" t="s">
        <v>138</v>
      </c>
      <c r="L3783" s="68" t="b">
        <f aca="false">TRUE()</f>
        <v>1</v>
      </c>
    </row>
    <row r="3784" customFormat="false" ht="15" hidden="false" customHeight="false" outlineLevel="0" collapsed="false">
      <c r="A3784" s="62" t="n">
        <v>1</v>
      </c>
      <c r="B3784" s="21" t="s">
        <v>336</v>
      </c>
      <c r="C3784" s="62" t="s">
        <v>60</v>
      </c>
      <c r="D3784" s="62" t="s">
        <v>388</v>
      </c>
      <c r="E3784" s="62" t="s">
        <v>67</v>
      </c>
      <c r="F3784" s="62" t="s">
        <v>382</v>
      </c>
      <c r="G3784" s="63" t="s">
        <v>412</v>
      </c>
      <c r="H3784" s="64" t="n">
        <v>8172554040</v>
      </c>
      <c r="I3784" s="62" t="s">
        <v>81</v>
      </c>
      <c r="J3784" s="64" t="n">
        <v>8172554.04</v>
      </c>
      <c r="K3784" s="62" t="s">
        <v>138</v>
      </c>
      <c r="L3784" s="68" t="b">
        <f aca="false">TRUE()</f>
        <v>1</v>
      </c>
    </row>
    <row r="3785" customFormat="false" ht="15" hidden="false" customHeight="false" outlineLevel="0" collapsed="false">
      <c r="A3785" s="62" t="n">
        <v>1</v>
      </c>
      <c r="B3785" s="21" t="s">
        <v>336</v>
      </c>
      <c r="C3785" s="62" t="s">
        <v>60</v>
      </c>
      <c r="D3785" s="62" t="s">
        <v>381</v>
      </c>
      <c r="E3785" s="62" t="s">
        <v>67</v>
      </c>
      <c r="F3785" s="62" t="s">
        <v>382</v>
      </c>
      <c r="G3785" s="63" t="s">
        <v>413</v>
      </c>
      <c r="H3785" s="64" t="n">
        <v>6174792084.60297</v>
      </c>
      <c r="I3785" s="62" t="s">
        <v>81</v>
      </c>
      <c r="J3785" s="64" t="n">
        <v>6174792.08460297</v>
      </c>
      <c r="K3785" s="62" t="s">
        <v>138</v>
      </c>
      <c r="L3785" s="68" t="b">
        <f aca="false">TRUE()</f>
        <v>1</v>
      </c>
    </row>
    <row r="3786" customFormat="false" ht="15" hidden="false" customHeight="false" outlineLevel="0" collapsed="false">
      <c r="A3786" s="62" t="n">
        <v>1</v>
      </c>
      <c r="B3786" s="21" t="s">
        <v>336</v>
      </c>
      <c r="C3786" s="62" t="s">
        <v>60</v>
      </c>
      <c r="D3786" s="62" t="s">
        <v>383</v>
      </c>
      <c r="E3786" s="62" t="s">
        <v>67</v>
      </c>
      <c r="F3786" s="62" t="s">
        <v>382</v>
      </c>
      <c r="G3786" s="63" t="s">
        <v>413</v>
      </c>
      <c r="H3786" s="64" t="n">
        <v>0</v>
      </c>
      <c r="I3786" s="62" t="s">
        <v>81</v>
      </c>
      <c r="J3786" s="64" t="n">
        <v>0</v>
      </c>
      <c r="K3786" s="62" t="s">
        <v>138</v>
      </c>
      <c r="L3786" s="68" t="b">
        <f aca="false">TRUE()</f>
        <v>1</v>
      </c>
    </row>
    <row r="3787" customFormat="false" ht="15" hidden="false" customHeight="false" outlineLevel="0" collapsed="false">
      <c r="A3787" s="62" t="n">
        <v>1</v>
      </c>
      <c r="B3787" s="21" t="s">
        <v>336</v>
      </c>
      <c r="C3787" s="62" t="s">
        <v>60</v>
      </c>
      <c r="D3787" s="62" t="s">
        <v>384</v>
      </c>
      <c r="E3787" s="62" t="s">
        <v>67</v>
      </c>
      <c r="F3787" s="62" t="s">
        <v>382</v>
      </c>
      <c r="G3787" s="63" t="s">
        <v>413</v>
      </c>
      <c r="H3787" s="64" t="n">
        <v>0</v>
      </c>
      <c r="I3787" s="62" t="s">
        <v>81</v>
      </c>
      <c r="J3787" s="64" t="n">
        <v>0</v>
      </c>
      <c r="K3787" s="62" t="s">
        <v>138</v>
      </c>
      <c r="L3787" s="68" t="b">
        <f aca="false">TRUE()</f>
        <v>1</v>
      </c>
    </row>
    <row r="3788" customFormat="false" ht="15" hidden="false" customHeight="false" outlineLevel="0" collapsed="false">
      <c r="A3788" s="62" t="n">
        <v>1</v>
      </c>
      <c r="B3788" s="21" t="s">
        <v>336</v>
      </c>
      <c r="C3788" s="62" t="s">
        <v>60</v>
      </c>
      <c r="D3788" s="62" t="s">
        <v>385</v>
      </c>
      <c r="E3788" s="62" t="s">
        <v>67</v>
      </c>
      <c r="F3788" s="62" t="s">
        <v>382</v>
      </c>
      <c r="G3788" s="63" t="s">
        <v>413</v>
      </c>
      <c r="H3788" s="64" t="n">
        <v>4382363724.13941</v>
      </c>
      <c r="I3788" s="62" t="s">
        <v>81</v>
      </c>
      <c r="J3788" s="64" t="n">
        <v>4382363.72413941</v>
      </c>
      <c r="K3788" s="62" t="s">
        <v>138</v>
      </c>
      <c r="L3788" s="68" t="b">
        <f aca="false">TRUE()</f>
        <v>1</v>
      </c>
    </row>
    <row r="3789" customFormat="false" ht="15" hidden="false" customHeight="false" outlineLevel="0" collapsed="false">
      <c r="A3789" s="62" t="n">
        <v>1</v>
      </c>
      <c r="B3789" s="21" t="s">
        <v>336</v>
      </c>
      <c r="C3789" s="62" t="s">
        <v>60</v>
      </c>
      <c r="D3789" s="62" t="s">
        <v>386</v>
      </c>
      <c r="E3789" s="62" t="s">
        <v>67</v>
      </c>
      <c r="F3789" s="62" t="s">
        <v>382</v>
      </c>
      <c r="G3789" s="63" t="s">
        <v>413</v>
      </c>
      <c r="H3789" s="64" t="n">
        <v>0</v>
      </c>
      <c r="I3789" s="62" t="s">
        <v>81</v>
      </c>
      <c r="J3789" s="64" t="n">
        <v>0</v>
      </c>
      <c r="K3789" s="62" t="s">
        <v>138</v>
      </c>
      <c r="L3789" s="68" t="b">
        <f aca="false">TRUE()</f>
        <v>1</v>
      </c>
    </row>
    <row r="3790" customFormat="false" ht="15" hidden="false" customHeight="false" outlineLevel="0" collapsed="false">
      <c r="A3790" s="62" t="n">
        <v>1</v>
      </c>
      <c r="B3790" s="21" t="s">
        <v>336</v>
      </c>
      <c r="C3790" s="62" t="s">
        <v>60</v>
      </c>
      <c r="D3790" s="62" t="s">
        <v>387</v>
      </c>
      <c r="E3790" s="62" t="s">
        <v>67</v>
      </c>
      <c r="F3790" s="62" t="s">
        <v>382</v>
      </c>
      <c r="G3790" s="63" t="s">
        <v>413</v>
      </c>
      <c r="H3790" s="64" t="n">
        <v>0</v>
      </c>
      <c r="I3790" s="62" t="s">
        <v>81</v>
      </c>
      <c r="J3790" s="64" t="n">
        <v>0</v>
      </c>
      <c r="K3790" s="62" t="s">
        <v>138</v>
      </c>
      <c r="L3790" s="68" t="b">
        <f aca="false">TRUE()</f>
        <v>1</v>
      </c>
    </row>
    <row r="3791" customFormat="false" ht="15" hidden="false" customHeight="false" outlineLevel="0" collapsed="false">
      <c r="A3791" s="62" t="n">
        <v>1</v>
      </c>
      <c r="B3791" s="21" t="s">
        <v>336</v>
      </c>
      <c r="C3791" s="62" t="s">
        <v>60</v>
      </c>
      <c r="D3791" s="62" t="s">
        <v>388</v>
      </c>
      <c r="E3791" s="62" t="s">
        <v>67</v>
      </c>
      <c r="F3791" s="62" t="s">
        <v>382</v>
      </c>
      <c r="G3791" s="63" t="s">
        <v>413</v>
      </c>
      <c r="H3791" s="64" t="n">
        <v>0</v>
      </c>
      <c r="I3791" s="62" t="s">
        <v>81</v>
      </c>
      <c r="J3791" s="64" t="n">
        <v>0</v>
      </c>
      <c r="K3791" s="62" t="s">
        <v>138</v>
      </c>
      <c r="L3791" s="68" t="b">
        <f aca="false">TRUE()</f>
        <v>1</v>
      </c>
    </row>
    <row r="3792" customFormat="false" ht="15" hidden="false" customHeight="false" outlineLevel="0" collapsed="false">
      <c r="A3792" s="62" t="n">
        <v>1</v>
      </c>
      <c r="B3792" s="21" t="s">
        <v>336</v>
      </c>
      <c r="C3792" s="62" t="s">
        <v>60</v>
      </c>
      <c r="D3792" s="62" t="s">
        <v>381</v>
      </c>
      <c r="E3792" s="62" t="s">
        <v>67</v>
      </c>
      <c r="F3792" s="62" t="s">
        <v>382</v>
      </c>
      <c r="G3792" s="63" t="s">
        <v>414</v>
      </c>
      <c r="H3792" s="64" t="n">
        <v>756528101.882137</v>
      </c>
      <c r="I3792" s="62" t="s">
        <v>81</v>
      </c>
      <c r="J3792" s="64" t="n">
        <v>756528.101882137</v>
      </c>
      <c r="K3792" s="62" t="s">
        <v>138</v>
      </c>
      <c r="L3792" s="68" t="b">
        <f aca="false">TRUE()</f>
        <v>1</v>
      </c>
    </row>
    <row r="3793" customFormat="false" ht="15" hidden="false" customHeight="false" outlineLevel="0" collapsed="false">
      <c r="A3793" s="62" t="n">
        <v>1</v>
      </c>
      <c r="B3793" s="21" t="s">
        <v>336</v>
      </c>
      <c r="C3793" s="62" t="s">
        <v>60</v>
      </c>
      <c r="D3793" s="62" t="s">
        <v>383</v>
      </c>
      <c r="E3793" s="62" t="s">
        <v>67</v>
      </c>
      <c r="F3793" s="62" t="s">
        <v>382</v>
      </c>
      <c r="G3793" s="63" t="s">
        <v>414</v>
      </c>
      <c r="H3793" s="64" t="n">
        <v>824371414.560203</v>
      </c>
      <c r="I3793" s="62" t="s">
        <v>81</v>
      </c>
      <c r="J3793" s="64" t="n">
        <v>824371.414560203</v>
      </c>
      <c r="K3793" s="62" t="s">
        <v>138</v>
      </c>
      <c r="L3793" s="68" t="b">
        <f aca="false">TRUE()</f>
        <v>1</v>
      </c>
    </row>
    <row r="3794" customFormat="false" ht="15" hidden="false" customHeight="false" outlineLevel="0" collapsed="false">
      <c r="A3794" s="62" t="n">
        <v>1</v>
      </c>
      <c r="B3794" s="21" t="s">
        <v>336</v>
      </c>
      <c r="C3794" s="62" t="s">
        <v>60</v>
      </c>
      <c r="D3794" s="62" t="s">
        <v>384</v>
      </c>
      <c r="E3794" s="62" t="s">
        <v>67</v>
      </c>
      <c r="F3794" s="62" t="s">
        <v>382</v>
      </c>
      <c r="G3794" s="63" t="s">
        <v>414</v>
      </c>
      <c r="H3794" s="64" t="n">
        <v>496663990.222222</v>
      </c>
      <c r="I3794" s="62" t="s">
        <v>81</v>
      </c>
      <c r="J3794" s="64" t="n">
        <v>496663.990222222</v>
      </c>
      <c r="K3794" s="62" t="s">
        <v>138</v>
      </c>
      <c r="L3794" s="68" t="b">
        <f aca="false">TRUE()</f>
        <v>1</v>
      </c>
    </row>
    <row r="3795" customFormat="false" ht="15" hidden="false" customHeight="false" outlineLevel="0" collapsed="false">
      <c r="A3795" s="62" t="n">
        <v>1</v>
      </c>
      <c r="B3795" s="21" t="s">
        <v>336</v>
      </c>
      <c r="C3795" s="62" t="s">
        <v>60</v>
      </c>
      <c r="D3795" s="62" t="s">
        <v>385</v>
      </c>
      <c r="E3795" s="62" t="s">
        <v>67</v>
      </c>
      <c r="F3795" s="62" t="s">
        <v>382</v>
      </c>
      <c r="G3795" s="63" t="s">
        <v>414</v>
      </c>
      <c r="H3795" s="64" t="n">
        <v>486483598.970184</v>
      </c>
      <c r="I3795" s="62" t="s">
        <v>81</v>
      </c>
      <c r="J3795" s="64" t="n">
        <v>486483.598970184</v>
      </c>
      <c r="K3795" s="62" t="s">
        <v>138</v>
      </c>
      <c r="L3795" s="68" t="b">
        <f aca="false">TRUE()</f>
        <v>1</v>
      </c>
    </row>
    <row r="3796" customFormat="false" ht="15" hidden="false" customHeight="false" outlineLevel="0" collapsed="false">
      <c r="A3796" s="62" t="n">
        <v>1</v>
      </c>
      <c r="B3796" s="21" t="s">
        <v>336</v>
      </c>
      <c r="C3796" s="62" t="s">
        <v>60</v>
      </c>
      <c r="D3796" s="62" t="s">
        <v>386</v>
      </c>
      <c r="E3796" s="62" t="s">
        <v>67</v>
      </c>
      <c r="F3796" s="62" t="s">
        <v>382</v>
      </c>
      <c r="G3796" s="63" t="s">
        <v>414</v>
      </c>
      <c r="H3796" s="64" t="n">
        <v>742479237.5</v>
      </c>
      <c r="I3796" s="62" t="s">
        <v>81</v>
      </c>
      <c r="J3796" s="64" t="n">
        <v>742479.2375</v>
      </c>
      <c r="K3796" s="62" t="s">
        <v>138</v>
      </c>
      <c r="L3796" s="68" t="b">
        <f aca="false">TRUE()</f>
        <v>1</v>
      </c>
    </row>
    <row r="3797" customFormat="false" ht="15" hidden="false" customHeight="false" outlineLevel="0" collapsed="false">
      <c r="A3797" s="62" t="n">
        <v>1</v>
      </c>
      <c r="B3797" s="21" t="s">
        <v>336</v>
      </c>
      <c r="C3797" s="62" t="s">
        <v>60</v>
      </c>
      <c r="D3797" s="62" t="s">
        <v>387</v>
      </c>
      <c r="E3797" s="62" t="s">
        <v>67</v>
      </c>
      <c r="F3797" s="62" t="s">
        <v>382</v>
      </c>
      <c r="G3797" s="63" t="s">
        <v>414</v>
      </c>
      <c r="H3797" s="64" t="n">
        <v>653656972.576042</v>
      </c>
      <c r="I3797" s="62" t="s">
        <v>81</v>
      </c>
      <c r="J3797" s="64" t="n">
        <v>653656.972576042</v>
      </c>
      <c r="K3797" s="62" t="s">
        <v>138</v>
      </c>
      <c r="L3797" s="68" t="b">
        <f aca="false">TRUE()</f>
        <v>1</v>
      </c>
    </row>
    <row r="3798" customFormat="false" ht="15" hidden="false" customHeight="false" outlineLevel="0" collapsed="false">
      <c r="A3798" s="62" t="n">
        <v>1</v>
      </c>
      <c r="B3798" s="21" t="s">
        <v>336</v>
      </c>
      <c r="C3798" s="62" t="s">
        <v>60</v>
      </c>
      <c r="D3798" s="62" t="s">
        <v>388</v>
      </c>
      <c r="E3798" s="62" t="s">
        <v>67</v>
      </c>
      <c r="F3798" s="62" t="s">
        <v>382</v>
      </c>
      <c r="G3798" s="63" t="s">
        <v>414</v>
      </c>
      <c r="H3798" s="64" t="n">
        <v>783727560</v>
      </c>
      <c r="I3798" s="62" t="s">
        <v>81</v>
      </c>
      <c r="J3798" s="64" t="n">
        <v>783727.56</v>
      </c>
      <c r="K3798" s="62" t="s">
        <v>138</v>
      </c>
      <c r="L3798" s="68" t="b">
        <f aca="false">TRUE()</f>
        <v>1</v>
      </c>
    </row>
    <row r="3799" customFormat="false" ht="15" hidden="false" customHeight="false" outlineLevel="0" collapsed="false">
      <c r="A3799" s="62" t="n">
        <v>1</v>
      </c>
      <c r="B3799" s="21" t="s">
        <v>336</v>
      </c>
      <c r="C3799" s="62" t="s">
        <v>60</v>
      </c>
      <c r="D3799" s="62" t="s">
        <v>381</v>
      </c>
      <c r="E3799" s="62" t="s">
        <v>67</v>
      </c>
      <c r="F3799" s="62" t="s">
        <v>382</v>
      </c>
      <c r="G3799" s="63" t="s">
        <v>415</v>
      </c>
      <c r="H3799" s="64" t="n">
        <v>1090285979.39674</v>
      </c>
      <c r="I3799" s="62" t="s">
        <v>81</v>
      </c>
      <c r="J3799" s="64" t="n">
        <v>1090285.97939674</v>
      </c>
      <c r="K3799" s="62" t="s">
        <v>138</v>
      </c>
      <c r="L3799" s="68" t="b">
        <f aca="false">TRUE()</f>
        <v>1</v>
      </c>
    </row>
    <row r="3800" customFormat="false" ht="15" hidden="false" customHeight="false" outlineLevel="0" collapsed="false">
      <c r="A3800" s="62" t="n">
        <v>1</v>
      </c>
      <c r="B3800" s="21" t="s">
        <v>336</v>
      </c>
      <c r="C3800" s="62" t="s">
        <v>60</v>
      </c>
      <c r="D3800" s="62" t="s">
        <v>383</v>
      </c>
      <c r="E3800" s="62" t="s">
        <v>67</v>
      </c>
      <c r="F3800" s="62" t="s">
        <v>382</v>
      </c>
      <c r="G3800" s="63" t="s">
        <v>415</v>
      </c>
      <c r="H3800" s="64" t="n">
        <v>6531568830.8231</v>
      </c>
      <c r="I3800" s="62" t="s">
        <v>81</v>
      </c>
      <c r="J3800" s="64" t="n">
        <v>6531568.8308231</v>
      </c>
      <c r="K3800" s="62" t="s">
        <v>138</v>
      </c>
      <c r="L3800" s="68" t="b">
        <f aca="false">TRUE()</f>
        <v>1</v>
      </c>
    </row>
    <row r="3801" customFormat="false" ht="15" hidden="false" customHeight="false" outlineLevel="0" collapsed="false">
      <c r="A3801" s="62" t="n">
        <v>1</v>
      </c>
      <c r="B3801" s="21" t="s">
        <v>336</v>
      </c>
      <c r="C3801" s="62" t="s">
        <v>60</v>
      </c>
      <c r="D3801" s="62" t="s">
        <v>384</v>
      </c>
      <c r="E3801" s="62" t="s">
        <v>67</v>
      </c>
      <c r="F3801" s="62" t="s">
        <v>382</v>
      </c>
      <c r="G3801" s="63" t="s">
        <v>415</v>
      </c>
      <c r="H3801" s="64" t="n">
        <v>4287328445.15603</v>
      </c>
      <c r="I3801" s="62" t="s">
        <v>81</v>
      </c>
      <c r="J3801" s="64" t="n">
        <v>4287328.44515603</v>
      </c>
      <c r="K3801" s="62" t="s">
        <v>138</v>
      </c>
      <c r="L3801" s="68" t="b">
        <f aca="false">TRUE()</f>
        <v>1</v>
      </c>
    </row>
    <row r="3802" customFormat="false" ht="15" hidden="false" customHeight="false" outlineLevel="0" collapsed="false">
      <c r="A3802" s="62" t="n">
        <v>1</v>
      </c>
      <c r="B3802" s="21" t="s">
        <v>336</v>
      </c>
      <c r="C3802" s="62" t="s">
        <v>60</v>
      </c>
      <c r="D3802" s="62" t="s">
        <v>385</v>
      </c>
      <c r="E3802" s="62" t="s">
        <v>67</v>
      </c>
      <c r="F3802" s="62" t="s">
        <v>382</v>
      </c>
      <c r="G3802" s="63" t="s">
        <v>415</v>
      </c>
      <c r="H3802" s="64" t="n">
        <v>5647546481.23295</v>
      </c>
      <c r="I3802" s="62" t="s">
        <v>81</v>
      </c>
      <c r="J3802" s="64" t="n">
        <v>5647546.48123295</v>
      </c>
      <c r="K3802" s="62" t="s">
        <v>138</v>
      </c>
      <c r="L3802" s="68" t="b">
        <f aca="false">TRUE()</f>
        <v>1</v>
      </c>
    </row>
    <row r="3803" customFormat="false" ht="15" hidden="false" customHeight="false" outlineLevel="0" collapsed="false">
      <c r="A3803" s="62" t="n">
        <v>1</v>
      </c>
      <c r="B3803" s="21" t="s">
        <v>336</v>
      </c>
      <c r="C3803" s="62" t="s">
        <v>60</v>
      </c>
      <c r="D3803" s="62" t="s">
        <v>386</v>
      </c>
      <c r="E3803" s="62" t="s">
        <v>67</v>
      </c>
      <c r="F3803" s="62" t="s">
        <v>382</v>
      </c>
      <c r="G3803" s="63" t="s">
        <v>415</v>
      </c>
      <c r="H3803" s="64" t="n">
        <v>8485465057.50508</v>
      </c>
      <c r="I3803" s="62" t="s">
        <v>81</v>
      </c>
      <c r="J3803" s="64" t="n">
        <v>8485465.05750508</v>
      </c>
      <c r="K3803" s="62" t="s">
        <v>138</v>
      </c>
      <c r="L3803" s="68" t="b">
        <f aca="false">TRUE()</f>
        <v>1</v>
      </c>
    </row>
    <row r="3804" customFormat="false" ht="15" hidden="false" customHeight="false" outlineLevel="0" collapsed="false">
      <c r="A3804" s="62" t="n">
        <v>1</v>
      </c>
      <c r="B3804" s="21" t="s">
        <v>336</v>
      </c>
      <c r="C3804" s="62" t="s">
        <v>60</v>
      </c>
      <c r="D3804" s="62" t="s">
        <v>387</v>
      </c>
      <c r="E3804" s="62" t="s">
        <v>67</v>
      </c>
      <c r="F3804" s="62" t="s">
        <v>382</v>
      </c>
      <c r="G3804" s="63" t="s">
        <v>415</v>
      </c>
      <c r="H3804" s="64" t="n">
        <v>1458692122.9635</v>
      </c>
      <c r="I3804" s="62" t="s">
        <v>81</v>
      </c>
      <c r="J3804" s="64" t="n">
        <v>1458692.1229635</v>
      </c>
      <c r="K3804" s="62" t="s">
        <v>138</v>
      </c>
      <c r="L3804" s="68" t="b">
        <f aca="false">TRUE()</f>
        <v>1</v>
      </c>
    </row>
    <row r="3805" customFormat="false" ht="15" hidden="false" customHeight="false" outlineLevel="0" collapsed="false">
      <c r="A3805" s="62" t="n">
        <v>1</v>
      </c>
      <c r="B3805" s="21" t="s">
        <v>336</v>
      </c>
      <c r="C3805" s="62" t="s">
        <v>60</v>
      </c>
      <c r="D3805" s="62" t="s">
        <v>388</v>
      </c>
      <c r="E3805" s="62" t="s">
        <v>67</v>
      </c>
      <c r="F3805" s="62" t="s">
        <v>382</v>
      </c>
      <c r="G3805" s="63" t="s">
        <v>415</v>
      </c>
      <c r="H3805" s="64" t="n">
        <v>5655981254.4543</v>
      </c>
      <c r="I3805" s="62" t="s">
        <v>81</v>
      </c>
      <c r="J3805" s="64" t="n">
        <v>5655981.2544543</v>
      </c>
      <c r="K3805" s="62" t="s">
        <v>138</v>
      </c>
      <c r="L3805" s="68" t="b">
        <f aca="false">TRUE()</f>
        <v>1</v>
      </c>
    </row>
    <row r="3806" customFormat="false" ht="15" hidden="false" customHeight="false" outlineLevel="0" collapsed="false">
      <c r="A3806" s="62" t="n">
        <v>1</v>
      </c>
      <c r="B3806" s="21" t="s">
        <v>336</v>
      </c>
      <c r="C3806" s="62" t="s">
        <v>60</v>
      </c>
      <c r="D3806" s="62" t="s">
        <v>381</v>
      </c>
      <c r="E3806" s="62" t="s">
        <v>67</v>
      </c>
      <c r="F3806" s="62" t="s">
        <v>382</v>
      </c>
      <c r="G3806" s="63" t="s">
        <v>416</v>
      </c>
      <c r="H3806" s="64" t="n">
        <v>16176660205.8819</v>
      </c>
      <c r="I3806" s="62" t="s">
        <v>81</v>
      </c>
      <c r="J3806" s="64" t="n">
        <v>16176660.2058819</v>
      </c>
      <c r="K3806" s="62" t="s">
        <v>138</v>
      </c>
      <c r="L3806" s="68" t="b">
        <f aca="false">TRUE()</f>
        <v>1</v>
      </c>
    </row>
    <row r="3807" customFormat="false" ht="15" hidden="false" customHeight="false" outlineLevel="0" collapsed="false">
      <c r="A3807" s="62" t="n">
        <v>1</v>
      </c>
      <c r="B3807" s="21" t="s">
        <v>336</v>
      </c>
      <c r="C3807" s="62" t="s">
        <v>60</v>
      </c>
      <c r="D3807" s="62" t="s">
        <v>383</v>
      </c>
      <c r="E3807" s="62" t="s">
        <v>67</v>
      </c>
      <c r="F3807" s="62" t="s">
        <v>382</v>
      </c>
      <c r="G3807" s="63" t="s">
        <v>416</v>
      </c>
      <c r="H3807" s="64" t="n">
        <v>15514494285.3833</v>
      </c>
      <c r="I3807" s="62" t="s">
        <v>81</v>
      </c>
      <c r="J3807" s="64" t="n">
        <v>15514494.2853833</v>
      </c>
      <c r="K3807" s="62" t="s">
        <v>138</v>
      </c>
      <c r="L3807" s="68" t="b">
        <f aca="false">TRUE()</f>
        <v>1</v>
      </c>
    </row>
    <row r="3808" customFormat="false" ht="15" hidden="false" customHeight="false" outlineLevel="0" collapsed="false">
      <c r="A3808" s="62" t="n">
        <v>1</v>
      </c>
      <c r="B3808" s="21" t="s">
        <v>336</v>
      </c>
      <c r="C3808" s="62" t="s">
        <v>60</v>
      </c>
      <c r="D3808" s="62" t="s">
        <v>384</v>
      </c>
      <c r="E3808" s="62" t="s">
        <v>67</v>
      </c>
      <c r="F3808" s="62" t="s">
        <v>382</v>
      </c>
      <c r="G3808" s="63" t="s">
        <v>416</v>
      </c>
      <c r="H3808" s="64" t="n">
        <v>12939046475.3783</v>
      </c>
      <c r="I3808" s="62" t="s">
        <v>81</v>
      </c>
      <c r="J3808" s="64" t="n">
        <v>12939046.4753783</v>
      </c>
      <c r="K3808" s="62" t="s">
        <v>138</v>
      </c>
      <c r="L3808" s="68" t="b">
        <f aca="false">TRUE()</f>
        <v>1</v>
      </c>
    </row>
    <row r="3809" customFormat="false" ht="15" hidden="false" customHeight="false" outlineLevel="0" collapsed="false">
      <c r="A3809" s="62" t="n">
        <v>1</v>
      </c>
      <c r="B3809" s="21" t="s">
        <v>336</v>
      </c>
      <c r="C3809" s="62" t="s">
        <v>60</v>
      </c>
      <c r="D3809" s="62" t="s">
        <v>385</v>
      </c>
      <c r="E3809" s="62" t="s">
        <v>67</v>
      </c>
      <c r="F3809" s="62" t="s">
        <v>382</v>
      </c>
      <c r="G3809" s="63" t="s">
        <v>416</v>
      </c>
      <c r="H3809" s="64" t="n">
        <v>18674947844.3425</v>
      </c>
      <c r="I3809" s="62" t="s">
        <v>81</v>
      </c>
      <c r="J3809" s="64" t="n">
        <v>18674947.8443425</v>
      </c>
      <c r="K3809" s="62" t="s">
        <v>138</v>
      </c>
      <c r="L3809" s="68" t="b">
        <f aca="false">TRUE()</f>
        <v>1</v>
      </c>
    </row>
    <row r="3810" customFormat="false" ht="15" hidden="false" customHeight="false" outlineLevel="0" collapsed="false">
      <c r="A3810" s="62" t="n">
        <v>1</v>
      </c>
      <c r="B3810" s="21" t="s">
        <v>336</v>
      </c>
      <c r="C3810" s="62" t="s">
        <v>60</v>
      </c>
      <c r="D3810" s="62" t="s">
        <v>386</v>
      </c>
      <c r="E3810" s="62" t="s">
        <v>67</v>
      </c>
      <c r="F3810" s="62" t="s">
        <v>382</v>
      </c>
      <c r="G3810" s="63" t="s">
        <v>416</v>
      </c>
      <c r="H3810" s="64" t="n">
        <v>17421498335.0051</v>
      </c>
      <c r="I3810" s="62" t="s">
        <v>81</v>
      </c>
      <c r="J3810" s="64" t="n">
        <v>17421498.3350051</v>
      </c>
      <c r="K3810" s="62" t="s">
        <v>138</v>
      </c>
      <c r="L3810" s="68" t="b">
        <f aca="false">TRUE()</f>
        <v>1</v>
      </c>
    </row>
    <row r="3811" customFormat="false" ht="15" hidden="false" customHeight="false" outlineLevel="0" collapsed="false">
      <c r="A3811" s="62" t="n">
        <v>1</v>
      </c>
      <c r="B3811" s="21" t="s">
        <v>336</v>
      </c>
      <c r="C3811" s="62" t="s">
        <v>60</v>
      </c>
      <c r="D3811" s="62" t="s">
        <v>387</v>
      </c>
      <c r="E3811" s="62" t="s">
        <v>67</v>
      </c>
      <c r="F3811" s="62" t="s">
        <v>382</v>
      </c>
      <c r="G3811" s="63" t="s">
        <v>416</v>
      </c>
      <c r="H3811" s="64" t="n">
        <v>10267403135.5395</v>
      </c>
      <c r="I3811" s="62" t="s">
        <v>81</v>
      </c>
      <c r="J3811" s="64" t="n">
        <v>10267403.1355395</v>
      </c>
      <c r="K3811" s="62" t="s">
        <v>138</v>
      </c>
      <c r="L3811" s="68" t="b">
        <f aca="false">TRUE()</f>
        <v>1</v>
      </c>
    </row>
    <row r="3812" customFormat="false" ht="15" hidden="false" customHeight="false" outlineLevel="0" collapsed="false">
      <c r="A3812" s="62" t="n">
        <v>1</v>
      </c>
      <c r="B3812" s="21" t="s">
        <v>336</v>
      </c>
      <c r="C3812" s="62" t="s">
        <v>60</v>
      </c>
      <c r="D3812" s="62" t="s">
        <v>388</v>
      </c>
      <c r="E3812" s="62" t="s">
        <v>67</v>
      </c>
      <c r="F3812" s="62" t="s">
        <v>382</v>
      </c>
      <c r="G3812" s="63" t="s">
        <v>416</v>
      </c>
      <c r="H3812" s="64" t="n">
        <v>14612262854.4543</v>
      </c>
      <c r="I3812" s="62" t="s">
        <v>81</v>
      </c>
      <c r="J3812" s="64" t="n">
        <v>14612262.8544543</v>
      </c>
      <c r="K3812" s="62" t="s">
        <v>138</v>
      </c>
      <c r="L3812" s="68" t="b">
        <f aca="false">TRUE()</f>
        <v>1</v>
      </c>
    </row>
    <row r="3813" customFormat="false" ht="15" hidden="false" customHeight="false" outlineLevel="0" collapsed="false">
      <c r="A3813" s="62" t="n">
        <v>1</v>
      </c>
      <c r="B3813" s="21" t="s">
        <v>336</v>
      </c>
      <c r="C3813" s="62" t="s">
        <v>60</v>
      </c>
      <c r="D3813" s="62" t="s">
        <v>381</v>
      </c>
      <c r="E3813" s="62" t="s">
        <v>67</v>
      </c>
      <c r="F3813" s="62" t="s">
        <v>382</v>
      </c>
      <c r="G3813" s="63" t="s">
        <v>396</v>
      </c>
      <c r="H3813" s="64" t="n">
        <v>3250000000</v>
      </c>
      <c r="I3813" s="62" t="s">
        <v>81</v>
      </c>
      <c r="J3813" s="64" t="n">
        <v>3250000</v>
      </c>
      <c r="K3813" s="62" t="s">
        <v>138</v>
      </c>
      <c r="L3813" s="68" t="b">
        <f aca="false">TRUE()</f>
        <v>1</v>
      </c>
    </row>
    <row r="3814" customFormat="false" ht="15" hidden="false" customHeight="false" outlineLevel="0" collapsed="false">
      <c r="A3814" s="62" t="n">
        <v>1</v>
      </c>
      <c r="B3814" s="21" t="s">
        <v>336</v>
      </c>
      <c r="C3814" s="62" t="s">
        <v>60</v>
      </c>
      <c r="D3814" s="62" t="s">
        <v>383</v>
      </c>
      <c r="E3814" s="62" t="s">
        <v>67</v>
      </c>
      <c r="F3814" s="62" t="s">
        <v>382</v>
      </c>
      <c r="G3814" s="63" t="s">
        <v>396</v>
      </c>
      <c r="H3814" s="64" t="n">
        <v>3250000000</v>
      </c>
      <c r="I3814" s="62" t="s">
        <v>81</v>
      </c>
      <c r="J3814" s="64" t="n">
        <v>3250000</v>
      </c>
      <c r="K3814" s="62" t="s">
        <v>138</v>
      </c>
      <c r="L3814" s="68" t="b">
        <f aca="false">TRUE()</f>
        <v>1</v>
      </c>
    </row>
    <row r="3815" customFormat="false" ht="15" hidden="false" customHeight="false" outlineLevel="0" collapsed="false">
      <c r="A3815" s="62" t="n">
        <v>1</v>
      </c>
      <c r="B3815" s="21" t="s">
        <v>336</v>
      </c>
      <c r="C3815" s="62" t="s">
        <v>60</v>
      </c>
      <c r="D3815" s="62" t="s">
        <v>384</v>
      </c>
      <c r="E3815" s="62" t="s">
        <v>67</v>
      </c>
      <c r="F3815" s="62" t="s">
        <v>382</v>
      </c>
      <c r="G3815" s="63" t="s">
        <v>396</v>
      </c>
      <c r="H3815" s="64" t="n">
        <v>3250000000</v>
      </c>
      <c r="I3815" s="62" t="s">
        <v>81</v>
      </c>
      <c r="J3815" s="64" t="n">
        <v>3250000</v>
      </c>
      <c r="K3815" s="62" t="s">
        <v>138</v>
      </c>
      <c r="L3815" s="68" t="b">
        <f aca="false">TRUE()</f>
        <v>1</v>
      </c>
    </row>
    <row r="3816" customFormat="false" ht="15" hidden="false" customHeight="false" outlineLevel="0" collapsed="false">
      <c r="A3816" s="62" t="n">
        <v>1</v>
      </c>
      <c r="B3816" s="21" t="s">
        <v>336</v>
      </c>
      <c r="C3816" s="62" t="s">
        <v>60</v>
      </c>
      <c r="D3816" s="62" t="s">
        <v>385</v>
      </c>
      <c r="E3816" s="62" t="s">
        <v>67</v>
      </c>
      <c r="F3816" s="62" t="s">
        <v>382</v>
      </c>
      <c r="G3816" s="63" t="s">
        <v>396</v>
      </c>
      <c r="H3816" s="64" t="n">
        <v>3250000000</v>
      </c>
      <c r="I3816" s="62" t="s">
        <v>81</v>
      </c>
      <c r="J3816" s="64" t="n">
        <v>3250000</v>
      </c>
      <c r="K3816" s="62" t="s">
        <v>138</v>
      </c>
      <c r="L3816" s="68" t="b">
        <f aca="false">TRUE()</f>
        <v>1</v>
      </c>
    </row>
    <row r="3817" customFormat="false" ht="15" hidden="false" customHeight="false" outlineLevel="0" collapsed="false">
      <c r="A3817" s="62" t="n">
        <v>1</v>
      </c>
      <c r="B3817" s="21" t="s">
        <v>336</v>
      </c>
      <c r="C3817" s="62" t="s">
        <v>60</v>
      </c>
      <c r="D3817" s="62" t="s">
        <v>386</v>
      </c>
      <c r="E3817" s="62" t="s">
        <v>67</v>
      </c>
      <c r="F3817" s="62" t="s">
        <v>382</v>
      </c>
      <c r="G3817" s="63" t="s">
        <v>396</v>
      </c>
      <c r="H3817" s="64" t="n">
        <v>3250000000</v>
      </c>
      <c r="I3817" s="62" t="s">
        <v>81</v>
      </c>
      <c r="J3817" s="64" t="n">
        <v>3250000</v>
      </c>
      <c r="K3817" s="62" t="s">
        <v>138</v>
      </c>
      <c r="L3817" s="68" t="b">
        <f aca="false">TRUE()</f>
        <v>1</v>
      </c>
    </row>
    <row r="3818" customFormat="false" ht="15" hidden="false" customHeight="false" outlineLevel="0" collapsed="false">
      <c r="A3818" s="62" t="n">
        <v>1</v>
      </c>
      <c r="B3818" s="21" t="s">
        <v>336</v>
      </c>
      <c r="C3818" s="62" t="s">
        <v>60</v>
      </c>
      <c r="D3818" s="62" t="s">
        <v>387</v>
      </c>
      <c r="E3818" s="62" t="s">
        <v>67</v>
      </c>
      <c r="F3818" s="62" t="s">
        <v>382</v>
      </c>
      <c r="G3818" s="63" t="s">
        <v>396</v>
      </c>
      <c r="H3818" s="64" t="n">
        <v>3250000000</v>
      </c>
      <c r="I3818" s="62" t="s">
        <v>81</v>
      </c>
      <c r="J3818" s="64" t="n">
        <v>3250000</v>
      </c>
      <c r="K3818" s="62" t="s">
        <v>138</v>
      </c>
      <c r="L3818" s="68" t="b">
        <f aca="false">TRUE()</f>
        <v>1</v>
      </c>
    </row>
    <row r="3819" customFormat="false" ht="15" hidden="false" customHeight="false" outlineLevel="0" collapsed="false">
      <c r="A3819" s="62" t="n">
        <v>1</v>
      </c>
      <c r="B3819" s="21" t="s">
        <v>336</v>
      </c>
      <c r="C3819" s="62" t="s">
        <v>60</v>
      </c>
      <c r="D3819" s="62" t="s">
        <v>388</v>
      </c>
      <c r="E3819" s="62" t="s">
        <v>67</v>
      </c>
      <c r="F3819" s="62" t="s">
        <v>382</v>
      </c>
      <c r="G3819" s="63" t="s">
        <v>396</v>
      </c>
      <c r="H3819" s="64" t="n">
        <v>3250000000</v>
      </c>
      <c r="I3819" s="62" t="s">
        <v>81</v>
      </c>
      <c r="J3819" s="64" t="n">
        <v>3250000</v>
      </c>
      <c r="K3819" s="62" t="s">
        <v>138</v>
      </c>
      <c r="L3819" s="68" t="b">
        <f aca="false">TRUE()</f>
        <v>1</v>
      </c>
    </row>
    <row r="3820" customFormat="false" ht="15" hidden="false" customHeight="false" outlineLevel="0" collapsed="false">
      <c r="A3820" s="62" t="n">
        <v>1</v>
      </c>
      <c r="B3820" s="21" t="s">
        <v>336</v>
      </c>
      <c r="C3820" s="62" t="s">
        <v>60</v>
      </c>
      <c r="D3820" s="62" t="s">
        <v>381</v>
      </c>
      <c r="E3820" s="62" t="s">
        <v>67</v>
      </c>
      <c r="F3820" s="62" t="s">
        <v>382</v>
      </c>
      <c r="G3820" s="63" t="s">
        <v>397</v>
      </c>
      <c r="H3820" s="64" t="n">
        <v>0</v>
      </c>
      <c r="I3820" s="62" t="s">
        <v>81</v>
      </c>
      <c r="J3820" s="64" t="n">
        <v>0</v>
      </c>
      <c r="K3820" s="62" t="s">
        <v>138</v>
      </c>
      <c r="L3820" s="68" t="b">
        <f aca="false">TRUE()</f>
        <v>1</v>
      </c>
    </row>
    <row r="3821" customFormat="false" ht="15" hidden="false" customHeight="false" outlineLevel="0" collapsed="false">
      <c r="A3821" s="62" t="n">
        <v>1</v>
      </c>
      <c r="B3821" s="21" t="s">
        <v>336</v>
      </c>
      <c r="C3821" s="62" t="s">
        <v>60</v>
      </c>
      <c r="D3821" s="62" t="s">
        <v>383</v>
      </c>
      <c r="E3821" s="62" t="s">
        <v>67</v>
      </c>
      <c r="F3821" s="62" t="s">
        <v>382</v>
      </c>
      <c r="G3821" s="63" t="s">
        <v>397</v>
      </c>
      <c r="H3821" s="64" t="n">
        <v>0</v>
      </c>
      <c r="I3821" s="62" t="s">
        <v>81</v>
      </c>
      <c r="J3821" s="64" t="n">
        <v>0</v>
      </c>
      <c r="K3821" s="62" t="s">
        <v>138</v>
      </c>
      <c r="L3821" s="68" t="b">
        <f aca="false">TRUE()</f>
        <v>1</v>
      </c>
    </row>
    <row r="3822" customFormat="false" ht="15" hidden="false" customHeight="false" outlineLevel="0" collapsed="false">
      <c r="A3822" s="62" t="n">
        <v>1</v>
      </c>
      <c r="B3822" s="21" t="s">
        <v>336</v>
      </c>
      <c r="C3822" s="62" t="s">
        <v>60</v>
      </c>
      <c r="D3822" s="62" t="s">
        <v>384</v>
      </c>
      <c r="E3822" s="62" t="s">
        <v>67</v>
      </c>
      <c r="F3822" s="62" t="s">
        <v>382</v>
      </c>
      <c r="G3822" s="63" t="s">
        <v>397</v>
      </c>
      <c r="H3822" s="64" t="n">
        <v>0</v>
      </c>
      <c r="I3822" s="62" t="s">
        <v>81</v>
      </c>
      <c r="J3822" s="64" t="n">
        <v>0</v>
      </c>
      <c r="K3822" s="62" t="s">
        <v>138</v>
      </c>
      <c r="L3822" s="68" t="b">
        <f aca="false">TRUE()</f>
        <v>1</v>
      </c>
    </row>
    <row r="3823" customFormat="false" ht="15" hidden="false" customHeight="false" outlineLevel="0" collapsed="false">
      <c r="A3823" s="62" t="n">
        <v>1</v>
      </c>
      <c r="B3823" s="21" t="s">
        <v>336</v>
      </c>
      <c r="C3823" s="62" t="s">
        <v>60</v>
      </c>
      <c r="D3823" s="62" t="s">
        <v>385</v>
      </c>
      <c r="E3823" s="62" t="s">
        <v>67</v>
      </c>
      <c r="F3823" s="62" t="s">
        <v>382</v>
      </c>
      <c r="G3823" s="63" t="s">
        <v>397</v>
      </c>
      <c r="H3823" s="64" t="n">
        <v>0</v>
      </c>
      <c r="I3823" s="62" t="s">
        <v>81</v>
      </c>
      <c r="J3823" s="64" t="n">
        <v>0</v>
      </c>
      <c r="K3823" s="62" t="s">
        <v>138</v>
      </c>
      <c r="L3823" s="68" t="b">
        <f aca="false">TRUE()</f>
        <v>1</v>
      </c>
    </row>
    <row r="3824" customFormat="false" ht="15" hidden="false" customHeight="false" outlineLevel="0" collapsed="false">
      <c r="A3824" s="62" t="n">
        <v>1</v>
      </c>
      <c r="B3824" s="21" t="s">
        <v>336</v>
      </c>
      <c r="C3824" s="62" t="s">
        <v>60</v>
      </c>
      <c r="D3824" s="62" t="s">
        <v>386</v>
      </c>
      <c r="E3824" s="62" t="s">
        <v>67</v>
      </c>
      <c r="F3824" s="62" t="s">
        <v>382</v>
      </c>
      <c r="G3824" s="63" t="s">
        <v>397</v>
      </c>
      <c r="H3824" s="64" t="n">
        <v>0</v>
      </c>
      <c r="I3824" s="62" t="s">
        <v>81</v>
      </c>
      <c r="J3824" s="64" t="n">
        <v>0</v>
      </c>
      <c r="K3824" s="62" t="s">
        <v>138</v>
      </c>
      <c r="L3824" s="68" t="b">
        <f aca="false">TRUE()</f>
        <v>1</v>
      </c>
    </row>
    <row r="3825" customFormat="false" ht="15" hidden="false" customHeight="false" outlineLevel="0" collapsed="false">
      <c r="A3825" s="62" t="n">
        <v>1</v>
      </c>
      <c r="B3825" s="21" t="s">
        <v>336</v>
      </c>
      <c r="C3825" s="62" t="s">
        <v>60</v>
      </c>
      <c r="D3825" s="62" t="s">
        <v>387</v>
      </c>
      <c r="E3825" s="62" t="s">
        <v>67</v>
      </c>
      <c r="F3825" s="62" t="s">
        <v>382</v>
      </c>
      <c r="G3825" s="63" t="s">
        <v>397</v>
      </c>
      <c r="H3825" s="64" t="n">
        <v>0</v>
      </c>
      <c r="I3825" s="62" t="s">
        <v>81</v>
      </c>
      <c r="J3825" s="64" t="n">
        <v>0</v>
      </c>
      <c r="K3825" s="62" t="s">
        <v>138</v>
      </c>
      <c r="L3825" s="68" t="b">
        <f aca="false">TRUE()</f>
        <v>1</v>
      </c>
    </row>
    <row r="3826" customFormat="false" ht="15" hidden="false" customHeight="false" outlineLevel="0" collapsed="false">
      <c r="A3826" s="62" t="n">
        <v>1</v>
      </c>
      <c r="B3826" s="21" t="s">
        <v>336</v>
      </c>
      <c r="C3826" s="62" t="s">
        <v>60</v>
      </c>
      <c r="D3826" s="62" t="s">
        <v>388</v>
      </c>
      <c r="E3826" s="62" t="s">
        <v>67</v>
      </c>
      <c r="F3826" s="62" t="s">
        <v>382</v>
      </c>
      <c r="G3826" s="63" t="s">
        <v>397</v>
      </c>
      <c r="H3826" s="64" t="n">
        <v>0</v>
      </c>
      <c r="I3826" s="62" t="s">
        <v>81</v>
      </c>
      <c r="J3826" s="64" t="n">
        <v>0</v>
      </c>
      <c r="K3826" s="62" t="s">
        <v>138</v>
      </c>
      <c r="L3826" s="68" t="b">
        <f aca="false">TRUE()</f>
        <v>1</v>
      </c>
    </row>
    <row r="3827" customFormat="false" ht="15" hidden="false" customHeight="false" outlineLevel="0" collapsed="false">
      <c r="A3827" s="62" t="n">
        <v>1</v>
      </c>
      <c r="B3827" s="21" t="s">
        <v>336</v>
      </c>
      <c r="C3827" s="62" t="s">
        <v>60</v>
      </c>
      <c r="D3827" s="62" t="s">
        <v>381</v>
      </c>
      <c r="E3827" s="62" t="s">
        <v>67</v>
      </c>
      <c r="F3827" s="62" t="s">
        <v>382</v>
      </c>
      <c r="G3827" s="63" t="s">
        <v>417</v>
      </c>
      <c r="H3827" s="64" t="n">
        <v>1171409720.84677</v>
      </c>
      <c r="I3827" s="62" t="s">
        <v>81</v>
      </c>
      <c r="J3827" s="64" t="n">
        <v>1171409.72084677</v>
      </c>
      <c r="K3827" s="62" t="s">
        <v>138</v>
      </c>
      <c r="L3827" s="68" t="b">
        <f aca="false">TRUE()</f>
        <v>1</v>
      </c>
    </row>
    <row r="3828" customFormat="false" ht="15" hidden="false" customHeight="false" outlineLevel="0" collapsed="false">
      <c r="A3828" s="62" t="n">
        <v>1</v>
      </c>
      <c r="B3828" s="21" t="s">
        <v>336</v>
      </c>
      <c r="C3828" s="62" t="s">
        <v>60</v>
      </c>
      <c r="D3828" s="62" t="s">
        <v>383</v>
      </c>
      <c r="E3828" s="62" t="s">
        <v>67</v>
      </c>
      <c r="F3828" s="62" t="s">
        <v>382</v>
      </c>
      <c r="G3828" s="63" t="s">
        <v>417</v>
      </c>
      <c r="H3828" s="64" t="n">
        <v>1949894952.99213</v>
      </c>
      <c r="I3828" s="62" t="s">
        <v>81</v>
      </c>
      <c r="J3828" s="64" t="n">
        <v>1949894.95299213</v>
      </c>
      <c r="K3828" s="62" t="s">
        <v>138</v>
      </c>
      <c r="L3828" s="68" t="b">
        <f aca="false">TRUE()</f>
        <v>1</v>
      </c>
    </row>
    <row r="3829" customFormat="false" ht="15" hidden="false" customHeight="false" outlineLevel="0" collapsed="false">
      <c r="A3829" s="62" t="n">
        <v>1</v>
      </c>
      <c r="B3829" s="21" t="s">
        <v>336</v>
      </c>
      <c r="C3829" s="62" t="s">
        <v>60</v>
      </c>
      <c r="D3829" s="62" t="s">
        <v>384</v>
      </c>
      <c r="E3829" s="62" t="s">
        <v>67</v>
      </c>
      <c r="F3829" s="62" t="s">
        <v>382</v>
      </c>
      <c r="G3829" s="63" t="s">
        <v>417</v>
      </c>
      <c r="H3829" s="64" t="n">
        <v>1527273954.60889</v>
      </c>
      <c r="I3829" s="62" t="s">
        <v>81</v>
      </c>
      <c r="J3829" s="64" t="n">
        <v>1527273.95460889</v>
      </c>
      <c r="K3829" s="62" t="s">
        <v>138</v>
      </c>
      <c r="L3829" s="68" t="b">
        <f aca="false">TRUE()</f>
        <v>1</v>
      </c>
    </row>
    <row r="3830" customFormat="false" ht="15" hidden="false" customHeight="false" outlineLevel="0" collapsed="false">
      <c r="A3830" s="62" t="n">
        <v>1</v>
      </c>
      <c r="B3830" s="21" t="s">
        <v>336</v>
      </c>
      <c r="C3830" s="62" t="s">
        <v>60</v>
      </c>
      <c r="D3830" s="62" t="s">
        <v>385</v>
      </c>
      <c r="E3830" s="62" t="s">
        <v>67</v>
      </c>
      <c r="F3830" s="62" t="s">
        <v>382</v>
      </c>
      <c r="G3830" s="63" t="s">
        <v>417</v>
      </c>
      <c r="H3830" s="64" t="n">
        <v>3213477947.06875</v>
      </c>
      <c r="I3830" s="62" t="s">
        <v>81</v>
      </c>
      <c r="J3830" s="64" t="n">
        <v>3213477.94706875</v>
      </c>
      <c r="K3830" s="62" t="s">
        <v>138</v>
      </c>
      <c r="L3830" s="68" t="b">
        <f aca="false">TRUE()</f>
        <v>1</v>
      </c>
    </row>
    <row r="3831" customFormat="false" ht="15" hidden="false" customHeight="false" outlineLevel="0" collapsed="false">
      <c r="A3831" s="62" t="n">
        <v>1</v>
      </c>
      <c r="B3831" s="21" t="s">
        <v>336</v>
      </c>
      <c r="C3831" s="62" t="s">
        <v>60</v>
      </c>
      <c r="D3831" s="62" t="s">
        <v>386</v>
      </c>
      <c r="E3831" s="62" t="s">
        <v>67</v>
      </c>
      <c r="F3831" s="62" t="s">
        <v>382</v>
      </c>
      <c r="G3831" s="63" t="s">
        <v>417</v>
      </c>
      <c r="H3831" s="64" t="n">
        <v>2570449965.25821</v>
      </c>
      <c r="I3831" s="62" t="s">
        <v>81</v>
      </c>
      <c r="J3831" s="64" t="n">
        <v>2570449.96525821</v>
      </c>
      <c r="K3831" s="62" t="s">
        <v>138</v>
      </c>
      <c r="L3831" s="68" t="b">
        <f aca="false">TRUE()</f>
        <v>1</v>
      </c>
    </row>
    <row r="3832" customFormat="false" ht="15" hidden="false" customHeight="false" outlineLevel="0" collapsed="false">
      <c r="A3832" s="62" t="n">
        <v>1</v>
      </c>
      <c r="B3832" s="21" t="s">
        <v>336</v>
      </c>
      <c r="C3832" s="62" t="s">
        <v>60</v>
      </c>
      <c r="D3832" s="62" t="s">
        <v>387</v>
      </c>
      <c r="E3832" s="62" t="s">
        <v>67</v>
      </c>
      <c r="F3832" s="62" t="s">
        <v>382</v>
      </c>
      <c r="G3832" s="63" t="s">
        <v>417</v>
      </c>
      <c r="H3832" s="64" t="n">
        <v>4994235244.84604</v>
      </c>
      <c r="I3832" s="62" t="s">
        <v>81</v>
      </c>
      <c r="J3832" s="64" t="n">
        <v>4994235.24484604</v>
      </c>
      <c r="K3832" s="62" t="s">
        <v>138</v>
      </c>
      <c r="L3832" s="68" t="b">
        <f aca="false">TRUE()</f>
        <v>1</v>
      </c>
    </row>
    <row r="3833" customFormat="false" ht="15" hidden="false" customHeight="false" outlineLevel="0" collapsed="false">
      <c r="A3833" s="62" t="n">
        <v>1</v>
      </c>
      <c r="B3833" s="21" t="s">
        <v>336</v>
      </c>
      <c r="C3833" s="62" t="s">
        <v>60</v>
      </c>
      <c r="D3833" s="62" t="s">
        <v>388</v>
      </c>
      <c r="E3833" s="62" t="s">
        <v>67</v>
      </c>
      <c r="F3833" s="62" t="s">
        <v>382</v>
      </c>
      <c r="G3833" s="63" t="s">
        <v>417</v>
      </c>
      <c r="H3833" s="64" t="n">
        <v>191288213.988856</v>
      </c>
      <c r="I3833" s="62" t="s">
        <v>81</v>
      </c>
      <c r="J3833" s="64" t="n">
        <v>191288.213988856</v>
      </c>
      <c r="K3833" s="62" t="s">
        <v>138</v>
      </c>
      <c r="L3833" s="68" t="b">
        <f aca="false">TRUE()</f>
        <v>1</v>
      </c>
    </row>
    <row r="3834" customFormat="false" ht="15" hidden="false" customHeight="false" outlineLevel="0" collapsed="false">
      <c r="A3834" s="62" t="n">
        <v>1</v>
      </c>
      <c r="B3834" s="21" t="s">
        <v>336</v>
      </c>
      <c r="C3834" s="62" t="s">
        <v>60</v>
      </c>
      <c r="D3834" s="62" t="s">
        <v>381</v>
      </c>
      <c r="E3834" s="62" t="s">
        <v>67</v>
      </c>
      <c r="F3834" s="62" t="s">
        <v>382</v>
      </c>
      <c r="G3834" s="63" t="s">
        <v>398</v>
      </c>
      <c r="H3834" s="64" t="n">
        <v>1254022269.33646</v>
      </c>
      <c r="I3834" s="62" t="s">
        <v>81</v>
      </c>
      <c r="J3834" s="64" t="n">
        <v>1254022.26933646</v>
      </c>
      <c r="K3834" s="62" t="s">
        <v>138</v>
      </c>
      <c r="L3834" s="68" t="b">
        <f aca="false">TRUE()</f>
        <v>1</v>
      </c>
    </row>
    <row r="3835" customFormat="false" ht="15" hidden="false" customHeight="false" outlineLevel="0" collapsed="false">
      <c r="A3835" s="62" t="n">
        <v>1</v>
      </c>
      <c r="B3835" s="21" t="s">
        <v>336</v>
      </c>
      <c r="C3835" s="62" t="s">
        <v>60</v>
      </c>
      <c r="D3835" s="62" t="s">
        <v>383</v>
      </c>
      <c r="E3835" s="62" t="s">
        <v>67</v>
      </c>
      <c r="F3835" s="62" t="s">
        <v>382</v>
      </c>
      <c r="G3835" s="63" t="s">
        <v>398</v>
      </c>
      <c r="H3835" s="64" t="n">
        <v>1840779463.33809</v>
      </c>
      <c r="I3835" s="62" t="s">
        <v>81</v>
      </c>
      <c r="J3835" s="64" t="n">
        <v>1840779.46333809</v>
      </c>
      <c r="K3835" s="62" t="s">
        <v>138</v>
      </c>
      <c r="L3835" s="68" t="b">
        <f aca="false">TRUE()</f>
        <v>1</v>
      </c>
    </row>
    <row r="3836" customFormat="false" ht="15" hidden="false" customHeight="false" outlineLevel="0" collapsed="false">
      <c r="A3836" s="62" t="n">
        <v>1</v>
      </c>
      <c r="B3836" s="21" t="s">
        <v>336</v>
      </c>
      <c r="C3836" s="62" t="s">
        <v>60</v>
      </c>
      <c r="D3836" s="62" t="s">
        <v>384</v>
      </c>
      <c r="E3836" s="62" t="s">
        <v>67</v>
      </c>
      <c r="F3836" s="62" t="s">
        <v>382</v>
      </c>
      <c r="G3836" s="63" t="s">
        <v>398</v>
      </c>
      <c r="H3836" s="64" t="n">
        <v>1425546329.28091</v>
      </c>
      <c r="I3836" s="62" t="s">
        <v>81</v>
      </c>
      <c r="J3836" s="64" t="n">
        <v>1425546.32928091</v>
      </c>
      <c r="K3836" s="62" t="s">
        <v>138</v>
      </c>
      <c r="L3836" s="68" t="b">
        <f aca="false">TRUE()</f>
        <v>1</v>
      </c>
    </row>
    <row r="3837" customFormat="false" ht="15" hidden="false" customHeight="false" outlineLevel="0" collapsed="false">
      <c r="A3837" s="62" t="n">
        <v>1</v>
      </c>
      <c r="B3837" s="21" t="s">
        <v>336</v>
      </c>
      <c r="C3837" s="62" t="s">
        <v>60</v>
      </c>
      <c r="D3837" s="62" t="s">
        <v>385</v>
      </c>
      <c r="E3837" s="62" t="s">
        <v>67</v>
      </c>
      <c r="F3837" s="62" t="s">
        <v>382</v>
      </c>
      <c r="G3837" s="63" t="s">
        <v>398</v>
      </c>
      <c r="H3837" s="64" t="n">
        <v>2117468481.542</v>
      </c>
      <c r="I3837" s="62" t="s">
        <v>81</v>
      </c>
      <c r="J3837" s="64" t="n">
        <v>2117468.481542</v>
      </c>
      <c r="K3837" s="62" t="s">
        <v>138</v>
      </c>
      <c r="L3837" s="68" t="b">
        <f aca="false">TRUE()</f>
        <v>1</v>
      </c>
    </row>
    <row r="3838" customFormat="false" ht="15" hidden="false" customHeight="false" outlineLevel="0" collapsed="false">
      <c r="A3838" s="62" t="n">
        <v>1</v>
      </c>
      <c r="B3838" s="21" t="s">
        <v>336</v>
      </c>
      <c r="C3838" s="62" t="s">
        <v>60</v>
      </c>
      <c r="D3838" s="62" t="s">
        <v>386</v>
      </c>
      <c r="E3838" s="62" t="s">
        <v>67</v>
      </c>
      <c r="F3838" s="62" t="s">
        <v>382</v>
      </c>
      <c r="G3838" s="63" t="s">
        <v>398</v>
      </c>
      <c r="H3838" s="64" t="n">
        <v>1784180.76160077</v>
      </c>
      <c r="I3838" s="62" t="s">
        <v>81</v>
      </c>
      <c r="J3838" s="64" t="n">
        <v>1784.18076160077</v>
      </c>
      <c r="K3838" s="62" t="s">
        <v>138</v>
      </c>
      <c r="L3838" s="68" t="b">
        <f aca="false">TRUE()</f>
        <v>1</v>
      </c>
    </row>
    <row r="3839" customFormat="false" ht="15" hidden="false" customHeight="false" outlineLevel="0" collapsed="false">
      <c r="A3839" s="62" t="n">
        <v>1</v>
      </c>
      <c r="B3839" s="21" t="s">
        <v>336</v>
      </c>
      <c r="C3839" s="62" t="s">
        <v>60</v>
      </c>
      <c r="D3839" s="62" t="s">
        <v>387</v>
      </c>
      <c r="E3839" s="62" t="s">
        <v>67</v>
      </c>
      <c r="F3839" s="62" t="s">
        <v>382</v>
      </c>
      <c r="G3839" s="63" t="s">
        <v>398</v>
      </c>
      <c r="H3839" s="64" t="n">
        <v>1702434703.78852</v>
      </c>
      <c r="I3839" s="62" t="s">
        <v>81</v>
      </c>
      <c r="J3839" s="64" t="n">
        <v>1702434.70378852</v>
      </c>
      <c r="K3839" s="62" t="s">
        <v>138</v>
      </c>
      <c r="L3839" s="68" t="b">
        <f aca="false">TRUE()</f>
        <v>1</v>
      </c>
    </row>
    <row r="3840" customFormat="false" ht="15" hidden="false" customHeight="false" outlineLevel="0" collapsed="false">
      <c r="A3840" s="62" t="n">
        <v>1</v>
      </c>
      <c r="B3840" s="21" t="s">
        <v>336</v>
      </c>
      <c r="C3840" s="62" t="s">
        <v>60</v>
      </c>
      <c r="D3840" s="62" t="s">
        <v>388</v>
      </c>
      <c r="E3840" s="62" t="s">
        <v>67</v>
      </c>
      <c r="F3840" s="62" t="s">
        <v>382</v>
      </c>
      <c r="G3840" s="63" t="s">
        <v>398</v>
      </c>
      <c r="H3840" s="64" t="n">
        <v>1962557112.97582</v>
      </c>
      <c r="I3840" s="62" t="s">
        <v>81</v>
      </c>
      <c r="J3840" s="64" t="n">
        <v>1962557.11297582</v>
      </c>
      <c r="K3840" s="62" t="s">
        <v>138</v>
      </c>
      <c r="L3840" s="68" t="b">
        <f aca="false">TRUE()</f>
        <v>1</v>
      </c>
    </row>
    <row r="3841" customFormat="false" ht="15" hidden="false" customHeight="false" outlineLevel="0" collapsed="false">
      <c r="A3841" s="62" t="n">
        <v>1</v>
      </c>
      <c r="B3841" s="21" t="s">
        <v>336</v>
      </c>
      <c r="C3841" s="62" t="s">
        <v>60</v>
      </c>
      <c r="D3841" s="62" t="s">
        <v>381</v>
      </c>
      <c r="E3841" s="62" t="s">
        <v>67</v>
      </c>
      <c r="F3841" s="62" t="s">
        <v>382</v>
      </c>
      <c r="G3841" s="63" t="s">
        <v>418</v>
      </c>
      <c r="H3841" s="64" t="n">
        <v>5675431990.18323</v>
      </c>
      <c r="I3841" s="62" t="s">
        <v>81</v>
      </c>
      <c r="J3841" s="64" t="n">
        <v>5675431.99018323</v>
      </c>
      <c r="K3841" s="62" t="s">
        <v>138</v>
      </c>
      <c r="L3841" s="68" t="b">
        <f aca="false">TRUE()</f>
        <v>1</v>
      </c>
    </row>
    <row r="3842" customFormat="false" ht="15" hidden="false" customHeight="false" outlineLevel="0" collapsed="false">
      <c r="A3842" s="62" t="n">
        <v>1</v>
      </c>
      <c r="B3842" s="21" t="s">
        <v>336</v>
      </c>
      <c r="C3842" s="62" t="s">
        <v>60</v>
      </c>
      <c r="D3842" s="62" t="s">
        <v>383</v>
      </c>
      <c r="E3842" s="62" t="s">
        <v>67</v>
      </c>
      <c r="F3842" s="62" t="s">
        <v>382</v>
      </c>
      <c r="G3842" s="63" t="s">
        <v>418</v>
      </c>
      <c r="H3842" s="64" t="n">
        <v>7040674416.33023</v>
      </c>
      <c r="I3842" s="62" t="s">
        <v>81</v>
      </c>
      <c r="J3842" s="64" t="n">
        <v>7040674.41633023</v>
      </c>
      <c r="K3842" s="62" t="s">
        <v>138</v>
      </c>
      <c r="L3842" s="68" t="b">
        <f aca="false">TRUE()</f>
        <v>1</v>
      </c>
    </row>
    <row r="3843" customFormat="false" ht="15" hidden="false" customHeight="false" outlineLevel="0" collapsed="false">
      <c r="A3843" s="62" t="n">
        <v>1</v>
      </c>
      <c r="B3843" s="21" t="s">
        <v>336</v>
      </c>
      <c r="C3843" s="62" t="s">
        <v>60</v>
      </c>
      <c r="D3843" s="62" t="s">
        <v>384</v>
      </c>
      <c r="E3843" s="62" t="s">
        <v>67</v>
      </c>
      <c r="F3843" s="62" t="s">
        <v>382</v>
      </c>
      <c r="G3843" s="63" t="s">
        <v>418</v>
      </c>
      <c r="H3843" s="64" t="n">
        <v>6202820283.8898</v>
      </c>
      <c r="I3843" s="62" t="s">
        <v>81</v>
      </c>
      <c r="J3843" s="64" t="n">
        <v>6202820.2838898</v>
      </c>
      <c r="K3843" s="62" t="s">
        <v>138</v>
      </c>
      <c r="L3843" s="68" t="b">
        <f aca="false">TRUE()</f>
        <v>1</v>
      </c>
    </row>
    <row r="3844" customFormat="false" ht="15" hidden="false" customHeight="false" outlineLevel="0" collapsed="false">
      <c r="A3844" s="62" t="n">
        <v>1</v>
      </c>
      <c r="B3844" s="21" t="s">
        <v>336</v>
      </c>
      <c r="C3844" s="62" t="s">
        <v>60</v>
      </c>
      <c r="D3844" s="62" t="s">
        <v>385</v>
      </c>
      <c r="E3844" s="62" t="s">
        <v>67</v>
      </c>
      <c r="F3844" s="62" t="s">
        <v>382</v>
      </c>
      <c r="G3844" s="63" t="s">
        <v>418</v>
      </c>
      <c r="H3844" s="64" t="n">
        <v>8580946428.61076</v>
      </c>
      <c r="I3844" s="62" t="s">
        <v>81</v>
      </c>
      <c r="J3844" s="64" t="n">
        <v>8580946.42861076</v>
      </c>
      <c r="K3844" s="62" t="s">
        <v>138</v>
      </c>
      <c r="L3844" s="68" t="b">
        <f aca="false">TRUE()</f>
        <v>1</v>
      </c>
    </row>
    <row r="3845" customFormat="false" ht="15" hidden="false" customHeight="false" outlineLevel="0" collapsed="false">
      <c r="A3845" s="62" t="n">
        <v>1</v>
      </c>
      <c r="B3845" s="21" t="s">
        <v>336</v>
      </c>
      <c r="C3845" s="62" t="s">
        <v>60</v>
      </c>
      <c r="D3845" s="62" t="s">
        <v>386</v>
      </c>
      <c r="E3845" s="62" t="s">
        <v>67</v>
      </c>
      <c r="F3845" s="62" t="s">
        <v>382</v>
      </c>
      <c r="G3845" s="63" t="s">
        <v>418</v>
      </c>
      <c r="H3845" s="64" t="n">
        <v>5822234146.01981</v>
      </c>
      <c r="I3845" s="62" t="s">
        <v>81</v>
      </c>
      <c r="J3845" s="64" t="n">
        <v>5822234.14601981</v>
      </c>
      <c r="K3845" s="62" t="s">
        <v>138</v>
      </c>
      <c r="L3845" s="68" t="b">
        <f aca="false">TRUE()</f>
        <v>1</v>
      </c>
    </row>
    <row r="3846" customFormat="false" ht="15" hidden="false" customHeight="false" outlineLevel="0" collapsed="false">
      <c r="A3846" s="62" t="n">
        <v>1</v>
      </c>
      <c r="B3846" s="21" t="s">
        <v>336</v>
      </c>
      <c r="C3846" s="62" t="s">
        <v>60</v>
      </c>
      <c r="D3846" s="62" t="s">
        <v>387</v>
      </c>
      <c r="E3846" s="62" t="s">
        <v>67</v>
      </c>
      <c r="F3846" s="62" t="s">
        <v>382</v>
      </c>
      <c r="G3846" s="63" t="s">
        <v>418</v>
      </c>
      <c r="H3846" s="64" t="n">
        <v>9946669948.63456</v>
      </c>
      <c r="I3846" s="62" t="s">
        <v>81</v>
      </c>
      <c r="J3846" s="64" t="n">
        <v>9946669.94863456</v>
      </c>
      <c r="K3846" s="62" t="s">
        <v>138</v>
      </c>
      <c r="L3846" s="68" t="b">
        <f aca="false">TRUE()</f>
        <v>1</v>
      </c>
    </row>
    <row r="3847" customFormat="false" ht="15" hidden="false" customHeight="false" outlineLevel="0" collapsed="false">
      <c r="A3847" s="62" t="n">
        <v>1</v>
      </c>
      <c r="B3847" s="21" t="s">
        <v>336</v>
      </c>
      <c r="C3847" s="62" t="s">
        <v>60</v>
      </c>
      <c r="D3847" s="62" t="s">
        <v>388</v>
      </c>
      <c r="E3847" s="62" t="s">
        <v>67</v>
      </c>
      <c r="F3847" s="62" t="s">
        <v>382</v>
      </c>
      <c r="G3847" s="63" t="s">
        <v>418</v>
      </c>
      <c r="H3847" s="64" t="n">
        <v>5403845326.96468</v>
      </c>
      <c r="I3847" s="62" t="s">
        <v>81</v>
      </c>
      <c r="J3847" s="64" t="n">
        <v>5403845.32696468</v>
      </c>
      <c r="K3847" s="62" t="s">
        <v>138</v>
      </c>
      <c r="L3847" s="68" t="b">
        <f aca="false">TRUE()</f>
        <v>1</v>
      </c>
    </row>
    <row r="3848" customFormat="false" ht="15" hidden="false" customHeight="false" outlineLevel="0" collapsed="false">
      <c r="A3848" s="62" t="n">
        <v>1</v>
      </c>
      <c r="B3848" s="21" t="s">
        <v>336</v>
      </c>
      <c r="C3848" s="62" t="s">
        <v>60</v>
      </c>
      <c r="D3848" s="62" t="s">
        <v>381</v>
      </c>
      <c r="E3848" s="62" t="s">
        <v>67</v>
      </c>
      <c r="F3848" s="62" t="s">
        <v>382</v>
      </c>
      <c r="G3848" s="63" t="s">
        <v>419</v>
      </c>
      <c r="H3848" s="64" t="n">
        <v>11900000000</v>
      </c>
      <c r="I3848" s="62" t="s">
        <v>81</v>
      </c>
      <c r="J3848" s="64" t="n">
        <v>11900000</v>
      </c>
      <c r="K3848" s="62" t="s">
        <v>138</v>
      </c>
      <c r="L3848" s="68" t="b">
        <f aca="false">TRUE()</f>
        <v>1</v>
      </c>
    </row>
    <row r="3849" customFormat="false" ht="15" hidden="false" customHeight="false" outlineLevel="0" collapsed="false">
      <c r="A3849" s="62" t="n">
        <v>1</v>
      </c>
      <c r="B3849" s="21" t="s">
        <v>336</v>
      </c>
      <c r="C3849" s="62" t="s">
        <v>60</v>
      </c>
      <c r="D3849" s="62" t="s">
        <v>383</v>
      </c>
      <c r="E3849" s="62" t="s">
        <v>67</v>
      </c>
      <c r="F3849" s="62" t="s">
        <v>382</v>
      </c>
      <c r="G3849" s="63" t="s">
        <v>419</v>
      </c>
      <c r="H3849" s="64" t="n">
        <v>11900000000</v>
      </c>
      <c r="I3849" s="62" t="s">
        <v>81</v>
      </c>
      <c r="J3849" s="64" t="n">
        <v>11900000</v>
      </c>
      <c r="K3849" s="62" t="s">
        <v>138</v>
      </c>
      <c r="L3849" s="68" t="b">
        <f aca="false">TRUE()</f>
        <v>1</v>
      </c>
    </row>
    <row r="3850" customFormat="false" ht="15" hidden="false" customHeight="false" outlineLevel="0" collapsed="false">
      <c r="A3850" s="62" t="n">
        <v>1</v>
      </c>
      <c r="B3850" s="21" t="s">
        <v>336</v>
      </c>
      <c r="C3850" s="62" t="s">
        <v>60</v>
      </c>
      <c r="D3850" s="62" t="s">
        <v>384</v>
      </c>
      <c r="E3850" s="62" t="s">
        <v>67</v>
      </c>
      <c r="F3850" s="62" t="s">
        <v>382</v>
      </c>
      <c r="G3850" s="63" t="s">
        <v>419</v>
      </c>
      <c r="H3850" s="64" t="n">
        <v>9413652000</v>
      </c>
      <c r="I3850" s="62" t="s">
        <v>81</v>
      </c>
      <c r="J3850" s="64" t="n">
        <v>9413652</v>
      </c>
      <c r="K3850" s="62" t="s">
        <v>138</v>
      </c>
      <c r="L3850" s="68" t="b">
        <f aca="false">TRUE()</f>
        <v>1</v>
      </c>
    </row>
    <row r="3851" customFormat="false" ht="15" hidden="false" customHeight="false" outlineLevel="0" collapsed="false">
      <c r="A3851" s="62" t="n">
        <v>1</v>
      </c>
      <c r="B3851" s="21" t="s">
        <v>336</v>
      </c>
      <c r="C3851" s="62" t="s">
        <v>60</v>
      </c>
      <c r="D3851" s="62" t="s">
        <v>385</v>
      </c>
      <c r="E3851" s="62" t="s">
        <v>67</v>
      </c>
      <c r="F3851" s="62" t="s">
        <v>382</v>
      </c>
      <c r="G3851" s="63" t="s">
        <v>419</v>
      </c>
      <c r="H3851" s="64" t="n">
        <v>9900000000</v>
      </c>
      <c r="I3851" s="62" t="s">
        <v>81</v>
      </c>
      <c r="J3851" s="64" t="n">
        <v>9900000</v>
      </c>
      <c r="K3851" s="62" t="s">
        <v>138</v>
      </c>
      <c r="L3851" s="68" t="b">
        <f aca="false">TRUE()</f>
        <v>1</v>
      </c>
    </row>
    <row r="3852" customFormat="false" ht="15" hidden="false" customHeight="false" outlineLevel="0" collapsed="false">
      <c r="A3852" s="62" t="n">
        <v>1</v>
      </c>
      <c r="B3852" s="21" t="s">
        <v>336</v>
      </c>
      <c r="C3852" s="62" t="s">
        <v>60</v>
      </c>
      <c r="D3852" s="62" t="s">
        <v>386</v>
      </c>
      <c r="E3852" s="62" t="s">
        <v>67</v>
      </c>
      <c r="F3852" s="62" t="s">
        <v>382</v>
      </c>
      <c r="G3852" s="63" t="s">
        <v>419</v>
      </c>
      <c r="H3852" s="64" t="n">
        <v>10400000000</v>
      </c>
      <c r="I3852" s="62" t="s">
        <v>81</v>
      </c>
      <c r="J3852" s="64" t="n">
        <v>10400000</v>
      </c>
      <c r="K3852" s="62" t="s">
        <v>138</v>
      </c>
      <c r="L3852" s="68" t="b">
        <f aca="false">TRUE()</f>
        <v>1</v>
      </c>
    </row>
    <row r="3853" customFormat="false" ht="15" hidden="false" customHeight="false" outlineLevel="0" collapsed="false">
      <c r="A3853" s="62" t="n">
        <v>1</v>
      </c>
      <c r="B3853" s="21" t="s">
        <v>336</v>
      </c>
      <c r="C3853" s="62" t="s">
        <v>60</v>
      </c>
      <c r="D3853" s="62" t="s">
        <v>387</v>
      </c>
      <c r="E3853" s="62" t="s">
        <v>67</v>
      </c>
      <c r="F3853" s="62" t="s">
        <v>382</v>
      </c>
      <c r="G3853" s="63" t="s">
        <v>419</v>
      </c>
      <c r="H3853" s="64" t="n">
        <v>11900000000</v>
      </c>
      <c r="I3853" s="62" t="s">
        <v>81</v>
      </c>
      <c r="J3853" s="64" t="n">
        <v>11900000</v>
      </c>
      <c r="K3853" s="62" t="s">
        <v>138</v>
      </c>
      <c r="L3853" s="68" t="b">
        <f aca="false">TRUE()</f>
        <v>1</v>
      </c>
    </row>
    <row r="3854" customFormat="false" ht="15" hidden="false" customHeight="false" outlineLevel="0" collapsed="false">
      <c r="A3854" s="62" t="n">
        <v>1</v>
      </c>
      <c r="B3854" s="21" t="s">
        <v>336</v>
      </c>
      <c r="C3854" s="62" t="s">
        <v>60</v>
      </c>
      <c r="D3854" s="62" t="s">
        <v>388</v>
      </c>
      <c r="E3854" s="62" t="s">
        <v>67</v>
      </c>
      <c r="F3854" s="62" t="s">
        <v>382</v>
      </c>
      <c r="G3854" s="63" t="s">
        <v>419</v>
      </c>
      <c r="H3854" s="64" t="n">
        <v>9900000000</v>
      </c>
      <c r="I3854" s="62" t="s">
        <v>81</v>
      </c>
      <c r="J3854" s="64" t="n">
        <v>9900000</v>
      </c>
      <c r="K3854" s="62" t="s">
        <v>138</v>
      </c>
      <c r="L3854" s="68" t="b">
        <f aca="false">TRUE()</f>
        <v>1</v>
      </c>
    </row>
    <row r="3855" customFormat="false" ht="15" hidden="false" customHeight="false" outlineLevel="0" collapsed="false">
      <c r="A3855" s="62" t="n">
        <v>1</v>
      </c>
      <c r="B3855" s="21" t="s">
        <v>336</v>
      </c>
      <c r="C3855" s="62" t="s">
        <v>60</v>
      </c>
      <c r="D3855" s="62" t="s">
        <v>381</v>
      </c>
      <c r="E3855" s="62" t="s">
        <v>67</v>
      </c>
      <c r="F3855" s="62" t="s">
        <v>382</v>
      </c>
      <c r="G3855" s="63" t="s">
        <v>420</v>
      </c>
      <c r="H3855" s="64" t="n">
        <v>0</v>
      </c>
      <c r="I3855" s="62" t="s">
        <v>81</v>
      </c>
      <c r="J3855" s="64" t="n">
        <v>0</v>
      </c>
      <c r="K3855" s="62" t="s">
        <v>138</v>
      </c>
      <c r="L3855" s="68" t="b">
        <f aca="false">TRUE()</f>
        <v>1</v>
      </c>
    </row>
    <row r="3856" customFormat="false" ht="15" hidden="false" customHeight="false" outlineLevel="0" collapsed="false">
      <c r="A3856" s="62" t="n">
        <v>1</v>
      </c>
      <c r="B3856" s="21" t="s">
        <v>336</v>
      </c>
      <c r="C3856" s="62" t="s">
        <v>60</v>
      </c>
      <c r="D3856" s="62" t="s">
        <v>383</v>
      </c>
      <c r="E3856" s="62" t="s">
        <v>67</v>
      </c>
      <c r="F3856" s="62" t="s">
        <v>382</v>
      </c>
      <c r="G3856" s="63" t="s">
        <v>420</v>
      </c>
      <c r="H3856" s="64" t="n">
        <v>0</v>
      </c>
      <c r="I3856" s="62" t="s">
        <v>81</v>
      </c>
      <c r="J3856" s="64" t="n">
        <v>0</v>
      </c>
      <c r="K3856" s="62" t="s">
        <v>138</v>
      </c>
      <c r="L3856" s="68" t="b">
        <f aca="false">TRUE()</f>
        <v>1</v>
      </c>
    </row>
    <row r="3857" customFormat="false" ht="15" hidden="false" customHeight="false" outlineLevel="0" collapsed="false">
      <c r="A3857" s="62" t="n">
        <v>1</v>
      </c>
      <c r="B3857" s="21" t="s">
        <v>336</v>
      </c>
      <c r="C3857" s="62" t="s">
        <v>60</v>
      </c>
      <c r="D3857" s="62" t="s">
        <v>384</v>
      </c>
      <c r="E3857" s="62" t="s">
        <v>67</v>
      </c>
      <c r="F3857" s="62" t="s">
        <v>382</v>
      </c>
      <c r="G3857" s="63" t="s">
        <v>420</v>
      </c>
      <c r="H3857" s="64" t="n">
        <v>0</v>
      </c>
      <c r="I3857" s="62" t="s">
        <v>81</v>
      </c>
      <c r="J3857" s="64" t="n">
        <v>0</v>
      </c>
      <c r="K3857" s="62" t="s">
        <v>138</v>
      </c>
      <c r="L3857" s="68" t="b">
        <f aca="false">TRUE()</f>
        <v>1</v>
      </c>
    </row>
    <row r="3858" customFormat="false" ht="15" hidden="false" customHeight="false" outlineLevel="0" collapsed="false">
      <c r="A3858" s="62" t="n">
        <v>1</v>
      </c>
      <c r="B3858" s="21" t="s">
        <v>336</v>
      </c>
      <c r="C3858" s="62" t="s">
        <v>60</v>
      </c>
      <c r="D3858" s="62" t="s">
        <v>385</v>
      </c>
      <c r="E3858" s="62" t="s">
        <v>67</v>
      </c>
      <c r="F3858" s="62" t="s">
        <v>382</v>
      </c>
      <c r="G3858" s="63" t="s">
        <v>420</v>
      </c>
      <c r="H3858" s="64" t="n">
        <v>0</v>
      </c>
      <c r="I3858" s="62" t="s">
        <v>81</v>
      </c>
      <c r="J3858" s="64" t="n">
        <v>0</v>
      </c>
      <c r="K3858" s="62" t="s">
        <v>138</v>
      </c>
      <c r="L3858" s="68" t="b">
        <f aca="false">TRUE()</f>
        <v>1</v>
      </c>
    </row>
    <row r="3859" customFormat="false" ht="15" hidden="false" customHeight="false" outlineLevel="0" collapsed="false">
      <c r="A3859" s="62" t="n">
        <v>1</v>
      </c>
      <c r="B3859" s="21" t="s">
        <v>336</v>
      </c>
      <c r="C3859" s="62" t="s">
        <v>60</v>
      </c>
      <c r="D3859" s="62" t="s">
        <v>386</v>
      </c>
      <c r="E3859" s="62" t="s">
        <v>67</v>
      </c>
      <c r="F3859" s="62" t="s">
        <v>382</v>
      </c>
      <c r="G3859" s="63" t="s">
        <v>420</v>
      </c>
      <c r="H3859" s="64" t="n">
        <v>0</v>
      </c>
      <c r="I3859" s="62" t="s">
        <v>81</v>
      </c>
      <c r="J3859" s="64" t="n">
        <v>0</v>
      </c>
      <c r="K3859" s="62" t="s">
        <v>138</v>
      </c>
      <c r="L3859" s="68" t="b">
        <f aca="false">TRUE()</f>
        <v>1</v>
      </c>
    </row>
    <row r="3860" customFormat="false" ht="15" hidden="false" customHeight="false" outlineLevel="0" collapsed="false">
      <c r="A3860" s="62" t="n">
        <v>1</v>
      </c>
      <c r="B3860" s="21" t="s">
        <v>336</v>
      </c>
      <c r="C3860" s="62" t="s">
        <v>60</v>
      </c>
      <c r="D3860" s="62" t="s">
        <v>387</v>
      </c>
      <c r="E3860" s="62" t="s">
        <v>67</v>
      </c>
      <c r="F3860" s="62" t="s">
        <v>382</v>
      </c>
      <c r="G3860" s="63" t="s">
        <v>420</v>
      </c>
      <c r="H3860" s="64" t="n">
        <v>0</v>
      </c>
      <c r="I3860" s="62" t="s">
        <v>81</v>
      </c>
      <c r="J3860" s="64" t="n">
        <v>0</v>
      </c>
      <c r="K3860" s="62" t="s">
        <v>138</v>
      </c>
      <c r="L3860" s="68" t="b">
        <f aca="false">TRUE()</f>
        <v>1</v>
      </c>
    </row>
    <row r="3861" customFormat="false" ht="15" hidden="false" customHeight="false" outlineLevel="0" collapsed="false">
      <c r="A3861" s="62" t="n">
        <v>1</v>
      </c>
      <c r="B3861" s="21" t="s">
        <v>336</v>
      </c>
      <c r="C3861" s="62" t="s">
        <v>60</v>
      </c>
      <c r="D3861" s="62" t="s">
        <v>388</v>
      </c>
      <c r="E3861" s="62" t="s">
        <v>67</v>
      </c>
      <c r="F3861" s="62" t="s">
        <v>382</v>
      </c>
      <c r="G3861" s="63" t="s">
        <v>420</v>
      </c>
      <c r="H3861" s="64" t="n">
        <v>0</v>
      </c>
      <c r="I3861" s="62" t="s">
        <v>81</v>
      </c>
      <c r="J3861" s="64" t="n">
        <v>0</v>
      </c>
      <c r="K3861" s="62" t="s">
        <v>138</v>
      </c>
      <c r="L3861" s="68" t="b">
        <f aca="false">TRUE()</f>
        <v>1</v>
      </c>
    </row>
    <row r="3862" customFormat="false" ht="15" hidden="false" customHeight="false" outlineLevel="0" collapsed="false">
      <c r="A3862" s="62" t="n">
        <v>1</v>
      </c>
      <c r="B3862" s="21" t="s">
        <v>336</v>
      </c>
      <c r="C3862" s="62" t="s">
        <v>60</v>
      </c>
      <c r="D3862" s="62" t="s">
        <v>381</v>
      </c>
      <c r="E3862" s="62" t="s">
        <v>67</v>
      </c>
      <c r="F3862" s="62" t="s">
        <v>382</v>
      </c>
      <c r="G3862" s="63" t="s">
        <v>421</v>
      </c>
      <c r="H3862" s="64" t="n">
        <v>-2300000000</v>
      </c>
      <c r="I3862" s="62" t="s">
        <v>81</v>
      </c>
      <c r="J3862" s="64" t="n">
        <v>-2300000</v>
      </c>
      <c r="K3862" s="62" t="s">
        <v>138</v>
      </c>
      <c r="L3862" s="68" t="b">
        <f aca="false">TRUE()</f>
        <v>1</v>
      </c>
    </row>
    <row r="3863" customFormat="false" ht="15" hidden="false" customHeight="false" outlineLevel="0" collapsed="false">
      <c r="A3863" s="62" t="n">
        <v>1</v>
      </c>
      <c r="B3863" s="21" t="s">
        <v>336</v>
      </c>
      <c r="C3863" s="62" t="s">
        <v>60</v>
      </c>
      <c r="D3863" s="62" t="s">
        <v>383</v>
      </c>
      <c r="E3863" s="62" t="s">
        <v>67</v>
      </c>
      <c r="F3863" s="62" t="s">
        <v>382</v>
      </c>
      <c r="G3863" s="63" t="s">
        <v>421</v>
      </c>
      <c r="H3863" s="64" t="n">
        <v>-4200000000</v>
      </c>
      <c r="I3863" s="62" t="s">
        <v>81</v>
      </c>
      <c r="J3863" s="64" t="n">
        <v>-4200000</v>
      </c>
      <c r="K3863" s="62" t="s">
        <v>138</v>
      </c>
      <c r="L3863" s="68" t="b">
        <f aca="false">TRUE()</f>
        <v>1</v>
      </c>
    </row>
    <row r="3864" customFormat="false" ht="15" hidden="false" customHeight="false" outlineLevel="0" collapsed="false">
      <c r="A3864" s="62" t="n">
        <v>1</v>
      </c>
      <c r="B3864" s="21" t="s">
        <v>336</v>
      </c>
      <c r="C3864" s="62" t="s">
        <v>60</v>
      </c>
      <c r="D3864" s="62" t="s">
        <v>384</v>
      </c>
      <c r="E3864" s="62" t="s">
        <v>67</v>
      </c>
      <c r="F3864" s="62" t="s">
        <v>382</v>
      </c>
      <c r="G3864" s="63" t="s">
        <v>421</v>
      </c>
      <c r="H3864" s="64" t="n">
        <v>-3200000000</v>
      </c>
      <c r="I3864" s="62" t="s">
        <v>81</v>
      </c>
      <c r="J3864" s="64" t="n">
        <v>-3200000</v>
      </c>
      <c r="K3864" s="62" t="s">
        <v>138</v>
      </c>
      <c r="L3864" s="68" t="b">
        <f aca="false">TRUE()</f>
        <v>1</v>
      </c>
    </row>
    <row r="3865" customFormat="false" ht="15" hidden="false" customHeight="false" outlineLevel="0" collapsed="false">
      <c r="A3865" s="62" t="n">
        <v>1</v>
      </c>
      <c r="B3865" s="21" t="s">
        <v>336</v>
      </c>
      <c r="C3865" s="62" t="s">
        <v>60</v>
      </c>
      <c r="D3865" s="62" t="s">
        <v>385</v>
      </c>
      <c r="E3865" s="62" t="s">
        <v>67</v>
      </c>
      <c r="F3865" s="62" t="s">
        <v>382</v>
      </c>
      <c r="G3865" s="63" t="s">
        <v>421</v>
      </c>
      <c r="H3865" s="64" t="n">
        <v>-300000000</v>
      </c>
      <c r="I3865" s="62" t="s">
        <v>81</v>
      </c>
      <c r="J3865" s="64" t="n">
        <v>-300000</v>
      </c>
      <c r="K3865" s="62" t="s">
        <v>138</v>
      </c>
      <c r="L3865" s="68" t="b">
        <f aca="false">TRUE()</f>
        <v>1</v>
      </c>
    </row>
    <row r="3866" customFormat="false" ht="15" hidden="false" customHeight="false" outlineLevel="0" collapsed="false">
      <c r="A3866" s="62" t="n">
        <v>1</v>
      </c>
      <c r="B3866" s="21" t="s">
        <v>336</v>
      </c>
      <c r="C3866" s="62" t="s">
        <v>60</v>
      </c>
      <c r="D3866" s="62" t="s">
        <v>386</v>
      </c>
      <c r="E3866" s="62" t="s">
        <v>67</v>
      </c>
      <c r="F3866" s="62" t="s">
        <v>382</v>
      </c>
      <c r="G3866" s="63" t="s">
        <v>421</v>
      </c>
      <c r="H3866" s="64" t="n">
        <v>700000000</v>
      </c>
      <c r="I3866" s="62" t="s">
        <v>81</v>
      </c>
      <c r="J3866" s="64" t="n">
        <v>700000</v>
      </c>
      <c r="K3866" s="62" t="s">
        <v>138</v>
      </c>
      <c r="L3866" s="68" t="b">
        <f aca="false">TRUE()</f>
        <v>1</v>
      </c>
    </row>
    <row r="3867" customFormat="false" ht="15" hidden="false" customHeight="false" outlineLevel="0" collapsed="false">
      <c r="A3867" s="62" t="n">
        <v>1</v>
      </c>
      <c r="B3867" s="21" t="s">
        <v>336</v>
      </c>
      <c r="C3867" s="62" t="s">
        <v>60</v>
      </c>
      <c r="D3867" s="62" t="s">
        <v>387</v>
      </c>
      <c r="E3867" s="62" t="s">
        <v>67</v>
      </c>
      <c r="F3867" s="62" t="s">
        <v>382</v>
      </c>
      <c r="G3867" s="63" t="s">
        <v>421</v>
      </c>
      <c r="H3867" s="64" t="n">
        <v>-12300000000</v>
      </c>
      <c r="I3867" s="62" t="s">
        <v>81</v>
      </c>
      <c r="J3867" s="64" t="n">
        <v>-12300000</v>
      </c>
      <c r="K3867" s="62" t="s">
        <v>138</v>
      </c>
      <c r="L3867" s="68" t="b">
        <f aca="false">TRUE()</f>
        <v>1</v>
      </c>
    </row>
    <row r="3868" customFormat="false" ht="15" hidden="false" customHeight="false" outlineLevel="0" collapsed="false">
      <c r="A3868" s="62" t="n">
        <v>1</v>
      </c>
      <c r="B3868" s="21" t="s">
        <v>336</v>
      </c>
      <c r="C3868" s="62" t="s">
        <v>60</v>
      </c>
      <c r="D3868" s="62" t="s">
        <v>388</v>
      </c>
      <c r="E3868" s="62" t="s">
        <v>67</v>
      </c>
      <c r="F3868" s="62" t="s">
        <v>382</v>
      </c>
      <c r="G3868" s="63" t="s">
        <v>421</v>
      </c>
      <c r="H3868" s="64" t="n">
        <v>-1300000000</v>
      </c>
      <c r="I3868" s="62" t="s">
        <v>81</v>
      </c>
      <c r="J3868" s="64" t="n">
        <v>-1300000</v>
      </c>
      <c r="K3868" s="62" t="s">
        <v>138</v>
      </c>
      <c r="L3868" s="68" t="b">
        <f aca="false">TRUE()</f>
        <v>1</v>
      </c>
    </row>
    <row r="3869" customFormat="false" ht="15" hidden="false" customHeight="false" outlineLevel="0" collapsed="false">
      <c r="A3869" s="62" t="n">
        <v>1</v>
      </c>
      <c r="B3869" s="21" t="s">
        <v>336</v>
      </c>
      <c r="C3869" s="62" t="s">
        <v>60</v>
      </c>
      <c r="D3869" s="62" t="s">
        <v>381</v>
      </c>
      <c r="E3869" s="62" t="s">
        <v>67</v>
      </c>
      <c r="F3869" s="62" t="s">
        <v>382</v>
      </c>
      <c r="G3869" s="63" t="s">
        <v>422</v>
      </c>
      <c r="H3869" s="64" t="n">
        <v>901228215.698617</v>
      </c>
      <c r="I3869" s="62" t="s">
        <v>81</v>
      </c>
      <c r="J3869" s="64" t="n">
        <v>901228.215698617</v>
      </c>
      <c r="K3869" s="62" t="s">
        <v>138</v>
      </c>
      <c r="L3869" s="68" t="b">
        <f aca="false">TRUE()</f>
        <v>1</v>
      </c>
    </row>
    <row r="3870" customFormat="false" ht="15" hidden="false" customHeight="false" outlineLevel="0" collapsed="false">
      <c r="A3870" s="62" t="n">
        <v>1</v>
      </c>
      <c r="B3870" s="21" t="s">
        <v>336</v>
      </c>
      <c r="C3870" s="62" t="s">
        <v>60</v>
      </c>
      <c r="D3870" s="62" t="s">
        <v>383</v>
      </c>
      <c r="E3870" s="62" t="s">
        <v>67</v>
      </c>
      <c r="F3870" s="62" t="s">
        <v>382</v>
      </c>
      <c r="G3870" s="63" t="s">
        <v>422</v>
      </c>
      <c r="H3870" s="64" t="n">
        <v>773819869.053072</v>
      </c>
      <c r="I3870" s="62" t="s">
        <v>81</v>
      </c>
      <c r="J3870" s="64" t="n">
        <v>773819.869053072</v>
      </c>
      <c r="K3870" s="62" t="s">
        <v>138</v>
      </c>
      <c r="L3870" s="68" t="b">
        <f aca="false">TRUE()</f>
        <v>1</v>
      </c>
    </row>
    <row r="3871" customFormat="false" ht="15" hidden="false" customHeight="false" outlineLevel="0" collapsed="false">
      <c r="A3871" s="62" t="n">
        <v>1</v>
      </c>
      <c r="B3871" s="21" t="s">
        <v>336</v>
      </c>
      <c r="C3871" s="62" t="s">
        <v>60</v>
      </c>
      <c r="D3871" s="62" t="s">
        <v>384</v>
      </c>
      <c r="E3871" s="62" t="s">
        <v>67</v>
      </c>
      <c r="F3871" s="62" t="s">
        <v>382</v>
      </c>
      <c r="G3871" s="63" t="s">
        <v>422</v>
      </c>
      <c r="H3871" s="64" t="n">
        <v>522574191.488456</v>
      </c>
      <c r="I3871" s="62" t="s">
        <v>81</v>
      </c>
      <c r="J3871" s="64" t="n">
        <v>522574.191488456</v>
      </c>
      <c r="K3871" s="62" t="s">
        <v>138</v>
      </c>
      <c r="L3871" s="68" t="b">
        <f aca="false">TRUE()</f>
        <v>1</v>
      </c>
    </row>
    <row r="3872" customFormat="false" ht="15" hidden="false" customHeight="false" outlineLevel="0" collapsed="false">
      <c r="A3872" s="62" t="n">
        <v>1</v>
      </c>
      <c r="B3872" s="21" t="s">
        <v>336</v>
      </c>
      <c r="C3872" s="62" t="s">
        <v>60</v>
      </c>
      <c r="D3872" s="62" t="s">
        <v>385</v>
      </c>
      <c r="E3872" s="62" t="s">
        <v>67</v>
      </c>
      <c r="F3872" s="62" t="s">
        <v>382</v>
      </c>
      <c r="G3872" s="63" t="s">
        <v>422</v>
      </c>
      <c r="H3872" s="64" t="n">
        <v>494001415.731784</v>
      </c>
      <c r="I3872" s="62" t="s">
        <v>81</v>
      </c>
      <c r="J3872" s="64" t="n">
        <v>494001.415731784</v>
      </c>
      <c r="K3872" s="62" t="s">
        <v>138</v>
      </c>
      <c r="L3872" s="68" t="b">
        <f aca="false">TRUE()</f>
        <v>1</v>
      </c>
    </row>
    <row r="3873" customFormat="false" ht="15" hidden="false" customHeight="false" outlineLevel="0" collapsed="false">
      <c r="A3873" s="62" t="n">
        <v>1</v>
      </c>
      <c r="B3873" s="21" t="s">
        <v>336</v>
      </c>
      <c r="C3873" s="62" t="s">
        <v>60</v>
      </c>
      <c r="D3873" s="62" t="s">
        <v>386</v>
      </c>
      <c r="E3873" s="62" t="s">
        <v>67</v>
      </c>
      <c r="F3873" s="62" t="s">
        <v>382</v>
      </c>
      <c r="G3873" s="63" t="s">
        <v>422</v>
      </c>
      <c r="H3873" s="64" t="n">
        <v>499264188.985275</v>
      </c>
      <c r="I3873" s="62" t="s">
        <v>81</v>
      </c>
      <c r="J3873" s="64" t="n">
        <v>499264.188985275</v>
      </c>
      <c r="K3873" s="62" t="s">
        <v>138</v>
      </c>
      <c r="L3873" s="68" t="b">
        <f aca="false">TRUE()</f>
        <v>1</v>
      </c>
    </row>
    <row r="3874" customFormat="false" ht="15" hidden="false" customHeight="false" outlineLevel="0" collapsed="false">
      <c r="A3874" s="62" t="n">
        <v>1</v>
      </c>
      <c r="B3874" s="21" t="s">
        <v>336</v>
      </c>
      <c r="C3874" s="62" t="s">
        <v>60</v>
      </c>
      <c r="D3874" s="62" t="s">
        <v>387</v>
      </c>
      <c r="E3874" s="62" t="s">
        <v>67</v>
      </c>
      <c r="F3874" s="62" t="s">
        <v>382</v>
      </c>
      <c r="G3874" s="63" t="s">
        <v>422</v>
      </c>
      <c r="H3874" s="64" t="n">
        <v>720733186.904984</v>
      </c>
      <c r="I3874" s="62" t="s">
        <v>81</v>
      </c>
      <c r="J3874" s="64" t="n">
        <v>720733.186904984</v>
      </c>
      <c r="K3874" s="62" t="s">
        <v>138</v>
      </c>
      <c r="L3874" s="68" t="b">
        <f aca="false">TRUE()</f>
        <v>1</v>
      </c>
    </row>
    <row r="3875" customFormat="false" ht="15" hidden="false" customHeight="false" outlineLevel="0" collapsed="false">
      <c r="A3875" s="62" t="n">
        <v>1</v>
      </c>
      <c r="B3875" s="21" t="s">
        <v>336</v>
      </c>
      <c r="C3875" s="62" t="s">
        <v>60</v>
      </c>
      <c r="D3875" s="62" t="s">
        <v>388</v>
      </c>
      <c r="E3875" s="62" t="s">
        <v>67</v>
      </c>
      <c r="F3875" s="62" t="s">
        <v>382</v>
      </c>
      <c r="G3875" s="63" t="s">
        <v>422</v>
      </c>
      <c r="H3875" s="64" t="n">
        <v>608417527.489621</v>
      </c>
      <c r="I3875" s="62" t="s">
        <v>81</v>
      </c>
      <c r="J3875" s="64" t="n">
        <v>608417.527489621</v>
      </c>
      <c r="K3875" s="62" t="s">
        <v>138</v>
      </c>
      <c r="L3875" s="68" t="b">
        <f aca="false">TRUE()</f>
        <v>1</v>
      </c>
    </row>
    <row r="3876" customFormat="false" ht="15" hidden="false" customHeight="false" outlineLevel="0" collapsed="false">
      <c r="A3876" s="62" t="n">
        <v>1</v>
      </c>
      <c r="B3876" s="21" t="s">
        <v>336</v>
      </c>
      <c r="C3876" s="62" t="s">
        <v>60</v>
      </c>
      <c r="D3876" s="62" t="s">
        <v>381</v>
      </c>
      <c r="E3876" s="62" t="s">
        <v>67</v>
      </c>
      <c r="F3876" s="62" t="s">
        <v>382</v>
      </c>
      <c r="G3876" s="63" t="s">
        <v>423</v>
      </c>
      <c r="H3876" s="64" t="n">
        <v>10501228215.6986</v>
      </c>
      <c r="I3876" s="62" t="s">
        <v>81</v>
      </c>
      <c r="J3876" s="64" t="n">
        <v>10501228.2156986</v>
      </c>
      <c r="K3876" s="62" t="s">
        <v>138</v>
      </c>
      <c r="L3876" s="68" t="b">
        <f aca="false">TRUE()</f>
        <v>1</v>
      </c>
    </row>
    <row r="3877" customFormat="false" ht="15" hidden="false" customHeight="false" outlineLevel="0" collapsed="false">
      <c r="A3877" s="62" t="n">
        <v>1</v>
      </c>
      <c r="B3877" s="21" t="s">
        <v>336</v>
      </c>
      <c r="C3877" s="62" t="s">
        <v>60</v>
      </c>
      <c r="D3877" s="62" t="s">
        <v>383</v>
      </c>
      <c r="E3877" s="62" t="s">
        <v>67</v>
      </c>
      <c r="F3877" s="62" t="s">
        <v>382</v>
      </c>
      <c r="G3877" s="63" t="s">
        <v>423</v>
      </c>
      <c r="H3877" s="64" t="n">
        <v>8473819869.05307</v>
      </c>
      <c r="I3877" s="62" t="s">
        <v>81</v>
      </c>
      <c r="J3877" s="64" t="n">
        <v>8473819.86905307</v>
      </c>
      <c r="K3877" s="62" t="s">
        <v>138</v>
      </c>
      <c r="L3877" s="68" t="b">
        <f aca="false">TRUE()</f>
        <v>1</v>
      </c>
    </row>
    <row r="3878" customFormat="false" ht="15" hidden="false" customHeight="false" outlineLevel="0" collapsed="false">
      <c r="A3878" s="62" t="n">
        <v>1</v>
      </c>
      <c r="B3878" s="21" t="s">
        <v>336</v>
      </c>
      <c r="C3878" s="62" t="s">
        <v>60</v>
      </c>
      <c r="D3878" s="62" t="s">
        <v>384</v>
      </c>
      <c r="E3878" s="62" t="s">
        <v>67</v>
      </c>
      <c r="F3878" s="62" t="s">
        <v>382</v>
      </c>
      <c r="G3878" s="63" t="s">
        <v>423</v>
      </c>
      <c r="H3878" s="64" t="n">
        <v>6736226191.48846</v>
      </c>
      <c r="I3878" s="62" t="s">
        <v>81</v>
      </c>
      <c r="J3878" s="64" t="n">
        <v>6736226.19148846</v>
      </c>
      <c r="K3878" s="62" t="s">
        <v>138</v>
      </c>
      <c r="L3878" s="68" t="b">
        <f aca="false">TRUE()</f>
        <v>1</v>
      </c>
    </row>
    <row r="3879" customFormat="false" ht="15" hidden="false" customHeight="false" outlineLevel="0" collapsed="false">
      <c r="A3879" s="62" t="n">
        <v>1</v>
      </c>
      <c r="B3879" s="21" t="s">
        <v>336</v>
      </c>
      <c r="C3879" s="62" t="s">
        <v>60</v>
      </c>
      <c r="D3879" s="62" t="s">
        <v>385</v>
      </c>
      <c r="E3879" s="62" t="s">
        <v>67</v>
      </c>
      <c r="F3879" s="62" t="s">
        <v>382</v>
      </c>
      <c r="G3879" s="63" t="s">
        <v>423</v>
      </c>
      <c r="H3879" s="64" t="n">
        <v>10094001415.7318</v>
      </c>
      <c r="I3879" s="62" t="s">
        <v>81</v>
      </c>
      <c r="J3879" s="64" t="n">
        <v>10094001.4157318</v>
      </c>
      <c r="K3879" s="62" t="s">
        <v>138</v>
      </c>
      <c r="L3879" s="68" t="b">
        <f aca="false">TRUE()</f>
        <v>1</v>
      </c>
    </row>
    <row r="3880" customFormat="false" ht="15" hidden="false" customHeight="false" outlineLevel="0" collapsed="false">
      <c r="A3880" s="62" t="n">
        <v>1</v>
      </c>
      <c r="B3880" s="21" t="s">
        <v>336</v>
      </c>
      <c r="C3880" s="62" t="s">
        <v>60</v>
      </c>
      <c r="D3880" s="62" t="s">
        <v>386</v>
      </c>
      <c r="E3880" s="62" t="s">
        <v>67</v>
      </c>
      <c r="F3880" s="62" t="s">
        <v>382</v>
      </c>
      <c r="G3880" s="63" t="s">
        <v>423</v>
      </c>
      <c r="H3880" s="64" t="n">
        <v>11599264188.9853</v>
      </c>
      <c r="I3880" s="62" t="s">
        <v>81</v>
      </c>
      <c r="J3880" s="64" t="n">
        <v>11599264.1889853</v>
      </c>
      <c r="K3880" s="62" t="s">
        <v>138</v>
      </c>
      <c r="L3880" s="68" t="b">
        <f aca="false">TRUE()</f>
        <v>1</v>
      </c>
    </row>
    <row r="3881" customFormat="false" ht="15" hidden="false" customHeight="false" outlineLevel="0" collapsed="false">
      <c r="A3881" s="62" t="n">
        <v>1</v>
      </c>
      <c r="B3881" s="21" t="s">
        <v>336</v>
      </c>
      <c r="C3881" s="62" t="s">
        <v>60</v>
      </c>
      <c r="D3881" s="62" t="s">
        <v>387</v>
      </c>
      <c r="E3881" s="62" t="s">
        <v>67</v>
      </c>
      <c r="F3881" s="62" t="s">
        <v>382</v>
      </c>
      <c r="G3881" s="63" t="s">
        <v>423</v>
      </c>
      <c r="H3881" s="64" t="n">
        <v>320733186.904984</v>
      </c>
      <c r="I3881" s="62" t="s">
        <v>81</v>
      </c>
      <c r="J3881" s="64" t="n">
        <v>320733.186904984</v>
      </c>
      <c r="K3881" s="62" t="s">
        <v>138</v>
      </c>
      <c r="L3881" s="68" t="b">
        <f aca="false">TRUE()</f>
        <v>1</v>
      </c>
    </row>
    <row r="3882" customFormat="false" ht="15" hidden="false" customHeight="false" outlineLevel="0" collapsed="false">
      <c r="A3882" s="62" t="n">
        <v>1</v>
      </c>
      <c r="B3882" s="21" t="s">
        <v>336</v>
      </c>
      <c r="C3882" s="62" t="s">
        <v>60</v>
      </c>
      <c r="D3882" s="62" t="s">
        <v>388</v>
      </c>
      <c r="E3882" s="62" t="s">
        <v>67</v>
      </c>
      <c r="F3882" s="62" t="s">
        <v>382</v>
      </c>
      <c r="G3882" s="63" t="s">
        <v>423</v>
      </c>
      <c r="H3882" s="64" t="n">
        <v>9208417527.48962</v>
      </c>
      <c r="I3882" s="62" t="s">
        <v>81</v>
      </c>
      <c r="J3882" s="64" t="n">
        <v>9208417.52748962</v>
      </c>
      <c r="K3882" s="62" t="s">
        <v>138</v>
      </c>
      <c r="L3882" s="68" t="b">
        <f aca="false">TRUE()</f>
        <v>1</v>
      </c>
    </row>
    <row r="3883" customFormat="false" ht="15" hidden="false" customHeight="false" outlineLevel="0" collapsed="false">
      <c r="A3883" s="62" t="n">
        <v>1</v>
      </c>
      <c r="B3883" s="21" t="s">
        <v>336</v>
      </c>
      <c r="C3883" s="62" t="s">
        <v>60</v>
      </c>
      <c r="D3883" s="62" t="s">
        <v>381</v>
      </c>
      <c r="E3883" s="62" t="s">
        <v>67</v>
      </c>
      <c r="F3883" s="62" t="s">
        <v>382</v>
      </c>
      <c r="G3883" s="63" t="s">
        <v>399</v>
      </c>
      <c r="H3883" s="64" t="n">
        <v>16176660205.8819</v>
      </c>
      <c r="I3883" s="62" t="s">
        <v>81</v>
      </c>
      <c r="J3883" s="64" t="n">
        <v>16176660.2058819</v>
      </c>
      <c r="K3883" s="62" t="s">
        <v>138</v>
      </c>
      <c r="L3883" s="68" t="b">
        <f aca="false">TRUE()</f>
        <v>1</v>
      </c>
    </row>
    <row r="3884" customFormat="false" ht="15" hidden="false" customHeight="false" outlineLevel="0" collapsed="false">
      <c r="A3884" s="62" t="n">
        <v>1</v>
      </c>
      <c r="B3884" s="21" t="s">
        <v>336</v>
      </c>
      <c r="C3884" s="62" t="s">
        <v>60</v>
      </c>
      <c r="D3884" s="62" t="s">
        <v>383</v>
      </c>
      <c r="E3884" s="62" t="s">
        <v>67</v>
      </c>
      <c r="F3884" s="62" t="s">
        <v>382</v>
      </c>
      <c r="G3884" s="63" t="s">
        <v>399</v>
      </c>
      <c r="H3884" s="64" t="n">
        <v>15514494285.3833</v>
      </c>
      <c r="I3884" s="62" t="s">
        <v>81</v>
      </c>
      <c r="J3884" s="64" t="n">
        <v>15514494.2853833</v>
      </c>
      <c r="K3884" s="62" t="s">
        <v>138</v>
      </c>
      <c r="L3884" s="68" t="b">
        <f aca="false">TRUE()</f>
        <v>1</v>
      </c>
    </row>
    <row r="3885" customFormat="false" ht="15" hidden="false" customHeight="false" outlineLevel="0" collapsed="false">
      <c r="A3885" s="62" t="n">
        <v>1</v>
      </c>
      <c r="B3885" s="21" t="s">
        <v>336</v>
      </c>
      <c r="C3885" s="62" t="s">
        <v>60</v>
      </c>
      <c r="D3885" s="62" t="s">
        <v>384</v>
      </c>
      <c r="E3885" s="62" t="s">
        <v>67</v>
      </c>
      <c r="F3885" s="62" t="s">
        <v>382</v>
      </c>
      <c r="G3885" s="63" t="s">
        <v>399</v>
      </c>
      <c r="H3885" s="64" t="n">
        <v>12939046475.3783</v>
      </c>
      <c r="I3885" s="62" t="s">
        <v>81</v>
      </c>
      <c r="J3885" s="64" t="n">
        <v>12939046.4753783</v>
      </c>
      <c r="K3885" s="62" t="s">
        <v>138</v>
      </c>
      <c r="L3885" s="68" t="b">
        <f aca="false">TRUE()</f>
        <v>1</v>
      </c>
    </row>
    <row r="3886" customFormat="false" ht="15" hidden="false" customHeight="false" outlineLevel="0" collapsed="false">
      <c r="A3886" s="62" t="n">
        <v>1</v>
      </c>
      <c r="B3886" s="21" t="s">
        <v>336</v>
      </c>
      <c r="C3886" s="62" t="s">
        <v>60</v>
      </c>
      <c r="D3886" s="62" t="s">
        <v>385</v>
      </c>
      <c r="E3886" s="62" t="s">
        <v>67</v>
      </c>
      <c r="F3886" s="62" t="s">
        <v>382</v>
      </c>
      <c r="G3886" s="63" t="s">
        <v>399</v>
      </c>
      <c r="H3886" s="64" t="n">
        <v>18674947844.3425</v>
      </c>
      <c r="I3886" s="62" t="s">
        <v>81</v>
      </c>
      <c r="J3886" s="64" t="n">
        <v>18674947.8443425</v>
      </c>
      <c r="K3886" s="62" t="s">
        <v>138</v>
      </c>
      <c r="L3886" s="68" t="b">
        <f aca="false">TRUE()</f>
        <v>1</v>
      </c>
    </row>
    <row r="3887" customFormat="false" ht="15" hidden="false" customHeight="false" outlineLevel="0" collapsed="false">
      <c r="A3887" s="62" t="n">
        <v>1</v>
      </c>
      <c r="B3887" s="21" t="s">
        <v>336</v>
      </c>
      <c r="C3887" s="62" t="s">
        <v>60</v>
      </c>
      <c r="D3887" s="62" t="s">
        <v>386</v>
      </c>
      <c r="E3887" s="62" t="s">
        <v>67</v>
      </c>
      <c r="F3887" s="62" t="s">
        <v>382</v>
      </c>
      <c r="G3887" s="63" t="s">
        <v>399</v>
      </c>
      <c r="H3887" s="64" t="n">
        <v>17421498335.0051</v>
      </c>
      <c r="I3887" s="62" t="s">
        <v>81</v>
      </c>
      <c r="J3887" s="64" t="n">
        <v>17421498.3350051</v>
      </c>
      <c r="K3887" s="62" t="s">
        <v>138</v>
      </c>
      <c r="L3887" s="68" t="b">
        <f aca="false">TRUE()</f>
        <v>1</v>
      </c>
    </row>
    <row r="3888" customFormat="false" ht="15" hidden="false" customHeight="false" outlineLevel="0" collapsed="false">
      <c r="A3888" s="62" t="n">
        <v>1</v>
      </c>
      <c r="B3888" s="21" t="s">
        <v>336</v>
      </c>
      <c r="C3888" s="62" t="s">
        <v>60</v>
      </c>
      <c r="D3888" s="62" t="s">
        <v>387</v>
      </c>
      <c r="E3888" s="62" t="s">
        <v>67</v>
      </c>
      <c r="F3888" s="62" t="s">
        <v>382</v>
      </c>
      <c r="G3888" s="63" t="s">
        <v>399</v>
      </c>
      <c r="H3888" s="64" t="n">
        <v>10267403135.5395</v>
      </c>
      <c r="I3888" s="62" t="s">
        <v>81</v>
      </c>
      <c r="J3888" s="64" t="n">
        <v>10267403.1355395</v>
      </c>
      <c r="K3888" s="62" t="s">
        <v>138</v>
      </c>
      <c r="L3888" s="68" t="b">
        <f aca="false">TRUE()</f>
        <v>1</v>
      </c>
    </row>
    <row r="3889" customFormat="false" ht="15" hidden="false" customHeight="false" outlineLevel="0" collapsed="false">
      <c r="A3889" s="62" t="n">
        <v>1</v>
      </c>
      <c r="B3889" s="21" t="s">
        <v>336</v>
      </c>
      <c r="C3889" s="62" t="s">
        <v>60</v>
      </c>
      <c r="D3889" s="62" t="s">
        <v>388</v>
      </c>
      <c r="E3889" s="62" t="s">
        <v>67</v>
      </c>
      <c r="F3889" s="62" t="s">
        <v>382</v>
      </c>
      <c r="G3889" s="63" t="s">
        <v>399</v>
      </c>
      <c r="H3889" s="64" t="n">
        <v>14612262854.4543</v>
      </c>
      <c r="I3889" s="62" t="s">
        <v>81</v>
      </c>
      <c r="J3889" s="64" t="n">
        <v>14612262.8544543</v>
      </c>
      <c r="K3889" s="62" t="s">
        <v>138</v>
      </c>
      <c r="L3889" s="68" t="b">
        <f aca="false">TRUE()</f>
        <v>1</v>
      </c>
    </row>
    <row r="3890" customFormat="false" ht="15" hidden="false" customHeight="false" outlineLevel="0" collapsed="false">
      <c r="A3890" s="62" t="n">
        <v>1</v>
      </c>
      <c r="B3890" s="21" t="s">
        <v>336</v>
      </c>
      <c r="C3890" s="62" t="s">
        <v>60</v>
      </c>
      <c r="D3890" s="62" t="s">
        <v>381</v>
      </c>
      <c r="E3890" s="62" t="s">
        <v>67</v>
      </c>
      <c r="F3890" s="62" t="s">
        <v>382</v>
      </c>
      <c r="G3890" s="63" t="s">
        <v>424</v>
      </c>
      <c r="H3890" s="64" t="n">
        <v>2859953009.44407</v>
      </c>
      <c r="I3890" s="62" t="s">
        <v>81</v>
      </c>
      <c r="J3890" s="64" t="n">
        <v>2859953.00944407</v>
      </c>
      <c r="K3890" s="62" t="s">
        <v>138</v>
      </c>
      <c r="L3890" s="68" t="b">
        <f aca="false">TRUE()</f>
        <v>1</v>
      </c>
    </row>
    <row r="3891" customFormat="false" ht="15" hidden="false" customHeight="false" outlineLevel="0" collapsed="false">
      <c r="A3891" s="62" t="n">
        <v>1</v>
      </c>
      <c r="B3891" s="21" t="s">
        <v>336</v>
      </c>
      <c r="C3891" s="62" t="s">
        <v>60</v>
      </c>
      <c r="D3891" s="62" t="s">
        <v>383</v>
      </c>
      <c r="E3891" s="62" t="s">
        <v>67</v>
      </c>
      <c r="F3891" s="62" t="s">
        <v>382</v>
      </c>
      <c r="G3891" s="63" t="s">
        <v>424</v>
      </c>
      <c r="H3891" s="64" t="n">
        <v>3689930987.2926</v>
      </c>
      <c r="I3891" s="62" t="s">
        <v>81</v>
      </c>
      <c r="J3891" s="64" t="n">
        <v>3689930.9872926</v>
      </c>
      <c r="K3891" s="62" t="s">
        <v>138</v>
      </c>
      <c r="L3891" s="68" t="b">
        <f aca="false">TRUE()</f>
        <v>1</v>
      </c>
    </row>
    <row r="3892" customFormat="false" ht="15" hidden="false" customHeight="false" outlineLevel="0" collapsed="false">
      <c r="A3892" s="62" t="n">
        <v>1</v>
      </c>
      <c r="B3892" s="21" t="s">
        <v>336</v>
      </c>
      <c r="C3892" s="62" t="s">
        <v>60</v>
      </c>
      <c r="D3892" s="62" t="s">
        <v>384</v>
      </c>
      <c r="E3892" s="62" t="s">
        <v>67</v>
      </c>
      <c r="F3892" s="62" t="s">
        <v>382</v>
      </c>
      <c r="G3892" s="63" t="s">
        <v>424</v>
      </c>
      <c r="H3892" s="64" t="n">
        <v>3127628570.19841</v>
      </c>
      <c r="I3892" s="62" t="s">
        <v>81</v>
      </c>
      <c r="J3892" s="64" t="n">
        <v>3127628.57019841</v>
      </c>
      <c r="K3892" s="62" t="s">
        <v>138</v>
      </c>
      <c r="L3892" s="68" t="b">
        <f aca="false">TRUE()</f>
        <v>1</v>
      </c>
    </row>
    <row r="3893" customFormat="false" ht="15" hidden="false" customHeight="false" outlineLevel="0" collapsed="false">
      <c r="A3893" s="62" t="n">
        <v>1</v>
      </c>
      <c r="B3893" s="21" t="s">
        <v>336</v>
      </c>
      <c r="C3893" s="62" t="s">
        <v>60</v>
      </c>
      <c r="D3893" s="62" t="s">
        <v>385</v>
      </c>
      <c r="E3893" s="62" t="s">
        <v>67</v>
      </c>
      <c r="F3893" s="62" t="s">
        <v>382</v>
      </c>
      <c r="G3893" s="63" t="s">
        <v>424</v>
      </c>
      <c r="H3893" s="64" t="n">
        <v>5280708687.57026</v>
      </c>
      <c r="I3893" s="62" t="s">
        <v>81</v>
      </c>
      <c r="J3893" s="64" t="n">
        <v>5280708.68757026</v>
      </c>
      <c r="K3893" s="62" t="s">
        <v>138</v>
      </c>
      <c r="L3893" s="68" t="b">
        <f aca="false">TRUE()</f>
        <v>1</v>
      </c>
    </row>
    <row r="3894" customFormat="false" ht="15" hidden="false" customHeight="false" outlineLevel="0" collapsed="false">
      <c r="A3894" s="62" t="n">
        <v>1</v>
      </c>
      <c r="B3894" s="21" t="s">
        <v>336</v>
      </c>
      <c r="C3894" s="62" t="s">
        <v>60</v>
      </c>
      <c r="D3894" s="62" t="s">
        <v>386</v>
      </c>
      <c r="E3894" s="62" t="s">
        <v>67</v>
      </c>
      <c r="F3894" s="62" t="s">
        <v>382</v>
      </c>
      <c r="G3894" s="63" t="s">
        <v>424</v>
      </c>
      <c r="H3894" s="64" t="n">
        <v>4449247992.93136</v>
      </c>
      <c r="I3894" s="62" t="s">
        <v>81</v>
      </c>
      <c r="J3894" s="64" t="n">
        <v>4449247.99293136</v>
      </c>
      <c r="K3894" s="62" t="s">
        <v>138</v>
      </c>
      <c r="L3894" s="68" t="b">
        <f aca="false">TRUE()</f>
        <v>1</v>
      </c>
    </row>
    <row r="3895" customFormat="false" ht="15" hidden="false" customHeight="false" outlineLevel="0" collapsed="false">
      <c r="A3895" s="62" t="n">
        <v>1</v>
      </c>
      <c r="B3895" s="21" t="s">
        <v>336</v>
      </c>
      <c r="C3895" s="62" t="s">
        <v>60</v>
      </c>
      <c r="D3895" s="62" t="s">
        <v>387</v>
      </c>
      <c r="E3895" s="62" t="s">
        <v>67</v>
      </c>
      <c r="F3895" s="62" t="s">
        <v>382</v>
      </c>
      <c r="G3895" s="63" t="s">
        <v>424</v>
      </c>
      <c r="H3895" s="64" t="n">
        <v>7711371737.06837</v>
      </c>
      <c r="I3895" s="62" t="s">
        <v>81</v>
      </c>
      <c r="J3895" s="64" t="n">
        <v>7711371.73706837</v>
      </c>
      <c r="K3895" s="62" t="s">
        <v>138</v>
      </c>
      <c r="L3895" s="68" t="b">
        <f aca="false">TRUE()</f>
        <v>1</v>
      </c>
    </row>
    <row r="3896" customFormat="false" ht="15" hidden="false" customHeight="false" outlineLevel="0" collapsed="false">
      <c r="A3896" s="62" t="n">
        <v>1</v>
      </c>
      <c r="B3896" s="21" t="s">
        <v>336</v>
      </c>
      <c r="C3896" s="62" t="s">
        <v>60</v>
      </c>
      <c r="D3896" s="62" t="s">
        <v>388</v>
      </c>
      <c r="E3896" s="62" t="s">
        <v>67</v>
      </c>
      <c r="F3896" s="62" t="s">
        <v>382</v>
      </c>
      <c r="G3896" s="63" t="s">
        <v>424</v>
      </c>
      <c r="H3896" s="64" t="n">
        <v>1891630010.1345</v>
      </c>
      <c r="I3896" s="62" t="s">
        <v>81</v>
      </c>
      <c r="J3896" s="64" t="n">
        <v>1891630.0101345</v>
      </c>
      <c r="K3896" s="62" t="s">
        <v>138</v>
      </c>
      <c r="L3896" s="68" t="b">
        <f aca="false">TRUE()</f>
        <v>1</v>
      </c>
    </row>
    <row r="3897" customFormat="false" ht="15" hidden="false" customHeight="false" outlineLevel="0" collapsed="false">
      <c r="A3897" s="62" t="n">
        <v>1</v>
      </c>
      <c r="B3897" s="21" t="s">
        <v>336</v>
      </c>
      <c r="C3897" s="62" t="s">
        <v>60</v>
      </c>
      <c r="D3897" s="62" t="s">
        <v>381</v>
      </c>
      <c r="E3897" s="62" t="s">
        <v>67</v>
      </c>
      <c r="F3897" s="62" t="s">
        <v>382</v>
      </c>
      <c r="G3897" s="63" t="s">
        <v>425</v>
      </c>
      <c r="H3897" s="64" t="n">
        <v>-240146851.882137</v>
      </c>
      <c r="I3897" s="62" t="s">
        <v>81</v>
      </c>
      <c r="J3897" s="64" t="n">
        <v>-240146.851882137</v>
      </c>
      <c r="K3897" s="62" t="s">
        <v>138</v>
      </c>
      <c r="L3897" s="68" t="b">
        <f aca="false">TRUE()</f>
        <v>1</v>
      </c>
    </row>
    <row r="3898" customFormat="false" ht="15" hidden="false" customHeight="false" outlineLevel="0" collapsed="false">
      <c r="A3898" s="62" t="n">
        <v>1</v>
      </c>
      <c r="B3898" s="21" t="s">
        <v>336</v>
      </c>
      <c r="C3898" s="62" t="s">
        <v>60</v>
      </c>
      <c r="D3898" s="62" t="s">
        <v>383</v>
      </c>
      <c r="E3898" s="62" t="s">
        <v>67</v>
      </c>
      <c r="F3898" s="62" t="s">
        <v>382</v>
      </c>
      <c r="G3898" s="63" t="s">
        <v>425</v>
      </c>
      <c r="H3898" s="64" t="n">
        <v>-307990164.560203</v>
      </c>
      <c r="I3898" s="62" t="s">
        <v>81</v>
      </c>
      <c r="J3898" s="64" t="n">
        <v>-307990.164560203</v>
      </c>
      <c r="K3898" s="62" t="s">
        <v>138</v>
      </c>
      <c r="L3898" s="68" t="b">
        <f aca="false">TRUE()</f>
        <v>1</v>
      </c>
    </row>
    <row r="3899" customFormat="false" ht="15" hidden="false" customHeight="false" outlineLevel="0" collapsed="false">
      <c r="A3899" s="62" t="n">
        <v>1</v>
      </c>
      <c r="B3899" s="21" t="s">
        <v>336</v>
      </c>
      <c r="C3899" s="62" t="s">
        <v>60</v>
      </c>
      <c r="D3899" s="62" t="s">
        <v>384</v>
      </c>
      <c r="E3899" s="62" t="s">
        <v>67</v>
      </c>
      <c r="F3899" s="62" t="s">
        <v>382</v>
      </c>
      <c r="G3899" s="63" t="s">
        <v>425</v>
      </c>
      <c r="H3899" s="64" t="n">
        <v>19717259.7777779</v>
      </c>
      <c r="I3899" s="62" t="s">
        <v>81</v>
      </c>
      <c r="J3899" s="64" t="n">
        <v>19717.2597777779</v>
      </c>
      <c r="K3899" s="62" t="s">
        <v>138</v>
      </c>
      <c r="L3899" s="68" t="b">
        <f aca="false">TRUE()</f>
        <v>1</v>
      </c>
    </row>
    <row r="3900" customFormat="false" ht="15" hidden="false" customHeight="false" outlineLevel="0" collapsed="false">
      <c r="A3900" s="62" t="n">
        <v>1</v>
      </c>
      <c r="B3900" s="21" t="s">
        <v>336</v>
      </c>
      <c r="C3900" s="62" t="s">
        <v>60</v>
      </c>
      <c r="D3900" s="62" t="s">
        <v>385</v>
      </c>
      <c r="E3900" s="62" t="s">
        <v>67</v>
      </c>
      <c r="F3900" s="62" t="s">
        <v>382</v>
      </c>
      <c r="G3900" s="63" t="s">
        <v>425</v>
      </c>
      <c r="H3900" s="64" t="n">
        <v>29897651.0298158</v>
      </c>
      <c r="I3900" s="62" t="s">
        <v>81</v>
      </c>
      <c r="J3900" s="64" t="n">
        <v>29897.6510298158</v>
      </c>
      <c r="K3900" s="62" t="s">
        <v>138</v>
      </c>
      <c r="L3900" s="68" t="b">
        <f aca="false">TRUE()</f>
        <v>1</v>
      </c>
    </row>
    <row r="3901" customFormat="false" ht="15" hidden="false" customHeight="false" outlineLevel="0" collapsed="false">
      <c r="A3901" s="62" t="n">
        <v>1</v>
      </c>
      <c r="B3901" s="21" t="s">
        <v>336</v>
      </c>
      <c r="C3901" s="62" t="s">
        <v>60</v>
      </c>
      <c r="D3901" s="62" t="s">
        <v>386</v>
      </c>
      <c r="E3901" s="62" t="s">
        <v>67</v>
      </c>
      <c r="F3901" s="62" t="s">
        <v>382</v>
      </c>
      <c r="G3901" s="63" t="s">
        <v>425</v>
      </c>
      <c r="H3901" s="64" t="n">
        <v>-226097987.5</v>
      </c>
      <c r="I3901" s="62" t="s">
        <v>81</v>
      </c>
      <c r="J3901" s="64" t="n">
        <v>-226097.9875</v>
      </c>
      <c r="K3901" s="62" t="s">
        <v>138</v>
      </c>
      <c r="L3901" s="68" t="b">
        <f aca="false">TRUE()</f>
        <v>1</v>
      </c>
    </row>
    <row r="3902" customFormat="false" ht="15" hidden="false" customHeight="false" outlineLevel="0" collapsed="false">
      <c r="A3902" s="62" t="n">
        <v>1</v>
      </c>
      <c r="B3902" s="21" t="s">
        <v>336</v>
      </c>
      <c r="C3902" s="62" t="s">
        <v>60</v>
      </c>
      <c r="D3902" s="62" t="s">
        <v>387</v>
      </c>
      <c r="E3902" s="62" t="s">
        <v>67</v>
      </c>
      <c r="F3902" s="62" t="s">
        <v>382</v>
      </c>
      <c r="G3902" s="63" t="s">
        <v>425</v>
      </c>
      <c r="H3902" s="64" t="n">
        <v>-137275722.576042</v>
      </c>
      <c r="I3902" s="62" t="s">
        <v>81</v>
      </c>
      <c r="J3902" s="64" t="n">
        <v>-137275.722576042</v>
      </c>
      <c r="K3902" s="62" t="s">
        <v>138</v>
      </c>
      <c r="L3902" s="68" t="b">
        <f aca="false">TRUE()</f>
        <v>1</v>
      </c>
    </row>
    <row r="3903" customFormat="false" ht="15" hidden="false" customHeight="false" outlineLevel="0" collapsed="false">
      <c r="A3903" s="62" t="n">
        <v>1</v>
      </c>
      <c r="B3903" s="21" t="s">
        <v>336</v>
      </c>
      <c r="C3903" s="62" t="s">
        <v>60</v>
      </c>
      <c r="D3903" s="62" t="s">
        <v>388</v>
      </c>
      <c r="E3903" s="62" t="s">
        <v>67</v>
      </c>
      <c r="F3903" s="62" t="s">
        <v>382</v>
      </c>
      <c r="G3903" s="63" t="s">
        <v>425</v>
      </c>
      <c r="H3903" s="64" t="n">
        <v>-267346310</v>
      </c>
      <c r="I3903" s="62" t="s">
        <v>81</v>
      </c>
      <c r="J3903" s="64" t="n">
        <v>-267346.31</v>
      </c>
      <c r="K3903" s="62" t="s">
        <v>138</v>
      </c>
      <c r="L3903" s="68" t="b">
        <f aca="false">TRUE()</f>
        <v>1</v>
      </c>
    </row>
    <row r="3904" customFormat="false" ht="15" hidden="false" customHeight="false" outlineLevel="0" collapsed="false">
      <c r="A3904" s="62" t="n">
        <v>1</v>
      </c>
      <c r="B3904" s="21" t="s">
        <v>336</v>
      </c>
      <c r="C3904" s="62" t="s">
        <v>60</v>
      </c>
      <c r="D3904" s="62" t="s">
        <v>381</v>
      </c>
      <c r="E3904" s="62" t="s">
        <v>67</v>
      </c>
      <c r="F3904" s="62" t="s">
        <v>382</v>
      </c>
      <c r="G3904" s="63" t="s">
        <v>426</v>
      </c>
      <c r="H3904" s="64" t="n">
        <v>-6174792084.60297</v>
      </c>
      <c r="I3904" s="62" t="s">
        <v>81</v>
      </c>
      <c r="J3904" s="64" t="n">
        <v>-6174792.08460297</v>
      </c>
      <c r="K3904" s="62" t="s">
        <v>138</v>
      </c>
      <c r="L3904" s="68" t="b">
        <f aca="false">TRUE()</f>
        <v>1</v>
      </c>
    </row>
    <row r="3905" customFormat="false" ht="15" hidden="false" customHeight="false" outlineLevel="0" collapsed="false">
      <c r="A3905" s="62" t="n">
        <v>1</v>
      </c>
      <c r="B3905" s="21" t="s">
        <v>336</v>
      </c>
      <c r="C3905" s="62" t="s">
        <v>60</v>
      </c>
      <c r="D3905" s="62" t="s">
        <v>383</v>
      </c>
      <c r="E3905" s="62" t="s">
        <v>67</v>
      </c>
      <c r="F3905" s="62" t="s">
        <v>382</v>
      </c>
      <c r="G3905" s="63" t="s">
        <v>426</v>
      </c>
      <c r="H3905" s="64" t="n">
        <v>0</v>
      </c>
      <c r="I3905" s="62" t="s">
        <v>81</v>
      </c>
      <c r="J3905" s="64" t="n">
        <v>0</v>
      </c>
      <c r="K3905" s="62" t="s">
        <v>138</v>
      </c>
      <c r="L3905" s="68" t="b">
        <f aca="false">TRUE()</f>
        <v>1</v>
      </c>
    </row>
    <row r="3906" customFormat="false" ht="15" hidden="false" customHeight="false" outlineLevel="0" collapsed="false">
      <c r="A3906" s="62" t="n">
        <v>1</v>
      </c>
      <c r="B3906" s="21" t="s">
        <v>336</v>
      </c>
      <c r="C3906" s="62" t="s">
        <v>60</v>
      </c>
      <c r="D3906" s="62" t="s">
        <v>384</v>
      </c>
      <c r="E3906" s="62" t="s">
        <v>67</v>
      </c>
      <c r="F3906" s="62" t="s">
        <v>382</v>
      </c>
      <c r="G3906" s="63" t="s">
        <v>426</v>
      </c>
      <c r="H3906" s="64" t="n">
        <v>0</v>
      </c>
      <c r="I3906" s="62" t="s">
        <v>81</v>
      </c>
      <c r="J3906" s="64" t="n">
        <v>0</v>
      </c>
      <c r="K3906" s="62" t="s">
        <v>138</v>
      </c>
      <c r="L3906" s="68" t="b">
        <f aca="false">TRUE()</f>
        <v>1</v>
      </c>
    </row>
    <row r="3907" customFormat="false" ht="15" hidden="false" customHeight="false" outlineLevel="0" collapsed="false">
      <c r="A3907" s="62" t="n">
        <v>1</v>
      </c>
      <c r="B3907" s="21" t="s">
        <v>336</v>
      </c>
      <c r="C3907" s="62" t="s">
        <v>60</v>
      </c>
      <c r="D3907" s="62" t="s">
        <v>385</v>
      </c>
      <c r="E3907" s="62" t="s">
        <v>67</v>
      </c>
      <c r="F3907" s="62" t="s">
        <v>382</v>
      </c>
      <c r="G3907" s="63" t="s">
        <v>426</v>
      </c>
      <c r="H3907" s="64" t="n">
        <v>-4382363724.13941</v>
      </c>
      <c r="I3907" s="62" t="s">
        <v>81</v>
      </c>
      <c r="J3907" s="64" t="n">
        <v>-4382363.72413941</v>
      </c>
      <c r="K3907" s="62" t="s">
        <v>138</v>
      </c>
      <c r="L3907" s="68" t="b">
        <f aca="false">TRUE()</f>
        <v>1</v>
      </c>
    </row>
    <row r="3908" customFormat="false" ht="15" hidden="false" customHeight="false" outlineLevel="0" collapsed="false">
      <c r="A3908" s="62" t="n">
        <v>1</v>
      </c>
      <c r="B3908" s="21" t="s">
        <v>336</v>
      </c>
      <c r="C3908" s="62" t="s">
        <v>60</v>
      </c>
      <c r="D3908" s="62" t="s">
        <v>386</v>
      </c>
      <c r="E3908" s="62" t="s">
        <v>67</v>
      </c>
      <c r="F3908" s="62" t="s">
        <v>382</v>
      </c>
      <c r="G3908" s="63" t="s">
        <v>426</v>
      </c>
      <c r="H3908" s="64" t="n">
        <v>0</v>
      </c>
      <c r="I3908" s="62" t="s">
        <v>81</v>
      </c>
      <c r="J3908" s="64" t="n">
        <v>0</v>
      </c>
      <c r="K3908" s="62" t="s">
        <v>138</v>
      </c>
      <c r="L3908" s="68" t="b">
        <f aca="false">TRUE()</f>
        <v>1</v>
      </c>
    </row>
    <row r="3909" customFormat="false" ht="15" hidden="false" customHeight="false" outlineLevel="0" collapsed="false">
      <c r="A3909" s="62" t="n">
        <v>1</v>
      </c>
      <c r="B3909" s="21" t="s">
        <v>336</v>
      </c>
      <c r="C3909" s="62" t="s">
        <v>60</v>
      </c>
      <c r="D3909" s="62" t="s">
        <v>387</v>
      </c>
      <c r="E3909" s="62" t="s">
        <v>67</v>
      </c>
      <c r="F3909" s="62" t="s">
        <v>382</v>
      </c>
      <c r="G3909" s="63" t="s">
        <v>426</v>
      </c>
      <c r="H3909" s="64" t="n">
        <v>0</v>
      </c>
      <c r="I3909" s="62" t="s">
        <v>81</v>
      </c>
      <c r="J3909" s="64" t="n">
        <v>0</v>
      </c>
      <c r="K3909" s="62" t="s">
        <v>138</v>
      </c>
      <c r="L3909" s="68" t="b">
        <f aca="false">TRUE()</f>
        <v>1</v>
      </c>
    </row>
    <row r="3910" customFormat="false" ht="15" hidden="false" customHeight="false" outlineLevel="0" collapsed="false">
      <c r="A3910" s="62" t="n">
        <v>1</v>
      </c>
      <c r="B3910" s="21" t="s">
        <v>336</v>
      </c>
      <c r="C3910" s="62" t="s">
        <v>60</v>
      </c>
      <c r="D3910" s="62" t="s">
        <v>388</v>
      </c>
      <c r="E3910" s="62" t="s">
        <v>67</v>
      </c>
      <c r="F3910" s="62" t="s">
        <v>382</v>
      </c>
      <c r="G3910" s="63" t="s">
        <v>426</v>
      </c>
      <c r="H3910" s="64" t="n">
        <v>0</v>
      </c>
      <c r="I3910" s="62" t="s">
        <v>81</v>
      </c>
      <c r="J3910" s="64" t="n">
        <v>0</v>
      </c>
      <c r="K3910" s="62" t="s">
        <v>138</v>
      </c>
      <c r="L3910" s="68" t="b">
        <f aca="false">TRUE()</f>
        <v>1</v>
      </c>
    </row>
    <row r="3911" customFormat="false" ht="15" hidden="false" customHeight="false" outlineLevel="0" collapsed="false">
      <c r="A3911" s="62" t="n">
        <v>1</v>
      </c>
      <c r="B3911" s="21" t="s">
        <v>336</v>
      </c>
      <c r="C3911" s="62" t="s">
        <v>60</v>
      </c>
      <c r="D3911" s="62" t="s">
        <v>381</v>
      </c>
      <c r="E3911" s="62" t="s">
        <v>67</v>
      </c>
      <c r="F3911" s="62" t="s">
        <v>382</v>
      </c>
      <c r="G3911" s="63" t="s">
        <v>427</v>
      </c>
      <c r="H3911" s="64" t="n">
        <v>170961320.55924</v>
      </c>
      <c r="I3911" s="62" t="s">
        <v>81</v>
      </c>
      <c r="J3911" s="64" t="n">
        <v>170961.32055924</v>
      </c>
      <c r="K3911" s="62" t="s">
        <v>138</v>
      </c>
      <c r="L3911" s="68" t="b">
        <f aca="false">TRUE()</f>
        <v>1</v>
      </c>
    </row>
    <row r="3912" customFormat="false" ht="15" hidden="false" customHeight="false" outlineLevel="0" collapsed="false">
      <c r="A3912" s="62" t="n">
        <v>1</v>
      </c>
      <c r="B3912" s="21" t="s">
        <v>336</v>
      </c>
      <c r="C3912" s="62" t="s">
        <v>60</v>
      </c>
      <c r="D3912" s="62" t="s">
        <v>383</v>
      </c>
      <c r="E3912" s="62" t="s">
        <v>67</v>
      </c>
      <c r="F3912" s="62" t="s">
        <v>382</v>
      </c>
      <c r="G3912" s="63" t="s">
        <v>427</v>
      </c>
      <c r="H3912" s="64" t="n">
        <v>43552973.9136953</v>
      </c>
      <c r="I3912" s="62" t="s">
        <v>81</v>
      </c>
      <c r="J3912" s="64" t="n">
        <v>43552.9739136953</v>
      </c>
      <c r="K3912" s="62" t="s">
        <v>138</v>
      </c>
      <c r="L3912" s="68" t="b">
        <f aca="false">TRUE()</f>
        <v>1</v>
      </c>
    </row>
    <row r="3913" customFormat="false" ht="15" hidden="false" customHeight="false" outlineLevel="0" collapsed="false">
      <c r="A3913" s="62" t="n">
        <v>1</v>
      </c>
      <c r="B3913" s="21" t="s">
        <v>336</v>
      </c>
      <c r="C3913" s="62" t="s">
        <v>60</v>
      </c>
      <c r="D3913" s="62" t="s">
        <v>384</v>
      </c>
      <c r="E3913" s="62" t="s">
        <v>67</v>
      </c>
      <c r="F3913" s="62" t="s">
        <v>382</v>
      </c>
      <c r="G3913" s="63" t="s">
        <v>427</v>
      </c>
      <c r="H3913" s="64" t="n">
        <v>-207692703.650921</v>
      </c>
      <c r="I3913" s="62" t="s">
        <v>81</v>
      </c>
      <c r="J3913" s="64" t="n">
        <v>-207692.703650921</v>
      </c>
      <c r="K3913" s="62" t="s">
        <v>138</v>
      </c>
      <c r="L3913" s="68" t="b">
        <f aca="false">TRUE()</f>
        <v>1</v>
      </c>
    </row>
    <row r="3914" customFormat="false" ht="15" hidden="false" customHeight="false" outlineLevel="0" collapsed="false">
      <c r="A3914" s="62" t="n">
        <v>1</v>
      </c>
      <c r="B3914" s="21" t="s">
        <v>336</v>
      </c>
      <c r="C3914" s="62" t="s">
        <v>60</v>
      </c>
      <c r="D3914" s="62" t="s">
        <v>385</v>
      </c>
      <c r="E3914" s="62" t="s">
        <v>67</v>
      </c>
      <c r="F3914" s="62" t="s">
        <v>382</v>
      </c>
      <c r="G3914" s="63" t="s">
        <v>427</v>
      </c>
      <c r="H3914" s="64" t="n">
        <v>-236265479.407593</v>
      </c>
      <c r="I3914" s="62" t="s">
        <v>81</v>
      </c>
      <c r="J3914" s="64" t="n">
        <v>-236265.479407593</v>
      </c>
      <c r="K3914" s="62" t="s">
        <v>138</v>
      </c>
      <c r="L3914" s="68" t="b">
        <f aca="false">TRUE()</f>
        <v>1</v>
      </c>
    </row>
    <row r="3915" customFormat="false" ht="15" hidden="false" customHeight="false" outlineLevel="0" collapsed="false">
      <c r="A3915" s="62" t="n">
        <v>1</v>
      </c>
      <c r="B3915" s="21" t="s">
        <v>336</v>
      </c>
      <c r="C3915" s="62" t="s">
        <v>60</v>
      </c>
      <c r="D3915" s="62" t="s">
        <v>386</v>
      </c>
      <c r="E3915" s="62" t="s">
        <v>67</v>
      </c>
      <c r="F3915" s="62" t="s">
        <v>382</v>
      </c>
      <c r="G3915" s="63" t="s">
        <v>427</v>
      </c>
      <c r="H3915" s="64" t="n">
        <v>-231002706.154102</v>
      </c>
      <c r="I3915" s="62" t="s">
        <v>81</v>
      </c>
      <c r="J3915" s="64" t="n">
        <v>-231002.706154102</v>
      </c>
      <c r="K3915" s="62" t="s">
        <v>138</v>
      </c>
      <c r="L3915" s="68" t="b">
        <f aca="false">TRUE()</f>
        <v>1</v>
      </c>
    </row>
    <row r="3916" customFormat="false" ht="15" hidden="false" customHeight="false" outlineLevel="0" collapsed="false">
      <c r="A3916" s="62" t="n">
        <v>1</v>
      </c>
      <c r="B3916" s="21" t="s">
        <v>336</v>
      </c>
      <c r="C3916" s="62" t="s">
        <v>60</v>
      </c>
      <c r="D3916" s="62" t="s">
        <v>387</v>
      </c>
      <c r="E3916" s="62" t="s">
        <v>67</v>
      </c>
      <c r="F3916" s="62" t="s">
        <v>382</v>
      </c>
      <c r="G3916" s="63" t="s">
        <v>427</v>
      </c>
      <c r="H3916" s="64" t="n">
        <v>-9533708.23439234</v>
      </c>
      <c r="I3916" s="62" t="s">
        <v>81</v>
      </c>
      <c r="J3916" s="64" t="n">
        <v>-9533.70823439234</v>
      </c>
      <c r="K3916" s="62" t="s">
        <v>138</v>
      </c>
      <c r="L3916" s="68" t="b">
        <f aca="false">TRUE()</f>
        <v>1</v>
      </c>
    </row>
    <row r="3917" customFormat="false" ht="15" hidden="false" customHeight="false" outlineLevel="0" collapsed="false">
      <c r="A3917" s="62" t="n">
        <v>1</v>
      </c>
      <c r="B3917" s="21" t="s">
        <v>336</v>
      </c>
      <c r="C3917" s="62" t="s">
        <v>60</v>
      </c>
      <c r="D3917" s="62" t="s">
        <v>388</v>
      </c>
      <c r="E3917" s="62" t="s">
        <v>67</v>
      </c>
      <c r="F3917" s="62" t="s">
        <v>382</v>
      </c>
      <c r="G3917" s="63" t="s">
        <v>427</v>
      </c>
      <c r="H3917" s="64" t="n">
        <v>-121849367.649756</v>
      </c>
      <c r="I3917" s="62" t="s">
        <v>81</v>
      </c>
      <c r="J3917" s="64" t="n">
        <v>-121849.367649756</v>
      </c>
      <c r="K3917" s="62" t="s">
        <v>138</v>
      </c>
      <c r="L3917" s="68" t="b">
        <f aca="false">TRUE()</f>
        <v>1</v>
      </c>
    </row>
    <row r="3918" customFormat="false" ht="15" hidden="false" customHeight="false" outlineLevel="0" collapsed="false">
      <c r="A3918" s="62" t="n">
        <v>1</v>
      </c>
      <c r="B3918" s="21" t="s">
        <v>336</v>
      </c>
      <c r="C3918" s="62" t="s">
        <v>60</v>
      </c>
      <c r="D3918" s="62" t="s">
        <v>381</v>
      </c>
      <c r="E3918" s="62" t="s">
        <v>67</v>
      </c>
      <c r="F3918" s="62" t="s">
        <v>382</v>
      </c>
      <c r="G3918" s="63" t="s">
        <v>428</v>
      </c>
      <c r="H3918" s="64" t="n">
        <v>-453584115.025126</v>
      </c>
      <c r="I3918" s="62" t="s">
        <v>81</v>
      </c>
      <c r="J3918" s="64" t="n">
        <v>-453584.115025126</v>
      </c>
      <c r="K3918" s="62" t="s">
        <v>138</v>
      </c>
      <c r="L3918" s="68" t="b">
        <f aca="false">TRUE()</f>
        <v>1</v>
      </c>
    </row>
    <row r="3919" customFormat="false" ht="15" hidden="false" customHeight="false" outlineLevel="0" collapsed="false">
      <c r="A3919" s="62" t="n">
        <v>1</v>
      </c>
      <c r="B3919" s="21" t="s">
        <v>336</v>
      </c>
      <c r="C3919" s="62" t="s">
        <v>60</v>
      </c>
      <c r="D3919" s="62" t="s">
        <v>383</v>
      </c>
      <c r="E3919" s="62" t="s">
        <v>67</v>
      </c>
      <c r="F3919" s="62" t="s">
        <v>382</v>
      </c>
      <c r="G3919" s="63" t="s">
        <v>428</v>
      </c>
      <c r="H3919" s="64" t="n">
        <v>-285504102.94371</v>
      </c>
      <c r="I3919" s="62" t="s">
        <v>81</v>
      </c>
      <c r="J3919" s="64" t="n">
        <v>-285504.10294371</v>
      </c>
      <c r="K3919" s="62" t="s">
        <v>138</v>
      </c>
      <c r="L3919" s="68" t="b">
        <f aca="false">TRUE()</f>
        <v>1</v>
      </c>
    </row>
    <row r="3920" customFormat="false" ht="15" hidden="false" customHeight="false" outlineLevel="0" collapsed="false">
      <c r="A3920" s="62" t="n">
        <v>1</v>
      </c>
      <c r="B3920" s="21" t="s">
        <v>336</v>
      </c>
      <c r="C3920" s="62" t="s">
        <v>60</v>
      </c>
      <c r="D3920" s="62" t="s">
        <v>384</v>
      </c>
      <c r="E3920" s="62" t="s">
        <v>67</v>
      </c>
      <c r="F3920" s="62" t="s">
        <v>382</v>
      </c>
      <c r="G3920" s="63" t="s">
        <v>428</v>
      </c>
      <c r="H3920" s="64" t="n">
        <v>-265023478.648551</v>
      </c>
      <c r="I3920" s="62" t="s">
        <v>81</v>
      </c>
      <c r="J3920" s="64" t="n">
        <v>-265023.478648551</v>
      </c>
      <c r="K3920" s="62" t="s">
        <v>138</v>
      </c>
      <c r="L3920" s="68" t="b">
        <f aca="false">TRUE()</f>
        <v>1</v>
      </c>
    </row>
    <row r="3921" customFormat="false" ht="15" hidden="false" customHeight="false" outlineLevel="0" collapsed="false">
      <c r="A3921" s="62" t="n">
        <v>1</v>
      </c>
      <c r="B3921" s="21" t="s">
        <v>336</v>
      </c>
      <c r="C3921" s="62" t="s">
        <v>60</v>
      </c>
      <c r="D3921" s="62" t="s">
        <v>385</v>
      </c>
      <c r="E3921" s="62" t="s">
        <v>67</v>
      </c>
      <c r="F3921" s="62" t="s">
        <v>382</v>
      </c>
      <c r="G3921" s="63" t="s">
        <v>428</v>
      </c>
      <c r="H3921" s="64" t="n">
        <v>-256303605.687244</v>
      </c>
      <c r="I3921" s="62" t="s">
        <v>81</v>
      </c>
      <c r="J3921" s="64" t="n">
        <v>-256303.605687244</v>
      </c>
      <c r="K3921" s="62" t="s">
        <v>138</v>
      </c>
      <c r="L3921" s="68" t="b">
        <f aca="false">TRUE()</f>
        <v>1</v>
      </c>
    </row>
    <row r="3922" customFormat="false" ht="15" hidden="false" customHeight="false" outlineLevel="0" collapsed="false">
      <c r="A3922" s="62" t="n">
        <v>1</v>
      </c>
      <c r="B3922" s="21" t="s">
        <v>336</v>
      </c>
      <c r="C3922" s="62" t="s">
        <v>60</v>
      </c>
      <c r="D3922" s="62" t="s">
        <v>386</v>
      </c>
      <c r="E3922" s="62" t="s">
        <v>67</v>
      </c>
      <c r="F3922" s="62" t="s">
        <v>382</v>
      </c>
      <c r="G3922" s="63" t="s">
        <v>428</v>
      </c>
      <c r="H3922" s="64" t="n">
        <v>-249237759.523399</v>
      </c>
      <c r="I3922" s="62" t="s">
        <v>81</v>
      </c>
      <c r="J3922" s="64" t="n">
        <v>-249237.759523399</v>
      </c>
      <c r="K3922" s="62" t="s">
        <v>138</v>
      </c>
      <c r="L3922" s="68" t="b">
        <f aca="false">TRUE()</f>
        <v>1</v>
      </c>
    </row>
    <row r="3923" customFormat="false" ht="15" hidden="false" customHeight="false" outlineLevel="0" collapsed="false">
      <c r="A3923" s="62" t="n">
        <v>1</v>
      </c>
      <c r="B3923" s="21" t="s">
        <v>336</v>
      </c>
      <c r="C3923" s="62" t="s">
        <v>60</v>
      </c>
      <c r="D3923" s="62" t="s">
        <v>387</v>
      </c>
      <c r="E3923" s="62" t="s">
        <v>67</v>
      </c>
      <c r="F3923" s="62" t="s">
        <v>382</v>
      </c>
      <c r="G3923" s="63" t="s">
        <v>428</v>
      </c>
      <c r="H3923" s="64" t="n">
        <v>-403944478.547804</v>
      </c>
      <c r="I3923" s="62" t="s">
        <v>81</v>
      </c>
      <c r="J3923" s="64" t="n">
        <v>-403944.478547804</v>
      </c>
      <c r="K3923" s="62" t="s">
        <v>138</v>
      </c>
      <c r="L3923" s="68" t="b">
        <f aca="false">TRUE()</f>
        <v>1</v>
      </c>
    </row>
    <row r="3924" customFormat="false" ht="15" hidden="false" customHeight="false" outlineLevel="0" collapsed="false">
      <c r="A3924" s="62" t="n">
        <v>1</v>
      </c>
      <c r="B3924" s="21" t="s">
        <v>336</v>
      </c>
      <c r="C3924" s="62" t="s">
        <v>60</v>
      </c>
      <c r="D3924" s="62" t="s">
        <v>388</v>
      </c>
      <c r="E3924" s="62" t="s">
        <v>67</v>
      </c>
      <c r="F3924" s="62" t="s">
        <v>382</v>
      </c>
      <c r="G3924" s="63" t="s">
        <v>428</v>
      </c>
      <c r="H3924" s="64" t="n">
        <v>-741827150.148787</v>
      </c>
      <c r="I3924" s="62" t="s">
        <v>81</v>
      </c>
      <c r="J3924" s="64" t="n">
        <v>-741827.150148787</v>
      </c>
      <c r="K3924" s="62" t="s">
        <v>138</v>
      </c>
      <c r="L3924" s="68" t="b">
        <f aca="false">TRUE()</f>
        <v>1</v>
      </c>
    </row>
    <row r="3925" customFormat="false" ht="15" hidden="false" customHeight="false" outlineLevel="0" collapsed="false">
      <c r="A3925" s="62" t="n">
        <v>1</v>
      </c>
      <c r="B3925" s="21" t="s">
        <v>336</v>
      </c>
      <c r="C3925" s="62" t="s">
        <v>60</v>
      </c>
      <c r="D3925" s="62" t="s">
        <v>381</v>
      </c>
      <c r="E3925" s="62" t="s">
        <v>67</v>
      </c>
      <c r="F3925" s="62" t="s">
        <v>382</v>
      </c>
      <c r="G3925" s="63" t="s">
        <v>429</v>
      </c>
      <c r="H3925" s="64" t="n">
        <v>-330397613.572167</v>
      </c>
      <c r="I3925" s="62" t="s">
        <v>81</v>
      </c>
      <c r="J3925" s="64" t="n">
        <v>-330397.613572167</v>
      </c>
      <c r="K3925" s="62" t="s">
        <v>138</v>
      </c>
      <c r="L3925" s="68" t="b">
        <f aca="false">TRUE()</f>
        <v>1</v>
      </c>
    </row>
    <row r="3926" customFormat="false" ht="15" hidden="false" customHeight="false" outlineLevel="0" collapsed="false">
      <c r="A3926" s="62" t="n">
        <v>1</v>
      </c>
      <c r="B3926" s="21" t="s">
        <v>336</v>
      </c>
      <c r="C3926" s="62" t="s">
        <v>60</v>
      </c>
      <c r="D3926" s="62" t="s">
        <v>383</v>
      </c>
      <c r="E3926" s="62" t="s">
        <v>67</v>
      </c>
      <c r="F3926" s="62" t="s">
        <v>382</v>
      </c>
      <c r="G3926" s="63" t="s">
        <v>429</v>
      </c>
      <c r="H3926" s="64" t="n">
        <v>-549970371.356756</v>
      </c>
      <c r="I3926" s="62" t="s">
        <v>81</v>
      </c>
      <c r="J3926" s="64" t="n">
        <v>-549970.371356756</v>
      </c>
      <c r="K3926" s="62" t="s">
        <v>138</v>
      </c>
      <c r="L3926" s="68" t="b">
        <f aca="false">TRUE()</f>
        <v>1</v>
      </c>
    </row>
    <row r="3927" customFormat="false" ht="15" hidden="false" customHeight="false" outlineLevel="0" collapsed="false">
      <c r="A3927" s="62" t="n">
        <v>1</v>
      </c>
      <c r="B3927" s="21" t="s">
        <v>336</v>
      </c>
      <c r="C3927" s="62" t="s">
        <v>60</v>
      </c>
      <c r="D3927" s="62" t="s">
        <v>384</v>
      </c>
      <c r="E3927" s="62" t="s">
        <v>67</v>
      </c>
      <c r="F3927" s="62" t="s">
        <v>382</v>
      </c>
      <c r="G3927" s="63" t="s">
        <v>429</v>
      </c>
      <c r="H3927" s="64" t="n">
        <v>-430769576.940968</v>
      </c>
      <c r="I3927" s="62" t="s">
        <v>81</v>
      </c>
      <c r="J3927" s="64" t="n">
        <v>-430769.576940968</v>
      </c>
      <c r="K3927" s="62" t="s">
        <v>138</v>
      </c>
      <c r="L3927" s="68" t="b">
        <f aca="false">TRUE()</f>
        <v>1</v>
      </c>
    </row>
    <row r="3928" customFormat="false" ht="15" hidden="false" customHeight="false" outlineLevel="0" collapsed="false">
      <c r="A3928" s="62" t="n">
        <v>1</v>
      </c>
      <c r="B3928" s="21" t="s">
        <v>336</v>
      </c>
      <c r="C3928" s="62" t="s">
        <v>60</v>
      </c>
      <c r="D3928" s="62" t="s">
        <v>385</v>
      </c>
      <c r="E3928" s="62" t="s">
        <v>67</v>
      </c>
      <c r="F3928" s="62" t="s">
        <v>382</v>
      </c>
      <c r="G3928" s="63" t="s">
        <v>429</v>
      </c>
      <c r="H3928" s="64" t="n">
        <v>-906365574.814264</v>
      </c>
      <c r="I3928" s="62" t="s">
        <v>81</v>
      </c>
      <c r="J3928" s="64" t="n">
        <v>-906365.574814264</v>
      </c>
      <c r="K3928" s="62" t="s">
        <v>138</v>
      </c>
      <c r="L3928" s="68" t="b">
        <f aca="false">TRUE()</f>
        <v>1</v>
      </c>
    </row>
    <row r="3929" customFormat="false" ht="15" hidden="false" customHeight="false" outlineLevel="0" collapsed="false">
      <c r="A3929" s="62" t="n">
        <v>1</v>
      </c>
      <c r="B3929" s="21" t="s">
        <v>336</v>
      </c>
      <c r="C3929" s="62" t="s">
        <v>60</v>
      </c>
      <c r="D3929" s="62" t="s">
        <v>386</v>
      </c>
      <c r="E3929" s="62" t="s">
        <v>67</v>
      </c>
      <c r="F3929" s="62" t="s">
        <v>382</v>
      </c>
      <c r="G3929" s="63" t="s">
        <v>429</v>
      </c>
      <c r="H3929" s="64" t="n">
        <v>-724998708.14975</v>
      </c>
      <c r="I3929" s="62" t="s">
        <v>81</v>
      </c>
      <c r="J3929" s="64" t="n">
        <v>-724998.70814975</v>
      </c>
      <c r="K3929" s="62" t="s">
        <v>138</v>
      </c>
      <c r="L3929" s="68" t="b">
        <f aca="false">TRUE()</f>
        <v>1</v>
      </c>
    </row>
    <row r="3930" customFormat="false" ht="15" hidden="false" customHeight="false" outlineLevel="0" collapsed="false">
      <c r="A3930" s="62" t="n">
        <v>1</v>
      </c>
      <c r="B3930" s="21" t="s">
        <v>336</v>
      </c>
      <c r="C3930" s="62" t="s">
        <v>60</v>
      </c>
      <c r="D3930" s="62" t="s">
        <v>387</v>
      </c>
      <c r="E3930" s="62" t="s">
        <v>67</v>
      </c>
      <c r="F3930" s="62" t="s">
        <v>382</v>
      </c>
      <c r="G3930" s="63" t="s">
        <v>429</v>
      </c>
      <c r="H3930" s="64" t="n">
        <v>-1408630453.67452</v>
      </c>
      <c r="I3930" s="62" t="s">
        <v>81</v>
      </c>
      <c r="J3930" s="64" t="n">
        <v>-1408630.45367452</v>
      </c>
      <c r="K3930" s="62" t="s">
        <v>138</v>
      </c>
      <c r="L3930" s="68" t="b">
        <f aca="false">TRUE()</f>
        <v>1</v>
      </c>
    </row>
    <row r="3931" customFormat="false" ht="15" hidden="false" customHeight="false" outlineLevel="0" collapsed="false">
      <c r="A3931" s="62" t="n">
        <v>1</v>
      </c>
      <c r="B3931" s="21" t="s">
        <v>336</v>
      </c>
      <c r="C3931" s="62" t="s">
        <v>60</v>
      </c>
      <c r="D3931" s="62" t="s">
        <v>388</v>
      </c>
      <c r="E3931" s="62" t="s">
        <v>67</v>
      </c>
      <c r="F3931" s="62" t="s">
        <v>382</v>
      </c>
      <c r="G3931" s="63" t="s">
        <v>429</v>
      </c>
      <c r="H3931" s="64" t="n">
        <v>-53953085.9968569</v>
      </c>
      <c r="I3931" s="62" t="s">
        <v>81</v>
      </c>
      <c r="J3931" s="64" t="n">
        <v>-53953.0859968569</v>
      </c>
      <c r="K3931" s="62" t="s">
        <v>138</v>
      </c>
      <c r="L3931" s="68" t="b">
        <f aca="false">TRUE()</f>
        <v>1</v>
      </c>
    </row>
    <row r="3932" customFormat="false" ht="15" hidden="false" customHeight="false" outlineLevel="0" collapsed="false">
      <c r="A3932" s="62" t="n">
        <v>1</v>
      </c>
      <c r="B3932" s="21" t="s">
        <v>336</v>
      </c>
      <c r="C3932" s="62" t="s">
        <v>60</v>
      </c>
      <c r="D3932" s="62" t="s">
        <v>381</v>
      </c>
      <c r="E3932" s="62" t="s">
        <v>67</v>
      </c>
      <c r="F3932" s="62" t="s">
        <v>382</v>
      </c>
      <c r="G3932" s="63" t="s">
        <v>430</v>
      </c>
      <c r="H3932" s="64" t="n">
        <v>-4168006335.0791</v>
      </c>
      <c r="I3932" s="62" t="s">
        <v>81</v>
      </c>
      <c r="J3932" s="64" t="n">
        <v>-4168006.3350791</v>
      </c>
      <c r="K3932" s="62" t="s">
        <v>138</v>
      </c>
      <c r="L3932" s="68" t="b">
        <f aca="false">TRUE()</f>
        <v>1</v>
      </c>
    </row>
    <row r="3933" customFormat="false" ht="15" hidden="false" customHeight="false" outlineLevel="0" collapsed="false">
      <c r="A3933" s="62" t="n">
        <v>1</v>
      </c>
      <c r="B3933" s="21" t="s">
        <v>336</v>
      </c>
      <c r="C3933" s="62" t="s">
        <v>60</v>
      </c>
      <c r="D3933" s="62" t="s">
        <v>383</v>
      </c>
      <c r="E3933" s="62" t="s">
        <v>67</v>
      </c>
      <c r="F3933" s="62" t="s">
        <v>382</v>
      </c>
      <c r="G3933" s="63" t="s">
        <v>430</v>
      </c>
      <c r="H3933" s="64" t="n">
        <v>2590019322.34563</v>
      </c>
      <c r="I3933" s="62" t="s">
        <v>81</v>
      </c>
      <c r="J3933" s="64" t="n">
        <v>2590019.32234563</v>
      </c>
      <c r="K3933" s="62" t="s">
        <v>138</v>
      </c>
      <c r="L3933" s="68" t="b">
        <f aca="false">TRUE()</f>
        <v>1</v>
      </c>
    </row>
    <row r="3934" customFormat="false" ht="15" hidden="false" customHeight="false" outlineLevel="0" collapsed="false">
      <c r="A3934" s="62" t="n">
        <v>1</v>
      </c>
      <c r="B3934" s="21" t="s">
        <v>336</v>
      </c>
      <c r="C3934" s="62" t="s">
        <v>60</v>
      </c>
      <c r="D3934" s="62" t="s">
        <v>384</v>
      </c>
      <c r="E3934" s="62" t="s">
        <v>67</v>
      </c>
      <c r="F3934" s="62" t="s">
        <v>382</v>
      </c>
      <c r="G3934" s="63" t="s">
        <v>430</v>
      </c>
      <c r="H3934" s="64" t="n">
        <v>2243860070.73575</v>
      </c>
      <c r="I3934" s="62" t="s">
        <v>81</v>
      </c>
      <c r="J3934" s="64" t="n">
        <v>2243860.07073575</v>
      </c>
      <c r="K3934" s="62" t="s">
        <v>138</v>
      </c>
      <c r="L3934" s="68" t="b">
        <f aca="false">TRUE()</f>
        <v>1</v>
      </c>
    </row>
    <row r="3935" customFormat="false" ht="15" hidden="false" customHeight="false" outlineLevel="0" collapsed="false">
      <c r="A3935" s="62" t="n">
        <v>1</v>
      </c>
      <c r="B3935" s="21" t="s">
        <v>336</v>
      </c>
      <c r="C3935" s="62" t="s">
        <v>60</v>
      </c>
      <c r="D3935" s="62" t="s">
        <v>385</v>
      </c>
      <c r="E3935" s="62" t="s">
        <v>67</v>
      </c>
      <c r="F3935" s="62" t="s">
        <v>382</v>
      </c>
      <c r="G3935" s="63" t="s">
        <v>430</v>
      </c>
      <c r="H3935" s="64" t="n">
        <v>-470692045.448434</v>
      </c>
      <c r="I3935" s="62" t="s">
        <v>81</v>
      </c>
      <c r="J3935" s="64" t="n">
        <v>-470692.045448434</v>
      </c>
      <c r="K3935" s="62" t="s">
        <v>138</v>
      </c>
      <c r="L3935" s="68" t="b">
        <f aca="false">TRUE()</f>
        <v>1</v>
      </c>
    </row>
    <row r="3936" customFormat="false" ht="15" hidden="false" customHeight="false" outlineLevel="0" collapsed="false">
      <c r="A3936" s="62" t="n">
        <v>1</v>
      </c>
      <c r="B3936" s="21" t="s">
        <v>336</v>
      </c>
      <c r="C3936" s="62" t="s">
        <v>60</v>
      </c>
      <c r="D3936" s="62" t="s">
        <v>386</v>
      </c>
      <c r="E3936" s="62" t="s">
        <v>67</v>
      </c>
      <c r="F3936" s="62" t="s">
        <v>382</v>
      </c>
      <c r="G3936" s="63" t="s">
        <v>430</v>
      </c>
      <c r="H3936" s="64" t="n">
        <v>3017910831.6041</v>
      </c>
      <c r="I3936" s="62" t="s">
        <v>81</v>
      </c>
      <c r="J3936" s="64" t="n">
        <v>3017910.8316041</v>
      </c>
      <c r="K3936" s="62" t="s">
        <v>138</v>
      </c>
      <c r="L3936" s="68" t="b">
        <f aca="false">TRUE()</f>
        <v>1</v>
      </c>
    </row>
    <row r="3937" customFormat="false" ht="15" hidden="false" customHeight="false" outlineLevel="0" collapsed="false">
      <c r="A3937" s="62" t="n">
        <v>1</v>
      </c>
      <c r="B3937" s="21" t="s">
        <v>336</v>
      </c>
      <c r="C3937" s="62" t="s">
        <v>60</v>
      </c>
      <c r="D3937" s="62" t="s">
        <v>387</v>
      </c>
      <c r="E3937" s="62" t="s">
        <v>67</v>
      </c>
      <c r="F3937" s="62" t="s">
        <v>382</v>
      </c>
      <c r="G3937" s="63" t="s">
        <v>430</v>
      </c>
      <c r="H3937" s="64" t="n">
        <v>5751987374.03561</v>
      </c>
      <c r="I3937" s="62" t="s">
        <v>81</v>
      </c>
      <c r="J3937" s="64" t="n">
        <v>5751987.37403561</v>
      </c>
      <c r="K3937" s="62" t="s">
        <v>138</v>
      </c>
      <c r="L3937" s="68" t="b">
        <f aca="false">TRUE()</f>
        <v>1</v>
      </c>
    </row>
    <row r="3938" customFormat="false" ht="15" hidden="false" customHeight="false" outlineLevel="0" collapsed="false">
      <c r="A3938" s="62" t="n">
        <v>1</v>
      </c>
      <c r="B3938" s="21" t="s">
        <v>336</v>
      </c>
      <c r="C3938" s="62" t="s">
        <v>60</v>
      </c>
      <c r="D3938" s="62" t="s">
        <v>388</v>
      </c>
      <c r="E3938" s="62" t="s">
        <v>67</v>
      </c>
      <c r="F3938" s="62" t="s">
        <v>382</v>
      </c>
      <c r="G3938" s="63" t="s">
        <v>430</v>
      </c>
      <c r="H3938" s="64" t="n">
        <v>706654096.3391</v>
      </c>
      <c r="I3938" s="62" t="s">
        <v>81</v>
      </c>
      <c r="J3938" s="64" t="n">
        <v>706654.0963391</v>
      </c>
      <c r="K3938" s="62" t="s">
        <v>138</v>
      </c>
      <c r="L3938" s="68" t="b">
        <f aca="false">TRUE()</f>
        <v>1</v>
      </c>
    </row>
    <row r="3939" customFormat="false" ht="15" hidden="false" customHeight="false" outlineLevel="0" collapsed="false">
      <c r="A3939" s="62" t="n">
        <v>1</v>
      </c>
      <c r="B3939" s="21" t="s">
        <v>336</v>
      </c>
      <c r="C3939" s="62" t="s">
        <v>60</v>
      </c>
      <c r="D3939" s="62" t="s">
        <v>381</v>
      </c>
      <c r="E3939" s="62" t="s">
        <v>67</v>
      </c>
      <c r="F3939" s="62" t="s">
        <v>382</v>
      </c>
      <c r="G3939" s="63" t="s">
        <v>431</v>
      </c>
      <c r="H3939" s="64" t="n">
        <v>-14000000</v>
      </c>
      <c r="I3939" s="62" t="s">
        <v>81</v>
      </c>
      <c r="J3939" s="64" t="n">
        <v>-14000</v>
      </c>
      <c r="K3939" s="62" t="s">
        <v>138</v>
      </c>
      <c r="L3939" s="68" t="b">
        <f aca="false">TRUE()</f>
        <v>1</v>
      </c>
    </row>
    <row r="3940" customFormat="false" ht="15" hidden="false" customHeight="false" outlineLevel="0" collapsed="false">
      <c r="A3940" s="62" t="n">
        <v>1</v>
      </c>
      <c r="B3940" s="21" t="s">
        <v>336</v>
      </c>
      <c r="C3940" s="62" t="s">
        <v>60</v>
      </c>
      <c r="D3940" s="62" t="s">
        <v>383</v>
      </c>
      <c r="E3940" s="62" t="s">
        <v>67</v>
      </c>
      <c r="F3940" s="62" t="s">
        <v>382</v>
      </c>
      <c r="G3940" s="63" t="s">
        <v>431</v>
      </c>
      <c r="H3940" s="64" t="n">
        <v>-17500000</v>
      </c>
      <c r="I3940" s="62" t="s">
        <v>81</v>
      </c>
      <c r="J3940" s="64" t="n">
        <v>-17500</v>
      </c>
      <c r="K3940" s="62" t="s">
        <v>138</v>
      </c>
      <c r="L3940" s="68" t="b">
        <f aca="false">TRUE()</f>
        <v>1</v>
      </c>
    </row>
    <row r="3941" customFormat="false" ht="15" hidden="false" customHeight="false" outlineLevel="0" collapsed="false">
      <c r="A3941" s="62" t="n">
        <v>1</v>
      </c>
      <c r="B3941" s="21" t="s">
        <v>336</v>
      </c>
      <c r="C3941" s="62" t="s">
        <v>60</v>
      </c>
      <c r="D3941" s="62" t="s">
        <v>384</v>
      </c>
      <c r="E3941" s="62" t="s">
        <v>67</v>
      </c>
      <c r="F3941" s="62" t="s">
        <v>382</v>
      </c>
      <c r="G3941" s="63" t="s">
        <v>431</v>
      </c>
      <c r="H3941" s="64" t="n">
        <v>-14000000</v>
      </c>
      <c r="I3941" s="62" t="s">
        <v>81</v>
      </c>
      <c r="J3941" s="64" t="n">
        <v>-14000</v>
      </c>
      <c r="K3941" s="62" t="s">
        <v>138</v>
      </c>
      <c r="L3941" s="68" t="b">
        <f aca="false">TRUE()</f>
        <v>1</v>
      </c>
    </row>
    <row r="3942" customFormat="false" ht="15" hidden="false" customHeight="false" outlineLevel="0" collapsed="false">
      <c r="A3942" s="62" t="n">
        <v>1</v>
      </c>
      <c r="B3942" s="21" t="s">
        <v>336</v>
      </c>
      <c r="C3942" s="62" t="s">
        <v>60</v>
      </c>
      <c r="D3942" s="62" t="s">
        <v>385</v>
      </c>
      <c r="E3942" s="62" t="s">
        <v>67</v>
      </c>
      <c r="F3942" s="62" t="s">
        <v>382</v>
      </c>
      <c r="G3942" s="63" t="s">
        <v>431</v>
      </c>
      <c r="H3942" s="64" t="n">
        <v>-17500000</v>
      </c>
      <c r="I3942" s="62" t="s">
        <v>81</v>
      </c>
      <c r="J3942" s="64" t="n">
        <v>-17500</v>
      </c>
      <c r="K3942" s="62" t="s">
        <v>138</v>
      </c>
      <c r="L3942" s="68" t="b">
        <f aca="false">TRUE()</f>
        <v>1</v>
      </c>
    </row>
    <row r="3943" customFormat="false" ht="15" hidden="false" customHeight="false" outlineLevel="0" collapsed="false">
      <c r="A3943" s="62" t="n">
        <v>1</v>
      </c>
      <c r="B3943" s="21" t="s">
        <v>336</v>
      </c>
      <c r="C3943" s="62" t="s">
        <v>60</v>
      </c>
      <c r="D3943" s="62" t="s">
        <v>386</v>
      </c>
      <c r="E3943" s="62" t="s">
        <v>67</v>
      </c>
      <c r="F3943" s="62" t="s">
        <v>382</v>
      </c>
      <c r="G3943" s="63" t="s">
        <v>431</v>
      </c>
      <c r="H3943" s="64" t="n">
        <v>-52500000</v>
      </c>
      <c r="I3943" s="62" t="s">
        <v>81</v>
      </c>
      <c r="J3943" s="64" t="n">
        <v>-52500</v>
      </c>
      <c r="K3943" s="62" t="s">
        <v>138</v>
      </c>
      <c r="L3943" s="68" t="b">
        <f aca="false">TRUE()</f>
        <v>1</v>
      </c>
    </row>
    <row r="3944" customFormat="false" ht="15" hidden="false" customHeight="false" outlineLevel="0" collapsed="false">
      <c r="A3944" s="62" t="n">
        <v>1</v>
      </c>
      <c r="B3944" s="21" t="s">
        <v>336</v>
      </c>
      <c r="C3944" s="62" t="s">
        <v>60</v>
      </c>
      <c r="D3944" s="62" t="s">
        <v>387</v>
      </c>
      <c r="E3944" s="62" t="s">
        <v>67</v>
      </c>
      <c r="F3944" s="62" t="s">
        <v>382</v>
      </c>
      <c r="G3944" s="63" t="s">
        <v>431</v>
      </c>
      <c r="H3944" s="64" t="n">
        <v>-14000000</v>
      </c>
      <c r="I3944" s="62" t="s">
        <v>81</v>
      </c>
      <c r="J3944" s="64" t="n">
        <v>-14000</v>
      </c>
      <c r="K3944" s="62" t="s">
        <v>138</v>
      </c>
      <c r="L3944" s="68" t="b">
        <f aca="false">TRUE()</f>
        <v>1</v>
      </c>
    </row>
    <row r="3945" customFormat="false" ht="15" hidden="false" customHeight="false" outlineLevel="0" collapsed="false">
      <c r="A3945" s="62" t="n">
        <v>1</v>
      </c>
      <c r="B3945" s="21" t="s">
        <v>336</v>
      </c>
      <c r="C3945" s="62" t="s">
        <v>60</v>
      </c>
      <c r="D3945" s="62" t="s">
        <v>388</v>
      </c>
      <c r="E3945" s="62" t="s">
        <v>67</v>
      </c>
      <c r="F3945" s="62" t="s">
        <v>382</v>
      </c>
      <c r="G3945" s="63" t="s">
        <v>431</v>
      </c>
      <c r="H3945" s="64" t="n">
        <v>-31500000</v>
      </c>
      <c r="I3945" s="62" t="s">
        <v>81</v>
      </c>
      <c r="J3945" s="64" t="n">
        <v>-31500</v>
      </c>
      <c r="K3945" s="62" t="s">
        <v>138</v>
      </c>
      <c r="L3945" s="68" t="b">
        <f aca="false">TRUE()</f>
        <v>1</v>
      </c>
    </row>
    <row r="3946" customFormat="false" ht="15" hidden="false" customHeight="false" outlineLevel="0" collapsed="false">
      <c r="A3946" s="62" t="n">
        <v>1</v>
      </c>
      <c r="B3946" s="21" t="s">
        <v>336</v>
      </c>
      <c r="C3946" s="62" t="s">
        <v>60</v>
      </c>
      <c r="D3946" s="62" t="s">
        <v>381</v>
      </c>
      <c r="E3946" s="62" t="s">
        <v>67</v>
      </c>
      <c r="F3946" s="62" t="s">
        <v>382</v>
      </c>
      <c r="G3946" s="63" t="s">
        <v>432</v>
      </c>
      <c r="H3946" s="64" t="n">
        <v>-4182006335.0791</v>
      </c>
      <c r="I3946" s="62" t="s">
        <v>81</v>
      </c>
      <c r="J3946" s="64" t="n">
        <v>-4182006.3350791</v>
      </c>
      <c r="K3946" s="62" t="s">
        <v>138</v>
      </c>
      <c r="L3946" s="68" t="b">
        <f aca="false">TRUE()</f>
        <v>1</v>
      </c>
    </row>
    <row r="3947" customFormat="false" ht="15" hidden="false" customHeight="false" outlineLevel="0" collapsed="false">
      <c r="A3947" s="62" t="n">
        <v>1</v>
      </c>
      <c r="B3947" s="21" t="s">
        <v>336</v>
      </c>
      <c r="C3947" s="62" t="s">
        <v>60</v>
      </c>
      <c r="D3947" s="62" t="s">
        <v>383</v>
      </c>
      <c r="E3947" s="62" t="s">
        <v>67</v>
      </c>
      <c r="F3947" s="62" t="s">
        <v>382</v>
      </c>
      <c r="G3947" s="63" t="s">
        <v>432</v>
      </c>
      <c r="H3947" s="64" t="n">
        <v>2572519322.34563</v>
      </c>
      <c r="I3947" s="62" t="s">
        <v>81</v>
      </c>
      <c r="J3947" s="64" t="n">
        <v>2572519.32234563</v>
      </c>
      <c r="K3947" s="62" t="s">
        <v>138</v>
      </c>
      <c r="L3947" s="68" t="b">
        <f aca="false">TRUE()</f>
        <v>1</v>
      </c>
    </row>
    <row r="3948" customFormat="false" ht="15" hidden="false" customHeight="false" outlineLevel="0" collapsed="false">
      <c r="A3948" s="62" t="n">
        <v>1</v>
      </c>
      <c r="B3948" s="21" t="s">
        <v>336</v>
      </c>
      <c r="C3948" s="62" t="s">
        <v>60</v>
      </c>
      <c r="D3948" s="62" t="s">
        <v>384</v>
      </c>
      <c r="E3948" s="62" t="s">
        <v>67</v>
      </c>
      <c r="F3948" s="62" t="s">
        <v>382</v>
      </c>
      <c r="G3948" s="63" t="s">
        <v>432</v>
      </c>
      <c r="H3948" s="64" t="n">
        <v>2229860070.73575</v>
      </c>
      <c r="I3948" s="62" t="s">
        <v>81</v>
      </c>
      <c r="J3948" s="64" t="n">
        <v>2229860.07073575</v>
      </c>
      <c r="K3948" s="62" t="s">
        <v>138</v>
      </c>
      <c r="L3948" s="68" t="b">
        <f aca="false">TRUE()</f>
        <v>1</v>
      </c>
    </row>
    <row r="3949" customFormat="false" ht="15" hidden="false" customHeight="false" outlineLevel="0" collapsed="false">
      <c r="A3949" s="62" t="n">
        <v>1</v>
      </c>
      <c r="B3949" s="21" t="s">
        <v>336</v>
      </c>
      <c r="C3949" s="62" t="s">
        <v>60</v>
      </c>
      <c r="D3949" s="62" t="s">
        <v>385</v>
      </c>
      <c r="E3949" s="62" t="s">
        <v>67</v>
      </c>
      <c r="F3949" s="62" t="s">
        <v>382</v>
      </c>
      <c r="G3949" s="63" t="s">
        <v>432</v>
      </c>
      <c r="H3949" s="64" t="n">
        <v>-488192045.448434</v>
      </c>
      <c r="I3949" s="62" t="s">
        <v>81</v>
      </c>
      <c r="J3949" s="64" t="n">
        <v>-488192.045448434</v>
      </c>
      <c r="K3949" s="62" t="s">
        <v>138</v>
      </c>
      <c r="L3949" s="68" t="b">
        <f aca="false">TRUE()</f>
        <v>1</v>
      </c>
    </row>
    <row r="3950" customFormat="false" ht="15" hidden="false" customHeight="false" outlineLevel="0" collapsed="false">
      <c r="A3950" s="62" t="n">
        <v>1</v>
      </c>
      <c r="B3950" s="21" t="s">
        <v>336</v>
      </c>
      <c r="C3950" s="62" t="s">
        <v>60</v>
      </c>
      <c r="D3950" s="62" t="s">
        <v>386</v>
      </c>
      <c r="E3950" s="62" t="s">
        <v>67</v>
      </c>
      <c r="F3950" s="62" t="s">
        <v>382</v>
      </c>
      <c r="G3950" s="63" t="s">
        <v>432</v>
      </c>
      <c r="H3950" s="64" t="n">
        <v>2965410831.6041</v>
      </c>
      <c r="I3950" s="62" t="s">
        <v>81</v>
      </c>
      <c r="J3950" s="64" t="n">
        <v>2965410.8316041</v>
      </c>
      <c r="K3950" s="62" t="s">
        <v>138</v>
      </c>
      <c r="L3950" s="68" t="b">
        <f aca="false">TRUE()</f>
        <v>1</v>
      </c>
    </row>
    <row r="3951" customFormat="false" ht="15" hidden="false" customHeight="false" outlineLevel="0" collapsed="false">
      <c r="A3951" s="62" t="n">
        <v>1</v>
      </c>
      <c r="B3951" s="21" t="s">
        <v>336</v>
      </c>
      <c r="C3951" s="62" t="s">
        <v>60</v>
      </c>
      <c r="D3951" s="62" t="s">
        <v>387</v>
      </c>
      <c r="E3951" s="62" t="s">
        <v>67</v>
      </c>
      <c r="F3951" s="62" t="s">
        <v>382</v>
      </c>
      <c r="G3951" s="63" t="s">
        <v>432</v>
      </c>
      <c r="H3951" s="64" t="n">
        <v>5737987374.03561</v>
      </c>
      <c r="I3951" s="62" t="s">
        <v>81</v>
      </c>
      <c r="J3951" s="64" t="n">
        <v>5737987.37403561</v>
      </c>
      <c r="K3951" s="62" t="s">
        <v>138</v>
      </c>
      <c r="L3951" s="68" t="b">
        <f aca="false">TRUE()</f>
        <v>1</v>
      </c>
    </row>
    <row r="3952" customFormat="false" ht="15" hidden="false" customHeight="false" outlineLevel="0" collapsed="false">
      <c r="A3952" s="62" t="n">
        <v>1</v>
      </c>
      <c r="B3952" s="21" t="s">
        <v>336</v>
      </c>
      <c r="C3952" s="62" t="s">
        <v>60</v>
      </c>
      <c r="D3952" s="62" t="s">
        <v>388</v>
      </c>
      <c r="E3952" s="62" t="s">
        <v>67</v>
      </c>
      <c r="F3952" s="62" t="s">
        <v>382</v>
      </c>
      <c r="G3952" s="63" t="s">
        <v>432</v>
      </c>
      <c r="H3952" s="64" t="n">
        <v>675154096.3391</v>
      </c>
      <c r="I3952" s="62" t="s">
        <v>81</v>
      </c>
      <c r="J3952" s="64" t="n">
        <v>675154.0963391</v>
      </c>
      <c r="K3952" s="62" t="s">
        <v>138</v>
      </c>
      <c r="L3952" s="68" t="b">
        <f aca="false">TRUE()</f>
        <v>1</v>
      </c>
    </row>
    <row r="3953" customFormat="false" ht="15" hidden="false" customHeight="false" outlineLevel="0" collapsed="false">
      <c r="A3953" s="62" t="n">
        <v>1</v>
      </c>
      <c r="B3953" s="21" t="s">
        <v>336</v>
      </c>
      <c r="C3953" s="62" t="s">
        <v>60</v>
      </c>
      <c r="D3953" s="62" t="s">
        <v>381</v>
      </c>
      <c r="E3953" s="62" t="s">
        <v>67</v>
      </c>
      <c r="F3953" s="62" t="s">
        <v>382</v>
      </c>
      <c r="G3953" s="63" t="s">
        <v>433</v>
      </c>
      <c r="H3953" s="64" t="n">
        <v>-2000000000</v>
      </c>
      <c r="I3953" s="62" t="s">
        <v>81</v>
      </c>
      <c r="J3953" s="64" t="n">
        <v>-2000000</v>
      </c>
      <c r="K3953" s="62" t="s">
        <v>138</v>
      </c>
      <c r="L3953" s="68" t="b">
        <f aca="false">TRUE()</f>
        <v>1</v>
      </c>
    </row>
    <row r="3954" customFormat="false" ht="15" hidden="false" customHeight="false" outlineLevel="0" collapsed="false">
      <c r="A3954" s="62" t="n">
        <v>1</v>
      </c>
      <c r="B3954" s="21" t="s">
        <v>336</v>
      </c>
      <c r="C3954" s="62" t="s">
        <v>60</v>
      </c>
      <c r="D3954" s="62" t="s">
        <v>383</v>
      </c>
      <c r="E3954" s="62" t="s">
        <v>67</v>
      </c>
      <c r="F3954" s="62" t="s">
        <v>382</v>
      </c>
      <c r="G3954" s="63" t="s">
        <v>433</v>
      </c>
      <c r="H3954" s="64" t="n">
        <v>-828583000</v>
      </c>
      <c r="I3954" s="62" t="s">
        <v>81</v>
      </c>
      <c r="J3954" s="64" t="n">
        <v>-828583</v>
      </c>
      <c r="K3954" s="62" t="s">
        <v>138</v>
      </c>
      <c r="L3954" s="68" t="b">
        <f aca="false">TRUE()</f>
        <v>1</v>
      </c>
    </row>
    <row r="3955" customFormat="false" ht="15" hidden="false" customHeight="false" outlineLevel="0" collapsed="false">
      <c r="A3955" s="62" t="n">
        <v>1</v>
      </c>
      <c r="B3955" s="21" t="s">
        <v>336</v>
      </c>
      <c r="C3955" s="62" t="s">
        <v>60</v>
      </c>
      <c r="D3955" s="62" t="s">
        <v>384</v>
      </c>
      <c r="E3955" s="62" t="s">
        <v>67</v>
      </c>
      <c r="F3955" s="62" t="s">
        <v>382</v>
      </c>
      <c r="G3955" s="63" t="s">
        <v>433</v>
      </c>
      <c r="H3955" s="64" t="n">
        <v>-1657565000</v>
      </c>
      <c r="I3955" s="62" t="s">
        <v>81</v>
      </c>
      <c r="J3955" s="64" t="n">
        <v>-1657565</v>
      </c>
      <c r="K3955" s="62" t="s">
        <v>138</v>
      </c>
      <c r="L3955" s="68" t="b">
        <f aca="false">TRUE()</f>
        <v>1</v>
      </c>
    </row>
    <row r="3956" customFormat="false" ht="15" hidden="false" customHeight="false" outlineLevel="0" collapsed="false">
      <c r="A3956" s="62" t="n">
        <v>1</v>
      </c>
      <c r="B3956" s="21" t="s">
        <v>336</v>
      </c>
      <c r="C3956" s="62" t="s">
        <v>60</v>
      </c>
      <c r="D3956" s="62" t="s">
        <v>385</v>
      </c>
      <c r="E3956" s="62" t="s">
        <v>67</v>
      </c>
      <c r="F3956" s="62" t="s">
        <v>382</v>
      </c>
      <c r="G3956" s="63" t="s">
        <v>433</v>
      </c>
      <c r="H3956" s="64" t="n">
        <v>-276194000</v>
      </c>
      <c r="I3956" s="62" t="s">
        <v>81</v>
      </c>
      <c r="J3956" s="64" t="n">
        <v>-276194</v>
      </c>
      <c r="K3956" s="62" t="s">
        <v>138</v>
      </c>
      <c r="L3956" s="68" t="b">
        <f aca="false">TRUE()</f>
        <v>1</v>
      </c>
    </row>
    <row r="3957" customFormat="false" ht="15" hidden="false" customHeight="false" outlineLevel="0" collapsed="false">
      <c r="A3957" s="62" t="n">
        <v>1</v>
      </c>
      <c r="B3957" s="21" t="s">
        <v>336</v>
      </c>
      <c r="C3957" s="62" t="s">
        <v>60</v>
      </c>
      <c r="D3957" s="62" t="s">
        <v>386</v>
      </c>
      <c r="E3957" s="62" t="s">
        <v>67</v>
      </c>
      <c r="F3957" s="62" t="s">
        <v>382</v>
      </c>
      <c r="G3957" s="63" t="s">
        <v>433</v>
      </c>
      <c r="H3957" s="64" t="n">
        <v>-4500000000</v>
      </c>
      <c r="I3957" s="62" t="s">
        <v>81</v>
      </c>
      <c r="J3957" s="64" t="n">
        <v>-4500000</v>
      </c>
      <c r="K3957" s="62" t="s">
        <v>138</v>
      </c>
      <c r="L3957" s="68" t="b">
        <f aca="false">TRUE()</f>
        <v>1</v>
      </c>
    </row>
    <row r="3958" customFormat="false" ht="15" hidden="false" customHeight="false" outlineLevel="0" collapsed="false">
      <c r="A3958" s="62" t="n">
        <v>1</v>
      </c>
      <c r="B3958" s="21" t="s">
        <v>336</v>
      </c>
      <c r="C3958" s="62" t="s">
        <v>60</v>
      </c>
      <c r="D3958" s="62" t="s">
        <v>387</v>
      </c>
      <c r="E3958" s="62" t="s">
        <v>67</v>
      </c>
      <c r="F3958" s="62" t="s">
        <v>382</v>
      </c>
      <c r="G3958" s="63" t="s">
        <v>433</v>
      </c>
      <c r="H3958" s="64" t="n">
        <v>-1104778000</v>
      </c>
      <c r="I3958" s="62" t="s">
        <v>81</v>
      </c>
      <c r="J3958" s="64" t="n">
        <v>-1104778</v>
      </c>
      <c r="K3958" s="62" t="s">
        <v>138</v>
      </c>
      <c r="L3958" s="68" t="b">
        <f aca="false">TRUE()</f>
        <v>1</v>
      </c>
    </row>
    <row r="3959" customFormat="false" ht="15" hidden="false" customHeight="false" outlineLevel="0" collapsed="false">
      <c r="A3959" s="62" t="n">
        <v>1</v>
      </c>
      <c r="B3959" s="21" t="s">
        <v>336</v>
      </c>
      <c r="C3959" s="62" t="s">
        <v>60</v>
      </c>
      <c r="D3959" s="62" t="s">
        <v>388</v>
      </c>
      <c r="E3959" s="62" t="s">
        <v>67</v>
      </c>
      <c r="F3959" s="62" t="s">
        <v>382</v>
      </c>
      <c r="G3959" s="63" t="s">
        <v>433</v>
      </c>
      <c r="H3959" s="64" t="n">
        <v>-585463000</v>
      </c>
      <c r="I3959" s="62" t="s">
        <v>81</v>
      </c>
      <c r="J3959" s="64" t="n">
        <v>-585463</v>
      </c>
      <c r="K3959" s="62" t="s">
        <v>138</v>
      </c>
      <c r="L3959" s="68" t="b">
        <f aca="false">TRUE()</f>
        <v>1</v>
      </c>
    </row>
    <row r="3960" customFormat="false" ht="15" hidden="false" customHeight="false" outlineLevel="0" collapsed="false">
      <c r="A3960" s="62" t="n">
        <v>1</v>
      </c>
      <c r="B3960" s="21" t="s">
        <v>336</v>
      </c>
      <c r="C3960" s="62" t="s">
        <v>60</v>
      </c>
      <c r="D3960" s="62" t="s">
        <v>381</v>
      </c>
      <c r="E3960" s="62" t="s">
        <v>67</v>
      </c>
      <c r="F3960" s="62" t="s">
        <v>382</v>
      </c>
      <c r="G3960" s="63" t="s">
        <v>434</v>
      </c>
      <c r="H3960" s="64" t="n">
        <v>0</v>
      </c>
      <c r="I3960" s="62" t="s">
        <v>81</v>
      </c>
      <c r="J3960" s="64" t="n">
        <v>0</v>
      </c>
      <c r="K3960" s="62" t="s">
        <v>138</v>
      </c>
      <c r="L3960" s="68" t="b">
        <f aca="false">TRUE()</f>
        <v>1</v>
      </c>
    </row>
    <row r="3961" customFormat="false" ht="15" hidden="false" customHeight="false" outlineLevel="0" collapsed="false">
      <c r="A3961" s="62" t="n">
        <v>1</v>
      </c>
      <c r="B3961" s="21" t="s">
        <v>336</v>
      </c>
      <c r="C3961" s="62" t="s">
        <v>60</v>
      </c>
      <c r="D3961" s="62" t="s">
        <v>383</v>
      </c>
      <c r="E3961" s="62" t="s">
        <v>67</v>
      </c>
      <c r="F3961" s="62" t="s">
        <v>382</v>
      </c>
      <c r="G3961" s="63" t="s">
        <v>434</v>
      </c>
      <c r="H3961" s="64" t="n">
        <v>0</v>
      </c>
      <c r="I3961" s="62" t="s">
        <v>81</v>
      </c>
      <c r="J3961" s="64" t="n">
        <v>0</v>
      </c>
      <c r="K3961" s="62" t="s">
        <v>138</v>
      </c>
      <c r="L3961" s="68" t="b">
        <f aca="false">TRUE()</f>
        <v>1</v>
      </c>
    </row>
    <row r="3962" customFormat="false" ht="15" hidden="false" customHeight="false" outlineLevel="0" collapsed="false">
      <c r="A3962" s="62" t="n">
        <v>1</v>
      </c>
      <c r="B3962" s="21" t="s">
        <v>336</v>
      </c>
      <c r="C3962" s="62" t="s">
        <v>60</v>
      </c>
      <c r="D3962" s="62" t="s">
        <v>384</v>
      </c>
      <c r="E3962" s="62" t="s">
        <v>67</v>
      </c>
      <c r="F3962" s="62" t="s">
        <v>382</v>
      </c>
      <c r="G3962" s="63" t="s">
        <v>434</v>
      </c>
      <c r="H3962" s="64" t="n">
        <v>0</v>
      </c>
      <c r="I3962" s="62" t="s">
        <v>81</v>
      </c>
      <c r="J3962" s="64" t="n">
        <v>0</v>
      </c>
      <c r="K3962" s="62" t="s">
        <v>138</v>
      </c>
      <c r="L3962" s="68" t="b">
        <f aca="false">TRUE()</f>
        <v>1</v>
      </c>
    </row>
    <row r="3963" customFormat="false" ht="15" hidden="false" customHeight="false" outlineLevel="0" collapsed="false">
      <c r="A3963" s="62" t="n">
        <v>1</v>
      </c>
      <c r="B3963" s="21" t="s">
        <v>336</v>
      </c>
      <c r="C3963" s="62" t="s">
        <v>60</v>
      </c>
      <c r="D3963" s="62" t="s">
        <v>385</v>
      </c>
      <c r="E3963" s="62" t="s">
        <v>67</v>
      </c>
      <c r="F3963" s="62" t="s">
        <v>382</v>
      </c>
      <c r="G3963" s="63" t="s">
        <v>434</v>
      </c>
      <c r="H3963" s="64" t="n">
        <v>0</v>
      </c>
      <c r="I3963" s="62" t="s">
        <v>81</v>
      </c>
      <c r="J3963" s="64" t="n">
        <v>0</v>
      </c>
      <c r="K3963" s="62" t="s">
        <v>138</v>
      </c>
      <c r="L3963" s="68" t="b">
        <f aca="false">TRUE()</f>
        <v>1</v>
      </c>
    </row>
    <row r="3964" customFormat="false" ht="15" hidden="false" customHeight="false" outlineLevel="0" collapsed="false">
      <c r="A3964" s="62" t="n">
        <v>1</v>
      </c>
      <c r="B3964" s="21" t="s">
        <v>336</v>
      </c>
      <c r="C3964" s="62" t="s">
        <v>60</v>
      </c>
      <c r="D3964" s="62" t="s">
        <v>386</v>
      </c>
      <c r="E3964" s="62" t="s">
        <v>67</v>
      </c>
      <c r="F3964" s="62" t="s">
        <v>382</v>
      </c>
      <c r="G3964" s="63" t="s">
        <v>434</v>
      </c>
      <c r="H3964" s="64" t="n">
        <v>0</v>
      </c>
      <c r="I3964" s="62" t="s">
        <v>81</v>
      </c>
      <c r="J3964" s="64" t="n">
        <v>0</v>
      </c>
      <c r="K3964" s="62" t="s">
        <v>138</v>
      </c>
      <c r="L3964" s="68" t="b">
        <f aca="false">TRUE()</f>
        <v>1</v>
      </c>
    </row>
    <row r="3965" customFormat="false" ht="15" hidden="false" customHeight="false" outlineLevel="0" collapsed="false">
      <c r="A3965" s="62" t="n">
        <v>1</v>
      </c>
      <c r="B3965" s="21" t="s">
        <v>336</v>
      </c>
      <c r="C3965" s="62" t="s">
        <v>60</v>
      </c>
      <c r="D3965" s="62" t="s">
        <v>387</v>
      </c>
      <c r="E3965" s="62" t="s">
        <v>67</v>
      </c>
      <c r="F3965" s="62" t="s">
        <v>382</v>
      </c>
      <c r="G3965" s="63" t="s">
        <v>434</v>
      </c>
      <c r="H3965" s="64" t="n">
        <v>0</v>
      </c>
      <c r="I3965" s="62" t="s">
        <v>81</v>
      </c>
      <c r="J3965" s="64" t="n">
        <v>0</v>
      </c>
      <c r="K3965" s="62" t="s">
        <v>138</v>
      </c>
      <c r="L3965" s="68" t="b">
        <f aca="false">TRUE()</f>
        <v>1</v>
      </c>
    </row>
    <row r="3966" customFormat="false" ht="15" hidden="false" customHeight="false" outlineLevel="0" collapsed="false">
      <c r="A3966" s="62" t="n">
        <v>1</v>
      </c>
      <c r="B3966" s="21" t="s">
        <v>336</v>
      </c>
      <c r="C3966" s="62" t="s">
        <v>60</v>
      </c>
      <c r="D3966" s="62" t="s">
        <v>388</v>
      </c>
      <c r="E3966" s="62" t="s">
        <v>67</v>
      </c>
      <c r="F3966" s="62" t="s">
        <v>382</v>
      </c>
      <c r="G3966" s="63" t="s">
        <v>434</v>
      </c>
      <c r="H3966" s="64" t="n">
        <v>0</v>
      </c>
      <c r="I3966" s="62" t="s">
        <v>81</v>
      </c>
      <c r="J3966" s="64" t="n">
        <v>0</v>
      </c>
      <c r="K3966" s="62" t="s">
        <v>138</v>
      </c>
      <c r="L3966" s="68" t="b">
        <f aca="false">TRUE()</f>
        <v>1</v>
      </c>
    </row>
    <row r="3967" customFormat="false" ht="15" hidden="false" customHeight="false" outlineLevel="0" collapsed="false">
      <c r="A3967" s="62" t="n">
        <v>1</v>
      </c>
      <c r="B3967" s="21" t="s">
        <v>336</v>
      </c>
      <c r="C3967" s="62" t="s">
        <v>60</v>
      </c>
      <c r="D3967" s="62" t="s">
        <v>381</v>
      </c>
      <c r="E3967" s="62" t="s">
        <v>67</v>
      </c>
      <c r="F3967" s="62" t="s">
        <v>382</v>
      </c>
      <c r="G3967" s="63" t="s">
        <v>435</v>
      </c>
      <c r="H3967" s="64" t="n">
        <v>998209529.140116</v>
      </c>
      <c r="I3967" s="62" t="s">
        <v>81</v>
      </c>
      <c r="J3967" s="64" t="n">
        <v>998209.529140116</v>
      </c>
      <c r="K3967" s="62" t="s">
        <v>138</v>
      </c>
      <c r="L3967" s="68" t="b">
        <f aca="false">TRUE()</f>
        <v>1</v>
      </c>
    </row>
    <row r="3968" customFormat="false" ht="15" hidden="false" customHeight="false" outlineLevel="0" collapsed="false">
      <c r="A3968" s="62" t="n">
        <v>1</v>
      </c>
      <c r="B3968" s="21" t="s">
        <v>336</v>
      </c>
      <c r="C3968" s="62" t="s">
        <v>60</v>
      </c>
      <c r="D3968" s="62" t="s">
        <v>383</v>
      </c>
      <c r="E3968" s="62" t="s">
        <v>67</v>
      </c>
      <c r="F3968" s="62" t="s">
        <v>382</v>
      </c>
      <c r="G3968" s="63" t="s">
        <v>435</v>
      </c>
      <c r="H3968" s="64" t="n">
        <v>413549723.141752</v>
      </c>
      <c r="I3968" s="62" t="s">
        <v>81</v>
      </c>
      <c r="J3968" s="64" t="n">
        <v>413549.723141752</v>
      </c>
      <c r="K3968" s="62" t="s">
        <v>138</v>
      </c>
      <c r="L3968" s="68" t="b">
        <f aca="false">TRUE()</f>
        <v>1</v>
      </c>
    </row>
    <row r="3969" customFormat="false" ht="15" hidden="false" customHeight="false" outlineLevel="0" collapsed="false">
      <c r="A3969" s="62" t="n">
        <v>1</v>
      </c>
      <c r="B3969" s="21" t="s">
        <v>336</v>
      </c>
      <c r="C3969" s="62" t="s">
        <v>60</v>
      </c>
      <c r="D3969" s="62" t="s">
        <v>384</v>
      </c>
      <c r="E3969" s="62" t="s">
        <v>67</v>
      </c>
      <c r="F3969" s="62" t="s">
        <v>382</v>
      </c>
      <c r="G3969" s="63" t="s">
        <v>435</v>
      </c>
      <c r="H3969" s="64" t="n">
        <v>827298589.084568</v>
      </c>
      <c r="I3969" s="62" t="s">
        <v>81</v>
      </c>
      <c r="J3969" s="64" t="n">
        <v>827298.589084568</v>
      </c>
      <c r="K3969" s="62" t="s">
        <v>138</v>
      </c>
      <c r="L3969" s="68" t="b">
        <f aca="false">TRUE()</f>
        <v>1</v>
      </c>
    </row>
    <row r="3970" customFormat="false" ht="15" hidden="false" customHeight="false" outlineLevel="0" collapsed="false">
      <c r="A3970" s="62" t="n">
        <v>1</v>
      </c>
      <c r="B3970" s="21" t="s">
        <v>336</v>
      </c>
      <c r="C3970" s="62" t="s">
        <v>60</v>
      </c>
      <c r="D3970" s="62" t="s">
        <v>385</v>
      </c>
      <c r="E3970" s="62" t="s">
        <v>67</v>
      </c>
      <c r="F3970" s="62" t="s">
        <v>382</v>
      </c>
      <c r="G3970" s="63" t="s">
        <v>435</v>
      </c>
      <c r="H3970" s="64" t="n">
        <v>137849741.345663</v>
      </c>
      <c r="I3970" s="62" t="s">
        <v>81</v>
      </c>
      <c r="J3970" s="64" t="n">
        <v>137849.741345663</v>
      </c>
      <c r="K3970" s="62" t="s">
        <v>138</v>
      </c>
      <c r="L3970" s="68" t="b">
        <f aca="false">TRUE()</f>
        <v>1</v>
      </c>
    </row>
    <row r="3971" customFormat="false" ht="15" hidden="false" customHeight="false" outlineLevel="0" collapsed="false">
      <c r="A3971" s="62" t="n">
        <v>1</v>
      </c>
      <c r="B3971" s="21" t="s">
        <v>336</v>
      </c>
      <c r="C3971" s="62" t="s">
        <v>60</v>
      </c>
      <c r="D3971" s="62" t="s">
        <v>386</v>
      </c>
      <c r="E3971" s="62" t="s">
        <v>67</v>
      </c>
      <c r="F3971" s="62" t="s">
        <v>382</v>
      </c>
      <c r="G3971" s="63" t="s">
        <v>435</v>
      </c>
      <c r="H3971" s="64" t="n">
        <v>2245971440.56526</v>
      </c>
      <c r="I3971" s="62" t="s">
        <v>81</v>
      </c>
      <c r="J3971" s="64" t="n">
        <v>2245971.44056526</v>
      </c>
      <c r="K3971" s="62" t="s">
        <v>138</v>
      </c>
      <c r="L3971" s="68" t="b">
        <f aca="false">TRUE()</f>
        <v>1</v>
      </c>
    </row>
    <row r="3972" customFormat="false" ht="15" hidden="false" customHeight="false" outlineLevel="0" collapsed="false">
      <c r="A3972" s="62" t="n">
        <v>1</v>
      </c>
      <c r="B3972" s="21" t="s">
        <v>336</v>
      </c>
      <c r="C3972" s="62" t="s">
        <v>60</v>
      </c>
      <c r="D3972" s="62" t="s">
        <v>387</v>
      </c>
      <c r="E3972" s="62" t="s">
        <v>67</v>
      </c>
      <c r="F3972" s="62" t="s">
        <v>382</v>
      </c>
      <c r="G3972" s="63" t="s">
        <v>435</v>
      </c>
      <c r="H3972" s="64" t="n">
        <v>551399963.59218</v>
      </c>
      <c r="I3972" s="62" t="s">
        <v>81</v>
      </c>
      <c r="J3972" s="64" t="n">
        <v>551399.96359218</v>
      </c>
      <c r="K3972" s="62" t="s">
        <v>138</v>
      </c>
      <c r="L3972" s="68" t="b">
        <f aca="false">TRUE()</f>
        <v>1</v>
      </c>
    </row>
    <row r="3973" customFormat="false" ht="15" hidden="false" customHeight="false" outlineLevel="0" collapsed="false">
      <c r="A3973" s="62" t="n">
        <v>1</v>
      </c>
      <c r="B3973" s="21" t="s">
        <v>336</v>
      </c>
      <c r="C3973" s="62" t="s">
        <v>60</v>
      </c>
      <c r="D3973" s="62" t="s">
        <v>388</v>
      </c>
      <c r="E3973" s="62" t="s">
        <v>67</v>
      </c>
      <c r="F3973" s="62" t="s">
        <v>382</v>
      </c>
      <c r="G3973" s="63" t="s">
        <v>435</v>
      </c>
      <c r="H3973" s="64" t="n">
        <v>292207372.77948</v>
      </c>
      <c r="I3973" s="62" t="s">
        <v>81</v>
      </c>
      <c r="J3973" s="64" t="n">
        <v>292207.37277948</v>
      </c>
      <c r="K3973" s="62" t="s">
        <v>138</v>
      </c>
      <c r="L3973" s="68" t="b">
        <f aca="false">TRUE()</f>
        <v>1</v>
      </c>
    </row>
    <row r="3974" customFormat="false" ht="15" hidden="false" customHeight="false" outlineLevel="0" collapsed="false">
      <c r="A3974" s="62" t="n">
        <v>1</v>
      </c>
      <c r="B3974" s="21" t="s">
        <v>336</v>
      </c>
      <c r="C3974" s="62" t="s">
        <v>60</v>
      </c>
      <c r="D3974" s="62" t="s">
        <v>381</v>
      </c>
      <c r="E3974" s="62" t="s">
        <v>67</v>
      </c>
      <c r="F3974" s="62" t="s">
        <v>382</v>
      </c>
      <c r="G3974" s="63" t="s">
        <v>436</v>
      </c>
      <c r="H3974" s="64" t="n">
        <v>0</v>
      </c>
      <c r="I3974" s="62" t="s">
        <v>81</v>
      </c>
      <c r="J3974" s="64" t="n">
        <v>0</v>
      </c>
      <c r="K3974" s="62" t="s">
        <v>138</v>
      </c>
      <c r="L3974" s="68" t="b">
        <f aca="false">TRUE()</f>
        <v>1</v>
      </c>
    </row>
    <row r="3975" customFormat="false" ht="15" hidden="false" customHeight="false" outlineLevel="0" collapsed="false">
      <c r="A3975" s="62" t="n">
        <v>1</v>
      </c>
      <c r="B3975" s="21" t="s">
        <v>336</v>
      </c>
      <c r="C3975" s="62" t="s">
        <v>60</v>
      </c>
      <c r="D3975" s="62" t="s">
        <v>383</v>
      </c>
      <c r="E3975" s="62" t="s">
        <v>67</v>
      </c>
      <c r="F3975" s="62" t="s">
        <v>382</v>
      </c>
      <c r="G3975" s="63" t="s">
        <v>436</v>
      </c>
      <c r="H3975" s="64" t="n">
        <v>0</v>
      </c>
      <c r="I3975" s="62" t="s">
        <v>81</v>
      </c>
      <c r="J3975" s="64" t="n">
        <v>0</v>
      </c>
      <c r="K3975" s="62" t="s">
        <v>138</v>
      </c>
      <c r="L3975" s="68" t="b">
        <f aca="false">TRUE()</f>
        <v>1</v>
      </c>
    </row>
    <row r="3976" customFormat="false" ht="15" hidden="false" customHeight="false" outlineLevel="0" collapsed="false">
      <c r="A3976" s="62" t="n">
        <v>1</v>
      </c>
      <c r="B3976" s="21" t="s">
        <v>336</v>
      </c>
      <c r="C3976" s="62" t="s">
        <v>60</v>
      </c>
      <c r="D3976" s="62" t="s">
        <v>384</v>
      </c>
      <c r="E3976" s="62" t="s">
        <v>67</v>
      </c>
      <c r="F3976" s="62" t="s">
        <v>382</v>
      </c>
      <c r="G3976" s="63" t="s">
        <v>436</v>
      </c>
      <c r="H3976" s="64" t="n">
        <v>-2486348000</v>
      </c>
      <c r="I3976" s="62" t="s">
        <v>81</v>
      </c>
      <c r="J3976" s="64" t="n">
        <v>-2486348</v>
      </c>
      <c r="K3976" s="62" t="s">
        <v>138</v>
      </c>
      <c r="L3976" s="68" t="b">
        <f aca="false">TRUE()</f>
        <v>1</v>
      </c>
    </row>
    <row r="3977" customFormat="false" ht="15" hidden="false" customHeight="false" outlineLevel="0" collapsed="false">
      <c r="A3977" s="62" t="n">
        <v>1</v>
      </c>
      <c r="B3977" s="21" t="s">
        <v>336</v>
      </c>
      <c r="C3977" s="62" t="s">
        <v>60</v>
      </c>
      <c r="D3977" s="62" t="s">
        <v>385</v>
      </c>
      <c r="E3977" s="62" t="s">
        <v>67</v>
      </c>
      <c r="F3977" s="62" t="s">
        <v>382</v>
      </c>
      <c r="G3977" s="63" t="s">
        <v>436</v>
      </c>
      <c r="H3977" s="64" t="n">
        <v>-2000000000</v>
      </c>
      <c r="I3977" s="62" t="s">
        <v>81</v>
      </c>
      <c r="J3977" s="64" t="n">
        <v>-2000000</v>
      </c>
      <c r="K3977" s="62" t="s">
        <v>138</v>
      </c>
      <c r="L3977" s="68" t="b">
        <f aca="false">TRUE()</f>
        <v>1</v>
      </c>
    </row>
    <row r="3978" customFormat="false" ht="15" hidden="false" customHeight="false" outlineLevel="0" collapsed="false">
      <c r="A3978" s="62" t="n">
        <v>1</v>
      </c>
      <c r="B3978" s="21" t="s">
        <v>336</v>
      </c>
      <c r="C3978" s="62" t="s">
        <v>60</v>
      </c>
      <c r="D3978" s="62" t="s">
        <v>386</v>
      </c>
      <c r="E3978" s="62" t="s">
        <v>67</v>
      </c>
      <c r="F3978" s="62" t="s">
        <v>382</v>
      </c>
      <c r="G3978" s="63" t="s">
        <v>436</v>
      </c>
      <c r="H3978" s="64" t="n">
        <v>-1500000000</v>
      </c>
      <c r="I3978" s="62" t="s">
        <v>81</v>
      </c>
      <c r="J3978" s="64" t="n">
        <v>-1500000</v>
      </c>
      <c r="K3978" s="62" t="s">
        <v>138</v>
      </c>
      <c r="L3978" s="68" t="b">
        <f aca="false">TRUE()</f>
        <v>1</v>
      </c>
    </row>
    <row r="3979" customFormat="false" ht="15" hidden="false" customHeight="false" outlineLevel="0" collapsed="false">
      <c r="A3979" s="62" t="n">
        <v>1</v>
      </c>
      <c r="B3979" s="21" t="s">
        <v>336</v>
      </c>
      <c r="C3979" s="62" t="s">
        <v>60</v>
      </c>
      <c r="D3979" s="62" t="s">
        <v>387</v>
      </c>
      <c r="E3979" s="62" t="s">
        <v>67</v>
      </c>
      <c r="F3979" s="62" t="s">
        <v>382</v>
      </c>
      <c r="G3979" s="63" t="s">
        <v>436</v>
      </c>
      <c r="H3979" s="64" t="n">
        <v>0</v>
      </c>
      <c r="I3979" s="62" t="s">
        <v>81</v>
      </c>
      <c r="J3979" s="64" t="n">
        <v>0</v>
      </c>
      <c r="K3979" s="62" t="s">
        <v>138</v>
      </c>
      <c r="L3979" s="68" t="b">
        <f aca="false">TRUE()</f>
        <v>1</v>
      </c>
    </row>
    <row r="3980" customFormat="false" ht="15" hidden="false" customHeight="false" outlineLevel="0" collapsed="false">
      <c r="A3980" s="62" t="n">
        <v>1</v>
      </c>
      <c r="B3980" s="21" t="s">
        <v>336</v>
      </c>
      <c r="C3980" s="62" t="s">
        <v>60</v>
      </c>
      <c r="D3980" s="62" t="s">
        <v>388</v>
      </c>
      <c r="E3980" s="62" t="s">
        <v>67</v>
      </c>
      <c r="F3980" s="62" t="s">
        <v>382</v>
      </c>
      <c r="G3980" s="63" t="s">
        <v>436</v>
      </c>
      <c r="H3980" s="64" t="n">
        <v>-2000000000</v>
      </c>
      <c r="I3980" s="62" t="s">
        <v>81</v>
      </c>
      <c r="J3980" s="64" t="n">
        <v>-2000000</v>
      </c>
      <c r="K3980" s="62" t="s">
        <v>138</v>
      </c>
      <c r="L3980" s="68" t="b">
        <f aca="false">TRUE()</f>
        <v>1</v>
      </c>
    </row>
    <row r="3981" customFormat="false" ht="15" hidden="false" customHeight="false" outlineLevel="0" collapsed="false">
      <c r="A3981" s="62" t="n">
        <v>1</v>
      </c>
      <c r="B3981" s="21" t="s">
        <v>336</v>
      </c>
      <c r="C3981" s="62" t="s">
        <v>60</v>
      </c>
      <c r="D3981" s="62" t="s">
        <v>381</v>
      </c>
      <c r="E3981" s="62" t="s">
        <v>67</v>
      </c>
      <c r="F3981" s="62" t="s">
        <v>382</v>
      </c>
      <c r="G3981" s="63" t="s">
        <v>437</v>
      </c>
      <c r="H3981" s="64" t="n">
        <v>0</v>
      </c>
      <c r="I3981" s="62" t="s">
        <v>81</v>
      </c>
      <c r="J3981" s="64" t="n">
        <v>0</v>
      </c>
      <c r="K3981" s="62" t="s">
        <v>138</v>
      </c>
      <c r="L3981" s="68" t="b">
        <f aca="false">TRUE()</f>
        <v>1</v>
      </c>
    </row>
    <row r="3982" customFormat="false" ht="15" hidden="false" customHeight="false" outlineLevel="0" collapsed="false">
      <c r="A3982" s="62" t="n">
        <v>1</v>
      </c>
      <c r="B3982" s="21" t="s">
        <v>336</v>
      </c>
      <c r="C3982" s="62" t="s">
        <v>60</v>
      </c>
      <c r="D3982" s="62" t="s">
        <v>383</v>
      </c>
      <c r="E3982" s="62" t="s">
        <v>67</v>
      </c>
      <c r="F3982" s="62" t="s">
        <v>382</v>
      </c>
      <c r="G3982" s="63" t="s">
        <v>437</v>
      </c>
      <c r="H3982" s="64" t="n">
        <v>0</v>
      </c>
      <c r="I3982" s="62" t="s">
        <v>81</v>
      </c>
      <c r="J3982" s="64" t="n">
        <v>0</v>
      </c>
      <c r="K3982" s="62" t="s">
        <v>138</v>
      </c>
      <c r="L3982" s="68" t="b">
        <f aca="false">TRUE()</f>
        <v>1</v>
      </c>
    </row>
    <row r="3983" customFormat="false" ht="15" hidden="false" customHeight="false" outlineLevel="0" collapsed="false">
      <c r="A3983" s="62" t="n">
        <v>1</v>
      </c>
      <c r="B3983" s="21" t="s">
        <v>336</v>
      </c>
      <c r="C3983" s="62" t="s">
        <v>60</v>
      </c>
      <c r="D3983" s="62" t="s">
        <v>384</v>
      </c>
      <c r="E3983" s="62" t="s">
        <v>67</v>
      </c>
      <c r="F3983" s="62" t="s">
        <v>382</v>
      </c>
      <c r="G3983" s="63" t="s">
        <v>437</v>
      </c>
      <c r="H3983" s="64" t="n">
        <v>0</v>
      </c>
      <c r="I3983" s="62" t="s">
        <v>81</v>
      </c>
      <c r="J3983" s="64" t="n">
        <v>0</v>
      </c>
      <c r="K3983" s="62" t="s">
        <v>138</v>
      </c>
      <c r="L3983" s="68" t="b">
        <f aca="false">TRUE()</f>
        <v>1</v>
      </c>
    </row>
    <row r="3984" customFormat="false" ht="15" hidden="false" customHeight="false" outlineLevel="0" collapsed="false">
      <c r="A3984" s="62" t="n">
        <v>1</v>
      </c>
      <c r="B3984" s="21" t="s">
        <v>336</v>
      </c>
      <c r="C3984" s="62" t="s">
        <v>60</v>
      </c>
      <c r="D3984" s="62" t="s">
        <v>385</v>
      </c>
      <c r="E3984" s="62" t="s">
        <v>67</v>
      </c>
      <c r="F3984" s="62" t="s">
        <v>382</v>
      </c>
      <c r="G3984" s="63" t="s">
        <v>437</v>
      </c>
      <c r="H3984" s="64" t="n">
        <v>0</v>
      </c>
      <c r="I3984" s="62" t="s">
        <v>81</v>
      </c>
      <c r="J3984" s="64" t="n">
        <v>0</v>
      </c>
      <c r="K3984" s="62" t="s">
        <v>138</v>
      </c>
      <c r="L3984" s="68" t="b">
        <f aca="false">TRUE()</f>
        <v>1</v>
      </c>
    </row>
    <row r="3985" customFormat="false" ht="15" hidden="false" customHeight="false" outlineLevel="0" collapsed="false">
      <c r="A3985" s="62" t="n">
        <v>1</v>
      </c>
      <c r="B3985" s="21" t="s">
        <v>336</v>
      </c>
      <c r="C3985" s="62" t="s">
        <v>60</v>
      </c>
      <c r="D3985" s="62" t="s">
        <v>386</v>
      </c>
      <c r="E3985" s="62" t="s">
        <v>67</v>
      </c>
      <c r="F3985" s="62" t="s">
        <v>382</v>
      </c>
      <c r="G3985" s="63" t="s">
        <v>437</v>
      </c>
      <c r="H3985" s="64" t="n">
        <v>0</v>
      </c>
      <c r="I3985" s="62" t="s">
        <v>81</v>
      </c>
      <c r="J3985" s="64" t="n">
        <v>0</v>
      </c>
      <c r="K3985" s="62" t="s">
        <v>138</v>
      </c>
      <c r="L3985" s="68" t="b">
        <f aca="false">TRUE()</f>
        <v>1</v>
      </c>
    </row>
    <row r="3986" customFormat="false" ht="15" hidden="false" customHeight="false" outlineLevel="0" collapsed="false">
      <c r="A3986" s="62" t="n">
        <v>1</v>
      </c>
      <c r="B3986" s="21" t="s">
        <v>336</v>
      </c>
      <c r="C3986" s="62" t="s">
        <v>60</v>
      </c>
      <c r="D3986" s="62" t="s">
        <v>387</v>
      </c>
      <c r="E3986" s="62" t="s">
        <v>67</v>
      </c>
      <c r="F3986" s="62" t="s">
        <v>382</v>
      </c>
      <c r="G3986" s="63" t="s">
        <v>437</v>
      </c>
      <c r="H3986" s="64" t="n">
        <v>0</v>
      </c>
      <c r="I3986" s="62" t="s">
        <v>81</v>
      </c>
      <c r="J3986" s="64" t="n">
        <v>0</v>
      </c>
      <c r="K3986" s="62" t="s">
        <v>138</v>
      </c>
      <c r="L3986" s="68" t="b">
        <f aca="false">TRUE()</f>
        <v>1</v>
      </c>
    </row>
    <row r="3987" customFormat="false" ht="15" hidden="false" customHeight="false" outlineLevel="0" collapsed="false">
      <c r="A3987" s="62" t="n">
        <v>1</v>
      </c>
      <c r="B3987" s="21" t="s">
        <v>336</v>
      </c>
      <c r="C3987" s="62" t="s">
        <v>60</v>
      </c>
      <c r="D3987" s="62" t="s">
        <v>388</v>
      </c>
      <c r="E3987" s="62" t="s">
        <v>67</v>
      </c>
      <c r="F3987" s="62" t="s">
        <v>382</v>
      </c>
      <c r="G3987" s="63" t="s">
        <v>437</v>
      </c>
      <c r="H3987" s="64" t="n">
        <v>0</v>
      </c>
      <c r="I3987" s="62" t="s">
        <v>81</v>
      </c>
      <c r="J3987" s="64" t="n">
        <v>0</v>
      </c>
      <c r="K3987" s="62" t="s">
        <v>138</v>
      </c>
      <c r="L3987" s="68" t="b">
        <f aca="false">TRUE()</f>
        <v>1</v>
      </c>
    </row>
    <row r="3988" customFormat="false" ht="15" hidden="false" customHeight="false" outlineLevel="0" collapsed="false">
      <c r="A3988" s="62" t="n">
        <v>1</v>
      </c>
      <c r="B3988" s="21" t="s">
        <v>336</v>
      </c>
      <c r="C3988" s="62" t="s">
        <v>60</v>
      </c>
      <c r="D3988" s="62" t="s">
        <v>381</v>
      </c>
      <c r="E3988" s="62" t="s">
        <v>67</v>
      </c>
      <c r="F3988" s="62" t="s">
        <v>382</v>
      </c>
      <c r="G3988" s="63" t="s">
        <v>438</v>
      </c>
      <c r="H3988" s="64" t="n">
        <v>-3000000000</v>
      </c>
      <c r="I3988" s="62" t="s">
        <v>81</v>
      </c>
      <c r="J3988" s="64" t="n">
        <v>-3000000</v>
      </c>
      <c r="K3988" s="62" t="s">
        <v>138</v>
      </c>
      <c r="L3988" s="68" t="b">
        <f aca="false">TRUE()</f>
        <v>1</v>
      </c>
    </row>
    <row r="3989" customFormat="false" ht="15" hidden="false" customHeight="false" outlineLevel="0" collapsed="false">
      <c r="A3989" s="62" t="n">
        <v>1</v>
      </c>
      <c r="B3989" s="21" t="s">
        <v>336</v>
      </c>
      <c r="C3989" s="62" t="s">
        <v>60</v>
      </c>
      <c r="D3989" s="62" t="s">
        <v>383</v>
      </c>
      <c r="E3989" s="62" t="s">
        <v>67</v>
      </c>
      <c r="F3989" s="62" t="s">
        <v>382</v>
      </c>
      <c r="G3989" s="63" t="s">
        <v>438</v>
      </c>
      <c r="H3989" s="64" t="n">
        <v>-4900000000</v>
      </c>
      <c r="I3989" s="62" t="s">
        <v>81</v>
      </c>
      <c r="J3989" s="64" t="n">
        <v>-4900000</v>
      </c>
      <c r="K3989" s="62" t="s">
        <v>138</v>
      </c>
      <c r="L3989" s="68" t="b">
        <f aca="false">TRUE()</f>
        <v>1</v>
      </c>
    </row>
    <row r="3990" customFormat="false" ht="15" hidden="false" customHeight="false" outlineLevel="0" collapsed="false">
      <c r="A3990" s="62" t="n">
        <v>1</v>
      </c>
      <c r="B3990" s="21" t="s">
        <v>336</v>
      </c>
      <c r="C3990" s="62" t="s">
        <v>60</v>
      </c>
      <c r="D3990" s="62" t="s">
        <v>384</v>
      </c>
      <c r="E3990" s="62" t="s">
        <v>67</v>
      </c>
      <c r="F3990" s="62" t="s">
        <v>382</v>
      </c>
      <c r="G3990" s="63" t="s">
        <v>438</v>
      </c>
      <c r="H3990" s="64" t="n">
        <v>-3900000000</v>
      </c>
      <c r="I3990" s="62" t="s">
        <v>81</v>
      </c>
      <c r="J3990" s="64" t="n">
        <v>-3900000</v>
      </c>
      <c r="K3990" s="62" t="s">
        <v>138</v>
      </c>
      <c r="L3990" s="68" t="b">
        <f aca="false">TRUE()</f>
        <v>1</v>
      </c>
    </row>
    <row r="3991" customFormat="false" ht="15" hidden="false" customHeight="false" outlineLevel="0" collapsed="false">
      <c r="A3991" s="62" t="n">
        <v>1</v>
      </c>
      <c r="B3991" s="21" t="s">
        <v>336</v>
      </c>
      <c r="C3991" s="62" t="s">
        <v>60</v>
      </c>
      <c r="D3991" s="62" t="s">
        <v>385</v>
      </c>
      <c r="E3991" s="62" t="s">
        <v>67</v>
      </c>
      <c r="F3991" s="62" t="s">
        <v>382</v>
      </c>
      <c r="G3991" s="63" t="s">
        <v>438</v>
      </c>
      <c r="H3991" s="64" t="n">
        <v>-1000000000</v>
      </c>
      <c r="I3991" s="62" t="s">
        <v>81</v>
      </c>
      <c r="J3991" s="64" t="n">
        <v>-1000000</v>
      </c>
      <c r="K3991" s="62" t="s">
        <v>138</v>
      </c>
      <c r="L3991" s="68" t="b">
        <f aca="false">TRUE()</f>
        <v>1</v>
      </c>
    </row>
    <row r="3992" customFormat="false" ht="15" hidden="false" customHeight="false" outlineLevel="0" collapsed="false">
      <c r="A3992" s="62" t="n">
        <v>1</v>
      </c>
      <c r="B3992" s="21" t="s">
        <v>336</v>
      </c>
      <c r="C3992" s="62" t="s">
        <v>60</v>
      </c>
      <c r="D3992" s="62" t="s">
        <v>386</v>
      </c>
      <c r="E3992" s="62" t="s">
        <v>67</v>
      </c>
      <c r="F3992" s="62" t="s">
        <v>382</v>
      </c>
      <c r="G3992" s="63" t="s">
        <v>438</v>
      </c>
      <c r="H3992" s="64" t="n">
        <v>0</v>
      </c>
      <c r="I3992" s="62" t="s">
        <v>81</v>
      </c>
      <c r="J3992" s="64" t="n">
        <v>0</v>
      </c>
      <c r="K3992" s="62" t="s">
        <v>138</v>
      </c>
      <c r="L3992" s="68" t="b">
        <f aca="false">TRUE()</f>
        <v>1</v>
      </c>
    </row>
    <row r="3993" customFormat="false" ht="15" hidden="false" customHeight="false" outlineLevel="0" collapsed="false">
      <c r="A3993" s="62" t="n">
        <v>1</v>
      </c>
      <c r="B3993" s="21" t="s">
        <v>336</v>
      </c>
      <c r="C3993" s="62" t="s">
        <v>60</v>
      </c>
      <c r="D3993" s="62" t="s">
        <v>387</v>
      </c>
      <c r="E3993" s="62" t="s">
        <v>67</v>
      </c>
      <c r="F3993" s="62" t="s">
        <v>382</v>
      </c>
      <c r="G3993" s="63" t="s">
        <v>438</v>
      </c>
      <c r="H3993" s="64" t="n">
        <v>-13000000000</v>
      </c>
      <c r="I3993" s="62" t="s">
        <v>81</v>
      </c>
      <c r="J3993" s="64" t="n">
        <v>-13000000</v>
      </c>
      <c r="K3993" s="62" t="s">
        <v>138</v>
      </c>
      <c r="L3993" s="68" t="b">
        <f aca="false">TRUE()</f>
        <v>1</v>
      </c>
    </row>
    <row r="3994" customFormat="false" ht="15" hidden="false" customHeight="false" outlineLevel="0" collapsed="false">
      <c r="A3994" s="62" t="n">
        <v>1</v>
      </c>
      <c r="B3994" s="21" t="s">
        <v>336</v>
      </c>
      <c r="C3994" s="62" t="s">
        <v>60</v>
      </c>
      <c r="D3994" s="62" t="s">
        <v>388</v>
      </c>
      <c r="E3994" s="62" t="s">
        <v>67</v>
      </c>
      <c r="F3994" s="62" t="s">
        <v>382</v>
      </c>
      <c r="G3994" s="63" t="s">
        <v>438</v>
      </c>
      <c r="H3994" s="64" t="n">
        <v>-2000000000</v>
      </c>
      <c r="I3994" s="62" t="s">
        <v>81</v>
      </c>
      <c r="J3994" s="64" t="n">
        <v>-2000000</v>
      </c>
      <c r="K3994" s="62" t="s">
        <v>138</v>
      </c>
      <c r="L3994" s="68" t="b">
        <f aca="false">TRUE()</f>
        <v>1</v>
      </c>
    </row>
    <row r="3995" customFormat="false" ht="15" hidden="false" customHeight="false" outlineLevel="0" collapsed="false">
      <c r="A3995" s="62" t="n">
        <v>1</v>
      </c>
      <c r="B3995" s="21" t="s">
        <v>336</v>
      </c>
      <c r="C3995" s="62" t="s">
        <v>60</v>
      </c>
      <c r="D3995" s="62" t="s">
        <v>381</v>
      </c>
      <c r="E3995" s="62" t="s">
        <v>67</v>
      </c>
      <c r="F3995" s="62" t="s">
        <v>382</v>
      </c>
      <c r="G3995" s="63" t="s">
        <v>439</v>
      </c>
      <c r="H3995" s="64" t="n">
        <v>-4001790470.85988</v>
      </c>
      <c r="I3995" s="62" t="s">
        <v>81</v>
      </c>
      <c r="J3995" s="64" t="n">
        <v>-4001790.47085988</v>
      </c>
      <c r="K3995" s="62" t="s">
        <v>138</v>
      </c>
      <c r="L3995" s="68" t="b">
        <f aca="false">TRUE()</f>
        <v>1</v>
      </c>
    </row>
    <row r="3996" customFormat="false" ht="15" hidden="false" customHeight="false" outlineLevel="0" collapsed="false">
      <c r="A3996" s="62" t="n">
        <v>1</v>
      </c>
      <c r="B3996" s="21" t="s">
        <v>336</v>
      </c>
      <c r="C3996" s="62" t="s">
        <v>60</v>
      </c>
      <c r="D3996" s="62" t="s">
        <v>383</v>
      </c>
      <c r="E3996" s="62" t="s">
        <v>67</v>
      </c>
      <c r="F3996" s="62" t="s">
        <v>382</v>
      </c>
      <c r="G3996" s="63" t="s">
        <v>439</v>
      </c>
      <c r="H3996" s="64" t="n">
        <v>-5315033276.85825</v>
      </c>
      <c r="I3996" s="62" t="s">
        <v>81</v>
      </c>
      <c r="J3996" s="64" t="n">
        <v>-5315033.27685825</v>
      </c>
      <c r="K3996" s="62" t="s">
        <v>138</v>
      </c>
      <c r="L3996" s="68" t="b">
        <f aca="false">TRUE()</f>
        <v>1</v>
      </c>
    </row>
    <row r="3997" customFormat="false" ht="15" hidden="false" customHeight="false" outlineLevel="0" collapsed="false">
      <c r="A3997" s="62" t="n">
        <v>1</v>
      </c>
      <c r="B3997" s="21" t="s">
        <v>336</v>
      </c>
      <c r="C3997" s="62" t="s">
        <v>60</v>
      </c>
      <c r="D3997" s="62" t="s">
        <v>384</v>
      </c>
      <c r="E3997" s="62" t="s">
        <v>67</v>
      </c>
      <c r="F3997" s="62" t="s">
        <v>382</v>
      </c>
      <c r="G3997" s="63" t="s">
        <v>439</v>
      </c>
      <c r="H3997" s="64" t="n">
        <v>-7216614410.91543</v>
      </c>
      <c r="I3997" s="62" t="s">
        <v>81</v>
      </c>
      <c r="J3997" s="64" t="n">
        <v>-7216614.41091543</v>
      </c>
      <c r="K3997" s="62" t="s">
        <v>138</v>
      </c>
      <c r="L3997" s="68" t="b">
        <f aca="false">TRUE()</f>
        <v>1</v>
      </c>
    </row>
    <row r="3998" customFormat="false" ht="15" hidden="false" customHeight="false" outlineLevel="0" collapsed="false">
      <c r="A3998" s="62" t="n">
        <v>1</v>
      </c>
      <c r="B3998" s="21" t="s">
        <v>336</v>
      </c>
      <c r="C3998" s="62" t="s">
        <v>60</v>
      </c>
      <c r="D3998" s="62" t="s">
        <v>385</v>
      </c>
      <c r="E3998" s="62" t="s">
        <v>67</v>
      </c>
      <c r="F3998" s="62" t="s">
        <v>382</v>
      </c>
      <c r="G3998" s="63" t="s">
        <v>439</v>
      </c>
      <c r="H3998" s="64" t="n">
        <v>-3138344258.65434</v>
      </c>
      <c r="I3998" s="62" t="s">
        <v>81</v>
      </c>
      <c r="J3998" s="64" t="n">
        <v>-3138344.25865434</v>
      </c>
      <c r="K3998" s="62" t="s">
        <v>138</v>
      </c>
      <c r="L3998" s="68" t="b">
        <f aca="false">TRUE()</f>
        <v>1</v>
      </c>
    </row>
    <row r="3999" customFormat="false" ht="15" hidden="false" customHeight="false" outlineLevel="0" collapsed="false">
      <c r="A3999" s="62" t="n">
        <v>1</v>
      </c>
      <c r="B3999" s="21" t="s">
        <v>336</v>
      </c>
      <c r="C3999" s="62" t="s">
        <v>60</v>
      </c>
      <c r="D3999" s="62" t="s">
        <v>386</v>
      </c>
      <c r="E3999" s="62" t="s">
        <v>67</v>
      </c>
      <c r="F3999" s="62" t="s">
        <v>382</v>
      </c>
      <c r="G3999" s="63" t="s">
        <v>439</v>
      </c>
      <c r="H3999" s="64" t="n">
        <v>-3754028559.43474</v>
      </c>
      <c r="I3999" s="62" t="s">
        <v>81</v>
      </c>
      <c r="J3999" s="64" t="n">
        <v>-3754028.55943474</v>
      </c>
      <c r="K3999" s="62" t="s">
        <v>138</v>
      </c>
      <c r="L3999" s="68" t="b">
        <f aca="false">TRUE()</f>
        <v>1</v>
      </c>
    </row>
    <row r="4000" customFormat="false" ht="15" hidden="false" customHeight="false" outlineLevel="0" collapsed="false">
      <c r="A4000" s="62" t="n">
        <v>1</v>
      </c>
      <c r="B4000" s="21" t="s">
        <v>336</v>
      </c>
      <c r="C4000" s="62" t="s">
        <v>60</v>
      </c>
      <c r="D4000" s="62" t="s">
        <v>387</v>
      </c>
      <c r="E4000" s="62" t="s">
        <v>67</v>
      </c>
      <c r="F4000" s="62" t="s">
        <v>382</v>
      </c>
      <c r="G4000" s="63" t="s">
        <v>439</v>
      </c>
      <c r="H4000" s="64" t="n">
        <v>-13553378036.4078</v>
      </c>
      <c r="I4000" s="62" t="s">
        <v>81</v>
      </c>
      <c r="J4000" s="64" t="n">
        <v>-13553378.0364078</v>
      </c>
      <c r="K4000" s="62" t="s">
        <v>138</v>
      </c>
      <c r="L4000" s="68" t="b">
        <f aca="false">TRUE()</f>
        <v>1</v>
      </c>
    </row>
    <row r="4001" customFormat="false" ht="15" hidden="false" customHeight="false" outlineLevel="0" collapsed="false">
      <c r="A4001" s="62" t="n">
        <v>1</v>
      </c>
      <c r="B4001" s="21" t="s">
        <v>336</v>
      </c>
      <c r="C4001" s="62" t="s">
        <v>60</v>
      </c>
      <c r="D4001" s="62" t="s">
        <v>388</v>
      </c>
      <c r="E4001" s="62" t="s">
        <v>67</v>
      </c>
      <c r="F4001" s="62" t="s">
        <v>382</v>
      </c>
      <c r="G4001" s="63" t="s">
        <v>439</v>
      </c>
      <c r="H4001" s="64" t="n">
        <v>-4293255627.22052</v>
      </c>
      <c r="I4001" s="62" t="s">
        <v>81</v>
      </c>
      <c r="J4001" s="64" t="n">
        <v>-4293255.62722052</v>
      </c>
      <c r="K4001" s="62" t="s">
        <v>138</v>
      </c>
      <c r="L4001" s="68" t="b">
        <f aca="false">TRUE()</f>
        <v>1</v>
      </c>
    </row>
    <row r="4002" customFormat="false" ht="15" hidden="false" customHeight="false" outlineLevel="0" collapsed="false">
      <c r="A4002" s="62" t="n">
        <v>1</v>
      </c>
      <c r="B4002" s="21" t="s">
        <v>336</v>
      </c>
      <c r="C4002" s="62" t="s">
        <v>60</v>
      </c>
      <c r="D4002" s="62" t="s">
        <v>381</v>
      </c>
      <c r="E4002" s="62" t="s">
        <v>67</v>
      </c>
      <c r="F4002" s="62" t="s">
        <v>382</v>
      </c>
      <c r="G4002" s="63" t="s">
        <v>440</v>
      </c>
      <c r="H4002" s="64" t="n">
        <v>-8183796805.93898</v>
      </c>
      <c r="I4002" s="62" t="s">
        <v>81</v>
      </c>
      <c r="J4002" s="64" t="n">
        <v>-8183796.80593898</v>
      </c>
      <c r="K4002" s="62" t="s">
        <v>138</v>
      </c>
      <c r="L4002" s="68" t="b">
        <f aca="false">TRUE()</f>
        <v>1</v>
      </c>
    </row>
    <row r="4003" customFormat="false" ht="15" hidden="false" customHeight="false" outlineLevel="0" collapsed="false">
      <c r="A4003" s="62" t="n">
        <v>1</v>
      </c>
      <c r="B4003" s="21" t="s">
        <v>336</v>
      </c>
      <c r="C4003" s="62" t="s">
        <v>60</v>
      </c>
      <c r="D4003" s="62" t="s">
        <v>383</v>
      </c>
      <c r="E4003" s="62" t="s">
        <v>67</v>
      </c>
      <c r="F4003" s="62" t="s">
        <v>382</v>
      </c>
      <c r="G4003" s="63" t="s">
        <v>440</v>
      </c>
      <c r="H4003" s="64" t="n">
        <v>-2742513954.51262</v>
      </c>
      <c r="I4003" s="62" t="s">
        <v>81</v>
      </c>
      <c r="J4003" s="64" t="n">
        <v>-2742513.95451262</v>
      </c>
      <c r="K4003" s="62" t="s">
        <v>138</v>
      </c>
      <c r="L4003" s="68" t="b">
        <f aca="false">TRUE()</f>
        <v>1</v>
      </c>
    </row>
    <row r="4004" customFormat="false" ht="15" hidden="false" customHeight="false" outlineLevel="0" collapsed="false">
      <c r="A4004" s="62" t="n">
        <v>1</v>
      </c>
      <c r="B4004" s="21" t="s">
        <v>336</v>
      </c>
      <c r="C4004" s="62" t="s">
        <v>60</v>
      </c>
      <c r="D4004" s="62" t="s">
        <v>384</v>
      </c>
      <c r="E4004" s="62" t="s">
        <v>67</v>
      </c>
      <c r="F4004" s="62" t="s">
        <v>382</v>
      </c>
      <c r="G4004" s="63" t="s">
        <v>440</v>
      </c>
      <c r="H4004" s="64" t="n">
        <v>-4986754340.17969</v>
      </c>
      <c r="I4004" s="62" t="s">
        <v>81</v>
      </c>
      <c r="J4004" s="64" t="n">
        <v>-4986754.34017969</v>
      </c>
      <c r="K4004" s="62" t="s">
        <v>138</v>
      </c>
      <c r="L4004" s="68" t="b">
        <f aca="false">TRUE()</f>
        <v>1</v>
      </c>
    </row>
    <row r="4005" customFormat="false" ht="15" hidden="false" customHeight="false" outlineLevel="0" collapsed="false">
      <c r="A4005" s="62" t="n">
        <v>1</v>
      </c>
      <c r="B4005" s="21" t="s">
        <v>336</v>
      </c>
      <c r="C4005" s="62" t="s">
        <v>60</v>
      </c>
      <c r="D4005" s="62" t="s">
        <v>385</v>
      </c>
      <c r="E4005" s="62" t="s">
        <v>67</v>
      </c>
      <c r="F4005" s="62" t="s">
        <v>382</v>
      </c>
      <c r="G4005" s="63" t="s">
        <v>440</v>
      </c>
      <c r="H4005" s="64" t="n">
        <v>-3626536304.10277</v>
      </c>
      <c r="I4005" s="62" t="s">
        <v>81</v>
      </c>
      <c r="J4005" s="64" t="n">
        <v>-3626536.30410277</v>
      </c>
      <c r="K4005" s="62" t="s">
        <v>138</v>
      </c>
      <c r="L4005" s="68" t="b">
        <f aca="false">TRUE()</f>
        <v>1</v>
      </c>
    </row>
    <row r="4006" customFormat="false" ht="15" hidden="false" customHeight="false" outlineLevel="0" collapsed="false">
      <c r="A4006" s="62" t="n">
        <v>1</v>
      </c>
      <c r="B4006" s="21" t="s">
        <v>336</v>
      </c>
      <c r="C4006" s="62" t="s">
        <v>60</v>
      </c>
      <c r="D4006" s="62" t="s">
        <v>386</v>
      </c>
      <c r="E4006" s="62" t="s">
        <v>67</v>
      </c>
      <c r="F4006" s="62" t="s">
        <v>382</v>
      </c>
      <c r="G4006" s="63" t="s">
        <v>440</v>
      </c>
      <c r="H4006" s="64" t="n">
        <v>-788617727.830636</v>
      </c>
      <c r="I4006" s="62" t="s">
        <v>81</v>
      </c>
      <c r="J4006" s="64" t="n">
        <v>-788617.727830636</v>
      </c>
      <c r="K4006" s="62" t="s">
        <v>138</v>
      </c>
      <c r="L4006" s="68" t="b">
        <f aca="false">TRUE()</f>
        <v>1</v>
      </c>
    </row>
    <row r="4007" customFormat="false" ht="15" hidden="false" customHeight="false" outlineLevel="0" collapsed="false">
      <c r="A4007" s="62" t="n">
        <v>1</v>
      </c>
      <c r="B4007" s="21" t="s">
        <v>336</v>
      </c>
      <c r="C4007" s="62" t="s">
        <v>60</v>
      </c>
      <c r="D4007" s="62" t="s">
        <v>387</v>
      </c>
      <c r="E4007" s="62" t="s">
        <v>67</v>
      </c>
      <c r="F4007" s="62" t="s">
        <v>382</v>
      </c>
      <c r="G4007" s="63" t="s">
        <v>440</v>
      </c>
      <c r="H4007" s="64" t="n">
        <v>-7815390662.37222</v>
      </c>
      <c r="I4007" s="62" t="s">
        <v>81</v>
      </c>
      <c r="J4007" s="64" t="n">
        <v>-7815390.66237222</v>
      </c>
      <c r="K4007" s="62" t="s">
        <v>138</v>
      </c>
      <c r="L4007" s="68" t="b">
        <f aca="false">TRUE()</f>
        <v>1</v>
      </c>
    </row>
    <row r="4008" customFormat="false" ht="15" hidden="false" customHeight="false" outlineLevel="0" collapsed="false">
      <c r="A4008" s="62" t="n">
        <v>1</v>
      </c>
      <c r="B4008" s="21" t="s">
        <v>336</v>
      </c>
      <c r="C4008" s="62" t="s">
        <v>60</v>
      </c>
      <c r="D4008" s="62" t="s">
        <v>388</v>
      </c>
      <c r="E4008" s="62" t="s">
        <v>67</v>
      </c>
      <c r="F4008" s="62" t="s">
        <v>382</v>
      </c>
      <c r="G4008" s="63" t="s">
        <v>440</v>
      </c>
      <c r="H4008" s="64" t="n">
        <v>-3618101530.88142</v>
      </c>
      <c r="I4008" s="62" t="s">
        <v>81</v>
      </c>
      <c r="J4008" s="64" t="n">
        <v>-3618101.53088142</v>
      </c>
      <c r="K4008" s="62" t="s">
        <v>138</v>
      </c>
      <c r="L4008" s="68" t="b">
        <f aca="false">TRUE()</f>
        <v>1</v>
      </c>
    </row>
    <row r="4009" customFormat="false" ht="15" hidden="false" customHeight="false" outlineLevel="0" collapsed="false">
      <c r="A4009" s="62" t="n">
        <v>1</v>
      </c>
      <c r="B4009" s="21" t="s">
        <v>336</v>
      </c>
      <c r="C4009" s="62" t="s">
        <v>60</v>
      </c>
      <c r="D4009" s="62" t="s">
        <v>381</v>
      </c>
      <c r="E4009" s="62" t="s">
        <v>67</v>
      </c>
      <c r="F4009" s="62" t="s">
        <v>382</v>
      </c>
      <c r="G4009" s="63" t="s">
        <v>441</v>
      </c>
      <c r="H4009" s="64" t="n">
        <v>9274082785.33571</v>
      </c>
      <c r="I4009" s="62" t="s">
        <v>81</v>
      </c>
      <c r="J4009" s="64" t="n">
        <v>9274082.78533571</v>
      </c>
      <c r="K4009" s="62" t="s">
        <v>138</v>
      </c>
      <c r="L4009" s="68" t="b">
        <f aca="false">TRUE()</f>
        <v>1</v>
      </c>
    </row>
    <row r="4010" customFormat="false" ht="15" hidden="false" customHeight="false" outlineLevel="0" collapsed="false">
      <c r="A4010" s="62" t="n">
        <v>1</v>
      </c>
      <c r="B4010" s="21" t="s">
        <v>336</v>
      </c>
      <c r="C4010" s="62" t="s">
        <v>60</v>
      </c>
      <c r="D4010" s="62" t="s">
        <v>383</v>
      </c>
      <c r="E4010" s="62" t="s">
        <v>67</v>
      </c>
      <c r="F4010" s="62" t="s">
        <v>382</v>
      </c>
      <c r="G4010" s="63" t="s">
        <v>441</v>
      </c>
      <c r="H4010" s="64" t="n">
        <v>9274082785.33571</v>
      </c>
      <c r="I4010" s="62" t="s">
        <v>81</v>
      </c>
      <c r="J4010" s="64" t="n">
        <v>9274082.78533571</v>
      </c>
      <c r="K4010" s="62" t="s">
        <v>138</v>
      </c>
      <c r="L4010" s="68" t="b">
        <f aca="false">TRUE()</f>
        <v>1</v>
      </c>
    </row>
    <row r="4011" customFormat="false" ht="15" hidden="false" customHeight="false" outlineLevel="0" collapsed="false">
      <c r="A4011" s="62" t="n">
        <v>1</v>
      </c>
      <c r="B4011" s="21" t="s">
        <v>336</v>
      </c>
      <c r="C4011" s="62" t="s">
        <v>60</v>
      </c>
      <c r="D4011" s="62" t="s">
        <v>384</v>
      </c>
      <c r="E4011" s="62" t="s">
        <v>67</v>
      </c>
      <c r="F4011" s="62" t="s">
        <v>382</v>
      </c>
      <c r="G4011" s="63" t="s">
        <v>441</v>
      </c>
      <c r="H4011" s="64" t="n">
        <v>9274082785.33571</v>
      </c>
      <c r="I4011" s="62" t="s">
        <v>81</v>
      </c>
      <c r="J4011" s="64" t="n">
        <v>9274082.78533571</v>
      </c>
      <c r="K4011" s="62" t="s">
        <v>138</v>
      </c>
      <c r="L4011" s="68" t="b">
        <f aca="false">TRUE()</f>
        <v>1</v>
      </c>
    </row>
    <row r="4012" customFormat="false" ht="15" hidden="false" customHeight="false" outlineLevel="0" collapsed="false">
      <c r="A4012" s="62" t="n">
        <v>1</v>
      </c>
      <c r="B4012" s="21" t="s">
        <v>336</v>
      </c>
      <c r="C4012" s="62" t="s">
        <v>60</v>
      </c>
      <c r="D4012" s="62" t="s">
        <v>385</v>
      </c>
      <c r="E4012" s="62" t="s">
        <v>67</v>
      </c>
      <c r="F4012" s="62" t="s">
        <v>382</v>
      </c>
      <c r="G4012" s="63" t="s">
        <v>441</v>
      </c>
      <c r="H4012" s="64" t="n">
        <v>9274082785.33571</v>
      </c>
      <c r="I4012" s="62" t="s">
        <v>81</v>
      </c>
      <c r="J4012" s="64" t="n">
        <v>9274082.78533571</v>
      </c>
      <c r="K4012" s="62" t="s">
        <v>138</v>
      </c>
      <c r="L4012" s="68" t="b">
        <f aca="false">TRUE()</f>
        <v>1</v>
      </c>
    </row>
    <row r="4013" customFormat="false" ht="15" hidden="false" customHeight="false" outlineLevel="0" collapsed="false">
      <c r="A4013" s="62" t="n">
        <v>1</v>
      </c>
      <c r="B4013" s="21" t="s">
        <v>336</v>
      </c>
      <c r="C4013" s="62" t="s">
        <v>60</v>
      </c>
      <c r="D4013" s="62" t="s">
        <v>386</v>
      </c>
      <c r="E4013" s="62" t="s">
        <v>67</v>
      </c>
      <c r="F4013" s="62" t="s">
        <v>382</v>
      </c>
      <c r="G4013" s="63" t="s">
        <v>441</v>
      </c>
      <c r="H4013" s="64" t="n">
        <v>9274082785.33571</v>
      </c>
      <c r="I4013" s="62" t="s">
        <v>81</v>
      </c>
      <c r="J4013" s="64" t="n">
        <v>9274082.78533571</v>
      </c>
      <c r="K4013" s="62" t="s">
        <v>138</v>
      </c>
      <c r="L4013" s="68" t="b">
        <f aca="false">TRUE()</f>
        <v>1</v>
      </c>
    </row>
    <row r="4014" customFormat="false" ht="15" hidden="false" customHeight="false" outlineLevel="0" collapsed="false">
      <c r="A4014" s="62" t="n">
        <v>1</v>
      </c>
      <c r="B4014" s="21" t="s">
        <v>336</v>
      </c>
      <c r="C4014" s="62" t="s">
        <v>60</v>
      </c>
      <c r="D4014" s="62" t="s">
        <v>387</v>
      </c>
      <c r="E4014" s="62" t="s">
        <v>67</v>
      </c>
      <c r="F4014" s="62" t="s">
        <v>382</v>
      </c>
      <c r="G4014" s="63" t="s">
        <v>441</v>
      </c>
      <c r="H4014" s="64" t="n">
        <v>9274082785.33571</v>
      </c>
      <c r="I4014" s="62" t="s">
        <v>81</v>
      </c>
      <c r="J4014" s="64" t="n">
        <v>9274082.78533571</v>
      </c>
      <c r="K4014" s="62" t="s">
        <v>138</v>
      </c>
      <c r="L4014" s="68" t="b">
        <f aca="false">TRUE()</f>
        <v>1</v>
      </c>
    </row>
    <row r="4015" customFormat="false" ht="15" hidden="false" customHeight="false" outlineLevel="0" collapsed="false">
      <c r="A4015" s="62" t="n">
        <v>1</v>
      </c>
      <c r="B4015" s="21" t="s">
        <v>336</v>
      </c>
      <c r="C4015" s="62" t="s">
        <v>60</v>
      </c>
      <c r="D4015" s="62" t="s">
        <v>388</v>
      </c>
      <c r="E4015" s="62" t="s">
        <v>67</v>
      </c>
      <c r="F4015" s="62" t="s">
        <v>382</v>
      </c>
      <c r="G4015" s="63" t="s">
        <v>441</v>
      </c>
      <c r="H4015" s="64" t="n">
        <v>9274082785.33571</v>
      </c>
      <c r="I4015" s="62" t="s">
        <v>81</v>
      </c>
      <c r="J4015" s="64" t="n">
        <v>9274082.78533571</v>
      </c>
      <c r="K4015" s="62" t="s">
        <v>138</v>
      </c>
      <c r="L4015" s="68" t="b">
        <f aca="false">TRUE()</f>
        <v>1</v>
      </c>
    </row>
    <row r="4016" customFormat="false" ht="15" hidden="false" customHeight="false" outlineLevel="0" collapsed="false">
      <c r="A4016" s="62" t="n">
        <v>1</v>
      </c>
      <c r="B4016" s="21" t="s">
        <v>336</v>
      </c>
      <c r="C4016" s="62" t="s">
        <v>60</v>
      </c>
      <c r="D4016" s="62" t="s">
        <v>381</v>
      </c>
      <c r="E4016" s="62" t="s">
        <v>67</v>
      </c>
      <c r="F4016" s="62" t="s">
        <v>382</v>
      </c>
      <c r="G4016" s="63" t="s">
        <v>442</v>
      </c>
      <c r="H4016" s="64" t="n">
        <v>1090285979.39674</v>
      </c>
      <c r="I4016" s="62" t="s">
        <v>81</v>
      </c>
      <c r="J4016" s="64" t="n">
        <v>1090285.97939674</v>
      </c>
      <c r="K4016" s="62" t="s">
        <v>138</v>
      </c>
      <c r="L4016" s="68" t="b">
        <f aca="false">TRUE()</f>
        <v>1</v>
      </c>
    </row>
    <row r="4017" customFormat="false" ht="15" hidden="false" customHeight="false" outlineLevel="0" collapsed="false">
      <c r="A4017" s="62" t="n">
        <v>1</v>
      </c>
      <c r="B4017" s="21" t="s">
        <v>336</v>
      </c>
      <c r="C4017" s="62" t="s">
        <v>60</v>
      </c>
      <c r="D4017" s="62" t="s">
        <v>383</v>
      </c>
      <c r="E4017" s="62" t="s">
        <v>67</v>
      </c>
      <c r="F4017" s="62" t="s">
        <v>382</v>
      </c>
      <c r="G4017" s="63" t="s">
        <v>442</v>
      </c>
      <c r="H4017" s="64" t="n">
        <v>6531568830.8231</v>
      </c>
      <c r="I4017" s="62" t="s">
        <v>81</v>
      </c>
      <c r="J4017" s="64" t="n">
        <v>6531568.8308231</v>
      </c>
      <c r="K4017" s="62" t="s">
        <v>138</v>
      </c>
      <c r="L4017" s="68" t="b">
        <f aca="false">TRUE()</f>
        <v>1</v>
      </c>
    </row>
    <row r="4018" customFormat="false" ht="15" hidden="false" customHeight="false" outlineLevel="0" collapsed="false">
      <c r="A4018" s="62" t="n">
        <v>1</v>
      </c>
      <c r="B4018" s="21" t="s">
        <v>336</v>
      </c>
      <c r="C4018" s="62" t="s">
        <v>60</v>
      </c>
      <c r="D4018" s="62" t="s">
        <v>384</v>
      </c>
      <c r="E4018" s="62" t="s">
        <v>67</v>
      </c>
      <c r="F4018" s="62" t="s">
        <v>382</v>
      </c>
      <c r="G4018" s="63" t="s">
        <v>442</v>
      </c>
      <c r="H4018" s="64" t="n">
        <v>4287328445.15603</v>
      </c>
      <c r="I4018" s="62" t="s">
        <v>81</v>
      </c>
      <c r="J4018" s="64" t="n">
        <v>4287328.44515603</v>
      </c>
      <c r="K4018" s="62" t="s">
        <v>138</v>
      </c>
      <c r="L4018" s="68" t="b">
        <f aca="false">TRUE()</f>
        <v>1</v>
      </c>
    </row>
    <row r="4019" customFormat="false" ht="15" hidden="false" customHeight="false" outlineLevel="0" collapsed="false">
      <c r="A4019" s="62" t="n">
        <v>1</v>
      </c>
      <c r="B4019" s="21" t="s">
        <v>336</v>
      </c>
      <c r="C4019" s="62" t="s">
        <v>60</v>
      </c>
      <c r="D4019" s="62" t="s">
        <v>385</v>
      </c>
      <c r="E4019" s="62" t="s">
        <v>67</v>
      </c>
      <c r="F4019" s="62" t="s">
        <v>382</v>
      </c>
      <c r="G4019" s="63" t="s">
        <v>442</v>
      </c>
      <c r="H4019" s="64" t="n">
        <v>5647546481.23295</v>
      </c>
      <c r="I4019" s="62" t="s">
        <v>81</v>
      </c>
      <c r="J4019" s="64" t="n">
        <v>5647546.48123295</v>
      </c>
      <c r="K4019" s="62" t="s">
        <v>138</v>
      </c>
      <c r="L4019" s="68" t="b">
        <f aca="false">TRUE()</f>
        <v>1</v>
      </c>
    </row>
    <row r="4020" customFormat="false" ht="15" hidden="false" customHeight="false" outlineLevel="0" collapsed="false">
      <c r="A4020" s="62" t="n">
        <v>1</v>
      </c>
      <c r="B4020" s="21" t="s">
        <v>336</v>
      </c>
      <c r="C4020" s="62" t="s">
        <v>60</v>
      </c>
      <c r="D4020" s="62" t="s">
        <v>386</v>
      </c>
      <c r="E4020" s="62" t="s">
        <v>67</v>
      </c>
      <c r="F4020" s="62" t="s">
        <v>382</v>
      </c>
      <c r="G4020" s="63" t="s">
        <v>442</v>
      </c>
      <c r="H4020" s="64" t="n">
        <v>8485465057.50508</v>
      </c>
      <c r="I4020" s="62" t="s">
        <v>81</v>
      </c>
      <c r="J4020" s="64" t="n">
        <v>8485465.05750508</v>
      </c>
      <c r="K4020" s="62" t="s">
        <v>138</v>
      </c>
      <c r="L4020" s="68" t="b">
        <f aca="false">TRUE()</f>
        <v>1</v>
      </c>
    </row>
    <row r="4021" customFormat="false" ht="15" hidden="false" customHeight="false" outlineLevel="0" collapsed="false">
      <c r="A4021" s="62" t="n">
        <v>1</v>
      </c>
      <c r="B4021" s="21" t="s">
        <v>336</v>
      </c>
      <c r="C4021" s="62" t="s">
        <v>60</v>
      </c>
      <c r="D4021" s="62" t="s">
        <v>387</v>
      </c>
      <c r="E4021" s="62" t="s">
        <v>67</v>
      </c>
      <c r="F4021" s="62" t="s">
        <v>382</v>
      </c>
      <c r="G4021" s="63" t="s">
        <v>442</v>
      </c>
      <c r="H4021" s="64" t="n">
        <v>1458692122.9635</v>
      </c>
      <c r="I4021" s="62" t="s">
        <v>81</v>
      </c>
      <c r="J4021" s="64" t="n">
        <v>1458692.1229635</v>
      </c>
      <c r="K4021" s="62" t="s">
        <v>138</v>
      </c>
      <c r="L4021" s="68" t="b">
        <f aca="false">TRUE()</f>
        <v>1</v>
      </c>
    </row>
    <row r="4022" customFormat="false" ht="15" hidden="false" customHeight="false" outlineLevel="0" collapsed="false">
      <c r="A4022" s="62" t="n">
        <v>1</v>
      </c>
      <c r="B4022" s="21" t="s">
        <v>336</v>
      </c>
      <c r="C4022" s="62" t="s">
        <v>60</v>
      </c>
      <c r="D4022" s="62" t="s">
        <v>388</v>
      </c>
      <c r="E4022" s="62" t="s">
        <v>67</v>
      </c>
      <c r="F4022" s="62" t="s">
        <v>382</v>
      </c>
      <c r="G4022" s="63" t="s">
        <v>442</v>
      </c>
      <c r="H4022" s="64" t="n">
        <v>5655981254.4543</v>
      </c>
      <c r="I4022" s="62" t="s">
        <v>81</v>
      </c>
      <c r="J4022" s="64" t="n">
        <v>5655981.2544543</v>
      </c>
      <c r="K4022" s="62" t="s">
        <v>138</v>
      </c>
      <c r="L4022" s="68" t="b">
        <f aca="false">TRUE()</f>
        <v>1</v>
      </c>
    </row>
    <row r="4023" customFormat="false" ht="15" hidden="false" customHeight="false" outlineLevel="0" collapsed="false">
      <c r="A4023" s="62" t="n">
        <v>1</v>
      </c>
      <c r="B4023" s="21" t="s">
        <v>336</v>
      </c>
      <c r="C4023" s="62" t="s">
        <v>60</v>
      </c>
      <c r="D4023" s="62" t="s">
        <v>381</v>
      </c>
      <c r="E4023" s="62" t="s">
        <v>71</v>
      </c>
      <c r="F4023" s="62" t="s">
        <v>382</v>
      </c>
      <c r="G4023" s="63" t="s">
        <v>400</v>
      </c>
      <c r="H4023" s="64" t="n">
        <v>13236000539.0654</v>
      </c>
      <c r="I4023" s="62" t="s">
        <v>81</v>
      </c>
      <c r="J4023" s="64" t="n">
        <v>13236000.5390654</v>
      </c>
      <c r="K4023" s="62" t="s">
        <v>138</v>
      </c>
      <c r="L4023" s="68" t="b">
        <f aca="false">TRUE()</f>
        <v>1</v>
      </c>
    </row>
    <row r="4024" customFormat="false" ht="15" hidden="false" customHeight="false" outlineLevel="0" collapsed="false">
      <c r="A4024" s="62" t="n">
        <v>1</v>
      </c>
      <c r="B4024" s="21" t="s">
        <v>336</v>
      </c>
      <c r="C4024" s="62" t="s">
        <v>60</v>
      </c>
      <c r="D4024" s="62" t="s">
        <v>383</v>
      </c>
      <c r="E4024" s="62" t="s">
        <v>71</v>
      </c>
      <c r="F4024" s="62" t="s">
        <v>382</v>
      </c>
      <c r="G4024" s="63" t="s">
        <v>400</v>
      </c>
      <c r="H4024" s="64" t="n">
        <v>5712058308.32233</v>
      </c>
      <c r="I4024" s="62" t="s">
        <v>81</v>
      </c>
      <c r="J4024" s="64" t="n">
        <v>5712058.30832233</v>
      </c>
      <c r="K4024" s="62" t="s">
        <v>138</v>
      </c>
      <c r="L4024" s="68" t="b">
        <f aca="false">TRUE()</f>
        <v>1</v>
      </c>
    </row>
    <row r="4025" customFormat="false" ht="15" hidden="false" customHeight="false" outlineLevel="0" collapsed="false">
      <c r="A4025" s="62" t="n">
        <v>1</v>
      </c>
      <c r="B4025" s="21" t="s">
        <v>336</v>
      </c>
      <c r="C4025" s="62" t="s">
        <v>60</v>
      </c>
      <c r="D4025" s="62" t="s">
        <v>384</v>
      </c>
      <c r="E4025" s="62" t="s">
        <v>71</v>
      </c>
      <c r="F4025" s="62" t="s">
        <v>382</v>
      </c>
      <c r="G4025" s="63" t="s">
        <v>400</v>
      </c>
      <c r="H4025" s="64" t="n">
        <v>11216873922.6851</v>
      </c>
      <c r="I4025" s="62" t="s">
        <v>81</v>
      </c>
      <c r="J4025" s="64" t="n">
        <v>11216873.9226851</v>
      </c>
      <c r="K4025" s="62" t="s">
        <v>138</v>
      </c>
      <c r="L4025" s="68" t="b">
        <f aca="false">TRUE()</f>
        <v>1</v>
      </c>
    </row>
    <row r="4026" customFormat="false" ht="15" hidden="false" customHeight="false" outlineLevel="0" collapsed="false">
      <c r="A4026" s="62" t="n">
        <v>1</v>
      </c>
      <c r="B4026" s="21" t="s">
        <v>336</v>
      </c>
      <c r="C4026" s="62" t="s">
        <v>60</v>
      </c>
      <c r="D4026" s="62" t="s">
        <v>385</v>
      </c>
      <c r="E4026" s="62" t="s">
        <v>71</v>
      </c>
      <c r="F4026" s="62" t="s">
        <v>382</v>
      </c>
      <c r="G4026" s="63" t="s">
        <v>400</v>
      </c>
      <c r="H4026" s="64" t="n">
        <v>7735812361.92625</v>
      </c>
      <c r="I4026" s="62" t="s">
        <v>81</v>
      </c>
      <c r="J4026" s="64" t="n">
        <v>7735812.36192625</v>
      </c>
      <c r="K4026" s="62" t="s">
        <v>138</v>
      </c>
      <c r="L4026" s="68" t="b">
        <f aca="false">TRUE()</f>
        <v>1</v>
      </c>
    </row>
    <row r="4027" customFormat="false" ht="15" hidden="false" customHeight="false" outlineLevel="0" collapsed="false">
      <c r="A4027" s="62" t="n">
        <v>1</v>
      </c>
      <c r="B4027" s="21" t="s">
        <v>336</v>
      </c>
      <c r="C4027" s="62" t="s">
        <v>60</v>
      </c>
      <c r="D4027" s="62" t="s">
        <v>386</v>
      </c>
      <c r="E4027" s="62" t="s">
        <v>71</v>
      </c>
      <c r="F4027" s="62" t="s">
        <v>382</v>
      </c>
      <c r="G4027" s="63" t="s">
        <v>400</v>
      </c>
      <c r="H4027" s="64" t="n">
        <v>11612366840.1114</v>
      </c>
      <c r="I4027" s="62" t="s">
        <v>81</v>
      </c>
      <c r="J4027" s="64" t="n">
        <v>11612366.8401114</v>
      </c>
      <c r="K4027" s="62" t="s">
        <v>138</v>
      </c>
      <c r="L4027" s="68" t="b">
        <f aca="false">TRUE()</f>
        <v>1</v>
      </c>
    </row>
    <row r="4028" customFormat="false" ht="15" hidden="false" customHeight="false" outlineLevel="0" collapsed="false">
      <c r="A4028" s="62" t="n">
        <v>1</v>
      </c>
      <c r="B4028" s="21" t="s">
        <v>336</v>
      </c>
      <c r="C4028" s="62" t="s">
        <v>60</v>
      </c>
      <c r="D4028" s="62" t="s">
        <v>387</v>
      </c>
      <c r="E4028" s="62" t="s">
        <v>71</v>
      </c>
      <c r="F4028" s="62" t="s">
        <v>382</v>
      </c>
      <c r="G4028" s="63" t="s">
        <v>400</v>
      </c>
      <c r="H4028" s="64" t="n">
        <v>11033235774.0064</v>
      </c>
      <c r="I4028" s="62" t="s">
        <v>81</v>
      </c>
      <c r="J4028" s="64" t="n">
        <v>11033235.7740064</v>
      </c>
      <c r="K4028" s="62" t="s">
        <v>138</v>
      </c>
      <c r="L4028" s="68" t="b">
        <f aca="false">TRUE()</f>
        <v>1</v>
      </c>
    </row>
    <row r="4029" customFormat="false" ht="15" hidden="false" customHeight="false" outlineLevel="0" collapsed="false">
      <c r="A4029" s="62" t="n">
        <v>1</v>
      </c>
      <c r="B4029" s="21" t="s">
        <v>336</v>
      </c>
      <c r="C4029" s="62" t="s">
        <v>60</v>
      </c>
      <c r="D4029" s="62" t="s">
        <v>388</v>
      </c>
      <c r="E4029" s="62" t="s">
        <v>71</v>
      </c>
      <c r="F4029" s="62" t="s">
        <v>382</v>
      </c>
      <c r="G4029" s="63" t="s">
        <v>400</v>
      </c>
      <c r="H4029" s="64" t="n">
        <v>7115927364</v>
      </c>
      <c r="I4029" s="62" t="s">
        <v>81</v>
      </c>
      <c r="J4029" s="64" t="n">
        <v>7115927.364</v>
      </c>
      <c r="K4029" s="62" t="s">
        <v>138</v>
      </c>
      <c r="L4029" s="68" t="b">
        <f aca="false">TRUE()</f>
        <v>1</v>
      </c>
    </row>
    <row r="4030" customFormat="false" ht="15" hidden="false" customHeight="false" outlineLevel="0" collapsed="false">
      <c r="A4030" s="62" t="n">
        <v>1</v>
      </c>
      <c r="B4030" s="21" t="s">
        <v>336</v>
      </c>
      <c r="C4030" s="62" t="s">
        <v>60</v>
      </c>
      <c r="D4030" s="62" t="s">
        <v>381</v>
      </c>
      <c r="E4030" s="62" t="s">
        <v>71</v>
      </c>
      <c r="F4030" s="62" t="s">
        <v>382</v>
      </c>
      <c r="G4030" s="63" t="s">
        <v>401</v>
      </c>
      <c r="H4030" s="64" t="n">
        <v>984362736.272263</v>
      </c>
      <c r="I4030" s="62" t="s">
        <v>81</v>
      </c>
      <c r="J4030" s="64" t="n">
        <v>984362.736272263</v>
      </c>
      <c r="K4030" s="62" t="s">
        <v>138</v>
      </c>
      <c r="L4030" s="68" t="b">
        <f aca="false">TRUE()</f>
        <v>1</v>
      </c>
    </row>
    <row r="4031" customFormat="false" ht="15" hidden="false" customHeight="false" outlineLevel="0" collapsed="false">
      <c r="A4031" s="62" t="n">
        <v>1</v>
      </c>
      <c r="B4031" s="21" t="s">
        <v>336</v>
      </c>
      <c r="C4031" s="62" t="s">
        <v>60</v>
      </c>
      <c r="D4031" s="62" t="s">
        <v>383</v>
      </c>
      <c r="E4031" s="62" t="s">
        <v>71</v>
      </c>
      <c r="F4031" s="62" t="s">
        <v>382</v>
      </c>
      <c r="G4031" s="63" t="s">
        <v>401</v>
      </c>
      <c r="H4031" s="64" t="n">
        <v>7921806138.37742</v>
      </c>
      <c r="I4031" s="62" t="s">
        <v>81</v>
      </c>
      <c r="J4031" s="64" t="n">
        <v>7921806.13837742</v>
      </c>
      <c r="K4031" s="62" t="s">
        <v>138</v>
      </c>
      <c r="L4031" s="68" t="b">
        <f aca="false">TRUE()</f>
        <v>1</v>
      </c>
    </row>
    <row r="4032" customFormat="false" ht="15" hidden="false" customHeight="false" outlineLevel="0" collapsed="false">
      <c r="A4032" s="62" t="n">
        <v>1</v>
      </c>
      <c r="B4032" s="21" t="s">
        <v>336</v>
      </c>
      <c r="C4032" s="62" t="s">
        <v>60</v>
      </c>
      <c r="D4032" s="62" t="s">
        <v>384</v>
      </c>
      <c r="E4032" s="62" t="s">
        <v>71</v>
      </c>
      <c r="F4032" s="62" t="s">
        <v>382</v>
      </c>
      <c r="G4032" s="63" t="s">
        <v>401</v>
      </c>
      <c r="H4032" s="64" t="n">
        <v>4361216977.69722</v>
      </c>
      <c r="I4032" s="62" t="s">
        <v>81</v>
      </c>
      <c r="J4032" s="64" t="n">
        <v>4361216.97769722</v>
      </c>
      <c r="K4032" s="62" t="s">
        <v>138</v>
      </c>
      <c r="L4032" s="68" t="b">
        <f aca="false">TRUE()</f>
        <v>1</v>
      </c>
    </row>
    <row r="4033" customFormat="false" ht="15" hidden="false" customHeight="false" outlineLevel="0" collapsed="false">
      <c r="A4033" s="62" t="n">
        <v>1</v>
      </c>
      <c r="B4033" s="21" t="s">
        <v>336</v>
      </c>
      <c r="C4033" s="62" t="s">
        <v>60</v>
      </c>
      <c r="D4033" s="62" t="s">
        <v>385</v>
      </c>
      <c r="E4033" s="62" t="s">
        <v>71</v>
      </c>
      <c r="F4033" s="62" t="s">
        <v>382</v>
      </c>
      <c r="G4033" s="63" t="s">
        <v>401</v>
      </c>
      <c r="H4033" s="64" t="n">
        <v>3.46792332855351E-006</v>
      </c>
      <c r="I4033" s="62" t="s">
        <v>81</v>
      </c>
      <c r="J4033" s="64" t="n">
        <v>3.46792332855351E-009</v>
      </c>
      <c r="K4033" s="62" t="s">
        <v>138</v>
      </c>
      <c r="L4033" s="68" t="b">
        <f aca="false">TRUE()</f>
        <v>1</v>
      </c>
    </row>
    <row r="4034" customFormat="false" ht="15" hidden="false" customHeight="false" outlineLevel="0" collapsed="false">
      <c r="A4034" s="62" t="n">
        <v>1</v>
      </c>
      <c r="B4034" s="21" t="s">
        <v>336</v>
      </c>
      <c r="C4034" s="62" t="s">
        <v>60</v>
      </c>
      <c r="D4034" s="62" t="s">
        <v>386</v>
      </c>
      <c r="E4034" s="62" t="s">
        <v>71</v>
      </c>
      <c r="F4034" s="62" t="s">
        <v>382</v>
      </c>
      <c r="G4034" s="63" t="s">
        <v>401</v>
      </c>
      <c r="H4034" s="64" t="n">
        <v>2268825919.62129</v>
      </c>
      <c r="I4034" s="62" t="s">
        <v>81</v>
      </c>
      <c r="J4034" s="64" t="n">
        <v>2268825.91962129</v>
      </c>
      <c r="K4034" s="62" t="s">
        <v>138</v>
      </c>
      <c r="L4034" s="68" t="b">
        <f aca="false">TRUE()</f>
        <v>1</v>
      </c>
    </row>
    <row r="4035" customFormat="false" ht="15" hidden="false" customHeight="false" outlineLevel="0" collapsed="false">
      <c r="A4035" s="62" t="n">
        <v>1</v>
      </c>
      <c r="B4035" s="21" t="s">
        <v>336</v>
      </c>
      <c r="C4035" s="62" t="s">
        <v>60</v>
      </c>
      <c r="D4035" s="62" t="s">
        <v>387</v>
      </c>
      <c r="E4035" s="62" t="s">
        <v>71</v>
      </c>
      <c r="F4035" s="62" t="s">
        <v>382</v>
      </c>
      <c r="G4035" s="63" t="s">
        <v>401</v>
      </c>
      <c r="H4035" s="64" t="n">
        <v>1853270841.95211</v>
      </c>
      <c r="I4035" s="62" t="s">
        <v>81</v>
      </c>
      <c r="J4035" s="64" t="n">
        <v>1853270.84195211</v>
      </c>
      <c r="K4035" s="62" t="s">
        <v>138</v>
      </c>
      <c r="L4035" s="68" t="b">
        <f aca="false">TRUE()</f>
        <v>1</v>
      </c>
    </row>
    <row r="4036" customFormat="false" ht="15" hidden="false" customHeight="false" outlineLevel="0" collapsed="false">
      <c r="A4036" s="62" t="n">
        <v>1</v>
      </c>
      <c r="B4036" s="21" t="s">
        <v>336</v>
      </c>
      <c r="C4036" s="62" t="s">
        <v>60</v>
      </c>
      <c r="D4036" s="62" t="s">
        <v>388</v>
      </c>
      <c r="E4036" s="62" t="s">
        <v>71</v>
      </c>
      <c r="F4036" s="62" t="s">
        <v>382</v>
      </c>
      <c r="G4036" s="63" t="s">
        <v>401</v>
      </c>
      <c r="H4036" s="64" t="n">
        <v>0</v>
      </c>
      <c r="I4036" s="62" t="s">
        <v>81</v>
      </c>
      <c r="J4036" s="64" t="n">
        <v>0</v>
      </c>
      <c r="K4036" s="62" t="s">
        <v>138</v>
      </c>
      <c r="L4036" s="68" t="b">
        <f aca="false">TRUE()</f>
        <v>1</v>
      </c>
    </row>
    <row r="4037" customFormat="false" ht="15" hidden="false" customHeight="false" outlineLevel="0" collapsed="false">
      <c r="A4037" s="62" t="n">
        <v>1</v>
      </c>
      <c r="B4037" s="21" t="s">
        <v>336</v>
      </c>
      <c r="C4037" s="62" t="s">
        <v>60</v>
      </c>
      <c r="D4037" s="62" t="s">
        <v>381</v>
      </c>
      <c r="E4037" s="62" t="s">
        <v>71</v>
      </c>
      <c r="F4037" s="62" t="s">
        <v>382</v>
      </c>
      <c r="G4037" s="63" t="s">
        <v>402</v>
      </c>
      <c r="H4037" s="64" t="n">
        <v>14220363275.3377</v>
      </c>
      <c r="I4037" s="62" t="s">
        <v>81</v>
      </c>
      <c r="J4037" s="64" t="n">
        <v>14220363.2753377</v>
      </c>
      <c r="K4037" s="62" t="s">
        <v>138</v>
      </c>
      <c r="L4037" s="68" t="b">
        <f aca="false">TRUE()</f>
        <v>1</v>
      </c>
    </row>
    <row r="4038" customFormat="false" ht="15" hidden="false" customHeight="false" outlineLevel="0" collapsed="false">
      <c r="A4038" s="62" t="n">
        <v>1</v>
      </c>
      <c r="B4038" s="21" t="s">
        <v>336</v>
      </c>
      <c r="C4038" s="62" t="s">
        <v>60</v>
      </c>
      <c r="D4038" s="62" t="s">
        <v>383</v>
      </c>
      <c r="E4038" s="62" t="s">
        <v>71</v>
      </c>
      <c r="F4038" s="62" t="s">
        <v>382</v>
      </c>
      <c r="G4038" s="63" t="s">
        <v>402</v>
      </c>
      <c r="H4038" s="64" t="n">
        <v>13633864446.6998</v>
      </c>
      <c r="I4038" s="62" t="s">
        <v>81</v>
      </c>
      <c r="J4038" s="64" t="n">
        <v>13633864.4466998</v>
      </c>
      <c r="K4038" s="62" t="s">
        <v>138</v>
      </c>
      <c r="L4038" s="68" t="b">
        <f aca="false">TRUE()</f>
        <v>1</v>
      </c>
    </row>
    <row r="4039" customFormat="false" ht="15" hidden="false" customHeight="false" outlineLevel="0" collapsed="false">
      <c r="A4039" s="62" t="n">
        <v>1</v>
      </c>
      <c r="B4039" s="21" t="s">
        <v>336</v>
      </c>
      <c r="C4039" s="62" t="s">
        <v>60</v>
      </c>
      <c r="D4039" s="62" t="s">
        <v>384</v>
      </c>
      <c r="E4039" s="62" t="s">
        <v>71</v>
      </c>
      <c r="F4039" s="62" t="s">
        <v>382</v>
      </c>
      <c r="G4039" s="63" t="s">
        <v>402</v>
      </c>
      <c r="H4039" s="64" t="n">
        <v>15578090900.3823</v>
      </c>
      <c r="I4039" s="62" t="s">
        <v>81</v>
      </c>
      <c r="J4039" s="64" t="n">
        <v>15578090.9003823</v>
      </c>
      <c r="K4039" s="62" t="s">
        <v>138</v>
      </c>
      <c r="L4039" s="68" t="b">
        <f aca="false">TRUE()</f>
        <v>1</v>
      </c>
    </row>
    <row r="4040" customFormat="false" ht="15" hidden="false" customHeight="false" outlineLevel="0" collapsed="false">
      <c r="A4040" s="62" t="n">
        <v>1</v>
      </c>
      <c r="B4040" s="21" t="s">
        <v>336</v>
      </c>
      <c r="C4040" s="62" t="s">
        <v>60</v>
      </c>
      <c r="D4040" s="62" t="s">
        <v>385</v>
      </c>
      <c r="E4040" s="62" t="s">
        <v>71</v>
      </c>
      <c r="F4040" s="62" t="s">
        <v>382</v>
      </c>
      <c r="G4040" s="63" t="s">
        <v>402</v>
      </c>
      <c r="H4040" s="64" t="n">
        <v>7735812361.92625</v>
      </c>
      <c r="I4040" s="62" t="s">
        <v>81</v>
      </c>
      <c r="J4040" s="64" t="n">
        <v>7735812.36192625</v>
      </c>
      <c r="K4040" s="62" t="s">
        <v>138</v>
      </c>
      <c r="L4040" s="68" t="b">
        <f aca="false">TRUE()</f>
        <v>1</v>
      </c>
    </row>
    <row r="4041" customFormat="false" ht="15" hidden="false" customHeight="false" outlineLevel="0" collapsed="false">
      <c r="A4041" s="62" t="n">
        <v>1</v>
      </c>
      <c r="B4041" s="21" t="s">
        <v>336</v>
      </c>
      <c r="C4041" s="62" t="s">
        <v>60</v>
      </c>
      <c r="D4041" s="62" t="s">
        <v>386</v>
      </c>
      <c r="E4041" s="62" t="s">
        <v>71</v>
      </c>
      <c r="F4041" s="62" t="s">
        <v>382</v>
      </c>
      <c r="G4041" s="63" t="s">
        <v>402</v>
      </c>
      <c r="H4041" s="64" t="n">
        <v>13881192759.7327</v>
      </c>
      <c r="I4041" s="62" t="s">
        <v>81</v>
      </c>
      <c r="J4041" s="64" t="n">
        <v>13881192.7597327</v>
      </c>
      <c r="K4041" s="62" t="s">
        <v>138</v>
      </c>
      <c r="L4041" s="68" t="b">
        <f aca="false">TRUE()</f>
        <v>1</v>
      </c>
    </row>
    <row r="4042" customFormat="false" ht="15" hidden="false" customHeight="false" outlineLevel="0" collapsed="false">
      <c r="A4042" s="62" t="n">
        <v>1</v>
      </c>
      <c r="B4042" s="21" t="s">
        <v>336</v>
      </c>
      <c r="C4042" s="62" t="s">
        <v>60</v>
      </c>
      <c r="D4042" s="62" t="s">
        <v>387</v>
      </c>
      <c r="E4042" s="62" t="s">
        <v>71</v>
      </c>
      <c r="F4042" s="62" t="s">
        <v>382</v>
      </c>
      <c r="G4042" s="63" t="s">
        <v>402</v>
      </c>
      <c r="H4042" s="64" t="n">
        <v>12886506615.9585</v>
      </c>
      <c r="I4042" s="62" t="s">
        <v>81</v>
      </c>
      <c r="J4042" s="64" t="n">
        <v>12886506.6159585</v>
      </c>
      <c r="K4042" s="62" t="s">
        <v>138</v>
      </c>
      <c r="L4042" s="68" t="b">
        <f aca="false">TRUE()</f>
        <v>1</v>
      </c>
    </row>
    <row r="4043" customFormat="false" ht="15" hidden="false" customHeight="false" outlineLevel="0" collapsed="false">
      <c r="A4043" s="62" t="n">
        <v>1</v>
      </c>
      <c r="B4043" s="21" t="s">
        <v>336</v>
      </c>
      <c r="C4043" s="62" t="s">
        <v>60</v>
      </c>
      <c r="D4043" s="62" t="s">
        <v>388</v>
      </c>
      <c r="E4043" s="62" t="s">
        <v>71</v>
      </c>
      <c r="F4043" s="62" t="s">
        <v>382</v>
      </c>
      <c r="G4043" s="63" t="s">
        <v>402</v>
      </c>
      <c r="H4043" s="64" t="n">
        <v>7115927364</v>
      </c>
      <c r="I4043" s="62" t="s">
        <v>81</v>
      </c>
      <c r="J4043" s="64" t="n">
        <v>7115927.364</v>
      </c>
      <c r="K4043" s="62" t="s">
        <v>138</v>
      </c>
      <c r="L4043" s="68" t="b">
        <f aca="false">TRUE()</f>
        <v>1</v>
      </c>
    </row>
    <row r="4044" customFormat="false" ht="15" hidden="false" customHeight="false" outlineLevel="0" collapsed="false">
      <c r="A4044" s="62" t="n">
        <v>1</v>
      </c>
      <c r="B4044" s="21" t="s">
        <v>336</v>
      </c>
      <c r="C4044" s="62" t="s">
        <v>60</v>
      </c>
      <c r="D4044" s="62" t="s">
        <v>381</v>
      </c>
      <c r="E4044" s="62" t="s">
        <v>71</v>
      </c>
      <c r="F4044" s="62" t="s">
        <v>382</v>
      </c>
      <c r="G4044" s="63" t="s">
        <v>389</v>
      </c>
      <c r="H4044" s="64" t="n">
        <v>3922584930.78149</v>
      </c>
      <c r="I4044" s="62" t="s">
        <v>81</v>
      </c>
      <c r="J4044" s="64" t="n">
        <v>3922584.93078149</v>
      </c>
      <c r="K4044" s="62" t="s">
        <v>138</v>
      </c>
      <c r="L4044" s="68" t="b">
        <f aca="false">TRUE()</f>
        <v>1</v>
      </c>
    </row>
    <row r="4045" customFormat="false" ht="15" hidden="false" customHeight="false" outlineLevel="0" collapsed="false">
      <c r="A4045" s="62" t="n">
        <v>1</v>
      </c>
      <c r="B4045" s="21" t="s">
        <v>336</v>
      </c>
      <c r="C4045" s="62" t="s">
        <v>60</v>
      </c>
      <c r="D4045" s="62" t="s">
        <v>383</v>
      </c>
      <c r="E4045" s="62" t="s">
        <v>71</v>
      </c>
      <c r="F4045" s="62" t="s">
        <v>382</v>
      </c>
      <c r="G4045" s="63" t="s">
        <v>389</v>
      </c>
      <c r="H4045" s="64" t="n">
        <v>6076284992.86137</v>
      </c>
      <c r="I4045" s="62" t="s">
        <v>81</v>
      </c>
      <c r="J4045" s="64" t="n">
        <v>6076284.99286137</v>
      </c>
      <c r="K4045" s="62" t="s">
        <v>138</v>
      </c>
      <c r="L4045" s="68" t="b">
        <f aca="false">TRUE()</f>
        <v>1</v>
      </c>
    </row>
    <row r="4046" customFormat="false" ht="15" hidden="false" customHeight="false" outlineLevel="0" collapsed="false">
      <c r="A4046" s="62" t="n">
        <v>1</v>
      </c>
      <c r="B4046" s="21" t="s">
        <v>336</v>
      </c>
      <c r="C4046" s="62" t="s">
        <v>60</v>
      </c>
      <c r="D4046" s="62" t="s">
        <v>384</v>
      </c>
      <c r="E4046" s="62" t="s">
        <v>71</v>
      </c>
      <c r="F4046" s="62" t="s">
        <v>382</v>
      </c>
      <c r="G4046" s="63" t="s">
        <v>389</v>
      </c>
      <c r="H4046" s="64" t="n">
        <v>2934370839.93744</v>
      </c>
      <c r="I4046" s="62" t="s">
        <v>81</v>
      </c>
      <c r="J4046" s="64" t="n">
        <v>2934370.83993744</v>
      </c>
      <c r="K4046" s="62" t="s">
        <v>138</v>
      </c>
      <c r="L4046" s="68" t="b">
        <f aca="false">TRUE()</f>
        <v>1</v>
      </c>
    </row>
    <row r="4047" customFormat="false" ht="15" hidden="false" customHeight="false" outlineLevel="0" collapsed="false">
      <c r="A4047" s="62" t="n">
        <v>1</v>
      </c>
      <c r="B4047" s="21" t="s">
        <v>336</v>
      </c>
      <c r="C4047" s="62" t="s">
        <v>60</v>
      </c>
      <c r="D4047" s="62" t="s">
        <v>385</v>
      </c>
      <c r="E4047" s="62" t="s">
        <v>71</v>
      </c>
      <c r="F4047" s="62" t="s">
        <v>382</v>
      </c>
      <c r="G4047" s="63" t="s">
        <v>389</v>
      </c>
      <c r="H4047" s="64" t="n">
        <v>3691183351.52104</v>
      </c>
      <c r="I4047" s="62" t="s">
        <v>81</v>
      </c>
      <c r="J4047" s="64" t="n">
        <v>3691183.35152104</v>
      </c>
      <c r="K4047" s="62" t="s">
        <v>138</v>
      </c>
      <c r="L4047" s="68" t="b">
        <f aca="false">TRUE()</f>
        <v>1</v>
      </c>
    </row>
    <row r="4048" customFormat="false" ht="15" hidden="false" customHeight="false" outlineLevel="0" collapsed="false">
      <c r="A4048" s="62" t="n">
        <v>1</v>
      </c>
      <c r="B4048" s="21" t="s">
        <v>336</v>
      </c>
      <c r="C4048" s="62" t="s">
        <v>60</v>
      </c>
      <c r="D4048" s="62" t="s">
        <v>386</v>
      </c>
      <c r="E4048" s="62" t="s">
        <v>71</v>
      </c>
      <c r="F4048" s="62" t="s">
        <v>382</v>
      </c>
      <c r="G4048" s="63" t="s">
        <v>389</v>
      </c>
      <c r="H4048" s="64" t="n">
        <v>2954100993.12599</v>
      </c>
      <c r="I4048" s="62" t="s">
        <v>81</v>
      </c>
      <c r="J4048" s="64" t="n">
        <v>2954100.99312599</v>
      </c>
      <c r="K4048" s="62" t="s">
        <v>138</v>
      </c>
      <c r="L4048" s="68" t="b">
        <f aca="false">TRUE()</f>
        <v>1</v>
      </c>
    </row>
    <row r="4049" customFormat="false" ht="15" hidden="false" customHeight="false" outlineLevel="0" collapsed="false">
      <c r="A4049" s="62" t="n">
        <v>1</v>
      </c>
      <c r="B4049" s="21" t="s">
        <v>336</v>
      </c>
      <c r="C4049" s="62" t="s">
        <v>60</v>
      </c>
      <c r="D4049" s="62" t="s">
        <v>387</v>
      </c>
      <c r="E4049" s="62" t="s">
        <v>71</v>
      </c>
      <c r="F4049" s="62" t="s">
        <v>382</v>
      </c>
      <c r="G4049" s="63" t="s">
        <v>389</v>
      </c>
      <c r="H4049" s="64" t="n">
        <v>4870922461.68332</v>
      </c>
      <c r="I4049" s="62" t="s">
        <v>81</v>
      </c>
      <c r="J4049" s="64" t="n">
        <v>4870922.46168332</v>
      </c>
      <c r="K4049" s="62" t="s">
        <v>138</v>
      </c>
      <c r="L4049" s="68" t="b">
        <f aca="false">TRUE()</f>
        <v>1</v>
      </c>
    </row>
    <row r="4050" customFormat="false" ht="15" hidden="false" customHeight="false" outlineLevel="0" collapsed="false">
      <c r="A4050" s="62" t="n">
        <v>1</v>
      </c>
      <c r="B4050" s="21" t="s">
        <v>336</v>
      </c>
      <c r="C4050" s="62" t="s">
        <v>60</v>
      </c>
      <c r="D4050" s="62" t="s">
        <v>388</v>
      </c>
      <c r="E4050" s="62" t="s">
        <v>71</v>
      </c>
      <c r="F4050" s="62" t="s">
        <v>382</v>
      </c>
      <c r="G4050" s="63" t="s">
        <v>389</v>
      </c>
      <c r="H4050" s="64" t="n">
        <v>4306681481.41276</v>
      </c>
      <c r="I4050" s="62" t="s">
        <v>81</v>
      </c>
      <c r="J4050" s="64" t="n">
        <v>4306681.48141276</v>
      </c>
      <c r="K4050" s="62" t="s">
        <v>138</v>
      </c>
      <c r="L4050" s="68" t="b">
        <f aca="false">TRUE()</f>
        <v>1</v>
      </c>
    </row>
    <row r="4051" customFormat="false" ht="15" hidden="false" customHeight="false" outlineLevel="0" collapsed="false">
      <c r="A4051" s="62" t="n">
        <v>1</v>
      </c>
      <c r="B4051" s="21" t="s">
        <v>336</v>
      </c>
      <c r="C4051" s="62" t="s">
        <v>60</v>
      </c>
      <c r="D4051" s="62" t="s">
        <v>381</v>
      </c>
      <c r="E4051" s="62" t="s">
        <v>71</v>
      </c>
      <c r="F4051" s="62" t="s">
        <v>382</v>
      </c>
      <c r="G4051" s="63" t="s">
        <v>390</v>
      </c>
      <c r="H4051" s="64" t="n">
        <v>2110328436.00366</v>
      </c>
      <c r="I4051" s="62" t="s">
        <v>81</v>
      </c>
      <c r="J4051" s="64" t="n">
        <v>2110328.43600366</v>
      </c>
      <c r="K4051" s="62" t="s">
        <v>138</v>
      </c>
      <c r="L4051" s="68" t="b">
        <f aca="false">TRUE()</f>
        <v>1</v>
      </c>
    </row>
    <row r="4052" customFormat="false" ht="15" hidden="false" customHeight="false" outlineLevel="0" collapsed="false">
      <c r="A4052" s="62" t="n">
        <v>1</v>
      </c>
      <c r="B4052" s="21" t="s">
        <v>336</v>
      </c>
      <c r="C4052" s="62" t="s">
        <v>60</v>
      </c>
      <c r="D4052" s="62" t="s">
        <v>383</v>
      </c>
      <c r="E4052" s="62" t="s">
        <v>71</v>
      </c>
      <c r="F4052" s="62" t="s">
        <v>382</v>
      </c>
      <c r="G4052" s="63" t="s">
        <v>390</v>
      </c>
      <c r="H4052" s="64" t="n">
        <v>692864662.701387</v>
      </c>
      <c r="I4052" s="62" t="s">
        <v>81</v>
      </c>
      <c r="J4052" s="64" t="n">
        <v>692864.662701387</v>
      </c>
      <c r="K4052" s="62" t="s">
        <v>138</v>
      </c>
      <c r="L4052" s="68" t="b">
        <f aca="false">TRUE()</f>
        <v>1</v>
      </c>
    </row>
    <row r="4053" customFormat="false" ht="15" hidden="false" customHeight="false" outlineLevel="0" collapsed="false">
      <c r="A4053" s="62" t="n">
        <v>1</v>
      </c>
      <c r="B4053" s="21" t="s">
        <v>336</v>
      </c>
      <c r="C4053" s="62" t="s">
        <v>60</v>
      </c>
      <c r="D4053" s="62" t="s">
        <v>384</v>
      </c>
      <c r="E4053" s="62" t="s">
        <v>71</v>
      </c>
      <c r="F4053" s="62" t="s">
        <v>382</v>
      </c>
      <c r="G4053" s="63" t="s">
        <v>390</v>
      </c>
      <c r="H4053" s="64" t="n">
        <v>2381631549.35061</v>
      </c>
      <c r="I4053" s="62" t="s">
        <v>81</v>
      </c>
      <c r="J4053" s="64" t="n">
        <v>2381631.54935061</v>
      </c>
      <c r="K4053" s="62" t="s">
        <v>138</v>
      </c>
      <c r="L4053" s="68" t="b">
        <f aca="false">TRUE()</f>
        <v>1</v>
      </c>
    </row>
    <row r="4054" customFormat="false" ht="15" hidden="false" customHeight="false" outlineLevel="0" collapsed="false">
      <c r="A4054" s="62" t="n">
        <v>1</v>
      </c>
      <c r="B4054" s="21" t="s">
        <v>336</v>
      </c>
      <c r="C4054" s="62" t="s">
        <v>60</v>
      </c>
      <c r="D4054" s="62" t="s">
        <v>385</v>
      </c>
      <c r="E4054" s="62" t="s">
        <v>71</v>
      </c>
      <c r="F4054" s="62" t="s">
        <v>382</v>
      </c>
      <c r="G4054" s="63" t="s">
        <v>390</v>
      </c>
      <c r="H4054" s="64" t="n">
        <v>1401610602.16085</v>
      </c>
      <c r="I4054" s="62" t="s">
        <v>81</v>
      </c>
      <c r="J4054" s="64" t="n">
        <v>1401610.60216085</v>
      </c>
      <c r="K4054" s="62" t="s">
        <v>138</v>
      </c>
      <c r="L4054" s="68" t="b">
        <f aca="false">TRUE()</f>
        <v>1</v>
      </c>
    </row>
    <row r="4055" customFormat="false" ht="15" hidden="false" customHeight="false" outlineLevel="0" collapsed="false">
      <c r="A4055" s="62" t="n">
        <v>1</v>
      </c>
      <c r="B4055" s="21" t="s">
        <v>336</v>
      </c>
      <c r="C4055" s="62" t="s">
        <v>60</v>
      </c>
      <c r="D4055" s="62" t="s">
        <v>386</v>
      </c>
      <c r="E4055" s="62" t="s">
        <v>71</v>
      </c>
      <c r="F4055" s="62" t="s">
        <v>382</v>
      </c>
      <c r="G4055" s="63" t="s">
        <v>390</v>
      </c>
      <c r="H4055" s="64" t="n">
        <v>1992407994.42308</v>
      </c>
      <c r="I4055" s="62" t="s">
        <v>81</v>
      </c>
      <c r="J4055" s="64" t="n">
        <v>1992407.99442308</v>
      </c>
      <c r="K4055" s="62" t="s">
        <v>138</v>
      </c>
      <c r="L4055" s="68" t="b">
        <f aca="false">TRUE()</f>
        <v>1</v>
      </c>
    </row>
    <row r="4056" customFormat="false" ht="15" hidden="false" customHeight="false" outlineLevel="0" collapsed="false">
      <c r="A4056" s="62" t="n">
        <v>1</v>
      </c>
      <c r="B4056" s="21" t="s">
        <v>336</v>
      </c>
      <c r="C4056" s="62" t="s">
        <v>60</v>
      </c>
      <c r="D4056" s="62" t="s">
        <v>387</v>
      </c>
      <c r="E4056" s="62" t="s">
        <v>71</v>
      </c>
      <c r="F4056" s="62" t="s">
        <v>382</v>
      </c>
      <c r="G4056" s="63" t="s">
        <v>390</v>
      </c>
      <c r="H4056" s="64" t="n">
        <v>1796656156.43419</v>
      </c>
      <c r="I4056" s="62" t="s">
        <v>81</v>
      </c>
      <c r="J4056" s="64" t="n">
        <v>1796656.15643419</v>
      </c>
      <c r="K4056" s="62" t="s">
        <v>138</v>
      </c>
      <c r="L4056" s="68" t="b">
        <f aca="false">TRUE()</f>
        <v>1</v>
      </c>
    </row>
    <row r="4057" customFormat="false" ht="15" hidden="false" customHeight="false" outlineLevel="0" collapsed="false">
      <c r="A4057" s="62" t="n">
        <v>1</v>
      </c>
      <c r="B4057" s="21" t="s">
        <v>336</v>
      </c>
      <c r="C4057" s="62" t="s">
        <v>60</v>
      </c>
      <c r="D4057" s="62" t="s">
        <v>388</v>
      </c>
      <c r="E4057" s="62" t="s">
        <v>71</v>
      </c>
      <c r="F4057" s="62" t="s">
        <v>382</v>
      </c>
      <c r="G4057" s="63" t="s">
        <v>390</v>
      </c>
      <c r="H4057" s="64" t="n">
        <v>1092000000</v>
      </c>
      <c r="I4057" s="62" t="s">
        <v>81</v>
      </c>
      <c r="J4057" s="64" t="n">
        <v>1092000</v>
      </c>
      <c r="K4057" s="62" t="s">
        <v>138</v>
      </c>
      <c r="L4057" s="68" t="b">
        <f aca="false">TRUE()</f>
        <v>1</v>
      </c>
    </row>
    <row r="4058" customFormat="false" ht="15" hidden="false" customHeight="false" outlineLevel="0" collapsed="false">
      <c r="A4058" s="62" t="n">
        <v>1</v>
      </c>
      <c r="B4058" s="21" t="s">
        <v>336</v>
      </c>
      <c r="C4058" s="62" t="s">
        <v>60</v>
      </c>
      <c r="D4058" s="62" t="s">
        <v>381</v>
      </c>
      <c r="E4058" s="62" t="s">
        <v>71</v>
      </c>
      <c r="F4058" s="62" t="s">
        <v>382</v>
      </c>
      <c r="G4058" s="63" t="s">
        <v>391</v>
      </c>
      <c r="H4058" s="64" t="n">
        <v>5328823601.11385</v>
      </c>
      <c r="I4058" s="62" t="s">
        <v>81</v>
      </c>
      <c r="J4058" s="64" t="n">
        <v>5328823.60111385</v>
      </c>
      <c r="K4058" s="62" t="s">
        <v>138</v>
      </c>
      <c r="L4058" s="68" t="b">
        <f aca="false">TRUE()</f>
        <v>1</v>
      </c>
    </row>
    <row r="4059" customFormat="false" ht="15" hidden="false" customHeight="false" outlineLevel="0" collapsed="false">
      <c r="A4059" s="62" t="n">
        <v>1</v>
      </c>
      <c r="B4059" s="21" t="s">
        <v>336</v>
      </c>
      <c r="C4059" s="62" t="s">
        <v>60</v>
      </c>
      <c r="D4059" s="62" t="s">
        <v>383</v>
      </c>
      <c r="E4059" s="62" t="s">
        <v>71</v>
      </c>
      <c r="F4059" s="62" t="s">
        <v>382</v>
      </c>
      <c r="G4059" s="63" t="s">
        <v>391</v>
      </c>
      <c r="H4059" s="64" t="n">
        <v>4189208771.78431</v>
      </c>
      <c r="I4059" s="62" t="s">
        <v>81</v>
      </c>
      <c r="J4059" s="64" t="n">
        <v>4189208.77178431</v>
      </c>
      <c r="K4059" s="62" t="s">
        <v>138</v>
      </c>
      <c r="L4059" s="68" t="b">
        <f aca="false">TRUE()</f>
        <v>1</v>
      </c>
    </row>
    <row r="4060" customFormat="false" ht="15" hidden="false" customHeight="false" outlineLevel="0" collapsed="false">
      <c r="A4060" s="62" t="n">
        <v>1</v>
      </c>
      <c r="B4060" s="21" t="s">
        <v>336</v>
      </c>
      <c r="C4060" s="62" t="s">
        <v>60</v>
      </c>
      <c r="D4060" s="62" t="s">
        <v>384</v>
      </c>
      <c r="E4060" s="62" t="s">
        <v>71</v>
      </c>
      <c r="F4060" s="62" t="s">
        <v>382</v>
      </c>
      <c r="G4060" s="63" t="s">
        <v>391</v>
      </c>
      <c r="H4060" s="64" t="n">
        <v>7157343072.56458</v>
      </c>
      <c r="I4060" s="62" t="s">
        <v>81</v>
      </c>
      <c r="J4060" s="64" t="n">
        <v>7157343.07256458</v>
      </c>
      <c r="K4060" s="62" t="s">
        <v>138</v>
      </c>
      <c r="L4060" s="68" t="b">
        <f aca="false">TRUE()</f>
        <v>1</v>
      </c>
    </row>
    <row r="4061" customFormat="false" ht="15" hidden="false" customHeight="false" outlineLevel="0" collapsed="false">
      <c r="A4061" s="62" t="n">
        <v>1</v>
      </c>
      <c r="B4061" s="21" t="s">
        <v>336</v>
      </c>
      <c r="C4061" s="62" t="s">
        <v>60</v>
      </c>
      <c r="D4061" s="62" t="s">
        <v>385</v>
      </c>
      <c r="E4061" s="62" t="s">
        <v>71</v>
      </c>
      <c r="F4061" s="62" t="s">
        <v>382</v>
      </c>
      <c r="G4061" s="63" t="s">
        <v>391</v>
      </c>
      <c r="H4061" s="64" t="n">
        <v>0</v>
      </c>
      <c r="I4061" s="62" t="s">
        <v>81</v>
      </c>
      <c r="J4061" s="64" t="n">
        <v>0</v>
      </c>
      <c r="K4061" s="62" t="s">
        <v>138</v>
      </c>
      <c r="L4061" s="68" t="b">
        <f aca="false">TRUE()</f>
        <v>1</v>
      </c>
    </row>
    <row r="4062" customFormat="false" ht="15" hidden="false" customHeight="false" outlineLevel="0" collapsed="false">
      <c r="A4062" s="62" t="n">
        <v>1</v>
      </c>
      <c r="B4062" s="21" t="s">
        <v>336</v>
      </c>
      <c r="C4062" s="62" t="s">
        <v>60</v>
      </c>
      <c r="D4062" s="62" t="s">
        <v>386</v>
      </c>
      <c r="E4062" s="62" t="s">
        <v>71</v>
      </c>
      <c r="F4062" s="62" t="s">
        <v>382</v>
      </c>
      <c r="G4062" s="63" t="s">
        <v>391</v>
      </c>
      <c r="H4062" s="64" t="n">
        <v>5663654667.26401</v>
      </c>
      <c r="I4062" s="62" t="s">
        <v>81</v>
      </c>
      <c r="J4062" s="64" t="n">
        <v>5663654.66726401</v>
      </c>
      <c r="K4062" s="62" t="s">
        <v>138</v>
      </c>
      <c r="L4062" s="68" t="b">
        <f aca="false">TRUE()</f>
        <v>1</v>
      </c>
    </row>
    <row r="4063" customFormat="false" ht="15" hidden="false" customHeight="false" outlineLevel="0" collapsed="false">
      <c r="A4063" s="62" t="n">
        <v>1</v>
      </c>
      <c r="B4063" s="21" t="s">
        <v>336</v>
      </c>
      <c r="C4063" s="62" t="s">
        <v>60</v>
      </c>
      <c r="D4063" s="62" t="s">
        <v>387</v>
      </c>
      <c r="E4063" s="62" t="s">
        <v>71</v>
      </c>
      <c r="F4063" s="62" t="s">
        <v>382</v>
      </c>
      <c r="G4063" s="63" t="s">
        <v>391</v>
      </c>
      <c r="H4063" s="64" t="n">
        <v>2882275800.23416</v>
      </c>
      <c r="I4063" s="62" t="s">
        <v>81</v>
      </c>
      <c r="J4063" s="64" t="n">
        <v>2882275.80023416</v>
      </c>
      <c r="K4063" s="62" t="s">
        <v>138</v>
      </c>
      <c r="L4063" s="68" t="b">
        <f aca="false">TRUE()</f>
        <v>1</v>
      </c>
    </row>
    <row r="4064" customFormat="false" ht="15" hidden="false" customHeight="false" outlineLevel="0" collapsed="false">
      <c r="A4064" s="62" t="n">
        <v>1</v>
      </c>
      <c r="B4064" s="21" t="s">
        <v>336</v>
      </c>
      <c r="C4064" s="62" t="s">
        <v>60</v>
      </c>
      <c r="D4064" s="62" t="s">
        <v>388</v>
      </c>
      <c r="E4064" s="62" t="s">
        <v>71</v>
      </c>
      <c r="F4064" s="62" t="s">
        <v>382</v>
      </c>
      <c r="G4064" s="63" t="s">
        <v>391</v>
      </c>
      <c r="H4064" s="64" t="n">
        <v>0</v>
      </c>
      <c r="I4064" s="62" t="s">
        <v>81</v>
      </c>
      <c r="J4064" s="64" t="n">
        <v>0</v>
      </c>
      <c r="K4064" s="62" t="s">
        <v>138</v>
      </c>
      <c r="L4064" s="68" t="b">
        <f aca="false">TRUE()</f>
        <v>1</v>
      </c>
    </row>
    <row r="4065" customFormat="false" ht="15" hidden="false" customHeight="false" outlineLevel="0" collapsed="false">
      <c r="A4065" s="62" t="n">
        <v>1</v>
      </c>
      <c r="B4065" s="21" t="s">
        <v>336</v>
      </c>
      <c r="C4065" s="62" t="s">
        <v>60</v>
      </c>
      <c r="D4065" s="62" t="s">
        <v>381</v>
      </c>
      <c r="E4065" s="62" t="s">
        <v>71</v>
      </c>
      <c r="F4065" s="62" t="s">
        <v>382</v>
      </c>
      <c r="G4065" s="63" t="s">
        <v>392</v>
      </c>
      <c r="H4065" s="64" t="n">
        <v>0</v>
      </c>
      <c r="I4065" s="62" t="s">
        <v>81</v>
      </c>
      <c r="J4065" s="64" t="n">
        <v>0</v>
      </c>
      <c r="K4065" s="62" t="s">
        <v>138</v>
      </c>
      <c r="L4065" s="68" t="b">
        <f aca="false">TRUE()</f>
        <v>1</v>
      </c>
    </row>
    <row r="4066" customFormat="false" ht="15" hidden="false" customHeight="false" outlineLevel="0" collapsed="false">
      <c r="A4066" s="62" t="n">
        <v>1</v>
      </c>
      <c r="B4066" s="21" t="s">
        <v>336</v>
      </c>
      <c r="C4066" s="62" t="s">
        <v>60</v>
      </c>
      <c r="D4066" s="62" t="s">
        <v>383</v>
      </c>
      <c r="E4066" s="62" t="s">
        <v>71</v>
      </c>
      <c r="F4066" s="62" t="s">
        <v>382</v>
      </c>
      <c r="G4066" s="63" t="s">
        <v>392</v>
      </c>
      <c r="H4066" s="64" t="n">
        <v>0</v>
      </c>
      <c r="I4066" s="62" t="s">
        <v>81</v>
      </c>
      <c r="J4066" s="64" t="n">
        <v>0</v>
      </c>
      <c r="K4066" s="62" t="s">
        <v>138</v>
      </c>
      <c r="L4066" s="68" t="b">
        <f aca="false">TRUE()</f>
        <v>1</v>
      </c>
    </row>
    <row r="4067" customFormat="false" ht="15" hidden="false" customHeight="false" outlineLevel="0" collapsed="false">
      <c r="A4067" s="62" t="n">
        <v>1</v>
      </c>
      <c r="B4067" s="21" t="s">
        <v>336</v>
      </c>
      <c r="C4067" s="62" t="s">
        <v>60</v>
      </c>
      <c r="D4067" s="62" t="s">
        <v>384</v>
      </c>
      <c r="E4067" s="62" t="s">
        <v>71</v>
      </c>
      <c r="F4067" s="62" t="s">
        <v>382</v>
      </c>
      <c r="G4067" s="63" t="s">
        <v>392</v>
      </c>
      <c r="H4067" s="64" t="n">
        <v>0</v>
      </c>
      <c r="I4067" s="62" t="s">
        <v>81</v>
      </c>
      <c r="J4067" s="64" t="n">
        <v>0</v>
      </c>
      <c r="K4067" s="62" t="s">
        <v>138</v>
      </c>
      <c r="L4067" s="68" t="b">
        <f aca="false">TRUE()</f>
        <v>1</v>
      </c>
    </row>
    <row r="4068" customFormat="false" ht="15" hidden="false" customHeight="false" outlineLevel="0" collapsed="false">
      <c r="A4068" s="62" t="n">
        <v>1</v>
      </c>
      <c r="B4068" s="21" t="s">
        <v>336</v>
      </c>
      <c r="C4068" s="62" t="s">
        <v>60</v>
      </c>
      <c r="D4068" s="62" t="s">
        <v>385</v>
      </c>
      <c r="E4068" s="62" t="s">
        <v>71</v>
      </c>
      <c r="F4068" s="62" t="s">
        <v>382</v>
      </c>
      <c r="G4068" s="63" t="s">
        <v>392</v>
      </c>
      <c r="H4068" s="64" t="n">
        <v>0</v>
      </c>
      <c r="I4068" s="62" t="s">
        <v>81</v>
      </c>
      <c r="J4068" s="64" t="n">
        <v>0</v>
      </c>
      <c r="K4068" s="62" t="s">
        <v>138</v>
      </c>
      <c r="L4068" s="68" t="b">
        <f aca="false">TRUE()</f>
        <v>1</v>
      </c>
    </row>
    <row r="4069" customFormat="false" ht="15" hidden="false" customHeight="false" outlineLevel="0" collapsed="false">
      <c r="A4069" s="62" t="n">
        <v>1</v>
      </c>
      <c r="B4069" s="21" t="s">
        <v>336</v>
      </c>
      <c r="C4069" s="62" t="s">
        <v>60</v>
      </c>
      <c r="D4069" s="62" t="s">
        <v>386</v>
      </c>
      <c r="E4069" s="62" t="s">
        <v>71</v>
      </c>
      <c r="F4069" s="62" t="s">
        <v>382</v>
      </c>
      <c r="G4069" s="63" t="s">
        <v>392</v>
      </c>
      <c r="H4069" s="64" t="n">
        <v>0</v>
      </c>
      <c r="I4069" s="62" t="s">
        <v>81</v>
      </c>
      <c r="J4069" s="64" t="n">
        <v>0</v>
      </c>
      <c r="K4069" s="62" t="s">
        <v>138</v>
      </c>
      <c r="L4069" s="68" t="b">
        <f aca="false">TRUE()</f>
        <v>1</v>
      </c>
    </row>
    <row r="4070" customFormat="false" ht="15" hidden="false" customHeight="false" outlineLevel="0" collapsed="false">
      <c r="A4070" s="62" t="n">
        <v>1</v>
      </c>
      <c r="B4070" s="21" t="s">
        <v>336</v>
      </c>
      <c r="C4070" s="62" t="s">
        <v>60</v>
      </c>
      <c r="D4070" s="62" t="s">
        <v>387</v>
      </c>
      <c r="E4070" s="62" t="s">
        <v>71</v>
      </c>
      <c r="F4070" s="62" t="s">
        <v>382</v>
      </c>
      <c r="G4070" s="63" t="s">
        <v>392</v>
      </c>
      <c r="H4070" s="64" t="n">
        <v>0</v>
      </c>
      <c r="I4070" s="62" t="s">
        <v>81</v>
      </c>
      <c r="J4070" s="64" t="n">
        <v>0</v>
      </c>
      <c r="K4070" s="62" t="s">
        <v>138</v>
      </c>
      <c r="L4070" s="68" t="b">
        <f aca="false">TRUE()</f>
        <v>1</v>
      </c>
    </row>
    <row r="4071" customFormat="false" ht="15" hidden="false" customHeight="false" outlineLevel="0" collapsed="false">
      <c r="A4071" s="62" t="n">
        <v>1</v>
      </c>
      <c r="B4071" s="21" t="s">
        <v>336</v>
      </c>
      <c r="C4071" s="62" t="s">
        <v>60</v>
      </c>
      <c r="D4071" s="62" t="s">
        <v>388</v>
      </c>
      <c r="E4071" s="62" t="s">
        <v>71</v>
      </c>
      <c r="F4071" s="62" t="s">
        <v>382</v>
      </c>
      <c r="G4071" s="63" t="s">
        <v>392</v>
      </c>
      <c r="H4071" s="64" t="n">
        <v>0</v>
      </c>
      <c r="I4071" s="62" t="s">
        <v>81</v>
      </c>
      <c r="J4071" s="64" t="n">
        <v>0</v>
      </c>
      <c r="K4071" s="62" t="s">
        <v>138</v>
      </c>
      <c r="L4071" s="68" t="b">
        <f aca="false">TRUE()</f>
        <v>1</v>
      </c>
    </row>
    <row r="4072" customFormat="false" ht="15" hidden="false" customHeight="false" outlineLevel="0" collapsed="false">
      <c r="A4072" s="62" t="n">
        <v>1</v>
      </c>
      <c r="B4072" s="21" t="s">
        <v>336</v>
      </c>
      <c r="C4072" s="62" t="s">
        <v>60</v>
      </c>
      <c r="D4072" s="62" t="s">
        <v>381</v>
      </c>
      <c r="E4072" s="62" t="s">
        <v>71</v>
      </c>
      <c r="F4072" s="62" t="s">
        <v>382</v>
      </c>
      <c r="G4072" s="63" t="s">
        <v>393</v>
      </c>
      <c r="H4072" s="64" t="n">
        <v>249375968.253968</v>
      </c>
      <c r="I4072" s="62" t="s">
        <v>81</v>
      </c>
      <c r="J4072" s="64" t="n">
        <v>249375.968253968</v>
      </c>
      <c r="K4072" s="62" t="s">
        <v>138</v>
      </c>
      <c r="L4072" s="68" t="b">
        <f aca="false">TRUE()</f>
        <v>1</v>
      </c>
    </row>
    <row r="4073" customFormat="false" ht="15" hidden="false" customHeight="false" outlineLevel="0" collapsed="false">
      <c r="A4073" s="62" t="n">
        <v>1</v>
      </c>
      <c r="B4073" s="21" t="s">
        <v>336</v>
      </c>
      <c r="C4073" s="62" t="s">
        <v>60</v>
      </c>
      <c r="D4073" s="62" t="s">
        <v>383</v>
      </c>
      <c r="E4073" s="62" t="s">
        <v>71</v>
      </c>
      <c r="F4073" s="62" t="s">
        <v>382</v>
      </c>
      <c r="G4073" s="63" t="s">
        <v>393</v>
      </c>
      <c r="H4073" s="64" t="n">
        <v>402948984.126984</v>
      </c>
      <c r="I4073" s="62" t="s">
        <v>81</v>
      </c>
      <c r="J4073" s="64" t="n">
        <v>402948.984126984</v>
      </c>
      <c r="K4073" s="62" t="s">
        <v>138</v>
      </c>
      <c r="L4073" s="68" t="b">
        <f aca="false">TRUE()</f>
        <v>1</v>
      </c>
    </row>
    <row r="4074" customFormat="false" ht="15" hidden="false" customHeight="false" outlineLevel="0" collapsed="false">
      <c r="A4074" s="62" t="n">
        <v>1</v>
      </c>
      <c r="B4074" s="21" t="s">
        <v>336</v>
      </c>
      <c r="C4074" s="62" t="s">
        <v>60</v>
      </c>
      <c r="D4074" s="62" t="s">
        <v>384</v>
      </c>
      <c r="E4074" s="62" t="s">
        <v>71</v>
      </c>
      <c r="F4074" s="62" t="s">
        <v>382</v>
      </c>
      <c r="G4074" s="63" t="s">
        <v>393</v>
      </c>
      <c r="H4074" s="64" t="n">
        <v>160046146.031746</v>
      </c>
      <c r="I4074" s="62" t="s">
        <v>81</v>
      </c>
      <c r="J4074" s="64" t="n">
        <v>160046.146031746</v>
      </c>
      <c r="K4074" s="62" t="s">
        <v>138</v>
      </c>
      <c r="L4074" s="68" t="b">
        <f aca="false">TRUE()</f>
        <v>1</v>
      </c>
    </row>
    <row r="4075" customFormat="false" ht="15" hidden="false" customHeight="false" outlineLevel="0" collapsed="false">
      <c r="A4075" s="62" t="n">
        <v>1</v>
      </c>
      <c r="B4075" s="21" t="s">
        <v>336</v>
      </c>
      <c r="C4075" s="62" t="s">
        <v>60</v>
      </c>
      <c r="D4075" s="62" t="s">
        <v>385</v>
      </c>
      <c r="E4075" s="62" t="s">
        <v>71</v>
      </c>
      <c r="F4075" s="62" t="s">
        <v>382</v>
      </c>
      <c r="G4075" s="63" t="s">
        <v>393</v>
      </c>
      <c r="H4075" s="64" t="n">
        <v>148252571.428571</v>
      </c>
      <c r="I4075" s="62" t="s">
        <v>81</v>
      </c>
      <c r="J4075" s="64" t="n">
        <v>148252.571428571</v>
      </c>
      <c r="K4075" s="62" t="s">
        <v>138</v>
      </c>
      <c r="L4075" s="68" t="b">
        <f aca="false">TRUE()</f>
        <v>1</v>
      </c>
    </row>
    <row r="4076" customFormat="false" ht="15" hidden="false" customHeight="false" outlineLevel="0" collapsed="false">
      <c r="A4076" s="62" t="n">
        <v>1</v>
      </c>
      <c r="B4076" s="21" t="s">
        <v>336</v>
      </c>
      <c r="C4076" s="62" t="s">
        <v>60</v>
      </c>
      <c r="D4076" s="62" t="s">
        <v>386</v>
      </c>
      <c r="E4076" s="62" t="s">
        <v>71</v>
      </c>
      <c r="F4076" s="62" t="s">
        <v>382</v>
      </c>
      <c r="G4076" s="63" t="s">
        <v>393</v>
      </c>
      <c r="H4076" s="64" t="n">
        <v>178321460.31746</v>
      </c>
      <c r="I4076" s="62" t="s">
        <v>81</v>
      </c>
      <c r="J4076" s="64" t="n">
        <v>178321.46031746</v>
      </c>
      <c r="K4076" s="62" t="s">
        <v>138</v>
      </c>
      <c r="L4076" s="68" t="b">
        <f aca="false">TRUE()</f>
        <v>1</v>
      </c>
    </row>
    <row r="4077" customFormat="false" ht="15" hidden="false" customHeight="false" outlineLevel="0" collapsed="false">
      <c r="A4077" s="62" t="n">
        <v>1</v>
      </c>
      <c r="B4077" s="21" t="s">
        <v>336</v>
      </c>
      <c r="C4077" s="62" t="s">
        <v>60</v>
      </c>
      <c r="D4077" s="62" t="s">
        <v>387</v>
      </c>
      <c r="E4077" s="62" t="s">
        <v>71</v>
      </c>
      <c r="F4077" s="62" t="s">
        <v>382</v>
      </c>
      <c r="G4077" s="63" t="s">
        <v>393</v>
      </c>
      <c r="H4077" s="64" t="n">
        <v>657308000</v>
      </c>
      <c r="I4077" s="62" t="s">
        <v>81</v>
      </c>
      <c r="J4077" s="64" t="n">
        <v>657308</v>
      </c>
      <c r="K4077" s="62" t="s">
        <v>138</v>
      </c>
      <c r="L4077" s="68" t="b">
        <f aca="false">TRUE()</f>
        <v>1</v>
      </c>
    </row>
    <row r="4078" customFormat="false" ht="15" hidden="false" customHeight="false" outlineLevel="0" collapsed="false">
      <c r="A4078" s="62" t="n">
        <v>1</v>
      </c>
      <c r="B4078" s="21" t="s">
        <v>336</v>
      </c>
      <c r="C4078" s="62" t="s">
        <v>60</v>
      </c>
      <c r="D4078" s="62" t="s">
        <v>388</v>
      </c>
      <c r="E4078" s="62" t="s">
        <v>71</v>
      </c>
      <c r="F4078" s="62" t="s">
        <v>382</v>
      </c>
      <c r="G4078" s="63" t="s">
        <v>393</v>
      </c>
      <c r="H4078" s="64" t="n">
        <v>370350158.730159</v>
      </c>
      <c r="I4078" s="62" t="s">
        <v>81</v>
      </c>
      <c r="J4078" s="64" t="n">
        <v>370350.158730159</v>
      </c>
      <c r="K4078" s="62" t="s">
        <v>138</v>
      </c>
      <c r="L4078" s="68" t="b">
        <f aca="false">TRUE()</f>
        <v>1</v>
      </c>
    </row>
    <row r="4079" customFormat="false" ht="15" hidden="false" customHeight="false" outlineLevel="0" collapsed="false">
      <c r="A4079" s="62" t="n">
        <v>1</v>
      </c>
      <c r="B4079" s="21" t="s">
        <v>336</v>
      </c>
      <c r="C4079" s="62" t="s">
        <v>60</v>
      </c>
      <c r="D4079" s="62" t="s">
        <v>381</v>
      </c>
      <c r="E4079" s="62" t="s">
        <v>71</v>
      </c>
      <c r="F4079" s="62" t="s">
        <v>382</v>
      </c>
      <c r="G4079" s="63" t="s">
        <v>394</v>
      </c>
      <c r="H4079" s="64" t="n">
        <v>300000000</v>
      </c>
      <c r="I4079" s="62" t="s">
        <v>81</v>
      </c>
      <c r="J4079" s="64" t="n">
        <v>300000</v>
      </c>
      <c r="K4079" s="62" t="s">
        <v>138</v>
      </c>
      <c r="L4079" s="68" t="b">
        <f aca="false">TRUE()</f>
        <v>1</v>
      </c>
    </row>
    <row r="4080" customFormat="false" ht="15" hidden="false" customHeight="false" outlineLevel="0" collapsed="false">
      <c r="A4080" s="62" t="n">
        <v>1</v>
      </c>
      <c r="B4080" s="21" t="s">
        <v>336</v>
      </c>
      <c r="C4080" s="62" t="s">
        <v>60</v>
      </c>
      <c r="D4080" s="62" t="s">
        <v>383</v>
      </c>
      <c r="E4080" s="62" t="s">
        <v>71</v>
      </c>
      <c r="F4080" s="62" t="s">
        <v>382</v>
      </c>
      <c r="G4080" s="63" t="s">
        <v>394</v>
      </c>
      <c r="H4080" s="64" t="n">
        <v>1627309000</v>
      </c>
      <c r="I4080" s="62" t="s">
        <v>81</v>
      </c>
      <c r="J4080" s="64" t="n">
        <v>1627309</v>
      </c>
      <c r="K4080" s="62" t="s">
        <v>138</v>
      </c>
      <c r="L4080" s="68" t="b">
        <f aca="false">TRUE()</f>
        <v>1</v>
      </c>
    </row>
    <row r="4081" customFormat="false" ht="15" hidden="false" customHeight="false" outlineLevel="0" collapsed="false">
      <c r="A4081" s="62" t="n">
        <v>1</v>
      </c>
      <c r="B4081" s="21" t="s">
        <v>336</v>
      </c>
      <c r="C4081" s="62" t="s">
        <v>60</v>
      </c>
      <c r="D4081" s="62" t="s">
        <v>384</v>
      </c>
      <c r="E4081" s="62" t="s">
        <v>71</v>
      </c>
      <c r="F4081" s="62" t="s">
        <v>382</v>
      </c>
      <c r="G4081" s="63" t="s">
        <v>394</v>
      </c>
      <c r="H4081" s="64" t="n">
        <v>347984000</v>
      </c>
      <c r="I4081" s="62" t="s">
        <v>81</v>
      </c>
      <c r="J4081" s="64" t="n">
        <v>347984</v>
      </c>
      <c r="K4081" s="62" t="s">
        <v>138</v>
      </c>
      <c r="L4081" s="68" t="b">
        <f aca="false">TRUE()</f>
        <v>1</v>
      </c>
    </row>
    <row r="4082" customFormat="false" ht="15" hidden="false" customHeight="false" outlineLevel="0" collapsed="false">
      <c r="A4082" s="62" t="n">
        <v>1</v>
      </c>
      <c r="B4082" s="21" t="s">
        <v>336</v>
      </c>
      <c r="C4082" s="62" t="s">
        <v>60</v>
      </c>
      <c r="D4082" s="62" t="s">
        <v>385</v>
      </c>
      <c r="E4082" s="62" t="s">
        <v>71</v>
      </c>
      <c r="F4082" s="62" t="s">
        <v>382</v>
      </c>
      <c r="G4082" s="63" t="s">
        <v>394</v>
      </c>
      <c r="H4082" s="64" t="n">
        <v>400000000</v>
      </c>
      <c r="I4082" s="62" t="s">
        <v>81</v>
      </c>
      <c r="J4082" s="64" t="n">
        <v>400000</v>
      </c>
      <c r="K4082" s="62" t="s">
        <v>138</v>
      </c>
      <c r="L4082" s="68" t="b">
        <f aca="false">TRUE()</f>
        <v>1</v>
      </c>
    </row>
    <row r="4083" customFormat="false" ht="15" hidden="false" customHeight="false" outlineLevel="0" collapsed="false">
      <c r="A4083" s="62" t="n">
        <v>1</v>
      </c>
      <c r="B4083" s="21" t="s">
        <v>336</v>
      </c>
      <c r="C4083" s="62" t="s">
        <v>60</v>
      </c>
      <c r="D4083" s="62" t="s">
        <v>386</v>
      </c>
      <c r="E4083" s="62" t="s">
        <v>71</v>
      </c>
      <c r="F4083" s="62" t="s">
        <v>382</v>
      </c>
      <c r="G4083" s="63" t="s">
        <v>394</v>
      </c>
      <c r="H4083" s="64" t="n">
        <v>200000000</v>
      </c>
      <c r="I4083" s="62" t="s">
        <v>81</v>
      </c>
      <c r="J4083" s="64" t="n">
        <v>200000</v>
      </c>
      <c r="K4083" s="62" t="s">
        <v>138</v>
      </c>
      <c r="L4083" s="68" t="b">
        <f aca="false">TRUE()</f>
        <v>1</v>
      </c>
    </row>
    <row r="4084" customFormat="false" ht="15" hidden="false" customHeight="false" outlineLevel="0" collapsed="false">
      <c r="A4084" s="62" t="n">
        <v>1</v>
      </c>
      <c r="B4084" s="21" t="s">
        <v>336</v>
      </c>
      <c r="C4084" s="62" t="s">
        <v>60</v>
      </c>
      <c r="D4084" s="62" t="s">
        <v>387</v>
      </c>
      <c r="E4084" s="62" t="s">
        <v>71</v>
      </c>
      <c r="F4084" s="62" t="s">
        <v>382</v>
      </c>
      <c r="G4084" s="63" t="s">
        <v>394</v>
      </c>
      <c r="H4084" s="64" t="n">
        <v>443970000</v>
      </c>
      <c r="I4084" s="62" t="s">
        <v>81</v>
      </c>
      <c r="J4084" s="64" t="n">
        <v>443970</v>
      </c>
      <c r="K4084" s="62" t="s">
        <v>138</v>
      </c>
      <c r="L4084" s="68" t="b">
        <f aca="false">TRUE()</f>
        <v>1</v>
      </c>
    </row>
    <row r="4085" customFormat="false" ht="15" hidden="false" customHeight="false" outlineLevel="0" collapsed="false">
      <c r="A4085" s="62" t="n">
        <v>1</v>
      </c>
      <c r="B4085" s="21" t="s">
        <v>336</v>
      </c>
      <c r="C4085" s="62" t="s">
        <v>60</v>
      </c>
      <c r="D4085" s="62" t="s">
        <v>388</v>
      </c>
      <c r="E4085" s="62" t="s">
        <v>71</v>
      </c>
      <c r="F4085" s="62" t="s">
        <v>382</v>
      </c>
      <c r="G4085" s="63" t="s">
        <v>394</v>
      </c>
      <c r="H4085" s="64" t="n">
        <v>587521000</v>
      </c>
      <c r="I4085" s="62" t="s">
        <v>81</v>
      </c>
      <c r="J4085" s="64" t="n">
        <v>587521</v>
      </c>
      <c r="K4085" s="62" t="s">
        <v>138</v>
      </c>
      <c r="L4085" s="68" t="b">
        <f aca="false">TRUE()</f>
        <v>1</v>
      </c>
    </row>
    <row r="4086" customFormat="false" ht="15" hidden="false" customHeight="false" outlineLevel="0" collapsed="false">
      <c r="A4086" s="62" t="n">
        <v>1</v>
      </c>
      <c r="B4086" s="21" t="s">
        <v>336</v>
      </c>
      <c r="C4086" s="62" t="s">
        <v>60</v>
      </c>
      <c r="D4086" s="62" t="s">
        <v>381</v>
      </c>
      <c r="E4086" s="62" t="s">
        <v>71</v>
      </c>
      <c r="F4086" s="62" t="s">
        <v>382</v>
      </c>
      <c r="G4086" s="63" t="s">
        <v>395</v>
      </c>
      <c r="H4086" s="64" t="n">
        <v>138518895.711763</v>
      </c>
      <c r="I4086" s="62" t="s">
        <v>81</v>
      </c>
      <c r="J4086" s="64" t="n">
        <v>138518.895711763</v>
      </c>
      <c r="K4086" s="62" t="s">
        <v>138</v>
      </c>
      <c r="L4086" s="68" t="b">
        <f aca="false">TRUE()</f>
        <v>1</v>
      </c>
    </row>
    <row r="4087" customFormat="false" ht="15" hidden="false" customHeight="false" outlineLevel="0" collapsed="false">
      <c r="A4087" s="62" t="n">
        <v>1</v>
      </c>
      <c r="B4087" s="21" t="s">
        <v>336</v>
      </c>
      <c r="C4087" s="62" t="s">
        <v>60</v>
      </c>
      <c r="D4087" s="62" t="s">
        <v>383</v>
      </c>
      <c r="E4087" s="62" t="s">
        <v>71</v>
      </c>
      <c r="F4087" s="62" t="s">
        <v>382</v>
      </c>
      <c r="G4087" s="63" t="s">
        <v>395</v>
      </c>
      <c r="H4087" s="64" t="n">
        <v>182460136.758247</v>
      </c>
      <c r="I4087" s="62" t="s">
        <v>81</v>
      </c>
      <c r="J4087" s="64" t="n">
        <v>182460.136758247</v>
      </c>
      <c r="K4087" s="62" t="s">
        <v>138</v>
      </c>
      <c r="L4087" s="68" t="b">
        <f aca="false">TRUE()</f>
        <v>1</v>
      </c>
    </row>
    <row r="4088" customFormat="false" ht="15" hidden="false" customHeight="false" outlineLevel="0" collapsed="false">
      <c r="A4088" s="62" t="n">
        <v>1</v>
      </c>
      <c r="B4088" s="21" t="s">
        <v>336</v>
      </c>
      <c r="C4088" s="62" t="s">
        <v>60</v>
      </c>
      <c r="D4088" s="62" t="s">
        <v>384</v>
      </c>
      <c r="E4088" s="62" t="s">
        <v>71</v>
      </c>
      <c r="F4088" s="62" t="s">
        <v>382</v>
      </c>
      <c r="G4088" s="63" t="s">
        <v>395</v>
      </c>
      <c r="H4088" s="64" t="n">
        <v>172830290.608399</v>
      </c>
      <c r="I4088" s="62" t="s">
        <v>81</v>
      </c>
      <c r="J4088" s="64" t="n">
        <v>172830.290608399</v>
      </c>
      <c r="K4088" s="62" t="s">
        <v>138</v>
      </c>
      <c r="L4088" s="68" t="b">
        <f aca="false">TRUE()</f>
        <v>1</v>
      </c>
    </row>
    <row r="4089" customFormat="false" ht="15" hidden="false" customHeight="false" outlineLevel="0" collapsed="false">
      <c r="A4089" s="62" t="n">
        <v>1</v>
      </c>
      <c r="B4089" s="21" t="s">
        <v>336</v>
      </c>
      <c r="C4089" s="62" t="s">
        <v>60</v>
      </c>
      <c r="D4089" s="62" t="s">
        <v>385</v>
      </c>
      <c r="E4089" s="62" t="s">
        <v>71</v>
      </c>
      <c r="F4089" s="62" t="s">
        <v>382</v>
      </c>
      <c r="G4089" s="63" t="s">
        <v>395</v>
      </c>
      <c r="H4089" s="64" t="n">
        <v>122794532.258887</v>
      </c>
      <c r="I4089" s="62" t="s">
        <v>81</v>
      </c>
      <c r="J4089" s="64" t="n">
        <v>122794.532258887</v>
      </c>
      <c r="K4089" s="62" t="s">
        <v>138</v>
      </c>
      <c r="L4089" s="68" t="b">
        <f aca="false">TRUE()</f>
        <v>1</v>
      </c>
    </row>
    <row r="4090" customFormat="false" ht="15" hidden="false" customHeight="false" outlineLevel="0" collapsed="false">
      <c r="A4090" s="62" t="n">
        <v>1</v>
      </c>
      <c r="B4090" s="21" t="s">
        <v>336</v>
      </c>
      <c r="C4090" s="62" t="s">
        <v>60</v>
      </c>
      <c r="D4090" s="62" t="s">
        <v>386</v>
      </c>
      <c r="E4090" s="62" t="s">
        <v>71</v>
      </c>
      <c r="F4090" s="62" t="s">
        <v>382</v>
      </c>
      <c r="G4090" s="63" t="s">
        <v>395</v>
      </c>
      <c r="H4090" s="64" t="n">
        <v>103692637.994514</v>
      </c>
      <c r="I4090" s="62" t="s">
        <v>81</v>
      </c>
      <c r="J4090" s="64" t="n">
        <v>103692.637994514</v>
      </c>
      <c r="K4090" s="62" t="s">
        <v>138</v>
      </c>
      <c r="L4090" s="68" t="b">
        <f aca="false">TRUE()</f>
        <v>1</v>
      </c>
    </row>
    <row r="4091" customFormat="false" ht="15" hidden="false" customHeight="false" outlineLevel="0" collapsed="false">
      <c r="A4091" s="62" t="n">
        <v>1</v>
      </c>
      <c r="B4091" s="21" t="s">
        <v>336</v>
      </c>
      <c r="C4091" s="62" t="s">
        <v>60</v>
      </c>
      <c r="D4091" s="62" t="s">
        <v>387</v>
      </c>
      <c r="E4091" s="62" t="s">
        <v>71</v>
      </c>
      <c r="F4091" s="62" t="s">
        <v>382</v>
      </c>
      <c r="G4091" s="63" t="s">
        <v>395</v>
      </c>
      <c r="H4091" s="64" t="n">
        <v>192981644.095175</v>
      </c>
      <c r="I4091" s="62" t="s">
        <v>81</v>
      </c>
      <c r="J4091" s="64" t="n">
        <v>192981.644095175</v>
      </c>
      <c r="K4091" s="62" t="s">
        <v>138</v>
      </c>
      <c r="L4091" s="68" t="b">
        <f aca="false">TRUE()</f>
        <v>1</v>
      </c>
    </row>
    <row r="4092" customFormat="false" ht="15" hidden="false" customHeight="false" outlineLevel="0" collapsed="false">
      <c r="A4092" s="62" t="n">
        <v>1</v>
      </c>
      <c r="B4092" s="21" t="s">
        <v>336</v>
      </c>
      <c r="C4092" s="62" t="s">
        <v>60</v>
      </c>
      <c r="D4092" s="62" t="s">
        <v>388</v>
      </c>
      <c r="E4092" s="62" t="s">
        <v>71</v>
      </c>
      <c r="F4092" s="62" t="s">
        <v>382</v>
      </c>
      <c r="G4092" s="63" t="s">
        <v>395</v>
      </c>
      <c r="H4092" s="64" t="n">
        <v>104803749.105625</v>
      </c>
      <c r="I4092" s="62" t="s">
        <v>81</v>
      </c>
      <c r="J4092" s="64" t="n">
        <v>104803.749105625</v>
      </c>
      <c r="K4092" s="62" t="s">
        <v>138</v>
      </c>
      <c r="L4092" s="68" t="b">
        <f aca="false">TRUE()</f>
        <v>1</v>
      </c>
    </row>
    <row r="4093" customFormat="false" ht="15" hidden="false" customHeight="false" outlineLevel="0" collapsed="false">
      <c r="A4093" s="62" t="n">
        <v>1</v>
      </c>
      <c r="B4093" s="21" t="s">
        <v>336</v>
      </c>
      <c r="C4093" s="62" t="s">
        <v>60</v>
      </c>
      <c r="D4093" s="62" t="s">
        <v>381</v>
      </c>
      <c r="E4093" s="62" t="s">
        <v>71</v>
      </c>
      <c r="F4093" s="62" t="s">
        <v>382</v>
      </c>
      <c r="G4093" s="63" t="s">
        <v>403</v>
      </c>
      <c r="H4093" s="64" t="n">
        <v>0</v>
      </c>
      <c r="I4093" s="62" t="s">
        <v>81</v>
      </c>
      <c r="J4093" s="64" t="n">
        <v>0</v>
      </c>
      <c r="K4093" s="62" t="s">
        <v>138</v>
      </c>
      <c r="L4093" s="68" t="b">
        <f aca="false">TRUE()</f>
        <v>1</v>
      </c>
    </row>
    <row r="4094" customFormat="false" ht="15" hidden="false" customHeight="false" outlineLevel="0" collapsed="false">
      <c r="A4094" s="62" t="n">
        <v>1</v>
      </c>
      <c r="B4094" s="21" t="s">
        <v>336</v>
      </c>
      <c r="C4094" s="62" t="s">
        <v>60</v>
      </c>
      <c r="D4094" s="62" t="s">
        <v>383</v>
      </c>
      <c r="E4094" s="62" t="s">
        <v>71</v>
      </c>
      <c r="F4094" s="62" t="s">
        <v>382</v>
      </c>
      <c r="G4094" s="63" t="s">
        <v>403</v>
      </c>
      <c r="H4094" s="64" t="n">
        <v>0</v>
      </c>
      <c r="I4094" s="62" t="s">
        <v>81</v>
      </c>
      <c r="J4094" s="64" t="n">
        <v>0</v>
      </c>
      <c r="K4094" s="62" t="s">
        <v>138</v>
      </c>
      <c r="L4094" s="68" t="b">
        <f aca="false">TRUE()</f>
        <v>1</v>
      </c>
    </row>
    <row r="4095" customFormat="false" ht="15" hidden="false" customHeight="false" outlineLevel="0" collapsed="false">
      <c r="A4095" s="62" t="n">
        <v>1</v>
      </c>
      <c r="B4095" s="21" t="s">
        <v>336</v>
      </c>
      <c r="C4095" s="62" t="s">
        <v>60</v>
      </c>
      <c r="D4095" s="62" t="s">
        <v>384</v>
      </c>
      <c r="E4095" s="62" t="s">
        <v>71</v>
      </c>
      <c r="F4095" s="62" t="s">
        <v>382</v>
      </c>
      <c r="G4095" s="63" t="s">
        <v>403</v>
      </c>
      <c r="H4095" s="64" t="n">
        <v>0</v>
      </c>
      <c r="I4095" s="62" t="s">
        <v>81</v>
      </c>
      <c r="J4095" s="64" t="n">
        <v>0</v>
      </c>
      <c r="K4095" s="62" t="s">
        <v>138</v>
      </c>
      <c r="L4095" s="68" t="b">
        <f aca="false">TRUE()</f>
        <v>1</v>
      </c>
    </row>
    <row r="4096" customFormat="false" ht="15" hidden="false" customHeight="false" outlineLevel="0" collapsed="false">
      <c r="A4096" s="62" t="n">
        <v>1</v>
      </c>
      <c r="B4096" s="21" t="s">
        <v>336</v>
      </c>
      <c r="C4096" s="62" t="s">
        <v>60</v>
      </c>
      <c r="D4096" s="62" t="s">
        <v>385</v>
      </c>
      <c r="E4096" s="62" t="s">
        <v>71</v>
      </c>
      <c r="F4096" s="62" t="s">
        <v>382</v>
      </c>
      <c r="G4096" s="63" t="s">
        <v>403</v>
      </c>
      <c r="H4096" s="64" t="n">
        <v>0</v>
      </c>
      <c r="I4096" s="62" t="s">
        <v>81</v>
      </c>
      <c r="J4096" s="64" t="n">
        <v>0</v>
      </c>
      <c r="K4096" s="62" t="s">
        <v>138</v>
      </c>
      <c r="L4096" s="68" t="b">
        <f aca="false">TRUE()</f>
        <v>1</v>
      </c>
    </row>
    <row r="4097" customFormat="false" ht="15" hidden="false" customHeight="false" outlineLevel="0" collapsed="false">
      <c r="A4097" s="62" t="n">
        <v>1</v>
      </c>
      <c r="B4097" s="21" t="s">
        <v>336</v>
      </c>
      <c r="C4097" s="62" t="s">
        <v>60</v>
      </c>
      <c r="D4097" s="62" t="s">
        <v>386</v>
      </c>
      <c r="E4097" s="62" t="s">
        <v>71</v>
      </c>
      <c r="F4097" s="62" t="s">
        <v>382</v>
      </c>
      <c r="G4097" s="63" t="s">
        <v>403</v>
      </c>
      <c r="H4097" s="64" t="n">
        <v>0</v>
      </c>
      <c r="I4097" s="62" t="s">
        <v>81</v>
      </c>
      <c r="J4097" s="64" t="n">
        <v>0</v>
      </c>
      <c r="K4097" s="62" t="s">
        <v>138</v>
      </c>
      <c r="L4097" s="68" t="b">
        <f aca="false">TRUE()</f>
        <v>1</v>
      </c>
    </row>
    <row r="4098" customFormat="false" ht="15" hidden="false" customHeight="false" outlineLevel="0" collapsed="false">
      <c r="A4098" s="62" t="n">
        <v>1</v>
      </c>
      <c r="B4098" s="21" t="s">
        <v>336</v>
      </c>
      <c r="C4098" s="62" t="s">
        <v>60</v>
      </c>
      <c r="D4098" s="62" t="s">
        <v>387</v>
      </c>
      <c r="E4098" s="62" t="s">
        <v>71</v>
      </c>
      <c r="F4098" s="62" t="s">
        <v>382</v>
      </c>
      <c r="G4098" s="63" t="s">
        <v>403</v>
      </c>
      <c r="H4098" s="64" t="n">
        <v>0</v>
      </c>
      <c r="I4098" s="62" t="s">
        <v>81</v>
      </c>
      <c r="J4098" s="64" t="n">
        <v>0</v>
      </c>
      <c r="K4098" s="62" t="s">
        <v>138</v>
      </c>
      <c r="L4098" s="68" t="b">
        <f aca="false">TRUE()</f>
        <v>1</v>
      </c>
    </row>
    <row r="4099" customFormat="false" ht="15" hidden="false" customHeight="false" outlineLevel="0" collapsed="false">
      <c r="A4099" s="62" t="n">
        <v>1</v>
      </c>
      <c r="B4099" s="21" t="s">
        <v>336</v>
      </c>
      <c r="C4099" s="62" t="s">
        <v>60</v>
      </c>
      <c r="D4099" s="62" t="s">
        <v>388</v>
      </c>
      <c r="E4099" s="62" t="s">
        <v>71</v>
      </c>
      <c r="F4099" s="62" t="s">
        <v>382</v>
      </c>
      <c r="G4099" s="63" t="s">
        <v>403</v>
      </c>
      <c r="H4099" s="64" t="n">
        <v>0</v>
      </c>
      <c r="I4099" s="62" t="s">
        <v>81</v>
      </c>
      <c r="J4099" s="64" t="n">
        <v>0</v>
      </c>
      <c r="K4099" s="62" t="s">
        <v>138</v>
      </c>
      <c r="L4099" s="68" t="b">
        <f aca="false">TRUE()</f>
        <v>1</v>
      </c>
    </row>
    <row r="4100" customFormat="false" ht="15" hidden="false" customHeight="false" outlineLevel="0" collapsed="false">
      <c r="A4100" s="62" t="n">
        <v>1</v>
      </c>
      <c r="B4100" s="21" t="s">
        <v>336</v>
      </c>
      <c r="C4100" s="62" t="s">
        <v>60</v>
      </c>
      <c r="D4100" s="62" t="s">
        <v>381</v>
      </c>
      <c r="E4100" s="62" t="s">
        <v>71</v>
      </c>
      <c r="F4100" s="62" t="s">
        <v>382</v>
      </c>
      <c r="G4100" s="63" t="s">
        <v>404</v>
      </c>
      <c r="H4100" s="64" t="n">
        <v>12049631831.8647</v>
      </c>
      <c r="I4100" s="62" t="s">
        <v>81</v>
      </c>
      <c r="J4100" s="64" t="n">
        <v>12049631.8318647</v>
      </c>
      <c r="K4100" s="62" t="s">
        <v>138</v>
      </c>
      <c r="L4100" s="68" t="b">
        <f aca="false">TRUE()</f>
        <v>1</v>
      </c>
    </row>
    <row r="4101" customFormat="false" ht="15" hidden="false" customHeight="false" outlineLevel="0" collapsed="false">
      <c r="A4101" s="62" t="n">
        <v>1</v>
      </c>
      <c r="B4101" s="21" t="s">
        <v>336</v>
      </c>
      <c r="C4101" s="62" t="s">
        <v>60</v>
      </c>
      <c r="D4101" s="62" t="s">
        <v>383</v>
      </c>
      <c r="E4101" s="62" t="s">
        <v>71</v>
      </c>
      <c r="F4101" s="62" t="s">
        <v>382</v>
      </c>
      <c r="G4101" s="63" t="s">
        <v>404</v>
      </c>
      <c r="H4101" s="64" t="n">
        <v>13171076548.2323</v>
      </c>
      <c r="I4101" s="62" t="s">
        <v>81</v>
      </c>
      <c r="J4101" s="64" t="n">
        <v>13171076.5482323</v>
      </c>
      <c r="K4101" s="62" t="s">
        <v>138</v>
      </c>
      <c r="L4101" s="68" t="b">
        <f aca="false">TRUE()</f>
        <v>1</v>
      </c>
    </row>
    <row r="4102" customFormat="false" ht="15" hidden="false" customHeight="false" outlineLevel="0" collapsed="false">
      <c r="A4102" s="62" t="n">
        <v>1</v>
      </c>
      <c r="B4102" s="21" t="s">
        <v>336</v>
      </c>
      <c r="C4102" s="62" t="s">
        <v>60</v>
      </c>
      <c r="D4102" s="62" t="s">
        <v>384</v>
      </c>
      <c r="E4102" s="62" t="s">
        <v>71</v>
      </c>
      <c r="F4102" s="62" t="s">
        <v>382</v>
      </c>
      <c r="G4102" s="63" t="s">
        <v>404</v>
      </c>
      <c r="H4102" s="64" t="n">
        <v>13154205898.4928</v>
      </c>
      <c r="I4102" s="62" t="s">
        <v>81</v>
      </c>
      <c r="J4102" s="64" t="n">
        <v>13154205.8984928</v>
      </c>
      <c r="K4102" s="62" t="s">
        <v>138</v>
      </c>
      <c r="L4102" s="68" t="b">
        <f aca="false">TRUE()</f>
        <v>1</v>
      </c>
    </row>
    <row r="4103" customFormat="false" ht="15" hidden="false" customHeight="false" outlineLevel="0" collapsed="false">
      <c r="A4103" s="62" t="n">
        <v>1</v>
      </c>
      <c r="B4103" s="21" t="s">
        <v>336</v>
      </c>
      <c r="C4103" s="62" t="s">
        <v>60</v>
      </c>
      <c r="D4103" s="62" t="s">
        <v>385</v>
      </c>
      <c r="E4103" s="62" t="s">
        <v>71</v>
      </c>
      <c r="F4103" s="62" t="s">
        <v>382</v>
      </c>
      <c r="G4103" s="63" t="s">
        <v>404</v>
      </c>
      <c r="H4103" s="64" t="n">
        <v>5763841057.36935</v>
      </c>
      <c r="I4103" s="62" t="s">
        <v>81</v>
      </c>
      <c r="J4103" s="64" t="n">
        <v>5763841.05736935</v>
      </c>
      <c r="K4103" s="62" t="s">
        <v>138</v>
      </c>
      <c r="L4103" s="68" t="b">
        <f aca="false">TRUE()</f>
        <v>1</v>
      </c>
    </row>
    <row r="4104" customFormat="false" ht="15" hidden="false" customHeight="false" outlineLevel="0" collapsed="false">
      <c r="A4104" s="62" t="n">
        <v>1</v>
      </c>
      <c r="B4104" s="21" t="s">
        <v>336</v>
      </c>
      <c r="C4104" s="62" t="s">
        <v>60</v>
      </c>
      <c r="D4104" s="62" t="s">
        <v>386</v>
      </c>
      <c r="E4104" s="62" t="s">
        <v>71</v>
      </c>
      <c r="F4104" s="62" t="s">
        <v>382</v>
      </c>
      <c r="G4104" s="63" t="s">
        <v>404</v>
      </c>
      <c r="H4104" s="64" t="n">
        <v>11092177753.1251</v>
      </c>
      <c r="I4104" s="62" t="s">
        <v>81</v>
      </c>
      <c r="J4104" s="64" t="n">
        <v>11092177.7531251</v>
      </c>
      <c r="K4104" s="62" t="s">
        <v>138</v>
      </c>
      <c r="L4104" s="68" t="b">
        <f aca="false">TRUE()</f>
        <v>1</v>
      </c>
    </row>
    <row r="4105" customFormat="false" ht="15" hidden="false" customHeight="false" outlineLevel="0" collapsed="false">
      <c r="A4105" s="62" t="n">
        <v>1</v>
      </c>
      <c r="B4105" s="21" t="s">
        <v>336</v>
      </c>
      <c r="C4105" s="62" t="s">
        <v>60</v>
      </c>
      <c r="D4105" s="62" t="s">
        <v>387</v>
      </c>
      <c r="E4105" s="62" t="s">
        <v>71</v>
      </c>
      <c r="F4105" s="62" t="s">
        <v>382</v>
      </c>
      <c r="G4105" s="63" t="s">
        <v>404</v>
      </c>
      <c r="H4105" s="64" t="n">
        <v>10844114062.4469</v>
      </c>
      <c r="I4105" s="62" t="s">
        <v>81</v>
      </c>
      <c r="J4105" s="64" t="n">
        <v>10844114.0624469</v>
      </c>
      <c r="K4105" s="62" t="s">
        <v>138</v>
      </c>
      <c r="L4105" s="68" t="b">
        <f aca="false">TRUE()</f>
        <v>1</v>
      </c>
    </row>
    <row r="4106" customFormat="false" ht="15" hidden="false" customHeight="false" outlineLevel="0" collapsed="false">
      <c r="A4106" s="62" t="n">
        <v>1</v>
      </c>
      <c r="B4106" s="21" t="s">
        <v>336</v>
      </c>
      <c r="C4106" s="62" t="s">
        <v>60</v>
      </c>
      <c r="D4106" s="62" t="s">
        <v>388</v>
      </c>
      <c r="E4106" s="62" t="s">
        <v>71</v>
      </c>
      <c r="F4106" s="62" t="s">
        <v>382</v>
      </c>
      <c r="G4106" s="63" t="s">
        <v>404</v>
      </c>
      <c r="H4106" s="64" t="n">
        <v>6461356389.24854</v>
      </c>
      <c r="I4106" s="62" t="s">
        <v>81</v>
      </c>
      <c r="J4106" s="64" t="n">
        <v>6461356.38924854</v>
      </c>
      <c r="K4106" s="62" t="s">
        <v>138</v>
      </c>
      <c r="L4106" s="68" t="b">
        <f aca="false">TRUE()</f>
        <v>1</v>
      </c>
    </row>
    <row r="4107" customFormat="false" ht="15" hidden="false" customHeight="false" outlineLevel="0" collapsed="false">
      <c r="A4107" s="62" t="n">
        <v>1</v>
      </c>
      <c r="B4107" s="21" t="s">
        <v>336</v>
      </c>
      <c r="C4107" s="62" t="s">
        <v>60</v>
      </c>
      <c r="D4107" s="62" t="s">
        <v>381</v>
      </c>
      <c r="E4107" s="62" t="s">
        <v>71</v>
      </c>
      <c r="F4107" s="62" t="s">
        <v>382</v>
      </c>
      <c r="G4107" s="63" t="s">
        <v>405</v>
      </c>
      <c r="H4107" s="64" t="n">
        <v>2170731443.47295</v>
      </c>
      <c r="I4107" s="62" t="s">
        <v>81</v>
      </c>
      <c r="J4107" s="64" t="n">
        <v>2170731.44347295</v>
      </c>
      <c r="K4107" s="62" t="s">
        <v>138</v>
      </c>
      <c r="L4107" s="68" t="b">
        <f aca="false">TRUE()</f>
        <v>1</v>
      </c>
    </row>
    <row r="4108" customFormat="false" ht="15" hidden="false" customHeight="false" outlineLevel="0" collapsed="false">
      <c r="A4108" s="62" t="n">
        <v>1</v>
      </c>
      <c r="B4108" s="21" t="s">
        <v>336</v>
      </c>
      <c r="C4108" s="62" t="s">
        <v>60</v>
      </c>
      <c r="D4108" s="62" t="s">
        <v>383</v>
      </c>
      <c r="E4108" s="62" t="s">
        <v>71</v>
      </c>
      <c r="F4108" s="62" t="s">
        <v>382</v>
      </c>
      <c r="G4108" s="63" t="s">
        <v>405</v>
      </c>
      <c r="H4108" s="64" t="n">
        <v>462787898.467455</v>
      </c>
      <c r="I4108" s="62" t="s">
        <v>81</v>
      </c>
      <c r="J4108" s="64" t="n">
        <v>462787.898467455</v>
      </c>
      <c r="K4108" s="62" t="s">
        <v>138</v>
      </c>
      <c r="L4108" s="68" t="b">
        <f aca="false">TRUE()</f>
        <v>1</v>
      </c>
    </row>
    <row r="4109" customFormat="false" ht="15" hidden="false" customHeight="false" outlineLevel="0" collapsed="false">
      <c r="A4109" s="62" t="n">
        <v>1</v>
      </c>
      <c r="B4109" s="21" t="s">
        <v>336</v>
      </c>
      <c r="C4109" s="62" t="s">
        <v>60</v>
      </c>
      <c r="D4109" s="62" t="s">
        <v>384</v>
      </c>
      <c r="E4109" s="62" t="s">
        <v>71</v>
      </c>
      <c r="F4109" s="62" t="s">
        <v>382</v>
      </c>
      <c r="G4109" s="63" t="s">
        <v>405</v>
      </c>
      <c r="H4109" s="64" t="n">
        <v>2423885001.88956</v>
      </c>
      <c r="I4109" s="62" t="s">
        <v>81</v>
      </c>
      <c r="J4109" s="64" t="n">
        <v>2423885.00188956</v>
      </c>
      <c r="K4109" s="62" t="s">
        <v>138</v>
      </c>
      <c r="L4109" s="68" t="b">
        <f aca="false">TRUE()</f>
        <v>1</v>
      </c>
    </row>
    <row r="4110" customFormat="false" ht="15" hidden="false" customHeight="false" outlineLevel="0" collapsed="false">
      <c r="A4110" s="62" t="n">
        <v>1</v>
      </c>
      <c r="B4110" s="21" t="s">
        <v>336</v>
      </c>
      <c r="C4110" s="62" t="s">
        <v>60</v>
      </c>
      <c r="D4110" s="62" t="s">
        <v>385</v>
      </c>
      <c r="E4110" s="62" t="s">
        <v>71</v>
      </c>
      <c r="F4110" s="62" t="s">
        <v>382</v>
      </c>
      <c r="G4110" s="63" t="s">
        <v>405</v>
      </c>
      <c r="H4110" s="64" t="n">
        <v>1971971304.5569</v>
      </c>
      <c r="I4110" s="62" t="s">
        <v>81</v>
      </c>
      <c r="J4110" s="64" t="n">
        <v>1971971.3045569</v>
      </c>
      <c r="K4110" s="62" t="s">
        <v>138</v>
      </c>
      <c r="L4110" s="68" t="b">
        <f aca="false">TRUE()</f>
        <v>1</v>
      </c>
    </row>
    <row r="4111" customFormat="false" ht="15" hidden="false" customHeight="false" outlineLevel="0" collapsed="false">
      <c r="A4111" s="62" t="n">
        <v>1</v>
      </c>
      <c r="B4111" s="21" t="s">
        <v>336</v>
      </c>
      <c r="C4111" s="62" t="s">
        <v>60</v>
      </c>
      <c r="D4111" s="62" t="s">
        <v>386</v>
      </c>
      <c r="E4111" s="62" t="s">
        <v>71</v>
      </c>
      <c r="F4111" s="62" t="s">
        <v>382</v>
      </c>
      <c r="G4111" s="63" t="s">
        <v>405</v>
      </c>
      <c r="H4111" s="64" t="n">
        <v>2789015006.60761</v>
      </c>
      <c r="I4111" s="62" t="s">
        <v>81</v>
      </c>
      <c r="J4111" s="64" t="n">
        <v>2789015.00660761</v>
      </c>
      <c r="K4111" s="62" t="s">
        <v>138</v>
      </c>
      <c r="L4111" s="68" t="b">
        <f aca="false">TRUE()</f>
        <v>1</v>
      </c>
    </row>
    <row r="4112" customFormat="false" ht="15" hidden="false" customHeight="false" outlineLevel="0" collapsed="false">
      <c r="A4112" s="62" t="n">
        <v>1</v>
      </c>
      <c r="B4112" s="21" t="s">
        <v>336</v>
      </c>
      <c r="C4112" s="62" t="s">
        <v>60</v>
      </c>
      <c r="D4112" s="62" t="s">
        <v>387</v>
      </c>
      <c r="E4112" s="62" t="s">
        <v>71</v>
      </c>
      <c r="F4112" s="62" t="s">
        <v>382</v>
      </c>
      <c r="G4112" s="63" t="s">
        <v>405</v>
      </c>
      <c r="H4112" s="64" t="n">
        <v>2042392553.51165</v>
      </c>
      <c r="I4112" s="62" t="s">
        <v>81</v>
      </c>
      <c r="J4112" s="64" t="n">
        <v>2042392.55351165</v>
      </c>
      <c r="K4112" s="62" t="s">
        <v>138</v>
      </c>
      <c r="L4112" s="68" t="b">
        <f aca="false">TRUE()</f>
        <v>1</v>
      </c>
    </row>
    <row r="4113" customFormat="false" ht="15" hidden="false" customHeight="false" outlineLevel="0" collapsed="false">
      <c r="A4113" s="62" t="n">
        <v>1</v>
      </c>
      <c r="B4113" s="21" t="s">
        <v>336</v>
      </c>
      <c r="C4113" s="62" t="s">
        <v>60</v>
      </c>
      <c r="D4113" s="62" t="s">
        <v>388</v>
      </c>
      <c r="E4113" s="62" t="s">
        <v>71</v>
      </c>
      <c r="F4113" s="62" t="s">
        <v>382</v>
      </c>
      <c r="G4113" s="63" t="s">
        <v>405</v>
      </c>
      <c r="H4113" s="64" t="n">
        <v>654570974.751455</v>
      </c>
      <c r="I4113" s="62" t="s">
        <v>81</v>
      </c>
      <c r="J4113" s="64" t="n">
        <v>654570.974751455</v>
      </c>
      <c r="K4113" s="62" t="s">
        <v>138</v>
      </c>
      <c r="L4113" s="68" t="b">
        <f aca="false">TRUE()</f>
        <v>1</v>
      </c>
    </row>
    <row r="4114" customFormat="false" ht="15" hidden="false" customHeight="false" outlineLevel="0" collapsed="false">
      <c r="A4114" s="62" t="n">
        <v>1</v>
      </c>
      <c r="B4114" s="21" t="s">
        <v>336</v>
      </c>
      <c r="C4114" s="62" t="s">
        <v>60</v>
      </c>
      <c r="D4114" s="62" t="s">
        <v>381</v>
      </c>
      <c r="E4114" s="62" t="s">
        <v>71</v>
      </c>
      <c r="F4114" s="62" t="s">
        <v>382</v>
      </c>
      <c r="G4114" s="63" t="s">
        <v>406</v>
      </c>
      <c r="H4114" s="64" t="n">
        <v>178258860</v>
      </c>
      <c r="I4114" s="62" t="s">
        <v>81</v>
      </c>
      <c r="J4114" s="64" t="n">
        <v>178258.86</v>
      </c>
      <c r="K4114" s="62" t="s">
        <v>138</v>
      </c>
      <c r="L4114" s="68" t="b">
        <f aca="false">TRUE()</f>
        <v>1</v>
      </c>
    </row>
    <row r="4115" customFormat="false" ht="15" hidden="false" customHeight="false" outlineLevel="0" collapsed="false">
      <c r="A4115" s="62" t="n">
        <v>1</v>
      </c>
      <c r="B4115" s="21" t="s">
        <v>336</v>
      </c>
      <c r="C4115" s="62" t="s">
        <v>60</v>
      </c>
      <c r="D4115" s="62" t="s">
        <v>383</v>
      </c>
      <c r="E4115" s="62" t="s">
        <v>71</v>
      </c>
      <c r="F4115" s="62" t="s">
        <v>382</v>
      </c>
      <c r="G4115" s="63" t="s">
        <v>406</v>
      </c>
      <c r="H4115" s="64" t="n">
        <v>178258860</v>
      </c>
      <c r="I4115" s="62" t="s">
        <v>81</v>
      </c>
      <c r="J4115" s="64" t="n">
        <v>178258.86</v>
      </c>
      <c r="K4115" s="62" t="s">
        <v>138</v>
      </c>
      <c r="L4115" s="68" t="b">
        <f aca="false">TRUE()</f>
        <v>1</v>
      </c>
    </row>
    <row r="4116" customFormat="false" ht="15" hidden="false" customHeight="false" outlineLevel="0" collapsed="false">
      <c r="A4116" s="62" t="n">
        <v>1</v>
      </c>
      <c r="B4116" s="21" t="s">
        <v>336</v>
      </c>
      <c r="C4116" s="62" t="s">
        <v>60</v>
      </c>
      <c r="D4116" s="62" t="s">
        <v>384</v>
      </c>
      <c r="E4116" s="62" t="s">
        <v>71</v>
      </c>
      <c r="F4116" s="62" t="s">
        <v>382</v>
      </c>
      <c r="G4116" s="63" t="s">
        <v>406</v>
      </c>
      <c r="H4116" s="64" t="n">
        <v>178258860</v>
      </c>
      <c r="I4116" s="62" t="s">
        <v>81</v>
      </c>
      <c r="J4116" s="64" t="n">
        <v>178258.86</v>
      </c>
      <c r="K4116" s="62" t="s">
        <v>138</v>
      </c>
      <c r="L4116" s="68" t="b">
        <f aca="false">TRUE()</f>
        <v>1</v>
      </c>
    </row>
    <row r="4117" customFormat="false" ht="15" hidden="false" customHeight="false" outlineLevel="0" collapsed="false">
      <c r="A4117" s="62" t="n">
        <v>1</v>
      </c>
      <c r="B4117" s="21" t="s">
        <v>336</v>
      </c>
      <c r="C4117" s="62" t="s">
        <v>60</v>
      </c>
      <c r="D4117" s="62" t="s">
        <v>385</v>
      </c>
      <c r="E4117" s="62" t="s">
        <v>71</v>
      </c>
      <c r="F4117" s="62" t="s">
        <v>382</v>
      </c>
      <c r="G4117" s="63" t="s">
        <v>406</v>
      </c>
      <c r="H4117" s="64" t="n">
        <v>178258860</v>
      </c>
      <c r="I4117" s="62" t="s">
        <v>81</v>
      </c>
      <c r="J4117" s="64" t="n">
        <v>178258.86</v>
      </c>
      <c r="K4117" s="62" t="s">
        <v>138</v>
      </c>
      <c r="L4117" s="68" t="b">
        <f aca="false">TRUE()</f>
        <v>1</v>
      </c>
    </row>
    <row r="4118" customFormat="false" ht="15" hidden="false" customHeight="false" outlineLevel="0" collapsed="false">
      <c r="A4118" s="62" t="n">
        <v>1</v>
      </c>
      <c r="B4118" s="21" t="s">
        <v>336</v>
      </c>
      <c r="C4118" s="62" t="s">
        <v>60</v>
      </c>
      <c r="D4118" s="62" t="s">
        <v>386</v>
      </c>
      <c r="E4118" s="62" t="s">
        <v>71</v>
      </c>
      <c r="F4118" s="62" t="s">
        <v>382</v>
      </c>
      <c r="G4118" s="63" t="s">
        <v>406</v>
      </c>
      <c r="H4118" s="64" t="n">
        <v>178258860</v>
      </c>
      <c r="I4118" s="62" t="s">
        <v>81</v>
      </c>
      <c r="J4118" s="64" t="n">
        <v>178258.86</v>
      </c>
      <c r="K4118" s="62" t="s">
        <v>138</v>
      </c>
      <c r="L4118" s="68" t="b">
        <f aca="false">TRUE()</f>
        <v>1</v>
      </c>
    </row>
    <row r="4119" customFormat="false" ht="15" hidden="false" customHeight="false" outlineLevel="0" collapsed="false">
      <c r="A4119" s="62" t="n">
        <v>1</v>
      </c>
      <c r="B4119" s="21" t="s">
        <v>336</v>
      </c>
      <c r="C4119" s="62" t="s">
        <v>60</v>
      </c>
      <c r="D4119" s="62" t="s">
        <v>387</v>
      </c>
      <c r="E4119" s="62" t="s">
        <v>71</v>
      </c>
      <c r="F4119" s="62" t="s">
        <v>382</v>
      </c>
      <c r="G4119" s="63" t="s">
        <v>406</v>
      </c>
      <c r="H4119" s="64" t="n">
        <v>178258860</v>
      </c>
      <c r="I4119" s="62" t="s">
        <v>81</v>
      </c>
      <c r="J4119" s="64" t="n">
        <v>178258.86</v>
      </c>
      <c r="K4119" s="62" t="s">
        <v>138</v>
      </c>
      <c r="L4119" s="68" t="b">
        <f aca="false">TRUE()</f>
        <v>1</v>
      </c>
    </row>
    <row r="4120" customFormat="false" ht="15" hidden="false" customHeight="false" outlineLevel="0" collapsed="false">
      <c r="A4120" s="62" t="n">
        <v>1</v>
      </c>
      <c r="B4120" s="21" t="s">
        <v>336</v>
      </c>
      <c r="C4120" s="62" t="s">
        <v>60</v>
      </c>
      <c r="D4120" s="62" t="s">
        <v>388</v>
      </c>
      <c r="E4120" s="62" t="s">
        <v>71</v>
      </c>
      <c r="F4120" s="62" t="s">
        <v>382</v>
      </c>
      <c r="G4120" s="63" t="s">
        <v>406</v>
      </c>
      <c r="H4120" s="64" t="n">
        <v>178258860</v>
      </c>
      <c r="I4120" s="62" t="s">
        <v>81</v>
      </c>
      <c r="J4120" s="64" t="n">
        <v>178258.86</v>
      </c>
      <c r="K4120" s="62" t="s">
        <v>138</v>
      </c>
      <c r="L4120" s="68" t="b">
        <f aca="false">TRUE()</f>
        <v>1</v>
      </c>
    </row>
    <row r="4121" customFormat="false" ht="15" hidden="false" customHeight="false" outlineLevel="0" collapsed="false">
      <c r="A4121" s="62" t="n">
        <v>1</v>
      </c>
      <c r="B4121" s="21" t="s">
        <v>336</v>
      </c>
      <c r="C4121" s="62" t="s">
        <v>60</v>
      </c>
      <c r="D4121" s="62" t="s">
        <v>381</v>
      </c>
      <c r="E4121" s="62" t="s">
        <v>71</v>
      </c>
      <c r="F4121" s="62" t="s">
        <v>382</v>
      </c>
      <c r="G4121" s="63" t="s">
        <v>407</v>
      </c>
      <c r="H4121" s="64" t="n">
        <v>1992472583.47295</v>
      </c>
      <c r="I4121" s="62" t="s">
        <v>81</v>
      </c>
      <c r="J4121" s="64" t="n">
        <v>1992472.58347295</v>
      </c>
      <c r="K4121" s="62" t="s">
        <v>138</v>
      </c>
      <c r="L4121" s="68" t="b">
        <f aca="false">TRUE()</f>
        <v>1</v>
      </c>
    </row>
    <row r="4122" customFormat="false" ht="15" hidden="false" customHeight="false" outlineLevel="0" collapsed="false">
      <c r="A4122" s="62" t="n">
        <v>1</v>
      </c>
      <c r="B4122" s="21" t="s">
        <v>336</v>
      </c>
      <c r="C4122" s="62" t="s">
        <v>60</v>
      </c>
      <c r="D4122" s="62" t="s">
        <v>383</v>
      </c>
      <c r="E4122" s="62" t="s">
        <v>71</v>
      </c>
      <c r="F4122" s="62" t="s">
        <v>382</v>
      </c>
      <c r="G4122" s="63" t="s">
        <v>407</v>
      </c>
      <c r="H4122" s="64" t="n">
        <v>284529038.467455</v>
      </c>
      <c r="I4122" s="62" t="s">
        <v>81</v>
      </c>
      <c r="J4122" s="64" t="n">
        <v>284529.038467455</v>
      </c>
      <c r="K4122" s="62" t="s">
        <v>138</v>
      </c>
      <c r="L4122" s="68" t="b">
        <f aca="false">TRUE()</f>
        <v>1</v>
      </c>
    </row>
    <row r="4123" customFormat="false" ht="15" hidden="false" customHeight="false" outlineLevel="0" collapsed="false">
      <c r="A4123" s="62" t="n">
        <v>1</v>
      </c>
      <c r="B4123" s="21" t="s">
        <v>336</v>
      </c>
      <c r="C4123" s="62" t="s">
        <v>60</v>
      </c>
      <c r="D4123" s="62" t="s">
        <v>384</v>
      </c>
      <c r="E4123" s="62" t="s">
        <v>71</v>
      </c>
      <c r="F4123" s="62" t="s">
        <v>382</v>
      </c>
      <c r="G4123" s="63" t="s">
        <v>407</v>
      </c>
      <c r="H4123" s="64" t="n">
        <v>2245626141.88956</v>
      </c>
      <c r="I4123" s="62" t="s">
        <v>81</v>
      </c>
      <c r="J4123" s="64" t="n">
        <v>2245626.14188956</v>
      </c>
      <c r="K4123" s="62" t="s">
        <v>138</v>
      </c>
      <c r="L4123" s="68" t="b">
        <f aca="false">TRUE()</f>
        <v>1</v>
      </c>
    </row>
    <row r="4124" customFormat="false" ht="15" hidden="false" customHeight="false" outlineLevel="0" collapsed="false">
      <c r="A4124" s="62" t="n">
        <v>1</v>
      </c>
      <c r="B4124" s="21" t="s">
        <v>336</v>
      </c>
      <c r="C4124" s="62" t="s">
        <v>60</v>
      </c>
      <c r="D4124" s="62" t="s">
        <v>385</v>
      </c>
      <c r="E4124" s="62" t="s">
        <v>71</v>
      </c>
      <c r="F4124" s="62" t="s">
        <v>382</v>
      </c>
      <c r="G4124" s="63" t="s">
        <v>407</v>
      </c>
      <c r="H4124" s="64" t="n">
        <v>1793712444.5569</v>
      </c>
      <c r="I4124" s="62" t="s">
        <v>81</v>
      </c>
      <c r="J4124" s="64" t="n">
        <v>1793712.4445569</v>
      </c>
      <c r="K4124" s="62" t="s">
        <v>138</v>
      </c>
      <c r="L4124" s="68" t="b">
        <f aca="false">TRUE()</f>
        <v>1</v>
      </c>
    </row>
    <row r="4125" customFormat="false" ht="15" hidden="false" customHeight="false" outlineLevel="0" collapsed="false">
      <c r="A4125" s="62" t="n">
        <v>1</v>
      </c>
      <c r="B4125" s="21" t="s">
        <v>336</v>
      </c>
      <c r="C4125" s="62" t="s">
        <v>60</v>
      </c>
      <c r="D4125" s="62" t="s">
        <v>386</v>
      </c>
      <c r="E4125" s="62" t="s">
        <v>71</v>
      </c>
      <c r="F4125" s="62" t="s">
        <v>382</v>
      </c>
      <c r="G4125" s="63" t="s">
        <v>407</v>
      </c>
      <c r="H4125" s="64" t="n">
        <v>2610756146.60761</v>
      </c>
      <c r="I4125" s="62" t="s">
        <v>81</v>
      </c>
      <c r="J4125" s="64" t="n">
        <v>2610756.14660761</v>
      </c>
      <c r="K4125" s="62" t="s">
        <v>138</v>
      </c>
      <c r="L4125" s="68" t="b">
        <f aca="false">TRUE()</f>
        <v>1</v>
      </c>
    </row>
    <row r="4126" customFormat="false" ht="15" hidden="false" customHeight="false" outlineLevel="0" collapsed="false">
      <c r="A4126" s="62" t="n">
        <v>1</v>
      </c>
      <c r="B4126" s="21" t="s">
        <v>336</v>
      </c>
      <c r="C4126" s="62" t="s">
        <v>60</v>
      </c>
      <c r="D4126" s="62" t="s">
        <v>387</v>
      </c>
      <c r="E4126" s="62" t="s">
        <v>71</v>
      </c>
      <c r="F4126" s="62" t="s">
        <v>382</v>
      </c>
      <c r="G4126" s="63" t="s">
        <v>407</v>
      </c>
      <c r="H4126" s="64" t="n">
        <v>1864133693.51165</v>
      </c>
      <c r="I4126" s="62" t="s">
        <v>81</v>
      </c>
      <c r="J4126" s="64" t="n">
        <v>1864133.69351165</v>
      </c>
      <c r="K4126" s="62" t="s">
        <v>138</v>
      </c>
      <c r="L4126" s="68" t="b">
        <f aca="false">TRUE()</f>
        <v>1</v>
      </c>
    </row>
    <row r="4127" customFormat="false" ht="15" hidden="false" customHeight="false" outlineLevel="0" collapsed="false">
      <c r="A4127" s="62" t="n">
        <v>1</v>
      </c>
      <c r="B4127" s="21" t="s">
        <v>336</v>
      </c>
      <c r="C4127" s="62" t="s">
        <v>60</v>
      </c>
      <c r="D4127" s="62" t="s">
        <v>388</v>
      </c>
      <c r="E4127" s="62" t="s">
        <v>71</v>
      </c>
      <c r="F4127" s="62" t="s">
        <v>382</v>
      </c>
      <c r="G4127" s="63" t="s">
        <v>407</v>
      </c>
      <c r="H4127" s="64" t="n">
        <v>476312114.751455</v>
      </c>
      <c r="I4127" s="62" t="s">
        <v>81</v>
      </c>
      <c r="J4127" s="64" t="n">
        <v>476312.114751455</v>
      </c>
      <c r="K4127" s="62" t="s">
        <v>138</v>
      </c>
      <c r="L4127" s="68" t="b">
        <f aca="false">TRUE()</f>
        <v>1</v>
      </c>
    </row>
    <row r="4128" customFormat="false" ht="15" hidden="false" customHeight="false" outlineLevel="0" collapsed="false">
      <c r="A4128" s="62" t="n">
        <v>1</v>
      </c>
      <c r="B4128" s="21" t="s">
        <v>336</v>
      </c>
      <c r="C4128" s="62" t="s">
        <v>60</v>
      </c>
      <c r="D4128" s="62" t="s">
        <v>381</v>
      </c>
      <c r="E4128" s="62" t="s">
        <v>71</v>
      </c>
      <c r="F4128" s="62" t="s">
        <v>382</v>
      </c>
      <c r="G4128" s="63" t="s">
        <v>408</v>
      </c>
      <c r="H4128" s="64" t="n">
        <v>-72726647.1917144</v>
      </c>
      <c r="I4128" s="62" t="s">
        <v>81</v>
      </c>
      <c r="J4128" s="64" t="n">
        <v>-72726.6471917144</v>
      </c>
      <c r="K4128" s="62" t="s">
        <v>138</v>
      </c>
      <c r="L4128" s="68" t="b">
        <f aca="false">TRUE()</f>
        <v>1</v>
      </c>
    </row>
    <row r="4129" customFormat="false" ht="15" hidden="false" customHeight="false" outlineLevel="0" collapsed="false">
      <c r="A4129" s="62" t="n">
        <v>1</v>
      </c>
      <c r="B4129" s="21" t="s">
        <v>336</v>
      </c>
      <c r="C4129" s="62" t="s">
        <v>60</v>
      </c>
      <c r="D4129" s="62" t="s">
        <v>383</v>
      </c>
      <c r="E4129" s="62" t="s">
        <v>71</v>
      </c>
      <c r="F4129" s="62" t="s">
        <v>382</v>
      </c>
      <c r="G4129" s="63" t="s">
        <v>408</v>
      </c>
      <c r="H4129" s="64" t="n">
        <v>-278203037.917341</v>
      </c>
      <c r="I4129" s="62" t="s">
        <v>81</v>
      </c>
      <c r="J4129" s="64" t="n">
        <v>-278203.037917341</v>
      </c>
      <c r="K4129" s="62" t="s">
        <v>138</v>
      </c>
      <c r="L4129" s="68" t="b">
        <f aca="false">TRUE()</f>
        <v>1</v>
      </c>
    </row>
    <row r="4130" customFormat="false" ht="15" hidden="false" customHeight="false" outlineLevel="0" collapsed="false">
      <c r="A4130" s="62" t="n">
        <v>1</v>
      </c>
      <c r="B4130" s="21" t="s">
        <v>336</v>
      </c>
      <c r="C4130" s="62" t="s">
        <v>60</v>
      </c>
      <c r="D4130" s="62" t="s">
        <v>384</v>
      </c>
      <c r="E4130" s="62" t="s">
        <v>71</v>
      </c>
      <c r="F4130" s="62" t="s">
        <v>382</v>
      </c>
      <c r="G4130" s="63" t="s">
        <v>408</v>
      </c>
      <c r="H4130" s="64" t="n">
        <v>-170366489.876681</v>
      </c>
      <c r="I4130" s="62" t="s">
        <v>81</v>
      </c>
      <c r="J4130" s="64" t="n">
        <v>-170366.489876681</v>
      </c>
      <c r="K4130" s="62" t="s">
        <v>138</v>
      </c>
      <c r="L4130" s="68" t="b">
        <f aca="false">TRUE()</f>
        <v>1</v>
      </c>
    </row>
    <row r="4131" customFormat="false" ht="15" hidden="false" customHeight="false" outlineLevel="0" collapsed="false">
      <c r="A4131" s="62" t="n">
        <v>1</v>
      </c>
      <c r="B4131" s="21" t="s">
        <v>336</v>
      </c>
      <c r="C4131" s="62" t="s">
        <v>60</v>
      </c>
      <c r="D4131" s="62" t="s">
        <v>385</v>
      </c>
      <c r="E4131" s="62" t="s">
        <v>71</v>
      </c>
      <c r="F4131" s="62" t="s">
        <v>382</v>
      </c>
      <c r="G4131" s="63" t="s">
        <v>408</v>
      </c>
      <c r="H4131" s="64" t="n">
        <v>-65206995.0914953</v>
      </c>
      <c r="I4131" s="62" t="s">
        <v>81</v>
      </c>
      <c r="J4131" s="64" t="n">
        <v>-65206.9950914953</v>
      </c>
      <c r="K4131" s="62" t="s">
        <v>138</v>
      </c>
      <c r="L4131" s="68" t="b">
        <f aca="false">TRUE()</f>
        <v>1</v>
      </c>
    </row>
    <row r="4132" customFormat="false" ht="15" hidden="false" customHeight="false" outlineLevel="0" collapsed="false">
      <c r="A4132" s="62" t="n">
        <v>1</v>
      </c>
      <c r="B4132" s="21" t="s">
        <v>336</v>
      </c>
      <c r="C4132" s="62" t="s">
        <v>60</v>
      </c>
      <c r="D4132" s="62" t="s">
        <v>386</v>
      </c>
      <c r="E4132" s="62" t="s">
        <v>71</v>
      </c>
      <c r="F4132" s="62" t="s">
        <v>382</v>
      </c>
      <c r="G4132" s="63" t="s">
        <v>408</v>
      </c>
      <c r="H4132" s="64" t="n">
        <v>-114172818.497491</v>
      </c>
      <c r="I4132" s="62" t="s">
        <v>81</v>
      </c>
      <c r="J4132" s="64" t="n">
        <v>-114172.818497491</v>
      </c>
      <c r="K4132" s="62" t="s">
        <v>138</v>
      </c>
      <c r="L4132" s="68" t="b">
        <f aca="false">TRUE()</f>
        <v>1</v>
      </c>
    </row>
    <row r="4133" customFormat="false" ht="15" hidden="false" customHeight="false" outlineLevel="0" collapsed="false">
      <c r="A4133" s="62" t="n">
        <v>1</v>
      </c>
      <c r="B4133" s="21" t="s">
        <v>336</v>
      </c>
      <c r="C4133" s="62" t="s">
        <v>60</v>
      </c>
      <c r="D4133" s="62" t="s">
        <v>387</v>
      </c>
      <c r="E4133" s="62" t="s">
        <v>71</v>
      </c>
      <c r="F4133" s="62" t="s">
        <v>382</v>
      </c>
      <c r="G4133" s="63" t="s">
        <v>408</v>
      </c>
      <c r="H4133" s="64" t="n">
        <v>-319484473.488123</v>
      </c>
      <c r="I4133" s="62" t="s">
        <v>81</v>
      </c>
      <c r="J4133" s="64" t="n">
        <v>-319484.473488123</v>
      </c>
      <c r="K4133" s="62" t="s">
        <v>138</v>
      </c>
      <c r="L4133" s="68" t="b">
        <f aca="false">TRUE()</f>
        <v>1</v>
      </c>
    </row>
    <row r="4134" customFormat="false" ht="15" hidden="false" customHeight="false" outlineLevel="0" collapsed="false">
      <c r="A4134" s="62" t="n">
        <v>1</v>
      </c>
      <c r="B4134" s="21" t="s">
        <v>336</v>
      </c>
      <c r="C4134" s="62" t="s">
        <v>60</v>
      </c>
      <c r="D4134" s="62" t="s">
        <v>388</v>
      </c>
      <c r="E4134" s="62" t="s">
        <v>71</v>
      </c>
      <c r="F4134" s="62" t="s">
        <v>382</v>
      </c>
      <c r="G4134" s="63" t="s">
        <v>408</v>
      </c>
      <c r="H4134" s="64" t="n">
        <v>-83100002.8325305</v>
      </c>
      <c r="I4134" s="62" t="s">
        <v>81</v>
      </c>
      <c r="J4134" s="64" t="n">
        <v>-83100.0028325305</v>
      </c>
      <c r="K4134" s="62" t="s">
        <v>138</v>
      </c>
      <c r="L4134" s="68" t="b">
        <f aca="false">TRUE()</f>
        <v>1</v>
      </c>
    </row>
    <row r="4135" customFormat="false" ht="15" hidden="false" customHeight="false" outlineLevel="0" collapsed="false">
      <c r="A4135" s="62" t="n">
        <v>1</v>
      </c>
      <c r="B4135" s="21" t="s">
        <v>336</v>
      </c>
      <c r="C4135" s="62" t="s">
        <v>60</v>
      </c>
      <c r="D4135" s="62" t="s">
        <v>381</v>
      </c>
      <c r="E4135" s="62" t="s">
        <v>71</v>
      </c>
      <c r="F4135" s="62" t="s">
        <v>382</v>
      </c>
      <c r="G4135" s="63" t="s">
        <v>409</v>
      </c>
      <c r="H4135" s="64" t="n">
        <v>2065199230.66467</v>
      </c>
      <c r="I4135" s="62" t="s">
        <v>81</v>
      </c>
      <c r="J4135" s="64" t="n">
        <v>2065199.23066467</v>
      </c>
      <c r="K4135" s="62" t="s">
        <v>138</v>
      </c>
      <c r="L4135" s="68" t="b">
        <f aca="false">TRUE()</f>
        <v>1</v>
      </c>
    </row>
    <row r="4136" customFormat="false" ht="15" hidden="false" customHeight="false" outlineLevel="0" collapsed="false">
      <c r="A4136" s="62" t="n">
        <v>1</v>
      </c>
      <c r="B4136" s="21" t="s">
        <v>336</v>
      </c>
      <c r="C4136" s="62" t="s">
        <v>60</v>
      </c>
      <c r="D4136" s="62" t="s">
        <v>383</v>
      </c>
      <c r="E4136" s="62" t="s">
        <v>71</v>
      </c>
      <c r="F4136" s="62" t="s">
        <v>382</v>
      </c>
      <c r="G4136" s="63" t="s">
        <v>409</v>
      </c>
      <c r="H4136" s="64" t="n">
        <v>562732076.384796</v>
      </c>
      <c r="I4136" s="62" t="s">
        <v>81</v>
      </c>
      <c r="J4136" s="64" t="n">
        <v>562732.076384796</v>
      </c>
      <c r="K4136" s="62" t="s">
        <v>138</v>
      </c>
      <c r="L4136" s="68" t="b">
        <f aca="false">TRUE()</f>
        <v>1</v>
      </c>
    </row>
    <row r="4137" customFormat="false" ht="15" hidden="false" customHeight="false" outlineLevel="0" collapsed="false">
      <c r="A4137" s="62" t="n">
        <v>1</v>
      </c>
      <c r="B4137" s="21" t="s">
        <v>336</v>
      </c>
      <c r="C4137" s="62" t="s">
        <v>60</v>
      </c>
      <c r="D4137" s="62" t="s">
        <v>384</v>
      </c>
      <c r="E4137" s="62" t="s">
        <v>71</v>
      </c>
      <c r="F4137" s="62" t="s">
        <v>382</v>
      </c>
      <c r="G4137" s="63" t="s">
        <v>409</v>
      </c>
      <c r="H4137" s="64" t="n">
        <v>2415992631.76624</v>
      </c>
      <c r="I4137" s="62" t="s">
        <v>81</v>
      </c>
      <c r="J4137" s="64" t="n">
        <v>2415992.63176624</v>
      </c>
      <c r="K4137" s="62" t="s">
        <v>138</v>
      </c>
      <c r="L4137" s="68" t="b">
        <f aca="false">TRUE()</f>
        <v>1</v>
      </c>
    </row>
    <row r="4138" customFormat="false" ht="15" hidden="false" customHeight="false" outlineLevel="0" collapsed="false">
      <c r="A4138" s="62" t="n">
        <v>1</v>
      </c>
      <c r="B4138" s="21" t="s">
        <v>336</v>
      </c>
      <c r="C4138" s="62" t="s">
        <v>60</v>
      </c>
      <c r="D4138" s="62" t="s">
        <v>385</v>
      </c>
      <c r="E4138" s="62" t="s">
        <v>71</v>
      </c>
      <c r="F4138" s="62" t="s">
        <v>382</v>
      </c>
      <c r="G4138" s="63" t="s">
        <v>409</v>
      </c>
      <c r="H4138" s="64" t="n">
        <v>1858919439.64839</v>
      </c>
      <c r="I4138" s="62" t="s">
        <v>81</v>
      </c>
      <c r="J4138" s="64" t="n">
        <v>1858919.43964839</v>
      </c>
      <c r="K4138" s="62" t="s">
        <v>138</v>
      </c>
      <c r="L4138" s="68" t="b">
        <f aca="false">TRUE()</f>
        <v>1</v>
      </c>
    </row>
    <row r="4139" customFormat="false" ht="15" hidden="false" customHeight="false" outlineLevel="0" collapsed="false">
      <c r="A4139" s="62" t="n">
        <v>1</v>
      </c>
      <c r="B4139" s="21" t="s">
        <v>336</v>
      </c>
      <c r="C4139" s="62" t="s">
        <v>60</v>
      </c>
      <c r="D4139" s="62" t="s">
        <v>386</v>
      </c>
      <c r="E4139" s="62" t="s">
        <v>71</v>
      </c>
      <c r="F4139" s="62" t="s">
        <v>382</v>
      </c>
      <c r="G4139" s="63" t="s">
        <v>409</v>
      </c>
      <c r="H4139" s="64" t="n">
        <v>2724928965.1051</v>
      </c>
      <c r="I4139" s="62" t="s">
        <v>81</v>
      </c>
      <c r="J4139" s="64" t="n">
        <v>2724928.9651051</v>
      </c>
      <c r="K4139" s="62" t="s">
        <v>138</v>
      </c>
      <c r="L4139" s="68" t="b">
        <f aca="false">TRUE()</f>
        <v>1</v>
      </c>
    </row>
    <row r="4140" customFormat="false" ht="15" hidden="false" customHeight="false" outlineLevel="0" collapsed="false">
      <c r="A4140" s="62" t="n">
        <v>1</v>
      </c>
      <c r="B4140" s="21" t="s">
        <v>336</v>
      </c>
      <c r="C4140" s="62" t="s">
        <v>60</v>
      </c>
      <c r="D4140" s="62" t="s">
        <v>387</v>
      </c>
      <c r="E4140" s="62" t="s">
        <v>71</v>
      </c>
      <c r="F4140" s="62" t="s">
        <v>382</v>
      </c>
      <c r="G4140" s="63" t="s">
        <v>409</v>
      </c>
      <c r="H4140" s="64" t="n">
        <v>2183618166.99977</v>
      </c>
      <c r="I4140" s="62" t="s">
        <v>81</v>
      </c>
      <c r="J4140" s="64" t="n">
        <v>2183618.16699977</v>
      </c>
      <c r="K4140" s="62" t="s">
        <v>138</v>
      </c>
      <c r="L4140" s="68" t="b">
        <f aca="false">TRUE()</f>
        <v>1</v>
      </c>
    </row>
    <row r="4141" customFormat="false" ht="15" hidden="false" customHeight="false" outlineLevel="0" collapsed="false">
      <c r="A4141" s="62" t="n">
        <v>1</v>
      </c>
      <c r="B4141" s="21" t="s">
        <v>336</v>
      </c>
      <c r="C4141" s="62" t="s">
        <v>60</v>
      </c>
      <c r="D4141" s="62" t="s">
        <v>388</v>
      </c>
      <c r="E4141" s="62" t="s">
        <v>71</v>
      </c>
      <c r="F4141" s="62" t="s">
        <v>382</v>
      </c>
      <c r="G4141" s="63" t="s">
        <v>409</v>
      </c>
      <c r="H4141" s="64" t="n">
        <v>559412117.583985</v>
      </c>
      <c r="I4141" s="62" t="s">
        <v>81</v>
      </c>
      <c r="J4141" s="64" t="n">
        <v>559412.117583985</v>
      </c>
      <c r="K4141" s="62" t="s">
        <v>138</v>
      </c>
      <c r="L4141" s="68" t="b">
        <f aca="false">TRUE()</f>
        <v>1</v>
      </c>
    </row>
    <row r="4142" customFormat="false" ht="15" hidden="false" customHeight="false" outlineLevel="0" collapsed="false">
      <c r="A4142" s="62" t="n">
        <v>1</v>
      </c>
      <c r="B4142" s="21" t="s">
        <v>336</v>
      </c>
      <c r="C4142" s="62" t="s">
        <v>60</v>
      </c>
      <c r="D4142" s="62" t="s">
        <v>381</v>
      </c>
      <c r="E4142" s="62" t="s">
        <v>71</v>
      </c>
      <c r="F4142" s="62" t="s">
        <v>382</v>
      </c>
      <c r="G4142" s="63" t="s">
        <v>410</v>
      </c>
      <c r="H4142" s="64" t="n">
        <v>516299807.666167</v>
      </c>
      <c r="I4142" s="62" t="s">
        <v>81</v>
      </c>
      <c r="J4142" s="64" t="n">
        <v>516299.807666167</v>
      </c>
      <c r="K4142" s="62" t="s">
        <v>138</v>
      </c>
      <c r="L4142" s="68" t="b">
        <f aca="false">TRUE()</f>
        <v>1</v>
      </c>
    </row>
    <row r="4143" customFormat="false" ht="15" hidden="false" customHeight="false" outlineLevel="0" collapsed="false">
      <c r="A4143" s="62" t="n">
        <v>1</v>
      </c>
      <c r="B4143" s="21" t="s">
        <v>336</v>
      </c>
      <c r="C4143" s="62" t="s">
        <v>60</v>
      </c>
      <c r="D4143" s="62" t="s">
        <v>383</v>
      </c>
      <c r="E4143" s="62" t="s">
        <v>71</v>
      </c>
      <c r="F4143" s="62" t="s">
        <v>382</v>
      </c>
      <c r="G4143" s="63" t="s">
        <v>410</v>
      </c>
      <c r="H4143" s="64" t="n">
        <v>140683019.096199</v>
      </c>
      <c r="I4143" s="62" t="s">
        <v>81</v>
      </c>
      <c r="J4143" s="64" t="n">
        <v>140683.019096199</v>
      </c>
      <c r="K4143" s="62" t="s">
        <v>138</v>
      </c>
      <c r="L4143" s="68" t="b">
        <f aca="false">TRUE()</f>
        <v>1</v>
      </c>
    </row>
    <row r="4144" customFormat="false" ht="15" hidden="false" customHeight="false" outlineLevel="0" collapsed="false">
      <c r="A4144" s="62" t="n">
        <v>1</v>
      </c>
      <c r="B4144" s="21" t="s">
        <v>336</v>
      </c>
      <c r="C4144" s="62" t="s">
        <v>60</v>
      </c>
      <c r="D4144" s="62" t="s">
        <v>384</v>
      </c>
      <c r="E4144" s="62" t="s">
        <v>71</v>
      </c>
      <c r="F4144" s="62" t="s">
        <v>382</v>
      </c>
      <c r="G4144" s="63" t="s">
        <v>410</v>
      </c>
      <c r="H4144" s="64" t="n">
        <v>603998157.941559</v>
      </c>
      <c r="I4144" s="62" t="s">
        <v>81</v>
      </c>
      <c r="J4144" s="64" t="n">
        <v>603998.157941559</v>
      </c>
      <c r="K4144" s="62" t="s">
        <v>138</v>
      </c>
      <c r="L4144" s="68" t="b">
        <f aca="false">TRUE()</f>
        <v>1</v>
      </c>
    </row>
    <row r="4145" customFormat="false" ht="15" hidden="false" customHeight="false" outlineLevel="0" collapsed="false">
      <c r="A4145" s="62" t="n">
        <v>1</v>
      </c>
      <c r="B4145" s="21" t="s">
        <v>336</v>
      </c>
      <c r="C4145" s="62" t="s">
        <v>60</v>
      </c>
      <c r="D4145" s="62" t="s">
        <v>385</v>
      </c>
      <c r="E4145" s="62" t="s">
        <v>71</v>
      </c>
      <c r="F4145" s="62" t="s">
        <v>382</v>
      </c>
      <c r="G4145" s="63" t="s">
        <v>410</v>
      </c>
      <c r="H4145" s="64" t="n">
        <v>464729859.912098</v>
      </c>
      <c r="I4145" s="62" t="s">
        <v>81</v>
      </c>
      <c r="J4145" s="64" t="n">
        <v>464729.859912098</v>
      </c>
      <c r="K4145" s="62" t="s">
        <v>138</v>
      </c>
      <c r="L4145" s="68" t="b">
        <f aca="false">TRUE()</f>
        <v>1</v>
      </c>
    </row>
    <row r="4146" customFormat="false" ht="15" hidden="false" customHeight="false" outlineLevel="0" collapsed="false">
      <c r="A4146" s="62" t="n">
        <v>1</v>
      </c>
      <c r="B4146" s="21" t="s">
        <v>336</v>
      </c>
      <c r="C4146" s="62" t="s">
        <v>60</v>
      </c>
      <c r="D4146" s="62" t="s">
        <v>386</v>
      </c>
      <c r="E4146" s="62" t="s">
        <v>71</v>
      </c>
      <c r="F4146" s="62" t="s">
        <v>382</v>
      </c>
      <c r="G4146" s="63" t="s">
        <v>410</v>
      </c>
      <c r="H4146" s="64" t="n">
        <v>681232241.276276</v>
      </c>
      <c r="I4146" s="62" t="s">
        <v>81</v>
      </c>
      <c r="J4146" s="64" t="n">
        <v>681232.241276276</v>
      </c>
      <c r="K4146" s="62" t="s">
        <v>138</v>
      </c>
      <c r="L4146" s="68" t="b">
        <f aca="false">TRUE()</f>
        <v>1</v>
      </c>
    </row>
    <row r="4147" customFormat="false" ht="15" hidden="false" customHeight="false" outlineLevel="0" collapsed="false">
      <c r="A4147" s="62" t="n">
        <v>1</v>
      </c>
      <c r="B4147" s="21" t="s">
        <v>336</v>
      </c>
      <c r="C4147" s="62" t="s">
        <v>60</v>
      </c>
      <c r="D4147" s="62" t="s">
        <v>387</v>
      </c>
      <c r="E4147" s="62" t="s">
        <v>71</v>
      </c>
      <c r="F4147" s="62" t="s">
        <v>382</v>
      </c>
      <c r="G4147" s="63" t="s">
        <v>410</v>
      </c>
      <c r="H4147" s="64" t="n">
        <v>545904541.749942</v>
      </c>
      <c r="I4147" s="62" t="s">
        <v>81</v>
      </c>
      <c r="J4147" s="64" t="n">
        <v>545904.541749942</v>
      </c>
      <c r="K4147" s="62" t="s">
        <v>138</v>
      </c>
      <c r="L4147" s="68" t="b">
        <f aca="false">TRUE()</f>
        <v>1</v>
      </c>
    </row>
    <row r="4148" customFormat="false" ht="15" hidden="false" customHeight="false" outlineLevel="0" collapsed="false">
      <c r="A4148" s="62" t="n">
        <v>1</v>
      </c>
      <c r="B4148" s="21" t="s">
        <v>336</v>
      </c>
      <c r="C4148" s="62" t="s">
        <v>60</v>
      </c>
      <c r="D4148" s="62" t="s">
        <v>388</v>
      </c>
      <c r="E4148" s="62" t="s">
        <v>71</v>
      </c>
      <c r="F4148" s="62" t="s">
        <v>382</v>
      </c>
      <c r="G4148" s="63" t="s">
        <v>410</v>
      </c>
      <c r="H4148" s="64" t="n">
        <v>139853029.395996</v>
      </c>
      <c r="I4148" s="62" t="s">
        <v>81</v>
      </c>
      <c r="J4148" s="64" t="n">
        <v>139853.029395996</v>
      </c>
      <c r="K4148" s="62" t="s">
        <v>138</v>
      </c>
      <c r="L4148" s="68" t="b">
        <f aca="false">TRUE()</f>
        <v>1</v>
      </c>
    </row>
    <row r="4149" customFormat="false" ht="15" hidden="false" customHeight="false" outlineLevel="0" collapsed="false">
      <c r="A4149" s="62" t="n">
        <v>1</v>
      </c>
      <c r="B4149" s="21" t="s">
        <v>336</v>
      </c>
      <c r="C4149" s="62" t="s">
        <v>60</v>
      </c>
      <c r="D4149" s="62" t="s">
        <v>381</v>
      </c>
      <c r="E4149" s="62" t="s">
        <v>71</v>
      </c>
      <c r="F4149" s="62" t="s">
        <v>382</v>
      </c>
      <c r="G4149" s="63" t="s">
        <v>411</v>
      </c>
      <c r="H4149" s="64" t="n">
        <v>1548899422.9985</v>
      </c>
      <c r="I4149" s="62" t="s">
        <v>81</v>
      </c>
      <c r="J4149" s="64" t="n">
        <v>1548899.4229985</v>
      </c>
      <c r="K4149" s="62" t="s">
        <v>138</v>
      </c>
      <c r="L4149" s="68" t="b">
        <f aca="false">TRUE()</f>
        <v>1</v>
      </c>
    </row>
    <row r="4150" customFormat="false" ht="15" hidden="false" customHeight="false" outlineLevel="0" collapsed="false">
      <c r="A4150" s="62" t="n">
        <v>1</v>
      </c>
      <c r="B4150" s="21" t="s">
        <v>336</v>
      </c>
      <c r="C4150" s="62" t="s">
        <v>60</v>
      </c>
      <c r="D4150" s="62" t="s">
        <v>383</v>
      </c>
      <c r="E4150" s="62" t="s">
        <v>71</v>
      </c>
      <c r="F4150" s="62" t="s">
        <v>382</v>
      </c>
      <c r="G4150" s="63" t="s">
        <v>411</v>
      </c>
      <c r="H4150" s="64" t="n">
        <v>422049057.288597</v>
      </c>
      <c r="I4150" s="62" t="s">
        <v>81</v>
      </c>
      <c r="J4150" s="64" t="n">
        <v>422049.057288597</v>
      </c>
      <c r="K4150" s="62" t="s">
        <v>138</v>
      </c>
      <c r="L4150" s="68" t="b">
        <f aca="false">TRUE()</f>
        <v>1</v>
      </c>
    </row>
    <row r="4151" customFormat="false" ht="15" hidden="false" customHeight="false" outlineLevel="0" collapsed="false">
      <c r="A4151" s="62" t="n">
        <v>1</v>
      </c>
      <c r="B4151" s="21" t="s">
        <v>336</v>
      </c>
      <c r="C4151" s="62" t="s">
        <v>60</v>
      </c>
      <c r="D4151" s="62" t="s">
        <v>384</v>
      </c>
      <c r="E4151" s="62" t="s">
        <v>71</v>
      </c>
      <c r="F4151" s="62" t="s">
        <v>382</v>
      </c>
      <c r="G4151" s="63" t="s">
        <v>411</v>
      </c>
      <c r="H4151" s="64" t="n">
        <v>1811994473.82468</v>
      </c>
      <c r="I4151" s="62" t="s">
        <v>81</v>
      </c>
      <c r="J4151" s="64" t="n">
        <v>1811994.47382468</v>
      </c>
      <c r="K4151" s="62" t="s">
        <v>138</v>
      </c>
      <c r="L4151" s="68" t="b">
        <f aca="false">TRUE()</f>
        <v>1</v>
      </c>
    </row>
    <row r="4152" customFormat="false" ht="15" hidden="false" customHeight="false" outlineLevel="0" collapsed="false">
      <c r="A4152" s="62" t="n">
        <v>1</v>
      </c>
      <c r="B4152" s="21" t="s">
        <v>336</v>
      </c>
      <c r="C4152" s="62" t="s">
        <v>60</v>
      </c>
      <c r="D4152" s="62" t="s">
        <v>385</v>
      </c>
      <c r="E4152" s="62" t="s">
        <v>71</v>
      </c>
      <c r="F4152" s="62" t="s">
        <v>382</v>
      </c>
      <c r="G4152" s="63" t="s">
        <v>411</v>
      </c>
      <c r="H4152" s="64" t="n">
        <v>1394189579.73629</v>
      </c>
      <c r="I4152" s="62" t="s">
        <v>81</v>
      </c>
      <c r="J4152" s="64" t="n">
        <v>1394189.57973629</v>
      </c>
      <c r="K4152" s="62" t="s">
        <v>138</v>
      </c>
      <c r="L4152" s="68" t="b">
        <f aca="false">TRUE()</f>
        <v>1</v>
      </c>
    </row>
    <row r="4153" customFormat="false" ht="15" hidden="false" customHeight="false" outlineLevel="0" collapsed="false">
      <c r="A4153" s="62" t="n">
        <v>1</v>
      </c>
      <c r="B4153" s="21" t="s">
        <v>336</v>
      </c>
      <c r="C4153" s="62" t="s">
        <v>60</v>
      </c>
      <c r="D4153" s="62" t="s">
        <v>386</v>
      </c>
      <c r="E4153" s="62" t="s">
        <v>71</v>
      </c>
      <c r="F4153" s="62" t="s">
        <v>382</v>
      </c>
      <c r="G4153" s="63" t="s">
        <v>411</v>
      </c>
      <c r="H4153" s="64" t="n">
        <v>2043696723.82883</v>
      </c>
      <c r="I4153" s="62" t="s">
        <v>81</v>
      </c>
      <c r="J4153" s="64" t="n">
        <v>2043696.72382883</v>
      </c>
      <c r="K4153" s="62" t="s">
        <v>138</v>
      </c>
      <c r="L4153" s="68" t="b">
        <f aca="false">TRUE()</f>
        <v>1</v>
      </c>
    </row>
    <row r="4154" customFormat="false" ht="15" hidden="false" customHeight="false" outlineLevel="0" collapsed="false">
      <c r="A4154" s="62" t="n">
        <v>1</v>
      </c>
      <c r="B4154" s="21" t="s">
        <v>336</v>
      </c>
      <c r="C4154" s="62" t="s">
        <v>60</v>
      </c>
      <c r="D4154" s="62" t="s">
        <v>387</v>
      </c>
      <c r="E4154" s="62" t="s">
        <v>71</v>
      </c>
      <c r="F4154" s="62" t="s">
        <v>382</v>
      </c>
      <c r="G4154" s="63" t="s">
        <v>411</v>
      </c>
      <c r="H4154" s="64" t="n">
        <v>1637713625.24983</v>
      </c>
      <c r="I4154" s="62" t="s">
        <v>81</v>
      </c>
      <c r="J4154" s="64" t="n">
        <v>1637713.62524983</v>
      </c>
      <c r="K4154" s="62" t="s">
        <v>138</v>
      </c>
      <c r="L4154" s="68" t="b">
        <f aca="false">TRUE()</f>
        <v>1</v>
      </c>
    </row>
    <row r="4155" customFormat="false" ht="15" hidden="false" customHeight="false" outlineLevel="0" collapsed="false">
      <c r="A4155" s="62" t="n">
        <v>1</v>
      </c>
      <c r="B4155" s="21" t="s">
        <v>336</v>
      </c>
      <c r="C4155" s="62" t="s">
        <v>60</v>
      </c>
      <c r="D4155" s="62" t="s">
        <v>388</v>
      </c>
      <c r="E4155" s="62" t="s">
        <v>71</v>
      </c>
      <c r="F4155" s="62" t="s">
        <v>382</v>
      </c>
      <c r="G4155" s="63" t="s">
        <v>411</v>
      </c>
      <c r="H4155" s="64" t="n">
        <v>419559088.187989</v>
      </c>
      <c r="I4155" s="62" t="s">
        <v>81</v>
      </c>
      <c r="J4155" s="64" t="n">
        <v>419559.088187989</v>
      </c>
      <c r="K4155" s="62" t="s">
        <v>138</v>
      </c>
      <c r="L4155" s="68" t="b">
        <f aca="false">TRUE()</f>
        <v>1</v>
      </c>
    </row>
    <row r="4156" customFormat="false" ht="15" hidden="false" customHeight="false" outlineLevel="0" collapsed="false">
      <c r="A4156" s="62" t="n">
        <v>1</v>
      </c>
      <c r="B4156" s="21" t="s">
        <v>336</v>
      </c>
      <c r="C4156" s="62" t="s">
        <v>60</v>
      </c>
      <c r="D4156" s="62" t="s">
        <v>381</v>
      </c>
      <c r="E4156" s="62" t="s">
        <v>71</v>
      </c>
      <c r="F4156" s="62" t="s">
        <v>382</v>
      </c>
      <c r="G4156" s="63" t="s">
        <v>412</v>
      </c>
      <c r="H4156" s="64" t="n">
        <v>1608329740</v>
      </c>
      <c r="I4156" s="62" t="s">
        <v>81</v>
      </c>
      <c r="J4156" s="64" t="n">
        <v>1608329.74</v>
      </c>
      <c r="K4156" s="62" t="s">
        <v>138</v>
      </c>
      <c r="L4156" s="68" t="b">
        <f aca="false">TRUE()</f>
        <v>1</v>
      </c>
    </row>
    <row r="4157" customFormat="false" ht="15" hidden="false" customHeight="false" outlineLevel="0" collapsed="false">
      <c r="A4157" s="62" t="n">
        <v>1</v>
      </c>
      <c r="B4157" s="21" t="s">
        <v>336</v>
      </c>
      <c r="C4157" s="62" t="s">
        <v>60</v>
      </c>
      <c r="D4157" s="62" t="s">
        <v>383</v>
      </c>
      <c r="E4157" s="62" t="s">
        <v>71</v>
      </c>
      <c r="F4157" s="62" t="s">
        <v>382</v>
      </c>
      <c r="G4157" s="63" t="s">
        <v>412</v>
      </c>
      <c r="H4157" s="64" t="n">
        <v>1609329740</v>
      </c>
      <c r="I4157" s="62" t="s">
        <v>81</v>
      </c>
      <c r="J4157" s="64" t="n">
        <v>1609329.74</v>
      </c>
      <c r="K4157" s="62" t="s">
        <v>138</v>
      </c>
      <c r="L4157" s="68" t="b">
        <f aca="false">TRUE()</f>
        <v>1</v>
      </c>
    </row>
    <row r="4158" customFormat="false" ht="15" hidden="false" customHeight="false" outlineLevel="0" collapsed="false">
      <c r="A4158" s="62" t="n">
        <v>1</v>
      </c>
      <c r="B4158" s="21" t="s">
        <v>336</v>
      </c>
      <c r="C4158" s="62" t="s">
        <v>60</v>
      </c>
      <c r="D4158" s="62" t="s">
        <v>384</v>
      </c>
      <c r="E4158" s="62" t="s">
        <v>71</v>
      </c>
      <c r="F4158" s="62" t="s">
        <v>382</v>
      </c>
      <c r="G4158" s="63" t="s">
        <v>412</v>
      </c>
      <c r="H4158" s="64" t="n">
        <v>1608329740</v>
      </c>
      <c r="I4158" s="62" t="s">
        <v>81</v>
      </c>
      <c r="J4158" s="64" t="n">
        <v>1608329.74</v>
      </c>
      <c r="K4158" s="62" t="s">
        <v>138</v>
      </c>
      <c r="L4158" s="68" t="b">
        <f aca="false">TRUE()</f>
        <v>1</v>
      </c>
    </row>
    <row r="4159" customFormat="false" ht="15" hidden="false" customHeight="false" outlineLevel="0" collapsed="false">
      <c r="A4159" s="62" t="n">
        <v>1</v>
      </c>
      <c r="B4159" s="21" t="s">
        <v>336</v>
      </c>
      <c r="C4159" s="62" t="s">
        <v>60</v>
      </c>
      <c r="D4159" s="62" t="s">
        <v>385</v>
      </c>
      <c r="E4159" s="62" t="s">
        <v>71</v>
      </c>
      <c r="F4159" s="62" t="s">
        <v>382</v>
      </c>
      <c r="G4159" s="63" t="s">
        <v>412</v>
      </c>
      <c r="H4159" s="64" t="n">
        <v>1609329740</v>
      </c>
      <c r="I4159" s="62" t="s">
        <v>81</v>
      </c>
      <c r="J4159" s="64" t="n">
        <v>1609329.74</v>
      </c>
      <c r="K4159" s="62" t="s">
        <v>138</v>
      </c>
      <c r="L4159" s="68" t="b">
        <f aca="false">TRUE()</f>
        <v>1</v>
      </c>
    </row>
    <row r="4160" customFormat="false" ht="15" hidden="false" customHeight="false" outlineLevel="0" collapsed="false">
      <c r="A4160" s="62" t="n">
        <v>1</v>
      </c>
      <c r="B4160" s="21" t="s">
        <v>336</v>
      </c>
      <c r="C4160" s="62" t="s">
        <v>60</v>
      </c>
      <c r="D4160" s="62" t="s">
        <v>386</v>
      </c>
      <c r="E4160" s="62" t="s">
        <v>71</v>
      </c>
      <c r="F4160" s="62" t="s">
        <v>382</v>
      </c>
      <c r="G4160" s="63" t="s">
        <v>412</v>
      </c>
      <c r="H4160" s="64" t="n">
        <v>1619329740</v>
      </c>
      <c r="I4160" s="62" t="s">
        <v>81</v>
      </c>
      <c r="J4160" s="64" t="n">
        <v>1619329.74</v>
      </c>
      <c r="K4160" s="62" t="s">
        <v>138</v>
      </c>
      <c r="L4160" s="68" t="b">
        <f aca="false">TRUE()</f>
        <v>1</v>
      </c>
    </row>
    <row r="4161" customFormat="false" ht="15" hidden="false" customHeight="false" outlineLevel="0" collapsed="false">
      <c r="A4161" s="62" t="n">
        <v>1</v>
      </c>
      <c r="B4161" s="21" t="s">
        <v>336</v>
      </c>
      <c r="C4161" s="62" t="s">
        <v>60</v>
      </c>
      <c r="D4161" s="62" t="s">
        <v>387</v>
      </c>
      <c r="E4161" s="62" t="s">
        <v>71</v>
      </c>
      <c r="F4161" s="62" t="s">
        <v>382</v>
      </c>
      <c r="G4161" s="63" t="s">
        <v>412</v>
      </c>
      <c r="H4161" s="64" t="n">
        <v>1608329740</v>
      </c>
      <c r="I4161" s="62" t="s">
        <v>81</v>
      </c>
      <c r="J4161" s="64" t="n">
        <v>1608329.74</v>
      </c>
      <c r="K4161" s="62" t="s">
        <v>138</v>
      </c>
      <c r="L4161" s="68" t="b">
        <f aca="false">TRUE()</f>
        <v>1</v>
      </c>
    </row>
    <row r="4162" customFormat="false" ht="15" hidden="false" customHeight="false" outlineLevel="0" collapsed="false">
      <c r="A4162" s="62" t="n">
        <v>1</v>
      </c>
      <c r="B4162" s="21" t="s">
        <v>336</v>
      </c>
      <c r="C4162" s="62" t="s">
        <v>60</v>
      </c>
      <c r="D4162" s="62" t="s">
        <v>388</v>
      </c>
      <c r="E4162" s="62" t="s">
        <v>71</v>
      </c>
      <c r="F4162" s="62" t="s">
        <v>382</v>
      </c>
      <c r="G4162" s="63" t="s">
        <v>412</v>
      </c>
      <c r="H4162" s="64" t="n">
        <v>1613329740</v>
      </c>
      <c r="I4162" s="62" t="s">
        <v>81</v>
      </c>
      <c r="J4162" s="64" t="n">
        <v>1613329.74</v>
      </c>
      <c r="K4162" s="62" t="s">
        <v>138</v>
      </c>
      <c r="L4162" s="68" t="b">
        <f aca="false">TRUE()</f>
        <v>1</v>
      </c>
    </row>
    <row r="4163" customFormat="false" ht="15" hidden="false" customHeight="false" outlineLevel="0" collapsed="false">
      <c r="A4163" s="62" t="n">
        <v>1</v>
      </c>
      <c r="B4163" s="21" t="s">
        <v>336</v>
      </c>
      <c r="C4163" s="62" t="s">
        <v>60</v>
      </c>
      <c r="D4163" s="62" t="s">
        <v>381</v>
      </c>
      <c r="E4163" s="62" t="s">
        <v>71</v>
      </c>
      <c r="F4163" s="62" t="s">
        <v>382</v>
      </c>
      <c r="G4163" s="63" t="s">
        <v>413</v>
      </c>
      <c r="H4163" s="64" t="n">
        <v>2138463248.84884</v>
      </c>
      <c r="I4163" s="62" t="s">
        <v>81</v>
      </c>
      <c r="J4163" s="64" t="n">
        <v>2138463.24884884</v>
      </c>
      <c r="K4163" s="62" t="s">
        <v>138</v>
      </c>
      <c r="L4163" s="68" t="b">
        <f aca="false">TRUE()</f>
        <v>1</v>
      </c>
    </row>
    <row r="4164" customFormat="false" ht="15" hidden="false" customHeight="false" outlineLevel="0" collapsed="false">
      <c r="A4164" s="62" t="n">
        <v>1</v>
      </c>
      <c r="B4164" s="21" t="s">
        <v>336</v>
      </c>
      <c r="C4164" s="62" t="s">
        <v>60</v>
      </c>
      <c r="D4164" s="62" t="s">
        <v>383</v>
      </c>
      <c r="E4164" s="62" t="s">
        <v>71</v>
      </c>
      <c r="F4164" s="62" t="s">
        <v>382</v>
      </c>
      <c r="G4164" s="63" t="s">
        <v>413</v>
      </c>
      <c r="H4164" s="64" t="n">
        <v>2596845757.82328</v>
      </c>
      <c r="I4164" s="62" t="s">
        <v>81</v>
      </c>
      <c r="J4164" s="64" t="n">
        <v>2596845.75782328</v>
      </c>
      <c r="K4164" s="62" t="s">
        <v>138</v>
      </c>
      <c r="L4164" s="68" t="b">
        <f aca="false">TRUE()</f>
        <v>1</v>
      </c>
    </row>
    <row r="4165" customFormat="false" ht="15" hidden="false" customHeight="false" outlineLevel="0" collapsed="false">
      <c r="A4165" s="62" t="n">
        <v>1</v>
      </c>
      <c r="B4165" s="21" t="s">
        <v>336</v>
      </c>
      <c r="C4165" s="62" t="s">
        <v>60</v>
      </c>
      <c r="D4165" s="62" t="s">
        <v>384</v>
      </c>
      <c r="E4165" s="62" t="s">
        <v>71</v>
      </c>
      <c r="F4165" s="62" t="s">
        <v>382</v>
      </c>
      <c r="G4165" s="63" t="s">
        <v>413</v>
      </c>
      <c r="H4165" s="64" t="n">
        <v>2060407089.22184</v>
      </c>
      <c r="I4165" s="62" t="s">
        <v>81</v>
      </c>
      <c r="J4165" s="64" t="n">
        <v>2060407.08922184</v>
      </c>
      <c r="K4165" s="62" t="s">
        <v>138</v>
      </c>
      <c r="L4165" s="68" t="b">
        <f aca="false">TRUE()</f>
        <v>1</v>
      </c>
    </row>
    <row r="4166" customFormat="false" ht="15" hidden="false" customHeight="false" outlineLevel="0" collapsed="false">
      <c r="A4166" s="62" t="n">
        <v>1</v>
      </c>
      <c r="B4166" s="21" t="s">
        <v>336</v>
      </c>
      <c r="C4166" s="62" t="s">
        <v>60</v>
      </c>
      <c r="D4166" s="62" t="s">
        <v>385</v>
      </c>
      <c r="E4166" s="62" t="s">
        <v>71</v>
      </c>
      <c r="F4166" s="62" t="s">
        <v>382</v>
      </c>
      <c r="G4166" s="63" t="s">
        <v>413</v>
      </c>
      <c r="H4166" s="64" t="n">
        <v>673892366.166765</v>
      </c>
      <c r="I4166" s="62" t="s">
        <v>81</v>
      </c>
      <c r="J4166" s="64" t="n">
        <v>673892.366166765</v>
      </c>
      <c r="K4166" s="62" t="s">
        <v>138</v>
      </c>
      <c r="L4166" s="68" t="b">
        <f aca="false">TRUE()</f>
        <v>1</v>
      </c>
    </row>
    <row r="4167" customFormat="false" ht="15" hidden="false" customHeight="false" outlineLevel="0" collapsed="false">
      <c r="A4167" s="62" t="n">
        <v>1</v>
      </c>
      <c r="B4167" s="21" t="s">
        <v>336</v>
      </c>
      <c r="C4167" s="62" t="s">
        <v>60</v>
      </c>
      <c r="D4167" s="62" t="s">
        <v>386</v>
      </c>
      <c r="E4167" s="62" t="s">
        <v>71</v>
      </c>
      <c r="F4167" s="62" t="s">
        <v>382</v>
      </c>
      <c r="G4167" s="63" t="s">
        <v>413</v>
      </c>
      <c r="H4167" s="64" t="n">
        <v>0</v>
      </c>
      <c r="I4167" s="62" t="s">
        <v>81</v>
      </c>
      <c r="J4167" s="64" t="n">
        <v>0</v>
      </c>
      <c r="K4167" s="62" t="s">
        <v>138</v>
      </c>
      <c r="L4167" s="68" t="b">
        <f aca="false">TRUE()</f>
        <v>1</v>
      </c>
    </row>
    <row r="4168" customFormat="false" ht="15" hidden="false" customHeight="false" outlineLevel="0" collapsed="false">
      <c r="A4168" s="62" t="n">
        <v>1</v>
      </c>
      <c r="B4168" s="21" t="s">
        <v>336</v>
      </c>
      <c r="C4168" s="62" t="s">
        <v>60</v>
      </c>
      <c r="D4168" s="62" t="s">
        <v>387</v>
      </c>
      <c r="E4168" s="62" t="s">
        <v>71</v>
      </c>
      <c r="F4168" s="62" t="s">
        <v>382</v>
      </c>
      <c r="G4168" s="63" t="s">
        <v>413</v>
      </c>
      <c r="H4168" s="64" t="n">
        <v>3001607247.11275</v>
      </c>
      <c r="I4168" s="62" t="s">
        <v>81</v>
      </c>
      <c r="J4168" s="64" t="n">
        <v>3001607.24711275</v>
      </c>
      <c r="K4168" s="62" t="s">
        <v>138</v>
      </c>
      <c r="L4168" s="68" t="b">
        <f aca="false">TRUE()</f>
        <v>1</v>
      </c>
    </row>
    <row r="4169" customFormat="false" ht="15" hidden="false" customHeight="false" outlineLevel="0" collapsed="false">
      <c r="A4169" s="62" t="n">
        <v>1</v>
      </c>
      <c r="B4169" s="21" t="s">
        <v>336</v>
      </c>
      <c r="C4169" s="62" t="s">
        <v>60</v>
      </c>
      <c r="D4169" s="62" t="s">
        <v>388</v>
      </c>
      <c r="E4169" s="62" t="s">
        <v>71</v>
      </c>
      <c r="F4169" s="62" t="s">
        <v>382</v>
      </c>
      <c r="G4169" s="63" t="s">
        <v>413</v>
      </c>
      <c r="H4169" s="64" t="n">
        <v>0</v>
      </c>
      <c r="I4169" s="62" t="s">
        <v>81</v>
      </c>
      <c r="J4169" s="64" t="n">
        <v>0</v>
      </c>
      <c r="K4169" s="62" t="s">
        <v>138</v>
      </c>
      <c r="L4169" s="68" t="b">
        <f aca="false">TRUE()</f>
        <v>1</v>
      </c>
    </row>
    <row r="4170" customFormat="false" ht="15" hidden="false" customHeight="false" outlineLevel="0" collapsed="false">
      <c r="A4170" s="62" t="n">
        <v>1</v>
      </c>
      <c r="B4170" s="21" t="s">
        <v>336</v>
      </c>
      <c r="C4170" s="62" t="s">
        <v>60</v>
      </c>
      <c r="D4170" s="62" t="s">
        <v>381</v>
      </c>
      <c r="E4170" s="62" t="s">
        <v>71</v>
      </c>
      <c r="F4170" s="62" t="s">
        <v>382</v>
      </c>
      <c r="G4170" s="63" t="s">
        <v>414</v>
      </c>
      <c r="H4170" s="64" t="n">
        <v>509586020.754019</v>
      </c>
      <c r="I4170" s="62" t="s">
        <v>81</v>
      </c>
      <c r="J4170" s="64" t="n">
        <v>509586.020754019</v>
      </c>
      <c r="K4170" s="62" t="s">
        <v>138</v>
      </c>
      <c r="L4170" s="68" t="b">
        <f aca="false">TRUE()</f>
        <v>1</v>
      </c>
    </row>
    <row r="4171" customFormat="false" ht="15" hidden="false" customHeight="false" outlineLevel="0" collapsed="false">
      <c r="A4171" s="62" t="n">
        <v>1</v>
      </c>
      <c r="B4171" s="21" t="s">
        <v>336</v>
      </c>
      <c r="C4171" s="62" t="s">
        <v>60</v>
      </c>
      <c r="D4171" s="62" t="s">
        <v>383</v>
      </c>
      <c r="E4171" s="62" t="s">
        <v>71</v>
      </c>
      <c r="F4171" s="62" t="s">
        <v>382</v>
      </c>
      <c r="G4171" s="63" t="s">
        <v>414</v>
      </c>
      <c r="H4171" s="64" t="n">
        <v>219914244.87041</v>
      </c>
      <c r="I4171" s="62" t="s">
        <v>81</v>
      </c>
      <c r="J4171" s="64" t="n">
        <v>219914.24487041</v>
      </c>
      <c r="K4171" s="62" t="s">
        <v>138</v>
      </c>
      <c r="L4171" s="68" t="b">
        <f aca="false">TRUE()</f>
        <v>1</v>
      </c>
    </row>
    <row r="4172" customFormat="false" ht="15" hidden="false" customHeight="false" outlineLevel="0" collapsed="false">
      <c r="A4172" s="62" t="n">
        <v>1</v>
      </c>
      <c r="B4172" s="21" t="s">
        <v>336</v>
      </c>
      <c r="C4172" s="62" t="s">
        <v>60</v>
      </c>
      <c r="D4172" s="62" t="s">
        <v>384</v>
      </c>
      <c r="E4172" s="62" t="s">
        <v>71</v>
      </c>
      <c r="F4172" s="62" t="s">
        <v>382</v>
      </c>
      <c r="G4172" s="63" t="s">
        <v>414</v>
      </c>
      <c r="H4172" s="64" t="n">
        <v>431849646.023377</v>
      </c>
      <c r="I4172" s="62" t="s">
        <v>81</v>
      </c>
      <c r="J4172" s="64" t="n">
        <v>431849.646023377</v>
      </c>
      <c r="K4172" s="62" t="s">
        <v>138</v>
      </c>
      <c r="L4172" s="68" t="b">
        <f aca="false">TRUE()</f>
        <v>1</v>
      </c>
    </row>
    <row r="4173" customFormat="false" ht="15" hidden="false" customHeight="false" outlineLevel="0" collapsed="false">
      <c r="A4173" s="62" t="n">
        <v>1</v>
      </c>
      <c r="B4173" s="21" t="s">
        <v>336</v>
      </c>
      <c r="C4173" s="62" t="s">
        <v>60</v>
      </c>
      <c r="D4173" s="62" t="s">
        <v>385</v>
      </c>
      <c r="E4173" s="62" t="s">
        <v>71</v>
      </c>
      <c r="F4173" s="62" t="s">
        <v>382</v>
      </c>
      <c r="G4173" s="63" t="s">
        <v>414</v>
      </c>
      <c r="H4173" s="64" t="n">
        <v>297828775.934161</v>
      </c>
      <c r="I4173" s="62" t="s">
        <v>81</v>
      </c>
      <c r="J4173" s="64" t="n">
        <v>297828.775934161</v>
      </c>
      <c r="K4173" s="62" t="s">
        <v>138</v>
      </c>
      <c r="L4173" s="68" t="b">
        <f aca="false">TRUE()</f>
        <v>1</v>
      </c>
    </row>
    <row r="4174" customFormat="false" ht="15" hidden="false" customHeight="false" outlineLevel="0" collapsed="false">
      <c r="A4174" s="62" t="n">
        <v>1</v>
      </c>
      <c r="B4174" s="21" t="s">
        <v>336</v>
      </c>
      <c r="C4174" s="62" t="s">
        <v>60</v>
      </c>
      <c r="D4174" s="62" t="s">
        <v>386</v>
      </c>
      <c r="E4174" s="62" t="s">
        <v>71</v>
      </c>
      <c r="F4174" s="62" t="s">
        <v>382</v>
      </c>
      <c r="G4174" s="63" t="s">
        <v>414</v>
      </c>
      <c r="H4174" s="64" t="n">
        <v>447076123.344288</v>
      </c>
      <c r="I4174" s="62" t="s">
        <v>81</v>
      </c>
      <c r="J4174" s="64" t="n">
        <v>447076.123344288</v>
      </c>
      <c r="K4174" s="62" t="s">
        <v>138</v>
      </c>
      <c r="L4174" s="68" t="b">
        <f aca="false">TRUE()</f>
        <v>1</v>
      </c>
    </row>
    <row r="4175" customFormat="false" ht="15" hidden="false" customHeight="false" outlineLevel="0" collapsed="false">
      <c r="A4175" s="62" t="n">
        <v>1</v>
      </c>
      <c r="B4175" s="21" t="s">
        <v>336</v>
      </c>
      <c r="C4175" s="62" t="s">
        <v>60</v>
      </c>
      <c r="D4175" s="62" t="s">
        <v>387</v>
      </c>
      <c r="E4175" s="62" t="s">
        <v>71</v>
      </c>
      <c r="F4175" s="62" t="s">
        <v>382</v>
      </c>
      <c r="G4175" s="63" t="s">
        <v>414</v>
      </c>
      <c r="H4175" s="64" t="n">
        <v>424779577.299246</v>
      </c>
      <c r="I4175" s="62" t="s">
        <v>81</v>
      </c>
      <c r="J4175" s="64" t="n">
        <v>424779.577299246</v>
      </c>
      <c r="K4175" s="62" t="s">
        <v>138</v>
      </c>
      <c r="L4175" s="68" t="b">
        <f aca="false">TRUE()</f>
        <v>1</v>
      </c>
    </row>
    <row r="4176" customFormat="false" ht="15" hidden="false" customHeight="false" outlineLevel="0" collapsed="false">
      <c r="A4176" s="62" t="n">
        <v>1</v>
      </c>
      <c r="B4176" s="21" t="s">
        <v>336</v>
      </c>
      <c r="C4176" s="62" t="s">
        <v>60</v>
      </c>
      <c r="D4176" s="62" t="s">
        <v>388</v>
      </c>
      <c r="E4176" s="62" t="s">
        <v>71</v>
      </c>
      <c r="F4176" s="62" t="s">
        <v>382</v>
      </c>
      <c r="G4176" s="63" t="s">
        <v>414</v>
      </c>
      <c r="H4176" s="64" t="n">
        <v>273963203.514</v>
      </c>
      <c r="I4176" s="62" t="s">
        <v>81</v>
      </c>
      <c r="J4176" s="64" t="n">
        <v>273963.203514</v>
      </c>
      <c r="K4176" s="62" t="s">
        <v>138</v>
      </c>
      <c r="L4176" s="68" t="b">
        <f aca="false">TRUE()</f>
        <v>1</v>
      </c>
    </row>
    <row r="4177" customFormat="false" ht="15" hidden="false" customHeight="false" outlineLevel="0" collapsed="false">
      <c r="A4177" s="62" t="n">
        <v>1</v>
      </c>
      <c r="B4177" s="21" t="s">
        <v>336</v>
      </c>
      <c r="C4177" s="62" t="s">
        <v>60</v>
      </c>
      <c r="D4177" s="62" t="s">
        <v>381</v>
      </c>
      <c r="E4177" s="62" t="s">
        <v>71</v>
      </c>
      <c r="F4177" s="62" t="s">
        <v>382</v>
      </c>
      <c r="G4177" s="63" t="s">
        <v>415</v>
      </c>
      <c r="H4177" s="64" t="n">
        <v>2279572924.70316</v>
      </c>
      <c r="I4177" s="62" t="s">
        <v>81</v>
      </c>
      <c r="J4177" s="64" t="n">
        <v>2279572.92470316</v>
      </c>
      <c r="K4177" s="62" t="s">
        <v>138</v>
      </c>
      <c r="L4177" s="68" t="b">
        <f aca="false">TRUE()</f>
        <v>1</v>
      </c>
    </row>
    <row r="4178" customFormat="false" ht="15" hidden="false" customHeight="false" outlineLevel="0" collapsed="false">
      <c r="A4178" s="62" t="n">
        <v>1</v>
      </c>
      <c r="B4178" s="21" t="s">
        <v>336</v>
      </c>
      <c r="C4178" s="62" t="s">
        <v>60</v>
      </c>
      <c r="D4178" s="62" t="s">
        <v>383</v>
      </c>
      <c r="E4178" s="62" t="s">
        <v>71</v>
      </c>
      <c r="F4178" s="62" t="s">
        <v>382</v>
      </c>
      <c r="G4178" s="63" t="s">
        <v>415</v>
      </c>
      <c r="H4178" s="64" t="n">
        <v>9751441678.36232</v>
      </c>
      <c r="I4178" s="62" t="s">
        <v>81</v>
      </c>
      <c r="J4178" s="64" t="n">
        <v>9751441.67836232</v>
      </c>
      <c r="K4178" s="62" t="s">
        <v>138</v>
      </c>
      <c r="L4178" s="68" t="b">
        <f aca="false">TRUE()</f>
        <v>1</v>
      </c>
    </row>
    <row r="4179" customFormat="false" ht="15" hidden="false" customHeight="false" outlineLevel="0" collapsed="false">
      <c r="A4179" s="62" t="n">
        <v>1</v>
      </c>
      <c r="B4179" s="21" t="s">
        <v>336</v>
      </c>
      <c r="C4179" s="62" t="s">
        <v>60</v>
      </c>
      <c r="D4179" s="62" t="s">
        <v>384</v>
      </c>
      <c r="E4179" s="62" t="s">
        <v>71</v>
      </c>
      <c r="F4179" s="62" t="s">
        <v>382</v>
      </c>
      <c r="G4179" s="63" t="s">
        <v>415</v>
      </c>
      <c r="H4179" s="64" t="n">
        <v>5830112658.70195</v>
      </c>
      <c r="I4179" s="62" t="s">
        <v>81</v>
      </c>
      <c r="J4179" s="64" t="n">
        <v>5830112.65870195</v>
      </c>
      <c r="K4179" s="62" t="s">
        <v>138</v>
      </c>
      <c r="L4179" s="68" t="b">
        <f aca="false">TRUE()</f>
        <v>1</v>
      </c>
    </row>
    <row r="4180" customFormat="false" ht="15" hidden="false" customHeight="false" outlineLevel="0" collapsed="false">
      <c r="A4180" s="62" t="n">
        <v>1</v>
      </c>
      <c r="B4180" s="21" t="s">
        <v>336</v>
      </c>
      <c r="C4180" s="62" t="s">
        <v>60</v>
      </c>
      <c r="D4180" s="62" t="s">
        <v>385</v>
      </c>
      <c r="E4180" s="62" t="s">
        <v>71</v>
      </c>
      <c r="F4180" s="62" t="s">
        <v>382</v>
      </c>
      <c r="G4180" s="63" t="s">
        <v>415</v>
      </c>
      <c r="H4180" s="64" t="n">
        <v>2006131030.14974</v>
      </c>
      <c r="I4180" s="62" t="s">
        <v>81</v>
      </c>
      <c r="J4180" s="64" t="n">
        <v>2006131.03014974</v>
      </c>
      <c r="K4180" s="62" t="s">
        <v>138</v>
      </c>
      <c r="L4180" s="68" t="b">
        <f aca="false">TRUE()</f>
        <v>1</v>
      </c>
    </row>
    <row r="4181" customFormat="false" ht="15" hidden="false" customHeight="false" outlineLevel="0" collapsed="false">
      <c r="A4181" s="62" t="n">
        <v>1</v>
      </c>
      <c r="B4181" s="21" t="s">
        <v>336</v>
      </c>
      <c r="C4181" s="62" t="s">
        <v>60</v>
      </c>
      <c r="D4181" s="62" t="s">
        <v>386</v>
      </c>
      <c r="E4181" s="62" t="s">
        <v>71</v>
      </c>
      <c r="F4181" s="62" t="s">
        <v>382</v>
      </c>
      <c r="G4181" s="63" t="s">
        <v>415</v>
      </c>
      <c r="H4181" s="64" t="n">
        <v>3786706426.73141</v>
      </c>
      <c r="I4181" s="62" t="s">
        <v>81</v>
      </c>
      <c r="J4181" s="64" t="n">
        <v>3786706.42673141</v>
      </c>
      <c r="K4181" s="62" t="s">
        <v>138</v>
      </c>
      <c r="L4181" s="68" t="b">
        <f aca="false">TRUE()</f>
        <v>1</v>
      </c>
    </row>
    <row r="4182" customFormat="false" ht="15" hidden="false" customHeight="false" outlineLevel="0" collapsed="false">
      <c r="A4182" s="62" t="n">
        <v>1</v>
      </c>
      <c r="B4182" s="21" t="s">
        <v>336</v>
      </c>
      <c r="C4182" s="62" t="s">
        <v>60</v>
      </c>
      <c r="D4182" s="62" t="s">
        <v>387</v>
      </c>
      <c r="E4182" s="62" t="s">
        <v>71</v>
      </c>
      <c r="F4182" s="62" t="s">
        <v>382</v>
      </c>
      <c r="G4182" s="63" t="s">
        <v>415</v>
      </c>
      <c r="H4182" s="64" t="n">
        <v>11252584790.0271</v>
      </c>
      <c r="I4182" s="62" t="s">
        <v>81</v>
      </c>
      <c r="J4182" s="64" t="n">
        <v>11252584.7900271</v>
      </c>
      <c r="K4182" s="62" t="s">
        <v>138</v>
      </c>
      <c r="L4182" s="68" t="b">
        <f aca="false">TRUE()</f>
        <v>1</v>
      </c>
    </row>
    <row r="4183" customFormat="false" ht="15" hidden="false" customHeight="false" outlineLevel="0" collapsed="false">
      <c r="A4183" s="62" t="n">
        <v>1</v>
      </c>
      <c r="B4183" s="21" t="s">
        <v>336</v>
      </c>
      <c r="C4183" s="62" t="s">
        <v>60</v>
      </c>
      <c r="D4183" s="62" t="s">
        <v>388</v>
      </c>
      <c r="E4183" s="62" t="s">
        <v>71</v>
      </c>
      <c r="F4183" s="62" t="s">
        <v>382</v>
      </c>
      <c r="G4183" s="63" t="s">
        <v>415</v>
      </c>
      <c r="H4183" s="64" t="n">
        <v>2656785857.09647</v>
      </c>
      <c r="I4183" s="62" t="s">
        <v>81</v>
      </c>
      <c r="J4183" s="64" t="n">
        <v>2656785.85709647</v>
      </c>
      <c r="K4183" s="62" t="s">
        <v>138</v>
      </c>
      <c r="L4183" s="68" t="b">
        <f aca="false">TRUE()</f>
        <v>1</v>
      </c>
    </row>
    <row r="4184" customFormat="false" ht="15" hidden="false" customHeight="false" outlineLevel="0" collapsed="false">
      <c r="A4184" s="62" t="n">
        <v>1</v>
      </c>
      <c r="B4184" s="21" t="s">
        <v>336</v>
      </c>
      <c r="C4184" s="62" t="s">
        <v>60</v>
      </c>
      <c r="D4184" s="62" t="s">
        <v>381</v>
      </c>
      <c r="E4184" s="62" t="s">
        <v>71</v>
      </c>
      <c r="F4184" s="62" t="s">
        <v>382</v>
      </c>
      <c r="G4184" s="63" t="s">
        <v>416</v>
      </c>
      <c r="H4184" s="64" t="n">
        <v>6535951934.30602</v>
      </c>
      <c r="I4184" s="62" t="s">
        <v>81</v>
      </c>
      <c r="J4184" s="64" t="n">
        <v>6535951.93430602</v>
      </c>
      <c r="K4184" s="62" t="s">
        <v>138</v>
      </c>
      <c r="L4184" s="68" t="b">
        <f aca="false">TRUE()</f>
        <v>1</v>
      </c>
    </row>
    <row r="4185" customFormat="false" ht="15" hidden="false" customHeight="false" outlineLevel="0" collapsed="false">
      <c r="A4185" s="62" t="n">
        <v>1</v>
      </c>
      <c r="B4185" s="21" t="s">
        <v>336</v>
      </c>
      <c r="C4185" s="62" t="s">
        <v>60</v>
      </c>
      <c r="D4185" s="62" t="s">
        <v>383</v>
      </c>
      <c r="E4185" s="62" t="s">
        <v>71</v>
      </c>
      <c r="F4185" s="62" t="s">
        <v>382</v>
      </c>
      <c r="G4185" s="63" t="s">
        <v>416</v>
      </c>
      <c r="H4185" s="64" t="n">
        <v>14177531421.056</v>
      </c>
      <c r="I4185" s="62" t="s">
        <v>81</v>
      </c>
      <c r="J4185" s="64" t="n">
        <v>14177531.421056</v>
      </c>
      <c r="K4185" s="62" t="s">
        <v>138</v>
      </c>
      <c r="L4185" s="68" t="b">
        <f aca="false">TRUE()</f>
        <v>1</v>
      </c>
    </row>
    <row r="4186" customFormat="false" ht="15" hidden="false" customHeight="false" outlineLevel="0" collapsed="false">
      <c r="A4186" s="62" t="n">
        <v>1</v>
      </c>
      <c r="B4186" s="21" t="s">
        <v>336</v>
      </c>
      <c r="C4186" s="62" t="s">
        <v>60</v>
      </c>
      <c r="D4186" s="62" t="s">
        <v>384</v>
      </c>
      <c r="E4186" s="62" t="s">
        <v>71</v>
      </c>
      <c r="F4186" s="62" t="s">
        <v>382</v>
      </c>
      <c r="G4186" s="63" t="s">
        <v>416</v>
      </c>
      <c r="H4186" s="64" t="n">
        <v>9930699133.94717</v>
      </c>
      <c r="I4186" s="62" t="s">
        <v>81</v>
      </c>
      <c r="J4186" s="64" t="n">
        <v>9930699.13394717</v>
      </c>
      <c r="K4186" s="62" t="s">
        <v>138</v>
      </c>
      <c r="L4186" s="68" t="b">
        <f aca="false">TRUE()</f>
        <v>1</v>
      </c>
    </row>
    <row r="4187" customFormat="false" ht="15" hidden="false" customHeight="false" outlineLevel="0" collapsed="false">
      <c r="A4187" s="62" t="n">
        <v>1</v>
      </c>
      <c r="B4187" s="21" t="s">
        <v>336</v>
      </c>
      <c r="C4187" s="62" t="s">
        <v>60</v>
      </c>
      <c r="D4187" s="62" t="s">
        <v>385</v>
      </c>
      <c r="E4187" s="62" t="s">
        <v>71</v>
      </c>
      <c r="F4187" s="62" t="s">
        <v>382</v>
      </c>
      <c r="G4187" s="63" t="s">
        <v>416</v>
      </c>
      <c r="H4187" s="64" t="n">
        <v>4587181912.25067</v>
      </c>
      <c r="I4187" s="62" t="s">
        <v>81</v>
      </c>
      <c r="J4187" s="64" t="n">
        <v>4587181.91225067</v>
      </c>
      <c r="K4187" s="62" t="s">
        <v>138</v>
      </c>
      <c r="L4187" s="68" t="b">
        <f aca="false">TRUE()</f>
        <v>1</v>
      </c>
    </row>
    <row r="4188" customFormat="false" ht="15" hidden="false" customHeight="false" outlineLevel="0" collapsed="false">
      <c r="A4188" s="62" t="n">
        <v>1</v>
      </c>
      <c r="B4188" s="21" t="s">
        <v>336</v>
      </c>
      <c r="C4188" s="62" t="s">
        <v>60</v>
      </c>
      <c r="D4188" s="62" t="s">
        <v>386</v>
      </c>
      <c r="E4188" s="62" t="s">
        <v>71</v>
      </c>
      <c r="F4188" s="62" t="s">
        <v>382</v>
      </c>
      <c r="G4188" s="63" t="s">
        <v>416</v>
      </c>
      <c r="H4188" s="64" t="n">
        <v>5853112290.0757</v>
      </c>
      <c r="I4188" s="62" t="s">
        <v>81</v>
      </c>
      <c r="J4188" s="64" t="n">
        <v>5853112.2900757</v>
      </c>
      <c r="K4188" s="62" t="s">
        <v>138</v>
      </c>
      <c r="L4188" s="68" t="b">
        <f aca="false">TRUE()</f>
        <v>1</v>
      </c>
    </row>
    <row r="4189" customFormat="false" ht="15" hidden="false" customHeight="false" outlineLevel="0" collapsed="false">
      <c r="A4189" s="62" t="n">
        <v>1</v>
      </c>
      <c r="B4189" s="21" t="s">
        <v>336</v>
      </c>
      <c r="C4189" s="62" t="s">
        <v>60</v>
      </c>
      <c r="D4189" s="62" t="s">
        <v>387</v>
      </c>
      <c r="E4189" s="62" t="s">
        <v>71</v>
      </c>
      <c r="F4189" s="62" t="s">
        <v>382</v>
      </c>
      <c r="G4189" s="63" t="s">
        <v>416</v>
      </c>
      <c r="H4189" s="64" t="n">
        <v>16287301354.4391</v>
      </c>
      <c r="I4189" s="62" t="s">
        <v>81</v>
      </c>
      <c r="J4189" s="64" t="n">
        <v>16287301.3544391</v>
      </c>
      <c r="K4189" s="62" t="s">
        <v>138</v>
      </c>
      <c r="L4189" s="68" t="b">
        <f aca="false">TRUE()</f>
        <v>1</v>
      </c>
    </row>
    <row r="4190" customFormat="false" ht="15" hidden="false" customHeight="false" outlineLevel="0" collapsed="false">
      <c r="A4190" s="62" t="n">
        <v>1</v>
      </c>
      <c r="B4190" s="21" t="s">
        <v>336</v>
      </c>
      <c r="C4190" s="62" t="s">
        <v>60</v>
      </c>
      <c r="D4190" s="62" t="s">
        <v>388</v>
      </c>
      <c r="E4190" s="62" t="s">
        <v>71</v>
      </c>
      <c r="F4190" s="62" t="s">
        <v>382</v>
      </c>
      <c r="G4190" s="63" t="s">
        <v>416</v>
      </c>
      <c r="H4190" s="64" t="n">
        <v>4544078800.61047</v>
      </c>
      <c r="I4190" s="62" t="s">
        <v>81</v>
      </c>
      <c r="J4190" s="64" t="n">
        <v>4544078.80061047</v>
      </c>
      <c r="K4190" s="62" t="s">
        <v>138</v>
      </c>
      <c r="L4190" s="68" t="b">
        <f aca="false">TRUE()</f>
        <v>1</v>
      </c>
    </row>
    <row r="4191" customFormat="false" ht="15" hidden="false" customHeight="false" outlineLevel="0" collapsed="false">
      <c r="A4191" s="62" t="n">
        <v>1</v>
      </c>
      <c r="B4191" s="21" t="s">
        <v>336</v>
      </c>
      <c r="C4191" s="62" t="s">
        <v>60</v>
      </c>
      <c r="D4191" s="62" t="s">
        <v>381</v>
      </c>
      <c r="E4191" s="62" t="s">
        <v>71</v>
      </c>
      <c r="F4191" s="62" t="s">
        <v>382</v>
      </c>
      <c r="G4191" s="63" t="s">
        <v>396</v>
      </c>
      <c r="H4191" s="64" t="n">
        <v>1500000000</v>
      </c>
      <c r="I4191" s="62" t="s">
        <v>81</v>
      </c>
      <c r="J4191" s="64" t="n">
        <v>1500000</v>
      </c>
      <c r="K4191" s="62" t="s">
        <v>138</v>
      </c>
      <c r="L4191" s="68" t="b">
        <f aca="false">TRUE()</f>
        <v>1</v>
      </c>
    </row>
    <row r="4192" customFormat="false" ht="15" hidden="false" customHeight="false" outlineLevel="0" collapsed="false">
      <c r="A4192" s="62" t="n">
        <v>1</v>
      </c>
      <c r="B4192" s="21" t="s">
        <v>336</v>
      </c>
      <c r="C4192" s="62" t="s">
        <v>60</v>
      </c>
      <c r="D4192" s="62" t="s">
        <v>383</v>
      </c>
      <c r="E4192" s="62" t="s">
        <v>71</v>
      </c>
      <c r="F4192" s="62" t="s">
        <v>382</v>
      </c>
      <c r="G4192" s="63" t="s">
        <v>396</v>
      </c>
      <c r="H4192" s="64" t="n">
        <v>1500000000</v>
      </c>
      <c r="I4192" s="62" t="s">
        <v>81</v>
      </c>
      <c r="J4192" s="64" t="n">
        <v>1500000</v>
      </c>
      <c r="K4192" s="62" t="s">
        <v>138</v>
      </c>
      <c r="L4192" s="68" t="b">
        <f aca="false">TRUE()</f>
        <v>1</v>
      </c>
    </row>
    <row r="4193" customFormat="false" ht="15" hidden="false" customHeight="false" outlineLevel="0" collapsed="false">
      <c r="A4193" s="62" t="n">
        <v>1</v>
      </c>
      <c r="B4193" s="21" t="s">
        <v>336</v>
      </c>
      <c r="C4193" s="62" t="s">
        <v>60</v>
      </c>
      <c r="D4193" s="62" t="s">
        <v>384</v>
      </c>
      <c r="E4193" s="62" t="s">
        <v>71</v>
      </c>
      <c r="F4193" s="62" t="s">
        <v>382</v>
      </c>
      <c r="G4193" s="63" t="s">
        <v>396</v>
      </c>
      <c r="H4193" s="64" t="n">
        <v>1500000000</v>
      </c>
      <c r="I4193" s="62" t="s">
        <v>81</v>
      </c>
      <c r="J4193" s="64" t="n">
        <v>1500000</v>
      </c>
      <c r="K4193" s="62" t="s">
        <v>138</v>
      </c>
      <c r="L4193" s="68" t="b">
        <f aca="false">TRUE()</f>
        <v>1</v>
      </c>
    </row>
    <row r="4194" customFormat="false" ht="15" hidden="false" customHeight="false" outlineLevel="0" collapsed="false">
      <c r="A4194" s="62" t="n">
        <v>1</v>
      </c>
      <c r="B4194" s="21" t="s">
        <v>336</v>
      </c>
      <c r="C4194" s="62" t="s">
        <v>60</v>
      </c>
      <c r="D4194" s="62" t="s">
        <v>385</v>
      </c>
      <c r="E4194" s="62" t="s">
        <v>71</v>
      </c>
      <c r="F4194" s="62" t="s">
        <v>382</v>
      </c>
      <c r="G4194" s="63" t="s">
        <v>396</v>
      </c>
      <c r="H4194" s="64" t="n">
        <v>1500000000</v>
      </c>
      <c r="I4194" s="62" t="s">
        <v>81</v>
      </c>
      <c r="J4194" s="64" t="n">
        <v>1500000</v>
      </c>
      <c r="K4194" s="62" t="s">
        <v>138</v>
      </c>
      <c r="L4194" s="68" t="b">
        <f aca="false">TRUE()</f>
        <v>1</v>
      </c>
    </row>
    <row r="4195" customFormat="false" ht="15" hidden="false" customHeight="false" outlineLevel="0" collapsed="false">
      <c r="A4195" s="62" t="n">
        <v>1</v>
      </c>
      <c r="B4195" s="21" t="s">
        <v>336</v>
      </c>
      <c r="C4195" s="62" t="s">
        <v>60</v>
      </c>
      <c r="D4195" s="62" t="s">
        <v>386</v>
      </c>
      <c r="E4195" s="62" t="s">
        <v>71</v>
      </c>
      <c r="F4195" s="62" t="s">
        <v>382</v>
      </c>
      <c r="G4195" s="63" t="s">
        <v>396</v>
      </c>
      <c r="H4195" s="64" t="n">
        <v>1500000000</v>
      </c>
      <c r="I4195" s="62" t="s">
        <v>81</v>
      </c>
      <c r="J4195" s="64" t="n">
        <v>1500000</v>
      </c>
      <c r="K4195" s="62" t="s">
        <v>138</v>
      </c>
      <c r="L4195" s="68" t="b">
        <f aca="false">TRUE()</f>
        <v>1</v>
      </c>
    </row>
    <row r="4196" customFormat="false" ht="15" hidden="false" customHeight="false" outlineLevel="0" collapsed="false">
      <c r="A4196" s="62" t="n">
        <v>1</v>
      </c>
      <c r="B4196" s="21" t="s">
        <v>336</v>
      </c>
      <c r="C4196" s="62" t="s">
        <v>60</v>
      </c>
      <c r="D4196" s="62" t="s">
        <v>387</v>
      </c>
      <c r="E4196" s="62" t="s">
        <v>71</v>
      </c>
      <c r="F4196" s="62" t="s">
        <v>382</v>
      </c>
      <c r="G4196" s="63" t="s">
        <v>396</v>
      </c>
      <c r="H4196" s="64" t="n">
        <v>1500000000</v>
      </c>
      <c r="I4196" s="62" t="s">
        <v>81</v>
      </c>
      <c r="J4196" s="64" t="n">
        <v>1500000</v>
      </c>
      <c r="K4196" s="62" t="s">
        <v>138</v>
      </c>
      <c r="L4196" s="68" t="b">
        <f aca="false">TRUE()</f>
        <v>1</v>
      </c>
    </row>
    <row r="4197" customFormat="false" ht="15" hidden="false" customHeight="false" outlineLevel="0" collapsed="false">
      <c r="A4197" s="62" t="n">
        <v>1</v>
      </c>
      <c r="B4197" s="21" t="s">
        <v>336</v>
      </c>
      <c r="C4197" s="62" t="s">
        <v>60</v>
      </c>
      <c r="D4197" s="62" t="s">
        <v>388</v>
      </c>
      <c r="E4197" s="62" t="s">
        <v>71</v>
      </c>
      <c r="F4197" s="62" t="s">
        <v>382</v>
      </c>
      <c r="G4197" s="63" t="s">
        <v>396</v>
      </c>
      <c r="H4197" s="64" t="n">
        <v>1500000000</v>
      </c>
      <c r="I4197" s="62" t="s">
        <v>81</v>
      </c>
      <c r="J4197" s="64" t="n">
        <v>1500000</v>
      </c>
      <c r="K4197" s="62" t="s">
        <v>138</v>
      </c>
      <c r="L4197" s="68" t="b">
        <f aca="false">TRUE()</f>
        <v>1</v>
      </c>
    </row>
    <row r="4198" customFormat="false" ht="15" hidden="false" customHeight="false" outlineLevel="0" collapsed="false">
      <c r="A4198" s="62" t="n">
        <v>1</v>
      </c>
      <c r="B4198" s="21" t="s">
        <v>336</v>
      </c>
      <c r="C4198" s="62" t="s">
        <v>60</v>
      </c>
      <c r="D4198" s="62" t="s">
        <v>381</v>
      </c>
      <c r="E4198" s="62" t="s">
        <v>71</v>
      </c>
      <c r="F4198" s="62" t="s">
        <v>382</v>
      </c>
      <c r="G4198" s="63" t="s">
        <v>417</v>
      </c>
      <c r="H4198" s="64" t="n">
        <v>1548899422.9985</v>
      </c>
      <c r="I4198" s="62" t="s">
        <v>81</v>
      </c>
      <c r="J4198" s="64" t="n">
        <v>1548899.4229985</v>
      </c>
      <c r="K4198" s="62" t="s">
        <v>138</v>
      </c>
      <c r="L4198" s="68" t="b">
        <f aca="false">TRUE()</f>
        <v>1</v>
      </c>
    </row>
    <row r="4199" customFormat="false" ht="15" hidden="false" customHeight="false" outlineLevel="0" collapsed="false">
      <c r="A4199" s="62" t="n">
        <v>1</v>
      </c>
      <c r="B4199" s="21" t="s">
        <v>336</v>
      </c>
      <c r="C4199" s="62" t="s">
        <v>60</v>
      </c>
      <c r="D4199" s="62" t="s">
        <v>383</v>
      </c>
      <c r="E4199" s="62" t="s">
        <v>71</v>
      </c>
      <c r="F4199" s="62" t="s">
        <v>382</v>
      </c>
      <c r="G4199" s="63" t="s">
        <v>417</v>
      </c>
      <c r="H4199" s="64" t="n">
        <v>422049057.288597</v>
      </c>
      <c r="I4199" s="62" t="s">
        <v>81</v>
      </c>
      <c r="J4199" s="64" t="n">
        <v>422049.057288597</v>
      </c>
      <c r="K4199" s="62" t="s">
        <v>138</v>
      </c>
      <c r="L4199" s="68" t="b">
        <f aca="false">TRUE()</f>
        <v>1</v>
      </c>
    </row>
    <row r="4200" customFormat="false" ht="15" hidden="false" customHeight="false" outlineLevel="0" collapsed="false">
      <c r="A4200" s="62" t="n">
        <v>1</v>
      </c>
      <c r="B4200" s="21" t="s">
        <v>336</v>
      </c>
      <c r="C4200" s="62" t="s">
        <v>60</v>
      </c>
      <c r="D4200" s="62" t="s">
        <v>384</v>
      </c>
      <c r="E4200" s="62" t="s">
        <v>71</v>
      </c>
      <c r="F4200" s="62" t="s">
        <v>382</v>
      </c>
      <c r="G4200" s="63" t="s">
        <v>417</v>
      </c>
      <c r="H4200" s="64" t="n">
        <v>1811994473.82468</v>
      </c>
      <c r="I4200" s="62" t="s">
        <v>81</v>
      </c>
      <c r="J4200" s="64" t="n">
        <v>1811994.47382468</v>
      </c>
      <c r="K4200" s="62" t="s">
        <v>138</v>
      </c>
      <c r="L4200" s="68" t="b">
        <f aca="false">TRUE()</f>
        <v>1</v>
      </c>
    </row>
    <row r="4201" customFormat="false" ht="15" hidden="false" customHeight="false" outlineLevel="0" collapsed="false">
      <c r="A4201" s="62" t="n">
        <v>1</v>
      </c>
      <c r="B4201" s="21" t="s">
        <v>336</v>
      </c>
      <c r="C4201" s="62" t="s">
        <v>60</v>
      </c>
      <c r="D4201" s="62" t="s">
        <v>385</v>
      </c>
      <c r="E4201" s="62" t="s">
        <v>71</v>
      </c>
      <c r="F4201" s="62" t="s">
        <v>382</v>
      </c>
      <c r="G4201" s="63" t="s">
        <v>417</v>
      </c>
      <c r="H4201" s="64" t="n">
        <v>1394189579.73629</v>
      </c>
      <c r="I4201" s="62" t="s">
        <v>81</v>
      </c>
      <c r="J4201" s="64" t="n">
        <v>1394189.57973629</v>
      </c>
      <c r="K4201" s="62" t="s">
        <v>138</v>
      </c>
      <c r="L4201" s="68" t="b">
        <f aca="false">TRUE()</f>
        <v>1</v>
      </c>
    </row>
    <row r="4202" customFormat="false" ht="15" hidden="false" customHeight="false" outlineLevel="0" collapsed="false">
      <c r="A4202" s="62" t="n">
        <v>1</v>
      </c>
      <c r="B4202" s="21" t="s">
        <v>336</v>
      </c>
      <c r="C4202" s="62" t="s">
        <v>60</v>
      </c>
      <c r="D4202" s="62" t="s">
        <v>386</v>
      </c>
      <c r="E4202" s="62" t="s">
        <v>71</v>
      </c>
      <c r="F4202" s="62" t="s">
        <v>382</v>
      </c>
      <c r="G4202" s="63" t="s">
        <v>417</v>
      </c>
      <c r="H4202" s="64" t="n">
        <v>2043696723.82883</v>
      </c>
      <c r="I4202" s="62" t="s">
        <v>81</v>
      </c>
      <c r="J4202" s="64" t="n">
        <v>2043696.72382883</v>
      </c>
      <c r="K4202" s="62" t="s">
        <v>138</v>
      </c>
      <c r="L4202" s="68" t="b">
        <f aca="false">TRUE()</f>
        <v>1</v>
      </c>
    </row>
    <row r="4203" customFormat="false" ht="15" hidden="false" customHeight="false" outlineLevel="0" collapsed="false">
      <c r="A4203" s="62" t="n">
        <v>1</v>
      </c>
      <c r="B4203" s="21" t="s">
        <v>336</v>
      </c>
      <c r="C4203" s="62" t="s">
        <v>60</v>
      </c>
      <c r="D4203" s="62" t="s">
        <v>387</v>
      </c>
      <c r="E4203" s="62" t="s">
        <v>71</v>
      </c>
      <c r="F4203" s="62" t="s">
        <v>382</v>
      </c>
      <c r="G4203" s="63" t="s">
        <v>417</v>
      </c>
      <c r="H4203" s="64" t="n">
        <v>1637713625.24983</v>
      </c>
      <c r="I4203" s="62" t="s">
        <v>81</v>
      </c>
      <c r="J4203" s="64" t="n">
        <v>1637713.62524983</v>
      </c>
      <c r="K4203" s="62" t="s">
        <v>138</v>
      </c>
      <c r="L4203" s="68" t="b">
        <f aca="false">TRUE()</f>
        <v>1</v>
      </c>
    </row>
    <row r="4204" customFormat="false" ht="15" hidden="false" customHeight="false" outlineLevel="0" collapsed="false">
      <c r="A4204" s="62" t="n">
        <v>1</v>
      </c>
      <c r="B4204" s="21" t="s">
        <v>336</v>
      </c>
      <c r="C4204" s="62" t="s">
        <v>60</v>
      </c>
      <c r="D4204" s="62" t="s">
        <v>388</v>
      </c>
      <c r="E4204" s="62" t="s">
        <v>71</v>
      </c>
      <c r="F4204" s="62" t="s">
        <v>382</v>
      </c>
      <c r="G4204" s="63" t="s">
        <v>417</v>
      </c>
      <c r="H4204" s="64" t="n">
        <v>419559088.187989</v>
      </c>
      <c r="I4204" s="62" t="s">
        <v>81</v>
      </c>
      <c r="J4204" s="64" t="n">
        <v>419559.088187989</v>
      </c>
      <c r="K4204" s="62" t="s">
        <v>138</v>
      </c>
      <c r="L4204" s="68" t="b">
        <f aca="false">TRUE()</f>
        <v>1</v>
      </c>
    </row>
    <row r="4205" customFormat="false" ht="15" hidden="false" customHeight="false" outlineLevel="0" collapsed="false">
      <c r="A4205" s="62" t="n">
        <v>1</v>
      </c>
      <c r="B4205" s="21" t="s">
        <v>336</v>
      </c>
      <c r="C4205" s="62" t="s">
        <v>60</v>
      </c>
      <c r="D4205" s="62" t="s">
        <v>381</v>
      </c>
      <c r="E4205" s="62" t="s">
        <v>71</v>
      </c>
      <c r="F4205" s="62" t="s">
        <v>382</v>
      </c>
      <c r="G4205" s="63" t="s">
        <v>398</v>
      </c>
      <c r="H4205" s="64" t="n">
        <v>649625638.04341</v>
      </c>
      <c r="I4205" s="62" t="s">
        <v>81</v>
      </c>
      <c r="J4205" s="64" t="n">
        <v>649625.63804341</v>
      </c>
      <c r="K4205" s="62" t="s">
        <v>138</v>
      </c>
      <c r="L4205" s="68" t="b">
        <f aca="false">TRUE()</f>
        <v>1</v>
      </c>
    </row>
    <row r="4206" customFormat="false" ht="15" hidden="false" customHeight="false" outlineLevel="0" collapsed="false">
      <c r="A4206" s="62" t="n">
        <v>1</v>
      </c>
      <c r="B4206" s="21" t="s">
        <v>336</v>
      </c>
      <c r="C4206" s="62" t="s">
        <v>60</v>
      </c>
      <c r="D4206" s="62" t="s">
        <v>383</v>
      </c>
      <c r="E4206" s="62" t="s">
        <v>71</v>
      </c>
      <c r="F4206" s="62" t="s">
        <v>382</v>
      </c>
      <c r="G4206" s="63" t="s">
        <v>398</v>
      </c>
      <c r="H4206" s="64" t="n">
        <v>953585564.314548</v>
      </c>
      <c r="I4206" s="62" t="s">
        <v>81</v>
      </c>
      <c r="J4206" s="64" t="n">
        <v>953585.564314548</v>
      </c>
      <c r="K4206" s="62" t="s">
        <v>138</v>
      </c>
      <c r="L4206" s="68" t="b">
        <f aca="false">TRUE()</f>
        <v>1</v>
      </c>
    </row>
    <row r="4207" customFormat="false" ht="15" hidden="false" customHeight="false" outlineLevel="0" collapsed="false">
      <c r="A4207" s="62" t="n">
        <v>1</v>
      </c>
      <c r="B4207" s="21" t="s">
        <v>336</v>
      </c>
      <c r="C4207" s="62" t="s">
        <v>60</v>
      </c>
      <c r="D4207" s="62" t="s">
        <v>384</v>
      </c>
      <c r="E4207" s="62" t="s">
        <v>71</v>
      </c>
      <c r="F4207" s="62" t="s">
        <v>382</v>
      </c>
      <c r="G4207" s="63" t="s">
        <v>398</v>
      </c>
      <c r="H4207" s="64" t="n">
        <v>738480859.841162</v>
      </c>
      <c r="I4207" s="62" t="s">
        <v>81</v>
      </c>
      <c r="J4207" s="64" t="n">
        <v>738480.859841162</v>
      </c>
      <c r="K4207" s="62" t="s">
        <v>138</v>
      </c>
      <c r="L4207" s="68" t="b">
        <f aca="false">TRUE()</f>
        <v>1</v>
      </c>
    </row>
    <row r="4208" customFormat="false" ht="15" hidden="false" customHeight="false" outlineLevel="0" collapsed="false">
      <c r="A4208" s="62" t="n">
        <v>1</v>
      </c>
      <c r="B4208" s="21" t="s">
        <v>336</v>
      </c>
      <c r="C4208" s="62" t="s">
        <v>60</v>
      </c>
      <c r="D4208" s="62" t="s">
        <v>385</v>
      </c>
      <c r="E4208" s="62" t="s">
        <v>71</v>
      </c>
      <c r="F4208" s="62" t="s">
        <v>382</v>
      </c>
      <c r="G4208" s="63" t="s">
        <v>398</v>
      </c>
      <c r="H4208" s="64" t="n">
        <v>1096919765.29762</v>
      </c>
      <c r="I4208" s="62" t="s">
        <v>81</v>
      </c>
      <c r="J4208" s="64" t="n">
        <v>1096919.76529762</v>
      </c>
      <c r="K4208" s="62" t="s">
        <v>138</v>
      </c>
      <c r="L4208" s="68" t="b">
        <f aca="false">TRUE()</f>
        <v>1</v>
      </c>
    </row>
    <row r="4209" customFormat="false" ht="15" hidden="false" customHeight="false" outlineLevel="0" collapsed="false">
      <c r="A4209" s="62" t="n">
        <v>1</v>
      </c>
      <c r="B4209" s="21" t="s">
        <v>336</v>
      </c>
      <c r="C4209" s="62" t="s">
        <v>60</v>
      </c>
      <c r="D4209" s="62" t="s">
        <v>386</v>
      </c>
      <c r="E4209" s="62" t="s">
        <v>71</v>
      </c>
      <c r="F4209" s="62" t="s">
        <v>382</v>
      </c>
      <c r="G4209" s="63" t="s">
        <v>398</v>
      </c>
      <c r="H4209" s="64" t="n">
        <v>924265.536570551</v>
      </c>
      <c r="I4209" s="62" t="s">
        <v>81</v>
      </c>
      <c r="J4209" s="64" t="n">
        <v>924.265536570551</v>
      </c>
      <c r="K4209" s="62" t="s">
        <v>138</v>
      </c>
      <c r="L4209" s="68" t="b">
        <f aca="false">TRUE()</f>
        <v>1</v>
      </c>
    </row>
    <row r="4210" customFormat="false" ht="15" hidden="false" customHeight="false" outlineLevel="0" collapsed="false">
      <c r="A4210" s="62" t="n">
        <v>1</v>
      </c>
      <c r="B4210" s="21" t="s">
        <v>336</v>
      </c>
      <c r="C4210" s="62" t="s">
        <v>60</v>
      </c>
      <c r="D4210" s="62" t="s">
        <v>387</v>
      </c>
      <c r="E4210" s="62" t="s">
        <v>71</v>
      </c>
      <c r="F4210" s="62" t="s">
        <v>382</v>
      </c>
      <c r="G4210" s="63" t="s">
        <v>398</v>
      </c>
      <c r="H4210" s="64" t="n">
        <v>881918334.082737</v>
      </c>
      <c r="I4210" s="62" t="s">
        <v>81</v>
      </c>
      <c r="J4210" s="64" t="n">
        <v>881918.334082737</v>
      </c>
      <c r="K4210" s="62" t="s">
        <v>138</v>
      </c>
      <c r="L4210" s="68" t="b">
        <f aca="false">TRUE()</f>
        <v>1</v>
      </c>
    </row>
    <row r="4211" customFormat="false" ht="15" hidden="false" customHeight="false" outlineLevel="0" collapsed="false">
      <c r="A4211" s="62" t="n">
        <v>1</v>
      </c>
      <c r="B4211" s="21" t="s">
        <v>336</v>
      </c>
      <c r="C4211" s="62" t="s">
        <v>60</v>
      </c>
      <c r="D4211" s="62" t="s">
        <v>388</v>
      </c>
      <c r="E4211" s="62" t="s">
        <v>71</v>
      </c>
      <c r="F4211" s="62" t="s">
        <v>382</v>
      </c>
      <c r="G4211" s="63" t="s">
        <v>398</v>
      </c>
      <c r="H4211" s="64" t="n">
        <v>1016670475.38809</v>
      </c>
      <c r="I4211" s="62" t="s">
        <v>81</v>
      </c>
      <c r="J4211" s="64" t="n">
        <v>1016670.47538809</v>
      </c>
      <c r="K4211" s="62" t="s">
        <v>138</v>
      </c>
      <c r="L4211" s="68" t="b">
        <f aca="false">TRUE()</f>
        <v>1</v>
      </c>
    </row>
    <row r="4212" customFormat="false" ht="15" hidden="false" customHeight="false" outlineLevel="0" collapsed="false">
      <c r="A4212" s="62" t="n">
        <v>1</v>
      </c>
      <c r="B4212" s="21" t="s">
        <v>336</v>
      </c>
      <c r="C4212" s="62" t="s">
        <v>60</v>
      </c>
      <c r="D4212" s="62" t="s">
        <v>381</v>
      </c>
      <c r="E4212" s="62" t="s">
        <v>71</v>
      </c>
      <c r="F4212" s="62" t="s">
        <v>382</v>
      </c>
      <c r="G4212" s="63" t="s">
        <v>418</v>
      </c>
      <c r="H4212" s="64" t="n">
        <v>3698525061.04191</v>
      </c>
      <c r="I4212" s="62" t="s">
        <v>81</v>
      </c>
      <c r="J4212" s="64" t="n">
        <v>3698525.06104191</v>
      </c>
      <c r="K4212" s="62" t="s">
        <v>138</v>
      </c>
      <c r="L4212" s="68" t="b">
        <f aca="false">TRUE()</f>
        <v>1</v>
      </c>
    </row>
    <row r="4213" customFormat="false" ht="15" hidden="false" customHeight="false" outlineLevel="0" collapsed="false">
      <c r="A4213" s="62" t="n">
        <v>1</v>
      </c>
      <c r="B4213" s="21" t="s">
        <v>336</v>
      </c>
      <c r="C4213" s="62" t="s">
        <v>60</v>
      </c>
      <c r="D4213" s="62" t="s">
        <v>383</v>
      </c>
      <c r="E4213" s="62" t="s">
        <v>71</v>
      </c>
      <c r="F4213" s="62" t="s">
        <v>382</v>
      </c>
      <c r="G4213" s="63" t="s">
        <v>418</v>
      </c>
      <c r="H4213" s="64" t="n">
        <v>2875634621.60315</v>
      </c>
      <c r="I4213" s="62" t="s">
        <v>81</v>
      </c>
      <c r="J4213" s="64" t="n">
        <v>2875634.62160315</v>
      </c>
      <c r="K4213" s="62" t="s">
        <v>138</v>
      </c>
      <c r="L4213" s="68" t="b">
        <f aca="false">TRUE()</f>
        <v>1</v>
      </c>
    </row>
    <row r="4214" customFormat="false" ht="15" hidden="false" customHeight="false" outlineLevel="0" collapsed="false">
      <c r="A4214" s="62" t="n">
        <v>1</v>
      </c>
      <c r="B4214" s="21" t="s">
        <v>336</v>
      </c>
      <c r="C4214" s="62" t="s">
        <v>60</v>
      </c>
      <c r="D4214" s="62" t="s">
        <v>384</v>
      </c>
      <c r="E4214" s="62" t="s">
        <v>71</v>
      </c>
      <c r="F4214" s="62" t="s">
        <v>382</v>
      </c>
      <c r="G4214" s="63" t="s">
        <v>418</v>
      </c>
      <c r="H4214" s="64" t="n">
        <v>4050475333.66584</v>
      </c>
      <c r="I4214" s="62" t="s">
        <v>81</v>
      </c>
      <c r="J4214" s="64" t="n">
        <v>4050475.33366584</v>
      </c>
      <c r="K4214" s="62" t="s">
        <v>138</v>
      </c>
      <c r="L4214" s="68" t="b">
        <f aca="false">TRUE()</f>
        <v>1</v>
      </c>
    </row>
    <row r="4215" customFormat="false" ht="15" hidden="false" customHeight="false" outlineLevel="0" collapsed="false">
      <c r="A4215" s="62" t="n">
        <v>1</v>
      </c>
      <c r="B4215" s="21" t="s">
        <v>336</v>
      </c>
      <c r="C4215" s="62" t="s">
        <v>60</v>
      </c>
      <c r="D4215" s="62" t="s">
        <v>385</v>
      </c>
      <c r="E4215" s="62" t="s">
        <v>71</v>
      </c>
      <c r="F4215" s="62" t="s">
        <v>382</v>
      </c>
      <c r="G4215" s="63" t="s">
        <v>418</v>
      </c>
      <c r="H4215" s="64" t="n">
        <v>3991109345.03391</v>
      </c>
      <c r="I4215" s="62" t="s">
        <v>81</v>
      </c>
      <c r="J4215" s="64" t="n">
        <v>3991109.34503391</v>
      </c>
      <c r="K4215" s="62" t="s">
        <v>138</v>
      </c>
      <c r="L4215" s="68" t="b">
        <f aca="false">TRUE()</f>
        <v>1</v>
      </c>
    </row>
    <row r="4216" customFormat="false" ht="15" hidden="false" customHeight="false" outlineLevel="0" collapsed="false">
      <c r="A4216" s="62" t="n">
        <v>1</v>
      </c>
      <c r="B4216" s="21" t="s">
        <v>336</v>
      </c>
      <c r="C4216" s="62" t="s">
        <v>60</v>
      </c>
      <c r="D4216" s="62" t="s">
        <v>386</v>
      </c>
      <c r="E4216" s="62" t="s">
        <v>71</v>
      </c>
      <c r="F4216" s="62" t="s">
        <v>382</v>
      </c>
      <c r="G4216" s="63" t="s">
        <v>418</v>
      </c>
      <c r="H4216" s="64" t="n">
        <v>3544620989.3654</v>
      </c>
      <c r="I4216" s="62" t="s">
        <v>81</v>
      </c>
      <c r="J4216" s="64" t="n">
        <v>3544620.9893654</v>
      </c>
      <c r="K4216" s="62" t="s">
        <v>138</v>
      </c>
      <c r="L4216" s="68" t="b">
        <f aca="false">TRUE()</f>
        <v>1</v>
      </c>
    </row>
    <row r="4217" customFormat="false" ht="15" hidden="false" customHeight="false" outlineLevel="0" collapsed="false">
      <c r="A4217" s="62" t="n">
        <v>1</v>
      </c>
      <c r="B4217" s="21" t="s">
        <v>336</v>
      </c>
      <c r="C4217" s="62" t="s">
        <v>60</v>
      </c>
      <c r="D4217" s="62" t="s">
        <v>387</v>
      </c>
      <c r="E4217" s="62" t="s">
        <v>71</v>
      </c>
      <c r="F4217" s="62" t="s">
        <v>382</v>
      </c>
      <c r="G4217" s="63" t="s">
        <v>418</v>
      </c>
      <c r="H4217" s="64" t="n">
        <v>4019631959.33256</v>
      </c>
      <c r="I4217" s="62" t="s">
        <v>81</v>
      </c>
      <c r="J4217" s="64" t="n">
        <v>4019631.95933256</v>
      </c>
      <c r="K4217" s="62" t="s">
        <v>138</v>
      </c>
      <c r="L4217" s="68" t="b">
        <f aca="false">TRUE()</f>
        <v>1</v>
      </c>
    </row>
    <row r="4218" customFormat="false" ht="15" hidden="false" customHeight="false" outlineLevel="0" collapsed="false">
      <c r="A4218" s="62" t="n">
        <v>1</v>
      </c>
      <c r="B4218" s="21" t="s">
        <v>336</v>
      </c>
      <c r="C4218" s="62" t="s">
        <v>60</v>
      </c>
      <c r="D4218" s="62" t="s">
        <v>388</v>
      </c>
      <c r="E4218" s="62" t="s">
        <v>71</v>
      </c>
      <c r="F4218" s="62" t="s">
        <v>382</v>
      </c>
      <c r="G4218" s="63" t="s">
        <v>418</v>
      </c>
      <c r="H4218" s="64" t="n">
        <v>2936229563.57608</v>
      </c>
      <c r="I4218" s="62" t="s">
        <v>81</v>
      </c>
      <c r="J4218" s="64" t="n">
        <v>2936229.56357608</v>
      </c>
      <c r="K4218" s="62" t="s">
        <v>138</v>
      </c>
      <c r="L4218" s="68" t="b">
        <f aca="false">TRUE()</f>
        <v>1</v>
      </c>
    </row>
    <row r="4219" customFormat="false" ht="15" hidden="false" customHeight="false" outlineLevel="0" collapsed="false">
      <c r="A4219" s="62" t="n">
        <v>1</v>
      </c>
      <c r="B4219" s="21" t="s">
        <v>336</v>
      </c>
      <c r="C4219" s="62" t="s">
        <v>60</v>
      </c>
      <c r="D4219" s="62" t="s">
        <v>381</v>
      </c>
      <c r="E4219" s="62" t="s">
        <v>71</v>
      </c>
      <c r="F4219" s="62" t="s">
        <v>382</v>
      </c>
      <c r="G4219" s="63" t="s">
        <v>420</v>
      </c>
      <c r="H4219" s="64" t="n">
        <v>0</v>
      </c>
      <c r="I4219" s="62" t="s">
        <v>81</v>
      </c>
      <c r="J4219" s="64" t="n">
        <v>0</v>
      </c>
      <c r="K4219" s="62" t="s">
        <v>138</v>
      </c>
      <c r="L4219" s="68" t="b">
        <f aca="false">TRUE()</f>
        <v>1</v>
      </c>
    </row>
    <row r="4220" customFormat="false" ht="15" hidden="false" customHeight="false" outlineLevel="0" collapsed="false">
      <c r="A4220" s="62" t="n">
        <v>1</v>
      </c>
      <c r="B4220" s="21" t="s">
        <v>336</v>
      </c>
      <c r="C4220" s="62" t="s">
        <v>60</v>
      </c>
      <c r="D4220" s="62" t="s">
        <v>383</v>
      </c>
      <c r="E4220" s="62" t="s">
        <v>71</v>
      </c>
      <c r="F4220" s="62" t="s">
        <v>382</v>
      </c>
      <c r="G4220" s="63" t="s">
        <v>420</v>
      </c>
      <c r="H4220" s="64" t="n">
        <v>0</v>
      </c>
      <c r="I4220" s="62" t="s">
        <v>81</v>
      </c>
      <c r="J4220" s="64" t="n">
        <v>0</v>
      </c>
      <c r="K4220" s="62" t="s">
        <v>138</v>
      </c>
      <c r="L4220" s="68" t="b">
        <f aca="false">TRUE()</f>
        <v>1</v>
      </c>
    </row>
    <row r="4221" customFormat="false" ht="15" hidden="false" customHeight="false" outlineLevel="0" collapsed="false">
      <c r="A4221" s="62" t="n">
        <v>1</v>
      </c>
      <c r="B4221" s="21" t="s">
        <v>336</v>
      </c>
      <c r="C4221" s="62" t="s">
        <v>60</v>
      </c>
      <c r="D4221" s="62" t="s">
        <v>384</v>
      </c>
      <c r="E4221" s="62" t="s">
        <v>71</v>
      </c>
      <c r="F4221" s="62" t="s">
        <v>382</v>
      </c>
      <c r="G4221" s="63" t="s">
        <v>420</v>
      </c>
      <c r="H4221" s="64" t="n">
        <v>0</v>
      </c>
      <c r="I4221" s="62" t="s">
        <v>81</v>
      </c>
      <c r="J4221" s="64" t="n">
        <v>0</v>
      </c>
      <c r="K4221" s="62" t="s">
        <v>138</v>
      </c>
      <c r="L4221" s="68" t="b">
        <f aca="false">TRUE()</f>
        <v>1</v>
      </c>
    </row>
    <row r="4222" customFormat="false" ht="15" hidden="false" customHeight="false" outlineLevel="0" collapsed="false">
      <c r="A4222" s="62" t="n">
        <v>1</v>
      </c>
      <c r="B4222" s="21" t="s">
        <v>336</v>
      </c>
      <c r="C4222" s="62" t="s">
        <v>60</v>
      </c>
      <c r="D4222" s="62" t="s">
        <v>385</v>
      </c>
      <c r="E4222" s="62" t="s">
        <v>71</v>
      </c>
      <c r="F4222" s="62" t="s">
        <v>382</v>
      </c>
      <c r="G4222" s="63" t="s">
        <v>420</v>
      </c>
      <c r="H4222" s="64" t="n">
        <v>0</v>
      </c>
      <c r="I4222" s="62" t="s">
        <v>81</v>
      </c>
      <c r="J4222" s="64" t="n">
        <v>0</v>
      </c>
      <c r="K4222" s="62" t="s">
        <v>138</v>
      </c>
      <c r="L4222" s="68" t="b">
        <f aca="false">TRUE()</f>
        <v>1</v>
      </c>
    </row>
    <row r="4223" customFormat="false" ht="15" hidden="false" customHeight="false" outlineLevel="0" collapsed="false">
      <c r="A4223" s="62" t="n">
        <v>1</v>
      </c>
      <c r="B4223" s="21" t="s">
        <v>336</v>
      </c>
      <c r="C4223" s="62" t="s">
        <v>60</v>
      </c>
      <c r="D4223" s="62" t="s">
        <v>386</v>
      </c>
      <c r="E4223" s="62" t="s">
        <v>71</v>
      </c>
      <c r="F4223" s="62" t="s">
        <v>382</v>
      </c>
      <c r="G4223" s="63" t="s">
        <v>420</v>
      </c>
      <c r="H4223" s="64" t="n">
        <v>0</v>
      </c>
      <c r="I4223" s="62" t="s">
        <v>81</v>
      </c>
      <c r="J4223" s="64" t="n">
        <v>0</v>
      </c>
      <c r="K4223" s="62" t="s">
        <v>138</v>
      </c>
      <c r="L4223" s="68" t="b">
        <f aca="false">TRUE()</f>
        <v>1</v>
      </c>
    </row>
    <row r="4224" customFormat="false" ht="15" hidden="false" customHeight="false" outlineLevel="0" collapsed="false">
      <c r="A4224" s="62" t="n">
        <v>1</v>
      </c>
      <c r="B4224" s="21" t="s">
        <v>336</v>
      </c>
      <c r="C4224" s="62" t="s">
        <v>60</v>
      </c>
      <c r="D4224" s="62" t="s">
        <v>387</v>
      </c>
      <c r="E4224" s="62" t="s">
        <v>71</v>
      </c>
      <c r="F4224" s="62" t="s">
        <v>382</v>
      </c>
      <c r="G4224" s="63" t="s">
        <v>420</v>
      </c>
      <c r="H4224" s="64" t="n">
        <v>0</v>
      </c>
      <c r="I4224" s="62" t="s">
        <v>81</v>
      </c>
      <c r="J4224" s="64" t="n">
        <v>0</v>
      </c>
      <c r="K4224" s="62" t="s">
        <v>138</v>
      </c>
      <c r="L4224" s="68" t="b">
        <f aca="false">TRUE()</f>
        <v>1</v>
      </c>
    </row>
    <row r="4225" customFormat="false" ht="15" hidden="false" customHeight="false" outlineLevel="0" collapsed="false">
      <c r="A4225" s="62" t="n">
        <v>1</v>
      </c>
      <c r="B4225" s="21" t="s">
        <v>336</v>
      </c>
      <c r="C4225" s="62" t="s">
        <v>60</v>
      </c>
      <c r="D4225" s="62" t="s">
        <v>388</v>
      </c>
      <c r="E4225" s="62" t="s">
        <v>71</v>
      </c>
      <c r="F4225" s="62" t="s">
        <v>382</v>
      </c>
      <c r="G4225" s="63" t="s">
        <v>420</v>
      </c>
      <c r="H4225" s="64" t="n">
        <v>0</v>
      </c>
      <c r="I4225" s="62" t="s">
        <v>81</v>
      </c>
      <c r="J4225" s="64" t="n">
        <v>0</v>
      </c>
      <c r="K4225" s="62" t="s">
        <v>138</v>
      </c>
      <c r="L4225" s="68" t="b">
        <f aca="false">TRUE()</f>
        <v>1</v>
      </c>
    </row>
    <row r="4226" customFormat="false" ht="15" hidden="false" customHeight="false" outlineLevel="0" collapsed="false">
      <c r="A4226" s="62" t="n">
        <v>1</v>
      </c>
      <c r="B4226" s="21" t="s">
        <v>336</v>
      </c>
      <c r="C4226" s="62" t="s">
        <v>60</v>
      </c>
      <c r="D4226" s="62" t="s">
        <v>381</v>
      </c>
      <c r="E4226" s="62" t="s">
        <v>71</v>
      </c>
      <c r="F4226" s="62" t="s">
        <v>382</v>
      </c>
      <c r="G4226" s="63" t="s">
        <v>421</v>
      </c>
      <c r="H4226" s="64" t="n">
        <v>2400000000</v>
      </c>
      <c r="I4226" s="62" t="s">
        <v>81</v>
      </c>
      <c r="J4226" s="64" t="n">
        <v>2400000</v>
      </c>
      <c r="K4226" s="62" t="s">
        <v>138</v>
      </c>
      <c r="L4226" s="68" t="b">
        <f aca="false">TRUE()</f>
        <v>1</v>
      </c>
    </row>
    <row r="4227" customFormat="false" ht="15" hidden="false" customHeight="false" outlineLevel="0" collapsed="false">
      <c r="A4227" s="62" t="n">
        <v>1</v>
      </c>
      <c r="B4227" s="21" t="s">
        <v>336</v>
      </c>
      <c r="C4227" s="62" t="s">
        <v>60</v>
      </c>
      <c r="D4227" s="62" t="s">
        <v>383</v>
      </c>
      <c r="E4227" s="62" t="s">
        <v>71</v>
      </c>
      <c r="F4227" s="62" t="s">
        <v>382</v>
      </c>
      <c r="G4227" s="63" t="s">
        <v>421</v>
      </c>
      <c r="H4227" s="64" t="n">
        <v>10880000000</v>
      </c>
      <c r="I4227" s="62" t="s">
        <v>81</v>
      </c>
      <c r="J4227" s="64" t="n">
        <v>10880000</v>
      </c>
      <c r="K4227" s="62" t="s">
        <v>138</v>
      </c>
      <c r="L4227" s="68" t="b">
        <f aca="false">TRUE()</f>
        <v>1</v>
      </c>
    </row>
    <row r="4228" customFormat="false" ht="15" hidden="false" customHeight="false" outlineLevel="0" collapsed="false">
      <c r="A4228" s="62" t="n">
        <v>1</v>
      </c>
      <c r="B4228" s="21" t="s">
        <v>336</v>
      </c>
      <c r="C4228" s="62" t="s">
        <v>60</v>
      </c>
      <c r="D4228" s="62" t="s">
        <v>384</v>
      </c>
      <c r="E4228" s="62" t="s">
        <v>71</v>
      </c>
      <c r="F4228" s="62" t="s">
        <v>382</v>
      </c>
      <c r="G4228" s="63" t="s">
        <v>421</v>
      </c>
      <c r="H4228" s="64" t="n">
        <v>5400000000</v>
      </c>
      <c r="I4228" s="62" t="s">
        <v>81</v>
      </c>
      <c r="J4228" s="64" t="n">
        <v>5400000</v>
      </c>
      <c r="K4228" s="62" t="s">
        <v>138</v>
      </c>
      <c r="L4228" s="68" t="b">
        <f aca="false">TRUE()</f>
        <v>1</v>
      </c>
    </row>
    <row r="4229" customFormat="false" ht="15" hidden="false" customHeight="false" outlineLevel="0" collapsed="false">
      <c r="A4229" s="62" t="n">
        <v>1</v>
      </c>
      <c r="B4229" s="21" t="s">
        <v>336</v>
      </c>
      <c r="C4229" s="62" t="s">
        <v>60</v>
      </c>
      <c r="D4229" s="62" t="s">
        <v>385</v>
      </c>
      <c r="E4229" s="62" t="s">
        <v>71</v>
      </c>
      <c r="F4229" s="62" t="s">
        <v>382</v>
      </c>
      <c r="G4229" s="63" t="s">
        <v>421</v>
      </c>
      <c r="H4229" s="64" t="n">
        <v>400000000</v>
      </c>
      <c r="I4229" s="62" t="s">
        <v>81</v>
      </c>
      <c r="J4229" s="64" t="n">
        <v>400000</v>
      </c>
      <c r="K4229" s="62" t="s">
        <v>138</v>
      </c>
      <c r="L4229" s="68" t="b">
        <f aca="false">TRUE()</f>
        <v>1</v>
      </c>
    </row>
    <row r="4230" customFormat="false" ht="15" hidden="false" customHeight="false" outlineLevel="0" collapsed="false">
      <c r="A4230" s="62" t="n">
        <v>1</v>
      </c>
      <c r="B4230" s="21" t="s">
        <v>336</v>
      </c>
      <c r="C4230" s="62" t="s">
        <v>60</v>
      </c>
      <c r="D4230" s="62" t="s">
        <v>386</v>
      </c>
      <c r="E4230" s="62" t="s">
        <v>71</v>
      </c>
      <c r="F4230" s="62" t="s">
        <v>382</v>
      </c>
      <c r="G4230" s="63" t="s">
        <v>421</v>
      </c>
      <c r="H4230" s="64" t="n">
        <v>1900000000</v>
      </c>
      <c r="I4230" s="62" t="s">
        <v>81</v>
      </c>
      <c r="J4230" s="64" t="n">
        <v>1900000</v>
      </c>
      <c r="K4230" s="62" t="s">
        <v>138</v>
      </c>
      <c r="L4230" s="68" t="b">
        <f aca="false">TRUE()</f>
        <v>1</v>
      </c>
    </row>
    <row r="4231" customFormat="false" ht="15" hidden="false" customHeight="false" outlineLevel="0" collapsed="false">
      <c r="A4231" s="62" t="n">
        <v>1</v>
      </c>
      <c r="B4231" s="21" t="s">
        <v>336</v>
      </c>
      <c r="C4231" s="62" t="s">
        <v>60</v>
      </c>
      <c r="D4231" s="62" t="s">
        <v>387</v>
      </c>
      <c r="E4231" s="62" t="s">
        <v>71</v>
      </c>
      <c r="F4231" s="62" t="s">
        <v>382</v>
      </c>
      <c r="G4231" s="63" t="s">
        <v>421</v>
      </c>
      <c r="H4231" s="64" t="n">
        <v>11900000000</v>
      </c>
      <c r="I4231" s="62" t="s">
        <v>81</v>
      </c>
      <c r="J4231" s="64" t="n">
        <v>11900000</v>
      </c>
      <c r="K4231" s="62" t="s">
        <v>138</v>
      </c>
      <c r="L4231" s="68" t="b">
        <f aca="false">TRUE()</f>
        <v>1</v>
      </c>
    </row>
    <row r="4232" customFormat="false" ht="15" hidden="false" customHeight="false" outlineLevel="0" collapsed="false">
      <c r="A4232" s="62" t="n">
        <v>1</v>
      </c>
      <c r="B4232" s="21" t="s">
        <v>336</v>
      </c>
      <c r="C4232" s="62" t="s">
        <v>60</v>
      </c>
      <c r="D4232" s="62" t="s">
        <v>388</v>
      </c>
      <c r="E4232" s="62" t="s">
        <v>71</v>
      </c>
      <c r="F4232" s="62" t="s">
        <v>382</v>
      </c>
      <c r="G4232" s="63" t="s">
        <v>421</v>
      </c>
      <c r="H4232" s="64" t="n">
        <v>1400000000</v>
      </c>
      <c r="I4232" s="62" t="s">
        <v>81</v>
      </c>
      <c r="J4232" s="64" t="n">
        <v>1400000</v>
      </c>
      <c r="K4232" s="62" t="s">
        <v>138</v>
      </c>
      <c r="L4232" s="68" t="b">
        <f aca="false">TRUE()</f>
        <v>1</v>
      </c>
    </row>
    <row r="4233" customFormat="false" ht="15" hidden="false" customHeight="false" outlineLevel="0" collapsed="false">
      <c r="A4233" s="62" t="n">
        <v>1</v>
      </c>
      <c r="B4233" s="21" t="s">
        <v>336</v>
      </c>
      <c r="C4233" s="62" t="s">
        <v>60</v>
      </c>
      <c r="D4233" s="62" t="s">
        <v>381</v>
      </c>
      <c r="E4233" s="62" t="s">
        <v>71</v>
      </c>
      <c r="F4233" s="62" t="s">
        <v>382</v>
      </c>
      <c r="G4233" s="63" t="s">
        <v>422</v>
      </c>
      <c r="H4233" s="64" t="n">
        <v>437426873.264112</v>
      </c>
      <c r="I4233" s="62" t="s">
        <v>81</v>
      </c>
      <c r="J4233" s="64" t="n">
        <v>437426.873264112</v>
      </c>
      <c r="K4233" s="62" t="s">
        <v>138</v>
      </c>
      <c r="L4233" s="68" t="b">
        <f aca="false">TRUE()</f>
        <v>1</v>
      </c>
    </row>
    <row r="4234" customFormat="false" ht="15" hidden="false" customHeight="false" outlineLevel="0" collapsed="false">
      <c r="A4234" s="62" t="n">
        <v>1</v>
      </c>
      <c r="B4234" s="21" t="s">
        <v>336</v>
      </c>
      <c r="C4234" s="62" t="s">
        <v>60</v>
      </c>
      <c r="D4234" s="62" t="s">
        <v>383</v>
      </c>
      <c r="E4234" s="62" t="s">
        <v>71</v>
      </c>
      <c r="F4234" s="62" t="s">
        <v>382</v>
      </c>
      <c r="G4234" s="63" t="s">
        <v>422</v>
      </c>
      <c r="H4234" s="64" t="n">
        <v>421896799.452862</v>
      </c>
      <c r="I4234" s="62" t="s">
        <v>81</v>
      </c>
      <c r="J4234" s="64" t="n">
        <v>421896.799452862</v>
      </c>
      <c r="K4234" s="62" t="s">
        <v>138</v>
      </c>
      <c r="L4234" s="68" t="b">
        <f aca="false">TRUE()</f>
        <v>1</v>
      </c>
    </row>
    <row r="4235" customFormat="false" ht="15" hidden="false" customHeight="false" outlineLevel="0" collapsed="false">
      <c r="A4235" s="62" t="n">
        <v>1</v>
      </c>
      <c r="B4235" s="21" t="s">
        <v>336</v>
      </c>
      <c r="C4235" s="62" t="s">
        <v>60</v>
      </c>
      <c r="D4235" s="62" t="s">
        <v>384</v>
      </c>
      <c r="E4235" s="62" t="s">
        <v>71</v>
      </c>
      <c r="F4235" s="62" t="s">
        <v>382</v>
      </c>
      <c r="G4235" s="63" t="s">
        <v>422</v>
      </c>
      <c r="H4235" s="64" t="n">
        <v>480223800.281326</v>
      </c>
      <c r="I4235" s="62" t="s">
        <v>81</v>
      </c>
      <c r="J4235" s="64" t="n">
        <v>480223.800281326</v>
      </c>
      <c r="K4235" s="62" t="s">
        <v>138</v>
      </c>
      <c r="L4235" s="68" t="b">
        <f aca="false">TRUE()</f>
        <v>1</v>
      </c>
    </row>
    <row r="4236" customFormat="false" ht="15" hidden="false" customHeight="false" outlineLevel="0" collapsed="false">
      <c r="A4236" s="62" t="n">
        <v>1</v>
      </c>
      <c r="B4236" s="21" t="s">
        <v>336</v>
      </c>
      <c r="C4236" s="62" t="s">
        <v>60</v>
      </c>
      <c r="D4236" s="62" t="s">
        <v>385</v>
      </c>
      <c r="E4236" s="62" t="s">
        <v>71</v>
      </c>
      <c r="F4236" s="62" t="s">
        <v>382</v>
      </c>
      <c r="G4236" s="63" t="s">
        <v>422</v>
      </c>
      <c r="H4236" s="64" t="n">
        <v>196072567.216753</v>
      </c>
      <c r="I4236" s="62" t="s">
        <v>81</v>
      </c>
      <c r="J4236" s="64" t="n">
        <v>196072.567216753</v>
      </c>
      <c r="K4236" s="62" t="s">
        <v>138</v>
      </c>
      <c r="L4236" s="68" t="b">
        <f aca="false">TRUE()</f>
        <v>1</v>
      </c>
    </row>
    <row r="4237" customFormat="false" ht="15" hidden="false" customHeight="false" outlineLevel="0" collapsed="false">
      <c r="A4237" s="62" t="n">
        <v>1</v>
      </c>
      <c r="B4237" s="21" t="s">
        <v>336</v>
      </c>
      <c r="C4237" s="62" t="s">
        <v>60</v>
      </c>
      <c r="D4237" s="62" t="s">
        <v>386</v>
      </c>
      <c r="E4237" s="62" t="s">
        <v>71</v>
      </c>
      <c r="F4237" s="62" t="s">
        <v>382</v>
      </c>
      <c r="G4237" s="63" t="s">
        <v>422</v>
      </c>
      <c r="H4237" s="64" t="n">
        <v>408491300.710304</v>
      </c>
      <c r="I4237" s="62" t="s">
        <v>81</v>
      </c>
      <c r="J4237" s="64" t="n">
        <v>408491.300710304</v>
      </c>
      <c r="K4237" s="62" t="s">
        <v>138</v>
      </c>
      <c r="L4237" s="68" t="b">
        <f aca="false">TRUE()</f>
        <v>1</v>
      </c>
    </row>
    <row r="4238" customFormat="false" ht="15" hidden="false" customHeight="false" outlineLevel="0" collapsed="false">
      <c r="A4238" s="62" t="n">
        <v>1</v>
      </c>
      <c r="B4238" s="21" t="s">
        <v>336</v>
      </c>
      <c r="C4238" s="62" t="s">
        <v>60</v>
      </c>
      <c r="D4238" s="62" t="s">
        <v>387</v>
      </c>
      <c r="E4238" s="62" t="s">
        <v>71</v>
      </c>
      <c r="F4238" s="62" t="s">
        <v>382</v>
      </c>
      <c r="G4238" s="63" t="s">
        <v>422</v>
      </c>
      <c r="H4238" s="64" t="n">
        <v>367669395.106539</v>
      </c>
      <c r="I4238" s="62" t="s">
        <v>81</v>
      </c>
      <c r="J4238" s="64" t="n">
        <v>367669.395106539</v>
      </c>
      <c r="K4238" s="62" t="s">
        <v>138</v>
      </c>
      <c r="L4238" s="68" t="b">
        <f aca="false">TRUE()</f>
        <v>1</v>
      </c>
    </row>
    <row r="4239" customFormat="false" ht="15" hidden="false" customHeight="false" outlineLevel="0" collapsed="false">
      <c r="A4239" s="62" t="n">
        <v>1</v>
      </c>
      <c r="B4239" s="21" t="s">
        <v>336</v>
      </c>
      <c r="C4239" s="62" t="s">
        <v>60</v>
      </c>
      <c r="D4239" s="62" t="s">
        <v>388</v>
      </c>
      <c r="E4239" s="62" t="s">
        <v>71</v>
      </c>
      <c r="F4239" s="62" t="s">
        <v>382</v>
      </c>
      <c r="G4239" s="63" t="s">
        <v>422</v>
      </c>
      <c r="H4239" s="64" t="n">
        <v>207849237.034391</v>
      </c>
      <c r="I4239" s="62" t="s">
        <v>81</v>
      </c>
      <c r="J4239" s="64" t="n">
        <v>207849.237034391</v>
      </c>
      <c r="K4239" s="62" t="s">
        <v>138</v>
      </c>
      <c r="L4239" s="68" t="b">
        <f aca="false">TRUE()</f>
        <v>1</v>
      </c>
    </row>
    <row r="4240" customFormat="false" ht="15" hidden="false" customHeight="false" outlineLevel="0" collapsed="false">
      <c r="A4240" s="62" t="n">
        <v>1</v>
      </c>
      <c r="B4240" s="21" t="s">
        <v>336</v>
      </c>
      <c r="C4240" s="62" t="s">
        <v>60</v>
      </c>
      <c r="D4240" s="62" t="s">
        <v>381</v>
      </c>
      <c r="E4240" s="62" t="s">
        <v>71</v>
      </c>
      <c r="F4240" s="62" t="s">
        <v>382</v>
      </c>
      <c r="G4240" s="63" t="s">
        <v>423</v>
      </c>
      <c r="H4240" s="64" t="n">
        <v>2837426873.26411</v>
      </c>
      <c r="I4240" s="62" t="s">
        <v>81</v>
      </c>
      <c r="J4240" s="64" t="n">
        <v>2837426.87326411</v>
      </c>
      <c r="K4240" s="62" t="s">
        <v>138</v>
      </c>
      <c r="L4240" s="68" t="b">
        <f aca="false">TRUE()</f>
        <v>1</v>
      </c>
    </row>
    <row r="4241" customFormat="false" ht="15" hidden="false" customHeight="false" outlineLevel="0" collapsed="false">
      <c r="A4241" s="62" t="n">
        <v>1</v>
      </c>
      <c r="B4241" s="21" t="s">
        <v>336</v>
      </c>
      <c r="C4241" s="62" t="s">
        <v>60</v>
      </c>
      <c r="D4241" s="62" t="s">
        <v>383</v>
      </c>
      <c r="E4241" s="62" t="s">
        <v>71</v>
      </c>
      <c r="F4241" s="62" t="s">
        <v>382</v>
      </c>
      <c r="G4241" s="63" t="s">
        <v>423</v>
      </c>
      <c r="H4241" s="64" t="n">
        <v>11301896799.4529</v>
      </c>
      <c r="I4241" s="62" t="s">
        <v>81</v>
      </c>
      <c r="J4241" s="64" t="n">
        <v>11301896.7994529</v>
      </c>
      <c r="K4241" s="62" t="s">
        <v>138</v>
      </c>
      <c r="L4241" s="68" t="b">
        <f aca="false">TRUE()</f>
        <v>1</v>
      </c>
    </row>
    <row r="4242" customFormat="false" ht="15" hidden="false" customHeight="false" outlineLevel="0" collapsed="false">
      <c r="A4242" s="62" t="n">
        <v>1</v>
      </c>
      <c r="B4242" s="21" t="s">
        <v>336</v>
      </c>
      <c r="C4242" s="62" t="s">
        <v>60</v>
      </c>
      <c r="D4242" s="62" t="s">
        <v>384</v>
      </c>
      <c r="E4242" s="62" t="s">
        <v>71</v>
      </c>
      <c r="F4242" s="62" t="s">
        <v>382</v>
      </c>
      <c r="G4242" s="63" t="s">
        <v>423</v>
      </c>
      <c r="H4242" s="64" t="n">
        <v>5880223800.28133</v>
      </c>
      <c r="I4242" s="62" t="s">
        <v>81</v>
      </c>
      <c r="J4242" s="64" t="n">
        <v>5880223.80028133</v>
      </c>
      <c r="K4242" s="62" t="s">
        <v>138</v>
      </c>
      <c r="L4242" s="68" t="b">
        <f aca="false">TRUE()</f>
        <v>1</v>
      </c>
    </row>
    <row r="4243" customFormat="false" ht="15" hidden="false" customHeight="false" outlineLevel="0" collapsed="false">
      <c r="A4243" s="62" t="n">
        <v>1</v>
      </c>
      <c r="B4243" s="21" t="s">
        <v>336</v>
      </c>
      <c r="C4243" s="62" t="s">
        <v>60</v>
      </c>
      <c r="D4243" s="62" t="s">
        <v>385</v>
      </c>
      <c r="E4243" s="62" t="s">
        <v>71</v>
      </c>
      <c r="F4243" s="62" t="s">
        <v>382</v>
      </c>
      <c r="G4243" s="63" t="s">
        <v>423</v>
      </c>
      <c r="H4243" s="64" t="n">
        <v>596072567.216753</v>
      </c>
      <c r="I4243" s="62" t="s">
        <v>81</v>
      </c>
      <c r="J4243" s="64" t="n">
        <v>596072.567216753</v>
      </c>
      <c r="K4243" s="62" t="s">
        <v>138</v>
      </c>
      <c r="L4243" s="68" t="b">
        <f aca="false">TRUE()</f>
        <v>1</v>
      </c>
    </row>
    <row r="4244" customFormat="false" ht="15" hidden="false" customHeight="false" outlineLevel="0" collapsed="false">
      <c r="A4244" s="62" t="n">
        <v>1</v>
      </c>
      <c r="B4244" s="21" t="s">
        <v>336</v>
      </c>
      <c r="C4244" s="62" t="s">
        <v>60</v>
      </c>
      <c r="D4244" s="62" t="s">
        <v>386</v>
      </c>
      <c r="E4244" s="62" t="s">
        <v>71</v>
      </c>
      <c r="F4244" s="62" t="s">
        <v>382</v>
      </c>
      <c r="G4244" s="63" t="s">
        <v>423</v>
      </c>
      <c r="H4244" s="64" t="n">
        <v>2308491300.7103</v>
      </c>
      <c r="I4244" s="62" t="s">
        <v>81</v>
      </c>
      <c r="J4244" s="64" t="n">
        <v>2308491.3007103</v>
      </c>
      <c r="K4244" s="62" t="s">
        <v>138</v>
      </c>
      <c r="L4244" s="68" t="b">
        <f aca="false">TRUE()</f>
        <v>1</v>
      </c>
    </row>
    <row r="4245" customFormat="false" ht="15" hidden="false" customHeight="false" outlineLevel="0" collapsed="false">
      <c r="A4245" s="62" t="n">
        <v>1</v>
      </c>
      <c r="B4245" s="21" t="s">
        <v>336</v>
      </c>
      <c r="C4245" s="62" t="s">
        <v>60</v>
      </c>
      <c r="D4245" s="62" t="s">
        <v>387</v>
      </c>
      <c r="E4245" s="62" t="s">
        <v>71</v>
      </c>
      <c r="F4245" s="62" t="s">
        <v>382</v>
      </c>
      <c r="G4245" s="63" t="s">
        <v>423</v>
      </c>
      <c r="H4245" s="64" t="n">
        <v>12267669395.1065</v>
      </c>
      <c r="I4245" s="62" t="s">
        <v>81</v>
      </c>
      <c r="J4245" s="64" t="n">
        <v>12267669.3951065</v>
      </c>
      <c r="K4245" s="62" t="s">
        <v>138</v>
      </c>
      <c r="L4245" s="68" t="b">
        <f aca="false">TRUE()</f>
        <v>1</v>
      </c>
    </row>
    <row r="4246" customFormat="false" ht="15" hidden="false" customHeight="false" outlineLevel="0" collapsed="false">
      <c r="A4246" s="62" t="n">
        <v>1</v>
      </c>
      <c r="B4246" s="21" t="s">
        <v>336</v>
      </c>
      <c r="C4246" s="62" t="s">
        <v>60</v>
      </c>
      <c r="D4246" s="62" t="s">
        <v>388</v>
      </c>
      <c r="E4246" s="62" t="s">
        <v>71</v>
      </c>
      <c r="F4246" s="62" t="s">
        <v>382</v>
      </c>
      <c r="G4246" s="63" t="s">
        <v>423</v>
      </c>
      <c r="H4246" s="64" t="n">
        <v>1607849237.03439</v>
      </c>
      <c r="I4246" s="62" t="s">
        <v>81</v>
      </c>
      <c r="J4246" s="64" t="n">
        <v>1607849.23703439</v>
      </c>
      <c r="K4246" s="62" t="s">
        <v>138</v>
      </c>
      <c r="L4246" s="68" t="b">
        <f aca="false">TRUE()</f>
        <v>1</v>
      </c>
    </row>
    <row r="4247" customFormat="false" ht="15" hidden="false" customHeight="false" outlineLevel="0" collapsed="false">
      <c r="A4247" s="62" t="n">
        <v>1</v>
      </c>
      <c r="B4247" s="21" t="s">
        <v>336</v>
      </c>
      <c r="C4247" s="62" t="s">
        <v>60</v>
      </c>
      <c r="D4247" s="62" t="s">
        <v>381</v>
      </c>
      <c r="E4247" s="62" t="s">
        <v>71</v>
      </c>
      <c r="F4247" s="62" t="s">
        <v>382</v>
      </c>
      <c r="G4247" s="63" t="s">
        <v>399</v>
      </c>
      <c r="H4247" s="64" t="n">
        <v>6535951934.30602</v>
      </c>
      <c r="I4247" s="62" t="s">
        <v>81</v>
      </c>
      <c r="J4247" s="64" t="n">
        <v>6535951.93430602</v>
      </c>
      <c r="K4247" s="62" t="s">
        <v>138</v>
      </c>
      <c r="L4247" s="68" t="b">
        <f aca="false">TRUE()</f>
        <v>1</v>
      </c>
    </row>
    <row r="4248" customFormat="false" ht="15" hidden="false" customHeight="false" outlineLevel="0" collapsed="false">
      <c r="A4248" s="62" t="n">
        <v>1</v>
      </c>
      <c r="B4248" s="21" t="s">
        <v>336</v>
      </c>
      <c r="C4248" s="62" t="s">
        <v>60</v>
      </c>
      <c r="D4248" s="62" t="s">
        <v>383</v>
      </c>
      <c r="E4248" s="62" t="s">
        <v>71</v>
      </c>
      <c r="F4248" s="62" t="s">
        <v>382</v>
      </c>
      <c r="G4248" s="63" t="s">
        <v>399</v>
      </c>
      <c r="H4248" s="64" t="n">
        <v>14177531421.056</v>
      </c>
      <c r="I4248" s="62" t="s">
        <v>81</v>
      </c>
      <c r="J4248" s="64" t="n">
        <v>14177531.421056</v>
      </c>
      <c r="K4248" s="62" t="s">
        <v>138</v>
      </c>
      <c r="L4248" s="68" t="b">
        <f aca="false">TRUE()</f>
        <v>1</v>
      </c>
    </row>
    <row r="4249" customFormat="false" ht="15" hidden="false" customHeight="false" outlineLevel="0" collapsed="false">
      <c r="A4249" s="62" t="n">
        <v>1</v>
      </c>
      <c r="B4249" s="21" t="s">
        <v>336</v>
      </c>
      <c r="C4249" s="62" t="s">
        <v>60</v>
      </c>
      <c r="D4249" s="62" t="s">
        <v>384</v>
      </c>
      <c r="E4249" s="62" t="s">
        <v>71</v>
      </c>
      <c r="F4249" s="62" t="s">
        <v>382</v>
      </c>
      <c r="G4249" s="63" t="s">
        <v>399</v>
      </c>
      <c r="H4249" s="64" t="n">
        <v>9930699133.94717</v>
      </c>
      <c r="I4249" s="62" t="s">
        <v>81</v>
      </c>
      <c r="J4249" s="64" t="n">
        <v>9930699.13394717</v>
      </c>
      <c r="K4249" s="62" t="s">
        <v>138</v>
      </c>
      <c r="L4249" s="68" t="b">
        <f aca="false">TRUE()</f>
        <v>1</v>
      </c>
    </row>
    <row r="4250" customFormat="false" ht="15" hidden="false" customHeight="false" outlineLevel="0" collapsed="false">
      <c r="A4250" s="62" t="n">
        <v>1</v>
      </c>
      <c r="B4250" s="21" t="s">
        <v>336</v>
      </c>
      <c r="C4250" s="62" t="s">
        <v>60</v>
      </c>
      <c r="D4250" s="62" t="s">
        <v>385</v>
      </c>
      <c r="E4250" s="62" t="s">
        <v>71</v>
      </c>
      <c r="F4250" s="62" t="s">
        <v>382</v>
      </c>
      <c r="G4250" s="63" t="s">
        <v>399</v>
      </c>
      <c r="H4250" s="64" t="n">
        <v>4587181912.25067</v>
      </c>
      <c r="I4250" s="62" t="s">
        <v>81</v>
      </c>
      <c r="J4250" s="64" t="n">
        <v>4587181.91225067</v>
      </c>
      <c r="K4250" s="62" t="s">
        <v>138</v>
      </c>
      <c r="L4250" s="68" t="b">
        <f aca="false">TRUE()</f>
        <v>1</v>
      </c>
    </row>
    <row r="4251" customFormat="false" ht="15" hidden="false" customHeight="false" outlineLevel="0" collapsed="false">
      <c r="A4251" s="62" t="n">
        <v>1</v>
      </c>
      <c r="B4251" s="21" t="s">
        <v>336</v>
      </c>
      <c r="C4251" s="62" t="s">
        <v>60</v>
      </c>
      <c r="D4251" s="62" t="s">
        <v>386</v>
      </c>
      <c r="E4251" s="62" t="s">
        <v>71</v>
      </c>
      <c r="F4251" s="62" t="s">
        <v>382</v>
      </c>
      <c r="G4251" s="63" t="s">
        <v>399</v>
      </c>
      <c r="H4251" s="64" t="n">
        <v>5853112290.0757</v>
      </c>
      <c r="I4251" s="62" t="s">
        <v>81</v>
      </c>
      <c r="J4251" s="64" t="n">
        <v>5853112.2900757</v>
      </c>
      <c r="K4251" s="62" t="s">
        <v>138</v>
      </c>
      <c r="L4251" s="68" t="b">
        <f aca="false">TRUE()</f>
        <v>1</v>
      </c>
    </row>
    <row r="4252" customFormat="false" ht="15" hidden="false" customHeight="false" outlineLevel="0" collapsed="false">
      <c r="A4252" s="62" t="n">
        <v>1</v>
      </c>
      <c r="B4252" s="21" t="s">
        <v>336</v>
      </c>
      <c r="C4252" s="62" t="s">
        <v>60</v>
      </c>
      <c r="D4252" s="62" t="s">
        <v>387</v>
      </c>
      <c r="E4252" s="62" t="s">
        <v>71</v>
      </c>
      <c r="F4252" s="62" t="s">
        <v>382</v>
      </c>
      <c r="G4252" s="63" t="s">
        <v>399</v>
      </c>
      <c r="H4252" s="64" t="n">
        <v>16287301354.4391</v>
      </c>
      <c r="I4252" s="62" t="s">
        <v>81</v>
      </c>
      <c r="J4252" s="64" t="n">
        <v>16287301.3544391</v>
      </c>
      <c r="K4252" s="62" t="s">
        <v>138</v>
      </c>
      <c r="L4252" s="68" t="b">
        <f aca="false">TRUE()</f>
        <v>1</v>
      </c>
    </row>
    <row r="4253" customFormat="false" ht="15" hidden="false" customHeight="false" outlineLevel="0" collapsed="false">
      <c r="A4253" s="62" t="n">
        <v>1</v>
      </c>
      <c r="B4253" s="21" t="s">
        <v>336</v>
      </c>
      <c r="C4253" s="62" t="s">
        <v>60</v>
      </c>
      <c r="D4253" s="62" t="s">
        <v>388</v>
      </c>
      <c r="E4253" s="62" t="s">
        <v>71</v>
      </c>
      <c r="F4253" s="62" t="s">
        <v>382</v>
      </c>
      <c r="G4253" s="63" t="s">
        <v>399</v>
      </c>
      <c r="H4253" s="64" t="n">
        <v>4544078800.61047</v>
      </c>
      <c r="I4253" s="62" t="s">
        <v>81</v>
      </c>
      <c r="J4253" s="64" t="n">
        <v>4544078.80061047</v>
      </c>
      <c r="K4253" s="62" t="s">
        <v>138</v>
      </c>
      <c r="L4253" s="68" t="b">
        <f aca="false">TRUE()</f>
        <v>1</v>
      </c>
    </row>
    <row r="4254" customFormat="false" ht="15" hidden="false" customHeight="false" outlineLevel="0" collapsed="false">
      <c r="A4254" s="62" t="n">
        <v>1</v>
      </c>
      <c r="B4254" s="21" t="s">
        <v>336</v>
      </c>
      <c r="C4254" s="62" t="s">
        <v>60</v>
      </c>
      <c r="D4254" s="62" t="s">
        <v>381</v>
      </c>
      <c r="E4254" s="62" t="s">
        <v>71</v>
      </c>
      <c r="F4254" s="62" t="s">
        <v>382</v>
      </c>
      <c r="G4254" s="63" t="s">
        <v>443</v>
      </c>
      <c r="H4254" s="64" t="n">
        <v>2170731443.47295</v>
      </c>
      <c r="I4254" s="62" t="s">
        <v>81</v>
      </c>
      <c r="J4254" s="64" t="n">
        <v>2170731.44347295</v>
      </c>
      <c r="K4254" s="62" t="s">
        <v>138</v>
      </c>
      <c r="L4254" s="68" t="b">
        <f aca="false">TRUE()</f>
        <v>1</v>
      </c>
    </row>
    <row r="4255" customFormat="false" ht="15" hidden="false" customHeight="false" outlineLevel="0" collapsed="false">
      <c r="A4255" s="62" t="n">
        <v>1</v>
      </c>
      <c r="B4255" s="21" t="s">
        <v>336</v>
      </c>
      <c r="C4255" s="62" t="s">
        <v>60</v>
      </c>
      <c r="D4255" s="62" t="s">
        <v>383</v>
      </c>
      <c r="E4255" s="62" t="s">
        <v>71</v>
      </c>
      <c r="F4255" s="62" t="s">
        <v>382</v>
      </c>
      <c r="G4255" s="63" t="s">
        <v>443</v>
      </c>
      <c r="H4255" s="64" t="n">
        <v>462787898.467455</v>
      </c>
      <c r="I4255" s="62" t="s">
        <v>81</v>
      </c>
      <c r="J4255" s="64" t="n">
        <v>462787.898467455</v>
      </c>
      <c r="K4255" s="62" t="s">
        <v>138</v>
      </c>
      <c r="L4255" s="68" t="b">
        <f aca="false">TRUE()</f>
        <v>1</v>
      </c>
    </row>
    <row r="4256" customFormat="false" ht="15" hidden="false" customHeight="false" outlineLevel="0" collapsed="false">
      <c r="A4256" s="62" t="n">
        <v>1</v>
      </c>
      <c r="B4256" s="21" t="s">
        <v>336</v>
      </c>
      <c r="C4256" s="62" t="s">
        <v>60</v>
      </c>
      <c r="D4256" s="62" t="s">
        <v>384</v>
      </c>
      <c r="E4256" s="62" t="s">
        <v>71</v>
      </c>
      <c r="F4256" s="62" t="s">
        <v>382</v>
      </c>
      <c r="G4256" s="63" t="s">
        <v>443</v>
      </c>
      <c r="H4256" s="64" t="n">
        <v>2423885001.88956</v>
      </c>
      <c r="I4256" s="62" t="s">
        <v>81</v>
      </c>
      <c r="J4256" s="64" t="n">
        <v>2423885.00188956</v>
      </c>
      <c r="K4256" s="62" t="s">
        <v>138</v>
      </c>
      <c r="L4256" s="68" t="b">
        <f aca="false">TRUE()</f>
        <v>1</v>
      </c>
    </row>
    <row r="4257" customFormat="false" ht="15" hidden="false" customHeight="false" outlineLevel="0" collapsed="false">
      <c r="A4257" s="62" t="n">
        <v>1</v>
      </c>
      <c r="B4257" s="21" t="s">
        <v>336</v>
      </c>
      <c r="C4257" s="62" t="s">
        <v>60</v>
      </c>
      <c r="D4257" s="62" t="s">
        <v>385</v>
      </c>
      <c r="E4257" s="62" t="s">
        <v>71</v>
      </c>
      <c r="F4257" s="62" t="s">
        <v>382</v>
      </c>
      <c r="G4257" s="63" t="s">
        <v>443</v>
      </c>
      <c r="H4257" s="64" t="n">
        <v>1971971304.5569</v>
      </c>
      <c r="I4257" s="62" t="s">
        <v>81</v>
      </c>
      <c r="J4257" s="64" t="n">
        <v>1971971.3045569</v>
      </c>
      <c r="K4257" s="62" t="s">
        <v>138</v>
      </c>
      <c r="L4257" s="68" t="b">
        <f aca="false">TRUE()</f>
        <v>1</v>
      </c>
    </row>
    <row r="4258" customFormat="false" ht="15" hidden="false" customHeight="false" outlineLevel="0" collapsed="false">
      <c r="A4258" s="62" t="n">
        <v>1</v>
      </c>
      <c r="B4258" s="21" t="s">
        <v>336</v>
      </c>
      <c r="C4258" s="62" t="s">
        <v>60</v>
      </c>
      <c r="D4258" s="62" t="s">
        <v>386</v>
      </c>
      <c r="E4258" s="62" t="s">
        <v>71</v>
      </c>
      <c r="F4258" s="62" t="s">
        <v>382</v>
      </c>
      <c r="G4258" s="63" t="s">
        <v>443</v>
      </c>
      <c r="H4258" s="64" t="n">
        <v>2789015006.60761</v>
      </c>
      <c r="I4258" s="62" t="s">
        <v>81</v>
      </c>
      <c r="J4258" s="64" t="n">
        <v>2789015.00660761</v>
      </c>
      <c r="K4258" s="62" t="s">
        <v>138</v>
      </c>
      <c r="L4258" s="68" t="b">
        <f aca="false">TRUE()</f>
        <v>1</v>
      </c>
    </row>
    <row r="4259" customFormat="false" ht="15" hidden="false" customHeight="false" outlineLevel="0" collapsed="false">
      <c r="A4259" s="62" t="n">
        <v>1</v>
      </c>
      <c r="B4259" s="21" t="s">
        <v>336</v>
      </c>
      <c r="C4259" s="62" t="s">
        <v>60</v>
      </c>
      <c r="D4259" s="62" t="s">
        <v>387</v>
      </c>
      <c r="E4259" s="62" t="s">
        <v>71</v>
      </c>
      <c r="F4259" s="62" t="s">
        <v>382</v>
      </c>
      <c r="G4259" s="63" t="s">
        <v>443</v>
      </c>
      <c r="H4259" s="64" t="n">
        <v>2042392553.51165</v>
      </c>
      <c r="I4259" s="62" t="s">
        <v>81</v>
      </c>
      <c r="J4259" s="64" t="n">
        <v>2042392.55351165</v>
      </c>
      <c r="K4259" s="62" t="s">
        <v>138</v>
      </c>
      <c r="L4259" s="68" t="b">
        <f aca="false">TRUE()</f>
        <v>1</v>
      </c>
    </row>
    <row r="4260" customFormat="false" ht="15" hidden="false" customHeight="false" outlineLevel="0" collapsed="false">
      <c r="A4260" s="62" t="n">
        <v>1</v>
      </c>
      <c r="B4260" s="21" t="s">
        <v>336</v>
      </c>
      <c r="C4260" s="62" t="s">
        <v>60</v>
      </c>
      <c r="D4260" s="62" t="s">
        <v>388</v>
      </c>
      <c r="E4260" s="62" t="s">
        <v>71</v>
      </c>
      <c r="F4260" s="62" t="s">
        <v>382</v>
      </c>
      <c r="G4260" s="63" t="s">
        <v>443</v>
      </c>
      <c r="H4260" s="64" t="n">
        <v>654570974.751455</v>
      </c>
      <c r="I4260" s="62" t="s">
        <v>81</v>
      </c>
      <c r="J4260" s="64" t="n">
        <v>654570.974751455</v>
      </c>
      <c r="K4260" s="62" t="s">
        <v>138</v>
      </c>
      <c r="L4260" s="68" t="b">
        <f aca="false">TRUE()</f>
        <v>1</v>
      </c>
    </row>
    <row r="4261" customFormat="false" ht="15" hidden="false" customHeight="false" outlineLevel="0" collapsed="false">
      <c r="A4261" s="62" t="n">
        <v>1</v>
      </c>
      <c r="B4261" s="21" t="s">
        <v>336</v>
      </c>
      <c r="C4261" s="62" t="s">
        <v>60</v>
      </c>
      <c r="D4261" s="62" t="s">
        <v>381</v>
      </c>
      <c r="E4261" s="62" t="s">
        <v>71</v>
      </c>
      <c r="F4261" s="62" t="s">
        <v>382</v>
      </c>
      <c r="G4261" s="63" t="s">
        <v>444</v>
      </c>
      <c r="H4261" s="64" t="n">
        <v>-162604770.754019</v>
      </c>
      <c r="I4261" s="62" t="s">
        <v>81</v>
      </c>
      <c r="J4261" s="64" t="n">
        <v>-162604.770754019</v>
      </c>
      <c r="K4261" s="62" t="s">
        <v>138</v>
      </c>
      <c r="L4261" s="68" t="b">
        <f aca="false">TRUE()</f>
        <v>1</v>
      </c>
    </row>
    <row r="4262" customFormat="false" ht="15" hidden="false" customHeight="false" outlineLevel="0" collapsed="false">
      <c r="A4262" s="62" t="n">
        <v>1</v>
      </c>
      <c r="B4262" s="21" t="s">
        <v>336</v>
      </c>
      <c r="C4262" s="62" t="s">
        <v>60</v>
      </c>
      <c r="D4262" s="62" t="s">
        <v>383</v>
      </c>
      <c r="E4262" s="62" t="s">
        <v>71</v>
      </c>
      <c r="F4262" s="62" t="s">
        <v>382</v>
      </c>
      <c r="G4262" s="63" t="s">
        <v>444</v>
      </c>
      <c r="H4262" s="64" t="n">
        <v>127067005.12959</v>
      </c>
      <c r="I4262" s="62" t="s">
        <v>81</v>
      </c>
      <c r="J4262" s="64" t="n">
        <v>127067.00512959</v>
      </c>
      <c r="K4262" s="62" t="s">
        <v>138</v>
      </c>
      <c r="L4262" s="68" t="b">
        <f aca="false">TRUE()</f>
        <v>1</v>
      </c>
    </row>
    <row r="4263" customFormat="false" ht="15" hidden="false" customHeight="false" outlineLevel="0" collapsed="false">
      <c r="A4263" s="62" t="n">
        <v>1</v>
      </c>
      <c r="B4263" s="21" t="s">
        <v>336</v>
      </c>
      <c r="C4263" s="62" t="s">
        <v>60</v>
      </c>
      <c r="D4263" s="62" t="s">
        <v>384</v>
      </c>
      <c r="E4263" s="62" t="s">
        <v>71</v>
      </c>
      <c r="F4263" s="62" t="s">
        <v>382</v>
      </c>
      <c r="G4263" s="63" t="s">
        <v>444</v>
      </c>
      <c r="H4263" s="64" t="n">
        <v>-84868396.0233766</v>
      </c>
      <c r="I4263" s="62" t="s">
        <v>81</v>
      </c>
      <c r="J4263" s="64" t="n">
        <v>-84868.3960233766</v>
      </c>
      <c r="K4263" s="62" t="s">
        <v>138</v>
      </c>
      <c r="L4263" s="68" t="b">
        <f aca="false">TRUE()</f>
        <v>1</v>
      </c>
    </row>
    <row r="4264" customFormat="false" ht="15" hidden="false" customHeight="false" outlineLevel="0" collapsed="false">
      <c r="A4264" s="62" t="n">
        <v>1</v>
      </c>
      <c r="B4264" s="21" t="s">
        <v>336</v>
      </c>
      <c r="C4264" s="62" t="s">
        <v>60</v>
      </c>
      <c r="D4264" s="62" t="s">
        <v>385</v>
      </c>
      <c r="E4264" s="62" t="s">
        <v>71</v>
      </c>
      <c r="F4264" s="62" t="s">
        <v>382</v>
      </c>
      <c r="G4264" s="63" t="s">
        <v>444</v>
      </c>
      <c r="H4264" s="64" t="n">
        <v>49152474.0658396</v>
      </c>
      <c r="I4264" s="62" t="s">
        <v>81</v>
      </c>
      <c r="J4264" s="64" t="n">
        <v>49152.4740658396</v>
      </c>
      <c r="K4264" s="62" t="s">
        <v>138</v>
      </c>
      <c r="L4264" s="68" t="b">
        <f aca="false">TRUE()</f>
        <v>1</v>
      </c>
    </row>
    <row r="4265" customFormat="false" ht="15" hidden="false" customHeight="false" outlineLevel="0" collapsed="false">
      <c r="A4265" s="62" t="n">
        <v>1</v>
      </c>
      <c r="B4265" s="21" t="s">
        <v>336</v>
      </c>
      <c r="C4265" s="62" t="s">
        <v>60</v>
      </c>
      <c r="D4265" s="62" t="s">
        <v>386</v>
      </c>
      <c r="E4265" s="62" t="s">
        <v>71</v>
      </c>
      <c r="F4265" s="62" t="s">
        <v>382</v>
      </c>
      <c r="G4265" s="63" t="s">
        <v>444</v>
      </c>
      <c r="H4265" s="64" t="n">
        <v>-100094873.344288</v>
      </c>
      <c r="I4265" s="62" t="s">
        <v>81</v>
      </c>
      <c r="J4265" s="64" t="n">
        <v>-100094.873344288</v>
      </c>
      <c r="K4265" s="62" t="s">
        <v>138</v>
      </c>
      <c r="L4265" s="68" t="b">
        <f aca="false">TRUE()</f>
        <v>1</v>
      </c>
    </row>
    <row r="4266" customFormat="false" ht="15" hidden="false" customHeight="false" outlineLevel="0" collapsed="false">
      <c r="A4266" s="62" t="n">
        <v>1</v>
      </c>
      <c r="B4266" s="21" t="s">
        <v>336</v>
      </c>
      <c r="C4266" s="62" t="s">
        <v>60</v>
      </c>
      <c r="D4266" s="62" t="s">
        <v>387</v>
      </c>
      <c r="E4266" s="62" t="s">
        <v>71</v>
      </c>
      <c r="F4266" s="62" t="s">
        <v>382</v>
      </c>
      <c r="G4266" s="63" t="s">
        <v>444</v>
      </c>
      <c r="H4266" s="64" t="n">
        <v>-77798327.299246</v>
      </c>
      <c r="I4266" s="62" t="s">
        <v>81</v>
      </c>
      <c r="J4266" s="64" t="n">
        <v>-77798.327299246</v>
      </c>
      <c r="K4266" s="62" t="s">
        <v>138</v>
      </c>
      <c r="L4266" s="68" t="b">
        <f aca="false">TRUE()</f>
        <v>1</v>
      </c>
    </row>
    <row r="4267" customFormat="false" ht="15" hidden="false" customHeight="false" outlineLevel="0" collapsed="false">
      <c r="A4267" s="62" t="n">
        <v>1</v>
      </c>
      <c r="B4267" s="21" t="s">
        <v>336</v>
      </c>
      <c r="C4267" s="62" t="s">
        <v>60</v>
      </c>
      <c r="D4267" s="62" t="s">
        <v>388</v>
      </c>
      <c r="E4267" s="62" t="s">
        <v>71</v>
      </c>
      <c r="F4267" s="62" t="s">
        <v>382</v>
      </c>
      <c r="G4267" s="63" t="s">
        <v>444</v>
      </c>
      <c r="H4267" s="64" t="n">
        <v>73018046.4860001</v>
      </c>
      <c r="I4267" s="62" t="s">
        <v>81</v>
      </c>
      <c r="J4267" s="64" t="n">
        <v>73018.0464860001</v>
      </c>
      <c r="K4267" s="62" t="s">
        <v>138</v>
      </c>
      <c r="L4267" s="68" t="b">
        <f aca="false">TRUE()</f>
        <v>1</v>
      </c>
    </row>
    <row r="4268" customFormat="false" ht="15" hidden="false" customHeight="false" outlineLevel="0" collapsed="false">
      <c r="A4268" s="62" t="n">
        <v>1</v>
      </c>
      <c r="B4268" s="21" t="s">
        <v>336</v>
      </c>
      <c r="C4268" s="62" t="s">
        <v>60</v>
      </c>
      <c r="D4268" s="62" t="s">
        <v>381</v>
      </c>
      <c r="E4268" s="62" t="s">
        <v>71</v>
      </c>
      <c r="F4268" s="62" t="s">
        <v>382</v>
      </c>
      <c r="G4268" s="63" t="s">
        <v>445</v>
      </c>
      <c r="H4268" s="64" t="n">
        <v>-2138463248.84884</v>
      </c>
      <c r="I4268" s="62" t="s">
        <v>81</v>
      </c>
      <c r="J4268" s="64" t="n">
        <v>-2138463.24884884</v>
      </c>
      <c r="K4268" s="62" t="s">
        <v>138</v>
      </c>
      <c r="L4268" s="68" t="b">
        <f aca="false">TRUE()</f>
        <v>1</v>
      </c>
    </row>
    <row r="4269" customFormat="false" ht="15" hidden="false" customHeight="false" outlineLevel="0" collapsed="false">
      <c r="A4269" s="62" t="n">
        <v>1</v>
      </c>
      <c r="B4269" s="21" t="s">
        <v>336</v>
      </c>
      <c r="C4269" s="62" t="s">
        <v>60</v>
      </c>
      <c r="D4269" s="62" t="s">
        <v>383</v>
      </c>
      <c r="E4269" s="62" t="s">
        <v>71</v>
      </c>
      <c r="F4269" s="62" t="s">
        <v>382</v>
      </c>
      <c r="G4269" s="63" t="s">
        <v>445</v>
      </c>
      <c r="H4269" s="64" t="n">
        <v>-2596845757.82328</v>
      </c>
      <c r="I4269" s="62" t="s">
        <v>81</v>
      </c>
      <c r="J4269" s="64" t="n">
        <v>-2596845.75782328</v>
      </c>
      <c r="K4269" s="62" t="s">
        <v>138</v>
      </c>
      <c r="L4269" s="68" t="b">
        <f aca="false">TRUE()</f>
        <v>1</v>
      </c>
    </row>
    <row r="4270" customFormat="false" ht="15" hidden="false" customHeight="false" outlineLevel="0" collapsed="false">
      <c r="A4270" s="62" t="n">
        <v>1</v>
      </c>
      <c r="B4270" s="21" t="s">
        <v>336</v>
      </c>
      <c r="C4270" s="62" t="s">
        <v>60</v>
      </c>
      <c r="D4270" s="62" t="s">
        <v>384</v>
      </c>
      <c r="E4270" s="62" t="s">
        <v>71</v>
      </c>
      <c r="F4270" s="62" t="s">
        <v>382</v>
      </c>
      <c r="G4270" s="63" t="s">
        <v>445</v>
      </c>
      <c r="H4270" s="64" t="n">
        <v>-2060407089.22184</v>
      </c>
      <c r="I4270" s="62" t="s">
        <v>81</v>
      </c>
      <c r="J4270" s="64" t="n">
        <v>-2060407.08922184</v>
      </c>
      <c r="K4270" s="62" t="s">
        <v>138</v>
      </c>
      <c r="L4270" s="68" t="b">
        <f aca="false">TRUE()</f>
        <v>1</v>
      </c>
    </row>
    <row r="4271" customFormat="false" ht="15" hidden="false" customHeight="false" outlineLevel="0" collapsed="false">
      <c r="A4271" s="62" t="n">
        <v>1</v>
      </c>
      <c r="B4271" s="21" t="s">
        <v>336</v>
      </c>
      <c r="C4271" s="62" t="s">
        <v>60</v>
      </c>
      <c r="D4271" s="62" t="s">
        <v>385</v>
      </c>
      <c r="E4271" s="62" t="s">
        <v>71</v>
      </c>
      <c r="F4271" s="62" t="s">
        <v>382</v>
      </c>
      <c r="G4271" s="63" t="s">
        <v>445</v>
      </c>
      <c r="H4271" s="64" t="n">
        <v>-673892366.166765</v>
      </c>
      <c r="I4271" s="62" t="s">
        <v>81</v>
      </c>
      <c r="J4271" s="64" t="n">
        <v>-673892.366166765</v>
      </c>
      <c r="K4271" s="62" t="s">
        <v>138</v>
      </c>
      <c r="L4271" s="68" t="b">
        <f aca="false">TRUE()</f>
        <v>1</v>
      </c>
    </row>
    <row r="4272" customFormat="false" ht="15" hidden="false" customHeight="false" outlineLevel="0" collapsed="false">
      <c r="A4272" s="62" t="n">
        <v>1</v>
      </c>
      <c r="B4272" s="21" t="s">
        <v>336</v>
      </c>
      <c r="C4272" s="62" t="s">
        <v>60</v>
      </c>
      <c r="D4272" s="62" t="s">
        <v>386</v>
      </c>
      <c r="E4272" s="62" t="s">
        <v>71</v>
      </c>
      <c r="F4272" s="62" t="s">
        <v>382</v>
      </c>
      <c r="G4272" s="63" t="s">
        <v>445</v>
      </c>
      <c r="H4272" s="64" t="n">
        <v>0</v>
      </c>
      <c r="I4272" s="62" t="s">
        <v>81</v>
      </c>
      <c r="J4272" s="64" t="n">
        <v>0</v>
      </c>
      <c r="K4272" s="62" t="s">
        <v>138</v>
      </c>
      <c r="L4272" s="68" t="b">
        <f aca="false">TRUE()</f>
        <v>1</v>
      </c>
    </row>
    <row r="4273" customFormat="false" ht="15" hidden="false" customHeight="false" outlineLevel="0" collapsed="false">
      <c r="A4273" s="62" t="n">
        <v>1</v>
      </c>
      <c r="B4273" s="21" t="s">
        <v>336</v>
      </c>
      <c r="C4273" s="62" t="s">
        <v>60</v>
      </c>
      <c r="D4273" s="62" t="s">
        <v>387</v>
      </c>
      <c r="E4273" s="62" t="s">
        <v>71</v>
      </c>
      <c r="F4273" s="62" t="s">
        <v>382</v>
      </c>
      <c r="G4273" s="63" t="s">
        <v>445</v>
      </c>
      <c r="H4273" s="64" t="n">
        <v>-3001607247.11275</v>
      </c>
      <c r="I4273" s="62" t="s">
        <v>81</v>
      </c>
      <c r="J4273" s="64" t="n">
        <v>-3001607.24711275</v>
      </c>
      <c r="K4273" s="62" t="s">
        <v>138</v>
      </c>
      <c r="L4273" s="68" t="b">
        <f aca="false">TRUE()</f>
        <v>1</v>
      </c>
    </row>
    <row r="4274" customFormat="false" ht="15" hidden="false" customHeight="false" outlineLevel="0" collapsed="false">
      <c r="A4274" s="62" t="n">
        <v>1</v>
      </c>
      <c r="B4274" s="21" t="s">
        <v>336</v>
      </c>
      <c r="C4274" s="62" t="s">
        <v>60</v>
      </c>
      <c r="D4274" s="62" t="s">
        <v>388</v>
      </c>
      <c r="E4274" s="62" t="s">
        <v>71</v>
      </c>
      <c r="F4274" s="62" t="s">
        <v>382</v>
      </c>
      <c r="G4274" s="63" t="s">
        <v>445</v>
      </c>
      <c r="H4274" s="64" t="n">
        <v>0</v>
      </c>
      <c r="I4274" s="62" t="s">
        <v>81</v>
      </c>
      <c r="J4274" s="64" t="n">
        <v>0</v>
      </c>
      <c r="K4274" s="62" t="s">
        <v>138</v>
      </c>
      <c r="L4274" s="68" t="b">
        <f aca="false">TRUE()</f>
        <v>1</v>
      </c>
    </row>
    <row r="4275" customFormat="false" ht="15" hidden="false" customHeight="false" outlineLevel="0" collapsed="false">
      <c r="A4275" s="62" t="n">
        <v>1</v>
      </c>
      <c r="B4275" s="21" t="s">
        <v>336</v>
      </c>
      <c r="C4275" s="62" t="s">
        <v>60</v>
      </c>
      <c r="D4275" s="62" t="s">
        <v>381</v>
      </c>
      <c r="E4275" s="62" t="s">
        <v>71</v>
      </c>
      <c r="F4275" s="62" t="s">
        <v>382</v>
      </c>
      <c r="G4275" s="63" t="s">
        <v>446</v>
      </c>
      <c r="H4275" s="64" t="n">
        <v>11411331.5901765</v>
      </c>
      <c r="I4275" s="62" t="s">
        <v>81</v>
      </c>
      <c r="J4275" s="64" t="n">
        <v>11411.3315901765</v>
      </c>
      <c r="K4275" s="62" t="s">
        <v>138</v>
      </c>
      <c r="L4275" s="68" t="b">
        <f aca="false">TRUE()</f>
        <v>1</v>
      </c>
    </row>
    <row r="4276" customFormat="false" ht="15" hidden="false" customHeight="false" outlineLevel="0" collapsed="false">
      <c r="A4276" s="62" t="n">
        <v>1</v>
      </c>
      <c r="B4276" s="21" t="s">
        <v>336</v>
      </c>
      <c r="C4276" s="62" t="s">
        <v>60</v>
      </c>
      <c r="D4276" s="62" t="s">
        <v>383</v>
      </c>
      <c r="E4276" s="62" t="s">
        <v>71</v>
      </c>
      <c r="F4276" s="62" t="s">
        <v>382</v>
      </c>
      <c r="G4276" s="63" t="s">
        <v>446</v>
      </c>
      <c r="H4276" s="64" t="n">
        <v>-4118742.22107278</v>
      </c>
      <c r="I4276" s="62" t="s">
        <v>81</v>
      </c>
      <c r="J4276" s="64" t="n">
        <v>-4118.74222107278</v>
      </c>
      <c r="K4276" s="62" t="s">
        <v>138</v>
      </c>
      <c r="L4276" s="68" t="b">
        <f aca="false">TRUE()</f>
        <v>1</v>
      </c>
    </row>
    <row r="4277" customFormat="false" ht="15" hidden="false" customHeight="false" outlineLevel="0" collapsed="false">
      <c r="A4277" s="62" t="n">
        <v>1</v>
      </c>
      <c r="B4277" s="21" t="s">
        <v>336</v>
      </c>
      <c r="C4277" s="62" t="s">
        <v>60</v>
      </c>
      <c r="D4277" s="62" t="s">
        <v>384</v>
      </c>
      <c r="E4277" s="62" t="s">
        <v>71</v>
      </c>
      <c r="F4277" s="62" t="s">
        <v>382</v>
      </c>
      <c r="G4277" s="63" t="s">
        <v>446</v>
      </c>
      <c r="H4277" s="64" t="n">
        <v>54208258.6073911</v>
      </c>
      <c r="I4277" s="62" t="s">
        <v>81</v>
      </c>
      <c r="J4277" s="64" t="n">
        <v>54208.2586073911</v>
      </c>
      <c r="K4277" s="62" t="s">
        <v>138</v>
      </c>
      <c r="L4277" s="68" t="b">
        <f aca="false">TRUE()</f>
        <v>1</v>
      </c>
    </row>
    <row r="4278" customFormat="false" ht="15" hidden="false" customHeight="false" outlineLevel="0" collapsed="false">
      <c r="A4278" s="62" t="n">
        <v>1</v>
      </c>
      <c r="B4278" s="21" t="s">
        <v>336</v>
      </c>
      <c r="C4278" s="62" t="s">
        <v>60</v>
      </c>
      <c r="D4278" s="62" t="s">
        <v>385</v>
      </c>
      <c r="E4278" s="62" t="s">
        <v>71</v>
      </c>
      <c r="F4278" s="62" t="s">
        <v>382</v>
      </c>
      <c r="G4278" s="63" t="s">
        <v>446</v>
      </c>
      <c r="H4278" s="64" t="n">
        <v>-229942974.457182</v>
      </c>
      <c r="I4278" s="62" t="s">
        <v>81</v>
      </c>
      <c r="J4278" s="64" t="n">
        <v>-229942.974457182</v>
      </c>
      <c r="K4278" s="62" t="s">
        <v>138</v>
      </c>
      <c r="L4278" s="68" t="b">
        <f aca="false">TRUE()</f>
        <v>1</v>
      </c>
    </row>
    <row r="4279" customFormat="false" ht="15" hidden="false" customHeight="false" outlineLevel="0" collapsed="false">
      <c r="A4279" s="62" t="n">
        <v>1</v>
      </c>
      <c r="B4279" s="21" t="s">
        <v>336</v>
      </c>
      <c r="C4279" s="62" t="s">
        <v>60</v>
      </c>
      <c r="D4279" s="62" t="s">
        <v>386</v>
      </c>
      <c r="E4279" s="62" t="s">
        <v>71</v>
      </c>
      <c r="F4279" s="62" t="s">
        <v>382</v>
      </c>
      <c r="G4279" s="63" t="s">
        <v>446</v>
      </c>
      <c r="H4279" s="64" t="n">
        <v>-17524240.9636315</v>
      </c>
      <c r="I4279" s="62" t="s">
        <v>81</v>
      </c>
      <c r="J4279" s="64" t="n">
        <v>-17524.2409636315</v>
      </c>
      <c r="K4279" s="62" t="s">
        <v>138</v>
      </c>
      <c r="L4279" s="68" t="b">
        <f aca="false">TRUE()</f>
        <v>1</v>
      </c>
    </row>
    <row r="4280" customFormat="false" ht="15" hidden="false" customHeight="false" outlineLevel="0" collapsed="false">
      <c r="A4280" s="62" t="n">
        <v>1</v>
      </c>
      <c r="B4280" s="21" t="s">
        <v>336</v>
      </c>
      <c r="C4280" s="62" t="s">
        <v>60</v>
      </c>
      <c r="D4280" s="62" t="s">
        <v>387</v>
      </c>
      <c r="E4280" s="62" t="s">
        <v>71</v>
      </c>
      <c r="F4280" s="62" t="s">
        <v>382</v>
      </c>
      <c r="G4280" s="63" t="s">
        <v>446</v>
      </c>
      <c r="H4280" s="64" t="n">
        <v>-58346146.5673956</v>
      </c>
      <c r="I4280" s="62" t="s">
        <v>81</v>
      </c>
      <c r="J4280" s="64" t="n">
        <v>-58346.1465673956</v>
      </c>
      <c r="K4280" s="62" t="s">
        <v>138</v>
      </c>
      <c r="L4280" s="68" t="b">
        <f aca="false">TRUE()</f>
        <v>1</v>
      </c>
    </row>
    <row r="4281" customFormat="false" ht="15" hidden="false" customHeight="false" outlineLevel="0" collapsed="false">
      <c r="A4281" s="62" t="n">
        <v>1</v>
      </c>
      <c r="B4281" s="21" t="s">
        <v>336</v>
      </c>
      <c r="C4281" s="62" t="s">
        <v>60</v>
      </c>
      <c r="D4281" s="62" t="s">
        <v>388</v>
      </c>
      <c r="E4281" s="62" t="s">
        <v>71</v>
      </c>
      <c r="F4281" s="62" t="s">
        <v>382</v>
      </c>
      <c r="G4281" s="63" t="s">
        <v>446</v>
      </c>
      <c r="H4281" s="64" t="n">
        <v>-218166304.639544</v>
      </c>
      <c r="I4281" s="62" t="s">
        <v>81</v>
      </c>
      <c r="J4281" s="64" t="n">
        <v>-218166.304639544</v>
      </c>
      <c r="K4281" s="62" t="s">
        <v>138</v>
      </c>
      <c r="L4281" s="68" t="b">
        <f aca="false">TRUE()</f>
        <v>1</v>
      </c>
    </row>
    <row r="4282" customFormat="false" ht="15" hidden="false" customHeight="false" outlineLevel="0" collapsed="false">
      <c r="A4282" s="62" t="n">
        <v>1</v>
      </c>
      <c r="B4282" s="21" t="s">
        <v>336</v>
      </c>
      <c r="C4282" s="62" t="s">
        <v>60</v>
      </c>
      <c r="D4282" s="62" t="s">
        <v>381</v>
      </c>
      <c r="E4282" s="62" t="s">
        <v>71</v>
      </c>
      <c r="F4282" s="62" t="s">
        <v>382</v>
      </c>
      <c r="G4282" s="63" t="s">
        <v>447</v>
      </c>
      <c r="H4282" s="64" t="n">
        <v>72726647.1917144</v>
      </c>
      <c r="I4282" s="62" t="s">
        <v>81</v>
      </c>
      <c r="J4282" s="64" t="n">
        <v>72726.6471917144</v>
      </c>
      <c r="K4282" s="62" t="s">
        <v>138</v>
      </c>
      <c r="L4282" s="68" t="b">
        <f aca="false">TRUE()</f>
        <v>1</v>
      </c>
    </row>
    <row r="4283" customFormat="false" ht="15" hidden="false" customHeight="false" outlineLevel="0" collapsed="false">
      <c r="A4283" s="62" t="n">
        <v>1</v>
      </c>
      <c r="B4283" s="21" t="s">
        <v>336</v>
      </c>
      <c r="C4283" s="62" t="s">
        <v>60</v>
      </c>
      <c r="D4283" s="62" t="s">
        <v>383</v>
      </c>
      <c r="E4283" s="62" t="s">
        <v>71</v>
      </c>
      <c r="F4283" s="62" t="s">
        <v>382</v>
      </c>
      <c r="G4283" s="63" t="s">
        <v>447</v>
      </c>
      <c r="H4283" s="64" t="n">
        <v>278203037.917341</v>
      </c>
      <c r="I4283" s="62" t="s">
        <v>81</v>
      </c>
      <c r="J4283" s="64" t="n">
        <v>278203.037917341</v>
      </c>
      <c r="K4283" s="62" t="s">
        <v>138</v>
      </c>
      <c r="L4283" s="68" t="b">
        <f aca="false">TRUE()</f>
        <v>1</v>
      </c>
    </row>
    <row r="4284" customFormat="false" ht="15" hidden="false" customHeight="false" outlineLevel="0" collapsed="false">
      <c r="A4284" s="62" t="n">
        <v>1</v>
      </c>
      <c r="B4284" s="21" t="s">
        <v>336</v>
      </c>
      <c r="C4284" s="62" t="s">
        <v>60</v>
      </c>
      <c r="D4284" s="62" t="s">
        <v>384</v>
      </c>
      <c r="E4284" s="62" t="s">
        <v>71</v>
      </c>
      <c r="F4284" s="62" t="s">
        <v>382</v>
      </c>
      <c r="G4284" s="63" t="s">
        <v>447</v>
      </c>
      <c r="H4284" s="64" t="n">
        <v>170366489.876681</v>
      </c>
      <c r="I4284" s="62" t="s">
        <v>81</v>
      </c>
      <c r="J4284" s="64" t="n">
        <v>170366.489876681</v>
      </c>
      <c r="K4284" s="62" t="s">
        <v>138</v>
      </c>
      <c r="L4284" s="68" t="b">
        <f aca="false">TRUE()</f>
        <v>1</v>
      </c>
    </row>
    <row r="4285" customFormat="false" ht="15" hidden="false" customHeight="false" outlineLevel="0" collapsed="false">
      <c r="A4285" s="62" t="n">
        <v>1</v>
      </c>
      <c r="B4285" s="21" t="s">
        <v>336</v>
      </c>
      <c r="C4285" s="62" t="s">
        <v>60</v>
      </c>
      <c r="D4285" s="62" t="s">
        <v>385</v>
      </c>
      <c r="E4285" s="62" t="s">
        <v>71</v>
      </c>
      <c r="F4285" s="62" t="s">
        <v>382</v>
      </c>
      <c r="G4285" s="63" t="s">
        <v>447</v>
      </c>
      <c r="H4285" s="64" t="n">
        <v>65206995.0914953</v>
      </c>
      <c r="I4285" s="62" t="s">
        <v>81</v>
      </c>
      <c r="J4285" s="64" t="n">
        <v>65206.9950914953</v>
      </c>
      <c r="K4285" s="62" t="s">
        <v>138</v>
      </c>
      <c r="L4285" s="68" t="b">
        <f aca="false">TRUE()</f>
        <v>1</v>
      </c>
    </row>
    <row r="4286" customFormat="false" ht="15" hidden="false" customHeight="false" outlineLevel="0" collapsed="false">
      <c r="A4286" s="62" t="n">
        <v>1</v>
      </c>
      <c r="B4286" s="21" t="s">
        <v>336</v>
      </c>
      <c r="C4286" s="62" t="s">
        <v>60</v>
      </c>
      <c r="D4286" s="62" t="s">
        <v>386</v>
      </c>
      <c r="E4286" s="62" t="s">
        <v>71</v>
      </c>
      <c r="F4286" s="62" t="s">
        <v>382</v>
      </c>
      <c r="G4286" s="63" t="s">
        <v>447</v>
      </c>
      <c r="H4286" s="64" t="n">
        <v>114172818.497491</v>
      </c>
      <c r="I4286" s="62" t="s">
        <v>81</v>
      </c>
      <c r="J4286" s="64" t="n">
        <v>114172.818497491</v>
      </c>
      <c r="K4286" s="62" t="s">
        <v>138</v>
      </c>
      <c r="L4286" s="68" t="b">
        <f aca="false">TRUE()</f>
        <v>1</v>
      </c>
    </row>
    <row r="4287" customFormat="false" ht="15" hidden="false" customHeight="false" outlineLevel="0" collapsed="false">
      <c r="A4287" s="62" t="n">
        <v>1</v>
      </c>
      <c r="B4287" s="21" t="s">
        <v>336</v>
      </c>
      <c r="C4287" s="62" t="s">
        <v>60</v>
      </c>
      <c r="D4287" s="62" t="s">
        <v>387</v>
      </c>
      <c r="E4287" s="62" t="s">
        <v>71</v>
      </c>
      <c r="F4287" s="62" t="s">
        <v>382</v>
      </c>
      <c r="G4287" s="63" t="s">
        <v>447</v>
      </c>
      <c r="H4287" s="64" t="n">
        <v>319484473.488123</v>
      </c>
      <c r="I4287" s="62" t="s">
        <v>81</v>
      </c>
      <c r="J4287" s="64" t="n">
        <v>319484.473488123</v>
      </c>
      <c r="K4287" s="62" t="s">
        <v>138</v>
      </c>
      <c r="L4287" s="68" t="b">
        <f aca="false">TRUE()</f>
        <v>1</v>
      </c>
    </row>
    <row r="4288" customFormat="false" ht="15" hidden="false" customHeight="false" outlineLevel="0" collapsed="false">
      <c r="A4288" s="62" t="n">
        <v>1</v>
      </c>
      <c r="B4288" s="21" t="s">
        <v>336</v>
      </c>
      <c r="C4288" s="62" t="s">
        <v>60</v>
      </c>
      <c r="D4288" s="62" t="s">
        <v>388</v>
      </c>
      <c r="E4288" s="62" t="s">
        <v>71</v>
      </c>
      <c r="F4288" s="62" t="s">
        <v>382</v>
      </c>
      <c r="G4288" s="63" t="s">
        <v>447</v>
      </c>
      <c r="H4288" s="64" t="n">
        <v>83100002.8325305</v>
      </c>
      <c r="I4288" s="62" t="s">
        <v>81</v>
      </c>
      <c r="J4288" s="64" t="n">
        <v>83100.0028325305</v>
      </c>
      <c r="K4288" s="62" t="s">
        <v>138</v>
      </c>
      <c r="L4288" s="68" t="b">
        <f aca="false">TRUE()</f>
        <v>1</v>
      </c>
    </row>
    <row r="4289" customFormat="false" ht="15" hidden="false" customHeight="false" outlineLevel="0" collapsed="false">
      <c r="A4289" s="62" t="n">
        <v>1</v>
      </c>
      <c r="B4289" s="21" t="s">
        <v>336</v>
      </c>
      <c r="C4289" s="62" t="s">
        <v>60</v>
      </c>
      <c r="D4289" s="62" t="s">
        <v>381</v>
      </c>
      <c r="E4289" s="62" t="s">
        <v>71</v>
      </c>
      <c r="F4289" s="62" t="s">
        <v>382</v>
      </c>
      <c r="G4289" s="63" t="s">
        <v>448</v>
      </c>
      <c r="H4289" s="64" t="n">
        <v>-516299807.666167</v>
      </c>
      <c r="I4289" s="62" t="s">
        <v>81</v>
      </c>
      <c r="J4289" s="64" t="n">
        <v>-516299.807666167</v>
      </c>
      <c r="K4289" s="62" t="s">
        <v>138</v>
      </c>
      <c r="L4289" s="68" t="b">
        <f aca="false">TRUE()</f>
        <v>1</v>
      </c>
    </row>
    <row r="4290" customFormat="false" ht="15" hidden="false" customHeight="false" outlineLevel="0" collapsed="false">
      <c r="A4290" s="62" t="n">
        <v>1</v>
      </c>
      <c r="B4290" s="21" t="s">
        <v>336</v>
      </c>
      <c r="C4290" s="62" t="s">
        <v>60</v>
      </c>
      <c r="D4290" s="62" t="s">
        <v>383</v>
      </c>
      <c r="E4290" s="62" t="s">
        <v>71</v>
      </c>
      <c r="F4290" s="62" t="s">
        <v>382</v>
      </c>
      <c r="G4290" s="63" t="s">
        <v>448</v>
      </c>
      <c r="H4290" s="64" t="n">
        <v>-140683019.096199</v>
      </c>
      <c r="I4290" s="62" t="s">
        <v>81</v>
      </c>
      <c r="J4290" s="64" t="n">
        <v>-140683.019096199</v>
      </c>
      <c r="K4290" s="62" t="s">
        <v>138</v>
      </c>
      <c r="L4290" s="68" t="b">
        <f aca="false">TRUE()</f>
        <v>1</v>
      </c>
    </row>
    <row r="4291" customFormat="false" ht="15" hidden="false" customHeight="false" outlineLevel="0" collapsed="false">
      <c r="A4291" s="62" t="n">
        <v>1</v>
      </c>
      <c r="B4291" s="21" t="s">
        <v>336</v>
      </c>
      <c r="C4291" s="62" t="s">
        <v>60</v>
      </c>
      <c r="D4291" s="62" t="s">
        <v>384</v>
      </c>
      <c r="E4291" s="62" t="s">
        <v>71</v>
      </c>
      <c r="F4291" s="62" t="s">
        <v>382</v>
      </c>
      <c r="G4291" s="63" t="s">
        <v>448</v>
      </c>
      <c r="H4291" s="64" t="n">
        <v>-603998157.941559</v>
      </c>
      <c r="I4291" s="62" t="s">
        <v>81</v>
      </c>
      <c r="J4291" s="64" t="n">
        <v>-603998.157941559</v>
      </c>
      <c r="K4291" s="62" t="s">
        <v>138</v>
      </c>
      <c r="L4291" s="68" t="b">
        <f aca="false">TRUE()</f>
        <v>1</v>
      </c>
    </row>
    <row r="4292" customFormat="false" ht="15" hidden="false" customHeight="false" outlineLevel="0" collapsed="false">
      <c r="A4292" s="62" t="n">
        <v>1</v>
      </c>
      <c r="B4292" s="21" t="s">
        <v>336</v>
      </c>
      <c r="C4292" s="62" t="s">
        <v>60</v>
      </c>
      <c r="D4292" s="62" t="s">
        <v>385</v>
      </c>
      <c r="E4292" s="62" t="s">
        <v>71</v>
      </c>
      <c r="F4292" s="62" t="s">
        <v>382</v>
      </c>
      <c r="G4292" s="63" t="s">
        <v>448</v>
      </c>
      <c r="H4292" s="64" t="n">
        <v>-464729859.912098</v>
      </c>
      <c r="I4292" s="62" t="s">
        <v>81</v>
      </c>
      <c r="J4292" s="64" t="n">
        <v>-464729.859912098</v>
      </c>
      <c r="K4292" s="62" t="s">
        <v>138</v>
      </c>
      <c r="L4292" s="68" t="b">
        <f aca="false">TRUE()</f>
        <v>1</v>
      </c>
    </row>
    <row r="4293" customFormat="false" ht="15" hidden="false" customHeight="false" outlineLevel="0" collapsed="false">
      <c r="A4293" s="62" t="n">
        <v>1</v>
      </c>
      <c r="B4293" s="21" t="s">
        <v>336</v>
      </c>
      <c r="C4293" s="62" t="s">
        <v>60</v>
      </c>
      <c r="D4293" s="62" t="s">
        <v>386</v>
      </c>
      <c r="E4293" s="62" t="s">
        <v>71</v>
      </c>
      <c r="F4293" s="62" t="s">
        <v>382</v>
      </c>
      <c r="G4293" s="63" t="s">
        <v>448</v>
      </c>
      <c r="H4293" s="64" t="n">
        <v>-681232241.276276</v>
      </c>
      <c r="I4293" s="62" t="s">
        <v>81</v>
      </c>
      <c r="J4293" s="64" t="n">
        <v>-681232.241276276</v>
      </c>
      <c r="K4293" s="62" t="s">
        <v>138</v>
      </c>
      <c r="L4293" s="68" t="b">
        <f aca="false">TRUE()</f>
        <v>1</v>
      </c>
    </row>
    <row r="4294" customFormat="false" ht="15" hidden="false" customHeight="false" outlineLevel="0" collapsed="false">
      <c r="A4294" s="62" t="n">
        <v>1</v>
      </c>
      <c r="B4294" s="21" t="s">
        <v>336</v>
      </c>
      <c r="C4294" s="62" t="s">
        <v>60</v>
      </c>
      <c r="D4294" s="62" t="s">
        <v>387</v>
      </c>
      <c r="E4294" s="62" t="s">
        <v>71</v>
      </c>
      <c r="F4294" s="62" t="s">
        <v>382</v>
      </c>
      <c r="G4294" s="63" t="s">
        <v>448</v>
      </c>
      <c r="H4294" s="64" t="n">
        <v>-545904541.749942</v>
      </c>
      <c r="I4294" s="62" t="s">
        <v>81</v>
      </c>
      <c r="J4294" s="64" t="n">
        <v>-545904.541749942</v>
      </c>
      <c r="K4294" s="62" t="s">
        <v>138</v>
      </c>
      <c r="L4294" s="68" t="b">
        <f aca="false">TRUE()</f>
        <v>1</v>
      </c>
    </row>
    <row r="4295" customFormat="false" ht="15" hidden="false" customHeight="false" outlineLevel="0" collapsed="false">
      <c r="A4295" s="62" t="n">
        <v>1</v>
      </c>
      <c r="B4295" s="21" t="s">
        <v>336</v>
      </c>
      <c r="C4295" s="62" t="s">
        <v>60</v>
      </c>
      <c r="D4295" s="62" t="s">
        <v>388</v>
      </c>
      <c r="E4295" s="62" t="s">
        <v>71</v>
      </c>
      <c r="F4295" s="62" t="s">
        <v>382</v>
      </c>
      <c r="G4295" s="63" t="s">
        <v>448</v>
      </c>
      <c r="H4295" s="64" t="n">
        <v>-139853029.395996</v>
      </c>
      <c r="I4295" s="62" t="s">
        <v>81</v>
      </c>
      <c r="J4295" s="64" t="n">
        <v>-139853.029395996</v>
      </c>
      <c r="K4295" s="62" t="s">
        <v>138</v>
      </c>
      <c r="L4295" s="68" t="b">
        <f aca="false">TRUE()</f>
        <v>1</v>
      </c>
    </row>
    <row r="4296" customFormat="false" ht="15" hidden="false" customHeight="false" outlineLevel="0" collapsed="false">
      <c r="A4296" s="62" t="n">
        <v>1</v>
      </c>
      <c r="B4296" s="21" t="s">
        <v>336</v>
      </c>
      <c r="C4296" s="62" t="s">
        <v>60</v>
      </c>
      <c r="D4296" s="62" t="s">
        <v>381</v>
      </c>
      <c r="E4296" s="62" t="s">
        <v>71</v>
      </c>
      <c r="F4296" s="62" t="s">
        <v>382</v>
      </c>
      <c r="G4296" s="63" t="s">
        <v>430</v>
      </c>
      <c r="H4296" s="64" t="n">
        <v>-562498405.014181</v>
      </c>
      <c r="I4296" s="62" t="s">
        <v>81</v>
      </c>
      <c r="J4296" s="64" t="n">
        <v>-562498.405014181</v>
      </c>
      <c r="K4296" s="62" t="s">
        <v>138</v>
      </c>
      <c r="L4296" s="68" t="b">
        <f aca="false">TRUE()</f>
        <v>1</v>
      </c>
    </row>
    <row r="4297" customFormat="false" ht="15" hidden="false" customHeight="false" outlineLevel="0" collapsed="false">
      <c r="A4297" s="62" t="n">
        <v>1</v>
      </c>
      <c r="B4297" s="21" t="s">
        <v>336</v>
      </c>
      <c r="C4297" s="62" t="s">
        <v>60</v>
      </c>
      <c r="D4297" s="62" t="s">
        <v>383</v>
      </c>
      <c r="E4297" s="62" t="s">
        <v>71</v>
      </c>
      <c r="F4297" s="62" t="s">
        <v>382</v>
      </c>
      <c r="G4297" s="63" t="s">
        <v>430</v>
      </c>
      <c r="H4297" s="64" t="n">
        <v>-1873589577.62616</v>
      </c>
      <c r="I4297" s="62" t="s">
        <v>81</v>
      </c>
      <c r="J4297" s="64" t="n">
        <v>-1873589.57762616</v>
      </c>
      <c r="K4297" s="62" t="s">
        <v>138</v>
      </c>
      <c r="L4297" s="68" t="b">
        <f aca="false">TRUE()</f>
        <v>1</v>
      </c>
    </row>
    <row r="4298" customFormat="false" ht="15" hidden="false" customHeight="false" outlineLevel="0" collapsed="false">
      <c r="A4298" s="62" t="n">
        <v>1</v>
      </c>
      <c r="B4298" s="21" t="s">
        <v>336</v>
      </c>
      <c r="C4298" s="62" t="s">
        <v>60</v>
      </c>
      <c r="D4298" s="62" t="s">
        <v>384</v>
      </c>
      <c r="E4298" s="62" t="s">
        <v>71</v>
      </c>
      <c r="F4298" s="62" t="s">
        <v>382</v>
      </c>
      <c r="G4298" s="63" t="s">
        <v>430</v>
      </c>
      <c r="H4298" s="64" t="n">
        <v>-100813892.813152</v>
      </c>
      <c r="I4298" s="62" t="s">
        <v>81</v>
      </c>
      <c r="J4298" s="64" t="n">
        <v>-100813.892813152</v>
      </c>
      <c r="K4298" s="62" t="s">
        <v>138</v>
      </c>
      <c r="L4298" s="68" t="b">
        <f aca="false">TRUE()</f>
        <v>1</v>
      </c>
    </row>
    <row r="4299" customFormat="false" ht="15" hidden="false" customHeight="false" outlineLevel="0" collapsed="false">
      <c r="A4299" s="62" t="n">
        <v>1</v>
      </c>
      <c r="B4299" s="21" t="s">
        <v>336</v>
      </c>
      <c r="C4299" s="62" t="s">
        <v>60</v>
      </c>
      <c r="D4299" s="62" t="s">
        <v>385</v>
      </c>
      <c r="E4299" s="62" t="s">
        <v>71</v>
      </c>
      <c r="F4299" s="62" t="s">
        <v>382</v>
      </c>
      <c r="G4299" s="63" t="s">
        <v>430</v>
      </c>
      <c r="H4299" s="64" t="n">
        <v>717765573.178186</v>
      </c>
      <c r="I4299" s="62" t="s">
        <v>81</v>
      </c>
      <c r="J4299" s="64" t="n">
        <v>717765.573178186</v>
      </c>
      <c r="K4299" s="62" t="s">
        <v>138</v>
      </c>
      <c r="L4299" s="68" t="b">
        <f aca="false">TRUE()</f>
        <v>1</v>
      </c>
    </row>
    <row r="4300" customFormat="false" ht="15" hidden="false" customHeight="false" outlineLevel="0" collapsed="false">
      <c r="A4300" s="62" t="n">
        <v>1</v>
      </c>
      <c r="B4300" s="21" t="s">
        <v>336</v>
      </c>
      <c r="C4300" s="62" t="s">
        <v>60</v>
      </c>
      <c r="D4300" s="62" t="s">
        <v>386</v>
      </c>
      <c r="E4300" s="62" t="s">
        <v>71</v>
      </c>
      <c r="F4300" s="62" t="s">
        <v>382</v>
      </c>
      <c r="G4300" s="63" t="s">
        <v>430</v>
      </c>
      <c r="H4300" s="64" t="n">
        <v>2104336469.52091</v>
      </c>
      <c r="I4300" s="62" t="s">
        <v>81</v>
      </c>
      <c r="J4300" s="64" t="n">
        <v>2104336.46952091</v>
      </c>
      <c r="K4300" s="62" t="s">
        <v>138</v>
      </c>
      <c r="L4300" s="68" t="b">
        <f aca="false">TRUE()</f>
        <v>1</v>
      </c>
    </row>
    <row r="4301" customFormat="false" ht="15" hidden="false" customHeight="false" outlineLevel="0" collapsed="false">
      <c r="A4301" s="62" t="n">
        <v>1</v>
      </c>
      <c r="B4301" s="21" t="s">
        <v>336</v>
      </c>
      <c r="C4301" s="62" t="s">
        <v>60</v>
      </c>
      <c r="D4301" s="62" t="s">
        <v>387</v>
      </c>
      <c r="E4301" s="62" t="s">
        <v>71</v>
      </c>
      <c r="F4301" s="62" t="s">
        <v>382</v>
      </c>
      <c r="G4301" s="63" t="s">
        <v>430</v>
      </c>
      <c r="H4301" s="64" t="n">
        <v>-1321779235.72956</v>
      </c>
      <c r="I4301" s="62" t="s">
        <v>81</v>
      </c>
      <c r="J4301" s="64" t="n">
        <v>-1321779.23572956</v>
      </c>
      <c r="K4301" s="62" t="s">
        <v>138</v>
      </c>
      <c r="L4301" s="68" t="b">
        <f aca="false">TRUE()</f>
        <v>1</v>
      </c>
    </row>
    <row r="4302" customFormat="false" ht="15" hidden="false" customHeight="false" outlineLevel="0" collapsed="false">
      <c r="A4302" s="62" t="n">
        <v>1</v>
      </c>
      <c r="B4302" s="21" t="s">
        <v>336</v>
      </c>
      <c r="C4302" s="62" t="s">
        <v>60</v>
      </c>
      <c r="D4302" s="62" t="s">
        <v>388</v>
      </c>
      <c r="E4302" s="62" t="s">
        <v>71</v>
      </c>
      <c r="F4302" s="62" t="s">
        <v>382</v>
      </c>
      <c r="G4302" s="63" t="s">
        <v>430</v>
      </c>
      <c r="H4302" s="64" t="n">
        <v>452669690.034445</v>
      </c>
      <c r="I4302" s="62" t="s">
        <v>81</v>
      </c>
      <c r="J4302" s="64" t="n">
        <v>452669.690034445</v>
      </c>
      <c r="K4302" s="62" t="s">
        <v>138</v>
      </c>
      <c r="L4302" s="68" t="b">
        <f aca="false">TRUE()</f>
        <v>1</v>
      </c>
    </row>
    <row r="4303" customFormat="false" ht="15" hidden="false" customHeight="false" outlineLevel="0" collapsed="false">
      <c r="A4303" s="62" t="n">
        <v>1</v>
      </c>
      <c r="B4303" s="21" t="s">
        <v>336</v>
      </c>
      <c r="C4303" s="62" t="s">
        <v>60</v>
      </c>
      <c r="D4303" s="62" t="s">
        <v>381</v>
      </c>
      <c r="E4303" s="62" t="s">
        <v>71</v>
      </c>
      <c r="F4303" s="62" t="s">
        <v>382</v>
      </c>
      <c r="G4303" s="63" t="s">
        <v>431</v>
      </c>
      <c r="H4303" s="64" t="n">
        <v>-4000000</v>
      </c>
      <c r="I4303" s="62" t="s">
        <v>81</v>
      </c>
      <c r="J4303" s="64" t="n">
        <v>-4000</v>
      </c>
      <c r="K4303" s="62" t="s">
        <v>138</v>
      </c>
      <c r="L4303" s="68" t="b">
        <f aca="false">TRUE()</f>
        <v>1</v>
      </c>
    </row>
    <row r="4304" customFormat="false" ht="15" hidden="false" customHeight="false" outlineLevel="0" collapsed="false">
      <c r="A4304" s="62" t="n">
        <v>1</v>
      </c>
      <c r="B4304" s="21" t="s">
        <v>336</v>
      </c>
      <c r="C4304" s="62" t="s">
        <v>60</v>
      </c>
      <c r="D4304" s="62" t="s">
        <v>383</v>
      </c>
      <c r="E4304" s="62" t="s">
        <v>71</v>
      </c>
      <c r="F4304" s="62" t="s">
        <v>382</v>
      </c>
      <c r="G4304" s="63" t="s">
        <v>431</v>
      </c>
      <c r="H4304" s="64" t="n">
        <v>-5000000</v>
      </c>
      <c r="I4304" s="62" t="s">
        <v>81</v>
      </c>
      <c r="J4304" s="64" t="n">
        <v>-5000</v>
      </c>
      <c r="K4304" s="62" t="s">
        <v>138</v>
      </c>
      <c r="L4304" s="68" t="b">
        <f aca="false">TRUE()</f>
        <v>1</v>
      </c>
    </row>
    <row r="4305" customFormat="false" ht="15" hidden="false" customHeight="false" outlineLevel="0" collapsed="false">
      <c r="A4305" s="62" t="n">
        <v>1</v>
      </c>
      <c r="B4305" s="21" t="s">
        <v>336</v>
      </c>
      <c r="C4305" s="62" t="s">
        <v>60</v>
      </c>
      <c r="D4305" s="62" t="s">
        <v>384</v>
      </c>
      <c r="E4305" s="62" t="s">
        <v>71</v>
      </c>
      <c r="F4305" s="62" t="s">
        <v>382</v>
      </c>
      <c r="G4305" s="63" t="s">
        <v>431</v>
      </c>
      <c r="H4305" s="64" t="n">
        <v>-4000000</v>
      </c>
      <c r="I4305" s="62" t="s">
        <v>81</v>
      </c>
      <c r="J4305" s="64" t="n">
        <v>-4000</v>
      </c>
      <c r="K4305" s="62" t="s">
        <v>138</v>
      </c>
      <c r="L4305" s="68" t="b">
        <f aca="false">TRUE()</f>
        <v>1</v>
      </c>
    </row>
    <row r="4306" customFormat="false" ht="15" hidden="false" customHeight="false" outlineLevel="0" collapsed="false">
      <c r="A4306" s="62" t="n">
        <v>1</v>
      </c>
      <c r="B4306" s="21" t="s">
        <v>336</v>
      </c>
      <c r="C4306" s="62" t="s">
        <v>60</v>
      </c>
      <c r="D4306" s="62" t="s">
        <v>385</v>
      </c>
      <c r="E4306" s="62" t="s">
        <v>71</v>
      </c>
      <c r="F4306" s="62" t="s">
        <v>382</v>
      </c>
      <c r="G4306" s="63" t="s">
        <v>431</v>
      </c>
      <c r="H4306" s="64" t="n">
        <v>-5000000</v>
      </c>
      <c r="I4306" s="62" t="s">
        <v>81</v>
      </c>
      <c r="J4306" s="64" t="n">
        <v>-5000</v>
      </c>
      <c r="K4306" s="62" t="s">
        <v>138</v>
      </c>
      <c r="L4306" s="68" t="b">
        <f aca="false">TRUE()</f>
        <v>1</v>
      </c>
    </row>
    <row r="4307" customFormat="false" ht="15" hidden="false" customHeight="false" outlineLevel="0" collapsed="false">
      <c r="A4307" s="62" t="n">
        <v>1</v>
      </c>
      <c r="B4307" s="21" t="s">
        <v>336</v>
      </c>
      <c r="C4307" s="62" t="s">
        <v>60</v>
      </c>
      <c r="D4307" s="62" t="s">
        <v>386</v>
      </c>
      <c r="E4307" s="62" t="s">
        <v>71</v>
      </c>
      <c r="F4307" s="62" t="s">
        <v>382</v>
      </c>
      <c r="G4307" s="63" t="s">
        <v>431</v>
      </c>
      <c r="H4307" s="64" t="n">
        <v>-15000000</v>
      </c>
      <c r="I4307" s="62" t="s">
        <v>81</v>
      </c>
      <c r="J4307" s="64" t="n">
        <v>-15000</v>
      </c>
      <c r="K4307" s="62" t="s">
        <v>138</v>
      </c>
      <c r="L4307" s="68" t="b">
        <f aca="false">TRUE()</f>
        <v>1</v>
      </c>
    </row>
    <row r="4308" customFormat="false" ht="15" hidden="false" customHeight="false" outlineLevel="0" collapsed="false">
      <c r="A4308" s="62" t="n">
        <v>1</v>
      </c>
      <c r="B4308" s="21" t="s">
        <v>336</v>
      </c>
      <c r="C4308" s="62" t="s">
        <v>60</v>
      </c>
      <c r="D4308" s="62" t="s">
        <v>387</v>
      </c>
      <c r="E4308" s="62" t="s">
        <v>71</v>
      </c>
      <c r="F4308" s="62" t="s">
        <v>382</v>
      </c>
      <c r="G4308" s="63" t="s">
        <v>431</v>
      </c>
      <c r="H4308" s="64" t="n">
        <v>-4000000</v>
      </c>
      <c r="I4308" s="62" t="s">
        <v>81</v>
      </c>
      <c r="J4308" s="64" t="n">
        <v>-4000</v>
      </c>
      <c r="K4308" s="62" t="s">
        <v>138</v>
      </c>
      <c r="L4308" s="68" t="b">
        <f aca="false">TRUE()</f>
        <v>1</v>
      </c>
    </row>
    <row r="4309" customFormat="false" ht="15" hidden="false" customHeight="false" outlineLevel="0" collapsed="false">
      <c r="A4309" s="62" t="n">
        <v>1</v>
      </c>
      <c r="B4309" s="21" t="s">
        <v>336</v>
      </c>
      <c r="C4309" s="62" t="s">
        <v>60</v>
      </c>
      <c r="D4309" s="62" t="s">
        <v>388</v>
      </c>
      <c r="E4309" s="62" t="s">
        <v>71</v>
      </c>
      <c r="F4309" s="62" t="s">
        <v>382</v>
      </c>
      <c r="G4309" s="63" t="s">
        <v>431</v>
      </c>
      <c r="H4309" s="64" t="n">
        <v>-9000000</v>
      </c>
      <c r="I4309" s="62" t="s">
        <v>81</v>
      </c>
      <c r="J4309" s="64" t="n">
        <v>-9000</v>
      </c>
      <c r="K4309" s="62" t="s">
        <v>138</v>
      </c>
      <c r="L4309" s="68" t="b">
        <f aca="false">TRUE()</f>
        <v>1</v>
      </c>
    </row>
    <row r="4310" customFormat="false" ht="15" hidden="false" customHeight="false" outlineLevel="0" collapsed="false">
      <c r="A4310" s="62" t="n">
        <v>1</v>
      </c>
      <c r="B4310" s="21" t="s">
        <v>336</v>
      </c>
      <c r="C4310" s="62" t="s">
        <v>60</v>
      </c>
      <c r="D4310" s="62" t="s">
        <v>381</v>
      </c>
      <c r="E4310" s="62" t="s">
        <v>71</v>
      </c>
      <c r="F4310" s="62" t="s">
        <v>382</v>
      </c>
      <c r="G4310" s="63" t="s">
        <v>449</v>
      </c>
      <c r="H4310" s="64" t="n">
        <v>-566498405.014181</v>
      </c>
      <c r="I4310" s="62" t="s">
        <v>81</v>
      </c>
      <c r="J4310" s="64" t="n">
        <v>-566498.405014181</v>
      </c>
      <c r="K4310" s="62" t="s">
        <v>138</v>
      </c>
      <c r="L4310" s="68" t="b">
        <f aca="false">TRUE()</f>
        <v>1</v>
      </c>
    </row>
    <row r="4311" customFormat="false" ht="15" hidden="false" customHeight="false" outlineLevel="0" collapsed="false">
      <c r="A4311" s="62" t="n">
        <v>1</v>
      </c>
      <c r="B4311" s="21" t="s">
        <v>336</v>
      </c>
      <c r="C4311" s="62" t="s">
        <v>60</v>
      </c>
      <c r="D4311" s="62" t="s">
        <v>383</v>
      </c>
      <c r="E4311" s="62" t="s">
        <v>71</v>
      </c>
      <c r="F4311" s="62" t="s">
        <v>382</v>
      </c>
      <c r="G4311" s="63" t="s">
        <v>449</v>
      </c>
      <c r="H4311" s="64" t="n">
        <v>-1878589577.62616</v>
      </c>
      <c r="I4311" s="62" t="s">
        <v>81</v>
      </c>
      <c r="J4311" s="64" t="n">
        <v>-1878589.57762616</v>
      </c>
      <c r="K4311" s="62" t="s">
        <v>138</v>
      </c>
      <c r="L4311" s="68" t="b">
        <f aca="false">TRUE()</f>
        <v>1</v>
      </c>
    </row>
    <row r="4312" customFormat="false" ht="15" hidden="false" customHeight="false" outlineLevel="0" collapsed="false">
      <c r="A4312" s="62" t="n">
        <v>1</v>
      </c>
      <c r="B4312" s="21" t="s">
        <v>336</v>
      </c>
      <c r="C4312" s="62" t="s">
        <v>60</v>
      </c>
      <c r="D4312" s="62" t="s">
        <v>384</v>
      </c>
      <c r="E4312" s="62" t="s">
        <v>71</v>
      </c>
      <c r="F4312" s="62" t="s">
        <v>382</v>
      </c>
      <c r="G4312" s="63" t="s">
        <v>449</v>
      </c>
      <c r="H4312" s="64" t="n">
        <v>-104813892.813152</v>
      </c>
      <c r="I4312" s="62" t="s">
        <v>81</v>
      </c>
      <c r="J4312" s="64" t="n">
        <v>-104813.892813152</v>
      </c>
      <c r="K4312" s="62" t="s">
        <v>138</v>
      </c>
      <c r="L4312" s="68" t="b">
        <f aca="false">TRUE()</f>
        <v>1</v>
      </c>
    </row>
    <row r="4313" customFormat="false" ht="15" hidden="false" customHeight="false" outlineLevel="0" collapsed="false">
      <c r="A4313" s="62" t="n">
        <v>1</v>
      </c>
      <c r="B4313" s="21" t="s">
        <v>336</v>
      </c>
      <c r="C4313" s="62" t="s">
        <v>60</v>
      </c>
      <c r="D4313" s="62" t="s">
        <v>385</v>
      </c>
      <c r="E4313" s="62" t="s">
        <v>71</v>
      </c>
      <c r="F4313" s="62" t="s">
        <v>382</v>
      </c>
      <c r="G4313" s="63" t="s">
        <v>449</v>
      </c>
      <c r="H4313" s="64" t="n">
        <v>712765573.178186</v>
      </c>
      <c r="I4313" s="62" t="s">
        <v>81</v>
      </c>
      <c r="J4313" s="64" t="n">
        <v>712765.573178186</v>
      </c>
      <c r="K4313" s="62" t="s">
        <v>138</v>
      </c>
      <c r="L4313" s="68" t="b">
        <f aca="false">TRUE()</f>
        <v>1</v>
      </c>
    </row>
    <row r="4314" customFormat="false" ht="15" hidden="false" customHeight="false" outlineLevel="0" collapsed="false">
      <c r="A4314" s="62" t="n">
        <v>1</v>
      </c>
      <c r="B4314" s="21" t="s">
        <v>336</v>
      </c>
      <c r="C4314" s="62" t="s">
        <v>60</v>
      </c>
      <c r="D4314" s="62" t="s">
        <v>386</v>
      </c>
      <c r="E4314" s="62" t="s">
        <v>71</v>
      </c>
      <c r="F4314" s="62" t="s">
        <v>382</v>
      </c>
      <c r="G4314" s="63" t="s">
        <v>449</v>
      </c>
      <c r="H4314" s="64" t="n">
        <v>2089336469.52091</v>
      </c>
      <c r="I4314" s="62" t="s">
        <v>81</v>
      </c>
      <c r="J4314" s="64" t="n">
        <v>2089336.46952091</v>
      </c>
      <c r="K4314" s="62" t="s">
        <v>138</v>
      </c>
      <c r="L4314" s="68" t="b">
        <f aca="false">TRUE()</f>
        <v>1</v>
      </c>
    </row>
    <row r="4315" customFormat="false" ht="15" hidden="false" customHeight="false" outlineLevel="0" collapsed="false">
      <c r="A4315" s="62" t="n">
        <v>1</v>
      </c>
      <c r="B4315" s="21" t="s">
        <v>336</v>
      </c>
      <c r="C4315" s="62" t="s">
        <v>60</v>
      </c>
      <c r="D4315" s="62" t="s">
        <v>387</v>
      </c>
      <c r="E4315" s="62" t="s">
        <v>71</v>
      </c>
      <c r="F4315" s="62" t="s">
        <v>382</v>
      </c>
      <c r="G4315" s="63" t="s">
        <v>449</v>
      </c>
      <c r="H4315" s="64" t="n">
        <v>-1325779235.72956</v>
      </c>
      <c r="I4315" s="62" t="s">
        <v>81</v>
      </c>
      <c r="J4315" s="64" t="n">
        <v>-1325779.23572956</v>
      </c>
      <c r="K4315" s="62" t="s">
        <v>138</v>
      </c>
      <c r="L4315" s="68" t="b">
        <f aca="false">TRUE()</f>
        <v>1</v>
      </c>
    </row>
    <row r="4316" customFormat="false" ht="15" hidden="false" customHeight="false" outlineLevel="0" collapsed="false">
      <c r="A4316" s="62" t="n">
        <v>1</v>
      </c>
      <c r="B4316" s="21" t="s">
        <v>336</v>
      </c>
      <c r="C4316" s="62" t="s">
        <v>60</v>
      </c>
      <c r="D4316" s="62" t="s">
        <v>388</v>
      </c>
      <c r="E4316" s="62" t="s">
        <v>71</v>
      </c>
      <c r="F4316" s="62" t="s">
        <v>382</v>
      </c>
      <c r="G4316" s="63" t="s">
        <v>449</v>
      </c>
      <c r="H4316" s="64" t="n">
        <v>443669690.034445</v>
      </c>
      <c r="I4316" s="62" t="s">
        <v>81</v>
      </c>
      <c r="J4316" s="64" t="n">
        <v>443669.690034445</v>
      </c>
      <c r="K4316" s="62" t="s">
        <v>138</v>
      </c>
      <c r="L4316" s="68" t="b">
        <f aca="false">TRUE()</f>
        <v>1</v>
      </c>
    </row>
    <row r="4317" customFormat="false" ht="15" hidden="false" customHeight="false" outlineLevel="0" collapsed="false">
      <c r="A4317" s="62" t="n">
        <v>1</v>
      </c>
      <c r="B4317" s="21" t="s">
        <v>336</v>
      </c>
      <c r="C4317" s="62" t="s">
        <v>60</v>
      </c>
      <c r="D4317" s="62" t="s">
        <v>381</v>
      </c>
      <c r="E4317" s="62" t="s">
        <v>71</v>
      </c>
      <c r="F4317" s="62" t="s">
        <v>382</v>
      </c>
      <c r="G4317" s="63" t="s">
        <v>450</v>
      </c>
      <c r="H4317" s="64" t="n">
        <v>-518961098.005472</v>
      </c>
      <c r="I4317" s="62" t="s">
        <v>81</v>
      </c>
      <c r="J4317" s="64" t="n">
        <v>-518961.098005472</v>
      </c>
      <c r="K4317" s="62" t="s">
        <v>138</v>
      </c>
      <c r="L4317" s="68" t="b">
        <f aca="false">TRUE()</f>
        <v>1</v>
      </c>
    </row>
    <row r="4318" customFormat="false" ht="15" hidden="false" customHeight="false" outlineLevel="0" collapsed="false">
      <c r="A4318" s="62" t="n">
        <v>1</v>
      </c>
      <c r="B4318" s="21" t="s">
        <v>336</v>
      </c>
      <c r="C4318" s="62" t="s">
        <v>60</v>
      </c>
      <c r="D4318" s="62" t="s">
        <v>383</v>
      </c>
      <c r="E4318" s="62" t="s">
        <v>71</v>
      </c>
      <c r="F4318" s="62" t="s">
        <v>382</v>
      </c>
      <c r="G4318" s="63" t="s">
        <v>450</v>
      </c>
      <c r="H4318" s="64" t="n">
        <v>-215001171.734334</v>
      </c>
      <c r="I4318" s="62" t="s">
        <v>81</v>
      </c>
      <c r="J4318" s="64" t="n">
        <v>-215001.171734334</v>
      </c>
      <c r="K4318" s="62" t="s">
        <v>138</v>
      </c>
      <c r="L4318" s="68" t="b">
        <f aca="false">TRUE()</f>
        <v>1</v>
      </c>
    </row>
    <row r="4319" customFormat="false" ht="15" hidden="false" customHeight="false" outlineLevel="0" collapsed="false">
      <c r="A4319" s="62" t="n">
        <v>1</v>
      </c>
      <c r="B4319" s="21" t="s">
        <v>336</v>
      </c>
      <c r="C4319" s="62" t="s">
        <v>60</v>
      </c>
      <c r="D4319" s="62" t="s">
        <v>384</v>
      </c>
      <c r="E4319" s="62" t="s">
        <v>71</v>
      </c>
      <c r="F4319" s="62" t="s">
        <v>382</v>
      </c>
      <c r="G4319" s="63" t="s">
        <v>450</v>
      </c>
      <c r="H4319" s="64" t="n">
        <v>-430105876.20772</v>
      </c>
      <c r="I4319" s="62" t="s">
        <v>81</v>
      </c>
      <c r="J4319" s="64" t="n">
        <v>-430105.87620772</v>
      </c>
      <c r="K4319" s="62" t="s">
        <v>138</v>
      </c>
      <c r="L4319" s="68" t="b">
        <f aca="false">TRUE()</f>
        <v>1</v>
      </c>
    </row>
    <row r="4320" customFormat="false" ht="15" hidden="false" customHeight="false" outlineLevel="0" collapsed="false">
      <c r="A4320" s="62" t="n">
        <v>1</v>
      </c>
      <c r="B4320" s="21" t="s">
        <v>336</v>
      </c>
      <c r="C4320" s="62" t="s">
        <v>60</v>
      </c>
      <c r="D4320" s="62" t="s">
        <v>385</v>
      </c>
      <c r="E4320" s="62" t="s">
        <v>71</v>
      </c>
      <c r="F4320" s="62" t="s">
        <v>382</v>
      </c>
      <c r="G4320" s="63" t="s">
        <v>450</v>
      </c>
      <c r="H4320" s="64" t="n">
        <v>-71666970.7512616</v>
      </c>
      <c r="I4320" s="62" t="s">
        <v>81</v>
      </c>
      <c r="J4320" s="64" t="n">
        <v>-71666.9707512616</v>
      </c>
      <c r="K4320" s="62" t="s">
        <v>138</v>
      </c>
      <c r="L4320" s="68" t="b">
        <f aca="false">TRUE()</f>
        <v>1</v>
      </c>
    </row>
    <row r="4321" customFormat="false" ht="15" hidden="false" customHeight="false" outlineLevel="0" collapsed="false">
      <c r="A4321" s="62" t="n">
        <v>1</v>
      </c>
      <c r="B4321" s="21" t="s">
        <v>336</v>
      </c>
      <c r="C4321" s="62" t="s">
        <v>60</v>
      </c>
      <c r="D4321" s="62" t="s">
        <v>386</v>
      </c>
      <c r="E4321" s="62" t="s">
        <v>71</v>
      </c>
      <c r="F4321" s="62" t="s">
        <v>382</v>
      </c>
      <c r="G4321" s="63" t="s">
        <v>450</v>
      </c>
      <c r="H4321" s="64" t="n">
        <v>-1167662470.51231</v>
      </c>
      <c r="I4321" s="62" t="s">
        <v>81</v>
      </c>
      <c r="J4321" s="64" t="n">
        <v>-1167662.47051231</v>
      </c>
      <c r="K4321" s="62" t="s">
        <v>138</v>
      </c>
      <c r="L4321" s="68" t="b">
        <f aca="false">TRUE()</f>
        <v>1</v>
      </c>
    </row>
    <row r="4322" customFormat="false" ht="15" hidden="false" customHeight="false" outlineLevel="0" collapsed="false">
      <c r="A4322" s="62" t="n">
        <v>1</v>
      </c>
      <c r="B4322" s="21" t="s">
        <v>336</v>
      </c>
      <c r="C4322" s="62" t="s">
        <v>60</v>
      </c>
      <c r="D4322" s="62" t="s">
        <v>387</v>
      </c>
      <c r="E4322" s="62" t="s">
        <v>71</v>
      </c>
      <c r="F4322" s="62" t="s">
        <v>382</v>
      </c>
      <c r="G4322" s="63" t="s">
        <v>450</v>
      </c>
      <c r="H4322" s="64" t="n">
        <v>-286668401.966144</v>
      </c>
      <c r="I4322" s="62" t="s">
        <v>81</v>
      </c>
      <c r="J4322" s="64" t="n">
        <v>-286668.401966144</v>
      </c>
      <c r="K4322" s="62" t="s">
        <v>138</v>
      </c>
      <c r="L4322" s="68" t="b">
        <f aca="false">TRUE()</f>
        <v>1</v>
      </c>
    </row>
    <row r="4323" customFormat="false" ht="15" hidden="false" customHeight="false" outlineLevel="0" collapsed="false">
      <c r="A4323" s="62" t="n">
        <v>1</v>
      </c>
      <c r="B4323" s="21" t="s">
        <v>336</v>
      </c>
      <c r="C4323" s="62" t="s">
        <v>60</v>
      </c>
      <c r="D4323" s="62" t="s">
        <v>388</v>
      </c>
      <c r="E4323" s="62" t="s">
        <v>71</v>
      </c>
      <c r="F4323" s="62" t="s">
        <v>382</v>
      </c>
      <c r="G4323" s="63" t="s">
        <v>450</v>
      </c>
      <c r="H4323" s="64" t="n">
        <v>-151916260.660789</v>
      </c>
      <c r="I4323" s="62" t="s">
        <v>81</v>
      </c>
      <c r="J4323" s="64" t="n">
        <v>-151916.260660789</v>
      </c>
      <c r="K4323" s="62" t="s">
        <v>138</v>
      </c>
      <c r="L4323" s="68" t="b">
        <f aca="false">TRUE()</f>
        <v>1</v>
      </c>
    </row>
    <row r="4324" customFormat="false" ht="15" hidden="false" customHeight="false" outlineLevel="0" collapsed="false">
      <c r="A4324" s="62" t="n">
        <v>1</v>
      </c>
      <c r="B4324" s="21" t="s">
        <v>336</v>
      </c>
      <c r="C4324" s="62" t="s">
        <v>60</v>
      </c>
      <c r="D4324" s="62" t="s">
        <v>381</v>
      </c>
      <c r="E4324" s="62" t="s">
        <v>71</v>
      </c>
      <c r="F4324" s="62" t="s">
        <v>382</v>
      </c>
      <c r="G4324" s="63" t="s">
        <v>451</v>
      </c>
      <c r="H4324" s="64" t="n">
        <v>0</v>
      </c>
      <c r="I4324" s="62" t="s">
        <v>81</v>
      </c>
      <c r="J4324" s="64" t="n">
        <v>0</v>
      </c>
      <c r="K4324" s="62" t="s">
        <v>138</v>
      </c>
      <c r="L4324" s="68" t="b">
        <f aca="false">TRUE()</f>
        <v>1</v>
      </c>
    </row>
    <row r="4325" customFormat="false" ht="15" hidden="false" customHeight="false" outlineLevel="0" collapsed="false">
      <c r="A4325" s="62" t="n">
        <v>1</v>
      </c>
      <c r="B4325" s="21" t="s">
        <v>336</v>
      </c>
      <c r="C4325" s="62" t="s">
        <v>60</v>
      </c>
      <c r="D4325" s="62" t="s">
        <v>383</v>
      </c>
      <c r="E4325" s="62" t="s">
        <v>71</v>
      </c>
      <c r="F4325" s="62" t="s">
        <v>382</v>
      </c>
      <c r="G4325" s="63" t="s">
        <v>451</v>
      </c>
      <c r="H4325" s="64" t="n">
        <v>0</v>
      </c>
      <c r="I4325" s="62" t="s">
        <v>81</v>
      </c>
      <c r="J4325" s="64" t="n">
        <v>0</v>
      </c>
      <c r="K4325" s="62" t="s">
        <v>138</v>
      </c>
      <c r="L4325" s="68" t="b">
        <f aca="false">TRUE()</f>
        <v>1</v>
      </c>
    </row>
    <row r="4326" customFormat="false" ht="15" hidden="false" customHeight="false" outlineLevel="0" collapsed="false">
      <c r="A4326" s="62" t="n">
        <v>1</v>
      </c>
      <c r="B4326" s="21" t="s">
        <v>336</v>
      </c>
      <c r="C4326" s="62" t="s">
        <v>60</v>
      </c>
      <c r="D4326" s="62" t="s">
        <v>384</v>
      </c>
      <c r="E4326" s="62" t="s">
        <v>71</v>
      </c>
      <c r="F4326" s="62" t="s">
        <v>382</v>
      </c>
      <c r="G4326" s="63" t="s">
        <v>451</v>
      </c>
      <c r="H4326" s="64" t="n">
        <v>0</v>
      </c>
      <c r="I4326" s="62" t="s">
        <v>81</v>
      </c>
      <c r="J4326" s="64" t="n">
        <v>0</v>
      </c>
      <c r="K4326" s="62" t="s">
        <v>138</v>
      </c>
      <c r="L4326" s="68" t="b">
        <f aca="false">TRUE()</f>
        <v>1</v>
      </c>
    </row>
    <row r="4327" customFormat="false" ht="15" hidden="false" customHeight="false" outlineLevel="0" collapsed="false">
      <c r="A4327" s="62" t="n">
        <v>1</v>
      </c>
      <c r="B4327" s="21" t="s">
        <v>336</v>
      </c>
      <c r="C4327" s="62" t="s">
        <v>60</v>
      </c>
      <c r="D4327" s="62" t="s">
        <v>385</v>
      </c>
      <c r="E4327" s="62" t="s">
        <v>71</v>
      </c>
      <c r="F4327" s="62" t="s">
        <v>382</v>
      </c>
      <c r="G4327" s="63" t="s">
        <v>451</v>
      </c>
      <c r="H4327" s="64" t="n">
        <v>0</v>
      </c>
      <c r="I4327" s="62" t="s">
        <v>81</v>
      </c>
      <c r="J4327" s="64" t="n">
        <v>0</v>
      </c>
      <c r="K4327" s="62" t="s">
        <v>138</v>
      </c>
      <c r="L4327" s="68" t="b">
        <f aca="false">TRUE()</f>
        <v>1</v>
      </c>
    </row>
    <row r="4328" customFormat="false" ht="15" hidden="false" customHeight="false" outlineLevel="0" collapsed="false">
      <c r="A4328" s="62" t="n">
        <v>1</v>
      </c>
      <c r="B4328" s="21" t="s">
        <v>336</v>
      </c>
      <c r="C4328" s="62" t="s">
        <v>60</v>
      </c>
      <c r="D4328" s="62" t="s">
        <v>386</v>
      </c>
      <c r="E4328" s="62" t="s">
        <v>71</v>
      </c>
      <c r="F4328" s="62" t="s">
        <v>382</v>
      </c>
      <c r="G4328" s="63" t="s">
        <v>451</v>
      </c>
      <c r="H4328" s="64" t="n">
        <v>0</v>
      </c>
      <c r="I4328" s="62" t="s">
        <v>81</v>
      </c>
      <c r="J4328" s="64" t="n">
        <v>0</v>
      </c>
      <c r="K4328" s="62" t="s">
        <v>138</v>
      </c>
      <c r="L4328" s="68" t="b">
        <f aca="false">TRUE()</f>
        <v>1</v>
      </c>
    </row>
    <row r="4329" customFormat="false" ht="15" hidden="false" customHeight="false" outlineLevel="0" collapsed="false">
      <c r="A4329" s="62" t="n">
        <v>1</v>
      </c>
      <c r="B4329" s="21" t="s">
        <v>336</v>
      </c>
      <c r="C4329" s="62" t="s">
        <v>60</v>
      </c>
      <c r="D4329" s="62" t="s">
        <v>387</v>
      </c>
      <c r="E4329" s="62" t="s">
        <v>71</v>
      </c>
      <c r="F4329" s="62" t="s">
        <v>382</v>
      </c>
      <c r="G4329" s="63" t="s">
        <v>451</v>
      </c>
      <c r="H4329" s="64" t="n">
        <v>0</v>
      </c>
      <c r="I4329" s="62" t="s">
        <v>81</v>
      </c>
      <c r="J4329" s="64" t="n">
        <v>0</v>
      </c>
      <c r="K4329" s="62" t="s">
        <v>138</v>
      </c>
      <c r="L4329" s="68" t="b">
        <f aca="false">TRUE()</f>
        <v>1</v>
      </c>
    </row>
    <row r="4330" customFormat="false" ht="15" hidden="false" customHeight="false" outlineLevel="0" collapsed="false">
      <c r="A4330" s="62" t="n">
        <v>1</v>
      </c>
      <c r="B4330" s="21" t="s">
        <v>336</v>
      </c>
      <c r="C4330" s="62" t="s">
        <v>60</v>
      </c>
      <c r="D4330" s="62" t="s">
        <v>388</v>
      </c>
      <c r="E4330" s="62" t="s">
        <v>71</v>
      </c>
      <c r="F4330" s="62" t="s">
        <v>382</v>
      </c>
      <c r="G4330" s="63" t="s">
        <v>451</v>
      </c>
      <c r="H4330" s="64" t="n">
        <v>0</v>
      </c>
      <c r="I4330" s="62" t="s">
        <v>81</v>
      </c>
      <c r="J4330" s="64" t="n">
        <v>0</v>
      </c>
      <c r="K4330" s="62" t="s">
        <v>138</v>
      </c>
      <c r="L4330" s="68" t="b">
        <f aca="false">TRUE()</f>
        <v>1</v>
      </c>
    </row>
    <row r="4331" customFormat="false" ht="15" hidden="false" customHeight="false" outlineLevel="0" collapsed="false">
      <c r="A4331" s="62" t="n">
        <v>1</v>
      </c>
      <c r="B4331" s="21" t="s">
        <v>336</v>
      </c>
      <c r="C4331" s="62" t="s">
        <v>60</v>
      </c>
      <c r="D4331" s="62" t="s">
        <v>381</v>
      </c>
      <c r="E4331" s="62" t="s">
        <v>71</v>
      </c>
      <c r="F4331" s="62" t="s">
        <v>382</v>
      </c>
      <c r="G4331" s="63" t="s">
        <v>452</v>
      </c>
      <c r="H4331" s="64" t="n">
        <v>3000000000</v>
      </c>
      <c r="I4331" s="62" t="s">
        <v>81</v>
      </c>
      <c r="J4331" s="64" t="n">
        <v>3000000</v>
      </c>
      <c r="K4331" s="62" t="s">
        <v>138</v>
      </c>
      <c r="L4331" s="68" t="b">
        <f aca="false">TRUE()</f>
        <v>1</v>
      </c>
    </row>
    <row r="4332" customFormat="false" ht="15" hidden="false" customHeight="false" outlineLevel="0" collapsed="false">
      <c r="A4332" s="62" t="n">
        <v>1</v>
      </c>
      <c r="B4332" s="21" t="s">
        <v>336</v>
      </c>
      <c r="C4332" s="62" t="s">
        <v>60</v>
      </c>
      <c r="D4332" s="62" t="s">
        <v>383</v>
      </c>
      <c r="E4332" s="62" t="s">
        <v>71</v>
      </c>
      <c r="F4332" s="62" t="s">
        <v>382</v>
      </c>
      <c r="G4332" s="63" t="s">
        <v>452</v>
      </c>
      <c r="H4332" s="64" t="n">
        <v>11480000000</v>
      </c>
      <c r="I4332" s="62" t="s">
        <v>81</v>
      </c>
      <c r="J4332" s="64" t="n">
        <v>11480000</v>
      </c>
      <c r="K4332" s="62" t="s">
        <v>138</v>
      </c>
      <c r="L4332" s="68" t="b">
        <f aca="false">TRUE()</f>
        <v>1</v>
      </c>
    </row>
    <row r="4333" customFormat="false" ht="15" hidden="false" customHeight="false" outlineLevel="0" collapsed="false">
      <c r="A4333" s="62" t="n">
        <v>1</v>
      </c>
      <c r="B4333" s="21" t="s">
        <v>336</v>
      </c>
      <c r="C4333" s="62" t="s">
        <v>60</v>
      </c>
      <c r="D4333" s="62" t="s">
        <v>384</v>
      </c>
      <c r="E4333" s="62" t="s">
        <v>71</v>
      </c>
      <c r="F4333" s="62" t="s">
        <v>382</v>
      </c>
      <c r="G4333" s="63" t="s">
        <v>452</v>
      </c>
      <c r="H4333" s="64" t="n">
        <v>6000000000</v>
      </c>
      <c r="I4333" s="62" t="s">
        <v>81</v>
      </c>
      <c r="J4333" s="64" t="n">
        <v>6000000</v>
      </c>
      <c r="K4333" s="62" t="s">
        <v>138</v>
      </c>
      <c r="L4333" s="68" t="b">
        <f aca="false">TRUE()</f>
        <v>1</v>
      </c>
    </row>
    <row r="4334" customFormat="false" ht="15" hidden="false" customHeight="false" outlineLevel="0" collapsed="false">
      <c r="A4334" s="62" t="n">
        <v>1</v>
      </c>
      <c r="B4334" s="21" t="s">
        <v>336</v>
      </c>
      <c r="C4334" s="62" t="s">
        <v>60</v>
      </c>
      <c r="D4334" s="62" t="s">
        <v>385</v>
      </c>
      <c r="E4334" s="62" t="s">
        <v>71</v>
      </c>
      <c r="F4334" s="62" t="s">
        <v>382</v>
      </c>
      <c r="G4334" s="63" t="s">
        <v>452</v>
      </c>
      <c r="H4334" s="64" t="n">
        <v>1000000000</v>
      </c>
      <c r="I4334" s="62" t="s">
        <v>81</v>
      </c>
      <c r="J4334" s="64" t="n">
        <v>1000000</v>
      </c>
      <c r="K4334" s="62" t="s">
        <v>138</v>
      </c>
      <c r="L4334" s="68" t="b">
        <f aca="false">TRUE()</f>
        <v>1</v>
      </c>
    </row>
    <row r="4335" customFormat="false" ht="15" hidden="false" customHeight="false" outlineLevel="0" collapsed="false">
      <c r="A4335" s="62" t="n">
        <v>1</v>
      </c>
      <c r="B4335" s="21" t="s">
        <v>336</v>
      </c>
      <c r="C4335" s="62" t="s">
        <v>60</v>
      </c>
      <c r="D4335" s="62" t="s">
        <v>386</v>
      </c>
      <c r="E4335" s="62" t="s">
        <v>71</v>
      </c>
      <c r="F4335" s="62" t="s">
        <v>382</v>
      </c>
      <c r="G4335" s="63" t="s">
        <v>452</v>
      </c>
      <c r="H4335" s="64" t="n">
        <v>2500000000</v>
      </c>
      <c r="I4335" s="62" t="s">
        <v>81</v>
      </c>
      <c r="J4335" s="64" t="n">
        <v>2500000</v>
      </c>
      <c r="K4335" s="62" t="s">
        <v>138</v>
      </c>
      <c r="L4335" s="68" t="b">
        <f aca="false">TRUE()</f>
        <v>1</v>
      </c>
    </row>
    <row r="4336" customFormat="false" ht="15" hidden="false" customHeight="false" outlineLevel="0" collapsed="false">
      <c r="A4336" s="62" t="n">
        <v>1</v>
      </c>
      <c r="B4336" s="21" t="s">
        <v>336</v>
      </c>
      <c r="C4336" s="62" t="s">
        <v>60</v>
      </c>
      <c r="D4336" s="62" t="s">
        <v>387</v>
      </c>
      <c r="E4336" s="62" t="s">
        <v>71</v>
      </c>
      <c r="F4336" s="62" t="s">
        <v>382</v>
      </c>
      <c r="G4336" s="63" t="s">
        <v>452</v>
      </c>
      <c r="H4336" s="64" t="n">
        <v>12500000000</v>
      </c>
      <c r="I4336" s="62" t="s">
        <v>81</v>
      </c>
      <c r="J4336" s="64" t="n">
        <v>12500000</v>
      </c>
      <c r="K4336" s="62" t="s">
        <v>138</v>
      </c>
      <c r="L4336" s="68" t="b">
        <f aca="false">TRUE()</f>
        <v>1</v>
      </c>
    </row>
    <row r="4337" customFormat="false" ht="15" hidden="false" customHeight="false" outlineLevel="0" collapsed="false">
      <c r="A4337" s="62" t="n">
        <v>1</v>
      </c>
      <c r="B4337" s="21" t="s">
        <v>336</v>
      </c>
      <c r="C4337" s="62" t="s">
        <v>60</v>
      </c>
      <c r="D4337" s="62" t="s">
        <v>388</v>
      </c>
      <c r="E4337" s="62" t="s">
        <v>71</v>
      </c>
      <c r="F4337" s="62" t="s">
        <v>382</v>
      </c>
      <c r="G4337" s="63" t="s">
        <v>452</v>
      </c>
      <c r="H4337" s="64" t="n">
        <v>2000000000</v>
      </c>
      <c r="I4337" s="62" t="s">
        <v>81</v>
      </c>
      <c r="J4337" s="64" t="n">
        <v>2000000</v>
      </c>
      <c r="K4337" s="62" t="s">
        <v>138</v>
      </c>
      <c r="L4337" s="68" t="b">
        <f aca="false">TRUE()</f>
        <v>1</v>
      </c>
    </row>
    <row r="4338" customFormat="false" ht="15" hidden="false" customHeight="false" outlineLevel="0" collapsed="false">
      <c r="A4338" s="62" t="n">
        <v>1</v>
      </c>
      <c r="B4338" s="21" t="s">
        <v>336</v>
      </c>
      <c r="C4338" s="62" t="s">
        <v>60</v>
      </c>
      <c r="D4338" s="62" t="s">
        <v>381</v>
      </c>
      <c r="E4338" s="62" t="s">
        <v>71</v>
      </c>
      <c r="F4338" s="62" t="s">
        <v>382</v>
      </c>
      <c r="G4338" s="63" t="s">
        <v>439</v>
      </c>
      <c r="H4338" s="64" t="n">
        <v>2481038901.99453</v>
      </c>
      <c r="I4338" s="62" t="s">
        <v>81</v>
      </c>
      <c r="J4338" s="64" t="n">
        <v>2481038.90199453</v>
      </c>
      <c r="K4338" s="62" t="s">
        <v>138</v>
      </c>
      <c r="L4338" s="68" t="b">
        <f aca="false">TRUE()</f>
        <v>1</v>
      </c>
    </row>
    <row r="4339" customFormat="false" ht="15" hidden="false" customHeight="false" outlineLevel="0" collapsed="false">
      <c r="A4339" s="62" t="n">
        <v>1</v>
      </c>
      <c r="B4339" s="21" t="s">
        <v>336</v>
      </c>
      <c r="C4339" s="62" t="s">
        <v>60</v>
      </c>
      <c r="D4339" s="62" t="s">
        <v>383</v>
      </c>
      <c r="E4339" s="62" t="s">
        <v>71</v>
      </c>
      <c r="F4339" s="62" t="s">
        <v>382</v>
      </c>
      <c r="G4339" s="63" t="s">
        <v>439</v>
      </c>
      <c r="H4339" s="64" t="n">
        <v>11264998828.2657</v>
      </c>
      <c r="I4339" s="62" t="s">
        <v>81</v>
      </c>
      <c r="J4339" s="64" t="n">
        <v>11264998.8282657</v>
      </c>
      <c r="K4339" s="62" t="s">
        <v>138</v>
      </c>
      <c r="L4339" s="68" t="b">
        <f aca="false">TRUE()</f>
        <v>1</v>
      </c>
    </row>
    <row r="4340" customFormat="false" ht="15" hidden="false" customHeight="false" outlineLevel="0" collapsed="false">
      <c r="A4340" s="62" t="n">
        <v>1</v>
      </c>
      <c r="B4340" s="21" t="s">
        <v>336</v>
      </c>
      <c r="C4340" s="62" t="s">
        <v>60</v>
      </c>
      <c r="D4340" s="62" t="s">
        <v>384</v>
      </c>
      <c r="E4340" s="62" t="s">
        <v>71</v>
      </c>
      <c r="F4340" s="62" t="s">
        <v>382</v>
      </c>
      <c r="G4340" s="63" t="s">
        <v>439</v>
      </c>
      <c r="H4340" s="64" t="n">
        <v>5569894123.79228</v>
      </c>
      <c r="I4340" s="62" t="s">
        <v>81</v>
      </c>
      <c r="J4340" s="64" t="n">
        <v>5569894.12379228</v>
      </c>
      <c r="K4340" s="62" t="s">
        <v>138</v>
      </c>
      <c r="L4340" s="68" t="b">
        <f aca="false">TRUE()</f>
        <v>1</v>
      </c>
    </row>
    <row r="4341" customFormat="false" ht="15" hidden="false" customHeight="false" outlineLevel="0" collapsed="false">
      <c r="A4341" s="62" t="n">
        <v>1</v>
      </c>
      <c r="B4341" s="21" t="s">
        <v>336</v>
      </c>
      <c r="C4341" s="62" t="s">
        <v>60</v>
      </c>
      <c r="D4341" s="62" t="s">
        <v>385</v>
      </c>
      <c r="E4341" s="62" t="s">
        <v>71</v>
      </c>
      <c r="F4341" s="62" t="s">
        <v>382</v>
      </c>
      <c r="G4341" s="63" t="s">
        <v>439</v>
      </c>
      <c r="H4341" s="64" t="n">
        <v>928333029.248738</v>
      </c>
      <c r="I4341" s="62" t="s">
        <v>81</v>
      </c>
      <c r="J4341" s="64" t="n">
        <v>928333.029248738</v>
      </c>
      <c r="K4341" s="62" t="s">
        <v>138</v>
      </c>
      <c r="L4341" s="68" t="b">
        <f aca="false">TRUE()</f>
        <v>1</v>
      </c>
    </row>
    <row r="4342" customFormat="false" ht="15" hidden="false" customHeight="false" outlineLevel="0" collapsed="false">
      <c r="A4342" s="62" t="n">
        <v>1</v>
      </c>
      <c r="B4342" s="21" t="s">
        <v>336</v>
      </c>
      <c r="C4342" s="62" t="s">
        <v>60</v>
      </c>
      <c r="D4342" s="62" t="s">
        <v>386</v>
      </c>
      <c r="E4342" s="62" t="s">
        <v>71</v>
      </c>
      <c r="F4342" s="62" t="s">
        <v>382</v>
      </c>
      <c r="G4342" s="63" t="s">
        <v>439</v>
      </c>
      <c r="H4342" s="64" t="n">
        <v>1332337529.48769</v>
      </c>
      <c r="I4342" s="62" t="s">
        <v>81</v>
      </c>
      <c r="J4342" s="64" t="n">
        <v>1332337.52948769</v>
      </c>
      <c r="K4342" s="62" t="s">
        <v>138</v>
      </c>
      <c r="L4342" s="68" t="b">
        <f aca="false">TRUE()</f>
        <v>1</v>
      </c>
    </row>
    <row r="4343" customFormat="false" ht="15" hidden="false" customHeight="false" outlineLevel="0" collapsed="false">
      <c r="A4343" s="62" t="n">
        <v>1</v>
      </c>
      <c r="B4343" s="21" t="s">
        <v>336</v>
      </c>
      <c r="C4343" s="62" t="s">
        <v>60</v>
      </c>
      <c r="D4343" s="62" t="s">
        <v>387</v>
      </c>
      <c r="E4343" s="62" t="s">
        <v>71</v>
      </c>
      <c r="F4343" s="62" t="s">
        <v>382</v>
      </c>
      <c r="G4343" s="63" t="s">
        <v>439</v>
      </c>
      <c r="H4343" s="64" t="n">
        <v>12213331598.0339</v>
      </c>
      <c r="I4343" s="62" t="s">
        <v>81</v>
      </c>
      <c r="J4343" s="64" t="n">
        <v>12213331.5980339</v>
      </c>
      <c r="K4343" s="62" t="s">
        <v>138</v>
      </c>
      <c r="L4343" s="68" t="b">
        <f aca="false">TRUE()</f>
        <v>1</v>
      </c>
    </row>
    <row r="4344" customFormat="false" ht="15" hidden="false" customHeight="false" outlineLevel="0" collapsed="false">
      <c r="A4344" s="62" t="n">
        <v>1</v>
      </c>
      <c r="B4344" s="21" t="s">
        <v>336</v>
      </c>
      <c r="C4344" s="62" t="s">
        <v>60</v>
      </c>
      <c r="D4344" s="62" t="s">
        <v>388</v>
      </c>
      <c r="E4344" s="62" t="s">
        <v>71</v>
      </c>
      <c r="F4344" s="62" t="s">
        <v>382</v>
      </c>
      <c r="G4344" s="63" t="s">
        <v>439</v>
      </c>
      <c r="H4344" s="64" t="n">
        <v>1848083739.33921</v>
      </c>
      <c r="I4344" s="62" t="s">
        <v>81</v>
      </c>
      <c r="J4344" s="64" t="n">
        <v>1848083.73933921</v>
      </c>
      <c r="K4344" s="62" t="s">
        <v>138</v>
      </c>
      <c r="L4344" s="68" t="b">
        <f aca="false">TRUE()</f>
        <v>1</v>
      </c>
    </row>
    <row r="4345" customFormat="false" ht="15" hidden="false" customHeight="false" outlineLevel="0" collapsed="false">
      <c r="A4345" s="62" t="n">
        <v>1</v>
      </c>
      <c r="B4345" s="21" t="s">
        <v>336</v>
      </c>
      <c r="C4345" s="62" t="s">
        <v>60</v>
      </c>
      <c r="D4345" s="62" t="s">
        <v>381</v>
      </c>
      <c r="E4345" s="62" t="s">
        <v>71</v>
      </c>
      <c r="F4345" s="62" t="s">
        <v>382</v>
      </c>
      <c r="G4345" s="63" t="s">
        <v>453</v>
      </c>
      <c r="H4345" s="64" t="n">
        <v>1914540496.98035</v>
      </c>
      <c r="I4345" s="62" t="s">
        <v>81</v>
      </c>
      <c r="J4345" s="64" t="n">
        <v>1914540.49698035</v>
      </c>
      <c r="K4345" s="62" t="s">
        <v>138</v>
      </c>
      <c r="L4345" s="68" t="b">
        <f aca="false">TRUE()</f>
        <v>1</v>
      </c>
    </row>
    <row r="4346" customFormat="false" ht="15" hidden="false" customHeight="false" outlineLevel="0" collapsed="false">
      <c r="A4346" s="62" t="n">
        <v>1</v>
      </c>
      <c r="B4346" s="21" t="s">
        <v>336</v>
      </c>
      <c r="C4346" s="62" t="s">
        <v>60</v>
      </c>
      <c r="D4346" s="62" t="s">
        <v>383</v>
      </c>
      <c r="E4346" s="62" t="s">
        <v>71</v>
      </c>
      <c r="F4346" s="62" t="s">
        <v>382</v>
      </c>
      <c r="G4346" s="63" t="s">
        <v>453</v>
      </c>
      <c r="H4346" s="64" t="n">
        <v>9386409250.6395</v>
      </c>
      <c r="I4346" s="62" t="s">
        <v>81</v>
      </c>
      <c r="J4346" s="64" t="n">
        <v>9386409.2506395</v>
      </c>
      <c r="K4346" s="62" t="s">
        <v>138</v>
      </c>
      <c r="L4346" s="68" t="b">
        <f aca="false">TRUE()</f>
        <v>1</v>
      </c>
    </row>
    <row r="4347" customFormat="false" ht="15" hidden="false" customHeight="false" outlineLevel="0" collapsed="false">
      <c r="A4347" s="62" t="n">
        <v>1</v>
      </c>
      <c r="B4347" s="21" t="s">
        <v>336</v>
      </c>
      <c r="C4347" s="62" t="s">
        <v>60</v>
      </c>
      <c r="D4347" s="62" t="s">
        <v>384</v>
      </c>
      <c r="E4347" s="62" t="s">
        <v>71</v>
      </c>
      <c r="F4347" s="62" t="s">
        <v>382</v>
      </c>
      <c r="G4347" s="63" t="s">
        <v>453</v>
      </c>
      <c r="H4347" s="64" t="n">
        <v>5465080230.97913</v>
      </c>
      <c r="I4347" s="62" t="s">
        <v>81</v>
      </c>
      <c r="J4347" s="64" t="n">
        <v>5465080.23097913</v>
      </c>
      <c r="K4347" s="62" t="s">
        <v>138</v>
      </c>
      <c r="L4347" s="68" t="b">
        <f aca="false">TRUE()</f>
        <v>1</v>
      </c>
    </row>
    <row r="4348" customFormat="false" ht="15" hidden="false" customHeight="false" outlineLevel="0" collapsed="false">
      <c r="A4348" s="62" t="n">
        <v>1</v>
      </c>
      <c r="B4348" s="21" t="s">
        <v>336</v>
      </c>
      <c r="C4348" s="62" t="s">
        <v>60</v>
      </c>
      <c r="D4348" s="62" t="s">
        <v>385</v>
      </c>
      <c r="E4348" s="62" t="s">
        <v>71</v>
      </c>
      <c r="F4348" s="62" t="s">
        <v>382</v>
      </c>
      <c r="G4348" s="63" t="s">
        <v>453</v>
      </c>
      <c r="H4348" s="64" t="n">
        <v>1641098602.42693</v>
      </c>
      <c r="I4348" s="62" t="s">
        <v>81</v>
      </c>
      <c r="J4348" s="64" t="n">
        <v>1641098.60242693</v>
      </c>
      <c r="K4348" s="62" t="s">
        <v>138</v>
      </c>
      <c r="L4348" s="68" t="b">
        <f aca="false">TRUE()</f>
        <v>1</v>
      </c>
    </row>
    <row r="4349" customFormat="false" ht="15" hidden="false" customHeight="false" outlineLevel="0" collapsed="false">
      <c r="A4349" s="62" t="n">
        <v>1</v>
      </c>
      <c r="B4349" s="21" t="s">
        <v>336</v>
      </c>
      <c r="C4349" s="62" t="s">
        <v>60</v>
      </c>
      <c r="D4349" s="62" t="s">
        <v>386</v>
      </c>
      <c r="E4349" s="62" t="s">
        <v>71</v>
      </c>
      <c r="F4349" s="62" t="s">
        <v>382</v>
      </c>
      <c r="G4349" s="63" t="s">
        <v>453</v>
      </c>
      <c r="H4349" s="64" t="n">
        <v>3421673999.0086</v>
      </c>
      <c r="I4349" s="62" t="s">
        <v>81</v>
      </c>
      <c r="J4349" s="64" t="n">
        <v>3421673.9990086</v>
      </c>
      <c r="K4349" s="62" t="s">
        <v>138</v>
      </c>
      <c r="L4349" s="68" t="b">
        <f aca="false">TRUE()</f>
        <v>1</v>
      </c>
    </row>
    <row r="4350" customFormat="false" ht="15" hidden="false" customHeight="false" outlineLevel="0" collapsed="false">
      <c r="A4350" s="62" t="n">
        <v>1</v>
      </c>
      <c r="B4350" s="21" t="s">
        <v>336</v>
      </c>
      <c r="C4350" s="62" t="s">
        <v>60</v>
      </c>
      <c r="D4350" s="62" t="s">
        <v>387</v>
      </c>
      <c r="E4350" s="62" t="s">
        <v>71</v>
      </c>
      <c r="F4350" s="62" t="s">
        <v>382</v>
      </c>
      <c r="G4350" s="63" t="s">
        <v>453</v>
      </c>
      <c r="H4350" s="64" t="n">
        <v>10887552362.3043</v>
      </c>
      <c r="I4350" s="62" t="s">
        <v>81</v>
      </c>
      <c r="J4350" s="64" t="n">
        <v>10887552.3623043</v>
      </c>
      <c r="K4350" s="62" t="s">
        <v>138</v>
      </c>
      <c r="L4350" s="68" t="b">
        <f aca="false">TRUE()</f>
        <v>1</v>
      </c>
    </row>
    <row r="4351" customFormat="false" ht="15" hidden="false" customHeight="false" outlineLevel="0" collapsed="false">
      <c r="A4351" s="62" t="n">
        <v>1</v>
      </c>
      <c r="B4351" s="21" t="s">
        <v>336</v>
      </c>
      <c r="C4351" s="62" t="s">
        <v>60</v>
      </c>
      <c r="D4351" s="62" t="s">
        <v>388</v>
      </c>
      <c r="E4351" s="62" t="s">
        <v>71</v>
      </c>
      <c r="F4351" s="62" t="s">
        <v>382</v>
      </c>
      <c r="G4351" s="63" t="s">
        <v>453</v>
      </c>
      <c r="H4351" s="64" t="n">
        <v>2291753429.37366</v>
      </c>
      <c r="I4351" s="62" t="s">
        <v>81</v>
      </c>
      <c r="J4351" s="64" t="n">
        <v>2291753.42937366</v>
      </c>
      <c r="K4351" s="62" t="s">
        <v>138</v>
      </c>
      <c r="L4351" s="68" t="b">
        <f aca="false">TRUE()</f>
        <v>1</v>
      </c>
    </row>
    <row r="4352" customFormat="false" ht="15" hidden="false" customHeight="false" outlineLevel="0" collapsed="false">
      <c r="A4352" s="62" t="n">
        <v>1</v>
      </c>
      <c r="B4352" s="21" t="s">
        <v>336</v>
      </c>
      <c r="C4352" s="62" t="s">
        <v>60</v>
      </c>
      <c r="D4352" s="62" t="s">
        <v>381</v>
      </c>
      <c r="E4352" s="62" t="s">
        <v>71</v>
      </c>
      <c r="F4352" s="62" t="s">
        <v>382</v>
      </c>
      <c r="G4352" s="63" t="s">
        <v>454</v>
      </c>
      <c r="H4352" s="64" t="n">
        <v>365032427.722816</v>
      </c>
      <c r="I4352" s="62" t="s">
        <v>81</v>
      </c>
      <c r="J4352" s="64" t="n">
        <v>365032.427722816</v>
      </c>
      <c r="K4352" s="62" t="s">
        <v>138</v>
      </c>
      <c r="L4352" s="68" t="b">
        <f aca="false">TRUE()</f>
        <v>1</v>
      </c>
    </row>
    <row r="4353" customFormat="false" ht="15" hidden="false" customHeight="false" outlineLevel="0" collapsed="false">
      <c r="A4353" s="62" t="n">
        <v>1</v>
      </c>
      <c r="B4353" s="21" t="s">
        <v>336</v>
      </c>
      <c r="C4353" s="62" t="s">
        <v>60</v>
      </c>
      <c r="D4353" s="62" t="s">
        <v>383</v>
      </c>
      <c r="E4353" s="62" t="s">
        <v>71</v>
      </c>
      <c r="F4353" s="62" t="s">
        <v>382</v>
      </c>
      <c r="G4353" s="63" t="s">
        <v>454</v>
      </c>
      <c r="H4353" s="64" t="n">
        <v>365032427.722816</v>
      </c>
      <c r="I4353" s="62" t="s">
        <v>81</v>
      </c>
      <c r="J4353" s="64" t="n">
        <v>365032.427722816</v>
      </c>
      <c r="K4353" s="62" t="s">
        <v>138</v>
      </c>
      <c r="L4353" s="68" t="b">
        <f aca="false">TRUE()</f>
        <v>1</v>
      </c>
    </row>
    <row r="4354" customFormat="false" ht="15" hidden="false" customHeight="false" outlineLevel="0" collapsed="false">
      <c r="A4354" s="62" t="n">
        <v>1</v>
      </c>
      <c r="B4354" s="21" t="s">
        <v>336</v>
      </c>
      <c r="C4354" s="62" t="s">
        <v>60</v>
      </c>
      <c r="D4354" s="62" t="s">
        <v>384</v>
      </c>
      <c r="E4354" s="62" t="s">
        <v>71</v>
      </c>
      <c r="F4354" s="62" t="s">
        <v>382</v>
      </c>
      <c r="G4354" s="63" t="s">
        <v>454</v>
      </c>
      <c r="H4354" s="64" t="n">
        <v>365032427.722816</v>
      </c>
      <c r="I4354" s="62" t="s">
        <v>81</v>
      </c>
      <c r="J4354" s="64" t="n">
        <v>365032.427722816</v>
      </c>
      <c r="K4354" s="62" t="s">
        <v>138</v>
      </c>
      <c r="L4354" s="68" t="b">
        <f aca="false">TRUE()</f>
        <v>1</v>
      </c>
    </row>
    <row r="4355" customFormat="false" ht="15" hidden="false" customHeight="false" outlineLevel="0" collapsed="false">
      <c r="A4355" s="62" t="n">
        <v>1</v>
      </c>
      <c r="B4355" s="21" t="s">
        <v>336</v>
      </c>
      <c r="C4355" s="62" t="s">
        <v>60</v>
      </c>
      <c r="D4355" s="62" t="s">
        <v>385</v>
      </c>
      <c r="E4355" s="62" t="s">
        <v>71</v>
      </c>
      <c r="F4355" s="62" t="s">
        <v>382</v>
      </c>
      <c r="G4355" s="63" t="s">
        <v>454</v>
      </c>
      <c r="H4355" s="64" t="n">
        <v>365032427.722816</v>
      </c>
      <c r="I4355" s="62" t="s">
        <v>81</v>
      </c>
      <c r="J4355" s="64" t="n">
        <v>365032.427722816</v>
      </c>
      <c r="K4355" s="62" t="s">
        <v>138</v>
      </c>
      <c r="L4355" s="68" t="b">
        <f aca="false">TRUE()</f>
        <v>1</v>
      </c>
    </row>
    <row r="4356" customFormat="false" ht="15" hidden="false" customHeight="false" outlineLevel="0" collapsed="false">
      <c r="A4356" s="62" t="n">
        <v>1</v>
      </c>
      <c r="B4356" s="21" t="s">
        <v>336</v>
      </c>
      <c r="C4356" s="62" t="s">
        <v>60</v>
      </c>
      <c r="D4356" s="62" t="s">
        <v>386</v>
      </c>
      <c r="E4356" s="62" t="s">
        <v>71</v>
      </c>
      <c r="F4356" s="62" t="s">
        <v>382</v>
      </c>
      <c r="G4356" s="63" t="s">
        <v>454</v>
      </c>
      <c r="H4356" s="64" t="n">
        <v>365032427.722816</v>
      </c>
      <c r="I4356" s="62" t="s">
        <v>81</v>
      </c>
      <c r="J4356" s="64" t="n">
        <v>365032.427722816</v>
      </c>
      <c r="K4356" s="62" t="s">
        <v>138</v>
      </c>
      <c r="L4356" s="68" t="b">
        <f aca="false">TRUE()</f>
        <v>1</v>
      </c>
    </row>
    <row r="4357" customFormat="false" ht="15" hidden="false" customHeight="false" outlineLevel="0" collapsed="false">
      <c r="A4357" s="62" t="n">
        <v>1</v>
      </c>
      <c r="B4357" s="21" t="s">
        <v>336</v>
      </c>
      <c r="C4357" s="62" t="s">
        <v>60</v>
      </c>
      <c r="D4357" s="62" t="s">
        <v>387</v>
      </c>
      <c r="E4357" s="62" t="s">
        <v>71</v>
      </c>
      <c r="F4357" s="62" t="s">
        <v>382</v>
      </c>
      <c r="G4357" s="63" t="s">
        <v>454</v>
      </c>
      <c r="H4357" s="64" t="n">
        <v>365032427.722816</v>
      </c>
      <c r="I4357" s="62" t="s">
        <v>81</v>
      </c>
      <c r="J4357" s="64" t="n">
        <v>365032.427722816</v>
      </c>
      <c r="K4357" s="62" t="s">
        <v>138</v>
      </c>
      <c r="L4357" s="68" t="b">
        <f aca="false">TRUE()</f>
        <v>1</v>
      </c>
    </row>
    <row r="4358" customFormat="false" ht="15" hidden="false" customHeight="false" outlineLevel="0" collapsed="false">
      <c r="A4358" s="62" t="n">
        <v>1</v>
      </c>
      <c r="B4358" s="21" t="s">
        <v>336</v>
      </c>
      <c r="C4358" s="62" t="s">
        <v>60</v>
      </c>
      <c r="D4358" s="62" t="s">
        <v>388</v>
      </c>
      <c r="E4358" s="62" t="s">
        <v>71</v>
      </c>
      <c r="F4358" s="62" t="s">
        <v>382</v>
      </c>
      <c r="G4358" s="63" t="s">
        <v>454</v>
      </c>
      <c r="H4358" s="64" t="n">
        <v>365032427.722816</v>
      </c>
      <c r="I4358" s="62" t="s">
        <v>81</v>
      </c>
      <c r="J4358" s="64" t="n">
        <v>365032.427722816</v>
      </c>
      <c r="K4358" s="62" t="s">
        <v>138</v>
      </c>
      <c r="L4358" s="68" t="b">
        <f aca="false">TRUE()</f>
        <v>1</v>
      </c>
    </row>
    <row r="4359" customFormat="false" ht="15" hidden="false" customHeight="false" outlineLevel="0" collapsed="false">
      <c r="A4359" s="62" t="n">
        <v>1</v>
      </c>
      <c r="B4359" s="21" t="s">
        <v>336</v>
      </c>
      <c r="C4359" s="62" t="s">
        <v>60</v>
      </c>
      <c r="D4359" s="62" t="s">
        <v>381</v>
      </c>
      <c r="E4359" s="62" t="s">
        <v>71</v>
      </c>
      <c r="F4359" s="62" t="s">
        <v>382</v>
      </c>
      <c r="G4359" s="63" t="s">
        <v>455</v>
      </c>
      <c r="H4359" s="64" t="n">
        <v>2279572924.70316</v>
      </c>
      <c r="I4359" s="62" t="s">
        <v>81</v>
      </c>
      <c r="J4359" s="64" t="n">
        <v>2279572.92470316</v>
      </c>
      <c r="K4359" s="62" t="s">
        <v>138</v>
      </c>
      <c r="L4359" s="68" t="b">
        <f aca="false">TRUE()</f>
        <v>1</v>
      </c>
    </row>
    <row r="4360" customFormat="false" ht="15" hidden="false" customHeight="false" outlineLevel="0" collapsed="false">
      <c r="A4360" s="62" t="n">
        <v>1</v>
      </c>
      <c r="B4360" s="21" t="s">
        <v>336</v>
      </c>
      <c r="C4360" s="62" t="s">
        <v>60</v>
      </c>
      <c r="D4360" s="62" t="s">
        <v>383</v>
      </c>
      <c r="E4360" s="62" t="s">
        <v>71</v>
      </c>
      <c r="F4360" s="62" t="s">
        <v>382</v>
      </c>
      <c r="G4360" s="63" t="s">
        <v>455</v>
      </c>
      <c r="H4360" s="64" t="n">
        <v>9751441678.36232</v>
      </c>
      <c r="I4360" s="62" t="s">
        <v>81</v>
      </c>
      <c r="J4360" s="64" t="n">
        <v>9751441.67836232</v>
      </c>
      <c r="K4360" s="62" t="s">
        <v>138</v>
      </c>
      <c r="L4360" s="68" t="b">
        <f aca="false">TRUE()</f>
        <v>1</v>
      </c>
    </row>
    <row r="4361" customFormat="false" ht="15" hidden="false" customHeight="false" outlineLevel="0" collapsed="false">
      <c r="A4361" s="62" t="n">
        <v>1</v>
      </c>
      <c r="B4361" s="21" t="s">
        <v>336</v>
      </c>
      <c r="C4361" s="62" t="s">
        <v>60</v>
      </c>
      <c r="D4361" s="62" t="s">
        <v>384</v>
      </c>
      <c r="E4361" s="62" t="s">
        <v>71</v>
      </c>
      <c r="F4361" s="62" t="s">
        <v>382</v>
      </c>
      <c r="G4361" s="63" t="s">
        <v>455</v>
      </c>
      <c r="H4361" s="64" t="n">
        <v>5830112658.70195</v>
      </c>
      <c r="I4361" s="62" t="s">
        <v>81</v>
      </c>
      <c r="J4361" s="64" t="n">
        <v>5830112.65870195</v>
      </c>
      <c r="K4361" s="62" t="s">
        <v>138</v>
      </c>
      <c r="L4361" s="68" t="b">
        <f aca="false">TRUE()</f>
        <v>1</v>
      </c>
    </row>
    <row r="4362" customFormat="false" ht="15" hidden="false" customHeight="false" outlineLevel="0" collapsed="false">
      <c r="A4362" s="62" t="n">
        <v>1</v>
      </c>
      <c r="B4362" s="21" t="s">
        <v>336</v>
      </c>
      <c r="C4362" s="62" t="s">
        <v>60</v>
      </c>
      <c r="D4362" s="62" t="s">
        <v>385</v>
      </c>
      <c r="E4362" s="62" t="s">
        <v>71</v>
      </c>
      <c r="F4362" s="62" t="s">
        <v>382</v>
      </c>
      <c r="G4362" s="63" t="s">
        <v>455</v>
      </c>
      <c r="H4362" s="64" t="n">
        <v>2006131030.14974</v>
      </c>
      <c r="I4362" s="62" t="s">
        <v>81</v>
      </c>
      <c r="J4362" s="64" t="n">
        <v>2006131.03014974</v>
      </c>
      <c r="K4362" s="62" t="s">
        <v>138</v>
      </c>
      <c r="L4362" s="68" t="b">
        <f aca="false">TRUE()</f>
        <v>1</v>
      </c>
    </row>
    <row r="4363" customFormat="false" ht="15" hidden="false" customHeight="false" outlineLevel="0" collapsed="false">
      <c r="A4363" s="62" t="n">
        <v>1</v>
      </c>
      <c r="B4363" s="21" t="s">
        <v>336</v>
      </c>
      <c r="C4363" s="62" t="s">
        <v>60</v>
      </c>
      <c r="D4363" s="62" t="s">
        <v>386</v>
      </c>
      <c r="E4363" s="62" t="s">
        <v>71</v>
      </c>
      <c r="F4363" s="62" t="s">
        <v>382</v>
      </c>
      <c r="G4363" s="63" t="s">
        <v>455</v>
      </c>
      <c r="H4363" s="64" t="n">
        <v>3786706426.73141</v>
      </c>
      <c r="I4363" s="62" t="s">
        <v>81</v>
      </c>
      <c r="J4363" s="64" t="n">
        <v>3786706.42673141</v>
      </c>
      <c r="K4363" s="62" t="s">
        <v>138</v>
      </c>
      <c r="L4363" s="68" t="b">
        <f aca="false">TRUE()</f>
        <v>1</v>
      </c>
    </row>
    <row r="4364" customFormat="false" ht="15" hidden="false" customHeight="false" outlineLevel="0" collapsed="false">
      <c r="A4364" s="62" t="n">
        <v>1</v>
      </c>
      <c r="B4364" s="21" t="s">
        <v>336</v>
      </c>
      <c r="C4364" s="62" t="s">
        <v>60</v>
      </c>
      <c r="D4364" s="62" t="s">
        <v>387</v>
      </c>
      <c r="E4364" s="62" t="s">
        <v>71</v>
      </c>
      <c r="F4364" s="62" t="s">
        <v>382</v>
      </c>
      <c r="G4364" s="63" t="s">
        <v>455</v>
      </c>
      <c r="H4364" s="64" t="n">
        <v>11252584790.0271</v>
      </c>
      <c r="I4364" s="62" t="s">
        <v>81</v>
      </c>
      <c r="J4364" s="64" t="n">
        <v>11252584.7900271</v>
      </c>
      <c r="K4364" s="62" t="s">
        <v>138</v>
      </c>
      <c r="L4364" s="68" t="b">
        <f aca="false">TRUE()</f>
        <v>1</v>
      </c>
    </row>
    <row r="4365" customFormat="false" ht="15" hidden="false" customHeight="false" outlineLevel="0" collapsed="false">
      <c r="A4365" s="62" t="n">
        <v>1</v>
      </c>
      <c r="B4365" s="21" t="s">
        <v>336</v>
      </c>
      <c r="C4365" s="62" t="s">
        <v>60</v>
      </c>
      <c r="D4365" s="62" t="s">
        <v>388</v>
      </c>
      <c r="E4365" s="62" t="s">
        <v>71</v>
      </c>
      <c r="F4365" s="62" t="s">
        <v>382</v>
      </c>
      <c r="G4365" s="63" t="s">
        <v>455</v>
      </c>
      <c r="H4365" s="64" t="n">
        <v>2656785857.09647</v>
      </c>
      <c r="I4365" s="62" t="s">
        <v>81</v>
      </c>
      <c r="J4365" s="64" t="n">
        <v>2656785.85709647</v>
      </c>
      <c r="K4365" s="62" t="s">
        <v>138</v>
      </c>
      <c r="L4365" s="68" t="b">
        <f aca="false">TRUE()</f>
        <v>1</v>
      </c>
    </row>
    <row r="4366" customFormat="false" ht="15" hidden="false" customHeight="false" outlineLevel="0" collapsed="false">
      <c r="A4366" s="62" t="n">
        <v>1</v>
      </c>
      <c r="B4366" s="21" t="s">
        <v>336</v>
      </c>
      <c r="C4366" s="62" t="s">
        <v>60</v>
      </c>
      <c r="D4366" s="62" t="s">
        <v>381</v>
      </c>
      <c r="E4366" s="62" t="s">
        <v>72</v>
      </c>
      <c r="F4366" s="62" t="s">
        <v>382</v>
      </c>
      <c r="G4366" s="63" t="s">
        <v>456</v>
      </c>
      <c r="H4366" s="64" t="n">
        <v>13593437297.4956</v>
      </c>
      <c r="I4366" s="62" t="s">
        <v>81</v>
      </c>
      <c r="J4366" s="64" t="n">
        <v>13593437.2974956</v>
      </c>
      <c r="K4366" s="62" t="s">
        <v>138</v>
      </c>
      <c r="L4366" s="68" t="b">
        <f aca="false">TRUE()</f>
        <v>1</v>
      </c>
    </row>
    <row r="4367" customFormat="false" ht="15" hidden="false" customHeight="false" outlineLevel="0" collapsed="false">
      <c r="A4367" s="62" t="n">
        <v>1</v>
      </c>
      <c r="B4367" s="21" t="s">
        <v>336</v>
      </c>
      <c r="C4367" s="62" t="s">
        <v>60</v>
      </c>
      <c r="D4367" s="62" t="s">
        <v>383</v>
      </c>
      <c r="E4367" s="62" t="s">
        <v>72</v>
      </c>
      <c r="F4367" s="62" t="s">
        <v>382</v>
      </c>
      <c r="G4367" s="63" t="s">
        <v>456</v>
      </c>
      <c r="H4367" s="64" t="n">
        <v>36539783435.99</v>
      </c>
      <c r="I4367" s="62" t="s">
        <v>81</v>
      </c>
      <c r="J4367" s="64" t="n">
        <v>36539783.43599</v>
      </c>
      <c r="K4367" s="62" t="s">
        <v>138</v>
      </c>
      <c r="L4367" s="68" t="b">
        <f aca="false">TRUE()</f>
        <v>1</v>
      </c>
    </row>
    <row r="4368" customFormat="false" ht="15" hidden="false" customHeight="false" outlineLevel="0" collapsed="false">
      <c r="A4368" s="62" t="n">
        <v>1</v>
      </c>
      <c r="B4368" s="21" t="s">
        <v>336</v>
      </c>
      <c r="C4368" s="62" t="s">
        <v>60</v>
      </c>
      <c r="D4368" s="62" t="s">
        <v>384</v>
      </c>
      <c r="E4368" s="62" t="s">
        <v>72</v>
      </c>
      <c r="F4368" s="62" t="s">
        <v>382</v>
      </c>
      <c r="G4368" s="63" t="s">
        <v>456</v>
      </c>
      <c r="H4368" s="64" t="n">
        <v>24866723087.7643</v>
      </c>
      <c r="I4368" s="62" t="s">
        <v>81</v>
      </c>
      <c r="J4368" s="64" t="n">
        <v>24866723.0877643</v>
      </c>
      <c r="K4368" s="62" t="s">
        <v>138</v>
      </c>
      <c r="L4368" s="68" t="b">
        <f aca="false">TRUE()</f>
        <v>1</v>
      </c>
    </row>
    <row r="4369" customFormat="false" ht="15" hidden="false" customHeight="false" outlineLevel="0" collapsed="false">
      <c r="A4369" s="62" t="n">
        <v>1</v>
      </c>
      <c r="B4369" s="21" t="s">
        <v>336</v>
      </c>
      <c r="C4369" s="62" t="s">
        <v>60</v>
      </c>
      <c r="D4369" s="62" t="s">
        <v>385</v>
      </c>
      <c r="E4369" s="62" t="s">
        <v>72</v>
      </c>
      <c r="F4369" s="62" t="s">
        <v>382</v>
      </c>
      <c r="G4369" s="63" t="s">
        <v>456</v>
      </c>
      <c r="H4369" s="64" t="n">
        <v>12593518992.8914</v>
      </c>
      <c r="I4369" s="62" t="s">
        <v>81</v>
      </c>
      <c r="J4369" s="64" t="n">
        <v>12593518.9928914</v>
      </c>
      <c r="K4369" s="62" t="s">
        <v>138</v>
      </c>
      <c r="L4369" s="68" t="b">
        <f aca="false">TRUE()</f>
        <v>1</v>
      </c>
    </row>
    <row r="4370" customFormat="false" ht="15" hidden="false" customHeight="false" outlineLevel="0" collapsed="false">
      <c r="A4370" s="62" t="n">
        <v>1</v>
      </c>
      <c r="B4370" s="21" t="s">
        <v>336</v>
      </c>
      <c r="C4370" s="62" t="s">
        <v>60</v>
      </c>
      <c r="D4370" s="62" t="s">
        <v>386</v>
      </c>
      <c r="E4370" s="62" t="s">
        <v>72</v>
      </c>
      <c r="F4370" s="62" t="s">
        <v>382</v>
      </c>
      <c r="G4370" s="63" t="s">
        <v>456</v>
      </c>
      <c r="H4370" s="64" t="n">
        <v>5615760271.94083</v>
      </c>
      <c r="I4370" s="62" t="s">
        <v>81</v>
      </c>
      <c r="J4370" s="64" t="n">
        <v>5615760.27194083</v>
      </c>
      <c r="K4370" s="62" t="s">
        <v>138</v>
      </c>
      <c r="L4370" s="68" t="b">
        <f aca="false">TRUE()</f>
        <v>1</v>
      </c>
    </row>
    <row r="4371" customFormat="false" ht="15" hidden="false" customHeight="false" outlineLevel="0" collapsed="false">
      <c r="A4371" s="62" t="n">
        <v>1</v>
      </c>
      <c r="B4371" s="21" t="s">
        <v>336</v>
      </c>
      <c r="C4371" s="62" t="s">
        <v>60</v>
      </c>
      <c r="D4371" s="62" t="s">
        <v>387</v>
      </c>
      <c r="E4371" s="62" t="s">
        <v>72</v>
      </c>
      <c r="F4371" s="62" t="s">
        <v>382</v>
      </c>
      <c r="G4371" s="63" t="s">
        <v>456</v>
      </c>
      <c r="H4371" s="64" t="n">
        <v>19881883212.8779</v>
      </c>
      <c r="I4371" s="62" t="s">
        <v>81</v>
      </c>
      <c r="J4371" s="64" t="n">
        <v>19881883.2128779</v>
      </c>
      <c r="K4371" s="62" t="s">
        <v>138</v>
      </c>
      <c r="L4371" s="68" t="b">
        <f aca="false">TRUE()</f>
        <v>1</v>
      </c>
    </row>
    <row r="4372" customFormat="false" ht="15" hidden="false" customHeight="false" outlineLevel="0" collapsed="false">
      <c r="A4372" s="62" t="n">
        <v>1</v>
      </c>
      <c r="B4372" s="21" t="s">
        <v>336</v>
      </c>
      <c r="C4372" s="62" t="s">
        <v>60</v>
      </c>
      <c r="D4372" s="62" t="s">
        <v>388</v>
      </c>
      <c r="E4372" s="62" t="s">
        <v>72</v>
      </c>
      <c r="F4372" s="62" t="s">
        <v>382</v>
      </c>
      <c r="G4372" s="63" t="s">
        <v>456</v>
      </c>
      <c r="H4372" s="64" t="n">
        <v>0</v>
      </c>
      <c r="I4372" s="62" t="s">
        <v>81</v>
      </c>
      <c r="J4372" s="64" t="n">
        <v>0</v>
      </c>
      <c r="K4372" s="62" t="s">
        <v>138</v>
      </c>
      <c r="L4372" s="68" t="b">
        <f aca="false">TRUE()</f>
        <v>1</v>
      </c>
    </row>
    <row r="4373" customFormat="false" ht="15" hidden="false" customHeight="false" outlineLevel="0" collapsed="false">
      <c r="A4373" s="62" t="n">
        <v>1</v>
      </c>
      <c r="B4373" s="21" t="s">
        <v>336</v>
      </c>
      <c r="C4373" s="62" t="s">
        <v>60</v>
      </c>
      <c r="D4373" s="62" t="s">
        <v>381</v>
      </c>
      <c r="E4373" s="62" t="s">
        <v>72</v>
      </c>
      <c r="F4373" s="62" t="s">
        <v>382</v>
      </c>
      <c r="G4373" s="63" t="s">
        <v>390</v>
      </c>
      <c r="H4373" s="64" t="n">
        <v>1258816159.60574</v>
      </c>
      <c r="I4373" s="62" t="s">
        <v>81</v>
      </c>
      <c r="J4373" s="64" t="n">
        <v>1258816.15960574</v>
      </c>
      <c r="K4373" s="62" t="s">
        <v>138</v>
      </c>
      <c r="L4373" s="68" t="b">
        <f aca="false">TRUE()</f>
        <v>1</v>
      </c>
    </row>
    <row r="4374" customFormat="false" ht="15" hidden="false" customHeight="false" outlineLevel="0" collapsed="false">
      <c r="A4374" s="62" t="n">
        <v>1</v>
      </c>
      <c r="B4374" s="21" t="s">
        <v>336</v>
      </c>
      <c r="C4374" s="62" t="s">
        <v>60</v>
      </c>
      <c r="D4374" s="62" t="s">
        <v>383</v>
      </c>
      <c r="E4374" s="62" t="s">
        <v>72</v>
      </c>
      <c r="F4374" s="62" t="s">
        <v>382</v>
      </c>
      <c r="G4374" s="63" t="s">
        <v>390</v>
      </c>
      <c r="H4374" s="64" t="n">
        <v>3641311911.27887</v>
      </c>
      <c r="I4374" s="62" t="s">
        <v>81</v>
      </c>
      <c r="J4374" s="64" t="n">
        <v>3641311.91127887</v>
      </c>
      <c r="K4374" s="62" t="s">
        <v>138</v>
      </c>
      <c r="L4374" s="68" t="b">
        <f aca="false">TRUE()</f>
        <v>1</v>
      </c>
    </row>
    <row r="4375" customFormat="false" ht="15" hidden="false" customHeight="false" outlineLevel="0" collapsed="false">
      <c r="A4375" s="62" t="n">
        <v>1</v>
      </c>
      <c r="B4375" s="21" t="s">
        <v>336</v>
      </c>
      <c r="C4375" s="62" t="s">
        <v>60</v>
      </c>
      <c r="D4375" s="62" t="s">
        <v>384</v>
      </c>
      <c r="E4375" s="62" t="s">
        <v>72</v>
      </c>
      <c r="F4375" s="62" t="s">
        <v>382</v>
      </c>
      <c r="G4375" s="63" t="s">
        <v>390</v>
      </c>
      <c r="H4375" s="64" t="n">
        <v>4103419651.44625</v>
      </c>
      <c r="I4375" s="62" t="s">
        <v>81</v>
      </c>
      <c r="J4375" s="64" t="n">
        <v>4103419.65144625</v>
      </c>
      <c r="K4375" s="62" t="s">
        <v>138</v>
      </c>
      <c r="L4375" s="68" t="b">
        <f aca="false">TRUE()</f>
        <v>1</v>
      </c>
    </row>
    <row r="4376" customFormat="false" ht="15" hidden="false" customHeight="false" outlineLevel="0" collapsed="false">
      <c r="A4376" s="62" t="n">
        <v>1</v>
      </c>
      <c r="B4376" s="21" t="s">
        <v>336</v>
      </c>
      <c r="C4376" s="62" t="s">
        <v>60</v>
      </c>
      <c r="D4376" s="62" t="s">
        <v>385</v>
      </c>
      <c r="E4376" s="62" t="s">
        <v>72</v>
      </c>
      <c r="F4376" s="62" t="s">
        <v>382</v>
      </c>
      <c r="G4376" s="63" t="s">
        <v>390</v>
      </c>
      <c r="H4376" s="64" t="n">
        <v>1082363774.82908</v>
      </c>
      <c r="I4376" s="62" t="s">
        <v>81</v>
      </c>
      <c r="J4376" s="64" t="n">
        <v>1082363.77482908</v>
      </c>
      <c r="K4376" s="62" t="s">
        <v>138</v>
      </c>
      <c r="L4376" s="68" t="b">
        <f aca="false">TRUE()</f>
        <v>1</v>
      </c>
    </row>
    <row r="4377" customFormat="false" ht="15" hidden="false" customHeight="false" outlineLevel="0" collapsed="false">
      <c r="A4377" s="62" t="n">
        <v>1</v>
      </c>
      <c r="B4377" s="21" t="s">
        <v>336</v>
      </c>
      <c r="C4377" s="62" t="s">
        <v>60</v>
      </c>
      <c r="D4377" s="62" t="s">
        <v>386</v>
      </c>
      <c r="E4377" s="62" t="s">
        <v>72</v>
      </c>
      <c r="F4377" s="62" t="s">
        <v>382</v>
      </c>
      <c r="G4377" s="63" t="s">
        <v>390</v>
      </c>
      <c r="H4377" s="64" t="n">
        <v>492921869.245561</v>
      </c>
      <c r="I4377" s="62" t="s">
        <v>81</v>
      </c>
      <c r="J4377" s="64" t="n">
        <v>492921.869245561</v>
      </c>
      <c r="K4377" s="62" t="s">
        <v>138</v>
      </c>
      <c r="L4377" s="68" t="b">
        <f aca="false">TRUE()</f>
        <v>1</v>
      </c>
    </row>
    <row r="4378" customFormat="false" ht="15" hidden="false" customHeight="false" outlineLevel="0" collapsed="false">
      <c r="A4378" s="62" t="n">
        <v>1</v>
      </c>
      <c r="B4378" s="21" t="s">
        <v>336</v>
      </c>
      <c r="C4378" s="62" t="s">
        <v>60</v>
      </c>
      <c r="D4378" s="62" t="s">
        <v>387</v>
      </c>
      <c r="E4378" s="62" t="s">
        <v>72</v>
      </c>
      <c r="F4378" s="62" t="s">
        <v>382</v>
      </c>
      <c r="G4378" s="63" t="s">
        <v>390</v>
      </c>
      <c r="H4378" s="64" t="n">
        <v>2032040939.55603</v>
      </c>
      <c r="I4378" s="62" t="s">
        <v>81</v>
      </c>
      <c r="J4378" s="64" t="n">
        <v>2032040.93955603</v>
      </c>
      <c r="K4378" s="62" t="s">
        <v>138</v>
      </c>
      <c r="L4378" s="68" t="b">
        <f aca="false">TRUE()</f>
        <v>1</v>
      </c>
    </row>
    <row r="4379" customFormat="false" ht="15" hidden="false" customHeight="false" outlineLevel="0" collapsed="false">
      <c r="A4379" s="62" t="n">
        <v>1</v>
      </c>
      <c r="B4379" s="21" t="s">
        <v>336</v>
      </c>
      <c r="C4379" s="62" t="s">
        <v>60</v>
      </c>
      <c r="D4379" s="62" t="s">
        <v>388</v>
      </c>
      <c r="E4379" s="62" t="s">
        <v>72</v>
      </c>
      <c r="F4379" s="62" t="s">
        <v>382</v>
      </c>
      <c r="G4379" s="63" t="s">
        <v>390</v>
      </c>
      <c r="H4379" s="64" t="n">
        <v>0</v>
      </c>
      <c r="I4379" s="62" t="s">
        <v>81</v>
      </c>
      <c r="J4379" s="64" t="n">
        <v>0</v>
      </c>
      <c r="K4379" s="62" t="s">
        <v>138</v>
      </c>
      <c r="L4379" s="68" t="b">
        <f aca="false">TRUE()</f>
        <v>1</v>
      </c>
    </row>
    <row r="4380" customFormat="false" ht="15" hidden="false" customHeight="false" outlineLevel="0" collapsed="false">
      <c r="A4380" s="62" t="n">
        <v>1</v>
      </c>
      <c r="B4380" s="21" t="s">
        <v>336</v>
      </c>
      <c r="C4380" s="62" t="s">
        <v>60</v>
      </c>
      <c r="D4380" s="62" t="s">
        <v>381</v>
      </c>
      <c r="E4380" s="62" t="s">
        <v>72</v>
      </c>
      <c r="F4380" s="62" t="s">
        <v>382</v>
      </c>
      <c r="G4380" s="63" t="s">
        <v>392</v>
      </c>
      <c r="H4380" s="64" t="n">
        <v>1160295925.81436</v>
      </c>
      <c r="I4380" s="62" t="s">
        <v>81</v>
      </c>
      <c r="J4380" s="64" t="n">
        <v>1160295.92581436</v>
      </c>
      <c r="K4380" s="62" t="s">
        <v>138</v>
      </c>
      <c r="L4380" s="68" t="b">
        <f aca="false">TRUE()</f>
        <v>1</v>
      </c>
    </row>
    <row r="4381" customFormat="false" ht="15" hidden="false" customHeight="false" outlineLevel="0" collapsed="false">
      <c r="A4381" s="62" t="n">
        <v>1</v>
      </c>
      <c r="B4381" s="21" t="s">
        <v>336</v>
      </c>
      <c r="C4381" s="62" t="s">
        <v>60</v>
      </c>
      <c r="D4381" s="62" t="s">
        <v>383</v>
      </c>
      <c r="E4381" s="62" t="s">
        <v>72</v>
      </c>
      <c r="F4381" s="62" t="s">
        <v>382</v>
      </c>
      <c r="G4381" s="63" t="s">
        <v>392</v>
      </c>
      <c r="H4381" s="64" t="n">
        <v>1939295787.10139</v>
      </c>
      <c r="I4381" s="62" t="s">
        <v>81</v>
      </c>
      <c r="J4381" s="64" t="n">
        <v>1939295.78710139</v>
      </c>
      <c r="K4381" s="62" t="s">
        <v>138</v>
      </c>
      <c r="L4381" s="68" t="b">
        <f aca="false">TRUE()</f>
        <v>1</v>
      </c>
    </row>
    <row r="4382" customFormat="false" ht="15" hidden="false" customHeight="false" outlineLevel="0" collapsed="false">
      <c r="A4382" s="62" t="n">
        <v>1</v>
      </c>
      <c r="B4382" s="21" t="s">
        <v>336</v>
      </c>
      <c r="C4382" s="62" t="s">
        <v>60</v>
      </c>
      <c r="D4382" s="62" t="s">
        <v>384</v>
      </c>
      <c r="E4382" s="62" t="s">
        <v>72</v>
      </c>
      <c r="F4382" s="62" t="s">
        <v>382</v>
      </c>
      <c r="G4382" s="63" t="s">
        <v>392</v>
      </c>
      <c r="H4382" s="64" t="n">
        <v>1567067332.30724</v>
      </c>
      <c r="I4382" s="62" t="s">
        <v>81</v>
      </c>
      <c r="J4382" s="64" t="n">
        <v>1567067.33230724</v>
      </c>
      <c r="K4382" s="62" t="s">
        <v>138</v>
      </c>
      <c r="L4382" s="68" t="b">
        <f aca="false">TRUE()</f>
        <v>1</v>
      </c>
    </row>
    <row r="4383" customFormat="false" ht="15" hidden="false" customHeight="false" outlineLevel="0" collapsed="false">
      <c r="A4383" s="62" t="n">
        <v>1</v>
      </c>
      <c r="B4383" s="21" t="s">
        <v>336</v>
      </c>
      <c r="C4383" s="62" t="s">
        <v>60</v>
      </c>
      <c r="D4383" s="62" t="s">
        <v>385</v>
      </c>
      <c r="E4383" s="62" t="s">
        <v>72</v>
      </c>
      <c r="F4383" s="62" t="s">
        <v>382</v>
      </c>
      <c r="G4383" s="63" t="s">
        <v>392</v>
      </c>
      <c r="H4383" s="64" t="n">
        <v>855919875.908831</v>
      </c>
      <c r="I4383" s="62" t="s">
        <v>81</v>
      </c>
      <c r="J4383" s="64" t="n">
        <v>855919.875908831</v>
      </c>
      <c r="K4383" s="62" t="s">
        <v>138</v>
      </c>
      <c r="L4383" s="68" t="b">
        <f aca="false">TRUE()</f>
        <v>1</v>
      </c>
    </row>
    <row r="4384" customFormat="false" ht="15" hidden="false" customHeight="false" outlineLevel="0" collapsed="false">
      <c r="A4384" s="62" t="n">
        <v>1</v>
      </c>
      <c r="B4384" s="21" t="s">
        <v>336</v>
      </c>
      <c r="C4384" s="62" t="s">
        <v>60</v>
      </c>
      <c r="D4384" s="62" t="s">
        <v>386</v>
      </c>
      <c r="E4384" s="62" t="s">
        <v>72</v>
      </c>
      <c r="F4384" s="62" t="s">
        <v>382</v>
      </c>
      <c r="G4384" s="63" t="s">
        <v>392</v>
      </c>
      <c r="H4384" s="64" t="n">
        <v>330943875.469526</v>
      </c>
      <c r="I4384" s="62" t="s">
        <v>81</v>
      </c>
      <c r="J4384" s="64" t="n">
        <v>330943.875469526</v>
      </c>
      <c r="K4384" s="62" t="s">
        <v>138</v>
      </c>
      <c r="L4384" s="68" t="b">
        <f aca="false">TRUE()</f>
        <v>1</v>
      </c>
    </row>
    <row r="4385" customFormat="false" ht="15" hidden="false" customHeight="false" outlineLevel="0" collapsed="false">
      <c r="A4385" s="62" t="n">
        <v>1</v>
      </c>
      <c r="B4385" s="21" t="s">
        <v>336</v>
      </c>
      <c r="C4385" s="62" t="s">
        <v>60</v>
      </c>
      <c r="D4385" s="62" t="s">
        <v>387</v>
      </c>
      <c r="E4385" s="62" t="s">
        <v>72</v>
      </c>
      <c r="F4385" s="62" t="s">
        <v>382</v>
      </c>
      <c r="G4385" s="63" t="s">
        <v>392</v>
      </c>
      <c r="H4385" s="64" t="n">
        <v>1765281998.36599</v>
      </c>
      <c r="I4385" s="62" t="s">
        <v>81</v>
      </c>
      <c r="J4385" s="64" t="n">
        <v>1765281.99836599</v>
      </c>
      <c r="K4385" s="62" t="s">
        <v>138</v>
      </c>
      <c r="L4385" s="68" t="b">
        <f aca="false">TRUE()</f>
        <v>1</v>
      </c>
    </row>
    <row r="4386" customFormat="false" ht="15" hidden="false" customHeight="false" outlineLevel="0" collapsed="false">
      <c r="A4386" s="62" t="n">
        <v>1</v>
      </c>
      <c r="B4386" s="21" t="s">
        <v>336</v>
      </c>
      <c r="C4386" s="62" t="s">
        <v>60</v>
      </c>
      <c r="D4386" s="62" t="s">
        <v>388</v>
      </c>
      <c r="E4386" s="62" t="s">
        <v>72</v>
      </c>
      <c r="F4386" s="62" t="s">
        <v>382</v>
      </c>
      <c r="G4386" s="63" t="s">
        <v>392</v>
      </c>
      <c r="H4386" s="64" t="n">
        <v>0</v>
      </c>
      <c r="I4386" s="62" t="s">
        <v>81</v>
      </c>
      <c r="J4386" s="64" t="n">
        <v>0</v>
      </c>
      <c r="K4386" s="62" t="s">
        <v>138</v>
      </c>
      <c r="L4386" s="68" t="b">
        <f aca="false">TRUE()</f>
        <v>1</v>
      </c>
    </row>
    <row r="4387" customFormat="false" ht="15" hidden="false" customHeight="false" outlineLevel="0" collapsed="false">
      <c r="A4387" s="62" t="n">
        <v>1</v>
      </c>
      <c r="B4387" s="21" t="s">
        <v>336</v>
      </c>
      <c r="C4387" s="62" t="s">
        <v>60</v>
      </c>
      <c r="D4387" s="62" t="s">
        <v>381</v>
      </c>
      <c r="E4387" s="62" t="s">
        <v>72</v>
      </c>
      <c r="F4387" s="62" t="s">
        <v>382</v>
      </c>
      <c r="G4387" s="63" t="s">
        <v>394</v>
      </c>
      <c r="H4387" s="64" t="n">
        <v>700000000</v>
      </c>
      <c r="I4387" s="62" t="s">
        <v>81</v>
      </c>
      <c r="J4387" s="64" t="n">
        <v>700000</v>
      </c>
      <c r="K4387" s="62" t="s">
        <v>138</v>
      </c>
      <c r="L4387" s="68" t="b">
        <f aca="false">TRUE()</f>
        <v>1</v>
      </c>
    </row>
    <row r="4388" customFormat="false" ht="15" hidden="false" customHeight="false" outlineLevel="0" collapsed="false">
      <c r="A4388" s="62" t="n">
        <v>1</v>
      </c>
      <c r="B4388" s="21" t="s">
        <v>336</v>
      </c>
      <c r="C4388" s="62" t="s">
        <v>60</v>
      </c>
      <c r="D4388" s="62" t="s">
        <v>383</v>
      </c>
      <c r="E4388" s="62" t="s">
        <v>72</v>
      </c>
      <c r="F4388" s="62" t="s">
        <v>382</v>
      </c>
      <c r="G4388" s="63" t="s">
        <v>394</v>
      </c>
      <c r="H4388" s="64" t="n">
        <v>3441143000</v>
      </c>
      <c r="I4388" s="62" t="s">
        <v>81</v>
      </c>
      <c r="J4388" s="64" t="n">
        <v>3441143</v>
      </c>
      <c r="K4388" s="62" t="s">
        <v>138</v>
      </c>
      <c r="L4388" s="68" t="b">
        <f aca="false">TRUE()</f>
        <v>1</v>
      </c>
    </row>
    <row r="4389" customFormat="false" ht="15" hidden="false" customHeight="false" outlineLevel="0" collapsed="false">
      <c r="A4389" s="62" t="n">
        <v>1</v>
      </c>
      <c r="B4389" s="21" t="s">
        <v>336</v>
      </c>
      <c r="C4389" s="62" t="s">
        <v>60</v>
      </c>
      <c r="D4389" s="62" t="s">
        <v>384</v>
      </c>
      <c r="E4389" s="62" t="s">
        <v>72</v>
      </c>
      <c r="F4389" s="62" t="s">
        <v>382</v>
      </c>
      <c r="G4389" s="63" t="s">
        <v>394</v>
      </c>
      <c r="H4389" s="64" t="n">
        <v>679510000</v>
      </c>
      <c r="I4389" s="62" t="s">
        <v>81</v>
      </c>
      <c r="J4389" s="64" t="n">
        <v>679510</v>
      </c>
      <c r="K4389" s="62" t="s">
        <v>138</v>
      </c>
      <c r="L4389" s="68" t="b">
        <f aca="false">TRUE()</f>
        <v>1</v>
      </c>
    </row>
    <row r="4390" customFormat="false" ht="15" hidden="false" customHeight="false" outlineLevel="0" collapsed="false">
      <c r="A4390" s="62" t="n">
        <v>1</v>
      </c>
      <c r="B4390" s="21" t="s">
        <v>336</v>
      </c>
      <c r="C4390" s="62" t="s">
        <v>60</v>
      </c>
      <c r="D4390" s="62" t="s">
        <v>385</v>
      </c>
      <c r="E4390" s="62" t="s">
        <v>72</v>
      </c>
      <c r="F4390" s="62" t="s">
        <v>382</v>
      </c>
      <c r="G4390" s="63" t="s">
        <v>394</v>
      </c>
      <c r="H4390" s="64" t="n">
        <v>828462000</v>
      </c>
      <c r="I4390" s="62" t="s">
        <v>81</v>
      </c>
      <c r="J4390" s="64" t="n">
        <v>828462</v>
      </c>
      <c r="K4390" s="62" t="s">
        <v>138</v>
      </c>
      <c r="L4390" s="68" t="b">
        <f aca="false">TRUE()</f>
        <v>1</v>
      </c>
    </row>
    <row r="4391" customFormat="false" ht="15" hidden="false" customHeight="false" outlineLevel="0" collapsed="false">
      <c r="A4391" s="62" t="n">
        <v>1</v>
      </c>
      <c r="B4391" s="21" t="s">
        <v>336</v>
      </c>
      <c r="C4391" s="62" t="s">
        <v>60</v>
      </c>
      <c r="D4391" s="62" t="s">
        <v>386</v>
      </c>
      <c r="E4391" s="62" t="s">
        <v>72</v>
      </c>
      <c r="F4391" s="62" t="s">
        <v>382</v>
      </c>
      <c r="G4391" s="63" t="s">
        <v>394</v>
      </c>
      <c r="H4391" s="64" t="n">
        <v>1000000000</v>
      </c>
      <c r="I4391" s="62" t="s">
        <v>81</v>
      </c>
      <c r="J4391" s="64" t="n">
        <v>1000000</v>
      </c>
      <c r="K4391" s="62" t="s">
        <v>138</v>
      </c>
      <c r="L4391" s="68" t="b">
        <f aca="false">TRUE()</f>
        <v>1</v>
      </c>
    </row>
    <row r="4392" customFormat="false" ht="15" hidden="false" customHeight="false" outlineLevel="0" collapsed="false">
      <c r="A4392" s="62" t="n">
        <v>1</v>
      </c>
      <c r="B4392" s="21" t="s">
        <v>336</v>
      </c>
      <c r="C4392" s="62" t="s">
        <v>60</v>
      </c>
      <c r="D4392" s="62" t="s">
        <v>387</v>
      </c>
      <c r="E4392" s="62" t="s">
        <v>72</v>
      </c>
      <c r="F4392" s="62" t="s">
        <v>382</v>
      </c>
      <c r="G4392" s="63" t="s">
        <v>394</v>
      </c>
      <c r="H4392" s="64" t="n">
        <v>913227000</v>
      </c>
      <c r="I4392" s="62" t="s">
        <v>81</v>
      </c>
      <c r="J4392" s="64" t="n">
        <v>913227</v>
      </c>
      <c r="K4392" s="62" t="s">
        <v>138</v>
      </c>
      <c r="L4392" s="68" t="b">
        <f aca="false">TRUE()</f>
        <v>1</v>
      </c>
    </row>
    <row r="4393" customFormat="false" ht="15" hidden="false" customHeight="false" outlineLevel="0" collapsed="false">
      <c r="A4393" s="62" t="n">
        <v>1</v>
      </c>
      <c r="B4393" s="21" t="s">
        <v>336</v>
      </c>
      <c r="C4393" s="62" t="s">
        <v>60</v>
      </c>
      <c r="D4393" s="62" t="s">
        <v>388</v>
      </c>
      <c r="E4393" s="62" t="s">
        <v>72</v>
      </c>
      <c r="F4393" s="62" t="s">
        <v>382</v>
      </c>
      <c r="G4393" s="63" t="s">
        <v>394</v>
      </c>
      <c r="H4393" s="64" t="n">
        <v>570066000</v>
      </c>
      <c r="I4393" s="62" t="s">
        <v>81</v>
      </c>
      <c r="J4393" s="64" t="n">
        <v>570066</v>
      </c>
      <c r="K4393" s="62" t="s">
        <v>138</v>
      </c>
      <c r="L4393" s="68" t="b">
        <f aca="false">TRUE()</f>
        <v>1</v>
      </c>
    </row>
    <row r="4394" customFormat="false" ht="15" hidden="false" customHeight="false" outlineLevel="0" collapsed="false">
      <c r="A4394" s="62" t="n">
        <v>1</v>
      </c>
      <c r="B4394" s="21" t="s">
        <v>336</v>
      </c>
      <c r="C4394" s="62" t="s">
        <v>60</v>
      </c>
      <c r="D4394" s="62" t="s">
        <v>381</v>
      </c>
      <c r="E4394" s="62" t="s">
        <v>72</v>
      </c>
      <c r="F4394" s="62" t="s">
        <v>382</v>
      </c>
      <c r="G4394" s="63" t="s">
        <v>395</v>
      </c>
      <c r="H4394" s="64" t="n">
        <v>20000000</v>
      </c>
      <c r="I4394" s="62" t="s">
        <v>81</v>
      </c>
      <c r="J4394" s="64" t="n">
        <v>20000</v>
      </c>
      <c r="K4394" s="62" t="s">
        <v>138</v>
      </c>
      <c r="L4394" s="68" t="b">
        <f aca="false">TRUE()</f>
        <v>1</v>
      </c>
    </row>
    <row r="4395" customFormat="false" ht="15" hidden="false" customHeight="false" outlineLevel="0" collapsed="false">
      <c r="A4395" s="62" t="n">
        <v>1</v>
      </c>
      <c r="B4395" s="21" t="s">
        <v>336</v>
      </c>
      <c r="C4395" s="62" t="s">
        <v>60</v>
      </c>
      <c r="D4395" s="62" t="s">
        <v>383</v>
      </c>
      <c r="E4395" s="62" t="s">
        <v>72</v>
      </c>
      <c r="F4395" s="62" t="s">
        <v>382</v>
      </c>
      <c r="G4395" s="63" t="s">
        <v>395</v>
      </c>
      <c r="H4395" s="64" t="n">
        <v>20000000</v>
      </c>
      <c r="I4395" s="62" t="s">
        <v>81</v>
      </c>
      <c r="J4395" s="64" t="n">
        <v>20000</v>
      </c>
      <c r="K4395" s="62" t="s">
        <v>138</v>
      </c>
      <c r="L4395" s="68" t="b">
        <f aca="false">TRUE()</f>
        <v>1</v>
      </c>
    </row>
    <row r="4396" customFormat="false" ht="15" hidden="false" customHeight="false" outlineLevel="0" collapsed="false">
      <c r="A4396" s="62" t="n">
        <v>1</v>
      </c>
      <c r="B4396" s="21" t="s">
        <v>336</v>
      </c>
      <c r="C4396" s="62" t="s">
        <v>60</v>
      </c>
      <c r="D4396" s="62" t="s">
        <v>384</v>
      </c>
      <c r="E4396" s="62" t="s">
        <v>72</v>
      </c>
      <c r="F4396" s="62" t="s">
        <v>382</v>
      </c>
      <c r="G4396" s="63" t="s">
        <v>395</v>
      </c>
      <c r="H4396" s="64" t="n">
        <v>20000000</v>
      </c>
      <c r="I4396" s="62" t="s">
        <v>81</v>
      </c>
      <c r="J4396" s="64" t="n">
        <v>20000</v>
      </c>
      <c r="K4396" s="62" t="s">
        <v>138</v>
      </c>
      <c r="L4396" s="68" t="b">
        <f aca="false">TRUE()</f>
        <v>1</v>
      </c>
    </row>
    <row r="4397" customFormat="false" ht="15" hidden="false" customHeight="false" outlineLevel="0" collapsed="false">
      <c r="A4397" s="62" t="n">
        <v>1</v>
      </c>
      <c r="B4397" s="21" t="s">
        <v>336</v>
      </c>
      <c r="C4397" s="62" t="s">
        <v>60</v>
      </c>
      <c r="D4397" s="62" t="s">
        <v>385</v>
      </c>
      <c r="E4397" s="62" t="s">
        <v>72</v>
      </c>
      <c r="F4397" s="62" t="s">
        <v>382</v>
      </c>
      <c r="G4397" s="63" t="s">
        <v>395</v>
      </c>
      <c r="H4397" s="64" t="n">
        <v>20000000</v>
      </c>
      <c r="I4397" s="62" t="s">
        <v>81</v>
      </c>
      <c r="J4397" s="64" t="n">
        <v>20000</v>
      </c>
      <c r="K4397" s="62" t="s">
        <v>138</v>
      </c>
      <c r="L4397" s="68" t="b">
        <f aca="false">TRUE()</f>
        <v>1</v>
      </c>
    </row>
    <row r="4398" customFormat="false" ht="15" hidden="false" customHeight="false" outlineLevel="0" collapsed="false">
      <c r="A4398" s="62" t="n">
        <v>1</v>
      </c>
      <c r="B4398" s="21" t="s">
        <v>336</v>
      </c>
      <c r="C4398" s="62" t="s">
        <v>60</v>
      </c>
      <c r="D4398" s="62" t="s">
        <v>386</v>
      </c>
      <c r="E4398" s="62" t="s">
        <v>72</v>
      </c>
      <c r="F4398" s="62" t="s">
        <v>382</v>
      </c>
      <c r="G4398" s="63" t="s">
        <v>395</v>
      </c>
      <c r="H4398" s="64" t="n">
        <v>20000000</v>
      </c>
      <c r="I4398" s="62" t="s">
        <v>81</v>
      </c>
      <c r="J4398" s="64" t="n">
        <v>20000</v>
      </c>
      <c r="K4398" s="62" t="s">
        <v>138</v>
      </c>
      <c r="L4398" s="68" t="b">
        <f aca="false">TRUE()</f>
        <v>1</v>
      </c>
    </row>
    <row r="4399" customFormat="false" ht="15" hidden="false" customHeight="false" outlineLevel="0" collapsed="false">
      <c r="A4399" s="62" t="n">
        <v>1</v>
      </c>
      <c r="B4399" s="21" t="s">
        <v>336</v>
      </c>
      <c r="C4399" s="62" t="s">
        <v>60</v>
      </c>
      <c r="D4399" s="62" t="s">
        <v>387</v>
      </c>
      <c r="E4399" s="62" t="s">
        <v>72</v>
      </c>
      <c r="F4399" s="62" t="s">
        <v>382</v>
      </c>
      <c r="G4399" s="63" t="s">
        <v>395</v>
      </c>
      <c r="H4399" s="64" t="n">
        <v>20000000</v>
      </c>
      <c r="I4399" s="62" t="s">
        <v>81</v>
      </c>
      <c r="J4399" s="64" t="n">
        <v>20000</v>
      </c>
      <c r="K4399" s="62" t="s">
        <v>138</v>
      </c>
      <c r="L4399" s="68" t="b">
        <f aca="false">TRUE()</f>
        <v>1</v>
      </c>
    </row>
    <row r="4400" customFormat="false" ht="15" hidden="false" customHeight="false" outlineLevel="0" collapsed="false">
      <c r="A4400" s="62" t="n">
        <v>1</v>
      </c>
      <c r="B4400" s="21" t="s">
        <v>336</v>
      </c>
      <c r="C4400" s="62" t="s">
        <v>60</v>
      </c>
      <c r="D4400" s="62" t="s">
        <v>388</v>
      </c>
      <c r="E4400" s="62" t="s">
        <v>72</v>
      </c>
      <c r="F4400" s="62" t="s">
        <v>382</v>
      </c>
      <c r="G4400" s="63" t="s">
        <v>395</v>
      </c>
      <c r="H4400" s="64" t="n">
        <v>20000000</v>
      </c>
      <c r="I4400" s="62" t="s">
        <v>81</v>
      </c>
      <c r="J4400" s="64" t="n">
        <v>20000</v>
      </c>
      <c r="K4400" s="62" t="s">
        <v>138</v>
      </c>
      <c r="L4400" s="68" t="b">
        <f aca="false">TRUE()</f>
        <v>1</v>
      </c>
    </row>
    <row r="4401" customFormat="false" ht="15" hidden="false" customHeight="false" outlineLevel="0" collapsed="false">
      <c r="A4401" s="62" t="n">
        <v>1</v>
      </c>
      <c r="B4401" s="21" t="s">
        <v>336</v>
      </c>
      <c r="C4401" s="62" t="s">
        <v>60</v>
      </c>
      <c r="D4401" s="62" t="s">
        <v>381</v>
      </c>
      <c r="E4401" s="62" t="s">
        <v>72</v>
      </c>
      <c r="F4401" s="62" t="s">
        <v>382</v>
      </c>
      <c r="G4401" s="63" t="s">
        <v>403</v>
      </c>
      <c r="H4401" s="64" t="n">
        <v>9279783559.75993</v>
      </c>
      <c r="I4401" s="62" t="s">
        <v>81</v>
      </c>
      <c r="J4401" s="64" t="n">
        <v>9279783.55975993</v>
      </c>
      <c r="K4401" s="62" t="s">
        <v>138</v>
      </c>
      <c r="L4401" s="68" t="b">
        <f aca="false">TRUE()</f>
        <v>1</v>
      </c>
    </row>
    <row r="4402" customFormat="false" ht="15" hidden="false" customHeight="false" outlineLevel="0" collapsed="false">
      <c r="A4402" s="62" t="n">
        <v>1</v>
      </c>
      <c r="B4402" s="21" t="s">
        <v>336</v>
      </c>
      <c r="C4402" s="62" t="s">
        <v>60</v>
      </c>
      <c r="D4402" s="62" t="s">
        <v>383</v>
      </c>
      <c r="E4402" s="62" t="s">
        <v>72</v>
      </c>
      <c r="F4402" s="62" t="s">
        <v>382</v>
      </c>
      <c r="G4402" s="63" t="s">
        <v>403</v>
      </c>
      <c r="H4402" s="64" t="n">
        <v>13654643408.5492</v>
      </c>
      <c r="I4402" s="62" t="s">
        <v>81</v>
      </c>
      <c r="J4402" s="64" t="n">
        <v>13654643.4085492</v>
      </c>
      <c r="K4402" s="62" t="s">
        <v>138</v>
      </c>
      <c r="L4402" s="68" t="b">
        <f aca="false">TRUE()</f>
        <v>1</v>
      </c>
    </row>
    <row r="4403" customFormat="false" ht="15" hidden="false" customHeight="false" outlineLevel="0" collapsed="false">
      <c r="A4403" s="62" t="n">
        <v>1</v>
      </c>
      <c r="B4403" s="21" t="s">
        <v>336</v>
      </c>
      <c r="C4403" s="62" t="s">
        <v>60</v>
      </c>
      <c r="D4403" s="62" t="s">
        <v>384</v>
      </c>
      <c r="E4403" s="62" t="s">
        <v>72</v>
      </c>
      <c r="F4403" s="62" t="s">
        <v>382</v>
      </c>
      <c r="G4403" s="63" t="s">
        <v>403</v>
      </c>
      <c r="H4403" s="64" t="n">
        <v>9511133405.26334</v>
      </c>
      <c r="I4403" s="62" t="s">
        <v>81</v>
      </c>
      <c r="J4403" s="64" t="n">
        <v>9511133.40526334</v>
      </c>
      <c r="K4403" s="62" t="s">
        <v>138</v>
      </c>
      <c r="L4403" s="68" t="b">
        <f aca="false">TRUE()</f>
        <v>1</v>
      </c>
    </row>
    <row r="4404" customFormat="false" ht="15" hidden="false" customHeight="false" outlineLevel="0" collapsed="false">
      <c r="A4404" s="62" t="n">
        <v>1</v>
      </c>
      <c r="B4404" s="21" t="s">
        <v>336</v>
      </c>
      <c r="C4404" s="62" t="s">
        <v>60</v>
      </c>
      <c r="D4404" s="62" t="s">
        <v>385</v>
      </c>
      <c r="E4404" s="62" t="s">
        <v>72</v>
      </c>
      <c r="F4404" s="62" t="s">
        <v>382</v>
      </c>
      <c r="G4404" s="63" t="s">
        <v>403</v>
      </c>
      <c r="H4404" s="64" t="n">
        <v>6899574304.35039</v>
      </c>
      <c r="I4404" s="62" t="s">
        <v>81</v>
      </c>
      <c r="J4404" s="64" t="n">
        <v>6899574.30435039</v>
      </c>
      <c r="K4404" s="62" t="s">
        <v>138</v>
      </c>
      <c r="L4404" s="68" t="b">
        <f aca="false">TRUE()</f>
        <v>1</v>
      </c>
    </row>
    <row r="4405" customFormat="false" ht="15" hidden="false" customHeight="false" outlineLevel="0" collapsed="false">
      <c r="A4405" s="62" t="n">
        <v>1</v>
      </c>
      <c r="B4405" s="21" t="s">
        <v>336</v>
      </c>
      <c r="C4405" s="62" t="s">
        <v>60</v>
      </c>
      <c r="D4405" s="62" t="s">
        <v>386</v>
      </c>
      <c r="E4405" s="62" t="s">
        <v>72</v>
      </c>
      <c r="F4405" s="62" t="s">
        <v>382</v>
      </c>
      <c r="G4405" s="63" t="s">
        <v>403</v>
      </c>
      <c r="H4405" s="64" t="n">
        <v>2268825919.62129</v>
      </c>
      <c r="I4405" s="62" t="s">
        <v>81</v>
      </c>
      <c r="J4405" s="64" t="n">
        <v>2268825.91962129</v>
      </c>
      <c r="K4405" s="62" t="s">
        <v>138</v>
      </c>
      <c r="L4405" s="68" t="b">
        <f aca="false">TRUE()</f>
        <v>1</v>
      </c>
    </row>
    <row r="4406" customFormat="false" ht="15" hidden="false" customHeight="false" outlineLevel="0" collapsed="false">
      <c r="A4406" s="62" t="n">
        <v>1</v>
      </c>
      <c r="B4406" s="21" t="s">
        <v>336</v>
      </c>
      <c r="C4406" s="62" t="s">
        <v>60</v>
      </c>
      <c r="D4406" s="62" t="s">
        <v>387</v>
      </c>
      <c r="E4406" s="62" t="s">
        <v>72</v>
      </c>
      <c r="F4406" s="62" t="s">
        <v>382</v>
      </c>
      <c r="G4406" s="63" t="s">
        <v>403</v>
      </c>
      <c r="H4406" s="64" t="n">
        <v>14444966017.815</v>
      </c>
      <c r="I4406" s="62" t="s">
        <v>81</v>
      </c>
      <c r="J4406" s="64" t="n">
        <v>14444966.017815</v>
      </c>
      <c r="K4406" s="62" t="s">
        <v>138</v>
      </c>
      <c r="L4406" s="68" t="b">
        <f aca="false">TRUE()</f>
        <v>1</v>
      </c>
    </row>
    <row r="4407" customFormat="false" ht="15" hidden="false" customHeight="false" outlineLevel="0" collapsed="false">
      <c r="A4407" s="62" t="n">
        <v>1</v>
      </c>
      <c r="B4407" s="21" t="s">
        <v>336</v>
      </c>
      <c r="C4407" s="62" t="s">
        <v>60</v>
      </c>
      <c r="D4407" s="62" t="s">
        <v>388</v>
      </c>
      <c r="E4407" s="62" t="s">
        <v>72</v>
      </c>
      <c r="F4407" s="62" t="s">
        <v>382</v>
      </c>
      <c r="G4407" s="63" t="s">
        <v>403</v>
      </c>
      <c r="H4407" s="64" t="n">
        <v>0</v>
      </c>
      <c r="I4407" s="62" t="s">
        <v>81</v>
      </c>
      <c r="J4407" s="64" t="n">
        <v>0</v>
      </c>
      <c r="K4407" s="62" t="s">
        <v>138</v>
      </c>
      <c r="L4407" s="68" t="b">
        <f aca="false">TRUE()</f>
        <v>1</v>
      </c>
    </row>
    <row r="4408" customFormat="false" ht="15" hidden="false" customHeight="false" outlineLevel="0" collapsed="false">
      <c r="A4408" s="62" t="n">
        <v>1</v>
      </c>
      <c r="B4408" s="21" t="s">
        <v>336</v>
      </c>
      <c r="C4408" s="62" t="s">
        <v>60</v>
      </c>
      <c r="D4408" s="62" t="s">
        <v>381</v>
      </c>
      <c r="E4408" s="62" t="s">
        <v>72</v>
      </c>
      <c r="F4408" s="62" t="s">
        <v>382</v>
      </c>
      <c r="G4408" s="63" t="s">
        <v>404</v>
      </c>
      <c r="H4408" s="64" t="n">
        <v>12418895645.18</v>
      </c>
      <c r="I4408" s="62" t="s">
        <v>81</v>
      </c>
      <c r="J4408" s="64" t="n">
        <v>12418895.64518</v>
      </c>
      <c r="K4408" s="62" t="s">
        <v>138</v>
      </c>
      <c r="L4408" s="68" t="b">
        <f aca="false">TRUE()</f>
        <v>1</v>
      </c>
    </row>
    <row r="4409" customFormat="false" ht="15" hidden="false" customHeight="false" outlineLevel="0" collapsed="false">
      <c r="A4409" s="62" t="n">
        <v>1</v>
      </c>
      <c r="B4409" s="21" t="s">
        <v>336</v>
      </c>
      <c r="C4409" s="62" t="s">
        <v>60</v>
      </c>
      <c r="D4409" s="62" t="s">
        <v>383</v>
      </c>
      <c r="E4409" s="62" t="s">
        <v>72</v>
      </c>
      <c r="F4409" s="62" t="s">
        <v>382</v>
      </c>
      <c r="G4409" s="63" t="s">
        <v>404</v>
      </c>
      <c r="H4409" s="64" t="n">
        <v>22696394106.9294</v>
      </c>
      <c r="I4409" s="62" t="s">
        <v>81</v>
      </c>
      <c r="J4409" s="64" t="n">
        <v>22696394.1069294</v>
      </c>
      <c r="K4409" s="62" t="s">
        <v>138</v>
      </c>
      <c r="L4409" s="68" t="b">
        <f aca="false">TRUE()</f>
        <v>1</v>
      </c>
    </row>
    <row r="4410" customFormat="false" ht="15" hidden="false" customHeight="false" outlineLevel="0" collapsed="false">
      <c r="A4410" s="62" t="n">
        <v>1</v>
      </c>
      <c r="B4410" s="21" t="s">
        <v>336</v>
      </c>
      <c r="C4410" s="62" t="s">
        <v>60</v>
      </c>
      <c r="D4410" s="62" t="s">
        <v>384</v>
      </c>
      <c r="E4410" s="62" t="s">
        <v>72</v>
      </c>
      <c r="F4410" s="62" t="s">
        <v>382</v>
      </c>
      <c r="G4410" s="63" t="s">
        <v>404</v>
      </c>
      <c r="H4410" s="64" t="n">
        <v>15881130389.0168</v>
      </c>
      <c r="I4410" s="62" t="s">
        <v>81</v>
      </c>
      <c r="J4410" s="64" t="n">
        <v>15881130.3890168</v>
      </c>
      <c r="K4410" s="62" t="s">
        <v>138</v>
      </c>
      <c r="L4410" s="68" t="b">
        <f aca="false">TRUE()</f>
        <v>1</v>
      </c>
    </row>
    <row r="4411" customFormat="false" ht="15" hidden="false" customHeight="false" outlineLevel="0" collapsed="false">
      <c r="A4411" s="62" t="n">
        <v>1</v>
      </c>
      <c r="B4411" s="21" t="s">
        <v>336</v>
      </c>
      <c r="C4411" s="62" t="s">
        <v>60</v>
      </c>
      <c r="D4411" s="62" t="s">
        <v>385</v>
      </c>
      <c r="E4411" s="62" t="s">
        <v>72</v>
      </c>
      <c r="F4411" s="62" t="s">
        <v>382</v>
      </c>
      <c r="G4411" s="63" t="s">
        <v>404</v>
      </c>
      <c r="H4411" s="64" t="n">
        <v>9686319955.0883</v>
      </c>
      <c r="I4411" s="62" t="s">
        <v>81</v>
      </c>
      <c r="J4411" s="64" t="n">
        <v>9686319.9550883</v>
      </c>
      <c r="K4411" s="62" t="s">
        <v>138</v>
      </c>
      <c r="L4411" s="68" t="b">
        <f aca="false">TRUE()</f>
        <v>1</v>
      </c>
    </row>
    <row r="4412" customFormat="false" ht="15" hidden="false" customHeight="false" outlineLevel="0" collapsed="false">
      <c r="A4412" s="62" t="n">
        <v>1</v>
      </c>
      <c r="B4412" s="21" t="s">
        <v>336</v>
      </c>
      <c r="C4412" s="62" t="s">
        <v>60</v>
      </c>
      <c r="D4412" s="62" t="s">
        <v>386</v>
      </c>
      <c r="E4412" s="62" t="s">
        <v>72</v>
      </c>
      <c r="F4412" s="62" t="s">
        <v>382</v>
      </c>
      <c r="G4412" s="63" t="s">
        <v>404</v>
      </c>
      <c r="H4412" s="64" t="n">
        <v>4112691664.33638</v>
      </c>
      <c r="I4412" s="62" t="s">
        <v>81</v>
      </c>
      <c r="J4412" s="64" t="n">
        <v>4112691.66433638</v>
      </c>
      <c r="K4412" s="62" t="s">
        <v>138</v>
      </c>
      <c r="L4412" s="68" t="b">
        <f aca="false">TRUE()</f>
        <v>1</v>
      </c>
    </row>
    <row r="4413" customFormat="false" ht="15" hidden="false" customHeight="false" outlineLevel="0" collapsed="false">
      <c r="A4413" s="62" t="n">
        <v>1</v>
      </c>
      <c r="B4413" s="21" t="s">
        <v>336</v>
      </c>
      <c r="C4413" s="62" t="s">
        <v>60</v>
      </c>
      <c r="D4413" s="62" t="s">
        <v>387</v>
      </c>
      <c r="E4413" s="62" t="s">
        <v>72</v>
      </c>
      <c r="F4413" s="62" t="s">
        <v>382</v>
      </c>
      <c r="G4413" s="63" t="s">
        <v>404</v>
      </c>
      <c r="H4413" s="64" t="n">
        <v>19175515955.737</v>
      </c>
      <c r="I4413" s="62" t="s">
        <v>81</v>
      </c>
      <c r="J4413" s="64" t="n">
        <v>19175515.955737</v>
      </c>
      <c r="K4413" s="62" t="s">
        <v>138</v>
      </c>
      <c r="L4413" s="68" t="b">
        <f aca="false">TRUE()</f>
        <v>1</v>
      </c>
    </row>
    <row r="4414" customFormat="false" ht="15" hidden="false" customHeight="false" outlineLevel="0" collapsed="false">
      <c r="A4414" s="62" t="n">
        <v>1</v>
      </c>
      <c r="B4414" s="21" t="s">
        <v>336</v>
      </c>
      <c r="C4414" s="62" t="s">
        <v>60</v>
      </c>
      <c r="D4414" s="62" t="s">
        <v>388</v>
      </c>
      <c r="E4414" s="62" t="s">
        <v>72</v>
      </c>
      <c r="F4414" s="62" t="s">
        <v>382</v>
      </c>
      <c r="G4414" s="63" t="s">
        <v>404</v>
      </c>
      <c r="H4414" s="64" t="n">
        <v>590066000</v>
      </c>
      <c r="I4414" s="62" t="s">
        <v>81</v>
      </c>
      <c r="J4414" s="64" t="n">
        <v>590066</v>
      </c>
      <c r="K4414" s="62" t="s">
        <v>138</v>
      </c>
      <c r="L4414" s="68" t="b">
        <f aca="false">TRUE()</f>
        <v>1</v>
      </c>
    </row>
    <row r="4415" customFormat="false" ht="15" hidden="false" customHeight="false" outlineLevel="0" collapsed="false">
      <c r="A4415" s="62" t="n">
        <v>1</v>
      </c>
      <c r="B4415" s="21" t="s">
        <v>336</v>
      </c>
      <c r="C4415" s="62" t="s">
        <v>60</v>
      </c>
      <c r="D4415" s="62" t="s">
        <v>381</v>
      </c>
      <c r="E4415" s="62" t="s">
        <v>72</v>
      </c>
      <c r="F4415" s="62" t="s">
        <v>382</v>
      </c>
      <c r="G4415" s="63" t="s">
        <v>405</v>
      </c>
      <c r="H4415" s="64" t="n">
        <v>1174541652.31553</v>
      </c>
      <c r="I4415" s="62" t="s">
        <v>81</v>
      </c>
      <c r="J4415" s="64" t="n">
        <v>1174541.65231553</v>
      </c>
      <c r="K4415" s="62" t="s">
        <v>138</v>
      </c>
      <c r="L4415" s="68" t="b">
        <f aca="false">TRUE()</f>
        <v>1</v>
      </c>
    </row>
    <row r="4416" customFormat="false" ht="15" hidden="false" customHeight="false" outlineLevel="0" collapsed="false">
      <c r="A4416" s="62" t="n">
        <v>1</v>
      </c>
      <c r="B4416" s="21" t="s">
        <v>336</v>
      </c>
      <c r="C4416" s="62" t="s">
        <v>60</v>
      </c>
      <c r="D4416" s="62" t="s">
        <v>383</v>
      </c>
      <c r="E4416" s="62" t="s">
        <v>72</v>
      </c>
      <c r="F4416" s="62" t="s">
        <v>382</v>
      </c>
      <c r="G4416" s="63" t="s">
        <v>405</v>
      </c>
      <c r="H4416" s="64" t="n">
        <v>13843389329.0605</v>
      </c>
      <c r="I4416" s="62" t="s">
        <v>81</v>
      </c>
      <c r="J4416" s="64" t="n">
        <v>13843389.3290605</v>
      </c>
      <c r="K4416" s="62" t="s">
        <v>138</v>
      </c>
      <c r="L4416" s="68" t="b">
        <f aca="false">TRUE()</f>
        <v>1</v>
      </c>
    </row>
    <row r="4417" customFormat="false" ht="15" hidden="false" customHeight="false" outlineLevel="0" collapsed="false">
      <c r="A4417" s="62" t="n">
        <v>1</v>
      </c>
      <c r="B4417" s="21" t="s">
        <v>336</v>
      </c>
      <c r="C4417" s="62" t="s">
        <v>60</v>
      </c>
      <c r="D4417" s="62" t="s">
        <v>384</v>
      </c>
      <c r="E4417" s="62" t="s">
        <v>72</v>
      </c>
      <c r="F4417" s="62" t="s">
        <v>382</v>
      </c>
      <c r="G4417" s="63" t="s">
        <v>405</v>
      </c>
      <c r="H4417" s="64" t="n">
        <v>8985592698.74743</v>
      </c>
      <c r="I4417" s="62" t="s">
        <v>81</v>
      </c>
      <c r="J4417" s="64" t="n">
        <v>8985592.69874743</v>
      </c>
      <c r="K4417" s="62" t="s">
        <v>138</v>
      </c>
      <c r="L4417" s="68" t="b">
        <f aca="false">TRUE()</f>
        <v>1</v>
      </c>
    </row>
    <row r="4418" customFormat="false" ht="15" hidden="false" customHeight="false" outlineLevel="0" collapsed="false">
      <c r="A4418" s="62" t="n">
        <v>1</v>
      </c>
      <c r="B4418" s="21" t="s">
        <v>336</v>
      </c>
      <c r="C4418" s="62" t="s">
        <v>60</v>
      </c>
      <c r="D4418" s="62" t="s">
        <v>385</v>
      </c>
      <c r="E4418" s="62" t="s">
        <v>72</v>
      </c>
      <c r="F4418" s="62" t="s">
        <v>382</v>
      </c>
      <c r="G4418" s="63" t="s">
        <v>405</v>
      </c>
      <c r="H4418" s="64" t="n">
        <v>2907199037.80305</v>
      </c>
      <c r="I4418" s="62" t="s">
        <v>81</v>
      </c>
      <c r="J4418" s="64" t="n">
        <v>2907199.03780305</v>
      </c>
      <c r="K4418" s="62" t="s">
        <v>138</v>
      </c>
      <c r="L4418" s="68" t="b">
        <f aca="false">TRUE()</f>
        <v>1</v>
      </c>
    </row>
    <row r="4419" customFormat="false" ht="15" hidden="false" customHeight="false" outlineLevel="0" collapsed="false">
      <c r="A4419" s="62" t="n">
        <v>1</v>
      </c>
      <c r="B4419" s="21" t="s">
        <v>336</v>
      </c>
      <c r="C4419" s="62" t="s">
        <v>60</v>
      </c>
      <c r="D4419" s="62" t="s">
        <v>386</v>
      </c>
      <c r="E4419" s="62" t="s">
        <v>72</v>
      </c>
      <c r="F4419" s="62" t="s">
        <v>382</v>
      </c>
      <c r="G4419" s="63" t="s">
        <v>405</v>
      </c>
      <c r="H4419" s="64" t="n">
        <v>1503068607.60445</v>
      </c>
      <c r="I4419" s="62" t="s">
        <v>81</v>
      </c>
      <c r="J4419" s="64" t="n">
        <v>1503068.60760445</v>
      </c>
      <c r="K4419" s="62" t="s">
        <v>138</v>
      </c>
      <c r="L4419" s="68" t="b">
        <f aca="false">TRUE()</f>
        <v>1</v>
      </c>
    </row>
    <row r="4420" customFormat="false" ht="15" hidden="false" customHeight="false" outlineLevel="0" collapsed="false">
      <c r="A4420" s="62" t="n">
        <v>1</v>
      </c>
      <c r="B4420" s="21" t="s">
        <v>336</v>
      </c>
      <c r="C4420" s="62" t="s">
        <v>60</v>
      </c>
      <c r="D4420" s="62" t="s">
        <v>387</v>
      </c>
      <c r="E4420" s="62" t="s">
        <v>72</v>
      </c>
      <c r="F4420" s="62" t="s">
        <v>382</v>
      </c>
      <c r="G4420" s="63" t="s">
        <v>405</v>
      </c>
      <c r="H4420" s="64" t="n">
        <v>706367257.140882</v>
      </c>
      <c r="I4420" s="62" t="s">
        <v>81</v>
      </c>
      <c r="J4420" s="64" t="n">
        <v>706367.257140882</v>
      </c>
      <c r="K4420" s="62" t="s">
        <v>138</v>
      </c>
      <c r="L4420" s="68" t="b">
        <f aca="false">TRUE()</f>
        <v>1</v>
      </c>
    </row>
    <row r="4421" customFormat="false" ht="15" hidden="false" customHeight="false" outlineLevel="0" collapsed="false">
      <c r="A4421" s="62" t="n">
        <v>1</v>
      </c>
      <c r="B4421" s="21" t="s">
        <v>336</v>
      </c>
      <c r="C4421" s="62" t="s">
        <v>60</v>
      </c>
      <c r="D4421" s="62" t="s">
        <v>388</v>
      </c>
      <c r="E4421" s="62" t="s">
        <v>72</v>
      </c>
      <c r="F4421" s="62" t="s">
        <v>382</v>
      </c>
      <c r="G4421" s="63" t="s">
        <v>405</v>
      </c>
      <c r="H4421" s="64" t="n">
        <v>-590066000</v>
      </c>
      <c r="I4421" s="62" t="s">
        <v>81</v>
      </c>
      <c r="J4421" s="64" t="n">
        <v>-590066</v>
      </c>
      <c r="K4421" s="62" t="s">
        <v>138</v>
      </c>
      <c r="L4421" s="68" t="b">
        <f aca="false">TRUE()</f>
        <v>1</v>
      </c>
    </row>
    <row r="4422" customFormat="false" ht="15" hidden="false" customHeight="false" outlineLevel="0" collapsed="false">
      <c r="A4422" s="62" t="n">
        <v>1</v>
      </c>
      <c r="B4422" s="21" t="s">
        <v>336</v>
      </c>
      <c r="C4422" s="62" t="s">
        <v>60</v>
      </c>
      <c r="D4422" s="62" t="s">
        <v>381</v>
      </c>
      <c r="E4422" s="62" t="s">
        <v>72</v>
      </c>
      <c r="F4422" s="62" t="s">
        <v>382</v>
      </c>
      <c r="G4422" s="63" t="s">
        <v>406</v>
      </c>
      <c r="H4422" s="64" t="n">
        <v>0</v>
      </c>
      <c r="I4422" s="62" t="s">
        <v>81</v>
      </c>
      <c r="J4422" s="64" t="n">
        <v>0</v>
      </c>
      <c r="K4422" s="62" t="s">
        <v>138</v>
      </c>
      <c r="L4422" s="68" t="b">
        <f aca="false">TRUE()</f>
        <v>1</v>
      </c>
    </row>
    <row r="4423" customFormat="false" ht="15" hidden="false" customHeight="false" outlineLevel="0" collapsed="false">
      <c r="A4423" s="62" t="n">
        <v>1</v>
      </c>
      <c r="B4423" s="21" t="s">
        <v>336</v>
      </c>
      <c r="C4423" s="62" t="s">
        <v>60</v>
      </c>
      <c r="D4423" s="62" t="s">
        <v>383</v>
      </c>
      <c r="E4423" s="62" t="s">
        <v>72</v>
      </c>
      <c r="F4423" s="62" t="s">
        <v>382</v>
      </c>
      <c r="G4423" s="63" t="s">
        <v>406</v>
      </c>
      <c r="H4423" s="64" t="n">
        <v>0</v>
      </c>
      <c r="I4423" s="62" t="s">
        <v>81</v>
      </c>
      <c r="J4423" s="64" t="n">
        <v>0</v>
      </c>
      <c r="K4423" s="62" t="s">
        <v>138</v>
      </c>
      <c r="L4423" s="68" t="b">
        <f aca="false">TRUE()</f>
        <v>1</v>
      </c>
    </row>
    <row r="4424" customFormat="false" ht="15" hidden="false" customHeight="false" outlineLevel="0" collapsed="false">
      <c r="A4424" s="62" t="n">
        <v>1</v>
      </c>
      <c r="B4424" s="21" t="s">
        <v>336</v>
      </c>
      <c r="C4424" s="62" t="s">
        <v>60</v>
      </c>
      <c r="D4424" s="62" t="s">
        <v>384</v>
      </c>
      <c r="E4424" s="62" t="s">
        <v>72</v>
      </c>
      <c r="F4424" s="62" t="s">
        <v>382</v>
      </c>
      <c r="G4424" s="63" t="s">
        <v>406</v>
      </c>
      <c r="H4424" s="64" t="n">
        <v>0</v>
      </c>
      <c r="I4424" s="62" t="s">
        <v>81</v>
      </c>
      <c r="J4424" s="64" t="n">
        <v>0</v>
      </c>
      <c r="K4424" s="62" t="s">
        <v>138</v>
      </c>
      <c r="L4424" s="68" t="b">
        <f aca="false">TRUE()</f>
        <v>1</v>
      </c>
    </row>
    <row r="4425" customFormat="false" ht="15" hidden="false" customHeight="false" outlineLevel="0" collapsed="false">
      <c r="A4425" s="62" t="n">
        <v>1</v>
      </c>
      <c r="B4425" s="21" t="s">
        <v>336</v>
      </c>
      <c r="C4425" s="62" t="s">
        <v>60</v>
      </c>
      <c r="D4425" s="62" t="s">
        <v>385</v>
      </c>
      <c r="E4425" s="62" t="s">
        <v>72</v>
      </c>
      <c r="F4425" s="62" t="s">
        <v>382</v>
      </c>
      <c r="G4425" s="63" t="s">
        <v>406</v>
      </c>
      <c r="H4425" s="64" t="n">
        <v>0</v>
      </c>
      <c r="I4425" s="62" t="s">
        <v>81</v>
      </c>
      <c r="J4425" s="64" t="n">
        <v>0</v>
      </c>
      <c r="K4425" s="62" t="s">
        <v>138</v>
      </c>
      <c r="L4425" s="68" t="b">
        <f aca="false">TRUE()</f>
        <v>1</v>
      </c>
    </row>
    <row r="4426" customFormat="false" ht="15" hidden="false" customHeight="false" outlineLevel="0" collapsed="false">
      <c r="A4426" s="62" t="n">
        <v>1</v>
      </c>
      <c r="B4426" s="21" t="s">
        <v>336</v>
      </c>
      <c r="C4426" s="62" t="s">
        <v>60</v>
      </c>
      <c r="D4426" s="62" t="s">
        <v>386</v>
      </c>
      <c r="E4426" s="62" t="s">
        <v>72</v>
      </c>
      <c r="F4426" s="62" t="s">
        <v>382</v>
      </c>
      <c r="G4426" s="63" t="s">
        <v>406</v>
      </c>
      <c r="H4426" s="64" t="n">
        <v>0</v>
      </c>
      <c r="I4426" s="62" t="s">
        <v>81</v>
      </c>
      <c r="J4426" s="64" t="n">
        <v>0</v>
      </c>
      <c r="K4426" s="62" t="s">
        <v>138</v>
      </c>
      <c r="L4426" s="68" t="b">
        <f aca="false">TRUE()</f>
        <v>1</v>
      </c>
    </row>
    <row r="4427" customFormat="false" ht="15" hidden="false" customHeight="false" outlineLevel="0" collapsed="false">
      <c r="A4427" s="62" t="n">
        <v>1</v>
      </c>
      <c r="B4427" s="21" t="s">
        <v>336</v>
      </c>
      <c r="C4427" s="62" t="s">
        <v>60</v>
      </c>
      <c r="D4427" s="62" t="s">
        <v>387</v>
      </c>
      <c r="E4427" s="62" t="s">
        <v>72</v>
      </c>
      <c r="F4427" s="62" t="s">
        <v>382</v>
      </c>
      <c r="G4427" s="63" t="s">
        <v>406</v>
      </c>
      <c r="H4427" s="64" t="n">
        <v>0</v>
      </c>
      <c r="I4427" s="62" t="s">
        <v>81</v>
      </c>
      <c r="J4427" s="64" t="n">
        <v>0</v>
      </c>
      <c r="K4427" s="62" t="s">
        <v>138</v>
      </c>
      <c r="L4427" s="68" t="b">
        <f aca="false">TRUE()</f>
        <v>1</v>
      </c>
    </row>
    <row r="4428" customFormat="false" ht="15" hidden="false" customHeight="false" outlineLevel="0" collapsed="false">
      <c r="A4428" s="62" t="n">
        <v>1</v>
      </c>
      <c r="B4428" s="21" t="s">
        <v>336</v>
      </c>
      <c r="C4428" s="62" t="s">
        <v>60</v>
      </c>
      <c r="D4428" s="62" t="s">
        <v>388</v>
      </c>
      <c r="E4428" s="62" t="s">
        <v>72</v>
      </c>
      <c r="F4428" s="62" t="s">
        <v>382</v>
      </c>
      <c r="G4428" s="63" t="s">
        <v>406</v>
      </c>
      <c r="H4428" s="64" t="n">
        <v>0</v>
      </c>
      <c r="I4428" s="62" t="s">
        <v>81</v>
      </c>
      <c r="J4428" s="64" t="n">
        <v>0</v>
      </c>
      <c r="K4428" s="62" t="s">
        <v>138</v>
      </c>
      <c r="L4428" s="68" t="b">
        <f aca="false">TRUE()</f>
        <v>1</v>
      </c>
    </row>
    <row r="4429" customFormat="false" ht="15" hidden="false" customHeight="false" outlineLevel="0" collapsed="false">
      <c r="A4429" s="62" t="n">
        <v>1</v>
      </c>
      <c r="B4429" s="21" t="s">
        <v>336</v>
      </c>
      <c r="C4429" s="62" t="s">
        <v>60</v>
      </c>
      <c r="D4429" s="62" t="s">
        <v>381</v>
      </c>
      <c r="E4429" s="62" t="s">
        <v>72</v>
      </c>
      <c r="F4429" s="62" t="s">
        <v>382</v>
      </c>
      <c r="G4429" s="63" t="s">
        <v>407</v>
      </c>
      <c r="H4429" s="64" t="n">
        <v>1174541652.31553</v>
      </c>
      <c r="I4429" s="62" t="s">
        <v>81</v>
      </c>
      <c r="J4429" s="64" t="n">
        <v>1174541.65231553</v>
      </c>
      <c r="K4429" s="62" t="s">
        <v>138</v>
      </c>
      <c r="L4429" s="68" t="b">
        <f aca="false">TRUE()</f>
        <v>1</v>
      </c>
    </row>
    <row r="4430" customFormat="false" ht="15" hidden="false" customHeight="false" outlineLevel="0" collapsed="false">
      <c r="A4430" s="62" t="n">
        <v>1</v>
      </c>
      <c r="B4430" s="21" t="s">
        <v>336</v>
      </c>
      <c r="C4430" s="62" t="s">
        <v>60</v>
      </c>
      <c r="D4430" s="62" t="s">
        <v>383</v>
      </c>
      <c r="E4430" s="62" t="s">
        <v>72</v>
      </c>
      <c r="F4430" s="62" t="s">
        <v>382</v>
      </c>
      <c r="G4430" s="63" t="s">
        <v>407</v>
      </c>
      <c r="H4430" s="64" t="n">
        <v>13843389329.0605</v>
      </c>
      <c r="I4430" s="62" t="s">
        <v>81</v>
      </c>
      <c r="J4430" s="64" t="n">
        <v>13843389.3290605</v>
      </c>
      <c r="K4430" s="62" t="s">
        <v>138</v>
      </c>
      <c r="L4430" s="68" t="b">
        <f aca="false">TRUE()</f>
        <v>1</v>
      </c>
    </row>
    <row r="4431" customFormat="false" ht="15" hidden="false" customHeight="false" outlineLevel="0" collapsed="false">
      <c r="A4431" s="62" t="n">
        <v>1</v>
      </c>
      <c r="B4431" s="21" t="s">
        <v>336</v>
      </c>
      <c r="C4431" s="62" t="s">
        <v>60</v>
      </c>
      <c r="D4431" s="62" t="s">
        <v>384</v>
      </c>
      <c r="E4431" s="62" t="s">
        <v>72</v>
      </c>
      <c r="F4431" s="62" t="s">
        <v>382</v>
      </c>
      <c r="G4431" s="63" t="s">
        <v>407</v>
      </c>
      <c r="H4431" s="64" t="n">
        <v>8985592698.74743</v>
      </c>
      <c r="I4431" s="62" t="s">
        <v>81</v>
      </c>
      <c r="J4431" s="64" t="n">
        <v>8985592.69874743</v>
      </c>
      <c r="K4431" s="62" t="s">
        <v>138</v>
      </c>
      <c r="L4431" s="68" t="b">
        <f aca="false">TRUE()</f>
        <v>1</v>
      </c>
    </row>
    <row r="4432" customFormat="false" ht="15" hidden="false" customHeight="false" outlineLevel="0" collapsed="false">
      <c r="A4432" s="62" t="n">
        <v>1</v>
      </c>
      <c r="B4432" s="21" t="s">
        <v>336</v>
      </c>
      <c r="C4432" s="62" t="s">
        <v>60</v>
      </c>
      <c r="D4432" s="62" t="s">
        <v>385</v>
      </c>
      <c r="E4432" s="62" t="s">
        <v>72</v>
      </c>
      <c r="F4432" s="62" t="s">
        <v>382</v>
      </c>
      <c r="G4432" s="63" t="s">
        <v>407</v>
      </c>
      <c r="H4432" s="64" t="n">
        <v>2907199037.80305</v>
      </c>
      <c r="I4432" s="62" t="s">
        <v>81</v>
      </c>
      <c r="J4432" s="64" t="n">
        <v>2907199.03780305</v>
      </c>
      <c r="K4432" s="62" t="s">
        <v>138</v>
      </c>
      <c r="L4432" s="68" t="b">
        <f aca="false">TRUE()</f>
        <v>1</v>
      </c>
    </row>
    <row r="4433" customFormat="false" ht="15" hidden="false" customHeight="false" outlineLevel="0" collapsed="false">
      <c r="A4433" s="62" t="n">
        <v>1</v>
      </c>
      <c r="B4433" s="21" t="s">
        <v>336</v>
      </c>
      <c r="C4433" s="62" t="s">
        <v>60</v>
      </c>
      <c r="D4433" s="62" t="s">
        <v>386</v>
      </c>
      <c r="E4433" s="62" t="s">
        <v>72</v>
      </c>
      <c r="F4433" s="62" t="s">
        <v>382</v>
      </c>
      <c r="G4433" s="63" t="s">
        <v>407</v>
      </c>
      <c r="H4433" s="64" t="n">
        <v>1503068607.60445</v>
      </c>
      <c r="I4433" s="62" t="s">
        <v>81</v>
      </c>
      <c r="J4433" s="64" t="n">
        <v>1503068.60760445</v>
      </c>
      <c r="K4433" s="62" t="s">
        <v>138</v>
      </c>
      <c r="L4433" s="68" t="b">
        <f aca="false">TRUE()</f>
        <v>1</v>
      </c>
    </row>
    <row r="4434" customFormat="false" ht="15" hidden="false" customHeight="false" outlineLevel="0" collapsed="false">
      <c r="A4434" s="62" t="n">
        <v>1</v>
      </c>
      <c r="B4434" s="21" t="s">
        <v>336</v>
      </c>
      <c r="C4434" s="62" t="s">
        <v>60</v>
      </c>
      <c r="D4434" s="62" t="s">
        <v>387</v>
      </c>
      <c r="E4434" s="62" t="s">
        <v>72</v>
      </c>
      <c r="F4434" s="62" t="s">
        <v>382</v>
      </c>
      <c r="G4434" s="63" t="s">
        <v>407</v>
      </c>
      <c r="H4434" s="64" t="n">
        <v>706367257.140882</v>
      </c>
      <c r="I4434" s="62" t="s">
        <v>81</v>
      </c>
      <c r="J4434" s="64" t="n">
        <v>706367.257140882</v>
      </c>
      <c r="K4434" s="62" t="s">
        <v>138</v>
      </c>
      <c r="L4434" s="68" t="b">
        <f aca="false">TRUE()</f>
        <v>1</v>
      </c>
    </row>
    <row r="4435" customFormat="false" ht="15" hidden="false" customHeight="false" outlineLevel="0" collapsed="false">
      <c r="A4435" s="62" t="n">
        <v>1</v>
      </c>
      <c r="B4435" s="21" t="s">
        <v>336</v>
      </c>
      <c r="C4435" s="62" t="s">
        <v>60</v>
      </c>
      <c r="D4435" s="62" t="s">
        <v>388</v>
      </c>
      <c r="E4435" s="62" t="s">
        <v>72</v>
      </c>
      <c r="F4435" s="62" t="s">
        <v>382</v>
      </c>
      <c r="G4435" s="63" t="s">
        <v>407</v>
      </c>
      <c r="H4435" s="64" t="n">
        <v>-590066000</v>
      </c>
      <c r="I4435" s="62" t="s">
        <v>81</v>
      </c>
      <c r="J4435" s="64" t="n">
        <v>-590066</v>
      </c>
      <c r="K4435" s="62" t="s">
        <v>138</v>
      </c>
      <c r="L4435" s="68" t="b">
        <f aca="false">TRUE()</f>
        <v>1</v>
      </c>
    </row>
    <row r="4436" customFormat="false" ht="15" hidden="false" customHeight="false" outlineLevel="0" collapsed="false">
      <c r="A4436" s="62" t="n">
        <v>1</v>
      </c>
      <c r="B4436" s="21" t="s">
        <v>336</v>
      </c>
      <c r="C4436" s="62" t="s">
        <v>60</v>
      </c>
      <c r="D4436" s="62" t="s">
        <v>381</v>
      </c>
      <c r="E4436" s="62" t="s">
        <v>72</v>
      </c>
      <c r="F4436" s="62" t="s">
        <v>382</v>
      </c>
      <c r="G4436" s="63" t="s">
        <v>408</v>
      </c>
      <c r="H4436" s="64" t="n">
        <v>-43304005.8154871</v>
      </c>
      <c r="I4436" s="62" t="s">
        <v>81</v>
      </c>
      <c r="J4436" s="64" t="n">
        <v>-43304.0058154871</v>
      </c>
      <c r="K4436" s="62" t="s">
        <v>138</v>
      </c>
      <c r="L4436" s="68" t="b">
        <f aca="false">TRUE()</f>
        <v>1</v>
      </c>
    </row>
    <row r="4437" customFormat="false" ht="15" hidden="false" customHeight="false" outlineLevel="0" collapsed="false">
      <c r="A4437" s="62" t="n">
        <v>1</v>
      </c>
      <c r="B4437" s="21" t="s">
        <v>336</v>
      </c>
      <c r="C4437" s="62" t="s">
        <v>60</v>
      </c>
      <c r="D4437" s="62" t="s">
        <v>383</v>
      </c>
      <c r="E4437" s="62" t="s">
        <v>72</v>
      </c>
      <c r="F4437" s="62" t="s">
        <v>382</v>
      </c>
      <c r="G4437" s="63" t="s">
        <v>408</v>
      </c>
      <c r="H4437" s="64" t="n">
        <v>-76475866.7707171</v>
      </c>
      <c r="I4437" s="62" t="s">
        <v>81</v>
      </c>
      <c r="J4437" s="64" t="n">
        <v>-76475.8667707171</v>
      </c>
      <c r="K4437" s="62" t="s">
        <v>138</v>
      </c>
      <c r="L4437" s="68" t="b">
        <f aca="false">TRUE()</f>
        <v>1</v>
      </c>
    </row>
    <row r="4438" customFormat="false" ht="15" hidden="false" customHeight="false" outlineLevel="0" collapsed="false">
      <c r="A4438" s="62" t="n">
        <v>1</v>
      </c>
      <c r="B4438" s="21" t="s">
        <v>336</v>
      </c>
      <c r="C4438" s="62" t="s">
        <v>60</v>
      </c>
      <c r="D4438" s="62" t="s">
        <v>384</v>
      </c>
      <c r="E4438" s="62" t="s">
        <v>72</v>
      </c>
      <c r="F4438" s="62" t="s">
        <v>382</v>
      </c>
      <c r="G4438" s="63" t="s">
        <v>408</v>
      </c>
      <c r="H4438" s="64" t="n">
        <v>-94493724.4264811</v>
      </c>
      <c r="I4438" s="62" t="s">
        <v>81</v>
      </c>
      <c r="J4438" s="64" t="n">
        <v>-94493.7244264811</v>
      </c>
      <c r="K4438" s="62" t="s">
        <v>138</v>
      </c>
      <c r="L4438" s="68" t="b">
        <f aca="false">TRUE()</f>
        <v>1</v>
      </c>
    </row>
    <row r="4439" customFormat="false" ht="15" hidden="false" customHeight="false" outlineLevel="0" collapsed="false">
      <c r="A4439" s="62" t="n">
        <v>1</v>
      </c>
      <c r="B4439" s="21" t="s">
        <v>336</v>
      </c>
      <c r="C4439" s="62" t="s">
        <v>60</v>
      </c>
      <c r="D4439" s="62" t="s">
        <v>385</v>
      </c>
      <c r="E4439" s="62" t="s">
        <v>72</v>
      </c>
      <c r="F4439" s="62" t="s">
        <v>382</v>
      </c>
      <c r="G4439" s="63" t="s">
        <v>408</v>
      </c>
      <c r="H4439" s="64" t="n">
        <v>-69054329.5393352</v>
      </c>
      <c r="I4439" s="62" t="s">
        <v>81</v>
      </c>
      <c r="J4439" s="64" t="n">
        <v>-69054.3295393352</v>
      </c>
      <c r="K4439" s="62" t="s">
        <v>138</v>
      </c>
      <c r="L4439" s="68" t="b">
        <f aca="false">TRUE()</f>
        <v>1</v>
      </c>
    </row>
    <row r="4440" customFormat="false" ht="15" hidden="false" customHeight="false" outlineLevel="0" collapsed="false">
      <c r="A4440" s="62" t="n">
        <v>1</v>
      </c>
      <c r="B4440" s="21" t="s">
        <v>336</v>
      </c>
      <c r="C4440" s="62" t="s">
        <v>60</v>
      </c>
      <c r="D4440" s="62" t="s">
        <v>386</v>
      </c>
      <c r="E4440" s="62" t="s">
        <v>72</v>
      </c>
      <c r="F4440" s="62" t="s">
        <v>382</v>
      </c>
      <c r="G4440" s="63" t="s">
        <v>408</v>
      </c>
      <c r="H4440" s="64" t="n">
        <v>34939476.9488786</v>
      </c>
      <c r="I4440" s="62" t="s">
        <v>81</v>
      </c>
      <c r="J4440" s="64" t="n">
        <v>34939.4769488786</v>
      </c>
      <c r="K4440" s="62" t="s">
        <v>138</v>
      </c>
      <c r="L4440" s="68" t="b">
        <f aca="false">TRUE()</f>
        <v>1</v>
      </c>
    </row>
    <row r="4441" customFormat="false" ht="15" hidden="false" customHeight="false" outlineLevel="0" collapsed="false">
      <c r="A4441" s="62" t="n">
        <v>1</v>
      </c>
      <c r="B4441" s="21" t="s">
        <v>336</v>
      </c>
      <c r="C4441" s="62" t="s">
        <v>60</v>
      </c>
      <c r="D4441" s="62" t="s">
        <v>387</v>
      </c>
      <c r="E4441" s="62" t="s">
        <v>72</v>
      </c>
      <c r="F4441" s="62" t="s">
        <v>382</v>
      </c>
      <c r="G4441" s="63" t="s">
        <v>408</v>
      </c>
      <c r="H4441" s="64" t="n">
        <v>-46090096.1715392</v>
      </c>
      <c r="I4441" s="62" t="s">
        <v>81</v>
      </c>
      <c r="J4441" s="64" t="n">
        <v>-46090.0961715392</v>
      </c>
      <c r="K4441" s="62" t="s">
        <v>138</v>
      </c>
      <c r="L4441" s="68" t="b">
        <f aca="false">TRUE()</f>
        <v>1</v>
      </c>
    </row>
    <row r="4442" customFormat="false" ht="15" hidden="false" customHeight="false" outlineLevel="0" collapsed="false">
      <c r="A4442" s="62" t="n">
        <v>1</v>
      </c>
      <c r="B4442" s="21" t="s">
        <v>336</v>
      </c>
      <c r="C4442" s="62" t="s">
        <v>60</v>
      </c>
      <c r="D4442" s="62" t="s">
        <v>388</v>
      </c>
      <c r="E4442" s="62" t="s">
        <v>72</v>
      </c>
      <c r="F4442" s="62" t="s">
        <v>382</v>
      </c>
      <c r="G4442" s="63" t="s">
        <v>408</v>
      </c>
      <c r="H4442" s="64" t="n">
        <v>-33152424.8265638</v>
      </c>
      <c r="I4442" s="62" t="s">
        <v>81</v>
      </c>
      <c r="J4442" s="64" t="n">
        <v>-33152.4248265638</v>
      </c>
      <c r="K4442" s="62" t="s">
        <v>138</v>
      </c>
      <c r="L4442" s="68" t="b">
        <f aca="false">TRUE()</f>
        <v>1</v>
      </c>
    </row>
    <row r="4443" customFormat="false" ht="15" hidden="false" customHeight="false" outlineLevel="0" collapsed="false">
      <c r="A4443" s="62" t="n">
        <v>1</v>
      </c>
      <c r="B4443" s="21" t="s">
        <v>336</v>
      </c>
      <c r="C4443" s="62" t="s">
        <v>60</v>
      </c>
      <c r="D4443" s="62" t="s">
        <v>381</v>
      </c>
      <c r="E4443" s="62" t="s">
        <v>72</v>
      </c>
      <c r="F4443" s="62" t="s">
        <v>382</v>
      </c>
      <c r="G4443" s="63" t="s">
        <v>409</v>
      </c>
      <c r="H4443" s="64" t="n">
        <v>1217845658.13102</v>
      </c>
      <c r="I4443" s="62" t="s">
        <v>81</v>
      </c>
      <c r="J4443" s="64" t="n">
        <v>1217845.65813102</v>
      </c>
      <c r="K4443" s="62" t="s">
        <v>138</v>
      </c>
      <c r="L4443" s="68" t="b">
        <f aca="false">TRUE()</f>
        <v>1</v>
      </c>
    </row>
    <row r="4444" customFormat="false" ht="15" hidden="false" customHeight="false" outlineLevel="0" collapsed="false">
      <c r="A4444" s="62" t="n">
        <v>1</v>
      </c>
      <c r="B4444" s="21" t="s">
        <v>336</v>
      </c>
      <c r="C4444" s="62" t="s">
        <v>60</v>
      </c>
      <c r="D4444" s="62" t="s">
        <v>383</v>
      </c>
      <c r="E4444" s="62" t="s">
        <v>72</v>
      </c>
      <c r="F4444" s="62" t="s">
        <v>382</v>
      </c>
      <c r="G4444" s="63" t="s">
        <v>409</v>
      </c>
      <c r="H4444" s="64" t="n">
        <v>13919865195.8313</v>
      </c>
      <c r="I4444" s="62" t="s">
        <v>81</v>
      </c>
      <c r="J4444" s="64" t="n">
        <v>13919865.1958313</v>
      </c>
      <c r="K4444" s="62" t="s">
        <v>138</v>
      </c>
      <c r="L4444" s="68" t="b">
        <f aca="false">TRUE()</f>
        <v>1</v>
      </c>
    </row>
    <row r="4445" customFormat="false" ht="15" hidden="false" customHeight="false" outlineLevel="0" collapsed="false">
      <c r="A4445" s="62" t="n">
        <v>1</v>
      </c>
      <c r="B4445" s="21" t="s">
        <v>336</v>
      </c>
      <c r="C4445" s="62" t="s">
        <v>60</v>
      </c>
      <c r="D4445" s="62" t="s">
        <v>384</v>
      </c>
      <c r="E4445" s="62" t="s">
        <v>72</v>
      </c>
      <c r="F4445" s="62" t="s">
        <v>382</v>
      </c>
      <c r="G4445" s="63" t="s">
        <v>409</v>
      </c>
      <c r="H4445" s="64" t="n">
        <v>9080086423.17391</v>
      </c>
      <c r="I4445" s="62" t="s">
        <v>81</v>
      </c>
      <c r="J4445" s="64" t="n">
        <v>9080086.42317391</v>
      </c>
      <c r="K4445" s="62" t="s">
        <v>138</v>
      </c>
      <c r="L4445" s="68" t="b">
        <f aca="false">TRUE()</f>
        <v>1</v>
      </c>
    </row>
    <row r="4446" customFormat="false" ht="15" hidden="false" customHeight="false" outlineLevel="0" collapsed="false">
      <c r="A4446" s="62" t="n">
        <v>1</v>
      </c>
      <c r="B4446" s="21" t="s">
        <v>336</v>
      </c>
      <c r="C4446" s="62" t="s">
        <v>60</v>
      </c>
      <c r="D4446" s="62" t="s">
        <v>385</v>
      </c>
      <c r="E4446" s="62" t="s">
        <v>72</v>
      </c>
      <c r="F4446" s="62" t="s">
        <v>382</v>
      </c>
      <c r="G4446" s="63" t="s">
        <v>409</v>
      </c>
      <c r="H4446" s="64" t="n">
        <v>2976253367.34238</v>
      </c>
      <c r="I4446" s="62" t="s">
        <v>81</v>
      </c>
      <c r="J4446" s="64" t="n">
        <v>2976253.36734238</v>
      </c>
      <c r="K4446" s="62" t="s">
        <v>138</v>
      </c>
      <c r="L4446" s="68" t="b">
        <f aca="false">TRUE()</f>
        <v>1</v>
      </c>
    </row>
    <row r="4447" customFormat="false" ht="15" hidden="false" customHeight="false" outlineLevel="0" collapsed="false">
      <c r="A4447" s="62" t="n">
        <v>1</v>
      </c>
      <c r="B4447" s="21" t="s">
        <v>336</v>
      </c>
      <c r="C4447" s="62" t="s">
        <v>60</v>
      </c>
      <c r="D4447" s="62" t="s">
        <v>386</v>
      </c>
      <c r="E4447" s="62" t="s">
        <v>72</v>
      </c>
      <c r="F4447" s="62" t="s">
        <v>382</v>
      </c>
      <c r="G4447" s="63" t="s">
        <v>409</v>
      </c>
      <c r="H4447" s="64" t="n">
        <v>1468129130.65557</v>
      </c>
      <c r="I4447" s="62" t="s">
        <v>81</v>
      </c>
      <c r="J4447" s="64" t="n">
        <v>1468129.13065557</v>
      </c>
      <c r="K4447" s="62" t="s">
        <v>138</v>
      </c>
      <c r="L4447" s="68" t="b">
        <f aca="false">TRUE()</f>
        <v>1</v>
      </c>
    </row>
    <row r="4448" customFormat="false" ht="15" hidden="false" customHeight="false" outlineLevel="0" collapsed="false">
      <c r="A4448" s="62" t="n">
        <v>1</v>
      </c>
      <c r="B4448" s="21" t="s">
        <v>336</v>
      </c>
      <c r="C4448" s="62" t="s">
        <v>60</v>
      </c>
      <c r="D4448" s="62" t="s">
        <v>387</v>
      </c>
      <c r="E4448" s="62" t="s">
        <v>72</v>
      </c>
      <c r="F4448" s="62" t="s">
        <v>382</v>
      </c>
      <c r="G4448" s="63" t="s">
        <v>409</v>
      </c>
      <c r="H4448" s="64" t="n">
        <v>752457353.312422</v>
      </c>
      <c r="I4448" s="62" t="s">
        <v>81</v>
      </c>
      <c r="J4448" s="64" t="n">
        <v>752457.353312422</v>
      </c>
      <c r="K4448" s="62" t="s">
        <v>138</v>
      </c>
      <c r="L4448" s="68" t="b">
        <f aca="false">TRUE()</f>
        <v>1</v>
      </c>
    </row>
    <row r="4449" customFormat="false" ht="15" hidden="false" customHeight="false" outlineLevel="0" collapsed="false">
      <c r="A4449" s="62" t="n">
        <v>1</v>
      </c>
      <c r="B4449" s="21" t="s">
        <v>336</v>
      </c>
      <c r="C4449" s="62" t="s">
        <v>60</v>
      </c>
      <c r="D4449" s="62" t="s">
        <v>388</v>
      </c>
      <c r="E4449" s="62" t="s">
        <v>72</v>
      </c>
      <c r="F4449" s="62" t="s">
        <v>382</v>
      </c>
      <c r="G4449" s="63" t="s">
        <v>409</v>
      </c>
      <c r="H4449" s="64" t="n">
        <v>-556913575.173436</v>
      </c>
      <c r="I4449" s="62" t="s">
        <v>81</v>
      </c>
      <c r="J4449" s="64" t="n">
        <v>-556913.575173436</v>
      </c>
      <c r="K4449" s="62" t="s">
        <v>138</v>
      </c>
      <c r="L4449" s="68" t="b">
        <f aca="false">TRUE()</f>
        <v>1</v>
      </c>
    </row>
    <row r="4450" customFormat="false" ht="15" hidden="false" customHeight="false" outlineLevel="0" collapsed="false">
      <c r="A4450" s="62" t="n">
        <v>1</v>
      </c>
      <c r="B4450" s="21" t="s">
        <v>336</v>
      </c>
      <c r="C4450" s="62" t="s">
        <v>60</v>
      </c>
      <c r="D4450" s="62" t="s">
        <v>381</v>
      </c>
      <c r="E4450" s="62" t="s">
        <v>72</v>
      </c>
      <c r="F4450" s="62" t="s">
        <v>382</v>
      </c>
      <c r="G4450" s="63" t="s">
        <v>410</v>
      </c>
      <c r="H4450" s="64" t="n">
        <v>328818327.695375</v>
      </c>
      <c r="I4450" s="62" t="s">
        <v>81</v>
      </c>
      <c r="J4450" s="64" t="n">
        <v>328818.327695375</v>
      </c>
      <c r="K4450" s="62" t="s">
        <v>138</v>
      </c>
      <c r="L4450" s="68" t="b">
        <f aca="false">TRUE()</f>
        <v>1</v>
      </c>
    </row>
    <row r="4451" customFormat="false" ht="15" hidden="false" customHeight="false" outlineLevel="0" collapsed="false">
      <c r="A4451" s="62" t="n">
        <v>1</v>
      </c>
      <c r="B4451" s="21" t="s">
        <v>336</v>
      </c>
      <c r="C4451" s="62" t="s">
        <v>60</v>
      </c>
      <c r="D4451" s="62" t="s">
        <v>383</v>
      </c>
      <c r="E4451" s="62" t="s">
        <v>72</v>
      </c>
      <c r="F4451" s="62" t="s">
        <v>382</v>
      </c>
      <c r="G4451" s="63" t="s">
        <v>410</v>
      </c>
      <c r="H4451" s="64" t="n">
        <v>3758363602.87444</v>
      </c>
      <c r="I4451" s="62" t="s">
        <v>81</v>
      </c>
      <c r="J4451" s="64" t="n">
        <v>3758363.60287444</v>
      </c>
      <c r="K4451" s="62" t="s">
        <v>138</v>
      </c>
      <c r="L4451" s="68" t="b">
        <f aca="false">TRUE()</f>
        <v>1</v>
      </c>
    </row>
    <row r="4452" customFormat="false" ht="15" hidden="false" customHeight="false" outlineLevel="0" collapsed="false">
      <c r="A4452" s="62" t="n">
        <v>1</v>
      </c>
      <c r="B4452" s="21" t="s">
        <v>336</v>
      </c>
      <c r="C4452" s="62" t="s">
        <v>60</v>
      </c>
      <c r="D4452" s="62" t="s">
        <v>384</v>
      </c>
      <c r="E4452" s="62" t="s">
        <v>72</v>
      </c>
      <c r="F4452" s="62" t="s">
        <v>382</v>
      </c>
      <c r="G4452" s="63" t="s">
        <v>410</v>
      </c>
      <c r="H4452" s="64" t="n">
        <v>2451623334.25696</v>
      </c>
      <c r="I4452" s="62" t="s">
        <v>81</v>
      </c>
      <c r="J4452" s="64" t="n">
        <v>2451623.33425696</v>
      </c>
      <c r="K4452" s="62" t="s">
        <v>138</v>
      </c>
      <c r="L4452" s="68" t="b">
        <f aca="false">TRUE()</f>
        <v>1</v>
      </c>
    </row>
    <row r="4453" customFormat="false" ht="15" hidden="false" customHeight="false" outlineLevel="0" collapsed="false">
      <c r="A4453" s="62" t="n">
        <v>1</v>
      </c>
      <c r="B4453" s="21" t="s">
        <v>336</v>
      </c>
      <c r="C4453" s="62" t="s">
        <v>60</v>
      </c>
      <c r="D4453" s="62" t="s">
        <v>385</v>
      </c>
      <c r="E4453" s="62" t="s">
        <v>72</v>
      </c>
      <c r="F4453" s="62" t="s">
        <v>382</v>
      </c>
      <c r="G4453" s="63" t="s">
        <v>410</v>
      </c>
      <c r="H4453" s="64" t="n">
        <v>803588409.182443</v>
      </c>
      <c r="I4453" s="62" t="s">
        <v>81</v>
      </c>
      <c r="J4453" s="64" t="n">
        <v>803588.409182443</v>
      </c>
      <c r="K4453" s="62" t="s">
        <v>138</v>
      </c>
      <c r="L4453" s="68" t="b">
        <f aca="false">TRUE()</f>
        <v>1</v>
      </c>
    </row>
    <row r="4454" customFormat="false" ht="15" hidden="false" customHeight="false" outlineLevel="0" collapsed="false">
      <c r="A4454" s="62" t="n">
        <v>1</v>
      </c>
      <c r="B4454" s="21" t="s">
        <v>336</v>
      </c>
      <c r="C4454" s="62" t="s">
        <v>60</v>
      </c>
      <c r="D4454" s="62" t="s">
        <v>386</v>
      </c>
      <c r="E4454" s="62" t="s">
        <v>72</v>
      </c>
      <c r="F4454" s="62" t="s">
        <v>382</v>
      </c>
      <c r="G4454" s="63" t="s">
        <v>410</v>
      </c>
      <c r="H4454" s="64" t="n">
        <v>396394865.277004</v>
      </c>
      <c r="I4454" s="62" t="s">
        <v>81</v>
      </c>
      <c r="J4454" s="64" t="n">
        <v>396394.865277004</v>
      </c>
      <c r="K4454" s="62" t="s">
        <v>138</v>
      </c>
      <c r="L4454" s="68" t="b">
        <f aca="false">TRUE()</f>
        <v>1</v>
      </c>
    </row>
    <row r="4455" customFormat="false" ht="15" hidden="false" customHeight="false" outlineLevel="0" collapsed="false">
      <c r="A4455" s="62" t="n">
        <v>1</v>
      </c>
      <c r="B4455" s="21" t="s">
        <v>336</v>
      </c>
      <c r="C4455" s="62" t="s">
        <v>60</v>
      </c>
      <c r="D4455" s="62" t="s">
        <v>387</v>
      </c>
      <c r="E4455" s="62" t="s">
        <v>72</v>
      </c>
      <c r="F4455" s="62" t="s">
        <v>382</v>
      </c>
      <c r="G4455" s="63" t="s">
        <v>410</v>
      </c>
      <c r="H4455" s="64" t="n">
        <v>203163485.394354</v>
      </c>
      <c r="I4455" s="62" t="s">
        <v>81</v>
      </c>
      <c r="J4455" s="64" t="n">
        <v>203163.485394354</v>
      </c>
      <c r="K4455" s="62" t="s">
        <v>138</v>
      </c>
      <c r="L4455" s="68" t="b">
        <f aca="false">TRUE()</f>
        <v>1</v>
      </c>
    </row>
    <row r="4456" customFormat="false" ht="15" hidden="false" customHeight="false" outlineLevel="0" collapsed="false">
      <c r="A4456" s="62" t="n">
        <v>1</v>
      </c>
      <c r="B4456" s="21" t="s">
        <v>336</v>
      </c>
      <c r="C4456" s="62" t="s">
        <v>60</v>
      </c>
      <c r="D4456" s="62" t="s">
        <v>388</v>
      </c>
      <c r="E4456" s="62" t="s">
        <v>72</v>
      </c>
      <c r="F4456" s="62" t="s">
        <v>382</v>
      </c>
      <c r="G4456" s="63" t="s">
        <v>410</v>
      </c>
      <c r="H4456" s="64" t="n">
        <v>0</v>
      </c>
      <c r="I4456" s="62" t="s">
        <v>81</v>
      </c>
      <c r="J4456" s="64" t="n">
        <v>0</v>
      </c>
      <c r="K4456" s="62" t="s">
        <v>138</v>
      </c>
      <c r="L4456" s="68" t="b">
        <f aca="false">TRUE()</f>
        <v>1</v>
      </c>
    </row>
    <row r="4457" customFormat="false" ht="15" hidden="false" customHeight="false" outlineLevel="0" collapsed="false">
      <c r="A4457" s="62" t="n">
        <v>1</v>
      </c>
      <c r="B4457" s="21" t="s">
        <v>336</v>
      </c>
      <c r="C4457" s="62" t="s">
        <v>60</v>
      </c>
      <c r="D4457" s="62" t="s">
        <v>381</v>
      </c>
      <c r="E4457" s="62" t="s">
        <v>72</v>
      </c>
      <c r="F4457" s="62" t="s">
        <v>382</v>
      </c>
      <c r="G4457" s="63" t="s">
        <v>411</v>
      </c>
      <c r="H4457" s="64" t="n">
        <v>889027330.435643</v>
      </c>
      <c r="I4457" s="62" t="s">
        <v>81</v>
      </c>
      <c r="J4457" s="64" t="n">
        <v>889027.330435643</v>
      </c>
      <c r="K4457" s="62" t="s">
        <v>138</v>
      </c>
      <c r="L4457" s="68" t="b">
        <f aca="false">TRUE()</f>
        <v>1</v>
      </c>
    </row>
    <row r="4458" customFormat="false" ht="15" hidden="false" customHeight="false" outlineLevel="0" collapsed="false">
      <c r="A4458" s="62" t="n">
        <v>1</v>
      </c>
      <c r="B4458" s="21" t="s">
        <v>336</v>
      </c>
      <c r="C4458" s="62" t="s">
        <v>60</v>
      </c>
      <c r="D4458" s="62" t="s">
        <v>383</v>
      </c>
      <c r="E4458" s="62" t="s">
        <v>72</v>
      </c>
      <c r="F4458" s="62" t="s">
        <v>382</v>
      </c>
      <c r="G4458" s="63" t="s">
        <v>411</v>
      </c>
      <c r="H4458" s="64" t="n">
        <v>10161501592.9568</v>
      </c>
      <c r="I4458" s="62" t="s">
        <v>81</v>
      </c>
      <c r="J4458" s="64" t="n">
        <v>10161501.5929568</v>
      </c>
      <c r="K4458" s="62" t="s">
        <v>138</v>
      </c>
      <c r="L4458" s="68" t="b">
        <f aca="false">TRUE()</f>
        <v>1</v>
      </c>
    </row>
    <row r="4459" customFormat="false" ht="15" hidden="false" customHeight="false" outlineLevel="0" collapsed="false">
      <c r="A4459" s="62" t="n">
        <v>1</v>
      </c>
      <c r="B4459" s="21" t="s">
        <v>336</v>
      </c>
      <c r="C4459" s="62" t="s">
        <v>60</v>
      </c>
      <c r="D4459" s="62" t="s">
        <v>384</v>
      </c>
      <c r="E4459" s="62" t="s">
        <v>72</v>
      </c>
      <c r="F4459" s="62" t="s">
        <v>382</v>
      </c>
      <c r="G4459" s="63" t="s">
        <v>411</v>
      </c>
      <c r="H4459" s="64" t="n">
        <v>6628463088.91696</v>
      </c>
      <c r="I4459" s="62" t="s">
        <v>81</v>
      </c>
      <c r="J4459" s="64" t="n">
        <v>6628463.08891696</v>
      </c>
      <c r="K4459" s="62" t="s">
        <v>138</v>
      </c>
      <c r="L4459" s="68" t="b">
        <f aca="false">TRUE()</f>
        <v>1</v>
      </c>
    </row>
    <row r="4460" customFormat="false" ht="15" hidden="false" customHeight="false" outlineLevel="0" collapsed="false">
      <c r="A4460" s="62" t="n">
        <v>1</v>
      </c>
      <c r="B4460" s="21" t="s">
        <v>336</v>
      </c>
      <c r="C4460" s="62" t="s">
        <v>60</v>
      </c>
      <c r="D4460" s="62" t="s">
        <v>385</v>
      </c>
      <c r="E4460" s="62" t="s">
        <v>72</v>
      </c>
      <c r="F4460" s="62" t="s">
        <v>382</v>
      </c>
      <c r="G4460" s="63" t="s">
        <v>411</v>
      </c>
      <c r="H4460" s="64" t="n">
        <v>2172664958.15994</v>
      </c>
      <c r="I4460" s="62" t="s">
        <v>81</v>
      </c>
      <c r="J4460" s="64" t="n">
        <v>2172664.95815994</v>
      </c>
      <c r="K4460" s="62" t="s">
        <v>138</v>
      </c>
      <c r="L4460" s="68" t="b">
        <f aca="false">TRUE()</f>
        <v>1</v>
      </c>
    </row>
    <row r="4461" customFormat="false" ht="15" hidden="false" customHeight="false" outlineLevel="0" collapsed="false">
      <c r="A4461" s="62" t="n">
        <v>1</v>
      </c>
      <c r="B4461" s="21" t="s">
        <v>336</v>
      </c>
      <c r="C4461" s="62" t="s">
        <v>60</v>
      </c>
      <c r="D4461" s="62" t="s">
        <v>386</v>
      </c>
      <c r="E4461" s="62" t="s">
        <v>72</v>
      </c>
      <c r="F4461" s="62" t="s">
        <v>382</v>
      </c>
      <c r="G4461" s="63" t="s">
        <v>411</v>
      </c>
      <c r="H4461" s="64" t="n">
        <v>1071734265.37857</v>
      </c>
      <c r="I4461" s="62" t="s">
        <v>81</v>
      </c>
      <c r="J4461" s="64" t="n">
        <v>1071734.26537857</v>
      </c>
      <c r="K4461" s="62" t="s">
        <v>138</v>
      </c>
      <c r="L4461" s="68" t="b">
        <f aca="false">TRUE()</f>
        <v>1</v>
      </c>
    </row>
    <row r="4462" customFormat="false" ht="15" hidden="false" customHeight="false" outlineLevel="0" collapsed="false">
      <c r="A4462" s="62" t="n">
        <v>1</v>
      </c>
      <c r="B4462" s="21" t="s">
        <v>336</v>
      </c>
      <c r="C4462" s="62" t="s">
        <v>60</v>
      </c>
      <c r="D4462" s="62" t="s">
        <v>387</v>
      </c>
      <c r="E4462" s="62" t="s">
        <v>72</v>
      </c>
      <c r="F4462" s="62" t="s">
        <v>382</v>
      </c>
      <c r="G4462" s="63" t="s">
        <v>411</v>
      </c>
      <c r="H4462" s="64" t="n">
        <v>549293867.918068</v>
      </c>
      <c r="I4462" s="62" t="s">
        <v>81</v>
      </c>
      <c r="J4462" s="64" t="n">
        <v>549293.867918068</v>
      </c>
      <c r="K4462" s="62" t="s">
        <v>138</v>
      </c>
      <c r="L4462" s="68" t="b">
        <f aca="false">TRUE()</f>
        <v>1</v>
      </c>
    </row>
    <row r="4463" customFormat="false" ht="15" hidden="false" customHeight="false" outlineLevel="0" collapsed="false">
      <c r="A4463" s="62" t="n">
        <v>1</v>
      </c>
      <c r="B4463" s="21" t="s">
        <v>336</v>
      </c>
      <c r="C4463" s="62" t="s">
        <v>60</v>
      </c>
      <c r="D4463" s="62" t="s">
        <v>388</v>
      </c>
      <c r="E4463" s="62" t="s">
        <v>72</v>
      </c>
      <c r="F4463" s="62" t="s">
        <v>382</v>
      </c>
      <c r="G4463" s="63" t="s">
        <v>411</v>
      </c>
      <c r="H4463" s="64" t="n">
        <v>-556913575.173436</v>
      </c>
      <c r="I4463" s="62" t="s">
        <v>81</v>
      </c>
      <c r="J4463" s="64" t="n">
        <v>-556913.575173436</v>
      </c>
      <c r="K4463" s="62" t="s">
        <v>138</v>
      </c>
      <c r="L4463" s="68" t="b">
        <f aca="false">TRUE()</f>
        <v>1</v>
      </c>
    </row>
    <row r="4464" customFormat="false" ht="15" hidden="false" customHeight="false" outlineLevel="0" collapsed="false">
      <c r="A4464" s="62" t="n">
        <v>1</v>
      </c>
      <c r="B4464" s="21" t="s">
        <v>336</v>
      </c>
      <c r="C4464" s="62" t="s">
        <v>60</v>
      </c>
      <c r="D4464" s="62" t="s">
        <v>381</v>
      </c>
      <c r="E4464" s="62" t="s">
        <v>72</v>
      </c>
      <c r="F4464" s="62" t="s">
        <v>382</v>
      </c>
      <c r="G4464" s="63" t="s">
        <v>412</v>
      </c>
      <c r="H4464" s="64" t="n">
        <v>0</v>
      </c>
      <c r="I4464" s="62" t="s">
        <v>81</v>
      </c>
      <c r="J4464" s="64" t="n">
        <v>0</v>
      </c>
      <c r="K4464" s="62" t="s">
        <v>138</v>
      </c>
      <c r="L4464" s="68" t="b">
        <f aca="false">TRUE()</f>
        <v>1</v>
      </c>
    </row>
    <row r="4465" customFormat="false" ht="15" hidden="false" customHeight="false" outlineLevel="0" collapsed="false">
      <c r="A4465" s="62" t="n">
        <v>1</v>
      </c>
      <c r="B4465" s="21" t="s">
        <v>336</v>
      </c>
      <c r="C4465" s="62" t="s">
        <v>60</v>
      </c>
      <c r="D4465" s="62" t="s">
        <v>383</v>
      </c>
      <c r="E4465" s="62" t="s">
        <v>72</v>
      </c>
      <c r="F4465" s="62" t="s">
        <v>382</v>
      </c>
      <c r="G4465" s="63" t="s">
        <v>412</v>
      </c>
      <c r="H4465" s="64" t="n">
        <v>0</v>
      </c>
      <c r="I4465" s="62" t="s">
        <v>81</v>
      </c>
      <c r="J4465" s="64" t="n">
        <v>0</v>
      </c>
      <c r="K4465" s="62" t="s">
        <v>138</v>
      </c>
      <c r="L4465" s="68" t="b">
        <f aca="false">TRUE()</f>
        <v>1</v>
      </c>
    </row>
    <row r="4466" customFormat="false" ht="15" hidden="false" customHeight="false" outlineLevel="0" collapsed="false">
      <c r="A4466" s="62" t="n">
        <v>1</v>
      </c>
      <c r="B4466" s="21" t="s">
        <v>336</v>
      </c>
      <c r="C4466" s="62" t="s">
        <v>60</v>
      </c>
      <c r="D4466" s="62" t="s">
        <v>384</v>
      </c>
      <c r="E4466" s="62" t="s">
        <v>72</v>
      </c>
      <c r="F4466" s="62" t="s">
        <v>382</v>
      </c>
      <c r="G4466" s="63" t="s">
        <v>412</v>
      </c>
      <c r="H4466" s="64" t="n">
        <v>0</v>
      </c>
      <c r="I4466" s="62" t="s">
        <v>81</v>
      </c>
      <c r="J4466" s="64" t="n">
        <v>0</v>
      </c>
      <c r="K4466" s="62" t="s">
        <v>138</v>
      </c>
      <c r="L4466" s="68" t="b">
        <f aca="false">TRUE()</f>
        <v>1</v>
      </c>
    </row>
    <row r="4467" customFormat="false" ht="15" hidden="false" customHeight="false" outlineLevel="0" collapsed="false">
      <c r="A4467" s="62" t="n">
        <v>1</v>
      </c>
      <c r="B4467" s="21" t="s">
        <v>336</v>
      </c>
      <c r="C4467" s="62" t="s">
        <v>60</v>
      </c>
      <c r="D4467" s="62" t="s">
        <v>385</v>
      </c>
      <c r="E4467" s="62" t="s">
        <v>72</v>
      </c>
      <c r="F4467" s="62" t="s">
        <v>382</v>
      </c>
      <c r="G4467" s="63" t="s">
        <v>412</v>
      </c>
      <c r="H4467" s="64" t="n">
        <v>0</v>
      </c>
      <c r="I4467" s="62" t="s">
        <v>81</v>
      </c>
      <c r="J4467" s="64" t="n">
        <v>0</v>
      </c>
      <c r="K4467" s="62" t="s">
        <v>138</v>
      </c>
      <c r="L4467" s="68" t="b">
        <f aca="false">TRUE()</f>
        <v>1</v>
      </c>
    </row>
    <row r="4468" customFormat="false" ht="15" hidden="false" customHeight="false" outlineLevel="0" collapsed="false">
      <c r="A4468" s="62" t="n">
        <v>1</v>
      </c>
      <c r="B4468" s="21" t="s">
        <v>336</v>
      </c>
      <c r="C4468" s="62" t="s">
        <v>60</v>
      </c>
      <c r="D4468" s="62" t="s">
        <v>386</v>
      </c>
      <c r="E4468" s="62" t="s">
        <v>72</v>
      </c>
      <c r="F4468" s="62" t="s">
        <v>382</v>
      </c>
      <c r="G4468" s="63" t="s">
        <v>412</v>
      </c>
      <c r="H4468" s="64" t="n">
        <v>0</v>
      </c>
      <c r="I4468" s="62" t="s">
        <v>81</v>
      </c>
      <c r="J4468" s="64" t="n">
        <v>0</v>
      </c>
      <c r="K4468" s="62" t="s">
        <v>138</v>
      </c>
      <c r="L4468" s="68" t="b">
        <f aca="false">TRUE()</f>
        <v>1</v>
      </c>
    </row>
    <row r="4469" customFormat="false" ht="15" hidden="false" customHeight="false" outlineLevel="0" collapsed="false">
      <c r="A4469" s="62" t="n">
        <v>1</v>
      </c>
      <c r="B4469" s="21" t="s">
        <v>336</v>
      </c>
      <c r="C4469" s="62" t="s">
        <v>60</v>
      </c>
      <c r="D4469" s="62" t="s">
        <v>387</v>
      </c>
      <c r="E4469" s="62" t="s">
        <v>72</v>
      </c>
      <c r="F4469" s="62" t="s">
        <v>382</v>
      </c>
      <c r="G4469" s="63" t="s">
        <v>412</v>
      </c>
      <c r="H4469" s="64" t="n">
        <v>0</v>
      </c>
      <c r="I4469" s="62" t="s">
        <v>81</v>
      </c>
      <c r="J4469" s="64" t="n">
        <v>0</v>
      </c>
      <c r="K4469" s="62" t="s">
        <v>138</v>
      </c>
      <c r="L4469" s="68" t="b">
        <f aca="false">TRUE()</f>
        <v>1</v>
      </c>
    </row>
    <row r="4470" customFormat="false" ht="15" hidden="false" customHeight="false" outlineLevel="0" collapsed="false">
      <c r="A4470" s="62" t="n">
        <v>1</v>
      </c>
      <c r="B4470" s="21" t="s">
        <v>336</v>
      </c>
      <c r="C4470" s="62" t="s">
        <v>60</v>
      </c>
      <c r="D4470" s="62" t="s">
        <v>388</v>
      </c>
      <c r="E4470" s="62" t="s">
        <v>72</v>
      </c>
      <c r="F4470" s="62" t="s">
        <v>382</v>
      </c>
      <c r="G4470" s="63" t="s">
        <v>412</v>
      </c>
      <c r="H4470" s="64" t="n">
        <v>0</v>
      </c>
      <c r="I4470" s="62" t="s">
        <v>81</v>
      </c>
      <c r="J4470" s="64" t="n">
        <v>0</v>
      </c>
      <c r="K4470" s="62" t="s">
        <v>138</v>
      </c>
      <c r="L4470" s="68" t="b">
        <f aca="false">TRUE()</f>
        <v>1</v>
      </c>
    </row>
    <row r="4471" customFormat="false" ht="15" hidden="false" customHeight="false" outlineLevel="0" collapsed="false">
      <c r="A4471" s="62" t="n">
        <v>1</v>
      </c>
      <c r="B4471" s="21" t="s">
        <v>336</v>
      </c>
      <c r="C4471" s="62" t="s">
        <v>60</v>
      </c>
      <c r="D4471" s="62" t="s">
        <v>381</v>
      </c>
      <c r="E4471" s="62" t="s">
        <v>72</v>
      </c>
      <c r="F4471" s="62" t="s">
        <v>382</v>
      </c>
      <c r="G4471" s="63" t="s">
        <v>414</v>
      </c>
      <c r="H4471" s="64" t="n">
        <v>523347335.953579</v>
      </c>
      <c r="I4471" s="62" t="s">
        <v>81</v>
      </c>
      <c r="J4471" s="64" t="n">
        <v>523347.335953579</v>
      </c>
      <c r="K4471" s="62" t="s">
        <v>138</v>
      </c>
      <c r="L4471" s="68" t="b">
        <f aca="false">TRUE()</f>
        <v>1</v>
      </c>
    </row>
    <row r="4472" customFormat="false" ht="15" hidden="false" customHeight="false" outlineLevel="0" collapsed="false">
      <c r="A4472" s="62" t="n">
        <v>1</v>
      </c>
      <c r="B4472" s="21" t="s">
        <v>336</v>
      </c>
      <c r="C4472" s="62" t="s">
        <v>60</v>
      </c>
      <c r="D4472" s="62" t="s">
        <v>383</v>
      </c>
      <c r="E4472" s="62" t="s">
        <v>72</v>
      </c>
      <c r="F4472" s="62" t="s">
        <v>382</v>
      </c>
      <c r="G4472" s="63" t="s">
        <v>414</v>
      </c>
      <c r="H4472" s="64" t="n">
        <v>1406781662.28561</v>
      </c>
      <c r="I4472" s="62" t="s">
        <v>81</v>
      </c>
      <c r="J4472" s="64" t="n">
        <v>1406781.66228561</v>
      </c>
      <c r="K4472" s="62" t="s">
        <v>138</v>
      </c>
      <c r="L4472" s="68" t="b">
        <f aca="false">TRUE()</f>
        <v>1</v>
      </c>
    </row>
    <row r="4473" customFormat="false" ht="15" hidden="false" customHeight="false" outlineLevel="0" collapsed="false">
      <c r="A4473" s="62" t="n">
        <v>1</v>
      </c>
      <c r="B4473" s="21" t="s">
        <v>336</v>
      </c>
      <c r="C4473" s="62" t="s">
        <v>60</v>
      </c>
      <c r="D4473" s="62" t="s">
        <v>384</v>
      </c>
      <c r="E4473" s="62" t="s">
        <v>72</v>
      </c>
      <c r="F4473" s="62" t="s">
        <v>382</v>
      </c>
      <c r="G4473" s="63" t="s">
        <v>414</v>
      </c>
      <c r="H4473" s="64" t="n">
        <v>957368838.878924</v>
      </c>
      <c r="I4473" s="62" t="s">
        <v>81</v>
      </c>
      <c r="J4473" s="64" t="n">
        <v>957368.838878924</v>
      </c>
      <c r="K4473" s="62" t="s">
        <v>138</v>
      </c>
      <c r="L4473" s="68" t="b">
        <f aca="false">TRUE()</f>
        <v>1</v>
      </c>
    </row>
    <row r="4474" customFormat="false" ht="15" hidden="false" customHeight="false" outlineLevel="0" collapsed="false">
      <c r="A4474" s="62" t="n">
        <v>1</v>
      </c>
      <c r="B4474" s="21" t="s">
        <v>336</v>
      </c>
      <c r="C4474" s="62" t="s">
        <v>60</v>
      </c>
      <c r="D4474" s="62" t="s">
        <v>385</v>
      </c>
      <c r="E4474" s="62" t="s">
        <v>72</v>
      </c>
      <c r="F4474" s="62" t="s">
        <v>382</v>
      </c>
      <c r="G4474" s="63" t="s">
        <v>414</v>
      </c>
      <c r="H4474" s="64" t="n">
        <v>484850481.226317</v>
      </c>
      <c r="I4474" s="62" t="s">
        <v>81</v>
      </c>
      <c r="J4474" s="64" t="n">
        <v>484850.481226317</v>
      </c>
      <c r="K4474" s="62" t="s">
        <v>138</v>
      </c>
      <c r="L4474" s="68" t="b">
        <f aca="false">TRUE()</f>
        <v>1</v>
      </c>
    </row>
    <row r="4475" customFormat="false" ht="15" hidden="false" customHeight="false" outlineLevel="0" collapsed="false">
      <c r="A4475" s="62" t="n">
        <v>1</v>
      </c>
      <c r="B4475" s="21" t="s">
        <v>336</v>
      </c>
      <c r="C4475" s="62" t="s">
        <v>60</v>
      </c>
      <c r="D4475" s="62" t="s">
        <v>386</v>
      </c>
      <c r="E4475" s="62" t="s">
        <v>72</v>
      </c>
      <c r="F4475" s="62" t="s">
        <v>382</v>
      </c>
      <c r="G4475" s="63" t="s">
        <v>414</v>
      </c>
      <c r="H4475" s="64" t="n">
        <v>216206770.469722</v>
      </c>
      <c r="I4475" s="62" t="s">
        <v>81</v>
      </c>
      <c r="J4475" s="64" t="n">
        <v>216206.770469722</v>
      </c>
      <c r="K4475" s="62" t="s">
        <v>138</v>
      </c>
      <c r="L4475" s="68" t="b">
        <f aca="false">TRUE()</f>
        <v>1</v>
      </c>
    </row>
    <row r="4476" customFormat="false" ht="15" hidden="false" customHeight="false" outlineLevel="0" collapsed="false">
      <c r="A4476" s="62" t="n">
        <v>1</v>
      </c>
      <c r="B4476" s="21" t="s">
        <v>336</v>
      </c>
      <c r="C4476" s="62" t="s">
        <v>60</v>
      </c>
      <c r="D4476" s="62" t="s">
        <v>387</v>
      </c>
      <c r="E4476" s="62" t="s">
        <v>72</v>
      </c>
      <c r="F4476" s="62" t="s">
        <v>382</v>
      </c>
      <c r="G4476" s="63" t="s">
        <v>414</v>
      </c>
      <c r="H4476" s="64" t="n">
        <v>765452503.695798</v>
      </c>
      <c r="I4476" s="62" t="s">
        <v>81</v>
      </c>
      <c r="J4476" s="64" t="n">
        <v>765452.503695798</v>
      </c>
      <c r="K4476" s="62" t="s">
        <v>138</v>
      </c>
      <c r="L4476" s="68" t="b">
        <f aca="false">TRUE()</f>
        <v>1</v>
      </c>
    </row>
    <row r="4477" customFormat="false" ht="15" hidden="false" customHeight="false" outlineLevel="0" collapsed="false">
      <c r="A4477" s="62" t="n">
        <v>1</v>
      </c>
      <c r="B4477" s="21" t="s">
        <v>336</v>
      </c>
      <c r="C4477" s="62" t="s">
        <v>60</v>
      </c>
      <c r="D4477" s="62" t="s">
        <v>388</v>
      </c>
      <c r="E4477" s="62" t="s">
        <v>72</v>
      </c>
      <c r="F4477" s="62" t="s">
        <v>382</v>
      </c>
      <c r="G4477" s="63" t="s">
        <v>414</v>
      </c>
      <c r="H4477" s="64" t="n">
        <v>0</v>
      </c>
      <c r="I4477" s="62" t="s">
        <v>81</v>
      </c>
      <c r="J4477" s="64" t="n">
        <v>0</v>
      </c>
      <c r="K4477" s="62" t="s">
        <v>138</v>
      </c>
      <c r="L4477" s="68" t="b">
        <f aca="false">TRUE()</f>
        <v>1</v>
      </c>
    </row>
    <row r="4478" customFormat="false" ht="15" hidden="false" customHeight="false" outlineLevel="0" collapsed="false">
      <c r="A4478" s="62" t="n">
        <v>1</v>
      </c>
      <c r="B4478" s="21" t="s">
        <v>336</v>
      </c>
      <c r="C4478" s="62" t="s">
        <v>60</v>
      </c>
      <c r="D4478" s="62" t="s">
        <v>381</v>
      </c>
      <c r="E4478" s="62" t="s">
        <v>72</v>
      </c>
      <c r="F4478" s="62" t="s">
        <v>382</v>
      </c>
      <c r="G4478" s="63" t="s">
        <v>415</v>
      </c>
      <c r="H4478" s="64" t="n">
        <v>1708729886.28571</v>
      </c>
      <c r="I4478" s="62" t="s">
        <v>81</v>
      </c>
      <c r="J4478" s="64" t="n">
        <v>1708729.88628571</v>
      </c>
      <c r="K4478" s="62" t="s">
        <v>138</v>
      </c>
      <c r="L4478" s="68" t="b">
        <f aca="false">TRUE()</f>
        <v>1</v>
      </c>
    </row>
    <row r="4479" customFormat="false" ht="15" hidden="false" customHeight="false" outlineLevel="0" collapsed="false">
      <c r="A4479" s="62" t="n">
        <v>1</v>
      </c>
      <c r="B4479" s="21" t="s">
        <v>336</v>
      </c>
      <c r="C4479" s="62" t="s">
        <v>60</v>
      </c>
      <c r="D4479" s="62" t="s">
        <v>383</v>
      </c>
      <c r="E4479" s="62" t="s">
        <v>72</v>
      </c>
      <c r="F4479" s="62" t="s">
        <v>382</v>
      </c>
      <c r="G4479" s="63" t="s">
        <v>415</v>
      </c>
      <c r="H4479" s="64" t="n">
        <v>3920187283.30104</v>
      </c>
      <c r="I4479" s="62" t="s">
        <v>81</v>
      </c>
      <c r="J4479" s="64" t="n">
        <v>3920187.28330104</v>
      </c>
      <c r="K4479" s="62" t="s">
        <v>138</v>
      </c>
      <c r="L4479" s="68" t="b">
        <f aca="false">TRUE()</f>
        <v>1</v>
      </c>
    </row>
    <row r="4480" customFormat="false" ht="15" hidden="false" customHeight="false" outlineLevel="0" collapsed="false">
      <c r="A4480" s="62" t="n">
        <v>1</v>
      </c>
      <c r="B4480" s="21" t="s">
        <v>336</v>
      </c>
      <c r="C4480" s="62" t="s">
        <v>60</v>
      </c>
      <c r="D4480" s="62" t="s">
        <v>384</v>
      </c>
      <c r="E4480" s="62" t="s">
        <v>72</v>
      </c>
      <c r="F4480" s="62" t="s">
        <v>382</v>
      </c>
      <c r="G4480" s="63" t="s">
        <v>415</v>
      </c>
      <c r="H4480" s="64" t="n">
        <v>5121377793.68531</v>
      </c>
      <c r="I4480" s="62" t="s">
        <v>81</v>
      </c>
      <c r="J4480" s="64" t="n">
        <v>5121377.79368531</v>
      </c>
      <c r="K4480" s="62" t="s">
        <v>138</v>
      </c>
      <c r="L4480" s="68" t="b">
        <f aca="false">TRUE()</f>
        <v>1</v>
      </c>
    </row>
    <row r="4481" customFormat="false" ht="15" hidden="false" customHeight="false" outlineLevel="0" collapsed="false">
      <c r="A4481" s="62" t="n">
        <v>1</v>
      </c>
      <c r="B4481" s="21" t="s">
        <v>336</v>
      </c>
      <c r="C4481" s="62" t="s">
        <v>60</v>
      </c>
      <c r="D4481" s="62" t="s">
        <v>385</v>
      </c>
      <c r="E4481" s="62" t="s">
        <v>72</v>
      </c>
      <c r="F4481" s="62" t="s">
        <v>382</v>
      </c>
      <c r="G4481" s="63" t="s">
        <v>415</v>
      </c>
      <c r="H4481" s="64" t="n">
        <v>3425418134.54224</v>
      </c>
      <c r="I4481" s="62" t="s">
        <v>81</v>
      </c>
      <c r="J4481" s="64" t="n">
        <v>3425418.13454224</v>
      </c>
      <c r="K4481" s="62" t="s">
        <v>138</v>
      </c>
      <c r="L4481" s="68" t="b">
        <f aca="false">TRUE()</f>
        <v>1</v>
      </c>
    </row>
    <row r="4482" customFormat="false" ht="15" hidden="false" customHeight="false" outlineLevel="0" collapsed="false">
      <c r="A4482" s="62" t="n">
        <v>1</v>
      </c>
      <c r="B4482" s="21" t="s">
        <v>336</v>
      </c>
      <c r="C4482" s="62" t="s">
        <v>60</v>
      </c>
      <c r="D4482" s="62" t="s">
        <v>386</v>
      </c>
      <c r="E4482" s="62" t="s">
        <v>72</v>
      </c>
      <c r="F4482" s="62" t="s">
        <v>382</v>
      </c>
      <c r="G4482" s="63" t="s">
        <v>415</v>
      </c>
      <c r="H4482" s="64" t="n">
        <v>2000000</v>
      </c>
      <c r="I4482" s="62" t="s">
        <v>81</v>
      </c>
      <c r="J4482" s="64" t="n">
        <v>2000</v>
      </c>
      <c r="K4482" s="62" t="s">
        <v>138</v>
      </c>
      <c r="L4482" s="68" t="b">
        <f aca="false">TRUE()</f>
        <v>1</v>
      </c>
    </row>
    <row r="4483" customFormat="false" ht="15" hidden="false" customHeight="false" outlineLevel="0" collapsed="false">
      <c r="A4483" s="62" t="n">
        <v>1</v>
      </c>
      <c r="B4483" s="21" t="s">
        <v>336</v>
      </c>
      <c r="C4483" s="62" t="s">
        <v>60</v>
      </c>
      <c r="D4483" s="62" t="s">
        <v>387</v>
      </c>
      <c r="E4483" s="62" t="s">
        <v>72</v>
      </c>
      <c r="F4483" s="62" t="s">
        <v>382</v>
      </c>
      <c r="G4483" s="63" t="s">
        <v>415</v>
      </c>
      <c r="H4483" s="64" t="n">
        <v>1894469243.35585</v>
      </c>
      <c r="I4483" s="62" t="s">
        <v>81</v>
      </c>
      <c r="J4483" s="64" t="n">
        <v>1894469.24335585</v>
      </c>
      <c r="K4483" s="62" t="s">
        <v>138</v>
      </c>
      <c r="L4483" s="68" t="b">
        <f aca="false">TRUE()</f>
        <v>1</v>
      </c>
    </row>
    <row r="4484" customFormat="false" ht="15" hidden="false" customHeight="false" outlineLevel="0" collapsed="false">
      <c r="A4484" s="62" t="n">
        <v>1</v>
      </c>
      <c r="B4484" s="21" t="s">
        <v>336</v>
      </c>
      <c r="C4484" s="62" t="s">
        <v>60</v>
      </c>
      <c r="D4484" s="62" t="s">
        <v>388</v>
      </c>
      <c r="E4484" s="62" t="s">
        <v>72</v>
      </c>
      <c r="F4484" s="62" t="s">
        <v>382</v>
      </c>
      <c r="G4484" s="63" t="s">
        <v>415</v>
      </c>
      <c r="H4484" s="64" t="n">
        <v>1031957820.35749</v>
      </c>
      <c r="I4484" s="62" t="s">
        <v>81</v>
      </c>
      <c r="J4484" s="64" t="n">
        <v>1031957.82035749</v>
      </c>
      <c r="K4484" s="62" t="s">
        <v>138</v>
      </c>
      <c r="L4484" s="68" t="b">
        <f aca="false">TRUE()</f>
        <v>1</v>
      </c>
    </row>
    <row r="4485" customFormat="false" ht="15" hidden="false" customHeight="false" outlineLevel="0" collapsed="false">
      <c r="A4485" s="62" t="n">
        <v>1</v>
      </c>
      <c r="B4485" s="21" t="s">
        <v>336</v>
      </c>
      <c r="C4485" s="62" t="s">
        <v>60</v>
      </c>
      <c r="D4485" s="62" t="s">
        <v>381</v>
      </c>
      <c r="E4485" s="62" t="s">
        <v>72</v>
      </c>
      <c r="F4485" s="62" t="s">
        <v>382</v>
      </c>
      <c r="G4485" s="63" t="s">
        <v>416</v>
      </c>
      <c r="H4485" s="64" t="n">
        <v>2232077222.23929</v>
      </c>
      <c r="I4485" s="62" t="s">
        <v>81</v>
      </c>
      <c r="J4485" s="64" t="n">
        <v>2232077.22223929</v>
      </c>
      <c r="K4485" s="62" t="s">
        <v>138</v>
      </c>
      <c r="L4485" s="68" t="b">
        <f aca="false">TRUE()</f>
        <v>1</v>
      </c>
    </row>
    <row r="4486" customFormat="false" ht="15" hidden="false" customHeight="false" outlineLevel="0" collapsed="false">
      <c r="A4486" s="62" t="n">
        <v>1</v>
      </c>
      <c r="B4486" s="21" t="s">
        <v>336</v>
      </c>
      <c r="C4486" s="62" t="s">
        <v>60</v>
      </c>
      <c r="D4486" s="62" t="s">
        <v>383</v>
      </c>
      <c r="E4486" s="62" t="s">
        <v>72</v>
      </c>
      <c r="F4486" s="62" t="s">
        <v>382</v>
      </c>
      <c r="G4486" s="63" t="s">
        <v>416</v>
      </c>
      <c r="H4486" s="64" t="n">
        <v>5326968945.58665</v>
      </c>
      <c r="I4486" s="62" t="s">
        <v>81</v>
      </c>
      <c r="J4486" s="64" t="n">
        <v>5326968.94558665</v>
      </c>
      <c r="K4486" s="62" t="s">
        <v>138</v>
      </c>
      <c r="L4486" s="68" t="b">
        <f aca="false">TRUE()</f>
        <v>1</v>
      </c>
    </row>
    <row r="4487" customFormat="false" ht="15" hidden="false" customHeight="false" outlineLevel="0" collapsed="false">
      <c r="A4487" s="62" t="n">
        <v>1</v>
      </c>
      <c r="B4487" s="21" t="s">
        <v>336</v>
      </c>
      <c r="C4487" s="62" t="s">
        <v>60</v>
      </c>
      <c r="D4487" s="62" t="s">
        <v>384</v>
      </c>
      <c r="E4487" s="62" t="s">
        <v>72</v>
      </c>
      <c r="F4487" s="62" t="s">
        <v>382</v>
      </c>
      <c r="G4487" s="63" t="s">
        <v>416</v>
      </c>
      <c r="H4487" s="64" t="n">
        <v>6078746632.56423</v>
      </c>
      <c r="I4487" s="62" t="s">
        <v>81</v>
      </c>
      <c r="J4487" s="64" t="n">
        <v>6078746.63256423</v>
      </c>
      <c r="K4487" s="62" t="s">
        <v>138</v>
      </c>
      <c r="L4487" s="68" t="b">
        <f aca="false">TRUE()</f>
        <v>1</v>
      </c>
    </row>
    <row r="4488" customFormat="false" ht="15" hidden="false" customHeight="false" outlineLevel="0" collapsed="false">
      <c r="A4488" s="62" t="n">
        <v>1</v>
      </c>
      <c r="B4488" s="21" t="s">
        <v>336</v>
      </c>
      <c r="C4488" s="62" t="s">
        <v>60</v>
      </c>
      <c r="D4488" s="62" t="s">
        <v>385</v>
      </c>
      <c r="E4488" s="62" t="s">
        <v>72</v>
      </c>
      <c r="F4488" s="62" t="s">
        <v>382</v>
      </c>
      <c r="G4488" s="63" t="s">
        <v>416</v>
      </c>
      <c r="H4488" s="64" t="n">
        <v>3910268615.76856</v>
      </c>
      <c r="I4488" s="62" t="s">
        <v>81</v>
      </c>
      <c r="J4488" s="64" t="n">
        <v>3910268.61576856</v>
      </c>
      <c r="K4488" s="62" t="s">
        <v>138</v>
      </c>
      <c r="L4488" s="68" t="b">
        <f aca="false">TRUE()</f>
        <v>1</v>
      </c>
    </row>
    <row r="4489" customFormat="false" ht="15" hidden="false" customHeight="false" outlineLevel="0" collapsed="false">
      <c r="A4489" s="62" t="n">
        <v>1</v>
      </c>
      <c r="B4489" s="21" t="s">
        <v>336</v>
      </c>
      <c r="C4489" s="62" t="s">
        <v>60</v>
      </c>
      <c r="D4489" s="62" t="s">
        <v>386</v>
      </c>
      <c r="E4489" s="62" t="s">
        <v>72</v>
      </c>
      <c r="F4489" s="62" t="s">
        <v>382</v>
      </c>
      <c r="G4489" s="63" t="s">
        <v>416</v>
      </c>
      <c r="H4489" s="64" t="n">
        <v>218206770.469722</v>
      </c>
      <c r="I4489" s="62" t="s">
        <v>81</v>
      </c>
      <c r="J4489" s="64" t="n">
        <v>218206.770469722</v>
      </c>
      <c r="K4489" s="62" t="s">
        <v>138</v>
      </c>
      <c r="L4489" s="68" t="b">
        <f aca="false">TRUE()</f>
        <v>1</v>
      </c>
    </row>
    <row r="4490" customFormat="false" ht="15" hidden="false" customHeight="false" outlineLevel="0" collapsed="false">
      <c r="A4490" s="62" t="n">
        <v>1</v>
      </c>
      <c r="B4490" s="21" t="s">
        <v>336</v>
      </c>
      <c r="C4490" s="62" t="s">
        <v>60</v>
      </c>
      <c r="D4490" s="62" t="s">
        <v>387</v>
      </c>
      <c r="E4490" s="62" t="s">
        <v>72</v>
      </c>
      <c r="F4490" s="62" t="s">
        <v>382</v>
      </c>
      <c r="G4490" s="63" t="s">
        <v>416</v>
      </c>
      <c r="H4490" s="64" t="n">
        <v>2659921747.05164</v>
      </c>
      <c r="I4490" s="62" t="s">
        <v>81</v>
      </c>
      <c r="J4490" s="64" t="n">
        <v>2659921.74705164</v>
      </c>
      <c r="K4490" s="62" t="s">
        <v>138</v>
      </c>
      <c r="L4490" s="68" t="b">
        <f aca="false">TRUE()</f>
        <v>1</v>
      </c>
    </row>
    <row r="4491" customFormat="false" ht="15" hidden="false" customHeight="false" outlineLevel="0" collapsed="false">
      <c r="A4491" s="62" t="n">
        <v>1</v>
      </c>
      <c r="B4491" s="21" t="s">
        <v>336</v>
      </c>
      <c r="C4491" s="62" t="s">
        <v>60</v>
      </c>
      <c r="D4491" s="62" t="s">
        <v>388</v>
      </c>
      <c r="E4491" s="62" t="s">
        <v>72</v>
      </c>
      <c r="F4491" s="62" t="s">
        <v>382</v>
      </c>
      <c r="G4491" s="63" t="s">
        <v>416</v>
      </c>
      <c r="H4491" s="64" t="n">
        <v>1031957820.35749</v>
      </c>
      <c r="I4491" s="62" t="s">
        <v>81</v>
      </c>
      <c r="J4491" s="64" t="n">
        <v>1031957.82035749</v>
      </c>
      <c r="K4491" s="62" t="s">
        <v>138</v>
      </c>
      <c r="L4491" s="68" t="b">
        <f aca="false">TRUE()</f>
        <v>1</v>
      </c>
    </row>
    <row r="4492" customFormat="false" ht="15" hidden="false" customHeight="false" outlineLevel="0" collapsed="false">
      <c r="A4492" s="62" t="n">
        <v>1</v>
      </c>
      <c r="B4492" s="21" t="s">
        <v>336</v>
      </c>
      <c r="C4492" s="62" t="s">
        <v>60</v>
      </c>
      <c r="D4492" s="62" t="s">
        <v>381</v>
      </c>
      <c r="E4492" s="62" t="s">
        <v>72</v>
      </c>
      <c r="F4492" s="62" t="s">
        <v>382</v>
      </c>
      <c r="G4492" s="63" t="s">
        <v>396</v>
      </c>
      <c r="H4492" s="64" t="n">
        <v>750000000</v>
      </c>
      <c r="I4492" s="62" t="s">
        <v>81</v>
      </c>
      <c r="J4492" s="64" t="n">
        <v>750000</v>
      </c>
      <c r="K4492" s="62" t="s">
        <v>138</v>
      </c>
      <c r="L4492" s="68" t="b">
        <f aca="false">TRUE()</f>
        <v>1</v>
      </c>
    </row>
    <row r="4493" customFormat="false" ht="15" hidden="false" customHeight="false" outlineLevel="0" collapsed="false">
      <c r="A4493" s="62" t="n">
        <v>1</v>
      </c>
      <c r="B4493" s="21" t="s">
        <v>336</v>
      </c>
      <c r="C4493" s="62" t="s">
        <v>60</v>
      </c>
      <c r="D4493" s="62" t="s">
        <v>383</v>
      </c>
      <c r="E4493" s="62" t="s">
        <v>72</v>
      </c>
      <c r="F4493" s="62" t="s">
        <v>382</v>
      </c>
      <c r="G4493" s="63" t="s">
        <v>396</v>
      </c>
      <c r="H4493" s="64" t="n">
        <v>750000000</v>
      </c>
      <c r="I4493" s="62" t="s">
        <v>81</v>
      </c>
      <c r="J4493" s="64" t="n">
        <v>750000</v>
      </c>
      <c r="K4493" s="62" t="s">
        <v>138</v>
      </c>
      <c r="L4493" s="68" t="b">
        <f aca="false">TRUE()</f>
        <v>1</v>
      </c>
    </row>
    <row r="4494" customFormat="false" ht="15" hidden="false" customHeight="false" outlineLevel="0" collapsed="false">
      <c r="A4494" s="62" t="n">
        <v>1</v>
      </c>
      <c r="B4494" s="21" t="s">
        <v>336</v>
      </c>
      <c r="C4494" s="62" t="s">
        <v>60</v>
      </c>
      <c r="D4494" s="62" t="s">
        <v>384</v>
      </c>
      <c r="E4494" s="62" t="s">
        <v>72</v>
      </c>
      <c r="F4494" s="62" t="s">
        <v>382</v>
      </c>
      <c r="G4494" s="63" t="s">
        <v>396</v>
      </c>
      <c r="H4494" s="64" t="n">
        <v>750000000</v>
      </c>
      <c r="I4494" s="62" t="s">
        <v>81</v>
      </c>
      <c r="J4494" s="64" t="n">
        <v>750000</v>
      </c>
      <c r="K4494" s="62" t="s">
        <v>138</v>
      </c>
      <c r="L4494" s="68" t="b">
        <f aca="false">TRUE()</f>
        <v>1</v>
      </c>
    </row>
    <row r="4495" customFormat="false" ht="15" hidden="false" customHeight="false" outlineLevel="0" collapsed="false">
      <c r="A4495" s="62" t="n">
        <v>1</v>
      </c>
      <c r="B4495" s="21" t="s">
        <v>336</v>
      </c>
      <c r="C4495" s="62" t="s">
        <v>60</v>
      </c>
      <c r="D4495" s="62" t="s">
        <v>385</v>
      </c>
      <c r="E4495" s="62" t="s">
        <v>72</v>
      </c>
      <c r="F4495" s="62" t="s">
        <v>382</v>
      </c>
      <c r="G4495" s="63" t="s">
        <v>396</v>
      </c>
      <c r="H4495" s="64" t="n">
        <v>750000000</v>
      </c>
      <c r="I4495" s="62" t="s">
        <v>81</v>
      </c>
      <c r="J4495" s="64" t="n">
        <v>750000</v>
      </c>
      <c r="K4495" s="62" t="s">
        <v>138</v>
      </c>
      <c r="L4495" s="68" t="b">
        <f aca="false">TRUE()</f>
        <v>1</v>
      </c>
    </row>
    <row r="4496" customFormat="false" ht="15" hidden="false" customHeight="false" outlineLevel="0" collapsed="false">
      <c r="A4496" s="62" t="n">
        <v>1</v>
      </c>
      <c r="B4496" s="21" t="s">
        <v>336</v>
      </c>
      <c r="C4496" s="62" t="s">
        <v>60</v>
      </c>
      <c r="D4496" s="62" t="s">
        <v>386</v>
      </c>
      <c r="E4496" s="62" t="s">
        <v>72</v>
      </c>
      <c r="F4496" s="62" t="s">
        <v>382</v>
      </c>
      <c r="G4496" s="63" t="s">
        <v>396</v>
      </c>
      <c r="H4496" s="64" t="n">
        <v>750000000</v>
      </c>
      <c r="I4496" s="62" t="s">
        <v>81</v>
      </c>
      <c r="J4496" s="64" t="n">
        <v>750000</v>
      </c>
      <c r="K4496" s="62" t="s">
        <v>138</v>
      </c>
      <c r="L4496" s="68" t="b">
        <f aca="false">TRUE()</f>
        <v>1</v>
      </c>
    </row>
    <row r="4497" customFormat="false" ht="15" hidden="false" customHeight="false" outlineLevel="0" collapsed="false">
      <c r="A4497" s="62" t="n">
        <v>1</v>
      </c>
      <c r="B4497" s="21" t="s">
        <v>336</v>
      </c>
      <c r="C4497" s="62" t="s">
        <v>60</v>
      </c>
      <c r="D4497" s="62" t="s">
        <v>387</v>
      </c>
      <c r="E4497" s="62" t="s">
        <v>72</v>
      </c>
      <c r="F4497" s="62" t="s">
        <v>382</v>
      </c>
      <c r="G4497" s="63" t="s">
        <v>396</v>
      </c>
      <c r="H4497" s="64" t="n">
        <v>750000000</v>
      </c>
      <c r="I4497" s="62" t="s">
        <v>81</v>
      </c>
      <c r="J4497" s="64" t="n">
        <v>750000</v>
      </c>
      <c r="K4497" s="62" t="s">
        <v>138</v>
      </c>
      <c r="L4497" s="68" t="b">
        <f aca="false">TRUE()</f>
        <v>1</v>
      </c>
    </row>
    <row r="4498" customFormat="false" ht="15" hidden="false" customHeight="false" outlineLevel="0" collapsed="false">
      <c r="A4498" s="62" t="n">
        <v>1</v>
      </c>
      <c r="B4498" s="21" t="s">
        <v>336</v>
      </c>
      <c r="C4498" s="62" t="s">
        <v>60</v>
      </c>
      <c r="D4498" s="62" t="s">
        <v>388</v>
      </c>
      <c r="E4498" s="62" t="s">
        <v>72</v>
      </c>
      <c r="F4498" s="62" t="s">
        <v>382</v>
      </c>
      <c r="G4498" s="63" t="s">
        <v>396</v>
      </c>
      <c r="H4498" s="64" t="n">
        <v>750000000</v>
      </c>
      <c r="I4498" s="62" t="s">
        <v>81</v>
      </c>
      <c r="J4498" s="64" t="n">
        <v>750000</v>
      </c>
      <c r="K4498" s="62" t="s">
        <v>138</v>
      </c>
      <c r="L4498" s="68" t="b">
        <f aca="false">TRUE()</f>
        <v>1</v>
      </c>
    </row>
    <row r="4499" customFormat="false" ht="15" hidden="false" customHeight="false" outlineLevel="0" collapsed="false">
      <c r="A4499" s="62" t="n">
        <v>1</v>
      </c>
      <c r="B4499" s="21" t="s">
        <v>336</v>
      </c>
      <c r="C4499" s="62" t="s">
        <v>60</v>
      </c>
      <c r="D4499" s="62" t="s">
        <v>381</v>
      </c>
      <c r="E4499" s="62" t="s">
        <v>72</v>
      </c>
      <c r="F4499" s="62" t="s">
        <v>382</v>
      </c>
      <c r="G4499" s="63" t="s">
        <v>417</v>
      </c>
      <c r="H4499" s="64" t="n">
        <v>889027330.435643</v>
      </c>
      <c r="I4499" s="62" t="s">
        <v>81</v>
      </c>
      <c r="J4499" s="64" t="n">
        <v>889027.330435643</v>
      </c>
      <c r="K4499" s="62" t="s">
        <v>138</v>
      </c>
      <c r="L4499" s="68" t="b">
        <f aca="false">TRUE()</f>
        <v>1</v>
      </c>
    </row>
    <row r="4500" customFormat="false" ht="15" hidden="false" customHeight="false" outlineLevel="0" collapsed="false">
      <c r="A4500" s="62" t="n">
        <v>1</v>
      </c>
      <c r="B4500" s="21" t="s">
        <v>336</v>
      </c>
      <c r="C4500" s="62" t="s">
        <v>60</v>
      </c>
      <c r="D4500" s="62" t="s">
        <v>383</v>
      </c>
      <c r="E4500" s="62" t="s">
        <v>72</v>
      </c>
      <c r="F4500" s="62" t="s">
        <v>382</v>
      </c>
      <c r="G4500" s="63" t="s">
        <v>417</v>
      </c>
      <c r="H4500" s="64" t="n">
        <v>10161501592.9568</v>
      </c>
      <c r="I4500" s="62" t="s">
        <v>81</v>
      </c>
      <c r="J4500" s="64" t="n">
        <v>10161501.5929568</v>
      </c>
      <c r="K4500" s="62" t="s">
        <v>138</v>
      </c>
      <c r="L4500" s="68" t="b">
        <f aca="false">TRUE()</f>
        <v>1</v>
      </c>
    </row>
    <row r="4501" customFormat="false" ht="15" hidden="false" customHeight="false" outlineLevel="0" collapsed="false">
      <c r="A4501" s="62" t="n">
        <v>1</v>
      </c>
      <c r="B4501" s="21" t="s">
        <v>336</v>
      </c>
      <c r="C4501" s="62" t="s">
        <v>60</v>
      </c>
      <c r="D4501" s="62" t="s">
        <v>384</v>
      </c>
      <c r="E4501" s="62" t="s">
        <v>72</v>
      </c>
      <c r="F4501" s="62" t="s">
        <v>382</v>
      </c>
      <c r="G4501" s="63" t="s">
        <v>417</v>
      </c>
      <c r="H4501" s="64" t="n">
        <v>6628463088.91696</v>
      </c>
      <c r="I4501" s="62" t="s">
        <v>81</v>
      </c>
      <c r="J4501" s="64" t="n">
        <v>6628463.08891696</v>
      </c>
      <c r="K4501" s="62" t="s">
        <v>138</v>
      </c>
      <c r="L4501" s="68" t="b">
        <f aca="false">TRUE()</f>
        <v>1</v>
      </c>
    </row>
    <row r="4502" customFormat="false" ht="15" hidden="false" customHeight="false" outlineLevel="0" collapsed="false">
      <c r="A4502" s="62" t="n">
        <v>1</v>
      </c>
      <c r="B4502" s="21" t="s">
        <v>336</v>
      </c>
      <c r="C4502" s="62" t="s">
        <v>60</v>
      </c>
      <c r="D4502" s="62" t="s">
        <v>385</v>
      </c>
      <c r="E4502" s="62" t="s">
        <v>72</v>
      </c>
      <c r="F4502" s="62" t="s">
        <v>382</v>
      </c>
      <c r="G4502" s="63" t="s">
        <v>417</v>
      </c>
      <c r="H4502" s="64" t="n">
        <v>2172664958.15994</v>
      </c>
      <c r="I4502" s="62" t="s">
        <v>81</v>
      </c>
      <c r="J4502" s="64" t="n">
        <v>2172664.95815994</v>
      </c>
      <c r="K4502" s="62" t="s">
        <v>138</v>
      </c>
      <c r="L4502" s="68" t="b">
        <f aca="false">TRUE()</f>
        <v>1</v>
      </c>
    </row>
    <row r="4503" customFormat="false" ht="15" hidden="false" customHeight="false" outlineLevel="0" collapsed="false">
      <c r="A4503" s="62" t="n">
        <v>1</v>
      </c>
      <c r="B4503" s="21" t="s">
        <v>336</v>
      </c>
      <c r="C4503" s="62" t="s">
        <v>60</v>
      </c>
      <c r="D4503" s="62" t="s">
        <v>386</v>
      </c>
      <c r="E4503" s="62" t="s">
        <v>72</v>
      </c>
      <c r="F4503" s="62" t="s">
        <v>382</v>
      </c>
      <c r="G4503" s="63" t="s">
        <v>417</v>
      </c>
      <c r="H4503" s="64" t="n">
        <v>1071734265.37857</v>
      </c>
      <c r="I4503" s="62" t="s">
        <v>81</v>
      </c>
      <c r="J4503" s="64" t="n">
        <v>1071734.26537857</v>
      </c>
      <c r="K4503" s="62" t="s">
        <v>138</v>
      </c>
      <c r="L4503" s="68" t="b">
        <f aca="false">TRUE()</f>
        <v>1</v>
      </c>
    </row>
    <row r="4504" customFormat="false" ht="15" hidden="false" customHeight="false" outlineLevel="0" collapsed="false">
      <c r="A4504" s="62" t="n">
        <v>1</v>
      </c>
      <c r="B4504" s="21" t="s">
        <v>336</v>
      </c>
      <c r="C4504" s="62" t="s">
        <v>60</v>
      </c>
      <c r="D4504" s="62" t="s">
        <v>387</v>
      </c>
      <c r="E4504" s="62" t="s">
        <v>72</v>
      </c>
      <c r="F4504" s="62" t="s">
        <v>382</v>
      </c>
      <c r="G4504" s="63" t="s">
        <v>417</v>
      </c>
      <c r="H4504" s="64" t="n">
        <v>549293867.918068</v>
      </c>
      <c r="I4504" s="62" t="s">
        <v>81</v>
      </c>
      <c r="J4504" s="64" t="n">
        <v>549293.867918068</v>
      </c>
      <c r="K4504" s="62" t="s">
        <v>138</v>
      </c>
      <c r="L4504" s="68" t="b">
        <f aca="false">TRUE()</f>
        <v>1</v>
      </c>
    </row>
    <row r="4505" customFormat="false" ht="15" hidden="false" customHeight="false" outlineLevel="0" collapsed="false">
      <c r="A4505" s="62" t="n">
        <v>1</v>
      </c>
      <c r="B4505" s="21" t="s">
        <v>336</v>
      </c>
      <c r="C4505" s="62" t="s">
        <v>60</v>
      </c>
      <c r="D4505" s="62" t="s">
        <v>388</v>
      </c>
      <c r="E4505" s="62" t="s">
        <v>72</v>
      </c>
      <c r="F4505" s="62" t="s">
        <v>382</v>
      </c>
      <c r="G4505" s="63" t="s">
        <v>417</v>
      </c>
      <c r="H4505" s="64" t="n">
        <v>-556913575.173436</v>
      </c>
      <c r="I4505" s="62" t="s">
        <v>81</v>
      </c>
      <c r="J4505" s="64" t="n">
        <v>-556913.575173436</v>
      </c>
      <c r="K4505" s="62" t="s">
        <v>138</v>
      </c>
      <c r="L4505" s="68" t="b">
        <f aca="false">TRUE()</f>
        <v>1</v>
      </c>
    </row>
    <row r="4506" customFormat="false" ht="15" hidden="false" customHeight="false" outlineLevel="0" collapsed="false">
      <c r="A4506" s="62" t="n">
        <v>1</v>
      </c>
      <c r="B4506" s="21" t="s">
        <v>336</v>
      </c>
      <c r="C4506" s="62" t="s">
        <v>60</v>
      </c>
      <c r="D4506" s="62" t="s">
        <v>381</v>
      </c>
      <c r="E4506" s="62" t="s">
        <v>72</v>
      </c>
      <c r="F4506" s="62" t="s">
        <v>382</v>
      </c>
      <c r="G4506" s="63" t="s">
        <v>398</v>
      </c>
      <c r="H4506" s="64" t="n">
        <v>599914076.514969</v>
      </c>
      <c r="I4506" s="62" t="s">
        <v>81</v>
      </c>
      <c r="J4506" s="64" t="n">
        <v>599914.076514969</v>
      </c>
      <c r="K4506" s="62" t="s">
        <v>138</v>
      </c>
      <c r="L4506" s="68" t="b">
        <f aca="false">TRUE()</f>
        <v>1</v>
      </c>
    </row>
    <row r="4507" customFormat="false" ht="15" hidden="false" customHeight="false" outlineLevel="0" collapsed="false">
      <c r="A4507" s="62" t="n">
        <v>1</v>
      </c>
      <c r="B4507" s="21" t="s">
        <v>336</v>
      </c>
      <c r="C4507" s="62" t="s">
        <v>60</v>
      </c>
      <c r="D4507" s="62" t="s">
        <v>383</v>
      </c>
      <c r="E4507" s="62" t="s">
        <v>72</v>
      </c>
      <c r="F4507" s="62" t="s">
        <v>382</v>
      </c>
      <c r="G4507" s="63" t="s">
        <v>398</v>
      </c>
      <c r="H4507" s="64" t="n">
        <v>880613956.242195</v>
      </c>
      <c r="I4507" s="62" t="s">
        <v>81</v>
      </c>
      <c r="J4507" s="64" t="n">
        <v>880613.956242195</v>
      </c>
      <c r="K4507" s="62" t="s">
        <v>138</v>
      </c>
      <c r="L4507" s="68" t="b">
        <f aca="false">TRUE()</f>
        <v>1</v>
      </c>
    </row>
    <row r="4508" customFormat="false" ht="15" hidden="false" customHeight="false" outlineLevel="0" collapsed="false">
      <c r="A4508" s="62" t="n">
        <v>1</v>
      </c>
      <c r="B4508" s="21" t="s">
        <v>336</v>
      </c>
      <c r="C4508" s="62" t="s">
        <v>60</v>
      </c>
      <c r="D4508" s="62" t="s">
        <v>384</v>
      </c>
      <c r="E4508" s="62" t="s">
        <v>72</v>
      </c>
      <c r="F4508" s="62" t="s">
        <v>382</v>
      </c>
      <c r="G4508" s="63" t="s">
        <v>398</v>
      </c>
      <c r="H4508" s="64" t="n">
        <v>681969794.772765</v>
      </c>
      <c r="I4508" s="62" t="s">
        <v>81</v>
      </c>
      <c r="J4508" s="64" t="n">
        <v>681969.794772765</v>
      </c>
      <c r="K4508" s="62" t="s">
        <v>138</v>
      </c>
      <c r="L4508" s="68" t="b">
        <f aca="false">TRUE()</f>
        <v>1</v>
      </c>
    </row>
    <row r="4509" customFormat="false" ht="15" hidden="false" customHeight="false" outlineLevel="0" collapsed="false">
      <c r="A4509" s="62" t="n">
        <v>1</v>
      </c>
      <c r="B4509" s="21" t="s">
        <v>336</v>
      </c>
      <c r="C4509" s="62" t="s">
        <v>60</v>
      </c>
      <c r="D4509" s="62" t="s">
        <v>385</v>
      </c>
      <c r="E4509" s="62" t="s">
        <v>72</v>
      </c>
      <c r="F4509" s="62" t="s">
        <v>382</v>
      </c>
      <c r="G4509" s="63" t="s">
        <v>398</v>
      </c>
      <c r="H4509" s="64" t="n">
        <v>1012979737.05521</v>
      </c>
      <c r="I4509" s="62" t="s">
        <v>81</v>
      </c>
      <c r="J4509" s="64" t="n">
        <v>1012979.73705521</v>
      </c>
      <c r="K4509" s="62" t="s">
        <v>138</v>
      </c>
      <c r="L4509" s="68" t="b">
        <f aca="false">TRUE()</f>
        <v>1</v>
      </c>
    </row>
    <row r="4510" customFormat="false" ht="15" hidden="false" customHeight="false" outlineLevel="0" collapsed="false">
      <c r="A4510" s="62" t="n">
        <v>1</v>
      </c>
      <c r="B4510" s="21" t="s">
        <v>336</v>
      </c>
      <c r="C4510" s="62" t="s">
        <v>60</v>
      </c>
      <c r="D4510" s="62" t="s">
        <v>386</v>
      </c>
      <c r="E4510" s="62" t="s">
        <v>72</v>
      </c>
      <c r="F4510" s="62" t="s">
        <v>382</v>
      </c>
      <c r="G4510" s="63" t="s">
        <v>398</v>
      </c>
      <c r="H4510" s="64" t="n">
        <v>853537.596663145</v>
      </c>
      <c r="I4510" s="62" t="s">
        <v>81</v>
      </c>
      <c r="J4510" s="64" t="n">
        <v>853.537596663145</v>
      </c>
      <c r="K4510" s="62" t="s">
        <v>138</v>
      </c>
      <c r="L4510" s="68" t="b">
        <f aca="false">TRUE()</f>
        <v>1</v>
      </c>
    </row>
    <row r="4511" customFormat="false" ht="15" hidden="false" customHeight="false" outlineLevel="0" collapsed="false">
      <c r="A4511" s="62" t="n">
        <v>1</v>
      </c>
      <c r="B4511" s="21" t="s">
        <v>336</v>
      </c>
      <c r="C4511" s="62" t="s">
        <v>60</v>
      </c>
      <c r="D4511" s="62" t="s">
        <v>387</v>
      </c>
      <c r="E4511" s="62" t="s">
        <v>72</v>
      </c>
      <c r="F4511" s="62" t="s">
        <v>382</v>
      </c>
      <c r="G4511" s="63" t="s">
        <v>398</v>
      </c>
      <c r="H4511" s="64" t="n">
        <v>814430946.023578</v>
      </c>
      <c r="I4511" s="62" t="s">
        <v>81</v>
      </c>
      <c r="J4511" s="64" t="n">
        <v>814430.946023578</v>
      </c>
      <c r="K4511" s="62" t="s">
        <v>138</v>
      </c>
      <c r="L4511" s="68" t="b">
        <f aca="false">TRUE()</f>
        <v>1</v>
      </c>
    </row>
    <row r="4512" customFormat="false" ht="15" hidden="false" customHeight="false" outlineLevel="0" collapsed="false">
      <c r="A4512" s="62" t="n">
        <v>1</v>
      </c>
      <c r="B4512" s="21" t="s">
        <v>336</v>
      </c>
      <c r="C4512" s="62" t="s">
        <v>60</v>
      </c>
      <c r="D4512" s="62" t="s">
        <v>388</v>
      </c>
      <c r="E4512" s="62" t="s">
        <v>72</v>
      </c>
      <c r="F4512" s="62" t="s">
        <v>382</v>
      </c>
      <c r="G4512" s="63" t="s">
        <v>398</v>
      </c>
      <c r="H4512" s="64" t="n">
        <v>938871395.530922</v>
      </c>
      <c r="I4512" s="62" t="s">
        <v>81</v>
      </c>
      <c r="J4512" s="64" t="n">
        <v>938871.395530922</v>
      </c>
      <c r="K4512" s="62" t="s">
        <v>138</v>
      </c>
      <c r="L4512" s="68" t="b">
        <f aca="false">TRUE()</f>
        <v>1</v>
      </c>
    </row>
    <row r="4513" customFormat="false" ht="15" hidden="false" customHeight="false" outlineLevel="0" collapsed="false">
      <c r="A4513" s="62" t="n">
        <v>1</v>
      </c>
      <c r="B4513" s="21" t="s">
        <v>336</v>
      </c>
      <c r="C4513" s="62" t="s">
        <v>60</v>
      </c>
      <c r="D4513" s="62" t="s">
        <v>381</v>
      </c>
      <c r="E4513" s="62" t="s">
        <v>72</v>
      </c>
      <c r="F4513" s="62" t="s">
        <v>382</v>
      </c>
      <c r="G4513" s="63" t="s">
        <v>418</v>
      </c>
      <c r="H4513" s="64" t="n">
        <v>2238941406.95061</v>
      </c>
      <c r="I4513" s="62" t="s">
        <v>81</v>
      </c>
      <c r="J4513" s="64" t="n">
        <v>2238941.40695061</v>
      </c>
      <c r="K4513" s="62" t="s">
        <v>138</v>
      </c>
      <c r="L4513" s="68" t="b">
        <f aca="false">TRUE()</f>
        <v>1</v>
      </c>
    </row>
    <row r="4514" customFormat="false" ht="15" hidden="false" customHeight="false" outlineLevel="0" collapsed="false">
      <c r="A4514" s="62" t="n">
        <v>1</v>
      </c>
      <c r="B4514" s="21" t="s">
        <v>336</v>
      </c>
      <c r="C4514" s="62" t="s">
        <v>60</v>
      </c>
      <c r="D4514" s="62" t="s">
        <v>383</v>
      </c>
      <c r="E4514" s="62" t="s">
        <v>72</v>
      </c>
      <c r="F4514" s="62" t="s">
        <v>382</v>
      </c>
      <c r="G4514" s="63" t="s">
        <v>418</v>
      </c>
      <c r="H4514" s="64" t="n">
        <v>11792115549.199</v>
      </c>
      <c r="I4514" s="62" t="s">
        <v>81</v>
      </c>
      <c r="J4514" s="64" t="n">
        <v>11792115.549199</v>
      </c>
      <c r="K4514" s="62" t="s">
        <v>138</v>
      </c>
      <c r="L4514" s="68" t="b">
        <f aca="false">TRUE()</f>
        <v>1</v>
      </c>
    </row>
    <row r="4515" customFormat="false" ht="15" hidden="false" customHeight="false" outlineLevel="0" collapsed="false">
      <c r="A4515" s="62" t="n">
        <v>1</v>
      </c>
      <c r="B4515" s="21" t="s">
        <v>336</v>
      </c>
      <c r="C4515" s="62" t="s">
        <v>60</v>
      </c>
      <c r="D4515" s="62" t="s">
        <v>384</v>
      </c>
      <c r="E4515" s="62" t="s">
        <v>72</v>
      </c>
      <c r="F4515" s="62" t="s">
        <v>382</v>
      </c>
      <c r="G4515" s="63" t="s">
        <v>418</v>
      </c>
      <c r="H4515" s="64" t="n">
        <v>8060432883.68972</v>
      </c>
      <c r="I4515" s="62" t="s">
        <v>81</v>
      </c>
      <c r="J4515" s="64" t="n">
        <v>8060432.88368972</v>
      </c>
      <c r="K4515" s="62" t="s">
        <v>138</v>
      </c>
      <c r="L4515" s="68" t="b">
        <f aca="false">TRUE()</f>
        <v>1</v>
      </c>
    </row>
    <row r="4516" customFormat="false" ht="15" hidden="false" customHeight="false" outlineLevel="0" collapsed="false">
      <c r="A4516" s="62" t="n">
        <v>1</v>
      </c>
      <c r="B4516" s="21" t="s">
        <v>336</v>
      </c>
      <c r="C4516" s="62" t="s">
        <v>60</v>
      </c>
      <c r="D4516" s="62" t="s">
        <v>385</v>
      </c>
      <c r="E4516" s="62" t="s">
        <v>72</v>
      </c>
      <c r="F4516" s="62" t="s">
        <v>382</v>
      </c>
      <c r="G4516" s="63" t="s">
        <v>418</v>
      </c>
      <c r="H4516" s="64" t="n">
        <v>3935644695.21515</v>
      </c>
      <c r="I4516" s="62" t="s">
        <v>81</v>
      </c>
      <c r="J4516" s="64" t="n">
        <v>3935644.69521515</v>
      </c>
      <c r="K4516" s="62" t="s">
        <v>138</v>
      </c>
      <c r="L4516" s="68" t="b">
        <f aca="false">TRUE()</f>
        <v>1</v>
      </c>
    </row>
    <row r="4517" customFormat="false" ht="15" hidden="false" customHeight="false" outlineLevel="0" collapsed="false">
      <c r="A4517" s="62" t="n">
        <v>1</v>
      </c>
      <c r="B4517" s="21" t="s">
        <v>336</v>
      </c>
      <c r="C4517" s="62" t="s">
        <v>60</v>
      </c>
      <c r="D4517" s="62" t="s">
        <v>386</v>
      </c>
      <c r="E4517" s="62" t="s">
        <v>72</v>
      </c>
      <c r="F4517" s="62" t="s">
        <v>382</v>
      </c>
      <c r="G4517" s="63" t="s">
        <v>418</v>
      </c>
      <c r="H4517" s="64" t="n">
        <v>1822587802.97523</v>
      </c>
      <c r="I4517" s="62" t="s">
        <v>81</v>
      </c>
      <c r="J4517" s="64" t="n">
        <v>1822587.80297523</v>
      </c>
      <c r="K4517" s="62" t="s">
        <v>138</v>
      </c>
      <c r="L4517" s="68" t="b">
        <f aca="false">TRUE()</f>
        <v>1</v>
      </c>
    </row>
    <row r="4518" customFormat="false" ht="15" hidden="false" customHeight="false" outlineLevel="0" collapsed="false">
      <c r="A4518" s="62" t="n">
        <v>1</v>
      </c>
      <c r="B4518" s="21" t="s">
        <v>336</v>
      </c>
      <c r="C4518" s="62" t="s">
        <v>60</v>
      </c>
      <c r="D4518" s="62" t="s">
        <v>387</v>
      </c>
      <c r="E4518" s="62" t="s">
        <v>72</v>
      </c>
      <c r="F4518" s="62" t="s">
        <v>382</v>
      </c>
      <c r="G4518" s="63" t="s">
        <v>418</v>
      </c>
      <c r="H4518" s="64" t="n">
        <v>2113724813.94165</v>
      </c>
      <c r="I4518" s="62" t="s">
        <v>81</v>
      </c>
      <c r="J4518" s="64" t="n">
        <v>2113724.81394165</v>
      </c>
      <c r="K4518" s="62" t="s">
        <v>138</v>
      </c>
      <c r="L4518" s="68" t="b">
        <f aca="false">TRUE()</f>
        <v>1</v>
      </c>
    </row>
    <row r="4519" customFormat="false" ht="15" hidden="false" customHeight="false" outlineLevel="0" collapsed="false">
      <c r="A4519" s="62" t="n">
        <v>1</v>
      </c>
      <c r="B4519" s="21" t="s">
        <v>336</v>
      </c>
      <c r="C4519" s="62" t="s">
        <v>60</v>
      </c>
      <c r="D4519" s="62" t="s">
        <v>388</v>
      </c>
      <c r="E4519" s="62" t="s">
        <v>72</v>
      </c>
      <c r="F4519" s="62" t="s">
        <v>382</v>
      </c>
      <c r="G4519" s="63" t="s">
        <v>418</v>
      </c>
      <c r="H4519" s="64" t="n">
        <v>1131957820.35749</v>
      </c>
      <c r="I4519" s="62" t="s">
        <v>81</v>
      </c>
      <c r="J4519" s="64" t="n">
        <v>1131957.82035749</v>
      </c>
      <c r="K4519" s="62" t="s">
        <v>138</v>
      </c>
      <c r="L4519" s="68" t="b">
        <f aca="false">TRUE()</f>
        <v>1</v>
      </c>
    </row>
    <row r="4520" customFormat="false" ht="15" hidden="false" customHeight="false" outlineLevel="0" collapsed="false">
      <c r="A4520" s="62" t="n">
        <v>1</v>
      </c>
      <c r="B4520" s="21" t="s">
        <v>336</v>
      </c>
      <c r="C4520" s="62" t="s">
        <v>60</v>
      </c>
      <c r="D4520" s="62" t="s">
        <v>381</v>
      </c>
      <c r="E4520" s="62" t="s">
        <v>72</v>
      </c>
      <c r="F4520" s="62" t="s">
        <v>382</v>
      </c>
      <c r="G4520" s="63" t="s">
        <v>420</v>
      </c>
      <c r="H4520" s="64" t="n">
        <v>0</v>
      </c>
      <c r="I4520" s="62" t="s">
        <v>81</v>
      </c>
      <c r="J4520" s="64" t="n">
        <v>0</v>
      </c>
      <c r="K4520" s="62" t="s">
        <v>138</v>
      </c>
      <c r="L4520" s="68" t="b">
        <f aca="false">TRUE()</f>
        <v>1</v>
      </c>
    </row>
    <row r="4521" customFormat="false" ht="15" hidden="false" customHeight="false" outlineLevel="0" collapsed="false">
      <c r="A4521" s="62" t="n">
        <v>1</v>
      </c>
      <c r="B4521" s="21" t="s">
        <v>336</v>
      </c>
      <c r="C4521" s="62" t="s">
        <v>60</v>
      </c>
      <c r="D4521" s="62" t="s">
        <v>383</v>
      </c>
      <c r="E4521" s="62" t="s">
        <v>72</v>
      </c>
      <c r="F4521" s="62" t="s">
        <v>382</v>
      </c>
      <c r="G4521" s="63" t="s">
        <v>420</v>
      </c>
      <c r="H4521" s="64" t="n">
        <v>0</v>
      </c>
      <c r="I4521" s="62" t="s">
        <v>81</v>
      </c>
      <c r="J4521" s="64" t="n">
        <v>0</v>
      </c>
      <c r="K4521" s="62" t="s">
        <v>138</v>
      </c>
      <c r="L4521" s="68" t="b">
        <f aca="false">TRUE()</f>
        <v>1</v>
      </c>
    </row>
    <row r="4522" customFormat="false" ht="15" hidden="false" customHeight="false" outlineLevel="0" collapsed="false">
      <c r="A4522" s="62" t="n">
        <v>1</v>
      </c>
      <c r="B4522" s="21" t="s">
        <v>336</v>
      </c>
      <c r="C4522" s="62" t="s">
        <v>60</v>
      </c>
      <c r="D4522" s="62" t="s">
        <v>384</v>
      </c>
      <c r="E4522" s="62" t="s">
        <v>72</v>
      </c>
      <c r="F4522" s="62" t="s">
        <v>382</v>
      </c>
      <c r="G4522" s="63" t="s">
        <v>420</v>
      </c>
      <c r="H4522" s="64" t="n">
        <v>0</v>
      </c>
      <c r="I4522" s="62" t="s">
        <v>81</v>
      </c>
      <c r="J4522" s="64" t="n">
        <v>0</v>
      </c>
      <c r="K4522" s="62" t="s">
        <v>138</v>
      </c>
      <c r="L4522" s="68" t="b">
        <f aca="false">TRUE()</f>
        <v>1</v>
      </c>
    </row>
    <row r="4523" customFormat="false" ht="15" hidden="false" customHeight="false" outlineLevel="0" collapsed="false">
      <c r="A4523" s="62" t="n">
        <v>1</v>
      </c>
      <c r="B4523" s="21" t="s">
        <v>336</v>
      </c>
      <c r="C4523" s="62" t="s">
        <v>60</v>
      </c>
      <c r="D4523" s="62" t="s">
        <v>385</v>
      </c>
      <c r="E4523" s="62" t="s">
        <v>72</v>
      </c>
      <c r="F4523" s="62" t="s">
        <v>382</v>
      </c>
      <c r="G4523" s="63" t="s">
        <v>420</v>
      </c>
      <c r="H4523" s="64" t="n">
        <v>0</v>
      </c>
      <c r="I4523" s="62" t="s">
        <v>81</v>
      </c>
      <c r="J4523" s="64" t="n">
        <v>0</v>
      </c>
      <c r="K4523" s="62" t="s">
        <v>138</v>
      </c>
      <c r="L4523" s="68" t="b">
        <f aca="false">TRUE()</f>
        <v>1</v>
      </c>
    </row>
    <row r="4524" customFormat="false" ht="15" hidden="false" customHeight="false" outlineLevel="0" collapsed="false">
      <c r="A4524" s="62" t="n">
        <v>1</v>
      </c>
      <c r="B4524" s="21" t="s">
        <v>336</v>
      </c>
      <c r="C4524" s="62" t="s">
        <v>60</v>
      </c>
      <c r="D4524" s="62" t="s">
        <v>386</v>
      </c>
      <c r="E4524" s="62" t="s">
        <v>72</v>
      </c>
      <c r="F4524" s="62" t="s">
        <v>382</v>
      </c>
      <c r="G4524" s="63" t="s">
        <v>420</v>
      </c>
      <c r="H4524" s="64" t="n">
        <v>963900136.322961</v>
      </c>
      <c r="I4524" s="62" t="s">
        <v>81</v>
      </c>
      <c r="J4524" s="64" t="n">
        <v>963900.136322961</v>
      </c>
      <c r="K4524" s="62" t="s">
        <v>138</v>
      </c>
      <c r="L4524" s="68" t="b">
        <f aca="false">TRUE()</f>
        <v>1</v>
      </c>
    </row>
    <row r="4525" customFormat="false" ht="15" hidden="false" customHeight="false" outlineLevel="0" collapsed="false">
      <c r="A4525" s="62" t="n">
        <v>1</v>
      </c>
      <c r="B4525" s="21" t="s">
        <v>336</v>
      </c>
      <c r="C4525" s="62" t="s">
        <v>60</v>
      </c>
      <c r="D4525" s="62" t="s">
        <v>387</v>
      </c>
      <c r="E4525" s="62" t="s">
        <v>72</v>
      </c>
      <c r="F4525" s="62" t="s">
        <v>382</v>
      </c>
      <c r="G4525" s="63" t="s">
        <v>420</v>
      </c>
      <c r="H4525" s="64" t="n">
        <v>0</v>
      </c>
      <c r="I4525" s="62" t="s">
        <v>81</v>
      </c>
      <c r="J4525" s="64" t="n">
        <v>0</v>
      </c>
      <c r="K4525" s="62" t="s">
        <v>138</v>
      </c>
      <c r="L4525" s="68" t="b">
        <f aca="false">TRUE()</f>
        <v>1</v>
      </c>
    </row>
    <row r="4526" customFormat="false" ht="15" hidden="false" customHeight="false" outlineLevel="0" collapsed="false">
      <c r="A4526" s="62" t="n">
        <v>1</v>
      </c>
      <c r="B4526" s="21" t="s">
        <v>336</v>
      </c>
      <c r="C4526" s="62" t="s">
        <v>60</v>
      </c>
      <c r="D4526" s="62" t="s">
        <v>388</v>
      </c>
      <c r="E4526" s="62" t="s">
        <v>72</v>
      </c>
      <c r="F4526" s="62" t="s">
        <v>382</v>
      </c>
      <c r="G4526" s="63" t="s">
        <v>420</v>
      </c>
      <c r="H4526" s="64" t="n">
        <v>0</v>
      </c>
      <c r="I4526" s="62" t="s">
        <v>81</v>
      </c>
      <c r="J4526" s="64" t="n">
        <v>0</v>
      </c>
      <c r="K4526" s="62" t="s">
        <v>138</v>
      </c>
      <c r="L4526" s="68" t="b">
        <f aca="false">TRUE()</f>
        <v>1</v>
      </c>
    </row>
    <row r="4527" customFormat="false" ht="15" hidden="false" customHeight="false" outlineLevel="0" collapsed="false">
      <c r="A4527" s="62" t="n">
        <v>1</v>
      </c>
      <c r="B4527" s="21" t="s">
        <v>336</v>
      </c>
      <c r="C4527" s="62" t="s">
        <v>60</v>
      </c>
      <c r="D4527" s="62" t="s">
        <v>381</v>
      </c>
      <c r="E4527" s="62" t="s">
        <v>72</v>
      </c>
      <c r="F4527" s="62" t="s">
        <v>382</v>
      </c>
      <c r="G4527" s="63" t="s">
        <v>421</v>
      </c>
      <c r="H4527" s="64" t="n">
        <v>-100000000</v>
      </c>
      <c r="I4527" s="62" t="s">
        <v>81</v>
      </c>
      <c r="J4527" s="64" t="n">
        <v>-100000</v>
      </c>
      <c r="K4527" s="62" t="s">
        <v>138</v>
      </c>
      <c r="L4527" s="68" t="b">
        <f aca="false">TRUE()</f>
        <v>1</v>
      </c>
    </row>
    <row r="4528" customFormat="false" ht="15" hidden="false" customHeight="false" outlineLevel="0" collapsed="false">
      <c r="A4528" s="62" t="n">
        <v>1</v>
      </c>
      <c r="B4528" s="21" t="s">
        <v>336</v>
      </c>
      <c r="C4528" s="62" t="s">
        <v>60</v>
      </c>
      <c r="D4528" s="62" t="s">
        <v>383</v>
      </c>
      <c r="E4528" s="62" t="s">
        <v>72</v>
      </c>
      <c r="F4528" s="62" t="s">
        <v>382</v>
      </c>
      <c r="G4528" s="63" t="s">
        <v>421</v>
      </c>
      <c r="H4528" s="64" t="n">
        <v>-6680000000</v>
      </c>
      <c r="I4528" s="62" t="s">
        <v>81</v>
      </c>
      <c r="J4528" s="64" t="n">
        <v>-6680000</v>
      </c>
      <c r="K4528" s="62" t="s">
        <v>138</v>
      </c>
      <c r="L4528" s="68" t="b">
        <f aca="false">TRUE()</f>
        <v>1</v>
      </c>
    </row>
    <row r="4529" customFormat="false" ht="15" hidden="false" customHeight="false" outlineLevel="0" collapsed="false">
      <c r="A4529" s="62" t="n">
        <v>1</v>
      </c>
      <c r="B4529" s="21" t="s">
        <v>336</v>
      </c>
      <c r="C4529" s="62" t="s">
        <v>60</v>
      </c>
      <c r="D4529" s="62" t="s">
        <v>384</v>
      </c>
      <c r="E4529" s="62" t="s">
        <v>72</v>
      </c>
      <c r="F4529" s="62" t="s">
        <v>382</v>
      </c>
      <c r="G4529" s="63" t="s">
        <v>421</v>
      </c>
      <c r="H4529" s="64" t="n">
        <v>-2200000000</v>
      </c>
      <c r="I4529" s="62" t="s">
        <v>81</v>
      </c>
      <c r="J4529" s="64" t="n">
        <v>-2200000</v>
      </c>
      <c r="K4529" s="62" t="s">
        <v>138</v>
      </c>
      <c r="L4529" s="68" t="b">
        <f aca="false">TRUE()</f>
        <v>1</v>
      </c>
    </row>
    <row r="4530" customFormat="false" ht="15" hidden="false" customHeight="false" outlineLevel="0" collapsed="false">
      <c r="A4530" s="62" t="n">
        <v>1</v>
      </c>
      <c r="B4530" s="21" t="s">
        <v>336</v>
      </c>
      <c r="C4530" s="62" t="s">
        <v>60</v>
      </c>
      <c r="D4530" s="62" t="s">
        <v>385</v>
      </c>
      <c r="E4530" s="62" t="s">
        <v>72</v>
      </c>
      <c r="F4530" s="62" t="s">
        <v>382</v>
      </c>
      <c r="G4530" s="63" t="s">
        <v>421</v>
      </c>
      <c r="H4530" s="64" t="n">
        <v>-100000000</v>
      </c>
      <c r="I4530" s="62" t="s">
        <v>81</v>
      </c>
      <c r="J4530" s="64" t="n">
        <v>-100000</v>
      </c>
      <c r="K4530" s="62" t="s">
        <v>138</v>
      </c>
      <c r="L4530" s="68" t="b">
        <f aca="false">TRUE()</f>
        <v>1</v>
      </c>
    </row>
    <row r="4531" customFormat="false" ht="15" hidden="false" customHeight="false" outlineLevel="0" collapsed="false">
      <c r="A4531" s="62" t="n">
        <v>1</v>
      </c>
      <c r="B4531" s="21" t="s">
        <v>336</v>
      </c>
      <c r="C4531" s="62" t="s">
        <v>60</v>
      </c>
      <c r="D4531" s="62" t="s">
        <v>386</v>
      </c>
      <c r="E4531" s="62" t="s">
        <v>72</v>
      </c>
      <c r="F4531" s="62" t="s">
        <v>382</v>
      </c>
      <c r="G4531" s="63" t="s">
        <v>421</v>
      </c>
      <c r="H4531" s="64" t="n">
        <v>-2600000000</v>
      </c>
      <c r="I4531" s="62" t="s">
        <v>81</v>
      </c>
      <c r="J4531" s="64" t="n">
        <v>-2600000</v>
      </c>
      <c r="K4531" s="62" t="s">
        <v>138</v>
      </c>
      <c r="L4531" s="68" t="b">
        <f aca="false">TRUE()</f>
        <v>1</v>
      </c>
    </row>
    <row r="4532" customFormat="false" ht="15" hidden="false" customHeight="false" outlineLevel="0" collapsed="false">
      <c r="A4532" s="62" t="n">
        <v>1</v>
      </c>
      <c r="B4532" s="21" t="s">
        <v>336</v>
      </c>
      <c r="C4532" s="62" t="s">
        <v>60</v>
      </c>
      <c r="D4532" s="62" t="s">
        <v>387</v>
      </c>
      <c r="E4532" s="62" t="s">
        <v>72</v>
      </c>
      <c r="F4532" s="62" t="s">
        <v>382</v>
      </c>
      <c r="G4532" s="63" t="s">
        <v>421</v>
      </c>
      <c r="H4532" s="64" t="n">
        <v>400000000</v>
      </c>
      <c r="I4532" s="62" t="s">
        <v>81</v>
      </c>
      <c r="J4532" s="64" t="n">
        <v>400000</v>
      </c>
      <c r="K4532" s="62" t="s">
        <v>138</v>
      </c>
      <c r="L4532" s="68" t="b">
        <f aca="false">TRUE()</f>
        <v>1</v>
      </c>
    </row>
    <row r="4533" customFormat="false" ht="15" hidden="false" customHeight="false" outlineLevel="0" collapsed="false">
      <c r="A4533" s="62" t="n">
        <v>1</v>
      </c>
      <c r="B4533" s="21" t="s">
        <v>336</v>
      </c>
      <c r="C4533" s="62" t="s">
        <v>60</v>
      </c>
      <c r="D4533" s="62" t="s">
        <v>388</v>
      </c>
      <c r="E4533" s="62" t="s">
        <v>72</v>
      </c>
      <c r="F4533" s="62" t="s">
        <v>382</v>
      </c>
      <c r="G4533" s="63" t="s">
        <v>421</v>
      </c>
      <c r="H4533" s="64" t="n">
        <v>-100000000</v>
      </c>
      <c r="I4533" s="62" t="s">
        <v>81</v>
      </c>
      <c r="J4533" s="64" t="n">
        <v>-100000</v>
      </c>
      <c r="K4533" s="62" t="s">
        <v>138</v>
      </c>
      <c r="L4533" s="68" t="b">
        <f aca="false">TRUE()</f>
        <v>1</v>
      </c>
    </row>
    <row r="4534" customFormat="false" ht="15" hidden="false" customHeight="false" outlineLevel="0" collapsed="false">
      <c r="A4534" s="62" t="n">
        <v>1</v>
      </c>
      <c r="B4534" s="21" t="s">
        <v>336</v>
      </c>
      <c r="C4534" s="62" t="s">
        <v>60</v>
      </c>
      <c r="D4534" s="62" t="s">
        <v>381</v>
      </c>
      <c r="E4534" s="62" t="s">
        <v>72</v>
      </c>
      <c r="F4534" s="62" t="s">
        <v>382</v>
      </c>
      <c r="G4534" s="63" t="s">
        <v>422</v>
      </c>
      <c r="H4534" s="64" t="n">
        <v>93135815.2886739</v>
      </c>
      <c r="I4534" s="62" t="s">
        <v>81</v>
      </c>
      <c r="J4534" s="64" t="n">
        <v>93135.8152886739</v>
      </c>
      <c r="K4534" s="62" t="s">
        <v>138</v>
      </c>
      <c r="L4534" s="68" t="b">
        <f aca="false">TRUE()</f>
        <v>1</v>
      </c>
    </row>
    <row r="4535" customFormat="false" ht="15" hidden="false" customHeight="false" outlineLevel="0" collapsed="false">
      <c r="A4535" s="62" t="n">
        <v>1</v>
      </c>
      <c r="B4535" s="21" t="s">
        <v>336</v>
      </c>
      <c r="C4535" s="62" t="s">
        <v>60</v>
      </c>
      <c r="D4535" s="62" t="s">
        <v>383</v>
      </c>
      <c r="E4535" s="62" t="s">
        <v>72</v>
      </c>
      <c r="F4535" s="62" t="s">
        <v>382</v>
      </c>
      <c r="G4535" s="63" t="s">
        <v>422</v>
      </c>
      <c r="H4535" s="64" t="n">
        <v>214853396.38764</v>
      </c>
      <c r="I4535" s="62" t="s">
        <v>81</v>
      </c>
      <c r="J4535" s="64" t="n">
        <v>214853.39638764</v>
      </c>
      <c r="K4535" s="62" t="s">
        <v>138</v>
      </c>
      <c r="L4535" s="68" t="b">
        <f aca="false">TRUE()</f>
        <v>1</v>
      </c>
    </row>
    <row r="4536" customFormat="false" ht="15" hidden="false" customHeight="false" outlineLevel="0" collapsed="false">
      <c r="A4536" s="62" t="n">
        <v>1</v>
      </c>
      <c r="B4536" s="21" t="s">
        <v>336</v>
      </c>
      <c r="C4536" s="62" t="s">
        <v>60</v>
      </c>
      <c r="D4536" s="62" t="s">
        <v>384</v>
      </c>
      <c r="E4536" s="62" t="s">
        <v>72</v>
      </c>
      <c r="F4536" s="62" t="s">
        <v>382</v>
      </c>
      <c r="G4536" s="63" t="s">
        <v>422</v>
      </c>
      <c r="H4536" s="64" t="n">
        <v>218313748.874509</v>
      </c>
      <c r="I4536" s="62" t="s">
        <v>81</v>
      </c>
      <c r="J4536" s="64" t="n">
        <v>218313.748874509</v>
      </c>
      <c r="K4536" s="62" t="s">
        <v>138</v>
      </c>
      <c r="L4536" s="68" t="b">
        <f aca="false">TRUE()</f>
        <v>1</v>
      </c>
    </row>
    <row r="4537" customFormat="false" ht="15" hidden="false" customHeight="false" outlineLevel="0" collapsed="false">
      <c r="A4537" s="62" t="n">
        <v>1</v>
      </c>
      <c r="B4537" s="21" t="s">
        <v>336</v>
      </c>
      <c r="C4537" s="62" t="s">
        <v>60</v>
      </c>
      <c r="D4537" s="62" t="s">
        <v>385</v>
      </c>
      <c r="E4537" s="62" t="s">
        <v>72</v>
      </c>
      <c r="F4537" s="62" t="s">
        <v>382</v>
      </c>
      <c r="G4537" s="63" t="s">
        <v>422</v>
      </c>
      <c r="H4537" s="64" t="n">
        <v>74623920.5534097</v>
      </c>
      <c r="I4537" s="62" t="s">
        <v>81</v>
      </c>
      <c r="J4537" s="64" t="n">
        <v>74623.9205534097</v>
      </c>
      <c r="K4537" s="62" t="s">
        <v>138</v>
      </c>
      <c r="L4537" s="68" t="b">
        <f aca="false">TRUE()</f>
        <v>1</v>
      </c>
    </row>
    <row r="4538" customFormat="false" ht="15" hidden="false" customHeight="false" outlineLevel="0" collapsed="false">
      <c r="A4538" s="62" t="n">
        <v>1</v>
      </c>
      <c r="B4538" s="21" t="s">
        <v>336</v>
      </c>
      <c r="C4538" s="62" t="s">
        <v>60</v>
      </c>
      <c r="D4538" s="62" t="s">
        <v>386</v>
      </c>
      <c r="E4538" s="62" t="s">
        <v>72</v>
      </c>
      <c r="F4538" s="62" t="s">
        <v>382</v>
      </c>
      <c r="G4538" s="63" t="s">
        <v>422</v>
      </c>
      <c r="H4538" s="64" t="n">
        <v>31718831.1715308</v>
      </c>
      <c r="I4538" s="62" t="s">
        <v>81</v>
      </c>
      <c r="J4538" s="64" t="n">
        <v>31718.8311715308</v>
      </c>
      <c r="K4538" s="62" t="s">
        <v>138</v>
      </c>
      <c r="L4538" s="68" t="b">
        <f aca="false">TRUE()</f>
        <v>1</v>
      </c>
    </row>
    <row r="4539" customFormat="false" ht="15" hidden="false" customHeight="false" outlineLevel="0" collapsed="false">
      <c r="A4539" s="62" t="n">
        <v>1</v>
      </c>
      <c r="B4539" s="21" t="s">
        <v>336</v>
      </c>
      <c r="C4539" s="62" t="s">
        <v>60</v>
      </c>
      <c r="D4539" s="62" t="s">
        <v>387</v>
      </c>
      <c r="E4539" s="62" t="s">
        <v>72</v>
      </c>
      <c r="F4539" s="62" t="s">
        <v>382</v>
      </c>
      <c r="G4539" s="63" t="s">
        <v>422</v>
      </c>
      <c r="H4539" s="64" t="n">
        <v>146196933.109998</v>
      </c>
      <c r="I4539" s="62" t="s">
        <v>81</v>
      </c>
      <c r="J4539" s="64" t="n">
        <v>146196.933109998</v>
      </c>
      <c r="K4539" s="62" t="s">
        <v>138</v>
      </c>
      <c r="L4539" s="68" t="b">
        <f aca="false">TRUE()</f>
        <v>1</v>
      </c>
    </row>
    <row r="4540" customFormat="false" ht="15" hidden="false" customHeight="false" outlineLevel="0" collapsed="false">
      <c r="A4540" s="62" t="n">
        <v>1</v>
      </c>
      <c r="B4540" s="21" t="s">
        <v>336</v>
      </c>
      <c r="C4540" s="62" t="s">
        <v>60</v>
      </c>
      <c r="D4540" s="62" t="s">
        <v>388</v>
      </c>
      <c r="E4540" s="62" t="s">
        <v>72</v>
      </c>
      <c r="F4540" s="62" t="s">
        <v>382</v>
      </c>
      <c r="G4540" s="63" t="s">
        <v>422</v>
      </c>
      <c r="H4540" s="64" t="n">
        <v>0</v>
      </c>
      <c r="I4540" s="62" t="s">
        <v>81</v>
      </c>
      <c r="J4540" s="64" t="n">
        <v>0</v>
      </c>
      <c r="K4540" s="62" t="s">
        <v>138</v>
      </c>
      <c r="L4540" s="68" t="b">
        <f aca="false">TRUE()</f>
        <v>1</v>
      </c>
    </row>
    <row r="4541" customFormat="false" ht="15" hidden="false" customHeight="false" outlineLevel="0" collapsed="false">
      <c r="A4541" s="62" t="n">
        <v>1</v>
      </c>
      <c r="B4541" s="21" t="s">
        <v>336</v>
      </c>
      <c r="C4541" s="62" t="s">
        <v>60</v>
      </c>
      <c r="D4541" s="62" t="s">
        <v>381</v>
      </c>
      <c r="E4541" s="62" t="s">
        <v>72</v>
      </c>
      <c r="F4541" s="62" t="s">
        <v>382</v>
      </c>
      <c r="G4541" s="63" t="s">
        <v>423</v>
      </c>
      <c r="H4541" s="64" t="n">
        <v>-6864184.71132615</v>
      </c>
      <c r="I4541" s="62" t="s">
        <v>81</v>
      </c>
      <c r="J4541" s="64" t="n">
        <v>-6864.18471132615</v>
      </c>
      <c r="K4541" s="62" t="s">
        <v>138</v>
      </c>
      <c r="L4541" s="68" t="b">
        <f aca="false">TRUE()</f>
        <v>1</v>
      </c>
    </row>
    <row r="4542" customFormat="false" ht="15" hidden="false" customHeight="false" outlineLevel="0" collapsed="false">
      <c r="A4542" s="62" t="n">
        <v>1</v>
      </c>
      <c r="B4542" s="21" t="s">
        <v>336</v>
      </c>
      <c r="C4542" s="62" t="s">
        <v>60</v>
      </c>
      <c r="D4542" s="62" t="s">
        <v>383</v>
      </c>
      <c r="E4542" s="62" t="s">
        <v>72</v>
      </c>
      <c r="F4542" s="62" t="s">
        <v>382</v>
      </c>
      <c r="G4542" s="63" t="s">
        <v>423</v>
      </c>
      <c r="H4542" s="64" t="n">
        <v>-6465146603.61236</v>
      </c>
      <c r="I4542" s="62" t="s">
        <v>81</v>
      </c>
      <c r="J4542" s="64" t="n">
        <v>-6465146.60361236</v>
      </c>
      <c r="K4542" s="62" t="s">
        <v>138</v>
      </c>
      <c r="L4542" s="68" t="b">
        <f aca="false">TRUE()</f>
        <v>1</v>
      </c>
    </row>
    <row r="4543" customFormat="false" ht="15" hidden="false" customHeight="false" outlineLevel="0" collapsed="false">
      <c r="A4543" s="62" t="n">
        <v>1</v>
      </c>
      <c r="B4543" s="21" t="s">
        <v>336</v>
      </c>
      <c r="C4543" s="62" t="s">
        <v>60</v>
      </c>
      <c r="D4543" s="62" t="s">
        <v>384</v>
      </c>
      <c r="E4543" s="62" t="s">
        <v>72</v>
      </c>
      <c r="F4543" s="62" t="s">
        <v>382</v>
      </c>
      <c r="G4543" s="63" t="s">
        <v>423</v>
      </c>
      <c r="H4543" s="64" t="n">
        <v>-1981686251.12549</v>
      </c>
      <c r="I4543" s="62" t="s">
        <v>81</v>
      </c>
      <c r="J4543" s="64" t="n">
        <v>-1981686.25112549</v>
      </c>
      <c r="K4543" s="62" t="s">
        <v>138</v>
      </c>
      <c r="L4543" s="68" t="b">
        <f aca="false">TRUE()</f>
        <v>1</v>
      </c>
    </row>
    <row r="4544" customFormat="false" ht="15" hidden="false" customHeight="false" outlineLevel="0" collapsed="false">
      <c r="A4544" s="62" t="n">
        <v>1</v>
      </c>
      <c r="B4544" s="21" t="s">
        <v>336</v>
      </c>
      <c r="C4544" s="62" t="s">
        <v>60</v>
      </c>
      <c r="D4544" s="62" t="s">
        <v>385</v>
      </c>
      <c r="E4544" s="62" t="s">
        <v>72</v>
      </c>
      <c r="F4544" s="62" t="s">
        <v>382</v>
      </c>
      <c r="G4544" s="63" t="s">
        <v>423</v>
      </c>
      <c r="H4544" s="64" t="n">
        <v>-25376079.4465903</v>
      </c>
      <c r="I4544" s="62" t="s">
        <v>81</v>
      </c>
      <c r="J4544" s="64" t="n">
        <v>-25376.0794465903</v>
      </c>
      <c r="K4544" s="62" t="s">
        <v>138</v>
      </c>
      <c r="L4544" s="68" t="b">
        <f aca="false">TRUE()</f>
        <v>1</v>
      </c>
    </row>
    <row r="4545" customFormat="false" ht="15" hidden="false" customHeight="false" outlineLevel="0" collapsed="false">
      <c r="A4545" s="62" t="n">
        <v>1</v>
      </c>
      <c r="B4545" s="21" t="s">
        <v>336</v>
      </c>
      <c r="C4545" s="62" t="s">
        <v>60</v>
      </c>
      <c r="D4545" s="62" t="s">
        <v>386</v>
      </c>
      <c r="E4545" s="62" t="s">
        <v>72</v>
      </c>
      <c r="F4545" s="62" t="s">
        <v>382</v>
      </c>
      <c r="G4545" s="63" t="s">
        <v>423</v>
      </c>
      <c r="H4545" s="64" t="n">
        <v>-1604381032.50551</v>
      </c>
      <c r="I4545" s="62" t="s">
        <v>81</v>
      </c>
      <c r="J4545" s="64" t="n">
        <v>-1604381.03250551</v>
      </c>
      <c r="K4545" s="62" t="s">
        <v>138</v>
      </c>
      <c r="L4545" s="68" t="b">
        <f aca="false">TRUE()</f>
        <v>1</v>
      </c>
    </row>
    <row r="4546" customFormat="false" ht="15" hidden="false" customHeight="false" outlineLevel="0" collapsed="false">
      <c r="A4546" s="62" t="n">
        <v>1</v>
      </c>
      <c r="B4546" s="21" t="s">
        <v>336</v>
      </c>
      <c r="C4546" s="62" t="s">
        <v>60</v>
      </c>
      <c r="D4546" s="62" t="s">
        <v>387</v>
      </c>
      <c r="E4546" s="62" t="s">
        <v>72</v>
      </c>
      <c r="F4546" s="62" t="s">
        <v>382</v>
      </c>
      <c r="G4546" s="63" t="s">
        <v>423</v>
      </c>
      <c r="H4546" s="64" t="n">
        <v>546196933.109998</v>
      </c>
      <c r="I4546" s="62" t="s">
        <v>81</v>
      </c>
      <c r="J4546" s="64" t="n">
        <v>546196.933109998</v>
      </c>
      <c r="K4546" s="62" t="s">
        <v>138</v>
      </c>
      <c r="L4546" s="68" t="b">
        <f aca="false">TRUE()</f>
        <v>1</v>
      </c>
    </row>
    <row r="4547" customFormat="false" ht="15" hidden="false" customHeight="false" outlineLevel="0" collapsed="false">
      <c r="A4547" s="62" t="n">
        <v>1</v>
      </c>
      <c r="B4547" s="21" t="s">
        <v>336</v>
      </c>
      <c r="C4547" s="62" t="s">
        <v>60</v>
      </c>
      <c r="D4547" s="62" t="s">
        <v>388</v>
      </c>
      <c r="E4547" s="62" t="s">
        <v>72</v>
      </c>
      <c r="F4547" s="62" t="s">
        <v>382</v>
      </c>
      <c r="G4547" s="63" t="s">
        <v>423</v>
      </c>
      <c r="H4547" s="64" t="n">
        <v>-100000000</v>
      </c>
      <c r="I4547" s="62" t="s">
        <v>81</v>
      </c>
      <c r="J4547" s="64" t="n">
        <v>-100000</v>
      </c>
      <c r="K4547" s="62" t="s">
        <v>138</v>
      </c>
      <c r="L4547" s="68" t="b">
        <f aca="false">TRUE()</f>
        <v>1</v>
      </c>
    </row>
    <row r="4548" customFormat="false" ht="15" hidden="false" customHeight="false" outlineLevel="0" collapsed="false">
      <c r="A4548" s="62" t="n">
        <v>1</v>
      </c>
      <c r="B4548" s="21" t="s">
        <v>336</v>
      </c>
      <c r="C4548" s="62" t="s">
        <v>60</v>
      </c>
      <c r="D4548" s="62" t="s">
        <v>381</v>
      </c>
      <c r="E4548" s="62" t="s">
        <v>72</v>
      </c>
      <c r="F4548" s="62" t="s">
        <v>382</v>
      </c>
      <c r="G4548" s="63" t="s">
        <v>399</v>
      </c>
      <c r="H4548" s="64" t="n">
        <v>2232077222.23929</v>
      </c>
      <c r="I4548" s="62" t="s">
        <v>81</v>
      </c>
      <c r="J4548" s="64" t="n">
        <v>2232077.22223929</v>
      </c>
      <c r="K4548" s="62" t="s">
        <v>138</v>
      </c>
      <c r="L4548" s="68" t="b">
        <f aca="false">TRUE()</f>
        <v>1</v>
      </c>
    </row>
    <row r="4549" customFormat="false" ht="15" hidden="false" customHeight="false" outlineLevel="0" collapsed="false">
      <c r="A4549" s="62" t="n">
        <v>1</v>
      </c>
      <c r="B4549" s="21" t="s">
        <v>336</v>
      </c>
      <c r="C4549" s="62" t="s">
        <v>60</v>
      </c>
      <c r="D4549" s="62" t="s">
        <v>383</v>
      </c>
      <c r="E4549" s="62" t="s">
        <v>72</v>
      </c>
      <c r="F4549" s="62" t="s">
        <v>382</v>
      </c>
      <c r="G4549" s="63" t="s">
        <v>399</v>
      </c>
      <c r="H4549" s="64" t="n">
        <v>5326968945.58665</v>
      </c>
      <c r="I4549" s="62" t="s">
        <v>81</v>
      </c>
      <c r="J4549" s="64" t="n">
        <v>5326968.94558665</v>
      </c>
      <c r="K4549" s="62" t="s">
        <v>138</v>
      </c>
      <c r="L4549" s="68" t="b">
        <f aca="false">TRUE()</f>
        <v>1</v>
      </c>
    </row>
    <row r="4550" customFormat="false" ht="15" hidden="false" customHeight="false" outlineLevel="0" collapsed="false">
      <c r="A4550" s="62" t="n">
        <v>1</v>
      </c>
      <c r="B4550" s="21" t="s">
        <v>336</v>
      </c>
      <c r="C4550" s="62" t="s">
        <v>60</v>
      </c>
      <c r="D4550" s="62" t="s">
        <v>384</v>
      </c>
      <c r="E4550" s="62" t="s">
        <v>72</v>
      </c>
      <c r="F4550" s="62" t="s">
        <v>382</v>
      </c>
      <c r="G4550" s="63" t="s">
        <v>399</v>
      </c>
      <c r="H4550" s="64" t="n">
        <v>6078746632.56423</v>
      </c>
      <c r="I4550" s="62" t="s">
        <v>81</v>
      </c>
      <c r="J4550" s="64" t="n">
        <v>6078746.63256423</v>
      </c>
      <c r="K4550" s="62" t="s">
        <v>138</v>
      </c>
      <c r="L4550" s="68" t="b">
        <f aca="false">TRUE()</f>
        <v>1</v>
      </c>
    </row>
    <row r="4551" customFormat="false" ht="15" hidden="false" customHeight="false" outlineLevel="0" collapsed="false">
      <c r="A4551" s="62" t="n">
        <v>1</v>
      </c>
      <c r="B4551" s="21" t="s">
        <v>336</v>
      </c>
      <c r="C4551" s="62" t="s">
        <v>60</v>
      </c>
      <c r="D4551" s="62" t="s">
        <v>385</v>
      </c>
      <c r="E4551" s="62" t="s">
        <v>72</v>
      </c>
      <c r="F4551" s="62" t="s">
        <v>382</v>
      </c>
      <c r="G4551" s="63" t="s">
        <v>399</v>
      </c>
      <c r="H4551" s="64" t="n">
        <v>3910268615.76856</v>
      </c>
      <c r="I4551" s="62" t="s">
        <v>81</v>
      </c>
      <c r="J4551" s="64" t="n">
        <v>3910268.61576856</v>
      </c>
      <c r="K4551" s="62" t="s">
        <v>138</v>
      </c>
      <c r="L4551" s="68" t="b">
        <f aca="false">TRUE()</f>
        <v>1</v>
      </c>
    </row>
    <row r="4552" customFormat="false" ht="15" hidden="false" customHeight="false" outlineLevel="0" collapsed="false">
      <c r="A4552" s="62" t="n">
        <v>1</v>
      </c>
      <c r="B4552" s="21" t="s">
        <v>336</v>
      </c>
      <c r="C4552" s="62" t="s">
        <v>60</v>
      </c>
      <c r="D4552" s="62" t="s">
        <v>386</v>
      </c>
      <c r="E4552" s="62" t="s">
        <v>72</v>
      </c>
      <c r="F4552" s="62" t="s">
        <v>382</v>
      </c>
      <c r="G4552" s="63" t="s">
        <v>399</v>
      </c>
      <c r="H4552" s="64" t="n">
        <v>218206770.469722</v>
      </c>
      <c r="I4552" s="62" t="s">
        <v>81</v>
      </c>
      <c r="J4552" s="64" t="n">
        <v>218206.770469722</v>
      </c>
      <c r="K4552" s="62" t="s">
        <v>138</v>
      </c>
      <c r="L4552" s="68" t="b">
        <f aca="false">TRUE()</f>
        <v>1</v>
      </c>
    </row>
    <row r="4553" customFormat="false" ht="15" hidden="false" customHeight="false" outlineLevel="0" collapsed="false">
      <c r="A4553" s="62" t="n">
        <v>1</v>
      </c>
      <c r="B4553" s="21" t="s">
        <v>336</v>
      </c>
      <c r="C4553" s="62" t="s">
        <v>60</v>
      </c>
      <c r="D4553" s="62" t="s">
        <v>387</v>
      </c>
      <c r="E4553" s="62" t="s">
        <v>72</v>
      </c>
      <c r="F4553" s="62" t="s">
        <v>382</v>
      </c>
      <c r="G4553" s="63" t="s">
        <v>399</v>
      </c>
      <c r="H4553" s="64" t="n">
        <v>2659921747.05164</v>
      </c>
      <c r="I4553" s="62" t="s">
        <v>81</v>
      </c>
      <c r="J4553" s="64" t="n">
        <v>2659921.74705164</v>
      </c>
      <c r="K4553" s="62" t="s">
        <v>138</v>
      </c>
      <c r="L4553" s="68" t="b">
        <f aca="false">TRUE()</f>
        <v>1</v>
      </c>
    </row>
    <row r="4554" customFormat="false" ht="15" hidden="false" customHeight="false" outlineLevel="0" collapsed="false">
      <c r="A4554" s="62" t="n">
        <v>1</v>
      </c>
      <c r="B4554" s="21" t="s">
        <v>336</v>
      </c>
      <c r="C4554" s="62" t="s">
        <v>60</v>
      </c>
      <c r="D4554" s="62" t="s">
        <v>388</v>
      </c>
      <c r="E4554" s="62" t="s">
        <v>72</v>
      </c>
      <c r="F4554" s="62" t="s">
        <v>382</v>
      </c>
      <c r="G4554" s="63" t="s">
        <v>399</v>
      </c>
      <c r="H4554" s="64" t="n">
        <v>1031957820.35749</v>
      </c>
      <c r="I4554" s="62" t="s">
        <v>81</v>
      </c>
      <c r="J4554" s="64" t="n">
        <v>1031957.82035749</v>
      </c>
      <c r="K4554" s="62" t="s">
        <v>138</v>
      </c>
      <c r="L4554" s="68" t="b">
        <f aca="false">TRUE()</f>
        <v>1</v>
      </c>
    </row>
    <row r="4555" customFormat="false" ht="15" hidden="false" customHeight="false" outlineLevel="0" collapsed="false">
      <c r="A4555" s="62" t="n">
        <v>1</v>
      </c>
      <c r="B4555" s="21" t="s">
        <v>336</v>
      </c>
      <c r="C4555" s="62" t="s">
        <v>60</v>
      </c>
      <c r="D4555" s="62" t="s">
        <v>381</v>
      </c>
      <c r="E4555" s="62" t="s">
        <v>72</v>
      </c>
      <c r="F4555" s="62" t="s">
        <v>382</v>
      </c>
      <c r="G4555" s="63" t="s">
        <v>443</v>
      </c>
      <c r="H4555" s="64" t="n">
        <v>1174541652.31553</v>
      </c>
      <c r="I4555" s="62" t="s">
        <v>81</v>
      </c>
      <c r="J4555" s="64" t="n">
        <v>1174541.65231553</v>
      </c>
      <c r="K4555" s="62" t="s">
        <v>138</v>
      </c>
      <c r="L4555" s="68" t="b">
        <f aca="false">TRUE()</f>
        <v>1</v>
      </c>
    </row>
    <row r="4556" customFormat="false" ht="15" hidden="false" customHeight="false" outlineLevel="0" collapsed="false">
      <c r="A4556" s="62" t="n">
        <v>1</v>
      </c>
      <c r="B4556" s="21" t="s">
        <v>336</v>
      </c>
      <c r="C4556" s="62" t="s">
        <v>60</v>
      </c>
      <c r="D4556" s="62" t="s">
        <v>383</v>
      </c>
      <c r="E4556" s="62" t="s">
        <v>72</v>
      </c>
      <c r="F4556" s="62" t="s">
        <v>382</v>
      </c>
      <c r="G4556" s="63" t="s">
        <v>443</v>
      </c>
      <c r="H4556" s="64" t="n">
        <v>13843389329.0605</v>
      </c>
      <c r="I4556" s="62" t="s">
        <v>81</v>
      </c>
      <c r="J4556" s="64" t="n">
        <v>13843389.3290605</v>
      </c>
      <c r="K4556" s="62" t="s">
        <v>138</v>
      </c>
      <c r="L4556" s="68" t="b">
        <f aca="false">TRUE()</f>
        <v>1</v>
      </c>
    </row>
    <row r="4557" customFormat="false" ht="15" hidden="false" customHeight="false" outlineLevel="0" collapsed="false">
      <c r="A4557" s="62" t="n">
        <v>1</v>
      </c>
      <c r="B4557" s="21" t="s">
        <v>336</v>
      </c>
      <c r="C4557" s="62" t="s">
        <v>60</v>
      </c>
      <c r="D4557" s="62" t="s">
        <v>384</v>
      </c>
      <c r="E4557" s="62" t="s">
        <v>72</v>
      </c>
      <c r="F4557" s="62" t="s">
        <v>382</v>
      </c>
      <c r="G4557" s="63" t="s">
        <v>443</v>
      </c>
      <c r="H4557" s="64" t="n">
        <v>8985592698.74743</v>
      </c>
      <c r="I4557" s="62" t="s">
        <v>81</v>
      </c>
      <c r="J4557" s="64" t="n">
        <v>8985592.69874743</v>
      </c>
      <c r="K4557" s="62" t="s">
        <v>138</v>
      </c>
      <c r="L4557" s="68" t="b">
        <f aca="false">TRUE()</f>
        <v>1</v>
      </c>
    </row>
    <row r="4558" customFormat="false" ht="15" hidden="false" customHeight="false" outlineLevel="0" collapsed="false">
      <c r="A4558" s="62" t="n">
        <v>1</v>
      </c>
      <c r="B4558" s="21" t="s">
        <v>336</v>
      </c>
      <c r="C4558" s="62" t="s">
        <v>60</v>
      </c>
      <c r="D4558" s="62" t="s">
        <v>385</v>
      </c>
      <c r="E4558" s="62" t="s">
        <v>72</v>
      </c>
      <c r="F4558" s="62" t="s">
        <v>382</v>
      </c>
      <c r="G4558" s="63" t="s">
        <v>443</v>
      </c>
      <c r="H4558" s="64" t="n">
        <v>2907199037.80305</v>
      </c>
      <c r="I4558" s="62" t="s">
        <v>81</v>
      </c>
      <c r="J4558" s="64" t="n">
        <v>2907199.03780305</v>
      </c>
      <c r="K4558" s="62" t="s">
        <v>138</v>
      </c>
      <c r="L4558" s="68" t="b">
        <f aca="false">TRUE()</f>
        <v>1</v>
      </c>
    </row>
    <row r="4559" customFormat="false" ht="15" hidden="false" customHeight="false" outlineLevel="0" collapsed="false">
      <c r="A4559" s="62" t="n">
        <v>1</v>
      </c>
      <c r="B4559" s="21" t="s">
        <v>336</v>
      </c>
      <c r="C4559" s="62" t="s">
        <v>60</v>
      </c>
      <c r="D4559" s="62" t="s">
        <v>386</v>
      </c>
      <c r="E4559" s="62" t="s">
        <v>72</v>
      </c>
      <c r="F4559" s="62" t="s">
        <v>382</v>
      </c>
      <c r="G4559" s="63" t="s">
        <v>443</v>
      </c>
      <c r="H4559" s="64" t="n">
        <v>1503068607.60445</v>
      </c>
      <c r="I4559" s="62" t="s">
        <v>81</v>
      </c>
      <c r="J4559" s="64" t="n">
        <v>1503068.60760445</v>
      </c>
      <c r="K4559" s="62" t="s">
        <v>138</v>
      </c>
      <c r="L4559" s="68" t="b">
        <f aca="false">TRUE()</f>
        <v>1</v>
      </c>
    </row>
    <row r="4560" customFormat="false" ht="15" hidden="false" customHeight="false" outlineLevel="0" collapsed="false">
      <c r="A4560" s="62" t="n">
        <v>1</v>
      </c>
      <c r="B4560" s="21" t="s">
        <v>336</v>
      </c>
      <c r="C4560" s="62" t="s">
        <v>60</v>
      </c>
      <c r="D4560" s="62" t="s">
        <v>387</v>
      </c>
      <c r="E4560" s="62" t="s">
        <v>72</v>
      </c>
      <c r="F4560" s="62" t="s">
        <v>382</v>
      </c>
      <c r="G4560" s="63" t="s">
        <v>443</v>
      </c>
      <c r="H4560" s="64" t="n">
        <v>706367257.140882</v>
      </c>
      <c r="I4560" s="62" t="s">
        <v>81</v>
      </c>
      <c r="J4560" s="64" t="n">
        <v>706367.257140882</v>
      </c>
      <c r="K4560" s="62" t="s">
        <v>138</v>
      </c>
      <c r="L4560" s="68" t="b">
        <f aca="false">TRUE()</f>
        <v>1</v>
      </c>
    </row>
    <row r="4561" customFormat="false" ht="15" hidden="false" customHeight="false" outlineLevel="0" collapsed="false">
      <c r="A4561" s="62" t="n">
        <v>1</v>
      </c>
      <c r="B4561" s="21" t="s">
        <v>336</v>
      </c>
      <c r="C4561" s="62" t="s">
        <v>60</v>
      </c>
      <c r="D4561" s="62" t="s">
        <v>388</v>
      </c>
      <c r="E4561" s="62" t="s">
        <v>72</v>
      </c>
      <c r="F4561" s="62" t="s">
        <v>382</v>
      </c>
      <c r="G4561" s="63" t="s">
        <v>443</v>
      </c>
      <c r="H4561" s="64" t="n">
        <v>-590066000</v>
      </c>
      <c r="I4561" s="62" t="s">
        <v>81</v>
      </c>
      <c r="J4561" s="64" t="n">
        <v>-590066</v>
      </c>
      <c r="K4561" s="62" t="s">
        <v>138</v>
      </c>
      <c r="L4561" s="68" t="b">
        <f aca="false">TRUE()</f>
        <v>1</v>
      </c>
    </row>
    <row r="4562" customFormat="false" ht="15" hidden="false" customHeight="false" outlineLevel="0" collapsed="false">
      <c r="A4562" s="62" t="n">
        <v>1</v>
      </c>
      <c r="B4562" s="21" t="s">
        <v>336</v>
      </c>
      <c r="C4562" s="62" t="s">
        <v>60</v>
      </c>
      <c r="D4562" s="62" t="s">
        <v>381</v>
      </c>
      <c r="E4562" s="62" t="s">
        <v>72</v>
      </c>
      <c r="F4562" s="62" t="s">
        <v>382</v>
      </c>
      <c r="G4562" s="63" t="s">
        <v>444</v>
      </c>
      <c r="H4562" s="64" t="n">
        <v>133616664.046421</v>
      </c>
      <c r="I4562" s="62" t="s">
        <v>81</v>
      </c>
      <c r="J4562" s="64" t="n">
        <v>133616.664046421</v>
      </c>
      <c r="K4562" s="62" t="s">
        <v>138</v>
      </c>
      <c r="L4562" s="68" t="b">
        <f aca="false">TRUE()</f>
        <v>1</v>
      </c>
    </row>
    <row r="4563" customFormat="false" ht="15" hidden="false" customHeight="false" outlineLevel="0" collapsed="false">
      <c r="A4563" s="62" t="n">
        <v>1</v>
      </c>
      <c r="B4563" s="21" t="s">
        <v>336</v>
      </c>
      <c r="C4563" s="62" t="s">
        <v>60</v>
      </c>
      <c r="D4563" s="62" t="s">
        <v>383</v>
      </c>
      <c r="E4563" s="62" t="s">
        <v>72</v>
      </c>
      <c r="F4563" s="62" t="s">
        <v>382</v>
      </c>
      <c r="G4563" s="63" t="s">
        <v>444</v>
      </c>
      <c r="H4563" s="64" t="n">
        <v>-749817662.285614</v>
      </c>
      <c r="I4563" s="62" t="s">
        <v>81</v>
      </c>
      <c r="J4563" s="64" t="n">
        <v>-749817.662285614</v>
      </c>
      <c r="K4563" s="62" t="s">
        <v>138</v>
      </c>
      <c r="L4563" s="68" t="b">
        <f aca="false">TRUE()</f>
        <v>1</v>
      </c>
    </row>
    <row r="4564" customFormat="false" ht="15" hidden="false" customHeight="false" outlineLevel="0" collapsed="false">
      <c r="A4564" s="62" t="n">
        <v>1</v>
      </c>
      <c r="B4564" s="21" t="s">
        <v>336</v>
      </c>
      <c r="C4564" s="62" t="s">
        <v>60</v>
      </c>
      <c r="D4564" s="62" t="s">
        <v>384</v>
      </c>
      <c r="E4564" s="62" t="s">
        <v>72</v>
      </c>
      <c r="F4564" s="62" t="s">
        <v>382</v>
      </c>
      <c r="G4564" s="63" t="s">
        <v>444</v>
      </c>
      <c r="H4564" s="64" t="n">
        <v>-300404838.878924</v>
      </c>
      <c r="I4564" s="62" t="s">
        <v>81</v>
      </c>
      <c r="J4564" s="64" t="n">
        <v>-300404.838878924</v>
      </c>
      <c r="K4564" s="62" t="s">
        <v>138</v>
      </c>
      <c r="L4564" s="68" t="b">
        <f aca="false">TRUE()</f>
        <v>1</v>
      </c>
    </row>
    <row r="4565" customFormat="false" ht="15" hidden="false" customHeight="false" outlineLevel="0" collapsed="false">
      <c r="A4565" s="62" t="n">
        <v>1</v>
      </c>
      <c r="B4565" s="21" t="s">
        <v>336</v>
      </c>
      <c r="C4565" s="62" t="s">
        <v>60</v>
      </c>
      <c r="D4565" s="62" t="s">
        <v>385</v>
      </c>
      <c r="E4565" s="62" t="s">
        <v>72</v>
      </c>
      <c r="F4565" s="62" t="s">
        <v>382</v>
      </c>
      <c r="G4565" s="63" t="s">
        <v>444</v>
      </c>
      <c r="H4565" s="64" t="n">
        <v>172113518.773683</v>
      </c>
      <c r="I4565" s="62" t="s">
        <v>81</v>
      </c>
      <c r="J4565" s="64" t="n">
        <v>172113.518773683</v>
      </c>
      <c r="K4565" s="62" t="s">
        <v>138</v>
      </c>
      <c r="L4565" s="68" t="b">
        <f aca="false">TRUE()</f>
        <v>1</v>
      </c>
    </row>
    <row r="4566" customFormat="false" ht="15" hidden="false" customHeight="false" outlineLevel="0" collapsed="false">
      <c r="A4566" s="62" t="n">
        <v>1</v>
      </c>
      <c r="B4566" s="21" t="s">
        <v>336</v>
      </c>
      <c r="C4566" s="62" t="s">
        <v>60</v>
      </c>
      <c r="D4566" s="62" t="s">
        <v>386</v>
      </c>
      <c r="E4566" s="62" t="s">
        <v>72</v>
      </c>
      <c r="F4566" s="62" t="s">
        <v>382</v>
      </c>
      <c r="G4566" s="63" t="s">
        <v>444</v>
      </c>
      <c r="H4566" s="64" t="n">
        <v>440757229.530278</v>
      </c>
      <c r="I4566" s="62" t="s">
        <v>81</v>
      </c>
      <c r="J4566" s="64" t="n">
        <v>440757.229530278</v>
      </c>
      <c r="K4566" s="62" t="s">
        <v>138</v>
      </c>
      <c r="L4566" s="68" t="b">
        <f aca="false">TRUE()</f>
        <v>1</v>
      </c>
    </row>
    <row r="4567" customFormat="false" ht="15" hidden="false" customHeight="false" outlineLevel="0" collapsed="false">
      <c r="A4567" s="62" t="n">
        <v>1</v>
      </c>
      <c r="B4567" s="21" t="s">
        <v>336</v>
      </c>
      <c r="C4567" s="62" t="s">
        <v>60</v>
      </c>
      <c r="D4567" s="62" t="s">
        <v>387</v>
      </c>
      <c r="E4567" s="62" t="s">
        <v>72</v>
      </c>
      <c r="F4567" s="62" t="s">
        <v>382</v>
      </c>
      <c r="G4567" s="63" t="s">
        <v>444</v>
      </c>
      <c r="H4567" s="64" t="n">
        <v>-108488503.695798</v>
      </c>
      <c r="I4567" s="62" t="s">
        <v>81</v>
      </c>
      <c r="J4567" s="64" t="n">
        <v>-108488.503695798</v>
      </c>
      <c r="K4567" s="62" t="s">
        <v>138</v>
      </c>
      <c r="L4567" s="68" t="b">
        <f aca="false">TRUE()</f>
        <v>1</v>
      </c>
    </row>
    <row r="4568" customFormat="false" ht="15" hidden="false" customHeight="false" outlineLevel="0" collapsed="false">
      <c r="A4568" s="62" t="n">
        <v>1</v>
      </c>
      <c r="B4568" s="21" t="s">
        <v>336</v>
      </c>
      <c r="C4568" s="62" t="s">
        <v>60</v>
      </c>
      <c r="D4568" s="62" t="s">
        <v>388</v>
      </c>
      <c r="E4568" s="62" t="s">
        <v>72</v>
      </c>
      <c r="F4568" s="62" t="s">
        <v>382</v>
      </c>
      <c r="G4568" s="63" t="s">
        <v>444</v>
      </c>
      <c r="H4568" s="64" t="n">
        <v>656964000</v>
      </c>
      <c r="I4568" s="62" t="s">
        <v>81</v>
      </c>
      <c r="J4568" s="64" t="n">
        <v>656964</v>
      </c>
      <c r="K4568" s="62" t="s">
        <v>138</v>
      </c>
      <c r="L4568" s="68" t="b">
        <f aca="false">TRUE()</f>
        <v>1</v>
      </c>
    </row>
    <row r="4569" customFormat="false" ht="15" hidden="false" customHeight="false" outlineLevel="0" collapsed="false">
      <c r="A4569" s="62" t="n">
        <v>1</v>
      </c>
      <c r="B4569" s="21" t="s">
        <v>336</v>
      </c>
      <c r="C4569" s="62" t="s">
        <v>60</v>
      </c>
      <c r="D4569" s="62" t="s">
        <v>381</v>
      </c>
      <c r="E4569" s="62" t="s">
        <v>72</v>
      </c>
      <c r="F4569" s="62" t="s">
        <v>382</v>
      </c>
      <c r="G4569" s="63" t="s">
        <v>446</v>
      </c>
      <c r="H4569" s="64" t="n">
        <v>-12869511.8084805</v>
      </c>
      <c r="I4569" s="62" t="s">
        <v>81</v>
      </c>
      <c r="J4569" s="64" t="n">
        <v>-12869.5118084805</v>
      </c>
      <c r="K4569" s="62" t="s">
        <v>138</v>
      </c>
      <c r="L4569" s="68" t="b">
        <f aca="false">TRUE()</f>
        <v>1</v>
      </c>
    </row>
    <row r="4570" customFormat="false" ht="15" hidden="false" customHeight="false" outlineLevel="0" collapsed="false">
      <c r="A4570" s="62" t="n">
        <v>1</v>
      </c>
      <c r="B4570" s="21" t="s">
        <v>336</v>
      </c>
      <c r="C4570" s="62" t="s">
        <v>60</v>
      </c>
      <c r="D4570" s="62" t="s">
        <v>383</v>
      </c>
      <c r="E4570" s="62" t="s">
        <v>72</v>
      </c>
      <c r="F4570" s="62" t="s">
        <v>382</v>
      </c>
      <c r="G4570" s="63" t="s">
        <v>446</v>
      </c>
      <c r="H4570" s="64" t="n">
        <v>108848069.290486</v>
      </c>
      <c r="I4570" s="62" t="s">
        <v>81</v>
      </c>
      <c r="J4570" s="64" t="n">
        <v>108848.069290486</v>
      </c>
      <c r="K4570" s="62" t="s">
        <v>138</v>
      </c>
      <c r="L4570" s="68" t="b">
        <f aca="false">TRUE()</f>
        <v>1</v>
      </c>
    </row>
    <row r="4571" customFormat="false" ht="15" hidden="false" customHeight="false" outlineLevel="0" collapsed="false">
      <c r="A4571" s="62" t="n">
        <v>1</v>
      </c>
      <c r="B4571" s="21" t="s">
        <v>336</v>
      </c>
      <c r="C4571" s="62" t="s">
        <v>60</v>
      </c>
      <c r="D4571" s="62" t="s">
        <v>384</v>
      </c>
      <c r="E4571" s="62" t="s">
        <v>72</v>
      </c>
      <c r="F4571" s="62" t="s">
        <v>382</v>
      </c>
      <c r="G4571" s="63" t="s">
        <v>446</v>
      </c>
      <c r="H4571" s="64" t="n">
        <v>112308421.777355</v>
      </c>
      <c r="I4571" s="62" t="s">
        <v>81</v>
      </c>
      <c r="J4571" s="64" t="n">
        <v>112308.421777355</v>
      </c>
      <c r="K4571" s="62" t="s">
        <v>138</v>
      </c>
      <c r="L4571" s="68" t="b">
        <f aca="false">TRUE()</f>
        <v>1</v>
      </c>
    </row>
    <row r="4572" customFormat="false" ht="15" hidden="false" customHeight="false" outlineLevel="0" collapsed="false">
      <c r="A4572" s="62" t="n">
        <v>1</v>
      </c>
      <c r="B4572" s="21" t="s">
        <v>336</v>
      </c>
      <c r="C4572" s="62" t="s">
        <v>60</v>
      </c>
      <c r="D4572" s="62" t="s">
        <v>385</v>
      </c>
      <c r="E4572" s="62" t="s">
        <v>72</v>
      </c>
      <c r="F4572" s="62" t="s">
        <v>382</v>
      </c>
      <c r="G4572" s="63" t="s">
        <v>446</v>
      </c>
      <c r="H4572" s="64" t="n">
        <v>-31381406.5437446</v>
      </c>
      <c r="I4572" s="62" t="s">
        <v>81</v>
      </c>
      <c r="J4572" s="64" t="n">
        <v>-31381.4065437446</v>
      </c>
      <c r="K4572" s="62" t="s">
        <v>138</v>
      </c>
      <c r="L4572" s="68" t="b">
        <f aca="false">TRUE()</f>
        <v>1</v>
      </c>
    </row>
    <row r="4573" customFormat="false" ht="15" hidden="false" customHeight="false" outlineLevel="0" collapsed="false">
      <c r="A4573" s="62" t="n">
        <v>1</v>
      </c>
      <c r="B4573" s="21" t="s">
        <v>336</v>
      </c>
      <c r="C4573" s="62" t="s">
        <v>60</v>
      </c>
      <c r="D4573" s="62" t="s">
        <v>386</v>
      </c>
      <c r="E4573" s="62" t="s">
        <v>72</v>
      </c>
      <c r="F4573" s="62" t="s">
        <v>382</v>
      </c>
      <c r="G4573" s="63" t="s">
        <v>446</v>
      </c>
      <c r="H4573" s="64" t="n">
        <v>-74286495.9256235</v>
      </c>
      <c r="I4573" s="62" t="s">
        <v>81</v>
      </c>
      <c r="J4573" s="64" t="n">
        <v>-74286.4959256235</v>
      </c>
      <c r="K4573" s="62" t="s">
        <v>138</v>
      </c>
      <c r="L4573" s="68" t="b">
        <f aca="false">TRUE()</f>
        <v>1</v>
      </c>
    </row>
    <row r="4574" customFormat="false" ht="15" hidden="false" customHeight="false" outlineLevel="0" collapsed="false">
      <c r="A4574" s="62" t="n">
        <v>1</v>
      </c>
      <c r="B4574" s="21" t="s">
        <v>336</v>
      </c>
      <c r="C4574" s="62" t="s">
        <v>60</v>
      </c>
      <c r="D4574" s="62" t="s">
        <v>387</v>
      </c>
      <c r="E4574" s="62" t="s">
        <v>72</v>
      </c>
      <c r="F4574" s="62" t="s">
        <v>382</v>
      </c>
      <c r="G4574" s="63" t="s">
        <v>446</v>
      </c>
      <c r="H4574" s="64" t="n">
        <v>40191606.0128434</v>
      </c>
      <c r="I4574" s="62" t="s">
        <v>81</v>
      </c>
      <c r="J4574" s="64" t="n">
        <v>40191.6060128434</v>
      </c>
      <c r="K4574" s="62" t="s">
        <v>138</v>
      </c>
      <c r="L4574" s="68" t="b">
        <f aca="false">TRUE()</f>
        <v>1</v>
      </c>
    </row>
    <row r="4575" customFormat="false" ht="15" hidden="false" customHeight="false" outlineLevel="0" collapsed="false">
      <c r="A4575" s="62" t="n">
        <v>1</v>
      </c>
      <c r="B4575" s="21" t="s">
        <v>336</v>
      </c>
      <c r="C4575" s="62" t="s">
        <v>60</v>
      </c>
      <c r="D4575" s="62" t="s">
        <v>388</v>
      </c>
      <c r="E4575" s="62" t="s">
        <v>72</v>
      </c>
      <c r="F4575" s="62" t="s">
        <v>382</v>
      </c>
      <c r="G4575" s="63" t="s">
        <v>446</v>
      </c>
      <c r="H4575" s="64" t="n">
        <v>-106005327.097154</v>
      </c>
      <c r="I4575" s="62" t="s">
        <v>81</v>
      </c>
      <c r="J4575" s="64" t="n">
        <v>-106005.327097154</v>
      </c>
      <c r="K4575" s="62" t="s">
        <v>138</v>
      </c>
      <c r="L4575" s="68" t="b">
        <f aca="false">TRUE()</f>
        <v>1</v>
      </c>
    </row>
    <row r="4576" customFormat="false" ht="15" hidden="false" customHeight="false" outlineLevel="0" collapsed="false">
      <c r="A4576" s="62" t="n">
        <v>1</v>
      </c>
      <c r="B4576" s="21" t="s">
        <v>336</v>
      </c>
      <c r="C4576" s="62" t="s">
        <v>60</v>
      </c>
      <c r="D4576" s="62" t="s">
        <v>381</v>
      </c>
      <c r="E4576" s="62" t="s">
        <v>72</v>
      </c>
      <c r="F4576" s="62" t="s">
        <v>382</v>
      </c>
      <c r="G4576" s="63" t="s">
        <v>447</v>
      </c>
      <c r="H4576" s="64" t="n">
        <v>43304005.8154871</v>
      </c>
      <c r="I4576" s="62" t="s">
        <v>81</v>
      </c>
      <c r="J4576" s="64" t="n">
        <v>43304.0058154871</v>
      </c>
      <c r="K4576" s="62" t="s">
        <v>138</v>
      </c>
      <c r="L4576" s="68" t="b">
        <f aca="false">TRUE()</f>
        <v>1</v>
      </c>
    </row>
    <row r="4577" customFormat="false" ht="15" hidden="false" customHeight="false" outlineLevel="0" collapsed="false">
      <c r="A4577" s="62" t="n">
        <v>1</v>
      </c>
      <c r="B4577" s="21" t="s">
        <v>336</v>
      </c>
      <c r="C4577" s="62" t="s">
        <v>60</v>
      </c>
      <c r="D4577" s="62" t="s">
        <v>383</v>
      </c>
      <c r="E4577" s="62" t="s">
        <v>72</v>
      </c>
      <c r="F4577" s="62" t="s">
        <v>382</v>
      </c>
      <c r="G4577" s="63" t="s">
        <v>447</v>
      </c>
      <c r="H4577" s="64" t="n">
        <v>76475866.7707171</v>
      </c>
      <c r="I4577" s="62" t="s">
        <v>81</v>
      </c>
      <c r="J4577" s="64" t="n">
        <v>76475.8667707171</v>
      </c>
      <c r="K4577" s="62" t="s">
        <v>138</v>
      </c>
      <c r="L4577" s="68" t="b">
        <f aca="false">TRUE()</f>
        <v>1</v>
      </c>
    </row>
    <row r="4578" customFormat="false" ht="15" hidden="false" customHeight="false" outlineLevel="0" collapsed="false">
      <c r="A4578" s="62" t="n">
        <v>1</v>
      </c>
      <c r="B4578" s="21" t="s">
        <v>336</v>
      </c>
      <c r="C4578" s="62" t="s">
        <v>60</v>
      </c>
      <c r="D4578" s="62" t="s">
        <v>384</v>
      </c>
      <c r="E4578" s="62" t="s">
        <v>72</v>
      </c>
      <c r="F4578" s="62" t="s">
        <v>382</v>
      </c>
      <c r="G4578" s="63" t="s">
        <v>447</v>
      </c>
      <c r="H4578" s="64" t="n">
        <v>94493724.4264811</v>
      </c>
      <c r="I4578" s="62" t="s">
        <v>81</v>
      </c>
      <c r="J4578" s="64" t="n">
        <v>94493.7244264811</v>
      </c>
      <c r="K4578" s="62" t="s">
        <v>138</v>
      </c>
      <c r="L4578" s="68" t="b">
        <f aca="false">TRUE()</f>
        <v>1</v>
      </c>
    </row>
    <row r="4579" customFormat="false" ht="15" hidden="false" customHeight="false" outlineLevel="0" collapsed="false">
      <c r="A4579" s="62" t="n">
        <v>1</v>
      </c>
      <c r="B4579" s="21" t="s">
        <v>336</v>
      </c>
      <c r="C4579" s="62" t="s">
        <v>60</v>
      </c>
      <c r="D4579" s="62" t="s">
        <v>385</v>
      </c>
      <c r="E4579" s="62" t="s">
        <v>72</v>
      </c>
      <c r="F4579" s="62" t="s">
        <v>382</v>
      </c>
      <c r="G4579" s="63" t="s">
        <v>447</v>
      </c>
      <c r="H4579" s="64" t="n">
        <v>69054329.5393352</v>
      </c>
      <c r="I4579" s="62" t="s">
        <v>81</v>
      </c>
      <c r="J4579" s="64" t="n">
        <v>69054.3295393352</v>
      </c>
      <c r="K4579" s="62" t="s">
        <v>138</v>
      </c>
      <c r="L4579" s="68" t="b">
        <f aca="false">TRUE()</f>
        <v>1</v>
      </c>
    </row>
    <row r="4580" customFormat="false" ht="15" hidden="false" customHeight="false" outlineLevel="0" collapsed="false">
      <c r="A4580" s="62" t="n">
        <v>1</v>
      </c>
      <c r="B4580" s="21" t="s">
        <v>336</v>
      </c>
      <c r="C4580" s="62" t="s">
        <v>60</v>
      </c>
      <c r="D4580" s="62" t="s">
        <v>386</v>
      </c>
      <c r="E4580" s="62" t="s">
        <v>72</v>
      </c>
      <c r="F4580" s="62" t="s">
        <v>382</v>
      </c>
      <c r="G4580" s="63" t="s">
        <v>447</v>
      </c>
      <c r="H4580" s="64" t="n">
        <v>-34939476.9488786</v>
      </c>
      <c r="I4580" s="62" t="s">
        <v>81</v>
      </c>
      <c r="J4580" s="64" t="n">
        <v>-34939.4769488786</v>
      </c>
      <c r="K4580" s="62" t="s">
        <v>138</v>
      </c>
      <c r="L4580" s="68" t="b">
        <f aca="false">TRUE()</f>
        <v>1</v>
      </c>
    </row>
    <row r="4581" customFormat="false" ht="15" hidden="false" customHeight="false" outlineLevel="0" collapsed="false">
      <c r="A4581" s="62" t="n">
        <v>1</v>
      </c>
      <c r="B4581" s="21" t="s">
        <v>336</v>
      </c>
      <c r="C4581" s="62" t="s">
        <v>60</v>
      </c>
      <c r="D4581" s="62" t="s">
        <v>387</v>
      </c>
      <c r="E4581" s="62" t="s">
        <v>72</v>
      </c>
      <c r="F4581" s="62" t="s">
        <v>382</v>
      </c>
      <c r="G4581" s="63" t="s">
        <v>447</v>
      </c>
      <c r="H4581" s="64" t="n">
        <v>46090096.1715392</v>
      </c>
      <c r="I4581" s="62" t="s">
        <v>81</v>
      </c>
      <c r="J4581" s="64" t="n">
        <v>46090.0961715392</v>
      </c>
      <c r="K4581" s="62" t="s">
        <v>138</v>
      </c>
      <c r="L4581" s="68" t="b">
        <f aca="false">TRUE()</f>
        <v>1</v>
      </c>
    </row>
    <row r="4582" customFormat="false" ht="15" hidden="false" customHeight="false" outlineLevel="0" collapsed="false">
      <c r="A4582" s="62" t="n">
        <v>1</v>
      </c>
      <c r="B4582" s="21" t="s">
        <v>336</v>
      </c>
      <c r="C4582" s="62" t="s">
        <v>60</v>
      </c>
      <c r="D4582" s="62" t="s">
        <v>388</v>
      </c>
      <c r="E4582" s="62" t="s">
        <v>72</v>
      </c>
      <c r="F4582" s="62" t="s">
        <v>382</v>
      </c>
      <c r="G4582" s="63" t="s">
        <v>447</v>
      </c>
      <c r="H4582" s="64" t="n">
        <v>33152424.8265638</v>
      </c>
      <c r="I4582" s="62" t="s">
        <v>81</v>
      </c>
      <c r="J4582" s="64" t="n">
        <v>33152.4248265638</v>
      </c>
      <c r="K4582" s="62" t="s">
        <v>138</v>
      </c>
      <c r="L4582" s="68" t="b">
        <f aca="false">TRUE()</f>
        <v>1</v>
      </c>
    </row>
    <row r="4583" customFormat="false" ht="15" hidden="false" customHeight="false" outlineLevel="0" collapsed="false">
      <c r="A4583" s="62" t="n">
        <v>1</v>
      </c>
      <c r="B4583" s="21" t="s">
        <v>336</v>
      </c>
      <c r="C4583" s="62" t="s">
        <v>60</v>
      </c>
      <c r="D4583" s="62" t="s">
        <v>381</v>
      </c>
      <c r="E4583" s="62" t="s">
        <v>72</v>
      </c>
      <c r="F4583" s="62" t="s">
        <v>382</v>
      </c>
      <c r="G4583" s="63" t="s">
        <v>448</v>
      </c>
      <c r="H4583" s="64" t="n">
        <v>-328818327.695375</v>
      </c>
      <c r="I4583" s="62" t="s">
        <v>81</v>
      </c>
      <c r="J4583" s="64" t="n">
        <v>-328818.327695375</v>
      </c>
      <c r="K4583" s="62" t="s">
        <v>138</v>
      </c>
      <c r="L4583" s="68" t="b">
        <f aca="false">TRUE()</f>
        <v>1</v>
      </c>
    </row>
    <row r="4584" customFormat="false" ht="15" hidden="false" customHeight="false" outlineLevel="0" collapsed="false">
      <c r="A4584" s="62" t="n">
        <v>1</v>
      </c>
      <c r="B4584" s="21" t="s">
        <v>336</v>
      </c>
      <c r="C4584" s="62" t="s">
        <v>60</v>
      </c>
      <c r="D4584" s="62" t="s">
        <v>383</v>
      </c>
      <c r="E4584" s="62" t="s">
        <v>72</v>
      </c>
      <c r="F4584" s="62" t="s">
        <v>382</v>
      </c>
      <c r="G4584" s="63" t="s">
        <v>448</v>
      </c>
      <c r="H4584" s="64" t="n">
        <v>-3758363602.87444</v>
      </c>
      <c r="I4584" s="62" t="s">
        <v>81</v>
      </c>
      <c r="J4584" s="64" t="n">
        <v>-3758363.60287444</v>
      </c>
      <c r="K4584" s="62" t="s">
        <v>138</v>
      </c>
      <c r="L4584" s="68" t="b">
        <f aca="false">TRUE()</f>
        <v>1</v>
      </c>
    </row>
    <row r="4585" customFormat="false" ht="15" hidden="false" customHeight="false" outlineLevel="0" collapsed="false">
      <c r="A4585" s="62" t="n">
        <v>1</v>
      </c>
      <c r="B4585" s="21" t="s">
        <v>336</v>
      </c>
      <c r="C4585" s="62" t="s">
        <v>60</v>
      </c>
      <c r="D4585" s="62" t="s">
        <v>384</v>
      </c>
      <c r="E4585" s="62" t="s">
        <v>72</v>
      </c>
      <c r="F4585" s="62" t="s">
        <v>382</v>
      </c>
      <c r="G4585" s="63" t="s">
        <v>448</v>
      </c>
      <c r="H4585" s="64" t="n">
        <v>-2451623334.25696</v>
      </c>
      <c r="I4585" s="62" t="s">
        <v>81</v>
      </c>
      <c r="J4585" s="64" t="n">
        <v>-2451623.33425696</v>
      </c>
      <c r="K4585" s="62" t="s">
        <v>138</v>
      </c>
      <c r="L4585" s="68" t="b">
        <f aca="false">TRUE()</f>
        <v>1</v>
      </c>
    </row>
    <row r="4586" customFormat="false" ht="15" hidden="false" customHeight="false" outlineLevel="0" collapsed="false">
      <c r="A4586" s="62" t="n">
        <v>1</v>
      </c>
      <c r="B4586" s="21" t="s">
        <v>336</v>
      </c>
      <c r="C4586" s="62" t="s">
        <v>60</v>
      </c>
      <c r="D4586" s="62" t="s">
        <v>385</v>
      </c>
      <c r="E4586" s="62" t="s">
        <v>72</v>
      </c>
      <c r="F4586" s="62" t="s">
        <v>382</v>
      </c>
      <c r="G4586" s="63" t="s">
        <v>448</v>
      </c>
      <c r="H4586" s="64" t="n">
        <v>-803588409.182443</v>
      </c>
      <c r="I4586" s="62" t="s">
        <v>81</v>
      </c>
      <c r="J4586" s="64" t="n">
        <v>-803588.409182443</v>
      </c>
      <c r="K4586" s="62" t="s">
        <v>138</v>
      </c>
      <c r="L4586" s="68" t="b">
        <f aca="false">TRUE()</f>
        <v>1</v>
      </c>
    </row>
    <row r="4587" customFormat="false" ht="15" hidden="false" customHeight="false" outlineLevel="0" collapsed="false">
      <c r="A4587" s="62" t="n">
        <v>1</v>
      </c>
      <c r="B4587" s="21" t="s">
        <v>336</v>
      </c>
      <c r="C4587" s="62" t="s">
        <v>60</v>
      </c>
      <c r="D4587" s="62" t="s">
        <v>386</v>
      </c>
      <c r="E4587" s="62" t="s">
        <v>72</v>
      </c>
      <c r="F4587" s="62" t="s">
        <v>382</v>
      </c>
      <c r="G4587" s="63" t="s">
        <v>448</v>
      </c>
      <c r="H4587" s="64" t="n">
        <v>-396394865.277004</v>
      </c>
      <c r="I4587" s="62" t="s">
        <v>81</v>
      </c>
      <c r="J4587" s="64" t="n">
        <v>-396394.865277004</v>
      </c>
      <c r="K4587" s="62" t="s">
        <v>138</v>
      </c>
      <c r="L4587" s="68" t="b">
        <f aca="false">TRUE()</f>
        <v>1</v>
      </c>
    </row>
    <row r="4588" customFormat="false" ht="15" hidden="false" customHeight="false" outlineLevel="0" collapsed="false">
      <c r="A4588" s="62" t="n">
        <v>1</v>
      </c>
      <c r="B4588" s="21" t="s">
        <v>336</v>
      </c>
      <c r="C4588" s="62" t="s">
        <v>60</v>
      </c>
      <c r="D4588" s="62" t="s">
        <v>387</v>
      </c>
      <c r="E4588" s="62" t="s">
        <v>72</v>
      </c>
      <c r="F4588" s="62" t="s">
        <v>382</v>
      </c>
      <c r="G4588" s="63" t="s">
        <v>448</v>
      </c>
      <c r="H4588" s="64" t="n">
        <v>-203163485.394354</v>
      </c>
      <c r="I4588" s="62" t="s">
        <v>81</v>
      </c>
      <c r="J4588" s="64" t="n">
        <v>-203163.485394354</v>
      </c>
      <c r="K4588" s="62" t="s">
        <v>138</v>
      </c>
      <c r="L4588" s="68" t="b">
        <f aca="false">TRUE()</f>
        <v>1</v>
      </c>
    </row>
    <row r="4589" customFormat="false" ht="15" hidden="false" customHeight="false" outlineLevel="0" collapsed="false">
      <c r="A4589" s="62" t="n">
        <v>1</v>
      </c>
      <c r="B4589" s="21" t="s">
        <v>336</v>
      </c>
      <c r="C4589" s="62" t="s">
        <v>60</v>
      </c>
      <c r="D4589" s="62" t="s">
        <v>388</v>
      </c>
      <c r="E4589" s="62" t="s">
        <v>72</v>
      </c>
      <c r="F4589" s="62" t="s">
        <v>382</v>
      </c>
      <c r="G4589" s="63" t="s">
        <v>448</v>
      </c>
      <c r="H4589" s="64" t="n">
        <v>0</v>
      </c>
      <c r="I4589" s="62" t="s">
        <v>81</v>
      </c>
      <c r="J4589" s="64" t="n">
        <v>0</v>
      </c>
      <c r="K4589" s="62" t="s">
        <v>138</v>
      </c>
      <c r="L4589" s="68" t="b">
        <f aca="false">TRUE()</f>
        <v>1</v>
      </c>
    </row>
    <row r="4590" customFormat="false" ht="15" hidden="false" customHeight="false" outlineLevel="0" collapsed="false">
      <c r="A4590" s="62" t="n">
        <v>1</v>
      </c>
      <c r="B4590" s="21" t="s">
        <v>336</v>
      </c>
      <c r="C4590" s="62" t="s">
        <v>60</v>
      </c>
      <c r="D4590" s="62" t="s">
        <v>381</v>
      </c>
      <c r="E4590" s="62" t="s">
        <v>72</v>
      </c>
      <c r="F4590" s="62" t="s">
        <v>382</v>
      </c>
      <c r="G4590" s="63" t="s">
        <v>430</v>
      </c>
      <c r="H4590" s="64" t="n">
        <v>1009774482.67358</v>
      </c>
      <c r="I4590" s="62" t="s">
        <v>81</v>
      </c>
      <c r="J4590" s="64" t="n">
        <v>1009774.48267358</v>
      </c>
      <c r="K4590" s="62" t="s">
        <v>138</v>
      </c>
      <c r="L4590" s="68" t="b">
        <f aca="false">TRUE()</f>
        <v>1</v>
      </c>
    </row>
    <row r="4591" customFormat="false" ht="15" hidden="false" customHeight="false" outlineLevel="0" collapsed="false">
      <c r="A4591" s="62" t="n">
        <v>1</v>
      </c>
      <c r="B4591" s="21" t="s">
        <v>336</v>
      </c>
      <c r="C4591" s="62" t="s">
        <v>60</v>
      </c>
      <c r="D4591" s="62" t="s">
        <v>383</v>
      </c>
      <c r="E4591" s="62" t="s">
        <v>72</v>
      </c>
      <c r="F4591" s="62" t="s">
        <v>382</v>
      </c>
      <c r="G4591" s="63" t="s">
        <v>430</v>
      </c>
      <c r="H4591" s="64" t="n">
        <v>9520531999.96169</v>
      </c>
      <c r="I4591" s="62" t="s">
        <v>81</v>
      </c>
      <c r="J4591" s="64" t="n">
        <v>9520531.99996169</v>
      </c>
      <c r="K4591" s="62" t="s">
        <v>138</v>
      </c>
      <c r="L4591" s="68" t="b">
        <f aca="false">TRUE()</f>
        <v>1</v>
      </c>
    </row>
    <row r="4592" customFormat="false" ht="15" hidden="false" customHeight="false" outlineLevel="0" collapsed="false">
      <c r="A4592" s="62" t="n">
        <v>1</v>
      </c>
      <c r="B4592" s="21" t="s">
        <v>336</v>
      </c>
      <c r="C4592" s="62" t="s">
        <v>60</v>
      </c>
      <c r="D4592" s="62" t="s">
        <v>384</v>
      </c>
      <c r="E4592" s="62" t="s">
        <v>72</v>
      </c>
      <c r="F4592" s="62" t="s">
        <v>382</v>
      </c>
      <c r="G4592" s="63" t="s">
        <v>430</v>
      </c>
      <c r="H4592" s="64" t="n">
        <v>6440366671.81539</v>
      </c>
      <c r="I4592" s="62" t="s">
        <v>81</v>
      </c>
      <c r="J4592" s="64" t="n">
        <v>6440366.67181539</v>
      </c>
      <c r="K4592" s="62" t="s">
        <v>138</v>
      </c>
      <c r="L4592" s="68" t="b">
        <f aca="false">TRUE()</f>
        <v>1</v>
      </c>
    </row>
    <row r="4593" customFormat="false" ht="15" hidden="false" customHeight="false" outlineLevel="0" collapsed="false">
      <c r="A4593" s="62" t="n">
        <v>1</v>
      </c>
      <c r="B4593" s="21" t="s">
        <v>336</v>
      </c>
      <c r="C4593" s="62" t="s">
        <v>60</v>
      </c>
      <c r="D4593" s="62" t="s">
        <v>385</v>
      </c>
      <c r="E4593" s="62" t="s">
        <v>72</v>
      </c>
      <c r="F4593" s="62" t="s">
        <v>382</v>
      </c>
      <c r="G4593" s="63" t="s">
        <v>430</v>
      </c>
      <c r="H4593" s="64" t="n">
        <v>2313397070.38988</v>
      </c>
      <c r="I4593" s="62" t="s">
        <v>81</v>
      </c>
      <c r="J4593" s="64" t="n">
        <v>2313397.07038988</v>
      </c>
      <c r="K4593" s="62" t="s">
        <v>138</v>
      </c>
      <c r="L4593" s="68" t="b">
        <f aca="false">TRUE()</f>
        <v>1</v>
      </c>
    </row>
    <row r="4594" customFormat="false" ht="15" hidden="false" customHeight="false" outlineLevel="0" collapsed="false">
      <c r="A4594" s="62" t="n">
        <v>1</v>
      </c>
      <c r="B4594" s="21" t="s">
        <v>336</v>
      </c>
      <c r="C4594" s="62" t="s">
        <v>60</v>
      </c>
      <c r="D4594" s="62" t="s">
        <v>386</v>
      </c>
      <c r="E4594" s="62" t="s">
        <v>72</v>
      </c>
      <c r="F4594" s="62" t="s">
        <v>382</v>
      </c>
      <c r="G4594" s="63" t="s">
        <v>430</v>
      </c>
      <c r="H4594" s="64" t="n">
        <v>1438204998.98322</v>
      </c>
      <c r="I4594" s="62" t="s">
        <v>81</v>
      </c>
      <c r="J4594" s="64" t="n">
        <v>1438204.99898322</v>
      </c>
      <c r="K4594" s="62" t="s">
        <v>138</v>
      </c>
      <c r="L4594" s="68" t="b">
        <f aca="false">TRUE()</f>
        <v>1</v>
      </c>
    </row>
    <row r="4595" customFormat="false" ht="15" hidden="false" customHeight="false" outlineLevel="0" collapsed="false">
      <c r="A4595" s="62" t="n">
        <v>1</v>
      </c>
      <c r="B4595" s="21" t="s">
        <v>336</v>
      </c>
      <c r="C4595" s="62" t="s">
        <v>60</v>
      </c>
      <c r="D4595" s="62" t="s">
        <v>387</v>
      </c>
      <c r="E4595" s="62" t="s">
        <v>72</v>
      </c>
      <c r="F4595" s="62" t="s">
        <v>382</v>
      </c>
      <c r="G4595" s="63" t="s">
        <v>430</v>
      </c>
      <c r="H4595" s="64" t="n">
        <v>480996970.235113</v>
      </c>
      <c r="I4595" s="62" t="s">
        <v>81</v>
      </c>
      <c r="J4595" s="64" t="n">
        <v>480996.970235113</v>
      </c>
      <c r="K4595" s="62" t="s">
        <v>138</v>
      </c>
      <c r="L4595" s="68" t="b">
        <f aca="false">TRUE()</f>
        <v>1</v>
      </c>
    </row>
    <row r="4596" customFormat="false" ht="15" hidden="false" customHeight="false" outlineLevel="0" collapsed="false">
      <c r="A4596" s="62" t="n">
        <v>1</v>
      </c>
      <c r="B4596" s="21" t="s">
        <v>336</v>
      </c>
      <c r="C4596" s="62" t="s">
        <v>60</v>
      </c>
      <c r="D4596" s="62" t="s">
        <v>388</v>
      </c>
      <c r="E4596" s="62" t="s">
        <v>72</v>
      </c>
      <c r="F4596" s="62" t="s">
        <v>382</v>
      </c>
      <c r="G4596" s="63" t="s">
        <v>430</v>
      </c>
      <c r="H4596" s="64" t="n">
        <v>-5954902.27059052</v>
      </c>
      <c r="I4596" s="62" t="s">
        <v>81</v>
      </c>
      <c r="J4596" s="64" t="n">
        <v>-5954.90227059052</v>
      </c>
      <c r="K4596" s="62" t="s">
        <v>138</v>
      </c>
      <c r="L4596" s="68" t="b">
        <f aca="false">TRUE()</f>
        <v>1</v>
      </c>
    </row>
    <row r="4597" customFormat="false" ht="15" hidden="false" customHeight="false" outlineLevel="0" collapsed="false">
      <c r="A4597" s="62" t="n">
        <v>1</v>
      </c>
      <c r="B4597" s="21" t="s">
        <v>336</v>
      </c>
      <c r="C4597" s="62" t="s">
        <v>60</v>
      </c>
      <c r="D4597" s="62" t="s">
        <v>381</v>
      </c>
      <c r="E4597" s="62" t="s">
        <v>72</v>
      </c>
      <c r="F4597" s="62" t="s">
        <v>382</v>
      </c>
      <c r="G4597" s="63" t="s">
        <v>450</v>
      </c>
      <c r="H4597" s="64" t="n">
        <v>-479248431.134644</v>
      </c>
      <c r="I4597" s="62" t="s">
        <v>81</v>
      </c>
      <c r="J4597" s="64" t="n">
        <v>-479248.431134644</v>
      </c>
      <c r="K4597" s="62" t="s">
        <v>138</v>
      </c>
      <c r="L4597" s="68" t="b">
        <f aca="false">TRUE()</f>
        <v>1</v>
      </c>
    </row>
    <row r="4598" customFormat="false" ht="15" hidden="false" customHeight="false" outlineLevel="0" collapsed="false">
      <c r="A4598" s="62" t="n">
        <v>1</v>
      </c>
      <c r="B4598" s="21" t="s">
        <v>336</v>
      </c>
      <c r="C4598" s="62" t="s">
        <v>60</v>
      </c>
      <c r="D4598" s="62" t="s">
        <v>383</v>
      </c>
      <c r="E4598" s="62" t="s">
        <v>72</v>
      </c>
      <c r="F4598" s="62" t="s">
        <v>382</v>
      </c>
      <c r="G4598" s="63" t="s">
        <v>450</v>
      </c>
      <c r="H4598" s="64" t="n">
        <v>-198548551.407419</v>
      </c>
      <c r="I4598" s="62" t="s">
        <v>81</v>
      </c>
      <c r="J4598" s="64" t="n">
        <v>-198548.551407419</v>
      </c>
      <c r="K4598" s="62" t="s">
        <v>138</v>
      </c>
      <c r="L4598" s="68" t="b">
        <f aca="false">TRUE()</f>
        <v>1</v>
      </c>
    </row>
    <row r="4599" customFormat="false" ht="15" hidden="false" customHeight="false" outlineLevel="0" collapsed="false">
      <c r="A4599" s="62" t="n">
        <v>1</v>
      </c>
      <c r="B4599" s="21" t="s">
        <v>336</v>
      </c>
      <c r="C4599" s="62" t="s">
        <v>60</v>
      </c>
      <c r="D4599" s="62" t="s">
        <v>384</v>
      </c>
      <c r="E4599" s="62" t="s">
        <v>72</v>
      </c>
      <c r="F4599" s="62" t="s">
        <v>382</v>
      </c>
      <c r="G4599" s="63" t="s">
        <v>450</v>
      </c>
      <c r="H4599" s="64" t="n">
        <v>-397192712.876848</v>
      </c>
      <c r="I4599" s="62" t="s">
        <v>81</v>
      </c>
      <c r="J4599" s="64" t="n">
        <v>-397192.712876848</v>
      </c>
      <c r="K4599" s="62" t="s">
        <v>138</v>
      </c>
      <c r="L4599" s="68" t="b">
        <f aca="false">TRUE()</f>
        <v>1</v>
      </c>
    </row>
    <row r="4600" customFormat="false" ht="15" hidden="false" customHeight="false" outlineLevel="0" collapsed="false">
      <c r="A4600" s="62" t="n">
        <v>1</v>
      </c>
      <c r="B4600" s="21" t="s">
        <v>336</v>
      </c>
      <c r="C4600" s="62" t="s">
        <v>60</v>
      </c>
      <c r="D4600" s="62" t="s">
        <v>385</v>
      </c>
      <c r="E4600" s="62" t="s">
        <v>72</v>
      </c>
      <c r="F4600" s="62" t="s">
        <v>382</v>
      </c>
      <c r="G4600" s="63" t="s">
        <v>450</v>
      </c>
      <c r="H4600" s="64" t="n">
        <v>-66182770.5944011</v>
      </c>
      <c r="I4600" s="62" t="s">
        <v>81</v>
      </c>
      <c r="J4600" s="64" t="n">
        <v>-66182.7705944011</v>
      </c>
      <c r="K4600" s="62" t="s">
        <v>138</v>
      </c>
      <c r="L4600" s="68" t="b">
        <f aca="false">TRUE()</f>
        <v>1</v>
      </c>
    </row>
    <row r="4601" customFormat="false" ht="15" hidden="false" customHeight="false" outlineLevel="0" collapsed="false">
      <c r="A4601" s="62" t="n">
        <v>1</v>
      </c>
      <c r="B4601" s="21" t="s">
        <v>336</v>
      </c>
      <c r="C4601" s="62" t="s">
        <v>60</v>
      </c>
      <c r="D4601" s="62" t="s">
        <v>386</v>
      </c>
      <c r="E4601" s="62" t="s">
        <v>72</v>
      </c>
      <c r="F4601" s="62" t="s">
        <v>382</v>
      </c>
      <c r="G4601" s="63" t="s">
        <v>450</v>
      </c>
      <c r="H4601" s="64" t="n">
        <v>-1078308970.05295</v>
      </c>
      <c r="I4601" s="62" t="s">
        <v>81</v>
      </c>
      <c r="J4601" s="64" t="n">
        <v>-1078308.97005295</v>
      </c>
      <c r="K4601" s="62" t="s">
        <v>138</v>
      </c>
      <c r="L4601" s="68" t="b">
        <f aca="false">TRUE()</f>
        <v>1</v>
      </c>
    </row>
    <row r="4602" customFormat="false" ht="15" hidden="false" customHeight="false" outlineLevel="0" collapsed="false">
      <c r="A4602" s="62" t="n">
        <v>1</v>
      </c>
      <c r="B4602" s="21" t="s">
        <v>336</v>
      </c>
      <c r="C4602" s="62" t="s">
        <v>60</v>
      </c>
      <c r="D4602" s="62" t="s">
        <v>387</v>
      </c>
      <c r="E4602" s="62" t="s">
        <v>72</v>
      </c>
      <c r="F4602" s="62" t="s">
        <v>382</v>
      </c>
      <c r="G4602" s="63" t="s">
        <v>450</v>
      </c>
      <c r="H4602" s="64" t="n">
        <v>-264731561.626035</v>
      </c>
      <c r="I4602" s="62" t="s">
        <v>81</v>
      </c>
      <c r="J4602" s="64" t="n">
        <v>-264731.561626035</v>
      </c>
      <c r="K4602" s="62" t="s">
        <v>138</v>
      </c>
      <c r="L4602" s="68" t="b">
        <f aca="false">TRUE()</f>
        <v>1</v>
      </c>
    </row>
    <row r="4603" customFormat="false" ht="15" hidden="false" customHeight="false" outlineLevel="0" collapsed="false">
      <c r="A4603" s="62" t="n">
        <v>1</v>
      </c>
      <c r="B4603" s="21" t="s">
        <v>336</v>
      </c>
      <c r="C4603" s="62" t="s">
        <v>60</v>
      </c>
      <c r="D4603" s="62" t="s">
        <v>388</v>
      </c>
      <c r="E4603" s="62" t="s">
        <v>72</v>
      </c>
      <c r="F4603" s="62" t="s">
        <v>382</v>
      </c>
      <c r="G4603" s="63" t="s">
        <v>450</v>
      </c>
      <c r="H4603" s="64" t="n">
        <v>-140291112.118691</v>
      </c>
      <c r="I4603" s="62" t="s">
        <v>81</v>
      </c>
      <c r="J4603" s="64" t="n">
        <v>-140291.112118691</v>
      </c>
      <c r="K4603" s="62" t="s">
        <v>138</v>
      </c>
      <c r="L4603" s="68" t="b">
        <f aca="false">TRUE()</f>
        <v>1</v>
      </c>
    </row>
    <row r="4604" customFormat="false" ht="15" hidden="false" customHeight="false" outlineLevel="0" collapsed="false">
      <c r="A4604" s="62" t="n">
        <v>1</v>
      </c>
      <c r="B4604" s="21" t="s">
        <v>336</v>
      </c>
      <c r="C4604" s="62" t="s">
        <v>60</v>
      </c>
      <c r="D4604" s="62" t="s">
        <v>381</v>
      </c>
      <c r="E4604" s="62" t="s">
        <v>72</v>
      </c>
      <c r="F4604" s="62" t="s">
        <v>382</v>
      </c>
      <c r="G4604" s="63" t="s">
        <v>451</v>
      </c>
      <c r="H4604" s="64" t="n">
        <v>0</v>
      </c>
      <c r="I4604" s="62" t="s">
        <v>81</v>
      </c>
      <c r="J4604" s="64" t="n">
        <v>0</v>
      </c>
      <c r="K4604" s="62" t="s">
        <v>138</v>
      </c>
      <c r="L4604" s="68" t="b">
        <f aca="false">TRUE()</f>
        <v>1</v>
      </c>
    </row>
    <row r="4605" customFormat="false" ht="15" hidden="false" customHeight="false" outlineLevel="0" collapsed="false">
      <c r="A4605" s="62" t="n">
        <v>1</v>
      </c>
      <c r="B4605" s="21" t="s">
        <v>336</v>
      </c>
      <c r="C4605" s="62" t="s">
        <v>60</v>
      </c>
      <c r="D4605" s="62" t="s">
        <v>383</v>
      </c>
      <c r="E4605" s="62" t="s">
        <v>72</v>
      </c>
      <c r="F4605" s="62" t="s">
        <v>382</v>
      </c>
      <c r="G4605" s="63" t="s">
        <v>451</v>
      </c>
      <c r="H4605" s="64" t="n">
        <v>0</v>
      </c>
      <c r="I4605" s="62" t="s">
        <v>81</v>
      </c>
      <c r="J4605" s="64" t="n">
        <v>0</v>
      </c>
      <c r="K4605" s="62" t="s">
        <v>138</v>
      </c>
      <c r="L4605" s="68" t="b">
        <f aca="false">TRUE()</f>
        <v>1</v>
      </c>
    </row>
    <row r="4606" customFormat="false" ht="15" hidden="false" customHeight="false" outlineLevel="0" collapsed="false">
      <c r="A4606" s="62" t="n">
        <v>1</v>
      </c>
      <c r="B4606" s="21" t="s">
        <v>336</v>
      </c>
      <c r="C4606" s="62" t="s">
        <v>60</v>
      </c>
      <c r="D4606" s="62" t="s">
        <v>384</v>
      </c>
      <c r="E4606" s="62" t="s">
        <v>72</v>
      </c>
      <c r="F4606" s="62" t="s">
        <v>382</v>
      </c>
      <c r="G4606" s="63" t="s">
        <v>451</v>
      </c>
      <c r="H4606" s="64" t="n">
        <v>0</v>
      </c>
      <c r="I4606" s="62" t="s">
        <v>81</v>
      </c>
      <c r="J4606" s="64" t="n">
        <v>0</v>
      </c>
      <c r="K4606" s="62" t="s">
        <v>138</v>
      </c>
      <c r="L4606" s="68" t="b">
        <f aca="false">TRUE()</f>
        <v>1</v>
      </c>
    </row>
    <row r="4607" customFormat="false" ht="15" hidden="false" customHeight="false" outlineLevel="0" collapsed="false">
      <c r="A4607" s="62" t="n">
        <v>1</v>
      </c>
      <c r="B4607" s="21" t="s">
        <v>336</v>
      </c>
      <c r="C4607" s="62" t="s">
        <v>60</v>
      </c>
      <c r="D4607" s="62" t="s">
        <v>385</v>
      </c>
      <c r="E4607" s="62" t="s">
        <v>72</v>
      </c>
      <c r="F4607" s="62" t="s">
        <v>382</v>
      </c>
      <c r="G4607" s="63" t="s">
        <v>451</v>
      </c>
      <c r="H4607" s="64" t="n">
        <v>0</v>
      </c>
      <c r="I4607" s="62" t="s">
        <v>81</v>
      </c>
      <c r="J4607" s="64" t="n">
        <v>0</v>
      </c>
      <c r="K4607" s="62" t="s">
        <v>138</v>
      </c>
      <c r="L4607" s="68" t="b">
        <f aca="false">TRUE()</f>
        <v>1</v>
      </c>
    </row>
    <row r="4608" customFormat="false" ht="15" hidden="false" customHeight="false" outlineLevel="0" collapsed="false">
      <c r="A4608" s="62" t="n">
        <v>1</v>
      </c>
      <c r="B4608" s="21" t="s">
        <v>336</v>
      </c>
      <c r="C4608" s="62" t="s">
        <v>60</v>
      </c>
      <c r="D4608" s="62" t="s">
        <v>386</v>
      </c>
      <c r="E4608" s="62" t="s">
        <v>72</v>
      </c>
      <c r="F4608" s="62" t="s">
        <v>382</v>
      </c>
      <c r="G4608" s="63" t="s">
        <v>451</v>
      </c>
      <c r="H4608" s="64" t="n">
        <v>963900136.322961</v>
      </c>
      <c r="I4608" s="62" t="s">
        <v>81</v>
      </c>
      <c r="J4608" s="64" t="n">
        <v>963900.136322961</v>
      </c>
      <c r="K4608" s="62" t="s">
        <v>138</v>
      </c>
      <c r="L4608" s="68" t="b">
        <f aca="false">TRUE()</f>
        <v>1</v>
      </c>
    </row>
    <row r="4609" customFormat="false" ht="15" hidden="false" customHeight="false" outlineLevel="0" collapsed="false">
      <c r="A4609" s="62" t="n">
        <v>1</v>
      </c>
      <c r="B4609" s="21" t="s">
        <v>336</v>
      </c>
      <c r="C4609" s="62" t="s">
        <v>60</v>
      </c>
      <c r="D4609" s="62" t="s">
        <v>387</v>
      </c>
      <c r="E4609" s="62" t="s">
        <v>72</v>
      </c>
      <c r="F4609" s="62" t="s">
        <v>382</v>
      </c>
      <c r="G4609" s="63" t="s">
        <v>451</v>
      </c>
      <c r="H4609" s="64" t="n">
        <v>0</v>
      </c>
      <c r="I4609" s="62" t="s">
        <v>81</v>
      </c>
      <c r="J4609" s="64" t="n">
        <v>0</v>
      </c>
      <c r="K4609" s="62" t="s">
        <v>138</v>
      </c>
      <c r="L4609" s="68" t="b">
        <f aca="false">TRUE()</f>
        <v>1</v>
      </c>
    </row>
    <row r="4610" customFormat="false" ht="15" hidden="false" customHeight="false" outlineLevel="0" collapsed="false">
      <c r="A4610" s="62" t="n">
        <v>1</v>
      </c>
      <c r="B4610" s="21" t="s">
        <v>336</v>
      </c>
      <c r="C4610" s="62" t="s">
        <v>60</v>
      </c>
      <c r="D4610" s="62" t="s">
        <v>388</v>
      </c>
      <c r="E4610" s="62" t="s">
        <v>72</v>
      </c>
      <c r="F4610" s="62" t="s">
        <v>382</v>
      </c>
      <c r="G4610" s="63" t="s">
        <v>451</v>
      </c>
      <c r="H4610" s="64" t="n">
        <v>0</v>
      </c>
      <c r="I4610" s="62" t="s">
        <v>81</v>
      </c>
      <c r="J4610" s="64" t="n">
        <v>0</v>
      </c>
      <c r="K4610" s="62" t="s">
        <v>138</v>
      </c>
      <c r="L4610" s="68" t="b">
        <f aca="false">TRUE()</f>
        <v>1</v>
      </c>
    </row>
    <row r="4611" customFormat="false" ht="15" hidden="false" customHeight="false" outlineLevel="0" collapsed="false">
      <c r="A4611" s="62" t="n">
        <v>1</v>
      </c>
      <c r="B4611" s="21" t="s">
        <v>336</v>
      </c>
      <c r="C4611" s="62" t="s">
        <v>60</v>
      </c>
      <c r="D4611" s="62" t="s">
        <v>381</v>
      </c>
      <c r="E4611" s="62" t="s">
        <v>72</v>
      </c>
      <c r="F4611" s="62" t="s">
        <v>382</v>
      </c>
      <c r="G4611" s="63" t="s">
        <v>452</v>
      </c>
      <c r="H4611" s="64" t="n">
        <v>0</v>
      </c>
      <c r="I4611" s="62" t="s">
        <v>81</v>
      </c>
      <c r="J4611" s="64" t="n">
        <v>0</v>
      </c>
      <c r="K4611" s="62" t="s">
        <v>138</v>
      </c>
      <c r="L4611" s="68" t="b">
        <f aca="false">TRUE()</f>
        <v>1</v>
      </c>
    </row>
    <row r="4612" customFormat="false" ht="15" hidden="false" customHeight="false" outlineLevel="0" collapsed="false">
      <c r="A4612" s="62" t="n">
        <v>1</v>
      </c>
      <c r="B4612" s="21" t="s">
        <v>336</v>
      </c>
      <c r="C4612" s="62" t="s">
        <v>60</v>
      </c>
      <c r="D4612" s="62" t="s">
        <v>383</v>
      </c>
      <c r="E4612" s="62" t="s">
        <v>72</v>
      </c>
      <c r="F4612" s="62" t="s">
        <v>382</v>
      </c>
      <c r="G4612" s="63" t="s">
        <v>452</v>
      </c>
      <c r="H4612" s="64" t="n">
        <v>-6580000000</v>
      </c>
      <c r="I4612" s="62" t="s">
        <v>81</v>
      </c>
      <c r="J4612" s="64" t="n">
        <v>-6580000</v>
      </c>
      <c r="K4612" s="62" t="s">
        <v>138</v>
      </c>
      <c r="L4612" s="68" t="b">
        <f aca="false">TRUE()</f>
        <v>1</v>
      </c>
    </row>
    <row r="4613" customFormat="false" ht="15" hidden="false" customHeight="false" outlineLevel="0" collapsed="false">
      <c r="A4613" s="62" t="n">
        <v>1</v>
      </c>
      <c r="B4613" s="21" t="s">
        <v>336</v>
      </c>
      <c r="C4613" s="62" t="s">
        <v>60</v>
      </c>
      <c r="D4613" s="62" t="s">
        <v>384</v>
      </c>
      <c r="E4613" s="62" t="s">
        <v>72</v>
      </c>
      <c r="F4613" s="62" t="s">
        <v>382</v>
      </c>
      <c r="G4613" s="63" t="s">
        <v>452</v>
      </c>
      <c r="H4613" s="64" t="n">
        <v>-2100000000</v>
      </c>
      <c r="I4613" s="62" t="s">
        <v>81</v>
      </c>
      <c r="J4613" s="64" t="n">
        <v>-2100000</v>
      </c>
      <c r="K4613" s="62" t="s">
        <v>138</v>
      </c>
      <c r="L4613" s="68" t="b">
        <f aca="false">TRUE()</f>
        <v>1</v>
      </c>
    </row>
    <row r="4614" customFormat="false" ht="15" hidden="false" customHeight="false" outlineLevel="0" collapsed="false">
      <c r="A4614" s="62" t="n">
        <v>1</v>
      </c>
      <c r="B4614" s="21" t="s">
        <v>336</v>
      </c>
      <c r="C4614" s="62" t="s">
        <v>60</v>
      </c>
      <c r="D4614" s="62" t="s">
        <v>385</v>
      </c>
      <c r="E4614" s="62" t="s">
        <v>72</v>
      </c>
      <c r="F4614" s="62" t="s">
        <v>382</v>
      </c>
      <c r="G4614" s="63" t="s">
        <v>452</v>
      </c>
      <c r="H4614" s="64" t="n">
        <v>0</v>
      </c>
      <c r="I4614" s="62" t="s">
        <v>81</v>
      </c>
      <c r="J4614" s="64" t="n">
        <v>0</v>
      </c>
      <c r="K4614" s="62" t="s">
        <v>138</v>
      </c>
      <c r="L4614" s="68" t="b">
        <f aca="false">TRUE()</f>
        <v>1</v>
      </c>
    </row>
    <row r="4615" customFormat="false" ht="15" hidden="false" customHeight="false" outlineLevel="0" collapsed="false">
      <c r="A4615" s="62" t="n">
        <v>1</v>
      </c>
      <c r="B4615" s="21" t="s">
        <v>336</v>
      </c>
      <c r="C4615" s="62" t="s">
        <v>60</v>
      </c>
      <c r="D4615" s="62" t="s">
        <v>386</v>
      </c>
      <c r="E4615" s="62" t="s">
        <v>72</v>
      </c>
      <c r="F4615" s="62" t="s">
        <v>382</v>
      </c>
      <c r="G4615" s="63" t="s">
        <v>452</v>
      </c>
      <c r="H4615" s="64" t="n">
        <v>-2500000000</v>
      </c>
      <c r="I4615" s="62" t="s">
        <v>81</v>
      </c>
      <c r="J4615" s="64" t="n">
        <v>-2500000</v>
      </c>
      <c r="K4615" s="62" t="s">
        <v>138</v>
      </c>
      <c r="L4615" s="68" t="b">
        <f aca="false">TRUE()</f>
        <v>1</v>
      </c>
    </row>
    <row r="4616" customFormat="false" ht="15" hidden="false" customHeight="false" outlineLevel="0" collapsed="false">
      <c r="A4616" s="62" t="n">
        <v>1</v>
      </c>
      <c r="B4616" s="21" t="s">
        <v>336</v>
      </c>
      <c r="C4616" s="62" t="s">
        <v>60</v>
      </c>
      <c r="D4616" s="62" t="s">
        <v>387</v>
      </c>
      <c r="E4616" s="62" t="s">
        <v>72</v>
      </c>
      <c r="F4616" s="62" t="s">
        <v>382</v>
      </c>
      <c r="G4616" s="63" t="s">
        <v>452</v>
      </c>
      <c r="H4616" s="64" t="n">
        <v>500000000</v>
      </c>
      <c r="I4616" s="62" t="s">
        <v>81</v>
      </c>
      <c r="J4616" s="64" t="n">
        <v>500000</v>
      </c>
      <c r="K4616" s="62" t="s">
        <v>138</v>
      </c>
      <c r="L4616" s="68" t="b">
        <f aca="false">TRUE()</f>
        <v>1</v>
      </c>
    </row>
    <row r="4617" customFormat="false" ht="15" hidden="false" customHeight="false" outlineLevel="0" collapsed="false">
      <c r="A4617" s="62" t="n">
        <v>1</v>
      </c>
      <c r="B4617" s="21" t="s">
        <v>336</v>
      </c>
      <c r="C4617" s="62" t="s">
        <v>60</v>
      </c>
      <c r="D4617" s="62" t="s">
        <v>388</v>
      </c>
      <c r="E4617" s="62" t="s">
        <v>72</v>
      </c>
      <c r="F4617" s="62" t="s">
        <v>382</v>
      </c>
      <c r="G4617" s="63" t="s">
        <v>452</v>
      </c>
      <c r="H4617" s="64" t="n">
        <v>0</v>
      </c>
      <c r="I4617" s="62" t="s">
        <v>81</v>
      </c>
      <c r="J4617" s="64" t="n">
        <v>0</v>
      </c>
      <c r="K4617" s="62" t="s">
        <v>138</v>
      </c>
      <c r="L4617" s="68" t="b">
        <f aca="false">TRUE()</f>
        <v>1</v>
      </c>
    </row>
    <row r="4618" customFormat="false" ht="15" hidden="false" customHeight="false" outlineLevel="0" collapsed="false">
      <c r="A4618" s="62" t="n">
        <v>1</v>
      </c>
      <c r="B4618" s="21" t="s">
        <v>336</v>
      </c>
      <c r="C4618" s="62" t="s">
        <v>60</v>
      </c>
      <c r="D4618" s="62" t="s">
        <v>381</v>
      </c>
      <c r="E4618" s="62" t="s">
        <v>72</v>
      </c>
      <c r="F4618" s="62" t="s">
        <v>382</v>
      </c>
      <c r="G4618" s="63" t="s">
        <v>439</v>
      </c>
      <c r="H4618" s="64" t="n">
        <v>-479248431.134644</v>
      </c>
      <c r="I4618" s="62" t="s">
        <v>81</v>
      </c>
      <c r="J4618" s="64" t="n">
        <v>-479248.431134644</v>
      </c>
      <c r="K4618" s="62" t="s">
        <v>138</v>
      </c>
      <c r="L4618" s="68" t="b">
        <f aca="false">TRUE()</f>
        <v>1</v>
      </c>
    </row>
    <row r="4619" customFormat="false" ht="15" hidden="false" customHeight="false" outlineLevel="0" collapsed="false">
      <c r="A4619" s="62" t="n">
        <v>1</v>
      </c>
      <c r="B4619" s="21" t="s">
        <v>336</v>
      </c>
      <c r="C4619" s="62" t="s">
        <v>60</v>
      </c>
      <c r="D4619" s="62" t="s">
        <v>383</v>
      </c>
      <c r="E4619" s="62" t="s">
        <v>72</v>
      </c>
      <c r="F4619" s="62" t="s">
        <v>382</v>
      </c>
      <c r="G4619" s="63" t="s">
        <v>439</v>
      </c>
      <c r="H4619" s="64" t="n">
        <v>-6778548551.40742</v>
      </c>
      <c r="I4619" s="62" t="s">
        <v>81</v>
      </c>
      <c r="J4619" s="64" t="n">
        <v>-6778548.55140742</v>
      </c>
      <c r="K4619" s="62" t="s">
        <v>138</v>
      </c>
      <c r="L4619" s="68" t="b">
        <f aca="false">TRUE()</f>
        <v>1</v>
      </c>
    </row>
    <row r="4620" customFormat="false" ht="15" hidden="false" customHeight="false" outlineLevel="0" collapsed="false">
      <c r="A4620" s="62" t="n">
        <v>1</v>
      </c>
      <c r="B4620" s="21" t="s">
        <v>336</v>
      </c>
      <c r="C4620" s="62" t="s">
        <v>60</v>
      </c>
      <c r="D4620" s="62" t="s">
        <v>384</v>
      </c>
      <c r="E4620" s="62" t="s">
        <v>72</v>
      </c>
      <c r="F4620" s="62" t="s">
        <v>382</v>
      </c>
      <c r="G4620" s="63" t="s">
        <v>439</v>
      </c>
      <c r="H4620" s="64" t="n">
        <v>-2497192712.87685</v>
      </c>
      <c r="I4620" s="62" t="s">
        <v>81</v>
      </c>
      <c r="J4620" s="64" t="n">
        <v>-2497192.71287685</v>
      </c>
      <c r="K4620" s="62" t="s">
        <v>138</v>
      </c>
      <c r="L4620" s="68" t="b">
        <f aca="false">TRUE()</f>
        <v>1</v>
      </c>
    </row>
    <row r="4621" customFormat="false" ht="15" hidden="false" customHeight="false" outlineLevel="0" collapsed="false">
      <c r="A4621" s="62" t="n">
        <v>1</v>
      </c>
      <c r="B4621" s="21" t="s">
        <v>336</v>
      </c>
      <c r="C4621" s="62" t="s">
        <v>60</v>
      </c>
      <c r="D4621" s="62" t="s">
        <v>385</v>
      </c>
      <c r="E4621" s="62" t="s">
        <v>72</v>
      </c>
      <c r="F4621" s="62" t="s">
        <v>382</v>
      </c>
      <c r="G4621" s="63" t="s">
        <v>439</v>
      </c>
      <c r="H4621" s="64" t="n">
        <v>-66182770.5944011</v>
      </c>
      <c r="I4621" s="62" t="s">
        <v>81</v>
      </c>
      <c r="J4621" s="64" t="n">
        <v>-66182.7705944011</v>
      </c>
      <c r="K4621" s="62" t="s">
        <v>138</v>
      </c>
      <c r="L4621" s="68" t="b">
        <f aca="false">TRUE()</f>
        <v>1</v>
      </c>
    </row>
    <row r="4622" customFormat="false" ht="15" hidden="false" customHeight="false" outlineLevel="0" collapsed="false">
      <c r="A4622" s="62" t="n">
        <v>1</v>
      </c>
      <c r="B4622" s="21" t="s">
        <v>336</v>
      </c>
      <c r="C4622" s="62" t="s">
        <v>60</v>
      </c>
      <c r="D4622" s="62" t="s">
        <v>386</v>
      </c>
      <c r="E4622" s="62" t="s">
        <v>72</v>
      </c>
      <c r="F4622" s="62" t="s">
        <v>382</v>
      </c>
      <c r="G4622" s="63" t="s">
        <v>439</v>
      </c>
      <c r="H4622" s="64" t="n">
        <v>-2614408833.72999</v>
      </c>
      <c r="I4622" s="62" t="s">
        <v>81</v>
      </c>
      <c r="J4622" s="64" t="n">
        <v>-2614408.83372999</v>
      </c>
      <c r="K4622" s="62" t="s">
        <v>138</v>
      </c>
      <c r="L4622" s="68" t="b">
        <f aca="false">TRUE()</f>
        <v>1</v>
      </c>
    </row>
    <row r="4623" customFormat="false" ht="15" hidden="false" customHeight="false" outlineLevel="0" collapsed="false">
      <c r="A4623" s="62" t="n">
        <v>1</v>
      </c>
      <c r="B4623" s="21" t="s">
        <v>336</v>
      </c>
      <c r="C4623" s="62" t="s">
        <v>60</v>
      </c>
      <c r="D4623" s="62" t="s">
        <v>387</v>
      </c>
      <c r="E4623" s="62" t="s">
        <v>72</v>
      </c>
      <c r="F4623" s="62" t="s">
        <v>382</v>
      </c>
      <c r="G4623" s="63" t="s">
        <v>439</v>
      </c>
      <c r="H4623" s="64" t="n">
        <v>235268438.373965</v>
      </c>
      <c r="I4623" s="62" t="s">
        <v>81</v>
      </c>
      <c r="J4623" s="64" t="n">
        <v>235268.438373965</v>
      </c>
      <c r="K4623" s="62" t="s">
        <v>138</v>
      </c>
      <c r="L4623" s="68" t="b">
        <f aca="false">TRUE()</f>
        <v>1</v>
      </c>
    </row>
    <row r="4624" customFormat="false" ht="15" hidden="false" customHeight="false" outlineLevel="0" collapsed="false">
      <c r="A4624" s="62" t="n">
        <v>1</v>
      </c>
      <c r="B4624" s="21" t="s">
        <v>336</v>
      </c>
      <c r="C4624" s="62" t="s">
        <v>60</v>
      </c>
      <c r="D4624" s="62" t="s">
        <v>388</v>
      </c>
      <c r="E4624" s="62" t="s">
        <v>72</v>
      </c>
      <c r="F4624" s="62" t="s">
        <v>382</v>
      </c>
      <c r="G4624" s="63" t="s">
        <v>439</v>
      </c>
      <c r="H4624" s="64" t="n">
        <v>-140291112.118691</v>
      </c>
      <c r="I4624" s="62" t="s">
        <v>81</v>
      </c>
      <c r="J4624" s="64" t="n">
        <v>-140291.112118691</v>
      </c>
      <c r="K4624" s="62" t="s">
        <v>138</v>
      </c>
      <c r="L4624" s="68" t="b">
        <f aca="false">TRUE()</f>
        <v>1</v>
      </c>
    </row>
    <row r="4625" customFormat="false" ht="15" hidden="false" customHeight="false" outlineLevel="0" collapsed="false">
      <c r="A4625" s="62" t="n">
        <v>1</v>
      </c>
      <c r="B4625" s="21" t="s">
        <v>336</v>
      </c>
      <c r="C4625" s="62" t="s">
        <v>60</v>
      </c>
      <c r="D4625" s="62" t="s">
        <v>381</v>
      </c>
      <c r="E4625" s="62" t="s">
        <v>72</v>
      </c>
      <c r="F4625" s="62" t="s">
        <v>382</v>
      </c>
      <c r="G4625" s="63" t="s">
        <v>453</v>
      </c>
      <c r="H4625" s="64" t="n">
        <v>530526051.538939</v>
      </c>
      <c r="I4625" s="62" t="s">
        <v>81</v>
      </c>
      <c r="J4625" s="64" t="n">
        <v>530526.051538939</v>
      </c>
      <c r="K4625" s="62" t="s">
        <v>138</v>
      </c>
      <c r="L4625" s="68" t="b">
        <f aca="false">TRUE()</f>
        <v>1</v>
      </c>
    </row>
    <row r="4626" customFormat="false" ht="15" hidden="false" customHeight="false" outlineLevel="0" collapsed="false">
      <c r="A4626" s="62" t="n">
        <v>1</v>
      </c>
      <c r="B4626" s="21" t="s">
        <v>336</v>
      </c>
      <c r="C4626" s="62" t="s">
        <v>60</v>
      </c>
      <c r="D4626" s="62" t="s">
        <v>383</v>
      </c>
      <c r="E4626" s="62" t="s">
        <v>72</v>
      </c>
      <c r="F4626" s="62" t="s">
        <v>382</v>
      </c>
      <c r="G4626" s="63" t="s">
        <v>453</v>
      </c>
      <c r="H4626" s="64" t="n">
        <v>2741983448.55427</v>
      </c>
      <c r="I4626" s="62" t="s">
        <v>81</v>
      </c>
      <c r="J4626" s="64" t="n">
        <v>2741983.44855427</v>
      </c>
      <c r="K4626" s="62" t="s">
        <v>138</v>
      </c>
      <c r="L4626" s="68" t="b">
        <f aca="false">TRUE()</f>
        <v>1</v>
      </c>
    </row>
    <row r="4627" customFormat="false" ht="15" hidden="false" customHeight="false" outlineLevel="0" collapsed="false">
      <c r="A4627" s="62" t="n">
        <v>1</v>
      </c>
      <c r="B4627" s="21" t="s">
        <v>336</v>
      </c>
      <c r="C4627" s="62" t="s">
        <v>60</v>
      </c>
      <c r="D4627" s="62" t="s">
        <v>384</v>
      </c>
      <c r="E4627" s="62" t="s">
        <v>72</v>
      </c>
      <c r="F4627" s="62" t="s">
        <v>382</v>
      </c>
      <c r="G4627" s="63" t="s">
        <v>453</v>
      </c>
      <c r="H4627" s="64" t="n">
        <v>3943173958.93854</v>
      </c>
      <c r="I4627" s="62" t="s">
        <v>81</v>
      </c>
      <c r="J4627" s="64" t="n">
        <v>3943173.95893854</v>
      </c>
      <c r="K4627" s="62" t="s">
        <v>138</v>
      </c>
      <c r="L4627" s="68" t="b">
        <f aca="false">TRUE()</f>
        <v>1</v>
      </c>
    </row>
    <row r="4628" customFormat="false" ht="15" hidden="false" customHeight="false" outlineLevel="0" collapsed="false">
      <c r="A4628" s="62" t="n">
        <v>1</v>
      </c>
      <c r="B4628" s="21" t="s">
        <v>336</v>
      </c>
      <c r="C4628" s="62" t="s">
        <v>60</v>
      </c>
      <c r="D4628" s="62" t="s">
        <v>385</v>
      </c>
      <c r="E4628" s="62" t="s">
        <v>72</v>
      </c>
      <c r="F4628" s="62" t="s">
        <v>382</v>
      </c>
      <c r="G4628" s="63" t="s">
        <v>453</v>
      </c>
      <c r="H4628" s="64" t="n">
        <v>2247214299.79548</v>
      </c>
      <c r="I4628" s="62" t="s">
        <v>81</v>
      </c>
      <c r="J4628" s="64" t="n">
        <v>2247214.29979548</v>
      </c>
      <c r="K4628" s="62" t="s">
        <v>138</v>
      </c>
      <c r="L4628" s="68" t="b">
        <f aca="false">TRUE()</f>
        <v>1</v>
      </c>
    </row>
    <row r="4629" customFormat="false" ht="15" hidden="false" customHeight="false" outlineLevel="0" collapsed="false">
      <c r="A4629" s="62" t="n">
        <v>1</v>
      </c>
      <c r="B4629" s="21" t="s">
        <v>336</v>
      </c>
      <c r="C4629" s="62" t="s">
        <v>60</v>
      </c>
      <c r="D4629" s="62" t="s">
        <v>386</v>
      </c>
      <c r="E4629" s="62" t="s">
        <v>72</v>
      </c>
      <c r="F4629" s="62" t="s">
        <v>382</v>
      </c>
      <c r="G4629" s="63" t="s">
        <v>453</v>
      </c>
      <c r="H4629" s="64" t="n">
        <v>-1176203834.74677</v>
      </c>
      <c r="I4629" s="62" t="s">
        <v>81</v>
      </c>
      <c r="J4629" s="64" t="n">
        <v>-1176203.83474677</v>
      </c>
      <c r="K4629" s="62" t="s">
        <v>138</v>
      </c>
      <c r="L4629" s="68" t="b">
        <f aca="false">TRUE()</f>
        <v>1</v>
      </c>
    </row>
    <row r="4630" customFormat="false" ht="15" hidden="false" customHeight="false" outlineLevel="0" collapsed="false">
      <c r="A4630" s="62" t="n">
        <v>1</v>
      </c>
      <c r="B4630" s="21" t="s">
        <v>336</v>
      </c>
      <c r="C4630" s="62" t="s">
        <v>60</v>
      </c>
      <c r="D4630" s="62" t="s">
        <v>387</v>
      </c>
      <c r="E4630" s="62" t="s">
        <v>72</v>
      </c>
      <c r="F4630" s="62" t="s">
        <v>382</v>
      </c>
      <c r="G4630" s="63" t="s">
        <v>453</v>
      </c>
      <c r="H4630" s="64" t="n">
        <v>716265408.609078</v>
      </c>
      <c r="I4630" s="62" t="s">
        <v>81</v>
      </c>
      <c r="J4630" s="64" t="n">
        <v>716265.408609078</v>
      </c>
      <c r="K4630" s="62" t="s">
        <v>138</v>
      </c>
      <c r="L4630" s="68" t="b">
        <f aca="false">TRUE()</f>
        <v>1</v>
      </c>
    </row>
    <row r="4631" customFormat="false" ht="15" hidden="false" customHeight="false" outlineLevel="0" collapsed="false">
      <c r="A4631" s="62" t="n">
        <v>1</v>
      </c>
      <c r="B4631" s="21" t="s">
        <v>336</v>
      </c>
      <c r="C4631" s="62" t="s">
        <v>60</v>
      </c>
      <c r="D4631" s="62" t="s">
        <v>388</v>
      </c>
      <c r="E4631" s="62" t="s">
        <v>72</v>
      </c>
      <c r="F4631" s="62" t="s">
        <v>382</v>
      </c>
      <c r="G4631" s="63" t="s">
        <v>453</v>
      </c>
      <c r="H4631" s="64" t="n">
        <v>-146246014.389282</v>
      </c>
      <c r="I4631" s="62" t="s">
        <v>81</v>
      </c>
      <c r="J4631" s="64" t="n">
        <v>-146246.014389282</v>
      </c>
      <c r="K4631" s="62" t="s">
        <v>138</v>
      </c>
      <c r="L4631" s="68" t="b">
        <f aca="false">TRUE()</f>
        <v>1</v>
      </c>
    </row>
    <row r="4632" customFormat="false" ht="15" hidden="false" customHeight="false" outlineLevel="0" collapsed="false">
      <c r="A4632" s="62" t="n">
        <v>1</v>
      </c>
      <c r="B4632" s="21" t="s">
        <v>336</v>
      </c>
      <c r="C4632" s="62" t="s">
        <v>60</v>
      </c>
      <c r="D4632" s="62" t="s">
        <v>381</v>
      </c>
      <c r="E4632" s="62" t="s">
        <v>72</v>
      </c>
      <c r="F4632" s="62" t="s">
        <v>382</v>
      </c>
      <c r="G4632" s="63" t="s">
        <v>454</v>
      </c>
      <c r="H4632" s="64" t="n">
        <v>1178203834.74677</v>
      </c>
      <c r="I4632" s="62" t="s">
        <v>81</v>
      </c>
      <c r="J4632" s="64" t="n">
        <v>1178203.83474677</v>
      </c>
      <c r="K4632" s="62" t="s">
        <v>138</v>
      </c>
      <c r="L4632" s="68" t="b">
        <f aca="false">TRUE()</f>
        <v>1</v>
      </c>
    </row>
    <row r="4633" customFormat="false" ht="15" hidden="false" customHeight="false" outlineLevel="0" collapsed="false">
      <c r="A4633" s="62" t="n">
        <v>1</v>
      </c>
      <c r="B4633" s="21" t="s">
        <v>336</v>
      </c>
      <c r="C4633" s="62" t="s">
        <v>60</v>
      </c>
      <c r="D4633" s="62" t="s">
        <v>383</v>
      </c>
      <c r="E4633" s="62" t="s">
        <v>72</v>
      </c>
      <c r="F4633" s="62" t="s">
        <v>382</v>
      </c>
      <c r="G4633" s="63" t="s">
        <v>454</v>
      </c>
      <c r="H4633" s="64" t="n">
        <v>1178203834.74677</v>
      </c>
      <c r="I4633" s="62" t="s">
        <v>81</v>
      </c>
      <c r="J4633" s="64" t="n">
        <v>1178203.83474677</v>
      </c>
      <c r="K4633" s="62" t="s">
        <v>138</v>
      </c>
      <c r="L4633" s="68" t="b">
        <f aca="false">TRUE()</f>
        <v>1</v>
      </c>
    </row>
    <row r="4634" customFormat="false" ht="15" hidden="false" customHeight="false" outlineLevel="0" collapsed="false">
      <c r="A4634" s="62" t="n">
        <v>1</v>
      </c>
      <c r="B4634" s="21" t="s">
        <v>336</v>
      </c>
      <c r="C4634" s="62" t="s">
        <v>60</v>
      </c>
      <c r="D4634" s="62" t="s">
        <v>384</v>
      </c>
      <c r="E4634" s="62" t="s">
        <v>72</v>
      </c>
      <c r="F4634" s="62" t="s">
        <v>382</v>
      </c>
      <c r="G4634" s="63" t="s">
        <v>454</v>
      </c>
      <c r="H4634" s="64" t="n">
        <v>1178203834.74677</v>
      </c>
      <c r="I4634" s="62" t="s">
        <v>81</v>
      </c>
      <c r="J4634" s="64" t="n">
        <v>1178203.83474677</v>
      </c>
      <c r="K4634" s="62" t="s">
        <v>138</v>
      </c>
      <c r="L4634" s="68" t="b">
        <f aca="false">TRUE()</f>
        <v>1</v>
      </c>
    </row>
    <row r="4635" customFormat="false" ht="15" hidden="false" customHeight="false" outlineLevel="0" collapsed="false">
      <c r="A4635" s="62" t="n">
        <v>1</v>
      </c>
      <c r="B4635" s="21" t="s">
        <v>336</v>
      </c>
      <c r="C4635" s="62" t="s">
        <v>60</v>
      </c>
      <c r="D4635" s="62" t="s">
        <v>385</v>
      </c>
      <c r="E4635" s="62" t="s">
        <v>72</v>
      </c>
      <c r="F4635" s="62" t="s">
        <v>382</v>
      </c>
      <c r="G4635" s="63" t="s">
        <v>454</v>
      </c>
      <c r="H4635" s="64" t="n">
        <v>1178203834.74677</v>
      </c>
      <c r="I4635" s="62" t="s">
        <v>81</v>
      </c>
      <c r="J4635" s="64" t="n">
        <v>1178203.83474677</v>
      </c>
      <c r="K4635" s="62" t="s">
        <v>138</v>
      </c>
      <c r="L4635" s="68" t="b">
        <f aca="false">TRUE()</f>
        <v>1</v>
      </c>
    </row>
    <row r="4636" customFormat="false" ht="15" hidden="false" customHeight="false" outlineLevel="0" collapsed="false">
      <c r="A4636" s="62" t="n">
        <v>1</v>
      </c>
      <c r="B4636" s="21" t="s">
        <v>336</v>
      </c>
      <c r="C4636" s="62" t="s">
        <v>60</v>
      </c>
      <c r="D4636" s="62" t="s">
        <v>386</v>
      </c>
      <c r="E4636" s="62" t="s">
        <v>72</v>
      </c>
      <c r="F4636" s="62" t="s">
        <v>382</v>
      </c>
      <c r="G4636" s="63" t="s">
        <v>454</v>
      </c>
      <c r="H4636" s="64" t="n">
        <v>1178203834.74677</v>
      </c>
      <c r="I4636" s="62" t="s">
        <v>81</v>
      </c>
      <c r="J4636" s="64" t="n">
        <v>1178203.83474677</v>
      </c>
      <c r="K4636" s="62" t="s">
        <v>138</v>
      </c>
      <c r="L4636" s="68" t="b">
        <f aca="false">TRUE()</f>
        <v>1</v>
      </c>
    </row>
    <row r="4637" customFormat="false" ht="15" hidden="false" customHeight="false" outlineLevel="0" collapsed="false">
      <c r="A4637" s="62" t="n">
        <v>1</v>
      </c>
      <c r="B4637" s="21" t="s">
        <v>336</v>
      </c>
      <c r="C4637" s="62" t="s">
        <v>60</v>
      </c>
      <c r="D4637" s="62" t="s">
        <v>387</v>
      </c>
      <c r="E4637" s="62" t="s">
        <v>72</v>
      </c>
      <c r="F4637" s="62" t="s">
        <v>382</v>
      </c>
      <c r="G4637" s="63" t="s">
        <v>454</v>
      </c>
      <c r="H4637" s="64" t="n">
        <v>1178203834.74677</v>
      </c>
      <c r="I4637" s="62" t="s">
        <v>81</v>
      </c>
      <c r="J4637" s="64" t="n">
        <v>1178203.83474677</v>
      </c>
      <c r="K4637" s="62" t="s">
        <v>138</v>
      </c>
      <c r="L4637" s="68" t="b">
        <f aca="false">TRUE()</f>
        <v>1</v>
      </c>
    </row>
    <row r="4638" customFormat="false" ht="15" hidden="false" customHeight="false" outlineLevel="0" collapsed="false">
      <c r="A4638" s="62" t="n">
        <v>1</v>
      </c>
      <c r="B4638" s="21" t="s">
        <v>336</v>
      </c>
      <c r="C4638" s="62" t="s">
        <v>60</v>
      </c>
      <c r="D4638" s="62" t="s">
        <v>388</v>
      </c>
      <c r="E4638" s="62" t="s">
        <v>72</v>
      </c>
      <c r="F4638" s="62" t="s">
        <v>382</v>
      </c>
      <c r="G4638" s="63" t="s">
        <v>454</v>
      </c>
      <c r="H4638" s="64" t="n">
        <v>1178203834.74677</v>
      </c>
      <c r="I4638" s="62" t="s">
        <v>81</v>
      </c>
      <c r="J4638" s="64" t="n">
        <v>1178203.83474677</v>
      </c>
      <c r="K4638" s="62" t="s">
        <v>138</v>
      </c>
      <c r="L4638" s="68" t="b">
        <f aca="false">TRUE()</f>
        <v>1</v>
      </c>
    </row>
    <row r="4639" customFormat="false" ht="15" hidden="false" customHeight="false" outlineLevel="0" collapsed="false">
      <c r="A4639" s="62" t="n">
        <v>1</v>
      </c>
      <c r="B4639" s="21" t="s">
        <v>336</v>
      </c>
      <c r="C4639" s="62" t="s">
        <v>60</v>
      </c>
      <c r="D4639" s="62" t="s">
        <v>381</v>
      </c>
      <c r="E4639" s="62" t="s">
        <v>72</v>
      </c>
      <c r="F4639" s="62" t="s">
        <v>382</v>
      </c>
      <c r="G4639" s="63" t="s">
        <v>455</v>
      </c>
      <c r="H4639" s="64" t="n">
        <v>1708729886.28571</v>
      </c>
      <c r="I4639" s="62" t="s">
        <v>81</v>
      </c>
      <c r="J4639" s="64" t="n">
        <v>1708729.88628571</v>
      </c>
      <c r="K4639" s="62" t="s">
        <v>138</v>
      </c>
      <c r="L4639" s="68" t="b">
        <f aca="false">TRUE()</f>
        <v>1</v>
      </c>
    </row>
    <row r="4640" customFormat="false" ht="15" hidden="false" customHeight="false" outlineLevel="0" collapsed="false">
      <c r="A4640" s="62" t="n">
        <v>1</v>
      </c>
      <c r="B4640" s="21" t="s">
        <v>336</v>
      </c>
      <c r="C4640" s="62" t="s">
        <v>60</v>
      </c>
      <c r="D4640" s="62" t="s">
        <v>383</v>
      </c>
      <c r="E4640" s="62" t="s">
        <v>72</v>
      </c>
      <c r="F4640" s="62" t="s">
        <v>382</v>
      </c>
      <c r="G4640" s="63" t="s">
        <v>455</v>
      </c>
      <c r="H4640" s="64" t="n">
        <v>3920187283.30104</v>
      </c>
      <c r="I4640" s="62" t="s">
        <v>81</v>
      </c>
      <c r="J4640" s="64" t="n">
        <v>3920187.28330104</v>
      </c>
      <c r="K4640" s="62" t="s">
        <v>138</v>
      </c>
      <c r="L4640" s="68" t="b">
        <f aca="false">TRUE()</f>
        <v>1</v>
      </c>
    </row>
    <row r="4641" customFormat="false" ht="15" hidden="false" customHeight="false" outlineLevel="0" collapsed="false">
      <c r="A4641" s="62" t="n">
        <v>1</v>
      </c>
      <c r="B4641" s="21" t="s">
        <v>336</v>
      </c>
      <c r="C4641" s="62" t="s">
        <v>60</v>
      </c>
      <c r="D4641" s="62" t="s">
        <v>384</v>
      </c>
      <c r="E4641" s="62" t="s">
        <v>72</v>
      </c>
      <c r="F4641" s="62" t="s">
        <v>382</v>
      </c>
      <c r="G4641" s="63" t="s">
        <v>455</v>
      </c>
      <c r="H4641" s="64" t="n">
        <v>5121377793.68531</v>
      </c>
      <c r="I4641" s="62" t="s">
        <v>81</v>
      </c>
      <c r="J4641" s="64" t="n">
        <v>5121377.79368531</v>
      </c>
      <c r="K4641" s="62" t="s">
        <v>138</v>
      </c>
      <c r="L4641" s="68" t="b">
        <f aca="false">TRUE()</f>
        <v>1</v>
      </c>
    </row>
    <row r="4642" customFormat="false" ht="15" hidden="false" customHeight="false" outlineLevel="0" collapsed="false">
      <c r="A4642" s="62" t="n">
        <v>1</v>
      </c>
      <c r="B4642" s="21" t="s">
        <v>336</v>
      </c>
      <c r="C4642" s="62" t="s">
        <v>60</v>
      </c>
      <c r="D4642" s="62" t="s">
        <v>385</v>
      </c>
      <c r="E4642" s="62" t="s">
        <v>72</v>
      </c>
      <c r="F4642" s="62" t="s">
        <v>382</v>
      </c>
      <c r="G4642" s="63" t="s">
        <v>455</v>
      </c>
      <c r="H4642" s="64" t="n">
        <v>3425418134.54224</v>
      </c>
      <c r="I4642" s="62" t="s">
        <v>81</v>
      </c>
      <c r="J4642" s="64" t="n">
        <v>3425418.13454224</v>
      </c>
      <c r="K4642" s="62" t="s">
        <v>138</v>
      </c>
      <c r="L4642" s="68" t="b">
        <f aca="false">TRUE()</f>
        <v>1</v>
      </c>
    </row>
    <row r="4643" customFormat="false" ht="15" hidden="false" customHeight="false" outlineLevel="0" collapsed="false">
      <c r="A4643" s="62" t="n">
        <v>1</v>
      </c>
      <c r="B4643" s="21" t="s">
        <v>336</v>
      </c>
      <c r="C4643" s="62" t="s">
        <v>60</v>
      </c>
      <c r="D4643" s="62" t="s">
        <v>386</v>
      </c>
      <c r="E4643" s="62" t="s">
        <v>72</v>
      </c>
      <c r="F4643" s="62" t="s">
        <v>382</v>
      </c>
      <c r="G4643" s="63" t="s">
        <v>455</v>
      </c>
      <c r="H4643" s="64" t="n">
        <v>2000000</v>
      </c>
      <c r="I4643" s="62" t="s">
        <v>81</v>
      </c>
      <c r="J4643" s="64" t="n">
        <v>2000</v>
      </c>
      <c r="K4643" s="62" t="s">
        <v>138</v>
      </c>
      <c r="L4643" s="68" t="b">
        <f aca="false">TRUE()</f>
        <v>1</v>
      </c>
    </row>
    <row r="4644" customFormat="false" ht="15" hidden="false" customHeight="false" outlineLevel="0" collapsed="false">
      <c r="A4644" s="62" t="n">
        <v>1</v>
      </c>
      <c r="B4644" s="21" t="s">
        <v>336</v>
      </c>
      <c r="C4644" s="62" t="s">
        <v>60</v>
      </c>
      <c r="D4644" s="62" t="s">
        <v>387</v>
      </c>
      <c r="E4644" s="62" t="s">
        <v>72</v>
      </c>
      <c r="F4644" s="62" t="s">
        <v>382</v>
      </c>
      <c r="G4644" s="63" t="s">
        <v>455</v>
      </c>
      <c r="H4644" s="64" t="n">
        <v>1894469243.35585</v>
      </c>
      <c r="I4644" s="62" t="s">
        <v>81</v>
      </c>
      <c r="J4644" s="64" t="n">
        <v>1894469.24335585</v>
      </c>
      <c r="K4644" s="62" t="s">
        <v>138</v>
      </c>
      <c r="L4644" s="68" t="b">
        <f aca="false">TRUE()</f>
        <v>1</v>
      </c>
    </row>
    <row r="4645" customFormat="false" ht="15" hidden="false" customHeight="false" outlineLevel="0" collapsed="false">
      <c r="A4645" s="62" t="n">
        <v>1</v>
      </c>
      <c r="B4645" s="21" t="s">
        <v>336</v>
      </c>
      <c r="C4645" s="62" t="s">
        <v>60</v>
      </c>
      <c r="D4645" s="62" t="s">
        <v>388</v>
      </c>
      <c r="E4645" s="62" t="s">
        <v>72</v>
      </c>
      <c r="F4645" s="62" t="s">
        <v>382</v>
      </c>
      <c r="G4645" s="63" t="s">
        <v>455</v>
      </c>
      <c r="H4645" s="64" t="n">
        <v>1031957820.35749</v>
      </c>
      <c r="I4645" s="62" t="s">
        <v>81</v>
      </c>
      <c r="J4645" s="64" t="n">
        <v>1031957.82035749</v>
      </c>
      <c r="K4645" s="62" t="s">
        <v>138</v>
      </c>
      <c r="L4645" s="68" t="b">
        <f aca="false">TRUE()</f>
        <v>1</v>
      </c>
    </row>
    <row r="4646" customFormat="false" ht="15" hidden="false" customHeight="false" outlineLevel="0" collapsed="false">
      <c r="A4646" s="62" t="n">
        <v>1</v>
      </c>
      <c r="B4646" s="21" t="s">
        <v>336</v>
      </c>
      <c r="C4646" s="62" t="s">
        <v>60</v>
      </c>
      <c r="D4646" s="62" t="s">
        <v>381</v>
      </c>
      <c r="E4646" s="62" t="s">
        <v>72</v>
      </c>
      <c r="F4646" s="62" t="s">
        <v>382</v>
      </c>
      <c r="G4646" s="63" t="s">
        <v>457</v>
      </c>
      <c r="H4646" s="64" t="n">
        <v>5350954458.17576</v>
      </c>
      <c r="I4646" s="62" t="s">
        <v>81</v>
      </c>
      <c r="J4646" s="64" t="n">
        <v>5350954.45817576</v>
      </c>
      <c r="K4646" s="62" t="s">
        <v>138</v>
      </c>
      <c r="L4646" s="68" t="b">
        <f aca="false">TRUE()</f>
        <v>1</v>
      </c>
    </row>
    <row r="4647" customFormat="false" ht="15" hidden="false" customHeight="false" outlineLevel="0" collapsed="false">
      <c r="A4647" s="62" t="n">
        <v>1</v>
      </c>
      <c r="B4647" s="21" t="s">
        <v>336</v>
      </c>
      <c r="C4647" s="62" t="s">
        <v>60</v>
      </c>
      <c r="D4647" s="62" t="s">
        <v>383</v>
      </c>
      <c r="E4647" s="62" t="s">
        <v>72</v>
      </c>
      <c r="F4647" s="62" t="s">
        <v>382</v>
      </c>
      <c r="G4647" s="63" t="s">
        <v>457</v>
      </c>
      <c r="H4647" s="64" t="n">
        <v>14275063587.1324</v>
      </c>
      <c r="I4647" s="62" t="s">
        <v>81</v>
      </c>
      <c r="J4647" s="64" t="n">
        <v>14275063.5871324</v>
      </c>
      <c r="K4647" s="62" t="s">
        <v>138</v>
      </c>
      <c r="L4647" s="68" t="b">
        <f aca="false">TRUE()</f>
        <v>1</v>
      </c>
    </row>
    <row r="4648" customFormat="false" ht="15" hidden="false" customHeight="false" outlineLevel="0" collapsed="false">
      <c r="A4648" s="62" t="n">
        <v>1</v>
      </c>
      <c r="B4648" s="21" t="s">
        <v>336</v>
      </c>
      <c r="C4648" s="62" t="s">
        <v>60</v>
      </c>
      <c r="D4648" s="62" t="s">
        <v>384</v>
      </c>
      <c r="E4648" s="62" t="s">
        <v>72</v>
      </c>
      <c r="F4648" s="62" t="s">
        <v>382</v>
      </c>
      <c r="G4648" s="63" t="s">
        <v>457</v>
      </c>
      <c r="H4648" s="64" t="n">
        <v>11709349501.2454</v>
      </c>
      <c r="I4648" s="62" t="s">
        <v>81</v>
      </c>
      <c r="J4648" s="64" t="n">
        <v>11709349.5012454</v>
      </c>
      <c r="K4648" s="62" t="s">
        <v>138</v>
      </c>
      <c r="L4648" s="68" t="b">
        <f aca="false">TRUE()</f>
        <v>1</v>
      </c>
    </row>
    <row r="4649" customFormat="false" ht="15" hidden="false" customHeight="false" outlineLevel="0" collapsed="false">
      <c r="A4649" s="62" t="n">
        <v>1</v>
      </c>
      <c r="B4649" s="21" t="s">
        <v>336</v>
      </c>
      <c r="C4649" s="62" t="s">
        <v>60</v>
      </c>
      <c r="D4649" s="62" t="s">
        <v>385</v>
      </c>
      <c r="E4649" s="62" t="s">
        <v>72</v>
      </c>
      <c r="F4649" s="62" t="s">
        <v>382</v>
      </c>
      <c r="G4649" s="63" t="s">
        <v>457</v>
      </c>
      <c r="H4649" s="64" t="n">
        <v>8521950468.85982</v>
      </c>
      <c r="I4649" s="62" t="s">
        <v>81</v>
      </c>
      <c r="J4649" s="64" t="n">
        <v>8521950.46885982</v>
      </c>
      <c r="K4649" s="62" t="s">
        <v>138</v>
      </c>
      <c r="L4649" s="68" t="b">
        <f aca="false">TRUE()</f>
        <v>1</v>
      </c>
    </row>
    <row r="4650" customFormat="false" ht="15" hidden="false" customHeight="false" outlineLevel="0" collapsed="false">
      <c r="A4650" s="62" t="n">
        <v>1</v>
      </c>
      <c r="B4650" s="21" t="s">
        <v>336</v>
      </c>
      <c r="C4650" s="62" t="s">
        <v>60</v>
      </c>
      <c r="D4650" s="62" t="s">
        <v>386</v>
      </c>
      <c r="E4650" s="62" t="s">
        <v>72</v>
      </c>
      <c r="F4650" s="62" t="s">
        <v>382</v>
      </c>
      <c r="G4650" s="63" t="s">
        <v>457</v>
      </c>
      <c r="H4650" s="64" t="n">
        <v>7427498938.36044</v>
      </c>
      <c r="I4650" s="62" t="s">
        <v>81</v>
      </c>
      <c r="J4650" s="64" t="n">
        <v>7427498.93836044</v>
      </c>
      <c r="K4650" s="62" t="s">
        <v>138</v>
      </c>
      <c r="L4650" s="68" t="b">
        <f aca="false">TRUE()</f>
        <v>1</v>
      </c>
    </row>
    <row r="4651" customFormat="false" ht="15" hidden="false" customHeight="false" outlineLevel="0" collapsed="false">
      <c r="A4651" s="62" t="n">
        <v>1</v>
      </c>
      <c r="B4651" s="21" t="s">
        <v>336</v>
      </c>
      <c r="C4651" s="62" t="s">
        <v>60</v>
      </c>
      <c r="D4651" s="62" t="s">
        <v>387</v>
      </c>
      <c r="E4651" s="62" t="s">
        <v>72</v>
      </c>
      <c r="F4651" s="62" t="s">
        <v>382</v>
      </c>
      <c r="G4651" s="63" t="s">
        <v>457</v>
      </c>
      <c r="H4651" s="64" t="n">
        <v>8922860721.90879</v>
      </c>
      <c r="I4651" s="62" t="s">
        <v>81</v>
      </c>
      <c r="J4651" s="64" t="n">
        <v>8922860.72190879</v>
      </c>
      <c r="K4651" s="62" t="s">
        <v>138</v>
      </c>
      <c r="L4651" s="68" t="b">
        <f aca="false">TRUE()</f>
        <v>1</v>
      </c>
    </row>
    <row r="4652" customFormat="false" ht="15" hidden="false" customHeight="false" outlineLevel="0" collapsed="false">
      <c r="A4652" s="62" t="n">
        <v>1</v>
      </c>
      <c r="B4652" s="21" t="s">
        <v>336</v>
      </c>
      <c r="C4652" s="62" t="s">
        <v>60</v>
      </c>
      <c r="D4652" s="62" t="s">
        <v>388</v>
      </c>
      <c r="E4652" s="62" t="s">
        <v>72</v>
      </c>
      <c r="F4652" s="62" t="s">
        <v>382</v>
      </c>
      <c r="G4652" s="63" t="s">
        <v>457</v>
      </c>
      <c r="H4652" s="64" t="n">
        <v>1795551710.89825</v>
      </c>
      <c r="I4652" s="62" t="s">
        <v>81</v>
      </c>
      <c r="J4652" s="64" t="n">
        <v>1795551.71089825</v>
      </c>
      <c r="K4652" s="62" t="s">
        <v>138</v>
      </c>
      <c r="L4652" s="68" t="b">
        <f aca="false">TRUE()</f>
        <v>1</v>
      </c>
    </row>
    <row r="4653" customFormat="false" ht="15" hidden="false" customHeight="false" outlineLevel="0" collapsed="false">
      <c r="A4653" s="62" t="n">
        <v>1</v>
      </c>
      <c r="B4653" s="21" t="s">
        <v>336</v>
      </c>
      <c r="C4653" s="62" t="s">
        <v>60</v>
      </c>
      <c r="D4653" s="62" t="s">
        <v>381</v>
      </c>
      <c r="E4653" s="62" t="s">
        <v>72</v>
      </c>
      <c r="F4653" s="62" t="s">
        <v>382</v>
      </c>
      <c r="G4653" s="63" t="s">
        <v>458</v>
      </c>
      <c r="H4653" s="64" t="n">
        <v>62809166723.7419</v>
      </c>
      <c r="I4653" s="62" t="s">
        <v>81</v>
      </c>
      <c r="J4653" s="64" t="n">
        <v>62809166.7237419</v>
      </c>
      <c r="K4653" s="62" t="s">
        <v>138</v>
      </c>
      <c r="L4653" s="68" t="b">
        <f aca="false">TRUE()</f>
        <v>1</v>
      </c>
    </row>
    <row r="4654" customFormat="false" ht="15" hidden="false" customHeight="false" outlineLevel="0" collapsed="false">
      <c r="A4654" s="62" t="n">
        <v>1</v>
      </c>
      <c r="B4654" s="21" t="s">
        <v>336</v>
      </c>
      <c r="C4654" s="62" t="s">
        <v>60</v>
      </c>
      <c r="D4654" s="62" t="s">
        <v>383</v>
      </c>
      <c r="E4654" s="62" t="s">
        <v>72</v>
      </c>
      <c r="F4654" s="62" t="s">
        <v>382</v>
      </c>
      <c r="G4654" s="63" t="s">
        <v>458</v>
      </c>
      <c r="H4654" s="64" t="n">
        <v>125366249109.054</v>
      </c>
      <c r="I4654" s="62" t="s">
        <v>81</v>
      </c>
      <c r="J4654" s="64" t="n">
        <v>125366249.109054</v>
      </c>
      <c r="K4654" s="62" t="s">
        <v>138</v>
      </c>
      <c r="L4654" s="68" t="b">
        <f aca="false">TRUE()</f>
        <v>1</v>
      </c>
    </row>
    <row r="4655" customFormat="false" ht="15" hidden="false" customHeight="false" outlineLevel="0" collapsed="false">
      <c r="A4655" s="62" t="n">
        <v>1</v>
      </c>
      <c r="B4655" s="21" t="s">
        <v>336</v>
      </c>
      <c r="C4655" s="62" t="s">
        <v>60</v>
      </c>
      <c r="D4655" s="62" t="s">
        <v>384</v>
      </c>
      <c r="E4655" s="62" t="s">
        <v>72</v>
      </c>
      <c r="F4655" s="62" t="s">
        <v>382</v>
      </c>
      <c r="G4655" s="63" t="s">
        <v>458</v>
      </c>
      <c r="H4655" s="64" t="n">
        <v>105125626436.938</v>
      </c>
      <c r="I4655" s="62" t="s">
        <v>81</v>
      </c>
      <c r="J4655" s="64" t="n">
        <v>105125626.436938</v>
      </c>
      <c r="K4655" s="62" t="s">
        <v>138</v>
      </c>
      <c r="L4655" s="68" t="b">
        <f aca="false">TRUE()</f>
        <v>1</v>
      </c>
    </row>
    <row r="4656" customFormat="false" ht="15" hidden="false" customHeight="false" outlineLevel="0" collapsed="false">
      <c r="A4656" s="62" t="n">
        <v>1</v>
      </c>
      <c r="B4656" s="21" t="s">
        <v>336</v>
      </c>
      <c r="C4656" s="62" t="s">
        <v>60</v>
      </c>
      <c r="D4656" s="62" t="s">
        <v>385</v>
      </c>
      <c r="E4656" s="62" t="s">
        <v>72</v>
      </c>
      <c r="F4656" s="62" t="s">
        <v>382</v>
      </c>
      <c r="G4656" s="63" t="s">
        <v>458</v>
      </c>
      <c r="H4656" s="64" t="n">
        <v>89435100311.436</v>
      </c>
      <c r="I4656" s="62" t="s">
        <v>81</v>
      </c>
      <c r="J4656" s="64" t="n">
        <v>89435100.311436</v>
      </c>
      <c r="K4656" s="62" t="s">
        <v>138</v>
      </c>
      <c r="L4656" s="68" t="b">
        <f aca="false">TRUE()</f>
        <v>1</v>
      </c>
    </row>
    <row r="4657" customFormat="false" ht="15" hidden="false" customHeight="false" outlineLevel="0" collapsed="false">
      <c r="A4657" s="62" t="n">
        <v>1</v>
      </c>
      <c r="B4657" s="21" t="s">
        <v>336</v>
      </c>
      <c r="C4657" s="62" t="s">
        <v>60</v>
      </c>
      <c r="D4657" s="62" t="s">
        <v>386</v>
      </c>
      <c r="E4657" s="62" t="s">
        <v>72</v>
      </c>
      <c r="F4657" s="62" t="s">
        <v>382</v>
      </c>
      <c r="G4657" s="63" t="s">
        <v>458</v>
      </c>
      <c r="H4657" s="64" t="n">
        <v>82557056167.0494</v>
      </c>
      <c r="I4657" s="62" t="s">
        <v>81</v>
      </c>
      <c r="J4657" s="64" t="n">
        <v>82557056.1670494</v>
      </c>
      <c r="K4657" s="62" t="s">
        <v>138</v>
      </c>
      <c r="L4657" s="68" t="b">
        <f aca="false">TRUE()</f>
        <v>1</v>
      </c>
    </row>
    <row r="4658" customFormat="false" ht="15" hidden="false" customHeight="false" outlineLevel="0" collapsed="false">
      <c r="A4658" s="62" t="n">
        <v>1</v>
      </c>
      <c r="B4658" s="21" t="s">
        <v>336</v>
      </c>
      <c r="C4658" s="62" t="s">
        <v>60</v>
      </c>
      <c r="D4658" s="62" t="s">
        <v>387</v>
      </c>
      <c r="E4658" s="62" t="s">
        <v>72</v>
      </c>
      <c r="F4658" s="62" t="s">
        <v>382</v>
      </c>
      <c r="G4658" s="63" t="s">
        <v>458</v>
      </c>
      <c r="H4658" s="64" t="n">
        <v>98420899230.6509</v>
      </c>
      <c r="I4658" s="62" t="s">
        <v>81</v>
      </c>
      <c r="J4658" s="64" t="n">
        <v>98420899.2306509</v>
      </c>
      <c r="K4658" s="62" t="s">
        <v>138</v>
      </c>
      <c r="L4658" s="68" t="b">
        <f aca="false">TRUE()</f>
        <v>1</v>
      </c>
    </row>
    <row r="4659" customFormat="false" ht="15" hidden="false" customHeight="false" outlineLevel="0" collapsed="false">
      <c r="A4659" s="62" t="n">
        <v>1</v>
      </c>
      <c r="B4659" s="21" t="s">
        <v>336</v>
      </c>
      <c r="C4659" s="62" t="s">
        <v>60</v>
      </c>
      <c r="D4659" s="62" t="s">
        <v>388</v>
      </c>
      <c r="E4659" s="62" t="s">
        <v>72</v>
      </c>
      <c r="F4659" s="62" t="s">
        <v>382</v>
      </c>
      <c r="G4659" s="63" t="s">
        <v>458</v>
      </c>
      <c r="H4659" s="64" t="n">
        <v>50425863034.9462</v>
      </c>
      <c r="I4659" s="62" t="s">
        <v>81</v>
      </c>
      <c r="J4659" s="64" t="n">
        <v>50425863.0349462</v>
      </c>
      <c r="K4659" s="62" t="s">
        <v>138</v>
      </c>
      <c r="L4659" s="68" t="b">
        <f aca="false">TRUE()</f>
        <v>1</v>
      </c>
    </row>
    <row r="4660" customFormat="false" ht="15" hidden="false" customHeight="false" outlineLevel="0" collapsed="false">
      <c r="A4660" s="62" t="n">
        <v>1</v>
      </c>
      <c r="B4660" s="21" t="s">
        <v>336</v>
      </c>
      <c r="C4660" s="62" t="s">
        <v>60</v>
      </c>
      <c r="D4660" s="62" t="s">
        <v>381</v>
      </c>
      <c r="E4660" s="62" t="s">
        <v>72</v>
      </c>
      <c r="F4660" s="62" t="s">
        <v>382</v>
      </c>
      <c r="G4660" s="63" t="s">
        <v>459</v>
      </c>
      <c r="H4660" s="64" t="n">
        <v>1625000000</v>
      </c>
      <c r="I4660" s="62" t="s">
        <v>81</v>
      </c>
      <c r="J4660" s="64" t="n">
        <v>1625000</v>
      </c>
      <c r="K4660" s="62" t="s">
        <v>138</v>
      </c>
      <c r="L4660" s="68" t="b">
        <f aca="false">TRUE()</f>
        <v>1</v>
      </c>
    </row>
    <row r="4661" customFormat="false" ht="15" hidden="false" customHeight="false" outlineLevel="0" collapsed="false">
      <c r="A4661" s="62" t="n">
        <v>1</v>
      </c>
      <c r="B4661" s="21" t="s">
        <v>336</v>
      </c>
      <c r="C4661" s="62" t="s">
        <v>60</v>
      </c>
      <c r="D4661" s="62" t="s">
        <v>383</v>
      </c>
      <c r="E4661" s="62" t="s">
        <v>72</v>
      </c>
      <c r="F4661" s="62" t="s">
        <v>382</v>
      </c>
      <c r="G4661" s="63" t="s">
        <v>459</v>
      </c>
      <c r="H4661" s="64" t="n">
        <v>1625000000</v>
      </c>
      <c r="I4661" s="62" t="s">
        <v>81</v>
      </c>
      <c r="J4661" s="64" t="n">
        <v>1625000</v>
      </c>
      <c r="K4661" s="62" t="s">
        <v>138</v>
      </c>
      <c r="L4661" s="68" t="b">
        <f aca="false">TRUE()</f>
        <v>1</v>
      </c>
    </row>
    <row r="4662" customFormat="false" ht="15" hidden="false" customHeight="false" outlineLevel="0" collapsed="false">
      <c r="A4662" s="62" t="n">
        <v>1</v>
      </c>
      <c r="B4662" s="21" t="s">
        <v>336</v>
      </c>
      <c r="C4662" s="62" t="s">
        <v>60</v>
      </c>
      <c r="D4662" s="62" t="s">
        <v>384</v>
      </c>
      <c r="E4662" s="62" t="s">
        <v>72</v>
      </c>
      <c r="F4662" s="62" t="s">
        <v>382</v>
      </c>
      <c r="G4662" s="63" t="s">
        <v>459</v>
      </c>
      <c r="H4662" s="64" t="n">
        <v>1625000000</v>
      </c>
      <c r="I4662" s="62" t="s">
        <v>81</v>
      </c>
      <c r="J4662" s="64" t="n">
        <v>1625000</v>
      </c>
      <c r="K4662" s="62" t="s">
        <v>138</v>
      </c>
      <c r="L4662" s="68" t="b">
        <f aca="false">TRUE()</f>
        <v>1</v>
      </c>
    </row>
    <row r="4663" customFormat="false" ht="15" hidden="false" customHeight="false" outlineLevel="0" collapsed="false">
      <c r="A4663" s="62" t="n">
        <v>1</v>
      </c>
      <c r="B4663" s="21" t="s">
        <v>336</v>
      </c>
      <c r="C4663" s="62" t="s">
        <v>60</v>
      </c>
      <c r="D4663" s="62" t="s">
        <v>385</v>
      </c>
      <c r="E4663" s="62" t="s">
        <v>72</v>
      </c>
      <c r="F4663" s="62" t="s">
        <v>382</v>
      </c>
      <c r="G4663" s="63" t="s">
        <v>459</v>
      </c>
      <c r="H4663" s="64" t="n">
        <v>1625000000</v>
      </c>
      <c r="I4663" s="62" t="s">
        <v>81</v>
      </c>
      <c r="J4663" s="64" t="n">
        <v>1625000</v>
      </c>
      <c r="K4663" s="62" t="s">
        <v>138</v>
      </c>
      <c r="L4663" s="68" t="b">
        <f aca="false">TRUE()</f>
        <v>1</v>
      </c>
    </row>
    <row r="4664" customFormat="false" ht="15" hidden="false" customHeight="false" outlineLevel="0" collapsed="false">
      <c r="A4664" s="62" t="n">
        <v>1</v>
      </c>
      <c r="B4664" s="21" t="s">
        <v>336</v>
      </c>
      <c r="C4664" s="62" t="s">
        <v>60</v>
      </c>
      <c r="D4664" s="62" t="s">
        <v>386</v>
      </c>
      <c r="E4664" s="62" t="s">
        <v>72</v>
      </c>
      <c r="F4664" s="62" t="s">
        <v>382</v>
      </c>
      <c r="G4664" s="63" t="s">
        <v>459</v>
      </c>
      <c r="H4664" s="64" t="n">
        <v>1625000000</v>
      </c>
      <c r="I4664" s="62" t="s">
        <v>81</v>
      </c>
      <c r="J4664" s="64" t="n">
        <v>1625000</v>
      </c>
      <c r="K4664" s="62" t="s">
        <v>138</v>
      </c>
      <c r="L4664" s="68" t="b">
        <f aca="false">TRUE()</f>
        <v>1</v>
      </c>
    </row>
    <row r="4665" customFormat="false" ht="15" hidden="false" customHeight="false" outlineLevel="0" collapsed="false">
      <c r="A4665" s="62" t="n">
        <v>1</v>
      </c>
      <c r="B4665" s="21" t="s">
        <v>336</v>
      </c>
      <c r="C4665" s="62" t="s">
        <v>60</v>
      </c>
      <c r="D4665" s="62" t="s">
        <v>387</v>
      </c>
      <c r="E4665" s="62" t="s">
        <v>72</v>
      </c>
      <c r="F4665" s="62" t="s">
        <v>382</v>
      </c>
      <c r="G4665" s="63" t="s">
        <v>459</v>
      </c>
      <c r="H4665" s="64" t="n">
        <v>1625000000</v>
      </c>
      <c r="I4665" s="62" t="s">
        <v>81</v>
      </c>
      <c r="J4665" s="64" t="n">
        <v>1625000</v>
      </c>
      <c r="K4665" s="62" t="s">
        <v>138</v>
      </c>
      <c r="L4665" s="68" t="b">
        <f aca="false">TRUE()</f>
        <v>1</v>
      </c>
    </row>
    <row r="4666" customFormat="false" ht="15" hidden="false" customHeight="false" outlineLevel="0" collapsed="false">
      <c r="A4666" s="62" t="n">
        <v>1</v>
      </c>
      <c r="B4666" s="21" t="s">
        <v>336</v>
      </c>
      <c r="C4666" s="62" t="s">
        <v>60</v>
      </c>
      <c r="D4666" s="62" t="s">
        <v>388</v>
      </c>
      <c r="E4666" s="62" t="s">
        <v>72</v>
      </c>
      <c r="F4666" s="62" t="s">
        <v>382</v>
      </c>
      <c r="G4666" s="63" t="s">
        <v>459</v>
      </c>
      <c r="H4666" s="64" t="n">
        <v>1625000000</v>
      </c>
      <c r="I4666" s="62" t="s">
        <v>81</v>
      </c>
      <c r="J4666" s="64" t="n">
        <v>1625000</v>
      </c>
      <c r="K4666" s="62" t="s">
        <v>138</v>
      </c>
      <c r="L4666" s="68" t="b">
        <f aca="false">TRUE()</f>
        <v>1</v>
      </c>
    </row>
    <row r="4667" customFormat="false" ht="15" hidden="false" customHeight="false" outlineLevel="0" collapsed="false">
      <c r="A4667" s="62" t="n">
        <v>1</v>
      </c>
      <c r="B4667" s="21" t="s">
        <v>336</v>
      </c>
      <c r="C4667" s="62" t="s">
        <v>60</v>
      </c>
      <c r="D4667" s="62" t="s">
        <v>381</v>
      </c>
      <c r="E4667" s="62" t="s">
        <v>72</v>
      </c>
      <c r="F4667" s="62" t="s">
        <v>382</v>
      </c>
      <c r="G4667" s="63" t="s">
        <v>460</v>
      </c>
      <c r="H4667" s="64" t="n">
        <v>38651.7949069181</v>
      </c>
      <c r="I4667" s="62" t="s">
        <v>81</v>
      </c>
      <c r="J4667" s="64" t="n">
        <v>38.6517949069181</v>
      </c>
      <c r="K4667" s="62" t="s">
        <v>138</v>
      </c>
      <c r="L4667" s="68" t="b">
        <f aca="false">TRUE()</f>
        <v>1</v>
      </c>
    </row>
    <row r="4668" customFormat="false" ht="15" hidden="false" customHeight="false" outlineLevel="0" collapsed="false">
      <c r="A4668" s="62" t="n">
        <v>1</v>
      </c>
      <c r="B4668" s="21" t="s">
        <v>336</v>
      </c>
      <c r="C4668" s="62" t="s">
        <v>60</v>
      </c>
      <c r="D4668" s="62" t="s">
        <v>383</v>
      </c>
      <c r="E4668" s="62" t="s">
        <v>72</v>
      </c>
      <c r="F4668" s="62" t="s">
        <v>382</v>
      </c>
      <c r="G4668" s="63" t="s">
        <v>460</v>
      </c>
      <c r="H4668" s="64" t="n">
        <v>77148.4609901871</v>
      </c>
      <c r="I4668" s="62" t="s">
        <v>81</v>
      </c>
      <c r="J4668" s="64" t="n">
        <v>77.1484609901871</v>
      </c>
      <c r="K4668" s="62" t="s">
        <v>138</v>
      </c>
      <c r="L4668" s="68" t="b">
        <f aca="false">TRUE()</f>
        <v>1</v>
      </c>
    </row>
    <row r="4669" customFormat="false" ht="15" hidden="false" customHeight="false" outlineLevel="0" collapsed="false">
      <c r="A4669" s="62" t="n">
        <v>1</v>
      </c>
      <c r="B4669" s="21" t="s">
        <v>336</v>
      </c>
      <c r="C4669" s="62" t="s">
        <v>60</v>
      </c>
      <c r="D4669" s="62" t="s">
        <v>384</v>
      </c>
      <c r="E4669" s="62" t="s">
        <v>72</v>
      </c>
      <c r="F4669" s="62" t="s">
        <v>382</v>
      </c>
      <c r="G4669" s="63" t="s">
        <v>460</v>
      </c>
      <c r="H4669" s="64" t="n">
        <v>64692.6931919616</v>
      </c>
      <c r="I4669" s="62" t="s">
        <v>81</v>
      </c>
      <c r="J4669" s="64" t="n">
        <v>64.6926931919616</v>
      </c>
      <c r="K4669" s="62" t="s">
        <v>138</v>
      </c>
      <c r="L4669" s="68" t="b">
        <f aca="false">TRUE()</f>
        <v>1</v>
      </c>
    </row>
    <row r="4670" customFormat="false" ht="15" hidden="false" customHeight="false" outlineLevel="0" collapsed="false">
      <c r="A4670" s="62" t="n">
        <v>1</v>
      </c>
      <c r="B4670" s="21" t="s">
        <v>336</v>
      </c>
      <c r="C4670" s="62" t="s">
        <v>60</v>
      </c>
      <c r="D4670" s="62" t="s">
        <v>385</v>
      </c>
      <c r="E4670" s="62" t="s">
        <v>72</v>
      </c>
      <c r="F4670" s="62" t="s">
        <v>382</v>
      </c>
      <c r="G4670" s="63" t="s">
        <v>460</v>
      </c>
      <c r="H4670" s="64" t="n">
        <v>55036.9848070375</v>
      </c>
      <c r="I4670" s="62" t="s">
        <v>81</v>
      </c>
      <c r="J4670" s="64" t="n">
        <v>55.0369848070375</v>
      </c>
      <c r="K4670" s="62" t="s">
        <v>138</v>
      </c>
      <c r="L4670" s="68" t="b">
        <f aca="false">TRUE()</f>
        <v>1</v>
      </c>
    </row>
    <row r="4671" customFormat="false" ht="15" hidden="false" customHeight="false" outlineLevel="0" collapsed="false">
      <c r="A4671" s="62" t="n">
        <v>1</v>
      </c>
      <c r="B4671" s="21" t="s">
        <v>336</v>
      </c>
      <c r="C4671" s="62" t="s">
        <v>60</v>
      </c>
      <c r="D4671" s="62" t="s">
        <v>386</v>
      </c>
      <c r="E4671" s="62" t="s">
        <v>72</v>
      </c>
      <c r="F4671" s="62" t="s">
        <v>382</v>
      </c>
      <c r="G4671" s="63" t="s">
        <v>460</v>
      </c>
      <c r="H4671" s="64" t="n">
        <v>50804.3422566458</v>
      </c>
      <c r="I4671" s="62" t="s">
        <v>81</v>
      </c>
      <c r="J4671" s="64" t="n">
        <v>50.8043422566458</v>
      </c>
      <c r="K4671" s="62" t="s">
        <v>138</v>
      </c>
      <c r="L4671" s="68" t="b">
        <f aca="false">TRUE()</f>
        <v>1</v>
      </c>
    </row>
    <row r="4672" customFormat="false" ht="15" hidden="false" customHeight="false" outlineLevel="0" collapsed="false">
      <c r="A4672" s="62" t="n">
        <v>1</v>
      </c>
      <c r="B4672" s="21" t="s">
        <v>336</v>
      </c>
      <c r="C4672" s="62" t="s">
        <v>60</v>
      </c>
      <c r="D4672" s="62" t="s">
        <v>387</v>
      </c>
      <c r="E4672" s="62" t="s">
        <v>72</v>
      </c>
      <c r="F4672" s="62" t="s">
        <v>382</v>
      </c>
      <c r="G4672" s="63" t="s">
        <v>460</v>
      </c>
      <c r="H4672" s="64" t="n">
        <v>60566.7072188621</v>
      </c>
      <c r="I4672" s="62" t="s">
        <v>81</v>
      </c>
      <c r="J4672" s="64" t="n">
        <v>60.5667072188621</v>
      </c>
      <c r="K4672" s="62" t="s">
        <v>138</v>
      </c>
      <c r="L4672" s="68" t="b">
        <f aca="false">TRUE()</f>
        <v>1</v>
      </c>
    </row>
    <row r="4673" customFormat="false" ht="15" hidden="false" customHeight="false" outlineLevel="0" collapsed="false">
      <c r="A4673" s="62" t="n">
        <v>1</v>
      </c>
      <c r="B4673" s="21" t="s">
        <v>336</v>
      </c>
      <c r="C4673" s="62" t="s">
        <v>60</v>
      </c>
      <c r="D4673" s="62" t="s">
        <v>388</v>
      </c>
      <c r="E4673" s="62" t="s">
        <v>72</v>
      </c>
      <c r="F4673" s="62" t="s">
        <v>382</v>
      </c>
      <c r="G4673" s="63" t="s">
        <v>460</v>
      </c>
      <c r="H4673" s="64" t="n">
        <v>31031.3003291977</v>
      </c>
      <c r="I4673" s="62" t="s">
        <v>81</v>
      </c>
      <c r="J4673" s="64" t="n">
        <v>31.0313003291977</v>
      </c>
      <c r="K4673" s="62" t="s">
        <v>138</v>
      </c>
      <c r="L4673" s="68" t="b">
        <f aca="false">TRUE()</f>
        <v>1</v>
      </c>
    </row>
    <row r="4674" customFormat="false" ht="15" hidden="false" customHeight="false" outlineLevel="0" collapsed="false">
      <c r="A4674" s="62" t="n">
        <v>1</v>
      </c>
      <c r="B4674" s="21" t="s">
        <v>336</v>
      </c>
      <c r="C4674" s="62" t="s">
        <v>60</v>
      </c>
      <c r="D4674" s="62" t="s">
        <v>381</v>
      </c>
      <c r="E4674" s="62" t="s">
        <v>72</v>
      </c>
      <c r="F4674" s="62" t="s">
        <v>382</v>
      </c>
      <c r="G4674" s="63" t="s">
        <v>461</v>
      </c>
      <c r="H4674" s="64" t="n">
        <v>33592.3600993318</v>
      </c>
      <c r="I4674" s="62" t="s">
        <v>81</v>
      </c>
      <c r="J4674" s="64" t="n">
        <v>33.5923600993318</v>
      </c>
      <c r="K4674" s="62" t="s">
        <v>138</v>
      </c>
      <c r="L4674" s="68" t="b">
        <f aca="false">TRUE()</f>
        <v>1</v>
      </c>
    </row>
    <row r="4675" customFormat="false" ht="15" hidden="false" customHeight="false" outlineLevel="0" collapsed="false">
      <c r="A4675" s="62" t="n">
        <v>1</v>
      </c>
      <c r="B4675" s="21" t="s">
        <v>336</v>
      </c>
      <c r="C4675" s="62" t="s">
        <v>60</v>
      </c>
      <c r="D4675" s="62" t="s">
        <v>383</v>
      </c>
      <c r="E4675" s="62" t="s">
        <v>72</v>
      </c>
      <c r="F4675" s="62" t="s">
        <v>382</v>
      </c>
      <c r="G4675" s="63" t="s">
        <v>461</v>
      </c>
      <c r="H4675" s="64" t="n">
        <v>33592.3600993318</v>
      </c>
      <c r="I4675" s="62" t="s">
        <v>81</v>
      </c>
      <c r="J4675" s="64" t="n">
        <v>33.5923600993318</v>
      </c>
      <c r="K4675" s="62" t="s">
        <v>138</v>
      </c>
      <c r="L4675" s="68" t="b">
        <f aca="false">TRUE()</f>
        <v>1</v>
      </c>
    </row>
    <row r="4676" customFormat="false" ht="15" hidden="false" customHeight="false" outlineLevel="0" collapsed="false">
      <c r="A4676" s="62" t="n">
        <v>1</v>
      </c>
      <c r="B4676" s="21" t="s">
        <v>336</v>
      </c>
      <c r="C4676" s="62" t="s">
        <v>60</v>
      </c>
      <c r="D4676" s="62" t="s">
        <v>384</v>
      </c>
      <c r="E4676" s="62" t="s">
        <v>72</v>
      </c>
      <c r="F4676" s="62" t="s">
        <v>382</v>
      </c>
      <c r="G4676" s="63" t="s">
        <v>461</v>
      </c>
      <c r="H4676" s="64" t="n">
        <v>33592.3600993318</v>
      </c>
      <c r="I4676" s="62" t="s">
        <v>81</v>
      </c>
      <c r="J4676" s="64" t="n">
        <v>33.5923600993318</v>
      </c>
      <c r="K4676" s="62" t="s">
        <v>138</v>
      </c>
      <c r="L4676" s="68" t="b">
        <f aca="false">TRUE()</f>
        <v>1</v>
      </c>
    </row>
    <row r="4677" customFormat="false" ht="15" hidden="false" customHeight="false" outlineLevel="0" collapsed="false">
      <c r="A4677" s="62" t="n">
        <v>1</v>
      </c>
      <c r="B4677" s="21" t="s">
        <v>336</v>
      </c>
      <c r="C4677" s="62" t="s">
        <v>60</v>
      </c>
      <c r="D4677" s="62" t="s">
        <v>385</v>
      </c>
      <c r="E4677" s="62" t="s">
        <v>72</v>
      </c>
      <c r="F4677" s="62" t="s">
        <v>382</v>
      </c>
      <c r="G4677" s="63" t="s">
        <v>461</v>
      </c>
      <c r="H4677" s="64" t="n">
        <v>33592.3600993318</v>
      </c>
      <c r="I4677" s="62" t="s">
        <v>81</v>
      </c>
      <c r="J4677" s="64" t="n">
        <v>33.5923600993318</v>
      </c>
      <c r="K4677" s="62" t="s">
        <v>138</v>
      </c>
      <c r="L4677" s="68" t="b">
        <f aca="false">TRUE()</f>
        <v>1</v>
      </c>
    </row>
    <row r="4678" customFormat="false" ht="15" hidden="false" customHeight="false" outlineLevel="0" collapsed="false">
      <c r="A4678" s="62" t="n">
        <v>1</v>
      </c>
      <c r="B4678" s="21" t="s">
        <v>336</v>
      </c>
      <c r="C4678" s="62" t="s">
        <v>60</v>
      </c>
      <c r="D4678" s="62" t="s">
        <v>386</v>
      </c>
      <c r="E4678" s="62" t="s">
        <v>72</v>
      </c>
      <c r="F4678" s="62" t="s">
        <v>382</v>
      </c>
      <c r="G4678" s="63" t="s">
        <v>461</v>
      </c>
      <c r="H4678" s="64" t="n">
        <v>33592.3600993318</v>
      </c>
      <c r="I4678" s="62" t="s">
        <v>81</v>
      </c>
      <c r="J4678" s="64" t="n">
        <v>33.5923600993318</v>
      </c>
      <c r="K4678" s="62" t="s">
        <v>138</v>
      </c>
      <c r="L4678" s="68" t="b">
        <f aca="false">TRUE()</f>
        <v>1</v>
      </c>
    </row>
    <row r="4679" customFormat="false" ht="15" hidden="false" customHeight="false" outlineLevel="0" collapsed="false">
      <c r="A4679" s="62" t="n">
        <v>1</v>
      </c>
      <c r="B4679" s="21" t="s">
        <v>336</v>
      </c>
      <c r="C4679" s="62" t="s">
        <v>60</v>
      </c>
      <c r="D4679" s="62" t="s">
        <v>387</v>
      </c>
      <c r="E4679" s="62" t="s">
        <v>72</v>
      </c>
      <c r="F4679" s="62" t="s">
        <v>382</v>
      </c>
      <c r="G4679" s="63" t="s">
        <v>461</v>
      </c>
      <c r="H4679" s="64" t="n">
        <v>33592.3600993318</v>
      </c>
      <c r="I4679" s="62" t="s">
        <v>81</v>
      </c>
      <c r="J4679" s="64" t="n">
        <v>33.5923600993318</v>
      </c>
      <c r="K4679" s="62" t="s">
        <v>138</v>
      </c>
      <c r="L4679" s="68" t="b">
        <f aca="false">TRUE()</f>
        <v>1</v>
      </c>
    </row>
    <row r="4680" customFormat="false" ht="15" hidden="false" customHeight="false" outlineLevel="0" collapsed="false">
      <c r="A4680" s="62" t="n">
        <v>1</v>
      </c>
      <c r="B4680" s="21" t="s">
        <v>336</v>
      </c>
      <c r="C4680" s="62" t="s">
        <v>60</v>
      </c>
      <c r="D4680" s="62" t="s">
        <v>388</v>
      </c>
      <c r="E4680" s="62" t="s">
        <v>72</v>
      </c>
      <c r="F4680" s="62" t="s">
        <v>382</v>
      </c>
      <c r="G4680" s="63" t="s">
        <v>461</v>
      </c>
      <c r="H4680" s="64" t="n">
        <v>33592.3600993318</v>
      </c>
      <c r="I4680" s="62" t="s">
        <v>81</v>
      </c>
      <c r="J4680" s="64" t="n">
        <v>33.5923600993318</v>
      </c>
      <c r="K4680" s="62" t="s">
        <v>138</v>
      </c>
      <c r="L4680" s="68" t="b">
        <f aca="false">TRUE()</f>
        <v>1</v>
      </c>
    </row>
    <row r="4681" customFormat="false" ht="15" hidden="false" customHeight="false" outlineLevel="0" collapsed="false">
      <c r="A4681" s="62" t="n">
        <v>1</v>
      </c>
      <c r="B4681" s="21" t="s">
        <v>336</v>
      </c>
      <c r="C4681" s="62" t="s">
        <v>60</v>
      </c>
      <c r="D4681" s="62" t="s">
        <v>381</v>
      </c>
      <c r="E4681" s="62" t="s">
        <v>72</v>
      </c>
      <c r="F4681" s="62" t="s">
        <v>382</v>
      </c>
      <c r="G4681" s="63" t="s">
        <v>462</v>
      </c>
      <c r="H4681" s="64" t="n">
        <v>3184.24858077921</v>
      </c>
      <c r="I4681" s="62" t="s">
        <v>81</v>
      </c>
      <c r="J4681" s="64" t="n">
        <v>3.18424858077921</v>
      </c>
      <c r="K4681" s="62" t="s">
        <v>138</v>
      </c>
      <c r="L4681" s="68" t="b">
        <f aca="false">TRUE()</f>
        <v>1</v>
      </c>
    </row>
    <row r="4682" customFormat="false" ht="15" hidden="false" customHeight="false" outlineLevel="0" collapsed="false">
      <c r="A4682" s="62" t="n">
        <v>1</v>
      </c>
      <c r="B4682" s="21" t="s">
        <v>336</v>
      </c>
      <c r="C4682" s="62" t="s">
        <v>60</v>
      </c>
      <c r="D4682" s="62" t="s">
        <v>383</v>
      </c>
      <c r="E4682" s="62" t="s">
        <v>72</v>
      </c>
      <c r="F4682" s="62" t="s">
        <v>382</v>
      </c>
      <c r="G4682" s="63" t="s">
        <v>462</v>
      </c>
      <c r="H4682" s="64" t="n">
        <v>660.929880161948</v>
      </c>
      <c r="I4682" s="62" t="s">
        <v>81</v>
      </c>
      <c r="J4682" s="64" t="n">
        <v>0.660929880161948</v>
      </c>
      <c r="K4682" s="62" t="s">
        <v>138</v>
      </c>
      <c r="L4682" s="68" t="b">
        <f aca="false">TRUE()</f>
        <v>1</v>
      </c>
    </row>
    <row r="4683" customFormat="false" ht="15" hidden="false" customHeight="false" outlineLevel="0" collapsed="false">
      <c r="A4683" s="62" t="n">
        <v>1</v>
      </c>
      <c r="B4683" s="21" t="s">
        <v>336</v>
      </c>
      <c r="C4683" s="62" t="s">
        <v>60</v>
      </c>
      <c r="D4683" s="62" t="s">
        <v>384</v>
      </c>
      <c r="E4683" s="62" t="s">
        <v>72</v>
      </c>
      <c r="F4683" s="62" t="s">
        <v>382</v>
      </c>
      <c r="G4683" s="63" t="s">
        <v>462</v>
      </c>
      <c r="H4683" s="64" t="n">
        <v>1576.74684677797</v>
      </c>
      <c r="I4683" s="62" t="s">
        <v>81</v>
      </c>
      <c r="J4683" s="64" t="n">
        <v>1.57674684677797</v>
      </c>
      <c r="K4683" s="62" t="s">
        <v>138</v>
      </c>
      <c r="L4683" s="68" t="b">
        <f aca="false">TRUE()</f>
        <v>1</v>
      </c>
    </row>
    <row r="4684" customFormat="false" ht="15" hidden="false" customHeight="false" outlineLevel="0" collapsed="false">
      <c r="A4684" s="62" t="n">
        <v>1</v>
      </c>
      <c r="B4684" s="21" t="s">
        <v>336</v>
      </c>
      <c r="C4684" s="62" t="s">
        <v>60</v>
      </c>
      <c r="D4684" s="62" t="s">
        <v>385</v>
      </c>
      <c r="E4684" s="62" t="s">
        <v>72</v>
      </c>
      <c r="F4684" s="62" t="s">
        <v>382</v>
      </c>
      <c r="G4684" s="63" t="s">
        <v>462</v>
      </c>
      <c r="H4684" s="64" t="n">
        <v>308.82058502559</v>
      </c>
      <c r="I4684" s="62" t="s">
        <v>81</v>
      </c>
      <c r="J4684" s="64" t="n">
        <v>0.30882058502559</v>
      </c>
      <c r="K4684" s="62" t="s">
        <v>138</v>
      </c>
      <c r="L4684" s="68" t="b">
        <f aca="false">TRUE()</f>
        <v>1</v>
      </c>
    </row>
    <row r="4685" customFormat="false" ht="15" hidden="false" customHeight="false" outlineLevel="0" collapsed="false">
      <c r="A4685" s="62" t="n">
        <v>1</v>
      </c>
      <c r="B4685" s="21" t="s">
        <v>336</v>
      </c>
      <c r="C4685" s="62" t="s">
        <v>60</v>
      </c>
      <c r="D4685" s="62" t="s">
        <v>386</v>
      </c>
      <c r="E4685" s="62" t="s">
        <v>72</v>
      </c>
      <c r="F4685" s="62" t="s">
        <v>382</v>
      </c>
      <c r="G4685" s="63" t="s">
        <v>462</v>
      </c>
      <c r="H4685" s="64" t="n">
        <v>5450.77575306769</v>
      </c>
      <c r="I4685" s="62" t="s">
        <v>81</v>
      </c>
      <c r="J4685" s="64" t="n">
        <v>5.45077575306769</v>
      </c>
      <c r="K4685" s="62" t="s">
        <v>138</v>
      </c>
      <c r="L4685" s="68" t="b">
        <f aca="false">TRUE()</f>
        <v>1</v>
      </c>
    </row>
    <row r="4686" customFormat="false" ht="15" hidden="false" customHeight="false" outlineLevel="0" collapsed="false">
      <c r="A4686" s="62" t="n">
        <v>1</v>
      </c>
      <c r="B4686" s="21" t="s">
        <v>336</v>
      </c>
      <c r="C4686" s="62" t="s">
        <v>60</v>
      </c>
      <c r="D4686" s="62" t="s">
        <v>387</v>
      </c>
      <c r="E4686" s="62" t="s">
        <v>72</v>
      </c>
      <c r="F4686" s="62" t="s">
        <v>382</v>
      </c>
      <c r="G4686" s="63" t="s">
        <v>462</v>
      </c>
      <c r="H4686" s="64" t="n">
        <v>1122.50346078523</v>
      </c>
      <c r="I4686" s="62" t="s">
        <v>81</v>
      </c>
      <c r="J4686" s="64" t="n">
        <v>1.12250346078523</v>
      </c>
      <c r="K4686" s="62" t="s">
        <v>138</v>
      </c>
      <c r="L4686" s="68" t="b">
        <f aca="false">TRUE()</f>
        <v>1</v>
      </c>
    </row>
    <row r="4687" customFormat="false" ht="15" hidden="false" customHeight="false" outlineLevel="0" collapsed="false">
      <c r="A4687" s="62" t="n">
        <v>1</v>
      </c>
      <c r="B4687" s="21" t="s">
        <v>336</v>
      </c>
      <c r="C4687" s="62" t="s">
        <v>60</v>
      </c>
      <c r="D4687" s="62" t="s">
        <v>388</v>
      </c>
      <c r="E4687" s="62" t="s">
        <v>72</v>
      </c>
      <c r="F4687" s="62" t="s">
        <v>382</v>
      </c>
      <c r="G4687" s="63" t="s">
        <v>462</v>
      </c>
      <c r="H4687" s="64" t="n">
        <v>1161.03714396373</v>
      </c>
      <c r="I4687" s="62" t="s">
        <v>81</v>
      </c>
      <c r="J4687" s="64" t="n">
        <v>1.16103714396373</v>
      </c>
      <c r="K4687" s="62" t="s">
        <v>138</v>
      </c>
      <c r="L4687" s="68" t="b">
        <f aca="false">TRUE()</f>
        <v>1</v>
      </c>
    </row>
    <row r="4688" customFormat="false" ht="15" hidden="false" customHeight="false" outlineLevel="0" collapsed="false">
      <c r="A4688" s="62" t="n">
        <v>1</v>
      </c>
      <c r="B4688" s="21" t="s">
        <v>336</v>
      </c>
      <c r="C4688" s="62" t="s">
        <v>60</v>
      </c>
      <c r="D4688" s="62" t="s">
        <v>381</v>
      </c>
      <c r="E4688" s="62" t="s">
        <v>72</v>
      </c>
      <c r="F4688" s="62" t="s">
        <v>382</v>
      </c>
      <c r="G4688" s="63" t="s">
        <v>463</v>
      </c>
      <c r="H4688" s="64" t="n">
        <v>17401.8596413224</v>
      </c>
      <c r="I4688" s="62" t="s">
        <v>81</v>
      </c>
      <c r="J4688" s="64" t="n">
        <v>17.4018596413224</v>
      </c>
      <c r="K4688" s="62" t="s">
        <v>138</v>
      </c>
      <c r="L4688" s="68" t="b">
        <f aca="false">TRUE()</f>
        <v>1</v>
      </c>
    </row>
    <row r="4689" customFormat="false" ht="15" hidden="false" customHeight="false" outlineLevel="0" collapsed="false">
      <c r="A4689" s="62" t="n">
        <v>1</v>
      </c>
      <c r="B4689" s="21" t="s">
        <v>336</v>
      </c>
      <c r="C4689" s="62" t="s">
        <v>60</v>
      </c>
      <c r="D4689" s="62" t="s">
        <v>383</v>
      </c>
      <c r="E4689" s="62" t="s">
        <v>72</v>
      </c>
      <c r="F4689" s="62" t="s">
        <v>382</v>
      </c>
      <c r="G4689" s="63" t="s">
        <v>463</v>
      </c>
      <c r="H4689" s="64" t="n">
        <v>10002.5366589272</v>
      </c>
      <c r="I4689" s="62" t="s">
        <v>81</v>
      </c>
      <c r="J4689" s="64" t="n">
        <v>10.0025366589272</v>
      </c>
      <c r="K4689" s="62" t="s">
        <v>138</v>
      </c>
      <c r="L4689" s="68" t="b">
        <f aca="false">TRUE()</f>
        <v>1</v>
      </c>
    </row>
    <row r="4690" customFormat="false" ht="15" hidden="false" customHeight="false" outlineLevel="0" collapsed="false">
      <c r="A4690" s="62" t="n">
        <v>1</v>
      </c>
      <c r="B4690" s="21" t="s">
        <v>336</v>
      </c>
      <c r="C4690" s="62" t="s">
        <v>60</v>
      </c>
      <c r="D4690" s="62" t="s">
        <v>384</v>
      </c>
      <c r="E4690" s="62" t="s">
        <v>72</v>
      </c>
      <c r="F4690" s="62" t="s">
        <v>382</v>
      </c>
      <c r="G4690" s="63" t="s">
        <v>463</v>
      </c>
      <c r="H4690" s="64" t="n">
        <v>10546.5949051646</v>
      </c>
      <c r="I4690" s="62" t="s">
        <v>81</v>
      </c>
      <c r="J4690" s="64" t="n">
        <v>10.5465949051646</v>
      </c>
      <c r="K4690" s="62" t="s">
        <v>138</v>
      </c>
      <c r="L4690" s="68" t="b">
        <f aca="false">TRUE()</f>
        <v>1</v>
      </c>
    </row>
    <row r="4691" customFormat="false" ht="15" hidden="false" customHeight="false" outlineLevel="0" collapsed="false">
      <c r="A4691" s="62" t="n">
        <v>1</v>
      </c>
      <c r="B4691" s="21" t="s">
        <v>336</v>
      </c>
      <c r="C4691" s="62" t="s">
        <v>60</v>
      </c>
      <c r="D4691" s="62" t="s">
        <v>385</v>
      </c>
      <c r="E4691" s="62" t="s">
        <v>72</v>
      </c>
      <c r="F4691" s="62" t="s">
        <v>382</v>
      </c>
      <c r="G4691" s="63" t="s">
        <v>463</v>
      </c>
      <c r="H4691" s="64" t="n">
        <v>13190.3709013907</v>
      </c>
      <c r="I4691" s="62" t="s">
        <v>81</v>
      </c>
      <c r="J4691" s="64" t="n">
        <v>13.1903709013907</v>
      </c>
      <c r="K4691" s="62" t="s">
        <v>138</v>
      </c>
      <c r="L4691" s="68" t="b">
        <f aca="false">TRUE()</f>
        <v>1</v>
      </c>
    </row>
    <row r="4692" customFormat="false" ht="15" hidden="false" customHeight="false" outlineLevel="0" collapsed="false">
      <c r="A4692" s="62" t="n">
        <v>1</v>
      </c>
      <c r="B4692" s="21" t="s">
        <v>336</v>
      </c>
      <c r="C4692" s="62" t="s">
        <v>60</v>
      </c>
      <c r="D4692" s="62" t="s">
        <v>386</v>
      </c>
      <c r="E4692" s="62" t="s">
        <v>72</v>
      </c>
      <c r="F4692" s="62" t="s">
        <v>382</v>
      </c>
      <c r="G4692" s="63" t="s">
        <v>463</v>
      </c>
      <c r="H4692" s="64" t="n">
        <v>14519.6596320242</v>
      </c>
      <c r="I4692" s="62" t="s">
        <v>81</v>
      </c>
      <c r="J4692" s="64" t="n">
        <v>14.5196596320242</v>
      </c>
      <c r="K4692" s="62" t="s">
        <v>138</v>
      </c>
      <c r="L4692" s="68" t="b">
        <f aca="false">TRUE()</f>
        <v>1</v>
      </c>
    </row>
    <row r="4693" customFormat="false" ht="15" hidden="false" customHeight="false" outlineLevel="0" collapsed="false">
      <c r="A4693" s="62" t="n">
        <v>1</v>
      </c>
      <c r="B4693" s="21" t="s">
        <v>336</v>
      </c>
      <c r="C4693" s="62" t="s">
        <v>60</v>
      </c>
      <c r="D4693" s="62" t="s">
        <v>387</v>
      </c>
      <c r="E4693" s="62" t="s">
        <v>72</v>
      </c>
      <c r="F4693" s="62" t="s">
        <v>382</v>
      </c>
      <c r="G4693" s="63" t="s">
        <v>463</v>
      </c>
      <c r="H4693" s="64" t="n">
        <v>13705.2739785078</v>
      </c>
      <c r="I4693" s="62" t="s">
        <v>81</v>
      </c>
      <c r="J4693" s="64" t="n">
        <v>13.7052739785078</v>
      </c>
      <c r="K4693" s="62" t="s">
        <v>138</v>
      </c>
      <c r="L4693" s="68" t="b">
        <f aca="false">TRUE()</f>
        <v>1</v>
      </c>
    </row>
    <row r="4694" customFormat="false" ht="15" hidden="false" customHeight="false" outlineLevel="0" collapsed="false">
      <c r="A4694" s="62" t="n">
        <v>1</v>
      </c>
      <c r="B4694" s="21" t="s">
        <v>336</v>
      </c>
      <c r="C4694" s="62" t="s">
        <v>60</v>
      </c>
      <c r="D4694" s="62" t="s">
        <v>388</v>
      </c>
      <c r="E4694" s="62" t="s">
        <v>72</v>
      </c>
      <c r="F4694" s="62" t="s">
        <v>382</v>
      </c>
      <c r="G4694" s="63" t="s">
        <v>463</v>
      </c>
      <c r="H4694" s="64" t="n">
        <v>934959.733670178</v>
      </c>
      <c r="I4694" s="62" t="s">
        <v>81</v>
      </c>
      <c r="J4694" s="64" t="n">
        <v>934.959733670178</v>
      </c>
      <c r="K4694" s="62" t="s">
        <v>138</v>
      </c>
      <c r="L4694" s="68" t="b">
        <f aca="false">TRUE()</f>
        <v>1</v>
      </c>
    </row>
    <row r="4695" customFormat="false" ht="15" hidden="false" customHeight="false" outlineLevel="0" collapsed="false">
      <c r="A4695" s="62" t="n">
        <v>1</v>
      </c>
      <c r="B4695" s="21" t="s">
        <v>336</v>
      </c>
      <c r="C4695" s="62" t="s">
        <v>60</v>
      </c>
      <c r="D4695" s="62" t="s">
        <v>381</v>
      </c>
      <c r="E4695" s="62" t="s">
        <v>72</v>
      </c>
      <c r="F4695" s="62" t="s">
        <v>382</v>
      </c>
      <c r="G4695" s="63" t="s">
        <v>464</v>
      </c>
      <c r="H4695" s="64" t="n">
        <v>18725.1030286515</v>
      </c>
      <c r="I4695" s="62" t="s">
        <v>81</v>
      </c>
      <c r="J4695" s="64" t="n">
        <v>18.7251030286515</v>
      </c>
      <c r="K4695" s="62" t="s">
        <v>138</v>
      </c>
      <c r="L4695" s="68" t="b">
        <f aca="false">TRUE()</f>
        <v>1</v>
      </c>
    </row>
    <row r="4696" customFormat="false" ht="15" hidden="false" customHeight="false" outlineLevel="0" collapsed="false">
      <c r="A4696" s="62" t="n">
        <v>1</v>
      </c>
      <c r="B4696" s="21" t="s">
        <v>336</v>
      </c>
      <c r="C4696" s="62" t="s">
        <v>60</v>
      </c>
      <c r="D4696" s="62" t="s">
        <v>383</v>
      </c>
      <c r="E4696" s="62" t="s">
        <v>72</v>
      </c>
      <c r="F4696" s="62" t="s">
        <v>382</v>
      </c>
      <c r="G4696" s="63" t="s">
        <v>464</v>
      </c>
      <c r="H4696" s="64" t="n">
        <v>131178.631067667</v>
      </c>
      <c r="I4696" s="62" t="s">
        <v>81</v>
      </c>
      <c r="J4696" s="64" t="n">
        <v>131.178631067667</v>
      </c>
      <c r="K4696" s="62" t="s">
        <v>138</v>
      </c>
      <c r="L4696" s="68" t="b">
        <f aca="false">TRUE()</f>
        <v>1</v>
      </c>
    </row>
    <row r="4697" customFormat="false" ht="15" hidden="false" customHeight="false" outlineLevel="0" collapsed="false">
      <c r="A4697" s="62" t="n">
        <v>1</v>
      </c>
      <c r="B4697" s="21" t="s">
        <v>336</v>
      </c>
      <c r="C4697" s="62" t="s">
        <v>60</v>
      </c>
      <c r="D4697" s="62" t="s">
        <v>384</v>
      </c>
      <c r="E4697" s="62" t="s">
        <v>72</v>
      </c>
      <c r="F4697" s="62" t="s">
        <v>382</v>
      </c>
      <c r="G4697" s="63" t="s">
        <v>464</v>
      </c>
      <c r="H4697" s="64" t="n">
        <v>95618.0899396488</v>
      </c>
      <c r="I4697" s="62" t="s">
        <v>81</v>
      </c>
      <c r="J4697" s="64" t="n">
        <v>95.6180899396488</v>
      </c>
      <c r="K4697" s="62" t="s">
        <v>138</v>
      </c>
      <c r="L4697" s="68" t="b">
        <f aca="false">TRUE()</f>
        <v>1</v>
      </c>
    </row>
    <row r="4698" customFormat="false" ht="15" hidden="false" customHeight="false" outlineLevel="0" collapsed="false">
      <c r="A4698" s="62" t="n">
        <v>1</v>
      </c>
      <c r="B4698" s="21" t="s">
        <v>336</v>
      </c>
      <c r="C4698" s="62" t="s">
        <v>60</v>
      </c>
      <c r="D4698" s="62" t="s">
        <v>385</v>
      </c>
      <c r="E4698" s="62" t="s">
        <v>72</v>
      </c>
      <c r="F4698" s="62" t="s">
        <v>382</v>
      </c>
      <c r="G4698" s="63" t="s">
        <v>464</v>
      </c>
      <c r="H4698" s="64" t="n">
        <v>64343.7679944291</v>
      </c>
      <c r="I4698" s="62" t="s">
        <v>81</v>
      </c>
      <c r="J4698" s="64" t="n">
        <v>64.3437679944291</v>
      </c>
      <c r="K4698" s="62" t="s">
        <v>138</v>
      </c>
      <c r="L4698" s="68" t="b">
        <f aca="false">TRUE()</f>
        <v>1</v>
      </c>
    </row>
    <row r="4699" customFormat="false" ht="15" hidden="false" customHeight="false" outlineLevel="0" collapsed="false">
      <c r="A4699" s="62" t="n">
        <v>1</v>
      </c>
      <c r="B4699" s="21" t="s">
        <v>336</v>
      </c>
      <c r="C4699" s="62" t="s">
        <v>60</v>
      </c>
      <c r="D4699" s="62" t="s">
        <v>386</v>
      </c>
      <c r="E4699" s="62" t="s">
        <v>72</v>
      </c>
      <c r="F4699" s="62" t="s">
        <v>382</v>
      </c>
      <c r="G4699" s="63" t="s">
        <v>464</v>
      </c>
      <c r="H4699" s="64" t="n">
        <v>59481.4203808864</v>
      </c>
      <c r="I4699" s="62" t="s">
        <v>81</v>
      </c>
      <c r="J4699" s="64" t="n">
        <v>59.4814203808864</v>
      </c>
      <c r="K4699" s="62" t="s">
        <v>138</v>
      </c>
      <c r="L4699" s="68" t="b">
        <f aca="false">TRUE()</f>
        <v>1</v>
      </c>
    </row>
    <row r="4700" customFormat="false" ht="15" hidden="false" customHeight="false" outlineLevel="0" collapsed="false">
      <c r="A4700" s="62" t="n">
        <v>1</v>
      </c>
      <c r="B4700" s="21" t="s">
        <v>336</v>
      </c>
      <c r="C4700" s="62" t="s">
        <v>60</v>
      </c>
      <c r="D4700" s="62" t="s">
        <v>387</v>
      </c>
      <c r="E4700" s="62" t="s">
        <v>72</v>
      </c>
      <c r="F4700" s="62" t="s">
        <v>382</v>
      </c>
      <c r="G4700" s="63" t="s">
        <v>464</v>
      </c>
      <c r="H4700" s="64" t="n">
        <v>82322.9163487555</v>
      </c>
      <c r="I4700" s="62" t="s">
        <v>81</v>
      </c>
      <c r="J4700" s="64" t="n">
        <v>82.3229163487555</v>
      </c>
      <c r="K4700" s="62" t="s">
        <v>138</v>
      </c>
      <c r="L4700" s="68" t="b">
        <f aca="false">TRUE()</f>
        <v>1</v>
      </c>
    </row>
    <row r="4701" customFormat="false" ht="15" hidden="false" customHeight="false" outlineLevel="0" collapsed="false">
      <c r="A4701" s="62" t="n">
        <v>1</v>
      </c>
      <c r="B4701" s="21" t="s">
        <v>336</v>
      </c>
      <c r="C4701" s="62" t="s">
        <v>60</v>
      </c>
      <c r="D4701" s="62" t="s">
        <v>388</v>
      </c>
      <c r="E4701" s="62" t="s">
        <v>72</v>
      </c>
      <c r="F4701" s="62" t="s">
        <v>382</v>
      </c>
      <c r="G4701" s="63" t="s">
        <v>464</v>
      </c>
      <c r="H4701" s="64" t="n">
        <v>-6551.41478761717</v>
      </c>
      <c r="I4701" s="62" t="s">
        <v>81</v>
      </c>
      <c r="J4701" s="64" t="n">
        <v>-6.55141478761717</v>
      </c>
      <c r="K4701" s="62" t="s">
        <v>138</v>
      </c>
      <c r="L4701" s="68" t="b">
        <f aca="false">TRUE()</f>
        <v>1</v>
      </c>
    </row>
    <row r="4702" customFormat="false" ht="15" hidden="false" customHeight="false" outlineLevel="0" collapsed="false">
      <c r="A4702" s="62" t="n">
        <v>1</v>
      </c>
      <c r="B4702" s="21" t="s">
        <v>336</v>
      </c>
      <c r="C4702" s="62" t="s">
        <v>60</v>
      </c>
      <c r="D4702" s="62" t="s">
        <v>381</v>
      </c>
      <c r="E4702" s="62" t="s">
        <v>105</v>
      </c>
      <c r="F4702" s="62" t="s">
        <v>382</v>
      </c>
      <c r="G4702" s="63" t="s">
        <v>465</v>
      </c>
      <c r="H4702" s="64" t="n">
        <v>0.199876087088353</v>
      </c>
      <c r="I4702" s="62" t="s">
        <v>878</v>
      </c>
      <c r="J4702" s="64" t="n">
        <v>19.9876087088353</v>
      </c>
      <c r="K4702" s="62" t="s">
        <v>42</v>
      </c>
      <c r="L4702" s="68" t="b">
        <f aca="false">TRUE()</f>
        <v>1</v>
      </c>
    </row>
    <row r="4703" customFormat="false" ht="15" hidden="false" customHeight="false" outlineLevel="0" collapsed="false">
      <c r="A4703" s="62" t="n">
        <v>1</v>
      </c>
      <c r="B4703" s="21" t="s">
        <v>336</v>
      </c>
      <c r="C4703" s="62" t="s">
        <v>60</v>
      </c>
      <c r="D4703" s="62" t="s">
        <v>383</v>
      </c>
      <c r="E4703" s="62" t="s">
        <v>105</v>
      </c>
      <c r="F4703" s="62" t="s">
        <v>382</v>
      </c>
      <c r="G4703" s="63" t="s">
        <v>465</v>
      </c>
      <c r="H4703" s="64" t="n">
        <v>0.42450782465416</v>
      </c>
      <c r="I4703" s="62" t="s">
        <v>878</v>
      </c>
      <c r="J4703" s="64" t="n">
        <v>42.450782465416</v>
      </c>
      <c r="K4703" s="62" t="s">
        <v>42</v>
      </c>
      <c r="L4703" s="68" t="b">
        <f aca="false">TRUE()</f>
        <v>1</v>
      </c>
    </row>
    <row r="4704" customFormat="false" ht="15" hidden="false" customHeight="false" outlineLevel="0" collapsed="false">
      <c r="A4704" s="62" t="n">
        <v>1</v>
      </c>
      <c r="B4704" s="21" t="s">
        <v>336</v>
      </c>
      <c r="C4704" s="62" t="s">
        <v>60</v>
      </c>
      <c r="D4704" s="62" t="s">
        <v>384</v>
      </c>
      <c r="E4704" s="62" t="s">
        <v>105</v>
      </c>
      <c r="F4704" s="62" t="s">
        <v>382</v>
      </c>
      <c r="G4704" s="63" t="s">
        <v>465</v>
      </c>
      <c r="H4704" s="64" t="n">
        <v>0.352498495133605</v>
      </c>
      <c r="I4704" s="62" t="s">
        <v>878</v>
      </c>
      <c r="J4704" s="64" t="n">
        <v>35.2498495133605</v>
      </c>
      <c r="K4704" s="62" t="s">
        <v>42</v>
      </c>
      <c r="L4704" s="68" t="b">
        <f aca="false">TRUE()</f>
        <v>1</v>
      </c>
    </row>
    <row r="4705" customFormat="false" ht="15" hidden="false" customHeight="false" outlineLevel="0" collapsed="false">
      <c r="A4705" s="62" t="n">
        <v>1</v>
      </c>
      <c r="B4705" s="21" t="s">
        <v>336</v>
      </c>
      <c r="C4705" s="62" t="s">
        <v>60</v>
      </c>
      <c r="D4705" s="62" t="s">
        <v>385</v>
      </c>
      <c r="E4705" s="62" t="s">
        <v>105</v>
      </c>
      <c r="F4705" s="62" t="s">
        <v>382</v>
      </c>
      <c r="G4705" s="63" t="s">
        <v>465</v>
      </c>
      <c r="H4705" s="64" t="n">
        <v>0.397478503402388</v>
      </c>
      <c r="I4705" s="62" t="s">
        <v>878</v>
      </c>
      <c r="J4705" s="64" t="n">
        <v>39.7478503402388</v>
      </c>
      <c r="K4705" s="62" t="s">
        <v>42</v>
      </c>
      <c r="L4705" s="68" t="b">
        <f aca="false">TRUE()</f>
        <v>1</v>
      </c>
    </row>
    <row r="4706" customFormat="false" ht="15" hidden="false" customHeight="false" outlineLevel="0" collapsed="false">
      <c r="A4706" s="62" t="n">
        <v>1</v>
      </c>
      <c r="B4706" s="21" t="s">
        <v>336</v>
      </c>
      <c r="C4706" s="62" t="s">
        <v>60</v>
      </c>
      <c r="D4706" s="62" t="s">
        <v>386</v>
      </c>
      <c r="E4706" s="62" t="s">
        <v>105</v>
      </c>
      <c r="F4706" s="62" t="s">
        <v>382</v>
      </c>
      <c r="G4706" s="63" t="s">
        <v>465</v>
      </c>
      <c r="H4706" s="64" t="n">
        <v>0.331697518420877</v>
      </c>
      <c r="I4706" s="62" t="s">
        <v>878</v>
      </c>
      <c r="J4706" s="64" t="n">
        <v>33.1697518420877</v>
      </c>
      <c r="K4706" s="62" t="s">
        <v>42</v>
      </c>
      <c r="L4706" s="68" t="b">
        <f aca="false">TRUE()</f>
        <v>1</v>
      </c>
    </row>
    <row r="4707" customFormat="false" ht="15" hidden="false" customHeight="false" outlineLevel="0" collapsed="false">
      <c r="A4707" s="62" t="n">
        <v>1</v>
      </c>
      <c r="B4707" s="21" t="s">
        <v>336</v>
      </c>
      <c r="C4707" s="62" t="s">
        <v>60</v>
      </c>
      <c r="D4707" s="62" t="s">
        <v>387</v>
      </c>
      <c r="E4707" s="62" t="s">
        <v>105</v>
      </c>
      <c r="F4707" s="62" t="s">
        <v>382</v>
      </c>
      <c r="G4707" s="63" t="s">
        <v>465</v>
      </c>
      <c r="H4707" s="64" t="n">
        <v>0.330437201343294</v>
      </c>
      <c r="I4707" s="62" t="s">
        <v>878</v>
      </c>
      <c r="J4707" s="64" t="n">
        <v>33.0437201343294</v>
      </c>
      <c r="K4707" s="62" t="s">
        <v>42</v>
      </c>
      <c r="L4707" s="68" t="b">
        <f aca="false">TRUE()</f>
        <v>1</v>
      </c>
    </row>
    <row r="4708" customFormat="false" ht="15" hidden="false" customHeight="false" outlineLevel="0" collapsed="false">
      <c r="A4708" s="62" t="n">
        <v>1</v>
      </c>
      <c r="B4708" s="21" t="s">
        <v>336</v>
      </c>
      <c r="C4708" s="62" t="s">
        <v>60</v>
      </c>
      <c r="D4708" s="62" t="s">
        <v>388</v>
      </c>
      <c r="E4708" s="62" t="s">
        <v>105</v>
      </c>
      <c r="F4708" s="62" t="s">
        <v>382</v>
      </c>
      <c r="G4708" s="63" t="s">
        <v>465</v>
      </c>
      <c r="H4708" s="64" t="n">
        <v>0.228255750468972</v>
      </c>
      <c r="I4708" s="62" t="s">
        <v>878</v>
      </c>
      <c r="J4708" s="64" t="n">
        <v>22.8255750468972</v>
      </c>
      <c r="K4708" s="62" t="s">
        <v>42</v>
      </c>
      <c r="L4708" s="68" t="b">
        <f aca="false">TRUE()</f>
        <v>1</v>
      </c>
    </row>
    <row r="4709" customFormat="false" ht="15" hidden="false" customHeight="false" outlineLevel="0" collapsed="false">
      <c r="A4709" s="62" t="n">
        <v>1</v>
      </c>
      <c r="B4709" s="21" t="s">
        <v>336</v>
      </c>
      <c r="C4709" s="62" t="s">
        <v>60</v>
      </c>
      <c r="D4709" s="62" t="s">
        <v>381</v>
      </c>
      <c r="E4709" s="62" t="s">
        <v>105</v>
      </c>
      <c r="F4709" s="62" t="s">
        <v>382</v>
      </c>
      <c r="G4709" s="63" t="s">
        <v>307</v>
      </c>
      <c r="H4709" s="64" t="n">
        <v>0.133504526685772</v>
      </c>
      <c r="I4709" s="62" t="s">
        <v>878</v>
      </c>
      <c r="J4709" s="64" t="n">
        <v>13.3504526685772</v>
      </c>
      <c r="K4709" s="62" t="s">
        <v>42</v>
      </c>
      <c r="L4709" s="68" t="b">
        <f aca="false">TRUE()</f>
        <v>1</v>
      </c>
    </row>
    <row r="4710" customFormat="false" ht="15" hidden="false" customHeight="false" outlineLevel="0" collapsed="false">
      <c r="A4710" s="62" t="n">
        <v>1</v>
      </c>
      <c r="B4710" s="21" t="s">
        <v>336</v>
      </c>
      <c r="C4710" s="62" t="s">
        <v>60</v>
      </c>
      <c r="D4710" s="62" t="s">
        <v>383</v>
      </c>
      <c r="E4710" s="62" t="s">
        <v>105</v>
      </c>
      <c r="F4710" s="62" t="s">
        <v>382</v>
      </c>
      <c r="G4710" s="63" t="s">
        <v>307</v>
      </c>
      <c r="H4710" s="64" t="n">
        <v>0.28267284220715</v>
      </c>
      <c r="I4710" s="62" t="s">
        <v>878</v>
      </c>
      <c r="J4710" s="64" t="n">
        <v>28.267284220715</v>
      </c>
      <c r="K4710" s="62" t="s">
        <v>42</v>
      </c>
      <c r="L4710" s="68" t="b">
        <f aca="false">TRUE()</f>
        <v>1</v>
      </c>
    </row>
    <row r="4711" customFormat="false" ht="15" hidden="false" customHeight="false" outlineLevel="0" collapsed="false">
      <c r="A4711" s="62" t="n">
        <v>1</v>
      </c>
      <c r="B4711" s="21" t="s">
        <v>336</v>
      </c>
      <c r="C4711" s="62" t="s">
        <v>60</v>
      </c>
      <c r="D4711" s="62" t="s">
        <v>384</v>
      </c>
      <c r="E4711" s="62" t="s">
        <v>105</v>
      </c>
      <c r="F4711" s="62" t="s">
        <v>382</v>
      </c>
      <c r="G4711" s="63" t="s">
        <v>307</v>
      </c>
      <c r="H4711" s="64" t="n">
        <v>0.296772783463195</v>
      </c>
      <c r="I4711" s="62" t="s">
        <v>878</v>
      </c>
      <c r="J4711" s="64" t="n">
        <v>29.6772783463195</v>
      </c>
      <c r="K4711" s="62" t="s">
        <v>42</v>
      </c>
      <c r="L4711" s="68" t="b">
        <f aca="false">TRUE()</f>
        <v>1</v>
      </c>
    </row>
    <row r="4712" customFormat="false" ht="15" hidden="false" customHeight="false" outlineLevel="0" collapsed="false">
      <c r="A4712" s="62" t="n">
        <v>1</v>
      </c>
      <c r="B4712" s="21" t="s">
        <v>336</v>
      </c>
      <c r="C4712" s="62" t="s">
        <v>60</v>
      </c>
      <c r="D4712" s="62" t="s">
        <v>385</v>
      </c>
      <c r="E4712" s="62" t="s">
        <v>105</v>
      </c>
      <c r="F4712" s="62" t="s">
        <v>382</v>
      </c>
      <c r="G4712" s="63" t="s">
        <v>307</v>
      </c>
      <c r="H4712" s="64" t="n">
        <v>0.308199488160913</v>
      </c>
      <c r="I4712" s="62" t="s">
        <v>878</v>
      </c>
      <c r="J4712" s="64" t="n">
        <v>30.8199488160913</v>
      </c>
      <c r="K4712" s="62" t="s">
        <v>42</v>
      </c>
      <c r="L4712" s="68" t="b">
        <f aca="false">TRUE()</f>
        <v>1</v>
      </c>
    </row>
    <row r="4713" customFormat="false" ht="15" hidden="false" customHeight="false" outlineLevel="0" collapsed="false">
      <c r="A4713" s="62" t="n">
        <v>1</v>
      </c>
      <c r="B4713" s="21" t="s">
        <v>336</v>
      </c>
      <c r="C4713" s="62" t="s">
        <v>60</v>
      </c>
      <c r="D4713" s="62" t="s">
        <v>386</v>
      </c>
      <c r="E4713" s="62" t="s">
        <v>105</v>
      </c>
      <c r="F4713" s="62" t="s">
        <v>382</v>
      </c>
      <c r="G4713" s="63" t="s">
        <v>307</v>
      </c>
      <c r="H4713" s="64" t="n">
        <v>0.239401289434683</v>
      </c>
      <c r="I4713" s="62" t="s">
        <v>878</v>
      </c>
      <c r="J4713" s="64" t="n">
        <v>23.9401289434683</v>
      </c>
      <c r="K4713" s="62" t="s">
        <v>42</v>
      </c>
      <c r="L4713" s="68" t="b">
        <f aca="false">TRUE()</f>
        <v>1</v>
      </c>
    </row>
    <row r="4714" customFormat="false" ht="15" hidden="false" customHeight="false" outlineLevel="0" collapsed="false">
      <c r="A4714" s="62" t="n">
        <v>1</v>
      </c>
      <c r="B4714" s="21" t="s">
        <v>336</v>
      </c>
      <c r="C4714" s="62" t="s">
        <v>60</v>
      </c>
      <c r="D4714" s="62" t="s">
        <v>387</v>
      </c>
      <c r="E4714" s="62" t="s">
        <v>105</v>
      </c>
      <c r="F4714" s="62" t="s">
        <v>382</v>
      </c>
      <c r="G4714" s="63" t="s">
        <v>307</v>
      </c>
      <c r="H4714" s="64" t="n">
        <v>0.218405258064367</v>
      </c>
      <c r="I4714" s="62" t="s">
        <v>878</v>
      </c>
      <c r="J4714" s="64" t="n">
        <v>21.8405258064367</v>
      </c>
      <c r="K4714" s="62" t="s">
        <v>42</v>
      </c>
      <c r="L4714" s="68" t="b">
        <f aca="false">TRUE()</f>
        <v>1</v>
      </c>
    </row>
    <row r="4715" customFormat="false" ht="15" hidden="false" customHeight="false" outlineLevel="0" collapsed="false">
      <c r="A4715" s="62" t="n">
        <v>1</v>
      </c>
      <c r="B4715" s="21" t="s">
        <v>336</v>
      </c>
      <c r="C4715" s="62" t="s">
        <v>60</v>
      </c>
      <c r="D4715" s="62" t="s">
        <v>388</v>
      </c>
      <c r="E4715" s="62" t="s">
        <v>105</v>
      </c>
      <c r="F4715" s="62" t="s">
        <v>382</v>
      </c>
      <c r="G4715" s="63" t="s">
        <v>307</v>
      </c>
      <c r="H4715" s="64" t="n">
        <v>0.0712034174033064</v>
      </c>
      <c r="I4715" s="62" t="s">
        <v>878</v>
      </c>
      <c r="J4715" s="64" t="n">
        <v>7.12034174033064</v>
      </c>
      <c r="K4715" s="62" t="s">
        <v>42</v>
      </c>
      <c r="L4715" s="68" t="b">
        <f aca="false">TRUE()</f>
        <v>1</v>
      </c>
    </row>
    <row r="4716" customFormat="false" ht="15" hidden="false" customHeight="false" outlineLevel="0" collapsed="false">
      <c r="A4716" s="62" t="n">
        <v>1</v>
      </c>
      <c r="B4716" s="21" t="s">
        <v>336</v>
      </c>
      <c r="C4716" s="62" t="s">
        <v>60</v>
      </c>
      <c r="D4716" s="62" t="s">
        <v>381</v>
      </c>
      <c r="E4716" s="62" t="s">
        <v>105</v>
      </c>
      <c r="F4716" s="62" t="s">
        <v>382</v>
      </c>
      <c r="G4716" s="63" t="s">
        <v>466</v>
      </c>
      <c r="H4716" s="64" t="n">
        <v>0.110207804663687</v>
      </c>
      <c r="I4716" s="62" t="s">
        <v>878</v>
      </c>
      <c r="J4716" s="64" t="n">
        <v>11.0207804663687</v>
      </c>
      <c r="K4716" s="62" t="s">
        <v>42</v>
      </c>
      <c r="L4716" s="68" t="b">
        <f aca="false">TRUE()</f>
        <v>1</v>
      </c>
    </row>
    <row r="4717" customFormat="false" ht="15" hidden="false" customHeight="false" outlineLevel="0" collapsed="false">
      <c r="A4717" s="62" t="n">
        <v>1</v>
      </c>
      <c r="B4717" s="21" t="s">
        <v>336</v>
      </c>
      <c r="C4717" s="62" t="s">
        <v>60</v>
      </c>
      <c r="D4717" s="62" t="s">
        <v>383</v>
      </c>
      <c r="E4717" s="62" t="s">
        <v>105</v>
      </c>
      <c r="F4717" s="62" t="s">
        <v>382</v>
      </c>
      <c r="G4717" s="63" t="s">
        <v>466</v>
      </c>
      <c r="H4717" s="64" t="n">
        <v>0.265664502289008</v>
      </c>
      <c r="I4717" s="62" t="s">
        <v>878</v>
      </c>
      <c r="J4717" s="64" t="n">
        <v>26.5664502289008</v>
      </c>
      <c r="K4717" s="62" t="s">
        <v>42</v>
      </c>
      <c r="L4717" s="68" t="b">
        <f aca="false">TRUE()</f>
        <v>1</v>
      </c>
    </row>
    <row r="4718" customFormat="false" ht="15" hidden="false" customHeight="false" outlineLevel="0" collapsed="false">
      <c r="A4718" s="62" t="n">
        <v>1</v>
      </c>
      <c r="B4718" s="21" t="s">
        <v>336</v>
      </c>
      <c r="C4718" s="62" t="s">
        <v>60</v>
      </c>
      <c r="D4718" s="62" t="s">
        <v>384</v>
      </c>
      <c r="E4718" s="62" t="s">
        <v>105</v>
      </c>
      <c r="F4718" s="62" t="s">
        <v>382</v>
      </c>
      <c r="G4718" s="63" t="s">
        <v>466</v>
      </c>
      <c r="H4718" s="64" t="n">
        <v>0.274667171517653</v>
      </c>
      <c r="I4718" s="62" t="s">
        <v>878</v>
      </c>
      <c r="J4718" s="64" t="n">
        <v>27.4667171517653</v>
      </c>
      <c r="K4718" s="62" t="s">
        <v>42</v>
      </c>
      <c r="L4718" s="68" t="b">
        <f aca="false">TRUE()</f>
        <v>1</v>
      </c>
    </row>
    <row r="4719" customFormat="false" ht="15" hidden="false" customHeight="false" outlineLevel="0" collapsed="false">
      <c r="A4719" s="62" t="n">
        <v>1</v>
      </c>
      <c r="B4719" s="21" t="s">
        <v>336</v>
      </c>
      <c r="C4719" s="62" t="s">
        <v>60</v>
      </c>
      <c r="D4719" s="62" t="s">
        <v>385</v>
      </c>
      <c r="E4719" s="62" t="s">
        <v>105</v>
      </c>
      <c r="F4719" s="62" t="s">
        <v>382</v>
      </c>
      <c r="G4719" s="63" t="s">
        <v>466</v>
      </c>
      <c r="H4719" s="64" t="n">
        <v>0.275352177850322</v>
      </c>
      <c r="I4719" s="62" t="s">
        <v>878</v>
      </c>
      <c r="J4719" s="64" t="n">
        <v>27.5352177850322</v>
      </c>
      <c r="K4719" s="62" t="s">
        <v>42</v>
      </c>
      <c r="L4719" s="68" t="b">
        <f aca="false">TRUE()</f>
        <v>1</v>
      </c>
    </row>
    <row r="4720" customFormat="false" ht="15" hidden="false" customHeight="false" outlineLevel="0" collapsed="false">
      <c r="A4720" s="62" t="n">
        <v>1</v>
      </c>
      <c r="B4720" s="21" t="s">
        <v>336</v>
      </c>
      <c r="C4720" s="62" t="s">
        <v>60</v>
      </c>
      <c r="D4720" s="62" t="s">
        <v>386</v>
      </c>
      <c r="E4720" s="62" t="s">
        <v>105</v>
      </c>
      <c r="F4720" s="62" t="s">
        <v>382</v>
      </c>
      <c r="G4720" s="63" t="s">
        <v>466</v>
      </c>
      <c r="H4720" s="64" t="n">
        <v>0.20974578425257</v>
      </c>
      <c r="I4720" s="62" t="s">
        <v>878</v>
      </c>
      <c r="J4720" s="64" t="n">
        <v>20.974578425257</v>
      </c>
      <c r="K4720" s="62" t="s">
        <v>42</v>
      </c>
      <c r="L4720" s="68" t="b">
        <f aca="false">TRUE()</f>
        <v>1</v>
      </c>
    </row>
    <row r="4721" customFormat="false" ht="15" hidden="false" customHeight="false" outlineLevel="0" collapsed="false">
      <c r="A4721" s="62" t="n">
        <v>1</v>
      </c>
      <c r="B4721" s="21" t="s">
        <v>336</v>
      </c>
      <c r="C4721" s="62" t="s">
        <v>60</v>
      </c>
      <c r="D4721" s="62" t="s">
        <v>387</v>
      </c>
      <c r="E4721" s="62" t="s">
        <v>105</v>
      </c>
      <c r="F4721" s="62" t="s">
        <v>382</v>
      </c>
      <c r="G4721" s="63" t="s">
        <v>466</v>
      </c>
      <c r="H4721" s="64" t="n">
        <v>0.195796204613314</v>
      </c>
      <c r="I4721" s="62" t="s">
        <v>878</v>
      </c>
      <c r="J4721" s="64" t="n">
        <v>19.5796204613314</v>
      </c>
      <c r="K4721" s="62" t="s">
        <v>42</v>
      </c>
      <c r="L4721" s="68" t="b">
        <f aca="false">TRUE()</f>
        <v>1</v>
      </c>
    </row>
    <row r="4722" customFormat="false" ht="15" hidden="false" customHeight="false" outlineLevel="0" collapsed="false">
      <c r="A4722" s="62" t="n">
        <v>1</v>
      </c>
      <c r="B4722" s="21" t="s">
        <v>336</v>
      </c>
      <c r="C4722" s="62" t="s">
        <v>60</v>
      </c>
      <c r="D4722" s="62" t="s">
        <v>388</v>
      </c>
      <c r="E4722" s="62" t="s">
        <v>105</v>
      </c>
      <c r="F4722" s="62" t="s">
        <v>382</v>
      </c>
      <c r="G4722" s="63" t="s">
        <v>466</v>
      </c>
      <c r="H4722" s="64" t="n">
        <v>0.031788696571769</v>
      </c>
      <c r="I4722" s="62" t="s">
        <v>878</v>
      </c>
      <c r="J4722" s="64" t="n">
        <v>3.1788696571769</v>
      </c>
      <c r="K4722" s="62" t="s">
        <v>42</v>
      </c>
      <c r="L4722" s="68" t="b">
        <f aca="false">TRUE()</f>
        <v>1</v>
      </c>
    </row>
    <row r="4723" customFormat="false" ht="15" hidden="false" customHeight="false" outlineLevel="0" collapsed="false">
      <c r="A4723" s="62" t="n">
        <v>1</v>
      </c>
      <c r="B4723" s="21" t="s">
        <v>336</v>
      </c>
      <c r="C4723" s="62" t="s">
        <v>60</v>
      </c>
      <c r="D4723" s="62" t="s">
        <v>381</v>
      </c>
      <c r="E4723" s="62" t="s">
        <v>105</v>
      </c>
      <c r="F4723" s="62" t="s">
        <v>382</v>
      </c>
      <c r="G4723" s="63" t="s">
        <v>467</v>
      </c>
      <c r="H4723" s="64" t="n">
        <v>0.0776543432063234</v>
      </c>
      <c r="I4723" s="62" t="s">
        <v>878</v>
      </c>
      <c r="J4723" s="64" t="n">
        <v>7.76543432063234</v>
      </c>
      <c r="K4723" s="62" t="s">
        <v>42</v>
      </c>
      <c r="L4723" s="68" t="b">
        <f aca="false">TRUE()</f>
        <v>1</v>
      </c>
    </row>
    <row r="4724" customFormat="false" ht="15" hidden="false" customHeight="false" outlineLevel="0" collapsed="false">
      <c r="A4724" s="62" t="n">
        <v>1</v>
      </c>
      <c r="B4724" s="21" t="s">
        <v>336</v>
      </c>
      <c r="C4724" s="62" t="s">
        <v>60</v>
      </c>
      <c r="D4724" s="62" t="s">
        <v>383</v>
      </c>
      <c r="E4724" s="62" t="s">
        <v>105</v>
      </c>
      <c r="F4724" s="62" t="s">
        <v>382</v>
      </c>
      <c r="G4724" s="63" t="s">
        <v>467</v>
      </c>
      <c r="H4724" s="64" t="n">
        <v>0.196868381153552</v>
      </c>
      <c r="I4724" s="62" t="s">
        <v>878</v>
      </c>
      <c r="J4724" s="64" t="n">
        <v>19.6868381153552</v>
      </c>
      <c r="K4724" s="62" t="s">
        <v>42</v>
      </c>
      <c r="L4724" s="68" t="b">
        <f aca="false">TRUE()</f>
        <v>1</v>
      </c>
    </row>
    <row r="4725" customFormat="false" ht="15" hidden="false" customHeight="false" outlineLevel="0" collapsed="false">
      <c r="A4725" s="62" t="n">
        <v>1</v>
      </c>
      <c r="B4725" s="21" t="s">
        <v>336</v>
      </c>
      <c r="C4725" s="62" t="s">
        <v>60</v>
      </c>
      <c r="D4725" s="62" t="s">
        <v>384</v>
      </c>
      <c r="E4725" s="62" t="s">
        <v>105</v>
      </c>
      <c r="F4725" s="62" t="s">
        <v>382</v>
      </c>
      <c r="G4725" s="63" t="s">
        <v>467</v>
      </c>
      <c r="H4725" s="64" t="n">
        <v>0.203489702290519</v>
      </c>
      <c r="I4725" s="62" t="s">
        <v>878</v>
      </c>
      <c r="J4725" s="64" t="n">
        <v>20.3489702290519</v>
      </c>
      <c r="K4725" s="62" t="s">
        <v>42</v>
      </c>
      <c r="L4725" s="68" t="b">
        <f aca="false">TRUE()</f>
        <v>1</v>
      </c>
    </row>
    <row r="4726" customFormat="false" ht="15" hidden="false" customHeight="false" outlineLevel="0" collapsed="false">
      <c r="A4726" s="62" t="n">
        <v>1</v>
      </c>
      <c r="B4726" s="21" t="s">
        <v>336</v>
      </c>
      <c r="C4726" s="62" t="s">
        <v>60</v>
      </c>
      <c r="D4726" s="62" t="s">
        <v>385</v>
      </c>
      <c r="E4726" s="62" t="s">
        <v>105</v>
      </c>
      <c r="F4726" s="62" t="s">
        <v>382</v>
      </c>
      <c r="G4726" s="63" t="s">
        <v>467</v>
      </c>
      <c r="H4726" s="64" t="n">
        <v>0.205681090815249</v>
      </c>
      <c r="I4726" s="62" t="s">
        <v>878</v>
      </c>
      <c r="J4726" s="64" t="n">
        <v>20.5681090815249</v>
      </c>
      <c r="K4726" s="62" t="s">
        <v>42</v>
      </c>
      <c r="L4726" s="68" t="b">
        <f aca="false">TRUE()</f>
        <v>1</v>
      </c>
    </row>
    <row r="4727" customFormat="false" ht="15" hidden="false" customHeight="false" outlineLevel="0" collapsed="false">
      <c r="A4727" s="62" t="n">
        <v>1</v>
      </c>
      <c r="B4727" s="21" t="s">
        <v>336</v>
      </c>
      <c r="C4727" s="62" t="s">
        <v>60</v>
      </c>
      <c r="D4727" s="62" t="s">
        <v>386</v>
      </c>
      <c r="E4727" s="62" t="s">
        <v>105</v>
      </c>
      <c r="F4727" s="62" t="s">
        <v>382</v>
      </c>
      <c r="G4727" s="63" t="s">
        <v>467</v>
      </c>
      <c r="H4727" s="64" t="n">
        <v>0.155720809282511</v>
      </c>
      <c r="I4727" s="62" t="s">
        <v>878</v>
      </c>
      <c r="J4727" s="64" t="n">
        <v>15.5720809282511</v>
      </c>
      <c r="K4727" s="62" t="s">
        <v>42</v>
      </c>
      <c r="L4727" s="68" t="b">
        <f aca="false">TRUE()</f>
        <v>1</v>
      </c>
    </row>
    <row r="4728" customFormat="false" ht="15" hidden="false" customHeight="false" outlineLevel="0" collapsed="false">
      <c r="A4728" s="62" t="n">
        <v>1</v>
      </c>
      <c r="B4728" s="21" t="s">
        <v>336</v>
      </c>
      <c r="C4728" s="62" t="s">
        <v>60</v>
      </c>
      <c r="D4728" s="62" t="s">
        <v>387</v>
      </c>
      <c r="E4728" s="62" t="s">
        <v>105</v>
      </c>
      <c r="F4728" s="62" t="s">
        <v>382</v>
      </c>
      <c r="G4728" s="63" t="s">
        <v>467</v>
      </c>
      <c r="H4728" s="64" t="n">
        <v>0.149942777130803</v>
      </c>
      <c r="I4728" s="62" t="s">
        <v>878</v>
      </c>
      <c r="J4728" s="64" t="n">
        <v>14.9942777130803</v>
      </c>
      <c r="K4728" s="62" t="s">
        <v>42</v>
      </c>
      <c r="L4728" s="68" t="b">
        <f aca="false">TRUE()</f>
        <v>1</v>
      </c>
    </row>
    <row r="4729" customFormat="false" ht="15" hidden="false" customHeight="false" outlineLevel="0" collapsed="false">
      <c r="A4729" s="62" t="n">
        <v>1</v>
      </c>
      <c r="B4729" s="21" t="s">
        <v>336</v>
      </c>
      <c r="C4729" s="62" t="s">
        <v>60</v>
      </c>
      <c r="D4729" s="62" t="s">
        <v>388</v>
      </c>
      <c r="E4729" s="62" t="s">
        <v>105</v>
      </c>
      <c r="F4729" s="62" t="s">
        <v>382</v>
      </c>
      <c r="G4729" s="63" t="s">
        <v>467</v>
      </c>
      <c r="H4729" s="64" t="n">
        <v>0.00196319052908484</v>
      </c>
      <c r="I4729" s="62" t="s">
        <v>878</v>
      </c>
      <c r="J4729" s="64" t="n">
        <v>0.196319052908484</v>
      </c>
      <c r="K4729" s="62" t="s">
        <v>42</v>
      </c>
      <c r="L4729" s="68" t="b">
        <f aca="false">TRUE()</f>
        <v>1</v>
      </c>
    </row>
    <row r="4730" customFormat="false" ht="15" hidden="false" customHeight="false" outlineLevel="0" collapsed="false">
      <c r="A4730" s="62" t="n">
        <v>1</v>
      </c>
      <c r="B4730" s="21" t="s">
        <v>336</v>
      </c>
      <c r="C4730" s="62" t="s">
        <v>60</v>
      </c>
      <c r="D4730" s="62" t="s">
        <v>381</v>
      </c>
      <c r="E4730" s="62" t="s">
        <v>105</v>
      </c>
      <c r="F4730" s="62" t="s">
        <v>382</v>
      </c>
      <c r="G4730" s="63" t="s">
        <v>468</v>
      </c>
      <c r="H4730" s="64" t="n">
        <v>0.46554592400207</v>
      </c>
      <c r="I4730" s="62" t="s">
        <v>878</v>
      </c>
      <c r="J4730" s="64" t="n">
        <v>46.554592400207</v>
      </c>
      <c r="K4730" s="62" t="s">
        <v>42</v>
      </c>
      <c r="L4730" s="68" t="b">
        <f aca="false">TRUE()</f>
        <v>1</v>
      </c>
    </row>
    <row r="4731" customFormat="false" ht="15" hidden="false" customHeight="false" outlineLevel="0" collapsed="false">
      <c r="A4731" s="62" t="n">
        <v>1</v>
      </c>
      <c r="B4731" s="21" t="s">
        <v>336</v>
      </c>
      <c r="C4731" s="62" t="s">
        <v>60</v>
      </c>
      <c r="D4731" s="62" t="s">
        <v>383</v>
      </c>
      <c r="E4731" s="62" t="s">
        <v>105</v>
      </c>
      <c r="F4731" s="62" t="s">
        <v>382</v>
      </c>
      <c r="G4731" s="63" t="s">
        <v>468</v>
      </c>
      <c r="H4731" s="64" t="n">
        <v>0.619904277745349</v>
      </c>
      <c r="I4731" s="62" t="s">
        <v>878</v>
      </c>
      <c r="J4731" s="64" t="n">
        <v>61.9904277745349</v>
      </c>
      <c r="K4731" s="62" t="s">
        <v>42</v>
      </c>
      <c r="L4731" s="68" t="b">
        <f aca="false">TRUE()</f>
        <v>1</v>
      </c>
    </row>
    <row r="4732" customFormat="false" ht="15" hidden="false" customHeight="false" outlineLevel="0" collapsed="false">
      <c r="A4732" s="62" t="n">
        <v>1</v>
      </c>
      <c r="B4732" s="21" t="s">
        <v>336</v>
      </c>
      <c r="C4732" s="62" t="s">
        <v>60</v>
      </c>
      <c r="D4732" s="62" t="s">
        <v>384</v>
      </c>
      <c r="E4732" s="62" t="s">
        <v>105</v>
      </c>
      <c r="F4732" s="62" t="s">
        <v>382</v>
      </c>
      <c r="G4732" s="63" t="s">
        <v>468</v>
      </c>
      <c r="H4732" s="64" t="n">
        <v>0.632631514906488</v>
      </c>
      <c r="I4732" s="62" t="s">
        <v>878</v>
      </c>
      <c r="J4732" s="64" t="n">
        <v>63.2631514906488</v>
      </c>
      <c r="K4732" s="62" t="s">
        <v>42</v>
      </c>
      <c r="L4732" s="68" t="b">
        <f aca="false">TRUE()</f>
        <v>1</v>
      </c>
    </row>
    <row r="4733" customFormat="false" ht="15" hidden="false" customHeight="false" outlineLevel="0" collapsed="false">
      <c r="A4733" s="62" t="n">
        <v>1</v>
      </c>
      <c r="B4733" s="21" t="s">
        <v>336</v>
      </c>
      <c r="C4733" s="62" t="s">
        <v>60</v>
      </c>
      <c r="D4733" s="62" t="s">
        <v>385</v>
      </c>
      <c r="E4733" s="62" t="s">
        <v>105</v>
      </c>
      <c r="F4733" s="62" t="s">
        <v>382</v>
      </c>
      <c r="G4733" s="63" t="s">
        <v>468</v>
      </c>
      <c r="H4733" s="64" t="n">
        <v>0.607517240202489</v>
      </c>
      <c r="I4733" s="62" t="s">
        <v>878</v>
      </c>
      <c r="J4733" s="64" t="n">
        <v>60.7517240202489</v>
      </c>
      <c r="K4733" s="62" t="s">
        <v>42</v>
      </c>
      <c r="L4733" s="68" t="b">
        <f aca="false">TRUE()</f>
        <v>1</v>
      </c>
    </row>
    <row r="4734" customFormat="false" ht="15" hidden="false" customHeight="false" outlineLevel="0" collapsed="false">
      <c r="A4734" s="62" t="n">
        <v>1</v>
      </c>
      <c r="B4734" s="21" t="s">
        <v>336</v>
      </c>
      <c r="C4734" s="62" t="s">
        <v>60</v>
      </c>
      <c r="D4734" s="62" t="s">
        <v>386</v>
      </c>
      <c r="E4734" s="62" t="s">
        <v>105</v>
      </c>
      <c r="F4734" s="62" t="s">
        <v>382</v>
      </c>
      <c r="G4734" s="63" t="s">
        <v>468</v>
      </c>
      <c r="H4734" s="64" t="n">
        <v>0.476292083233903</v>
      </c>
      <c r="I4734" s="62" t="s">
        <v>878</v>
      </c>
      <c r="J4734" s="64" t="n">
        <v>47.6292083233903</v>
      </c>
      <c r="K4734" s="62" t="s">
        <v>42</v>
      </c>
      <c r="L4734" s="68" t="b">
        <f aca="false">TRUE()</f>
        <v>1</v>
      </c>
    </row>
    <row r="4735" customFormat="false" ht="15" hidden="false" customHeight="false" outlineLevel="0" collapsed="false">
      <c r="A4735" s="62" t="n">
        <v>1</v>
      </c>
      <c r="B4735" s="21" t="s">
        <v>336</v>
      </c>
      <c r="C4735" s="62" t="s">
        <v>60</v>
      </c>
      <c r="D4735" s="62" t="s">
        <v>387</v>
      </c>
      <c r="E4735" s="62" t="s">
        <v>105</v>
      </c>
      <c r="F4735" s="62" t="s">
        <v>382</v>
      </c>
      <c r="G4735" s="63" t="s">
        <v>468</v>
      </c>
      <c r="H4735" s="64" t="n">
        <v>0.55041014700804</v>
      </c>
      <c r="I4735" s="62" t="s">
        <v>878</v>
      </c>
      <c r="J4735" s="64" t="n">
        <v>55.041014700804</v>
      </c>
      <c r="K4735" s="62" t="s">
        <v>42</v>
      </c>
      <c r="L4735" s="68" t="b">
        <f aca="false">TRUE()</f>
        <v>1</v>
      </c>
    </row>
    <row r="4736" customFormat="false" ht="15" hidden="false" customHeight="false" outlineLevel="0" collapsed="false">
      <c r="A4736" s="62" t="n">
        <v>1</v>
      </c>
      <c r="B4736" s="21" t="s">
        <v>336</v>
      </c>
      <c r="C4736" s="62" t="s">
        <v>60</v>
      </c>
      <c r="D4736" s="62" t="s">
        <v>388</v>
      </c>
      <c r="E4736" s="62" t="s">
        <v>105</v>
      </c>
      <c r="F4736" s="62" t="s">
        <v>382</v>
      </c>
      <c r="G4736" s="63" t="s">
        <v>468</v>
      </c>
      <c r="H4736" s="64" t="n">
        <v>0.469184277874901</v>
      </c>
      <c r="I4736" s="62" t="s">
        <v>878</v>
      </c>
      <c r="J4736" s="64" t="n">
        <v>46.9184277874901</v>
      </c>
      <c r="K4736" s="62" t="s">
        <v>42</v>
      </c>
      <c r="L4736" s="68" t="b">
        <f aca="false">TRUE()</f>
        <v>1</v>
      </c>
    </row>
    <row r="4737" customFormat="false" ht="15" hidden="false" customHeight="false" outlineLevel="0" collapsed="false">
      <c r="A4737" s="62" t="n">
        <v>1</v>
      </c>
      <c r="B4737" s="21" t="s">
        <v>336</v>
      </c>
      <c r="C4737" s="62" t="s">
        <v>60</v>
      </c>
      <c r="D4737" s="62" t="s">
        <v>381</v>
      </c>
      <c r="E4737" s="62" t="s">
        <v>105</v>
      </c>
      <c r="F4737" s="62" t="s">
        <v>382</v>
      </c>
      <c r="G4737" s="63" t="s">
        <v>469</v>
      </c>
      <c r="H4737" s="64" t="n">
        <v>0.587399539760202</v>
      </c>
      <c r="I4737" s="62" t="s">
        <v>878</v>
      </c>
      <c r="J4737" s="64" t="n">
        <v>58.7399539760202</v>
      </c>
      <c r="K4737" s="62" t="s">
        <v>42</v>
      </c>
      <c r="L4737" s="68" t="b">
        <f aca="false">TRUE()</f>
        <v>1</v>
      </c>
    </row>
    <row r="4738" customFormat="false" ht="15" hidden="false" customHeight="false" outlineLevel="0" collapsed="false">
      <c r="A4738" s="62" t="n">
        <v>1</v>
      </c>
      <c r="B4738" s="21" t="s">
        <v>336</v>
      </c>
      <c r="C4738" s="62" t="s">
        <v>60</v>
      </c>
      <c r="D4738" s="62" t="s">
        <v>383</v>
      </c>
      <c r="E4738" s="62" t="s">
        <v>105</v>
      </c>
      <c r="F4738" s="62" t="s">
        <v>382</v>
      </c>
      <c r="G4738" s="63" t="s">
        <v>469</v>
      </c>
      <c r="H4738" s="64" t="n">
        <v>-0.382487349976016</v>
      </c>
      <c r="I4738" s="62" t="s">
        <v>878</v>
      </c>
      <c r="J4738" s="64" t="n">
        <v>-38.2487349976016</v>
      </c>
      <c r="K4738" s="62" t="s">
        <v>42</v>
      </c>
      <c r="L4738" s="68" t="b">
        <f aca="false">TRUE()</f>
        <v>1</v>
      </c>
    </row>
    <row r="4739" customFormat="false" ht="15" hidden="false" customHeight="false" outlineLevel="0" collapsed="false">
      <c r="A4739" s="62" t="n">
        <v>1</v>
      </c>
      <c r="B4739" s="21" t="s">
        <v>336</v>
      </c>
      <c r="C4739" s="62" t="s">
        <v>60</v>
      </c>
      <c r="D4739" s="62" t="s">
        <v>384</v>
      </c>
      <c r="E4739" s="62" t="s">
        <v>105</v>
      </c>
      <c r="F4739" s="62" t="s">
        <v>382</v>
      </c>
      <c r="G4739" s="63" t="s">
        <v>469</v>
      </c>
      <c r="H4739" s="64" t="n">
        <v>-0.318076512772763</v>
      </c>
      <c r="I4739" s="62" t="s">
        <v>878</v>
      </c>
      <c r="J4739" s="64" t="n">
        <v>-31.8076512772763</v>
      </c>
      <c r="K4739" s="62" t="s">
        <v>42</v>
      </c>
      <c r="L4739" s="68" t="b">
        <f aca="false">TRUE()</f>
        <v>1</v>
      </c>
    </row>
    <row r="4740" customFormat="false" ht="15" hidden="false" customHeight="false" outlineLevel="0" collapsed="false">
      <c r="A4740" s="62" t="n">
        <v>1</v>
      </c>
      <c r="B4740" s="21" t="s">
        <v>336</v>
      </c>
      <c r="C4740" s="62" t="s">
        <v>60</v>
      </c>
      <c r="D4740" s="62" t="s">
        <v>385</v>
      </c>
      <c r="E4740" s="62" t="s">
        <v>105</v>
      </c>
      <c r="F4740" s="62" t="s">
        <v>382</v>
      </c>
      <c r="G4740" s="63" t="s">
        <v>469</v>
      </c>
      <c r="H4740" s="64" t="n">
        <v>-0.0714270075440962</v>
      </c>
      <c r="I4740" s="62" t="s">
        <v>878</v>
      </c>
      <c r="J4740" s="64" t="n">
        <v>-7.14270075440962</v>
      </c>
      <c r="K4740" s="62" t="s">
        <v>42</v>
      </c>
      <c r="L4740" s="68" t="b">
        <f aca="false">TRUE()</f>
        <v>1</v>
      </c>
    </row>
    <row r="4741" customFormat="false" ht="15" hidden="false" customHeight="false" outlineLevel="0" collapsed="false">
      <c r="A4741" s="62" t="n">
        <v>1</v>
      </c>
      <c r="B4741" s="21" t="s">
        <v>336</v>
      </c>
      <c r="C4741" s="62" t="s">
        <v>60</v>
      </c>
      <c r="D4741" s="62" t="s">
        <v>386</v>
      </c>
      <c r="E4741" s="62" t="s">
        <v>105</v>
      </c>
      <c r="F4741" s="62" t="s">
        <v>382</v>
      </c>
      <c r="G4741" s="63" t="s">
        <v>469</v>
      </c>
      <c r="H4741" s="64" t="n">
        <v>-0.0813509084346708</v>
      </c>
      <c r="I4741" s="62" t="s">
        <v>878</v>
      </c>
      <c r="J4741" s="64" t="n">
        <v>-8.13509084346708</v>
      </c>
      <c r="K4741" s="62" t="s">
        <v>42</v>
      </c>
      <c r="L4741" s="68" t="b">
        <f aca="false">TRUE()</f>
        <v>1</v>
      </c>
    </row>
    <row r="4742" customFormat="false" ht="15" hidden="false" customHeight="false" outlineLevel="0" collapsed="false">
      <c r="A4742" s="62" t="n">
        <v>1</v>
      </c>
      <c r="B4742" s="21" t="s">
        <v>336</v>
      </c>
      <c r="C4742" s="62" t="s">
        <v>60</v>
      </c>
      <c r="D4742" s="62" t="s">
        <v>387</v>
      </c>
      <c r="E4742" s="62" t="s">
        <v>105</v>
      </c>
      <c r="F4742" s="62" t="s">
        <v>382</v>
      </c>
      <c r="G4742" s="63" t="s">
        <v>469</v>
      </c>
      <c r="H4742" s="64" t="n">
        <v>-0.168267516164007</v>
      </c>
      <c r="I4742" s="62" t="s">
        <v>878</v>
      </c>
      <c r="J4742" s="64" t="n">
        <v>-16.8267516164007</v>
      </c>
      <c r="K4742" s="62" t="s">
        <v>42</v>
      </c>
      <c r="L4742" s="68" t="b">
        <f aca="false">TRUE()</f>
        <v>1</v>
      </c>
    </row>
    <row r="4743" customFormat="false" ht="15" hidden="false" customHeight="false" outlineLevel="0" collapsed="false">
      <c r="A4743" s="62" t="n">
        <v>1</v>
      </c>
      <c r="B4743" s="21" t="s">
        <v>336</v>
      </c>
      <c r="C4743" s="62" t="s">
        <v>60</v>
      </c>
      <c r="D4743" s="62" t="s">
        <v>388</v>
      </c>
      <c r="E4743" s="62" t="s">
        <v>105</v>
      </c>
      <c r="F4743" s="62" t="s">
        <v>382</v>
      </c>
      <c r="G4743" s="63" t="s">
        <v>469</v>
      </c>
      <c r="H4743" s="64" t="n">
        <v>0.0586225876788685</v>
      </c>
      <c r="I4743" s="62" t="s">
        <v>878</v>
      </c>
      <c r="J4743" s="64" t="n">
        <v>5.86225876788685</v>
      </c>
      <c r="K4743" s="62" t="s">
        <v>42</v>
      </c>
      <c r="L4743" s="68" t="b">
        <f aca="false">TRUE()</f>
        <v>1</v>
      </c>
    </row>
    <row r="4744" customFormat="false" ht="15" hidden="false" customHeight="false" outlineLevel="0" collapsed="false">
      <c r="A4744" s="62" t="n">
        <v>1</v>
      </c>
      <c r="B4744" s="21" t="s">
        <v>336</v>
      </c>
      <c r="C4744" s="62" t="s">
        <v>60</v>
      </c>
      <c r="D4744" s="62" t="s">
        <v>381</v>
      </c>
      <c r="E4744" s="62" t="s">
        <v>105</v>
      </c>
      <c r="F4744" s="62" t="s">
        <v>382</v>
      </c>
      <c r="G4744" s="63" t="s">
        <v>470</v>
      </c>
      <c r="H4744" s="64" t="n">
        <v>0.2255748526139</v>
      </c>
      <c r="I4744" s="62" t="s">
        <v>878</v>
      </c>
      <c r="J4744" s="64" t="n">
        <v>22.55748526139</v>
      </c>
      <c r="K4744" s="62" t="s">
        <v>42</v>
      </c>
      <c r="L4744" s="68" t="b">
        <f aca="false">TRUE()</f>
        <v>1</v>
      </c>
    </row>
    <row r="4745" customFormat="false" ht="15" hidden="false" customHeight="false" outlineLevel="0" collapsed="false">
      <c r="A4745" s="62" t="n">
        <v>1</v>
      </c>
      <c r="B4745" s="21" t="s">
        <v>336</v>
      </c>
      <c r="C4745" s="62" t="s">
        <v>60</v>
      </c>
      <c r="D4745" s="62" t="s">
        <v>383</v>
      </c>
      <c r="E4745" s="62" t="s">
        <v>105</v>
      </c>
      <c r="F4745" s="62" t="s">
        <v>382</v>
      </c>
      <c r="G4745" s="63" t="s">
        <v>470</v>
      </c>
      <c r="H4745" s="64" t="n">
        <v>0.609356243202724</v>
      </c>
      <c r="I4745" s="62" t="s">
        <v>878</v>
      </c>
      <c r="J4745" s="64" t="n">
        <v>60.9356243202724</v>
      </c>
      <c r="K4745" s="62" t="s">
        <v>42</v>
      </c>
      <c r="L4745" s="68" t="b">
        <f aca="false">TRUE()</f>
        <v>1</v>
      </c>
    </row>
    <row r="4746" customFormat="false" ht="15" hidden="false" customHeight="false" outlineLevel="0" collapsed="false">
      <c r="A4746" s="62" t="n">
        <v>1</v>
      </c>
      <c r="B4746" s="21" t="s">
        <v>336</v>
      </c>
      <c r="C4746" s="62" t="s">
        <v>60</v>
      </c>
      <c r="D4746" s="62" t="s">
        <v>384</v>
      </c>
      <c r="E4746" s="62" t="s">
        <v>105</v>
      </c>
      <c r="F4746" s="62" t="s">
        <v>382</v>
      </c>
      <c r="G4746" s="63" t="s">
        <v>470</v>
      </c>
      <c r="H4746" s="64" t="n">
        <v>0.542173296622916</v>
      </c>
      <c r="I4746" s="62" t="s">
        <v>878</v>
      </c>
      <c r="J4746" s="64" t="n">
        <v>54.2173296622916</v>
      </c>
      <c r="K4746" s="62" t="s">
        <v>42</v>
      </c>
      <c r="L4746" s="68" t="b">
        <f aca="false">TRUE()</f>
        <v>1</v>
      </c>
    </row>
    <row r="4747" customFormat="false" ht="15" hidden="false" customHeight="false" outlineLevel="0" collapsed="false">
      <c r="A4747" s="62" t="n">
        <v>1</v>
      </c>
      <c r="B4747" s="21" t="s">
        <v>336</v>
      </c>
      <c r="C4747" s="62" t="s">
        <v>60</v>
      </c>
      <c r="D4747" s="62" t="s">
        <v>385</v>
      </c>
      <c r="E4747" s="62" t="s">
        <v>105</v>
      </c>
      <c r="F4747" s="62" t="s">
        <v>382</v>
      </c>
      <c r="G4747" s="63" t="s">
        <v>470</v>
      </c>
      <c r="H4747" s="64" t="n">
        <v>0.375774018276049</v>
      </c>
      <c r="I4747" s="62" t="s">
        <v>878</v>
      </c>
      <c r="J4747" s="64" t="n">
        <v>37.5774018276049</v>
      </c>
      <c r="K4747" s="62" t="s">
        <v>42</v>
      </c>
      <c r="L4747" s="68" t="b">
        <f aca="false">TRUE()</f>
        <v>1</v>
      </c>
    </row>
    <row r="4748" customFormat="false" ht="15" hidden="false" customHeight="false" outlineLevel="0" collapsed="false">
      <c r="A4748" s="62" t="n">
        <v>1</v>
      </c>
      <c r="B4748" s="21" t="s">
        <v>336</v>
      </c>
      <c r="C4748" s="62" t="s">
        <v>60</v>
      </c>
      <c r="D4748" s="62" t="s">
        <v>386</v>
      </c>
      <c r="E4748" s="62" t="s">
        <v>105</v>
      </c>
      <c r="F4748" s="62" t="s">
        <v>382</v>
      </c>
      <c r="G4748" s="63" t="s">
        <v>470</v>
      </c>
      <c r="H4748" s="64" t="n">
        <v>0.344536407878697</v>
      </c>
      <c r="I4748" s="62" t="s">
        <v>878</v>
      </c>
      <c r="J4748" s="64" t="n">
        <v>34.4536407878697</v>
      </c>
      <c r="K4748" s="62" t="s">
        <v>42</v>
      </c>
      <c r="L4748" s="68" t="b">
        <f aca="false">TRUE()</f>
        <v>1</v>
      </c>
    </row>
    <row r="4749" customFormat="false" ht="15" hidden="false" customHeight="false" outlineLevel="0" collapsed="false">
      <c r="A4749" s="62" t="n">
        <v>1</v>
      </c>
      <c r="B4749" s="21" t="s">
        <v>336</v>
      </c>
      <c r="C4749" s="62" t="s">
        <v>60</v>
      </c>
      <c r="D4749" s="62" t="s">
        <v>387</v>
      </c>
      <c r="E4749" s="62" t="s">
        <v>105</v>
      </c>
      <c r="F4749" s="62" t="s">
        <v>382</v>
      </c>
      <c r="G4749" s="63" t="s">
        <v>470</v>
      </c>
      <c r="H4749" s="64" t="n">
        <v>0.375967783032816</v>
      </c>
      <c r="I4749" s="62" t="s">
        <v>878</v>
      </c>
      <c r="J4749" s="64" t="n">
        <v>37.5967783032816</v>
      </c>
      <c r="K4749" s="62" t="s">
        <v>42</v>
      </c>
      <c r="L4749" s="68" t="b">
        <f aca="false">TRUE()</f>
        <v>1</v>
      </c>
    </row>
    <row r="4750" customFormat="false" ht="15" hidden="false" customHeight="false" outlineLevel="0" collapsed="false">
      <c r="A4750" s="62" t="n">
        <v>1</v>
      </c>
      <c r="B4750" s="21" t="s">
        <v>336</v>
      </c>
      <c r="C4750" s="62" t="s">
        <v>60</v>
      </c>
      <c r="D4750" s="62" t="s">
        <v>388</v>
      </c>
      <c r="E4750" s="62" t="s">
        <v>105</v>
      </c>
      <c r="F4750" s="62" t="s">
        <v>382</v>
      </c>
      <c r="G4750" s="63" t="s">
        <v>470</v>
      </c>
      <c r="H4750" s="64" t="n">
        <v>0.0423162680680224</v>
      </c>
      <c r="I4750" s="62" t="s">
        <v>878</v>
      </c>
      <c r="J4750" s="64" t="n">
        <v>4.23162680680224</v>
      </c>
      <c r="K4750" s="62" t="s">
        <v>42</v>
      </c>
      <c r="L4750" s="68" t="b">
        <f aca="false">TRUE()</f>
        <v>1</v>
      </c>
    </row>
    <row r="4751" customFormat="false" ht="15" hidden="false" customHeight="false" outlineLevel="0" collapsed="false">
      <c r="A4751" s="62" t="n">
        <v>1</v>
      </c>
      <c r="B4751" s="21" t="s">
        <v>336</v>
      </c>
      <c r="C4751" s="62" t="s">
        <v>60</v>
      </c>
      <c r="D4751" s="62" t="s">
        <v>381</v>
      </c>
      <c r="E4751" s="62" t="s">
        <v>105</v>
      </c>
      <c r="F4751" s="62" t="s">
        <v>382</v>
      </c>
      <c r="G4751" s="63" t="s">
        <v>471</v>
      </c>
      <c r="H4751" s="64" t="n">
        <v>0.3339</v>
      </c>
      <c r="I4751" s="62" t="s">
        <v>878</v>
      </c>
      <c r="J4751" s="64" t="n">
        <v>33.39</v>
      </c>
      <c r="K4751" s="62" t="s">
        <v>42</v>
      </c>
      <c r="L4751" s="68" t="b">
        <f aca="false">TRUE()</f>
        <v>1</v>
      </c>
    </row>
    <row r="4752" customFormat="false" ht="15" hidden="false" customHeight="false" outlineLevel="0" collapsed="false">
      <c r="A4752" s="62" t="n">
        <v>1</v>
      </c>
      <c r="B4752" s="21" t="s">
        <v>336</v>
      </c>
      <c r="C4752" s="62" t="s">
        <v>60</v>
      </c>
      <c r="D4752" s="62" t="s">
        <v>383</v>
      </c>
      <c r="E4752" s="62" t="s">
        <v>105</v>
      </c>
      <c r="F4752" s="62" t="s">
        <v>382</v>
      </c>
      <c r="G4752" s="63" t="s">
        <v>471</v>
      </c>
      <c r="H4752" s="64" t="n">
        <v>0.7905</v>
      </c>
      <c r="I4752" s="62" t="s">
        <v>878</v>
      </c>
      <c r="J4752" s="64" t="n">
        <v>79.05</v>
      </c>
      <c r="K4752" s="62" t="s">
        <v>42</v>
      </c>
      <c r="L4752" s="68" t="b">
        <f aca="false">TRUE()</f>
        <v>1</v>
      </c>
    </row>
    <row r="4753" customFormat="false" ht="15" hidden="false" customHeight="false" outlineLevel="0" collapsed="false">
      <c r="A4753" s="62" t="n">
        <v>1</v>
      </c>
      <c r="B4753" s="21" t="s">
        <v>336</v>
      </c>
      <c r="C4753" s="62" t="s">
        <v>60</v>
      </c>
      <c r="D4753" s="62" t="s">
        <v>384</v>
      </c>
      <c r="E4753" s="62" t="s">
        <v>105</v>
      </c>
      <c r="F4753" s="62" t="s">
        <v>382</v>
      </c>
      <c r="G4753" s="63" t="s">
        <v>471</v>
      </c>
      <c r="H4753" s="64" t="n">
        <v>0.704</v>
      </c>
      <c r="I4753" s="62" t="s">
        <v>878</v>
      </c>
      <c r="J4753" s="64" t="n">
        <v>70.4</v>
      </c>
      <c r="K4753" s="62" t="s">
        <v>42</v>
      </c>
      <c r="L4753" s="68" t="b">
        <f aca="false">TRUE()</f>
        <v>1</v>
      </c>
    </row>
    <row r="4754" customFormat="false" ht="15" hidden="false" customHeight="false" outlineLevel="0" collapsed="false">
      <c r="A4754" s="62" t="n">
        <v>1</v>
      </c>
      <c r="B4754" s="21" t="s">
        <v>336</v>
      </c>
      <c r="C4754" s="62" t="s">
        <v>60</v>
      </c>
      <c r="D4754" s="62" t="s">
        <v>385</v>
      </c>
      <c r="E4754" s="62" t="s">
        <v>105</v>
      </c>
      <c r="F4754" s="62" t="s">
        <v>382</v>
      </c>
      <c r="G4754" s="63" t="s">
        <v>471</v>
      </c>
      <c r="H4754" s="64" t="n">
        <v>0.5115</v>
      </c>
      <c r="I4754" s="62" t="s">
        <v>878</v>
      </c>
      <c r="J4754" s="64" t="n">
        <v>51.15</v>
      </c>
      <c r="K4754" s="62" t="s">
        <v>42</v>
      </c>
      <c r="L4754" s="68" t="b">
        <f aca="false">TRUE()</f>
        <v>1</v>
      </c>
    </row>
    <row r="4755" customFormat="false" ht="15" hidden="false" customHeight="false" outlineLevel="0" collapsed="false">
      <c r="A4755" s="62" t="n">
        <v>1</v>
      </c>
      <c r="B4755" s="21" t="s">
        <v>336</v>
      </c>
      <c r="C4755" s="62" t="s">
        <v>60</v>
      </c>
      <c r="D4755" s="62" t="s">
        <v>386</v>
      </c>
      <c r="E4755" s="62" t="s">
        <v>105</v>
      </c>
      <c r="F4755" s="62" t="s">
        <v>382</v>
      </c>
      <c r="G4755" s="63" t="s">
        <v>471</v>
      </c>
      <c r="H4755" s="64" t="n">
        <v>0.5366</v>
      </c>
      <c r="I4755" s="62" t="s">
        <v>878</v>
      </c>
      <c r="J4755" s="64" t="n">
        <v>53.66</v>
      </c>
      <c r="K4755" s="62" t="s">
        <v>42</v>
      </c>
      <c r="L4755" s="68" t="b">
        <f aca="false">TRUE()</f>
        <v>1</v>
      </c>
    </row>
    <row r="4756" customFormat="false" ht="15" hidden="false" customHeight="false" outlineLevel="0" collapsed="false">
      <c r="A4756" s="62" t="n">
        <v>1</v>
      </c>
      <c r="B4756" s="21" t="s">
        <v>336</v>
      </c>
      <c r="C4756" s="62" t="s">
        <v>60</v>
      </c>
      <c r="D4756" s="62" t="s">
        <v>387</v>
      </c>
      <c r="E4756" s="62" t="s">
        <v>105</v>
      </c>
      <c r="F4756" s="62" t="s">
        <v>382</v>
      </c>
      <c r="G4756" s="63" t="s">
        <v>471</v>
      </c>
      <c r="H4756" s="64" t="n">
        <v>0.5506</v>
      </c>
      <c r="I4756" s="62" t="s">
        <v>878</v>
      </c>
      <c r="J4756" s="64" t="n">
        <v>55.06</v>
      </c>
      <c r="K4756" s="62" t="s">
        <v>42</v>
      </c>
      <c r="L4756" s="68" t="b">
        <f aca="false">TRUE()</f>
        <v>1</v>
      </c>
    </row>
    <row r="4757" customFormat="false" ht="15" hidden="false" customHeight="false" outlineLevel="0" collapsed="false">
      <c r="A4757" s="62" t="n">
        <v>1</v>
      </c>
      <c r="B4757" s="21" t="s">
        <v>336</v>
      </c>
      <c r="C4757" s="62" t="s">
        <v>60</v>
      </c>
      <c r="D4757" s="62" t="s">
        <v>388</v>
      </c>
      <c r="E4757" s="62" t="s">
        <v>105</v>
      </c>
      <c r="F4757" s="62" t="s">
        <v>382</v>
      </c>
      <c r="G4757" s="63" t="s">
        <v>471</v>
      </c>
      <c r="H4757" s="64" t="n">
        <v>0.0055</v>
      </c>
      <c r="I4757" s="62" t="s">
        <v>878</v>
      </c>
      <c r="J4757" s="64" t="n">
        <v>0.55</v>
      </c>
      <c r="K4757" s="62" t="s">
        <v>42</v>
      </c>
      <c r="L4757" s="68" t="b">
        <f aca="false">TRUE()</f>
        <v>1</v>
      </c>
    </row>
    <row r="4758" customFormat="false" ht="15" hidden="false" customHeight="false" outlineLevel="0" collapsed="false">
      <c r="A4758" s="62" t="n">
        <v>1</v>
      </c>
      <c r="B4758" s="21" t="s">
        <v>336</v>
      </c>
      <c r="C4758" s="62" t="s">
        <v>60</v>
      </c>
      <c r="D4758" s="62" t="s">
        <v>381</v>
      </c>
      <c r="E4758" s="62" t="s">
        <v>105</v>
      </c>
      <c r="F4758" s="62" t="s">
        <v>382</v>
      </c>
      <c r="G4758" s="63" t="s">
        <v>472</v>
      </c>
      <c r="H4758" s="64" t="n">
        <v>2.22113013801903</v>
      </c>
      <c r="I4758" s="62" t="s">
        <v>115</v>
      </c>
      <c r="J4758" s="64" t="n">
        <v>2.22113013801903</v>
      </c>
      <c r="K4758" s="62" t="s">
        <v>42</v>
      </c>
      <c r="L4758" s="68" t="b">
        <f aca="false">TRUE()</f>
        <v>1</v>
      </c>
    </row>
    <row r="4759" customFormat="false" ht="15" hidden="false" customHeight="false" outlineLevel="0" collapsed="false">
      <c r="A4759" s="62" t="n">
        <v>1</v>
      </c>
      <c r="B4759" s="21" t="s">
        <v>336</v>
      </c>
      <c r="C4759" s="62" t="s">
        <v>60</v>
      </c>
      <c r="D4759" s="62" t="s">
        <v>383</v>
      </c>
      <c r="E4759" s="62" t="s">
        <v>105</v>
      </c>
      <c r="F4759" s="62" t="s">
        <v>382</v>
      </c>
      <c r="G4759" s="63" t="s">
        <v>472</v>
      </c>
      <c r="H4759" s="64" t="n">
        <v>7.71288960199234</v>
      </c>
      <c r="I4759" s="62" t="s">
        <v>115</v>
      </c>
      <c r="J4759" s="64" t="n">
        <v>7.71288960199234</v>
      </c>
      <c r="K4759" s="62" t="s">
        <v>42</v>
      </c>
      <c r="L4759" s="68" t="b">
        <f aca="false">TRUE()</f>
        <v>1</v>
      </c>
    </row>
    <row r="4760" customFormat="false" ht="15" hidden="false" customHeight="false" outlineLevel="0" collapsed="false">
      <c r="A4760" s="62" t="n">
        <v>1</v>
      </c>
      <c r="B4760" s="21" t="s">
        <v>336</v>
      </c>
      <c r="C4760" s="62" t="s">
        <v>60</v>
      </c>
      <c r="D4760" s="62" t="s">
        <v>384</v>
      </c>
      <c r="E4760" s="62" t="s">
        <v>105</v>
      </c>
      <c r="F4760" s="62" t="s">
        <v>382</v>
      </c>
      <c r="G4760" s="63" t="s">
        <v>472</v>
      </c>
      <c r="H4760" s="64" t="n">
        <v>6.13398862606187</v>
      </c>
      <c r="I4760" s="62" t="s">
        <v>115</v>
      </c>
      <c r="J4760" s="64" t="n">
        <v>6.13398862606187</v>
      </c>
      <c r="K4760" s="62" t="s">
        <v>42</v>
      </c>
      <c r="L4760" s="68" t="b">
        <f aca="false">TRUE()</f>
        <v>1</v>
      </c>
    </row>
    <row r="4761" customFormat="false" ht="15" hidden="false" customHeight="false" outlineLevel="0" collapsed="false">
      <c r="A4761" s="62" t="n">
        <v>1</v>
      </c>
      <c r="B4761" s="21" t="s">
        <v>336</v>
      </c>
      <c r="C4761" s="62" t="s">
        <v>60</v>
      </c>
      <c r="D4761" s="62" t="s">
        <v>385</v>
      </c>
      <c r="E4761" s="62" t="s">
        <v>105</v>
      </c>
      <c r="F4761" s="62" t="s">
        <v>382</v>
      </c>
      <c r="G4761" s="63" t="s">
        <v>472</v>
      </c>
      <c r="H4761" s="64" t="n">
        <v>4.17251229843999</v>
      </c>
      <c r="I4761" s="62" t="s">
        <v>115</v>
      </c>
      <c r="J4761" s="64" t="n">
        <v>4.17251229843999</v>
      </c>
      <c r="K4761" s="62" t="s">
        <v>42</v>
      </c>
      <c r="L4761" s="68" t="b">
        <f aca="false">TRUE()</f>
        <v>1</v>
      </c>
    </row>
    <row r="4762" customFormat="false" ht="15" hidden="false" customHeight="false" outlineLevel="0" collapsed="false">
      <c r="A4762" s="62" t="n">
        <v>1</v>
      </c>
      <c r="B4762" s="21" t="s">
        <v>336</v>
      </c>
      <c r="C4762" s="62" t="s">
        <v>60</v>
      </c>
      <c r="D4762" s="62" t="s">
        <v>386</v>
      </c>
      <c r="E4762" s="62" t="s">
        <v>105</v>
      </c>
      <c r="F4762" s="62" t="s">
        <v>382</v>
      </c>
      <c r="G4762" s="63" t="s">
        <v>472</v>
      </c>
      <c r="H4762" s="64" t="n">
        <v>3.49900366428652</v>
      </c>
      <c r="I4762" s="62" t="s">
        <v>115</v>
      </c>
      <c r="J4762" s="64" t="n">
        <v>3.49900366428652</v>
      </c>
      <c r="K4762" s="62" t="s">
        <v>42</v>
      </c>
      <c r="L4762" s="68" t="b">
        <f aca="false">TRUE()</f>
        <v>1</v>
      </c>
    </row>
    <row r="4763" customFormat="false" ht="15" hidden="false" customHeight="false" outlineLevel="0" collapsed="false">
      <c r="A4763" s="62" t="n">
        <v>1</v>
      </c>
      <c r="B4763" s="21" t="s">
        <v>336</v>
      </c>
      <c r="C4763" s="62" t="s">
        <v>60</v>
      </c>
      <c r="D4763" s="62" t="s">
        <v>387</v>
      </c>
      <c r="E4763" s="62" t="s">
        <v>105</v>
      </c>
      <c r="F4763" s="62" t="s">
        <v>382</v>
      </c>
      <c r="G4763" s="63" t="s">
        <v>472</v>
      </c>
      <c r="H4763" s="64" t="n">
        <v>4.41922630031628</v>
      </c>
      <c r="I4763" s="62" t="s">
        <v>115</v>
      </c>
      <c r="J4763" s="64" t="n">
        <v>4.41922630031628</v>
      </c>
      <c r="K4763" s="62" t="s">
        <v>42</v>
      </c>
      <c r="L4763" s="68" t="b">
        <f aca="false">TRUE()</f>
        <v>1</v>
      </c>
    </row>
    <row r="4764" customFormat="false" ht="15" hidden="false" customHeight="false" outlineLevel="0" collapsed="false">
      <c r="A4764" s="62" t="n">
        <v>1</v>
      </c>
      <c r="B4764" s="21" t="s">
        <v>336</v>
      </c>
      <c r="C4764" s="62" t="s">
        <v>60</v>
      </c>
      <c r="D4764" s="62" t="s">
        <v>388</v>
      </c>
      <c r="E4764" s="62" t="s">
        <v>105</v>
      </c>
      <c r="F4764" s="62" t="s">
        <v>382</v>
      </c>
      <c r="G4764" s="63" t="s">
        <v>472</v>
      </c>
      <c r="H4764" s="64" t="n">
        <v>0.0331899858482509</v>
      </c>
      <c r="I4764" s="62" t="s">
        <v>115</v>
      </c>
      <c r="J4764" s="64" t="n">
        <v>0.0331899858482509</v>
      </c>
      <c r="K4764" s="62" t="s">
        <v>42</v>
      </c>
      <c r="L4764" s="68" t="b">
        <f aca="false">TRUE()</f>
        <v>1</v>
      </c>
    </row>
    <row r="4765" customFormat="false" ht="15" hidden="false" customHeight="false" outlineLevel="0" collapsed="false">
      <c r="A4765" s="62" t="n">
        <v>1</v>
      </c>
      <c r="B4765" s="21" t="s">
        <v>336</v>
      </c>
      <c r="C4765" s="62" t="s">
        <v>60</v>
      </c>
      <c r="D4765" s="62" t="s">
        <v>381</v>
      </c>
      <c r="E4765" s="62" t="s">
        <v>105</v>
      </c>
      <c r="F4765" s="62" t="s">
        <v>382</v>
      </c>
      <c r="G4765" s="63" t="s">
        <v>473</v>
      </c>
      <c r="H4765" s="64" t="s">
        <v>57</v>
      </c>
      <c r="I4765" s="62" t="s">
        <v>42</v>
      </c>
      <c r="J4765" s="64" t="s">
        <v>57</v>
      </c>
      <c r="K4765" s="62" t="s">
        <v>42</v>
      </c>
      <c r="L4765" s="68" t="b">
        <f aca="false">TRUE()</f>
        <v>1</v>
      </c>
    </row>
    <row r="4766" customFormat="false" ht="15" hidden="false" customHeight="false" outlineLevel="0" collapsed="false">
      <c r="A4766" s="62" t="n">
        <v>1</v>
      </c>
      <c r="B4766" s="21" t="s">
        <v>336</v>
      </c>
      <c r="C4766" s="62" t="s">
        <v>60</v>
      </c>
      <c r="D4766" s="62" t="s">
        <v>383</v>
      </c>
      <c r="E4766" s="62" t="s">
        <v>105</v>
      </c>
      <c r="F4766" s="62" t="s">
        <v>382</v>
      </c>
      <c r="G4766" s="63" t="s">
        <v>473</v>
      </c>
      <c r="H4766" s="64" t="s">
        <v>748</v>
      </c>
      <c r="I4766" s="62" t="s">
        <v>42</v>
      </c>
      <c r="J4766" s="64" t="s">
        <v>748</v>
      </c>
      <c r="K4766" s="62" t="s">
        <v>42</v>
      </c>
      <c r="L4766" s="68" t="b">
        <f aca="false">TRUE()</f>
        <v>1</v>
      </c>
    </row>
    <row r="4767" customFormat="false" ht="15" hidden="false" customHeight="false" outlineLevel="0" collapsed="false">
      <c r="A4767" s="62" t="n">
        <v>1</v>
      </c>
      <c r="B4767" s="21" t="s">
        <v>336</v>
      </c>
      <c r="C4767" s="62" t="s">
        <v>60</v>
      </c>
      <c r="D4767" s="62" t="s">
        <v>384</v>
      </c>
      <c r="E4767" s="62" t="s">
        <v>105</v>
      </c>
      <c r="F4767" s="62" t="s">
        <v>382</v>
      </c>
      <c r="G4767" s="63" t="s">
        <v>473</v>
      </c>
      <c r="H4767" s="64" t="s">
        <v>748</v>
      </c>
      <c r="I4767" s="62" t="s">
        <v>42</v>
      </c>
      <c r="J4767" s="64" t="s">
        <v>748</v>
      </c>
      <c r="K4767" s="62" t="s">
        <v>42</v>
      </c>
      <c r="L4767" s="68" t="b">
        <f aca="false">TRUE()</f>
        <v>1</v>
      </c>
    </row>
    <row r="4768" customFormat="false" ht="15" hidden="false" customHeight="false" outlineLevel="0" collapsed="false">
      <c r="A4768" s="62" t="n">
        <v>1</v>
      </c>
      <c r="B4768" s="21" t="s">
        <v>336</v>
      </c>
      <c r="C4768" s="62" t="s">
        <v>60</v>
      </c>
      <c r="D4768" s="62" t="s">
        <v>385</v>
      </c>
      <c r="E4768" s="62" t="s">
        <v>105</v>
      </c>
      <c r="F4768" s="62" t="s">
        <v>382</v>
      </c>
      <c r="G4768" s="63" t="s">
        <v>473</v>
      </c>
      <c r="H4768" s="64" t="s">
        <v>748</v>
      </c>
      <c r="I4768" s="62" t="s">
        <v>42</v>
      </c>
      <c r="J4768" s="64" t="s">
        <v>748</v>
      </c>
      <c r="K4768" s="62" t="s">
        <v>42</v>
      </c>
      <c r="L4768" s="68" t="b">
        <f aca="false">TRUE()</f>
        <v>1</v>
      </c>
    </row>
    <row r="4769" customFormat="false" ht="15" hidden="false" customHeight="false" outlineLevel="0" collapsed="false">
      <c r="A4769" s="62" t="n">
        <v>1</v>
      </c>
      <c r="B4769" s="21" t="s">
        <v>336</v>
      </c>
      <c r="C4769" s="62" t="s">
        <v>60</v>
      </c>
      <c r="D4769" s="62" t="s">
        <v>386</v>
      </c>
      <c r="E4769" s="62" t="s">
        <v>105</v>
      </c>
      <c r="F4769" s="62" t="s">
        <v>382</v>
      </c>
      <c r="G4769" s="63" t="s">
        <v>473</v>
      </c>
      <c r="H4769" s="64" t="s">
        <v>57</v>
      </c>
      <c r="I4769" s="62" t="s">
        <v>42</v>
      </c>
      <c r="J4769" s="64" t="s">
        <v>57</v>
      </c>
      <c r="K4769" s="62" t="s">
        <v>42</v>
      </c>
      <c r="L4769" s="68" t="b">
        <f aca="false">TRUE()</f>
        <v>1</v>
      </c>
    </row>
    <row r="4770" customFormat="false" ht="15" hidden="false" customHeight="false" outlineLevel="0" collapsed="false">
      <c r="A4770" s="62" t="n">
        <v>1</v>
      </c>
      <c r="B4770" s="21" t="s">
        <v>336</v>
      </c>
      <c r="C4770" s="62" t="s">
        <v>60</v>
      </c>
      <c r="D4770" s="62" t="s">
        <v>387</v>
      </c>
      <c r="E4770" s="62" t="s">
        <v>105</v>
      </c>
      <c r="F4770" s="62" t="s">
        <v>382</v>
      </c>
      <c r="G4770" s="63" t="s">
        <v>473</v>
      </c>
      <c r="H4770" s="64" t="s">
        <v>749</v>
      </c>
      <c r="I4770" s="62" t="s">
        <v>42</v>
      </c>
      <c r="J4770" s="64" t="s">
        <v>749</v>
      </c>
      <c r="K4770" s="62" t="s">
        <v>42</v>
      </c>
      <c r="L4770" s="68" t="b">
        <f aca="false">TRUE()</f>
        <v>1</v>
      </c>
    </row>
    <row r="4771" customFormat="false" ht="15" hidden="false" customHeight="false" outlineLevel="0" collapsed="false">
      <c r="A4771" s="62" t="n">
        <v>1</v>
      </c>
      <c r="B4771" s="21" t="s">
        <v>336</v>
      </c>
      <c r="C4771" s="62" t="s">
        <v>60</v>
      </c>
      <c r="D4771" s="62" t="s">
        <v>388</v>
      </c>
      <c r="E4771" s="62" t="s">
        <v>105</v>
      </c>
      <c r="F4771" s="62" t="s">
        <v>382</v>
      </c>
      <c r="G4771" s="63" t="s">
        <v>473</v>
      </c>
      <c r="H4771" s="64" t="s">
        <v>750</v>
      </c>
      <c r="I4771" s="62" t="s">
        <v>42</v>
      </c>
      <c r="J4771" s="64" t="s">
        <v>750</v>
      </c>
      <c r="K4771" s="62" t="s">
        <v>42</v>
      </c>
      <c r="L4771" s="68" t="b">
        <f aca="false">TRUE()</f>
        <v>1</v>
      </c>
    </row>
    <row r="4772" customFormat="false" ht="15" hidden="false" customHeight="false" outlineLevel="0" collapsed="false">
      <c r="A4772" s="62" t="n">
        <v>1</v>
      </c>
      <c r="B4772" s="21" t="s">
        <v>336</v>
      </c>
      <c r="C4772" s="62" t="s">
        <v>60</v>
      </c>
      <c r="D4772" s="62" t="s">
        <v>381</v>
      </c>
      <c r="E4772" s="62" t="s">
        <v>382</v>
      </c>
      <c r="F4772" s="62" t="s">
        <v>382</v>
      </c>
      <c r="G4772" s="63" t="s">
        <v>475</v>
      </c>
      <c r="H4772" s="64" t="n">
        <v>0.0555354193546029</v>
      </c>
      <c r="I4772" s="62" t="s">
        <v>878</v>
      </c>
      <c r="J4772" s="64" t="n">
        <v>5.55354193546029</v>
      </c>
      <c r="K4772" s="62" t="s">
        <v>42</v>
      </c>
      <c r="L4772" s="68" t="b">
        <f aca="false">TRUE()</f>
        <v>1</v>
      </c>
    </row>
    <row r="4773" customFormat="false" ht="15" hidden="false" customHeight="false" outlineLevel="0" collapsed="false">
      <c r="A4773" s="62" t="n">
        <v>1</v>
      </c>
      <c r="B4773" s="21" t="s">
        <v>336</v>
      </c>
      <c r="C4773" s="62" t="s">
        <v>60</v>
      </c>
      <c r="D4773" s="62" t="s">
        <v>383</v>
      </c>
      <c r="E4773" s="62" t="s">
        <v>382</v>
      </c>
      <c r="F4773" s="62" t="s">
        <v>382</v>
      </c>
      <c r="G4773" s="63" t="s">
        <v>475</v>
      </c>
      <c r="H4773" s="64" t="n">
        <v>0.0505560617871333</v>
      </c>
      <c r="I4773" s="62" t="s">
        <v>878</v>
      </c>
      <c r="J4773" s="64" t="n">
        <v>5.05560617871333</v>
      </c>
      <c r="K4773" s="62" t="s">
        <v>42</v>
      </c>
      <c r="L4773" s="68" t="b">
        <f aca="false">TRUE()</f>
        <v>1</v>
      </c>
    </row>
    <row r="4774" customFormat="false" ht="15" hidden="false" customHeight="false" outlineLevel="0" collapsed="false">
      <c r="A4774" s="62" t="n">
        <v>1</v>
      </c>
      <c r="B4774" s="21" t="s">
        <v>336</v>
      </c>
      <c r="C4774" s="62" t="s">
        <v>60</v>
      </c>
      <c r="D4774" s="62" t="s">
        <v>384</v>
      </c>
      <c r="E4774" s="62" t="s">
        <v>382</v>
      </c>
      <c r="F4774" s="62" t="s">
        <v>382</v>
      </c>
      <c r="G4774" s="63" t="s">
        <v>475</v>
      </c>
      <c r="H4774" s="64" t="n">
        <v>0.0503200205444272</v>
      </c>
      <c r="I4774" s="62" t="s">
        <v>878</v>
      </c>
      <c r="J4774" s="64" t="n">
        <v>5.03200205444272</v>
      </c>
      <c r="K4774" s="62" t="s">
        <v>42</v>
      </c>
      <c r="L4774" s="68" t="b">
        <f aca="false">TRUE()</f>
        <v>1</v>
      </c>
    </row>
    <row r="4775" customFormat="false" ht="15" hidden="false" customHeight="false" outlineLevel="0" collapsed="false">
      <c r="A4775" s="62" t="n">
        <v>1</v>
      </c>
      <c r="B4775" s="21" t="s">
        <v>336</v>
      </c>
      <c r="C4775" s="62" t="s">
        <v>60</v>
      </c>
      <c r="D4775" s="62" t="s">
        <v>385</v>
      </c>
      <c r="E4775" s="62" t="s">
        <v>382</v>
      </c>
      <c r="F4775" s="62" t="s">
        <v>382</v>
      </c>
      <c r="G4775" s="63" t="s">
        <v>475</v>
      </c>
      <c r="H4775" s="64" t="n">
        <v>0.0508932285338181</v>
      </c>
      <c r="I4775" s="62" t="s">
        <v>878</v>
      </c>
      <c r="J4775" s="64" t="n">
        <v>5.08932285338181</v>
      </c>
      <c r="K4775" s="62" t="s">
        <v>42</v>
      </c>
      <c r="L4775" s="68" t="b">
        <f aca="false">TRUE()</f>
        <v>1</v>
      </c>
    </row>
    <row r="4776" customFormat="false" ht="15" hidden="false" customHeight="false" outlineLevel="0" collapsed="false">
      <c r="A4776" s="62" t="n">
        <v>1</v>
      </c>
      <c r="B4776" s="21" t="s">
        <v>336</v>
      </c>
      <c r="C4776" s="62" t="s">
        <v>60</v>
      </c>
      <c r="D4776" s="62" t="s">
        <v>386</v>
      </c>
      <c r="E4776" s="62" t="s">
        <v>382</v>
      </c>
      <c r="F4776" s="62" t="s">
        <v>382</v>
      </c>
      <c r="G4776" s="63" t="s">
        <v>475</v>
      </c>
      <c r="H4776" s="64" t="n">
        <v>0.0542088534870148</v>
      </c>
      <c r="I4776" s="62" t="s">
        <v>878</v>
      </c>
      <c r="J4776" s="64" t="n">
        <v>5.42088534870148</v>
      </c>
      <c r="K4776" s="62" t="s">
        <v>42</v>
      </c>
      <c r="L4776" s="68" t="b">
        <f aca="false">TRUE()</f>
        <v>1</v>
      </c>
    </row>
    <row r="4777" customFormat="false" ht="15" hidden="false" customHeight="false" outlineLevel="0" collapsed="false">
      <c r="A4777" s="62" t="n">
        <v>1</v>
      </c>
      <c r="B4777" s="21" t="s">
        <v>336</v>
      </c>
      <c r="C4777" s="62" t="s">
        <v>60</v>
      </c>
      <c r="D4777" s="62" t="s">
        <v>387</v>
      </c>
      <c r="E4777" s="62" t="s">
        <v>382</v>
      </c>
      <c r="F4777" s="62" t="s">
        <v>382</v>
      </c>
      <c r="G4777" s="63" t="s">
        <v>475</v>
      </c>
      <c r="H4777" s="64" t="n">
        <v>0.0519831913204864</v>
      </c>
      <c r="I4777" s="62" t="s">
        <v>878</v>
      </c>
      <c r="J4777" s="64" t="n">
        <v>5.19831913204864</v>
      </c>
      <c r="K4777" s="62" t="s">
        <v>42</v>
      </c>
      <c r="L4777" s="68" t="b">
        <f aca="false">TRUE()</f>
        <v>1</v>
      </c>
    </row>
    <row r="4778" customFormat="false" ht="15" hidden="false" customHeight="false" outlineLevel="0" collapsed="false">
      <c r="A4778" s="62" t="n">
        <v>1</v>
      </c>
      <c r="B4778" s="21" t="s">
        <v>336</v>
      </c>
      <c r="C4778" s="62" t="s">
        <v>60</v>
      </c>
      <c r="D4778" s="62" t="s">
        <v>388</v>
      </c>
      <c r="E4778" s="62" t="s">
        <v>382</v>
      </c>
      <c r="F4778" s="62" t="s">
        <v>382</v>
      </c>
      <c r="G4778" s="63" t="s">
        <v>475</v>
      </c>
      <c r="H4778" s="64" t="n">
        <v>0.0954521496279437</v>
      </c>
      <c r="I4778" s="62" t="s">
        <v>878</v>
      </c>
      <c r="J4778" s="64" t="n">
        <v>9.54521496279437</v>
      </c>
      <c r="K4778" s="62" t="s">
        <v>42</v>
      </c>
      <c r="L4778" s="68" t="b">
        <f aca="false">TRUE()</f>
        <v>1</v>
      </c>
    </row>
    <row r="4779" customFormat="false" ht="15" hidden="false" customHeight="false" outlineLevel="0" collapsed="false">
      <c r="A4779" s="62" t="n">
        <v>1</v>
      </c>
      <c r="B4779" s="21" t="s">
        <v>336</v>
      </c>
      <c r="C4779" s="62" t="s">
        <v>60</v>
      </c>
      <c r="D4779" s="62" t="s">
        <v>381</v>
      </c>
      <c r="E4779" s="62" t="s">
        <v>382</v>
      </c>
      <c r="F4779" s="62" t="s">
        <v>382</v>
      </c>
      <c r="G4779" s="63" t="s">
        <v>476</v>
      </c>
      <c r="H4779" s="64" t="n">
        <v>0.105535419354603</v>
      </c>
      <c r="I4779" s="62" t="s">
        <v>878</v>
      </c>
      <c r="J4779" s="64" t="n">
        <v>10.5535419354603</v>
      </c>
      <c r="K4779" s="62" t="s">
        <v>42</v>
      </c>
      <c r="L4779" s="68" t="b">
        <f aca="false">TRUE()</f>
        <v>1</v>
      </c>
    </row>
    <row r="4780" customFormat="false" ht="15" hidden="false" customHeight="false" outlineLevel="0" collapsed="false">
      <c r="A4780" s="62" t="n">
        <v>1</v>
      </c>
      <c r="B4780" s="21" t="s">
        <v>336</v>
      </c>
      <c r="C4780" s="62" t="s">
        <v>60</v>
      </c>
      <c r="D4780" s="62" t="s">
        <v>383</v>
      </c>
      <c r="E4780" s="62" t="s">
        <v>382</v>
      </c>
      <c r="F4780" s="62" t="s">
        <v>382</v>
      </c>
      <c r="G4780" s="63" t="s">
        <v>476</v>
      </c>
      <c r="H4780" s="64" t="n">
        <v>0.100556061787133</v>
      </c>
      <c r="I4780" s="62" t="s">
        <v>878</v>
      </c>
      <c r="J4780" s="64" t="n">
        <v>10.0556061787133</v>
      </c>
      <c r="K4780" s="62" t="s">
        <v>42</v>
      </c>
      <c r="L4780" s="68" t="b">
        <f aca="false">TRUE()</f>
        <v>1</v>
      </c>
    </row>
    <row r="4781" customFormat="false" ht="15" hidden="false" customHeight="false" outlineLevel="0" collapsed="false">
      <c r="A4781" s="62" t="n">
        <v>1</v>
      </c>
      <c r="B4781" s="21" t="s">
        <v>336</v>
      </c>
      <c r="C4781" s="62" t="s">
        <v>60</v>
      </c>
      <c r="D4781" s="62" t="s">
        <v>384</v>
      </c>
      <c r="E4781" s="62" t="s">
        <v>382</v>
      </c>
      <c r="F4781" s="62" t="s">
        <v>382</v>
      </c>
      <c r="G4781" s="63" t="s">
        <v>476</v>
      </c>
      <c r="H4781" s="64" t="n">
        <v>0.100320020544427</v>
      </c>
      <c r="I4781" s="62" t="s">
        <v>878</v>
      </c>
      <c r="J4781" s="64" t="n">
        <v>10.0320020544427</v>
      </c>
      <c r="K4781" s="62" t="s">
        <v>42</v>
      </c>
      <c r="L4781" s="68" t="b">
        <f aca="false">TRUE()</f>
        <v>1</v>
      </c>
    </row>
    <row r="4782" customFormat="false" ht="15" hidden="false" customHeight="false" outlineLevel="0" collapsed="false">
      <c r="A4782" s="62" t="n">
        <v>1</v>
      </c>
      <c r="B4782" s="21" t="s">
        <v>336</v>
      </c>
      <c r="C4782" s="62" t="s">
        <v>60</v>
      </c>
      <c r="D4782" s="62" t="s">
        <v>385</v>
      </c>
      <c r="E4782" s="62" t="s">
        <v>382</v>
      </c>
      <c r="F4782" s="62" t="s">
        <v>382</v>
      </c>
      <c r="G4782" s="63" t="s">
        <v>476</v>
      </c>
      <c r="H4782" s="64" t="n">
        <v>0.100893228533818</v>
      </c>
      <c r="I4782" s="62" t="s">
        <v>878</v>
      </c>
      <c r="J4782" s="64" t="n">
        <v>10.0893228533818</v>
      </c>
      <c r="K4782" s="62" t="s">
        <v>42</v>
      </c>
      <c r="L4782" s="68" t="b">
        <f aca="false">TRUE()</f>
        <v>1</v>
      </c>
    </row>
    <row r="4783" customFormat="false" ht="15" hidden="false" customHeight="false" outlineLevel="0" collapsed="false">
      <c r="A4783" s="62" t="n">
        <v>1</v>
      </c>
      <c r="B4783" s="21" t="s">
        <v>336</v>
      </c>
      <c r="C4783" s="62" t="s">
        <v>60</v>
      </c>
      <c r="D4783" s="62" t="s">
        <v>386</v>
      </c>
      <c r="E4783" s="62" t="s">
        <v>382</v>
      </c>
      <c r="F4783" s="62" t="s">
        <v>382</v>
      </c>
      <c r="G4783" s="63" t="s">
        <v>476</v>
      </c>
      <c r="H4783" s="64" t="n">
        <v>0.104208853487015</v>
      </c>
      <c r="I4783" s="62" t="s">
        <v>878</v>
      </c>
      <c r="J4783" s="64" t="n">
        <v>10.4208853487015</v>
      </c>
      <c r="K4783" s="62" t="s">
        <v>42</v>
      </c>
      <c r="L4783" s="68" t="b">
        <f aca="false">TRUE()</f>
        <v>1</v>
      </c>
    </row>
    <row r="4784" customFormat="false" ht="15" hidden="false" customHeight="false" outlineLevel="0" collapsed="false">
      <c r="A4784" s="62" t="n">
        <v>1</v>
      </c>
      <c r="B4784" s="21" t="s">
        <v>336</v>
      </c>
      <c r="C4784" s="62" t="s">
        <v>60</v>
      </c>
      <c r="D4784" s="62" t="s">
        <v>387</v>
      </c>
      <c r="E4784" s="62" t="s">
        <v>382</v>
      </c>
      <c r="F4784" s="62" t="s">
        <v>382</v>
      </c>
      <c r="G4784" s="63" t="s">
        <v>476</v>
      </c>
      <c r="H4784" s="64" t="n">
        <v>0.101983191320486</v>
      </c>
      <c r="I4784" s="62" t="s">
        <v>878</v>
      </c>
      <c r="J4784" s="64" t="n">
        <v>10.1983191320486</v>
      </c>
      <c r="K4784" s="62" t="s">
        <v>42</v>
      </c>
      <c r="L4784" s="68" t="b">
        <f aca="false">TRUE()</f>
        <v>1</v>
      </c>
    </row>
    <row r="4785" customFormat="false" ht="15" hidden="false" customHeight="false" outlineLevel="0" collapsed="false">
      <c r="A4785" s="62" t="n">
        <v>1</v>
      </c>
      <c r="B4785" s="21" t="s">
        <v>336</v>
      </c>
      <c r="C4785" s="62" t="s">
        <v>60</v>
      </c>
      <c r="D4785" s="62" t="s">
        <v>388</v>
      </c>
      <c r="E4785" s="62" t="s">
        <v>382</v>
      </c>
      <c r="F4785" s="62" t="s">
        <v>382</v>
      </c>
      <c r="G4785" s="63" t="s">
        <v>476</v>
      </c>
      <c r="H4785" s="64" t="n">
        <v>0.145452149627944</v>
      </c>
      <c r="I4785" s="62" t="s">
        <v>878</v>
      </c>
      <c r="J4785" s="64" t="n">
        <v>14.5452149627944</v>
      </c>
      <c r="K4785" s="62" t="s">
        <v>42</v>
      </c>
      <c r="L4785" s="68" t="b">
        <f aca="false">TRUE()</f>
        <v>1</v>
      </c>
    </row>
    <row r="4786" customFormat="false" ht="15" hidden="false" customHeight="false" outlineLevel="0" collapsed="false">
      <c r="A4786" s="62" t="n">
        <v>1</v>
      </c>
      <c r="B4786" s="21" t="s">
        <v>336</v>
      </c>
      <c r="C4786" s="62" t="s">
        <v>60</v>
      </c>
      <c r="D4786" s="62" t="s">
        <v>381</v>
      </c>
      <c r="E4786" s="62" t="s">
        <v>382</v>
      </c>
      <c r="F4786" s="62" t="s">
        <v>382</v>
      </c>
      <c r="G4786" s="63" t="s">
        <v>477</v>
      </c>
      <c r="H4786" s="64" t="n">
        <v>0.125657523204256</v>
      </c>
      <c r="I4786" s="62" t="s">
        <v>878</v>
      </c>
      <c r="J4786" s="64" t="n">
        <v>12.5657523204256</v>
      </c>
      <c r="K4786" s="62" t="s">
        <v>42</v>
      </c>
      <c r="L4786" s="68" t="b">
        <f aca="false">TRUE()</f>
        <v>1</v>
      </c>
    </row>
    <row r="4787" customFormat="false" ht="15" hidden="false" customHeight="false" outlineLevel="0" collapsed="false">
      <c r="A4787" s="62" t="n">
        <v>1</v>
      </c>
      <c r="B4787" s="21" t="s">
        <v>336</v>
      </c>
      <c r="C4787" s="62" t="s">
        <v>60</v>
      </c>
      <c r="D4787" s="62" t="s">
        <v>383</v>
      </c>
      <c r="E4787" s="62" t="s">
        <v>382</v>
      </c>
      <c r="F4787" s="62" t="s">
        <v>382</v>
      </c>
      <c r="G4787" s="63" t="s">
        <v>477</v>
      </c>
      <c r="H4787" s="64" t="n">
        <v>0.12</v>
      </c>
      <c r="I4787" s="62" t="s">
        <v>878</v>
      </c>
      <c r="J4787" s="64" t="n">
        <v>12</v>
      </c>
      <c r="K4787" s="62" t="s">
        <v>42</v>
      </c>
      <c r="L4787" s="68" t="b">
        <f aca="false">TRUE()</f>
        <v>1</v>
      </c>
    </row>
    <row r="4788" customFormat="false" ht="15" hidden="false" customHeight="false" outlineLevel="0" collapsed="false">
      <c r="A4788" s="62" t="n">
        <v>1</v>
      </c>
      <c r="B4788" s="21" t="s">
        <v>336</v>
      </c>
      <c r="C4788" s="62" t="s">
        <v>60</v>
      </c>
      <c r="D4788" s="62" t="s">
        <v>384</v>
      </c>
      <c r="E4788" s="62" t="s">
        <v>382</v>
      </c>
      <c r="F4788" s="62" t="s">
        <v>382</v>
      </c>
      <c r="G4788" s="63" t="s">
        <v>477</v>
      </c>
      <c r="H4788" s="64" t="n">
        <v>0.12</v>
      </c>
      <c r="I4788" s="62" t="s">
        <v>878</v>
      </c>
      <c r="J4788" s="64" t="n">
        <v>12</v>
      </c>
      <c r="K4788" s="62" t="s">
        <v>42</v>
      </c>
      <c r="L4788" s="68" t="b">
        <f aca="false">TRUE()</f>
        <v>1</v>
      </c>
    </row>
    <row r="4789" customFormat="false" ht="15" hidden="false" customHeight="false" outlineLevel="0" collapsed="false">
      <c r="A4789" s="62" t="n">
        <v>1</v>
      </c>
      <c r="B4789" s="21" t="s">
        <v>336</v>
      </c>
      <c r="C4789" s="62" t="s">
        <v>60</v>
      </c>
      <c r="D4789" s="62" t="s">
        <v>385</v>
      </c>
      <c r="E4789" s="62" t="s">
        <v>382</v>
      </c>
      <c r="F4789" s="62" t="s">
        <v>382</v>
      </c>
      <c r="G4789" s="63" t="s">
        <v>477</v>
      </c>
      <c r="H4789" s="64" t="n">
        <v>0.12</v>
      </c>
      <c r="I4789" s="62" t="s">
        <v>878</v>
      </c>
      <c r="J4789" s="64" t="n">
        <v>12</v>
      </c>
      <c r="K4789" s="62" t="s">
        <v>42</v>
      </c>
      <c r="L4789" s="68" t="b">
        <f aca="false">TRUE()</f>
        <v>1</v>
      </c>
    </row>
    <row r="4790" customFormat="false" ht="15" hidden="false" customHeight="false" outlineLevel="0" collapsed="false">
      <c r="A4790" s="62" t="n">
        <v>1</v>
      </c>
      <c r="B4790" s="21" t="s">
        <v>336</v>
      </c>
      <c r="C4790" s="62" t="s">
        <v>60</v>
      </c>
      <c r="D4790" s="62" t="s">
        <v>386</v>
      </c>
      <c r="E4790" s="62" t="s">
        <v>382</v>
      </c>
      <c r="F4790" s="62" t="s">
        <v>382</v>
      </c>
      <c r="G4790" s="63" t="s">
        <v>477</v>
      </c>
      <c r="H4790" s="64" t="n">
        <v>0.124286206630354</v>
      </c>
      <c r="I4790" s="62" t="s">
        <v>878</v>
      </c>
      <c r="J4790" s="64" t="n">
        <v>12.4286206630354</v>
      </c>
      <c r="K4790" s="62" t="s">
        <v>42</v>
      </c>
      <c r="L4790" s="68" t="b">
        <f aca="false">TRUE()</f>
        <v>1</v>
      </c>
    </row>
    <row r="4791" customFormat="false" ht="15" hidden="false" customHeight="false" outlineLevel="0" collapsed="false">
      <c r="A4791" s="62" t="n">
        <v>1</v>
      </c>
      <c r="B4791" s="21" t="s">
        <v>336</v>
      </c>
      <c r="C4791" s="62" t="s">
        <v>60</v>
      </c>
      <c r="D4791" s="62" t="s">
        <v>387</v>
      </c>
      <c r="E4791" s="62" t="s">
        <v>382</v>
      </c>
      <c r="F4791" s="62" t="s">
        <v>382</v>
      </c>
      <c r="G4791" s="63" t="s">
        <v>477</v>
      </c>
      <c r="H4791" s="64" t="n">
        <v>0.121236225142889</v>
      </c>
      <c r="I4791" s="62" t="s">
        <v>878</v>
      </c>
      <c r="J4791" s="64" t="n">
        <v>12.1236225142889</v>
      </c>
      <c r="K4791" s="62" t="s">
        <v>42</v>
      </c>
      <c r="L4791" s="68" t="b">
        <f aca="false">TRUE()</f>
        <v>1</v>
      </c>
    </row>
    <row r="4792" customFormat="false" ht="15" hidden="false" customHeight="false" outlineLevel="0" collapsed="false">
      <c r="A4792" s="62" t="n">
        <v>1</v>
      </c>
      <c r="B4792" s="21" t="s">
        <v>336</v>
      </c>
      <c r="C4792" s="62" t="s">
        <v>60</v>
      </c>
      <c r="D4792" s="62" t="s">
        <v>388</v>
      </c>
      <c r="E4792" s="62" t="s">
        <v>382</v>
      </c>
      <c r="F4792" s="62" t="s">
        <v>382</v>
      </c>
      <c r="G4792" s="63" t="s">
        <v>477</v>
      </c>
      <c r="H4792" s="64" t="n">
        <v>0.165673069804721</v>
      </c>
      <c r="I4792" s="62" t="s">
        <v>878</v>
      </c>
      <c r="J4792" s="64" t="n">
        <v>16.5673069804721</v>
      </c>
      <c r="K4792" s="62" t="s">
        <v>42</v>
      </c>
      <c r="L4792" s="68" t="b">
        <f aca="false">TRUE()</f>
        <v>1</v>
      </c>
    </row>
    <row r="4793" customFormat="false" ht="15" hidden="false" customHeight="false" outlineLevel="0" collapsed="false">
      <c r="A4793" s="62" t="n">
        <v>1</v>
      </c>
      <c r="B4793" s="21" t="s">
        <v>336</v>
      </c>
      <c r="C4793" s="62" t="s">
        <v>60</v>
      </c>
      <c r="D4793" s="62" t="s">
        <v>381</v>
      </c>
      <c r="E4793" s="62" t="s">
        <v>382</v>
      </c>
      <c r="F4793" s="62" t="s">
        <v>382</v>
      </c>
      <c r="G4793" s="63" t="s">
        <v>478</v>
      </c>
      <c r="H4793" s="64" t="n">
        <v>0.110565945317016</v>
      </c>
      <c r="I4793" s="62" t="s">
        <v>878</v>
      </c>
      <c r="J4793" s="64" t="n">
        <v>11.0565945317016</v>
      </c>
      <c r="K4793" s="62" t="s">
        <v>42</v>
      </c>
      <c r="L4793" s="68" t="b">
        <f aca="false">TRUE()</f>
        <v>1</v>
      </c>
    </row>
    <row r="4794" customFormat="false" ht="15" hidden="false" customHeight="false" outlineLevel="0" collapsed="false">
      <c r="A4794" s="62" t="n">
        <v>1</v>
      </c>
      <c r="B4794" s="21" t="s">
        <v>336</v>
      </c>
      <c r="C4794" s="62" t="s">
        <v>60</v>
      </c>
      <c r="D4794" s="62" t="s">
        <v>383</v>
      </c>
      <c r="E4794" s="62" t="s">
        <v>382</v>
      </c>
      <c r="F4794" s="62" t="s">
        <v>382</v>
      </c>
      <c r="G4794" s="63" t="s">
        <v>478</v>
      </c>
      <c r="H4794" s="64" t="n">
        <v>0.105237178619275</v>
      </c>
      <c r="I4794" s="62" t="s">
        <v>878</v>
      </c>
      <c r="J4794" s="64" t="n">
        <v>10.5237178619275</v>
      </c>
      <c r="K4794" s="62" t="s">
        <v>42</v>
      </c>
      <c r="L4794" s="68" t="b">
        <f aca="false">TRUE()</f>
        <v>1</v>
      </c>
    </row>
    <row r="4795" customFormat="false" ht="15" hidden="false" customHeight="false" outlineLevel="0" collapsed="false">
      <c r="A4795" s="62" t="n">
        <v>1</v>
      </c>
      <c r="B4795" s="21" t="s">
        <v>336</v>
      </c>
      <c r="C4795" s="62" t="s">
        <v>60</v>
      </c>
      <c r="D4795" s="62" t="s">
        <v>384</v>
      </c>
      <c r="E4795" s="62" t="s">
        <v>382</v>
      </c>
      <c r="F4795" s="62" t="s">
        <v>382</v>
      </c>
      <c r="G4795" s="63" t="s">
        <v>478</v>
      </c>
      <c r="H4795" s="64" t="n">
        <v>0.105</v>
      </c>
      <c r="I4795" s="62" t="s">
        <v>878</v>
      </c>
      <c r="J4795" s="64" t="n">
        <v>10.5</v>
      </c>
      <c r="K4795" s="62" t="s">
        <v>42</v>
      </c>
      <c r="L4795" s="68" t="b">
        <f aca="false">TRUE()</f>
        <v>1</v>
      </c>
    </row>
    <row r="4796" customFormat="false" ht="15" hidden="false" customHeight="false" outlineLevel="0" collapsed="false">
      <c r="A4796" s="62" t="n">
        <v>1</v>
      </c>
      <c r="B4796" s="21" t="s">
        <v>336</v>
      </c>
      <c r="C4796" s="62" t="s">
        <v>60</v>
      </c>
      <c r="D4796" s="62" t="s">
        <v>385</v>
      </c>
      <c r="E4796" s="62" t="s">
        <v>382</v>
      </c>
      <c r="F4796" s="62" t="s">
        <v>382</v>
      </c>
      <c r="G4796" s="63" t="s">
        <v>478</v>
      </c>
      <c r="H4796" s="64" t="n">
        <v>0.105605564509172</v>
      </c>
      <c r="I4796" s="62" t="s">
        <v>878</v>
      </c>
      <c r="J4796" s="64" t="n">
        <v>10.5605564509172</v>
      </c>
      <c r="K4796" s="62" t="s">
        <v>42</v>
      </c>
      <c r="L4796" s="68" t="b">
        <f aca="false">TRUE()</f>
        <v>1</v>
      </c>
    </row>
    <row r="4797" customFormat="false" ht="15" hidden="false" customHeight="false" outlineLevel="0" collapsed="false">
      <c r="A4797" s="62" t="n">
        <v>1</v>
      </c>
      <c r="B4797" s="21" t="s">
        <v>336</v>
      </c>
      <c r="C4797" s="62" t="s">
        <v>60</v>
      </c>
      <c r="D4797" s="62" t="s">
        <v>386</v>
      </c>
      <c r="E4797" s="62" t="s">
        <v>382</v>
      </c>
      <c r="F4797" s="62" t="s">
        <v>382</v>
      </c>
      <c r="G4797" s="63" t="s">
        <v>478</v>
      </c>
      <c r="H4797" s="64" t="n">
        <v>0.10922819177285</v>
      </c>
      <c r="I4797" s="62" t="s">
        <v>878</v>
      </c>
      <c r="J4797" s="64" t="n">
        <v>10.922819177285</v>
      </c>
      <c r="K4797" s="62" t="s">
        <v>42</v>
      </c>
      <c r="L4797" s="68" t="b">
        <f aca="false">TRUE()</f>
        <v>1</v>
      </c>
    </row>
    <row r="4798" customFormat="false" ht="15" hidden="false" customHeight="false" outlineLevel="0" collapsed="false">
      <c r="A4798" s="62" t="n">
        <v>1</v>
      </c>
      <c r="B4798" s="21" t="s">
        <v>336</v>
      </c>
      <c r="C4798" s="62" t="s">
        <v>60</v>
      </c>
      <c r="D4798" s="62" t="s">
        <v>387</v>
      </c>
      <c r="E4798" s="62" t="s">
        <v>382</v>
      </c>
      <c r="F4798" s="62" t="s">
        <v>382</v>
      </c>
      <c r="G4798" s="63" t="s">
        <v>478</v>
      </c>
      <c r="H4798" s="64" t="n">
        <v>0.106796449776087</v>
      </c>
      <c r="I4798" s="62" t="s">
        <v>878</v>
      </c>
      <c r="J4798" s="64" t="n">
        <v>10.6796449776087</v>
      </c>
      <c r="K4798" s="62" t="s">
        <v>42</v>
      </c>
      <c r="L4798" s="68" t="b">
        <f aca="false">TRUE()</f>
        <v>1</v>
      </c>
    </row>
    <row r="4799" customFormat="false" ht="15" hidden="false" customHeight="false" outlineLevel="0" collapsed="false">
      <c r="A4799" s="62" t="n">
        <v>1</v>
      </c>
      <c r="B4799" s="21" t="s">
        <v>336</v>
      </c>
      <c r="C4799" s="62" t="s">
        <v>60</v>
      </c>
      <c r="D4799" s="62" t="s">
        <v>388</v>
      </c>
      <c r="E4799" s="62" t="s">
        <v>382</v>
      </c>
      <c r="F4799" s="62" t="s">
        <v>382</v>
      </c>
      <c r="G4799" s="63" t="s">
        <v>478</v>
      </c>
      <c r="H4799" s="64" t="n">
        <v>0.150507379672138</v>
      </c>
      <c r="I4799" s="62" t="s">
        <v>878</v>
      </c>
      <c r="J4799" s="64" t="n">
        <v>15.0507379672138</v>
      </c>
      <c r="K4799" s="62" t="s">
        <v>42</v>
      </c>
      <c r="L4799" s="68" t="b">
        <f aca="false">TRUE()</f>
        <v>1</v>
      </c>
    </row>
    <row r="4800" customFormat="false" ht="15" hidden="false" customHeight="false" outlineLevel="0" collapsed="false">
      <c r="A4800" s="62" t="n">
        <v>1</v>
      </c>
      <c r="B4800" s="21" t="s">
        <v>336</v>
      </c>
      <c r="C4800" s="62" t="s">
        <v>60</v>
      </c>
      <c r="D4800" s="62" t="s">
        <v>381</v>
      </c>
      <c r="E4800" s="62" t="s">
        <v>105</v>
      </c>
      <c r="F4800" s="62" t="s">
        <v>92</v>
      </c>
      <c r="G4800" s="63" t="s">
        <v>479</v>
      </c>
      <c r="H4800" s="64" t="n">
        <v>0.14450820919111</v>
      </c>
      <c r="I4800" s="62" t="s">
        <v>878</v>
      </c>
      <c r="J4800" s="64" t="n">
        <v>14.450820919111</v>
      </c>
      <c r="K4800" s="62" t="s">
        <v>42</v>
      </c>
      <c r="L4800" s="68" t="b">
        <f aca="false">TRUE()</f>
        <v>1</v>
      </c>
    </row>
    <row r="4801" customFormat="false" ht="15" hidden="false" customHeight="false" outlineLevel="0" collapsed="false">
      <c r="A4801" s="62" t="n">
        <v>1</v>
      </c>
      <c r="B4801" s="21" t="s">
        <v>336</v>
      </c>
      <c r="C4801" s="62" t="s">
        <v>60</v>
      </c>
      <c r="D4801" s="62" t="s">
        <v>383</v>
      </c>
      <c r="E4801" s="62" t="s">
        <v>105</v>
      </c>
      <c r="F4801" s="62" t="s">
        <v>92</v>
      </c>
      <c r="G4801" s="63" t="s">
        <v>479</v>
      </c>
      <c r="H4801" s="64" t="n">
        <v>0.140070874593334</v>
      </c>
      <c r="I4801" s="62" t="s">
        <v>878</v>
      </c>
      <c r="J4801" s="64" t="n">
        <v>14.0070874593334</v>
      </c>
      <c r="K4801" s="62" t="s">
        <v>42</v>
      </c>
      <c r="L4801" s="68" t="b">
        <f aca="false">TRUE()</f>
        <v>1</v>
      </c>
    </row>
    <row r="4802" customFormat="false" ht="15" hidden="false" customHeight="false" outlineLevel="0" collapsed="false">
      <c r="A4802" s="62" t="n">
        <v>1</v>
      </c>
      <c r="B4802" s="21" t="s">
        <v>336</v>
      </c>
      <c r="C4802" s="62" t="s">
        <v>60</v>
      </c>
      <c r="D4802" s="62" t="s">
        <v>384</v>
      </c>
      <c r="E4802" s="62" t="s">
        <v>105</v>
      </c>
      <c r="F4802" s="62" t="s">
        <v>92</v>
      </c>
      <c r="G4802" s="63" t="s">
        <v>479</v>
      </c>
      <c r="H4802" s="64" t="n">
        <v>0.2126221081131</v>
      </c>
      <c r="I4802" s="62" t="s">
        <v>878</v>
      </c>
      <c r="J4802" s="64" t="n">
        <v>21.26221081131</v>
      </c>
      <c r="K4802" s="62" t="s">
        <v>42</v>
      </c>
      <c r="L4802" s="68" t="b">
        <f aca="false">TRUE()</f>
        <v>1</v>
      </c>
    </row>
    <row r="4803" customFormat="false" ht="15" hidden="false" customHeight="false" outlineLevel="0" collapsed="false">
      <c r="A4803" s="62" t="n">
        <v>1</v>
      </c>
      <c r="B4803" s="21" t="s">
        <v>336</v>
      </c>
      <c r="C4803" s="62" t="s">
        <v>60</v>
      </c>
      <c r="D4803" s="62" t="s">
        <v>385</v>
      </c>
      <c r="E4803" s="62" t="s">
        <v>105</v>
      </c>
      <c r="F4803" s="62" t="s">
        <v>92</v>
      </c>
      <c r="G4803" s="63" t="s">
        <v>479</v>
      </c>
      <c r="H4803" s="64" t="n">
        <v>0.124748392967806</v>
      </c>
      <c r="I4803" s="62" t="s">
        <v>878</v>
      </c>
      <c r="J4803" s="64" t="n">
        <v>12.4748392967806</v>
      </c>
      <c r="K4803" s="62" t="s">
        <v>42</v>
      </c>
      <c r="L4803" s="68" t="b">
        <f aca="false">TRUE()</f>
        <v>1</v>
      </c>
    </row>
    <row r="4804" customFormat="false" ht="15" hidden="false" customHeight="false" outlineLevel="0" collapsed="false">
      <c r="A4804" s="62" t="n">
        <v>1</v>
      </c>
      <c r="B4804" s="21" t="s">
        <v>336</v>
      </c>
      <c r="C4804" s="62" t="s">
        <v>60</v>
      </c>
      <c r="D4804" s="62" t="s">
        <v>386</v>
      </c>
      <c r="E4804" s="62" t="s">
        <v>105</v>
      </c>
      <c r="F4804" s="62" t="s">
        <v>92</v>
      </c>
      <c r="G4804" s="63" t="s">
        <v>479</v>
      </c>
      <c r="H4804" s="64" t="n">
        <v>0.165253199461819</v>
      </c>
      <c r="I4804" s="62" t="s">
        <v>878</v>
      </c>
      <c r="J4804" s="64" t="n">
        <v>16.5253199461819</v>
      </c>
      <c r="K4804" s="62" t="s">
        <v>42</v>
      </c>
      <c r="L4804" s="68" t="b">
        <f aca="false">TRUE()</f>
        <v>1</v>
      </c>
    </row>
    <row r="4805" customFormat="false" ht="15" hidden="false" customHeight="false" outlineLevel="0" collapsed="false">
      <c r="A4805" s="62" t="n">
        <v>1</v>
      </c>
      <c r="B4805" s="21" t="s">
        <v>336</v>
      </c>
      <c r="C4805" s="62" t="s">
        <v>60</v>
      </c>
      <c r="D4805" s="62" t="s">
        <v>387</v>
      </c>
      <c r="E4805" s="62" t="s">
        <v>105</v>
      </c>
      <c r="F4805" s="62" t="s">
        <v>92</v>
      </c>
      <c r="G4805" s="63" t="s">
        <v>479</v>
      </c>
      <c r="H4805" s="64" t="n">
        <v>0.117601412329986</v>
      </c>
      <c r="I4805" s="62" t="s">
        <v>878</v>
      </c>
      <c r="J4805" s="64" t="n">
        <v>11.7601412329986</v>
      </c>
      <c r="K4805" s="62" t="s">
        <v>42</v>
      </c>
      <c r="L4805" s="68" t="b">
        <f aca="false">TRUE()</f>
        <v>1</v>
      </c>
    </row>
    <row r="4806" customFormat="false" ht="15" hidden="false" customHeight="false" outlineLevel="0" collapsed="false">
      <c r="A4806" s="62" t="n">
        <v>1</v>
      </c>
      <c r="B4806" s="21" t="s">
        <v>336</v>
      </c>
      <c r="C4806" s="62" t="s">
        <v>60</v>
      </c>
      <c r="D4806" s="62" t="s">
        <v>388</v>
      </c>
      <c r="E4806" s="62" t="s">
        <v>105</v>
      </c>
      <c r="F4806" s="62" t="s">
        <v>92</v>
      </c>
      <c r="G4806" s="63" t="s">
        <v>479</v>
      </c>
      <c r="H4806" s="64" t="n">
        <v>0.0951958033428445</v>
      </c>
      <c r="I4806" s="62" t="s">
        <v>878</v>
      </c>
      <c r="J4806" s="64" t="n">
        <v>9.51958033428445</v>
      </c>
      <c r="K4806" s="62" t="s">
        <v>42</v>
      </c>
      <c r="L4806" s="68" t="b">
        <f aca="false">TRUE()</f>
        <v>1</v>
      </c>
    </row>
    <row r="4807" customFormat="false" ht="15" hidden="false" customHeight="false" outlineLevel="0" collapsed="false">
      <c r="A4807" s="62" t="n">
        <v>1</v>
      </c>
      <c r="B4807" s="21" t="s">
        <v>336</v>
      </c>
      <c r="C4807" s="62" t="s">
        <v>60</v>
      </c>
      <c r="D4807" s="62" t="s">
        <v>381</v>
      </c>
      <c r="E4807" s="62" t="s">
        <v>105</v>
      </c>
      <c r="F4807" s="62" t="s">
        <v>94</v>
      </c>
      <c r="G4807" s="63" t="s">
        <v>479</v>
      </c>
      <c r="H4807" s="64" t="n">
        <v>0.37393790119412</v>
      </c>
      <c r="I4807" s="62" t="s">
        <v>878</v>
      </c>
      <c r="J4807" s="64" t="n">
        <v>37.393790119412</v>
      </c>
      <c r="K4807" s="62" t="s">
        <v>42</v>
      </c>
      <c r="L4807" s="68" t="b">
        <f aca="false">TRUE()</f>
        <v>1</v>
      </c>
    </row>
    <row r="4808" customFormat="false" ht="15" hidden="false" customHeight="false" outlineLevel="0" collapsed="false">
      <c r="A4808" s="62" t="n">
        <v>1</v>
      </c>
      <c r="B4808" s="21" t="s">
        <v>336</v>
      </c>
      <c r="C4808" s="62" t="s">
        <v>60</v>
      </c>
      <c r="D4808" s="62" t="s">
        <v>383</v>
      </c>
      <c r="E4808" s="62" t="s">
        <v>105</v>
      </c>
      <c r="F4808" s="62" t="s">
        <v>94</v>
      </c>
      <c r="G4808" s="63" t="s">
        <v>479</v>
      </c>
      <c r="H4808" s="64" t="n">
        <v>0.266698356649803</v>
      </c>
      <c r="I4808" s="62" t="s">
        <v>878</v>
      </c>
      <c r="J4808" s="64" t="n">
        <v>26.6698356649803</v>
      </c>
      <c r="K4808" s="62" t="s">
        <v>42</v>
      </c>
      <c r="L4808" s="68" t="b">
        <f aca="false">TRUE()</f>
        <v>1</v>
      </c>
    </row>
    <row r="4809" customFormat="false" ht="15" hidden="false" customHeight="false" outlineLevel="0" collapsed="false">
      <c r="A4809" s="62" t="n">
        <v>1</v>
      </c>
      <c r="B4809" s="21" t="s">
        <v>336</v>
      </c>
      <c r="C4809" s="62" t="s">
        <v>60</v>
      </c>
      <c r="D4809" s="62" t="s">
        <v>384</v>
      </c>
      <c r="E4809" s="62" t="s">
        <v>105</v>
      </c>
      <c r="F4809" s="62" t="s">
        <v>94</v>
      </c>
      <c r="G4809" s="63" t="s">
        <v>479</v>
      </c>
      <c r="H4809" s="64" t="n">
        <v>0</v>
      </c>
      <c r="I4809" s="62" t="s">
        <v>878</v>
      </c>
      <c r="J4809" s="64" t="n">
        <v>0</v>
      </c>
      <c r="K4809" s="62" t="s">
        <v>42</v>
      </c>
      <c r="L4809" s="68" t="b">
        <f aca="false">TRUE()</f>
        <v>1</v>
      </c>
    </row>
    <row r="4810" customFormat="false" ht="15" hidden="false" customHeight="false" outlineLevel="0" collapsed="false">
      <c r="A4810" s="62" t="n">
        <v>1</v>
      </c>
      <c r="B4810" s="21" t="s">
        <v>336</v>
      </c>
      <c r="C4810" s="62" t="s">
        <v>60</v>
      </c>
      <c r="D4810" s="62" t="s">
        <v>385</v>
      </c>
      <c r="E4810" s="62" t="s">
        <v>105</v>
      </c>
      <c r="F4810" s="62" t="s">
        <v>94</v>
      </c>
      <c r="G4810" s="63" t="s">
        <v>479</v>
      </c>
      <c r="H4810" s="64" t="n">
        <v>0</v>
      </c>
      <c r="I4810" s="62" t="s">
        <v>878</v>
      </c>
      <c r="J4810" s="64" t="n">
        <v>0</v>
      </c>
      <c r="K4810" s="62" t="s">
        <v>42</v>
      </c>
      <c r="L4810" s="68" t="b">
        <f aca="false">TRUE()</f>
        <v>1</v>
      </c>
    </row>
    <row r="4811" customFormat="false" ht="15" hidden="false" customHeight="false" outlineLevel="0" collapsed="false">
      <c r="A4811" s="62" t="n">
        <v>1</v>
      </c>
      <c r="B4811" s="21" t="s">
        <v>336</v>
      </c>
      <c r="C4811" s="62" t="s">
        <v>60</v>
      </c>
      <c r="D4811" s="62" t="s">
        <v>386</v>
      </c>
      <c r="E4811" s="62" t="s">
        <v>105</v>
      </c>
      <c r="F4811" s="62" t="s">
        <v>94</v>
      </c>
      <c r="G4811" s="63" t="s">
        <v>479</v>
      </c>
      <c r="H4811" s="64" t="n">
        <v>0</v>
      </c>
      <c r="I4811" s="62" t="s">
        <v>878</v>
      </c>
      <c r="J4811" s="64" t="n">
        <v>0</v>
      </c>
      <c r="K4811" s="62" t="s">
        <v>42</v>
      </c>
      <c r="L4811" s="68" t="b">
        <f aca="false">TRUE()</f>
        <v>1</v>
      </c>
    </row>
    <row r="4812" customFormat="false" ht="15" hidden="false" customHeight="false" outlineLevel="0" collapsed="false">
      <c r="A4812" s="62" t="n">
        <v>1</v>
      </c>
      <c r="B4812" s="21" t="s">
        <v>336</v>
      </c>
      <c r="C4812" s="62" t="s">
        <v>60</v>
      </c>
      <c r="D4812" s="62" t="s">
        <v>387</v>
      </c>
      <c r="E4812" s="62" t="s">
        <v>105</v>
      </c>
      <c r="F4812" s="62" t="s">
        <v>94</v>
      </c>
      <c r="G4812" s="63" t="s">
        <v>479</v>
      </c>
      <c r="H4812" s="64" t="n">
        <v>0.220130293066062</v>
      </c>
      <c r="I4812" s="62" t="s">
        <v>878</v>
      </c>
      <c r="J4812" s="64" t="n">
        <v>22.0130293066062</v>
      </c>
      <c r="K4812" s="62" t="s">
        <v>42</v>
      </c>
      <c r="L4812" s="68" t="b">
        <f aca="false">TRUE()</f>
        <v>1</v>
      </c>
    </row>
    <row r="4813" customFormat="false" ht="15" hidden="false" customHeight="false" outlineLevel="0" collapsed="false">
      <c r="A4813" s="62" t="n">
        <v>1</v>
      </c>
      <c r="B4813" s="21" t="s">
        <v>336</v>
      </c>
      <c r="C4813" s="62" t="s">
        <v>60</v>
      </c>
      <c r="D4813" s="62" t="s">
        <v>388</v>
      </c>
      <c r="E4813" s="62" t="s">
        <v>105</v>
      </c>
      <c r="F4813" s="62" t="s">
        <v>94</v>
      </c>
      <c r="G4813" s="63" t="s">
        <v>479</v>
      </c>
      <c r="H4813" s="64" t="n">
        <v>0.139233449090015</v>
      </c>
      <c r="I4813" s="62" t="s">
        <v>878</v>
      </c>
      <c r="J4813" s="64" t="n">
        <v>13.9233449090015</v>
      </c>
      <c r="K4813" s="62" t="s">
        <v>42</v>
      </c>
      <c r="L4813" s="68" t="b">
        <f aca="false">TRUE()</f>
        <v>1</v>
      </c>
    </row>
    <row r="4814" customFormat="false" ht="15" hidden="false" customHeight="false" outlineLevel="0" collapsed="false">
      <c r="A4814" s="62" t="n">
        <v>1</v>
      </c>
      <c r="B4814" s="21" t="s">
        <v>336</v>
      </c>
      <c r="C4814" s="62" t="s">
        <v>60</v>
      </c>
      <c r="D4814" s="62" t="s">
        <v>381</v>
      </c>
      <c r="E4814" s="62" t="s">
        <v>105</v>
      </c>
      <c r="F4814" s="62" t="s">
        <v>95</v>
      </c>
      <c r="G4814" s="63" t="s">
        <v>479</v>
      </c>
      <c r="H4814" s="64" t="n">
        <v>0</v>
      </c>
      <c r="I4814" s="62" t="s">
        <v>878</v>
      </c>
      <c r="J4814" s="64" t="n">
        <v>0</v>
      </c>
      <c r="K4814" s="62" t="s">
        <v>42</v>
      </c>
      <c r="L4814" s="68" t="b">
        <f aca="false">TRUE()</f>
        <v>1</v>
      </c>
    </row>
    <row r="4815" customFormat="false" ht="15" hidden="false" customHeight="false" outlineLevel="0" collapsed="false">
      <c r="A4815" s="62" t="n">
        <v>1</v>
      </c>
      <c r="B4815" s="21" t="s">
        <v>336</v>
      </c>
      <c r="C4815" s="62" t="s">
        <v>60</v>
      </c>
      <c r="D4815" s="62" t="s">
        <v>383</v>
      </c>
      <c r="E4815" s="62" t="s">
        <v>105</v>
      </c>
      <c r="F4815" s="62" t="s">
        <v>95</v>
      </c>
      <c r="G4815" s="63" t="s">
        <v>479</v>
      </c>
      <c r="H4815" s="64" t="n">
        <v>0</v>
      </c>
      <c r="I4815" s="62" t="s">
        <v>878</v>
      </c>
      <c r="J4815" s="64" t="n">
        <v>0</v>
      </c>
      <c r="K4815" s="62" t="s">
        <v>42</v>
      </c>
      <c r="L4815" s="68" t="b">
        <f aca="false">TRUE()</f>
        <v>1</v>
      </c>
    </row>
    <row r="4816" customFormat="false" ht="15" hidden="false" customHeight="false" outlineLevel="0" collapsed="false">
      <c r="A4816" s="62" t="n">
        <v>1</v>
      </c>
      <c r="B4816" s="21" t="s">
        <v>336</v>
      </c>
      <c r="C4816" s="62" t="s">
        <v>60</v>
      </c>
      <c r="D4816" s="62" t="s">
        <v>384</v>
      </c>
      <c r="E4816" s="62" t="s">
        <v>105</v>
      </c>
      <c r="F4816" s="62" t="s">
        <v>95</v>
      </c>
      <c r="G4816" s="63" t="s">
        <v>479</v>
      </c>
      <c r="H4816" s="64" t="n">
        <v>0</v>
      </c>
      <c r="I4816" s="62" t="s">
        <v>878</v>
      </c>
      <c r="J4816" s="64" t="n">
        <v>0</v>
      </c>
      <c r="K4816" s="62" t="s">
        <v>42</v>
      </c>
      <c r="L4816" s="68" t="b">
        <f aca="false">TRUE()</f>
        <v>1</v>
      </c>
    </row>
    <row r="4817" customFormat="false" ht="15" hidden="false" customHeight="false" outlineLevel="0" collapsed="false">
      <c r="A4817" s="62" t="n">
        <v>1</v>
      </c>
      <c r="B4817" s="21" t="s">
        <v>336</v>
      </c>
      <c r="C4817" s="62" t="s">
        <v>60</v>
      </c>
      <c r="D4817" s="62" t="s">
        <v>385</v>
      </c>
      <c r="E4817" s="62" t="s">
        <v>105</v>
      </c>
      <c r="F4817" s="62" t="s">
        <v>95</v>
      </c>
      <c r="G4817" s="63" t="s">
        <v>479</v>
      </c>
      <c r="H4817" s="64" t="n">
        <v>0</v>
      </c>
      <c r="I4817" s="62" t="s">
        <v>878</v>
      </c>
      <c r="J4817" s="64" t="n">
        <v>0</v>
      </c>
      <c r="K4817" s="62" t="s">
        <v>42</v>
      </c>
      <c r="L4817" s="68" t="b">
        <f aca="false">TRUE()</f>
        <v>1</v>
      </c>
    </row>
    <row r="4818" customFormat="false" ht="15" hidden="false" customHeight="false" outlineLevel="0" collapsed="false">
      <c r="A4818" s="62" t="n">
        <v>1</v>
      </c>
      <c r="B4818" s="21" t="s">
        <v>336</v>
      </c>
      <c r="C4818" s="62" t="s">
        <v>60</v>
      </c>
      <c r="D4818" s="62" t="s">
        <v>386</v>
      </c>
      <c r="E4818" s="62" t="s">
        <v>105</v>
      </c>
      <c r="F4818" s="62" t="s">
        <v>95</v>
      </c>
      <c r="G4818" s="63" t="s">
        <v>479</v>
      </c>
      <c r="H4818" s="64" t="n">
        <v>0</v>
      </c>
      <c r="I4818" s="62" t="s">
        <v>878</v>
      </c>
      <c r="J4818" s="64" t="n">
        <v>0</v>
      </c>
      <c r="K4818" s="62" t="s">
        <v>42</v>
      </c>
      <c r="L4818" s="68" t="b">
        <f aca="false">TRUE()</f>
        <v>1</v>
      </c>
    </row>
    <row r="4819" customFormat="false" ht="15" hidden="false" customHeight="false" outlineLevel="0" collapsed="false">
      <c r="A4819" s="62" t="n">
        <v>1</v>
      </c>
      <c r="B4819" s="21" t="s">
        <v>336</v>
      </c>
      <c r="C4819" s="62" t="s">
        <v>60</v>
      </c>
      <c r="D4819" s="62" t="s">
        <v>387</v>
      </c>
      <c r="E4819" s="62" t="s">
        <v>105</v>
      </c>
      <c r="F4819" s="62" t="s">
        <v>95</v>
      </c>
      <c r="G4819" s="63" t="s">
        <v>479</v>
      </c>
      <c r="H4819" s="64" t="n">
        <v>0</v>
      </c>
      <c r="I4819" s="62" t="s">
        <v>878</v>
      </c>
      <c r="J4819" s="64" t="n">
        <v>0</v>
      </c>
      <c r="K4819" s="62" t="s">
        <v>42</v>
      </c>
      <c r="L4819" s="68" t="b">
        <f aca="false">TRUE()</f>
        <v>1</v>
      </c>
    </row>
    <row r="4820" customFormat="false" ht="15" hidden="false" customHeight="false" outlineLevel="0" collapsed="false">
      <c r="A4820" s="62" t="n">
        <v>1</v>
      </c>
      <c r="B4820" s="21" t="s">
        <v>336</v>
      </c>
      <c r="C4820" s="62" t="s">
        <v>60</v>
      </c>
      <c r="D4820" s="62" t="s">
        <v>388</v>
      </c>
      <c r="E4820" s="62" t="s">
        <v>105</v>
      </c>
      <c r="F4820" s="62" t="s">
        <v>95</v>
      </c>
      <c r="G4820" s="63" t="s">
        <v>479</v>
      </c>
      <c r="H4820" s="64" t="n">
        <v>0</v>
      </c>
      <c r="I4820" s="62" t="s">
        <v>878</v>
      </c>
      <c r="J4820" s="64" t="n">
        <v>0</v>
      </c>
      <c r="K4820" s="62" t="s">
        <v>42</v>
      </c>
      <c r="L4820" s="68" t="b">
        <f aca="false">TRUE()</f>
        <v>1</v>
      </c>
    </row>
    <row r="4821" customFormat="false" ht="15" hidden="false" customHeight="false" outlineLevel="0" collapsed="false">
      <c r="A4821" s="62" t="n">
        <v>1</v>
      </c>
      <c r="B4821" s="21" t="s">
        <v>336</v>
      </c>
      <c r="C4821" s="62" t="s">
        <v>60</v>
      </c>
      <c r="D4821" s="62" t="s">
        <v>381</v>
      </c>
      <c r="E4821" s="62" t="s">
        <v>105</v>
      </c>
      <c r="F4821" s="62" t="s">
        <v>97</v>
      </c>
      <c r="G4821" s="63" t="s">
        <v>479</v>
      </c>
      <c r="H4821" s="64" t="n">
        <v>0</v>
      </c>
      <c r="I4821" s="62" t="s">
        <v>878</v>
      </c>
      <c r="J4821" s="64" t="n">
        <v>0</v>
      </c>
      <c r="K4821" s="62" t="s">
        <v>42</v>
      </c>
      <c r="L4821" s="68" t="b">
        <f aca="false">TRUE()</f>
        <v>1</v>
      </c>
    </row>
    <row r="4822" customFormat="false" ht="15" hidden="false" customHeight="false" outlineLevel="0" collapsed="false">
      <c r="A4822" s="62" t="n">
        <v>1</v>
      </c>
      <c r="B4822" s="21" t="s">
        <v>336</v>
      </c>
      <c r="C4822" s="62" t="s">
        <v>60</v>
      </c>
      <c r="D4822" s="62" t="s">
        <v>383</v>
      </c>
      <c r="E4822" s="62" t="s">
        <v>105</v>
      </c>
      <c r="F4822" s="62" t="s">
        <v>97</v>
      </c>
      <c r="G4822" s="63" t="s">
        <v>479</v>
      </c>
      <c r="H4822" s="64" t="n">
        <v>0</v>
      </c>
      <c r="I4822" s="62" t="s">
        <v>878</v>
      </c>
      <c r="J4822" s="64" t="n">
        <v>0</v>
      </c>
      <c r="K4822" s="62" t="s">
        <v>42</v>
      </c>
      <c r="L4822" s="68" t="b">
        <f aca="false">TRUE()</f>
        <v>1</v>
      </c>
    </row>
    <row r="4823" customFormat="false" ht="15" hidden="false" customHeight="false" outlineLevel="0" collapsed="false">
      <c r="A4823" s="62" t="n">
        <v>1</v>
      </c>
      <c r="B4823" s="21" t="s">
        <v>336</v>
      </c>
      <c r="C4823" s="62" t="s">
        <v>60</v>
      </c>
      <c r="D4823" s="62" t="s">
        <v>384</v>
      </c>
      <c r="E4823" s="62" t="s">
        <v>105</v>
      </c>
      <c r="F4823" s="62" t="s">
        <v>97</v>
      </c>
      <c r="G4823" s="63" t="s">
        <v>479</v>
      </c>
      <c r="H4823" s="64" t="n">
        <v>0</v>
      </c>
      <c r="I4823" s="62" t="s">
        <v>878</v>
      </c>
      <c r="J4823" s="64" t="n">
        <v>0</v>
      </c>
      <c r="K4823" s="62" t="s">
        <v>42</v>
      </c>
      <c r="L4823" s="68" t="b">
        <f aca="false">TRUE()</f>
        <v>1</v>
      </c>
    </row>
    <row r="4824" customFormat="false" ht="15" hidden="false" customHeight="false" outlineLevel="0" collapsed="false">
      <c r="A4824" s="62" t="n">
        <v>1</v>
      </c>
      <c r="B4824" s="21" t="s">
        <v>336</v>
      </c>
      <c r="C4824" s="62" t="s">
        <v>60</v>
      </c>
      <c r="D4824" s="62" t="s">
        <v>385</v>
      </c>
      <c r="E4824" s="62" t="s">
        <v>105</v>
      </c>
      <c r="F4824" s="62" t="s">
        <v>97</v>
      </c>
      <c r="G4824" s="63" t="s">
        <v>479</v>
      </c>
      <c r="H4824" s="64" t="n">
        <v>0</v>
      </c>
      <c r="I4824" s="62" t="s">
        <v>878</v>
      </c>
      <c r="J4824" s="64" t="n">
        <v>0</v>
      </c>
      <c r="K4824" s="62" t="s">
        <v>42</v>
      </c>
      <c r="L4824" s="68" t="b">
        <f aca="false">TRUE()</f>
        <v>1</v>
      </c>
    </row>
    <row r="4825" customFormat="false" ht="15" hidden="false" customHeight="false" outlineLevel="0" collapsed="false">
      <c r="A4825" s="62" t="n">
        <v>1</v>
      </c>
      <c r="B4825" s="21" t="s">
        <v>336</v>
      </c>
      <c r="C4825" s="62" t="s">
        <v>60</v>
      </c>
      <c r="D4825" s="62" t="s">
        <v>386</v>
      </c>
      <c r="E4825" s="62" t="s">
        <v>105</v>
      </c>
      <c r="F4825" s="62" t="s">
        <v>97</v>
      </c>
      <c r="G4825" s="63" t="s">
        <v>479</v>
      </c>
      <c r="H4825" s="64" t="n">
        <v>0</v>
      </c>
      <c r="I4825" s="62" t="s">
        <v>878</v>
      </c>
      <c r="J4825" s="64" t="n">
        <v>0</v>
      </c>
      <c r="K4825" s="62" t="s">
        <v>42</v>
      </c>
      <c r="L4825" s="68" t="b">
        <f aca="false">TRUE()</f>
        <v>1</v>
      </c>
    </row>
    <row r="4826" customFormat="false" ht="15" hidden="false" customHeight="false" outlineLevel="0" collapsed="false">
      <c r="A4826" s="62" t="n">
        <v>1</v>
      </c>
      <c r="B4826" s="21" t="s">
        <v>336</v>
      </c>
      <c r="C4826" s="62" t="s">
        <v>60</v>
      </c>
      <c r="D4826" s="62" t="s">
        <v>387</v>
      </c>
      <c r="E4826" s="62" t="s">
        <v>105</v>
      </c>
      <c r="F4826" s="62" t="s">
        <v>97</v>
      </c>
      <c r="G4826" s="63" t="s">
        <v>479</v>
      </c>
      <c r="H4826" s="64" t="n">
        <v>0</v>
      </c>
      <c r="I4826" s="62" t="s">
        <v>878</v>
      </c>
      <c r="J4826" s="64" t="n">
        <v>0</v>
      </c>
      <c r="K4826" s="62" t="s">
        <v>42</v>
      </c>
      <c r="L4826" s="68" t="b">
        <f aca="false">TRUE()</f>
        <v>1</v>
      </c>
    </row>
    <row r="4827" customFormat="false" ht="15" hidden="false" customHeight="false" outlineLevel="0" collapsed="false">
      <c r="A4827" s="62" t="n">
        <v>1</v>
      </c>
      <c r="B4827" s="21" t="s">
        <v>336</v>
      </c>
      <c r="C4827" s="62" t="s">
        <v>60</v>
      </c>
      <c r="D4827" s="62" t="s">
        <v>388</v>
      </c>
      <c r="E4827" s="62" t="s">
        <v>105</v>
      </c>
      <c r="F4827" s="62" t="s">
        <v>97</v>
      </c>
      <c r="G4827" s="63" t="s">
        <v>479</v>
      </c>
      <c r="H4827" s="64" t="n">
        <v>0</v>
      </c>
      <c r="I4827" s="62" t="s">
        <v>878</v>
      </c>
      <c r="J4827" s="64" t="n">
        <v>0</v>
      </c>
      <c r="K4827" s="62" t="s">
        <v>42</v>
      </c>
      <c r="L4827" s="68" t="b">
        <f aca="false">TRUE()</f>
        <v>1</v>
      </c>
    </row>
    <row r="4828" customFormat="false" ht="15" hidden="false" customHeight="false" outlineLevel="0" collapsed="false">
      <c r="A4828" s="62" t="n">
        <v>1</v>
      </c>
      <c r="B4828" s="21" t="s">
        <v>336</v>
      </c>
      <c r="C4828" s="62" t="s">
        <v>60</v>
      </c>
      <c r="D4828" s="62" t="s">
        <v>381</v>
      </c>
      <c r="E4828" s="62" t="s">
        <v>105</v>
      </c>
      <c r="F4828" s="62" t="s">
        <v>382</v>
      </c>
      <c r="G4828" s="63" t="s">
        <v>480</v>
      </c>
      <c r="H4828" s="64" t="n">
        <v>0.180278662588945</v>
      </c>
      <c r="I4828" s="62" t="s">
        <v>878</v>
      </c>
      <c r="J4828" s="64" t="n">
        <v>18.0278662588945</v>
      </c>
      <c r="K4828" s="62" t="s">
        <v>42</v>
      </c>
      <c r="L4828" s="68" t="b">
        <f aca="false">TRUE()</f>
        <v>1</v>
      </c>
    </row>
    <row r="4829" customFormat="false" ht="15" hidden="false" customHeight="false" outlineLevel="0" collapsed="false">
      <c r="A4829" s="62" t="n">
        <v>1</v>
      </c>
      <c r="B4829" s="21" t="s">
        <v>336</v>
      </c>
      <c r="C4829" s="62" t="s">
        <v>60</v>
      </c>
      <c r="D4829" s="62" t="s">
        <v>383</v>
      </c>
      <c r="E4829" s="62" t="s">
        <v>105</v>
      </c>
      <c r="F4829" s="62" t="s">
        <v>382</v>
      </c>
      <c r="G4829" s="63" t="s">
        <v>480</v>
      </c>
      <c r="H4829" s="64" t="n">
        <v>0.1598</v>
      </c>
      <c r="I4829" s="62" t="s">
        <v>878</v>
      </c>
      <c r="J4829" s="64" t="n">
        <v>15.98</v>
      </c>
      <c r="K4829" s="62" t="s">
        <v>42</v>
      </c>
      <c r="L4829" s="68" t="b">
        <f aca="false">TRUE()</f>
        <v>1</v>
      </c>
    </row>
    <row r="4830" customFormat="false" ht="15" hidden="false" customHeight="false" outlineLevel="0" collapsed="false">
      <c r="A4830" s="62" t="n">
        <v>1</v>
      </c>
      <c r="B4830" s="21" t="s">
        <v>336</v>
      </c>
      <c r="C4830" s="62" t="s">
        <v>60</v>
      </c>
      <c r="D4830" s="62" t="s">
        <v>384</v>
      </c>
      <c r="E4830" s="62" t="s">
        <v>105</v>
      </c>
      <c r="F4830" s="62" t="s">
        <v>382</v>
      </c>
      <c r="G4830" s="63" t="s">
        <v>480</v>
      </c>
      <c r="H4830" s="64" t="n">
        <v>0.1795</v>
      </c>
      <c r="I4830" s="62" t="s">
        <v>878</v>
      </c>
      <c r="J4830" s="64" t="n">
        <v>17.95</v>
      </c>
      <c r="K4830" s="62" t="s">
        <v>42</v>
      </c>
      <c r="L4830" s="68" t="b">
        <f aca="false">TRUE()</f>
        <v>1</v>
      </c>
    </row>
    <row r="4831" customFormat="false" ht="15" hidden="false" customHeight="false" outlineLevel="0" collapsed="false">
      <c r="A4831" s="62" t="n">
        <v>1</v>
      </c>
      <c r="B4831" s="21" t="s">
        <v>336</v>
      </c>
      <c r="C4831" s="62" t="s">
        <v>60</v>
      </c>
      <c r="D4831" s="62" t="s">
        <v>385</v>
      </c>
      <c r="E4831" s="62" t="s">
        <v>105</v>
      </c>
      <c r="F4831" s="62" t="s">
        <v>382</v>
      </c>
      <c r="G4831" s="63" t="s">
        <v>480</v>
      </c>
      <c r="H4831" s="64" t="n">
        <v>0.1053</v>
      </c>
      <c r="I4831" s="62" t="s">
        <v>878</v>
      </c>
      <c r="J4831" s="64" t="n">
        <v>10.53</v>
      </c>
      <c r="K4831" s="62" t="s">
        <v>42</v>
      </c>
      <c r="L4831" s="68" t="b">
        <f aca="false">TRUE()</f>
        <v>1</v>
      </c>
    </row>
    <row r="4832" customFormat="false" ht="15" hidden="false" customHeight="false" outlineLevel="0" collapsed="false">
      <c r="A4832" s="62" t="n">
        <v>1</v>
      </c>
      <c r="B4832" s="21" t="s">
        <v>336</v>
      </c>
      <c r="C4832" s="62" t="s">
        <v>60</v>
      </c>
      <c r="D4832" s="62" t="s">
        <v>386</v>
      </c>
      <c r="E4832" s="62" t="s">
        <v>105</v>
      </c>
      <c r="F4832" s="62" t="s">
        <v>382</v>
      </c>
      <c r="G4832" s="63" t="s">
        <v>480</v>
      </c>
      <c r="H4832" s="64" t="n">
        <v>0.1395</v>
      </c>
      <c r="I4832" s="62" t="s">
        <v>878</v>
      </c>
      <c r="J4832" s="64" t="n">
        <v>13.95</v>
      </c>
      <c r="K4832" s="62" t="s">
        <v>42</v>
      </c>
      <c r="L4832" s="68" t="b">
        <f aca="false">TRUE()</f>
        <v>1</v>
      </c>
    </row>
    <row r="4833" customFormat="false" ht="15" hidden="false" customHeight="false" outlineLevel="0" collapsed="false">
      <c r="A4833" s="62" t="n">
        <v>1</v>
      </c>
      <c r="B4833" s="21" t="s">
        <v>336</v>
      </c>
      <c r="C4833" s="62" t="s">
        <v>60</v>
      </c>
      <c r="D4833" s="62" t="s">
        <v>387</v>
      </c>
      <c r="E4833" s="62" t="s">
        <v>105</v>
      </c>
      <c r="F4833" s="62" t="s">
        <v>382</v>
      </c>
      <c r="G4833" s="63" t="s">
        <v>480</v>
      </c>
      <c r="H4833" s="64" t="n">
        <v>0.1336</v>
      </c>
      <c r="I4833" s="62" t="s">
        <v>878</v>
      </c>
      <c r="J4833" s="64" t="n">
        <v>13.36</v>
      </c>
      <c r="K4833" s="62" t="s">
        <v>42</v>
      </c>
      <c r="L4833" s="68" t="b">
        <f aca="false">TRUE()</f>
        <v>1</v>
      </c>
    </row>
    <row r="4834" customFormat="false" ht="15" hidden="false" customHeight="false" outlineLevel="0" collapsed="false">
      <c r="A4834" s="62" t="n">
        <v>1</v>
      </c>
      <c r="B4834" s="21" t="s">
        <v>336</v>
      </c>
      <c r="C4834" s="62" t="s">
        <v>60</v>
      </c>
      <c r="D4834" s="62" t="s">
        <v>388</v>
      </c>
      <c r="E4834" s="62" t="s">
        <v>105</v>
      </c>
      <c r="F4834" s="62" t="s">
        <v>382</v>
      </c>
      <c r="G4834" s="63" t="s">
        <v>480</v>
      </c>
      <c r="H4834" s="64" t="n">
        <v>0.1021</v>
      </c>
      <c r="I4834" s="62" t="s">
        <v>878</v>
      </c>
      <c r="J4834" s="64" t="n">
        <v>10.21</v>
      </c>
      <c r="K4834" s="62" t="s">
        <v>42</v>
      </c>
      <c r="L4834" s="68" t="b">
        <f aca="false">TRUE()</f>
        <v>1</v>
      </c>
    </row>
    <row r="4835" customFormat="false" ht="15" hidden="false" customHeight="false" outlineLevel="0" collapsed="false">
      <c r="A4835" s="62" t="n">
        <v>1</v>
      </c>
      <c r="B4835" s="21" t="s">
        <v>336</v>
      </c>
      <c r="C4835" s="62" t="s">
        <v>60</v>
      </c>
      <c r="D4835" s="62" t="s">
        <v>381</v>
      </c>
      <c r="E4835" s="62" t="s">
        <v>67</v>
      </c>
      <c r="F4835" s="62" t="s">
        <v>382</v>
      </c>
      <c r="G4835" s="63" t="s">
        <v>481</v>
      </c>
      <c r="H4835" s="64" t="n">
        <v>20000</v>
      </c>
      <c r="I4835" s="62"/>
      <c r="J4835" s="64" t="n">
        <v>20000</v>
      </c>
      <c r="K4835" s="62"/>
      <c r="L4835" s="68" t="b">
        <f aca="false">FALSE()</f>
        <v>0</v>
      </c>
    </row>
    <row r="4836" customFormat="false" ht="15" hidden="false" customHeight="false" outlineLevel="0" collapsed="false">
      <c r="A4836" s="62" t="n">
        <v>1</v>
      </c>
      <c r="B4836" s="21" t="s">
        <v>336</v>
      </c>
      <c r="C4836" s="62" t="s">
        <v>60</v>
      </c>
      <c r="D4836" s="62" t="s">
        <v>383</v>
      </c>
      <c r="E4836" s="62" t="s">
        <v>67</v>
      </c>
      <c r="F4836" s="62" t="s">
        <v>382</v>
      </c>
      <c r="G4836" s="63" t="s">
        <v>481</v>
      </c>
      <c r="H4836" s="64" t="n">
        <v>26048</v>
      </c>
      <c r="I4836" s="62"/>
      <c r="J4836" s="64" t="n">
        <v>26048</v>
      </c>
      <c r="K4836" s="62"/>
      <c r="L4836" s="68" t="b">
        <f aca="false">FALSE()</f>
        <v>0</v>
      </c>
    </row>
    <row r="4837" customFormat="false" ht="15" hidden="false" customHeight="false" outlineLevel="0" collapsed="false">
      <c r="A4837" s="62" t="n">
        <v>1</v>
      </c>
      <c r="B4837" s="21" t="s">
        <v>336</v>
      </c>
      <c r="C4837" s="62" t="s">
        <v>60</v>
      </c>
      <c r="D4837" s="62" t="s">
        <v>384</v>
      </c>
      <c r="E4837" s="62" t="s">
        <v>67</v>
      </c>
      <c r="F4837" s="62" t="s">
        <v>382</v>
      </c>
      <c r="G4837" s="63" t="s">
        <v>481</v>
      </c>
      <c r="H4837" s="64" t="n">
        <v>23000</v>
      </c>
      <c r="I4837" s="62"/>
      <c r="J4837" s="64" t="n">
        <v>23000</v>
      </c>
      <c r="K4837" s="62"/>
      <c r="L4837" s="68" t="b">
        <f aca="false">TRUE()</f>
        <v>1</v>
      </c>
    </row>
    <row r="4838" customFormat="false" ht="15" hidden="false" customHeight="false" outlineLevel="0" collapsed="false">
      <c r="A4838" s="62" t="n">
        <v>1</v>
      </c>
      <c r="B4838" s="21" t="s">
        <v>336</v>
      </c>
      <c r="C4838" s="62" t="s">
        <v>60</v>
      </c>
      <c r="D4838" s="62" t="s">
        <v>385</v>
      </c>
      <c r="E4838" s="62" t="s">
        <v>67</v>
      </c>
      <c r="F4838" s="62" t="s">
        <v>382</v>
      </c>
      <c r="G4838" s="63" t="s">
        <v>481</v>
      </c>
      <c r="H4838" s="64" t="n">
        <v>22000</v>
      </c>
      <c r="I4838" s="62"/>
      <c r="J4838" s="64" t="n">
        <v>22000</v>
      </c>
      <c r="K4838" s="62"/>
      <c r="L4838" s="68" t="b">
        <f aca="false">TRUE()</f>
        <v>1</v>
      </c>
    </row>
    <row r="4839" customFormat="false" ht="15" hidden="false" customHeight="false" outlineLevel="0" collapsed="false">
      <c r="A4839" s="62" t="n">
        <v>1</v>
      </c>
      <c r="B4839" s="21" t="s">
        <v>336</v>
      </c>
      <c r="C4839" s="62" t="s">
        <v>60</v>
      </c>
      <c r="D4839" s="62" t="s">
        <v>386</v>
      </c>
      <c r="E4839" s="62" t="s">
        <v>67</v>
      </c>
      <c r="F4839" s="62" t="s">
        <v>382</v>
      </c>
      <c r="G4839" s="63" t="s">
        <v>481</v>
      </c>
      <c r="H4839" s="64" t="n">
        <v>24500</v>
      </c>
      <c r="I4839" s="62"/>
      <c r="J4839" s="64" t="n">
        <v>24500</v>
      </c>
      <c r="K4839" s="62"/>
      <c r="L4839" s="68" t="b">
        <f aca="false">TRUE()</f>
        <v>1</v>
      </c>
    </row>
    <row r="4840" customFormat="false" ht="15" hidden="false" customHeight="false" outlineLevel="0" collapsed="false">
      <c r="A4840" s="62" t="n">
        <v>1</v>
      </c>
      <c r="B4840" s="21" t="s">
        <v>336</v>
      </c>
      <c r="C4840" s="62" t="s">
        <v>60</v>
      </c>
      <c r="D4840" s="62" t="s">
        <v>387</v>
      </c>
      <c r="E4840" s="62" t="s">
        <v>67</v>
      </c>
      <c r="F4840" s="62" t="s">
        <v>382</v>
      </c>
      <c r="G4840" s="63" t="s">
        <v>481</v>
      </c>
      <c r="H4840" s="64" t="n">
        <v>27000</v>
      </c>
      <c r="I4840" s="62"/>
      <c r="J4840" s="64" t="n">
        <v>27000</v>
      </c>
      <c r="K4840" s="62"/>
      <c r="L4840" s="68" t="b">
        <f aca="false">FALSE()</f>
        <v>0</v>
      </c>
    </row>
    <row r="4841" customFormat="false" ht="15" hidden="false" customHeight="false" outlineLevel="0" collapsed="false">
      <c r="A4841" s="62" t="n">
        <v>1</v>
      </c>
      <c r="B4841" s="21" t="s">
        <v>336</v>
      </c>
      <c r="C4841" s="62" t="s">
        <v>60</v>
      </c>
      <c r="D4841" s="62" t="s">
        <v>388</v>
      </c>
      <c r="E4841" s="62" t="s">
        <v>67</v>
      </c>
      <c r="F4841" s="62" t="s">
        <v>382</v>
      </c>
      <c r="G4841" s="63" t="s">
        <v>481</v>
      </c>
      <c r="H4841" s="64" t="n">
        <v>21690</v>
      </c>
      <c r="I4841" s="62"/>
      <c r="J4841" s="64" t="n">
        <v>21690</v>
      </c>
      <c r="K4841" s="62"/>
      <c r="L4841" s="68" t="b">
        <f aca="false">FALSE()</f>
        <v>0</v>
      </c>
    </row>
    <row r="4842" customFormat="false" ht="15" hidden="false" customHeight="false" outlineLevel="0" collapsed="false">
      <c r="A4842" s="62" t="n">
        <v>1</v>
      </c>
      <c r="B4842" s="21" t="s">
        <v>336</v>
      </c>
      <c r="C4842" s="62" t="s">
        <v>60</v>
      </c>
      <c r="D4842" s="62" t="s">
        <v>381</v>
      </c>
      <c r="E4842" s="62" t="s">
        <v>67</v>
      </c>
      <c r="F4842" s="62" t="s">
        <v>382</v>
      </c>
      <c r="G4842" s="63" t="s">
        <v>482</v>
      </c>
      <c r="H4842" s="64" t="n">
        <v>6</v>
      </c>
      <c r="I4842" s="62"/>
      <c r="J4842" s="64" t="n">
        <v>6</v>
      </c>
      <c r="K4842" s="62"/>
      <c r="L4842" s="68" t="b">
        <f aca="false">FALSE()</f>
        <v>0</v>
      </c>
    </row>
    <row r="4843" customFormat="false" ht="15" hidden="false" customHeight="false" outlineLevel="0" collapsed="false">
      <c r="A4843" s="62" t="n">
        <v>1</v>
      </c>
      <c r="B4843" s="21" t="s">
        <v>336</v>
      </c>
      <c r="C4843" s="62" t="s">
        <v>60</v>
      </c>
      <c r="D4843" s="62" t="s">
        <v>383</v>
      </c>
      <c r="E4843" s="62" t="s">
        <v>67</v>
      </c>
      <c r="F4843" s="62" t="s">
        <v>382</v>
      </c>
      <c r="G4843" s="63" t="s">
        <v>482</v>
      </c>
      <c r="H4843" s="64" t="n">
        <v>6</v>
      </c>
      <c r="I4843" s="62"/>
      <c r="J4843" s="64" t="n">
        <v>6</v>
      </c>
      <c r="K4843" s="62"/>
      <c r="L4843" s="68" t="b">
        <f aca="false">FALSE()</f>
        <v>0</v>
      </c>
    </row>
    <row r="4844" customFormat="false" ht="15" hidden="false" customHeight="false" outlineLevel="0" collapsed="false">
      <c r="A4844" s="62" t="n">
        <v>1</v>
      </c>
      <c r="B4844" s="21" t="s">
        <v>336</v>
      </c>
      <c r="C4844" s="62" t="s">
        <v>60</v>
      </c>
      <c r="D4844" s="62" t="s">
        <v>384</v>
      </c>
      <c r="E4844" s="62" t="s">
        <v>67</v>
      </c>
      <c r="F4844" s="62" t="s">
        <v>382</v>
      </c>
      <c r="G4844" s="63" t="s">
        <v>482</v>
      </c>
      <c r="H4844" s="64" t="n">
        <v>5</v>
      </c>
      <c r="I4844" s="62"/>
      <c r="J4844" s="64" t="n">
        <v>5</v>
      </c>
      <c r="K4844" s="62"/>
      <c r="L4844" s="68" t="b">
        <f aca="false">TRUE()</f>
        <v>1</v>
      </c>
    </row>
    <row r="4845" customFormat="false" ht="15" hidden="false" customHeight="false" outlineLevel="0" collapsed="false">
      <c r="A4845" s="62" t="n">
        <v>1</v>
      </c>
      <c r="B4845" s="21" t="s">
        <v>336</v>
      </c>
      <c r="C4845" s="62" t="s">
        <v>60</v>
      </c>
      <c r="D4845" s="62" t="s">
        <v>385</v>
      </c>
      <c r="E4845" s="62" t="s">
        <v>67</v>
      </c>
      <c r="F4845" s="62" t="s">
        <v>382</v>
      </c>
      <c r="G4845" s="63" t="s">
        <v>482</v>
      </c>
      <c r="H4845" s="64" t="n">
        <v>6</v>
      </c>
      <c r="I4845" s="62"/>
      <c r="J4845" s="64" t="n">
        <v>6</v>
      </c>
      <c r="K4845" s="62"/>
      <c r="L4845" s="68" t="b">
        <f aca="false">TRUE()</f>
        <v>1</v>
      </c>
    </row>
    <row r="4846" customFormat="false" ht="15" hidden="false" customHeight="false" outlineLevel="0" collapsed="false">
      <c r="A4846" s="62" t="n">
        <v>1</v>
      </c>
      <c r="B4846" s="21" t="s">
        <v>336</v>
      </c>
      <c r="C4846" s="62" t="s">
        <v>60</v>
      </c>
      <c r="D4846" s="62" t="s">
        <v>386</v>
      </c>
      <c r="E4846" s="62" t="s">
        <v>67</v>
      </c>
      <c r="F4846" s="62" t="s">
        <v>382</v>
      </c>
      <c r="G4846" s="63" t="s">
        <v>482</v>
      </c>
      <c r="H4846" s="64" t="n">
        <v>6</v>
      </c>
      <c r="I4846" s="62"/>
      <c r="J4846" s="64" t="n">
        <v>6</v>
      </c>
      <c r="K4846" s="62"/>
      <c r="L4846" s="68" t="b">
        <f aca="false">TRUE()</f>
        <v>1</v>
      </c>
    </row>
    <row r="4847" customFormat="false" ht="15" hidden="false" customHeight="false" outlineLevel="0" collapsed="false">
      <c r="A4847" s="62" t="n">
        <v>1</v>
      </c>
      <c r="B4847" s="21" t="s">
        <v>336</v>
      </c>
      <c r="C4847" s="62" t="s">
        <v>60</v>
      </c>
      <c r="D4847" s="62" t="s">
        <v>387</v>
      </c>
      <c r="E4847" s="62" t="s">
        <v>67</v>
      </c>
      <c r="F4847" s="62" t="s">
        <v>382</v>
      </c>
      <c r="G4847" s="63" t="s">
        <v>482</v>
      </c>
      <c r="H4847" s="64" t="n">
        <v>6</v>
      </c>
      <c r="I4847" s="62"/>
      <c r="J4847" s="64" t="n">
        <v>6</v>
      </c>
      <c r="K4847" s="62"/>
      <c r="L4847" s="68" t="b">
        <f aca="false">FALSE()</f>
        <v>0</v>
      </c>
    </row>
    <row r="4848" customFormat="false" ht="15" hidden="false" customHeight="false" outlineLevel="0" collapsed="false">
      <c r="A4848" s="62" t="n">
        <v>1</v>
      </c>
      <c r="B4848" s="21" t="s">
        <v>336</v>
      </c>
      <c r="C4848" s="62" t="s">
        <v>60</v>
      </c>
      <c r="D4848" s="62" t="s">
        <v>388</v>
      </c>
      <c r="E4848" s="62" t="s">
        <v>67</v>
      </c>
      <c r="F4848" s="62" t="s">
        <v>382</v>
      </c>
      <c r="G4848" s="63" t="s">
        <v>482</v>
      </c>
      <c r="H4848" s="64" t="n">
        <v>7</v>
      </c>
      <c r="I4848" s="62"/>
      <c r="J4848" s="64" t="n">
        <v>7</v>
      </c>
      <c r="K4848" s="62"/>
      <c r="L4848" s="68" t="b">
        <f aca="false">FALSE()</f>
        <v>0</v>
      </c>
    </row>
    <row r="4849" customFormat="false" ht="15" hidden="false" customHeight="false" outlineLevel="0" collapsed="false">
      <c r="A4849" s="62" t="n">
        <v>1</v>
      </c>
      <c r="B4849" s="21" t="s">
        <v>336</v>
      </c>
      <c r="C4849" s="62" t="s">
        <v>60</v>
      </c>
      <c r="D4849" s="62" t="s">
        <v>381</v>
      </c>
      <c r="E4849" s="62" t="s">
        <v>67</v>
      </c>
      <c r="F4849" s="62" t="s">
        <v>382</v>
      </c>
      <c r="G4849" s="63" t="s">
        <v>483</v>
      </c>
      <c r="H4849" s="64" t="s">
        <v>44</v>
      </c>
      <c r="I4849" s="62"/>
      <c r="J4849" s="64" t="s">
        <v>44</v>
      </c>
      <c r="K4849" s="62"/>
      <c r="L4849" s="68" t="b">
        <f aca="false">TRUE()</f>
        <v>1</v>
      </c>
    </row>
    <row r="4850" customFormat="false" ht="15" hidden="false" customHeight="false" outlineLevel="0" collapsed="false">
      <c r="A4850" s="62" t="n">
        <v>1</v>
      </c>
      <c r="B4850" s="21" t="s">
        <v>336</v>
      </c>
      <c r="C4850" s="62" t="s">
        <v>60</v>
      </c>
      <c r="D4850" s="62" t="s">
        <v>383</v>
      </c>
      <c r="E4850" s="62" t="s">
        <v>67</v>
      </c>
      <c r="F4850" s="62" t="s">
        <v>382</v>
      </c>
      <c r="G4850" s="63" t="s">
        <v>483</v>
      </c>
      <c r="H4850" s="64" t="s">
        <v>35</v>
      </c>
      <c r="I4850" s="62"/>
      <c r="J4850" s="64" t="s">
        <v>35</v>
      </c>
      <c r="K4850" s="62"/>
      <c r="L4850" s="68" t="b">
        <f aca="false">TRUE()</f>
        <v>1</v>
      </c>
    </row>
    <row r="4851" customFormat="false" ht="15" hidden="false" customHeight="false" outlineLevel="0" collapsed="false">
      <c r="A4851" s="62" t="n">
        <v>1</v>
      </c>
      <c r="B4851" s="21" t="s">
        <v>336</v>
      </c>
      <c r="C4851" s="62" t="s">
        <v>60</v>
      </c>
      <c r="D4851" s="62" t="s">
        <v>384</v>
      </c>
      <c r="E4851" s="62" t="s">
        <v>67</v>
      </c>
      <c r="F4851" s="62" t="s">
        <v>382</v>
      </c>
      <c r="G4851" s="63" t="s">
        <v>483</v>
      </c>
      <c r="H4851" s="64" t="s">
        <v>44</v>
      </c>
      <c r="I4851" s="62"/>
      <c r="J4851" s="64" t="s">
        <v>44</v>
      </c>
      <c r="K4851" s="62"/>
      <c r="L4851" s="68" t="b">
        <f aca="false">TRUE()</f>
        <v>1</v>
      </c>
    </row>
    <row r="4852" customFormat="false" ht="15" hidden="false" customHeight="false" outlineLevel="0" collapsed="false">
      <c r="A4852" s="62" t="n">
        <v>1</v>
      </c>
      <c r="B4852" s="21" t="s">
        <v>336</v>
      </c>
      <c r="C4852" s="62" t="s">
        <v>60</v>
      </c>
      <c r="D4852" s="62" t="s">
        <v>385</v>
      </c>
      <c r="E4852" s="62" t="s">
        <v>67</v>
      </c>
      <c r="F4852" s="62" t="s">
        <v>382</v>
      </c>
      <c r="G4852" s="63" t="s">
        <v>483</v>
      </c>
      <c r="H4852" s="64" t="s">
        <v>44</v>
      </c>
      <c r="I4852" s="62"/>
      <c r="J4852" s="64" t="s">
        <v>44</v>
      </c>
      <c r="K4852" s="62"/>
      <c r="L4852" s="68" t="b">
        <f aca="false">TRUE()</f>
        <v>1</v>
      </c>
    </row>
    <row r="4853" customFormat="false" ht="15" hidden="false" customHeight="false" outlineLevel="0" collapsed="false">
      <c r="A4853" s="62" t="n">
        <v>1</v>
      </c>
      <c r="B4853" s="21" t="s">
        <v>336</v>
      </c>
      <c r="C4853" s="62" t="s">
        <v>60</v>
      </c>
      <c r="D4853" s="62" t="s">
        <v>386</v>
      </c>
      <c r="E4853" s="62" t="s">
        <v>67</v>
      </c>
      <c r="F4853" s="62" t="s">
        <v>382</v>
      </c>
      <c r="G4853" s="63" t="s">
        <v>483</v>
      </c>
      <c r="H4853" s="64" t="s">
        <v>35</v>
      </c>
      <c r="I4853" s="62"/>
      <c r="J4853" s="64" t="s">
        <v>35</v>
      </c>
      <c r="K4853" s="62"/>
      <c r="L4853" s="68" t="b">
        <f aca="false">TRUE()</f>
        <v>1</v>
      </c>
    </row>
    <row r="4854" customFormat="false" ht="15" hidden="false" customHeight="false" outlineLevel="0" collapsed="false">
      <c r="A4854" s="62" t="n">
        <v>1</v>
      </c>
      <c r="B4854" s="21" t="s">
        <v>336</v>
      </c>
      <c r="C4854" s="62" t="s">
        <v>60</v>
      </c>
      <c r="D4854" s="62" t="s">
        <v>387</v>
      </c>
      <c r="E4854" s="62" t="s">
        <v>67</v>
      </c>
      <c r="F4854" s="62" t="s">
        <v>382</v>
      </c>
      <c r="G4854" s="63" t="s">
        <v>483</v>
      </c>
      <c r="H4854" s="64" t="s">
        <v>35</v>
      </c>
      <c r="I4854" s="62"/>
      <c r="J4854" s="64" t="s">
        <v>35</v>
      </c>
      <c r="K4854" s="62"/>
      <c r="L4854" s="68" t="b">
        <f aca="false">TRUE()</f>
        <v>1</v>
      </c>
    </row>
    <row r="4855" customFormat="false" ht="15" hidden="false" customHeight="false" outlineLevel="0" collapsed="false">
      <c r="A4855" s="62" t="n">
        <v>1</v>
      </c>
      <c r="B4855" s="21" t="s">
        <v>336</v>
      </c>
      <c r="C4855" s="62" t="s">
        <v>60</v>
      </c>
      <c r="D4855" s="62" t="s">
        <v>388</v>
      </c>
      <c r="E4855" s="62" t="s">
        <v>67</v>
      </c>
      <c r="F4855" s="62" t="s">
        <v>382</v>
      </c>
      <c r="G4855" s="63" t="s">
        <v>483</v>
      </c>
      <c r="H4855" s="64" t="s">
        <v>35</v>
      </c>
      <c r="I4855" s="62"/>
      <c r="J4855" s="64" t="s">
        <v>35</v>
      </c>
      <c r="K4855" s="62"/>
      <c r="L4855" s="68" t="b">
        <f aca="false">TRUE()</f>
        <v>1</v>
      </c>
    </row>
    <row r="4856" customFormat="false" ht="15" hidden="false" customHeight="false" outlineLevel="0" collapsed="false">
      <c r="A4856" s="62" t="n">
        <v>1</v>
      </c>
      <c r="B4856" s="21" t="s">
        <v>336</v>
      </c>
      <c r="C4856" s="62" t="s">
        <v>60</v>
      </c>
      <c r="D4856" s="62" t="s">
        <v>381</v>
      </c>
      <c r="E4856" s="62" t="s">
        <v>67</v>
      </c>
      <c r="F4856" s="62" t="s">
        <v>382</v>
      </c>
      <c r="G4856" s="63" t="s">
        <v>484</v>
      </c>
      <c r="H4856" s="64" t="n">
        <v>667.398</v>
      </c>
      <c r="I4856" s="62"/>
      <c r="J4856" s="64" t="n">
        <v>667.398</v>
      </c>
      <c r="K4856" s="62"/>
      <c r="L4856" s="68" t="b">
        <f aca="false">FALSE()</f>
        <v>0</v>
      </c>
    </row>
    <row r="4857" customFormat="false" ht="15" hidden="false" customHeight="false" outlineLevel="0" collapsed="false">
      <c r="A4857" s="62" t="n">
        <v>1</v>
      </c>
      <c r="B4857" s="21" t="s">
        <v>336</v>
      </c>
      <c r="C4857" s="62" t="s">
        <v>60</v>
      </c>
      <c r="D4857" s="62" t="s">
        <v>383</v>
      </c>
      <c r="E4857" s="62" t="s">
        <v>67</v>
      </c>
      <c r="F4857" s="62" t="s">
        <v>382</v>
      </c>
      <c r="G4857" s="63" t="s">
        <v>484</v>
      </c>
      <c r="H4857" s="64" t="n">
        <v>519.932</v>
      </c>
      <c r="I4857" s="62"/>
      <c r="J4857" s="64" t="n">
        <v>519.932</v>
      </c>
      <c r="K4857" s="62"/>
      <c r="L4857" s="68" t="b">
        <f aca="false">FALSE()</f>
        <v>0</v>
      </c>
    </row>
    <row r="4858" customFormat="false" ht="15" hidden="false" customHeight="false" outlineLevel="0" collapsed="false">
      <c r="A4858" s="62" t="n">
        <v>1</v>
      </c>
      <c r="B4858" s="21" t="s">
        <v>336</v>
      </c>
      <c r="C4858" s="62" t="s">
        <v>60</v>
      </c>
      <c r="D4858" s="62" t="s">
        <v>384</v>
      </c>
      <c r="E4858" s="62" t="s">
        <v>67</v>
      </c>
      <c r="F4858" s="62" t="s">
        <v>382</v>
      </c>
      <c r="G4858" s="63" t="s">
        <v>484</v>
      </c>
      <c r="H4858" s="64" t="n">
        <v>560.885</v>
      </c>
      <c r="I4858" s="62"/>
      <c r="J4858" s="64" t="n">
        <v>560.885</v>
      </c>
      <c r="K4858" s="62"/>
      <c r="L4858" s="68" t="b">
        <f aca="false">TRUE()</f>
        <v>1</v>
      </c>
    </row>
    <row r="4859" customFormat="false" ht="15" hidden="false" customHeight="false" outlineLevel="0" collapsed="false">
      <c r="A4859" s="62" t="n">
        <v>1</v>
      </c>
      <c r="B4859" s="21" t="s">
        <v>336</v>
      </c>
      <c r="C4859" s="62" t="s">
        <v>60</v>
      </c>
      <c r="D4859" s="62" t="s">
        <v>385</v>
      </c>
      <c r="E4859" s="62" t="s">
        <v>67</v>
      </c>
      <c r="F4859" s="62" t="s">
        <v>382</v>
      </c>
      <c r="G4859" s="63" t="s">
        <v>484</v>
      </c>
      <c r="H4859" s="64" t="n">
        <v>574.361</v>
      </c>
      <c r="I4859" s="62"/>
      <c r="J4859" s="64" t="n">
        <v>574.361</v>
      </c>
      <c r="K4859" s="62"/>
      <c r="L4859" s="68" t="b">
        <f aca="false">TRUE()</f>
        <v>1</v>
      </c>
    </row>
    <row r="4860" customFormat="false" ht="15" hidden="false" customHeight="false" outlineLevel="0" collapsed="false">
      <c r="A4860" s="62" t="n">
        <v>1</v>
      </c>
      <c r="B4860" s="21" t="s">
        <v>336</v>
      </c>
      <c r="C4860" s="62" t="s">
        <v>60</v>
      </c>
      <c r="D4860" s="62" t="s">
        <v>386</v>
      </c>
      <c r="E4860" s="62" t="s">
        <v>67</v>
      </c>
      <c r="F4860" s="62" t="s">
        <v>382</v>
      </c>
      <c r="G4860" s="63" t="s">
        <v>484</v>
      </c>
      <c r="H4860" s="64" t="n">
        <v>787.15</v>
      </c>
      <c r="I4860" s="62"/>
      <c r="J4860" s="64" t="n">
        <v>787.15</v>
      </c>
      <c r="K4860" s="62"/>
      <c r="L4860" s="68" t="b">
        <f aca="false">TRUE()</f>
        <v>1</v>
      </c>
    </row>
    <row r="4861" customFormat="false" ht="15" hidden="false" customHeight="false" outlineLevel="0" collapsed="false">
      <c r="A4861" s="62" t="n">
        <v>1</v>
      </c>
      <c r="B4861" s="21" t="s">
        <v>336</v>
      </c>
      <c r="C4861" s="62" t="s">
        <v>60</v>
      </c>
      <c r="D4861" s="62" t="s">
        <v>387</v>
      </c>
      <c r="E4861" s="62" t="s">
        <v>67</v>
      </c>
      <c r="F4861" s="62" t="s">
        <v>382</v>
      </c>
      <c r="G4861" s="63" t="s">
        <v>484</v>
      </c>
      <c r="H4861" s="64" t="n">
        <v>320.324</v>
      </c>
      <c r="I4861" s="62"/>
      <c r="J4861" s="64" t="n">
        <v>320.324</v>
      </c>
      <c r="K4861" s="62"/>
      <c r="L4861" s="68" t="b">
        <f aca="false">FALSE()</f>
        <v>0</v>
      </c>
    </row>
    <row r="4862" customFormat="false" ht="15" hidden="false" customHeight="false" outlineLevel="0" collapsed="false">
      <c r="A4862" s="62" t="n">
        <v>1</v>
      </c>
      <c r="B4862" s="21" t="s">
        <v>336</v>
      </c>
      <c r="C4862" s="62" t="s">
        <v>60</v>
      </c>
      <c r="D4862" s="62" t="s">
        <v>388</v>
      </c>
      <c r="E4862" s="62" t="s">
        <v>67</v>
      </c>
      <c r="F4862" s="62" t="s">
        <v>382</v>
      </c>
      <c r="G4862" s="63" t="s">
        <v>484</v>
      </c>
      <c r="H4862" s="64" t="n">
        <v>716.8</v>
      </c>
      <c r="I4862" s="62"/>
      <c r="J4862" s="64" t="n">
        <v>716.8</v>
      </c>
      <c r="K4862" s="62"/>
      <c r="L4862" s="68" t="b">
        <f aca="false">FALSE()</f>
        <v>0</v>
      </c>
    </row>
    <row r="4863" customFormat="false" ht="15" hidden="false" customHeight="false" outlineLevel="0" collapsed="false">
      <c r="A4863" s="62" t="n">
        <v>1</v>
      </c>
      <c r="B4863" s="21" t="s">
        <v>336</v>
      </c>
      <c r="C4863" s="62" t="s">
        <v>60</v>
      </c>
      <c r="D4863" s="62" t="s">
        <v>381</v>
      </c>
      <c r="E4863" s="62" t="s">
        <v>67</v>
      </c>
      <c r="F4863" s="62" t="s">
        <v>382</v>
      </c>
      <c r="G4863" s="63" t="s">
        <v>485</v>
      </c>
      <c r="H4863" s="64" t="n">
        <v>667.398</v>
      </c>
      <c r="I4863" s="62"/>
      <c r="J4863" s="64" t="n">
        <v>667.398</v>
      </c>
      <c r="K4863" s="62"/>
      <c r="L4863" s="68" t="b">
        <f aca="false">FALSE()</f>
        <v>0</v>
      </c>
    </row>
    <row r="4864" customFormat="false" ht="15" hidden="false" customHeight="false" outlineLevel="0" collapsed="false">
      <c r="A4864" s="62" t="n">
        <v>1</v>
      </c>
      <c r="B4864" s="21" t="s">
        <v>336</v>
      </c>
      <c r="C4864" s="62" t="s">
        <v>60</v>
      </c>
      <c r="D4864" s="62" t="s">
        <v>383</v>
      </c>
      <c r="E4864" s="62" t="s">
        <v>67</v>
      </c>
      <c r="F4864" s="62" t="s">
        <v>382</v>
      </c>
      <c r="G4864" s="63" t="s">
        <v>485</v>
      </c>
      <c r="H4864" s="64" t="n">
        <v>519.932</v>
      </c>
      <c r="I4864" s="62"/>
      <c r="J4864" s="64" t="n">
        <v>519.932</v>
      </c>
      <c r="K4864" s="62"/>
      <c r="L4864" s="68" t="b">
        <f aca="false">FALSE()</f>
        <v>0</v>
      </c>
    </row>
    <row r="4865" customFormat="false" ht="15" hidden="false" customHeight="false" outlineLevel="0" collapsed="false">
      <c r="A4865" s="62" t="n">
        <v>1</v>
      </c>
      <c r="B4865" s="21" t="s">
        <v>336</v>
      </c>
      <c r="C4865" s="62" t="s">
        <v>60</v>
      </c>
      <c r="D4865" s="62" t="s">
        <v>384</v>
      </c>
      <c r="E4865" s="62" t="s">
        <v>67</v>
      </c>
      <c r="F4865" s="62" t="s">
        <v>382</v>
      </c>
      <c r="G4865" s="63" t="s">
        <v>485</v>
      </c>
      <c r="H4865" s="64" t="n">
        <v>560.885</v>
      </c>
      <c r="I4865" s="62"/>
      <c r="J4865" s="64" t="n">
        <v>560.885</v>
      </c>
      <c r="K4865" s="62"/>
      <c r="L4865" s="68" t="b">
        <f aca="false">TRUE()</f>
        <v>1</v>
      </c>
    </row>
    <row r="4866" customFormat="false" ht="15" hidden="false" customHeight="false" outlineLevel="0" collapsed="false">
      <c r="A4866" s="62" t="n">
        <v>1</v>
      </c>
      <c r="B4866" s="21" t="s">
        <v>336</v>
      </c>
      <c r="C4866" s="62" t="s">
        <v>60</v>
      </c>
      <c r="D4866" s="62" t="s">
        <v>385</v>
      </c>
      <c r="E4866" s="62" t="s">
        <v>67</v>
      </c>
      <c r="F4866" s="62" t="s">
        <v>382</v>
      </c>
      <c r="G4866" s="63" t="s">
        <v>485</v>
      </c>
      <c r="H4866" s="64" t="n">
        <v>574.361</v>
      </c>
      <c r="I4866" s="62"/>
      <c r="J4866" s="64" t="n">
        <v>574.361</v>
      </c>
      <c r="K4866" s="62"/>
      <c r="L4866" s="68" t="b">
        <f aca="false">TRUE()</f>
        <v>1</v>
      </c>
    </row>
    <row r="4867" customFormat="false" ht="15" hidden="false" customHeight="false" outlineLevel="0" collapsed="false">
      <c r="A4867" s="62" t="n">
        <v>1</v>
      </c>
      <c r="B4867" s="21" t="s">
        <v>336</v>
      </c>
      <c r="C4867" s="62" t="s">
        <v>60</v>
      </c>
      <c r="D4867" s="62" t="s">
        <v>386</v>
      </c>
      <c r="E4867" s="62" t="s">
        <v>67</v>
      </c>
      <c r="F4867" s="62" t="s">
        <v>382</v>
      </c>
      <c r="G4867" s="63" t="s">
        <v>485</v>
      </c>
      <c r="H4867" s="64" t="n">
        <v>806.001</v>
      </c>
      <c r="I4867" s="62"/>
      <c r="J4867" s="64" t="n">
        <v>806.001</v>
      </c>
      <c r="K4867" s="62"/>
      <c r="L4867" s="68" t="b">
        <f aca="false">TRUE()</f>
        <v>1</v>
      </c>
    </row>
    <row r="4868" customFormat="false" ht="15" hidden="false" customHeight="false" outlineLevel="0" collapsed="false">
      <c r="A4868" s="62" t="n">
        <v>1</v>
      </c>
      <c r="B4868" s="21" t="s">
        <v>336</v>
      </c>
      <c r="C4868" s="62" t="s">
        <v>60</v>
      </c>
      <c r="D4868" s="62" t="s">
        <v>387</v>
      </c>
      <c r="E4868" s="62" t="s">
        <v>67</v>
      </c>
      <c r="F4868" s="62" t="s">
        <v>382</v>
      </c>
      <c r="G4868" s="63" t="s">
        <v>485</v>
      </c>
      <c r="H4868" s="64" t="n">
        <v>320.324</v>
      </c>
      <c r="I4868" s="62"/>
      <c r="J4868" s="64" t="n">
        <v>320.324</v>
      </c>
      <c r="K4868" s="62"/>
      <c r="L4868" s="68" t="b">
        <f aca="false">FALSE()</f>
        <v>0</v>
      </c>
    </row>
    <row r="4869" customFormat="false" ht="15" hidden="false" customHeight="false" outlineLevel="0" collapsed="false">
      <c r="A4869" s="62" t="n">
        <v>1</v>
      </c>
      <c r="B4869" s="21" t="s">
        <v>336</v>
      </c>
      <c r="C4869" s="62" t="s">
        <v>60</v>
      </c>
      <c r="D4869" s="62" t="s">
        <v>388</v>
      </c>
      <c r="E4869" s="62" t="s">
        <v>67</v>
      </c>
      <c r="F4869" s="62" t="s">
        <v>382</v>
      </c>
      <c r="G4869" s="63" t="s">
        <v>485</v>
      </c>
      <c r="H4869" s="64" t="n">
        <v>754.822</v>
      </c>
      <c r="I4869" s="62"/>
      <c r="J4869" s="64" t="n">
        <v>754.822</v>
      </c>
      <c r="K4869" s="62"/>
      <c r="L4869" s="68" t="b">
        <f aca="false">FALSE()</f>
        <v>0</v>
      </c>
    </row>
    <row r="4870" customFormat="false" ht="15" hidden="false" customHeight="false" outlineLevel="0" collapsed="false">
      <c r="A4870" s="62" t="n">
        <v>1</v>
      </c>
      <c r="B4870" s="21" t="s">
        <v>336</v>
      </c>
      <c r="C4870" s="62" t="s">
        <v>60</v>
      </c>
      <c r="D4870" s="62" t="s">
        <v>381</v>
      </c>
      <c r="E4870" s="62" t="s">
        <v>67</v>
      </c>
      <c r="F4870" s="62" t="s">
        <v>382</v>
      </c>
      <c r="G4870" s="63" t="s">
        <v>751</v>
      </c>
      <c r="H4870" s="64" t="n">
        <v>25900</v>
      </c>
      <c r="I4870" s="62"/>
      <c r="J4870" s="64" t="n">
        <v>25900</v>
      </c>
      <c r="K4870" s="62"/>
      <c r="L4870" s="68" t="b">
        <f aca="false">FALSE()</f>
        <v>0</v>
      </c>
    </row>
    <row r="4871" customFormat="false" ht="15" hidden="false" customHeight="false" outlineLevel="0" collapsed="false">
      <c r="A4871" s="62" t="n">
        <v>1</v>
      </c>
      <c r="B4871" s="21" t="s">
        <v>336</v>
      </c>
      <c r="C4871" s="62" t="s">
        <v>60</v>
      </c>
      <c r="D4871" s="62" t="s">
        <v>383</v>
      </c>
      <c r="E4871" s="62" t="s">
        <v>67</v>
      </c>
      <c r="F4871" s="62" t="s">
        <v>382</v>
      </c>
      <c r="G4871" s="63" t="s">
        <v>751</v>
      </c>
      <c r="H4871" s="64" t="n">
        <v>36737</v>
      </c>
      <c r="I4871" s="62"/>
      <c r="J4871" s="64" t="n">
        <v>36737</v>
      </c>
      <c r="K4871" s="62"/>
      <c r="L4871" s="68" t="b">
        <f aca="false">FALSE()</f>
        <v>0</v>
      </c>
    </row>
    <row r="4872" customFormat="false" ht="15" hidden="false" customHeight="false" outlineLevel="0" collapsed="false">
      <c r="A4872" s="62" t="n">
        <v>1</v>
      </c>
      <c r="B4872" s="21" t="s">
        <v>336</v>
      </c>
      <c r="C4872" s="62" t="s">
        <v>60</v>
      </c>
      <c r="D4872" s="62" t="s">
        <v>387</v>
      </c>
      <c r="E4872" s="62" t="s">
        <v>67</v>
      </c>
      <c r="F4872" s="62" t="s">
        <v>382</v>
      </c>
      <c r="G4872" s="63" t="s">
        <v>751</v>
      </c>
      <c r="H4872" s="64" t="n">
        <v>34000</v>
      </c>
      <c r="I4872" s="62"/>
      <c r="J4872" s="64" t="n">
        <v>34000</v>
      </c>
      <c r="K4872" s="62"/>
      <c r="L4872" s="68" t="b">
        <f aca="false">FALSE()</f>
        <v>0</v>
      </c>
    </row>
    <row r="4873" customFormat="false" ht="15" hidden="false" customHeight="false" outlineLevel="0" collapsed="false">
      <c r="A4873" s="62" t="n">
        <v>1</v>
      </c>
      <c r="B4873" s="21" t="s">
        <v>336</v>
      </c>
      <c r="C4873" s="62" t="s">
        <v>60</v>
      </c>
      <c r="D4873" s="62" t="s">
        <v>388</v>
      </c>
      <c r="E4873" s="62" t="s">
        <v>67</v>
      </c>
      <c r="F4873" s="62" t="s">
        <v>382</v>
      </c>
      <c r="G4873" s="63" t="s">
        <v>751</v>
      </c>
      <c r="H4873" s="64" t="n">
        <v>28626</v>
      </c>
      <c r="I4873" s="62"/>
      <c r="J4873" s="64" t="n">
        <v>28626</v>
      </c>
      <c r="K4873" s="62"/>
      <c r="L4873" s="68" t="b">
        <f aca="false">FALSE()</f>
        <v>0</v>
      </c>
    </row>
    <row r="4874" customFormat="false" ht="15" hidden="false" customHeight="false" outlineLevel="0" collapsed="false">
      <c r="A4874" s="62" t="n">
        <v>1</v>
      </c>
      <c r="B4874" s="21" t="s">
        <v>336</v>
      </c>
      <c r="C4874" s="62" t="s">
        <v>60</v>
      </c>
      <c r="D4874" s="62" t="s">
        <v>381</v>
      </c>
      <c r="E4874" s="62" t="s">
        <v>67</v>
      </c>
      <c r="F4874" s="62" t="s">
        <v>382</v>
      </c>
      <c r="G4874" s="63" t="s">
        <v>752</v>
      </c>
      <c r="H4874" s="64" t="n">
        <v>1</v>
      </c>
      <c r="I4874" s="62"/>
      <c r="J4874" s="64" t="n">
        <v>1</v>
      </c>
      <c r="K4874" s="62"/>
      <c r="L4874" s="68" t="b">
        <f aca="false">FALSE()</f>
        <v>0</v>
      </c>
    </row>
    <row r="4875" customFormat="false" ht="15" hidden="false" customHeight="false" outlineLevel="0" collapsed="false">
      <c r="A4875" s="62" t="n">
        <v>1</v>
      </c>
      <c r="B4875" s="21" t="s">
        <v>336</v>
      </c>
      <c r="C4875" s="62" t="s">
        <v>60</v>
      </c>
      <c r="D4875" s="62" t="s">
        <v>383</v>
      </c>
      <c r="E4875" s="62" t="s">
        <v>67</v>
      </c>
      <c r="F4875" s="62" t="s">
        <v>382</v>
      </c>
      <c r="G4875" s="63" t="s">
        <v>752</v>
      </c>
      <c r="H4875" s="64" t="n">
        <v>3</v>
      </c>
      <c r="I4875" s="62"/>
      <c r="J4875" s="64" t="n">
        <v>3</v>
      </c>
      <c r="K4875" s="62"/>
      <c r="L4875" s="68" t="b">
        <f aca="false">FALSE()</f>
        <v>0</v>
      </c>
    </row>
    <row r="4876" customFormat="false" ht="15" hidden="false" customHeight="false" outlineLevel="0" collapsed="false">
      <c r="A4876" s="62" t="n">
        <v>1</v>
      </c>
      <c r="B4876" s="21" t="s">
        <v>336</v>
      </c>
      <c r="C4876" s="62" t="s">
        <v>60</v>
      </c>
      <c r="D4876" s="62" t="s">
        <v>387</v>
      </c>
      <c r="E4876" s="62" t="s">
        <v>67</v>
      </c>
      <c r="F4876" s="62" t="s">
        <v>382</v>
      </c>
      <c r="G4876" s="63" t="s">
        <v>752</v>
      </c>
      <c r="H4876" s="64" t="n">
        <v>4</v>
      </c>
      <c r="I4876" s="62"/>
      <c r="J4876" s="64" t="n">
        <v>4</v>
      </c>
      <c r="K4876" s="62"/>
      <c r="L4876" s="68" t="b">
        <f aca="false">FALSE()</f>
        <v>0</v>
      </c>
    </row>
    <row r="4877" customFormat="false" ht="15" hidden="false" customHeight="false" outlineLevel="0" collapsed="false">
      <c r="A4877" s="62" t="n">
        <v>1</v>
      </c>
      <c r="B4877" s="21" t="s">
        <v>336</v>
      </c>
      <c r="C4877" s="62" t="s">
        <v>60</v>
      </c>
      <c r="D4877" s="62" t="s">
        <v>388</v>
      </c>
      <c r="E4877" s="62" t="s">
        <v>67</v>
      </c>
      <c r="F4877" s="62" t="s">
        <v>382</v>
      </c>
      <c r="G4877" s="63" t="s">
        <v>752</v>
      </c>
      <c r="H4877" s="64" t="n">
        <v>2</v>
      </c>
      <c r="I4877" s="62"/>
      <c r="J4877" s="64" t="n">
        <v>2</v>
      </c>
      <c r="K4877" s="62"/>
      <c r="L4877" s="68" t="b">
        <f aca="false">FALSE()</f>
        <v>0</v>
      </c>
    </row>
    <row r="4878" customFormat="false" ht="15" hidden="false" customHeight="false" outlineLevel="0" collapsed="false">
      <c r="A4878" s="62" t="n">
        <v>1</v>
      </c>
      <c r="B4878" s="21" t="s">
        <v>336</v>
      </c>
      <c r="C4878" s="62" t="s">
        <v>60</v>
      </c>
      <c r="D4878" s="62" t="s">
        <v>381</v>
      </c>
      <c r="E4878" s="62" t="s">
        <v>67</v>
      </c>
      <c r="F4878" s="62" t="s">
        <v>382</v>
      </c>
      <c r="G4878" s="63" t="s">
        <v>753</v>
      </c>
      <c r="H4878" s="64" t="n">
        <v>243.325</v>
      </c>
      <c r="I4878" s="62"/>
      <c r="J4878" s="64" t="n">
        <v>243.325</v>
      </c>
      <c r="K4878" s="62"/>
      <c r="L4878" s="68" t="b">
        <f aca="false">FALSE()</f>
        <v>0</v>
      </c>
    </row>
    <row r="4879" customFormat="false" ht="15" hidden="false" customHeight="false" outlineLevel="0" collapsed="false">
      <c r="A4879" s="62" t="n">
        <v>1</v>
      </c>
      <c r="B4879" s="21" t="s">
        <v>336</v>
      </c>
      <c r="C4879" s="62" t="s">
        <v>60</v>
      </c>
      <c r="D4879" s="62" t="s">
        <v>383</v>
      </c>
      <c r="E4879" s="62" t="s">
        <v>67</v>
      </c>
      <c r="F4879" s="62" t="s">
        <v>382</v>
      </c>
      <c r="G4879" s="63" t="s">
        <v>753</v>
      </c>
      <c r="H4879" s="64" t="n">
        <v>214.2</v>
      </c>
      <c r="I4879" s="62"/>
      <c r="J4879" s="64" t="n">
        <v>214.2</v>
      </c>
      <c r="K4879" s="62"/>
      <c r="L4879" s="68" t="b">
        <f aca="false">FALSE()</f>
        <v>0</v>
      </c>
    </row>
    <row r="4880" customFormat="false" ht="15" hidden="false" customHeight="false" outlineLevel="0" collapsed="false">
      <c r="A4880" s="62" t="n">
        <v>1</v>
      </c>
      <c r="B4880" s="21" t="s">
        <v>336</v>
      </c>
      <c r="C4880" s="62" t="s">
        <v>60</v>
      </c>
      <c r="D4880" s="62" t="s">
        <v>387</v>
      </c>
      <c r="E4880" s="62" t="s">
        <v>67</v>
      </c>
      <c r="F4880" s="62" t="s">
        <v>382</v>
      </c>
      <c r="G4880" s="63" t="s">
        <v>753</v>
      </c>
      <c r="H4880" s="64" t="n">
        <v>244.981</v>
      </c>
      <c r="I4880" s="62"/>
      <c r="J4880" s="64" t="n">
        <v>244.981</v>
      </c>
      <c r="K4880" s="62"/>
      <c r="L4880" s="68" t="b">
        <f aca="false">FALSE()</f>
        <v>0</v>
      </c>
    </row>
    <row r="4881" customFormat="false" ht="15" hidden="false" customHeight="false" outlineLevel="0" collapsed="false">
      <c r="A4881" s="62" t="n">
        <v>1</v>
      </c>
      <c r="B4881" s="21" t="s">
        <v>336</v>
      </c>
      <c r="C4881" s="62" t="s">
        <v>60</v>
      </c>
      <c r="D4881" s="62" t="s">
        <v>388</v>
      </c>
      <c r="E4881" s="62" t="s">
        <v>67</v>
      </c>
      <c r="F4881" s="62" t="s">
        <v>382</v>
      </c>
      <c r="G4881" s="63" t="s">
        <v>753</v>
      </c>
      <c r="H4881" s="64" t="n">
        <v>168</v>
      </c>
      <c r="I4881" s="62"/>
      <c r="J4881" s="64" t="n">
        <v>168</v>
      </c>
      <c r="K4881" s="62"/>
      <c r="L4881" s="68" t="b">
        <f aca="false">FALSE()</f>
        <v>0</v>
      </c>
    </row>
    <row r="4882" customFormat="false" ht="15" hidden="false" customHeight="false" outlineLevel="0" collapsed="false">
      <c r="A4882" s="62" t="n">
        <v>1</v>
      </c>
      <c r="B4882" s="21" t="s">
        <v>336</v>
      </c>
      <c r="C4882" s="62" t="s">
        <v>60</v>
      </c>
      <c r="D4882" s="62" t="s">
        <v>381</v>
      </c>
      <c r="E4882" s="62" t="s">
        <v>67</v>
      </c>
      <c r="F4882" s="62" t="s">
        <v>382</v>
      </c>
      <c r="G4882" s="63" t="s">
        <v>754</v>
      </c>
      <c r="H4882" s="64" t="n">
        <v>243.325</v>
      </c>
      <c r="I4882" s="62"/>
      <c r="J4882" s="64" t="n">
        <v>243.325</v>
      </c>
      <c r="K4882" s="62"/>
      <c r="L4882" s="68" t="b">
        <f aca="false">FALSE()</f>
        <v>0</v>
      </c>
    </row>
    <row r="4883" customFormat="false" ht="15" hidden="false" customHeight="false" outlineLevel="0" collapsed="false">
      <c r="A4883" s="62" t="n">
        <v>1</v>
      </c>
      <c r="B4883" s="21" t="s">
        <v>336</v>
      </c>
      <c r="C4883" s="62" t="s">
        <v>60</v>
      </c>
      <c r="D4883" s="62" t="s">
        <v>383</v>
      </c>
      <c r="E4883" s="62" t="s">
        <v>67</v>
      </c>
      <c r="F4883" s="62" t="s">
        <v>382</v>
      </c>
      <c r="G4883" s="63" t="s">
        <v>754</v>
      </c>
      <c r="H4883" s="64" t="n">
        <v>220.744</v>
      </c>
      <c r="I4883" s="62"/>
      <c r="J4883" s="64" t="n">
        <v>220.744</v>
      </c>
      <c r="K4883" s="62"/>
      <c r="L4883" s="68" t="b">
        <f aca="false">FALSE()</f>
        <v>0</v>
      </c>
    </row>
    <row r="4884" customFormat="false" ht="15" hidden="false" customHeight="false" outlineLevel="0" collapsed="false">
      <c r="A4884" s="62" t="n">
        <v>1</v>
      </c>
      <c r="B4884" s="21" t="s">
        <v>336</v>
      </c>
      <c r="C4884" s="62" t="s">
        <v>60</v>
      </c>
      <c r="D4884" s="62" t="s">
        <v>387</v>
      </c>
      <c r="E4884" s="62" t="s">
        <v>67</v>
      </c>
      <c r="F4884" s="62" t="s">
        <v>382</v>
      </c>
      <c r="G4884" s="63" t="s">
        <v>754</v>
      </c>
      <c r="H4884" s="64" t="n">
        <v>244.981</v>
      </c>
      <c r="I4884" s="62"/>
      <c r="J4884" s="64" t="n">
        <v>244.981</v>
      </c>
      <c r="K4884" s="62"/>
      <c r="L4884" s="68" t="b">
        <f aca="false">FALSE()</f>
        <v>0</v>
      </c>
    </row>
    <row r="4885" customFormat="false" ht="15" hidden="false" customHeight="false" outlineLevel="0" collapsed="false">
      <c r="A4885" s="62" t="n">
        <v>1</v>
      </c>
      <c r="B4885" s="21" t="s">
        <v>336</v>
      </c>
      <c r="C4885" s="62" t="s">
        <v>60</v>
      </c>
      <c r="D4885" s="62" t="s">
        <v>388</v>
      </c>
      <c r="E4885" s="62" t="s">
        <v>67</v>
      </c>
      <c r="F4885" s="62" t="s">
        <v>382</v>
      </c>
      <c r="G4885" s="63" t="s">
        <v>754</v>
      </c>
      <c r="H4885" s="64" t="n">
        <v>280.186</v>
      </c>
      <c r="I4885" s="62"/>
      <c r="J4885" s="64" t="n">
        <v>280.186</v>
      </c>
      <c r="K4885" s="62"/>
      <c r="L4885" s="68" t="b">
        <f aca="false">FALSE()</f>
        <v>0</v>
      </c>
    </row>
    <row r="4886" customFormat="false" ht="15" hidden="false" customHeight="false" outlineLevel="0" collapsed="false">
      <c r="A4886" s="62" t="n">
        <v>1</v>
      </c>
      <c r="B4886" s="21" t="s">
        <v>336</v>
      </c>
      <c r="C4886" s="62" t="s">
        <v>60</v>
      </c>
      <c r="D4886" s="62" t="s">
        <v>381</v>
      </c>
      <c r="E4886" s="62" t="s">
        <v>67</v>
      </c>
      <c r="F4886" s="62" t="s">
        <v>92</v>
      </c>
      <c r="G4886" s="63" t="s">
        <v>479</v>
      </c>
      <c r="H4886" s="64" t="n">
        <v>0.160940985610149</v>
      </c>
      <c r="I4886" s="62" t="s">
        <v>878</v>
      </c>
      <c r="J4886" s="64" t="n">
        <v>16.0940985610149</v>
      </c>
      <c r="K4886" s="62" t="s">
        <v>42</v>
      </c>
      <c r="L4886" s="68" t="b">
        <f aca="false">TRUE()</f>
        <v>1</v>
      </c>
    </row>
    <row r="4887" customFormat="false" ht="15" hidden="false" customHeight="false" outlineLevel="0" collapsed="false">
      <c r="A4887" s="62" t="n">
        <v>1</v>
      </c>
      <c r="B4887" s="21" t="s">
        <v>336</v>
      </c>
      <c r="C4887" s="62" t="s">
        <v>60</v>
      </c>
      <c r="D4887" s="62" t="s">
        <v>383</v>
      </c>
      <c r="E4887" s="62" t="s">
        <v>67</v>
      </c>
      <c r="F4887" s="62" t="s">
        <v>92</v>
      </c>
      <c r="G4887" s="63" t="s">
        <v>479</v>
      </c>
      <c r="H4887" s="64" t="n">
        <v>0.125379917789238</v>
      </c>
      <c r="I4887" s="62" t="s">
        <v>878</v>
      </c>
      <c r="J4887" s="64" t="n">
        <v>12.5379917789238</v>
      </c>
      <c r="K4887" s="62" t="s">
        <v>42</v>
      </c>
      <c r="L4887" s="68" t="b">
        <f aca="false">TRUE()</f>
        <v>1</v>
      </c>
    </row>
    <row r="4888" customFormat="false" ht="15" hidden="false" customHeight="false" outlineLevel="0" collapsed="false">
      <c r="A4888" s="62" t="n">
        <v>1</v>
      </c>
      <c r="B4888" s="21" t="s">
        <v>336</v>
      </c>
      <c r="C4888" s="62" t="s">
        <v>60</v>
      </c>
      <c r="D4888" s="62" t="s">
        <v>384</v>
      </c>
      <c r="E4888" s="62" t="s">
        <v>67</v>
      </c>
      <c r="F4888" s="62" t="s">
        <v>92</v>
      </c>
      <c r="G4888" s="63" t="s">
        <v>479</v>
      </c>
      <c r="H4888" s="64" t="n">
        <v>0.135255784877575</v>
      </c>
      <c r="I4888" s="62" t="s">
        <v>878</v>
      </c>
      <c r="J4888" s="64" t="n">
        <v>13.5255784877575</v>
      </c>
      <c r="K4888" s="62" t="s">
        <v>42</v>
      </c>
      <c r="L4888" s="68" t="b">
        <f aca="false">TRUE()</f>
        <v>1</v>
      </c>
    </row>
    <row r="4889" customFormat="false" ht="15" hidden="false" customHeight="false" outlineLevel="0" collapsed="false">
      <c r="A4889" s="62" t="n">
        <v>1</v>
      </c>
      <c r="B4889" s="21" t="s">
        <v>336</v>
      </c>
      <c r="C4889" s="62" t="s">
        <v>60</v>
      </c>
      <c r="D4889" s="62" t="s">
        <v>385</v>
      </c>
      <c r="E4889" s="62" t="s">
        <v>67</v>
      </c>
      <c r="F4889" s="62" t="s">
        <v>92</v>
      </c>
      <c r="G4889" s="63" t="s">
        <v>479</v>
      </c>
      <c r="H4889" s="64" t="n">
        <v>0.138505345208318</v>
      </c>
      <c r="I4889" s="62" t="s">
        <v>878</v>
      </c>
      <c r="J4889" s="64" t="n">
        <v>13.8505345208318</v>
      </c>
      <c r="K4889" s="62" t="s">
        <v>42</v>
      </c>
      <c r="L4889" s="68" t="b">
        <f aca="false">TRUE()</f>
        <v>1</v>
      </c>
    </row>
    <row r="4890" customFormat="false" ht="15" hidden="false" customHeight="false" outlineLevel="0" collapsed="false">
      <c r="A4890" s="62" t="n">
        <v>1</v>
      </c>
      <c r="B4890" s="21" t="s">
        <v>336</v>
      </c>
      <c r="C4890" s="62" t="s">
        <v>60</v>
      </c>
      <c r="D4890" s="62" t="s">
        <v>386</v>
      </c>
      <c r="E4890" s="62" t="s">
        <v>67</v>
      </c>
      <c r="F4890" s="62" t="s">
        <v>92</v>
      </c>
      <c r="G4890" s="63" t="s">
        <v>479</v>
      </c>
      <c r="H4890" s="64" t="n">
        <v>0.189818807574715</v>
      </c>
      <c r="I4890" s="62" t="s">
        <v>878</v>
      </c>
      <c r="J4890" s="64" t="n">
        <v>18.9818807574715</v>
      </c>
      <c r="K4890" s="62" t="s">
        <v>42</v>
      </c>
      <c r="L4890" s="68" t="b">
        <f aca="false">TRUE()</f>
        <v>1</v>
      </c>
    </row>
    <row r="4891" customFormat="false" ht="15" hidden="false" customHeight="false" outlineLevel="0" collapsed="false">
      <c r="A4891" s="62" t="n">
        <v>1</v>
      </c>
      <c r="B4891" s="21" t="s">
        <v>336</v>
      </c>
      <c r="C4891" s="62" t="s">
        <v>60</v>
      </c>
      <c r="D4891" s="62" t="s">
        <v>387</v>
      </c>
      <c r="E4891" s="62" t="s">
        <v>67</v>
      </c>
      <c r="F4891" s="62" t="s">
        <v>92</v>
      </c>
      <c r="G4891" s="63" t="s">
        <v>479</v>
      </c>
      <c r="H4891" s="64" t="n">
        <v>0.0772450380360393</v>
      </c>
      <c r="I4891" s="62" t="s">
        <v>878</v>
      </c>
      <c r="J4891" s="64" t="n">
        <v>7.72450380360393</v>
      </c>
      <c r="K4891" s="62" t="s">
        <v>42</v>
      </c>
      <c r="L4891" s="68" t="b">
        <f aca="false">TRUE()</f>
        <v>1</v>
      </c>
    </row>
    <row r="4892" customFormat="false" ht="15" hidden="false" customHeight="false" outlineLevel="0" collapsed="false">
      <c r="A4892" s="62" t="n">
        <v>1</v>
      </c>
      <c r="B4892" s="21" t="s">
        <v>336</v>
      </c>
      <c r="C4892" s="62" t="s">
        <v>60</v>
      </c>
      <c r="D4892" s="62" t="s">
        <v>388</v>
      </c>
      <c r="E4892" s="62" t="s">
        <v>67</v>
      </c>
      <c r="F4892" s="62" t="s">
        <v>92</v>
      </c>
      <c r="G4892" s="63" t="s">
        <v>479</v>
      </c>
      <c r="H4892" s="64" t="n">
        <v>0.172854120903965</v>
      </c>
      <c r="I4892" s="62" t="s">
        <v>878</v>
      </c>
      <c r="J4892" s="64" t="n">
        <v>17.2854120903965</v>
      </c>
      <c r="K4892" s="62" t="s">
        <v>42</v>
      </c>
      <c r="L4892" s="68" t="b">
        <f aca="false">TRUE()</f>
        <v>1</v>
      </c>
    </row>
    <row r="4893" customFormat="false" ht="15" hidden="false" customHeight="false" outlineLevel="0" collapsed="false">
      <c r="A4893" s="62" t="n">
        <v>1</v>
      </c>
      <c r="B4893" s="21" t="s">
        <v>336</v>
      </c>
      <c r="C4893" s="62" t="s">
        <v>60</v>
      </c>
      <c r="D4893" s="62" t="s">
        <v>381</v>
      </c>
      <c r="E4893" s="62" t="s">
        <v>67</v>
      </c>
      <c r="F4893" s="62" t="s">
        <v>94</v>
      </c>
      <c r="G4893" s="63" t="s">
        <v>479</v>
      </c>
      <c r="H4893" s="64" t="n">
        <v>0.279521290058826</v>
      </c>
      <c r="I4893" s="62" t="s">
        <v>878</v>
      </c>
      <c r="J4893" s="64" t="n">
        <v>27.9521290058826</v>
      </c>
      <c r="K4893" s="62" t="s">
        <v>42</v>
      </c>
      <c r="L4893" s="68" t="b">
        <f aca="false">TRUE()</f>
        <v>1</v>
      </c>
    </row>
    <row r="4894" customFormat="false" ht="15" hidden="false" customHeight="false" outlineLevel="0" collapsed="false">
      <c r="A4894" s="62" t="n">
        <v>1</v>
      </c>
      <c r="B4894" s="21" t="s">
        <v>336</v>
      </c>
      <c r="C4894" s="62" t="s">
        <v>60</v>
      </c>
      <c r="D4894" s="62" t="s">
        <v>383</v>
      </c>
      <c r="E4894" s="62" t="s">
        <v>67</v>
      </c>
      <c r="F4894" s="62" t="s">
        <v>94</v>
      </c>
      <c r="G4894" s="63" t="s">
        <v>479</v>
      </c>
      <c r="H4894" s="64" t="n">
        <v>0.246063641093613</v>
      </c>
      <c r="I4894" s="62" t="s">
        <v>878</v>
      </c>
      <c r="J4894" s="64" t="n">
        <v>24.6063641093613</v>
      </c>
      <c r="K4894" s="62" t="s">
        <v>42</v>
      </c>
      <c r="L4894" s="68" t="b">
        <f aca="false">TRUE()</f>
        <v>1</v>
      </c>
    </row>
    <row r="4895" customFormat="false" ht="15" hidden="false" customHeight="false" outlineLevel="0" collapsed="false">
      <c r="A4895" s="62" t="n">
        <v>1</v>
      </c>
      <c r="B4895" s="21" t="s">
        <v>336</v>
      </c>
      <c r="C4895" s="62" t="s">
        <v>60</v>
      </c>
      <c r="D4895" s="62" t="s">
        <v>384</v>
      </c>
      <c r="E4895" s="62" t="s">
        <v>67</v>
      </c>
      <c r="F4895" s="62" t="s">
        <v>94</v>
      </c>
      <c r="G4895" s="63" t="s">
        <v>479</v>
      </c>
      <c r="H4895" s="64" t="n">
        <v>0</v>
      </c>
      <c r="I4895" s="62" t="s">
        <v>878</v>
      </c>
      <c r="J4895" s="64" t="n">
        <v>0</v>
      </c>
      <c r="K4895" s="62" t="s">
        <v>42</v>
      </c>
      <c r="L4895" s="68" t="b">
        <f aca="false">TRUE()</f>
        <v>1</v>
      </c>
    </row>
    <row r="4896" customFormat="false" ht="15" hidden="false" customHeight="false" outlineLevel="0" collapsed="false">
      <c r="A4896" s="62" t="n">
        <v>1</v>
      </c>
      <c r="B4896" s="21" t="s">
        <v>336</v>
      </c>
      <c r="C4896" s="62" t="s">
        <v>60</v>
      </c>
      <c r="D4896" s="62" t="s">
        <v>385</v>
      </c>
      <c r="E4896" s="62" t="s">
        <v>67</v>
      </c>
      <c r="F4896" s="62" t="s">
        <v>94</v>
      </c>
      <c r="G4896" s="63" t="s">
        <v>479</v>
      </c>
      <c r="H4896" s="64" t="n">
        <v>0</v>
      </c>
      <c r="I4896" s="62" t="s">
        <v>878</v>
      </c>
      <c r="J4896" s="64" t="n">
        <v>0</v>
      </c>
      <c r="K4896" s="62" t="s">
        <v>42</v>
      </c>
      <c r="L4896" s="68" t="b">
        <f aca="false">TRUE()</f>
        <v>1</v>
      </c>
    </row>
    <row r="4897" customFormat="false" ht="15" hidden="false" customHeight="false" outlineLevel="0" collapsed="false">
      <c r="A4897" s="62" t="n">
        <v>1</v>
      </c>
      <c r="B4897" s="21" t="s">
        <v>336</v>
      </c>
      <c r="C4897" s="62" t="s">
        <v>60</v>
      </c>
      <c r="D4897" s="62" t="s">
        <v>386</v>
      </c>
      <c r="E4897" s="62" t="s">
        <v>67</v>
      </c>
      <c r="F4897" s="62" t="s">
        <v>94</v>
      </c>
      <c r="G4897" s="63" t="s">
        <v>479</v>
      </c>
      <c r="H4897" s="64" t="n">
        <v>0</v>
      </c>
      <c r="I4897" s="62" t="s">
        <v>878</v>
      </c>
      <c r="J4897" s="64" t="n">
        <v>0</v>
      </c>
      <c r="K4897" s="62" t="s">
        <v>42</v>
      </c>
      <c r="L4897" s="68" t="b">
        <f aca="false">TRUE()</f>
        <v>1</v>
      </c>
    </row>
    <row r="4898" customFormat="false" ht="15" hidden="false" customHeight="false" outlineLevel="0" collapsed="false">
      <c r="A4898" s="62" t="n">
        <v>1</v>
      </c>
      <c r="B4898" s="21" t="s">
        <v>336</v>
      </c>
      <c r="C4898" s="62" t="s">
        <v>60</v>
      </c>
      <c r="D4898" s="62" t="s">
        <v>387</v>
      </c>
      <c r="E4898" s="62" t="s">
        <v>67</v>
      </c>
      <c r="F4898" s="62" t="s">
        <v>94</v>
      </c>
      <c r="G4898" s="63" t="s">
        <v>479</v>
      </c>
      <c r="H4898" s="64" t="n">
        <v>0.281423977793747</v>
      </c>
      <c r="I4898" s="62" t="s">
        <v>878</v>
      </c>
      <c r="J4898" s="64" t="n">
        <v>28.1423977793747</v>
      </c>
      <c r="K4898" s="62" t="s">
        <v>42</v>
      </c>
      <c r="L4898" s="68" t="b">
        <f aca="false">TRUE()</f>
        <v>1</v>
      </c>
    </row>
    <row r="4899" customFormat="false" ht="15" hidden="false" customHeight="false" outlineLevel="0" collapsed="false">
      <c r="A4899" s="62" t="n">
        <v>1</v>
      </c>
      <c r="B4899" s="21" t="s">
        <v>336</v>
      </c>
      <c r="C4899" s="62" t="s">
        <v>60</v>
      </c>
      <c r="D4899" s="62" t="s">
        <v>388</v>
      </c>
      <c r="E4899" s="62" t="s">
        <v>67</v>
      </c>
      <c r="F4899" s="62" t="s">
        <v>94</v>
      </c>
      <c r="G4899" s="63" t="s">
        <v>479</v>
      </c>
      <c r="H4899" s="64" t="n">
        <v>0.192991091053814</v>
      </c>
      <c r="I4899" s="62" t="s">
        <v>878</v>
      </c>
      <c r="J4899" s="64" t="n">
        <v>19.2991091053814</v>
      </c>
      <c r="K4899" s="62" t="s">
        <v>42</v>
      </c>
      <c r="L4899" s="68" t="b">
        <f aca="false">TRUE()</f>
        <v>1</v>
      </c>
    </row>
    <row r="4900" customFormat="false" ht="15" hidden="false" customHeight="false" outlineLevel="0" collapsed="false">
      <c r="A4900" s="62" t="n">
        <v>1</v>
      </c>
      <c r="B4900" s="21" t="s">
        <v>336</v>
      </c>
      <c r="C4900" s="62" t="s">
        <v>60</v>
      </c>
      <c r="D4900" s="62" t="s">
        <v>381</v>
      </c>
      <c r="E4900" s="62" t="s">
        <v>67</v>
      </c>
      <c r="F4900" s="62" t="s">
        <v>95</v>
      </c>
      <c r="G4900" s="63" t="s">
        <v>479</v>
      </c>
      <c r="H4900" s="64" t="n">
        <v>0</v>
      </c>
      <c r="I4900" s="62" t="s">
        <v>878</v>
      </c>
      <c r="J4900" s="64" t="n">
        <v>0</v>
      </c>
      <c r="K4900" s="62" t="s">
        <v>42</v>
      </c>
      <c r="L4900" s="68" t="b">
        <f aca="false">TRUE()</f>
        <v>1</v>
      </c>
    </row>
    <row r="4901" customFormat="false" ht="15" hidden="false" customHeight="false" outlineLevel="0" collapsed="false">
      <c r="A4901" s="62" t="n">
        <v>1</v>
      </c>
      <c r="B4901" s="21" t="s">
        <v>336</v>
      </c>
      <c r="C4901" s="62" t="s">
        <v>60</v>
      </c>
      <c r="D4901" s="62" t="s">
        <v>383</v>
      </c>
      <c r="E4901" s="62" t="s">
        <v>67</v>
      </c>
      <c r="F4901" s="62" t="s">
        <v>95</v>
      </c>
      <c r="G4901" s="63" t="s">
        <v>479</v>
      </c>
      <c r="H4901" s="64" t="n">
        <v>0</v>
      </c>
      <c r="I4901" s="62" t="s">
        <v>878</v>
      </c>
      <c r="J4901" s="64" t="n">
        <v>0</v>
      </c>
      <c r="K4901" s="62" t="s">
        <v>42</v>
      </c>
      <c r="L4901" s="68" t="b">
        <f aca="false">TRUE()</f>
        <v>1</v>
      </c>
    </row>
    <row r="4902" customFormat="false" ht="15" hidden="false" customHeight="false" outlineLevel="0" collapsed="false">
      <c r="A4902" s="62" t="n">
        <v>1</v>
      </c>
      <c r="B4902" s="21" t="s">
        <v>336</v>
      </c>
      <c r="C4902" s="62" t="s">
        <v>60</v>
      </c>
      <c r="D4902" s="62" t="s">
        <v>384</v>
      </c>
      <c r="E4902" s="62" t="s">
        <v>67</v>
      </c>
      <c r="F4902" s="62" t="s">
        <v>95</v>
      </c>
      <c r="G4902" s="63" t="s">
        <v>479</v>
      </c>
      <c r="H4902" s="64" t="n">
        <v>0</v>
      </c>
      <c r="I4902" s="62" t="s">
        <v>878</v>
      </c>
      <c r="J4902" s="64" t="n">
        <v>0</v>
      </c>
      <c r="K4902" s="62" t="s">
        <v>42</v>
      </c>
      <c r="L4902" s="68" t="b">
        <f aca="false">TRUE()</f>
        <v>1</v>
      </c>
    </row>
    <row r="4903" customFormat="false" ht="15" hidden="false" customHeight="false" outlineLevel="0" collapsed="false">
      <c r="A4903" s="62" t="n">
        <v>1</v>
      </c>
      <c r="B4903" s="21" t="s">
        <v>336</v>
      </c>
      <c r="C4903" s="62" t="s">
        <v>60</v>
      </c>
      <c r="D4903" s="62" t="s">
        <v>385</v>
      </c>
      <c r="E4903" s="62" t="s">
        <v>67</v>
      </c>
      <c r="F4903" s="62" t="s">
        <v>95</v>
      </c>
      <c r="G4903" s="63" t="s">
        <v>479</v>
      </c>
      <c r="H4903" s="64" t="n">
        <v>0</v>
      </c>
      <c r="I4903" s="62" t="s">
        <v>878</v>
      </c>
      <c r="J4903" s="64" t="n">
        <v>0</v>
      </c>
      <c r="K4903" s="62" t="s">
        <v>42</v>
      </c>
      <c r="L4903" s="68" t="b">
        <f aca="false">TRUE()</f>
        <v>1</v>
      </c>
    </row>
    <row r="4904" customFormat="false" ht="15" hidden="false" customHeight="false" outlineLevel="0" collapsed="false">
      <c r="A4904" s="62" t="n">
        <v>1</v>
      </c>
      <c r="B4904" s="21" t="s">
        <v>336</v>
      </c>
      <c r="C4904" s="62" t="s">
        <v>60</v>
      </c>
      <c r="D4904" s="62" t="s">
        <v>386</v>
      </c>
      <c r="E4904" s="62" t="s">
        <v>67</v>
      </c>
      <c r="F4904" s="62" t="s">
        <v>95</v>
      </c>
      <c r="G4904" s="63" t="s">
        <v>479</v>
      </c>
      <c r="H4904" s="64" t="n">
        <v>0</v>
      </c>
      <c r="I4904" s="62" t="s">
        <v>878</v>
      </c>
      <c r="J4904" s="64" t="n">
        <v>0</v>
      </c>
      <c r="K4904" s="62" t="s">
        <v>42</v>
      </c>
      <c r="L4904" s="68" t="b">
        <f aca="false">TRUE()</f>
        <v>1</v>
      </c>
    </row>
    <row r="4905" customFormat="false" ht="15" hidden="false" customHeight="false" outlineLevel="0" collapsed="false">
      <c r="A4905" s="62" t="n">
        <v>1</v>
      </c>
      <c r="B4905" s="21" t="s">
        <v>336</v>
      </c>
      <c r="C4905" s="62" t="s">
        <v>60</v>
      </c>
      <c r="D4905" s="62" t="s">
        <v>387</v>
      </c>
      <c r="E4905" s="62" t="s">
        <v>67</v>
      </c>
      <c r="F4905" s="62" t="s">
        <v>95</v>
      </c>
      <c r="G4905" s="63" t="s">
        <v>479</v>
      </c>
      <c r="H4905" s="64" t="n">
        <v>0</v>
      </c>
      <c r="I4905" s="62" t="s">
        <v>878</v>
      </c>
      <c r="J4905" s="64" t="n">
        <v>0</v>
      </c>
      <c r="K4905" s="62" t="s">
        <v>42</v>
      </c>
      <c r="L4905" s="68" t="b">
        <f aca="false">TRUE()</f>
        <v>1</v>
      </c>
    </row>
    <row r="4906" customFormat="false" ht="15" hidden="false" customHeight="false" outlineLevel="0" collapsed="false">
      <c r="A4906" s="62" t="n">
        <v>1</v>
      </c>
      <c r="B4906" s="21" t="s">
        <v>336</v>
      </c>
      <c r="C4906" s="62" t="s">
        <v>60</v>
      </c>
      <c r="D4906" s="62" t="s">
        <v>388</v>
      </c>
      <c r="E4906" s="62" t="s">
        <v>67</v>
      </c>
      <c r="F4906" s="62" t="s">
        <v>95</v>
      </c>
      <c r="G4906" s="63" t="s">
        <v>479</v>
      </c>
      <c r="H4906" s="64" t="n">
        <v>0</v>
      </c>
      <c r="I4906" s="62" t="s">
        <v>878</v>
      </c>
      <c r="J4906" s="64" t="n">
        <v>0</v>
      </c>
      <c r="K4906" s="62" t="s">
        <v>42</v>
      </c>
      <c r="L4906" s="68" t="b">
        <f aca="false">TRUE()</f>
        <v>1</v>
      </c>
    </row>
    <row r="4907" customFormat="false" ht="15" hidden="false" customHeight="false" outlineLevel="0" collapsed="false">
      <c r="A4907" s="62" t="n">
        <v>1</v>
      </c>
      <c r="B4907" s="21" t="s">
        <v>336</v>
      </c>
      <c r="C4907" s="62" t="s">
        <v>60</v>
      </c>
      <c r="D4907" s="62" t="s">
        <v>381</v>
      </c>
      <c r="E4907" s="62" t="s">
        <v>67</v>
      </c>
      <c r="F4907" s="62" t="s">
        <v>97</v>
      </c>
      <c r="G4907" s="63" t="s">
        <v>479</v>
      </c>
      <c r="H4907" s="64" t="n">
        <v>0</v>
      </c>
      <c r="I4907" s="62" t="s">
        <v>878</v>
      </c>
      <c r="J4907" s="64" t="n">
        <v>0</v>
      </c>
      <c r="K4907" s="62" t="s">
        <v>42</v>
      </c>
      <c r="L4907" s="68" t="b">
        <f aca="false">TRUE()</f>
        <v>1</v>
      </c>
    </row>
    <row r="4908" customFormat="false" ht="15" hidden="false" customHeight="false" outlineLevel="0" collapsed="false">
      <c r="A4908" s="62" t="n">
        <v>1</v>
      </c>
      <c r="B4908" s="21" t="s">
        <v>336</v>
      </c>
      <c r="C4908" s="62" t="s">
        <v>60</v>
      </c>
      <c r="D4908" s="62" t="s">
        <v>383</v>
      </c>
      <c r="E4908" s="62" t="s">
        <v>67</v>
      </c>
      <c r="F4908" s="62" t="s">
        <v>97</v>
      </c>
      <c r="G4908" s="63" t="s">
        <v>479</v>
      </c>
      <c r="H4908" s="64" t="n">
        <v>0</v>
      </c>
      <c r="I4908" s="62" t="s">
        <v>878</v>
      </c>
      <c r="J4908" s="64" t="n">
        <v>0</v>
      </c>
      <c r="K4908" s="62" t="s">
        <v>42</v>
      </c>
      <c r="L4908" s="68" t="b">
        <f aca="false">TRUE()</f>
        <v>1</v>
      </c>
    </row>
    <row r="4909" customFormat="false" ht="15" hidden="false" customHeight="false" outlineLevel="0" collapsed="false">
      <c r="A4909" s="62" t="n">
        <v>1</v>
      </c>
      <c r="B4909" s="21" t="s">
        <v>336</v>
      </c>
      <c r="C4909" s="62" t="s">
        <v>60</v>
      </c>
      <c r="D4909" s="62" t="s">
        <v>384</v>
      </c>
      <c r="E4909" s="62" t="s">
        <v>67</v>
      </c>
      <c r="F4909" s="62" t="s">
        <v>97</v>
      </c>
      <c r="G4909" s="63" t="s">
        <v>479</v>
      </c>
      <c r="H4909" s="64" t="n">
        <v>0</v>
      </c>
      <c r="I4909" s="62" t="s">
        <v>878</v>
      </c>
      <c r="J4909" s="64" t="n">
        <v>0</v>
      </c>
      <c r="K4909" s="62" t="s">
        <v>42</v>
      </c>
      <c r="L4909" s="68" t="b">
        <f aca="false">TRUE()</f>
        <v>1</v>
      </c>
    </row>
    <row r="4910" customFormat="false" ht="15" hidden="false" customHeight="false" outlineLevel="0" collapsed="false">
      <c r="A4910" s="62" t="n">
        <v>1</v>
      </c>
      <c r="B4910" s="21" t="s">
        <v>336</v>
      </c>
      <c r="C4910" s="62" t="s">
        <v>60</v>
      </c>
      <c r="D4910" s="62" t="s">
        <v>385</v>
      </c>
      <c r="E4910" s="62" t="s">
        <v>67</v>
      </c>
      <c r="F4910" s="62" t="s">
        <v>97</v>
      </c>
      <c r="G4910" s="63" t="s">
        <v>479</v>
      </c>
      <c r="H4910" s="64" t="n">
        <v>0</v>
      </c>
      <c r="I4910" s="62" t="s">
        <v>878</v>
      </c>
      <c r="J4910" s="64" t="n">
        <v>0</v>
      </c>
      <c r="K4910" s="62" t="s">
        <v>42</v>
      </c>
      <c r="L4910" s="68" t="b">
        <f aca="false">TRUE()</f>
        <v>1</v>
      </c>
    </row>
    <row r="4911" customFormat="false" ht="15" hidden="false" customHeight="false" outlineLevel="0" collapsed="false">
      <c r="A4911" s="62" t="n">
        <v>1</v>
      </c>
      <c r="B4911" s="21" t="s">
        <v>336</v>
      </c>
      <c r="C4911" s="62" t="s">
        <v>60</v>
      </c>
      <c r="D4911" s="62" t="s">
        <v>386</v>
      </c>
      <c r="E4911" s="62" t="s">
        <v>67</v>
      </c>
      <c r="F4911" s="62" t="s">
        <v>97</v>
      </c>
      <c r="G4911" s="63" t="s">
        <v>479</v>
      </c>
      <c r="H4911" s="64" t="n">
        <v>0</v>
      </c>
      <c r="I4911" s="62" t="s">
        <v>878</v>
      </c>
      <c r="J4911" s="64" t="n">
        <v>0</v>
      </c>
      <c r="K4911" s="62" t="s">
        <v>42</v>
      </c>
      <c r="L4911" s="68" t="b">
        <f aca="false">TRUE()</f>
        <v>1</v>
      </c>
    </row>
    <row r="4912" customFormat="false" ht="15" hidden="false" customHeight="false" outlineLevel="0" collapsed="false">
      <c r="A4912" s="62" t="n">
        <v>1</v>
      </c>
      <c r="B4912" s="21" t="s">
        <v>336</v>
      </c>
      <c r="C4912" s="62" t="s">
        <v>60</v>
      </c>
      <c r="D4912" s="62" t="s">
        <v>387</v>
      </c>
      <c r="E4912" s="62" t="s">
        <v>67</v>
      </c>
      <c r="F4912" s="62" t="s">
        <v>97</v>
      </c>
      <c r="G4912" s="63" t="s">
        <v>479</v>
      </c>
      <c r="H4912" s="64" t="n">
        <v>0</v>
      </c>
      <c r="I4912" s="62" t="s">
        <v>878</v>
      </c>
      <c r="J4912" s="64" t="n">
        <v>0</v>
      </c>
      <c r="K4912" s="62" t="s">
        <v>42</v>
      </c>
      <c r="L4912" s="68" t="b">
        <f aca="false">TRUE()</f>
        <v>1</v>
      </c>
    </row>
    <row r="4913" customFormat="false" ht="15" hidden="false" customHeight="false" outlineLevel="0" collapsed="false">
      <c r="A4913" s="62" t="n">
        <v>1</v>
      </c>
      <c r="B4913" s="21" t="s">
        <v>336</v>
      </c>
      <c r="C4913" s="62" t="s">
        <v>60</v>
      </c>
      <c r="D4913" s="62" t="s">
        <v>388</v>
      </c>
      <c r="E4913" s="62" t="s">
        <v>67</v>
      </c>
      <c r="F4913" s="62" t="s">
        <v>97</v>
      </c>
      <c r="G4913" s="63" t="s">
        <v>479</v>
      </c>
      <c r="H4913" s="64" t="n">
        <v>0</v>
      </c>
      <c r="I4913" s="62" t="s">
        <v>878</v>
      </c>
      <c r="J4913" s="64" t="n">
        <v>0</v>
      </c>
      <c r="K4913" s="62" t="s">
        <v>42</v>
      </c>
      <c r="L4913" s="68" t="b">
        <f aca="false">TRUE()</f>
        <v>1</v>
      </c>
    </row>
    <row r="4914" customFormat="false" ht="15" hidden="false" customHeight="false" outlineLevel="0" collapsed="false">
      <c r="A4914" s="62" t="n">
        <v>1</v>
      </c>
      <c r="B4914" s="21" t="s">
        <v>336</v>
      </c>
      <c r="C4914" s="62" t="s">
        <v>60</v>
      </c>
      <c r="D4914" s="62" t="s">
        <v>381</v>
      </c>
      <c r="E4914" s="62" t="s">
        <v>67</v>
      </c>
      <c r="F4914" s="62" t="s">
        <v>382</v>
      </c>
      <c r="G4914" s="63" t="s">
        <v>486</v>
      </c>
      <c r="H4914" s="64" t="n">
        <v>0.18151455646211</v>
      </c>
      <c r="I4914" s="62" t="s">
        <v>878</v>
      </c>
      <c r="J4914" s="64" t="n">
        <v>18.151455646211</v>
      </c>
      <c r="K4914" s="62" t="s">
        <v>42</v>
      </c>
      <c r="L4914" s="68" t="b">
        <f aca="false">TRUE()</f>
        <v>1</v>
      </c>
    </row>
    <row r="4915" customFormat="false" ht="15" hidden="false" customHeight="false" outlineLevel="0" collapsed="false">
      <c r="A4915" s="62" t="n">
        <v>1</v>
      </c>
      <c r="B4915" s="21" t="s">
        <v>336</v>
      </c>
      <c r="C4915" s="62" t="s">
        <v>60</v>
      </c>
      <c r="D4915" s="62" t="s">
        <v>383</v>
      </c>
      <c r="E4915" s="62" t="s">
        <v>67</v>
      </c>
      <c r="F4915" s="62" t="s">
        <v>382</v>
      </c>
      <c r="G4915" s="63" t="s">
        <v>486</v>
      </c>
      <c r="H4915" s="64" t="n">
        <v>0.146318429826501</v>
      </c>
      <c r="I4915" s="62" t="s">
        <v>878</v>
      </c>
      <c r="J4915" s="64" t="n">
        <v>14.6318429826501</v>
      </c>
      <c r="K4915" s="62" t="s">
        <v>42</v>
      </c>
      <c r="L4915" s="68" t="b">
        <f aca="false">TRUE()</f>
        <v>1</v>
      </c>
    </row>
    <row r="4916" customFormat="false" ht="15" hidden="false" customHeight="false" outlineLevel="0" collapsed="false">
      <c r="A4916" s="62" t="n">
        <v>1</v>
      </c>
      <c r="B4916" s="21" t="s">
        <v>336</v>
      </c>
      <c r="C4916" s="62" t="s">
        <v>60</v>
      </c>
      <c r="D4916" s="62" t="s">
        <v>384</v>
      </c>
      <c r="E4916" s="62" t="s">
        <v>67</v>
      </c>
      <c r="F4916" s="62" t="s">
        <v>382</v>
      </c>
      <c r="G4916" s="63" t="s">
        <v>486</v>
      </c>
      <c r="H4916" s="64" t="n">
        <v>0.111789033917084</v>
      </c>
      <c r="I4916" s="62" t="s">
        <v>878</v>
      </c>
      <c r="J4916" s="64" t="n">
        <v>11.1789033917084</v>
      </c>
      <c r="K4916" s="62" t="s">
        <v>42</v>
      </c>
      <c r="L4916" s="68" t="b">
        <f aca="false">TRUE()</f>
        <v>1</v>
      </c>
    </row>
    <row r="4917" customFormat="false" ht="15" hidden="false" customHeight="false" outlineLevel="0" collapsed="false">
      <c r="A4917" s="62" t="n">
        <v>1</v>
      </c>
      <c r="B4917" s="21" t="s">
        <v>336</v>
      </c>
      <c r="C4917" s="62" t="s">
        <v>60</v>
      </c>
      <c r="D4917" s="62" t="s">
        <v>385</v>
      </c>
      <c r="E4917" s="62" t="s">
        <v>67</v>
      </c>
      <c r="F4917" s="62" t="s">
        <v>382</v>
      </c>
      <c r="G4917" s="63" t="s">
        <v>486</v>
      </c>
      <c r="H4917" s="64" t="n">
        <v>0.114474798598852</v>
      </c>
      <c r="I4917" s="62" t="s">
        <v>878</v>
      </c>
      <c r="J4917" s="64" t="n">
        <v>11.4474798598852</v>
      </c>
      <c r="K4917" s="62" t="s">
        <v>42</v>
      </c>
      <c r="L4917" s="68" t="b">
        <f aca="false">TRUE()</f>
        <v>1</v>
      </c>
    </row>
    <row r="4918" customFormat="false" ht="15" hidden="false" customHeight="false" outlineLevel="0" collapsed="false">
      <c r="A4918" s="62" t="n">
        <v>1</v>
      </c>
      <c r="B4918" s="21" t="s">
        <v>336</v>
      </c>
      <c r="C4918" s="62" t="s">
        <v>60</v>
      </c>
      <c r="D4918" s="62" t="s">
        <v>386</v>
      </c>
      <c r="E4918" s="62" t="s">
        <v>67</v>
      </c>
      <c r="F4918" s="62" t="s">
        <v>382</v>
      </c>
      <c r="G4918" s="63" t="s">
        <v>486</v>
      </c>
      <c r="H4918" s="64" t="n">
        <v>0.156885423697603</v>
      </c>
      <c r="I4918" s="62" t="s">
        <v>878</v>
      </c>
      <c r="J4918" s="64" t="n">
        <v>15.6885423697603</v>
      </c>
      <c r="K4918" s="62" t="s">
        <v>42</v>
      </c>
      <c r="L4918" s="68" t="b">
        <f aca="false">TRUE()</f>
        <v>1</v>
      </c>
    </row>
    <row r="4919" customFormat="false" ht="15" hidden="false" customHeight="false" outlineLevel="0" collapsed="false">
      <c r="A4919" s="62" t="n">
        <v>1</v>
      </c>
      <c r="B4919" s="21" t="s">
        <v>336</v>
      </c>
      <c r="C4919" s="62" t="s">
        <v>60</v>
      </c>
      <c r="D4919" s="62" t="s">
        <v>387</v>
      </c>
      <c r="E4919" s="62" t="s">
        <v>67</v>
      </c>
      <c r="F4919" s="62" t="s">
        <v>382</v>
      </c>
      <c r="G4919" s="63" t="s">
        <v>486</v>
      </c>
      <c r="H4919" s="64" t="n">
        <v>0.112669891287293</v>
      </c>
      <c r="I4919" s="62" t="s">
        <v>878</v>
      </c>
      <c r="J4919" s="64" t="n">
        <v>11.2669891287293</v>
      </c>
      <c r="K4919" s="62" t="s">
        <v>42</v>
      </c>
      <c r="L4919" s="68" t="b">
        <f aca="false">TRUE()</f>
        <v>1</v>
      </c>
    </row>
    <row r="4920" customFormat="false" ht="15" hidden="false" customHeight="false" outlineLevel="0" collapsed="false">
      <c r="A4920" s="62" t="n">
        <v>1</v>
      </c>
      <c r="B4920" s="21" t="s">
        <v>336</v>
      </c>
      <c r="C4920" s="62" t="s">
        <v>60</v>
      </c>
      <c r="D4920" s="62" t="s">
        <v>388</v>
      </c>
      <c r="E4920" s="62" t="s">
        <v>67</v>
      </c>
      <c r="F4920" s="62" t="s">
        <v>382</v>
      </c>
      <c r="G4920" s="63" t="s">
        <v>486</v>
      </c>
      <c r="H4920" s="64" t="n">
        <v>0.176347866210556</v>
      </c>
      <c r="I4920" s="62" t="s">
        <v>878</v>
      </c>
      <c r="J4920" s="64" t="n">
        <v>17.6347866210556</v>
      </c>
      <c r="K4920" s="62" t="s">
        <v>42</v>
      </c>
      <c r="L4920" s="68" t="b">
        <f aca="false">TRUE()</f>
        <v>1</v>
      </c>
    </row>
    <row r="4921" customFormat="false" ht="15" hidden="false" customHeight="false" outlineLevel="0" collapsed="false">
      <c r="A4921" s="62" t="n">
        <v>1</v>
      </c>
      <c r="B4921" s="21" t="s">
        <v>336</v>
      </c>
      <c r="C4921" s="62" t="s">
        <v>60</v>
      </c>
      <c r="D4921" s="62" t="s">
        <v>381</v>
      </c>
      <c r="E4921" s="62" t="s">
        <v>71</v>
      </c>
      <c r="F4921" s="62" t="s">
        <v>382</v>
      </c>
      <c r="G4921" s="63" t="s">
        <v>487</v>
      </c>
      <c r="H4921" s="64" t="n">
        <v>130000</v>
      </c>
      <c r="I4921" s="62"/>
      <c r="J4921" s="64" t="n">
        <v>130000</v>
      </c>
      <c r="K4921" s="62"/>
      <c r="L4921" s="68" t="b">
        <f aca="false">FALSE()</f>
        <v>0</v>
      </c>
    </row>
    <row r="4922" customFormat="false" ht="15" hidden="false" customHeight="false" outlineLevel="0" collapsed="false">
      <c r="A4922" s="62" t="n">
        <v>1</v>
      </c>
      <c r="B4922" s="21" t="s">
        <v>336</v>
      </c>
      <c r="C4922" s="62" t="s">
        <v>60</v>
      </c>
      <c r="D4922" s="62" t="s">
        <v>383</v>
      </c>
      <c r="E4922" s="62" t="s">
        <v>71</v>
      </c>
      <c r="F4922" s="62" t="s">
        <v>382</v>
      </c>
      <c r="G4922" s="63" t="s">
        <v>487</v>
      </c>
      <c r="H4922" s="64" t="n">
        <v>200958</v>
      </c>
      <c r="I4922" s="62"/>
      <c r="J4922" s="64" t="n">
        <v>200958</v>
      </c>
      <c r="K4922" s="62"/>
      <c r="L4922" s="68" t="b">
        <f aca="false">FALSE()</f>
        <v>0</v>
      </c>
    </row>
    <row r="4923" customFormat="false" ht="15" hidden="false" customHeight="false" outlineLevel="0" collapsed="false">
      <c r="A4923" s="62" t="n">
        <v>1</v>
      </c>
      <c r="B4923" s="21" t="s">
        <v>336</v>
      </c>
      <c r="C4923" s="62" t="s">
        <v>60</v>
      </c>
      <c r="D4923" s="62" t="s">
        <v>384</v>
      </c>
      <c r="E4923" s="62" t="s">
        <v>71</v>
      </c>
      <c r="F4923" s="62" t="s">
        <v>382</v>
      </c>
      <c r="G4923" s="63" t="s">
        <v>487</v>
      </c>
      <c r="H4923" s="64" t="n">
        <v>128000</v>
      </c>
      <c r="I4923" s="62"/>
      <c r="J4923" s="64" t="n">
        <v>128000</v>
      </c>
      <c r="K4923" s="62"/>
      <c r="L4923" s="68" t="b">
        <f aca="false">TRUE()</f>
        <v>1</v>
      </c>
    </row>
    <row r="4924" customFormat="false" ht="15" hidden="false" customHeight="false" outlineLevel="0" collapsed="false">
      <c r="A4924" s="62" t="n">
        <v>1</v>
      </c>
      <c r="B4924" s="21" t="s">
        <v>336</v>
      </c>
      <c r="C4924" s="62" t="s">
        <v>60</v>
      </c>
      <c r="D4924" s="62" t="s">
        <v>385</v>
      </c>
      <c r="E4924" s="62" t="s">
        <v>71</v>
      </c>
      <c r="F4924" s="62" t="s">
        <v>382</v>
      </c>
      <c r="G4924" s="63" t="s">
        <v>487</v>
      </c>
      <c r="H4924" s="64" t="n">
        <v>150000</v>
      </c>
      <c r="I4924" s="62"/>
      <c r="J4924" s="64" t="n">
        <v>150000</v>
      </c>
      <c r="K4924" s="62"/>
      <c r="L4924" s="68" t="b">
        <f aca="false">TRUE()</f>
        <v>1</v>
      </c>
    </row>
    <row r="4925" customFormat="false" ht="15" hidden="false" customHeight="false" outlineLevel="0" collapsed="false">
      <c r="A4925" s="62" t="n">
        <v>1</v>
      </c>
      <c r="B4925" s="21" t="s">
        <v>336</v>
      </c>
      <c r="C4925" s="62" t="s">
        <v>60</v>
      </c>
      <c r="D4925" s="62" t="s">
        <v>386</v>
      </c>
      <c r="E4925" s="62" t="s">
        <v>71</v>
      </c>
      <c r="F4925" s="62" t="s">
        <v>382</v>
      </c>
      <c r="G4925" s="63" t="s">
        <v>487</v>
      </c>
      <c r="H4925" s="64" t="n">
        <v>132000</v>
      </c>
      <c r="I4925" s="62"/>
      <c r="J4925" s="64" t="n">
        <v>132000</v>
      </c>
      <c r="K4925" s="62"/>
      <c r="L4925" s="68" t="b">
        <f aca="false">TRUE()</f>
        <v>1</v>
      </c>
    </row>
    <row r="4926" customFormat="false" ht="15" hidden="false" customHeight="false" outlineLevel="0" collapsed="false">
      <c r="A4926" s="62" t="n">
        <v>1</v>
      </c>
      <c r="B4926" s="21" t="s">
        <v>336</v>
      </c>
      <c r="C4926" s="62" t="s">
        <v>60</v>
      </c>
      <c r="D4926" s="62" t="s">
        <v>387</v>
      </c>
      <c r="E4926" s="62" t="s">
        <v>71</v>
      </c>
      <c r="F4926" s="62" t="s">
        <v>382</v>
      </c>
      <c r="G4926" s="63" t="s">
        <v>487</v>
      </c>
      <c r="H4926" s="64" t="n">
        <v>160000</v>
      </c>
      <c r="I4926" s="62"/>
      <c r="J4926" s="64" t="n">
        <v>160000</v>
      </c>
      <c r="K4926" s="62"/>
      <c r="L4926" s="68" t="b">
        <f aca="false">FALSE()</f>
        <v>0</v>
      </c>
    </row>
    <row r="4927" customFormat="false" ht="15" hidden="false" customHeight="false" outlineLevel="0" collapsed="false">
      <c r="A4927" s="62" t="n">
        <v>1</v>
      </c>
      <c r="B4927" s="21" t="s">
        <v>336</v>
      </c>
      <c r="C4927" s="62" t="s">
        <v>60</v>
      </c>
      <c r="D4927" s="62" t="s">
        <v>388</v>
      </c>
      <c r="E4927" s="62" t="s">
        <v>71</v>
      </c>
      <c r="F4927" s="62" t="s">
        <v>382</v>
      </c>
      <c r="G4927" s="63" t="s">
        <v>487</v>
      </c>
      <c r="H4927" s="64" t="n">
        <v>143254</v>
      </c>
      <c r="I4927" s="62"/>
      <c r="J4927" s="64" t="n">
        <v>143254</v>
      </c>
      <c r="K4927" s="62"/>
      <c r="L4927" s="68" t="b">
        <f aca="false">FALSE()</f>
        <v>0</v>
      </c>
    </row>
    <row r="4928" customFormat="false" ht="15" hidden="false" customHeight="false" outlineLevel="0" collapsed="false">
      <c r="A4928" s="62" t="n">
        <v>1</v>
      </c>
      <c r="B4928" s="21" t="s">
        <v>336</v>
      </c>
      <c r="C4928" s="62" t="s">
        <v>60</v>
      </c>
      <c r="D4928" s="62" t="s">
        <v>381</v>
      </c>
      <c r="E4928" s="62" t="s">
        <v>71</v>
      </c>
      <c r="F4928" s="62" t="s">
        <v>382</v>
      </c>
      <c r="G4928" s="63" t="s">
        <v>482</v>
      </c>
      <c r="H4928" s="64" t="n">
        <v>6</v>
      </c>
      <c r="I4928" s="62"/>
      <c r="J4928" s="64" t="n">
        <v>6</v>
      </c>
      <c r="K4928" s="62"/>
      <c r="L4928" s="68" t="b">
        <f aca="false">FALSE()</f>
        <v>0</v>
      </c>
    </row>
    <row r="4929" customFormat="false" ht="15" hidden="false" customHeight="false" outlineLevel="0" collapsed="false">
      <c r="A4929" s="62" t="n">
        <v>1</v>
      </c>
      <c r="B4929" s="21" t="s">
        <v>336</v>
      </c>
      <c r="C4929" s="62" t="s">
        <v>60</v>
      </c>
      <c r="D4929" s="62" t="s">
        <v>383</v>
      </c>
      <c r="E4929" s="62" t="s">
        <v>71</v>
      </c>
      <c r="F4929" s="62" t="s">
        <v>382</v>
      </c>
      <c r="G4929" s="63" t="s">
        <v>482</v>
      </c>
      <c r="H4929" s="64" t="n">
        <v>6</v>
      </c>
      <c r="I4929" s="62"/>
      <c r="J4929" s="64" t="n">
        <v>6</v>
      </c>
      <c r="K4929" s="62"/>
      <c r="L4929" s="68" t="b">
        <f aca="false">FALSE()</f>
        <v>0</v>
      </c>
    </row>
    <row r="4930" customFormat="false" ht="15" hidden="false" customHeight="false" outlineLevel="0" collapsed="false">
      <c r="A4930" s="62" t="n">
        <v>1</v>
      </c>
      <c r="B4930" s="21" t="s">
        <v>336</v>
      </c>
      <c r="C4930" s="62" t="s">
        <v>60</v>
      </c>
      <c r="D4930" s="62" t="s">
        <v>384</v>
      </c>
      <c r="E4930" s="62" t="s">
        <v>71</v>
      </c>
      <c r="F4930" s="62" t="s">
        <v>382</v>
      </c>
      <c r="G4930" s="63" t="s">
        <v>482</v>
      </c>
      <c r="H4930" s="64" t="n">
        <v>6</v>
      </c>
      <c r="I4930" s="62"/>
      <c r="J4930" s="64" t="n">
        <v>6</v>
      </c>
      <c r="K4930" s="62"/>
      <c r="L4930" s="68" t="b">
        <f aca="false">TRUE()</f>
        <v>1</v>
      </c>
    </row>
    <row r="4931" customFormat="false" ht="15" hidden="false" customHeight="false" outlineLevel="0" collapsed="false">
      <c r="A4931" s="62" t="n">
        <v>1</v>
      </c>
      <c r="B4931" s="21" t="s">
        <v>336</v>
      </c>
      <c r="C4931" s="62" t="s">
        <v>60</v>
      </c>
      <c r="D4931" s="62" t="s">
        <v>385</v>
      </c>
      <c r="E4931" s="62" t="s">
        <v>71</v>
      </c>
      <c r="F4931" s="62" t="s">
        <v>382</v>
      </c>
      <c r="G4931" s="63" t="s">
        <v>482</v>
      </c>
      <c r="H4931" s="64" t="n">
        <v>6</v>
      </c>
      <c r="I4931" s="62"/>
      <c r="J4931" s="64" t="n">
        <v>6</v>
      </c>
      <c r="K4931" s="62"/>
      <c r="L4931" s="68" t="b">
        <f aca="false">TRUE()</f>
        <v>1</v>
      </c>
    </row>
    <row r="4932" customFormat="false" ht="15" hidden="false" customHeight="false" outlineLevel="0" collapsed="false">
      <c r="A4932" s="62" t="n">
        <v>1</v>
      </c>
      <c r="B4932" s="21" t="s">
        <v>336</v>
      </c>
      <c r="C4932" s="62" t="s">
        <v>60</v>
      </c>
      <c r="D4932" s="62" t="s">
        <v>386</v>
      </c>
      <c r="E4932" s="62" t="s">
        <v>71</v>
      </c>
      <c r="F4932" s="62" t="s">
        <v>382</v>
      </c>
      <c r="G4932" s="63" t="s">
        <v>482</v>
      </c>
      <c r="H4932" s="64" t="n">
        <v>5</v>
      </c>
      <c r="I4932" s="62"/>
      <c r="J4932" s="64" t="n">
        <v>5</v>
      </c>
      <c r="K4932" s="62"/>
      <c r="L4932" s="68" t="b">
        <f aca="false">TRUE()</f>
        <v>1</v>
      </c>
    </row>
    <row r="4933" customFormat="false" ht="15" hidden="false" customHeight="false" outlineLevel="0" collapsed="false">
      <c r="A4933" s="62" t="n">
        <v>1</v>
      </c>
      <c r="B4933" s="21" t="s">
        <v>336</v>
      </c>
      <c r="C4933" s="62" t="s">
        <v>60</v>
      </c>
      <c r="D4933" s="62" t="s">
        <v>387</v>
      </c>
      <c r="E4933" s="62" t="s">
        <v>71</v>
      </c>
      <c r="F4933" s="62" t="s">
        <v>382</v>
      </c>
      <c r="G4933" s="63" t="s">
        <v>482</v>
      </c>
      <c r="H4933" s="64" t="n">
        <v>7</v>
      </c>
      <c r="I4933" s="62"/>
      <c r="J4933" s="64" t="n">
        <v>7</v>
      </c>
      <c r="K4933" s="62"/>
      <c r="L4933" s="68" t="b">
        <f aca="false">FALSE()</f>
        <v>0</v>
      </c>
    </row>
    <row r="4934" customFormat="false" ht="15" hidden="false" customHeight="false" outlineLevel="0" collapsed="false">
      <c r="A4934" s="62" t="n">
        <v>1</v>
      </c>
      <c r="B4934" s="21" t="s">
        <v>336</v>
      </c>
      <c r="C4934" s="62" t="s">
        <v>60</v>
      </c>
      <c r="D4934" s="62" t="s">
        <v>388</v>
      </c>
      <c r="E4934" s="62" t="s">
        <v>71</v>
      </c>
      <c r="F4934" s="62" t="s">
        <v>382</v>
      </c>
      <c r="G4934" s="63" t="s">
        <v>482</v>
      </c>
      <c r="H4934" s="64" t="n">
        <v>7</v>
      </c>
      <c r="I4934" s="62"/>
      <c r="J4934" s="64" t="n">
        <v>7</v>
      </c>
      <c r="K4934" s="62"/>
      <c r="L4934" s="68" t="b">
        <f aca="false">FALSE()</f>
        <v>0</v>
      </c>
    </row>
    <row r="4935" customFormat="false" ht="15" hidden="false" customHeight="false" outlineLevel="0" collapsed="false">
      <c r="A4935" s="62" t="n">
        <v>1</v>
      </c>
      <c r="B4935" s="21" t="s">
        <v>336</v>
      </c>
      <c r="C4935" s="62" t="s">
        <v>60</v>
      </c>
      <c r="D4935" s="62" t="s">
        <v>381</v>
      </c>
      <c r="E4935" s="62" t="s">
        <v>71</v>
      </c>
      <c r="F4935" s="62" t="s">
        <v>382</v>
      </c>
      <c r="G4935" s="63" t="s">
        <v>483</v>
      </c>
      <c r="H4935" s="64" t="s">
        <v>35</v>
      </c>
      <c r="I4935" s="62"/>
      <c r="J4935" s="64" t="s">
        <v>35</v>
      </c>
      <c r="K4935" s="62"/>
      <c r="L4935" s="68" t="b">
        <f aca="false">TRUE()</f>
        <v>1</v>
      </c>
    </row>
    <row r="4936" customFormat="false" ht="15" hidden="false" customHeight="false" outlineLevel="0" collapsed="false">
      <c r="A4936" s="62" t="n">
        <v>1</v>
      </c>
      <c r="B4936" s="21" t="s">
        <v>336</v>
      </c>
      <c r="C4936" s="62" t="s">
        <v>60</v>
      </c>
      <c r="D4936" s="62" t="s">
        <v>383</v>
      </c>
      <c r="E4936" s="62" t="s">
        <v>71</v>
      </c>
      <c r="F4936" s="62" t="s">
        <v>382</v>
      </c>
      <c r="G4936" s="63" t="s">
        <v>483</v>
      </c>
      <c r="H4936" s="64" t="s">
        <v>35</v>
      </c>
      <c r="I4936" s="62"/>
      <c r="J4936" s="64" t="s">
        <v>35</v>
      </c>
      <c r="K4936" s="62"/>
      <c r="L4936" s="68" t="b">
        <f aca="false">TRUE()</f>
        <v>1</v>
      </c>
    </row>
    <row r="4937" customFormat="false" ht="15" hidden="false" customHeight="false" outlineLevel="0" collapsed="false">
      <c r="A4937" s="62" t="n">
        <v>1</v>
      </c>
      <c r="B4937" s="21" t="s">
        <v>336</v>
      </c>
      <c r="C4937" s="62" t="s">
        <v>60</v>
      </c>
      <c r="D4937" s="62" t="s">
        <v>384</v>
      </c>
      <c r="E4937" s="62" t="s">
        <v>71</v>
      </c>
      <c r="F4937" s="62" t="s">
        <v>382</v>
      </c>
      <c r="G4937" s="63" t="s">
        <v>483</v>
      </c>
      <c r="H4937" s="64" t="s">
        <v>29</v>
      </c>
      <c r="I4937" s="62"/>
      <c r="J4937" s="64" t="s">
        <v>29</v>
      </c>
      <c r="K4937" s="62"/>
      <c r="L4937" s="68" t="b">
        <f aca="false">TRUE()</f>
        <v>1</v>
      </c>
    </row>
    <row r="4938" customFormat="false" ht="15" hidden="false" customHeight="false" outlineLevel="0" collapsed="false">
      <c r="A4938" s="62" t="n">
        <v>1</v>
      </c>
      <c r="B4938" s="21" t="s">
        <v>336</v>
      </c>
      <c r="C4938" s="62" t="s">
        <v>60</v>
      </c>
      <c r="D4938" s="62" t="s">
        <v>385</v>
      </c>
      <c r="E4938" s="62" t="s">
        <v>71</v>
      </c>
      <c r="F4938" s="62" t="s">
        <v>382</v>
      </c>
      <c r="G4938" s="63" t="s">
        <v>483</v>
      </c>
      <c r="H4938" s="64" t="s">
        <v>35</v>
      </c>
      <c r="I4938" s="62"/>
      <c r="J4938" s="64" t="s">
        <v>35</v>
      </c>
      <c r="K4938" s="62"/>
      <c r="L4938" s="68" t="b">
        <f aca="false">TRUE()</f>
        <v>1</v>
      </c>
    </row>
    <row r="4939" customFormat="false" ht="15" hidden="false" customHeight="false" outlineLevel="0" collapsed="false">
      <c r="A4939" s="62" t="n">
        <v>1</v>
      </c>
      <c r="B4939" s="21" t="s">
        <v>336</v>
      </c>
      <c r="C4939" s="62" t="s">
        <v>60</v>
      </c>
      <c r="D4939" s="62" t="s">
        <v>386</v>
      </c>
      <c r="E4939" s="62" t="s">
        <v>71</v>
      </c>
      <c r="F4939" s="62" t="s">
        <v>382</v>
      </c>
      <c r="G4939" s="63" t="s">
        <v>483</v>
      </c>
      <c r="H4939" s="64" t="s">
        <v>35</v>
      </c>
      <c r="I4939" s="62"/>
      <c r="J4939" s="64" t="s">
        <v>35</v>
      </c>
      <c r="K4939" s="62"/>
      <c r="L4939" s="68" t="b">
        <f aca="false">TRUE()</f>
        <v>1</v>
      </c>
    </row>
    <row r="4940" customFormat="false" ht="15" hidden="false" customHeight="false" outlineLevel="0" collapsed="false">
      <c r="A4940" s="62" t="n">
        <v>1</v>
      </c>
      <c r="B4940" s="21" t="s">
        <v>336</v>
      </c>
      <c r="C4940" s="62" t="s">
        <v>60</v>
      </c>
      <c r="D4940" s="62" t="s">
        <v>387</v>
      </c>
      <c r="E4940" s="62" t="s">
        <v>71</v>
      </c>
      <c r="F4940" s="62" t="s">
        <v>382</v>
      </c>
      <c r="G4940" s="63" t="s">
        <v>483</v>
      </c>
      <c r="H4940" s="64" t="s">
        <v>35</v>
      </c>
      <c r="I4940" s="62"/>
      <c r="J4940" s="64" t="s">
        <v>35</v>
      </c>
      <c r="K4940" s="62"/>
      <c r="L4940" s="68" t="b">
        <f aca="false">TRUE()</f>
        <v>1</v>
      </c>
    </row>
    <row r="4941" customFormat="false" ht="15" hidden="false" customHeight="false" outlineLevel="0" collapsed="false">
      <c r="A4941" s="62" t="n">
        <v>1</v>
      </c>
      <c r="B4941" s="21" t="s">
        <v>336</v>
      </c>
      <c r="C4941" s="62" t="s">
        <v>60</v>
      </c>
      <c r="D4941" s="62" t="s">
        <v>388</v>
      </c>
      <c r="E4941" s="62" t="s">
        <v>71</v>
      </c>
      <c r="F4941" s="62" t="s">
        <v>382</v>
      </c>
      <c r="G4941" s="63" t="s">
        <v>483</v>
      </c>
      <c r="H4941" s="64" t="s">
        <v>35</v>
      </c>
      <c r="I4941" s="62"/>
      <c r="J4941" s="64" t="s">
        <v>35</v>
      </c>
      <c r="K4941" s="62"/>
      <c r="L4941" s="68" t="b">
        <f aca="false">TRUE()</f>
        <v>1</v>
      </c>
    </row>
    <row r="4942" customFormat="false" ht="15" hidden="false" customHeight="false" outlineLevel="0" collapsed="false">
      <c r="A4942" s="62" t="n">
        <v>1</v>
      </c>
      <c r="B4942" s="21" t="s">
        <v>336</v>
      </c>
      <c r="C4942" s="62" t="s">
        <v>60</v>
      </c>
      <c r="D4942" s="62" t="s">
        <v>381</v>
      </c>
      <c r="E4942" s="62" t="s">
        <v>71</v>
      </c>
      <c r="F4942" s="62" t="s">
        <v>382</v>
      </c>
      <c r="G4942" s="63" t="s">
        <v>484</v>
      </c>
      <c r="H4942" s="64" t="n">
        <v>515.109</v>
      </c>
      <c r="I4942" s="62"/>
      <c r="J4942" s="64" t="n">
        <v>515.109</v>
      </c>
      <c r="K4942" s="62"/>
      <c r="L4942" s="68" t="b">
        <f aca="false">FALSE()</f>
        <v>0</v>
      </c>
    </row>
    <row r="4943" customFormat="false" ht="15" hidden="false" customHeight="false" outlineLevel="0" collapsed="false">
      <c r="A4943" s="62" t="n">
        <v>1</v>
      </c>
      <c r="B4943" s="21" t="s">
        <v>336</v>
      </c>
      <c r="C4943" s="62" t="s">
        <v>60</v>
      </c>
      <c r="D4943" s="62" t="s">
        <v>383</v>
      </c>
      <c r="E4943" s="62" t="s">
        <v>71</v>
      </c>
      <c r="F4943" s="62" t="s">
        <v>382</v>
      </c>
      <c r="G4943" s="63" t="s">
        <v>484</v>
      </c>
      <c r="H4943" s="64" t="n">
        <v>164.202</v>
      </c>
      <c r="I4943" s="62"/>
      <c r="J4943" s="64" t="n">
        <v>164.202</v>
      </c>
      <c r="K4943" s="62"/>
      <c r="L4943" s="68" t="b">
        <f aca="false">FALSE()</f>
        <v>0</v>
      </c>
    </row>
    <row r="4944" customFormat="false" ht="15" hidden="false" customHeight="false" outlineLevel="0" collapsed="false">
      <c r="A4944" s="62" t="n">
        <v>1</v>
      </c>
      <c r="B4944" s="21" t="s">
        <v>336</v>
      </c>
      <c r="C4944" s="62" t="s">
        <v>60</v>
      </c>
      <c r="D4944" s="62" t="s">
        <v>384</v>
      </c>
      <c r="E4944" s="62" t="s">
        <v>71</v>
      </c>
      <c r="F4944" s="62" t="s">
        <v>382</v>
      </c>
      <c r="G4944" s="63" t="s">
        <v>484</v>
      </c>
      <c r="H4944" s="64" t="n">
        <v>610.675</v>
      </c>
      <c r="I4944" s="62"/>
      <c r="J4944" s="64" t="n">
        <v>610.675</v>
      </c>
      <c r="K4944" s="62"/>
      <c r="L4944" s="68" t="b">
        <f aca="false">TRUE()</f>
        <v>1</v>
      </c>
    </row>
    <row r="4945" customFormat="false" ht="15" hidden="false" customHeight="false" outlineLevel="0" collapsed="false">
      <c r="A4945" s="62" t="n">
        <v>1</v>
      </c>
      <c r="B4945" s="21" t="s">
        <v>336</v>
      </c>
      <c r="C4945" s="62" t="s">
        <v>60</v>
      </c>
      <c r="D4945" s="62" t="s">
        <v>385</v>
      </c>
      <c r="E4945" s="62" t="s">
        <v>71</v>
      </c>
      <c r="F4945" s="62" t="s">
        <v>382</v>
      </c>
      <c r="G4945" s="63" t="s">
        <v>484</v>
      </c>
      <c r="H4945" s="64" t="n">
        <v>359.387</v>
      </c>
      <c r="I4945" s="62"/>
      <c r="J4945" s="64" t="n">
        <v>359.387</v>
      </c>
      <c r="K4945" s="62"/>
      <c r="L4945" s="68" t="b">
        <f aca="false">TRUE()</f>
        <v>1</v>
      </c>
    </row>
    <row r="4946" customFormat="false" ht="15" hidden="false" customHeight="false" outlineLevel="0" collapsed="false">
      <c r="A4946" s="62" t="n">
        <v>1</v>
      </c>
      <c r="B4946" s="21" t="s">
        <v>336</v>
      </c>
      <c r="C4946" s="62" t="s">
        <v>60</v>
      </c>
      <c r="D4946" s="62" t="s">
        <v>386</v>
      </c>
      <c r="E4946" s="62" t="s">
        <v>71</v>
      </c>
      <c r="F4946" s="62" t="s">
        <v>382</v>
      </c>
      <c r="G4946" s="63" t="s">
        <v>484</v>
      </c>
      <c r="H4946" s="64" t="n">
        <v>613.049</v>
      </c>
      <c r="I4946" s="62"/>
      <c r="J4946" s="64" t="n">
        <v>613.049</v>
      </c>
      <c r="K4946" s="62"/>
      <c r="L4946" s="68" t="b">
        <f aca="false">TRUE()</f>
        <v>1</v>
      </c>
    </row>
    <row r="4947" customFormat="false" ht="15" hidden="false" customHeight="false" outlineLevel="0" collapsed="false">
      <c r="A4947" s="62" t="n">
        <v>1</v>
      </c>
      <c r="B4947" s="21" t="s">
        <v>336</v>
      </c>
      <c r="C4947" s="62" t="s">
        <v>60</v>
      </c>
      <c r="D4947" s="62" t="s">
        <v>387</v>
      </c>
      <c r="E4947" s="62" t="s">
        <v>71</v>
      </c>
      <c r="F4947" s="62" t="s">
        <v>382</v>
      </c>
      <c r="G4947" s="63" t="s">
        <v>484</v>
      </c>
      <c r="H4947" s="64" t="n">
        <v>315.727</v>
      </c>
      <c r="I4947" s="62"/>
      <c r="J4947" s="64" t="n">
        <v>315.727</v>
      </c>
      <c r="K4947" s="62"/>
      <c r="L4947" s="68" t="b">
        <f aca="false">FALSE()</f>
        <v>0</v>
      </c>
    </row>
    <row r="4948" customFormat="false" ht="15" hidden="false" customHeight="false" outlineLevel="0" collapsed="false">
      <c r="A4948" s="62" t="n">
        <v>1</v>
      </c>
      <c r="B4948" s="21" t="s">
        <v>336</v>
      </c>
      <c r="C4948" s="62" t="s">
        <v>60</v>
      </c>
      <c r="D4948" s="62" t="s">
        <v>388</v>
      </c>
      <c r="E4948" s="62" t="s">
        <v>71</v>
      </c>
      <c r="F4948" s="62" t="s">
        <v>382</v>
      </c>
      <c r="G4948" s="63" t="s">
        <v>484</v>
      </c>
      <c r="H4948" s="64" t="n">
        <v>216</v>
      </c>
      <c r="I4948" s="62"/>
      <c r="J4948" s="64" t="n">
        <v>216</v>
      </c>
      <c r="K4948" s="62"/>
      <c r="L4948" s="68" t="b">
        <f aca="false">FALSE()</f>
        <v>0</v>
      </c>
    </row>
    <row r="4949" customFormat="false" ht="15" hidden="false" customHeight="false" outlineLevel="0" collapsed="false">
      <c r="A4949" s="62" t="n">
        <v>1</v>
      </c>
      <c r="B4949" s="21" t="s">
        <v>336</v>
      </c>
      <c r="C4949" s="62" t="s">
        <v>60</v>
      </c>
      <c r="D4949" s="62" t="s">
        <v>381</v>
      </c>
      <c r="E4949" s="62" t="s">
        <v>71</v>
      </c>
      <c r="F4949" s="62" t="s">
        <v>382</v>
      </c>
      <c r="G4949" s="63" t="s">
        <v>485</v>
      </c>
      <c r="H4949" s="64" t="n">
        <v>515.109</v>
      </c>
      <c r="I4949" s="62"/>
      <c r="J4949" s="64" t="n">
        <v>515.109</v>
      </c>
      <c r="K4949" s="62"/>
      <c r="L4949" s="68" t="b">
        <f aca="false">FALSE()</f>
        <v>0</v>
      </c>
    </row>
    <row r="4950" customFormat="false" ht="15" hidden="false" customHeight="false" outlineLevel="0" collapsed="false">
      <c r="A4950" s="62" t="n">
        <v>1</v>
      </c>
      <c r="B4950" s="21" t="s">
        <v>336</v>
      </c>
      <c r="C4950" s="62" t="s">
        <v>60</v>
      </c>
      <c r="D4950" s="62" t="s">
        <v>383</v>
      </c>
      <c r="E4950" s="62" t="s">
        <v>71</v>
      </c>
      <c r="F4950" s="62" t="s">
        <v>382</v>
      </c>
      <c r="G4950" s="63" t="s">
        <v>485</v>
      </c>
      <c r="H4950" s="64" t="n">
        <v>164.202</v>
      </c>
      <c r="I4950" s="62"/>
      <c r="J4950" s="64" t="n">
        <v>164.202</v>
      </c>
      <c r="K4950" s="62"/>
      <c r="L4950" s="68" t="b">
        <f aca="false">FALSE()</f>
        <v>0</v>
      </c>
    </row>
    <row r="4951" customFormat="false" ht="15" hidden="false" customHeight="false" outlineLevel="0" collapsed="false">
      <c r="A4951" s="62" t="n">
        <v>1</v>
      </c>
      <c r="B4951" s="21" t="s">
        <v>336</v>
      </c>
      <c r="C4951" s="62" t="s">
        <v>60</v>
      </c>
      <c r="D4951" s="62" t="s">
        <v>384</v>
      </c>
      <c r="E4951" s="62" t="s">
        <v>71</v>
      </c>
      <c r="F4951" s="62" t="s">
        <v>382</v>
      </c>
      <c r="G4951" s="63" t="s">
        <v>485</v>
      </c>
      <c r="H4951" s="64" t="n">
        <v>610.675</v>
      </c>
      <c r="I4951" s="62"/>
      <c r="J4951" s="64" t="n">
        <v>610.675</v>
      </c>
      <c r="K4951" s="62"/>
      <c r="L4951" s="68" t="b">
        <f aca="false">TRUE()</f>
        <v>1</v>
      </c>
    </row>
    <row r="4952" customFormat="false" ht="15" hidden="false" customHeight="false" outlineLevel="0" collapsed="false">
      <c r="A4952" s="62" t="n">
        <v>1</v>
      </c>
      <c r="B4952" s="21" t="s">
        <v>336</v>
      </c>
      <c r="C4952" s="62" t="s">
        <v>60</v>
      </c>
      <c r="D4952" s="62" t="s">
        <v>385</v>
      </c>
      <c r="E4952" s="62" t="s">
        <v>71</v>
      </c>
      <c r="F4952" s="62" t="s">
        <v>382</v>
      </c>
      <c r="G4952" s="63" t="s">
        <v>485</v>
      </c>
      <c r="H4952" s="64" t="n">
        <v>359.387</v>
      </c>
      <c r="I4952" s="62"/>
      <c r="J4952" s="64" t="n">
        <v>359.387</v>
      </c>
      <c r="K4952" s="62"/>
      <c r="L4952" s="68" t="b">
        <f aca="false">TRUE()</f>
        <v>1</v>
      </c>
    </row>
    <row r="4953" customFormat="false" ht="15" hidden="false" customHeight="false" outlineLevel="0" collapsed="false">
      <c r="A4953" s="62" t="n">
        <v>1</v>
      </c>
      <c r="B4953" s="21" t="s">
        <v>336</v>
      </c>
      <c r="C4953" s="62" t="s">
        <v>60</v>
      </c>
      <c r="D4953" s="62" t="s">
        <v>386</v>
      </c>
      <c r="E4953" s="62" t="s">
        <v>71</v>
      </c>
      <c r="F4953" s="62" t="s">
        <v>382</v>
      </c>
      <c r="G4953" s="63" t="s">
        <v>485</v>
      </c>
      <c r="H4953" s="64" t="n">
        <v>613.049</v>
      </c>
      <c r="I4953" s="62"/>
      <c r="J4953" s="64" t="n">
        <v>613.049</v>
      </c>
      <c r="K4953" s="62"/>
      <c r="L4953" s="68" t="b">
        <f aca="false">TRUE()</f>
        <v>1</v>
      </c>
    </row>
    <row r="4954" customFormat="false" ht="15" hidden="false" customHeight="false" outlineLevel="0" collapsed="false">
      <c r="A4954" s="62" t="n">
        <v>1</v>
      </c>
      <c r="B4954" s="21" t="s">
        <v>336</v>
      </c>
      <c r="C4954" s="62" t="s">
        <v>60</v>
      </c>
      <c r="D4954" s="62" t="s">
        <v>387</v>
      </c>
      <c r="E4954" s="62" t="s">
        <v>71</v>
      </c>
      <c r="F4954" s="62" t="s">
        <v>382</v>
      </c>
      <c r="G4954" s="63" t="s">
        <v>485</v>
      </c>
      <c r="H4954" s="64" t="n">
        <v>315.727</v>
      </c>
      <c r="I4954" s="62"/>
      <c r="J4954" s="64" t="n">
        <v>315.727</v>
      </c>
      <c r="K4954" s="62"/>
      <c r="L4954" s="68" t="b">
        <f aca="false">FALSE()</f>
        <v>0</v>
      </c>
    </row>
    <row r="4955" customFormat="false" ht="15" hidden="false" customHeight="false" outlineLevel="0" collapsed="false">
      <c r="A4955" s="62" t="n">
        <v>1</v>
      </c>
      <c r="B4955" s="21" t="s">
        <v>336</v>
      </c>
      <c r="C4955" s="62" t="s">
        <v>60</v>
      </c>
      <c r="D4955" s="62" t="s">
        <v>388</v>
      </c>
      <c r="E4955" s="62" t="s">
        <v>71</v>
      </c>
      <c r="F4955" s="62" t="s">
        <v>382</v>
      </c>
      <c r="G4955" s="63" t="s">
        <v>485</v>
      </c>
      <c r="H4955" s="64" t="n">
        <v>521.876</v>
      </c>
      <c r="I4955" s="62"/>
      <c r="J4955" s="64" t="n">
        <v>521.876</v>
      </c>
      <c r="K4955" s="62"/>
      <c r="L4955" s="68" t="b">
        <f aca="false">FALSE()</f>
        <v>0</v>
      </c>
    </row>
    <row r="4956" customFormat="false" ht="15" hidden="false" customHeight="false" outlineLevel="0" collapsed="false">
      <c r="A4956" s="62" t="n">
        <v>1</v>
      </c>
      <c r="B4956" s="21" t="s">
        <v>336</v>
      </c>
      <c r="C4956" s="62" t="s">
        <v>60</v>
      </c>
      <c r="D4956" s="62" t="s">
        <v>381</v>
      </c>
      <c r="E4956" s="62" t="s">
        <v>71</v>
      </c>
      <c r="F4956" s="62" t="s">
        <v>382</v>
      </c>
      <c r="G4956" s="63" t="s">
        <v>755</v>
      </c>
      <c r="H4956" s="64" t="n">
        <v>162000</v>
      </c>
      <c r="I4956" s="62"/>
      <c r="J4956" s="64" t="n">
        <v>162000</v>
      </c>
      <c r="K4956" s="62"/>
      <c r="L4956" s="68" t="b">
        <f aca="false">FALSE()</f>
        <v>0</v>
      </c>
    </row>
    <row r="4957" customFormat="false" ht="15" hidden="false" customHeight="false" outlineLevel="0" collapsed="false">
      <c r="A4957" s="62" t="n">
        <v>1</v>
      </c>
      <c r="B4957" s="21" t="s">
        <v>336</v>
      </c>
      <c r="C4957" s="62" t="s">
        <v>60</v>
      </c>
      <c r="D4957" s="62" t="s">
        <v>383</v>
      </c>
      <c r="E4957" s="62" t="s">
        <v>71</v>
      </c>
      <c r="F4957" s="62" t="s">
        <v>382</v>
      </c>
      <c r="G4957" s="63" t="s">
        <v>755</v>
      </c>
      <c r="H4957" s="64" t="n">
        <v>252963</v>
      </c>
      <c r="I4957" s="62"/>
      <c r="J4957" s="64" t="n">
        <v>252963</v>
      </c>
      <c r="K4957" s="62"/>
      <c r="L4957" s="68" t="b">
        <f aca="false">FALSE()</f>
        <v>0</v>
      </c>
    </row>
    <row r="4958" customFormat="false" ht="15" hidden="false" customHeight="false" outlineLevel="0" collapsed="false">
      <c r="A4958" s="62" t="n">
        <v>1</v>
      </c>
      <c r="B4958" s="21" t="s">
        <v>336</v>
      </c>
      <c r="C4958" s="62" t="s">
        <v>60</v>
      </c>
      <c r="D4958" s="62" t="s">
        <v>387</v>
      </c>
      <c r="E4958" s="62" t="s">
        <v>71</v>
      </c>
      <c r="F4958" s="62" t="s">
        <v>382</v>
      </c>
      <c r="G4958" s="63" t="s">
        <v>755</v>
      </c>
      <c r="H4958" s="64" t="n">
        <v>238000</v>
      </c>
      <c r="I4958" s="62"/>
      <c r="J4958" s="64" t="n">
        <v>238000</v>
      </c>
      <c r="K4958" s="62"/>
      <c r="L4958" s="68" t="b">
        <f aca="false">FALSE()</f>
        <v>0</v>
      </c>
    </row>
    <row r="4959" customFormat="false" ht="15" hidden="false" customHeight="false" outlineLevel="0" collapsed="false">
      <c r="A4959" s="62" t="n">
        <v>1</v>
      </c>
      <c r="B4959" s="21" t="s">
        <v>336</v>
      </c>
      <c r="C4959" s="62" t="s">
        <v>60</v>
      </c>
      <c r="D4959" s="62" t="s">
        <v>388</v>
      </c>
      <c r="E4959" s="62" t="s">
        <v>71</v>
      </c>
      <c r="F4959" s="62" t="s">
        <v>382</v>
      </c>
      <c r="G4959" s="63" t="s">
        <v>755</v>
      </c>
      <c r="H4959" s="64" t="n">
        <v>221970</v>
      </c>
      <c r="I4959" s="62"/>
      <c r="J4959" s="64" t="n">
        <v>221970</v>
      </c>
      <c r="K4959" s="62"/>
      <c r="L4959" s="68" t="b">
        <f aca="false">FALSE()</f>
        <v>0</v>
      </c>
    </row>
    <row r="4960" customFormat="false" ht="15" hidden="false" customHeight="false" outlineLevel="0" collapsed="false">
      <c r="A4960" s="62" t="n">
        <v>1</v>
      </c>
      <c r="B4960" s="21" t="s">
        <v>336</v>
      </c>
      <c r="C4960" s="62" t="s">
        <v>60</v>
      </c>
      <c r="D4960" s="62" t="s">
        <v>381</v>
      </c>
      <c r="E4960" s="62" t="s">
        <v>71</v>
      </c>
      <c r="F4960" s="62" t="s">
        <v>382</v>
      </c>
      <c r="G4960" s="63" t="s">
        <v>752</v>
      </c>
      <c r="H4960" s="64" t="n">
        <v>1</v>
      </c>
      <c r="I4960" s="62"/>
      <c r="J4960" s="64" t="n">
        <v>1</v>
      </c>
      <c r="K4960" s="62"/>
      <c r="L4960" s="68" t="b">
        <f aca="false">FALSE()</f>
        <v>0</v>
      </c>
    </row>
    <row r="4961" customFormat="false" ht="15" hidden="false" customHeight="false" outlineLevel="0" collapsed="false">
      <c r="A4961" s="62" t="n">
        <v>1</v>
      </c>
      <c r="B4961" s="21" t="s">
        <v>336</v>
      </c>
      <c r="C4961" s="62" t="s">
        <v>60</v>
      </c>
      <c r="D4961" s="62" t="s">
        <v>383</v>
      </c>
      <c r="E4961" s="62" t="s">
        <v>71</v>
      </c>
      <c r="F4961" s="62" t="s">
        <v>382</v>
      </c>
      <c r="G4961" s="63" t="s">
        <v>752</v>
      </c>
      <c r="H4961" s="64" t="n">
        <v>3</v>
      </c>
      <c r="I4961" s="62"/>
      <c r="J4961" s="64" t="n">
        <v>3</v>
      </c>
      <c r="K4961" s="62"/>
      <c r="L4961" s="68" t="b">
        <f aca="false">FALSE()</f>
        <v>0</v>
      </c>
    </row>
    <row r="4962" customFormat="false" ht="15" hidden="false" customHeight="false" outlineLevel="0" collapsed="false">
      <c r="A4962" s="62" t="n">
        <v>1</v>
      </c>
      <c r="B4962" s="21" t="s">
        <v>336</v>
      </c>
      <c r="C4962" s="62" t="s">
        <v>60</v>
      </c>
      <c r="D4962" s="62" t="s">
        <v>387</v>
      </c>
      <c r="E4962" s="62" t="s">
        <v>71</v>
      </c>
      <c r="F4962" s="62" t="s">
        <v>382</v>
      </c>
      <c r="G4962" s="63" t="s">
        <v>752</v>
      </c>
      <c r="H4962" s="64" t="n">
        <v>5</v>
      </c>
      <c r="I4962" s="62"/>
      <c r="J4962" s="64" t="n">
        <v>5</v>
      </c>
      <c r="K4962" s="62"/>
      <c r="L4962" s="68" t="b">
        <f aca="false">FALSE()</f>
        <v>0</v>
      </c>
    </row>
    <row r="4963" customFormat="false" ht="15" hidden="false" customHeight="false" outlineLevel="0" collapsed="false">
      <c r="A4963" s="62" t="n">
        <v>1</v>
      </c>
      <c r="B4963" s="21" t="s">
        <v>336</v>
      </c>
      <c r="C4963" s="62" t="s">
        <v>60</v>
      </c>
      <c r="D4963" s="62" t="s">
        <v>388</v>
      </c>
      <c r="E4963" s="62" t="s">
        <v>71</v>
      </c>
      <c r="F4963" s="62" t="s">
        <v>382</v>
      </c>
      <c r="G4963" s="63" t="s">
        <v>752</v>
      </c>
      <c r="H4963" s="64" t="n">
        <v>2</v>
      </c>
      <c r="I4963" s="62"/>
      <c r="J4963" s="64" t="n">
        <v>2</v>
      </c>
      <c r="K4963" s="62"/>
      <c r="L4963" s="68" t="b">
        <f aca="false">FALSE()</f>
        <v>0</v>
      </c>
    </row>
    <row r="4964" customFormat="false" ht="15" hidden="false" customHeight="false" outlineLevel="0" collapsed="false">
      <c r="A4964" s="62" t="n">
        <v>1</v>
      </c>
      <c r="B4964" s="21" t="s">
        <v>336</v>
      </c>
      <c r="C4964" s="62" t="s">
        <v>60</v>
      </c>
      <c r="D4964" s="62" t="s">
        <v>381</v>
      </c>
      <c r="E4964" s="62" t="s">
        <v>71</v>
      </c>
      <c r="F4964" s="62" t="s">
        <v>382</v>
      </c>
      <c r="G4964" s="63" t="s">
        <v>753</v>
      </c>
      <c r="H4964" s="64" t="n">
        <v>156.005</v>
      </c>
      <c r="I4964" s="62"/>
      <c r="J4964" s="64" t="n">
        <v>156.005</v>
      </c>
      <c r="K4964" s="62"/>
      <c r="L4964" s="68" t="b">
        <f aca="false">FALSE()</f>
        <v>0</v>
      </c>
    </row>
    <row r="4965" customFormat="false" ht="15" hidden="false" customHeight="false" outlineLevel="0" collapsed="false">
      <c r="A4965" s="62" t="n">
        <v>1</v>
      </c>
      <c r="B4965" s="21" t="s">
        <v>336</v>
      </c>
      <c r="C4965" s="62" t="s">
        <v>60</v>
      </c>
      <c r="D4965" s="62" t="s">
        <v>383</v>
      </c>
      <c r="E4965" s="62" t="s">
        <v>71</v>
      </c>
      <c r="F4965" s="62" t="s">
        <v>382</v>
      </c>
      <c r="G4965" s="63" t="s">
        <v>753</v>
      </c>
      <c r="H4965" s="64" t="n">
        <v>26.911</v>
      </c>
      <c r="I4965" s="62"/>
      <c r="J4965" s="64" t="n">
        <v>26.911</v>
      </c>
      <c r="K4965" s="62"/>
      <c r="L4965" s="68" t="b">
        <f aca="false">FALSE()</f>
        <v>0</v>
      </c>
    </row>
    <row r="4966" customFormat="false" ht="15" hidden="false" customHeight="false" outlineLevel="0" collapsed="false">
      <c r="A4966" s="62" t="n">
        <v>1</v>
      </c>
      <c r="B4966" s="21" t="s">
        <v>336</v>
      </c>
      <c r="C4966" s="62" t="s">
        <v>60</v>
      </c>
      <c r="D4966" s="62" t="s">
        <v>387</v>
      </c>
      <c r="E4966" s="62" t="s">
        <v>71</v>
      </c>
      <c r="F4966" s="62" t="s">
        <v>382</v>
      </c>
      <c r="G4966" s="63" t="s">
        <v>753</v>
      </c>
      <c r="H4966" s="64" t="n">
        <v>110.8</v>
      </c>
      <c r="I4966" s="62"/>
      <c r="J4966" s="64" t="n">
        <v>110.8</v>
      </c>
      <c r="K4966" s="62"/>
      <c r="L4966" s="68" t="b">
        <f aca="false">FALSE()</f>
        <v>0</v>
      </c>
    </row>
    <row r="4967" customFormat="false" ht="15" hidden="false" customHeight="false" outlineLevel="0" collapsed="false">
      <c r="A4967" s="62" t="n">
        <v>1</v>
      </c>
      <c r="B4967" s="21" t="s">
        <v>336</v>
      </c>
      <c r="C4967" s="62" t="s">
        <v>60</v>
      </c>
      <c r="D4967" s="62" t="s">
        <v>388</v>
      </c>
      <c r="E4967" s="62" t="s">
        <v>71</v>
      </c>
      <c r="F4967" s="62" t="s">
        <v>382</v>
      </c>
      <c r="G4967" s="63" t="s">
        <v>753</v>
      </c>
      <c r="H4967" s="64" t="n">
        <v>84</v>
      </c>
      <c r="I4967" s="62"/>
      <c r="J4967" s="64" t="n">
        <v>84</v>
      </c>
      <c r="K4967" s="62"/>
      <c r="L4967" s="68" t="b">
        <f aca="false">FALSE()</f>
        <v>0</v>
      </c>
    </row>
    <row r="4968" customFormat="false" ht="15" hidden="false" customHeight="false" outlineLevel="0" collapsed="false">
      <c r="A4968" s="62" t="n">
        <v>1</v>
      </c>
      <c r="B4968" s="21" t="s">
        <v>336</v>
      </c>
      <c r="C4968" s="62" t="s">
        <v>60</v>
      </c>
      <c r="D4968" s="62" t="s">
        <v>381</v>
      </c>
      <c r="E4968" s="62" t="s">
        <v>71</v>
      </c>
      <c r="F4968" s="62" t="s">
        <v>382</v>
      </c>
      <c r="G4968" s="63" t="s">
        <v>754</v>
      </c>
      <c r="H4968" s="64" t="n">
        <v>156.005</v>
      </c>
      <c r="I4968" s="62"/>
      <c r="J4968" s="64" t="n">
        <v>156.005</v>
      </c>
      <c r="K4968" s="62"/>
      <c r="L4968" s="68" t="b">
        <f aca="false">FALSE()</f>
        <v>0</v>
      </c>
    </row>
    <row r="4969" customFormat="false" ht="15" hidden="false" customHeight="false" outlineLevel="0" collapsed="false">
      <c r="A4969" s="62" t="n">
        <v>1</v>
      </c>
      <c r="B4969" s="21" t="s">
        <v>336</v>
      </c>
      <c r="C4969" s="62" t="s">
        <v>60</v>
      </c>
      <c r="D4969" s="62" t="s">
        <v>383</v>
      </c>
      <c r="E4969" s="62" t="s">
        <v>71</v>
      </c>
      <c r="F4969" s="62" t="s">
        <v>382</v>
      </c>
      <c r="G4969" s="63" t="s">
        <v>754</v>
      </c>
      <c r="H4969" s="64" t="n">
        <v>184.242</v>
      </c>
      <c r="I4969" s="62"/>
      <c r="J4969" s="64" t="n">
        <v>184.242</v>
      </c>
      <c r="K4969" s="62"/>
      <c r="L4969" s="68" t="b">
        <f aca="false">FALSE()</f>
        <v>0</v>
      </c>
    </row>
    <row r="4970" customFormat="false" ht="15" hidden="false" customHeight="false" outlineLevel="0" collapsed="false">
      <c r="A4970" s="62" t="n">
        <v>1</v>
      </c>
      <c r="B4970" s="21" t="s">
        <v>336</v>
      </c>
      <c r="C4970" s="62" t="s">
        <v>60</v>
      </c>
      <c r="D4970" s="62" t="s">
        <v>387</v>
      </c>
      <c r="E4970" s="62" t="s">
        <v>71</v>
      </c>
      <c r="F4970" s="62" t="s">
        <v>382</v>
      </c>
      <c r="G4970" s="63" t="s">
        <v>754</v>
      </c>
      <c r="H4970" s="64" t="n">
        <v>212.938</v>
      </c>
      <c r="I4970" s="62"/>
      <c r="J4970" s="64" t="n">
        <v>212.938</v>
      </c>
      <c r="K4970" s="62"/>
      <c r="L4970" s="68" t="b">
        <f aca="false">FALSE()</f>
        <v>0</v>
      </c>
    </row>
    <row r="4971" customFormat="false" ht="15" hidden="false" customHeight="false" outlineLevel="0" collapsed="false">
      <c r="A4971" s="62" t="n">
        <v>1</v>
      </c>
      <c r="B4971" s="21" t="s">
        <v>336</v>
      </c>
      <c r="C4971" s="62" t="s">
        <v>60</v>
      </c>
      <c r="D4971" s="62" t="s">
        <v>388</v>
      </c>
      <c r="E4971" s="62" t="s">
        <v>71</v>
      </c>
      <c r="F4971" s="62" t="s">
        <v>382</v>
      </c>
      <c r="G4971" s="63" t="s">
        <v>754</v>
      </c>
      <c r="H4971" s="64" t="n">
        <v>155.05</v>
      </c>
      <c r="I4971" s="62"/>
      <c r="J4971" s="64" t="n">
        <v>155.05</v>
      </c>
      <c r="K4971" s="62"/>
      <c r="L4971" s="68" t="b">
        <f aca="false">FALSE()</f>
        <v>0</v>
      </c>
    </row>
    <row r="4972" customFormat="false" ht="15" hidden="false" customHeight="false" outlineLevel="0" collapsed="false">
      <c r="A4972" s="62" t="n">
        <v>1</v>
      </c>
      <c r="B4972" s="21" t="s">
        <v>336</v>
      </c>
      <c r="C4972" s="62" t="s">
        <v>60</v>
      </c>
      <c r="D4972" s="62" t="s">
        <v>381</v>
      </c>
      <c r="E4972" s="62" t="s">
        <v>71</v>
      </c>
      <c r="F4972" s="62" t="s">
        <v>92</v>
      </c>
      <c r="G4972" s="63" t="s">
        <v>479</v>
      </c>
      <c r="H4972" s="64" t="n">
        <v>0.184352805843572</v>
      </c>
      <c r="I4972" s="62" t="s">
        <v>878</v>
      </c>
      <c r="J4972" s="64" t="n">
        <v>18.4352805843572</v>
      </c>
      <c r="K4972" s="62" t="s">
        <v>42</v>
      </c>
      <c r="L4972" s="68" t="b">
        <f aca="false">TRUE()</f>
        <v>1</v>
      </c>
    </row>
    <row r="4973" customFormat="false" ht="15" hidden="false" customHeight="false" outlineLevel="0" collapsed="false">
      <c r="A4973" s="62" t="n">
        <v>1</v>
      </c>
      <c r="B4973" s="21" t="s">
        <v>336</v>
      </c>
      <c r="C4973" s="62" t="s">
        <v>60</v>
      </c>
      <c r="D4973" s="62" t="s">
        <v>383</v>
      </c>
      <c r="E4973" s="62" t="s">
        <v>71</v>
      </c>
      <c r="F4973" s="62" t="s">
        <v>92</v>
      </c>
      <c r="G4973" s="63" t="s">
        <v>479</v>
      </c>
      <c r="H4973" s="64" t="n">
        <v>0.0587663426116908</v>
      </c>
      <c r="I4973" s="62" t="s">
        <v>878</v>
      </c>
      <c r="J4973" s="64" t="n">
        <v>5.87663426116908</v>
      </c>
      <c r="K4973" s="62" t="s">
        <v>42</v>
      </c>
      <c r="L4973" s="68" t="b">
        <f aca="false">TRUE()</f>
        <v>1</v>
      </c>
    </row>
    <row r="4974" customFormat="false" ht="15" hidden="false" customHeight="false" outlineLevel="0" collapsed="false">
      <c r="A4974" s="62" t="n">
        <v>1</v>
      </c>
      <c r="B4974" s="21" t="s">
        <v>336</v>
      </c>
      <c r="C4974" s="62" t="s">
        <v>60</v>
      </c>
      <c r="D4974" s="62" t="s">
        <v>384</v>
      </c>
      <c r="E4974" s="62" t="s">
        <v>71</v>
      </c>
      <c r="F4974" s="62" t="s">
        <v>92</v>
      </c>
      <c r="G4974" s="63" t="s">
        <v>479</v>
      </c>
      <c r="H4974" s="64" t="n">
        <v>0.21855488486941</v>
      </c>
      <c r="I4974" s="62" t="s">
        <v>878</v>
      </c>
      <c r="J4974" s="64" t="n">
        <v>21.855488486941</v>
      </c>
      <c r="K4974" s="62" t="s">
        <v>42</v>
      </c>
      <c r="L4974" s="68" t="b">
        <f aca="false">TRUE()</f>
        <v>1</v>
      </c>
    </row>
    <row r="4975" customFormat="false" ht="15" hidden="false" customHeight="false" outlineLevel="0" collapsed="false">
      <c r="A4975" s="62" t="n">
        <v>1</v>
      </c>
      <c r="B4975" s="21" t="s">
        <v>336</v>
      </c>
      <c r="C4975" s="62" t="s">
        <v>60</v>
      </c>
      <c r="D4975" s="62" t="s">
        <v>385</v>
      </c>
      <c r="E4975" s="62" t="s">
        <v>71</v>
      </c>
      <c r="F4975" s="62" t="s">
        <v>92</v>
      </c>
      <c r="G4975" s="63" t="s">
        <v>479</v>
      </c>
      <c r="H4975" s="64" t="n">
        <v>0.128621425035512</v>
      </c>
      <c r="I4975" s="62" t="s">
        <v>878</v>
      </c>
      <c r="J4975" s="64" t="n">
        <v>12.8621425035512</v>
      </c>
      <c r="K4975" s="62" t="s">
        <v>42</v>
      </c>
      <c r="L4975" s="68" t="b">
        <f aca="false">TRUE()</f>
        <v>1</v>
      </c>
    </row>
    <row r="4976" customFormat="false" ht="15" hidden="false" customHeight="false" outlineLevel="0" collapsed="false">
      <c r="A4976" s="62" t="n">
        <v>1</v>
      </c>
      <c r="B4976" s="21" t="s">
        <v>336</v>
      </c>
      <c r="C4976" s="62" t="s">
        <v>60</v>
      </c>
      <c r="D4976" s="62" t="s">
        <v>386</v>
      </c>
      <c r="E4976" s="62" t="s">
        <v>71</v>
      </c>
      <c r="F4976" s="62" t="s">
        <v>92</v>
      </c>
      <c r="G4976" s="63" t="s">
        <v>479</v>
      </c>
      <c r="H4976" s="64" t="n">
        <v>0.219404466632681</v>
      </c>
      <c r="I4976" s="62" t="s">
        <v>878</v>
      </c>
      <c r="J4976" s="64" t="n">
        <v>21.9404466632681</v>
      </c>
      <c r="K4976" s="62" t="s">
        <v>42</v>
      </c>
      <c r="L4976" s="68" t="b">
        <f aca="false">TRUE()</f>
        <v>1</v>
      </c>
    </row>
    <row r="4977" customFormat="false" ht="15" hidden="false" customHeight="false" outlineLevel="0" collapsed="false">
      <c r="A4977" s="62" t="n">
        <v>1</v>
      </c>
      <c r="B4977" s="21" t="s">
        <v>336</v>
      </c>
      <c r="C4977" s="62" t="s">
        <v>60</v>
      </c>
      <c r="D4977" s="62" t="s">
        <v>387</v>
      </c>
      <c r="E4977" s="62" t="s">
        <v>71</v>
      </c>
      <c r="F4977" s="62" t="s">
        <v>92</v>
      </c>
      <c r="G4977" s="63" t="s">
        <v>479</v>
      </c>
      <c r="H4977" s="64" t="n">
        <v>0.112995659442018</v>
      </c>
      <c r="I4977" s="62" t="s">
        <v>878</v>
      </c>
      <c r="J4977" s="64" t="n">
        <v>11.2995659442018</v>
      </c>
      <c r="K4977" s="62" t="s">
        <v>42</v>
      </c>
      <c r="L4977" s="68" t="b">
        <f aca="false">TRUE()</f>
        <v>1</v>
      </c>
    </row>
    <row r="4978" customFormat="false" ht="15" hidden="false" customHeight="false" outlineLevel="0" collapsed="false">
      <c r="A4978" s="62" t="n">
        <v>1</v>
      </c>
      <c r="B4978" s="21" t="s">
        <v>336</v>
      </c>
      <c r="C4978" s="62" t="s">
        <v>60</v>
      </c>
      <c r="D4978" s="62" t="s">
        <v>388</v>
      </c>
      <c r="E4978" s="62" t="s">
        <v>71</v>
      </c>
      <c r="F4978" s="62" t="s">
        <v>92</v>
      </c>
      <c r="G4978" s="63" t="s">
        <v>479</v>
      </c>
      <c r="H4978" s="64" t="n">
        <v>0.0773044155651164</v>
      </c>
      <c r="I4978" s="62" t="s">
        <v>878</v>
      </c>
      <c r="J4978" s="64" t="n">
        <v>7.73044155651164</v>
      </c>
      <c r="K4978" s="62" t="s">
        <v>42</v>
      </c>
      <c r="L4978" s="68" t="b">
        <f aca="false">TRUE()</f>
        <v>1</v>
      </c>
    </row>
    <row r="4979" customFormat="false" ht="15" hidden="false" customHeight="false" outlineLevel="0" collapsed="false">
      <c r="A4979" s="62" t="n">
        <v>1</v>
      </c>
      <c r="B4979" s="21" t="s">
        <v>336</v>
      </c>
      <c r="C4979" s="62" t="s">
        <v>60</v>
      </c>
      <c r="D4979" s="62" t="s">
        <v>381</v>
      </c>
      <c r="E4979" s="62" t="s">
        <v>71</v>
      </c>
      <c r="F4979" s="62" t="s">
        <v>94</v>
      </c>
      <c r="G4979" s="63" t="s">
        <v>479</v>
      </c>
      <c r="H4979" s="64" t="n">
        <v>0.413020947069299</v>
      </c>
      <c r="I4979" s="62" t="s">
        <v>878</v>
      </c>
      <c r="J4979" s="64" t="n">
        <v>41.3020947069299</v>
      </c>
      <c r="K4979" s="62" t="s">
        <v>42</v>
      </c>
      <c r="L4979" s="68" t="b">
        <f aca="false">TRUE()</f>
        <v>1</v>
      </c>
    </row>
    <row r="4980" customFormat="false" ht="15" hidden="false" customHeight="false" outlineLevel="0" collapsed="false">
      <c r="A4980" s="62" t="n">
        <v>1</v>
      </c>
      <c r="B4980" s="21" t="s">
        <v>336</v>
      </c>
      <c r="C4980" s="62" t="s">
        <v>60</v>
      </c>
      <c r="D4980" s="62" t="s">
        <v>383</v>
      </c>
      <c r="E4980" s="62" t="s">
        <v>71</v>
      </c>
      <c r="F4980" s="62" t="s">
        <v>94</v>
      </c>
      <c r="G4980" s="63" t="s">
        <v>479</v>
      </c>
      <c r="H4980" s="64" t="n">
        <v>0.0712478455084978</v>
      </c>
      <c r="I4980" s="62" t="s">
        <v>878</v>
      </c>
      <c r="J4980" s="64" t="n">
        <v>7.12478455084978</v>
      </c>
      <c r="K4980" s="62" t="s">
        <v>42</v>
      </c>
      <c r="L4980" s="68" t="b">
        <f aca="false">TRUE()</f>
        <v>1</v>
      </c>
    </row>
    <row r="4981" customFormat="false" ht="15" hidden="false" customHeight="false" outlineLevel="0" collapsed="false">
      <c r="A4981" s="62" t="n">
        <v>1</v>
      </c>
      <c r="B4981" s="21" t="s">
        <v>336</v>
      </c>
      <c r="C4981" s="62" t="s">
        <v>60</v>
      </c>
      <c r="D4981" s="62" t="s">
        <v>384</v>
      </c>
      <c r="E4981" s="62" t="s">
        <v>71</v>
      </c>
      <c r="F4981" s="62" t="s">
        <v>94</v>
      </c>
      <c r="G4981" s="63" t="s">
        <v>479</v>
      </c>
      <c r="H4981" s="64" t="n">
        <v>0</v>
      </c>
      <c r="I4981" s="62" t="s">
        <v>878</v>
      </c>
      <c r="J4981" s="64" t="n">
        <v>0</v>
      </c>
      <c r="K4981" s="62" t="s">
        <v>42</v>
      </c>
      <c r="L4981" s="68" t="b">
        <f aca="false">TRUE()</f>
        <v>1</v>
      </c>
    </row>
    <row r="4982" customFormat="false" ht="15" hidden="false" customHeight="false" outlineLevel="0" collapsed="false">
      <c r="A4982" s="62" t="n">
        <v>1</v>
      </c>
      <c r="B4982" s="21" t="s">
        <v>336</v>
      </c>
      <c r="C4982" s="62" t="s">
        <v>60</v>
      </c>
      <c r="D4982" s="62" t="s">
        <v>385</v>
      </c>
      <c r="E4982" s="62" t="s">
        <v>71</v>
      </c>
      <c r="F4982" s="62" t="s">
        <v>94</v>
      </c>
      <c r="G4982" s="63" t="s">
        <v>479</v>
      </c>
      <c r="H4982" s="64" t="n">
        <v>0</v>
      </c>
      <c r="I4982" s="62" t="s">
        <v>878</v>
      </c>
      <c r="J4982" s="64" t="n">
        <v>0</v>
      </c>
      <c r="K4982" s="62" t="s">
        <v>42</v>
      </c>
      <c r="L4982" s="68" t="b">
        <f aca="false">TRUE()</f>
        <v>1</v>
      </c>
    </row>
    <row r="4983" customFormat="false" ht="15" hidden="false" customHeight="false" outlineLevel="0" collapsed="false">
      <c r="A4983" s="62" t="n">
        <v>1</v>
      </c>
      <c r="B4983" s="21" t="s">
        <v>336</v>
      </c>
      <c r="C4983" s="62" t="s">
        <v>60</v>
      </c>
      <c r="D4983" s="62" t="s">
        <v>386</v>
      </c>
      <c r="E4983" s="62" t="s">
        <v>71</v>
      </c>
      <c r="F4983" s="62" t="s">
        <v>94</v>
      </c>
      <c r="G4983" s="63" t="s">
        <v>479</v>
      </c>
      <c r="H4983" s="64" t="n">
        <v>0</v>
      </c>
      <c r="I4983" s="62" t="s">
        <v>878</v>
      </c>
      <c r="J4983" s="64" t="n">
        <v>0</v>
      </c>
      <c r="K4983" s="62" t="s">
        <v>42</v>
      </c>
      <c r="L4983" s="68" t="b">
        <f aca="false">TRUE()</f>
        <v>1</v>
      </c>
    </row>
    <row r="4984" customFormat="false" ht="15" hidden="false" customHeight="false" outlineLevel="0" collapsed="false">
      <c r="A4984" s="62" t="n">
        <v>1</v>
      </c>
      <c r="B4984" s="21" t="s">
        <v>336</v>
      </c>
      <c r="C4984" s="62" t="s">
        <v>60</v>
      </c>
      <c r="D4984" s="62" t="s">
        <v>387</v>
      </c>
      <c r="E4984" s="62" t="s">
        <v>71</v>
      </c>
      <c r="F4984" s="62" t="s">
        <v>94</v>
      </c>
      <c r="G4984" s="63" t="s">
        <v>479</v>
      </c>
      <c r="H4984" s="64" t="n">
        <v>0.293341980402362</v>
      </c>
      <c r="I4984" s="62" t="s">
        <v>878</v>
      </c>
      <c r="J4984" s="64" t="n">
        <v>29.3341980402362</v>
      </c>
      <c r="K4984" s="62" t="s">
        <v>42</v>
      </c>
      <c r="L4984" s="68" t="b">
        <f aca="false">TRUE()</f>
        <v>1</v>
      </c>
    </row>
    <row r="4985" customFormat="false" ht="15" hidden="false" customHeight="false" outlineLevel="0" collapsed="false">
      <c r="A4985" s="62" t="n">
        <v>1</v>
      </c>
      <c r="B4985" s="21" t="s">
        <v>336</v>
      </c>
      <c r="C4985" s="62" t="s">
        <v>60</v>
      </c>
      <c r="D4985" s="62" t="s">
        <v>388</v>
      </c>
      <c r="E4985" s="62" t="s">
        <v>71</v>
      </c>
      <c r="F4985" s="62" t="s">
        <v>94</v>
      </c>
      <c r="G4985" s="63" t="s">
        <v>479</v>
      </c>
      <c r="H4985" s="64" t="n">
        <v>0.222389227019841</v>
      </c>
      <c r="I4985" s="62" t="s">
        <v>878</v>
      </c>
      <c r="J4985" s="64" t="n">
        <v>22.2389227019841</v>
      </c>
      <c r="K4985" s="62" t="s">
        <v>42</v>
      </c>
      <c r="L4985" s="68" t="b">
        <f aca="false">TRUE()</f>
        <v>1</v>
      </c>
    </row>
    <row r="4986" customFormat="false" ht="15" hidden="false" customHeight="false" outlineLevel="0" collapsed="false">
      <c r="A4986" s="62" t="n">
        <v>1</v>
      </c>
      <c r="B4986" s="21" t="s">
        <v>336</v>
      </c>
      <c r="C4986" s="62" t="s">
        <v>60</v>
      </c>
      <c r="D4986" s="62" t="s">
        <v>381</v>
      </c>
      <c r="E4986" s="62" t="s">
        <v>71</v>
      </c>
      <c r="F4986" s="62" t="s">
        <v>95</v>
      </c>
      <c r="G4986" s="63" t="s">
        <v>479</v>
      </c>
      <c r="H4986" s="64" t="n">
        <v>0</v>
      </c>
      <c r="I4986" s="62" t="s">
        <v>878</v>
      </c>
      <c r="J4986" s="64" t="n">
        <v>0</v>
      </c>
      <c r="K4986" s="62" t="s">
        <v>42</v>
      </c>
      <c r="L4986" s="68" t="b">
        <f aca="false">TRUE()</f>
        <v>1</v>
      </c>
    </row>
    <row r="4987" customFormat="false" ht="15" hidden="false" customHeight="false" outlineLevel="0" collapsed="false">
      <c r="A4987" s="62" t="n">
        <v>1</v>
      </c>
      <c r="B4987" s="21" t="s">
        <v>336</v>
      </c>
      <c r="C4987" s="62" t="s">
        <v>60</v>
      </c>
      <c r="D4987" s="62" t="s">
        <v>383</v>
      </c>
      <c r="E4987" s="62" t="s">
        <v>71</v>
      </c>
      <c r="F4987" s="62" t="s">
        <v>95</v>
      </c>
      <c r="G4987" s="63" t="s">
        <v>479</v>
      </c>
      <c r="H4987" s="64" t="n">
        <v>0</v>
      </c>
      <c r="I4987" s="62" t="s">
        <v>878</v>
      </c>
      <c r="J4987" s="64" t="n">
        <v>0</v>
      </c>
      <c r="K4987" s="62" t="s">
        <v>42</v>
      </c>
      <c r="L4987" s="68" t="b">
        <f aca="false">TRUE()</f>
        <v>1</v>
      </c>
    </row>
    <row r="4988" customFormat="false" ht="15" hidden="false" customHeight="false" outlineLevel="0" collapsed="false">
      <c r="A4988" s="62" t="n">
        <v>1</v>
      </c>
      <c r="B4988" s="21" t="s">
        <v>336</v>
      </c>
      <c r="C4988" s="62" t="s">
        <v>60</v>
      </c>
      <c r="D4988" s="62" t="s">
        <v>384</v>
      </c>
      <c r="E4988" s="62" t="s">
        <v>71</v>
      </c>
      <c r="F4988" s="62" t="s">
        <v>95</v>
      </c>
      <c r="G4988" s="63" t="s">
        <v>479</v>
      </c>
      <c r="H4988" s="64" t="n">
        <v>0</v>
      </c>
      <c r="I4988" s="62" t="s">
        <v>878</v>
      </c>
      <c r="J4988" s="64" t="n">
        <v>0</v>
      </c>
      <c r="K4988" s="62" t="s">
        <v>42</v>
      </c>
      <c r="L4988" s="68" t="b">
        <f aca="false">TRUE()</f>
        <v>1</v>
      </c>
    </row>
    <row r="4989" customFormat="false" ht="15" hidden="false" customHeight="false" outlineLevel="0" collapsed="false">
      <c r="A4989" s="62" t="n">
        <v>1</v>
      </c>
      <c r="B4989" s="21" t="s">
        <v>336</v>
      </c>
      <c r="C4989" s="62" t="s">
        <v>60</v>
      </c>
      <c r="D4989" s="62" t="s">
        <v>385</v>
      </c>
      <c r="E4989" s="62" t="s">
        <v>71</v>
      </c>
      <c r="F4989" s="62" t="s">
        <v>95</v>
      </c>
      <c r="G4989" s="63" t="s">
        <v>479</v>
      </c>
      <c r="H4989" s="64" t="n">
        <v>0</v>
      </c>
      <c r="I4989" s="62" t="s">
        <v>878</v>
      </c>
      <c r="J4989" s="64" t="n">
        <v>0</v>
      </c>
      <c r="K4989" s="62" t="s">
        <v>42</v>
      </c>
      <c r="L4989" s="68" t="b">
        <f aca="false">TRUE()</f>
        <v>1</v>
      </c>
    </row>
    <row r="4990" customFormat="false" ht="15" hidden="false" customHeight="false" outlineLevel="0" collapsed="false">
      <c r="A4990" s="62" t="n">
        <v>1</v>
      </c>
      <c r="B4990" s="21" t="s">
        <v>336</v>
      </c>
      <c r="C4990" s="62" t="s">
        <v>60</v>
      </c>
      <c r="D4990" s="62" t="s">
        <v>386</v>
      </c>
      <c r="E4990" s="62" t="s">
        <v>71</v>
      </c>
      <c r="F4990" s="62" t="s">
        <v>95</v>
      </c>
      <c r="G4990" s="63" t="s">
        <v>479</v>
      </c>
      <c r="H4990" s="64" t="n">
        <v>0</v>
      </c>
      <c r="I4990" s="62" t="s">
        <v>878</v>
      </c>
      <c r="J4990" s="64" t="n">
        <v>0</v>
      </c>
      <c r="K4990" s="62" t="s">
        <v>42</v>
      </c>
      <c r="L4990" s="68" t="b">
        <f aca="false">TRUE()</f>
        <v>1</v>
      </c>
    </row>
    <row r="4991" customFormat="false" ht="15" hidden="false" customHeight="false" outlineLevel="0" collapsed="false">
      <c r="A4991" s="62" t="n">
        <v>1</v>
      </c>
      <c r="B4991" s="21" t="s">
        <v>336</v>
      </c>
      <c r="C4991" s="62" t="s">
        <v>60</v>
      </c>
      <c r="D4991" s="62" t="s">
        <v>387</v>
      </c>
      <c r="E4991" s="62" t="s">
        <v>71</v>
      </c>
      <c r="F4991" s="62" t="s">
        <v>95</v>
      </c>
      <c r="G4991" s="63" t="s">
        <v>479</v>
      </c>
      <c r="H4991" s="64" t="n">
        <v>0</v>
      </c>
      <c r="I4991" s="62" t="s">
        <v>878</v>
      </c>
      <c r="J4991" s="64" t="n">
        <v>0</v>
      </c>
      <c r="K4991" s="62" t="s">
        <v>42</v>
      </c>
      <c r="L4991" s="68" t="b">
        <f aca="false">TRUE()</f>
        <v>1</v>
      </c>
    </row>
    <row r="4992" customFormat="false" ht="15" hidden="false" customHeight="false" outlineLevel="0" collapsed="false">
      <c r="A4992" s="62" t="n">
        <v>1</v>
      </c>
      <c r="B4992" s="21" t="s">
        <v>336</v>
      </c>
      <c r="C4992" s="62" t="s">
        <v>60</v>
      </c>
      <c r="D4992" s="62" t="s">
        <v>388</v>
      </c>
      <c r="E4992" s="62" t="s">
        <v>71</v>
      </c>
      <c r="F4992" s="62" t="s">
        <v>95</v>
      </c>
      <c r="G4992" s="63" t="s">
        <v>479</v>
      </c>
      <c r="H4992" s="64" t="n">
        <v>0</v>
      </c>
      <c r="I4992" s="62" t="s">
        <v>878</v>
      </c>
      <c r="J4992" s="64" t="n">
        <v>0</v>
      </c>
      <c r="K4992" s="62" t="s">
        <v>42</v>
      </c>
      <c r="L4992" s="68" t="b">
        <f aca="false">TRUE()</f>
        <v>1</v>
      </c>
    </row>
    <row r="4993" customFormat="false" ht="15" hidden="false" customHeight="false" outlineLevel="0" collapsed="false">
      <c r="A4993" s="62" t="n">
        <v>1</v>
      </c>
      <c r="B4993" s="21" t="s">
        <v>336</v>
      </c>
      <c r="C4993" s="62" t="s">
        <v>60</v>
      </c>
      <c r="D4993" s="62" t="s">
        <v>381</v>
      </c>
      <c r="E4993" s="62" t="s">
        <v>71</v>
      </c>
      <c r="F4993" s="62" t="s">
        <v>97</v>
      </c>
      <c r="G4993" s="63" t="s">
        <v>479</v>
      </c>
      <c r="H4993" s="64" t="n">
        <v>0</v>
      </c>
      <c r="I4993" s="62" t="s">
        <v>878</v>
      </c>
      <c r="J4993" s="64" t="n">
        <v>0</v>
      </c>
      <c r="K4993" s="62" t="s">
        <v>42</v>
      </c>
      <c r="L4993" s="68" t="b">
        <f aca="false">TRUE()</f>
        <v>1</v>
      </c>
    </row>
    <row r="4994" customFormat="false" ht="15" hidden="false" customHeight="false" outlineLevel="0" collapsed="false">
      <c r="A4994" s="62" t="n">
        <v>1</v>
      </c>
      <c r="B4994" s="21" t="s">
        <v>336</v>
      </c>
      <c r="C4994" s="62" t="s">
        <v>60</v>
      </c>
      <c r="D4994" s="62" t="s">
        <v>383</v>
      </c>
      <c r="E4994" s="62" t="s">
        <v>71</v>
      </c>
      <c r="F4994" s="62" t="s">
        <v>97</v>
      </c>
      <c r="G4994" s="63" t="s">
        <v>479</v>
      </c>
      <c r="H4994" s="64" t="n">
        <v>0</v>
      </c>
      <c r="I4994" s="62" t="s">
        <v>878</v>
      </c>
      <c r="J4994" s="64" t="n">
        <v>0</v>
      </c>
      <c r="K4994" s="62" t="s">
        <v>42</v>
      </c>
      <c r="L4994" s="68" t="b">
        <f aca="false">TRUE()</f>
        <v>1</v>
      </c>
    </row>
    <row r="4995" customFormat="false" ht="15" hidden="false" customHeight="false" outlineLevel="0" collapsed="false">
      <c r="A4995" s="62" t="n">
        <v>1</v>
      </c>
      <c r="B4995" s="21" t="s">
        <v>336</v>
      </c>
      <c r="C4995" s="62" t="s">
        <v>60</v>
      </c>
      <c r="D4995" s="62" t="s">
        <v>384</v>
      </c>
      <c r="E4995" s="62" t="s">
        <v>71</v>
      </c>
      <c r="F4995" s="62" t="s">
        <v>97</v>
      </c>
      <c r="G4995" s="63" t="s">
        <v>479</v>
      </c>
      <c r="H4995" s="64" t="n">
        <v>0</v>
      </c>
      <c r="I4995" s="62" t="s">
        <v>878</v>
      </c>
      <c r="J4995" s="64" t="n">
        <v>0</v>
      </c>
      <c r="K4995" s="62" t="s">
        <v>42</v>
      </c>
      <c r="L4995" s="68" t="b">
        <f aca="false">TRUE()</f>
        <v>1</v>
      </c>
    </row>
    <row r="4996" customFormat="false" ht="15" hidden="false" customHeight="false" outlineLevel="0" collapsed="false">
      <c r="A4996" s="62" t="n">
        <v>1</v>
      </c>
      <c r="B4996" s="21" t="s">
        <v>336</v>
      </c>
      <c r="C4996" s="62" t="s">
        <v>60</v>
      </c>
      <c r="D4996" s="62" t="s">
        <v>385</v>
      </c>
      <c r="E4996" s="62" t="s">
        <v>71</v>
      </c>
      <c r="F4996" s="62" t="s">
        <v>97</v>
      </c>
      <c r="G4996" s="63" t="s">
        <v>479</v>
      </c>
      <c r="H4996" s="64" t="n">
        <v>0</v>
      </c>
      <c r="I4996" s="62" t="s">
        <v>878</v>
      </c>
      <c r="J4996" s="64" t="n">
        <v>0</v>
      </c>
      <c r="K4996" s="62" t="s">
        <v>42</v>
      </c>
      <c r="L4996" s="68" t="b">
        <f aca="false">TRUE()</f>
        <v>1</v>
      </c>
    </row>
    <row r="4997" customFormat="false" ht="15" hidden="false" customHeight="false" outlineLevel="0" collapsed="false">
      <c r="A4997" s="62" t="n">
        <v>1</v>
      </c>
      <c r="B4997" s="21" t="s">
        <v>336</v>
      </c>
      <c r="C4997" s="62" t="s">
        <v>60</v>
      </c>
      <c r="D4997" s="62" t="s">
        <v>386</v>
      </c>
      <c r="E4997" s="62" t="s">
        <v>71</v>
      </c>
      <c r="F4997" s="62" t="s">
        <v>97</v>
      </c>
      <c r="G4997" s="63" t="s">
        <v>479</v>
      </c>
      <c r="H4997" s="64" t="n">
        <v>0</v>
      </c>
      <c r="I4997" s="62" t="s">
        <v>878</v>
      </c>
      <c r="J4997" s="64" t="n">
        <v>0</v>
      </c>
      <c r="K4997" s="62" t="s">
        <v>42</v>
      </c>
      <c r="L4997" s="68" t="b">
        <f aca="false">TRUE()</f>
        <v>1</v>
      </c>
    </row>
    <row r="4998" customFormat="false" ht="15" hidden="false" customHeight="false" outlineLevel="0" collapsed="false">
      <c r="A4998" s="62" t="n">
        <v>1</v>
      </c>
      <c r="B4998" s="21" t="s">
        <v>336</v>
      </c>
      <c r="C4998" s="62" t="s">
        <v>60</v>
      </c>
      <c r="D4998" s="62" t="s">
        <v>387</v>
      </c>
      <c r="E4998" s="62" t="s">
        <v>71</v>
      </c>
      <c r="F4998" s="62" t="s">
        <v>97</v>
      </c>
      <c r="G4998" s="63" t="s">
        <v>479</v>
      </c>
      <c r="H4998" s="64" t="n">
        <v>0</v>
      </c>
      <c r="I4998" s="62" t="s">
        <v>878</v>
      </c>
      <c r="J4998" s="64" t="n">
        <v>0</v>
      </c>
      <c r="K4998" s="62" t="s">
        <v>42</v>
      </c>
      <c r="L4998" s="68" t="b">
        <f aca="false">TRUE()</f>
        <v>1</v>
      </c>
    </row>
    <row r="4999" customFormat="false" ht="15" hidden="false" customHeight="false" outlineLevel="0" collapsed="false">
      <c r="A4999" s="62" t="n">
        <v>1</v>
      </c>
      <c r="B4999" s="21" t="s">
        <v>336</v>
      </c>
      <c r="C4999" s="62" t="s">
        <v>60</v>
      </c>
      <c r="D4999" s="62" t="s">
        <v>388</v>
      </c>
      <c r="E4999" s="62" t="s">
        <v>71</v>
      </c>
      <c r="F4999" s="62" t="s">
        <v>97</v>
      </c>
      <c r="G4999" s="63" t="s">
        <v>479</v>
      </c>
      <c r="H4999" s="64" t="n">
        <v>0</v>
      </c>
      <c r="I4999" s="62" t="s">
        <v>878</v>
      </c>
      <c r="J4999" s="64" t="n">
        <v>0</v>
      </c>
      <c r="K4999" s="62" t="s">
        <v>42</v>
      </c>
      <c r="L4999" s="68" t="b">
        <f aca="false">TRUE()</f>
        <v>1</v>
      </c>
    </row>
    <row r="5000" customFormat="false" ht="15" hidden="false" customHeight="false" outlineLevel="0" collapsed="false">
      <c r="A5000" s="62" t="n">
        <v>1</v>
      </c>
      <c r="B5000" s="21" t="s">
        <v>336</v>
      </c>
      <c r="C5000" s="62" t="s">
        <v>60</v>
      </c>
      <c r="D5000" s="62" t="s">
        <v>381</v>
      </c>
      <c r="E5000" s="62" t="s">
        <v>71</v>
      </c>
      <c r="F5000" s="62" t="s">
        <v>382</v>
      </c>
      <c r="G5000" s="63" t="s">
        <v>486</v>
      </c>
      <c r="H5000" s="64" t="n">
        <v>0.211583366726385</v>
      </c>
      <c r="I5000" s="62" t="s">
        <v>878</v>
      </c>
      <c r="J5000" s="64" t="n">
        <v>21.1583366726385</v>
      </c>
      <c r="K5000" s="62" t="s">
        <v>42</v>
      </c>
      <c r="L5000" s="68" t="b">
        <f aca="false">TRUE()</f>
        <v>1</v>
      </c>
    </row>
    <row r="5001" customFormat="false" ht="15" hidden="false" customHeight="false" outlineLevel="0" collapsed="false">
      <c r="A5001" s="62" t="n">
        <v>1</v>
      </c>
      <c r="B5001" s="21" t="s">
        <v>336</v>
      </c>
      <c r="C5001" s="62" t="s">
        <v>60</v>
      </c>
      <c r="D5001" s="62" t="s">
        <v>383</v>
      </c>
      <c r="E5001" s="62" t="s">
        <v>71</v>
      </c>
      <c r="F5001" s="62" t="s">
        <v>382</v>
      </c>
      <c r="G5001" s="63" t="s">
        <v>486</v>
      </c>
      <c r="H5001" s="64" t="n">
        <v>0.0602526813850707</v>
      </c>
      <c r="I5001" s="62" t="s">
        <v>878</v>
      </c>
      <c r="J5001" s="64" t="n">
        <v>6.02526813850707</v>
      </c>
      <c r="K5001" s="62" t="s">
        <v>42</v>
      </c>
      <c r="L5001" s="68" t="b">
        <f aca="false">TRUE()</f>
        <v>1</v>
      </c>
    </row>
    <row r="5002" customFormat="false" ht="15" hidden="false" customHeight="false" outlineLevel="0" collapsed="false">
      <c r="A5002" s="62" t="n">
        <v>1</v>
      </c>
      <c r="B5002" s="21" t="s">
        <v>336</v>
      </c>
      <c r="C5002" s="62" t="s">
        <v>60</v>
      </c>
      <c r="D5002" s="62" t="s">
        <v>384</v>
      </c>
      <c r="E5002" s="62" t="s">
        <v>71</v>
      </c>
      <c r="F5002" s="62" t="s">
        <v>382</v>
      </c>
      <c r="G5002" s="63" t="s">
        <v>486</v>
      </c>
      <c r="H5002" s="64" t="n">
        <v>0.19252864410508</v>
      </c>
      <c r="I5002" s="62" t="s">
        <v>878</v>
      </c>
      <c r="J5002" s="64" t="n">
        <v>19.252864410508</v>
      </c>
      <c r="K5002" s="62" t="s">
        <v>42</v>
      </c>
      <c r="L5002" s="68" t="b">
        <f aca="false">TRUE()</f>
        <v>1</v>
      </c>
    </row>
    <row r="5003" customFormat="false" ht="15" hidden="false" customHeight="false" outlineLevel="0" collapsed="false">
      <c r="A5003" s="62" t="n">
        <v>1</v>
      </c>
      <c r="B5003" s="21" t="s">
        <v>336</v>
      </c>
      <c r="C5003" s="62" t="s">
        <v>60</v>
      </c>
      <c r="D5003" s="62" t="s">
        <v>385</v>
      </c>
      <c r="E5003" s="62" t="s">
        <v>71</v>
      </c>
      <c r="F5003" s="62" t="s">
        <v>382</v>
      </c>
      <c r="G5003" s="63" t="s">
        <v>486</v>
      </c>
      <c r="H5003" s="64" t="n">
        <v>0.113304759029965</v>
      </c>
      <c r="I5003" s="62" t="s">
        <v>878</v>
      </c>
      <c r="J5003" s="64" t="n">
        <v>11.3304759029965</v>
      </c>
      <c r="K5003" s="62" t="s">
        <v>42</v>
      </c>
      <c r="L5003" s="68" t="b">
        <f aca="false">TRUE()</f>
        <v>1</v>
      </c>
    </row>
    <row r="5004" customFormat="false" ht="15" hidden="false" customHeight="false" outlineLevel="0" collapsed="false">
      <c r="A5004" s="62" t="n">
        <v>1</v>
      </c>
      <c r="B5004" s="21" t="s">
        <v>336</v>
      </c>
      <c r="C5004" s="62" t="s">
        <v>60</v>
      </c>
      <c r="D5004" s="62" t="s">
        <v>386</v>
      </c>
      <c r="E5004" s="62" t="s">
        <v>71</v>
      </c>
      <c r="F5004" s="62" t="s">
        <v>382</v>
      </c>
      <c r="G5004" s="63" t="s">
        <v>486</v>
      </c>
      <c r="H5004" s="64" t="n">
        <v>0.193277054853421</v>
      </c>
      <c r="I5004" s="62" t="s">
        <v>878</v>
      </c>
      <c r="J5004" s="64" t="n">
        <v>19.3277054853421</v>
      </c>
      <c r="K5004" s="62" t="s">
        <v>42</v>
      </c>
      <c r="L5004" s="68" t="b">
        <f aca="false">TRUE()</f>
        <v>1</v>
      </c>
    </row>
    <row r="5005" customFormat="false" ht="15" hidden="false" customHeight="false" outlineLevel="0" collapsed="false">
      <c r="A5005" s="62" t="n">
        <v>1</v>
      </c>
      <c r="B5005" s="21" t="s">
        <v>336</v>
      </c>
      <c r="C5005" s="62" t="s">
        <v>60</v>
      </c>
      <c r="D5005" s="62" t="s">
        <v>387</v>
      </c>
      <c r="E5005" s="62" t="s">
        <v>71</v>
      </c>
      <c r="F5005" s="62" t="s">
        <v>382</v>
      </c>
      <c r="G5005" s="63" t="s">
        <v>486</v>
      </c>
      <c r="H5005" s="64" t="n">
        <v>0.134471897655956</v>
      </c>
      <c r="I5005" s="62" t="s">
        <v>878</v>
      </c>
      <c r="J5005" s="64" t="n">
        <v>13.4471897655956</v>
      </c>
      <c r="K5005" s="62" t="s">
        <v>42</v>
      </c>
      <c r="L5005" s="68" t="b">
        <f aca="false">TRUE()</f>
        <v>1</v>
      </c>
    </row>
    <row r="5006" customFormat="false" ht="15" hidden="false" customHeight="false" outlineLevel="0" collapsed="false">
      <c r="A5006" s="62" t="n">
        <v>1</v>
      </c>
      <c r="B5006" s="21" t="s">
        <v>336</v>
      </c>
      <c r="C5006" s="62" t="s">
        <v>60</v>
      </c>
      <c r="D5006" s="62" t="s">
        <v>388</v>
      </c>
      <c r="E5006" s="62" t="s">
        <v>71</v>
      </c>
      <c r="F5006" s="62" t="s">
        <v>382</v>
      </c>
      <c r="G5006" s="63" t="s">
        <v>486</v>
      </c>
      <c r="H5006" s="64" t="n">
        <v>0.0945815962441226</v>
      </c>
      <c r="I5006" s="62" t="s">
        <v>878</v>
      </c>
      <c r="J5006" s="64" t="n">
        <v>9.45815962441226</v>
      </c>
      <c r="K5006" s="62" t="s">
        <v>42</v>
      </c>
      <c r="L5006" s="68" t="b">
        <f aca="false">TRUE()</f>
        <v>1</v>
      </c>
    </row>
    <row r="5007" customFormat="false" ht="15" hidden="false" customHeight="false" outlineLevel="0" collapsed="false">
      <c r="A5007" s="62" t="n">
        <v>1</v>
      </c>
      <c r="B5007" s="21" t="s">
        <v>336</v>
      </c>
      <c r="C5007" s="62" t="s">
        <v>60</v>
      </c>
      <c r="D5007" s="62" t="s">
        <v>381</v>
      </c>
      <c r="E5007" s="62" t="s">
        <v>72</v>
      </c>
      <c r="F5007" s="62" t="s">
        <v>382</v>
      </c>
      <c r="G5007" s="63" t="s">
        <v>488</v>
      </c>
      <c r="H5007" s="64" t="n">
        <v>22000</v>
      </c>
      <c r="I5007" s="62"/>
      <c r="J5007" s="64" t="n">
        <v>22000</v>
      </c>
      <c r="K5007" s="62"/>
      <c r="L5007" s="68" t="b">
        <f aca="false">FALSE()</f>
        <v>0</v>
      </c>
    </row>
    <row r="5008" customFormat="false" ht="15" hidden="false" customHeight="false" outlineLevel="0" collapsed="false">
      <c r="A5008" s="62" t="n">
        <v>1</v>
      </c>
      <c r="B5008" s="21" t="s">
        <v>336</v>
      </c>
      <c r="C5008" s="62" t="s">
        <v>60</v>
      </c>
      <c r="D5008" s="62" t="s">
        <v>383</v>
      </c>
      <c r="E5008" s="62" t="s">
        <v>72</v>
      </c>
      <c r="F5008" s="62" t="s">
        <v>382</v>
      </c>
      <c r="G5008" s="63" t="s">
        <v>488</v>
      </c>
      <c r="H5008" s="64" t="n">
        <v>33683</v>
      </c>
      <c r="I5008" s="62"/>
      <c r="J5008" s="64" t="n">
        <v>33683</v>
      </c>
      <c r="K5008" s="62"/>
      <c r="L5008" s="68" t="b">
        <f aca="false">FALSE()</f>
        <v>0</v>
      </c>
    </row>
    <row r="5009" customFormat="false" ht="15" hidden="false" customHeight="false" outlineLevel="0" collapsed="false">
      <c r="A5009" s="62" t="n">
        <v>1</v>
      </c>
      <c r="B5009" s="21" t="s">
        <v>336</v>
      </c>
      <c r="C5009" s="62" t="s">
        <v>60</v>
      </c>
      <c r="D5009" s="62" t="s">
        <v>384</v>
      </c>
      <c r="E5009" s="62" t="s">
        <v>72</v>
      </c>
      <c r="F5009" s="62" t="s">
        <v>382</v>
      </c>
      <c r="G5009" s="63" t="s">
        <v>488</v>
      </c>
      <c r="H5009" s="64" t="n">
        <v>25000</v>
      </c>
      <c r="I5009" s="62"/>
      <c r="J5009" s="64" t="n">
        <v>25000</v>
      </c>
      <c r="K5009" s="62"/>
      <c r="L5009" s="68" t="b">
        <f aca="false">TRUE()</f>
        <v>1</v>
      </c>
    </row>
    <row r="5010" customFormat="false" ht="15" hidden="false" customHeight="false" outlineLevel="0" collapsed="false">
      <c r="A5010" s="62" t="n">
        <v>1</v>
      </c>
      <c r="B5010" s="21" t="s">
        <v>336</v>
      </c>
      <c r="C5010" s="62" t="s">
        <v>60</v>
      </c>
      <c r="D5010" s="62" t="s">
        <v>385</v>
      </c>
      <c r="E5010" s="62" t="s">
        <v>72</v>
      </c>
      <c r="F5010" s="62" t="s">
        <v>382</v>
      </c>
      <c r="G5010" s="63" t="s">
        <v>488</v>
      </c>
      <c r="H5010" s="64" t="n">
        <v>40000</v>
      </c>
      <c r="I5010" s="62"/>
      <c r="J5010" s="64" t="n">
        <v>40000</v>
      </c>
      <c r="K5010" s="62"/>
      <c r="L5010" s="68" t="b">
        <f aca="false">TRUE()</f>
        <v>1</v>
      </c>
    </row>
    <row r="5011" customFormat="false" ht="15" hidden="false" customHeight="false" outlineLevel="0" collapsed="false">
      <c r="A5011" s="62" t="n">
        <v>1</v>
      </c>
      <c r="B5011" s="21" t="s">
        <v>336</v>
      </c>
      <c r="C5011" s="62" t="s">
        <v>60</v>
      </c>
      <c r="D5011" s="62" t="s">
        <v>386</v>
      </c>
      <c r="E5011" s="62" t="s">
        <v>72</v>
      </c>
      <c r="F5011" s="62" t="s">
        <v>382</v>
      </c>
      <c r="G5011" s="63" t="s">
        <v>488</v>
      </c>
      <c r="H5011" s="64" t="n">
        <v>23500</v>
      </c>
      <c r="I5011" s="62"/>
      <c r="J5011" s="64" t="n">
        <v>23500</v>
      </c>
      <c r="K5011" s="62"/>
      <c r="L5011" s="68" t="b">
        <f aca="false">TRUE()</f>
        <v>1</v>
      </c>
    </row>
    <row r="5012" customFormat="false" ht="15" hidden="false" customHeight="false" outlineLevel="0" collapsed="false">
      <c r="A5012" s="62" t="n">
        <v>1</v>
      </c>
      <c r="B5012" s="21" t="s">
        <v>336</v>
      </c>
      <c r="C5012" s="62" t="s">
        <v>60</v>
      </c>
      <c r="D5012" s="62" t="s">
        <v>387</v>
      </c>
      <c r="E5012" s="62" t="s">
        <v>72</v>
      </c>
      <c r="F5012" s="62" t="s">
        <v>382</v>
      </c>
      <c r="G5012" s="63" t="s">
        <v>488</v>
      </c>
      <c r="H5012" s="64" t="n">
        <v>32000</v>
      </c>
      <c r="I5012" s="62"/>
      <c r="J5012" s="64" t="n">
        <v>32000</v>
      </c>
      <c r="K5012" s="62"/>
      <c r="L5012" s="68" t="b">
        <f aca="false">FALSE()</f>
        <v>0</v>
      </c>
    </row>
    <row r="5013" customFormat="false" ht="15" hidden="false" customHeight="false" outlineLevel="0" collapsed="false">
      <c r="A5013" s="62" t="n">
        <v>1</v>
      </c>
      <c r="B5013" s="21" t="s">
        <v>336</v>
      </c>
      <c r="C5013" s="62" t="s">
        <v>60</v>
      </c>
      <c r="D5013" s="62" t="s">
        <v>388</v>
      </c>
      <c r="E5013" s="62" t="s">
        <v>72</v>
      </c>
      <c r="F5013" s="62" t="s">
        <v>382</v>
      </c>
      <c r="G5013" s="63" t="s">
        <v>488</v>
      </c>
      <c r="H5013" s="64" t="n">
        <v>27650</v>
      </c>
      <c r="I5013" s="62"/>
      <c r="J5013" s="64" t="n">
        <v>27650</v>
      </c>
      <c r="K5013" s="62"/>
      <c r="L5013" s="68" t="b">
        <f aca="false">FALSE()</f>
        <v>0</v>
      </c>
    </row>
    <row r="5014" customFormat="false" ht="15" hidden="false" customHeight="false" outlineLevel="0" collapsed="false">
      <c r="A5014" s="62" t="n">
        <v>1</v>
      </c>
      <c r="B5014" s="21" t="s">
        <v>336</v>
      </c>
      <c r="C5014" s="62" t="s">
        <v>60</v>
      </c>
      <c r="D5014" s="62" t="s">
        <v>381</v>
      </c>
      <c r="E5014" s="62" t="s">
        <v>72</v>
      </c>
      <c r="F5014" s="62" t="s">
        <v>382</v>
      </c>
      <c r="G5014" s="63" t="s">
        <v>482</v>
      </c>
      <c r="H5014" s="64" t="n">
        <v>6</v>
      </c>
      <c r="I5014" s="62"/>
      <c r="J5014" s="64" t="n">
        <v>6</v>
      </c>
      <c r="K5014" s="62"/>
      <c r="L5014" s="68" t="b">
        <f aca="false">FALSE()</f>
        <v>0</v>
      </c>
    </row>
    <row r="5015" customFormat="false" ht="15" hidden="false" customHeight="false" outlineLevel="0" collapsed="false">
      <c r="A5015" s="62" t="n">
        <v>1</v>
      </c>
      <c r="B5015" s="21" t="s">
        <v>336</v>
      </c>
      <c r="C5015" s="62" t="s">
        <v>60</v>
      </c>
      <c r="D5015" s="62" t="s">
        <v>383</v>
      </c>
      <c r="E5015" s="62" t="s">
        <v>72</v>
      </c>
      <c r="F5015" s="62" t="s">
        <v>382</v>
      </c>
      <c r="G5015" s="63" t="s">
        <v>482</v>
      </c>
      <c r="H5015" s="64" t="n">
        <v>6</v>
      </c>
      <c r="I5015" s="62"/>
      <c r="J5015" s="64" t="n">
        <v>6</v>
      </c>
      <c r="K5015" s="62"/>
      <c r="L5015" s="68" t="b">
        <f aca="false">FALSE()</f>
        <v>0</v>
      </c>
    </row>
    <row r="5016" customFormat="false" ht="15" hidden="false" customHeight="false" outlineLevel="0" collapsed="false">
      <c r="A5016" s="62" t="n">
        <v>1</v>
      </c>
      <c r="B5016" s="21" t="s">
        <v>336</v>
      </c>
      <c r="C5016" s="62" t="s">
        <v>60</v>
      </c>
      <c r="D5016" s="62" t="s">
        <v>384</v>
      </c>
      <c r="E5016" s="62" t="s">
        <v>72</v>
      </c>
      <c r="F5016" s="62" t="s">
        <v>382</v>
      </c>
      <c r="G5016" s="63" t="s">
        <v>482</v>
      </c>
      <c r="H5016" s="64" t="n">
        <v>6</v>
      </c>
      <c r="I5016" s="62"/>
      <c r="J5016" s="64" t="n">
        <v>6</v>
      </c>
      <c r="K5016" s="62"/>
      <c r="L5016" s="68" t="b">
        <f aca="false">TRUE()</f>
        <v>1</v>
      </c>
    </row>
    <row r="5017" customFormat="false" ht="15" hidden="false" customHeight="false" outlineLevel="0" collapsed="false">
      <c r="A5017" s="62" t="n">
        <v>1</v>
      </c>
      <c r="B5017" s="21" t="s">
        <v>336</v>
      </c>
      <c r="C5017" s="62" t="s">
        <v>60</v>
      </c>
      <c r="D5017" s="62" t="s">
        <v>385</v>
      </c>
      <c r="E5017" s="62" t="s">
        <v>72</v>
      </c>
      <c r="F5017" s="62" t="s">
        <v>382</v>
      </c>
      <c r="G5017" s="63" t="s">
        <v>482</v>
      </c>
      <c r="H5017" s="64" t="n">
        <v>5</v>
      </c>
      <c r="I5017" s="62"/>
      <c r="J5017" s="64" t="n">
        <v>5</v>
      </c>
      <c r="K5017" s="62"/>
      <c r="L5017" s="68" t="b">
        <f aca="false">TRUE()</f>
        <v>1</v>
      </c>
    </row>
    <row r="5018" customFormat="false" ht="15" hidden="false" customHeight="false" outlineLevel="0" collapsed="false">
      <c r="A5018" s="62" t="n">
        <v>1</v>
      </c>
      <c r="B5018" s="21" t="s">
        <v>336</v>
      </c>
      <c r="C5018" s="62" t="s">
        <v>60</v>
      </c>
      <c r="D5018" s="62" t="s">
        <v>386</v>
      </c>
      <c r="E5018" s="62" t="s">
        <v>72</v>
      </c>
      <c r="F5018" s="62" t="s">
        <v>382</v>
      </c>
      <c r="G5018" s="63" t="s">
        <v>482</v>
      </c>
      <c r="H5018" s="64" t="n">
        <v>3</v>
      </c>
      <c r="I5018" s="62"/>
      <c r="J5018" s="64" t="n">
        <v>3</v>
      </c>
      <c r="K5018" s="62"/>
      <c r="L5018" s="68" t="b">
        <f aca="false">TRUE()</f>
        <v>1</v>
      </c>
    </row>
    <row r="5019" customFormat="false" ht="15" hidden="false" customHeight="false" outlineLevel="0" collapsed="false">
      <c r="A5019" s="62" t="n">
        <v>1</v>
      </c>
      <c r="B5019" s="21" t="s">
        <v>336</v>
      </c>
      <c r="C5019" s="62" t="s">
        <v>60</v>
      </c>
      <c r="D5019" s="62" t="s">
        <v>387</v>
      </c>
      <c r="E5019" s="62" t="s">
        <v>72</v>
      </c>
      <c r="F5019" s="62" t="s">
        <v>382</v>
      </c>
      <c r="G5019" s="63" t="s">
        <v>482</v>
      </c>
      <c r="H5019" s="64" t="n">
        <v>5</v>
      </c>
      <c r="I5019" s="62"/>
      <c r="J5019" s="64" t="n">
        <v>5</v>
      </c>
      <c r="K5019" s="62"/>
      <c r="L5019" s="68" t="b">
        <f aca="false">FALSE()</f>
        <v>0</v>
      </c>
    </row>
    <row r="5020" customFormat="false" ht="15" hidden="false" customHeight="false" outlineLevel="0" collapsed="false">
      <c r="A5020" s="62" t="n">
        <v>1</v>
      </c>
      <c r="B5020" s="21" t="s">
        <v>336</v>
      </c>
      <c r="C5020" s="62" t="s">
        <v>60</v>
      </c>
      <c r="D5020" s="62" t="s">
        <v>388</v>
      </c>
      <c r="E5020" s="62" t="s">
        <v>72</v>
      </c>
      <c r="F5020" s="62" t="s">
        <v>382</v>
      </c>
      <c r="G5020" s="63" t="s">
        <v>482</v>
      </c>
      <c r="H5020" s="64" t="n">
        <v>7</v>
      </c>
      <c r="I5020" s="62"/>
      <c r="J5020" s="64" t="n">
        <v>7</v>
      </c>
      <c r="K5020" s="62"/>
      <c r="L5020" s="68" t="b">
        <f aca="false">FALSE()</f>
        <v>0</v>
      </c>
    </row>
    <row r="5021" customFormat="false" ht="15" hidden="false" customHeight="false" outlineLevel="0" collapsed="false">
      <c r="A5021" s="62" t="n">
        <v>1</v>
      </c>
      <c r="B5021" s="21" t="s">
        <v>336</v>
      </c>
      <c r="C5021" s="62" t="s">
        <v>60</v>
      </c>
      <c r="D5021" s="62" t="s">
        <v>381</v>
      </c>
      <c r="E5021" s="62" t="s">
        <v>72</v>
      </c>
      <c r="F5021" s="62" t="s">
        <v>382</v>
      </c>
      <c r="G5021" s="63" t="s">
        <v>483</v>
      </c>
      <c r="H5021" s="64" t="s">
        <v>44</v>
      </c>
      <c r="I5021" s="62"/>
      <c r="J5021" s="64" t="s">
        <v>44</v>
      </c>
      <c r="K5021" s="62"/>
      <c r="L5021" s="68" t="b">
        <f aca="false">FALSE()</f>
        <v>0</v>
      </c>
    </row>
    <row r="5022" customFormat="false" ht="15" hidden="false" customHeight="false" outlineLevel="0" collapsed="false">
      <c r="A5022" s="62" t="n">
        <v>1</v>
      </c>
      <c r="B5022" s="21" t="s">
        <v>336</v>
      </c>
      <c r="C5022" s="62" t="s">
        <v>60</v>
      </c>
      <c r="D5022" s="62" t="s">
        <v>383</v>
      </c>
      <c r="E5022" s="62" t="s">
        <v>72</v>
      </c>
      <c r="F5022" s="62" t="s">
        <v>382</v>
      </c>
      <c r="G5022" s="63" t="s">
        <v>483</v>
      </c>
      <c r="H5022" s="64" t="s">
        <v>35</v>
      </c>
      <c r="I5022" s="62"/>
      <c r="J5022" s="64" t="s">
        <v>35</v>
      </c>
      <c r="K5022" s="62"/>
      <c r="L5022" s="68" t="b">
        <f aca="false">TRUE()</f>
        <v>1</v>
      </c>
    </row>
    <row r="5023" customFormat="false" ht="15" hidden="false" customHeight="false" outlineLevel="0" collapsed="false">
      <c r="A5023" s="62" t="n">
        <v>1</v>
      </c>
      <c r="B5023" s="21" t="s">
        <v>336</v>
      </c>
      <c r="C5023" s="62" t="s">
        <v>60</v>
      </c>
      <c r="D5023" s="62" t="s">
        <v>384</v>
      </c>
      <c r="E5023" s="62" t="s">
        <v>72</v>
      </c>
      <c r="F5023" s="62" t="s">
        <v>382</v>
      </c>
      <c r="G5023" s="63" t="s">
        <v>483</v>
      </c>
      <c r="H5023" s="64" t="s">
        <v>35</v>
      </c>
      <c r="I5023" s="62"/>
      <c r="J5023" s="64" t="s">
        <v>35</v>
      </c>
      <c r="K5023" s="62"/>
      <c r="L5023" s="68" t="b">
        <f aca="false">TRUE()</f>
        <v>1</v>
      </c>
    </row>
    <row r="5024" customFormat="false" ht="15" hidden="false" customHeight="false" outlineLevel="0" collapsed="false">
      <c r="A5024" s="62" t="n">
        <v>1</v>
      </c>
      <c r="B5024" s="21" t="s">
        <v>336</v>
      </c>
      <c r="C5024" s="62" t="s">
        <v>60</v>
      </c>
      <c r="D5024" s="62" t="s">
        <v>385</v>
      </c>
      <c r="E5024" s="62" t="s">
        <v>72</v>
      </c>
      <c r="F5024" s="62" t="s">
        <v>382</v>
      </c>
      <c r="G5024" s="63" t="s">
        <v>483</v>
      </c>
      <c r="H5024" s="64" t="s">
        <v>40</v>
      </c>
      <c r="I5024" s="62"/>
      <c r="J5024" s="64" t="s">
        <v>40</v>
      </c>
      <c r="K5024" s="62"/>
      <c r="L5024" s="68" t="b">
        <f aca="false">TRUE()</f>
        <v>1</v>
      </c>
    </row>
    <row r="5025" customFormat="false" ht="15" hidden="false" customHeight="false" outlineLevel="0" collapsed="false">
      <c r="A5025" s="62" t="n">
        <v>1</v>
      </c>
      <c r="B5025" s="21" t="s">
        <v>336</v>
      </c>
      <c r="C5025" s="62" t="s">
        <v>60</v>
      </c>
      <c r="D5025" s="62" t="s">
        <v>386</v>
      </c>
      <c r="E5025" s="62" t="s">
        <v>72</v>
      </c>
      <c r="F5025" s="62" t="s">
        <v>382</v>
      </c>
      <c r="G5025" s="63" t="s">
        <v>483</v>
      </c>
      <c r="H5025" s="64" t="s">
        <v>44</v>
      </c>
      <c r="I5025" s="62"/>
      <c r="J5025" s="64" t="s">
        <v>44</v>
      </c>
      <c r="K5025" s="62"/>
      <c r="L5025" s="68" t="b">
        <f aca="false">TRUE()</f>
        <v>1</v>
      </c>
    </row>
    <row r="5026" customFormat="false" ht="15" hidden="false" customHeight="false" outlineLevel="0" collapsed="false">
      <c r="A5026" s="62" t="n">
        <v>1</v>
      </c>
      <c r="B5026" s="21" t="s">
        <v>336</v>
      </c>
      <c r="C5026" s="62" t="s">
        <v>60</v>
      </c>
      <c r="D5026" s="62" t="s">
        <v>387</v>
      </c>
      <c r="E5026" s="62" t="s">
        <v>72</v>
      </c>
      <c r="F5026" s="62" t="s">
        <v>382</v>
      </c>
      <c r="G5026" s="63" t="s">
        <v>483</v>
      </c>
      <c r="H5026" s="64" t="s">
        <v>40</v>
      </c>
      <c r="I5026" s="62"/>
      <c r="J5026" s="64" t="s">
        <v>40</v>
      </c>
      <c r="K5026" s="62"/>
      <c r="L5026" s="68" t="b">
        <f aca="false">TRUE()</f>
        <v>1</v>
      </c>
    </row>
    <row r="5027" customFormat="false" ht="15" hidden="false" customHeight="false" outlineLevel="0" collapsed="false">
      <c r="A5027" s="62" t="n">
        <v>1</v>
      </c>
      <c r="B5027" s="21" t="s">
        <v>336</v>
      </c>
      <c r="C5027" s="62" t="s">
        <v>60</v>
      </c>
      <c r="D5027" s="62" t="s">
        <v>388</v>
      </c>
      <c r="E5027" s="62" t="s">
        <v>72</v>
      </c>
      <c r="F5027" s="62" t="s">
        <v>382</v>
      </c>
      <c r="G5027" s="63" t="s">
        <v>483</v>
      </c>
      <c r="H5027" s="64" t="s">
        <v>35</v>
      </c>
      <c r="I5027" s="62"/>
      <c r="J5027" s="64" t="s">
        <v>35</v>
      </c>
      <c r="K5027" s="62"/>
      <c r="L5027" s="68" t="b">
        <f aca="false">TRUE()</f>
        <v>1</v>
      </c>
    </row>
    <row r="5028" customFormat="false" ht="15" hidden="false" customHeight="false" outlineLevel="0" collapsed="false">
      <c r="A5028" s="62" t="n">
        <v>1</v>
      </c>
      <c r="B5028" s="21" t="s">
        <v>336</v>
      </c>
      <c r="C5028" s="62" t="s">
        <v>60</v>
      </c>
      <c r="D5028" s="62" t="s">
        <v>381</v>
      </c>
      <c r="E5028" s="62" t="s">
        <v>72</v>
      </c>
      <c r="F5028" s="62" t="s">
        <v>382</v>
      </c>
      <c r="G5028" s="63" t="s">
        <v>484</v>
      </c>
      <c r="H5028" s="64" t="n">
        <v>233.493</v>
      </c>
      <c r="I5028" s="62"/>
      <c r="J5028" s="64" t="n">
        <v>233.493</v>
      </c>
      <c r="K5028" s="62"/>
      <c r="L5028" s="68" t="b">
        <f aca="false">FALSE()</f>
        <v>0</v>
      </c>
    </row>
    <row r="5029" customFormat="false" ht="15" hidden="false" customHeight="false" outlineLevel="0" collapsed="false">
      <c r="A5029" s="62" t="n">
        <v>1</v>
      </c>
      <c r="B5029" s="21" t="s">
        <v>336</v>
      </c>
      <c r="C5029" s="62" t="s">
        <v>60</v>
      </c>
      <c r="D5029" s="62" t="s">
        <v>383</v>
      </c>
      <c r="E5029" s="62" t="s">
        <v>72</v>
      </c>
      <c r="F5029" s="62" t="s">
        <v>382</v>
      </c>
      <c r="G5029" s="63" t="s">
        <v>484</v>
      </c>
      <c r="H5029" s="64" t="n">
        <v>688.386</v>
      </c>
      <c r="I5029" s="62"/>
      <c r="J5029" s="64" t="n">
        <v>688.386</v>
      </c>
      <c r="K5029" s="62"/>
      <c r="L5029" s="68" t="b">
        <f aca="false">FALSE()</f>
        <v>0</v>
      </c>
    </row>
    <row r="5030" customFormat="false" ht="15" hidden="false" customHeight="false" outlineLevel="0" collapsed="false">
      <c r="A5030" s="62" t="n">
        <v>1</v>
      </c>
      <c r="B5030" s="21" t="s">
        <v>336</v>
      </c>
      <c r="C5030" s="62" t="s">
        <v>60</v>
      </c>
      <c r="D5030" s="62" t="s">
        <v>384</v>
      </c>
      <c r="E5030" s="62" t="s">
        <v>72</v>
      </c>
      <c r="F5030" s="62" t="s">
        <v>382</v>
      </c>
      <c r="G5030" s="63" t="s">
        <v>484</v>
      </c>
      <c r="H5030" s="64" t="n">
        <v>911.871</v>
      </c>
      <c r="I5030" s="62"/>
      <c r="J5030" s="64" t="n">
        <v>911.871</v>
      </c>
      <c r="K5030" s="62"/>
      <c r="L5030" s="68" t="b">
        <f aca="false">TRUE()</f>
        <v>1</v>
      </c>
    </row>
    <row r="5031" customFormat="false" ht="15" hidden="false" customHeight="false" outlineLevel="0" collapsed="false">
      <c r="A5031" s="62" t="n">
        <v>1</v>
      </c>
      <c r="B5031" s="21" t="s">
        <v>336</v>
      </c>
      <c r="C5031" s="62" t="s">
        <v>60</v>
      </c>
      <c r="D5031" s="62" t="s">
        <v>385</v>
      </c>
      <c r="E5031" s="62" t="s">
        <v>72</v>
      </c>
      <c r="F5031" s="62" t="s">
        <v>382</v>
      </c>
      <c r="G5031" s="63" t="s">
        <v>484</v>
      </c>
      <c r="H5031" s="64" t="n">
        <v>288.63</v>
      </c>
      <c r="I5031" s="62"/>
      <c r="J5031" s="64" t="n">
        <v>288.63</v>
      </c>
      <c r="K5031" s="62"/>
      <c r="L5031" s="68" t="b">
        <f aca="false">TRUE()</f>
        <v>1</v>
      </c>
    </row>
    <row r="5032" customFormat="false" ht="15" hidden="false" customHeight="false" outlineLevel="0" collapsed="false">
      <c r="A5032" s="62" t="n">
        <v>1</v>
      </c>
      <c r="B5032" s="21" t="s">
        <v>336</v>
      </c>
      <c r="C5032" s="62" t="s">
        <v>60</v>
      </c>
      <c r="D5032" s="62" t="s">
        <v>386</v>
      </c>
      <c r="E5032" s="62" t="s">
        <v>72</v>
      </c>
      <c r="F5032" s="62" t="s">
        <v>382</v>
      </c>
      <c r="G5032" s="63" t="s">
        <v>484</v>
      </c>
      <c r="H5032" s="64" t="n">
        <v>219.076</v>
      </c>
      <c r="I5032" s="62"/>
      <c r="J5032" s="64" t="n">
        <v>219.076</v>
      </c>
      <c r="K5032" s="62"/>
      <c r="L5032" s="68" t="b">
        <f aca="false">TRUE()</f>
        <v>1</v>
      </c>
    </row>
    <row r="5033" customFormat="false" ht="15" hidden="false" customHeight="false" outlineLevel="0" collapsed="false">
      <c r="A5033" s="62" t="n">
        <v>1</v>
      </c>
      <c r="B5033" s="21" t="s">
        <v>336</v>
      </c>
      <c r="C5033" s="62" t="s">
        <v>60</v>
      </c>
      <c r="D5033" s="62" t="s">
        <v>387</v>
      </c>
      <c r="E5033" s="62" t="s">
        <v>72</v>
      </c>
      <c r="F5033" s="62" t="s">
        <v>382</v>
      </c>
      <c r="G5033" s="63" t="s">
        <v>484</v>
      </c>
      <c r="H5033" s="64" t="n">
        <v>516.297</v>
      </c>
      <c r="I5033" s="62"/>
      <c r="J5033" s="64" t="n">
        <v>516.297</v>
      </c>
      <c r="K5033" s="62"/>
      <c r="L5033" s="68" t="b">
        <f aca="false">FALSE()</f>
        <v>0</v>
      </c>
    </row>
    <row r="5034" customFormat="false" ht="15" hidden="false" customHeight="false" outlineLevel="0" collapsed="false">
      <c r="A5034" s="62" t="n">
        <v>1</v>
      </c>
      <c r="B5034" s="21" t="s">
        <v>336</v>
      </c>
      <c r="C5034" s="62" t="s">
        <v>60</v>
      </c>
      <c r="D5034" s="62" t="s">
        <v>388</v>
      </c>
      <c r="E5034" s="62" t="s">
        <v>72</v>
      </c>
      <c r="F5034" s="62" t="s">
        <v>382</v>
      </c>
      <c r="G5034" s="63" t="s">
        <v>484</v>
      </c>
      <c r="H5034" s="64" t="n">
        <v>0</v>
      </c>
      <c r="I5034" s="62"/>
      <c r="J5034" s="64" t="n">
        <v>0</v>
      </c>
      <c r="K5034" s="62"/>
      <c r="L5034" s="68" t="b">
        <f aca="false">TRUE()</f>
        <v>1</v>
      </c>
    </row>
    <row r="5035" customFormat="false" ht="15" hidden="false" customHeight="false" outlineLevel="0" collapsed="false">
      <c r="A5035" s="62" t="n">
        <v>1</v>
      </c>
      <c r="B5035" s="21" t="s">
        <v>336</v>
      </c>
      <c r="C5035" s="62" t="s">
        <v>60</v>
      </c>
      <c r="D5035" s="62" t="s">
        <v>381</v>
      </c>
      <c r="E5035" s="62" t="s">
        <v>72</v>
      </c>
      <c r="F5035" s="62" t="s">
        <v>382</v>
      </c>
      <c r="G5035" s="63" t="s">
        <v>485</v>
      </c>
      <c r="H5035" s="64" t="n">
        <v>1050.557</v>
      </c>
      <c r="I5035" s="62"/>
      <c r="J5035" s="64" t="n">
        <v>1050.557</v>
      </c>
      <c r="K5035" s="62"/>
      <c r="L5035" s="68" t="b">
        <f aca="false">FALSE()</f>
        <v>0</v>
      </c>
    </row>
    <row r="5036" customFormat="false" ht="15" hidden="false" customHeight="false" outlineLevel="0" collapsed="false">
      <c r="A5036" s="62" t="n">
        <v>1</v>
      </c>
      <c r="B5036" s="21" t="s">
        <v>336</v>
      </c>
      <c r="C5036" s="62" t="s">
        <v>60</v>
      </c>
      <c r="D5036" s="62" t="s">
        <v>383</v>
      </c>
      <c r="E5036" s="62" t="s">
        <v>72</v>
      </c>
      <c r="F5036" s="62" t="s">
        <v>382</v>
      </c>
      <c r="G5036" s="63" t="s">
        <v>485</v>
      </c>
      <c r="H5036" s="64" t="n">
        <v>688.386</v>
      </c>
      <c r="I5036" s="62"/>
      <c r="J5036" s="64" t="n">
        <v>688.386</v>
      </c>
      <c r="K5036" s="62"/>
      <c r="L5036" s="68" t="b">
        <f aca="false">FALSE()</f>
        <v>0</v>
      </c>
    </row>
    <row r="5037" customFormat="false" ht="15" hidden="false" customHeight="false" outlineLevel="0" collapsed="false">
      <c r="A5037" s="62" t="n">
        <v>1</v>
      </c>
      <c r="B5037" s="21" t="s">
        <v>336</v>
      </c>
      <c r="C5037" s="62" t="s">
        <v>60</v>
      </c>
      <c r="D5037" s="62" t="s">
        <v>384</v>
      </c>
      <c r="E5037" s="62" t="s">
        <v>72</v>
      </c>
      <c r="F5037" s="62" t="s">
        <v>382</v>
      </c>
      <c r="G5037" s="63" t="s">
        <v>485</v>
      </c>
      <c r="H5037" s="64" t="n">
        <v>911.871</v>
      </c>
      <c r="I5037" s="62"/>
      <c r="J5037" s="64" t="n">
        <v>911.871</v>
      </c>
      <c r="K5037" s="62"/>
      <c r="L5037" s="68" t="b">
        <f aca="false">TRUE()</f>
        <v>1</v>
      </c>
    </row>
    <row r="5038" customFormat="false" ht="15" hidden="false" customHeight="false" outlineLevel="0" collapsed="false">
      <c r="A5038" s="62" t="n">
        <v>1</v>
      </c>
      <c r="B5038" s="21" t="s">
        <v>336</v>
      </c>
      <c r="C5038" s="62" t="s">
        <v>60</v>
      </c>
      <c r="D5038" s="62" t="s">
        <v>385</v>
      </c>
      <c r="E5038" s="62" t="s">
        <v>72</v>
      </c>
      <c r="F5038" s="62" t="s">
        <v>382</v>
      </c>
      <c r="G5038" s="63" t="s">
        <v>485</v>
      </c>
      <c r="H5038" s="64" t="n">
        <v>288.63</v>
      </c>
      <c r="I5038" s="62"/>
      <c r="J5038" s="64" t="n">
        <v>288.63</v>
      </c>
      <c r="K5038" s="62"/>
      <c r="L5038" s="68" t="b">
        <f aca="false">TRUE()</f>
        <v>1</v>
      </c>
    </row>
    <row r="5039" customFormat="false" ht="15" hidden="false" customHeight="false" outlineLevel="0" collapsed="false">
      <c r="A5039" s="62" t="n">
        <v>1</v>
      </c>
      <c r="B5039" s="21" t="s">
        <v>336</v>
      </c>
      <c r="C5039" s="62" t="s">
        <v>60</v>
      </c>
      <c r="D5039" s="62" t="s">
        <v>386</v>
      </c>
      <c r="E5039" s="62" t="s">
        <v>72</v>
      </c>
      <c r="F5039" s="62" t="s">
        <v>382</v>
      </c>
      <c r="G5039" s="63" t="s">
        <v>485</v>
      </c>
      <c r="H5039" s="64" t="n">
        <v>1489.912</v>
      </c>
      <c r="I5039" s="62"/>
      <c r="J5039" s="64" t="n">
        <v>1489.912</v>
      </c>
      <c r="K5039" s="62"/>
      <c r="L5039" s="68" t="b">
        <f aca="false">TRUE()</f>
        <v>1</v>
      </c>
    </row>
    <row r="5040" customFormat="false" ht="15" hidden="false" customHeight="false" outlineLevel="0" collapsed="false">
      <c r="A5040" s="62" t="n">
        <v>1</v>
      </c>
      <c r="B5040" s="21" t="s">
        <v>336</v>
      </c>
      <c r="C5040" s="62" t="s">
        <v>60</v>
      </c>
      <c r="D5040" s="62" t="s">
        <v>387</v>
      </c>
      <c r="E5040" s="62" t="s">
        <v>72</v>
      </c>
      <c r="F5040" s="62" t="s">
        <v>382</v>
      </c>
      <c r="G5040" s="63" t="s">
        <v>485</v>
      </c>
      <c r="H5040" s="64" t="n">
        <v>516.297</v>
      </c>
      <c r="I5040" s="62"/>
      <c r="J5040" s="64" t="n">
        <v>516.297</v>
      </c>
      <c r="K5040" s="62"/>
      <c r="L5040" s="68" t="b">
        <f aca="false">FALSE()</f>
        <v>0</v>
      </c>
    </row>
    <row r="5041" customFormat="false" ht="15" hidden="false" customHeight="false" outlineLevel="0" collapsed="false">
      <c r="A5041" s="62" t="n">
        <v>1</v>
      </c>
      <c r="B5041" s="21" t="s">
        <v>336</v>
      </c>
      <c r="C5041" s="62" t="s">
        <v>60</v>
      </c>
      <c r="D5041" s="62" t="s">
        <v>388</v>
      </c>
      <c r="E5041" s="62" t="s">
        <v>72</v>
      </c>
      <c r="F5041" s="62" t="s">
        <v>382</v>
      </c>
      <c r="G5041" s="63" t="s">
        <v>485</v>
      </c>
      <c r="H5041" s="64" t="n">
        <v>784.144</v>
      </c>
      <c r="I5041" s="62"/>
      <c r="J5041" s="64" t="n">
        <v>784.144</v>
      </c>
      <c r="K5041" s="62"/>
      <c r="L5041" s="68" t="b">
        <f aca="false">FALSE()</f>
        <v>0</v>
      </c>
    </row>
    <row r="5042" customFormat="false" ht="15" hidden="false" customHeight="false" outlineLevel="0" collapsed="false">
      <c r="A5042" s="62" t="n">
        <v>1</v>
      </c>
      <c r="B5042" s="21" t="s">
        <v>336</v>
      </c>
      <c r="C5042" s="62" t="s">
        <v>60</v>
      </c>
      <c r="D5042" s="62" t="s">
        <v>381</v>
      </c>
      <c r="E5042" s="62" t="s">
        <v>72</v>
      </c>
      <c r="F5042" s="62" t="s">
        <v>382</v>
      </c>
      <c r="G5042" s="63" t="s">
        <v>756</v>
      </c>
      <c r="H5042" s="64" t="n">
        <v>26400</v>
      </c>
      <c r="I5042" s="62"/>
      <c r="J5042" s="64" t="n">
        <v>26400</v>
      </c>
      <c r="K5042" s="62"/>
      <c r="L5042" s="68" t="b">
        <f aca="false">FALSE()</f>
        <v>0</v>
      </c>
    </row>
    <row r="5043" customFormat="false" ht="15" hidden="false" customHeight="false" outlineLevel="0" collapsed="false">
      <c r="A5043" s="62" t="n">
        <v>1</v>
      </c>
      <c r="B5043" s="21" t="s">
        <v>336</v>
      </c>
      <c r="C5043" s="62" t="s">
        <v>60</v>
      </c>
      <c r="D5043" s="62" t="s">
        <v>383</v>
      </c>
      <c r="E5043" s="62" t="s">
        <v>72</v>
      </c>
      <c r="F5043" s="62" t="s">
        <v>382</v>
      </c>
      <c r="G5043" s="63" t="s">
        <v>756</v>
      </c>
      <c r="H5043" s="64" t="n">
        <v>42681</v>
      </c>
      <c r="I5043" s="62"/>
      <c r="J5043" s="64" t="n">
        <v>42681</v>
      </c>
      <c r="K5043" s="62"/>
      <c r="L5043" s="68" t="b">
        <f aca="false">FALSE()</f>
        <v>0</v>
      </c>
    </row>
    <row r="5044" customFormat="false" ht="15" hidden="false" customHeight="false" outlineLevel="0" collapsed="false">
      <c r="A5044" s="62" t="n">
        <v>1</v>
      </c>
      <c r="B5044" s="21" t="s">
        <v>336</v>
      </c>
      <c r="C5044" s="62" t="s">
        <v>60</v>
      </c>
      <c r="D5044" s="62" t="s">
        <v>387</v>
      </c>
      <c r="E5044" s="62" t="s">
        <v>72</v>
      </c>
      <c r="F5044" s="62" t="s">
        <v>382</v>
      </c>
      <c r="G5044" s="63" t="s">
        <v>756</v>
      </c>
      <c r="H5044" s="64" t="n">
        <v>40000</v>
      </c>
      <c r="I5044" s="62"/>
      <c r="J5044" s="64" t="n">
        <v>40000</v>
      </c>
      <c r="K5044" s="62"/>
      <c r="L5044" s="68" t="b">
        <f aca="false">FALSE()</f>
        <v>0</v>
      </c>
    </row>
    <row r="5045" customFormat="false" ht="15" hidden="false" customHeight="false" outlineLevel="0" collapsed="false">
      <c r="A5045" s="62" t="n">
        <v>1</v>
      </c>
      <c r="B5045" s="21" t="s">
        <v>336</v>
      </c>
      <c r="C5045" s="62" t="s">
        <v>60</v>
      </c>
      <c r="D5045" s="62" t="s">
        <v>388</v>
      </c>
      <c r="E5045" s="62" t="s">
        <v>72</v>
      </c>
      <c r="F5045" s="62" t="s">
        <v>382</v>
      </c>
      <c r="G5045" s="63" t="s">
        <v>756</v>
      </c>
      <c r="H5045" s="64" t="n">
        <v>42806</v>
      </c>
      <c r="I5045" s="62"/>
      <c r="J5045" s="64" t="n">
        <v>42806</v>
      </c>
      <c r="K5045" s="62"/>
      <c r="L5045" s="68" t="b">
        <f aca="false">FALSE()</f>
        <v>0</v>
      </c>
    </row>
    <row r="5046" customFormat="false" ht="15" hidden="false" customHeight="false" outlineLevel="0" collapsed="false">
      <c r="A5046" s="62" t="n">
        <v>1</v>
      </c>
      <c r="B5046" s="21" t="s">
        <v>336</v>
      </c>
      <c r="C5046" s="62" t="s">
        <v>60</v>
      </c>
      <c r="D5046" s="62" t="s">
        <v>381</v>
      </c>
      <c r="E5046" s="62" t="s">
        <v>72</v>
      </c>
      <c r="F5046" s="62" t="s">
        <v>382</v>
      </c>
      <c r="G5046" s="63" t="s">
        <v>752</v>
      </c>
      <c r="H5046" s="64" t="n">
        <v>1</v>
      </c>
      <c r="I5046" s="62"/>
      <c r="J5046" s="64" t="n">
        <v>1</v>
      </c>
      <c r="K5046" s="62"/>
      <c r="L5046" s="68" t="b">
        <f aca="false">FALSE()</f>
        <v>0</v>
      </c>
    </row>
    <row r="5047" customFormat="false" ht="15" hidden="false" customHeight="false" outlineLevel="0" collapsed="false">
      <c r="A5047" s="62" t="n">
        <v>1</v>
      </c>
      <c r="B5047" s="21" t="s">
        <v>336</v>
      </c>
      <c r="C5047" s="62" t="s">
        <v>60</v>
      </c>
      <c r="D5047" s="62" t="s">
        <v>383</v>
      </c>
      <c r="E5047" s="62" t="s">
        <v>72</v>
      </c>
      <c r="F5047" s="62" t="s">
        <v>382</v>
      </c>
      <c r="G5047" s="63" t="s">
        <v>752</v>
      </c>
      <c r="H5047" s="64" t="n">
        <v>3</v>
      </c>
      <c r="I5047" s="62"/>
      <c r="J5047" s="64" t="n">
        <v>3</v>
      </c>
      <c r="K5047" s="62"/>
      <c r="L5047" s="68" t="b">
        <f aca="false">FALSE()</f>
        <v>0</v>
      </c>
    </row>
    <row r="5048" customFormat="false" ht="15" hidden="false" customHeight="false" outlineLevel="0" collapsed="false">
      <c r="A5048" s="62" t="n">
        <v>1</v>
      </c>
      <c r="B5048" s="21" t="s">
        <v>336</v>
      </c>
      <c r="C5048" s="62" t="s">
        <v>60</v>
      </c>
      <c r="D5048" s="62" t="s">
        <v>387</v>
      </c>
      <c r="E5048" s="62" t="s">
        <v>72</v>
      </c>
      <c r="F5048" s="62" t="s">
        <v>382</v>
      </c>
      <c r="G5048" s="63" t="s">
        <v>752</v>
      </c>
      <c r="H5048" s="64" t="n">
        <v>3</v>
      </c>
      <c r="I5048" s="62"/>
      <c r="J5048" s="64" t="n">
        <v>3</v>
      </c>
      <c r="K5048" s="62"/>
      <c r="L5048" s="68" t="b">
        <f aca="false">FALSE()</f>
        <v>0</v>
      </c>
    </row>
    <row r="5049" customFormat="false" ht="15" hidden="false" customHeight="false" outlineLevel="0" collapsed="false">
      <c r="A5049" s="62" t="n">
        <v>1</v>
      </c>
      <c r="B5049" s="21" t="s">
        <v>336</v>
      </c>
      <c r="C5049" s="62" t="s">
        <v>60</v>
      </c>
      <c r="D5049" s="62" t="s">
        <v>388</v>
      </c>
      <c r="E5049" s="62" t="s">
        <v>72</v>
      </c>
      <c r="F5049" s="62" t="s">
        <v>382</v>
      </c>
      <c r="G5049" s="63" t="s">
        <v>752</v>
      </c>
      <c r="H5049" s="64" t="n">
        <v>2</v>
      </c>
      <c r="I5049" s="62"/>
      <c r="J5049" s="64" t="n">
        <v>2</v>
      </c>
      <c r="K5049" s="62"/>
      <c r="L5049" s="68" t="b">
        <f aca="false">FALSE()</f>
        <v>0</v>
      </c>
    </row>
    <row r="5050" customFormat="false" ht="15" hidden="false" customHeight="false" outlineLevel="0" collapsed="false">
      <c r="A5050" s="62" t="n">
        <v>1</v>
      </c>
      <c r="B5050" s="21" t="s">
        <v>336</v>
      </c>
      <c r="C5050" s="62" t="s">
        <v>60</v>
      </c>
      <c r="D5050" s="62" t="s">
        <v>381</v>
      </c>
      <c r="E5050" s="62" t="s">
        <v>72</v>
      </c>
      <c r="F5050" s="62" t="s">
        <v>382</v>
      </c>
      <c r="G5050" s="63" t="s">
        <v>757</v>
      </c>
      <c r="H5050" s="64" t="s">
        <v>40</v>
      </c>
      <c r="I5050" s="62"/>
      <c r="J5050" s="64" t="s">
        <v>40</v>
      </c>
      <c r="K5050" s="62"/>
      <c r="L5050" s="68" t="b">
        <f aca="false">FALSE()</f>
        <v>0</v>
      </c>
    </row>
    <row r="5051" customFormat="false" ht="15" hidden="false" customHeight="false" outlineLevel="0" collapsed="false">
      <c r="A5051" s="62" t="n">
        <v>1</v>
      </c>
      <c r="B5051" s="21" t="s">
        <v>336</v>
      </c>
      <c r="C5051" s="62" t="s">
        <v>60</v>
      </c>
      <c r="D5051" s="62" t="s">
        <v>381</v>
      </c>
      <c r="E5051" s="62" t="s">
        <v>72</v>
      </c>
      <c r="F5051" s="62" t="s">
        <v>382</v>
      </c>
      <c r="G5051" s="63" t="s">
        <v>753</v>
      </c>
      <c r="H5051" s="64" t="n">
        <v>277.464</v>
      </c>
      <c r="I5051" s="62"/>
      <c r="J5051" s="64" t="n">
        <v>277.464</v>
      </c>
      <c r="K5051" s="62"/>
      <c r="L5051" s="68" t="b">
        <f aca="false">FALSE()</f>
        <v>0</v>
      </c>
    </row>
    <row r="5052" customFormat="false" ht="15" hidden="false" customHeight="false" outlineLevel="0" collapsed="false">
      <c r="A5052" s="62" t="n">
        <v>1</v>
      </c>
      <c r="B5052" s="21" t="s">
        <v>336</v>
      </c>
      <c r="C5052" s="62" t="s">
        <v>60</v>
      </c>
      <c r="D5052" s="62" t="s">
        <v>383</v>
      </c>
      <c r="E5052" s="62" t="s">
        <v>72</v>
      </c>
      <c r="F5052" s="62" t="s">
        <v>382</v>
      </c>
      <c r="G5052" s="63" t="s">
        <v>753</v>
      </c>
      <c r="H5052" s="64" t="n">
        <v>241.589</v>
      </c>
      <c r="I5052" s="62"/>
      <c r="J5052" s="64" t="n">
        <v>241.589</v>
      </c>
      <c r="K5052" s="62"/>
      <c r="L5052" s="68" t="b">
        <f aca="false">FALSE()</f>
        <v>0</v>
      </c>
    </row>
    <row r="5053" customFormat="false" ht="15" hidden="false" customHeight="false" outlineLevel="0" collapsed="false">
      <c r="A5053" s="62" t="n">
        <v>1</v>
      </c>
      <c r="B5053" s="21" t="s">
        <v>336</v>
      </c>
      <c r="C5053" s="62" t="s">
        <v>60</v>
      </c>
      <c r="D5053" s="62" t="s">
        <v>387</v>
      </c>
      <c r="E5053" s="62" t="s">
        <v>72</v>
      </c>
      <c r="F5053" s="62" t="s">
        <v>382</v>
      </c>
      <c r="G5053" s="63" t="s">
        <v>753</v>
      </c>
      <c r="H5053" s="64" t="n">
        <v>42.635</v>
      </c>
      <c r="I5053" s="62"/>
      <c r="J5053" s="64" t="n">
        <v>42.635</v>
      </c>
      <c r="K5053" s="62"/>
      <c r="L5053" s="68" t="b">
        <f aca="false">FALSE()</f>
        <v>0</v>
      </c>
    </row>
    <row r="5054" customFormat="false" ht="15" hidden="false" customHeight="false" outlineLevel="0" collapsed="false">
      <c r="A5054" s="62" t="n">
        <v>1</v>
      </c>
      <c r="B5054" s="21" t="s">
        <v>336</v>
      </c>
      <c r="C5054" s="62" t="s">
        <v>60</v>
      </c>
      <c r="D5054" s="62" t="s">
        <v>381</v>
      </c>
      <c r="E5054" s="62" t="s">
        <v>72</v>
      </c>
      <c r="F5054" s="62" t="s">
        <v>382</v>
      </c>
      <c r="G5054" s="63" t="s">
        <v>754</v>
      </c>
      <c r="H5054" s="64" t="n">
        <v>277.464</v>
      </c>
      <c r="I5054" s="62"/>
      <c r="J5054" s="64" t="n">
        <v>277.464</v>
      </c>
      <c r="K5054" s="62"/>
      <c r="L5054" s="68" t="b">
        <f aca="false">FALSE()</f>
        <v>0</v>
      </c>
    </row>
    <row r="5055" customFormat="false" ht="15" hidden="false" customHeight="false" outlineLevel="0" collapsed="false">
      <c r="A5055" s="62" t="n">
        <v>1</v>
      </c>
      <c r="B5055" s="21" t="s">
        <v>336</v>
      </c>
      <c r="C5055" s="62" t="s">
        <v>60</v>
      </c>
      <c r="D5055" s="62" t="s">
        <v>383</v>
      </c>
      <c r="E5055" s="62" t="s">
        <v>72</v>
      </c>
      <c r="F5055" s="62" t="s">
        <v>382</v>
      </c>
      <c r="G5055" s="63" t="s">
        <v>754</v>
      </c>
      <c r="H5055" s="64" t="n">
        <v>241.589</v>
      </c>
      <c r="I5055" s="62"/>
      <c r="J5055" s="64" t="n">
        <v>241.589</v>
      </c>
      <c r="K5055" s="62"/>
      <c r="L5055" s="68" t="b">
        <f aca="false">FALSE()</f>
        <v>0</v>
      </c>
    </row>
    <row r="5056" customFormat="false" ht="15" hidden="false" customHeight="false" outlineLevel="0" collapsed="false">
      <c r="A5056" s="62" t="n">
        <v>1</v>
      </c>
      <c r="B5056" s="21" t="s">
        <v>336</v>
      </c>
      <c r="C5056" s="62" t="s">
        <v>60</v>
      </c>
      <c r="D5056" s="62" t="s">
        <v>387</v>
      </c>
      <c r="E5056" s="62" t="s">
        <v>72</v>
      </c>
      <c r="F5056" s="62" t="s">
        <v>382</v>
      </c>
      <c r="G5056" s="63" t="s">
        <v>754</v>
      </c>
      <c r="H5056" s="64" t="n">
        <v>220.453</v>
      </c>
      <c r="I5056" s="62"/>
      <c r="J5056" s="64" t="n">
        <v>220.453</v>
      </c>
      <c r="K5056" s="62"/>
      <c r="L5056" s="68" t="b">
        <f aca="false">FALSE()</f>
        <v>0</v>
      </c>
    </row>
    <row r="5057" customFormat="false" ht="15" hidden="false" customHeight="false" outlineLevel="0" collapsed="false">
      <c r="A5057" s="62" t="n">
        <v>1</v>
      </c>
      <c r="B5057" s="21" t="s">
        <v>336</v>
      </c>
      <c r="C5057" s="62" t="s">
        <v>60</v>
      </c>
      <c r="D5057" s="62" t="s">
        <v>388</v>
      </c>
      <c r="E5057" s="62" t="s">
        <v>72</v>
      </c>
      <c r="F5057" s="62" t="s">
        <v>382</v>
      </c>
      <c r="G5057" s="63" t="s">
        <v>754</v>
      </c>
      <c r="H5057" s="64" t="n">
        <v>177.481</v>
      </c>
      <c r="I5057" s="62"/>
      <c r="J5057" s="64" t="n">
        <v>177.481</v>
      </c>
      <c r="K5057" s="62"/>
      <c r="L5057" s="68" t="b">
        <f aca="false">FALSE()</f>
        <v>0</v>
      </c>
    </row>
    <row r="5058" customFormat="false" ht="15" hidden="false" customHeight="false" outlineLevel="0" collapsed="false">
      <c r="A5058" s="62" t="n">
        <v>1</v>
      </c>
      <c r="B5058" s="21" t="s">
        <v>336</v>
      </c>
      <c r="C5058" s="62" t="s">
        <v>60</v>
      </c>
      <c r="D5058" s="62" t="s">
        <v>381</v>
      </c>
      <c r="E5058" s="62" t="s">
        <v>72</v>
      </c>
      <c r="F5058" s="62" t="s">
        <v>92</v>
      </c>
      <c r="G5058" s="63" t="s">
        <v>479</v>
      </c>
      <c r="H5058" s="64" t="n">
        <v>0.0817050490586524</v>
      </c>
      <c r="I5058" s="62" t="s">
        <v>878</v>
      </c>
      <c r="J5058" s="64" t="n">
        <v>8.17050490586524</v>
      </c>
      <c r="K5058" s="62" t="s">
        <v>42</v>
      </c>
      <c r="L5058" s="68" t="b">
        <f aca="false">TRUE()</f>
        <v>1</v>
      </c>
    </row>
    <row r="5059" customFormat="false" ht="15" hidden="false" customHeight="false" outlineLevel="0" collapsed="false">
      <c r="A5059" s="62" t="n">
        <v>1</v>
      </c>
      <c r="B5059" s="21" t="s">
        <v>336</v>
      </c>
      <c r="C5059" s="62" t="s">
        <v>60</v>
      </c>
      <c r="D5059" s="62" t="s">
        <v>383</v>
      </c>
      <c r="E5059" s="62" t="s">
        <v>72</v>
      </c>
      <c r="F5059" s="62" t="s">
        <v>92</v>
      </c>
      <c r="G5059" s="63" t="s">
        <v>479</v>
      </c>
      <c r="H5059" s="64" t="n">
        <v>0.24088365946702</v>
      </c>
      <c r="I5059" s="62" t="s">
        <v>878</v>
      </c>
      <c r="J5059" s="64" t="n">
        <v>24.088365946702</v>
      </c>
      <c r="K5059" s="62" t="s">
        <v>42</v>
      </c>
      <c r="L5059" s="68" t="b">
        <f aca="false">TRUE()</f>
        <v>1</v>
      </c>
    </row>
    <row r="5060" customFormat="false" ht="15" hidden="false" customHeight="false" outlineLevel="0" collapsed="false">
      <c r="A5060" s="62" t="n">
        <v>1</v>
      </c>
      <c r="B5060" s="21" t="s">
        <v>336</v>
      </c>
      <c r="C5060" s="62" t="s">
        <v>60</v>
      </c>
      <c r="D5060" s="62" t="s">
        <v>384</v>
      </c>
      <c r="E5060" s="62" t="s">
        <v>72</v>
      </c>
      <c r="F5060" s="62" t="s">
        <v>92</v>
      </c>
      <c r="G5060" s="63" t="s">
        <v>479</v>
      </c>
      <c r="H5060" s="64" t="n">
        <v>0.319086649071956</v>
      </c>
      <c r="I5060" s="62" t="s">
        <v>878</v>
      </c>
      <c r="J5060" s="64" t="n">
        <v>31.9086649071956</v>
      </c>
      <c r="K5060" s="62" t="s">
        <v>42</v>
      </c>
      <c r="L5060" s="68" t="b">
        <f aca="false">TRUE()</f>
        <v>1</v>
      </c>
    </row>
    <row r="5061" customFormat="false" ht="15" hidden="false" customHeight="false" outlineLevel="0" collapsed="false">
      <c r="A5061" s="62" t="n">
        <v>1</v>
      </c>
      <c r="B5061" s="21" t="s">
        <v>336</v>
      </c>
      <c r="C5061" s="62" t="s">
        <v>60</v>
      </c>
      <c r="D5061" s="62" t="s">
        <v>385</v>
      </c>
      <c r="E5061" s="62" t="s">
        <v>72</v>
      </c>
      <c r="F5061" s="62" t="s">
        <v>92</v>
      </c>
      <c r="G5061" s="63" t="s">
        <v>479</v>
      </c>
      <c r="H5061" s="64" t="n">
        <v>0.100999027929896</v>
      </c>
      <c r="I5061" s="62" t="s">
        <v>878</v>
      </c>
      <c r="J5061" s="64" t="n">
        <v>10.0999027929896</v>
      </c>
      <c r="K5061" s="62" t="s">
        <v>42</v>
      </c>
      <c r="L5061" s="68" t="b">
        <f aca="false">TRUE()</f>
        <v>1</v>
      </c>
    </row>
    <row r="5062" customFormat="false" ht="15" hidden="false" customHeight="false" outlineLevel="0" collapsed="false">
      <c r="A5062" s="62" t="n">
        <v>1</v>
      </c>
      <c r="B5062" s="21" t="s">
        <v>336</v>
      </c>
      <c r="C5062" s="62" t="s">
        <v>60</v>
      </c>
      <c r="D5062" s="62" t="s">
        <v>386</v>
      </c>
      <c r="E5062" s="62" t="s">
        <v>72</v>
      </c>
      <c r="F5062" s="62" t="s">
        <v>92</v>
      </c>
      <c r="G5062" s="63" t="s">
        <v>479</v>
      </c>
      <c r="H5062" s="64" t="n">
        <v>0.0766603471601624</v>
      </c>
      <c r="I5062" s="62" t="s">
        <v>878</v>
      </c>
      <c r="J5062" s="64" t="n">
        <v>7.66603471601624</v>
      </c>
      <c r="K5062" s="62" t="s">
        <v>42</v>
      </c>
      <c r="L5062" s="68" t="b">
        <f aca="false">TRUE()</f>
        <v>1</v>
      </c>
    </row>
    <row r="5063" customFormat="false" ht="15" hidden="false" customHeight="false" outlineLevel="0" collapsed="false">
      <c r="A5063" s="62" t="n">
        <v>1</v>
      </c>
      <c r="B5063" s="21" t="s">
        <v>336</v>
      </c>
      <c r="C5063" s="62" t="s">
        <v>60</v>
      </c>
      <c r="D5063" s="62" t="s">
        <v>387</v>
      </c>
      <c r="E5063" s="62" t="s">
        <v>72</v>
      </c>
      <c r="F5063" s="62" t="s">
        <v>92</v>
      </c>
      <c r="G5063" s="63" t="s">
        <v>479</v>
      </c>
      <c r="H5063" s="64" t="n">
        <v>0.180665267312314</v>
      </c>
      <c r="I5063" s="62" t="s">
        <v>878</v>
      </c>
      <c r="J5063" s="64" t="n">
        <v>18.0665267312314</v>
      </c>
      <c r="K5063" s="62" t="s">
        <v>42</v>
      </c>
      <c r="L5063" s="68" t="b">
        <f aca="false">TRUE()</f>
        <v>1</v>
      </c>
    </row>
    <row r="5064" customFormat="false" ht="15" hidden="false" customHeight="false" outlineLevel="0" collapsed="false">
      <c r="A5064" s="62" t="n">
        <v>1</v>
      </c>
      <c r="B5064" s="21" t="s">
        <v>336</v>
      </c>
      <c r="C5064" s="62" t="s">
        <v>60</v>
      </c>
      <c r="D5064" s="62" t="s">
        <v>388</v>
      </c>
      <c r="E5064" s="62" t="s">
        <v>72</v>
      </c>
      <c r="F5064" s="62" t="s">
        <v>92</v>
      </c>
      <c r="G5064" s="63" t="s">
        <v>479</v>
      </c>
      <c r="H5064" s="64" t="n">
        <v>0</v>
      </c>
      <c r="I5064" s="62" t="s">
        <v>878</v>
      </c>
      <c r="J5064" s="64" t="n">
        <v>0</v>
      </c>
      <c r="K5064" s="62" t="s">
        <v>42</v>
      </c>
      <c r="L5064" s="68" t="b">
        <f aca="false">TRUE()</f>
        <v>1</v>
      </c>
    </row>
    <row r="5065" customFormat="false" ht="15" hidden="false" customHeight="false" outlineLevel="0" collapsed="false">
      <c r="A5065" s="62" t="n">
        <v>1</v>
      </c>
      <c r="B5065" s="21" t="s">
        <v>336</v>
      </c>
      <c r="C5065" s="62" t="s">
        <v>60</v>
      </c>
      <c r="D5065" s="62" t="s">
        <v>381</v>
      </c>
      <c r="E5065" s="62" t="s">
        <v>72</v>
      </c>
      <c r="F5065" s="62" t="s">
        <v>94</v>
      </c>
      <c r="G5065" s="63" t="s">
        <v>479</v>
      </c>
      <c r="H5065" s="64" t="n">
        <v>0.49398330762807</v>
      </c>
      <c r="I5065" s="62" t="s">
        <v>878</v>
      </c>
      <c r="J5065" s="64" t="n">
        <v>49.398330762807</v>
      </c>
      <c r="K5065" s="62" t="s">
        <v>42</v>
      </c>
      <c r="L5065" s="68" t="b">
        <f aca="false">TRUE()</f>
        <v>1</v>
      </c>
    </row>
    <row r="5066" customFormat="false" ht="15" hidden="false" customHeight="false" outlineLevel="0" collapsed="false">
      <c r="A5066" s="62" t="n">
        <v>1</v>
      </c>
      <c r="B5066" s="21" t="s">
        <v>336</v>
      </c>
      <c r="C5066" s="62" t="s">
        <v>60</v>
      </c>
      <c r="D5066" s="62" t="s">
        <v>383</v>
      </c>
      <c r="E5066" s="62" t="s">
        <v>72</v>
      </c>
      <c r="F5066" s="62" t="s">
        <v>94</v>
      </c>
      <c r="G5066" s="63" t="s">
        <v>479</v>
      </c>
      <c r="H5066" s="64" t="n">
        <v>0.430112182887419</v>
      </c>
      <c r="I5066" s="62" t="s">
        <v>878</v>
      </c>
      <c r="J5066" s="64" t="n">
        <v>43.0112182887419</v>
      </c>
      <c r="K5066" s="62" t="s">
        <v>42</v>
      </c>
      <c r="L5066" s="68" t="b">
        <f aca="false">TRUE()</f>
        <v>1</v>
      </c>
    </row>
    <row r="5067" customFormat="false" ht="15" hidden="false" customHeight="false" outlineLevel="0" collapsed="false">
      <c r="A5067" s="62" t="n">
        <v>1</v>
      </c>
      <c r="B5067" s="21" t="s">
        <v>336</v>
      </c>
      <c r="C5067" s="62" t="s">
        <v>60</v>
      </c>
      <c r="D5067" s="62" t="s">
        <v>384</v>
      </c>
      <c r="E5067" s="62" t="s">
        <v>72</v>
      </c>
      <c r="F5067" s="62" t="s">
        <v>94</v>
      </c>
      <c r="G5067" s="63" t="s">
        <v>479</v>
      </c>
      <c r="H5067" s="64" t="n">
        <v>0</v>
      </c>
      <c r="I5067" s="62" t="s">
        <v>878</v>
      </c>
      <c r="J5067" s="64" t="n">
        <v>0</v>
      </c>
      <c r="K5067" s="62" t="s">
        <v>42</v>
      </c>
      <c r="L5067" s="68" t="b">
        <f aca="false">TRUE()</f>
        <v>1</v>
      </c>
    </row>
    <row r="5068" customFormat="false" ht="15" hidden="false" customHeight="false" outlineLevel="0" collapsed="false">
      <c r="A5068" s="62" t="n">
        <v>1</v>
      </c>
      <c r="B5068" s="21" t="s">
        <v>336</v>
      </c>
      <c r="C5068" s="62" t="s">
        <v>60</v>
      </c>
      <c r="D5068" s="62" t="s">
        <v>385</v>
      </c>
      <c r="E5068" s="62" t="s">
        <v>72</v>
      </c>
      <c r="F5068" s="62" t="s">
        <v>94</v>
      </c>
      <c r="G5068" s="63" t="s">
        <v>479</v>
      </c>
      <c r="H5068" s="64" t="n">
        <v>0</v>
      </c>
      <c r="I5068" s="62" t="s">
        <v>878</v>
      </c>
      <c r="J5068" s="64" t="n">
        <v>0</v>
      </c>
      <c r="K5068" s="62" t="s">
        <v>42</v>
      </c>
      <c r="L5068" s="68" t="b">
        <f aca="false">TRUE()</f>
        <v>1</v>
      </c>
    </row>
    <row r="5069" customFormat="false" ht="15" hidden="false" customHeight="false" outlineLevel="0" collapsed="false">
      <c r="A5069" s="62" t="n">
        <v>1</v>
      </c>
      <c r="B5069" s="21" t="s">
        <v>336</v>
      </c>
      <c r="C5069" s="62" t="s">
        <v>60</v>
      </c>
      <c r="D5069" s="62" t="s">
        <v>386</v>
      </c>
      <c r="E5069" s="62" t="s">
        <v>72</v>
      </c>
      <c r="F5069" s="62" t="s">
        <v>94</v>
      </c>
      <c r="G5069" s="63" t="s">
        <v>479</v>
      </c>
      <c r="H5069" s="64" t="n">
        <v>0</v>
      </c>
      <c r="I5069" s="62" t="s">
        <v>878</v>
      </c>
      <c r="J5069" s="64" t="n">
        <v>0</v>
      </c>
      <c r="K5069" s="62" t="s">
        <v>42</v>
      </c>
      <c r="L5069" s="68" t="b">
        <f aca="false">TRUE()</f>
        <v>1</v>
      </c>
    </row>
    <row r="5070" customFormat="false" ht="15" hidden="false" customHeight="false" outlineLevel="0" collapsed="false">
      <c r="A5070" s="62" t="n">
        <v>1</v>
      </c>
      <c r="B5070" s="21" t="s">
        <v>336</v>
      </c>
      <c r="C5070" s="62" t="s">
        <v>60</v>
      </c>
      <c r="D5070" s="62" t="s">
        <v>387</v>
      </c>
      <c r="E5070" s="62" t="s">
        <v>72</v>
      </c>
      <c r="F5070" s="62" t="s">
        <v>94</v>
      </c>
      <c r="G5070" s="63" t="s">
        <v>479</v>
      </c>
      <c r="H5070" s="64" t="n">
        <v>0.0759045094845111</v>
      </c>
      <c r="I5070" s="62" t="s">
        <v>878</v>
      </c>
      <c r="J5070" s="64" t="n">
        <v>7.59045094845111</v>
      </c>
      <c r="K5070" s="62" t="s">
        <v>42</v>
      </c>
      <c r="L5070" s="68" t="b">
        <f aca="false">TRUE()</f>
        <v>1</v>
      </c>
    </row>
    <row r="5071" customFormat="false" ht="15" hidden="false" customHeight="false" outlineLevel="0" collapsed="false">
      <c r="A5071" s="62" t="n">
        <v>1</v>
      </c>
      <c r="B5071" s="21" t="s">
        <v>336</v>
      </c>
      <c r="C5071" s="62" t="s">
        <v>60</v>
      </c>
      <c r="D5071" s="62" t="s">
        <v>388</v>
      </c>
      <c r="E5071" s="62" t="s">
        <v>72</v>
      </c>
      <c r="F5071" s="62" t="s">
        <v>94</v>
      </c>
      <c r="G5071" s="63" t="s">
        <v>479</v>
      </c>
      <c r="H5071" s="64" t="n">
        <v>0</v>
      </c>
      <c r="I5071" s="62" t="s">
        <v>878</v>
      </c>
      <c r="J5071" s="64" t="n">
        <v>0</v>
      </c>
      <c r="K5071" s="62" t="s">
        <v>42</v>
      </c>
      <c r="L5071" s="68" t="b">
        <f aca="false">TRUE()</f>
        <v>1</v>
      </c>
    </row>
    <row r="5072" customFormat="false" ht="15" hidden="false" customHeight="false" outlineLevel="0" collapsed="false">
      <c r="A5072" s="62" t="n">
        <v>1</v>
      </c>
      <c r="B5072" s="21" t="s">
        <v>336</v>
      </c>
      <c r="C5072" s="62" t="s">
        <v>60</v>
      </c>
      <c r="D5072" s="62" t="s">
        <v>381</v>
      </c>
      <c r="E5072" s="62" t="s">
        <v>72</v>
      </c>
      <c r="F5072" s="62" t="s">
        <v>95</v>
      </c>
      <c r="G5072" s="63" t="s">
        <v>479</v>
      </c>
      <c r="H5072" s="64" t="n">
        <v>0</v>
      </c>
      <c r="I5072" s="62" t="s">
        <v>878</v>
      </c>
      <c r="J5072" s="64" t="n">
        <v>0</v>
      </c>
      <c r="K5072" s="62" t="s">
        <v>42</v>
      </c>
      <c r="L5072" s="68" t="b">
        <f aca="false">TRUE()</f>
        <v>1</v>
      </c>
    </row>
    <row r="5073" customFormat="false" ht="15" hidden="false" customHeight="false" outlineLevel="0" collapsed="false">
      <c r="A5073" s="62" t="n">
        <v>1</v>
      </c>
      <c r="B5073" s="21" t="s">
        <v>336</v>
      </c>
      <c r="C5073" s="62" t="s">
        <v>60</v>
      </c>
      <c r="D5073" s="62" t="s">
        <v>383</v>
      </c>
      <c r="E5073" s="62" t="s">
        <v>72</v>
      </c>
      <c r="F5073" s="62" t="s">
        <v>95</v>
      </c>
      <c r="G5073" s="63" t="s">
        <v>479</v>
      </c>
      <c r="H5073" s="64" t="n">
        <v>0</v>
      </c>
      <c r="I5073" s="62" t="s">
        <v>878</v>
      </c>
      <c r="J5073" s="64" t="n">
        <v>0</v>
      </c>
      <c r="K5073" s="62" t="s">
        <v>42</v>
      </c>
      <c r="L5073" s="68" t="b">
        <f aca="false">TRUE()</f>
        <v>1</v>
      </c>
    </row>
    <row r="5074" customFormat="false" ht="15" hidden="false" customHeight="false" outlineLevel="0" collapsed="false">
      <c r="A5074" s="62" t="n">
        <v>1</v>
      </c>
      <c r="B5074" s="21" t="s">
        <v>336</v>
      </c>
      <c r="C5074" s="62" t="s">
        <v>60</v>
      </c>
      <c r="D5074" s="62" t="s">
        <v>384</v>
      </c>
      <c r="E5074" s="62" t="s">
        <v>72</v>
      </c>
      <c r="F5074" s="62" t="s">
        <v>95</v>
      </c>
      <c r="G5074" s="63" t="s">
        <v>479</v>
      </c>
      <c r="H5074" s="64" t="n">
        <v>0</v>
      </c>
      <c r="I5074" s="62" t="s">
        <v>878</v>
      </c>
      <c r="J5074" s="64" t="n">
        <v>0</v>
      </c>
      <c r="K5074" s="62" t="s">
        <v>42</v>
      </c>
      <c r="L5074" s="68" t="b">
        <f aca="false">TRUE()</f>
        <v>1</v>
      </c>
    </row>
    <row r="5075" customFormat="false" ht="15" hidden="false" customHeight="false" outlineLevel="0" collapsed="false">
      <c r="A5075" s="62" t="n">
        <v>1</v>
      </c>
      <c r="B5075" s="21" t="s">
        <v>336</v>
      </c>
      <c r="C5075" s="62" t="s">
        <v>60</v>
      </c>
      <c r="D5075" s="62" t="s">
        <v>385</v>
      </c>
      <c r="E5075" s="62" t="s">
        <v>72</v>
      </c>
      <c r="F5075" s="62" t="s">
        <v>95</v>
      </c>
      <c r="G5075" s="63" t="s">
        <v>479</v>
      </c>
      <c r="H5075" s="64" t="n">
        <v>0</v>
      </c>
      <c r="I5075" s="62" t="s">
        <v>878</v>
      </c>
      <c r="J5075" s="64" t="n">
        <v>0</v>
      </c>
      <c r="K5075" s="62" t="s">
        <v>42</v>
      </c>
      <c r="L5075" s="68" t="b">
        <f aca="false">TRUE()</f>
        <v>1</v>
      </c>
    </row>
    <row r="5076" customFormat="false" ht="15" hidden="false" customHeight="false" outlineLevel="0" collapsed="false">
      <c r="A5076" s="62" t="n">
        <v>1</v>
      </c>
      <c r="B5076" s="21" t="s">
        <v>336</v>
      </c>
      <c r="C5076" s="62" t="s">
        <v>60</v>
      </c>
      <c r="D5076" s="62" t="s">
        <v>386</v>
      </c>
      <c r="E5076" s="62" t="s">
        <v>72</v>
      </c>
      <c r="F5076" s="62" t="s">
        <v>95</v>
      </c>
      <c r="G5076" s="63" t="s">
        <v>479</v>
      </c>
      <c r="H5076" s="64" t="n">
        <v>0</v>
      </c>
      <c r="I5076" s="62" t="s">
        <v>878</v>
      </c>
      <c r="J5076" s="64" t="n">
        <v>0</v>
      </c>
      <c r="K5076" s="62" t="s">
        <v>42</v>
      </c>
      <c r="L5076" s="68" t="b">
        <f aca="false">TRUE()</f>
        <v>1</v>
      </c>
    </row>
    <row r="5077" customFormat="false" ht="15" hidden="false" customHeight="false" outlineLevel="0" collapsed="false">
      <c r="A5077" s="62" t="n">
        <v>1</v>
      </c>
      <c r="B5077" s="21" t="s">
        <v>336</v>
      </c>
      <c r="C5077" s="62" t="s">
        <v>60</v>
      </c>
      <c r="D5077" s="62" t="s">
        <v>387</v>
      </c>
      <c r="E5077" s="62" t="s">
        <v>72</v>
      </c>
      <c r="F5077" s="62" t="s">
        <v>95</v>
      </c>
      <c r="G5077" s="63" t="s">
        <v>479</v>
      </c>
      <c r="H5077" s="64" t="n">
        <v>0</v>
      </c>
      <c r="I5077" s="62" t="s">
        <v>878</v>
      </c>
      <c r="J5077" s="64" t="n">
        <v>0</v>
      </c>
      <c r="K5077" s="62" t="s">
        <v>42</v>
      </c>
      <c r="L5077" s="68" t="b">
        <f aca="false">TRUE()</f>
        <v>1</v>
      </c>
    </row>
    <row r="5078" customFormat="false" ht="15" hidden="false" customHeight="false" outlineLevel="0" collapsed="false">
      <c r="A5078" s="62" t="n">
        <v>1</v>
      </c>
      <c r="B5078" s="21" t="s">
        <v>336</v>
      </c>
      <c r="C5078" s="62" t="s">
        <v>60</v>
      </c>
      <c r="D5078" s="62" t="s">
        <v>388</v>
      </c>
      <c r="E5078" s="62" t="s">
        <v>72</v>
      </c>
      <c r="F5078" s="62" t="s">
        <v>95</v>
      </c>
      <c r="G5078" s="63" t="s">
        <v>479</v>
      </c>
      <c r="H5078" s="64" t="n">
        <v>0</v>
      </c>
      <c r="I5078" s="62" t="s">
        <v>878</v>
      </c>
      <c r="J5078" s="64" t="n">
        <v>0</v>
      </c>
      <c r="K5078" s="62" t="s">
        <v>42</v>
      </c>
      <c r="L5078" s="68" t="b">
        <f aca="false">TRUE()</f>
        <v>1</v>
      </c>
    </row>
    <row r="5079" customFormat="false" ht="15" hidden="false" customHeight="false" outlineLevel="0" collapsed="false">
      <c r="A5079" s="62" t="n">
        <v>1</v>
      </c>
      <c r="B5079" s="21" t="s">
        <v>336</v>
      </c>
      <c r="C5079" s="62" t="s">
        <v>60</v>
      </c>
      <c r="D5079" s="62" t="s">
        <v>381</v>
      </c>
      <c r="E5079" s="62" t="s">
        <v>72</v>
      </c>
      <c r="F5079" s="62" t="s">
        <v>97</v>
      </c>
      <c r="G5079" s="63" t="s">
        <v>479</v>
      </c>
      <c r="H5079" s="64" t="n">
        <v>0</v>
      </c>
      <c r="I5079" s="62" t="s">
        <v>878</v>
      </c>
      <c r="J5079" s="64" t="n">
        <v>0</v>
      </c>
      <c r="K5079" s="62" t="s">
        <v>42</v>
      </c>
      <c r="L5079" s="68" t="b">
        <f aca="false">TRUE()</f>
        <v>1</v>
      </c>
    </row>
    <row r="5080" customFormat="false" ht="15" hidden="false" customHeight="false" outlineLevel="0" collapsed="false">
      <c r="A5080" s="62" t="n">
        <v>1</v>
      </c>
      <c r="B5080" s="21" t="s">
        <v>336</v>
      </c>
      <c r="C5080" s="62" t="s">
        <v>60</v>
      </c>
      <c r="D5080" s="62" t="s">
        <v>383</v>
      </c>
      <c r="E5080" s="62" t="s">
        <v>72</v>
      </c>
      <c r="F5080" s="62" t="s">
        <v>97</v>
      </c>
      <c r="G5080" s="63" t="s">
        <v>479</v>
      </c>
      <c r="H5080" s="64" t="n">
        <v>0</v>
      </c>
      <c r="I5080" s="62" t="s">
        <v>878</v>
      </c>
      <c r="J5080" s="64" t="n">
        <v>0</v>
      </c>
      <c r="K5080" s="62" t="s">
        <v>42</v>
      </c>
      <c r="L5080" s="68" t="b">
        <f aca="false">TRUE()</f>
        <v>1</v>
      </c>
    </row>
    <row r="5081" customFormat="false" ht="15" hidden="false" customHeight="false" outlineLevel="0" collapsed="false">
      <c r="A5081" s="62" t="n">
        <v>1</v>
      </c>
      <c r="B5081" s="21" t="s">
        <v>336</v>
      </c>
      <c r="C5081" s="62" t="s">
        <v>60</v>
      </c>
      <c r="D5081" s="62" t="s">
        <v>384</v>
      </c>
      <c r="E5081" s="62" t="s">
        <v>72</v>
      </c>
      <c r="F5081" s="62" t="s">
        <v>97</v>
      </c>
      <c r="G5081" s="63" t="s">
        <v>479</v>
      </c>
      <c r="H5081" s="64" t="n">
        <v>0</v>
      </c>
      <c r="I5081" s="62" t="s">
        <v>878</v>
      </c>
      <c r="J5081" s="64" t="n">
        <v>0</v>
      </c>
      <c r="K5081" s="62" t="s">
        <v>42</v>
      </c>
      <c r="L5081" s="68" t="b">
        <f aca="false">TRUE()</f>
        <v>1</v>
      </c>
    </row>
    <row r="5082" customFormat="false" ht="15" hidden="false" customHeight="false" outlineLevel="0" collapsed="false">
      <c r="A5082" s="62" t="n">
        <v>1</v>
      </c>
      <c r="B5082" s="21" t="s">
        <v>336</v>
      </c>
      <c r="C5082" s="62" t="s">
        <v>60</v>
      </c>
      <c r="D5082" s="62" t="s">
        <v>385</v>
      </c>
      <c r="E5082" s="62" t="s">
        <v>72</v>
      </c>
      <c r="F5082" s="62" t="s">
        <v>97</v>
      </c>
      <c r="G5082" s="63" t="s">
        <v>479</v>
      </c>
      <c r="H5082" s="64" t="n">
        <v>0</v>
      </c>
      <c r="I5082" s="62" t="s">
        <v>878</v>
      </c>
      <c r="J5082" s="64" t="n">
        <v>0</v>
      </c>
      <c r="K5082" s="62" t="s">
        <v>42</v>
      </c>
      <c r="L5082" s="68" t="b">
        <f aca="false">TRUE()</f>
        <v>1</v>
      </c>
    </row>
    <row r="5083" customFormat="false" ht="15" hidden="false" customHeight="false" outlineLevel="0" collapsed="false">
      <c r="A5083" s="62" t="n">
        <v>1</v>
      </c>
      <c r="B5083" s="21" t="s">
        <v>336</v>
      </c>
      <c r="C5083" s="62" t="s">
        <v>60</v>
      </c>
      <c r="D5083" s="62" t="s">
        <v>386</v>
      </c>
      <c r="E5083" s="62" t="s">
        <v>72</v>
      </c>
      <c r="F5083" s="62" t="s">
        <v>97</v>
      </c>
      <c r="G5083" s="63" t="s">
        <v>479</v>
      </c>
      <c r="H5083" s="64" t="n">
        <v>0</v>
      </c>
      <c r="I5083" s="62" t="s">
        <v>878</v>
      </c>
      <c r="J5083" s="64" t="n">
        <v>0</v>
      </c>
      <c r="K5083" s="62" t="s">
        <v>42</v>
      </c>
      <c r="L5083" s="68" t="b">
        <f aca="false">TRUE()</f>
        <v>1</v>
      </c>
    </row>
    <row r="5084" customFormat="false" ht="15" hidden="false" customHeight="false" outlineLevel="0" collapsed="false">
      <c r="A5084" s="62" t="n">
        <v>1</v>
      </c>
      <c r="B5084" s="21" t="s">
        <v>336</v>
      </c>
      <c r="C5084" s="62" t="s">
        <v>60</v>
      </c>
      <c r="D5084" s="62" t="s">
        <v>387</v>
      </c>
      <c r="E5084" s="62" t="s">
        <v>72</v>
      </c>
      <c r="F5084" s="62" t="s">
        <v>97</v>
      </c>
      <c r="G5084" s="63" t="s">
        <v>479</v>
      </c>
      <c r="H5084" s="64" t="n">
        <v>0</v>
      </c>
      <c r="I5084" s="62" t="s">
        <v>878</v>
      </c>
      <c r="J5084" s="64" t="n">
        <v>0</v>
      </c>
      <c r="K5084" s="62" t="s">
        <v>42</v>
      </c>
      <c r="L5084" s="68" t="b">
        <f aca="false">TRUE()</f>
        <v>1</v>
      </c>
    </row>
    <row r="5085" customFormat="false" ht="15" hidden="false" customHeight="false" outlineLevel="0" collapsed="false">
      <c r="A5085" s="62" t="n">
        <v>1</v>
      </c>
      <c r="B5085" s="21" t="s">
        <v>336</v>
      </c>
      <c r="C5085" s="62" t="s">
        <v>60</v>
      </c>
      <c r="D5085" s="62" t="s">
        <v>388</v>
      </c>
      <c r="E5085" s="62" t="s">
        <v>72</v>
      </c>
      <c r="F5085" s="62" t="s">
        <v>97</v>
      </c>
      <c r="G5085" s="63" t="s">
        <v>479</v>
      </c>
      <c r="H5085" s="64" t="n">
        <v>0</v>
      </c>
      <c r="I5085" s="62" t="s">
        <v>878</v>
      </c>
      <c r="J5085" s="64" t="n">
        <v>0</v>
      </c>
      <c r="K5085" s="62" t="s">
        <v>42</v>
      </c>
      <c r="L5085" s="68" t="b">
        <f aca="false">TRUE()</f>
        <v>1</v>
      </c>
    </row>
    <row r="5086" customFormat="false" ht="15" hidden="false" customHeight="false" outlineLevel="0" collapsed="false">
      <c r="A5086" s="62" t="n">
        <v>1</v>
      </c>
      <c r="B5086" s="21" t="s">
        <v>336</v>
      </c>
      <c r="C5086" s="62" t="s">
        <v>60</v>
      </c>
      <c r="D5086" s="62" t="s">
        <v>381</v>
      </c>
      <c r="E5086" s="62" t="s">
        <v>72</v>
      </c>
      <c r="F5086" s="62" t="s">
        <v>382</v>
      </c>
      <c r="G5086" s="63" t="s">
        <v>486</v>
      </c>
      <c r="H5086" s="64" t="n">
        <v>0.149427070400014</v>
      </c>
      <c r="I5086" s="62" t="s">
        <v>878</v>
      </c>
      <c r="J5086" s="64" t="n">
        <v>14.9427070400014</v>
      </c>
      <c r="K5086" s="62" t="s">
        <v>42</v>
      </c>
      <c r="L5086" s="68" t="b">
        <f aca="false">TRUE()</f>
        <v>1</v>
      </c>
    </row>
    <row r="5087" customFormat="false" ht="15" hidden="false" customHeight="false" outlineLevel="0" collapsed="false">
      <c r="A5087" s="62" t="n">
        <v>1</v>
      </c>
      <c r="B5087" s="21" t="s">
        <v>336</v>
      </c>
      <c r="C5087" s="62" t="s">
        <v>60</v>
      </c>
      <c r="D5087" s="62" t="s">
        <v>383</v>
      </c>
      <c r="E5087" s="62" t="s">
        <v>72</v>
      </c>
      <c r="F5087" s="62" t="s">
        <v>382</v>
      </c>
      <c r="G5087" s="63" t="s">
        <v>486</v>
      </c>
      <c r="H5087" s="64" t="n">
        <v>0.271966885019436</v>
      </c>
      <c r="I5087" s="62" t="s">
        <v>878</v>
      </c>
      <c r="J5087" s="64" t="n">
        <v>27.1966885019436</v>
      </c>
      <c r="K5087" s="62" t="s">
        <v>42</v>
      </c>
      <c r="L5087" s="68" t="b">
        <f aca="false">TRUE()</f>
        <v>1</v>
      </c>
    </row>
    <row r="5088" customFormat="false" ht="15" hidden="false" customHeight="false" outlineLevel="0" collapsed="false">
      <c r="A5088" s="62" t="n">
        <v>1</v>
      </c>
      <c r="B5088" s="21" t="s">
        <v>336</v>
      </c>
      <c r="C5088" s="62" t="s">
        <v>60</v>
      </c>
      <c r="D5088" s="62" t="s">
        <v>384</v>
      </c>
      <c r="E5088" s="62" t="s">
        <v>72</v>
      </c>
      <c r="F5088" s="62" t="s">
        <v>382</v>
      </c>
      <c r="G5088" s="63" t="s">
        <v>486</v>
      </c>
      <c r="H5088" s="64" t="n">
        <v>0.266672551532161</v>
      </c>
      <c r="I5088" s="62" t="s">
        <v>878</v>
      </c>
      <c r="J5088" s="64" t="n">
        <v>26.6672551532161</v>
      </c>
      <c r="K5088" s="62" t="s">
        <v>42</v>
      </c>
      <c r="L5088" s="68" t="b">
        <f aca="false">TRUE()</f>
        <v>1</v>
      </c>
    </row>
    <row r="5089" customFormat="false" ht="15" hidden="false" customHeight="false" outlineLevel="0" collapsed="false">
      <c r="A5089" s="62" t="n">
        <v>1</v>
      </c>
      <c r="B5089" s="21" t="s">
        <v>336</v>
      </c>
      <c r="C5089" s="62" t="s">
        <v>60</v>
      </c>
      <c r="D5089" s="62" t="s">
        <v>385</v>
      </c>
      <c r="E5089" s="62" t="s">
        <v>72</v>
      </c>
      <c r="F5089" s="62" t="s">
        <v>382</v>
      </c>
      <c r="G5089" s="63" t="s">
        <v>486</v>
      </c>
      <c r="H5089" s="64" t="n">
        <v>0.0844086349543867</v>
      </c>
      <c r="I5089" s="62" t="s">
        <v>878</v>
      </c>
      <c r="J5089" s="64" t="n">
        <v>8.44086349543867</v>
      </c>
      <c r="K5089" s="62" t="s">
        <v>42</v>
      </c>
      <c r="L5089" s="68" t="b">
        <f aca="false">TRUE()</f>
        <v>1</v>
      </c>
    </row>
    <row r="5090" customFormat="false" ht="15" hidden="false" customHeight="false" outlineLevel="0" collapsed="false">
      <c r="A5090" s="62" t="n">
        <v>1</v>
      </c>
      <c r="B5090" s="21" t="s">
        <v>336</v>
      </c>
      <c r="C5090" s="62" t="s">
        <v>60</v>
      </c>
      <c r="D5090" s="62" t="s">
        <v>386</v>
      </c>
      <c r="E5090" s="62" t="s">
        <v>72</v>
      </c>
      <c r="F5090" s="62" t="s">
        <v>382</v>
      </c>
      <c r="G5090" s="63" t="s">
        <v>486</v>
      </c>
      <c r="H5090" s="64" t="n">
        <v>0.064067896409955</v>
      </c>
      <c r="I5090" s="62" t="s">
        <v>878</v>
      </c>
      <c r="J5090" s="64" t="n">
        <v>6.4067896409955</v>
      </c>
      <c r="K5090" s="62" t="s">
        <v>42</v>
      </c>
      <c r="L5090" s="68" t="b">
        <f aca="false">TRUE()</f>
        <v>1</v>
      </c>
    </row>
    <row r="5091" customFormat="false" ht="15" hidden="false" customHeight="false" outlineLevel="0" collapsed="false">
      <c r="A5091" s="62" t="n">
        <v>1</v>
      </c>
      <c r="B5091" s="21" t="s">
        <v>336</v>
      </c>
      <c r="C5091" s="62" t="s">
        <v>60</v>
      </c>
      <c r="D5091" s="62" t="s">
        <v>387</v>
      </c>
      <c r="E5091" s="62" t="s">
        <v>72</v>
      </c>
      <c r="F5091" s="62" t="s">
        <v>382</v>
      </c>
      <c r="G5091" s="63" t="s">
        <v>486</v>
      </c>
      <c r="H5091" s="64" t="n">
        <v>0.163456961684048</v>
      </c>
      <c r="I5091" s="62" t="s">
        <v>878</v>
      </c>
      <c r="J5091" s="64" t="n">
        <v>16.3456961684048</v>
      </c>
      <c r="K5091" s="62" t="s">
        <v>42</v>
      </c>
      <c r="L5091" s="68" t="b">
        <f aca="false">TRUE()</f>
        <v>1</v>
      </c>
    </row>
    <row r="5092" customFormat="false" ht="15" hidden="false" customHeight="false" outlineLevel="0" collapsed="false">
      <c r="A5092" s="62" t="n">
        <v>1</v>
      </c>
      <c r="B5092" s="21" t="s">
        <v>336</v>
      </c>
      <c r="C5092" s="62" t="s">
        <v>60</v>
      </c>
      <c r="D5092" s="62" t="s">
        <v>388</v>
      </c>
      <c r="E5092" s="62" t="s">
        <v>72</v>
      </c>
      <c r="F5092" s="62" t="s">
        <v>382</v>
      </c>
      <c r="G5092" s="63" t="s">
        <v>486</v>
      </c>
      <c r="H5092" s="64" t="n">
        <v>0</v>
      </c>
      <c r="I5092" s="62" t="s">
        <v>878</v>
      </c>
      <c r="J5092" s="64" t="n">
        <v>0</v>
      </c>
      <c r="K5092" s="62" t="s">
        <v>42</v>
      </c>
      <c r="L5092" s="68" t="b">
        <f aca="false">TRUE()</f>
        <v>1</v>
      </c>
    </row>
    <row r="5093" customFormat="false" ht="15" hidden="false" customHeight="false" outlineLevel="0" collapsed="false">
      <c r="A5093" s="62" t="n">
        <v>1</v>
      </c>
      <c r="B5093" s="21" t="s">
        <v>336</v>
      </c>
      <c r="C5093" s="62" t="s">
        <v>60</v>
      </c>
      <c r="D5093" s="62" t="s">
        <v>381</v>
      </c>
      <c r="E5093" s="62" t="s">
        <v>382</v>
      </c>
      <c r="F5093" s="62" t="s">
        <v>382</v>
      </c>
      <c r="G5093" s="63" t="s">
        <v>489</v>
      </c>
      <c r="H5093" s="64" t="n">
        <v>5300</v>
      </c>
      <c r="I5093" s="62"/>
      <c r="J5093" s="64" t="n">
        <v>5300</v>
      </c>
      <c r="K5093" s="62"/>
      <c r="L5093" s="68" t="b">
        <f aca="false">TRUE()</f>
        <v>1</v>
      </c>
    </row>
    <row r="5094" customFormat="false" ht="15" hidden="false" customHeight="false" outlineLevel="0" collapsed="false">
      <c r="A5094" s="62" t="n">
        <v>1</v>
      </c>
      <c r="B5094" s="21" t="s">
        <v>336</v>
      </c>
      <c r="C5094" s="62" t="s">
        <v>60</v>
      </c>
      <c r="D5094" s="62" t="s">
        <v>383</v>
      </c>
      <c r="E5094" s="62" t="s">
        <v>382</v>
      </c>
      <c r="F5094" s="62" t="s">
        <v>382</v>
      </c>
      <c r="G5094" s="63" t="s">
        <v>489</v>
      </c>
      <c r="H5094" s="64" t="n">
        <v>5500</v>
      </c>
      <c r="I5094" s="62"/>
      <c r="J5094" s="64" t="n">
        <v>5500</v>
      </c>
      <c r="K5094" s="62"/>
      <c r="L5094" s="68" t="b">
        <f aca="false">TRUE()</f>
        <v>1</v>
      </c>
    </row>
    <row r="5095" customFormat="false" ht="15" hidden="false" customHeight="false" outlineLevel="0" collapsed="false">
      <c r="A5095" s="62" t="n">
        <v>1</v>
      </c>
      <c r="B5095" s="21" t="s">
        <v>336</v>
      </c>
      <c r="C5095" s="62" t="s">
        <v>60</v>
      </c>
      <c r="D5095" s="62" t="s">
        <v>384</v>
      </c>
      <c r="E5095" s="62" t="s">
        <v>382</v>
      </c>
      <c r="F5095" s="62" t="s">
        <v>382</v>
      </c>
      <c r="G5095" s="63" t="s">
        <v>489</v>
      </c>
      <c r="H5095" s="64" t="n">
        <v>6000</v>
      </c>
      <c r="I5095" s="62"/>
      <c r="J5095" s="64" t="n">
        <v>6000</v>
      </c>
      <c r="K5095" s="62"/>
      <c r="L5095" s="68" t="b">
        <f aca="false">TRUE()</f>
        <v>1</v>
      </c>
    </row>
    <row r="5096" customFormat="false" ht="15" hidden="false" customHeight="false" outlineLevel="0" collapsed="false">
      <c r="A5096" s="62" t="n">
        <v>1</v>
      </c>
      <c r="B5096" s="21" t="s">
        <v>336</v>
      </c>
      <c r="C5096" s="62" t="s">
        <v>60</v>
      </c>
      <c r="D5096" s="62" t="s">
        <v>385</v>
      </c>
      <c r="E5096" s="62" t="s">
        <v>382</v>
      </c>
      <c r="F5096" s="62" t="s">
        <v>382</v>
      </c>
      <c r="G5096" s="63" t="s">
        <v>489</v>
      </c>
      <c r="H5096" s="64" t="n">
        <v>6500</v>
      </c>
      <c r="I5096" s="62"/>
      <c r="J5096" s="64" t="n">
        <v>6500</v>
      </c>
      <c r="K5096" s="62"/>
      <c r="L5096" s="68" t="b">
        <f aca="false">TRUE()</f>
        <v>1</v>
      </c>
    </row>
    <row r="5097" customFormat="false" ht="15" hidden="false" customHeight="false" outlineLevel="0" collapsed="false">
      <c r="A5097" s="62" t="n">
        <v>1</v>
      </c>
      <c r="B5097" s="21" t="s">
        <v>336</v>
      </c>
      <c r="C5097" s="62" t="s">
        <v>60</v>
      </c>
      <c r="D5097" s="62" t="s">
        <v>386</v>
      </c>
      <c r="E5097" s="62" t="s">
        <v>382</v>
      </c>
      <c r="F5097" s="62" t="s">
        <v>382</v>
      </c>
      <c r="G5097" s="63" t="s">
        <v>489</v>
      </c>
      <c r="H5097" s="64" t="n">
        <v>5500</v>
      </c>
      <c r="I5097" s="62"/>
      <c r="J5097" s="64" t="n">
        <v>5500</v>
      </c>
      <c r="K5097" s="62"/>
      <c r="L5097" s="68" t="b">
        <f aca="false">TRUE()</f>
        <v>1</v>
      </c>
    </row>
    <row r="5098" customFormat="false" ht="15" hidden="false" customHeight="false" outlineLevel="0" collapsed="false">
      <c r="A5098" s="62" t="n">
        <v>1</v>
      </c>
      <c r="B5098" s="21" t="s">
        <v>336</v>
      </c>
      <c r="C5098" s="62" t="s">
        <v>60</v>
      </c>
      <c r="D5098" s="62" t="s">
        <v>387</v>
      </c>
      <c r="E5098" s="62" t="s">
        <v>382</v>
      </c>
      <c r="F5098" s="62" t="s">
        <v>382</v>
      </c>
      <c r="G5098" s="63" t="s">
        <v>489</v>
      </c>
      <c r="H5098" s="64" t="n">
        <v>7000</v>
      </c>
      <c r="I5098" s="62"/>
      <c r="J5098" s="64" t="n">
        <v>7000</v>
      </c>
      <c r="K5098" s="62"/>
      <c r="L5098" s="68" t="b">
        <f aca="false">TRUE()</f>
        <v>1</v>
      </c>
    </row>
    <row r="5099" customFormat="false" ht="15" hidden="false" customHeight="false" outlineLevel="0" collapsed="false">
      <c r="A5099" s="62" t="n">
        <v>1</v>
      </c>
      <c r="B5099" s="21" t="s">
        <v>336</v>
      </c>
      <c r="C5099" s="62" t="s">
        <v>60</v>
      </c>
      <c r="D5099" s="62" t="s">
        <v>388</v>
      </c>
      <c r="E5099" s="62" t="s">
        <v>382</v>
      </c>
      <c r="F5099" s="62" t="s">
        <v>382</v>
      </c>
      <c r="G5099" s="63" t="s">
        <v>489</v>
      </c>
      <c r="H5099" s="64" t="n">
        <v>6000</v>
      </c>
      <c r="I5099" s="62"/>
      <c r="J5099" s="64" t="n">
        <v>6000</v>
      </c>
      <c r="K5099" s="62"/>
      <c r="L5099" s="68" t="b">
        <f aca="false">TRUE()</f>
        <v>1</v>
      </c>
    </row>
    <row r="5100" customFormat="false" ht="15" hidden="false" customHeight="false" outlineLevel="0" collapsed="false">
      <c r="A5100" s="62" t="n">
        <v>1</v>
      </c>
      <c r="B5100" s="21" t="s">
        <v>336</v>
      </c>
      <c r="C5100" s="62" t="s">
        <v>60</v>
      </c>
      <c r="D5100" s="62" t="s">
        <v>381</v>
      </c>
      <c r="E5100" s="62" t="s">
        <v>382</v>
      </c>
      <c r="F5100" s="62" t="s">
        <v>382</v>
      </c>
      <c r="G5100" s="63" t="s">
        <v>490</v>
      </c>
      <c r="H5100" s="64" t="n">
        <v>700</v>
      </c>
      <c r="I5100" s="62"/>
      <c r="J5100" s="64" t="n">
        <v>700</v>
      </c>
      <c r="K5100" s="62"/>
      <c r="L5100" s="68" t="b">
        <f aca="false">TRUE()</f>
        <v>1</v>
      </c>
    </row>
    <row r="5101" customFormat="false" ht="15" hidden="false" customHeight="false" outlineLevel="0" collapsed="false">
      <c r="A5101" s="62" t="n">
        <v>1</v>
      </c>
      <c r="B5101" s="21" t="s">
        <v>336</v>
      </c>
      <c r="C5101" s="62" t="s">
        <v>60</v>
      </c>
      <c r="D5101" s="62" t="s">
        <v>383</v>
      </c>
      <c r="E5101" s="62" t="s">
        <v>382</v>
      </c>
      <c r="F5101" s="62" t="s">
        <v>382</v>
      </c>
      <c r="G5101" s="63" t="s">
        <v>490</v>
      </c>
      <c r="H5101" s="64" t="n">
        <v>660</v>
      </c>
      <c r="I5101" s="62"/>
      <c r="J5101" s="64" t="n">
        <v>660</v>
      </c>
      <c r="K5101" s="62"/>
      <c r="L5101" s="68" t="b">
        <f aca="false">TRUE()</f>
        <v>1</v>
      </c>
    </row>
    <row r="5102" customFormat="false" ht="15" hidden="false" customHeight="false" outlineLevel="0" collapsed="false">
      <c r="A5102" s="62" t="n">
        <v>1</v>
      </c>
      <c r="B5102" s="21" t="s">
        <v>336</v>
      </c>
      <c r="C5102" s="62" t="s">
        <v>60</v>
      </c>
      <c r="D5102" s="62" t="s">
        <v>384</v>
      </c>
      <c r="E5102" s="62" t="s">
        <v>382</v>
      </c>
      <c r="F5102" s="62" t="s">
        <v>382</v>
      </c>
      <c r="G5102" s="63" t="s">
        <v>490</v>
      </c>
      <c r="H5102" s="64" t="n">
        <v>600</v>
      </c>
      <c r="I5102" s="62"/>
      <c r="J5102" s="64" t="n">
        <v>600</v>
      </c>
      <c r="K5102" s="62"/>
      <c r="L5102" s="68" t="b">
        <f aca="false">TRUE()</f>
        <v>1</v>
      </c>
    </row>
    <row r="5103" customFormat="false" ht="15" hidden="false" customHeight="false" outlineLevel="0" collapsed="false">
      <c r="A5103" s="62" t="n">
        <v>1</v>
      </c>
      <c r="B5103" s="21" t="s">
        <v>336</v>
      </c>
      <c r="C5103" s="62" t="s">
        <v>60</v>
      </c>
      <c r="D5103" s="62" t="s">
        <v>385</v>
      </c>
      <c r="E5103" s="62" t="s">
        <v>382</v>
      </c>
      <c r="F5103" s="62" t="s">
        <v>382</v>
      </c>
      <c r="G5103" s="63" t="s">
        <v>490</v>
      </c>
      <c r="H5103" s="64" t="n">
        <v>700</v>
      </c>
      <c r="I5103" s="62"/>
      <c r="J5103" s="64" t="n">
        <v>700</v>
      </c>
      <c r="K5103" s="62"/>
      <c r="L5103" s="68" t="b">
        <f aca="false">TRUE()</f>
        <v>1</v>
      </c>
    </row>
    <row r="5104" customFormat="false" ht="15" hidden="false" customHeight="false" outlineLevel="0" collapsed="false">
      <c r="A5104" s="62" t="n">
        <v>1</v>
      </c>
      <c r="B5104" s="21" t="s">
        <v>336</v>
      </c>
      <c r="C5104" s="62" t="s">
        <v>60</v>
      </c>
      <c r="D5104" s="62" t="s">
        <v>386</v>
      </c>
      <c r="E5104" s="62" t="s">
        <v>382</v>
      </c>
      <c r="F5104" s="62" t="s">
        <v>382</v>
      </c>
      <c r="G5104" s="63" t="s">
        <v>490</v>
      </c>
      <c r="H5104" s="64" t="n">
        <v>1500</v>
      </c>
      <c r="I5104" s="62"/>
      <c r="J5104" s="64" t="n">
        <v>1500</v>
      </c>
      <c r="K5104" s="62"/>
      <c r="L5104" s="68" t="b">
        <f aca="false">TRUE()</f>
        <v>1</v>
      </c>
    </row>
    <row r="5105" customFormat="false" ht="15" hidden="false" customHeight="false" outlineLevel="0" collapsed="false">
      <c r="A5105" s="62" t="n">
        <v>1</v>
      </c>
      <c r="B5105" s="21" t="s">
        <v>336</v>
      </c>
      <c r="C5105" s="62" t="s">
        <v>60</v>
      </c>
      <c r="D5105" s="62" t="s">
        <v>387</v>
      </c>
      <c r="E5105" s="62" t="s">
        <v>382</v>
      </c>
      <c r="F5105" s="62" t="s">
        <v>382</v>
      </c>
      <c r="G5105" s="63" t="s">
        <v>490</v>
      </c>
      <c r="H5105" s="64" t="n">
        <v>1400</v>
      </c>
      <c r="I5105" s="62"/>
      <c r="J5105" s="64" t="n">
        <v>1400</v>
      </c>
      <c r="K5105" s="62"/>
      <c r="L5105" s="68" t="b">
        <f aca="false">TRUE()</f>
        <v>1</v>
      </c>
    </row>
    <row r="5106" customFormat="false" ht="15" hidden="false" customHeight="false" outlineLevel="0" collapsed="false">
      <c r="A5106" s="62" t="n">
        <v>1</v>
      </c>
      <c r="B5106" s="21" t="s">
        <v>336</v>
      </c>
      <c r="C5106" s="62" t="s">
        <v>60</v>
      </c>
      <c r="D5106" s="62" t="s">
        <v>388</v>
      </c>
      <c r="E5106" s="62" t="s">
        <v>382</v>
      </c>
      <c r="F5106" s="62" t="s">
        <v>382</v>
      </c>
      <c r="G5106" s="63" t="s">
        <v>490</v>
      </c>
      <c r="H5106" s="64" t="n">
        <v>600</v>
      </c>
      <c r="I5106" s="62"/>
      <c r="J5106" s="64" t="n">
        <v>600</v>
      </c>
      <c r="K5106" s="62"/>
      <c r="L5106" s="68" t="b">
        <f aca="false">TRUE()</f>
        <v>1</v>
      </c>
    </row>
    <row r="5107" customFormat="false" ht="15" hidden="false" customHeight="false" outlineLevel="0" collapsed="false">
      <c r="A5107" s="62" t="n">
        <v>1</v>
      </c>
      <c r="B5107" s="21" t="s">
        <v>336</v>
      </c>
      <c r="C5107" s="62" t="s">
        <v>60</v>
      </c>
      <c r="D5107" s="62" t="s">
        <v>381</v>
      </c>
      <c r="E5107" s="62" t="s">
        <v>382</v>
      </c>
      <c r="F5107" s="62" t="s">
        <v>382</v>
      </c>
      <c r="G5107" s="63" t="s">
        <v>491</v>
      </c>
      <c r="H5107" s="64" t="n">
        <v>100</v>
      </c>
      <c r="I5107" s="62"/>
      <c r="J5107" s="64" t="n">
        <v>100</v>
      </c>
      <c r="K5107" s="62"/>
      <c r="L5107" s="68" t="b">
        <f aca="false">TRUE()</f>
        <v>1</v>
      </c>
    </row>
    <row r="5108" customFormat="false" ht="15" hidden="false" customHeight="false" outlineLevel="0" collapsed="false">
      <c r="A5108" s="62" t="n">
        <v>1</v>
      </c>
      <c r="B5108" s="21" t="s">
        <v>336</v>
      </c>
      <c r="C5108" s="62" t="s">
        <v>60</v>
      </c>
      <c r="D5108" s="62" t="s">
        <v>383</v>
      </c>
      <c r="E5108" s="62" t="s">
        <v>382</v>
      </c>
      <c r="F5108" s="62" t="s">
        <v>382</v>
      </c>
      <c r="G5108" s="63" t="s">
        <v>491</v>
      </c>
      <c r="H5108" s="64" t="n">
        <v>100</v>
      </c>
      <c r="I5108" s="62"/>
      <c r="J5108" s="64" t="n">
        <v>100</v>
      </c>
      <c r="K5108" s="62"/>
      <c r="L5108" s="68" t="b">
        <f aca="false">TRUE()</f>
        <v>1</v>
      </c>
    </row>
    <row r="5109" customFormat="false" ht="15" hidden="false" customHeight="false" outlineLevel="0" collapsed="false">
      <c r="A5109" s="62" t="n">
        <v>1</v>
      </c>
      <c r="B5109" s="21" t="s">
        <v>336</v>
      </c>
      <c r="C5109" s="62" t="s">
        <v>60</v>
      </c>
      <c r="D5109" s="62" t="s">
        <v>384</v>
      </c>
      <c r="E5109" s="62" t="s">
        <v>382</v>
      </c>
      <c r="F5109" s="62" t="s">
        <v>382</v>
      </c>
      <c r="G5109" s="63" t="s">
        <v>491</v>
      </c>
      <c r="H5109" s="64" t="n">
        <v>100</v>
      </c>
      <c r="I5109" s="62"/>
      <c r="J5109" s="64" t="n">
        <v>100</v>
      </c>
      <c r="K5109" s="62"/>
      <c r="L5109" s="68" t="b">
        <f aca="false">TRUE()</f>
        <v>1</v>
      </c>
    </row>
    <row r="5110" customFormat="false" ht="15" hidden="false" customHeight="false" outlineLevel="0" collapsed="false">
      <c r="A5110" s="62" t="n">
        <v>1</v>
      </c>
      <c r="B5110" s="21" t="s">
        <v>336</v>
      </c>
      <c r="C5110" s="62" t="s">
        <v>60</v>
      </c>
      <c r="D5110" s="62" t="s">
        <v>385</v>
      </c>
      <c r="E5110" s="62" t="s">
        <v>382</v>
      </c>
      <c r="F5110" s="62" t="s">
        <v>382</v>
      </c>
      <c r="G5110" s="63" t="s">
        <v>491</v>
      </c>
      <c r="H5110" s="64" t="n">
        <v>100</v>
      </c>
      <c r="I5110" s="62"/>
      <c r="J5110" s="64" t="n">
        <v>100</v>
      </c>
      <c r="K5110" s="62"/>
      <c r="L5110" s="68" t="b">
        <f aca="false">TRUE()</f>
        <v>1</v>
      </c>
    </row>
    <row r="5111" customFormat="false" ht="15" hidden="false" customHeight="false" outlineLevel="0" collapsed="false">
      <c r="A5111" s="62" t="n">
        <v>1</v>
      </c>
      <c r="B5111" s="21" t="s">
        <v>336</v>
      </c>
      <c r="C5111" s="62" t="s">
        <v>60</v>
      </c>
      <c r="D5111" s="62" t="s">
        <v>386</v>
      </c>
      <c r="E5111" s="62" t="s">
        <v>382</v>
      </c>
      <c r="F5111" s="62" t="s">
        <v>382</v>
      </c>
      <c r="G5111" s="63" t="s">
        <v>491</v>
      </c>
      <c r="H5111" s="64" t="n">
        <v>100</v>
      </c>
      <c r="I5111" s="62"/>
      <c r="J5111" s="64" t="n">
        <v>100</v>
      </c>
      <c r="K5111" s="62"/>
      <c r="L5111" s="68" t="b">
        <f aca="false">TRUE()</f>
        <v>1</v>
      </c>
    </row>
    <row r="5112" customFormat="false" ht="15" hidden="false" customHeight="false" outlineLevel="0" collapsed="false">
      <c r="A5112" s="62" t="n">
        <v>1</v>
      </c>
      <c r="B5112" s="21" t="s">
        <v>336</v>
      </c>
      <c r="C5112" s="62" t="s">
        <v>60</v>
      </c>
      <c r="D5112" s="62" t="s">
        <v>387</v>
      </c>
      <c r="E5112" s="62" t="s">
        <v>382</v>
      </c>
      <c r="F5112" s="62" t="s">
        <v>382</v>
      </c>
      <c r="G5112" s="63" t="s">
        <v>491</v>
      </c>
      <c r="H5112" s="64" t="n">
        <v>100</v>
      </c>
      <c r="I5112" s="62"/>
      <c r="J5112" s="64" t="n">
        <v>100</v>
      </c>
      <c r="K5112" s="62"/>
      <c r="L5112" s="68" t="b">
        <f aca="false">TRUE()</f>
        <v>1</v>
      </c>
    </row>
    <row r="5113" customFormat="false" ht="15" hidden="false" customHeight="false" outlineLevel="0" collapsed="false">
      <c r="A5113" s="62" t="n">
        <v>1</v>
      </c>
      <c r="B5113" s="21" t="s">
        <v>336</v>
      </c>
      <c r="C5113" s="62" t="s">
        <v>60</v>
      </c>
      <c r="D5113" s="62" t="s">
        <v>388</v>
      </c>
      <c r="E5113" s="62" t="s">
        <v>382</v>
      </c>
      <c r="F5113" s="62" t="s">
        <v>382</v>
      </c>
      <c r="G5113" s="63" t="s">
        <v>491</v>
      </c>
      <c r="H5113" s="64" t="n">
        <v>60.44824</v>
      </c>
      <c r="I5113" s="62"/>
      <c r="J5113" s="64" t="n">
        <v>60.44824</v>
      </c>
      <c r="K5113" s="62"/>
      <c r="L5113" s="68" t="b">
        <f aca="false">TRUE()</f>
        <v>1</v>
      </c>
    </row>
    <row r="5114" customFormat="false" ht="15" hidden="false" customHeight="false" outlineLevel="0" collapsed="false">
      <c r="A5114" s="62" t="n">
        <v>1</v>
      </c>
      <c r="B5114" s="21" t="s">
        <v>336</v>
      </c>
      <c r="C5114" s="62" t="s">
        <v>60</v>
      </c>
      <c r="D5114" s="62" t="s">
        <v>381</v>
      </c>
      <c r="E5114" s="62" t="s">
        <v>382</v>
      </c>
      <c r="F5114" s="62" t="s">
        <v>382</v>
      </c>
      <c r="G5114" s="63" t="s">
        <v>492</v>
      </c>
      <c r="H5114" s="64" t="n">
        <v>1.01767024622594</v>
      </c>
      <c r="I5114" s="62"/>
      <c r="J5114" s="64" t="n">
        <v>1.01767024622594</v>
      </c>
      <c r="K5114" s="62"/>
      <c r="L5114" s="68" t="b">
        <f aca="false">TRUE()</f>
        <v>1</v>
      </c>
    </row>
    <row r="5115" customFormat="false" ht="15" hidden="false" customHeight="false" outlineLevel="0" collapsed="false">
      <c r="A5115" s="62" t="n">
        <v>1</v>
      </c>
      <c r="B5115" s="21" t="s">
        <v>336</v>
      </c>
      <c r="C5115" s="62" t="s">
        <v>60</v>
      </c>
      <c r="D5115" s="62" t="s">
        <v>383</v>
      </c>
      <c r="E5115" s="62" t="s">
        <v>382</v>
      </c>
      <c r="F5115" s="62" t="s">
        <v>382</v>
      </c>
      <c r="G5115" s="63" t="s">
        <v>492</v>
      </c>
      <c r="H5115" s="64" t="n">
        <v>1.05597045668794</v>
      </c>
      <c r="I5115" s="62"/>
      <c r="J5115" s="64" t="n">
        <v>1.05597045668794</v>
      </c>
      <c r="K5115" s="62"/>
      <c r="L5115" s="68" t="b">
        <f aca="false">TRUE()</f>
        <v>1</v>
      </c>
    </row>
    <row r="5116" customFormat="false" ht="15" hidden="false" customHeight="false" outlineLevel="0" collapsed="false">
      <c r="A5116" s="62" t="n">
        <v>1</v>
      </c>
      <c r="B5116" s="21" t="s">
        <v>336</v>
      </c>
      <c r="C5116" s="62" t="s">
        <v>60</v>
      </c>
      <c r="D5116" s="62" t="s">
        <v>384</v>
      </c>
      <c r="E5116" s="62" t="s">
        <v>382</v>
      </c>
      <c r="F5116" s="62" t="s">
        <v>382</v>
      </c>
      <c r="G5116" s="63" t="s">
        <v>492</v>
      </c>
      <c r="H5116" s="64" t="n">
        <v>1.05255648922232</v>
      </c>
      <c r="I5116" s="62"/>
      <c r="J5116" s="64" t="n">
        <v>1.05255648922232</v>
      </c>
      <c r="K5116" s="62"/>
      <c r="L5116" s="68" t="b">
        <f aca="false">TRUE()</f>
        <v>1</v>
      </c>
    </row>
    <row r="5117" customFormat="false" ht="15" hidden="false" customHeight="false" outlineLevel="0" collapsed="false">
      <c r="A5117" s="62" t="n">
        <v>1</v>
      </c>
      <c r="B5117" s="21" t="s">
        <v>336</v>
      </c>
      <c r="C5117" s="62" t="s">
        <v>60</v>
      </c>
      <c r="D5117" s="62" t="s">
        <v>385</v>
      </c>
      <c r="E5117" s="62" t="s">
        <v>382</v>
      </c>
      <c r="F5117" s="62" t="s">
        <v>382</v>
      </c>
      <c r="G5117" s="63" t="s">
        <v>492</v>
      </c>
      <c r="H5117" s="64" t="n">
        <v>1.0854910789394</v>
      </c>
      <c r="I5117" s="62"/>
      <c r="J5117" s="64" t="n">
        <v>1.0854910789394</v>
      </c>
      <c r="K5117" s="62"/>
      <c r="L5117" s="68" t="b">
        <f aca="false">TRUE()</f>
        <v>1</v>
      </c>
    </row>
    <row r="5118" customFormat="false" ht="15" hidden="false" customHeight="false" outlineLevel="0" collapsed="false">
      <c r="A5118" s="62" t="n">
        <v>1</v>
      </c>
      <c r="B5118" s="21" t="s">
        <v>336</v>
      </c>
      <c r="C5118" s="62" t="s">
        <v>60</v>
      </c>
      <c r="D5118" s="62" t="s">
        <v>386</v>
      </c>
      <c r="E5118" s="62" t="s">
        <v>382</v>
      </c>
      <c r="F5118" s="62" t="s">
        <v>382</v>
      </c>
      <c r="G5118" s="63" t="s">
        <v>492</v>
      </c>
      <c r="H5118" s="64" t="n">
        <v>1.11039369906339</v>
      </c>
      <c r="I5118" s="62"/>
      <c r="J5118" s="64" t="n">
        <v>1.11039369906339</v>
      </c>
      <c r="K5118" s="62"/>
      <c r="L5118" s="68" t="b">
        <f aca="false">TRUE()</f>
        <v>1</v>
      </c>
    </row>
    <row r="5119" customFormat="false" ht="15" hidden="false" customHeight="false" outlineLevel="0" collapsed="false">
      <c r="A5119" s="62" t="n">
        <v>1</v>
      </c>
      <c r="B5119" s="21" t="s">
        <v>336</v>
      </c>
      <c r="C5119" s="62" t="s">
        <v>60</v>
      </c>
      <c r="D5119" s="62" t="s">
        <v>387</v>
      </c>
      <c r="E5119" s="62" t="s">
        <v>382</v>
      </c>
      <c r="F5119" s="62" t="s">
        <v>382</v>
      </c>
      <c r="G5119" s="63" t="s">
        <v>492</v>
      </c>
      <c r="H5119" s="64" t="n">
        <v>1.14528048041727</v>
      </c>
      <c r="I5119" s="62"/>
      <c r="J5119" s="64" t="n">
        <v>1.14528048041727</v>
      </c>
      <c r="K5119" s="62"/>
      <c r="L5119" s="68" t="b">
        <f aca="false">TRUE()</f>
        <v>1</v>
      </c>
    </row>
    <row r="5120" customFormat="false" ht="15" hidden="false" customHeight="false" outlineLevel="0" collapsed="false">
      <c r="A5120" s="62" t="n">
        <v>1</v>
      </c>
      <c r="B5120" s="21" t="s">
        <v>336</v>
      </c>
      <c r="C5120" s="62" t="s">
        <v>60</v>
      </c>
      <c r="D5120" s="62" t="s">
        <v>388</v>
      </c>
      <c r="E5120" s="62" t="s">
        <v>382</v>
      </c>
      <c r="F5120" s="62" t="s">
        <v>382</v>
      </c>
      <c r="G5120" s="63" t="s">
        <v>492</v>
      </c>
      <c r="H5120" s="64" t="n">
        <v>1.09718929900164</v>
      </c>
      <c r="I5120" s="62"/>
      <c r="J5120" s="64" t="n">
        <v>1.09718929900164</v>
      </c>
      <c r="K5120" s="62"/>
      <c r="L5120" s="68" t="b">
        <f aca="false">TRUE()</f>
        <v>1</v>
      </c>
    </row>
    <row r="5121" customFormat="false" ht="15" hidden="false" customHeight="false" outlineLevel="0" collapsed="false">
      <c r="A5121" s="62" t="n">
        <v>1</v>
      </c>
      <c r="B5121" s="21" t="s">
        <v>336</v>
      </c>
      <c r="C5121" s="62" t="s">
        <v>60</v>
      </c>
      <c r="D5121" s="62" t="s">
        <v>381</v>
      </c>
      <c r="E5121" s="62" t="s">
        <v>382</v>
      </c>
      <c r="F5121" s="62" t="s">
        <v>382</v>
      </c>
      <c r="G5121" s="63" t="s">
        <v>493</v>
      </c>
      <c r="H5121" s="64" t="n">
        <v>5000</v>
      </c>
      <c r="I5121" s="62"/>
      <c r="J5121" s="64" t="n">
        <v>5000</v>
      </c>
      <c r="K5121" s="62"/>
      <c r="L5121" s="68" t="b">
        <f aca="false">TRUE()</f>
        <v>1</v>
      </c>
    </row>
    <row r="5122" customFormat="false" ht="15" hidden="false" customHeight="false" outlineLevel="0" collapsed="false">
      <c r="A5122" s="62" t="n">
        <v>1</v>
      </c>
      <c r="B5122" s="21" t="s">
        <v>336</v>
      </c>
      <c r="C5122" s="62" t="s">
        <v>60</v>
      </c>
      <c r="D5122" s="62" t="s">
        <v>383</v>
      </c>
      <c r="E5122" s="62" t="s">
        <v>382</v>
      </c>
      <c r="F5122" s="62" t="s">
        <v>382</v>
      </c>
      <c r="G5122" s="63" t="s">
        <v>493</v>
      </c>
      <c r="H5122" s="64" t="n">
        <v>5000</v>
      </c>
      <c r="I5122" s="62"/>
      <c r="J5122" s="64" t="n">
        <v>5000</v>
      </c>
      <c r="K5122" s="62"/>
      <c r="L5122" s="68" t="b">
        <f aca="false">TRUE()</f>
        <v>1</v>
      </c>
    </row>
    <row r="5123" customFormat="false" ht="15" hidden="false" customHeight="false" outlineLevel="0" collapsed="false">
      <c r="A5123" s="62" t="n">
        <v>1</v>
      </c>
      <c r="B5123" s="21" t="s">
        <v>336</v>
      </c>
      <c r="C5123" s="62" t="s">
        <v>60</v>
      </c>
      <c r="D5123" s="62" t="s">
        <v>384</v>
      </c>
      <c r="E5123" s="62" t="s">
        <v>382</v>
      </c>
      <c r="F5123" s="62" t="s">
        <v>382</v>
      </c>
      <c r="G5123" s="63" t="s">
        <v>493</v>
      </c>
      <c r="H5123" s="64" t="n">
        <v>5000</v>
      </c>
      <c r="I5123" s="62"/>
      <c r="J5123" s="64" t="n">
        <v>5000</v>
      </c>
      <c r="K5123" s="62"/>
      <c r="L5123" s="68" t="b">
        <f aca="false">TRUE()</f>
        <v>1</v>
      </c>
    </row>
    <row r="5124" customFormat="false" ht="15" hidden="false" customHeight="false" outlineLevel="0" collapsed="false">
      <c r="A5124" s="62" t="n">
        <v>1</v>
      </c>
      <c r="B5124" s="21" t="s">
        <v>336</v>
      </c>
      <c r="C5124" s="62" t="s">
        <v>60</v>
      </c>
      <c r="D5124" s="62" t="s">
        <v>385</v>
      </c>
      <c r="E5124" s="62" t="s">
        <v>382</v>
      </c>
      <c r="F5124" s="62" t="s">
        <v>382</v>
      </c>
      <c r="G5124" s="63" t="s">
        <v>493</v>
      </c>
      <c r="H5124" s="64" t="n">
        <v>5000</v>
      </c>
      <c r="I5124" s="62"/>
      <c r="J5124" s="64" t="n">
        <v>5000</v>
      </c>
      <c r="K5124" s="62"/>
      <c r="L5124" s="68" t="b">
        <f aca="false">TRUE()</f>
        <v>1</v>
      </c>
    </row>
    <row r="5125" customFormat="false" ht="15" hidden="false" customHeight="false" outlineLevel="0" collapsed="false">
      <c r="A5125" s="62" t="n">
        <v>1</v>
      </c>
      <c r="B5125" s="21" t="s">
        <v>336</v>
      </c>
      <c r="C5125" s="62" t="s">
        <v>60</v>
      </c>
      <c r="D5125" s="62" t="s">
        <v>386</v>
      </c>
      <c r="E5125" s="62" t="s">
        <v>382</v>
      </c>
      <c r="F5125" s="62" t="s">
        <v>382</v>
      </c>
      <c r="G5125" s="63" t="s">
        <v>493</v>
      </c>
      <c r="H5125" s="64" t="n">
        <v>5000</v>
      </c>
      <c r="I5125" s="62"/>
      <c r="J5125" s="64" t="n">
        <v>5000</v>
      </c>
      <c r="K5125" s="62"/>
      <c r="L5125" s="68" t="b">
        <f aca="false">TRUE()</f>
        <v>1</v>
      </c>
    </row>
    <row r="5126" customFormat="false" ht="15" hidden="false" customHeight="false" outlineLevel="0" collapsed="false">
      <c r="A5126" s="62" t="n">
        <v>1</v>
      </c>
      <c r="B5126" s="21" t="s">
        <v>336</v>
      </c>
      <c r="C5126" s="62" t="s">
        <v>60</v>
      </c>
      <c r="D5126" s="62" t="s">
        <v>387</v>
      </c>
      <c r="E5126" s="62" t="s">
        <v>382</v>
      </c>
      <c r="F5126" s="62" t="s">
        <v>382</v>
      </c>
      <c r="G5126" s="63" t="s">
        <v>493</v>
      </c>
      <c r="H5126" s="64" t="n">
        <v>5000</v>
      </c>
      <c r="I5126" s="62"/>
      <c r="J5126" s="64" t="n">
        <v>5000</v>
      </c>
      <c r="K5126" s="62"/>
      <c r="L5126" s="68" t="b">
        <f aca="false">TRUE()</f>
        <v>1</v>
      </c>
    </row>
    <row r="5127" customFormat="false" ht="15" hidden="false" customHeight="false" outlineLevel="0" collapsed="false">
      <c r="A5127" s="62" t="n">
        <v>1</v>
      </c>
      <c r="B5127" s="21" t="s">
        <v>336</v>
      </c>
      <c r="C5127" s="62" t="s">
        <v>60</v>
      </c>
      <c r="D5127" s="62" t="s">
        <v>388</v>
      </c>
      <c r="E5127" s="62" t="s">
        <v>382</v>
      </c>
      <c r="F5127" s="62" t="s">
        <v>382</v>
      </c>
      <c r="G5127" s="63" t="s">
        <v>493</v>
      </c>
      <c r="H5127" s="64" t="n">
        <v>5000</v>
      </c>
      <c r="I5127" s="62"/>
      <c r="J5127" s="64" t="n">
        <v>5000</v>
      </c>
      <c r="K5127" s="62"/>
      <c r="L5127" s="68" t="b">
        <f aca="false">TRUE()</f>
        <v>1</v>
      </c>
    </row>
    <row r="5128" customFormat="false" ht="15" hidden="false" customHeight="false" outlineLevel="0" collapsed="false">
      <c r="A5128" s="62" t="n">
        <v>1</v>
      </c>
      <c r="B5128" s="21" t="s">
        <v>336</v>
      </c>
      <c r="C5128" s="62" t="s">
        <v>60</v>
      </c>
      <c r="D5128" s="62" t="s">
        <v>381</v>
      </c>
      <c r="E5128" s="62" t="s">
        <v>382</v>
      </c>
      <c r="F5128" s="62" t="s">
        <v>382</v>
      </c>
      <c r="G5128" s="63" t="s">
        <v>494</v>
      </c>
      <c r="H5128" s="64" t="n">
        <v>-133</v>
      </c>
      <c r="I5128" s="62"/>
      <c r="J5128" s="64" t="n">
        <v>-133</v>
      </c>
      <c r="K5128" s="62"/>
      <c r="L5128" s="68" t="b">
        <f aca="false">TRUE()</f>
        <v>1</v>
      </c>
    </row>
    <row r="5129" customFormat="false" ht="15" hidden="false" customHeight="false" outlineLevel="0" collapsed="false">
      <c r="A5129" s="62" t="n">
        <v>1</v>
      </c>
      <c r="B5129" s="21" t="s">
        <v>336</v>
      </c>
      <c r="C5129" s="62" t="s">
        <v>60</v>
      </c>
      <c r="D5129" s="62" t="s">
        <v>383</v>
      </c>
      <c r="E5129" s="62" t="s">
        <v>382</v>
      </c>
      <c r="F5129" s="62" t="s">
        <v>382</v>
      </c>
      <c r="G5129" s="63" t="s">
        <v>494</v>
      </c>
      <c r="H5129" s="64" t="n">
        <v>-160</v>
      </c>
      <c r="I5129" s="62"/>
      <c r="J5129" s="64" t="n">
        <v>-160</v>
      </c>
      <c r="K5129" s="62"/>
      <c r="L5129" s="68" t="b">
        <f aca="false">TRUE()</f>
        <v>1</v>
      </c>
    </row>
    <row r="5130" customFormat="false" ht="15" hidden="false" customHeight="false" outlineLevel="0" collapsed="false">
      <c r="A5130" s="62" t="n">
        <v>1</v>
      </c>
      <c r="B5130" s="21" t="s">
        <v>336</v>
      </c>
      <c r="C5130" s="62" t="s">
        <v>60</v>
      </c>
      <c r="D5130" s="62" t="s">
        <v>384</v>
      </c>
      <c r="E5130" s="62" t="s">
        <v>382</v>
      </c>
      <c r="F5130" s="62" t="s">
        <v>382</v>
      </c>
      <c r="G5130" s="63" t="s">
        <v>494</v>
      </c>
      <c r="H5130" s="64" t="n">
        <v>-112</v>
      </c>
      <c r="I5130" s="62"/>
      <c r="J5130" s="64" t="n">
        <v>-112</v>
      </c>
      <c r="K5130" s="62"/>
      <c r="L5130" s="68" t="b">
        <f aca="false">TRUE()</f>
        <v>1</v>
      </c>
    </row>
    <row r="5131" customFormat="false" ht="15" hidden="false" customHeight="false" outlineLevel="0" collapsed="false">
      <c r="A5131" s="62" t="n">
        <v>1</v>
      </c>
      <c r="B5131" s="21" t="s">
        <v>336</v>
      </c>
      <c r="C5131" s="62" t="s">
        <v>60</v>
      </c>
      <c r="D5131" s="62" t="s">
        <v>385</v>
      </c>
      <c r="E5131" s="62" t="s">
        <v>382</v>
      </c>
      <c r="F5131" s="62" t="s">
        <v>382</v>
      </c>
      <c r="G5131" s="63" t="s">
        <v>494</v>
      </c>
      <c r="H5131" s="64" t="n">
        <v>-71</v>
      </c>
      <c r="I5131" s="62"/>
      <c r="J5131" s="64" t="n">
        <v>-71</v>
      </c>
      <c r="K5131" s="62"/>
      <c r="L5131" s="68" t="b">
        <f aca="false">TRUE()</f>
        <v>1</v>
      </c>
    </row>
    <row r="5132" customFormat="false" ht="15" hidden="false" customHeight="false" outlineLevel="0" collapsed="false">
      <c r="A5132" s="62" t="n">
        <v>1</v>
      </c>
      <c r="B5132" s="21" t="s">
        <v>336</v>
      </c>
      <c r="C5132" s="62" t="s">
        <v>60</v>
      </c>
      <c r="D5132" s="62" t="s">
        <v>386</v>
      </c>
      <c r="E5132" s="62" t="s">
        <v>382</v>
      </c>
      <c r="F5132" s="62" t="s">
        <v>382</v>
      </c>
      <c r="G5132" s="63" t="s">
        <v>494</v>
      </c>
      <c r="H5132" s="64" t="n">
        <v>-96</v>
      </c>
      <c r="I5132" s="62"/>
      <c r="J5132" s="64" t="n">
        <v>-96</v>
      </c>
      <c r="K5132" s="62"/>
      <c r="L5132" s="68" t="b">
        <f aca="false">TRUE()</f>
        <v>1</v>
      </c>
    </row>
    <row r="5133" customFormat="false" ht="15" hidden="false" customHeight="false" outlineLevel="0" collapsed="false">
      <c r="A5133" s="62" t="n">
        <v>1</v>
      </c>
      <c r="B5133" s="21" t="s">
        <v>336</v>
      </c>
      <c r="C5133" s="62" t="s">
        <v>60</v>
      </c>
      <c r="D5133" s="62" t="s">
        <v>387</v>
      </c>
      <c r="E5133" s="62" t="s">
        <v>382</v>
      </c>
      <c r="F5133" s="62" t="s">
        <v>382</v>
      </c>
      <c r="G5133" s="63" t="s">
        <v>494</v>
      </c>
      <c r="H5133" s="64" t="n">
        <v>-27</v>
      </c>
      <c r="I5133" s="62"/>
      <c r="J5133" s="64" t="n">
        <v>-27</v>
      </c>
      <c r="K5133" s="62"/>
      <c r="L5133" s="68" t="b">
        <f aca="false">TRUE()</f>
        <v>1</v>
      </c>
    </row>
    <row r="5134" customFormat="false" ht="15" hidden="false" customHeight="false" outlineLevel="0" collapsed="false">
      <c r="A5134" s="62" t="n">
        <v>1</v>
      </c>
      <c r="B5134" s="21" t="s">
        <v>336</v>
      </c>
      <c r="C5134" s="62" t="s">
        <v>60</v>
      </c>
      <c r="D5134" s="62" t="s">
        <v>388</v>
      </c>
      <c r="E5134" s="62" t="s">
        <v>382</v>
      </c>
      <c r="F5134" s="62" t="s">
        <v>382</v>
      </c>
      <c r="G5134" s="63" t="s">
        <v>494</v>
      </c>
      <c r="H5134" s="64" t="n">
        <v>-130</v>
      </c>
      <c r="I5134" s="62"/>
      <c r="J5134" s="64" t="n">
        <v>-130</v>
      </c>
      <c r="K5134" s="62"/>
      <c r="L5134" s="68" t="b">
        <f aca="false">TRUE()</f>
        <v>1</v>
      </c>
    </row>
    <row r="5135" customFormat="false" ht="15" hidden="false" customHeight="false" outlineLevel="0" collapsed="false">
      <c r="A5135" s="62" t="n">
        <v>1</v>
      </c>
      <c r="B5135" s="21" t="s">
        <v>336</v>
      </c>
      <c r="C5135" s="62" t="s">
        <v>60</v>
      </c>
      <c r="D5135" s="62" t="s">
        <v>381</v>
      </c>
      <c r="E5135" s="62" t="s">
        <v>382</v>
      </c>
      <c r="F5135" s="62" t="s">
        <v>382</v>
      </c>
      <c r="G5135" s="63" t="s">
        <v>495</v>
      </c>
      <c r="H5135" s="64" t="n">
        <v>433</v>
      </c>
      <c r="I5135" s="62"/>
      <c r="J5135" s="64" t="n">
        <v>433</v>
      </c>
      <c r="K5135" s="62"/>
      <c r="L5135" s="68" t="b">
        <f aca="false">TRUE()</f>
        <v>1</v>
      </c>
    </row>
    <row r="5136" customFormat="false" ht="15" hidden="false" customHeight="false" outlineLevel="0" collapsed="false">
      <c r="A5136" s="62" t="n">
        <v>1</v>
      </c>
      <c r="B5136" s="21" t="s">
        <v>336</v>
      </c>
      <c r="C5136" s="62" t="s">
        <v>60</v>
      </c>
      <c r="D5136" s="62" t="s">
        <v>383</v>
      </c>
      <c r="E5136" s="62" t="s">
        <v>382</v>
      </c>
      <c r="F5136" s="62" t="s">
        <v>382</v>
      </c>
      <c r="G5136" s="63" t="s">
        <v>495</v>
      </c>
      <c r="H5136" s="64" t="n">
        <v>660</v>
      </c>
      <c r="I5136" s="62"/>
      <c r="J5136" s="64" t="n">
        <v>660</v>
      </c>
      <c r="K5136" s="62"/>
      <c r="L5136" s="68" t="b">
        <f aca="false">TRUE()</f>
        <v>1</v>
      </c>
    </row>
    <row r="5137" customFormat="false" ht="15" hidden="false" customHeight="false" outlineLevel="0" collapsed="false">
      <c r="A5137" s="62" t="n">
        <v>1</v>
      </c>
      <c r="B5137" s="21" t="s">
        <v>336</v>
      </c>
      <c r="C5137" s="62" t="s">
        <v>60</v>
      </c>
      <c r="D5137" s="62" t="s">
        <v>384</v>
      </c>
      <c r="E5137" s="62" t="s">
        <v>382</v>
      </c>
      <c r="F5137" s="62" t="s">
        <v>382</v>
      </c>
      <c r="G5137" s="63" t="s">
        <v>495</v>
      </c>
      <c r="H5137" s="64" t="n">
        <v>1112</v>
      </c>
      <c r="I5137" s="62"/>
      <c r="J5137" s="64" t="n">
        <v>1112</v>
      </c>
      <c r="K5137" s="62"/>
      <c r="L5137" s="68" t="b">
        <f aca="false">TRUE()</f>
        <v>1</v>
      </c>
    </row>
    <row r="5138" customFormat="false" ht="15" hidden="false" customHeight="false" outlineLevel="0" collapsed="false">
      <c r="A5138" s="62" t="n">
        <v>1</v>
      </c>
      <c r="B5138" s="21" t="s">
        <v>336</v>
      </c>
      <c r="C5138" s="62" t="s">
        <v>60</v>
      </c>
      <c r="D5138" s="62" t="s">
        <v>385</v>
      </c>
      <c r="E5138" s="62" t="s">
        <v>382</v>
      </c>
      <c r="F5138" s="62" t="s">
        <v>382</v>
      </c>
      <c r="G5138" s="63" t="s">
        <v>495</v>
      </c>
      <c r="H5138" s="64" t="n">
        <v>271</v>
      </c>
      <c r="I5138" s="62"/>
      <c r="J5138" s="64" t="n">
        <v>271</v>
      </c>
      <c r="K5138" s="62"/>
      <c r="L5138" s="68" t="b">
        <f aca="false">TRUE()</f>
        <v>1</v>
      </c>
    </row>
    <row r="5139" customFormat="false" ht="15" hidden="false" customHeight="false" outlineLevel="0" collapsed="false">
      <c r="A5139" s="62" t="n">
        <v>1</v>
      </c>
      <c r="B5139" s="21" t="s">
        <v>336</v>
      </c>
      <c r="C5139" s="62" t="s">
        <v>60</v>
      </c>
      <c r="D5139" s="62" t="s">
        <v>386</v>
      </c>
      <c r="E5139" s="62" t="s">
        <v>382</v>
      </c>
      <c r="F5139" s="62" t="s">
        <v>382</v>
      </c>
      <c r="G5139" s="63" t="s">
        <v>495</v>
      </c>
      <c r="H5139" s="64" t="n">
        <v>96</v>
      </c>
      <c r="I5139" s="62"/>
      <c r="J5139" s="64" t="n">
        <v>96</v>
      </c>
      <c r="K5139" s="62"/>
      <c r="L5139" s="68" t="b">
        <f aca="false">TRUE()</f>
        <v>1</v>
      </c>
    </row>
    <row r="5140" customFormat="false" ht="15" hidden="false" customHeight="false" outlineLevel="0" collapsed="false">
      <c r="A5140" s="62" t="n">
        <v>1</v>
      </c>
      <c r="B5140" s="21" t="s">
        <v>336</v>
      </c>
      <c r="C5140" s="62" t="s">
        <v>60</v>
      </c>
      <c r="D5140" s="62" t="s">
        <v>387</v>
      </c>
      <c r="E5140" s="62" t="s">
        <v>382</v>
      </c>
      <c r="F5140" s="62" t="s">
        <v>382</v>
      </c>
      <c r="G5140" s="63" t="s">
        <v>495</v>
      </c>
      <c r="H5140" s="64" t="n">
        <v>1227</v>
      </c>
      <c r="I5140" s="62"/>
      <c r="J5140" s="64" t="n">
        <v>1227</v>
      </c>
      <c r="K5140" s="62"/>
      <c r="L5140" s="68" t="b">
        <f aca="false">TRUE()</f>
        <v>1</v>
      </c>
    </row>
    <row r="5141" customFormat="false" ht="15" hidden="false" customHeight="false" outlineLevel="0" collapsed="false">
      <c r="A5141" s="62" t="n">
        <v>1</v>
      </c>
      <c r="B5141" s="21" t="s">
        <v>336</v>
      </c>
      <c r="C5141" s="62" t="s">
        <v>60</v>
      </c>
      <c r="D5141" s="62" t="s">
        <v>388</v>
      </c>
      <c r="E5141" s="62" t="s">
        <v>382</v>
      </c>
      <c r="F5141" s="62" t="s">
        <v>382</v>
      </c>
      <c r="G5141" s="63" t="s">
        <v>495</v>
      </c>
      <c r="H5141" s="64" t="n">
        <v>130</v>
      </c>
      <c r="I5141" s="62"/>
      <c r="J5141" s="64" t="n">
        <v>130</v>
      </c>
      <c r="K5141" s="62"/>
      <c r="L5141" s="68" t="b">
        <f aca="false">TRUE()</f>
        <v>1</v>
      </c>
    </row>
    <row r="5142" customFormat="false" ht="15" hidden="false" customHeight="false" outlineLevel="0" collapsed="false">
      <c r="A5142" s="62" t="n">
        <v>1</v>
      </c>
      <c r="B5142" s="21" t="s">
        <v>336</v>
      </c>
      <c r="C5142" s="62" t="s">
        <v>60</v>
      </c>
      <c r="D5142" s="62" t="s">
        <v>381</v>
      </c>
      <c r="E5142" s="62" t="s">
        <v>382</v>
      </c>
      <c r="F5142" s="62" t="s">
        <v>382</v>
      </c>
      <c r="G5142" s="63" t="s">
        <v>496</v>
      </c>
      <c r="H5142" s="64" t="n">
        <v>5300</v>
      </c>
      <c r="I5142" s="62"/>
      <c r="J5142" s="64" t="n">
        <v>5300</v>
      </c>
      <c r="K5142" s="62"/>
      <c r="L5142" s="68" t="b">
        <f aca="false">TRUE()</f>
        <v>1</v>
      </c>
    </row>
    <row r="5143" customFormat="false" ht="15" hidden="false" customHeight="false" outlineLevel="0" collapsed="false">
      <c r="A5143" s="62" t="n">
        <v>1</v>
      </c>
      <c r="B5143" s="21" t="s">
        <v>336</v>
      </c>
      <c r="C5143" s="62" t="s">
        <v>60</v>
      </c>
      <c r="D5143" s="62" t="s">
        <v>383</v>
      </c>
      <c r="E5143" s="62" t="s">
        <v>382</v>
      </c>
      <c r="F5143" s="62" t="s">
        <v>382</v>
      </c>
      <c r="G5143" s="63" t="s">
        <v>496</v>
      </c>
      <c r="H5143" s="64" t="n">
        <v>5500</v>
      </c>
      <c r="I5143" s="62"/>
      <c r="J5143" s="64" t="n">
        <v>5500</v>
      </c>
      <c r="K5143" s="62"/>
      <c r="L5143" s="68" t="b">
        <f aca="false">TRUE()</f>
        <v>1</v>
      </c>
    </row>
    <row r="5144" customFormat="false" ht="15" hidden="false" customHeight="false" outlineLevel="0" collapsed="false">
      <c r="A5144" s="62" t="n">
        <v>1</v>
      </c>
      <c r="B5144" s="21" t="s">
        <v>336</v>
      </c>
      <c r="C5144" s="62" t="s">
        <v>60</v>
      </c>
      <c r="D5144" s="62" t="s">
        <v>384</v>
      </c>
      <c r="E5144" s="62" t="s">
        <v>382</v>
      </c>
      <c r="F5144" s="62" t="s">
        <v>382</v>
      </c>
      <c r="G5144" s="63" t="s">
        <v>496</v>
      </c>
      <c r="H5144" s="64" t="n">
        <v>6000</v>
      </c>
      <c r="I5144" s="62"/>
      <c r="J5144" s="64" t="n">
        <v>6000</v>
      </c>
      <c r="K5144" s="62"/>
      <c r="L5144" s="68" t="b">
        <f aca="false">TRUE()</f>
        <v>1</v>
      </c>
    </row>
    <row r="5145" customFormat="false" ht="15" hidden="false" customHeight="false" outlineLevel="0" collapsed="false">
      <c r="A5145" s="62" t="n">
        <v>1</v>
      </c>
      <c r="B5145" s="21" t="s">
        <v>336</v>
      </c>
      <c r="C5145" s="62" t="s">
        <v>60</v>
      </c>
      <c r="D5145" s="62" t="s">
        <v>385</v>
      </c>
      <c r="E5145" s="62" t="s">
        <v>382</v>
      </c>
      <c r="F5145" s="62" t="s">
        <v>382</v>
      </c>
      <c r="G5145" s="63" t="s">
        <v>496</v>
      </c>
      <c r="H5145" s="64" t="n">
        <v>5200</v>
      </c>
      <c r="I5145" s="62"/>
      <c r="J5145" s="64" t="n">
        <v>5200</v>
      </c>
      <c r="K5145" s="62"/>
      <c r="L5145" s="68" t="b">
        <f aca="false">TRUE()</f>
        <v>1</v>
      </c>
    </row>
    <row r="5146" customFormat="false" ht="15" hidden="false" customHeight="false" outlineLevel="0" collapsed="false">
      <c r="A5146" s="62" t="n">
        <v>1</v>
      </c>
      <c r="B5146" s="21" t="s">
        <v>336</v>
      </c>
      <c r="C5146" s="62" t="s">
        <v>60</v>
      </c>
      <c r="D5146" s="62" t="s">
        <v>386</v>
      </c>
      <c r="E5146" s="62" t="s">
        <v>382</v>
      </c>
      <c r="F5146" s="62" t="s">
        <v>382</v>
      </c>
      <c r="G5146" s="63" t="s">
        <v>496</v>
      </c>
      <c r="H5146" s="64" t="n">
        <v>5000</v>
      </c>
      <c r="I5146" s="62"/>
      <c r="J5146" s="64" t="n">
        <v>5000</v>
      </c>
      <c r="K5146" s="62"/>
      <c r="L5146" s="68" t="b">
        <f aca="false">TRUE()</f>
        <v>1</v>
      </c>
    </row>
    <row r="5147" customFormat="false" ht="15" hidden="false" customHeight="false" outlineLevel="0" collapsed="false">
      <c r="A5147" s="62" t="n">
        <v>1</v>
      </c>
      <c r="B5147" s="21" t="s">
        <v>336</v>
      </c>
      <c r="C5147" s="62" t="s">
        <v>60</v>
      </c>
      <c r="D5147" s="62" t="s">
        <v>387</v>
      </c>
      <c r="E5147" s="62" t="s">
        <v>382</v>
      </c>
      <c r="F5147" s="62" t="s">
        <v>382</v>
      </c>
      <c r="G5147" s="63" t="s">
        <v>496</v>
      </c>
      <c r="H5147" s="64" t="n">
        <v>6200</v>
      </c>
      <c r="I5147" s="62"/>
      <c r="J5147" s="64" t="n">
        <v>6200</v>
      </c>
      <c r="K5147" s="62"/>
      <c r="L5147" s="68" t="b">
        <f aca="false">TRUE()</f>
        <v>1</v>
      </c>
    </row>
    <row r="5148" customFormat="false" ht="15" hidden="false" customHeight="false" outlineLevel="0" collapsed="false">
      <c r="A5148" s="62" t="n">
        <v>1</v>
      </c>
      <c r="B5148" s="21" t="s">
        <v>336</v>
      </c>
      <c r="C5148" s="62" t="s">
        <v>60</v>
      </c>
      <c r="D5148" s="62" t="s">
        <v>388</v>
      </c>
      <c r="E5148" s="62" t="s">
        <v>382</v>
      </c>
      <c r="F5148" s="62" t="s">
        <v>382</v>
      </c>
      <c r="G5148" s="63" t="s">
        <v>496</v>
      </c>
      <c r="H5148" s="64" t="n">
        <v>5000</v>
      </c>
      <c r="I5148" s="62"/>
      <c r="J5148" s="64" t="n">
        <v>5000</v>
      </c>
      <c r="K5148" s="62"/>
      <c r="L5148" s="68" t="b">
        <f aca="false">TRUE()</f>
        <v>1</v>
      </c>
    </row>
    <row r="5149" customFormat="false" ht="15" hidden="false" customHeight="false" outlineLevel="0" collapsed="false">
      <c r="A5149" s="62" t="n">
        <v>1</v>
      </c>
      <c r="B5149" s="21" t="s">
        <v>336</v>
      </c>
      <c r="C5149" s="62" t="s">
        <v>60</v>
      </c>
      <c r="D5149" s="62" t="s">
        <v>381</v>
      </c>
      <c r="E5149" s="62" t="s">
        <v>382</v>
      </c>
      <c r="F5149" s="62" t="s">
        <v>382</v>
      </c>
      <c r="G5149" s="63" t="s">
        <v>497</v>
      </c>
      <c r="H5149" s="64" t="n">
        <v>2.66</v>
      </c>
      <c r="I5149" s="62"/>
      <c r="J5149" s="64" t="n">
        <v>2.66</v>
      </c>
      <c r="K5149" s="62"/>
      <c r="L5149" s="68" t="b">
        <f aca="false">TRUE()</f>
        <v>1</v>
      </c>
    </row>
    <row r="5150" customFormat="false" ht="15" hidden="false" customHeight="false" outlineLevel="0" collapsed="false">
      <c r="A5150" s="62" t="n">
        <v>1</v>
      </c>
      <c r="B5150" s="21" t="s">
        <v>336</v>
      </c>
      <c r="C5150" s="62" t="s">
        <v>60</v>
      </c>
      <c r="D5150" s="62" t="s">
        <v>383</v>
      </c>
      <c r="E5150" s="62" t="s">
        <v>382</v>
      </c>
      <c r="F5150" s="62" t="s">
        <v>382</v>
      </c>
      <c r="G5150" s="63" t="s">
        <v>497</v>
      </c>
      <c r="H5150" s="64" t="n">
        <v>3.2</v>
      </c>
      <c r="I5150" s="62"/>
      <c r="J5150" s="64" t="n">
        <v>3.2</v>
      </c>
      <c r="K5150" s="62"/>
      <c r="L5150" s="68" t="b">
        <f aca="false">TRUE()</f>
        <v>1</v>
      </c>
    </row>
    <row r="5151" customFormat="false" ht="15" hidden="false" customHeight="false" outlineLevel="0" collapsed="false">
      <c r="A5151" s="62" t="n">
        <v>1</v>
      </c>
      <c r="B5151" s="21" t="s">
        <v>336</v>
      </c>
      <c r="C5151" s="62" t="s">
        <v>60</v>
      </c>
      <c r="D5151" s="62" t="s">
        <v>384</v>
      </c>
      <c r="E5151" s="62" t="s">
        <v>382</v>
      </c>
      <c r="F5151" s="62" t="s">
        <v>382</v>
      </c>
      <c r="G5151" s="63" t="s">
        <v>497</v>
      </c>
      <c r="H5151" s="64" t="n">
        <v>2.24</v>
      </c>
      <c r="I5151" s="62"/>
      <c r="J5151" s="64" t="n">
        <v>2.24</v>
      </c>
      <c r="K5151" s="62"/>
      <c r="L5151" s="68" t="b">
        <f aca="false">TRUE()</f>
        <v>1</v>
      </c>
    </row>
    <row r="5152" customFormat="false" ht="15" hidden="false" customHeight="false" outlineLevel="0" collapsed="false">
      <c r="A5152" s="62" t="n">
        <v>1</v>
      </c>
      <c r="B5152" s="21" t="s">
        <v>336</v>
      </c>
      <c r="C5152" s="62" t="s">
        <v>60</v>
      </c>
      <c r="D5152" s="62" t="s">
        <v>385</v>
      </c>
      <c r="E5152" s="62" t="s">
        <v>382</v>
      </c>
      <c r="F5152" s="62" t="s">
        <v>382</v>
      </c>
      <c r="G5152" s="63" t="s">
        <v>497</v>
      </c>
      <c r="H5152" s="64" t="n">
        <v>1.42</v>
      </c>
      <c r="I5152" s="62"/>
      <c r="J5152" s="64" t="n">
        <v>1.42</v>
      </c>
      <c r="K5152" s="62"/>
      <c r="L5152" s="68" t="b">
        <f aca="false">TRUE()</f>
        <v>1</v>
      </c>
    </row>
    <row r="5153" customFormat="false" ht="15" hidden="false" customHeight="false" outlineLevel="0" collapsed="false">
      <c r="A5153" s="62" t="n">
        <v>1</v>
      </c>
      <c r="B5153" s="21" t="s">
        <v>336</v>
      </c>
      <c r="C5153" s="62" t="s">
        <v>60</v>
      </c>
      <c r="D5153" s="62" t="s">
        <v>386</v>
      </c>
      <c r="E5153" s="62" t="s">
        <v>382</v>
      </c>
      <c r="F5153" s="62" t="s">
        <v>382</v>
      </c>
      <c r="G5153" s="63" t="s">
        <v>497</v>
      </c>
      <c r="H5153" s="64" t="n">
        <v>1.92</v>
      </c>
      <c r="I5153" s="62"/>
      <c r="J5153" s="64" t="n">
        <v>1.92</v>
      </c>
      <c r="K5153" s="62"/>
      <c r="L5153" s="68" t="b">
        <f aca="false">TRUE()</f>
        <v>1</v>
      </c>
    </row>
    <row r="5154" customFormat="false" ht="15" hidden="false" customHeight="false" outlineLevel="0" collapsed="false">
      <c r="A5154" s="62" t="n">
        <v>1</v>
      </c>
      <c r="B5154" s="21" t="s">
        <v>336</v>
      </c>
      <c r="C5154" s="62" t="s">
        <v>60</v>
      </c>
      <c r="D5154" s="62" t="s">
        <v>387</v>
      </c>
      <c r="E5154" s="62" t="s">
        <v>382</v>
      </c>
      <c r="F5154" s="62" t="s">
        <v>382</v>
      </c>
      <c r="G5154" s="63" t="s">
        <v>497</v>
      </c>
      <c r="H5154" s="64" t="n">
        <v>0.54</v>
      </c>
      <c r="I5154" s="62"/>
      <c r="J5154" s="64" t="n">
        <v>0.54</v>
      </c>
      <c r="K5154" s="62"/>
      <c r="L5154" s="68" t="b">
        <f aca="false">TRUE()</f>
        <v>1</v>
      </c>
    </row>
    <row r="5155" customFormat="false" ht="15" hidden="false" customHeight="false" outlineLevel="0" collapsed="false">
      <c r="A5155" s="62" t="n">
        <v>1</v>
      </c>
      <c r="B5155" s="21" t="s">
        <v>336</v>
      </c>
      <c r="C5155" s="62" t="s">
        <v>60</v>
      </c>
      <c r="D5155" s="62" t="s">
        <v>388</v>
      </c>
      <c r="E5155" s="62" t="s">
        <v>382</v>
      </c>
      <c r="F5155" s="62" t="s">
        <v>382</v>
      </c>
      <c r="G5155" s="63" t="s">
        <v>497</v>
      </c>
      <c r="H5155" s="64" t="n">
        <v>2.6</v>
      </c>
      <c r="I5155" s="62"/>
      <c r="J5155" s="64" t="n">
        <v>2.6</v>
      </c>
      <c r="K5155" s="62"/>
      <c r="L5155" s="68" t="b">
        <f aca="false">TRUE()</f>
        <v>1</v>
      </c>
    </row>
    <row r="5156" customFormat="false" ht="15" hidden="false" customHeight="false" outlineLevel="0" collapsed="false">
      <c r="A5156" s="62" t="n">
        <v>1</v>
      </c>
      <c r="B5156" s="21" t="s">
        <v>336</v>
      </c>
      <c r="C5156" s="62" t="s">
        <v>60</v>
      </c>
      <c r="D5156" s="62" t="s">
        <v>381</v>
      </c>
      <c r="E5156" s="62" t="s">
        <v>382</v>
      </c>
      <c r="F5156" s="62" t="s">
        <v>382</v>
      </c>
      <c r="G5156" s="63" t="s">
        <v>498</v>
      </c>
      <c r="H5156" s="64" t="n">
        <v>0</v>
      </c>
      <c r="I5156" s="62"/>
      <c r="J5156" s="64" t="n">
        <v>0</v>
      </c>
      <c r="K5156" s="62"/>
      <c r="L5156" s="68" t="b">
        <f aca="false">TRUE()</f>
        <v>1</v>
      </c>
    </row>
    <row r="5157" customFormat="false" ht="15" hidden="false" customHeight="false" outlineLevel="0" collapsed="false">
      <c r="A5157" s="62" t="n">
        <v>1</v>
      </c>
      <c r="B5157" s="21" t="s">
        <v>336</v>
      </c>
      <c r="C5157" s="62" t="s">
        <v>60</v>
      </c>
      <c r="D5157" s="62" t="s">
        <v>383</v>
      </c>
      <c r="E5157" s="62" t="s">
        <v>382</v>
      </c>
      <c r="F5157" s="62" t="s">
        <v>382</v>
      </c>
      <c r="G5157" s="63" t="s">
        <v>498</v>
      </c>
      <c r="H5157" s="64" t="n">
        <v>0</v>
      </c>
      <c r="I5157" s="62"/>
      <c r="J5157" s="64" t="n">
        <v>0</v>
      </c>
      <c r="K5157" s="62"/>
      <c r="L5157" s="68" t="b">
        <f aca="false">TRUE()</f>
        <v>1</v>
      </c>
    </row>
    <row r="5158" customFormat="false" ht="15" hidden="false" customHeight="false" outlineLevel="0" collapsed="false">
      <c r="A5158" s="62" t="n">
        <v>1</v>
      </c>
      <c r="B5158" s="21" t="s">
        <v>336</v>
      </c>
      <c r="C5158" s="62" t="s">
        <v>60</v>
      </c>
      <c r="D5158" s="62" t="s">
        <v>384</v>
      </c>
      <c r="E5158" s="62" t="s">
        <v>382</v>
      </c>
      <c r="F5158" s="62" t="s">
        <v>382</v>
      </c>
      <c r="G5158" s="63" t="s">
        <v>498</v>
      </c>
      <c r="H5158" s="64" t="n">
        <v>0</v>
      </c>
      <c r="I5158" s="62"/>
      <c r="J5158" s="64" t="n">
        <v>0</v>
      </c>
      <c r="K5158" s="62"/>
      <c r="L5158" s="68" t="b">
        <f aca="false">TRUE()</f>
        <v>1</v>
      </c>
    </row>
    <row r="5159" customFormat="false" ht="15" hidden="false" customHeight="false" outlineLevel="0" collapsed="false">
      <c r="A5159" s="62" t="n">
        <v>1</v>
      </c>
      <c r="B5159" s="21" t="s">
        <v>336</v>
      </c>
      <c r="C5159" s="62" t="s">
        <v>60</v>
      </c>
      <c r="D5159" s="62" t="s">
        <v>385</v>
      </c>
      <c r="E5159" s="62" t="s">
        <v>382</v>
      </c>
      <c r="F5159" s="62" t="s">
        <v>382</v>
      </c>
      <c r="G5159" s="63" t="s">
        <v>498</v>
      </c>
      <c r="H5159" s="64" t="n">
        <v>0</v>
      </c>
      <c r="I5159" s="62"/>
      <c r="J5159" s="64" t="n">
        <v>0</v>
      </c>
      <c r="K5159" s="62"/>
      <c r="L5159" s="68" t="b">
        <f aca="false">TRUE()</f>
        <v>1</v>
      </c>
    </row>
    <row r="5160" customFormat="false" ht="15" hidden="false" customHeight="false" outlineLevel="0" collapsed="false">
      <c r="A5160" s="62" t="n">
        <v>1</v>
      </c>
      <c r="B5160" s="21" t="s">
        <v>336</v>
      </c>
      <c r="C5160" s="62" t="s">
        <v>60</v>
      </c>
      <c r="D5160" s="62" t="s">
        <v>386</v>
      </c>
      <c r="E5160" s="62" t="s">
        <v>382</v>
      </c>
      <c r="F5160" s="62" t="s">
        <v>382</v>
      </c>
      <c r="G5160" s="63" t="s">
        <v>498</v>
      </c>
      <c r="H5160" s="64" t="n">
        <v>0</v>
      </c>
      <c r="I5160" s="62"/>
      <c r="J5160" s="64" t="n">
        <v>0</v>
      </c>
      <c r="K5160" s="62"/>
      <c r="L5160" s="68" t="b">
        <f aca="false">TRUE()</f>
        <v>1</v>
      </c>
    </row>
    <row r="5161" customFormat="false" ht="15" hidden="false" customHeight="false" outlineLevel="0" collapsed="false">
      <c r="A5161" s="62" t="n">
        <v>1</v>
      </c>
      <c r="B5161" s="21" t="s">
        <v>336</v>
      </c>
      <c r="C5161" s="62" t="s">
        <v>60</v>
      </c>
      <c r="D5161" s="62" t="s">
        <v>387</v>
      </c>
      <c r="E5161" s="62" t="s">
        <v>382</v>
      </c>
      <c r="F5161" s="62" t="s">
        <v>382</v>
      </c>
      <c r="G5161" s="63" t="s">
        <v>498</v>
      </c>
      <c r="H5161" s="64" t="n">
        <v>0</v>
      </c>
      <c r="I5161" s="62"/>
      <c r="J5161" s="64" t="n">
        <v>0</v>
      </c>
      <c r="K5161" s="62"/>
      <c r="L5161" s="68" t="b">
        <f aca="false">TRUE()</f>
        <v>1</v>
      </c>
    </row>
    <row r="5162" customFormat="false" ht="15" hidden="false" customHeight="false" outlineLevel="0" collapsed="false">
      <c r="A5162" s="62" t="n">
        <v>1</v>
      </c>
      <c r="B5162" s="21" t="s">
        <v>336</v>
      </c>
      <c r="C5162" s="62" t="s">
        <v>60</v>
      </c>
      <c r="D5162" s="62" t="s">
        <v>388</v>
      </c>
      <c r="E5162" s="62" t="s">
        <v>382</v>
      </c>
      <c r="F5162" s="62" t="s">
        <v>382</v>
      </c>
      <c r="G5162" s="63" t="s">
        <v>498</v>
      </c>
      <c r="H5162" s="64" t="n">
        <v>0</v>
      </c>
      <c r="I5162" s="62"/>
      <c r="J5162" s="64" t="n">
        <v>0</v>
      </c>
      <c r="K5162" s="62"/>
      <c r="L5162" s="68" t="b">
        <f aca="false">TRUE()</f>
        <v>1</v>
      </c>
    </row>
    <row r="5163" customFormat="false" ht="15" hidden="false" customHeight="false" outlineLevel="0" collapsed="false">
      <c r="A5163" s="62" t="n">
        <v>1</v>
      </c>
      <c r="B5163" s="21" t="s">
        <v>336</v>
      </c>
      <c r="C5163" s="62" t="s">
        <v>60</v>
      </c>
      <c r="D5163" s="62" t="s">
        <v>381</v>
      </c>
      <c r="E5163" s="62" t="s">
        <v>382</v>
      </c>
      <c r="F5163" s="62" t="s">
        <v>382</v>
      </c>
      <c r="G5163" s="63" t="s">
        <v>499</v>
      </c>
      <c r="H5163" s="64" t="n">
        <v>2.66</v>
      </c>
      <c r="I5163" s="62"/>
      <c r="J5163" s="64" t="n">
        <v>2.66</v>
      </c>
      <c r="K5163" s="62"/>
      <c r="L5163" s="68" t="b">
        <f aca="false">TRUE()</f>
        <v>1</v>
      </c>
    </row>
    <row r="5164" customFormat="false" ht="15" hidden="false" customHeight="false" outlineLevel="0" collapsed="false">
      <c r="A5164" s="62" t="n">
        <v>1</v>
      </c>
      <c r="B5164" s="21" t="s">
        <v>336</v>
      </c>
      <c r="C5164" s="62" t="s">
        <v>60</v>
      </c>
      <c r="D5164" s="62" t="s">
        <v>383</v>
      </c>
      <c r="E5164" s="62" t="s">
        <v>382</v>
      </c>
      <c r="F5164" s="62" t="s">
        <v>382</v>
      </c>
      <c r="G5164" s="63" t="s">
        <v>499</v>
      </c>
      <c r="H5164" s="64" t="n">
        <v>3.2</v>
      </c>
      <c r="I5164" s="62"/>
      <c r="J5164" s="64" t="n">
        <v>3.2</v>
      </c>
      <c r="K5164" s="62"/>
      <c r="L5164" s="68" t="b">
        <f aca="false">TRUE()</f>
        <v>1</v>
      </c>
    </row>
    <row r="5165" customFormat="false" ht="15" hidden="false" customHeight="false" outlineLevel="0" collapsed="false">
      <c r="A5165" s="62" t="n">
        <v>1</v>
      </c>
      <c r="B5165" s="21" t="s">
        <v>336</v>
      </c>
      <c r="C5165" s="62" t="s">
        <v>60</v>
      </c>
      <c r="D5165" s="62" t="s">
        <v>384</v>
      </c>
      <c r="E5165" s="62" t="s">
        <v>382</v>
      </c>
      <c r="F5165" s="62" t="s">
        <v>382</v>
      </c>
      <c r="G5165" s="63" t="s">
        <v>499</v>
      </c>
      <c r="H5165" s="64" t="n">
        <v>2.24</v>
      </c>
      <c r="I5165" s="62"/>
      <c r="J5165" s="64" t="n">
        <v>2.24</v>
      </c>
      <c r="K5165" s="62"/>
      <c r="L5165" s="68" t="b">
        <f aca="false">TRUE()</f>
        <v>1</v>
      </c>
    </row>
    <row r="5166" customFormat="false" ht="15" hidden="false" customHeight="false" outlineLevel="0" collapsed="false">
      <c r="A5166" s="62" t="n">
        <v>1</v>
      </c>
      <c r="B5166" s="21" t="s">
        <v>336</v>
      </c>
      <c r="C5166" s="62" t="s">
        <v>60</v>
      </c>
      <c r="D5166" s="62" t="s">
        <v>385</v>
      </c>
      <c r="E5166" s="62" t="s">
        <v>382</v>
      </c>
      <c r="F5166" s="62" t="s">
        <v>382</v>
      </c>
      <c r="G5166" s="63" t="s">
        <v>499</v>
      </c>
      <c r="H5166" s="64" t="n">
        <v>1.42</v>
      </c>
      <c r="I5166" s="62"/>
      <c r="J5166" s="64" t="n">
        <v>1.42</v>
      </c>
      <c r="K5166" s="62"/>
      <c r="L5166" s="68" t="b">
        <f aca="false">TRUE()</f>
        <v>1</v>
      </c>
    </row>
    <row r="5167" customFormat="false" ht="15" hidden="false" customHeight="false" outlineLevel="0" collapsed="false">
      <c r="A5167" s="62" t="n">
        <v>1</v>
      </c>
      <c r="B5167" s="21" t="s">
        <v>336</v>
      </c>
      <c r="C5167" s="62" t="s">
        <v>60</v>
      </c>
      <c r="D5167" s="62" t="s">
        <v>386</v>
      </c>
      <c r="E5167" s="62" t="s">
        <v>382</v>
      </c>
      <c r="F5167" s="62" t="s">
        <v>382</v>
      </c>
      <c r="G5167" s="63" t="s">
        <v>499</v>
      </c>
      <c r="H5167" s="64" t="n">
        <v>1.92</v>
      </c>
      <c r="I5167" s="62"/>
      <c r="J5167" s="64" t="n">
        <v>1.92</v>
      </c>
      <c r="K5167" s="62"/>
      <c r="L5167" s="68" t="b">
        <f aca="false">TRUE()</f>
        <v>1</v>
      </c>
    </row>
    <row r="5168" customFormat="false" ht="15" hidden="false" customHeight="false" outlineLevel="0" collapsed="false">
      <c r="A5168" s="62" t="n">
        <v>1</v>
      </c>
      <c r="B5168" s="21" t="s">
        <v>336</v>
      </c>
      <c r="C5168" s="62" t="s">
        <v>60</v>
      </c>
      <c r="D5168" s="62" t="s">
        <v>387</v>
      </c>
      <c r="E5168" s="62" t="s">
        <v>382</v>
      </c>
      <c r="F5168" s="62" t="s">
        <v>382</v>
      </c>
      <c r="G5168" s="63" t="s">
        <v>499</v>
      </c>
      <c r="H5168" s="64" t="n">
        <v>0.54</v>
      </c>
      <c r="I5168" s="62"/>
      <c r="J5168" s="64" t="n">
        <v>0.54</v>
      </c>
      <c r="K5168" s="62"/>
      <c r="L5168" s="68" t="b">
        <f aca="false">TRUE()</f>
        <v>1</v>
      </c>
    </row>
    <row r="5169" customFormat="false" ht="15" hidden="false" customHeight="false" outlineLevel="0" collapsed="false">
      <c r="A5169" s="62" t="n">
        <v>1</v>
      </c>
      <c r="B5169" s="21" t="s">
        <v>336</v>
      </c>
      <c r="C5169" s="62" t="s">
        <v>60</v>
      </c>
      <c r="D5169" s="62" t="s">
        <v>388</v>
      </c>
      <c r="E5169" s="62" t="s">
        <v>382</v>
      </c>
      <c r="F5169" s="62" t="s">
        <v>382</v>
      </c>
      <c r="G5169" s="63" t="s">
        <v>499</v>
      </c>
      <c r="H5169" s="64" t="n">
        <v>2.6</v>
      </c>
      <c r="I5169" s="62"/>
      <c r="J5169" s="64" t="n">
        <v>2.6</v>
      </c>
      <c r="K5169" s="62"/>
      <c r="L5169" s="68" t="b">
        <f aca="false">TRUE()</f>
        <v>1</v>
      </c>
    </row>
    <row r="5170" customFormat="false" ht="15" hidden="false" customHeight="false" outlineLevel="0" collapsed="false">
      <c r="A5170" s="62" t="n">
        <v>1</v>
      </c>
      <c r="B5170" s="21" t="s">
        <v>336</v>
      </c>
      <c r="C5170" s="62" t="s">
        <v>60</v>
      </c>
      <c r="D5170" s="62" t="s">
        <v>381</v>
      </c>
      <c r="E5170" s="62" t="s">
        <v>382</v>
      </c>
      <c r="F5170" s="62" t="s">
        <v>382</v>
      </c>
      <c r="G5170" s="63" t="s">
        <v>500</v>
      </c>
      <c r="H5170" s="64" t="n">
        <v>0</v>
      </c>
      <c r="I5170" s="62" t="s">
        <v>81</v>
      </c>
      <c r="J5170" s="64" t="n">
        <v>0</v>
      </c>
      <c r="K5170" s="62" t="s">
        <v>138</v>
      </c>
      <c r="L5170" s="68" t="b">
        <f aca="false">TRUE()</f>
        <v>1</v>
      </c>
    </row>
    <row r="5171" customFormat="false" ht="15" hidden="false" customHeight="false" outlineLevel="0" collapsed="false">
      <c r="A5171" s="62" t="n">
        <v>1</v>
      </c>
      <c r="B5171" s="21" t="s">
        <v>336</v>
      </c>
      <c r="C5171" s="62" t="s">
        <v>60</v>
      </c>
      <c r="D5171" s="62" t="s">
        <v>383</v>
      </c>
      <c r="E5171" s="62" t="s">
        <v>382</v>
      </c>
      <c r="F5171" s="62" t="s">
        <v>382</v>
      </c>
      <c r="G5171" s="63" t="s">
        <v>500</v>
      </c>
      <c r="H5171" s="64" t="n">
        <v>0</v>
      </c>
      <c r="I5171" s="62" t="s">
        <v>81</v>
      </c>
      <c r="J5171" s="64" t="n">
        <v>0</v>
      </c>
      <c r="K5171" s="62" t="s">
        <v>138</v>
      </c>
      <c r="L5171" s="68" t="b">
        <f aca="false">TRUE()</f>
        <v>1</v>
      </c>
    </row>
    <row r="5172" customFormat="false" ht="15" hidden="false" customHeight="false" outlineLevel="0" collapsed="false">
      <c r="A5172" s="62" t="n">
        <v>1</v>
      </c>
      <c r="B5172" s="21" t="s">
        <v>336</v>
      </c>
      <c r="C5172" s="62" t="s">
        <v>60</v>
      </c>
      <c r="D5172" s="62" t="s">
        <v>384</v>
      </c>
      <c r="E5172" s="62" t="s">
        <v>382</v>
      </c>
      <c r="F5172" s="62" t="s">
        <v>382</v>
      </c>
      <c r="G5172" s="63" t="s">
        <v>500</v>
      </c>
      <c r="H5172" s="64" t="n">
        <v>0</v>
      </c>
      <c r="I5172" s="62" t="s">
        <v>81</v>
      </c>
      <c r="J5172" s="64" t="n">
        <v>0</v>
      </c>
      <c r="K5172" s="62" t="s">
        <v>138</v>
      </c>
      <c r="L5172" s="68" t="b">
        <f aca="false">TRUE()</f>
        <v>1</v>
      </c>
    </row>
    <row r="5173" customFormat="false" ht="15" hidden="false" customHeight="false" outlineLevel="0" collapsed="false">
      <c r="A5173" s="62" t="n">
        <v>1</v>
      </c>
      <c r="B5173" s="21" t="s">
        <v>336</v>
      </c>
      <c r="C5173" s="62" t="s">
        <v>60</v>
      </c>
      <c r="D5173" s="62" t="s">
        <v>385</v>
      </c>
      <c r="E5173" s="62" t="s">
        <v>382</v>
      </c>
      <c r="F5173" s="62" t="s">
        <v>382</v>
      </c>
      <c r="G5173" s="63" t="s">
        <v>500</v>
      </c>
      <c r="H5173" s="64" t="n">
        <v>0</v>
      </c>
      <c r="I5173" s="62" t="s">
        <v>81</v>
      </c>
      <c r="J5173" s="64" t="n">
        <v>0</v>
      </c>
      <c r="K5173" s="62" t="s">
        <v>138</v>
      </c>
      <c r="L5173" s="68" t="b">
        <f aca="false">TRUE()</f>
        <v>1</v>
      </c>
    </row>
    <row r="5174" customFormat="false" ht="15" hidden="false" customHeight="false" outlineLevel="0" collapsed="false">
      <c r="A5174" s="62" t="n">
        <v>1</v>
      </c>
      <c r="B5174" s="21" t="s">
        <v>336</v>
      </c>
      <c r="C5174" s="62" t="s">
        <v>60</v>
      </c>
      <c r="D5174" s="62" t="s">
        <v>386</v>
      </c>
      <c r="E5174" s="62" t="s">
        <v>382</v>
      </c>
      <c r="F5174" s="62" t="s">
        <v>382</v>
      </c>
      <c r="G5174" s="63" t="s">
        <v>500</v>
      </c>
      <c r="H5174" s="64" t="n">
        <v>0</v>
      </c>
      <c r="I5174" s="62" t="s">
        <v>81</v>
      </c>
      <c r="J5174" s="64" t="n">
        <v>0</v>
      </c>
      <c r="K5174" s="62" t="s">
        <v>138</v>
      </c>
      <c r="L5174" s="68" t="b">
        <f aca="false">TRUE()</f>
        <v>1</v>
      </c>
    </row>
    <row r="5175" customFormat="false" ht="15" hidden="false" customHeight="false" outlineLevel="0" collapsed="false">
      <c r="A5175" s="62" t="n">
        <v>1</v>
      </c>
      <c r="B5175" s="21" t="s">
        <v>336</v>
      </c>
      <c r="C5175" s="62" t="s">
        <v>60</v>
      </c>
      <c r="D5175" s="62" t="s">
        <v>387</v>
      </c>
      <c r="E5175" s="62" t="s">
        <v>382</v>
      </c>
      <c r="F5175" s="62" t="s">
        <v>382</v>
      </c>
      <c r="G5175" s="63" t="s">
        <v>500</v>
      </c>
      <c r="H5175" s="64" t="n">
        <v>0</v>
      </c>
      <c r="I5175" s="62" t="s">
        <v>81</v>
      </c>
      <c r="J5175" s="64" t="n">
        <v>0</v>
      </c>
      <c r="K5175" s="62" t="s">
        <v>138</v>
      </c>
      <c r="L5175" s="68" t="b">
        <f aca="false">TRUE()</f>
        <v>1</v>
      </c>
    </row>
    <row r="5176" customFormat="false" ht="15" hidden="false" customHeight="false" outlineLevel="0" collapsed="false">
      <c r="A5176" s="62" t="n">
        <v>1</v>
      </c>
      <c r="B5176" s="21" t="s">
        <v>336</v>
      </c>
      <c r="C5176" s="62" t="s">
        <v>60</v>
      </c>
      <c r="D5176" s="62" t="s">
        <v>388</v>
      </c>
      <c r="E5176" s="62" t="s">
        <v>382</v>
      </c>
      <c r="F5176" s="62" t="s">
        <v>382</v>
      </c>
      <c r="G5176" s="63" t="s">
        <v>500</v>
      </c>
      <c r="H5176" s="64" t="n">
        <v>0</v>
      </c>
      <c r="I5176" s="62" t="s">
        <v>81</v>
      </c>
      <c r="J5176" s="64" t="n">
        <v>0</v>
      </c>
      <c r="K5176" s="62" t="s">
        <v>138</v>
      </c>
      <c r="L5176" s="68" t="b">
        <f aca="false">TRUE()</f>
        <v>1</v>
      </c>
    </row>
    <row r="5177" customFormat="false" ht="15" hidden="false" customHeight="false" outlineLevel="0" collapsed="false">
      <c r="A5177" s="62" t="n">
        <v>1</v>
      </c>
      <c r="B5177" s="21" t="s">
        <v>336</v>
      </c>
      <c r="C5177" s="62" t="s">
        <v>60</v>
      </c>
      <c r="D5177" s="62" t="s">
        <v>381</v>
      </c>
      <c r="E5177" s="62" t="s">
        <v>382</v>
      </c>
      <c r="F5177" s="62" t="s">
        <v>382</v>
      </c>
      <c r="G5177" s="63" t="s">
        <v>501</v>
      </c>
      <c r="H5177" s="64" t="n">
        <v>3464000</v>
      </c>
      <c r="I5177" s="62" t="s">
        <v>81</v>
      </c>
      <c r="J5177" s="64" t="n">
        <v>3464</v>
      </c>
      <c r="K5177" s="62" t="s">
        <v>138</v>
      </c>
      <c r="L5177" s="68" t="b">
        <f aca="false">TRUE()</f>
        <v>1</v>
      </c>
    </row>
    <row r="5178" customFormat="false" ht="15" hidden="false" customHeight="false" outlineLevel="0" collapsed="false">
      <c r="A5178" s="62" t="n">
        <v>1</v>
      </c>
      <c r="B5178" s="21" t="s">
        <v>336</v>
      </c>
      <c r="C5178" s="62" t="s">
        <v>60</v>
      </c>
      <c r="D5178" s="62" t="s">
        <v>383</v>
      </c>
      <c r="E5178" s="62" t="s">
        <v>382</v>
      </c>
      <c r="F5178" s="62" t="s">
        <v>382</v>
      </c>
      <c r="G5178" s="63" t="s">
        <v>501</v>
      </c>
      <c r="H5178" s="64" t="n">
        <v>6864000</v>
      </c>
      <c r="I5178" s="62" t="s">
        <v>81</v>
      </c>
      <c r="J5178" s="64" t="n">
        <v>6864</v>
      </c>
      <c r="K5178" s="62" t="s">
        <v>138</v>
      </c>
      <c r="L5178" s="68" t="b">
        <f aca="false">TRUE()</f>
        <v>1</v>
      </c>
    </row>
    <row r="5179" customFormat="false" ht="15" hidden="false" customHeight="false" outlineLevel="0" collapsed="false">
      <c r="A5179" s="62" t="n">
        <v>1</v>
      </c>
      <c r="B5179" s="21" t="s">
        <v>336</v>
      </c>
      <c r="C5179" s="62" t="s">
        <v>60</v>
      </c>
      <c r="D5179" s="62" t="s">
        <v>384</v>
      </c>
      <c r="E5179" s="62" t="s">
        <v>382</v>
      </c>
      <c r="F5179" s="62" t="s">
        <v>382</v>
      </c>
      <c r="G5179" s="63" t="s">
        <v>501</v>
      </c>
      <c r="H5179" s="64" t="n">
        <v>11564800</v>
      </c>
      <c r="I5179" s="62" t="s">
        <v>81</v>
      </c>
      <c r="J5179" s="64" t="n">
        <v>11564.8</v>
      </c>
      <c r="K5179" s="62" t="s">
        <v>138</v>
      </c>
      <c r="L5179" s="68" t="b">
        <f aca="false">TRUE()</f>
        <v>1</v>
      </c>
    </row>
    <row r="5180" customFormat="false" ht="15" hidden="false" customHeight="false" outlineLevel="0" collapsed="false">
      <c r="A5180" s="62" t="n">
        <v>1</v>
      </c>
      <c r="B5180" s="21" t="s">
        <v>336</v>
      </c>
      <c r="C5180" s="62" t="s">
        <v>60</v>
      </c>
      <c r="D5180" s="62" t="s">
        <v>385</v>
      </c>
      <c r="E5180" s="62" t="s">
        <v>382</v>
      </c>
      <c r="F5180" s="62" t="s">
        <v>382</v>
      </c>
      <c r="G5180" s="63" t="s">
        <v>501</v>
      </c>
      <c r="H5180" s="64" t="n">
        <v>2168000</v>
      </c>
      <c r="I5180" s="62" t="s">
        <v>81</v>
      </c>
      <c r="J5180" s="64" t="n">
        <v>2168</v>
      </c>
      <c r="K5180" s="62" t="s">
        <v>138</v>
      </c>
      <c r="L5180" s="68" t="b">
        <f aca="false">TRUE()</f>
        <v>1</v>
      </c>
    </row>
    <row r="5181" customFormat="false" ht="15" hidden="false" customHeight="false" outlineLevel="0" collapsed="false">
      <c r="A5181" s="62" t="n">
        <v>1</v>
      </c>
      <c r="B5181" s="21" t="s">
        <v>336</v>
      </c>
      <c r="C5181" s="62" t="s">
        <v>60</v>
      </c>
      <c r="D5181" s="62" t="s">
        <v>386</v>
      </c>
      <c r="E5181" s="62" t="s">
        <v>382</v>
      </c>
      <c r="F5181" s="62" t="s">
        <v>382</v>
      </c>
      <c r="G5181" s="63" t="s">
        <v>501</v>
      </c>
      <c r="H5181" s="64" t="n">
        <v>768000</v>
      </c>
      <c r="I5181" s="62" t="s">
        <v>81</v>
      </c>
      <c r="J5181" s="64" t="n">
        <v>768</v>
      </c>
      <c r="K5181" s="62" t="s">
        <v>138</v>
      </c>
      <c r="L5181" s="68" t="b">
        <f aca="false">TRUE()</f>
        <v>1</v>
      </c>
    </row>
    <row r="5182" customFormat="false" ht="15" hidden="false" customHeight="false" outlineLevel="0" collapsed="false">
      <c r="A5182" s="62" t="n">
        <v>1</v>
      </c>
      <c r="B5182" s="21" t="s">
        <v>336</v>
      </c>
      <c r="C5182" s="62" t="s">
        <v>60</v>
      </c>
      <c r="D5182" s="62" t="s">
        <v>387</v>
      </c>
      <c r="E5182" s="62" t="s">
        <v>382</v>
      </c>
      <c r="F5182" s="62" t="s">
        <v>382</v>
      </c>
      <c r="G5182" s="63" t="s">
        <v>501</v>
      </c>
      <c r="H5182" s="64" t="n">
        <v>9816000</v>
      </c>
      <c r="I5182" s="62" t="s">
        <v>81</v>
      </c>
      <c r="J5182" s="64" t="n">
        <v>9816</v>
      </c>
      <c r="K5182" s="62" t="s">
        <v>138</v>
      </c>
      <c r="L5182" s="68" t="b">
        <f aca="false">TRUE()</f>
        <v>1</v>
      </c>
    </row>
    <row r="5183" customFormat="false" ht="15" hidden="false" customHeight="false" outlineLevel="0" collapsed="false">
      <c r="A5183" s="62" t="n">
        <v>1</v>
      </c>
      <c r="B5183" s="21" t="s">
        <v>336</v>
      </c>
      <c r="C5183" s="62" t="s">
        <v>60</v>
      </c>
      <c r="D5183" s="62" t="s">
        <v>388</v>
      </c>
      <c r="E5183" s="62" t="s">
        <v>382</v>
      </c>
      <c r="F5183" s="62" t="s">
        <v>382</v>
      </c>
      <c r="G5183" s="63" t="s">
        <v>501</v>
      </c>
      <c r="H5183" s="64" t="n">
        <v>1040000</v>
      </c>
      <c r="I5183" s="62" t="s">
        <v>81</v>
      </c>
      <c r="J5183" s="64" t="n">
        <v>1040</v>
      </c>
      <c r="K5183" s="62" t="s">
        <v>138</v>
      </c>
      <c r="L5183" s="68" t="b">
        <f aca="false">TRUE()</f>
        <v>1</v>
      </c>
    </row>
    <row r="5184" customFormat="false" ht="15" hidden="false" customHeight="false" outlineLevel="0" collapsed="false">
      <c r="A5184" s="62" t="n">
        <v>1</v>
      </c>
      <c r="B5184" s="21" t="s">
        <v>336</v>
      </c>
      <c r="C5184" s="62" t="s">
        <v>60</v>
      </c>
      <c r="D5184" s="62" t="s">
        <v>381</v>
      </c>
      <c r="E5184" s="62" t="s">
        <v>382</v>
      </c>
      <c r="F5184" s="62" t="s">
        <v>382</v>
      </c>
      <c r="G5184" s="63" t="s">
        <v>502</v>
      </c>
      <c r="H5184" s="64" t="n">
        <v>481542857.142857</v>
      </c>
      <c r="I5184" s="62" t="s">
        <v>81</v>
      </c>
      <c r="J5184" s="64" t="n">
        <v>481542.857142857</v>
      </c>
      <c r="K5184" s="62" t="s">
        <v>138</v>
      </c>
      <c r="L5184" s="68" t="b">
        <f aca="false">TRUE()</f>
        <v>1</v>
      </c>
    </row>
    <row r="5185" customFormat="false" ht="15" hidden="false" customHeight="false" outlineLevel="0" collapsed="false">
      <c r="A5185" s="62" t="n">
        <v>1</v>
      </c>
      <c r="B5185" s="21" t="s">
        <v>336</v>
      </c>
      <c r="C5185" s="62" t="s">
        <v>60</v>
      </c>
      <c r="D5185" s="62" t="s">
        <v>383</v>
      </c>
      <c r="E5185" s="62" t="s">
        <v>382</v>
      </c>
      <c r="F5185" s="62" t="s">
        <v>382</v>
      </c>
      <c r="G5185" s="63" t="s">
        <v>502</v>
      </c>
      <c r="H5185" s="64" t="n">
        <v>518571428.571429</v>
      </c>
      <c r="I5185" s="62" t="s">
        <v>81</v>
      </c>
      <c r="J5185" s="64" t="n">
        <v>518571.428571429</v>
      </c>
      <c r="K5185" s="62" t="s">
        <v>138</v>
      </c>
      <c r="L5185" s="68" t="b">
        <f aca="false">TRUE()</f>
        <v>1</v>
      </c>
    </row>
    <row r="5186" customFormat="false" ht="15" hidden="false" customHeight="false" outlineLevel="0" collapsed="false">
      <c r="A5186" s="62" t="n">
        <v>1</v>
      </c>
      <c r="B5186" s="21" t="s">
        <v>336</v>
      </c>
      <c r="C5186" s="62" t="s">
        <v>60</v>
      </c>
      <c r="D5186" s="62" t="s">
        <v>384</v>
      </c>
      <c r="E5186" s="62" t="s">
        <v>382</v>
      </c>
      <c r="F5186" s="62" t="s">
        <v>382</v>
      </c>
      <c r="G5186" s="63" t="s">
        <v>502</v>
      </c>
      <c r="H5186" s="64" t="n">
        <v>617142857.142857</v>
      </c>
      <c r="I5186" s="62" t="s">
        <v>81</v>
      </c>
      <c r="J5186" s="64" t="n">
        <v>617142.857142857</v>
      </c>
      <c r="K5186" s="62" t="s">
        <v>138</v>
      </c>
      <c r="L5186" s="68" t="b">
        <f aca="false">TRUE()</f>
        <v>1</v>
      </c>
    </row>
    <row r="5187" customFormat="false" ht="15" hidden="false" customHeight="false" outlineLevel="0" collapsed="false">
      <c r="A5187" s="62" t="n">
        <v>1</v>
      </c>
      <c r="B5187" s="21" t="s">
        <v>336</v>
      </c>
      <c r="C5187" s="62" t="s">
        <v>60</v>
      </c>
      <c r="D5187" s="62" t="s">
        <v>385</v>
      </c>
      <c r="E5187" s="62" t="s">
        <v>382</v>
      </c>
      <c r="F5187" s="62" t="s">
        <v>382</v>
      </c>
      <c r="G5187" s="63" t="s">
        <v>502</v>
      </c>
      <c r="H5187" s="64" t="n">
        <v>579428571.428572</v>
      </c>
      <c r="I5187" s="62" t="s">
        <v>81</v>
      </c>
      <c r="J5187" s="64" t="n">
        <v>579428.571428572</v>
      </c>
      <c r="K5187" s="62" t="s">
        <v>138</v>
      </c>
      <c r="L5187" s="68" t="b">
        <f aca="false">TRUE()</f>
        <v>1</v>
      </c>
    </row>
    <row r="5188" customFormat="false" ht="15" hidden="false" customHeight="false" outlineLevel="0" collapsed="false">
      <c r="A5188" s="62" t="n">
        <v>1</v>
      </c>
      <c r="B5188" s="21" t="s">
        <v>336</v>
      </c>
      <c r="C5188" s="62" t="s">
        <v>60</v>
      </c>
      <c r="D5188" s="62" t="s">
        <v>386</v>
      </c>
      <c r="E5188" s="62" t="s">
        <v>382</v>
      </c>
      <c r="F5188" s="62" t="s">
        <v>382</v>
      </c>
      <c r="G5188" s="63" t="s">
        <v>502</v>
      </c>
      <c r="H5188" s="64" t="n">
        <v>471428571.428572</v>
      </c>
      <c r="I5188" s="62" t="s">
        <v>81</v>
      </c>
      <c r="J5188" s="64" t="n">
        <v>471428.571428572</v>
      </c>
      <c r="K5188" s="62" t="s">
        <v>138</v>
      </c>
      <c r="L5188" s="68" t="b">
        <f aca="false">TRUE()</f>
        <v>1</v>
      </c>
    </row>
    <row r="5189" customFormat="false" ht="15" hidden="false" customHeight="false" outlineLevel="0" collapsed="false">
      <c r="A5189" s="62" t="n">
        <v>1</v>
      </c>
      <c r="B5189" s="21" t="s">
        <v>336</v>
      </c>
      <c r="C5189" s="62" t="s">
        <v>60</v>
      </c>
      <c r="D5189" s="62" t="s">
        <v>387</v>
      </c>
      <c r="E5189" s="62" t="s">
        <v>382</v>
      </c>
      <c r="F5189" s="62" t="s">
        <v>382</v>
      </c>
      <c r="G5189" s="63" t="s">
        <v>502</v>
      </c>
      <c r="H5189" s="64" t="n">
        <v>744000000</v>
      </c>
      <c r="I5189" s="62" t="s">
        <v>81</v>
      </c>
      <c r="J5189" s="64" t="n">
        <v>744000</v>
      </c>
      <c r="K5189" s="62" t="s">
        <v>138</v>
      </c>
      <c r="L5189" s="68" t="b">
        <f aca="false">TRUE()</f>
        <v>1</v>
      </c>
    </row>
    <row r="5190" customFormat="false" ht="15" hidden="false" customHeight="false" outlineLevel="0" collapsed="false">
      <c r="A5190" s="62" t="n">
        <v>1</v>
      </c>
      <c r="B5190" s="21" t="s">
        <v>336</v>
      </c>
      <c r="C5190" s="62" t="s">
        <v>60</v>
      </c>
      <c r="D5190" s="62" t="s">
        <v>388</v>
      </c>
      <c r="E5190" s="62" t="s">
        <v>382</v>
      </c>
      <c r="F5190" s="62" t="s">
        <v>382</v>
      </c>
      <c r="G5190" s="63" t="s">
        <v>502</v>
      </c>
      <c r="H5190" s="64" t="n">
        <v>514285714.285714</v>
      </c>
      <c r="I5190" s="62" t="s">
        <v>81</v>
      </c>
      <c r="J5190" s="64" t="n">
        <v>514285.714285714</v>
      </c>
      <c r="K5190" s="62" t="s">
        <v>138</v>
      </c>
      <c r="L5190" s="68" t="b">
        <f aca="false">TRUE()</f>
        <v>1</v>
      </c>
    </row>
    <row r="5191" customFormat="false" ht="15" hidden="false" customHeight="false" outlineLevel="0" collapsed="false">
      <c r="A5191" s="62" t="n">
        <v>1</v>
      </c>
      <c r="B5191" s="21" t="s">
        <v>336</v>
      </c>
      <c r="C5191" s="62" t="s">
        <v>60</v>
      </c>
      <c r="D5191" s="62" t="s">
        <v>381</v>
      </c>
      <c r="E5191" s="62" t="s">
        <v>382</v>
      </c>
      <c r="F5191" s="62" t="s">
        <v>382</v>
      </c>
      <c r="G5191" s="63" t="s">
        <v>503</v>
      </c>
      <c r="H5191" s="64" t="n">
        <v>44520000</v>
      </c>
      <c r="I5191" s="62" t="s">
        <v>81</v>
      </c>
      <c r="J5191" s="64" t="n">
        <v>44520</v>
      </c>
      <c r="K5191" s="62" t="s">
        <v>138</v>
      </c>
      <c r="L5191" s="68" t="b">
        <f aca="false">TRUE()</f>
        <v>1</v>
      </c>
    </row>
    <row r="5192" customFormat="false" ht="15" hidden="false" customHeight="false" outlineLevel="0" collapsed="false">
      <c r="A5192" s="62" t="n">
        <v>1</v>
      </c>
      <c r="B5192" s="21" t="s">
        <v>336</v>
      </c>
      <c r="C5192" s="62" t="s">
        <v>60</v>
      </c>
      <c r="D5192" s="62" t="s">
        <v>383</v>
      </c>
      <c r="E5192" s="62" t="s">
        <v>382</v>
      </c>
      <c r="F5192" s="62" t="s">
        <v>382</v>
      </c>
      <c r="G5192" s="63" t="s">
        <v>503</v>
      </c>
      <c r="H5192" s="64" t="n">
        <v>43560000</v>
      </c>
      <c r="I5192" s="62" t="s">
        <v>81</v>
      </c>
      <c r="J5192" s="64" t="n">
        <v>43560</v>
      </c>
      <c r="K5192" s="62" t="s">
        <v>138</v>
      </c>
      <c r="L5192" s="68" t="b">
        <f aca="false">TRUE()</f>
        <v>1</v>
      </c>
    </row>
    <row r="5193" customFormat="false" ht="15" hidden="false" customHeight="false" outlineLevel="0" collapsed="false">
      <c r="A5193" s="62" t="n">
        <v>1</v>
      </c>
      <c r="B5193" s="21" t="s">
        <v>336</v>
      </c>
      <c r="C5193" s="62" t="s">
        <v>60</v>
      </c>
      <c r="D5193" s="62" t="s">
        <v>384</v>
      </c>
      <c r="E5193" s="62" t="s">
        <v>382</v>
      </c>
      <c r="F5193" s="62" t="s">
        <v>382</v>
      </c>
      <c r="G5193" s="63" t="s">
        <v>503</v>
      </c>
      <c r="H5193" s="64" t="n">
        <v>43200000</v>
      </c>
      <c r="I5193" s="62" t="s">
        <v>81</v>
      </c>
      <c r="J5193" s="64" t="n">
        <v>43200</v>
      </c>
      <c r="K5193" s="62" t="s">
        <v>138</v>
      </c>
      <c r="L5193" s="68" t="b">
        <f aca="false">TRUE()</f>
        <v>1</v>
      </c>
    </row>
    <row r="5194" customFormat="false" ht="15" hidden="false" customHeight="false" outlineLevel="0" collapsed="false">
      <c r="A5194" s="62" t="n">
        <v>1</v>
      </c>
      <c r="B5194" s="21" t="s">
        <v>336</v>
      </c>
      <c r="C5194" s="62" t="s">
        <v>60</v>
      </c>
      <c r="D5194" s="62" t="s">
        <v>385</v>
      </c>
      <c r="E5194" s="62" t="s">
        <v>382</v>
      </c>
      <c r="F5194" s="62" t="s">
        <v>382</v>
      </c>
      <c r="G5194" s="63" t="s">
        <v>503</v>
      </c>
      <c r="H5194" s="64" t="n">
        <v>43680000</v>
      </c>
      <c r="I5194" s="62" t="s">
        <v>81</v>
      </c>
      <c r="J5194" s="64" t="n">
        <v>43680</v>
      </c>
      <c r="K5194" s="62" t="s">
        <v>138</v>
      </c>
      <c r="L5194" s="68" t="b">
        <f aca="false">TRUE()</f>
        <v>1</v>
      </c>
    </row>
    <row r="5195" customFormat="false" ht="15" hidden="false" customHeight="false" outlineLevel="0" collapsed="false">
      <c r="A5195" s="62" t="n">
        <v>1</v>
      </c>
      <c r="B5195" s="21" t="s">
        <v>336</v>
      </c>
      <c r="C5195" s="62" t="s">
        <v>60</v>
      </c>
      <c r="D5195" s="62" t="s">
        <v>386</v>
      </c>
      <c r="E5195" s="62" t="s">
        <v>382</v>
      </c>
      <c r="F5195" s="62" t="s">
        <v>382</v>
      </c>
      <c r="G5195" s="63" t="s">
        <v>503</v>
      </c>
      <c r="H5195" s="64" t="n">
        <v>90000000</v>
      </c>
      <c r="I5195" s="62" t="s">
        <v>81</v>
      </c>
      <c r="J5195" s="64" t="n">
        <v>90000</v>
      </c>
      <c r="K5195" s="62" t="s">
        <v>138</v>
      </c>
      <c r="L5195" s="68" t="b">
        <f aca="false">TRUE()</f>
        <v>1</v>
      </c>
    </row>
    <row r="5196" customFormat="false" ht="15" hidden="false" customHeight="false" outlineLevel="0" collapsed="false">
      <c r="A5196" s="62" t="n">
        <v>1</v>
      </c>
      <c r="B5196" s="21" t="s">
        <v>336</v>
      </c>
      <c r="C5196" s="62" t="s">
        <v>60</v>
      </c>
      <c r="D5196" s="62" t="s">
        <v>387</v>
      </c>
      <c r="E5196" s="62" t="s">
        <v>382</v>
      </c>
      <c r="F5196" s="62" t="s">
        <v>382</v>
      </c>
      <c r="G5196" s="63" t="s">
        <v>503</v>
      </c>
      <c r="H5196" s="64" t="n">
        <v>104160000</v>
      </c>
      <c r="I5196" s="62" t="s">
        <v>81</v>
      </c>
      <c r="J5196" s="64" t="n">
        <v>104160</v>
      </c>
      <c r="K5196" s="62" t="s">
        <v>138</v>
      </c>
      <c r="L5196" s="68" t="b">
        <f aca="false">TRUE()</f>
        <v>1</v>
      </c>
    </row>
    <row r="5197" customFormat="false" ht="15" hidden="false" customHeight="false" outlineLevel="0" collapsed="false">
      <c r="A5197" s="62" t="n">
        <v>1</v>
      </c>
      <c r="B5197" s="21" t="s">
        <v>336</v>
      </c>
      <c r="C5197" s="62" t="s">
        <v>60</v>
      </c>
      <c r="D5197" s="62" t="s">
        <v>388</v>
      </c>
      <c r="E5197" s="62" t="s">
        <v>382</v>
      </c>
      <c r="F5197" s="62" t="s">
        <v>382</v>
      </c>
      <c r="G5197" s="63" t="s">
        <v>503</v>
      </c>
      <c r="H5197" s="64" t="n">
        <v>36000000</v>
      </c>
      <c r="I5197" s="62" t="s">
        <v>81</v>
      </c>
      <c r="J5197" s="64" t="n">
        <v>36000</v>
      </c>
      <c r="K5197" s="62" t="s">
        <v>138</v>
      </c>
      <c r="L5197" s="68" t="b">
        <f aca="false">TRUE()</f>
        <v>1</v>
      </c>
    </row>
    <row r="5198" customFormat="false" ht="15" hidden="false" customHeight="false" outlineLevel="0" collapsed="false">
      <c r="A5198" s="62" t="n">
        <v>1</v>
      </c>
      <c r="B5198" s="21" t="s">
        <v>336</v>
      </c>
      <c r="C5198" s="62" t="s">
        <v>60</v>
      </c>
      <c r="D5198" s="62" t="s">
        <v>381</v>
      </c>
      <c r="E5198" s="62" t="s">
        <v>382</v>
      </c>
      <c r="F5198" s="62" t="s">
        <v>382</v>
      </c>
      <c r="G5198" s="63" t="s">
        <v>504</v>
      </c>
      <c r="H5198" s="64" t="n">
        <v>42665000</v>
      </c>
      <c r="I5198" s="62" t="s">
        <v>81</v>
      </c>
      <c r="J5198" s="64" t="n">
        <v>42665</v>
      </c>
      <c r="K5198" s="62" t="s">
        <v>138</v>
      </c>
      <c r="L5198" s="68" t="b">
        <f aca="false">TRUE()</f>
        <v>1</v>
      </c>
    </row>
    <row r="5199" customFormat="false" ht="15" hidden="false" customHeight="false" outlineLevel="0" collapsed="false">
      <c r="A5199" s="62" t="n">
        <v>1</v>
      </c>
      <c r="B5199" s="21" t="s">
        <v>336</v>
      </c>
      <c r="C5199" s="62" t="s">
        <v>60</v>
      </c>
      <c r="D5199" s="62" t="s">
        <v>383</v>
      </c>
      <c r="E5199" s="62" t="s">
        <v>382</v>
      </c>
      <c r="F5199" s="62" t="s">
        <v>382</v>
      </c>
      <c r="G5199" s="63" t="s">
        <v>504</v>
      </c>
      <c r="H5199" s="64" t="n">
        <v>44275000</v>
      </c>
      <c r="I5199" s="62" t="s">
        <v>81</v>
      </c>
      <c r="J5199" s="64" t="n">
        <v>44275</v>
      </c>
      <c r="K5199" s="62" t="s">
        <v>138</v>
      </c>
      <c r="L5199" s="68" t="b">
        <f aca="false">TRUE()</f>
        <v>1</v>
      </c>
    </row>
    <row r="5200" customFormat="false" ht="15" hidden="false" customHeight="false" outlineLevel="0" collapsed="false">
      <c r="A5200" s="62" t="n">
        <v>1</v>
      </c>
      <c r="B5200" s="21" t="s">
        <v>336</v>
      </c>
      <c r="C5200" s="62" t="s">
        <v>60</v>
      </c>
      <c r="D5200" s="62" t="s">
        <v>384</v>
      </c>
      <c r="E5200" s="62" t="s">
        <v>382</v>
      </c>
      <c r="F5200" s="62" t="s">
        <v>382</v>
      </c>
      <c r="G5200" s="63" t="s">
        <v>504</v>
      </c>
      <c r="H5200" s="64" t="n">
        <v>48300000</v>
      </c>
      <c r="I5200" s="62" t="s">
        <v>81</v>
      </c>
      <c r="J5200" s="64" t="n">
        <v>48300</v>
      </c>
      <c r="K5200" s="62" t="s">
        <v>138</v>
      </c>
      <c r="L5200" s="68" t="b">
        <f aca="false">TRUE()</f>
        <v>1</v>
      </c>
    </row>
    <row r="5201" customFormat="false" ht="15" hidden="false" customHeight="false" outlineLevel="0" collapsed="false">
      <c r="A5201" s="62" t="n">
        <v>1</v>
      </c>
      <c r="B5201" s="21" t="s">
        <v>336</v>
      </c>
      <c r="C5201" s="62" t="s">
        <v>60</v>
      </c>
      <c r="D5201" s="62" t="s">
        <v>385</v>
      </c>
      <c r="E5201" s="62" t="s">
        <v>382</v>
      </c>
      <c r="F5201" s="62" t="s">
        <v>382</v>
      </c>
      <c r="G5201" s="63" t="s">
        <v>504</v>
      </c>
      <c r="H5201" s="64" t="n">
        <v>41860000</v>
      </c>
      <c r="I5201" s="62" t="s">
        <v>81</v>
      </c>
      <c r="J5201" s="64" t="n">
        <v>41860</v>
      </c>
      <c r="K5201" s="62" t="s">
        <v>138</v>
      </c>
      <c r="L5201" s="68" t="b">
        <f aca="false">TRUE()</f>
        <v>1</v>
      </c>
    </row>
    <row r="5202" customFormat="false" ht="15" hidden="false" customHeight="false" outlineLevel="0" collapsed="false">
      <c r="A5202" s="62" t="n">
        <v>1</v>
      </c>
      <c r="B5202" s="21" t="s">
        <v>336</v>
      </c>
      <c r="C5202" s="62" t="s">
        <v>60</v>
      </c>
      <c r="D5202" s="62" t="s">
        <v>386</v>
      </c>
      <c r="E5202" s="62" t="s">
        <v>382</v>
      </c>
      <c r="F5202" s="62" t="s">
        <v>382</v>
      </c>
      <c r="G5202" s="63" t="s">
        <v>504</v>
      </c>
      <c r="H5202" s="64" t="n">
        <v>40250000</v>
      </c>
      <c r="I5202" s="62" t="s">
        <v>81</v>
      </c>
      <c r="J5202" s="64" t="n">
        <v>40250</v>
      </c>
      <c r="K5202" s="62" t="s">
        <v>138</v>
      </c>
      <c r="L5202" s="68" t="b">
        <f aca="false">TRUE()</f>
        <v>1</v>
      </c>
    </row>
    <row r="5203" customFormat="false" ht="15" hidden="false" customHeight="false" outlineLevel="0" collapsed="false">
      <c r="A5203" s="62" t="n">
        <v>1</v>
      </c>
      <c r="B5203" s="21" t="s">
        <v>336</v>
      </c>
      <c r="C5203" s="62" t="s">
        <v>60</v>
      </c>
      <c r="D5203" s="62" t="s">
        <v>387</v>
      </c>
      <c r="E5203" s="62" t="s">
        <v>382</v>
      </c>
      <c r="F5203" s="62" t="s">
        <v>382</v>
      </c>
      <c r="G5203" s="63" t="s">
        <v>504</v>
      </c>
      <c r="H5203" s="64" t="n">
        <v>49910000</v>
      </c>
      <c r="I5203" s="62" t="s">
        <v>81</v>
      </c>
      <c r="J5203" s="64" t="n">
        <v>49910</v>
      </c>
      <c r="K5203" s="62" t="s">
        <v>138</v>
      </c>
      <c r="L5203" s="68" t="b">
        <f aca="false">TRUE()</f>
        <v>1</v>
      </c>
    </row>
    <row r="5204" customFormat="false" ht="15" hidden="false" customHeight="false" outlineLevel="0" collapsed="false">
      <c r="A5204" s="62" t="n">
        <v>1</v>
      </c>
      <c r="B5204" s="21" t="s">
        <v>336</v>
      </c>
      <c r="C5204" s="62" t="s">
        <v>60</v>
      </c>
      <c r="D5204" s="62" t="s">
        <v>388</v>
      </c>
      <c r="E5204" s="62" t="s">
        <v>382</v>
      </c>
      <c r="F5204" s="62" t="s">
        <v>382</v>
      </c>
      <c r="G5204" s="63" t="s">
        <v>504</v>
      </c>
      <c r="H5204" s="64" t="n">
        <v>40250000</v>
      </c>
      <c r="I5204" s="62" t="s">
        <v>81</v>
      </c>
      <c r="J5204" s="64" t="n">
        <v>40250</v>
      </c>
      <c r="K5204" s="62" t="s">
        <v>138</v>
      </c>
      <c r="L5204" s="68" t="b">
        <f aca="false">TRUE()</f>
        <v>1</v>
      </c>
    </row>
    <row r="5205" customFormat="false" ht="15" hidden="false" customHeight="false" outlineLevel="0" collapsed="false">
      <c r="A5205" s="62" t="n">
        <v>1</v>
      </c>
      <c r="B5205" s="21" t="s">
        <v>336</v>
      </c>
      <c r="C5205" s="62" t="s">
        <v>60</v>
      </c>
      <c r="D5205" s="62" t="s">
        <v>381</v>
      </c>
      <c r="E5205" s="62" t="s">
        <v>382</v>
      </c>
      <c r="F5205" s="62" t="s">
        <v>382</v>
      </c>
      <c r="G5205" s="63" t="s">
        <v>505</v>
      </c>
      <c r="H5205" s="64" t="n">
        <v>0</v>
      </c>
      <c r="I5205" s="62" t="s">
        <v>81</v>
      </c>
      <c r="J5205" s="64" t="n">
        <v>0</v>
      </c>
      <c r="K5205" s="62" t="s">
        <v>138</v>
      </c>
      <c r="L5205" s="68" t="b">
        <f aca="false">TRUE()</f>
        <v>1</v>
      </c>
    </row>
    <row r="5206" customFormat="false" ht="15" hidden="false" customHeight="false" outlineLevel="0" collapsed="false">
      <c r="A5206" s="62" t="n">
        <v>1</v>
      </c>
      <c r="B5206" s="21" t="s">
        <v>336</v>
      </c>
      <c r="C5206" s="62" t="s">
        <v>60</v>
      </c>
      <c r="D5206" s="62" t="s">
        <v>383</v>
      </c>
      <c r="E5206" s="62" t="s">
        <v>382</v>
      </c>
      <c r="F5206" s="62" t="s">
        <v>382</v>
      </c>
      <c r="G5206" s="63" t="s">
        <v>505</v>
      </c>
      <c r="H5206" s="64" t="n">
        <v>0</v>
      </c>
      <c r="I5206" s="62" t="s">
        <v>81</v>
      </c>
      <c r="J5206" s="64" t="n">
        <v>0</v>
      </c>
      <c r="K5206" s="62" t="s">
        <v>138</v>
      </c>
      <c r="L5206" s="68" t="b">
        <f aca="false">TRUE()</f>
        <v>1</v>
      </c>
    </row>
    <row r="5207" customFormat="false" ht="15" hidden="false" customHeight="false" outlineLevel="0" collapsed="false">
      <c r="A5207" s="62" t="n">
        <v>1</v>
      </c>
      <c r="B5207" s="21" t="s">
        <v>336</v>
      </c>
      <c r="C5207" s="62" t="s">
        <v>60</v>
      </c>
      <c r="D5207" s="62" t="s">
        <v>384</v>
      </c>
      <c r="E5207" s="62" t="s">
        <v>382</v>
      </c>
      <c r="F5207" s="62" t="s">
        <v>382</v>
      </c>
      <c r="G5207" s="63" t="s">
        <v>505</v>
      </c>
      <c r="H5207" s="64" t="n">
        <v>0</v>
      </c>
      <c r="I5207" s="62" t="s">
        <v>81</v>
      </c>
      <c r="J5207" s="64" t="n">
        <v>0</v>
      </c>
      <c r="K5207" s="62" t="s">
        <v>138</v>
      </c>
      <c r="L5207" s="68" t="b">
        <f aca="false">TRUE()</f>
        <v>1</v>
      </c>
    </row>
    <row r="5208" customFormat="false" ht="15" hidden="false" customHeight="false" outlineLevel="0" collapsed="false">
      <c r="A5208" s="62" t="n">
        <v>1</v>
      </c>
      <c r="B5208" s="21" t="s">
        <v>336</v>
      </c>
      <c r="C5208" s="62" t="s">
        <v>60</v>
      </c>
      <c r="D5208" s="62" t="s">
        <v>385</v>
      </c>
      <c r="E5208" s="62" t="s">
        <v>382</v>
      </c>
      <c r="F5208" s="62" t="s">
        <v>382</v>
      </c>
      <c r="G5208" s="63" t="s">
        <v>505</v>
      </c>
      <c r="H5208" s="64" t="n">
        <v>0</v>
      </c>
      <c r="I5208" s="62" t="s">
        <v>81</v>
      </c>
      <c r="J5208" s="64" t="n">
        <v>0</v>
      </c>
      <c r="K5208" s="62" t="s">
        <v>138</v>
      </c>
      <c r="L5208" s="68" t="b">
        <f aca="false">TRUE()</f>
        <v>1</v>
      </c>
    </row>
    <row r="5209" customFormat="false" ht="15" hidden="false" customHeight="false" outlineLevel="0" collapsed="false">
      <c r="A5209" s="62" t="n">
        <v>1</v>
      </c>
      <c r="B5209" s="21" t="s">
        <v>336</v>
      </c>
      <c r="C5209" s="62" t="s">
        <v>60</v>
      </c>
      <c r="D5209" s="62" t="s">
        <v>386</v>
      </c>
      <c r="E5209" s="62" t="s">
        <v>382</v>
      </c>
      <c r="F5209" s="62" t="s">
        <v>382</v>
      </c>
      <c r="G5209" s="63" t="s">
        <v>505</v>
      </c>
      <c r="H5209" s="64" t="n">
        <v>0</v>
      </c>
      <c r="I5209" s="62" t="s">
        <v>81</v>
      </c>
      <c r="J5209" s="64" t="n">
        <v>0</v>
      </c>
      <c r="K5209" s="62" t="s">
        <v>138</v>
      </c>
      <c r="L5209" s="68" t="b">
        <f aca="false">TRUE()</f>
        <v>1</v>
      </c>
    </row>
    <row r="5210" customFormat="false" ht="15" hidden="false" customHeight="false" outlineLevel="0" collapsed="false">
      <c r="A5210" s="62" t="n">
        <v>1</v>
      </c>
      <c r="B5210" s="21" t="s">
        <v>336</v>
      </c>
      <c r="C5210" s="62" t="s">
        <v>60</v>
      </c>
      <c r="D5210" s="62" t="s">
        <v>387</v>
      </c>
      <c r="E5210" s="62" t="s">
        <v>382</v>
      </c>
      <c r="F5210" s="62" t="s">
        <v>382</v>
      </c>
      <c r="G5210" s="63" t="s">
        <v>505</v>
      </c>
      <c r="H5210" s="64" t="n">
        <v>0</v>
      </c>
      <c r="I5210" s="62" t="s">
        <v>81</v>
      </c>
      <c r="J5210" s="64" t="n">
        <v>0</v>
      </c>
      <c r="K5210" s="62" t="s">
        <v>138</v>
      </c>
      <c r="L5210" s="68" t="b">
        <f aca="false">TRUE()</f>
        <v>1</v>
      </c>
    </row>
    <row r="5211" customFormat="false" ht="15" hidden="false" customHeight="false" outlineLevel="0" collapsed="false">
      <c r="A5211" s="62" t="n">
        <v>1</v>
      </c>
      <c r="B5211" s="21" t="s">
        <v>336</v>
      </c>
      <c r="C5211" s="62" t="s">
        <v>60</v>
      </c>
      <c r="D5211" s="62" t="s">
        <v>388</v>
      </c>
      <c r="E5211" s="62" t="s">
        <v>382</v>
      </c>
      <c r="F5211" s="62" t="s">
        <v>382</v>
      </c>
      <c r="G5211" s="63" t="s">
        <v>505</v>
      </c>
      <c r="H5211" s="64" t="n">
        <v>0</v>
      </c>
      <c r="I5211" s="62" t="s">
        <v>81</v>
      </c>
      <c r="J5211" s="64" t="n">
        <v>0</v>
      </c>
      <c r="K5211" s="62" t="s">
        <v>138</v>
      </c>
      <c r="L5211" s="68" t="b">
        <f aca="false">TRUE()</f>
        <v>1</v>
      </c>
    </row>
    <row r="5212" customFormat="false" ht="15" hidden="false" customHeight="false" outlineLevel="0" collapsed="false">
      <c r="A5212" s="62" t="n">
        <v>1</v>
      </c>
      <c r="B5212" s="21" t="s">
        <v>336</v>
      </c>
      <c r="C5212" s="62" t="s">
        <v>60</v>
      </c>
      <c r="D5212" s="62" t="s">
        <v>381</v>
      </c>
      <c r="E5212" s="62" t="s">
        <v>382</v>
      </c>
      <c r="F5212" s="62" t="s">
        <v>382</v>
      </c>
      <c r="G5212" s="63" t="s">
        <v>506</v>
      </c>
      <c r="H5212" s="64" t="n">
        <v>572191857.142857</v>
      </c>
      <c r="I5212" s="62" t="s">
        <v>81</v>
      </c>
      <c r="J5212" s="64" t="n">
        <v>572191.857142857</v>
      </c>
      <c r="K5212" s="62" t="s">
        <v>138</v>
      </c>
      <c r="L5212" s="68" t="b">
        <f aca="false">TRUE()</f>
        <v>1</v>
      </c>
    </row>
    <row r="5213" customFormat="false" ht="15" hidden="false" customHeight="false" outlineLevel="0" collapsed="false">
      <c r="A5213" s="62" t="n">
        <v>1</v>
      </c>
      <c r="B5213" s="21" t="s">
        <v>336</v>
      </c>
      <c r="C5213" s="62" t="s">
        <v>60</v>
      </c>
      <c r="D5213" s="62" t="s">
        <v>383</v>
      </c>
      <c r="E5213" s="62" t="s">
        <v>382</v>
      </c>
      <c r="F5213" s="62" t="s">
        <v>382</v>
      </c>
      <c r="G5213" s="63" t="s">
        <v>506</v>
      </c>
      <c r="H5213" s="64" t="n">
        <v>613270428.571429</v>
      </c>
      <c r="I5213" s="62" t="s">
        <v>81</v>
      </c>
      <c r="J5213" s="64" t="n">
        <v>613270.428571429</v>
      </c>
      <c r="K5213" s="62" t="s">
        <v>138</v>
      </c>
      <c r="L5213" s="68" t="b">
        <f aca="false">TRUE()</f>
        <v>1</v>
      </c>
    </row>
    <row r="5214" customFormat="false" ht="15" hidden="false" customHeight="false" outlineLevel="0" collapsed="false">
      <c r="A5214" s="62" t="n">
        <v>1</v>
      </c>
      <c r="B5214" s="21" t="s">
        <v>336</v>
      </c>
      <c r="C5214" s="62" t="s">
        <v>60</v>
      </c>
      <c r="D5214" s="62" t="s">
        <v>384</v>
      </c>
      <c r="E5214" s="62" t="s">
        <v>382</v>
      </c>
      <c r="F5214" s="62" t="s">
        <v>382</v>
      </c>
      <c r="G5214" s="63" t="s">
        <v>506</v>
      </c>
      <c r="H5214" s="64" t="n">
        <v>720207657.142857</v>
      </c>
      <c r="I5214" s="62" t="s">
        <v>81</v>
      </c>
      <c r="J5214" s="64" t="n">
        <v>720207.657142857</v>
      </c>
      <c r="K5214" s="62" t="s">
        <v>138</v>
      </c>
      <c r="L5214" s="68" t="b">
        <f aca="false">TRUE()</f>
        <v>1</v>
      </c>
    </row>
    <row r="5215" customFormat="false" ht="15" hidden="false" customHeight="false" outlineLevel="0" collapsed="false">
      <c r="A5215" s="62" t="n">
        <v>1</v>
      </c>
      <c r="B5215" s="21" t="s">
        <v>336</v>
      </c>
      <c r="C5215" s="62" t="s">
        <v>60</v>
      </c>
      <c r="D5215" s="62" t="s">
        <v>385</v>
      </c>
      <c r="E5215" s="62" t="s">
        <v>382</v>
      </c>
      <c r="F5215" s="62" t="s">
        <v>382</v>
      </c>
      <c r="G5215" s="63" t="s">
        <v>506</v>
      </c>
      <c r="H5215" s="64" t="n">
        <v>667136571.428572</v>
      </c>
      <c r="I5215" s="62" t="s">
        <v>81</v>
      </c>
      <c r="J5215" s="64" t="n">
        <v>667136.571428572</v>
      </c>
      <c r="K5215" s="62" t="s">
        <v>138</v>
      </c>
      <c r="L5215" s="68" t="b">
        <f aca="false">TRUE()</f>
        <v>1</v>
      </c>
    </row>
    <row r="5216" customFormat="false" ht="15" hidden="false" customHeight="false" outlineLevel="0" collapsed="false">
      <c r="A5216" s="62" t="n">
        <v>1</v>
      </c>
      <c r="B5216" s="21" t="s">
        <v>336</v>
      </c>
      <c r="C5216" s="62" t="s">
        <v>60</v>
      </c>
      <c r="D5216" s="62" t="s">
        <v>386</v>
      </c>
      <c r="E5216" s="62" t="s">
        <v>382</v>
      </c>
      <c r="F5216" s="62" t="s">
        <v>382</v>
      </c>
      <c r="G5216" s="63" t="s">
        <v>506</v>
      </c>
      <c r="H5216" s="64" t="n">
        <v>602446571.428572</v>
      </c>
      <c r="I5216" s="62" t="s">
        <v>81</v>
      </c>
      <c r="J5216" s="64" t="n">
        <v>602446.571428572</v>
      </c>
      <c r="K5216" s="62" t="s">
        <v>138</v>
      </c>
      <c r="L5216" s="68" t="b">
        <f aca="false">TRUE()</f>
        <v>1</v>
      </c>
    </row>
    <row r="5217" customFormat="false" ht="15" hidden="false" customHeight="false" outlineLevel="0" collapsed="false">
      <c r="A5217" s="62" t="n">
        <v>1</v>
      </c>
      <c r="B5217" s="21" t="s">
        <v>336</v>
      </c>
      <c r="C5217" s="62" t="s">
        <v>60</v>
      </c>
      <c r="D5217" s="62" t="s">
        <v>387</v>
      </c>
      <c r="E5217" s="62" t="s">
        <v>382</v>
      </c>
      <c r="F5217" s="62" t="s">
        <v>382</v>
      </c>
      <c r="G5217" s="63" t="s">
        <v>506</v>
      </c>
      <c r="H5217" s="64" t="n">
        <v>907886000</v>
      </c>
      <c r="I5217" s="62" t="s">
        <v>81</v>
      </c>
      <c r="J5217" s="64" t="n">
        <v>907886</v>
      </c>
      <c r="K5217" s="62" t="s">
        <v>138</v>
      </c>
      <c r="L5217" s="68" t="b">
        <f aca="false">TRUE()</f>
        <v>1</v>
      </c>
    </row>
    <row r="5218" customFormat="false" ht="15" hidden="false" customHeight="false" outlineLevel="0" collapsed="false">
      <c r="A5218" s="62" t="n">
        <v>1</v>
      </c>
      <c r="B5218" s="21" t="s">
        <v>336</v>
      </c>
      <c r="C5218" s="62" t="s">
        <v>60</v>
      </c>
      <c r="D5218" s="62" t="s">
        <v>388</v>
      </c>
      <c r="E5218" s="62" t="s">
        <v>382</v>
      </c>
      <c r="F5218" s="62" t="s">
        <v>382</v>
      </c>
      <c r="G5218" s="63" t="s">
        <v>506</v>
      </c>
      <c r="H5218" s="64" t="n">
        <v>591575714.285714</v>
      </c>
      <c r="I5218" s="62" t="s">
        <v>81</v>
      </c>
      <c r="J5218" s="64" t="n">
        <v>591575.714285714</v>
      </c>
      <c r="K5218" s="62" t="s">
        <v>138</v>
      </c>
      <c r="L5218" s="68" t="b">
        <f aca="false">TRUE()</f>
        <v>1</v>
      </c>
    </row>
    <row r="5219" customFormat="false" ht="15" hidden="false" customHeight="false" outlineLevel="0" collapsed="false">
      <c r="A5219" s="62" t="n">
        <v>1</v>
      </c>
      <c r="B5219" s="21" t="s">
        <v>336</v>
      </c>
      <c r="C5219" s="62" t="s">
        <v>60</v>
      </c>
      <c r="D5219" s="62" t="s">
        <v>381</v>
      </c>
      <c r="E5219" s="62" t="s">
        <v>382</v>
      </c>
      <c r="F5219" s="62" t="s">
        <v>382</v>
      </c>
      <c r="G5219" s="63" t="s">
        <v>507</v>
      </c>
      <c r="H5219" s="64" t="n">
        <v>8996727.31356694</v>
      </c>
      <c r="I5219" s="62" t="s">
        <v>81</v>
      </c>
      <c r="J5219" s="64" t="n">
        <v>8996.72731356694</v>
      </c>
      <c r="K5219" s="62" t="s">
        <v>138</v>
      </c>
      <c r="L5219" s="68" t="b">
        <f aca="false">TRUE()</f>
        <v>1</v>
      </c>
    </row>
    <row r="5220" customFormat="false" ht="15" hidden="false" customHeight="false" outlineLevel="0" collapsed="false">
      <c r="A5220" s="62" t="n">
        <v>1</v>
      </c>
      <c r="B5220" s="21" t="s">
        <v>336</v>
      </c>
      <c r="C5220" s="62" t="s">
        <v>60</v>
      </c>
      <c r="D5220" s="62" t="s">
        <v>383</v>
      </c>
      <c r="E5220" s="62" t="s">
        <v>382</v>
      </c>
      <c r="F5220" s="62" t="s">
        <v>382</v>
      </c>
      <c r="G5220" s="63" t="s">
        <v>507</v>
      </c>
      <c r="H5220" s="64" t="n">
        <v>9291976.19047619</v>
      </c>
      <c r="I5220" s="62" t="s">
        <v>81</v>
      </c>
      <c r="J5220" s="64" t="n">
        <v>9291.97619047619</v>
      </c>
      <c r="K5220" s="62" t="s">
        <v>138</v>
      </c>
      <c r="L5220" s="68" t="b">
        <f aca="false">TRUE()</f>
        <v>1</v>
      </c>
    </row>
    <row r="5221" customFormat="false" ht="15" hidden="false" customHeight="false" outlineLevel="0" collapsed="false">
      <c r="A5221" s="62" t="n">
        <v>1</v>
      </c>
      <c r="B5221" s="21" t="s">
        <v>336</v>
      </c>
      <c r="C5221" s="62" t="s">
        <v>60</v>
      </c>
      <c r="D5221" s="62" t="s">
        <v>384</v>
      </c>
      <c r="E5221" s="62" t="s">
        <v>382</v>
      </c>
      <c r="F5221" s="62" t="s">
        <v>382</v>
      </c>
      <c r="G5221" s="63" t="s">
        <v>507</v>
      </c>
      <c r="H5221" s="64" t="n">
        <v>10002884.1269841</v>
      </c>
      <c r="I5221" s="62" t="s">
        <v>81</v>
      </c>
      <c r="J5221" s="64" t="n">
        <v>10002.8841269841</v>
      </c>
      <c r="K5221" s="62" t="s">
        <v>138</v>
      </c>
      <c r="L5221" s="68" t="b">
        <f aca="false">TRUE()</f>
        <v>1</v>
      </c>
    </row>
    <row r="5222" customFormat="false" ht="15" hidden="false" customHeight="false" outlineLevel="0" collapsed="false">
      <c r="A5222" s="62" t="n">
        <v>1</v>
      </c>
      <c r="B5222" s="21" t="s">
        <v>336</v>
      </c>
      <c r="C5222" s="62" t="s">
        <v>60</v>
      </c>
      <c r="D5222" s="62" t="s">
        <v>385</v>
      </c>
      <c r="E5222" s="62" t="s">
        <v>382</v>
      </c>
      <c r="F5222" s="62" t="s">
        <v>382</v>
      </c>
      <c r="G5222" s="63" t="s">
        <v>507</v>
      </c>
      <c r="H5222" s="64" t="n">
        <v>10691291.2087912</v>
      </c>
      <c r="I5222" s="62" t="s">
        <v>81</v>
      </c>
      <c r="J5222" s="64" t="n">
        <v>10691.2912087912</v>
      </c>
      <c r="K5222" s="62" t="s">
        <v>138</v>
      </c>
      <c r="L5222" s="68" t="b">
        <f aca="false">TRUE()</f>
        <v>1</v>
      </c>
    </row>
    <row r="5223" customFormat="false" ht="15" hidden="false" customHeight="false" outlineLevel="0" collapsed="false">
      <c r="A5223" s="62" t="n">
        <v>1</v>
      </c>
      <c r="B5223" s="21" t="s">
        <v>336</v>
      </c>
      <c r="C5223" s="62" t="s">
        <v>60</v>
      </c>
      <c r="D5223" s="62" t="s">
        <v>386</v>
      </c>
      <c r="E5223" s="62" t="s">
        <v>382</v>
      </c>
      <c r="F5223" s="62" t="s">
        <v>382</v>
      </c>
      <c r="G5223" s="63" t="s">
        <v>507</v>
      </c>
      <c r="H5223" s="64" t="n">
        <v>10040776.1904762</v>
      </c>
      <c r="I5223" s="62" t="s">
        <v>81</v>
      </c>
      <c r="J5223" s="64" t="n">
        <v>10040.7761904762</v>
      </c>
      <c r="K5223" s="62" t="s">
        <v>138</v>
      </c>
      <c r="L5223" s="68" t="b">
        <f aca="false">TRUE()</f>
        <v>1</v>
      </c>
    </row>
    <row r="5224" customFormat="false" ht="15" hidden="false" customHeight="false" outlineLevel="0" collapsed="false">
      <c r="A5224" s="62" t="n">
        <v>1</v>
      </c>
      <c r="B5224" s="21" t="s">
        <v>336</v>
      </c>
      <c r="C5224" s="62" t="s">
        <v>60</v>
      </c>
      <c r="D5224" s="62" t="s">
        <v>387</v>
      </c>
      <c r="E5224" s="62" t="s">
        <v>382</v>
      </c>
      <c r="F5224" s="62" t="s">
        <v>382</v>
      </c>
      <c r="G5224" s="63" t="s">
        <v>507</v>
      </c>
      <c r="H5224" s="64" t="n">
        <v>12202768.8172043</v>
      </c>
      <c r="I5224" s="62" t="s">
        <v>81</v>
      </c>
      <c r="J5224" s="64" t="n">
        <v>12202.7688172043</v>
      </c>
      <c r="K5224" s="62" t="s">
        <v>138</v>
      </c>
      <c r="L5224" s="68" t="b">
        <f aca="false">TRUE()</f>
        <v>1</v>
      </c>
    </row>
    <row r="5225" customFormat="false" ht="15" hidden="false" customHeight="false" outlineLevel="0" collapsed="false">
      <c r="A5225" s="62" t="n">
        <v>1</v>
      </c>
      <c r="B5225" s="21" t="s">
        <v>336</v>
      </c>
      <c r="C5225" s="62" t="s">
        <v>60</v>
      </c>
      <c r="D5225" s="62" t="s">
        <v>388</v>
      </c>
      <c r="E5225" s="62" t="s">
        <v>382</v>
      </c>
      <c r="F5225" s="62" t="s">
        <v>382</v>
      </c>
      <c r="G5225" s="63" t="s">
        <v>507</v>
      </c>
      <c r="H5225" s="64" t="n">
        <v>9859595.23809524</v>
      </c>
      <c r="I5225" s="62" t="s">
        <v>81</v>
      </c>
      <c r="J5225" s="64" t="n">
        <v>9859.59523809524</v>
      </c>
      <c r="K5225" s="62" t="s">
        <v>138</v>
      </c>
      <c r="L5225" s="68" t="b">
        <f aca="false">TRUE()</f>
        <v>1</v>
      </c>
    </row>
    <row r="5226" customFormat="false" ht="15" hidden="false" customHeight="false" outlineLevel="0" collapsed="false">
      <c r="A5226" s="62" t="n">
        <v>1</v>
      </c>
      <c r="B5226" s="21" t="s">
        <v>336</v>
      </c>
      <c r="C5226" s="62" t="s">
        <v>60</v>
      </c>
      <c r="D5226" s="62" t="s">
        <v>381</v>
      </c>
      <c r="E5226" s="62" t="s">
        <v>382</v>
      </c>
      <c r="F5226" s="62" t="s">
        <v>382</v>
      </c>
      <c r="G5226" s="63" t="s">
        <v>508</v>
      </c>
      <c r="H5226" s="64" t="s">
        <v>758</v>
      </c>
      <c r="I5226" s="62" t="s">
        <v>138</v>
      </c>
      <c r="J5226" s="64" t="s">
        <v>758</v>
      </c>
      <c r="K5226" s="62" t="s">
        <v>138</v>
      </c>
      <c r="L5226" s="68" t="b">
        <f aca="false">TRUE()</f>
        <v>1</v>
      </c>
    </row>
    <row r="5227" customFormat="false" ht="15" hidden="false" customHeight="false" outlineLevel="0" collapsed="false">
      <c r="A5227" s="62" t="n">
        <v>1</v>
      </c>
      <c r="B5227" s="21" t="s">
        <v>336</v>
      </c>
      <c r="C5227" s="62" t="s">
        <v>60</v>
      </c>
      <c r="D5227" s="62" t="s">
        <v>383</v>
      </c>
      <c r="E5227" s="62" t="s">
        <v>382</v>
      </c>
      <c r="F5227" s="62" t="s">
        <v>382</v>
      </c>
      <c r="G5227" s="63" t="s">
        <v>508</v>
      </c>
      <c r="H5227" s="64" t="s">
        <v>759</v>
      </c>
      <c r="I5227" s="62" t="s">
        <v>138</v>
      </c>
      <c r="J5227" s="64" t="s">
        <v>759</v>
      </c>
      <c r="K5227" s="62" t="s">
        <v>138</v>
      </c>
      <c r="L5227" s="68" t="b">
        <f aca="false">TRUE()</f>
        <v>1</v>
      </c>
    </row>
    <row r="5228" customFormat="false" ht="15" hidden="false" customHeight="false" outlineLevel="0" collapsed="false">
      <c r="A5228" s="62" t="n">
        <v>1</v>
      </c>
      <c r="B5228" s="21" t="s">
        <v>336</v>
      </c>
      <c r="C5228" s="62" t="s">
        <v>60</v>
      </c>
      <c r="D5228" s="62" t="s">
        <v>384</v>
      </c>
      <c r="E5228" s="62" t="s">
        <v>382</v>
      </c>
      <c r="F5228" s="62" t="s">
        <v>382</v>
      </c>
      <c r="G5228" s="63" t="s">
        <v>508</v>
      </c>
      <c r="H5228" s="64" t="s">
        <v>760</v>
      </c>
      <c r="I5228" s="62" t="s">
        <v>138</v>
      </c>
      <c r="J5228" s="64" t="s">
        <v>760</v>
      </c>
      <c r="K5228" s="62" t="s">
        <v>138</v>
      </c>
      <c r="L5228" s="68" t="b">
        <f aca="false">TRUE()</f>
        <v>1</v>
      </c>
    </row>
    <row r="5229" customFormat="false" ht="15" hidden="false" customHeight="false" outlineLevel="0" collapsed="false">
      <c r="A5229" s="62" t="n">
        <v>1</v>
      </c>
      <c r="B5229" s="21" t="s">
        <v>336</v>
      </c>
      <c r="C5229" s="62" t="s">
        <v>60</v>
      </c>
      <c r="D5229" s="62" t="s">
        <v>385</v>
      </c>
      <c r="E5229" s="62" t="s">
        <v>382</v>
      </c>
      <c r="F5229" s="62" t="s">
        <v>382</v>
      </c>
      <c r="G5229" s="63" t="s">
        <v>508</v>
      </c>
      <c r="H5229" s="64" t="s">
        <v>761</v>
      </c>
      <c r="I5229" s="62" t="s">
        <v>138</v>
      </c>
      <c r="J5229" s="64" t="s">
        <v>761</v>
      </c>
      <c r="K5229" s="62" t="s">
        <v>138</v>
      </c>
      <c r="L5229" s="68" t="b">
        <f aca="false">TRUE()</f>
        <v>1</v>
      </c>
    </row>
    <row r="5230" customFormat="false" ht="15" hidden="false" customHeight="false" outlineLevel="0" collapsed="false">
      <c r="A5230" s="62" t="n">
        <v>1</v>
      </c>
      <c r="B5230" s="21" t="s">
        <v>336</v>
      </c>
      <c r="C5230" s="62" t="s">
        <v>60</v>
      </c>
      <c r="D5230" s="62" t="s">
        <v>386</v>
      </c>
      <c r="E5230" s="62" t="s">
        <v>382</v>
      </c>
      <c r="F5230" s="62" t="s">
        <v>382</v>
      </c>
      <c r="G5230" s="63" t="s">
        <v>508</v>
      </c>
      <c r="H5230" s="64" t="s">
        <v>762</v>
      </c>
      <c r="I5230" s="62" t="s">
        <v>138</v>
      </c>
      <c r="J5230" s="64" t="s">
        <v>762</v>
      </c>
      <c r="K5230" s="62" t="s">
        <v>138</v>
      </c>
      <c r="L5230" s="68" t="b">
        <f aca="false">TRUE()</f>
        <v>1</v>
      </c>
    </row>
    <row r="5231" customFormat="false" ht="15" hidden="false" customHeight="false" outlineLevel="0" collapsed="false">
      <c r="A5231" s="62" t="n">
        <v>1</v>
      </c>
      <c r="B5231" s="21" t="s">
        <v>336</v>
      </c>
      <c r="C5231" s="62" t="s">
        <v>60</v>
      </c>
      <c r="D5231" s="62" t="s">
        <v>387</v>
      </c>
      <c r="E5231" s="62" t="s">
        <v>382</v>
      </c>
      <c r="F5231" s="62" t="s">
        <v>382</v>
      </c>
      <c r="G5231" s="63" t="s">
        <v>508</v>
      </c>
      <c r="H5231" s="64" t="s">
        <v>763</v>
      </c>
      <c r="I5231" s="62" t="s">
        <v>138</v>
      </c>
      <c r="J5231" s="64" t="s">
        <v>763</v>
      </c>
      <c r="K5231" s="62" t="s">
        <v>138</v>
      </c>
      <c r="L5231" s="68" t="b">
        <f aca="false">TRUE()</f>
        <v>1</v>
      </c>
    </row>
    <row r="5232" customFormat="false" ht="15" hidden="false" customHeight="false" outlineLevel="0" collapsed="false">
      <c r="A5232" s="62" t="n">
        <v>1</v>
      </c>
      <c r="B5232" s="21" t="s">
        <v>336</v>
      </c>
      <c r="C5232" s="62" t="s">
        <v>60</v>
      </c>
      <c r="D5232" s="62" t="s">
        <v>388</v>
      </c>
      <c r="E5232" s="62" t="s">
        <v>382</v>
      </c>
      <c r="F5232" s="62" t="s">
        <v>382</v>
      </c>
      <c r="G5232" s="63" t="s">
        <v>508</v>
      </c>
      <c r="H5232" s="64" t="s">
        <v>764</v>
      </c>
      <c r="I5232" s="62" t="s">
        <v>138</v>
      </c>
      <c r="J5232" s="64" t="s">
        <v>764</v>
      </c>
      <c r="K5232" s="62" t="s">
        <v>138</v>
      </c>
      <c r="L5232" s="68" t="b">
        <f aca="false">TRUE()</f>
        <v>1</v>
      </c>
    </row>
    <row r="5233" customFormat="false" ht="15" hidden="false" customHeight="false" outlineLevel="0" collapsed="false">
      <c r="A5233" s="62" t="n">
        <v>1</v>
      </c>
      <c r="B5233" s="21" t="s">
        <v>336</v>
      </c>
      <c r="C5233" s="62" t="s">
        <v>60</v>
      </c>
      <c r="D5233" s="62" t="s">
        <v>381</v>
      </c>
      <c r="E5233" s="62" t="s">
        <v>382</v>
      </c>
      <c r="F5233" s="62" t="s">
        <v>382</v>
      </c>
      <c r="G5233" s="63" t="s">
        <v>510</v>
      </c>
      <c r="H5233" s="64" t="s">
        <v>765</v>
      </c>
      <c r="I5233" s="62" t="s">
        <v>138</v>
      </c>
      <c r="J5233" s="64" t="s">
        <v>765</v>
      </c>
      <c r="K5233" s="62" t="s">
        <v>138</v>
      </c>
      <c r="L5233" s="68" t="b">
        <f aca="false">TRUE()</f>
        <v>1</v>
      </c>
    </row>
    <row r="5234" customFormat="false" ht="15" hidden="false" customHeight="false" outlineLevel="0" collapsed="false">
      <c r="A5234" s="62" t="n">
        <v>1</v>
      </c>
      <c r="B5234" s="21" t="s">
        <v>336</v>
      </c>
      <c r="C5234" s="62" t="s">
        <v>60</v>
      </c>
      <c r="D5234" s="62" t="s">
        <v>383</v>
      </c>
      <c r="E5234" s="62" t="s">
        <v>382</v>
      </c>
      <c r="F5234" s="62" t="s">
        <v>382</v>
      </c>
      <c r="G5234" s="63" t="s">
        <v>510</v>
      </c>
      <c r="H5234" s="64" t="s">
        <v>766</v>
      </c>
      <c r="I5234" s="62" t="s">
        <v>138</v>
      </c>
      <c r="J5234" s="64" t="s">
        <v>766</v>
      </c>
      <c r="K5234" s="62" t="s">
        <v>138</v>
      </c>
      <c r="L5234" s="68" t="b">
        <f aca="false">TRUE()</f>
        <v>1</v>
      </c>
    </row>
    <row r="5235" customFormat="false" ht="15" hidden="false" customHeight="false" outlineLevel="0" collapsed="false">
      <c r="A5235" s="62" t="n">
        <v>1</v>
      </c>
      <c r="B5235" s="21" t="s">
        <v>336</v>
      </c>
      <c r="C5235" s="62" t="s">
        <v>60</v>
      </c>
      <c r="D5235" s="62" t="s">
        <v>384</v>
      </c>
      <c r="E5235" s="62" t="s">
        <v>382</v>
      </c>
      <c r="F5235" s="62" t="s">
        <v>382</v>
      </c>
      <c r="G5235" s="63" t="s">
        <v>510</v>
      </c>
      <c r="H5235" s="64" t="s">
        <v>763</v>
      </c>
      <c r="I5235" s="62" t="s">
        <v>138</v>
      </c>
      <c r="J5235" s="64" t="s">
        <v>763</v>
      </c>
      <c r="K5235" s="62" t="s">
        <v>138</v>
      </c>
      <c r="L5235" s="68" t="b">
        <f aca="false">TRUE()</f>
        <v>1</v>
      </c>
    </row>
    <row r="5236" customFormat="false" ht="15" hidden="false" customHeight="false" outlineLevel="0" collapsed="false">
      <c r="A5236" s="62" t="n">
        <v>1</v>
      </c>
      <c r="B5236" s="21" t="s">
        <v>336</v>
      </c>
      <c r="C5236" s="62" t="s">
        <v>60</v>
      </c>
      <c r="D5236" s="62" t="s">
        <v>385</v>
      </c>
      <c r="E5236" s="62" t="s">
        <v>382</v>
      </c>
      <c r="F5236" s="62" t="s">
        <v>382</v>
      </c>
      <c r="G5236" s="63" t="s">
        <v>510</v>
      </c>
      <c r="H5236" s="64" t="s">
        <v>767</v>
      </c>
      <c r="I5236" s="62" t="s">
        <v>138</v>
      </c>
      <c r="J5236" s="64" t="s">
        <v>767</v>
      </c>
      <c r="K5236" s="62" t="s">
        <v>138</v>
      </c>
      <c r="L5236" s="68" t="b">
        <f aca="false">TRUE()</f>
        <v>1</v>
      </c>
    </row>
    <row r="5237" customFormat="false" ht="15" hidden="false" customHeight="false" outlineLevel="0" collapsed="false">
      <c r="A5237" s="62" t="n">
        <v>1</v>
      </c>
      <c r="B5237" s="21" t="s">
        <v>336</v>
      </c>
      <c r="C5237" s="62" t="s">
        <v>60</v>
      </c>
      <c r="D5237" s="62" t="s">
        <v>386</v>
      </c>
      <c r="E5237" s="62" t="s">
        <v>382</v>
      </c>
      <c r="F5237" s="62" t="s">
        <v>382</v>
      </c>
      <c r="G5237" s="63" t="s">
        <v>510</v>
      </c>
      <c r="H5237" s="64" t="s">
        <v>768</v>
      </c>
      <c r="I5237" s="62" t="s">
        <v>138</v>
      </c>
      <c r="J5237" s="64" t="s">
        <v>768</v>
      </c>
      <c r="K5237" s="62" t="s">
        <v>138</v>
      </c>
      <c r="L5237" s="68" t="b">
        <f aca="false">TRUE()</f>
        <v>1</v>
      </c>
    </row>
    <row r="5238" customFormat="false" ht="15" hidden="false" customHeight="false" outlineLevel="0" collapsed="false">
      <c r="A5238" s="62" t="n">
        <v>1</v>
      </c>
      <c r="B5238" s="21" t="s">
        <v>336</v>
      </c>
      <c r="C5238" s="62" t="s">
        <v>60</v>
      </c>
      <c r="D5238" s="62" t="s">
        <v>387</v>
      </c>
      <c r="E5238" s="62" t="s">
        <v>382</v>
      </c>
      <c r="F5238" s="62" t="s">
        <v>382</v>
      </c>
      <c r="G5238" s="63" t="s">
        <v>510</v>
      </c>
      <c r="H5238" s="64" t="s">
        <v>769</v>
      </c>
      <c r="I5238" s="62" t="s">
        <v>138</v>
      </c>
      <c r="J5238" s="64" t="s">
        <v>769</v>
      </c>
      <c r="K5238" s="62" t="s">
        <v>138</v>
      </c>
      <c r="L5238" s="68" t="b">
        <f aca="false">TRUE()</f>
        <v>1</v>
      </c>
    </row>
    <row r="5239" customFormat="false" ht="15" hidden="false" customHeight="false" outlineLevel="0" collapsed="false">
      <c r="A5239" s="62" t="n">
        <v>1</v>
      </c>
      <c r="B5239" s="21" t="s">
        <v>336</v>
      </c>
      <c r="C5239" s="62" t="s">
        <v>60</v>
      </c>
      <c r="D5239" s="62" t="s">
        <v>388</v>
      </c>
      <c r="E5239" s="62" t="s">
        <v>382</v>
      </c>
      <c r="F5239" s="62" t="s">
        <v>382</v>
      </c>
      <c r="G5239" s="63" t="s">
        <v>510</v>
      </c>
      <c r="H5239" s="64" t="s">
        <v>770</v>
      </c>
      <c r="I5239" s="62" t="s">
        <v>138</v>
      </c>
      <c r="J5239" s="64" t="s">
        <v>770</v>
      </c>
      <c r="K5239" s="62" t="s">
        <v>138</v>
      </c>
      <c r="L5239" s="68" t="b">
        <f aca="false">TRUE()</f>
        <v>1</v>
      </c>
    </row>
    <row r="5240" customFormat="false" ht="15" hidden="false" customHeight="false" outlineLevel="0" collapsed="false">
      <c r="A5240" s="62" t="n">
        <v>1</v>
      </c>
      <c r="B5240" s="21" t="s">
        <v>336</v>
      </c>
      <c r="C5240" s="62" t="s">
        <v>60</v>
      </c>
      <c r="D5240" s="62" t="s">
        <v>381</v>
      </c>
      <c r="E5240" s="62" t="s">
        <v>382</v>
      </c>
      <c r="F5240" s="62" t="s">
        <v>382</v>
      </c>
      <c r="G5240" s="63" t="s">
        <v>511</v>
      </c>
      <c r="H5240" s="64" t="s">
        <v>771</v>
      </c>
      <c r="I5240" s="62" t="s">
        <v>138</v>
      </c>
      <c r="J5240" s="64" t="s">
        <v>771</v>
      </c>
      <c r="K5240" s="62" t="s">
        <v>138</v>
      </c>
      <c r="L5240" s="68" t="b">
        <f aca="false">TRUE()</f>
        <v>1</v>
      </c>
    </row>
    <row r="5241" customFormat="false" ht="15" hidden="false" customHeight="false" outlineLevel="0" collapsed="false">
      <c r="A5241" s="62" t="n">
        <v>1</v>
      </c>
      <c r="B5241" s="21" t="s">
        <v>336</v>
      </c>
      <c r="C5241" s="62" t="s">
        <v>60</v>
      </c>
      <c r="D5241" s="62" t="s">
        <v>383</v>
      </c>
      <c r="E5241" s="62" t="s">
        <v>382</v>
      </c>
      <c r="F5241" s="62" t="s">
        <v>382</v>
      </c>
      <c r="G5241" s="63" t="s">
        <v>511</v>
      </c>
      <c r="H5241" s="64" t="s">
        <v>771</v>
      </c>
      <c r="I5241" s="62" t="s">
        <v>138</v>
      </c>
      <c r="J5241" s="64" t="s">
        <v>771</v>
      </c>
      <c r="K5241" s="62" t="s">
        <v>138</v>
      </c>
      <c r="L5241" s="68" t="b">
        <f aca="false">TRUE()</f>
        <v>1</v>
      </c>
    </row>
    <row r="5242" customFormat="false" ht="15" hidden="false" customHeight="false" outlineLevel="0" collapsed="false">
      <c r="A5242" s="62" t="n">
        <v>1</v>
      </c>
      <c r="B5242" s="21" t="s">
        <v>336</v>
      </c>
      <c r="C5242" s="62" t="s">
        <v>60</v>
      </c>
      <c r="D5242" s="62" t="s">
        <v>384</v>
      </c>
      <c r="E5242" s="62" t="s">
        <v>382</v>
      </c>
      <c r="F5242" s="62" t="s">
        <v>382</v>
      </c>
      <c r="G5242" s="63" t="s">
        <v>511</v>
      </c>
      <c r="H5242" s="64" t="s">
        <v>772</v>
      </c>
      <c r="I5242" s="62" t="s">
        <v>138</v>
      </c>
      <c r="J5242" s="64" t="s">
        <v>772</v>
      </c>
      <c r="K5242" s="62" t="s">
        <v>138</v>
      </c>
      <c r="L5242" s="68" t="b">
        <f aca="false">TRUE()</f>
        <v>1</v>
      </c>
    </row>
    <row r="5243" customFormat="false" ht="15" hidden="false" customHeight="false" outlineLevel="0" collapsed="false">
      <c r="A5243" s="62" t="n">
        <v>1</v>
      </c>
      <c r="B5243" s="21" t="s">
        <v>336</v>
      </c>
      <c r="C5243" s="62" t="s">
        <v>60</v>
      </c>
      <c r="D5243" s="62" t="s">
        <v>385</v>
      </c>
      <c r="E5243" s="62" t="s">
        <v>382</v>
      </c>
      <c r="F5243" s="62" t="s">
        <v>382</v>
      </c>
      <c r="G5243" s="63" t="s">
        <v>511</v>
      </c>
      <c r="H5243" s="64" t="s">
        <v>773</v>
      </c>
      <c r="I5243" s="62" t="s">
        <v>138</v>
      </c>
      <c r="J5243" s="64" t="s">
        <v>773</v>
      </c>
      <c r="K5243" s="62" t="s">
        <v>138</v>
      </c>
      <c r="L5243" s="68" t="b">
        <f aca="false">TRUE()</f>
        <v>1</v>
      </c>
    </row>
    <row r="5244" customFormat="false" ht="15" hidden="false" customHeight="false" outlineLevel="0" collapsed="false">
      <c r="A5244" s="62" t="n">
        <v>1</v>
      </c>
      <c r="B5244" s="21" t="s">
        <v>336</v>
      </c>
      <c r="C5244" s="62" t="s">
        <v>60</v>
      </c>
      <c r="D5244" s="62" t="s">
        <v>386</v>
      </c>
      <c r="E5244" s="62" t="s">
        <v>382</v>
      </c>
      <c r="F5244" s="62" t="s">
        <v>382</v>
      </c>
      <c r="G5244" s="63" t="s">
        <v>511</v>
      </c>
      <c r="H5244" s="64" t="s">
        <v>772</v>
      </c>
      <c r="I5244" s="62" t="s">
        <v>138</v>
      </c>
      <c r="J5244" s="64" t="s">
        <v>772</v>
      </c>
      <c r="K5244" s="62" t="s">
        <v>138</v>
      </c>
      <c r="L5244" s="68" t="b">
        <f aca="false">TRUE()</f>
        <v>1</v>
      </c>
    </row>
    <row r="5245" customFormat="false" ht="15" hidden="false" customHeight="false" outlineLevel="0" collapsed="false">
      <c r="A5245" s="62" t="n">
        <v>1</v>
      </c>
      <c r="B5245" s="21" t="s">
        <v>336</v>
      </c>
      <c r="C5245" s="62" t="s">
        <v>60</v>
      </c>
      <c r="D5245" s="62" t="s">
        <v>387</v>
      </c>
      <c r="E5245" s="62" t="s">
        <v>382</v>
      </c>
      <c r="F5245" s="62" t="s">
        <v>382</v>
      </c>
      <c r="G5245" s="63" t="s">
        <v>511</v>
      </c>
      <c r="H5245" s="64" t="s">
        <v>774</v>
      </c>
      <c r="I5245" s="62" t="s">
        <v>138</v>
      </c>
      <c r="J5245" s="64" t="s">
        <v>774</v>
      </c>
      <c r="K5245" s="62" t="s">
        <v>138</v>
      </c>
      <c r="L5245" s="68" t="b">
        <f aca="false">TRUE()</f>
        <v>1</v>
      </c>
    </row>
    <row r="5246" customFormat="false" ht="15" hidden="false" customHeight="false" outlineLevel="0" collapsed="false">
      <c r="A5246" s="62" t="n">
        <v>1</v>
      </c>
      <c r="B5246" s="21" t="s">
        <v>336</v>
      </c>
      <c r="C5246" s="62" t="s">
        <v>60</v>
      </c>
      <c r="D5246" s="62" t="s">
        <v>388</v>
      </c>
      <c r="E5246" s="62" t="s">
        <v>382</v>
      </c>
      <c r="F5246" s="62" t="s">
        <v>382</v>
      </c>
      <c r="G5246" s="63" t="s">
        <v>511</v>
      </c>
      <c r="H5246" s="64" t="s">
        <v>775</v>
      </c>
      <c r="I5246" s="62" t="s">
        <v>138</v>
      </c>
      <c r="J5246" s="64" t="s">
        <v>775</v>
      </c>
      <c r="K5246" s="62" t="s">
        <v>138</v>
      </c>
      <c r="L5246" s="68" t="b">
        <f aca="false">TRUE()</f>
        <v>1</v>
      </c>
    </row>
    <row r="5247" customFormat="false" ht="15" hidden="false" customHeight="false" outlineLevel="0" collapsed="false">
      <c r="A5247" s="62" t="n">
        <v>1</v>
      </c>
      <c r="B5247" s="21" t="s">
        <v>336</v>
      </c>
      <c r="C5247" s="62" t="s">
        <v>60</v>
      </c>
      <c r="D5247" s="62" t="s">
        <v>381</v>
      </c>
      <c r="E5247" s="62" t="s">
        <v>382</v>
      </c>
      <c r="F5247" s="62" t="s">
        <v>382</v>
      </c>
      <c r="G5247" s="63" t="s">
        <v>512</v>
      </c>
      <c r="H5247" s="64" t="s">
        <v>776</v>
      </c>
      <c r="I5247" s="62" t="s">
        <v>138</v>
      </c>
      <c r="J5247" s="64" t="s">
        <v>776</v>
      </c>
      <c r="K5247" s="62" t="s">
        <v>138</v>
      </c>
      <c r="L5247" s="68" t="b">
        <f aca="false">TRUE()</f>
        <v>1</v>
      </c>
    </row>
    <row r="5248" customFormat="false" ht="15" hidden="false" customHeight="false" outlineLevel="0" collapsed="false">
      <c r="A5248" s="62" t="n">
        <v>1</v>
      </c>
      <c r="B5248" s="21" t="s">
        <v>336</v>
      </c>
      <c r="C5248" s="62" t="s">
        <v>60</v>
      </c>
      <c r="D5248" s="62" t="s">
        <v>383</v>
      </c>
      <c r="E5248" s="62" t="s">
        <v>382</v>
      </c>
      <c r="F5248" s="62" t="s">
        <v>382</v>
      </c>
      <c r="G5248" s="63" t="s">
        <v>512</v>
      </c>
      <c r="H5248" s="64" t="s">
        <v>776</v>
      </c>
      <c r="I5248" s="62" t="s">
        <v>138</v>
      </c>
      <c r="J5248" s="64" t="s">
        <v>776</v>
      </c>
      <c r="K5248" s="62" t="s">
        <v>138</v>
      </c>
      <c r="L5248" s="68" t="b">
        <f aca="false">TRUE()</f>
        <v>1</v>
      </c>
    </row>
    <row r="5249" customFormat="false" ht="15" hidden="false" customHeight="false" outlineLevel="0" collapsed="false">
      <c r="A5249" s="62" t="n">
        <v>1</v>
      </c>
      <c r="B5249" s="21" t="s">
        <v>336</v>
      </c>
      <c r="C5249" s="62" t="s">
        <v>60</v>
      </c>
      <c r="D5249" s="62" t="s">
        <v>384</v>
      </c>
      <c r="E5249" s="62" t="s">
        <v>382</v>
      </c>
      <c r="F5249" s="62" t="s">
        <v>382</v>
      </c>
      <c r="G5249" s="63" t="s">
        <v>512</v>
      </c>
      <c r="H5249" s="64" t="s">
        <v>777</v>
      </c>
      <c r="I5249" s="62" t="s">
        <v>138</v>
      </c>
      <c r="J5249" s="64" t="s">
        <v>777</v>
      </c>
      <c r="K5249" s="62" t="s">
        <v>138</v>
      </c>
      <c r="L5249" s="68" t="b">
        <f aca="false">TRUE()</f>
        <v>1</v>
      </c>
    </row>
    <row r="5250" customFormat="false" ht="15" hidden="false" customHeight="false" outlineLevel="0" collapsed="false">
      <c r="A5250" s="62" t="n">
        <v>1</v>
      </c>
      <c r="B5250" s="21" t="s">
        <v>336</v>
      </c>
      <c r="C5250" s="62" t="s">
        <v>60</v>
      </c>
      <c r="D5250" s="62" t="s">
        <v>385</v>
      </c>
      <c r="E5250" s="62" t="s">
        <v>382</v>
      </c>
      <c r="F5250" s="62" t="s">
        <v>382</v>
      </c>
      <c r="G5250" s="63" t="s">
        <v>512</v>
      </c>
      <c r="H5250" s="64" t="s">
        <v>776</v>
      </c>
      <c r="I5250" s="62" t="s">
        <v>138</v>
      </c>
      <c r="J5250" s="64" t="s">
        <v>776</v>
      </c>
      <c r="K5250" s="62" t="s">
        <v>138</v>
      </c>
      <c r="L5250" s="68" t="b">
        <f aca="false">TRUE()</f>
        <v>1</v>
      </c>
    </row>
    <row r="5251" customFormat="false" ht="15" hidden="false" customHeight="false" outlineLevel="0" collapsed="false">
      <c r="A5251" s="62" t="n">
        <v>1</v>
      </c>
      <c r="B5251" s="21" t="s">
        <v>336</v>
      </c>
      <c r="C5251" s="62" t="s">
        <v>60</v>
      </c>
      <c r="D5251" s="62" t="s">
        <v>386</v>
      </c>
      <c r="E5251" s="62" t="s">
        <v>382</v>
      </c>
      <c r="F5251" s="62" t="s">
        <v>382</v>
      </c>
      <c r="G5251" s="63" t="s">
        <v>512</v>
      </c>
      <c r="H5251" s="64" t="s">
        <v>776</v>
      </c>
      <c r="I5251" s="62" t="s">
        <v>138</v>
      </c>
      <c r="J5251" s="64" t="s">
        <v>776</v>
      </c>
      <c r="K5251" s="62" t="s">
        <v>138</v>
      </c>
      <c r="L5251" s="68" t="b">
        <f aca="false">TRUE()</f>
        <v>1</v>
      </c>
    </row>
    <row r="5252" customFormat="false" ht="15" hidden="false" customHeight="false" outlineLevel="0" collapsed="false">
      <c r="A5252" s="62" t="n">
        <v>1</v>
      </c>
      <c r="B5252" s="21" t="s">
        <v>336</v>
      </c>
      <c r="C5252" s="62" t="s">
        <v>60</v>
      </c>
      <c r="D5252" s="62" t="s">
        <v>387</v>
      </c>
      <c r="E5252" s="62" t="s">
        <v>382</v>
      </c>
      <c r="F5252" s="62" t="s">
        <v>382</v>
      </c>
      <c r="G5252" s="63" t="s">
        <v>512</v>
      </c>
      <c r="H5252" s="64" t="s">
        <v>778</v>
      </c>
      <c r="I5252" s="62" t="s">
        <v>138</v>
      </c>
      <c r="J5252" s="64" t="s">
        <v>778</v>
      </c>
      <c r="K5252" s="62" t="s">
        <v>138</v>
      </c>
      <c r="L5252" s="68" t="b">
        <f aca="false">TRUE()</f>
        <v>1</v>
      </c>
    </row>
    <row r="5253" customFormat="false" ht="15" hidden="false" customHeight="false" outlineLevel="0" collapsed="false">
      <c r="A5253" s="62" t="n">
        <v>1</v>
      </c>
      <c r="B5253" s="21" t="s">
        <v>336</v>
      </c>
      <c r="C5253" s="62" t="s">
        <v>60</v>
      </c>
      <c r="D5253" s="62" t="s">
        <v>388</v>
      </c>
      <c r="E5253" s="62" t="s">
        <v>382</v>
      </c>
      <c r="F5253" s="62" t="s">
        <v>382</v>
      </c>
      <c r="G5253" s="63" t="s">
        <v>512</v>
      </c>
      <c r="H5253" s="64" t="s">
        <v>777</v>
      </c>
      <c r="I5253" s="62" t="s">
        <v>138</v>
      </c>
      <c r="J5253" s="64" t="s">
        <v>777</v>
      </c>
      <c r="K5253" s="62" t="s">
        <v>138</v>
      </c>
      <c r="L5253" s="68" t="b">
        <f aca="false">TRUE()</f>
        <v>1</v>
      </c>
    </row>
    <row r="5254" customFormat="false" ht="15" hidden="false" customHeight="false" outlineLevel="0" collapsed="false">
      <c r="A5254" s="62" t="n">
        <v>1</v>
      </c>
      <c r="B5254" s="21" t="s">
        <v>336</v>
      </c>
      <c r="C5254" s="62" t="s">
        <v>60</v>
      </c>
      <c r="D5254" s="62" t="s">
        <v>381</v>
      </c>
      <c r="E5254" s="62" t="s">
        <v>382</v>
      </c>
      <c r="F5254" s="62" t="s">
        <v>382</v>
      </c>
      <c r="G5254" s="63" t="s">
        <v>513</v>
      </c>
      <c r="H5254" s="64" t="s">
        <v>779</v>
      </c>
      <c r="I5254" s="62" t="s">
        <v>138</v>
      </c>
      <c r="J5254" s="64" t="s">
        <v>779</v>
      </c>
      <c r="K5254" s="62" t="s">
        <v>138</v>
      </c>
      <c r="L5254" s="68" t="b">
        <f aca="false">TRUE()</f>
        <v>1</v>
      </c>
    </row>
    <row r="5255" customFormat="false" ht="15" hidden="false" customHeight="false" outlineLevel="0" collapsed="false">
      <c r="A5255" s="62" t="n">
        <v>1</v>
      </c>
      <c r="B5255" s="21" t="s">
        <v>336</v>
      </c>
      <c r="C5255" s="62" t="s">
        <v>60</v>
      </c>
      <c r="D5255" s="62" t="s">
        <v>383</v>
      </c>
      <c r="E5255" s="62" t="s">
        <v>382</v>
      </c>
      <c r="F5255" s="62" t="s">
        <v>382</v>
      </c>
      <c r="G5255" s="63" t="s">
        <v>513</v>
      </c>
      <c r="H5255" s="64" t="s">
        <v>780</v>
      </c>
      <c r="I5255" s="62" t="s">
        <v>138</v>
      </c>
      <c r="J5255" s="64" t="s">
        <v>780</v>
      </c>
      <c r="K5255" s="62" t="s">
        <v>138</v>
      </c>
      <c r="L5255" s="68" t="b">
        <f aca="false">TRUE()</f>
        <v>1</v>
      </c>
    </row>
    <row r="5256" customFormat="false" ht="15" hidden="false" customHeight="false" outlineLevel="0" collapsed="false">
      <c r="A5256" s="62" t="n">
        <v>1</v>
      </c>
      <c r="B5256" s="21" t="s">
        <v>336</v>
      </c>
      <c r="C5256" s="62" t="s">
        <v>60</v>
      </c>
      <c r="D5256" s="62" t="s">
        <v>384</v>
      </c>
      <c r="E5256" s="62" t="s">
        <v>382</v>
      </c>
      <c r="F5256" s="62" t="s">
        <v>382</v>
      </c>
      <c r="G5256" s="63" t="s">
        <v>513</v>
      </c>
      <c r="H5256" s="64" t="s">
        <v>779</v>
      </c>
      <c r="I5256" s="62" t="s">
        <v>138</v>
      </c>
      <c r="J5256" s="64" t="s">
        <v>779</v>
      </c>
      <c r="K5256" s="62" t="s">
        <v>138</v>
      </c>
      <c r="L5256" s="68" t="b">
        <f aca="false">TRUE()</f>
        <v>1</v>
      </c>
    </row>
    <row r="5257" customFormat="false" ht="15" hidden="false" customHeight="false" outlineLevel="0" collapsed="false">
      <c r="A5257" s="62" t="n">
        <v>1</v>
      </c>
      <c r="B5257" s="21" t="s">
        <v>336</v>
      </c>
      <c r="C5257" s="62" t="s">
        <v>60</v>
      </c>
      <c r="D5257" s="62" t="s">
        <v>385</v>
      </c>
      <c r="E5257" s="62" t="s">
        <v>382</v>
      </c>
      <c r="F5257" s="62" t="s">
        <v>382</v>
      </c>
      <c r="G5257" s="63" t="s">
        <v>513</v>
      </c>
      <c r="H5257" s="64" t="s">
        <v>780</v>
      </c>
      <c r="I5257" s="62" t="s">
        <v>138</v>
      </c>
      <c r="J5257" s="64" t="s">
        <v>780</v>
      </c>
      <c r="K5257" s="62" t="s">
        <v>138</v>
      </c>
      <c r="L5257" s="68" t="b">
        <f aca="false">TRUE()</f>
        <v>1</v>
      </c>
    </row>
    <row r="5258" customFormat="false" ht="15" hidden="false" customHeight="false" outlineLevel="0" collapsed="false">
      <c r="A5258" s="62" t="n">
        <v>1</v>
      </c>
      <c r="B5258" s="21" t="s">
        <v>336</v>
      </c>
      <c r="C5258" s="62" t="s">
        <v>60</v>
      </c>
      <c r="D5258" s="62" t="s">
        <v>386</v>
      </c>
      <c r="E5258" s="62" t="s">
        <v>382</v>
      </c>
      <c r="F5258" s="62" t="s">
        <v>382</v>
      </c>
      <c r="G5258" s="63" t="s">
        <v>513</v>
      </c>
      <c r="H5258" s="64" t="s">
        <v>781</v>
      </c>
      <c r="I5258" s="62" t="s">
        <v>138</v>
      </c>
      <c r="J5258" s="64" t="s">
        <v>781</v>
      </c>
      <c r="K5258" s="62" t="s">
        <v>138</v>
      </c>
      <c r="L5258" s="68" t="b">
        <f aca="false">TRUE()</f>
        <v>1</v>
      </c>
    </row>
    <row r="5259" customFormat="false" ht="15" hidden="false" customHeight="false" outlineLevel="0" collapsed="false">
      <c r="A5259" s="62" t="n">
        <v>1</v>
      </c>
      <c r="B5259" s="21" t="s">
        <v>336</v>
      </c>
      <c r="C5259" s="62" t="s">
        <v>60</v>
      </c>
      <c r="D5259" s="62" t="s">
        <v>387</v>
      </c>
      <c r="E5259" s="62" t="s">
        <v>382</v>
      </c>
      <c r="F5259" s="62" t="s">
        <v>382</v>
      </c>
      <c r="G5259" s="63" t="s">
        <v>513</v>
      </c>
      <c r="H5259" s="64" t="s">
        <v>779</v>
      </c>
      <c r="I5259" s="62" t="s">
        <v>138</v>
      </c>
      <c r="J5259" s="64" t="s">
        <v>779</v>
      </c>
      <c r="K5259" s="62" t="s">
        <v>138</v>
      </c>
      <c r="L5259" s="68" t="b">
        <f aca="false">TRUE()</f>
        <v>1</v>
      </c>
    </row>
    <row r="5260" customFormat="false" ht="15" hidden="false" customHeight="false" outlineLevel="0" collapsed="false">
      <c r="A5260" s="62" t="n">
        <v>1</v>
      </c>
      <c r="B5260" s="21" t="s">
        <v>336</v>
      </c>
      <c r="C5260" s="62" t="s">
        <v>60</v>
      </c>
      <c r="D5260" s="62" t="s">
        <v>388</v>
      </c>
      <c r="E5260" s="62" t="s">
        <v>382</v>
      </c>
      <c r="F5260" s="62" t="s">
        <v>382</v>
      </c>
      <c r="G5260" s="63" t="s">
        <v>513</v>
      </c>
      <c r="H5260" s="64" t="s">
        <v>763</v>
      </c>
      <c r="I5260" s="62" t="s">
        <v>138</v>
      </c>
      <c r="J5260" s="64" t="s">
        <v>763</v>
      </c>
      <c r="K5260" s="62" t="s">
        <v>138</v>
      </c>
      <c r="L5260" s="68" t="b">
        <f aca="false">TRUE()</f>
        <v>1</v>
      </c>
    </row>
    <row r="5261" customFormat="false" ht="15" hidden="false" customHeight="false" outlineLevel="0" collapsed="false">
      <c r="A5261" s="62" t="n">
        <v>1</v>
      </c>
      <c r="B5261" s="21" t="s">
        <v>336</v>
      </c>
      <c r="C5261" s="62" t="s">
        <v>60</v>
      </c>
      <c r="D5261" s="62" t="s">
        <v>381</v>
      </c>
      <c r="E5261" s="62" t="s">
        <v>382</v>
      </c>
      <c r="F5261" s="62" t="s">
        <v>382</v>
      </c>
      <c r="G5261" s="63" t="s">
        <v>514</v>
      </c>
      <c r="H5261" s="64" t="s">
        <v>782</v>
      </c>
      <c r="I5261" s="62" t="s">
        <v>138</v>
      </c>
      <c r="J5261" s="64" t="s">
        <v>782</v>
      </c>
      <c r="K5261" s="62" t="s">
        <v>138</v>
      </c>
      <c r="L5261" s="68" t="b">
        <f aca="false">TRUE()</f>
        <v>1</v>
      </c>
    </row>
    <row r="5262" customFormat="false" ht="15" hidden="false" customHeight="false" outlineLevel="0" collapsed="false">
      <c r="A5262" s="62" t="n">
        <v>1</v>
      </c>
      <c r="B5262" s="21" t="s">
        <v>336</v>
      </c>
      <c r="C5262" s="62" t="s">
        <v>60</v>
      </c>
      <c r="D5262" s="62" t="s">
        <v>383</v>
      </c>
      <c r="E5262" s="62" t="s">
        <v>382</v>
      </c>
      <c r="F5262" s="62" t="s">
        <v>382</v>
      </c>
      <c r="G5262" s="63" t="s">
        <v>514</v>
      </c>
      <c r="H5262" s="64" t="s">
        <v>509</v>
      </c>
      <c r="I5262" s="62" t="s">
        <v>138</v>
      </c>
      <c r="J5262" s="64" t="s">
        <v>509</v>
      </c>
      <c r="K5262" s="62" t="s">
        <v>138</v>
      </c>
      <c r="L5262" s="68" t="b">
        <f aca="false">TRUE()</f>
        <v>1</v>
      </c>
    </row>
    <row r="5263" customFormat="false" ht="15" hidden="false" customHeight="false" outlineLevel="0" collapsed="false">
      <c r="A5263" s="62" t="n">
        <v>1</v>
      </c>
      <c r="B5263" s="21" t="s">
        <v>336</v>
      </c>
      <c r="C5263" s="62" t="s">
        <v>60</v>
      </c>
      <c r="D5263" s="62" t="s">
        <v>384</v>
      </c>
      <c r="E5263" s="62" t="s">
        <v>382</v>
      </c>
      <c r="F5263" s="62" t="s">
        <v>382</v>
      </c>
      <c r="G5263" s="63" t="s">
        <v>514</v>
      </c>
      <c r="H5263" s="64" t="s">
        <v>509</v>
      </c>
      <c r="I5263" s="62" t="s">
        <v>138</v>
      </c>
      <c r="J5263" s="64" t="s">
        <v>509</v>
      </c>
      <c r="K5263" s="62" t="s">
        <v>138</v>
      </c>
      <c r="L5263" s="68" t="b">
        <f aca="false">TRUE()</f>
        <v>1</v>
      </c>
    </row>
    <row r="5264" customFormat="false" ht="15" hidden="false" customHeight="false" outlineLevel="0" collapsed="false">
      <c r="A5264" s="62" t="n">
        <v>1</v>
      </c>
      <c r="B5264" s="21" t="s">
        <v>336</v>
      </c>
      <c r="C5264" s="62" t="s">
        <v>60</v>
      </c>
      <c r="D5264" s="62" t="s">
        <v>385</v>
      </c>
      <c r="E5264" s="62" t="s">
        <v>382</v>
      </c>
      <c r="F5264" s="62" t="s">
        <v>382</v>
      </c>
      <c r="G5264" s="63" t="s">
        <v>514</v>
      </c>
      <c r="H5264" s="64" t="s">
        <v>509</v>
      </c>
      <c r="I5264" s="62" t="s">
        <v>138</v>
      </c>
      <c r="J5264" s="64" t="s">
        <v>509</v>
      </c>
      <c r="K5264" s="62" t="s">
        <v>138</v>
      </c>
      <c r="L5264" s="68" t="b">
        <f aca="false">TRUE()</f>
        <v>1</v>
      </c>
    </row>
    <row r="5265" customFormat="false" ht="15" hidden="false" customHeight="false" outlineLevel="0" collapsed="false">
      <c r="A5265" s="62" t="n">
        <v>1</v>
      </c>
      <c r="B5265" s="21" t="s">
        <v>336</v>
      </c>
      <c r="C5265" s="62" t="s">
        <v>60</v>
      </c>
      <c r="D5265" s="62" t="s">
        <v>386</v>
      </c>
      <c r="E5265" s="62" t="s">
        <v>382</v>
      </c>
      <c r="F5265" s="62" t="s">
        <v>382</v>
      </c>
      <c r="G5265" s="63" t="s">
        <v>514</v>
      </c>
      <c r="H5265" s="64" t="s">
        <v>509</v>
      </c>
      <c r="I5265" s="62" t="s">
        <v>138</v>
      </c>
      <c r="J5265" s="64" t="s">
        <v>509</v>
      </c>
      <c r="K5265" s="62" t="s">
        <v>138</v>
      </c>
      <c r="L5265" s="68" t="b">
        <f aca="false">TRUE()</f>
        <v>1</v>
      </c>
    </row>
    <row r="5266" customFormat="false" ht="15" hidden="false" customHeight="false" outlineLevel="0" collapsed="false">
      <c r="A5266" s="62" t="n">
        <v>1</v>
      </c>
      <c r="B5266" s="21" t="s">
        <v>336</v>
      </c>
      <c r="C5266" s="62" t="s">
        <v>60</v>
      </c>
      <c r="D5266" s="62" t="s">
        <v>387</v>
      </c>
      <c r="E5266" s="62" t="s">
        <v>382</v>
      </c>
      <c r="F5266" s="62" t="s">
        <v>382</v>
      </c>
      <c r="G5266" s="63" t="s">
        <v>514</v>
      </c>
      <c r="H5266" s="64" t="s">
        <v>509</v>
      </c>
      <c r="I5266" s="62" t="s">
        <v>138</v>
      </c>
      <c r="J5266" s="64" t="s">
        <v>509</v>
      </c>
      <c r="K5266" s="62" t="s">
        <v>138</v>
      </c>
      <c r="L5266" s="68" t="b">
        <f aca="false">TRUE()</f>
        <v>1</v>
      </c>
    </row>
    <row r="5267" customFormat="false" ht="15" hidden="false" customHeight="false" outlineLevel="0" collapsed="false">
      <c r="A5267" s="62" t="n">
        <v>1</v>
      </c>
      <c r="B5267" s="21" t="s">
        <v>336</v>
      </c>
      <c r="C5267" s="62" t="s">
        <v>60</v>
      </c>
      <c r="D5267" s="62" t="s">
        <v>388</v>
      </c>
      <c r="E5267" s="62" t="s">
        <v>382</v>
      </c>
      <c r="F5267" s="62" t="s">
        <v>382</v>
      </c>
      <c r="G5267" s="63" t="s">
        <v>514</v>
      </c>
      <c r="H5267" s="64" t="s">
        <v>509</v>
      </c>
      <c r="I5267" s="62" t="s">
        <v>138</v>
      </c>
      <c r="J5267" s="64" t="s">
        <v>509</v>
      </c>
      <c r="K5267" s="62" t="s">
        <v>138</v>
      </c>
      <c r="L5267" s="68" t="b">
        <f aca="false">TRUE()</f>
        <v>1</v>
      </c>
    </row>
    <row r="5268" customFormat="false" ht="15" hidden="false" customHeight="false" outlineLevel="0" collapsed="false">
      <c r="A5268" s="62" t="n">
        <v>1</v>
      </c>
      <c r="B5268" s="21" t="s">
        <v>336</v>
      </c>
      <c r="C5268" s="62" t="s">
        <v>60</v>
      </c>
      <c r="D5268" s="62" t="s">
        <v>381</v>
      </c>
      <c r="E5268" s="62" t="s">
        <v>382</v>
      </c>
      <c r="F5268" s="62" t="s">
        <v>382</v>
      </c>
      <c r="G5268" s="63" t="s">
        <v>515</v>
      </c>
      <c r="H5268" s="64" t="s">
        <v>783</v>
      </c>
      <c r="I5268" s="62" t="s">
        <v>138</v>
      </c>
      <c r="J5268" s="64" t="s">
        <v>783</v>
      </c>
      <c r="K5268" s="62" t="s">
        <v>138</v>
      </c>
      <c r="L5268" s="68" t="b">
        <f aca="false">TRUE()</f>
        <v>1</v>
      </c>
    </row>
    <row r="5269" customFormat="false" ht="15" hidden="false" customHeight="false" outlineLevel="0" collapsed="false">
      <c r="A5269" s="62" t="n">
        <v>1</v>
      </c>
      <c r="B5269" s="21" t="s">
        <v>336</v>
      </c>
      <c r="C5269" s="62" t="s">
        <v>60</v>
      </c>
      <c r="D5269" s="62" t="s">
        <v>383</v>
      </c>
      <c r="E5269" s="62" t="s">
        <v>382</v>
      </c>
      <c r="F5269" s="62" t="s">
        <v>382</v>
      </c>
      <c r="G5269" s="63" t="s">
        <v>515</v>
      </c>
      <c r="H5269" s="64" t="s">
        <v>769</v>
      </c>
      <c r="I5269" s="62" t="s">
        <v>138</v>
      </c>
      <c r="J5269" s="64" t="s">
        <v>769</v>
      </c>
      <c r="K5269" s="62" t="s">
        <v>138</v>
      </c>
      <c r="L5269" s="68" t="b">
        <f aca="false">TRUE()</f>
        <v>1</v>
      </c>
    </row>
    <row r="5270" customFormat="false" ht="15" hidden="false" customHeight="false" outlineLevel="0" collapsed="false">
      <c r="A5270" s="62" t="n">
        <v>1</v>
      </c>
      <c r="B5270" s="21" t="s">
        <v>336</v>
      </c>
      <c r="C5270" s="62" t="s">
        <v>60</v>
      </c>
      <c r="D5270" s="62" t="s">
        <v>384</v>
      </c>
      <c r="E5270" s="62" t="s">
        <v>382</v>
      </c>
      <c r="F5270" s="62" t="s">
        <v>382</v>
      </c>
      <c r="G5270" s="63" t="s">
        <v>515</v>
      </c>
      <c r="H5270" s="64" t="s">
        <v>784</v>
      </c>
      <c r="I5270" s="62" t="s">
        <v>138</v>
      </c>
      <c r="J5270" s="64" t="s">
        <v>784</v>
      </c>
      <c r="K5270" s="62" t="s">
        <v>138</v>
      </c>
      <c r="L5270" s="68" t="b">
        <f aca="false">TRUE()</f>
        <v>1</v>
      </c>
    </row>
    <row r="5271" customFormat="false" ht="15" hidden="false" customHeight="false" outlineLevel="0" collapsed="false">
      <c r="A5271" s="62" t="n">
        <v>1</v>
      </c>
      <c r="B5271" s="21" t="s">
        <v>336</v>
      </c>
      <c r="C5271" s="62" t="s">
        <v>60</v>
      </c>
      <c r="D5271" s="62" t="s">
        <v>385</v>
      </c>
      <c r="E5271" s="62" t="s">
        <v>382</v>
      </c>
      <c r="F5271" s="62" t="s">
        <v>382</v>
      </c>
      <c r="G5271" s="63" t="s">
        <v>515</v>
      </c>
      <c r="H5271" s="64" t="s">
        <v>785</v>
      </c>
      <c r="I5271" s="62" t="s">
        <v>138</v>
      </c>
      <c r="J5271" s="64" t="s">
        <v>785</v>
      </c>
      <c r="K5271" s="62" t="s">
        <v>138</v>
      </c>
      <c r="L5271" s="68" t="b">
        <f aca="false">TRUE()</f>
        <v>1</v>
      </c>
    </row>
    <row r="5272" customFormat="false" ht="15" hidden="false" customHeight="false" outlineLevel="0" collapsed="false">
      <c r="A5272" s="62" t="n">
        <v>1</v>
      </c>
      <c r="B5272" s="21" t="s">
        <v>336</v>
      </c>
      <c r="C5272" s="62" t="s">
        <v>60</v>
      </c>
      <c r="D5272" s="62" t="s">
        <v>386</v>
      </c>
      <c r="E5272" s="62" t="s">
        <v>382</v>
      </c>
      <c r="F5272" s="62" t="s">
        <v>382</v>
      </c>
      <c r="G5272" s="63" t="s">
        <v>515</v>
      </c>
      <c r="H5272" s="64" t="s">
        <v>786</v>
      </c>
      <c r="I5272" s="62" t="s">
        <v>138</v>
      </c>
      <c r="J5272" s="64" t="s">
        <v>786</v>
      </c>
      <c r="K5272" s="62" t="s">
        <v>138</v>
      </c>
      <c r="L5272" s="68" t="b">
        <f aca="false">TRUE()</f>
        <v>1</v>
      </c>
    </row>
    <row r="5273" customFormat="false" ht="15" hidden="false" customHeight="false" outlineLevel="0" collapsed="false">
      <c r="A5273" s="62" t="n">
        <v>1</v>
      </c>
      <c r="B5273" s="21" t="s">
        <v>336</v>
      </c>
      <c r="C5273" s="62" t="s">
        <v>60</v>
      </c>
      <c r="D5273" s="62" t="s">
        <v>387</v>
      </c>
      <c r="E5273" s="62" t="s">
        <v>382</v>
      </c>
      <c r="F5273" s="62" t="s">
        <v>382</v>
      </c>
      <c r="G5273" s="63" t="s">
        <v>515</v>
      </c>
      <c r="H5273" s="64" t="s">
        <v>762</v>
      </c>
      <c r="I5273" s="62" t="s">
        <v>138</v>
      </c>
      <c r="J5273" s="64" t="s">
        <v>762</v>
      </c>
      <c r="K5273" s="62" t="s">
        <v>138</v>
      </c>
      <c r="L5273" s="68" t="b">
        <f aca="false">TRUE()</f>
        <v>1</v>
      </c>
    </row>
    <row r="5274" customFormat="false" ht="15" hidden="false" customHeight="false" outlineLevel="0" collapsed="false">
      <c r="A5274" s="62" t="n">
        <v>1</v>
      </c>
      <c r="B5274" s="21" t="s">
        <v>336</v>
      </c>
      <c r="C5274" s="62" t="s">
        <v>60</v>
      </c>
      <c r="D5274" s="62" t="s">
        <v>388</v>
      </c>
      <c r="E5274" s="62" t="s">
        <v>382</v>
      </c>
      <c r="F5274" s="62" t="s">
        <v>382</v>
      </c>
      <c r="G5274" s="63" t="s">
        <v>515</v>
      </c>
      <c r="H5274" s="64" t="s">
        <v>783</v>
      </c>
      <c r="I5274" s="62" t="s">
        <v>138</v>
      </c>
      <c r="J5274" s="64" t="s">
        <v>783</v>
      </c>
      <c r="K5274" s="62" t="s">
        <v>138</v>
      </c>
      <c r="L5274" s="68" t="b">
        <f aca="false">TRUE()</f>
        <v>1</v>
      </c>
    </row>
    <row r="5275" customFormat="false" ht="15" hidden="false" customHeight="false" outlineLevel="0" collapsed="false">
      <c r="A5275" s="62" t="n">
        <v>1</v>
      </c>
      <c r="B5275" s="21" t="s">
        <v>336</v>
      </c>
      <c r="C5275" s="62" t="s">
        <v>60</v>
      </c>
      <c r="D5275" s="62" t="s">
        <v>381</v>
      </c>
      <c r="E5275" s="62" t="s">
        <v>382</v>
      </c>
      <c r="F5275" s="62" t="s">
        <v>382</v>
      </c>
      <c r="G5275" s="63" t="s">
        <v>516</v>
      </c>
      <c r="H5275" s="64" t="s">
        <v>509</v>
      </c>
      <c r="I5275" s="62" t="s">
        <v>138</v>
      </c>
      <c r="J5275" s="64" t="s">
        <v>509</v>
      </c>
      <c r="K5275" s="62" t="s">
        <v>138</v>
      </c>
      <c r="L5275" s="68" t="b">
        <f aca="false">TRUE()</f>
        <v>1</v>
      </c>
    </row>
    <row r="5276" customFormat="false" ht="15" hidden="false" customHeight="false" outlineLevel="0" collapsed="false">
      <c r="A5276" s="62" t="n">
        <v>1</v>
      </c>
      <c r="B5276" s="21" t="s">
        <v>336</v>
      </c>
      <c r="C5276" s="62" t="s">
        <v>60</v>
      </c>
      <c r="D5276" s="62" t="s">
        <v>383</v>
      </c>
      <c r="E5276" s="62" t="s">
        <v>382</v>
      </c>
      <c r="F5276" s="62" t="s">
        <v>382</v>
      </c>
      <c r="G5276" s="63" t="s">
        <v>516</v>
      </c>
      <c r="H5276" s="64" t="s">
        <v>509</v>
      </c>
      <c r="I5276" s="62" t="s">
        <v>138</v>
      </c>
      <c r="J5276" s="64" t="s">
        <v>509</v>
      </c>
      <c r="K5276" s="62" t="s">
        <v>138</v>
      </c>
      <c r="L5276" s="68" t="b">
        <f aca="false">TRUE()</f>
        <v>1</v>
      </c>
    </row>
    <row r="5277" customFormat="false" ht="15" hidden="false" customHeight="false" outlineLevel="0" collapsed="false">
      <c r="A5277" s="62" t="n">
        <v>1</v>
      </c>
      <c r="B5277" s="21" t="s">
        <v>336</v>
      </c>
      <c r="C5277" s="62" t="s">
        <v>60</v>
      </c>
      <c r="D5277" s="62" t="s">
        <v>384</v>
      </c>
      <c r="E5277" s="62" t="s">
        <v>382</v>
      </c>
      <c r="F5277" s="62" t="s">
        <v>382</v>
      </c>
      <c r="G5277" s="63" t="s">
        <v>516</v>
      </c>
      <c r="H5277" s="64" t="s">
        <v>509</v>
      </c>
      <c r="I5277" s="62" t="s">
        <v>138</v>
      </c>
      <c r="J5277" s="64" t="s">
        <v>509</v>
      </c>
      <c r="K5277" s="62" t="s">
        <v>138</v>
      </c>
      <c r="L5277" s="68" t="b">
        <f aca="false">TRUE()</f>
        <v>1</v>
      </c>
    </row>
    <row r="5278" customFormat="false" ht="15" hidden="false" customHeight="false" outlineLevel="0" collapsed="false">
      <c r="A5278" s="62" t="n">
        <v>1</v>
      </c>
      <c r="B5278" s="21" t="s">
        <v>336</v>
      </c>
      <c r="C5278" s="62" t="s">
        <v>60</v>
      </c>
      <c r="D5278" s="62" t="s">
        <v>385</v>
      </c>
      <c r="E5278" s="62" t="s">
        <v>382</v>
      </c>
      <c r="F5278" s="62" t="s">
        <v>382</v>
      </c>
      <c r="G5278" s="63" t="s">
        <v>516</v>
      </c>
      <c r="H5278" s="64" t="s">
        <v>509</v>
      </c>
      <c r="I5278" s="62" t="s">
        <v>138</v>
      </c>
      <c r="J5278" s="64" t="s">
        <v>509</v>
      </c>
      <c r="K5278" s="62" t="s">
        <v>138</v>
      </c>
      <c r="L5278" s="68" t="b">
        <f aca="false">TRUE()</f>
        <v>1</v>
      </c>
    </row>
    <row r="5279" customFormat="false" ht="15" hidden="false" customHeight="false" outlineLevel="0" collapsed="false">
      <c r="A5279" s="62" t="n">
        <v>1</v>
      </c>
      <c r="B5279" s="21" t="s">
        <v>336</v>
      </c>
      <c r="C5279" s="62" t="s">
        <v>60</v>
      </c>
      <c r="D5279" s="62" t="s">
        <v>386</v>
      </c>
      <c r="E5279" s="62" t="s">
        <v>382</v>
      </c>
      <c r="F5279" s="62" t="s">
        <v>382</v>
      </c>
      <c r="G5279" s="63" t="s">
        <v>516</v>
      </c>
      <c r="H5279" s="64" t="s">
        <v>786</v>
      </c>
      <c r="I5279" s="62" t="s">
        <v>138</v>
      </c>
      <c r="J5279" s="64" t="s">
        <v>786</v>
      </c>
      <c r="K5279" s="62" t="s">
        <v>138</v>
      </c>
      <c r="L5279" s="68" t="b">
        <f aca="false">TRUE()</f>
        <v>1</v>
      </c>
    </row>
    <row r="5280" customFormat="false" ht="15" hidden="false" customHeight="false" outlineLevel="0" collapsed="false">
      <c r="A5280" s="62" t="n">
        <v>1</v>
      </c>
      <c r="B5280" s="21" t="s">
        <v>336</v>
      </c>
      <c r="C5280" s="62" t="s">
        <v>60</v>
      </c>
      <c r="D5280" s="62" t="s">
        <v>387</v>
      </c>
      <c r="E5280" s="62" t="s">
        <v>382</v>
      </c>
      <c r="F5280" s="62" t="s">
        <v>382</v>
      </c>
      <c r="G5280" s="63" t="s">
        <v>516</v>
      </c>
      <c r="H5280" s="64" t="s">
        <v>784</v>
      </c>
      <c r="I5280" s="62" t="s">
        <v>138</v>
      </c>
      <c r="J5280" s="64" t="s">
        <v>784</v>
      </c>
      <c r="K5280" s="62" t="s">
        <v>138</v>
      </c>
      <c r="L5280" s="68" t="b">
        <f aca="false">TRUE()</f>
        <v>1</v>
      </c>
    </row>
    <row r="5281" customFormat="false" ht="15" hidden="false" customHeight="false" outlineLevel="0" collapsed="false">
      <c r="A5281" s="62" t="n">
        <v>1</v>
      </c>
      <c r="B5281" s="21" t="s">
        <v>336</v>
      </c>
      <c r="C5281" s="62" t="s">
        <v>60</v>
      </c>
      <c r="D5281" s="62" t="s">
        <v>388</v>
      </c>
      <c r="E5281" s="62" t="s">
        <v>382</v>
      </c>
      <c r="F5281" s="62" t="s">
        <v>382</v>
      </c>
      <c r="G5281" s="63" t="s">
        <v>516</v>
      </c>
      <c r="H5281" s="64" t="s">
        <v>784</v>
      </c>
      <c r="I5281" s="62" t="s">
        <v>138</v>
      </c>
      <c r="J5281" s="64" t="s">
        <v>784</v>
      </c>
      <c r="K5281" s="62" t="s">
        <v>138</v>
      </c>
      <c r="L5281" s="68" t="b">
        <f aca="false">TRUE()</f>
        <v>1</v>
      </c>
    </row>
    <row r="5282" customFormat="false" ht="15" hidden="false" customHeight="false" outlineLevel="0" collapsed="false">
      <c r="A5282" s="62" t="n">
        <v>1</v>
      </c>
      <c r="B5282" s="21" t="s">
        <v>336</v>
      </c>
      <c r="C5282" s="62" t="s">
        <v>60</v>
      </c>
      <c r="D5282" s="62" t="s">
        <v>381</v>
      </c>
      <c r="E5282" s="62" t="s">
        <v>382</v>
      </c>
      <c r="F5282" s="62" t="s">
        <v>382</v>
      </c>
      <c r="G5282" s="63" t="s">
        <v>517</v>
      </c>
      <c r="H5282" s="64" t="s">
        <v>787</v>
      </c>
      <c r="I5282" s="62" t="s">
        <v>138</v>
      </c>
      <c r="J5282" s="64" t="s">
        <v>787</v>
      </c>
      <c r="K5282" s="62" t="s">
        <v>138</v>
      </c>
      <c r="L5282" s="68" t="b">
        <f aca="false">TRUE()</f>
        <v>1</v>
      </c>
    </row>
    <row r="5283" customFormat="false" ht="15" hidden="false" customHeight="false" outlineLevel="0" collapsed="false">
      <c r="A5283" s="62" t="n">
        <v>1</v>
      </c>
      <c r="B5283" s="21" t="s">
        <v>336</v>
      </c>
      <c r="C5283" s="62" t="s">
        <v>60</v>
      </c>
      <c r="D5283" s="62" t="s">
        <v>383</v>
      </c>
      <c r="E5283" s="62" t="s">
        <v>382</v>
      </c>
      <c r="F5283" s="62" t="s">
        <v>382</v>
      </c>
      <c r="G5283" s="63" t="s">
        <v>517</v>
      </c>
      <c r="H5283" s="64" t="s">
        <v>785</v>
      </c>
      <c r="I5283" s="62" t="s">
        <v>138</v>
      </c>
      <c r="J5283" s="64" t="s">
        <v>785</v>
      </c>
      <c r="K5283" s="62" t="s">
        <v>138</v>
      </c>
      <c r="L5283" s="68" t="b">
        <f aca="false">TRUE()</f>
        <v>1</v>
      </c>
    </row>
    <row r="5284" customFormat="false" ht="15" hidden="false" customHeight="false" outlineLevel="0" collapsed="false">
      <c r="A5284" s="62" t="n">
        <v>1</v>
      </c>
      <c r="B5284" s="21" t="s">
        <v>336</v>
      </c>
      <c r="C5284" s="62" t="s">
        <v>60</v>
      </c>
      <c r="D5284" s="62" t="s">
        <v>384</v>
      </c>
      <c r="E5284" s="62" t="s">
        <v>382</v>
      </c>
      <c r="F5284" s="62" t="s">
        <v>382</v>
      </c>
      <c r="G5284" s="63" t="s">
        <v>517</v>
      </c>
      <c r="H5284" s="64" t="s">
        <v>785</v>
      </c>
      <c r="I5284" s="62" t="s">
        <v>138</v>
      </c>
      <c r="J5284" s="64" t="s">
        <v>785</v>
      </c>
      <c r="K5284" s="62" t="s">
        <v>138</v>
      </c>
      <c r="L5284" s="68" t="b">
        <f aca="false">TRUE()</f>
        <v>1</v>
      </c>
    </row>
    <row r="5285" customFormat="false" ht="15" hidden="false" customHeight="false" outlineLevel="0" collapsed="false">
      <c r="A5285" s="62" t="n">
        <v>1</v>
      </c>
      <c r="B5285" s="21" t="s">
        <v>336</v>
      </c>
      <c r="C5285" s="62" t="s">
        <v>60</v>
      </c>
      <c r="D5285" s="62" t="s">
        <v>385</v>
      </c>
      <c r="E5285" s="62" t="s">
        <v>382</v>
      </c>
      <c r="F5285" s="62" t="s">
        <v>382</v>
      </c>
      <c r="G5285" s="63" t="s">
        <v>517</v>
      </c>
      <c r="H5285" s="64" t="s">
        <v>769</v>
      </c>
      <c r="I5285" s="62" t="s">
        <v>138</v>
      </c>
      <c r="J5285" s="64" t="s">
        <v>769</v>
      </c>
      <c r="K5285" s="62" t="s">
        <v>138</v>
      </c>
      <c r="L5285" s="68" t="b">
        <f aca="false">TRUE()</f>
        <v>1</v>
      </c>
    </row>
    <row r="5286" customFormat="false" ht="15" hidden="false" customHeight="false" outlineLevel="0" collapsed="false">
      <c r="A5286" s="62" t="n">
        <v>1</v>
      </c>
      <c r="B5286" s="21" t="s">
        <v>336</v>
      </c>
      <c r="C5286" s="62" t="s">
        <v>60</v>
      </c>
      <c r="D5286" s="62" t="s">
        <v>386</v>
      </c>
      <c r="E5286" s="62" t="s">
        <v>382</v>
      </c>
      <c r="F5286" s="62" t="s">
        <v>382</v>
      </c>
      <c r="G5286" s="63" t="s">
        <v>517</v>
      </c>
      <c r="H5286" s="64" t="s">
        <v>769</v>
      </c>
      <c r="I5286" s="62" t="s">
        <v>138</v>
      </c>
      <c r="J5286" s="64" t="s">
        <v>769</v>
      </c>
      <c r="K5286" s="62" t="s">
        <v>138</v>
      </c>
      <c r="L5286" s="68" t="b">
        <f aca="false">TRUE()</f>
        <v>1</v>
      </c>
    </row>
    <row r="5287" customFormat="false" ht="15" hidden="false" customHeight="false" outlineLevel="0" collapsed="false">
      <c r="A5287" s="62" t="n">
        <v>1</v>
      </c>
      <c r="B5287" s="21" t="s">
        <v>336</v>
      </c>
      <c r="C5287" s="62" t="s">
        <v>60</v>
      </c>
      <c r="D5287" s="62" t="s">
        <v>387</v>
      </c>
      <c r="E5287" s="62" t="s">
        <v>382</v>
      </c>
      <c r="F5287" s="62" t="s">
        <v>382</v>
      </c>
      <c r="G5287" s="63" t="s">
        <v>517</v>
      </c>
      <c r="H5287" s="64" t="s">
        <v>769</v>
      </c>
      <c r="I5287" s="62" t="s">
        <v>138</v>
      </c>
      <c r="J5287" s="64" t="s">
        <v>769</v>
      </c>
      <c r="K5287" s="62" t="s">
        <v>138</v>
      </c>
      <c r="L5287" s="68" t="b">
        <f aca="false">TRUE()</f>
        <v>1</v>
      </c>
    </row>
    <row r="5288" customFormat="false" ht="15" hidden="false" customHeight="false" outlineLevel="0" collapsed="false">
      <c r="A5288" s="62" t="n">
        <v>1</v>
      </c>
      <c r="B5288" s="21" t="s">
        <v>336</v>
      </c>
      <c r="C5288" s="62" t="s">
        <v>60</v>
      </c>
      <c r="D5288" s="62" t="s">
        <v>388</v>
      </c>
      <c r="E5288" s="62" t="s">
        <v>382</v>
      </c>
      <c r="F5288" s="62" t="s">
        <v>382</v>
      </c>
      <c r="G5288" s="63" t="s">
        <v>517</v>
      </c>
      <c r="H5288" s="64" t="s">
        <v>769</v>
      </c>
      <c r="I5288" s="62" t="s">
        <v>138</v>
      </c>
      <c r="J5288" s="64" t="s">
        <v>769</v>
      </c>
      <c r="K5288" s="62" t="s">
        <v>138</v>
      </c>
      <c r="L5288" s="68" t="b">
        <f aca="false">TRUE()</f>
        <v>1</v>
      </c>
    </row>
    <row r="5289" customFormat="false" ht="15" hidden="false" customHeight="false" outlineLevel="0" collapsed="false">
      <c r="A5289" s="62" t="n">
        <v>1</v>
      </c>
      <c r="B5289" s="21" t="s">
        <v>336</v>
      </c>
      <c r="C5289" s="62" t="s">
        <v>60</v>
      </c>
      <c r="D5289" s="62" t="s">
        <v>381</v>
      </c>
      <c r="E5289" s="62" t="s">
        <v>382</v>
      </c>
      <c r="F5289" s="62" t="s">
        <v>382</v>
      </c>
      <c r="G5289" s="63" t="s">
        <v>518</v>
      </c>
      <c r="H5289" s="64" t="s">
        <v>788</v>
      </c>
      <c r="I5289" s="62" t="s">
        <v>138</v>
      </c>
      <c r="J5289" s="64" t="s">
        <v>788</v>
      </c>
      <c r="K5289" s="62" t="s">
        <v>138</v>
      </c>
      <c r="L5289" s="68" t="b">
        <f aca="false">TRUE()</f>
        <v>1</v>
      </c>
    </row>
    <row r="5290" customFormat="false" ht="15" hidden="false" customHeight="false" outlineLevel="0" collapsed="false">
      <c r="A5290" s="62" t="n">
        <v>1</v>
      </c>
      <c r="B5290" s="21" t="s">
        <v>336</v>
      </c>
      <c r="C5290" s="62" t="s">
        <v>60</v>
      </c>
      <c r="D5290" s="62" t="s">
        <v>383</v>
      </c>
      <c r="E5290" s="62" t="s">
        <v>382</v>
      </c>
      <c r="F5290" s="62" t="s">
        <v>382</v>
      </c>
      <c r="G5290" s="63" t="s">
        <v>518</v>
      </c>
      <c r="H5290" s="64" t="s">
        <v>768</v>
      </c>
      <c r="I5290" s="62" t="s">
        <v>138</v>
      </c>
      <c r="J5290" s="64" t="s">
        <v>768</v>
      </c>
      <c r="K5290" s="62" t="s">
        <v>138</v>
      </c>
      <c r="L5290" s="68" t="b">
        <f aca="false">TRUE()</f>
        <v>1</v>
      </c>
    </row>
    <row r="5291" customFormat="false" ht="15" hidden="false" customHeight="false" outlineLevel="0" collapsed="false">
      <c r="A5291" s="62" t="n">
        <v>1</v>
      </c>
      <c r="B5291" s="21" t="s">
        <v>336</v>
      </c>
      <c r="C5291" s="62" t="s">
        <v>60</v>
      </c>
      <c r="D5291" s="62" t="s">
        <v>384</v>
      </c>
      <c r="E5291" s="62" t="s">
        <v>382</v>
      </c>
      <c r="F5291" s="62" t="s">
        <v>382</v>
      </c>
      <c r="G5291" s="63" t="s">
        <v>518</v>
      </c>
      <c r="H5291" s="64" t="s">
        <v>768</v>
      </c>
      <c r="I5291" s="62" t="s">
        <v>138</v>
      </c>
      <c r="J5291" s="64" t="s">
        <v>768</v>
      </c>
      <c r="K5291" s="62" t="s">
        <v>138</v>
      </c>
      <c r="L5291" s="68" t="b">
        <f aca="false">TRUE()</f>
        <v>1</v>
      </c>
    </row>
    <row r="5292" customFormat="false" ht="15" hidden="false" customHeight="false" outlineLevel="0" collapsed="false">
      <c r="A5292" s="62" t="n">
        <v>1</v>
      </c>
      <c r="B5292" s="21" t="s">
        <v>336</v>
      </c>
      <c r="C5292" s="62" t="s">
        <v>60</v>
      </c>
      <c r="D5292" s="62" t="s">
        <v>385</v>
      </c>
      <c r="E5292" s="62" t="s">
        <v>382</v>
      </c>
      <c r="F5292" s="62" t="s">
        <v>382</v>
      </c>
      <c r="G5292" s="63" t="s">
        <v>518</v>
      </c>
      <c r="H5292" s="64" t="s">
        <v>789</v>
      </c>
      <c r="I5292" s="62" t="s">
        <v>138</v>
      </c>
      <c r="J5292" s="64" t="s">
        <v>789</v>
      </c>
      <c r="K5292" s="62" t="s">
        <v>138</v>
      </c>
      <c r="L5292" s="68" t="b">
        <f aca="false">TRUE()</f>
        <v>1</v>
      </c>
    </row>
    <row r="5293" customFormat="false" ht="15" hidden="false" customHeight="false" outlineLevel="0" collapsed="false">
      <c r="A5293" s="62" t="n">
        <v>1</v>
      </c>
      <c r="B5293" s="21" t="s">
        <v>336</v>
      </c>
      <c r="C5293" s="62" t="s">
        <v>60</v>
      </c>
      <c r="D5293" s="62" t="s">
        <v>386</v>
      </c>
      <c r="E5293" s="62" t="s">
        <v>382</v>
      </c>
      <c r="F5293" s="62" t="s">
        <v>382</v>
      </c>
      <c r="G5293" s="63" t="s">
        <v>518</v>
      </c>
      <c r="H5293" s="64" t="s">
        <v>768</v>
      </c>
      <c r="I5293" s="62" t="s">
        <v>138</v>
      </c>
      <c r="J5293" s="64" t="s">
        <v>768</v>
      </c>
      <c r="K5293" s="62" t="s">
        <v>138</v>
      </c>
      <c r="L5293" s="68" t="b">
        <f aca="false">TRUE()</f>
        <v>1</v>
      </c>
    </row>
    <row r="5294" customFormat="false" ht="15" hidden="false" customHeight="false" outlineLevel="0" collapsed="false">
      <c r="A5294" s="62" t="n">
        <v>1</v>
      </c>
      <c r="B5294" s="21" t="s">
        <v>336</v>
      </c>
      <c r="C5294" s="62" t="s">
        <v>60</v>
      </c>
      <c r="D5294" s="62" t="s">
        <v>387</v>
      </c>
      <c r="E5294" s="62" t="s">
        <v>382</v>
      </c>
      <c r="F5294" s="62" t="s">
        <v>382</v>
      </c>
      <c r="G5294" s="63" t="s">
        <v>518</v>
      </c>
      <c r="H5294" s="64" t="s">
        <v>790</v>
      </c>
      <c r="I5294" s="62" t="s">
        <v>138</v>
      </c>
      <c r="J5294" s="64" t="s">
        <v>790</v>
      </c>
      <c r="K5294" s="62" t="s">
        <v>138</v>
      </c>
      <c r="L5294" s="68" t="b">
        <f aca="false">TRUE()</f>
        <v>1</v>
      </c>
    </row>
    <row r="5295" customFormat="false" ht="15" hidden="false" customHeight="false" outlineLevel="0" collapsed="false">
      <c r="A5295" s="62" t="n">
        <v>1</v>
      </c>
      <c r="B5295" s="21" t="s">
        <v>336</v>
      </c>
      <c r="C5295" s="62" t="s">
        <v>60</v>
      </c>
      <c r="D5295" s="62" t="s">
        <v>388</v>
      </c>
      <c r="E5295" s="62" t="s">
        <v>382</v>
      </c>
      <c r="F5295" s="62" t="s">
        <v>382</v>
      </c>
      <c r="G5295" s="63" t="s">
        <v>518</v>
      </c>
      <c r="H5295" s="64" t="s">
        <v>768</v>
      </c>
      <c r="I5295" s="62" t="s">
        <v>138</v>
      </c>
      <c r="J5295" s="64" t="s">
        <v>768</v>
      </c>
      <c r="K5295" s="62" t="s">
        <v>138</v>
      </c>
      <c r="L5295" s="68" t="b">
        <f aca="false">TRUE()</f>
        <v>1</v>
      </c>
    </row>
    <row r="5296" customFormat="false" ht="15" hidden="false" customHeight="false" outlineLevel="0" collapsed="false">
      <c r="A5296" s="62" t="n">
        <v>1</v>
      </c>
      <c r="B5296" s="21" t="s">
        <v>336</v>
      </c>
      <c r="C5296" s="62" t="s">
        <v>60</v>
      </c>
      <c r="D5296" s="62" t="s">
        <v>381</v>
      </c>
      <c r="E5296" s="62" t="s">
        <v>382</v>
      </c>
      <c r="F5296" s="62" t="s">
        <v>382</v>
      </c>
      <c r="G5296" s="63" t="s">
        <v>519</v>
      </c>
      <c r="H5296" s="64" t="s">
        <v>791</v>
      </c>
      <c r="I5296" s="62" t="s">
        <v>138</v>
      </c>
      <c r="J5296" s="64" t="s">
        <v>791</v>
      </c>
      <c r="K5296" s="62" t="s">
        <v>138</v>
      </c>
      <c r="L5296" s="68" t="b">
        <f aca="false">TRUE()</f>
        <v>1</v>
      </c>
    </row>
    <row r="5297" customFormat="false" ht="15" hidden="false" customHeight="false" outlineLevel="0" collapsed="false">
      <c r="A5297" s="62" t="n">
        <v>1</v>
      </c>
      <c r="B5297" s="21" t="s">
        <v>336</v>
      </c>
      <c r="C5297" s="62" t="s">
        <v>60</v>
      </c>
      <c r="D5297" s="62" t="s">
        <v>383</v>
      </c>
      <c r="E5297" s="62" t="s">
        <v>382</v>
      </c>
      <c r="F5297" s="62" t="s">
        <v>382</v>
      </c>
      <c r="G5297" s="63" t="s">
        <v>519</v>
      </c>
      <c r="H5297" s="64" t="s">
        <v>758</v>
      </c>
      <c r="I5297" s="62" t="s">
        <v>138</v>
      </c>
      <c r="J5297" s="64" t="s">
        <v>758</v>
      </c>
      <c r="K5297" s="62" t="s">
        <v>138</v>
      </c>
      <c r="L5297" s="68" t="b">
        <f aca="false">TRUE()</f>
        <v>1</v>
      </c>
    </row>
    <row r="5298" customFormat="false" ht="15" hidden="false" customHeight="false" outlineLevel="0" collapsed="false">
      <c r="A5298" s="62" t="n">
        <v>1</v>
      </c>
      <c r="B5298" s="21" t="s">
        <v>336</v>
      </c>
      <c r="C5298" s="62" t="s">
        <v>60</v>
      </c>
      <c r="D5298" s="62" t="s">
        <v>384</v>
      </c>
      <c r="E5298" s="62" t="s">
        <v>382</v>
      </c>
      <c r="F5298" s="62" t="s">
        <v>382</v>
      </c>
      <c r="G5298" s="63" t="s">
        <v>519</v>
      </c>
      <c r="H5298" s="64" t="s">
        <v>791</v>
      </c>
      <c r="I5298" s="62" t="s">
        <v>138</v>
      </c>
      <c r="J5298" s="64" t="s">
        <v>791</v>
      </c>
      <c r="K5298" s="62" t="s">
        <v>138</v>
      </c>
      <c r="L5298" s="68" t="b">
        <f aca="false">TRUE()</f>
        <v>1</v>
      </c>
    </row>
    <row r="5299" customFormat="false" ht="15" hidden="false" customHeight="false" outlineLevel="0" collapsed="false">
      <c r="A5299" s="62" t="n">
        <v>1</v>
      </c>
      <c r="B5299" s="21" t="s">
        <v>336</v>
      </c>
      <c r="C5299" s="62" t="s">
        <v>60</v>
      </c>
      <c r="D5299" s="62" t="s">
        <v>385</v>
      </c>
      <c r="E5299" s="62" t="s">
        <v>382</v>
      </c>
      <c r="F5299" s="62" t="s">
        <v>382</v>
      </c>
      <c r="G5299" s="63" t="s">
        <v>519</v>
      </c>
      <c r="H5299" s="64" t="s">
        <v>758</v>
      </c>
      <c r="I5299" s="62" t="s">
        <v>138</v>
      </c>
      <c r="J5299" s="64" t="s">
        <v>758</v>
      </c>
      <c r="K5299" s="62" t="s">
        <v>138</v>
      </c>
      <c r="L5299" s="68" t="b">
        <f aca="false">TRUE()</f>
        <v>1</v>
      </c>
    </row>
    <row r="5300" customFormat="false" ht="15" hidden="false" customHeight="false" outlineLevel="0" collapsed="false">
      <c r="A5300" s="62" t="n">
        <v>1</v>
      </c>
      <c r="B5300" s="21" t="s">
        <v>336</v>
      </c>
      <c r="C5300" s="62" t="s">
        <v>60</v>
      </c>
      <c r="D5300" s="62" t="s">
        <v>386</v>
      </c>
      <c r="E5300" s="62" t="s">
        <v>382</v>
      </c>
      <c r="F5300" s="62" t="s">
        <v>382</v>
      </c>
      <c r="G5300" s="63" t="s">
        <v>519</v>
      </c>
      <c r="H5300" s="64" t="s">
        <v>791</v>
      </c>
      <c r="I5300" s="62" t="s">
        <v>138</v>
      </c>
      <c r="J5300" s="64" t="s">
        <v>791</v>
      </c>
      <c r="K5300" s="62" t="s">
        <v>138</v>
      </c>
      <c r="L5300" s="68" t="b">
        <f aca="false">TRUE()</f>
        <v>1</v>
      </c>
    </row>
    <row r="5301" customFormat="false" ht="15" hidden="false" customHeight="false" outlineLevel="0" collapsed="false">
      <c r="A5301" s="62" t="n">
        <v>1</v>
      </c>
      <c r="B5301" s="21" t="s">
        <v>336</v>
      </c>
      <c r="C5301" s="62" t="s">
        <v>60</v>
      </c>
      <c r="D5301" s="62" t="s">
        <v>387</v>
      </c>
      <c r="E5301" s="62" t="s">
        <v>382</v>
      </c>
      <c r="F5301" s="62" t="s">
        <v>382</v>
      </c>
      <c r="G5301" s="63" t="s">
        <v>519</v>
      </c>
      <c r="H5301" s="64" t="s">
        <v>791</v>
      </c>
      <c r="I5301" s="62" t="s">
        <v>138</v>
      </c>
      <c r="J5301" s="64" t="s">
        <v>791</v>
      </c>
      <c r="K5301" s="62" t="s">
        <v>138</v>
      </c>
      <c r="L5301" s="68" t="b">
        <f aca="false">TRUE()</f>
        <v>1</v>
      </c>
    </row>
    <row r="5302" customFormat="false" ht="15" hidden="false" customHeight="false" outlineLevel="0" collapsed="false">
      <c r="A5302" s="62" t="n">
        <v>1</v>
      </c>
      <c r="B5302" s="21" t="s">
        <v>336</v>
      </c>
      <c r="C5302" s="62" t="s">
        <v>60</v>
      </c>
      <c r="D5302" s="62" t="s">
        <v>388</v>
      </c>
      <c r="E5302" s="62" t="s">
        <v>382</v>
      </c>
      <c r="F5302" s="62" t="s">
        <v>382</v>
      </c>
      <c r="G5302" s="63" t="s">
        <v>519</v>
      </c>
      <c r="H5302" s="64" t="s">
        <v>791</v>
      </c>
      <c r="I5302" s="62" t="s">
        <v>138</v>
      </c>
      <c r="J5302" s="64" t="s">
        <v>791</v>
      </c>
      <c r="K5302" s="62" t="s">
        <v>138</v>
      </c>
      <c r="L5302" s="68" t="b">
        <f aca="false">TRUE()</f>
        <v>1</v>
      </c>
    </row>
    <row r="5303" customFormat="false" ht="15" hidden="false" customHeight="false" outlineLevel="0" collapsed="false">
      <c r="A5303" s="62" t="n">
        <v>1</v>
      </c>
      <c r="B5303" s="21" t="s">
        <v>336</v>
      </c>
      <c r="C5303" s="62" t="s">
        <v>60</v>
      </c>
      <c r="D5303" s="62" t="s">
        <v>381</v>
      </c>
      <c r="E5303" s="62" t="s">
        <v>382</v>
      </c>
      <c r="F5303" s="62" t="s">
        <v>382</v>
      </c>
      <c r="G5303" s="63" t="s">
        <v>520</v>
      </c>
      <c r="H5303" s="64" t="n">
        <v>2520.7704714769</v>
      </c>
      <c r="I5303" s="62" t="s">
        <v>81</v>
      </c>
      <c r="J5303" s="64" t="n">
        <v>2.5207704714769</v>
      </c>
      <c r="K5303" s="62" t="s">
        <v>138</v>
      </c>
      <c r="L5303" s="68" t="b">
        <f aca="false">TRUE()</f>
        <v>1</v>
      </c>
    </row>
    <row r="5304" customFormat="false" ht="15" hidden="false" customHeight="false" outlineLevel="0" collapsed="false">
      <c r="A5304" s="62" t="n">
        <v>1</v>
      </c>
      <c r="B5304" s="21" t="s">
        <v>336</v>
      </c>
      <c r="C5304" s="62" t="s">
        <v>60</v>
      </c>
      <c r="D5304" s="62" t="s">
        <v>383</v>
      </c>
      <c r="E5304" s="62" t="s">
        <v>382</v>
      </c>
      <c r="F5304" s="62" t="s">
        <v>382</v>
      </c>
      <c r="G5304" s="63" t="s">
        <v>520</v>
      </c>
      <c r="H5304" s="64" t="n">
        <v>2639.34389981301</v>
      </c>
      <c r="I5304" s="62" t="s">
        <v>81</v>
      </c>
      <c r="J5304" s="64" t="n">
        <v>2.63934389981301</v>
      </c>
      <c r="K5304" s="62" t="s">
        <v>138</v>
      </c>
      <c r="L5304" s="68" t="b">
        <f aca="false">TRUE()</f>
        <v>1</v>
      </c>
    </row>
    <row r="5305" customFormat="false" ht="15" hidden="false" customHeight="false" outlineLevel="0" collapsed="false">
      <c r="A5305" s="62" t="n">
        <v>1</v>
      </c>
      <c r="B5305" s="21" t="s">
        <v>336</v>
      </c>
      <c r="C5305" s="62" t="s">
        <v>60</v>
      </c>
      <c r="D5305" s="62" t="s">
        <v>384</v>
      </c>
      <c r="E5305" s="62" t="s">
        <v>382</v>
      </c>
      <c r="F5305" s="62" t="s">
        <v>382</v>
      </c>
      <c r="G5305" s="63" t="s">
        <v>520</v>
      </c>
      <c r="H5305" s="64" t="n">
        <v>2848.83890638946</v>
      </c>
      <c r="I5305" s="62" t="s">
        <v>81</v>
      </c>
      <c r="J5305" s="64" t="n">
        <v>2.84883890638946</v>
      </c>
      <c r="K5305" s="62" t="s">
        <v>138</v>
      </c>
      <c r="L5305" s="68" t="b">
        <f aca="false">TRUE()</f>
        <v>1</v>
      </c>
    </row>
    <row r="5306" customFormat="false" ht="15" hidden="false" customHeight="false" outlineLevel="0" collapsed="false">
      <c r="A5306" s="62" t="n">
        <v>1</v>
      </c>
      <c r="B5306" s="21" t="s">
        <v>336</v>
      </c>
      <c r="C5306" s="62" t="s">
        <v>60</v>
      </c>
      <c r="D5306" s="62" t="s">
        <v>385</v>
      </c>
      <c r="E5306" s="62" t="s">
        <v>382</v>
      </c>
      <c r="F5306" s="62" t="s">
        <v>382</v>
      </c>
      <c r="G5306" s="63" t="s">
        <v>520</v>
      </c>
      <c r="H5306" s="64" t="n">
        <v>2803.17576521804</v>
      </c>
      <c r="I5306" s="62" t="s">
        <v>81</v>
      </c>
      <c r="J5306" s="64" t="n">
        <v>2.80317576521804</v>
      </c>
      <c r="K5306" s="62" t="s">
        <v>138</v>
      </c>
      <c r="L5306" s="68" t="b">
        <f aca="false">TRUE()</f>
        <v>1</v>
      </c>
    </row>
    <row r="5307" customFormat="false" ht="15" hidden="false" customHeight="false" outlineLevel="0" collapsed="false">
      <c r="A5307" s="62" t="n">
        <v>1</v>
      </c>
      <c r="B5307" s="21" t="s">
        <v>336</v>
      </c>
      <c r="C5307" s="62" t="s">
        <v>60</v>
      </c>
      <c r="D5307" s="62" t="s">
        <v>386</v>
      </c>
      <c r="E5307" s="62" t="s">
        <v>382</v>
      </c>
      <c r="F5307" s="62" t="s">
        <v>382</v>
      </c>
      <c r="G5307" s="63" t="s">
        <v>520</v>
      </c>
      <c r="H5307" s="64" t="n">
        <v>3728.33452891097</v>
      </c>
      <c r="I5307" s="62" t="s">
        <v>81</v>
      </c>
      <c r="J5307" s="64" t="n">
        <v>3.72833452891097</v>
      </c>
      <c r="K5307" s="62" t="s">
        <v>138</v>
      </c>
      <c r="L5307" s="68" t="b">
        <f aca="false">TRUE()</f>
        <v>1</v>
      </c>
    </row>
    <row r="5308" customFormat="false" ht="15" hidden="false" customHeight="false" outlineLevel="0" collapsed="false">
      <c r="A5308" s="62" t="n">
        <v>1</v>
      </c>
      <c r="B5308" s="21" t="s">
        <v>336</v>
      </c>
      <c r="C5308" s="62" t="s">
        <v>60</v>
      </c>
      <c r="D5308" s="62" t="s">
        <v>387</v>
      </c>
      <c r="E5308" s="62" t="s">
        <v>382</v>
      </c>
      <c r="F5308" s="62" t="s">
        <v>382</v>
      </c>
      <c r="G5308" s="63" t="s">
        <v>520</v>
      </c>
      <c r="H5308" s="64" t="n">
        <v>3331.77712909454</v>
      </c>
      <c r="I5308" s="62" t="s">
        <v>81</v>
      </c>
      <c r="J5308" s="64" t="n">
        <v>3.33177712909454</v>
      </c>
      <c r="K5308" s="62" t="s">
        <v>138</v>
      </c>
      <c r="L5308" s="68" t="b">
        <f aca="false">TRUE()</f>
        <v>1</v>
      </c>
    </row>
    <row r="5309" customFormat="false" ht="15" hidden="false" customHeight="false" outlineLevel="0" collapsed="false">
      <c r="A5309" s="62" t="n">
        <v>1</v>
      </c>
      <c r="B5309" s="21" t="s">
        <v>336</v>
      </c>
      <c r="C5309" s="62" t="s">
        <v>60</v>
      </c>
      <c r="D5309" s="62" t="s">
        <v>388</v>
      </c>
      <c r="E5309" s="62" t="s">
        <v>382</v>
      </c>
      <c r="F5309" s="62" t="s">
        <v>382</v>
      </c>
      <c r="G5309" s="63" t="s">
        <v>520</v>
      </c>
      <c r="H5309" s="64" t="n">
        <v>2943.66127527644</v>
      </c>
      <c r="I5309" s="62" t="s">
        <v>81</v>
      </c>
      <c r="J5309" s="64" t="n">
        <v>2.94366127527644</v>
      </c>
      <c r="K5309" s="62" t="s">
        <v>138</v>
      </c>
      <c r="L5309" s="68" t="b">
        <f aca="false">TRUE()</f>
        <v>1</v>
      </c>
    </row>
    <row r="5310" customFormat="false" ht="15" hidden="false" customHeight="false" outlineLevel="0" collapsed="false">
      <c r="A5310" s="62" t="n">
        <v>1</v>
      </c>
      <c r="B5310" s="21" t="s">
        <v>336</v>
      </c>
      <c r="C5310" s="62" t="s">
        <v>60</v>
      </c>
      <c r="D5310" s="62" t="s">
        <v>381</v>
      </c>
      <c r="E5310" s="62" t="s">
        <v>382</v>
      </c>
      <c r="F5310" s="62" t="s">
        <v>382</v>
      </c>
      <c r="G5310" s="63" t="s">
        <v>521</v>
      </c>
      <c r="H5310" s="64" t="n">
        <v>2939.71026527495</v>
      </c>
      <c r="I5310" s="62" t="s">
        <v>81</v>
      </c>
      <c r="J5310" s="64" t="n">
        <v>2.93971026527495</v>
      </c>
      <c r="K5310" s="62" t="s">
        <v>138</v>
      </c>
      <c r="L5310" s="68" t="b">
        <f aca="false">TRUE()</f>
        <v>1</v>
      </c>
    </row>
    <row r="5311" customFormat="false" ht="15" hidden="false" customHeight="false" outlineLevel="0" collapsed="false">
      <c r="A5311" s="62" t="n">
        <v>1</v>
      </c>
      <c r="B5311" s="21" t="s">
        <v>336</v>
      </c>
      <c r="C5311" s="62" t="s">
        <v>60</v>
      </c>
      <c r="D5311" s="62" t="s">
        <v>383</v>
      </c>
      <c r="E5311" s="62" t="s">
        <v>382</v>
      </c>
      <c r="F5311" s="62" t="s">
        <v>382</v>
      </c>
      <c r="G5311" s="63" t="s">
        <v>521</v>
      </c>
      <c r="H5311" s="64" t="n">
        <v>2890.87407389789</v>
      </c>
      <c r="I5311" s="62" t="s">
        <v>81</v>
      </c>
      <c r="J5311" s="64" t="n">
        <v>2.89087407389789</v>
      </c>
      <c r="K5311" s="62" t="s">
        <v>138</v>
      </c>
      <c r="L5311" s="68" t="b">
        <f aca="false">TRUE()</f>
        <v>1</v>
      </c>
    </row>
    <row r="5312" customFormat="false" ht="15" hidden="false" customHeight="false" outlineLevel="0" collapsed="false">
      <c r="A5312" s="62" t="n">
        <v>1</v>
      </c>
      <c r="B5312" s="21" t="s">
        <v>336</v>
      </c>
      <c r="C5312" s="62" t="s">
        <v>60</v>
      </c>
      <c r="D5312" s="62" t="s">
        <v>384</v>
      </c>
      <c r="E5312" s="62" t="s">
        <v>382</v>
      </c>
      <c r="F5312" s="62" t="s">
        <v>382</v>
      </c>
      <c r="G5312" s="63" t="s">
        <v>521</v>
      </c>
      <c r="H5312" s="64" t="n">
        <v>2989.26140286045</v>
      </c>
      <c r="I5312" s="62" t="s">
        <v>81</v>
      </c>
      <c r="J5312" s="64" t="n">
        <v>2.98926140286045</v>
      </c>
      <c r="K5312" s="62" t="s">
        <v>138</v>
      </c>
      <c r="L5312" s="68" t="b">
        <f aca="false">TRUE()</f>
        <v>1</v>
      </c>
    </row>
    <row r="5313" customFormat="false" ht="15" hidden="false" customHeight="false" outlineLevel="0" collapsed="false">
      <c r="A5313" s="62" t="n">
        <v>1</v>
      </c>
      <c r="B5313" s="21" t="s">
        <v>336</v>
      </c>
      <c r="C5313" s="62" t="s">
        <v>60</v>
      </c>
      <c r="D5313" s="62" t="s">
        <v>385</v>
      </c>
      <c r="E5313" s="62" t="s">
        <v>382</v>
      </c>
      <c r="F5313" s="62" t="s">
        <v>382</v>
      </c>
      <c r="G5313" s="63" t="s">
        <v>521</v>
      </c>
      <c r="H5313" s="64" t="n">
        <v>3077.76569179291</v>
      </c>
      <c r="I5313" s="62" t="s">
        <v>81</v>
      </c>
      <c r="J5313" s="64" t="n">
        <v>3.07776569179291</v>
      </c>
      <c r="K5313" s="62" t="s">
        <v>138</v>
      </c>
      <c r="L5313" s="68" t="b">
        <f aca="false">TRUE()</f>
        <v>1</v>
      </c>
    </row>
    <row r="5314" customFormat="false" ht="15" hidden="false" customHeight="false" outlineLevel="0" collapsed="false">
      <c r="A5314" s="62" t="n">
        <v>1</v>
      </c>
      <c r="B5314" s="21" t="s">
        <v>336</v>
      </c>
      <c r="C5314" s="62" t="s">
        <v>60</v>
      </c>
      <c r="D5314" s="62" t="s">
        <v>386</v>
      </c>
      <c r="E5314" s="62" t="s">
        <v>382</v>
      </c>
      <c r="F5314" s="62" t="s">
        <v>382</v>
      </c>
      <c r="G5314" s="63" t="s">
        <v>521</v>
      </c>
      <c r="H5314" s="64" t="n">
        <v>3030.8355397588</v>
      </c>
      <c r="I5314" s="62" t="s">
        <v>81</v>
      </c>
      <c r="J5314" s="64" t="n">
        <v>3.0308355397588</v>
      </c>
      <c r="K5314" s="62" t="s">
        <v>138</v>
      </c>
      <c r="L5314" s="68" t="b">
        <f aca="false">TRUE()</f>
        <v>1</v>
      </c>
    </row>
    <row r="5315" customFormat="false" ht="15" hidden="false" customHeight="false" outlineLevel="0" collapsed="false">
      <c r="A5315" s="62" t="n">
        <v>1</v>
      </c>
      <c r="B5315" s="21" t="s">
        <v>336</v>
      </c>
      <c r="C5315" s="62" t="s">
        <v>60</v>
      </c>
      <c r="D5315" s="62" t="s">
        <v>387</v>
      </c>
      <c r="E5315" s="62" t="s">
        <v>382</v>
      </c>
      <c r="F5315" s="62" t="s">
        <v>382</v>
      </c>
      <c r="G5315" s="63" t="s">
        <v>521</v>
      </c>
      <c r="H5315" s="64" t="n">
        <v>3163.91983485522</v>
      </c>
      <c r="I5315" s="62" t="s">
        <v>81</v>
      </c>
      <c r="J5315" s="64" t="n">
        <v>3.16391983485522</v>
      </c>
      <c r="K5315" s="62" t="s">
        <v>138</v>
      </c>
      <c r="L5315" s="68" t="b">
        <f aca="false">TRUE()</f>
        <v>1</v>
      </c>
    </row>
    <row r="5316" customFormat="false" ht="15" hidden="false" customHeight="false" outlineLevel="0" collapsed="false">
      <c r="A5316" s="62" t="n">
        <v>1</v>
      </c>
      <c r="B5316" s="21" t="s">
        <v>336</v>
      </c>
      <c r="C5316" s="62" t="s">
        <v>60</v>
      </c>
      <c r="D5316" s="62" t="s">
        <v>388</v>
      </c>
      <c r="E5316" s="62" t="s">
        <v>382</v>
      </c>
      <c r="F5316" s="62" t="s">
        <v>382</v>
      </c>
      <c r="G5316" s="63" t="s">
        <v>521</v>
      </c>
      <c r="H5316" s="64" t="n">
        <v>2933.16904992646</v>
      </c>
      <c r="I5316" s="62" t="s">
        <v>81</v>
      </c>
      <c r="J5316" s="64" t="n">
        <v>2.93316904992646</v>
      </c>
      <c r="K5316" s="62" t="s">
        <v>138</v>
      </c>
      <c r="L5316" s="68" t="b">
        <f aca="false">TRUE()</f>
        <v>1</v>
      </c>
    </row>
    <row r="5317" customFormat="false" ht="15" hidden="false" customHeight="false" outlineLevel="0" collapsed="false">
      <c r="A5317" s="62" t="n">
        <v>1</v>
      </c>
      <c r="B5317" s="21" t="s">
        <v>336</v>
      </c>
      <c r="C5317" s="62" t="s">
        <v>60</v>
      </c>
      <c r="D5317" s="62" t="s">
        <v>381</v>
      </c>
      <c r="E5317" s="62" t="s">
        <v>382</v>
      </c>
      <c r="F5317" s="62" t="s">
        <v>382</v>
      </c>
      <c r="G5317" s="63" t="s">
        <v>522</v>
      </c>
      <c r="H5317" s="64" t="n">
        <v>3748.52984394161</v>
      </c>
      <c r="I5317" s="62" t="s">
        <v>81</v>
      </c>
      <c r="J5317" s="64" t="n">
        <v>3.74852984394161</v>
      </c>
      <c r="K5317" s="62" t="s">
        <v>138</v>
      </c>
      <c r="L5317" s="68" t="b">
        <f aca="false">TRUE()</f>
        <v>1</v>
      </c>
    </row>
    <row r="5318" customFormat="false" ht="15" hidden="false" customHeight="false" outlineLevel="0" collapsed="false">
      <c r="A5318" s="62" t="n">
        <v>1</v>
      </c>
      <c r="B5318" s="21" t="s">
        <v>336</v>
      </c>
      <c r="C5318" s="62" t="s">
        <v>60</v>
      </c>
      <c r="D5318" s="62" t="s">
        <v>383</v>
      </c>
      <c r="E5318" s="62" t="s">
        <v>382</v>
      </c>
      <c r="F5318" s="62" t="s">
        <v>382</v>
      </c>
      <c r="G5318" s="63" t="s">
        <v>522</v>
      </c>
      <c r="H5318" s="64" t="n">
        <v>2957.38558378394</v>
      </c>
      <c r="I5318" s="62" t="s">
        <v>81</v>
      </c>
      <c r="J5318" s="64" t="n">
        <v>2.95738558378394</v>
      </c>
      <c r="K5318" s="62" t="s">
        <v>138</v>
      </c>
      <c r="L5318" s="68" t="b">
        <f aca="false">TRUE()</f>
        <v>1</v>
      </c>
    </row>
    <row r="5319" customFormat="false" ht="15" hidden="false" customHeight="false" outlineLevel="0" collapsed="false">
      <c r="A5319" s="62" t="n">
        <v>1</v>
      </c>
      <c r="B5319" s="21" t="s">
        <v>336</v>
      </c>
      <c r="C5319" s="62" t="s">
        <v>60</v>
      </c>
      <c r="D5319" s="62" t="s">
        <v>384</v>
      </c>
      <c r="E5319" s="62" t="s">
        <v>382</v>
      </c>
      <c r="F5319" s="62" t="s">
        <v>382</v>
      </c>
      <c r="G5319" s="63" t="s">
        <v>522</v>
      </c>
      <c r="H5319" s="64" t="n">
        <v>3335.10088002285</v>
      </c>
      <c r="I5319" s="62" t="s">
        <v>81</v>
      </c>
      <c r="J5319" s="64" t="n">
        <v>3.33510088002285</v>
      </c>
      <c r="K5319" s="62" t="s">
        <v>138</v>
      </c>
      <c r="L5319" s="68" t="b">
        <f aca="false">TRUE()</f>
        <v>1</v>
      </c>
    </row>
    <row r="5320" customFormat="false" ht="15" hidden="false" customHeight="false" outlineLevel="0" collapsed="false">
      <c r="A5320" s="62" t="n">
        <v>1</v>
      </c>
      <c r="B5320" s="21" t="s">
        <v>336</v>
      </c>
      <c r="C5320" s="62" t="s">
        <v>60</v>
      </c>
      <c r="D5320" s="62" t="s">
        <v>385</v>
      </c>
      <c r="E5320" s="62" t="s">
        <v>382</v>
      </c>
      <c r="F5320" s="62" t="s">
        <v>382</v>
      </c>
      <c r="G5320" s="63" t="s">
        <v>522</v>
      </c>
      <c r="H5320" s="64" t="n">
        <v>2327.28466184537</v>
      </c>
      <c r="I5320" s="62" t="s">
        <v>81</v>
      </c>
      <c r="J5320" s="64" t="n">
        <v>2.32728466184537</v>
      </c>
      <c r="K5320" s="62" t="s">
        <v>138</v>
      </c>
      <c r="L5320" s="68" t="b">
        <f aca="false">TRUE()</f>
        <v>1</v>
      </c>
    </row>
    <row r="5321" customFormat="false" ht="15" hidden="false" customHeight="false" outlineLevel="0" collapsed="false">
      <c r="A5321" s="62" t="n">
        <v>1</v>
      </c>
      <c r="B5321" s="21" t="s">
        <v>336</v>
      </c>
      <c r="C5321" s="62" t="s">
        <v>60</v>
      </c>
      <c r="D5321" s="62" t="s">
        <v>386</v>
      </c>
      <c r="E5321" s="62" t="s">
        <v>382</v>
      </c>
      <c r="F5321" s="62" t="s">
        <v>382</v>
      </c>
      <c r="G5321" s="63" t="s">
        <v>522</v>
      </c>
      <c r="H5321" s="64" t="n">
        <v>3224.18054701624</v>
      </c>
      <c r="I5321" s="62" t="s">
        <v>81</v>
      </c>
      <c r="J5321" s="64" t="n">
        <v>3.22418054701624</v>
      </c>
      <c r="K5321" s="62" t="s">
        <v>138</v>
      </c>
      <c r="L5321" s="68" t="b">
        <f aca="false">TRUE()</f>
        <v>1</v>
      </c>
    </row>
    <row r="5322" customFormat="false" ht="15" hidden="false" customHeight="false" outlineLevel="0" collapsed="false">
      <c r="A5322" s="62" t="n">
        <v>1</v>
      </c>
      <c r="B5322" s="21" t="s">
        <v>336</v>
      </c>
      <c r="C5322" s="62" t="s">
        <v>60</v>
      </c>
      <c r="D5322" s="62" t="s">
        <v>387</v>
      </c>
      <c r="E5322" s="62" t="s">
        <v>382</v>
      </c>
      <c r="F5322" s="62" t="s">
        <v>382</v>
      </c>
      <c r="G5322" s="63" t="s">
        <v>522</v>
      </c>
      <c r="H5322" s="64" t="n">
        <v>2667.61319209245</v>
      </c>
      <c r="I5322" s="62" t="s">
        <v>81</v>
      </c>
      <c r="J5322" s="64" t="n">
        <v>2.66761319209245</v>
      </c>
      <c r="K5322" s="62" t="s">
        <v>138</v>
      </c>
      <c r="L5322" s="68" t="b">
        <f aca="false">TRUE()</f>
        <v>1</v>
      </c>
    </row>
    <row r="5323" customFormat="false" ht="15" hidden="false" customHeight="false" outlineLevel="0" collapsed="false">
      <c r="A5323" s="62" t="n">
        <v>1</v>
      </c>
      <c r="B5323" s="21" t="s">
        <v>336</v>
      </c>
      <c r="C5323" s="62" t="s">
        <v>60</v>
      </c>
      <c r="D5323" s="62" t="s">
        <v>388</v>
      </c>
      <c r="E5323" s="62" t="s">
        <v>382</v>
      </c>
      <c r="F5323" s="62" t="s">
        <v>382</v>
      </c>
      <c r="G5323" s="63" t="s">
        <v>522</v>
      </c>
      <c r="H5323" s="64" t="n">
        <v>3224.18054701624</v>
      </c>
      <c r="I5323" s="62" t="s">
        <v>81</v>
      </c>
      <c r="J5323" s="64" t="n">
        <v>3.22418054701624</v>
      </c>
      <c r="K5323" s="62" t="s">
        <v>138</v>
      </c>
      <c r="L5323" s="68" t="b">
        <f aca="false">TRUE()</f>
        <v>1</v>
      </c>
    </row>
    <row r="5324" customFormat="false" ht="15" hidden="false" customHeight="false" outlineLevel="0" collapsed="false">
      <c r="A5324" s="62" t="n">
        <v>1</v>
      </c>
      <c r="B5324" s="21" t="s">
        <v>336</v>
      </c>
      <c r="C5324" s="62" t="s">
        <v>60</v>
      </c>
      <c r="D5324" s="62" t="s">
        <v>381</v>
      </c>
      <c r="E5324" s="62" t="s">
        <v>382</v>
      </c>
      <c r="F5324" s="62" t="s">
        <v>382</v>
      </c>
      <c r="G5324" s="63" t="s">
        <v>523</v>
      </c>
      <c r="H5324" s="64" t="n">
        <v>3038.00192376245</v>
      </c>
      <c r="I5324" s="62" t="s">
        <v>81</v>
      </c>
      <c r="J5324" s="64" t="n">
        <v>3.03800192376245</v>
      </c>
      <c r="K5324" s="62" t="s">
        <v>138</v>
      </c>
      <c r="L5324" s="68" t="b">
        <f aca="false">TRUE()</f>
        <v>1</v>
      </c>
    </row>
    <row r="5325" customFormat="false" ht="15" hidden="false" customHeight="false" outlineLevel="0" collapsed="false">
      <c r="A5325" s="62" t="n">
        <v>1</v>
      </c>
      <c r="B5325" s="21" t="s">
        <v>336</v>
      </c>
      <c r="C5325" s="62" t="s">
        <v>60</v>
      </c>
      <c r="D5325" s="62" t="s">
        <v>383</v>
      </c>
      <c r="E5325" s="62" t="s">
        <v>382</v>
      </c>
      <c r="F5325" s="62" t="s">
        <v>382</v>
      </c>
      <c r="G5325" s="63" t="s">
        <v>523</v>
      </c>
      <c r="H5325" s="64" t="n">
        <v>2906.83701045361</v>
      </c>
      <c r="I5325" s="62" t="s">
        <v>81</v>
      </c>
      <c r="J5325" s="64" t="n">
        <v>2.90683701045361</v>
      </c>
      <c r="K5325" s="62" t="s">
        <v>138</v>
      </c>
      <c r="L5325" s="68" t="b">
        <f aca="false">TRUE()</f>
        <v>1</v>
      </c>
    </row>
    <row r="5326" customFormat="false" ht="15" hidden="false" customHeight="false" outlineLevel="0" collapsed="false">
      <c r="A5326" s="62" t="n">
        <v>1</v>
      </c>
      <c r="B5326" s="21" t="s">
        <v>336</v>
      </c>
      <c r="C5326" s="62" t="s">
        <v>60</v>
      </c>
      <c r="D5326" s="62" t="s">
        <v>384</v>
      </c>
      <c r="E5326" s="62" t="s">
        <v>382</v>
      </c>
      <c r="F5326" s="62" t="s">
        <v>382</v>
      </c>
      <c r="G5326" s="63" t="s">
        <v>523</v>
      </c>
      <c r="H5326" s="64" t="n">
        <v>3031.49112532232</v>
      </c>
      <c r="I5326" s="62" t="s">
        <v>81</v>
      </c>
      <c r="J5326" s="64" t="n">
        <v>3.03149112532232</v>
      </c>
      <c r="K5326" s="62" t="s">
        <v>138</v>
      </c>
      <c r="L5326" s="68" t="b">
        <f aca="false">TRUE()</f>
        <v>1</v>
      </c>
    </row>
    <row r="5327" customFormat="false" ht="15" hidden="false" customHeight="false" outlineLevel="0" collapsed="false">
      <c r="A5327" s="62" t="n">
        <v>1</v>
      </c>
      <c r="B5327" s="21" t="s">
        <v>336</v>
      </c>
      <c r="C5327" s="62" t="s">
        <v>60</v>
      </c>
      <c r="D5327" s="62" t="s">
        <v>385</v>
      </c>
      <c r="E5327" s="62" t="s">
        <v>382</v>
      </c>
      <c r="F5327" s="62" t="s">
        <v>382</v>
      </c>
      <c r="G5327" s="63" t="s">
        <v>523</v>
      </c>
      <c r="H5327" s="64" t="n">
        <v>2856.04111251933</v>
      </c>
      <c r="I5327" s="62" t="s">
        <v>81</v>
      </c>
      <c r="J5327" s="64" t="n">
        <v>2.85604111251933</v>
      </c>
      <c r="K5327" s="62" t="s">
        <v>138</v>
      </c>
      <c r="L5327" s="68" t="b">
        <f aca="false">TRUE()</f>
        <v>1</v>
      </c>
    </row>
    <row r="5328" customFormat="false" ht="15" hidden="false" customHeight="false" outlineLevel="0" collapsed="false">
      <c r="A5328" s="62" t="n">
        <v>1</v>
      </c>
      <c r="B5328" s="21" t="s">
        <v>336</v>
      </c>
      <c r="C5328" s="62" t="s">
        <v>60</v>
      </c>
      <c r="D5328" s="62" t="s">
        <v>386</v>
      </c>
      <c r="E5328" s="62" t="s">
        <v>382</v>
      </c>
      <c r="F5328" s="62" t="s">
        <v>382</v>
      </c>
      <c r="G5328" s="63" t="s">
        <v>523</v>
      </c>
      <c r="H5328" s="64" t="n">
        <v>3178.79102103382</v>
      </c>
      <c r="I5328" s="62" t="s">
        <v>81</v>
      </c>
      <c r="J5328" s="64" t="n">
        <v>3.17879102103382</v>
      </c>
      <c r="K5328" s="62" t="s">
        <v>138</v>
      </c>
      <c r="L5328" s="68" t="b">
        <f aca="false">TRUE()</f>
        <v>1</v>
      </c>
    </row>
    <row r="5329" customFormat="false" ht="15" hidden="false" customHeight="false" outlineLevel="0" collapsed="false">
      <c r="A5329" s="62" t="n">
        <v>1</v>
      </c>
      <c r="B5329" s="21" t="s">
        <v>336</v>
      </c>
      <c r="C5329" s="62" t="s">
        <v>60</v>
      </c>
      <c r="D5329" s="62" t="s">
        <v>387</v>
      </c>
      <c r="E5329" s="62" t="s">
        <v>382</v>
      </c>
      <c r="F5329" s="62" t="s">
        <v>382</v>
      </c>
      <c r="G5329" s="63" t="s">
        <v>523</v>
      </c>
      <c r="H5329" s="64" t="n">
        <v>3029.69275564404</v>
      </c>
      <c r="I5329" s="62" t="s">
        <v>81</v>
      </c>
      <c r="J5329" s="64" t="n">
        <v>3.02969275564404</v>
      </c>
      <c r="K5329" s="62" t="s">
        <v>138</v>
      </c>
      <c r="L5329" s="68" t="b">
        <f aca="false">TRUE()</f>
        <v>1</v>
      </c>
    </row>
    <row r="5330" customFormat="false" ht="15" hidden="false" customHeight="false" outlineLevel="0" collapsed="false">
      <c r="A5330" s="62" t="n">
        <v>1</v>
      </c>
      <c r="B5330" s="21" t="s">
        <v>336</v>
      </c>
      <c r="C5330" s="62" t="s">
        <v>60</v>
      </c>
      <c r="D5330" s="62" t="s">
        <v>388</v>
      </c>
      <c r="E5330" s="62" t="s">
        <v>382</v>
      </c>
      <c r="F5330" s="62" t="s">
        <v>382</v>
      </c>
      <c r="G5330" s="63" t="s">
        <v>523</v>
      </c>
      <c r="H5330" s="64" t="n">
        <v>3018.36561313075</v>
      </c>
      <c r="I5330" s="62" t="s">
        <v>81</v>
      </c>
      <c r="J5330" s="64" t="n">
        <v>3.01836561313075</v>
      </c>
      <c r="K5330" s="62" t="s">
        <v>138</v>
      </c>
      <c r="L5330" s="68" t="b">
        <f aca="false">TRUE()</f>
        <v>1</v>
      </c>
    </row>
    <row r="5331" customFormat="false" ht="15" hidden="false" customHeight="false" outlineLevel="0" collapsed="false">
      <c r="A5331" s="62" t="n">
        <v>1</v>
      </c>
      <c r="B5331" s="21" t="s">
        <v>336</v>
      </c>
      <c r="C5331" s="62" t="s">
        <v>60</v>
      </c>
      <c r="D5331" s="62" t="s">
        <v>381</v>
      </c>
      <c r="E5331" s="62" t="s">
        <v>382</v>
      </c>
      <c r="F5331" s="62" t="s">
        <v>382</v>
      </c>
      <c r="G5331" s="63" t="s">
        <v>524</v>
      </c>
      <c r="H5331" s="64" t="n">
        <v>36080</v>
      </c>
      <c r="I5331" s="62" t="s">
        <v>81</v>
      </c>
      <c r="J5331" s="64" t="n">
        <v>36.08</v>
      </c>
      <c r="K5331" s="62" t="s">
        <v>138</v>
      </c>
      <c r="L5331" s="68" t="b">
        <f aca="false">FALSE()</f>
        <v>0</v>
      </c>
    </row>
    <row r="5332" customFormat="false" ht="15" hidden="false" customHeight="false" outlineLevel="0" collapsed="false">
      <c r="A5332" s="62" t="n">
        <v>1</v>
      </c>
      <c r="B5332" s="21" t="s">
        <v>336</v>
      </c>
      <c r="C5332" s="62" t="s">
        <v>60</v>
      </c>
      <c r="D5332" s="62" t="s">
        <v>383</v>
      </c>
      <c r="E5332" s="62" t="s">
        <v>382</v>
      </c>
      <c r="F5332" s="62" t="s">
        <v>382</v>
      </c>
      <c r="G5332" s="63" t="s">
        <v>524</v>
      </c>
      <c r="H5332" s="64" t="n">
        <v>41000</v>
      </c>
      <c r="I5332" s="62" t="s">
        <v>81</v>
      </c>
      <c r="J5332" s="64" t="n">
        <v>41</v>
      </c>
      <c r="K5332" s="62" t="s">
        <v>138</v>
      </c>
      <c r="L5332" s="68" t="b">
        <f aca="false">FALSE()</f>
        <v>0</v>
      </c>
    </row>
    <row r="5333" customFormat="false" ht="15" hidden="false" customHeight="false" outlineLevel="0" collapsed="false">
      <c r="A5333" s="62" t="n">
        <v>1</v>
      </c>
      <c r="B5333" s="21" t="s">
        <v>336</v>
      </c>
      <c r="C5333" s="62" t="s">
        <v>60</v>
      </c>
      <c r="D5333" s="62" t="s">
        <v>384</v>
      </c>
      <c r="E5333" s="62" t="s">
        <v>382</v>
      </c>
      <c r="F5333" s="62" t="s">
        <v>382</v>
      </c>
      <c r="G5333" s="63" t="s">
        <v>524</v>
      </c>
      <c r="H5333" s="64" t="n">
        <v>36080</v>
      </c>
      <c r="I5333" s="62" t="s">
        <v>81</v>
      </c>
      <c r="J5333" s="64" t="n">
        <v>36.08</v>
      </c>
      <c r="K5333" s="62" t="s">
        <v>138</v>
      </c>
      <c r="L5333" s="68" t="b">
        <f aca="false">FALSE()</f>
        <v>0</v>
      </c>
    </row>
    <row r="5334" customFormat="false" ht="15" hidden="false" customHeight="false" outlineLevel="0" collapsed="false">
      <c r="A5334" s="62" t="n">
        <v>1</v>
      </c>
      <c r="B5334" s="21" t="s">
        <v>336</v>
      </c>
      <c r="C5334" s="62" t="s">
        <v>60</v>
      </c>
      <c r="D5334" s="62" t="s">
        <v>385</v>
      </c>
      <c r="E5334" s="62" t="s">
        <v>382</v>
      </c>
      <c r="F5334" s="62" t="s">
        <v>382</v>
      </c>
      <c r="G5334" s="63" t="s">
        <v>524</v>
      </c>
      <c r="H5334" s="64" t="n">
        <v>41000</v>
      </c>
      <c r="I5334" s="62" t="s">
        <v>81</v>
      </c>
      <c r="J5334" s="64" t="n">
        <v>41</v>
      </c>
      <c r="K5334" s="62" t="s">
        <v>138</v>
      </c>
      <c r="L5334" s="68" t="b">
        <f aca="false">FALSE()</f>
        <v>0</v>
      </c>
    </row>
    <row r="5335" customFormat="false" ht="15" hidden="false" customHeight="false" outlineLevel="0" collapsed="false">
      <c r="A5335" s="62" t="n">
        <v>1</v>
      </c>
      <c r="B5335" s="21" t="s">
        <v>336</v>
      </c>
      <c r="C5335" s="62" t="s">
        <v>60</v>
      </c>
      <c r="D5335" s="62" t="s">
        <v>386</v>
      </c>
      <c r="E5335" s="62" t="s">
        <v>382</v>
      </c>
      <c r="F5335" s="62" t="s">
        <v>382</v>
      </c>
      <c r="G5335" s="63" t="s">
        <v>524</v>
      </c>
      <c r="H5335" s="64" t="n">
        <v>36080</v>
      </c>
      <c r="I5335" s="62" t="s">
        <v>81</v>
      </c>
      <c r="J5335" s="64" t="n">
        <v>36.08</v>
      </c>
      <c r="K5335" s="62" t="s">
        <v>138</v>
      </c>
      <c r="L5335" s="68" t="b">
        <f aca="false">FALSE()</f>
        <v>0</v>
      </c>
    </row>
    <row r="5336" customFormat="false" ht="15" hidden="false" customHeight="false" outlineLevel="0" collapsed="false">
      <c r="A5336" s="62" t="n">
        <v>1</v>
      </c>
      <c r="B5336" s="21" t="s">
        <v>336</v>
      </c>
      <c r="C5336" s="62" t="s">
        <v>60</v>
      </c>
      <c r="D5336" s="62" t="s">
        <v>387</v>
      </c>
      <c r="E5336" s="62" t="s">
        <v>382</v>
      </c>
      <c r="F5336" s="62" t="s">
        <v>382</v>
      </c>
      <c r="G5336" s="63" t="s">
        <v>524</v>
      </c>
      <c r="H5336" s="64" t="n">
        <v>36080</v>
      </c>
      <c r="I5336" s="62" t="s">
        <v>81</v>
      </c>
      <c r="J5336" s="64" t="n">
        <v>36.08</v>
      </c>
      <c r="K5336" s="62" t="s">
        <v>138</v>
      </c>
      <c r="L5336" s="68" t="b">
        <f aca="false">FALSE()</f>
        <v>0</v>
      </c>
    </row>
    <row r="5337" customFormat="false" ht="15" hidden="false" customHeight="false" outlineLevel="0" collapsed="false">
      <c r="A5337" s="62" t="n">
        <v>1</v>
      </c>
      <c r="B5337" s="21" t="s">
        <v>336</v>
      </c>
      <c r="C5337" s="62" t="s">
        <v>60</v>
      </c>
      <c r="D5337" s="62" t="s">
        <v>388</v>
      </c>
      <c r="E5337" s="62" t="s">
        <v>382</v>
      </c>
      <c r="F5337" s="62" t="s">
        <v>382</v>
      </c>
      <c r="G5337" s="63" t="s">
        <v>524</v>
      </c>
      <c r="H5337" s="64" t="n">
        <v>36080</v>
      </c>
      <c r="I5337" s="62" t="s">
        <v>81</v>
      </c>
      <c r="J5337" s="64" t="n">
        <v>36.08</v>
      </c>
      <c r="K5337" s="62" t="s">
        <v>138</v>
      </c>
      <c r="L5337" s="68" t="b">
        <f aca="false">FALSE()</f>
        <v>0</v>
      </c>
    </row>
    <row r="5338" customFormat="false" ht="15" hidden="false" customHeight="false" outlineLevel="0" collapsed="false">
      <c r="A5338" s="62" t="n">
        <v>1</v>
      </c>
      <c r="B5338" s="21" t="s">
        <v>336</v>
      </c>
      <c r="C5338" s="62" t="s">
        <v>60</v>
      </c>
      <c r="D5338" s="62" t="s">
        <v>381</v>
      </c>
      <c r="E5338" s="62" t="s">
        <v>382</v>
      </c>
      <c r="F5338" s="62" t="s">
        <v>382</v>
      </c>
      <c r="G5338" s="63" t="s">
        <v>792</v>
      </c>
      <c r="H5338" s="64" t="n">
        <v>40480</v>
      </c>
      <c r="I5338" s="62" t="s">
        <v>81</v>
      </c>
      <c r="J5338" s="64" t="n">
        <v>40.48</v>
      </c>
      <c r="K5338" s="62" t="s">
        <v>138</v>
      </c>
      <c r="L5338" s="68" t="b">
        <f aca="false">FALSE()</f>
        <v>0</v>
      </c>
    </row>
    <row r="5339" customFormat="false" ht="15" hidden="false" customHeight="false" outlineLevel="0" collapsed="false">
      <c r="A5339" s="62" t="n">
        <v>1</v>
      </c>
      <c r="B5339" s="21" t="s">
        <v>336</v>
      </c>
      <c r="C5339" s="62" t="s">
        <v>60</v>
      </c>
      <c r="D5339" s="62" t="s">
        <v>383</v>
      </c>
      <c r="E5339" s="62" t="s">
        <v>382</v>
      </c>
      <c r="F5339" s="62" t="s">
        <v>382</v>
      </c>
      <c r="G5339" s="63" t="s">
        <v>792</v>
      </c>
      <c r="H5339" s="64" t="n">
        <v>46000</v>
      </c>
      <c r="I5339" s="62" t="s">
        <v>81</v>
      </c>
      <c r="J5339" s="64" t="n">
        <v>46</v>
      </c>
      <c r="K5339" s="62" t="s">
        <v>138</v>
      </c>
      <c r="L5339" s="68" t="b">
        <f aca="false">FALSE()</f>
        <v>0</v>
      </c>
    </row>
    <row r="5340" customFormat="false" ht="15" hidden="false" customHeight="false" outlineLevel="0" collapsed="false">
      <c r="A5340" s="62" t="n">
        <v>1</v>
      </c>
      <c r="B5340" s="21" t="s">
        <v>336</v>
      </c>
      <c r="C5340" s="62" t="s">
        <v>60</v>
      </c>
      <c r="D5340" s="62" t="s">
        <v>384</v>
      </c>
      <c r="E5340" s="62" t="s">
        <v>382</v>
      </c>
      <c r="F5340" s="62" t="s">
        <v>382</v>
      </c>
      <c r="G5340" s="63" t="s">
        <v>792</v>
      </c>
      <c r="H5340" s="64" t="n">
        <v>40480</v>
      </c>
      <c r="I5340" s="62" t="s">
        <v>81</v>
      </c>
      <c r="J5340" s="64" t="n">
        <v>40.48</v>
      </c>
      <c r="K5340" s="62" t="s">
        <v>138</v>
      </c>
      <c r="L5340" s="68" t="b">
        <f aca="false">FALSE()</f>
        <v>0</v>
      </c>
    </row>
    <row r="5341" customFormat="false" ht="15" hidden="false" customHeight="false" outlineLevel="0" collapsed="false">
      <c r="A5341" s="62" t="n">
        <v>1</v>
      </c>
      <c r="B5341" s="21" t="s">
        <v>336</v>
      </c>
      <c r="C5341" s="62" t="s">
        <v>60</v>
      </c>
      <c r="D5341" s="62" t="s">
        <v>385</v>
      </c>
      <c r="E5341" s="62" t="s">
        <v>382</v>
      </c>
      <c r="F5341" s="62" t="s">
        <v>382</v>
      </c>
      <c r="G5341" s="63" t="s">
        <v>792</v>
      </c>
      <c r="H5341" s="64" t="n">
        <v>46000</v>
      </c>
      <c r="I5341" s="62" t="s">
        <v>81</v>
      </c>
      <c r="J5341" s="64" t="n">
        <v>46</v>
      </c>
      <c r="K5341" s="62" t="s">
        <v>138</v>
      </c>
      <c r="L5341" s="68" t="b">
        <f aca="false">FALSE()</f>
        <v>0</v>
      </c>
    </row>
    <row r="5342" customFormat="false" ht="15" hidden="false" customHeight="false" outlineLevel="0" collapsed="false">
      <c r="A5342" s="62" t="n">
        <v>1</v>
      </c>
      <c r="B5342" s="21" t="s">
        <v>336</v>
      </c>
      <c r="C5342" s="62" t="s">
        <v>60</v>
      </c>
      <c r="D5342" s="62" t="s">
        <v>386</v>
      </c>
      <c r="E5342" s="62" t="s">
        <v>382</v>
      </c>
      <c r="F5342" s="62" t="s">
        <v>382</v>
      </c>
      <c r="G5342" s="63" t="s">
        <v>792</v>
      </c>
      <c r="H5342" s="64" t="n">
        <v>40480</v>
      </c>
      <c r="I5342" s="62" t="s">
        <v>81</v>
      </c>
      <c r="J5342" s="64" t="n">
        <v>40.48</v>
      </c>
      <c r="K5342" s="62" t="s">
        <v>138</v>
      </c>
      <c r="L5342" s="68" t="b">
        <f aca="false">FALSE()</f>
        <v>0</v>
      </c>
    </row>
    <row r="5343" customFormat="false" ht="15" hidden="false" customHeight="false" outlineLevel="0" collapsed="false">
      <c r="A5343" s="62" t="n">
        <v>1</v>
      </c>
      <c r="B5343" s="21" t="s">
        <v>336</v>
      </c>
      <c r="C5343" s="62" t="s">
        <v>60</v>
      </c>
      <c r="D5343" s="62" t="s">
        <v>387</v>
      </c>
      <c r="E5343" s="62" t="s">
        <v>382</v>
      </c>
      <c r="F5343" s="62" t="s">
        <v>382</v>
      </c>
      <c r="G5343" s="63" t="s">
        <v>792</v>
      </c>
      <c r="H5343" s="64" t="n">
        <v>40480</v>
      </c>
      <c r="I5343" s="62" t="s">
        <v>81</v>
      </c>
      <c r="J5343" s="64" t="n">
        <v>40.48</v>
      </c>
      <c r="K5343" s="62" t="s">
        <v>138</v>
      </c>
      <c r="L5343" s="68" t="b">
        <f aca="false">FALSE()</f>
        <v>0</v>
      </c>
    </row>
    <row r="5344" customFormat="false" ht="15" hidden="false" customHeight="false" outlineLevel="0" collapsed="false">
      <c r="A5344" s="62" t="n">
        <v>1</v>
      </c>
      <c r="B5344" s="21" t="s">
        <v>336</v>
      </c>
      <c r="C5344" s="62" t="s">
        <v>60</v>
      </c>
      <c r="D5344" s="62" t="s">
        <v>388</v>
      </c>
      <c r="E5344" s="62" t="s">
        <v>382</v>
      </c>
      <c r="F5344" s="62" t="s">
        <v>382</v>
      </c>
      <c r="G5344" s="63" t="s">
        <v>792</v>
      </c>
      <c r="H5344" s="64" t="n">
        <v>40480</v>
      </c>
      <c r="I5344" s="62" t="s">
        <v>81</v>
      </c>
      <c r="J5344" s="64" t="n">
        <v>40.48</v>
      </c>
      <c r="K5344" s="62" t="s">
        <v>138</v>
      </c>
      <c r="L5344" s="68" t="b">
        <f aca="false">FALSE()</f>
        <v>0</v>
      </c>
    </row>
    <row r="5345" customFormat="false" ht="15" hidden="false" customHeight="false" outlineLevel="0" collapsed="false">
      <c r="A5345" s="62" t="n">
        <v>1</v>
      </c>
      <c r="B5345" s="21" t="s">
        <v>336</v>
      </c>
      <c r="C5345" s="62" t="s">
        <v>60</v>
      </c>
      <c r="D5345" s="62" t="s">
        <v>381</v>
      </c>
      <c r="E5345" s="62" t="s">
        <v>382</v>
      </c>
      <c r="F5345" s="62" t="s">
        <v>382</v>
      </c>
      <c r="G5345" s="63" t="s">
        <v>525</v>
      </c>
      <c r="H5345" s="64" t="n">
        <v>35.7170260207535</v>
      </c>
      <c r="I5345" s="62" t="s">
        <v>81</v>
      </c>
      <c r="J5345" s="64" t="n">
        <v>0.0357170260207535</v>
      </c>
      <c r="K5345" s="62" t="s">
        <v>138</v>
      </c>
      <c r="L5345" s="68" t="b">
        <f aca="false">TRUE()</f>
        <v>1</v>
      </c>
    </row>
    <row r="5346" customFormat="false" ht="15" hidden="false" customHeight="false" outlineLevel="0" collapsed="false">
      <c r="A5346" s="62" t="n">
        <v>1</v>
      </c>
      <c r="B5346" s="21" t="s">
        <v>336</v>
      </c>
      <c r="C5346" s="62" t="s">
        <v>60</v>
      </c>
      <c r="D5346" s="62" t="s">
        <v>383</v>
      </c>
      <c r="E5346" s="62" t="s">
        <v>382</v>
      </c>
      <c r="F5346" s="62" t="s">
        <v>382</v>
      </c>
      <c r="G5346" s="63" t="s">
        <v>525</v>
      </c>
      <c r="H5346" s="64" t="n">
        <v>39.9003730762074</v>
      </c>
      <c r="I5346" s="62" t="s">
        <v>81</v>
      </c>
      <c r="J5346" s="64" t="n">
        <v>0.0399003730762074</v>
      </c>
      <c r="K5346" s="62" t="s">
        <v>138</v>
      </c>
      <c r="L5346" s="68" t="b">
        <f aca="false">TRUE()</f>
        <v>1</v>
      </c>
    </row>
    <row r="5347" customFormat="false" ht="15" hidden="false" customHeight="false" outlineLevel="0" collapsed="false">
      <c r="A5347" s="62" t="n">
        <v>1</v>
      </c>
      <c r="B5347" s="21" t="s">
        <v>336</v>
      </c>
      <c r="C5347" s="62" t="s">
        <v>60</v>
      </c>
      <c r="D5347" s="62" t="s">
        <v>384</v>
      </c>
      <c r="E5347" s="62" t="s">
        <v>382</v>
      </c>
      <c r="F5347" s="62" t="s">
        <v>382</v>
      </c>
      <c r="G5347" s="63" t="s">
        <v>525</v>
      </c>
      <c r="H5347" s="64" t="n">
        <v>43.8317969351406</v>
      </c>
      <c r="I5347" s="62" t="s">
        <v>81</v>
      </c>
      <c r="J5347" s="64" t="n">
        <v>0.0438317969351406</v>
      </c>
      <c r="K5347" s="62" t="s">
        <v>138</v>
      </c>
      <c r="L5347" s="68" t="b">
        <f aca="false">TRUE()</f>
        <v>1</v>
      </c>
    </row>
    <row r="5348" customFormat="false" ht="15" hidden="false" customHeight="false" outlineLevel="0" collapsed="false">
      <c r="A5348" s="62" t="n">
        <v>1</v>
      </c>
      <c r="B5348" s="21" t="s">
        <v>336</v>
      </c>
      <c r="C5348" s="62" t="s">
        <v>60</v>
      </c>
      <c r="D5348" s="62" t="s">
        <v>385</v>
      </c>
      <c r="E5348" s="62" t="s">
        <v>382</v>
      </c>
      <c r="F5348" s="62" t="s">
        <v>382</v>
      </c>
      <c r="G5348" s="63" t="s">
        <v>525</v>
      </c>
      <c r="H5348" s="64" t="n">
        <v>36.739472392336</v>
      </c>
      <c r="I5348" s="62" t="s">
        <v>81</v>
      </c>
      <c r="J5348" s="64" t="n">
        <v>0.036739472392336</v>
      </c>
      <c r="K5348" s="62" t="s">
        <v>138</v>
      </c>
      <c r="L5348" s="68" t="b">
        <f aca="false">TRUE()</f>
        <v>1</v>
      </c>
    </row>
    <row r="5349" customFormat="false" ht="15" hidden="false" customHeight="false" outlineLevel="0" collapsed="false">
      <c r="A5349" s="62" t="n">
        <v>1</v>
      </c>
      <c r="B5349" s="21" t="s">
        <v>336</v>
      </c>
      <c r="C5349" s="62" t="s">
        <v>60</v>
      </c>
      <c r="D5349" s="62" t="s">
        <v>386</v>
      </c>
      <c r="E5349" s="62" t="s">
        <v>382</v>
      </c>
      <c r="F5349" s="62" t="s">
        <v>382</v>
      </c>
      <c r="G5349" s="63" t="s">
        <v>525</v>
      </c>
      <c r="H5349" s="64" t="n">
        <v>15</v>
      </c>
      <c r="I5349" s="62" t="s">
        <v>81</v>
      </c>
      <c r="J5349" s="64" t="n">
        <v>0.015</v>
      </c>
      <c r="K5349" s="62" t="s">
        <v>138</v>
      </c>
      <c r="L5349" s="68" t="b">
        <f aca="false">TRUE()</f>
        <v>1</v>
      </c>
    </row>
    <row r="5350" customFormat="false" ht="15" hidden="false" customHeight="false" outlineLevel="0" collapsed="false">
      <c r="A5350" s="62" t="n">
        <v>1</v>
      </c>
      <c r="B5350" s="21" t="s">
        <v>336</v>
      </c>
      <c r="C5350" s="62" t="s">
        <v>60</v>
      </c>
      <c r="D5350" s="62" t="s">
        <v>387</v>
      </c>
      <c r="E5350" s="62" t="s">
        <v>382</v>
      </c>
      <c r="F5350" s="62" t="s">
        <v>382</v>
      </c>
      <c r="G5350" s="63" t="s">
        <v>525</v>
      </c>
      <c r="H5350" s="64" t="n">
        <v>43.5589515229676</v>
      </c>
      <c r="I5350" s="62" t="s">
        <v>81</v>
      </c>
      <c r="J5350" s="64" t="n">
        <v>0.0435589515229676</v>
      </c>
      <c r="K5350" s="62" t="s">
        <v>138</v>
      </c>
      <c r="L5350" s="68" t="b">
        <f aca="false">TRUE()</f>
        <v>1</v>
      </c>
    </row>
    <row r="5351" customFormat="false" ht="15" hidden="false" customHeight="false" outlineLevel="0" collapsed="false">
      <c r="A5351" s="62" t="n">
        <v>1</v>
      </c>
      <c r="B5351" s="21" t="s">
        <v>336</v>
      </c>
      <c r="C5351" s="62" t="s">
        <v>60</v>
      </c>
      <c r="D5351" s="62" t="s">
        <v>388</v>
      </c>
      <c r="E5351" s="62" t="s">
        <v>382</v>
      </c>
      <c r="F5351" s="62" t="s">
        <v>382</v>
      </c>
      <c r="G5351" s="63" t="s">
        <v>525</v>
      </c>
      <c r="H5351" s="64" t="n">
        <v>15</v>
      </c>
      <c r="I5351" s="62" t="s">
        <v>81</v>
      </c>
      <c r="J5351" s="64" t="n">
        <v>0.015</v>
      </c>
      <c r="K5351" s="62" t="s">
        <v>138</v>
      </c>
      <c r="L5351" s="68" t="b">
        <f aca="false">TRUE()</f>
        <v>1</v>
      </c>
    </row>
    <row r="5352" customFormat="false" ht="15" hidden="false" customHeight="false" outlineLevel="0" collapsed="false">
      <c r="A5352" s="62" t="n">
        <v>1</v>
      </c>
      <c r="B5352" s="21" t="s">
        <v>336</v>
      </c>
      <c r="C5352" s="62" t="s">
        <v>60</v>
      </c>
      <c r="D5352" s="62" t="s">
        <v>381</v>
      </c>
      <c r="E5352" s="62" t="s">
        <v>382</v>
      </c>
      <c r="F5352" s="62" t="s">
        <v>382</v>
      </c>
      <c r="G5352" s="63" t="s">
        <v>526</v>
      </c>
      <c r="H5352" s="64" t="n">
        <v>50570574.483578</v>
      </c>
      <c r="I5352" s="62" t="s">
        <v>81</v>
      </c>
      <c r="J5352" s="64" t="n">
        <v>50570.574483578</v>
      </c>
      <c r="K5352" s="62" t="s">
        <v>138</v>
      </c>
      <c r="L5352" s="68" t="b">
        <f aca="false">FALSE()</f>
        <v>0</v>
      </c>
    </row>
    <row r="5353" customFormat="false" ht="15" hidden="false" customHeight="false" outlineLevel="0" collapsed="false">
      <c r="A5353" s="62" t="n">
        <v>1</v>
      </c>
      <c r="B5353" s="21" t="s">
        <v>336</v>
      </c>
      <c r="C5353" s="62" t="s">
        <v>60</v>
      </c>
      <c r="D5353" s="62" t="s">
        <v>383</v>
      </c>
      <c r="E5353" s="62" t="s">
        <v>382</v>
      </c>
      <c r="F5353" s="62" t="s">
        <v>382</v>
      </c>
      <c r="G5353" s="63" t="s">
        <v>526</v>
      </c>
      <c r="H5353" s="64" t="n">
        <v>49908481.4439607</v>
      </c>
      <c r="I5353" s="62" t="s">
        <v>81</v>
      </c>
      <c r="J5353" s="64" t="n">
        <v>49908.4814439607</v>
      </c>
      <c r="K5353" s="62" t="s">
        <v>138</v>
      </c>
      <c r="L5353" s="68" t="b">
        <f aca="false">FALSE()</f>
        <v>0</v>
      </c>
    </row>
    <row r="5354" customFormat="false" ht="15" hidden="false" customHeight="false" outlineLevel="0" collapsed="false">
      <c r="A5354" s="62" t="n">
        <v>1</v>
      </c>
      <c r="B5354" s="21" t="s">
        <v>336</v>
      </c>
      <c r="C5354" s="62" t="s">
        <v>60</v>
      </c>
      <c r="D5354" s="62" t="s">
        <v>384</v>
      </c>
      <c r="E5354" s="62" t="s">
        <v>382</v>
      </c>
      <c r="F5354" s="62" t="s">
        <v>382</v>
      </c>
      <c r="G5354" s="63" t="s">
        <v>526</v>
      </c>
      <c r="H5354" s="64" t="n">
        <v>36412822.4513106</v>
      </c>
      <c r="I5354" s="62" t="s">
        <v>81</v>
      </c>
      <c r="J5354" s="64" t="n">
        <v>36412.8224513106</v>
      </c>
      <c r="K5354" s="62" t="s">
        <v>138</v>
      </c>
      <c r="L5354" s="68" t="b">
        <f aca="false">FALSE()</f>
        <v>0</v>
      </c>
    </row>
    <row r="5355" customFormat="false" ht="15" hidden="false" customHeight="false" outlineLevel="0" collapsed="false">
      <c r="A5355" s="62" t="n">
        <v>1</v>
      </c>
      <c r="B5355" s="21" t="s">
        <v>336</v>
      </c>
      <c r="C5355" s="62" t="s">
        <v>60</v>
      </c>
      <c r="D5355" s="62" t="s">
        <v>385</v>
      </c>
      <c r="E5355" s="62" t="s">
        <v>382</v>
      </c>
      <c r="F5355" s="62" t="s">
        <v>382</v>
      </c>
      <c r="G5355" s="63" t="s">
        <v>526</v>
      </c>
      <c r="H5355" s="64" t="n">
        <v>35414342.6436773</v>
      </c>
      <c r="I5355" s="62" t="s">
        <v>81</v>
      </c>
      <c r="J5355" s="64" t="n">
        <v>35414.3426436773</v>
      </c>
      <c r="K5355" s="62" t="s">
        <v>138</v>
      </c>
      <c r="L5355" s="68" t="b">
        <f aca="false">FALSE()</f>
        <v>0</v>
      </c>
    </row>
    <row r="5356" customFormat="false" ht="15" hidden="false" customHeight="false" outlineLevel="0" collapsed="false">
      <c r="A5356" s="62" t="n">
        <v>1</v>
      </c>
      <c r="B5356" s="21" t="s">
        <v>336</v>
      </c>
      <c r="C5356" s="62" t="s">
        <v>60</v>
      </c>
      <c r="D5356" s="62" t="s">
        <v>386</v>
      </c>
      <c r="E5356" s="62" t="s">
        <v>382</v>
      </c>
      <c r="F5356" s="62" t="s">
        <v>382</v>
      </c>
      <c r="G5356" s="63" t="s">
        <v>526</v>
      </c>
      <c r="H5356" s="64" t="n">
        <v>28412179.25</v>
      </c>
      <c r="I5356" s="62" t="s">
        <v>81</v>
      </c>
      <c r="J5356" s="64" t="n">
        <v>28412.17925</v>
      </c>
      <c r="K5356" s="62" t="s">
        <v>138</v>
      </c>
      <c r="L5356" s="68" t="b">
        <f aca="false">FALSE()</f>
        <v>0</v>
      </c>
    </row>
    <row r="5357" customFormat="false" ht="15" hidden="false" customHeight="false" outlineLevel="0" collapsed="false">
      <c r="A5357" s="62" t="n">
        <v>1</v>
      </c>
      <c r="B5357" s="21" t="s">
        <v>336</v>
      </c>
      <c r="C5357" s="62" t="s">
        <v>60</v>
      </c>
      <c r="D5357" s="62" t="s">
        <v>387</v>
      </c>
      <c r="E5357" s="62" t="s">
        <v>382</v>
      </c>
      <c r="F5357" s="62" t="s">
        <v>382</v>
      </c>
      <c r="G5357" s="63" t="s">
        <v>526</v>
      </c>
      <c r="H5357" s="64" t="n">
        <v>37690195.3389429</v>
      </c>
      <c r="I5357" s="62" t="s">
        <v>81</v>
      </c>
      <c r="J5357" s="64" t="n">
        <v>37690.1953389429</v>
      </c>
      <c r="K5357" s="62" t="s">
        <v>138</v>
      </c>
      <c r="L5357" s="68" t="b">
        <f aca="false">FALSE()</f>
        <v>0</v>
      </c>
    </row>
    <row r="5358" customFormat="false" ht="15" hidden="false" customHeight="false" outlineLevel="0" collapsed="false">
      <c r="A5358" s="62" t="n">
        <v>1</v>
      </c>
      <c r="B5358" s="21" t="s">
        <v>336</v>
      </c>
      <c r="C5358" s="62" t="s">
        <v>60</v>
      </c>
      <c r="D5358" s="62" t="s">
        <v>388</v>
      </c>
      <c r="E5358" s="62" t="s">
        <v>382</v>
      </c>
      <c r="F5358" s="62" t="s">
        <v>382</v>
      </c>
      <c r="G5358" s="63" t="s">
        <v>526</v>
      </c>
      <c r="H5358" s="64" t="n">
        <v>32676056</v>
      </c>
      <c r="I5358" s="62" t="s">
        <v>81</v>
      </c>
      <c r="J5358" s="64" t="n">
        <v>32676.056</v>
      </c>
      <c r="K5358" s="62" t="s">
        <v>138</v>
      </c>
      <c r="L5358" s="68" t="b">
        <f aca="false">FALSE()</f>
        <v>0</v>
      </c>
    </row>
    <row r="5359" customFormat="false" ht="15" hidden="false" customHeight="false" outlineLevel="0" collapsed="false">
      <c r="A5359" s="62" t="n">
        <v>1</v>
      </c>
      <c r="B5359" s="21" t="s">
        <v>336</v>
      </c>
      <c r="C5359" s="62" t="s">
        <v>60</v>
      </c>
      <c r="D5359" s="62" t="s">
        <v>381</v>
      </c>
      <c r="E5359" s="62" t="s">
        <v>382</v>
      </c>
      <c r="F5359" s="62" t="s">
        <v>382</v>
      </c>
      <c r="G5359" s="63" t="s">
        <v>527</v>
      </c>
      <c r="H5359" s="64" t="n">
        <v>58000</v>
      </c>
      <c r="I5359" s="62" t="s">
        <v>81</v>
      </c>
      <c r="J5359" s="64" t="n">
        <v>58</v>
      </c>
      <c r="K5359" s="62" t="s">
        <v>138</v>
      </c>
      <c r="L5359" s="68" t="b">
        <f aca="false">FALSE()</f>
        <v>0</v>
      </c>
    </row>
    <row r="5360" customFormat="false" ht="15" hidden="false" customHeight="false" outlineLevel="0" collapsed="false">
      <c r="A5360" s="62" t="n">
        <v>1</v>
      </c>
      <c r="B5360" s="21" t="s">
        <v>336</v>
      </c>
      <c r="C5360" s="62" t="s">
        <v>60</v>
      </c>
      <c r="D5360" s="62" t="s">
        <v>383</v>
      </c>
      <c r="E5360" s="62" t="s">
        <v>382</v>
      </c>
      <c r="F5360" s="62" t="s">
        <v>382</v>
      </c>
      <c r="G5360" s="63" t="s">
        <v>527</v>
      </c>
      <c r="H5360" s="64" t="n">
        <v>58000</v>
      </c>
      <c r="I5360" s="62" t="s">
        <v>81</v>
      </c>
      <c r="J5360" s="64" t="n">
        <v>58</v>
      </c>
      <c r="K5360" s="62" t="s">
        <v>138</v>
      </c>
      <c r="L5360" s="68" t="b">
        <f aca="false">FALSE()</f>
        <v>0</v>
      </c>
    </row>
    <row r="5361" customFormat="false" ht="15" hidden="false" customHeight="false" outlineLevel="0" collapsed="false">
      <c r="A5361" s="62" t="n">
        <v>1</v>
      </c>
      <c r="B5361" s="21" t="s">
        <v>336</v>
      </c>
      <c r="C5361" s="62" t="s">
        <v>60</v>
      </c>
      <c r="D5361" s="62" t="s">
        <v>384</v>
      </c>
      <c r="E5361" s="62" t="s">
        <v>382</v>
      </c>
      <c r="F5361" s="62" t="s">
        <v>382</v>
      </c>
      <c r="G5361" s="63" t="s">
        <v>527</v>
      </c>
      <c r="H5361" s="64" t="n">
        <v>58000</v>
      </c>
      <c r="I5361" s="62" t="s">
        <v>81</v>
      </c>
      <c r="J5361" s="64" t="n">
        <v>58</v>
      </c>
      <c r="K5361" s="62" t="s">
        <v>138</v>
      </c>
      <c r="L5361" s="68" t="b">
        <f aca="false">FALSE()</f>
        <v>0</v>
      </c>
    </row>
    <row r="5362" customFormat="false" ht="15" hidden="false" customHeight="false" outlineLevel="0" collapsed="false">
      <c r="A5362" s="62" t="n">
        <v>1</v>
      </c>
      <c r="B5362" s="21" t="s">
        <v>336</v>
      </c>
      <c r="C5362" s="62" t="s">
        <v>60</v>
      </c>
      <c r="D5362" s="62" t="s">
        <v>385</v>
      </c>
      <c r="E5362" s="62" t="s">
        <v>382</v>
      </c>
      <c r="F5362" s="62" t="s">
        <v>382</v>
      </c>
      <c r="G5362" s="63" t="s">
        <v>527</v>
      </c>
      <c r="H5362" s="64" t="n">
        <v>58000</v>
      </c>
      <c r="I5362" s="62" t="s">
        <v>81</v>
      </c>
      <c r="J5362" s="64" t="n">
        <v>58</v>
      </c>
      <c r="K5362" s="62" t="s">
        <v>138</v>
      </c>
      <c r="L5362" s="68" t="b">
        <f aca="false">FALSE()</f>
        <v>0</v>
      </c>
    </row>
    <row r="5363" customFormat="false" ht="15" hidden="false" customHeight="false" outlineLevel="0" collapsed="false">
      <c r="A5363" s="62" t="n">
        <v>1</v>
      </c>
      <c r="B5363" s="21" t="s">
        <v>336</v>
      </c>
      <c r="C5363" s="62" t="s">
        <v>60</v>
      </c>
      <c r="D5363" s="62" t="s">
        <v>386</v>
      </c>
      <c r="E5363" s="62" t="s">
        <v>382</v>
      </c>
      <c r="F5363" s="62" t="s">
        <v>382</v>
      </c>
      <c r="G5363" s="63" t="s">
        <v>527</v>
      </c>
      <c r="H5363" s="64" t="n">
        <v>52780</v>
      </c>
      <c r="I5363" s="62" t="s">
        <v>81</v>
      </c>
      <c r="J5363" s="64" t="n">
        <v>52.78</v>
      </c>
      <c r="K5363" s="62" t="s">
        <v>138</v>
      </c>
      <c r="L5363" s="68" t="b">
        <f aca="false">FALSE()</f>
        <v>0</v>
      </c>
    </row>
    <row r="5364" customFormat="false" ht="15" hidden="false" customHeight="false" outlineLevel="0" collapsed="false">
      <c r="A5364" s="62" t="n">
        <v>1</v>
      </c>
      <c r="B5364" s="21" t="s">
        <v>336</v>
      </c>
      <c r="C5364" s="62" t="s">
        <v>60</v>
      </c>
      <c r="D5364" s="62" t="s">
        <v>387</v>
      </c>
      <c r="E5364" s="62" t="s">
        <v>382</v>
      </c>
      <c r="F5364" s="62" t="s">
        <v>382</v>
      </c>
      <c r="G5364" s="63" t="s">
        <v>527</v>
      </c>
      <c r="H5364" s="64" t="n">
        <v>58000</v>
      </c>
      <c r="I5364" s="62" t="s">
        <v>81</v>
      </c>
      <c r="J5364" s="64" t="n">
        <v>58</v>
      </c>
      <c r="K5364" s="62" t="s">
        <v>138</v>
      </c>
      <c r="L5364" s="68" t="b">
        <f aca="false">FALSE()</f>
        <v>0</v>
      </c>
    </row>
    <row r="5365" customFormat="false" ht="15" hidden="false" customHeight="false" outlineLevel="0" collapsed="false">
      <c r="A5365" s="62" t="n">
        <v>1</v>
      </c>
      <c r="B5365" s="21" t="s">
        <v>336</v>
      </c>
      <c r="C5365" s="62" t="s">
        <v>60</v>
      </c>
      <c r="D5365" s="62" t="s">
        <v>388</v>
      </c>
      <c r="E5365" s="62" t="s">
        <v>382</v>
      </c>
      <c r="F5365" s="62" t="s">
        <v>382</v>
      </c>
      <c r="G5365" s="63" t="s">
        <v>527</v>
      </c>
      <c r="H5365" s="64" t="n">
        <v>58000</v>
      </c>
      <c r="I5365" s="62" t="s">
        <v>81</v>
      </c>
      <c r="J5365" s="64" t="n">
        <v>58</v>
      </c>
      <c r="K5365" s="62" t="s">
        <v>138</v>
      </c>
      <c r="L5365" s="68" t="b">
        <f aca="false">FALSE()</f>
        <v>0</v>
      </c>
    </row>
    <row r="5366" customFormat="false" ht="15" hidden="false" customHeight="false" outlineLevel="0" collapsed="false">
      <c r="A5366" s="62" t="n">
        <v>1</v>
      </c>
      <c r="B5366" s="21" t="s">
        <v>336</v>
      </c>
      <c r="C5366" s="62" t="s">
        <v>60</v>
      </c>
      <c r="D5366" s="62" t="s">
        <v>381</v>
      </c>
      <c r="E5366" s="62" t="s">
        <v>382</v>
      </c>
      <c r="F5366" s="62" t="s">
        <v>382</v>
      </c>
      <c r="G5366" s="63" t="s">
        <v>793</v>
      </c>
      <c r="H5366" s="64" t="n">
        <v>94000</v>
      </c>
      <c r="I5366" s="62" t="s">
        <v>81</v>
      </c>
      <c r="J5366" s="64" t="n">
        <v>94</v>
      </c>
      <c r="K5366" s="62" t="s">
        <v>138</v>
      </c>
      <c r="L5366" s="68" t="b">
        <f aca="false">FALSE()</f>
        <v>0</v>
      </c>
    </row>
    <row r="5367" customFormat="false" ht="15" hidden="false" customHeight="false" outlineLevel="0" collapsed="false">
      <c r="A5367" s="62" t="n">
        <v>1</v>
      </c>
      <c r="B5367" s="21" t="s">
        <v>336</v>
      </c>
      <c r="C5367" s="62" t="s">
        <v>60</v>
      </c>
      <c r="D5367" s="62" t="s">
        <v>383</v>
      </c>
      <c r="E5367" s="62" t="s">
        <v>382</v>
      </c>
      <c r="F5367" s="62" t="s">
        <v>382</v>
      </c>
      <c r="G5367" s="63" t="s">
        <v>793</v>
      </c>
      <c r="H5367" s="64" t="n">
        <v>94000</v>
      </c>
      <c r="I5367" s="62" t="s">
        <v>81</v>
      </c>
      <c r="J5367" s="64" t="n">
        <v>94</v>
      </c>
      <c r="K5367" s="62" t="s">
        <v>138</v>
      </c>
      <c r="L5367" s="68" t="b">
        <f aca="false">FALSE()</f>
        <v>0</v>
      </c>
    </row>
    <row r="5368" customFormat="false" ht="15" hidden="false" customHeight="false" outlineLevel="0" collapsed="false">
      <c r="A5368" s="62" t="n">
        <v>1</v>
      </c>
      <c r="B5368" s="21" t="s">
        <v>336</v>
      </c>
      <c r="C5368" s="62" t="s">
        <v>60</v>
      </c>
      <c r="D5368" s="62" t="s">
        <v>384</v>
      </c>
      <c r="E5368" s="62" t="s">
        <v>382</v>
      </c>
      <c r="F5368" s="62" t="s">
        <v>382</v>
      </c>
      <c r="G5368" s="63" t="s">
        <v>793</v>
      </c>
      <c r="H5368" s="64" t="n">
        <v>94000</v>
      </c>
      <c r="I5368" s="62" t="s">
        <v>81</v>
      </c>
      <c r="J5368" s="64" t="n">
        <v>94</v>
      </c>
      <c r="K5368" s="62" t="s">
        <v>138</v>
      </c>
      <c r="L5368" s="68" t="b">
        <f aca="false">FALSE()</f>
        <v>0</v>
      </c>
    </row>
    <row r="5369" customFormat="false" ht="15" hidden="false" customHeight="false" outlineLevel="0" collapsed="false">
      <c r="A5369" s="62" t="n">
        <v>1</v>
      </c>
      <c r="B5369" s="21" t="s">
        <v>336</v>
      </c>
      <c r="C5369" s="62" t="s">
        <v>60</v>
      </c>
      <c r="D5369" s="62" t="s">
        <v>385</v>
      </c>
      <c r="E5369" s="62" t="s">
        <v>382</v>
      </c>
      <c r="F5369" s="62" t="s">
        <v>382</v>
      </c>
      <c r="G5369" s="63" t="s">
        <v>793</v>
      </c>
      <c r="H5369" s="64" t="n">
        <v>94000</v>
      </c>
      <c r="I5369" s="62" t="s">
        <v>81</v>
      </c>
      <c r="J5369" s="64" t="n">
        <v>94</v>
      </c>
      <c r="K5369" s="62" t="s">
        <v>138</v>
      </c>
      <c r="L5369" s="68" t="b">
        <f aca="false">FALSE()</f>
        <v>0</v>
      </c>
    </row>
    <row r="5370" customFormat="false" ht="15" hidden="false" customHeight="false" outlineLevel="0" collapsed="false">
      <c r="A5370" s="62" t="n">
        <v>1</v>
      </c>
      <c r="B5370" s="21" t="s">
        <v>336</v>
      </c>
      <c r="C5370" s="62" t="s">
        <v>60</v>
      </c>
      <c r="D5370" s="62" t="s">
        <v>386</v>
      </c>
      <c r="E5370" s="62" t="s">
        <v>382</v>
      </c>
      <c r="F5370" s="62" t="s">
        <v>382</v>
      </c>
      <c r="G5370" s="63" t="s">
        <v>793</v>
      </c>
      <c r="H5370" s="64" t="n">
        <v>85540</v>
      </c>
      <c r="I5370" s="62" t="s">
        <v>81</v>
      </c>
      <c r="J5370" s="64" t="n">
        <v>85.54</v>
      </c>
      <c r="K5370" s="62" t="s">
        <v>138</v>
      </c>
      <c r="L5370" s="68" t="b">
        <f aca="false">FALSE()</f>
        <v>0</v>
      </c>
    </row>
    <row r="5371" customFormat="false" ht="15" hidden="false" customHeight="false" outlineLevel="0" collapsed="false">
      <c r="A5371" s="62" t="n">
        <v>1</v>
      </c>
      <c r="B5371" s="21" t="s">
        <v>336</v>
      </c>
      <c r="C5371" s="62" t="s">
        <v>60</v>
      </c>
      <c r="D5371" s="62" t="s">
        <v>387</v>
      </c>
      <c r="E5371" s="62" t="s">
        <v>382</v>
      </c>
      <c r="F5371" s="62" t="s">
        <v>382</v>
      </c>
      <c r="G5371" s="63" t="s">
        <v>793</v>
      </c>
      <c r="H5371" s="64" t="n">
        <v>94000</v>
      </c>
      <c r="I5371" s="62" t="s">
        <v>81</v>
      </c>
      <c r="J5371" s="64" t="n">
        <v>94</v>
      </c>
      <c r="K5371" s="62" t="s">
        <v>138</v>
      </c>
      <c r="L5371" s="68" t="b">
        <f aca="false">FALSE()</f>
        <v>0</v>
      </c>
    </row>
    <row r="5372" customFormat="false" ht="15" hidden="false" customHeight="false" outlineLevel="0" collapsed="false">
      <c r="A5372" s="62" t="n">
        <v>1</v>
      </c>
      <c r="B5372" s="21" t="s">
        <v>336</v>
      </c>
      <c r="C5372" s="62" t="s">
        <v>60</v>
      </c>
      <c r="D5372" s="62" t="s">
        <v>388</v>
      </c>
      <c r="E5372" s="62" t="s">
        <v>382</v>
      </c>
      <c r="F5372" s="62" t="s">
        <v>382</v>
      </c>
      <c r="G5372" s="63" t="s">
        <v>793</v>
      </c>
      <c r="H5372" s="64" t="n">
        <v>94000</v>
      </c>
      <c r="I5372" s="62" t="s">
        <v>81</v>
      </c>
      <c r="J5372" s="64" t="n">
        <v>94</v>
      </c>
      <c r="K5372" s="62" t="s">
        <v>138</v>
      </c>
      <c r="L5372" s="68" t="b">
        <f aca="false">FALSE()</f>
        <v>0</v>
      </c>
    </row>
    <row r="5373" customFormat="false" ht="15" hidden="false" customHeight="false" outlineLevel="0" collapsed="false">
      <c r="A5373" s="62" t="n">
        <v>1</v>
      </c>
      <c r="B5373" s="21" t="s">
        <v>336</v>
      </c>
      <c r="C5373" s="62" t="s">
        <v>60</v>
      </c>
      <c r="D5373" s="62" t="s">
        <v>381</v>
      </c>
      <c r="E5373" s="62" t="s">
        <v>382</v>
      </c>
      <c r="F5373" s="62" t="s">
        <v>382</v>
      </c>
      <c r="G5373" s="63" t="s">
        <v>528</v>
      </c>
      <c r="H5373" s="64" t="n">
        <v>96282188.3565485</v>
      </c>
      <c r="I5373" s="62" t="s">
        <v>81</v>
      </c>
      <c r="J5373" s="64" t="n">
        <v>96282.1883565485</v>
      </c>
      <c r="K5373" s="62" t="s">
        <v>138</v>
      </c>
      <c r="L5373" s="68" t="b">
        <f aca="false">FALSE()</f>
        <v>0</v>
      </c>
    </row>
    <row r="5374" customFormat="false" ht="15" hidden="false" customHeight="false" outlineLevel="0" collapsed="false">
      <c r="A5374" s="62" t="n">
        <v>1</v>
      </c>
      <c r="B5374" s="21" t="s">
        <v>336</v>
      </c>
      <c r="C5374" s="62" t="s">
        <v>60</v>
      </c>
      <c r="D5374" s="62" t="s">
        <v>383</v>
      </c>
      <c r="E5374" s="62" t="s">
        <v>382</v>
      </c>
      <c r="F5374" s="62" t="s">
        <v>382</v>
      </c>
      <c r="G5374" s="63" t="s">
        <v>528</v>
      </c>
      <c r="H5374" s="64" t="n">
        <v>76731200</v>
      </c>
      <c r="I5374" s="62" t="s">
        <v>81</v>
      </c>
      <c r="J5374" s="64" t="n">
        <v>76731.2</v>
      </c>
      <c r="K5374" s="62" t="s">
        <v>138</v>
      </c>
      <c r="L5374" s="68" t="b">
        <f aca="false">FALSE()</f>
        <v>0</v>
      </c>
    </row>
    <row r="5375" customFormat="false" ht="15" hidden="false" customHeight="false" outlineLevel="0" collapsed="false">
      <c r="A5375" s="62" t="n">
        <v>1</v>
      </c>
      <c r="B5375" s="21" t="s">
        <v>336</v>
      </c>
      <c r="C5375" s="62" t="s">
        <v>60</v>
      </c>
      <c r="D5375" s="62" t="s">
        <v>384</v>
      </c>
      <c r="E5375" s="62" t="s">
        <v>382</v>
      </c>
      <c r="F5375" s="62" t="s">
        <v>382</v>
      </c>
      <c r="G5375" s="63" t="s">
        <v>528</v>
      </c>
      <c r="H5375" s="64" t="n">
        <v>58464000</v>
      </c>
      <c r="I5375" s="62" t="s">
        <v>81</v>
      </c>
      <c r="J5375" s="64" t="n">
        <v>58464</v>
      </c>
      <c r="K5375" s="62" t="s">
        <v>138</v>
      </c>
      <c r="L5375" s="68" t="b">
        <f aca="false">FALSE()</f>
        <v>0</v>
      </c>
    </row>
    <row r="5376" customFormat="false" ht="15" hidden="false" customHeight="false" outlineLevel="0" collapsed="false">
      <c r="A5376" s="62" t="n">
        <v>1</v>
      </c>
      <c r="B5376" s="21" t="s">
        <v>336</v>
      </c>
      <c r="C5376" s="62" t="s">
        <v>60</v>
      </c>
      <c r="D5376" s="62" t="s">
        <v>385</v>
      </c>
      <c r="E5376" s="62" t="s">
        <v>382</v>
      </c>
      <c r="F5376" s="62" t="s">
        <v>382</v>
      </c>
      <c r="G5376" s="63" t="s">
        <v>528</v>
      </c>
      <c r="H5376" s="64" t="n">
        <v>50053486.2111826</v>
      </c>
      <c r="I5376" s="62" t="s">
        <v>81</v>
      </c>
      <c r="J5376" s="64" t="n">
        <v>50053.4862111826</v>
      </c>
      <c r="K5376" s="62" t="s">
        <v>138</v>
      </c>
      <c r="L5376" s="68" t="b">
        <f aca="false">FALSE()</f>
        <v>0</v>
      </c>
    </row>
    <row r="5377" customFormat="false" ht="15" hidden="false" customHeight="false" outlineLevel="0" collapsed="false">
      <c r="A5377" s="62" t="n">
        <v>1</v>
      </c>
      <c r="B5377" s="21" t="s">
        <v>336</v>
      </c>
      <c r="C5377" s="62" t="s">
        <v>60</v>
      </c>
      <c r="D5377" s="62" t="s">
        <v>386</v>
      </c>
      <c r="E5377" s="62" t="s">
        <v>382</v>
      </c>
      <c r="F5377" s="62" t="s">
        <v>382</v>
      </c>
      <c r="G5377" s="63" t="s">
        <v>528</v>
      </c>
      <c r="H5377" s="64" t="n">
        <v>41545777</v>
      </c>
      <c r="I5377" s="62" t="s">
        <v>81</v>
      </c>
      <c r="J5377" s="64" t="n">
        <v>41545.777</v>
      </c>
      <c r="K5377" s="62" t="s">
        <v>138</v>
      </c>
      <c r="L5377" s="68" t="b">
        <f aca="false">FALSE()</f>
        <v>0</v>
      </c>
    </row>
    <row r="5378" customFormat="false" ht="15" hidden="false" customHeight="false" outlineLevel="0" collapsed="false">
      <c r="A5378" s="62" t="n">
        <v>1</v>
      </c>
      <c r="B5378" s="21" t="s">
        <v>336</v>
      </c>
      <c r="C5378" s="62" t="s">
        <v>60</v>
      </c>
      <c r="D5378" s="62" t="s">
        <v>387</v>
      </c>
      <c r="E5378" s="62" t="s">
        <v>382</v>
      </c>
      <c r="F5378" s="62" t="s">
        <v>382</v>
      </c>
      <c r="G5378" s="63" t="s">
        <v>528</v>
      </c>
      <c r="H5378" s="64" t="n">
        <v>68837664</v>
      </c>
      <c r="I5378" s="62" t="s">
        <v>81</v>
      </c>
      <c r="J5378" s="64" t="n">
        <v>68837.664</v>
      </c>
      <c r="K5378" s="62" t="s">
        <v>138</v>
      </c>
      <c r="L5378" s="68" t="b">
        <f aca="false">FALSE()</f>
        <v>0</v>
      </c>
    </row>
    <row r="5379" customFormat="false" ht="15" hidden="false" customHeight="false" outlineLevel="0" collapsed="false">
      <c r="A5379" s="62" t="n">
        <v>1</v>
      </c>
      <c r="B5379" s="21" t="s">
        <v>336</v>
      </c>
      <c r="C5379" s="62" t="s">
        <v>60</v>
      </c>
      <c r="D5379" s="62" t="s">
        <v>388</v>
      </c>
      <c r="E5379" s="62" t="s">
        <v>382</v>
      </c>
      <c r="F5379" s="62" t="s">
        <v>382</v>
      </c>
      <c r="G5379" s="63" t="s">
        <v>528</v>
      </c>
      <c r="H5379" s="64" t="n">
        <v>57366400</v>
      </c>
      <c r="I5379" s="62" t="s">
        <v>81</v>
      </c>
      <c r="J5379" s="64" t="n">
        <v>57366.4</v>
      </c>
      <c r="K5379" s="62" t="s">
        <v>138</v>
      </c>
      <c r="L5379" s="68" t="b">
        <f aca="false">FALSE()</f>
        <v>0</v>
      </c>
    </row>
    <row r="5380" customFormat="false" ht="15" hidden="false" customHeight="false" outlineLevel="0" collapsed="false">
      <c r="A5380" s="62" t="n">
        <v>1</v>
      </c>
      <c r="B5380" s="21" t="s">
        <v>336</v>
      </c>
      <c r="C5380" s="62" t="s">
        <v>60</v>
      </c>
      <c r="D5380" s="62" t="s">
        <v>381</v>
      </c>
      <c r="E5380" s="62" t="s">
        <v>382</v>
      </c>
      <c r="F5380" s="62" t="s">
        <v>382</v>
      </c>
      <c r="G5380" s="63" t="s">
        <v>529</v>
      </c>
      <c r="H5380" s="64" t="n">
        <v>7500</v>
      </c>
      <c r="I5380" s="62" t="s">
        <v>81</v>
      </c>
      <c r="J5380" s="64" t="n">
        <v>7.5</v>
      </c>
      <c r="K5380" s="62" t="s">
        <v>138</v>
      </c>
      <c r="L5380" s="68" t="b">
        <f aca="false">FALSE()</f>
        <v>0</v>
      </c>
    </row>
    <row r="5381" customFormat="false" ht="15" hidden="false" customHeight="false" outlineLevel="0" collapsed="false">
      <c r="A5381" s="62" t="n">
        <v>1</v>
      </c>
      <c r="B5381" s="21" t="s">
        <v>336</v>
      </c>
      <c r="C5381" s="62" t="s">
        <v>60</v>
      </c>
      <c r="D5381" s="62" t="s">
        <v>383</v>
      </c>
      <c r="E5381" s="62" t="s">
        <v>382</v>
      </c>
      <c r="F5381" s="62" t="s">
        <v>382</v>
      </c>
      <c r="G5381" s="63" t="s">
        <v>529</v>
      </c>
      <c r="H5381" s="64" t="n">
        <v>6750</v>
      </c>
      <c r="I5381" s="62" t="s">
        <v>81</v>
      </c>
      <c r="J5381" s="64" t="n">
        <v>6.75</v>
      </c>
      <c r="K5381" s="62" t="s">
        <v>138</v>
      </c>
      <c r="L5381" s="68" t="b">
        <f aca="false">FALSE()</f>
        <v>0</v>
      </c>
    </row>
    <row r="5382" customFormat="false" ht="15" hidden="false" customHeight="false" outlineLevel="0" collapsed="false">
      <c r="A5382" s="62" t="n">
        <v>1</v>
      </c>
      <c r="B5382" s="21" t="s">
        <v>336</v>
      </c>
      <c r="C5382" s="62" t="s">
        <v>60</v>
      </c>
      <c r="D5382" s="62" t="s">
        <v>384</v>
      </c>
      <c r="E5382" s="62" t="s">
        <v>382</v>
      </c>
      <c r="F5382" s="62" t="s">
        <v>382</v>
      </c>
      <c r="G5382" s="63" t="s">
        <v>529</v>
      </c>
      <c r="H5382" s="64" t="n">
        <v>7500</v>
      </c>
      <c r="I5382" s="62" t="s">
        <v>81</v>
      </c>
      <c r="J5382" s="64" t="n">
        <v>7.5</v>
      </c>
      <c r="K5382" s="62" t="s">
        <v>138</v>
      </c>
      <c r="L5382" s="68" t="b">
        <f aca="false">FALSE()</f>
        <v>0</v>
      </c>
    </row>
    <row r="5383" customFormat="false" ht="15" hidden="false" customHeight="false" outlineLevel="0" collapsed="false">
      <c r="A5383" s="62" t="n">
        <v>1</v>
      </c>
      <c r="B5383" s="21" t="s">
        <v>336</v>
      </c>
      <c r="C5383" s="62" t="s">
        <v>60</v>
      </c>
      <c r="D5383" s="62" t="s">
        <v>385</v>
      </c>
      <c r="E5383" s="62" t="s">
        <v>382</v>
      </c>
      <c r="F5383" s="62" t="s">
        <v>382</v>
      </c>
      <c r="G5383" s="63" t="s">
        <v>529</v>
      </c>
      <c r="H5383" s="64" t="n">
        <v>6750</v>
      </c>
      <c r="I5383" s="62" t="s">
        <v>81</v>
      </c>
      <c r="J5383" s="64" t="n">
        <v>6.75</v>
      </c>
      <c r="K5383" s="62" t="s">
        <v>138</v>
      </c>
      <c r="L5383" s="68" t="b">
        <f aca="false">FALSE()</f>
        <v>0</v>
      </c>
    </row>
    <row r="5384" customFormat="false" ht="15" hidden="false" customHeight="false" outlineLevel="0" collapsed="false">
      <c r="A5384" s="62" t="n">
        <v>1</v>
      </c>
      <c r="B5384" s="21" t="s">
        <v>336</v>
      </c>
      <c r="C5384" s="62" t="s">
        <v>60</v>
      </c>
      <c r="D5384" s="62" t="s">
        <v>386</v>
      </c>
      <c r="E5384" s="62" t="s">
        <v>382</v>
      </c>
      <c r="F5384" s="62" t="s">
        <v>382</v>
      </c>
      <c r="G5384" s="63" t="s">
        <v>529</v>
      </c>
      <c r="H5384" s="64" t="n">
        <v>6750</v>
      </c>
      <c r="I5384" s="62" t="s">
        <v>81</v>
      </c>
      <c r="J5384" s="64" t="n">
        <v>6.75</v>
      </c>
      <c r="K5384" s="62" t="s">
        <v>138</v>
      </c>
      <c r="L5384" s="68" t="b">
        <f aca="false">FALSE()</f>
        <v>0</v>
      </c>
    </row>
    <row r="5385" customFormat="false" ht="15" hidden="false" customHeight="false" outlineLevel="0" collapsed="false">
      <c r="A5385" s="62" t="n">
        <v>1</v>
      </c>
      <c r="B5385" s="21" t="s">
        <v>336</v>
      </c>
      <c r="C5385" s="62" t="s">
        <v>60</v>
      </c>
      <c r="D5385" s="62" t="s">
        <v>387</v>
      </c>
      <c r="E5385" s="62" t="s">
        <v>382</v>
      </c>
      <c r="F5385" s="62" t="s">
        <v>382</v>
      </c>
      <c r="G5385" s="63" t="s">
        <v>529</v>
      </c>
      <c r="H5385" s="64" t="n">
        <v>7500</v>
      </c>
      <c r="I5385" s="62" t="s">
        <v>81</v>
      </c>
      <c r="J5385" s="64" t="n">
        <v>7.5</v>
      </c>
      <c r="K5385" s="62" t="s">
        <v>138</v>
      </c>
      <c r="L5385" s="68" t="b">
        <f aca="false">FALSE()</f>
        <v>0</v>
      </c>
    </row>
    <row r="5386" customFormat="false" ht="15" hidden="false" customHeight="false" outlineLevel="0" collapsed="false">
      <c r="A5386" s="62" t="n">
        <v>1</v>
      </c>
      <c r="B5386" s="21" t="s">
        <v>336</v>
      </c>
      <c r="C5386" s="62" t="s">
        <v>60</v>
      </c>
      <c r="D5386" s="62" t="s">
        <v>388</v>
      </c>
      <c r="E5386" s="62" t="s">
        <v>382</v>
      </c>
      <c r="F5386" s="62" t="s">
        <v>382</v>
      </c>
      <c r="G5386" s="63" t="s">
        <v>529</v>
      </c>
      <c r="H5386" s="64" t="n">
        <v>6750</v>
      </c>
      <c r="I5386" s="62" t="s">
        <v>81</v>
      </c>
      <c r="J5386" s="64" t="n">
        <v>6.75</v>
      </c>
      <c r="K5386" s="62" t="s">
        <v>138</v>
      </c>
      <c r="L5386" s="68" t="b">
        <f aca="false">FALSE()</f>
        <v>0</v>
      </c>
    </row>
    <row r="5387" customFormat="false" ht="15" hidden="false" customHeight="false" outlineLevel="0" collapsed="false">
      <c r="A5387" s="62" t="n">
        <v>1</v>
      </c>
      <c r="B5387" s="21" t="s">
        <v>336</v>
      </c>
      <c r="C5387" s="62" t="s">
        <v>60</v>
      </c>
      <c r="D5387" s="62" t="s">
        <v>381</v>
      </c>
      <c r="E5387" s="62" t="s">
        <v>382</v>
      </c>
      <c r="F5387" s="62" t="s">
        <v>382</v>
      </c>
      <c r="G5387" s="63" t="s">
        <v>794</v>
      </c>
      <c r="H5387" s="64" t="n">
        <v>9800</v>
      </c>
      <c r="I5387" s="62" t="s">
        <v>81</v>
      </c>
      <c r="J5387" s="64" t="n">
        <v>9.8</v>
      </c>
      <c r="K5387" s="62" t="s">
        <v>138</v>
      </c>
      <c r="L5387" s="68" t="b">
        <f aca="false">FALSE()</f>
        <v>0</v>
      </c>
    </row>
    <row r="5388" customFormat="false" ht="15" hidden="false" customHeight="false" outlineLevel="0" collapsed="false">
      <c r="A5388" s="62" t="n">
        <v>1</v>
      </c>
      <c r="B5388" s="21" t="s">
        <v>336</v>
      </c>
      <c r="C5388" s="62" t="s">
        <v>60</v>
      </c>
      <c r="D5388" s="62" t="s">
        <v>383</v>
      </c>
      <c r="E5388" s="62" t="s">
        <v>382</v>
      </c>
      <c r="F5388" s="62" t="s">
        <v>382</v>
      </c>
      <c r="G5388" s="63" t="s">
        <v>794</v>
      </c>
      <c r="H5388" s="64" t="n">
        <v>8820</v>
      </c>
      <c r="I5388" s="62" t="s">
        <v>81</v>
      </c>
      <c r="J5388" s="64" t="n">
        <v>8.82</v>
      </c>
      <c r="K5388" s="62" t="s">
        <v>138</v>
      </c>
      <c r="L5388" s="68" t="b">
        <f aca="false">FALSE()</f>
        <v>0</v>
      </c>
    </row>
    <row r="5389" customFormat="false" ht="15" hidden="false" customHeight="false" outlineLevel="0" collapsed="false">
      <c r="A5389" s="62" t="n">
        <v>1</v>
      </c>
      <c r="B5389" s="21" t="s">
        <v>336</v>
      </c>
      <c r="C5389" s="62" t="s">
        <v>60</v>
      </c>
      <c r="D5389" s="62" t="s">
        <v>384</v>
      </c>
      <c r="E5389" s="62" t="s">
        <v>382</v>
      </c>
      <c r="F5389" s="62" t="s">
        <v>382</v>
      </c>
      <c r="G5389" s="63" t="s">
        <v>794</v>
      </c>
      <c r="H5389" s="64" t="n">
        <v>9800</v>
      </c>
      <c r="I5389" s="62" t="s">
        <v>81</v>
      </c>
      <c r="J5389" s="64" t="n">
        <v>9.8</v>
      </c>
      <c r="K5389" s="62" t="s">
        <v>138</v>
      </c>
      <c r="L5389" s="68" t="b">
        <f aca="false">FALSE()</f>
        <v>0</v>
      </c>
    </row>
    <row r="5390" customFormat="false" ht="15" hidden="false" customHeight="false" outlineLevel="0" collapsed="false">
      <c r="A5390" s="62" t="n">
        <v>1</v>
      </c>
      <c r="B5390" s="21" t="s">
        <v>336</v>
      </c>
      <c r="C5390" s="62" t="s">
        <v>60</v>
      </c>
      <c r="D5390" s="62" t="s">
        <v>385</v>
      </c>
      <c r="E5390" s="62" t="s">
        <v>382</v>
      </c>
      <c r="F5390" s="62" t="s">
        <v>382</v>
      </c>
      <c r="G5390" s="63" t="s">
        <v>794</v>
      </c>
      <c r="H5390" s="64" t="n">
        <v>8820</v>
      </c>
      <c r="I5390" s="62" t="s">
        <v>81</v>
      </c>
      <c r="J5390" s="64" t="n">
        <v>8.82</v>
      </c>
      <c r="K5390" s="62" t="s">
        <v>138</v>
      </c>
      <c r="L5390" s="68" t="b">
        <f aca="false">FALSE()</f>
        <v>0</v>
      </c>
    </row>
    <row r="5391" customFormat="false" ht="15" hidden="false" customHeight="false" outlineLevel="0" collapsed="false">
      <c r="A5391" s="62" t="n">
        <v>1</v>
      </c>
      <c r="B5391" s="21" t="s">
        <v>336</v>
      </c>
      <c r="C5391" s="62" t="s">
        <v>60</v>
      </c>
      <c r="D5391" s="62" t="s">
        <v>386</v>
      </c>
      <c r="E5391" s="62" t="s">
        <v>382</v>
      </c>
      <c r="F5391" s="62" t="s">
        <v>382</v>
      </c>
      <c r="G5391" s="63" t="s">
        <v>794</v>
      </c>
      <c r="H5391" s="64" t="n">
        <v>8820</v>
      </c>
      <c r="I5391" s="62" t="s">
        <v>81</v>
      </c>
      <c r="J5391" s="64" t="n">
        <v>8.82</v>
      </c>
      <c r="K5391" s="62" t="s">
        <v>138</v>
      </c>
      <c r="L5391" s="68" t="b">
        <f aca="false">FALSE()</f>
        <v>0</v>
      </c>
    </row>
    <row r="5392" customFormat="false" ht="15" hidden="false" customHeight="false" outlineLevel="0" collapsed="false">
      <c r="A5392" s="62" t="n">
        <v>1</v>
      </c>
      <c r="B5392" s="21" t="s">
        <v>336</v>
      </c>
      <c r="C5392" s="62" t="s">
        <v>60</v>
      </c>
      <c r="D5392" s="62" t="s">
        <v>387</v>
      </c>
      <c r="E5392" s="62" t="s">
        <v>382</v>
      </c>
      <c r="F5392" s="62" t="s">
        <v>382</v>
      </c>
      <c r="G5392" s="63" t="s">
        <v>794</v>
      </c>
      <c r="H5392" s="64" t="n">
        <v>9800</v>
      </c>
      <c r="I5392" s="62" t="s">
        <v>81</v>
      </c>
      <c r="J5392" s="64" t="n">
        <v>9.8</v>
      </c>
      <c r="K5392" s="62" t="s">
        <v>138</v>
      </c>
      <c r="L5392" s="68" t="b">
        <f aca="false">FALSE()</f>
        <v>0</v>
      </c>
    </row>
    <row r="5393" customFormat="false" ht="15" hidden="false" customHeight="false" outlineLevel="0" collapsed="false">
      <c r="A5393" s="62" t="n">
        <v>1</v>
      </c>
      <c r="B5393" s="21" t="s">
        <v>336</v>
      </c>
      <c r="C5393" s="62" t="s">
        <v>60</v>
      </c>
      <c r="D5393" s="62" t="s">
        <v>388</v>
      </c>
      <c r="E5393" s="62" t="s">
        <v>382</v>
      </c>
      <c r="F5393" s="62" t="s">
        <v>382</v>
      </c>
      <c r="G5393" s="63" t="s">
        <v>794</v>
      </c>
      <c r="H5393" s="64" t="n">
        <v>8820</v>
      </c>
      <c r="I5393" s="62" t="s">
        <v>81</v>
      </c>
      <c r="J5393" s="64" t="n">
        <v>8.82</v>
      </c>
      <c r="K5393" s="62" t="s">
        <v>138</v>
      </c>
      <c r="L5393" s="68" t="b">
        <f aca="false">FALSE()</f>
        <v>0</v>
      </c>
    </row>
    <row r="5394" customFormat="false" ht="15" hidden="false" customHeight="false" outlineLevel="0" collapsed="false">
      <c r="A5394" s="62" t="n">
        <v>1</v>
      </c>
      <c r="B5394" s="21" t="s">
        <v>336</v>
      </c>
      <c r="C5394" s="62" t="s">
        <v>60</v>
      </c>
      <c r="D5394" s="62" t="s">
        <v>381</v>
      </c>
      <c r="E5394" s="62" t="s">
        <v>382</v>
      </c>
      <c r="F5394" s="62" t="s">
        <v>382</v>
      </c>
      <c r="G5394" s="63" t="s">
        <v>530</v>
      </c>
      <c r="H5394" s="64" t="n">
        <v>11223734.5307891</v>
      </c>
      <c r="I5394" s="62" t="s">
        <v>81</v>
      </c>
      <c r="J5394" s="64" t="n">
        <v>11223.7345307891</v>
      </c>
      <c r="K5394" s="62" t="s">
        <v>138</v>
      </c>
      <c r="L5394" s="68" t="b">
        <f aca="false">FALSE()</f>
        <v>0</v>
      </c>
    </row>
    <row r="5395" customFormat="false" ht="15" hidden="false" customHeight="false" outlineLevel="0" collapsed="false">
      <c r="A5395" s="62" t="n">
        <v>1</v>
      </c>
      <c r="B5395" s="21" t="s">
        <v>336</v>
      </c>
      <c r="C5395" s="62" t="s">
        <v>60</v>
      </c>
      <c r="D5395" s="62" t="s">
        <v>383</v>
      </c>
      <c r="E5395" s="62" t="s">
        <v>382</v>
      </c>
      <c r="F5395" s="62" t="s">
        <v>382</v>
      </c>
      <c r="G5395" s="63" t="s">
        <v>530</v>
      </c>
      <c r="H5395" s="64" t="n">
        <v>8475894</v>
      </c>
      <c r="I5395" s="62" t="s">
        <v>81</v>
      </c>
      <c r="J5395" s="64" t="n">
        <v>8475.894</v>
      </c>
      <c r="K5395" s="62" t="s">
        <v>138</v>
      </c>
      <c r="L5395" s="68" t="b">
        <f aca="false">FALSE()</f>
        <v>0</v>
      </c>
    </row>
    <row r="5396" customFormat="false" ht="15" hidden="false" customHeight="false" outlineLevel="0" collapsed="false">
      <c r="A5396" s="62" t="n">
        <v>1</v>
      </c>
      <c r="B5396" s="21" t="s">
        <v>336</v>
      </c>
      <c r="C5396" s="62" t="s">
        <v>60</v>
      </c>
      <c r="D5396" s="62" t="s">
        <v>384</v>
      </c>
      <c r="E5396" s="62" t="s">
        <v>382</v>
      </c>
      <c r="F5396" s="62" t="s">
        <v>382</v>
      </c>
      <c r="G5396" s="63" t="s">
        <v>530</v>
      </c>
      <c r="H5396" s="64" t="n">
        <v>7560000</v>
      </c>
      <c r="I5396" s="62" t="s">
        <v>81</v>
      </c>
      <c r="J5396" s="64" t="n">
        <v>7560</v>
      </c>
      <c r="K5396" s="62" t="s">
        <v>138</v>
      </c>
      <c r="L5396" s="68" t="b">
        <f aca="false">FALSE()</f>
        <v>0</v>
      </c>
    </row>
    <row r="5397" customFormat="false" ht="15" hidden="false" customHeight="false" outlineLevel="0" collapsed="false">
      <c r="A5397" s="62" t="n">
        <v>1</v>
      </c>
      <c r="B5397" s="21" t="s">
        <v>336</v>
      </c>
      <c r="C5397" s="62" t="s">
        <v>60</v>
      </c>
      <c r="D5397" s="62" t="s">
        <v>385</v>
      </c>
      <c r="E5397" s="62" t="s">
        <v>382</v>
      </c>
      <c r="F5397" s="62" t="s">
        <v>382</v>
      </c>
      <c r="G5397" s="63" t="s">
        <v>530</v>
      </c>
      <c r="H5397" s="64" t="n">
        <v>5825190.20561176</v>
      </c>
      <c r="I5397" s="62" t="s">
        <v>81</v>
      </c>
      <c r="J5397" s="64" t="n">
        <v>5825.19020561176</v>
      </c>
      <c r="K5397" s="62" t="s">
        <v>138</v>
      </c>
      <c r="L5397" s="68" t="b">
        <f aca="false">FALSE()</f>
        <v>0</v>
      </c>
    </row>
    <row r="5398" customFormat="false" ht="15" hidden="false" customHeight="false" outlineLevel="0" collapsed="false">
      <c r="A5398" s="62" t="n">
        <v>1</v>
      </c>
      <c r="B5398" s="21" t="s">
        <v>336</v>
      </c>
      <c r="C5398" s="62" t="s">
        <v>60</v>
      </c>
      <c r="D5398" s="62" t="s">
        <v>386</v>
      </c>
      <c r="E5398" s="62" t="s">
        <v>382</v>
      </c>
      <c r="F5398" s="62" t="s">
        <v>382</v>
      </c>
      <c r="G5398" s="63" t="s">
        <v>530</v>
      </c>
      <c r="H5398" s="64" t="n">
        <v>5313262.5</v>
      </c>
      <c r="I5398" s="62" t="s">
        <v>81</v>
      </c>
      <c r="J5398" s="64" t="n">
        <v>5313.2625</v>
      </c>
      <c r="K5398" s="62" t="s">
        <v>138</v>
      </c>
      <c r="L5398" s="68" t="b">
        <f aca="false">FALSE()</f>
        <v>0</v>
      </c>
    </row>
    <row r="5399" customFormat="false" ht="15" hidden="false" customHeight="false" outlineLevel="0" collapsed="false">
      <c r="A5399" s="62" t="n">
        <v>1</v>
      </c>
      <c r="B5399" s="21" t="s">
        <v>336</v>
      </c>
      <c r="C5399" s="62" t="s">
        <v>60</v>
      </c>
      <c r="D5399" s="62" t="s">
        <v>387</v>
      </c>
      <c r="E5399" s="62" t="s">
        <v>382</v>
      </c>
      <c r="F5399" s="62" t="s">
        <v>382</v>
      </c>
      <c r="G5399" s="63" t="s">
        <v>530</v>
      </c>
      <c r="H5399" s="64" t="n">
        <v>8224036.8</v>
      </c>
      <c r="I5399" s="62" t="s">
        <v>81</v>
      </c>
      <c r="J5399" s="64" t="n">
        <v>8224.0368</v>
      </c>
      <c r="K5399" s="62" t="s">
        <v>138</v>
      </c>
      <c r="L5399" s="68" t="b">
        <f aca="false">FALSE()</f>
        <v>0</v>
      </c>
    </row>
    <row r="5400" customFormat="false" ht="15" hidden="false" customHeight="false" outlineLevel="0" collapsed="false">
      <c r="A5400" s="62" t="n">
        <v>1</v>
      </c>
      <c r="B5400" s="21" t="s">
        <v>336</v>
      </c>
      <c r="C5400" s="62" t="s">
        <v>60</v>
      </c>
      <c r="D5400" s="62" t="s">
        <v>388</v>
      </c>
      <c r="E5400" s="62" t="s">
        <v>382</v>
      </c>
      <c r="F5400" s="62" t="s">
        <v>382</v>
      </c>
      <c r="G5400" s="63" t="s">
        <v>530</v>
      </c>
      <c r="H5400" s="64" t="n">
        <v>6320160</v>
      </c>
      <c r="I5400" s="62" t="s">
        <v>81</v>
      </c>
      <c r="J5400" s="64" t="n">
        <v>6320.16</v>
      </c>
      <c r="K5400" s="62" t="s">
        <v>138</v>
      </c>
      <c r="L5400" s="68" t="b">
        <f aca="false">FALSE()</f>
        <v>0</v>
      </c>
    </row>
    <row r="5401" customFormat="false" ht="15" hidden="false" customHeight="false" outlineLevel="0" collapsed="false">
      <c r="A5401" s="62" t="n">
        <v>1</v>
      </c>
      <c r="B5401" s="21" t="s">
        <v>336</v>
      </c>
      <c r="C5401" s="62" t="s">
        <v>60</v>
      </c>
      <c r="D5401" s="62" t="s">
        <v>381</v>
      </c>
      <c r="E5401" s="62" t="s">
        <v>382</v>
      </c>
      <c r="F5401" s="62" t="s">
        <v>382</v>
      </c>
      <c r="G5401" s="63" t="s">
        <v>531</v>
      </c>
      <c r="H5401" s="64" t="n">
        <v>43120</v>
      </c>
      <c r="I5401" s="62" t="s">
        <v>81</v>
      </c>
      <c r="J5401" s="64" t="n">
        <v>43.12</v>
      </c>
      <c r="K5401" s="62" t="s">
        <v>138</v>
      </c>
      <c r="L5401" s="68" t="b">
        <f aca="false">FALSE()</f>
        <v>0</v>
      </c>
    </row>
    <row r="5402" customFormat="false" ht="15" hidden="false" customHeight="false" outlineLevel="0" collapsed="false">
      <c r="A5402" s="62" t="n">
        <v>1</v>
      </c>
      <c r="B5402" s="21" t="s">
        <v>336</v>
      </c>
      <c r="C5402" s="62" t="s">
        <v>60</v>
      </c>
      <c r="D5402" s="62" t="s">
        <v>383</v>
      </c>
      <c r="E5402" s="62" t="s">
        <v>382</v>
      </c>
      <c r="F5402" s="62" t="s">
        <v>382</v>
      </c>
      <c r="G5402" s="63" t="s">
        <v>531</v>
      </c>
      <c r="H5402" s="64" t="n">
        <v>49000</v>
      </c>
      <c r="I5402" s="62" t="s">
        <v>81</v>
      </c>
      <c r="J5402" s="64" t="n">
        <v>49</v>
      </c>
      <c r="K5402" s="62" t="s">
        <v>138</v>
      </c>
      <c r="L5402" s="68" t="b">
        <f aca="false">FALSE()</f>
        <v>0</v>
      </c>
    </row>
    <row r="5403" customFormat="false" ht="15" hidden="false" customHeight="false" outlineLevel="0" collapsed="false">
      <c r="A5403" s="62" t="n">
        <v>1</v>
      </c>
      <c r="B5403" s="21" t="s">
        <v>336</v>
      </c>
      <c r="C5403" s="62" t="s">
        <v>60</v>
      </c>
      <c r="D5403" s="62" t="s">
        <v>384</v>
      </c>
      <c r="E5403" s="62" t="s">
        <v>382</v>
      </c>
      <c r="F5403" s="62" t="s">
        <v>382</v>
      </c>
      <c r="G5403" s="63" t="s">
        <v>531</v>
      </c>
      <c r="H5403" s="64" t="n">
        <v>43120</v>
      </c>
      <c r="I5403" s="62" t="s">
        <v>81</v>
      </c>
      <c r="J5403" s="64" t="n">
        <v>43.12</v>
      </c>
      <c r="K5403" s="62" t="s">
        <v>138</v>
      </c>
      <c r="L5403" s="68" t="b">
        <f aca="false">FALSE()</f>
        <v>0</v>
      </c>
    </row>
    <row r="5404" customFormat="false" ht="15" hidden="false" customHeight="false" outlineLevel="0" collapsed="false">
      <c r="A5404" s="62" t="n">
        <v>1</v>
      </c>
      <c r="B5404" s="21" t="s">
        <v>336</v>
      </c>
      <c r="C5404" s="62" t="s">
        <v>60</v>
      </c>
      <c r="D5404" s="62" t="s">
        <v>385</v>
      </c>
      <c r="E5404" s="62" t="s">
        <v>382</v>
      </c>
      <c r="F5404" s="62" t="s">
        <v>382</v>
      </c>
      <c r="G5404" s="63" t="s">
        <v>531</v>
      </c>
      <c r="H5404" s="64" t="n">
        <v>49000</v>
      </c>
      <c r="I5404" s="62" t="s">
        <v>81</v>
      </c>
      <c r="J5404" s="64" t="n">
        <v>49</v>
      </c>
      <c r="K5404" s="62" t="s">
        <v>138</v>
      </c>
      <c r="L5404" s="68" t="b">
        <f aca="false">FALSE()</f>
        <v>0</v>
      </c>
    </row>
    <row r="5405" customFormat="false" ht="15" hidden="false" customHeight="false" outlineLevel="0" collapsed="false">
      <c r="A5405" s="62" t="n">
        <v>1</v>
      </c>
      <c r="B5405" s="21" t="s">
        <v>336</v>
      </c>
      <c r="C5405" s="62" t="s">
        <v>60</v>
      </c>
      <c r="D5405" s="62" t="s">
        <v>386</v>
      </c>
      <c r="E5405" s="62" t="s">
        <v>382</v>
      </c>
      <c r="F5405" s="62" t="s">
        <v>382</v>
      </c>
      <c r="G5405" s="63" t="s">
        <v>531</v>
      </c>
      <c r="H5405" s="64" t="n">
        <v>43120</v>
      </c>
      <c r="I5405" s="62" t="s">
        <v>81</v>
      </c>
      <c r="J5405" s="64" t="n">
        <v>43.12</v>
      </c>
      <c r="K5405" s="62" t="s">
        <v>138</v>
      </c>
      <c r="L5405" s="68" t="b">
        <f aca="false">FALSE()</f>
        <v>0</v>
      </c>
    </row>
    <row r="5406" customFormat="false" ht="15" hidden="false" customHeight="false" outlineLevel="0" collapsed="false">
      <c r="A5406" s="62" t="n">
        <v>1</v>
      </c>
      <c r="B5406" s="21" t="s">
        <v>336</v>
      </c>
      <c r="C5406" s="62" t="s">
        <v>60</v>
      </c>
      <c r="D5406" s="62" t="s">
        <v>387</v>
      </c>
      <c r="E5406" s="62" t="s">
        <v>382</v>
      </c>
      <c r="F5406" s="62" t="s">
        <v>382</v>
      </c>
      <c r="G5406" s="63" t="s">
        <v>531</v>
      </c>
      <c r="H5406" s="64" t="n">
        <v>43120</v>
      </c>
      <c r="I5406" s="62" t="s">
        <v>81</v>
      </c>
      <c r="J5406" s="64" t="n">
        <v>43.12</v>
      </c>
      <c r="K5406" s="62" t="s">
        <v>138</v>
      </c>
      <c r="L5406" s="68" t="b">
        <f aca="false">FALSE()</f>
        <v>0</v>
      </c>
    </row>
    <row r="5407" customFormat="false" ht="15" hidden="false" customHeight="false" outlineLevel="0" collapsed="false">
      <c r="A5407" s="62" t="n">
        <v>1</v>
      </c>
      <c r="B5407" s="21" t="s">
        <v>336</v>
      </c>
      <c r="C5407" s="62" t="s">
        <v>60</v>
      </c>
      <c r="D5407" s="62" t="s">
        <v>388</v>
      </c>
      <c r="E5407" s="62" t="s">
        <v>382</v>
      </c>
      <c r="F5407" s="62" t="s">
        <v>382</v>
      </c>
      <c r="G5407" s="63" t="s">
        <v>531</v>
      </c>
      <c r="H5407" s="64" t="n">
        <v>43120</v>
      </c>
      <c r="I5407" s="62" t="s">
        <v>81</v>
      </c>
      <c r="J5407" s="64" t="n">
        <v>43.12</v>
      </c>
      <c r="K5407" s="62" t="s">
        <v>138</v>
      </c>
      <c r="L5407" s="68" t="b">
        <f aca="false">FALSE()</f>
        <v>0</v>
      </c>
    </row>
    <row r="5408" customFormat="false" ht="15" hidden="false" customHeight="false" outlineLevel="0" collapsed="false">
      <c r="A5408" s="62" t="n">
        <v>1</v>
      </c>
      <c r="B5408" s="21" t="s">
        <v>336</v>
      </c>
      <c r="C5408" s="62" t="s">
        <v>60</v>
      </c>
      <c r="D5408" s="62" t="s">
        <v>381</v>
      </c>
      <c r="E5408" s="62" t="s">
        <v>382</v>
      </c>
      <c r="F5408" s="62" t="s">
        <v>382</v>
      </c>
      <c r="G5408" s="63" t="s">
        <v>795</v>
      </c>
      <c r="H5408" s="64" t="n">
        <v>48400</v>
      </c>
      <c r="I5408" s="62" t="s">
        <v>81</v>
      </c>
      <c r="J5408" s="64" t="n">
        <v>48.4</v>
      </c>
      <c r="K5408" s="62" t="s">
        <v>138</v>
      </c>
      <c r="L5408" s="68" t="b">
        <f aca="false">FALSE()</f>
        <v>0</v>
      </c>
    </row>
    <row r="5409" customFormat="false" ht="15" hidden="false" customHeight="false" outlineLevel="0" collapsed="false">
      <c r="A5409" s="62" t="n">
        <v>1</v>
      </c>
      <c r="B5409" s="21" t="s">
        <v>336</v>
      </c>
      <c r="C5409" s="62" t="s">
        <v>60</v>
      </c>
      <c r="D5409" s="62" t="s">
        <v>383</v>
      </c>
      <c r="E5409" s="62" t="s">
        <v>382</v>
      </c>
      <c r="F5409" s="62" t="s">
        <v>382</v>
      </c>
      <c r="G5409" s="63" t="s">
        <v>795</v>
      </c>
      <c r="H5409" s="64" t="n">
        <v>55000</v>
      </c>
      <c r="I5409" s="62" t="s">
        <v>81</v>
      </c>
      <c r="J5409" s="64" t="n">
        <v>55</v>
      </c>
      <c r="K5409" s="62" t="s">
        <v>138</v>
      </c>
      <c r="L5409" s="68" t="b">
        <f aca="false">FALSE()</f>
        <v>0</v>
      </c>
    </row>
    <row r="5410" customFormat="false" ht="15" hidden="false" customHeight="false" outlineLevel="0" collapsed="false">
      <c r="A5410" s="62" t="n">
        <v>1</v>
      </c>
      <c r="B5410" s="21" t="s">
        <v>336</v>
      </c>
      <c r="C5410" s="62" t="s">
        <v>60</v>
      </c>
      <c r="D5410" s="62" t="s">
        <v>384</v>
      </c>
      <c r="E5410" s="62" t="s">
        <v>382</v>
      </c>
      <c r="F5410" s="62" t="s">
        <v>382</v>
      </c>
      <c r="G5410" s="63" t="s">
        <v>795</v>
      </c>
      <c r="H5410" s="64" t="n">
        <v>48400</v>
      </c>
      <c r="I5410" s="62" t="s">
        <v>81</v>
      </c>
      <c r="J5410" s="64" t="n">
        <v>48.4</v>
      </c>
      <c r="K5410" s="62" t="s">
        <v>138</v>
      </c>
      <c r="L5410" s="68" t="b">
        <f aca="false">FALSE()</f>
        <v>0</v>
      </c>
    </row>
    <row r="5411" customFormat="false" ht="15" hidden="false" customHeight="false" outlineLevel="0" collapsed="false">
      <c r="A5411" s="62" t="n">
        <v>1</v>
      </c>
      <c r="B5411" s="21" t="s">
        <v>336</v>
      </c>
      <c r="C5411" s="62" t="s">
        <v>60</v>
      </c>
      <c r="D5411" s="62" t="s">
        <v>385</v>
      </c>
      <c r="E5411" s="62" t="s">
        <v>382</v>
      </c>
      <c r="F5411" s="62" t="s">
        <v>382</v>
      </c>
      <c r="G5411" s="63" t="s">
        <v>795</v>
      </c>
      <c r="H5411" s="64" t="n">
        <v>55000</v>
      </c>
      <c r="I5411" s="62" t="s">
        <v>81</v>
      </c>
      <c r="J5411" s="64" t="n">
        <v>55</v>
      </c>
      <c r="K5411" s="62" t="s">
        <v>138</v>
      </c>
      <c r="L5411" s="68" t="b">
        <f aca="false">FALSE()</f>
        <v>0</v>
      </c>
    </row>
    <row r="5412" customFormat="false" ht="15" hidden="false" customHeight="false" outlineLevel="0" collapsed="false">
      <c r="A5412" s="62" t="n">
        <v>1</v>
      </c>
      <c r="B5412" s="21" t="s">
        <v>336</v>
      </c>
      <c r="C5412" s="62" t="s">
        <v>60</v>
      </c>
      <c r="D5412" s="62" t="s">
        <v>386</v>
      </c>
      <c r="E5412" s="62" t="s">
        <v>382</v>
      </c>
      <c r="F5412" s="62" t="s">
        <v>382</v>
      </c>
      <c r="G5412" s="63" t="s">
        <v>795</v>
      </c>
      <c r="H5412" s="64" t="n">
        <v>48400</v>
      </c>
      <c r="I5412" s="62" t="s">
        <v>81</v>
      </c>
      <c r="J5412" s="64" t="n">
        <v>48.4</v>
      </c>
      <c r="K5412" s="62" t="s">
        <v>138</v>
      </c>
      <c r="L5412" s="68" t="b">
        <f aca="false">FALSE()</f>
        <v>0</v>
      </c>
    </row>
    <row r="5413" customFormat="false" ht="15" hidden="false" customHeight="false" outlineLevel="0" collapsed="false">
      <c r="A5413" s="62" t="n">
        <v>1</v>
      </c>
      <c r="B5413" s="21" t="s">
        <v>336</v>
      </c>
      <c r="C5413" s="62" t="s">
        <v>60</v>
      </c>
      <c r="D5413" s="62" t="s">
        <v>387</v>
      </c>
      <c r="E5413" s="62" t="s">
        <v>382</v>
      </c>
      <c r="F5413" s="62" t="s">
        <v>382</v>
      </c>
      <c r="G5413" s="63" t="s">
        <v>795</v>
      </c>
      <c r="H5413" s="64" t="n">
        <v>48400</v>
      </c>
      <c r="I5413" s="62" t="s">
        <v>81</v>
      </c>
      <c r="J5413" s="64" t="n">
        <v>48.4</v>
      </c>
      <c r="K5413" s="62" t="s">
        <v>138</v>
      </c>
      <c r="L5413" s="68" t="b">
        <f aca="false">FALSE()</f>
        <v>0</v>
      </c>
    </row>
    <row r="5414" customFormat="false" ht="15" hidden="false" customHeight="false" outlineLevel="0" collapsed="false">
      <c r="A5414" s="62" t="n">
        <v>1</v>
      </c>
      <c r="B5414" s="21" t="s">
        <v>336</v>
      </c>
      <c r="C5414" s="62" t="s">
        <v>60</v>
      </c>
      <c r="D5414" s="62" t="s">
        <v>388</v>
      </c>
      <c r="E5414" s="62" t="s">
        <v>382</v>
      </c>
      <c r="F5414" s="62" t="s">
        <v>382</v>
      </c>
      <c r="G5414" s="63" t="s">
        <v>795</v>
      </c>
      <c r="H5414" s="64" t="n">
        <v>48400</v>
      </c>
      <c r="I5414" s="62" t="s">
        <v>81</v>
      </c>
      <c r="J5414" s="64" t="n">
        <v>48.4</v>
      </c>
      <c r="K5414" s="62" t="s">
        <v>138</v>
      </c>
      <c r="L5414" s="68" t="b">
        <f aca="false">FALSE()</f>
        <v>0</v>
      </c>
    </row>
    <row r="5415" customFormat="false" ht="15" hidden="false" customHeight="false" outlineLevel="0" collapsed="false">
      <c r="A5415" s="62" t="n">
        <v>1</v>
      </c>
      <c r="B5415" s="21" t="s">
        <v>336</v>
      </c>
      <c r="C5415" s="62" t="s">
        <v>60</v>
      </c>
      <c r="D5415" s="62" t="s">
        <v>381</v>
      </c>
      <c r="E5415" s="62" t="s">
        <v>382</v>
      </c>
      <c r="F5415" s="62" t="s">
        <v>382</v>
      </c>
      <c r="G5415" s="63" t="s">
        <v>532</v>
      </c>
      <c r="H5415" s="64" t="n">
        <v>33441991.0118398</v>
      </c>
      <c r="I5415" s="62" t="s">
        <v>81</v>
      </c>
      <c r="J5415" s="64" t="n">
        <v>33441.9910118398</v>
      </c>
      <c r="K5415" s="62" t="s">
        <v>138</v>
      </c>
      <c r="L5415" s="68" t="b">
        <f aca="false">FALSE()</f>
        <v>0</v>
      </c>
    </row>
    <row r="5416" customFormat="false" ht="15" hidden="false" customHeight="false" outlineLevel="0" collapsed="false">
      <c r="A5416" s="62" t="n">
        <v>1</v>
      </c>
      <c r="B5416" s="21" t="s">
        <v>336</v>
      </c>
      <c r="C5416" s="62" t="s">
        <v>60</v>
      </c>
      <c r="D5416" s="62" t="s">
        <v>383</v>
      </c>
      <c r="E5416" s="62" t="s">
        <v>382</v>
      </c>
      <c r="F5416" s="62" t="s">
        <v>382</v>
      </c>
      <c r="G5416" s="63" t="s">
        <v>532</v>
      </c>
      <c r="H5416" s="64" t="n">
        <v>34243773.1437714</v>
      </c>
      <c r="I5416" s="62" t="s">
        <v>81</v>
      </c>
      <c r="J5416" s="64" t="n">
        <v>34243.7731437714</v>
      </c>
      <c r="K5416" s="62" t="s">
        <v>138</v>
      </c>
      <c r="L5416" s="68" t="b">
        <f aca="false">FALSE()</f>
        <v>0</v>
      </c>
    </row>
    <row r="5417" customFormat="false" ht="15" hidden="false" customHeight="false" outlineLevel="0" collapsed="false">
      <c r="A5417" s="62" t="n">
        <v>1</v>
      </c>
      <c r="B5417" s="21" t="s">
        <v>336</v>
      </c>
      <c r="C5417" s="62" t="s">
        <v>60</v>
      </c>
      <c r="D5417" s="62" t="s">
        <v>384</v>
      </c>
      <c r="E5417" s="62" t="s">
        <v>382</v>
      </c>
      <c r="F5417" s="62" t="s">
        <v>382</v>
      </c>
      <c r="G5417" s="63" t="s">
        <v>532</v>
      </c>
      <c r="H5417" s="64" t="n">
        <v>46417337.8185833</v>
      </c>
      <c r="I5417" s="62" t="s">
        <v>81</v>
      </c>
      <c r="J5417" s="64" t="n">
        <v>46417.3378185833</v>
      </c>
      <c r="K5417" s="62" t="s">
        <v>138</v>
      </c>
      <c r="L5417" s="68" t="b">
        <f aca="false">FALSE()</f>
        <v>0</v>
      </c>
    </row>
    <row r="5418" customFormat="false" ht="15" hidden="false" customHeight="false" outlineLevel="0" collapsed="false">
      <c r="A5418" s="62" t="n">
        <v>1</v>
      </c>
      <c r="B5418" s="21" t="s">
        <v>336</v>
      </c>
      <c r="C5418" s="62" t="s">
        <v>60</v>
      </c>
      <c r="D5418" s="62" t="s">
        <v>385</v>
      </c>
      <c r="E5418" s="62" t="s">
        <v>382</v>
      </c>
      <c r="F5418" s="62" t="s">
        <v>382</v>
      </c>
      <c r="G5418" s="63" t="s">
        <v>532</v>
      </c>
      <c r="H5418" s="64" t="n">
        <v>17617167.1071603</v>
      </c>
      <c r="I5418" s="62" t="s">
        <v>81</v>
      </c>
      <c r="J5418" s="64" t="n">
        <v>17617.1671071603</v>
      </c>
      <c r="K5418" s="62" t="s">
        <v>138</v>
      </c>
      <c r="L5418" s="68" t="b">
        <f aca="false">FALSE()</f>
        <v>0</v>
      </c>
    </row>
    <row r="5419" customFormat="false" ht="15" hidden="false" customHeight="false" outlineLevel="0" collapsed="false">
      <c r="A5419" s="62" t="n">
        <v>1</v>
      </c>
      <c r="B5419" s="21" t="s">
        <v>336</v>
      </c>
      <c r="C5419" s="62" t="s">
        <v>60</v>
      </c>
      <c r="D5419" s="62" t="s">
        <v>386</v>
      </c>
      <c r="E5419" s="62" t="s">
        <v>382</v>
      </c>
      <c r="F5419" s="62" t="s">
        <v>382</v>
      </c>
      <c r="G5419" s="63" t="s">
        <v>532</v>
      </c>
      <c r="H5419" s="64" t="n">
        <v>35908826.3193166</v>
      </c>
      <c r="I5419" s="62" t="s">
        <v>81</v>
      </c>
      <c r="J5419" s="64" t="n">
        <v>35908.8263193166</v>
      </c>
      <c r="K5419" s="62" t="s">
        <v>138</v>
      </c>
      <c r="L5419" s="68" t="b">
        <f aca="false">FALSE()</f>
        <v>0</v>
      </c>
    </row>
    <row r="5420" customFormat="false" ht="15" hidden="false" customHeight="false" outlineLevel="0" collapsed="false">
      <c r="A5420" s="62" t="n">
        <v>1</v>
      </c>
      <c r="B5420" s="21" t="s">
        <v>336</v>
      </c>
      <c r="C5420" s="62" t="s">
        <v>60</v>
      </c>
      <c r="D5420" s="62" t="s">
        <v>387</v>
      </c>
      <c r="E5420" s="62" t="s">
        <v>382</v>
      </c>
      <c r="F5420" s="62" t="s">
        <v>382</v>
      </c>
      <c r="G5420" s="63" t="s">
        <v>532</v>
      </c>
      <c r="H5420" s="64" t="n">
        <v>23991119.357025</v>
      </c>
      <c r="I5420" s="62" t="s">
        <v>81</v>
      </c>
      <c r="J5420" s="64" t="n">
        <v>23991.119357025</v>
      </c>
      <c r="K5420" s="62" t="s">
        <v>138</v>
      </c>
      <c r="L5420" s="68" t="b">
        <f aca="false">FALSE()</f>
        <v>0</v>
      </c>
    </row>
    <row r="5421" customFormat="false" ht="15" hidden="false" customHeight="false" outlineLevel="0" collapsed="false">
      <c r="A5421" s="62" t="n">
        <v>1</v>
      </c>
      <c r="B5421" s="21" t="s">
        <v>336</v>
      </c>
      <c r="C5421" s="62" t="s">
        <v>60</v>
      </c>
      <c r="D5421" s="62" t="s">
        <v>388</v>
      </c>
      <c r="E5421" s="62" t="s">
        <v>382</v>
      </c>
      <c r="F5421" s="62" t="s">
        <v>382</v>
      </c>
      <c r="G5421" s="63" t="s">
        <v>532</v>
      </c>
      <c r="H5421" s="64" t="n">
        <v>13385520</v>
      </c>
      <c r="I5421" s="62" t="s">
        <v>81</v>
      </c>
      <c r="J5421" s="64" t="n">
        <v>13385.52</v>
      </c>
      <c r="K5421" s="62" t="s">
        <v>138</v>
      </c>
      <c r="L5421" s="68" t="b">
        <f aca="false">FALSE()</f>
        <v>0</v>
      </c>
    </row>
    <row r="5422" customFormat="false" ht="15" hidden="false" customHeight="false" outlineLevel="0" collapsed="false">
      <c r="A5422" s="62" t="n">
        <v>1</v>
      </c>
      <c r="B5422" s="21" t="s">
        <v>336</v>
      </c>
      <c r="C5422" s="62" t="s">
        <v>60</v>
      </c>
      <c r="D5422" s="62" t="s">
        <v>381</v>
      </c>
      <c r="E5422" s="62" t="s">
        <v>382</v>
      </c>
      <c r="F5422" s="62" t="s">
        <v>382</v>
      </c>
      <c r="G5422" s="63" t="s">
        <v>533</v>
      </c>
      <c r="H5422" s="64" t="n">
        <v>70000</v>
      </c>
      <c r="I5422" s="62" t="s">
        <v>81</v>
      </c>
      <c r="J5422" s="64" t="n">
        <v>70</v>
      </c>
      <c r="K5422" s="62" t="s">
        <v>138</v>
      </c>
      <c r="L5422" s="68" t="b">
        <f aca="false">FALSE()</f>
        <v>0</v>
      </c>
    </row>
    <row r="5423" customFormat="false" ht="15" hidden="false" customHeight="false" outlineLevel="0" collapsed="false">
      <c r="A5423" s="62" t="n">
        <v>1</v>
      </c>
      <c r="B5423" s="21" t="s">
        <v>336</v>
      </c>
      <c r="C5423" s="62" t="s">
        <v>60</v>
      </c>
      <c r="D5423" s="62" t="s">
        <v>383</v>
      </c>
      <c r="E5423" s="62" t="s">
        <v>382</v>
      </c>
      <c r="F5423" s="62" t="s">
        <v>382</v>
      </c>
      <c r="G5423" s="63" t="s">
        <v>533</v>
      </c>
      <c r="H5423" s="64" t="n">
        <v>70000</v>
      </c>
      <c r="I5423" s="62" t="s">
        <v>81</v>
      </c>
      <c r="J5423" s="64" t="n">
        <v>70</v>
      </c>
      <c r="K5423" s="62" t="s">
        <v>138</v>
      </c>
      <c r="L5423" s="68" t="b">
        <f aca="false">FALSE()</f>
        <v>0</v>
      </c>
    </row>
    <row r="5424" customFormat="false" ht="15" hidden="false" customHeight="false" outlineLevel="0" collapsed="false">
      <c r="A5424" s="62" t="n">
        <v>1</v>
      </c>
      <c r="B5424" s="21" t="s">
        <v>336</v>
      </c>
      <c r="C5424" s="62" t="s">
        <v>60</v>
      </c>
      <c r="D5424" s="62" t="s">
        <v>384</v>
      </c>
      <c r="E5424" s="62" t="s">
        <v>382</v>
      </c>
      <c r="F5424" s="62" t="s">
        <v>382</v>
      </c>
      <c r="G5424" s="63" t="s">
        <v>533</v>
      </c>
      <c r="H5424" s="64" t="n">
        <v>70000</v>
      </c>
      <c r="I5424" s="62" t="s">
        <v>81</v>
      </c>
      <c r="J5424" s="64" t="n">
        <v>70</v>
      </c>
      <c r="K5424" s="62" t="s">
        <v>138</v>
      </c>
      <c r="L5424" s="68" t="b">
        <f aca="false">FALSE()</f>
        <v>0</v>
      </c>
    </row>
    <row r="5425" customFormat="false" ht="15" hidden="false" customHeight="false" outlineLevel="0" collapsed="false">
      <c r="A5425" s="62" t="n">
        <v>1</v>
      </c>
      <c r="B5425" s="21" t="s">
        <v>336</v>
      </c>
      <c r="C5425" s="62" t="s">
        <v>60</v>
      </c>
      <c r="D5425" s="62" t="s">
        <v>385</v>
      </c>
      <c r="E5425" s="62" t="s">
        <v>382</v>
      </c>
      <c r="F5425" s="62" t="s">
        <v>382</v>
      </c>
      <c r="G5425" s="63" t="s">
        <v>533</v>
      </c>
      <c r="H5425" s="64" t="n">
        <v>70000</v>
      </c>
      <c r="I5425" s="62" t="s">
        <v>81</v>
      </c>
      <c r="J5425" s="64" t="n">
        <v>70</v>
      </c>
      <c r="K5425" s="62" t="s">
        <v>138</v>
      </c>
      <c r="L5425" s="68" t="b">
        <f aca="false">FALSE()</f>
        <v>0</v>
      </c>
    </row>
    <row r="5426" customFormat="false" ht="15" hidden="false" customHeight="false" outlineLevel="0" collapsed="false">
      <c r="A5426" s="62" t="n">
        <v>1</v>
      </c>
      <c r="B5426" s="21" t="s">
        <v>336</v>
      </c>
      <c r="C5426" s="62" t="s">
        <v>60</v>
      </c>
      <c r="D5426" s="62" t="s">
        <v>386</v>
      </c>
      <c r="E5426" s="62" t="s">
        <v>382</v>
      </c>
      <c r="F5426" s="62" t="s">
        <v>382</v>
      </c>
      <c r="G5426" s="63" t="s">
        <v>533</v>
      </c>
      <c r="H5426" s="64" t="n">
        <v>63700</v>
      </c>
      <c r="I5426" s="62" t="s">
        <v>81</v>
      </c>
      <c r="J5426" s="64" t="n">
        <v>63.7</v>
      </c>
      <c r="K5426" s="62" t="s">
        <v>138</v>
      </c>
      <c r="L5426" s="68" t="b">
        <f aca="false">FALSE()</f>
        <v>0</v>
      </c>
    </row>
    <row r="5427" customFormat="false" ht="15" hidden="false" customHeight="false" outlineLevel="0" collapsed="false">
      <c r="A5427" s="62" t="n">
        <v>1</v>
      </c>
      <c r="B5427" s="21" t="s">
        <v>336</v>
      </c>
      <c r="C5427" s="62" t="s">
        <v>60</v>
      </c>
      <c r="D5427" s="62" t="s">
        <v>387</v>
      </c>
      <c r="E5427" s="62" t="s">
        <v>382</v>
      </c>
      <c r="F5427" s="62" t="s">
        <v>382</v>
      </c>
      <c r="G5427" s="63" t="s">
        <v>533</v>
      </c>
      <c r="H5427" s="64" t="n">
        <v>70000</v>
      </c>
      <c r="I5427" s="62" t="s">
        <v>81</v>
      </c>
      <c r="J5427" s="64" t="n">
        <v>70</v>
      </c>
      <c r="K5427" s="62" t="s">
        <v>138</v>
      </c>
      <c r="L5427" s="68" t="b">
        <f aca="false">FALSE()</f>
        <v>0</v>
      </c>
    </row>
    <row r="5428" customFormat="false" ht="15" hidden="false" customHeight="false" outlineLevel="0" collapsed="false">
      <c r="A5428" s="62" t="n">
        <v>1</v>
      </c>
      <c r="B5428" s="21" t="s">
        <v>336</v>
      </c>
      <c r="C5428" s="62" t="s">
        <v>60</v>
      </c>
      <c r="D5428" s="62" t="s">
        <v>388</v>
      </c>
      <c r="E5428" s="62" t="s">
        <v>382</v>
      </c>
      <c r="F5428" s="62" t="s">
        <v>382</v>
      </c>
      <c r="G5428" s="63" t="s">
        <v>533</v>
      </c>
      <c r="H5428" s="64" t="n">
        <v>70000</v>
      </c>
      <c r="I5428" s="62" t="s">
        <v>81</v>
      </c>
      <c r="J5428" s="64" t="n">
        <v>70</v>
      </c>
      <c r="K5428" s="62" t="s">
        <v>138</v>
      </c>
      <c r="L5428" s="68" t="b">
        <f aca="false">FALSE()</f>
        <v>0</v>
      </c>
    </row>
    <row r="5429" customFormat="false" ht="15" hidden="false" customHeight="false" outlineLevel="0" collapsed="false">
      <c r="A5429" s="62" t="n">
        <v>1</v>
      </c>
      <c r="B5429" s="21" t="s">
        <v>336</v>
      </c>
      <c r="C5429" s="62" t="s">
        <v>60</v>
      </c>
      <c r="D5429" s="62" t="s">
        <v>381</v>
      </c>
      <c r="E5429" s="62" t="s">
        <v>382</v>
      </c>
      <c r="F5429" s="62" t="s">
        <v>382</v>
      </c>
      <c r="G5429" s="63" t="s">
        <v>796</v>
      </c>
      <c r="H5429" s="64" t="n">
        <v>113000</v>
      </c>
      <c r="I5429" s="62" t="s">
        <v>81</v>
      </c>
      <c r="J5429" s="64" t="n">
        <v>113</v>
      </c>
      <c r="K5429" s="62" t="s">
        <v>138</v>
      </c>
      <c r="L5429" s="68" t="b">
        <f aca="false">FALSE()</f>
        <v>0</v>
      </c>
    </row>
    <row r="5430" customFormat="false" ht="15" hidden="false" customHeight="false" outlineLevel="0" collapsed="false">
      <c r="A5430" s="62" t="n">
        <v>1</v>
      </c>
      <c r="B5430" s="21" t="s">
        <v>336</v>
      </c>
      <c r="C5430" s="62" t="s">
        <v>60</v>
      </c>
      <c r="D5430" s="62" t="s">
        <v>383</v>
      </c>
      <c r="E5430" s="62" t="s">
        <v>382</v>
      </c>
      <c r="F5430" s="62" t="s">
        <v>382</v>
      </c>
      <c r="G5430" s="63" t="s">
        <v>796</v>
      </c>
      <c r="H5430" s="64" t="n">
        <v>113000</v>
      </c>
      <c r="I5430" s="62" t="s">
        <v>81</v>
      </c>
      <c r="J5430" s="64" t="n">
        <v>113</v>
      </c>
      <c r="K5430" s="62" t="s">
        <v>138</v>
      </c>
      <c r="L5430" s="68" t="b">
        <f aca="false">FALSE()</f>
        <v>0</v>
      </c>
    </row>
    <row r="5431" customFormat="false" ht="15" hidden="false" customHeight="false" outlineLevel="0" collapsed="false">
      <c r="A5431" s="62" t="n">
        <v>1</v>
      </c>
      <c r="B5431" s="21" t="s">
        <v>336</v>
      </c>
      <c r="C5431" s="62" t="s">
        <v>60</v>
      </c>
      <c r="D5431" s="62" t="s">
        <v>384</v>
      </c>
      <c r="E5431" s="62" t="s">
        <v>382</v>
      </c>
      <c r="F5431" s="62" t="s">
        <v>382</v>
      </c>
      <c r="G5431" s="63" t="s">
        <v>796</v>
      </c>
      <c r="H5431" s="64" t="n">
        <v>113000</v>
      </c>
      <c r="I5431" s="62" t="s">
        <v>81</v>
      </c>
      <c r="J5431" s="64" t="n">
        <v>113</v>
      </c>
      <c r="K5431" s="62" t="s">
        <v>138</v>
      </c>
      <c r="L5431" s="68" t="b">
        <f aca="false">FALSE()</f>
        <v>0</v>
      </c>
    </row>
    <row r="5432" customFormat="false" ht="15" hidden="false" customHeight="false" outlineLevel="0" collapsed="false">
      <c r="A5432" s="62" t="n">
        <v>1</v>
      </c>
      <c r="B5432" s="21" t="s">
        <v>336</v>
      </c>
      <c r="C5432" s="62" t="s">
        <v>60</v>
      </c>
      <c r="D5432" s="62" t="s">
        <v>385</v>
      </c>
      <c r="E5432" s="62" t="s">
        <v>382</v>
      </c>
      <c r="F5432" s="62" t="s">
        <v>382</v>
      </c>
      <c r="G5432" s="63" t="s">
        <v>796</v>
      </c>
      <c r="H5432" s="64" t="n">
        <v>113000</v>
      </c>
      <c r="I5432" s="62" t="s">
        <v>81</v>
      </c>
      <c r="J5432" s="64" t="n">
        <v>113</v>
      </c>
      <c r="K5432" s="62" t="s">
        <v>138</v>
      </c>
      <c r="L5432" s="68" t="b">
        <f aca="false">FALSE()</f>
        <v>0</v>
      </c>
    </row>
    <row r="5433" customFormat="false" ht="15" hidden="false" customHeight="false" outlineLevel="0" collapsed="false">
      <c r="A5433" s="62" t="n">
        <v>1</v>
      </c>
      <c r="B5433" s="21" t="s">
        <v>336</v>
      </c>
      <c r="C5433" s="62" t="s">
        <v>60</v>
      </c>
      <c r="D5433" s="62" t="s">
        <v>386</v>
      </c>
      <c r="E5433" s="62" t="s">
        <v>382</v>
      </c>
      <c r="F5433" s="62" t="s">
        <v>382</v>
      </c>
      <c r="G5433" s="63" t="s">
        <v>796</v>
      </c>
      <c r="H5433" s="64" t="n">
        <v>102830</v>
      </c>
      <c r="I5433" s="62" t="s">
        <v>81</v>
      </c>
      <c r="J5433" s="64" t="n">
        <v>102.83</v>
      </c>
      <c r="K5433" s="62" t="s">
        <v>138</v>
      </c>
      <c r="L5433" s="68" t="b">
        <f aca="false">FALSE()</f>
        <v>0</v>
      </c>
    </row>
    <row r="5434" customFormat="false" ht="15" hidden="false" customHeight="false" outlineLevel="0" collapsed="false">
      <c r="A5434" s="62" t="n">
        <v>1</v>
      </c>
      <c r="B5434" s="21" t="s">
        <v>336</v>
      </c>
      <c r="C5434" s="62" t="s">
        <v>60</v>
      </c>
      <c r="D5434" s="62" t="s">
        <v>387</v>
      </c>
      <c r="E5434" s="62" t="s">
        <v>382</v>
      </c>
      <c r="F5434" s="62" t="s">
        <v>382</v>
      </c>
      <c r="G5434" s="63" t="s">
        <v>796</v>
      </c>
      <c r="H5434" s="64" t="n">
        <v>113000</v>
      </c>
      <c r="I5434" s="62" t="s">
        <v>81</v>
      </c>
      <c r="J5434" s="64" t="n">
        <v>113</v>
      </c>
      <c r="K5434" s="62" t="s">
        <v>138</v>
      </c>
      <c r="L5434" s="68" t="b">
        <f aca="false">FALSE()</f>
        <v>0</v>
      </c>
    </row>
    <row r="5435" customFormat="false" ht="15" hidden="false" customHeight="false" outlineLevel="0" collapsed="false">
      <c r="A5435" s="62" t="n">
        <v>1</v>
      </c>
      <c r="B5435" s="21" t="s">
        <v>336</v>
      </c>
      <c r="C5435" s="62" t="s">
        <v>60</v>
      </c>
      <c r="D5435" s="62" t="s">
        <v>388</v>
      </c>
      <c r="E5435" s="62" t="s">
        <v>382</v>
      </c>
      <c r="F5435" s="62" t="s">
        <v>382</v>
      </c>
      <c r="G5435" s="63" t="s">
        <v>796</v>
      </c>
      <c r="H5435" s="64" t="n">
        <v>113000</v>
      </c>
      <c r="I5435" s="62" t="s">
        <v>81</v>
      </c>
      <c r="J5435" s="64" t="n">
        <v>113</v>
      </c>
      <c r="K5435" s="62" t="s">
        <v>138</v>
      </c>
      <c r="L5435" s="68" t="b">
        <f aca="false">FALSE()</f>
        <v>0</v>
      </c>
    </row>
    <row r="5436" customFormat="false" ht="15" hidden="false" customHeight="false" outlineLevel="0" collapsed="false">
      <c r="A5436" s="62" t="n">
        <v>1</v>
      </c>
      <c r="B5436" s="21" t="s">
        <v>336</v>
      </c>
      <c r="C5436" s="62" t="s">
        <v>60</v>
      </c>
      <c r="D5436" s="62" t="s">
        <v>381</v>
      </c>
      <c r="E5436" s="62" t="s">
        <v>382</v>
      </c>
      <c r="F5436" s="62" t="s">
        <v>382</v>
      </c>
      <c r="G5436" s="63" t="s">
        <v>534</v>
      </c>
      <c r="H5436" s="64" t="n">
        <v>59628528.5133529</v>
      </c>
      <c r="I5436" s="62" t="s">
        <v>81</v>
      </c>
      <c r="J5436" s="64" t="n">
        <v>59628.5285133529</v>
      </c>
      <c r="K5436" s="62" t="s">
        <v>138</v>
      </c>
      <c r="L5436" s="68" t="b">
        <f aca="false">FALSE()</f>
        <v>0</v>
      </c>
    </row>
    <row r="5437" customFormat="false" ht="15" hidden="false" customHeight="false" outlineLevel="0" collapsed="false">
      <c r="A5437" s="62" t="n">
        <v>1</v>
      </c>
      <c r="B5437" s="21" t="s">
        <v>336</v>
      </c>
      <c r="C5437" s="62" t="s">
        <v>60</v>
      </c>
      <c r="D5437" s="62" t="s">
        <v>383</v>
      </c>
      <c r="E5437" s="62" t="s">
        <v>382</v>
      </c>
      <c r="F5437" s="62" t="s">
        <v>382</v>
      </c>
      <c r="G5437" s="63" t="s">
        <v>534</v>
      </c>
      <c r="H5437" s="64" t="n">
        <v>58110876.3346489</v>
      </c>
      <c r="I5437" s="62" t="s">
        <v>81</v>
      </c>
      <c r="J5437" s="64" t="n">
        <v>58110.8763346489</v>
      </c>
      <c r="K5437" s="62" t="s">
        <v>138</v>
      </c>
      <c r="L5437" s="68" t="b">
        <f aca="false">FALSE()</f>
        <v>0</v>
      </c>
    </row>
    <row r="5438" customFormat="false" ht="15" hidden="false" customHeight="false" outlineLevel="0" collapsed="false">
      <c r="A5438" s="62" t="n">
        <v>1</v>
      </c>
      <c r="B5438" s="21" t="s">
        <v>336</v>
      </c>
      <c r="C5438" s="62" t="s">
        <v>60</v>
      </c>
      <c r="D5438" s="62" t="s">
        <v>384</v>
      </c>
      <c r="E5438" s="62" t="s">
        <v>382</v>
      </c>
      <c r="F5438" s="62" t="s">
        <v>382</v>
      </c>
      <c r="G5438" s="63" t="s">
        <v>534</v>
      </c>
      <c r="H5438" s="64" t="n">
        <v>75280180.8045308</v>
      </c>
      <c r="I5438" s="62" t="s">
        <v>81</v>
      </c>
      <c r="J5438" s="64" t="n">
        <v>75280.1808045308</v>
      </c>
      <c r="K5438" s="62" t="s">
        <v>138</v>
      </c>
      <c r="L5438" s="68" t="b">
        <f aca="false">FALSE()</f>
        <v>0</v>
      </c>
    </row>
    <row r="5439" customFormat="false" ht="15" hidden="false" customHeight="false" outlineLevel="0" collapsed="false">
      <c r="A5439" s="62" t="n">
        <v>1</v>
      </c>
      <c r="B5439" s="21" t="s">
        <v>336</v>
      </c>
      <c r="C5439" s="62" t="s">
        <v>60</v>
      </c>
      <c r="D5439" s="62" t="s">
        <v>385</v>
      </c>
      <c r="E5439" s="62" t="s">
        <v>382</v>
      </c>
      <c r="F5439" s="62" t="s">
        <v>382</v>
      </c>
      <c r="G5439" s="63" t="s">
        <v>534</v>
      </c>
      <c r="H5439" s="64" t="n">
        <v>25157113.3721179</v>
      </c>
      <c r="I5439" s="62" t="s">
        <v>81</v>
      </c>
      <c r="J5439" s="64" t="n">
        <v>25157.1133721179</v>
      </c>
      <c r="K5439" s="62" t="s">
        <v>138</v>
      </c>
      <c r="L5439" s="68" t="b">
        <f aca="false">FALSE()</f>
        <v>0</v>
      </c>
    </row>
    <row r="5440" customFormat="false" ht="15" hidden="false" customHeight="false" outlineLevel="0" collapsed="false">
      <c r="A5440" s="62" t="n">
        <v>1</v>
      </c>
      <c r="B5440" s="21" t="s">
        <v>336</v>
      </c>
      <c r="C5440" s="62" t="s">
        <v>60</v>
      </c>
      <c r="D5440" s="62" t="s">
        <v>386</v>
      </c>
      <c r="E5440" s="62" t="s">
        <v>382</v>
      </c>
      <c r="F5440" s="62" t="s">
        <v>382</v>
      </c>
      <c r="G5440" s="63" t="s">
        <v>534</v>
      </c>
      <c r="H5440" s="64" t="n">
        <v>53006362.5</v>
      </c>
      <c r="I5440" s="62" t="s">
        <v>81</v>
      </c>
      <c r="J5440" s="64" t="n">
        <v>53006.3625</v>
      </c>
      <c r="K5440" s="62" t="s">
        <v>138</v>
      </c>
      <c r="L5440" s="68" t="b">
        <f aca="false">FALSE()</f>
        <v>0</v>
      </c>
    </row>
    <row r="5441" customFormat="false" ht="15" hidden="false" customHeight="false" outlineLevel="0" collapsed="false">
      <c r="A5441" s="62" t="n">
        <v>1</v>
      </c>
      <c r="B5441" s="21" t="s">
        <v>336</v>
      </c>
      <c r="C5441" s="62" t="s">
        <v>60</v>
      </c>
      <c r="D5441" s="62" t="s">
        <v>387</v>
      </c>
      <c r="E5441" s="62" t="s">
        <v>382</v>
      </c>
      <c r="F5441" s="62" t="s">
        <v>382</v>
      </c>
      <c r="G5441" s="63" t="s">
        <v>534</v>
      </c>
      <c r="H5441" s="64" t="n">
        <v>42734289.284302</v>
      </c>
      <c r="I5441" s="62" t="s">
        <v>81</v>
      </c>
      <c r="J5441" s="64" t="n">
        <v>42734.289284302</v>
      </c>
      <c r="K5441" s="62" t="s">
        <v>138</v>
      </c>
      <c r="L5441" s="68" t="b">
        <f aca="false">FALSE()</f>
        <v>0</v>
      </c>
    </row>
    <row r="5442" customFormat="false" ht="15" hidden="false" customHeight="false" outlineLevel="0" collapsed="false">
      <c r="A5442" s="62" t="n">
        <v>1</v>
      </c>
      <c r="B5442" s="21" t="s">
        <v>336</v>
      </c>
      <c r="C5442" s="62" t="s">
        <v>60</v>
      </c>
      <c r="D5442" s="62" t="s">
        <v>388</v>
      </c>
      <c r="E5442" s="62" t="s">
        <v>382</v>
      </c>
      <c r="F5442" s="62" t="s">
        <v>382</v>
      </c>
      <c r="G5442" s="63" t="s">
        <v>534</v>
      </c>
      <c r="H5442" s="64" t="n">
        <v>24612000</v>
      </c>
      <c r="I5442" s="62" t="s">
        <v>81</v>
      </c>
      <c r="J5442" s="64" t="n">
        <v>24612</v>
      </c>
      <c r="K5442" s="62" t="s">
        <v>138</v>
      </c>
      <c r="L5442" s="68" t="b">
        <f aca="false">FALSE()</f>
        <v>0</v>
      </c>
    </row>
    <row r="5443" customFormat="false" ht="15" hidden="false" customHeight="false" outlineLevel="0" collapsed="false">
      <c r="A5443" s="62" t="n">
        <v>1</v>
      </c>
      <c r="B5443" s="21" t="s">
        <v>336</v>
      </c>
      <c r="C5443" s="62" t="s">
        <v>60</v>
      </c>
      <c r="D5443" s="62" t="s">
        <v>381</v>
      </c>
      <c r="E5443" s="62" t="s">
        <v>382</v>
      </c>
      <c r="F5443" s="62" t="s">
        <v>382</v>
      </c>
      <c r="G5443" s="63" t="s">
        <v>535</v>
      </c>
      <c r="H5443" s="64" t="n">
        <v>9000</v>
      </c>
      <c r="I5443" s="62" t="s">
        <v>81</v>
      </c>
      <c r="J5443" s="64" t="n">
        <v>9</v>
      </c>
      <c r="K5443" s="62" t="s">
        <v>138</v>
      </c>
      <c r="L5443" s="68" t="b">
        <f aca="false">FALSE()</f>
        <v>0</v>
      </c>
    </row>
    <row r="5444" customFormat="false" ht="15" hidden="false" customHeight="false" outlineLevel="0" collapsed="false">
      <c r="A5444" s="62" t="n">
        <v>1</v>
      </c>
      <c r="B5444" s="21" t="s">
        <v>336</v>
      </c>
      <c r="C5444" s="62" t="s">
        <v>60</v>
      </c>
      <c r="D5444" s="62" t="s">
        <v>383</v>
      </c>
      <c r="E5444" s="62" t="s">
        <v>382</v>
      </c>
      <c r="F5444" s="62" t="s">
        <v>382</v>
      </c>
      <c r="G5444" s="63" t="s">
        <v>535</v>
      </c>
      <c r="H5444" s="64" t="n">
        <v>8100</v>
      </c>
      <c r="I5444" s="62" t="s">
        <v>81</v>
      </c>
      <c r="J5444" s="64" t="n">
        <v>8.1</v>
      </c>
      <c r="K5444" s="62" t="s">
        <v>138</v>
      </c>
      <c r="L5444" s="68" t="b">
        <f aca="false">FALSE()</f>
        <v>0</v>
      </c>
    </row>
    <row r="5445" customFormat="false" ht="15" hidden="false" customHeight="false" outlineLevel="0" collapsed="false">
      <c r="A5445" s="62" t="n">
        <v>1</v>
      </c>
      <c r="B5445" s="21" t="s">
        <v>336</v>
      </c>
      <c r="C5445" s="62" t="s">
        <v>60</v>
      </c>
      <c r="D5445" s="62" t="s">
        <v>384</v>
      </c>
      <c r="E5445" s="62" t="s">
        <v>382</v>
      </c>
      <c r="F5445" s="62" t="s">
        <v>382</v>
      </c>
      <c r="G5445" s="63" t="s">
        <v>535</v>
      </c>
      <c r="H5445" s="64" t="n">
        <v>9000</v>
      </c>
      <c r="I5445" s="62" t="s">
        <v>81</v>
      </c>
      <c r="J5445" s="64" t="n">
        <v>9</v>
      </c>
      <c r="K5445" s="62" t="s">
        <v>138</v>
      </c>
      <c r="L5445" s="68" t="b">
        <f aca="false">FALSE()</f>
        <v>0</v>
      </c>
    </row>
    <row r="5446" customFormat="false" ht="15" hidden="false" customHeight="false" outlineLevel="0" collapsed="false">
      <c r="A5446" s="62" t="n">
        <v>1</v>
      </c>
      <c r="B5446" s="21" t="s">
        <v>336</v>
      </c>
      <c r="C5446" s="62" t="s">
        <v>60</v>
      </c>
      <c r="D5446" s="62" t="s">
        <v>385</v>
      </c>
      <c r="E5446" s="62" t="s">
        <v>382</v>
      </c>
      <c r="F5446" s="62" t="s">
        <v>382</v>
      </c>
      <c r="G5446" s="63" t="s">
        <v>535</v>
      </c>
      <c r="H5446" s="64" t="n">
        <v>8100</v>
      </c>
      <c r="I5446" s="62" t="s">
        <v>81</v>
      </c>
      <c r="J5446" s="64" t="n">
        <v>8.1</v>
      </c>
      <c r="K5446" s="62" t="s">
        <v>138</v>
      </c>
      <c r="L5446" s="68" t="b">
        <f aca="false">FALSE()</f>
        <v>0</v>
      </c>
    </row>
    <row r="5447" customFormat="false" ht="15" hidden="false" customHeight="false" outlineLevel="0" collapsed="false">
      <c r="A5447" s="62" t="n">
        <v>1</v>
      </c>
      <c r="B5447" s="21" t="s">
        <v>336</v>
      </c>
      <c r="C5447" s="62" t="s">
        <v>60</v>
      </c>
      <c r="D5447" s="62" t="s">
        <v>386</v>
      </c>
      <c r="E5447" s="62" t="s">
        <v>382</v>
      </c>
      <c r="F5447" s="62" t="s">
        <v>382</v>
      </c>
      <c r="G5447" s="63" t="s">
        <v>535</v>
      </c>
      <c r="H5447" s="64" t="n">
        <v>8100</v>
      </c>
      <c r="I5447" s="62" t="s">
        <v>81</v>
      </c>
      <c r="J5447" s="64" t="n">
        <v>8.1</v>
      </c>
      <c r="K5447" s="62" t="s">
        <v>138</v>
      </c>
      <c r="L5447" s="68" t="b">
        <f aca="false">FALSE()</f>
        <v>0</v>
      </c>
    </row>
    <row r="5448" customFormat="false" ht="15" hidden="false" customHeight="false" outlineLevel="0" collapsed="false">
      <c r="A5448" s="62" t="n">
        <v>1</v>
      </c>
      <c r="B5448" s="21" t="s">
        <v>336</v>
      </c>
      <c r="C5448" s="62" t="s">
        <v>60</v>
      </c>
      <c r="D5448" s="62" t="s">
        <v>387</v>
      </c>
      <c r="E5448" s="62" t="s">
        <v>382</v>
      </c>
      <c r="F5448" s="62" t="s">
        <v>382</v>
      </c>
      <c r="G5448" s="63" t="s">
        <v>535</v>
      </c>
      <c r="H5448" s="64" t="n">
        <v>9000</v>
      </c>
      <c r="I5448" s="62" t="s">
        <v>81</v>
      </c>
      <c r="J5448" s="64" t="n">
        <v>9</v>
      </c>
      <c r="K5448" s="62" t="s">
        <v>138</v>
      </c>
      <c r="L5448" s="68" t="b">
        <f aca="false">FALSE()</f>
        <v>0</v>
      </c>
    </row>
    <row r="5449" customFormat="false" ht="15" hidden="false" customHeight="false" outlineLevel="0" collapsed="false">
      <c r="A5449" s="62" t="n">
        <v>1</v>
      </c>
      <c r="B5449" s="21" t="s">
        <v>336</v>
      </c>
      <c r="C5449" s="62" t="s">
        <v>60</v>
      </c>
      <c r="D5449" s="62" t="s">
        <v>388</v>
      </c>
      <c r="E5449" s="62" t="s">
        <v>382</v>
      </c>
      <c r="F5449" s="62" t="s">
        <v>382</v>
      </c>
      <c r="G5449" s="63" t="s">
        <v>535</v>
      </c>
      <c r="H5449" s="64" t="n">
        <v>8100</v>
      </c>
      <c r="I5449" s="62" t="s">
        <v>81</v>
      </c>
      <c r="J5449" s="64" t="n">
        <v>8.1</v>
      </c>
      <c r="K5449" s="62" t="s">
        <v>138</v>
      </c>
      <c r="L5449" s="68" t="b">
        <f aca="false">FALSE()</f>
        <v>0</v>
      </c>
    </row>
    <row r="5450" customFormat="false" ht="15" hidden="false" customHeight="false" outlineLevel="0" collapsed="false">
      <c r="A5450" s="62" t="n">
        <v>1</v>
      </c>
      <c r="B5450" s="21" t="s">
        <v>336</v>
      </c>
      <c r="C5450" s="62" t="s">
        <v>60</v>
      </c>
      <c r="D5450" s="62" t="s">
        <v>381</v>
      </c>
      <c r="E5450" s="62" t="s">
        <v>382</v>
      </c>
      <c r="F5450" s="62" t="s">
        <v>382</v>
      </c>
      <c r="G5450" s="63" t="s">
        <v>797</v>
      </c>
      <c r="H5450" s="64" t="n">
        <v>12000</v>
      </c>
      <c r="I5450" s="62" t="s">
        <v>81</v>
      </c>
      <c r="J5450" s="64" t="n">
        <v>12</v>
      </c>
      <c r="K5450" s="62" t="s">
        <v>138</v>
      </c>
      <c r="L5450" s="68" t="b">
        <f aca="false">FALSE()</f>
        <v>0</v>
      </c>
    </row>
    <row r="5451" customFormat="false" ht="15" hidden="false" customHeight="false" outlineLevel="0" collapsed="false">
      <c r="A5451" s="62" t="n">
        <v>1</v>
      </c>
      <c r="B5451" s="21" t="s">
        <v>336</v>
      </c>
      <c r="C5451" s="62" t="s">
        <v>60</v>
      </c>
      <c r="D5451" s="62" t="s">
        <v>383</v>
      </c>
      <c r="E5451" s="62" t="s">
        <v>382</v>
      </c>
      <c r="F5451" s="62" t="s">
        <v>382</v>
      </c>
      <c r="G5451" s="63" t="s">
        <v>797</v>
      </c>
      <c r="H5451" s="64" t="n">
        <v>10800</v>
      </c>
      <c r="I5451" s="62" t="s">
        <v>81</v>
      </c>
      <c r="J5451" s="64" t="n">
        <v>10.8</v>
      </c>
      <c r="K5451" s="62" t="s">
        <v>138</v>
      </c>
      <c r="L5451" s="68" t="b">
        <f aca="false">FALSE()</f>
        <v>0</v>
      </c>
    </row>
    <row r="5452" customFormat="false" ht="15" hidden="false" customHeight="false" outlineLevel="0" collapsed="false">
      <c r="A5452" s="62" t="n">
        <v>1</v>
      </c>
      <c r="B5452" s="21" t="s">
        <v>336</v>
      </c>
      <c r="C5452" s="62" t="s">
        <v>60</v>
      </c>
      <c r="D5452" s="62" t="s">
        <v>384</v>
      </c>
      <c r="E5452" s="62" t="s">
        <v>382</v>
      </c>
      <c r="F5452" s="62" t="s">
        <v>382</v>
      </c>
      <c r="G5452" s="63" t="s">
        <v>797</v>
      </c>
      <c r="H5452" s="64" t="n">
        <v>12000</v>
      </c>
      <c r="I5452" s="62" t="s">
        <v>81</v>
      </c>
      <c r="J5452" s="64" t="n">
        <v>12</v>
      </c>
      <c r="K5452" s="62" t="s">
        <v>138</v>
      </c>
      <c r="L5452" s="68" t="b">
        <f aca="false">FALSE()</f>
        <v>0</v>
      </c>
    </row>
    <row r="5453" customFormat="false" ht="15" hidden="false" customHeight="false" outlineLevel="0" collapsed="false">
      <c r="A5453" s="62" t="n">
        <v>1</v>
      </c>
      <c r="B5453" s="21" t="s">
        <v>336</v>
      </c>
      <c r="C5453" s="62" t="s">
        <v>60</v>
      </c>
      <c r="D5453" s="62" t="s">
        <v>385</v>
      </c>
      <c r="E5453" s="62" t="s">
        <v>382</v>
      </c>
      <c r="F5453" s="62" t="s">
        <v>382</v>
      </c>
      <c r="G5453" s="63" t="s">
        <v>797</v>
      </c>
      <c r="H5453" s="64" t="n">
        <v>10800</v>
      </c>
      <c r="I5453" s="62" t="s">
        <v>81</v>
      </c>
      <c r="J5453" s="64" t="n">
        <v>10.8</v>
      </c>
      <c r="K5453" s="62" t="s">
        <v>138</v>
      </c>
      <c r="L5453" s="68" t="b">
        <f aca="false">FALSE()</f>
        <v>0</v>
      </c>
    </row>
    <row r="5454" customFormat="false" ht="15" hidden="false" customHeight="false" outlineLevel="0" collapsed="false">
      <c r="A5454" s="62" t="n">
        <v>1</v>
      </c>
      <c r="B5454" s="21" t="s">
        <v>336</v>
      </c>
      <c r="C5454" s="62" t="s">
        <v>60</v>
      </c>
      <c r="D5454" s="62" t="s">
        <v>386</v>
      </c>
      <c r="E5454" s="62" t="s">
        <v>382</v>
      </c>
      <c r="F5454" s="62" t="s">
        <v>382</v>
      </c>
      <c r="G5454" s="63" t="s">
        <v>797</v>
      </c>
      <c r="H5454" s="64" t="n">
        <v>10800</v>
      </c>
      <c r="I5454" s="62" t="s">
        <v>81</v>
      </c>
      <c r="J5454" s="64" t="n">
        <v>10.8</v>
      </c>
      <c r="K5454" s="62" t="s">
        <v>138</v>
      </c>
      <c r="L5454" s="68" t="b">
        <f aca="false">FALSE()</f>
        <v>0</v>
      </c>
    </row>
    <row r="5455" customFormat="false" ht="15" hidden="false" customHeight="false" outlineLevel="0" collapsed="false">
      <c r="A5455" s="62" t="n">
        <v>1</v>
      </c>
      <c r="B5455" s="21" t="s">
        <v>336</v>
      </c>
      <c r="C5455" s="62" t="s">
        <v>60</v>
      </c>
      <c r="D5455" s="62" t="s">
        <v>387</v>
      </c>
      <c r="E5455" s="62" t="s">
        <v>382</v>
      </c>
      <c r="F5455" s="62" t="s">
        <v>382</v>
      </c>
      <c r="G5455" s="63" t="s">
        <v>797</v>
      </c>
      <c r="H5455" s="64" t="n">
        <v>12000</v>
      </c>
      <c r="I5455" s="62" t="s">
        <v>81</v>
      </c>
      <c r="J5455" s="64" t="n">
        <v>12</v>
      </c>
      <c r="K5455" s="62" t="s">
        <v>138</v>
      </c>
      <c r="L5455" s="68" t="b">
        <f aca="false">FALSE()</f>
        <v>0</v>
      </c>
    </row>
    <row r="5456" customFormat="false" ht="15" hidden="false" customHeight="false" outlineLevel="0" collapsed="false">
      <c r="A5456" s="62" t="n">
        <v>1</v>
      </c>
      <c r="B5456" s="21" t="s">
        <v>336</v>
      </c>
      <c r="C5456" s="62" t="s">
        <v>60</v>
      </c>
      <c r="D5456" s="62" t="s">
        <v>388</v>
      </c>
      <c r="E5456" s="62" t="s">
        <v>382</v>
      </c>
      <c r="F5456" s="62" t="s">
        <v>382</v>
      </c>
      <c r="G5456" s="63" t="s">
        <v>797</v>
      </c>
      <c r="H5456" s="64" t="n">
        <v>10800</v>
      </c>
      <c r="I5456" s="62" t="s">
        <v>81</v>
      </c>
      <c r="J5456" s="64" t="n">
        <v>10.8</v>
      </c>
      <c r="K5456" s="62" t="s">
        <v>138</v>
      </c>
      <c r="L5456" s="68" t="b">
        <f aca="false">FALSE()</f>
        <v>0</v>
      </c>
    </row>
    <row r="5457" customFormat="false" ht="15" hidden="false" customHeight="false" outlineLevel="0" collapsed="false">
      <c r="A5457" s="62" t="n">
        <v>1</v>
      </c>
      <c r="B5457" s="21" t="s">
        <v>336</v>
      </c>
      <c r="C5457" s="62" t="s">
        <v>60</v>
      </c>
      <c r="D5457" s="62" t="s">
        <v>381</v>
      </c>
      <c r="E5457" s="62" t="s">
        <v>382</v>
      </c>
      <c r="F5457" s="62" t="s">
        <v>382</v>
      </c>
      <c r="G5457" s="63" t="s">
        <v>536</v>
      </c>
      <c r="H5457" s="64" t="n">
        <v>7272056.12531181</v>
      </c>
      <c r="I5457" s="62" t="s">
        <v>81</v>
      </c>
      <c r="J5457" s="64" t="n">
        <v>7272.05612531181</v>
      </c>
      <c r="K5457" s="62" t="s">
        <v>138</v>
      </c>
      <c r="L5457" s="68" t="b">
        <f aca="false">FALSE()</f>
        <v>0</v>
      </c>
    </row>
    <row r="5458" customFormat="false" ht="15" hidden="false" customHeight="false" outlineLevel="0" collapsed="false">
      <c r="A5458" s="62" t="n">
        <v>1</v>
      </c>
      <c r="B5458" s="21" t="s">
        <v>336</v>
      </c>
      <c r="C5458" s="62" t="s">
        <v>60</v>
      </c>
      <c r="D5458" s="62" t="s">
        <v>383</v>
      </c>
      <c r="E5458" s="62" t="s">
        <v>382</v>
      </c>
      <c r="F5458" s="62" t="s">
        <v>382</v>
      </c>
      <c r="G5458" s="63" t="s">
        <v>536</v>
      </c>
      <c r="H5458" s="64" t="n">
        <v>6113229.2615808</v>
      </c>
      <c r="I5458" s="62" t="s">
        <v>81</v>
      </c>
      <c r="J5458" s="64" t="n">
        <v>6113.2292615808</v>
      </c>
      <c r="K5458" s="62" t="s">
        <v>138</v>
      </c>
      <c r="L5458" s="68" t="b">
        <f aca="false">FALSE()</f>
        <v>0</v>
      </c>
    </row>
    <row r="5459" customFormat="false" ht="15" hidden="false" customHeight="false" outlineLevel="0" collapsed="false">
      <c r="A5459" s="62" t="n">
        <v>1</v>
      </c>
      <c r="B5459" s="21" t="s">
        <v>336</v>
      </c>
      <c r="C5459" s="62" t="s">
        <v>60</v>
      </c>
      <c r="D5459" s="62" t="s">
        <v>384</v>
      </c>
      <c r="E5459" s="62" t="s">
        <v>382</v>
      </c>
      <c r="F5459" s="62" t="s">
        <v>382</v>
      </c>
      <c r="G5459" s="63" t="s">
        <v>536</v>
      </c>
      <c r="H5459" s="64" t="n">
        <v>9678880.38915396</v>
      </c>
      <c r="I5459" s="62" t="s">
        <v>81</v>
      </c>
      <c r="J5459" s="64" t="n">
        <v>9678.88038915396</v>
      </c>
      <c r="K5459" s="62" t="s">
        <v>138</v>
      </c>
      <c r="L5459" s="68" t="b">
        <f aca="false">FALSE()</f>
        <v>0</v>
      </c>
    </row>
    <row r="5460" customFormat="false" ht="15" hidden="false" customHeight="false" outlineLevel="0" collapsed="false">
      <c r="A5460" s="62" t="n">
        <v>1</v>
      </c>
      <c r="B5460" s="21" t="s">
        <v>336</v>
      </c>
      <c r="C5460" s="62" t="s">
        <v>60</v>
      </c>
      <c r="D5460" s="62" t="s">
        <v>385</v>
      </c>
      <c r="E5460" s="62" t="s">
        <v>382</v>
      </c>
      <c r="F5460" s="62" t="s">
        <v>382</v>
      </c>
      <c r="G5460" s="63" t="s">
        <v>536</v>
      </c>
      <c r="H5460" s="64" t="n">
        <v>2911037.40448793</v>
      </c>
      <c r="I5460" s="62" t="s">
        <v>81</v>
      </c>
      <c r="J5460" s="64" t="n">
        <v>2911.03740448793</v>
      </c>
      <c r="K5460" s="62" t="s">
        <v>138</v>
      </c>
      <c r="L5460" s="68" t="b">
        <f aca="false">FALSE()</f>
        <v>0</v>
      </c>
    </row>
    <row r="5461" customFormat="false" ht="15" hidden="false" customHeight="false" outlineLevel="0" collapsed="false">
      <c r="A5461" s="62" t="n">
        <v>1</v>
      </c>
      <c r="B5461" s="21" t="s">
        <v>336</v>
      </c>
      <c r="C5461" s="62" t="s">
        <v>60</v>
      </c>
      <c r="D5461" s="62" t="s">
        <v>386</v>
      </c>
      <c r="E5461" s="62" t="s">
        <v>382</v>
      </c>
      <c r="F5461" s="62" t="s">
        <v>382</v>
      </c>
      <c r="G5461" s="63" t="s">
        <v>536</v>
      </c>
      <c r="H5461" s="64" t="n">
        <v>6740212.5</v>
      </c>
      <c r="I5461" s="62" t="s">
        <v>81</v>
      </c>
      <c r="J5461" s="64" t="n">
        <v>6740.2125</v>
      </c>
      <c r="K5461" s="62" t="s">
        <v>138</v>
      </c>
      <c r="L5461" s="68" t="b">
        <f aca="false">FALSE()</f>
        <v>0</v>
      </c>
    </row>
    <row r="5462" customFormat="false" ht="15" hidden="false" customHeight="false" outlineLevel="0" collapsed="false">
      <c r="A5462" s="62" t="n">
        <v>1</v>
      </c>
      <c r="B5462" s="21" t="s">
        <v>336</v>
      </c>
      <c r="C5462" s="62" t="s">
        <v>60</v>
      </c>
      <c r="D5462" s="62" t="s">
        <v>387</v>
      </c>
      <c r="E5462" s="62" t="s">
        <v>382</v>
      </c>
      <c r="F5462" s="62" t="s">
        <v>382</v>
      </c>
      <c r="G5462" s="63" t="s">
        <v>536</v>
      </c>
      <c r="H5462" s="64" t="n">
        <v>5214242.90798169</v>
      </c>
      <c r="I5462" s="62" t="s">
        <v>81</v>
      </c>
      <c r="J5462" s="64" t="n">
        <v>5214.24290798169</v>
      </c>
      <c r="K5462" s="62" t="s">
        <v>138</v>
      </c>
      <c r="L5462" s="68" t="b">
        <f aca="false">FALSE()</f>
        <v>0</v>
      </c>
    </row>
    <row r="5463" customFormat="false" ht="15" hidden="false" customHeight="false" outlineLevel="0" collapsed="false">
      <c r="A5463" s="62" t="n">
        <v>1</v>
      </c>
      <c r="B5463" s="21" t="s">
        <v>336</v>
      </c>
      <c r="C5463" s="62" t="s">
        <v>60</v>
      </c>
      <c r="D5463" s="62" t="s">
        <v>388</v>
      </c>
      <c r="E5463" s="62" t="s">
        <v>382</v>
      </c>
      <c r="F5463" s="62" t="s">
        <v>382</v>
      </c>
      <c r="G5463" s="63" t="s">
        <v>536</v>
      </c>
      <c r="H5463" s="64" t="n">
        <v>2656800</v>
      </c>
      <c r="I5463" s="62" t="s">
        <v>81</v>
      </c>
      <c r="J5463" s="64" t="n">
        <v>2656.8</v>
      </c>
      <c r="K5463" s="62" t="s">
        <v>138</v>
      </c>
      <c r="L5463" s="68" t="b">
        <f aca="false">FALSE()</f>
        <v>0</v>
      </c>
    </row>
    <row r="5464" customFormat="false" ht="15" hidden="false" customHeight="false" outlineLevel="0" collapsed="false">
      <c r="A5464" s="62" t="n">
        <v>1</v>
      </c>
      <c r="B5464" s="21" t="s">
        <v>336</v>
      </c>
      <c r="C5464" s="62" t="s">
        <v>60</v>
      </c>
      <c r="D5464" s="62" t="s">
        <v>381</v>
      </c>
      <c r="E5464" s="62" t="s">
        <v>382</v>
      </c>
      <c r="F5464" s="62" t="s">
        <v>382</v>
      </c>
      <c r="G5464" s="63" t="s">
        <v>537</v>
      </c>
      <c r="H5464" s="64" t="s">
        <v>538</v>
      </c>
      <c r="I5464" s="62" t="s">
        <v>138</v>
      </c>
      <c r="J5464" s="64" t="s">
        <v>538</v>
      </c>
      <c r="K5464" s="62" t="s">
        <v>138</v>
      </c>
      <c r="L5464" s="68" t="b">
        <f aca="false">TRUE()</f>
        <v>1</v>
      </c>
    </row>
    <row r="5465" customFormat="false" ht="15" hidden="false" customHeight="false" outlineLevel="0" collapsed="false">
      <c r="A5465" s="62" t="n">
        <v>1</v>
      </c>
      <c r="B5465" s="21" t="s">
        <v>336</v>
      </c>
      <c r="C5465" s="62" t="s">
        <v>60</v>
      </c>
      <c r="D5465" s="62" t="s">
        <v>383</v>
      </c>
      <c r="E5465" s="62" t="s">
        <v>382</v>
      </c>
      <c r="F5465" s="62" t="s">
        <v>382</v>
      </c>
      <c r="G5465" s="63" t="s">
        <v>537</v>
      </c>
      <c r="H5465" s="64" t="s">
        <v>538</v>
      </c>
      <c r="I5465" s="62" t="s">
        <v>138</v>
      </c>
      <c r="J5465" s="64" t="s">
        <v>538</v>
      </c>
      <c r="K5465" s="62" t="s">
        <v>138</v>
      </c>
      <c r="L5465" s="68" t="b">
        <f aca="false">TRUE()</f>
        <v>1</v>
      </c>
    </row>
    <row r="5466" customFormat="false" ht="15" hidden="false" customHeight="false" outlineLevel="0" collapsed="false">
      <c r="A5466" s="62" t="n">
        <v>1</v>
      </c>
      <c r="B5466" s="21" t="s">
        <v>336</v>
      </c>
      <c r="C5466" s="62" t="s">
        <v>60</v>
      </c>
      <c r="D5466" s="62" t="s">
        <v>384</v>
      </c>
      <c r="E5466" s="62" t="s">
        <v>382</v>
      </c>
      <c r="F5466" s="62" t="s">
        <v>382</v>
      </c>
      <c r="G5466" s="63" t="s">
        <v>537</v>
      </c>
      <c r="H5466" s="64" t="s">
        <v>798</v>
      </c>
      <c r="I5466" s="62" t="s">
        <v>138</v>
      </c>
      <c r="J5466" s="64" t="s">
        <v>798</v>
      </c>
      <c r="K5466" s="62" t="s">
        <v>138</v>
      </c>
      <c r="L5466" s="68" t="b">
        <f aca="false">TRUE()</f>
        <v>1</v>
      </c>
    </row>
    <row r="5467" customFormat="false" ht="15" hidden="false" customHeight="false" outlineLevel="0" collapsed="false">
      <c r="A5467" s="62" t="n">
        <v>1</v>
      </c>
      <c r="B5467" s="21" t="s">
        <v>336</v>
      </c>
      <c r="C5467" s="62" t="s">
        <v>60</v>
      </c>
      <c r="D5467" s="62" t="s">
        <v>385</v>
      </c>
      <c r="E5467" s="62" t="s">
        <v>382</v>
      </c>
      <c r="F5467" s="62" t="s">
        <v>382</v>
      </c>
      <c r="G5467" s="63" t="s">
        <v>537</v>
      </c>
      <c r="H5467" s="64" t="s">
        <v>538</v>
      </c>
      <c r="I5467" s="62" t="s">
        <v>138</v>
      </c>
      <c r="J5467" s="64" t="s">
        <v>538</v>
      </c>
      <c r="K5467" s="62" t="s">
        <v>138</v>
      </c>
      <c r="L5467" s="68" t="b">
        <f aca="false">TRUE()</f>
        <v>1</v>
      </c>
    </row>
    <row r="5468" customFormat="false" ht="15" hidden="false" customHeight="false" outlineLevel="0" collapsed="false">
      <c r="A5468" s="62" t="n">
        <v>1</v>
      </c>
      <c r="B5468" s="21" t="s">
        <v>336</v>
      </c>
      <c r="C5468" s="62" t="s">
        <v>60</v>
      </c>
      <c r="D5468" s="62" t="s">
        <v>386</v>
      </c>
      <c r="E5468" s="62" t="s">
        <v>382</v>
      </c>
      <c r="F5468" s="62" t="s">
        <v>382</v>
      </c>
      <c r="G5468" s="63" t="s">
        <v>537</v>
      </c>
      <c r="H5468" s="64" t="s">
        <v>538</v>
      </c>
      <c r="I5468" s="62" t="s">
        <v>138</v>
      </c>
      <c r="J5468" s="64" t="s">
        <v>538</v>
      </c>
      <c r="K5468" s="62" t="s">
        <v>138</v>
      </c>
      <c r="L5468" s="68" t="b">
        <f aca="false">TRUE()</f>
        <v>1</v>
      </c>
    </row>
    <row r="5469" customFormat="false" ht="15" hidden="false" customHeight="false" outlineLevel="0" collapsed="false">
      <c r="A5469" s="62" t="n">
        <v>1</v>
      </c>
      <c r="B5469" s="21" t="s">
        <v>336</v>
      </c>
      <c r="C5469" s="62" t="s">
        <v>60</v>
      </c>
      <c r="D5469" s="62" t="s">
        <v>387</v>
      </c>
      <c r="E5469" s="62" t="s">
        <v>382</v>
      </c>
      <c r="F5469" s="62" t="s">
        <v>382</v>
      </c>
      <c r="G5469" s="63" t="s">
        <v>537</v>
      </c>
      <c r="H5469" s="64" t="s">
        <v>799</v>
      </c>
      <c r="I5469" s="62" t="s">
        <v>138</v>
      </c>
      <c r="J5469" s="64" t="s">
        <v>799</v>
      </c>
      <c r="K5469" s="62" t="s">
        <v>138</v>
      </c>
      <c r="L5469" s="68" t="b">
        <f aca="false">TRUE()</f>
        <v>1</v>
      </c>
    </row>
    <row r="5470" customFormat="false" ht="15" hidden="false" customHeight="false" outlineLevel="0" collapsed="false">
      <c r="A5470" s="62" t="n">
        <v>1</v>
      </c>
      <c r="B5470" s="21" t="s">
        <v>336</v>
      </c>
      <c r="C5470" s="62" t="s">
        <v>60</v>
      </c>
      <c r="D5470" s="62" t="s">
        <v>388</v>
      </c>
      <c r="E5470" s="62" t="s">
        <v>382</v>
      </c>
      <c r="F5470" s="62" t="s">
        <v>382</v>
      </c>
      <c r="G5470" s="63" t="s">
        <v>537</v>
      </c>
      <c r="H5470" s="64" t="s">
        <v>798</v>
      </c>
      <c r="I5470" s="62" t="s">
        <v>138</v>
      </c>
      <c r="J5470" s="64" t="s">
        <v>798</v>
      </c>
      <c r="K5470" s="62" t="s">
        <v>138</v>
      </c>
      <c r="L5470" s="68" t="b">
        <f aca="false">TRUE()</f>
        <v>1</v>
      </c>
    </row>
    <row r="5471" customFormat="false" ht="15" hidden="false" customHeight="false" outlineLevel="0" collapsed="false">
      <c r="A5471" s="62" t="n">
        <v>1</v>
      </c>
      <c r="B5471" s="21" t="s">
        <v>336</v>
      </c>
      <c r="C5471" s="62" t="s">
        <v>60</v>
      </c>
      <c r="D5471" s="62" t="s">
        <v>387</v>
      </c>
      <c r="E5471" s="62" t="s">
        <v>382</v>
      </c>
      <c r="F5471" s="62" t="s">
        <v>382</v>
      </c>
      <c r="G5471" s="63" t="s">
        <v>800</v>
      </c>
      <c r="H5471" s="64" t="s">
        <v>550</v>
      </c>
      <c r="I5471" s="62" t="s">
        <v>138</v>
      </c>
      <c r="J5471" s="64" t="s">
        <v>550</v>
      </c>
      <c r="K5471" s="62" t="s">
        <v>138</v>
      </c>
      <c r="L5471" s="68" t="b">
        <f aca="false">TRUE()</f>
        <v>1</v>
      </c>
    </row>
    <row r="5472" customFormat="false" ht="15" hidden="false" customHeight="false" outlineLevel="0" collapsed="false">
      <c r="A5472" s="62" t="n">
        <v>1</v>
      </c>
      <c r="B5472" s="21" t="s">
        <v>336</v>
      </c>
      <c r="C5472" s="62" t="s">
        <v>60</v>
      </c>
      <c r="D5472" s="62" t="s">
        <v>381</v>
      </c>
      <c r="E5472" s="62" t="s">
        <v>382</v>
      </c>
      <c r="F5472" s="62" t="s">
        <v>382</v>
      </c>
      <c r="G5472" s="63" t="s">
        <v>539</v>
      </c>
      <c r="H5472" s="64" t="s">
        <v>801</v>
      </c>
      <c r="I5472" s="62" t="s">
        <v>138</v>
      </c>
      <c r="J5472" s="64" t="s">
        <v>801</v>
      </c>
      <c r="K5472" s="62" t="s">
        <v>138</v>
      </c>
      <c r="L5472" s="68" t="b">
        <f aca="false">TRUE()</f>
        <v>1</v>
      </c>
    </row>
    <row r="5473" customFormat="false" ht="15" hidden="false" customHeight="false" outlineLevel="0" collapsed="false">
      <c r="A5473" s="62" t="n">
        <v>1</v>
      </c>
      <c r="B5473" s="21" t="s">
        <v>336</v>
      </c>
      <c r="C5473" s="62" t="s">
        <v>60</v>
      </c>
      <c r="D5473" s="62" t="s">
        <v>383</v>
      </c>
      <c r="E5473" s="62" t="s">
        <v>382</v>
      </c>
      <c r="F5473" s="62" t="s">
        <v>382</v>
      </c>
      <c r="G5473" s="63" t="s">
        <v>539</v>
      </c>
      <c r="H5473" s="64" t="s">
        <v>540</v>
      </c>
      <c r="I5473" s="62" t="s">
        <v>138</v>
      </c>
      <c r="J5473" s="64" t="s">
        <v>540</v>
      </c>
      <c r="K5473" s="62" t="s">
        <v>138</v>
      </c>
      <c r="L5473" s="68" t="b">
        <f aca="false">TRUE()</f>
        <v>1</v>
      </c>
    </row>
    <row r="5474" customFormat="false" ht="15" hidden="false" customHeight="false" outlineLevel="0" collapsed="false">
      <c r="A5474" s="62" t="n">
        <v>1</v>
      </c>
      <c r="B5474" s="21" t="s">
        <v>336</v>
      </c>
      <c r="C5474" s="62" t="s">
        <v>60</v>
      </c>
      <c r="D5474" s="62" t="s">
        <v>384</v>
      </c>
      <c r="E5474" s="62" t="s">
        <v>382</v>
      </c>
      <c r="F5474" s="62" t="s">
        <v>382</v>
      </c>
      <c r="G5474" s="63" t="s">
        <v>539</v>
      </c>
      <c r="H5474" s="64" t="s">
        <v>540</v>
      </c>
      <c r="I5474" s="62" t="s">
        <v>138</v>
      </c>
      <c r="J5474" s="64" t="s">
        <v>540</v>
      </c>
      <c r="K5474" s="62" t="s">
        <v>138</v>
      </c>
      <c r="L5474" s="68" t="b">
        <f aca="false">TRUE()</f>
        <v>1</v>
      </c>
    </row>
    <row r="5475" customFormat="false" ht="15" hidden="false" customHeight="false" outlineLevel="0" collapsed="false">
      <c r="A5475" s="62" t="n">
        <v>1</v>
      </c>
      <c r="B5475" s="21" t="s">
        <v>336</v>
      </c>
      <c r="C5475" s="62" t="s">
        <v>60</v>
      </c>
      <c r="D5475" s="62" t="s">
        <v>385</v>
      </c>
      <c r="E5475" s="62" t="s">
        <v>382</v>
      </c>
      <c r="F5475" s="62" t="s">
        <v>382</v>
      </c>
      <c r="G5475" s="63" t="s">
        <v>539</v>
      </c>
      <c r="H5475" s="64" t="s">
        <v>540</v>
      </c>
      <c r="I5475" s="62" t="s">
        <v>138</v>
      </c>
      <c r="J5475" s="64" t="s">
        <v>540</v>
      </c>
      <c r="K5475" s="62" t="s">
        <v>138</v>
      </c>
      <c r="L5475" s="68" t="b">
        <f aca="false">TRUE()</f>
        <v>1</v>
      </c>
    </row>
    <row r="5476" customFormat="false" ht="15" hidden="false" customHeight="false" outlineLevel="0" collapsed="false">
      <c r="A5476" s="62" t="n">
        <v>1</v>
      </c>
      <c r="B5476" s="21" t="s">
        <v>336</v>
      </c>
      <c r="C5476" s="62" t="s">
        <v>60</v>
      </c>
      <c r="D5476" s="62" t="s">
        <v>386</v>
      </c>
      <c r="E5476" s="62" t="s">
        <v>382</v>
      </c>
      <c r="F5476" s="62" t="s">
        <v>382</v>
      </c>
      <c r="G5476" s="63" t="s">
        <v>539</v>
      </c>
      <c r="H5476" s="64" t="s">
        <v>540</v>
      </c>
      <c r="I5476" s="62" t="s">
        <v>138</v>
      </c>
      <c r="J5476" s="64" t="s">
        <v>540</v>
      </c>
      <c r="K5476" s="62" t="s">
        <v>138</v>
      </c>
      <c r="L5476" s="68" t="b">
        <f aca="false">TRUE()</f>
        <v>1</v>
      </c>
    </row>
    <row r="5477" customFormat="false" ht="15" hidden="false" customHeight="false" outlineLevel="0" collapsed="false">
      <c r="A5477" s="62" t="n">
        <v>1</v>
      </c>
      <c r="B5477" s="21" t="s">
        <v>336</v>
      </c>
      <c r="C5477" s="62" t="s">
        <v>60</v>
      </c>
      <c r="D5477" s="62" t="s">
        <v>387</v>
      </c>
      <c r="E5477" s="62" t="s">
        <v>382</v>
      </c>
      <c r="F5477" s="62" t="s">
        <v>382</v>
      </c>
      <c r="G5477" s="63" t="s">
        <v>539</v>
      </c>
      <c r="H5477" s="64" t="s">
        <v>540</v>
      </c>
      <c r="I5477" s="62" t="s">
        <v>138</v>
      </c>
      <c r="J5477" s="64" t="s">
        <v>540</v>
      </c>
      <c r="K5477" s="62" t="s">
        <v>138</v>
      </c>
      <c r="L5477" s="68" t="b">
        <f aca="false">TRUE()</f>
        <v>1</v>
      </c>
    </row>
    <row r="5478" customFormat="false" ht="15" hidden="false" customHeight="false" outlineLevel="0" collapsed="false">
      <c r="A5478" s="62" t="n">
        <v>1</v>
      </c>
      <c r="B5478" s="21" t="s">
        <v>336</v>
      </c>
      <c r="C5478" s="62" t="s">
        <v>60</v>
      </c>
      <c r="D5478" s="62" t="s">
        <v>388</v>
      </c>
      <c r="E5478" s="62" t="s">
        <v>382</v>
      </c>
      <c r="F5478" s="62" t="s">
        <v>382</v>
      </c>
      <c r="G5478" s="63" t="s">
        <v>539</v>
      </c>
      <c r="H5478" s="64" t="s">
        <v>540</v>
      </c>
      <c r="I5478" s="62" t="s">
        <v>138</v>
      </c>
      <c r="J5478" s="64" t="s">
        <v>540</v>
      </c>
      <c r="K5478" s="62" t="s">
        <v>138</v>
      </c>
      <c r="L5478" s="68" t="b">
        <f aca="false">TRUE()</f>
        <v>1</v>
      </c>
    </row>
    <row r="5479" customFormat="false" ht="15" hidden="false" customHeight="false" outlineLevel="0" collapsed="false">
      <c r="A5479" s="62" t="n">
        <v>1</v>
      </c>
      <c r="B5479" s="21" t="s">
        <v>336</v>
      </c>
      <c r="C5479" s="62" t="s">
        <v>60</v>
      </c>
      <c r="D5479" s="62" t="s">
        <v>381</v>
      </c>
      <c r="E5479" s="62" t="s">
        <v>382</v>
      </c>
      <c r="F5479" s="62" t="s">
        <v>382</v>
      </c>
      <c r="G5479" s="63" t="s">
        <v>541</v>
      </c>
      <c r="H5479" s="64" t="s">
        <v>802</v>
      </c>
      <c r="I5479" s="62" t="s">
        <v>138</v>
      </c>
      <c r="J5479" s="64" t="s">
        <v>802</v>
      </c>
      <c r="K5479" s="62" t="s">
        <v>138</v>
      </c>
      <c r="L5479" s="68" t="b">
        <f aca="false">TRUE()</f>
        <v>1</v>
      </c>
    </row>
    <row r="5480" customFormat="false" ht="15" hidden="false" customHeight="false" outlineLevel="0" collapsed="false">
      <c r="A5480" s="62" t="n">
        <v>1</v>
      </c>
      <c r="B5480" s="21" t="s">
        <v>336</v>
      </c>
      <c r="C5480" s="62" t="s">
        <v>60</v>
      </c>
      <c r="D5480" s="62" t="s">
        <v>383</v>
      </c>
      <c r="E5480" s="62" t="s">
        <v>382</v>
      </c>
      <c r="F5480" s="62" t="s">
        <v>382</v>
      </c>
      <c r="G5480" s="63" t="s">
        <v>541</v>
      </c>
      <c r="H5480" s="64" t="s">
        <v>803</v>
      </c>
      <c r="I5480" s="62" t="s">
        <v>138</v>
      </c>
      <c r="J5480" s="64" t="s">
        <v>803</v>
      </c>
      <c r="K5480" s="62" t="s">
        <v>138</v>
      </c>
      <c r="L5480" s="68" t="b">
        <f aca="false">TRUE()</f>
        <v>1</v>
      </c>
    </row>
    <row r="5481" customFormat="false" ht="15" hidden="false" customHeight="false" outlineLevel="0" collapsed="false">
      <c r="A5481" s="62" t="n">
        <v>1</v>
      </c>
      <c r="B5481" s="21" t="s">
        <v>336</v>
      </c>
      <c r="C5481" s="62" t="s">
        <v>60</v>
      </c>
      <c r="D5481" s="62" t="s">
        <v>384</v>
      </c>
      <c r="E5481" s="62" t="s">
        <v>382</v>
      </c>
      <c r="F5481" s="62" t="s">
        <v>382</v>
      </c>
      <c r="G5481" s="63" t="s">
        <v>541</v>
      </c>
      <c r="H5481" s="64" t="s">
        <v>803</v>
      </c>
      <c r="I5481" s="62" t="s">
        <v>138</v>
      </c>
      <c r="J5481" s="64" t="s">
        <v>803</v>
      </c>
      <c r="K5481" s="62" t="s">
        <v>138</v>
      </c>
      <c r="L5481" s="68" t="b">
        <f aca="false">TRUE()</f>
        <v>1</v>
      </c>
    </row>
    <row r="5482" customFormat="false" ht="15" hidden="false" customHeight="false" outlineLevel="0" collapsed="false">
      <c r="A5482" s="62" t="n">
        <v>1</v>
      </c>
      <c r="B5482" s="21" t="s">
        <v>336</v>
      </c>
      <c r="C5482" s="62" t="s">
        <v>60</v>
      </c>
      <c r="D5482" s="62" t="s">
        <v>385</v>
      </c>
      <c r="E5482" s="62" t="s">
        <v>382</v>
      </c>
      <c r="F5482" s="62" t="s">
        <v>382</v>
      </c>
      <c r="G5482" s="63" t="s">
        <v>541</v>
      </c>
      <c r="H5482" s="64" t="s">
        <v>542</v>
      </c>
      <c r="I5482" s="62" t="s">
        <v>138</v>
      </c>
      <c r="J5482" s="64" t="s">
        <v>542</v>
      </c>
      <c r="K5482" s="62" t="s">
        <v>138</v>
      </c>
      <c r="L5482" s="68" t="b">
        <f aca="false">TRUE()</f>
        <v>1</v>
      </c>
    </row>
    <row r="5483" customFormat="false" ht="15" hidden="false" customHeight="false" outlineLevel="0" collapsed="false">
      <c r="A5483" s="62" t="n">
        <v>1</v>
      </c>
      <c r="B5483" s="21" t="s">
        <v>336</v>
      </c>
      <c r="C5483" s="62" t="s">
        <v>60</v>
      </c>
      <c r="D5483" s="62" t="s">
        <v>386</v>
      </c>
      <c r="E5483" s="62" t="s">
        <v>382</v>
      </c>
      <c r="F5483" s="62" t="s">
        <v>382</v>
      </c>
      <c r="G5483" s="63" t="s">
        <v>541</v>
      </c>
      <c r="H5483" s="64" t="s">
        <v>542</v>
      </c>
      <c r="I5483" s="62" t="s">
        <v>138</v>
      </c>
      <c r="J5483" s="64" t="s">
        <v>542</v>
      </c>
      <c r="K5483" s="62" t="s">
        <v>138</v>
      </c>
      <c r="L5483" s="68" t="b">
        <f aca="false">TRUE()</f>
        <v>1</v>
      </c>
    </row>
    <row r="5484" customFormat="false" ht="15" hidden="false" customHeight="false" outlineLevel="0" collapsed="false">
      <c r="A5484" s="62" t="n">
        <v>1</v>
      </c>
      <c r="B5484" s="21" t="s">
        <v>336</v>
      </c>
      <c r="C5484" s="62" t="s">
        <v>60</v>
      </c>
      <c r="D5484" s="62" t="s">
        <v>387</v>
      </c>
      <c r="E5484" s="62" t="s">
        <v>382</v>
      </c>
      <c r="F5484" s="62" t="s">
        <v>382</v>
      </c>
      <c r="G5484" s="63" t="s">
        <v>541</v>
      </c>
      <c r="H5484" s="64" t="s">
        <v>542</v>
      </c>
      <c r="I5484" s="62" t="s">
        <v>138</v>
      </c>
      <c r="J5484" s="64" t="s">
        <v>542</v>
      </c>
      <c r="K5484" s="62" t="s">
        <v>138</v>
      </c>
      <c r="L5484" s="68" t="b">
        <f aca="false">TRUE()</f>
        <v>1</v>
      </c>
    </row>
    <row r="5485" customFormat="false" ht="15" hidden="false" customHeight="false" outlineLevel="0" collapsed="false">
      <c r="A5485" s="62" t="n">
        <v>1</v>
      </c>
      <c r="B5485" s="21" t="s">
        <v>336</v>
      </c>
      <c r="C5485" s="62" t="s">
        <v>60</v>
      </c>
      <c r="D5485" s="62" t="s">
        <v>388</v>
      </c>
      <c r="E5485" s="62" t="s">
        <v>382</v>
      </c>
      <c r="F5485" s="62" t="s">
        <v>382</v>
      </c>
      <c r="G5485" s="63" t="s">
        <v>541</v>
      </c>
      <c r="H5485" s="64" t="s">
        <v>542</v>
      </c>
      <c r="I5485" s="62" t="s">
        <v>138</v>
      </c>
      <c r="J5485" s="64" t="s">
        <v>542</v>
      </c>
      <c r="K5485" s="62" t="s">
        <v>138</v>
      </c>
      <c r="L5485" s="68" t="b">
        <f aca="false">TRUE()</f>
        <v>1</v>
      </c>
    </row>
    <row r="5486" customFormat="false" ht="15" hidden="false" customHeight="false" outlineLevel="0" collapsed="false">
      <c r="A5486" s="62" t="n">
        <v>1</v>
      </c>
      <c r="B5486" s="21" t="s">
        <v>336</v>
      </c>
      <c r="C5486" s="62" t="s">
        <v>60</v>
      </c>
      <c r="D5486" s="62" t="s">
        <v>381</v>
      </c>
      <c r="E5486" s="62" t="s">
        <v>382</v>
      </c>
      <c r="F5486" s="62" t="s">
        <v>382</v>
      </c>
      <c r="G5486" s="63" t="s">
        <v>543</v>
      </c>
      <c r="H5486" s="64" t="s">
        <v>804</v>
      </c>
      <c r="I5486" s="62" t="s">
        <v>138</v>
      </c>
      <c r="J5486" s="64" t="s">
        <v>804</v>
      </c>
      <c r="K5486" s="62" t="s">
        <v>138</v>
      </c>
      <c r="L5486" s="68" t="b">
        <f aca="false">TRUE()</f>
        <v>1</v>
      </c>
    </row>
    <row r="5487" customFormat="false" ht="15" hidden="false" customHeight="false" outlineLevel="0" collapsed="false">
      <c r="A5487" s="62" t="n">
        <v>1</v>
      </c>
      <c r="B5487" s="21" t="s">
        <v>336</v>
      </c>
      <c r="C5487" s="62" t="s">
        <v>60</v>
      </c>
      <c r="D5487" s="62" t="s">
        <v>383</v>
      </c>
      <c r="E5487" s="62" t="s">
        <v>382</v>
      </c>
      <c r="F5487" s="62" t="s">
        <v>382</v>
      </c>
      <c r="G5487" s="63" t="s">
        <v>543</v>
      </c>
      <c r="H5487" s="64" t="s">
        <v>544</v>
      </c>
      <c r="I5487" s="62" t="s">
        <v>138</v>
      </c>
      <c r="J5487" s="64" t="s">
        <v>544</v>
      </c>
      <c r="K5487" s="62" t="s">
        <v>138</v>
      </c>
      <c r="L5487" s="68" t="b">
        <f aca="false">TRUE()</f>
        <v>1</v>
      </c>
    </row>
    <row r="5488" customFormat="false" ht="15" hidden="false" customHeight="false" outlineLevel="0" collapsed="false">
      <c r="A5488" s="62" t="n">
        <v>1</v>
      </c>
      <c r="B5488" s="21" t="s">
        <v>336</v>
      </c>
      <c r="C5488" s="62" t="s">
        <v>60</v>
      </c>
      <c r="D5488" s="62" t="s">
        <v>384</v>
      </c>
      <c r="E5488" s="62" t="s">
        <v>382</v>
      </c>
      <c r="F5488" s="62" t="s">
        <v>382</v>
      </c>
      <c r="G5488" s="63" t="s">
        <v>543</v>
      </c>
      <c r="H5488" s="64" t="s">
        <v>544</v>
      </c>
      <c r="I5488" s="62" t="s">
        <v>138</v>
      </c>
      <c r="J5488" s="64" t="s">
        <v>544</v>
      </c>
      <c r="K5488" s="62" t="s">
        <v>138</v>
      </c>
      <c r="L5488" s="68" t="b">
        <f aca="false">TRUE()</f>
        <v>1</v>
      </c>
    </row>
    <row r="5489" customFormat="false" ht="15" hidden="false" customHeight="false" outlineLevel="0" collapsed="false">
      <c r="A5489" s="62" t="n">
        <v>1</v>
      </c>
      <c r="B5489" s="21" t="s">
        <v>336</v>
      </c>
      <c r="C5489" s="62" t="s">
        <v>60</v>
      </c>
      <c r="D5489" s="62" t="s">
        <v>385</v>
      </c>
      <c r="E5489" s="62" t="s">
        <v>382</v>
      </c>
      <c r="F5489" s="62" t="s">
        <v>382</v>
      </c>
      <c r="G5489" s="63" t="s">
        <v>543</v>
      </c>
      <c r="H5489" s="64" t="s">
        <v>544</v>
      </c>
      <c r="I5489" s="62" t="s">
        <v>138</v>
      </c>
      <c r="J5489" s="64" t="s">
        <v>544</v>
      </c>
      <c r="K5489" s="62" t="s">
        <v>138</v>
      </c>
      <c r="L5489" s="68" t="b">
        <f aca="false">TRUE()</f>
        <v>1</v>
      </c>
    </row>
    <row r="5490" customFormat="false" ht="15" hidden="false" customHeight="false" outlineLevel="0" collapsed="false">
      <c r="A5490" s="62" t="n">
        <v>1</v>
      </c>
      <c r="B5490" s="21" t="s">
        <v>336</v>
      </c>
      <c r="C5490" s="62" t="s">
        <v>60</v>
      </c>
      <c r="D5490" s="62" t="s">
        <v>386</v>
      </c>
      <c r="E5490" s="62" t="s">
        <v>382</v>
      </c>
      <c r="F5490" s="62" t="s">
        <v>382</v>
      </c>
      <c r="G5490" s="63" t="s">
        <v>543</v>
      </c>
      <c r="H5490" s="64" t="s">
        <v>544</v>
      </c>
      <c r="I5490" s="62" t="s">
        <v>138</v>
      </c>
      <c r="J5490" s="64" t="s">
        <v>544</v>
      </c>
      <c r="K5490" s="62" t="s">
        <v>138</v>
      </c>
      <c r="L5490" s="68" t="b">
        <f aca="false">TRUE()</f>
        <v>1</v>
      </c>
    </row>
    <row r="5491" customFormat="false" ht="15" hidden="false" customHeight="false" outlineLevel="0" collapsed="false">
      <c r="A5491" s="62" t="n">
        <v>1</v>
      </c>
      <c r="B5491" s="21" t="s">
        <v>336</v>
      </c>
      <c r="C5491" s="62" t="s">
        <v>60</v>
      </c>
      <c r="D5491" s="62" t="s">
        <v>387</v>
      </c>
      <c r="E5491" s="62" t="s">
        <v>382</v>
      </c>
      <c r="F5491" s="62" t="s">
        <v>382</v>
      </c>
      <c r="G5491" s="63" t="s">
        <v>543</v>
      </c>
      <c r="H5491" s="64" t="s">
        <v>544</v>
      </c>
      <c r="I5491" s="62" t="s">
        <v>138</v>
      </c>
      <c r="J5491" s="64" t="s">
        <v>544</v>
      </c>
      <c r="K5491" s="62" t="s">
        <v>138</v>
      </c>
      <c r="L5491" s="68" t="b">
        <f aca="false">TRUE()</f>
        <v>1</v>
      </c>
    </row>
    <row r="5492" customFormat="false" ht="15" hidden="false" customHeight="false" outlineLevel="0" collapsed="false">
      <c r="A5492" s="62" t="n">
        <v>1</v>
      </c>
      <c r="B5492" s="21" t="s">
        <v>336</v>
      </c>
      <c r="C5492" s="62" t="s">
        <v>60</v>
      </c>
      <c r="D5492" s="62" t="s">
        <v>388</v>
      </c>
      <c r="E5492" s="62" t="s">
        <v>382</v>
      </c>
      <c r="F5492" s="62" t="s">
        <v>382</v>
      </c>
      <c r="G5492" s="63" t="s">
        <v>543</v>
      </c>
      <c r="H5492" s="64" t="s">
        <v>544</v>
      </c>
      <c r="I5492" s="62" t="s">
        <v>138</v>
      </c>
      <c r="J5492" s="64" t="s">
        <v>544</v>
      </c>
      <c r="K5492" s="62" t="s">
        <v>138</v>
      </c>
      <c r="L5492" s="68" t="b">
        <f aca="false">TRUE()</f>
        <v>1</v>
      </c>
    </row>
    <row r="5493" customFormat="false" ht="15" hidden="false" customHeight="false" outlineLevel="0" collapsed="false">
      <c r="A5493" s="62" t="n">
        <v>1</v>
      </c>
      <c r="B5493" s="21" t="s">
        <v>336</v>
      </c>
      <c r="C5493" s="62" t="s">
        <v>60</v>
      </c>
      <c r="D5493" s="62" t="s">
        <v>381</v>
      </c>
      <c r="E5493" s="62" t="s">
        <v>382</v>
      </c>
      <c r="F5493" s="62" t="s">
        <v>382</v>
      </c>
      <c r="G5493" s="63" t="s">
        <v>545</v>
      </c>
      <c r="H5493" s="64" t="s">
        <v>805</v>
      </c>
      <c r="I5493" s="62" t="s">
        <v>138</v>
      </c>
      <c r="J5493" s="64" t="s">
        <v>805</v>
      </c>
      <c r="K5493" s="62" t="s">
        <v>138</v>
      </c>
      <c r="L5493" s="68" t="b">
        <f aca="false">TRUE()</f>
        <v>1</v>
      </c>
    </row>
    <row r="5494" customFormat="false" ht="15" hidden="false" customHeight="false" outlineLevel="0" collapsed="false">
      <c r="A5494" s="62" t="n">
        <v>1</v>
      </c>
      <c r="B5494" s="21" t="s">
        <v>336</v>
      </c>
      <c r="C5494" s="62" t="s">
        <v>60</v>
      </c>
      <c r="D5494" s="62" t="s">
        <v>383</v>
      </c>
      <c r="E5494" s="62" t="s">
        <v>382</v>
      </c>
      <c r="F5494" s="62" t="s">
        <v>382</v>
      </c>
      <c r="G5494" s="63" t="s">
        <v>545</v>
      </c>
      <c r="H5494" s="64" t="s">
        <v>546</v>
      </c>
      <c r="I5494" s="62" t="s">
        <v>138</v>
      </c>
      <c r="J5494" s="64" t="s">
        <v>546</v>
      </c>
      <c r="K5494" s="62" t="s">
        <v>138</v>
      </c>
      <c r="L5494" s="68" t="b">
        <f aca="false">TRUE()</f>
        <v>1</v>
      </c>
    </row>
    <row r="5495" customFormat="false" ht="15" hidden="false" customHeight="false" outlineLevel="0" collapsed="false">
      <c r="A5495" s="62" t="n">
        <v>1</v>
      </c>
      <c r="B5495" s="21" t="s">
        <v>336</v>
      </c>
      <c r="C5495" s="62" t="s">
        <v>60</v>
      </c>
      <c r="D5495" s="62" t="s">
        <v>384</v>
      </c>
      <c r="E5495" s="62" t="s">
        <v>382</v>
      </c>
      <c r="F5495" s="62" t="s">
        <v>382</v>
      </c>
      <c r="G5495" s="63" t="s">
        <v>545</v>
      </c>
      <c r="H5495" s="64" t="s">
        <v>805</v>
      </c>
      <c r="I5495" s="62" t="s">
        <v>138</v>
      </c>
      <c r="J5495" s="64" t="s">
        <v>805</v>
      </c>
      <c r="K5495" s="62" t="s">
        <v>138</v>
      </c>
      <c r="L5495" s="68" t="b">
        <f aca="false">TRUE()</f>
        <v>1</v>
      </c>
    </row>
    <row r="5496" customFormat="false" ht="15" hidden="false" customHeight="false" outlineLevel="0" collapsed="false">
      <c r="A5496" s="62" t="n">
        <v>1</v>
      </c>
      <c r="B5496" s="21" t="s">
        <v>336</v>
      </c>
      <c r="C5496" s="62" t="s">
        <v>60</v>
      </c>
      <c r="D5496" s="62" t="s">
        <v>385</v>
      </c>
      <c r="E5496" s="62" t="s">
        <v>382</v>
      </c>
      <c r="F5496" s="62" t="s">
        <v>382</v>
      </c>
      <c r="G5496" s="63" t="s">
        <v>545</v>
      </c>
      <c r="H5496" s="64" t="s">
        <v>546</v>
      </c>
      <c r="I5496" s="62" t="s">
        <v>138</v>
      </c>
      <c r="J5496" s="64" t="s">
        <v>546</v>
      </c>
      <c r="K5496" s="62" t="s">
        <v>138</v>
      </c>
      <c r="L5496" s="68" t="b">
        <f aca="false">TRUE()</f>
        <v>1</v>
      </c>
    </row>
    <row r="5497" customFormat="false" ht="15" hidden="false" customHeight="false" outlineLevel="0" collapsed="false">
      <c r="A5497" s="62" t="n">
        <v>1</v>
      </c>
      <c r="B5497" s="21" t="s">
        <v>336</v>
      </c>
      <c r="C5497" s="62" t="s">
        <v>60</v>
      </c>
      <c r="D5497" s="62" t="s">
        <v>386</v>
      </c>
      <c r="E5497" s="62" t="s">
        <v>382</v>
      </c>
      <c r="F5497" s="62" t="s">
        <v>382</v>
      </c>
      <c r="G5497" s="63" t="s">
        <v>545</v>
      </c>
      <c r="H5497" s="64" t="s">
        <v>805</v>
      </c>
      <c r="I5497" s="62" t="s">
        <v>138</v>
      </c>
      <c r="J5497" s="64" t="s">
        <v>805</v>
      </c>
      <c r="K5497" s="62" t="s">
        <v>138</v>
      </c>
      <c r="L5497" s="68" t="b">
        <f aca="false">TRUE()</f>
        <v>1</v>
      </c>
    </row>
    <row r="5498" customFormat="false" ht="15" hidden="false" customHeight="false" outlineLevel="0" collapsed="false">
      <c r="A5498" s="62" t="n">
        <v>1</v>
      </c>
      <c r="B5498" s="21" t="s">
        <v>336</v>
      </c>
      <c r="C5498" s="62" t="s">
        <v>60</v>
      </c>
      <c r="D5498" s="62" t="s">
        <v>387</v>
      </c>
      <c r="E5498" s="62" t="s">
        <v>382</v>
      </c>
      <c r="F5498" s="62" t="s">
        <v>382</v>
      </c>
      <c r="G5498" s="63" t="s">
        <v>545</v>
      </c>
      <c r="H5498" s="64" t="s">
        <v>805</v>
      </c>
      <c r="I5498" s="62" t="s">
        <v>138</v>
      </c>
      <c r="J5498" s="64" t="s">
        <v>805</v>
      </c>
      <c r="K5498" s="62" t="s">
        <v>138</v>
      </c>
      <c r="L5498" s="68" t="b">
        <f aca="false">TRUE()</f>
        <v>1</v>
      </c>
    </row>
    <row r="5499" customFormat="false" ht="15" hidden="false" customHeight="false" outlineLevel="0" collapsed="false">
      <c r="A5499" s="62" t="n">
        <v>1</v>
      </c>
      <c r="B5499" s="21" t="s">
        <v>336</v>
      </c>
      <c r="C5499" s="62" t="s">
        <v>60</v>
      </c>
      <c r="D5499" s="62" t="s">
        <v>388</v>
      </c>
      <c r="E5499" s="62" t="s">
        <v>382</v>
      </c>
      <c r="F5499" s="62" t="s">
        <v>382</v>
      </c>
      <c r="G5499" s="63" t="s">
        <v>545</v>
      </c>
      <c r="H5499" s="64" t="s">
        <v>805</v>
      </c>
      <c r="I5499" s="62" t="s">
        <v>138</v>
      </c>
      <c r="J5499" s="64" t="s">
        <v>805</v>
      </c>
      <c r="K5499" s="62" t="s">
        <v>138</v>
      </c>
      <c r="L5499" s="68" t="b">
        <f aca="false">TRUE()</f>
        <v>1</v>
      </c>
    </row>
    <row r="5500" customFormat="false" ht="15" hidden="false" customHeight="false" outlineLevel="0" collapsed="false">
      <c r="A5500" s="62" t="n">
        <v>1</v>
      </c>
      <c r="B5500" s="21" t="s">
        <v>336</v>
      </c>
      <c r="C5500" s="62" t="s">
        <v>60</v>
      </c>
      <c r="D5500" s="62" t="s">
        <v>381</v>
      </c>
      <c r="E5500" s="62" t="s">
        <v>382</v>
      </c>
      <c r="F5500" s="62" t="s">
        <v>382</v>
      </c>
      <c r="G5500" s="63" t="s">
        <v>547</v>
      </c>
      <c r="H5500" s="64" t="s">
        <v>806</v>
      </c>
      <c r="I5500" s="62" t="s">
        <v>138</v>
      </c>
      <c r="J5500" s="64" t="s">
        <v>806</v>
      </c>
      <c r="K5500" s="62" t="s">
        <v>138</v>
      </c>
      <c r="L5500" s="68" t="b">
        <f aca="false">TRUE()</f>
        <v>1</v>
      </c>
    </row>
    <row r="5501" customFormat="false" ht="15" hidden="false" customHeight="false" outlineLevel="0" collapsed="false">
      <c r="A5501" s="62" t="n">
        <v>1</v>
      </c>
      <c r="B5501" s="21" t="s">
        <v>336</v>
      </c>
      <c r="C5501" s="62" t="s">
        <v>60</v>
      </c>
      <c r="D5501" s="62" t="s">
        <v>383</v>
      </c>
      <c r="E5501" s="62" t="s">
        <v>382</v>
      </c>
      <c r="F5501" s="62" t="s">
        <v>382</v>
      </c>
      <c r="G5501" s="63" t="s">
        <v>547</v>
      </c>
      <c r="H5501" s="64" t="s">
        <v>806</v>
      </c>
      <c r="I5501" s="62" t="s">
        <v>138</v>
      </c>
      <c r="J5501" s="64" t="s">
        <v>806</v>
      </c>
      <c r="K5501" s="62" t="s">
        <v>138</v>
      </c>
      <c r="L5501" s="68" t="b">
        <f aca="false">TRUE()</f>
        <v>1</v>
      </c>
    </row>
    <row r="5502" customFormat="false" ht="15" hidden="false" customHeight="false" outlineLevel="0" collapsed="false">
      <c r="A5502" s="62" t="n">
        <v>1</v>
      </c>
      <c r="B5502" s="21" t="s">
        <v>336</v>
      </c>
      <c r="C5502" s="62" t="s">
        <v>60</v>
      </c>
      <c r="D5502" s="62" t="s">
        <v>384</v>
      </c>
      <c r="E5502" s="62" t="s">
        <v>382</v>
      </c>
      <c r="F5502" s="62" t="s">
        <v>382</v>
      </c>
      <c r="G5502" s="63" t="s">
        <v>547</v>
      </c>
      <c r="H5502" s="64" t="s">
        <v>806</v>
      </c>
      <c r="I5502" s="62" t="s">
        <v>138</v>
      </c>
      <c r="J5502" s="64" t="s">
        <v>806</v>
      </c>
      <c r="K5502" s="62" t="s">
        <v>138</v>
      </c>
      <c r="L5502" s="68" t="b">
        <f aca="false">TRUE()</f>
        <v>1</v>
      </c>
    </row>
    <row r="5503" customFormat="false" ht="15" hidden="false" customHeight="false" outlineLevel="0" collapsed="false">
      <c r="A5503" s="62" t="n">
        <v>1</v>
      </c>
      <c r="B5503" s="21" t="s">
        <v>336</v>
      </c>
      <c r="C5503" s="62" t="s">
        <v>60</v>
      </c>
      <c r="D5503" s="62" t="s">
        <v>385</v>
      </c>
      <c r="E5503" s="62" t="s">
        <v>382</v>
      </c>
      <c r="F5503" s="62" t="s">
        <v>382</v>
      </c>
      <c r="G5503" s="63" t="s">
        <v>547</v>
      </c>
      <c r="H5503" s="64" t="s">
        <v>806</v>
      </c>
      <c r="I5503" s="62" t="s">
        <v>138</v>
      </c>
      <c r="J5503" s="64" t="s">
        <v>806</v>
      </c>
      <c r="K5503" s="62" t="s">
        <v>138</v>
      </c>
      <c r="L5503" s="68" t="b">
        <f aca="false">TRUE()</f>
        <v>1</v>
      </c>
    </row>
    <row r="5504" customFormat="false" ht="15" hidden="false" customHeight="false" outlineLevel="0" collapsed="false">
      <c r="A5504" s="62" t="n">
        <v>1</v>
      </c>
      <c r="B5504" s="21" t="s">
        <v>336</v>
      </c>
      <c r="C5504" s="62" t="s">
        <v>60</v>
      </c>
      <c r="D5504" s="62" t="s">
        <v>386</v>
      </c>
      <c r="E5504" s="62" t="s">
        <v>382</v>
      </c>
      <c r="F5504" s="62" t="s">
        <v>382</v>
      </c>
      <c r="G5504" s="63" t="s">
        <v>547</v>
      </c>
      <c r="H5504" s="64" t="s">
        <v>806</v>
      </c>
      <c r="I5504" s="62" t="s">
        <v>138</v>
      </c>
      <c r="J5504" s="64" t="s">
        <v>806</v>
      </c>
      <c r="K5504" s="62" t="s">
        <v>138</v>
      </c>
      <c r="L5504" s="68" t="b">
        <f aca="false">TRUE()</f>
        <v>1</v>
      </c>
    </row>
    <row r="5505" customFormat="false" ht="15" hidden="false" customHeight="false" outlineLevel="0" collapsed="false">
      <c r="A5505" s="62" t="n">
        <v>1</v>
      </c>
      <c r="B5505" s="21" t="s">
        <v>336</v>
      </c>
      <c r="C5505" s="62" t="s">
        <v>60</v>
      </c>
      <c r="D5505" s="62" t="s">
        <v>387</v>
      </c>
      <c r="E5505" s="62" t="s">
        <v>382</v>
      </c>
      <c r="F5505" s="62" t="s">
        <v>382</v>
      </c>
      <c r="G5505" s="63" t="s">
        <v>547</v>
      </c>
      <c r="H5505" s="64" t="s">
        <v>806</v>
      </c>
      <c r="I5505" s="62" t="s">
        <v>138</v>
      </c>
      <c r="J5505" s="64" t="s">
        <v>806</v>
      </c>
      <c r="K5505" s="62" t="s">
        <v>138</v>
      </c>
      <c r="L5505" s="68" t="b">
        <f aca="false">TRUE()</f>
        <v>1</v>
      </c>
    </row>
    <row r="5506" customFormat="false" ht="15" hidden="false" customHeight="false" outlineLevel="0" collapsed="false">
      <c r="A5506" s="62" t="n">
        <v>1</v>
      </c>
      <c r="B5506" s="21" t="s">
        <v>336</v>
      </c>
      <c r="C5506" s="62" t="s">
        <v>60</v>
      </c>
      <c r="D5506" s="62" t="s">
        <v>388</v>
      </c>
      <c r="E5506" s="62" t="s">
        <v>382</v>
      </c>
      <c r="F5506" s="62" t="s">
        <v>382</v>
      </c>
      <c r="G5506" s="63" t="s">
        <v>547</v>
      </c>
      <c r="H5506" s="64" t="s">
        <v>806</v>
      </c>
      <c r="I5506" s="62" t="s">
        <v>138</v>
      </c>
      <c r="J5506" s="64" t="s">
        <v>806</v>
      </c>
      <c r="K5506" s="62" t="s">
        <v>138</v>
      </c>
      <c r="L5506" s="68" t="b">
        <f aca="false">TRUE()</f>
        <v>1</v>
      </c>
    </row>
    <row r="5507" customFormat="false" ht="15" hidden="false" customHeight="false" outlineLevel="0" collapsed="false">
      <c r="A5507" s="62" t="n">
        <v>1</v>
      </c>
      <c r="B5507" s="21" t="s">
        <v>336</v>
      </c>
      <c r="C5507" s="62" t="s">
        <v>60</v>
      </c>
      <c r="D5507" s="62" t="s">
        <v>381</v>
      </c>
      <c r="E5507" s="62" t="s">
        <v>382</v>
      </c>
      <c r="F5507" s="62" t="s">
        <v>382</v>
      </c>
      <c r="G5507" s="63" t="s">
        <v>807</v>
      </c>
      <c r="H5507" s="64" t="s">
        <v>550</v>
      </c>
      <c r="I5507" s="62" t="s">
        <v>138</v>
      </c>
      <c r="J5507" s="64" t="s">
        <v>550</v>
      </c>
      <c r="K5507" s="62" t="s">
        <v>138</v>
      </c>
      <c r="L5507" s="68" t="b">
        <f aca="false">TRUE()</f>
        <v>1</v>
      </c>
    </row>
    <row r="5508" customFormat="false" ht="15" hidden="false" customHeight="false" outlineLevel="0" collapsed="false">
      <c r="A5508" s="62" t="n">
        <v>1</v>
      </c>
      <c r="B5508" s="21" t="s">
        <v>336</v>
      </c>
      <c r="C5508" s="62" t="s">
        <v>60</v>
      </c>
      <c r="D5508" s="62" t="s">
        <v>383</v>
      </c>
      <c r="E5508" s="62" t="s">
        <v>382</v>
      </c>
      <c r="F5508" s="62" t="s">
        <v>382</v>
      </c>
      <c r="G5508" s="63" t="s">
        <v>807</v>
      </c>
      <c r="H5508" s="64" t="s">
        <v>550</v>
      </c>
      <c r="I5508" s="62" t="s">
        <v>138</v>
      </c>
      <c r="J5508" s="64" t="s">
        <v>550</v>
      </c>
      <c r="K5508" s="62" t="s">
        <v>138</v>
      </c>
      <c r="L5508" s="68" t="b">
        <f aca="false">TRUE()</f>
        <v>1</v>
      </c>
    </row>
    <row r="5509" customFormat="false" ht="15" hidden="false" customHeight="false" outlineLevel="0" collapsed="false">
      <c r="A5509" s="62" t="n">
        <v>1</v>
      </c>
      <c r="B5509" s="21" t="s">
        <v>336</v>
      </c>
      <c r="C5509" s="62" t="s">
        <v>60</v>
      </c>
      <c r="D5509" s="62" t="s">
        <v>384</v>
      </c>
      <c r="E5509" s="62" t="s">
        <v>382</v>
      </c>
      <c r="F5509" s="62" t="s">
        <v>382</v>
      </c>
      <c r="G5509" s="63" t="s">
        <v>807</v>
      </c>
      <c r="H5509" s="64" t="s">
        <v>550</v>
      </c>
      <c r="I5509" s="62" t="s">
        <v>138</v>
      </c>
      <c r="J5509" s="64" t="s">
        <v>550</v>
      </c>
      <c r="K5509" s="62" t="s">
        <v>138</v>
      </c>
      <c r="L5509" s="68" t="b">
        <f aca="false">TRUE()</f>
        <v>1</v>
      </c>
    </row>
    <row r="5510" customFormat="false" ht="15" hidden="false" customHeight="false" outlineLevel="0" collapsed="false">
      <c r="A5510" s="62" t="n">
        <v>1</v>
      </c>
      <c r="B5510" s="21" t="s">
        <v>336</v>
      </c>
      <c r="C5510" s="62" t="s">
        <v>60</v>
      </c>
      <c r="D5510" s="62" t="s">
        <v>386</v>
      </c>
      <c r="E5510" s="62" t="s">
        <v>382</v>
      </c>
      <c r="F5510" s="62" t="s">
        <v>382</v>
      </c>
      <c r="G5510" s="63" t="s">
        <v>807</v>
      </c>
      <c r="H5510" s="64" t="s">
        <v>550</v>
      </c>
      <c r="I5510" s="62" t="s">
        <v>138</v>
      </c>
      <c r="J5510" s="64" t="s">
        <v>550</v>
      </c>
      <c r="K5510" s="62" t="s">
        <v>138</v>
      </c>
      <c r="L5510" s="68" t="b">
        <f aca="false">TRUE()</f>
        <v>1</v>
      </c>
    </row>
    <row r="5511" customFormat="false" ht="15" hidden="false" customHeight="false" outlineLevel="0" collapsed="false">
      <c r="A5511" s="62" t="n">
        <v>1</v>
      </c>
      <c r="B5511" s="21" t="s">
        <v>336</v>
      </c>
      <c r="C5511" s="62" t="s">
        <v>60</v>
      </c>
      <c r="D5511" s="62" t="s">
        <v>387</v>
      </c>
      <c r="E5511" s="62" t="s">
        <v>382</v>
      </c>
      <c r="F5511" s="62" t="s">
        <v>382</v>
      </c>
      <c r="G5511" s="63" t="s">
        <v>807</v>
      </c>
      <c r="H5511" s="64" t="s">
        <v>550</v>
      </c>
      <c r="I5511" s="62" t="s">
        <v>138</v>
      </c>
      <c r="J5511" s="64" t="s">
        <v>550</v>
      </c>
      <c r="K5511" s="62" t="s">
        <v>138</v>
      </c>
      <c r="L5511" s="68" t="b">
        <f aca="false">TRUE()</f>
        <v>1</v>
      </c>
    </row>
    <row r="5512" customFormat="false" ht="15" hidden="false" customHeight="false" outlineLevel="0" collapsed="false">
      <c r="A5512" s="62" t="n">
        <v>1</v>
      </c>
      <c r="B5512" s="21" t="s">
        <v>336</v>
      </c>
      <c r="C5512" s="62" t="s">
        <v>60</v>
      </c>
      <c r="D5512" s="62" t="s">
        <v>388</v>
      </c>
      <c r="E5512" s="62" t="s">
        <v>382</v>
      </c>
      <c r="F5512" s="62" t="s">
        <v>382</v>
      </c>
      <c r="G5512" s="63" t="s">
        <v>807</v>
      </c>
      <c r="H5512" s="64" t="s">
        <v>550</v>
      </c>
      <c r="I5512" s="62" t="s">
        <v>138</v>
      </c>
      <c r="J5512" s="64" t="s">
        <v>550</v>
      </c>
      <c r="K5512" s="62" t="s">
        <v>138</v>
      </c>
      <c r="L5512" s="68" t="b">
        <f aca="false">TRUE()</f>
        <v>1</v>
      </c>
    </row>
    <row r="5513" customFormat="false" ht="15" hidden="false" customHeight="false" outlineLevel="0" collapsed="false">
      <c r="A5513" s="62" t="n">
        <v>1</v>
      </c>
      <c r="B5513" s="21" t="s">
        <v>336</v>
      </c>
      <c r="C5513" s="62" t="s">
        <v>60</v>
      </c>
      <c r="D5513" s="62" t="s">
        <v>381</v>
      </c>
      <c r="E5513" s="62" t="s">
        <v>382</v>
      </c>
      <c r="F5513" s="62" t="s">
        <v>382</v>
      </c>
      <c r="G5513" s="63" t="s">
        <v>808</v>
      </c>
      <c r="H5513" s="64" t="s">
        <v>550</v>
      </c>
      <c r="I5513" s="62" t="s">
        <v>138</v>
      </c>
      <c r="J5513" s="64" t="s">
        <v>550</v>
      </c>
      <c r="K5513" s="62" t="s">
        <v>138</v>
      </c>
      <c r="L5513" s="68" t="b">
        <f aca="false">TRUE()</f>
        <v>1</v>
      </c>
    </row>
    <row r="5514" customFormat="false" ht="15" hidden="false" customHeight="false" outlineLevel="0" collapsed="false">
      <c r="A5514" s="62" t="n">
        <v>1</v>
      </c>
      <c r="B5514" s="21" t="s">
        <v>336</v>
      </c>
      <c r="C5514" s="62" t="s">
        <v>60</v>
      </c>
      <c r="D5514" s="62" t="s">
        <v>388</v>
      </c>
      <c r="E5514" s="62" t="s">
        <v>382</v>
      </c>
      <c r="F5514" s="62" t="s">
        <v>382</v>
      </c>
      <c r="G5514" s="63" t="s">
        <v>808</v>
      </c>
      <c r="H5514" s="64" t="s">
        <v>550</v>
      </c>
      <c r="I5514" s="62" t="s">
        <v>138</v>
      </c>
      <c r="J5514" s="64" t="s">
        <v>550</v>
      </c>
      <c r="K5514" s="62" t="s">
        <v>138</v>
      </c>
      <c r="L5514" s="68" t="b">
        <f aca="false">TRUE()</f>
        <v>1</v>
      </c>
    </row>
    <row r="5515" customFormat="false" ht="15" hidden="false" customHeight="false" outlineLevel="0" collapsed="false">
      <c r="A5515" s="62" t="n">
        <v>1</v>
      </c>
      <c r="B5515" s="21" t="s">
        <v>336</v>
      </c>
      <c r="C5515" s="62" t="s">
        <v>60</v>
      </c>
      <c r="D5515" s="62" t="s">
        <v>381</v>
      </c>
      <c r="E5515" s="62" t="s">
        <v>382</v>
      </c>
      <c r="F5515" s="62" t="s">
        <v>382</v>
      </c>
      <c r="G5515" s="63" t="s">
        <v>809</v>
      </c>
      <c r="H5515" s="64" t="s">
        <v>550</v>
      </c>
      <c r="I5515" s="62" t="s">
        <v>138</v>
      </c>
      <c r="J5515" s="64" t="s">
        <v>550</v>
      </c>
      <c r="K5515" s="62" t="s">
        <v>138</v>
      </c>
      <c r="L5515" s="68" t="b">
        <f aca="false">TRUE()</f>
        <v>1</v>
      </c>
    </row>
    <row r="5516" customFormat="false" ht="15" hidden="false" customHeight="false" outlineLevel="0" collapsed="false">
      <c r="A5516" s="62" t="n">
        <v>1</v>
      </c>
      <c r="B5516" s="21" t="s">
        <v>336</v>
      </c>
      <c r="C5516" s="62" t="s">
        <v>60</v>
      </c>
      <c r="D5516" s="62" t="s">
        <v>383</v>
      </c>
      <c r="E5516" s="62" t="s">
        <v>382</v>
      </c>
      <c r="F5516" s="62" t="s">
        <v>382</v>
      </c>
      <c r="G5516" s="63" t="s">
        <v>809</v>
      </c>
      <c r="H5516" s="64" t="s">
        <v>550</v>
      </c>
      <c r="I5516" s="62" t="s">
        <v>138</v>
      </c>
      <c r="J5516" s="64" t="s">
        <v>550</v>
      </c>
      <c r="K5516" s="62" t="s">
        <v>138</v>
      </c>
      <c r="L5516" s="68" t="b">
        <f aca="false">TRUE()</f>
        <v>1</v>
      </c>
    </row>
    <row r="5517" customFormat="false" ht="15" hidden="false" customHeight="false" outlineLevel="0" collapsed="false">
      <c r="A5517" s="62" t="n">
        <v>1</v>
      </c>
      <c r="B5517" s="21" t="s">
        <v>336</v>
      </c>
      <c r="C5517" s="62" t="s">
        <v>60</v>
      </c>
      <c r="D5517" s="62" t="s">
        <v>384</v>
      </c>
      <c r="E5517" s="62" t="s">
        <v>382</v>
      </c>
      <c r="F5517" s="62" t="s">
        <v>382</v>
      </c>
      <c r="G5517" s="63" t="s">
        <v>809</v>
      </c>
      <c r="H5517" s="64" t="s">
        <v>550</v>
      </c>
      <c r="I5517" s="62" t="s">
        <v>138</v>
      </c>
      <c r="J5517" s="64" t="s">
        <v>550</v>
      </c>
      <c r="K5517" s="62" t="s">
        <v>138</v>
      </c>
      <c r="L5517" s="68" t="b">
        <f aca="false">TRUE()</f>
        <v>1</v>
      </c>
    </row>
    <row r="5518" customFormat="false" ht="15" hidden="false" customHeight="false" outlineLevel="0" collapsed="false">
      <c r="A5518" s="62" t="n">
        <v>1</v>
      </c>
      <c r="B5518" s="21" t="s">
        <v>336</v>
      </c>
      <c r="C5518" s="62" t="s">
        <v>60</v>
      </c>
      <c r="D5518" s="62" t="s">
        <v>387</v>
      </c>
      <c r="E5518" s="62" t="s">
        <v>382</v>
      </c>
      <c r="F5518" s="62" t="s">
        <v>382</v>
      </c>
      <c r="G5518" s="63" t="s">
        <v>809</v>
      </c>
      <c r="H5518" s="64" t="s">
        <v>550</v>
      </c>
      <c r="I5518" s="62" t="s">
        <v>138</v>
      </c>
      <c r="J5518" s="64" t="s">
        <v>550</v>
      </c>
      <c r="K5518" s="62" t="s">
        <v>138</v>
      </c>
      <c r="L5518" s="68" t="b">
        <f aca="false">TRUE()</f>
        <v>1</v>
      </c>
    </row>
    <row r="5519" customFormat="false" ht="15" hidden="false" customHeight="false" outlineLevel="0" collapsed="false">
      <c r="A5519" s="62" t="n">
        <v>1</v>
      </c>
      <c r="B5519" s="21" t="s">
        <v>336</v>
      </c>
      <c r="C5519" s="62" t="s">
        <v>60</v>
      </c>
      <c r="D5519" s="62" t="s">
        <v>388</v>
      </c>
      <c r="E5519" s="62" t="s">
        <v>382</v>
      </c>
      <c r="F5519" s="62" t="s">
        <v>382</v>
      </c>
      <c r="G5519" s="63" t="s">
        <v>809</v>
      </c>
      <c r="H5519" s="64" t="s">
        <v>550</v>
      </c>
      <c r="I5519" s="62" t="s">
        <v>138</v>
      </c>
      <c r="J5519" s="64" t="s">
        <v>550</v>
      </c>
      <c r="K5519" s="62" t="s">
        <v>138</v>
      </c>
      <c r="L5519" s="68" t="b">
        <f aca="false">TRUE()</f>
        <v>1</v>
      </c>
    </row>
    <row r="5520" customFormat="false" ht="15" hidden="false" customHeight="false" outlineLevel="0" collapsed="false">
      <c r="A5520" s="62" t="n">
        <v>1</v>
      </c>
      <c r="B5520" s="21" t="s">
        <v>336</v>
      </c>
      <c r="C5520" s="62" t="s">
        <v>60</v>
      </c>
      <c r="D5520" s="62" t="s">
        <v>381</v>
      </c>
      <c r="E5520" s="62" t="s">
        <v>382</v>
      </c>
      <c r="F5520" s="62" t="s">
        <v>382</v>
      </c>
      <c r="G5520" s="63" t="s">
        <v>810</v>
      </c>
      <c r="H5520" s="64" t="s">
        <v>550</v>
      </c>
      <c r="I5520" s="62" t="s">
        <v>138</v>
      </c>
      <c r="J5520" s="64" t="s">
        <v>550</v>
      </c>
      <c r="K5520" s="62" t="s">
        <v>138</v>
      </c>
      <c r="L5520" s="68" t="b">
        <f aca="false">TRUE()</f>
        <v>1</v>
      </c>
    </row>
    <row r="5521" customFormat="false" ht="15" hidden="false" customHeight="false" outlineLevel="0" collapsed="false">
      <c r="A5521" s="62" t="n">
        <v>1</v>
      </c>
      <c r="B5521" s="21" t="s">
        <v>336</v>
      </c>
      <c r="C5521" s="62" t="s">
        <v>60</v>
      </c>
      <c r="D5521" s="62" t="s">
        <v>383</v>
      </c>
      <c r="E5521" s="62" t="s">
        <v>382</v>
      </c>
      <c r="F5521" s="62" t="s">
        <v>382</v>
      </c>
      <c r="G5521" s="63" t="s">
        <v>810</v>
      </c>
      <c r="H5521" s="64" t="s">
        <v>550</v>
      </c>
      <c r="I5521" s="62" t="s">
        <v>138</v>
      </c>
      <c r="J5521" s="64" t="s">
        <v>550</v>
      </c>
      <c r="K5521" s="62" t="s">
        <v>138</v>
      </c>
      <c r="L5521" s="68" t="b">
        <f aca="false">TRUE()</f>
        <v>1</v>
      </c>
    </row>
    <row r="5522" customFormat="false" ht="15" hidden="false" customHeight="false" outlineLevel="0" collapsed="false">
      <c r="A5522" s="62" t="n">
        <v>1</v>
      </c>
      <c r="B5522" s="21" t="s">
        <v>336</v>
      </c>
      <c r="C5522" s="62" t="s">
        <v>60</v>
      </c>
      <c r="D5522" s="62" t="s">
        <v>386</v>
      </c>
      <c r="E5522" s="62" t="s">
        <v>382</v>
      </c>
      <c r="F5522" s="62" t="s">
        <v>382</v>
      </c>
      <c r="G5522" s="63" t="s">
        <v>810</v>
      </c>
      <c r="H5522" s="64" t="s">
        <v>550</v>
      </c>
      <c r="I5522" s="62" t="s">
        <v>138</v>
      </c>
      <c r="J5522" s="64" t="s">
        <v>550</v>
      </c>
      <c r="K5522" s="62" t="s">
        <v>138</v>
      </c>
      <c r="L5522" s="68" t="b">
        <f aca="false">TRUE()</f>
        <v>1</v>
      </c>
    </row>
    <row r="5523" customFormat="false" ht="15" hidden="false" customHeight="false" outlineLevel="0" collapsed="false">
      <c r="A5523" s="62" t="n">
        <v>1</v>
      </c>
      <c r="B5523" s="21" t="s">
        <v>336</v>
      </c>
      <c r="C5523" s="62" t="s">
        <v>60</v>
      </c>
      <c r="D5523" s="62" t="s">
        <v>381</v>
      </c>
      <c r="E5523" s="62" t="s">
        <v>382</v>
      </c>
      <c r="F5523" s="62" t="s">
        <v>382</v>
      </c>
      <c r="G5523" s="63" t="s">
        <v>811</v>
      </c>
      <c r="H5523" s="64" t="s">
        <v>550</v>
      </c>
      <c r="I5523" s="62" t="s">
        <v>138</v>
      </c>
      <c r="J5523" s="64" t="s">
        <v>550</v>
      </c>
      <c r="K5523" s="62" t="s">
        <v>138</v>
      </c>
      <c r="L5523" s="68" t="b">
        <f aca="false">TRUE()</f>
        <v>1</v>
      </c>
    </row>
    <row r="5524" customFormat="false" ht="15" hidden="false" customHeight="false" outlineLevel="0" collapsed="false">
      <c r="A5524" s="62" t="n">
        <v>1</v>
      </c>
      <c r="B5524" s="21" t="s">
        <v>336</v>
      </c>
      <c r="C5524" s="62" t="s">
        <v>60</v>
      </c>
      <c r="D5524" s="62" t="s">
        <v>384</v>
      </c>
      <c r="E5524" s="62" t="s">
        <v>382</v>
      </c>
      <c r="F5524" s="62" t="s">
        <v>382</v>
      </c>
      <c r="G5524" s="63" t="s">
        <v>811</v>
      </c>
      <c r="H5524" s="64" t="s">
        <v>550</v>
      </c>
      <c r="I5524" s="62" t="s">
        <v>138</v>
      </c>
      <c r="J5524" s="64" t="s">
        <v>550</v>
      </c>
      <c r="K5524" s="62" t="s">
        <v>138</v>
      </c>
      <c r="L5524" s="68" t="b">
        <f aca="false">TRUE()</f>
        <v>1</v>
      </c>
    </row>
    <row r="5525" customFormat="false" ht="15" hidden="false" customHeight="false" outlineLevel="0" collapsed="false">
      <c r="A5525" s="62" t="n">
        <v>1</v>
      </c>
      <c r="B5525" s="21" t="s">
        <v>336</v>
      </c>
      <c r="C5525" s="62" t="s">
        <v>60</v>
      </c>
      <c r="D5525" s="62" t="s">
        <v>386</v>
      </c>
      <c r="E5525" s="62" t="s">
        <v>382</v>
      </c>
      <c r="F5525" s="62" t="s">
        <v>382</v>
      </c>
      <c r="G5525" s="63" t="s">
        <v>811</v>
      </c>
      <c r="H5525" s="64" t="s">
        <v>550</v>
      </c>
      <c r="I5525" s="62" t="s">
        <v>138</v>
      </c>
      <c r="J5525" s="64" t="s">
        <v>550</v>
      </c>
      <c r="K5525" s="62" t="s">
        <v>138</v>
      </c>
      <c r="L5525" s="68" t="b">
        <f aca="false">TRUE()</f>
        <v>1</v>
      </c>
    </row>
    <row r="5526" customFormat="false" ht="15" hidden="false" customHeight="false" outlineLevel="0" collapsed="false">
      <c r="A5526" s="62" t="n">
        <v>1</v>
      </c>
      <c r="B5526" s="21" t="s">
        <v>336</v>
      </c>
      <c r="C5526" s="62" t="s">
        <v>60</v>
      </c>
      <c r="D5526" s="62" t="s">
        <v>381</v>
      </c>
      <c r="E5526" s="62" t="s">
        <v>382</v>
      </c>
      <c r="F5526" s="62" t="s">
        <v>382</v>
      </c>
      <c r="G5526" s="63" t="s">
        <v>549</v>
      </c>
      <c r="H5526" s="64" t="s">
        <v>550</v>
      </c>
      <c r="I5526" s="62"/>
      <c r="J5526" s="64" t="s">
        <v>550</v>
      </c>
      <c r="K5526" s="62"/>
      <c r="L5526" s="68" t="b">
        <f aca="false">FALSE()</f>
        <v>0</v>
      </c>
    </row>
    <row r="5527" customFormat="false" ht="15" hidden="false" customHeight="false" outlineLevel="0" collapsed="false">
      <c r="A5527" s="62" t="n">
        <v>1</v>
      </c>
      <c r="B5527" s="21" t="s">
        <v>336</v>
      </c>
      <c r="C5527" s="62" t="s">
        <v>60</v>
      </c>
      <c r="D5527" s="62" t="s">
        <v>383</v>
      </c>
      <c r="E5527" s="62" t="s">
        <v>382</v>
      </c>
      <c r="F5527" s="62" t="s">
        <v>382</v>
      </c>
      <c r="G5527" s="63" t="s">
        <v>549</v>
      </c>
      <c r="H5527" s="64" t="s">
        <v>550</v>
      </c>
      <c r="I5527" s="62"/>
      <c r="J5527" s="64" t="s">
        <v>550</v>
      </c>
      <c r="K5527" s="62"/>
      <c r="L5527" s="68" t="b">
        <f aca="false">TRUE()</f>
        <v>1</v>
      </c>
    </row>
    <row r="5528" customFormat="false" ht="15" hidden="false" customHeight="false" outlineLevel="0" collapsed="false">
      <c r="A5528" s="62" t="n">
        <v>1</v>
      </c>
      <c r="B5528" s="21" t="s">
        <v>336</v>
      </c>
      <c r="C5528" s="62" t="s">
        <v>60</v>
      </c>
      <c r="D5528" s="62" t="s">
        <v>384</v>
      </c>
      <c r="E5528" s="62" t="s">
        <v>382</v>
      </c>
      <c r="F5528" s="62" t="s">
        <v>382</v>
      </c>
      <c r="G5528" s="63" t="s">
        <v>549</v>
      </c>
      <c r="H5528" s="64" t="s">
        <v>550</v>
      </c>
      <c r="I5528" s="62"/>
      <c r="J5528" s="64" t="s">
        <v>550</v>
      </c>
      <c r="K5528" s="62"/>
      <c r="L5528" s="68" t="b">
        <f aca="false">TRUE()</f>
        <v>1</v>
      </c>
    </row>
    <row r="5529" customFormat="false" ht="15" hidden="false" customHeight="false" outlineLevel="0" collapsed="false">
      <c r="A5529" s="62" t="n">
        <v>1</v>
      </c>
      <c r="B5529" s="21" t="s">
        <v>336</v>
      </c>
      <c r="C5529" s="62" t="s">
        <v>60</v>
      </c>
      <c r="D5529" s="62" t="s">
        <v>386</v>
      </c>
      <c r="E5529" s="62" t="s">
        <v>382</v>
      </c>
      <c r="F5529" s="62" t="s">
        <v>382</v>
      </c>
      <c r="G5529" s="63" t="s">
        <v>549</v>
      </c>
      <c r="H5529" s="64" t="s">
        <v>550</v>
      </c>
      <c r="I5529" s="62"/>
      <c r="J5529" s="64" t="s">
        <v>550</v>
      </c>
      <c r="K5529" s="62"/>
      <c r="L5529" s="68" t="b">
        <f aca="false">TRUE()</f>
        <v>1</v>
      </c>
    </row>
    <row r="5530" customFormat="false" ht="15" hidden="false" customHeight="false" outlineLevel="0" collapsed="false">
      <c r="A5530" s="62" t="n">
        <v>1</v>
      </c>
      <c r="B5530" s="21" t="s">
        <v>336</v>
      </c>
      <c r="C5530" s="62" t="s">
        <v>60</v>
      </c>
      <c r="D5530" s="62" t="s">
        <v>388</v>
      </c>
      <c r="E5530" s="62" t="s">
        <v>382</v>
      </c>
      <c r="F5530" s="62" t="s">
        <v>382</v>
      </c>
      <c r="G5530" s="63" t="s">
        <v>549</v>
      </c>
      <c r="H5530" s="64" t="s">
        <v>550</v>
      </c>
      <c r="I5530" s="62"/>
      <c r="J5530" s="64" t="s">
        <v>550</v>
      </c>
      <c r="K5530" s="62"/>
      <c r="L5530" s="68" t="b">
        <f aca="false">TRUE()</f>
        <v>1</v>
      </c>
    </row>
    <row r="5531" customFormat="false" ht="15" hidden="false" customHeight="false" outlineLevel="0" collapsed="false">
      <c r="A5531" s="62" t="n">
        <v>1</v>
      </c>
      <c r="B5531" s="21" t="s">
        <v>336</v>
      </c>
      <c r="C5531" s="62" t="s">
        <v>60</v>
      </c>
      <c r="D5531" s="62" t="s">
        <v>387</v>
      </c>
      <c r="E5531" s="62" t="s">
        <v>382</v>
      </c>
      <c r="F5531" s="62" t="s">
        <v>382</v>
      </c>
      <c r="G5531" s="63" t="s">
        <v>551</v>
      </c>
      <c r="H5531" s="64" t="s">
        <v>550</v>
      </c>
      <c r="I5531" s="62"/>
      <c r="J5531" s="64" t="s">
        <v>550</v>
      </c>
      <c r="K5531" s="62"/>
      <c r="L5531" s="68" t="b">
        <f aca="false">TRUE()</f>
        <v>1</v>
      </c>
    </row>
    <row r="5532" customFormat="false" ht="15" hidden="false" customHeight="false" outlineLevel="0" collapsed="false">
      <c r="A5532" s="62" t="n">
        <v>1</v>
      </c>
      <c r="B5532" s="21" t="s">
        <v>336</v>
      </c>
      <c r="C5532" s="62" t="s">
        <v>60</v>
      </c>
      <c r="D5532" s="62" t="s">
        <v>383</v>
      </c>
      <c r="E5532" s="62" t="s">
        <v>382</v>
      </c>
      <c r="F5532" s="62" t="s">
        <v>382</v>
      </c>
      <c r="G5532" s="63" t="s">
        <v>553</v>
      </c>
      <c r="H5532" s="64" t="s">
        <v>550</v>
      </c>
      <c r="I5532" s="62"/>
      <c r="J5532" s="64" t="s">
        <v>550</v>
      </c>
      <c r="K5532" s="62"/>
      <c r="L5532" s="68" t="b">
        <f aca="false">TRUE()</f>
        <v>1</v>
      </c>
    </row>
    <row r="5533" customFormat="false" ht="15" hidden="false" customHeight="false" outlineLevel="0" collapsed="false">
      <c r="A5533" s="62" t="n">
        <v>1</v>
      </c>
      <c r="B5533" s="21" t="s">
        <v>336</v>
      </c>
      <c r="C5533" s="62" t="s">
        <v>60</v>
      </c>
      <c r="D5533" s="62" t="s">
        <v>384</v>
      </c>
      <c r="E5533" s="62" t="s">
        <v>382</v>
      </c>
      <c r="F5533" s="62" t="s">
        <v>382</v>
      </c>
      <c r="G5533" s="63" t="s">
        <v>553</v>
      </c>
      <c r="H5533" s="64" t="s">
        <v>550</v>
      </c>
      <c r="I5533" s="62"/>
      <c r="J5533" s="64" t="s">
        <v>550</v>
      </c>
      <c r="K5533" s="62"/>
      <c r="L5533" s="68" t="b">
        <f aca="false">TRUE()</f>
        <v>1</v>
      </c>
    </row>
    <row r="5534" customFormat="false" ht="15" hidden="false" customHeight="false" outlineLevel="0" collapsed="false">
      <c r="A5534" s="62" t="n">
        <v>1</v>
      </c>
      <c r="B5534" s="21" t="s">
        <v>336</v>
      </c>
      <c r="C5534" s="62" t="s">
        <v>60</v>
      </c>
      <c r="D5534" s="62" t="s">
        <v>385</v>
      </c>
      <c r="E5534" s="62" t="s">
        <v>382</v>
      </c>
      <c r="F5534" s="62" t="s">
        <v>382</v>
      </c>
      <c r="G5534" s="63" t="s">
        <v>553</v>
      </c>
      <c r="H5534" s="64" t="s">
        <v>550</v>
      </c>
      <c r="I5534" s="62"/>
      <c r="J5534" s="64" t="s">
        <v>550</v>
      </c>
      <c r="K5534" s="62"/>
      <c r="L5534" s="68" t="b">
        <f aca="false">TRUE()</f>
        <v>1</v>
      </c>
    </row>
    <row r="5535" customFormat="false" ht="15" hidden="false" customHeight="false" outlineLevel="0" collapsed="false">
      <c r="A5535" s="62" t="n">
        <v>1</v>
      </c>
      <c r="B5535" s="21" t="s">
        <v>336</v>
      </c>
      <c r="C5535" s="62" t="s">
        <v>60</v>
      </c>
      <c r="D5535" s="62" t="s">
        <v>386</v>
      </c>
      <c r="E5535" s="62" t="s">
        <v>382</v>
      </c>
      <c r="F5535" s="62" t="s">
        <v>382</v>
      </c>
      <c r="G5535" s="63" t="s">
        <v>553</v>
      </c>
      <c r="H5535" s="64" t="s">
        <v>550</v>
      </c>
      <c r="I5535" s="62"/>
      <c r="J5535" s="64" t="s">
        <v>550</v>
      </c>
      <c r="K5535" s="62"/>
      <c r="L5535" s="68" t="b">
        <f aca="false">TRUE()</f>
        <v>1</v>
      </c>
    </row>
    <row r="5536" customFormat="false" ht="15" hidden="false" customHeight="false" outlineLevel="0" collapsed="false">
      <c r="A5536" s="62" t="n">
        <v>1</v>
      </c>
      <c r="B5536" s="21" t="s">
        <v>336</v>
      </c>
      <c r="C5536" s="62" t="s">
        <v>60</v>
      </c>
      <c r="D5536" s="62" t="s">
        <v>388</v>
      </c>
      <c r="E5536" s="62" t="s">
        <v>382</v>
      </c>
      <c r="F5536" s="62" t="s">
        <v>382</v>
      </c>
      <c r="G5536" s="63" t="s">
        <v>553</v>
      </c>
      <c r="H5536" s="64" t="s">
        <v>550</v>
      </c>
      <c r="I5536" s="62"/>
      <c r="J5536" s="64" t="s">
        <v>550</v>
      </c>
      <c r="K5536" s="62"/>
      <c r="L5536" s="68" t="b">
        <f aca="false">TRUE()</f>
        <v>1</v>
      </c>
    </row>
    <row r="5537" customFormat="false" ht="15" hidden="false" customHeight="false" outlineLevel="0" collapsed="false">
      <c r="A5537" s="62" t="n">
        <v>1</v>
      </c>
      <c r="B5537" s="21" t="s">
        <v>336</v>
      </c>
      <c r="C5537" s="62" t="s">
        <v>60</v>
      </c>
      <c r="D5537" s="62" t="s">
        <v>381</v>
      </c>
      <c r="E5537" s="62" t="s">
        <v>382</v>
      </c>
      <c r="F5537" s="62" t="s">
        <v>382</v>
      </c>
      <c r="G5537" s="63" t="s">
        <v>554</v>
      </c>
      <c r="H5537" s="64" t="s">
        <v>550</v>
      </c>
      <c r="I5537" s="62"/>
      <c r="J5537" s="64" t="s">
        <v>550</v>
      </c>
      <c r="K5537" s="62"/>
      <c r="L5537" s="68" t="b">
        <f aca="false">FALSE()</f>
        <v>0</v>
      </c>
    </row>
    <row r="5538" customFormat="false" ht="15" hidden="false" customHeight="false" outlineLevel="0" collapsed="false">
      <c r="A5538" s="62" t="n">
        <v>1</v>
      </c>
      <c r="B5538" s="21" t="s">
        <v>336</v>
      </c>
      <c r="C5538" s="62" t="s">
        <v>60</v>
      </c>
      <c r="D5538" s="62" t="s">
        <v>384</v>
      </c>
      <c r="E5538" s="62" t="s">
        <v>382</v>
      </c>
      <c r="F5538" s="62" t="s">
        <v>382</v>
      </c>
      <c r="G5538" s="63" t="s">
        <v>554</v>
      </c>
      <c r="H5538" s="64" t="s">
        <v>550</v>
      </c>
      <c r="I5538" s="62"/>
      <c r="J5538" s="64" t="s">
        <v>550</v>
      </c>
      <c r="K5538" s="62"/>
      <c r="L5538" s="68" t="b">
        <f aca="false">TRUE()</f>
        <v>1</v>
      </c>
    </row>
    <row r="5539" customFormat="false" ht="15" hidden="false" customHeight="false" outlineLevel="0" collapsed="false">
      <c r="A5539" s="62" t="n">
        <v>1</v>
      </c>
      <c r="B5539" s="21" t="s">
        <v>336</v>
      </c>
      <c r="C5539" s="62" t="s">
        <v>60</v>
      </c>
      <c r="D5539" s="62" t="s">
        <v>385</v>
      </c>
      <c r="E5539" s="62" t="s">
        <v>382</v>
      </c>
      <c r="F5539" s="62" t="s">
        <v>382</v>
      </c>
      <c r="G5539" s="63" t="s">
        <v>554</v>
      </c>
      <c r="H5539" s="64" t="s">
        <v>550</v>
      </c>
      <c r="I5539" s="62"/>
      <c r="J5539" s="64" t="s">
        <v>550</v>
      </c>
      <c r="K5539" s="62"/>
      <c r="L5539" s="68" t="b">
        <f aca="false">TRUE()</f>
        <v>1</v>
      </c>
    </row>
    <row r="5540" customFormat="false" ht="15" hidden="false" customHeight="false" outlineLevel="0" collapsed="false">
      <c r="A5540" s="62" t="n">
        <v>1</v>
      </c>
      <c r="B5540" s="21" t="s">
        <v>336</v>
      </c>
      <c r="C5540" s="62" t="s">
        <v>60</v>
      </c>
      <c r="D5540" s="62" t="s">
        <v>387</v>
      </c>
      <c r="E5540" s="62" t="s">
        <v>382</v>
      </c>
      <c r="F5540" s="62" t="s">
        <v>382</v>
      </c>
      <c r="G5540" s="63" t="s">
        <v>554</v>
      </c>
      <c r="H5540" s="64" t="s">
        <v>550</v>
      </c>
      <c r="I5540" s="62"/>
      <c r="J5540" s="64" t="s">
        <v>550</v>
      </c>
      <c r="K5540" s="62"/>
      <c r="L5540" s="68" t="b">
        <f aca="false">TRUE()</f>
        <v>1</v>
      </c>
    </row>
    <row r="5541" customFormat="false" ht="15" hidden="false" customHeight="false" outlineLevel="0" collapsed="false">
      <c r="A5541" s="62" t="n">
        <v>1</v>
      </c>
      <c r="B5541" s="21" t="s">
        <v>336</v>
      </c>
      <c r="C5541" s="62" t="s">
        <v>60</v>
      </c>
      <c r="D5541" s="62" t="s">
        <v>388</v>
      </c>
      <c r="E5541" s="62" t="s">
        <v>382</v>
      </c>
      <c r="F5541" s="62" t="s">
        <v>382</v>
      </c>
      <c r="G5541" s="63" t="s">
        <v>554</v>
      </c>
      <c r="H5541" s="64" t="s">
        <v>550</v>
      </c>
      <c r="I5541" s="62"/>
      <c r="J5541" s="64" t="s">
        <v>550</v>
      </c>
      <c r="K5541" s="62"/>
      <c r="L5541" s="68" t="b">
        <f aca="false">TRUE()</f>
        <v>1</v>
      </c>
    </row>
    <row r="5542" customFormat="false" ht="15" hidden="false" customHeight="false" outlineLevel="0" collapsed="false">
      <c r="A5542" s="62" t="n">
        <v>1</v>
      </c>
      <c r="B5542" s="21" t="s">
        <v>336</v>
      </c>
      <c r="C5542" s="62" t="s">
        <v>60</v>
      </c>
      <c r="D5542" s="62" t="s">
        <v>381</v>
      </c>
      <c r="E5542" s="62" t="s">
        <v>382</v>
      </c>
      <c r="F5542" s="62" t="s">
        <v>382</v>
      </c>
      <c r="G5542" s="63" t="s">
        <v>555</v>
      </c>
      <c r="H5542" s="64" t="n">
        <v>3.5</v>
      </c>
      <c r="I5542" s="62"/>
      <c r="J5542" s="64" t="n">
        <v>3.5</v>
      </c>
      <c r="K5542" s="62"/>
      <c r="L5542" s="68" t="b">
        <f aca="false">TRUE()</f>
        <v>1</v>
      </c>
    </row>
    <row r="5543" customFormat="false" ht="15" hidden="false" customHeight="false" outlineLevel="0" collapsed="false">
      <c r="A5543" s="62" t="n">
        <v>1</v>
      </c>
      <c r="B5543" s="21" t="s">
        <v>336</v>
      </c>
      <c r="C5543" s="62" t="s">
        <v>60</v>
      </c>
      <c r="D5543" s="62" t="s">
        <v>383</v>
      </c>
      <c r="E5543" s="62" t="s">
        <v>382</v>
      </c>
      <c r="F5543" s="62" t="s">
        <v>382</v>
      </c>
      <c r="G5543" s="63" t="s">
        <v>555</v>
      </c>
      <c r="H5543" s="64" t="n">
        <v>4.5</v>
      </c>
      <c r="I5543" s="62"/>
      <c r="J5543" s="64" t="n">
        <v>4.5</v>
      </c>
      <c r="K5543" s="62"/>
      <c r="L5543" s="68" t="b">
        <f aca="false">TRUE()</f>
        <v>1</v>
      </c>
    </row>
    <row r="5544" customFormat="false" ht="15" hidden="false" customHeight="false" outlineLevel="0" collapsed="false">
      <c r="A5544" s="62" t="n">
        <v>1</v>
      </c>
      <c r="B5544" s="21" t="s">
        <v>336</v>
      </c>
      <c r="C5544" s="62" t="s">
        <v>60</v>
      </c>
      <c r="D5544" s="62" t="s">
        <v>384</v>
      </c>
      <c r="E5544" s="62" t="s">
        <v>382</v>
      </c>
      <c r="F5544" s="62" t="s">
        <v>382</v>
      </c>
      <c r="G5544" s="63" t="s">
        <v>555</v>
      </c>
      <c r="H5544" s="64" t="n">
        <v>4</v>
      </c>
      <c r="I5544" s="62"/>
      <c r="J5544" s="64" t="n">
        <v>4</v>
      </c>
      <c r="K5544" s="62"/>
      <c r="L5544" s="68" t="b">
        <f aca="false">TRUE()</f>
        <v>1</v>
      </c>
    </row>
    <row r="5545" customFormat="false" ht="15" hidden="false" customHeight="false" outlineLevel="0" collapsed="false">
      <c r="A5545" s="62" t="n">
        <v>1</v>
      </c>
      <c r="B5545" s="21" t="s">
        <v>336</v>
      </c>
      <c r="C5545" s="62" t="s">
        <v>60</v>
      </c>
      <c r="D5545" s="62" t="s">
        <v>385</v>
      </c>
      <c r="E5545" s="62" t="s">
        <v>382</v>
      </c>
      <c r="F5545" s="62" t="s">
        <v>382</v>
      </c>
      <c r="G5545" s="63" t="s">
        <v>555</v>
      </c>
      <c r="H5545" s="64" t="n">
        <v>4</v>
      </c>
      <c r="I5545" s="62"/>
      <c r="J5545" s="64" t="n">
        <v>4</v>
      </c>
      <c r="K5545" s="62"/>
      <c r="L5545" s="68" t="b">
        <f aca="false">TRUE()</f>
        <v>1</v>
      </c>
    </row>
    <row r="5546" customFormat="false" ht="15" hidden="false" customHeight="false" outlineLevel="0" collapsed="false">
      <c r="A5546" s="62" t="n">
        <v>1</v>
      </c>
      <c r="B5546" s="21" t="s">
        <v>336</v>
      </c>
      <c r="C5546" s="62" t="s">
        <v>60</v>
      </c>
      <c r="D5546" s="62" t="s">
        <v>386</v>
      </c>
      <c r="E5546" s="62" t="s">
        <v>382</v>
      </c>
      <c r="F5546" s="62" t="s">
        <v>382</v>
      </c>
      <c r="G5546" s="63" t="s">
        <v>555</v>
      </c>
      <c r="H5546" s="64" t="n">
        <v>4.5</v>
      </c>
      <c r="I5546" s="62"/>
      <c r="J5546" s="64" t="n">
        <v>4.5</v>
      </c>
      <c r="K5546" s="62"/>
      <c r="L5546" s="68" t="b">
        <f aca="false">TRUE()</f>
        <v>1</v>
      </c>
    </row>
    <row r="5547" customFormat="false" ht="15" hidden="false" customHeight="false" outlineLevel="0" collapsed="false">
      <c r="A5547" s="62" t="n">
        <v>1</v>
      </c>
      <c r="B5547" s="21" t="s">
        <v>336</v>
      </c>
      <c r="C5547" s="62" t="s">
        <v>60</v>
      </c>
      <c r="D5547" s="62" t="s">
        <v>387</v>
      </c>
      <c r="E5547" s="62" t="s">
        <v>382</v>
      </c>
      <c r="F5547" s="62" t="s">
        <v>382</v>
      </c>
      <c r="G5547" s="63" t="s">
        <v>555</v>
      </c>
      <c r="H5547" s="64" t="n">
        <v>2.25</v>
      </c>
      <c r="I5547" s="62"/>
      <c r="J5547" s="64" t="n">
        <v>2.25</v>
      </c>
      <c r="K5547" s="62"/>
      <c r="L5547" s="68" t="b">
        <f aca="false">TRUE()</f>
        <v>1</v>
      </c>
    </row>
    <row r="5548" customFormat="false" ht="15" hidden="false" customHeight="false" outlineLevel="0" collapsed="false">
      <c r="A5548" s="62" t="n">
        <v>1</v>
      </c>
      <c r="B5548" s="21" t="s">
        <v>336</v>
      </c>
      <c r="C5548" s="62" t="s">
        <v>60</v>
      </c>
      <c r="D5548" s="62" t="s">
        <v>388</v>
      </c>
      <c r="E5548" s="62" t="s">
        <v>382</v>
      </c>
      <c r="F5548" s="62" t="s">
        <v>382</v>
      </c>
      <c r="G5548" s="63" t="s">
        <v>555</v>
      </c>
      <c r="H5548" s="64" t="n">
        <v>4</v>
      </c>
      <c r="I5548" s="62"/>
      <c r="J5548" s="64" t="n">
        <v>4</v>
      </c>
      <c r="K5548" s="62"/>
      <c r="L5548" s="68" t="b">
        <f aca="false">TRUE()</f>
        <v>1</v>
      </c>
    </row>
    <row r="5549" customFormat="false" ht="15" hidden="false" customHeight="false" outlineLevel="0" collapsed="false">
      <c r="A5549" s="62" t="n">
        <v>1</v>
      </c>
      <c r="B5549" s="21" t="s">
        <v>336</v>
      </c>
      <c r="C5549" s="62" t="s">
        <v>60</v>
      </c>
      <c r="D5549" s="62" t="s">
        <v>381</v>
      </c>
      <c r="E5549" s="62" t="s">
        <v>382</v>
      </c>
      <c r="F5549" s="62" t="s">
        <v>382</v>
      </c>
      <c r="G5549" s="63" t="s">
        <v>556</v>
      </c>
      <c r="H5549" s="64" t="n">
        <v>4.5</v>
      </c>
      <c r="I5549" s="62"/>
      <c r="J5549" s="64" t="n">
        <v>4.5</v>
      </c>
      <c r="K5549" s="62"/>
      <c r="L5549" s="68" t="b">
        <f aca="false">TRUE()</f>
        <v>1</v>
      </c>
    </row>
    <row r="5550" customFormat="false" ht="15" hidden="false" customHeight="false" outlineLevel="0" collapsed="false">
      <c r="A5550" s="62" t="n">
        <v>1</v>
      </c>
      <c r="B5550" s="21" t="s">
        <v>336</v>
      </c>
      <c r="C5550" s="62" t="s">
        <v>60</v>
      </c>
      <c r="D5550" s="62" t="s">
        <v>383</v>
      </c>
      <c r="E5550" s="62" t="s">
        <v>382</v>
      </c>
      <c r="F5550" s="62" t="s">
        <v>382</v>
      </c>
      <c r="G5550" s="63" t="s">
        <v>556</v>
      </c>
      <c r="H5550" s="64" t="n">
        <v>4</v>
      </c>
      <c r="I5550" s="62"/>
      <c r="J5550" s="64" t="n">
        <v>4</v>
      </c>
      <c r="K5550" s="62"/>
      <c r="L5550" s="68" t="b">
        <f aca="false">TRUE()</f>
        <v>1</v>
      </c>
    </row>
    <row r="5551" customFormat="false" ht="15" hidden="false" customHeight="false" outlineLevel="0" collapsed="false">
      <c r="A5551" s="62" t="n">
        <v>1</v>
      </c>
      <c r="B5551" s="21" t="s">
        <v>336</v>
      </c>
      <c r="C5551" s="62" t="s">
        <v>60</v>
      </c>
      <c r="D5551" s="62" t="s">
        <v>384</v>
      </c>
      <c r="E5551" s="62" t="s">
        <v>382</v>
      </c>
      <c r="F5551" s="62" t="s">
        <v>382</v>
      </c>
      <c r="G5551" s="63" t="s">
        <v>556</v>
      </c>
      <c r="H5551" s="64" t="n">
        <v>4</v>
      </c>
      <c r="I5551" s="62"/>
      <c r="J5551" s="64" t="n">
        <v>4</v>
      </c>
      <c r="K5551" s="62"/>
      <c r="L5551" s="68" t="b">
        <f aca="false">TRUE()</f>
        <v>1</v>
      </c>
    </row>
    <row r="5552" customFormat="false" ht="15" hidden="false" customHeight="false" outlineLevel="0" collapsed="false">
      <c r="A5552" s="62" t="n">
        <v>1</v>
      </c>
      <c r="B5552" s="21" t="s">
        <v>336</v>
      </c>
      <c r="C5552" s="62" t="s">
        <v>60</v>
      </c>
      <c r="D5552" s="62" t="s">
        <v>385</v>
      </c>
      <c r="E5552" s="62" t="s">
        <v>382</v>
      </c>
      <c r="F5552" s="62" t="s">
        <v>382</v>
      </c>
      <c r="G5552" s="63" t="s">
        <v>556</v>
      </c>
      <c r="H5552" s="64" t="n">
        <v>3.5</v>
      </c>
      <c r="I5552" s="62"/>
      <c r="J5552" s="64" t="n">
        <v>3.5</v>
      </c>
      <c r="K5552" s="62"/>
      <c r="L5552" s="68" t="b">
        <f aca="false">TRUE()</f>
        <v>1</v>
      </c>
    </row>
    <row r="5553" customFormat="false" ht="15" hidden="false" customHeight="false" outlineLevel="0" collapsed="false">
      <c r="A5553" s="62" t="n">
        <v>1</v>
      </c>
      <c r="B5553" s="21" t="s">
        <v>336</v>
      </c>
      <c r="C5553" s="62" t="s">
        <v>60</v>
      </c>
      <c r="D5553" s="62" t="s">
        <v>386</v>
      </c>
      <c r="E5553" s="62" t="s">
        <v>382</v>
      </c>
      <c r="F5553" s="62" t="s">
        <v>382</v>
      </c>
      <c r="G5553" s="63" t="s">
        <v>556</v>
      </c>
      <c r="H5553" s="64" t="n">
        <v>4</v>
      </c>
      <c r="I5553" s="62"/>
      <c r="J5553" s="64" t="n">
        <v>4</v>
      </c>
      <c r="K5553" s="62"/>
      <c r="L5553" s="68" t="b">
        <f aca="false">TRUE()</f>
        <v>1</v>
      </c>
    </row>
    <row r="5554" customFormat="false" ht="15" hidden="false" customHeight="false" outlineLevel="0" collapsed="false">
      <c r="A5554" s="62" t="n">
        <v>1</v>
      </c>
      <c r="B5554" s="21" t="s">
        <v>336</v>
      </c>
      <c r="C5554" s="62" t="s">
        <v>60</v>
      </c>
      <c r="D5554" s="62" t="s">
        <v>387</v>
      </c>
      <c r="E5554" s="62" t="s">
        <v>382</v>
      </c>
      <c r="F5554" s="62" t="s">
        <v>382</v>
      </c>
      <c r="G5554" s="63" t="s">
        <v>556</v>
      </c>
      <c r="H5554" s="64" t="n">
        <v>3.25</v>
      </c>
      <c r="I5554" s="62"/>
      <c r="J5554" s="64" t="n">
        <v>3.25</v>
      </c>
      <c r="K5554" s="62"/>
      <c r="L5554" s="68" t="b">
        <f aca="false">TRUE()</f>
        <v>1</v>
      </c>
    </row>
    <row r="5555" customFormat="false" ht="15" hidden="false" customHeight="false" outlineLevel="0" collapsed="false">
      <c r="A5555" s="62" t="n">
        <v>1</v>
      </c>
      <c r="B5555" s="21" t="s">
        <v>336</v>
      </c>
      <c r="C5555" s="62" t="s">
        <v>60</v>
      </c>
      <c r="D5555" s="62" t="s">
        <v>388</v>
      </c>
      <c r="E5555" s="62" t="s">
        <v>382</v>
      </c>
      <c r="F5555" s="62" t="s">
        <v>382</v>
      </c>
      <c r="G5555" s="63" t="s">
        <v>556</v>
      </c>
      <c r="H5555" s="64" t="n">
        <v>4</v>
      </c>
      <c r="I5555" s="62"/>
      <c r="J5555" s="64" t="n">
        <v>4</v>
      </c>
      <c r="K5555" s="62"/>
      <c r="L5555" s="68" t="b">
        <f aca="false">TRUE()</f>
        <v>1</v>
      </c>
    </row>
    <row r="5556" customFormat="false" ht="15" hidden="false" customHeight="false" outlineLevel="0" collapsed="false">
      <c r="A5556" s="62" t="n">
        <v>1</v>
      </c>
      <c r="B5556" s="21" t="s">
        <v>336</v>
      </c>
      <c r="C5556" s="62" t="s">
        <v>60</v>
      </c>
      <c r="D5556" s="62" t="s">
        <v>381</v>
      </c>
      <c r="E5556" s="62" t="s">
        <v>382</v>
      </c>
      <c r="F5556" s="62" t="s">
        <v>382</v>
      </c>
      <c r="G5556" s="63" t="s">
        <v>557</v>
      </c>
      <c r="H5556" s="64" t="n">
        <v>2125</v>
      </c>
      <c r="I5556" s="62"/>
      <c r="J5556" s="64" t="n">
        <v>2125</v>
      </c>
      <c r="K5556" s="62"/>
      <c r="L5556" s="68" t="b">
        <f aca="false">TRUE()</f>
        <v>1</v>
      </c>
    </row>
    <row r="5557" customFormat="false" ht="15" hidden="false" customHeight="false" outlineLevel="0" collapsed="false">
      <c r="A5557" s="62" t="n">
        <v>1</v>
      </c>
      <c r="B5557" s="21" t="s">
        <v>336</v>
      </c>
      <c r="C5557" s="62" t="s">
        <v>60</v>
      </c>
      <c r="D5557" s="62" t="s">
        <v>383</v>
      </c>
      <c r="E5557" s="62" t="s">
        <v>382</v>
      </c>
      <c r="F5557" s="62" t="s">
        <v>382</v>
      </c>
      <c r="G5557" s="63" t="s">
        <v>557</v>
      </c>
      <c r="H5557" s="64" t="n">
        <v>2250</v>
      </c>
      <c r="I5557" s="62"/>
      <c r="J5557" s="64" t="n">
        <v>2250</v>
      </c>
      <c r="K5557" s="62"/>
      <c r="L5557" s="68" t="b">
        <f aca="false">TRUE()</f>
        <v>1</v>
      </c>
    </row>
    <row r="5558" customFormat="false" ht="15" hidden="false" customHeight="false" outlineLevel="0" collapsed="false">
      <c r="A5558" s="62" t="n">
        <v>1</v>
      </c>
      <c r="B5558" s="21" t="s">
        <v>336</v>
      </c>
      <c r="C5558" s="62" t="s">
        <v>60</v>
      </c>
      <c r="D5558" s="62" t="s">
        <v>384</v>
      </c>
      <c r="E5558" s="62" t="s">
        <v>382</v>
      </c>
      <c r="F5558" s="62" t="s">
        <v>382</v>
      </c>
      <c r="G5558" s="63" t="s">
        <v>557</v>
      </c>
      <c r="H5558" s="64" t="n">
        <v>2166.66666666667</v>
      </c>
      <c r="I5558" s="62"/>
      <c r="J5558" s="64" t="n">
        <v>2166.66666666667</v>
      </c>
      <c r="K5558" s="62"/>
      <c r="L5558" s="68" t="b">
        <f aca="false">TRUE()</f>
        <v>1</v>
      </c>
    </row>
    <row r="5559" customFormat="false" ht="15" hidden="false" customHeight="false" outlineLevel="0" collapsed="false">
      <c r="A5559" s="62" t="n">
        <v>1</v>
      </c>
      <c r="B5559" s="21" t="s">
        <v>336</v>
      </c>
      <c r="C5559" s="62" t="s">
        <v>60</v>
      </c>
      <c r="D5559" s="62" t="s">
        <v>385</v>
      </c>
      <c r="E5559" s="62" t="s">
        <v>382</v>
      </c>
      <c r="F5559" s="62" t="s">
        <v>382</v>
      </c>
      <c r="G5559" s="63" t="s">
        <v>557</v>
      </c>
      <c r="H5559" s="64" t="n">
        <v>2125</v>
      </c>
      <c r="I5559" s="62"/>
      <c r="J5559" s="64" t="n">
        <v>2125</v>
      </c>
      <c r="K5559" s="62"/>
      <c r="L5559" s="68" t="b">
        <f aca="false">TRUE()</f>
        <v>1</v>
      </c>
    </row>
    <row r="5560" customFormat="false" ht="15" hidden="false" customHeight="false" outlineLevel="0" collapsed="false">
      <c r="A5560" s="62" t="n">
        <v>1</v>
      </c>
      <c r="B5560" s="21" t="s">
        <v>336</v>
      </c>
      <c r="C5560" s="62" t="s">
        <v>60</v>
      </c>
      <c r="D5560" s="62" t="s">
        <v>386</v>
      </c>
      <c r="E5560" s="62" t="s">
        <v>382</v>
      </c>
      <c r="F5560" s="62" t="s">
        <v>382</v>
      </c>
      <c r="G5560" s="63" t="s">
        <v>557</v>
      </c>
      <c r="H5560" s="64" t="n">
        <v>2250</v>
      </c>
      <c r="I5560" s="62"/>
      <c r="J5560" s="64" t="n">
        <v>2250</v>
      </c>
      <c r="K5560" s="62"/>
      <c r="L5560" s="68" t="b">
        <f aca="false">TRUE()</f>
        <v>1</v>
      </c>
    </row>
    <row r="5561" customFormat="false" ht="15" hidden="false" customHeight="false" outlineLevel="0" collapsed="false">
      <c r="A5561" s="62" t="n">
        <v>1</v>
      </c>
      <c r="B5561" s="21" t="s">
        <v>336</v>
      </c>
      <c r="C5561" s="62" t="s">
        <v>60</v>
      </c>
      <c r="D5561" s="62" t="s">
        <v>387</v>
      </c>
      <c r="E5561" s="62" t="s">
        <v>382</v>
      </c>
      <c r="F5561" s="62" t="s">
        <v>382</v>
      </c>
      <c r="G5561" s="63" t="s">
        <v>557</v>
      </c>
      <c r="H5561" s="64" t="n">
        <v>1850</v>
      </c>
      <c r="I5561" s="62"/>
      <c r="J5561" s="64" t="n">
        <v>1850</v>
      </c>
      <c r="K5561" s="62"/>
      <c r="L5561" s="68" t="b">
        <f aca="false">TRUE()</f>
        <v>1</v>
      </c>
    </row>
    <row r="5562" customFormat="false" ht="15" hidden="false" customHeight="false" outlineLevel="0" collapsed="false">
      <c r="A5562" s="62" t="n">
        <v>1</v>
      </c>
      <c r="B5562" s="21" t="s">
        <v>336</v>
      </c>
      <c r="C5562" s="62" t="s">
        <v>60</v>
      </c>
      <c r="D5562" s="62" t="s">
        <v>388</v>
      </c>
      <c r="E5562" s="62" t="s">
        <v>382</v>
      </c>
      <c r="F5562" s="62" t="s">
        <v>382</v>
      </c>
      <c r="G5562" s="63" t="s">
        <v>557</v>
      </c>
      <c r="H5562" s="64" t="n">
        <v>2166.66666666667</v>
      </c>
      <c r="I5562" s="62"/>
      <c r="J5562" s="64" t="n">
        <v>2166.66666666667</v>
      </c>
      <c r="K5562" s="62"/>
      <c r="L5562" s="68" t="b">
        <f aca="false">TRUE()</f>
        <v>1</v>
      </c>
    </row>
    <row r="5563" customFormat="false" ht="15" hidden="false" customHeight="false" outlineLevel="0" collapsed="false">
      <c r="A5563" s="62" t="n">
        <v>1</v>
      </c>
      <c r="B5563" s="21" t="s">
        <v>336</v>
      </c>
      <c r="C5563" s="62" t="s">
        <v>60</v>
      </c>
      <c r="D5563" s="62" t="s">
        <v>381</v>
      </c>
      <c r="E5563" s="62" t="s">
        <v>382</v>
      </c>
      <c r="F5563" s="62" t="s">
        <v>382</v>
      </c>
      <c r="G5563" s="63" t="s">
        <v>558</v>
      </c>
      <c r="H5563" s="64" t="n">
        <v>4.5</v>
      </c>
      <c r="I5563" s="62"/>
      <c r="J5563" s="64" t="n">
        <v>4.5</v>
      </c>
      <c r="K5563" s="62"/>
      <c r="L5563" s="68" t="b">
        <f aca="false">FALSE()</f>
        <v>0</v>
      </c>
    </row>
    <row r="5564" customFormat="false" ht="15" hidden="false" customHeight="false" outlineLevel="0" collapsed="false">
      <c r="A5564" s="62" t="n">
        <v>1</v>
      </c>
      <c r="B5564" s="21" t="s">
        <v>336</v>
      </c>
      <c r="C5564" s="62" t="s">
        <v>60</v>
      </c>
      <c r="D5564" s="62" t="s">
        <v>381</v>
      </c>
      <c r="E5564" s="62" t="s">
        <v>382</v>
      </c>
      <c r="F5564" s="62" t="s">
        <v>382</v>
      </c>
      <c r="G5564" s="63" t="s">
        <v>551</v>
      </c>
      <c r="H5564" s="64" t="n">
        <v>2</v>
      </c>
      <c r="I5564" s="62"/>
      <c r="J5564" s="64" t="n">
        <v>2</v>
      </c>
      <c r="K5564" s="62"/>
      <c r="L5564" s="68" t="b">
        <f aca="false">FALSE()</f>
        <v>0</v>
      </c>
    </row>
    <row r="5565" customFormat="false" ht="15" hidden="false" customHeight="false" outlineLevel="0" collapsed="false">
      <c r="A5565" s="62" t="n">
        <v>1</v>
      </c>
      <c r="B5565" s="21" t="s">
        <v>336</v>
      </c>
      <c r="C5565" s="62" t="s">
        <v>60</v>
      </c>
      <c r="D5565" s="62" t="s">
        <v>381</v>
      </c>
      <c r="E5565" s="62" t="s">
        <v>382</v>
      </c>
      <c r="F5565" s="62" t="s">
        <v>382</v>
      </c>
      <c r="G5565" s="63" t="s">
        <v>552</v>
      </c>
      <c r="H5565" s="64" t="n">
        <v>1.75</v>
      </c>
      <c r="I5565" s="62"/>
      <c r="J5565" s="64" t="n">
        <v>1.75</v>
      </c>
      <c r="K5565" s="62"/>
      <c r="L5565" s="68" t="b">
        <f aca="false">FALSE()</f>
        <v>0</v>
      </c>
    </row>
    <row r="5566" customFormat="false" ht="15" hidden="false" customHeight="false" outlineLevel="0" collapsed="false">
      <c r="A5566" s="62" t="n">
        <v>1</v>
      </c>
      <c r="B5566" s="21" t="s">
        <v>336</v>
      </c>
      <c r="C5566" s="62" t="s">
        <v>60</v>
      </c>
      <c r="D5566" s="62" t="s">
        <v>381</v>
      </c>
      <c r="E5566" s="62" t="s">
        <v>382</v>
      </c>
      <c r="F5566" s="62" t="s">
        <v>382</v>
      </c>
      <c r="G5566" s="63" t="s">
        <v>553</v>
      </c>
      <c r="H5566" s="64" t="n">
        <v>4</v>
      </c>
      <c r="I5566" s="62"/>
      <c r="J5566" s="64" t="n">
        <v>4</v>
      </c>
      <c r="K5566" s="62"/>
      <c r="L5566" s="68" t="b">
        <f aca="false">FALSE()</f>
        <v>0</v>
      </c>
    </row>
    <row r="5567" customFormat="false" ht="15" hidden="false" customHeight="false" outlineLevel="0" collapsed="false">
      <c r="A5567" s="62" t="n">
        <v>1</v>
      </c>
      <c r="B5567" s="21" t="s">
        <v>336</v>
      </c>
      <c r="C5567" s="62" t="s">
        <v>60</v>
      </c>
      <c r="D5567" s="62" t="s">
        <v>381</v>
      </c>
      <c r="E5567" s="62" t="s">
        <v>382</v>
      </c>
      <c r="F5567" s="62" t="s">
        <v>382</v>
      </c>
      <c r="G5567" s="63" t="s">
        <v>562</v>
      </c>
      <c r="H5567" s="64" t="n">
        <v>3.5</v>
      </c>
      <c r="I5567" s="62"/>
      <c r="J5567" s="64" t="n">
        <v>3.5</v>
      </c>
      <c r="K5567" s="62"/>
      <c r="L5567" s="68" t="b">
        <f aca="false">FALSE()</f>
        <v>0</v>
      </c>
    </row>
    <row r="5568" customFormat="false" ht="15" hidden="false" customHeight="false" outlineLevel="0" collapsed="false">
      <c r="A5568" s="62" t="n">
        <v>1</v>
      </c>
      <c r="B5568" s="21" t="s">
        <v>336</v>
      </c>
      <c r="C5568" s="62" t="s">
        <v>60</v>
      </c>
      <c r="D5568" s="62" t="s">
        <v>381</v>
      </c>
      <c r="E5568" s="62" t="s">
        <v>382</v>
      </c>
      <c r="F5568" s="62" t="s">
        <v>382</v>
      </c>
      <c r="G5568" s="63" t="s">
        <v>563</v>
      </c>
      <c r="H5568" s="64" t="n">
        <v>2250</v>
      </c>
      <c r="I5568" s="62"/>
      <c r="J5568" s="64" t="n">
        <v>2250</v>
      </c>
      <c r="K5568" s="62"/>
      <c r="L5568" s="68" t="b">
        <f aca="false">FALSE()</f>
        <v>0</v>
      </c>
    </row>
    <row r="5569" customFormat="false" ht="15" hidden="false" customHeight="false" outlineLevel="0" collapsed="false">
      <c r="A5569" s="62" t="n">
        <v>1</v>
      </c>
      <c r="B5569" s="21" t="s">
        <v>336</v>
      </c>
      <c r="C5569" s="62" t="s">
        <v>60</v>
      </c>
      <c r="D5569" s="62" t="s">
        <v>381</v>
      </c>
      <c r="E5569" s="62" t="s">
        <v>382</v>
      </c>
      <c r="F5569" s="62" t="s">
        <v>382</v>
      </c>
      <c r="G5569" s="63" t="s">
        <v>559</v>
      </c>
      <c r="H5569" s="64" t="n">
        <v>1700</v>
      </c>
      <c r="I5569" s="62"/>
      <c r="J5569" s="64" t="n">
        <v>1700</v>
      </c>
      <c r="K5569" s="62"/>
      <c r="L5569" s="68" t="b">
        <f aca="false">FALSE()</f>
        <v>0</v>
      </c>
    </row>
    <row r="5570" customFormat="false" ht="15" hidden="false" customHeight="false" outlineLevel="0" collapsed="false">
      <c r="A5570" s="62" t="n">
        <v>1</v>
      </c>
      <c r="B5570" s="21" t="s">
        <v>336</v>
      </c>
      <c r="C5570" s="62" t="s">
        <v>60</v>
      </c>
      <c r="D5570" s="62" t="s">
        <v>381</v>
      </c>
      <c r="E5570" s="62" t="s">
        <v>382</v>
      </c>
      <c r="F5570" s="62" t="s">
        <v>382</v>
      </c>
      <c r="G5570" s="63" t="s">
        <v>560</v>
      </c>
      <c r="H5570" s="64" t="n">
        <v>2000</v>
      </c>
      <c r="I5570" s="62"/>
      <c r="J5570" s="64" t="n">
        <v>2000</v>
      </c>
      <c r="K5570" s="62"/>
      <c r="L5570" s="68" t="b">
        <f aca="false">FALSE()</f>
        <v>0</v>
      </c>
    </row>
    <row r="5571" customFormat="false" ht="15" hidden="false" customHeight="false" outlineLevel="0" collapsed="false">
      <c r="A5571" s="62" t="n">
        <v>1</v>
      </c>
      <c r="B5571" s="21" t="s">
        <v>336</v>
      </c>
      <c r="C5571" s="62" t="s">
        <v>60</v>
      </c>
      <c r="D5571" s="62" t="s">
        <v>381</v>
      </c>
      <c r="E5571" s="62" t="s">
        <v>382</v>
      </c>
      <c r="F5571" s="62" t="s">
        <v>382</v>
      </c>
      <c r="G5571" s="63" t="s">
        <v>561</v>
      </c>
      <c r="H5571" s="64" t="n">
        <v>2250</v>
      </c>
      <c r="I5571" s="62"/>
      <c r="J5571" s="64" t="n">
        <v>2250</v>
      </c>
      <c r="K5571" s="62"/>
      <c r="L5571" s="68" t="b">
        <f aca="false">FALSE()</f>
        <v>0</v>
      </c>
    </row>
    <row r="5572" customFormat="false" ht="15" hidden="false" customHeight="false" outlineLevel="0" collapsed="false">
      <c r="A5572" s="62" t="n">
        <v>1</v>
      </c>
      <c r="B5572" s="21" t="s">
        <v>336</v>
      </c>
      <c r="C5572" s="62" t="s">
        <v>60</v>
      </c>
      <c r="D5572" s="62" t="s">
        <v>381</v>
      </c>
      <c r="E5572" s="62" t="s">
        <v>382</v>
      </c>
      <c r="F5572" s="62" t="s">
        <v>382</v>
      </c>
      <c r="G5572" s="63" t="s">
        <v>567</v>
      </c>
      <c r="H5572" s="64" t="n">
        <v>2000</v>
      </c>
      <c r="I5572" s="62"/>
      <c r="J5572" s="64" t="n">
        <v>2000</v>
      </c>
      <c r="K5572" s="62"/>
      <c r="L5572" s="68" t="b">
        <f aca="false">FALSE()</f>
        <v>0</v>
      </c>
    </row>
    <row r="5573" customFormat="false" ht="15" hidden="false" customHeight="false" outlineLevel="0" collapsed="false">
      <c r="A5573" s="62" t="n">
        <v>1</v>
      </c>
      <c r="B5573" s="21" t="s">
        <v>336</v>
      </c>
      <c r="C5573" s="62" t="s">
        <v>60</v>
      </c>
      <c r="D5573" s="62" t="s">
        <v>381</v>
      </c>
      <c r="E5573" s="62" t="s">
        <v>382</v>
      </c>
      <c r="F5573" s="62" t="s">
        <v>382</v>
      </c>
      <c r="G5573" s="63" t="s">
        <v>568</v>
      </c>
      <c r="H5573" s="64" t="n">
        <v>336</v>
      </c>
      <c r="I5573" s="62"/>
      <c r="J5573" s="64" t="n">
        <v>336</v>
      </c>
      <c r="K5573" s="62"/>
      <c r="L5573" s="68" t="b">
        <f aca="false">FALSE()</f>
        <v>0</v>
      </c>
    </row>
    <row r="5574" customFormat="false" ht="15" hidden="false" customHeight="false" outlineLevel="0" collapsed="false">
      <c r="A5574" s="62" t="n">
        <v>1</v>
      </c>
      <c r="B5574" s="21" t="s">
        <v>336</v>
      </c>
      <c r="C5574" s="62" t="s">
        <v>60</v>
      </c>
      <c r="D5574" s="62" t="s">
        <v>383</v>
      </c>
      <c r="E5574" s="62" t="s">
        <v>382</v>
      </c>
      <c r="F5574" s="62" t="s">
        <v>382</v>
      </c>
      <c r="G5574" s="63" t="s">
        <v>568</v>
      </c>
      <c r="H5574" s="64" t="n">
        <v>975.8</v>
      </c>
      <c r="I5574" s="62"/>
      <c r="J5574" s="64" t="n">
        <v>975.8</v>
      </c>
      <c r="K5574" s="62"/>
      <c r="L5574" s="68" t="b">
        <f aca="false">FALSE()</f>
        <v>0</v>
      </c>
    </row>
    <row r="5575" customFormat="false" ht="15" hidden="false" customHeight="false" outlineLevel="0" collapsed="false">
      <c r="A5575" s="62" t="n">
        <v>1</v>
      </c>
      <c r="B5575" s="21" t="s">
        <v>336</v>
      </c>
      <c r="C5575" s="62" t="s">
        <v>60</v>
      </c>
      <c r="D5575" s="62" t="s">
        <v>384</v>
      </c>
      <c r="E5575" s="62" t="s">
        <v>382</v>
      </c>
      <c r="F5575" s="62" t="s">
        <v>382</v>
      </c>
      <c r="G5575" s="63" t="s">
        <v>568</v>
      </c>
      <c r="H5575" s="64" t="n">
        <v>1008</v>
      </c>
      <c r="I5575" s="62"/>
      <c r="J5575" s="64" t="n">
        <v>1008</v>
      </c>
      <c r="K5575" s="62"/>
      <c r="L5575" s="68" t="b">
        <f aca="false">FALSE()</f>
        <v>0</v>
      </c>
    </row>
    <row r="5576" customFormat="false" ht="15" hidden="false" customHeight="false" outlineLevel="0" collapsed="false">
      <c r="A5576" s="62" t="n">
        <v>1</v>
      </c>
      <c r="B5576" s="21" t="s">
        <v>336</v>
      </c>
      <c r="C5576" s="62" t="s">
        <v>60</v>
      </c>
      <c r="D5576" s="62" t="s">
        <v>385</v>
      </c>
      <c r="E5576" s="62" t="s">
        <v>382</v>
      </c>
      <c r="F5576" s="62" t="s">
        <v>382</v>
      </c>
      <c r="G5576" s="63" t="s">
        <v>568</v>
      </c>
      <c r="H5576" s="64" t="n">
        <v>1225.98</v>
      </c>
      <c r="I5576" s="62"/>
      <c r="J5576" s="64" t="n">
        <v>1225.98</v>
      </c>
      <c r="K5576" s="62"/>
      <c r="L5576" s="68" t="b">
        <f aca="false">FALSE()</f>
        <v>0</v>
      </c>
    </row>
    <row r="5577" customFormat="false" ht="15" hidden="false" customHeight="false" outlineLevel="0" collapsed="false">
      <c r="A5577" s="62" t="n">
        <v>1</v>
      </c>
      <c r="B5577" s="21" t="s">
        <v>336</v>
      </c>
      <c r="C5577" s="62" t="s">
        <v>60</v>
      </c>
      <c r="D5577" s="62" t="s">
        <v>386</v>
      </c>
      <c r="E5577" s="62" t="s">
        <v>382</v>
      </c>
      <c r="F5577" s="62" t="s">
        <v>382</v>
      </c>
      <c r="G5577" s="63" t="s">
        <v>568</v>
      </c>
      <c r="H5577" s="64" t="n">
        <v>787.15</v>
      </c>
      <c r="I5577" s="62"/>
      <c r="J5577" s="64" t="n">
        <v>787.15</v>
      </c>
      <c r="K5577" s="62"/>
      <c r="L5577" s="68" t="b">
        <f aca="false">FALSE()</f>
        <v>0</v>
      </c>
    </row>
    <row r="5578" customFormat="false" ht="15" hidden="false" customHeight="false" outlineLevel="0" collapsed="false">
      <c r="A5578" s="62" t="n">
        <v>1</v>
      </c>
      <c r="B5578" s="21" t="s">
        <v>336</v>
      </c>
      <c r="C5578" s="62" t="s">
        <v>60</v>
      </c>
      <c r="D5578" s="62" t="s">
        <v>387</v>
      </c>
      <c r="E5578" s="62" t="s">
        <v>382</v>
      </c>
      <c r="F5578" s="62" t="s">
        <v>382</v>
      </c>
      <c r="G5578" s="63" t="s">
        <v>568</v>
      </c>
      <c r="H5578" s="64" t="n">
        <v>720.72</v>
      </c>
      <c r="I5578" s="62"/>
      <c r="J5578" s="64" t="n">
        <v>720.72</v>
      </c>
      <c r="K5578" s="62"/>
      <c r="L5578" s="68" t="b">
        <f aca="false">FALSE()</f>
        <v>0</v>
      </c>
    </row>
    <row r="5579" customFormat="false" ht="15" hidden="false" customHeight="false" outlineLevel="0" collapsed="false">
      <c r="A5579" s="62" t="n">
        <v>1</v>
      </c>
      <c r="B5579" s="21" t="s">
        <v>336</v>
      </c>
      <c r="C5579" s="62" t="s">
        <v>60</v>
      </c>
      <c r="D5579" s="62" t="s">
        <v>388</v>
      </c>
      <c r="E5579" s="62" t="s">
        <v>382</v>
      </c>
      <c r="F5579" s="62" t="s">
        <v>382</v>
      </c>
      <c r="G5579" s="63" t="s">
        <v>568</v>
      </c>
      <c r="H5579" s="64" t="n">
        <v>716.8</v>
      </c>
      <c r="I5579" s="62"/>
      <c r="J5579" s="64" t="n">
        <v>716.8</v>
      </c>
      <c r="K5579" s="62"/>
      <c r="L5579" s="68" t="b">
        <f aca="false">FALSE()</f>
        <v>0</v>
      </c>
    </row>
    <row r="5580" customFormat="false" ht="15" hidden="false" customHeight="false" outlineLevel="0" collapsed="false">
      <c r="A5580" s="62" t="n">
        <v>1</v>
      </c>
      <c r="B5580" s="21" t="s">
        <v>336</v>
      </c>
      <c r="C5580" s="62" t="s">
        <v>60</v>
      </c>
      <c r="D5580" s="62" t="s">
        <v>381</v>
      </c>
      <c r="E5580" s="62" t="s">
        <v>382</v>
      </c>
      <c r="F5580" s="62" t="s">
        <v>382</v>
      </c>
      <c r="G5580" s="63" t="s">
        <v>812</v>
      </c>
      <c r="H5580" s="64" t="n">
        <v>616</v>
      </c>
      <c r="I5580" s="62"/>
      <c r="J5580" s="64" t="n">
        <v>616</v>
      </c>
      <c r="K5580" s="62"/>
      <c r="L5580" s="68" t="b">
        <f aca="false">FALSE()</f>
        <v>0</v>
      </c>
    </row>
    <row r="5581" customFormat="false" ht="15" hidden="false" customHeight="false" outlineLevel="0" collapsed="false">
      <c r="A5581" s="62" t="n">
        <v>1</v>
      </c>
      <c r="B5581" s="21" t="s">
        <v>336</v>
      </c>
      <c r="C5581" s="62" t="s">
        <v>60</v>
      </c>
      <c r="D5581" s="62" t="s">
        <v>383</v>
      </c>
      <c r="E5581" s="62" t="s">
        <v>382</v>
      </c>
      <c r="F5581" s="62" t="s">
        <v>382</v>
      </c>
      <c r="G5581" s="63" t="s">
        <v>812</v>
      </c>
      <c r="H5581" s="64" t="n">
        <v>214.2</v>
      </c>
      <c r="I5581" s="62"/>
      <c r="J5581" s="64" t="n">
        <v>214.2</v>
      </c>
      <c r="K5581" s="62"/>
      <c r="L5581" s="68" t="b">
        <f aca="false">FALSE()</f>
        <v>0</v>
      </c>
    </row>
    <row r="5582" customFormat="false" ht="15" hidden="false" customHeight="false" outlineLevel="0" collapsed="false">
      <c r="A5582" s="62" t="n">
        <v>1</v>
      </c>
      <c r="B5582" s="21" t="s">
        <v>336</v>
      </c>
      <c r="C5582" s="62" t="s">
        <v>60</v>
      </c>
      <c r="D5582" s="62" t="s">
        <v>387</v>
      </c>
      <c r="E5582" s="62" t="s">
        <v>382</v>
      </c>
      <c r="F5582" s="62" t="s">
        <v>382</v>
      </c>
      <c r="G5582" s="63" t="s">
        <v>812</v>
      </c>
      <c r="H5582" s="64" t="n">
        <v>287.616</v>
      </c>
      <c r="I5582" s="62"/>
      <c r="J5582" s="64" t="n">
        <v>287.616</v>
      </c>
      <c r="K5582" s="62"/>
      <c r="L5582" s="68" t="b">
        <f aca="false">FALSE()</f>
        <v>0</v>
      </c>
    </row>
    <row r="5583" customFormat="false" ht="15" hidden="false" customHeight="false" outlineLevel="0" collapsed="false">
      <c r="A5583" s="62" t="n">
        <v>1</v>
      </c>
      <c r="B5583" s="21" t="s">
        <v>336</v>
      </c>
      <c r="C5583" s="62" t="s">
        <v>60</v>
      </c>
      <c r="D5583" s="62" t="s">
        <v>388</v>
      </c>
      <c r="E5583" s="62" t="s">
        <v>382</v>
      </c>
      <c r="F5583" s="62" t="s">
        <v>382</v>
      </c>
      <c r="G5583" s="63" t="s">
        <v>812</v>
      </c>
      <c r="H5583" s="64" t="n">
        <v>168</v>
      </c>
      <c r="I5583" s="62"/>
      <c r="J5583" s="64" t="n">
        <v>168</v>
      </c>
      <c r="K5583" s="62"/>
      <c r="L5583" s="68" t="b">
        <f aca="false">FALSE()</f>
        <v>0</v>
      </c>
    </row>
    <row r="5584" customFormat="false" ht="15" hidden="false" customHeight="false" outlineLevel="0" collapsed="false">
      <c r="A5584" s="62" t="n">
        <v>1</v>
      </c>
      <c r="B5584" s="21" t="s">
        <v>336</v>
      </c>
      <c r="C5584" s="62" t="s">
        <v>60</v>
      </c>
      <c r="D5584" s="62" t="s">
        <v>381</v>
      </c>
      <c r="E5584" s="62" t="s">
        <v>382</v>
      </c>
      <c r="F5584" s="62" t="s">
        <v>382</v>
      </c>
      <c r="G5584" s="63" t="s">
        <v>569</v>
      </c>
      <c r="H5584" s="64" t="n">
        <v>240</v>
      </c>
      <c r="I5584" s="62"/>
      <c r="J5584" s="64" t="n">
        <v>240</v>
      </c>
      <c r="K5584" s="62"/>
      <c r="L5584" s="68" t="b">
        <f aca="false">FALSE()</f>
        <v>0</v>
      </c>
    </row>
    <row r="5585" customFormat="false" ht="15" hidden="false" customHeight="false" outlineLevel="0" collapsed="false">
      <c r="A5585" s="62" t="n">
        <v>1</v>
      </c>
      <c r="B5585" s="21" t="s">
        <v>336</v>
      </c>
      <c r="C5585" s="62" t="s">
        <v>60</v>
      </c>
      <c r="D5585" s="62" t="s">
        <v>383</v>
      </c>
      <c r="E5585" s="62" t="s">
        <v>382</v>
      </c>
      <c r="F5585" s="62" t="s">
        <v>382</v>
      </c>
      <c r="G5585" s="63" t="s">
        <v>569</v>
      </c>
      <c r="H5585" s="64" t="n">
        <v>258.5</v>
      </c>
      <c r="I5585" s="62"/>
      <c r="J5585" s="64" t="n">
        <v>258.5</v>
      </c>
      <c r="K5585" s="62"/>
      <c r="L5585" s="68" t="b">
        <f aca="false">FALSE()</f>
        <v>0</v>
      </c>
    </row>
    <row r="5586" customFormat="false" ht="15" hidden="false" customHeight="false" outlineLevel="0" collapsed="false">
      <c r="A5586" s="62" t="n">
        <v>1</v>
      </c>
      <c r="B5586" s="21" t="s">
        <v>336</v>
      </c>
      <c r="C5586" s="62" t="s">
        <v>60</v>
      </c>
      <c r="D5586" s="62" t="s">
        <v>384</v>
      </c>
      <c r="E5586" s="62" t="s">
        <v>382</v>
      </c>
      <c r="F5586" s="62" t="s">
        <v>382</v>
      </c>
      <c r="G5586" s="63" t="s">
        <v>569</v>
      </c>
      <c r="H5586" s="64" t="n">
        <v>360</v>
      </c>
      <c r="I5586" s="62"/>
      <c r="J5586" s="64" t="n">
        <v>360</v>
      </c>
      <c r="K5586" s="62"/>
      <c r="L5586" s="68" t="b">
        <f aca="false">FALSE()</f>
        <v>0</v>
      </c>
    </row>
    <row r="5587" customFormat="false" ht="15" hidden="false" customHeight="false" outlineLevel="0" collapsed="false">
      <c r="A5587" s="62" t="n">
        <v>1</v>
      </c>
      <c r="B5587" s="21" t="s">
        <v>336</v>
      </c>
      <c r="C5587" s="62" t="s">
        <v>60</v>
      </c>
      <c r="D5587" s="62" t="s">
        <v>385</v>
      </c>
      <c r="E5587" s="62" t="s">
        <v>382</v>
      </c>
      <c r="F5587" s="62" t="s">
        <v>382</v>
      </c>
      <c r="G5587" s="63" t="s">
        <v>569</v>
      </c>
      <c r="H5587" s="64" t="n">
        <v>425</v>
      </c>
      <c r="I5587" s="62"/>
      <c r="J5587" s="64" t="n">
        <v>425</v>
      </c>
      <c r="K5587" s="62"/>
      <c r="L5587" s="68" t="b">
        <f aca="false">FALSE()</f>
        <v>0</v>
      </c>
    </row>
    <row r="5588" customFormat="false" ht="15" hidden="false" customHeight="false" outlineLevel="0" collapsed="false">
      <c r="A5588" s="62" t="n">
        <v>1</v>
      </c>
      <c r="B5588" s="21" t="s">
        <v>336</v>
      </c>
      <c r="C5588" s="62" t="s">
        <v>60</v>
      </c>
      <c r="D5588" s="62" t="s">
        <v>386</v>
      </c>
      <c r="E5588" s="62" t="s">
        <v>382</v>
      </c>
      <c r="F5588" s="62" t="s">
        <v>382</v>
      </c>
      <c r="G5588" s="63" t="s">
        <v>569</v>
      </c>
      <c r="H5588" s="64" t="n">
        <v>281.125</v>
      </c>
      <c r="I5588" s="62"/>
      <c r="J5588" s="64" t="n">
        <v>281.125</v>
      </c>
      <c r="K5588" s="62"/>
      <c r="L5588" s="68" t="b">
        <f aca="false">FALSE()</f>
        <v>0</v>
      </c>
    </row>
    <row r="5589" customFormat="false" ht="15" hidden="false" customHeight="false" outlineLevel="0" collapsed="false">
      <c r="A5589" s="62" t="n">
        <v>1</v>
      </c>
      <c r="B5589" s="21" t="s">
        <v>336</v>
      </c>
      <c r="C5589" s="62" t="s">
        <v>60</v>
      </c>
      <c r="D5589" s="62" t="s">
        <v>387</v>
      </c>
      <c r="E5589" s="62" t="s">
        <v>382</v>
      </c>
      <c r="F5589" s="62" t="s">
        <v>382</v>
      </c>
      <c r="G5589" s="63" t="s">
        <v>569</v>
      </c>
      <c r="H5589" s="64" t="n">
        <v>249.2</v>
      </c>
      <c r="I5589" s="62"/>
      <c r="J5589" s="64" t="n">
        <v>249.2</v>
      </c>
      <c r="K5589" s="62"/>
      <c r="L5589" s="68" t="b">
        <f aca="false">FALSE()</f>
        <v>0</v>
      </c>
    </row>
    <row r="5590" customFormat="false" ht="15" hidden="false" customHeight="false" outlineLevel="0" collapsed="false">
      <c r="A5590" s="62" t="n">
        <v>1</v>
      </c>
      <c r="B5590" s="21" t="s">
        <v>336</v>
      </c>
      <c r="C5590" s="62" t="s">
        <v>60</v>
      </c>
      <c r="D5590" s="62" t="s">
        <v>388</v>
      </c>
      <c r="E5590" s="62" t="s">
        <v>382</v>
      </c>
      <c r="F5590" s="62" t="s">
        <v>382</v>
      </c>
      <c r="G5590" s="63" t="s">
        <v>569</v>
      </c>
      <c r="H5590" s="64" t="n">
        <v>216</v>
      </c>
      <c r="I5590" s="62"/>
      <c r="J5590" s="64" t="n">
        <v>216</v>
      </c>
      <c r="K5590" s="62"/>
      <c r="L5590" s="68" t="b">
        <f aca="false">FALSE()</f>
        <v>0</v>
      </c>
    </row>
    <row r="5591" customFormat="false" ht="15" hidden="false" customHeight="false" outlineLevel="0" collapsed="false">
      <c r="A5591" s="62" t="n">
        <v>1</v>
      </c>
      <c r="B5591" s="21" t="s">
        <v>336</v>
      </c>
      <c r="C5591" s="62" t="s">
        <v>60</v>
      </c>
      <c r="D5591" s="62" t="s">
        <v>381</v>
      </c>
      <c r="E5591" s="62" t="s">
        <v>382</v>
      </c>
      <c r="F5591" s="62" t="s">
        <v>382</v>
      </c>
      <c r="G5591" s="63" t="s">
        <v>813</v>
      </c>
      <c r="H5591" s="64" t="n">
        <v>100</v>
      </c>
      <c r="I5591" s="62"/>
      <c r="J5591" s="64" t="n">
        <v>100</v>
      </c>
      <c r="K5591" s="62"/>
      <c r="L5591" s="68" t="b">
        <f aca="false">FALSE()</f>
        <v>0</v>
      </c>
    </row>
    <row r="5592" customFormat="false" ht="15" hidden="false" customHeight="false" outlineLevel="0" collapsed="false">
      <c r="A5592" s="62" t="n">
        <v>1</v>
      </c>
      <c r="B5592" s="21" t="s">
        <v>336</v>
      </c>
      <c r="C5592" s="62" t="s">
        <v>60</v>
      </c>
      <c r="D5592" s="62" t="s">
        <v>383</v>
      </c>
      <c r="E5592" s="62" t="s">
        <v>382</v>
      </c>
      <c r="F5592" s="62" t="s">
        <v>382</v>
      </c>
      <c r="G5592" s="63" t="s">
        <v>813</v>
      </c>
      <c r="H5592" s="64" t="n">
        <v>166.5</v>
      </c>
      <c r="I5592" s="62"/>
      <c r="J5592" s="64" t="n">
        <v>166.5</v>
      </c>
      <c r="K5592" s="62"/>
      <c r="L5592" s="68" t="b">
        <f aca="false">FALSE()</f>
        <v>0</v>
      </c>
    </row>
    <row r="5593" customFormat="false" ht="15" hidden="false" customHeight="false" outlineLevel="0" collapsed="false">
      <c r="A5593" s="62" t="n">
        <v>1</v>
      </c>
      <c r="B5593" s="21" t="s">
        <v>336</v>
      </c>
      <c r="C5593" s="62" t="s">
        <v>60</v>
      </c>
      <c r="D5593" s="62" t="s">
        <v>387</v>
      </c>
      <c r="E5593" s="62" t="s">
        <v>382</v>
      </c>
      <c r="F5593" s="62" t="s">
        <v>382</v>
      </c>
      <c r="G5593" s="63" t="s">
        <v>813</v>
      </c>
      <c r="H5593" s="64" t="n">
        <v>110.8</v>
      </c>
      <c r="I5593" s="62"/>
      <c r="J5593" s="64" t="n">
        <v>110.8</v>
      </c>
      <c r="K5593" s="62"/>
      <c r="L5593" s="68" t="b">
        <f aca="false">FALSE()</f>
        <v>0</v>
      </c>
    </row>
    <row r="5594" customFormat="false" ht="15" hidden="false" customHeight="false" outlineLevel="0" collapsed="false">
      <c r="A5594" s="62" t="n">
        <v>1</v>
      </c>
      <c r="B5594" s="21" t="s">
        <v>336</v>
      </c>
      <c r="C5594" s="62" t="s">
        <v>60</v>
      </c>
      <c r="D5594" s="62" t="s">
        <v>388</v>
      </c>
      <c r="E5594" s="62" t="s">
        <v>382</v>
      </c>
      <c r="F5594" s="62" t="s">
        <v>382</v>
      </c>
      <c r="G5594" s="63" t="s">
        <v>813</v>
      </c>
      <c r="H5594" s="64" t="n">
        <v>84</v>
      </c>
      <c r="I5594" s="62"/>
      <c r="J5594" s="64" t="n">
        <v>84</v>
      </c>
      <c r="K5594" s="62"/>
      <c r="L5594" s="68" t="b">
        <f aca="false">FALSE()</f>
        <v>0</v>
      </c>
    </row>
    <row r="5595" customFormat="false" ht="15" hidden="false" customHeight="false" outlineLevel="0" collapsed="false">
      <c r="A5595" s="62" t="n">
        <v>1</v>
      </c>
      <c r="B5595" s="21" t="s">
        <v>336</v>
      </c>
      <c r="C5595" s="62" t="s">
        <v>60</v>
      </c>
      <c r="D5595" s="62" t="s">
        <v>381</v>
      </c>
      <c r="E5595" s="62" t="s">
        <v>382</v>
      </c>
      <c r="F5595" s="62" t="s">
        <v>382</v>
      </c>
      <c r="G5595" s="63" t="s">
        <v>570</v>
      </c>
      <c r="H5595" s="64" t="n">
        <v>480</v>
      </c>
      <c r="I5595" s="62"/>
      <c r="J5595" s="64" t="n">
        <v>480</v>
      </c>
      <c r="K5595" s="62"/>
      <c r="L5595" s="68" t="b">
        <f aca="false">FALSE()</f>
        <v>0</v>
      </c>
    </row>
    <row r="5596" customFormat="false" ht="15" hidden="false" customHeight="false" outlineLevel="0" collapsed="false">
      <c r="A5596" s="62" t="n">
        <v>1</v>
      </c>
      <c r="B5596" s="21" t="s">
        <v>336</v>
      </c>
      <c r="C5596" s="62" t="s">
        <v>60</v>
      </c>
      <c r="D5596" s="62" t="s">
        <v>381</v>
      </c>
      <c r="E5596" s="62" t="s">
        <v>382</v>
      </c>
      <c r="F5596" s="62" t="s">
        <v>382</v>
      </c>
      <c r="G5596" s="63" t="s">
        <v>814</v>
      </c>
      <c r="H5596" s="64" t="n">
        <v>200</v>
      </c>
      <c r="I5596" s="62"/>
      <c r="J5596" s="64" t="n">
        <v>200</v>
      </c>
      <c r="K5596" s="62"/>
      <c r="L5596" s="68" t="b">
        <f aca="false">FALSE()</f>
        <v>0</v>
      </c>
    </row>
    <row r="5597" customFormat="false" ht="15" hidden="false" customHeight="false" outlineLevel="0" collapsed="false">
      <c r="A5597" s="62" t="n">
        <v>1</v>
      </c>
      <c r="B5597" s="21" t="s">
        <v>336</v>
      </c>
      <c r="C5597" s="62" t="s">
        <v>60</v>
      </c>
      <c r="D5597" s="62" t="s">
        <v>381</v>
      </c>
      <c r="E5597" s="62" t="s">
        <v>382</v>
      </c>
      <c r="F5597" s="62" t="s">
        <v>382</v>
      </c>
      <c r="G5597" s="63" t="s">
        <v>815</v>
      </c>
      <c r="H5597" s="64" t="n">
        <v>360</v>
      </c>
      <c r="I5597" s="62"/>
      <c r="J5597" s="64" t="n">
        <v>360</v>
      </c>
      <c r="K5597" s="62"/>
      <c r="L5597" s="68" t="b">
        <f aca="false">FALSE()</f>
        <v>0</v>
      </c>
    </row>
    <row r="5598" customFormat="false" ht="15" hidden="false" customHeight="false" outlineLevel="0" collapsed="false">
      <c r="A5598" s="62" t="n">
        <v>1</v>
      </c>
      <c r="B5598" s="21" t="s">
        <v>336</v>
      </c>
      <c r="C5598" s="62" t="s">
        <v>60</v>
      </c>
      <c r="D5598" s="62" t="s">
        <v>383</v>
      </c>
      <c r="E5598" s="62" t="s">
        <v>382</v>
      </c>
      <c r="F5598" s="62" t="s">
        <v>382</v>
      </c>
      <c r="G5598" s="63" t="s">
        <v>570</v>
      </c>
      <c r="H5598" s="64" t="n">
        <v>384</v>
      </c>
      <c r="I5598" s="62"/>
      <c r="J5598" s="64" t="n">
        <v>384</v>
      </c>
      <c r="K5598" s="62"/>
      <c r="L5598" s="68" t="b">
        <f aca="false">FALSE()</f>
        <v>0</v>
      </c>
    </row>
    <row r="5599" customFormat="false" ht="15" hidden="false" customHeight="false" outlineLevel="0" collapsed="false">
      <c r="A5599" s="62" t="n">
        <v>1</v>
      </c>
      <c r="B5599" s="21" t="s">
        <v>336</v>
      </c>
      <c r="C5599" s="62" t="s">
        <v>60</v>
      </c>
      <c r="D5599" s="62" t="s">
        <v>384</v>
      </c>
      <c r="E5599" s="62" t="s">
        <v>382</v>
      </c>
      <c r="F5599" s="62" t="s">
        <v>382</v>
      </c>
      <c r="G5599" s="63" t="s">
        <v>570</v>
      </c>
      <c r="H5599" s="64" t="n">
        <v>935</v>
      </c>
      <c r="I5599" s="62"/>
      <c r="J5599" s="64" t="n">
        <v>935</v>
      </c>
      <c r="K5599" s="62"/>
      <c r="L5599" s="68" t="b">
        <f aca="false">FALSE()</f>
        <v>0</v>
      </c>
    </row>
    <row r="5600" customFormat="false" ht="15" hidden="false" customHeight="false" outlineLevel="0" collapsed="false">
      <c r="A5600" s="62" t="n">
        <v>1</v>
      </c>
      <c r="B5600" s="21" t="s">
        <v>336</v>
      </c>
      <c r="C5600" s="62" t="s">
        <v>60</v>
      </c>
      <c r="D5600" s="62" t="s">
        <v>386</v>
      </c>
      <c r="E5600" s="62" t="s">
        <v>382</v>
      </c>
      <c r="F5600" s="62" t="s">
        <v>382</v>
      </c>
      <c r="G5600" s="63" t="s">
        <v>570</v>
      </c>
      <c r="H5600" s="64" t="n">
        <v>551</v>
      </c>
      <c r="I5600" s="62"/>
      <c r="J5600" s="64" t="n">
        <v>551</v>
      </c>
      <c r="K5600" s="62"/>
      <c r="L5600" s="68" t="b">
        <f aca="false">FALSE()</f>
        <v>0</v>
      </c>
    </row>
    <row r="5601" customFormat="false" ht="15" hidden="false" customHeight="false" outlineLevel="0" collapsed="false">
      <c r="A5601" s="62" t="n">
        <v>1</v>
      </c>
      <c r="B5601" s="21" t="s">
        <v>336</v>
      </c>
      <c r="C5601" s="62" t="s">
        <v>60</v>
      </c>
      <c r="D5601" s="62" t="s">
        <v>387</v>
      </c>
      <c r="E5601" s="62" t="s">
        <v>382</v>
      </c>
      <c r="F5601" s="62" t="s">
        <v>382</v>
      </c>
      <c r="G5601" s="63" t="s">
        <v>570</v>
      </c>
      <c r="H5601" s="64" t="n">
        <v>464</v>
      </c>
      <c r="I5601" s="62"/>
      <c r="J5601" s="64" t="n">
        <v>464</v>
      </c>
      <c r="K5601" s="62"/>
      <c r="L5601" s="68" t="b">
        <f aca="false">FALSE()</f>
        <v>0</v>
      </c>
    </row>
    <row r="5602" customFormat="false" ht="15" hidden="false" customHeight="false" outlineLevel="0" collapsed="false">
      <c r="A5602" s="62" t="n">
        <v>1</v>
      </c>
      <c r="B5602" s="21" t="s">
        <v>336</v>
      </c>
      <c r="C5602" s="62" t="s">
        <v>60</v>
      </c>
      <c r="D5602" s="62" t="s">
        <v>381</v>
      </c>
      <c r="E5602" s="62" t="s">
        <v>382</v>
      </c>
      <c r="F5602" s="62" t="s">
        <v>382</v>
      </c>
      <c r="G5602" s="63" t="s">
        <v>816</v>
      </c>
      <c r="H5602" s="64" t="n">
        <v>170</v>
      </c>
      <c r="I5602" s="62"/>
      <c r="J5602" s="64" t="n">
        <v>170</v>
      </c>
      <c r="K5602" s="62"/>
      <c r="L5602" s="68" t="b">
        <f aca="false">FALSE()</f>
        <v>0</v>
      </c>
    </row>
    <row r="5603" customFormat="false" ht="15" hidden="false" customHeight="false" outlineLevel="0" collapsed="false">
      <c r="A5603" s="62" t="n">
        <v>1</v>
      </c>
      <c r="B5603" s="21" t="s">
        <v>336</v>
      </c>
      <c r="C5603" s="62" t="s">
        <v>60</v>
      </c>
      <c r="D5603" s="62" t="s">
        <v>383</v>
      </c>
      <c r="E5603" s="62" t="s">
        <v>382</v>
      </c>
      <c r="F5603" s="62" t="s">
        <v>382</v>
      </c>
      <c r="G5603" s="63" t="s">
        <v>814</v>
      </c>
      <c r="H5603" s="64" t="n">
        <v>102</v>
      </c>
      <c r="I5603" s="62"/>
      <c r="J5603" s="64" t="n">
        <v>102</v>
      </c>
      <c r="K5603" s="62"/>
      <c r="L5603" s="68" t="b">
        <f aca="false">FALSE()</f>
        <v>0</v>
      </c>
    </row>
    <row r="5604" customFormat="false" ht="15" hidden="false" customHeight="false" outlineLevel="0" collapsed="false">
      <c r="A5604" s="62" t="n">
        <v>1</v>
      </c>
      <c r="B5604" s="21" t="s">
        <v>336</v>
      </c>
      <c r="C5604" s="62" t="s">
        <v>60</v>
      </c>
      <c r="D5604" s="62" t="s">
        <v>381</v>
      </c>
      <c r="E5604" s="62" t="s">
        <v>382</v>
      </c>
      <c r="F5604" s="62" t="s">
        <v>382</v>
      </c>
      <c r="G5604" s="63" t="s">
        <v>571</v>
      </c>
      <c r="H5604" s="64" t="n">
        <v>0.3</v>
      </c>
      <c r="I5604" s="62" t="s">
        <v>878</v>
      </c>
      <c r="J5604" s="64" t="n">
        <v>30</v>
      </c>
      <c r="K5604" s="62" t="s">
        <v>42</v>
      </c>
      <c r="L5604" s="68" t="b">
        <f aca="false">FALSE()</f>
        <v>0</v>
      </c>
    </row>
    <row r="5605" customFormat="false" ht="15" hidden="false" customHeight="false" outlineLevel="0" collapsed="false">
      <c r="A5605" s="62" t="n">
        <v>1</v>
      </c>
      <c r="B5605" s="21" t="s">
        <v>336</v>
      </c>
      <c r="C5605" s="62" t="s">
        <v>60</v>
      </c>
      <c r="D5605" s="62" t="s">
        <v>383</v>
      </c>
      <c r="E5605" s="62" t="s">
        <v>382</v>
      </c>
      <c r="F5605" s="62" t="s">
        <v>382</v>
      </c>
      <c r="G5605" s="63" t="s">
        <v>571</v>
      </c>
      <c r="H5605" s="64" t="n">
        <v>0.697</v>
      </c>
      <c r="I5605" s="62" t="s">
        <v>878</v>
      </c>
      <c r="J5605" s="64" t="n">
        <v>69.7</v>
      </c>
      <c r="K5605" s="62" t="s">
        <v>42</v>
      </c>
      <c r="L5605" s="68" t="b">
        <f aca="false">FALSE()</f>
        <v>0</v>
      </c>
    </row>
    <row r="5606" customFormat="false" ht="15" hidden="false" customHeight="false" outlineLevel="0" collapsed="false">
      <c r="A5606" s="62" t="n">
        <v>1</v>
      </c>
      <c r="B5606" s="21" t="s">
        <v>336</v>
      </c>
      <c r="C5606" s="62" t="s">
        <v>60</v>
      </c>
      <c r="D5606" s="62" t="s">
        <v>384</v>
      </c>
      <c r="E5606" s="62" t="s">
        <v>382</v>
      </c>
      <c r="F5606" s="62" t="s">
        <v>382</v>
      </c>
      <c r="G5606" s="63" t="s">
        <v>571</v>
      </c>
      <c r="H5606" s="64" t="n">
        <v>0.9</v>
      </c>
      <c r="I5606" s="62" t="s">
        <v>878</v>
      </c>
      <c r="J5606" s="64" t="n">
        <v>90</v>
      </c>
      <c r="K5606" s="62" t="s">
        <v>42</v>
      </c>
      <c r="L5606" s="68" t="b">
        <f aca="false">FALSE()</f>
        <v>0</v>
      </c>
    </row>
    <row r="5607" customFormat="false" ht="15" hidden="false" customHeight="false" outlineLevel="0" collapsed="false">
      <c r="A5607" s="62" t="n">
        <v>1</v>
      </c>
      <c r="B5607" s="21" t="s">
        <v>336</v>
      </c>
      <c r="C5607" s="62" t="s">
        <v>60</v>
      </c>
      <c r="D5607" s="62" t="s">
        <v>385</v>
      </c>
      <c r="E5607" s="62" t="s">
        <v>382</v>
      </c>
      <c r="F5607" s="62" t="s">
        <v>382</v>
      </c>
      <c r="G5607" s="63" t="s">
        <v>571</v>
      </c>
      <c r="H5607" s="64" t="n">
        <v>0.8757</v>
      </c>
      <c r="I5607" s="62" t="s">
        <v>878</v>
      </c>
      <c r="J5607" s="64" t="n">
        <v>87.57</v>
      </c>
      <c r="K5607" s="62" t="s">
        <v>42</v>
      </c>
      <c r="L5607" s="68" t="b">
        <f aca="false">FALSE()</f>
        <v>0</v>
      </c>
    </row>
    <row r="5608" customFormat="false" ht="15" hidden="false" customHeight="false" outlineLevel="0" collapsed="false">
      <c r="A5608" s="62" t="n">
        <v>1</v>
      </c>
      <c r="B5608" s="21" t="s">
        <v>336</v>
      </c>
      <c r="C5608" s="62" t="s">
        <v>60</v>
      </c>
      <c r="D5608" s="62" t="s">
        <v>386</v>
      </c>
      <c r="E5608" s="62" t="s">
        <v>382</v>
      </c>
      <c r="F5608" s="62" t="s">
        <v>382</v>
      </c>
      <c r="G5608" s="63" t="s">
        <v>571</v>
      </c>
      <c r="H5608" s="64" t="n">
        <v>0.865</v>
      </c>
      <c r="I5608" s="62" t="s">
        <v>878</v>
      </c>
      <c r="J5608" s="64" t="n">
        <v>86.5</v>
      </c>
      <c r="K5608" s="62" t="s">
        <v>42</v>
      </c>
      <c r="L5608" s="68" t="b">
        <f aca="false">FALSE()</f>
        <v>0</v>
      </c>
    </row>
    <row r="5609" customFormat="false" ht="15" hidden="false" customHeight="false" outlineLevel="0" collapsed="false">
      <c r="A5609" s="62" t="n">
        <v>1</v>
      </c>
      <c r="B5609" s="21" t="s">
        <v>336</v>
      </c>
      <c r="C5609" s="62" t="s">
        <v>60</v>
      </c>
      <c r="D5609" s="62" t="s">
        <v>387</v>
      </c>
      <c r="E5609" s="62" t="s">
        <v>382</v>
      </c>
      <c r="F5609" s="62" t="s">
        <v>382</v>
      </c>
      <c r="G5609" s="63" t="s">
        <v>571</v>
      </c>
      <c r="H5609" s="64" t="n">
        <v>0.6435</v>
      </c>
      <c r="I5609" s="62" t="s">
        <v>878</v>
      </c>
      <c r="J5609" s="64" t="n">
        <v>64.35</v>
      </c>
      <c r="K5609" s="62" t="s">
        <v>42</v>
      </c>
      <c r="L5609" s="68" t="b">
        <f aca="false">FALSE()</f>
        <v>0</v>
      </c>
    </row>
    <row r="5610" customFormat="false" ht="15" hidden="false" customHeight="false" outlineLevel="0" collapsed="false">
      <c r="A5610" s="62" t="n">
        <v>1</v>
      </c>
      <c r="B5610" s="21" t="s">
        <v>336</v>
      </c>
      <c r="C5610" s="62" t="s">
        <v>60</v>
      </c>
      <c r="D5610" s="62" t="s">
        <v>388</v>
      </c>
      <c r="E5610" s="62" t="s">
        <v>382</v>
      </c>
      <c r="F5610" s="62" t="s">
        <v>382</v>
      </c>
      <c r="G5610" s="63" t="s">
        <v>571</v>
      </c>
      <c r="H5610" s="64" t="n">
        <v>0.64</v>
      </c>
      <c r="I5610" s="62" t="s">
        <v>878</v>
      </c>
      <c r="J5610" s="64" t="n">
        <v>64</v>
      </c>
      <c r="K5610" s="62" t="s">
        <v>42</v>
      </c>
      <c r="L5610" s="68" t="b">
        <f aca="false">FALSE()</f>
        <v>0</v>
      </c>
    </row>
    <row r="5611" customFormat="false" ht="15" hidden="false" customHeight="false" outlineLevel="0" collapsed="false">
      <c r="A5611" s="62" t="n">
        <v>1</v>
      </c>
      <c r="B5611" s="21" t="s">
        <v>336</v>
      </c>
      <c r="C5611" s="62" t="s">
        <v>60</v>
      </c>
      <c r="D5611" s="62" t="s">
        <v>381</v>
      </c>
      <c r="E5611" s="62" t="s">
        <v>382</v>
      </c>
      <c r="F5611" s="62" t="s">
        <v>382</v>
      </c>
      <c r="G5611" s="63" t="s">
        <v>576</v>
      </c>
      <c r="H5611" s="64" t="n">
        <v>0.55</v>
      </c>
      <c r="I5611" s="62" t="s">
        <v>878</v>
      </c>
      <c r="J5611" s="64" t="n">
        <v>55</v>
      </c>
      <c r="K5611" s="62" t="s">
        <v>42</v>
      </c>
      <c r="L5611" s="68" t="b">
        <f aca="false">FALSE()</f>
        <v>0</v>
      </c>
    </row>
    <row r="5612" customFormat="false" ht="15" hidden="false" customHeight="false" outlineLevel="0" collapsed="false">
      <c r="A5612" s="62" t="n">
        <v>1</v>
      </c>
      <c r="B5612" s="21" t="s">
        <v>336</v>
      </c>
      <c r="C5612" s="62" t="s">
        <v>60</v>
      </c>
      <c r="D5612" s="62" t="s">
        <v>383</v>
      </c>
      <c r="E5612" s="62" t="s">
        <v>382</v>
      </c>
      <c r="F5612" s="62" t="s">
        <v>382</v>
      </c>
      <c r="G5612" s="63" t="s">
        <v>576</v>
      </c>
      <c r="H5612" s="64" t="n">
        <v>0.153</v>
      </c>
      <c r="I5612" s="62" t="s">
        <v>878</v>
      </c>
      <c r="J5612" s="64" t="n">
        <v>15.3</v>
      </c>
      <c r="K5612" s="62" t="s">
        <v>42</v>
      </c>
      <c r="L5612" s="68" t="b">
        <f aca="false">FALSE()</f>
        <v>0</v>
      </c>
    </row>
    <row r="5613" customFormat="false" ht="15" hidden="false" customHeight="false" outlineLevel="0" collapsed="false">
      <c r="A5613" s="62" t="n">
        <v>1</v>
      </c>
      <c r="B5613" s="21" t="s">
        <v>336</v>
      </c>
      <c r="C5613" s="62" t="s">
        <v>60</v>
      </c>
      <c r="D5613" s="62" t="s">
        <v>387</v>
      </c>
      <c r="E5613" s="62" t="s">
        <v>382</v>
      </c>
      <c r="F5613" s="62" t="s">
        <v>382</v>
      </c>
      <c r="G5613" s="63" t="s">
        <v>576</v>
      </c>
      <c r="H5613" s="64" t="n">
        <v>0.2568</v>
      </c>
      <c r="I5613" s="62" t="s">
        <v>878</v>
      </c>
      <c r="J5613" s="64" t="n">
        <v>25.68</v>
      </c>
      <c r="K5613" s="62" t="s">
        <v>42</v>
      </c>
      <c r="L5613" s="68" t="b">
        <f aca="false">FALSE()</f>
        <v>0</v>
      </c>
    </row>
    <row r="5614" customFormat="false" ht="15" hidden="false" customHeight="false" outlineLevel="0" collapsed="false">
      <c r="A5614" s="62" t="n">
        <v>1</v>
      </c>
      <c r="B5614" s="21" t="s">
        <v>336</v>
      </c>
      <c r="C5614" s="62" t="s">
        <v>60</v>
      </c>
      <c r="D5614" s="62" t="s">
        <v>388</v>
      </c>
      <c r="E5614" s="62" t="s">
        <v>382</v>
      </c>
      <c r="F5614" s="62" t="s">
        <v>382</v>
      </c>
      <c r="G5614" s="63" t="s">
        <v>576</v>
      </c>
      <c r="H5614" s="64" t="n">
        <v>0.15</v>
      </c>
      <c r="I5614" s="62" t="s">
        <v>878</v>
      </c>
      <c r="J5614" s="64" t="n">
        <v>15</v>
      </c>
      <c r="K5614" s="62" t="s">
        <v>42</v>
      </c>
      <c r="L5614" s="68" t="b">
        <f aca="false">FALSE()</f>
        <v>0</v>
      </c>
    </row>
    <row r="5615" customFormat="false" ht="15" hidden="false" customHeight="false" outlineLevel="0" collapsed="false">
      <c r="A5615" s="62" t="n">
        <v>1</v>
      </c>
      <c r="B5615" s="21" t="s">
        <v>336</v>
      </c>
      <c r="C5615" s="62" t="s">
        <v>60</v>
      </c>
      <c r="D5615" s="62" t="s">
        <v>381</v>
      </c>
      <c r="E5615" s="62" t="s">
        <v>382</v>
      </c>
      <c r="F5615" s="62" t="s">
        <v>382</v>
      </c>
      <c r="G5615" s="63" t="s">
        <v>572</v>
      </c>
      <c r="H5615" s="64" t="n">
        <v>0.15</v>
      </c>
      <c r="I5615" s="62" t="s">
        <v>878</v>
      </c>
      <c r="J5615" s="64" t="n">
        <v>15</v>
      </c>
      <c r="K5615" s="62" t="s">
        <v>42</v>
      </c>
      <c r="L5615" s="68" t="b">
        <f aca="false">TRUE()</f>
        <v>1</v>
      </c>
    </row>
    <row r="5616" customFormat="false" ht="15" hidden="false" customHeight="false" outlineLevel="0" collapsed="false">
      <c r="A5616" s="62" t="n">
        <v>1</v>
      </c>
      <c r="B5616" s="21" t="s">
        <v>336</v>
      </c>
      <c r="C5616" s="62" t="s">
        <v>60</v>
      </c>
      <c r="D5616" s="62" t="s">
        <v>383</v>
      </c>
      <c r="E5616" s="62" t="s">
        <v>382</v>
      </c>
      <c r="F5616" s="62" t="s">
        <v>382</v>
      </c>
      <c r="G5616" s="63" t="s">
        <v>572</v>
      </c>
      <c r="H5616" s="64" t="n">
        <v>0.15</v>
      </c>
      <c r="I5616" s="62" t="s">
        <v>878</v>
      </c>
      <c r="J5616" s="64" t="n">
        <v>15</v>
      </c>
      <c r="K5616" s="62" t="s">
        <v>42</v>
      </c>
      <c r="L5616" s="68" t="b">
        <f aca="false">TRUE()</f>
        <v>1</v>
      </c>
    </row>
    <row r="5617" customFormat="false" ht="15" hidden="false" customHeight="false" outlineLevel="0" collapsed="false">
      <c r="A5617" s="62" t="n">
        <v>1</v>
      </c>
      <c r="B5617" s="21" t="s">
        <v>336</v>
      </c>
      <c r="C5617" s="62" t="s">
        <v>60</v>
      </c>
      <c r="D5617" s="62" t="s">
        <v>384</v>
      </c>
      <c r="E5617" s="62" t="s">
        <v>382</v>
      </c>
      <c r="F5617" s="62" t="s">
        <v>382</v>
      </c>
      <c r="G5617" s="63" t="s">
        <v>572</v>
      </c>
      <c r="H5617" s="64" t="n">
        <v>0.1</v>
      </c>
      <c r="I5617" s="62" t="s">
        <v>878</v>
      </c>
      <c r="J5617" s="64" t="n">
        <v>10</v>
      </c>
      <c r="K5617" s="62" t="s">
        <v>42</v>
      </c>
      <c r="L5617" s="68" t="b">
        <f aca="false">TRUE()</f>
        <v>1</v>
      </c>
    </row>
    <row r="5618" customFormat="false" ht="15" hidden="false" customHeight="false" outlineLevel="0" collapsed="false">
      <c r="A5618" s="62" t="n">
        <v>1</v>
      </c>
      <c r="B5618" s="21" t="s">
        <v>336</v>
      </c>
      <c r="C5618" s="62" t="s">
        <v>60</v>
      </c>
      <c r="D5618" s="62" t="s">
        <v>385</v>
      </c>
      <c r="E5618" s="62" t="s">
        <v>382</v>
      </c>
      <c r="F5618" s="62" t="s">
        <v>382</v>
      </c>
      <c r="G5618" s="63" t="s">
        <v>572</v>
      </c>
      <c r="H5618" s="64" t="n">
        <v>0.1243</v>
      </c>
      <c r="I5618" s="62" t="s">
        <v>878</v>
      </c>
      <c r="J5618" s="64" t="n">
        <v>12.43</v>
      </c>
      <c r="K5618" s="62" t="s">
        <v>42</v>
      </c>
      <c r="L5618" s="68" t="b">
        <f aca="false">FALSE()</f>
        <v>0</v>
      </c>
    </row>
    <row r="5619" customFormat="false" ht="15" hidden="false" customHeight="false" outlineLevel="0" collapsed="false">
      <c r="A5619" s="62" t="n">
        <v>1</v>
      </c>
      <c r="B5619" s="21" t="s">
        <v>336</v>
      </c>
      <c r="C5619" s="62" t="s">
        <v>60</v>
      </c>
      <c r="D5619" s="62" t="s">
        <v>386</v>
      </c>
      <c r="E5619" s="62" t="s">
        <v>382</v>
      </c>
      <c r="F5619" s="62" t="s">
        <v>382</v>
      </c>
      <c r="G5619" s="63" t="s">
        <v>572</v>
      </c>
      <c r="H5619" s="64" t="n">
        <v>0.135</v>
      </c>
      <c r="I5619" s="62" t="s">
        <v>878</v>
      </c>
      <c r="J5619" s="64" t="n">
        <v>13.5</v>
      </c>
      <c r="K5619" s="62" t="s">
        <v>42</v>
      </c>
      <c r="L5619" s="68" t="b">
        <f aca="false">TRUE()</f>
        <v>1</v>
      </c>
    </row>
    <row r="5620" customFormat="false" ht="15" hidden="false" customHeight="false" outlineLevel="0" collapsed="false">
      <c r="A5620" s="62" t="n">
        <v>1</v>
      </c>
      <c r="B5620" s="21" t="s">
        <v>336</v>
      </c>
      <c r="C5620" s="62" t="s">
        <v>60</v>
      </c>
      <c r="D5620" s="62" t="s">
        <v>387</v>
      </c>
      <c r="E5620" s="62" t="s">
        <v>382</v>
      </c>
      <c r="F5620" s="62" t="s">
        <v>382</v>
      </c>
      <c r="G5620" s="63" t="s">
        <v>572</v>
      </c>
      <c r="H5620" s="64" t="n">
        <v>0.0996999999999999</v>
      </c>
      <c r="I5620" s="62" t="s">
        <v>878</v>
      </c>
      <c r="J5620" s="64" t="n">
        <v>9.96999999999999</v>
      </c>
      <c r="K5620" s="62" t="s">
        <v>42</v>
      </c>
      <c r="L5620" s="68" t="b">
        <f aca="false">TRUE()</f>
        <v>1</v>
      </c>
    </row>
    <row r="5621" customFormat="false" ht="15" hidden="false" customHeight="false" outlineLevel="0" collapsed="false">
      <c r="A5621" s="62" t="n">
        <v>1</v>
      </c>
      <c r="B5621" s="21" t="s">
        <v>336</v>
      </c>
      <c r="C5621" s="62" t="s">
        <v>60</v>
      </c>
      <c r="D5621" s="62" t="s">
        <v>388</v>
      </c>
      <c r="E5621" s="62" t="s">
        <v>382</v>
      </c>
      <c r="F5621" s="62" t="s">
        <v>382</v>
      </c>
      <c r="G5621" s="63" t="s">
        <v>572</v>
      </c>
      <c r="H5621" s="64" t="n">
        <v>0.21</v>
      </c>
      <c r="I5621" s="62" t="s">
        <v>878</v>
      </c>
      <c r="J5621" s="64" t="n">
        <v>21</v>
      </c>
      <c r="K5621" s="62" t="s">
        <v>42</v>
      </c>
      <c r="L5621" s="68" t="b">
        <f aca="false">FALSE()</f>
        <v>0</v>
      </c>
    </row>
    <row r="5622" customFormat="false" ht="15" hidden="false" customHeight="false" outlineLevel="0" collapsed="false">
      <c r="A5622" s="62" t="n">
        <v>1</v>
      </c>
      <c r="B5622" s="21" t="s">
        <v>336</v>
      </c>
      <c r="C5622" s="62" t="s">
        <v>60</v>
      </c>
      <c r="D5622" s="62" t="s">
        <v>381</v>
      </c>
      <c r="E5622" s="62" t="s">
        <v>382</v>
      </c>
      <c r="F5622" s="62" t="s">
        <v>382</v>
      </c>
      <c r="G5622" s="63" t="s">
        <v>573</v>
      </c>
      <c r="H5622" s="64" t="n">
        <v>0.6</v>
      </c>
      <c r="I5622" s="62" t="s">
        <v>878</v>
      </c>
      <c r="J5622" s="64" t="n">
        <v>60</v>
      </c>
      <c r="K5622" s="62" t="s">
        <v>42</v>
      </c>
      <c r="L5622" s="68" t="b">
        <f aca="false">FALSE()</f>
        <v>0</v>
      </c>
    </row>
    <row r="5623" customFormat="false" ht="15" hidden="false" customHeight="false" outlineLevel="0" collapsed="false">
      <c r="A5623" s="62" t="n">
        <v>1</v>
      </c>
      <c r="B5623" s="21" t="s">
        <v>336</v>
      </c>
      <c r="C5623" s="62" t="s">
        <v>60</v>
      </c>
      <c r="D5623" s="62" t="s">
        <v>383</v>
      </c>
      <c r="E5623" s="62" t="s">
        <v>382</v>
      </c>
      <c r="F5623" s="62" t="s">
        <v>382</v>
      </c>
      <c r="G5623" s="63" t="s">
        <v>573</v>
      </c>
      <c r="H5623" s="64" t="n">
        <v>0.517</v>
      </c>
      <c r="I5623" s="62" t="s">
        <v>878</v>
      </c>
      <c r="J5623" s="64" t="n">
        <v>51.7</v>
      </c>
      <c r="K5623" s="62" t="s">
        <v>42</v>
      </c>
      <c r="L5623" s="68" t="b">
        <f aca="false">FALSE()</f>
        <v>0</v>
      </c>
    </row>
    <row r="5624" customFormat="false" ht="15" hidden="false" customHeight="false" outlineLevel="0" collapsed="false">
      <c r="A5624" s="62" t="n">
        <v>1</v>
      </c>
      <c r="B5624" s="21" t="s">
        <v>336</v>
      </c>
      <c r="C5624" s="62" t="s">
        <v>60</v>
      </c>
      <c r="D5624" s="62" t="s">
        <v>385</v>
      </c>
      <c r="E5624" s="62" t="s">
        <v>382</v>
      </c>
      <c r="F5624" s="62" t="s">
        <v>382</v>
      </c>
      <c r="G5624" s="63" t="s">
        <v>573</v>
      </c>
      <c r="H5624" s="64" t="n">
        <v>0.85</v>
      </c>
      <c r="I5624" s="62" t="s">
        <v>878</v>
      </c>
      <c r="J5624" s="64" t="n">
        <v>85</v>
      </c>
      <c r="K5624" s="62" t="s">
        <v>42</v>
      </c>
      <c r="L5624" s="68" t="b">
        <f aca="false">FALSE()</f>
        <v>0</v>
      </c>
    </row>
    <row r="5625" customFormat="false" ht="15" hidden="false" customHeight="false" outlineLevel="0" collapsed="false">
      <c r="A5625" s="62" t="n">
        <v>1</v>
      </c>
      <c r="B5625" s="21" t="s">
        <v>336</v>
      </c>
      <c r="C5625" s="62" t="s">
        <v>60</v>
      </c>
      <c r="D5625" s="62" t="s">
        <v>387</v>
      </c>
      <c r="E5625" s="62" t="s">
        <v>382</v>
      </c>
      <c r="F5625" s="62" t="s">
        <v>382</v>
      </c>
      <c r="G5625" s="63" t="s">
        <v>573</v>
      </c>
      <c r="H5625" s="64" t="n">
        <v>0.623</v>
      </c>
      <c r="I5625" s="62" t="s">
        <v>878</v>
      </c>
      <c r="J5625" s="64" t="n">
        <v>62.3</v>
      </c>
      <c r="K5625" s="62" t="s">
        <v>42</v>
      </c>
      <c r="L5625" s="68" t="b">
        <f aca="false">FALSE()</f>
        <v>0</v>
      </c>
    </row>
    <row r="5626" customFormat="false" ht="15" hidden="false" customHeight="false" outlineLevel="0" collapsed="false">
      <c r="A5626" s="62" t="n">
        <v>1</v>
      </c>
      <c r="B5626" s="21" t="s">
        <v>336</v>
      </c>
      <c r="C5626" s="62" t="s">
        <v>60</v>
      </c>
      <c r="D5626" s="62" t="s">
        <v>388</v>
      </c>
      <c r="E5626" s="62" t="s">
        <v>382</v>
      </c>
      <c r="F5626" s="62" t="s">
        <v>382</v>
      </c>
      <c r="G5626" s="63" t="s">
        <v>573</v>
      </c>
      <c r="H5626" s="64" t="n">
        <v>0.54</v>
      </c>
      <c r="I5626" s="62" t="s">
        <v>878</v>
      </c>
      <c r="J5626" s="64" t="n">
        <v>54</v>
      </c>
      <c r="K5626" s="62" t="s">
        <v>42</v>
      </c>
      <c r="L5626" s="68" t="b">
        <f aca="false">FALSE()</f>
        <v>0</v>
      </c>
    </row>
    <row r="5627" customFormat="false" ht="15" hidden="false" customHeight="false" outlineLevel="0" collapsed="false">
      <c r="A5627" s="62" t="n">
        <v>1</v>
      </c>
      <c r="B5627" s="21" t="s">
        <v>336</v>
      </c>
      <c r="C5627" s="62" t="s">
        <v>60</v>
      </c>
      <c r="D5627" s="62" t="s">
        <v>381</v>
      </c>
      <c r="E5627" s="62" t="s">
        <v>382</v>
      </c>
      <c r="F5627" s="62" t="s">
        <v>382</v>
      </c>
      <c r="G5627" s="63" t="s">
        <v>817</v>
      </c>
      <c r="H5627" s="64" t="n">
        <v>0.25</v>
      </c>
      <c r="I5627" s="62" t="s">
        <v>878</v>
      </c>
      <c r="J5627" s="64" t="n">
        <v>25</v>
      </c>
      <c r="K5627" s="62" t="s">
        <v>42</v>
      </c>
      <c r="L5627" s="68" t="b">
        <f aca="false">FALSE()</f>
        <v>0</v>
      </c>
    </row>
    <row r="5628" customFormat="false" ht="15" hidden="false" customHeight="false" outlineLevel="0" collapsed="false">
      <c r="A5628" s="62" t="n">
        <v>1</v>
      </c>
      <c r="B5628" s="21" t="s">
        <v>336</v>
      </c>
      <c r="C5628" s="62" t="s">
        <v>60</v>
      </c>
      <c r="D5628" s="62" t="s">
        <v>383</v>
      </c>
      <c r="E5628" s="62" t="s">
        <v>382</v>
      </c>
      <c r="F5628" s="62" t="s">
        <v>382</v>
      </c>
      <c r="G5628" s="63" t="s">
        <v>817</v>
      </c>
      <c r="H5628" s="64" t="n">
        <v>0.333</v>
      </c>
      <c r="I5628" s="62" t="s">
        <v>878</v>
      </c>
      <c r="J5628" s="64" t="n">
        <v>33.3</v>
      </c>
      <c r="K5628" s="62" t="s">
        <v>42</v>
      </c>
      <c r="L5628" s="68" t="b">
        <f aca="false">FALSE()</f>
        <v>0</v>
      </c>
    </row>
    <row r="5629" customFormat="false" ht="15" hidden="false" customHeight="false" outlineLevel="0" collapsed="false">
      <c r="A5629" s="62" t="n">
        <v>1</v>
      </c>
      <c r="B5629" s="21" t="s">
        <v>336</v>
      </c>
      <c r="C5629" s="62" t="s">
        <v>60</v>
      </c>
      <c r="D5629" s="62" t="s">
        <v>387</v>
      </c>
      <c r="E5629" s="62" t="s">
        <v>382</v>
      </c>
      <c r="F5629" s="62" t="s">
        <v>382</v>
      </c>
      <c r="G5629" s="63" t="s">
        <v>817</v>
      </c>
      <c r="H5629" s="64" t="n">
        <v>0.277</v>
      </c>
      <c r="I5629" s="62" t="s">
        <v>878</v>
      </c>
      <c r="J5629" s="64" t="n">
        <v>27.7</v>
      </c>
      <c r="K5629" s="62" t="s">
        <v>42</v>
      </c>
      <c r="L5629" s="68" t="b">
        <f aca="false">FALSE()</f>
        <v>0</v>
      </c>
    </row>
    <row r="5630" customFormat="false" ht="15" hidden="false" customHeight="false" outlineLevel="0" collapsed="false">
      <c r="A5630" s="62" t="n">
        <v>1</v>
      </c>
      <c r="B5630" s="21" t="s">
        <v>336</v>
      </c>
      <c r="C5630" s="62" t="s">
        <v>60</v>
      </c>
      <c r="D5630" s="62" t="s">
        <v>388</v>
      </c>
      <c r="E5630" s="62" t="s">
        <v>382</v>
      </c>
      <c r="F5630" s="62" t="s">
        <v>382</v>
      </c>
      <c r="G5630" s="63" t="s">
        <v>817</v>
      </c>
      <c r="H5630" s="64" t="n">
        <v>0.21</v>
      </c>
      <c r="I5630" s="62" t="s">
        <v>878</v>
      </c>
      <c r="J5630" s="64" t="n">
        <v>21</v>
      </c>
      <c r="K5630" s="62" t="s">
        <v>42</v>
      </c>
      <c r="L5630" s="68" t="b">
        <f aca="false">FALSE()</f>
        <v>0</v>
      </c>
    </row>
    <row r="5631" customFormat="false" ht="15" hidden="false" customHeight="false" outlineLevel="0" collapsed="false">
      <c r="A5631" s="62" t="n">
        <v>1</v>
      </c>
      <c r="B5631" s="21" t="s">
        <v>336</v>
      </c>
      <c r="C5631" s="62" t="s">
        <v>60</v>
      </c>
      <c r="D5631" s="62" t="s">
        <v>385</v>
      </c>
      <c r="E5631" s="62" t="s">
        <v>382</v>
      </c>
      <c r="F5631" s="62" t="s">
        <v>382</v>
      </c>
      <c r="G5631" s="63" t="s">
        <v>574</v>
      </c>
      <c r="H5631" s="64" t="n">
        <v>0.15</v>
      </c>
      <c r="I5631" s="62" t="s">
        <v>878</v>
      </c>
      <c r="J5631" s="64" t="n">
        <v>15</v>
      </c>
      <c r="K5631" s="62" t="s">
        <v>42</v>
      </c>
      <c r="L5631" s="68" t="b">
        <f aca="false">FALSE()</f>
        <v>0</v>
      </c>
    </row>
    <row r="5632" customFormat="false" ht="15" hidden="false" customHeight="false" outlineLevel="0" collapsed="false">
      <c r="A5632" s="62" t="n">
        <v>1</v>
      </c>
      <c r="B5632" s="21" t="s">
        <v>336</v>
      </c>
      <c r="C5632" s="62" t="s">
        <v>60</v>
      </c>
      <c r="D5632" s="62" t="s">
        <v>388</v>
      </c>
      <c r="E5632" s="62" t="s">
        <v>382</v>
      </c>
      <c r="F5632" s="62" t="s">
        <v>382</v>
      </c>
      <c r="G5632" s="63" t="s">
        <v>574</v>
      </c>
      <c r="H5632" s="64" t="n">
        <v>0.25</v>
      </c>
      <c r="I5632" s="62" t="s">
        <v>878</v>
      </c>
      <c r="J5632" s="64" t="n">
        <v>25</v>
      </c>
      <c r="K5632" s="62" t="s">
        <v>42</v>
      </c>
      <c r="L5632" s="68" t="b">
        <f aca="false">FALSE()</f>
        <v>0</v>
      </c>
    </row>
    <row r="5633" customFormat="false" ht="15" hidden="false" customHeight="false" outlineLevel="0" collapsed="false">
      <c r="A5633" s="62" t="n">
        <v>1</v>
      </c>
      <c r="B5633" s="21" t="s">
        <v>336</v>
      </c>
      <c r="C5633" s="62" t="s">
        <v>60</v>
      </c>
      <c r="D5633" s="62" t="s">
        <v>381</v>
      </c>
      <c r="E5633" s="62" t="s">
        <v>382</v>
      </c>
      <c r="F5633" s="62" t="s">
        <v>382</v>
      </c>
      <c r="G5633" s="63" t="s">
        <v>575</v>
      </c>
      <c r="H5633" s="64" t="n">
        <v>0</v>
      </c>
      <c r="I5633" s="62" t="s">
        <v>878</v>
      </c>
      <c r="J5633" s="64" t="n">
        <v>0</v>
      </c>
      <c r="K5633" s="62" t="s">
        <v>42</v>
      </c>
      <c r="L5633" s="68" t="b">
        <f aca="false">FALSE()</f>
        <v>0</v>
      </c>
    </row>
    <row r="5634" customFormat="false" ht="15" hidden="false" customHeight="false" outlineLevel="0" collapsed="false">
      <c r="A5634" s="62" t="n">
        <v>1</v>
      </c>
      <c r="B5634" s="21" t="s">
        <v>336</v>
      </c>
      <c r="C5634" s="62" t="s">
        <v>60</v>
      </c>
      <c r="D5634" s="62" t="s">
        <v>383</v>
      </c>
      <c r="E5634" s="62" t="s">
        <v>382</v>
      </c>
      <c r="F5634" s="62" t="s">
        <v>382</v>
      </c>
      <c r="G5634" s="63" t="s">
        <v>575</v>
      </c>
      <c r="H5634" s="64" t="n">
        <v>0</v>
      </c>
      <c r="I5634" s="62" t="s">
        <v>878</v>
      </c>
      <c r="J5634" s="64" t="n">
        <v>0</v>
      </c>
      <c r="K5634" s="62" t="s">
        <v>42</v>
      </c>
      <c r="L5634" s="68" t="b">
        <f aca="false">FALSE()</f>
        <v>0</v>
      </c>
    </row>
    <row r="5635" customFormat="false" ht="15" hidden="false" customHeight="false" outlineLevel="0" collapsed="false">
      <c r="A5635" s="62" t="n">
        <v>1</v>
      </c>
      <c r="B5635" s="21" t="s">
        <v>336</v>
      </c>
      <c r="C5635" s="62" t="s">
        <v>60</v>
      </c>
      <c r="D5635" s="62" t="s">
        <v>384</v>
      </c>
      <c r="E5635" s="62" t="s">
        <v>382</v>
      </c>
      <c r="F5635" s="62" t="s">
        <v>382</v>
      </c>
      <c r="G5635" s="63" t="s">
        <v>573</v>
      </c>
      <c r="H5635" s="64" t="n">
        <v>0</v>
      </c>
      <c r="I5635" s="62" t="s">
        <v>878</v>
      </c>
      <c r="J5635" s="64" t="n">
        <v>0</v>
      </c>
      <c r="K5635" s="62" t="s">
        <v>42</v>
      </c>
      <c r="L5635" s="68" t="b">
        <f aca="false">FALSE()</f>
        <v>0</v>
      </c>
    </row>
    <row r="5636" customFormat="false" ht="15" hidden="false" customHeight="false" outlineLevel="0" collapsed="false">
      <c r="A5636" s="62" t="n">
        <v>1</v>
      </c>
      <c r="B5636" s="21" t="s">
        <v>336</v>
      </c>
      <c r="C5636" s="62" t="s">
        <v>60</v>
      </c>
      <c r="D5636" s="62" t="s">
        <v>385</v>
      </c>
      <c r="E5636" s="62" t="s">
        <v>382</v>
      </c>
      <c r="F5636" s="62" t="s">
        <v>382</v>
      </c>
      <c r="G5636" s="63" t="s">
        <v>575</v>
      </c>
      <c r="H5636" s="64" t="n">
        <v>3.62989</v>
      </c>
      <c r="I5636" s="62" t="s">
        <v>878</v>
      </c>
      <c r="J5636" s="64" t="n">
        <v>362.989</v>
      </c>
      <c r="K5636" s="62" t="s">
        <v>42</v>
      </c>
      <c r="L5636" s="68" t="b">
        <f aca="false">FALSE()</f>
        <v>0</v>
      </c>
    </row>
    <row r="5637" customFormat="false" ht="15" hidden="false" customHeight="false" outlineLevel="0" collapsed="false">
      <c r="A5637" s="62" t="n">
        <v>1</v>
      </c>
      <c r="B5637" s="21" t="s">
        <v>336</v>
      </c>
      <c r="C5637" s="62" t="s">
        <v>60</v>
      </c>
      <c r="D5637" s="62" t="s">
        <v>386</v>
      </c>
      <c r="E5637" s="62" t="s">
        <v>382</v>
      </c>
      <c r="F5637" s="62" t="s">
        <v>382</v>
      </c>
      <c r="G5637" s="63" t="s">
        <v>573</v>
      </c>
      <c r="H5637" s="64" t="n">
        <v>0</v>
      </c>
      <c r="I5637" s="62" t="s">
        <v>878</v>
      </c>
      <c r="J5637" s="64" t="n">
        <v>0</v>
      </c>
      <c r="K5637" s="62" t="s">
        <v>42</v>
      </c>
      <c r="L5637" s="68" t="b">
        <f aca="false">FALSE()</f>
        <v>0</v>
      </c>
    </row>
    <row r="5638" customFormat="false" ht="15" hidden="false" customHeight="false" outlineLevel="0" collapsed="false">
      <c r="A5638" s="62" t="n">
        <v>1</v>
      </c>
      <c r="B5638" s="21" t="s">
        <v>336</v>
      </c>
      <c r="C5638" s="62" t="s">
        <v>60</v>
      </c>
      <c r="D5638" s="62" t="s">
        <v>387</v>
      </c>
      <c r="E5638" s="62" t="s">
        <v>382</v>
      </c>
      <c r="F5638" s="62" t="s">
        <v>382</v>
      </c>
      <c r="G5638" s="63" t="s">
        <v>575</v>
      </c>
      <c r="H5638" s="64" t="n">
        <v>0</v>
      </c>
      <c r="I5638" s="62" t="s">
        <v>878</v>
      </c>
      <c r="J5638" s="64" t="n">
        <v>0</v>
      </c>
      <c r="K5638" s="62" t="s">
        <v>42</v>
      </c>
      <c r="L5638" s="68" t="b">
        <f aca="false">FALSE()</f>
        <v>0</v>
      </c>
    </row>
    <row r="5639" customFormat="false" ht="15" hidden="false" customHeight="false" outlineLevel="0" collapsed="false">
      <c r="A5639" s="62" t="n">
        <v>1</v>
      </c>
      <c r="B5639" s="21" t="s">
        <v>336</v>
      </c>
      <c r="C5639" s="62" t="s">
        <v>60</v>
      </c>
      <c r="D5639" s="62" t="s">
        <v>388</v>
      </c>
      <c r="E5639" s="62" t="s">
        <v>382</v>
      </c>
      <c r="F5639" s="62" t="s">
        <v>382</v>
      </c>
      <c r="G5639" s="63" t="s">
        <v>575</v>
      </c>
      <c r="H5639" s="64" t="n">
        <v>0</v>
      </c>
      <c r="I5639" s="62" t="s">
        <v>878</v>
      </c>
      <c r="J5639" s="64" t="n">
        <v>0</v>
      </c>
      <c r="K5639" s="62" t="s">
        <v>42</v>
      </c>
      <c r="L5639" s="68" t="b">
        <f aca="false">FALSE()</f>
        <v>0</v>
      </c>
    </row>
    <row r="5640" customFormat="false" ht="15" hidden="false" customHeight="false" outlineLevel="0" collapsed="false">
      <c r="A5640" s="62" t="n">
        <v>1</v>
      </c>
      <c r="B5640" s="21" t="s">
        <v>336</v>
      </c>
      <c r="C5640" s="62" t="s">
        <v>60</v>
      </c>
      <c r="D5640" s="62" t="s">
        <v>381</v>
      </c>
      <c r="E5640" s="62" t="s">
        <v>382</v>
      </c>
      <c r="F5640" s="62" t="s">
        <v>382</v>
      </c>
      <c r="G5640" s="63" t="s">
        <v>818</v>
      </c>
      <c r="H5640" s="64" t="n">
        <v>2.95211</v>
      </c>
      <c r="I5640" s="62" t="s">
        <v>878</v>
      </c>
      <c r="J5640" s="64" t="n">
        <v>295.211</v>
      </c>
      <c r="K5640" s="62" t="s">
        <v>42</v>
      </c>
      <c r="L5640" s="68" t="b">
        <f aca="false">FALSE()</f>
        <v>0</v>
      </c>
    </row>
    <row r="5641" customFormat="false" ht="15" hidden="false" customHeight="false" outlineLevel="0" collapsed="false">
      <c r="A5641" s="62" t="n">
        <v>1</v>
      </c>
      <c r="B5641" s="21" t="s">
        <v>336</v>
      </c>
      <c r="C5641" s="62" t="s">
        <v>60</v>
      </c>
      <c r="D5641" s="62" t="s">
        <v>383</v>
      </c>
      <c r="E5641" s="62" t="s">
        <v>382</v>
      </c>
      <c r="F5641" s="62" t="s">
        <v>382</v>
      </c>
      <c r="G5641" s="63" t="s">
        <v>818</v>
      </c>
      <c r="H5641" s="64" t="n">
        <v>0</v>
      </c>
      <c r="I5641" s="62" t="s">
        <v>878</v>
      </c>
      <c r="J5641" s="64" t="n">
        <v>0</v>
      </c>
      <c r="K5641" s="62" t="s">
        <v>42</v>
      </c>
      <c r="L5641" s="68" t="b">
        <f aca="false">FALSE()</f>
        <v>0</v>
      </c>
    </row>
    <row r="5642" customFormat="false" ht="15" hidden="false" customHeight="false" outlineLevel="0" collapsed="false">
      <c r="A5642" s="62" t="n">
        <v>1</v>
      </c>
      <c r="B5642" s="21" t="s">
        <v>336</v>
      </c>
      <c r="C5642" s="62" t="s">
        <v>60</v>
      </c>
      <c r="D5642" s="62" t="s">
        <v>384</v>
      </c>
      <c r="E5642" s="62" t="s">
        <v>382</v>
      </c>
      <c r="F5642" s="62" t="s">
        <v>382</v>
      </c>
      <c r="G5642" s="63" t="s">
        <v>576</v>
      </c>
      <c r="H5642" s="64" t="n">
        <v>0</v>
      </c>
      <c r="I5642" s="62" t="s">
        <v>878</v>
      </c>
      <c r="J5642" s="64" t="n">
        <v>0</v>
      </c>
      <c r="K5642" s="62" t="s">
        <v>42</v>
      </c>
      <c r="L5642" s="68" t="b">
        <f aca="false">TRUE()</f>
        <v>1</v>
      </c>
    </row>
    <row r="5643" customFormat="false" ht="15" hidden="false" customHeight="false" outlineLevel="0" collapsed="false">
      <c r="A5643" s="62" t="n">
        <v>1</v>
      </c>
      <c r="B5643" s="21" t="s">
        <v>336</v>
      </c>
      <c r="C5643" s="62" t="s">
        <v>60</v>
      </c>
      <c r="D5643" s="62" t="s">
        <v>385</v>
      </c>
      <c r="E5643" s="62" t="s">
        <v>382</v>
      </c>
      <c r="F5643" s="62" t="s">
        <v>382</v>
      </c>
      <c r="G5643" s="63" t="s">
        <v>576</v>
      </c>
      <c r="H5643" s="64" t="n">
        <v>0</v>
      </c>
      <c r="I5643" s="62" t="s">
        <v>878</v>
      </c>
      <c r="J5643" s="64" t="n">
        <v>0</v>
      </c>
      <c r="K5643" s="62" t="s">
        <v>42</v>
      </c>
      <c r="L5643" s="68" t="b">
        <f aca="false">TRUE()</f>
        <v>1</v>
      </c>
    </row>
    <row r="5644" customFormat="false" ht="15" hidden="false" customHeight="false" outlineLevel="0" collapsed="false">
      <c r="A5644" s="62" t="n">
        <v>1</v>
      </c>
      <c r="B5644" s="21" t="s">
        <v>336</v>
      </c>
      <c r="C5644" s="62" t="s">
        <v>60</v>
      </c>
      <c r="D5644" s="62" t="s">
        <v>386</v>
      </c>
      <c r="E5644" s="62" t="s">
        <v>382</v>
      </c>
      <c r="F5644" s="62" t="s">
        <v>382</v>
      </c>
      <c r="G5644" s="63" t="s">
        <v>576</v>
      </c>
      <c r="H5644" s="64" t="n">
        <v>0</v>
      </c>
      <c r="I5644" s="62" t="s">
        <v>878</v>
      </c>
      <c r="J5644" s="64" t="n">
        <v>0</v>
      </c>
      <c r="K5644" s="62" t="s">
        <v>42</v>
      </c>
      <c r="L5644" s="68" t="b">
        <f aca="false">TRUE()</f>
        <v>1</v>
      </c>
    </row>
    <row r="5645" customFormat="false" ht="15" hidden="false" customHeight="false" outlineLevel="0" collapsed="false">
      <c r="A5645" s="62" t="n">
        <v>1</v>
      </c>
      <c r="B5645" s="21" t="s">
        <v>336</v>
      </c>
      <c r="C5645" s="62" t="s">
        <v>60</v>
      </c>
      <c r="D5645" s="62" t="s">
        <v>387</v>
      </c>
      <c r="E5645" s="62" t="s">
        <v>382</v>
      </c>
      <c r="F5645" s="62" t="s">
        <v>382</v>
      </c>
      <c r="G5645" s="63" t="s">
        <v>818</v>
      </c>
      <c r="H5645" s="64" t="n">
        <v>0</v>
      </c>
      <c r="I5645" s="62" t="s">
        <v>878</v>
      </c>
      <c r="J5645" s="64" t="n">
        <v>0</v>
      </c>
      <c r="K5645" s="62" t="s">
        <v>42</v>
      </c>
      <c r="L5645" s="68" t="b">
        <f aca="false">FALSE()</f>
        <v>0</v>
      </c>
    </row>
    <row r="5646" customFormat="false" ht="15" hidden="false" customHeight="false" outlineLevel="0" collapsed="false">
      <c r="A5646" s="62" t="n">
        <v>1</v>
      </c>
      <c r="B5646" s="21" t="s">
        <v>336</v>
      </c>
      <c r="C5646" s="62" t="s">
        <v>60</v>
      </c>
      <c r="D5646" s="62" t="s">
        <v>388</v>
      </c>
      <c r="E5646" s="62" t="s">
        <v>382</v>
      </c>
      <c r="F5646" s="62" t="s">
        <v>382</v>
      </c>
      <c r="G5646" s="63" t="s">
        <v>818</v>
      </c>
      <c r="H5646" s="64" t="n">
        <v>0</v>
      </c>
      <c r="I5646" s="62" t="s">
        <v>878</v>
      </c>
      <c r="J5646" s="64" t="n">
        <v>0</v>
      </c>
      <c r="K5646" s="62" t="s">
        <v>42</v>
      </c>
      <c r="L5646" s="68" t="b">
        <f aca="false">FALSE()</f>
        <v>0</v>
      </c>
    </row>
    <row r="5647" customFormat="false" ht="15" hidden="false" customHeight="false" outlineLevel="0" collapsed="false">
      <c r="A5647" s="62" t="n">
        <v>1</v>
      </c>
      <c r="B5647" s="21" t="s">
        <v>336</v>
      </c>
      <c r="C5647" s="62" t="s">
        <v>60</v>
      </c>
      <c r="D5647" s="62" t="s">
        <v>381</v>
      </c>
      <c r="E5647" s="62" t="s">
        <v>382</v>
      </c>
      <c r="F5647" s="62" t="s">
        <v>382</v>
      </c>
      <c r="G5647" s="63" t="s">
        <v>577</v>
      </c>
      <c r="H5647" s="64" t="n">
        <v>0</v>
      </c>
      <c r="I5647" s="62" t="s">
        <v>878</v>
      </c>
      <c r="J5647" s="64" t="n">
        <v>0</v>
      </c>
      <c r="K5647" s="62" t="s">
        <v>42</v>
      </c>
      <c r="L5647" s="68" t="b">
        <f aca="false">TRUE()</f>
        <v>1</v>
      </c>
    </row>
    <row r="5648" customFormat="false" ht="15" hidden="false" customHeight="false" outlineLevel="0" collapsed="false">
      <c r="A5648" s="62" t="n">
        <v>1</v>
      </c>
      <c r="B5648" s="21" t="s">
        <v>336</v>
      </c>
      <c r="C5648" s="62" t="s">
        <v>60</v>
      </c>
      <c r="D5648" s="62" t="s">
        <v>383</v>
      </c>
      <c r="E5648" s="62" t="s">
        <v>382</v>
      </c>
      <c r="F5648" s="62" t="s">
        <v>382</v>
      </c>
      <c r="G5648" s="63" t="s">
        <v>577</v>
      </c>
      <c r="H5648" s="64" t="n">
        <v>0</v>
      </c>
      <c r="I5648" s="62" t="s">
        <v>878</v>
      </c>
      <c r="J5648" s="64" t="n">
        <v>0</v>
      </c>
      <c r="K5648" s="62" t="s">
        <v>42</v>
      </c>
      <c r="L5648" s="68" t="b">
        <f aca="false">TRUE()</f>
        <v>1</v>
      </c>
    </row>
    <row r="5649" customFormat="false" ht="15" hidden="false" customHeight="false" outlineLevel="0" collapsed="false">
      <c r="A5649" s="62" t="n">
        <v>1</v>
      </c>
      <c r="B5649" s="21" t="s">
        <v>336</v>
      </c>
      <c r="C5649" s="62" t="s">
        <v>60</v>
      </c>
      <c r="D5649" s="62" t="s">
        <v>384</v>
      </c>
      <c r="E5649" s="62" t="s">
        <v>382</v>
      </c>
      <c r="F5649" s="62" t="s">
        <v>382</v>
      </c>
      <c r="G5649" s="63" t="s">
        <v>577</v>
      </c>
      <c r="H5649" s="64" t="n">
        <v>0</v>
      </c>
      <c r="I5649" s="62" t="s">
        <v>878</v>
      </c>
      <c r="J5649" s="64" t="n">
        <v>0</v>
      </c>
      <c r="K5649" s="62" t="s">
        <v>42</v>
      </c>
      <c r="L5649" s="68" t="b">
        <f aca="false">TRUE()</f>
        <v>1</v>
      </c>
    </row>
    <row r="5650" customFormat="false" ht="15" hidden="false" customHeight="false" outlineLevel="0" collapsed="false">
      <c r="A5650" s="62" t="n">
        <v>1</v>
      </c>
      <c r="B5650" s="21" t="s">
        <v>336</v>
      </c>
      <c r="C5650" s="62" t="s">
        <v>60</v>
      </c>
      <c r="D5650" s="62" t="s">
        <v>385</v>
      </c>
      <c r="E5650" s="62" t="s">
        <v>382</v>
      </c>
      <c r="F5650" s="62" t="s">
        <v>382</v>
      </c>
      <c r="G5650" s="63" t="s">
        <v>577</v>
      </c>
      <c r="H5650" s="64" t="n">
        <v>0</v>
      </c>
      <c r="I5650" s="62" t="s">
        <v>878</v>
      </c>
      <c r="J5650" s="64" t="n">
        <v>0</v>
      </c>
      <c r="K5650" s="62" t="s">
        <v>42</v>
      </c>
      <c r="L5650" s="68" t="b">
        <f aca="false">TRUE()</f>
        <v>1</v>
      </c>
    </row>
    <row r="5651" customFormat="false" ht="15" hidden="false" customHeight="false" outlineLevel="0" collapsed="false">
      <c r="A5651" s="62" t="n">
        <v>1</v>
      </c>
      <c r="B5651" s="21" t="s">
        <v>336</v>
      </c>
      <c r="C5651" s="62" t="s">
        <v>60</v>
      </c>
      <c r="D5651" s="62" t="s">
        <v>386</v>
      </c>
      <c r="E5651" s="62" t="s">
        <v>382</v>
      </c>
      <c r="F5651" s="62" t="s">
        <v>382</v>
      </c>
      <c r="G5651" s="63" t="s">
        <v>577</v>
      </c>
      <c r="H5651" s="64" t="n">
        <v>0</v>
      </c>
      <c r="I5651" s="62" t="s">
        <v>878</v>
      </c>
      <c r="J5651" s="64" t="n">
        <v>0</v>
      </c>
      <c r="K5651" s="62" t="s">
        <v>42</v>
      </c>
      <c r="L5651" s="68" t="b">
        <f aca="false">TRUE()</f>
        <v>1</v>
      </c>
    </row>
    <row r="5652" customFormat="false" ht="15" hidden="false" customHeight="false" outlineLevel="0" collapsed="false">
      <c r="A5652" s="62" t="n">
        <v>1</v>
      </c>
      <c r="B5652" s="21" t="s">
        <v>336</v>
      </c>
      <c r="C5652" s="62" t="s">
        <v>60</v>
      </c>
      <c r="D5652" s="62" t="s">
        <v>387</v>
      </c>
      <c r="E5652" s="62" t="s">
        <v>382</v>
      </c>
      <c r="F5652" s="62" t="s">
        <v>382</v>
      </c>
      <c r="G5652" s="63" t="s">
        <v>577</v>
      </c>
      <c r="H5652" s="64" t="n">
        <v>0</v>
      </c>
      <c r="I5652" s="62" t="s">
        <v>878</v>
      </c>
      <c r="J5652" s="64" t="n">
        <v>0</v>
      </c>
      <c r="K5652" s="62" t="s">
        <v>42</v>
      </c>
      <c r="L5652" s="68" t="b">
        <f aca="false">TRUE()</f>
        <v>1</v>
      </c>
    </row>
    <row r="5653" customFormat="false" ht="15" hidden="false" customHeight="false" outlineLevel="0" collapsed="false">
      <c r="A5653" s="62" t="n">
        <v>1</v>
      </c>
      <c r="B5653" s="21" t="s">
        <v>336</v>
      </c>
      <c r="C5653" s="62" t="s">
        <v>60</v>
      </c>
      <c r="D5653" s="62" t="s">
        <v>388</v>
      </c>
      <c r="E5653" s="62" t="s">
        <v>382</v>
      </c>
      <c r="F5653" s="62" t="s">
        <v>382</v>
      </c>
      <c r="G5653" s="63" t="s">
        <v>577</v>
      </c>
      <c r="H5653" s="64" t="n">
        <v>0</v>
      </c>
      <c r="I5653" s="62" t="s">
        <v>878</v>
      </c>
      <c r="J5653" s="64" t="n">
        <v>0</v>
      </c>
      <c r="K5653" s="62" t="s">
        <v>42</v>
      </c>
      <c r="L5653" s="68" t="b">
        <f aca="false">TRUE()</f>
        <v>1</v>
      </c>
    </row>
    <row r="5654" customFormat="false" ht="15" hidden="false" customHeight="false" outlineLevel="0" collapsed="false">
      <c r="A5654" s="62" t="n">
        <v>1</v>
      </c>
      <c r="B5654" s="21" t="s">
        <v>336</v>
      </c>
      <c r="C5654" s="62" t="s">
        <v>60</v>
      </c>
      <c r="D5654" s="62" t="s">
        <v>381</v>
      </c>
      <c r="E5654" s="62" t="s">
        <v>382</v>
      </c>
      <c r="F5654" s="62" t="s">
        <v>382</v>
      </c>
      <c r="G5654" s="63" t="s">
        <v>578</v>
      </c>
      <c r="H5654" s="64" t="n">
        <v>0</v>
      </c>
      <c r="I5654" s="62" t="s">
        <v>878</v>
      </c>
      <c r="J5654" s="64" t="n">
        <v>0</v>
      </c>
      <c r="K5654" s="62" t="s">
        <v>42</v>
      </c>
      <c r="L5654" s="68" t="b">
        <f aca="false">TRUE()</f>
        <v>1</v>
      </c>
    </row>
    <row r="5655" customFormat="false" ht="15" hidden="false" customHeight="false" outlineLevel="0" collapsed="false">
      <c r="A5655" s="62" t="n">
        <v>1</v>
      </c>
      <c r="B5655" s="21" t="s">
        <v>336</v>
      </c>
      <c r="C5655" s="62" t="s">
        <v>60</v>
      </c>
      <c r="D5655" s="62" t="s">
        <v>383</v>
      </c>
      <c r="E5655" s="62" t="s">
        <v>382</v>
      </c>
      <c r="F5655" s="62" t="s">
        <v>382</v>
      </c>
      <c r="G5655" s="63" t="s">
        <v>578</v>
      </c>
      <c r="H5655" s="64" t="n">
        <v>0</v>
      </c>
      <c r="I5655" s="62" t="s">
        <v>878</v>
      </c>
      <c r="J5655" s="64" t="n">
        <v>0</v>
      </c>
      <c r="K5655" s="62" t="s">
        <v>42</v>
      </c>
      <c r="L5655" s="68" t="b">
        <f aca="false">TRUE()</f>
        <v>1</v>
      </c>
    </row>
    <row r="5656" customFormat="false" ht="15" hidden="false" customHeight="false" outlineLevel="0" collapsed="false">
      <c r="A5656" s="62" t="n">
        <v>1</v>
      </c>
      <c r="B5656" s="21" t="s">
        <v>336</v>
      </c>
      <c r="C5656" s="62" t="s">
        <v>60</v>
      </c>
      <c r="D5656" s="62" t="s">
        <v>384</v>
      </c>
      <c r="E5656" s="62" t="s">
        <v>382</v>
      </c>
      <c r="F5656" s="62" t="s">
        <v>382</v>
      </c>
      <c r="G5656" s="63" t="s">
        <v>578</v>
      </c>
      <c r="H5656" s="64" t="n">
        <v>0</v>
      </c>
      <c r="I5656" s="62" t="s">
        <v>878</v>
      </c>
      <c r="J5656" s="64" t="n">
        <v>0</v>
      </c>
      <c r="K5656" s="62" t="s">
        <v>42</v>
      </c>
      <c r="L5656" s="68" t="b">
        <f aca="false">TRUE()</f>
        <v>1</v>
      </c>
    </row>
    <row r="5657" customFormat="false" ht="15" hidden="false" customHeight="false" outlineLevel="0" collapsed="false">
      <c r="A5657" s="62" t="n">
        <v>1</v>
      </c>
      <c r="B5657" s="21" t="s">
        <v>336</v>
      </c>
      <c r="C5657" s="62" t="s">
        <v>60</v>
      </c>
      <c r="D5657" s="62" t="s">
        <v>385</v>
      </c>
      <c r="E5657" s="62" t="s">
        <v>382</v>
      </c>
      <c r="F5657" s="62" t="s">
        <v>382</v>
      </c>
      <c r="G5657" s="63" t="s">
        <v>578</v>
      </c>
      <c r="H5657" s="64" t="n">
        <v>0</v>
      </c>
      <c r="I5657" s="62" t="s">
        <v>878</v>
      </c>
      <c r="J5657" s="64" t="n">
        <v>0</v>
      </c>
      <c r="K5657" s="62" t="s">
        <v>42</v>
      </c>
      <c r="L5657" s="68" t="b">
        <f aca="false">TRUE()</f>
        <v>1</v>
      </c>
    </row>
    <row r="5658" customFormat="false" ht="15" hidden="false" customHeight="false" outlineLevel="0" collapsed="false">
      <c r="A5658" s="62" t="n">
        <v>1</v>
      </c>
      <c r="B5658" s="21" t="s">
        <v>336</v>
      </c>
      <c r="C5658" s="62" t="s">
        <v>60</v>
      </c>
      <c r="D5658" s="62" t="s">
        <v>386</v>
      </c>
      <c r="E5658" s="62" t="s">
        <v>382</v>
      </c>
      <c r="F5658" s="62" t="s">
        <v>382</v>
      </c>
      <c r="G5658" s="63" t="s">
        <v>578</v>
      </c>
      <c r="H5658" s="64" t="n">
        <v>0</v>
      </c>
      <c r="I5658" s="62" t="s">
        <v>878</v>
      </c>
      <c r="J5658" s="64" t="n">
        <v>0</v>
      </c>
      <c r="K5658" s="62" t="s">
        <v>42</v>
      </c>
      <c r="L5658" s="68" t="b">
        <f aca="false">TRUE()</f>
        <v>1</v>
      </c>
    </row>
    <row r="5659" customFormat="false" ht="15" hidden="false" customHeight="false" outlineLevel="0" collapsed="false">
      <c r="A5659" s="62" t="n">
        <v>1</v>
      </c>
      <c r="B5659" s="21" t="s">
        <v>336</v>
      </c>
      <c r="C5659" s="62" t="s">
        <v>60</v>
      </c>
      <c r="D5659" s="62" t="s">
        <v>387</v>
      </c>
      <c r="E5659" s="62" t="s">
        <v>382</v>
      </c>
      <c r="F5659" s="62" t="s">
        <v>382</v>
      </c>
      <c r="G5659" s="63" t="s">
        <v>578</v>
      </c>
      <c r="H5659" s="64" t="n">
        <v>0</v>
      </c>
      <c r="I5659" s="62" t="s">
        <v>878</v>
      </c>
      <c r="J5659" s="64" t="n">
        <v>0</v>
      </c>
      <c r="K5659" s="62" t="s">
        <v>42</v>
      </c>
      <c r="L5659" s="68" t="b">
        <f aca="false">TRUE()</f>
        <v>1</v>
      </c>
    </row>
    <row r="5660" customFormat="false" ht="15" hidden="false" customHeight="false" outlineLevel="0" collapsed="false">
      <c r="A5660" s="62" t="n">
        <v>1</v>
      </c>
      <c r="B5660" s="21" t="s">
        <v>336</v>
      </c>
      <c r="C5660" s="62" t="s">
        <v>60</v>
      </c>
      <c r="D5660" s="62" t="s">
        <v>388</v>
      </c>
      <c r="E5660" s="62" t="s">
        <v>382</v>
      </c>
      <c r="F5660" s="62" t="s">
        <v>382</v>
      </c>
      <c r="G5660" s="63" t="s">
        <v>578</v>
      </c>
      <c r="H5660" s="64" t="n">
        <v>0</v>
      </c>
      <c r="I5660" s="62" t="s">
        <v>878</v>
      </c>
      <c r="J5660" s="64" t="n">
        <v>0</v>
      </c>
      <c r="K5660" s="62" t="s">
        <v>42</v>
      </c>
      <c r="L5660" s="68" t="b">
        <f aca="false">TRUE()</f>
        <v>1</v>
      </c>
    </row>
    <row r="5661" customFormat="false" ht="15" hidden="false" customHeight="false" outlineLevel="0" collapsed="false">
      <c r="A5661" s="62" t="n">
        <v>1</v>
      </c>
      <c r="B5661" s="21" t="s">
        <v>336</v>
      </c>
      <c r="C5661" s="62" t="s">
        <v>60</v>
      </c>
      <c r="D5661" s="62" t="s">
        <v>381</v>
      </c>
      <c r="E5661" s="62" t="s">
        <v>382</v>
      </c>
      <c r="F5661" s="62" t="s">
        <v>382</v>
      </c>
      <c r="G5661" s="63" t="s">
        <v>579</v>
      </c>
      <c r="H5661" s="64" t="n">
        <v>1182.34304865751</v>
      </c>
      <c r="I5661" s="62" t="s">
        <v>878</v>
      </c>
      <c r="J5661" s="64" t="n">
        <v>118234.304865751</v>
      </c>
      <c r="K5661" s="62" t="s">
        <v>42</v>
      </c>
      <c r="L5661" s="68" t="b">
        <f aca="false">FALSE()</f>
        <v>0</v>
      </c>
    </row>
    <row r="5662" customFormat="false" ht="15" hidden="false" customHeight="false" outlineLevel="0" collapsed="false">
      <c r="A5662" s="62" t="n">
        <v>1</v>
      </c>
      <c r="B5662" s="21" t="s">
        <v>336</v>
      </c>
      <c r="C5662" s="62" t="s">
        <v>60</v>
      </c>
      <c r="D5662" s="62" t="s">
        <v>383</v>
      </c>
      <c r="E5662" s="62" t="s">
        <v>382</v>
      </c>
      <c r="F5662" s="62" t="s">
        <v>382</v>
      </c>
      <c r="G5662" s="63" t="s">
        <v>579</v>
      </c>
      <c r="H5662" s="64" t="n">
        <v>1.5</v>
      </c>
      <c r="I5662" s="62" t="s">
        <v>878</v>
      </c>
      <c r="J5662" s="64" t="n">
        <v>150</v>
      </c>
      <c r="K5662" s="62" t="s">
        <v>42</v>
      </c>
      <c r="L5662" s="68" t="b">
        <f aca="false">FALSE()</f>
        <v>0</v>
      </c>
    </row>
    <row r="5663" customFormat="false" ht="15" hidden="false" customHeight="false" outlineLevel="0" collapsed="false">
      <c r="A5663" s="62" t="n">
        <v>1</v>
      </c>
      <c r="B5663" s="21" t="s">
        <v>336</v>
      </c>
      <c r="C5663" s="62" t="s">
        <v>60</v>
      </c>
      <c r="D5663" s="62" t="s">
        <v>384</v>
      </c>
      <c r="E5663" s="62" t="s">
        <v>382</v>
      </c>
      <c r="F5663" s="62" t="s">
        <v>382</v>
      </c>
      <c r="G5663" s="63" t="s">
        <v>579</v>
      </c>
      <c r="H5663" s="64" t="n">
        <v>1.5</v>
      </c>
      <c r="I5663" s="62" t="s">
        <v>878</v>
      </c>
      <c r="J5663" s="64" t="n">
        <v>150</v>
      </c>
      <c r="K5663" s="62" t="s">
        <v>42</v>
      </c>
      <c r="L5663" s="68" t="b">
        <f aca="false">FALSE()</f>
        <v>0</v>
      </c>
    </row>
    <row r="5664" customFormat="false" ht="15" hidden="false" customHeight="false" outlineLevel="0" collapsed="false">
      <c r="A5664" s="62" t="n">
        <v>1</v>
      </c>
      <c r="B5664" s="21" t="s">
        <v>336</v>
      </c>
      <c r="C5664" s="62" t="s">
        <v>60</v>
      </c>
      <c r="D5664" s="62" t="s">
        <v>385</v>
      </c>
      <c r="E5664" s="62" t="s">
        <v>382</v>
      </c>
      <c r="F5664" s="62" t="s">
        <v>382</v>
      </c>
      <c r="G5664" s="63" t="s">
        <v>579</v>
      </c>
      <c r="H5664" s="64" t="n">
        <v>1453.45543371155</v>
      </c>
      <c r="I5664" s="62" t="s">
        <v>878</v>
      </c>
      <c r="J5664" s="64" t="n">
        <v>145345.543371155</v>
      </c>
      <c r="K5664" s="62" t="s">
        <v>42</v>
      </c>
      <c r="L5664" s="68" t="b">
        <f aca="false">FALSE()</f>
        <v>0</v>
      </c>
    </row>
    <row r="5665" customFormat="false" ht="15" hidden="false" customHeight="false" outlineLevel="0" collapsed="false">
      <c r="A5665" s="62" t="n">
        <v>1</v>
      </c>
      <c r="B5665" s="21" t="s">
        <v>336</v>
      </c>
      <c r="C5665" s="62" t="s">
        <v>60</v>
      </c>
      <c r="D5665" s="62" t="s">
        <v>386</v>
      </c>
      <c r="E5665" s="62" t="s">
        <v>382</v>
      </c>
      <c r="F5665" s="62" t="s">
        <v>382</v>
      </c>
      <c r="G5665" s="63" t="s">
        <v>579</v>
      </c>
      <c r="H5665" s="64" t="n">
        <v>1.5</v>
      </c>
      <c r="I5665" s="62" t="s">
        <v>878</v>
      </c>
      <c r="J5665" s="64" t="n">
        <v>150</v>
      </c>
      <c r="K5665" s="62" t="s">
        <v>42</v>
      </c>
      <c r="L5665" s="68" t="b">
        <f aca="false">FALSE()</f>
        <v>0</v>
      </c>
    </row>
    <row r="5666" customFormat="false" ht="15" hidden="false" customHeight="false" outlineLevel="0" collapsed="false">
      <c r="A5666" s="62" t="n">
        <v>1</v>
      </c>
      <c r="B5666" s="21" t="s">
        <v>336</v>
      </c>
      <c r="C5666" s="62" t="s">
        <v>60</v>
      </c>
      <c r="D5666" s="62" t="s">
        <v>387</v>
      </c>
      <c r="E5666" s="62" t="s">
        <v>382</v>
      </c>
      <c r="F5666" s="62" t="s">
        <v>382</v>
      </c>
      <c r="G5666" s="63" t="s">
        <v>579</v>
      </c>
      <c r="H5666" s="64" t="n">
        <v>1.5</v>
      </c>
      <c r="I5666" s="62" t="s">
        <v>878</v>
      </c>
      <c r="J5666" s="64" t="n">
        <v>150</v>
      </c>
      <c r="K5666" s="62" t="s">
        <v>42</v>
      </c>
      <c r="L5666" s="68" t="b">
        <f aca="false">FALSE()</f>
        <v>0</v>
      </c>
    </row>
    <row r="5667" customFormat="false" ht="15" hidden="false" customHeight="false" outlineLevel="0" collapsed="false">
      <c r="A5667" s="62" t="n">
        <v>1</v>
      </c>
      <c r="B5667" s="21" t="s">
        <v>336</v>
      </c>
      <c r="C5667" s="62" t="s">
        <v>60</v>
      </c>
      <c r="D5667" s="62" t="s">
        <v>388</v>
      </c>
      <c r="E5667" s="62" t="s">
        <v>382</v>
      </c>
      <c r="F5667" s="62" t="s">
        <v>382</v>
      </c>
      <c r="G5667" s="63" t="s">
        <v>579</v>
      </c>
      <c r="H5667" s="64" t="n">
        <v>1.5</v>
      </c>
      <c r="I5667" s="62" t="s">
        <v>878</v>
      </c>
      <c r="J5667" s="64" t="n">
        <v>150</v>
      </c>
      <c r="K5667" s="62" t="s">
        <v>42</v>
      </c>
      <c r="L5667" s="68" t="b">
        <f aca="false">FALSE()</f>
        <v>0</v>
      </c>
    </row>
    <row r="5668" customFormat="false" ht="15" hidden="false" customHeight="false" outlineLevel="0" collapsed="false">
      <c r="A5668" s="62" t="n">
        <v>1</v>
      </c>
      <c r="B5668" s="21" t="s">
        <v>336</v>
      </c>
      <c r="C5668" s="62" t="s">
        <v>60</v>
      </c>
      <c r="D5668" s="62" t="s">
        <v>383</v>
      </c>
      <c r="E5668" s="62" t="s">
        <v>382</v>
      </c>
      <c r="F5668" s="62" t="s">
        <v>382</v>
      </c>
      <c r="G5668" s="63" t="s">
        <v>819</v>
      </c>
      <c r="H5668" s="64" t="n">
        <v>2.4578</v>
      </c>
      <c r="I5668" s="62" t="s">
        <v>878</v>
      </c>
      <c r="J5668" s="64" t="n">
        <v>245.78</v>
      </c>
      <c r="K5668" s="62" t="s">
        <v>42</v>
      </c>
      <c r="L5668" s="68" t="b">
        <f aca="false">FALSE()</f>
        <v>0</v>
      </c>
    </row>
    <row r="5669" customFormat="false" ht="15" hidden="false" customHeight="false" outlineLevel="0" collapsed="false">
      <c r="A5669" s="62" t="n">
        <v>1</v>
      </c>
      <c r="B5669" s="21" t="s">
        <v>336</v>
      </c>
      <c r="C5669" s="62" t="s">
        <v>60</v>
      </c>
      <c r="D5669" s="62" t="s">
        <v>384</v>
      </c>
      <c r="E5669" s="62" t="s">
        <v>382</v>
      </c>
      <c r="F5669" s="62" t="s">
        <v>382</v>
      </c>
      <c r="G5669" s="63" t="s">
        <v>575</v>
      </c>
      <c r="H5669" s="64" t="n">
        <v>2.19569</v>
      </c>
      <c r="I5669" s="62" t="s">
        <v>878</v>
      </c>
      <c r="J5669" s="64" t="n">
        <v>219.569</v>
      </c>
      <c r="K5669" s="62" t="s">
        <v>42</v>
      </c>
      <c r="L5669" s="68" t="b">
        <f aca="false">FALSE()</f>
        <v>0</v>
      </c>
    </row>
    <row r="5670" customFormat="false" ht="15" hidden="false" customHeight="false" outlineLevel="0" collapsed="false">
      <c r="A5670" s="62" t="n">
        <v>1</v>
      </c>
      <c r="B5670" s="21" t="s">
        <v>336</v>
      </c>
      <c r="C5670" s="62" t="s">
        <v>60</v>
      </c>
      <c r="D5670" s="62" t="s">
        <v>385</v>
      </c>
      <c r="E5670" s="62" t="s">
        <v>382</v>
      </c>
      <c r="F5670" s="62" t="s">
        <v>382</v>
      </c>
      <c r="G5670" s="63" t="s">
        <v>819</v>
      </c>
      <c r="H5670" s="64" t="n">
        <v>0.65613</v>
      </c>
      <c r="I5670" s="62" t="s">
        <v>878</v>
      </c>
      <c r="J5670" s="64" t="n">
        <v>65.613</v>
      </c>
      <c r="K5670" s="62" t="s">
        <v>42</v>
      </c>
      <c r="L5670" s="68" t="b">
        <f aca="false">FALSE()</f>
        <v>0</v>
      </c>
    </row>
    <row r="5671" customFormat="false" ht="15" hidden="false" customHeight="false" outlineLevel="0" collapsed="false">
      <c r="A5671" s="62" t="n">
        <v>1</v>
      </c>
      <c r="B5671" s="21" t="s">
        <v>336</v>
      </c>
      <c r="C5671" s="62" t="s">
        <v>60</v>
      </c>
      <c r="D5671" s="62" t="s">
        <v>387</v>
      </c>
      <c r="E5671" s="62" t="s">
        <v>382</v>
      </c>
      <c r="F5671" s="62" t="s">
        <v>382</v>
      </c>
      <c r="G5671" s="63" t="s">
        <v>819</v>
      </c>
      <c r="H5671" s="64" t="n">
        <v>2.81573</v>
      </c>
      <c r="I5671" s="62" t="s">
        <v>878</v>
      </c>
      <c r="J5671" s="64" t="n">
        <v>281.573</v>
      </c>
      <c r="K5671" s="62" t="s">
        <v>42</v>
      </c>
      <c r="L5671" s="68" t="b">
        <f aca="false">FALSE()</f>
        <v>0</v>
      </c>
    </row>
    <row r="5672" customFormat="false" ht="15" hidden="false" customHeight="false" outlineLevel="0" collapsed="false">
      <c r="A5672" s="62" t="n">
        <v>1</v>
      </c>
      <c r="B5672" s="21" t="s">
        <v>336</v>
      </c>
      <c r="C5672" s="62" t="s">
        <v>60</v>
      </c>
      <c r="D5672" s="62" t="s">
        <v>381</v>
      </c>
      <c r="E5672" s="62" t="s">
        <v>382</v>
      </c>
      <c r="F5672" s="62" t="s">
        <v>382</v>
      </c>
      <c r="G5672" s="63" t="s">
        <v>820</v>
      </c>
      <c r="H5672" s="64" t="n">
        <v>1.13995</v>
      </c>
      <c r="I5672" s="62" t="s">
        <v>878</v>
      </c>
      <c r="J5672" s="64" t="n">
        <v>113.995</v>
      </c>
      <c r="K5672" s="62" t="s">
        <v>42</v>
      </c>
      <c r="L5672" s="68" t="b">
        <f aca="false">FALSE()</f>
        <v>0</v>
      </c>
    </row>
    <row r="5673" customFormat="false" ht="15" hidden="false" customHeight="false" outlineLevel="0" collapsed="false">
      <c r="A5673" s="62" t="n">
        <v>1</v>
      </c>
      <c r="B5673" s="21" t="s">
        <v>336</v>
      </c>
      <c r="C5673" s="62" t="s">
        <v>60</v>
      </c>
      <c r="D5673" s="62" t="s">
        <v>381</v>
      </c>
      <c r="E5673" s="62" t="s">
        <v>382</v>
      </c>
      <c r="F5673" s="62" t="s">
        <v>382</v>
      </c>
      <c r="G5673" s="63" t="s">
        <v>580</v>
      </c>
      <c r="H5673" s="64" t="n">
        <v>371.434799394718</v>
      </c>
      <c r="I5673" s="62" t="s">
        <v>878</v>
      </c>
      <c r="J5673" s="64" t="n">
        <v>37143.4799394718</v>
      </c>
      <c r="K5673" s="62" t="s">
        <v>42</v>
      </c>
      <c r="L5673" s="68" t="b">
        <f aca="false">FALSE()</f>
        <v>0</v>
      </c>
    </row>
    <row r="5674" customFormat="false" ht="15" hidden="false" customHeight="false" outlineLevel="0" collapsed="false">
      <c r="A5674" s="62" t="n">
        <v>1</v>
      </c>
      <c r="B5674" s="21" t="s">
        <v>336</v>
      </c>
      <c r="C5674" s="62" t="s">
        <v>60</v>
      </c>
      <c r="D5674" s="62" t="s">
        <v>383</v>
      </c>
      <c r="E5674" s="62" t="s">
        <v>382</v>
      </c>
      <c r="F5674" s="62" t="s">
        <v>382</v>
      </c>
      <c r="G5674" s="63" t="s">
        <v>580</v>
      </c>
      <c r="H5674" s="64" t="n">
        <v>799.736098748444</v>
      </c>
      <c r="I5674" s="62" t="s">
        <v>878</v>
      </c>
      <c r="J5674" s="64" t="n">
        <v>79973.6098748444</v>
      </c>
      <c r="K5674" s="62" t="s">
        <v>42</v>
      </c>
      <c r="L5674" s="68" t="b">
        <f aca="false">FALSE()</f>
        <v>0</v>
      </c>
    </row>
    <row r="5675" customFormat="false" ht="15" hidden="false" customHeight="false" outlineLevel="0" collapsed="false">
      <c r="A5675" s="62" t="n">
        <v>1</v>
      </c>
      <c r="B5675" s="21" t="s">
        <v>336</v>
      </c>
      <c r="C5675" s="62" t="s">
        <v>60</v>
      </c>
      <c r="D5675" s="62" t="s">
        <v>384</v>
      </c>
      <c r="E5675" s="62" t="s">
        <v>382</v>
      </c>
      <c r="F5675" s="62" t="s">
        <v>382</v>
      </c>
      <c r="G5675" s="63" t="s">
        <v>580</v>
      </c>
      <c r="H5675" s="64" t="n">
        <v>714.548748361072</v>
      </c>
      <c r="I5675" s="62" t="s">
        <v>878</v>
      </c>
      <c r="J5675" s="64" t="n">
        <v>71454.8748361072</v>
      </c>
      <c r="K5675" s="62" t="s">
        <v>42</v>
      </c>
      <c r="L5675" s="68" t="b">
        <f aca="false">FALSE()</f>
        <v>0</v>
      </c>
    </row>
    <row r="5676" customFormat="false" ht="15" hidden="false" customHeight="false" outlineLevel="0" collapsed="false">
      <c r="A5676" s="62" t="n">
        <v>1</v>
      </c>
      <c r="B5676" s="21" t="s">
        <v>336</v>
      </c>
      <c r="C5676" s="62" t="s">
        <v>60</v>
      </c>
      <c r="D5676" s="62" t="s">
        <v>385</v>
      </c>
      <c r="E5676" s="62" t="s">
        <v>382</v>
      </c>
      <c r="F5676" s="62" t="s">
        <v>382</v>
      </c>
      <c r="G5676" s="63" t="s">
        <v>580</v>
      </c>
      <c r="H5676" s="64" t="n">
        <v>214.191164865955</v>
      </c>
      <c r="I5676" s="62" t="s">
        <v>878</v>
      </c>
      <c r="J5676" s="64" t="n">
        <v>21419.1164865955</v>
      </c>
      <c r="K5676" s="62" t="s">
        <v>42</v>
      </c>
      <c r="L5676" s="68" t="b">
        <f aca="false">FALSE()</f>
        <v>0</v>
      </c>
    </row>
    <row r="5677" customFormat="false" ht="15" hidden="false" customHeight="false" outlineLevel="0" collapsed="false">
      <c r="A5677" s="62" t="n">
        <v>1</v>
      </c>
      <c r="B5677" s="21" t="s">
        <v>336</v>
      </c>
      <c r="C5677" s="62" t="s">
        <v>60</v>
      </c>
      <c r="D5677" s="62" t="s">
        <v>386</v>
      </c>
      <c r="E5677" s="62" t="s">
        <v>382</v>
      </c>
      <c r="F5677" s="62" t="s">
        <v>382</v>
      </c>
      <c r="G5677" s="63" t="s">
        <v>580</v>
      </c>
      <c r="H5677" s="64" t="n">
        <v>0.95</v>
      </c>
      <c r="I5677" s="62" t="s">
        <v>878</v>
      </c>
      <c r="J5677" s="64" t="n">
        <v>95</v>
      </c>
      <c r="K5677" s="62" t="s">
        <v>42</v>
      </c>
      <c r="L5677" s="68" t="b">
        <f aca="false">FALSE()</f>
        <v>0</v>
      </c>
    </row>
    <row r="5678" customFormat="false" ht="15" hidden="false" customHeight="false" outlineLevel="0" collapsed="false">
      <c r="A5678" s="62" t="n">
        <v>1</v>
      </c>
      <c r="B5678" s="21" t="s">
        <v>336</v>
      </c>
      <c r="C5678" s="62" t="s">
        <v>60</v>
      </c>
      <c r="D5678" s="62" t="s">
        <v>387</v>
      </c>
      <c r="E5678" s="62" t="s">
        <v>382</v>
      </c>
      <c r="F5678" s="62" t="s">
        <v>382</v>
      </c>
      <c r="G5678" s="63" t="s">
        <v>580</v>
      </c>
      <c r="H5678" s="64" t="n">
        <v>916.062283228834</v>
      </c>
      <c r="I5678" s="62" t="s">
        <v>878</v>
      </c>
      <c r="J5678" s="64" t="n">
        <v>91606.2283228834</v>
      </c>
      <c r="K5678" s="62" t="s">
        <v>42</v>
      </c>
      <c r="L5678" s="68" t="b">
        <f aca="false">FALSE()</f>
        <v>0</v>
      </c>
    </row>
    <row r="5679" customFormat="false" ht="15" hidden="false" customHeight="false" outlineLevel="0" collapsed="false">
      <c r="A5679" s="62" t="n">
        <v>1</v>
      </c>
      <c r="B5679" s="21" t="s">
        <v>336</v>
      </c>
      <c r="C5679" s="62" t="s">
        <v>60</v>
      </c>
      <c r="D5679" s="62" t="s">
        <v>388</v>
      </c>
      <c r="E5679" s="62" t="s">
        <v>382</v>
      </c>
      <c r="F5679" s="62" t="s">
        <v>382</v>
      </c>
      <c r="G5679" s="63" t="s">
        <v>580</v>
      </c>
      <c r="H5679" s="64" t="n">
        <v>0.95</v>
      </c>
      <c r="I5679" s="62" t="s">
        <v>878</v>
      </c>
      <c r="J5679" s="64" t="n">
        <v>95</v>
      </c>
      <c r="K5679" s="62" t="s">
        <v>42</v>
      </c>
      <c r="L5679" s="68" t="b">
        <f aca="false">FALSE()</f>
        <v>0</v>
      </c>
    </row>
    <row r="5680" customFormat="false" ht="15" hidden="false" customHeight="false" outlineLevel="0" collapsed="false">
      <c r="A5680" s="62" t="n">
        <v>1</v>
      </c>
      <c r="B5680" s="21" t="s">
        <v>336</v>
      </c>
      <c r="C5680" s="62" t="s">
        <v>60</v>
      </c>
      <c r="D5680" s="62" t="s">
        <v>381</v>
      </c>
      <c r="E5680" s="62" t="s">
        <v>382</v>
      </c>
      <c r="F5680" s="62" t="s">
        <v>382</v>
      </c>
      <c r="G5680" s="63" t="s">
        <v>581</v>
      </c>
      <c r="H5680" s="64" t="n">
        <v>0.07</v>
      </c>
      <c r="I5680" s="62" t="s">
        <v>878</v>
      </c>
      <c r="J5680" s="64" t="n">
        <v>7</v>
      </c>
      <c r="K5680" s="62" t="s">
        <v>42</v>
      </c>
      <c r="L5680" s="68" t="b">
        <f aca="false">FALSE()</f>
        <v>0</v>
      </c>
    </row>
    <row r="5681" customFormat="false" ht="15" hidden="false" customHeight="false" outlineLevel="0" collapsed="false">
      <c r="A5681" s="62" t="n">
        <v>1</v>
      </c>
      <c r="B5681" s="21" t="s">
        <v>336</v>
      </c>
      <c r="C5681" s="62" t="s">
        <v>60</v>
      </c>
      <c r="D5681" s="62" t="s">
        <v>383</v>
      </c>
      <c r="E5681" s="62" t="s">
        <v>382</v>
      </c>
      <c r="F5681" s="62" t="s">
        <v>382</v>
      </c>
      <c r="G5681" s="63" t="s">
        <v>581</v>
      </c>
      <c r="H5681" s="64" t="n">
        <v>0.07</v>
      </c>
      <c r="I5681" s="62" t="s">
        <v>878</v>
      </c>
      <c r="J5681" s="64" t="n">
        <v>7</v>
      </c>
      <c r="K5681" s="62" t="s">
        <v>42</v>
      </c>
      <c r="L5681" s="68" t="b">
        <f aca="false">FALSE()</f>
        <v>0</v>
      </c>
    </row>
    <row r="5682" customFormat="false" ht="15" hidden="false" customHeight="false" outlineLevel="0" collapsed="false">
      <c r="A5682" s="62" t="n">
        <v>1</v>
      </c>
      <c r="B5682" s="21" t="s">
        <v>336</v>
      </c>
      <c r="C5682" s="62" t="s">
        <v>60</v>
      </c>
      <c r="D5682" s="62" t="s">
        <v>384</v>
      </c>
      <c r="E5682" s="62" t="s">
        <v>382</v>
      </c>
      <c r="F5682" s="62" t="s">
        <v>382</v>
      </c>
      <c r="G5682" s="63" t="s">
        <v>581</v>
      </c>
      <c r="H5682" s="64" t="n">
        <v>0.07</v>
      </c>
      <c r="I5682" s="62" t="s">
        <v>878</v>
      </c>
      <c r="J5682" s="64" t="n">
        <v>7</v>
      </c>
      <c r="K5682" s="62" t="s">
        <v>42</v>
      </c>
      <c r="L5682" s="68" t="b">
        <f aca="false">FALSE()</f>
        <v>0</v>
      </c>
    </row>
    <row r="5683" customFormat="false" ht="15" hidden="false" customHeight="false" outlineLevel="0" collapsed="false">
      <c r="A5683" s="62" t="n">
        <v>1</v>
      </c>
      <c r="B5683" s="21" t="s">
        <v>336</v>
      </c>
      <c r="C5683" s="62" t="s">
        <v>60</v>
      </c>
      <c r="D5683" s="62" t="s">
        <v>385</v>
      </c>
      <c r="E5683" s="62" t="s">
        <v>382</v>
      </c>
      <c r="F5683" s="62" t="s">
        <v>382</v>
      </c>
      <c r="G5683" s="63" t="s">
        <v>581</v>
      </c>
      <c r="H5683" s="64" t="n">
        <v>0.07</v>
      </c>
      <c r="I5683" s="62" t="s">
        <v>878</v>
      </c>
      <c r="J5683" s="64" t="n">
        <v>7</v>
      </c>
      <c r="K5683" s="62" t="s">
        <v>42</v>
      </c>
      <c r="L5683" s="68" t="b">
        <f aca="false">FALSE()</f>
        <v>0</v>
      </c>
    </row>
    <row r="5684" customFormat="false" ht="15" hidden="false" customHeight="false" outlineLevel="0" collapsed="false">
      <c r="A5684" s="62" t="n">
        <v>1</v>
      </c>
      <c r="B5684" s="21" t="s">
        <v>336</v>
      </c>
      <c r="C5684" s="62" t="s">
        <v>60</v>
      </c>
      <c r="D5684" s="62" t="s">
        <v>386</v>
      </c>
      <c r="E5684" s="62" t="s">
        <v>382</v>
      </c>
      <c r="F5684" s="62" t="s">
        <v>382</v>
      </c>
      <c r="G5684" s="63" t="s">
        <v>581</v>
      </c>
      <c r="H5684" s="64" t="n">
        <v>0.07</v>
      </c>
      <c r="I5684" s="62" t="s">
        <v>878</v>
      </c>
      <c r="J5684" s="64" t="n">
        <v>7</v>
      </c>
      <c r="K5684" s="62" t="s">
        <v>42</v>
      </c>
      <c r="L5684" s="68" t="b">
        <f aca="false">FALSE()</f>
        <v>0</v>
      </c>
    </row>
    <row r="5685" customFormat="false" ht="15" hidden="false" customHeight="false" outlineLevel="0" collapsed="false">
      <c r="A5685" s="62" t="n">
        <v>1</v>
      </c>
      <c r="B5685" s="21" t="s">
        <v>336</v>
      </c>
      <c r="C5685" s="62" t="s">
        <v>60</v>
      </c>
      <c r="D5685" s="62" t="s">
        <v>387</v>
      </c>
      <c r="E5685" s="62" t="s">
        <v>382</v>
      </c>
      <c r="F5685" s="62" t="s">
        <v>382</v>
      </c>
      <c r="G5685" s="63" t="s">
        <v>581</v>
      </c>
      <c r="H5685" s="64" t="n">
        <v>0.07</v>
      </c>
      <c r="I5685" s="62" t="s">
        <v>878</v>
      </c>
      <c r="J5685" s="64" t="n">
        <v>7</v>
      </c>
      <c r="K5685" s="62" t="s">
        <v>42</v>
      </c>
      <c r="L5685" s="68" t="b">
        <f aca="false">FALSE()</f>
        <v>0</v>
      </c>
    </row>
    <row r="5686" customFormat="false" ht="15" hidden="false" customHeight="false" outlineLevel="0" collapsed="false">
      <c r="A5686" s="62" t="n">
        <v>1</v>
      </c>
      <c r="B5686" s="21" t="s">
        <v>336</v>
      </c>
      <c r="C5686" s="62" t="s">
        <v>60</v>
      </c>
      <c r="D5686" s="62" t="s">
        <v>388</v>
      </c>
      <c r="E5686" s="62" t="s">
        <v>382</v>
      </c>
      <c r="F5686" s="62" t="s">
        <v>382</v>
      </c>
      <c r="G5686" s="63" t="s">
        <v>581</v>
      </c>
      <c r="H5686" s="64" t="n">
        <v>0.07</v>
      </c>
      <c r="I5686" s="62" t="s">
        <v>878</v>
      </c>
      <c r="J5686" s="64" t="n">
        <v>7</v>
      </c>
      <c r="K5686" s="62" t="s">
        <v>42</v>
      </c>
      <c r="L5686" s="68" t="b">
        <f aca="false">FALSE()</f>
        <v>0</v>
      </c>
    </row>
    <row r="5687" customFormat="false" ht="15" hidden="false" customHeight="false" outlineLevel="0" collapsed="false">
      <c r="A5687" s="62" t="n">
        <v>1</v>
      </c>
      <c r="B5687" s="21" t="s">
        <v>336</v>
      </c>
      <c r="C5687" s="62" t="s">
        <v>60</v>
      </c>
      <c r="D5687" s="62" t="s">
        <v>381</v>
      </c>
      <c r="E5687" s="62" t="s">
        <v>382</v>
      </c>
      <c r="F5687" s="62" t="s">
        <v>382</v>
      </c>
      <c r="G5687" s="63" t="s">
        <v>582</v>
      </c>
      <c r="H5687" s="64" t="n">
        <v>0.02</v>
      </c>
      <c r="I5687" s="62" t="s">
        <v>878</v>
      </c>
      <c r="J5687" s="64" t="n">
        <v>2</v>
      </c>
      <c r="K5687" s="62" t="s">
        <v>42</v>
      </c>
      <c r="L5687" s="68" t="b">
        <f aca="false">FALSE()</f>
        <v>0</v>
      </c>
    </row>
    <row r="5688" customFormat="false" ht="15" hidden="false" customHeight="false" outlineLevel="0" collapsed="false">
      <c r="A5688" s="62" t="n">
        <v>1</v>
      </c>
      <c r="B5688" s="21" t="s">
        <v>336</v>
      </c>
      <c r="C5688" s="62" t="s">
        <v>60</v>
      </c>
      <c r="D5688" s="62" t="s">
        <v>383</v>
      </c>
      <c r="E5688" s="62" t="s">
        <v>382</v>
      </c>
      <c r="F5688" s="62" t="s">
        <v>382</v>
      </c>
      <c r="G5688" s="63" t="s">
        <v>582</v>
      </c>
      <c r="H5688" s="64" t="n">
        <v>0.02</v>
      </c>
      <c r="I5688" s="62" t="s">
        <v>878</v>
      </c>
      <c r="J5688" s="64" t="n">
        <v>2</v>
      </c>
      <c r="K5688" s="62" t="s">
        <v>42</v>
      </c>
      <c r="L5688" s="68" t="b">
        <f aca="false">FALSE()</f>
        <v>0</v>
      </c>
    </row>
    <row r="5689" customFormat="false" ht="15" hidden="false" customHeight="false" outlineLevel="0" collapsed="false">
      <c r="A5689" s="62" t="n">
        <v>1</v>
      </c>
      <c r="B5689" s="21" t="s">
        <v>336</v>
      </c>
      <c r="C5689" s="62" t="s">
        <v>60</v>
      </c>
      <c r="D5689" s="62" t="s">
        <v>384</v>
      </c>
      <c r="E5689" s="62" t="s">
        <v>382</v>
      </c>
      <c r="F5689" s="62" t="s">
        <v>382</v>
      </c>
      <c r="G5689" s="63" t="s">
        <v>582</v>
      </c>
      <c r="H5689" s="64" t="n">
        <v>0.02</v>
      </c>
      <c r="I5689" s="62" t="s">
        <v>878</v>
      </c>
      <c r="J5689" s="64" t="n">
        <v>2</v>
      </c>
      <c r="K5689" s="62" t="s">
        <v>42</v>
      </c>
      <c r="L5689" s="68" t="b">
        <f aca="false">FALSE()</f>
        <v>0</v>
      </c>
    </row>
    <row r="5690" customFormat="false" ht="15" hidden="false" customHeight="false" outlineLevel="0" collapsed="false">
      <c r="A5690" s="62" t="n">
        <v>1</v>
      </c>
      <c r="B5690" s="21" t="s">
        <v>336</v>
      </c>
      <c r="C5690" s="62" t="s">
        <v>60</v>
      </c>
      <c r="D5690" s="62" t="s">
        <v>385</v>
      </c>
      <c r="E5690" s="62" t="s">
        <v>382</v>
      </c>
      <c r="F5690" s="62" t="s">
        <v>382</v>
      </c>
      <c r="G5690" s="63" t="s">
        <v>582</v>
      </c>
      <c r="H5690" s="64" t="n">
        <v>0.02</v>
      </c>
      <c r="I5690" s="62" t="s">
        <v>878</v>
      </c>
      <c r="J5690" s="64" t="n">
        <v>2</v>
      </c>
      <c r="K5690" s="62" t="s">
        <v>42</v>
      </c>
      <c r="L5690" s="68" t="b">
        <f aca="false">FALSE()</f>
        <v>0</v>
      </c>
    </row>
    <row r="5691" customFormat="false" ht="15" hidden="false" customHeight="false" outlineLevel="0" collapsed="false">
      <c r="A5691" s="62" t="n">
        <v>1</v>
      </c>
      <c r="B5691" s="21" t="s">
        <v>336</v>
      </c>
      <c r="C5691" s="62" t="s">
        <v>60</v>
      </c>
      <c r="D5691" s="62" t="s">
        <v>386</v>
      </c>
      <c r="E5691" s="62" t="s">
        <v>382</v>
      </c>
      <c r="F5691" s="62" t="s">
        <v>382</v>
      </c>
      <c r="G5691" s="63" t="s">
        <v>582</v>
      </c>
      <c r="H5691" s="64" t="n">
        <v>0.02</v>
      </c>
      <c r="I5691" s="62" t="s">
        <v>878</v>
      </c>
      <c r="J5691" s="64" t="n">
        <v>2</v>
      </c>
      <c r="K5691" s="62" t="s">
        <v>42</v>
      </c>
      <c r="L5691" s="68" t="b">
        <f aca="false">FALSE()</f>
        <v>0</v>
      </c>
    </row>
    <row r="5692" customFormat="false" ht="15" hidden="false" customHeight="false" outlineLevel="0" collapsed="false">
      <c r="A5692" s="62" t="n">
        <v>1</v>
      </c>
      <c r="B5692" s="21" t="s">
        <v>336</v>
      </c>
      <c r="C5692" s="62" t="s">
        <v>60</v>
      </c>
      <c r="D5692" s="62" t="s">
        <v>387</v>
      </c>
      <c r="E5692" s="62" t="s">
        <v>382</v>
      </c>
      <c r="F5692" s="62" t="s">
        <v>382</v>
      </c>
      <c r="G5692" s="63" t="s">
        <v>582</v>
      </c>
      <c r="H5692" s="64" t="n">
        <v>0.02</v>
      </c>
      <c r="I5692" s="62" t="s">
        <v>878</v>
      </c>
      <c r="J5692" s="64" t="n">
        <v>2</v>
      </c>
      <c r="K5692" s="62" t="s">
        <v>42</v>
      </c>
      <c r="L5692" s="68" t="b">
        <f aca="false">FALSE()</f>
        <v>0</v>
      </c>
    </row>
    <row r="5693" customFormat="false" ht="15" hidden="false" customHeight="false" outlineLevel="0" collapsed="false">
      <c r="A5693" s="62" t="n">
        <v>1</v>
      </c>
      <c r="B5693" s="21" t="s">
        <v>336</v>
      </c>
      <c r="C5693" s="62" t="s">
        <v>60</v>
      </c>
      <c r="D5693" s="62" t="s">
        <v>388</v>
      </c>
      <c r="E5693" s="62" t="s">
        <v>382</v>
      </c>
      <c r="F5693" s="62" t="s">
        <v>382</v>
      </c>
      <c r="G5693" s="63" t="s">
        <v>582</v>
      </c>
      <c r="H5693" s="64" t="n">
        <v>0.02</v>
      </c>
      <c r="I5693" s="62" t="s">
        <v>878</v>
      </c>
      <c r="J5693" s="64" t="n">
        <v>2</v>
      </c>
      <c r="K5693" s="62" t="s">
        <v>42</v>
      </c>
      <c r="L5693" s="68" t="b">
        <f aca="false">FALSE()</f>
        <v>0</v>
      </c>
    </row>
    <row r="5694" customFormat="false" ht="15" hidden="false" customHeight="false" outlineLevel="0" collapsed="false">
      <c r="A5694" s="62" t="n">
        <v>1</v>
      </c>
      <c r="B5694" s="21" t="s">
        <v>336</v>
      </c>
      <c r="C5694" s="62" t="s">
        <v>60</v>
      </c>
      <c r="D5694" s="62" t="s">
        <v>383</v>
      </c>
      <c r="E5694" s="62" t="s">
        <v>382</v>
      </c>
      <c r="F5694" s="62" t="s">
        <v>382</v>
      </c>
      <c r="G5694" s="63" t="s">
        <v>605</v>
      </c>
      <c r="H5694" s="64" t="n">
        <v>0.05</v>
      </c>
      <c r="I5694" s="62" t="s">
        <v>878</v>
      </c>
      <c r="J5694" s="64" t="n">
        <v>5</v>
      </c>
      <c r="K5694" s="62" t="s">
        <v>42</v>
      </c>
      <c r="L5694" s="68" t="b">
        <f aca="false">FALSE()</f>
        <v>0</v>
      </c>
    </row>
    <row r="5695" customFormat="false" ht="15" hidden="false" customHeight="false" outlineLevel="0" collapsed="false">
      <c r="A5695" s="62" t="n">
        <v>1</v>
      </c>
      <c r="B5695" s="21" t="s">
        <v>336</v>
      </c>
      <c r="C5695" s="62" t="s">
        <v>60</v>
      </c>
      <c r="D5695" s="62" t="s">
        <v>383</v>
      </c>
      <c r="E5695" s="62" t="s">
        <v>382</v>
      </c>
      <c r="F5695" s="62" t="s">
        <v>382</v>
      </c>
      <c r="G5695" s="63" t="s">
        <v>606</v>
      </c>
      <c r="H5695" s="64" t="n">
        <v>0.03</v>
      </c>
      <c r="I5695" s="62" t="s">
        <v>878</v>
      </c>
      <c r="J5695" s="64" t="n">
        <v>3</v>
      </c>
      <c r="K5695" s="62" t="s">
        <v>42</v>
      </c>
      <c r="L5695" s="68" t="b">
        <f aca="false">FALSE()</f>
        <v>0</v>
      </c>
    </row>
    <row r="5696" customFormat="false" ht="15" hidden="false" customHeight="false" outlineLevel="0" collapsed="false">
      <c r="A5696" s="62" t="n">
        <v>1</v>
      </c>
      <c r="B5696" s="21" t="s">
        <v>336</v>
      </c>
      <c r="C5696" s="62" t="s">
        <v>60</v>
      </c>
      <c r="D5696" s="62" t="s">
        <v>388</v>
      </c>
      <c r="E5696" s="62" t="s">
        <v>382</v>
      </c>
      <c r="F5696" s="62" t="s">
        <v>382</v>
      </c>
      <c r="G5696" s="63" t="s">
        <v>606</v>
      </c>
      <c r="H5696" s="64" t="n">
        <v>0.03</v>
      </c>
      <c r="I5696" s="62" t="s">
        <v>878</v>
      </c>
      <c r="J5696" s="64" t="n">
        <v>3</v>
      </c>
      <c r="K5696" s="62" t="s">
        <v>42</v>
      </c>
      <c r="L5696" s="68" t="b">
        <f aca="false">FALSE()</f>
        <v>0</v>
      </c>
    </row>
    <row r="5697" customFormat="false" ht="15" hidden="false" customHeight="false" outlineLevel="0" collapsed="false">
      <c r="A5697" s="62" t="n">
        <v>1</v>
      </c>
      <c r="B5697" s="21" t="s">
        <v>336</v>
      </c>
      <c r="C5697" s="62" t="s">
        <v>60</v>
      </c>
      <c r="D5697" s="62" t="s">
        <v>381</v>
      </c>
      <c r="E5697" s="62" t="s">
        <v>382</v>
      </c>
      <c r="F5697" s="62" t="s">
        <v>382</v>
      </c>
      <c r="G5697" s="63" t="s">
        <v>583</v>
      </c>
      <c r="H5697" s="64" t="n">
        <v>0</v>
      </c>
      <c r="I5697" s="62" t="s">
        <v>878</v>
      </c>
      <c r="J5697" s="64" t="n">
        <v>0</v>
      </c>
      <c r="K5697" s="62" t="s">
        <v>42</v>
      </c>
      <c r="L5697" s="68" t="b">
        <f aca="false">TRUE()</f>
        <v>1</v>
      </c>
    </row>
    <row r="5698" customFormat="false" ht="15" hidden="false" customHeight="false" outlineLevel="0" collapsed="false">
      <c r="A5698" s="62" t="n">
        <v>1</v>
      </c>
      <c r="B5698" s="21" t="s">
        <v>336</v>
      </c>
      <c r="C5698" s="62" t="s">
        <v>60</v>
      </c>
      <c r="D5698" s="62" t="s">
        <v>383</v>
      </c>
      <c r="E5698" s="62" t="s">
        <v>382</v>
      </c>
      <c r="F5698" s="62" t="s">
        <v>382</v>
      </c>
      <c r="G5698" s="63" t="s">
        <v>583</v>
      </c>
      <c r="H5698" s="64" t="n">
        <v>0</v>
      </c>
      <c r="I5698" s="62" t="s">
        <v>878</v>
      </c>
      <c r="J5698" s="64" t="n">
        <v>0</v>
      </c>
      <c r="K5698" s="62" t="s">
        <v>42</v>
      </c>
      <c r="L5698" s="68" t="b">
        <f aca="false">TRUE()</f>
        <v>1</v>
      </c>
    </row>
    <row r="5699" customFormat="false" ht="15" hidden="false" customHeight="false" outlineLevel="0" collapsed="false">
      <c r="A5699" s="62" t="n">
        <v>1</v>
      </c>
      <c r="B5699" s="21" t="s">
        <v>336</v>
      </c>
      <c r="C5699" s="62" t="s">
        <v>60</v>
      </c>
      <c r="D5699" s="62" t="s">
        <v>384</v>
      </c>
      <c r="E5699" s="62" t="s">
        <v>382</v>
      </c>
      <c r="F5699" s="62" t="s">
        <v>382</v>
      </c>
      <c r="G5699" s="63" t="s">
        <v>583</v>
      </c>
      <c r="H5699" s="64" t="n">
        <v>0</v>
      </c>
      <c r="I5699" s="62" t="s">
        <v>878</v>
      </c>
      <c r="J5699" s="64" t="n">
        <v>0</v>
      </c>
      <c r="K5699" s="62" t="s">
        <v>42</v>
      </c>
      <c r="L5699" s="68" t="b">
        <f aca="false">TRUE()</f>
        <v>1</v>
      </c>
    </row>
    <row r="5700" customFormat="false" ht="15" hidden="false" customHeight="false" outlineLevel="0" collapsed="false">
      <c r="A5700" s="62" t="n">
        <v>1</v>
      </c>
      <c r="B5700" s="21" t="s">
        <v>336</v>
      </c>
      <c r="C5700" s="62" t="s">
        <v>60</v>
      </c>
      <c r="D5700" s="62" t="s">
        <v>385</v>
      </c>
      <c r="E5700" s="62" t="s">
        <v>382</v>
      </c>
      <c r="F5700" s="62" t="s">
        <v>382</v>
      </c>
      <c r="G5700" s="63" t="s">
        <v>583</v>
      </c>
      <c r="H5700" s="64" t="n">
        <v>0</v>
      </c>
      <c r="I5700" s="62" t="s">
        <v>878</v>
      </c>
      <c r="J5700" s="64" t="n">
        <v>0</v>
      </c>
      <c r="K5700" s="62" t="s">
        <v>42</v>
      </c>
      <c r="L5700" s="68" t="b">
        <f aca="false">TRUE()</f>
        <v>1</v>
      </c>
    </row>
    <row r="5701" customFormat="false" ht="15" hidden="false" customHeight="false" outlineLevel="0" collapsed="false">
      <c r="A5701" s="62" t="n">
        <v>1</v>
      </c>
      <c r="B5701" s="21" t="s">
        <v>336</v>
      </c>
      <c r="C5701" s="62" t="s">
        <v>60</v>
      </c>
      <c r="D5701" s="62" t="s">
        <v>386</v>
      </c>
      <c r="E5701" s="62" t="s">
        <v>382</v>
      </c>
      <c r="F5701" s="62" t="s">
        <v>382</v>
      </c>
      <c r="G5701" s="63" t="s">
        <v>583</v>
      </c>
      <c r="H5701" s="64" t="n">
        <v>0</v>
      </c>
      <c r="I5701" s="62" t="s">
        <v>878</v>
      </c>
      <c r="J5701" s="64" t="n">
        <v>0</v>
      </c>
      <c r="K5701" s="62" t="s">
        <v>42</v>
      </c>
      <c r="L5701" s="68" t="b">
        <f aca="false">TRUE()</f>
        <v>1</v>
      </c>
    </row>
    <row r="5702" customFormat="false" ht="15" hidden="false" customHeight="false" outlineLevel="0" collapsed="false">
      <c r="A5702" s="62" t="n">
        <v>1</v>
      </c>
      <c r="B5702" s="21" t="s">
        <v>336</v>
      </c>
      <c r="C5702" s="62" t="s">
        <v>60</v>
      </c>
      <c r="D5702" s="62" t="s">
        <v>387</v>
      </c>
      <c r="E5702" s="62" t="s">
        <v>382</v>
      </c>
      <c r="F5702" s="62" t="s">
        <v>382</v>
      </c>
      <c r="G5702" s="63" t="s">
        <v>583</v>
      </c>
      <c r="H5702" s="64" t="n">
        <v>0</v>
      </c>
      <c r="I5702" s="62" t="s">
        <v>878</v>
      </c>
      <c r="J5702" s="64" t="n">
        <v>0</v>
      </c>
      <c r="K5702" s="62" t="s">
        <v>42</v>
      </c>
      <c r="L5702" s="68" t="b">
        <f aca="false">TRUE()</f>
        <v>1</v>
      </c>
    </row>
    <row r="5703" customFormat="false" ht="15" hidden="false" customHeight="false" outlineLevel="0" collapsed="false">
      <c r="A5703" s="62" t="n">
        <v>1</v>
      </c>
      <c r="B5703" s="21" t="s">
        <v>336</v>
      </c>
      <c r="C5703" s="62" t="s">
        <v>60</v>
      </c>
      <c r="D5703" s="62" t="s">
        <v>388</v>
      </c>
      <c r="E5703" s="62" t="s">
        <v>382</v>
      </c>
      <c r="F5703" s="62" t="s">
        <v>382</v>
      </c>
      <c r="G5703" s="63" t="s">
        <v>583</v>
      </c>
      <c r="H5703" s="64" t="n">
        <v>0</v>
      </c>
      <c r="I5703" s="62" t="s">
        <v>878</v>
      </c>
      <c r="J5703" s="64" t="n">
        <v>0</v>
      </c>
      <c r="K5703" s="62" t="s">
        <v>42</v>
      </c>
      <c r="L5703" s="68" t="b">
        <f aca="false">TRUE()</f>
        <v>1</v>
      </c>
    </row>
    <row r="5704" customFormat="false" ht="15" hidden="false" customHeight="false" outlineLevel="0" collapsed="false">
      <c r="A5704" s="62" t="n">
        <v>1</v>
      </c>
      <c r="B5704" s="21" t="s">
        <v>336</v>
      </c>
      <c r="C5704" s="62" t="s">
        <v>60</v>
      </c>
      <c r="D5704" s="62" t="s">
        <v>381</v>
      </c>
      <c r="E5704" s="62" t="s">
        <v>382</v>
      </c>
      <c r="F5704" s="62" t="s">
        <v>382</v>
      </c>
      <c r="G5704" s="63" t="s">
        <v>584</v>
      </c>
      <c r="H5704" s="64" t="n">
        <v>3.36</v>
      </c>
      <c r="I5704" s="62" t="s">
        <v>878</v>
      </c>
      <c r="J5704" s="64" t="n">
        <v>336</v>
      </c>
      <c r="K5704" s="62" t="s">
        <v>42</v>
      </c>
      <c r="L5704" s="68" t="b">
        <f aca="false">FALSE()</f>
        <v>0</v>
      </c>
    </row>
    <row r="5705" customFormat="false" ht="15" hidden="false" customHeight="false" outlineLevel="0" collapsed="false">
      <c r="A5705" s="62" t="n">
        <v>1</v>
      </c>
      <c r="B5705" s="21" t="s">
        <v>336</v>
      </c>
      <c r="C5705" s="62" t="s">
        <v>60</v>
      </c>
      <c r="D5705" s="62" t="s">
        <v>383</v>
      </c>
      <c r="E5705" s="62" t="s">
        <v>382</v>
      </c>
      <c r="F5705" s="62" t="s">
        <v>382</v>
      </c>
      <c r="G5705" s="63" t="s">
        <v>584</v>
      </c>
      <c r="H5705" s="64" t="n">
        <v>9.758</v>
      </c>
      <c r="I5705" s="62" t="s">
        <v>878</v>
      </c>
      <c r="J5705" s="64" t="n">
        <v>975.8</v>
      </c>
      <c r="K5705" s="62" t="s">
        <v>42</v>
      </c>
      <c r="L5705" s="68" t="b">
        <f aca="false">FALSE()</f>
        <v>0</v>
      </c>
    </row>
    <row r="5706" customFormat="false" ht="15" hidden="false" customHeight="false" outlineLevel="0" collapsed="false">
      <c r="A5706" s="62" t="n">
        <v>1</v>
      </c>
      <c r="B5706" s="21" t="s">
        <v>336</v>
      </c>
      <c r="C5706" s="62" t="s">
        <v>60</v>
      </c>
      <c r="D5706" s="62" t="s">
        <v>384</v>
      </c>
      <c r="E5706" s="62" t="s">
        <v>382</v>
      </c>
      <c r="F5706" s="62" t="s">
        <v>382</v>
      </c>
      <c r="G5706" s="63" t="s">
        <v>584</v>
      </c>
      <c r="H5706" s="64" t="n">
        <v>10.08</v>
      </c>
      <c r="I5706" s="62" t="s">
        <v>878</v>
      </c>
      <c r="J5706" s="64" t="n">
        <v>1008</v>
      </c>
      <c r="K5706" s="62" t="s">
        <v>42</v>
      </c>
      <c r="L5706" s="68" t="b">
        <f aca="false">FALSE()</f>
        <v>0</v>
      </c>
    </row>
    <row r="5707" customFormat="false" ht="15" hidden="false" customHeight="false" outlineLevel="0" collapsed="false">
      <c r="A5707" s="62" t="n">
        <v>1</v>
      </c>
      <c r="B5707" s="21" t="s">
        <v>336</v>
      </c>
      <c r="C5707" s="62" t="s">
        <v>60</v>
      </c>
      <c r="D5707" s="62" t="s">
        <v>385</v>
      </c>
      <c r="E5707" s="62" t="s">
        <v>382</v>
      </c>
      <c r="F5707" s="62" t="s">
        <v>382</v>
      </c>
      <c r="G5707" s="63" t="s">
        <v>584</v>
      </c>
      <c r="H5707" s="64" t="n">
        <v>12.2598</v>
      </c>
      <c r="I5707" s="62" t="s">
        <v>878</v>
      </c>
      <c r="J5707" s="64" t="n">
        <v>1225.98</v>
      </c>
      <c r="K5707" s="62" t="s">
        <v>42</v>
      </c>
      <c r="L5707" s="68" t="b">
        <f aca="false">FALSE()</f>
        <v>0</v>
      </c>
    </row>
    <row r="5708" customFormat="false" ht="15" hidden="false" customHeight="false" outlineLevel="0" collapsed="false">
      <c r="A5708" s="62" t="n">
        <v>1</v>
      </c>
      <c r="B5708" s="21" t="s">
        <v>336</v>
      </c>
      <c r="C5708" s="62" t="s">
        <v>60</v>
      </c>
      <c r="D5708" s="62" t="s">
        <v>386</v>
      </c>
      <c r="E5708" s="62" t="s">
        <v>382</v>
      </c>
      <c r="F5708" s="62" t="s">
        <v>382</v>
      </c>
      <c r="G5708" s="63" t="s">
        <v>584</v>
      </c>
      <c r="H5708" s="64" t="n">
        <v>7.8715</v>
      </c>
      <c r="I5708" s="62" t="s">
        <v>878</v>
      </c>
      <c r="J5708" s="64" t="n">
        <v>787.15</v>
      </c>
      <c r="K5708" s="62" t="s">
        <v>42</v>
      </c>
      <c r="L5708" s="68" t="b">
        <f aca="false">FALSE()</f>
        <v>0</v>
      </c>
    </row>
    <row r="5709" customFormat="false" ht="15" hidden="false" customHeight="false" outlineLevel="0" collapsed="false">
      <c r="A5709" s="62" t="n">
        <v>1</v>
      </c>
      <c r="B5709" s="21" t="s">
        <v>336</v>
      </c>
      <c r="C5709" s="62" t="s">
        <v>60</v>
      </c>
      <c r="D5709" s="62" t="s">
        <v>387</v>
      </c>
      <c r="E5709" s="62" t="s">
        <v>382</v>
      </c>
      <c r="F5709" s="62" t="s">
        <v>382</v>
      </c>
      <c r="G5709" s="63" t="s">
        <v>584</v>
      </c>
      <c r="H5709" s="64" t="n">
        <v>7.2072</v>
      </c>
      <c r="I5709" s="62" t="s">
        <v>878</v>
      </c>
      <c r="J5709" s="64" t="n">
        <v>720.72</v>
      </c>
      <c r="K5709" s="62" t="s">
        <v>42</v>
      </c>
      <c r="L5709" s="68" t="b">
        <f aca="false">FALSE()</f>
        <v>0</v>
      </c>
    </row>
    <row r="5710" customFormat="false" ht="15" hidden="false" customHeight="false" outlineLevel="0" collapsed="false">
      <c r="A5710" s="62" t="n">
        <v>1</v>
      </c>
      <c r="B5710" s="21" t="s">
        <v>336</v>
      </c>
      <c r="C5710" s="62" t="s">
        <v>60</v>
      </c>
      <c r="D5710" s="62" t="s">
        <v>388</v>
      </c>
      <c r="E5710" s="62" t="s">
        <v>382</v>
      </c>
      <c r="F5710" s="62" t="s">
        <v>382</v>
      </c>
      <c r="G5710" s="63" t="s">
        <v>584</v>
      </c>
      <c r="H5710" s="64" t="n">
        <v>7.168</v>
      </c>
      <c r="I5710" s="62" t="s">
        <v>878</v>
      </c>
      <c r="J5710" s="64" t="n">
        <v>716.8</v>
      </c>
      <c r="K5710" s="62" t="s">
        <v>42</v>
      </c>
      <c r="L5710" s="68" t="b">
        <f aca="false">FALSE()</f>
        <v>0</v>
      </c>
    </row>
    <row r="5711" customFormat="false" ht="15" hidden="false" customHeight="false" outlineLevel="0" collapsed="false">
      <c r="A5711" s="62" t="n">
        <v>1</v>
      </c>
      <c r="B5711" s="21" t="s">
        <v>336</v>
      </c>
      <c r="C5711" s="62" t="s">
        <v>60</v>
      </c>
      <c r="D5711" s="62" t="s">
        <v>381</v>
      </c>
      <c r="E5711" s="62" t="s">
        <v>382</v>
      </c>
      <c r="F5711" s="62" t="s">
        <v>382</v>
      </c>
      <c r="G5711" s="63" t="s">
        <v>585</v>
      </c>
      <c r="H5711" s="64" t="n">
        <v>4.8</v>
      </c>
      <c r="I5711" s="62" t="s">
        <v>878</v>
      </c>
      <c r="J5711" s="64" t="n">
        <v>480</v>
      </c>
      <c r="K5711" s="62" t="s">
        <v>42</v>
      </c>
      <c r="L5711" s="68" t="b">
        <f aca="false">FALSE()</f>
        <v>0</v>
      </c>
    </row>
    <row r="5712" customFormat="false" ht="15" hidden="false" customHeight="false" outlineLevel="0" collapsed="false">
      <c r="A5712" s="62" t="n">
        <v>1</v>
      </c>
      <c r="B5712" s="21" t="s">
        <v>336</v>
      </c>
      <c r="C5712" s="62" t="s">
        <v>60</v>
      </c>
      <c r="D5712" s="62" t="s">
        <v>383</v>
      </c>
      <c r="E5712" s="62" t="s">
        <v>382</v>
      </c>
      <c r="F5712" s="62" t="s">
        <v>382</v>
      </c>
      <c r="G5712" s="63" t="s">
        <v>585</v>
      </c>
      <c r="H5712" s="64" t="n">
        <v>0</v>
      </c>
      <c r="I5712" s="62" t="s">
        <v>878</v>
      </c>
      <c r="J5712" s="64" t="n">
        <v>0</v>
      </c>
      <c r="K5712" s="62" t="s">
        <v>42</v>
      </c>
      <c r="L5712" s="68" t="b">
        <f aca="false">FALSE()</f>
        <v>0</v>
      </c>
    </row>
    <row r="5713" customFormat="false" ht="15" hidden="false" customHeight="false" outlineLevel="0" collapsed="false">
      <c r="A5713" s="62" t="n">
        <v>1</v>
      </c>
      <c r="B5713" s="21" t="s">
        <v>336</v>
      </c>
      <c r="C5713" s="62" t="s">
        <v>60</v>
      </c>
      <c r="D5713" s="62" t="s">
        <v>384</v>
      </c>
      <c r="E5713" s="62" t="s">
        <v>382</v>
      </c>
      <c r="F5713" s="62" t="s">
        <v>382</v>
      </c>
      <c r="G5713" s="63" t="s">
        <v>585</v>
      </c>
      <c r="H5713" s="64" t="n">
        <v>0</v>
      </c>
      <c r="I5713" s="62" t="s">
        <v>878</v>
      </c>
      <c r="J5713" s="64" t="n">
        <v>0</v>
      </c>
      <c r="K5713" s="62" t="s">
        <v>42</v>
      </c>
      <c r="L5713" s="68" t="b">
        <f aca="false">FALSE()</f>
        <v>0</v>
      </c>
    </row>
    <row r="5714" customFormat="false" ht="15" hidden="false" customHeight="false" outlineLevel="0" collapsed="false">
      <c r="A5714" s="62" t="n">
        <v>1</v>
      </c>
      <c r="B5714" s="21" t="s">
        <v>336</v>
      </c>
      <c r="C5714" s="62" t="s">
        <v>60</v>
      </c>
      <c r="D5714" s="62" t="s">
        <v>385</v>
      </c>
      <c r="E5714" s="62" t="s">
        <v>382</v>
      </c>
      <c r="F5714" s="62" t="s">
        <v>382</v>
      </c>
      <c r="G5714" s="63" t="s">
        <v>585</v>
      </c>
      <c r="H5714" s="64" t="n">
        <v>0</v>
      </c>
      <c r="I5714" s="62" t="s">
        <v>878</v>
      </c>
      <c r="J5714" s="64" t="n">
        <v>0</v>
      </c>
      <c r="K5714" s="62" t="s">
        <v>42</v>
      </c>
      <c r="L5714" s="68" t="b">
        <f aca="false">TRUE()</f>
        <v>1</v>
      </c>
    </row>
    <row r="5715" customFormat="false" ht="15" hidden="false" customHeight="false" outlineLevel="0" collapsed="false">
      <c r="A5715" s="62" t="n">
        <v>1</v>
      </c>
      <c r="B5715" s="21" t="s">
        <v>336</v>
      </c>
      <c r="C5715" s="62" t="s">
        <v>60</v>
      </c>
      <c r="D5715" s="62" t="s">
        <v>386</v>
      </c>
      <c r="E5715" s="62" t="s">
        <v>382</v>
      </c>
      <c r="F5715" s="62" t="s">
        <v>382</v>
      </c>
      <c r="G5715" s="63" t="s">
        <v>585</v>
      </c>
      <c r="H5715" s="64" t="n">
        <v>0</v>
      </c>
      <c r="I5715" s="62" t="s">
        <v>878</v>
      </c>
      <c r="J5715" s="64" t="n">
        <v>0</v>
      </c>
      <c r="K5715" s="62" t="s">
        <v>42</v>
      </c>
      <c r="L5715" s="68" t="b">
        <f aca="false">FALSE()</f>
        <v>0</v>
      </c>
    </row>
    <row r="5716" customFormat="false" ht="15" hidden="false" customHeight="false" outlineLevel="0" collapsed="false">
      <c r="A5716" s="62" t="n">
        <v>1</v>
      </c>
      <c r="B5716" s="21" t="s">
        <v>336</v>
      </c>
      <c r="C5716" s="62" t="s">
        <v>60</v>
      </c>
      <c r="D5716" s="62" t="s">
        <v>387</v>
      </c>
      <c r="E5716" s="62" t="s">
        <v>382</v>
      </c>
      <c r="F5716" s="62" t="s">
        <v>382</v>
      </c>
      <c r="G5716" s="63" t="s">
        <v>585</v>
      </c>
      <c r="H5716" s="64" t="n">
        <v>0</v>
      </c>
      <c r="I5716" s="62" t="s">
        <v>878</v>
      </c>
      <c r="J5716" s="64" t="n">
        <v>0</v>
      </c>
      <c r="K5716" s="62" t="s">
        <v>42</v>
      </c>
      <c r="L5716" s="68" t="b">
        <f aca="false">FALSE()</f>
        <v>0</v>
      </c>
    </row>
    <row r="5717" customFormat="false" ht="15" hidden="false" customHeight="false" outlineLevel="0" collapsed="false">
      <c r="A5717" s="62" t="n">
        <v>1</v>
      </c>
      <c r="B5717" s="21" t="s">
        <v>336</v>
      </c>
      <c r="C5717" s="62" t="s">
        <v>60</v>
      </c>
      <c r="D5717" s="62" t="s">
        <v>388</v>
      </c>
      <c r="E5717" s="62" t="s">
        <v>382</v>
      </c>
      <c r="F5717" s="62" t="s">
        <v>382</v>
      </c>
      <c r="G5717" s="63" t="s">
        <v>585</v>
      </c>
      <c r="H5717" s="64" t="n">
        <v>0</v>
      </c>
      <c r="I5717" s="62" t="s">
        <v>878</v>
      </c>
      <c r="J5717" s="64" t="n">
        <v>0</v>
      </c>
      <c r="K5717" s="62" t="s">
        <v>42</v>
      </c>
      <c r="L5717" s="68" t="b">
        <f aca="false">TRUE()</f>
        <v>1</v>
      </c>
    </row>
    <row r="5718" customFormat="false" ht="15" hidden="false" customHeight="false" outlineLevel="0" collapsed="false">
      <c r="A5718" s="62" t="n">
        <v>1</v>
      </c>
      <c r="B5718" s="21" t="s">
        <v>336</v>
      </c>
      <c r="C5718" s="62" t="s">
        <v>60</v>
      </c>
      <c r="D5718" s="62" t="s">
        <v>381</v>
      </c>
      <c r="E5718" s="62" t="s">
        <v>382</v>
      </c>
      <c r="F5718" s="62" t="s">
        <v>382</v>
      </c>
      <c r="G5718" s="63" t="s">
        <v>586</v>
      </c>
      <c r="H5718" s="64" t="n">
        <v>0</v>
      </c>
      <c r="I5718" s="62" t="s">
        <v>878</v>
      </c>
      <c r="J5718" s="64" t="n">
        <v>0</v>
      </c>
      <c r="K5718" s="62" t="s">
        <v>42</v>
      </c>
      <c r="L5718" s="68" t="b">
        <f aca="false">FALSE()</f>
        <v>0</v>
      </c>
    </row>
    <row r="5719" customFormat="false" ht="15" hidden="false" customHeight="false" outlineLevel="0" collapsed="false">
      <c r="A5719" s="62" t="n">
        <v>1</v>
      </c>
      <c r="B5719" s="21" t="s">
        <v>336</v>
      </c>
      <c r="C5719" s="62" t="s">
        <v>60</v>
      </c>
      <c r="D5719" s="62" t="s">
        <v>383</v>
      </c>
      <c r="E5719" s="62" t="s">
        <v>382</v>
      </c>
      <c r="F5719" s="62" t="s">
        <v>382</v>
      </c>
      <c r="G5719" s="63" t="s">
        <v>586</v>
      </c>
      <c r="H5719" s="64" t="n">
        <v>0</v>
      </c>
      <c r="I5719" s="62" t="s">
        <v>878</v>
      </c>
      <c r="J5719" s="64" t="n">
        <v>0</v>
      </c>
      <c r="K5719" s="62" t="s">
        <v>42</v>
      </c>
      <c r="L5719" s="68" t="b">
        <f aca="false">FALSE()</f>
        <v>0</v>
      </c>
    </row>
    <row r="5720" customFormat="false" ht="15" hidden="false" customHeight="false" outlineLevel="0" collapsed="false">
      <c r="A5720" s="62" t="n">
        <v>1</v>
      </c>
      <c r="B5720" s="21" t="s">
        <v>336</v>
      </c>
      <c r="C5720" s="62" t="s">
        <v>60</v>
      </c>
      <c r="D5720" s="62" t="s">
        <v>384</v>
      </c>
      <c r="E5720" s="62" t="s">
        <v>382</v>
      </c>
      <c r="F5720" s="62" t="s">
        <v>382</v>
      </c>
      <c r="G5720" s="63" t="s">
        <v>586</v>
      </c>
      <c r="H5720" s="64" t="n">
        <v>0</v>
      </c>
      <c r="I5720" s="62" t="s">
        <v>878</v>
      </c>
      <c r="J5720" s="64" t="n">
        <v>0</v>
      </c>
      <c r="K5720" s="62" t="s">
        <v>42</v>
      </c>
      <c r="L5720" s="68" t="b">
        <f aca="false">FALSE()</f>
        <v>0</v>
      </c>
    </row>
    <row r="5721" customFormat="false" ht="15" hidden="false" customHeight="false" outlineLevel="0" collapsed="false">
      <c r="A5721" s="62" t="n">
        <v>1</v>
      </c>
      <c r="B5721" s="21" t="s">
        <v>336</v>
      </c>
      <c r="C5721" s="62" t="s">
        <v>60</v>
      </c>
      <c r="D5721" s="62" t="s">
        <v>385</v>
      </c>
      <c r="E5721" s="62" t="s">
        <v>382</v>
      </c>
      <c r="F5721" s="62" t="s">
        <v>382</v>
      </c>
      <c r="G5721" s="63" t="s">
        <v>586</v>
      </c>
      <c r="H5721" s="64" t="n">
        <v>0</v>
      </c>
      <c r="I5721" s="62" t="s">
        <v>878</v>
      </c>
      <c r="J5721" s="64" t="n">
        <v>0</v>
      </c>
      <c r="K5721" s="62" t="s">
        <v>42</v>
      </c>
      <c r="L5721" s="68" t="b">
        <f aca="false">TRUE()</f>
        <v>1</v>
      </c>
    </row>
    <row r="5722" customFormat="false" ht="15" hidden="false" customHeight="false" outlineLevel="0" collapsed="false">
      <c r="A5722" s="62" t="n">
        <v>1</v>
      </c>
      <c r="B5722" s="21" t="s">
        <v>336</v>
      </c>
      <c r="C5722" s="62" t="s">
        <v>60</v>
      </c>
      <c r="D5722" s="62" t="s">
        <v>386</v>
      </c>
      <c r="E5722" s="62" t="s">
        <v>382</v>
      </c>
      <c r="F5722" s="62" t="s">
        <v>382</v>
      </c>
      <c r="G5722" s="63" t="s">
        <v>586</v>
      </c>
      <c r="H5722" s="64" t="n">
        <v>0</v>
      </c>
      <c r="I5722" s="62" t="s">
        <v>878</v>
      </c>
      <c r="J5722" s="64" t="n">
        <v>0</v>
      </c>
      <c r="K5722" s="62" t="s">
        <v>42</v>
      </c>
      <c r="L5722" s="68" t="b">
        <f aca="false">FALSE()</f>
        <v>0</v>
      </c>
    </row>
    <row r="5723" customFormat="false" ht="15" hidden="false" customHeight="false" outlineLevel="0" collapsed="false">
      <c r="A5723" s="62" t="n">
        <v>1</v>
      </c>
      <c r="B5723" s="21" t="s">
        <v>336</v>
      </c>
      <c r="C5723" s="62" t="s">
        <v>60</v>
      </c>
      <c r="D5723" s="62" t="s">
        <v>387</v>
      </c>
      <c r="E5723" s="62" t="s">
        <v>382</v>
      </c>
      <c r="F5723" s="62" t="s">
        <v>382</v>
      </c>
      <c r="G5723" s="63" t="s">
        <v>586</v>
      </c>
      <c r="H5723" s="64" t="n">
        <v>0</v>
      </c>
      <c r="I5723" s="62" t="s">
        <v>878</v>
      </c>
      <c r="J5723" s="64" t="n">
        <v>0</v>
      </c>
      <c r="K5723" s="62" t="s">
        <v>42</v>
      </c>
      <c r="L5723" s="68" t="b">
        <f aca="false">FALSE()</f>
        <v>0</v>
      </c>
    </row>
    <row r="5724" customFormat="false" ht="15" hidden="false" customHeight="false" outlineLevel="0" collapsed="false">
      <c r="A5724" s="62" t="n">
        <v>1</v>
      </c>
      <c r="B5724" s="21" t="s">
        <v>336</v>
      </c>
      <c r="C5724" s="62" t="s">
        <v>60</v>
      </c>
      <c r="D5724" s="62" t="s">
        <v>388</v>
      </c>
      <c r="E5724" s="62" t="s">
        <v>382</v>
      </c>
      <c r="F5724" s="62" t="s">
        <v>382</v>
      </c>
      <c r="G5724" s="63" t="s">
        <v>586</v>
      </c>
      <c r="H5724" s="64" t="n">
        <v>0</v>
      </c>
      <c r="I5724" s="62" t="s">
        <v>878</v>
      </c>
      <c r="J5724" s="64" t="n">
        <v>0</v>
      </c>
      <c r="K5724" s="62" t="s">
        <v>42</v>
      </c>
      <c r="L5724" s="68" t="b">
        <f aca="false">TRUE()</f>
        <v>1</v>
      </c>
    </row>
    <row r="5725" customFormat="false" ht="15" hidden="false" customHeight="false" outlineLevel="0" collapsed="false">
      <c r="A5725" s="62" t="n">
        <v>1</v>
      </c>
      <c r="B5725" s="21" t="s">
        <v>336</v>
      </c>
      <c r="C5725" s="62" t="s">
        <v>60</v>
      </c>
      <c r="D5725" s="62" t="s">
        <v>381</v>
      </c>
      <c r="E5725" s="62" t="s">
        <v>382</v>
      </c>
      <c r="F5725" s="62" t="s">
        <v>382</v>
      </c>
      <c r="G5725" s="63" t="s">
        <v>587</v>
      </c>
      <c r="H5725" s="64" t="n">
        <v>8.16</v>
      </c>
      <c r="I5725" s="62" t="s">
        <v>878</v>
      </c>
      <c r="J5725" s="64" t="n">
        <v>816</v>
      </c>
      <c r="K5725" s="62" t="s">
        <v>42</v>
      </c>
      <c r="L5725" s="68" t="b">
        <f aca="false">FALSE()</f>
        <v>0</v>
      </c>
    </row>
    <row r="5726" customFormat="false" ht="15" hidden="false" customHeight="false" outlineLevel="0" collapsed="false">
      <c r="A5726" s="62" t="n">
        <v>1</v>
      </c>
      <c r="B5726" s="21" t="s">
        <v>336</v>
      </c>
      <c r="C5726" s="62" t="s">
        <v>60</v>
      </c>
      <c r="D5726" s="62" t="s">
        <v>383</v>
      </c>
      <c r="E5726" s="62" t="s">
        <v>382</v>
      </c>
      <c r="F5726" s="62" t="s">
        <v>382</v>
      </c>
      <c r="G5726" s="63" t="s">
        <v>587</v>
      </c>
      <c r="H5726" s="64" t="n">
        <v>9.758</v>
      </c>
      <c r="I5726" s="62" t="s">
        <v>878</v>
      </c>
      <c r="J5726" s="64" t="n">
        <v>975.8</v>
      </c>
      <c r="K5726" s="62" t="s">
        <v>42</v>
      </c>
      <c r="L5726" s="68" t="b">
        <f aca="false">FALSE()</f>
        <v>0</v>
      </c>
    </row>
    <row r="5727" customFormat="false" ht="15" hidden="false" customHeight="false" outlineLevel="0" collapsed="false">
      <c r="A5727" s="62" t="n">
        <v>1</v>
      </c>
      <c r="B5727" s="21" t="s">
        <v>336</v>
      </c>
      <c r="C5727" s="62" t="s">
        <v>60</v>
      </c>
      <c r="D5727" s="62" t="s">
        <v>384</v>
      </c>
      <c r="E5727" s="62" t="s">
        <v>382</v>
      </c>
      <c r="F5727" s="62" t="s">
        <v>382</v>
      </c>
      <c r="G5727" s="63" t="s">
        <v>587</v>
      </c>
      <c r="H5727" s="64" t="n">
        <v>10.08</v>
      </c>
      <c r="I5727" s="62" t="s">
        <v>878</v>
      </c>
      <c r="J5727" s="64" t="n">
        <v>1008</v>
      </c>
      <c r="K5727" s="62" t="s">
        <v>42</v>
      </c>
      <c r="L5727" s="68" t="b">
        <f aca="false">FALSE()</f>
        <v>0</v>
      </c>
    </row>
    <row r="5728" customFormat="false" ht="15" hidden="false" customHeight="false" outlineLevel="0" collapsed="false">
      <c r="A5728" s="62" t="n">
        <v>1</v>
      </c>
      <c r="B5728" s="21" t="s">
        <v>336</v>
      </c>
      <c r="C5728" s="62" t="s">
        <v>60</v>
      </c>
      <c r="D5728" s="62" t="s">
        <v>385</v>
      </c>
      <c r="E5728" s="62" t="s">
        <v>382</v>
      </c>
      <c r="F5728" s="62" t="s">
        <v>382</v>
      </c>
      <c r="G5728" s="63" t="s">
        <v>587</v>
      </c>
      <c r="H5728" s="64" t="n">
        <v>12.2598</v>
      </c>
      <c r="I5728" s="62" t="s">
        <v>878</v>
      </c>
      <c r="J5728" s="64" t="n">
        <v>1225.98</v>
      </c>
      <c r="K5728" s="62" t="s">
        <v>42</v>
      </c>
      <c r="L5728" s="68" t="b">
        <f aca="false">FALSE()</f>
        <v>0</v>
      </c>
    </row>
    <row r="5729" customFormat="false" ht="15" hidden="false" customHeight="false" outlineLevel="0" collapsed="false">
      <c r="A5729" s="62" t="n">
        <v>1</v>
      </c>
      <c r="B5729" s="21" t="s">
        <v>336</v>
      </c>
      <c r="C5729" s="62" t="s">
        <v>60</v>
      </c>
      <c r="D5729" s="62" t="s">
        <v>386</v>
      </c>
      <c r="E5729" s="62" t="s">
        <v>382</v>
      </c>
      <c r="F5729" s="62" t="s">
        <v>382</v>
      </c>
      <c r="G5729" s="63" t="s">
        <v>587</v>
      </c>
      <c r="H5729" s="64" t="n">
        <v>7.8715</v>
      </c>
      <c r="I5729" s="62" t="s">
        <v>878</v>
      </c>
      <c r="J5729" s="64" t="n">
        <v>787.15</v>
      </c>
      <c r="K5729" s="62" t="s">
        <v>42</v>
      </c>
      <c r="L5729" s="68" t="b">
        <f aca="false">FALSE()</f>
        <v>0</v>
      </c>
    </row>
    <row r="5730" customFormat="false" ht="15" hidden="false" customHeight="false" outlineLevel="0" collapsed="false">
      <c r="A5730" s="62" t="n">
        <v>1</v>
      </c>
      <c r="B5730" s="21" t="s">
        <v>336</v>
      </c>
      <c r="C5730" s="62" t="s">
        <v>60</v>
      </c>
      <c r="D5730" s="62" t="s">
        <v>387</v>
      </c>
      <c r="E5730" s="62" t="s">
        <v>382</v>
      </c>
      <c r="F5730" s="62" t="s">
        <v>382</v>
      </c>
      <c r="G5730" s="63" t="s">
        <v>587</v>
      </c>
      <c r="H5730" s="64" t="n">
        <v>7.2072</v>
      </c>
      <c r="I5730" s="62" t="s">
        <v>878</v>
      </c>
      <c r="J5730" s="64" t="n">
        <v>720.72</v>
      </c>
      <c r="K5730" s="62" t="s">
        <v>42</v>
      </c>
      <c r="L5730" s="68" t="b">
        <f aca="false">FALSE()</f>
        <v>0</v>
      </c>
    </row>
    <row r="5731" customFormat="false" ht="15" hidden="false" customHeight="false" outlineLevel="0" collapsed="false">
      <c r="A5731" s="62" t="n">
        <v>1</v>
      </c>
      <c r="B5731" s="21" t="s">
        <v>336</v>
      </c>
      <c r="C5731" s="62" t="s">
        <v>60</v>
      </c>
      <c r="D5731" s="62" t="s">
        <v>388</v>
      </c>
      <c r="E5731" s="62" t="s">
        <v>382</v>
      </c>
      <c r="F5731" s="62" t="s">
        <v>382</v>
      </c>
      <c r="G5731" s="63" t="s">
        <v>587</v>
      </c>
      <c r="H5731" s="64" t="n">
        <v>7.168</v>
      </c>
      <c r="I5731" s="62" t="s">
        <v>878</v>
      </c>
      <c r="J5731" s="64" t="n">
        <v>716.8</v>
      </c>
      <c r="K5731" s="62" t="s">
        <v>42</v>
      </c>
      <c r="L5731" s="68" t="b">
        <f aca="false">FALSE()</f>
        <v>0</v>
      </c>
    </row>
    <row r="5732" customFormat="false" ht="15" hidden="false" customHeight="false" outlineLevel="0" collapsed="false">
      <c r="A5732" s="62" t="n">
        <v>1</v>
      </c>
      <c r="B5732" s="21" t="s">
        <v>336</v>
      </c>
      <c r="C5732" s="62" t="s">
        <v>60</v>
      </c>
      <c r="D5732" s="62" t="s">
        <v>381</v>
      </c>
      <c r="E5732" s="62" t="s">
        <v>382</v>
      </c>
      <c r="F5732" s="62" t="s">
        <v>382</v>
      </c>
      <c r="G5732" s="63" t="s">
        <v>588</v>
      </c>
      <c r="H5732" s="64" t="n">
        <v>-6.67398</v>
      </c>
      <c r="I5732" s="62" t="s">
        <v>878</v>
      </c>
      <c r="J5732" s="64" t="n">
        <v>-667.398</v>
      </c>
      <c r="K5732" s="62" t="s">
        <v>42</v>
      </c>
      <c r="L5732" s="68" t="b">
        <f aca="false">FALSE()</f>
        <v>0</v>
      </c>
    </row>
    <row r="5733" customFormat="false" ht="15" hidden="false" customHeight="false" outlineLevel="0" collapsed="false">
      <c r="A5733" s="62" t="n">
        <v>1</v>
      </c>
      <c r="B5733" s="21" t="s">
        <v>336</v>
      </c>
      <c r="C5733" s="62" t="s">
        <v>60</v>
      </c>
      <c r="D5733" s="62" t="s">
        <v>383</v>
      </c>
      <c r="E5733" s="62" t="s">
        <v>382</v>
      </c>
      <c r="F5733" s="62" t="s">
        <v>382</v>
      </c>
      <c r="G5733" s="63" t="s">
        <v>588</v>
      </c>
      <c r="H5733" s="64" t="n">
        <v>-5.19932</v>
      </c>
      <c r="I5733" s="62" t="s">
        <v>878</v>
      </c>
      <c r="J5733" s="64" t="n">
        <v>-519.932</v>
      </c>
      <c r="K5733" s="62" t="s">
        <v>42</v>
      </c>
      <c r="L5733" s="68" t="b">
        <f aca="false">FALSE()</f>
        <v>0</v>
      </c>
    </row>
    <row r="5734" customFormat="false" ht="15" hidden="false" customHeight="false" outlineLevel="0" collapsed="false">
      <c r="A5734" s="62" t="n">
        <v>1</v>
      </c>
      <c r="B5734" s="21" t="s">
        <v>336</v>
      </c>
      <c r="C5734" s="62" t="s">
        <v>60</v>
      </c>
      <c r="D5734" s="62" t="s">
        <v>384</v>
      </c>
      <c r="E5734" s="62" t="s">
        <v>382</v>
      </c>
      <c r="F5734" s="62" t="s">
        <v>382</v>
      </c>
      <c r="G5734" s="63" t="s">
        <v>588</v>
      </c>
      <c r="H5734" s="64" t="n">
        <v>-5.60885</v>
      </c>
      <c r="I5734" s="62" t="s">
        <v>878</v>
      </c>
      <c r="J5734" s="64" t="n">
        <v>-560.885</v>
      </c>
      <c r="K5734" s="62" t="s">
        <v>42</v>
      </c>
      <c r="L5734" s="68" t="b">
        <f aca="false">TRUE()</f>
        <v>1</v>
      </c>
    </row>
    <row r="5735" customFormat="false" ht="15" hidden="false" customHeight="false" outlineLevel="0" collapsed="false">
      <c r="A5735" s="62" t="n">
        <v>1</v>
      </c>
      <c r="B5735" s="21" t="s">
        <v>336</v>
      </c>
      <c r="C5735" s="62" t="s">
        <v>60</v>
      </c>
      <c r="D5735" s="62" t="s">
        <v>385</v>
      </c>
      <c r="E5735" s="62" t="s">
        <v>382</v>
      </c>
      <c r="F5735" s="62" t="s">
        <v>382</v>
      </c>
      <c r="G5735" s="63" t="s">
        <v>588</v>
      </c>
      <c r="H5735" s="64" t="n">
        <v>-5.74361</v>
      </c>
      <c r="I5735" s="62" t="s">
        <v>878</v>
      </c>
      <c r="J5735" s="64" t="n">
        <v>-574.361</v>
      </c>
      <c r="K5735" s="62" t="s">
        <v>42</v>
      </c>
      <c r="L5735" s="68" t="b">
        <f aca="false">TRUE()</f>
        <v>1</v>
      </c>
    </row>
    <row r="5736" customFormat="false" ht="15" hidden="false" customHeight="false" outlineLevel="0" collapsed="false">
      <c r="A5736" s="62" t="n">
        <v>1</v>
      </c>
      <c r="B5736" s="21" t="s">
        <v>336</v>
      </c>
      <c r="C5736" s="62" t="s">
        <v>60</v>
      </c>
      <c r="D5736" s="62" t="s">
        <v>386</v>
      </c>
      <c r="E5736" s="62" t="s">
        <v>382</v>
      </c>
      <c r="F5736" s="62" t="s">
        <v>382</v>
      </c>
      <c r="G5736" s="63" t="s">
        <v>588</v>
      </c>
      <c r="H5736" s="64" t="n">
        <v>-7.8715</v>
      </c>
      <c r="I5736" s="62" t="s">
        <v>878</v>
      </c>
      <c r="J5736" s="64" t="n">
        <v>-787.15</v>
      </c>
      <c r="K5736" s="62" t="s">
        <v>42</v>
      </c>
      <c r="L5736" s="68" t="b">
        <f aca="false">TRUE()</f>
        <v>1</v>
      </c>
    </row>
    <row r="5737" customFormat="false" ht="15" hidden="false" customHeight="false" outlineLevel="0" collapsed="false">
      <c r="A5737" s="62" t="n">
        <v>1</v>
      </c>
      <c r="B5737" s="21" t="s">
        <v>336</v>
      </c>
      <c r="C5737" s="62" t="s">
        <v>60</v>
      </c>
      <c r="D5737" s="62" t="s">
        <v>387</v>
      </c>
      <c r="E5737" s="62" t="s">
        <v>382</v>
      </c>
      <c r="F5737" s="62" t="s">
        <v>382</v>
      </c>
      <c r="G5737" s="63" t="s">
        <v>588</v>
      </c>
      <c r="H5737" s="64" t="n">
        <v>-3.20324</v>
      </c>
      <c r="I5737" s="62" t="s">
        <v>878</v>
      </c>
      <c r="J5737" s="64" t="n">
        <v>-320.324</v>
      </c>
      <c r="K5737" s="62" t="s">
        <v>42</v>
      </c>
      <c r="L5737" s="68" t="b">
        <f aca="false">FALSE()</f>
        <v>0</v>
      </c>
    </row>
    <row r="5738" customFormat="false" ht="15" hidden="false" customHeight="false" outlineLevel="0" collapsed="false">
      <c r="A5738" s="62" t="n">
        <v>1</v>
      </c>
      <c r="B5738" s="21" t="s">
        <v>336</v>
      </c>
      <c r="C5738" s="62" t="s">
        <v>60</v>
      </c>
      <c r="D5738" s="62" t="s">
        <v>388</v>
      </c>
      <c r="E5738" s="62" t="s">
        <v>382</v>
      </c>
      <c r="F5738" s="62" t="s">
        <v>382</v>
      </c>
      <c r="G5738" s="63" t="s">
        <v>588</v>
      </c>
      <c r="H5738" s="64" t="n">
        <v>-7.168</v>
      </c>
      <c r="I5738" s="62" t="s">
        <v>878</v>
      </c>
      <c r="J5738" s="64" t="n">
        <v>-716.8</v>
      </c>
      <c r="K5738" s="62" t="s">
        <v>42</v>
      </c>
      <c r="L5738" s="68" t="b">
        <f aca="false">FALSE()</f>
        <v>0</v>
      </c>
    </row>
    <row r="5739" customFormat="false" ht="15" hidden="false" customHeight="false" outlineLevel="0" collapsed="false">
      <c r="A5739" s="62" t="n">
        <v>1</v>
      </c>
      <c r="B5739" s="21" t="s">
        <v>336</v>
      </c>
      <c r="C5739" s="62" t="s">
        <v>60</v>
      </c>
      <c r="D5739" s="62" t="s">
        <v>381</v>
      </c>
      <c r="E5739" s="62" t="s">
        <v>382</v>
      </c>
      <c r="F5739" s="62" t="s">
        <v>382</v>
      </c>
      <c r="G5739" s="63" t="s">
        <v>589</v>
      </c>
      <c r="H5739" s="64" t="n">
        <v>0</v>
      </c>
      <c r="I5739" s="62" t="s">
        <v>878</v>
      </c>
      <c r="J5739" s="64" t="n">
        <v>0</v>
      </c>
      <c r="K5739" s="62" t="s">
        <v>42</v>
      </c>
      <c r="L5739" s="68" t="b">
        <f aca="false">TRUE()</f>
        <v>1</v>
      </c>
    </row>
    <row r="5740" customFormat="false" ht="15" hidden="false" customHeight="false" outlineLevel="0" collapsed="false">
      <c r="A5740" s="62" t="n">
        <v>1</v>
      </c>
      <c r="B5740" s="21" t="s">
        <v>336</v>
      </c>
      <c r="C5740" s="62" t="s">
        <v>60</v>
      </c>
      <c r="D5740" s="62" t="s">
        <v>383</v>
      </c>
      <c r="E5740" s="62" t="s">
        <v>382</v>
      </c>
      <c r="F5740" s="62" t="s">
        <v>382</v>
      </c>
      <c r="G5740" s="63" t="s">
        <v>589</v>
      </c>
      <c r="H5740" s="64" t="n">
        <v>0</v>
      </c>
      <c r="I5740" s="62" t="s">
        <v>878</v>
      </c>
      <c r="J5740" s="64" t="n">
        <v>0</v>
      </c>
      <c r="K5740" s="62" t="s">
        <v>42</v>
      </c>
      <c r="L5740" s="68" t="b">
        <f aca="false">TRUE()</f>
        <v>1</v>
      </c>
    </row>
    <row r="5741" customFormat="false" ht="15" hidden="false" customHeight="false" outlineLevel="0" collapsed="false">
      <c r="A5741" s="62" t="n">
        <v>1</v>
      </c>
      <c r="B5741" s="21" t="s">
        <v>336</v>
      </c>
      <c r="C5741" s="62" t="s">
        <v>60</v>
      </c>
      <c r="D5741" s="62" t="s">
        <v>384</v>
      </c>
      <c r="E5741" s="62" t="s">
        <v>382</v>
      </c>
      <c r="F5741" s="62" t="s">
        <v>382</v>
      </c>
      <c r="G5741" s="63" t="s">
        <v>589</v>
      </c>
      <c r="H5741" s="64" t="n">
        <v>0</v>
      </c>
      <c r="I5741" s="62" t="s">
        <v>878</v>
      </c>
      <c r="J5741" s="64" t="n">
        <v>0</v>
      </c>
      <c r="K5741" s="62" t="s">
        <v>42</v>
      </c>
      <c r="L5741" s="68" t="b">
        <f aca="false">TRUE()</f>
        <v>1</v>
      </c>
    </row>
    <row r="5742" customFormat="false" ht="15" hidden="false" customHeight="false" outlineLevel="0" collapsed="false">
      <c r="A5742" s="62" t="n">
        <v>1</v>
      </c>
      <c r="B5742" s="21" t="s">
        <v>336</v>
      </c>
      <c r="C5742" s="62" t="s">
        <v>60</v>
      </c>
      <c r="D5742" s="62" t="s">
        <v>385</v>
      </c>
      <c r="E5742" s="62" t="s">
        <v>382</v>
      </c>
      <c r="F5742" s="62" t="s">
        <v>382</v>
      </c>
      <c r="G5742" s="63" t="s">
        <v>589</v>
      </c>
      <c r="H5742" s="64" t="n">
        <v>0</v>
      </c>
      <c r="I5742" s="62" t="s">
        <v>878</v>
      </c>
      <c r="J5742" s="64" t="n">
        <v>0</v>
      </c>
      <c r="K5742" s="62" t="s">
        <v>42</v>
      </c>
      <c r="L5742" s="68" t="b">
        <f aca="false">TRUE()</f>
        <v>1</v>
      </c>
    </row>
    <row r="5743" customFormat="false" ht="15" hidden="false" customHeight="false" outlineLevel="0" collapsed="false">
      <c r="A5743" s="62" t="n">
        <v>1</v>
      </c>
      <c r="B5743" s="21" t="s">
        <v>336</v>
      </c>
      <c r="C5743" s="62" t="s">
        <v>60</v>
      </c>
      <c r="D5743" s="62" t="s">
        <v>386</v>
      </c>
      <c r="E5743" s="62" t="s">
        <v>382</v>
      </c>
      <c r="F5743" s="62" t="s">
        <v>382</v>
      </c>
      <c r="G5743" s="63" t="s">
        <v>589</v>
      </c>
      <c r="H5743" s="64" t="n">
        <v>0</v>
      </c>
      <c r="I5743" s="62" t="s">
        <v>878</v>
      </c>
      <c r="J5743" s="64" t="n">
        <v>0</v>
      </c>
      <c r="K5743" s="62" t="s">
        <v>42</v>
      </c>
      <c r="L5743" s="68" t="b">
        <f aca="false">TRUE()</f>
        <v>1</v>
      </c>
    </row>
    <row r="5744" customFormat="false" ht="15" hidden="false" customHeight="false" outlineLevel="0" collapsed="false">
      <c r="A5744" s="62" t="n">
        <v>1</v>
      </c>
      <c r="B5744" s="21" t="s">
        <v>336</v>
      </c>
      <c r="C5744" s="62" t="s">
        <v>60</v>
      </c>
      <c r="D5744" s="62" t="s">
        <v>387</v>
      </c>
      <c r="E5744" s="62" t="s">
        <v>382</v>
      </c>
      <c r="F5744" s="62" t="s">
        <v>382</v>
      </c>
      <c r="G5744" s="63" t="s">
        <v>589</v>
      </c>
      <c r="H5744" s="64" t="n">
        <v>0</v>
      </c>
      <c r="I5744" s="62" t="s">
        <v>878</v>
      </c>
      <c r="J5744" s="64" t="n">
        <v>0</v>
      </c>
      <c r="K5744" s="62" t="s">
        <v>42</v>
      </c>
      <c r="L5744" s="68" t="b">
        <f aca="false">TRUE()</f>
        <v>1</v>
      </c>
    </row>
    <row r="5745" customFormat="false" ht="15" hidden="false" customHeight="false" outlineLevel="0" collapsed="false">
      <c r="A5745" s="62" t="n">
        <v>1</v>
      </c>
      <c r="B5745" s="21" t="s">
        <v>336</v>
      </c>
      <c r="C5745" s="62" t="s">
        <v>60</v>
      </c>
      <c r="D5745" s="62" t="s">
        <v>388</v>
      </c>
      <c r="E5745" s="62" t="s">
        <v>382</v>
      </c>
      <c r="F5745" s="62" t="s">
        <v>382</v>
      </c>
      <c r="G5745" s="63" t="s">
        <v>589</v>
      </c>
      <c r="H5745" s="64" t="n">
        <v>0</v>
      </c>
      <c r="I5745" s="62" t="s">
        <v>878</v>
      </c>
      <c r="J5745" s="64" t="n">
        <v>0</v>
      </c>
      <c r="K5745" s="62" t="s">
        <v>42</v>
      </c>
      <c r="L5745" s="68" t="b">
        <f aca="false">TRUE()</f>
        <v>1</v>
      </c>
    </row>
    <row r="5746" customFormat="false" ht="15" hidden="false" customHeight="false" outlineLevel="0" collapsed="false">
      <c r="A5746" s="62" t="n">
        <v>1</v>
      </c>
      <c r="B5746" s="21" t="s">
        <v>336</v>
      </c>
      <c r="C5746" s="62" t="s">
        <v>60</v>
      </c>
      <c r="D5746" s="62" t="s">
        <v>381</v>
      </c>
      <c r="E5746" s="62" t="s">
        <v>382</v>
      </c>
      <c r="F5746" s="62" t="s">
        <v>382</v>
      </c>
      <c r="G5746" s="63" t="s">
        <v>590</v>
      </c>
      <c r="H5746" s="64" t="n">
        <v>-1.48602</v>
      </c>
      <c r="I5746" s="62" t="s">
        <v>878</v>
      </c>
      <c r="J5746" s="64" t="n">
        <v>-148.602</v>
      </c>
      <c r="K5746" s="62" t="s">
        <v>42</v>
      </c>
      <c r="L5746" s="68" t="b">
        <f aca="false">FALSE()</f>
        <v>0</v>
      </c>
    </row>
    <row r="5747" customFormat="false" ht="15" hidden="false" customHeight="false" outlineLevel="0" collapsed="false">
      <c r="A5747" s="62" t="n">
        <v>1</v>
      </c>
      <c r="B5747" s="21" t="s">
        <v>336</v>
      </c>
      <c r="C5747" s="62" t="s">
        <v>60</v>
      </c>
      <c r="D5747" s="62" t="s">
        <v>383</v>
      </c>
      <c r="E5747" s="62" t="s">
        <v>382</v>
      </c>
      <c r="F5747" s="62" t="s">
        <v>382</v>
      </c>
      <c r="G5747" s="63" t="s">
        <v>590</v>
      </c>
      <c r="H5747" s="64" t="n">
        <v>-4.55868</v>
      </c>
      <c r="I5747" s="62" t="s">
        <v>878</v>
      </c>
      <c r="J5747" s="64" t="n">
        <v>-455.868</v>
      </c>
      <c r="K5747" s="62" t="s">
        <v>42</v>
      </c>
      <c r="L5747" s="68" t="b">
        <f aca="false">FALSE()</f>
        <v>0</v>
      </c>
    </row>
    <row r="5748" customFormat="false" ht="15" hidden="false" customHeight="false" outlineLevel="0" collapsed="false">
      <c r="A5748" s="62" t="n">
        <v>1</v>
      </c>
      <c r="B5748" s="21" t="s">
        <v>336</v>
      </c>
      <c r="C5748" s="62" t="s">
        <v>60</v>
      </c>
      <c r="D5748" s="62" t="s">
        <v>384</v>
      </c>
      <c r="E5748" s="62" t="s">
        <v>382</v>
      </c>
      <c r="F5748" s="62" t="s">
        <v>382</v>
      </c>
      <c r="G5748" s="63" t="s">
        <v>590</v>
      </c>
      <c r="H5748" s="64" t="n">
        <v>-4.47115</v>
      </c>
      <c r="I5748" s="62" t="s">
        <v>878</v>
      </c>
      <c r="J5748" s="64" t="n">
        <v>-447.115</v>
      </c>
      <c r="K5748" s="62" t="s">
        <v>42</v>
      </c>
      <c r="L5748" s="68" t="b">
        <f aca="false">FALSE()</f>
        <v>0</v>
      </c>
    </row>
    <row r="5749" customFormat="false" ht="15" hidden="false" customHeight="false" outlineLevel="0" collapsed="false">
      <c r="A5749" s="62" t="n">
        <v>1</v>
      </c>
      <c r="B5749" s="21" t="s">
        <v>336</v>
      </c>
      <c r="C5749" s="62" t="s">
        <v>60</v>
      </c>
      <c r="D5749" s="62" t="s">
        <v>385</v>
      </c>
      <c r="E5749" s="62" t="s">
        <v>382</v>
      </c>
      <c r="F5749" s="62" t="s">
        <v>382</v>
      </c>
      <c r="G5749" s="63" t="s">
        <v>590</v>
      </c>
      <c r="H5749" s="64" t="n">
        <v>-2.8863</v>
      </c>
      <c r="I5749" s="62" t="s">
        <v>878</v>
      </c>
      <c r="J5749" s="64" t="n">
        <v>-288.63</v>
      </c>
      <c r="K5749" s="62" t="s">
        <v>42</v>
      </c>
      <c r="L5749" s="68" t="b">
        <f aca="false">FALSE()</f>
        <v>0</v>
      </c>
    </row>
    <row r="5750" customFormat="false" ht="15" hidden="false" customHeight="false" outlineLevel="0" collapsed="false">
      <c r="A5750" s="62" t="n">
        <v>1</v>
      </c>
      <c r="B5750" s="21" t="s">
        <v>336</v>
      </c>
      <c r="C5750" s="62" t="s">
        <v>60</v>
      </c>
      <c r="D5750" s="62" t="s">
        <v>386</v>
      </c>
      <c r="E5750" s="62" t="s">
        <v>382</v>
      </c>
      <c r="F5750" s="62" t="s">
        <v>382</v>
      </c>
      <c r="G5750" s="63" t="s">
        <v>590</v>
      </c>
      <c r="H5750" s="64" t="n">
        <v>0</v>
      </c>
      <c r="I5750" s="62" t="s">
        <v>878</v>
      </c>
      <c r="J5750" s="64" t="n">
        <v>0</v>
      </c>
      <c r="K5750" s="62" t="s">
        <v>42</v>
      </c>
      <c r="L5750" s="68" t="b">
        <f aca="false">FALSE()</f>
        <v>0</v>
      </c>
    </row>
    <row r="5751" customFormat="false" ht="15" hidden="false" customHeight="false" outlineLevel="0" collapsed="false">
      <c r="A5751" s="62" t="n">
        <v>1</v>
      </c>
      <c r="B5751" s="21" t="s">
        <v>336</v>
      </c>
      <c r="C5751" s="62" t="s">
        <v>60</v>
      </c>
      <c r="D5751" s="62" t="s">
        <v>387</v>
      </c>
      <c r="E5751" s="62" t="s">
        <v>382</v>
      </c>
      <c r="F5751" s="62" t="s">
        <v>382</v>
      </c>
      <c r="G5751" s="63" t="s">
        <v>590</v>
      </c>
      <c r="H5751" s="64" t="n">
        <v>-4.00396</v>
      </c>
      <c r="I5751" s="62" t="s">
        <v>878</v>
      </c>
      <c r="J5751" s="64" t="n">
        <v>-400.396</v>
      </c>
      <c r="K5751" s="62" t="s">
        <v>42</v>
      </c>
      <c r="L5751" s="68" t="b">
        <f aca="false">FALSE()</f>
        <v>0</v>
      </c>
    </row>
    <row r="5752" customFormat="false" ht="15" hidden="false" customHeight="false" outlineLevel="0" collapsed="false">
      <c r="A5752" s="62" t="n">
        <v>1</v>
      </c>
      <c r="B5752" s="21" t="s">
        <v>336</v>
      </c>
      <c r="C5752" s="62" t="s">
        <v>60</v>
      </c>
      <c r="D5752" s="62" t="s">
        <v>388</v>
      </c>
      <c r="E5752" s="62" t="s">
        <v>382</v>
      </c>
      <c r="F5752" s="62" t="s">
        <v>382</v>
      </c>
      <c r="G5752" s="63" t="s">
        <v>590</v>
      </c>
      <c r="H5752" s="64" t="n">
        <v>0</v>
      </c>
      <c r="I5752" s="62" t="s">
        <v>878</v>
      </c>
      <c r="J5752" s="64" t="n">
        <v>0</v>
      </c>
      <c r="K5752" s="62" t="s">
        <v>42</v>
      </c>
      <c r="L5752" s="68" t="b">
        <f aca="false">TRUE()</f>
        <v>1</v>
      </c>
    </row>
    <row r="5753" customFormat="false" ht="15" hidden="false" customHeight="false" outlineLevel="0" collapsed="false">
      <c r="A5753" s="62" t="n">
        <v>1</v>
      </c>
      <c r="B5753" s="21" t="s">
        <v>336</v>
      </c>
      <c r="C5753" s="62" t="s">
        <v>60</v>
      </c>
      <c r="D5753" s="62" t="s">
        <v>381</v>
      </c>
      <c r="E5753" s="62" t="s">
        <v>382</v>
      </c>
      <c r="F5753" s="62" t="s">
        <v>382</v>
      </c>
      <c r="G5753" s="63" t="s">
        <v>591</v>
      </c>
      <c r="H5753" s="64" t="n">
        <v>0</v>
      </c>
      <c r="I5753" s="62" t="s">
        <v>878</v>
      </c>
      <c r="J5753" s="64" t="n">
        <v>0</v>
      </c>
      <c r="K5753" s="62" t="s">
        <v>42</v>
      </c>
      <c r="L5753" s="68" t="b">
        <f aca="false">FALSE()</f>
        <v>0</v>
      </c>
    </row>
    <row r="5754" customFormat="false" ht="15" hidden="false" customHeight="false" outlineLevel="0" collapsed="false">
      <c r="A5754" s="62" t="n">
        <v>1</v>
      </c>
      <c r="B5754" s="21" t="s">
        <v>336</v>
      </c>
      <c r="C5754" s="62" t="s">
        <v>60</v>
      </c>
      <c r="D5754" s="62" t="s">
        <v>383</v>
      </c>
      <c r="E5754" s="62" t="s">
        <v>382</v>
      </c>
      <c r="F5754" s="62" t="s">
        <v>382</v>
      </c>
      <c r="G5754" s="63" t="s">
        <v>591</v>
      </c>
      <c r="H5754" s="64" t="n">
        <v>0</v>
      </c>
      <c r="I5754" s="62" t="s">
        <v>878</v>
      </c>
      <c r="J5754" s="64" t="n">
        <v>0</v>
      </c>
      <c r="K5754" s="62" t="s">
        <v>42</v>
      </c>
      <c r="L5754" s="68" t="b">
        <f aca="false">FALSE()</f>
        <v>0</v>
      </c>
    </row>
    <row r="5755" customFormat="false" ht="15" hidden="false" customHeight="false" outlineLevel="0" collapsed="false">
      <c r="A5755" s="62" t="n">
        <v>1</v>
      </c>
      <c r="B5755" s="21" t="s">
        <v>336</v>
      </c>
      <c r="C5755" s="62" t="s">
        <v>60</v>
      </c>
      <c r="D5755" s="62" t="s">
        <v>384</v>
      </c>
      <c r="E5755" s="62" t="s">
        <v>382</v>
      </c>
      <c r="F5755" s="62" t="s">
        <v>382</v>
      </c>
      <c r="G5755" s="63" t="s">
        <v>591</v>
      </c>
      <c r="H5755" s="64" t="n">
        <v>0</v>
      </c>
      <c r="I5755" s="62" t="s">
        <v>878</v>
      </c>
      <c r="J5755" s="64" t="n">
        <v>0</v>
      </c>
      <c r="K5755" s="62" t="s">
        <v>42</v>
      </c>
      <c r="L5755" s="68" t="b">
        <f aca="false">FALSE()</f>
        <v>0</v>
      </c>
    </row>
    <row r="5756" customFormat="false" ht="15" hidden="false" customHeight="false" outlineLevel="0" collapsed="false">
      <c r="A5756" s="62" t="n">
        <v>1</v>
      </c>
      <c r="B5756" s="21" t="s">
        <v>336</v>
      </c>
      <c r="C5756" s="62" t="s">
        <v>60</v>
      </c>
      <c r="D5756" s="62" t="s">
        <v>385</v>
      </c>
      <c r="E5756" s="62" t="s">
        <v>382</v>
      </c>
      <c r="F5756" s="62" t="s">
        <v>382</v>
      </c>
      <c r="G5756" s="63" t="s">
        <v>591</v>
      </c>
      <c r="H5756" s="64" t="n">
        <v>3.62989</v>
      </c>
      <c r="I5756" s="62" t="s">
        <v>878</v>
      </c>
      <c r="J5756" s="64" t="n">
        <v>362.989</v>
      </c>
      <c r="K5756" s="62" t="s">
        <v>42</v>
      </c>
      <c r="L5756" s="68" t="b">
        <f aca="false">FALSE()</f>
        <v>0</v>
      </c>
    </row>
    <row r="5757" customFormat="false" ht="15" hidden="false" customHeight="false" outlineLevel="0" collapsed="false">
      <c r="A5757" s="62" t="n">
        <v>1</v>
      </c>
      <c r="B5757" s="21" t="s">
        <v>336</v>
      </c>
      <c r="C5757" s="62" t="s">
        <v>60</v>
      </c>
      <c r="D5757" s="62" t="s">
        <v>386</v>
      </c>
      <c r="E5757" s="62" t="s">
        <v>382</v>
      </c>
      <c r="F5757" s="62" t="s">
        <v>382</v>
      </c>
      <c r="G5757" s="63" t="s">
        <v>591</v>
      </c>
      <c r="H5757" s="64" t="n">
        <v>0</v>
      </c>
      <c r="I5757" s="62" t="s">
        <v>878</v>
      </c>
      <c r="J5757" s="64" t="n">
        <v>0</v>
      </c>
      <c r="K5757" s="62" t="s">
        <v>42</v>
      </c>
      <c r="L5757" s="68" t="b">
        <f aca="false">TRUE()</f>
        <v>1</v>
      </c>
    </row>
    <row r="5758" customFormat="false" ht="15" hidden="false" customHeight="false" outlineLevel="0" collapsed="false">
      <c r="A5758" s="62" t="n">
        <v>1</v>
      </c>
      <c r="B5758" s="21" t="s">
        <v>336</v>
      </c>
      <c r="C5758" s="62" t="s">
        <v>60</v>
      </c>
      <c r="D5758" s="62" t="s">
        <v>387</v>
      </c>
      <c r="E5758" s="62" t="s">
        <v>382</v>
      </c>
      <c r="F5758" s="62" t="s">
        <v>382</v>
      </c>
      <c r="G5758" s="63" t="s">
        <v>591</v>
      </c>
      <c r="H5758" s="64" t="n">
        <v>0</v>
      </c>
      <c r="I5758" s="62" t="s">
        <v>878</v>
      </c>
      <c r="J5758" s="64" t="n">
        <v>0</v>
      </c>
      <c r="K5758" s="62" t="s">
        <v>42</v>
      </c>
      <c r="L5758" s="68" t="b">
        <f aca="false">FALSE()</f>
        <v>0</v>
      </c>
    </row>
    <row r="5759" customFormat="false" ht="15" hidden="false" customHeight="false" outlineLevel="0" collapsed="false">
      <c r="A5759" s="62" t="n">
        <v>1</v>
      </c>
      <c r="B5759" s="21" t="s">
        <v>336</v>
      </c>
      <c r="C5759" s="62" t="s">
        <v>60</v>
      </c>
      <c r="D5759" s="62" t="s">
        <v>388</v>
      </c>
      <c r="E5759" s="62" t="s">
        <v>382</v>
      </c>
      <c r="F5759" s="62" t="s">
        <v>382</v>
      </c>
      <c r="G5759" s="63" t="s">
        <v>591</v>
      </c>
      <c r="H5759" s="64" t="n">
        <v>0</v>
      </c>
      <c r="I5759" s="62" t="s">
        <v>878</v>
      </c>
      <c r="J5759" s="64" t="n">
        <v>0</v>
      </c>
      <c r="K5759" s="62" t="s">
        <v>42</v>
      </c>
      <c r="L5759" s="68" t="b">
        <f aca="false">TRUE()</f>
        <v>1</v>
      </c>
    </row>
    <row r="5760" customFormat="false" ht="15" hidden="false" customHeight="false" outlineLevel="0" collapsed="false">
      <c r="A5760" s="62" t="n">
        <v>1</v>
      </c>
      <c r="B5760" s="21" t="s">
        <v>336</v>
      </c>
      <c r="C5760" s="62" t="s">
        <v>60</v>
      </c>
      <c r="D5760" s="62" t="s">
        <v>381</v>
      </c>
      <c r="E5760" s="62" t="s">
        <v>382</v>
      </c>
      <c r="F5760" s="62" t="s">
        <v>382</v>
      </c>
      <c r="G5760" s="63" t="s">
        <v>592</v>
      </c>
      <c r="H5760" s="64" t="n">
        <v>0</v>
      </c>
      <c r="I5760" s="62" t="s">
        <v>878</v>
      </c>
      <c r="J5760" s="64" t="n">
        <v>0</v>
      </c>
      <c r="K5760" s="62" t="s">
        <v>42</v>
      </c>
      <c r="L5760" s="68" t="b">
        <f aca="false">FALSE()</f>
        <v>0</v>
      </c>
    </row>
    <row r="5761" customFormat="false" ht="15" hidden="false" customHeight="false" outlineLevel="0" collapsed="false">
      <c r="A5761" s="62" t="n">
        <v>1</v>
      </c>
      <c r="B5761" s="21" t="s">
        <v>336</v>
      </c>
      <c r="C5761" s="62" t="s">
        <v>60</v>
      </c>
      <c r="D5761" s="62" t="s">
        <v>383</v>
      </c>
      <c r="E5761" s="62" t="s">
        <v>382</v>
      </c>
      <c r="F5761" s="62" t="s">
        <v>382</v>
      </c>
      <c r="G5761" s="63" t="s">
        <v>592</v>
      </c>
      <c r="H5761" s="64" t="n">
        <v>0</v>
      </c>
      <c r="I5761" s="62" t="s">
        <v>878</v>
      </c>
      <c r="J5761" s="64" t="n">
        <v>0</v>
      </c>
      <c r="K5761" s="62" t="s">
        <v>42</v>
      </c>
      <c r="L5761" s="68" t="b">
        <f aca="false">FALSE()</f>
        <v>0</v>
      </c>
    </row>
    <row r="5762" customFormat="false" ht="15" hidden="false" customHeight="false" outlineLevel="0" collapsed="false">
      <c r="A5762" s="62" t="n">
        <v>1</v>
      </c>
      <c r="B5762" s="21" t="s">
        <v>336</v>
      </c>
      <c r="C5762" s="62" t="s">
        <v>60</v>
      </c>
      <c r="D5762" s="62" t="s">
        <v>384</v>
      </c>
      <c r="E5762" s="62" t="s">
        <v>382</v>
      </c>
      <c r="F5762" s="62" t="s">
        <v>382</v>
      </c>
      <c r="G5762" s="63" t="s">
        <v>592</v>
      </c>
      <c r="H5762" s="64" t="n">
        <v>0</v>
      </c>
      <c r="I5762" s="62" t="s">
        <v>878</v>
      </c>
      <c r="J5762" s="64" t="n">
        <v>0</v>
      </c>
      <c r="K5762" s="62" t="s">
        <v>42</v>
      </c>
      <c r="L5762" s="68" t="b">
        <f aca="false">TRUE()</f>
        <v>1</v>
      </c>
    </row>
    <row r="5763" customFormat="false" ht="15" hidden="false" customHeight="false" outlineLevel="0" collapsed="false">
      <c r="A5763" s="62" t="n">
        <v>1</v>
      </c>
      <c r="B5763" s="21" t="s">
        <v>336</v>
      </c>
      <c r="C5763" s="62" t="s">
        <v>60</v>
      </c>
      <c r="D5763" s="62" t="s">
        <v>385</v>
      </c>
      <c r="E5763" s="62" t="s">
        <v>382</v>
      </c>
      <c r="F5763" s="62" t="s">
        <v>382</v>
      </c>
      <c r="G5763" s="63" t="s">
        <v>592</v>
      </c>
      <c r="H5763" s="64" t="n">
        <v>0</v>
      </c>
      <c r="I5763" s="62" t="s">
        <v>878</v>
      </c>
      <c r="J5763" s="64" t="n">
        <v>0</v>
      </c>
      <c r="K5763" s="62" t="s">
        <v>42</v>
      </c>
      <c r="L5763" s="68" t="b">
        <f aca="false">TRUE()</f>
        <v>1</v>
      </c>
    </row>
    <row r="5764" customFormat="false" ht="15" hidden="false" customHeight="false" outlineLevel="0" collapsed="false">
      <c r="A5764" s="62" t="n">
        <v>1</v>
      </c>
      <c r="B5764" s="21" t="s">
        <v>336</v>
      </c>
      <c r="C5764" s="62" t="s">
        <v>60</v>
      </c>
      <c r="D5764" s="62" t="s">
        <v>386</v>
      </c>
      <c r="E5764" s="62" t="s">
        <v>382</v>
      </c>
      <c r="F5764" s="62" t="s">
        <v>382</v>
      </c>
      <c r="G5764" s="63" t="s">
        <v>592</v>
      </c>
      <c r="H5764" s="64" t="n">
        <v>0.19</v>
      </c>
      <c r="I5764" s="62" t="s">
        <v>878</v>
      </c>
      <c r="J5764" s="64" t="n">
        <v>19</v>
      </c>
      <c r="K5764" s="62" t="s">
        <v>42</v>
      </c>
      <c r="L5764" s="68" t="b">
        <f aca="false">FALSE()</f>
        <v>0</v>
      </c>
    </row>
    <row r="5765" customFormat="false" ht="15" hidden="false" customHeight="false" outlineLevel="0" collapsed="false">
      <c r="A5765" s="62" t="n">
        <v>1</v>
      </c>
      <c r="B5765" s="21" t="s">
        <v>336</v>
      </c>
      <c r="C5765" s="62" t="s">
        <v>60</v>
      </c>
      <c r="D5765" s="62" t="s">
        <v>387</v>
      </c>
      <c r="E5765" s="62" t="s">
        <v>382</v>
      </c>
      <c r="F5765" s="62" t="s">
        <v>382</v>
      </c>
      <c r="G5765" s="63" t="s">
        <v>592</v>
      </c>
      <c r="H5765" s="64" t="n">
        <v>0</v>
      </c>
      <c r="I5765" s="62" t="s">
        <v>878</v>
      </c>
      <c r="J5765" s="64" t="n">
        <v>0</v>
      </c>
      <c r="K5765" s="62" t="s">
        <v>42</v>
      </c>
      <c r="L5765" s="68" t="b">
        <f aca="false">FALSE()</f>
        <v>0</v>
      </c>
    </row>
    <row r="5766" customFormat="false" ht="15" hidden="false" customHeight="false" outlineLevel="0" collapsed="false">
      <c r="A5766" s="62" t="n">
        <v>1</v>
      </c>
      <c r="B5766" s="21" t="s">
        <v>336</v>
      </c>
      <c r="C5766" s="62" t="s">
        <v>60</v>
      </c>
      <c r="D5766" s="62" t="s">
        <v>388</v>
      </c>
      <c r="E5766" s="62" t="s">
        <v>382</v>
      </c>
      <c r="F5766" s="62" t="s">
        <v>382</v>
      </c>
      <c r="G5766" s="63" t="s">
        <v>592</v>
      </c>
      <c r="H5766" s="64" t="n">
        <v>0.38</v>
      </c>
      <c r="I5766" s="62" t="s">
        <v>878</v>
      </c>
      <c r="J5766" s="64" t="n">
        <v>38</v>
      </c>
      <c r="K5766" s="62" t="s">
        <v>42</v>
      </c>
      <c r="L5766" s="68" t="b">
        <f aca="false">FALSE()</f>
        <v>0</v>
      </c>
    </row>
    <row r="5767" customFormat="false" ht="15" hidden="false" customHeight="false" outlineLevel="0" collapsed="false">
      <c r="A5767" s="62" t="n">
        <v>1</v>
      </c>
      <c r="B5767" s="21" t="s">
        <v>336</v>
      </c>
      <c r="C5767" s="62" t="s">
        <v>60</v>
      </c>
      <c r="D5767" s="62" t="s">
        <v>381</v>
      </c>
      <c r="E5767" s="62" t="s">
        <v>382</v>
      </c>
      <c r="F5767" s="62" t="s">
        <v>382</v>
      </c>
      <c r="G5767" s="63" t="s">
        <v>593</v>
      </c>
      <c r="H5767" s="64" t="n">
        <v>2.4</v>
      </c>
      <c r="I5767" s="62" t="s">
        <v>878</v>
      </c>
      <c r="J5767" s="64" t="n">
        <v>240</v>
      </c>
      <c r="K5767" s="62" t="s">
        <v>42</v>
      </c>
      <c r="L5767" s="68" t="b">
        <f aca="false">FALSE()</f>
        <v>0</v>
      </c>
    </row>
    <row r="5768" customFormat="false" ht="15" hidden="false" customHeight="false" outlineLevel="0" collapsed="false">
      <c r="A5768" s="62" t="n">
        <v>1</v>
      </c>
      <c r="B5768" s="21" t="s">
        <v>336</v>
      </c>
      <c r="C5768" s="62" t="s">
        <v>60</v>
      </c>
      <c r="D5768" s="62" t="s">
        <v>383</v>
      </c>
      <c r="E5768" s="62" t="s">
        <v>382</v>
      </c>
      <c r="F5768" s="62" t="s">
        <v>382</v>
      </c>
      <c r="G5768" s="63" t="s">
        <v>593</v>
      </c>
      <c r="H5768" s="64" t="n">
        <v>2.585</v>
      </c>
      <c r="I5768" s="62" t="s">
        <v>878</v>
      </c>
      <c r="J5768" s="64" t="n">
        <v>258.5</v>
      </c>
      <c r="K5768" s="62" t="s">
        <v>42</v>
      </c>
      <c r="L5768" s="68" t="b">
        <f aca="false">FALSE()</f>
        <v>0</v>
      </c>
    </row>
    <row r="5769" customFormat="false" ht="15" hidden="false" customHeight="false" outlineLevel="0" collapsed="false">
      <c r="A5769" s="62" t="n">
        <v>1</v>
      </c>
      <c r="B5769" s="21" t="s">
        <v>336</v>
      </c>
      <c r="C5769" s="62" t="s">
        <v>60</v>
      </c>
      <c r="D5769" s="62" t="s">
        <v>384</v>
      </c>
      <c r="E5769" s="62" t="s">
        <v>382</v>
      </c>
      <c r="F5769" s="62" t="s">
        <v>382</v>
      </c>
      <c r="G5769" s="63" t="s">
        <v>593</v>
      </c>
      <c r="H5769" s="64" t="n">
        <v>3.6</v>
      </c>
      <c r="I5769" s="62" t="s">
        <v>878</v>
      </c>
      <c r="J5769" s="64" t="n">
        <v>360</v>
      </c>
      <c r="K5769" s="62" t="s">
        <v>42</v>
      </c>
      <c r="L5769" s="68" t="b">
        <f aca="false">FALSE()</f>
        <v>0</v>
      </c>
    </row>
    <row r="5770" customFormat="false" ht="15" hidden="false" customHeight="false" outlineLevel="0" collapsed="false">
      <c r="A5770" s="62" t="n">
        <v>1</v>
      </c>
      <c r="B5770" s="21" t="s">
        <v>336</v>
      </c>
      <c r="C5770" s="62" t="s">
        <v>60</v>
      </c>
      <c r="D5770" s="62" t="s">
        <v>385</v>
      </c>
      <c r="E5770" s="62" t="s">
        <v>382</v>
      </c>
      <c r="F5770" s="62" t="s">
        <v>382</v>
      </c>
      <c r="G5770" s="63" t="s">
        <v>593</v>
      </c>
      <c r="H5770" s="64" t="n">
        <v>4.25</v>
      </c>
      <c r="I5770" s="62" t="s">
        <v>878</v>
      </c>
      <c r="J5770" s="64" t="n">
        <v>425</v>
      </c>
      <c r="K5770" s="62" t="s">
        <v>42</v>
      </c>
      <c r="L5770" s="68" t="b">
        <f aca="false">FALSE()</f>
        <v>0</v>
      </c>
    </row>
    <row r="5771" customFormat="false" ht="15" hidden="false" customHeight="false" outlineLevel="0" collapsed="false">
      <c r="A5771" s="62" t="n">
        <v>1</v>
      </c>
      <c r="B5771" s="21" t="s">
        <v>336</v>
      </c>
      <c r="C5771" s="62" t="s">
        <v>60</v>
      </c>
      <c r="D5771" s="62" t="s">
        <v>386</v>
      </c>
      <c r="E5771" s="62" t="s">
        <v>382</v>
      </c>
      <c r="F5771" s="62" t="s">
        <v>382</v>
      </c>
      <c r="G5771" s="63" t="s">
        <v>593</v>
      </c>
      <c r="H5771" s="64" t="n">
        <v>2.81125</v>
      </c>
      <c r="I5771" s="62" t="s">
        <v>878</v>
      </c>
      <c r="J5771" s="64" t="n">
        <v>281.125</v>
      </c>
      <c r="K5771" s="62" t="s">
        <v>42</v>
      </c>
      <c r="L5771" s="68" t="b">
        <f aca="false">FALSE()</f>
        <v>0</v>
      </c>
    </row>
    <row r="5772" customFormat="false" ht="15" hidden="false" customHeight="false" outlineLevel="0" collapsed="false">
      <c r="A5772" s="62" t="n">
        <v>1</v>
      </c>
      <c r="B5772" s="21" t="s">
        <v>336</v>
      </c>
      <c r="C5772" s="62" t="s">
        <v>60</v>
      </c>
      <c r="D5772" s="62" t="s">
        <v>387</v>
      </c>
      <c r="E5772" s="62" t="s">
        <v>382</v>
      </c>
      <c r="F5772" s="62" t="s">
        <v>382</v>
      </c>
      <c r="G5772" s="63" t="s">
        <v>593</v>
      </c>
      <c r="H5772" s="64" t="n">
        <v>2.492</v>
      </c>
      <c r="I5772" s="62" t="s">
        <v>878</v>
      </c>
      <c r="J5772" s="64" t="n">
        <v>249.2</v>
      </c>
      <c r="K5772" s="62" t="s">
        <v>42</v>
      </c>
      <c r="L5772" s="68" t="b">
        <f aca="false">FALSE()</f>
        <v>0</v>
      </c>
    </row>
    <row r="5773" customFormat="false" ht="15" hidden="false" customHeight="false" outlineLevel="0" collapsed="false">
      <c r="A5773" s="62" t="n">
        <v>1</v>
      </c>
      <c r="B5773" s="21" t="s">
        <v>336</v>
      </c>
      <c r="C5773" s="62" t="s">
        <v>60</v>
      </c>
      <c r="D5773" s="62" t="s">
        <v>388</v>
      </c>
      <c r="E5773" s="62" t="s">
        <v>382</v>
      </c>
      <c r="F5773" s="62" t="s">
        <v>382</v>
      </c>
      <c r="G5773" s="63" t="s">
        <v>593</v>
      </c>
      <c r="H5773" s="64" t="n">
        <v>2.16</v>
      </c>
      <c r="I5773" s="62" t="s">
        <v>878</v>
      </c>
      <c r="J5773" s="64" t="n">
        <v>216</v>
      </c>
      <c r="K5773" s="62" t="s">
        <v>42</v>
      </c>
      <c r="L5773" s="68" t="b">
        <f aca="false">FALSE()</f>
        <v>0</v>
      </c>
    </row>
    <row r="5774" customFormat="false" ht="15" hidden="false" customHeight="false" outlineLevel="0" collapsed="false">
      <c r="A5774" s="62" t="n">
        <v>1</v>
      </c>
      <c r="B5774" s="21" t="s">
        <v>336</v>
      </c>
      <c r="C5774" s="62" t="s">
        <v>60</v>
      </c>
      <c r="D5774" s="62" t="s">
        <v>381</v>
      </c>
      <c r="E5774" s="62" t="s">
        <v>382</v>
      </c>
      <c r="F5774" s="62" t="s">
        <v>382</v>
      </c>
      <c r="G5774" s="63" t="s">
        <v>594</v>
      </c>
      <c r="H5774" s="64" t="n">
        <v>3.6</v>
      </c>
      <c r="I5774" s="62" t="s">
        <v>878</v>
      </c>
      <c r="J5774" s="64" t="n">
        <v>360</v>
      </c>
      <c r="K5774" s="62" t="s">
        <v>42</v>
      </c>
      <c r="L5774" s="68" t="b">
        <f aca="false">FALSE()</f>
        <v>0</v>
      </c>
    </row>
    <row r="5775" customFormat="false" ht="15" hidden="false" customHeight="false" outlineLevel="0" collapsed="false">
      <c r="A5775" s="62" t="n">
        <v>1</v>
      </c>
      <c r="B5775" s="21" t="s">
        <v>336</v>
      </c>
      <c r="C5775" s="62" t="s">
        <v>60</v>
      </c>
      <c r="D5775" s="62" t="s">
        <v>383</v>
      </c>
      <c r="E5775" s="62" t="s">
        <v>382</v>
      </c>
      <c r="F5775" s="62" t="s">
        <v>382</v>
      </c>
      <c r="G5775" s="63" t="s">
        <v>594</v>
      </c>
      <c r="H5775" s="64" t="n">
        <v>3.84</v>
      </c>
      <c r="I5775" s="62" t="s">
        <v>878</v>
      </c>
      <c r="J5775" s="64" t="n">
        <v>384</v>
      </c>
      <c r="K5775" s="62" t="s">
        <v>42</v>
      </c>
      <c r="L5775" s="68" t="b">
        <f aca="false">FALSE()</f>
        <v>0</v>
      </c>
    </row>
    <row r="5776" customFormat="false" ht="15" hidden="false" customHeight="false" outlineLevel="0" collapsed="false">
      <c r="A5776" s="62" t="n">
        <v>1</v>
      </c>
      <c r="B5776" s="21" t="s">
        <v>336</v>
      </c>
      <c r="C5776" s="62" t="s">
        <v>60</v>
      </c>
      <c r="D5776" s="62" t="s">
        <v>384</v>
      </c>
      <c r="E5776" s="62" t="s">
        <v>382</v>
      </c>
      <c r="F5776" s="62" t="s">
        <v>382</v>
      </c>
      <c r="G5776" s="63" t="s">
        <v>594</v>
      </c>
      <c r="H5776" s="64" t="n">
        <v>9.35</v>
      </c>
      <c r="I5776" s="62" t="s">
        <v>878</v>
      </c>
      <c r="J5776" s="64" t="n">
        <v>935</v>
      </c>
      <c r="K5776" s="62" t="s">
        <v>42</v>
      </c>
      <c r="L5776" s="68" t="b">
        <f aca="false">FALSE()</f>
        <v>0</v>
      </c>
    </row>
    <row r="5777" customFormat="false" ht="15" hidden="false" customHeight="false" outlineLevel="0" collapsed="false">
      <c r="A5777" s="62" t="n">
        <v>1</v>
      </c>
      <c r="B5777" s="21" t="s">
        <v>336</v>
      </c>
      <c r="C5777" s="62" t="s">
        <v>60</v>
      </c>
      <c r="D5777" s="62" t="s">
        <v>386</v>
      </c>
      <c r="E5777" s="62" t="s">
        <v>382</v>
      </c>
      <c r="F5777" s="62" t="s">
        <v>382</v>
      </c>
      <c r="G5777" s="63" t="s">
        <v>594</v>
      </c>
      <c r="H5777" s="64" t="n">
        <v>5.51</v>
      </c>
      <c r="I5777" s="62" t="s">
        <v>878</v>
      </c>
      <c r="J5777" s="64" t="n">
        <v>551</v>
      </c>
      <c r="K5777" s="62" t="s">
        <v>42</v>
      </c>
      <c r="L5777" s="68" t="b">
        <f aca="false">FALSE()</f>
        <v>0</v>
      </c>
    </row>
    <row r="5778" customFormat="false" ht="15" hidden="false" customHeight="false" outlineLevel="0" collapsed="false">
      <c r="A5778" s="62" t="n">
        <v>1</v>
      </c>
      <c r="B5778" s="21" t="s">
        <v>336</v>
      </c>
      <c r="C5778" s="62" t="s">
        <v>60</v>
      </c>
      <c r="D5778" s="62" t="s">
        <v>387</v>
      </c>
      <c r="E5778" s="62" t="s">
        <v>382</v>
      </c>
      <c r="F5778" s="62" t="s">
        <v>382</v>
      </c>
      <c r="G5778" s="63" t="s">
        <v>594</v>
      </c>
      <c r="H5778" s="64" t="n">
        <v>4.64</v>
      </c>
      <c r="I5778" s="62" t="s">
        <v>878</v>
      </c>
      <c r="J5778" s="64" t="n">
        <v>464</v>
      </c>
      <c r="K5778" s="62" t="s">
        <v>42</v>
      </c>
      <c r="L5778" s="68" t="b">
        <f aca="false">FALSE()</f>
        <v>0</v>
      </c>
    </row>
    <row r="5779" customFormat="false" ht="15" hidden="false" customHeight="false" outlineLevel="0" collapsed="false">
      <c r="A5779" s="62" t="n">
        <v>1</v>
      </c>
      <c r="B5779" s="21" t="s">
        <v>336</v>
      </c>
      <c r="C5779" s="62" t="s">
        <v>60</v>
      </c>
      <c r="D5779" s="62" t="s">
        <v>381</v>
      </c>
      <c r="E5779" s="62" t="s">
        <v>382</v>
      </c>
      <c r="F5779" s="62" t="s">
        <v>382</v>
      </c>
      <c r="G5779" s="63" t="s">
        <v>595</v>
      </c>
      <c r="H5779" s="64" t="n">
        <v>0</v>
      </c>
      <c r="I5779" s="62" t="s">
        <v>878</v>
      </c>
      <c r="J5779" s="64" t="n">
        <v>0</v>
      </c>
      <c r="K5779" s="62" t="s">
        <v>42</v>
      </c>
      <c r="L5779" s="68" t="b">
        <f aca="false">FALSE()</f>
        <v>0</v>
      </c>
    </row>
    <row r="5780" customFormat="false" ht="15" hidden="false" customHeight="false" outlineLevel="0" collapsed="false">
      <c r="A5780" s="62" t="n">
        <v>1</v>
      </c>
      <c r="B5780" s="21" t="s">
        <v>336</v>
      </c>
      <c r="C5780" s="62" t="s">
        <v>60</v>
      </c>
      <c r="D5780" s="62" t="s">
        <v>383</v>
      </c>
      <c r="E5780" s="62" t="s">
        <v>382</v>
      </c>
      <c r="F5780" s="62" t="s">
        <v>382</v>
      </c>
      <c r="G5780" s="63" t="s">
        <v>595</v>
      </c>
      <c r="H5780" s="64" t="n">
        <v>0</v>
      </c>
      <c r="I5780" s="62" t="s">
        <v>878</v>
      </c>
      <c r="J5780" s="64" t="n">
        <v>0</v>
      </c>
      <c r="K5780" s="62" t="s">
        <v>42</v>
      </c>
      <c r="L5780" s="68" t="b">
        <f aca="false">FALSE()</f>
        <v>0</v>
      </c>
    </row>
    <row r="5781" customFormat="false" ht="15" hidden="false" customHeight="false" outlineLevel="0" collapsed="false">
      <c r="A5781" s="62" t="n">
        <v>1</v>
      </c>
      <c r="B5781" s="21" t="s">
        <v>336</v>
      </c>
      <c r="C5781" s="62" t="s">
        <v>60</v>
      </c>
      <c r="D5781" s="62" t="s">
        <v>384</v>
      </c>
      <c r="E5781" s="62" t="s">
        <v>382</v>
      </c>
      <c r="F5781" s="62" t="s">
        <v>382</v>
      </c>
      <c r="G5781" s="63" t="s">
        <v>595</v>
      </c>
      <c r="H5781" s="64" t="n">
        <v>0</v>
      </c>
      <c r="I5781" s="62" t="s">
        <v>878</v>
      </c>
      <c r="J5781" s="64" t="n">
        <v>0</v>
      </c>
      <c r="K5781" s="62" t="s">
        <v>42</v>
      </c>
      <c r="L5781" s="68" t="b">
        <f aca="false">FALSE()</f>
        <v>0</v>
      </c>
    </row>
    <row r="5782" customFormat="false" ht="15" hidden="false" customHeight="false" outlineLevel="0" collapsed="false">
      <c r="A5782" s="62" t="n">
        <v>1</v>
      </c>
      <c r="B5782" s="21" t="s">
        <v>336</v>
      </c>
      <c r="C5782" s="62" t="s">
        <v>60</v>
      </c>
      <c r="D5782" s="62" t="s">
        <v>385</v>
      </c>
      <c r="E5782" s="62" t="s">
        <v>382</v>
      </c>
      <c r="F5782" s="62" t="s">
        <v>382</v>
      </c>
      <c r="G5782" s="63" t="s">
        <v>595</v>
      </c>
      <c r="H5782" s="64" t="n">
        <v>0</v>
      </c>
      <c r="I5782" s="62" t="s">
        <v>878</v>
      </c>
      <c r="J5782" s="64" t="n">
        <v>0</v>
      </c>
      <c r="K5782" s="62" t="s">
        <v>42</v>
      </c>
      <c r="L5782" s="68" t="b">
        <f aca="false">FALSE()</f>
        <v>0</v>
      </c>
    </row>
    <row r="5783" customFormat="false" ht="15" hidden="false" customHeight="false" outlineLevel="0" collapsed="false">
      <c r="A5783" s="62" t="n">
        <v>1</v>
      </c>
      <c r="B5783" s="21" t="s">
        <v>336</v>
      </c>
      <c r="C5783" s="62" t="s">
        <v>60</v>
      </c>
      <c r="D5783" s="62" t="s">
        <v>386</v>
      </c>
      <c r="E5783" s="62" t="s">
        <v>382</v>
      </c>
      <c r="F5783" s="62" t="s">
        <v>382</v>
      </c>
      <c r="G5783" s="63" t="s">
        <v>595</v>
      </c>
      <c r="H5783" s="64" t="n">
        <v>0</v>
      </c>
      <c r="I5783" s="62" t="s">
        <v>878</v>
      </c>
      <c r="J5783" s="64" t="n">
        <v>0</v>
      </c>
      <c r="K5783" s="62" t="s">
        <v>42</v>
      </c>
      <c r="L5783" s="68" t="b">
        <f aca="false">TRUE()</f>
        <v>1</v>
      </c>
    </row>
    <row r="5784" customFormat="false" ht="15" hidden="false" customHeight="false" outlineLevel="0" collapsed="false">
      <c r="A5784" s="62" t="n">
        <v>1</v>
      </c>
      <c r="B5784" s="21" t="s">
        <v>336</v>
      </c>
      <c r="C5784" s="62" t="s">
        <v>60</v>
      </c>
      <c r="D5784" s="62" t="s">
        <v>387</v>
      </c>
      <c r="E5784" s="62" t="s">
        <v>382</v>
      </c>
      <c r="F5784" s="62" t="s">
        <v>382</v>
      </c>
      <c r="G5784" s="63" t="s">
        <v>595</v>
      </c>
      <c r="H5784" s="64" t="n">
        <v>0</v>
      </c>
      <c r="I5784" s="62" t="s">
        <v>878</v>
      </c>
      <c r="J5784" s="64" t="n">
        <v>0</v>
      </c>
      <c r="K5784" s="62" t="s">
        <v>42</v>
      </c>
      <c r="L5784" s="68" t="b">
        <f aca="false">FALSE()</f>
        <v>0</v>
      </c>
    </row>
    <row r="5785" customFormat="false" ht="15" hidden="false" customHeight="false" outlineLevel="0" collapsed="false">
      <c r="A5785" s="62" t="n">
        <v>1</v>
      </c>
      <c r="B5785" s="21" t="s">
        <v>336</v>
      </c>
      <c r="C5785" s="62" t="s">
        <v>60</v>
      </c>
      <c r="D5785" s="62" t="s">
        <v>388</v>
      </c>
      <c r="E5785" s="62" t="s">
        <v>382</v>
      </c>
      <c r="F5785" s="62" t="s">
        <v>382</v>
      </c>
      <c r="G5785" s="63" t="s">
        <v>595</v>
      </c>
      <c r="H5785" s="64" t="n">
        <v>0</v>
      </c>
      <c r="I5785" s="62" t="s">
        <v>878</v>
      </c>
      <c r="J5785" s="64" t="n">
        <v>0</v>
      </c>
      <c r="K5785" s="62" t="s">
        <v>42</v>
      </c>
      <c r="L5785" s="68" t="b">
        <f aca="false">TRUE()</f>
        <v>1</v>
      </c>
    </row>
    <row r="5786" customFormat="false" ht="15" hidden="false" customHeight="false" outlineLevel="0" collapsed="false">
      <c r="A5786" s="62" t="n">
        <v>1</v>
      </c>
      <c r="B5786" s="21" t="s">
        <v>336</v>
      </c>
      <c r="C5786" s="62" t="s">
        <v>60</v>
      </c>
      <c r="D5786" s="62" t="s">
        <v>381</v>
      </c>
      <c r="E5786" s="62" t="s">
        <v>382</v>
      </c>
      <c r="F5786" s="62" t="s">
        <v>382</v>
      </c>
      <c r="G5786" s="63" t="s">
        <v>596</v>
      </c>
      <c r="H5786" s="64" t="n">
        <v>6</v>
      </c>
      <c r="I5786" s="62" t="s">
        <v>878</v>
      </c>
      <c r="J5786" s="64" t="n">
        <v>600</v>
      </c>
      <c r="K5786" s="62" t="s">
        <v>42</v>
      </c>
      <c r="L5786" s="68" t="b">
        <f aca="false">FALSE()</f>
        <v>0</v>
      </c>
    </row>
    <row r="5787" customFormat="false" ht="15" hidden="false" customHeight="false" outlineLevel="0" collapsed="false">
      <c r="A5787" s="62" t="n">
        <v>1</v>
      </c>
      <c r="B5787" s="21" t="s">
        <v>336</v>
      </c>
      <c r="C5787" s="62" t="s">
        <v>60</v>
      </c>
      <c r="D5787" s="62" t="s">
        <v>383</v>
      </c>
      <c r="E5787" s="62" t="s">
        <v>382</v>
      </c>
      <c r="F5787" s="62" t="s">
        <v>382</v>
      </c>
      <c r="G5787" s="63" t="s">
        <v>596</v>
      </c>
      <c r="H5787" s="64" t="n">
        <v>6.425</v>
      </c>
      <c r="I5787" s="62" t="s">
        <v>878</v>
      </c>
      <c r="J5787" s="64" t="n">
        <v>642.5</v>
      </c>
      <c r="K5787" s="62" t="s">
        <v>42</v>
      </c>
      <c r="L5787" s="68" t="b">
        <f aca="false">FALSE()</f>
        <v>0</v>
      </c>
    </row>
    <row r="5788" customFormat="false" ht="15" hidden="false" customHeight="false" outlineLevel="0" collapsed="false">
      <c r="A5788" s="62" t="n">
        <v>1</v>
      </c>
      <c r="B5788" s="21" t="s">
        <v>336</v>
      </c>
      <c r="C5788" s="62" t="s">
        <v>60</v>
      </c>
      <c r="D5788" s="62" t="s">
        <v>384</v>
      </c>
      <c r="E5788" s="62" t="s">
        <v>382</v>
      </c>
      <c r="F5788" s="62" t="s">
        <v>382</v>
      </c>
      <c r="G5788" s="63" t="s">
        <v>596</v>
      </c>
      <c r="H5788" s="64" t="n">
        <v>12.95</v>
      </c>
      <c r="I5788" s="62" t="s">
        <v>878</v>
      </c>
      <c r="J5788" s="64" t="n">
        <v>1295</v>
      </c>
      <c r="K5788" s="62" t="s">
        <v>42</v>
      </c>
      <c r="L5788" s="68" t="b">
        <f aca="false">FALSE()</f>
        <v>0</v>
      </c>
    </row>
    <row r="5789" customFormat="false" ht="15" hidden="false" customHeight="false" outlineLevel="0" collapsed="false">
      <c r="A5789" s="62" t="n">
        <v>1</v>
      </c>
      <c r="B5789" s="21" t="s">
        <v>336</v>
      </c>
      <c r="C5789" s="62" t="s">
        <v>60</v>
      </c>
      <c r="D5789" s="62" t="s">
        <v>385</v>
      </c>
      <c r="E5789" s="62" t="s">
        <v>382</v>
      </c>
      <c r="F5789" s="62" t="s">
        <v>382</v>
      </c>
      <c r="G5789" s="63" t="s">
        <v>596</v>
      </c>
      <c r="H5789" s="64" t="n">
        <v>4.25</v>
      </c>
      <c r="I5789" s="62" t="s">
        <v>878</v>
      </c>
      <c r="J5789" s="64" t="n">
        <v>425</v>
      </c>
      <c r="K5789" s="62" t="s">
        <v>42</v>
      </c>
      <c r="L5789" s="68" t="b">
        <f aca="false">FALSE()</f>
        <v>0</v>
      </c>
    </row>
    <row r="5790" customFormat="false" ht="15" hidden="false" customHeight="false" outlineLevel="0" collapsed="false">
      <c r="A5790" s="62" t="n">
        <v>1</v>
      </c>
      <c r="B5790" s="21" t="s">
        <v>336</v>
      </c>
      <c r="C5790" s="62" t="s">
        <v>60</v>
      </c>
      <c r="D5790" s="62" t="s">
        <v>386</v>
      </c>
      <c r="E5790" s="62" t="s">
        <v>382</v>
      </c>
      <c r="F5790" s="62" t="s">
        <v>382</v>
      </c>
      <c r="G5790" s="63" t="s">
        <v>596</v>
      </c>
      <c r="H5790" s="64" t="n">
        <v>8.32125</v>
      </c>
      <c r="I5790" s="62" t="s">
        <v>878</v>
      </c>
      <c r="J5790" s="64" t="n">
        <v>832.125</v>
      </c>
      <c r="K5790" s="62" t="s">
        <v>42</v>
      </c>
      <c r="L5790" s="68" t="b">
        <f aca="false">FALSE()</f>
        <v>0</v>
      </c>
    </row>
    <row r="5791" customFormat="false" ht="15" hidden="false" customHeight="false" outlineLevel="0" collapsed="false">
      <c r="A5791" s="62" t="n">
        <v>1</v>
      </c>
      <c r="B5791" s="21" t="s">
        <v>336</v>
      </c>
      <c r="C5791" s="62" t="s">
        <v>60</v>
      </c>
      <c r="D5791" s="62" t="s">
        <v>387</v>
      </c>
      <c r="E5791" s="62" t="s">
        <v>382</v>
      </c>
      <c r="F5791" s="62" t="s">
        <v>382</v>
      </c>
      <c r="G5791" s="63" t="s">
        <v>596</v>
      </c>
      <c r="H5791" s="64" t="n">
        <v>7.132</v>
      </c>
      <c r="I5791" s="62" t="s">
        <v>878</v>
      </c>
      <c r="J5791" s="64" t="n">
        <v>713.2</v>
      </c>
      <c r="K5791" s="62" t="s">
        <v>42</v>
      </c>
      <c r="L5791" s="68" t="b">
        <f aca="false">FALSE()</f>
        <v>0</v>
      </c>
    </row>
    <row r="5792" customFormat="false" ht="15" hidden="false" customHeight="false" outlineLevel="0" collapsed="false">
      <c r="A5792" s="62" t="n">
        <v>1</v>
      </c>
      <c r="B5792" s="21" t="s">
        <v>336</v>
      </c>
      <c r="C5792" s="62" t="s">
        <v>60</v>
      </c>
      <c r="D5792" s="62" t="s">
        <v>388</v>
      </c>
      <c r="E5792" s="62" t="s">
        <v>382</v>
      </c>
      <c r="F5792" s="62" t="s">
        <v>382</v>
      </c>
      <c r="G5792" s="63" t="s">
        <v>596</v>
      </c>
      <c r="H5792" s="64" t="n">
        <v>2.16</v>
      </c>
      <c r="I5792" s="62" t="s">
        <v>878</v>
      </c>
      <c r="J5792" s="64" t="n">
        <v>216</v>
      </c>
      <c r="K5792" s="62" t="s">
        <v>42</v>
      </c>
      <c r="L5792" s="68" t="b">
        <f aca="false">FALSE()</f>
        <v>0</v>
      </c>
    </row>
    <row r="5793" customFormat="false" ht="15" hidden="false" customHeight="false" outlineLevel="0" collapsed="false">
      <c r="A5793" s="62" t="n">
        <v>1</v>
      </c>
      <c r="B5793" s="21" t="s">
        <v>336</v>
      </c>
      <c r="C5793" s="62" t="s">
        <v>60</v>
      </c>
      <c r="D5793" s="62" t="s">
        <v>381</v>
      </c>
      <c r="E5793" s="62" t="s">
        <v>382</v>
      </c>
      <c r="F5793" s="62" t="s">
        <v>382</v>
      </c>
      <c r="G5793" s="63" t="s">
        <v>597</v>
      </c>
      <c r="H5793" s="64" t="n">
        <v>-5.15109</v>
      </c>
      <c r="I5793" s="62" t="s">
        <v>878</v>
      </c>
      <c r="J5793" s="64" t="n">
        <v>-515.109</v>
      </c>
      <c r="K5793" s="62" t="s">
        <v>42</v>
      </c>
      <c r="L5793" s="68" t="b">
        <f aca="false">FALSE()</f>
        <v>0</v>
      </c>
    </row>
    <row r="5794" customFormat="false" ht="15" hidden="false" customHeight="false" outlineLevel="0" collapsed="false">
      <c r="A5794" s="62" t="n">
        <v>1</v>
      </c>
      <c r="B5794" s="21" t="s">
        <v>336</v>
      </c>
      <c r="C5794" s="62" t="s">
        <v>60</v>
      </c>
      <c r="D5794" s="62" t="s">
        <v>383</v>
      </c>
      <c r="E5794" s="62" t="s">
        <v>382</v>
      </c>
      <c r="F5794" s="62" t="s">
        <v>382</v>
      </c>
      <c r="G5794" s="63" t="s">
        <v>597</v>
      </c>
      <c r="H5794" s="64" t="n">
        <v>-1.64202</v>
      </c>
      <c r="I5794" s="62" t="s">
        <v>878</v>
      </c>
      <c r="J5794" s="64" t="n">
        <v>-164.202</v>
      </c>
      <c r="K5794" s="62" t="s">
        <v>42</v>
      </c>
      <c r="L5794" s="68" t="b">
        <f aca="false">FALSE()</f>
        <v>0</v>
      </c>
    </row>
    <row r="5795" customFormat="false" ht="15" hidden="false" customHeight="false" outlineLevel="0" collapsed="false">
      <c r="A5795" s="62" t="n">
        <v>1</v>
      </c>
      <c r="B5795" s="21" t="s">
        <v>336</v>
      </c>
      <c r="C5795" s="62" t="s">
        <v>60</v>
      </c>
      <c r="D5795" s="62" t="s">
        <v>384</v>
      </c>
      <c r="E5795" s="62" t="s">
        <v>382</v>
      </c>
      <c r="F5795" s="62" t="s">
        <v>382</v>
      </c>
      <c r="G5795" s="63" t="s">
        <v>597</v>
      </c>
      <c r="H5795" s="64" t="n">
        <v>-6.10675</v>
      </c>
      <c r="I5795" s="62" t="s">
        <v>878</v>
      </c>
      <c r="J5795" s="64" t="n">
        <v>-610.675</v>
      </c>
      <c r="K5795" s="62" t="s">
        <v>42</v>
      </c>
      <c r="L5795" s="68" t="b">
        <f aca="false">TRUE()</f>
        <v>1</v>
      </c>
    </row>
    <row r="5796" customFormat="false" ht="15" hidden="false" customHeight="false" outlineLevel="0" collapsed="false">
      <c r="A5796" s="62" t="n">
        <v>1</v>
      </c>
      <c r="B5796" s="21" t="s">
        <v>336</v>
      </c>
      <c r="C5796" s="62" t="s">
        <v>60</v>
      </c>
      <c r="D5796" s="62" t="s">
        <v>385</v>
      </c>
      <c r="E5796" s="62" t="s">
        <v>382</v>
      </c>
      <c r="F5796" s="62" t="s">
        <v>382</v>
      </c>
      <c r="G5796" s="63" t="s">
        <v>597</v>
      </c>
      <c r="H5796" s="64" t="n">
        <v>-3.59387</v>
      </c>
      <c r="I5796" s="62" t="s">
        <v>878</v>
      </c>
      <c r="J5796" s="64" t="n">
        <v>-359.387</v>
      </c>
      <c r="K5796" s="62" t="s">
        <v>42</v>
      </c>
      <c r="L5796" s="68" t="b">
        <f aca="false">TRUE()</f>
        <v>1</v>
      </c>
    </row>
    <row r="5797" customFormat="false" ht="15" hidden="false" customHeight="false" outlineLevel="0" collapsed="false">
      <c r="A5797" s="62" t="n">
        <v>1</v>
      </c>
      <c r="B5797" s="21" t="s">
        <v>336</v>
      </c>
      <c r="C5797" s="62" t="s">
        <v>60</v>
      </c>
      <c r="D5797" s="62" t="s">
        <v>386</v>
      </c>
      <c r="E5797" s="62" t="s">
        <v>382</v>
      </c>
      <c r="F5797" s="62" t="s">
        <v>382</v>
      </c>
      <c r="G5797" s="63" t="s">
        <v>597</v>
      </c>
      <c r="H5797" s="64" t="n">
        <v>-6.13049</v>
      </c>
      <c r="I5797" s="62" t="s">
        <v>878</v>
      </c>
      <c r="J5797" s="64" t="n">
        <v>-613.049</v>
      </c>
      <c r="K5797" s="62" t="s">
        <v>42</v>
      </c>
      <c r="L5797" s="68" t="b">
        <f aca="false">TRUE()</f>
        <v>1</v>
      </c>
    </row>
    <row r="5798" customFormat="false" ht="15" hidden="false" customHeight="false" outlineLevel="0" collapsed="false">
      <c r="A5798" s="62" t="n">
        <v>1</v>
      </c>
      <c r="B5798" s="21" t="s">
        <v>336</v>
      </c>
      <c r="C5798" s="62" t="s">
        <v>60</v>
      </c>
      <c r="D5798" s="62" t="s">
        <v>387</v>
      </c>
      <c r="E5798" s="62" t="s">
        <v>382</v>
      </c>
      <c r="F5798" s="62" t="s">
        <v>382</v>
      </c>
      <c r="G5798" s="63" t="s">
        <v>597</v>
      </c>
      <c r="H5798" s="64" t="n">
        <v>-3.15727</v>
      </c>
      <c r="I5798" s="62" t="s">
        <v>878</v>
      </c>
      <c r="J5798" s="64" t="n">
        <v>-315.727</v>
      </c>
      <c r="K5798" s="62" t="s">
        <v>42</v>
      </c>
      <c r="L5798" s="68" t="b">
        <f aca="false">FALSE()</f>
        <v>0</v>
      </c>
    </row>
    <row r="5799" customFormat="false" ht="15" hidden="false" customHeight="false" outlineLevel="0" collapsed="false">
      <c r="A5799" s="62" t="n">
        <v>1</v>
      </c>
      <c r="B5799" s="21" t="s">
        <v>336</v>
      </c>
      <c r="C5799" s="62" t="s">
        <v>60</v>
      </c>
      <c r="D5799" s="62" t="s">
        <v>388</v>
      </c>
      <c r="E5799" s="62" t="s">
        <v>382</v>
      </c>
      <c r="F5799" s="62" t="s">
        <v>382</v>
      </c>
      <c r="G5799" s="63" t="s">
        <v>597</v>
      </c>
      <c r="H5799" s="64" t="n">
        <v>-2.16</v>
      </c>
      <c r="I5799" s="62" t="s">
        <v>878</v>
      </c>
      <c r="J5799" s="64" t="n">
        <v>-216</v>
      </c>
      <c r="K5799" s="62" t="s">
        <v>42</v>
      </c>
      <c r="L5799" s="68" t="b">
        <f aca="false">FALSE()</f>
        <v>0</v>
      </c>
    </row>
    <row r="5800" customFormat="false" ht="15" hidden="false" customHeight="false" outlineLevel="0" collapsed="false">
      <c r="A5800" s="62" t="n">
        <v>1</v>
      </c>
      <c r="B5800" s="21" t="s">
        <v>336</v>
      </c>
      <c r="C5800" s="62" t="s">
        <v>60</v>
      </c>
      <c r="D5800" s="62" t="s">
        <v>381</v>
      </c>
      <c r="E5800" s="62" t="s">
        <v>382</v>
      </c>
      <c r="F5800" s="62" t="s">
        <v>382</v>
      </c>
      <c r="G5800" s="63" t="s">
        <v>598</v>
      </c>
      <c r="H5800" s="64" t="n">
        <v>0</v>
      </c>
      <c r="I5800" s="62" t="s">
        <v>878</v>
      </c>
      <c r="J5800" s="64" t="n">
        <v>0</v>
      </c>
      <c r="K5800" s="62" t="s">
        <v>42</v>
      </c>
      <c r="L5800" s="68" t="b">
        <f aca="false">TRUE()</f>
        <v>1</v>
      </c>
    </row>
    <row r="5801" customFormat="false" ht="15" hidden="false" customHeight="false" outlineLevel="0" collapsed="false">
      <c r="A5801" s="62" t="n">
        <v>1</v>
      </c>
      <c r="B5801" s="21" t="s">
        <v>336</v>
      </c>
      <c r="C5801" s="62" t="s">
        <v>60</v>
      </c>
      <c r="D5801" s="62" t="s">
        <v>383</v>
      </c>
      <c r="E5801" s="62" t="s">
        <v>382</v>
      </c>
      <c r="F5801" s="62" t="s">
        <v>382</v>
      </c>
      <c r="G5801" s="63" t="s">
        <v>598</v>
      </c>
      <c r="H5801" s="64" t="n">
        <v>0</v>
      </c>
      <c r="I5801" s="62" t="s">
        <v>878</v>
      </c>
      <c r="J5801" s="64" t="n">
        <v>0</v>
      </c>
      <c r="K5801" s="62" t="s">
        <v>42</v>
      </c>
      <c r="L5801" s="68" t="b">
        <f aca="false">TRUE()</f>
        <v>1</v>
      </c>
    </row>
    <row r="5802" customFormat="false" ht="15" hidden="false" customHeight="false" outlineLevel="0" collapsed="false">
      <c r="A5802" s="62" t="n">
        <v>1</v>
      </c>
      <c r="B5802" s="21" t="s">
        <v>336</v>
      </c>
      <c r="C5802" s="62" t="s">
        <v>60</v>
      </c>
      <c r="D5802" s="62" t="s">
        <v>384</v>
      </c>
      <c r="E5802" s="62" t="s">
        <v>382</v>
      </c>
      <c r="F5802" s="62" t="s">
        <v>382</v>
      </c>
      <c r="G5802" s="63" t="s">
        <v>598</v>
      </c>
      <c r="H5802" s="64" t="n">
        <v>0</v>
      </c>
      <c r="I5802" s="62" t="s">
        <v>878</v>
      </c>
      <c r="J5802" s="64" t="n">
        <v>0</v>
      </c>
      <c r="K5802" s="62" t="s">
        <v>42</v>
      </c>
      <c r="L5802" s="68" t="b">
        <f aca="false">TRUE()</f>
        <v>1</v>
      </c>
    </row>
    <row r="5803" customFormat="false" ht="15" hidden="false" customHeight="false" outlineLevel="0" collapsed="false">
      <c r="A5803" s="62" t="n">
        <v>1</v>
      </c>
      <c r="B5803" s="21" t="s">
        <v>336</v>
      </c>
      <c r="C5803" s="62" t="s">
        <v>60</v>
      </c>
      <c r="D5803" s="62" t="s">
        <v>385</v>
      </c>
      <c r="E5803" s="62" t="s">
        <v>382</v>
      </c>
      <c r="F5803" s="62" t="s">
        <v>382</v>
      </c>
      <c r="G5803" s="63" t="s">
        <v>598</v>
      </c>
      <c r="H5803" s="64" t="n">
        <v>0</v>
      </c>
      <c r="I5803" s="62" t="s">
        <v>878</v>
      </c>
      <c r="J5803" s="64" t="n">
        <v>0</v>
      </c>
      <c r="K5803" s="62" t="s">
        <v>42</v>
      </c>
      <c r="L5803" s="68" t="b">
        <f aca="false">TRUE()</f>
        <v>1</v>
      </c>
    </row>
    <row r="5804" customFormat="false" ht="15" hidden="false" customHeight="false" outlineLevel="0" collapsed="false">
      <c r="A5804" s="62" t="n">
        <v>1</v>
      </c>
      <c r="B5804" s="21" t="s">
        <v>336</v>
      </c>
      <c r="C5804" s="62" t="s">
        <v>60</v>
      </c>
      <c r="D5804" s="62" t="s">
        <v>386</v>
      </c>
      <c r="E5804" s="62" t="s">
        <v>382</v>
      </c>
      <c r="F5804" s="62" t="s">
        <v>382</v>
      </c>
      <c r="G5804" s="63" t="s">
        <v>598</v>
      </c>
      <c r="H5804" s="64" t="n">
        <v>0</v>
      </c>
      <c r="I5804" s="62" t="s">
        <v>878</v>
      </c>
      <c r="J5804" s="64" t="n">
        <v>0</v>
      </c>
      <c r="K5804" s="62" t="s">
        <v>42</v>
      </c>
      <c r="L5804" s="68" t="b">
        <f aca="false">TRUE()</f>
        <v>1</v>
      </c>
    </row>
    <row r="5805" customFormat="false" ht="15" hidden="false" customHeight="false" outlineLevel="0" collapsed="false">
      <c r="A5805" s="62" t="n">
        <v>1</v>
      </c>
      <c r="B5805" s="21" t="s">
        <v>336</v>
      </c>
      <c r="C5805" s="62" t="s">
        <v>60</v>
      </c>
      <c r="D5805" s="62" t="s">
        <v>387</v>
      </c>
      <c r="E5805" s="62" t="s">
        <v>382</v>
      </c>
      <c r="F5805" s="62" t="s">
        <v>382</v>
      </c>
      <c r="G5805" s="63" t="s">
        <v>598</v>
      </c>
      <c r="H5805" s="64" t="n">
        <v>0</v>
      </c>
      <c r="I5805" s="62" t="s">
        <v>878</v>
      </c>
      <c r="J5805" s="64" t="n">
        <v>0</v>
      </c>
      <c r="K5805" s="62" t="s">
        <v>42</v>
      </c>
      <c r="L5805" s="68" t="b">
        <f aca="false">TRUE()</f>
        <v>1</v>
      </c>
    </row>
    <row r="5806" customFormat="false" ht="15" hidden="false" customHeight="false" outlineLevel="0" collapsed="false">
      <c r="A5806" s="62" t="n">
        <v>1</v>
      </c>
      <c r="B5806" s="21" t="s">
        <v>336</v>
      </c>
      <c r="C5806" s="62" t="s">
        <v>60</v>
      </c>
      <c r="D5806" s="62" t="s">
        <v>388</v>
      </c>
      <c r="E5806" s="62" t="s">
        <v>382</v>
      </c>
      <c r="F5806" s="62" t="s">
        <v>382</v>
      </c>
      <c r="G5806" s="63" t="s">
        <v>598</v>
      </c>
      <c r="H5806" s="64" t="n">
        <v>0</v>
      </c>
      <c r="I5806" s="62" t="s">
        <v>878</v>
      </c>
      <c r="J5806" s="64" t="n">
        <v>0</v>
      </c>
      <c r="K5806" s="62" t="s">
        <v>42</v>
      </c>
      <c r="L5806" s="68" t="b">
        <f aca="false">TRUE()</f>
        <v>1</v>
      </c>
    </row>
    <row r="5807" customFormat="false" ht="15" hidden="false" customHeight="false" outlineLevel="0" collapsed="false">
      <c r="A5807" s="62" t="n">
        <v>1</v>
      </c>
      <c r="B5807" s="21" t="s">
        <v>336</v>
      </c>
      <c r="C5807" s="62" t="s">
        <v>60</v>
      </c>
      <c r="D5807" s="62" t="s">
        <v>381</v>
      </c>
      <c r="E5807" s="62" t="s">
        <v>382</v>
      </c>
      <c r="F5807" s="62" t="s">
        <v>382</v>
      </c>
      <c r="G5807" s="63" t="s">
        <v>599</v>
      </c>
      <c r="H5807" s="64" t="n">
        <v>-0.84891</v>
      </c>
      <c r="I5807" s="62" t="s">
        <v>878</v>
      </c>
      <c r="J5807" s="64" t="n">
        <v>-84.891</v>
      </c>
      <c r="K5807" s="62" t="s">
        <v>42</v>
      </c>
      <c r="L5807" s="68" t="b">
        <f aca="false">FALSE()</f>
        <v>0</v>
      </c>
    </row>
    <row r="5808" customFormat="false" ht="15" hidden="false" customHeight="false" outlineLevel="0" collapsed="false">
      <c r="A5808" s="62" t="n">
        <v>1</v>
      </c>
      <c r="B5808" s="21" t="s">
        <v>336</v>
      </c>
      <c r="C5808" s="62" t="s">
        <v>60</v>
      </c>
      <c r="D5808" s="62" t="s">
        <v>383</v>
      </c>
      <c r="E5808" s="62" t="s">
        <v>382</v>
      </c>
      <c r="F5808" s="62" t="s">
        <v>382</v>
      </c>
      <c r="G5808" s="63" t="s">
        <v>599</v>
      </c>
      <c r="H5808" s="64" t="n">
        <v>-2.32518</v>
      </c>
      <c r="I5808" s="62" t="s">
        <v>878</v>
      </c>
      <c r="J5808" s="64" t="n">
        <v>-232.518</v>
      </c>
      <c r="K5808" s="62" t="s">
        <v>42</v>
      </c>
      <c r="L5808" s="68" t="b">
        <f aca="false">FALSE()</f>
        <v>0</v>
      </c>
    </row>
    <row r="5809" customFormat="false" ht="15" hidden="false" customHeight="false" outlineLevel="0" collapsed="false">
      <c r="A5809" s="62" t="n">
        <v>1</v>
      </c>
      <c r="B5809" s="21" t="s">
        <v>336</v>
      </c>
      <c r="C5809" s="62" t="s">
        <v>60</v>
      </c>
      <c r="D5809" s="62" t="s">
        <v>384</v>
      </c>
      <c r="E5809" s="62" t="s">
        <v>382</v>
      </c>
      <c r="F5809" s="62" t="s">
        <v>382</v>
      </c>
      <c r="G5809" s="63" t="s">
        <v>599</v>
      </c>
      <c r="H5809" s="64" t="n">
        <v>-4.64756</v>
      </c>
      <c r="I5809" s="62" t="s">
        <v>878</v>
      </c>
      <c r="J5809" s="64" t="n">
        <v>-464.756</v>
      </c>
      <c r="K5809" s="62" t="s">
        <v>42</v>
      </c>
      <c r="L5809" s="68" t="b">
        <f aca="false">FALSE()</f>
        <v>0</v>
      </c>
    </row>
    <row r="5810" customFormat="false" ht="15" hidden="false" customHeight="false" outlineLevel="0" collapsed="false">
      <c r="A5810" s="62" t="n">
        <v>1</v>
      </c>
      <c r="B5810" s="21" t="s">
        <v>336</v>
      </c>
      <c r="C5810" s="62" t="s">
        <v>60</v>
      </c>
      <c r="D5810" s="62" t="s">
        <v>385</v>
      </c>
      <c r="E5810" s="62" t="s">
        <v>382</v>
      </c>
      <c r="F5810" s="62" t="s">
        <v>382</v>
      </c>
      <c r="G5810" s="63" t="s">
        <v>599</v>
      </c>
      <c r="H5810" s="64" t="n">
        <v>0</v>
      </c>
      <c r="I5810" s="62" t="s">
        <v>878</v>
      </c>
      <c r="J5810" s="64" t="n">
        <v>0</v>
      </c>
      <c r="K5810" s="62" t="s">
        <v>42</v>
      </c>
      <c r="L5810" s="68" t="b">
        <f aca="false">FALSE()</f>
        <v>0</v>
      </c>
    </row>
    <row r="5811" customFormat="false" ht="15" hidden="false" customHeight="false" outlineLevel="0" collapsed="false">
      <c r="A5811" s="62" t="n">
        <v>1</v>
      </c>
      <c r="B5811" s="21" t="s">
        <v>336</v>
      </c>
      <c r="C5811" s="62" t="s">
        <v>60</v>
      </c>
      <c r="D5811" s="62" t="s">
        <v>386</v>
      </c>
      <c r="E5811" s="62" t="s">
        <v>382</v>
      </c>
      <c r="F5811" s="62" t="s">
        <v>382</v>
      </c>
      <c r="G5811" s="63" t="s">
        <v>599</v>
      </c>
      <c r="H5811" s="64" t="n">
        <v>-2.19076</v>
      </c>
      <c r="I5811" s="62" t="s">
        <v>878</v>
      </c>
      <c r="J5811" s="64" t="n">
        <v>-219.076</v>
      </c>
      <c r="K5811" s="62" t="s">
        <v>42</v>
      </c>
      <c r="L5811" s="68" t="b">
        <f aca="false">FALSE()</f>
        <v>0</v>
      </c>
    </row>
    <row r="5812" customFormat="false" ht="15" hidden="false" customHeight="false" outlineLevel="0" collapsed="false">
      <c r="A5812" s="62" t="n">
        <v>1</v>
      </c>
      <c r="B5812" s="21" t="s">
        <v>336</v>
      </c>
      <c r="C5812" s="62" t="s">
        <v>60</v>
      </c>
      <c r="D5812" s="62" t="s">
        <v>387</v>
      </c>
      <c r="E5812" s="62" t="s">
        <v>382</v>
      </c>
      <c r="F5812" s="62" t="s">
        <v>382</v>
      </c>
      <c r="G5812" s="63" t="s">
        <v>599</v>
      </c>
      <c r="H5812" s="64" t="n">
        <v>-1.159</v>
      </c>
      <c r="I5812" s="62" t="s">
        <v>878</v>
      </c>
      <c r="J5812" s="64" t="n">
        <v>-115.9</v>
      </c>
      <c r="K5812" s="62" t="s">
        <v>42</v>
      </c>
      <c r="L5812" s="68" t="b">
        <f aca="false">FALSE()</f>
        <v>0</v>
      </c>
    </row>
    <row r="5813" customFormat="false" ht="15" hidden="false" customHeight="false" outlineLevel="0" collapsed="false">
      <c r="A5813" s="62" t="n">
        <v>1</v>
      </c>
      <c r="B5813" s="21" t="s">
        <v>336</v>
      </c>
      <c r="C5813" s="62" t="s">
        <v>60</v>
      </c>
      <c r="D5813" s="62" t="s">
        <v>383</v>
      </c>
      <c r="E5813" s="62" t="s">
        <v>382</v>
      </c>
      <c r="F5813" s="62" t="s">
        <v>382</v>
      </c>
      <c r="G5813" s="63" t="s">
        <v>821</v>
      </c>
      <c r="H5813" s="64" t="n">
        <v>2.4578</v>
      </c>
      <c r="I5813" s="62" t="s">
        <v>878</v>
      </c>
      <c r="J5813" s="64" t="n">
        <v>245.78</v>
      </c>
      <c r="K5813" s="62" t="s">
        <v>42</v>
      </c>
      <c r="L5813" s="68" t="b">
        <f aca="false">FALSE()</f>
        <v>0</v>
      </c>
    </row>
    <row r="5814" customFormat="false" ht="15" hidden="false" customHeight="false" outlineLevel="0" collapsed="false">
      <c r="A5814" s="62" t="n">
        <v>1</v>
      </c>
      <c r="B5814" s="21" t="s">
        <v>336</v>
      </c>
      <c r="C5814" s="62" t="s">
        <v>60</v>
      </c>
      <c r="D5814" s="62" t="s">
        <v>384</v>
      </c>
      <c r="E5814" s="62" t="s">
        <v>382</v>
      </c>
      <c r="F5814" s="62" t="s">
        <v>382</v>
      </c>
      <c r="G5814" s="63" t="s">
        <v>821</v>
      </c>
      <c r="H5814" s="64" t="n">
        <v>2.19569</v>
      </c>
      <c r="I5814" s="62" t="s">
        <v>878</v>
      </c>
      <c r="J5814" s="64" t="n">
        <v>219.569</v>
      </c>
      <c r="K5814" s="62" t="s">
        <v>42</v>
      </c>
      <c r="L5814" s="68" t="b">
        <f aca="false">FALSE()</f>
        <v>0</v>
      </c>
    </row>
    <row r="5815" customFormat="false" ht="15" hidden="false" customHeight="false" outlineLevel="0" collapsed="false">
      <c r="A5815" s="62" t="n">
        <v>1</v>
      </c>
      <c r="B5815" s="21" t="s">
        <v>336</v>
      </c>
      <c r="C5815" s="62" t="s">
        <v>60</v>
      </c>
      <c r="D5815" s="62" t="s">
        <v>385</v>
      </c>
      <c r="E5815" s="62" t="s">
        <v>382</v>
      </c>
      <c r="F5815" s="62" t="s">
        <v>382</v>
      </c>
      <c r="G5815" s="63" t="s">
        <v>821</v>
      </c>
      <c r="H5815" s="64" t="n">
        <v>0.65613</v>
      </c>
      <c r="I5815" s="62" t="s">
        <v>878</v>
      </c>
      <c r="J5815" s="64" t="n">
        <v>65.613</v>
      </c>
      <c r="K5815" s="62" t="s">
        <v>42</v>
      </c>
      <c r="L5815" s="68" t="b">
        <f aca="false">FALSE()</f>
        <v>0</v>
      </c>
    </row>
    <row r="5816" customFormat="false" ht="15" hidden="false" customHeight="false" outlineLevel="0" collapsed="false">
      <c r="A5816" s="62" t="n">
        <v>1</v>
      </c>
      <c r="B5816" s="21" t="s">
        <v>336</v>
      </c>
      <c r="C5816" s="62" t="s">
        <v>60</v>
      </c>
      <c r="D5816" s="62" t="s">
        <v>387</v>
      </c>
      <c r="E5816" s="62" t="s">
        <v>382</v>
      </c>
      <c r="F5816" s="62" t="s">
        <v>382</v>
      </c>
      <c r="G5816" s="63" t="s">
        <v>821</v>
      </c>
      <c r="H5816" s="64" t="n">
        <v>2.81573</v>
      </c>
      <c r="I5816" s="62" t="s">
        <v>878</v>
      </c>
      <c r="J5816" s="64" t="n">
        <v>281.573</v>
      </c>
      <c r="K5816" s="62" t="s">
        <v>42</v>
      </c>
      <c r="L5816" s="68" t="b">
        <f aca="false">FALSE()</f>
        <v>0</v>
      </c>
    </row>
    <row r="5817" customFormat="false" ht="15" hidden="false" customHeight="false" outlineLevel="0" collapsed="false">
      <c r="A5817" s="62" t="n">
        <v>1</v>
      </c>
      <c r="B5817" s="21" t="s">
        <v>336</v>
      </c>
      <c r="C5817" s="62" t="s">
        <v>60</v>
      </c>
      <c r="D5817" s="62" t="s">
        <v>386</v>
      </c>
      <c r="E5817" s="62" t="s">
        <v>382</v>
      </c>
      <c r="F5817" s="62" t="s">
        <v>382</v>
      </c>
      <c r="G5817" s="63" t="s">
        <v>604</v>
      </c>
      <c r="H5817" s="64" t="n">
        <v>0</v>
      </c>
      <c r="I5817" s="62" t="s">
        <v>878</v>
      </c>
      <c r="J5817" s="64" t="n">
        <v>0</v>
      </c>
      <c r="K5817" s="62" t="s">
        <v>42</v>
      </c>
      <c r="L5817" s="68" t="b">
        <f aca="false">FALSE()</f>
        <v>0</v>
      </c>
    </row>
    <row r="5818" customFormat="false" ht="15" hidden="false" customHeight="false" outlineLevel="0" collapsed="false">
      <c r="A5818" s="62" t="n">
        <v>1</v>
      </c>
      <c r="B5818" s="21" t="s">
        <v>336</v>
      </c>
      <c r="C5818" s="62" t="s">
        <v>60</v>
      </c>
      <c r="D5818" s="62" t="s">
        <v>388</v>
      </c>
      <c r="E5818" s="62" t="s">
        <v>382</v>
      </c>
      <c r="F5818" s="62" t="s">
        <v>382</v>
      </c>
      <c r="G5818" s="63" t="s">
        <v>604</v>
      </c>
      <c r="H5818" s="64" t="n">
        <v>3.06</v>
      </c>
      <c r="I5818" s="62" t="s">
        <v>878</v>
      </c>
      <c r="J5818" s="64" t="n">
        <v>306</v>
      </c>
      <c r="K5818" s="62" t="s">
        <v>42</v>
      </c>
      <c r="L5818" s="68" t="b">
        <f aca="false">FALSE()</f>
        <v>0</v>
      </c>
    </row>
    <row r="5819" customFormat="false" ht="15" hidden="false" customHeight="false" outlineLevel="0" collapsed="false">
      <c r="A5819" s="62" t="n">
        <v>1</v>
      </c>
      <c r="B5819" s="21" t="s">
        <v>336</v>
      </c>
      <c r="C5819" s="62" t="s">
        <v>60</v>
      </c>
      <c r="D5819" s="62" t="s">
        <v>381</v>
      </c>
      <c r="E5819" s="62" t="s">
        <v>382</v>
      </c>
      <c r="F5819" s="62" t="s">
        <v>382</v>
      </c>
      <c r="G5819" s="63" t="s">
        <v>600</v>
      </c>
      <c r="H5819" s="64" t="n">
        <v>1.48602</v>
      </c>
      <c r="I5819" s="62" t="s">
        <v>878</v>
      </c>
      <c r="J5819" s="64" t="n">
        <v>148.602</v>
      </c>
      <c r="K5819" s="62" t="s">
        <v>42</v>
      </c>
      <c r="L5819" s="68" t="b">
        <f aca="false">FALSE()</f>
        <v>0</v>
      </c>
    </row>
    <row r="5820" customFormat="false" ht="15" hidden="false" customHeight="false" outlineLevel="0" collapsed="false">
      <c r="A5820" s="62" t="n">
        <v>1</v>
      </c>
      <c r="B5820" s="21" t="s">
        <v>336</v>
      </c>
      <c r="C5820" s="62" t="s">
        <v>60</v>
      </c>
      <c r="D5820" s="62" t="s">
        <v>383</v>
      </c>
      <c r="E5820" s="62" t="s">
        <v>382</v>
      </c>
      <c r="F5820" s="62" t="s">
        <v>382</v>
      </c>
      <c r="G5820" s="63" t="s">
        <v>600</v>
      </c>
      <c r="H5820" s="64" t="n">
        <v>4.55868</v>
      </c>
      <c r="I5820" s="62" t="s">
        <v>878</v>
      </c>
      <c r="J5820" s="64" t="n">
        <v>455.868</v>
      </c>
      <c r="K5820" s="62" t="s">
        <v>42</v>
      </c>
      <c r="L5820" s="68" t="b">
        <f aca="false">FALSE()</f>
        <v>0</v>
      </c>
    </row>
    <row r="5821" customFormat="false" ht="15" hidden="false" customHeight="false" outlineLevel="0" collapsed="false">
      <c r="A5821" s="62" t="n">
        <v>1</v>
      </c>
      <c r="B5821" s="21" t="s">
        <v>336</v>
      </c>
      <c r="C5821" s="62" t="s">
        <v>60</v>
      </c>
      <c r="D5821" s="62" t="s">
        <v>384</v>
      </c>
      <c r="E5821" s="62" t="s">
        <v>382</v>
      </c>
      <c r="F5821" s="62" t="s">
        <v>382</v>
      </c>
      <c r="G5821" s="63" t="s">
        <v>600</v>
      </c>
      <c r="H5821" s="64" t="n">
        <v>4.47115</v>
      </c>
      <c r="I5821" s="62" t="s">
        <v>878</v>
      </c>
      <c r="J5821" s="64" t="n">
        <v>447.115</v>
      </c>
      <c r="K5821" s="62" t="s">
        <v>42</v>
      </c>
      <c r="L5821" s="68" t="b">
        <f aca="false">FALSE()</f>
        <v>0</v>
      </c>
    </row>
    <row r="5822" customFormat="false" ht="15" hidden="false" customHeight="false" outlineLevel="0" collapsed="false">
      <c r="A5822" s="62" t="n">
        <v>1</v>
      </c>
      <c r="B5822" s="21" t="s">
        <v>336</v>
      </c>
      <c r="C5822" s="62" t="s">
        <v>60</v>
      </c>
      <c r="D5822" s="62" t="s">
        <v>385</v>
      </c>
      <c r="E5822" s="62" t="s">
        <v>382</v>
      </c>
      <c r="F5822" s="62" t="s">
        <v>382</v>
      </c>
      <c r="G5822" s="63" t="s">
        <v>600</v>
      </c>
      <c r="H5822" s="64" t="n">
        <v>2.8863</v>
      </c>
      <c r="I5822" s="62" t="s">
        <v>878</v>
      </c>
      <c r="J5822" s="64" t="n">
        <v>288.63</v>
      </c>
      <c r="K5822" s="62" t="s">
        <v>42</v>
      </c>
      <c r="L5822" s="68" t="b">
        <f aca="false">FALSE()</f>
        <v>0</v>
      </c>
    </row>
    <row r="5823" customFormat="false" ht="15" hidden="false" customHeight="false" outlineLevel="0" collapsed="false">
      <c r="A5823" s="62" t="n">
        <v>1</v>
      </c>
      <c r="B5823" s="21" t="s">
        <v>336</v>
      </c>
      <c r="C5823" s="62" t="s">
        <v>60</v>
      </c>
      <c r="D5823" s="62" t="s">
        <v>387</v>
      </c>
      <c r="E5823" s="62" t="s">
        <v>382</v>
      </c>
      <c r="F5823" s="62" t="s">
        <v>382</v>
      </c>
      <c r="G5823" s="63" t="s">
        <v>600</v>
      </c>
      <c r="H5823" s="64" t="n">
        <v>4.00396</v>
      </c>
      <c r="I5823" s="62" t="s">
        <v>878</v>
      </c>
      <c r="J5823" s="64" t="n">
        <v>400.396</v>
      </c>
      <c r="K5823" s="62" t="s">
        <v>42</v>
      </c>
      <c r="L5823" s="68" t="b">
        <f aca="false">FALSE()</f>
        <v>0</v>
      </c>
    </row>
    <row r="5824" customFormat="false" ht="15" hidden="false" customHeight="false" outlineLevel="0" collapsed="false">
      <c r="A5824" s="62" t="n">
        <v>1</v>
      </c>
      <c r="B5824" s="21" t="s">
        <v>336</v>
      </c>
      <c r="C5824" s="62" t="s">
        <v>60</v>
      </c>
      <c r="D5824" s="62" t="s">
        <v>381</v>
      </c>
      <c r="E5824" s="62" t="s">
        <v>382</v>
      </c>
      <c r="F5824" s="62" t="s">
        <v>382</v>
      </c>
      <c r="G5824" s="63" t="s">
        <v>601</v>
      </c>
      <c r="H5824" s="64" t="n">
        <v>0.84891</v>
      </c>
      <c r="I5824" s="62" t="s">
        <v>878</v>
      </c>
      <c r="J5824" s="64" t="n">
        <v>84.891</v>
      </c>
      <c r="K5824" s="62" t="s">
        <v>42</v>
      </c>
      <c r="L5824" s="68" t="b">
        <f aca="false">FALSE()</f>
        <v>0</v>
      </c>
    </row>
    <row r="5825" customFormat="false" ht="15" hidden="false" customHeight="false" outlineLevel="0" collapsed="false">
      <c r="A5825" s="62" t="n">
        <v>1</v>
      </c>
      <c r="B5825" s="21" t="s">
        <v>336</v>
      </c>
      <c r="C5825" s="62" t="s">
        <v>60</v>
      </c>
      <c r="D5825" s="62" t="s">
        <v>383</v>
      </c>
      <c r="E5825" s="62" t="s">
        <v>382</v>
      </c>
      <c r="F5825" s="62" t="s">
        <v>382</v>
      </c>
      <c r="G5825" s="63" t="s">
        <v>601</v>
      </c>
      <c r="H5825" s="64" t="n">
        <v>2.32518</v>
      </c>
      <c r="I5825" s="62" t="s">
        <v>878</v>
      </c>
      <c r="J5825" s="64" t="n">
        <v>232.518</v>
      </c>
      <c r="K5825" s="62" t="s">
        <v>42</v>
      </c>
      <c r="L5825" s="68" t="b">
        <f aca="false">FALSE()</f>
        <v>0</v>
      </c>
    </row>
    <row r="5826" customFormat="false" ht="15" hidden="false" customHeight="false" outlineLevel="0" collapsed="false">
      <c r="A5826" s="62" t="n">
        <v>1</v>
      </c>
      <c r="B5826" s="21" t="s">
        <v>336</v>
      </c>
      <c r="C5826" s="62" t="s">
        <v>60</v>
      </c>
      <c r="D5826" s="62" t="s">
        <v>384</v>
      </c>
      <c r="E5826" s="62" t="s">
        <v>382</v>
      </c>
      <c r="F5826" s="62" t="s">
        <v>382</v>
      </c>
      <c r="G5826" s="63" t="s">
        <v>601</v>
      </c>
      <c r="H5826" s="64" t="n">
        <v>4.64756</v>
      </c>
      <c r="I5826" s="62" t="s">
        <v>878</v>
      </c>
      <c r="J5826" s="64" t="n">
        <v>464.756</v>
      </c>
      <c r="K5826" s="62" t="s">
        <v>42</v>
      </c>
      <c r="L5826" s="68" t="b">
        <f aca="false">FALSE()</f>
        <v>0</v>
      </c>
    </row>
    <row r="5827" customFormat="false" ht="15" hidden="false" customHeight="false" outlineLevel="0" collapsed="false">
      <c r="A5827" s="62" t="n">
        <v>1</v>
      </c>
      <c r="B5827" s="21" t="s">
        <v>336</v>
      </c>
      <c r="C5827" s="62" t="s">
        <v>60</v>
      </c>
      <c r="D5827" s="62" t="s">
        <v>386</v>
      </c>
      <c r="E5827" s="62" t="s">
        <v>382</v>
      </c>
      <c r="F5827" s="62" t="s">
        <v>382</v>
      </c>
      <c r="G5827" s="63" t="s">
        <v>601</v>
      </c>
      <c r="H5827" s="64" t="n">
        <v>2.19076</v>
      </c>
      <c r="I5827" s="62" t="s">
        <v>878</v>
      </c>
      <c r="J5827" s="64" t="n">
        <v>219.076</v>
      </c>
      <c r="K5827" s="62" t="s">
        <v>42</v>
      </c>
      <c r="L5827" s="68" t="b">
        <f aca="false">FALSE()</f>
        <v>0</v>
      </c>
    </row>
    <row r="5828" customFormat="false" ht="15" hidden="false" customHeight="false" outlineLevel="0" collapsed="false">
      <c r="A5828" s="62" t="n">
        <v>1</v>
      </c>
      <c r="B5828" s="21" t="s">
        <v>336</v>
      </c>
      <c r="C5828" s="62" t="s">
        <v>60</v>
      </c>
      <c r="D5828" s="62" t="s">
        <v>387</v>
      </c>
      <c r="E5828" s="62" t="s">
        <v>382</v>
      </c>
      <c r="F5828" s="62" t="s">
        <v>382</v>
      </c>
      <c r="G5828" s="63" t="s">
        <v>601</v>
      </c>
      <c r="H5828" s="64" t="n">
        <v>1.159</v>
      </c>
      <c r="I5828" s="62" t="s">
        <v>878</v>
      </c>
      <c r="J5828" s="64" t="n">
        <v>115.9</v>
      </c>
      <c r="K5828" s="62" t="s">
        <v>42</v>
      </c>
      <c r="L5828" s="68" t="b">
        <f aca="false">FALSE()</f>
        <v>0</v>
      </c>
    </row>
    <row r="5829" customFormat="false" ht="15" hidden="false" customHeight="false" outlineLevel="0" collapsed="false">
      <c r="A5829" s="62" t="n">
        <v>1</v>
      </c>
      <c r="B5829" s="21" t="s">
        <v>336</v>
      </c>
      <c r="C5829" s="62" t="s">
        <v>60</v>
      </c>
      <c r="D5829" s="62" t="s">
        <v>381</v>
      </c>
      <c r="E5829" s="62" t="s">
        <v>382</v>
      </c>
      <c r="F5829" s="62" t="s">
        <v>382</v>
      </c>
      <c r="G5829" s="63" t="s">
        <v>602</v>
      </c>
      <c r="H5829" s="64" t="n">
        <v>2.33493</v>
      </c>
      <c r="I5829" s="62" t="s">
        <v>878</v>
      </c>
      <c r="J5829" s="64" t="n">
        <v>233.493</v>
      </c>
      <c r="K5829" s="62" t="s">
        <v>42</v>
      </c>
      <c r="L5829" s="68" t="b">
        <f aca="false">FALSE()</f>
        <v>0</v>
      </c>
    </row>
    <row r="5830" customFormat="false" ht="15" hidden="false" customHeight="false" outlineLevel="0" collapsed="false">
      <c r="A5830" s="62" t="n">
        <v>1</v>
      </c>
      <c r="B5830" s="21" t="s">
        <v>336</v>
      </c>
      <c r="C5830" s="62" t="s">
        <v>60</v>
      </c>
      <c r="D5830" s="62" t="s">
        <v>383</v>
      </c>
      <c r="E5830" s="62" t="s">
        <v>382</v>
      </c>
      <c r="F5830" s="62" t="s">
        <v>382</v>
      </c>
      <c r="G5830" s="63" t="s">
        <v>602</v>
      </c>
      <c r="H5830" s="64" t="n">
        <v>6.88386</v>
      </c>
      <c r="I5830" s="62" t="s">
        <v>878</v>
      </c>
      <c r="J5830" s="64" t="n">
        <v>688.386</v>
      </c>
      <c r="K5830" s="62" t="s">
        <v>42</v>
      </c>
      <c r="L5830" s="68" t="b">
        <f aca="false">FALSE()</f>
        <v>0</v>
      </c>
    </row>
    <row r="5831" customFormat="false" ht="15" hidden="false" customHeight="false" outlineLevel="0" collapsed="false">
      <c r="A5831" s="62" t="n">
        <v>1</v>
      </c>
      <c r="B5831" s="21" t="s">
        <v>336</v>
      </c>
      <c r="C5831" s="62" t="s">
        <v>60</v>
      </c>
      <c r="D5831" s="62" t="s">
        <v>384</v>
      </c>
      <c r="E5831" s="62" t="s">
        <v>382</v>
      </c>
      <c r="F5831" s="62" t="s">
        <v>382</v>
      </c>
      <c r="G5831" s="63" t="s">
        <v>602</v>
      </c>
      <c r="H5831" s="64" t="n">
        <v>9.11871</v>
      </c>
      <c r="I5831" s="62" t="s">
        <v>878</v>
      </c>
      <c r="J5831" s="64" t="n">
        <v>911.871</v>
      </c>
      <c r="K5831" s="62" t="s">
        <v>42</v>
      </c>
      <c r="L5831" s="68" t="b">
        <f aca="false">FALSE()</f>
        <v>0</v>
      </c>
    </row>
    <row r="5832" customFormat="false" ht="15" hidden="false" customHeight="false" outlineLevel="0" collapsed="false">
      <c r="A5832" s="62" t="n">
        <v>1</v>
      </c>
      <c r="B5832" s="21" t="s">
        <v>336</v>
      </c>
      <c r="C5832" s="62" t="s">
        <v>60</v>
      </c>
      <c r="D5832" s="62" t="s">
        <v>385</v>
      </c>
      <c r="E5832" s="62" t="s">
        <v>382</v>
      </c>
      <c r="F5832" s="62" t="s">
        <v>382</v>
      </c>
      <c r="G5832" s="63" t="s">
        <v>602</v>
      </c>
      <c r="H5832" s="64" t="n">
        <v>2.8863</v>
      </c>
      <c r="I5832" s="62" t="s">
        <v>878</v>
      </c>
      <c r="J5832" s="64" t="n">
        <v>288.63</v>
      </c>
      <c r="K5832" s="62" t="s">
        <v>42</v>
      </c>
      <c r="L5832" s="68" t="b">
        <f aca="false">FALSE()</f>
        <v>0</v>
      </c>
    </row>
    <row r="5833" customFormat="false" ht="15" hidden="false" customHeight="false" outlineLevel="0" collapsed="false">
      <c r="A5833" s="62" t="n">
        <v>1</v>
      </c>
      <c r="B5833" s="21" t="s">
        <v>336</v>
      </c>
      <c r="C5833" s="62" t="s">
        <v>60</v>
      </c>
      <c r="D5833" s="62" t="s">
        <v>386</v>
      </c>
      <c r="E5833" s="62" t="s">
        <v>382</v>
      </c>
      <c r="F5833" s="62" t="s">
        <v>382</v>
      </c>
      <c r="G5833" s="63" t="s">
        <v>602</v>
      </c>
      <c r="H5833" s="64" t="n">
        <v>2.19076</v>
      </c>
      <c r="I5833" s="62" t="s">
        <v>878</v>
      </c>
      <c r="J5833" s="64" t="n">
        <v>219.076</v>
      </c>
      <c r="K5833" s="62" t="s">
        <v>42</v>
      </c>
      <c r="L5833" s="68" t="b">
        <f aca="false">FALSE()</f>
        <v>0</v>
      </c>
    </row>
    <row r="5834" customFormat="false" ht="15" hidden="false" customHeight="false" outlineLevel="0" collapsed="false">
      <c r="A5834" s="62" t="n">
        <v>1</v>
      </c>
      <c r="B5834" s="21" t="s">
        <v>336</v>
      </c>
      <c r="C5834" s="62" t="s">
        <v>60</v>
      </c>
      <c r="D5834" s="62" t="s">
        <v>387</v>
      </c>
      <c r="E5834" s="62" t="s">
        <v>382</v>
      </c>
      <c r="F5834" s="62" t="s">
        <v>382</v>
      </c>
      <c r="G5834" s="63" t="s">
        <v>602</v>
      </c>
      <c r="H5834" s="64" t="n">
        <v>5.16297</v>
      </c>
      <c r="I5834" s="62" t="s">
        <v>878</v>
      </c>
      <c r="J5834" s="64" t="n">
        <v>516.297</v>
      </c>
      <c r="K5834" s="62" t="s">
        <v>42</v>
      </c>
      <c r="L5834" s="68" t="b">
        <f aca="false">FALSE()</f>
        <v>0</v>
      </c>
    </row>
    <row r="5835" customFormat="false" ht="15" hidden="false" customHeight="false" outlineLevel="0" collapsed="false">
      <c r="A5835" s="62" t="n">
        <v>1</v>
      </c>
      <c r="B5835" s="21" t="s">
        <v>336</v>
      </c>
      <c r="C5835" s="62" t="s">
        <v>60</v>
      </c>
      <c r="D5835" s="62" t="s">
        <v>388</v>
      </c>
      <c r="E5835" s="62" t="s">
        <v>382</v>
      </c>
      <c r="F5835" s="62" t="s">
        <v>382</v>
      </c>
      <c r="G5835" s="63" t="s">
        <v>602</v>
      </c>
      <c r="H5835" s="64" t="n">
        <v>0</v>
      </c>
      <c r="I5835" s="62" t="s">
        <v>878</v>
      </c>
      <c r="J5835" s="64" t="n">
        <v>0</v>
      </c>
      <c r="K5835" s="62" t="s">
        <v>42</v>
      </c>
      <c r="L5835" s="68" t="b">
        <f aca="false">FALSE()</f>
        <v>0</v>
      </c>
    </row>
    <row r="5836" customFormat="false" ht="15" hidden="false" customHeight="false" outlineLevel="0" collapsed="false">
      <c r="A5836" s="62" t="n">
        <v>1</v>
      </c>
      <c r="B5836" s="21" t="s">
        <v>336</v>
      </c>
      <c r="C5836" s="62" t="s">
        <v>60</v>
      </c>
      <c r="D5836" s="62" t="s">
        <v>381</v>
      </c>
      <c r="E5836" s="62" t="s">
        <v>382</v>
      </c>
      <c r="F5836" s="62" t="s">
        <v>382</v>
      </c>
      <c r="G5836" s="63" t="s">
        <v>603</v>
      </c>
      <c r="H5836" s="64" t="n">
        <v>-2.33493</v>
      </c>
      <c r="I5836" s="62" t="s">
        <v>878</v>
      </c>
      <c r="J5836" s="64" t="n">
        <v>-233.493</v>
      </c>
      <c r="K5836" s="62" t="s">
        <v>42</v>
      </c>
      <c r="L5836" s="68" t="b">
        <f aca="false">FALSE()</f>
        <v>0</v>
      </c>
    </row>
    <row r="5837" customFormat="false" ht="15" hidden="false" customHeight="false" outlineLevel="0" collapsed="false">
      <c r="A5837" s="62" t="n">
        <v>1</v>
      </c>
      <c r="B5837" s="21" t="s">
        <v>336</v>
      </c>
      <c r="C5837" s="62" t="s">
        <v>60</v>
      </c>
      <c r="D5837" s="62" t="s">
        <v>383</v>
      </c>
      <c r="E5837" s="62" t="s">
        <v>382</v>
      </c>
      <c r="F5837" s="62" t="s">
        <v>382</v>
      </c>
      <c r="G5837" s="63" t="s">
        <v>603</v>
      </c>
      <c r="H5837" s="64" t="n">
        <v>-6.88386</v>
      </c>
      <c r="I5837" s="62" t="s">
        <v>878</v>
      </c>
      <c r="J5837" s="64" t="n">
        <v>-688.386</v>
      </c>
      <c r="K5837" s="62" t="s">
        <v>42</v>
      </c>
      <c r="L5837" s="68" t="b">
        <f aca="false">FALSE()</f>
        <v>0</v>
      </c>
    </row>
    <row r="5838" customFormat="false" ht="15" hidden="false" customHeight="false" outlineLevel="0" collapsed="false">
      <c r="A5838" s="62" t="n">
        <v>1</v>
      </c>
      <c r="B5838" s="21" t="s">
        <v>336</v>
      </c>
      <c r="C5838" s="62" t="s">
        <v>60</v>
      </c>
      <c r="D5838" s="62" t="s">
        <v>384</v>
      </c>
      <c r="E5838" s="62" t="s">
        <v>382</v>
      </c>
      <c r="F5838" s="62" t="s">
        <v>382</v>
      </c>
      <c r="G5838" s="63" t="s">
        <v>603</v>
      </c>
      <c r="H5838" s="64" t="n">
        <v>-9.11871</v>
      </c>
      <c r="I5838" s="62" t="s">
        <v>878</v>
      </c>
      <c r="J5838" s="64" t="n">
        <v>-911.871</v>
      </c>
      <c r="K5838" s="62" t="s">
        <v>42</v>
      </c>
      <c r="L5838" s="68" t="b">
        <f aca="false">TRUE()</f>
        <v>1</v>
      </c>
    </row>
    <row r="5839" customFormat="false" ht="15" hidden="false" customHeight="false" outlineLevel="0" collapsed="false">
      <c r="A5839" s="62" t="n">
        <v>1</v>
      </c>
      <c r="B5839" s="21" t="s">
        <v>336</v>
      </c>
      <c r="C5839" s="62" t="s">
        <v>60</v>
      </c>
      <c r="D5839" s="62" t="s">
        <v>385</v>
      </c>
      <c r="E5839" s="62" t="s">
        <v>382</v>
      </c>
      <c r="F5839" s="62" t="s">
        <v>382</v>
      </c>
      <c r="G5839" s="63" t="s">
        <v>603</v>
      </c>
      <c r="H5839" s="64" t="n">
        <v>-2.8863</v>
      </c>
      <c r="I5839" s="62" t="s">
        <v>878</v>
      </c>
      <c r="J5839" s="64" t="n">
        <v>-288.63</v>
      </c>
      <c r="K5839" s="62" t="s">
        <v>42</v>
      </c>
      <c r="L5839" s="68" t="b">
        <f aca="false">TRUE()</f>
        <v>1</v>
      </c>
    </row>
    <row r="5840" customFormat="false" ht="15" hidden="false" customHeight="false" outlineLevel="0" collapsed="false">
      <c r="A5840" s="62" t="n">
        <v>1</v>
      </c>
      <c r="B5840" s="21" t="s">
        <v>336</v>
      </c>
      <c r="C5840" s="62" t="s">
        <v>60</v>
      </c>
      <c r="D5840" s="62" t="s">
        <v>386</v>
      </c>
      <c r="E5840" s="62" t="s">
        <v>382</v>
      </c>
      <c r="F5840" s="62" t="s">
        <v>382</v>
      </c>
      <c r="G5840" s="63" t="s">
        <v>603</v>
      </c>
      <c r="H5840" s="64" t="n">
        <v>-2.19076</v>
      </c>
      <c r="I5840" s="62" t="s">
        <v>878</v>
      </c>
      <c r="J5840" s="64" t="n">
        <v>-219.076</v>
      </c>
      <c r="K5840" s="62" t="s">
        <v>42</v>
      </c>
      <c r="L5840" s="68" t="b">
        <f aca="false">TRUE()</f>
        <v>1</v>
      </c>
    </row>
    <row r="5841" customFormat="false" ht="15" hidden="false" customHeight="false" outlineLevel="0" collapsed="false">
      <c r="A5841" s="62" t="n">
        <v>1</v>
      </c>
      <c r="B5841" s="21" t="s">
        <v>336</v>
      </c>
      <c r="C5841" s="62" t="s">
        <v>60</v>
      </c>
      <c r="D5841" s="62" t="s">
        <v>387</v>
      </c>
      <c r="E5841" s="62" t="s">
        <v>382</v>
      </c>
      <c r="F5841" s="62" t="s">
        <v>382</v>
      </c>
      <c r="G5841" s="63" t="s">
        <v>603</v>
      </c>
      <c r="H5841" s="64" t="n">
        <v>-5.16297</v>
      </c>
      <c r="I5841" s="62" t="s">
        <v>878</v>
      </c>
      <c r="J5841" s="64" t="n">
        <v>-516.297</v>
      </c>
      <c r="K5841" s="62" t="s">
        <v>42</v>
      </c>
      <c r="L5841" s="68" t="b">
        <f aca="false">FALSE()</f>
        <v>0</v>
      </c>
    </row>
    <row r="5842" customFormat="false" ht="15" hidden="false" customHeight="false" outlineLevel="0" collapsed="false">
      <c r="A5842" s="62" t="n">
        <v>1</v>
      </c>
      <c r="B5842" s="21" t="s">
        <v>336</v>
      </c>
      <c r="C5842" s="62" t="s">
        <v>60</v>
      </c>
      <c r="D5842" s="62" t="s">
        <v>388</v>
      </c>
      <c r="E5842" s="62" t="s">
        <v>382</v>
      </c>
      <c r="F5842" s="62" t="s">
        <v>382</v>
      </c>
      <c r="G5842" s="63" t="s">
        <v>603</v>
      </c>
      <c r="H5842" s="64" t="n">
        <v>0</v>
      </c>
      <c r="I5842" s="62" t="s">
        <v>878</v>
      </c>
      <c r="J5842" s="64" t="n">
        <v>0</v>
      </c>
      <c r="K5842" s="62" t="s">
        <v>42</v>
      </c>
      <c r="L5842" s="68" t="b">
        <f aca="false">TRUE()</f>
        <v>1</v>
      </c>
    </row>
    <row r="5843" customFormat="false" ht="15" hidden="false" customHeight="false" outlineLevel="0" collapsed="false">
      <c r="A5843" s="62" t="n">
        <v>1</v>
      </c>
      <c r="B5843" s="21" t="s">
        <v>336</v>
      </c>
      <c r="C5843" s="62" t="s">
        <v>60</v>
      </c>
      <c r="D5843" s="62" t="s">
        <v>381</v>
      </c>
      <c r="E5843" s="62" t="s">
        <v>382</v>
      </c>
      <c r="F5843" s="62" t="s">
        <v>382</v>
      </c>
      <c r="G5843" s="63" t="s">
        <v>604</v>
      </c>
      <c r="H5843" s="64" t="n">
        <v>8.17</v>
      </c>
      <c r="I5843" s="62" t="s">
        <v>878</v>
      </c>
      <c r="J5843" s="64" t="n">
        <v>817</v>
      </c>
      <c r="K5843" s="62" t="s">
        <v>42</v>
      </c>
      <c r="L5843" s="68" t="b">
        <f aca="false">FALSE()</f>
        <v>0</v>
      </c>
    </row>
    <row r="5844" customFormat="false" ht="15" hidden="false" customHeight="false" outlineLevel="0" collapsed="false">
      <c r="A5844" s="62" t="n">
        <v>1</v>
      </c>
      <c r="B5844" s="21" t="s">
        <v>336</v>
      </c>
      <c r="C5844" s="62" t="s">
        <v>60</v>
      </c>
      <c r="D5844" s="62" t="s">
        <v>386</v>
      </c>
      <c r="E5844" s="62" t="s">
        <v>382</v>
      </c>
      <c r="F5844" s="62" t="s">
        <v>382</v>
      </c>
      <c r="G5844" s="63" t="s">
        <v>822</v>
      </c>
      <c r="H5844" s="64" t="n">
        <v>12.71</v>
      </c>
      <c r="I5844" s="62" t="s">
        <v>878</v>
      </c>
      <c r="J5844" s="64" t="n">
        <v>1271</v>
      </c>
      <c r="K5844" s="62" t="s">
        <v>42</v>
      </c>
      <c r="L5844" s="68" t="b">
        <f aca="false">FALSE()</f>
        <v>0</v>
      </c>
    </row>
    <row r="5845" customFormat="false" ht="15" hidden="false" customHeight="false" outlineLevel="0" collapsed="false">
      <c r="A5845" s="62" t="n">
        <v>1</v>
      </c>
      <c r="B5845" s="21" t="s">
        <v>336</v>
      </c>
      <c r="C5845" s="62" t="s">
        <v>60</v>
      </c>
      <c r="D5845" s="62" t="s">
        <v>388</v>
      </c>
      <c r="E5845" s="62" t="s">
        <v>382</v>
      </c>
      <c r="F5845" s="62" t="s">
        <v>382</v>
      </c>
      <c r="G5845" s="63" t="s">
        <v>822</v>
      </c>
      <c r="H5845" s="64" t="n">
        <v>7.84</v>
      </c>
      <c r="I5845" s="62" t="s">
        <v>878</v>
      </c>
      <c r="J5845" s="64" t="n">
        <v>784</v>
      </c>
      <c r="K5845" s="62" t="s">
        <v>42</v>
      </c>
      <c r="L5845" s="68" t="b">
        <f aca="false">FALSE()</f>
        <v>0</v>
      </c>
    </row>
    <row r="5846" customFormat="false" ht="15" hidden="false" customHeight="false" outlineLevel="0" collapsed="false">
      <c r="A5846" s="62" t="n">
        <v>1</v>
      </c>
      <c r="B5846" s="21" t="s">
        <v>336</v>
      </c>
      <c r="C5846" s="62" t="s">
        <v>60</v>
      </c>
      <c r="D5846" s="62" t="s">
        <v>381</v>
      </c>
      <c r="E5846" s="62" t="s">
        <v>382</v>
      </c>
      <c r="F5846" s="62" t="s">
        <v>382</v>
      </c>
      <c r="G5846" s="63" t="s">
        <v>823</v>
      </c>
      <c r="H5846" s="64" t="n">
        <v>6.16</v>
      </c>
      <c r="I5846" s="62" t="s">
        <v>878</v>
      </c>
      <c r="J5846" s="64" t="n">
        <v>616</v>
      </c>
      <c r="K5846" s="62" t="s">
        <v>42</v>
      </c>
      <c r="L5846" s="68" t="b">
        <f aca="false">FALSE()</f>
        <v>0</v>
      </c>
    </row>
    <row r="5847" customFormat="false" ht="15" hidden="false" customHeight="false" outlineLevel="0" collapsed="false">
      <c r="A5847" s="62" t="n">
        <v>1</v>
      </c>
      <c r="B5847" s="21" t="s">
        <v>336</v>
      </c>
      <c r="C5847" s="62" t="s">
        <v>60</v>
      </c>
      <c r="D5847" s="62" t="s">
        <v>383</v>
      </c>
      <c r="E5847" s="62" t="s">
        <v>382</v>
      </c>
      <c r="F5847" s="62" t="s">
        <v>382</v>
      </c>
      <c r="G5847" s="63" t="s">
        <v>823</v>
      </c>
      <c r="H5847" s="64" t="n">
        <v>2.142</v>
      </c>
      <c r="I5847" s="62" t="s">
        <v>878</v>
      </c>
      <c r="J5847" s="64" t="n">
        <v>214.2</v>
      </c>
      <c r="K5847" s="62" t="s">
        <v>42</v>
      </c>
      <c r="L5847" s="68" t="b">
        <f aca="false">FALSE()</f>
        <v>0</v>
      </c>
    </row>
    <row r="5848" customFormat="false" ht="15" hidden="false" customHeight="false" outlineLevel="0" collapsed="false">
      <c r="A5848" s="62" t="n">
        <v>1</v>
      </c>
      <c r="B5848" s="21" t="s">
        <v>336</v>
      </c>
      <c r="C5848" s="62" t="s">
        <v>60</v>
      </c>
      <c r="D5848" s="62" t="s">
        <v>387</v>
      </c>
      <c r="E5848" s="62" t="s">
        <v>382</v>
      </c>
      <c r="F5848" s="62" t="s">
        <v>382</v>
      </c>
      <c r="G5848" s="63" t="s">
        <v>823</v>
      </c>
      <c r="H5848" s="64" t="n">
        <v>2.87616</v>
      </c>
      <c r="I5848" s="62" t="s">
        <v>878</v>
      </c>
      <c r="J5848" s="64" t="n">
        <v>287.616</v>
      </c>
      <c r="K5848" s="62" t="s">
        <v>42</v>
      </c>
      <c r="L5848" s="68" t="b">
        <f aca="false">FALSE()</f>
        <v>0</v>
      </c>
    </row>
    <row r="5849" customFormat="false" ht="15" hidden="false" customHeight="false" outlineLevel="0" collapsed="false">
      <c r="A5849" s="62" t="n">
        <v>1</v>
      </c>
      <c r="B5849" s="21" t="s">
        <v>336</v>
      </c>
      <c r="C5849" s="62" t="s">
        <v>60</v>
      </c>
      <c r="D5849" s="62" t="s">
        <v>388</v>
      </c>
      <c r="E5849" s="62" t="s">
        <v>382</v>
      </c>
      <c r="F5849" s="62" t="s">
        <v>382</v>
      </c>
      <c r="G5849" s="63" t="s">
        <v>823</v>
      </c>
      <c r="H5849" s="64" t="n">
        <v>1.68</v>
      </c>
      <c r="I5849" s="62" t="s">
        <v>878</v>
      </c>
      <c r="J5849" s="64" t="n">
        <v>168</v>
      </c>
      <c r="K5849" s="62" t="s">
        <v>42</v>
      </c>
      <c r="L5849" s="68" t="b">
        <f aca="false">FALSE()</f>
        <v>0</v>
      </c>
    </row>
    <row r="5850" customFormat="false" ht="15" hidden="false" customHeight="false" outlineLevel="0" collapsed="false">
      <c r="A5850" s="62" t="n">
        <v>1</v>
      </c>
      <c r="B5850" s="21" t="s">
        <v>336</v>
      </c>
      <c r="C5850" s="62" t="s">
        <v>60</v>
      </c>
      <c r="D5850" s="62" t="s">
        <v>381</v>
      </c>
      <c r="E5850" s="62" t="s">
        <v>382</v>
      </c>
      <c r="F5850" s="62" t="s">
        <v>382</v>
      </c>
      <c r="G5850" s="63" t="s">
        <v>824</v>
      </c>
      <c r="H5850" s="64" t="n">
        <v>2</v>
      </c>
      <c r="I5850" s="62" t="s">
        <v>878</v>
      </c>
      <c r="J5850" s="64" t="n">
        <v>200</v>
      </c>
      <c r="K5850" s="62" t="s">
        <v>42</v>
      </c>
      <c r="L5850" s="68" t="b">
        <f aca="false">FALSE()</f>
        <v>0</v>
      </c>
    </row>
    <row r="5851" customFormat="false" ht="15" hidden="false" customHeight="false" outlineLevel="0" collapsed="false">
      <c r="A5851" s="62" t="n">
        <v>1</v>
      </c>
      <c r="B5851" s="21" t="s">
        <v>336</v>
      </c>
      <c r="C5851" s="62" t="s">
        <v>60</v>
      </c>
      <c r="D5851" s="62" t="s">
        <v>383</v>
      </c>
      <c r="E5851" s="62" t="s">
        <v>382</v>
      </c>
      <c r="F5851" s="62" t="s">
        <v>382</v>
      </c>
      <c r="G5851" s="63" t="s">
        <v>825</v>
      </c>
      <c r="H5851" s="64" t="n">
        <v>2.142</v>
      </c>
      <c r="I5851" s="62" t="s">
        <v>878</v>
      </c>
      <c r="J5851" s="64" t="n">
        <v>214.2</v>
      </c>
      <c r="K5851" s="62" t="s">
        <v>42</v>
      </c>
      <c r="L5851" s="68" t="b">
        <f aca="false">FALSE()</f>
        <v>0</v>
      </c>
    </row>
    <row r="5852" customFormat="false" ht="15" hidden="false" customHeight="false" outlineLevel="0" collapsed="false">
      <c r="A5852" s="62" t="n">
        <v>1</v>
      </c>
      <c r="B5852" s="21" t="s">
        <v>336</v>
      </c>
      <c r="C5852" s="62" t="s">
        <v>60</v>
      </c>
      <c r="D5852" s="62" t="s">
        <v>387</v>
      </c>
      <c r="E5852" s="62" t="s">
        <v>382</v>
      </c>
      <c r="F5852" s="62" t="s">
        <v>382</v>
      </c>
      <c r="G5852" s="63" t="s">
        <v>825</v>
      </c>
      <c r="H5852" s="64" t="n">
        <v>2.87616</v>
      </c>
      <c r="I5852" s="62" t="s">
        <v>878</v>
      </c>
      <c r="J5852" s="64" t="n">
        <v>287.616</v>
      </c>
      <c r="K5852" s="62" t="s">
        <v>42</v>
      </c>
      <c r="L5852" s="68" t="b">
        <f aca="false">FALSE()</f>
        <v>0</v>
      </c>
    </row>
    <row r="5853" customFormat="false" ht="15" hidden="false" customHeight="false" outlineLevel="0" collapsed="false">
      <c r="A5853" s="62" t="n">
        <v>1</v>
      </c>
      <c r="B5853" s="21" t="s">
        <v>336</v>
      </c>
      <c r="C5853" s="62" t="s">
        <v>60</v>
      </c>
      <c r="D5853" s="62" t="s">
        <v>388</v>
      </c>
      <c r="E5853" s="62" t="s">
        <v>382</v>
      </c>
      <c r="F5853" s="62" t="s">
        <v>382</v>
      </c>
      <c r="G5853" s="63" t="s">
        <v>825</v>
      </c>
      <c r="H5853" s="64" t="n">
        <v>1.68</v>
      </c>
      <c r="I5853" s="62" t="s">
        <v>878</v>
      </c>
      <c r="J5853" s="64" t="n">
        <v>168</v>
      </c>
      <c r="K5853" s="62" t="s">
        <v>42</v>
      </c>
      <c r="L5853" s="68" t="b">
        <f aca="false">FALSE()</f>
        <v>0</v>
      </c>
    </row>
    <row r="5854" customFormat="false" ht="15" hidden="false" customHeight="false" outlineLevel="0" collapsed="false">
      <c r="A5854" s="62" t="n">
        <v>1</v>
      </c>
      <c r="B5854" s="21" t="s">
        <v>336</v>
      </c>
      <c r="C5854" s="62" t="s">
        <v>60</v>
      </c>
      <c r="D5854" s="62" t="s">
        <v>381</v>
      </c>
      <c r="E5854" s="62" t="s">
        <v>382</v>
      </c>
      <c r="F5854" s="62" t="s">
        <v>382</v>
      </c>
      <c r="G5854" s="63" t="s">
        <v>826</v>
      </c>
      <c r="H5854" s="64" t="n">
        <v>-2.43325</v>
      </c>
      <c r="I5854" s="62" t="s">
        <v>878</v>
      </c>
      <c r="J5854" s="64" t="n">
        <v>-243.325</v>
      </c>
      <c r="K5854" s="62" t="s">
        <v>42</v>
      </c>
      <c r="L5854" s="68" t="b">
        <f aca="false">FALSE()</f>
        <v>0</v>
      </c>
    </row>
    <row r="5855" customFormat="false" ht="15" hidden="false" customHeight="false" outlineLevel="0" collapsed="false">
      <c r="A5855" s="62" t="n">
        <v>1</v>
      </c>
      <c r="B5855" s="21" t="s">
        <v>336</v>
      </c>
      <c r="C5855" s="62" t="s">
        <v>60</v>
      </c>
      <c r="D5855" s="62" t="s">
        <v>383</v>
      </c>
      <c r="E5855" s="62" t="s">
        <v>382</v>
      </c>
      <c r="F5855" s="62" t="s">
        <v>382</v>
      </c>
      <c r="G5855" s="63" t="s">
        <v>826</v>
      </c>
      <c r="H5855" s="64" t="n">
        <v>-2.142</v>
      </c>
      <c r="I5855" s="62" t="s">
        <v>878</v>
      </c>
      <c r="J5855" s="64" t="n">
        <v>-214.2</v>
      </c>
      <c r="K5855" s="62" t="s">
        <v>42</v>
      </c>
      <c r="L5855" s="68" t="b">
        <f aca="false">FALSE()</f>
        <v>0</v>
      </c>
    </row>
    <row r="5856" customFormat="false" ht="15" hidden="false" customHeight="false" outlineLevel="0" collapsed="false">
      <c r="A5856" s="62" t="n">
        <v>1</v>
      </c>
      <c r="B5856" s="21" t="s">
        <v>336</v>
      </c>
      <c r="C5856" s="62" t="s">
        <v>60</v>
      </c>
      <c r="D5856" s="62" t="s">
        <v>387</v>
      </c>
      <c r="E5856" s="62" t="s">
        <v>382</v>
      </c>
      <c r="F5856" s="62" t="s">
        <v>382</v>
      </c>
      <c r="G5856" s="63" t="s">
        <v>826</v>
      </c>
      <c r="H5856" s="64" t="n">
        <v>-2.44981</v>
      </c>
      <c r="I5856" s="62" t="s">
        <v>878</v>
      </c>
      <c r="J5856" s="64" t="n">
        <v>-244.981</v>
      </c>
      <c r="K5856" s="62" t="s">
        <v>42</v>
      </c>
      <c r="L5856" s="68" t="b">
        <f aca="false">FALSE()</f>
        <v>0</v>
      </c>
    </row>
    <row r="5857" customFormat="false" ht="15" hidden="false" customHeight="false" outlineLevel="0" collapsed="false">
      <c r="A5857" s="62" t="n">
        <v>1</v>
      </c>
      <c r="B5857" s="21" t="s">
        <v>336</v>
      </c>
      <c r="C5857" s="62" t="s">
        <v>60</v>
      </c>
      <c r="D5857" s="62" t="s">
        <v>388</v>
      </c>
      <c r="E5857" s="62" t="s">
        <v>382</v>
      </c>
      <c r="F5857" s="62" t="s">
        <v>382</v>
      </c>
      <c r="G5857" s="63" t="s">
        <v>826</v>
      </c>
      <c r="H5857" s="64" t="n">
        <v>-1.68</v>
      </c>
      <c r="I5857" s="62" t="s">
        <v>878</v>
      </c>
      <c r="J5857" s="64" t="n">
        <v>-168</v>
      </c>
      <c r="K5857" s="62" t="s">
        <v>42</v>
      </c>
      <c r="L5857" s="68" t="b">
        <f aca="false">FALSE()</f>
        <v>0</v>
      </c>
    </row>
    <row r="5858" customFormat="false" ht="15" hidden="false" customHeight="false" outlineLevel="0" collapsed="false">
      <c r="A5858" s="62" t="n">
        <v>1</v>
      </c>
      <c r="B5858" s="21" t="s">
        <v>336</v>
      </c>
      <c r="C5858" s="62" t="s">
        <v>60</v>
      </c>
      <c r="D5858" s="62" t="s">
        <v>381</v>
      </c>
      <c r="E5858" s="62" t="s">
        <v>382</v>
      </c>
      <c r="F5858" s="62" t="s">
        <v>382</v>
      </c>
      <c r="G5858" s="63" t="s">
        <v>827</v>
      </c>
      <c r="H5858" s="64" t="n">
        <v>-2.77464</v>
      </c>
      <c r="I5858" s="62" t="s">
        <v>878</v>
      </c>
      <c r="J5858" s="64" t="n">
        <v>-277.464</v>
      </c>
      <c r="K5858" s="62" t="s">
        <v>42</v>
      </c>
      <c r="L5858" s="68" t="b">
        <f aca="false">FALSE()</f>
        <v>0</v>
      </c>
    </row>
    <row r="5859" customFormat="false" ht="15" hidden="false" customHeight="false" outlineLevel="0" collapsed="false">
      <c r="A5859" s="62" t="n">
        <v>1</v>
      </c>
      <c r="B5859" s="21" t="s">
        <v>336</v>
      </c>
      <c r="C5859" s="62" t="s">
        <v>60</v>
      </c>
      <c r="D5859" s="62" t="s">
        <v>383</v>
      </c>
      <c r="E5859" s="62" t="s">
        <v>382</v>
      </c>
      <c r="F5859" s="62" t="s">
        <v>382</v>
      </c>
      <c r="G5859" s="63" t="s">
        <v>827</v>
      </c>
      <c r="H5859" s="64" t="n">
        <v>0</v>
      </c>
      <c r="I5859" s="62" t="s">
        <v>878</v>
      </c>
      <c r="J5859" s="64" t="n">
        <v>0</v>
      </c>
      <c r="K5859" s="62" t="s">
        <v>42</v>
      </c>
      <c r="L5859" s="68" t="b">
        <f aca="false">FALSE()</f>
        <v>0</v>
      </c>
    </row>
    <row r="5860" customFormat="false" ht="15" hidden="false" customHeight="false" outlineLevel="0" collapsed="false">
      <c r="A5860" s="62" t="n">
        <v>1</v>
      </c>
      <c r="B5860" s="21" t="s">
        <v>336</v>
      </c>
      <c r="C5860" s="62" t="s">
        <v>60</v>
      </c>
      <c r="D5860" s="62" t="s">
        <v>387</v>
      </c>
      <c r="E5860" s="62" t="s">
        <v>382</v>
      </c>
      <c r="F5860" s="62" t="s">
        <v>382</v>
      </c>
      <c r="G5860" s="63" t="s">
        <v>827</v>
      </c>
      <c r="H5860" s="64" t="n">
        <v>-0.42635</v>
      </c>
      <c r="I5860" s="62" t="s">
        <v>878</v>
      </c>
      <c r="J5860" s="64" t="n">
        <v>-42.635</v>
      </c>
      <c r="K5860" s="62" t="s">
        <v>42</v>
      </c>
      <c r="L5860" s="68" t="b">
        <f aca="false">FALSE()</f>
        <v>0</v>
      </c>
    </row>
    <row r="5861" customFormat="false" ht="15" hidden="false" customHeight="false" outlineLevel="0" collapsed="false">
      <c r="A5861" s="62" t="n">
        <v>1</v>
      </c>
      <c r="B5861" s="21" t="s">
        <v>336</v>
      </c>
      <c r="C5861" s="62" t="s">
        <v>60</v>
      </c>
      <c r="D5861" s="62" t="s">
        <v>381</v>
      </c>
      <c r="E5861" s="62" t="s">
        <v>382</v>
      </c>
      <c r="F5861" s="62" t="s">
        <v>382</v>
      </c>
      <c r="G5861" s="63" t="s">
        <v>821</v>
      </c>
      <c r="H5861" s="64" t="n">
        <v>2.95211</v>
      </c>
      <c r="I5861" s="62" t="s">
        <v>878</v>
      </c>
      <c r="J5861" s="64" t="n">
        <v>295.211</v>
      </c>
      <c r="K5861" s="62" t="s">
        <v>42</v>
      </c>
      <c r="L5861" s="68" t="b">
        <f aca="false">FALSE()</f>
        <v>0</v>
      </c>
    </row>
    <row r="5862" customFormat="false" ht="15" hidden="false" customHeight="false" outlineLevel="0" collapsed="false">
      <c r="A5862" s="62" t="n">
        <v>1</v>
      </c>
      <c r="B5862" s="21" t="s">
        <v>336</v>
      </c>
      <c r="C5862" s="62" t="s">
        <v>60</v>
      </c>
      <c r="D5862" s="62" t="s">
        <v>383</v>
      </c>
      <c r="E5862" s="62" t="s">
        <v>382</v>
      </c>
      <c r="F5862" s="62" t="s">
        <v>382</v>
      </c>
      <c r="G5862" s="63" t="s">
        <v>604</v>
      </c>
      <c r="H5862" s="64" t="n">
        <v>0.07</v>
      </c>
      <c r="I5862" s="62" t="s">
        <v>878</v>
      </c>
      <c r="J5862" s="64" t="n">
        <v>7</v>
      </c>
      <c r="K5862" s="62" t="s">
        <v>42</v>
      </c>
      <c r="L5862" s="68" t="b">
        <f aca="false">FALSE()</f>
        <v>0</v>
      </c>
    </row>
    <row r="5863" customFormat="false" ht="15" hidden="false" customHeight="false" outlineLevel="0" collapsed="false">
      <c r="A5863" s="62" t="n">
        <v>1</v>
      </c>
      <c r="B5863" s="21" t="s">
        <v>336</v>
      </c>
      <c r="C5863" s="62" t="s">
        <v>60</v>
      </c>
      <c r="D5863" s="62" t="s">
        <v>388</v>
      </c>
      <c r="E5863" s="62" t="s">
        <v>382</v>
      </c>
      <c r="F5863" s="62" t="s">
        <v>382</v>
      </c>
      <c r="G5863" s="63" t="s">
        <v>828</v>
      </c>
      <c r="H5863" s="64" t="n">
        <v>1.12</v>
      </c>
      <c r="I5863" s="62" t="s">
        <v>878</v>
      </c>
      <c r="J5863" s="64" t="n">
        <v>112</v>
      </c>
      <c r="K5863" s="62" t="s">
        <v>42</v>
      </c>
      <c r="L5863" s="68" t="b">
        <f aca="false">FALSE()</f>
        <v>0</v>
      </c>
    </row>
    <row r="5864" customFormat="false" ht="15" hidden="false" customHeight="false" outlineLevel="0" collapsed="false">
      <c r="A5864" s="62" t="n">
        <v>1</v>
      </c>
      <c r="B5864" s="21" t="s">
        <v>336</v>
      </c>
      <c r="C5864" s="62" t="s">
        <v>60</v>
      </c>
      <c r="D5864" s="62" t="s">
        <v>381</v>
      </c>
      <c r="E5864" s="62" t="s">
        <v>382</v>
      </c>
      <c r="F5864" s="62" t="s">
        <v>382</v>
      </c>
      <c r="G5864" s="63" t="s">
        <v>829</v>
      </c>
      <c r="H5864" s="64" t="n">
        <v>1</v>
      </c>
      <c r="I5864" s="62" t="s">
        <v>878</v>
      </c>
      <c r="J5864" s="64" t="n">
        <v>100</v>
      </c>
      <c r="K5864" s="62" t="s">
        <v>42</v>
      </c>
      <c r="L5864" s="68" t="b">
        <f aca="false">FALSE()</f>
        <v>0</v>
      </c>
    </row>
    <row r="5865" customFormat="false" ht="15" hidden="false" customHeight="false" outlineLevel="0" collapsed="false">
      <c r="A5865" s="62" t="n">
        <v>1</v>
      </c>
      <c r="B5865" s="21" t="s">
        <v>336</v>
      </c>
      <c r="C5865" s="62" t="s">
        <v>60</v>
      </c>
      <c r="D5865" s="62" t="s">
        <v>383</v>
      </c>
      <c r="E5865" s="62" t="s">
        <v>382</v>
      </c>
      <c r="F5865" s="62" t="s">
        <v>382</v>
      </c>
      <c r="G5865" s="63" t="s">
        <v>829</v>
      </c>
      <c r="H5865" s="64" t="n">
        <v>1.665</v>
      </c>
      <c r="I5865" s="62" t="s">
        <v>878</v>
      </c>
      <c r="J5865" s="64" t="n">
        <v>166.5</v>
      </c>
      <c r="K5865" s="62" t="s">
        <v>42</v>
      </c>
      <c r="L5865" s="68" t="b">
        <f aca="false">FALSE()</f>
        <v>0</v>
      </c>
    </row>
    <row r="5866" customFormat="false" ht="15" hidden="false" customHeight="false" outlineLevel="0" collapsed="false">
      <c r="A5866" s="62" t="n">
        <v>1</v>
      </c>
      <c r="B5866" s="21" t="s">
        <v>336</v>
      </c>
      <c r="C5866" s="62" t="s">
        <v>60</v>
      </c>
      <c r="D5866" s="62" t="s">
        <v>387</v>
      </c>
      <c r="E5866" s="62" t="s">
        <v>382</v>
      </c>
      <c r="F5866" s="62" t="s">
        <v>382</v>
      </c>
      <c r="G5866" s="63" t="s">
        <v>829</v>
      </c>
      <c r="H5866" s="64" t="n">
        <v>1.108</v>
      </c>
      <c r="I5866" s="62" t="s">
        <v>878</v>
      </c>
      <c r="J5866" s="64" t="n">
        <v>110.8</v>
      </c>
      <c r="K5866" s="62" t="s">
        <v>42</v>
      </c>
      <c r="L5866" s="68" t="b">
        <f aca="false">FALSE()</f>
        <v>0</v>
      </c>
    </row>
    <row r="5867" customFormat="false" ht="15" hidden="false" customHeight="false" outlineLevel="0" collapsed="false">
      <c r="A5867" s="62" t="n">
        <v>1</v>
      </c>
      <c r="B5867" s="21" t="s">
        <v>336</v>
      </c>
      <c r="C5867" s="62" t="s">
        <v>60</v>
      </c>
      <c r="D5867" s="62" t="s">
        <v>388</v>
      </c>
      <c r="E5867" s="62" t="s">
        <v>382</v>
      </c>
      <c r="F5867" s="62" t="s">
        <v>382</v>
      </c>
      <c r="G5867" s="63" t="s">
        <v>829</v>
      </c>
      <c r="H5867" s="64" t="n">
        <v>0.84</v>
      </c>
      <c r="I5867" s="62" t="s">
        <v>878</v>
      </c>
      <c r="J5867" s="64" t="n">
        <v>84</v>
      </c>
      <c r="K5867" s="62" t="s">
        <v>42</v>
      </c>
      <c r="L5867" s="68" t="b">
        <f aca="false">FALSE()</f>
        <v>0</v>
      </c>
    </row>
    <row r="5868" customFormat="false" ht="15" hidden="false" customHeight="false" outlineLevel="0" collapsed="false">
      <c r="A5868" s="62" t="n">
        <v>1</v>
      </c>
      <c r="B5868" s="21" t="s">
        <v>336</v>
      </c>
      <c r="C5868" s="62" t="s">
        <v>60</v>
      </c>
      <c r="D5868" s="62" t="s">
        <v>381</v>
      </c>
      <c r="E5868" s="62" t="s">
        <v>382</v>
      </c>
      <c r="F5868" s="62" t="s">
        <v>382</v>
      </c>
      <c r="G5868" s="63" t="s">
        <v>830</v>
      </c>
      <c r="H5868" s="64" t="n">
        <v>1.7</v>
      </c>
      <c r="I5868" s="62" t="s">
        <v>878</v>
      </c>
      <c r="J5868" s="64" t="n">
        <v>170</v>
      </c>
      <c r="K5868" s="62" t="s">
        <v>42</v>
      </c>
      <c r="L5868" s="68" t="b">
        <f aca="false">FALSE()</f>
        <v>0</v>
      </c>
    </row>
    <row r="5869" customFormat="false" ht="15" hidden="false" customHeight="false" outlineLevel="0" collapsed="false">
      <c r="A5869" s="62" t="n">
        <v>1</v>
      </c>
      <c r="B5869" s="21" t="s">
        <v>336</v>
      </c>
      <c r="C5869" s="62" t="s">
        <v>60</v>
      </c>
      <c r="D5869" s="62" t="s">
        <v>383</v>
      </c>
      <c r="E5869" s="62" t="s">
        <v>382</v>
      </c>
      <c r="F5869" s="62" t="s">
        <v>382</v>
      </c>
      <c r="G5869" s="63" t="s">
        <v>824</v>
      </c>
      <c r="H5869" s="64" t="n">
        <v>1.02</v>
      </c>
      <c r="I5869" s="62" t="s">
        <v>878</v>
      </c>
      <c r="J5869" s="64" t="n">
        <v>102</v>
      </c>
      <c r="K5869" s="62" t="s">
        <v>42</v>
      </c>
      <c r="L5869" s="68" t="b">
        <f aca="false">FALSE()</f>
        <v>0</v>
      </c>
    </row>
    <row r="5870" customFormat="false" ht="15" hidden="false" customHeight="false" outlineLevel="0" collapsed="false">
      <c r="A5870" s="62" t="n">
        <v>1</v>
      </c>
      <c r="B5870" s="21" t="s">
        <v>336</v>
      </c>
      <c r="C5870" s="62" t="s">
        <v>60</v>
      </c>
      <c r="D5870" s="62" t="s">
        <v>381</v>
      </c>
      <c r="E5870" s="62" t="s">
        <v>382</v>
      </c>
      <c r="F5870" s="62" t="s">
        <v>382</v>
      </c>
      <c r="G5870" s="63" t="s">
        <v>825</v>
      </c>
      <c r="H5870" s="64" t="n">
        <v>2.7</v>
      </c>
      <c r="I5870" s="62" t="s">
        <v>878</v>
      </c>
      <c r="J5870" s="64" t="n">
        <v>270</v>
      </c>
      <c r="K5870" s="62" t="s">
        <v>42</v>
      </c>
      <c r="L5870" s="68" t="b">
        <f aca="false">FALSE()</f>
        <v>0</v>
      </c>
    </row>
    <row r="5871" customFormat="false" ht="15" hidden="false" customHeight="false" outlineLevel="0" collapsed="false">
      <c r="A5871" s="62" t="n">
        <v>1</v>
      </c>
      <c r="B5871" s="21" t="s">
        <v>336</v>
      </c>
      <c r="C5871" s="62" t="s">
        <v>60</v>
      </c>
      <c r="D5871" s="62" t="s">
        <v>383</v>
      </c>
      <c r="E5871" s="62" t="s">
        <v>382</v>
      </c>
      <c r="F5871" s="62" t="s">
        <v>382</v>
      </c>
      <c r="G5871" s="63" t="s">
        <v>831</v>
      </c>
      <c r="H5871" s="64" t="n">
        <v>2.685</v>
      </c>
      <c r="I5871" s="62" t="s">
        <v>878</v>
      </c>
      <c r="J5871" s="64" t="n">
        <v>268.5</v>
      </c>
      <c r="K5871" s="62" t="s">
        <v>42</v>
      </c>
      <c r="L5871" s="68" t="b">
        <f aca="false">FALSE()</f>
        <v>0</v>
      </c>
    </row>
    <row r="5872" customFormat="false" ht="15" hidden="false" customHeight="false" outlineLevel="0" collapsed="false">
      <c r="A5872" s="62" t="n">
        <v>1</v>
      </c>
      <c r="B5872" s="21" t="s">
        <v>336</v>
      </c>
      <c r="C5872" s="62" t="s">
        <v>60</v>
      </c>
      <c r="D5872" s="62" t="s">
        <v>387</v>
      </c>
      <c r="E5872" s="62" t="s">
        <v>382</v>
      </c>
      <c r="F5872" s="62" t="s">
        <v>382</v>
      </c>
      <c r="G5872" s="63" t="s">
        <v>831</v>
      </c>
      <c r="H5872" s="64" t="n">
        <v>1.108</v>
      </c>
      <c r="I5872" s="62" t="s">
        <v>878</v>
      </c>
      <c r="J5872" s="64" t="n">
        <v>110.8</v>
      </c>
      <c r="K5872" s="62" t="s">
        <v>42</v>
      </c>
      <c r="L5872" s="68" t="b">
        <f aca="false">FALSE()</f>
        <v>0</v>
      </c>
    </row>
    <row r="5873" customFormat="false" ht="15" hidden="false" customHeight="false" outlineLevel="0" collapsed="false">
      <c r="A5873" s="62" t="n">
        <v>1</v>
      </c>
      <c r="B5873" s="21" t="s">
        <v>336</v>
      </c>
      <c r="C5873" s="62" t="s">
        <v>60</v>
      </c>
      <c r="D5873" s="62" t="s">
        <v>388</v>
      </c>
      <c r="E5873" s="62" t="s">
        <v>382</v>
      </c>
      <c r="F5873" s="62" t="s">
        <v>382</v>
      </c>
      <c r="G5873" s="63" t="s">
        <v>831</v>
      </c>
      <c r="H5873" s="64" t="n">
        <v>0.84</v>
      </c>
      <c r="I5873" s="62" t="s">
        <v>878</v>
      </c>
      <c r="J5873" s="64" t="n">
        <v>84</v>
      </c>
      <c r="K5873" s="62" t="s">
        <v>42</v>
      </c>
      <c r="L5873" s="68" t="b">
        <f aca="false">FALSE()</f>
        <v>0</v>
      </c>
    </row>
    <row r="5874" customFormat="false" ht="15" hidden="false" customHeight="false" outlineLevel="0" collapsed="false">
      <c r="A5874" s="62" t="n">
        <v>1</v>
      </c>
      <c r="B5874" s="21" t="s">
        <v>336</v>
      </c>
      <c r="C5874" s="62" t="s">
        <v>60</v>
      </c>
      <c r="D5874" s="62" t="s">
        <v>381</v>
      </c>
      <c r="E5874" s="62" t="s">
        <v>382</v>
      </c>
      <c r="F5874" s="62" t="s">
        <v>382</v>
      </c>
      <c r="G5874" s="63" t="s">
        <v>832</v>
      </c>
      <c r="H5874" s="64" t="n">
        <v>-1.56005</v>
      </c>
      <c r="I5874" s="62" t="s">
        <v>878</v>
      </c>
      <c r="J5874" s="64" t="n">
        <v>-156.005</v>
      </c>
      <c r="K5874" s="62" t="s">
        <v>42</v>
      </c>
      <c r="L5874" s="68" t="b">
        <f aca="false">FALSE()</f>
        <v>0</v>
      </c>
    </row>
    <row r="5875" customFormat="false" ht="15" hidden="false" customHeight="false" outlineLevel="0" collapsed="false">
      <c r="A5875" s="62" t="n">
        <v>1</v>
      </c>
      <c r="B5875" s="21" t="s">
        <v>336</v>
      </c>
      <c r="C5875" s="62" t="s">
        <v>60</v>
      </c>
      <c r="D5875" s="62" t="s">
        <v>383</v>
      </c>
      <c r="E5875" s="62" t="s">
        <v>382</v>
      </c>
      <c r="F5875" s="62" t="s">
        <v>382</v>
      </c>
      <c r="G5875" s="63" t="s">
        <v>832</v>
      </c>
      <c r="H5875" s="64" t="n">
        <v>-0.26911</v>
      </c>
      <c r="I5875" s="62" t="s">
        <v>878</v>
      </c>
      <c r="J5875" s="64" t="n">
        <v>-26.911</v>
      </c>
      <c r="K5875" s="62" t="s">
        <v>42</v>
      </c>
      <c r="L5875" s="68" t="b">
        <f aca="false">FALSE()</f>
        <v>0</v>
      </c>
    </row>
    <row r="5876" customFormat="false" ht="15" hidden="false" customHeight="false" outlineLevel="0" collapsed="false">
      <c r="A5876" s="62" t="n">
        <v>1</v>
      </c>
      <c r="B5876" s="21" t="s">
        <v>336</v>
      </c>
      <c r="C5876" s="62" t="s">
        <v>60</v>
      </c>
      <c r="D5876" s="62" t="s">
        <v>387</v>
      </c>
      <c r="E5876" s="62" t="s">
        <v>382</v>
      </c>
      <c r="F5876" s="62" t="s">
        <v>382</v>
      </c>
      <c r="G5876" s="63" t="s">
        <v>832</v>
      </c>
      <c r="H5876" s="64" t="n">
        <v>-1.108</v>
      </c>
      <c r="I5876" s="62" t="s">
        <v>878</v>
      </c>
      <c r="J5876" s="64" t="n">
        <v>-110.8</v>
      </c>
      <c r="K5876" s="62" t="s">
        <v>42</v>
      </c>
      <c r="L5876" s="68" t="b">
        <f aca="false">FALSE()</f>
        <v>0</v>
      </c>
    </row>
    <row r="5877" customFormat="false" ht="15" hidden="false" customHeight="false" outlineLevel="0" collapsed="false">
      <c r="A5877" s="62" t="n">
        <v>1</v>
      </c>
      <c r="B5877" s="21" t="s">
        <v>336</v>
      </c>
      <c r="C5877" s="62" t="s">
        <v>60</v>
      </c>
      <c r="D5877" s="62" t="s">
        <v>388</v>
      </c>
      <c r="E5877" s="62" t="s">
        <v>382</v>
      </c>
      <c r="F5877" s="62" t="s">
        <v>382</v>
      </c>
      <c r="G5877" s="63" t="s">
        <v>832</v>
      </c>
      <c r="H5877" s="64" t="n">
        <v>-0.84</v>
      </c>
      <c r="I5877" s="62" t="s">
        <v>878</v>
      </c>
      <c r="J5877" s="64" t="n">
        <v>-84</v>
      </c>
      <c r="K5877" s="62" t="s">
        <v>42</v>
      </c>
      <c r="L5877" s="68" t="b">
        <f aca="false">FALSE()</f>
        <v>0</v>
      </c>
    </row>
    <row r="5878" customFormat="false" ht="15" hidden="false" customHeight="false" outlineLevel="0" collapsed="false">
      <c r="A5878" s="62" t="n">
        <v>1</v>
      </c>
      <c r="B5878" s="21" t="s">
        <v>336</v>
      </c>
      <c r="C5878" s="62" t="s">
        <v>60</v>
      </c>
      <c r="D5878" s="62" t="s">
        <v>381</v>
      </c>
      <c r="E5878" s="62" t="s">
        <v>382</v>
      </c>
      <c r="F5878" s="62" t="s">
        <v>382</v>
      </c>
      <c r="G5878" s="63" t="s">
        <v>833</v>
      </c>
      <c r="H5878" s="64" t="n">
        <v>0</v>
      </c>
      <c r="I5878" s="62" t="s">
        <v>878</v>
      </c>
      <c r="J5878" s="64" t="n">
        <v>0</v>
      </c>
      <c r="K5878" s="62" t="s">
        <v>42</v>
      </c>
      <c r="L5878" s="68" t="b">
        <f aca="false">FALSE()</f>
        <v>0</v>
      </c>
    </row>
    <row r="5879" customFormat="false" ht="15" hidden="false" customHeight="false" outlineLevel="0" collapsed="false">
      <c r="A5879" s="62" t="n">
        <v>1</v>
      </c>
      <c r="B5879" s="21" t="s">
        <v>336</v>
      </c>
      <c r="C5879" s="62" t="s">
        <v>60</v>
      </c>
      <c r="D5879" s="62" t="s">
        <v>383</v>
      </c>
      <c r="E5879" s="62" t="s">
        <v>382</v>
      </c>
      <c r="F5879" s="62" t="s">
        <v>382</v>
      </c>
      <c r="G5879" s="63" t="s">
        <v>833</v>
      </c>
      <c r="H5879" s="64" t="n">
        <v>-2.41589</v>
      </c>
      <c r="I5879" s="62" t="s">
        <v>878</v>
      </c>
      <c r="J5879" s="64" t="n">
        <v>-241.589</v>
      </c>
      <c r="K5879" s="62" t="s">
        <v>42</v>
      </c>
      <c r="L5879" s="68" t="b">
        <f aca="false">FALSE()</f>
        <v>0</v>
      </c>
    </row>
    <row r="5880" customFormat="false" ht="15" hidden="false" customHeight="false" outlineLevel="0" collapsed="false">
      <c r="A5880" s="62" t="n">
        <v>1</v>
      </c>
      <c r="B5880" s="21" t="s">
        <v>336</v>
      </c>
      <c r="C5880" s="62" t="s">
        <v>60</v>
      </c>
      <c r="D5880" s="62" t="s">
        <v>387</v>
      </c>
      <c r="E5880" s="62" t="s">
        <v>382</v>
      </c>
      <c r="F5880" s="62" t="s">
        <v>382</v>
      </c>
      <c r="G5880" s="63" t="s">
        <v>833</v>
      </c>
      <c r="H5880" s="64" t="n">
        <v>0</v>
      </c>
      <c r="I5880" s="62" t="s">
        <v>878</v>
      </c>
      <c r="J5880" s="64" t="n">
        <v>0</v>
      </c>
      <c r="K5880" s="62" t="s">
        <v>42</v>
      </c>
      <c r="L5880" s="68" t="b">
        <f aca="false">FALSE()</f>
        <v>0</v>
      </c>
    </row>
    <row r="5881" customFormat="false" ht="15" hidden="false" customHeight="false" outlineLevel="0" collapsed="false">
      <c r="A5881" s="62" t="n">
        <v>1</v>
      </c>
      <c r="B5881" s="21" t="s">
        <v>336</v>
      </c>
      <c r="C5881" s="62" t="s">
        <v>60</v>
      </c>
      <c r="D5881" s="62" t="s">
        <v>381</v>
      </c>
      <c r="E5881" s="62" t="s">
        <v>382</v>
      </c>
      <c r="F5881" s="62" t="s">
        <v>382</v>
      </c>
      <c r="G5881" s="63" t="s">
        <v>834</v>
      </c>
      <c r="H5881" s="64" t="n">
        <v>1.13995</v>
      </c>
      <c r="I5881" s="62" t="s">
        <v>878</v>
      </c>
      <c r="J5881" s="64" t="n">
        <v>113.995</v>
      </c>
      <c r="K5881" s="62" t="s">
        <v>42</v>
      </c>
      <c r="L5881" s="68" t="b">
        <f aca="false">FALSE()</f>
        <v>0</v>
      </c>
    </row>
    <row r="5882" customFormat="false" ht="15" hidden="false" customHeight="false" outlineLevel="0" collapsed="false">
      <c r="A5882" s="62" t="n">
        <v>1</v>
      </c>
      <c r="B5882" s="21" t="s">
        <v>336</v>
      </c>
      <c r="C5882" s="62" t="s">
        <v>60</v>
      </c>
      <c r="D5882" s="62" t="s">
        <v>383</v>
      </c>
      <c r="E5882" s="62" t="s">
        <v>382</v>
      </c>
      <c r="F5882" s="62" t="s">
        <v>382</v>
      </c>
      <c r="G5882" s="63" t="s">
        <v>822</v>
      </c>
      <c r="H5882" s="64" t="n">
        <v>1.57</v>
      </c>
      <c r="I5882" s="62" t="s">
        <v>878</v>
      </c>
      <c r="J5882" s="64" t="n">
        <v>157</v>
      </c>
      <c r="K5882" s="62" t="s">
        <v>42</v>
      </c>
      <c r="L5882" s="68" t="b">
        <f aca="false">FALSE()</f>
        <v>0</v>
      </c>
    </row>
    <row r="5883" customFormat="false" ht="15" hidden="false" customHeight="false" outlineLevel="0" collapsed="false">
      <c r="A5883" s="62" t="n">
        <v>1</v>
      </c>
      <c r="B5883" s="21" t="s">
        <v>336</v>
      </c>
      <c r="C5883" s="62" t="s">
        <v>60</v>
      </c>
      <c r="D5883" s="62" t="s">
        <v>387</v>
      </c>
      <c r="E5883" s="62" t="s">
        <v>382</v>
      </c>
      <c r="F5883" s="62" t="s">
        <v>382</v>
      </c>
      <c r="G5883" s="63" t="s">
        <v>604</v>
      </c>
      <c r="H5883" s="64" t="n">
        <v>1.02</v>
      </c>
      <c r="I5883" s="62" t="s">
        <v>878</v>
      </c>
      <c r="J5883" s="64" t="n">
        <v>102</v>
      </c>
      <c r="K5883" s="62" t="s">
        <v>42</v>
      </c>
      <c r="L5883" s="68" t="b">
        <f aca="false">FALSE()</f>
        <v>0</v>
      </c>
    </row>
    <row r="5884" customFormat="false" ht="15" hidden="false" customHeight="false" outlineLevel="0" collapsed="false">
      <c r="A5884" s="62" t="n">
        <v>1</v>
      </c>
      <c r="B5884" s="21" t="s">
        <v>336</v>
      </c>
      <c r="C5884" s="62" t="s">
        <v>60</v>
      </c>
      <c r="D5884" s="62" t="s">
        <v>388</v>
      </c>
      <c r="E5884" s="62" t="s">
        <v>382</v>
      </c>
      <c r="F5884" s="62" t="s">
        <v>382</v>
      </c>
      <c r="G5884" s="63" t="s">
        <v>835</v>
      </c>
      <c r="H5884" s="64" t="n">
        <v>0.71</v>
      </c>
      <c r="I5884" s="62" t="s">
        <v>878</v>
      </c>
      <c r="J5884" s="64" t="n">
        <v>71</v>
      </c>
      <c r="K5884" s="62" t="s">
        <v>42</v>
      </c>
      <c r="L5884" s="68" t="b">
        <f aca="false">FALSE()</f>
        <v>0</v>
      </c>
    </row>
    <row r="5885" customFormat="false" ht="15" hidden="false" customHeight="false" outlineLevel="0" collapsed="false">
      <c r="A5885" s="62" t="n">
        <v>1</v>
      </c>
      <c r="B5885" s="21" t="s">
        <v>336</v>
      </c>
      <c r="C5885" s="62" t="s">
        <v>60</v>
      </c>
      <c r="D5885" s="62" t="s">
        <v>381</v>
      </c>
      <c r="E5885" s="62" t="s">
        <v>382</v>
      </c>
      <c r="F5885" s="62" t="s">
        <v>382</v>
      </c>
      <c r="G5885" s="63" t="s">
        <v>836</v>
      </c>
      <c r="H5885" s="64" t="n">
        <v>2.77464</v>
      </c>
      <c r="I5885" s="62" t="s">
        <v>878</v>
      </c>
      <c r="J5885" s="64" t="n">
        <v>277.464</v>
      </c>
      <c r="K5885" s="62" t="s">
        <v>42</v>
      </c>
      <c r="L5885" s="68" t="b">
        <f aca="false">FALSE()</f>
        <v>0</v>
      </c>
    </row>
    <row r="5886" customFormat="false" ht="15" hidden="false" customHeight="false" outlineLevel="0" collapsed="false">
      <c r="A5886" s="62" t="n">
        <v>1</v>
      </c>
      <c r="B5886" s="21" t="s">
        <v>336</v>
      </c>
      <c r="C5886" s="62" t="s">
        <v>60</v>
      </c>
      <c r="D5886" s="62" t="s">
        <v>387</v>
      </c>
      <c r="E5886" s="62" t="s">
        <v>382</v>
      </c>
      <c r="F5886" s="62" t="s">
        <v>382</v>
      </c>
      <c r="G5886" s="63" t="s">
        <v>836</v>
      </c>
      <c r="H5886" s="64" t="n">
        <v>0.42635</v>
      </c>
      <c r="I5886" s="62" t="s">
        <v>878</v>
      </c>
      <c r="J5886" s="64" t="n">
        <v>42.635</v>
      </c>
      <c r="K5886" s="62" t="s">
        <v>42</v>
      </c>
      <c r="L5886" s="68" t="b">
        <f aca="false">FALSE()</f>
        <v>0</v>
      </c>
    </row>
    <row r="5887" customFormat="false" ht="15" hidden="false" customHeight="false" outlineLevel="0" collapsed="false">
      <c r="A5887" s="62" t="n">
        <v>1</v>
      </c>
      <c r="B5887" s="21" t="s">
        <v>336</v>
      </c>
      <c r="C5887" s="62" t="s">
        <v>60</v>
      </c>
      <c r="D5887" s="62" t="s">
        <v>383</v>
      </c>
      <c r="E5887" s="62" t="s">
        <v>382</v>
      </c>
      <c r="F5887" s="62" t="s">
        <v>382</v>
      </c>
      <c r="G5887" s="63" t="s">
        <v>837</v>
      </c>
      <c r="H5887" s="64" t="n">
        <v>2.41589</v>
      </c>
      <c r="I5887" s="62" t="s">
        <v>878</v>
      </c>
      <c r="J5887" s="64" t="n">
        <v>241.589</v>
      </c>
      <c r="K5887" s="62" t="s">
        <v>42</v>
      </c>
      <c r="L5887" s="68" t="b">
        <f aca="false">FALSE()</f>
        <v>0</v>
      </c>
    </row>
    <row r="5888" customFormat="false" ht="15" hidden="false" customHeight="false" outlineLevel="0" collapsed="false">
      <c r="A5888" s="62" t="n">
        <v>1</v>
      </c>
      <c r="B5888" s="21" t="s">
        <v>336</v>
      </c>
      <c r="C5888" s="62" t="s">
        <v>60</v>
      </c>
      <c r="D5888" s="62" t="s">
        <v>381</v>
      </c>
      <c r="E5888" s="62" t="s">
        <v>382</v>
      </c>
      <c r="F5888" s="62" t="s">
        <v>382</v>
      </c>
      <c r="G5888" s="63" t="s">
        <v>831</v>
      </c>
      <c r="H5888" s="64" t="n">
        <v>2.77464</v>
      </c>
      <c r="I5888" s="62" t="s">
        <v>878</v>
      </c>
      <c r="J5888" s="64" t="n">
        <v>277.464</v>
      </c>
      <c r="K5888" s="62" t="s">
        <v>42</v>
      </c>
      <c r="L5888" s="68" t="b">
        <f aca="false">FALSE()</f>
        <v>0</v>
      </c>
    </row>
    <row r="5889" customFormat="false" ht="15" hidden="false" customHeight="false" outlineLevel="0" collapsed="false">
      <c r="A5889" s="62" t="n">
        <v>1</v>
      </c>
      <c r="B5889" s="21" t="s">
        <v>336</v>
      </c>
      <c r="C5889" s="62" t="s">
        <v>60</v>
      </c>
      <c r="D5889" s="62" t="s">
        <v>383</v>
      </c>
      <c r="E5889" s="62" t="s">
        <v>382</v>
      </c>
      <c r="F5889" s="62" t="s">
        <v>382</v>
      </c>
      <c r="G5889" s="63" t="s">
        <v>838</v>
      </c>
      <c r="H5889" s="64" t="n">
        <v>2.41589</v>
      </c>
      <c r="I5889" s="62" t="s">
        <v>878</v>
      </c>
      <c r="J5889" s="64" t="n">
        <v>241.589</v>
      </c>
      <c r="K5889" s="62" t="s">
        <v>42</v>
      </c>
      <c r="L5889" s="68" t="b">
        <f aca="false">FALSE()</f>
        <v>0</v>
      </c>
    </row>
    <row r="5890" customFormat="false" ht="15" hidden="false" customHeight="false" outlineLevel="0" collapsed="false">
      <c r="A5890" s="62" t="n">
        <v>1</v>
      </c>
      <c r="B5890" s="21" t="s">
        <v>336</v>
      </c>
      <c r="C5890" s="62" t="s">
        <v>60</v>
      </c>
      <c r="D5890" s="62" t="s">
        <v>387</v>
      </c>
      <c r="E5890" s="62" t="s">
        <v>382</v>
      </c>
      <c r="F5890" s="62" t="s">
        <v>382</v>
      </c>
      <c r="G5890" s="63" t="s">
        <v>838</v>
      </c>
      <c r="H5890" s="64" t="n">
        <v>0.42635</v>
      </c>
      <c r="I5890" s="62" t="s">
        <v>878</v>
      </c>
      <c r="J5890" s="64" t="n">
        <v>42.635</v>
      </c>
      <c r="K5890" s="62" t="s">
        <v>42</v>
      </c>
      <c r="L5890" s="68" t="b">
        <f aca="false">FALSE()</f>
        <v>0</v>
      </c>
    </row>
    <row r="5891" customFormat="false" ht="15" hidden="false" customHeight="false" outlineLevel="0" collapsed="false">
      <c r="A5891" s="62" t="n">
        <v>1</v>
      </c>
      <c r="B5891" s="21" t="s">
        <v>336</v>
      </c>
      <c r="C5891" s="62" t="s">
        <v>60</v>
      </c>
      <c r="D5891" s="62" t="s">
        <v>381</v>
      </c>
      <c r="E5891" s="62" t="s">
        <v>382</v>
      </c>
      <c r="F5891" s="62" t="s">
        <v>382</v>
      </c>
      <c r="G5891" s="63" t="s">
        <v>839</v>
      </c>
      <c r="H5891" s="64" t="n">
        <v>-2.77464</v>
      </c>
      <c r="I5891" s="62" t="s">
        <v>878</v>
      </c>
      <c r="J5891" s="64" t="n">
        <v>-277.464</v>
      </c>
      <c r="K5891" s="62" t="s">
        <v>42</v>
      </c>
      <c r="L5891" s="68" t="b">
        <f aca="false">FALSE()</f>
        <v>0</v>
      </c>
    </row>
    <row r="5892" customFormat="false" ht="15" hidden="false" customHeight="false" outlineLevel="0" collapsed="false">
      <c r="A5892" s="62" t="n">
        <v>1</v>
      </c>
      <c r="B5892" s="21" t="s">
        <v>336</v>
      </c>
      <c r="C5892" s="62" t="s">
        <v>60</v>
      </c>
      <c r="D5892" s="62" t="s">
        <v>383</v>
      </c>
      <c r="E5892" s="62" t="s">
        <v>382</v>
      </c>
      <c r="F5892" s="62" t="s">
        <v>382</v>
      </c>
      <c r="G5892" s="63" t="s">
        <v>839</v>
      </c>
      <c r="H5892" s="64" t="n">
        <v>-2.41589</v>
      </c>
      <c r="I5892" s="62" t="s">
        <v>878</v>
      </c>
      <c r="J5892" s="64" t="n">
        <v>-241.589</v>
      </c>
      <c r="K5892" s="62" t="s">
        <v>42</v>
      </c>
      <c r="L5892" s="68" t="b">
        <f aca="false">FALSE()</f>
        <v>0</v>
      </c>
    </row>
    <row r="5893" customFormat="false" ht="15" hidden="false" customHeight="false" outlineLevel="0" collapsed="false">
      <c r="A5893" s="62" t="n">
        <v>1</v>
      </c>
      <c r="B5893" s="21" t="s">
        <v>336</v>
      </c>
      <c r="C5893" s="62" t="s">
        <v>60</v>
      </c>
      <c r="D5893" s="62" t="s">
        <v>387</v>
      </c>
      <c r="E5893" s="62" t="s">
        <v>382</v>
      </c>
      <c r="F5893" s="62" t="s">
        <v>382</v>
      </c>
      <c r="G5893" s="63" t="s">
        <v>839</v>
      </c>
      <c r="H5893" s="64" t="n">
        <v>-0.42635</v>
      </c>
      <c r="I5893" s="62" t="s">
        <v>878</v>
      </c>
      <c r="J5893" s="64" t="n">
        <v>-42.635</v>
      </c>
      <c r="K5893" s="62" t="s">
        <v>42</v>
      </c>
      <c r="L5893" s="68" t="b">
        <f aca="false">FALSE()</f>
        <v>0</v>
      </c>
    </row>
    <row r="5894" customFormat="false" ht="15" hidden="false" customHeight="false" outlineLevel="0" collapsed="false">
      <c r="A5894" s="62" t="n">
        <v>1</v>
      </c>
      <c r="B5894" s="21" t="s">
        <v>336</v>
      </c>
      <c r="C5894" s="62" t="s">
        <v>60</v>
      </c>
      <c r="D5894" s="62" t="s">
        <v>387</v>
      </c>
      <c r="E5894" s="62" t="s">
        <v>382</v>
      </c>
      <c r="F5894" s="62" t="s">
        <v>382</v>
      </c>
      <c r="G5894" s="63" t="s">
        <v>822</v>
      </c>
      <c r="H5894" s="64" t="n">
        <v>1.78</v>
      </c>
      <c r="I5894" s="62" t="s">
        <v>878</v>
      </c>
      <c r="J5894" s="64" t="n">
        <v>178</v>
      </c>
      <c r="K5894" s="62" t="s">
        <v>42</v>
      </c>
      <c r="L5894" s="68" t="b">
        <f aca="false">FALSE()</f>
        <v>0</v>
      </c>
    </row>
    <row r="5895" customFormat="false" ht="15" hidden="false" customHeight="false" outlineLevel="0" collapsed="false">
      <c r="A5895" s="62" t="n">
        <v>1</v>
      </c>
      <c r="B5895" s="21" t="s">
        <v>336</v>
      </c>
      <c r="C5895" s="62" t="s">
        <v>60</v>
      </c>
      <c r="D5895" s="62" t="s">
        <v>388</v>
      </c>
      <c r="E5895" s="62" t="s">
        <v>382</v>
      </c>
      <c r="F5895" s="62" t="s">
        <v>382</v>
      </c>
      <c r="G5895" s="63" t="s">
        <v>840</v>
      </c>
      <c r="H5895" s="64" t="n">
        <v>1.77</v>
      </c>
      <c r="I5895" s="62" t="s">
        <v>878</v>
      </c>
      <c r="J5895" s="64" t="n">
        <v>177</v>
      </c>
      <c r="K5895" s="62" t="s">
        <v>42</v>
      </c>
      <c r="L5895" s="68" t="b">
        <f aca="false">FALSE()</f>
        <v>0</v>
      </c>
    </row>
    <row r="5896" customFormat="false" ht="15" hidden="false" customHeight="false" outlineLevel="0" collapsed="false">
      <c r="A5896" s="62" t="n">
        <v>1</v>
      </c>
      <c r="B5896" s="21" t="s">
        <v>336</v>
      </c>
      <c r="C5896" s="62" t="s">
        <v>60</v>
      </c>
      <c r="D5896" s="62" t="s">
        <v>381</v>
      </c>
      <c r="E5896" s="62" t="s">
        <v>382</v>
      </c>
      <c r="F5896" s="62" t="s">
        <v>382</v>
      </c>
      <c r="G5896" s="63" t="s">
        <v>605</v>
      </c>
      <c r="H5896" s="64" t="n">
        <v>9.10723</v>
      </c>
      <c r="I5896" s="62" t="s">
        <v>878</v>
      </c>
      <c r="J5896" s="64" t="n">
        <v>910.723</v>
      </c>
      <c r="K5896" s="62" t="s">
        <v>42</v>
      </c>
      <c r="L5896" s="68" t="b">
        <f aca="false">FALSE()</f>
        <v>0</v>
      </c>
    </row>
    <row r="5897" customFormat="false" ht="15" hidden="false" customHeight="false" outlineLevel="0" collapsed="false">
      <c r="A5897" s="62" t="n">
        <v>1</v>
      </c>
      <c r="B5897" s="21" t="s">
        <v>336</v>
      </c>
      <c r="C5897" s="62" t="s">
        <v>60</v>
      </c>
      <c r="D5897" s="62" t="s">
        <v>383</v>
      </c>
      <c r="E5897" s="62" t="s">
        <v>382</v>
      </c>
      <c r="F5897" s="62" t="s">
        <v>382</v>
      </c>
      <c r="G5897" s="63" t="s">
        <v>607</v>
      </c>
      <c r="H5897" s="64" t="n">
        <v>7.34132</v>
      </c>
      <c r="I5897" s="62" t="s">
        <v>878</v>
      </c>
      <c r="J5897" s="64" t="n">
        <v>734.132</v>
      </c>
      <c r="K5897" s="62" t="s">
        <v>42</v>
      </c>
      <c r="L5897" s="68" t="b">
        <f aca="false">FALSE()</f>
        <v>0</v>
      </c>
    </row>
    <row r="5898" customFormat="false" ht="15" hidden="false" customHeight="false" outlineLevel="0" collapsed="false">
      <c r="A5898" s="62" t="n">
        <v>1</v>
      </c>
      <c r="B5898" s="21" t="s">
        <v>336</v>
      </c>
      <c r="C5898" s="62" t="s">
        <v>60</v>
      </c>
      <c r="D5898" s="62" t="s">
        <v>384</v>
      </c>
      <c r="E5898" s="62" t="s">
        <v>382</v>
      </c>
      <c r="F5898" s="62" t="s">
        <v>382</v>
      </c>
      <c r="G5898" s="63" t="s">
        <v>605</v>
      </c>
      <c r="H5898" s="64" t="n">
        <v>5.60885</v>
      </c>
      <c r="I5898" s="62" t="s">
        <v>878</v>
      </c>
      <c r="J5898" s="64" t="n">
        <v>560.885</v>
      </c>
      <c r="K5898" s="62" t="s">
        <v>42</v>
      </c>
      <c r="L5898" s="68" t="b">
        <f aca="false">FALSE()</f>
        <v>0</v>
      </c>
    </row>
    <row r="5899" customFormat="false" ht="15" hidden="false" customHeight="false" outlineLevel="0" collapsed="false">
      <c r="A5899" s="62" t="n">
        <v>1</v>
      </c>
      <c r="B5899" s="21" t="s">
        <v>336</v>
      </c>
      <c r="C5899" s="62" t="s">
        <v>60</v>
      </c>
      <c r="D5899" s="62" t="s">
        <v>385</v>
      </c>
      <c r="E5899" s="62" t="s">
        <v>382</v>
      </c>
      <c r="F5899" s="62" t="s">
        <v>382</v>
      </c>
      <c r="G5899" s="63" t="s">
        <v>605</v>
      </c>
      <c r="H5899" s="64" t="n">
        <v>5.74361</v>
      </c>
      <c r="I5899" s="62" t="s">
        <v>878</v>
      </c>
      <c r="J5899" s="64" t="n">
        <v>574.361</v>
      </c>
      <c r="K5899" s="62" t="s">
        <v>42</v>
      </c>
      <c r="L5899" s="68" t="b">
        <f aca="false">FALSE()</f>
        <v>0</v>
      </c>
    </row>
    <row r="5900" customFormat="false" ht="15" hidden="false" customHeight="false" outlineLevel="0" collapsed="false">
      <c r="A5900" s="62" t="n">
        <v>1</v>
      </c>
      <c r="B5900" s="21" t="s">
        <v>336</v>
      </c>
      <c r="C5900" s="62" t="s">
        <v>60</v>
      </c>
      <c r="D5900" s="62" t="s">
        <v>386</v>
      </c>
      <c r="E5900" s="62" t="s">
        <v>382</v>
      </c>
      <c r="F5900" s="62" t="s">
        <v>382</v>
      </c>
      <c r="G5900" s="63" t="s">
        <v>605</v>
      </c>
      <c r="H5900" s="64" t="n">
        <v>7.8715</v>
      </c>
      <c r="I5900" s="62" t="s">
        <v>878</v>
      </c>
      <c r="J5900" s="64" t="n">
        <v>787.15</v>
      </c>
      <c r="K5900" s="62" t="s">
        <v>42</v>
      </c>
      <c r="L5900" s="68" t="b">
        <f aca="false">FALSE()</f>
        <v>0</v>
      </c>
    </row>
    <row r="5901" customFormat="false" ht="15" hidden="false" customHeight="false" outlineLevel="0" collapsed="false">
      <c r="A5901" s="62" t="n">
        <v>1</v>
      </c>
      <c r="B5901" s="21" t="s">
        <v>336</v>
      </c>
      <c r="C5901" s="62" t="s">
        <v>60</v>
      </c>
      <c r="D5901" s="62" t="s">
        <v>387</v>
      </c>
      <c r="E5901" s="62" t="s">
        <v>382</v>
      </c>
      <c r="F5901" s="62" t="s">
        <v>382</v>
      </c>
      <c r="G5901" s="63" t="s">
        <v>605</v>
      </c>
      <c r="H5901" s="64" t="n">
        <v>5.65305</v>
      </c>
      <c r="I5901" s="62" t="s">
        <v>878</v>
      </c>
      <c r="J5901" s="64" t="n">
        <v>565.305</v>
      </c>
      <c r="K5901" s="62" t="s">
        <v>42</v>
      </c>
      <c r="L5901" s="68" t="b">
        <f aca="false">FALSE()</f>
        <v>0</v>
      </c>
    </row>
    <row r="5902" customFormat="false" ht="15" hidden="false" customHeight="false" outlineLevel="0" collapsed="false">
      <c r="A5902" s="62" t="n">
        <v>1</v>
      </c>
      <c r="B5902" s="21" t="s">
        <v>336</v>
      </c>
      <c r="C5902" s="62" t="s">
        <v>60</v>
      </c>
      <c r="D5902" s="62" t="s">
        <v>388</v>
      </c>
      <c r="E5902" s="62" t="s">
        <v>382</v>
      </c>
      <c r="F5902" s="62" t="s">
        <v>382</v>
      </c>
      <c r="G5902" s="63" t="s">
        <v>605</v>
      </c>
      <c r="H5902" s="64" t="n">
        <v>8.848</v>
      </c>
      <c r="I5902" s="62" t="s">
        <v>878</v>
      </c>
      <c r="J5902" s="64" t="n">
        <v>884.8</v>
      </c>
      <c r="K5902" s="62" t="s">
        <v>42</v>
      </c>
      <c r="L5902" s="68" t="b">
        <f aca="false">FALSE()</f>
        <v>0</v>
      </c>
    </row>
    <row r="5903" customFormat="false" ht="15" hidden="false" customHeight="false" outlineLevel="0" collapsed="false">
      <c r="A5903" s="62" t="n">
        <v>1</v>
      </c>
      <c r="B5903" s="21" t="s">
        <v>336</v>
      </c>
      <c r="C5903" s="62" t="s">
        <v>60</v>
      </c>
      <c r="D5903" s="62" t="s">
        <v>381</v>
      </c>
      <c r="E5903" s="62" t="s">
        <v>382</v>
      </c>
      <c r="F5903" s="62" t="s">
        <v>382</v>
      </c>
      <c r="G5903" s="63" t="s">
        <v>606</v>
      </c>
      <c r="H5903" s="64" t="n">
        <v>6.71114</v>
      </c>
      <c r="I5903" s="62" t="s">
        <v>878</v>
      </c>
      <c r="J5903" s="64" t="n">
        <v>671.114</v>
      </c>
      <c r="K5903" s="62" t="s">
        <v>42</v>
      </c>
      <c r="L5903" s="68" t="b">
        <f aca="false">FALSE()</f>
        <v>0</v>
      </c>
    </row>
    <row r="5904" customFormat="false" ht="15" hidden="false" customHeight="false" outlineLevel="0" collapsed="false">
      <c r="A5904" s="62" t="n">
        <v>1</v>
      </c>
      <c r="B5904" s="21" t="s">
        <v>336</v>
      </c>
      <c r="C5904" s="62" t="s">
        <v>60</v>
      </c>
      <c r="D5904" s="62" t="s">
        <v>383</v>
      </c>
      <c r="E5904" s="62" t="s">
        <v>382</v>
      </c>
      <c r="F5904" s="62" t="s">
        <v>382</v>
      </c>
      <c r="G5904" s="63" t="s">
        <v>608</v>
      </c>
      <c r="H5904" s="64" t="n">
        <v>1.91113</v>
      </c>
      <c r="I5904" s="62" t="s">
        <v>878</v>
      </c>
      <c r="J5904" s="64" t="n">
        <v>191.113</v>
      </c>
      <c r="K5904" s="62" t="s">
        <v>42</v>
      </c>
      <c r="L5904" s="68" t="b">
        <f aca="false">FALSE()</f>
        <v>0</v>
      </c>
    </row>
    <row r="5905" customFormat="false" ht="15" hidden="false" customHeight="false" outlineLevel="0" collapsed="false">
      <c r="A5905" s="62" t="n">
        <v>1</v>
      </c>
      <c r="B5905" s="21" t="s">
        <v>336</v>
      </c>
      <c r="C5905" s="62" t="s">
        <v>60</v>
      </c>
      <c r="D5905" s="62" t="s">
        <v>384</v>
      </c>
      <c r="E5905" s="62" t="s">
        <v>382</v>
      </c>
      <c r="F5905" s="62" t="s">
        <v>382</v>
      </c>
      <c r="G5905" s="63" t="s">
        <v>606</v>
      </c>
      <c r="H5905" s="64" t="n">
        <v>6.10675</v>
      </c>
      <c r="I5905" s="62" t="s">
        <v>878</v>
      </c>
      <c r="J5905" s="64" t="n">
        <v>610.675</v>
      </c>
      <c r="K5905" s="62" t="s">
        <v>42</v>
      </c>
      <c r="L5905" s="68" t="b">
        <f aca="false">FALSE()</f>
        <v>0</v>
      </c>
    </row>
    <row r="5906" customFormat="false" ht="15" hidden="false" customHeight="false" outlineLevel="0" collapsed="false">
      <c r="A5906" s="62" t="n">
        <v>1</v>
      </c>
      <c r="B5906" s="21" t="s">
        <v>336</v>
      </c>
      <c r="C5906" s="62" t="s">
        <v>60</v>
      </c>
      <c r="D5906" s="62" t="s">
        <v>385</v>
      </c>
      <c r="E5906" s="62" t="s">
        <v>382</v>
      </c>
      <c r="F5906" s="62" t="s">
        <v>382</v>
      </c>
      <c r="G5906" s="63" t="s">
        <v>606</v>
      </c>
      <c r="H5906" s="64" t="n">
        <v>3.59387</v>
      </c>
      <c r="I5906" s="62" t="s">
        <v>878</v>
      </c>
      <c r="J5906" s="64" t="n">
        <v>359.387</v>
      </c>
      <c r="K5906" s="62" t="s">
        <v>42</v>
      </c>
      <c r="L5906" s="68" t="b">
        <f aca="false">FALSE()</f>
        <v>0</v>
      </c>
    </row>
    <row r="5907" customFormat="false" ht="15" hidden="false" customHeight="false" outlineLevel="0" collapsed="false">
      <c r="A5907" s="62" t="n">
        <v>1</v>
      </c>
      <c r="B5907" s="21" t="s">
        <v>336</v>
      </c>
      <c r="C5907" s="62" t="s">
        <v>60</v>
      </c>
      <c r="D5907" s="62" t="s">
        <v>386</v>
      </c>
      <c r="E5907" s="62" t="s">
        <v>382</v>
      </c>
      <c r="F5907" s="62" t="s">
        <v>382</v>
      </c>
      <c r="G5907" s="63" t="s">
        <v>606</v>
      </c>
      <c r="H5907" s="64" t="n">
        <v>6.13049</v>
      </c>
      <c r="I5907" s="62" t="s">
        <v>878</v>
      </c>
      <c r="J5907" s="64" t="n">
        <v>613.049</v>
      </c>
      <c r="K5907" s="62" t="s">
        <v>42</v>
      </c>
      <c r="L5907" s="68" t="b">
        <f aca="false">FALSE()</f>
        <v>0</v>
      </c>
    </row>
    <row r="5908" customFormat="false" ht="15" hidden="false" customHeight="false" outlineLevel="0" collapsed="false">
      <c r="A5908" s="62" t="n">
        <v>1</v>
      </c>
      <c r="B5908" s="21" t="s">
        <v>336</v>
      </c>
      <c r="C5908" s="62" t="s">
        <v>60</v>
      </c>
      <c r="D5908" s="62" t="s">
        <v>387</v>
      </c>
      <c r="E5908" s="62" t="s">
        <v>382</v>
      </c>
      <c r="F5908" s="62" t="s">
        <v>382</v>
      </c>
      <c r="G5908" s="63" t="s">
        <v>606</v>
      </c>
      <c r="H5908" s="64" t="n">
        <v>4.26527</v>
      </c>
      <c r="I5908" s="62" t="s">
        <v>878</v>
      </c>
      <c r="J5908" s="64" t="n">
        <v>426.527</v>
      </c>
      <c r="K5908" s="62" t="s">
        <v>42</v>
      </c>
      <c r="L5908" s="68" t="b">
        <f aca="false">FALSE()</f>
        <v>0</v>
      </c>
    </row>
    <row r="5909" customFormat="false" ht="15" hidden="false" customHeight="false" outlineLevel="0" collapsed="false">
      <c r="A5909" s="62" t="n">
        <v>1</v>
      </c>
      <c r="B5909" s="21" t="s">
        <v>336</v>
      </c>
      <c r="C5909" s="62" t="s">
        <v>60</v>
      </c>
      <c r="D5909" s="62" t="s">
        <v>388</v>
      </c>
      <c r="E5909" s="62" t="s">
        <v>382</v>
      </c>
      <c r="F5909" s="62" t="s">
        <v>382</v>
      </c>
      <c r="G5909" s="63" t="s">
        <v>608</v>
      </c>
      <c r="H5909" s="64" t="n">
        <v>3</v>
      </c>
      <c r="I5909" s="62" t="s">
        <v>878</v>
      </c>
      <c r="J5909" s="64" t="n">
        <v>300</v>
      </c>
      <c r="K5909" s="62" t="s">
        <v>42</v>
      </c>
      <c r="L5909" s="68" t="b">
        <f aca="false">FALSE()</f>
        <v>0</v>
      </c>
    </row>
    <row r="5910" customFormat="false" ht="15" hidden="false" customHeight="false" outlineLevel="0" collapsed="false">
      <c r="A5910" s="62" t="n">
        <v>1</v>
      </c>
      <c r="B5910" s="21" t="s">
        <v>336</v>
      </c>
      <c r="C5910" s="62" t="s">
        <v>60</v>
      </c>
      <c r="D5910" s="62" t="s">
        <v>381</v>
      </c>
      <c r="E5910" s="62" t="s">
        <v>382</v>
      </c>
      <c r="F5910" s="62" t="s">
        <v>382</v>
      </c>
      <c r="G5910" s="63" t="s">
        <v>607</v>
      </c>
      <c r="H5910" s="64" t="n">
        <v>4.26066</v>
      </c>
      <c r="I5910" s="62" t="s">
        <v>878</v>
      </c>
      <c r="J5910" s="64" t="n">
        <v>426.066</v>
      </c>
      <c r="K5910" s="62" t="s">
        <v>42</v>
      </c>
      <c r="L5910" s="68" t="b">
        <f aca="false">FALSE()</f>
        <v>0</v>
      </c>
    </row>
    <row r="5911" customFormat="false" ht="15" hidden="false" customHeight="false" outlineLevel="0" collapsed="false">
      <c r="A5911" s="62" t="n">
        <v>1</v>
      </c>
      <c r="B5911" s="21" t="s">
        <v>336</v>
      </c>
      <c r="C5911" s="62" t="s">
        <v>60</v>
      </c>
      <c r="D5911" s="62" t="s">
        <v>383</v>
      </c>
      <c r="E5911" s="62" t="s">
        <v>382</v>
      </c>
      <c r="F5911" s="62" t="s">
        <v>382</v>
      </c>
      <c r="G5911" s="63" t="s">
        <v>841</v>
      </c>
      <c r="H5911" s="64" t="n">
        <v>4.55868</v>
      </c>
      <c r="I5911" s="62" t="s">
        <v>878</v>
      </c>
      <c r="J5911" s="64" t="n">
        <v>455.868</v>
      </c>
      <c r="K5911" s="62" t="s">
        <v>42</v>
      </c>
      <c r="L5911" s="68" t="b">
        <f aca="false">FALSE()</f>
        <v>0</v>
      </c>
    </row>
    <row r="5912" customFormat="false" ht="15" hidden="false" customHeight="false" outlineLevel="0" collapsed="false">
      <c r="A5912" s="62" t="n">
        <v>1</v>
      </c>
      <c r="B5912" s="21" t="s">
        <v>336</v>
      </c>
      <c r="C5912" s="62" t="s">
        <v>60</v>
      </c>
      <c r="D5912" s="62" t="s">
        <v>384</v>
      </c>
      <c r="E5912" s="62" t="s">
        <v>382</v>
      </c>
      <c r="F5912" s="62" t="s">
        <v>382</v>
      </c>
      <c r="G5912" s="63" t="s">
        <v>607</v>
      </c>
      <c r="H5912" s="64" t="n">
        <v>4.47115</v>
      </c>
      <c r="I5912" s="62" t="s">
        <v>878</v>
      </c>
      <c r="J5912" s="64" t="n">
        <v>447.115</v>
      </c>
      <c r="K5912" s="62" t="s">
        <v>42</v>
      </c>
      <c r="L5912" s="68" t="b">
        <f aca="false">FALSE()</f>
        <v>0</v>
      </c>
    </row>
    <row r="5913" customFormat="false" ht="15" hidden="false" customHeight="false" outlineLevel="0" collapsed="false">
      <c r="A5913" s="62" t="n">
        <v>1</v>
      </c>
      <c r="B5913" s="21" t="s">
        <v>336</v>
      </c>
      <c r="C5913" s="62" t="s">
        <v>60</v>
      </c>
      <c r="D5913" s="62" t="s">
        <v>385</v>
      </c>
      <c r="E5913" s="62" t="s">
        <v>382</v>
      </c>
      <c r="F5913" s="62" t="s">
        <v>382</v>
      </c>
      <c r="G5913" s="63" t="s">
        <v>607</v>
      </c>
      <c r="H5913" s="64" t="n">
        <v>2.8863</v>
      </c>
      <c r="I5913" s="62" t="s">
        <v>878</v>
      </c>
      <c r="J5913" s="64" t="n">
        <v>288.63</v>
      </c>
      <c r="K5913" s="62" t="s">
        <v>42</v>
      </c>
      <c r="L5913" s="68" t="b">
        <f aca="false">FALSE()</f>
        <v>0</v>
      </c>
    </row>
    <row r="5914" customFormat="false" ht="15" hidden="false" customHeight="false" outlineLevel="0" collapsed="false">
      <c r="A5914" s="62" t="n">
        <v>1</v>
      </c>
      <c r="B5914" s="21" t="s">
        <v>336</v>
      </c>
      <c r="C5914" s="62" t="s">
        <v>60</v>
      </c>
      <c r="D5914" s="62" t="s">
        <v>387</v>
      </c>
      <c r="E5914" s="62" t="s">
        <v>382</v>
      </c>
      <c r="F5914" s="62" t="s">
        <v>382</v>
      </c>
      <c r="G5914" s="63" t="s">
        <v>607</v>
      </c>
      <c r="H5914" s="64" t="n">
        <v>4.43031</v>
      </c>
      <c r="I5914" s="62" t="s">
        <v>878</v>
      </c>
      <c r="J5914" s="64" t="n">
        <v>443.031</v>
      </c>
      <c r="K5914" s="62" t="s">
        <v>42</v>
      </c>
      <c r="L5914" s="68" t="b">
        <f aca="false">FALSE()</f>
        <v>0</v>
      </c>
    </row>
    <row r="5915" customFormat="false" ht="15" hidden="false" customHeight="false" outlineLevel="0" collapsed="false">
      <c r="A5915" s="62" t="n">
        <v>1</v>
      </c>
      <c r="B5915" s="21" t="s">
        <v>336</v>
      </c>
      <c r="C5915" s="62" t="s">
        <v>60</v>
      </c>
      <c r="D5915" s="62" t="s">
        <v>381</v>
      </c>
      <c r="E5915" s="62" t="s">
        <v>382</v>
      </c>
      <c r="F5915" s="62" t="s">
        <v>382</v>
      </c>
      <c r="G5915" s="63" t="s">
        <v>608</v>
      </c>
      <c r="H5915" s="64" t="n">
        <v>0.84891</v>
      </c>
      <c r="I5915" s="62" t="s">
        <v>878</v>
      </c>
      <c r="J5915" s="64" t="n">
        <v>84.891</v>
      </c>
      <c r="K5915" s="62" t="s">
        <v>42</v>
      </c>
      <c r="L5915" s="68" t="b">
        <f aca="false">FALSE()</f>
        <v>0</v>
      </c>
    </row>
    <row r="5916" customFormat="false" ht="15" hidden="false" customHeight="false" outlineLevel="0" collapsed="false">
      <c r="A5916" s="62" t="n">
        <v>1</v>
      </c>
      <c r="B5916" s="21" t="s">
        <v>336</v>
      </c>
      <c r="C5916" s="62" t="s">
        <v>60</v>
      </c>
      <c r="D5916" s="62" t="s">
        <v>383</v>
      </c>
      <c r="E5916" s="62" t="s">
        <v>382</v>
      </c>
      <c r="F5916" s="62" t="s">
        <v>382</v>
      </c>
      <c r="G5916" s="63" t="s">
        <v>842</v>
      </c>
      <c r="H5916" s="64" t="n">
        <v>4.74106</v>
      </c>
      <c r="I5916" s="62" t="s">
        <v>878</v>
      </c>
      <c r="J5916" s="64" t="n">
        <v>474.106</v>
      </c>
      <c r="K5916" s="62" t="s">
        <v>42</v>
      </c>
      <c r="L5916" s="68" t="b">
        <f aca="false">FALSE()</f>
        <v>0</v>
      </c>
    </row>
    <row r="5917" customFormat="false" ht="15" hidden="false" customHeight="false" outlineLevel="0" collapsed="false">
      <c r="A5917" s="62" t="n">
        <v>1</v>
      </c>
      <c r="B5917" s="21" t="s">
        <v>336</v>
      </c>
      <c r="C5917" s="62" t="s">
        <v>60</v>
      </c>
      <c r="D5917" s="62" t="s">
        <v>384</v>
      </c>
      <c r="E5917" s="62" t="s">
        <v>382</v>
      </c>
      <c r="F5917" s="62" t="s">
        <v>382</v>
      </c>
      <c r="G5917" s="63" t="s">
        <v>608</v>
      </c>
      <c r="H5917" s="64" t="n">
        <v>4.64756</v>
      </c>
      <c r="I5917" s="62" t="s">
        <v>878</v>
      </c>
      <c r="J5917" s="64" t="n">
        <v>464.756</v>
      </c>
      <c r="K5917" s="62" t="s">
        <v>42</v>
      </c>
      <c r="L5917" s="68" t="b">
        <f aca="false">FALSE()</f>
        <v>0</v>
      </c>
    </row>
    <row r="5918" customFormat="false" ht="15" hidden="false" customHeight="false" outlineLevel="0" collapsed="false">
      <c r="A5918" s="62" t="n">
        <v>1</v>
      </c>
      <c r="B5918" s="21" t="s">
        <v>336</v>
      </c>
      <c r="C5918" s="62" t="s">
        <v>60</v>
      </c>
      <c r="D5918" s="62" t="s">
        <v>385</v>
      </c>
      <c r="E5918" s="62" t="s">
        <v>382</v>
      </c>
      <c r="F5918" s="62" t="s">
        <v>382</v>
      </c>
      <c r="G5918" s="63" t="s">
        <v>608</v>
      </c>
      <c r="H5918" s="64" t="n">
        <v>0</v>
      </c>
      <c r="I5918" s="62" t="s">
        <v>878</v>
      </c>
      <c r="J5918" s="64" t="n">
        <v>0</v>
      </c>
      <c r="K5918" s="62" t="s">
        <v>42</v>
      </c>
      <c r="L5918" s="68" t="b">
        <f aca="false">FALSE()</f>
        <v>0</v>
      </c>
    </row>
    <row r="5919" customFormat="false" ht="15" hidden="false" customHeight="false" outlineLevel="0" collapsed="false">
      <c r="A5919" s="62" t="n">
        <v>1</v>
      </c>
      <c r="B5919" s="21" t="s">
        <v>336</v>
      </c>
      <c r="C5919" s="62" t="s">
        <v>60</v>
      </c>
      <c r="D5919" s="62" t="s">
        <v>386</v>
      </c>
      <c r="E5919" s="62" t="s">
        <v>382</v>
      </c>
      <c r="F5919" s="62" t="s">
        <v>382</v>
      </c>
      <c r="G5919" s="63" t="s">
        <v>608</v>
      </c>
      <c r="H5919" s="64" t="n">
        <v>2.19076</v>
      </c>
      <c r="I5919" s="62" t="s">
        <v>878</v>
      </c>
      <c r="J5919" s="64" t="n">
        <v>219.076</v>
      </c>
      <c r="K5919" s="62" t="s">
        <v>42</v>
      </c>
      <c r="L5919" s="68" t="b">
        <f aca="false">FALSE()</f>
        <v>0</v>
      </c>
    </row>
    <row r="5920" customFormat="false" ht="15" hidden="false" customHeight="false" outlineLevel="0" collapsed="false">
      <c r="A5920" s="62" t="n">
        <v>1</v>
      </c>
      <c r="B5920" s="21" t="s">
        <v>336</v>
      </c>
      <c r="C5920" s="62" t="s">
        <v>60</v>
      </c>
      <c r="D5920" s="62" t="s">
        <v>387</v>
      </c>
      <c r="E5920" s="62" t="s">
        <v>382</v>
      </c>
      <c r="F5920" s="62" t="s">
        <v>382</v>
      </c>
      <c r="G5920" s="63" t="s">
        <v>608</v>
      </c>
      <c r="H5920" s="64" t="n">
        <v>1.159</v>
      </c>
      <c r="I5920" s="62" t="s">
        <v>878</v>
      </c>
      <c r="J5920" s="64" t="n">
        <v>115.9</v>
      </c>
      <c r="K5920" s="62" t="s">
        <v>42</v>
      </c>
      <c r="L5920" s="68" t="b">
        <f aca="false">FALSE()</f>
        <v>0</v>
      </c>
    </row>
    <row r="5921" customFormat="false" ht="15" hidden="false" customHeight="false" outlineLevel="0" collapsed="false">
      <c r="A5921" s="62" t="n">
        <v>1</v>
      </c>
      <c r="B5921" s="21" t="s">
        <v>336</v>
      </c>
      <c r="C5921" s="62" t="s">
        <v>60</v>
      </c>
      <c r="D5921" s="62" t="s">
        <v>381</v>
      </c>
      <c r="E5921" s="62" t="s">
        <v>382</v>
      </c>
      <c r="F5921" s="62" t="s">
        <v>382</v>
      </c>
      <c r="G5921" s="63" t="s">
        <v>609</v>
      </c>
      <c r="H5921" s="64" t="n">
        <v>0</v>
      </c>
      <c r="I5921" s="62"/>
      <c r="J5921" s="64" t="n">
        <v>0</v>
      </c>
      <c r="K5921" s="62"/>
      <c r="L5921" s="68" t="b">
        <f aca="false">FALSE()</f>
        <v>0</v>
      </c>
    </row>
    <row r="5922" customFormat="false" ht="15" hidden="false" customHeight="false" outlineLevel="0" collapsed="false">
      <c r="A5922" s="62" t="n">
        <v>1</v>
      </c>
      <c r="B5922" s="21" t="s">
        <v>336</v>
      </c>
      <c r="C5922" s="62" t="s">
        <v>60</v>
      </c>
      <c r="D5922" s="62" t="s">
        <v>383</v>
      </c>
      <c r="E5922" s="62" t="s">
        <v>382</v>
      </c>
      <c r="F5922" s="62" t="s">
        <v>382</v>
      </c>
      <c r="G5922" s="63" t="s">
        <v>609</v>
      </c>
      <c r="H5922" s="64" t="n">
        <v>0</v>
      </c>
      <c r="I5922" s="62"/>
      <c r="J5922" s="64" t="n">
        <v>0</v>
      </c>
      <c r="K5922" s="62"/>
      <c r="L5922" s="68" t="b">
        <f aca="false">FALSE()</f>
        <v>0</v>
      </c>
    </row>
    <row r="5923" customFormat="false" ht="15" hidden="false" customHeight="false" outlineLevel="0" collapsed="false">
      <c r="A5923" s="62" t="n">
        <v>1</v>
      </c>
      <c r="B5923" s="21" t="s">
        <v>336</v>
      </c>
      <c r="C5923" s="62" t="s">
        <v>60</v>
      </c>
      <c r="D5923" s="62" t="s">
        <v>384</v>
      </c>
      <c r="E5923" s="62" t="s">
        <v>382</v>
      </c>
      <c r="F5923" s="62" t="s">
        <v>382</v>
      </c>
      <c r="G5923" s="63" t="s">
        <v>609</v>
      </c>
      <c r="H5923" s="64" t="n">
        <v>0</v>
      </c>
      <c r="I5923" s="62"/>
      <c r="J5923" s="64" t="n">
        <v>0</v>
      </c>
      <c r="K5923" s="62"/>
      <c r="L5923" s="68" t="b">
        <f aca="false">FALSE()</f>
        <v>0</v>
      </c>
    </row>
    <row r="5924" customFormat="false" ht="15" hidden="false" customHeight="false" outlineLevel="0" collapsed="false">
      <c r="A5924" s="62" t="n">
        <v>1</v>
      </c>
      <c r="B5924" s="21" t="s">
        <v>336</v>
      </c>
      <c r="C5924" s="62" t="s">
        <v>60</v>
      </c>
      <c r="D5924" s="62" t="s">
        <v>385</v>
      </c>
      <c r="E5924" s="62" t="s">
        <v>382</v>
      </c>
      <c r="F5924" s="62" t="s">
        <v>382</v>
      </c>
      <c r="G5924" s="63" t="s">
        <v>609</v>
      </c>
      <c r="H5924" s="64" t="n">
        <v>0</v>
      </c>
      <c r="I5924" s="62"/>
      <c r="J5924" s="64" t="n">
        <v>0</v>
      </c>
      <c r="K5924" s="62"/>
      <c r="L5924" s="68" t="b">
        <f aca="false">FALSE()</f>
        <v>0</v>
      </c>
    </row>
    <row r="5925" customFormat="false" ht="15" hidden="false" customHeight="false" outlineLevel="0" collapsed="false">
      <c r="A5925" s="62" t="n">
        <v>1</v>
      </c>
      <c r="B5925" s="21" t="s">
        <v>336</v>
      </c>
      <c r="C5925" s="62" t="s">
        <v>60</v>
      </c>
      <c r="D5925" s="62" t="s">
        <v>386</v>
      </c>
      <c r="E5925" s="62" t="s">
        <v>382</v>
      </c>
      <c r="F5925" s="62" t="s">
        <v>382</v>
      </c>
      <c r="G5925" s="63" t="s">
        <v>609</v>
      </c>
      <c r="H5925" s="64" t="n">
        <v>0</v>
      </c>
      <c r="I5925" s="62"/>
      <c r="J5925" s="64" t="n">
        <v>0</v>
      </c>
      <c r="K5925" s="62"/>
      <c r="L5925" s="68" t="b">
        <f aca="false">FALSE()</f>
        <v>0</v>
      </c>
    </row>
    <row r="5926" customFormat="false" ht="15" hidden="false" customHeight="false" outlineLevel="0" collapsed="false">
      <c r="A5926" s="62" t="n">
        <v>1</v>
      </c>
      <c r="B5926" s="21" t="s">
        <v>336</v>
      </c>
      <c r="C5926" s="62" t="s">
        <v>60</v>
      </c>
      <c r="D5926" s="62" t="s">
        <v>387</v>
      </c>
      <c r="E5926" s="62" t="s">
        <v>382</v>
      </c>
      <c r="F5926" s="62" t="s">
        <v>382</v>
      </c>
      <c r="G5926" s="63" t="s">
        <v>609</v>
      </c>
      <c r="H5926" s="64" t="n">
        <v>0</v>
      </c>
      <c r="I5926" s="62"/>
      <c r="J5926" s="64" t="n">
        <v>0</v>
      </c>
      <c r="K5926" s="62"/>
      <c r="L5926" s="68" t="b">
        <f aca="false">FALSE()</f>
        <v>0</v>
      </c>
    </row>
    <row r="5927" customFormat="false" ht="15" hidden="false" customHeight="false" outlineLevel="0" collapsed="false">
      <c r="A5927" s="62" t="n">
        <v>1</v>
      </c>
      <c r="B5927" s="21" t="s">
        <v>336</v>
      </c>
      <c r="C5927" s="62" t="s">
        <v>60</v>
      </c>
      <c r="D5927" s="62" t="s">
        <v>388</v>
      </c>
      <c r="E5927" s="62" t="s">
        <v>382</v>
      </c>
      <c r="F5927" s="62" t="s">
        <v>382</v>
      </c>
      <c r="G5927" s="63" t="s">
        <v>609</v>
      </c>
      <c r="H5927" s="64" t="n">
        <v>0</v>
      </c>
      <c r="I5927" s="62"/>
      <c r="J5927" s="64" t="n">
        <v>0</v>
      </c>
      <c r="K5927" s="62"/>
      <c r="L5927" s="68" t="b">
        <f aca="false">FALSE()</f>
        <v>0</v>
      </c>
    </row>
    <row r="5928" customFormat="false" ht="15" hidden="false" customHeight="false" outlineLevel="0" collapsed="false">
      <c r="A5928" s="62" t="n">
        <v>1</v>
      </c>
      <c r="B5928" s="21" t="s">
        <v>336</v>
      </c>
      <c r="C5928" s="62" t="s">
        <v>60</v>
      </c>
      <c r="D5928" s="62" t="s">
        <v>381</v>
      </c>
      <c r="E5928" s="62" t="s">
        <v>382</v>
      </c>
      <c r="F5928" s="62" t="s">
        <v>382</v>
      </c>
      <c r="G5928" s="63" t="s">
        <v>843</v>
      </c>
      <c r="H5928" s="64" t="n">
        <v>0</v>
      </c>
      <c r="I5928" s="62"/>
      <c r="J5928" s="64" t="n">
        <v>0</v>
      </c>
      <c r="K5928" s="62"/>
      <c r="L5928" s="68" t="b">
        <f aca="false">FALSE()</f>
        <v>0</v>
      </c>
    </row>
    <row r="5929" customFormat="false" ht="15" hidden="false" customHeight="false" outlineLevel="0" collapsed="false">
      <c r="A5929" s="62" t="n">
        <v>1</v>
      </c>
      <c r="B5929" s="21" t="s">
        <v>336</v>
      </c>
      <c r="C5929" s="62" t="s">
        <v>60</v>
      </c>
      <c r="D5929" s="62" t="s">
        <v>383</v>
      </c>
      <c r="E5929" s="62" t="s">
        <v>382</v>
      </c>
      <c r="F5929" s="62" t="s">
        <v>382</v>
      </c>
      <c r="G5929" s="63" t="s">
        <v>843</v>
      </c>
      <c r="H5929" s="64" t="n">
        <v>0</v>
      </c>
      <c r="I5929" s="62"/>
      <c r="J5929" s="64" t="n">
        <v>0</v>
      </c>
      <c r="K5929" s="62"/>
      <c r="L5929" s="68" t="b">
        <f aca="false">FALSE()</f>
        <v>0</v>
      </c>
    </row>
    <row r="5930" customFormat="false" ht="15" hidden="false" customHeight="false" outlineLevel="0" collapsed="false">
      <c r="A5930" s="62" t="n">
        <v>1</v>
      </c>
      <c r="B5930" s="21" t="s">
        <v>336</v>
      </c>
      <c r="C5930" s="62" t="s">
        <v>60</v>
      </c>
      <c r="D5930" s="62" t="s">
        <v>387</v>
      </c>
      <c r="E5930" s="62" t="s">
        <v>382</v>
      </c>
      <c r="F5930" s="62" t="s">
        <v>382</v>
      </c>
      <c r="G5930" s="63" t="s">
        <v>843</v>
      </c>
      <c r="H5930" s="64" t="n">
        <v>0</v>
      </c>
      <c r="I5930" s="62"/>
      <c r="J5930" s="64" t="n">
        <v>0</v>
      </c>
      <c r="K5930" s="62"/>
      <c r="L5930" s="68" t="b">
        <f aca="false">FALSE()</f>
        <v>0</v>
      </c>
    </row>
    <row r="5931" customFormat="false" ht="15" hidden="false" customHeight="false" outlineLevel="0" collapsed="false">
      <c r="A5931" s="62" t="n">
        <v>1</v>
      </c>
      <c r="B5931" s="21" t="s">
        <v>336</v>
      </c>
      <c r="C5931" s="62" t="s">
        <v>60</v>
      </c>
      <c r="D5931" s="62" t="s">
        <v>388</v>
      </c>
      <c r="E5931" s="62" t="s">
        <v>382</v>
      </c>
      <c r="F5931" s="62" t="s">
        <v>382</v>
      </c>
      <c r="G5931" s="63" t="s">
        <v>843</v>
      </c>
      <c r="H5931" s="64" t="n">
        <v>0</v>
      </c>
      <c r="I5931" s="62"/>
      <c r="J5931" s="64" t="n">
        <v>0</v>
      </c>
      <c r="K5931" s="62"/>
      <c r="L5931" s="68" t="b">
        <f aca="false">FALSE()</f>
        <v>0</v>
      </c>
    </row>
    <row r="5932" customFormat="false" ht="15" hidden="false" customHeight="false" outlineLevel="0" collapsed="false">
      <c r="A5932" s="62" t="n">
        <v>1</v>
      </c>
      <c r="B5932" s="21" t="s">
        <v>336</v>
      </c>
      <c r="C5932" s="62" t="s">
        <v>60</v>
      </c>
      <c r="D5932" s="62" t="s">
        <v>381</v>
      </c>
      <c r="E5932" s="62" t="s">
        <v>382</v>
      </c>
      <c r="F5932" s="62" t="s">
        <v>382</v>
      </c>
      <c r="G5932" s="63" t="s">
        <v>610</v>
      </c>
      <c r="H5932" s="64" t="n">
        <v>0</v>
      </c>
      <c r="I5932" s="62"/>
      <c r="J5932" s="64" t="n">
        <v>0</v>
      </c>
      <c r="K5932" s="62"/>
      <c r="L5932" s="68" t="b">
        <f aca="false">FALSE()</f>
        <v>0</v>
      </c>
    </row>
    <row r="5933" customFormat="false" ht="15" hidden="false" customHeight="false" outlineLevel="0" collapsed="false">
      <c r="A5933" s="62" t="n">
        <v>1</v>
      </c>
      <c r="B5933" s="21" t="s">
        <v>336</v>
      </c>
      <c r="C5933" s="62" t="s">
        <v>60</v>
      </c>
      <c r="D5933" s="62" t="s">
        <v>383</v>
      </c>
      <c r="E5933" s="62" t="s">
        <v>382</v>
      </c>
      <c r="F5933" s="62" t="s">
        <v>382</v>
      </c>
      <c r="G5933" s="63" t="s">
        <v>610</v>
      </c>
      <c r="H5933" s="64" t="n">
        <v>0</v>
      </c>
      <c r="I5933" s="62"/>
      <c r="J5933" s="64" t="n">
        <v>0</v>
      </c>
      <c r="K5933" s="62"/>
      <c r="L5933" s="68" t="b">
        <f aca="false">FALSE()</f>
        <v>0</v>
      </c>
    </row>
    <row r="5934" customFormat="false" ht="15" hidden="false" customHeight="false" outlineLevel="0" collapsed="false">
      <c r="A5934" s="62" t="n">
        <v>1</v>
      </c>
      <c r="B5934" s="21" t="s">
        <v>336</v>
      </c>
      <c r="C5934" s="62" t="s">
        <v>60</v>
      </c>
      <c r="D5934" s="62" t="s">
        <v>384</v>
      </c>
      <c r="E5934" s="62" t="s">
        <v>382</v>
      </c>
      <c r="F5934" s="62" t="s">
        <v>382</v>
      </c>
      <c r="G5934" s="63" t="s">
        <v>610</v>
      </c>
      <c r="H5934" s="64" t="n">
        <v>0</v>
      </c>
      <c r="I5934" s="62"/>
      <c r="J5934" s="64" t="n">
        <v>0</v>
      </c>
      <c r="K5934" s="62"/>
      <c r="L5934" s="68" t="b">
        <f aca="false">FALSE()</f>
        <v>0</v>
      </c>
    </row>
    <row r="5935" customFormat="false" ht="15" hidden="false" customHeight="false" outlineLevel="0" collapsed="false">
      <c r="A5935" s="62" t="n">
        <v>1</v>
      </c>
      <c r="B5935" s="21" t="s">
        <v>336</v>
      </c>
      <c r="C5935" s="62" t="s">
        <v>60</v>
      </c>
      <c r="D5935" s="62" t="s">
        <v>385</v>
      </c>
      <c r="E5935" s="62" t="s">
        <v>382</v>
      </c>
      <c r="F5935" s="62" t="s">
        <v>382</v>
      </c>
      <c r="G5935" s="63" t="s">
        <v>610</v>
      </c>
      <c r="H5935" s="64" t="n">
        <v>0</v>
      </c>
      <c r="I5935" s="62"/>
      <c r="J5935" s="64" t="n">
        <v>0</v>
      </c>
      <c r="K5935" s="62"/>
      <c r="L5935" s="68" t="b">
        <f aca="false">FALSE()</f>
        <v>0</v>
      </c>
    </row>
    <row r="5936" customFormat="false" ht="15" hidden="false" customHeight="false" outlineLevel="0" collapsed="false">
      <c r="A5936" s="62" t="n">
        <v>1</v>
      </c>
      <c r="B5936" s="21" t="s">
        <v>336</v>
      </c>
      <c r="C5936" s="62" t="s">
        <v>60</v>
      </c>
      <c r="D5936" s="62" t="s">
        <v>386</v>
      </c>
      <c r="E5936" s="62" t="s">
        <v>382</v>
      </c>
      <c r="F5936" s="62" t="s">
        <v>382</v>
      </c>
      <c r="G5936" s="63" t="s">
        <v>610</v>
      </c>
      <c r="H5936" s="64" t="n">
        <v>0</v>
      </c>
      <c r="I5936" s="62"/>
      <c r="J5936" s="64" t="n">
        <v>0</v>
      </c>
      <c r="K5936" s="62"/>
      <c r="L5936" s="68" t="b">
        <f aca="false">FALSE()</f>
        <v>0</v>
      </c>
    </row>
    <row r="5937" customFormat="false" ht="15" hidden="false" customHeight="false" outlineLevel="0" collapsed="false">
      <c r="A5937" s="62" t="n">
        <v>1</v>
      </c>
      <c r="B5937" s="21" t="s">
        <v>336</v>
      </c>
      <c r="C5937" s="62" t="s">
        <v>60</v>
      </c>
      <c r="D5937" s="62" t="s">
        <v>387</v>
      </c>
      <c r="E5937" s="62" t="s">
        <v>382</v>
      </c>
      <c r="F5937" s="62" t="s">
        <v>382</v>
      </c>
      <c r="G5937" s="63" t="s">
        <v>610</v>
      </c>
      <c r="H5937" s="64" t="n">
        <v>0</v>
      </c>
      <c r="I5937" s="62"/>
      <c r="J5937" s="64" t="n">
        <v>0</v>
      </c>
      <c r="K5937" s="62"/>
      <c r="L5937" s="68" t="b">
        <f aca="false">FALSE()</f>
        <v>0</v>
      </c>
    </row>
    <row r="5938" customFormat="false" ht="15" hidden="false" customHeight="false" outlineLevel="0" collapsed="false">
      <c r="A5938" s="62" t="n">
        <v>1</v>
      </c>
      <c r="B5938" s="21" t="s">
        <v>336</v>
      </c>
      <c r="C5938" s="62" t="s">
        <v>60</v>
      </c>
      <c r="D5938" s="62" t="s">
        <v>388</v>
      </c>
      <c r="E5938" s="62" t="s">
        <v>382</v>
      </c>
      <c r="F5938" s="62" t="s">
        <v>382</v>
      </c>
      <c r="G5938" s="63" t="s">
        <v>610</v>
      </c>
      <c r="H5938" s="64" t="n">
        <v>0</v>
      </c>
      <c r="I5938" s="62"/>
      <c r="J5938" s="64" t="n">
        <v>0</v>
      </c>
      <c r="K5938" s="62"/>
      <c r="L5938" s="68" t="b">
        <f aca="false">TRUE()</f>
        <v>1</v>
      </c>
    </row>
    <row r="5939" customFormat="false" ht="15" hidden="false" customHeight="false" outlineLevel="0" collapsed="false">
      <c r="A5939" s="62" t="n">
        <v>1</v>
      </c>
      <c r="B5939" s="21" t="s">
        <v>336</v>
      </c>
      <c r="C5939" s="62" t="s">
        <v>60</v>
      </c>
      <c r="D5939" s="62" t="s">
        <v>381</v>
      </c>
      <c r="E5939" s="62" t="s">
        <v>382</v>
      </c>
      <c r="F5939" s="62" t="s">
        <v>382</v>
      </c>
      <c r="G5939" s="63" t="s">
        <v>611</v>
      </c>
      <c r="H5939" s="64" t="n">
        <v>1908.40048984688</v>
      </c>
      <c r="I5939" s="62"/>
      <c r="J5939" s="64" t="n">
        <v>1908.40048984688</v>
      </c>
      <c r="K5939" s="62"/>
      <c r="L5939" s="68" t="b">
        <f aca="false">FALSE()</f>
        <v>0</v>
      </c>
    </row>
    <row r="5940" customFormat="false" ht="15" hidden="false" customHeight="false" outlineLevel="0" collapsed="false">
      <c r="A5940" s="62" t="n">
        <v>1</v>
      </c>
      <c r="B5940" s="21" t="s">
        <v>336</v>
      </c>
      <c r="C5940" s="62" t="s">
        <v>60</v>
      </c>
      <c r="D5940" s="62" t="s">
        <v>383</v>
      </c>
      <c r="E5940" s="62" t="s">
        <v>382</v>
      </c>
      <c r="F5940" s="62" t="s">
        <v>382</v>
      </c>
      <c r="G5940" s="63" t="s">
        <v>611</v>
      </c>
      <c r="H5940" s="64" t="n">
        <v>1856.56313008297</v>
      </c>
      <c r="I5940" s="62"/>
      <c r="J5940" s="64" t="n">
        <v>1856.56313008297</v>
      </c>
      <c r="K5940" s="62"/>
      <c r="L5940" s="68" t="b">
        <f aca="false">FALSE()</f>
        <v>0</v>
      </c>
    </row>
    <row r="5941" customFormat="false" ht="15" hidden="false" customHeight="false" outlineLevel="0" collapsed="false">
      <c r="A5941" s="62" t="n">
        <v>1</v>
      </c>
      <c r="B5941" s="21" t="s">
        <v>336</v>
      </c>
      <c r="C5941" s="62" t="s">
        <v>60</v>
      </c>
      <c r="D5941" s="62" t="s">
        <v>384</v>
      </c>
      <c r="E5941" s="62" t="s">
        <v>382</v>
      </c>
      <c r="F5941" s="62" t="s">
        <v>382</v>
      </c>
      <c r="G5941" s="63" t="s">
        <v>611</v>
      </c>
      <c r="H5941" s="64" t="n">
        <v>1718.51860018684</v>
      </c>
      <c r="I5941" s="62"/>
      <c r="J5941" s="64" t="n">
        <v>1718.51860018684</v>
      </c>
      <c r="K5941" s="62"/>
      <c r="L5941" s="68" t="b">
        <f aca="false">FALSE()</f>
        <v>0</v>
      </c>
    </row>
    <row r="5942" customFormat="false" ht="15" hidden="false" customHeight="false" outlineLevel="0" collapsed="false">
      <c r="A5942" s="62" t="n">
        <v>1</v>
      </c>
      <c r="B5942" s="21" t="s">
        <v>336</v>
      </c>
      <c r="C5942" s="62" t="s">
        <v>60</v>
      </c>
      <c r="D5942" s="62" t="s">
        <v>385</v>
      </c>
      <c r="E5942" s="62" t="s">
        <v>382</v>
      </c>
      <c r="F5942" s="62" t="s">
        <v>382</v>
      </c>
      <c r="G5942" s="63" t="s">
        <v>611</v>
      </c>
      <c r="H5942" s="64" t="n">
        <v>2965.45358344515</v>
      </c>
      <c r="I5942" s="62"/>
      <c r="J5942" s="64" t="n">
        <v>2965.45358344515</v>
      </c>
      <c r="K5942" s="62"/>
      <c r="L5942" s="68" t="b">
        <f aca="false">FALSE()</f>
        <v>0</v>
      </c>
    </row>
    <row r="5943" customFormat="false" ht="15" hidden="false" customHeight="false" outlineLevel="0" collapsed="false">
      <c r="A5943" s="62" t="n">
        <v>1</v>
      </c>
      <c r="B5943" s="21" t="s">
        <v>336</v>
      </c>
      <c r="C5943" s="62" t="s">
        <v>60</v>
      </c>
      <c r="D5943" s="62" t="s">
        <v>386</v>
      </c>
      <c r="E5943" s="62" t="s">
        <v>382</v>
      </c>
      <c r="F5943" s="62" t="s">
        <v>382</v>
      </c>
      <c r="G5943" s="63" t="s">
        <v>611</v>
      </c>
      <c r="H5943" s="64" t="n">
        <v>1510.63234614872</v>
      </c>
      <c r="I5943" s="62"/>
      <c r="J5943" s="64" t="n">
        <v>1510.63234614872</v>
      </c>
      <c r="K5943" s="62"/>
      <c r="L5943" s="68" t="b">
        <f aca="false">FALSE()</f>
        <v>0</v>
      </c>
    </row>
    <row r="5944" customFormat="false" ht="15" hidden="false" customHeight="false" outlineLevel="0" collapsed="false">
      <c r="A5944" s="62" t="n">
        <v>1</v>
      </c>
      <c r="B5944" s="21" t="s">
        <v>336</v>
      </c>
      <c r="C5944" s="62" t="s">
        <v>60</v>
      </c>
      <c r="D5944" s="62" t="s">
        <v>387</v>
      </c>
      <c r="E5944" s="62" t="s">
        <v>382</v>
      </c>
      <c r="F5944" s="62" t="s">
        <v>382</v>
      </c>
      <c r="G5944" s="63" t="s">
        <v>611</v>
      </c>
      <c r="H5944" s="64" t="n">
        <v>2964.51378481429</v>
      </c>
      <c r="I5944" s="62"/>
      <c r="J5944" s="64" t="n">
        <v>2964.51378481429</v>
      </c>
      <c r="K5944" s="62"/>
      <c r="L5944" s="68" t="b">
        <f aca="false">FALSE()</f>
        <v>0</v>
      </c>
    </row>
    <row r="5945" customFormat="false" ht="15" hidden="false" customHeight="false" outlineLevel="0" collapsed="false">
      <c r="A5945" s="62" t="n">
        <v>1</v>
      </c>
      <c r="B5945" s="21" t="s">
        <v>336</v>
      </c>
      <c r="C5945" s="62" t="s">
        <v>60</v>
      </c>
      <c r="D5945" s="62" t="s">
        <v>381</v>
      </c>
      <c r="E5945" s="62" t="s">
        <v>382</v>
      </c>
      <c r="F5945" s="62" t="s">
        <v>382</v>
      </c>
      <c r="G5945" s="63" t="s">
        <v>844</v>
      </c>
      <c r="H5945" s="64" t="n">
        <v>2575.82102809017</v>
      </c>
      <c r="I5945" s="62"/>
      <c r="J5945" s="64" t="n">
        <v>2575.82102809017</v>
      </c>
      <c r="K5945" s="62"/>
      <c r="L5945" s="68" t="b">
        <f aca="false">FALSE()</f>
        <v>0</v>
      </c>
    </row>
    <row r="5946" customFormat="false" ht="15" hidden="false" customHeight="false" outlineLevel="0" collapsed="false">
      <c r="A5946" s="62" t="n">
        <v>1</v>
      </c>
      <c r="B5946" s="21" t="s">
        <v>336</v>
      </c>
      <c r="C5946" s="62" t="s">
        <v>60</v>
      </c>
      <c r="D5946" s="62" t="s">
        <v>383</v>
      </c>
      <c r="E5946" s="62" t="s">
        <v>382</v>
      </c>
      <c r="F5946" s="62" t="s">
        <v>382</v>
      </c>
      <c r="G5946" s="63" t="s">
        <v>844</v>
      </c>
      <c r="H5946" s="64" t="n">
        <v>2737.14736173661</v>
      </c>
      <c r="I5946" s="62"/>
      <c r="J5946" s="64" t="n">
        <v>2737.14736173661</v>
      </c>
      <c r="K5946" s="62"/>
      <c r="L5946" s="68" t="b">
        <f aca="false">FALSE()</f>
        <v>0</v>
      </c>
    </row>
    <row r="5947" customFormat="false" ht="15" hidden="false" customHeight="false" outlineLevel="0" collapsed="false">
      <c r="A5947" s="62" t="n">
        <v>1</v>
      </c>
      <c r="B5947" s="21" t="s">
        <v>336</v>
      </c>
      <c r="C5947" s="62" t="s">
        <v>60</v>
      </c>
      <c r="D5947" s="62" t="s">
        <v>387</v>
      </c>
      <c r="E5947" s="62" t="s">
        <v>382</v>
      </c>
      <c r="F5947" s="62" t="s">
        <v>382</v>
      </c>
      <c r="G5947" s="63" t="s">
        <v>844</v>
      </c>
      <c r="H5947" s="64" t="n">
        <v>5505.22248152885</v>
      </c>
      <c r="I5947" s="62"/>
      <c r="J5947" s="64" t="n">
        <v>5505.22248152885</v>
      </c>
      <c r="K5947" s="62"/>
      <c r="L5947" s="68" t="b">
        <f aca="false">FALSE()</f>
        <v>0</v>
      </c>
    </row>
    <row r="5948" customFormat="false" ht="15" hidden="false" customHeight="false" outlineLevel="0" collapsed="false">
      <c r="A5948" s="62" t="n">
        <v>1</v>
      </c>
      <c r="B5948" s="21" t="s">
        <v>336</v>
      </c>
      <c r="C5948" s="62" t="s">
        <v>60</v>
      </c>
      <c r="D5948" s="62" t="s">
        <v>381</v>
      </c>
      <c r="E5948" s="62" t="s">
        <v>382</v>
      </c>
      <c r="F5948" s="62" t="s">
        <v>382</v>
      </c>
      <c r="G5948" s="63" t="s">
        <v>612</v>
      </c>
      <c r="H5948" s="64" t="n">
        <v>2270.82873649819</v>
      </c>
      <c r="I5948" s="62"/>
      <c r="J5948" s="64" t="n">
        <v>2270.82873649819</v>
      </c>
      <c r="K5948" s="62"/>
      <c r="L5948" s="68" t="b">
        <f aca="false">FALSE()</f>
        <v>0</v>
      </c>
    </row>
    <row r="5949" customFormat="false" ht="15" hidden="false" customHeight="false" outlineLevel="0" collapsed="false">
      <c r="A5949" s="62" t="n">
        <v>1</v>
      </c>
      <c r="B5949" s="21" t="s">
        <v>336</v>
      </c>
      <c r="C5949" s="62" t="s">
        <v>60</v>
      </c>
      <c r="D5949" s="62" t="s">
        <v>383</v>
      </c>
      <c r="E5949" s="62" t="s">
        <v>382</v>
      </c>
      <c r="F5949" s="62" t="s">
        <v>382</v>
      </c>
      <c r="G5949" s="63" t="s">
        <v>612</v>
      </c>
      <c r="H5949" s="64" t="n">
        <v>2085.32102991323</v>
      </c>
      <c r="I5949" s="62"/>
      <c r="J5949" s="64" t="n">
        <v>2085.32102991323</v>
      </c>
      <c r="K5949" s="62"/>
      <c r="L5949" s="68" t="b">
        <f aca="false">FALSE()</f>
        <v>0</v>
      </c>
    </row>
    <row r="5950" customFormat="false" ht="15" hidden="false" customHeight="false" outlineLevel="0" collapsed="false">
      <c r="A5950" s="62" t="n">
        <v>1</v>
      </c>
      <c r="B5950" s="21" t="s">
        <v>336</v>
      </c>
      <c r="C5950" s="62" t="s">
        <v>60</v>
      </c>
      <c r="D5950" s="62" t="s">
        <v>384</v>
      </c>
      <c r="E5950" s="62" t="s">
        <v>382</v>
      </c>
      <c r="F5950" s="62" t="s">
        <v>382</v>
      </c>
      <c r="G5950" s="63" t="s">
        <v>612</v>
      </c>
      <c r="H5950" s="64" t="n">
        <v>1718.51860018684</v>
      </c>
      <c r="I5950" s="62"/>
      <c r="J5950" s="64" t="n">
        <v>1718.51860018684</v>
      </c>
      <c r="K5950" s="62"/>
      <c r="L5950" s="68" t="b">
        <f aca="false">FALSE()</f>
        <v>0</v>
      </c>
    </row>
    <row r="5951" customFormat="false" ht="15" hidden="false" customHeight="false" outlineLevel="0" collapsed="false">
      <c r="A5951" s="62" t="n">
        <v>1</v>
      </c>
      <c r="B5951" s="21" t="s">
        <v>336</v>
      </c>
      <c r="C5951" s="62" t="s">
        <v>60</v>
      </c>
      <c r="D5951" s="62" t="s">
        <v>385</v>
      </c>
      <c r="E5951" s="62" t="s">
        <v>382</v>
      </c>
      <c r="F5951" s="62" t="s">
        <v>382</v>
      </c>
      <c r="G5951" s="63" t="s">
        <v>612</v>
      </c>
      <c r="H5951" s="64" t="n">
        <v>2965.45358344515</v>
      </c>
      <c r="I5951" s="62"/>
      <c r="J5951" s="64" t="n">
        <v>2965.45358344515</v>
      </c>
      <c r="K5951" s="62"/>
      <c r="L5951" s="68" t="b">
        <f aca="false">FALSE()</f>
        <v>0</v>
      </c>
    </row>
    <row r="5952" customFormat="false" ht="15" hidden="false" customHeight="false" outlineLevel="0" collapsed="false">
      <c r="A5952" s="62" t="n">
        <v>1</v>
      </c>
      <c r="B5952" s="21" t="s">
        <v>336</v>
      </c>
      <c r="C5952" s="62" t="s">
        <v>60</v>
      </c>
      <c r="D5952" s="62" t="s">
        <v>386</v>
      </c>
      <c r="E5952" s="62" t="s">
        <v>382</v>
      </c>
      <c r="F5952" s="62" t="s">
        <v>382</v>
      </c>
      <c r="G5952" s="63" t="s">
        <v>612</v>
      </c>
      <c r="H5952" s="64" t="n">
        <v>1510.63234614872</v>
      </c>
      <c r="I5952" s="62"/>
      <c r="J5952" s="64" t="n">
        <v>1510.63234614872</v>
      </c>
      <c r="K5952" s="62"/>
      <c r="L5952" s="68" t="b">
        <f aca="false">FALSE()</f>
        <v>0</v>
      </c>
    </row>
    <row r="5953" customFormat="false" ht="15" hidden="false" customHeight="false" outlineLevel="0" collapsed="false">
      <c r="A5953" s="62" t="n">
        <v>1</v>
      </c>
      <c r="B5953" s="21" t="s">
        <v>336</v>
      </c>
      <c r="C5953" s="62" t="s">
        <v>60</v>
      </c>
      <c r="D5953" s="62" t="s">
        <v>387</v>
      </c>
      <c r="E5953" s="62" t="s">
        <v>382</v>
      </c>
      <c r="F5953" s="62" t="s">
        <v>382</v>
      </c>
      <c r="G5953" s="63" t="s">
        <v>612</v>
      </c>
      <c r="H5953" s="64" t="n">
        <v>3158.31589858473</v>
      </c>
      <c r="I5953" s="62"/>
      <c r="J5953" s="64" t="n">
        <v>3158.31589858473</v>
      </c>
      <c r="K5953" s="62"/>
      <c r="L5953" s="68" t="b">
        <f aca="false">FALSE()</f>
        <v>0</v>
      </c>
    </row>
    <row r="5954" customFormat="false" ht="15" hidden="false" customHeight="false" outlineLevel="0" collapsed="false">
      <c r="A5954" s="62" t="n">
        <v>1</v>
      </c>
      <c r="B5954" s="21" t="s">
        <v>336</v>
      </c>
      <c r="C5954" s="62" t="s">
        <v>60</v>
      </c>
      <c r="D5954" s="62" t="s">
        <v>381</v>
      </c>
      <c r="E5954" s="62" t="s">
        <v>382</v>
      </c>
      <c r="F5954" s="62" t="s">
        <v>382</v>
      </c>
      <c r="G5954" s="63" t="s">
        <v>613</v>
      </c>
      <c r="H5954" s="64" t="n">
        <v>12481.4650108142</v>
      </c>
      <c r="I5954" s="62"/>
      <c r="J5954" s="64" t="n">
        <v>12481.4650108142</v>
      </c>
      <c r="K5954" s="62"/>
      <c r="L5954" s="68" t="b">
        <f aca="false">FALSE()</f>
        <v>0</v>
      </c>
    </row>
    <row r="5955" customFormat="false" ht="15" hidden="false" customHeight="false" outlineLevel="0" collapsed="false">
      <c r="A5955" s="62" t="n">
        <v>1</v>
      </c>
      <c r="B5955" s="21" t="s">
        <v>336</v>
      </c>
      <c r="C5955" s="62" t="s">
        <v>60</v>
      </c>
      <c r="D5955" s="62" t="s">
        <v>383</v>
      </c>
      <c r="E5955" s="62" t="s">
        <v>382</v>
      </c>
      <c r="F5955" s="62" t="s">
        <v>382</v>
      </c>
      <c r="G5955" s="63" t="s">
        <v>613</v>
      </c>
      <c r="H5955" s="64" t="n">
        <v>12575.6417087049</v>
      </c>
      <c r="I5955" s="62"/>
      <c r="J5955" s="64" t="n">
        <v>12575.6417087049</v>
      </c>
      <c r="K5955" s="62"/>
      <c r="L5955" s="68" t="b">
        <f aca="false">FALSE()</f>
        <v>0</v>
      </c>
    </row>
    <row r="5956" customFormat="false" ht="15" hidden="false" customHeight="false" outlineLevel="0" collapsed="false">
      <c r="A5956" s="62" t="n">
        <v>1</v>
      </c>
      <c r="B5956" s="21" t="s">
        <v>336</v>
      </c>
      <c r="C5956" s="62" t="s">
        <v>60</v>
      </c>
      <c r="D5956" s="62" t="s">
        <v>384</v>
      </c>
      <c r="E5956" s="62" t="s">
        <v>382</v>
      </c>
      <c r="F5956" s="62" t="s">
        <v>382</v>
      </c>
      <c r="G5956" s="63" t="s">
        <v>613</v>
      </c>
      <c r="H5956" s="64" t="n">
        <v>11518.1119518798</v>
      </c>
      <c r="I5956" s="62"/>
      <c r="J5956" s="64" t="n">
        <v>11518.1119518798</v>
      </c>
      <c r="K5956" s="62"/>
      <c r="L5956" s="68" t="b">
        <f aca="false">FALSE()</f>
        <v>0</v>
      </c>
    </row>
    <row r="5957" customFormat="false" ht="15" hidden="false" customHeight="false" outlineLevel="0" collapsed="false">
      <c r="A5957" s="62" t="n">
        <v>1</v>
      </c>
      <c r="B5957" s="21" t="s">
        <v>336</v>
      </c>
      <c r="C5957" s="62" t="s">
        <v>60</v>
      </c>
      <c r="D5957" s="62" t="s">
        <v>385</v>
      </c>
      <c r="E5957" s="62" t="s">
        <v>382</v>
      </c>
      <c r="F5957" s="62" t="s">
        <v>382</v>
      </c>
      <c r="G5957" s="63" t="s">
        <v>613</v>
      </c>
      <c r="H5957" s="64" t="n">
        <v>12072.9978961876</v>
      </c>
      <c r="I5957" s="62"/>
      <c r="J5957" s="64" t="n">
        <v>12072.9978961876</v>
      </c>
      <c r="K5957" s="62"/>
      <c r="L5957" s="68" t="b">
        <f aca="false">FALSE()</f>
        <v>0</v>
      </c>
    </row>
    <row r="5958" customFormat="false" ht="15" hidden="false" customHeight="false" outlineLevel="0" collapsed="false">
      <c r="A5958" s="62" t="n">
        <v>1</v>
      </c>
      <c r="B5958" s="21" t="s">
        <v>336</v>
      </c>
      <c r="C5958" s="62" t="s">
        <v>60</v>
      </c>
      <c r="D5958" s="62" t="s">
        <v>386</v>
      </c>
      <c r="E5958" s="62" t="s">
        <v>382</v>
      </c>
      <c r="F5958" s="62" t="s">
        <v>382</v>
      </c>
      <c r="G5958" s="63" t="s">
        <v>613</v>
      </c>
      <c r="H5958" s="64" t="n">
        <v>12274.497888083</v>
      </c>
      <c r="I5958" s="62"/>
      <c r="J5958" s="64" t="n">
        <v>12274.497888083</v>
      </c>
      <c r="K5958" s="62"/>
      <c r="L5958" s="68" t="b">
        <f aca="false">FALSE()</f>
        <v>0</v>
      </c>
    </row>
    <row r="5959" customFormat="false" ht="15" hidden="false" customHeight="false" outlineLevel="0" collapsed="false">
      <c r="A5959" s="62" t="n">
        <v>1</v>
      </c>
      <c r="B5959" s="21" t="s">
        <v>336</v>
      </c>
      <c r="C5959" s="62" t="s">
        <v>60</v>
      </c>
      <c r="D5959" s="62" t="s">
        <v>387</v>
      </c>
      <c r="E5959" s="62" t="s">
        <v>382</v>
      </c>
      <c r="F5959" s="62" t="s">
        <v>382</v>
      </c>
      <c r="G5959" s="63" t="s">
        <v>613</v>
      </c>
      <c r="H5959" s="64" t="n">
        <v>13019.2992977367</v>
      </c>
      <c r="I5959" s="62"/>
      <c r="J5959" s="64" t="n">
        <v>13019.2992977367</v>
      </c>
      <c r="K5959" s="62"/>
      <c r="L5959" s="68" t="b">
        <f aca="false">FALSE()</f>
        <v>0</v>
      </c>
    </row>
    <row r="5960" customFormat="false" ht="15" hidden="false" customHeight="false" outlineLevel="0" collapsed="false">
      <c r="A5960" s="62" t="n">
        <v>1</v>
      </c>
      <c r="B5960" s="21" t="s">
        <v>336</v>
      </c>
      <c r="C5960" s="62" t="s">
        <v>60</v>
      </c>
      <c r="D5960" s="62" t="s">
        <v>388</v>
      </c>
      <c r="E5960" s="62" t="s">
        <v>382</v>
      </c>
      <c r="F5960" s="62" t="s">
        <v>382</v>
      </c>
      <c r="G5960" s="63" t="s">
        <v>611</v>
      </c>
      <c r="H5960" s="64" t="n">
        <v>11417.0586117516</v>
      </c>
      <c r="I5960" s="62"/>
      <c r="J5960" s="64" t="n">
        <v>11417.0586117516</v>
      </c>
      <c r="K5960" s="62"/>
      <c r="L5960" s="68" t="b">
        <f aca="false">FALSE()</f>
        <v>0</v>
      </c>
    </row>
    <row r="5961" customFormat="false" ht="15" hidden="false" customHeight="false" outlineLevel="0" collapsed="false">
      <c r="A5961" s="62" t="n">
        <v>1</v>
      </c>
      <c r="B5961" s="21" t="s">
        <v>336</v>
      </c>
      <c r="C5961" s="62" t="s">
        <v>60</v>
      </c>
      <c r="D5961" s="62" t="s">
        <v>381</v>
      </c>
      <c r="E5961" s="62" t="s">
        <v>382</v>
      </c>
      <c r="F5961" s="62" t="s">
        <v>382</v>
      </c>
      <c r="G5961" s="63" t="s">
        <v>845</v>
      </c>
      <c r="H5961" s="64" t="n">
        <v>21983.4482711627</v>
      </c>
      <c r="I5961" s="62"/>
      <c r="J5961" s="64" t="n">
        <v>21983.4482711627</v>
      </c>
      <c r="K5961" s="62"/>
      <c r="L5961" s="68" t="b">
        <f aca="false">FALSE()</f>
        <v>0</v>
      </c>
    </row>
    <row r="5962" customFormat="false" ht="15" hidden="false" customHeight="false" outlineLevel="0" collapsed="false">
      <c r="A5962" s="62" t="n">
        <v>1</v>
      </c>
      <c r="B5962" s="21" t="s">
        <v>336</v>
      </c>
      <c r="C5962" s="62" t="s">
        <v>60</v>
      </c>
      <c r="D5962" s="62" t="s">
        <v>383</v>
      </c>
      <c r="E5962" s="62" t="s">
        <v>382</v>
      </c>
      <c r="F5962" s="62" t="s">
        <v>382</v>
      </c>
      <c r="G5962" s="63" t="s">
        <v>845</v>
      </c>
      <c r="H5962" s="64" t="n">
        <v>24250.1089956891</v>
      </c>
      <c r="I5962" s="62"/>
      <c r="J5962" s="64" t="n">
        <v>24250.1089956891</v>
      </c>
      <c r="K5962" s="62"/>
      <c r="L5962" s="68" t="b">
        <f aca="false">FALSE()</f>
        <v>0</v>
      </c>
    </row>
    <row r="5963" customFormat="false" ht="15" hidden="false" customHeight="false" outlineLevel="0" collapsed="false">
      <c r="A5963" s="62" t="n">
        <v>1</v>
      </c>
      <c r="B5963" s="21" t="s">
        <v>336</v>
      </c>
      <c r="C5963" s="62" t="s">
        <v>60</v>
      </c>
      <c r="D5963" s="62" t="s">
        <v>387</v>
      </c>
      <c r="E5963" s="62" t="s">
        <v>382</v>
      </c>
      <c r="F5963" s="62" t="s">
        <v>382</v>
      </c>
      <c r="G5963" s="63" t="s">
        <v>845</v>
      </c>
      <c r="H5963" s="64" t="n">
        <v>25401.1124076443</v>
      </c>
      <c r="I5963" s="62"/>
      <c r="J5963" s="64" t="n">
        <v>25401.1124076443</v>
      </c>
      <c r="K5963" s="62"/>
      <c r="L5963" s="68" t="b">
        <f aca="false">FALSE()</f>
        <v>0</v>
      </c>
    </row>
    <row r="5964" customFormat="false" ht="15" hidden="false" customHeight="false" outlineLevel="0" collapsed="false">
      <c r="A5964" s="62" t="n">
        <v>1</v>
      </c>
      <c r="B5964" s="21" t="s">
        <v>336</v>
      </c>
      <c r="C5964" s="62" t="s">
        <v>60</v>
      </c>
      <c r="D5964" s="62" t="s">
        <v>388</v>
      </c>
      <c r="E5964" s="62" t="s">
        <v>382</v>
      </c>
      <c r="F5964" s="62" t="s">
        <v>382</v>
      </c>
      <c r="G5964" s="63" t="s">
        <v>844</v>
      </c>
      <c r="H5964" s="64" t="n">
        <v>23046.3395783603</v>
      </c>
      <c r="I5964" s="62"/>
      <c r="J5964" s="64" t="n">
        <v>23046.3395783603</v>
      </c>
      <c r="K5964" s="62"/>
      <c r="L5964" s="68" t="b">
        <f aca="false">FALSE()</f>
        <v>0</v>
      </c>
    </row>
    <row r="5965" customFormat="false" ht="15" hidden="false" customHeight="false" outlineLevel="0" collapsed="false">
      <c r="A5965" s="62" t="n">
        <v>1</v>
      </c>
      <c r="B5965" s="21" t="s">
        <v>336</v>
      </c>
      <c r="C5965" s="62" t="s">
        <v>60</v>
      </c>
      <c r="D5965" s="62" t="s">
        <v>381</v>
      </c>
      <c r="E5965" s="62" t="s">
        <v>382</v>
      </c>
      <c r="F5965" s="62" t="s">
        <v>382</v>
      </c>
      <c r="G5965" s="63" t="s">
        <v>614</v>
      </c>
      <c r="H5965" s="64" t="n">
        <v>10815.5699106883</v>
      </c>
      <c r="I5965" s="62"/>
      <c r="J5965" s="64" t="n">
        <v>10815.5699106883</v>
      </c>
      <c r="K5965" s="62"/>
      <c r="L5965" s="68" t="b">
        <f aca="false">FALSE()</f>
        <v>0</v>
      </c>
    </row>
    <row r="5966" customFormat="false" ht="15" hidden="false" customHeight="false" outlineLevel="0" collapsed="false">
      <c r="A5966" s="62" t="n">
        <v>1</v>
      </c>
      <c r="B5966" s="21" t="s">
        <v>336</v>
      </c>
      <c r="C5966" s="62" t="s">
        <v>60</v>
      </c>
      <c r="D5966" s="62" t="s">
        <v>383</v>
      </c>
      <c r="E5966" s="62" t="s">
        <v>382</v>
      </c>
      <c r="F5966" s="62" t="s">
        <v>382</v>
      </c>
      <c r="G5966" s="63" t="s">
        <v>614</v>
      </c>
      <c r="H5966" s="64" t="n">
        <v>10738.073312138</v>
      </c>
      <c r="I5966" s="62"/>
      <c r="J5966" s="64" t="n">
        <v>10738.073312138</v>
      </c>
      <c r="K5966" s="62"/>
      <c r="L5966" s="68" t="b">
        <f aca="false">FALSE()</f>
        <v>0</v>
      </c>
    </row>
    <row r="5967" customFormat="false" ht="15" hidden="false" customHeight="false" outlineLevel="0" collapsed="false">
      <c r="A5967" s="62" t="n">
        <v>1</v>
      </c>
      <c r="B5967" s="21" t="s">
        <v>336</v>
      </c>
      <c r="C5967" s="62" t="s">
        <v>60</v>
      </c>
      <c r="D5967" s="62" t="s">
        <v>384</v>
      </c>
      <c r="E5967" s="62" t="s">
        <v>382</v>
      </c>
      <c r="F5967" s="62" t="s">
        <v>382</v>
      </c>
      <c r="G5967" s="63" t="s">
        <v>614</v>
      </c>
      <c r="H5967" s="64" t="n">
        <v>9815.21127685707</v>
      </c>
      <c r="I5967" s="62"/>
      <c r="J5967" s="64" t="n">
        <v>9815.21127685707</v>
      </c>
      <c r="K5967" s="62"/>
      <c r="L5967" s="68" t="b">
        <f aca="false">FALSE()</f>
        <v>0</v>
      </c>
    </row>
    <row r="5968" customFormat="false" ht="15" hidden="false" customHeight="false" outlineLevel="0" collapsed="false">
      <c r="A5968" s="62" t="n">
        <v>1</v>
      </c>
      <c r="B5968" s="21" t="s">
        <v>336</v>
      </c>
      <c r="C5968" s="62" t="s">
        <v>60</v>
      </c>
      <c r="D5968" s="62" t="s">
        <v>385</v>
      </c>
      <c r="E5968" s="62" t="s">
        <v>382</v>
      </c>
      <c r="F5968" s="62" t="s">
        <v>382</v>
      </c>
      <c r="G5968" s="63" t="s">
        <v>614</v>
      </c>
      <c r="H5968" s="64" t="n">
        <v>10270.7663945595</v>
      </c>
      <c r="I5968" s="62"/>
      <c r="J5968" s="64" t="n">
        <v>10270.7663945595</v>
      </c>
      <c r="K5968" s="62"/>
      <c r="L5968" s="68" t="b">
        <f aca="false">FALSE()</f>
        <v>0</v>
      </c>
    </row>
    <row r="5969" customFormat="false" ht="15" hidden="false" customHeight="false" outlineLevel="0" collapsed="false">
      <c r="A5969" s="62" t="n">
        <v>1</v>
      </c>
      <c r="B5969" s="21" t="s">
        <v>336</v>
      </c>
      <c r="C5969" s="62" t="s">
        <v>60</v>
      </c>
      <c r="D5969" s="62" t="s">
        <v>386</v>
      </c>
      <c r="E5969" s="62" t="s">
        <v>382</v>
      </c>
      <c r="F5969" s="62" t="s">
        <v>382</v>
      </c>
      <c r="G5969" s="63" t="s">
        <v>614</v>
      </c>
      <c r="H5969" s="64" t="n">
        <v>10508.1404824402</v>
      </c>
      <c r="I5969" s="62"/>
      <c r="J5969" s="64" t="n">
        <v>10508.1404824402</v>
      </c>
      <c r="K5969" s="62"/>
      <c r="L5969" s="68" t="b">
        <f aca="false">FALSE()</f>
        <v>0</v>
      </c>
    </row>
    <row r="5970" customFormat="false" ht="15" hidden="false" customHeight="false" outlineLevel="0" collapsed="false">
      <c r="A5970" s="62" t="n">
        <v>1</v>
      </c>
      <c r="B5970" s="21" t="s">
        <v>336</v>
      </c>
      <c r="C5970" s="62" t="s">
        <v>60</v>
      </c>
      <c r="D5970" s="62" t="s">
        <v>387</v>
      </c>
      <c r="E5970" s="62" t="s">
        <v>382</v>
      </c>
      <c r="F5970" s="62" t="s">
        <v>382</v>
      </c>
      <c r="G5970" s="63" t="s">
        <v>614</v>
      </c>
      <c r="H5970" s="64" t="n">
        <v>11397.5707200994</v>
      </c>
      <c r="I5970" s="62"/>
      <c r="J5970" s="64" t="n">
        <v>11397.5707200994</v>
      </c>
      <c r="K5970" s="62"/>
      <c r="L5970" s="68" t="b">
        <f aca="false">FALSE()</f>
        <v>0</v>
      </c>
    </row>
    <row r="5971" customFormat="false" ht="15" hidden="false" customHeight="false" outlineLevel="0" collapsed="false">
      <c r="A5971" s="62" t="n">
        <v>1</v>
      </c>
      <c r="B5971" s="21" t="s">
        <v>336</v>
      </c>
      <c r="C5971" s="62" t="s">
        <v>60</v>
      </c>
      <c r="D5971" s="62" t="s">
        <v>388</v>
      </c>
      <c r="E5971" s="62" t="s">
        <v>382</v>
      </c>
      <c r="F5971" s="62" t="s">
        <v>382</v>
      </c>
      <c r="G5971" s="63" t="s">
        <v>613</v>
      </c>
      <c r="H5971" s="64" t="n">
        <v>9872.44517367594</v>
      </c>
      <c r="I5971" s="62"/>
      <c r="J5971" s="64" t="n">
        <v>9872.44517367594</v>
      </c>
      <c r="K5971" s="62"/>
      <c r="L5971" s="68" t="b">
        <f aca="false">FALSE()</f>
        <v>0</v>
      </c>
    </row>
    <row r="5972" customFormat="false" ht="15" hidden="false" customHeight="false" outlineLevel="0" collapsed="false">
      <c r="A5972" s="62" t="n">
        <v>1</v>
      </c>
      <c r="B5972" s="21" t="s">
        <v>336</v>
      </c>
      <c r="C5972" s="62" t="s">
        <v>60</v>
      </c>
      <c r="D5972" s="62" t="s">
        <v>381</v>
      </c>
      <c r="E5972" s="62" t="s">
        <v>382</v>
      </c>
      <c r="F5972" s="62" t="s">
        <v>382</v>
      </c>
      <c r="G5972" s="63" t="s">
        <v>846</v>
      </c>
      <c r="H5972" s="64" t="n">
        <v>22963.9910633812</v>
      </c>
      <c r="I5972" s="62"/>
      <c r="J5972" s="64" t="n">
        <v>22963.9910633812</v>
      </c>
      <c r="K5972" s="62"/>
      <c r="L5972" s="68" t="b">
        <f aca="false">FALSE()</f>
        <v>0</v>
      </c>
    </row>
    <row r="5973" customFormat="false" ht="15" hidden="false" customHeight="false" outlineLevel="0" collapsed="false">
      <c r="A5973" s="62" t="n">
        <v>1</v>
      </c>
      <c r="B5973" s="21" t="s">
        <v>336</v>
      </c>
      <c r="C5973" s="62" t="s">
        <v>60</v>
      </c>
      <c r="D5973" s="62" t="s">
        <v>383</v>
      </c>
      <c r="E5973" s="62" t="s">
        <v>382</v>
      </c>
      <c r="F5973" s="62" t="s">
        <v>382</v>
      </c>
      <c r="G5973" s="63" t="s">
        <v>846</v>
      </c>
      <c r="H5973" s="64" t="n">
        <v>26200.2254095477</v>
      </c>
      <c r="I5973" s="62"/>
      <c r="J5973" s="64" t="n">
        <v>26200.2254095477</v>
      </c>
      <c r="K5973" s="62"/>
      <c r="L5973" s="68" t="b">
        <f aca="false">FALSE()</f>
        <v>0</v>
      </c>
    </row>
    <row r="5974" customFormat="false" ht="15" hidden="false" customHeight="false" outlineLevel="0" collapsed="false">
      <c r="A5974" s="62" t="n">
        <v>1</v>
      </c>
      <c r="B5974" s="21" t="s">
        <v>336</v>
      </c>
      <c r="C5974" s="62" t="s">
        <v>60</v>
      </c>
      <c r="D5974" s="62" t="s">
        <v>387</v>
      </c>
      <c r="E5974" s="62" t="s">
        <v>382</v>
      </c>
      <c r="F5974" s="62" t="s">
        <v>382</v>
      </c>
      <c r="G5974" s="63" t="s">
        <v>846</v>
      </c>
      <c r="H5974" s="64" t="n">
        <v>28447.6067823786</v>
      </c>
      <c r="I5974" s="62"/>
      <c r="J5974" s="64" t="n">
        <v>28447.6067823786</v>
      </c>
      <c r="K5974" s="62"/>
      <c r="L5974" s="68" t="b">
        <f aca="false">FALSE()</f>
        <v>0</v>
      </c>
    </row>
    <row r="5975" customFormat="false" ht="15" hidden="false" customHeight="false" outlineLevel="0" collapsed="false">
      <c r="A5975" s="62" t="n">
        <v>1</v>
      </c>
      <c r="B5975" s="21" t="s">
        <v>336</v>
      </c>
      <c r="C5975" s="62" t="s">
        <v>60</v>
      </c>
      <c r="D5975" s="62" t="s">
        <v>388</v>
      </c>
      <c r="E5975" s="62" t="s">
        <v>382</v>
      </c>
      <c r="F5975" s="62" t="s">
        <v>382</v>
      </c>
      <c r="G5975" s="63" t="s">
        <v>845</v>
      </c>
      <c r="H5975" s="64" t="n">
        <v>25883.7300464138</v>
      </c>
      <c r="I5975" s="62"/>
      <c r="J5975" s="64" t="n">
        <v>25883.7300464138</v>
      </c>
      <c r="K5975" s="62"/>
      <c r="L5975" s="68" t="b">
        <f aca="false">FALSE()</f>
        <v>0</v>
      </c>
    </row>
    <row r="5976" customFormat="false" ht="15" hidden="false" customHeight="false" outlineLevel="0" collapsed="false">
      <c r="A5976" s="62" t="n">
        <v>1</v>
      </c>
      <c r="B5976" s="21" t="s">
        <v>336</v>
      </c>
      <c r="C5976" s="62" t="s">
        <v>60</v>
      </c>
      <c r="D5976" s="62" t="s">
        <v>381</v>
      </c>
      <c r="E5976" s="62" t="s">
        <v>382</v>
      </c>
      <c r="F5976" s="62" t="s">
        <v>382</v>
      </c>
      <c r="G5976" s="63" t="s">
        <v>615</v>
      </c>
      <c r="H5976" s="64" t="n">
        <v>11142.1602938292</v>
      </c>
      <c r="I5976" s="62"/>
      <c r="J5976" s="64" t="n">
        <v>11142.1602938292</v>
      </c>
      <c r="K5976" s="62"/>
      <c r="L5976" s="68" t="b">
        <f aca="false">FALSE()</f>
        <v>0</v>
      </c>
    </row>
    <row r="5977" customFormat="false" ht="15" hidden="false" customHeight="false" outlineLevel="0" collapsed="false">
      <c r="A5977" s="62" t="n">
        <v>1</v>
      </c>
      <c r="B5977" s="21" t="s">
        <v>336</v>
      </c>
      <c r="C5977" s="62" t="s">
        <v>60</v>
      </c>
      <c r="D5977" s="62" t="s">
        <v>381</v>
      </c>
      <c r="E5977" s="62" t="s">
        <v>382</v>
      </c>
      <c r="F5977" s="62" t="s">
        <v>382</v>
      </c>
      <c r="G5977" s="63" t="s">
        <v>847</v>
      </c>
      <c r="H5977" s="64" t="n">
        <v>17630.5229121633</v>
      </c>
      <c r="I5977" s="62"/>
      <c r="J5977" s="64" t="n">
        <v>17630.5229121633</v>
      </c>
      <c r="K5977" s="62"/>
      <c r="L5977" s="68" t="b">
        <f aca="false">FALSE()</f>
        <v>0</v>
      </c>
    </row>
    <row r="5978" customFormat="false" ht="15" hidden="false" customHeight="false" outlineLevel="0" collapsed="false">
      <c r="A5978" s="62" t="n">
        <v>1</v>
      </c>
      <c r="B5978" s="21" t="s">
        <v>336</v>
      </c>
      <c r="C5978" s="62" t="s">
        <v>60</v>
      </c>
      <c r="D5978" s="62" t="s">
        <v>381</v>
      </c>
      <c r="E5978" s="62" t="s">
        <v>382</v>
      </c>
      <c r="F5978" s="62" t="s">
        <v>382</v>
      </c>
      <c r="G5978" s="63" t="s">
        <v>616</v>
      </c>
      <c r="H5978" s="64" t="n">
        <v>10358.738390622</v>
      </c>
      <c r="I5978" s="62"/>
      <c r="J5978" s="64" t="n">
        <v>10358.738390622</v>
      </c>
      <c r="K5978" s="62"/>
      <c r="L5978" s="68" t="b">
        <f aca="false">FALSE()</f>
        <v>0</v>
      </c>
    </row>
    <row r="5979" customFormat="false" ht="15" hidden="false" customHeight="false" outlineLevel="0" collapsed="false">
      <c r="A5979" s="62" t="n">
        <v>1</v>
      </c>
      <c r="B5979" s="21" t="s">
        <v>336</v>
      </c>
      <c r="C5979" s="62" t="s">
        <v>60</v>
      </c>
      <c r="D5979" s="62" t="s">
        <v>383</v>
      </c>
      <c r="E5979" s="62" t="s">
        <v>382</v>
      </c>
      <c r="F5979" s="62" t="s">
        <v>382</v>
      </c>
      <c r="G5979" s="63" t="s">
        <v>615</v>
      </c>
      <c r="H5979" s="64" t="n">
        <v>10449.6924609857</v>
      </c>
      <c r="I5979" s="62"/>
      <c r="J5979" s="64" t="n">
        <v>10449.6924609857</v>
      </c>
      <c r="K5979" s="62"/>
      <c r="L5979" s="68" t="b">
        <f aca="false">FALSE()</f>
        <v>0</v>
      </c>
    </row>
    <row r="5980" customFormat="false" ht="15" hidden="false" customHeight="false" outlineLevel="0" collapsed="false">
      <c r="A5980" s="62" t="n">
        <v>1</v>
      </c>
      <c r="B5980" s="21" t="s">
        <v>336</v>
      </c>
      <c r="C5980" s="62" t="s">
        <v>60</v>
      </c>
      <c r="D5980" s="62" t="s">
        <v>384</v>
      </c>
      <c r="E5980" s="62" t="s">
        <v>382</v>
      </c>
      <c r="F5980" s="62" t="s">
        <v>382</v>
      </c>
      <c r="G5980" s="63" t="s">
        <v>615</v>
      </c>
      <c r="H5980" s="64" t="n">
        <v>9217.80207706451</v>
      </c>
      <c r="I5980" s="62"/>
      <c r="J5980" s="64" t="n">
        <v>9217.80207706451</v>
      </c>
      <c r="K5980" s="62"/>
      <c r="L5980" s="68" t="b">
        <f aca="false">FALSE()</f>
        <v>0</v>
      </c>
    </row>
    <row r="5981" customFormat="false" ht="15" hidden="false" customHeight="false" outlineLevel="0" collapsed="false">
      <c r="A5981" s="62" t="n">
        <v>1</v>
      </c>
      <c r="B5981" s="21" t="s">
        <v>336</v>
      </c>
      <c r="C5981" s="62" t="s">
        <v>60</v>
      </c>
      <c r="D5981" s="62" t="s">
        <v>386</v>
      </c>
      <c r="E5981" s="62" t="s">
        <v>382</v>
      </c>
      <c r="F5981" s="62" t="s">
        <v>382</v>
      </c>
      <c r="G5981" s="63" t="s">
        <v>615</v>
      </c>
      <c r="H5981" s="64" t="n">
        <v>10278.865094853</v>
      </c>
      <c r="I5981" s="62"/>
      <c r="J5981" s="64" t="n">
        <v>10278.865094853</v>
      </c>
      <c r="K5981" s="62"/>
      <c r="L5981" s="68" t="b">
        <f aca="false">FALSE()</f>
        <v>0</v>
      </c>
    </row>
    <row r="5982" customFormat="false" ht="15" hidden="false" customHeight="false" outlineLevel="0" collapsed="false">
      <c r="A5982" s="62" t="n">
        <v>1</v>
      </c>
      <c r="B5982" s="21" t="s">
        <v>336</v>
      </c>
      <c r="C5982" s="62" t="s">
        <v>60</v>
      </c>
      <c r="D5982" s="62" t="s">
        <v>387</v>
      </c>
      <c r="E5982" s="62" t="s">
        <v>382</v>
      </c>
      <c r="F5982" s="62" t="s">
        <v>382</v>
      </c>
      <c r="G5982" s="63" t="s">
        <v>615</v>
      </c>
      <c r="H5982" s="64" t="n">
        <v>10264.0863234783</v>
      </c>
      <c r="I5982" s="62"/>
      <c r="J5982" s="64" t="n">
        <v>10264.0863234783</v>
      </c>
      <c r="K5982" s="62"/>
      <c r="L5982" s="68" t="b">
        <f aca="false">FALSE()</f>
        <v>0</v>
      </c>
    </row>
    <row r="5983" customFormat="false" ht="15" hidden="false" customHeight="false" outlineLevel="0" collapsed="false">
      <c r="A5983" s="62" t="n">
        <v>1</v>
      </c>
      <c r="B5983" s="21" t="s">
        <v>336</v>
      </c>
      <c r="C5983" s="62" t="s">
        <v>60</v>
      </c>
      <c r="D5983" s="62" t="s">
        <v>381</v>
      </c>
      <c r="E5983" s="62" t="s">
        <v>382</v>
      </c>
      <c r="F5983" s="62" t="s">
        <v>382</v>
      </c>
      <c r="G5983" s="63" t="s">
        <v>848</v>
      </c>
      <c r="H5983" s="64" t="n">
        <v>16285.8239718646</v>
      </c>
      <c r="I5983" s="62"/>
      <c r="J5983" s="64" t="n">
        <v>16285.8239718646</v>
      </c>
      <c r="K5983" s="62"/>
      <c r="L5983" s="68" t="b">
        <f aca="false">FALSE()</f>
        <v>0</v>
      </c>
    </row>
    <row r="5984" customFormat="false" ht="15" hidden="false" customHeight="false" outlineLevel="0" collapsed="false">
      <c r="A5984" s="62" t="n">
        <v>1</v>
      </c>
      <c r="B5984" s="21" t="s">
        <v>336</v>
      </c>
      <c r="C5984" s="62" t="s">
        <v>60</v>
      </c>
      <c r="D5984" s="62" t="s">
        <v>383</v>
      </c>
      <c r="E5984" s="62" t="s">
        <v>382</v>
      </c>
      <c r="F5984" s="62" t="s">
        <v>382</v>
      </c>
      <c r="G5984" s="63" t="s">
        <v>847</v>
      </c>
      <c r="H5984" s="64" t="n">
        <v>16779.6876036578</v>
      </c>
      <c r="I5984" s="62"/>
      <c r="J5984" s="64" t="n">
        <v>16779.6876036578</v>
      </c>
      <c r="K5984" s="62"/>
      <c r="L5984" s="68" t="b">
        <f aca="false">FALSE()</f>
        <v>0</v>
      </c>
    </row>
    <row r="5985" customFormat="false" ht="15" hidden="false" customHeight="false" outlineLevel="0" collapsed="false">
      <c r="A5985" s="62" t="n">
        <v>1</v>
      </c>
      <c r="B5985" s="21" t="s">
        <v>336</v>
      </c>
      <c r="C5985" s="62" t="s">
        <v>60</v>
      </c>
      <c r="D5985" s="62" t="s">
        <v>381</v>
      </c>
      <c r="E5985" s="62" t="s">
        <v>382</v>
      </c>
      <c r="F5985" s="62" t="s">
        <v>382</v>
      </c>
      <c r="G5985" s="63" t="s">
        <v>617</v>
      </c>
      <c r="H5985" s="64" t="n">
        <v>11693.6387067054</v>
      </c>
      <c r="I5985" s="62"/>
      <c r="J5985" s="64" t="n">
        <v>11693.6387067054</v>
      </c>
      <c r="K5985" s="62"/>
      <c r="L5985" s="68" t="b">
        <f aca="false">FALSE()</f>
        <v>0</v>
      </c>
    </row>
    <row r="5986" customFormat="false" ht="15" hidden="false" customHeight="false" outlineLevel="0" collapsed="false">
      <c r="A5986" s="62" t="n">
        <v>1</v>
      </c>
      <c r="B5986" s="21" t="s">
        <v>336</v>
      </c>
      <c r="C5986" s="62" t="s">
        <v>60</v>
      </c>
      <c r="D5986" s="62" t="s">
        <v>381</v>
      </c>
      <c r="E5986" s="62" t="s">
        <v>382</v>
      </c>
      <c r="F5986" s="62" t="s">
        <v>382</v>
      </c>
      <c r="G5986" s="63" t="s">
        <v>849</v>
      </c>
      <c r="H5986" s="64" t="n">
        <v>20916.5548008197</v>
      </c>
      <c r="I5986" s="62"/>
      <c r="J5986" s="64" t="n">
        <v>20916.5548008197</v>
      </c>
      <c r="K5986" s="62"/>
      <c r="L5986" s="68" t="b">
        <f aca="false">FALSE()</f>
        <v>0</v>
      </c>
    </row>
    <row r="5987" customFormat="false" ht="15" hidden="false" customHeight="false" outlineLevel="0" collapsed="false">
      <c r="A5987" s="62" t="n">
        <v>1</v>
      </c>
      <c r="B5987" s="21" t="s">
        <v>336</v>
      </c>
      <c r="C5987" s="62" t="s">
        <v>60</v>
      </c>
      <c r="D5987" s="62" t="s">
        <v>381</v>
      </c>
      <c r="E5987" s="62" t="s">
        <v>382</v>
      </c>
      <c r="F5987" s="62" t="s">
        <v>382</v>
      </c>
      <c r="G5987" s="63" t="s">
        <v>618</v>
      </c>
      <c r="H5987" s="64" t="n">
        <v>14157.798155686</v>
      </c>
      <c r="I5987" s="62"/>
      <c r="J5987" s="64" t="n">
        <v>14157.798155686</v>
      </c>
      <c r="K5987" s="62"/>
      <c r="L5987" s="68" t="b">
        <f aca="false">FALSE()</f>
        <v>0</v>
      </c>
    </row>
    <row r="5988" customFormat="false" ht="15" hidden="false" customHeight="false" outlineLevel="0" collapsed="false">
      <c r="A5988" s="62" t="n">
        <v>1</v>
      </c>
      <c r="B5988" s="21" t="s">
        <v>336</v>
      </c>
      <c r="C5988" s="62" t="s">
        <v>60</v>
      </c>
      <c r="D5988" s="62" t="s">
        <v>383</v>
      </c>
      <c r="E5988" s="62" t="s">
        <v>382</v>
      </c>
      <c r="F5988" s="62" t="s">
        <v>382</v>
      </c>
      <c r="G5988" s="63" t="s">
        <v>618</v>
      </c>
      <c r="H5988" s="64" t="n">
        <v>15981.9394160951</v>
      </c>
      <c r="I5988" s="62"/>
      <c r="J5988" s="64" t="n">
        <v>15981.9394160951</v>
      </c>
      <c r="K5988" s="62"/>
      <c r="L5988" s="68" t="b">
        <f aca="false">FALSE()</f>
        <v>0</v>
      </c>
    </row>
    <row r="5989" customFormat="false" ht="15" hidden="false" customHeight="false" outlineLevel="0" collapsed="false">
      <c r="A5989" s="62" t="n">
        <v>1</v>
      </c>
      <c r="B5989" s="21" t="s">
        <v>336</v>
      </c>
      <c r="C5989" s="62" t="s">
        <v>60</v>
      </c>
      <c r="D5989" s="62" t="s">
        <v>384</v>
      </c>
      <c r="E5989" s="62" t="s">
        <v>382</v>
      </c>
      <c r="F5989" s="62" t="s">
        <v>382</v>
      </c>
      <c r="G5989" s="63" t="s">
        <v>618</v>
      </c>
      <c r="H5989" s="64" t="n">
        <v>11518.1119518798</v>
      </c>
      <c r="I5989" s="62"/>
      <c r="J5989" s="64" t="n">
        <v>11518.1119518798</v>
      </c>
      <c r="K5989" s="62"/>
      <c r="L5989" s="68" t="b">
        <f aca="false">FALSE()</f>
        <v>0</v>
      </c>
    </row>
    <row r="5990" customFormat="false" ht="15" hidden="false" customHeight="false" outlineLevel="0" collapsed="false">
      <c r="A5990" s="62" t="n">
        <v>1</v>
      </c>
      <c r="B5990" s="21" t="s">
        <v>336</v>
      </c>
      <c r="C5990" s="62" t="s">
        <v>60</v>
      </c>
      <c r="D5990" s="62" t="s">
        <v>385</v>
      </c>
      <c r="E5990" s="62" t="s">
        <v>382</v>
      </c>
      <c r="F5990" s="62" t="s">
        <v>382</v>
      </c>
      <c r="G5990" s="63" t="s">
        <v>618</v>
      </c>
      <c r="H5990" s="64" t="n">
        <v>12072.9978961876</v>
      </c>
      <c r="I5990" s="62"/>
      <c r="J5990" s="64" t="n">
        <v>12072.9978961876</v>
      </c>
      <c r="K5990" s="62"/>
      <c r="L5990" s="68" t="b">
        <f aca="false">FALSE()</f>
        <v>0</v>
      </c>
    </row>
    <row r="5991" customFormat="false" ht="15" hidden="false" customHeight="false" outlineLevel="0" collapsed="false">
      <c r="A5991" s="62" t="n">
        <v>1</v>
      </c>
      <c r="B5991" s="21" t="s">
        <v>336</v>
      </c>
      <c r="C5991" s="62" t="s">
        <v>60</v>
      </c>
      <c r="D5991" s="62" t="s">
        <v>386</v>
      </c>
      <c r="E5991" s="62" t="s">
        <v>382</v>
      </c>
      <c r="F5991" s="62" t="s">
        <v>382</v>
      </c>
      <c r="G5991" s="63" t="s">
        <v>618</v>
      </c>
      <c r="H5991" s="64" t="n">
        <v>12274.497888083</v>
      </c>
      <c r="I5991" s="62"/>
      <c r="J5991" s="64" t="n">
        <v>12274.497888083</v>
      </c>
      <c r="K5991" s="62"/>
      <c r="L5991" s="68" t="b">
        <f aca="false">FALSE()</f>
        <v>0</v>
      </c>
    </row>
    <row r="5992" customFormat="false" ht="15" hidden="false" customHeight="false" outlineLevel="0" collapsed="false">
      <c r="A5992" s="62" t="n">
        <v>1</v>
      </c>
      <c r="B5992" s="21" t="s">
        <v>336</v>
      </c>
      <c r="C5992" s="62" t="s">
        <v>60</v>
      </c>
      <c r="D5992" s="62" t="s">
        <v>387</v>
      </c>
      <c r="E5992" s="62" t="s">
        <v>382</v>
      </c>
      <c r="F5992" s="62" t="s">
        <v>382</v>
      </c>
      <c r="G5992" s="63" t="s">
        <v>618</v>
      </c>
      <c r="H5992" s="64" t="n">
        <v>18385.1005446619</v>
      </c>
      <c r="I5992" s="62"/>
      <c r="J5992" s="64" t="n">
        <v>18385.1005446619</v>
      </c>
      <c r="K5992" s="62"/>
      <c r="L5992" s="68" t="b">
        <f aca="false">FALSE()</f>
        <v>0</v>
      </c>
    </row>
    <row r="5993" customFormat="false" ht="15" hidden="false" customHeight="false" outlineLevel="0" collapsed="false">
      <c r="A5993" s="62" t="n">
        <v>1</v>
      </c>
      <c r="B5993" s="21" t="s">
        <v>336</v>
      </c>
      <c r="C5993" s="62" t="s">
        <v>60</v>
      </c>
      <c r="D5993" s="62" t="s">
        <v>388</v>
      </c>
      <c r="E5993" s="62" t="s">
        <v>382</v>
      </c>
      <c r="F5993" s="62" t="s">
        <v>382</v>
      </c>
      <c r="G5993" s="63" t="s">
        <v>618</v>
      </c>
      <c r="H5993" s="64" t="n">
        <v>13625.1499345254</v>
      </c>
      <c r="I5993" s="62"/>
      <c r="J5993" s="64" t="n">
        <v>13625.1499345254</v>
      </c>
      <c r="K5993" s="62"/>
      <c r="L5993" s="68" t="b">
        <f aca="false">FALSE()</f>
        <v>0</v>
      </c>
    </row>
    <row r="5994" customFormat="false" ht="15" hidden="false" customHeight="false" outlineLevel="0" collapsed="false">
      <c r="A5994" s="62" t="n">
        <v>1</v>
      </c>
      <c r="B5994" s="21" t="s">
        <v>336</v>
      </c>
      <c r="C5994" s="62" t="s">
        <v>60</v>
      </c>
      <c r="D5994" s="62" t="s">
        <v>381</v>
      </c>
      <c r="E5994" s="62" t="s">
        <v>382</v>
      </c>
      <c r="F5994" s="62" t="s">
        <v>382</v>
      </c>
      <c r="G5994" s="63" t="s">
        <v>619</v>
      </c>
      <c r="H5994" s="64" t="n">
        <v>10541.4709986485</v>
      </c>
      <c r="I5994" s="62"/>
      <c r="J5994" s="64" t="n">
        <v>10541.4709986485</v>
      </c>
      <c r="K5994" s="62"/>
      <c r="L5994" s="68" t="b">
        <f aca="false">FALSE()</f>
        <v>0</v>
      </c>
    </row>
    <row r="5995" customFormat="false" ht="15" hidden="false" customHeight="false" outlineLevel="0" collapsed="false">
      <c r="A5995" s="62" t="n">
        <v>1</v>
      </c>
      <c r="B5995" s="21" t="s">
        <v>336</v>
      </c>
      <c r="C5995" s="62" t="s">
        <v>60</v>
      </c>
      <c r="D5995" s="62" t="s">
        <v>383</v>
      </c>
      <c r="E5995" s="62" t="s">
        <v>382</v>
      </c>
      <c r="F5995" s="62" t="s">
        <v>382</v>
      </c>
      <c r="G5995" s="63" t="s">
        <v>616</v>
      </c>
      <c r="H5995" s="64" t="n">
        <v>10565.7180641341</v>
      </c>
      <c r="I5995" s="62"/>
      <c r="J5995" s="64" t="n">
        <v>10565.7180641341</v>
      </c>
      <c r="K5995" s="62"/>
      <c r="L5995" s="68" t="b">
        <f aca="false">FALSE()</f>
        <v>0</v>
      </c>
    </row>
    <row r="5996" customFormat="false" ht="15" hidden="false" customHeight="false" outlineLevel="0" collapsed="false">
      <c r="A5996" s="62" t="n">
        <v>1</v>
      </c>
      <c r="B5996" s="21" t="s">
        <v>336</v>
      </c>
      <c r="C5996" s="62" t="s">
        <v>60</v>
      </c>
      <c r="D5996" s="62" t="s">
        <v>384</v>
      </c>
      <c r="E5996" s="62" t="s">
        <v>382</v>
      </c>
      <c r="F5996" s="62" t="s">
        <v>382</v>
      </c>
      <c r="G5996" s="63" t="s">
        <v>616</v>
      </c>
      <c r="H5996" s="64" t="n">
        <v>9383.87722140839</v>
      </c>
      <c r="I5996" s="62"/>
      <c r="J5996" s="64" t="n">
        <v>9383.87722140839</v>
      </c>
      <c r="K5996" s="62"/>
      <c r="L5996" s="68" t="b">
        <f aca="false">FALSE()</f>
        <v>0</v>
      </c>
    </row>
    <row r="5997" customFormat="false" ht="15" hidden="false" customHeight="false" outlineLevel="0" collapsed="false">
      <c r="A5997" s="62" t="n">
        <v>1</v>
      </c>
      <c r="B5997" s="21" t="s">
        <v>336</v>
      </c>
      <c r="C5997" s="62" t="s">
        <v>60</v>
      </c>
      <c r="D5997" s="62" t="s">
        <v>386</v>
      </c>
      <c r="E5997" s="62" t="s">
        <v>382</v>
      </c>
      <c r="F5997" s="62" t="s">
        <v>382</v>
      </c>
      <c r="G5997" s="63" t="s">
        <v>616</v>
      </c>
      <c r="H5997" s="64" t="n">
        <v>10356.3234614872</v>
      </c>
      <c r="I5997" s="62"/>
      <c r="J5997" s="64" t="n">
        <v>10356.3234614872</v>
      </c>
      <c r="K5997" s="62"/>
      <c r="L5997" s="68" t="b">
        <f aca="false">FALSE()</f>
        <v>0</v>
      </c>
    </row>
    <row r="5998" customFormat="false" ht="15" hidden="false" customHeight="false" outlineLevel="0" collapsed="false">
      <c r="A5998" s="62" t="n">
        <v>1</v>
      </c>
      <c r="B5998" s="21" t="s">
        <v>336</v>
      </c>
      <c r="C5998" s="62" t="s">
        <v>60</v>
      </c>
      <c r="D5998" s="62" t="s">
        <v>387</v>
      </c>
      <c r="E5998" s="62" t="s">
        <v>382</v>
      </c>
      <c r="F5998" s="62" t="s">
        <v>382</v>
      </c>
      <c r="G5998" s="63" t="s">
        <v>616</v>
      </c>
      <c r="H5998" s="64" t="n">
        <v>10660.1383588652</v>
      </c>
      <c r="I5998" s="62"/>
      <c r="J5998" s="64" t="n">
        <v>10660.1383588652</v>
      </c>
      <c r="K5998" s="62"/>
      <c r="L5998" s="68" t="b">
        <f aca="false">FALSE()</f>
        <v>0</v>
      </c>
    </row>
    <row r="5999" customFormat="false" ht="15" hidden="false" customHeight="false" outlineLevel="0" collapsed="false">
      <c r="A5999" s="62" t="n">
        <v>1</v>
      </c>
      <c r="B5999" s="21" t="s">
        <v>336</v>
      </c>
      <c r="C5999" s="62" t="s">
        <v>60</v>
      </c>
      <c r="D5999" s="62" t="s">
        <v>381</v>
      </c>
      <c r="E5999" s="62" t="s">
        <v>382</v>
      </c>
      <c r="F5999" s="62" t="s">
        <v>382</v>
      </c>
      <c r="G5999" s="63" t="s">
        <v>850</v>
      </c>
      <c r="H5999" s="64" t="n">
        <v>18759.2191909448</v>
      </c>
      <c r="I5999" s="62"/>
      <c r="J5999" s="64" t="n">
        <v>18759.2191909448</v>
      </c>
      <c r="K5999" s="62"/>
      <c r="L5999" s="68" t="b">
        <f aca="false">FALSE()</f>
        <v>0</v>
      </c>
    </row>
    <row r="6000" customFormat="false" ht="15" hidden="false" customHeight="false" outlineLevel="0" collapsed="false">
      <c r="A6000" s="62" t="n">
        <v>1</v>
      </c>
      <c r="B6000" s="21" t="s">
        <v>336</v>
      </c>
      <c r="C6000" s="62" t="s">
        <v>60</v>
      </c>
      <c r="D6000" s="62" t="s">
        <v>383</v>
      </c>
      <c r="E6000" s="62" t="s">
        <v>382</v>
      </c>
      <c r="F6000" s="62" t="s">
        <v>382</v>
      </c>
      <c r="G6000" s="63" t="s">
        <v>848</v>
      </c>
      <c r="H6000" s="64" t="n">
        <v>22621.4736173661</v>
      </c>
      <c r="I6000" s="62"/>
      <c r="J6000" s="64" t="n">
        <v>22621.4736173661</v>
      </c>
      <c r="K6000" s="62"/>
      <c r="L6000" s="68" t="b">
        <f aca="false">FALSE()</f>
        <v>0</v>
      </c>
    </row>
    <row r="6001" customFormat="false" ht="15" hidden="false" customHeight="false" outlineLevel="0" collapsed="false">
      <c r="A6001" s="62" t="n">
        <v>1</v>
      </c>
      <c r="B6001" s="21" t="s">
        <v>336</v>
      </c>
      <c r="C6001" s="62" t="s">
        <v>60</v>
      </c>
      <c r="D6001" s="62" t="s">
        <v>381</v>
      </c>
      <c r="E6001" s="62" t="s">
        <v>382</v>
      </c>
      <c r="F6001" s="62" t="s">
        <v>382</v>
      </c>
      <c r="G6001" s="63" t="s">
        <v>620</v>
      </c>
      <c r="H6001" s="64" t="n">
        <v>12451.7390383342</v>
      </c>
      <c r="I6001" s="62"/>
      <c r="J6001" s="64" t="n">
        <v>12451.7390383342</v>
      </c>
      <c r="K6001" s="62"/>
      <c r="L6001" s="68" t="b">
        <f aca="false">FALSE()</f>
        <v>0</v>
      </c>
    </row>
    <row r="6002" customFormat="false" ht="15" hidden="false" customHeight="false" outlineLevel="0" collapsed="false">
      <c r="A6002" s="62" t="n">
        <v>1</v>
      </c>
      <c r="B6002" s="21" t="s">
        <v>336</v>
      </c>
      <c r="C6002" s="62" t="s">
        <v>60</v>
      </c>
      <c r="D6002" s="62" t="s">
        <v>383</v>
      </c>
      <c r="E6002" s="62" t="s">
        <v>382</v>
      </c>
      <c r="F6002" s="62" t="s">
        <v>382</v>
      </c>
      <c r="G6002" s="63" t="s">
        <v>620</v>
      </c>
      <c r="H6002" s="64" t="n">
        <v>12263.3389748181</v>
      </c>
      <c r="I6002" s="62"/>
      <c r="J6002" s="64" t="n">
        <v>12263.3389748181</v>
      </c>
      <c r="K6002" s="62"/>
      <c r="L6002" s="68" t="b">
        <f aca="false">FALSE()</f>
        <v>0</v>
      </c>
    </row>
    <row r="6003" customFormat="false" ht="15" hidden="false" customHeight="false" outlineLevel="0" collapsed="false">
      <c r="A6003" s="62" t="n">
        <v>1</v>
      </c>
      <c r="B6003" s="21" t="s">
        <v>336</v>
      </c>
      <c r="C6003" s="62" t="s">
        <v>60</v>
      </c>
      <c r="D6003" s="62" t="s">
        <v>384</v>
      </c>
      <c r="E6003" s="62" t="s">
        <v>382</v>
      </c>
      <c r="F6003" s="62" t="s">
        <v>382</v>
      </c>
      <c r="G6003" s="63" t="s">
        <v>620</v>
      </c>
      <c r="H6003" s="64" t="n">
        <v>9383.87722140839</v>
      </c>
      <c r="I6003" s="62"/>
      <c r="J6003" s="64" t="n">
        <v>9383.87722140839</v>
      </c>
      <c r="K6003" s="62"/>
      <c r="L6003" s="68" t="b">
        <f aca="false">FALSE()</f>
        <v>0</v>
      </c>
    </row>
    <row r="6004" customFormat="false" ht="15" hidden="false" customHeight="false" outlineLevel="0" collapsed="false">
      <c r="A6004" s="62" t="n">
        <v>1</v>
      </c>
      <c r="B6004" s="21" t="s">
        <v>336</v>
      </c>
      <c r="C6004" s="62" t="s">
        <v>60</v>
      </c>
      <c r="D6004" s="62" t="s">
        <v>385</v>
      </c>
      <c r="E6004" s="62" t="s">
        <v>382</v>
      </c>
      <c r="F6004" s="62" t="s">
        <v>382</v>
      </c>
      <c r="G6004" s="63" t="s">
        <v>620</v>
      </c>
      <c r="H6004" s="64" t="n">
        <v>10270.7663945595</v>
      </c>
      <c r="I6004" s="62"/>
      <c r="J6004" s="64" t="n">
        <v>10270.7663945595</v>
      </c>
      <c r="K6004" s="62"/>
      <c r="L6004" s="68" t="b">
        <f aca="false">FALSE()</f>
        <v>0</v>
      </c>
    </row>
    <row r="6005" customFormat="false" ht="15" hidden="false" customHeight="false" outlineLevel="0" collapsed="false">
      <c r="A6005" s="62" t="n">
        <v>1</v>
      </c>
      <c r="B6005" s="21" t="s">
        <v>336</v>
      </c>
      <c r="C6005" s="62" t="s">
        <v>60</v>
      </c>
      <c r="D6005" s="62" t="s">
        <v>386</v>
      </c>
      <c r="E6005" s="62" t="s">
        <v>382</v>
      </c>
      <c r="F6005" s="62" t="s">
        <v>382</v>
      </c>
      <c r="G6005" s="63" t="s">
        <v>620</v>
      </c>
      <c r="H6005" s="64" t="n">
        <v>10356.3234614872</v>
      </c>
      <c r="I6005" s="62"/>
      <c r="J6005" s="64" t="n">
        <v>10356.3234614872</v>
      </c>
      <c r="K6005" s="62"/>
      <c r="L6005" s="68" t="b">
        <f aca="false">FALSE()</f>
        <v>0</v>
      </c>
    </row>
    <row r="6006" customFormat="false" ht="15" hidden="false" customHeight="false" outlineLevel="0" collapsed="false">
      <c r="A6006" s="62" t="n">
        <v>1</v>
      </c>
      <c r="B6006" s="21" t="s">
        <v>336</v>
      </c>
      <c r="C6006" s="62" t="s">
        <v>60</v>
      </c>
      <c r="D6006" s="62" t="s">
        <v>387</v>
      </c>
      <c r="E6006" s="62" t="s">
        <v>382</v>
      </c>
      <c r="F6006" s="62" t="s">
        <v>382</v>
      </c>
      <c r="G6006" s="63" t="s">
        <v>620</v>
      </c>
      <c r="H6006" s="64" t="n">
        <v>15280.8381532661</v>
      </c>
      <c r="I6006" s="62"/>
      <c r="J6006" s="64" t="n">
        <v>15280.8381532661</v>
      </c>
      <c r="K6006" s="62"/>
      <c r="L6006" s="68" t="b">
        <f aca="false">FALSE()</f>
        <v>0</v>
      </c>
    </row>
    <row r="6007" customFormat="false" ht="15" hidden="false" customHeight="false" outlineLevel="0" collapsed="false">
      <c r="A6007" s="62" t="n">
        <v>1</v>
      </c>
      <c r="B6007" s="21" t="s">
        <v>336</v>
      </c>
      <c r="C6007" s="62" t="s">
        <v>60</v>
      </c>
      <c r="D6007" s="62" t="s">
        <v>388</v>
      </c>
      <c r="E6007" s="62" t="s">
        <v>382</v>
      </c>
      <c r="F6007" s="62" t="s">
        <v>382</v>
      </c>
      <c r="G6007" s="63" t="s">
        <v>620</v>
      </c>
      <c r="H6007" s="64" t="n">
        <v>14355.6049380425</v>
      </c>
      <c r="I6007" s="62"/>
      <c r="J6007" s="64" t="n">
        <v>14355.6049380425</v>
      </c>
      <c r="K6007" s="62"/>
      <c r="L6007" s="68" t="b">
        <f aca="false">FALSE()</f>
        <v>0</v>
      </c>
    </row>
    <row r="6008" customFormat="false" ht="15" hidden="false" customHeight="false" outlineLevel="0" collapsed="false">
      <c r="A6008" s="62" t="n">
        <v>1</v>
      </c>
      <c r="B6008" s="21" t="s">
        <v>336</v>
      </c>
      <c r="C6008" s="62" t="s">
        <v>60</v>
      </c>
      <c r="D6008" s="62" t="s">
        <v>381</v>
      </c>
      <c r="E6008" s="62" t="s">
        <v>382</v>
      </c>
      <c r="F6008" s="62" t="s">
        <v>382</v>
      </c>
      <c r="G6008" s="63" t="s">
        <v>621</v>
      </c>
      <c r="H6008" s="64" t="n">
        <v>11274.7455376174</v>
      </c>
      <c r="I6008" s="62"/>
      <c r="J6008" s="64" t="n">
        <v>11274.7455376174</v>
      </c>
      <c r="K6008" s="62"/>
      <c r="L6008" s="68" t="b">
        <f aca="false">FALSE()</f>
        <v>0</v>
      </c>
    </row>
    <row r="6009" customFormat="false" ht="15" hidden="false" customHeight="false" outlineLevel="0" collapsed="false">
      <c r="A6009" s="62" t="n">
        <v>1</v>
      </c>
      <c r="B6009" s="21" t="s">
        <v>336</v>
      </c>
      <c r="C6009" s="62" t="s">
        <v>60</v>
      </c>
      <c r="D6009" s="62" t="s">
        <v>383</v>
      </c>
      <c r="E6009" s="62" t="s">
        <v>382</v>
      </c>
      <c r="F6009" s="62" t="s">
        <v>382</v>
      </c>
      <c r="G6009" s="63" t="s">
        <v>617</v>
      </c>
      <c r="H6009" s="64" t="n">
        <v>11896.7451423445</v>
      </c>
      <c r="I6009" s="62"/>
      <c r="J6009" s="64" t="n">
        <v>11896.7451423445</v>
      </c>
      <c r="K6009" s="62"/>
      <c r="L6009" s="68" t="b">
        <f aca="false">FALSE()</f>
        <v>0</v>
      </c>
    </row>
    <row r="6010" customFormat="false" ht="15" hidden="false" customHeight="false" outlineLevel="0" collapsed="false">
      <c r="A6010" s="62" t="n">
        <v>1</v>
      </c>
      <c r="B6010" s="21" t="s">
        <v>336</v>
      </c>
      <c r="C6010" s="62" t="s">
        <v>60</v>
      </c>
      <c r="D6010" s="62" t="s">
        <v>384</v>
      </c>
      <c r="E6010" s="62" t="s">
        <v>382</v>
      </c>
      <c r="F6010" s="62" t="s">
        <v>382</v>
      </c>
      <c r="G6010" s="63" t="s">
        <v>617</v>
      </c>
      <c r="H6010" s="64" t="n">
        <v>10430.349308436</v>
      </c>
      <c r="I6010" s="62"/>
      <c r="J6010" s="64" t="n">
        <v>10430.349308436</v>
      </c>
      <c r="K6010" s="62"/>
      <c r="L6010" s="68" t="b">
        <f aca="false">FALSE()</f>
        <v>0</v>
      </c>
    </row>
    <row r="6011" customFormat="false" ht="15" hidden="false" customHeight="false" outlineLevel="0" collapsed="false">
      <c r="A6011" s="62" t="n">
        <v>1</v>
      </c>
      <c r="B6011" s="21" t="s">
        <v>336</v>
      </c>
      <c r="C6011" s="62" t="s">
        <v>60</v>
      </c>
      <c r="D6011" s="62" t="s">
        <v>387</v>
      </c>
      <c r="E6011" s="62" t="s">
        <v>382</v>
      </c>
      <c r="F6011" s="62" t="s">
        <v>382</v>
      </c>
      <c r="G6011" s="63" t="s">
        <v>617</v>
      </c>
      <c r="H6011" s="64" t="n">
        <v>12489.70548043</v>
      </c>
      <c r="I6011" s="62"/>
      <c r="J6011" s="64" t="n">
        <v>12489.70548043</v>
      </c>
      <c r="K6011" s="62"/>
      <c r="L6011" s="68" t="b">
        <f aca="false">FALSE()</f>
        <v>0</v>
      </c>
    </row>
    <row r="6012" customFormat="false" ht="15" hidden="false" customHeight="false" outlineLevel="0" collapsed="false">
      <c r="A6012" s="62" t="n">
        <v>1</v>
      </c>
      <c r="B6012" s="21" t="s">
        <v>336</v>
      </c>
      <c r="C6012" s="62" t="s">
        <v>60</v>
      </c>
      <c r="D6012" s="62" t="s">
        <v>381</v>
      </c>
      <c r="E6012" s="62" t="s">
        <v>382</v>
      </c>
      <c r="F6012" s="62" t="s">
        <v>382</v>
      </c>
      <c r="G6012" s="63" t="s">
        <v>622</v>
      </c>
      <c r="H6012" s="64" t="n">
        <v>16510.5209229637</v>
      </c>
      <c r="I6012" s="62"/>
      <c r="J6012" s="64" t="n">
        <v>16510.5209229637</v>
      </c>
      <c r="K6012" s="62"/>
      <c r="L6012" s="68" t="b">
        <f aca="false">FALSE()</f>
        <v>0</v>
      </c>
    </row>
    <row r="6013" customFormat="false" ht="15" hidden="false" customHeight="false" outlineLevel="0" collapsed="false">
      <c r="A6013" s="62" t="n">
        <v>1</v>
      </c>
      <c r="B6013" s="21" t="s">
        <v>336</v>
      </c>
      <c r="C6013" s="62" t="s">
        <v>60</v>
      </c>
      <c r="D6013" s="62" t="s">
        <v>383</v>
      </c>
      <c r="E6013" s="62" t="s">
        <v>382</v>
      </c>
      <c r="F6013" s="62" t="s">
        <v>382</v>
      </c>
      <c r="G6013" s="63" t="s">
        <v>622</v>
      </c>
      <c r="H6013" s="64" t="n">
        <v>14682.8117944676</v>
      </c>
      <c r="I6013" s="62"/>
      <c r="J6013" s="64" t="n">
        <v>14682.8117944676</v>
      </c>
      <c r="K6013" s="62"/>
      <c r="L6013" s="68" t="b">
        <f aca="false">FALSE()</f>
        <v>0</v>
      </c>
    </row>
    <row r="6014" customFormat="false" ht="15" hidden="false" customHeight="false" outlineLevel="0" collapsed="false">
      <c r="A6014" s="62" t="n">
        <v>1</v>
      </c>
      <c r="B6014" s="21" t="s">
        <v>336</v>
      </c>
      <c r="C6014" s="62" t="s">
        <v>60</v>
      </c>
      <c r="D6014" s="62" t="s">
        <v>384</v>
      </c>
      <c r="E6014" s="62" t="s">
        <v>382</v>
      </c>
      <c r="F6014" s="62" t="s">
        <v>382</v>
      </c>
      <c r="G6014" s="63" t="s">
        <v>622</v>
      </c>
      <c r="H6014" s="64" t="n">
        <v>10430.349308436</v>
      </c>
      <c r="I6014" s="62"/>
      <c r="J6014" s="64" t="n">
        <v>10430.349308436</v>
      </c>
      <c r="K6014" s="62"/>
      <c r="L6014" s="68" t="b">
        <f aca="false">FALSE()</f>
        <v>0</v>
      </c>
    </row>
    <row r="6015" customFormat="false" ht="15" hidden="false" customHeight="false" outlineLevel="0" collapsed="false">
      <c r="A6015" s="62" t="n">
        <v>1</v>
      </c>
      <c r="B6015" s="21" t="s">
        <v>336</v>
      </c>
      <c r="C6015" s="62" t="s">
        <v>60</v>
      </c>
      <c r="D6015" s="62" t="s">
        <v>387</v>
      </c>
      <c r="E6015" s="62" t="s">
        <v>382</v>
      </c>
      <c r="F6015" s="62" t="s">
        <v>382</v>
      </c>
      <c r="G6015" s="63" t="s">
        <v>622</v>
      </c>
      <c r="H6015" s="64" t="n">
        <v>13474.5716154104</v>
      </c>
      <c r="I6015" s="62"/>
      <c r="J6015" s="64" t="n">
        <v>13474.5716154104</v>
      </c>
      <c r="K6015" s="62"/>
      <c r="L6015" s="68" t="b">
        <f aca="false">FALSE()</f>
        <v>0</v>
      </c>
    </row>
    <row r="6016" customFormat="false" ht="15" hidden="false" customHeight="false" outlineLevel="0" collapsed="false">
      <c r="A6016" s="62" t="n">
        <v>1</v>
      </c>
      <c r="B6016" s="21" t="s">
        <v>336</v>
      </c>
      <c r="C6016" s="62" t="s">
        <v>60</v>
      </c>
      <c r="D6016" s="62" t="s">
        <v>381</v>
      </c>
      <c r="E6016" s="62" t="s">
        <v>382</v>
      </c>
      <c r="F6016" s="62" t="s">
        <v>382</v>
      </c>
      <c r="G6016" s="63" t="s">
        <v>623</v>
      </c>
      <c r="H6016" s="64" t="n">
        <v>0.0358679118751961</v>
      </c>
      <c r="I6016" s="62" t="s">
        <v>878</v>
      </c>
      <c r="J6016" s="64" t="n">
        <v>3.58679118751961</v>
      </c>
      <c r="K6016" s="62" t="s">
        <v>42</v>
      </c>
      <c r="L6016" s="68" t="b">
        <f aca="false">FALSE()</f>
        <v>0</v>
      </c>
    </row>
    <row r="6017" customFormat="false" ht="15" hidden="false" customHeight="false" outlineLevel="0" collapsed="false">
      <c r="A6017" s="62" t="n">
        <v>1</v>
      </c>
      <c r="B6017" s="21" t="s">
        <v>336</v>
      </c>
      <c r="C6017" s="62" t="s">
        <v>60</v>
      </c>
      <c r="D6017" s="62" t="s">
        <v>383</v>
      </c>
      <c r="E6017" s="62" t="s">
        <v>382</v>
      </c>
      <c r="F6017" s="62" t="s">
        <v>382</v>
      </c>
      <c r="G6017" s="63" t="s">
        <v>623</v>
      </c>
      <c r="H6017" s="64" t="n">
        <v>0.023650300170609</v>
      </c>
      <c r="I6017" s="62" t="s">
        <v>878</v>
      </c>
      <c r="J6017" s="64" t="n">
        <v>2.3650300170609</v>
      </c>
      <c r="K6017" s="62" t="s">
        <v>42</v>
      </c>
      <c r="L6017" s="68" t="b">
        <f aca="false">FALSE()</f>
        <v>0</v>
      </c>
    </row>
    <row r="6018" customFormat="false" ht="15" hidden="false" customHeight="false" outlineLevel="0" collapsed="false">
      <c r="A6018" s="62" t="n">
        <v>1</v>
      </c>
      <c r="B6018" s="21" t="s">
        <v>336</v>
      </c>
      <c r="C6018" s="62" t="s">
        <v>60</v>
      </c>
      <c r="D6018" s="62" t="s">
        <v>384</v>
      </c>
      <c r="E6018" s="62" t="s">
        <v>382</v>
      </c>
      <c r="F6018" s="62" t="s">
        <v>382</v>
      </c>
      <c r="G6018" s="63" t="s">
        <v>623</v>
      </c>
      <c r="H6018" s="64" t="n">
        <v>0.0253406928535655</v>
      </c>
      <c r="I6018" s="62" t="s">
        <v>878</v>
      </c>
      <c r="J6018" s="64" t="n">
        <v>2.53406928535655</v>
      </c>
      <c r="K6018" s="62" t="s">
        <v>42</v>
      </c>
      <c r="L6018" s="68" t="b">
        <f aca="false">FALSE()</f>
        <v>0</v>
      </c>
    </row>
    <row r="6019" customFormat="false" ht="15" hidden="false" customHeight="false" outlineLevel="0" collapsed="false">
      <c r="A6019" s="62" t="n">
        <v>1</v>
      </c>
      <c r="B6019" s="21" t="s">
        <v>336</v>
      </c>
      <c r="C6019" s="62" t="s">
        <v>60</v>
      </c>
      <c r="D6019" s="62" t="s">
        <v>385</v>
      </c>
      <c r="E6019" s="62" t="s">
        <v>382</v>
      </c>
      <c r="F6019" s="62" t="s">
        <v>382</v>
      </c>
      <c r="G6019" s="63" t="s">
        <v>623</v>
      </c>
      <c r="H6019" s="64" t="n">
        <v>0.0328026968562813</v>
      </c>
      <c r="I6019" s="62" t="s">
        <v>878</v>
      </c>
      <c r="J6019" s="64" t="n">
        <v>3.28026968562813</v>
      </c>
      <c r="K6019" s="62" t="s">
        <v>42</v>
      </c>
      <c r="L6019" s="68" t="b">
        <f aca="false">FALSE()</f>
        <v>0</v>
      </c>
    </row>
    <row r="6020" customFormat="false" ht="15" hidden="false" customHeight="false" outlineLevel="0" collapsed="false">
      <c r="A6020" s="62" t="n">
        <v>1</v>
      </c>
      <c r="B6020" s="21" t="s">
        <v>336</v>
      </c>
      <c r="C6020" s="62" t="s">
        <v>60</v>
      </c>
      <c r="D6020" s="62" t="s">
        <v>386</v>
      </c>
      <c r="E6020" s="62" t="s">
        <v>382</v>
      </c>
      <c r="F6020" s="62" t="s">
        <v>382</v>
      </c>
      <c r="G6020" s="63" t="s">
        <v>623</v>
      </c>
      <c r="H6020" s="64" t="n">
        <v>0.0237154778553664</v>
      </c>
      <c r="I6020" s="62" t="s">
        <v>878</v>
      </c>
      <c r="J6020" s="64" t="n">
        <v>2.37154778553664</v>
      </c>
      <c r="K6020" s="62" t="s">
        <v>42</v>
      </c>
      <c r="L6020" s="68" t="b">
        <f aca="false">FALSE()</f>
        <v>0</v>
      </c>
    </row>
    <row r="6021" customFormat="false" ht="15" hidden="false" customHeight="false" outlineLevel="0" collapsed="false">
      <c r="A6021" s="62" t="n">
        <v>1</v>
      </c>
      <c r="B6021" s="21" t="s">
        <v>336</v>
      </c>
      <c r="C6021" s="62" t="s">
        <v>60</v>
      </c>
      <c r="D6021" s="62" t="s">
        <v>387</v>
      </c>
      <c r="E6021" s="62" t="s">
        <v>382</v>
      </c>
      <c r="F6021" s="62" t="s">
        <v>382</v>
      </c>
      <c r="G6021" s="63" t="s">
        <v>623</v>
      </c>
      <c r="H6021" s="64" t="n">
        <v>0.0819677860234144</v>
      </c>
      <c r="I6021" s="62" t="s">
        <v>878</v>
      </c>
      <c r="J6021" s="64" t="n">
        <v>8.19677860234144</v>
      </c>
      <c r="K6021" s="62" t="s">
        <v>42</v>
      </c>
      <c r="L6021" s="68" t="b">
        <f aca="false">FALSE()</f>
        <v>0</v>
      </c>
    </row>
    <row r="6022" customFormat="false" ht="15" hidden="false" customHeight="false" outlineLevel="0" collapsed="false">
      <c r="A6022" s="62" t="n">
        <v>1</v>
      </c>
      <c r="B6022" s="21" t="s">
        <v>336</v>
      </c>
      <c r="C6022" s="62" t="s">
        <v>60</v>
      </c>
      <c r="D6022" s="62" t="s">
        <v>388</v>
      </c>
      <c r="E6022" s="62" t="s">
        <v>382</v>
      </c>
      <c r="F6022" s="62" t="s">
        <v>382</v>
      </c>
      <c r="G6022" s="63" t="s">
        <v>623</v>
      </c>
      <c r="H6022" s="64" t="n">
        <v>0.0331817608337303</v>
      </c>
      <c r="I6022" s="62" t="s">
        <v>878</v>
      </c>
      <c r="J6022" s="64" t="n">
        <v>3.31817608337303</v>
      </c>
      <c r="K6022" s="62" t="s">
        <v>42</v>
      </c>
      <c r="L6022" s="68" t="b">
        <f aca="false">FALSE()</f>
        <v>0</v>
      </c>
    </row>
    <row r="6023" customFormat="false" ht="15" hidden="false" customHeight="false" outlineLevel="0" collapsed="false">
      <c r="A6023" s="62" t="n">
        <v>1</v>
      </c>
      <c r="B6023" s="21" t="s">
        <v>336</v>
      </c>
      <c r="C6023" s="62" t="s">
        <v>60</v>
      </c>
      <c r="D6023" s="62" t="s">
        <v>381</v>
      </c>
      <c r="E6023" s="62" t="s">
        <v>382</v>
      </c>
      <c r="F6023" s="62" t="s">
        <v>382</v>
      </c>
      <c r="G6023" s="63" t="s">
        <v>851</v>
      </c>
      <c r="H6023" s="64" t="n">
        <v>0.0407303344303429</v>
      </c>
      <c r="I6023" s="62" t="s">
        <v>878</v>
      </c>
      <c r="J6023" s="64" t="n">
        <v>4.07303344303429</v>
      </c>
      <c r="K6023" s="62" t="s">
        <v>42</v>
      </c>
      <c r="L6023" s="68" t="b">
        <f aca="false">FALSE()</f>
        <v>0</v>
      </c>
    </row>
    <row r="6024" customFormat="false" ht="15" hidden="false" customHeight="false" outlineLevel="0" collapsed="false">
      <c r="A6024" s="62" t="n">
        <v>1</v>
      </c>
      <c r="B6024" s="21" t="s">
        <v>336</v>
      </c>
      <c r="C6024" s="62" t="s">
        <v>60</v>
      </c>
      <c r="D6024" s="62" t="s">
        <v>383</v>
      </c>
      <c r="E6024" s="62" t="s">
        <v>382</v>
      </c>
      <c r="F6024" s="62" t="s">
        <v>382</v>
      </c>
      <c r="G6024" s="63" t="s">
        <v>851</v>
      </c>
      <c r="H6024" s="64" t="n">
        <v>0.0282628624850163</v>
      </c>
      <c r="I6024" s="62" t="s">
        <v>878</v>
      </c>
      <c r="J6024" s="64" t="n">
        <v>2.82628624850163</v>
      </c>
      <c r="K6024" s="62" t="s">
        <v>42</v>
      </c>
      <c r="L6024" s="68" t="b">
        <f aca="false">FALSE()</f>
        <v>0</v>
      </c>
    </row>
    <row r="6025" customFormat="false" ht="15" hidden="false" customHeight="false" outlineLevel="0" collapsed="false">
      <c r="A6025" s="62" t="n">
        <v>1</v>
      </c>
      <c r="B6025" s="21" t="s">
        <v>336</v>
      </c>
      <c r="C6025" s="62" t="s">
        <v>60</v>
      </c>
      <c r="D6025" s="62" t="s">
        <v>387</v>
      </c>
      <c r="E6025" s="62" t="s">
        <v>382</v>
      </c>
      <c r="F6025" s="62" t="s">
        <v>382</v>
      </c>
      <c r="G6025" s="63" t="s">
        <v>851</v>
      </c>
      <c r="H6025" s="64" t="n">
        <v>0.0972489537881189</v>
      </c>
      <c r="I6025" s="62" t="s">
        <v>878</v>
      </c>
      <c r="J6025" s="64" t="n">
        <v>9.72489537881189</v>
      </c>
      <c r="K6025" s="62" t="s">
        <v>42</v>
      </c>
      <c r="L6025" s="68" t="b">
        <f aca="false">FALSE()</f>
        <v>0</v>
      </c>
    </row>
    <row r="6026" customFormat="false" ht="15" hidden="false" customHeight="false" outlineLevel="0" collapsed="false">
      <c r="A6026" s="62" t="n">
        <v>1</v>
      </c>
      <c r="B6026" s="21" t="s">
        <v>336</v>
      </c>
      <c r="C6026" s="62" t="s">
        <v>60</v>
      </c>
      <c r="D6026" s="62" t="s">
        <v>388</v>
      </c>
      <c r="E6026" s="62" t="s">
        <v>382</v>
      </c>
      <c r="F6026" s="62" t="s">
        <v>382</v>
      </c>
      <c r="G6026" s="63" t="s">
        <v>851</v>
      </c>
      <c r="H6026" s="64" t="n">
        <v>0.0404449614665455</v>
      </c>
      <c r="I6026" s="62" t="s">
        <v>878</v>
      </c>
      <c r="J6026" s="64" t="n">
        <v>4.04449614665455</v>
      </c>
      <c r="K6026" s="62" t="s">
        <v>42</v>
      </c>
      <c r="L6026" s="68" t="b">
        <f aca="false">FALSE()</f>
        <v>0</v>
      </c>
    </row>
    <row r="6027" customFormat="false" ht="15" hidden="false" customHeight="false" outlineLevel="0" collapsed="false">
      <c r="A6027" s="62" t="n">
        <v>1</v>
      </c>
      <c r="B6027" s="21" t="s">
        <v>336</v>
      </c>
      <c r="C6027" s="62" t="s">
        <v>60</v>
      </c>
      <c r="D6027" s="62" t="s">
        <v>381</v>
      </c>
      <c r="E6027" s="62" t="s">
        <v>382</v>
      </c>
      <c r="F6027" s="62" t="s">
        <v>382</v>
      </c>
      <c r="G6027" s="63" t="s">
        <v>624</v>
      </c>
      <c r="H6027" s="64" t="n">
        <v>0.0541804091487635</v>
      </c>
      <c r="I6027" s="62" t="s">
        <v>878</v>
      </c>
      <c r="J6027" s="64" t="n">
        <v>5.41804091487635</v>
      </c>
      <c r="K6027" s="62" t="s">
        <v>42</v>
      </c>
      <c r="L6027" s="68" t="b">
        <f aca="false">FALSE()</f>
        <v>0</v>
      </c>
    </row>
    <row r="6028" customFormat="false" ht="15" hidden="false" customHeight="false" outlineLevel="0" collapsed="false">
      <c r="A6028" s="62" t="n">
        <v>1</v>
      </c>
      <c r="B6028" s="21" t="s">
        <v>336</v>
      </c>
      <c r="C6028" s="62" t="s">
        <v>60</v>
      </c>
      <c r="D6028" s="62" t="s">
        <v>383</v>
      </c>
      <c r="E6028" s="62" t="s">
        <v>382</v>
      </c>
      <c r="F6028" s="62" t="s">
        <v>382</v>
      </c>
      <c r="G6028" s="63" t="s">
        <v>624</v>
      </c>
      <c r="H6028" s="64" t="n">
        <v>0.0355060875351183</v>
      </c>
      <c r="I6028" s="62" t="s">
        <v>878</v>
      </c>
      <c r="J6028" s="64" t="n">
        <v>3.55060875351183</v>
      </c>
      <c r="K6028" s="62" t="s">
        <v>42</v>
      </c>
      <c r="L6028" s="68" t="b">
        <f aca="false">FALSE()</f>
        <v>0</v>
      </c>
    </row>
    <row r="6029" customFormat="false" ht="15" hidden="false" customHeight="false" outlineLevel="0" collapsed="false">
      <c r="A6029" s="62" t="n">
        <v>1</v>
      </c>
      <c r="B6029" s="21" t="s">
        <v>336</v>
      </c>
      <c r="C6029" s="62" t="s">
        <v>60</v>
      </c>
      <c r="D6029" s="62" t="s">
        <v>384</v>
      </c>
      <c r="E6029" s="62" t="s">
        <v>382</v>
      </c>
      <c r="F6029" s="62" t="s">
        <v>382</v>
      </c>
      <c r="G6029" s="63" t="s">
        <v>624</v>
      </c>
      <c r="H6029" s="64" t="n">
        <v>0.0380014929220372</v>
      </c>
      <c r="I6029" s="62" t="s">
        <v>878</v>
      </c>
      <c r="J6029" s="64" t="n">
        <v>3.80014929220372</v>
      </c>
      <c r="K6029" s="62" t="s">
        <v>42</v>
      </c>
      <c r="L6029" s="68" t="b">
        <f aca="false">FALSE()</f>
        <v>0</v>
      </c>
    </row>
    <row r="6030" customFormat="false" ht="15" hidden="false" customHeight="false" outlineLevel="0" collapsed="false">
      <c r="A6030" s="62" t="n">
        <v>1</v>
      </c>
      <c r="B6030" s="21" t="s">
        <v>336</v>
      </c>
      <c r="C6030" s="62" t="s">
        <v>60</v>
      </c>
      <c r="D6030" s="62" t="s">
        <v>385</v>
      </c>
      <c r="E6030" s="62" t="s">
        <v>382</v>
      </c>
      <c r="F6030" s="62" t="s">
        <v>382</v>
      </c>
      <c r="G6030" s="63" t="s">
        <v>624</v>
      </c>
      <c r="H6030" s="64" t="n">
        <v>0.0490816344563531</v>
      </c>
      <c r="I6030" s="62" t="s">
        <v>878</v>
      </c>
      <c r="J6030" s="64" t="n">
        <v>4.90816344563531</v>
      </c>
      <c r="K6030" s="62" t="s">
        <v>42</v>
      </c>
      <c r="L6030" s="68" t="b">
        <f aca="false">FALSE()</f>
        <v>0</v>
      </c>
    </row>
    <row r="6031" customFormat="false" ht="15" hidden="false" customHeight="false" outlineLevel="0" collapsed="false">
      <c r="A6031" s="62" t="n">
        <v>1</v>
      </c>
      <c r="B6031" s="21" t="s">
        <v>336</v>
      </c>
      <c r="C6031" s="62" t="s">
        <v>60</v>
      </c>
      <c r="D6031" s="62" t="s">
        <v>386</v>
      </c>
      <c r="E6031" s="62" t="s">
        <v>382</v>
      </c>
      <c r="F6031" s="62" t="s">
        <v>382</v>
      </c>
      <c r="G6031" s="63" t="s">
        <v>624</v>
      </c>
      <c r="H6031" s="64" t="n">
        <v>0.0356552508483666</v>
      </c>
      <c r="I6031" s="62" t="s">
        <v>878</v>
      </c>
      <c r="J6031" s="64" t="n">
        <v>3.56552508483666</v>
      </c>
      <c r="K6031" s="62" t="s">
        <v>42</v>
      </c>
      <c r="L6031" s="68" t="b">
        <f aca="false">FALSE()</f>
        <v>0</v>
      </c>
    </row>
    <row r="6032" customFormat="false" ht="15" hidden="false" customHeight="false" outlineLevel="0" collapsed="false">
      <c r="A6032" s="62" t="n">
        <v>1</v>
      </c>
      <c r="B6032" s="21" t="s">
        <v>336</v>
      </c>
      <c r="C6032" s="62" t="s">
        <v>60</v>
      </c>
      <c r="D6032" s="62" t="s">
        <v>387</v>
      </c>
      <c r="E6032" s="62" t="s">
        <v>382</v>
      </c>
      <c r="F6032" s="62" t="s">
        <v>382</v>
      </c>
      <c r="G6032" s="63" t="s">
        <v>624</v>
      </c>
      <c r="H6032" s="64" t="n">
        <v>0.123344342744559</v>
      </c>
      <c r="I6032" s="62" t="s">
        <v>878</v>
      </c>
      <c r="J6032" s="64" t="n">
        <v>12.3344342744559</v>
      </c>
      <c r="K6032" s="62" t="s">
        <v>42</v>
      </c>
      <c r="L6032" s="68" t="b">
        <f aca="false">FALSE()</f>
        <v>0</v>
      </c>
    </row>
    <row r="6033" customFormat="false" ht="15" hidden="false" customHeight="false" outlineLevel="0" collapsed="false">
      <c r="A6033" s="62" t="n">
        <v>1</v>
      </c>
      <c r="B6033" s="21" t="s">
        <v>336</v>
      </c>
      <c r="C6033" s="62" t="s">
        <v>60</v>
      </c>
      <c r="D6033" s="62" t="s">
        <v>388</v>
      </c>
      <c r="E6033" s="62" t="s">
        <v>382</v>
      </c>
      <c r="F6033" s="62" t="s">
        <v>382</v>
      </c>
      <c r="G6033" s="63" t="s">
        <v>624</v>
      </c>
      <c r="H6033" s="64" t="n">
        <v>0.049948610105595</v>
      </c>
      <c r="I6033" s="62" t="s">
        <v>878</v>
      </c>
      <c r="J6033" s="64" t="n">
        <v>4.9948610105595</v>
      </c>
      <c r="K6033" s="62" t="s">
        <v>42</v>
      </c>
      <c r="L6033" s="68" t="b">
        <f aca="false">FALSE()</f>
        <v>0</v>
      </c>
    </row>
    <row r="6034" customFormat="false" ht="15" hidden="false" customHeight="false" outlineLevel="0" collapsed="false">
      <c r="A6034" s="62" t="n">
        <v>1</v>
      </c>
      <c r="B6034" s="21" t="s">
        <v>336</v>
      </c>
      <c r="C6034" s="62" t="s">
        <v>60</v>
      </c>
      <c r="D6034" s="62" t="s">
        <v>381</v>
      </c>
      <c r="E6034" s="62" t="s">
        <v>382</v>
      </c>
      <c r="F6034" s="62" t="s">
        <v>382</v>
      </c>
      <c r="G6034" s="63" t="s">
        <v>852</v>
      </c>
      <c r="H6034" s="64" t="n">
        <v>0.0656561475757085</v>
      </c>
      <c r="I6034" s="62" t="s">
        <v>878</v>
      </c>
      <c r="J6034" s="64" t="n">
        <v>6.56561475757085</v>
      </c>
      <c r="K6034" s="62" t="s">
        <v>42</v>
      </c>
      <c r="L6034" s="68" t="b">
        <f aca="false">FALSE()</f>
        <v>0</v>
      </c>
    </row>
    <row r="6035" customFormat="false" ht="15" hidden="false" customHeight="false" outlineLevel="0" collapsed="false">
      <c r="A6035" s="62" t="n">
        <v>1</v>
      </c>
      <c r="B6035" s="21" t="s">
        <v>336</v>
      </c>
      <c r="C6035" s="62" t="s">
        <v>60</v>
      </c>
      <c r="D6035" s="62" t="s">
        <v>383</v>
      </c>
      <c r="E6035" s="62" t="s">
        <v>382</v>
      </c>
      <c r="F6035" s="62" t="s">
        <v>382</v>
      </c>
      <c r="G6035" s="63" t="s">
        <v>852</v>
      </c>
      <c r="H6035" s="64" t="n">
        <v>0.0463040689162623</v>
      </c>
      <c r="I6035" s="62" t="s">
        <v>878</v>
      </c>
      <c r="J6035" s="64" t="n">
        <v>4.63040689162623</v>
      </c>
      <c r="K6035" s="62" t="s">
        <v>42</v>
      </c>
      <c r="L6035" s="68" t="b">
        <f aca="false">FALSE()</f>
        <v>0</v>
      </c>
    </row>
    <row r="6036" customFormat="false" ht="15" hidden="false" customHeight="false" outlineLevel="0" collapsed="false">
      <c r="A6036" s="62" t="n">
        <v>1</v>
      </c>
      <c r="B6036" s="21" t="s">
        <v>336</v>
      </c>
      <c r="C6036" s="62" t="s">
        <v>60</v>
      </c>
      <c r="D6036" s="62" t="s">
        <v>387</v>
      </c>
      <c r="E6036" s="62" t="s">
        <v>382</v>
      </c>
      <c r="F6036" s="62" t="s">
        <v>382</v>
      </c>
      <c r="G6036" s="63" t="s">
        <v>852</v>
      </c>
      <c r="H6036" s="64" t="n">
        <v>0.159150773315335</v>
      </c>
      <c r="I6036" s="62" t="s">
        <v>878</v>
      </c>
      <c r="J6036" s="64" t="n">
        <v>15.9150773315335</v>
      </c>
      <c r="K6036" s="62" t="s">
        <v>42</v>
      </c>
      <c r="L6036" s="68" t="b">
        <f aca="false">FALSE()</f>
        <v>0</v>
      </c>
    </row>
    <row r="6037" customFormat="false" ht="15" hidden="false" customHeight="false" outlineLevel="0" collapsed="false">
      <c r="A6037" s="62" t="n">
        <v>1</v>
      </c>
      <c r="B6037" s="21" t="s">
        <v>336</v>
      </c>
      <c r="C6037" s="62" t="s">
        <v>60</v>
      </c>
      <c r="D6037" s="62" t="s">
        <v>388</v>
      </c>
      <c r="E6037" s="62" t="s">
        <v>382</v>
      </c>
      <c r="F6037" s="62" t="s">
        <v>382</v>
      </c>
      <c r="G6037" s="63" t="s">
        <v>852</v>
      </c>
      <c r="H6037" s="64" t="n">
        <v>0.0668984863740534</v>
      </c>
      <c r="I6037" s="62" t="s">
        <v>878</v>
      </c>
      <c r="J6037" s="64" t="n">
        <v>6.68984863740534</v>
      </c>
      <c r="K6037" s="62" t="s">
        <v>42</v>
      </c>
      <c r="L6037" s="68" t="b">
        <f aca="false">FALSE()</f>
        <v>0</v>
      </c>
    </row>
    <row r="6038" customFormat="false" ht="15" hidden="false" customHeight="false" outlineLevel="0" collapsed="false">
      <c r="A6038" s="62" t="n">
        <v>1</v>
      </c>
      <c r="B6038" s="21" t="s">
        <v>336</v>
      </c>
      <c r="C6038" s="62" t="s">
        <v>60</v>
      </c>
      <c r="D6038" s="62" t="s">
        <v>381</v>
      </c>
      <c r="E6038" s="62" t="s">
        <v>67</v>
      </c>
      <c r="F6038" s="62" t="s">
        <v>382</v>
      </c>
      <c r="G6038" s="63" t="s">
        <v>625</v>
      </c>
      <c r="H6038" s="64" t="n">
        <v>13347960451.5126</v>
      </c>
      <c r="I6038" s="62" t="s">
        <v>81</v>
      </c>
      <c r="J6038" s="64" t="n">
        <v>13347960.4515126</v>
      </c>
      <c r="K6038" s="62" t="s">
        <v>138</v>
      </c>
      <c r="L6038" s="68" t="b">
        <f aca="false">FALSE()</f>
        <v>0</v>
      </c>
    </row>
    <row r="6039" customFormat="false" ht="15" hidden="false" customHeight="false" outlineLevel="0" collapsed="false">
      <c r="A6039" s="62" t="n">
        <v>1</v>
      </c>
      <c r="B6039" s="21" t="s">
        <v>336</v>
      </c>
      <c r="C6039" s="62" t="s">
        <v>60</v>
      </c>
      <c r="D6039" s="62" t="s">
        <v>383</v>
      </c>
      <c r="E6039" s="62" t="s">
        <v>67</v>
      </c>
      <c r="F6039" s="62" t="s">
        <v>382</v>
      </c>
      <c r="G6039" s="63" t="s">
        <v>625</v>
      </c>
      <c r="H6039" s="64" t="n">
        <v>13543179134.0313</v>
      </c>
      <c r="I6039" s="62" t="s">
        <v>81</v>
      </c>
      <c r="J6039" s="64" t="n">
        <v>13543179.1340313</v>
      </c>
      <c r="K6039" s="62" t="s">
        <v>138</v>
      </c>
      <c r="L6039" s="68" t="b">
        <f aca="false">FALSE()</f>
        <v>0</v>
      </c>
    </row>
    <row r="6040" customFormat="false" ht="15" hidden="false" customHeight="false" outlineLevel="0" collapsed="false">
      <c r="A6040" s="62" t="n">
        <v>1</v>
      </c>
      <c r="B6040" s="21" t="s">
        <v>336</v>
      </c>
      <c r="C6040" s="62" t="s">
        <v>60</v>
      </c>
      <c r="D6040" s="62" t="s">
        <v>384</v>
      </c>
      <c r="E6040" s="62" t="s">
        <v>67</v>
      </c>
      <c r="F6040" s="62" t="s">
        <v>382</v>
      </c>
      <c r="G6040" s="63" t="s">
        <v>625</v>
      </c>
      <c r="H6040" s="64" t="n">
        <v>12900363382.3954</v>
      </c>
      <c r="I6040" s="62" t="s">
        <v>81</v>
      </c>
      <c r="J6040" s="64" t="n">
        <v>12900363.3823954</v>
      </c>
      <c r="K6040" s="62" t="s">
        <v>138</v>
      </c>
      <c r="L6040" s="68" t="b">
        <f aca="false">TRUE()</f>
        <v>1</v>
      </c>
    </row>
    <row r="6041" customFormat="false" ht="15" hidden="false" customHeight="false" outlineLevel="0" collapsed="false">
      <c r="A6041" s="62" t="n">
        <v>1</v>
      </c>
      <c r="B6041" s="21" t="s">
        <v>336</v>
      </c>
      <c r="C6041" s="62" t="s">
        <v>60</v>
      </c>
      <c r="D6041" s="62" t="s">
        <v>385</v>
      </c>
      <c r="E6041" s="62" t="s">
        <v>67</v>
      </c>
      <c r="F6041" s="62" t="s">
        <v>382</v>
      </c>
      <c r="G6041" s="63" t="s">
        <v>625</v>
      </c>
      <c r="H6041" s="64" t="n">
        <v>12635937635.5892</v>
      </c>
      <c r="I6041" s="62" t="s">
        <v>81</v>
      </c>
      <c r="J6041" s="64" t="n">
        <v>12635937.6355892</v>
      </c>
      <c r="K6041" s="62" t="s">
        <v>138</v>
      </c>
      <c r="L6041" s="68" t="b">
        <f aca="false">TRUE()</f>
        <v>1</v>
      </c>
    </row>
    <row r="6042" customFormat="false" ht="15" hidden="false" customHeight="false" outlineLevel="0" collapsed="false">
      <c r="A6042" s="62" t="n">
        <v>1</v>
      </c>
      <c r="B6042" s="21" t="s">
        <v>336</v>
      </c>
      <c r="C6042" s="62" t="s">
        <v>60</v>
      </c>
      <c r="D6042" s="62" t="s">
        <v>386</v>
      </c>
      <c r="E6042" s="62" t="s">
        <v>67</v>
      </c>
      <c r="F6042" s="62" t="s">
        <v>382</v>
      </c>
      <c r="G6042" s="63" t="s">
        <v>625</v>
      </c>
      <c r="H6042" s="64" t="n">
        <v>19285175000</v>
      </c>
      <c r="I6042" s="62" t="s">
        <v>81</v>
      </c>
      <c r="J6042" s="64" t="n">
        <v>19285175</v>
      </c>
      <c r="K6042" s="62" t="s">
        <v>138</v>
      </c>
      <c r="L6042" s="68" t="b">
        <f aca="false">TRUE()</f>
        <v>1</v>
      </c>
    </row>
    <row r="6043" customFormat="false" ht="15" hidden="false" customHeight="false" outlineLevel="0" collapsed="false">
      <c r="A6043" s="62" t="n">
        <v>1</v>
      </c>
      <c r="B6043" s="21" t="s">
        <v>336</v>
      </c>
      <c r="C6043" s="62" t="s">
        <v>60</v>
      </c>
      <c r="D6043" s="62" t="s">
        <v>387</v>
      </c>
      <c r="E6043" s="62" t="s">
        <v>67</v>
      </c>
      <c r="F6043" s="62" t="s">
        <v>382</v>
      </c>
      <c r="G6043" s="63" t="s">
        <v>625</v>
      </c>
      <c r="H6043" s="64" t="n">
        <v>8648735478.889</v>
      </c>
      <c r="I6043" s="62" t="s">
        <v>81</v>
      </c>
      <c r="J6043" s="64" t="n">
        <v>8648735.478889</v>
      </c>
      <c r="K6043" s="62" t="s">
        <v>138</v>
      </c>
      <c r="L6043" s="68" t="b">
        <f aca="false">FALSE()</f>
        <v>0</v>
      </c>
    </row>
    <row r="6044" customFormat="false" ht="15" hidden="false" customHeight="false" outlineLevel="0" collapsed="false">
      <c r="A6044" s="62" t="n">
        <v>1</v>
      </c>
      <c r="B6044" s="21" t="s">
        <v>336</v>
      </c>
      <c r="C6044" s="62" t="s">
        <v>60</v>
      </c>
      <c r="D6044" s="62" t="s">
        <v>388</v>
      </c>
      <c r="E6044" s="62" t="s">
        <v>67</v>
      </c>
      <c r="F6044" s="62" t="s">
        <v>382</v>
      </c>
      <c r="G6044" s="63" t="s">
        <v>625</v>
      </c>
      <c r="H6044" s="64" t="n">
        <v>15547392000</v>
      </c>
      <c r="I6044" s="62" t="s">
        <v>81</v>
      </c>
      <c r="J6044" s="64" t="n">
        <v>15547392</v>
      </c>
      <c r="K6044" s="62" t="s">
        <v>138</v>
      </c>
      <c r="L6044" s="68" t="b">
        <f aca="false">FALSE()</f>
        <v>0</v>
      </c>
    </row>
    <row r="6045" customFormat="false" ht="15" hidden="false" customHeight="false" outlineLevel="0" collapsed="false">
      <c r="A6045" s="62" t="n">
        <v>1</v>
      </c>
      <c r="B6045" s="21" t="s">
        <v>336</v>
      </c>
      <c r="C6045" s="62" t="s">
        <v>60</v>
      </c>
      <c r="D6045" s="62" t="s">
        <v>381</v>
      </c>
      <c r="E6045" s="62" t="s">
        <v>67</v>
      </c>
      <c r="F6045" s="62" t="s">
        <v>382</v>
      </c>
      <c r="G6045" s="63" t="s">
        <v>626</v>
      </c>
      <c r="H6045" s="64" t="n">
        <v>7804311349.56901</v>
      </c>
      <c r="I6045" s="62" t="s">
        <v>81</v>
      </c>
      <c r="J6045" s="64" t="n">
        <v>7804311.34956901</v>
      </c>
      <c r="K6045" s="62" t="s">
        <v>138</v>
      </c>
      <c r="L6045" s="68" t="b">
        <f aca="false">FALSE()</f>
        <v>0</v>
      </c>
    </row>
    <row r="6046" customFormat="false" ht="15" hidden="false" customHeight="false" outlineLevel="0" collapsed="false">
      <c r="A6046" s="62" t="n">
        <v>1</v>
      </c>
      <c r="B6046" s="21" t="s">
        <v>336</v>
      </c>
      <c r="C6046" s="62" t="s">
        <v>60</v>
      </c>
      <c r="D6046" s="62" t="s">
        <v>383</v>
      </c>
      <c r="E6046" s="62" t="s">
        <v>67</v>
      </c>
      <c r="F6046" s="62" t="s">
        <v>382</v>
      </c>
      <c r="G6046" s="63" t="s">
        <v>626</v>
      </c>
      <c r="H6046" s="64" t="n">
        <v>6538473909.18248</v>
      </c>
      <c r="I6046" s="62" t="s">
        <v>81</v>
      </c>
      <c r="J6046" s="64" t="n">
        <v>6538473.90918248</v>
      </c>
      <c r="K6046" s="62" t="s">
        <v>138</v>
      </c>
      <c r="L6046" s="68" t="b">
        <f aca="false">FALSE()</f>
        <v>0</v>
      </c>
    </row>
    <row r="6047" customFormat="false" ht="15" hidden="false" customHeight="false" outlineLevel="0" collapsed="false">
      <c r="A6047" s="62" t="n">
        <v>1</v>
      </c>
      <c r="B6047" s="21" t="s">
        <v>336</v>
      </c>
      <c r="C6047" s="62" t="s">
        <v>60</v>
      </c>
      <c r="D6047" s="62" t="s">
        <v>384</v>
      </c>
      <c r="E6047" s="62" t="s">
        <v>67</v>
      </c>
      <c r="F6047" s="62" t="s">
        <v>382</v>
      </c>
      <c r="G6047" s="63" t="s">
        <v>626</v>
      </c>
      <c r="H6047" s="64" t="n">
        <v>6460340419.92874</v>
      </c>
      <c r="I6047" s="62" t="s">
        <v>81</v>
      </c>
      <c r="J6047" s="64" t="n">
        <v>6460340.41992874</v>
      </c>
      <c r="K6047" s="62" t="s">
        <v>138</v>
      </c>
      <c r="L6047" s="68" t="b">
        <f aca="false">TRUE()</f>
        <v>1</v>
      </c>
    </row>
    <row r="6048" customFormat="false" ht="15" hidden="false" customHeight="false" outlineLevel="0" collapsed="false">
      <c r="A6048" s="62" t="n">
        <v>1</v>
      </c>
      <c r="B6048" s="21" t="s">
        <v>336</v>
      </c>
      <c r="C6048" s="62" t="s">
        <v>60</v>
      </c>
      <c r="D6048" s="62" t="s">
        <v>385</v>
      </c>
      <c r="E6048" s="62" t="s">
        <v>67</v>
      </c>
      <c r="F6048" s="62" t="s">
        <v>382</v>
      </c>
      <c r="G6048" s="63" t="s">
        <v>626</v>
      </c>
      <c r="H6048" s="64" t="n">
        <v>6934256749.583</v>
      </c>
      <c r="I6048" s="62" t="s">
        <v>81</v>
      </c>
      <c r="J6048" s="64" t="n">
        <v>6934256.749583</v>
      </c>
      <c r="K6048" s="62" t="s">
        <v>138</v>
      </c>
      <c r="L6048" s="68" t="b">
        <f aca="false">TRUE()</f>
        <v>1</v>
      </c>
    </row>
    <row r="6049" customFormat="false" ht="15" hidden="false" customHeight="false" outlineLevel="0" collapsed="false">
      <c r="A6049" s="62" t="n">
        <v>1</v>
      </c>
      <c r="B6049" s="21" t="s">
        <v>336</v>
      </c>
      <c r="C6049" s="62" t="s">
        <v>60</v>
      </c>
      <c r="D6049" s="62" t="s">
        <v>386</v>
      </c>
      <c r="E6049" s="62" t="s">
        <v>67</v>
      </c>
      <c r="F6049" s="62" t="s">
        <v>382</v>
      </c>
      <c r="G6049" s="63" t="s">
        <v>626</v>
      </c>
      <c r="H6049" s="64" t="n">
        <v>9661871012.60454</v>
      </c>
      <c r="I6049" s="62" t="s">
        <v>81</v>
      </c>
      <c r="J6049" s="64" t="n">
        <v>9661871.01260454</v>
      </c>
      <c r="K6049" s="62" t="s">
        <v>138</v>
      </c>
      <c r="L6049" s="68" t="b">
        <f aca="false">TRUE()</f>
        <v>1</v>
      </c>
    </row>
    <row r="6050" customFormat="false" ht="15" hidden="false" customHeight="false" outlineLevel="0" collapsed="false">
      <c r="A6050" s="62" t="n">
        <v>1</v>
      </c>
      <c r="B6050" s="21" t="s">
        <v>336</v>
      </c>
      <c r="C6050" s="62" t="s">
        <v>60</v>
      </c>
      <c r="D6050" s="62" t="s">
        <v>387</v>
      </c>
      <c r="E6050" s="62" t="s">
        <v>67</v>
      </c>
      <c r="F6050" s="62" t="s">
        <v>382</v>
      </c>
      <c r="G6050" s="63" t="s">
        <v>626</v>
      </c>
      <c r="H6050" s="64" t="n">
        <v>4170387990.61518</v>
      </c>
      <c r="I6050" s="62" t="s">
        <v>81</v>
      </c>
      <c r="J6050" s="64" t="n">
        <v>4170387.99061518</v>
      </c>
      <c r="K6050" s="62" t="s">
        <v>138</v>
      </c>
      <c r="L6050" s="68" t="b">
        <f aca="false">FALSE()</f>
        <v>0</v>
      </c>
    </row>
    <row r="6051" customFormat="false" ht="15" hidden="false" customHeight="false" outlineLevel="0" collapsed="false">
      <c r="A6051" s="62" t="n">
        <v>1</v>
      </c>
      <c r="B6051" s="21" t="s">
        <v>336</v>
      </c>
      <c r="C6051" s="62" t="s">
        <v>60</v>
      </c>
      <c r="D6051" s="62" t="s">
        <v>388</v>
      </c>
      <c r="E6051" s="62" t="s">
        <v>67</v>
      </c>
      <c r="F6051" s="62" t="s">
        <v>382</v>
      </c>
      <c r="G6051" s="63" t="s">
        <v>626</v>
      </c>
      <c r="H6051" s="64" t="n">
        <v>8183747612.90355</v>
      </c>
      <c r="I6051" s="62" t="s">
        <v>81</v>
      </c>
      <c r="J6051" s="64" t="n">
        <v>8183747.61290355</v>
      </c>
      <c r="K6051" s="62" t="s">
        <v>138</v>
      </c>
      <c r="L6051" s="68" t="b">
        <f aca="false">FALSE()</f>
        <v>0</v>
      </c>
    </row>
    <row r="6052" customFormat="false" ht="15" hidden="false" customHeight="false" outlineLevel="0" collapsed="false">
      <c r="A6052" s="62" t="n">
        <v>1</v>
      </c>
      <c r="B6052" s="21" t="s">
        <v>336</v>
      </c>
      <c r="C6052" s="62" t="s">
        <v>60</v>
      </c>
      <c r="D6052" s="62" t="s">
        <v>381</v>
      </c>
      <c r="E6052" s="62" t="s">
        <v>67</v>
      </c>
      <c r="F6052" s="62" t="s">
        <v>382</v>
      </c>
      <c r="G6052" s="63" t="s">
        <v>627</v>
      </c>
      <c r="H6052" s="64" t="n">
        <v>0</v>
      </c>
      <c r="I6052" s="62" t="s">
        <v>81</v>
      </c>
      <c r="J6052" s="64" t="n">
        <v>0</v>
      </c>
      <c r="K6052" s="62" t="s">
        <v>138</v>
      </c>
      <c r="L6052" s="68" t="b">
        <f aca="false">TRUE()</f>
        <v>1</v>
      </c>
    </row>
    <row r="6053" customFormat="false" ht="15" hidden="false" customHeight="false" outlineLevel="0" collapsed="false">
      <c r="A6053" s="62" t="n">
        <v>1</v>
      </c>
      <c r="B6053" s="21" t="s">
        <v>336</v>
      </c>
      <c r="C6053" s="62" t="s">
        <v>60</v>
      </c>
      <c r="D6053" s="62" t="s">
        <v>383</v>
      </c>
      <c r="E6053" s="62" t="s">
        <v>67</v>
      </c>
      <c r="F6053" s="62" t="s">
        <v>382</v>
      </c>
      <c r="G6053" s="63" t="s">
        <v>627</v>
      </c>
      <c r="H6053" s="64" t="n">
        <v>0</v>
      </c>
      <c r="I6053" s="62" t="s">
        <v>81</v>
      </c>
      <c r="J6053" s="64" t="n">
        <v>0</v>
      </c>
      <c r="K6053" s="62" t="s">
        <v>138</v>
      </c>
      <c r="L6053" s="68" t="b">
        <f aca="false">TRUE()</f>
        <v>1</v>
      </c>
    </row>
    <row r="6054" customFormat="false" ht="15" hidden="false" customHeight="false" outlineLevel="0" collapsed="false">
      <c r="A6054" s="62" t="n">
        <v>1</v>
      </c>
      <c r="B6054" s="21" t="s">
        <v>336</v>
      </c>
      <c r="C6054" s="62" t="s">
        <v>60</v>
      </c>
      <c r="D6054" s="62" t="s">
        <v>384</v>
      </c>
      <c r="E6054" s="62" t="s">
        <v>67</v>
      </c>
      <c r="F6054" s="62" t="s">
        <v>382</v>
      </c>
      <c r="G6054" s="63" t="s">
        <v>627</v>
      </c>
      <c r="H6054" s="64" t="n">
        <v>0</v>
      </c>
      <c r="I6054" s="62" t="s">
        <v>81</v>
      </c>
      <c r="J6054" s="64" t="n">
        <v>0</v>
      </c>
      <c r="K6054" s="62" t="s">
        <v>138</v>
      </c>
      <c r="L6054" s="68" t="b">
        <f aca="false">TRUE()</f>
        <v>1</v>
      </c>
    </row>
    <row r="6055" customFormat="false" ht="15" hidden="false" customHeight="false" outlineLevel="0" collapsed="false">
      <c r="A6055" s="62" t="n">
        <v>1</v>
      </c>
      <c r="B6055" s="21" t="s">
        <v>336</v>
      </c>
      <c r="C6055" s="62" t="s">
        <v>60</v>
      </c>
      <c r="D6055" s="62" t="s">
        <v>385</v>
      </c>
      <c r="E6055" s="62" t="s">
        <v>67</v>
      </c>
      <c r="F6055" s="62" t="s">
        <v>382</v>
      </c>
      <c r="G6055" s="63" t="s">
        <v>627</v>
      </c>
      <c r="H6055" s="64" t="n">
        <v>0</v>
      </c>
      <c r="I6055" s="62" t="s">
        <v>81</v>
      </c>
      <c r="J6055" s="64" t="n">
        <v>0</v>
      </c>
      <c r="K6055" s="62" t="s">
        <v>138</v>
      </c>
      <c r="L6055" s="68" t="b">
        <f aca="false">TRUE()</f>
        <v>1</v>
      </c>
    </row>
    <row r="6056" customFormat="false" ht="15" hidden="false" customHeight="false" outlineLevel="0" collapsed="false">
      <c r="A6056" s="62" t="n">
        <v>1</v>
      </c>
      <c r="B6056" s="21" t="s">
        <v>336</v>
      </c>
      <c r="C6056" s="62" t="s">
        <v>60</v>
      </c>
      <c r="D6056" s="62" t="s">
        <v>386</v>
      </c>
      <c r="E6056" s="62" t="s">
        <v>67</v>
      </c>
      <c r="F6056" s="62" t="s">
        <v>382</v>
      </c>
      <c r="G6056" s="63" t="s">
        <v>627</v>
      </c>
      <c r="H6056" s="64" t="n">
        <v>0</v>
      </c>
      <c r="I6056" s="62" t="s">
        <v>81</v>
      </c>
      <c r="J6056" s="64" t="n">
        <v>0</v>
      </c>
      <c r="K6056" s="62" t="s">
        <v>138</v>
      </c>
      <c r="L6056" s="68" t="b">
        <f aca="false">TRUE()</f>
        <v>1</v>
      </c>
    </row>
    <row r="6057" customFormat="false" ht="15" hidden="false" customHeight="false" outlineLevel="0" collapsed="false">
      <c r="A6057" s="62" t="n">
        <v>1</v>
      </c>
      <c r="B6057" s="21" t="s">
        <v>336</v>
      </c>
      <c r="C6057" s="62" t="s">
        <v>60</v>
      </c>
      <c r="D6057" s="62" t="s">
        <v>387</v>
      </c>
      <c r="E6057" s="62" t="s">
        <v>67</v>
      </c>
      <c r="F6057" s="62" t="s">
        <v>382</v>
      </c>
      <c r="G6057" s="63" t="s">
        <v>627</v>
      </c>
      <c r="H6057" s="64" t="n">
        <v>0</v>
      </c>
      <c r="I6057" s="62" t="s">
        <v>81</v>
      </c>
      <c r="J6057" s="64" t="n">
        <v>0</v>
      </c>
      <c r="K6057" s="62" t="s">
        <v>138</v>
      </c>
      <c r="L6057" s="68" t="b">
        <f aca="false">TRUE()</f>
        <v>1</v>
      </c>
    </row>
    <row r="6058" customFormat="false" ht="15" hidden="false" customHeight="false" outlineLevel="0" collapsed="false">
      <c r="A6058" s="62" t="n">
        <v>1</v>
      </c>
      <c r="B6058" s="21" t="s">
        <v>336</v>
      </c>
      <c r="C6058" s="62" t="s">
        <v>60</v>
      </c>
      <c r="D6058" s="62" t="s">
        <v>388</v>
      </c>
      <c r="E6058" s="62" t="s">
        <v>67</v>
      </c>
      <c r="F6058" s="62" t="s">
        <v>382</v>
      </c>
      <c r="G6058" s="63" t="s">
        <v>627</v>
      </c>
      <c r="H6058" s="64" t="n">
        <v>0</v>
      </c>
      <c r="I6058" s="62" t="s">
        <v>81</v>
      </c>
      <c r="J6058" s="64" t="n">
        <v>0</v>
      </c>
      <c r="K6058" s="62" t="s">
        <v>138</v>
      </c>
      <c r="L6058" s="68" t="b">
        <f aca="false">TRUE()</f>
        <v>1</v>
      </c>
    </row>
    <row r="6059" customFormat="false" ht="15" hidden="false" customHeight="false" outlineLevel="0" collapsed="false">
      <c r="A6059" s="62" t="n">
        <v>1</v>
      </c>
      <c r="B6059" s="21" t="s">
        <v>336</v>
      </c>
      <c r="C6059" s="62" t="s">
        <v>60</v>
      </c>
      <c r="D6059" s="62" t="s">
        <v>381</v>
      </c>
      <c r="E6059" s="62" t="s">
        <v>67</v>
      </c>
      <c r="F6059" s="62" t="s">
        <v>382</v>
      </c>
      <c r="G6059" s="63" t="s">
        <v>628</v>
      </c>
      <c r="H6059" s="64" t="n">
        <v>0</v>
      </c>
      <c r="I6059" s="62" t="s">
        <v>81</v>
      </c>
      <c r="J6059" s="64" t="n">
        <v>0</v>
      </c>
      <c r="K6059" s="62" t="s">
        <v>138</v>
      </c>
      <c r="L6059" s="68" t="b">
        <f aca="false">TRUE()</f>
        <v>1</v>
      </c>
    </row>
    <row r="6060" customFormat="false" ht="15" hidden="false" customHeight="false" outlineLevel="0" collapsed="false">
      <c r="A6060" s="62" t="n">
        <v>1</v>
      </c>
      <c r="B6060" s="21" t="s">
        <v>336</v>
      </c>
      <c r="C6060" s="62" t="s">
        <v>60</v>
      </c>
      <c r="D6060" s="62" t="s">
        <v>383</v>
      </c>
      <c r="E6060" s="62" t="s">
        <v>67</v>
      </c>
      <c r="F6060" s="62" t="s">
        <v>382</v>
      </c>
      <c r="G6060" s="63" t="s">
        <v>628</v>
      </c>
      <c r="H6060" s="64" t="n">
        <v>0</v>
      </c>
      <c r="I6060" s="62" t="s">
        <v>81</v>
      </c>
      <c r="J6060" s="64" t="n">
        <v>0</v>
      </c>
      <c r="K6060" s="62" t="s">
        <v>138</v>
      </c>
      <c r="L6060" s="68" t="b">
        <f aca="false">TRUE()</f>
        <v>1</v>
      </c>
    </row>
    <row r="6061" customFormat="false" ht="15" hidden="false" customHeight="false" outlineLevel="0" collapsed="false">
      <c r="A6061" s="62" t="n">
        <v>1</v>
      </c>
      <c r="B6061" s="21" t="s">
        <v>336</v>
      </c>
      <c r="C6061" s="62" t="s">
        <v>60</v>
      </c>
      <c r="D6061" s="62" t="s">
        <v>384</v>
      </c>
      <c r="E6061" s="62" t="s">
        <v>67</v>
      </c>
      <c r="F6061" s="62" t="s">
        <v>382</v>
      </c>
      <c r="G6061" s="63" t="s">
        <v>628</v>
      </c>
      <c r="H6061" s="64" t="n">
        <v>0</v>
      </c>
      <c r="I6061" s="62" t="s">
        <v>81</v>
      </c>
      <c r="J6061" s="64" t="n">
        <v>0</v>
      </c>
      <c r="K6061" s="62" t="s">
        <v>138</v>
      </c>
      <c r="L6061" s="68" t="b">
        <f aca="false">TRUE()</f>
        <v>1</v>
      </c>
    </row>
    <row r="6062" customFormat="false" ht="15" hidden="false" customHeight="false" outlineLevel="0" collapsed="false">
      <c r="A6062" s="62" t="n">
        <v>1</v>
      </c>
      <c r="B6062" s="21" t="s">
        <v>336</v>
      </c>
      <c r="C6062" s="62" t="s">
        <v>60</v>
      </c>
      <c r="D6062" s="62" t="s">
        <v>385</v>
      </c>
      <c r="E6062" s="62" t="s">
        <v>67</v>
      </c>
      <c r="F6062" s="62" t="s">
        <v>382</v>
      </c>
      <c r="G6062" s="63" t="s">
        <v>628</v>
      </c>
      <c r="H6062" s="64" t="n">
        <v>0</v>
      </c>
      <c r="I6062" s="62" t="s">
        <v>81</v>
      </c>
      <c r="J6062" s="64" t="n">
        <v>0</v>
      </c>
      <c r="K6062" s="62" t="s">
        <v>138</v>
      </c>
      <c r="L6062" s="68" t="b">
        <f aca="false">TRUE()</f>
        <v>1</v>
      </c>
    </row>
    <row r="6063" customFormat="false" ht="15" hidden="false" customHeight="false" outlineLevel="0" collapsed="false">
      <c r="A6063" s="62" t="n">
        <v>1</v>
      </c>
      <c r="B6063" s="21" t="s">
        <v>336</v>
      </c>
      <c r="C6063" s="62" t="s">
        <v>60</v>
      </c>
      <c r="D6063" s="62" t="s">
        <v>386</v>
      </c>
      <c r="E6063" s="62" t="s">
        <v>67</v>
      </c>
      <c r="F6063" s="62" t="s">
        <v>382</v>
      </c>
      <c r="G6063" s="63" t="s">
        <v>628</v>
      </c>
      <c r="H6063" s="64" t="n">
        <v>0</v>
      </c>
      <c r="I6063" s="62" t="s">
        <v>81</v>
      </c>
      <c r="J6063" s="64" t="n">
        <v>0</v>
      </c>
      <c r="K6063" s="62" t="s">
        <v>138</v>
      </c>
      <c r="L6063" s="68" t="b">
        <f aca="false">TRUE()</f>
        <v>1</v>
      </c>
    </row>
    <row r="6064" customFormat="false" ht="15" hidden="false" customHeight="false" outlineLevel="0" collapsed="false">
      <c r="A6064" s="62" t="n">
        <v>1</v>
      </c>
      <c r="B6064" s="21" t="s">
        <v>336</v>
      </c>
      <c r="C6064" s="62" t="s">
        <v>60</v>
      </c>
      <c r="D6064" s="62" t="s">
        <v>387</v>
      </c>
      <c r="E6064" s="62" t="s">
        <v>67</v>
      </c>
      <c r="F6064" s="62" t="s">
        <v>382</v>
      </c>
      <c r="G6064" s="63" t="s">
        <v>628</v>
      </c>
      <c r="H6064" s="64" t="n">
        <v>0</v>
      </c>
      <c r="I6064" s="62" t="s">
        <v>81</v>
      </c>
      <c r="J6064" s="64" t="n">
        <v>0</v>
      </c>
      <c r="K6064" s="62" t="s">
        <v>138</v>
      </c>
      <c r="L6064" s="68" t="b">
        <f aca="false">TRUE()</f>
        <v>1</v>
      </c>
    </row>
    <row r="6065" customFormat="false" ht="15" hidden="false" customHeight="false" outlineLevel="0" collapsed="false">
      <c r="A6065" s="62" t="n">
        <v>1</v>
      </c>
      <c r="B6065" s="21" t="s">
        <v>336</v>
      </c>
      <c r="C6065" s="62" t="s">
        <v>60</v>
      </c>
      <c r="D6065" s="62" t="s">
        <v>388</v>
      </c>
      <c r="E6065" s="62" t="s">
        <v>67</v>
      </c>
      <c r="F6065" s="62" t="s">
        <v>382</v>
      </c>
      <c r="G6065" s="63" t="s">
        <v>628</v>
      </c>
      <c r="H6065" s="64" t="n">
        <v>0</v>
      </c>
      <c r="I6065" s="62" t="s">
        <v>81</v>
      </c>
      <c r="J6065" s="64" t="n">
        <v>0</v>
      </c>
      <c r="K6065" s="62" t="s">
        <v>138</v>
      </c>
      <c r="L6065" s="68" t="b">
        <f aca="false">TRUE()</f>
        <v>1</v>
      </c>
    </row>
    <row r="6066" customFormat="false" ht="15" hidden="false" customHeight="false" outlineLevel="0" collapsed="false">
      <c r="A6066" s="62" t="n">
        <v>1</v>
      </c>
      <c r="B6066" s="21" t="s">
        <v>336</v>
      </c>
      <c r="C6066" s="62" t="s">
        <v>60</v>
      </c>
      <c r="D6066" s="62" t="s">
        <v>381</v>
      </c>
      <c r="E6066" s="62" t="s">
        <v>67</v>
      </c>
      <c r="F6066" s="62" t="s">
        <v>382</v>
      </c>
      <c r="G6066" s="63" t="s">
        <v>629</v>
      </c>
      <c r="H6066" s="64" t="n">
        <v>2803071694.81764</v>
      </c>
      <c r="I6066" s="62" t="s">
        <v>81</v>
      </c>
      <c r="J6066" s="64" t="n">
        <v>2803071.69481764</v>
      </c>
      <c r="K6066" s="62" t="s">
        <v>138</v>
      </c>
      <c r="L6066" s="68" t="b">
        <f aca="false">FALSE()</f>
        <v>0</v>
      </c>
    </row>
    <row r="6067" customFormat="false" ht="15" hidden="false" customHeight="false" outlineLevel="0" collapsed="false">
      <c r="A6067" s="62" t="n">
        <v>1</v>
      </c>
      <c r="B6067" s="21" t="s">
        <v>336</v>
      </c>
      <c r="C6067" s="62" t="s">
        <v>60</v>
      </c>
      <c r="D6067" s="62" t="s">
        <v>383</v>
      </c>
      <c r="E6067" s="62" t="s">
        <v>67</v>
      </c>
      <c r="F6067" s="62" t="s">
        <v>382</v>
      </c>
      <c r="G6067" s="63" t="s">
        <v>629</v>
      </c>
      <c r="H6067" s="64" t="n">
        <v>2183712851.77101</v>
      </c>
      <c r="I6067" s="62" t="s">
        <v>81</v>
      </c>
      <c r="J6067" s="64" t="n">
        <v>2183712.85177101</v>
      </c>
      <c r="K6067" s="62" t="s">
        <v>138</v>
      </c>
      <c r="L6067" s="68" t="b">
        <f aca="false">FALSE()</f>
        <v>0</v>
      </c>
    </row>
    <row r="6068" customFormat="false" ht="15" hidden="false" customHeight="false" outlineLevel="0" collapsed="false">
      <c r="A6068" s="62" t="n">
        <v>1</v>
      </c>
      <c r="B6068" s="21" t="s">
        <v>336</v>
      </c>
      <c r="C6068" s="62" t="s">
        <v>60</v>
      </c>
      <c r="D6068" s="62" t="s">
        <v>384</v>
      </c>
      <c r="E6068" s="62" t="s">
        <v>67</v>
      </c>
      <c r="F6068" s="62" t="s">
        <v>382</v>
      </c>
      <c r="G6068" s="63" t="s">
        <v>629</v>
      </c>
      <c r="H6068" s="64" t="n">
        <v>1963098775.58191</v>
      </c>
      <c r="I6068" s="62" t="s">
        <v>81</v>
      </c>
      <c r="J6068" s="64" t="n">
        <v>1963098.77558191</v>
      </c>
      <c r="K6068" s="62" t="s">
        <v>138</v>
      </c>
      <c r="L6068" s="68" t="b">
        <f aca="false">TRUE()</f>
        <v>1</v>
      </c>
    </row>
    <row r="6069" customFormat="false" ht="15" hidden="false" customHeight="false" outlineLevel="0" collapsed="false">
      <c r="A6069" s="62" t="n">
        <v>1</v>
      </c>
      <c r="B6069" s="21" t="s">
        <v>336</v>
      </c>
      <c r="C6069" s="62" t="s">
        <v>60</v>
      </c>
      <c r="D6069" s="62" t="s">
        <v>385</v>
      </c>
      <c r="E6069" s="62" t="s">
        <v>67</v>
      </c>
      <c r="F6069" s="62" t="s">
        <v>382</v>
      </c>
      <c r="G6069" s="63" t="s">
        <v>629</v>
      </c>
      <c r="H6069" s="64" t="n">
        <v>2412315366.7943</v>
      </c>
      <c r="I6069" s="62" t="s">
        <v>81</v>
      </c>
      <c r="J6069" s="64" t="n">
        <v>2412315.3667943</v>
      </c>
      <c r="K6069" s="62" t="s">
        <v>138</v>
      </c>
      <c r="L6069" s="68" t="b">
        <f aca="false">TRUE()</f>
        <v>1</v>
      </c>
    </row>
    <row r="6070" customFormat="false" ht="15" hidden="false" customHeight="false" outlineLevel="0" collapsed="false">
      <c r="A6070" s="62" t="n">
        <v>1</v>
      </c>
      <c r="B6070" s="21" t="s">
        <v>336</v>
      </c>
      <c r="C6070" s="62" t="s">
        <v>60</v>
      </c>
      <c r="D6070" s="62" t="s">
        <v>386</v>
      </c>
      <c r="E6070" s="62" t="s">
        <v>67</v>
      </c>
      <c r="F6070" s="62" t="s">
        <v>382</v>
      </c>
      <c r="G6070" s="63" t="s">
        <v>629</v>
      </c>
      <c r="H6070" s="64" t="n">
        <v>3306030000</v>
      </c>
      <c r="I6070" s="62" t="s">
        <v>81</v>
      </c>
      <c r="J6070" s="64" t="n">
        <v>3306030</v>
      </c>
      <c r="K6070" s="62" t="s">
        <v>138</v>
      </c>
      <c r="L6070" s="68" t="b">
        <f aca="false">TRUE()</f>
        <v>1</v>
      </c>
    </row>
    <row r="6071" customFormat="false" ht="15" hidden="false" customHeight="false" outlineLevel="0" collapsed="false">
      <c r="A6071" s="62" t="n">
        <v>1</v>
      </c>
      <c r="B6071" s="21" t="s">
        <v>336</v>
      </c>
      <c r="C6071" s="62" t="s">
        <v>60</v>
      </c>
      <c r="D6071" s="62" t="s">
        <v>387</v>
      </c>
      <c r="E6071" s="62" t="s">
        <v>67</v>
      </c>
      <c r="F6071" s="62" t="s">
        <v>382</v>
      </c>
      <c r="G6071" s="63" t="s">
        <v>629</v>
      </c>
      <c r="H6071" s="64" t="n">
        <v>1345358852.27162</v>
      </c>
      <c r="I6071" s="62" t="s">
        <v>81</v>
      </c>
      <c r="J6071" s="64" t="n">
        <v>1345358.85227162</v>
      </c>
      <c r="K6071" s="62" t="s">
        <v>138</v>
      </c>
      <c r="L6071" s="68" t="b">
        <f aca="false">FALSE()</f>
        <v>0</v>
      </c>
    </row>
    <row r="6072" customFormat="false" ht="15" hidden="false" customHeight="false" outlineLevel="0" collapsed="false">
      <c r="A6072" s="62" t="n">
        <v>1</v>
      </c>
      <c r="B6072" s="21" t="s">
        <v>336</v>
      </c>
      <c r="C6072" s="62" t="s">
        <v>60</v>
      </c>
      <c r="D6072" s="62" t="s">
        <v>388</v>
      </c>
      <c r="E6072" s="62" t="s">
        <v>67</v>
      </c>
      <c r="F6072" s="62" t="s">
        <v>382</v>
      </c>
      <c r="G6072" s="63" t="s">
        <v>629</v>
      </c>
      <c r="H6072" s="64" t="n">
        <v>3512320000</v>
      </c>
      <c r="I6072" s="62" t="s">
        <v>81</v>
      </c>
      <c r="J6072" s="64" t="n">
        <v>3512320</v>
      </c>
      <c r="K6072" s="62" t="s">
        <v>138</v>
      </c>
      <c r="L6072" s="68" t="b">
        <f aca="false">FALSE()</f>
        <v>0</v>
      </c>
    </row>
    <row r="6073" customFormat="false" ht="15" hidden="false" customHeight="false" outlineLevel="0" collapsed="false">
      <c r="A6073" s="62" t="n">
        <v>1</v>
      </c>
      <c r="B6073" s="21" t="s">
        <v>336</v>
      </c>
      <c r="C6073" s="62" t="s">
        <v>60</v>
      </c>
      <c r="D6073" s="62" t="s">
        <v>381</v>
      </c>
      <c r="E6073" s="62" t="s">
        <v>67</v>
      </c>
      <c r="F6073" s="62" t="s">
        <v>382</v>
      </c>
      <c r="G6073" s="63" t="s">
        <v>630</v>
      </c>
      <c r="H6073" s="64" t="n">
        <v>10607383044.3867</v>
      </c>
      <c r="I6073" s="62" t="s">
        <v>81</v>
      </c>
      <c r="J6073" s="64" t="n">
        <v>10607383.0443867</v>
      </c>
      <c r="K6073" s="62" t="s">
        <v>138</v>
      </c>
      <c r="L6073" s="68" t="b">
        <f aca="false">FALSE()</f>
        <v>0</v>
      </c>
    </row>
    <row r="6074" customFormat="false" ht="15" hidden="false" customHeight="false" outlineLevel="0" collapsed="false">
      <c r="A6074" s="62" t="n">
        <v>1</v>
      </c>
      <c r="B6074" s="21" t="s">
        <v>336</v>
      </c>
      <c r="C6074" s="62" t="s">
        <v>60</v>
      </c>
      <c r="D6074" s="62" t="s">
        <v>383</v>
      </c>
      <c r="E6074" s="62" t="s">
        <v>67</v>
      </c>
      <c r="F6074" s="62" t="s">
        <v>382</v>
      </c>
      <c r="G6074" s="63" t="s">
        <v>630</v>
      </c>
      <c r="H6074" s="64" t="n">
        <v>8722186760.95349</v>
      </c>
      <c r="I6074" s="62" t="s">
        <v>81</v>
      </c>
      <c r="J6074" s="64" t="n">
        <v>8722186.76095349</v>
      </c>
      <c r="K6074" s="62" t="s">
        <v>138</v>
      </c>
      <c r="L6074" s="68" t="b">
        <f aca="false">FALSE()</f>
        <v>0</v>
      </c>
    </row>
    <row r="6075" customFormat="false" ht="15" hidden="false" customHeight="false" outlineLevel="0" collapsed="false">
      <c r="A6075" s="62" t="n">
        <v>1</v>
      </c>
      <c r="B6075" s="21" t="s">
        <v>336</v>
      </c>
      <c r="C6075" s="62" t="s">
        <v>60</v>
      </c>
      <c r="D6075" s="62" t="s">
        <v>384</v>
      </c>
      <c r="E6075" s="62" t="s">
        <v>67</v>
      </c>
      <c r="F6075" s="62" t="s">
        <v>382</v>
      </c>
      <c r="G6075" s="63" t="s">
        <v>630</v>
      </c>
      <c r="H6075" s="64" t="n">
        <v>8423439195.51065</v>
      </c>
      <c r="I6075" s="62" t="s">
        <v>81</v>
      </c>
      <c r="J6075" s="64" t="n">
        <v>8423439.19551065</v>
      </c>
      <c r="K6075" s="62" t="s">
        <v>138</v>
      </c>
      <c r="L6075" s="68" t="b">
        <f aca="false">TRUE()</f>
        <v>1</v>
      </c>
    </row>
    <row r="6076" customFormat="false" ht="15" hidden="false" customHeight="false" outlineLevel="0" collapsed="false">
      <c r="A6076" s="62" t="n">
        <v>1</v>
      </c>
      <c r="B6076" s="21" t="s">
        <v>336</v>
      </c>
      <c r="C6076" s="62" t="s">
        <v>60</v>
      </c>
      <c r="D6076" s="62" t="s">
        <v>385</v>
      </c>
      <c r="E6076" s="62" t="s">
        <v>67</v>
      </c>
      <c r="F6076" s="62" t="s">
        <v>382</v>
      </c>
      <c r="G6076" s="63" t="s">
        <v>630</v>
      </c>
      <c r="H6076" s="64" t="n">
        <v>9346572116.3773</v>
      </c>
      <c r="I6076" s="62" t="s">
        <v>81</v>
      </c>
      <c r="J6076" s="64" t="n">
        <v>9346572.1163773</v>
      </c>
      <c r="K6076" s="62" t="s">
        <v>138</v>
      </c>
      <c r="L6076" s="68" t="b">
        <f aca="false">TRUE()</f>
        <v>1</v>
      </c>
    </row>
    <row r="6077" customFormat="false" ht="15" hidden="false" customHeight="false" outlineLevel="0" collapsed="false">
      <c r="A6077" s="62" t="n">
        <v>1</v>
      </c>
      <c r="B6077" s="21" t="s">
        <v>336</v>
      </c>
      <c r="C6077" s="62" t="s">
        <v>60</v>
      </c>
      <c r="D6077" s="62" t="s">
        <v>386</v>
      </c>
      <c r="E6077" s="62" t="s">
        <v>67</v>
      </c>
      <c r="F6077" s="62" t="s">
        <v>382</v>
      </c>
      <c r="G6077" s="63" t="s">
        <v>630</v>
      </c>
      <c r="H6077" s="64" t="n">
        <v>12967901012.6045</v>
      </c>
      <c r="I6077" s="62" t="s">
        <v>81</v>
      </c>
      <c r="J6077" s="64" t="n">
        <v>12967901.0126045</v>
      </c>
      <c r="K6077" s="62" t="s">
        <v>138</v>
      </c>
      <c r="L6077" s="68" t="b">
        <f aca="false">TRUE()</f>
        <v>1</v>
      </c>
    </row>
    <row r="6078" customFormat="false" ht="15" hidden="false" customHeight="false" outlineLevel="0" collapsed="false">
      <c r="A6078" s="62" t="n">
        <v>1</v>
      </c>
      <c r="B6078" s="21" t="s">
        <v>336</v>
      </c>
      <c r="C6078" s="62" t="s">
        <v>60</v>
      </c>
      <c r="D6078" s="62" t="s">
        <v>387</v>
      </c>
      <c r="E6078" s="62" t="s">
        <v>67</v>
      </c>
      <c r="F6078" s="62" t="s">
        <v>382</v>
      </c>
      <c r="G6078" s="63" t="s">
        <v>630</v>
      </c>
      <c r="H6078" s="64" t="n">
        <v>5515746842.8868</v>
      </c>
      <c r="I6078" s="62" t="s">
        <v>81</v>
      </c>
      <c r="J6078" s="64" t="n">
        <v>5515746.8428868</v>
      </c>
      <c r="K6078" s="62" t="s">
        <v>138</v>
      </c>
      <c r="L6078" s="68" t="b">
        <f aca="false">FALSE()</f>
        <v>0</v>
      </c>
    </row>
    <row r="6079" customFormat="false" ht="15" hidden="false" customHeight="false" outlineLevel="0" collapsed="false">
      <c r="A6079" s="62" t="n">
        <v>1</v>
      </c>
      <c r="B6079" s="21" t="s">
        <v>336</v>
      </c>
      <c r="C6079" s="62" t="s">
        <v>60</v>
      </c>
      <c r="D6079" s="62" t="s">
        <v>388</v>
      </c>
      <c r="E6079" s="62" t="s">
        <v>67</v>
      </c>
      <c r="F6079" s="62" t="s">
        <v>382</v>
      </c>
      <c r="G6079" s="63" t="s">
        <v>630</v>
      </c>
      <c r="H6079" s="64" t="n">
        <v>11696067612.9035</v>
      </c>
      <c r="I6079" s="62" t="s">
        <v>81</v>
      </c>
      <c r="J6079" s="64" t="n">
        <v>11696067.6129035</v>
      </c>
      <c r="K6079" s="62" t="s">
        <v>138</v>
      </c>
      <c r="L6079" s="68" t="b">
        <f aca="false">FALSE()</f>
        <v>0</v>
      </c>
    </row>
    <row r="6080" customFormat="false" ht="15" hidden="false" customHeight="false" outlineLevel="0" collapsed="false">
      <c r="A6080" s="62" t="n">
        <v>1</v>
      </c>
      <c r="B6080" s="21" t="s">
        <v>336</v>
      </c>
      <c r="C6080" s="62" t="s">
        <v>60</v>
      </c>
      <c r="D6080" s="62" t="s">
        <v>381</v>
      </c>
      <c r="E6080" s="62" t="s">
        <v>67</v>
      </c>
      <c r="F6080" s="62" t="s">
        <v>382</v>
      </c>
      <c r="G6080" s="63" t="s">
        <v>631</v>
      </c>
      <c r="H6080" s="64" t="n">
        <v>2740577407.12593</v>
      </c>
      <c r="I6080" s="62" t="s">
        <v>81</v>
      </c>
      <c r="J6080" s="64" t="n">
        <v>2740577.40712593</v>
      </c>
      <c r="K6080" s="62" t="s">
        <v>138</v>
      </c>
      <c r="L6080" s="68" t="b">
        <f aca="false">FALSE()</f>
        <v>0</v>
      </c>
    </row>
    <row r="6081" customFormat="false" ht="15" hidden="false" customHeight="false" outlineLevel="0" collapsed="false">
      <c r="A6081" s="62" t="n">
        <v>1</v>
      </c>
      <c r="B6081" s="21" t="s">
        <v>336</v>
      </c>
      <c r="C6081" s="62" t="s">
        <v>60</v>
      </c>
      <c r="D6081" s="62" t="s">
        <v>383</v>
      </c>
      <c r="E6081" s="62" t="s">
        <v>67</v>
      </c>
      <c r="F6081" s="62" t="s">
        <v>382</v>
      </c>
      <c r="G6081" s="63" t="s">
        <v>631</v>
      </c>
      <c r="H6081" s="64" t="n">
        <v>4820992373.07775</v>
      </c>
      <c r="I6081" s="62" t="s">
        <v>81</v>
      </c>
      <c r="J6081" s="64" t="n">
        <v>4820992.37307775</v>
      </c>
      <c r="K6081" s="62" t="s">
        <v>138</v>
      </c>
      <c r="L6081" s="68" t="b">
        <f aca="false">FALSE()</f>
        <v>0</v>
      </c>
    </row>
    <row r="6082" customFormat="false" ht="15" hidden="false" customHeight="false" outlineLevel="0" collapsed="false">
      <c r="A6082" s="62" t="n">
        <v>1</v>
      </c>
      <c r="B6082" s="21" t="s">
        <v>336</v>
      </c>
      <c r="C6082" s="62" t="s">
        <v>60</v>
      </c>
      <c r="D6082" s="62" t="s">
        <v>384</v>
      </c>
      <c r="E6082" s="62" t="s">
        <v>67</v>
      </c>
      <c r="F6082" s="62" t="s">
        <v>382</v>
      </c>
      <c r="G6082" s="63" t="s">
        <v>631</v>
      </c>
      <c r="H6082" s="64" t="n">
        <v>4476924186.88473</v>
      </c>
      <c r="I6082" s="62" t="s">
        <v>81</v>
      </c>
      <c r="J6082" s="64" t="n">
        <v>4476924.18688473</v>
      </c>
      <c r="K6082" s="62" t="s">
        <v>138</v>
      </c>
      <c r="L6082" s="68" t="b">
        <f aca="false">TRUE()</f>
        <v>1</v>
      </c>
    </row>
    <row r="6083" customFormat="false" ht="15" hidden="false" customHeight="false" outlineLevel="0" collapsed="false">
      <c r="A6083" s="62" t="n">
        <v>1</v>
      </c>
      <c r="B6083" s="21" t="s">
        <v>336</v>
      </c>
      <c r="C6083" s="62" t="s">
        <v>60</v>
      </c>
      <c r="D6083" s="62" t="s">
        <v>385</v>
      </c>
      <c r="E6083" s="62" t="s">
        <v>67</v>
      </c>
      <c r="F6083" s="62" t="s">
        <v>382</v>
      </c>
      <c r="G6083" s="63" t="s">
        <v>631</v>
      </c>
      <c r="H6083" s="64" t="n">
        <v>3289365519.2119</v>
      </c>
      <c r="I6083" s="62" t="s">
        <v>81</v>
      </c>
      <c r="J6083" s="64" t="n">
        <v>3289365.5192119</v>
      </c>
      <c r="K6083" s="62" t="s">
        <v>138</v>
      </c>
      <c r="L6083" s="68" t="b">
        <f aca="false">TRUE()</f>
        <v>1</v>
      </c>
    </row>
    <row r="6084" customFormat="false" ht="15" hidden="false" customHeight="false" outlineLevel="0" collapsed="false">
      <c r="A6084" s="62" t="n">
        <v>1</v>
      </c>
      <c r="B6084" s="21" t="s">
        <v>336</v>
      </c>
      <c r="C6084" s="62" t="s">
        <v>60</v>
      </c>
      <c r="D6084" s="62" t="s">
        <v>386</v>
      </c>
      <c r="E6084" s="62" t="s">
        <v>67</v>
      </c>
      <c r="F6084" s="62" t="s">
        <v>382</v>
      </c>
      <c r="G6084" s="63" t="s">
        <v>631</v>
      </c>
      <c r="H6084" s="64" t="n">
        <v>6317273987.39546</v>
      </c>
      <c r="I6084" s="62" t="s">
        <v>81</v>
      </c>
      <c r="J6084" s="64" t="n">
        <v>6317273.98739546</v>
      </c>
      <c r="K6084" s="62" t="s">
        <v>138</v>
      </c>
      <c r="L6084" s="68" t="b">
        <f aca="false">TRUE()</f>
        <v>1</v>
      </c>
    </row>
    <row r="6085" customFormat="false" ht="15" hidden="false" customHeight="false" outlineLevel="0" collapsed="false">
      <c r="A6085" s="62" t="n">
        <v>1</v>
      </c>
      <c r="B6085" s="21" t="s">
        <v>336</v>
      </c>
      <c r="C6085" s="62" t="s">
        <v>60</v>
      </c>
      <c r="D6085" s="62" t="s">
        <v>387</v>
      </c>
      <c r="E6085" s="62" t="s">
        <v>67</v>
      </c>
      <c r="F6085" s="62" t="s">
        <v>382</v>
      </c>
      <c r="G6085" s="63" t="s">
        <v>631</v>
      </c>
      <c r="H6085" s="64" t="n">
        <v>3132988636.0022</v>
      </c>
      <c r="I6085" s="62" t="s">
        <v>81</v>
      </c>
      <c r="J6085" s="64" t="n">
        <v>3132988.6360022</v>
      </c>
      <c r="K6085" s="62" t="s">
        <v>138</v>
      </c>
      <c r="L6085" s="68" t="b">
        <f aca="false">FALSE()</f>
        <v>0</v>
      </c>
    </row>
    <row r="6086" customFormat="false" ht="15" hidden="false" customHeight="false" outlineLevel="0" collapsed="false">
      <c r="A6086" s="62" t="n">
        <v>1</v>
      </c>
      <c r="B6086" s="21" t="s">
        <v>336</v>
      </c>
      <c r="C6086" s="62" t="s">
        <v>60</v>
      </c>
      <c r="D6086" s="62" t="s">
        <v>388</v>
      </c>
      <c r="E6086" s="62" t="s">
        <v>67</v>
      </c>
      <c r="F6086" s="62" t="s">
        <v>382</v>
      </c>
      <c r="G6086" s="63" t="s">
        <v>631</v>
      </c>
      <c r="H6086" s="64" t="n">
        <v>3851324387.09645</v>
      </c>
      <c r="I6086" s="62" t="s">
        <v>81</v>
      </c>
      <c r="J6086" s="64" t="n">
        <v>3851324.38709645</v>
      </c>
      <c r="K6086" s="62" t="s">
        <v>138</v>
      </c>
      <c r="L6086" s="68" t="b">
        <f aca="false">FALSE()</f>
        <v>0</v>
      </c>
    </row>
    <row r="6087" customFormat="false" ht="15" hidden="false" customHeight="false" outlineLevel="0" collapsed="false">
      <c r="A6087" s="62" t="n">
        <v>1</v>
      </c>
      <c r="B6087" s="21" t="s">
        <v>336</v>
      </c>
      <c r="C6087" s="62" t="s">
        <v>60</v>
      </c>
      <c r="D6087" s="62" t="s">
        <v>381</v>
      </c>
      <c r="E6087" s="62" t="s">
        <v>67</v>
      </c>
      <c r="F6087" s="62" t="s">
        <v>382</v>
      </c>
      <c r="G6087" s="63" t="s">
        <v>632</v>
      </c>
      <c r="H6087" s="64" t="n">
        <v>300000000</v>
      </c>
      <c r="I6087" s="62" t="s">
        <v>81</v>
      </c>
      <c r="J6087" s="64" t="n">
        <v>300000</v>
      </c>
      <c r="K6087" s="62" t="s">
        <v>138</v>
      </c>
      <c r="L6087" s="68" t="b">
        <f aca="false">TRUE()</f>
        <v>1</v>
      </c>
    </row>
    <row r="6088" customFormat="false" ht="15" hidden="false" customHeight="false" outlineLevel="0" collapsed="false">
      <c r="A6088" s="62" t="n">
        <v>1</v>
      </c>
      <c r="B6088" s="21" t="s">
        <v>336</v>
      </c>
      <c r="C6088" s="62" t="s">
        <v>60</v>
      </c>
      <c r="D6088" s="62" t="s">
        <v>383</v>
      </c>
      <c r="E6088" s="62" t="s">
        <v>67</v>
      </c>
      <c r="F6088" s="62" t="s">
        <v>382</v>
      </c>
      <c r="G6088" s="63" t="s">
        <v>632</v>
      </c>
      <c r="H6088" s="64" t="n">
        <v>1415777000</v>
      </c>
      <c r="I6088" s="62" t="s">
        <v>81</v>
      </c>
      <c r="J6088" s="64" t="n">
        <v>1415777</v>
      </c>
      <c r="K6088" s="62" t="s">
        <v>138</v>
      </c>
      <c r="L6088" s="68" t="b">
        <f aca="false">FALSE()</f>
        <v>0</v>
      </c>
    </row>
    <row r="6089" customFormat="false" ht="15" hidden="false" customHeight="false" outlineLevel="0" collapsed="false">
      <c r="A6089" s="62" t="n">
        <v>1</v>
      </c>
      <c r="B6089" s="21" t="s">
        <v>336</v>
      </c>
      <c r="C6089" s="62" t="s">
        <v>60</v>
      </c>
      <c r="D6089" s="62" t="s">
        <v>384</v>
      </c>
      <c r="E6089" s="62" t="s">
        <v>67</v>
      </c>
      <c r="F6089" s="62" t="s">
        <v>382</v>
      </c>
      <c r="G6089" s="63" t="s">
        <v>632</v>
      </c>
      <c r="H6089" s="64" t="n">
        <v>703011000</v>
      </c>
      <c r="I6089" s="62" t="s">
        <v>81</v>
      </c>
      <c r="J6089" s="64" t="n">
        <v>703011</v>
      </c>
      <c r="K6089" s="62" t="s">
        <v>138</v>
      </c>
      <c r="L6089" s="68" t="b">
        <f aca="false">TRUE()</f>
        <v>1</v>
      </c>
    </row>
    <row r="6090" customFormat="false" ht="15" hidden="false" customHeight="false" outlineLevel="0" collapsed="false">
      <c r="A6090" s="62" t="n">
        <v>1</v>
      </c>
      <c r="B6090" s="21" t="s">
        <v>336</v>
      </c>
      <c r="C6090" s="62" t="s">
        <v>60</v>
      </c>
      <c r="D6090" s="62" t="s">
        <v>385</v>
      </c>
      <c r="E6090" s="62" t="s">
        <v>67</v>
      </c>
      <c r="F6090" s="62" t="s">
        <v>382</v>
      </c>
      <c r="G6090" s="63" t="s">
        <v>632</v>
      </c>
      <c r="H6090" s="64" t="n">
        <v>703395000</v>
      </c>
      <c r="I6090" s="62" t="s">
        <v>81</v>
      </c>
      <c r="J6090" s="64" t="n">
        <v>703395</v>
      </c>
      <c r="K6090" s="62" t="s">
        <v>138</v>
      </c>
      <c r="L6090" s="68" t="b">
        <f aca="false">TRUE()</f>
        <v>1</v>
      </c>
    </row>
    <row r="6091" customFormat="false" ht="15" hidden="false" customHeight="false" outlineLevel="0" collapsed="false">
      <c r="A6091" s="62" t="n">
        <v>1</v>
      </c>
      <c r="B6091" s="21" t="s">
        <v>336</v>
      </c>
      <c r="C6091" s="62" t="s">
        <v>60</v>
      </c>
      <c r="D6091" s="62" t="s">
        <v>386</v>
      </c>
      <c r="E6091" s="62" t="s">
        <v>67</v>
      </c>
      <c r="F6091" s="62" t="s">
        <v>382</v>
      </c>
      <c r="G6091" s="63" t="s">
        <v>632</v>
      </c>
      <c r="H6091" s="64" t="n">
        <v>1150000000</v>
      </c>
      <c r="I6091" s="62" t="s">
        <v>81</v>
      </c>
      <c r="J6091" s="64" t="n">
        <v>1150000</v>
      </c>
      <c r="K6091" s="62" t="s">
        <v>138</v>
      </c>
      <c r="L6091" s="68" t="b">
        <f aca="false">TRUE()</f>
        <v>1</v>
      </c>
    </row>
    <row r="6092" customFormat="false" ht="15" hidden="false" customHeight="false" outlineLevel="0" collapsed="false">
      <c r="A6092" s="62" t="n">
        <v>1</v>
      </c>
      <c r="B6092" s="21" t="s">
        <v>336</v>
      </c>
      <c r="C6092" s="62" t="s">
        <v>60</v>
      </c>
      <c r="D6092" s="62" t="s">
        <v>387</v>
      </c>
      <c r="E6092" s="62" t="s">
        <v>67</v>
      </c>
      <c r="F6092" s="62" t="s">
        <v>382</v>
      </c>
      <c r="G6092" s="63" t="s">
        <v>632</v>
      </c>
      <c r="H6092" s="64" t="n">
        <v>375691500</v>
      </c>
      <c r="I6092" s="62" t="s">
        <v>81</v>
      </c>
      <c r="J6092" s="64" t="n">
        <v>375691.5</v>
      </c>
      <c r="K6092" s="62" t="s">
        <v>138</v>
      </c>
      <c r="L6092" s="68" t="b">
        <f aca="false">TRUE()</f>
        <v>1</v>
      </c>
    </row>
    <row r="6093" customFormat="false" ht="15" hidden="false" customHeight="false" outlineLevel="0" collapsed="false">
      <c r="A6093" s="62" t="n">
        <v>1</v>
      </c>
      <c r="B6093" s="21" t="s">
        <v>336</v>
      </c>
      <c r="C6093" s="62" t="s">
        <v>60</v>
      </c>
      <c r="D6093" s="62" t="s">
        <v>388</v>
      </c>
      <c r="E6093" s="62" t="s">
        <v>67</v>
      </c>
      <c r="F6093" s="62" t="s">
        <v>382</v>
      </c>
      <c r="G6093" s="63" t="s">
        <v>632</v>
      </c>
      <c r="H6093" s="64" t="n">
        <v>924645000</v>
      </c>
      <c r="I6093" s="62" t="s">
        <v>81</v>
      </c>
      <c r="J6093" s="64" t="n">
        <v>924645</v>
      </c>
      <c r="K6093" s="62" t="s">
        <v>138</v>
      </c>
      <c r="L6093" s="68" t="b">
        <f aca="false">FALSE()</f>
        <v>0</v>
      </c>
    </row>
    <row r="6094" customFormat="false" ht="15" hidden="false" customHeight="false" outlineLevel="0" collapsed="false">
      <c r="A6094" s="62" t="n">
        <v>1</v>
      </c>
      <c r="B6094" s="21" t="s">
        <v>336</v>
      </c>
      <c r="C6094" s="62" t="s">
        <v>60</v>
      </c>
      <c r="D6094" s="62" t="s">
        <v>381</v>
      </c>
      <c r="E6094" s="62" t="s">
        <v>67</v>
      </c>
      <c r="F6094" s="62" t="s">
        <v>382</v>
      </c>
      <c r="G6094" s="63" t="s">
        <v>633</v>
      </c>
      <c r="H6094" s="64" t="n">
        <v>2440577407.12593</v>
      </c>
      <c r="I6094" s="62" t="s">
        <v>81</v>
      </c>
      <c r="J6094" s="64" t="n">
        <v>2440577.40712593</v>
      </c>
      <c r="K6094" s="62" t="s">
        <v>138</v>
      </c>
      <c r="L6094" s="68" t="b">
        <f aca="false">FALSE()</f>
        <v>0</v>
      </c>
    </row>
    <row r="6095" customFormat="false" ht="15" hidden="false" customHeight="false" outlineLevel="0" collapsed="false">
      <c r="A6095" s="62" t="n">
        <v>1</v>
      </c>
      <c r="B6095" s="21" t="s">
        <v>336</v>
      </c>
      <c r="C6095" s="62" t="s">
        <v>60</v>
      </c>
      <c r="D6095" s="62" t="s">
        <v>383</v>
      </c>
      <c r="E6095" s="62" t="s">
        <v>67</v>
      </c>
      <c r="F6095" s="62" t="s">
        <v>382</v>
      </c>
      <c r="G6095" s="63" t="s">
        <v>633</v>
      </c>
      <c r="H6095" s="64" t="n">
        <v>3405215373.07775</v>
      </c>
      <c r="I6095" s="62" t="s">
        <v>81</v>
      </c>
      <c r="J6095" s="64" t="n">
        <v>3405215.37307775</v>
      </c>
      <c r="K6095" s="62" t="s">
        <v>138</v>
      </c>
      <c r="L6095" s="68" t="b">
        <f aca="false">FALSE()</f>
        <v>0</v>
      </c>
    </row>
    <row r="6096" customFormat="false" ht="15" hidden="false" customHeight="false" outlineLevel="0" collapsed="false">
      <c r="A6096" s="62" t="n">
        <v>1</v>
      </c>
      <c r="B6096" s="21" t="s">
        <v>336</v>
      </c>
      <c r="C6096" s="62" t="s">
        <v>60</v>
      </c>
      <c r="D6096" s="62" t="s">
        <v>384</v>
      </c>
      <c r="E6096" s="62" t="s">
        <v>67</v>
      </c>
      <c r="F6096" s="62" t="s">
        <v>382</v>
      </c>
      <c r="G6096" s="63" t="s">
        <v>633</v>
      </c>
      <c r="H6096" s="64" t="n">
        <v>3773913186.88473</v>
      </c>
      <c r="I6096" s="62" t="s">
        <v>81</v>
      </c>
      <c r="J6096" s="64" t="n">
        <v>3773913.18688473</v>
      </c>
      <c r="K6096" s="62" t="s">
        <v>138</v>
      </c>
      <c r="L6096" s="68" t="b">
        <f aca="false">TRUE()</f>
        <v>1</v>
      </c>
    </row>
    <row r="6097" customFormat="false" ht="15" hidden="false" customHeight="false" outlineLevel="0" collapsed="false">
      <c r="A6097" s="62" t="n">
        <v>1</v>
      </c>
      <c r="B6097" s="21" t="s">
        <v>336</v>
      </c>
      <c r="C6097" s="62" t="s">
        <v>60</v>
      </c>
      <c r="D6097" s="62" t="s">
        <v>385</v>
      </c>
      <c r="E6097" s="62" t="s">
        <v>67</v>
      </c>
      <c r="F6097" s="62" t="s">
        <v>382</v>
      </c>
      <c r="G6097" s="63" t="s">
        <v>633</v>
      </c>
      <c r="H6097" s="64" t="n">
        <v>2585970519.2119</v>
      </c>
      <c r="I6097" s="62" t="s">
        <v>81</v>
      </c>
      <c r="J6097" s="64" t="n">
        <v>2585970.5192119</v>
      </c>
      <c r="K6097" s="62" t="s">
        <v>138</v>
      </c>
      <c r="L6097" s="68" t="b">
        <f aca="false">TRUE()</f>
        <v>1</v>
      </c>
    </row>
    <row r="6098" customFormat="false" ht="15" hidden="false" customHeight="false" outlineLevel="0" collapsed="false">
      <c r="A6098" s="62" t="n">
        <v>1</v>
      </c>
      <c r="B6098" s="21" t="s">
        <v>336</v>
      </c>
      <c r="C6098" s="62" t="s">
        <v>60</v>
      </c>
      <c r="D6098" s="62" t="s">
        <v>386</v>
      </c>
      <c r="E6098" s="62" t="s">
        <v>67</v>
      </c>
      <c r="F6098" s="62" t="s">
        <v>382</v>
      </c>
      <c r="G6098" s="63" t="s">
        <v>633</v>
      </c>
      <c r="H6098" s="64" t="n">
        <v>5167273987.39546</v>
      </c>
      <c r="I6098" s="62" t="s">
        <v>81</v>
      </c>
      <c r="J6098" s="64" t="n">
        <v>5167273.98739546</v>
      </c>
      <c r="K6098" s="62" t="s">
        <v>138</v>
      </c>
      <c r="L6098" s="68" t="b">
        <f aca="false">TRUE()</f>
        <v>1</v>
      </c>
    </row>
    <row r="6099" customFormat="false" ht="15" hidden="false" customHeight="false" outlineLevel="0" collapsed="false">
      <c r="A6099" s="62" t="n">
        <v>1</v>
      </c>
      <c r="B6099" s="21" t="s">
        <v>336</v>
      </c>
      <c r="C6099" s="62" t="s">
        <v>60</v>
      </c>
      <c r="D6099" s="62" t="s">
        <v>387</v>
      </c>
      <c r="E6099" s="62" t="s">
        <v>67</v>
      </c>
      <c r="F6099" s="62" t="s">
        <v>382</v>
      </c>
      <c r="G6099" s="63" t="s">
        <v>633</v>
      </c>
      <c r="H6099" s="64" t="n">
        <v>2757297136.0022</v>
      </c>
      <c r="I6099" s="62" t="s">
        <v>81</v>
      </c>
      <c r="J6099" s="64" t="n">
        <v>2757297.1360022</v>
      </c>
      <c r="K6099" s="62" t="s">
        <v>138</v>
      </c>
      <c r="L6099" s="68" t="b">
        <f aca="false">FALSE()</f>
        <v>0</v>
      </c>
    </row>
    <row r="6100" customFormat="false" ht="15" hidden="false" customHeight="false" outlineLevel="0" collapsed="false">
      <c r="A6100" s="62" t="n">
        <v>1</v>
      </c>
      <c r="B6100" s="21" t="s">
        <v>336</v>
      </c>
      <c r="C6100" s="62" t="s">
        <v>60</v>
      </c>
      <c r="D6100" s="62" t="s">
        <v>388</v>
      </c>
      <c r="E6100" s="62" t="s">
        <v>67</v>
      </c>
      <c r="F6100" s="62" t="s">
        <v>382</v>
      </c>
      <c r="G6100" s="63" t="s">
        <v>633</v>
      </c>
      <c r="H6100" s="64" t="n">
        <v>2926679387.09645</v>
      </c>
      <c r="I6100" s="62" t="s">
        <v>81</v>
      </c>
      <c r="J6100" s="64" t="n">
        <v>2926679.38709645</v>
      </c>
      <c r="K6100" s="62" t="s">
        <v>138</v>
      </c>
      <c r="L6100" s="68" t="b">
        <f aca="false">FALSE()</f>
        <v>0</v>
      </c>
    </row>
    <row r="6101" customFormat="false" ht="15" hidden="false" customHeight="false" outlineLevel="0" collapsed="false">
      <c r="A6101" s="62" t="n">
        <v>1</v>
      </c>
      <c r="B6101" s="21" t="s">
        <v>336</v>
      </c>
      <c r="C6101" s="62" t="s">
        <v>60</v>
      </c>
      <c r="D6101" s="62" t="s">
        <v>381</v>
      </c>
      <c r="E6101" s="62" t="s">
        <v>67</v>
      </c>
      <c r="F6101" s="62" t="s">
        <v>382</v>
      </c>
      <c r="G6101" s="63" t="s">
        <v>853</v>
      </c>
      <c r="H6101" s="64" t="n">
        <v>6302120116.85463</v>
      </c>
      <c r="I6101" s="62" t="s">
        <v>81</v>
      </c>
      <c r="J6101" s="64" t="n">
        <v>6302120.11685463</v>
      </c>
      <c r="K6101" s="62" t="s">
        <v>138</v>
      </c>
      <c r="L6101" s="68" t="b">
        <f aca="false">FALSE()</f>
        <v>0</v>
      </c>
    </row>
    <row r="6102" customFormat="false" ht="15" hidden="false" customHeight="false" outlineLevel="0" collapsed="false">
      <c r="A6102" s="62" t="n">
        <v>1</v>
      </c>
      <c r="B6102" s="21" t="s">
        <v>336</v>
      </c>
      <c r="C6102" s="62" t="s">
        <v>60</v>
      </c>
      <c r="D6102" s="62" t="s">
        <v>383</v>
      </c>
      <c r="E6102" s="62" t="s">
        <v>67</v>
      </c>
      <c r="F6102" s="62" t="s">
        <v>382</v>
      </c>
      <c r="G6102" s="63" t="s">
        <v>853</v>
      </c>
      <c r="H6102" s="64" t="n">
        <v>7869065400</v>
      </c>
      <c r="I6102" s="62" t="s">
        <v>81</v>
      </c>
      <c r="J6102" s="64" t="n">
        <v>7869065.4</v>
      </c>
      <c r="K6102" s="62" t="s">
        <v>138</v>
      </c>
      <c r="L6102" s="68" t="b">
        <f aca="false">FALSE()</f>
        <v>0</v>
      </c>
    </row>
    <row r="6103" customFormat="false" ht="15" hidden="false" customHeight="false" outlineLevel="0" collapsed="false">
      <c r="A6103" s="62" t="n">
        <v>1</v>
      </c>
      <c r="B6103" s="21" t="s">
        <v>336</v>
      </c>
      <c r="C6103" s="62" t="s">
        <v>60</v>
      </c>
      <c r="D6103" s="62" t="s">
        <v>387</v>
      </c>
      <c r="E6103" s="62" t="s">
        <v>67</v>
      </c>
      <c r="F6103" s="62" t="s">
        <v>382</v>
      </c>
      <c r="G6103" s="63" t="s">
        <v>853</v>
      </c>
      <c r="H6103" s="64" t="n">
        <v>8329367704.9043</v>
      </c>
      <c r="I6103" s="62" t="s">
        <v>81</v>
      </c>
      <c r="J6103" s="64" t="n">
        <v>8329367.7049043</v>
      </c>
      <c r="K6103" s="62" t="s">
        <v>138</v>
      </c>
      <c r="L6103" s="68" t="b">
        <f aca="false">FALSE()</f>
        <v>0</v>
      </c>
    </row>
    <row r="6104" customFormat="false" ht="15" hidden="false" customHeight="false" outlineLevel="0" collapsed="false">
      <c r="A6104" s="62" t="n">
        <v>1</v>
      </c>
      <c r="B6104" s="21" t="s">
        <v>336</v>
      </c>
      <c r="C6104" s="62" t="s">
        <v>60</v>
      </c>
      <c r="D6104" s="62" t="s">
        <v>388</v>
      </c>
      <c r="E6104" s="62" t="s">
        <v>67</v>
      </c>
      <c r="F6104" s="62" t="s">
        <v>382</v>
      </c>
      <c r="G6104" s="63" t="s">
        <v>853</v>
      </c>
      <c r="H6104" s="64" t="n">
        <v>4809168000</v>
      </c>
      <c r="I6104" s="62" t="s">
        <v>81</v>
      </c>
      <c r="J6104" s="64" t="n">
        <v>4809168</v>
      </c>
      <c r="K6104" s="62" t="s">
        <v>138</v>
      </c>
      <c r="L6104" s="68" t="b">
        <f aca="false">FALSE()</f>
        <v>0</v>
      </c>
    </row>
    <row r="6105" customFormat="false" ht="15" hidden="false" customHeight="false" outlineLevel="0" collapsed="false">
      <c r="A6105" s="62" t="n">
        <v>1</v>
      </c>
      <c r="B6105" s="21" t="s">
        <v>336</v>
      </c>
      <c r="C6105" s="62" t="s">
        <v>60</v>
      </c>
      <c r="D6105" s="62" t="s">
        <v>381</v>
      </c>
      <c r="E6105" s="62" t="s">
        <v>67</v>
      </c>
      <c r="F6105" s="62" t="s">
        <v>382</v>
      </c>
      <c r="G6105" s="63" t="s">
        <v>854</v>
      </c>
      <c r="H6105" s="64" t="n">
        <v>5089522810.25244</v>
      </c>
      <c r="I6105" s="62" t="s">
        <v>81</v>
      </c>
      <c r="J6105" s="64" t="n">
        <v>5089522.81025244</v>
      </c>
      <c r="K6105" s="62" t="s">
        <v>138</v>
      </c>
      <c r="L6105" s="68" t="b">
        <f aca="false">FALSE()</f>
        <v>0</v>
      </c>
    </row>
    <row r="6106" customFormat="false" ht="15" hidden="false" customHeight="false" outlineLevel="0" collapsed="false">
      <c r="A6106" s="62" t="n">
        <v>1</v>
      </c>
      <c r="B6106" s="21" t="s">
        <v>336</v>
      </c>
      <c r="C6106" s="62" t="s">
        <v>60</v>
      </c>
      <c r="D6106" s="62" t="s">
        <v>383</v>
      </c>
      <c r="E6106" s="62" t="s">
        <v>67</v>
      </c>
      <c r="F6106" s="62" t="s">
        <v>382</v>
      </c>
      <c r="G6106" s="63" t="s">
        <v>854</v>
      </c>
      <c r="H6106" s="64" t="n">
        <v>5194373346.87661</v>
      </c>
      <c r="I6106" s="62" t="s">
        <v>81</v>
      </c>
      <c r="J6106" s="64" t="n">
        <v>5194373.34687661</v>
      </c>
      <c r="K6106" s="62" t="s">
        <v>138</v>
      </c>
      <c r="L6106" s="68" t="b">
        <f aca="false">FALSE()</f>
        <v>0</v>
      </c>
    </row>
    <row r="6107" customFormat="false" ht="15" hidden="false" customHeight="false" outlineLevel="0" collapsed="false">
      <c r="A6107" s="62" t="n">
        <v>1</v>
      </c>
      <c r="B6107" s="21" t="s">
        <v>336</v>
      </c>
      <c r="C6107" s="62" t="s">
        <v>60</v>
      </c>
      <c r="D6107" s="62" t="s">
        <v>387</v>
      </c>
      <c r="E6107" s="62" t="s">
        <v>67</v>
      </c>
      <c r="F6107" s="62" t="s">
        <v>382</v>
      </c>
      <c r="G6107" s="63" t="s">
        <v>854</v>
      </c>
      <c r="H6107" s="64" t="n">
        <v>6222800157.55517</v>
      </c>
      <c r="I6107" s="62" t="s">
        <v>81</v>
      </c>
      <c r="J6107" s="64" t="n">
        <v>6222800.15755517</v>
      </c>
      <c r="K6107" s="62" t="s">
        <v>138</v>
      </c>
      <c r="L6107" s="68" t="b">
        <f aca="false">FALSE()</f>
        <v>0</v>
      </c>
    </row>
    <row r="6108" customFormat="false" ht="15" hidden="false" customHeight="false" outlineLevel="0" collapsed="false">
      <c r="A6108" s="62" t="n">
        <v>1</v>
      </c>
      <c r="B6108" s="21" t="s">
        <v>336</v>
      </c>
      <c r="C6108" s="62" t="s">
        <v>60</v>
      </c>
      <c r="D6108" s="62" t="s">
        <v>388</v>
      </c>
      <c r="E6108" s="62" t="s">
        <v>67</v>
      </c>
      <c r="F6108" s="62" t="s">
        <v>382</v>
      </c>
      <c r="G6108" s="63" t="s">
        <v>854</v>
      </c>
      <c r="H6108" s="64" t="n">
        <v>3871785049.16452</v>
      </c>
      <c r="I6108" s="62" t="s">
        <v>81</v>
      </c>
      <c r="J6108" s="64" t="n">
        <v>3871785.04916452</v>
      </c>
      <c r="K6108" s="62" t="s">
        <v>138</v>
      </c>
      <c r="L6108" s="68" t="b">
        <f aca="false">FALSE()</f>
        <v>0</v>
      </c>
    </row>
    <row r="6109" customFormat="false" ht="15" hidden="false" customHeight="false" outlineLevel="0" collapsed="false">
      <c r="A6109" s="62" t="n">
        <v>1</v>
      </c>
      <c r="B6109" s="21" t="s">
        <v>336</v>
      </c>
      <c r="C6109" s="62" t="s">
        <v>60</v>
      </c>
      <c r="D6109" s="62" t="s">
        <v>381</v>
      </c>
      <c r="E6109" s="62" t="s">
        <v>67</v>
      </c>
      <c r="F6109" s="62" t="s">
        <v>382</v>
      </c>
      <c r="G6109" s="63" t="s">
        <v>855</v>
      </c>
      <c r="H6109" s="64" t="n">
        <v>170327570.725801</v>
      </c>
      <c r="I6109" s="62" t="s">
        <v>81</v>
      </c>
      <c r="J6109" s="64" t="n">
        <v>170327.570725801</v>
      </c>
      <c r="K6109" s="62" t="s">
        <v>138</v>
      </c>
      <c r="L6109" s="68" t="b">
        <f aca="false">FALSE()</f>
        <v>0</v>
      </c>
    </row>
    <row r="6110" customFormat="false" ht="15" hidden="false" customHeight="false" outlineLevel="0" collapsed="false">
      <c r="A6110" s="62" t="n">
        <v>1</v>
      </c>
      <c r="B6110" s="21" t="s">
        <v>336</v>
      </c>
      <c r="C6110" s="62" t="s">
        <v>60</v>
      </c>
      <c r="D6110" s="62" t="s">
        <v>383</v>
      </c>
      <c r="E6110" s="62" t="s">
        <v>67</v>
      </c>
      <c r="F6110" s="62" t="s">
        <v>382</v>
      </c>
      <c r="G6110" s="63" t="s">
        <v>855</v>
      </c>
      <c r="H6110" s="64" t="n">
        <v>449820000</v>
      </c>
      <c r="I6110" s="62" t="s">
        <v>81</v>
      </c>
      <c r="J6110" s="64" t="n">
        <v>449820</v>
      </c>
      <c r="K6110" s="62" t="s">
        <v>138</v>
      </c>
      <c r="L6110" s="68" t="b">
        <f aca="false">FALSE()</f>
        <v>0</v>
      </c>
    </row>
    <row r="6111" customFormat="false" ht="15" hidden="false" customHeight="false" outlineLevel="0" collapsed="false">
      <c r="A6111" s="62" t="n">
        <v>1</v>
      </c>
      <c r="B6111" s="21" t="s">
        <v>336</v>
      </c>
      <c r="C6111" s="62" t="s">
        <v>60</v>
      </c>
      <c r="D6111" s="62" t="s">
        <v>387</v>
      </c>
      <c r="E6111" s="62" t="s">
        <v>67</v>
      </c>
      <c r="F6111" s="62" t="s">
        <v>382</v>
      </c>
      <c r="G6111" s="63" t="s">
        <v>855</v>
      </c>
      <c r="H6111" s="64" t="n">
        <v>685947928.639178</v>
      </c>
      <c r="I6111" s="62" t="s">
        <v>81</v>
      </c>
      <c r="J6111" s="64" t="n">
        <v>685947.928639178</v>
      </c>
      <c r="K6111" s="62" t="s">
        <v>138</v>
      </c>
      <c r="L6111" s="68" t="b">
        <f aca="false">FALSE()</f>
        <v>0</v>
      </c>
    </row>
    <row r="6112" customFormat="false" ht="15" hidden="false" customHeight="false" outlineLevel="0" collapsed="false">
      <c r="A6112" s="62" t="n">
        <v>1</v>
      </c>
      <c r="B6112" s="21" t="s">
        <v>336</v>
      </c>
      <c r="C6112" s="62" t="s">
        <v>60</v>
      </c>
      <c r="D6112" s="62" t="s">
        <v>388</v>
      </c>
      <c r="E6112" s="62" t="s">
        <v>67</v>
      </c>
      <c r="F6112" s="62" t="s">
        <v>382</v>
      </c>
      <c r="G6112" s="63" t="s">
        <v>855</v>
      </c>
      <c r="H6112" s="64" t="n">
        <v>235200000</v>
      </c>
      <c r="I6112" s="62" t="s">
        <v>81</v>
      </c>
      <c r="J6112" s="64" t="n">
        <v>235200</v>
      </c>
      <c r="K6112" s="62" t="s">
        <v>138</v>
      </c>
      <c r="L6112" s="68" t="b">
        <f aca="false">FALSE()</f>
        <v>0</v>
      </c>
    </row>
    <row r="6113" customFormat="false" ht="15" hidden="false" customHeight="false" outlineLevel="0" collapsed="false">
      <c r="A6113" s="62" t="n">
        <v>1</v>
      </c>
      <c r="B6113" s="21" t="s">
        <v>336</v>
      </c>
      <c r="C6113" s="62" t="s">
        <v>60</v>
      </c>
      <c r="D6113" s="62" t="s">
        <v>381</v>
      </c>
      <c r="E6113" s="62" t="s">
        <v>67</v>
      </c>
      <c r="F6113" s="62" t="s">
        <v>382</v>
      </c>
      <c r="G6113" s="63" t="s">
        <v>856</v>
      </c>
      <c r="H6113" s="64" t="n">
        <v>5259850380.97824</v>
      </c>
      <c r="I6113" s="62" t="s">
        <v>81</v>
      </c>
      <c r="J6113" s="64" t="n">
        <v>5259850.38097824</v>
      </c>
      <c r="K6113" s="62" t="s">
        <v>138</v>
      </c>
      <c r="L6113" s="68" t="b">
        <f aca="false">FALSE()</f>
        <v>0</v>
      </c>
    </row>
    <row r="6114" customFormat="false" ht="15" hidden="false" customHeight="false" outlineLevel="0" collapsed="false">
      <c r="A6114" s="62" t="n">
        <v>1</v>
      </c>
      <c r="B6114" s="21" t="s">
        <v>336</v>
      </c>
      <c r="C6114" s="62" t="s">
        <v>60</v>
      </c>
      <c r="D6114" s="62" t="s">
        <v>383</v>
      </c>
      <c r="E6114" s="62" t="s">
        <v>67</v>
      </c>
      <c r="F6114" s="62" t="s">
        <v>382</v>
      </c>
      <c r="G6114" s="63" t="s">
        <v>856</v>
      </c>
      <c r="H6114" s="64" t="n">
        <v>5644193346.87661</v>
      </c>
      <c r="I6114" s="62" t="s">
        <v>81</v>
      </c>
      <c r="J6114" s="64" t="n">
        <v>5644193.34687661</v>
      </c>
      <c r="K6114" s="62" t="s">
        <v>138</v>
      </c>
      <c r="L6114" s="68" t="b">
        <f aca="false">FALSE()</f>
        <v>0</v>
      </c>
    </row>
    <row r="6115" customFormat="false" ht="15" hidden="false" customHeight="false" outlineLevel="0" collapsed="false">
      <c r="A6115" s="62" t="n">
        <v>1</v>
      </c>
      <c r="B6115" s="21" t="s">
        <v>336</v>
      </c>
      <c r="C6115" s="62" t="s">
        <v>60</v>
      </c>
      <c r="D6115" s="62" t="s">
        <v>387</v>
      </c>
      <c r="E6115" s="62" t="s">
        <v>67</v>
      </c>
      <c r="F6115" s="62" t="s">
        <v>382</v>
      </c>
      <c r="G6115" s="63" t="s">
        <v>856</v>
      </c>
      <c r="H6115" s="64" t="n">
        <v>6908748086.19435</v>
      </c>
      <c r="I6115" s="62" t="s">
        <v>81</v>
      </c>
      <c r="J6115" s="64" t="n">
        <v>6908748.08619435</v>
      </c>
      <c r="K6115" s="62" t="s">
        <v>138</v>
      </c>
      <c r="L6115" s="68" t="b">
        <f aca="false">FALSE()</f>
        <v>0</v>
      </c>
    </row>
    <row r="6116" customFormat="false" ht="15" hidden="false" customHeight="false" outlineLevel="0" collapsed="false">
      <c r="A6116" s="62" t="n">
        <v>1</v>
      </c>
      <c r="B6116" s="21" t="s">
        <v>336</v>
      </c>
      <c r="C6116" s="62" t="s">
        <v>60</v>
      </c>
      <c r="D6116" s="62" t="s">
        <v>388</v>
      </c>
      <c r="E6116" s="62" t="s">
        <v>67</v>
      </c>
      <c r="F6116" s="62" t="s">
        <v>382</v>
      </c>
      <c r="G6116" s="63" t="s">
        <v>856</v>
      </c>
      <c r="H6116" s="64" t="n">
        <v>4106985049.16452</v>
      </c>
      <c r="I6116" s="62" t="s">
        <v>81</v>
      </c>
      <c r="J6116" s="64" t="n">
        <v>4106985.04916452</v>
      </c>
      <c r="K6116" s="62" t="s">
        <v>138</v>
      </c>
      <c r="L6116" s="68" t="b">
        <f aca="false">FALSE()</f>
        <v>0</v>
      </c>
    </row>
    <row r="6117" customFormat="false" ht="15" hidden="false" customHeight="false" outlineLevel="0" collapsed="false">
      <c r="A6117" s="62" t="n">
        <v>1</v>
      </c>
      <c r="B6117" s="21" t="s">
        <v>336</v>
      </c>
      <c r="C6117" s="62" t="s">
        <v>60</v>
      </c>
      <c r="D6117" s="62" t="s">
        <v>381</v>
      </c>
      <c r="E6117" s="62" t="s">
        <v>67</v>
      </c>
      <c r="F6117" s="62" t="s">
        <v>382</v>
      </c>
      <c r="G6117" s="63" t="s">
        <v>857</v>
      </c>
      <c r="H6117" s="64" t="n">
        <v>1042269735.87639</v>
      </c>
      <c r="I6117" s="62" t="s">
        <v>81</v>
      </c>
      <c r="J6117" s="64" t="n">
        <v>1042269.73587639</v>
      </c>
      <c r="K6117" s="62" t="s">
        <v>138</v>
      </c>
      <c r="L6117" s="68" t="b">
        <f aca="false">FALSE()</f>
        <v>0</v>
      </c>
    </row>
    <row r="6118" customFormat="false" ht="15" hidden="false" customHeight="false" outlineLevel="0" collapsed="false">
      <c r="A6118" s="62" t="n">
        <v>1</v>
      </c>
      <c r="B6118" s="21" t="s">
        <v>336</v>
      </c>
      <c r="C6118" s="62" t="s">
        <v>60</v>
      </c>
      <c r="D6118" s="62" t="s">
        <v>383</v>
      </c>
      <c r="E6118" s="62" t="s">
        <v>67</v>
      </c>
      <c r="F6118" s="62" t="s">
        <v>382</v>
      </c>
      <c r="G6118" s="63" t="s">
        <v>857</v>
      </c>
      <c r="H6118" s="64" t="n">
        <v>2224872053.12339</v>
      </c>
      <c r="I6118" s="62" t="s">
        <v>81</v>
      </c>
      <c r="J6118" s="64" t="n">
        <v>2224872.05312339</v>
      </c>
      <c r="K6118" s="62" t="s">
        <v>138</v>
      </c>
      <c r="L6118" s="68" t="b">
        <f aca="false">FALSE()</f>
        <v>0</v>
      </c>
    </row>
    <row r="6119" customFormat="false" ht="15" hidden="false" customHeight="false" outlineLevel="0" collapsed="false">
      <c r="A6119" s="62" t="n">
        <v>1</v>
      </c>
      <c r="B6119" s="21" t="s">
        <v>336</v>
      </c>
      <c r="C6119" s="62" t="s">
        <v>60</v>
      </c>
      <c r="D6119" s="62" t="s">
        <v>387</v>
      </c>
      <c r="E6119" s="62" t="s">
        <v>67</v>
      </c>
      <c r="F6119" s="62" t="s">
        <v>382</v>
      </c>
      <c r="G6119" s="63" t="s">
        <v>857</v>
      </c>
      <c r="H6119" s="64" t="n">
        <v>1420619618.70995</v>
      </c>
      <c r="I6119" s="62" t="s">
        <v>81</v>
      </c>
      <c r="J6119" s="64" t="n">
        <v>1420619.61870995</v>
      </c>
      <c r="K6119" s="62" t="s">
        <v>138</v>
      </c>
      <c r="L6119" s="68" t="b">
        <f aca="false">FALSE()</f>
        <v>0</v>
      </c>
    </row>
    <row r="6120" customFormat="false" ht="15" hidden="false" customHeight="false" outlineLevel="0" collapsed="false">
      <c r="A6120" s="62" t="n">
        <v>1</v>
      </c>
      <c r="B6120" s="21" t="s">
        <v>336</v>
      </c>
      <c r="C6120" s="62" t="s">
        <v>60</v>
      </c>
      <c r="D6120" s="62" t="s">
        <v>388</v>
      </c>
      <c r="E6120" s="62" t="s">
        <v>67</v>
      </c>
      <c r="F6120" s="62" t="s">
        <v>382</v>
      </c>
      <c r="G6120" s="63" t="s">
        <v>857</v>
      </c>
      <c r="H6120" s="64" t="n">
        <v>702182950.835479</v>
      </c>
      <c r="I6120" s="62" t="s">
        <v>81</v>
      </c>
      <c r="J6120" s="64" t="n">
        <v>702182.950835479</v>
      </c>
      <c r="K6120" s="62" t="s">
        <v>138</v>
      </c>
      <c r="L6120" s="68" t="b">
        <f aca="false">FALSE()</f>
        <v>0</v>
      </c>
    </row>
    <row r="6121" customFormat="false" ht="15" hidden="false" customHeight="false" outlineLevel="0" collapsed="false">
      <c r="A6121" s="62" t="n">
        <v>1</v>
      </c>
      <c r="B6121" s="21" t="s">
        <v>336</v>
      </c>
      <c r="C6121" s="62" t="s">
        <v>60</v>
      </c>
      <c r="D6121" s="62" t="s">
        <v>383</v>
      </c>
      <c r="E6121" s="62" t="s">
        <v>67</v>
      </c>
      <c r="F6121" s="62" t="s">
        <v>382</v>
      </c>
      <c r="G6121" s="63" t="s">
        <v>858</v>
      </c>
      <c r="H6121" s="64" t="n">
        <v>469823000</v>
      </c>
      <c r="I6121" s="62" t="s">
        <v>81</v>
      </c>
      <c r="J6121" s="64" t="n">
        <v>469823</v>
      </c>
      <c r="K6121" s="62" t="s">
        <v>138</v>
      </c>
      <c r="L6121" s="68" t="b">
        <f aca="false">FALSE()</f>
        <v>0</v>
      </c>
    </row>
    <row r="6122" customFormat="false" ht="15" hidden="false" customHeight="false" outlineLevel="0" collapsed="false">
      <c r="A6122" s="62" t="n">
        <v>1</v>
      </c>
      <c r="B6122" s="21" t="s">
        <v>336</v>
      </c>
      <c r="C6122" s="62" t="s">
        <v>60</v>
      </c>
      <c r="D6122" s="62" t="s">
        <v>388</v>
      </c>
      <c r="E6122" s="62" t="s">
        <v>67</v>
      </c>
      <c r="F6122" s="62" t="s">
        <v>382</v>
      </c>
      <c r="G6122" s="63" t="s">
        <v>858</v>
      </c>
      <c r="H6122" s="64" t="n">
        <v>343217000</v>
      </c>
      <c r="I6122" s="62" t="s">
        <v>81</v>
      </c>
      <c r="J6122" s="64" t="n">
        <v>343217</v>
      </c>
      <c r="K6122" s="62" t="s">
        <v>138</v>
      </c>
      <c r="L6122" s="68" t="b">
        <f aca="false">FALSE()</f>
        <v>0</v>
      </c>
    </row>
    <row r="6123" customFormat="false" ht="15" hidden="false" customHeight="false" outlineLevel="0" collapsed="false">
      <c r="A6123" s="62" t="n">
        <v>1</v>
      </c>
      <c r="B6123" s="21" t="s">
        <v>336</v>
      </c>
      <c r="C6123" s="62" t="s">
        <v>60</v>
      </c>
      <c r="D6123" s="62" t="s">
        <v>381</v>
      </c>
      <c r="E6123" s="62" t="s">
        <v>67</v>
      </c>
      <c r="F6123" s="62" t="s">
        <v>382</v>
      </c>
      <c r="G6123" s="63" t="s">
        <v>859</v>
      </c>
      <c r="H6123" s="64" t="n">
        <v>742269735.87639</v>
      </c>
      <c r="I6123" s="62" t="s">
        <v>81</v>
      </c>
      <c r="J6123" s="64" t="n">
        <v>742269.73587639</v>
      </c>
      <c r="K6123" s="62" t="s">
        <v>138</v>
      </c>
      <c r="L6123" s="68" t="b">
        <f aca="false">FALSE()</f>
        <v>0</v>
      </c>
    </row>
    <row r="6124" customFormat="false" ht="15" hidden="false" customHeight="false" outlineLevel="0" collapsed="false">
      <c r="A6124" s="62" t="n">
        <v>1</v>
      </c>
      <c r="B6124" s="21" t="s">
        <v>336</v>
      </c>
      <c r="C6124" s="62" t="s">
        <v>60</v>
      </c>
      <c r="D6124" s="62" t="s">
        <v>383</v>
      </c>
      <c r="E6124" s="62" t="s">
        <v>67</v>
      </c>
      <c r="F6124" s="62" t="s">
        <v>382</v>
      </c>
      <c r="G6124" s="63" t="s">
        <v>859</v>
      </c>
      <c r="H6124" s="64" t="n">
        <v>1755049053.12339</v>
      </c>
      <c r="I6124" s="62" t="s">
        <v>81</v>
      </c>
      <c r="J6124" s="64" t="n">
        <v>1755049.05312339</v>
      </c>
      <c r="K6124" s="62" t="s">
        <v>138</v>
      </c>
      <c r="L6124" s="68" t="b">
        <f aca="false">FALSE()</f>
        <v>0</v>
      </c>
    </row>
    <row r="6125" customFormat="false" ht="15" hidden="false" customHeight="false" outlineLevel="0" collapsed="false">
      <c r="A6125" s="62" t="n">
        <v>1</v>
      </c>
      <c r="B6125" s="21" t="s">
        <v>336</v>
      </c>
      <c r="C6125" s="62" t="s">
        <v>60</v>
      </c>
      <c r="D6125" s="62" t="s">
        <v>387</v>
      </c>
      <c r="E6125" s="62" t="s">
        <v>67</v>
      </c>
      <c r="F6125" s="62" t="s">
        <v>382</v>
      </c>
      <c r="G6125" s="63" t="s">
        <v>859</v>
      </c>
      <c r="H6125" s="64" t="n">
        <v>1044928118.70995</v>
      </c>
      <c r="I6125" s="62" t="s">
        <v>81</v>
      </c>
      <c r="J6125" s="64" t="n">
        <v>1044928.11870995</v>
      </c>
      <c r="K6125" s="62" t="s">
        <v>138</v>
      </c>
      <c r="L6125" s="68" t="b">
        <f aca="false">FALSE()</f>
        <v>0</v>
      </c>
    </row>
    <row r="6126" customFormat="false" ht="15" hidden="false" customHeight="false" outlineLevel="0" collapsed="false">
      <c r="A6126" s="62" t="n">
        <v>1</v>
      </c>
      <c r="B6126" s="21" t="s">
        <v>336</v>
      </c>
      <c r="C6126" s="62" t="s">
        <v>60</v>
      </c>
      <c r="D6126" s="62" t="s">
        <v>388</v>
      </c>
      <c r="E6126" s="62" t="s">
        <v>67</v>
      </c>
      <c r="F6126" s="62" t="s">
        <v>382</v>
      </c>
      <c r="G6126" s="63" t="s">
        <v>859</v>
      </c>
      <c r="H6126" s="64" t="n">
        <v>358965950.835479</v>
      </c>
      <c r="I6126" s="62" t="s">
        <v>81</v>
      </c>
      <c r="J6126" s="64" t="n">
        <v>358965.950835479</v>
      </c>
      <c r="K6126" s="62" t="s">
        <v>138</v>
      </c>
      <c r="L6126" s="68" t="b">
        <f aca="false">FALSE()</f>
        <v>0</v>
      </c>
    </row>
    <row r="6127" customFormat="false" ht="15" hidden="false" customHeight="false" outlineLevel="0" collapsed="false">
      <c r="A6127" s="62" t="n">
        <v>1</v>
      </c>
      <c r="B6127" s="21" t="s">
        <v>336</v>
      </c>
      <c r="C6127" s="62" t="s">
        <v>60</v>
      </c>
      <c r="D6127" s="62" t="s">
        <v>381</v>
      </c>
      <c r="E6127" s="62" t="s">
        <v>71</v>
      </c>
      <c r="F6127" s="62" t="s">
        <v>382</v>
      </c>
      <c r="G6127" s="63" t="s">
        <v>625</v>
      </c>
      <c r="H6127" s="64" t="n">
        <v>9609359810.30511</v>
      </c>
      <c r="I6127" s="62" t="s">
        <v>81</v>
      </c>
      <c r="J6127" s="64" t="n">
        <v>9609359.81030511</v>
      </c>
      <c r="K6127" s="62" t="s">
        <v>138</v>
      </c>
      <c r="L6127" s="68" t="b">
        <f aca="false">FALSE()</f>
        <v>0</v>
      </c>
    </row>
    <row r="6128" customFormat="false" ht="15" hidden="false" customHeight="false" outlineLevel="0" collapsed="false">
      <c r="A6128" s="62" t="n">
        <v>1</v>
      </c>
      <c r="B6128" s="21" t="s">
        <v>336</v>
      </c>
      <c r="C6128" s="62" t="s">
        <v>60</v>
      </c>
      <c r="D6128" s="62" t="s">
        <v>383</v>
      </c>
      <c r="E6128" s="62" t="s">
        <v>71</v>
      </c>
      <c r="F6128" s="62" t="s">
        <v>382</v>
      </c>
      <c r="G6128" s="63" t="s">
        <v>625</v>
      </c>
      <c r="H6128" s="64" t="n">
        <v>4735167145.27534</v>
      </c>
      <c r="I6128" s="62" t="s">
        <v>81</v>
      </c>
      <c r="J6128" s="64" t="n">
        <v>4735167.14527534</v>
      </c>
      <c r="K6128" s="62" t="s">
        <v>138</v>
      </c>
      <c r="L6128" s="68" t="b">
        <f aca="false">FALSE()</f>
        <v>0</v>
      </c>
    </row>
    <row r="6129" customFormat="false" ht="15" hidden="false" customHeight="false" outlineLevel="0" collapsed="false">
      <c r="A6129" s="62" t="n">
        <v>1</v>
      </c>
      <c r="B6129" s="21" t="s">
        <v>336</v>
      </c>
      <c r="C6129" s="62" t="s">
        <v>60</v>
      </c>
      <c r="D6129" s="62" t="s">
        <v>384</v>
      </c>
      <c r="E6129" s="62" t="s">
        <v>71</v>
      </c>
      <c r="F6129" s="62" t="s">
        <v>382</v>
      </c>
      <c r="G6129" s="63" t="s">
        <v>625</v>
      </c>
      <c r="H6129" s="64" t="n">
        <v>11216873922.6851</v>
      </c>
      <c r="I6129" s="62" t="s">
        <v>81</v>
      </c>
      <c r="J6129" s="64" t="n">
        <v>11216873.9226851</v>
      </c>
      <c r="K6129" s="62" t="s">
        <v>138</v>
      </c>
      <c r="L6129" s="68" t="b">
        <f aca="false">TRUE()</f>
        <v>1</v>
      </c>
    </row>
    <row r="6130" customFormat="false" ht="15" hidden="false" customHeight="false" outlineLevel="0" collapsed="false">
      <c r="A6130" s="62" t="n">
        <v>1</v>
      </c>
      <c r="B6130" s="21" t="s">
        <v>336</v>
      </c>
      <c r="C6130" s="62" t="s">
        <v>60</v>
      </c>
      <c r="D6130" s="62" t="s">
        <v>385</v>
      </c>
      <c r="E6130" s="62" t="s">
        <v>71</v>
      </c>
      <c r="F6130" s="62" t="s">
        <v>382</v>
      </c>
      <c r="G6130" s="63" t="s">
        <v>625</v>
      </c>
      <c r="H6130" s="64" t="n">
        <v>7735812361.92625</v>
      </c>
      <c r="I6130" s="62" t="s">
        <v>81</v>
      </c>
      <c r="J6130" s="64" t="n">
        <v>7735812.36192625</v>
      </c>
      <c r="K6130" s="62" t="s">
        <v>138</v>
      </c>
      <c r="L6130" s="68" t="b">
        <f aca="false">TRUE()</f>
        <v>1</v>
      </c>
    </row>
    <row r="6131" customFormat="false" ht="15" hidden="false" customHeight="false" outlineLevel="0" collapsed="false">
      <c r="A6131" s="62" t="n">
        <v>1</v>
      </c>
      <c r="B6131" s="21" t="s">
        <v>336</v>
      </c>
      <c r="C6131" s="62" t="s">
        <v>60</v>
      </c>
      <c r="D6131" s="62" t="s">
        <v>386</v>
      </c>
      <c r="E6131" s="62" t="s">
        <v>71</v>
      </c>
      <c r="F6131" s="62" t="s">
        <v>382</v>
      </c>
      <c r="G6131" s="63" t="s">
        <v>625</v>
      </c>
      <c r="H6131" s="64" t="n">
        <v>11612366840.1114</v>
      </c>
      <c r="I6131" s="62" t="s">
        <v>81</v>
      </c>
      <c r="J6131" s="64" t="n">
        <v>11612366.8401114</v>
      </c>
      <c r="K6131" s="62" t="s">
        <v>138</v>
      </c>
      <c r="L6131" s="68" t="b">
        <f aca="false">TRUE()</f>
        <v>1</v>
      </c>
    </row>
    <row r="6132" customFormat="false" ht="15" hidden="false" customHeight="false" outlineLevel="0" collapsed="false">
      <c r="A6132" s="62" t="n">
        <v>1</v>
      </c>
      <c r="B6132" s="21" t="s">
        <v>336</v>
      </c>
      <c r="C6132" s="62" t="s">
        <v>60</v>
      </c>
      <c r="D6132" s="62" t="s">
        <v>387</v>
      </c>
      <c r="E6132" s="62" t="s">
        <v>71</v>
      </c>
      <c r="F6132" s="62" t="s">
        <v>382</v>
      </c>
      <c r="G6132" s="63" t="s">
        <v>625</v>
      </c>
      <c r="H6132" s="64" t="n">
        <v>7249083374.00639</v>
      </c>
      <c r="I6132" s="62" t="s">
        <v>81</v>
      </c>
      <c r="J6132" s="64" t="n">
        <v>7249083.37400639</v>
      </c>
      <c r="K6132" s="62" t="s">
        <v>138</v>
      </c>
      <c r="L6132" s="68" t="b">
        <f aca="false">FALSE()</f>
        <v>0</v>
      </c>
    </row>
    <row r="6133" customFormat="false" ht="15" hidden="false" customHeight="false" outlineLevel="0" collapsed="false">
      <c r="A6133" s="62" t="n">
        <v>1</v>
      </c>
      <c r="B6133" s="21" t="s">
        <v>336</v>
      </c>
      <c r="C6133" s="62" t="s">
        <v>60</v>
      </c>
      <c r="D6133" s="62" t="s">
        <v>388</v>
      </c>
      <c r="E6133" s="62" t="s">
        <v>71</v>
      </c>
      <c r="F6133" s="62" t="s">
        <v>382</v>
      </c>
      <c r="G6133" s="63" t="s">
        <v>625</v>
      </c>
      <c r="H6133" s="64" t="n">
        <v>4440300984</v>
      </c>
      <c r="I6133" s="62" t="s">
        <v>81</v>
      </c>
      <c r="J6133" s="64" t="n">
        <v>4440300.984</v>
      </c>
      <c r="K6133" s="62" t="s">
        <v>138</v>
      </c>
      <c r="L6133" s="68" t="b">
        <f aca="false">FALSE()</f>
        <v>0</v>
      </c>
    </row>
    <row r="6134" customFormat="false" ht="15" hidden="false" customHeight="false" outlineLevel="0" collapsed="false">
      <c r="A6134" s="62" t="n">
        <v>1</v>
      </c>
      <c r="B6134" s="21" t="s">
        <v>336</v>
      </c>
      <c r="C6134" s="62" t="s">
        <v>60</v>
      </c>
      <c r="D6134" s="62" t="s">
        <v>381</v>
      </c>
      <c r="E6134" s="62" t="s">
        <v>71</v>
      </c>
      <c r="F6134" s="62" t="s">
        <v>382</v>
      </c>
      <c r="G6134" s="63" t="s">
        <v>626</v>
      </c>
      <c r="H6134" s="64" t="n">
        <v>5430007384.39612</v>
      </c>
      <c r="I6134" s="62" t="s">
        <v>81</v>
      </c>
      <c r="J6134" s="64" t="n">
        <v>5430007.38439612</v>
      </c>
      <c r="K6134" s="62" t="s">
        <v>138</v>
      </c>
      <c r="L6134" s="68" t="b">
        <f aca="false">FALSE()</f>
        <v>0</v>
      </c>
    </row>
    <row r="6135" customFormat="false" ht="15" hidden="false" customHeight="false" outlineLevel="0" collapsed="false">
      <c r="A6135" s="62" t="n">
        <v>1</v>
      </c>
      <c r="B6135" s="21" t="s">
        <v>336</v>
      </c>
      <c r="C6135" s="62" t="s">
        <v>60</v>
      </c>
      <c r="D6135" s="62" t="s">
        <v>383</v>
      </c>
      <c r="E6135" s="62" t="s">
        <v>71</v>
      </c>
      <c r="F6135" s="62" t="s">
        <v>382</v>
      </c>
      <c r="G6135" s="63" t="s">
        <v>626</v>
      </c>
      <c r="H6135" s="64" t="n">
        <v>1734910719.93479</v>
      </c>
      <c r="I6135" s="62" t="s">
        <v>81</v>
      </c>
      <c r="J6135" s="64" t="n">
        <v>1734910.71993479</v>
      </c>
      <c r="K6135" s="62" t="s">
        <v>138</v>
      </c>
      <c r="L6135" s="68" t="b">
        <f aca="false">FALSE()</f>
        <v>0</v>
      </c>
    </row>
    <row r="6136" customFormat="false" ht="15" hidden="false" customHeight="false" outlineLevel="0" collapsed="false">
      <c r="A6136" s="62" t="n">
        <v>1</v>
      </c>
      <c r="B6136" s="21" t="s">
        <v>336</v>
      </c>
      <c r="C6136" s="62" t="s">
        <v>60</v>
      </c>
      <c r="D6136" s="62" t="s">
        <v>384</v>
      </c>
      <c r="E6136" s="62" t="s">
        <v>71</v>
      </c>
      <c r="F6136" s="62" t="s">
        <v>382</v>
      </c>
      <c r="G6136" s="63" t="s">
        <v>626</v>
      </c>
      <c r="H6136" s="64" t="n">
        <v>5730496934.8048</v>
      </c>
      <c r="I6136" s="62" t="s">
        <v>81</v>
      </c>
      <c r="J6136" s="64" t="n">
        <v>5730496.9348048</v>
      </c>
      <c r="K6136" s="62" t="s">
        <v>138</v>
      </c>
      <c r="L6136" s="68" t="b">
        <f aca="false">TRUE()</f>
        <v>1</v>
      </c>
    </row>
    <row r="6137" customFormat="false" ht="15" hidden="false" customHeight="false" outlineLevel="0" collapsed="false">
      <c r="A6137" s="62" t="n">
        <v>1</v>
      </c>
      <c r="B6137" s="21" t="s">
        <v>336</v>
      </c>
      <c r="C6137" s="62" t="s">
        <v>60</v>
      </c>
      <c r="D6137" s="62" t="s">
        <v>385</v>
      </c>
      <c r="E6137" s="62" t="s">
        <v>71</v>
      </c>
      <c r="F6137" s="62" t="s">
        <v>382</v>
      </c>
      <c r="G6137" s="63" t="s">
        <v>626</v>
      </c>
      <c r="H6137" s="64" t="n">
        <v>3691183351.52104</v>
      </c>
      <c r="I6137" s="62" t="s">
        <v>81</v>
      </c>
      <c r="J6137" s="64" t="n">
        <v>3691183.35152104</v>
      </c>
      <c r="K6137" s="62" t="s">
        <v>138</v>
      </c>
      <c r="L6137" s="68" t="b">
        <f aca="false">TRUE()</f>
        <v>1</v>
      </c>
    </row>
    <row r="6138" customFormat="false" ht="15" hidden="false" customHeight="false" outlineLevel="0" collapsed="false">
      <c r="A6138" s="62" t="n">
        <v>1</v>
      </c>
      <c r="B6138" s="21" t="s">
        <v>336</v>
      </c>
      <c r="C6138" s="62" t="s">
        <v>60</v>
      </c>
      <c r="D6138" s="62" t="s">
        <v>386</v>
      </c>
      <c r="E6138" s="62" t="s">
        <v>71</v>
      </c>
      <c r="F6138" s="62" t="s">
        <v>382</v>
      </c>
      <c r="G6138" s="63" t="s">
        <v>626</v>
      </c>
      <c r="H6138" s="64" t="n">
        <v>6348929740.76871</v>
      </c>
      <c r="I6138" s="62" t="s">
        <v>81</v>
      </c>
      <c r="J6138" s="64" t="n">
        <v>6348929.74076871</v>
      </c>
      <c r="K6138" s="62" t="s">
        <v>138</v>
      </c>
      <c r="L6138" s="68" t="b">
        <f aca="false">TRUE()</f>
        <v>1</v>
      </c>
    </row>
    <row r="6139" customFormat="false" ht="15" hidden="false" customHeight="false" outlineLevel="0" collapsed="false">
      <c r="A6139" s="62" t="n">
        <v>1</v>
      </c>
      <c r="B6139" s="21" t="s">
        <v>336</v>
      </c>
      <c r="C6139" s="62" t="s">
        <v>60</v>
      </c>
      <c r="D6139" s="62" t="s">
        <v>387</v>
      </c>
      <c r="E6139" s="62" t="s">
        <v>71</v>
      </c>
      <c r="F6139" s="62" t="s">
        <v>382</v>
      </c>
      <c r="G6139" s="63" t="s">
        <v>626</v>
      </c>
      <c r="H6139" s="64" t="n">
        <v>3365689535.79519</v>
      </c>
      <c r="I6139" s="62" t="s">
        <v>81</v>
      </c>
      <c r="J6139" s="64" t="n">
        <v>3365689.53579519</v>
      </c>
      <c r="K6139" s="62" t="s">
        <v>138</v>
      </c>
      <c r="L6139" s="68" t="b">
        <f aca="false">FALSE()</f>
        <v>0</v>
      </c>
    </row>
    <row r="6140" customFormat="false" ht="15" hidden="false" customHeight="false" outlineLevel="0" collapsed="false">
      <c r="A6140" s="62" t="n">
        <v>1</v>
      </c>
      <c r="B6140" s="21" t="s">
        <v>336</v>
      </c>
      <c r="C6140" s="62" t="s">
        <v>60</v>
      </c>
      <c r="D6140" s="62" t="s">
        <v>388</v>
      </c>
      <c r="E6140" s="62" t="s">
        <v>71</v>
      </c>
      <c r="F6140" s="62" t="s">
        <v>382</v>
      </c>
      <c r="G6140" s="63" t="s">
        <v>626</v>
      </c>
      <c r="H6140" s="64" t="n">
        <v>2132448157.514</v>
      </c>
      <c r="I6140" s="62" t="s">
        <v>81</v>
      </c>
      <c r="J6140" s="64" t="n">
        <v>2132448.157514</v>
      </c>
      <c r="K6140" s="62" t="s">
        <v>138</v>
      </c>
      <c r="L6140" s="68" t="b">
        <f aca="false">FALSE()</f>
        <v>0</v>
      </c>
    </row>
    <row r="6141" customFormat="false" ht="15" hidden="false" customHeight="false" outlineLevel="0" collapsed="false">
      <c r="A6141" s="62" t="n">
        <v>1</v>
      </c>
      <c r="B6141" s="21" t="s">
        <v>336</v>
      </c>
      <c r="C6141" s="62" t="s">
        <v>60</v>
      </c>
      <c r="D6141" s="62" t="s">
        <v>381</v>
      </c>
      <c r="E6141" s="62" t="s">
        <v>71</v>
      </c>
      <c r="F6141" s="62" t="s">
        <v>382</v>
      </c>
      <c r="G6141" s="63" t="s">
        <v>627</v>
      </c>
      <c r="H6141" s="64" t="n">
        <v>0</v>
      </c>
      <c r="I6141" s="62" t="s">
        <v>81</v>
      </c>
      <c r="J6141" s="64" t="n">
        <v>0</v>
      </c>
      <c r="K6141" s="62" t="s">
        <v>138</v>
      </c>
      <c r="L6141" s="68" t="b">
        <f aca="false">TRUE()</f>
        <v>1</v>
      </c>
    </row>
    <row r="6142" customFormat="false" ht="15" hidden="false" customHeight="false" outlineLevel="0" collapsed="false">
      <c r="A6142" s="62" t="n">
        <v>1</v>
      </c>
      <c r="B6142" s="21" t="s">
        <v>336</v>
      </c>
      <c r="C6142" s="62" t="s">
        <v>60</v>
      </c>
      <c r="D6142" s="62" t="s">
        <v>383</v>
      </c>
      <c r="E6142" s="62" t="s">
        <v>71</v>
      </c>
      <c r="F6142" s="62" t="s">
        <v>382</v>
      </c>
      <c r="G6142" s="63" t="s">
        <v>627</v>
      </c>
      <c r="H6142" s="64" t="n">
        <v>0</v>
      </c>
      <c r="I6142" s="62" t="s">
        <v>81</v>
      </c>
      <c r="J6142" s="64" t="n">
        <v>0</v>
      </c>
      <c r="K6142" s="62" t="s">
        <v>138</v>
      </c>
      <c r="L6142" s="68" t="b">
        <f aca="false">TRUE()</f>
        <v>1</v>
      </c>
    </row>
    <row r="6143" customFormat="false" ht="15" hidden="false" customHeight="false" outlineLevel="0" collapsed="false">
      <c r="A6143" s="62" t="n">
        <v>1</v>
      </c>
      <c r="B6143" s="21" t="s">
        <v>336</v>
      </c>
      <c r="C6143" s="62" t="s">
        <v>60</v>
      </c>
      <c r="D6143" s="62" t="s">
        <v>384</v>
      </c>
      <c r="E6143" s="62" t="s">
        <v>71</v>
      </c>
      <c r="F6143" s="62" t="s">
        <v>382</v>
      </c>
      <c r="G6143" s="63" t="s">
        <v>627</v>
      </c>
      <c r="H6143" s="64" t="n">
        <v>0</v>
      </c>
      <c r="I6143" s="62" t="s">
        <v>81</v>
      </c>
      <c r="J6143" s="64" t="n">
        <v>0</v>
      </c>
      <c r="K6143" s="62" t="s">
        <v>138</v>
      </c>
      <c r="L6143" s="68" t="b">
        <f aca="false">TRUE()</f>
        <v>1</v>
      </c>
    </row>
    <row r="6144" customFormat="false" ht="15" hidden="false" customHeight="false" outlineLevel="0" collapsed="false">
      <c r="A6144" s="62" t="n">
        <v>1</v>
      </c>
      <c r="B6144" s="21" t="s">
        <v>336</v>
      </c>
      <c r="C6144" s="62" t="s">
        <v>60</v>
      </c>
      <c r="D6144" s="62" t="s">
        <v>385</v>
      </c>
      <c r="E6144" s="62" t="s">
        <v>71</v>
      </c>
      <c r="F6144" s="62" t="s">
        <v>382</v>
      </c>
      <c r="G6144" s="63" t="s">
        <v>627</v>
      </c>
      <c r="H6144" s="64" t="n">
        <v>0</v>
      </c>
      <c r="I6144" s="62" t="s">
        <v>81</v>
      </c>
      <c r="J6144" s="64" t="n">
        <v>0</v>
      </c>
      <c r="K6144" s="62" t="s">
        <v>138</v>
      </c>
      <c r="L6144" s="68" t="b">
        <f aca="false">TRUE()</f>
        <v>1</v>
      </c>
    </row>
    <row r="6145" customFormat="false" ht="15" hidden="false" customHeight="false" outlineLevel="0" collapsed="false">
      <c r="A6145" s="62" t="n">
        <v>1</v>
      </c>
      <c r="B6145" s="21" t="s">
        <v>336</v>
      </c>
      <c r="C6145" s="62" t="s">
        <v>60</v>
      </c>
      <c r="D6145" s="62" t="s">
        <v>386</v>
      </c>
      <c r="E6145" s="62" t="s">
        <v>71</v>
      </c>
      <c r="F6145" s="62" t="s">
        <v>382</v>
      </c>
      <c r="G6145" s="63" t="s">
        <v>627</v>
      </c>
      <c r="H6145" s="64" t="n">
        <v>0</v>
      </c>
      <c r="I6145" s="62" t="s">
        <v>81</v>
      </c>
      <c r="J6145" s="64" t="n">
        <v>0</v>
      </c>
      <c r="K6145" s="62" t="s">
        <v>138</v>
      </c>
      <c r="L6145" s="68" t="b">
        <f aca="false">TRUE()</f>
        <v>1</v>
      </c>
    </row>
    <row r="6146" customFormat="false" ht="15" hidden="false" customHeight="false" outlineLevel="0" collapsed="false">
      <c r="A6146" s="62" t="n">
        <v>1</v>
      </c>
      <c r="B6146" s="21" t="s">
        <v>336</v>
      </c>
      <c r="C6146" s="62" t="s">
        <v>60</v>
      </c>
      <c r="D6146" s="62" t="s">
        <v>387</v>
      </c>
      <c r="E6146" s="62" t="s">
        <v>71</v>
      </c>
      <c r="F6146" s="62" t="s">
        <v>382</v>
      </c>
      <c r="G6146" s="63" t="s">
        <v>627</v>
      </c>
      <c r="H6146" s="64" t="n">
        <v>0</v>
      </c>
      <c r="I6146" s="62" t="s">
        <v>81</v>
      </c>
      <c r="J6146" s="64" t="n">
        <v>0</v>
      </c>
      <c r="K6146" s="62" t="s">
        <v>138</v>
      </c>
      <c r="L6146" s="68" t="b">
        <f aca="false">TRUE()</f>
        <v>1</v>
      </c>
    </row>
    <row r="6147" customFormat="false" ht="15" hidden="false" customHeight="false" outlineLevel="0" collapsed="false">
      <c r="A6147" s="62" t="n">
        <v>1</v>
      </c>
      <c r="B6147" s="21" t="s">
        <v>336</v>
      </c>
      <c r="C6147" s="62" t="s">
        <v>60</v>
      </c>
      <c r="D6147" s="62" t="s">
        <v>388</v>
      </c>
      <c r="E6147" s="62" t="s">
        <v>71</v>
      </c>
      <c r="F6147" s="62" t="s">
        <v>382</v>
      </c>
      <c r="G6147" s="63" t="s">
        <v>627</v>
      </c>
      <c r="H6147" s="64" t="n">
        <v>0</v>
      </c>
      <c r="I6147" s="62" t="s">
        <v>81</v>
      </c>
      <c r="J6147" s="64" t="n">
        <v>0</v>
      </c>
      <c r="K6147" s="62" t="s">
        <v>138</v>
      </c>
      <c r="L6147" s="68" t="b">
        <f aca="false">TRUE()</f>
        <v>1</v>
      </c>
    </row>
    <row r="6148" customFormat="false" ht="15" hidden="false" customHeight="false" outlineLevel="0" collapsed="false">
      <c r="A6148" s="62" t="n">
        <v>1</v>
      </c>
      <c r="B6148" s="21" t="s">
        <v>336</v>
      </c>
      <c r="C6148" s="62" t="s">
        <v>60</v>
      </c>
      <c r="D6148" s="62" t="s">
        <v>381</v>
      </c>
      <c r="E6148" s="62" t="s">
        <v>71</v>
      </c>
      <c r="F6148" s="62" t="s">
        <v>382</v>
      </c>
      <c r="G6148" s="63" t="s">
        <v>628</v>
      </c>
      <c r="H6148" s="64" t="n">
        <v>0</v>
      </c>
      <c r="I6148" s="62" t="s">
        <v>81</v>
      </c>
      <c r="J6148" s="64" t="n">
        <v>0</v>
      </c>
      <c r="K6148" s="62" t="s">
        <v>138</v>
      </c>
      <c r="L6148" s="68" t="b">
        <f aca="false">TRUE()</f>
        <v>1</v>
      </c>
    </row>
    <row r="6149" customFormat="false" ht="15" hidden="false" customHeight="false" outlineLevel="0" collapsed="false">
      <c r="A6149" s="62" t="n">
        <v>1</v>
      </c>
      <c r="B6149" s="21" t="s">
        <v>336</v>
      </c>
      <c r="C6149" s="62" t="s">
        <v>60</v>
      </c>
      <c r="D6149" s="62" t="s">
        <v>383</v>
      </c>
      <c r="E6149" s="62" t="s">
        <v>71</v>
      </c>
      <c r="F6149" s="62" t="s">
        <v>382</v>
      </c>
      <c r="G6149" s="63" t="s">
        <v>628</v>
      </c>
      <c r="H6149" s="64" t="n">
        <v>0</v>
      </c>
      <c r="I6149" s="62" t="s">
        <v>81</v>
      </c>
      <c r="J6149" s="64" t="n">
        <v>0</v>
      </c>
      <c r="K6149" s="62" t="s">
        <v>138</v>
      </c>
      <c r="L6149" s="68" t="b">
        <f aca="false">TRUE()</f>
        <v>1</v>
      </c>
    </row>
    <row r="6150" customFormat="false" ht="15" hidden="false" customHeight="false" outlineLevel="0" collapsed="false">
      <c r="A6150" s="62" t="n">
        <v>1</v>
      </c>
      <c r="B6150" s="21" t="s">
        <v>336</v>
      </c>
      <c r="C6150" s="62" t="s">
        <v>60</v>
      </c>
      <c r="D6150" s="62" t="s">
        <v>384</v>
      </c>
      <c r="E6150" s="62" t="s">
        <v>71</v>
      </c>
      <c r="F6150" s="62" t="s">
        <v>382</v>
      </c>
      <c r="G6150" s="63" t="s">
        <v>628</v>
      </c>
      <c r="H6150" s="64" t="n">
        <v>0</v>
      </c>
      <c r="I6150" s="62" t="s">
        <v>81</v>
      </c>
      <c r="J6150" s="64" t="n">
        <v>0</v>
      </c>
      <c r="K6150" s="62" t="s">
        <v>138</v>
      </c>
      <c r="L6150" s="68" t="b">
        <f aca="false">TRUE()</f>
        <v>1</v>
      </c>
    </row>
    <row r="6151" customFormat="false" ht="15" hidden="false" customHeight="false" outlineLevel="0" collapsed="false">
      <c r="A6151" s="62" t="n">
        <v>1</v>
      </c>
      <c r="B6151" s="21" t="s">
        <v>336</v>
      </c>
      <c r="C6151" s="62" t="s">
        <v>60</v>
      </c>
      <c r="D6151" s="62" t="s">
        <v>385</v>
      </c>
      <c r="E6151" s="62" t="s">
        <v>71</v>
      </c>
      <c r="F6151" s="62" t="s">
        <v>382</v>
      </c>
      <c r="G6151" s="63" t="s">
        <v>628</v>
      </c>
      <c r="H6151" s="64" t="n">
        <v>0</v>
      </c>
      <c r="I6151" s="62" t="s">
        <v>81</v>
      </c>
      <c r="J6151" s="64" t="n">
        <v>0</v>
      </c>
      <c r="K6151" s="62" t="s">
        <v>138</v>
      </c>
      <c r="L6151" s="68" t="b">
        <f aca="false">TRUE()</f>
        <v>1</v>
      </c>
    </row>
    <row r="6152" customFormat="false" ht="15" hidden="false" customHeight="false" outlineLevel="0" collapsed="false">
      <c r="A6152" s="62" t="n">
        <v>1</v>
      </c>
      <c r="B6152" s="21" t="s">
        <v>336</v>
      </c>
      <c r="C6152" s="62" t="s">
        <v>60</v>
      </c>
      <c r="D6152" s="62" t="s">
        <v>386</v>
      </c>
      <c r="E6152" s="62" t="s">
        <v>71</v>
      </c>
      <c r="F6152" s="62" t="s">
        <v>382</v>
      </c>
      <c r="G6152" s="63" t="s">
        <v>628</v>
      </c>
      <c r="H6152" s="64" t="n">
        <v>0</v>
      </c>
      <c r="I6152" s="62" t="s">
        <v>81</v>
      </c>
      <c r="J6152" s="64" t="n">
        <v>0</v>
      </c>
      <c r="K6152" s="62" t="s">
        <v>138</v>
      </c>
      <c r="L6152" s="68" t="b">
        <f aca="false">TRUE()</f>
        <v>1</v>
      </c>
    </row>
    <row r="6153" customFormat="false" ht="15" hidden="false" customHeight="false" outlineLevel="0" collapsed="false">
      <c r="A6153" s="62" t="n">
        <v>1</v>
      </c>
      <c r="B6153" s="21" t="s">
        <v>336</v>
      </c>
      <c r="C6153" s="62" t="s">
        <v>60</v>
      </c>
      <c r="D6153" s="62" t="s">
        <v>387</v>
      </c>
      <c r="E6153" s="62" t="s">
        <v>71</v>
      </c>
      <c r="F6153" s="62" t="s">
        <v>382</v>
      </c>
      <c r="G6153" s="63" t="s">
        <v>628</v>
      </c>
      <c r="H6153" s="64" t="n">
        <v>0</v>
      </c>
      <c r="I6153" s="62" t="s">
        <v>81</v>
      </c>
      <c r="J6153" s="64" t="n">
        <v>0</v>
      </c>
      <c r="K6153" s="62" t="s">
        <v>138</v>
      </c>
      <c r="L6153" s="68" t="b">
        <f aca="false">TRUE()</f>
        <v>1</v>
      </c>
    </row>
    <row r="6154" customFormat="false" ht="15" hidden="false" customHeight="false" outlineLevel="0" collapsed="false">
      <c r="A6154" s="62" t="n">
        <v>1</v>
      </c>
      <c r="B6154" s="21" t="s">
        <v>336</v>
      </c>
      <c r="C6154" s="62" t="s">
        <v>60</v>
      </c>
      <c r="D6154" s="62" t="s">
        <v>388</v>
      </c>
      <c r="E6154" s="62" t="s">
        <v>71</v>
      </c>
      <c r="F6154" s="62" t="s">
        <v>382</v>
      </c>
      <c r="G6154" s="63" t="s">
        <v>628</v>
      </c>
      <c r="H6154" s="64" t="n">
        <v>0</v>
      </c>
      <c r="I6154" s="62" t="s">
        <v>81</v>
      </c>
      <c r="J6154" s="64" t="n">
        <v>0</v>
      </c>
      <c r="K6154" s="62" t="s">
        <v>138</v>
      </c>
      <c r="L6154" s="68" t="b">
        <f aca="false">TRUE()</f>
        <v>1</v>
      </c>
    </row>
    <row r="6155" customFormat="false" ht="15" hidden="false" customHeight="false" outlineLevel="0" collapsed="false">
      <c r="A6155" s="62" t="n">
        <v>1</v>
      </c>
      <c r="B6155" s="21" t="s">
        <v>336</v>
      </c>
      <c r="C6155" s="62" t="s">
        <v>60</v>
      </c>
      <c r="D6155" s="62" t="s">
        <v>381</v>
      </c>
      <c r="E6155" s="62" t="s">
        <v>71</v>
      </c>
      <c r="F6155" s="62" t="s">
        <v>382</v>
      </c>
      <c r="G6155" s="63" t="s">
        <v>629</v>
      </c>
      <c r="H6155" s="64" t="n">
        <v>2008925395.8826</v>
      </c>
      <c r="I6155" s="62" t="s">
        <v>81</v>
      </c>
      <c r="J6155" s="64" t="n">
        <v>2008925.3958826</v>
      </c>
      <c r="K6155" s="62" t="s">
        <v>138</v>
      </c>
      <c r="L6155" s="68" t="b">
        <f aca="false">FALSE()</f>
        <v>0</v>
      </c>
    </row>
    <row r="6156" customFormat="false" ht="15" hidden="false" customHeight="false" outlineLevel="0" collapsed="false">
      <c r="A6156" s="62" t="n">
        <v>1</v>
      </c>
      <c r="B6156" s="21" t="s">
        <v>336</v>
      </c>
      <c r="C6156" s="62" t="s">
        <v>60</v>
      </c>
      <c r="D6156" s="62" t="s">
        <v>383</v>
      </c>
      <c r="E6156" s="62" t="s">
        <v>71</v>
      </c>
      <c r="F6156" s="62" t="s">
        <v>382</v>
      </c>
      <c r="G6156" s="63" t="s">
        <v>629</v>
      </c>
      <c r="H6156" s="64" t="n">
        <v>640387313.637843</v>
      </c>
      <c r="I6156" s="62" t="s">
        <v>81</v>
      </c>
      <c r="J6156" s="64" t="n">
        <v>640387.313637843</v>
      </c>
      <c r="K6156" s="62" t="s">
        <v>138</v>
      </c>
      <c r="L6156" s="68" t="b">
        <f aca="false">FALSE()</f>
        <v>0</v>
      </c>
    </row>
    <row r="6157" customFormat="false" ht="15" hidden="false" customHeight="false" outlineLevel="0" collapsed="false">
      <c r="A6157" s="62" t="n">
        <v>1</v>
      </c>
      <c r="B6157" s="21" t="s">
        <v>336</v>
      </c>
      <c r="C6157" s="62" t="s">
        <v>60</v>
      </c>
      <c r="D6157" s="62" t="s">
        <v>384</v>
      </c>
      <c r="E6157" s="62" t="s">
        <v>71</v>
      </c>
      <c r="F6157" s="62" t="s">
        <v>382</v>
      </c>
      <c r="G6157" s="63" t="s">
        <v>629</v>
      </c>
      <c r="H6157" s="64" t="n">
        <v>2381631549.35061</v>
      </c>
      <c r="I6157" s="62" t="s">
        <v>81</v>
      </c>
      <c r="J6157" s="64" t="n">
        <v>2381631.54935061</v>
      </c>
      <c r="K6157" s="62" t="s">
        <v>138</v>
      </c>
      <c r="L6157" s="68" t="b">
        <f aca="false">TRUE()</f>
        <v>1</v>
      </c>
    </row>
    <row r="6158" customFormat="false" ht="15" hidden="false" customHeight="false" outlineLevel="0" collapsed="false">
      <c r="A6158" s="62" t="n">
        <v>1</v>
      </c>
      <c r="B6158" s="21" t="s">
        <v>336</v>
      </c>
      <c r="C6158" s="62" t="s">
        <v>60</v>
      </c>
      <c r="D6158" s="62" t="s">
        <v>385</v>
      </c>
      <c r="E6158" s="62" t="s">
        <v>71</v>
      </c>
      <c r="F6158" s="62" t="s">
        <v>382</v>
      </c>
      <c r="G6158" s="63" t="s">
        <v>629</v>
      </c>
      <c r="H6158" s="64" t="n">
        <v>1401610602.16085</v>
      </c>
      <c r="I6158" s="62" t="s">
        <v>81</v>
      </c>
      <c r="J6158" s="64" t="n">
        <v>1401610.60216085</v>
      </c>
      <c r="K6158" s="62" t="s">
        <v>138</v>
      </c>
      <c r="L6158" s="68" t="b">
        <f aca="false">TRUE()</f>
        <v>1</v>
      </c>
    </row>
    <row r="6159" customFormat="false" ht="15" hidden="false" customHeight="false" outlineLevel="0" collapsed="false">
      <c r="A6159" s="62" t="n">
        <v>1</v>
      </c>
      <c r="B6159" s="21" t="s">
        <v>336</v>
      </c>
      <c r="C6159" s="62" t="s">
        <v>60</v>
      </c>
      <c r="D6159" s="62" t="s">
        <v>386</v>
      </c>
      <c r="E6159" s="62" t="s">
        <v>71</v>
      </c>
      <c r="F6159" s="62" t="s">
        <v>382</v>
      </c>
      <c r="G6159" s="63" t="s">
        <v>629</v>
      </c>
      <c r="H6159" s="64" t="n">
        <v>1992407994.42308</v>
      </c>
      <c r="I6159" s="62" t="s">
        <v>81</v>
      </c>
      <c r="J6159" s="64" t="n">
        <v>1992407.99442308</v>
      </c>
      <c r="K6159" s="62" t="s">
        <v>138</v>
      </c>
      <c r="L6159" s="68" t="b">
        <f aca="false">TRUE()</f>
        <v>1</v>
      </c>
    </row>
    <row r="6160" customFormat="false" ht="15" hidden="false" customHeight="false" outlineLevel="0" collapsed="false">
      <c r="A6160" s="62" t="n">
        <v>1</v>
      </c>
      <c r="B6160" s="21" t="s">
        <v>336</v>
      </c>
      <c r="C6160" s="62" t="s">
        <v>60</v>
      </c>
      <c r="D6160" s="62" t="s">
        <v>387</v>
      </c>
      <c r="E6160" s="62" t="s">
        <v>71</v>
      </c>
      <c r="F6160" s="62" t="s">
        <v>382</v>
      </c>
      <c r="G6160" s="63" t="s">
        <v>629</v>
      </c>
      <c r="H6160" s="64" t="n">
        <v>1436556156.43419</v>
      </c>
      <c r="I6160" s="62" t="s">
        <v>81</v>
      </c>
      <c r="J6160" s="64" t="n">
        <v>1436556.15643419</v>
      </c>
      <c r="K6160" s="62" t="s">
        <v>138</v>
      </c>
      <c r="L6160" s="68" t="b">
        <f aca="false">FALSE()</f>
        <v>0</v>
      </c>
    </row>
    <row r="6161" customFormat="false" ht="15" hidden="false" customHeight="false" outlineLevel="0" collapsed="false">
      <c r="A6161" s="62" t="n">
        <v>1</v>
      </c>
      <c r="B6161" s="21" t="s">
        <v>336</v>
      </c>
      <c r="C6161" s="62" t="s">
        <v>60</v>
      </c>
      <c r="D6161" s="62" t="s">
        <v>388</v>
      </c>
      <c r="E6161" s="62" t="s">
        <v>71</v>
      </c>
      <c r="F6161" s="62" t="s">
        <v>382</v>
      </c>
      <c r="G6161" s="63" t="s">
        <v>629</v>
      </c>
      <c r="H6161" s="64" t="n">
        <v>982800000</v>
      </c>
      <c r="I6161" s="62" t="s">
        <v>81</v>
      </c>
      <c r="J6161" s="64" t="n">
        <v>982800</v>
      </c>
      <c r="K6161" s="62" t="s">
        <v>138</v>
      </c>
      <c r="L6161" s="68" t="b">
        <f aca="false">FALSE()</f>
        <v>0</v>
      </c>
    </row>
    <row r="6162" customFormat="false" ht="15" hidden="false" customHeight="false" outlineLevel="0" collapsed="false">
      <c r="A6162" s="62" t="n">
        <v>1</v>
      </c>
      <c r="B6162" s="21" t="s">
        <v>336</v>
      </c>
      <c r="C6162" s="62" t="s">
        <v>60</v>
      </c>
      <c r="D6162" s="62" t="s">
        <v>381</v>
      </c>
      <c r="E6162" s="62" t="s">
        <v>71</v>
      </c>
      <c r="F6162" s="62" t="s">
        <v>382</v>
      </c>
      <c r="G6162" s="63" t="s">
        <v>630</v>
      </c>
      <c r="H6162" s="64" t="n">
        <v>7438932780.27872</v>
      </c>
      <c r="I6162" s="62" t="s">
        <v>81</v>
      </c>
      <c r="J6162" s="64" t="n">
        <v>7438932.78027872</v>
      </c>
      <c r="K6162" s="62" t="s">
        <v>138</v>
      </c>
      <c r="L6162" s="68" t="b">
        <f aca="false">FALSE()</f>
        <v>0</v>
      </c>
    </row>
    <row r="6163" customFormat="false" ht="15" hidden="false" customHeight="false" outlineLevel="0" collapsed="false">
      <c r="A6163" s="62" t="n">
        <v>1</v>
      </c>
      <c r="B6163" s="21" t="s">
        <v>336</v>
      </c>
      <c r="C6163" s="62" t="s">
        <v>60</v>
      </c>
      <c r="D6163" s="62" t="s">
        <v>383</v>
      </c>
      <c r="E6163" s="62" t="s">
        <v>71</v>
      </c>
      <c r="F6163" s="62" t="s">
        <v>382</v>
      </c>
      <c r="G6163" s="63" t="s">
        <v>630</v>
      </c>
      <c r="H6163" s="64" t="n">
        <v>2375298033.57263</v>
      </c>
      <c r="I6163" s="62" t="s">
        <v>81</v>
      </c>
      <c r="J6163" s="64" t="n">
        <v>2375298.03357263</v>
      </c>
      <c r="K6163" s="62" t="s">
        <v>138</v>
      </c>
      <c r="L6163" s="68" t="b">
        <f aca="false">FALSE()</f>
        <v>0</v>
      </c>
    </row>
    <row r="6164" customFormat="false" ht="15" hidden="false" customHeight="false" outlineLevel="0" collapsed="false">
      <c r="A6164" s="62" t="n">
        <v>1</v>
      </c>
      <c r="B6164" s="21" t="s">
        <v>336</v>
      </c>
      <c r="C6164" s="62" t="s">
        <v>60</v>
      </c>
      <c r="D6164" s="62" t="s">
        <v>384</v>
      </c>
      <c r="E6164" s="62" t="s">
        <v>71</v>
      </c>
      <c r="F6164" s="62" t="s">
        <v>382</v>
      </c>
      <c r="G6164" s="63" t="s">
        <v>630</v>
      </c>
      <c r="H6164" s="64" t="n">
        <v>8112128484.15541</v>
      </c>
      <c r="I6164" s="62" t="s">
        <v>81</v>
      </c>
      <c r="J6164" s="64" t="n">
        <v>8112128.48415541</v>
      </c>
      <c r="K6164" s="62" t="s">
        <v>138</v>
      </c>
      <c r="L6164" s="68" t="b">
        <f aca="false">TRUE()</f>
        <v>1</v>
      </c>
    </row>
    <row r="6165" customFormat="false" ht="15" hidden="false" customHeight="false" outlineLevel="0" collapsed="false">
      <c r="A6165" s="62" t="n">
        <v>1</v>
      </c>
      <c r="B6165" s="21" t="s">
        <v>336</v>
      </c>
      <c r="C6165" s="62" t="s">
        <v>60</v>
      </c>
      <c r="D6165" s="62" t="s">
        <v>385</v>
      </c>
      <c r="E6165" s="62" t="s">
        <v>71</v>
      </c>
      <c r="F6165" s="62" t="s">
        <v>382</v>
      </c>
      <c r="G6165" s="63" t="s">
        <v>630</v>
      </c>
      <c r="H6165" s="64" t="n">
        <v>5092793953.68189</v>
      </c>
      <c r="I6165" s="62" t="s">
        <v>81</v>
      </c>
      <c r="J6165" s="64" t="n">
        <v>5092793.95368189</v>
      </c>
      <c r="K6165" s="62" t="s">
        <v>138</v>
      </c>
      <c r="L6165" s="68" t="b">
        <f aca="false">TRUE()</f>
        <v>1</v>
      </c>
    </row>
    <row r="6166" customFormat="false" ht="15" hidden="false" customHeight="false" outlineLevel="0" collapsed="false">
      <c r="A6166" s="62" t="n">
        <v>1</v>
      </c>
      <c r="B6166" s="21" t="s">
        <v>336</v>
      </c>
      <c r="C6166" s="62" t="s">
        <v>60</v>
      </c>
      <c r="D6166" s="62" t="s">
        <v>386</v>
      </c>
      <c r="E6166" s="62" t="s">
        <v>71</v>
      </c>
      <c r="F6166" s="62" t="s">
        <v>382</v>
      </c>
      <c r="G6166" s="63" t="s">
        <v>630</v>
      </c>
      <c r="H6166" s="64" t="n">
        <v>8341337735.19179</v>
      </c>
      <c r="I6166" s="62" t="s">
        <v>81</v>
      </c>
      <c r="J6166" s="64" t="n">
        <v>8341337.73519179</v>
      </c>
      <c r="K6166" s="62" t="s">
        <v>138</v>
      </c>
      <c r="L6166" s="68" t="b">
        <f aca="false">TRUE()</f>
        <v>1</v>
      </c>
    </row>
    <row r="6167" customFormat="false" ht="15" hidden="false" customHeight="false" outlineLevel="0" collapsed="false">
      <c r="A6167" s="62" t="n">
        <v>1</v>
      </c>
      <c r="B6167" s="21" t="s">
        <v>336</v>
      </c>
      <c r="C6167" s="62" t="s">
        <v>60</v>
      </c>
      <c r="D6167" s="62" t="s">
        <v>387</v>
      </c>
      <c r="E6167" s="62" t="s">
        <v>71</v>
      </c>
      <c r="F6167" s="62" t="s">
        <v>382</v>
      </c>
      <c r="G6167" s="63" t="s">
        <v>630</v>
      </c>
      <c r="H6167" s="64" t="n">
        <v>4802245692.22939</v>
      </c>
      <c r="I6167" s="62" t="s">
        <v>81</v>
      </c>
      <c r="J6167" s="64" t="n">
        <v>4802245.69222939</v>
      </c>
      <c r="K6167" s="62" t="s">
        <v>138</v>
      </c>
      <c r="L6167" s="68" t="b">
        <f aca="false">FALSE()</f>
        <v>0</v>
      </c>
    </row>
    <row r="6168" customFormat="false" ht="15" hidden="false" customHeight="false" outlineLevel="0" collapsed="false">
      <c r="A6168" s="62" t="n">
        <v>1</v>
      </c>
      <c r="B6168" s="21" t="s">
        <v>336</v>
      </c>
      <c r="C6168" s="62" t="s">
        <v>60</v>
      </c>
      <c r="D6168" s="62" t="s">
        <v>388</v>
      </c>
      <c r="E6168" s="62" t="s">
        <v>71</v>
      </c>
      <c r="F6168" s="62" t="s">
        <v>382</v>
      </c>
      <c r="G6168" s="63" t="s">
        <v>630</v>
      </c>
      <c r="H6168" s="64" t="n">
        <v>3115248157.514</v>
      </c>
      <c r="I6168" s="62" t="s">
        <v>81</v>
      </c>
      <c r="J6168" s="64" t="n">
        <v>3115248.157514</v>
      </c>
      <c r="K6168" s="62" t="s">
        <v>138</v>
      </c>
      <c r="L6168" s="68" t="b">
        <f aca="false">FALSE()</f>
        <v>0</v>
      </c>
    </row>
    <row r="6169" customFormat="false" ht="15" hidden="false" customHeight="false" outlineLevel="0" collapsed="false">
      <c r="A6169" s="62" t="n">
        <v>1</v>
      </c>
      <c r="B6169" s="21" t="s">
        <v>336</v>
      </c>
      <c r="C6169" s="62" t="s">
        <v>60</v>
      </c>
      <c r="D6169" s="62" t="s">
        <v>381</v>
      </c>
      <c r="E6169" s="62" t="s">
        <v>71</v>
      </c>
      <c r="F6169" s="62" t="s">
        <v>382</v>
      </c>
      <c r="G6169" s="63" t="s">
        <v>631</v>
      </c>
      <c r="H6169" s="64" t="n">
        <v>2170427030.02639</v>
      </c>
      <c r="I6169" s="62" t="s">
        <v>81</v>
      </c>
      <c r="J6169" s="64" t="n">
        <v>2170427.03002639</v>
      </c>
      <c r="K6169" s="62" t="s">
        <v>138</v>
      </c>
      <c r="L6169" s="68" t="b">
        <f aca="false">FALSE()</f>
        <v>0</v>
      </c>
    </row>
    <row r="6170" customFormat="false" ht="15" hidden="false" customHeight="false" outlineLevel="0" collapsed="false">
      <c r="A6170" s="62" t="n">
        <v>1</v>
      </c>
      <c r="B6170" s="21" t="s">
        <v>336</v>
      </c>
      <c r="C6170" s="62" t="s">
        <v>60</v>
      </c>
      <c r="D6170" s="62" t="s">
        <v>383</v>
      </c>
      <c r="E6170" s="62" t="s">
        <v>71</v>
      </c>
      <c r="F6170" s="62" t="s">
        <v>382</v>
      </c>
      <c r="G6170" s="63" t="s">
        <v>631</v>
      </c>
      <c r="H6170" s="64" t="n">
        <v>2359869111.70271</v>
      </c>
      <c r="I6170" s="62" t="s">
        <v>81</v>
      </c>
      <c r="J6170" s="64" t="n">
        <v>2359869.11170271</v>
      </c>
      <c r="K6170" s="62" t="s">
        <v>138</v>
      </c>
      <c r="L6170" s="68" t="b">
        <f aca="false">FALSE()</f>
        <v>0</v>
      </c>
    </row>
    <row r="6171" customFormat="false" ht="15" hidden="false" customHeight="false" outlineLevel="0" collapsed="false">
      <c r="A6171" s="62" t="n">
        <v>1</v>
      </c>
      <c r="B6171" s="21" t="s">
        <v>336</v>
      </c>
      <c r="C6171" s="62" t="s">
        <v>60</v>
      </c>
      <c r="D6171" s="62" t="s">
        <v>384</v>
      </c>
      <c r="E6171" s="62" t="s">
        <v>71</v>
      </c>
      <c r="F6171" s="62" t="s">
        <v>382</v>
      </c>
      <c r="G6171" s="63" t="s">
        <v>631</v>
      </c>
      <c r="H6171" s="64" t="n">
        <v>3104745438.5297</v>
      </c>
      <c r="I6171" s="62" t="s">
        <v>81</v>
      </c>
      <c r="J6171" s="64" t="n">
        <v>3104745.4385297</v>
      </c>
      <c r="K6171" s="62" t="s">
        <v>138</v>
      </c>
      <c r="L6171" s="68" t="b">
        <f aca="false">TRUE()</f>
        <v>1</v>
      </c>
    </row>
    <row r="6172" customFormat="false" ht="15" hidden="false" customHeight="false" outlineLevel="0" collapsed="false">
      <c r="A6172" s="62" t="n">
        <v>1</v>
      </c>
      <c r="B6172" s="21" t="s">
        <v>336</v>
      </c>
      <c r="C6172" s="62" t="s">
        <v>60</v>
      </c>
      <c r="D6172" s="62" t="s">
        <v>385</v>
      </c>
      <c r="E6172" s="62" t="s">
        <v>71</v>
      </c>
      <c r="F6172" s="62" t="s">
        <v>382</v>
      </c>
      <c r="G6172" s="63" t="s">
        <v>631</v>
      </c>
      <c r="H6172" s="64" t="n">
        <v>2643018408.24435</v>
      </c>
      <c r="I6172" s="62" t="s">
        <v>81</v>
      </c>
      <c r="J6172" s="64" t="n">
        <v>2643018.40824435</v>
      </c>
      <c r="K6172" s="62" t="s">
        <v>138</v>
      </c>
      <c r="L6172" s="68" t="b">
        <f aca="false">TRUE()</f>
        <v>1</v>
      </c>
    </row>
    <row r="6173" customFormat="false" ht="15" hidden="false" customHeight="false" outlineLevel="0" collapsed="false">
      <c r="A6173" s="62" t="n">
        <v>1</v>
      </c>
      <c r="B6173" s="21" t="s">
        <v>336</v>
      </c>
      <c r="C6173" s="62" t="s">
        <v>60</v>
      </c>
      <c r="D6173" s="62" t="s">
        <v>386</v>
      </c>
      <c r="E6173" s="62" t="s">
        <v>71</v>
      </c>
      <c r="F6173" s="62" t="s">
        <v>382</v>
      </c>
      <c r="G6173" s="63" t="s">
        <v>631</v>
      </c>
      <c r="H6173" s="64" t="n">
        <v>3271029104.91958</v>
      </c>
      <c r="I6173" s="62" t="s">
        <v>81</v>
      </c>
      <c r="J6173" s="64" t="n">
        <v>3271029.10491958</v>
      </c>
      <c r="K6173" s="62" t="s">
        <v>138</v>
      </c>
      <c r="L6173" s="68" t="b">
        <f aca="false">TRUE()</f>
        <v>1</v>
      </c>
    </row>
    <row r="6174" customFormat="false" ht="15" hidden="false" customHeight="false" outlineLevel="0" collapsed="false">
      <c r="A6174" s="62" t="n">
        <v>1</v>
      </c>
      <c r="B6174" s="21" t="s">
        <v>336</v>
      </c>
      <c r="C6174" s="62" t="s">
        <v>60</v>
      </c>
      <c r="D6174" s="62" t="s">
        <v>387</v>
      </c>
      <c r="E6174" s="62" t="s">
        <v>71</v>
      </c>
      <c r="F6174" s="62" t="s">
        <v>382</v>
      </c>
      <c r="G6174" s="63" t="s">
        <v>631</v>
      </c>
      <c r="H6174" s="64" t="n">
        <v>2446837681.777</v>
      </c>
      <c r="I6174" s="62" t="s">
        <v>81</v>
      </c>
      <c r="J6174" s="64" t="n">
        <v>2446837.681777</v>
      </c>
      <c r="K6174" s="62" t="s">
        <v>138</v>
      </c>
      <c r="L6174" s="68" t="b">
        <f aca="false">FALSE()</f>
        <v>0</v>
      </c>
    </row>
    <row r="6175" customFormat="false" ht="15" hidden="false" customHeight="false" outlineLevel="0" collapsed="false">
      <c r="A6175" s="62" t="n">
        <v>1</v>
      </c>
      <c r="B6175" s="21" t="s">
        <v>336</v>
      </c>
      <c r="C6175" s="62" t="s">
        <v>60</v>
      </c>
      <c r="D6175" s="62" t="s">
        <v>388</v>
      </c>
      <c r="E6175" s="62" t="s">
        <v>71</v>
      </c>
      <c r="F6175" s="62" t="s">
        <v>382</v>
      </c>
      <c r="G6175" s="63" t="s">
        <v>631</v>
      </c>
      <c r="H6175" s="64" t="n">
        <v>1325052826.486</v>
      </c>
      <c r="I6175" s="62" t="s">
        <v>81</v>
      </c>
      <c r="J6175" s="64" t="n">
        <v>1325052.826486</v>
      </c>
      <c r="K6175" s="62" t="s">
        <v>138</v>
      </c>
      <c r="L6175" s="68" t="b">
        <f aca="false">FALSE()</f>
        <v>0</v>
      </c>
    </row>
    <row r="6176" customFormat="false" ht="15" hidden="false" customHeight="false" outlineLevel="0" collapsed="false">
      <c r="A6176" s="62" t="n">
        <v>1</v>
      </c>
      <c r="B6176" s="21" t="s">
        <v>336</v>
      </c>
      <c r="C6176" s="62" t="s">
        <v>60</v>
      </c>
      <c r="D6176" s="62" t="s">
        <v>381</v>
      </c>
      <c r="E6176" s="62" t="s">
        <v>71</v>
      </c>
      <c r="F6176" s="62" t="s">
        <v>382</v>
      </c>
      <c r="G6176" s="63" t="s">
        <v>632</v>
      </c>
      <c r="H6176" s="64" t="n">
        <v>150000000</v>
      </c>
      <c r="I6176" s="62" t="s">
        <v>81</v>
      </c>
      <c r="J6176" s="64" t="n">
        <v>150000</v>
      </c>
      <c r="K6176" s="62" t="s">
        <v>138</v>
      </c>
      <c r="L6176" s="68" t="b">
        <f aca="false">TRUE()</f>
        <v>1</v>
      </c>
    </row>
    <row r="6177" customFormat="false" ht="15" hidden="false" customHeight="false" outlineLevel="0" collapsed="false">
      <c r="A6177" s="62" t="n">
        <v>1</v>
      </c>
      <c r="B6177" s="21" t="s">
        <v>336</v>
      </c>
      <c r="C6177" s="62" t="s">
        <v>60</v>
      </c>
      <c r="D6177" s="62" t="s">
        <v>383</v>
      </c>
      <c r="E6177" s="62" t="s">
        <v>71</v>
      </c>
      <c r="F6177" s="62" t="s">
        <v>382</v>
      </c>
      <c r="G6177" s="63" t="s">
        <v>632</v>
      </c>
      <c r="H6177" s="64" t="n">
        <v>899454000</v>
      </c>
      <c r="I6177" s="62" t="s">
        <v>81</v>
      </c>
      <c r="J6177" s="64" t="n">
        <v>899454</v>
      </c>
      <c r="K6177" s="62" t="s">
        <v>138</v>
      </c>
      <c r="L6177" s="68" t="b">
        <f aca="false">FALSE()</f>
        <v>0</v>
      </c>
    </row>
    <row r="6178" customFormat="false" ht="15" hidden="false" customHeight="false" outlineLevel="0" collapsed="false">
      <c r="A6178" s="62" t="n">
        <v>1</v>
      </c>
      <c r="B6178" s="21" t="s">
        <v>336</v>
      </c>
      <c r="C6178" s="62" t="s">
        <v>60</v>
      </c>
      <c r="D6178" s="62" t="s">
        <v>384</v>
      </c>
      <c r="E6178" s="62" t="s">
        <v>71</v>
      </c>
      <c r="F6178" s="62" t="s">
        <v>382</v>
      </c>
      <c r="G6178" s="63" t="s">
        <v>632</v>
      </c>
      <c r="H6178" s="64" t="n">
        <v>347984000</v>
      </c>
      <c r="I6178" s="62" t="s">
        <v>81</v>
      </c>
      <c r="J6178" s="64" t="n">
        <v>347984</v>
      </c>
      <c r="K6178" s="62" t="s">
        <v>138</v>
      </c>
      <c r="L6178" s="68" t="b">
        <f aca="false">TRUE()</f>
        <v>1</v>
      </c>
    </row>
    <row r="6179" customFormat="false" ht="15" hidden="false" customHeight="false" outlineLevel="0" collapsed="false">
      <c r="A6179" s="62" t="n">
        <v>1</v>
      </c>
      <c r="B6179" s="21" t="s">
        <v>336</v>
      </c>
      <c r="C6179" s="62" t="s">
        <v>60</v>
      </c>
      <c r="D6179" s="62" t="s">
        <v>385</v>
      </c>
      <c r="E6179" s="62" t="s">
        <v>71</v>
      </c>
      <c r="F6179" s="62" t="s">
        <v>382</v>
      </c>
      <c r="G6179" s="63" t="s">
        <v>632</v>
      </c>
      <c r="H6179" s="64" t="n">
        <v>400000000</v>
      </c>
      <c r="I6179" s="62" t="s">
        <v>81</v>
      </c>
      <c r="J6179" s="64" t="n">
        <v>400000</v>
      </c>
      <c r="K6179" s="62" t="s">
        <v>138</v>
      </c>
      <c r="L6179" s="68" t="b">
        <f aca="false">TRUE()</f>
        <v>1</v>
      </c>
    </row>
    <row r="6180" customFormat="false" ht="15" hidden="false" customHeight="false" outlineLevel="0" collapsed="false">
      <c r="A6180" s="62" t="n">
        <v>1</v>
      </c>
      <c r="B6180" s="21" t="s">
        <v>336</v>
      </c>
      <c r="C6180" s="62" t="s">
        <v>60</v>
      </c>
      <c r="D6180" s="62" t="s">
        <v>386</v>
      </c>
      <c r="E6180" s="62" t="s">
        <v>71</v>
      </c>
      <c r="F6180" s="62" t="s">
        <v>382</v>
      </c>
      <c r="G6180" s="63" t="s">
        <v>632</v>
      </c>
      <c r="H6180" s="64" t="n">
        <v>200000000</v>
      </c>
      <c r="I6180" s="62" t="s">
        <v>81</v>
      </c>
      <c r="J6180" s="64" t="n">
        <v>200000</v>
      </c>
      <c r="K6180" s="62" t="s">
        <v>138</v>
      </c>
      <c r="L6180" s="68" t="b">
        <f aca="false">TRUE()</f>
        <v>1</v>
      </c>
    </row>
    <row r="6181" customFormat="false" ht="15" hidden="false" customHeight="false" outlineLevel="0" collapsed="false">
      <c r="A6181" s="62" t="n">
        <v>1</v>
      </c>
      <c r="B6181" s="21" t="s">
        <v>336</v>
      </c>
      <c r="C6181" s="62" t="s">
        <v>60</v>
      </c>
      <c r="D6181" s="62" t="s">
        <v>387</v>
      </c>
      <c r="E6181" s="62" t="s">
        <v>71</v>
      </c>
      <c r="F6181" s="62" t="s">
        <v>382</v>
      </c>
      <c r="G6181" s="63" t="s">
        <v>632</v>
      </c>
      <c r="H6181" s="64" t="n">
        <v>221985000</v>
      </c>
      <c r="I6181" s="62" t="s">
        <v>81</v>
      </c>
      <c r="J6181" s="64" t="n">
        <v>221985</v>
      </c>
      <c r="K6181" s="62" t="s">
        <v>138</v>
      </c>
      <c r="L6181" s="68" t="b">
        <f aca="false">TRUE()</f>
        <v>1</v>
      </c>
    </row>
    <row r="6182" customFormat="false" ht="15" hidden="false" customHeight="false" outlineLevel="0" collapsed="false">
      <c r="A6182" s="62" t="n">
        <v>1</v>
      </c>
      <c r="B6182" s="21" t="s">
        <v>336</v>
      </c>
      <c r="C6182" s="62" t="s">
        <v>60</v>
      </c>
      <c r="D6182" s="62" t="s">
        <v>388</v>
      </c>
      <c r="E6182" s="62" t="s">
        <v>71</v>
      </c>
      <c r="F6182" s="62" t="s">
        <v>382</v>
      </c>
      <c r="G6182" s="63" t="s">
        <v>632</v>
      </c>
      <c r="H6182" s="64" t="n">
        <v>392771000</v>
      </c>
      <c r="I6182" s="62" t="s">
        <v>81</v>
      </c>
      <c r="J6182" s="64" t="n">
        <v>392771</v>
      </c>
      <c r="K6182" s="62" t="s">
        <v>138</v>
      </c>
      <c r="L6182" s="68" t="b">
        <f aca="false">FALSE()</f>
        <v>0</v>
      </c>
    </row>
    <row r="6183" customFormat="false" ht="15" hidden="false" customHeight="false" outlineLevel="0" collapsed="false">
      <c r="A6183" s="62" t="n">
        <v>1</v>
      </c>
      <c r="B6183" s="21" t="s">
        <v>336</v>
      </c>
      <c r="C6183" s="62" t="s">
        <v>60</v>
      </c>
      <c r="D6183" s="62" t="s">
        <v>381</v>
      </c>
      <c r="E6183" s="62" t="s">
        <v>71</v>
      </c>
      <c r="F6183" s="62" t="s">
        <v>382</v>
      </c>
      <c r="G6183" s="63" t="s">
        <v>633</v>
      </c>
      <c r="H6183" s="64" t="n">
        <v>2020427030.02639</v>
      </c>
      <c r="I6183" s="62" t="s">
        <v>81</v>
      </c>
      <c r="J6183" s="64" t="n">
        <v>2020427.03002639</v>
      </c>
      <c r="K6183" s="62" t="s">
        <v>138</v>
      </c>
      <c r="L6183" s="68" t="b">
        <f aca="false">FALSE()</f>
        <v>0</v>
      </c>
    </row>
    <row r="6184" customFormat="false" ht="15" hidden="false" customHeight="false" outlineLevel="0" collapsed="false">
      <c r="A6184" s="62" t="n">
        <v>1</v>
      </c>
      <c r="B6184" s="21" t="s">
        <v>336</v>
      </c>
      <c r="C6184" s="62" t="s">
        <v>60</v>
      </c>
      <c r="D6184" s="62" t="s">
        <v>383</v>
      </c>
      <c r="E6184" s="62" t="s">
        <v>71</v>
      </c>
      <c r="F6184" s="62" t="s">
        <v>382</v>
      </c>
      <c r="G6184" s="63" t="s">
        <v>633</v>
      </c>
      <c r="H6184" s="64" t="n">
        <v>1460415111.70271</v>
      </c>
      <c r="I6184" s="62" t="s">
        <v>81</v>
      </c>
      <c r="J6184" s="64" t="n">
        <v>1460415.11170271</v>
      </c>
      <c r="K6184" s="62" t="s">
        <v>138</v>
      </c>
      <c r="L6184" s="68" t="b">
        <f aca="false">FALSE()</f>
        <v>0</v>
      </c>
    </row>
    <row r="6185" customFormat="false" ht="15" hidden="false" customHeight="false" outlineLevel="0" collapsed="false">
      <c r="A6185" s="62" t="n">
        <v>1</v>
      </c>
      <c r="B6185" s="21" t="s">
        <v>336</v>
      </c>
      <c r="C6185" s="62" t="s">
        <v>60</v>
      </c>
      <c r="D6185" s="62" t="s">
        <v>384</v>
      </c>
      <c r="E6185" s="62" t="s">
        <v>71</v>
      </c>
      <c r="F6185" s="62" t="s">
        <v>382</v>
      </c>
      <c r="G6185" s="63" t="s">
        <v>633</v>
      </c>
      <c r="H6185" s="64" t="n">
        <v>2756761438.5297</v>
      </c>
      <c r="I6185" s="62" t="s">
        <v>81</v>
      </c>
      <c r="J6185" s="64" t="n">
        <v>2756761.4385297</v>
      </c>
      <c r="K6185" s="62" t="s">
        <v>138</v>
      </c>
      <c r="L6185" s="68" t="b">
        <f aca="false">TRUE()</f>
        <v>1</v>
      </c>
    </row>
    <row r="6186" customFormat="false" ht="15" hidden="false" customHeight="false" outlineLevel="0" collapsed="false">
      <c r="A6186" s="62" t="n">
        <v>1</v>
      </c>
      <c r="B6186" s="21" t="s">
        <v>336</v>
      </c>
      <c r="C6186" s="62" t="s">
        <v>60</v>
      </c>
      <c r="D6186" s="62" t="s">
        <v>385</v>
      </c>
      <c r="E6186" s="62" t="s">
        <v>71</v>
      </c>
      <c r="F6186" s="62" t="s">
        <v>382</v>
      </c>
      <c r="G6186" s="63" t="s">
        <v>633</v>
      </c>
      <c r="H6186" s="64" t="n">
        <v>2243018408.24435</v>
      </c>
      <c r="I6186" s="62" t="s">
        <v>81</v>
      </c>
      <c r="J6186" s="64" t="n">
        <v>2243018.40824435</v>
      </c>
      <c r="K6186" s="62" t="s">
        <v>138</v>
      </c>
      <c r="L6186" s="68" t="b">
        <f aca="false">TRUE()</f>
        <v>1</v>
      </c>
    </row>
    <row r="6187" customFormat="false" ht="15" hidden="false" customHeight="false" outlineLevel="0" collapsed="false">
      <c r="A6187" s="62" t="n">
        <v>1</v>
      </c>
      <c r="B6187" s="21" t="s">
        <v>336</v>
      </c>
      <c r="C6187" s="62" t="s">
        <v>60</v>
      </c>
      <c r="D6187" s="62" t="s">
        <v>386</v>
      </c>
      <c r="E6187" s="62" t="s">
        <v>71</v>
      </c>
      <c r="F6187" s="62" t="s">
        <v>382</v>
      </c>
      <c r="G6187" s="63" t="s">
        <v>633</v>
      </c>
      <c r="H6187" s="64" t="n">
        <v>3071029104.91958</v>
      </c>
      <c r="I6187" s="62" t="s">
        <v>81</v>
      </c>
      <c r="J6187" s="64" t="n">
        <v>3071029.10491958</v>
      </c>
      <c r="K6187" s="62" t="s">
        <v>138</v>
      </c>
      <c r="L6187" s="68" t="b">
        <f aca="false">TRUE()</f>
        <v>1</v>
      </c>
    </row>
    <row r="6188" customFormat="false" ht="15" hidden="false" customHeight="false" outlineLevel="0" collapsed="false">
      <c r="A6188" s="62" t="n">
        <v>1</v>
      </c>
      <c r="B6188" s="21" t="s">
        <v>336</v>
      </c>
      <c r="C6188" s="62" t="s">
        <v>60</v>
      </c>
      <c r="D6188" s="62" t="s">
        <v>387</v>
      </c>
      <c r="E6188" s="62" t="s">
        <v>71</v>
      </c>
      <c r="F6188" s="62" t="s">
        <v>382</v>
      </c>
      <c r="G6188" s="63" t="s">
        <v>633</v>
      </c>
      <c r="H6188" s="64" t="n">
        <v>2224852681.777</v>
      </c>
      <c r="I6188" s="62" t="s">
        <v>81</v>
      </c>
      <c r="J6188" s="64" t="n">
        <v>2224852.681777</v>
      </c>
      <c r="K6188" s="62" t="s">
        <v>138</v>
      </c>
      <c r="L6188" s="68" t="b">
        <f aca="false">FALSE()</f>
        <v>0</v>
      </c>
    </row>
    <row r="6189" customFormat="false" ht="15" hidden="false" customHeight="false" outlineLevel="0" collapsed="false">
      <c r="A6189" s="62" t="n">
        <v>1</v>
      </c>
      <c r="B6189" s="21" t="s">
        <v>336</v>
      </c>
      <c r="C6189" s="62" t="s">
        <v>60</v>
      </c>
      <c r="D6189" s="62" t="s">
        <v>388</v>
      </c>
      <c r="E6189" s="62" t="s">
        <v>71</v>
      </c>
      <c r="F6189" s="62" t="s">
        <v>382</v>
      </c>
      <c r="G6189" s="63" t="s">
        <v>633</v>
      </c>
      <c r="H6189" s="64" t="n">
        <v>932281826.485995</v>
      </c>
      <c r="I6189" s="62" t="s">
        <v>81</v>
      </c>
      <c r="J6189" s="64" t="n">
        <v>932281.826485995</v>
      </c>
      <c r="K6189" s="62" t="s">
        <v>138</v>
      </c>
      <c r="L6189" s="68" t="b">
        <f aca="false">FALSE()</f>
        <v>0</v>
      </c>
    </row>
    <row r="6190" customFormat="false" ht="15" hidden="false" customHeight="false" outlineLevel="0" collapsed="false">
      <c r="A6190" s="62" t="n">
        <v>1</v>
      </c>
      <c r="B6190" s="21" t="s">
        <v>336</v>
      </c>
      <c r="C6190" s="62" t="s">
        <v>60</v>
      </c>
      <c r="D6190" s="62" t="s">
        <v>381</v>
      </c>
      <c r="E6190" s="62" t="s">
        <v>71</v>
      </c>
      <c r="F6190" s="62" t="s">
        <v>382</v>
      </c>
      <c r="G6190" s="63" t="s">
        <v>853</v>
      </c>
      <c r="H6190" s="64" t="n">
        <v>3626640728.7603</v>
      </c>
      <c r="I6190" s="62" t="s">
        <v>81</v>
      </c>
      <c r="J6190" s="64" t="n">
        <v>3626640.7287603</v>
      </c>
      <c r="K6190" s="62" t="s">
        <v>138</v>
      </c>
      <c r="L6190" s="68" t="b">
        <f aca="false">FALSE()</f>
        <v>0</v>
      </c>
    </row>
    <row r="6191" customFormat="false" ht="15" hidden="false" customHeight="false" outlineLevel="0" collapsed="false">
      <c r="A6191" s="62" t="n">
        <v>1</v>
      </c>
      <c r="B6191" s="21" t="s">
        <v>336</v>
      </c>
      <c r="C6191" s="62" t="s">
        <v>60</v>
      </c>
      <c r="D6191" s="62" t="s">
        <v>383</v>
      </c>
      <c r="E6191" s="62" t="s">
        <v>71</v>
      </c>
      <c r="F6191" s="62" t="s">
        <v>382</v>
      </c>
      <c r="G6191" s="63" t="s">
        <v>853</v>
      </c>
      <c r="H6191" s="64" t="n">
        <v>976891163.046996</v>
      </c>
      <c r="I6191" s="62" t="s">
        <v>81</v>
      </c>
      <c r="J6191" s="64" t="n">
        <v>976891.163046996</v>
      </c>
      <c r="K6191" s="62" t="s">
        <v>138</v>
      </c>
      <c r="L6191" s="68" t="b">
        <f aca="false">FALSE()</f>
        <v>0</v>
      </c>
    </row>
    <row r="6192" customFormat="false" ht="15" hidden="false" customHeight="false" outlineLevel="0" collapsed="false">
      <c r="A6192" s="62" t="n">
        <v>1</v>
      </c>
      <c r="B6192" s="21" t="s">
        <v>336</v>
      </c>
      <c r="C6192" s="62" t="s">
        <v>60</v>
      </c>
      <c r="D6192" s="62" t="s">
        <v>387</v>
      </c>
      <c r="E6192" s="62" t="s">
        <v>71</v>
      </c>
      <c r="F6192" s="62" t="s">
        <v>382</v>
      </c>
      <c r="G6192" s="63" t="s">
        <v>853</v>
      </c>
      <c r="H6192" s="64" t="n">
        <v>3784152400</v>
      </c>
      <c r="I6192" s="62" t="s">
        <v>81</v>
      </c>
      <c r="J6192" s="64" t="n">
        <v>3784152.4</v>
      </c>
      <c r="K6192" s="62" t="s">
        <v>138</v>
      </c>
      <c r="L6192" s="68" t="b">
        <f aca="false">FALSE()</f>
        <v>0</v>
      </c>
    </row>
    <row r="6193" customFormat="false" ht="15" hidden="false" customHeight="false" outlineLevel="0" collapsed="false">
      <c r="A6193" s="62" t="n">
        <v>1</v>
      </c>
      <c r="B6193" s="21" t="s">
        <v>336</v>
      </c>
      <c r="C6193" s="62" t="s">
        <v>60</v>
      </c>
      <c r="D6193" s="62" t="s">
        <v>388</v>
      </c>
      <c r="E6193" s="62" t="s">
        <v>71</v>
      </c>
      <c r="F6193" s="62" t="s">
        <v>382</v>
      </c>
      <c r="G6193" s="63" t="s">
        <v>853</v>
      </c>
      <c r="H6193" s="64" t="n">
        <v>2675626380</v>
      </c>
      <c r="I6193" s="62" t="s">
        <v>81</v>
      </c>
      <c r="J6193" s="64" t="n">
        <v>2675626.38</v>
      </c>
      <c r="K6193" s="62" t="s">
        <v>138</v>
      </c>
      <c r="L6193" s="68" t="b">
        <f aca="false">FALSE()</f>
        <v>0</v>
      </c>
    </row>
    <row r="6194" customFormat="false" ht="15" hidden="false" customHeight="false" outlineLevel="0" collapsed="false">
      <c r="A6194" s="62" t="n">
        <v>1</v>
      </c>
      <c r="B6194" s="21" t="s">
        <v>336</v>
      </c>
      <c r="C6194" s="62" t="s">
        <v>60</v>
      </c>
      <c r="D6194" s="62" t="s">
        <v>381</v>
      </c>
      <c r="E6194" s="62" t="s">
        <v>71</v>
      </c>
      <c r="F6194" s="62" t="s">
        <v>382</v>
      </c>
      <c r="G6194" s="63" t="s">
        <v>854</v>
      </c>
      <c r="H6194" s="64" t="n">
        <v>2926525932.70626</v>
      </c>
      <c r="I6194" s="62" t="s">
        <v>81</v>
      </c>
      <c r="J6194" s="64" t="n">
        <v>2926525.93270626</v>
      </c>
      <c r="K6194" s="62" t="s">
        <v>138</v>
      </c>
      <c r="L6194" s="68" t="b">
        <f aca="false">FALSE()</f>
        <v>0</v>
      </c>
    </row>
    <row r="6195" customFormat="false" ht="15" hidden="false" customHeight="false" outlineLevel="0" collapsed="false">
      <c r="A6195" s="62" t="n">
        <v>1</v>
      </c>
      <c r="B6195" s="21" t="s">
        <v>336</v>
      </c>
      <c r="C6195" s="62" t="s">
        <v>60</v>
      </c>
      <c r="D6195" s="62" t="s">
        <v>383</v>
      </c>
      <c r="E6195" s="62" t="s">
        <v>71</v>
      </c>
      <c r="F6195" s="62" t="s">
        <v>382</v>
      </c>
      <c r="G6195" s="63" t="s">
        <v>854</v>
      </c>
      <c r="H6195" s="64" t="n">
        <v>608776906.333471</v>
      </c>
      <c r="I6195" s="62" t="s">
        <v>81</v>
      </c>
      <c r="J6195" s="64" t="n">
        <v>608776.906333471</v>
      </c>
      <c r="K6195" s="62" t="s">
        <v>138</v>
      </c>
      <c r="L6195" s="68" t="b">
        <f aca="false">FALSE()</f>
        <v>0</v>
      </c>
    </row>
    <row r="6196" customFormat="false" ht="15" hidden="false" customHeight="false" outlineLevel="0" collapsed="false">
      <c r="A6196" s="62" t="n">
        <v>1</v>
      </c>
      <c r="B6196" s="21" t="s">
        <v>336</v>
      </c>
      <c r="C6196" s="62" t="s">
        <v>60</v>
      </c>
      <c r="D6196" s="62" t="s">
        <v>387</v>
      </c>
      <c r="E6196" s="62" t="s">
        <v>71</v>
      </c>
      <c r="F6196" s="62" t="s">
        <v>382</v>
      </c>
      <c r="G6196" s="63" t="s">
        <v>854</v>
      </c>
      <c r="H6196" s="64" t="n">
        <v>3151994831.48755</v>
      </c>
      <c r="I6196" s="62" t="s">
        <v>81</v>
      </c>
      <c r="J6196" s="64" t="n">
        <v>3151994.83148755</v>
      </c>
      <c r="K6196" s="62" t="s">
        <v>138</v>
      </c>
      <c r="L6196" s="68" t="b">
        <f aca="false">FALSE()</f>
        <v>0</v>
      </c>
    </row>
    <row r="6197" customFormat="false" ht="15" hidden="false" customHeight="false" outlineLevel="0" collapsed="false">
      <c r="A6197" s="62" t="n">
        <v>1</v>
      </c>
      <c r="B6197" s="21" t="s">
        <v>336</v>
      </c>
      <c r="C6197" s="62" t="s">
        <v>60</v>
      </c>
      <c r="D6197" s="62" t="s">
        <v>388</v>
      </c>
      <c r="E6197" s="62" t="s">
        <v>71</v>
      </c>
      <c r="F6197" s="62" t="s">
        <v>382</v>
      </c>
      <c r="G6197" s="63" t="s">
        <v>854</v>
      </c>
      <c r="H6197" s="64" t="n">
        <v>2174233323.89876</v>
      </c>
      <c r="I6197" s="62" t="s">
        <v>81</v>
      </c>
      <c r="J6197" s="64" t="n">
        <v>2174233.32389876</v>
      </c>
      <c r="K6197" s="62" t="s">
        <v>138</v>
      </c>
      <c r="L6197" s="68" t="b">
        <f aca="false">FALSE()</f>
        <v>0</v>
      </c>
    </row>
    <row r="6198" customFormat="false" ht="15" hidden="false" customHeight="false" outlineLevel="0" collapsed="false">
      <c r="A6198" s="62" t="n">
        <v>1</v>
      </c>
      <c r="B6198" s="21" t="s">
        <v>336</v>
      </c>
      <c r="C6198" s="62" t="s">
        <v>60</v>
      </c>
      <c r="D6198" s="62" t="s">
        <v>381</v>
      </c>
      <c r="E6198" s="62" t="s">
        <v>71</v>
      </c>
      <c r="F6198" s="62" t="s">
        <v>382</v>
      </c>
      <c r="G6198" s="63" t="s">
        <v>855</v>
      </c>
      <c r="H6198" s="64" t="n">
        <v>101403040.121056</v>
      </c>
      <c r="I6198" s="62" t="s">
        <v>81</v>
      </c>
      <c r="J6198" s="64" t="n">
        <v>101403.040121056</v>
      </c>
      <c r="K6198" s="62" t="s">
        <v>138</v>
      </c>
      <c r="L6198" s="68" t="b">
        <f aca="false">FALSE()</f>
        <v>0</v>
      </c>
    </row>
    <row r="6199" customFormat="false" ht="15" hidden="false" customHeight="false" outlineLevel="0" collapsed="false">
      <c r="A6199" s="62" t="n">
        <v>1</v>
      </c>
      <c r="B6199" s="21" t="s">
        <v>336</v>
      </c>
      <c r="C6199" s="62" t="s">
        <v>60</v>
      </c>
      <c r="D6199" s="62" t="s">
        <v>383</v>
      </c>
      <c r="E6199" s="62" t="s">
        <v>71</v>
      </c>
      <c r="F6199" s="62" t="s">
        <v>382</v>
      </c>
      <c r="G6199" s="63" t="s">
        <v>855</v>
      </c>
      <c r="H6199" s="64" t="n">
        <v>52477349.063544</v>
      </c>
      <c r="I6199" s="62" t="s">
        <v>81</v>
      </c>
      <c r="J6199" s="64" t="n">
        <v>52477.349063544</v>
      </c>
      <c r="K6199" s="62" t="s">
        <v>138</v>
      </c>
      <c r="L6199" s="68" t="b">
        <f aca="false">FALSE()</f>
        <v>0</v>
      </c>
    </row>
    <row r="6200" customFormat="false" ht="15" hidden="false" customHeight="false" outlineLevel="0" collapsed="false">
      <c r="A6200" s="62" t="n">
        <v>1</v>
      </c>
      <c r="B6200" s="21" t="s">
        <v>336</v>
      </c>
      <c r="C6200" s="62" t="s">
        <v>60</v>
      </c>
      <c r="D6200" s="62" t="s">
        <v>387</v>
      </c>
      <c r="E6200" s="62" t="s">
        <v>71</v>
      </c>
      <c r="F6200" s="62" t="s">
        <v>382</v>
      </c>
      <c r="G6200" s="63" t="s">
        <v>855</v>
      </c>
      <c r="H6200" s="64" t="n">
        <v>360100000</v>
      </c>
      <c r="I6200" s="62" t="s">
        <v>81</v>
      </c>
      <c r="J6200" s="64" t="n">
        <v>360100</v>
      </c>
      <c r="K6200" s="62" t="s">
        <v>138</v>
      </c>
      <c r="L6200" s="68" t="b">
        <f aca="false">FALSE()</f>
        <v>0</v>
      </c>
    </row>
    <row r="6201" customFormat="false" ht="15" hidden="false" customHeight="false" outlineLevel="0" collapsed="false">
      <c r="A6201" s="62" t="n">
        <v>1</v>
      </c>
      <c r="B6201" s="21" t="s">
        <v>336</v>
      </c>
      <c r="C6201" s="62" t="s">
        <v>60</v>
      </c>
      <c r="D6201" s="62" t="s">
        <v>388</v>
      </c>
      <c r="E6201" s="62" t="s">
        <v>71</v>
      </c>
      <c r="F6201" s="62" t="s">
        <v>382</v>
      </c>
      <c r="G6201" s="63" t="s">
        <v>855</v>
      </c>
      <c r="H6201" s="64" t="n">
        <v>109200000</v>
      </c>
      <c r="I6201" s="62" t="s">
        <v>81</v>
      </c>
      <c r="J6201" s="64" t="n">
        <v>109200</v>
      </c>
      <c r="K6201" s="62" t="s">
        <v>138</v>
      </c>
      <c r="L6201" s="68" t="b">
        <f aca="false">FALSE()</f>
        <v>0</v>
      </c>
    </row>
    <row r="6202" customFormat="false" ht="15" hidden="false" customHeight="false" outlineLevel="0" collapsed="false">
      <c r="A6202" s="62" t="n">
        <v>1</v>
      </c>
      <c r="B6202" s="21" t="s">
        <v>336</v>
      </c>
      <c r="C6202" s="62" t="s">
        <v>60</v>
      </c>
      <c r="D6202" s="62" t="s">
        <v>381</v>
      </c>
      <c r="E6202" s="62" t="s">
        <v>71</v>
      </c>
      <c r="F6202" s="62" t="s">
        <v>382</v>
      </c>
      <c r="G6202" s="63" t="s">
        <v>856</v>
      </c>
      <c r="H6202" s="64" t="n">
        <v>3027928972.82731</v>
      </c>
      <c r="I6202" s="62" t="s">
        <v>81</v>
      </c>
      <c r="J6202" s="64" t="n">
        <v>3027928.97282731</v>
      </c>
      <c r="K6202" s="62" t="s">
        <v>138</v>
      </c>
      <c r="L6202" s="68" t="b">
        <f aca="false">FALSE()</f>
        <v>0</v>
      </c>
    </row>
    <row r="6203" customFormat="false" ht="15" hidden="false" customHeight="false" outlineLevel="0" collapsed="false">
      <c r="A6203" s="62" t="n">
        <v>1</v>
      </c>
      <c r="B6203" s="21" t="s">
        <v>336</v>
      </c>
      <c r="C6203" s="62" t="s">
        <v>60</v>
      </c>
      <c r="D6203" s="62" t="s">
        <v>383</v>
      </c>
      <c r="E6203" s="62" t="s">
        <v>71</v>
      </c>
      <c r="F6203" s="62" t="s">
        <v>382</v>
      </c>
      <c r="G6203" s="63" t="s">
        <v>856</v>
      </c>
      <c r="H6203" s="64" t="n">
        <v>661254255.397015</v>
      </c>
      <c r="I6203" s="62" t="s">
        <v>81</v>
      </c>
      <c r="J6203" s="64" t="n">
        <v>661254.255397015</v>
      </c>
      <c r="K6203" s="62" t="s">
        <v>138</v>
      </c>
      <c r="L6203" s="68" t="b">
        <f aca="false">FALSE()</f>
        <v>0</v>
      </c>
    </row>
    <row r="6204" customFormat="false" ht="15" hidden="false" customHeight="false" outlineLevel="0" collapsed="false">
      <c r="A6204" s="62" t="n">
        <v>1</v>
      </c>
      <c r="B6204" s="21" t="s">
        <v>336</v>
      </c>
      <c r="C6204" s="62" t="s">
        <v>60</v>
      </c>
      <c r="D6204" s="62" t="s">
        <v>387</v>
      </c>
      <c r="E6204" s="62" t="s">
        <v>71</v>
      </c>
      <c r="F6204" s="62" t="s">
        <v>382</v>
      </c>
      <c r="G6204" s="63" t="s">
        <v>856</v>
      </c>
      <c r="H6204" s="64" t="n">
        <v>3512094831.48755</v>
      </c>
      <c r="I6204" s="62" t="s">
        <v>81</v>
      </c>
      <c r="J6204" s="64" t="n">
        <v>3512094.83148755</v>
      </c>
      <c r="K6204" s="62" t="s">
        <v>138</v>
      </c>
      <c r="L6204" s="68" t="b">
        <f aca="false">FALSE()</f>
        <v>0</v>
      </c>
    </row>
    <row r="6205" customFormat="false" ht="15" hidden="false" customHeight="false" outlineLevel="0" collapsed="false">
      <c r="A6205" s="62" t="n">
        <v>1</v>
      </c>
      <c r="B6205" s="21" t="s">
        <v>336</v>
      </c>
      <c r="C6205" s="62" t="s">
        <v>60</v>
      </c>
      <c r="D6205" s="62" t="s">
        <v>388</v>
      </c>
      <c r="E6205" s="62" t="s">
        <v>71</v>
      </c>
      <c r="F6205" s="62" t="s">
        <v>382</v>
      </c>
      <c r="G6205" s="63" t="s">
        <v>856</v>
      </c>
      <c r="H6205" s="64" t="n">
        <v>2283433323.89876</v>
      </c>
      <c r="I6205" s="62" t="s">
        <v>81</v>
      </c>
      <c r="J6205" s="64" t="n">
        <v>2283433.32389876</v>
      </c>
      <c r="K6205" s="62" t="s">
        <v>138</v>
      </c>
      <c r="L6205" s="68" t="b">
        <f aca="false">FALSE()</f>
        <v>0</v>
      </c>
    </row>
    <row r="6206" customFormat="false" ht="15" hidden="false" customHeight="false" outlineLevel="0" collapsed="false">
      <c r="A6206" s="62" t="n">
        <v>1</v>
      </c>
      <c r="B6206" s="21" t="s">
        <v>336</v>
      </c>
      <c r="C6206" s="62" t="s">
        <v>60</v>
      </c>
      <c r="D6206" s="62" t="s">
        <v>381</v>
      </c>
      <c r="E6206" s="62" t="s">
        <v>71</v>
      </c>
      <c r="F6206" s="62" t="s">
        <v>382</v>
      </c>
      <c r="G6206" s="63" t="s">
        <v>857</v>
      </c>
      <c r="H6206" s="64" t="n">
        <v>598711755.932992</v>
      </c>
      <c r="I6206" s="62" t="s">
        <v>81</v>
      </c>
      <c r="J6206" s="64" t="n">
        <v>598711.755932992</v>
      </c>
      <c r="K6206" s="62" t="s">
        <v>138</v>
      </c>
      <c r="L6206" s="68" t="b">
        <f aca="false">FALSE()</f>
        <v>0</v>
      </c>
    </row>
    <row r="6207" customFormat="false" ht="15" hidden="false" customHeight="false" outlineLevel="0" collapsed="false">
      <c r="A6207" s="62" t="n">
        <v>1</v>
      </c>
      <c r="B6207" s="21" t="s">
        <v>336</v>
      </c>
      <c r="C6207" s="62" t="s">
        <v>60</v>
      </c>
      <c r="D6207" s="62" t="s">
        <v>383</v>
      </c>
      <c r="E6207" s="62" t="s">
        <v>71</v>
      </c>
      <c r="F6207" s="62" t="s">
        <v>382</v>
      </c>
      <c r="G6207" s="63" t="s">
        <v>857</v>
      </c>
      <c r="H6207" s="64" t="n">
        <v>315636907.649981</v>
      </c>
      <c r="I6207" s="62" t="s">
        <v>81</v>
      </c>
      <c r="J6207" s="64" t="n">
        <v>315636.907649981</v>
      </c>
      <c r="K6207" s="62" t="s">
        <v>138</v>
      </c>
      <c r="L6207" s="68" t="b">
        <f aca="false">FALSE()</f>
        <v>0</v>
      </c>
    </row>
    <row r="6208" customFormat="false" ht="15" hidden="false" customHeight="false" outlineLevel="0" collapsed="false">
      <c r="A6208" s="62" t="n">
        <v>1</v>
      </c>
      <c r="B6208" s="21" t="s">
        <v>336</v>
      </c>
      <c r="C6208" s="62" t="s">
        <v>60</v>
      </c>
      <c r="D6208" s="62" t="s">
        <v>387</v>
      </c>
      <c r="E6208" s="62" t="s">
        <v>71</v>
      </c>
      <c r="F6208" s="62" t="s">
        <v>382</v>
      </c>
      <c r="G6208" s="63" t="s">
        <v>857</v>
      </c>
      <c r="H6208" s="64" t="n">
        <v>272057568.51245</v>
      </c>
      <c r="I6208" s="62" t="s">
        <v>81</v>
      </c>
      <c r="J6208" s="64" t="n">
        <v>272057.56851245</v>
      </c>
      <c r="K6208" s="62" t="s">
        <v>138</v>
      </c>
      <c r="L6208" s="68" t="b">
        <f aca="false">FALSE()</f>
        <v>0</v>
      </c>
    </row>
    <row r="6209" customFormat="false" ht="15" hidden="false" customHeight="false" outlineLevel="0" collapsed="false">
      <c r="A6209" s="62" t="n">
        <v>1</v>
      </c>
      <c r="B6209" s="21" t="s">
        <v>336</v>
      </c>
      <c r="C6209" s="62" t="s">
        <v>60</v>
      </c>
      <c r="D6209" s="62" t="s">
        <v>388</v>
      </c>
      <c r="E6209" s="62" t="s">
        <v>71</v>
      </c>
      <c r="F6209" s="62" t="s">
        <v>382</v>
      </c>
      <c r="G6209" s="63" t="s">
        <v>857</v>
      </c>
      <c r="H6209" s="64" t="n">
        <v>392193056.101243</v>
      </c>
      <c r="I6209" s="62" t="s">
        <v>81</v>
      </c>
      <c r="J6209" s="64" t="n">
        <v>392193.056101243</v>
      </c>
      <c r="K6209" s="62" t="s">
        <v>138</v>
      </c>
      <c r="L6209" s="68" t="b">
        <f aca="false">FALSE()</f>
        <v>0</v>
      </c>
    </row>
    <row r="6210" customFormat="false" ht="15" hidden="false" customHeight="false" outlineLevel="0" collapsed="false">
      <c r="A6210" s="62" t="n">
        <v>1</v>
      </c>
      <c r="B6210" s="21" t="s">
        <v>336</v>
      </c>
      <c r="C6210" s="62" t="s">
        <v>60</v>
      </c>
      <c r="D6210" s="62" t="s">
        <v>383</v>
      </c>
      <c r="E6210" s="62" t="s">
        <v>71</v>
      </c>
      <c r="F6210" s="62" t="s">
        <v>382</v>
      </c>
      <c r="G6210" s="63" t="s">
        <v>858</v>
      </c>
      <c r="H6210" s="64" t="n">
        <v>727855000</v>
      </c>
      <c r="I6210" s="62" t="s">
        <v>81</v>
      </c>
      <c r="J6210" s="64" t="n">
        <v>727855</v>
      </c>
      <c r="K6210" s="62" t="s">
        <v>138</v>
      </c>
      <c r="L6210" s="68" t="b">
        <f aca="false">FALSE()</f>
        <v>0</v>
      </c>
    </row>
    <row r="6211" customFormat="false" ht="15" hidden="false" customHeight="false" outlineLevel="0" collapsed="false">
      <c r="A6211" s="62" t="n">
        <v>1</v>
      </c>
      <c r="B6211" s="21" t="s">
        <v>336</v>
      </c>
      <c r="C6211" s="62" t="s">
        <v>60</v>
      </c>
      <c r="D6211" s="62" t="s">
        <v>388</v>
      </c>
      <c r="E6211" s="62" t="s">
        <v>71</v>
      </c>
      <c r="F6211" s="62" t="s">
        <v>382</v>
      </c>
      <c r="G6211" s="63" t="s">
        <v>858</v>
      </c>
      <c r="H6211" s="64" t="n">
        <v>194750000</v>
      </c>
      <c r="I6211" s="62" t="s">
        <v>81</v>
      </c>
      <c r="J6211" s="64" t="n">
        <v>194750</v>
      </c>
      <c r="K6211" s="62" t="s">
        <v>138</v>
      </c>
      <c r="L6211" s="68" t="b">
        <f aca="false">FALSE()</f>
        <v>0</v>
      </c>
    </row>
    <row r="6212" customFormat="false" ht="15" hidden="false" customHeight="false" outlineLevel="0" collapsed="false">
      <c r="A6212" s="62" t="n">
        <v>1</v>
      </c>
      <c r="B6212" s="21" t="s">
        <v>336</v>
      </c>
      <c r="C6212" s="62" t="s">
        <v>60</v>
      </c>
      <c r="D6212" s="62" t="s">
        <v>381</v>
      </c>
      <c r="E6212" s="62" t="s">
        <v>71</v>
      </c>
      <c r="F6212" s="62" t="s">
        <v>382</v>
      </c>
      <c r="G6212" s="63" t="s">
        <v>859</v>
      </c>
      <c r="H6212" s="64" t="n">
        <v>448711755.932992</v>
      </c>
      <c r="I6212" s="62" t="s">
        <v>81</v>
      </c>
      <c r="J6212" s="64" t="n">
        <v>448711.755932992</v>
      </c>
      <c r="K6212" s="62" t="s">
        <v>138</v>
      </c>
      <c r="L6212" s="68" t="b">
        <f aca="false">FALSE()</f>
        <v>0</v>
      </c>
    </row>
    <row r="6213" customFormat="false" ht="15" hidden="false" customHeight="false" outlineLevel="0" collapsed="false">
      <c r="A6213" s="62" t="n">
        <v>1</v>
      </c>
      <c r="B6213" s="21" t="s">
        <v>336</v>
      </c>
      <c r="C6213" s="62" t="s">
        <v>60</v>
      </c>
      <c r="D6213" s="62" t="s">
        <v>383</v>
      </c>
      <c r="E6213" s="62" t="s">
        <v>71</v>
      </c>
      <c r="F6213" s="62" t="s">
        <v>382</v>
      </c>
      <c r="G6213" s="63" t="s">
        <v>859</v>
      </c>
      <c r="H6213" s="64" t="n">
        <v>-412218092.350019</v>
      </c>
      <c r="I6213" s="62" t="s">
        <v>81</v>
      </c>
      <c r="J6213" s="64" t="n">
        <v>-412218.092350019</v>
      </c>
      <c r="K6213" s="62" t="s">
        <v>138</v>
      </c>
      <c r="L6213" s="68" t="b">
        <f aca="false">FALSE()</f>
        <v>0</v>
      </c>
    </row>
    <row r="6214" customFormat="false" ht="15" hidden="false" customHeight="false" outlineLevel="0" collapsed="false">
      <c r="A6214" s="62" t="n">
        <v>1</v>
      </c>
      <c r="B6214" s="21" t="s">
        <v>336</v>
      </c>
      <c r="C6214" s="62" t="s">
        <v>60</v>
      </c>
      <c r="D6214" s="62" t="s">
        <v>387</v>
      </c>
      <c r="E6214" s="62" t="s">
        <v>71</v>
      </c>
      <c r="F6214" s="62" t="s">
        <v>382</v>
      </c>
      <c r="G6214" s="63" t="s">
        <v>859</v>
      </c>
      <c r="H6214" s="64" t="n">
        <v>50072568.5124504</v>
      </c>
      <c r="I6214" s="62" t="s">
        <v>81</v>
      </c>
      <c r="J6214" s="64" t="n">
        <v>50072.5685124504</v>
      </c>
      <c r="K6214" s="62" t="s">
        <v>138</v>
      </c>
      <c r="L6214" s="68" t="b">
        <f aca="false">FALSE()</f>
        <v>0</v>
      </c>
    </row>
    <row r="6215" customFormat="false" ht="15" hidden="false" customHeight="false" outlineLevel="0" collapsed="false">
      <c r="A6215" s="62" t="n">
        <v>1</v>
      </c>
      <c r="B6215" s="21" t="s">
        <v>336</v>
      </c>
      <c r="C6215" s="62" t="s">
        <v>60</v>
      </c>
      <c r="D6215" s="62" t="s">
        <v>388</v>
      </c>
      <c r="E6215" s="62" t="s">
        <v>71</v>
      </c>
      <c r="F6215" s="62" t="s">
        <v>382</v>
      </c>
      <c r="G6215" s="63" t="s">
        <v>859</v>
      </c>
      <c r="H6215" s="64" t="n">
        <v>197443056.101243</v>
      </c>
      <c r="I6215" s="62" t="s">
        <v>81</v>
      </c>
      <c r="J6215" s="64" t="n">
        <v>197443.056101243</v>
      </c>
      <c r="K6215" s="62" t="s">
        <v>138</v>
      </c>
      <c r="L6215" s="68" t="b">
        <f aca="false">FALSE()</f>
        <v>0</v>
      </c>
    </row>
    <row r="6216" customFormat="false" ht="15" hidden="false" customHeight="false" outlineLevel="0" collapsed="false">
      <c r="A6216" s="62" t="n">
        <v>1</v>
      </c>
      <c r="B6216" s="21" t="s">
        <v>336</v>
      </c>
      <c r="C6216" s="62" t="s">
        <v>60</v>
      </c>
      <c r="D6216" s="62" t="s">
        <v>381</v>
      </c>
      <c r="E6216" s="62" t="s">
        <v>72</v>
      </c>
      <c r="F6216" s="62" t="s">
        <v>382</v>
      </c>
      <c r="G6216" s="63" t="s">
        <v>625</v>
      </c>
      <c r="H6216" s="64" t="n">
        <v>5603269254.40515</v>
      </c>
      <c r="I6216" s="62" t="s">
        <v>81</v>
      </c>
      <c r="J6216" s="64" t="n">
        <v>5603269.25440515</v>
      </c>
      <c r="K6216" s="62" t="s">
        <v>138</v>
      </c>
      <c r="L6216" s="68" t="b">
        <f aca="false">FALSE()</f>
        <v>0</v>
      </c>
    </row>
    <row r="6217" customFormat="false" ht="15" hidden="false" customHeight="false" outlineLevel="0" collapsed="false">
      <c r="A6217" s="62" t="n">
        <v>1</v>
      </c>
      <c r="B6217" s="21" t="s">
        <v>336</v>
      </c>
      <c r="C6217" s="62" t="s">
        <v>60</v>
      </c>
      <c r="D6217" s="62" t="s">
        <v>383</v>
      </c>
      <c r="E6217" s="62" t="s">
        <v>72</v>
      </c>
      <c r="F6217" s="62" t="s">
        <v>382</v>
      </c>
      <c r="G6217" s="63" t="s">
        <v>625</v>
      </c>
      <c r="H6217" s="64" t="n">
        <v>25292282374.3201</v>
      </c>
      <c r="I6217" s="62" t="s">
        <v>81</v>
      </c>
      <c r="J6217" s="64" t="n">
        <v>25292282.3743201</v>
      </c>
      <c r="K6217" s="62" t="s">
        <v>138</v>
      </c>
      <c r="L6217" s="68" t="b">
        <f aca="false">FALSE()</f>
        <v>0</v>
      </c>
    </row>
    <row r="6218" customFormat="false" ht="15" hidden="false" customHeight="false" outlineLevel="0" collapsed="false">
      <c r="A6218" s="62" t="n">
        <v>1</v>
      </c>
      <c r="B6218" s="21" t="s">
        <v>336</v>
      </c>
      <c r="C6218" s="62" t="s">
        <v>60</v>
      </c>
      <c r="D6218" s="62" t="s">
        <v>384</v>
      </c>
      <c r="E6218" s="62" t="s">
        <v>72</v>
      </c>
      <c r="F6218" s="62" t="s">
        <v>382</v>
      </c>
      <c r="G6218" s="63" t="s">
        <v>625</v>
      </c>
      <c r="H6218" s="64" t="n">
        <v>24866723087.7643</v>
      </c>
      <c r="I6218" s="62" t="s">
        <v>81</v>
      </c>
      <c r="J6218" s="64" t="n">
        <v>24866723.0877643</v>
      </c>
      <c r="K6218" s="62" t="s">
        <v>138</v>
      </c>
      <c r="L6218" s="68" t="b">
        <f aca="false">TRUE()</f>
        <v>1</v>
      </c>
    </row>
    <row r="6219" customFormat="false" ht="15" hidden="false" customHeight="false" outlineLevel="0" collapsed="false">
      <c r="A6219" s="62" t="n">
        <v>1</v>
      </c>
      <c r="B6219" s="21" t="s">
        <v>336</v>
      </c>
      <c r="C6219" s="62" t="s">
        <v>60</v>
      </c>
      <c r="D6219" s="62" t="s">
        <v>385</v>
      </c>
      <c r="E6219" s="62" t="s">
        <v>72</v>
      </c>
      <c r="F6219" s="62" t="s">
        <v>382</v>
      </c>
      <c r="G6219" s="63" t="s">
        <v>625</v>
      </c>
      <c r="H6219" s="64" t="n">
        <v>12593518992.8914</v>
      </c>
      <c r="I6219" s="62" t="s">
        <v>81</v>
      </c>
      <c r="J6219" s="64" t="n">
        <v>12593518.9928914</v>
      </c>
      <c r="K6219" s="62" t="s">
        <v>138</v>
      </c>
      <c r="L6219" s="68" t="b">
        <f aca="false">TRUE()</f>
        <v>1</v>
      </c>
    </row>
    <row r="6220" customFormat="false" ht="15" hidden="false" customHeight="false" outlineLevel="0" collapsed="false">
      <c r="A6220" s="62" t="n">
        <v>1</v>
      </c>
      <c r="B6220" s="21" t="s">
        <v>336</v>
      </c>
      <c r="C6220" s="62" t="s">
        <v>60</v>
      </c>
      <c r="D6220" s="62" t="s">
        <v>386</v>
      </c>
      <c r="E6220" s="62" t="s">
        <v>72</v>
      </c>
      <c r="F6220" s="62" t="s">
        <v>382</v>
      </c>
      <c r="G6220" s="63" t="s">
        <v>625</v>
      </c>
      <c r="H6220" s="64" t="n">
        <v>5615760271.94083</v>
      </c>
      <c r="I6220" s="62" t="s">
        <v>81</v>
      </c>
      <c r="J6220" s="64" t="n">
        <v>5615760.27194083</v>
      </c>
      <c r="K6220" s="62" t="s">
        <v>138</v>
      </c>
      <c r="L6220" s="68" t="b">
        <f aca="false">TRUE()</f>
        <v>1</v>
      </c>
    </row>
    <row r="6221" customFormat="false" ht="15" hidden="false" customHeight="false" outlineLevel="0" collapsed="false">
      <c r="A6221" s="62" t="n">
        <v>1</v>
      </c>
      <c r="B6221" s="21" t="s">
        <v>336</v>
      </c>
      <c r="C6221" s="62" t="s">
        <v>60</v>
      </c>
      <c r="D6221" s="62" t="s">
        <v>387</v>
      </c>
      <c r="E6221" s="62" t="s">
        <v>72</v>
      </c>
      <c r="F6221" s="62" t="s">
        <v>382</v>
      </c>
      <c r="G6221" s="63" t="s">
        <v>625</v>
      </c>
      <c r="H6221" s="64" t="n">
        <v>18021650480.3009</v>
      </c>
      <c r="I6221" s="62" t="s">
        <v>81</v>
      </c>
      <c r="J6221" s="64" t="n">
        <v>18021650.4803009</v>
      </c>
      <c r="K6221" s="62" t="s">
        <v>138</v>
      </c>
      <c r="L6221" s="68" t="b">
        <f aca="false">FALSE()</f>
        <v>0</v>
      </c>
    </row>
    <row r="6222" customFormat="false" ht="15" hidden="false" customHeight="false" outlineLevel="0" collapsed="false">
      <c r="A6222" s="62" t="n">
        <v>1</v>
      </c>
      <c r="B6222" s="21" t="s">
        <v>336</v>
      </c>
      <c r="C6222" s="62" t="s">
        <v>60</v>
      </c>
      <c r="D6222" s="62" t="s">
        <v>388</v>
      </c>
      <c r="E6222" s="62" t="s">
        <v>72</v>
      </c>
      <c r="F6222" s="62" t="s">
        <v>382</v>
      </c>
      <c r="G6222" s="63" t="s">
        <v>625</v>
      </c>
      <c r="H6222" s="64" t="n">
        <v>0</v>
      </c>
      <c r="I6222" s="62" t="s">
        <v>81</v>
      </c>
      <c r="J6222" s="64" t="n">
        <v>0</v>
      </c>
      <c r="K6222" s="62" t="s">
        <v>138</v>
      </c>
      <c r="L6222" s="68" t="b">
        <f aca="false">TRUE()</f>
        <v>1</v>
      </c>
    </row>
    <row r="6223" customFormat="false" ht="15" hidden="false" customHeight="false" outlineLevel="0" collapsed="false">
      <c r="A6223" s="62" t="n">
        <v>1</v>
      </c>
      <c r="B6223" s="21" t="s">
        <v>336</v>
      </c>
      <c r="C6223" s="62" t="s">
        <v>60</v>
      </c>
      <c r="D6223" s="62" t="s">
        <v>381</v>
      </c>
      <c r="E6223" s="62" t="s">
        <v>72</v>
      </c>
      <c r="F6223" s="62" t="s">
        <v>382</v>
      </c>
      <c r="G6223" s="63" t="s">
        <v>626</v>
      </c>
      <c r="H6223" s="64" t="n">
        <v>0</v>
      </c>
      <c r="I6223" s="62" t="s">
        <v>81</v>
      </c>
      <c r="J6223" s="64" t="n">
        <v>0</v>
      </c>
      <c r="K6223" s="62" t="s">
        <v>138</v>
      </c>
      <c r="L6223" s="68" t="b">
        <f aca="false">TRUE()</f>
        <v>1</v>
      </c>
    </row>
    <row r="6224" customFormat="false" ht="15" hidden="false" customHeight="false" outlineLevel="0" collapsed="false">
      <c r="A6224" s="62" t="n">
        <v>1</v>
      </c>
      <c r="B6224" s="21" t="s">
        <v>336</v>
      </c>
      <c r="C6224" s="62" t="s">
        <v>60</v>
      </c>
      <c r="D6224" s="62" t="s">
        <v>383</v>
      </c>
      <c r="E6224" s="62" t="s">
        <v>72</v>
      </c>
      <c r="F6224" s="62" t="s">
        <v>382</v>
      </c>
      <c r="G6224" s="63" t="s">
        <v>626</v>
      </c>
      <c r="H6224" s="64" t="n">
        <v>0</v>
      </c>
      <c r="I6224" s="62" t="s">
        <v>81</v>
      </c>
      <c r="J6224" s="64" t="n">
        <v>0</v>
      </c>
      <c r="K6224" s="62" t="s">
        <v>138</v>
      </c>
      <c r="L6224" s="68" t="b">
        <f aca="false">TRUE()</f>
        <v>1</v>
      </c>
    </row>
    <row r="6225" customFormat="false" ht="15" hidden="false" customHeight="false" outlineLevel="0" collapsed="false">
      <c r="A6225" s="62" t="n">
        <v>1</v>
      </c>
      <c r="B6225" s="21" t="s">
        <v>336</v>
      </c>
      <c r="C6225" s="62" t="s">
        <v>60</v>
      </c>
      <c r="D6225" s="62" t="s">
        <v>384</v>
      </c>
      <c r="E6225" s="62" t="s">
        <v>72</v>
      </c>
      <c r="F6225" s="62" t="s">
        <v>382</v>
      </c>
      <c r="G6225" s="63" t="s">
        <v>626</v>
      </c>
      <c r="H6225" s="64" t="n">
        <v>0</v>
      </c>
      <c r="I6225" s="62" t="s">
        <v>81</v>
      </c>
      <c r="J6225" s="64" t="n">
        <v>0</v>
      </c>
      <c r="K6225" s="62" t="s">
        <v>138</v>
      </c>
      <c r="L6225" s="68" t="b">
        <f aca="false">TRUE()</f>
        <v>1</v>
      </c>
    </row>
    <row r="6226" customFormat="false" ht="15" hidden="false" customHeight="false" outlineLevel="0" collapsed="false">
      <c r="A6226" s="62" t="n">
        <v>1</v>
      </c>
      <c r="B6226" s="21" t="s">
        <v>336</v>
      </c>
      <c r="C6226" s="62" t="s">
        <v>60</v>
      </c>
      <c r="D6226" s="62" t="s">
        <v>385</v>
      </c>
      <c r="E6226" s="62" t="s">
        <v>72</v>
      </c>
      <c r="F6226" s="62" t="s">
        <v>382</v>
      </c>
      <c r="G6226" s="63" t="s">
        <v>626</v>
      </c>
      <c r="H6226" s="64" t="n">
        <v>0</v>
      </c>
      <c r="I6226" s="62" t="s">
        <v>81</v>
      </c>
      <c r="J6226" s="64" t="n">
        <v>0</v>
      </c>
      <c r="K6226" s="62" t="s">
        <v>138</v>
      </c>
      <c r="L6226" s="68" t="b">
        <f aca="false">TRUE()</f>
        <v>1</v>
      </c>
    </row>
    <row r="6227" customFormat="false" ht="15" hidden="false" customHeight="false" outlineLevel="0" collapsed="false">
      <c r="A6227" s="62" t="n">
        <v>1</v>
      </c>
      <c r="B6227" s="21" t="s">
        <v>336</v>
      </c>
      <c r="C6227" s="62" t="s">
        <v>60</v>
      </c>
      <c r="D6227" s="62" t="s">
        <v>386</v>
      </c>
      <c r="E6227" s="62" t="s">
        <v>72</v>
      </c>
      <c r="F6227" s="62" t="s">
        <v>382</v>
      </c>
      <c r="G6227" s="63" t="s">
        <v>626</v>
      </c>
      <c r="H6227" s="64" t="n">
        <v>0</v>
      </c>
      <c r="I6227" s="62" t="s">
        <v>81</v>
      </c>
      <c r="J6227" s="64" t="n">
        <v>0</v>
      </c>
      <c r="K6227" s="62" t="s">
        <v>138</v>
      </c>
      <c r="L6227" s="68" t="b">
        <f aca="false">TRUE()</f>
        <v>1</v>
      </c>
    </row>
    <row r="6228" customFormat="false" ht="15" hidden="false" customHeight="false" outlineLevel="0" collapsed="false">
      <c r="A6228" s="62" t="n">
        <v>1</v>
      </c>
      <c r="B6228" s="21" t="s">
        <v>336</v>
      </c>
      <c r="C6228" s="62" t="s">
        <v>60</v>
      </c>
      <c r="D6228" s="62" t="s">
        <v>387</v>
      </c>
      <c r="E6228" s="62" t="s">
        <v>72</v>
      </c>
      <c r="F6228" s="62" t="s">
        <v>382</v>
      </c>
      <c r="G6228" s="63" t="s">
        <v>626</v>
      </c>
      <c r="H6228" s="64" t="n">
        <v>0</v>
      </c>
      <c r="I6228" s="62" t="s">
        <v>81</v>
      </c>
      <c r="J6228" s="64" t="n">
        <v>0</v>
      </c>
      <c r="K6228" s="62" t="s">
        <v>138</v>
      </c>
      <c r="L6228" s="68" t="b">
        <f aca="false">TRUE()</f>
        <v>1</v>
      </c>
    </row>
    <row r="6229" customFormat="false" ht="15" hidden="false" customHeight="false" outlineLevel="0" collapsed="false">
      <c r="A6229" s="62" t="n">
        <v>1</v>
      </c>
      <c r="B6229" s="21" t="s">
        <v>336</v>
      </c>
      <c r="C6229" s="62" t="s">
        <v>60</v>
      </c>
      <c r="D6229" s="62" t="s">
        <v>388</v>
      </c>
      <c r="E6229" s="62" t="s">
        <v>72</v>
      </c>
      <c r="F6229" s="62" t="s">
        <v>382</v>
      </c>
      <c r="G6229" s="63" t="s">
        <v>626</v>
      </c>
      <c r="H6229" s="64" t="n">
        <v>0</v>
      </c>
      <c r="I6229" s="62" t="s">
        <v>81</v>
      </c>
      <c r="J6229" s="64" t="n">
        <v>0</v>
      </c>
      <c r="K6229" s="62" t="s">
        <v>138</v>
      </c>
      <c r="L6229" s="68" t="b">
        <f aca="false">TRUE()</f>
        <v>1</v>
      </c>
    </row>
    <row r="6230" customFormat="false" ht="15" hidden="false" customHeight="false" outlineLevel="0" collapsed="false">
      <c r="A6230" s="62" t="n">
        <v>1</v>
      </c>
      <c r="B6230" s="21" t="s">
        <v>336</v>
      </c>
      <c r="C6230" s="62" t="s">
        <v>60</v>
      </c>
      <c r="D6230" s="62" t="s">
        <v>381</v>
      </c>
      <c r="E6230" s="62" t="s">
        <v>72</v>
      </c>
      <c r="F6230" s="62" t="s">
        <v>382</v>
      </c>
      <c r="G6230" s="63" t="s">
        <v>627</v>
      </c>
      <c r="H6230" s="64" t="n">
        <v>2632573049.89555</v>
      </c>
      <c r="I6230" s="62" t="s">
        <v>81</v>
      </c>
      <c r="J6230" s="64" t="n">
        <v>2632573.04989555</v>
      </c>
      <c r="K6230" s="62" t="s">
        <v>138</v>
      </c>
      <c r="L6230" s="68" t="b">
        <f aca="false">FALSE()</f>
        <v>0</v>
      </c>
    </row>
    <row r="6231" customFormat="false" ht="15" hidden="false" customHeight="false" outlineLevel="0" collapsed="false">
      <c r="A6231" s="62" t="n">
        <v>1</v>
      </c>
      <c r="B6231" s="21" t="s">
        <v>336</v>
      </c>
      <c r="C6231" s="62" t="s">
        <v>60</v>
      </c>
      <c r="D6231" s="62" t="s">
        <v>383</v>
      </c>
      <c r="E6231" s="62" t="s">
        <v>72</v>
      </c>
      <c r="F6231" s="62" t="s">
        <v>382</v>
      </c>
      <c r="G6231" s="63" t="s">
        <v>627</v>
      </c>
      <c r="H6231" s="64" t="n">
        <v>8189554648.61987</v>
      </c>
      <c r="I6231" s="62" t="s">
        <v>81</v>
      </c>
      <c r="J6231" s="64" t="n">
        <v>8189554.64861987</v>
      </c>
      <c r="K6231" s="62" t="s">
        <v>138</v>
      </c>
      <c r="L6231" s="68" t="b">
        <f aca="false">FALSE()</f>
        <v>0</v>
      </c>
    </row>
    <row r="6232" customFormat="false" ht="15" hidden="false" customHeight="false" outlineLevel="0" collapsed="false">
      <c r="A6232" s="62" t="n">
        <v>1</v>
      </c>
      <c r="B6232" s="21" t="s">
        <v>336</v>
      </c>
      <c r="C6232" s="62" t="s">
        <v>60</v>
      </c>
      <c r="D6232" s="62" t="s">
        <v>384</v>
      </c>
      <c r="E6232" s="62" t="s">
        <v>72</v>
      </c>
      <c r="F6232" s="62" t="s">
        <v>382</v>
      </c>
      <c r="G6232" s="63" t="s">
        <v>627</v>
      </c>
      <c r="H6232" s="64" t="n">
        <v>9511133405.26334</v>
      </c>
      <c r="I6232" s="62" t="s">
        <v>81</v>
      </c>
      <c r="J6232" s="64" t="n">
        <v>9511133.40526334</v>
      </c>
      <c r="K6232" s="62" t="s">
        <v>138</v>
      </c>
      <c r="L6232" s="68" t="b">
        <f aca="false">TRUE()</f>
        <v>1</v>
      </c>
    </row>
    <row r="6233" customFormat="false" ht="15" hidden="false" customHeight="false" outlineLevel="0" collapsed="false">
      <c r="A6233" s="62" t="n">
        <v>1</v>
      </c>
      <c r="B6233" s="21" t="s">
        <v>336</v>
      </c>
      <c r="C6233" s="62" t="s">
        <v>60</v>
      </c>
      <c r="D6233" s="62" t="s">
        <v>385</v>
      </c>
      <c r="E6233" s="62" t="s">
        <v>72</v>
      </c>
      <c r="F6233" s="62" t="s">
        <v>382</v>
      </c>
      <c r="G6233" s="63" t="s">
        <v>627</v>
      </c>
      <c r="H6233" s="64" t="n">
        <v>3484633487.04565</v>
      </c>
      <c r="I6233" s="62" t="s">
        <v>81</v>
      </c>
      <c r="J6233" s="64" t="n">
        <v>3484633.48704565</v>
      </c>
      <c r="K6233" s="62" t="s">
        <v>138</v>
      </c>
      <c r="L6233" s="68" t="b">
        <f aca="false">TRUE()</f>
        <v>1</v>
      </c>
    </row>
    <row r="6234" customFormat="false" ht="15" hidden="false" customHeight="false" outlineLevel="0" collapsed="false">
      <c r="A6234" s="62" t="n">
        <v>1</v>
      </c>
      <c r="B6234" s="21" t="s">
        <v>336</v>
      </c>
      <c r="C6234" s="62" t="s">
        <v>60</v>
      </c>
      <c r="D6234" s="62" t="s">
        <v>386</v>
      </c>
      <c r="E6234" s="62" t="s">
        <v>72</v>
      </c>
      <c r="F6234" s="62" t="s">
        <v>382</v>
      </c>
      <c r="G6234" s="63" t="s">
        <v>627</v>
      </c>
      <c r="H6234" s="64" t="n">
        <v>2268825919.62129</v>
      </c>
      <c r="I6234" s="62" t="s">
        <v>81</v>
      </c>
      <c r="J6234" s="64" t="n">
        <v>2268825.91962129</v>
      </c>
      <c r="K6234" s="62" t="s">
        <v>138</v>
      </c>
      <c r="L6234" s="68" t="b">
        <f aca="false">TRUE()</f>
        <v>1</v>
      </c>
    </row>
    <row r="6235" customFormat="false" ht="15" hidden="false" customHeight="false" outlineLevel="0" collapsed="false">
      <c r="A6235" s="62" t="n">
        <v>1</v>
      </c>
      <c r="B6235" s="21" t="s">
        <v>336</v>
      </c>
      <c r="C6235" s="62" t="s">
        <v>60</v>
      </c>
      <c r="D6235" s="62" t="s">
        <v>387</v>
      </c>
      <c r="E6235" s="62" t="s">
        <v>72</v>
      </c>
      <c r="F6235" s="62" t="s">
        <v>382</v>
      </c>
      <c r="G6235" s="63" t="s">
        <v>627</v>
      </c>
      <c r="H6235" s="64" t="n">
        <v>6448395293.88433</v>
      </c>
      <c r="I6235" s="62" t="s">
        <v>81</v>
      </c>
      <c r="J6235" s="64" t="n">
        <v>6448395.29388433</v>
      </c>
      <c r="K6235" s="62" t="s">
        <v>138</v>
      </c>
      <c r="L6235" s="68" t="b">
        <f aca="false">FALSE()</f>
        <v>0</v>
      </c>
    </row>
    <row r="6236" customFormat="false" ht="15" hidden="false" customHeight="false" outlineLevel="0" collapsed="false">
      <c r="A6236" s="62" t="n">
        <v>1</v>
      </c>
      <c r="B6236" s="21" t="s">
        <v>336</v>
      </c>
      <c r="C6236" s="62" t="s">
        <v>60</v>
      </c>
      <c r="D6236" s="62" t="s">
        <v>388</v>
      </c>
      <c r="E6236" s="62" t="s">
        <v>72</v>
      </c>
      <c r="F6236" s="62" t="s">
        <v>382</v>
      </c>
      <c r="G6236" s="63" t="s">
        <v>627</v>
      </c>
      <c r="H6236" s="64" t="n">
        <v>0</v>
      </c>
      <c r="I6236" s="62" t="s">
        <v>81</v>
      </c>
      <c r="J6236" s="64" t="n">
        <v>0</v>
      </c>
      <c r="K6236" s="62" t="s">
        <v>138</v>
      </c>
      <c r="L6236" s="68" t="b">
        <f aca="false">TRUE()</f>
        <v>1</v>
      </c>
    </row>
    <row r="6237" customFormat="false" ht="15" hidden="false" customHeight="false" outlineLevel="0" collapsed="false">
      <c r="A6237" s="62" t="n">
        <v>1</v>
      </c>
      <c r="B6237" s="21" t="s">
        <v>336</v>
      </c>
      <c r="C6237" s="62" t="s">
        <v>60</v>
      </c>
      <c r="D6237" s="62" t="s">
        <v>381</v>
      </c>
      <c r="E6237" s="62" t="s">
        <v>72</v>
      </c>
      <c r="F6237" s="62" t="s">
        <v>382</v>
      </c>
      <c r="G6237" s="63" t="s">
        <v>628</v>
      </c>
      <c r="H6237" s="64" t="n">
        <v>419272237.208262</v>
      </c>
      <c r="I6237" s="62" t="s">
        <v>81</v>
      </c>
      <c r="J6237" s="64" t="n">
        <v>419272.237208262</v>
      </c>
      <c r="K6237" s="62" t="s">
        <v>138</v>
      </c>
      <c r="L6237" s="68" t="b">
        <f aca="false">FALSE()</f>
        <v>0</v>
      </c>
    </row>
    <row r="6238" customFormat="false" ht="15" hidden="false" customHeight="false" outlineLevel="0" collapsed="false">
      <c r="A6238" s="62" t="n">
        <v>1</v>
      </c>
      <c r="B6238" s="21" t="s">
        <v>336</v>
      </c>
      <c r="C6238" s="62" t="s">
        <v>60</v>
      </c>
      <c r="D6238" s="62" t="s">
        <v>383</v>
      </c>
      <c r="E6238" s="62" t="s">
        <v>72</v>
      </c>
      <c r="F6238" s="62" t="s">
        <v>382</v>
      </c>
      <c r="G6238" s="63" t="s">
        <v>628</v>
      </c>
      <c r="H6238" s="64" t="n">
        <v>1278032355.11112</v>
      </c>
      <c r="I6238" s="62" t="s">
        <v>81</v>
      </c>
      <c r="J6238" s="64" t="n">
        <v>1278032.35511112</v>
      </c>
      <c r="K6238" s="62" t="s">
        <v>138</v>
      </c>
      <c r="L6238" s="68" t="b">
        <f aca="false">FALSE()</f>
        <v>0</v>
      </c>
    </row>
    <row r="6239" customFormat="false" ht="15" hidden="false" customHeight="false" outlineLevel="0" collapsed="false">
      <c r="A6239" s="62" t="n">
        <v>1</v>
      </c>
      <c r="B6239" s="21" t="s">
        <v>336</v>
      </c>
      <c r="C6239" s="62" t="s">
        <v>60</v>
      </c>
      <c r="D6239" s="62" t="s">
        <v>384</v>
      </c>
      <c r="E6239" s="62" t="s">
        <v>72</v>
      </c>
      <c r="F6239" s="62" t="s">
        <v>382</v>
      </c>
      <c r="G6239" s="63" t="s">
        <v>628</v>
      </c>
      <c r="H6239" s="64" t="n">
        <v>1567067332.30724</v>
      </c>
      <c r="I6239" s="62" t="s">
        <v>81</v>
      </c>
      <c r="J6239" s="64" t="n">
        <v>1567067.33230724</v>
      </c>
      <c r="K6239" s="62" t="s">
        <v>138</v>
      </c>
      <c r="L6239" s="68" t="b">
        <f aca="false">TRUE()</f>
        <v>1</v>
      </c>
    </row>
    <row r="6240" customFormat="false" ht="15" hidden="false" customHeight="false" outlineLevel="0" collapsed="false">
      <c r="A6240" s="62" t="n">
        <v>1</v>
      </c>
      <c r="B6240" s="21" t="s">
        <v>336</v>
      </c>
      <c r="C6240" s="62" t="s">
        <v>60</v>
      </c>
      <c r="D6240" s="62" t="s">
        <v>385</v>
      </c>
      <c r="E6240" s="62" t="s">
        <v>72</v>
      </c>
      <c r="F6240" s="62" t="s">
        <v>382</v>
      </c>
      <c r="G6240" s="63" t="s">
        <v>628</v>
      </c>
      <c r="H6240" s="64" t="n">
        <v>514425794.178358</v>
      </c>
      <c r="I6240" s="62" t="s">
        <v>81</v>
      </c>
      <c r="J6240" s="64" t="n">
        <v>514425.794178358</v>
      </c>
      <c r="K6240" s="62" t="s">
        <v>138</v>
      </c>
      <c r="L6240" s="68" t="b">
        <f aca="false">TRUE()</f>
        <v>1</v>
      </c>
    </row>
    <row r="6241" customFormat="false" ht="15" hidden="false" customHeight="false" outlineLevel="0" collapsed="false">
      <c r="A6241" s="62" t="n">
        <v>1</v>
      </c>
      <c r="B6241" s="21" t="s">
        <v>336</v>
      </c>
      <c r="C6241" s="62" t="s">
        <v>60</v>
      </c>
      <c r="D6241" s="62" t="s">
        <v>386</v>
      </c>
      <c r="E6241" s="62" t="s">
        <v>72</v>
      </c>
      <c r="F6241" s="62" t="s">
        <v>382</v>
      </c>
      <c r="G6241" s="63" t="s">
        <v>628</v>
      </c>
      <c r="H6241" s="64" t="n">
        <v>330943875.469526</v>
      </c>
      <c r="I6241" s="62" t="s">
        <v>81</v>
      </c>
      <c r="J6241" s="64" t="n">
        <v>330943.875469526</v>
      </c>
      <c r="K6241" s="62" t="s">
        <v>138</v>
      </c>
      <c r="L6241" s="68" t="b">
        <f aca="false">TRUE()</f>
        <v>1</v>
      </c>
    </row>
    <row r="6242" customFormat="false" ht="15" hidden="false" customHeight="false" outlineLevel="0" collapsed="false">
      <c r="A6242" s="62" t="n">
        <v>1</v>
      </c>
      <c r="B6242" s="21" t="s">
        <v>336</v>
      </c>
      <c r="C6242" s="62" t="s">
        <v>60</v>
      </c>
      <c r="D6242" s="62" t="s">
        <v>387</v>
      </c>
      <c r="E6242" s="62" t="s">
        <v>72</v>
      </c>
      <c r="F6242" s="62" t="s">
        <v>382</v>
      </c>
      <c r="G6242" s="63" t="s">
        <v>628</v>
      </c>
      <c r="H6242" s="64" t="n">
        <v>947505222.284229</v>
      </c>
      <c r="I6242" s="62" t="s">
        <v>81</v>
      </c>
      <c r="J6242" s="64" t="n">
        <v>947505.222284229</v>
      </c>
      <c r="K6242" s="62" t="s">
        <v>138</v>
      </c>
      <c r="L6242" s="68" t="b">
        <f aca="false">FALSE()</f>
        <v>0</v>
      </c>
    </row>
    <row r="6243" customFormat="false" ht="15" hidden="false" customHeight="false" outlineLevel="0" collapsed="false">
      <c r="A6243" s="62" t="n">
        <v>1</v>
      </c>
      <c r="B6243" s="21" t="s">
        <v>336</v>
      </c>
      <c r="C6243" s="62" t="s">
        <v>60</v>
      </c>
      <c r="D6243" s="62" t="s">
        <v>388</v>
      </c>
      <c r="E6243" s="62" t="s">
        <v>72</v>
      </c>
      <c r="F6243" s="62" t="s">
        <v>382</v>
      </c>
      <c r="G6243" s="63" t="s">
        <v>628</v>
      </c>
      <c r="H6243" s="64" t="n">
        <v>0</v>
      </c>
      <c r="I6243" s="62" t="s">
        <v>81</v>
      </c>
      <c r="J6243" s="64" t="n">
        <v>0</v>
      </c>
      <c r="K6243" s="62" t="s">
        <v>138</v>
      </c>
      <c r="L6243" s="68" t="b">
        <f aca="false">TRUE()</f>
        <v>1</v>
      </c>
    </row>
    <row r="6244" customFormat="false" ht="15" hidden="false" customHeight="false" outlineLevel="0" collapsed="false">
      <c r="A6244" s="62" t="n">
        <v>1</v>
      </c>
      <c r="B6244" s="21" t="s">
        <v>336</v>
      </c>
      <c r="C6244" s="62" t="s">
        <v>60</v>
      </c>
      <c r="D6244" s="62" t="s">
        <v>381</v>
      </c>
      <c r="E6244" s="62" t="s">
        <v>72</v>
      </c>
      <c r="F6244" s="62" t="s">
        <v>382</v>
      </c>
      <c r="G6244" s="63" t="s">
        <v>629</v>
      </c>
      <c r="H6244" s="64" t="n">
        <v>1050718057.00667</v>
      </c>
      <c r="I6244" s="62" t="s">
        <v>81</v>
      </c>
      <c r="J6244" s="64" t="n">
        <v>1050718.05700667</v>
      </c>
      <c r="K6244" s="62" t="s">
        <v>138</v>
      </c>
      <c r="L6244" s="68" t="b">
        <f aca="false">FALSE()</f>
        <v>0</v>
      </c>
    </row>
    <row r="6245" customFormat="false" ht="15" hidden="false" customHeight="false" outlineLevel="0" collapsed="false">
      <c r="A6245" s="62" t="n">
        <v>1</v>
      </c>
      <c r="B6245" s="21" t="s">
        <v>336</v>
      </c>
      <c r="C6245" s="62" t="s">
        <v>60</v>
      </c>
      <c r="D6245" s="62" t="s">
        <v>383</v>
      </c>
      <c r="E6245" s="62" t="s">
        <v>72</v>
      </c>
      <c r="F6245" s="62" t="s">
        <v>382</v>
      </c>
      <c r="G6245" s="63" t="s">
        <v>629</v>
      </c>
      <c r="H6245" s="64" t="n">
        <v>3097737698.65988</v>
      </c>
      <c r="I6245" s="62" t="s">
        <v>81</v>
      </c>
      <c r="J6245" s="64" t="n">
        <v>3097737.69865988</v>
      </c>
      <c r="K6245" s="62" t="s">
        <v>138</v>
      </c>
      <c r="L6245" s="68" t="b">
        <f aca="false">FALSE()</f>
        <v>0</v>
      </c>
    </row>
    <row r="6246" customFormat="false" ht="15" hidden="false" customHeight="false" outlineLevel="0" collapsed="false">
      <c r="A6246" s="62" t="n">
        <v>1</v>
      </c>
      <c r="B6246" s="21" t="s">
        <v>336</v>
      </c>
      <c r="C6246" s="62" t="s">
        <v>60</v>
      </c>
      <c r="D6246" s="62" t="s">
        <v>384</v>
      </c>
      <c r="E6246" s="62" t="s">
        <v>72</v>
      </c>
      <c r="F6246" s="62" t="s">
        <v>382</v>
      </c>
      <c r="G6246" s="63" t="s">
        <v>629</v>
      </c>
      <c r="H6246" s="64" t="n">
        <v>4103419651.44625</v>
      </c>
      <c r="I6246" s="62" t="s">
        <v>81</v>
      </c>
      <c r="J6246" s="64" t="n">
        <v>4103419.65144625</v>
      </c>
      <c r="K6246" s="62" t="s">
        <v>138</v>
      </c>
      <c r="L6246" s="68" t="b">
        <f aca="false">TRUE()</f>
        <v>1</v>
      </c>
    </row>
    <row r="6247" customFormat="false" ht="15" hidden="false" customHeight="false" outlineLevel="0" collapsed="false">
      <c r="A6247" s="62" t="n">
        <v>1</v>
      </c>
      <c r="B6247" s="21" t="s">
        <v>336</v>
      </c>
      <c r="C6247" s="62" t="s">
        <v>60</v>
      </c>
      <c r="D6247" s="62" t="s">
        <v>385</v>
      </c>
      <c r="E6247" s="62" t="s">
        <v>72</v>
      </c>
      <c r="F6247" s="62" t="s">
        <v>382</v>
      </c>
      <c r="G6247" s="63" t="s">
        <v>629</v>
      </c>
      <c r="H6247" s="64" t="n">
        <v>1082363774.82908</v>
      </c>
      <c r="I6247" s="62" t="s">
        <v>81</v>
      </c>
      <c r="J6247" s="64" t="n">
        <v>1082363.77482908</v>
      </c>
      <c r="K6247" s="62" t="s">
        <v>138</v>
      </c>
      <c r="L6247" s="68" t="b">
        <f aca="false">TRUE()</f>
        <v>1</v>
      </c>
    </row>
    <row r="6248" customFormat="false" ht="15" hidden="false" customHeight="false" outlineLevel="0" collapsed="false">
      <c r="A6248" s="62" t="n">
        <v>1</v>
      </c>
      <c r="B6248" s="21" t="s">
        <v>336</v>
      </c>
      <c r="C6248" s="62" t="s">
        <v>60</v>
      </c>
      <c r="D6248" s="62" t="s">
        <v>386</v>
      </c>
      <c r="E6248" s="62" t="s">
        <v>72</v>
      </c>
      <c r="F6248" s="62" t="s">
        <v>382</v>
      </c>
      <c r="G6248" s="63" t="s">
        <v>629</v>
      </c>
      <c r="H6248" s="64" t="n">
        <v>492921869.245561</v>
      </c>
      <c r="I6248" s="62" t="s">
        <v>81</v>
      </c>
      <c r="J6248" s="64" t="n">
        <v>492921.869245561</v>
      </c>
      <c r="K6248" s="62" t="s">
        <v>138</v>
      </c>
      <c r="L6248" s="68" t="b">
        <f aca="false">TRUE()</f>
        <v>1</v>
      </c>
    </row>
    <row r="6249" customFormat="false" ht="15" hidden="false" customHeight="false" outlineLevel="0" collapsed="false">
      <c r="A6249" s="62" t="n">
        <v>1</v>
      </c>
      <c r="B6249" s="21" t="s">
        <v>336</v>
      </c>
      <c r="C6249" s="62" t="s">
        <v>60</v>
      </c>
      <c r="D6249" s="62" t="s">
        <v>387</v>
      </c>
      <c r="E6249" s="62" t="s">
        <v>72</v>
      </c>
      <c r="F6249" s="62" t="s">
        <v>382</v>
      </c>
      <c r="G6249" s="63" t="s">
        <v>629</v>
      </c>
      <c r="H6249" s="64" t="n">
        <v>1936113096.49823</v>
      </c>
      <c r="I6249" s="62" t="s">
        <v>81</v>
      </c>
      <c r="J6249" s="64" t="n">
        <v>1936113.09649823</v>
      </c>
      <c r="K6249" s="62" t="s">
        <v>138</v>
      </c>
      <c r="L6249" s="68" t="b">
        <f aca="false">FALSE()</f>
        <v>0</v>
      </c>
    </row>
    <row r="6250" customFormat="false" ht="15" hidden="false" customHeight="false" outlineLevel="0" collapsed="false">
      <c r="A6250" s="62" t="n">
        <v>1</v>
      </c>
      <c r="B6250" s="21" t="s">
        <v>336</v>
      </c>
      <c r="C6250" s="62" t="s">
        <v>60</v>
      </c>
      <c r="D6250" s="62" t="s">
        <v>388</v>
      </c>
      <c r="E6250" s="62" t="s">
        <v>72</v>
      </c>
      <c r="F6250" s="62" t="s">
        <v>382</v>
      </c>
      <c r="G6250" s="63" t="s">
        <v>629</v>
      </c>
      <c r="H6250" s="64" t="n">
        <v>0</v>
      </c>
      <c r="I6250" s="62" t="s">
        <v>81</v>
      </c>
      <c r="J6250" s="64" t="n">
        <v>0</v>
      </c>
      <c r="K6250" s="62" t="s">
        <v>138</v>
      </c>
      <c r="L6250" s="68" t="b">
        <f aca="false">TRUE()</f>
        <v>1</v>
      </c>
    </row>
    <row r="6251" customFormat="false" ht="15" hidden="false" customHeight="false" outlineLevel="0" collapsed="false">
      <c r="A6251" s="62" t="n">
        <v>1</v>
      </c>
      <c r="B6251" s="21" t="s">
        <v>336</v>
      </c>
      <c r="C6251" s="62" t="s">
        <v>60</v>
      </c>
      <c r="D6251" s="62" t="s">
        <v>381</v>
      </c>
      <c r="E6251" s="62" t="s">
        <v>72</v>
      </c>
      <c r="F6251" s="62" t="s">
        <v>382</v>
      </c>
      <c r="G6251" s="63" t="s">
        <v>630</v>
      </c>
      <c r="H6251" s="64" t="n">
        <v>4102563344.11048</v>
      </c>
      <c r="I6251" s="62" t="s">
        <v>81</v>
      </c>
      <c r="J6251" s="64" t="n">
        <v>4102563.34411048</v>
      </c>
      <c r="K6251" s="62" t="s">
        <v>138</v>
      </c>
      <c r="L6251" s="68" t="b">
        <f aca="false">FALSE()</f>
        <v>0</v>
      </c>
    </row>
    <row r="6252" customFormat="false" ht="15" hidden="false" customHeight="false" outlineLevel="0" collapsed="false">
      <c r="A6252" s="62" t="n">
        <v>1</v>
      </c>
      <c r="B6252" s="21" t="s">
        <v>336</v>
      </c>
      <c r="C6252" s="62" t="s">
        <v>60</v>
      </c>
      <c r="D6252" s="62" t="s">
        <v>383</v>
      </c>
      <c r="E6252" s="62" t="s">
        <v>72</v>
      </c>
      <c r="F6252" s="62" t="s">
        <v>382</v>
      </c>
      <c r="G6252" s="63" t="s">
        <v>630</v>
      </c>
      <c r="H6252" s="64" t="n">
        <v>12565324702.3909</v>
      </c>
      <c r="I6252" s="62" t="s">
        <v>81</v>
      </c>
      <c r="J6252" s="64" t="n">
        <v>12565324.7023909</v>
      </c>
      <c r="K6252" s="62" t="s">
        <v>138</v>
      </c>
      <c r="L6252" s="68" t="b">
        <f aca="false">FALSE()</f>
        <v>0</v>
      </c>
    </row>
    <row r="6253" customFormat="false" ht="15" hidden="false" customHeight="false" outlineLevel="0" collapsed="false">
      <c r="A6253" s="62" t="n">
        <v>1</v>
      </c>
      <c r="B6253" s="21" t="s">
        <v>336</v>
      </c>
      <c r="C6253" s="62" t="s">
        <v>60</v>
      </c>
      <c r="D6253" s="62" t="s">
        <v>384</v>
      </c>
      <c r="E6253" s="62" t="s">
        <v>72</v>
      </c>
      <c r="F6253" s="62" t="s">
        <v>382</v>
      </c>
      <c r="G6253" s="63" t="s">
        <v>630</v>
      </c>
      <c r="H6253" s="64" t="n">
        <v>15181620389.0168</v>
      </c>
      <c r="I6253" s="62" t="s">
        <v>81</v>
      </c>
      <c r="J6253" s="64" t="n">
        <v>15181620.3890168</v>
      </c>
      <c r="K6253" s="62" t="s">
        <v>138</v>
      </c>
      <c r="L6253" s="68" t="b">
        <f aca="false">TRUE()</f>
        <v>1</v>
      </c>
    </row>
    <row r="6254" customFormat="false" ht="15" hidden="false" customHeight="false" outlineLevel="0" collapsed="false">
      <c r="A6254" s="62" t="n">
        <v>1</v>
      </c>
      <c r="B6254" s="21" t="s">
        <v>336</v>
      </c>
      <c r="C6254" s="62" t="s">
        <v>60</v>
      </c>
      <c r="D6254" s="62" t="s">
        <v>385</v>
      </c>
      <c r="E6254" s="62" t="s">
        <v>72</v>
      </c>
      <c r="F6254" s="62" t="s">
        <v>382</v>
      </c>
      <c r="G6254" s="63" t="s">
        <v>630</v>
      </c>
      <c r="H6254" s="64" t="n">
        <v>5081423056.05309</v>
      </c>
      <c r="I6254" s="62" t="s">
        <v>81</v>
      </c>
      <c r="J6254" s="64" t="n">
        <v>5081423.05605309</v>
      </c>
      <c r="K6254" s="62" t="s">
        <v>138</v>
      </c>
      <c r="L6254" s="68" t="b">
        <f aca="false">TRUE()</f>
        <v>1</v>
      </c>
    </row>
    <row r="6255" customFormat="false" ht="15" hidden="false" customHeight="false" outlineLevel="0" collapsed="false">
      <c r="A6255" s="62" t="n">
        <v>1</v>
      </c>
      <c r="B6255" s="21" t="s">
        <v>336</v>
      </c>
      <c r="C6255" s="62" t="s">
        <v>60</v>
      </c>
      <c r="D6255" s="62" t="s">
        <v>386</v>
      </c>
      <c r="E6255" s="62" t="s">
        <v>72</v>
      </c>
      <c r="F6255" s="62" t="s">
        <v>382</v>
      </c>
      <c r="G6255" s="63" t="s">
        <v>630</v>
      </c>
      <c r="H6255" s="64" t="n">
        <v>3092691664.33638</v>
      </c>
      <c r="I6255" s="62" t="s">
        <v>81</v>
      </c>
      <c r="J6255" s="64" t="n">
        <v>3092691.66433638</v>
      </c>
      <c r="K6255" s="62" t="s">
        <v>138</v>
      </c>
      <c r="L6255" s="68" t="b">
        <f aca="false">TRUE()</f>
        <v>1</v>
      </c>
    </row>
    <row r="6256" customFormat="false" ht="15" hidden="false" customHeight="false" outlineLevel="0" collapsed="false">
      <c r="A6256" s="62" t="n">
        <v>1</v>
      </c>
      <c r="B6256" s="21" t="s">
        <v>336</v>
      </c>
      <c r="C6256" s="62" t="s">
        <v>60</v>
      </c>
      <c r="D6256" s="62" t="s">
        <v>387</v>
      </c>
      <c r="E6256" s="62" t="s">
        <v>72</v>
      </c>
      <c r="F6256" s="62" t="s">
        <v>382</v>
      </c>
      <c r="G6256" s="63" t="s">
        <v>630</v>
      </c>
      <c r="H6256" s="64" t="n">
        <v>9332013612.66679</v>
      </c>
      <c r="I6256" s="62" t="s">
        <v>81</v>
      </c>
      <c r="J6256" s="64" t="n">
        <v>9332013.61266679</v>
      </c>
      <c r="K6256" s="62" t="s">
        <v>138</v>
      </c>
      <c r="L6256" s="68" t="b">
        <f aca="false">FALSE()</f>
        <v>0</v>
      </c>
    </row>
    <row r="6257" customFormat="false" ht="15" hidden="false" customHeight="false" outlineLevel="0" collapsed="false">
      <c r="A6257" s="62" t="n">
        <v>1</v>
      </c>
      <c r="B6257" s="21" t="s">
        <v>336</v>
      </c>
      <c r="C6257" s="62" t="s">
        <v>60</v>
      </c>
      <c r="D6257" s="62" t="s">
        <v>388</v>
      </c>
      <c r="E6257" s="62" t="s">
        <v>72</v>
      </c>
      <c r="F6257" s="62" t="s">
        <v>382</v>
      </c>
      <c r="G6257" s="63" t="s">
        <v>630</v>
      </c>
      <c r="H6257" s="64" t="n">
        <v>0</v>
      </c>
      <c r="I6257" s="62" t="s">
        <v>81</v>
      </c>
      <c r="J6257" s="64" t="n">
        <v>0</v>
      </c>
      <c r="K6257" s="62" t="s">
        <v>138</v>
      </c>
      <c r="L6257" s="68" t="b">
        <f aca="false">TRUE()</f>
        <v>1</v>
      </c>
    </row>
    <row r="6258" customFormat="false" ht="15" hidden="false" customHeight="false" outlineLevel="0" collapsed="false">
      <c r="A6258" s="62" t="n">
        <v>1</v>
      </c>
      <c r="B6258" s="21" t="s">
        <v>336</v>
      </c>
      <c r="C6258" s="62" t="s">
        <v>60</v>
      </c>
      <c r="D6258" s="62" t="s">
        <v>381</v>
      </c>
      <c r="E6258" s="62" t="s">
        <v>72</v>
      </c>
      <c r="F6258" s="62" t="s">
        <v>382</v>
      </c>
      <c r="G6258" s="63" t="s">
        <v>631</v>
      </c>
      <c r="H6258" s="64" t="n">
        <v>1500705910.29467</v>
      </c>
      <c r="I6258" s="62" t="s">
        <v>81</v>
      </c>
      <c r="J6258" s="64" t="n">
        <v>1500705.91029467</v>
      </c>
      <c r="K6258" s="62" t="s">
        <v>138</v>
      </c>
      <c r="L6258" s="68" t="b">
        <f aca="false">FALSE()</f>
        <v>0</v>
      </c>
    </row>
    <row r="6259" customFormat="false" ht="15" hidden="false" customHeight="false" outlineLevel="0" collapsed="false">
      <c r="A6259" s="62" t="n">
        <v>1</v>
      </c>
      <c r="B6259" s="21" t="s">
        <v>336</v>
      </c>
      <c r="C6259" s="62" t="s">
        <v>60</v>
      </c>
      <c r="D6259" s="62" t="s">
        <v>383</v>
      </c>
      <c r="E6259" s="62" t="s">
        <v>72</v>
      </c>
      <c r="F6259" s="62" t="s">
        <v>382</v>
      </c>
      <c r="G6259" s="63" t="s">
        <v>631</v>
      </c>
      <c r="H6259" s="64" t="n">
        <v>12726957671.9292</v>
      </c>
      <c r="I6259" s="62" t="s">
        <v>81</v>
      </c>
      <c r="J6259" s="64" t="n">
        <v>12726957.6719292</v>
      </c>
      <c r="K6259" s="62" t="s">
        <v>138</v>
      </c>
      <c r="L6259" s="68" t="b">
        <f aca="false">FALSE()</f>
        <v>0</v>
      </c>
    </row>
    <row r="6260" customFormat="false" ht="15" hidden="false" customHeight="false" outlineLevel="0" collapsed="false">
      <c r="A6260" s="62" t="n">
        <v>1</v>
      </c>
      <c r="B6260" s="21" t="s">
        <v>336</v>
      </c>
      <c r="C6260" s="62" t="s">
        <v>60</v>
      </c>
      <c r="D6260" s="62" t="s">
        <v>384</v>
      </c>
      <c r="E6260" s="62" t="s">
        <v>72</v>
      </c>
      <c r="F6260" s="62" t="s">
        <v>382</v>
      </c>
      <c r="G6260" s="63" t="s">
        <v>631</v>
      </c>
      <c r="H6260" s="64" t="n">
        <v>9685102698.74743</v>
      </c>
      <c r="I6260" s="62" t="s">
        <v>81</v>
      </c>
      <c r="J6260" s="64" t="n">
        <v>9685102.69874743</v>
      </c>
      <c r="K6260" s="62" t="s">
        <v>138</v>
      </c>
      <c r="L6260" s="68" t="b">
        <f aca="false">TRUE()</f>
        <v>1</v>
      </c>
    </row>
    <row r="6261" customFormat="false" ht="15" hidden="false" customHeight="false" outlineLevel="0" collapsed="false">
      <c r="A6261" s="62" t="n">
        <v>1</v>
      </c>
      <c r="B6261" s="21" t="s">
        <v>336</v>
      </c>
      <c r="C6261" s="62" t="s">
        <v>60</v>
      </c>
      <c r="D6261" s="62" t="s">
        <v>385</v>
      </c>
      <c r="E6261" s="62" t="s">
        <v>72</v>
      </c>
      <c r="F6261" s="62" t="s">
        <v>382</v>
      </c>
      <c r="G6261" s="63" t="s">
        <v>631</v>
      </c>
      <c r="H6261" s="64" t="n">
        <v>7512095936.83826</v>
      </c>
      <c r="I6261" s="62" t="s">
        <v>81</v>
      </c>
      <c r="J6261" s="64" t="n">
        <v>7512095.93683826</v>
      </c>
      <c r="K6261" s="62" t="s">
        <v>138</v>
      </c>
      <c r="L6261" s="68" t="b">
        <f aca="false">TRUE()</f>
        <v>1</v>
      </c>
    </row>
    <row r="6262" customFormat="false" ht="15" hidden="false" customHeight="false" outlineLevel="0" collapsed="false">
      <c r="A6262" s="62" t="n">
        <v>1</v>
      </c>
      <c r="B6262" s="21" t="s">
        <v>336</v>
      </c>
      <c r="C6262" s="62" t="s">
        <v>60</v>
      </c>
      <c r="D6262" s="62" t="s">
        <v>386</v>
      </c>
      <c r="E6262" s="62" t="s">
        <v>72</v>
      </c>
      <c r="F6262" s="62" t="s">
        <v>382</v>
      </c>
      <c r="G6262" s="63" t="s">
        <v>631</v>
      </c>
      <c r="H6262" s="64" t="n">
        <v>2523068607.60445</v>
      </c>
      <c r="I6262" s="62" t="s">
        <v>81</v>
      </c>
      <c r="J6262" s="64" t="n">
        <v>2523068.60760445</v>
      </c>
      <c r="K6262" s="62" t="s">
        <v>138</v>
      </c>
      <c r="L6262" s="68" t="b">
        <f aca="false">TRUE()</f>
        <v>1</v>
      </c>
    </row>
    <row r="6263" customFormat="false" ht="15" hidden="false" customHeight="false" outlineLevel="0" collapsed="false">
      <c r="A6263" s="62" t="n">
        <v>1</v>
      </c>
      <c r="B6263" s="21" t="s">
        <v>336</v>
      </c>
      <c r="C6263" s="62" t="s">
        <v>60</v>
      </c>
      <c r="D6263" s="62" t="s">
        <v>387</v>
      </c>
      <c r="E6263" s="62" t="s">
        <v>72</v>
      </c>
      <c r="F6263" s="62" t="s">
        <v>382</v>
      </c>
      <c r="G6263" s="63" t="s">
        <v>631</v>
      </c>
      <c r="H6263" s="64" t="n">
        <v>8689636867.63415</v>
      </c>
      <c r="I6263" s="62" t="s">
        <v>81</v>
      </c>
      <c r="J6263" s="64" t="n">
        <v>8689636.86763415</v>
      </c>
      <c r="K6263" s="62" t="s">
        <v>138</v>
      </c>
      <c r="L6263" s="68" t="b">
        <f aca="false">FALSE()</f>
        <v>0</v>
      </c>
    </row>
    <row r="6264" customFormat="false" ht="15" hidden="false" customHeight="false" outlineLevel="0" collapsed="false">
      <c r="A6264" s="62" t="n">
        <v>1</v>
      </c>
      <c r="B6264" s="21" t="s">
        <v>336</v>
      </c>
      <c r="C6264" s="62" t="s">
        <v>60</v>
      </c>
      <c r="D6264" s="62" t="s">
        <v>388</v>
      </c>
      <c r="E6264" s="62" t="s">
        <v>72</v>
      </c>
      <c r="F6264" s="62" t="s">
        <v>382</v>
      </c>
      <c r="G6264" s="63" t="s">
        <v>631</v>
      </c>
      <c r="H6264" s="64" t="n">
        <v>0</v>
      </c>
      <c r="I6264" s="62" t="s">
        <v>81</v>
      </c>
      <c r="J6264" s="64" t="n">
        <v>0</v>
      </c>
      <c r="K6264" s="62" t="s">
        <v>138</v>
      </c>
      <c r="L6264" s="68" t="b">
        <f aca="false">TRUE()</f>
        <v>1</v>
      </c>
    </row>
    <row r="6265" customFormat="false" ht="15" hidden="false" customHeight="false" outlineLevel="0" collapsed="false">
      <c r="A6265" s="62" t="n">
        <v>1</v>
      </c>
      <c r="B6265" s="21" t="s">
        <v>336</v>
      </c>
      <c r="C6265" s="62" t="s">
        <v>60</v>
      </c>
      <c r="D6265" s="62" t="s">
        <v>381</v>
      </c>
      <c r="E6265" s="62" t="s">
        <v>72</v>
      </c>
      <c r="F6265" s="62" t="s">
        <v>382</v>
      </c>
      <c r="G6265" s="63" t="s">
        <v>632</v>
      </c>
      <c r="H6265" s="64" t="n">
        <v>350000000</v>
      </c>
      <c r="I6265" s="62" t="s">
        <v>81</v>
      </c>
      <c r="J6265" s="64" t="n">
        <v>350000</v>
      </c>
      <c r="K6265" s="62" t="s">
        <v>138</v>
      </c>
      <c r="L6265" s="68" t="b">
        <f aca="false">TRUE()</f>
        <v>1</v>
      </c>
    </row>
    <row r="6266" customFormat="false" ht="15" hidden="false" customHeight="false" outlineLevel="0" collapsed="false">
      <c r="A6266" s="62" t="n">
        <v>1</v>
      </c>
      <c r="B6266" s="21" t="s">
        <v>336</v>
      </c>
      <c r="C6266" s="62" t="s">
        <v>60</v>
      </c>
      <c r="D6266" s="62" t="s">
        <v>383</v>
      </c>
      <c r="E6266" s="62" t="s">
        <v>72</v>
      </c>
      <c r="F6266" s="62" t="s">
        <v>382</v>
      </c>
      <c r="G6266" s="63" t="s">
        <v>632</v>
      </c>
      <c r="H6266" s="64" t="n">
        <v>2744395000</v>
      </c>
      <c r="I6266" s="62" t="s">
        <v>81</v>
      </c>
      <c r="J6266" s="64" t="n">
        <v>2744395</v>
      </c>
      <c r="K6266" s="62" t="s">
        <v>138</v>
      </c>
      <c r="L6266" s="68" t="b">
        <f aca="false">FALSE()</f>
        <v>0</v>
      </c>
    </row>
    <row r="6267" customFormat="false" ht="15" hidden="false" customHeight="false" outlineLevel="0" collapsed="false">
      <c r="A6267" s="62" t="n">
        <v>1</v>
      </c>
      <c r="B6267" s="21" t="s">
        <v>336</v>
      </c>
      <c r="C6267" s="62" t="s">
        <v>60</v>
      </c>
      <c r="D6267" s="62" t="s">
        <v>384</v>
      </c>
      <c r="E6267" s="62" t="s">
        <v>72</v>
      </c>
      <c r="F6267" s="62" t="s">
        <v>382</v>
      </c>
      <c r="G6267" s="63" t="s">
        <v>632</v>
      </c>
      <c r="H6267" s="64" t="n">
        <v>679510000</v>
      </c>
      <c r="I6267" s="62" t="s">
        <v>81</v>
      </c>
      <c r="J6267" s="64" t="n">
        <v>679510</v>
      </c>
      <c r="K6267" s="62" t="s">
        <v>138</v>
      </c>
      <c r="L6267" s="68" t="b">
        <f aca="false">TRUE()</f>
        <v>1</v>
      </c>
    </row>
    <row r="6268" customFormat="false" ht="15" hidden="false" customHeight="false" outlineLevel="0" collapsed="false">
      <c r="A6268" s="62" t="n">
        <v>1</v>
      </c>
      <c r="B6268" s="21" t="s">
        <v>336</v>
      </c>
      <c r="C6268" s="62" t="s">
        <v>60</v>
      </c>
      <c r="D6268" s="62" t="s">
        <v>385</v>
      </c>
      <c r="E6268" s="62" t="s">
        <v>72</v>
      </c>
      <c r="F6268" s="62" t="s">
        <v>382</v>
      </c>
      <c r="G6268" s="63" t="s">
        <v>632</v>
      </c>
      <c r="H6268" s="64" t="n">
        <v>828462000</v>
      </c>
      <c r="I6268" s="62" t="s">
        <v>81</v>
      </c>
      <c r="J6268" s="64" t="n">
        <v>828462</v>
      </c>
      <c r="K6268" s="62" t="s">
        <v>138</v>
      </c>
      <c r="L6268" s="68" t="b">
        <f aca="false">TRUE()</f>
        <v>1</v>
      </c>
    </row>
    <row r="6269" customFormat="false" ht="15" hidden="false" customHeight="false" outlineLevel="0" collapsed="false">
      <c r="A6269" s="62" t="n">
        <v>1</v>
      </c>
      <c r="B6269" s="21" t="s">
        <v>336</v>
      </c>
      <c r="C6269" s="62" t="s">
        <v>60</v>
      </c>
      <c r="D6269" s="62" t="s">
        <v>386</v>
      </c>
      <c r="E6269" s="62" t="s">
        <v>72</v>
      </c>
      <c r="F6269" s="62" t="s">
        <v>382</v>
      </c>
      <c r="G6269" s="63" t="s">
        <v>632</v>
      </c>
      <c r="H6269" s="64" t="n">
        <v>1000000000</v>
      </c>
      <c r="I6269" s="62" t="s">
        <v>81</v>
      </c>
      <c r="J6269" s="64" t="n">
        <v>1000000</v>
      </c>
      <c r="K6269" s="62" t="s">
        <v>138</v>
      </c>
      <c r="L6269" s="68" t="b">
        <f aca="false">TRUE()</f>
        <v>1</v>
      </c>
    </row>
    <row r="6270" customFormat="false" ht="15" hidden="false" customHeight="false" outlineLevel="0" collapsed="false">
      <c r="A6270" s="62" t="n">
        <v>1</v>
      </c>
      <c r="B6270" s="21" t="s">
        <v>336</v>
      </c>
      <c r="C6270" s="62" t="s">
        <v>60</v>
      </c>
      <c r="D6270" s="62" t="s">
        <v>387</v>
      </c>
      <c r="E6270" s="62" t="s">
        <v>72</v>
      </c>
      <c r="F6270" s="62" t="s">
        <v>382</v>
      </c>
      <c r="G6270" s="63" t="s">
        <v>632</v>
      </c>
      <c r="H6270" s="64" t="n">
        <v>456613500</v>
      </c>
      <c r="I6270" s="62" t="s">
        <v>81</v>
      </c>
      <c r="J6270" s="64" t="n">
        <v>456613.5</v>
      </c>
      <c r="K6270" s="62" t="s">
        <v>138</v>
      </c>
      <c r="L6270" s="68" t="b">
        <f aca="false">TRUE()</f>
        <v>1</v>
      </c>
    </row>
    <row r="6271" customFormat="false" ht="15" hidden="false" customHeight="false" outlineLevel="0" collapsed="false">
      <c r="A6271" s="62" t="n">
        <v>1</v>
      </c>
      <c r="B6271" s="21" t="s">
        <v>336</v>
      </c>
      <c r="C6271" s="62" t="s">
        <v>60</v>
      </c>
      <c r="D6271" s="62" t="s">
        <v>388</v>
      </c>
      <c r="E6271" s="62" t="s">
        <v>72</v>
      </c>
      <c r="F6271" s="62" t="s">
        <v>382</v>
      </c>
      <c r="G6271" s="63" t="s">
        <v>632</v>
      </c>
      <c r="H6271" s="64" t="n">
        <v>410996000</v>
      </c>
      <c r="I6271" s="62" t="s">
        <v>81</v>
      </c>
      <c r="J6271" s="64" t="n">
        <v>410996</v>
      </c>
      <c r="K6271" s="62" t="s">
        <v>138</v>
      </c>
      <c r="L6271" s="68" t="b">
        <f aca="false">FALSE()</f>
        <v>0</v>
      </c>
    </row>
    <row r="6272" customFormat="false" ht="15" hidden="false" customHeight="false" outlineLevel="0" collapsed="false">
      <c r="A6272" s="62" t="n">
        <v>1</v>
      </c>
      <c r="B6272" s="21" t="s">
        <v>336</v>
      </c>
      <c r="C6272" s="62" t="s">
        <v>60</v>
      </c>
      <c r="D6272" s="62" t="s">
        <v>381</v>
      </c>
      <c r="E6272" s="62" t="s">
        <v>72</v>
      </c>
      <c r="F6272" s="62" t="s">
        <v>382</v>
      </c>
      <c r="G6272" s="63" t="s">
        <v>633</v>
      </c>
      <c r="H6272" s="64" t="n">
        <v>1150705910.29467</v>
      </c>
      <c r="I6272" s="62" t="s">
        <v>81</v>
      </c>
      <c r="J6272" s="64" t="n">
        <v>1150705.91029467</v>
      </c>
      <c r="K6272" s="62" t="s">
        <v>138</v>
      </c>
      <c r="L6272" s="68" t="b">
        <f aca="false">FALSE()</f>
        <v>0</v>
      </c>
    </row>
    <row r="6273" customFormat="false" ht="15" hidden="false" customHeight="false" outlineLevel="0" collapsed="false">
      <c r="A6273" s="62" t="n">
        <v>1</v>
      </c>
      <c r="B6273" s="21" t="s">
        <v>336</v>
      </c>
      <c r="C6273" s="62" t="s">
        <v>60</v>
      </c>
      <c r="D6273" s="62" t="s">
        <v>383</v>
      </c>
      <c r="E6273" s="62" t="s">
        <v>72</v>
      </c>
      <c r="F6273" s="62" t="s">
        <v>382</v>
      </c>
      <c r="G6273" s="63" t="s">
        <v>633</v>
      </c>
      <c r="H6273" s="64" t="n">
        <v>9982562671.92923</v>
      </c>
      <c r="I6273" s="62" t="s">
        <v>81</v>
      </c>
      <c r="J6273" s="64" t="n">
        <v>9982562.67192923</v>
      </c>
      <c r="K6273" s="62" t="s">
        <v>138</v>
      </c>
      <c r="L6273" s="68" t="b">
        <f aca="false">FALSE()</f>
        <v>0</v>
      </c>
    </row>
    <row r="6274" customFormat="false" ht="15" hidden="false" customHeight="false" outlineLevel="0" collapsed="false">
      <c r="A6274" s="62" t="n">
        <v>1</v>
      </c>
      <c r="B6274" s="21" t="s">
        <v>336</v>
      </c>
      <c r="C6274" s="62" t="s">
        <v>60</v>
      </c>
      <c r="D6274" s="62" t="s">
        <v>384</v>
      </c>
      <c r="E6274" s="62" t="s">
        <v>72</v>
      </c>
      <c r="F6274" s="62" t="s">
        <v>382</v>
      </c>
      <c r="G6274" s="63" t="s">
        <v>633</v>
      </c>
      <c r="H6274" s="64" t="n">
        <v>9005592698.74743</v>
      </c>
      <c r="I6274" s="62" t="s">
        <v>81</v>
      </c>
      <c r="J6274" s="64" t="n">
        <v>9005592.69874743</v>
      </c>
      <c r="K6274" s="62" t="s">
        <v>138</v>
      </c>
      <c r="L6274" s="68" t="b">
        <f aca="false">TRUE()</f>
        <v>1</v>
      </c>
    </row>
    <row r="6275" customFormat="false" ht="15" hidden="false" customHeight="false" outlineLevel="0" collapsed="false">
      <c r="A6275" s="62" t="n">
        <v>1</v>
      </c>
      <c r="B6275" s="21" t="s">
        <v>336</v>
      </c>
      <c r="C6275" s="62" t="s">
        <v>60</v>
      </c>
      <c r="D6275" s="62" t="s">
        <v>385</v>
      </c>
      <c r="E6275" s="62" t="s">
        <v>72</v>
      </c>
      <c r="F6275" s="62" t="s">
        <v>382</v>
      </c>
      <c r="G6275" s="63" t="s">
        <v>633</v>
      </c>
      <c r="H6275" s="64" t="n">
        <v>6683633936.83826</v>
      </c>
      <c r="I6275" s="62" t="s">
        <v>81</v>
      </c>
      <c r="J6275" s="64" t="n">
        <v>6683633.93683826</v>
      </c>
      <c r="K6275" s="62" t="s">
        <v>138</v>
      </c>
      <c r="L6275" s="68" t="b">
        <f aca="false">TRUE()</f>
        <v>1</v>
      </c>
    </row>
    <row r="6276" customFormat="false" ht="15" hidden="false" customHeight="false" outlineLevel="0" collapsed="false">
      <c r="A6276" s="62" t="n">
        <v>1</v>
      </c>
      <c r="B6276" s="21" t="s">
        <v>336</v>
      </c>
      <c r="C6276" s="62" t="s">
        <v>60</v>
      </c>
      <c r="D6276" s="62" t="s">
        <v>386</v>
      </c>
      <c r="E6276" s="62" t="s">
        <v>72</v>
      </c>
      <c r="F6276" s="62" t="s">
        <v>382</v>
      </c>
      <c r="G6276" s="63" t="s">
        <v>633</v>
      </c>
      <c r="H6276" s="64" t="n">
        <v>1523068607.60445</v>
      </c>
      <c r="I6276" s="62" t="s">
        <v>81</v>
      </c>
      <c r="J6276" s="64" t="n">
        <v>1523068.60760445</v>
      </c>
      <c r="K6276" s="62" t="s">
        <v>138</v>
      </c>
      <c r="L6276" s="68" t="b">
        <f aca="false">TRUE()</f>
        <v>1</v>
      </c>
    </row>
    <row r="6277" customFormat="false" ht="15" hidden="false" customHeight="false" outlineLevel="0" collapsed="false">
      <c r="A6277" s="62" t="n">
        <v>1</v>
      </c>
      <c r="B6277" s="21" t="s">
        <v>336</v>
      </c>
      <c r="C6277" s="62" t="s">
        <v>60</v>
      </c>
      <c r="D6277" s="62" t="s">
        <v>387</v>
      </c>
      <c r="E6277" s="62" t="s">
        <v>72</v>
      </c>
      <c r="F6277" s="62" t="s">
        <v>382</v>
      </c>
      <c r="G6277" s="63" t="s">
        <v>633</v>
      </c>
      <c r="H6277" s="64" t="n">
        <v>8233023367.63415</v>
      </c>
      <c r="I6277" s="62" t="s">
        <v>81</v>
      </c>
      <c r="J6277" s="64" t="n">
        <v>8233023.36763415</v>
      </c>
      <c r="K6277" s="62" t="s">
        <v>138</v>
      </c>
      <c r="L6277" s="68" t="b">
        <f aca="false">FALSE()</f>
        <v>0</v>
      </c>
    </row>
    <row r="6278" customFormat="false" ht="15" hidden="false" customHeight="false" outlineLevel="0" collapsed="false">
      <c r="A6278" s="62" t="n">
        <v>1</v>
      </c>
      <c r="B6278" s="21" t="s">
        <v>336</v>
      </c>
      <c r="C6278" s="62" t="s">
        <v>60</v>
      </c>
      <c r="D6278" s="62" t="s">
        <v>388</v>
      </c>
      <c r="E6278" s="62" t="s">
        <v>72</v>
      </c>
      <c r="F6278" s="62" t="s">
        <v>382</v>
      </c>
      <c r="G6278" s="63" t="s">
        <v>633</v>
      </c>
      <c r="H6278" s="64" t="n">
        <v>-410996000</v>
      </c>
      <c r="I6278" s="62" t="s">
        <v>81</v>
      </c>
      <c r="J6278" s="64" t="n">
        <v>-410996</v>
      </c>
      <c r="K6278" s="62" t="s">
        <v>138</v>
      </c>
      <c r="L6278" s="68" t="b">
        <f aca="false">FALSE()</f>
        <v>0</v>
      </c>
    </row>
    <row r="6279" customFormat="false" ht="15" hidden="false" customHeight="false" outlineLevel="0" collapsed="false">
      <c r="A6279" s="62" t="n">
        <v>1</v>
      </c>
      <c r="B6279" s="21" t="s">
        <v>336</v>
      </c>
      <c r="C6279" s="62" t="s">
        <v>60</v>
      </c>
      <c r="D6279" s="62" t="s">
        <v>381</v>
      </c>
      <c r="E6279" s="62" t="s">
        <v>72</v>
      </c>
      <c r="F6279" s="62" t="s">
        <v>382</v>
      </c>
      <c r="G6279" s="63" t="s">
        <v>853</v>
      </c>
      <c r="H6279" s="64" t="n">
        <v>7990168043.09041</v>
      </c>
      <c r="I6279" s="62" t="s">
        <v>81</v>
      </c>
      <c r="J6279" s="64" t="n">
        <v>7990168.04309041</v>
      </c>
      <c r="K6279" s="62" t="s">
        <v>138</v>
      </c>
      <c r="L6279" s="68" t="b">
        <f aca="false">FALSE()</f>
        <v>0</v>
      </c>
    </row>
    <row r="6280" customFormat="false" ht="15" hidden="false" customHeight="false" outlineLevel="0" collapsed="false">
      <c r="A6280" s="62" t="n">
        <v>1</v>
      </c>
      <c r="B6280" s="21" t="s">
        <v>336</v>
      </c>
      <c r="C6280" s="62" t="s">
        <v>60</v>
      </c>
      <c r="D6280" s="62" t="s">
        <v>383</v>
      </c>
      <c r="E6280" s="62" t="s">
        <v>72</v>
      </c>
      <c r="F6280" s="62" t="s">
        <v>382</v>
      </c>
      <c r="G6280" s="63" t="s">
        <v>853</v>
      </c>
      <c r="H6280" s="64" t="n">
        <v>11247501061.6699</v>
      </c>
      <c r="I6280" s="62" t="s">
        <v>81</v>
      </c>
      <c r="J6280" s="64" t="n">
        <v>11247501.0616699</v>
      </c>
      <c r="K6280" s="62" t="s">
        <v>138</v>
      </c>
      <c r="L6280" s="68" t="b">
        <f aca="false">FALSE()</f>
        <v>0</v>
      </c>
    </row>
    <row r="6281" customFormat="false" ht="15" hidden="false" customHeight="false" outlineLevel="0" collapsed="false">
      <c r="A6281" s="62" t="n">
        <v>1</v>
      </c>
      <c r="B6281" s="21" t="s">
        <v>336</v>
      </c>
      <c r="C6281" s="62" t="s">
        <v>60</v>
      </c>
      <c r="D6281" s="62" t="s">
        <v>387</v>
      </c>
      <c r="E6281" s="62" t="s">
        <v>72</v>
      </c>
      <c r="F6281" s="62" t="s">
        <v>382</v>
      </c>
      <c r="G6281" s="63" t="s">
        <v>853</v>
      </c>
      <c r="H6281" s="64" t="n">
        <v>1860232732.57693</v>
      </c>
      <c r="I6281" s="62" t="s">
        <v>81</v>
      </c>
      <c r="J6281" s="64" t="n">
        <v>1860232.73257693</v>
      </c>
      <c r="K6281" s="62" t="s">
        <v>138</v>
      </c>
      <c r="L6281" s="68" t="b">
        <f aca="false">FALSE()</f>
        <v>0</v>
      </c>
    </row>
    <row r="6282" customFormat="false" ht="15" hidden="false" customHeight="false" outlineLevel="0" collapsed="false">
      <c r="A6282" s="62" t="n">
        <v>1</v>
      </c>
      <c r="B6282" s="21" t="s">
        <v>336</v>
      </c>
      <c r="C6282" s="62" t="s">
        <v>60</v>
      </c>
      <c r="D6282" s="62" t="s">
        <v>381</v>
      </c>
      <c r="E6282" s="62" t="s">
        <v>72</v>
      </c>
      <c r="F6282" s="62" t="s">
        <v>382</v>
      </c>
      <c r="G6282" s="63" t="s">
        <v>860</v>
      </c>
      <c r="H6282" s="64" t="n">
        <v>5803593822.61348</v>
      </c>
      <c r="I6282" s="62" t="s">
        <v>81</v>
      </c>
      <c r="J6282" s="64" t="n">
        <v>5803593.82261348</v>
      </c>
      <c r="K6282" s="62" t="s">
        <v>138</v>
      </c>
      <c r="L6282" s="68" t="b">
        <f aca="false">FALSE()</f>
        <v>0</v>
      </c>
    </row>
    <row r="6283" customFormat="false" ht="15" hidden="false" customHeight="false" outlineLevel="0" collapsed="false">
      <c r="A6283" s="62" t="n">
        <v>1</v>
      </c>
      <c r="B6283" s="21" t="s">
        <v>336</v>
      </c>
      <c r="C6283" s="62" t="s">
        <v>60</v>
      </c>
      <c r="D6283" s="62" t="s">
        <v>383</v>
      </c>
      <c r="E6283" s="62" t="s">
        <v>72</v>
      </c>
      <c r="F6283" s="62" t="s">
        <v>382</v>
      </c>
      <c r="G6283" s="63" t="s">
        <v>860</v>
      </c>
      <c r="H6283" s="64" t="n">
        <v>5465088759.92932</v>
      </c>
      <c r="I6283" s="62" t="s">
        <v>81</v>
      </c>
      <c r="J6283" s="64" t="n">
        <v>5465088.75992932</v>
      </c>
      <c r="K6283" s="62" t="s">
        <v>138</v>
      </c>
      <c r="L6283" s="68" t="b">
        <f aca="false">FALSE()</f>
        <v>0</v>
      </c>
    </row>
    <row r="6284" customFormat="false" ht="15" hidden="false" customHeight="false" outlineLevel="0" collapsed="false">
      <c r="A6284" s="62" t="n">
        <v>1</v>
      </c>
      <c r="B6284" s="21" t="s">
        <v>336</v>
      </c>
      <c r="C6284" s="62" t="s">
        <v>60</v>
      </c>
      <c r="D6284" s="62" t="s">
        <v>387</v>
      </c>
      <c r="E6284" s="62" t="s">
        <v>72</v>
      </c>
      <c r="F6284" s="62" t="s">
        <v>382</v>
      </c>
      <c r="G6284" s="63" t="s">
        <v>860</v>
      </c>
      <c r="H6284" s="64" t="n">
        <v>1082966188.68183</v>
      </c>
      <c r="I6284" s="62" t="s">
        <v>81</v>
      </c>
      <c r="J6284" s="64" t="n">
        <v>1082966.18868183</v>
      </c>
      <c r="K6284" s="62" t="s">
        <v>138</v>
      </c>
      <c r="L6284" s="68" t="b">
        <f aca="false">FALSE()</f>
        <v>0</v>
      </c>
    </row>
    <row r="6285" customFormat="false" ht="15" hidden="false" customHeight="false" outlineLevel="0" collapsed="false">
      <c r="A6285" s="62" t="n">
        <v>1</v>
      </c>
      <c r="B6285" s="21" t="s">
        <v>336</v>
      </c>
      <c r="C6285" s="62" t="s">
        <v>60</v>
      </c>
      <c r="D6285" s="62" t="s">
        <v>381</v>
      </c>
      <c r="E6285" s="62" t="s">
        <v>72</v>
      </c>
      <c r="F6285" s="62" t="s">
        <v>382</v>
      </c>
      <c r="G6285" s="63" t="s">
        <v>861</v>
      </c>
      <c r="H6285" s="64" t="n">
        <v>656662019.881008</v>
      </c>
      <c r="I6285" s="62" t="s">
        <v>81</v>
      </c>
      <c r="J6285" s="64" t="n">
        <v>656662.019881008</v>
      </c>
      <c r="K6285" s="62" t="s">
        <v>138</v>
      </c>
      <c r="L6285" s="68" t="b">
        <f aca="false">FALSE()</f>
        <v>0</v>
      </c>
    </row>
    <row r="6286" customFormat="false" ht="15" hidden="false" customHeight="false" outlineLevel="0" collapsed="false">
      <c r="A6286" s="62" t="n">
        <v>1</v>
      </c>
      <c r="B6286" s="21" t="s">
        <v>336</v>
      </c>
      <c r="C6286" s="62" t="s">
        <v>60</v>
      </c>
      <c r="D6286" s="62" t="s">
        <v>383</v>
      </c>
      <c r="E6286" s="62" t="s">
        <v>72</v>
      </c>
      <c r="F6286" s="62" t="s">
        <v>382</v>
      </c>
      <c r="G6286" s="63" t="s">
        <v>861</v>
      </c>
      <c r="H6286" s="64" t="n">
        <v>661263431.990273</v>
      </c>
      <c r="I6286" s="62" t="s">
        <v>81</v>
      </c>
      <c r="J6286" s="64" t="n">
        <v>661263.431990273</v>
      </c>
      <c r="K6286" s="62" t="s">
        <v>138</v>
      </c>
      <c r="L6286" s="68" t="b">
        <f aca="false">FALSE()</f>
        <v>0</v>
      </c>
    </row>
    <row r="6287" customFormat="false" ht="15" hidden="false" customHeight="false" outlineLevel="0" collapsed="false">
      <c r="A6287" s="62" t="n">
        <v>1</v>
      </c>
      <c r="B6287" s="21" t="s">
        <v>336</v>
      </c>
      <c r="C6287" s="62" t="s">
        <v>60</v>
      </c>
      <c r="D6287" s="62" t="s">
        <v>387</v>
      </c>
      <c r="E6287" s="62" t="s">
        <v>72</v>
      </c>
      <c r="F6287" s="62" t="s">
        <v>382</v>
      </c>
      <c r="G6287" s="63" t="s">
        <v>861</v>
      </c>
      <c r="H6287" s="64" t="n">
        <v>126416322.55688</v>
      </c>
      <c r="I6287" s="62" t="s">
        <v>81</v>
      </c>
      <c r="J6287" s="64" t="n">
        <v>126416.32255688</v>
      </c>
      <c r="K6287" s="62" t="s">
        <v>138</v>
      </c>
      <c r="L6287" s="68" t="b">
        <f aca="false">FALSE()</f>
        <v>0</v>
      </c>
    </row>
    <row r="6288" customFormat="false" ht="15" hidden="false" customHeight="false" outlineLevel="0" collapsed="false">
      <c r="A6288" s="62" t="n">
        <v>1</v>
      </c>
      <c r="B6288" s="21" t="s">
        <v>336</v>
      </c>
      <c r="C6288" s="62" t="s">
        <v>60</v>
      </c>
      <c r="D6288" s="62" t="s">
        <v>381</v>
      </c>
      <c r="E6288" s="62" t="s">
        <v>72</v>
      </c>
      <c r="F6288" s="62" t="s">
        <v>382</v>
      </c>
      <c r="G6288" s="63" t="s">
        <v>855</v>
      </c>
      <c r="H6288" s="64" t="n">
        <v>208098102.599073</v>
      </c>
      <c r="I6288" s="62" t="s">
        <v>81</v>
      </c>
      <c r="J6288" s="64" t="n">
        <v>208098.102599073</v>
      </c>
      <c r="K6288" s="62" t="s">
        <v>138</v>
      </c>
      <c r="L6288" s="68" t="b">
        <f aca="false">FALSE()</f>
        <v>0</v>
      </c>
    </row>
    <row r="6289" customFormat="false" ht="15" hidden="false" customHeight="false" outlineLevel="0" collapsed="false">
      <c r="A6289" s="62" t="n">
        <v>1</v>
      </c>
      <c r="B6289" s="21" t="s">
        <v>336</v>
      </c>
      <c r="C6289" s="62" t="s">
        <v>60</v>
      </c>
      <c r="D6289" s="62" t="s">
        <v>383</v>
      </c>
      <c r="E6289" s="62" t="s">
        <v>72</v>
      </c>
      <c r="F6289" s="62" t="s">
        <v>382</v>
      </c>
      <c r="G6289" s="63" t="s">
        <v>855</v>
      </c>
      <c r="H6289" s="64" t="n">
        <v>543574212.618988</v>
      </c>
      <c r="I6289" s="62" t="s">
        <v>81</v>
      </c>
      <c r="J6289" s="64" t="n">
        <v>543574.212618988</v>
      </c>
      <c r="K6289" s="62" t="s">
        <v>138</v>
      </c>
      <c r="L6289" s="68" t="b">
        <f aca="false">FALSE()</f>
        <v>0</v>
      </c>
    </row>
    <row r="6290" customFormat="false" ht="15" hidden="false" customHeight="false" outlineLevel="0" collapsed="false">
      <c r="A6290" s="62" t="n">
        <v>1</v>
      </c>
      <c r="B6290" s="21" t="s">
        <v>336</v>
      </c>
      <c r="C6290" s="62" t="s">
        <v>60</v>
      </c>
      <c r="D6290" s="62" t="s">
        <v>387</v>
      </c>
      <c r="E6290" s="62" t="s">
        <v>72</v>
      </c>
      <c r="F6290" s="62" t="s">
        <v>382</v>
      </c>
      <c r="G6290" s="63" t="s">
        <v>855</v>
      </c>
      <c r="H6290" s="64" t="n">
        <v>95927843.0578036</v>
      </c>
      <c r="I6290" s="62" t="s">
        <v>81</v>
      </c>
      <c r="J6290" s="64" t="n">
        <v>95927.8430578036</v>
      </c>
      <c r="K6290" s="62" t="s">
        <v>138</v>
      </c>
      <c r="L6290" s="68" t="b">
        <f aca="false">FALSE()</f>
        <v>0</v>
      </c>
    </row>
    <row r="6291" customFormat="false" ht="15" hidden="false" customHeight="false" outlineLevel="0" collapsed="false">
      <c r="A6291" s="62" t="n">
        <v>1</v>
      </c>
      <c r="B6291" s="21" t="s">
        <v>336</v>
      </c>
      <c r="C6291" s="62" t="s">
        <v>60</v>
      </c>
      <c r="D6291" s="62" t="s">
        <v>381</v>
      </c>
      <c r="E6291" s="62" t="s">
        <v>72</v>
      </c>
      <c r="F6291" s="62" t="s">
        <v>382</v>
      </c>
      <c r="G6291" s="63" t="s">
        <v>856</v>
      </c>
      <c r="H6291" s="64" t="n">
        <v>6668353945.09356</v>
      </c>
      <c r="I6291" s="62" t="s">
        <v>81</v>
      </c>
      <c r="J6291" s="64" t="n">
        <v>6668353.94509356</v>
      </c>
      <c r="K6291" s="62" t="s">
        <v>138</v>
      </c>
      <c r="L6291" s="68" t="b">
        <f aca="false">FALSE()</f>
        <v>0</v>
      </c>
    </row>
    <row r="6292" customFormat="false" ht="15" hidden="false" customHeight="false" outlineLevel="0" collapsed="false">
      <c r="A6292" s="62" t="n">
        <v>1</v>
      </c>
      <c r="B6292" s="21" t="s">
        <v>336</v>
      </c>
      <c r="C6292" s="62" t="s">
        <v>60</v>
      </c>
      <c r="D6292" s="62" t="s">
        <v>383</v>
      </c>
      <c r="E6292" s="62" t="s">
        <v>72</v>
      </c>
      <c r="F6292" s="62" t="s">
        <v>382</v>
      </c>
      <c r="G6292" s="63" t="s">
        <v>856</v>
      </c>
      <c r="H6292" s="64" t="n">
        <v>6669926404.53858</v>
      </c>
      <c r="I6292" s="62" t="s">
        <v>81</v>
      </c>
      <c r="J6292" s="64" t="n">
        <v>6669926.40453858</v>
      </c>
      <c r="K6292" s="62" t="s">
        <v>138</v>
      </c>
      <c r="L6292" s="68" t="b">
        <f aca="false">FALSE()</f>
        <v>0</v>
      </c>
    </row>
    <row r="6293" customFormat="false" ht="15" hidden="false" customHeight="false" outlineLevel="0" collapsed="false">
      <c r="A6293" s="62" t="n">
        <v>1</v>
      </c>
      <c r="B6293" s="21" t="s">
        <v>336</v>
      </c>
      <c r="C6293" s="62" t="s">
        <v>60</v>
      </c>
      <c r="D6293" s="62" t="s">
        <v>387</v>
      </c>
      <c r="E6293" s="62" t="s">
        <v>72</v>
      </c>
      <c r="F6293" s="62" t="s">
        <v>382</v>
      </c>
      <c r="G6293" s="63" t="s">
        <v>856</v>
      </c>
      <c r="H6293" s="64" t="n">
        <v>1305310354.29652</v>
      </c>
      <c r="I6293" s="62" t="s">
        <v>81</v>
      </c>
      <c r="J6293" s="64" t="n">
        <v>1305310.35429652</v>
      </c>
      <c r="K6293" s="62" t="s">
        <v>138</v>
      </c>
      <c r="L6293" s="68" t="b">
        <f aca="false">FALSE()</f>
        <v>0</v>
      </c>
    </row>
    <row r="6294" customFormat="false" ht="15" hidden="false" customHeight="false" outlineLevel="0" collapsed="false">
      <c r="A6294" s="62" t="n">
        <v>1</v>
      </c>
      <c r="B6294" s="21" t="s">
        <v>336</v>
      </c>
      <c r="C6294" s="62" t="s">
        <v>60</v>
      </c>
      <c r="D6294" s="62" t="s">
        <v>381</v>
      </c>
      <c r="E6294" s="62" t="s">
        <v>72</v>
      </c>
      <c r="F6294" s="62" t="s">
        <v>382</v>
      </c>
      <c r="G6294" s="63" t="s">
        <v>857</v>
      </c>
      <c r="H6294" s="64" t="n">
        <v>1321814097.99685</v>
      </c>
      <c r="I6294" s="62" t="s">
        <v>81</v>
      </c>
      <c r="J6294" s="64" t="n">
        <v>1321814.09799685</v>
      </c>
      <c r="K6294" s="62" t="s">
        <v>138</v>
      </c>
      <c r="L6294" s="68" t="b">
        <f aca="false">FALSE()</f>
        <v>0</v>
      </c>
    </row>
    <row r="6295" customFormat="false" ht="15" hidden="false" customHeight="false" outlineLevel="0" collapsed="false">
      <c r="A6295" s="62" t="n">
        <v>1</v>
      </c>
      <c r="B6295" s="21" t="s">
        <v>336</v>
      </c>
      <c r="C6295" s="62" t="s">
        <v>60</v>
      </c>
      <c r="D6295" s="62" t="s">
        <v>383</v>
      </c>
      <c r="E6295" s="62" t="s">
        <v>72</v>
      </c>
      <c r="F6295" s="62" t="s">
        <v>382</v>
      </c>
      <c r="G6295" s="63" t="s">
        <v>857</v>
      </c>
      <c r="H6295" s="64" t="n">
        <v>4577574657.13131</v>
      </c>
      <c r="I6295" s="62" t="s">
        <v>81</v>
      </c>
      <c r="J6295" s="64" t="n">
        <v>4577574.65713131</v>
      </c>
      <c r="K6295" s="62" t="s">
        <v>138</v>
      </c>
      <c r="L6295" s="68" t="b">
        <f aca="false">FALSE()</f>
        <v>0</v>
      </c>
    </row>
    <row r="6296" customFormat="false" ht="15" hidden="false" customHeight="false" outlineLevel="0" collapsed="false">
      <c r="A6296" s="62" t="n">
        <v>1</v>
      </c>
      <c r="B6296" s="21" t="s">
        <v>336</v>
      </c>
      <c r="C6296" s="62" t="s">
        <v>60</v>
      </c>
      <c r="D6296" s="62" t="s">
        <v>387</v>
      </c>
      <c r="E6296" s="62" t="s">
        <v>72</v>
      </c>
      <c r="F6296" s="62" t="s">
        <v>382</v>
      </c>
      <c r="G6296" s="63" t="s">
        <v>857</v>
      </c>
      <c r="H6296" s="64" t="n">
        <v>554922378.280411</v>
      </c>
      <c r="I6296" s="62" t="s">
        <v>81</v>
      </c>
      <c r="J6296" s="64" t="n">
        <v>554922.378280411</v>
      </c>
      <c r="K6296" s="62" t="s">
        <v>138</v>
      </c>
      <c r="L6296" s="68" t="b">
        <f aca="false">FALSE()</f>
        <v>0</v>
      </c>
    </row>
    <row r="6297" customFormat="false" ht="15" hidden="false" customHeight="false" outlineLevel="0" collapsed="false">
      <c r="A6297" s="62" t="n">
        <v>1</v>
      </c>
      <c r="B6297" s="21" t="s">
        <v>336</v>
      </c>
      <c r="C6297" s="62" t="s">
        <v>60</v>
      </c>
      <c r="D6297" s="62" t="s">
        <v>383</v>
      </c>
      <c r="E6297" s="62" t="s">
        <v>72</v>
      </c>
      <c r="F6297" s="62" t="s">
        <v>382</v>
      </c>
      <c r="G6297" s="63" t="s">
        <v>858</v>
      </c>
      <c r="H6297" s="64" t="n">
        <v>696748000</v>
      </c>
      <c r="I6297" s="62" t="s">
        <v>81</v>
      </c>
      <c r="J6297" s="64" t="n">
        <v>696748</v>
      </c>
      <c r="K6297" s="62" t="s">
        <v>138</v>
      </c>
      <c r="L6297" s="68" t="b">
        <f aca="false">FALSE()</f>
        <v>0</v>
      </c>
    </row>
    <row r="6298" customFormat="false" ht="15" hidden="false" customHeight="false" outlineLevel="0" collapsed="false">
      <c r="A6298" s="62" t="n">
        <v>1</v>
      </c>
      <c r="B6298" s="21" t="s">
        <v>336</v>
      </c>
      <c r="C6298" s="62" t="s">
        <v>60</v>
      </c>
      <c r="D6298" s="62" t="s">
        <v>388</v>
      </c>
      <c r="E6298" s="62" t="s">
        <v>72</v>
      </c>
      <c r="F6298" s="62" t="s">
        <v>382</v>
      </c>
      <c r="G6298" s="63" t="s">
        <v>858</v>
      </c>
      <c r="H6298" s="64" t="n">
        <v>159070000</v>
      </c>
      <c r="I6298" s="62" t="s">
        <v>81</v>
      </c>
      <c r="J6298" s="64" t="n">
        <v>159070</v>
      </c>
      <c r="K6298" s="62" t="s">
        <v>138</v>
      </c>
      <c r="L6298" s="68" t="b">
        <f aca="false">FALSE()</f>
        <v>0</v>
      </c>
    </row>
    <row r="6299" customFormat="false" ht="15" hidden="false" customHeight="false" outlineLevel="0" collapsed="false">
      <c r="A6299" s="62" t="n">
        <v>1</v>
      </c>
      <c r="B6299" s="21" t="s">
        <v>336</v>
      </c>
      <c r="C6299" s="62" t="s">
        <v>60</v>
      </c>
      <c r="D6299" s="62" t="s">
        <v>381</v>
      </c>
      <c r="E6299" s="62" t="s">
        <v>72</v>
      </c>
      <c r="F6299" s="62" t="s">
        <v>382</v>
      </c>
      <c r="G6299" s="63" t="s">
        <v>859</v>
      </c>
      <c r="H6299" s="64" t="n">
        <v>971814097.996853</v>
      </c>
      <c r="I6299" s="62" t="s">
        <v>81</v>
      </c>
      <c r="J6299" s="64" t="n">
        <v>971814.097996853</v>
      </c>
      <c r="K6299" s="62" t="s">
        <v>138</v>
      </c>
      <c r="L6299" s="68" t="b">
        <f aca="false">FALSE()</f>
        <v>0</v>
      </c>
    </row>
    <row r="6300" customFormat="false" ht="15" hidden="false" customHeight="false" outlineLevel="0" collapsed="false">
      <c r="A6300" s="62" t="n">
        <v>1</v>
      </c>
      <c r="B6300" s="21" t="s">
        <v>336</v>
      </c>
      <c r="C6300" s="62" t="s">
        <v>60</v>
      </c>
      <c r="D6300" s="62" t="s">
        <v>383</v>
      </c>
      <c r="E6300" s="62" t="s">
        <v>72</v>
      </c>
      <c r="F6300" s="62" t="s">
        <v>382</v>
      </c>
      <c r="G6300" s="63" t="s">
        <v>859</v>
      </c>
      <c r="H6300" s="64" t="n">
        <v>3880826657.13131</v>
      </c>
      <c r="I6300" s="62" t="s">
        <v>81</v>
      </c>
      <c r="J6300" s="64" t="n">
        <v>3880826.65713131</v>
      </c>
      <c r="K6300" s="62" t="s">
        <v>138</v>
      </c>
      <c r="L6300" s="68" t="b">
        <f aca="false">FALSE()</f>
        <v>0</v>
      </c>
    </row>
    <row r="6301" customFormat="false" ht="15" hidden="false" customHeight="false" outlineLevel="0" collapsed="false">
      <c r="A6301" s="62" t="n">
        <v>1</v>
      </c>
      <c r="B6301" s="21" t="s">
        <v>336</v>
      </c>
      <c r="C6301" s="62" t="s">
        <v>60</v>
      </c>
      <c r="D6301" s="62" t="s">
        <v>387</v>
      </c>
      <c r="E6301" s="62" t="s">
        <v>72</v>
      </c>
      <c r="F6301" s="62" t="s">
        <v>382</v>
      </c>
      <c r="G6301" s="63" t="s">
        <v>859</v>
      </c>
      <c r="H6301" s="64" t="n">
        <v>98308878.2804105</v>
      </c>
      <c r="I6301" s="62" t="s">
        <v>81</v>
      </c>
      <c r="J6301" s="64" t="n">
        <v>98308.8782804105</v>
      </c>
      <c r="K6301" s="62" t="s">
        <v>138</v>
      </c>
      <c r="L6301" s="68" t="b">
        <f aca="false">FALSE()</f>
        <v>0</v>
      </c>
    </row>
    <row r="6302" customFormat="false" ht="15" hidden="false" customHeight="false" outlineLevel="0" collapsed="false">
      <c r="A6302" s="62" t="n">
        <v>1</v>
      </c>
      <c r="B6302" s="21" t="s">
        <v>336</v>
      </c>
      <c r="C6302" s="62" t="s">
        <v>60</v>
      </c>
      <c r="D6302" s="62" t="s">
        <v>388</v>
      </c>
      <c r="E6302" s="62" t="s">
        <v>72</v>
      </c>
      <c r="F6302" s="62" t="s">
        <v>382</v>
      </c>
      <c r="G6302" s="63" t="s">
        <v>859</v>
      </c>
      <c r="H6302" s="64" t="n">
        <v>-159070000</v>
      </c>
      <c r="I6302" s="62" t="s">
        <v>81</v>
      </c>
      <c r="J6302" s="64" t="n">
        <v>-159070</v>
      </c>
      <c r="K6302" s="62" t="s">
        <v>138</v>
      </c>
      <c r="L6302" s="68" t="b">
        <f aca="false">FALSE()</f>
        <v>0</v>
      </c>
    </row>
    <row r="6303" customFormat="false" ht="15" hidden="false" customHeight="false" outlineLevel="0" collapsed="false">
      <c r="A6303" s="62" t="n">
        <v>1</v>
      </c>
      <c r="B6303" s="21" t="s">
        <v>336</v>
      </c>
      <c r="C6303" s="62" t="s">
        <v>60</v>
      </c>
      <c r="D6303" s="62" t="s">
        <v>381</v>
      </c>
      <c r="E6303" s="62" t="s">
        <v>72</v>
      </c>
      <c r="F6303" s="62" t="s">
        <v>382</v>
      </c>
      <c r="G6303" s="63" t="s">
        <v>634</v>
      </c>
      <c r="H6303" s="64" t="n">
        <v>69114582247.2084</v>
      </c>
      <c r="I6303" s="62" t="s">
        <v>81</v>
      </c>
      <c r="J6303" s="64" t="n">
        <v>69114582.2472084</v>
      </c>
      <c r="K6303" s="62" t="s">
        <v>138</v>
      </c>
      <c r="L6303" s="68" t="b">
        <f aca="false">FALSE()</f>
        <v>0</v>
      </c>
    </row>
    <row r="6304" customFormat="false" ht="15" hidden="false" customHeight="false" outlineLevel="0" collapsed="false">
      <c r="A6304" s="62" t="n">
        <v>1</v>
      </c>
      <c r="B6304" s="21" t="s">
        <v>336</v>
      </c>
      <c r="C6304" s="62" t="s">
        <v>60</v>
      </c>
      <c r="D6304" s="62" t="s">
        <v>383</v>
      </c>
      <c r="E6304" s="62" t="s">
        <v>72</v>
      </c>
      <c r="F6304" s="62" t="s">
        <v>382</v>
      </c>
      <c r="G6304" s="63" t="s">
        <v>634</v>
      </c>
      <c r="H6304" s="64" t="n">
        <v>116069180470.554</v>
      </c>
      <c r="I6304" s="62" t="s">
        <v>81</v>
      </c>
      <c r="J6304" s="64" t="n">
        <v>116069180.470554</v>
      </c>
      <c r="K6304" s="62" t="s">
        <v>138</v>
      </c>
      <c r="L6304" s="68" t="b">
        <f aca="false">FALSE()</f>
        <v>0</v>
      </c>
    </row>
    <row r="6305" customFormat="false" ht="15" hidden="false" customHeight="false" outlineLevel="0" collapsed="false">
      <c r="A6305" s="62" t="n">
        <v>1</v>
      </c>
      <c r="B6305" s="21" t="s">
        <v>336</v>
      </c>
      <c r="C6305" s="62" t="s">
        <v>60</v>
      </c>
      <c r="D6305" s="62" t="s">
        <v>384</v>
      </c>
      <c r="E6305" s="62" t="s">
        <v>72</v>
      </c>
      <c r="F6305" s="62" t="s">
        <v>382</v>
      </c>
      <c r="G6305" s="63" t="s">
        <v>634</v>
      </c>
      <c r="H6305" s="64" t="n">
        <v>98810843183.2536</v>
      </c>
      <c r="I6305" s="62" t="s">
        <v>81</v>
      </c>
      <c r="J6305" s="64" t="n">
        <v>98810843.1832536</v>
      </c>
      <c r="K6305" s="62" t="s">
        <v>138</v>
      </c>
      <c r="L6305" s="68" t="b">
        <f aca="false">FALSE()</f>
        <v>0</v>
      </c>
    </row>
    <row r="6306" customFormat="false" ht="15" hidden="false" customHeight="false" outlineLevel="0" collapsed="false">
      <c r="A6306" s="62" t="n">
        <v>1</v>
      </c>
      <c r="B6306" s="21" t="s">
        <v>336</v>
      </c>
      <c r="C6306" s="62" t="s">
        <v>60</v>
      </c>
      <c r="D6306" s="62" t="s">
        <v>385</v>
      </c>
      <c r="E6306" s="62" t="s">
        <v>72</v>
      </c>
      <c r="F6306" s="62" t="s">
        <v>382</v>
      </c>
      <c r="G6306" s="63" t="s">
        <v>634</v>
      </c>
      <c r="H6306" s="64" t="n">
        <v>88185263810.6063</v>
      </c>
      <c r="I6306" s="62" t="s">
        <v>81</v>
      </c>
      <c r="J6306" s="64" t="n">
        <v>88185263.8106063</v>
      </c>
      <c r="K6306" s="62" t="s">
        <v>138</v>
      </c>
      <c r="L6306" s="68" t="b">
        <f aca="false">FALSE()</f>
        <v>0</v>
      </c>
    </row>
    <row r="6307" customFormat="false" ht="15" hidden="false" customHeight="false" outlineLevel="0" collapsed="false">
      <c r="A6307" s="62" t="n">
        <v>1</v>
      </c>
      <c r="B6307" s="21" t="s">
        <v>336</v>
      </c>
      <c r="C6307" s="62" t="s">
        <v>60</v>
      </c>
      <c r="D6307" s="62" t="s">
        <v>386</v>
      </c>
      <c r="E6307" s="62" t="s">
        <v>72</v>
      </c>
      <c r="F6307" s="62" t="s">
        <v>382</v>
      </c>
      <c r="G6307" s="63" t="s">
        <v>634</v>
      </c>
      <c r="H6307" s="64" t="n">
        <v>81227695634.199</v>
      </c>
      <c r="I6307" s="62" t="s">
        <v>81</v>
      </c>
      <c r="J6307" s="64" t="n">
        <v>81227695.634199</v>
      </c>
      <c r="K6307" s="62" t="s">
        <v>138</v>
      </c>
      <c r="L6307" s="68" t="b">
        <f aca="false">FALSE()</f>
        <v>0</v>
      </c>
    </row>
    <row r="6308" customFormat="false" ht="15" hidden="false" customHeight="false" outlineLevel="0" collapsed="false">
      <c r="A6308" s="62" t="n">
        <v>1</v>
      </c>
      <c r="B6308" s="21" t="s">
        <v>336</v>
      </c>
      <c r="C6308" s="62" t="s">
        <v>60</v>
      </c>
      <c r="D6308" s="62" t="s">
        <v>387</v>
      </c>
      <c r="E6308" s="62" t="s">
        <v>72</v>
      </c>
      <c r="F6308" s="62" t="s">
        <v>382</v>
      </c>
      <c r="G6308" s="63" t="s">
        <v>634</v>
      </c>
      <c r="H6308" s="64" t="n">
        <v>94574773123.1645</v>
      </c>
      <c r="I6308" s="62" t="s">
        <v>81</v>
      </c>
      <c r="J6308" s="64" t="n">
        <v>94574773.1231645</v>
      </c>
      <c r="K6308" s="62" t="s">
        <v>138</v>
      </c>
      <c r="L6308" s="68" t="b">
        <f aca="false">FALSE()</f>
        <v>0</v>
      </c>
    </row>
    <row r="6309" customFormat="false" ht="15" hidden="false" customHeight="false" outlineLevel="0" collapsed="false">
      <c r="A6309" s="62" t="n">
        <v>1</v>
      </c>
      <c r="B6309" s="21" t="s">
        <v>336</v>
      </c>
      <c r="C6309" s="62" t="s">
        <v>60</v>
      </c>
      <c r="D6309" s="62" t="s">
        <v>388</v>
      </c>
      <c r="E6309" s="62" t="s">
        <v>72</v>
      </c>
      <c r="F6309" s="62" t="s">
        <v>382</v>
      </c>
      <c r="G6309" s="63" t="s">
        <v>634</v>
      </c>
      <c r="H6309" s="64" t="n">
        <v>48978722092.3303</v>
      </c>
      <c r="I6309" s="62" t="s">
        <v>81</v>
      </c>
      <c r="J6309" s="64" t="n">
        <v>48978722.0923303</v>
      </c>
      <c r="K6309" s="62" t="s">
        <v>138</v>
      </c>
      <c r="L6309" s="68" t="b">
        <f aca="false">FALSE()</f>
        <v>0</v>
      </c>
    </row>
    <row r="6310" customFormat="false" ht="15" hidden="false" customHeight="false" outlineLevel="0" collapsed="false">
      <c r="A6310" s="62" t="n">
        <v>1</v>
      </c>
      <c r="B6310" s="21" t="s">
        <v>336</v>
      </c>
      <c r="C6310" s="62" t="s">
        <v>60</v>
      </c>
      <c r="D6310" s="62" t="s">
        <v>381</v>
      </c>
      <c r="E6310" s="62" t="s">
        <v>72</v>
      </c>
      <c r="F6310" s="62" t="s">
        <v>382</v>
      </c>
      <c r="G6310" s="63" t="s">
        <v>635</v>
      </c>
      <c r="H6310" s="64" t="n">
        <v>5072588790.38561</v>
      </c>
      <c r="I6310" s="62" t="s">
        <v>81</v>
      </c>
      <c r="J6310" s="64" t="n">
        <v>5072588.79038561</v>
      </c>
      <c r="K6310" s="62" t="s">
        <v>138</v>
      </c>
      <c r="L6310" s="68" t="b">
        <f aca="false">FALSE()</f>
        <v>0</v>
      </c>
    </row>
    <row r="6311" customFormat="false" ht="15" hidden="false" customHeight="false" outlineLevel="0" collapsed="false">
      <c r="A6311" s="62" t="n">
        <v>1</v>
      </c>
      <c r="B6311" s="21" t="s">
        <v>336</v>
      </c>
      <c r="C6311" s="62" t="s">
        <v>60</v>
      </c>
      <c r="D6311" s="62" t="s">
        <v>383</v>
      </c>
      <c r="E6311" s="62" t="s">
        <v>72</v>
      </c>
      <c r="F6311" s="62" t="s">
        <v>382</v>
      </c>
      <c r="G6311" s="63" t="s">
        <v>635</v>
      </c>
      <c r="H6311" s="64" t="n">
        <v>20197197792.4865</v>
      </c>
      <c r="I6311" s="62" t="s">
        <v>81</v>
      </c>
      <c r="J6311" s="64" t="n">
        <v>20197197.7924865</v>
      </c>
      <c r="K6311" s="62" t="s">
        <v>138</v>
      </c>
      <c r="L6311" s="68" t="b">
        <f aca="false">FALSE()</f>
        <v>0</v>
      </c>
    </row>
    <row r="6312" customFormat="false" ht="15" hidden="false" customHeight="false" outlineLevel="0" collapsed="false">
      <c r="A6312" s="62" t="n">
        <v>1</v>
      </c>
      <c r="B6312" s="21" t="s">
        <v>336</v>
      </c>
      <c r="C6312" s="62" t="s">
        <v>60</v>
      </c>
      <c r="D6312" s="62" t="s">
        <v>384</v>
      </c>
      <c r="E6312" s="62" t="s">
        <v>72</v>
      </c>
      <c r="F6312" s="62" t="s">
        <v>382</v>
      </c>
      <c r="G6312" s="63" t="s">
        <v>635</v>
      </c>
      <c r="H6312" s="64" t="n">
        <v>15232818897.5433</v>
      </c>
      <c r="I6312" s="62" t="s">
        <v>81</v>
      </c>
      <c r="J6312" s="64" t="n">
        <v>15232818.8975433</v>
      </c>
      <c r="K6312" s="62" t="s">
        <v>138</v>
      </c>
      <c r="L6312" s="68" t="b">
        <f aca="false">FALSE()</f>
        <v>0</v>
      </c>
    </row>
    <row r="6313" customFormat="false" ht="15" hidden="false" customHeight="false" outlineLevel="0" collapsed="false">
      <c r="A6313" s="62" t="n">
        <v>1</v>
      </c>
      <c r="B6313" s="21" t="s">
        <v>336</v>
      </c>
      <c r="C6313" s="62" t="s">
        <v>60</v>
      </c>
      <c r="D6313" s="62" t="s">
        <v>385</v>
      </c>
      <c r="E6313" s="62" t="s">
        <v>72</v>
      </c>
      <c r="F6313" s="62" t="s">
        <v>382</v>
      </c>
      <c r="G6313" s="63" t="s">
        <v>635</v>
      </c>
      <c r="H6313" s="64" t="n">
        <v>11073095645.9249</v>
      </c>
      <c r="I6313" s="62" t="s">
        <v>81</v>
      </c>
      <c r="J6313" s="64" t="n">
        <v>11073095.6459249</v>
      </c>
      <c r="K6313" s="62" t="s">
        <v>138</v>
      </c>
      <c r="L6313" s="68" t="b">
        <f aca="false">FALSE()</f>
        <v>0</v>
      </c>
    </row>
    <row r="6314" customFormat="false" ht="15" hidden="false" customHeight="false" outlineLevel="0" collapsed="false">
      <c r="A6314" s="62" t="n">
        <v>1</v>
      </c>
      <c r="B6314" s="21" t="s">
        <v>336</v>
      </c>
      <c r="C6314" s="62" t="s">
        <v>60</v>
      </c>
      <c r="D6314" s="62" t="s">
        <v>386</v>
      </c>
      <c r="E6314" s="62" t="s">
        <v>72</v>
      </c>
      <c r="F6314" s="62" t="s">
        <v>382</v>
      </c>
      <c r="G6314" s="63" t="s">
        <v>635</v>
      </c>
      <c r="H6314" s="64" t="n">
        <v>12268171484.2365</v>
      </c>
      <c r="I6314" s="62" t="s">
        <v>81</v>
      </c>
      <c r="J6314" s="64" t="n">
        <v>12268171.4842365</v>
      </c>
      <c r="K6314" s="62" t="s">
        <v>138</v>
      </c>
      <c r="L6314" s="68" t="b">
        <f aca="false">FALSE()</f>
        <v>0</v>
      </c>
    </row>
    <row r="6315" customFormat="false" ht="15" hidden="false" customHeight="false" outlineLevel="0" collapsed="false">
      <c r="A6315" s="62" t="n">
        <v>1</v>
      </c>
      <c r="B6315" s="21" t="s">
        <v>336</v>
      </c>
      <c r="C6315" s="62" t="s">
        <v>60</v>
      </c>
      <c r="D6315" s="62" t="s">
        <v>387</v>
      </c>
      <c r="E6315" s="62" t="s">
        <v>72</v>
      </c>
      <c r="F6315" s="62" t="s">
        <v>382</v>
      </c>
      <c r="G6315" s="63" t="s">
        <v>635</v>
      </c>
      <c r="H6315" s="64" t="n">
        <v>14599746156.3465</v>
      </c>
      <c r="I6315" s="62" t="s">
        <v>81</v>
      </c>
      <c r="J6315" s="64" t="n">
        <v>14599746.1563465</v>
      </c>
      <c r="K6315" s="62" t="s">
        <v>138</v>
      </c>
      <c r="L6315" s="68" t="b">
        <f aca="false">FALSE()</f>
        <v>0</v>
      </c>
    </row>
    <row r="6316" customFormat="false" ht="15" hidden="false" customHeight="false" outlineLevel="0" collapsed="false">
      <c r="A6316" s="62" t="n">
        <v>1</v>
      </c>
      <c r="B6316" s="21" t="s">
        <v>336</v>
      </c>
      <c r="C6316" s="62" t="s">
        <v>60</v>
      </c>
      <c r="D6316" s="62" t="s">
        <v>388</v>
      </c>
      <c r="E6316" s="62" t="s">
        <v>72</v>
      </c>
      <c r="F6316" s="62" t="s">
        <v>382</v>
      </c>
      <c r="G6316" s="63" t="s">
        <v>635</v>
      </c>
      <c r="H6316" s="64" t="n">
        <v>9338724931.90826</v>
      </c>
      <c r="I6316" s="62" t="s">
        <v>81</v>
      </c>
      <c r="J6316" s="64" t="n">
        <v>9338724.93190826</v>
      </c>
      <c r="K6316" s="62" t="s">
        <v>138</v>
      </c>
      <c r="L6316" s="68" t="b">
        <f aca="false">FALSE()</f>
        <v>0</v>
      </c>
    </row>
    <row r="6317" customFormat="false" ht="15" hidden="false" customHeight="false" outlineLevel="0" collapsed="false">
      <c r="A6317" s="62" t="n">
        <v>1</v>
      </c>
      <c r="B6317" s="21" t="s">
        <v>336</v>
      </c>
      <c r="C6317" s="62" t="s">
        <v>60</v>
      </c>
      <c r="D6317" s="62" t="s">
        <v>381</v>
      </c>
      <c r="E6317" s="62" t="s">
        <v>72</v>
      </c>
      <c r="F6317" s="62" t="s">
        <v>382</v>
      </c>
      <c r="G6317" s="63" t="s">
        <v>636</v>
      </c>
      <c r="H6317" s="64" t="n">
        <v>-11378004313.8521</v>
      </c>
      <c r="I6317" s="62" t="s">
        <v>81</v>
      </c>
      <c r="J6317" s="64" t="n">
        <v>-11378004.3138521</v>
      </c>
      <c r="K6317" s="62" t="s">
        <v>138</v>
      </c>
      <c r="L6317" s="68" t="b">
        <f aca="false">FALSE()</f>
        <v>0</v>
      </c>
    </row>
    <row r="6318" customFormat="false" ht="15" hidden="false" customHeight="false" outlineLevel="0" collapsed="false">
      <c r="A6318" s="62" t="n">
        <v>1</v>
      </c>
      <c r="B6318" s="21" t="s">
        <v>336</v>
      </c>
      <c r="C6318" s="62" t="s">
        <v>60</v>
      </c>
      <c r="D6318" s="62" t="s">
        <v>383</v>
      </c>
      <c r="E6318" s="62" t="s">
        <v>72</v>
      </c>
      <c r="F6318" s="62" t="s">
        <v>382</v>
      </c>
      <c r="G6318" s="63" t="s">
        <v>636</v>
      </c>
      <c r="H6318" s="64" t="n">
        <v>-10900129153.9868</v>
      </c>
      <c r="I6318" s="62" t="s">
        <v>81</v>
      </c>
      <c r="J6318" s="64" t="n">
        <v>-10900129.1539868</v>
      </c>
      <c r="K6318" s="62" t="s">
        <v>138</v>
      </c>
      <c r="L6318" s="68" t="b">
        <f aca="false">FALSE()</f>
        <v>0</v>
      </c>
    </row>
    <row r="6319" customFormat="false" ht="15" hidden="false" customHeight="false" outlineLevel="0" collapsed="false">
      <c r="A6319" s="62" t="n">
        <v>1</v>
      </c>
      <c r="B6319" s="21" t="s">
        <v>336</v>
      </c>
      <c r="C6319" s="62" t="s">
        <v>60</v>
      </c>
      <c r="D6319" s="62" t="s">
        <v>384</v>
      </c>
      <c r="E6319" s="62" t="s">
        <v>72</v>
      </c>
      <c r="F6319" s="62" t="s">
        <v>382</v>
      </c>
      <c r="G6319" s="63" t="s">
        <v>636</v>
      </c>
      <c r="H6319" s="64" t="n">
        <v>-8918035643.85921</v>
      </c>
      <c r="I6319" s="62" t="s">
        <v>81</v>
      </c>
      <c r="J6319" s="64" t="n">
        <v>-8918035.64385921</v>
      </c>
      <c r="K6319" s="62" t="s">
        <v>138</v>
      </c>
      <c r="L6319" s="68" t="b">
        <f aca="false">FALSE()</f>
        <v>0</v>
      </c>
    </row>
    <row r="6320" customFormat="false" ht="15" hidden="false" customHeight="false" outlineLevel="0" collapsed="false">
      <c r="A6320" s="62" t="n">
        <v>1</v>
      </c>
      <c r="B6320" s="21" t="s">
        <v>336</v>
      </c>
      <c r="C6320" s="62" t="s">
        <v>60</v>
      </c>
      <c r="D6320" s="62" t="s">
        <v>385</v>
      </c>
      <c r="E6320" s="62" t="s">
        <v>72</v>
      </c>
      <c r="F6320" s="62" t="s">
        <v>382</v>
      </c>
      <c r="G6320" s="63" t="s">
        <v>636</v>
      </c>
      <c r="H6320" s="64" t="n">
        <v>-9823259145.09527</v>
      </c>
      <c r="I6320" s="62" t="s">
        <v>81</v>
      </c>
      <c r="J6320" s="64" t="n">
        <v>-9823259.14509527</v>
      </c>
      <c r="K6320" s="62" t="s">
        <v>138</v>
      </c>
      <c r="L6320" s="68" t="b">
        <f aca="false">FALSE()</f>
        <v>0</v>
      </c>
    </row>
    <row r="6321" customFormat="false" ht="15" hidden="false" customHeight="false" outlineLevel="0" collapsed="false">
      <c r="A6321" s="62" t="n">
        <v>1</v>
      </c>
      <c r="B6321" s="21" t="s">
        <v>336</v>
      </c>
      <c r="C6321" s="62" t="s">
        <v>60</v>
      </c>
      <c r="D6321" s="62" t="s">
        <v>386</v>
      </c>
      <c r="E6321" s="62" t="s">
        <v>72</v>
      </c>
      <c r="F6321" s="62" t="s">
        <v>382</v>
      </c>
      <c r="G6321" s="63" t="s">
        <v>636</v>
      </c>
      <c r="H6321" s="64" t="n">
        <v>-10938810951.3861</v>
      </c>
      <c r="I6321" s="62" t="s">
        <v>81</v>
      </c>
      <c r="J6321" s="64" t="n">
        <v>-10938810.9513861</v>
      </c>
      <c r="K6321" s="62" t="s">
        <v>138</v>
      </c>
      <c r="L6321" s="68" t="b">
        <f aca="false">FALSE()</f>
        <v>0</v>
      </c>
    </row>
    <row r="6322" customFormat="false" ht="15" hidden="false" customHeight="false" outlineLevel="0" collapsed="false">
      <c r="A6322" s="62" t="n">
        <v>1</v>
      </c>
      <c r="B6322" s="21" t="s">
        <v>336</v>
      </c>
      <c r="C6322" s="62" t="s">
        <v>60</v>
      </c>
      <c r="D6322" s="62" t="s">
        <v>387</v>
      </c>
      <c r="E6322" s="62" t="s">
        <v>72</v>
      </c>
      <c r="F6322" s="62" t="s">
        <v>382</v>
      </c>
      <c r="G6322" s="63" t="s">
        <v>636</v>
      </c>
      <c r="H6322" s="64" t="n">
        <v>-10753620048.8601</v>
      </c>
      <c r="I6322" s="62" t="s">
        <v>81</v>
      </c>
      <c r="J6322" s="64" t="n">
        <v>-10753620.0488601</v>
      </c>
      <c r="K6322" s="62" t="s">
        <v>138</v>
      </c>
      <c r="L6322" s="68" t="b">
        <f aca="false">FALSE()</f>
        <v>0</v>
      </c>
    </row>
    <row r="6323" customFormat="false" ht="15" hidden="false" customHeight="false" outlineLevel="0" collapsed="false">
      <c r="A6323" s="62" t="n">
        <v>1</v>
      </c>
      <c r="B6323" s="21" t="s">
        <v>336</v>
      </c>
      <c r="C6323" s="62" t="s">
        <v>60</v>
      </c>
      <c r="D6323" s="62" t="s">
        <v>388</v>
      </c>
      <c r="E6323" s="62" t="s">
        <v>72</v>
      </c>
      <c r="F6323" s="62" t="s">
        <v>382</v>
      </c>
      <c r="G6323" s="63" t="s">
        <v>636</v>
      </c>
      <c r="H6323" s="64" t="n">
        <v>-7891583989.29232</v>
      </c>
      <c r="I6323" s="62" t="s">
        <v>81</v>
      </c>
      <c r="J6323" s="64" t="n">
        <v>-7891583.98929232</v>
      </c>
      <c r="K6323" s="62" t="s">
        <v>138</v>
      </c>
      <c r="L6323" s="68" t="b">
        <f aca="false">FALSE()</f>
        <v>0</v>
      </c>
    </row>
    <row r="6324" customFormat="false" ht="15" hidden="false" customHeight="false" outlineLevel="0" collapsed="false">
      <c r="A6324" s="62" t="n">
        <v>1</v>
      </c>
      <c r="B6324" s="21" t="s">
        <v>336</v>
      </c>
      <c r="C6324" s="62" t="s">
        <v>60</v>
      </c>
      <c r="D6324" s="62" t="s">
        <v>381</v>
      </c>
      <c r="E6324" s="62" t="s">
        <v>72</v>
      </c>
      <c r="F6324" s="62" t="s">
        <v>382</v>
      </c>
      <c r="G6324" s="63" t="s">
        <v>637</v>
      </c>
      <c r="H6324" s="64" t="n">
        <v>62809166723.7419</v>
      </c>
      <c r="I6324" s="62" t="s">
        <v>81</v>
      </c>
      <c r="J6324" s="64" t="n">
        <v>62809166.7237419</v>
      </c>
      <c r="K6324" s="62" t="s">
        <v>138</v>
      </c>
      <c r="L6324" s="68" t="b">
        <f aca="false">FALSE()</f>
        <v>0</v>
      </c>
    </row>
    <row r="6325" customFormat="false" ht="15" hidden="false" customHeight="false" outlineLevel="0" collapsed="false">
      <c r="A6325" s="62" t="n">
        <v>1</v>
      </c>
      <c r="B6325" s="21" t="s">
        <v>336</v>
      </c>
      <c r="C6325" s="62" t="s">
        <v>60</v>
      </c>
      <c r="D6325" s="62" t="s">
        <v>383</v>
      </c>
      <c r="E6325" s="62" t="s">
        <v>72</v>
      </c>
      <c r="F6325" s="62" t="s">
        <v>382</v>
      </c>
      <c r="G6325" s="63" t="s">
        <v>637</v>
      </c>
      <c r="H6325" s="64" t="n">
        <v>125366249109.054</v>
      </c>
      <c r="I6325" s="62" t="s">
        <v>81</v>
      </c>
      <c r="J6325" s="64" t="n">
        <v>125366249.109054</v>
      </c>
      <c r="K6325" s="62" t="s">
        <v>138</v>
      </c>
      <c r="L6325" s="68" t="b">
        <f aca="false">FALSE()</f>
        <v>0</v>
      </c>
    </row>
    <row r="6326" customFormat="false" ht="15" hidden="false" customHeight="false" outlineLevel="0" collapsed="false">
      <c r="A6326" s="62" t="n">
        <v>1</v>
      </c>
      <c r="B6326" s="21" t="s">
        <v>336</v>
      </c>
      <c r="C6326" s="62" t="s">
        <v>60</v>
      </c>
      <c r="D6326" s="62" t="s">
        <v>384</v>
      </c>
      <c r="E6326" s="62" t="s">
        <v>72</v>
      </c>
      <c r="F6326" s="62" t="s">
        <v>382</v>
      </c>
      <c r="G6326" s="63" t="s">
        <v>637</v>
      </c>
      <c r="H6326" s="64" t="n">
        <v>105125626436.938</v>
      </c>
      <c r="I6326" s="62" t="s">
        <v>81</v>
      </c>
      <c r="J6326" s="64" t="n">
        <v>105125626.436938</v>
      </c>
      <c r="K6326" s="62" t="s">
        <v>138</v>
      </c>
      <c r="L6326" s="68" t="b">
        <f aca="false">FALSE()</f>
        <v>0</v>
      </c>
    </row>
    <row r="6327" customFormat="false" ht="15" hidden="false" customHeight="false" outlineLevel="0" collapsed="false">
      <c r="A6327" s="62" t="n">
        <v>1</v>
      </c>
      <c r="B6327" s="21" t="s">
        <v>336</v>
      </c>
      <c r="C6327" s="62" t="s">
        <v>60</v>
      </c>
      <c r="D6327" s="62" t="s">
        <v>385</v>
      </c>
      <c r="E6327" s="62" t="s">
        <v>72</v>
      </c>
      <c r="F6327" s="62" t="s">
        <v>382</v>
      </c>
      <c r="G6327" s="63" t="s">
        <v>637</v>
      </c>
      <c r="H6327" s="64" t="n">
        <v>89435100311.436</v>
      </c>
      <c r="I6327" s="62" t="s">
        <v>81</v>
      </c>
      <c r="J6327" s="64" t="n">
        <v>89435100.311436</v>
      </c>
      <c r="K6327" s="62" t="s">
        <v>138</v>
      </c>
      <c r="L6327" s="68" t="b">
        <f aca="false">FALSE()</f>
        <v>0</v>
      </c>
    </row>
    <row r="6328" customFormat="false" ht="15" hidden="false" customHeight="false" outlineLevel="0" collapsed="false">
      <c r="A6328" s="62" t="n">
        <v>1</v>
      </c>
      <c r="B6328" s="21" t="s">
        <v>336</v>
      </c>
      <c r="C6328" s="62" t="s">
        <v>60</v>
      </c>
      <c r="D6328" s="62" t="s">
        <v>386</v>
      </c>
      <c r="E6328" s="62" t="s">
        <v>72</v>
      </c>
      <c r="F6328" s="62" t="s">
        <v>382</v>
      </c>
      <c r="G6328" s="63" t="s">
        <v>637</v>
      </c>
      <c r="H6328" s="64" t="n">
        <v>82557056167.0494</v>
      </c>
      <c r="I6328" s="62" t="s">
        <v>81</v>
      </c>
      <c r="J6328" s="64" t="n">
        <v>82557056.1670494</v>
      </c>
      <c r="K6328" s="62" t="s">
        <v>138</v>
      </c>
      <c r="L6328" s="68" t="b">
        <f aca="false">FALSE()</f>
        <v>0</v>
      </c>
    </row>
    <row r="6329" customFormat="false" ht="15" hidden="false" customHeight="false" outlineLevel="0" collapsed="false">
      <c r="A6329" s="62" t="n">
        <v>1</v>
      </c>
      <c r="B6329" s="21" t="s">
        <v>336</v>
      </c>
      <c r="C6329" s="62" t="s">
        <v>60</v>
      </c>
      <c r="D6329" s="62" t="s">
        <v>387</v>
      </c>
      <c r="E6329" s="62" t="s">
        <v>72</v>
      </c>
      <c r="F6329" s="62" t="s">
        <v>382</v>
      </c>
      <c r="G6329" s="63" t="s">
        <v>637</v>
      </c>
      <c r="H6329" s="64" t="n">
        <v>98420899230.6509</v>
      </c>
      <c r="I6329" s="62" t="s">
        <v>81</v>
      </c>
      <c r="J6329" s="64" t="n">
        <v>98420899.2306509</v>
      </c>
      <c r="K6329" s="62" t="s">
        <v>138</v>
      </c>
      <c r="L6329" s="68" t="b">
        <f aca="false">FALSE()</f>
        <v>0</v>
      </c>
    </row>
    <row r="6330" customFormat="false" ht="15" hidden="false" customHeight="false" outlineLevel="0" collapsed="false">
      <c r="A6330" s="62" t="n">
        <v>1</v>
      </c>
      <c r="B6330" s="21" t="s">
        <v>336</v>
      </c>
      <c r="C6330" s="62" t="s">
        <v>60</v>
      </c>
      <c r="D6330" s="62" t="s">
        <v>388</v>
      </c>
      <c r="E6330" s="62" t="s">
        <v>72</v>
      </c>
      <c r="F6330" s="62" t="s">
        <v>382</v>
      </c>
      <c r="G6330" s="63" t="s">
        <v>637</v>
      </c>
      <c r="H6330" s="64" t="n">
        <v>50425863034.9462</v>
      </c>
      <c r="I6330" s="62" t="s">
        <v>81</v>
      </c>
      <c r="J6330" s="64" t="n">
        <v>50425863.0349462</v>
      </c>
      <c r="K6330" s="62" t="s">
        <v>138</v>
      </c>
      <c r="L6330" s="68" t="b">
        <f aca="false">FALSE()</f>
        <v>0</v>
      </c>
    </row>
    <row r="6331" customFormat="false" ht="15" hidden="false" customHeight="false" outlineLevel="0" collapsed="false">
      <c r="A6331" s="62" t="n">
        <v>1</v>
      </c>
      <c r="B6331" s="21" t="s">
        <v>336</v>
      </c>
      <c r="C6331" s="62" t="s">
        <v>60</v>
      </c>
      <c r="D6331" s="62" t="s">
        <v>381</v>
      </c>
      <c r="E6331" s="62" t="s">
        <v>72</v>
      </c>
      <c r="F6331" s="62" t="s">
        <v>382</v>
      </c>
      <c r="G6331" s="63" t="s">
        <v>638</v>
      </c>
      <c r="H6331" s="64" t="n">
        <v>1133.98543142213</v>
      </c>
      <c r="I6331" s="62" t="s">
        <v>81</v>
      </c>
      <c r="J6331" s="64" t="n">
        <v>1.13398543142213</v>
      </c>
      <c r="K6331" s="62" t="s">
        <v>138</v>
      </c>
      <c r="L6331" s="68" t="b">
        <f aca="false">TRUE()</f>
        <v>1</v>
      </c>
    </row>
    <row r="6332" customFormat="false" ht="15" hidden="false" customHeight="false" outlineLevel="0" collapsed="false">
      <c r="A6332" s="62" t="n">
        <v>1</v>
      </c>
      <c r="B6332" s="21" t="s">
        <v>336</v>
      </c>
      <c r="C6332" s="62" t="s">
        <v>60</v>
      </c>
      <c r="D6332" s="62" t="s">
        <v>383</v>
      </c>
      <c r="E6332" s="62" t="s">
        <v>72</v>
      </c>
      <c r="F6332" s="62" t="s">
        <v>382</v>
      </c>
      <c r="G6332" s="63" t="s">
        <v>638</v>
      </c>
      <c r="H6332" s="64" t="n">
        <v>865.233268167174</v>
      </c>
      <c r="I6332" s="62" t="s">
        <v>81</v>
      </c>
      <c r="J6332" s="64" t="n">
        <v>0.865233268167174</v>
      </c>
      <c r="K6332" s="62" t="s">
        <v>138</v>
      </c>
      <c r="L6332" s="68" t="b">
        <f aca="false">TRUE()</f>
        <v>1</v>
      </c>
    </row>
    <row r="6333" customFormat="false" ht="15" hidden="false" customHeight="false" outlineLevel="0" collapsed="false">
      <c r="A6333" s="62" t="n">
        <v>1</v>
      </c>
      <c r="B6333" s="21" t="s">
        <v>336</v>
      </c>
      <c r="C6333" s="62" t="s">
        <v>60</v>
      </c>
      <c r="D6333" s="62" t="s">
        <v>384</v>
      </c>
      <c r="E6333" s="62" t="s">
        <v>72</v>
      </c>
      <c r="F6333" s="62" t="s">
        <v>382</v>
      </c>
      <c r="G6333" s="63" t="s">
        <v>638</v>
      </c>
      <c r="H6333" s="64" t="n">
        <v>848.866801421821</v>
      </c>
      <c r="I6333" s="62" t="s">
        <v>81</v>
      </c>
      <c r="J6333" s="64" t="n">
        <v>0.848866801421821</v>
      </c>
      <c r="K6333" s="62" t="s">
        <v>138</v>
      </c>
      <c r="L6333" s="68" t="b">
        <f aca="false">TRUE()</f>
        <v>1</v>
      </c>
    </row>
    <row r="6334" customFormat="false" ht="15" hidden="false" customHeight="false" outlineLevel="0" collapsed="false">
      <c r="A6334" s="62" t="n">
        <v>1</v>
      </c>
      <c r="B6334" s="21" t="s">
        <v>336</v>
      </c>
      <c r="C6334" s="62" t="s">
        <v>60</v>
      </c>
      <c r="D6334" s="62" t="s">
        <v>385</v>
      </c>
      <c r="E6334" s="62" t="s">
        <v>72</v>
      </c>
      <c r="F6334" s="62" t="s">
        <v>382</v>
      </c>
      <c r="G6334" s="63" t="s">
        <v>638</v>
      </c>
      <c r="H6334" s="64" t="n">
        <v>895.00950060458</v>
      </c>
      <c r="I6334" s="62" t="s">
        <v>81</v>
      </c>
      <c r="J6334" s="64" t="n">
        <v>0.89500950060458</v>
      </c>
      <c r="K6334" s="62" t="s">
        <v>138</v>
      </c>
      <c r="L6334" s="68" t="b">
        <f aca="false">TRUE()</f>
        <v>1</v>
      </c>
    </row>
    <row r="6335" customFormat="false" ht="15" hidden="false" customHeight="false" outlineLevel="0" collapsed="false">
      <c r="A6335" s="62" t="n">
        <v>1</v>
      </c>
      <c r="B6335" s="21" t="s">
        <v>336</v>
      </c>
      <c r="C6335" s="62" t="s">
        <v>60</v>
      </c>
      <c r="D6335" s="62" t="s">
        <v>386</v>
      </c>
      <c r="E6335" s="62" t="s">
        <v>72</v>
      </c>
      <c r="F6335" s="62" t="s">
        <v>382</v>
      </c>
      <c r="G6335" s="63" t="s">
        <v>638</v>
      </c>
      <c r="H6335" s="64" t="n">
        <v>1132.50812003344</v>
      </c>
      <c r="I6335" s="62" t="s">
        <v>81</v>
      </c>
      <c r="J6335" s="64" t="n">
        <v>1.13250812003344</v>
      </c>
      <c r="K6335" s="62" t="s">
        <v>138</v>
      </c>
      <c r="L6335" s="68" t="b">
        <f aca="false">TRUE()</f>
        <v>1</v>
      </c>
    </row>
    <row r="6336" customFormat="false" ht="15" hidden="false" customHeight="false" outlineLevel="0" collapsed="false">
      <c r="A6336" s="62" t="n">
        <v>1</v>
      </c>
      <c r="B6336" s="21" t="s">
        <v>336</v>
      </c>
      <c r="C6336" s="62" t="s">
        <v>60</v>
      </c>
      <c r="D6336" s="62" t="s">
        <v>387</v>
      </c>
      <c r="E6336" s="62" t="s">
        <v>72</v>
      </c>
      <c r="F6336" s="62" t="s">
        <v>382</v>
      </c>
      <c r="G6336" s="63" t="s">
        <v>638</v>
      </c>
      <c r="H6336" s="64" t="n">
        <v>973.560328478435</v>
      </c>
      <c r="I6336" s="62" t="s">
        <v>81</v>
      </c>
      <c r="J6336" s="64" t="n">
        <v>0.973560328478435</v>
      </c>
      <c r="K6336" s="62" t="s">
        <v>138</v>
      </c>
      <c r="L6336" s="68" t="b">
        <f aca="false">TRUE()</f>
        <v>1</v>
      </c>
    </row>
    <row r="6337" customFormat="false" ht="15" hidden="false" customHeight="false" outlineLevel="0" collapsed="false">
      <c r="A6337" s="62" t="n">
        <v>1</v>
      </c>
      <c r="B6337" s="21" t="s">
        <v>336</v>
      </c>
      <c r="C6337" s="62" t="s">
        <v>60</v>
      </c>
      <c r="D6337" s="62" t="s">
        <v>388</v>
      </c>
      <c r="E6337" s="62" t="s">
        <v>72</v>
      </c>
      <c r="F6337" s="62" t="s">
        <v>382</v>
      </c>
      <c r="G6337" s="63" t="s">
        <v>638</v>
      </c>
      <c r="H6337" s="64" t="n">
        <v>1145.57400017947</v>
      </c>
      <c r="I6337" s="62" t="s">
        <v>81</v>
      </c>
      <c r="J6337" s="64" t="n">
        <v>1.14557400017947</v>
      </c>
      <c r="K6337" s="62" t="s">
        <v>138</v>
      </c>
      <c r="L6337" s="68" t="b">
        <f aca="false">TRUE()</f>
        <v>1</v>
      </c>
    </row>
    <row r="6338" customFormat="false" ht="15" hidden="false" customHeight="false" outlineLevel="0" collapsed="false">
      <c r="A6338" s="62" t="n">
        <v>1</v>
      </c>
      <c r="B6338" s="21" t="s">
        <v>336</v>
      </c>
      <c r="C6338" s="62" t="s">
        <v>60</v>
      </c>
      <c r="D6338" s="62" t="s">
        <v>381</v>
      </c>
      <c r="E6338" s="62" t="s">
        <v>72</v>
      </c>
      <c r="F6338" s="62" t="s">
        <v>382</v>
      </c>
      <c r="G6338" s="63" t="s">
        <v>639</v>
      </c>
      <c r="H6338" s="64" t="n">
        <v>11587.640775342</v>
      </c>
      <c r="I6338" s="62" t="s">
        <v>81</v>
      </c>
      <c r="J6338" s="64" t="n">
        <v>11.587640775342</v>
      </c>
      <c r="K6338" s="62" t="s">
        <v>138</v>
      </c>
      <c r="L6338" s="68" t="b">
        <f aca="false">FALSE()</f>
        <v>0</v>
      </c>
    </row>
    <row r="6339" customFormat="false" ht="15" hidden="false" customHeight="false" outlineLevel="0" collapsed="false">
      <c r="A6339" s="62" t="n">
        <v>1</v>
      </c>
      <c r="B6339" s="21" t="s">
        <v>336</v>
      </c>
      <c r="C6339" s="62" t="s">
        <v>60</v>
      </c>
      <c r="D6339" s="62" t="s">
        <v>383</v>
      </c>
      <c r="E6339" s="62" t="s">
        <v>72</v>
      </c>
      <c r="F6339" s="62" t="s">
        <v>382</v>
      </c>
      <c r="G6339" s="63" t="s">
        <v>639</v>
      </c>
      <c r="H6339" s="64" t="n">
        <v>9701.50834295432</v>
      </c>
      <c r="I6339" s="62" t="s">
        <v>81</v>
      </c>
      <c r="J6339" s="64" t="n">
        <v>9.70150834295432</v>
      </c>
      <c r="K6339" s="62" t="s">
        <v>138</v>
      </c>
      <c r="L6339" s="68" t="b">
        <f aca="false">FALSE()</f>
        <v>0</v>
      </c>
    </row>
    <row r="6340" customFormat="false" ht="15" hidden="false" customHeight="false" outlineLevel="0" collapsed="false">
      <c r="A6340" s="62" t="n">
        <v>1</v>
      </c>
      <c r="B6340" s="21" t="s">
        <v>336</v>
      </c>
      <c r="C6340" s="62" t="s">
        <v>60</v>
      </c>
      <c r="D6340" s="62" t="s">
        <v>384</v>
      </c>
      <c r="E6340" s="62" t="s">
        <v>72</v>
      </c>
      <c r="F6340" s="62" t="s">
        <v>382</v>
      </c>
      <c r="G6340" s="63" t="s">
        <v>639</v>
      </c>
      <c r="H6340" s="64" t="n">
        <v>9642.17514469257</v>
      </c>
      <c r="I6340" s="62" t="s">
        <v>81</v>
      </c>
      <c r="J6340" s="64" t="n">
        <v>9.64217514469257</v>
      </c>
      <c r="K6340" s="62" t="s">
        <v>138</v>
      </c>
      <c r="L6340" s="68" t="b">
        <f aca="false">FALSE()</f>
        <v>0</v>
      </c>
    </row>
    <row r="6341" customFormat="false" ht="15" hidden="false" customHeight="false" outlineLevel="0" collapsed="false">
      <c r="A6341" s="62" t="n">
        <v>1</v>
      </c>
      <c r="B6341" s="21" t="s">
        <v>336</v>
      </c>
      <c r="C6341" s="62" t="s">
        <v>60</v>
      </c>
      <c r="D6341" s="62" t="s">
        <v>385</v>
      </c>
      <c r="E6341" s="62" t="s">
        <v>72</v>
      </c>
      <c r="F6341" s="62" t="s">
        <v>382</v>
      </c>
      <c r="G6341" s="63" t="s">
        <v>639</v>
      </c>
      <c r="H6341" s="64" t="n">
        <v>9908.4803311009</v>
      </c>
      <c r="I6341" s="62" t="s">
        <v>81</v>
      </c>
      <c r="J6341" s="64" t="n">
        <v>9.9084803311009</v>
      </c>
      <c r="K6341" s="62" t="s">
        <v>138</v>
      </c>
      <c r="L6341" s="68" t="b">
        <f aca="false">FALSE()</f>
        <v>0</v>
      </c>
    </row>
    <row r="6342" customFormat="false" ht="15" hidden="false" customHeight="false" outlineLevel="0" collapsed="false">
      <c r="A6342" s="62" t="n">
        <v>1</v>
      </c>
      <c r="B6342" s="21" t="s">
        <v>336</v>
      </c>
      <c r="C6342" s="62" t="s">
        <v>60</v>
      </c>
      <c r="D6342" s="62" t="s">
        <v>386</v>
      </c>
      <c r="E6342" s="62" t="s">
        <v>72</v>
      </c>
      <c r="F6342" s="62" t="s">
        <v>382</v>
      </c>
      <c r="G6342" s="63" t="s">
        <v>639</v>
      </c>
      <c r="H6342" s="64" t="n">
        <v>11635.2306080969</v>
      </c>
      <c r="I6342" s="62" t="s">
        <v>81</v>
      </c>
      <c r="J6342" s="64" t="n">
        <v>11.6352306080969</v>
      </c>
      <c r="K6342" s="62" t="s">
        <v>138</v>
      </c>
      <c r="L6342" s="68" t="b">
        <f aca="false">FALSE()</f>
        <v>0</v>
      </c>
    </row>
    <row r="6343" customFormat="false" ht="15" hidden="false" customHeight="false" outlineLevel="0" collapsed="false">
      <c r="A6343" s="62" t="n">
        <v>1</v>
      </c>
      <c r="B6343" s="21" t="s">
        <v>336</v>
      </c>
      <c r="C6343" s="62" t="s">
        <v>60</v>
      </c>
      <c r="D6343" s="62" t="s">
        <v>387</v>
      </c>
      <c r="E6343" s="62" t="s">
        <v>72</v>
      </c>
      <c r="F6343" s="62" t="s">
        <v>382</v>
      </c>
      <c r="G6343" s="63" t="s">
        <v>639</v>
      </c>
      <c r="H6343" s="64" t="n">
        <v>10461.2827714714</v>
      </c>
      <c r="I6343" s="62" t="s">
        <v>81</v>
      </c>
      <c r="J6343" s="64" t="n">
        <v>10.4612827714714</v>
      </c>
      <c r="K6343" s="62" t="s">
        <v>138</v>
      </c>
      <c r="L6343" s="68" t="b">
        <f aca="false">FALSE()</f>
        <v>0</v>
      </c>
    </row>
    <row r="6344" customFormat="false" ht="15" hidden="false" customHeight="false" outlineLevel="0" collapsed="false">
      <c r="A6344" s="62" t="n">
        <v>1</v>
      </c>
      <c r="B6344" s="21" t="s">
        <v>336</v>
      </c>
      <c r="C6344" s="62" t="s">
        <v>60</v>
      </c>
      <c r="D6344" s="62" t="s">
        <v>388</v>
      </c>
      <c r="E6344" s="62" t="s">
        <v>72</v>
      </c>
      <c r="F6344" s="62" t="s">
        <v>382</v>
      </c>
      <c r="G6344" s="63" t="s">
        <v>639</v>
      </c>
      <c r="H6344" s="64" t="n">
        <v>11653.8310372897</v>
      </c>
      <c r="I6344" s="62" t="s">
        <v>81</v>
      </c>
      <c r="J6344" s="64" t="n">
        <v>11.6538310372897</v>
      </c>
      <c r="K6344" s="62" t="s">
        <v>138</v>
      </c>
      <c r="L6344" s="68" t="b">
        <f aca="false">FALSE()</f>
        <v>0</v>
      </c>
    </row>
    <row r="6345" customFormat="false" ht="15" hidden="false" customHeight="false" outlineLevel="0" collapsed="false">
      <c r="A6345" s="62" t="n">
        <v>1</v>
      </c>
      <c r="B6345" s="21" t="s">
        <v>336</v>
      </c>
      <c r="C6345" s="62" t="s">
        <v>60</v>
      </c>
      <c r="D6345" s="62" t="s">
        <v>381</v>
      </c>
      <c r="E6345" s="62" t="s">
        <v>72</v>
      </c>
      <c r="F6345" s="62" t="s">
        <v>382</v>
      </c>
      <c r="G6345" s="63" t="s">
        <v>640</v>
      </c>
      <c r="H6345" s="64" t="n">
        <v>4696.68668293926</v>
      </c>
      <c r="I6345" s="62" t="s">
        <v>81</v>
      </c>
      <c r="J6345" s="64" t="n">
        <v>4.69668668293926</v>
      </c>
      <c r="K6345" s="62" t="s">
        <v>138</v>
      </c>
      <c r="L6345" s="68" t="b">
        <f aca="false">TRUE()</f>
        <v>1</v>
      </c>
    </row>
    <row r="6346" customFormat="false" ht="15" hidden="false" customHeight="false" outlineLevel="0" collapsed="false">
      <c r="A6346" s="62" t="n">
        <v>1</v>
      </c>
      <c r="B6346" s="21" t="s">
        <v>336</v>
      </c>
      <c r="C6346" s="62" t="s">
        <v>60</v>
      </c>
      <c r="D6346" s="62" t="s">
        <v>383</v>
      </c>
      <c r="E6346" s="62" t="s">
        <v>72</v>
      </c>
      <c r="F6346" s="62" t="s">
        <v>382</v>
      </c>
      <c r="G6346" s="63" t="s">
        <v>640</v>
      </c>
      <c r="H6346" s="64" t="n">
        <v>4274.77592857662</v>
      </c>
      <c r="I6346" s="62" t="s">
        <v>81</v>
      </c>
      <c r="J6346" s="64" t="n">
        <v>4.27477592857662</v>
      </c>
      <c r="K6346" s="62" t="s">
        <v>138</v>
      </c>
      <c r="L6346" s="68" t="b">
        <f aca="false">TRUE()</f>
        <v>1</v>
      </c>
    </row>
    <row r="6347" customFormat="false" ht="15" hidden="false" customHeight="false" outlineLevel="0" collapsed="false">
      <c r="A6347" s="62" t="n">
        <v>1</v>
      </c>
      <c r="B6347" s="21" t="s">
        <v>336</v>
      </c>
      <c r="C6347" s="62" t="s">
        <v>60</v>
      </c>
      <c r="D6347" s="62" t="s">
        <v>384</v>
      </c>
      <c r="E6347" s="62" t="s">
        <v>72</v>
      </c>
      <c r="F6347" s="62" t="s">
        <v>382</v>
      </c>
      <c r="G6347" s="63" t="s">
        <v>640</v>
      </c>
      <c r="H6347" s="64" t="n">
        <v>4303.71158668869</v>
      </c>
      <c r="I6347" s="62" t="s">
        <v>81</v>
      </c>
      <c r="J6347" s="64" t="n">
        <v>4.30371158668869</v>
      </c>
      <c r="K6347" s="62" t="s">
        <v>138</v>
      </c>
      <c r="L6347" s="68" t="b">
        <f aca="false">TRUE()</f>
        <v>1</v>
      </c>
    </row>
    <row r="6348" customFormat="false" ht="15" hidden="false" customHeight="false" outlineLevel="0" collapsed="false">
      <c r="A6348" s="62" t="n">
        <v>1</v>
      </c>
      <c r="B6348" s="21" t="s">
        <v>336</v>
      </c>
      <c r="C6348" s="62" t="s">
        <v>60</v>
      </c>
      <c r="D6348" s="62" t="s">
        <v>385</v>
      </c>
      <c r="E6348" s="62" t="s">
        <v>72</v>
      </c>
      <c r="F6348" s="62" t="s">
        <v>382</v>
      </c>
      <c r="G6348" s="63" t="s">
        <v>640</v>
      </c>
      <c r="H6348" s="64" t="n">
        <v>4306.76170860558</v>
      </c>
      <c r="I6348" s="62" t="s">
        <v>81</v>
      </c>
      <c r="J6348" s="64" t="n">
        <v>4.30676170860558</v>
      </c>
      <c r="K6348" s="62" t="s">
        <v>138</v>
      </c>
      <c r="L6348" s="68" t="b">
        <f aca="false">TRUE()</f>
        <v>1</v>
      </c>
    </row>
    <row r="6349" customFormat="false" ht="15" hidden="false" customHeight="false" outlineLevel="0" collapsed="false">
      <c r="A6349" s="62" t="n">
        <v>1</v>
      </c>
      <c r="B6349" s="21" t="s">
        <v>336</v>
      </c>
      <c r="C6349" s="62" t="s">
        <v>60</v>
      </c>
      <c r="D6349" s="62" t="s">
        <v>386</v>
      </c>
      <c r="E6349" s="62" t="s">
        <v>72</v>
      </c>
      <c r="F6349" s="62" t="s">
        <v>382</v>
      </c>
      <c r="G6349" s="63" t="s">
        <v>640</v>
      </c>
      <c r="H6349" s="64" t="n">
        <v>4638.77484138022</v>
      </c>
      <c r="I6349" s="62" t="s">
        <v>81</v>
      </c>
      <c r="J6349" s="64" t="n">
        <v>4.63877484138022</v>
      </c>
      <c r="K6349" s="62" t="s">
        <v>138</v>
      </c>
      <c r="L6349" s="68" t="b">
        <f aca="false">TRUE()</f>
        <v>1</v>
      </c>
    </row>
    <row r="6350" customFormat="false" ht="15" hidden="false" customHeight="false" outlineLevel="0" collapsed="false">
      <c r="A6350" s="62" t="n">
        <v>1</v>
      </c>
      <c r="B6350" s="21" t="s">
        <v>336</v>
      </c>
      <c r="C6350" s="62" t="s">
        <v>60</v>
      </c>
      <c r="D6350" s="62" t="s">
        <v>387</v>
      </c>
      <c r="E6350" s="62" t="s">
        <v>72</v>
      </c>
      <c r="F6350" s="62" t="s">
        <v>382</v>
      </c>
      <c r="G6350" s="63" t="s">
        <v>640</v>
      </c>
      <c r="H6350" s="64" t="n">
        <v>4395.06488621421</v>
      </c>
      <c r="I6350" s="62" t="s">
        <v>81</v>
      </c>
      <c r="J6350" s="64" t="n">
        <v>4.39506488621421</v>
      </c>
      <c r="K6350" s="62" t="s">
        <v>138</v>
      </c>
      <c r="L6350" s="68" t="b">
        <f aca="false">TRUE()</f>
        <v>1</v>
      </c>
    </row>
    <row r="6351" customFormat="false" ht="15" hidden="false" customHeight="false" outlineLevel="0" collapsed="false">
      <c r="A6351" s="62" t="n">
        <v>1</v>
      </c>
      <c r="B6351" s="21" t="s">
        <v>336</v>
      </c>
      <c r="C6351" s="62" t="s">
        <v>60</v>
      </c>
      <c r="D6351" s="62" t="s">
        <v>388</v>
      </c>
      <c r="E6351" s="62" t="s">
        <v>72</v>
      </c>
      <c r="F6351" s="62" t="s">
        <v>382</v>
      </c>
      <c r="G6351" s="63" t="s">
        <v>640</v>
      </c>
      <c r="H6351" s="64" t="n">
        <v>7731.55804968995</v>
      </c>
      <c r="I6351" s="62" t="s">
        <v>81</v>
      </c>
      <c r="J6351" s="64" t="n">
        <v>7.73155804968995</v>
      </c>
      <c r="K6351" s="62" t="s">
        <v>138</v>
      </c>
      <c r="L6351" s="68" t="b">
        <f aca="false">TRUE()</f>
        <v>1</v>
      </c>
    </row>
    <row r="6352" customFormat="false" ht="15" hidden="false" customHeight="false" outlineLevel="0" collapsed="false">
      <c r="A6352" s="62" t="n">
        <v>1</v>
      </c>
      <c r="B6352" s="21" t="s">
        <v>336</v>
      </c>
      <c r="C6352" s="62" t="s">
        <v>60</v>
      </c>
      <c r="D6352" s="62" t="s">
        <v>381</v>
      </c>
      <c r="E6352" s="62" t="s">
        <v>72</v>
      </c>
      <c r="F6352" s="62" t="s">
        <v>382</v>
      </c>
      <c r="G6352" s="63" t="s">
        <v>641</v>
      </c>
      <c r="H6352" s="64" t="n">
        <v>1024.72264291798</v>
      </c>
      <c r="I6352" s="62" t="s">
        <v>81</v>
      </c>
      <c r="J6352" s="64" t="n">
        <v>1.02472264291798</v>
      </c>
      <c r="K6352" s="62" t="s">
        <v>138</v>
      </c>
      <c r="L6352" s="68" t="b">
        <f aca="false">TRUE()</f>
        <v>1</v>
      </c>
    </row>
    <row r="6353" customFormat="false" ht="15" hidden="false" customHeight="false" outlineLevel="0" collapsed="false">
      <c r="A6353" s="62" t="n">
        <v>1</v>
      </c>
      <c r="B6353" s="21" t="s">
        <v>336</v>
      </c>
      <c r="C6353" s="62" t="s">
        <v>60</v>
      </c>
      <c r="D6353" s="62" t="s">
        <v>383</v>
      </c>
      <c r="E6353" s="62" t="s">
        <v>72</v>
      </c>
      <c r="F6353" s="62" t="s">
        <v>382</v>
      </c>
      <c r="G6353" s="63" t="s">
        <v>641</v>
      </c>
      <c r="H6353" s="64" t="n">
        <v>548.174279171493</v>
      </c>
      <c r="I6353" s="62" t="s">
        <v>81</v>
      </c>
      <c r="J6353" s="64" t="n">
        <v>0.548174279171493</v>
      </c>
      <c r="K6353" s="62" t="s">
        <v>138</v>
      </c>
      <c r="L6353" s="68" t="b">
        <f aca="false">TRUE()</f>
        <v>1</v>
      </c>
    </row>
    <row r="6354" customFormat="false" ht="15" hidden="false" customHeight="false" outlineLevel="0" collapsed="false">
      <c r="A6354" s="62" t="n">
        <v>1</v>
      </c>
      <c r="B6354" s="21" t="s">
        <v>336</v>
      </c>
      <c r="C6354" s="62" t="s">
        <v>60</v>
      </c>
      <c r="D6354" s="62" t="s">
        <v>384</v>
      </c>
      <c r="E6354" s="62" t="s">
        <v>72</v>
      </c>
      <c r="F6354" s="62" t="s">
        <v>382</v>
      </c>
      <c r="G6354" s="63" t="s">
        <v>641</v>
      </c>
      <c r="H6354" s="64" t="n">
        <v>514.021598570704</v>
      </c>
      <c r="I6354" s="62" t="s">
        <v>81</v>
      </c>
      <c r="J6354" s="64" t="n">
        <v>0.514021598570704</v>
      </c>
      <c r="K6354" s="62" t="s">
        <v>138</v>
      </c>
      <c r="L6354" s="68" t="b">
        <f aca="false">TRUE()</f>
        <v>1</v>
      </c>
    </row>
    <row r="6355" customFormat="false" ht="15" hidden="false" customHeight="false" outlineLevel="0" collapsed="false">
      <c r="A6355" s="62" t="n">
        <v>1</v>
      </c>
      <c r="B6355" s="21" t="s">
        <v>336</v>
      </c>
      <c r="C6355" s="62" t="s">
        <v>60</v>
      </c>
      <c r="D6355" s="62" t="s">
        <v>385</v>
      </c>
      <c r="E6355" s="62" t="s">
        <v>72</v>
      </c>
      <c r="F6355" s="62" t="s">
        <v>382</v>
      </c>
      <c r="G6355" s="63" t="s">
        <v>641</v>
      </c>
      <c r="H6355" s="64" t="n">
        <v>599.720113572172</v>
      </c>
      <c r="I6355" s="62" t="s">
        <v>81</v>
      </c>
      <c r="J6355" s="64" t="n">
        <v>0.599720113572172</v>
      </c>
      <c r="K6355" s="62" t="s">
        <v>138</v>
      </c>
      <c r="L6355" s="68" t="b">
        <f aca="false">TRUE()</f>
        <v>1</v>
      </c>
    </row>
    <row r="6356" customFormat="false" ht="15" hidden="false" customHeight="false" outlineLevel="0" collapsed="false">
      <c r="A6356" s="62" t="n">
        <v>1</v>
      </c>
      <c r="B6356" s="21" t="s">
        <v>336</v>
      </c>
      <c r="C6356" s="62" t="s">
        <v>60</v>
      </c>
      <c r="D6356" s="62" t="s">
        <v>386</v>
      </c>
      <c r="E6356" s="62" t="s">
        <v>72</v>
      </c>
      <c r="F6356" s="62" t="s">
        <v>382</v>
      </c>
      <c r="G6356" s="63" t="s">
        <v>641</v>
      </c>
      <c r="H6356" s="64" t="n">
        <v>1015.59123174617</v>
      </c>
      <c r="I6356" s="62" t="s">
        <v>81</v>
      </c>
      <c r="J6356" s="64" t="n">
        <v>1.01559123174617</v>
      </c>
      <c r="K6356" s="62" t="s">
        <v>138</v>
      </c>
      <c r="L6356" s="68" t="b">
        <f aca="false">TRUE()</f>
        <v>1</v>
      </c>
    </row>
    <row r="6357" customFormat="false" ht="15" hidden="false" customHeight="false" outlineLevel="0" collapsed="false">
      <c r="A6357" s="62" t="n">
        <v>1</v>
      </c>
      <c r="B6357" s="21" t="s">
        <v>336</v>
      </c>
      <c r="C6357" s="62" t="s">
        <v>60</v>
      </c>
      <c r="D6357" s="62" t="s">
        <v>387</v>
      </c>
      <c r="E6357" s="62" t="s">
        <v>72</v>
      </c>
      <c r="F6357" s="62" t="s">
        <v>382</v>
      </c>
      <c r="G6357" s="63" t="s">
        <v>641</v>
      </c>
      <c r="H6357" s="64" t="n">
        <v>740.048521423564</v>
      </c>
      <c r="I6357" s="62" t="s">
        <v>81</v>
      </c>
      <c r="J6357" s="64" t="n">
        <v>0.740048521423564</v>
      </c>
      <c r="K6357" s="62" t="s">
        <v>138</v>
      </c>
      <c r="L6357" s="68" t="b">
        <f aca="false">TRUE()</f>
        <v>1</v>
      </c>
    </row>
    <row r="6358" customFormat="false" ht="15" hidden="false" customHeight="false" outlineLevel="0" collapsed="false">
      <c r="A6358" s="62" t="n">
        <v>1</v>
      </c>
      <c r="B6358" s="21" t="s">
        <v>336</v>
      </c>
      <c r="C6358" s="62" t="s">
        <v>60</v>
      </c>
      <c r="D6358" s="62" t="s">
        <v>388</v>
      </c>
      <c r="E6358" s="62" t="s">
        <v>72</v>
      </c>
      <c r="F6358" s="62" t="s">
        <v>382</v>
      </c>
      <c r="G6358" s="63" t="s">
        <v>641</v>
      </c>
      <c r="H6358" s="64" t="n">
        <v>1045.18220134622</v>
      </c>
      <c r="I6358" s="62" t="s">
        <v>81</v>
      </c>
      <c r="J6358" s="64" t="n">
        <v>1.04518220134622</v>
      </c>
      <c r="K6358" s="62" t="s">
        <v>138</v>
      </c>
      <c r="L6358" s="68" t="b">
        <f aca="false">TRUE()</f>
        <v>1</v>
      </c>
    </row>
    <row r="6359" customFormat="false" ht="15" hidden="false" customHeight="false" outlineLevel="0" collapsed="false">
      <c r="A6359" s="62" t="n">
        <v>1</v>
      </c>
      <c r="B6359" s="21" t="s">
        <v>336</v>
      </c>
      <c r="C6359" s="62" t="s">
        <v>60</v>
      </c>
      <c r="D6359" s="62" t="s">
        <v>381</v>
      </c>
      <c r="E6359" s="62" t="s">
        <v>72</v>
      </c>
      <c r="F6359" s="62" t="s">
        <v>382</v>
      </c>
      <c r="G6359" s="63" t="s">
        <v>642</v>
      </c>
      <c r="H6359" s="64" t="n">
        <v>8100.0931280174</v>
      </c>
      <c r="I6359" s="62" t="s">
        <v>81</v>
      </c>
      <c r="J6359" s="64" t="n">
        <v>8.1000931280174</v>
      </c>
      <c r="K6359" s="62" t="s">
        <v>138</v>
      </c>
      <c r="L6359" s="68" t="b">
        <f aca="false">FALSE()</f>
        <v>0</v>
      </c>
    </row>
    <row r="6360" customFormat="false" ht="15" hidden="false" customHeight="false" outlineLevel="0" collapsed="false">
      <c r="A6360" s="62" t="n">
        <v>1</v>
      </c>
      <c r="B6360" s="21" t="s">
        <v>336</v>
      </c>
      <c r="C6360" s="62" t="s">
        <v>60</v>
      </c>
      <c r="D6360" s="62" t="s">
        <v>383</v>
      </c>
      <c r="E6360" s="62" t="s">
        <v>72</v>
      </c>
      <c r="F6360" s="62" t="s">
        <v>382</v>
      </c>
      <c r="G6360" s="63" t="s">
        <v>642</v>
      </c>
      <c r="H6360" s="64" t="n">
        <v>7780.0223904167</v>
      </c>
      <c r="I6360" s="62" t="s">
        <v>81</v>
      </c>
      <c r="J6360" s="64" t="n">
        <v>7.7800223904167</v>
      </c>
      <c r="K6360" s="62" t="s">
        <v>138</v>
      </c>
      <c r="L6360" s="68" t="b">
        <f aca="false">FALSE()</f>
        <v>0</v>
      </c>
    </row>
    <row r="6361" customFormat="false" ht="15" hidden="false" customHeight="false" outlineLevel="0" collapsed="false">
      <c r="A6361" s="62" t="n">
        <v>1</v>
      </c>
      <c r="B6361" s="21" t="s">
        <v>336</v>
      </c>
      <c r="C6361" s="62" t="s">
        <v>60</v>
      </c>
      <c r="D6361" s="62" t="s">
        <v>384</v>
      </c>
      <c r="E6361" s="62" t="s">
        <v>72</v>
      </c>
      <c r="F6361" s="62" t="s">
        <v>382</v>
      </c>
      <c r="G6361" s="63" t="s">
        <v>642</v>
      </c>
      <c r="H6361" s="64" t="n">
        <v>7829.72704316804</v>
      </c>
      <c r="I6361" s="62" t="s">
        <v>81</v>
      </c>
      <c r="J6361" s="64" t="n">
        <v>7.82972704316804</v>
      </c>
      <c r="K6361" s="62" t="s">
        <v>138</v>
      </c>
      <c r="L6361" s="68" t="b">
        <f aca="false">FALSE()</f>
        <v>0</v>
      </c>
    </row>
    <row r="6362" customFormat="false" ht="15" hidden="false" customHeight="false" outlineLevel="0" collapsed="false">
      <c r="A6362" s="62" t="n">
        <v>1</v>
      </c>
      <c r="B6362" s="21" t="s">
        <v>336</v>
      </c>
      <c r="C6362" s="62" t="s">
        <v>60</v>
      </c>
      <c r="D6362" s="62" t="s">
        <v>385</v>
      </c>
      <c r="E6362" s="62" t="s">
        <v>72</v>
      </c>
      <c r="F6362" s="62" t="s">
        <v>382</v>
      </c>
      <c r="G6362" s="63" t="s">
        <v>642</v>
      </c>
      <c r="H6362" s="64" t="n">
        <v>7808.4483942763</v>
      </c>
      <c r="I6362" s="62" t="s">
        <v>81</v>
      </c>
      <c r="J6362" s="64" t="n">
        <v>7.8084483942763</v>
      </c>
      <c r="K6362" s="62" t="s">
        <v>138</v>
      </c>
      <c r="L6362" s="68" t="b">
        <f aca="false">FALSE()</f>
        <v>0</v>
      </c>
    </row>
    <row r="6363" customFormat="false" ht="15" hidden="false" customHeight="false" outlineLevel="0" collapsed="false">
      <c r="A6363" s="62" t="n">
        <v>1</v>
      </c>
      <c r="B6363" s="21" t="s">
        <v>336</v>
      </c>
      <c r="C6363" s="62" t="s">
        <v>60</v>
      </c>
      <c r="D6363" s="62" t="s">
        <v>386</v>
      </c>
      <c r="E6363" s="62" t="s">
        <v>72</v>
      </c>
      <c r="F6363" s="62" t="s">
        <v>382</v>
      </c>
      <c r="G6363" s="63" t="s">
        <v>642</v>
      </c>
      <c r="H6363" s="64" t="n">
        <v>8109.94283244925</v>
      </c>
      <c r="I6363" s="62" t="s">
        <v>81</v>
      </c>
      <c r="J6363" s="64" t="n">
        <v>8.10994283244925</v>
      </c>
      <c r="K6363" s="62" t="s">
        <v>138</v>
      </c>
      <c r="L6363" s="68" t="b">
        <f aca="false">FALSE()</f>
        <v>0</v>
      </c>
    </row>
    <row r="6364" customFormat="false" ht="15" hidden="false" customHeight="false" outlineLevel="0" collapsed="false">
      <c r="A6364" s="62" t="n">
        <v>1</v>
      </c>
      <c r="B6364" s="21" t="s">
        <v>336</v>
      </c>
      <c r="C6364" s="62" t="s">
        <v>60</v>
      </c>
      <c r="D6364" s="62" t="s">
        <v>387</v>
      </c>
      <c r="E6364" s="62" t="s">
        <v>72</v>
      </c>
      <c r="F6364" s="62" t="s">
        <v>382</v>
      </c>
      <c r="G6364" s="63" t="s">
        <v>642</v>
      </c>
      <c r="H6364" s="64" t="n">
        <v>7881.29978746532</v>
      </c>
      <c r="I6364" s="62" t="s">
        <v>81</v>
      </c>
      <c r="J6364" s="64" t="n">
        <v>7.88129978746532</v>
      </c>
      <c r="K6364" s="62" t="s">
        <v>138</v>
      </c>
      <c r="L6364" s="68" t="b">
        <f aca="false">FALSE()</f>
        <v>0</v>
      </c>
    </row>
    <row r="6365" customFormat="false" ht="15" hidden="false" customHeight="false" outlineLevel="0" collapsed="false">
      <c r="A6365" s="62" t="n">
        <v>1</v>
      </c>
      <c r="B6365" s="21" t="s">
        <v>336</v>
      </c>
      <c r="C6365" s="62" t="s">
        <v>60</v>
      </c>
      <c r="D6365" s="62" t="s">
        <v>388</v>
      </c>
      <c r="E6365" s="62" t="s">
        <v>72</v>
      </c>
      <c r="F6365" s="62" t="s">
        <v>382</v>
      </c>
      <c r="G6365" s="63" t="s">
        <v>642</v>
      </c>
      <c r="H6365" s="64" t="n">
        <v>9649.36908140047</v>
      </c>
      <c r="I6365" s="62" t="s">
        <v>81</v>
      </c>
      <c r="J6365" s="64" t="n">
        <v>9.64936908140047</v>
      </c>
      <c r="K6365" s="62" t="s">
        <v>138</v>
      </c>
      <c r="L6365" s="68" t="b">
        <f aca="false">FALSE()</f>
        <v>0</v>
      </c>
    </row>
    <row r="6366" customFormat="false" ht="15" hidden="false" customHeight="false" outlineLevel="0" collapsed="false">
      <c r="A6366" s="62" t="n">
        <v>1</v>
      </c>
      <c r="B6366" s="21" t="s">
        <v>336</v>
      </c>
      <c r="C6366" s="62" t="s">
        <v>60</v>
      </c>
      <c r="D6366" s="62" t="s">
        <v>381</v>
      </c>
      <c r="E6366" s="62" t="s">
        <v>72</v>
      </c>
      <c r="F6366" s="62" t="s">
        <v>382</v>
      </c>
      <c r="G6366" s="63" t="s">
        <v>643</v>
      </c>
      <c r="H6366" s="64" t="n">
        <v>64766251830.1443</v>
      </c>
      <c r="I6366" s="62" t="s">
        <v>81</v>
      </c>
      <c r="J6366" s="64" t="n">
        <v>64766251.8301443</v>
      </c>
      <c r="K6366" s="62" t="s">
        <v>138</v>
      </c>
      <c r="L6366" s="68" t="b">
        <f aca="false">FALSE()</f>
        <v>0</v>
      </c>
    </row>
    <row r="6367" customFormat="false" ht="15" hidden="false" customHeight="false" outlineLevel="0" collapsed="false">
      <c r="A6367" s="62" t="n">
        <v>1</v>
      </c>
      <c r="B6367" s="21" t="s">
        <v>336</v>
      </c>
      <c r="C6367" s="62" t="s">
        <v>60</v>
      </c>
      <c r="D6367" s="62" t="s">
        <v>383</v>
      </c>
      <c r="E6367" s="62" t="s">
        <v>72</v>
      </c>
      <c r="F6367" s="62" t="s">
        <v>382</v>
      </c>
      <c r="G6367" s="63" t="s">
        <v>643</v>
      </c>
      <c r="H6367" s="64" t="n">
        <v>112748192217.968</v>
      </c>
      <c r="I6367" s="62" t="s">
        <v>81</v>
      </c>
      <c r="J6367" s="64" t="n">
        <v>112748192.217968</v>
      </c>
      <c r="K6367" s="62" t="s">
        <v>138</v>
      </c>
      <c r="L6367" s="68" t="b">
        <f aca="false">FALSE()</f>
        <v>0</v>
      </c>
    </row>
    <row r="6368" customFormat="false" ht="15" hidden="false" customHeight="false" outlineLevel="0" collapsed="false">
      <c r="A6368" s="62" t="n">
        <v>1</v>
      </c>
      <c r="B6368" s="21" t="s">
        <v>336</v>
      </c>
      <c r="C6368" s="62" t="s">
        <v>60</v>
      </c>
      <c r="D6368" s="62" t="s">
        <v>384</v>
      </c>
      <c r="E6368" s="62" t="s">
        <v>72</v>
      </c>
      <c r="F6368" s="62" t="s">
        <v>382</v>
      </c>
      <c r="G6368" s="63" t="s">
        <v>643</v>
      </c>
      <c r="H6368" s="64" t="n">
        <v>95047221115.3479</v>
      </c>
      <c r="I6368" s="62" t="s">
        <v>81</v>
      </c>
      <c r="J6368" s="64" t="n">
        <v>95047221.1153479</v>
      </c>
      <c r="K6368" s="62" t="s">
        <v>138</v>
      </c>
      <c r="L6368" s="68" t="b">
        <f aca="false">FALSE()</f>
        <v>0</v>
      </c>
    </row>
    <row r="6369" customFormat="false" ht="15" hidden="false" customHeight="false" outlineLevel="0" collapsed="false">
      <c r="A6369" s="62" t="n">
        <v>1</v>
      </c>
      <c r="B6369" s="21" t="s">
        <v>336</v>
      </c>
      <c r="C6369" s="62" t="s">
        <v>60</v>
      </c>
      <c r="D6369" s="62" t="s">
        <v>385</v>
      </c>
      <c r="E6369" s="62" t="s">
        <v>72</v>
      </c>
      <c r="F6369" s="62" t="s">
        <v>382</v>
      </c>
      <c r="G6369" s="63" t="s">
        <v>643</v>
      </c>
      <c r="H6369" s="64" t="n">
        <v>88468210941.4909</v>
      </c>
      <c r="I6369" s="62" t="s">
        <v>81</v>
      </c>
      <c r="J6369" s="64" t="n">
        <v>88468210.9414909</v>
      </c>
      <c r="K6369" s="62" t="s">
        <v>138</v>
      </c>
      <c r="L6369" s="68" t="b">
        <f aca="false">FALSE()</f>
        <v>0</v>
      </c>
    </row>
    <row r="6370" customFormat="false" ht="15" hidden="false" customHeight="false" outlineLevel="0" collapsed="false">
      <c r="A6370" s="62" t="n">
        <v>1</v>
      </c>
      <c r="B6370" s="21" t="s">
        <v>336</v>
      </c>
      <c r="C6370" s="62" t="s">
        <v>60</v>
      </c>
      <c r="D6370" s="62" t="s">
        <v>386</v>
      </c>
      <c r="E6370" s="62" t="s">
        <v>72</v>
      </c>
      <c r="F6370" s="62" t="s">
        <v>382</v>
      </c>
      <c r="G6370" s="63" t="s">
        <v>643</v>
      </c>
      <c r="H6370" s="64" t="n">
        <v>80311537532.8818</v>
      </c>
      <c r="I6370" s="62" t="s">
        <v>81</v>
      </c>
      <c r="J6370" s="64" t="n">
        <v>80311537.5328818</v>
      </c>
      <c r="K6370" s="62" t="s">
        <v>138</v>
      </c>
      <c r="L6370" s="68" t="b">
        <f aca="false">FALSE()</f>
        <v>0</v>
      </c>
    </row>
    <row r="6371" customFormat="false" ht="15" hidden="false" customHeight="false" outlineLevel="0" collapsed="false">
      <c r="A6371" s="62" t="n">
        <v>1</v>
      </c>
      <c r="B6371" s="21" t="s">
        <v>336</v>
      </c>
      <c r="C6371" s="62" t="s">
        <v>60</v>
      </c>
      <c r="D6371" s="62" t="s">
        <v>387</v>
      </c>
      <c r="E6371" s="62" t="s">
        <v>72</v>
      </c>
      <c r="F6371" s="62" t="s">
        <v>382</v>
      </c>
      <c r="G6371" s="63" t="s">
        <v>643</v>
      </c>
      <c r="H6371" s="64" t="n">
        <v>95602120625.1061</v>
      </c>
      <c r="I6371" s="62" t="s">
        <v>81</v>
      </c>
      <c r="J6371" s="64" t="n">
        <v>95602120.6251061</v>
      </c>
      <c r="K6371" s="62" t="s">
        <v>138</v>
      </c>
      <c r="L6371" s="68" t="b">
        <f aca="false">FALSE()</f>
        <v>0</v>
      </c>
    </row>
    <row r="6372" customFormat="false" ht="15" hidden="false" customHeight="false" outlineLevel="0" collapsed="false">
      <c r="A6372" s="62" t="n">
        <v>1</v>
      </c>
      <c r="B6372" s="21" t="s">
        <v>336</v>
      </c>
      <c r="C6372" s="62" t="s">
        <v>60</v>
      </c>
      <c r="D6372" s="62" t="s">
        <v>388</v>
      </c>
      <c r="E6372" s="62" t="s">
        <v>72</v>
      </c>
      <c r="F6372" s="62" t="s">
        <v>382</v>
      </c>
      <c r="G6372" s="63" t="s">
        <v>643</v>
      </c>
      <c r="H6372" s="64" t="n">
        <v>45005527434.8683</v>
      </c>
      <c r="I6372" s="62" t="s">
        <v>81</v>
      </c>
      <c r="J6372" s="64" t="n">
        <v>45005527.4348683</v>
      </c>
      <c r="K6372" s="62" t="s">
        <v>138</v>
      </c>
      <c r="L6372" s="68" t="b">
        <f aca="false">FALSE()</f>
        <v>0</v>
      </c>
    </row>
    <row r="6373" customFormat="false" ht="15" hidden="false" customHeight="false" outlineLevel="0" collapsed="false">
      <c r="A6373" s="62" t="n">
        <v>1</v>
      </c>
      <c r="B6373" s="21" t="s">
        <v>336</v>
      </c>
      <c r="C6373" s="62" t="s">
        <v>60</v>
      </c>
      <c r="D6373" s="62" t="s">
        <v>381</v>
      </c>
      <c r="E6373" s="62" t="s">
        <v>72</v>
      </c>
      <c r="F6373" s="62" t="s">
        <v>382</v>
      </c>
      <c r="G6373" s="63" t="s">
        <v>644</v>
      </c>
      <c r="H6373" s="64" t="n">
        <v>4000</v>
      </c>
      <c r="I6373" s="62" t="s">
        <v>81</v>
      </c>
      <c r="J6373" s="64" t="n">
        <v>4</v>
      </c>
      <c r="K6373" s="62" t="s">
        <v>138</v>
      </c>
      <c r="L6373" s="68" t="b">
        <f aca="false">TRUE()</f>
        <v>1</v>
      </c>
    </row>
    <row r="6374" customFormat="false" ht="15" hidden="false" customHeight="false" outlineLevel="0" collapsed="false">
      <c r="A6374" s="62" t="n">
        <v>1</v>
      </c>
      <c r="B6374" s="21" t="s">
        <v>336</v>
      </c>
      <c r="C6374" s="62" t="s">
        <v>60</v>
      </c>
      <c r="D6374" s="62" t="s">
        <v>383</v>
      </c>
      <c r="E6374" s="62" t="s">
        <v>72</v>
      </c>
      <c r="F6374" s="62" t="s">
        <v>382</v>
      </c>
      <c r="G6374" s="63" t="s">
        <v>644</v>
      </c>
      <c r="H6374" s="64" t="n">
        <v>4000</v>
      </c>
      <c r="I6374" s="62" t="s">
        <v>81</v>
      </c>
      <c r="J6374" s="64" t="n">
        <v>4</v>
      </c>
      <c r="K6374" s="62" t="s">
        <v>138</v>
      </c>
      <c r="L6374" s="68" t="b">
        <f aca="false">TRUE()</f>
        <v>1</v>
      </c>
    </row>
    <row r="6375" customFormat="false" ht="15" hidden="false" customHeight="false" outlineLevel="0" collapsed="false">
      <c r="A6375" s="62" t="n">
        <v>1</v>
      </c>
      <c r="B6375" s="21" t="s">
        <v>336</v>
      </c>
      <c r="C6375" s="62" t="s">
        <v>60</v>
      </c>
      <c r="D6375" s="62" t="s">
        <v>384</v>
      </c>
      <c r="E6375" s="62" t="s">
        <v>72</v>
      </c>
      <c r="F6375" s="62" t="s">
        <v>382</v>
      </c>
      <c r="G6375" s="63" t="s">
        <v>644</v>
      </c>
      <c r="H6375" s="64" t="n">
        <v>4000</v>
      </c>
      <c r="I6375" s="62" t="s">
        <v>81</v>
      </c>
      <c r="J6375" s="64" t="n">
        <v>4</v>
      </c>
      <c r="K6375" s="62" t="s">
        <v>138</v>
      </c>
      <c r="L6375" s="68" t="b">
        <f aca="false">TRUE()</f>
        <v>1</v>
      </c>
    </row>
    <row r="6376" customFormat="false" ht="15" hidden="false" customHeight="false" outlineLevel="0" collapsed="false">
      <c r="A6376" s="62" t="n">
        <v>1</v>
      </c>
      <c r="B6376" s="21" t="s">
        <v>336</v>
      </c>
      <c r="C6376" s="62" t="s">
        <v>60</v>
      </c>
      <c r="D6376" s="62" t="s">
        <v>385</v>
      </c>
      <c r="E6376" s="62" t="s">
        <v>72</v>
      </c>
      <c r="F6376" s="62" t="s">
        <v>382</v>
      </c>
      <c r="G6376" s="63" t="s">
        <v>644</v>
      </c>
      <c r="H6376" s="64" t="n">
        <v>4000</v>
      </c>
      <c r="I6376" s="62" t="s">
        <v>81</v>
      </c>
      <c r="J6376" s="64" t="n">
        <v>4</v>
      </c>
      <c r="K6376" s="62" t="s">
        <v>138</v>
      </c>
      <c r="L6376" s="68" t="b">
        <f aca="false">TRUE()</f>
        <v>1</v>
      </c>
    </row>
    <row r="6377" customFormat="false" ht="15" hidden="false" customHeight="false" outlineLevel="0" collapsed="false">
      <c r="A6377" s="62" t="n">
        <v>1</v>
      </c>
      <c r="B6377" s="21" t="s">
        <v>336</v>
      </c>
      <c r="C6377" s="62" t="s">
        <v>60</v>
      </c>
      <c r="D6377" s="62" t="s">
        <v>386</v>
      </c>
      <c r="E6377" s="62" t="s">
        <v>72</v>
      </c>
      <c r="F6377" s="62" t="s">
        <v>382</v>
      </c>
      <c r="G6377" s="63" t="s">
        <v>644</v>
      </c>
      <c r="H6377" s="64" t="n">
        <v>4000</v>
      </c>
      <c r="I6377" s="62" t="s">
        <v>81</v>
      </c>
      <c r="J6377" s="64" t="n">
        <v>4</v>
      </c>
      <c r="K6377" s="62" t="s">
        <v>138</v>
      </c>
      <c r="L6377" s="68" t="b">
        <f aca="false">TRUE()</f>
        <v>1</v>
      </c>
    </row>
    <row r="6378" customFormat="false" ht="15" hidden="false" customHeight="false" outlineLevel="0" collapsed="false">
      <c r="A6378" s="62" t="n">
        <v>1</v>
      </c>
      <c r="B6378" s="21" t="s">
        <v>336</v>
      </c>
      <c r="C6378" s="62" t="s">
        <v>60</v>
      </c>
      <c r="D6378" s="62" t="s">
        <v>387</v>
      </c>
      <c r="E6378" s="62" t="s">
        <v>72</v>
      </c>
      <c r="F6378" s="62" t="s">
        <v>382</v>
      </c>
      <c r="G6378" s="63" t="s">
        <v>644</v>
      </c>
      <c r="H6378" s="64" t="n">
        <v>4000</v>
      </c>
      <c r="I6378" s="62" t="s">
        <v>81</v>
      </c>
      <c r="J6378" s="64" t="n">
        <v>4</v>
      </c>
      <c r="K6378" s="62" t="s">
        <v>138</v>
      </c>
      <c r="L6378" s="68" t="b">
        <f aca="false">TRUE()</f>
        <v>1</v>
      </c>
    </row>
    <row r="6379" customFormat="false" ht="15" hidden="false" customHeight="false" outlineLevel="0" collapsed="false">
      <c r="A6379" s="62" t="n">
        <v>1</v>
      </c>
      <c r="B6379" s="21" t="s">
        <v>336</v>
      </c>
      <c r="C6379" s="62" t="s">
        <v>60</v>
      </c>
      <c r="D6379" s="62" t="s">
        <v>388</v>
      </c>
      <c r="E6379" s="62" t="s">
        <v>72</v>
      </c>
      <c r="F6379" s="62" t="s">
        <v>382</v>
      </c>
      <c r="G6379" s="63" t="s">
        <v>644</v>
      </c>
      <c r="H6379" s="64" t="n">
        <v>4000</v>
      </c>
      <c r="I6379" s="62" t="s">
        <v>81</v>
      </c>
      <c r="J6379" s="64" t="n">
        <v>4</v>
      </c>
      <c r="K6379" s="62" t="s">
        <v>138</v>
      </c>
      <c r="L6379" s="68" t="b">
        <f aca="false">TRUE()</f>
        <v>1</v>
      </c>
    </row>
    <row r="6380" customFormat="false" ht="15" hidden="false" customHeight="false" outlineLevel="0" collapsed="false">
      <c r="A6380" s="62" t="n">
        <v>1</v>
      </c>
      <c r="B6380" s="21" t="s">
        <v>336</v>
      </c>
      <c r="C6380" s="62" t="s">
        <v>60</v>
      </c>
      <c r="D6380" s="62" t="s">
        <v>381</v>
      </c>
      <c r="E6380" s="62" t="s">
        <v>72</v>
      </c>
      <c r="F6380" s="62" t="s">
        <v>382</v>
      </c>
      <c r="G6380" s="63" t="s">
        <v>645</v>
      </c>
      <c r="H6380" s="64" t="n">
        <v>41935681441.7249</v>
      </c>
      <c r="I6380" s="62" t="s">
        <v>81</v>
      </c>
      <c r="J6380" s="64" t="n">
        <v>41935681.4417249</v>
      </c>
      <c r="K6380" s="62" t="s">
        <v>138</v>
      </c>
      <c r="L6380" s="68" t="b">
        <f aca="false">FALSE()</f>
        <v>0</v>
      </c>
    </row>
    <row r="6381" customFormat="false" ht="15" hidden="false" customHeight="false" outlineLevel="0" collapsed="false">
      <c r="A6381" s="62" t="n">
        <v>1</v>
      </c>
      <c r="B6381" s="21" t="s">
        <v>336</v>
      </c>
      <c r="C6381" s="62" t="s">
        <v>60</v>
      </c>
      <c r="D6381" s="62" t="s">
        <v>383</v>
      </c>
      <c r="E6381" s="62" t="s">
        <v>72</v>
      </c>
      <c r="F6381" s="62" t="s">
        <v>382</v>
      </c>
      <c r="G6381" s="63" t="s">
        <v>645</v>
      </c>
      <c r="H6381" s="64" t="n">
        <v>47950280197.4203</v>
      </c>
      <c r="I6381" s="62" t="s">
        <v>81</v>
      </c>
      <c r="J6381" s="64" t="n">
        <v>47950280.1974203</v>
      </c>
      <c r="K6381" s="62" t="s">
        <v>138</v>
      </c>
      <c r="L6381" s="68" t="b">
        <f aca="false">FALSE()</f>
        <v>0</v>
      </c>
    </row>
    <row r="6382" customFormat="false" ht="15" hidden="false" customHeight="false" outlineLevel="0" collapsed="false">
      <c r="A6382" s="62" t="n">
        <v>1</v>
      </c>
      <c r="B6382" s="21" t="s">
        <v>336</v>
      </c>
      <c r="C6382" s="62" t="s">
        <v>60</v>
      </c>
      <c r="D6382" s="62" t="s">
        <v>384</v>
      </c>
      <c r="E6382" s="62" t="s">
        <v>72</v>
      </c>
      <c r="F6382" s="62" t="s">
        <v>382</v>
      </c>
      <c r="G6382" s="63" t="s">
        <v>645</v>
      </c>
      <c r="H6382" s="64" t="n">
        <v>42812236137.4957</v>
      </c>
      <c r="I6382" s="62" t="s">
        <v>81</v>
      </c>
      <c r="J6382" s="64" t="n">
        <v>42812236.1374957</v>
      </c>
      <c r="K6382" s="62" t="s">
        <v>138</v>
      </c>
      <c r="L6382" s="68" t="b">
        <f aca="false">FALSE()</f>
        <v>0</v>
      </c>
    </row>
    <row r="6383" customFormat="false" ht="15" hidden="false" customHeight="false" outlineLevel="0" collapsed="false">
      <c r="A6383" s="62" t="n">
        <v>1</v>
      </c>
      <c r="B6383" s="21" t="s">
        <v>336</v>
      </c>
      <c r="C6383" s="62" t="s">
        <v>60</v>
      </c>
      <c r="D6383" s="62" t="s">
        <v>385</v>
      </c>
      <c r="E6383" s="62" t="s">
        <v>72</v>
      </c>
      <c r="F6383" s="62" t="s">
        <v>382</v>
      </c>
      <c r="G6383" s="63" t="s">
        <v>645</v>
      </c>
      <c r="H6383" s="64" t="n">
        <v>37205694146.6424</v>
      </c>
      <c r="I6383" s="62" t="s">
        <v>81</v>
      </c>
      <c r="J6383" s="64" t="n">
        <v>37205694.1466424</v>
      </c>
      <c r="K6383" s="62" t="s">
        <v>138</v>
      </c>
      <c r="L6383" s="68" t="b">
        <f aca="false">FALSE()</f>
        <v>0</v>
      </c>
    </row>
    <row r="6384" customFormat="false" ht="15" hidden="false" customHeight="false" outlineLevel="0" collapsed="false">
      <c r="A6384" s="62" t="n">
        <v>1</v>
      </c>
      <c r="B6384" s="21" t="s">
        <v>336</v>
      </c>
      <c r="C6384" s="62" t="s">
        <v>60</v>
      </c>
      <c r="D6384" s="62" t="s">
        <v>386</v>
      </c>
      <c r="E6384" s="62" t="s">
        <v>72</v>
      </c>
      <c r="F6384" s="62" t="s">
        <v>382</v>
      </c>
      <c r="G6384" s="63" t="s">
        <v>645</v>
      </c>
      <c r="H6384" s="64" t="n">
        <v>38447505739.2183</v>
      </c>
      <c r="I6384" s="62" t="s">
        <v>81</v>
      </c>
      <c r="J6384" s="64" t="n">
        <v>38447505.7392183</v>
      </c>
      <c r="K6384" s="62" t="s">
        <v>138</v>
      </c>
      <c r="L6384" s="68" t="b">
        <f aca="false">FALSE()</f>
        <v>0</v>
      </c>
    </row>
    <row r="6385" customFormat="false" ht="15" hidden="false" customHeight="false" outlineLevel="0" collapsed="false">
      <c r="A6385" s="62" t="n">
        <v>1</v>
      </c>
      <c r="B6385" s="21" t="s">
        <v>336</v>
      </c>
      <c r="C6385" s="62" t="s">
        <v>60</v>
      </c>
      <c r="D6385" s="62" t="s">
        <v>387</v>
      </c>
      <c r="E6385" s="62" t="s">
        <v>72</v>
      </c>
      <c r="F6385" s="62" t="s">
        <v>382</v>
      </c>
      <c r="G6385" s="63" t="s">
        <v>645</v>
      </c>
      <c r="H6385" s="64" t="n">
        <v>42430477759.7371</v>
      </c>
      <c r="I6385" s="62" t="s">
        <v>81</v>
      </c>
      <c r="J6385" s="64" t="n">
        <v>42430477.7597371</v>
      </c>
      <c r="K6385" s="62" t="s">
        <v>138</v>
      </c>
      <c r="L6385" s="68" t="b">
        <f aca="false">FALSE()</f>
        <v>0</v>
      </c>
    </row>
    <row r="6386" customFormat="false" ht="15" hidden="false" customHeight="false" outlineLevel="0" collapsed="false">
      <c r="A6386" s="62" t="n">
        <v>1</v>
      </c>
      <c r="B6386" s="21" t="s">
        <v>336</v>
      </c>
      <c r="C6386" s="62" t="s">
        <v>60</v>
      </c>
      <c r="D6386" s="62" t="s">
        <v>388</v>
      </c>
      <c r="E6386" s="62" t="s">
        <v>72</v>
      </c>
      <c r="F6386" s="62" t="s">
        <v>382</v>
      </c>
      <c r="G6386" s="63" t="s">
        <v>645</v>
      </c>
      <c r="H6386" s="64" t="n">
        <v>35283220577.4</v>
      </c>
      <c r="I6386" s="62" t="s">
        <v>81</v>
      </c>
      <c r="J6386" s="64" t="n">
        <v>35283220.5774</v>
      </c>
      <c r="K6386" s="62" t="s">
        <v>138</v>
      </c>
      <c r="L6386" s="68" t="b">
        <f aca="false">FALSE()</f>
        <v>0</v>
      </c>
    </row>
    <row r="6387" customFormat="false" ht="15" hidden="false" customHeight="false" outlineLevel="0" collapsed="false">
      <c r="A6387" s="62" t="n">
        <v>1</v>
      </c>
      <c r="B6387" s="21" t="s">
        <v>336</v>
      </c>
      <c r="C6387" s="62" t="s">
        <v>60</v>
      </c>
      <c r="D6387" s="62" t="s">
        <v>381</v>
      </c>
      <c r="E6387" s="62" t="s">
        <v>72</v>
      </c>
      <c r="F6387" s="62" t="s">
        <v>382</v>
      </c>
      <c r="G6387" s="63" t="s">
        <v>646</v>
      </c>
      <c r="H6387" s="64" t="n">
        <v>167742725766.9</v>
      </c>
      <c r="I6387" s="62" t="s">
        <v>81</v>
      </c>
      <c r="J6387" s="64" t="n">
        <v>167742725.7669</v>
      </c>
      <c r="K6387" s="62" t="s">
        <v>138</v>
      </c>
      <c r="L6387" s="68" t="b">
        <f aca="false">FALSE()</f>
        <v>0</v>
      </c>
    </row>
    <row r="6388" customFormat="false" ht="15" hidden="false" customHeight="false" outlineLevel="0" collapsed="false">
      <c r="A6388" s="62" t="n">
        <v>1</v>
      </c>
      <c r="B6388" s="21" t="s">
        <v>336</v>
      </c>
      <c r="C6388" s="62" t="s">
        <v>60</v>
      </c>
      <c r="D6388" s="62" t="s">
        <v>383</v>
      </c>
      <c r="E6388" s="62" t="s">
        <v>72</v>
      </c>
      <c r="F6388" s="62" t="s">
        <v>382</v>
      </c>
      <c r="G6388" s="63" t="s">
        <v>646</v>
      </c>
      <c r="H6388" s="64" t="n">
        <v>191801120789.681</v>
      </c>
      <c r="I6388" s="62" t="s">
        <v>81</v>
      </c>
      <c r="J6388" s="64" t="n">
        <v>191801120.789681</v>
      </c>
      <c r="K6388" s="62" t="s">
        <v>138</v>
      </c>
      <c r="L6388" s="68" t="b">
        <f aca="false">FALSE()</f>
        <v>0</v>
      </c>
    </row>
    <row r="6389" customFormat="false" ht="15" hidden="false" customHeight="false" outlineLevel="0" collapsed="false">
      <c r="A6389" s="62" t="n">
        <v>1</v>
      </c>
      <c r="B6389" s="21" t="s">
        <v>336</v>
      </c>
      <c r="C6389" s="62" t="s">
        <v>60</v>
      </c>
      <c r="D6389" s="62" t="s">
        <v>384</v>
      </c>
      <c r="E6389" s="62" t="s">
        <v>72</v>
      </c>
      <c r="F6389" s="62" t="s">
        <v>382</v>
      </c>
      <c r="G6389" s="63" t="s">
        <v>646</v>
      </c>
      <c r="H6389" s="64" t="n">
        <v>171248944549.983</v>
      </c>
      <c r="I6389" s="62" t="s">
        <v>81</v>
      </c>
      <c r="J6389" s="64" t="n">
        <v>171248944.549983</v>
      </c>
      <c r="K6389" s="62" t="s">
        <v>138</v>
      </c>
      <c r="L6389" s="68" t="b">
        <f aca="false">FALSE()</f>
        <v>0</v>
      </c>
    </row>
    <row r="6390" customFormat="false" ht="15" hidden="false" customHeight="false" outlineLevel="0" collapsed="false">
      <c r="A6390" s="62" t="n">
        <v>1</v>
      </c>
      <c r="B6390" s="21" t="s">
        <v>336</v>
      </c>
      <c r="C6390" s="62" t="s">
        <v>60</v>
      </c>
      <c r="D6390" s="62" t="s">
        <v>385</v>
      </c>
      <c r="E6390" s="62" t="s">
        <v>72</v>
      </c>
      <c r="F6390" s="62" t="s">
        <v>382</v>
      </c>
      <c r="G6390" s="63" t="s">
        <v>646</v>
      </c>
      <c r="H6390" s="64" t="n">
        <v>148822776586.57</v>
      </c>
      <c r="I6390" s="62" t="s">
        <v>81</v>
      </c>
      <c r="J6390" s="64" t="n">
        <v>148822776.58657</v>
      </c>
      <c r="K6390" s="62" t="s">
        <v>138</v>
      </c>
      <c r="L6390" s="68" t="b">
        <f aca="false">FALSE()</f>
        <v>0</v>
      </c>
    </row>
    <row r="6391" customFormat="false" ht="15" hidden="false" customHeight="false" outlineLevel="0" collapsed="false">
      <c r="A6391" s="62" t="n">
        <v>1</v>
      </c>
      <c r="B6391" s="21" t="s">
        <v>336</v>
      </c>
      <c r="C6391" s="62" t="s">
        <v>60</v>
      </c>
      <c r="D6391" s="62" t="s">
        <v>386</v>
      </c>
      <c r="E6391" s="62" t="s">
        <v>72</v>
      </c>
      <c r="F6391" s="62" t="s">
        <v>382</v>
      </c>
      <c r="G6391" s="63" t="s">
        <v>646</v>
      </c>
      <c r="H6391" s="64" t="n">
        <v>153790022956.873</v>
      </c>
      <c r="I6391" s="62" t="s">
        <v>81</v>
      </c>
      <c r="J6391" s="64" t="n">
        <v>153790022.956873</v>
      </c>
      <c r="K6391" s="62" t="s">
        <v>138</v>
      </c>
      <c r="L6391" s="68" t="b">
        <f aca="false">FALSE()</f>
        <v>0</v>
      </c>
    </row>
    <row r="6392" customFormat="false" ht="15" hidden="false" customHeight="false" outlineLevel="0" collapsed="false">
      <c r="A6392" s="62" t="n">
        <v>1</v>
      </c>
      <c r="B6392" s="21" t="s">
        <v>336</v>
      </c>
      <c r="C6392" s="62" t="s">
        <v>60</v>
      </c>
      <c r="D6392" s="62" t="s">
        <v>387</v>
      </c>
      <c r="E6392" s="62" t="s">
        <v>72</v>
      </c>
      <c r="F6392" s="62" t="s">
        <v>382</v>
      </c>
      <c r="G6392" s="63" t="s">
        <v>646</v>
      </c>
      <c r="H6392" s="64" t="n">
        <v>169721911038.949</v>
      </c>
      <c r="I6392" s="62" t="s">
        <v>81</v>
      </c>
      <c r="J6392" s="64" t="n">
        <v>169721911.038949</v>
      </c>
      <c r="K6392" s="62" t="s">
        <v>138</v>
      </c>
      <c r="L6392" s="68" t="b">
        <f aca="false">FALSE()</f>
        <v>0</v>
      </c>
    </row>
    <row r="6393" customFormat="false" ht="15" hidden="false" customHeight="false" outlineLevel="0" collapsed="false">
      <c r="A6393" s="62" t="n">
        <v>1</v>
      </c>
      <c r="B6393" s="21" t="s">
        <v>336</v>
      </c>
      <c r="C6393" s="62" t="s">
        <v>60</v>
      </c>
      <c r="D6393" s="62" t="s">
        <v>388</v>
      </c>
      <c r="E6393" s="62" t="s">
        <v>72</v>
      </c>
      <c r="F6393" s="62" t="s">
        <v>382</v>
      </c>
      <c r="G6393" s="63" t="s">
        <v>646</v>
      </c>
      <c r="H6393" s="64" t="n">
        <v>141132882309.6</v>
      </c>
      <c r="I6393" s="62" t="s">
        <v>81</v>
      </c>
      <c r="J6393" s="64" t="n">
        <v>141132882.3096</v>
      </c>
      <c r="K6393" s="62" t="s">
        <v>138</v>
      </c>
      <c r="L6393" s="68" t="b">
        <f aca="false">FALSE()</f>
        <v>0</v>
      </c>
    </row>
    <row r="6394" customFormat="false" ht="15" hidden="false" customHeight="false" outlineLevel="0" collapsed="false">
      <c r="A6394" s="62" t="n">
        <v>1</v>
      </c>
      <c r="B6394" s="21" t="s">
        <v>336</v>
      </c>
      <c r="C6394" s="62" t="s">
        <v>60</v>
      </c>
      <c r="D6394" s="62" t="s">
        <v>381</v>
      </c>
      <c r="E6394" s="62" t="s">
        <v>72</v>
      </c>
      <c r="F6394" s="62" t="s">
        <v>382</v>
      </c>
      <c r="G6394" s="63" t="s">
        <v>647</v>
      </c>
      <c r="H6394" s="64" t="n">
        <v>11650</v>
      </c>
      <c r="I6394" s="62" t="s">
        <v>81</v>
      </c>
      <c r="J6394" s="64" t="n">
        <v>11.65</v>
      </c>
      <c r="K6394" s="62" t="s">
        <v>138</v>
      </c>
      <c r="L6394" s="68" t="b">
        <f aca="false">FALSE()</f>
        <v>0</v>
      </c>
    </row>
    <row r="6395" customFormat="false" ht="15" hidden="false" customHeight="false" outlineLevel="0" collapsed="false">
      <c r="A6395" s="62" t="n">
        <v>1</v>
      </c>
      <c r="B6395" s="21" t="s">
        <v>336</v>
      </c>
      <c r="C6395" s="62" t="s">
        <v>60</v>
      </c>
      <c r="D6395" s="62" t="s">
        <v>383</v>
      </c>
      <c r="E6395" s="62" t="s">
        <v>72</v>
      </c>
      <c r="F6395" s="62" t="s">
        <v>382</v>
      </c>
      <c r="G6395" s="63" t="s">
        <v>647</v>
      </c>
      <c r="H6395" s="64" t="n">
        <v>11650</v>
      </c>
      <c r="I6395" s="62" t="s">
        <v>81</v>
      </c>
      <c r="J6395" s="64" t="n">
        <v>11.65</v>
      </c>
      <c r="K6395" s="62" t="s">
        <v>138</v>
      </c>
      <c r="L6395" s="68" t="b">
        <f aca="false">TRUE()</f>
        <v>1</v>
      </c>
    </row>
    <row r="6396" customFormat="false" ht="15" hidden="false" customHeight="false" outlineLevel="0" collapsed="false">
      <c r="A6396" s="62" t="n">
        <v>1</v>
      </c>
      <c r="B6396" s="21" t="s">
        <v>336</v>
      </c>
      <c r="C6396" s="62" t="s">
        <v>60</v>
      </c>
      <c r="D6396" s="62" t="s">
        <v>384</v>
      </c>
      <c r="E6396" s="62" t="s">
        <v>72</v>
      </c>
      <c r="F6396" s="62" t="s">
        <v>382</v>
      </c>
      <c r="G6396" s="63" t="s">
        <v>647</v>
      </c>
      <c r="H6396" s="64" t="n">
        <v>11650</v>
      </c>
      <c r="I6396" s="62" t="s">
        <v>81</v>
      </c>
      <c r="J6396" s="64" t="n">
        <v>11.65</v>
      </c>
      <c r="K6396" s="62" t="s">
        <v>138</v>
      </c>
      <c r="L6396" s="68" t="b">
        <f aca="false">TRUE()</f>
        <v>1</v>
      </c>
    </row>
    <row r="6397" customFormat="false" ht="15" hidden="false" customHeight="false" outlineLevel="0" collapsed="false">
      <c r="A6397" s="62" t="n">
        <v>1</v>
      </c>
      <c r="B6397" s="21" t="s">
        <v>336</v>
      </c>
      <c r="C6397" s="62" t="s">
        <v>60</v>
      </c>
      <c r="D6397" s="62" t="s">
        <v>385</v>
      </c>
      <c r="E6397" s="62" t="s">
        <v>72</v>
      </c>
      <c r="F6397" s="62" t="s">
        <v>382</v>
      </c>
      <c r="G6397" s="63" t="s">
        <v>647</v>
      </c>
      <c r="H6397" s="64" t="n">
        <v>11650</v>
      </c>
      <c r="I6397" s="62" t="s">
        <v>81</v>
      </c>
      <c r="J6397" s="64" t="n">
        <v>11.65</v>
      </c>
      <c r="K6397" s="62" t="s">
        <v>138</v>
      </c>
      <c r="L6397" s="68" t="b">
        <f aca="false">TRUE()</f>
        <v>1</v>
      </c>
    </row>
    <row r="6398" customFormat="false" ht="15" hidden="false" customHeight="false" outlineLevel="0" collapsed="false">
      <c r="A6398" s="62" t="n">
        <v>1</v>
      </c>
      <c r="B6398" s="21" t="s">
        <v>336</v>
      </c>
      <c r="C6398" s="62" t="s">
        <v>60</v>
      </c>
      <c r="D6398" s="62" t="s">
        <v>386</v>
      </c>
      <c r="E6398" s="62" t="s">
        <v>72</v>
      </c>
      <c r="F6398" s="62" t="s">
        <v>382</v>
      </c>
      <c r="G6398" s="63" t="s">
        <v>647</v>
      </c>
      <c r="H6398" s="64" t="n">
        <v>11650</v>
      </c>
      <c r="I6398" s="62" t="s">
        <v>81</v>
      </c>
      <c r="J6398" s="64" t="n">
        <v>11.65</v>
      </c>
      <c r="K6398" s="62" t="s">
        <v>138</v>
      </c>
      <c r="L6398" s="68" t="b">
        <f aca="false">TRUE()</f>
        <v>1</v>
      </c>
    </row>
    <row r="6399" customFormat="false" ht="15" hidden="false" customHeight="false" outlineLevel="0" collapsed="false">
      <c r="A6399" s="62" t="n">
        <v>1</v>
      </c>
      <c r="B6399" s="21" t="s">
        <v>336</v>
      </c>
      <c r="C6399" s="62" t="s">
        <v>60</v>
      </c>
      <c r="D6399" s="62" t="s">
        <v>387</v>
      </c>
      <c r="E6399" s="62" t="s">
        <v>72</v>
      </c>
      <c r="F6399" s="62" t="s">
        <v>382</v>
      </c>
      <c r="G6399" s="63" t="s">
        <v>647</v>
      </c>
      <c r="H6399" s="64" t="n">
        <v>11650</v>
      </c>
      <c r="I6399" s="62" t="s">
        <v>81</v>
      </c>
      <c r="J6399" s="64" t="n">
        <v>11.65</v>
      </c>
      <c r="K6399" s="62" t="s">
        <v>138</v>
      </c>
      <c r="L6399" s="68" t="b">
        <f aca="false">TRUE()</f>
        <v>1</v>
      </c>
    </row>
    <row r="6400" customFormat="false" ht="15" hidden="false" customHeight="false" outlineLevel="0" collapsed="false">
      <c r="A6400" s="62" t="n">
        <v>1</v>
      </c>
      <c r="B6400" s="21" t="s">
        <v>336</v>
      </c>
      <c r="C6400" s="62" t="s">
        <v>60</v>
      </c>
      <c r="D6400" s="62" t="s">
        <v>388</v>
      </c>
      <c r="E6400" s="62" t="s">
        <v>72</v>
      </c>
      <c r="F6400" s="62" t="s">
        <v>382</v>
      </c>
      <c r="G6400" s="63" t="s">
        <v>647</v>
      </c>
      <c r="H6400" s="64" t="n">
        <v>11650</v>
      </c>
      <c r="I6400" s="62" t="s">
        <v>81</v>
      </c>
      <c r="J6400" s="64" t="n">
        <v>11.65</v>
      </c>
      <c r="K6400" s="62" t="s">
        <v>138</v>
      </c>
      <c r="L6400" s="68" t="b">
        <f aca="false">FALSE()</f>
        <v>0</v>
      </c>
    </row>
    <row r="6401" customFormat="false" ht="15" hidden="false" customHeight="false" outlineLevel="0" collapsed="false">
      <c r="A6401" s="62" t="n">
        <v>1</v>
      </c>
      <c r="B6401" s="21" t="s">
        <v>336</v>
      </c>
      <c r="C6401" s="62" t="s">
        <v>60</v>
      </c>
      <c r="D6401" s="62" t="s">
        <v>381</v>
      </c>
      <c r="E6401" s="62" t="s">
        <v>72</v>
      </c>
      <c r="F6401" s="62" t="s">
        <v>382</v>
      </c>
      <c r="G6401" s="63" t="s">
        <v>648</v>
      </c>
      <c r="H6401" s="64" t="n">
        <v>5449255042.40281</v>
      </c>
      <c r="I6401" s="62" t="s">
        <v>81</v>
      </c>
      <c r="J6401" s="64" t="n">
        <v>5449255.04240281</v>
      </c>
      <c r="K6401" s="62" t="s">
        <v>138</v>
      </c>
      <c r="L6401" s="68" t="b">
        <f aca="false">FALSE()</f>
        <v>0</v>
      </c>
    </row>
    <row r="6402" customFormat="false" ht="15" hidden="false" customHeight="false" outlineLevel="0" collapsed="false">
      <c r="A6402" s="62" t="n">
        <v>1</v>
      </c>
      <c r="B6402" s="21" t="s">
        <v>336</v>
      </c>
      <c r="C6402" s="62" t="s">
        <v>60</v>
      </c>
      <c r="D6402" s="62" t="s">
        <v>383</v>
      </c>
      <c r="E6402" s="62" t="s">
        <v>72</v>
      </c>
      <c r="F6402" s="62" t="s">
        <v>382</v>
      </c>
      <c r="G6402" s="63" t="s">
        <v>648</v>
      </c>
      <c r="H6402" s="64" t="n">
        <v>9303682119.59331</v>
      </c>
      <c r="I6402" s="62" t="s">
        <v>81</v>
      </c>
      <c r="J6402" s="64" t="n">
        <v>9303682.11959331</v>
      </c>
      <c r="K6402" s="62" t="s">
        <v>138</v>
      </c>
      <c r="L6402" s="68" t="b">
        <f aca="false">FALSE()</f>
        <v>0</v>
      </c>
    </row>
    <row r="6403" customFormat="false" ht="15" hidden="false" customHeight="false" outlineLevel="0" collapsed="false">
      <c r="A6403" s="62" t="n">
        <v>1</v>
      </c>
      <c r="B6403" s="21" t="s">
        <v>336</v>
      </c>
      <c r="C6403" s="62" t="s">
        <v>60</v>
      </c>
      <c r="D6403" s="62" t="s">
        <v>384</v>
      </c>
      <c r="E6403" s="62" t="s">
        <v>72</v>
      </c>
      <c r="F6403" s="62" t="s">
        <v>382</v>
      </c>
      <c r="G6403" s="63" t="s">
        <v>648</v>
      </c>
      <c r="H6403" s="64" t="n">
        <v>8093031439.19849</v>
      </c>
      <c r="I6403" s="62" t="s">
        <v>81</v>
      </c>
      <c r="J6403" s="64" t="n">
        <v>8093031.43919849</v>
      </c>
      <c r="K6403" s="62" t="s">
        <v>138</v>
      </c>
      <c r="L6403" s="68" t="b">
        <f aca="false">FALSE()</f>
        <v>0</v>
      </c>
    </row>
    <row r="6404" customFormat="false" ht="15" hidden="false" customHeight="false" outlineLevel="0" collapsed="false">
      <c r="A6404" s="62" t="n">
        <v>1</v>
      </c>
      <c r="B6404" s="21" t="s">
        <v>336</v>
      </c>
      <c r="C6404" s="62" t="s">
        <v>60</v>
      </c>
      <c r="D6404" s="62" t="s">
        <v>385</v>
      </c>
      <c r="E6404" s="62" t="s">
        <v>72</v>
      </c>
      <c r="F6404" s="62" t="s">
        <v>382</v>
      </c>
      <c r="G6404" s="63" t="s">
        <v>648</v>
      </c>
      <c r="H6404" s="64" t="n">
        <v>6561001904.88168</v>
      </c>
      <c r="I6404" s="62" t="s">
        <v>81</v>
      </c>
      <c r="J6404" s="64" t="n">
        <v>6561001.90488168</v>
      </c>
      <c r="K6404" s="62" t="s">
        <v>138</v>
      </c>
      <c r="L6404" s="68" t="b">
        <f aca="false">FALSE()</f>
        <v>0</v>
      </c>
    </row>
    <row r="6405" customFormat="false" ht="15" hidden="false" customHeight="false" outlineLevel="0" collapsed="false">
      <c r="A6405" s="62" t="n">
        <v>1</v>
      </c>
      <c r="B6405" s="21" t="s">
        <v>336</v>
      </c>
      <c r="C6405" s="62" t="s">
        <v>60</v>
      </c>
      <c r="D6405" s="62" t="s">
        <v>386</v>
      </c>
      <c r="E6405" s="62" t="s">
        <v>72</v>
      </c>
      <c r="F6405" s="62" t="s">
        <v>382</v>
      </c>
      <c r="G6405" s="63" t="s">
        <v>648</v>
      </c>
      <c r="H6405" s="64" t="n">
        <v>6064510306.9063</v>
      </c>
      <c r="I6405" s="62" t="s">
        <v>81</v>
      </c>
      <c r="J6405" s="64" t="n">
        <v>6064510.3069063</v>
      </c>
      <c r="K6405" s="62" t="s">
        <v>138</v>
      </c>
      <c r="L6405" s="68" t="b">
        <f aca="false">FALSE()</f>
        <v>0</v>
      </c>
    </row>
    <row r="6406" customFormat="false" ht="15" hidden="false" customHeight="false" outlineLevel="0" collapsed="false">
      <c r="A6406" s="62" t="n">
        <v>1</v>
      </c>
      <c r="B6406" s="21" t="s">
        <v>336</v>
      </c>
      <c r="C6406" s="62" t="s">
        <v>60</v>
      </c>
      <c r="D6406" s="62" t="s">
        <v>387</v>
      </c>
      <c r="E6406" s="62" t="s">
        <v>72</v>
      </c>
      <c r="F6406" s="62" t="s">
        <v>382</v>
      </c>
      <c r="G6406" s="63" t="s">
        <v>648</v>
      </c>
      <c r="H6406" s="64" t="n">
        <v>6666090286.10842</v>
      </c>
      <c r="I6406" s="62" t="s">
        <v>81</v>
      </c>
      <c r="J6406" s="64" t="n">
        <v>6666090.28610842</v>
      </c>
      <c r="K6406" s="62" t="s">
        <v>138</v>
      </c>
      <c r="L6406" s="68" t="b">
        <f aca="false">FALSE()</f>
        <v>0</v>
      </c>
    </row>
    <row r="6407" customFormat="false" ht="15" hidden="false" customHeight="false" outlineLevel="0" collapsed="false">
      <c r="A6407" s="62" t="n">
        <v>1</v>
      </c>
      <c r="B6407" s="21" t="s">
        <v>336</v>
      </c>
      <c r="C6407" s="62" t="s">
        <v>60</v>
      </c>
      <c r="D6407" s="62" t="s">
        <v>388</v>
      </c>
      <c r="E6407" s="62" t="s">
        <v>72</v>
      </c>
      <c r="F6407" s="62" t="s">
        <v>382</v>
      </c>
      <c r="G6407" s="63" t="s">
        <v>648</v>
      </c>
      <c r="H6407" s="64" t="n">
        <v>3896214589.11619</v>
      </c>
      <c r="I6407" s="62" t="s">
        <v>81</v>
      </c>
      <c r="J6407" s="64" t="n">
        <v>3896214.58911619</v>
      </c>
      <c r="K6407" s="62" t="s">
        <v>138</v>
      </c>
      <c r="L6407" s="68" t="b">
        <f aca="false">FALSE()</f>
        <v>0</v>
      </c>
    </row>
    <row r="6408" customFormat="false" ht="15" hidden="false" customHeight="false" outlineLevel="0" collapsed="false">
      <c r="A6408" s="62" t="n">
        <v>1</v>
      </c>
      <c r="B6408" s="21" t="s">
        <v>336</v>
      </c>
      <c r="C6408" s="62" t="s">
        <v>60</v>
      </c>
      <c r="D6408" s="62" t="s">
        <v>381</v>
      </c>
      <c r="E6408" s="62" t="s">
        <v>72</v>
      </c>
      <c r="F6408" s="62" t="s">
        <v>382</v>
      </c>
      <c r="G6408" s="63" t="s">
        <v>649</v>
      </c>
      <c r="H6408" s="64" t="n">
        <v>63483821243.9928</v>
      </c>
      <c r="I6408" s="62" t="s">
        <v>81</v>
      </c>
      <c r="J6408" s="64" t="n">
        <v>63483821.2439928</v>
      </c>
      <c r="K6408" s="62" t="s">
        <v>138</v>
      </c>
      <c r="L6408" s="68" t="b">
        <f aca="false">FALSE()</f>
        <v>0</v>
      </c>
    </row>
    <row r="6409" customFormat="false" ht="15" hidden="false" customHeight="false" outlineLevel="0" collapsed="false">
      <c r="A6409" s="62" t="n">
        <v>1</v>
      </c>
      <c r="B6409" s="21" t="s">
        <v>336</v>
      </c>
      <c r="C6409" s="62" t="s">
        <v>60</v>
      </c>
      <c r="D6409" s="62" t="s">
        <v>383</v>
      </c>
      <c r="E6409" s="62" t="s">
        <v>72</v>
      </c>
      <c r="F6409" s="62" t="s">
        <v>382</v>
      </c>
      <c r="G6409" s="63" t="s">
        <v>649</v>
      </c>
      <c r="H6409" s="64" t="n">
        <v>108387896693.262</v>
      </c>
      <c r="I6409" s="62" t="s">
        <v>81</v>
      </c>
      <c r="J6409" s="64" t="n">
        <v>108387896.693262</v>
      </c>
      <c r="K6409" s="62" t="s">
        <v>138</v>
      </c>
      <c r="L6409" s="68" t="b">
        <f aca="false">FALSE()</f>
        <v>0</v>
      </c>
    </row>
    <row r="6410" customFormat="false" ht="15" hidden="false" customHeight="false" outlineLevel="0" collapsed="false">
      <c r="A6410" s="62" t="n">
        <v>1</v>
      </c>
      <c r="B6410" s="21" t="s">
        <v>336</v>
      </c>
      <c r="C6410" s="62" t="s">
        <v>60</v>
      </c>
      <c r="D6410" s="62" t="s">
        <v>384</v>
      </c>
      <c r="E6410" s="62" t="s">
        <v>72</v>
      </c>
      <c r="F6410" s="62" t="s">
        <v>382</v>
      </c>
      <c r="G6410" s="63" t="s">
        <v>649</v>
      </c>
      <c r="H6410" s="64" t="n">
        <v>94283816266.6625</v>
      </c>
      <c r="I6410" s="62" t="s">
        <v>81</v>
      </c>
      <c r="J6410" s="64" t="n">
        <v>94283816.2666625</v>
      </c>
      <c r="K6410" s="62" t="s">
        <v>138</v>
      </c>
      <c r="L6410" s="68" t="b">
        <f aca="false">FALSE()</f>
        <v>0</v>
      </c>
    </row>
    <row r="6411" customFormat="false" ht="15" hidden="false" customHeight="false" outlineLevel="0" collapsed="false">
      <c r="A6411" s="62" t="n">
        <v>1</v>
      </c>
      <c r="B6411" s="21" t="s">
        <v>336</v>
      </c>
      <c r="C6411" s="62" t="s">
        <v>60</v>
      </c>
      <c r="D6411" s="62" t="s">
        <v>385</v>
      </c>
      <c r="E6411" s="62" t="s">
        <v>72</v>
      </c>
      <c r="F6411" s="62" t="s">
        <v>382</v>
      </c>
      <c r="G6411" s="63" t="s">
        <v>649</v>
      </c>
      <c r="H6411" s="64" t="n">
        <v>76435672191.8715</v>
      </c>
      <c r="I6411" s="62" t="s">
        <v>81</v>
      </c>
      <c r="J6411" s="64" t="n">
        <v>76435672.1918715</v>
      </c>
      <c r="K6411" s="62" t="s">
        <v>138</v>
      </c>
      <c r="L6411" s="68" t="b">
        <f aca="false">FALSE()</f>
        <v>0</v>
      </c>
    </row>
    <row r="6412" customFormat="false" ht="15" hidden="false" customHeight="false" outlineLevel="0" collapsed="false">
      <c r="A6412" s="62" t="n">
        <v>1</v>
      </c>
      <c r="B6412" s="21" t="s">
        <v>336</v>
      </c>
      <c r="C6412" s="62" t="s">
        <v>60</v>
      </c>
      <c r="D6412" s="62" t="s">
        <v>386</v>
      </c>
      <c r="E6412" s="62" t="s">
        <v>72</v>
      </c>
      <c r="F6412" s="62" t="s">
        <v>382</v>
      </c>
      <c r="G6412" s="63" t="s">
        <v>649</v>
      </c>
      <c r="H6412" s="64" t="n">
        <v>70651545075.4584</v>
      </c>
      <c r="I6412" s="62" t="s">
        <v>81</v>
      </c>
      <c r="J6412" s="64" t="n">
        <v>70651545.0754584</v>
      </c>
      <c r="K6412" s="62" t="s">
        <v>138</v>
      </c>
      <c r="L6412" s="68" t="b">
        <f aca="false">FALSE()</f>
        <v>0</v>
      </c>
    </row>
    <row r="6413" customFormat="false" ht="15" hidden="false" customHeight="false" outlineLevel="0" collapsed="false">
      <c r="A6413" s="62" t="n">
        <v>1</v>
      </c>
      <c r="B6413" s="21" t="s">
        <v>336</v>
      </c>
      <c r="C6413" s="62" t="s">
        <v>60</v>
      </c>
      <c r="D6413" s="62" t="s">
        <v>387</v>
      </c>
      <c r="E6413" s="62" t="s">
        <v>72</v>
      </c>
      <c r="F6413" s="62" t="s">
        <v>382</v>
      </c>
      <c r="G6413" s="63" t="s">
        <v>649</v>
      </c>
      <c r="H6413" s="64" t="n">
        <v>77659951833.1631</v>
      </c>
      <c r="I6413" s="62" t="s">
        <v>81</v>
      </c>
      <c r="J6413" s="64" t="n">
        <v>77659951.8331631</v>
      </c>
      <c r="K6413" s="62" t="s">
        <v>138</v>
      </c>
      <c r="L6413" s="68" t="b">
        <f aca="false">FALSE()</f>
        <v>0</v>
      </c>
    </row>
    <row r="6414" customFormat="false" ht="15" hidden="false" customHeight="false" outlineLevel="0" collapsed="false">
      <c r="A6414" s="62" t="n">
        <v>1</v>
      </c>
      <c r="B6414" s="21" t="s">
        <v>336</v>
      </c>
      <c r="C6414" s="62" t="s">
        <v>60</v>
      </c>
      <c r="D6414" s="62" t="s">
        <v>388</v>
      </c>
      <c r="E6414" s="62" t="s">
        <v>72</v>
      </c>
      <c r="F6414" s="62" t="s">
        <v>382</v>
      </c>
      <c r="G6414" s="63" t="s">
        <v>649</v>
      </c>
      <c r="H6414" s="64" t="n">
        <v>45390899963.2036</v>
      </c>
      <c r="I6414" s="62" t="s">
        <v>81</v>
      </c>
      <c r="J6414" s="64" t="n">
        <v>45390899.9632036</v>
      </c>
      <c r="K6414" s="62" t="s">
        <v>138</v>
      </c>
      <c r="L6414" s="68" t="b">
        <f aca="false">FALSE()</f>
        <v>0</v>
      </c>
    </row>
    <row r="6415" customFormat="false" ht="15" hidden="false" customHeight="false" outlineLevel="0" collapsed="false">
      <c r="A6415" s="62" t="n">
        <v>1</v>
      </c>
      <c r="B6415" s="21" t="s">
        <v>336</v>
      </c>
      <c r="C6415" s="62" t="s">
        <v>60</v>
      </c>
      <c r="D6415" s="62" t="s">
        <v>381</v>
      </c>
      <c r="E6415" s="62" t="s">
        <v>72</v>
      </c>
      <c r="F6415" s="62" t="s">
        <v>382</v>
      </c>
      <c r="G6415" s="63" t="s">
        <v>650</v>
      </c>
      <c r="H6415" s="64" t="n">
        <v>14630</v>
      </c>
      <c r="I6415" s="62" t="s">
        <v>81</v>
      </c>
      <c r="J6415" s="64" t="n">
        <v>14.63</v>
      </c>
      <c r="K6415" s="62" t="s">
        <v>138</v>
      </c>
      <c r="L6415" s="68" t="b">
        <f aca="false">FALSE()</f>
        <v>0</v>
      </c>
    </row>
    <row r="6416" customFormat="false" ht="15" hidden="false" customHeight="false" outlineLevel="0" collapsed="false">
      <c r="A6416" s="62" t="n">
        <v>1</v>
      </c>
      <c r="B6416" s="21" t="s">
        <v>336</v>
      </c>
      <c r="C6416" s="62" t="s">
        <v>60</v>
      </c>
      <c r="D6416" s="62" t="s">
        <v>383</v>
      </c>
      <c r="E6416" s="62" t="s">
        <v>72</v>
      </c>
      <c r="F6416" s="62" t="s">
        <v>382</v>
      </c>
      <c r="G6416" s="63" t="s">
        <v>650</v>
      </c>
      <c r="H6416" s="64" t="n">
        <v>14630</v>
      </c>
      <c r="I6416" s="62" t="s">
        <v>81</v>
      </c>
      <c r="J6416" s="64" t="n">
        <v>14.63</v>
      </c>
      <c r="K6416" s="62" t="s">
        <v>138</v>
      </c>
      <c r="L6416" s="68" t="b">
        <f aca="false">TRUE()</f>
        <v>1</v>
      </c>
    </row>
    <row r="6417" customFormat="false" ht="15" hidden="false" customHeight="false" outlineLevel="0" collapsed="false">
      <c r="A6417" s="62" t="n">
        <v>1</v>
      </c>
      <c r="B6417" s="21" t="s">
        <v>336</v>
      </c>
      <c r="C6417" s="62" t="s">
        <v>60</v>
      </c>
      <c r="D6417" s="62" t="s">
        <v>384</v>
      </c>
      <c r="E6417" s="62" t="s">
        <v>72</v>
      </c>
      <c r="F6417" s="62" t="s">
        <v>382</v>
      </c>
      <c r="G6417" s="63" t="s">
        <v>650</v>
      </c>
      <c r="H6417" s="64" t="n">
        <v>14630</v>
      </c>
      <c r="I6417" s="62" t="s">
        <v>81</v>
      </c>
      <c r="J6417" s="64" t="n">
        <v>14.63</v>
      </c>
      <c r="K6417" s="62" t="s">
        <v>138</v>
      </c>
      <c r="L6417" s="68" t="b">
        <f aca="false">TRUE()</f>
        <v>1</v>
      </c>
    </row>
    <row r="6418" customFormat="false" ht="15" hidden="false" customHeight="false" outlineLevel="0" collapsed="false">
      <c r="A6418" s="62" t="n">
        <v>1</v>
      </c>
      <c r="B6418" s="21" t="s">
        <v>336</v>
      </c>
      <c r="C6418" s="62" t="s">
        <v>60</v>
      </c>
      <c r="D6418" s="62" t="s">
        <v>385</v>
      </c>
      <c r="E6418" s="62" t="s">
        <v>72</v>
      </c>
      <c r="F6418" s="62" t="s">
        <v>382</v>
      </c>
      <c r="G6418" s="63" t="s">
        <v>650</v>
      </c>
      <c r="H6418" s="64" t="n">
        <v>14630</v>
      </c>
      <c r="I6418" s="62" t="s">
        <v>81</v>
      </c>
      <c r="J6418" s="64" t="n">
        <v>14.63</v>
      </c>
      <c r="K6418" s="62" t="s">
        <v>138</v>
      </c>
      <c r="L6418" s="68" t="b">
        <f aca="false">TRUE()</f>
        <v>1</v>
      </c>
    </row>
    <row r="6419" customFormat="false" ht="15" hidden="false" customHeight="false" outlineLevel="0" collapsed="false">
      <c r="A6419" s="62" t="n">
        <v>1</v>
      </c>
      <c r="B6419" s="21" t="s">
        <v>336</v>
      </c>
      <c r="C6419" s="62" t="s">
        <v>60</v>
      </c>
      <c r="D6419" s="62" t="s">
        <v>386</v>
      </c>
      <c r="E6419" s="62" t="s">
        <v>72</v>
      </c>
      <c r="F6419" s="62" t="s">
        <v>382</v>
      </c>
      <c r="G6419" s="63" t="s">
        <v>650</v>
      </c>
      <c r="H6419" s="64" t="n">
        <v>14630</v>
      </c>
      <c r="I6419" s="62" t="s">
        <v>81</v>
      </c>
      <c r="J6419" s="64" t="n">
        <v>14.63</v>
      </c>
      <c r="K6419" s="62" t="s">
        <v>138</v>
      </c>
      <c r="L6419" s="68" t="b">
        <f aca="false">TRUE()</f>
        <v>1</v>
      </c>
    </row>
    <row r="6420" customFormat="false" ht="15" hidden="false" customHeight="false" outlineLevel="0" collapsed="false">
      <c r="A6420" s="62" t="n">
        <v>1</v>
      </c>
      <c r="B6420" s="21" t="s">
        <v>336</v>
      </c>
      <c r="C6420" s="62" t="s">
        <v>60</v>
      </c>
      <c r="D6420" s="62" t="s">
        <v>387</v>
      </c>
      <c r="E6420" s="62" t="s">
        <v>72</v>
      </c>
      <c r="F6420" s="62" t="s">
        <v>382</v>
      </c>
      <c r="G6420" s="63" t="s">
        <v>650</v>
      </c>
      <c r="H6420" s="64" t="n">
        <v>14630</v>
      </c>
      <c r="I6420" s="62" t="s">
        <v>81</v>
      </c>
      <c r="J6420" s="64" t="n">
        <v>14.63</v>
      </c>
      <c r="K6420" s="62" t="s">
        <v>138</v>
      </c>
      <c r="L6420" s="68" t="b">
        <f aca="false">TRUE()</f>
        <v>1</v>
      </c>
    </row>
    <row r="6421" customFormat="false" ht="15" hidden="false" customHeight="false" outlineLevel="0" collapsed="false">
      <c r="A6421" s="62" t="n">
        <v>1</v>
      </c>
      <c r="B6421" s="21" t="s">
        <v>336</v>
      </c>
      <c r="C6421" s="62" t="s">
        <v>60</v>
      </c>
      <c r="D6421" s="62" t="s">
        <v>388</v>
      </c>
      <c r="E6421" s="62" t="s">
        <v>72</v>
      </c>
      <c r="F6421" s="62" t="s">
        <v>382</v>
      </c>
      <c r="G6421" s="63" t="s">
        <v>650</v>
      </c>
      <c r="H6421" s="64" t="n">
        <v>14630</v>
      </c>
      <c r="I6421" s="62" t="s">
        <v>81</v>
      </c>
      <c r="J6421" s="64" t="n">
        <v>14.63</v>
      </c>
      <c r="K6421" s="62" t="s">
        <v>138</v>
      </c>
      <c r="L6421" s="68" t="b">
        <f aca="false">FALSE()</f>
        <v>0</v>
      </c>
    </row>
    <row r="6422" customFormat="false" ht="15" hidden="false" customHeight="false" outlineLevel="0" collapsed="false">
      <c r="A6422" s="62" t="n">
        <v>1</v>
      </c>
      <c r="B6422" s="21" t="s">
        <v>336</v>
      </c>
      <c r="C6422" s="62" t="s">
        <v>60</v>
      </c>
      <c r="D6422" s="62" t="s">
        <v>381</v>
      </c>
      <c r="E6422" s="62" t="s">
        <v>72</v>
      </c>
      <c r="F6422" s="62" t="s">
        <v>382</v>
      </c>
      <c r="G6422" s="63" t="s">
        <v>651</v>
      </c>
      <c r="H6422" s="64" t="n">
        <v>4288230925.40281</v>
      </c>
      <c r="I6422" s="62" t="s">
        <v>81</v>
      </c>
      <c r="J6422" s="64" t="n">
        <v>4288230.92540281</v>
      </c>
      <c r="K6422" s="62" t="s">
        <v>138</v>
      </c>
      <c r="L6422" s="68" t="b">
        <f aca="false">FALSE()</f>
        <v>0</v>
      </c>
    </row>
    <row r="6423" customFormat="false" ht="15" hidden="false" customHeight="false" outlineLevel="0" collapsed="false">
      <c r="A6423" s="62" t="n">
        <v>1</v>
      </c>
      <c r="B6423" s="21" t="s">
        <v>336</v>
      </c>
      <c r="C6423" s="62" t="s">
        <v>60</v>
      </c>
      <c r="D6423" s="62" t="s">
        <v>383</v>
      </c>
      <c r="E6423" s="62" t="s">
        <v>72</v>
      </c>
      <c r="F6423" s="62" t="s">
        <v>382</v>
      </c>
      <c r="G6423" s="63" t="s">
        <v>651</v>
      </c>
      <c r="H6423" s="64" t="n">
        <v>8142658002.59331</v>
      </c>
      <c r="I6423" s="62" t="s">
        <v>81</v>
      </c>
      <c r="J6423" s="64" t="n">
        <v>8142658.00259331</v>
      </c>
      <c r="K6423" s="62" t="s">
        <v>138</v>
      </c>
      <c r="L6423" s="68" t="b">
        <f aca="false">FALSE()</f>
        <v>0</v>
      </c>
    </row>
    <row r="6424" customFormat="false" ht="15" hidden="false" customHeight="false" outlineLevel="0" collapsed="false">
      <c r="A6424" s="62" t="n">
        <v>1</v>
      </c>
      <c r="B6424" s="21" t="s">
        <v>336</v>
      </c>
      <c r="C6424" s="62" t="s">
        <v>60</v>
      </c>
      <c r="D6424" s="62" t="s">
        <v>384</v>
      </c>
      <c r="E6424" s="62" t="s">
        <v>72</v>
      </c>
      <c r="F6424" s="62" t="s">
        <v>382</v>
      </c>
      <c r="G6424" s="63" t="s">
        <v>651</v>
      </c>
      <c r="H6424" s="64" t="n">
        <v>6932007322.19849</v>
      </c>
      <c r="I6424" s="62" t="s">
        <v>81</v>
      </c>
      <c r="J6424" s="64" t="n">
        <v>6932007.32219849</v>
      </c>
      <c r="K6424" s="62" t="s">
        <v>138</v>
      </c>
      <c r="L6424" s="68" t="b">
        <f aca="false">FALSE()</f>
        <v>0</v>
      </c>
    </row>
    <row r="6425" customFormat="false" ht="15" hidden="false" customHeight="false" outlineLevel="0" collapsed="false">
      <c r="A6425" s="62" t="n">
        <v>1</v>
      </c>
      <c r="B6425" s="21" t="s">
        <v>336</v>
      </c>
      <c r="C6425" s="62" t="s">
        <v>60</v>
      </c>
      <c r="D6425" s="62" t="s">
        <v>385</v>
      </c>
      <c r="E6425" s="62" t="s">
        <v>72</v>
      </c>
      <c r="F6425" s="62" t="s">
        <v>382</v>
      </c>
      <c r="G6425" s="63" t="s">
        <v>651</v>
      </c>
      <c r="H6425" s="64" t="n">
        <v>5399977787.88168</v>
      </c>
      <c r="I6425" s="62" t="s">
        <v>81</v>
      </c>
      <c r="J6425" s="64" t="n">
        <v>5399977.78788168</v>
      </c>
      <c r="K6425" s="62" t="s">
        <v>138</v>
      </c>
      <c r="L6425" s="68" t="b">
        <f aca="false">FALSE()</f>
        <v>0</v>
      </c>
    </row>
    <row r="6426" customFormat="false" ht="15" hidden="false" customHeight="false" outlineLevel="0" collapsed="false">
      <c r="A6426" s="62" t="n">
        <v>1</v>
      </c>
      <c r="B6426" s="21" t="s">
        <v>336</v>
      </c>
      <c r="C6426" s="62" t="s">
        <v>60</v>
      </c>
      <c r="D6426" s="62" t="s">
        <v>386</v>
      </c>
      <c r="E6426" s="62" t="s">
        <v>72</v>
      </c>
      <c r="F6426" s="62" t="s">
        <v>382</v>
      </c>
      <c r="G6426" s="63" t="s">
        <v>651</v>
      </c>
      <c r="H6426" s="64" t="n">
        <v>4903486189.9063</v>
      </c>
      <c r="I6426" s="62" t="s">
        <v>81</v>
      </c>
      <c r="J6426" s="64" t="n">
        <v>4903486.1899063</v>
      </c>
      <c r="K6426" s="62" t="s">
        <v>138</v>
      </c>
      <c r="L6426" s="68" t="b">
        <f aca="false">FALSE()</f>
        <v>0</v>
      </c>
    </row>
    <row r="6427" customFormat="false" ht="15" hidden="false" customHeight="false" outlineLevel="0" collapsed="false">
      <c r="A6427" s="62" t="n">
        <v>1</v>
      </c>
      <c r="B6427" s="21" t="s">
        <v>336</v>
      </c>
      <c r="C6427" s="62" t="s">
        <v>60</v>
      </c>
      <c r="D6427" s="62" t="s">
        <v>387</v>
      </c>
      <c r="E6427" s="62" t="s">
        <v>72</v>
      </c>
      <c r="F6427" s="62" t="s">
        <v>382</v>
      </c>
      <c r="G6427" s="63" t="s">
        <v>651</v>
      </c>
      <c r="H6427" s="64" t="n">
        <v>5505066169.10842</v>
      </c>
      <c r="I6427" s="62" t="s">
        <v>81</v>
      </c>
      <c r="J6427" s="64" t="n">
        <v>5505066.16910842</v>
      </c>
      <c r="K6427" s="62" t="s">
        <v>138</v>
      </c>
      <c r="L6427" s="68" t="b">
        <f aca="false">FALSE()</f>
        <v>0</v>
      </c>
    </row>
    <row r="6428" customFormat="false" ht="15" hidden="false" customHeight="false" outlineLevel="0" collapsed="false">
      <c r="A6428" s="62" t="n">
        <v>1</v>
      </c>
      <c r="B6428" s="21" t="s">
        <v>336</v>
      </c>
      <c r="C6428" s="62" t="s">
        <v>60</v>
      </c>
      <c r="D6428" s="62" t="s">
        <v>388</v>
      </c>
      <c r="E6428" s="62" t="s">
        <v>72</v>
      </c>
      <c r="F6428" s="62" t="s">
        <v>382</v>
      </c>
      <c r="G6428" s="63" t="s">
        <v>651</v>
      </c>
      <c r="H6428" s="64" t="n">
        <v>2735190472.11619</v>
      </c>
      <c r="I6428" s="62" t="s">
        <v>81</v>
      </c>
      <c r="J6428" s="64" t="n">
        <v>2735190.47211619</v>
      </c>
      <c r="K6428" s="62" t="s">
        <v>138</v>
      </c>
      <c r="L6428" s="68" t="b">
        <f aca="false">FALSE()</f>
        <v>0</v>
      </c>
    </row>
    <row r="6429" customFormat="false" ht="15" hidden="false" customHeight="false" outlineLevel="0" collapsed="false">
      <c r="A6429" s="62" t="n">
        <v>1</v>
      </c>
      <c r="B6429" s="21" t="s">
        <v>336</v>
      </c>
      <c r="C6429" s="62" t="s">
        <v>60</v>
      </c>
      <c r="D6429" s="62" t="s">
        <v>381</v>
      </c>
      <c r="E6429" s="62" t="s">
        <v>72</v>
      </c>
      <c r="F6429" s="62" t="s">
        <v>382</v>
      </c>
      <c r="G6429" s="63" t="s">
        <v>652</v>
      </c>
      <c r="H6429" s="64" t="n">
        <v>62736818438.6431</v>
      </c>
      <c r="I6429" s="62" t="s">
        <v>81</v>
      </c>
      <c r="J6429" s="64" t="n">
        <v>62736818.4386431</v>
      </c>
      <c r="K6429" s="62" t="s">
        <v>138</v>
      </c>
      <c r="L6429" s="68" t="b">
        <f aca="false">FALSE()</f>
        <v>0</v>
      </c>
    </row>
    <row r="6430" customFormat="false" ht="15" hidden="false" customHeight="false" outlineLevel="0" collapsed="false">
      <c r="A6430" s="62" t="n">
        <v>1</v>
      </c>
      <c r="B6430" s="21" t="s">
        <v>336</v>
      </c>
      <c r="C6430" s="62" t="s">
        <v>60</v>
      </c>
      <c r="D6430" s="62" t="s">
        <v>383</v>
      </c>
      <c r="E6430" s="62" t="s">
        <v>72</v>
      </c>
      <c r="F6430" s="62" t="s">
        <v>382</v>
      </c>
      <c r="G6430" s="63" t="s">
        <v>652</v>
      </c>
      <c r="H6430" s="64" t="n">
        <v>119127086577.94</v>
      </c>
      <c r="I6430" s="62" t="s">
        <v>81</v>
      </c>
      <c r="J6430" s="64" t="n">
        <v>119127086.57794</v>
      </c>
      <c r="K6430" s="62" t="s">
        <v>138</v>
      </c>
      <c r="L6430" s="68" t="b">
        <f aca="false">FALSE()</f>
        <v>0</v>
      </c>
    </row>
    <row r="6431" customFormat="false" ht="15" hidden="false" customHeight="false" outlineLevel="0" collapsed="false">
      <c r="A6431" s="62" t="n">
        <v>1</v>
      </c>
      <c r="B6431" s="21" t="s">
        <v>336</v>
      </c>
      <c r="C6431" s="62" t="s">
        <v>60</v>
      </c>
      <c r="D6431" s="62" t="s">
        <v>384</v>
      </c>
      <c r="E6431" s="62" t="s">
        <v>72</v>
      </c>
      <c r="F6431" s="62" t="s">
        <v>382</v>
      </c>
      <c r="G6431" s="63" t="s">
        <v>652</v>
      </c>
      <c r="H6431" s="64" t="n">
        <v>101415267123.764</v>
      </c>
      <c r="I6431" s="62" t="s">
        <v>81</v>
      </c>
      <c r="J6431" s="64" t="n">
        <v>101415267.123764</v>
      </c>
      <c r="K6431" s="62" t="s">
        <v>138</v>
      </c>
      <c r="L6431" s="68" t="b">
        <f aca="false">FALSE()</f>
        <v>0</v>
      </c>
    </row>
    <row r="6432" customFormat="false" ht="15" hidden="false" customHeight="false" outlineLevel="0" collapsed="false">
      <c r="A6432" s="62" t="n">
        <v>1</v>
      </c>
      <c r="B6432" s="21" t="s">
        <v>336</v>
      </c>
      <c r="C6432" s="62" t="s">
        <v>60</v>
      </c>
      <c r="D6432" s="62" t="s">
        <v>385</v>
      </c>
      <c r="E6432" s="62" t="s">
        <v>72</v>
      </c>
      <c r="F6432" s="62" t="s">
        <v>382</v>
      </c>
      <c r="G6432" s="63" t="s">
        <v>652</v>
      </c>
      <c r="H6432" s="64" t="n">
        <v>79001675036.7089</v>
      </c>
      <c r="I6432" s="62" t="s">
        <v>81</v>
      </c>
      <c r="J6432" s="64" t="n">
        <v>79001675.0367089</v>
      </c>
      <c r="K6432" s="62" t="s">
        <v>138</v>
      </c>
      <c r="L6432" s="68" t="b">
        <f aca="false">FALSE()</f>
        <v>0</v>
      </c>
    </row>
    <row r="6433" customFormat="false" ht="15" hidden="false" customHeight="false" outlineLevel="0" collapsed="false">
      <c r="A6433" s="62" t="n">
        <v>1</v>
      </c>
      <c r="B6433" s="21" t="s">
        <v>336</v>
      </c>
      <c r="C6433" s="62" t="s">
        <v>60</v>
      </c>
      <c r="D6433" s="62" t="s">
        <v>386</v>
      </c>
      <c r="E6433" s="62" t="s">
        <v>72</v>
      </c>
      <c r="F6433" s="62" t="s">
        <v>382</v>
      </c>
      <c r="G6433" s="63" t="s">
        <v>652</v>
      </c>
      <c r="H6433" s="64" t="n">
        <v>71738002958.3292</v>
      </c>
      <c r="I6433" s="62" t="s">
        <v>81</v>
      </c>
      <c r="J6433" s="64" t="n">
        <v>71738002.9583292</v>
      </c>
      <c r="K6433" s="62" t="s">
        <v>138</v>
      </c>
      <c r="L6433" s="68" t="b">
        <f aca="false">FALSE()</f>
        <v>0</v>
      </c>
    </row>
    <row r="6434" customFormat="false" ht="15" hidden="false" customHeight="false" outlineLevel="0" collapsed="false">
      <c r="A6434" s="62" t="n">
        <v>1</v>
      </c>
      <c r="B6434" s="21" t="s">
        <v>336</v>
      </c>
      <c r="C6434" s="62" t="s">
        <v>60</v>
      </c>
      <c r="D6434" s="62" t="s">
        <v>387</v>
      </c>
      <c r="E6434" s="62" t="s">
        <v>72</v>
      </c>
      <c r="F6434" s="62" t="s">
        <v>382</v>
      </c>
      <c r="G6434" s="63" t="s">
        <v>652</v>
      </c>
      <c r="H6434" s="64" t="n">
        <v>80539118054.0562</v>
      </c>
      <c r="I6434" s="62" t="s">
        <v>81</v>
      </c>
      <c r="J6434" s="64" t="n">
        <v>80539118.0540562</v>
      </c>
      <c r="K6434" s="62" t="s">
        <v>138</v>
      </c>
      <c r="L6434" s="68" t="b">
        <f aca="false">FALSE()</f>
        <v>0</v>
      </c>
    </row>
    <row r="6435" customFormat="false" ht="15" hidden="false" customHeight="false" outlineLevel="0" collapsed="false">
      <c r="A6435" s="62" t="n">
        <v>1</v>
      </c>
      <c r="B6435" s="21" t="s">
        <v>336</v>
      </c>
      <c r="C6435" s="62" t="s">
        <v>60</v>
      </c>
      <c r="D6435" s="62" t="s">
        <v>388</v>
      </c>
      <c r="E6435" s="62" t="s">
        <v>72</v>
      </c>
      <c r="F6435" s="62" t="s">
        <v>382</v>
      </c>
      <c r="G6435" s="63" t="s">
        <v>652</v>
      </c>
      <c r="H6435" s="64" t="n">
        <v>40015836607.0598</v>
      </c>
      <c r="I6435" s="62" t="s">
        <v>81</v>
      </c>
      <c r="J6435" s="64" t="n">
        <v>40015836.6070598</v>
      </c>
      <c r="K6435" s="62" t="s">
        <v>138</v>
      </c>
      <c r="L6435" s="68" t="b">
        <f aca="false">FALSE()</f>
        <v>0</v>
      </c>
    </row>
    <row r="6436" customFormat="false" ht="15" hidden="false" customHeight="false" outlineLevel="0" collapsed="false">
      <c r="A6436" s="62" t="n">
        <v>1</v>
      </c>
      <c r="B6436" s="21" t="s">
        <v>336</v>
      </c>
      <c r="C6436" s="62" t="s">
        <v>60</v>
      </c>
      <c r="D6436" s="62" t="s">
        <v>381</v>
      </c>
      <c r="E6436" s="62" t="s">
        <v>72</v>
      </c>
      <c r="F6436" s="62" t="s">
        <v>382</v>
      </c>
      <c r="G6436" s="63" t="s">
        <v>653</v>
      </c>
      <c r="H6436" s="64" t="n">
        <v>17300</v>
      </c>
      <c r="I6436" s="62" t="s">
        <v>81</v>
      </c>
      <c r="J6436" s="64" t="n">
        <v>17.3</v>
      </c>
      <c r="K6436" s="62" t="s">
        <v>138</v>
      </c>
      <c r="L6436" s="68" t="b">
        <f aca="false">FALSE()</f>
        <v>0</v>
      </c>
    </row>
    <row r="6437" customFormat="false" ht="15" hidden="false" customHeight="false" outlineLevel="0" collapsed="false">
      <c r="A6437" s="62" t="n">
        <v>1</v>
      </c>
      <c r="B6437" s="21" t="s">
        <v>336</v>
      </c>
      <c r="C6437" s="62" t="s">
        <v>60</v>
      </c>
      <c r="D6437" s="62" t="s">
        <v>383</v>
      </c>
      <c r="E6437" s="62" t="s">
        <v>72</v>
      </c>
      <c r="F6437" s="62" t="s">
        <v>382</v>
      </c>
      <c r="G6437" s="63" t="s">
        <v>653</v>
      </c>
      <c r="H6437" s="64" t="n">
        <v>17300</v>
      </c>
      <c r="I6437" s="62" t="s">
        <v>81</v>
      </c>
      <c r="J6437" s="64" t="n">
        <v>17.3</v>
      </c>
      <c r="K6437" s="62" t="s">
        <v>138</v>
      </c>
      <c r="L6437" s="68" t="b">
        <f aca="false">TRUE()</f>
        <v>1</v>
      </c>
    </row>
    <row r="6438" customFormat="false" ht="15" hidden="false" customHeight="false" outlineLevel="0" collapsed="false">
      <c r="A6438" s="62" t="n">
        <v>1</v>
      </c>
      <c r="B6438" s="21" t="s">
        <v>336</v>
      </c>
      <c r="C6438" s="62" t="s">
        <v>60</v>
      </c>
      <c r="D6438" s="62" t="s">
        <v>384</v>
      </c>
      <c r="E6438" s="62" t="s">
        <v>72</v>
      </c>
      <c r="F6438" s="62" t="s">
        <v>382</v>
      </c>
      <c r="G6438" s="63" t="s">
        <v>653</v>
      </c>
      <c r="H6438" s="64" t="n">
        <v>17300</v>
      </c>
      <c r="I6438" s="62" t="s">
        <v>81</v>
      </c>
      <c r="J6438" s="64" t="n">
        <v>17.3</v>
      </c>
      <c r="K6438" s="62" t="s">
        <v>138</v>
      </c>
      <c r="L6438" s="68" t="b">
        <f aca="false">TRUE()</f>
        <v>1</v>
      </c>
    </row>
    <row r="6439" customFormat="false" ht="15" hidden="false" customHeight="false" outlineLevel="0" collapsed="false">
      <c r="A6439" s="62" t="n">
        <v>1</v>
      </c>
      <c r="B6439" s="21" t="s">
        <v>336</v>
      </c>
      <c r="C6439" s="62" t="s">
        <v>60</v>
      </c>
      <c r="D6439" s="62" t="s">
        <v>385</v>
      </c>
      <c r="E6439" s="62" t="s">
        <v>72</v>
      </c>
      <c r="F6439" s="62" t="s">
        <v>382</v>
      </c>
      <c r="G6439" s="63" t="s">
        <v>653</v>
      </c>
      <c r="H6439" s="64" t="n">
        <v>17300</v>
      </c>
      <c r="I6439" s="62" t="s">
        <v>81</v>
      </c>
      <c r="J6439" s="64" t="n">
        <v>17.3</v>
      </c>
      <c r="K6439" s="62" t="s">
        <v>138</v>
      </c>
      <c r="L6439" s="68" t="b">
        <f aca="false">TRUE()</f>
        <v>1</v>
      </c>
    </row>
    <row r="6440" customFormat="false" ht="15" hidden="false" customHeight="false" outlineLevel="0" collapsed="false">
      <c r="A6440" s="62" t="n">
        <v>1</v>
      </c>
      <c r="B6440" s="21" t="s">
        <v>336</v>
      </c>
      <c r="C6440" s="62" t="s">
        <v>60</v>
      </c>
      <c r="D6440" s="62" t="s">
        <v>386</v>
      </c>
      <c r="E6440" s="62" t="s">
        <v>72</v>
      </c>
      <c r="F6440" s="62" t="s">
        <v>382</v>
      </c>
      <c r="G6440" s="63" t="s">
        <v>653</v>
      </c>
      <c r="H6440" s="64" t="n">
        <v>17300</v>
      </c>
      <c r="I6440" s="62" t="s">
        <v>81</v>
      </c>
      <c r="J6440" s="64" t="n">
        <v>17.3</v>
      </c>
      <c r="K6440" s="62" t="s">
        <v>138</v>
      </c>
      <c r="L6440" s="68" t="b">
        <f aca="false">TRUE()</f>
        <v>1</v>
      </c>
    </row>
    <row r="6441" customFormat="false" ht="15" hidden="false" customHeight="false" outlineLevel="0" collapsed="false">
      <c r="A6441" s="62" t="n">
        <v>1</v>
      </c>
      <c r="B6441" s="21" t="s">
        <v>336</v>
      </c>
      <c r="C6441" s="62" t="s">
        <v>60</v>
      </c>
      <c r="D6441" s="62" t="s">
        <v>387</v>
      </c>
      <c r="E6441" s="62" t="s">
        <v>72</v>
      </c>
      <c r="F6441" s="62" t="s">
        <v>382</v>
      </c>
      <c r="G6441" s="63" t="s">
        <v>653</v>
      </c>
      <c r="H6441" s="64" t="n">
        <v>17300</v>
      </c>
      <c r="I6441" s="62" t="s">
        <v>81</v>
      </c>
      <c r="J6441" s="64" t="n">
        <v>17.3</v>
      </c>
      <c r="K6441" s="62" t="s">
        <v>138</v>
      </c>
      <c r="L6441" s="68" t="b">
        <f aca="false">TRUE()</f>
        <v>1</v>
      </c>
    </row>
    <row r="6442" customFormat="false" ht="15" hidden="false" customHeight="false" outlineLevel="0" collapsed="false">
      <c r="A6442" s="62" t="n">
        <v>1</v>
      </c>
      <c r="B6442" s="21" t="s">
        <v>336</v>
      </c>
      <c r="C6442" s="62" t="s">
        <v>60</v>
      </c>
      <c r="D6442" s="62" t="s">
        <v>388</v>
      </c>
      <c r="E6442" s="62" t="s">
        <v>72</v>
      </c>
      <c r="F6442" s="62" t="s">
        <v>382</v>
      </c>
      <c r="G6442" s="63" t="s">
        <v>653</v>
      </c>
      <c r="H6442" s="64" t="n">
        <v>17300</v>
      </c>
      <c r="I6442" s="62" t="s">
        <v>81</v>
      </c>
      <c r="J6442" s="64" t="n">
        <v>17.3</v>
      </c>
      <c r="K6442" s="62" t="s">
        <v>138</v>
      </c>
      <c r="L6442" s="68" t="b">
        <f aca="false">FALSE()</f>
        <v>0</v>
      </c>
    </row>
    <row r="6443" customFormat="false" ht="15" hidden="false" customHeight="false" outlineLevel="0" collapsed="false">
      <c r="A6443" s="62" t="n">
        <v>1</v>
      </c>
      <c r="B6443" s="21" t="s">
        <v>336</v>
      </c>
      <c r="C6443" s="62" t="s">
        <v>60</v>
      </c>
      <c r="D6443" s="62" t="s">
        <v>381</v>
      </c>
      <c r="E6443" s="62" t="s">
        <v>72</v>
      </c>
      <c r="F6443" s="62" t="s">
        <v>382</v>
      </c>
      <c r="G6443" s="63" t="s">
        <v>654</v>
      </c>
      <c r="H6443" s="64" t="n">
        <v>3413784180.01787</v>
      </c>
      <c r="I6443" s="62" t="s">
        <v>81</v>
      </c>
      <c r="J6443" s="64" t="n">
        <v>3413784.18001787</v>
      </c>
      <c r="K6443" s="62" t="s">
        <v>138</v>
      </c>
      <c r="L6443" s="68" t="b">
        <f aca="false">FALSE()</f>
        <v>0</v>
      </c>
    </row>
    <row r="6444" customFormat="false" ht="15" hidden="false" customHeight="false" outlineLevel="0" collapsed="false">
      <c r="A6444" s="62" t="n">
        <v>1</v>
      </c>
      <c r="B6444" s="21" t="s">
        <v>336</v>
      </c>
      <c r="C6444" s="62" t="s">
        <v>60</v>
      </c>
      <c r="D6444" s="62" t="s">
        <v>383</v>
      </c>
      <c r="E6444" s="62" t="s">
        <v>72</v>
      </c>
      <c r="F6444" s="62" t="s">
        <v>382</v>
      </c>
      <c r="G6444" s="63" t="s">
        <v>654</v>
      </c>
      <c r="H6444" s="64" t="n">
        <v>6219795306.51435</v>
      </c>
      <c r="I6444" s="62" t="s">
        <v>81</v>
      </c>
      <c r="J6444" s="64" t="n">
        <v>6219795.30651435</v>
      </c>
      <c r="K6444" s="62" t="s">
        <v>138</v>
      </c>
      <c r="L6444" s="68" t="b">
        <f aca="false">FALSE()</f>
        <v>0</v>
      </c>
    </row>
    <row r="6445" customFormat="false" ht="15" hidden="false" customHeight="false" outlineLevel="0" collapsed="false">
      <c r="A6445" s="62" t="n">
        <v>1</v>
      </c>
      <c r="B6445" s="21" t="s">
        <v>336</v>
      </c>
      <c r="C6445" s="62" t="s">
        <v>60</v>
      </c>
      <c r="D6445" s="62" t="s">
        <v>384</v>
      </c>
      <c r="E6445" s="62" t="s">
        <v>72</v>
      </c>
      <c r="F6445" s="62" t="s">
        <v>382</v>
      </c>
      <c r="G6445" s="63" t="s">
        <v>654</v>
      </c>
      <c r="H6445" s="64" t="n">
        <v>5327281035.92858</v>
      </c>
      <c r="I6445" s="62" t="s">
        <v>81</v>
      </c>
      <c r="J6445" s="64" t="n">
        <v>5327281.03592858</v>
      </c>
      <c r="K6445" s="62" t="s">
        <v>138</v>
      </c>
      <c r="L6445" s="68" t="b">
        <f aca="false">FALSE()</f>
        <v>0</v>
      </c>
    </row>
    <row r="6446" customFormat="false" ht="15" hidden="false" customHeight="false" outlineLevel="0" collapsed="false">
      <c r="A6446" s="62" t="n">
        <v>1</v>
      </c>
      <c r="B6446" s="21" t="s">
        <v>336</v>
      </c>
      <c r="C6446" s="62" t="s">
        <v>60</v>
      </c>
      <c r="D6446" s="62" t="s">
        <v>385</v>
      </c>
      <c r="E6446" s="62" t="s">
        <v>72</v>
      </c>
      <c r="F6446" s="62" t="s">
        <v>382</v>
      </c>
      <c r="G6446" s="63" t="s">
        <v>654</v>
      </c>
      <c r="H6446" s="64" t="n">
        <v>4174986330.18013</v>
      </c>
      <c r="I6446" s="62" t="s">
        <v>81</v>
      </c>
      <c r="J6446" s="64" t="n">
        <v>4174986.33018013</v>
      </c>
      <c r="K6446" s="62" t="s">
        <v>138</v>
      </c>
      <c r="L6446" s="68" t="b">
        <f aca="false">FALSE()</f>
        <v>0</v>
      </c>
    </row>
    <row r="6447" customFormat="false" ht="15" hidden="false" customHeight="false" outlineLevel="0" collapsed="false">
      <c r="A6447" s="62" t="n">
        <v>1</v>
      </c>
      <c r="B6447" s="21" t="s">
        <v>336</v>
      </c>
      <c r="C6447" s="62" t="s">
        <v>60</v>
      </c>
      <c r="D6447" s="62" t="s">
        <v>386</v>
      </c>
      <c r="E6447" s="62" t="s">
        <v>72</v>
      </c>
      <c r="F6447" s="62" t="s">
        <v>382</v>
      </c>
      <c r="G6447" s="63" t="s">
        <v>654</v>
      </c>
      <c r="H6447" s="64" t="n">
        <v>3854371998.77211</v>
      </c>
      <c r="I6447" s="62" t="s">
        <v>81</v>
      </c>
      <c r="J6447" s="64" t="n">
        <v>3854371.99877211</v>
      </c>
      <c r="K6447" s="62" t="s">
        <v>138</v>
      </c>
      <c r="L6447" s="68" t="b">
        <f aca="false">FALSE()</f>
        <v>0</v>
      </c>
    </row>
    <row r="6448" customFormat="false" ht="15" hidden="false" customHeight="false" outlineLevel="0" collapsed="false">
      <c r="A6448" s="62" t="n">
        <v>1</v>
      </c>
      <c r="B6448" s="21" t="s">
        <v>336</v>
      </c>
      <c r="C6448" s="62" t="s">
        <v>60</v>
      </c>
      <c r="D6448" s="62" t="s">
        <v>387</v>
      </c>
      <c r="E6448" s="62" t="s">
        <v>72</v>
      </c>
      <c r="F6448" s="62" t="s">
        <v>382</v>
      </c>
      <c r="G6448" s="63" t="s">
        <v>654</v>
      </c>
      <c r="H6448" s="64" t="n">
        <v>4262567657.58595</v>
      </c>
      <c r="I6448" s="62" t="s">
        <v>81</v>
      </c>
      <c r="J6448" s="64" t="n">
        <v>4262567.65758595</v>
      </c>
      <c r="K6448" s="62" t="s">
        <v>138</v>
      </c>
      <c r="L6448" s="68" t="b">
        <f aca="false">FALSE()</f>
        <v>0</v>
      </c>
    </row>
    <row r="6449" customFormat="false" ht="15" hidden="false" customHeight="false" outlineLevel="0" collapsed="false">
      <c r="A6449" s="62" t="n">
        <v>1</v>
      </c>
      <c r="B6449" s="21" t="s">
        <v>336</v>
      </c>
      <c r="C6449" s="62" t="s">
        <v>60</v>
      </c>
      <c r="D6449" s="62" t="s">
        <v>388</v>
      </c>
      <c r="E6449" s="62" t="s">
        <v>72</v>
      </c>
      <c r="F6449" s="62" t="s">
        <v>382</v>
      </c>
      <c r="G6449" s="63" t="s">
        <v>654</v>
      </c>
      <c r="H6449" s="64" t="n">
        <v>2241807483.10352</v>
      </c>
      <c r="I6449" s="62" t="s">
        <v>81</v>
      </c>
      <c r="J6449" s="64" t="n">
        <v>2241807.48310352</v>
      </c>
      <c r="K6449" s="62" t="s">
        <v>138</v>
      </c>
      <c r="L6449" s="68" t="b">
        <f aca="false">FALSE()</f>
        <v>0</v>
      </c>
    </row>
    <row r="6450" customFormat="false" ht="15" hidden="false" customHeight="false" outlineLevel="0" collapsed="false">
      <c r="A6450" s="62" t="n">
        <v>1</v>
      </c>
      <c r="B6450" s="21" t="s">
        <v>336</v>
      </c>
      <c r="C6450" s="62" t="s">
        <v>60</v>
      </c>
      <c r="D6450" s="62" t="s">
        <v>381</v>
      </c>
      <c r="E6450" s="62" t="s">
        <v>72</v>
      </c>
      <c r="F6450" s="62" t="s">
        <v>382</v>
      </c>
      <c r="G6450" s="63" t="s">
        <v>655</v>
      </c>
      <c r="H6450" s="64" t="n">
        <v>59058466314.3092</v>
      </c>
      <c r="I6450" s="62" t="s">
        <v>81</v>
      </c>
      <c r="J6450" s="64" t="n">
        <v>59058466.3143092</v>
      </c>
      <c r="K6450" s="62" t="s">
        <v>138</v>
      </c>
      <c r="L6450" s="68" t="b">
        <f aca="false">FALSE()</f>
        <v>0</v>
      </c>
    </row>
    <row r="6451" customFormat="false" ht="15" hidden="false" customHeight="false" outlineLevel="0" collapsed="false">
      <c r="A6451" s="62" t="n">
        <v>1</v>
      </c>
      <c r="B6451" s="21" t="s">
        <v>336</v>
      </c>
      <c r="C6451" s="62" t="s">
        <v>60</v>
      </c>
      <c r="D6451" s="62" t="s">
        <v>383</v>
      </c>
      <c r="E6451" s="62" t="s">
        <v>72</v>
      </c>
      <c r="F6451" s="62" t="s">
        <v>382</v>
      </c>
      <c r="G6451" s="63" t="s">
        <v>655</v>
      </c>
      <c r="H6451" s="64" t="n">
        <v>107602458802.698</v>
      </c>
      <c r="I6451" s="62" t="s">
        <v>81</v>
      </c>
      <c r="J6451" s="64" t="n">
        <v>107602458.802698</v>
      </c>
      <c r="K6451" s="62" t="s">
        <v>138</v>
      </c>
      <c r="L6451" s="68" t="b">
        <f aca="false">FALSE()</f>
        <v>0</v>
      </c>
    </row>
    <row r="6452" customFormat="false" ht="15" hidden="false" customHeight="false" outlineLevel="0" collapsed="false">
      <c r="A6452" s="62" t="n">
        <v>1</v>
      </c>
      <c r="B6452" s="21" t="s">
        <v>336</v>
      </c>
      <c r="C6452" s="62" t="s">
        <v>60</v>
      </c>
      <c r="D6452" s="62" t="s">
        <v>384</v>
      </c>
      <c r="E6452" s="62" t="s">
        <v>72</v>
      </c>
      <c r="F6452" s="62" t="s">
        <v>382</v>
      </c>
      <c r="G6452" s="63" t="s">
        <v>655</v>
      </c>
      <c r="H6452" s="64" t="n">
        <v>92161961921.5644</v>
      </c>
      <c r="I6452" s="62" t="s">
        <v>81</v>
      </c>
      <c r="J6452" s="64" t="n">
        <v>92161961.9215644</v>
      </c>
      <c r="K6452" s="62" t="s">
        <v>138</v>
      </c>
      <c r="L6452" s="68" t="b">
        <f aca="false">FALSE()</f>
        <v>0</v>
      </c>
    </row>
    <row r="6453" customFormat="false" ht="15" hidden="false" customHeight="false" outlineLevel="0" collapsed="false">
      <c r="A6453" s="62" t="n">
        <v>1</v>
      </c>
      <c r="B6453" s="21" t="s">
        <v>336</v>
      </c>
      <c r="C6453" s="62" t="s">
        <v>60</v>
      </c>
      <c r="D6453" s="62" t="s">
        <v>385</v>
      </c>
      <c r="E6453" s="62" t="s">
        <v>72</v>
      </c>
      <c r="F6453" s="62" t="s">
        <v>382</v>
      </c>
      <c r="G6453" s="63" t="s">
        <v>655</v>
      </c>
      <c r="H6453" s="64" t="n">
        <v>72227263512.1163</v>
      </c>
      <c r="I6453" s="62" t="s">
        <v>81</v>
      </c>
      <c r="J6453" s="64" t="n">
        <v>72227263.5121163</v>
      </c>
      <c r="K6453" s="62" t="s">
        <v>138</v>
      </c>
      <c r="L6453" s="68" t="b">
        <f aca="false">FALSE()</f>
        <v>0</v>
      </c>
    </row>
    <row r="6454" customFormat="false" ht="15" hidden="false" customHeight="false" outlineLevel="0" collapsed="false">
      <c r="A6454" s="62" t="n">
        <v>1</v>
      </c>
      <c r="B6454" s="21" t="s">
        <v>336</v>
      </c>
      <c r="C6454" s="62" t="s">
        <v>60</v>
      </c>
      <c r="D6454" s="62" t="s">
        <v>386</v>
      </c>
      <c r="E6454" s="62" t="s">
        <v>72</v>
      </c>
      <c r="F6454" s="62" t="s">
        <v>382</v>
      </c>
      <c r="G6454" s="63" t="s">
        <v>655</v>
      </c>
      <c r="H6454" s="64" t="n">
        <v>66680635578.7575</v>
      </c>
      <c r="I6454" s="62" t="s">
        <v>81</v>
      </c>
      <c r="J6454" s="64" t="n">
        <v>66680635.5787575</v>
      </c>
      <c r="K6454" s="62" t="s">
        <v>138</v>
      </c>
      <c r="L6454" s="68" t="b">
        <f aca="false">FALSE()</f>
        <v>0</v>
      </c>
    </row>
    <row r="6455" customFormat="false" ht="15" hidden="false" customHeight="false" outlineLevel="0" collapsed="false">
      <c r="A6455" s="62" t="n">
        <v>1</v>
      </c>
      <c r="B6455" s="21" t="s">
        <v>336</v>
      </c>
      <c r="C6455" s="62" t="s">
        <v>60</v>
      </c>
      <c r="D6455" s="62" t="s">
        <v>387</v>
      </c>
      <c r="E6455" s="62" t="s">
        <v>72</v>
      </c>
      <c r="F6455" s="62" t="s">
        <v>382</v>
      </c>
      <c r="G6455" s="63" t="s">
        <v>655</v>
      </c>
      <c r="H6455" s="64" t="n">
        <v>73742420476.2369</v>
      </c>
      <c r="I6455" s="62" t="s">
        <v>81</v>
      </c>
      <c r="J6455" s="64" t="n">
        <v>73742420.4762369</v>
      </c>
      <c r="K6455" s="62" t="s">
        <v>138</v>
      </c>
      <c r="L6455" s="68" t="b">
        <f aca="false">FALSE()</f>
        <v>0</v>
      </c>
    </row>
    <row r="6456" customFormat="false" ht="15" hidden="false" customHeight="false" outlineLevel="0" collapsed="false">
      <c r="A6456" s="62" t="n">
        <v>1</v>
      </c>
      <c r="B6456" s="21" t="s">
        <v>336</v>
      </c>
      <c r="C6456" s="62" t="s">
        <v>60</v>
      </c>
      <c r="D6456" s="62" t="s">
        <v>388</v>
      </c>
      <c r="E6456" s="62" t="s">
        <v>72</v>
      </c>
      <c r="F6456" s="62" t="s">
        <v>382</v>
      </c>
      <c r="G6456" s="63" t="s">
        <v>655</v>
      </c>
      <c r="H6456" s="64" t="n">
        <v>38783269457.6908</v>
      </c>
      <c r="I6456" s="62" t="s">
        <v>81</v>
      </c>
      <c r="J6456" s="64" t="n">
        <v>38783269.4576908</v>
      </c>
      <c r="K6456" s="62" t="s">
        <v>138</v>
      </c>
      <c r="L6456" s="68" t="b">
        <f aca="false">FALSE()</f>
        <v>0</v>
      </c>
    </row>
    <row r="6457" customFormat="false" ht="15" hidden="false" customHeight="false" outlineLevel="0" collapsed="false">
      <c r="A6457" s="62" t="n">
        <v>1</v>
      </c>
      <c r="B6457" s="21" t="s">
        <v>336</v>
      </c>
      <c r="C6457" s="62" t="s">
        <v>60</v>
      </c>
      <c r="D6457" s="62" t="s">
        <v>381</v>
      </c>
      <c r="E6457" s="62" t="s">
        <v>72</v>
      </c>
      <c r="F6457" s="62" t="s">
        <v>382</v>
      </c>
      <c r="G6457" s="63" t="s">
        <v>656</v>
      </c>
      <c r="H6457" s="64" t="s">
        <v>57</v>
      </c>
      <c r="I6457" s="62" t="s">
        <v>138</v>
      </c>
      <c r="J6457" s="64" t="s">
        <v>57</v>
      </c>
      <c r="K6457" s="62" t="s">
        <v>138</v>
      </c>
      <c r="L6457" s="68" t="b">
        <f aca="false">TRUE()</f>
        <v>1</v>
      </c>
    </row>
    <row r="6458" customFormat="false" ht="15" hidden="false" customHeight="false" outlineLevel="0" collapsed="false">
      <c r="A6458" s="62" t="n">
        <v>1</v>
      </c>
      <c r="B6458" s="21" t="s">
        <v>336</v>
      </c>
      <c r="C6458" s="62" t="s">
        <v>60</v>
      </c>
      <c r="D6458" s="62" t="s">
        <v>383</v>
      </c>
      <c r="E6458" s="62" t="s">
        <v>72</v>
      </c>
      <c r="F6458" s="62" t="s">
        <v>382</v>
      </c>
      <c r="G6458" s="63" t="s">
        <v>656</v>
      </c>
      <c r="H6458" s="64" t="s">
        <v>748</v>
      </c>
      <c r="I6458" s="62" t="s">
        <v>138</v>
      </c>
      <c r="J6458" s="64" t="s">
        <v>748</v>
      </c>
      <c r="K6458" s="62" t="s">
        <v>138</v>
      </c>
      <c r="L6458" s="68" t="b">
        <f aca="false">TRUE()</f>
        <v>1</v>
      </c>
    </row>
    <row r="6459" customFormat="false" ht="15" hidden="false" customHeight="false" outlineLevel="0" collapsed="false">
      <c r="A6459" s="62" t="n">
        <v>1</v>
      </c>
      <c r="B6459" s="21" t="s">
        <v>336</v>
      </c>
      <c r="C6459" s="62" t="s">
        <v>60</v>
      </c>
      <c r="D6459" s="62" t="s">
        <v>384</v>
      </c>
      <c r="E6459" s="62" t="s">
        <v>72</v>
      </c>
      <c r="F6459" s="62" t="s">
        <v>382</v>
      </c>
      <c r="G6459" s="63" t="s">
        <v>656</v>
      </c>
      <c r="H6459" s="64" t="s">
        <v>748</v>
      </c>
      <c r="I6459" s="62" t="s">
        <v>138</v>
      </c>
      <c r="J6459" s="64" t="s">
        <v>748</v>
      </c>
      <c r="K6459" s="62" t="s">
        <v>138</v>
      </c>
      <c r="L6459" s="68" t="b">
        <f aca="false">TRUE()</f>
        <v>1</v>
      </c>
    </row>
    <row r="6460" customFormat="false" ht="15" hidden="false" customHeight="false" outlineLevel="0" collapsed="false">
      <c r="A6460" s="62" t="n">
        <v>1</v>
      </c>
      <c r="B6460" s="21" t="s">
        <v>336</v>
      </c>
      <c r="C6460" s="62" t="s">
        <v>60</v>
      </c>
      <c r="D6460" s="62" t="s">
        <v>385</v>
      </c>
      <c r="E6460" s="62" t="s">
        <v>72</v>
      </c>
      <c r="F6460" s="62" t="s">
        <v>382</v>
      </c>
      <c r="G6460" s="63" t="s">
        <v>656</v>
      </c>
      <c r="H6460" s="64" t="s">
        <v>748</v>
      </c>
      <c r="I6460" s="62" t="s">
        <v>138</v>
      </c>
      <c r="J6460" s="64" t="s">
        <v>748</v>
      </c>
      <c r="K6460" s="62" t="s">
        <v>138</v>
      </c>
      <c r="L6460" s="68" t="b">
        <f aca="false">TRUE()</f>
        <v>1</v>
      </c>
    </row>
    <row r="6461" customFormat="false" ht="15" hidden="false" customHeight="false" outlineLevel="0" collapsed="false">
      <c r="A6461" s="62" t="n">
        <v>1</v>
      </c>
      <c r="B6461" s="21" t="s">
        <v>336</v>
      </c>
      <c r="C6461" s="62" t="s">
        <v>60</v>
      </c>
      <c r="D6461" s="62" t="s">
        <v>386</v>
      </c>
      <c r="E6461" s="62" t="s">
        <v>72</v>
      </c>
      <c r="F6461" s="62" t="s">
        <v>382</v>
      </c>
      <c r="G6461" s="63" t="s">
        <v>656</v>
      </c>
      <c r="H6461" s="64" t="s">
        <v>57</v>
      </c>
      <c r="I6461" s="62" t="s">
        <v>138</v>
      </c>
      <c r="J6461" s="64" t="s">
        <v>57</v>
      </c>
      <c r="K6461" s="62" t="s">
        <v>138</v>
      </c>
      <c r="L6461" s="68" t="b">
        <f aca="false">TRUE()</f>
        <v>1</v>
      </c>
    </row>
    <row r="6462" customFormat="false" ht="15" hidden="false" customHeight="false" outlineLevel="0" collapsed="false">
      <c r="A6462" s="62" t="n">
        <v>1</v>
      </c>
      <c r="B6462" s="21" t="s">
        <v>336</v>
      </c>
      <c r="C6462" s="62" t="s">
        <v>60</v>
      </c>
      <c r="D6462" s="62" t="s">
        <v>387</v>
      </c>
      <c r="E6462" s="62" t="s">
        <v>72</v>
      </c>
      <c r="F6462" s="62" t="s">
        <v>382</v>
      </c>
      <c r="G6462" s="63" t="s">
        <v>656</v>
      </c>
      <c r="H6462" s="64" t="s">
        <v>749</v>
      </c>
      <c r="I6462" s="62" t="s">
        <v>138</v>
      </c>
      <c r="J6462" s="64" t="s">
        <v>749</v>
      </c>
      <c r="K6462" s="62" t="s">
        <v>138</v>
      </c>
      <c r="L6462" s="68" t="b">
        <f aca="false">TRUE()</f>
        <v>1</v>
      </c>
    </row>
    <row r="6463" customFormat="false" ht="15" hidden="false" customHeight="false" outlineLevel="0" collapsed="false">
      <c r="A6463" s="62" t="n">
        <v>1</v>
      </c>
      <c r="B6463" s="21" t="s">
        <v>336</v>
      </c>
      <c r="C6463" s="62" t="s">
        <v>60</v>
      </c>
      <c r="D6463" s="62" t="s">
        <v>388</v>
      </c>
      <c r="E6463" s="62" t="s">
        <v>72</v>
      </c>
      <c r="F6463" s="62" t="s">
        <v>382</v>
      </c>
      <c r="G6463" s="63" t="s">
        <v>656</v>
      </c>
      <c r="H6463" s="64" t="s">
        <v>750</v>
      </c>
      <c r="I6463" s="62" t="s">
        <v>138</v>
      </c>
      <c r="J6463" s="64" t="s">
        <v>750</v>
      </c>
      <c r="K6463" s="62" t="s">
        <v>138</v>
      </c>
      <c r="L6463" s="68" t="b">
        <f aca="false">TRUE()</f>
        <v>1</v>
      </c>
    </row>
    <row r="6464" customFormat="false" ht="15" hidden="false" customHeight="false" outlineLevel="0" collapsed="false">
      <c r="A6464" s="62" t="n">
        <v>1</v>
      </c>
      <c r="B6464" s="21" t="s">
        <v>336</v>
      </c>
      <c r="C6464" s="62" t="s">
        <v>60</v>
      </c>
      <c r="D6464" s="62" t="s">
        <v>381</v>
      </c>
      <c r="E6464" s="62" t="s">
        <v>72</v>
      </c>
      <c r="F6464" s="62" t="s">
        <v>382</v>
      </c>
      <c r="G6464" s="63" t="s">
        <v>657</v>
      </c>
      <c r="H6464" s="64" t="n">
        <v>47070324147.9636</v>
      </c>
      <c r="I6464" s="62" t="s">
        <v>81</v>
      </c>
      <c r="J6464" s="64" t="n">
        <v>47070324.1479636</v>
      </c>
      <c r="K6464" s="62" t="s">
        <v>138</v>
      </c>
      <c r="L6464" s="68" t="b">
        <f aca="false">FALSE()</f>
        <v>0</v>
      </c>
    </row>
    <row r="6465" customFormat="false" ht="15" hidden="false" customHeight="false" outlineLevel="0" collapsed="false">
      <c r="A6465" s="62" t="n">
        <v>1</v>
      </c>
      <c r="B6465" s="21" t="s">
        <v>336</v>
      </c>
      <c r="C6465" s="62" t="s">
        <v>60</v>
      </c>
      <c r="D6465" s="62" t="s">
        <v>383</v>
      </c>
      <c r="E6465" s="62" t="s">
        <v>72</v>
      </c>
      <c r="F6465" s="62" t="s">
        <v>382</v>
      </c>
      <c r="G6465" s="63" t="s">
        <v>657</v>
      </c>
      <c r="H6465" s="64" t="n">
        <v>56775447763.9547</v>
      </c>
      <c r="I6465" s="62" t="s">
        <v>81</v>
      </c>
      <c r="J6465" s="64" t="n">
        <v>56775447.7639547</v>
      </c>
      <c r="K6465" s="62" t="s">
        <v>138</v>
      </c>
      <c r="L6465" s="68" t="b">
        <f aca="false">FALSE()</f>
        <v>0</v>
      </c>
    </row>
    <row r="6466" customFormat="false" ht="15" hidden="false" customHeight="false" outlineLevel="0" collapsed="false">
      <c r="A6466" s="62" t="n">
        <v>1</v>
      </c>
      <c r="B6466" s="21" t="s">
        <v>336</v>
      </c>
      <c r="C6466" s="62" t="s">
        <v>60</v>
      </c>
      <c r="D6466" s="62" t="s">
        <v>384</v>
      </c>
      <c r="E6466" s="62" t="s">
        <v>72</v>
      </c>
      <c r="F6466" s="62" t="s">
        <v>382</v>
      </c>
      <c r="G6466" s="63" t="s">
        <v>657</v>
      </c>
      <c r="H6466" s="64" t="n">
        <v>49342650460.1956</v>
      </c>
      <c r="I6466" s="62" t="s">
        <v>81</v>
      </c>
      <c r="J6466" s="64" t="n">
        <v>49342650.4601956</v>
      </c>
      <c r="K6466" s="62" t="s">
        <v>138</v>
      </c>
      <c r="L6466" s="68" t="b">
        <f aca="false">FALSE()</f>
        <v>0</v>
      </c>
    </row>
    <row r="6467" customFormat="false" ht="15" hidden="false" customHeight="false" outlineLevel="0" collapsed="false">
      <c r="A6467" s="62" t="n">
        <v>1</v>
      </c>
      <c r="B6467" s="21" t="s">
        <v>336</v>
      </c>
      <c r="C6467" s="62" t="s">
        <v>60</v>
      </c>
      <c r="D6467" s="62" t="s">
        <v>385</v>
      </c>
      <c r="E6467" s="62" t="s">
        <v>72</v>
      </c>
      <c r="F6467" s="62" t="s">
        <v>382</v>
      </c>
      <c r="G6467" s="63" t="s">
        <v>657</v>
      </c>
      <c r="H6467" s="64" t="n">
        <v>40337937733.6682</v>
      </c>
      <c r="I6467" s="62" t="s">
        <v>81</v>
      </c>
      <c r="J6467" s="64" t="n">
        <v>40337937.7336682</v>
      </c>
      <c r="K6467" s="62" t="s">
        <v>138</v>
      </c>
      <c r="L6467" s="68" t="b">
        <f aca="false">FALSE()</f>
        <v>0</v>
      </c>
    </row>
    <row r="6468" customFormat="false" ht="15" hidden="false" customHeight="false" outlineLevel="0" collapsed="false">
      <c r="A6468" s="62" t="n">
        <v>1</v>
      </c>
      <c r="B6468" s="21" t="s">
        <v>336</v>
      </c>
      <c r="C6468" s="62" t="s">
        <v>60</v>
      </c>
      <c r="D6468" s="62" t="s">
        <v>386</v>
      </c>
      <c r="E6468" s="62" t="s">
        <v>72</v>
      </c>
      <c r="F6468" s="62" t="s">
        <v>382</v>
      </c>
      <c r="G6468" s="63" t="s">
        <v>657</v>
      </c>
      <c r="H6468" s="64" t="n">
        <v>47602850265.6092</v>
      </c>
      <c r="I6468" s="62" t="s">
        <v>81</v>
      </c>
      <c r="J6468" s="64" t="n">
        <v>47602850.2656092</v>
      </c>
      <c r="K6468" s="62" t="s">
        <v>138</v>
      </c>
      <c r="L6468" s="68" t="b">
        <f aca="false">FALSE()</f>
        <v>0</v>
      </c>
    </row>
    <row r="6469" customFormat="false" ht="15" hidden="false" customHeight="false" outlineLevel="0" collapsed="false">
      <c r="A6469" s="62" t="n">
        <v>1</v>
      </c>
      <c r="B6469" s="21" t="s">
        <v>336</v>
      </c>
      <c r="C6469" s="62" t="s">
        <v>60</v>
      </c>
      <c r="D6469" s="62" t="s">
        <v>387</v>
      </c>
      <c r="E6469" s="62" t="s">
        <v>72</v>
      </c>
      <c r="F6469" s="62" t="s">
        <v>382</v>
      </c>
      <c r="G6469" s="63" t="s">
        <v>657</v>
      </c>
      <c r="H6469" s="64" t="n">
        <v>50616552788.0302</v>
      </c>
      <c r="I6469" s="62" t="s">
        <v>81</v>
      </c>
      <c r="J6469" s="64" t="n">
        <v>50616552.7880302</v>
      </c>
      <c r="K6469" s="62" t="s">
        <v>138</v>
      </c>
      <c r="L6469" s="68" t="b">
        <f aca="false">FALSE()</f>
        <v>0</v>
      </c>
    </row>
    <row r="6470" customFormat="false" ht="15" hidden="false" customHeight="false" outlineLevel="0" collapsed="false">
      <c r="A6470" s="62" t="n">
        <v>1</v>
      </c>
      <c r="B6470" s="21" t="s">
        <v>336</v>
      </c>
      <c r="C6470" s="62" t="s">
        <v>60</v>
      </c>
      <c r="D6470" s="62" t="s">
        <v>388</v>
      </c>
      <c r="E6470" s="62" t="s">
        <v>72</v>
      </c>
      <c r="F6470" s="62" t="s">
        <v>382</v>
      </c>
      <c r="G6470" s="63" t="s">
        <v>657</v>
      </c>
      <c r="H6470" s="64" t="n">
        <v>32890006513.4365</v>
      </c>
      <c r="I6470" s="62" t="s">
        <v>81</v>
      </c>
      <c r="J6470" s="64" t="n">
        <v>32890006.5134365</v>
      </c>
      <c r="K6470" s="62" t="s">
        <v>138</v>
      </c>
      <c r="L6470" s="68" t="b">
        <f aca="false">FALSE()</f>
        <v>0</v>
      </c>
    </row>
    <row r="6471" customFormat="false" ht="15" hidden="false" customHeight="false" outlineLevel="0" collapsed="false">
      <c r="A6471" s="62" t="n">
        <v>1</v>
      </c>
      <c r="B6471" s="21" t="s">
        <v>336</v>
      </c>
      <c r="C6471" s="62" t="s">
        <v>60</v>
      </c>
      <c r="D6471" s="62" t="s">
        <v>381</v>
      </c>
      <c r="E6471" s="62" t="s">
        <v>72</v>
      </c>
      <c r="F6471" s="62" t="s">
        <v>382</v>
      </c>
      <c r="G6471" s="63" t="s">
        <v>658</v>
      </c>
      <c r="H6471" s="64" t="n">
        <v>1088285979.39674</v>
      </c>
      <c r="I6471" s="62" t="s">
        <v>81</v>
      </c>
      <c r="J6471" s="64" t="n">
        <v>1088285.97939674</v>
      </c>
      <c r="K6471" s="62" t="s">
        <v>138</v>
      </c>
      <c r="L6471" s="68" t="b">
        <f aca="false">FALSE()</f>
        <v>0</v>
      </c>
    </row>
    <row r="6472" customFormat="false" ht="15" hidden="false" customHeight="false" outlineLevel="0" collapsed="false">
      <c r="A6472" s="62" t="n">
        <v>1</v>
      </c>
      <c r="B6472" s="21" t="s">
        <v>336</v>
      </c>
      <c r="C6472" s="62" t="s">
        <v>60</v>
      </c>
      <c r="D6472" s="62" t="s">
        <v>383</v>
      </c>
      <c r="E6472" s="62" t="s">
        <v>72</v>
      </c>
      <c r="F6472" s="62" t="s">
        <v>382</v>
      </c>
      <c r="G6472" s="63" t="s">
        <v>658</v>
      </c>
      <c r="H6472" s="64" t="n">
        <v>6529568830.8231</v>
      </c>
      <c r="I6472" s="62" t="s">
        <v>81</v>
      </c>
      <c r="J6472" s="64" t="n">
        <v>6529568.8308231</v>
      </c>
      <c r="K6472" s="62" t="s">
        <v>138</v>
      </c>
      <c r="L6472" s="68" t="b">
        <f aca="false">FALSE()</f>
        <v>0</v>
      </c>
    </row>
    <row r="6473" customFormat="false" ht="15" hidden="false" customHeight="false" outlineLevel="0" collapsed="false">
      <c r="A6473" s="62" t="n">
        <v>1</v>
      </c>
      <c r="B6473" s="21" t="s">
        <v>336</v>
      </c>
      <c r="C6473" s="62" t="s">
        <v>60</v>
      </c>
      <c r="D6473" s="62" t="s">
        <v>384</v>
      </c>
      <c r="E6473" s="62" t="s">
        <v>72</v>
      </c>
      <c r="F6473" s="62" t="s">
        <v>382</v>
      </c>
      <c r="G6473" s="63" t="s">
        <v>658</v>
      </c>
      <c r="H6473" s="64" t="n">
        <v>4285328445.15603</v>
      </c>
      <c r="I6473" s="62" t="s">
        <v>81</v>
      </c>
      <c r="J6473" s="64" t="n">
        <v>4285328.44515603</v>
      </c>
      <c r="K6473" s="62" t="s">
        <v>138</v>
      </c>
      <c r="L6473" s="68" t="b">
        <f aca="false">FALSE()</f>
        <v>0</v>
      </c>
    </row>
    <row r="6474" customFormat="false" ht="15" hidden="false" customHeight="false" outlineLevel="0" collapsed="false">
      <c r="A6474" s="62" t="n">
        <v>1</v>
      </c>
      <c r="B6474" s="21" t="s">
        <v>336</v>
      </c>
      <c r="C6474" s="62" t="s">
        <v>60</v>
      </c>
      <c r="D6474" s="62" t="s">
        <v>385</v>
      </c>
      <c r="E6474" s="62" t="s">
        <v>72</v>
      </c>
      <c r="F6474" s="62" t="s">
        <v>382</v>
      </c>
      <c r="G6474" s="63" t="s">
        <v>658</v>
      </c>
      <c r="H6474" s="64" t="n">
        <v>5645546481.23295</v>
      </c>
      <c r="I6474" s="62" t="s">
        <v>81</v>
      </c>
      <c r="J6474" s="64" t="n">
        <v>5645546.48123295</v>
      </c>
      <c r="K6474" s="62" t="s">
        <v>138</v>
      </c>
      <c r="L6474" s="68" t="b">
        <f aca="false">FALSE()</f>
        <v>0</v>
      </c>
    </row>
    <row r="6475" customFormat="false" ht="15" hidden="false" customHeight="false" outlineLevel="0" collapsed="false">
      <c r="A6475" s="62" t="n">
        <v>1</v>
      </c>
      <c r="B6475" s="21" t="s">
        <v>336</v>
      </c>
      <c r="C6475" s="62" t="s">
        <v>60</v>
      </c>
      <c r="D6475" s="62" t="s">
        <v>386</v>
      </c>
      <c r="E6475" s="62" t="s">
        <v>72</v>
      </c>
      <c r="F6475" s="62" t="s">
        <v>382</v>
      </c>
      <c r="G6475" s="63" t="s">
        <v>658</v>
      </c>
      <c r="H6475" s="64" t="n">
        <v>8483465057.50508</v>
      </c>
      <c r="I6475" s="62" t="s">
        <v>81</v>
      </c>
      <c r="J6475" s="64" t="n">
        <v>8483465.05750508</v>
      </c>
      <c r="K6475" s="62" t="s">
        <v>138</v>
      </c>
      <c r="L6475" s="68" t="b">
        <f aca="false">FALSE()</f>
        <v>0</v>
      </c>
    </row>
    <row r="6476" customFormat="false" ht="15" hidden="false" customHeight="false" outlineLevel="0" collapsed="false">
      <c r="A6476" s="62" t="n">
        <v>1</v>
      </c>
      <c r="B6476" s="21" t="s">
        <v>336</v>
      </c>
      <c r="C6476" s="62" t="s">
        <v>60</v>
      </c>
      <c r="D6476" s="62" t="s">
        <v>387</v>
      </c>
      <c r="E6476" s="62" t="s">
        <v>72</v>
      </c>
      <c r="F6476" s="62" t="s">
        <v>382</v>
      </c>
      <c r="G6476" s="63" t="s">
        <v>658</v>
      </c>
      <c r="H6476" s="64" t="n">
        <v>1456692122.9635</v>
      </c>
      <c r="I6476" s="62" t="s">
        <v>81</v>
      </c>
      <c r="J6476" s="64" t="n">
        <v>1456692.1229635</v>
      </c>
      <c r="K6476" s="62" t="s">
        <v>138</v>
      </c>
      <c r="L6476" s="68" t="b">
        <f aca="false">FALSE()</f>
        <v>0</v>
      </c>
    </row>
    <row r="6477" customFormat="false" ht="15" hidden="false" customHeight="false" outlineLevel="0" collapsed="false">
      <c r="A6477" s="62" t="n">
        <v>1</v>
      </c>
      <c r="B6477" s="21" t="s">
        <v>336</v>
      </c>
      <c r="C6477" s="62" t="s">
        <v>60</v>
      </c>
      <c r="D6477" s="62" t="s">
        <v>388</v>
      </c>
      <c r="E6477" s="62" t="s">
        <v>72</v>
      </c>
      <c r="F6477" s="62" t="s">
        <v>382</v>
      </c>
      <c r="G6477" s="63" t="s">
        <v>658</v>
      </c>
      <c r="H6477" s="64" t="n">
        <v>5653981254.4543</v>
      </c>
      <c r="I6477" s="62" t="s">
        <v>81</v>
      </c>
      <c r="J6477" s="64" t="n">
        <v>5653981.2544543</v>
      </c>
      <c r="K6477" s="62" t="s">
        <v>138</v>
      </c>
      <c r="L6477" s="68" t="b">
        <f aca="false">FALSE()</f>
        <v>0</v>
      </c>
    </row>
    <row r="6478" customFormat="false" ht="15" hidden="false" customHeight="false" outlineLevel="0" collapsed="false">
      <c r="A6478" s="62" t="n">
        <v>1</v>
      </c>
      <c r="B6478" s="21" t="s">
        <v>336</v>
      </c>
      <c r="C6478" s="62" t="s">
        <v>60</v>
      </c>
      <c r="D6478" s="62" t="s">
        <v>381</v>
      </c>
      <c r="E6478" s="62" t="s">
        <v>72</v>
      </c>
      <c r="F6478" s="62" t="s">
        <v>382</v>
      </c>
      <c r="G6478" s="63" t="s">
        <v>659</v>
      </c>
      <c r="H6478" s="64" t="n">
        <v>-9350905615.5085</v>
      </c>
      <c r="I6478" s="62" t="s">
        <v>81</v>
      </c>
      <c r="J6478" s="64" t="n">
        <v>-9350905.6155085</v>
      </c>
      <c r="K6478" s="62" t="s">
        <v>138</v>
      </c>
      <c r="L6478" s="68" t="b">
        <f aca="false">FALSE()</f>
        <v>0</v>
      </c>
    </row>
    <row r="6479" customFormat="false" ht="15" hidden="false" customHeight="false" outlineLevel="0" collapsed="false">
      <c r="A6479" s="62" t="n">
        <v>1</v>
      </c>
      <c r="B6479" s="21" t="s">
        <v>336</v>
      </c>
      <c r="C6479" s="62" t="s">
        <v>60</v>
      </c>
      <c r="D6479" s="62" t="s">
        <v>383</v>
      </c>
      <c r="E6479" s="62" t="s">
        <v>72</v>
      </c>
      <c r="F6479" s="62" t="s">
        <v>382</v>
      </c>
      <c r="G6479" s="63" t="s">
        <v>659</v>
      </c>
      <c r="H6479" s="64" t="n">
        <v>-7679643420.69433</v>
      </c>
      <c r="I6479" s="62" t="s">
        <v>81</v>
      </c>
      <c r="J6479" s="64" t="n">
        <v>-7679643.42069433</v>
      </c>
      <c r="K6479" s="62" t="s">
        <v>138</v>
      </c>
      <c r="L6479" s="68" t="b">
        <f aca="false">FALSE()</f>
        <v>0</v>
      </c>
    </row>
    <row r="6480" customFormat="false" ht="15" hidden="false" customHeight="false" outlineLevel="0" collapsed="false">
      <c r="A6480" s="62" t="n">
        <v>1</v>
      </c>
      <c r="B6480" s="21" t="s">
        <v>336</v>
      </c>
      <c r="C6480" s="62" t="s">
        <v>60</v>
      </c>
      <c r="D6480" s="62" t="s">
        <v>384</v>
      </c>
      <c r="E6480" s="62" t="s">
        <v>72</v>
      </c>
      <c r="F6480" s="62" t="s">
        <v>382</v>
      </c>
      <c r="G6480" s="63" t="s">
        <v>659</v>
      </c>
      <c r="H6480" s="64" t="n">
        <v>-6204191621.82067</v>
      </c>
      <c r="I6480" s="62" t="s">
        <v>81</v>
      </c>
      <c r="J6480" s="64" t="n">
        <v>-6204191.62182067</v>
      </c>
      <c r="K6480" s="62" t="s">
        <v>138</v>
      </c>
      <c r="L6480" s="68" t="b">
        <f aca="false">FALSE()</f>
        <v>0</v>
      </c>
    </row>
    <row r="6481" customFormat="false" ht="15" hidden="false" customHeight="false" outlineLevel="0" collapsed="false">
      <c r="A6481" s="62" t="n">
        <v>1</v>
      </c>
      <c r="B6481" s="21" t="s">
        <v>336</v>
      </c>
      <c r="C6481" s="62" t="s">
        <v>60</v>
      </c>
      <c r="D6481" s="62" t="s">
        <v>385</v>
      </c>
      <c r="E6481" s="62" t="s">
        <v>72</v>
      </c>
      <c r="F6481" s="62" t="s">
        <v>382</v>
      </c>
      <c r="G6481" s="63" t="s">
        <v>659</v>
      </c>
      <c r="H6481" s="64" t="n">
        <v>-9559270699.01834</v>
      </c>
      <c r="I6481" s="62" t="s">
        <v>81</v>
      </c>
      <c r="J6481" s="64" t="n">
        <v>-9559270.69901834</v>
      </c>
      <c r="K6481" s="62" t="s">
        <v>138</v>
      </c>
      <c r="L6481" s="68" t="b">
        <f aca="false">FALSE()</f>
        <v>0</v>
      </c>
    </row>
    <row r="6482" customFormat="false" ht="15" hidden="false" customHeight="false" outlineLevel="0" collapsed="false">
      <c r="A6482" s="62" t="n">
        <v>1</v>
      </c>
      <c r="B6482" s="21" t="s">
        <v>336</v>
      </c>
      <c r="C6482" s="62" t="s">
        <v>60</v>
      </c>
      <c r="D6482" s="62" t="s">
        <v>386</v>
      </c>
      <c r="E6482" s="62" t="s">
        <v>72</v>
      </c>
      <c r="F6482" s="62" t="s">
        <v>382</v>
      </c>
      <c r="G6482" s="63" t="s">
        <v>659</v>
      </c>
      <c r="H6482" s="64" t="n">
        <v>-10880182450.6776</v>
      </c>
      <c r="I6482" s="62" t="s">
        <v>81</v>
      </c>
      <c r="J6482" s="64" t="n">
        <v>-10880182.4506776</v>
      </c>
      <c r="K6482" s="62" t="s">
        <v>138</v>
      </c>
      <c r="L6482" s="68" t="b">
        <f aca="false">FALSE()</f>
        <v>0</v>
      </c>
    </row>
    <row r="6483" customFormat="false" ht="15" hidden="false" customHeight="false" outlineLevel="0" collapsed="false">
      <c r="A6483" s="62" t="n">
        <v>1</v>
      </c>
      <c r="B6483" s="21" t="s">
        <v>336</v>
      </c>
      <c r="C6483" s="62" t="s">
        <v>60</v>
      </c>
      <c r="D6483" s="62" t="s">
        <v>387</v>
      </c>
      <c r="E6483" s="62" t="s">
        <v>72</v>
      </c>
      <c r="F6483" s="62" t="s">
        <v>382</v>
      </c>
      <c r="G6483" s="63" t="s">
        <v>659</v>
      </c>
      <c r="H6483" s="64" t="n">
        <v>400000000</v>
      </c>
      <c r="I6483" s="62" t="s">
        <v>81</v>
      </c>
      <c r="J6483" s="64" t="n">
        <v>400000</v>
      </c>
      <c r="K6483" s="62" t="s">
        <v>138</v>
      </c>
      <c r="L6483" s="68" t="b">
        <f aca="false">FALSE()</f>
        <v>0</v>
      </c>
    </row>
    <row r="6484" customFormat="false" ht="15" hidden="false" customHeight="false" outlineLevel="0" collapsed="false">
      <c r="A6484" s="62" t="n">
        <v>1</v>
      </c>
      <c r="B6484" s="21" t="s">
        <v>336</v>
      </c>
      <c r="C6484" s="62" t="s">
        <v>60</v>
      </c>
      <c r="D6484" s="62" t="s">
        <v>388</v>
      </c>
      <c r="E6484" s="62" t="s">
        <v>72</v>
      </c>
      <c r="F6484" s="62" t="s">
        <v>382</v>
      </c>
      <c r="G6484" s="63" t="s">
        <v>659</v>
      </c>
      <c r="H6484" s="64" t="n">
        <v>-6957895262.05261</v>
      </c>
      <c r="I6484" s="62" t="s">
        <v>81</v>
      </c>
      <c r="J6484" s="64" t="n">
        <v>-6957895.26205261</v>
      </c>
      <c r="K6484" s="62" t="s">
        <v>138</v>
      </c>
      <c r="L6484" s="68" t="b">
        <f aca="false">FALSE()</f>
        <v>0</v>
      </c>
    </row>
    <row r="6485" customFormat="false" ht="15" hidden="false" customHeight="false" outlineLevel="0" collapsed="false">
      <c r="A6485" s="62" t="n">
        <v>1</v>
      </c>
      <c r="B6485" s="21" t="s">
        <v>336</v>
      </c>
      <c r="C6485" s="62" t="s">
        <v>60</v>
      </c>
      <c r="D6485" s="62" t="s">
        <v>381</v>
      </c>
      <c r="E6485" s="62" t="s">
        <v>72</v>
      </c>
      <c r="F6485" s="62" t="s">
        <v>382</v>
      </c>
      <c r="G6485" s="63" t="s">
        <v>660</v>
      </c>
      <c r="H6485" s="64" t="n">
        <v>38807704511.8518</v>
      </c>
      <c r="I6485" s="62" t="s">
        <v>81</v>
      </c>
      <c r="J6485" s="64" t="n">
        <v>38807704.5118518</v>
      </c>
      <c r="K6485" s="62" t="s">
        <v>138</v>
      </c>
      <c r="L6485" s="68" t="b">
        <f aca="false">FALSE()</f>
        <v>0</v>
      </c>
    </row>
    <row r="6486" customFormat="false" ht="15" hidden="false" customHeight="false" outlineLevel="0" collapsed="false">
      <c r="A6486" s="62" t="n">
        <v>1</v>
      </c>
      <c r="B6486" s="21" t="s">
        <v>336</v>
      </c>
      <c r="C6486" s="62" t="s">
        <v>60</v>
      </c>
      <c r="D6486" s="62" t="s">
        <v>383</v>
      </c>
      <c r="E6486" s="62" t="s">
        <v>72</v>
      </c>
      <c r="F6486" s="62" t="s">
        <v>382</v>
      </c>
      <c r="G6486" s="63" t="s">
        <v>660</v>
      </c>
      <c r="H6486" s="64" t="n">
        <v>55625373174.0834</v>
      </c>
      <c r="I6486" s="62" t="s">
        <v>81</v>
      </c>
      <c r="J6486" s="64" t="n">
        <v>55625373.1740834</v>
      </c>
      <c r="K6486" s="62" t="s">
        <v>138</v>
      </c>
      <c r="L6486" s="68" t="b">
        <f aca="false">FALSE()</f>
        <v>0</v>
      </c>
    </row>
    <row r="6487" customFormat="false" ht="15" hidden="false" customHeight="false" outlineLevel="0" collapsed="false">
      <c r="A6487" s="62" t="n">
        <v>1</v>
      </c>
      <c r="B6487" s="21" t="s">
        <v>336</v>
      </c>
      <c r="C6487" s="62" t="s">
        <v>60</v>
      </c>
      <c r="D6487" s="62" t="s">
        <v>384</v>
      </c>
      <c r="E6487" s="62" t="s">
        <v>72</v>
      </c>
      <c r="F6487" s="62" t="s">
        <v>382</v>
      </c>
      <c r="G6487" s="63" t="s">
        <v>660</v>
      </c>
      <c r="H6487" s="64" t="n">
        <v>47423787283.531</v>
      </c>
      <c r="I6487" s="62" t="s">
        <v>81</v>
      </c>
      <c r="J6487" s="64" t="n">
        <v>47423787.283531</v>
      </c>
      <c r="K6487" s="62" t="s">
        <v>138</v>
      </c>
      <c r="L6487" s="68" t="b">
        <f aca="false">FALSE()</f>
        <v>0</v>
      </c>
    </row>
    <row r="6488" customFormat="false" ht="15" hidden="false" customHeight="false" outlineLevel="0" collapsed="false">
      <c r="A6488" s="62" t="n">
        <v>1</v>
      </c>
      <c r="B6488" s="21" t="s">
        <v>336</v>
      </c>
      <c r="C6488" s="62" t="s">
        <v>60</v>
      </c>
      <c r="D6488" s="62" t="s">
        <v>385</v>
      </c>
      <c r="E6488" s="62" t="s">
        <v>72</v>
      </c>
      <c r="F6488" s="62" t="s">
        <v>382</v>
      </c>
      <c r="G6488" s="63" t="s">
        <v>660</v>
      </c>
      <c r="H6488" s="64" t="n">
        <v>36424213515.8828</v>
      </c>
      <c r="I6488" s="62" t="s">
        <v>81</v>
      </c>
      <c r="J6488" s="64" t="n">
        <v>36424213.5158828</v>
      </c>
      <c r="K6488" s="62" t="s">
        <v>138</v>
      </c>
      <c r="L6488" s="68" t="b">
        <f aca="false">FALSE()</f>
        <v>0</v>
      </c>
    </row>
    <row r="6489" customFormat="false" ht="15" hidden="false" customHeight="false" outlineLevel="0" collapsed="false">
      <c r="A6489" s="62" t="n">
        <v>1</v>
      </c>
      <c r="B6489" s="21" t="s">
        <v>336</v>
      </c>
      <c r="C6489" s="62" t="s">
        <v>60</v>
      </c>
      <c r="D6489" s="62" t="s">
        <v>386</v>
      </c>
      <c r="E6489" s="62" t="s">
        <v>72</v>
      </c>
      <c r="F6489" s="62" t="s">
        <v>382</v>
      </c>
      <c r="G6489" s="63" t="s">
        <v>660</v>
      </c>
      <c r="H6489" s="64" t="n">
        <v>45206132872.4367</v>
      </c>
      <c r="I6489" s="62" t="s">
        <v>81</v>
      </c>
      <c r="J6489" s="64" t="n">
        <v>45206132.8724367</v>
      </c>
      <c r="K6489" s="62" t="s">
        <v>138</v>
      </c>
      <c r="L6489" s="68" t="b">
        <f aca="false">FALSE()</f>
        <v>0</v>
      </c>
    </row>
    <row r="6490" customFormat="false" ht="15" hidden="false" customHeight="false" outlineLevel="0" collapsed="false">
      <c r="A6490" s="62" t="n">
        <v>1</v>
      </c>
      <c r="B6490" s="21" t="s">
        <v>336</v>
      </c>
      <c r="C6490" s="62" t="s">
        <v>60</v>
      </c>
      <c r="D6490" s="62" t="s">
        <v>387</v>
      </c>
      <c r="E6490" s="62" t="s">
        <v>72</v>
      </c>
      <c r="F6490" s="62" t="s">
        <v>382</v>
      </c>
      <c r="G6490" s="63" t="s">
        <v>660</v>
      </c>
      <c r="H6490" s="64" t="n">
        <v>52473244910.9937</v>
      </c>
      <c r="I6490" s="62" t="s">
        <v>81</v>
      </c>
      <c r="J6490" s="64" t="n">
        <v>52473244.9109937</v>
      </c>
      <c r="K6490" s="62" t="s">
        <v>138</v>
      </c>
      <c r="L6490" s="68" t="b">
        <f aca="false">FALSE()</f>
        <v>0</v>
      </c>
    </row>
    <row r="6491" customFormat="false" ht="15" hidden="false" customHeight="false" outlineLevel="0" collapsed="false">
      <c r="A6491" s="62" t="n">
        <v>1</v>
      </c>
      <c r="B6491" s="21" t="s">
        <v>336</v>
      </c>
      <c r="C6491" s="62" t="s">
        <v>60</v>
      </c>
      <c r="D6491" s="62" t="s">
        <v>388</v>
      </c>
      <c r="E6491" s="62" t="s">
        <v>72</v>
      </c>
      <c r="F6491" s="62" t="s">
        <v>382</v>
      </c>
      <c r="G6491" s="63" t="s">
        <v>660</v>
      </c>
      <c r="H6491" s="64" t="n">
        <v>31586092505.8382</v>
      </c>
      <c r="I6491" s="62" t="s">
        <v>81</v>
      </c>
      <c r="J6491" s="64" t="n">
        <v>31586092.5058382</v>
      </c>
      <c r="K6491" s="62" t="s">
        <v>138</v>
      </c>
      <c r="L6491" s="68" t="b">
        <f aca="false">FALSE()</f>
        <v>0</v>
      </c>
    </row>
    <row r="6492" customFormat="false" ht="15" hidden="false" customHeight="false" outlineLevel="0" collapsed="false">
      <c r="A6492" s="62" t="n">
        <v>1</v>
      </c>
      <c r="B6492" s="21" t="s">
        <v>336</v>
      </c>
      <c r="C6492" s="62" t="s">
        <v>60</v>
      </c>
      <c r="D6492" s="62" t="s">
        <v>381</v>
      </c>
      <c r="E6492" s="62" t="s">
        <v>72</v>
      </c>
      <c r="F6492" s="62" t="s">
        <v>382</v>
      </c>
      <c r="G6492" s="63" t="s">
        <v>661</v>
      </c>
      <c r="H6492" s="64" t="n">
        <v>25079313863.7447</v>
      </c>
      <c r="I6492" s="62" t="s">
        <v>81</v>
      </c>
      <c r="J6492" s="64" t="n">
        <v>25079313.8637447</v>
      </c>
      <c r="K6492" s="62" t="s">
        <v>138</v>
      </c>
      <c r="L6492" s="68" t="b">
        <f aca="false">FALSE()</f>
        <v>0</v>
      </c>
    </row>
    <row r="6493" customFormat="false" ht="15" hidden="false" customHeight="false" outlineLevel="0" collapsed="false">
      <c r="A6493" s="62" t="n">
        <v>1</v>
      </c>
      <c r="B6493" s="21" t="s">
        <v>336</v>
      </c>
      <c r="C6493" s="62" t="s">
        <v>60</v>
      </c>
      <c r="D6493" s="62" t="s">
        <v>383</v>
      </c>
      <c r="E6493" s="62" t="s">
        <v>72</v>
      </c>
      <c r="F6493" s="62" t="s">
        <v>382</v>
      </c>
      <c r="G6493" s="63" t="s">
        <v>661</v>
      </c>
      <c r="H6493" s="64" t="n">
        <v>24873224505.3945</v>
      </c>
      <c r="I6493" s="62" t="s">
        <v>81</v>
      </c>
      <c r="J6493" s="64" t="n">
        <v>24873224.5053945</v>
      </c>
      <c r="K6493" s="62" t="s">
        <v>138</v>
      </c>
      <c r="L6493" s="68" t="b">
        <f aca="false">FALSE()</f>
        <v>0</v>
      </c>
    </row>
    <row r="6494" customFormat="false" ht="15" hidden="false" customHeight="false" outlineLevel="0" collapsed="false">
      <c r="A6494" s="62" t="n">
        <v>1</v>
      </c>
      <c r="B6494" s="21" t="s">
        <v>336</v>
      </c>
      <c r="C6494" s="62" t="s">
        <v>60</v>
      </c>
      <c r="D6494" s="62" t="s">
        <v>384</v>
      </c>
      <c r="E6494" s="62" t="s">
        <v>72</v>
      </c>
      <c r="F6494" s="62" t="s">
        <v>382</v>
      </c>
      <c r="G6494" s="63" t="s">
        <v>661</v>
      </c>
      <c r="H6494" s="64" t="n">
        <v>21628837118.9364</v>
      </c>
      <c r="I6494" s="62" t="s">
        <v>81</v>
      </c>
      <c r="J6494" s="64" t="n">
        <v>21628837.1189364</v>
      </c>
      <c r="K6494" s="62" t="s">
        <v>138</v>
      </c>
      <c r="L6494" s="68" t="b">
        <f aca="false">FALSE()</f>
        <v>0</v>
      </c>
    </row>
    <row r="6495" customFormat="false" ht="15" hidden="false" customHeight="false" outlineLevel="0" collapsed="false">
      <c r="A6495" s="62" t="n">
        <v>1</v>
      </c>
      <c r="B6495" s="21" t="s">
        <v>336</v>
      </c>
      <c r="C6495" s="62" t="s">
        <v>60</v>
      </c>
      <c r="D6495" s="62" t="s">
        <v>385</v>
      </c>
      <c r="E6495" s="62" t="s">
        <v>72</v>
      </c>
      <c r="F6495" s="62" t="s">
        <v>382</v>
      </c>
      <c r="G6495" s="63" t="s">
        <v>661</v>
      </c>
      <c r="H6495" s="64" t="n">
        <v>20778584369.6174</v>
      </c>
      <c r="I6495" s="62" t="s">
        <v>81</v>
      </c>
      <c r="J6495" s="64" t="n">
        <v>20778584.3696174</v>
      </c>
      <c r="K6495" s="62" t="s">
        <v>138</v>
      </c>
      <c r="L6495" s="68" t="b">
        <f aca="false">FALSE()</f>
        <v>0</v>
      </c>
    </row>
    <row r="6496" customFormat="false" ht="15" hidden="false" customHeight="false" outlineLevel="0" collapsed="false">
      <c r="A6496" s="62" t="n">
        <v>1</v>
      </c>
      <c r="B6496" s="21" t="s">
        <v>336</v>
      </c>
      <c r="C6496" s="62" t="s">
        <v>60</v>
      </c>
      <c r="D6496" s="62" t="s">
        <v>386</v>
      </c>
      <c r="E6496" s="62" t="s">
        <v>72</v>
      </c>
      <c r="F6496" s="62" t="s">
        <v>382</v>
      </c>
      <c r="G6496" s="63" t="s">
        <v>661</v>
      </c>
      <c r="H6496" s="64" t="n">
        <v>21520309210.5554</v>
      </c>
      <c r="I6496" s="62" t="s">
        <v>81</v>
      </c>
      <c r="J6496" s="64" t="n">
        <v>21520309.2105554</v>
      </c>
      <c r="K6496" s="62" t="s">
        <v>138</v>
      </c>
      <c r="L6496" s="68" t="b">
        <f aca="false">FALSE()</f>
        <v>0</v>
      </c>
    </row>
    <row r="6497" customFormat="false" ht="15" hidden="false" customHeight="false" outlineLevel="0" collapsed="false">
      <c r="A6497" s="62" t="n">
        <v>1</v>
      </c>
      <c r="B6497" s="21" t="s">
        <v>336</v>
      </c>
      <c r="C6497" s="62" t="s">
        <v>60</v>
      </c>
      <c r="D6497" s="62" t="s">
        <v>387</v>
      </c>
      <c r="E6497" s="62" t="s">
        <v>72</v>
      </c>
      <c r="F6497" s="62" t="s">
        <v>382</v>
      </c>
      <c r="G6497" s="63" t="s">
        <v>661</v>
      </c>
      <c r="H6497" s="64" t="n">
        <v>23577444727.3919</v>
      </c>
      <c r="I6497" s="62" t="s">
        <v>81</v>
      </c>
      <c r="J6497" s="64" t="n">
        <v>23577444.7273919</v>
      </c>
      <c r="K6497" s="62" t="s">
        <v>138</v>
      </c>
      <c r="L6497" s="68" t="b">
        <f aca="false">FALSE()</f>
        <v>0</v>
      </c>
    </row>
    <row r="6498" customFormat="false" ht="15" hidden="false" customHeight="false" outlineLevel="0" collapsed="false">
      <c r="A6498" s="62" t="n">
        <v>1</v>
      </c>
      <c r="B6498" s="21" t="s">
        <v>336</v>
      </c>
      <c r="C6498" s="62" t="s">
        <v>60</v>
      </c>
      <c r="D6498" s="62" t="s">
        <v>388</v>
      </c>
      <c r="E6498" s="62" t="s">
        <v>72</v>
      </c>
      <c r="F6498" s="62" t="s">
        <v>382</v>
      </c>
      <c r="G6498" s="63" t="s">
        <v>661</v>
      </c>
      <c r="H6498" s="64" t="n">
        <v>21895293960.5554</v>
      </c>
      <c r="I6498" s="62" t="s">
        <v>81</v>
      </c>
      <c r="J6498" s="64" t="n">
        <v>21895293.9605554</v>
      </c>
      <c r="K6498" s="62" t="s">
        <v>138</v>
      </c>
      <c r="L6498" s="68" t="b">
        <f aca="false">FALSE()</f>
        <v>0</v>
      </c>
    </row>
    <row r="6499" customFormat="false" ht="15" hidden="false" customHeight="false" outlineLevel="0" collapsed="false">
      <c r="A6499" s="62" t="n">
        <v>1</v>
      </c>
      <c r="B6499" s="21" t="s">
        <v>336</v>
      </c>
      <c r="C6499" s="62" t="s">
        <v>60</v>
      </c>
      <c r="D6499" s="62" t="s">
        <v>381</v>
      </c>
      <c r="E6499" s="62" t="s">
        <v>72</v>
      </c>
      <c r="F6499" s="62" t="s">
        <v>382</v>
      </c>
      <c r="G6499" s="63" t="s">
        <v>662</v>
      </c>
      <c r="H6499" s="64" t="n">
        <v>13476.6227643917</v>
      </c>
      <c r="I6499" s="62" t="s">
        <v>81</v>
      </c>
      <c r="J6499" s="64" t="n">
        <v>13.4766227643917</v>
      </c>
      <c r="K6499" s="62" t="s">
        <v>138</v>
      </c>
      <c r="L6499" s="68" t="b">
        <f aca="false">FALSE()</f>
        <v>0</v>
      </c>
    </row>
    <row r="6500" customFormat="false" ht="15" hidden="false" customHeight="false" outlineLevel="0" collapsed="false">
      <c r="A6500" s="62" t="n">
        <v>1</v>
      </c>
      <c r="B6500" s="21" t="s">
        <v>336</v>
      </c>
      <c r="C6500" s="62" t="s">
        <v>60</v>
      </c>
      <c r="D6500" s="62" t="s">
        <v>383</v>
      </c>
      <c r="E6500" s="62" t="s">
        <v>72</v>
      </c>
      <c r="F6500" s="62" t="s">
        <v>382</v>
      </c>
      <c r="G6500" s="63" t="s">
        <v>662</v>
      </c>
      <c r="H6500" s="64" t="n">
        <v>15422.5603166691</v>
      </c>
      <c r="I6500" s="62" t="s">
        <v>81</v>
      </c>
      <c r="J6500" s="64" t="n">
        <v>15.4225603166691</v>
      </c>
      <c r="K6500" s="62" t="s">
        <v>138</v>
      </c>
      <c r="L6500" s="68" t="b">
        <f aca="false">FALSE()</f>
        <v>0</v>
      </c>
    </row>
    <row r="6501" customFormat="false" ht="15" hidden="false" customHeight="false" outlineLevel="0" collapsed="false">
      <c r="A6501" s="62" t="n">
        <v>1</v>
      </c>
      <c r="B6501" s="21" t="s">
        <v>336</v>
      </c>
      <c r="C6501" s="62" t="s">
        <v>60</v>
      </c>
      <c r="D6501" s="62" t="s">
        <v>384</v>
      </c>
      <c r="E6501" s="62" t="s">
        <v>72</v>
      </c>
      <c r="F6501" s="62" t="s">
        <v>382</v>
      </c>
      <c r="G6501" s="63" t="s">
        <v>662</v>
      </c>
      <c r="H6501" s="64" t="n">
        <v>16868.0009814184</v>
      </c>
      <c r="I6501" s="62" t="s">
        <v>81</v>
      </c>
      <c r="J6501" s="64" t="n">
        <v>16.8680009814184</v>
      </c>
      <c r="K6501" s="62" t="s">
        <v>138</v>
      </c>
      <c r="L6501" s="68" t="b">
        <f aca="false">FALSE()</f>
        <v>0</v>
      </c>
    </row>
    <row r="6502" customFormat="false" ht="15" hidden="false" customHeight="false" outlineLevel="0" collapsed="false">
      <c r="A6502" s="62" t="n">
        <v>1</v>
      </c>
      <c r="B6502" s="21" t="s">
        <v>336</v>
      </c>
      <c r="C6502" s="62" t="s">
        <v>60</v>
      </c>
      <c r="D6502" s="62" t="s">
        <v>385</v>
      </c>
      <c r="E6502" s="62" t="s">
        <v>72</v>
      </c>
      <c r="F6502" s="62" t="s">
        <v>382</v>
      </c>
      <c r="G6502" s="63" t="s">
        <v>662</v>
      </c>
      <c r="H6502" s="64" t="n">
        <v>14303.2396053643</v>
      </c>
      <c r="I6502" s="62" t="s">
        <v>81</v>
      </c>
      <c r="J6502" s="64" t="n">
        <v>14.3032396053643</v>
      </c>
      <c r="K6502" s="62" t="s">
        <v>138</v>
      </c>
      <c r="L6502" s="68" t="b">
        <f aca="false">FALSE()</f>
        <v>0</v>
      </c>
    </row>
    <row r="6503" customFormat="false" ht="15" hidden="false" customHeight="false" outlineLevel="0" collapsed="false">
      <c r="A6503" s="62" t="n">
        <v>1</v>
      </c>
      <c r="B6503" s="21" t="s">
        <v>336</v>
      </c>
      <c r="C6503" s="62" t="s">
        <v>60</v>
      </c>
      <c r="D6503" s="62" t="s">
        <v>386</v>
      </c>
      <c r="E6503" s="62" t="s">
        <v>72</v>
      </c>
      <c r="F6503" s="62" t="s">
        <v>382</v>
      </c>
      <c r="G6503" s="63" t="s">
        <v>662</v>
      </c>
      <c r="H6503" s="64" t="n">
        <v>16428.1926575456</v>
      </c>
      <c r="I6503" s="62" t="s">
        <v>81</v>
      </c>
      <c r="J6503" s="64" t="n">
        <v>16.4281926575456</v>
      </c>
      <c r="K6503" s="62" t="s">
        <v>138</v>
      </c>
      <c r="L6503" s="68" t="b">
        <f aca="false">FALSE()</f>
        <v>0</v>
      </c>
    </row>
    <row r="6504" customFormat="false" ht="15" hidden="false" customHeight="false" outlineLevel="0" collapsed="false">
      <c r="A6504" s="62" t="n">
        <v>1</v>
      </c>
      <c r="B6504" s="21" t="s">
        <v>336</v>
      </c>
      <c r="C6504" s="62" t="s">
        <v>60</v>
      </c>
      <c r="D6504" s="62" t="s">
        <v>387</v>
      </c>
      <c r="E6504" s="62" t="s">
        <v>72</v>
      </c>
      <c r="F6504" s="62" t="s">
        <v>382</v>
      </c>
      <c r="G6504" s="63" t="s">
        <v>662</v>
      </c>
      <c r="H6504" s="64" t="n">
        <v>13933.7529553649</v>
      </c>
      <c r="I6504" s="62" t="s">
        <v>81</v>
      </c>
      <c r="J6504" s="64" t="n">
        <v>13.9337529553649</v>
      </c>
      <c r="K6504" s="62" t="s">
        <v>138</v>
      </c>
      <c r="L6504" s="68" t="b">
        <f aca="false">FALSE()</f>
        <v>0</v>
      </c>
    </row>
    <row r="6505" customFormat="false" ht="15" hidden="false" customHeight="false" outlineLevel="0" collapsed="false">
      <c r="A6505" s="62" t="n">
        <v>1</v>
      </c>
      <c r="B6505" s="21" t="s">
        <v>336</v>
      </c>
      <c r="C6505" s="62" t="s">
        <v>60</v>
      </c>
      <c r="D6505" s="62" t="s">
        <v>388</v>
      </c>
      <c r="E6505" s="62" t="s">
        <v>72</v>
      </c>
      <c r="F6505" s="62" t="s">
        <v>382</v>
      </c>
      <c r="G6505" s="63" t="s">
        <v>662</v>
      </c>
      <c r="H6505" s="64" t="n">
        <v>11290.2126727597</v>
      </c>
      <c r="I6505" s="62" t="s">
        <v>81</v>
      </c>
      <c r="J6505" s="64" t="n">
        <v>11.2902126727597</v>
      </c>
      <c r="K6505" s="62" t="s">
        <v>138</v>
      </c>
      <c r="L6505" s="68" t="b">
        <f aca="false">FALSE()</f>
        <v>0</v>
      </c>
    </row>
    <row r="6506" customFormat="false" ht="15" hidden="false" customHeight="false" outlineLevel="0" collapsed="false">
      <c r="A6506" s="62" t="n">
        <v>1</v>
      </c>
      <c r="B6506" s="21" t="s">
        <v>336</v>
      </c>
      <c r="C6506" s="62" t="s">
        <v>60</v>
      </c>
      <c r="D6506" s="62" t="s">
        <v>381</v>
      </c>
      <c r="E6506" s="62" t="s">
        <v>72</v>
      </c>
      <c r="F6506" s="62" t="s">
        <v>382</v>
      </c>
      <c r="G6506" s="63" t="s">
        <v>663</v>
      </c>
      <c r="H6506" s="64" t="n">
        <v>596134833.000657</v>
      </c>
      <c r="I6506" s="62" t="s">
        <v>81</v>
      </c>
      <c r="J6506" s="64" t="n">
        <v>596134.833000657</v>
      </c>
      <c r="K6506" s="62" t="s">
        <v>138</v>
      </c>
      <c r="L6506" s="68" t="b">
        <f aca="false">FALSE()</f>
        <v>0</v>
      </c>
    </row>
    <row r="6507" customFormat="false" ht="15" hidden="false" customHeight="false" outlineLevel="0" collapsed="false">
      <c r="A6507" s="62" t="n">
        <v>1</v>
      </c>
      <c r="B6507" s="21" t="s">
        <v>336</v>
      </c>
      <c r="C6507" s="62" t="s">
        <v>60</v>
      </c>
      <c r="D6507" s="62" t="s">
        <v>383</v>
      </c>
      <c r="E6507" s="62" t="s">
        <v>72</v>
      </c>
      <c r="F6507" s="62" t="s">
        <v>382</v>
      </c>
      <c r="G6507" s="63" t="s">
        <v>663</v>
      </c>
      <c r="H6507" s="64" t="n">
        <v>758103912.023416</v>
      </c>
      <c r="I6507" s="62" t="s">
        <v>81</v>
      </c>
      <c r="J6507" s="64" t="n">
        <v>758103.912023416</v>
      </c>
      <c r="K6507" s="62" t="s">
        <v>138</v>
      </c>
      <c r="L6507" s="68" t="b">
        <f aca="false">FALSE()</f>
        <v>0</v>
      </c>
    </row>
    <row r="6508" customFormat="false" ht="15" hidden="false" customHeight="false" outlineLevel="0" collapsed="false">
      <c r="A6508" s="62" t="n">
        <v>1</v>
      </c>
      <c r="B6508" s="21" t="s">
        <v>336</v>
      </c>
      <c r="C6508" s="62" t="s">
        <v>60</v>
      </c>
      <c r="D6508" s="62" t="s">
        <v>384</v>
      </c>
      <c r="E6508" s="62" t="s">
        <v>72</v>
      </c>
      <c r="F6508" s="62" t="s">
        <v>382</v>
      </c>
      <c r="G6508" s="63" t="s">
        <v>663</v>
      </c>
      <c r="H6508" s="64" t="n">
        <v>306344558.300882</v>
      </c>
      <c r="I6508" s="62" t="s">
        <v>81</v>
      </c>
      <c r="J6508" s="64" t="n">
        <v>306344.558300882</v>
      </c>
      <c r="K6508" s="62" t="s">
        <v>138</v>
      </c>
      <c r="L6508" s="68" t="b">
        <f aca="false">FALSE()</f>
        <v>0</v>
      </c>
    </row>
    <row r="6509" customFormat="false" ht="15" hidden="false" customHeight="false" outlineLevel="0" collapsed="false">
      <c r="A6509" s="62" t="n">
        <v>1</v>
      </c>
      <c r="B6509" s="21" t="s">
        <v>336</v>
      </c>
      <c r="C6509" s="62" t="s">
        <v>60</v>
      </c>
      <c r="D6509" s="62" t="s">
        <v>385</v>
      </c>
      <c r="E6509" s="62" t="s">
        <v>72</v>
      </c>
      <c r="F6509" s="62" t="s">
        <v>382</v>
      </c>
      <c r="G6509" s="63" t="s">
        <v>663</v>
      </c>
      <c r="H6509" s="64" t="n">
        <v>381768087.080056</v>
      </c>
      <c r="I6509" s="62" t="s">
        <v>81</v>
      </c>
      <c r="J6509" s="64" t="n">
        <v>381768.087080056</v>
      </c>
      <c r="K6509" s="62" t="s">
        <v>138</v>
      </c>
      <c r="L6509" s="68" t="b">
        <f aca="false">FALSE()</f>
        <v>0</v>
      </c>
    </row>
    <row r="6510" customFormat="false" ht="15" hidden="false" customHeight="false" outlineLevel="0" collapsed="false">
      <c r="A6510" s="62" t="n">
        <v>1</v>
      </c>
      <c r="B6510" s="21" t="s">
        <v>336</v>
      </c>
      <c r="C6510" s="62" t="s">
        <v>60</v>
      </c>
      <c r="D6510" s="62" t="s">
        <v>386</v>
      </c>
      <c r="E6510" s="62" t="s">
        <v>72</v>
      </c>
      <c r="F6510" s="62" t="s">
        <v>382</v>
      </c>
      <c r="G6510" s="63" t="s">
        <v>663</v>
      </c>
      <c r="H6510" s="64" t="n">
        <v>513152373.937286</v>
      </c>
      <c r="I6510" s="62" t="s">
        <v>81</v>
      </c>
      <c r="J6510" s="64" t="n">
        <v>513152.373937286</v>
      </c>
      <c r="K6510" s="62" t="s">
        <v>138</v>
      </c>
      <c r="L6510" s="68" t="b">
        <f aca="false">FALSE()</f>
        <v>0</v>
      </c>
    </row>
    <row r="6511" customFormat="false" ht="15" hidden="false" customHeight="false" outlineLevel="0" collapsed="false">
      <c r="A6511" s="62" t="n">
        <v>1</v>
      </c>
      <c r="B6511" s="21" t="s">
        <v>336</v>
      </c>
      <c r="C6511" s="62" t="s">
        <v>60</v>
      </c>
      <c r="D6511" s="62" t="s">
        <v>387</v>
      </c>
      <c r="E6511" s="62" t="s">
        <v>72</v>
      </c>
      <c r="F6511" s="62" t="s">
        <v>382</v>
      </c>
      <c r="G6511" s="63" t="s">
        <v>663</v>
      </c>
      <c r="H6511" s="64" t="n">
        <v>889939296.203688</v>
      </c>
      <c r="I6511" s="62" t="s">
        <v>81</v>
      </c>
      <c r="J6511" s="64" t="n">
        <v>889939.296203688</v>
      </c>
      <c r="K6511" s="62" t="s">
        <v>138</v>
      </c>
      <c r="L6511" s="68" t="b">
        <f aca="false">FALSE()</f>
        <v>0</v>
      </c>
    </row>
    <row r="6512" customFormat="false" ht="15" hidden="false" customHeight="false" outlineLevel="0" collapsed="false">
      <c r="A6512" s="62" t="n">
        <v>1</v>
      </c>
      <c r="B6512" s="21" t="s">
        <v>336</v>
      </c>
      <c r="C6512" s="62" t="s">
        <v>60</v>
      </c>
      <c r="D6512" s="62" t="s">
        <v>388</v>
      </c>
      <c r="E6512" s="62" t="s">
        <v>72</v>
      </c>
      <c r="F6512" s="62" t="s">
        <v>382</v>
      </c>
      <c r="G6512" s="63" t="s">
        <v>663</v>
      </c>
      <c r="H6512" s="64" t="n">
        <v>875479463.899479</v>
      </c>
      <c r="I6512" s="62" t="s">
        <v>81</v>
      </c>
      <c r="J6512" s="64" t="n">
        <v>875479.463899479</v>
      </c>
      <c r="K6512" s="62" t="s">
        <v>138</v>
      </c>
      <c r="L6512" s="68" t="b">
        <f aca="false">FALSE()</f>
        <v>0</v>
      </c>
    </row>
    <row r="6513" customFormat="false" ht="15" hidden="false" customHeight="false" outlineLevel="0" collapsed="false">
      <c r="A6513" s="62" t="n">
        <v>1</v>
      </c>
      <c r="B6513" s="21" t="s">
        <v>336</v>
      </c>
      <c r="C6513" s="62" t="s">
        <v>60</v>
      </c>
      <c r="D6513" s="62" t="s">
        <v>381</v>
      </c>
      <c r="E6513" s="62" t="s">
        <v>72</v>
      </c>
      <c r="F6513" s="62" t="s">
        <v>382</v>
      </c>
      <c r="G6513" s="63" t="s">
        <v>664</v>
      </c>
      <c r="H6513" s="64" t="n">
        <v>49466747299.4731</v>
      </c>
      <c r="I6513" s="62" t="s">
        <v>81</v>
      </c>
      <c r="J6513" s="64" t="n">
        <v>49466747.2994731</v>
      </c>
      <c r="K6513" s="62" t="s">
        <v>138</v>
      </c>
      <c r="L6513" s="68" t="b">
        <f aca="false">FALSE()</f>
        <v>0</v>
      </c>
    </row>
    <row r="6514" customFormat="false" ht="15" hidden="false" customHeight="false" outlineLevel="0" collapsed="false">
      <c r="A6514" s="62" t="n">
        <v>1</v>
      </c>
      <c r="B6514" s="21" t="s">
        <v>336</v>
      </c>
      <c r="C6514" s="62" t="s">
        <v>60</v>
      </c>
      <c r="D6514" s="62" t="s">
        <v>383</v>
      </c>
      <c r="E6514" s="62" t="s">
        <v>72</v>
      </c>
      <c r="F6514" s="62" t="s">
        <v>382</v>
      </c>
      <c r="G6514" s="63" t="s">
        <v>664</v>
      </c>
      <c r="H6514" s="64" t="n">
        <v>60733784583.0264</v>
      </c>
      <c r="I6514" s="62" t="s">
        <v>81</v>
      </c>
      <c r="J6514" s="64" t="n">
        <v>60733784.5830264</v>
      </c>
      <c r="K6514" s="62" t="s">
        <v>138</v>
      </c>
      <c r="L6514" s="68" t="b">
        <f aca="false">FALSE()</f>
        <v>0</v>
      </c>
    </row>
    <row r="6515" customFormat="false" ht="15" hidden="false" customHeight="false" outlineLevel="0" collapsed="false">
      <c r="A6515" s="62" t="n">
        <v>1</v>
      </c>
      <c r="B6515" s="21" t="s">
        <v>336</v>
      </c>
      <c r="C6515" s="62" t="s">
        <v>60</v>
      </c>
      <c r="D6515" s="62" t="s">
        <v>384</v>
      </c>
      <c r="E6515" s="62" t="s">
        <v>72</v>
      </c>
      <c r="F6515" s="62" t="s">
        <v>382</v>
      </c>
      <c r="G6515" s="63" t="s">
        <v>664</v>
      </c>
      <c r="H6515" s="64" t="n">
        <v>52876746840.714</v>
      </c>
      <c r="I6515" s="62" t="s">
        <v>81</v>
      </c>
      <c r="J6515" s="64" t="n">
        <v>52876746.840714</v>
      </c>
      <c r="K6515" s="62" t="s">
        <v>138</v>
      </c>
      <c r="L6515" s="68" t="b">
        <f aca="false">FALSE()</f>
        <v>0</v>
      </c>
    </row>
    <row r="6516" customFormat="false" ht="15" hidden="false" customHeight="false" outlineLevel="0" collapsed="false">
      <c r="A6516" s="62" t="n">
        <v>1</v>
      </c>
      <c r="B6516" s="21" t="s">
        <v>336</v>
      </c>
      <c r="C6516" s="62" t="s">
        <v>60</v>
      </c>
      <c r="D6516" s="62" t="s">
        <v>385</v>
      </c>
      <c r="E6516" s="62" t="s">
        <v>72</v>
      </c>
      <c r="F6516" s="62" t="s">
        <v>382</v>
      </c>
      <c r="G6516" s="63" t="s">
        <v>664</v>
      </c>
      <c r="H6516" s="64" t="n">
        <v>43089049222.4698</v>
      </c>
      <c r="I6516" s="62" t="s">
        <v>81</v>
      </c>
      <c r="J6516" s="64" t="n">
        <v>43089049.2224698</v>
      </c>
      <c r="K6516" s="62" t="s">
        <v>138</v>
      </c>
      <c r="L6516" s="68" t="b">
        <f aca="false">FALSE()</f>
        <v>0</v>
      </c>
    </row>
    <row r="6517" customFormat="false" ht="15" hidden="false" customHeight="false" outlineLevel="0" collapsed="false">
      <c r="A6517" s="62" t="n">
        <v>1</v>
      </c>
      <c r="B6517" s="21" t="s">
        <v>336</v>
      </c>
      <c r="C6517" s="62" t="s">
        <v>60</v>
      </c>
      <c r="D6517" s="62" t="s">
        <v>386</v>
      </c>
      <c r="E6517" s="62" t="s">
        <v>72</v>
      </c>
      <c r="F6517" s="62" t="s">
        <v>382</v>
      </c>
      <c r="G6517" s="63" t="s">
        <v>664</v>
      </c>
      <c r="H6517" s="64" t="n">
        <v>50277620609.6171</v>
      </c>
      <c r="I6517" s="62" t="s">
        <v>81</v>
      </c>
      <c r="J6517" s="64" t="n">
        <v>50277620.6096171</v>
      </c>
      <c r="K6517" s="62" t="s">
        <v>138</v>
      </c>
      <c r="L6517" s="68" t="b">
        <f aca="false">FALSE()</f>
        <v>0</v>
      </c>
    </row>
    <row r="6518" customFormat="false" ht="15" hidden="false" customHeight="false" outlineLevel="0" collapsed="false">
      <c r="A6518" s="62" t="n">
        <v>1</v>
      </c>
      <c r="B6518" s="21" t="s">
        <v>336</v>
      </c>
      <c r="C6518" s="62" t="s">
        <v>60</v>
      </c>
      <c r="D6518" s="62" t="s">
        <v>387</v>
      </c>
      <c r="E6518" s="62" t="s">
        <v>72</v>
      </c>
      <c r="F6518" s="62" t="s">
        <v>382</v>
      </c>
      <c r="G6518" s="63" t="s">
        <v>664</v>
      </c>
      <c r="H6518" s="64" t="n">
        <v>55379223366.3878</v>
      </c>
      <c r="I6518" s="62" t="s">
        <v>81</v>
      </c>
      <c r="J6518" s="64" t="n">
        <v>55379223.3663878</v>
      </c>
      <c r="K6518" s="62" t="s">
        <v>138</v>
      </c>
      <c r="L6518" s="68" t="b">
        <f aca="false">FALSE()</f>
        <v>0</v>
      </c>
    </row>
    <row r="6519" customFormat="false" ht="15" hidden="false" customHeight="false" outlineLevel="0" collapsed="false">
      <c r="A6519" s="62" t="n">
        <v>1</v>
      </c>
      <c r="B6519" s="21" t="s">
        <v>336</v>
      </c>
      <c r="C6519" s="62" t="s">
        <v>60</v>
      </c>
      <c r="D6519" s="62" t="s">
        <v>388</v>
      </c>
      <c r="E6519" s="62" t="s">
        <v>72</v>
      </c>
      <c r="F6519" s="62" t="s">
        <v>382</v>
      </c>
      <c r="G6519" s="63" t="s">
        <v>664</v>
      </c>
      <c r="H6519" s="64" t="n">
        <v>33486234593.9017</v>
      </c>
      <c r="I6519" s="62" t="s">
        <v>81</v>
      </c>
      <c r="J6519" s="64" t="n">
        <v>33486234.5939017</v>
      </c>
      <c r="K6519" s="62" t="s">
        <v>138</v>
      </c>
      <c r="L6519" s="68" t="b">
        <f aca="false">FALSE()</f>
        <v>0</v>
      </c>
    </row>
    <row r="6520" customFormat="false" ht="15" hidden="false" customHeight="false" outlineLevel="0" collapsed="false">
      <c r="A6520" s="62" t="n">
        <v>1</v>
      </c>
      <c r="B6520" s="21" t="s">
        <v>336</v>
      </c>
      <c r="C6520" s="62" t="s">
        <v>60</v>
      </c>
      <c r="D6520" s="62" t="s">
        <v>381</v>
      </c>
      <c r="E6520" s="62" t="s">
        <v>72</v>
      </c>
      <c r="F6520" s="62" t="s">
        <v>382</v>
      </c>
      <c r="G6520" s="63" t="s">
        <v>665</v>
      </c>
      <c r="H6520" s="64" t="n">
        <v>15595653198.9285</v>
      </c>
      <c r="I6520" s="62" t="s">
        <v>81</v>
      </c>
      <c r="J6520" s="64" t="n">
        <v>15595653.1989285</v>
      </c>
      <c r="K6520" s="62" t="s">
        <v>138</v>
      </c>
      <c r="L6520" s="68" t="b">
        <f aca="false">FALSE()</f>
        <v>0</v>
      </c>
    </row>
    <row r="6521" customFormat="false" ht="15" hidden="false" customHeight="false" outlineLevel="0" collapsed="false">
      <c r="A6521" s="62" t="n">
        <v>1</v>
      </c>
      <c r="B6521" s="21" t="s">
        <v>336</v>
      </c>
      <c r="C6521" s="62" t="s">
        <v>60</v>
      </c>
      <c r="D6521" s="62" t="s">
        <v>383</v>
      </c>
      <c r="E6521" s="62" t="s">
        <v>72</v>
      </c>
      <c r="F6521" s="62" t="s">
        <v>382</v>
      </c>
      <c r="G6521" s="63" t="s">
        <v>665</v>
      </c>
      <c r="H6521" s="64" t="n">
        <v>16212410586.9109</v>
      </c>
      <c r="I6521" s="62" t="s">
        <v>81</v>
      </c>
      <c r="J6521" s="64" t="n">
        <v>16212410.5869109</v>
      </c>
      <c r="K6521" s="62" t="s">
        <v>138</v>
      </c>
      <c r="L6521" s="68" t="b">
        <f aca="false">FALSE()</f>
        <v>0</v>
      </c>
    </row>
    <row r="6522" customFormat="false" ht="15" hidden="false" customHeight="false" outlineLevel="0" collapsed="false">
      <c r="A6522" s="62" t="n">
        <v>1</v>
      </c>
      <c r="B6522" s="21" t="s">
        <v>336</v>
      </c>
      <c r="C6522" s="62" t="s">
        <v>60</v>
      </c>
      <c r="D6522" s="62" t="s">
        <v>384</v>
      </c>
      <c r="E6522" s="62" t="s">
        <v>72</v>
      </c>
      <c r="F6522" s="62" t="s">
        <v>382</v>
      </c>
      <c r="G6522" s="63" t="s">
        <v>665</v>
      </c>
      <c r="H6522" s="64" t="n">
        <v>13233252183.8384</v>
      </c>
      <c r="I6522" s="62" t="s">
        <v>81</v>
      </c>
      <c r="J6522" s="64" t="n">
        <v>13233252.1838384</v>
      </c>
      <c r="K6522" s="62" t="s">
        <v>138</v>
      </c>
      <c r="L6522" s="68" t="b">
        <f aca="false">FALSE()</f>
        <v>0</v>
      </c>
    </row>
    <row r="6523" customFormat="false" ht="15" hidden="false" customHeight="false" outlineLevel="0" collapsed="false">
      <c r="A6523" s="62" t="n">
        <v>1</v>
      </c>
      <c r="B6523" s="21" t="s">
        <v>336</v>
      </c>
      <c r="C6523" s="62" t="s">
        <v>60</v>
      </c>
      <c r="D6523" s="62" t="s">
        <v>385</v>
      </c>
      <c r="E6523" s="62" t="s">
        <v>72</v>
      </c>
      <c r="F6523" s="62" t="s">
        <v>382</v>
      </c>
      <c r="G6523" s="63" t="s">
        <v>665</v>
      </c>
      <c r="H6523" s="64" t="n">
        <v>13140703172.4562</v>
      </c>
      <c r="I6523" s="62" t="s">
        <v>81</v>
      </c>
      <c r="J6523" s="64" t="n">
        <v>13140703.1724562</v>
      </c>
      <c r="K6523" s="62" t="s">
        <v>138</v>
      </c>
      <c r="L6523" s="68" t="b">
        <f aca="false">FALSE()</f>
        <v>0</v>
      </c>
    </row>
    <row r="6524" customFormat="false" ht="15" hidden="false" customHeight="false" outlineLevel="0" collapsed="false">
      <c r="A6524" s="62" t="n">
        <v>1</v>
      </c>
      <c r="B6524" s="21" t="s">
        <v>336</v>
      </c>
      <c r="C6524" s="62" t="s">
        <v>60</v>
      </c>
      <c r="D6524" s="62" t="s">
        <v>386</v>
      </c>
      <c r="E6524" s="62" t="s">
        <v>72</v>
      </c>
      <c r="F6524" s="62" t="s">
        <v>382</v>
      </c>
      <c r="G6524" s="63" t="s">
        <v>665</v>
      </c>
      <c r="H6524" s="64" t="n">
        <v>15467936250</v>
      </c>
      <c r="I6524" s="62" t="s">
        <v>81</v>
      </c>
      <c r="J6524" s="64" t="n">
        <v>15467936.25</v>
      </c>
      <c r="K6524" s="62" t="s">
        <v>138</v>
      </c>
      <c r="L6524" s="68" t="b">
        <f aca="false">FALSE()</f>
        <v>0</v>
      </c>
    </row>
    <row r="6525" customFormat="false" ht="15" hidden="false" customHeight="false" outlineLevel="0" collapsed="false">
      <c r="A6525" s="62" t="n">
        <v>1</v>
      </c>
      <c r="B6525" s="21" t="s">
        <v>336</v>
      </c>
      <c r="C6525" s="62" t="s">
        <v>60</v>
      </c>
      <c r="D6525" s="62" t="s">
        <v>387</v>
      </c>
      <c r="E6525" s="62" t="s">
        <v>72</v>
      </c>
      <c r="F6525" s="62" t="s">
        <v>382</v>
      </c>
      <c r="G6525" s="63" t="s">
        <v>665</v>
      </c>
      <c r="H6525" s="64" t="n">
        <v>14660461114.3277</v>
      </c>
      <c r="I6525" s="62" t="s">
        <v>81</v>
      </c>
      <c r="J6525" s="64" t="n">
        <v>14660461.1143277</v>
      </c>
      <c r="K6525" s="62" t="s">
        <v>138</v>
      </c>
      <c r="L6525" s="68" t="b">
        <f aca="false">FALSE()</f>
        <v>0</v>
      </c>
    </row>
    <row r="6526" customFormat="false" ht="15" hidden="false" customHeight="false" outlineLevel="0" collapsed="false">
      <c r="A6526" s="62" t="n">
        <v>1</v>
      </c>
      <c r="B6526" s="21" t="s">
        <v>336</v>
      </c>
      <c r="C6526" s="62" t="s">
        <v>60</v>
      </c>
      <c r="D6526" s="62" t="s">
        <v>388</v>
      </c>
      <c r="E6526" s="62" t="s">
        <v>72</v>
      </c>
      <c r="F6526" s="62" t="s">
        <v>382</v>
      </c>
      <c r="G6526" s="63" t="s">
        <v>665</v>
      </c>
      <c r="H6526" s="64" t="n">
        <v>15842921000</v>
      </c>
      <c r="I6526" s="62" t="s">
        <v>81</v>
      </c>
      <c r="J6526" s="64" t="n">
        <v>15842921</v>
      </c>
      <c r="K6526" s="62" t="s">
        <v>138</v>
      </c>
      <c r="L6526" s="68" t="b">
        <f aca="false">FALSE()</f>
        <v>0</v>
      </c>
    </row>
    <row r="6527" customFormat="false" ht="15" hidden="false" customHeight="false" outlineLevel="0" collapsed="false">
      <c r="A6527" s="62" t="n">
        <v>1</v>
      </c>
      <c r="B6527" s="21" t="s">
        <v>336</v>
      </c>
      <c r="C6527" s="62" t="s">
        <v>60</v>
      </c>
      <c r="D6527" s="62" t="s">
        <v>381</v>
      </c>
      <c r="E6527" s="62" t="s">
        <v>72</v>
      </c>
      <c r="F6527" s="62" t="s">
        <v>382</v>
      </c>
      <c r="G6527" s="63" t="s">
        <v>666</v>
      </c>
      <c r="H6527" s="64" t="n">
        <v>62382612795.7141</v>
      </c>
      <c r="I6527" s="62" t="s">
        <v>81</v>
      </c>
      <c r="J6527" s="64" t="n">
        <v>62382612.7957141</v>
      </c>
      <c r="K6527" s="62" t="s">
        <v>138</v>
      </c>
      <c r="L6527" s="68" t="b">
        <f aca="false">FALSE()</f>
        <v>0</v>
      </c>
    </row>
    <row r="6528" customFormat="false" ht="15" hidden="false" customHeight="false" outlineLevel="0" collapsed="false">
      <c r="A6528" s="62" t="n">
        <v>1</v>
      </c>
      <c r="B6528" s="21" t="s">
        <v>336</v>
      </c>
      <c r="C6528" s="62" t="s">
        <v>60</v>
      </c>
      <c r="D6528" s="62" t="s">
        <v>383</v>
      </c>
      <c r="E6528" s="62" t="s">
        <v>72</v>
      </c>
      <c r="F6528" s="62" t="s">
        <v>382</v>
      </c>
      <c r="G6528" s="63" t="s">
        <v>666</v>
      </c>
      <c r="H6528" s="64" t="n">
        <v>64849642347.6438</v>
      </c>
      <c r="I6528" s="62" t="s">
        <v>81</v>
      </c>
      <c r="J6528" s="64" t="n">
        <v>64849642.3476438</v>
      </c>
      <c r="K6528" s="62" t="s">
        <v>138</v>
      </c>
      <c r="L6528" s="68" t="b">
        <f aca="false">FALSE()</f>
        <v>0</v>
      </c>
    </row>
    <row r="6529" customFormat="false" ht="15" hidden="false" customHeight="false" outlineLevel="0" collapsed="false">
      <c r="A6529" s="62" t="n">
        <v>1</v>
      </c>
      <c r="B6529" s="21" t="s">
        <v>336</v>
      </c>
      <c r="C6529" s="62" t="s">
        <v>60</v>
      </c>
      <c r="D6529" s="62" t="s">
        <v>384</v>
      </c>
      <c r="E6529" s="62" t="s">
        <v>72</v>
      </c>
      <c r="F6529" s="62" t="s">
        <v>382</v>
      </c>
      <c r="G6529" s="63" t="s">
        <v>666</v>
      </c>
      <c r="H6529" s="64" t="n">
        <v>52933008735.3535</v>
      </c>
      <c r="I6529" s="62" t="s">
        <v>81</v>
      </c>
      <c r="J6529" s="64" t="n">
        <v>52933008.7353535</v>
      </c>
      <c r="K6529" s="62" t="s">
        <v>138</v>
      </c>
      <c r="L6529" s="68" t="b">
        <f aca="false">FALSE()</f>
        <v>0</v>
      </c>
    </row>
    <row r="6530" customFormat="false" ht="15" hidden="false" customHeight="false" outlineLevel="0" collapsed="false">
      <c r="A6530" s="62" t="n">
        <v>1</v>
      </c>
      <c r="B6530" s="21" t="s">
        <v>336</v>
      </c>
      <c r="C6530" s="62" t="s">
        <v>60</v>
      </c>
      <c r="D6530" s="62" t="s">
        <v>385</v>
      </c>
      <c r="E6530" s="62" t="s">
        <v>72</v>
      </c>
      <c r="F6530" s="62" t="s">
        <v>382</v>
      </c>
      <c r="G6530" s="63" t="s">
        <v>666</v>
      </c>
      <c r="H6530" s="64" t="n">
        <v>52562812689.8249</v>
      </c>
      <c r="I6530" s="62" t="s">
        <v>81</v>
      </c>
      <c r="J6530" s="64" t="n">
        <v>52562812.6898249</v>
      </c>
      <c r="K6530" s="62" t="s">
        <v>138</v>
      </c>
      <c r="L6530" s="68" t="b">
        <f aca="false">FALSE()</f>
        <v>0</v>
      </c>
    </row>
    <row r="6531" customFormat="false" ht="15" hidden="false" customHeight="false" outlineLevel="0" collapsed="false">
      <c r="A6531" s="62" t="n">
        <v>1</v>
      </c>
      <c r="B6531" s="21" t="s">
        <v>336</v>
      </c>
      <c r="C6531" s="62" t="s">
        <v>60</v>
      </c>
      <c r="D6531" s="62" t="s">
        <v>386</v>
      </c>
      <c r="E6531" s="62" t="s">
        <v>72</v>
      </c>
      <c r="F6531" s="62" t="s">
        <v>382</v>
      </c>
      <c r="G6531" s="63" t="s">
        <v>666</v>
      </c>
      <c r="H6531" s="64" t="n">
        <v>61871745000</v>
      </c>
      <c r="I6531" s="62" t="s">
        <v>81</v>
      </c>
      <c r="J6531" s="64" t="n">
        <v>61871745</v>
      </c>
      <c r="K6531" s="62" t="s">
        <v>138</v>
      </c>
      <c r="L6531" s="68" t="b">
        <f aca="false">FALSE()</f>
        <v>0</v>
      </c>
    </row>
    <row r="6532" customFormat="false" ht="15" hidden="false" customHeight="false" outlineLevel="0" collapsed="false">
      <c r="A6532" s="62" t="n">
        <v>1</v>
      </c>
      <c r="B6532" s="21" t="s">
        <v>336</v>
      </c>
      <c r="C6532" s="62" t="s">
        <v>60</v>
      </c>
      <c r="D6532" s="62" t="s">
        <v>387</v>
      </c>
      <c r="E6532" s="62" t="s">
        <v>72</v>
      </c>
      <c r="F6532" s="62" t="s">
        <v>382</v>
      </c>
      <c r="G6532" s="63" t="s">
        <v>666</v>
      </c>
      <c r="H6532" s="64" t="n">
        <v>58641844457.3106</v>
      </c>
      <c r="I6532" s="62" t="s">
        <v>81</v>
      </c>
      <c r="J6532" s="64" t="n">
        <v>58641844.4573106</v>
      </c>
      <c r="K6532" s="62" t="s">
        <v>138</v>
      </c>
      <c r="L6532" s="68" t="b">
        <f aca="false">FALSE()</f>
        <v>0</v>
      </c>
    </row>
    <row r="6533" customFormat="false" ht="15" hidden="false" customHeight="false" outlineLevel="0" collapsed="false">
      <c r="A6533" s="62" t="n">
        <v>1</v>
      </c>
      <c r="B6533" s="21" t="s">
        <v>336</v>
      </c>
      <c r="C6533" s="62" t="s">
        <v>60</v>
      </c>
      <c r="D6533" s="62" t="s">
        <v>388</v>
      </c>
      <c r="E6533" s="62" t="s">
        <v>72</v>
      </c>
      <c r="F6533" s="62" t="s">
        <v>382</v>
      </c>
      <c r="G6533" s="63" t="s">
        <v>666</v>
      </c>
      <c r="H6533" s="64" t="n">
        <v>63371684000</v>
      </c>
      <c r="I6533" s="62" t="s">
        <v>81</v>
      </c>
      <c r="J6533" s="64" t="n">
        <v>63371684</v>
      </c>
      <c r="K6533" s="62" t="s">
        <v>138</v>
      </c>
      <c r="L6533" s="68" t="b">
        <f aca="false">FALSE()</f>
        <v>0</v>
      </c>
    </row>
    <row r="6534" customFormat="false" ht="15" hidden="false" customHeight="false" outlineLevel="0" collapsed="false">
      <c r="A6534" s="62" t="n">
        <v>1</v>
      </c>
      <c r="B6534" s="21" t="s">
        <v>336</v>
      </c>
      <c r="C6534" s="62" t="s">
        <v>60</v>
      </c>
      <c r="D6534" s="62" t="s">
        <v>381</v>
      </c>
      <c r="E6534" s="62" t="s">
        <v>72</v>
      </c>
      <c r="F6534" s="62" t="s">
        <v>382</v>
      </c>
      <c r="G6534" s="63" t="s">
        <v>667</v>
      </c>
      <c r="H6534" s="64" t="n">
        <v>3435528052.44841</v>
      </c>
      <c r="I6534" s="62" t="s">
        <v>81</v>
      </c>
      <c r="J6534" s="64" t="n">
        <v>3435528.05244841</v>
      </c>
      <c r="K6534" s="62" t="s">
        <v>138</v>
      </c>
      <c r="L6534" s="68" t="b">
        <f aca="false">FALSE()</f>
        <v>0</v>
      </c>
    </row>
    <row r="6535" customFormat="false" ht="15" hidden="false" customHeight="false" outlineLevel="0" collapsed="false">
      <c r="A6535" s="62" t="n">
        <v>1</v>
      </c>
      <c r="B6535" s="21" t="s">
        <v>336</v>
      </c>
      <c r="C6535" s="62" t="s">
        <v>60</v>
      </c>
      <c r="D6535" s="62" t="s">
        <v>383</v>
      </c>
      <c r="E6535" s="62" t="s">
        <v>72</v>
      </c>
      <c r="F6535" s="62" t="s">
        <v>382</v>
      </c>
      <c r="G6535" s="63" t="s">
        <v>667</v>
      </c>
      <c r="H6535" s="64" t="n">
        <v>3964575767.50945</v>
      </c>
      <c r="I6535" s="62" t="s">
        <v>81</v>
      </c>
      <c r="J6535" s="64" t="n">
        <v>3964575.76750945</v>
      </c>
      <c r="K6535" s="62" t="s">
        <v>138</v>
      </c>
      <c r="L6535" s="68" t="b">
        <f aca="false">FALSE()</f>
        <v>0</v>
      </c>
    </row>
    <row r="6536" customFormat="false" ht="15" hidden="false" customHeight="false" outlineLevel="0" collapsed="false">
      <c r="A6536" s="62" t="n">
        <v>1</v>
      </c>
      <c r="B6536" s="21" t="s">
        <v>336</v>
      </c>
      <c r="C6536" s="62" t="s">
        <v>60</v>
      </c>
      <c r="D6536" s="62" t="s">
        <v>384</v>
      </c>
      <c r="E6536" s="62" t="s">
        <v>72</v>
      </c>
      <c r="F6536" s="62" t="s">
        <v>382</v>
      </c>
      <c r="G6536" s="63" t="s">
        <v>667</v>
      </c>
      <c r="H6536" s="64" t="n">
        <v>3553499955.08039</v>
      </c>
      <c r="I6536" s="62" t="s">
        <v>81</v>
      </c>
      <c r="J6536" s="64" t="n">
        <v>3553499.95508039</v>
      </c>
      <c r="K6536" s="62" t="s">
        <v>138</v>
      </c>
      <c r="L6536" s="68" t="b">
        <f aca="false">FALSE()</f>
        <v>0</v>
      </c>
    </row>
    <row r="6537" customFormat="false" ht="15" hidden="false" customHeight="false" outlineLevel="0" collapsed="false">
      <c r="A6537" s="62" t="n">
        <v>1</v>
      </c>
      <c r="B6537" s="21" t="s">
        <v>336</v>
      </c>
      <c r="C6537" s="62" t="s">
        <v>60</v>
      </c>
      <c r="D6537" s="62" t="s">
        <v>385</v>
      </c>
      <c r="E6537" s="62" t="s">
        <v>72</v>
      </c>
      <c r="F6537" s="62" t="s">
        <v>382</v>
      </c>
      <c r="G6537" s="63" t="s">
        <v>667</v>
      </c>
      <c r="H6537" s="64" t="n">
        <v>2896162077.38764</v>
      </c>
      <c r="I6537" s="62" t="s">
        <v>81</v>
      </c>
      <c r="J6537" s="64" t="n">
        <v>2896162.07738764</v>
      </c>
      <c r="K6537" s="62" t="s">
        <v>138</v>
      </c>
      <c r="L6537" s="68" t="b">
        <f aca="false">FALSE()</f>
        <v>0</v>
      </c>
    </row>
    <row r="6538" customFormat="false" ht="15" hidden="false" customHeight="false" outlineLevel="0" collapsed="false">
      <c r="A6538" s="62" t="n">
        <v>1</v>
      </c>
      <c r="B6538" s="21" t="s">
        <v>336</v>
      </c>
      <c r="C6538" s="62" t="s">
        <v>60</v>
      </c>
      <c r="D6538" s="62" t="s">
        <v>386</v>
      </c>
      <c r="E6538" s="62" t="s">
        <v>72</v>
      </c>
      <c r="F6538" s="62" t="s">
        <v>382</v>
      </c>
      <c r="G6538" s="63" t="s">
        <v>667</v>
      </c>
      <c r="H6538" s="64" t="n">
        <v>3440974667.66974</v>
      </c>
      <c r="I6538" s="62" t="s">
        <v>81</v>
      </c>
      <c r="J6538" s="64" t="n">
        <v>3440974.66766974</v>
      </c>
      <c r="K6538" s="62" t="s">
        <v>138</v>
      </c>
      <c r="L6538" s="68" t="b">
        <f aca="false">FALSE()</f>
        <v>0</v>
      </c>
    </row>
    <row r="6539" customFormat="false" ht="15" hidden="false" customHeight="false" outlineLevel="0" collapsed="false">
      <c r="A6539" s="62" t="n">
        <v>1</v>
      </c>
      <c r="B6539" s="21" t="s">
        <v>336</v>
      </c>
      <c r="C6539" s="62" t="s">
        <v>60</v>
      </c>
      <c r="D6539" s="62" t="s">
        <v>387</v>
      </c>
      <c r="E6539" s="62" t="s">
        <v>72</v>
      </c>
      <c r="F6539" s="62" t="s">
        <v>382</v>
      </c>
      <c r="G6539" s="63" t="s">
        <v>667</v>
      </c>
      <c r="H6539" s="64" t="n">
        <v>3312648822.07212</v>
      </c>
      <c r="I6539" s="62" t="s">
        <v>81</v>
      </c>
      <c r="J6539" s="64" t="n">
        <v>3312648.82207212</v>
      </c>
      <c r="K6539" s="62" t="s">
        <v>138</v>
      </c>
      <c r="L6539" s="68" t="b">
        <f aca="false">FALSE()</f>
        <v>0</v>
      </c>
    </row>
    <row r="6540" customFormat="false" ht="15" hidden="false" customHeight="false" outlineLevel="0" collapsed="false">
      <c r="A6540" s="62" t="n">
        <v>1</v>
      </c>
      <c r="B6540" s="21" t="s">
        <v>336</v>
      </c>
      <c r="C6540" s="62" t="s">
        <v>60</v>
      </c>
      <c r="D6540" s="62" t="s">
        <v>388</v>
      </c>
      <c r="E6540" s="62" t="s">
        <v>72</v>
      </c>
      <c r="F6540" s="62" t="s">
        <v>382</v>
      </c>
      <c r="G6540" s="63" t="s">
        <v>667</v>
      </c>
      <c r="H6540" s="64" t="n">
        <v>2486081317.9371</v>
      </c>
      <c r="I6540" s="62" t="s">
        <v>81</v>
      </c>
      <c r="J6540" s="64" t="n">
        <v>2486081.3179371</v>
      </c>
      <c r="K6540" s="62" t="s">
        <v>138</v>
      </c>
      <c r="L6540" s="68" t="b">
        <f aca="false">FALSE()</f>
        <v>0</v>
      </c>
    </row>
    <row r="6541" customFormat="false" ht="15" hidden="false" customHeight="false" outlineLevel="0" collapsed="false">
      <c r="A6541" s="62" t="n">
        <v>1</v>
      </c>
      <c r="B6541" s="21" t="s">
        <v>336</v>
      </c>
      <c r="C6541" s="62" t="s">
        <v>60</v>
      </c>
      <c r="D6541" s="62" t="s">
        <v>381</v>
      </c>
      <c r="E6541" s="62" t="s">
        <v>72</v>
      </c>
      <c r="F6541" s="62" t="s">
        <v>382</v>
      </c>
      <c r="G6541" s="63" t="s">
        <v>668</v>
      </c>
      <c r="H6541" s="64" t="n">
        <v>40023901811.0239</v>
      </c>
      <c r="I6541" s="62" t="s">
        <v>81</v>
      </c>
      <c r="J6541" s="64" t="n">
        <v>40023901.8110239</v>
      </c>
      <c r="K6541" s="62" t="s">
        <v>138</v>
      </c>
      <c r="L6541" s="68" t="b">
        <f aca="false">FALSE()</f>
        <v>0</v>
      </c>
    </row>
    <row r="6542" customFormat="false" ht="15" hidden="false" customHeight="false" outlineLevel="0" collapsed="false">
      <c r="A6542" s="62" t="n">
        <v>1</v>
      </c>
      <c r="B6542" s="21" t="s">
        <v>336</v>
      </c>
      <c r="C6542" s="62" t="s">
        <v>60</v>
      </c>
      <c r="D6542" s="62" t="s">
        <v>383</v>
      </c>
      <c r="E6542" s="62" t="s">
        <v>72</v>
      </c>
      <c r="F6542" s="62" t="s">
        <v>382</v>
      </c>
      <c r="G6542" s="63" t="s">
        <v>668</v>
      </c>
      <c r="H6542" s="64" t="n">
        <v>46187307691.4851</v>
      </c>
      <c r="I6542" s="62" t="s">
        <v>81</v>
      </c>
      <c r="J6542" s="64" t="n">
        <v>46187307.6914851</v>
      </c>
      <c r="K6542" s="62" t="s">
        <v>138</v>
      </c>
      <c r="L6542" s="68" t="b">
        <f aca="false">FALSE()</f>
        <v>0</v>
      </c>
    </row>
    <row r="6543" customFormat="false" ht="15" hidden="false" customHeight="false" outlineLevel="0" collapsed="false">
      <c r="A6543" s="62" t="n">
        <v>1</v>
      </c>
      <c r="B6543" s="21" t="s">
        <v>336</v>
      </c>
      <c r="C6543" s="62" t="s">
        <v>60</v>
      </c>
      <c r="D6543" s="62" t="s">
        <v>384</v>
      </c>
      <c r="E6543" s="62" t="s">
        <v>72</v>
      </c>
      <c r="F6543" s="62" t="s">
        <v>382</v>
      </c>
      <c r="G6543" s="63" t="s">
        <v>668</v>
      </c>
      <c r="H6543" s="64" t="n">
        <v>41398274476.6866</v>
      </c>
      <c r="I6543" s="62" t="s">
        <v>81</v>
      </c>
      <c r="J6543" s="64" t="n">
        <v>41398274.4766866</v>
      </c>
      <c r="K6543" s="62" t="s">
        <v>138</v>
      </c>
      <c r="L6543" s="68" t="b">
        <f aca="false">FALSE()</f>
        <v>0</v>
      </c>
    </row>
    <row r="6544" customFormat="false" ht="15" hidden="false" customHeight="false" outlineLevel="0" collapsed="false">
      <c r="A6544" s="62" t="n">
        <v>1</v>
      </c>
      <c r="B6544" s="21" t="s">
        <v>336</v>
      </c>
      <c r="C6544" s="62" t="s">
        <v>60</v>
      </c>
      <c r="D6544" s="62" t="s">
        <v>385</v>
      </c>
      <c r="E6544" s="62" t="s">
        <v>72</v>
      </c>
      <c r="F6544" s="62" t="s">
        <v>382</v>
      </c>
      <c r="G6544" s="63" t="s">
        <v>668</v>
      </c>
      <c r="H6544" s="64" t="n">
        <v>33740288201.566</v>
      </c>
      <c r="I6544" s="62" t="s">
        <v>81</v>
      </c>
      <c r="J6544" s="64" t="n">
        <v>33740288.201566</v>
      </c>
      <c r="K6544" s="62" t="s">
        <v>138</v>
      </c>
      <c r="L6544" s="68" t="b">
        <f aca="false">FALSE()</f>
        <v>0</v>
      </c>
    </row>
    <row r="6545" customFormat="false" ht="15" hidden="false" customHeight="false" outlineLevel="0" collapsed="false">
      <c r="A6545" s="62" t="n">
        <v>1</v>
      </c>
      <c r="B6545" s="21" t="s">
        <v>336</v>
      </c>
      <c r="C6545" s="62" t="s">
        <v>60</v>
      </c>
      <c r="D6545" s="62" t="s">
        <v>386</v>
      </c>
      <c r="E6545" s="62" t="s">
        <v>72</v>
      </c>
      <c r="F6545" s="62" t="s">
        <v>382</v>
      </c>
      <c r="G6545" s="63" t="s">
        <v>668</v>
      </c>
      <c r="H6545" s="64" t="n">
        <v>40087354878.3525</v>
      </c>
      <c r="I6545" s="62" t="s">
        <v>81</v>
      </c>
      <c r="J6545" s="64" t="n">
        <v>40087354.8783525</v>
      </c>
      <c r="K6545" s="62" t="s">
        <v>138</v>
      </c>
      <c r="L6545" s="68" t="b">
        <f aca="false">FALSE()</f>
        <v>0</v>
      </c>
    </row>
    <row r="6546" customFormat="false" ht="15" hidden="false" customHeight="false" outlineLevel="0" collapsed="false">
      <c r="A6546" s="62" t="n">
        <v>1</v>
      </c>
      <c r="B6546" s="21" t="s">
        <v>336</v>
      </c>
      <c r="C6546" s="62" t="s">
        <v>60</v>
      </c>
      <c r="D6546" s="62" t="s">
        <v>387</v>
      </c>
      <c r="E6546" s="62" t="s">
        <v>72</v>
      </c>
      <c r="F6546" s="62" t="s">
        <v>382</v>
      </c>
      <c r="G6546" s="63" t="s">
        <v>668</v>
      </c>
      <c r="H6546" s="64" t="n">
        <v>38592358777.1402</v>
      </c>
      <c r="I6546" s="62" t="s">
        <v>81</v>
      </c>
      <c r="J6546" s="64" t="n">
        <v>38592358.7771402</v>
      </c>
      <c r="K6546" s="62" t="s">
        <v>138</v>
      </c>
      <c r="L6546" s="68" t="b">
        <f aca="false">FALSE()</f>
        <v>0</v>
      </c>
    </row>
    <row r="6547" customFormat="false" ht="15" hidden="false" customHeight="false" outlineLevel="0" collapsed="false">
      <c r="A6547" s="62" t="n">
        <v>1</v>
      </c>
      <c r="B6547" s="21" t="s">
        <v>336</v>
      </c>
      <c r="C6547" s="62" t="s">
        <v>60</v>
      </c>
      <c r="D6547" s="62" t="s">
        <v>388</v>
      </c>
      <c r="E6547" s="62" t="s">
        <v>72</v>
      </c>
      <c r="F6547" s="62" t="s">
        <v>382</v>
      </c>
      <c r="G6547" s="63" t="s">
        <v>668</v>
      </c>
      <c r="H6547" s="64" t="n">
        <v>28962847353.9672</v>
      </c>
      <c r="I6547" s="62" t="s">
        <v>81</v>
      </c>
      <c r="J6547" s="64" t="n">
        <v>28962847.3539672</v>
      </c>
      <c r="K6547" s="62" t="s">
        <v>138</v>
      </c>
      <c r="L6547" s="68" t="b">
        <f aca="false">FALSE()</f>
        <v>0</v>
      </c>
    </row>
    <row r="6548" customFormat="false" ht="15" hidden="false" customHeight="false" outlineLevel="0" collapsed="false">
      <c r="A6548" s="62" t="n">
        <v>1</v>
      </c>
      <c r="B6548" s="21" t="s">
        <v>336</v>
      </c>
      <c r="C6548" s="62" t="s">
        <v>60</v>
      </c>
      <c r="D6548" s="62" t="s">
        <v>381</v>
      </c>
      <c r="E6548" s="62" t="s">
        <v>72</v>
      </c>
      <c r="F6548" s="62" t="s">
        <v>382</v>
      </c>
      <c r="G6548" s="63" t="s">
        <v>669</v>
      </c>
      <c r="H6548" s="64" t="n">
        <v>2465637046.44841</v>
      </c>
      <c r="I6548" s="62" t="s">
        <v>81</v>
      </c>
      <c r="J6548" s="64" t="n">
        <v>2465637.04644841</v>
      </c>
      <c r="K6548" s="62" t="s">
        <v>138</v>
      </c>
      <c r="L6548" s="68" t="b">
        <f aca="false">FALSE()</f>
        <v>0</v>
      </c>
    </row>
    <row r="6549" customFormat="false" ht="15" hidden="false" customHeight="false" outlineLevel="0" collapsed="false">
      <c r="A6549" s="62" t="n">
        <v>1</v>
      </c>
      <c r="B6549" s="21" t="s">
        <v>336</v>
      </c>
      <c r="C6549" s="62" t="s">
        <v>60</v>
      </c>
      <c r="D6549" s="62" t="s">
        <v>383</v>
      </c>
      <c r="E6549" s="62" t="s">
        <v>72</v>
      </c>
      <c r="F6549" s="62" t="s">
        <v>382</v>
      </c>
      <c r="G6549" s="63" t="s">
        <v>669</v>
      </c>
      <c r="H6549" s="64" t="n">
        <v>2994684761.50945</v>
      </c>
      <c r="I6549" s="62" t="s">
        <v>81</v>
      </c>
      <c r="J6549" s="64" t="n">
        <v>2994684.76150945</v>
      </c>
      <c r="K6549" s="62" t="s">
        <v>138</v>
      </c>
      <c r="L6549" s="68" t="b">
        <f aca="false">FALSE()</f>
        <v>0</v>
      </c>
    </row>
    <row r="6550" customFormat="false" ht="15" hidden="false" customHeight="false" outlineLevel="0" collapsed="false">
      <c r="A6550" s="62" t="n">
        <v>1</v>
      </c>
      <c r="B6550" s="21" t="s">
        <v>336</v>
      </c>
      <c r="C6550" s="62" t="s">
        <v>60</v>
      </c>
      <c r="D6550" s="62" t="s">
        <v>384</v>
      </c>
      <c r="E6550" s="62" t="s">
        <v>72</v>
      </c>
      <c r="F6550" s="62" t="s">
        <v>382</v>
      </c>
      <c r="G6550" s="63" t="s">
        <v>669</v>
      </c>
      <c r="H6550" s="64" t="n">
        <v>2583608949.08039</v>
      </c>
      <c r="I6550" s="62" t="s">
        <v>81</v>
      </c>
      <c r="J6550" s="64" t="n">
        <v>2583608.94908039</v>
      </c>
      <c r="K6550" s="62" t="s">
        <v>138</v>
      </c>
      <c r="L6550" s="68" t="b">
        <f aca="false">FALSE()</f>
        <v>0</v>
      </c>
    </row>
    <row r="6551" customFormat="false" ht="15" hidden="false" customHeight="false" outlineLevel="0" collapsed="false">
      <c r="A6551" s="62" t="n">
        <v>1</v>
      </c>
      <c r="B6551" s="21" t="s">
        <v>336</v>
      </c>
      <c r="C6551" s="62" t="s">
        <v>60</v>
      </c>
      <c r="D6551" s="62" t="s">
        <v>385</v>
      </c>
      <c r="E6551" s="62" t="s">
        <v>72</v>
      </c>
      <c r="F6551" s="62" t="s">
        <v>382</v>
      </c>
      <c r="G6551" s="63" t="s">
        <v>669</v>
      </c>
      <c r="H6551" s="64" t="n">
        <v>1926271071.38764</v>
      </c>
      <c r="I6551" s="62" t="s">
        <v>81</v>
      </c>
      <c r="J6551" s="64" t="n">
        <v>1926271.07138764</v>
      </c>
      <c r="K6551" s="62" t="s">
        <v>138</v>
      </c>
      <c r="L6551" s="68" t="b">
        <f aca="false">FALSE()</f>
        <v>0</v>
      </c>
    </row>
    <row r="6552" customFormat="false" ht="15" hidden="false" customHeight="false" outlineLevel="0" collapsed="false">
      <c r="A6552" s="62" t="n">
        <v>1</v>
      </c>
      <c r="B6552" s="21" t="s">
        <v>336</v>
      </c>
      <c r="C6552" s="62" t="s">
        <v>60</v>
      </c>
      <c r="D6552" s="62" t="s">
        <v>386</v>
      </c>
      <c r="E6552" s="62" t="s">
        <v>72</v>
      </c>
      <c r="F6552" s="62" t="s">
        <v>382</v>
      </c>
      <c r="G6552" s="63" t="s">
        <v>669</v>
      </c>
      <c r="H6552" s="64" t="n">
        <v>2471083661.66974</v>
      </c>
      <c r="I6552" s="62" t="s">
        <v>81</v>
      </c>
      <c r="J6552" s="64" t="n">
        <v>2471083.66166974</v>
      </c>
      <c r="K6552" s="62" t="s">
        <v>138</v>
      </c>
      <c r="L6552" s="68" t="b">
        <f aca="false">FALSE()</f>
        <v>0</v>
      </c>
    </row>
    <row r="6553" customFormat="false" ht="15" hidden="false" customHeight="false" outlineLevel="0" collapsed="false">
      <c r="A6553" s="62" t="n">
        <v>1</v>
      </c>
      <c r="B6553" s="21" t="s">
        <v>336</v>
      </c>
      <c r="C6553" s="62" t="s">
        <v>60</v>
      </c>
      <c r="D6553" s="62" t="s">
        <v>387</v>
      </c>
      <c r="E6553" s="62" t="s">
        <v>72</v>
      </c>
      <c r="F6553" s="62" t="s">
        <v>382</v>
      </c>
      <c r="G6553" s="63" t="s">
        <v>669</v>
      </c>
      <c r="H6553" s="64" t="n">
        <v>2342757816.07212</v>
      </c>
      <c r="I6553" s="62" t="s">
        <v>81</v>
      </c>
      <c r="J6553" s="64" t="n">
        <v>2342757.81607212</v>
      </c>
      <c r="K6553" s="62" t="s">
        <v>138</v>
      </c>
      <c r="L6553" s="68" t="b">
        <f aca="false">FALSE()</f>
        <v>0</v>
      </c>
    </row>
    <row r="6554" customFormat="false" ht="15" hidden="false" customHeight="false" outlineLevel="0" collapsed="false">
      <c r="A6554" s="62" t="n">
        <v>1</v>
      </c>
      <c r="B6554" s="21" t="s">
        <v>336</v>
      </c>
      <c r="C6554" s="62" t="s">
        <v>60</v>
      </c>
      <c r="D6554" s="62" t="s">
        <v>388</v>
      </c>
      <c r="E6554" s="62" t="s">
        <v>72</v>
      </c>
      <c r="F6554" s="62" t="s">
        <v>382</v>
      </c>
      <c r="G6554" s="63" t="s">
        <v>669</v>
      </c>
      <c r="H6554" s="64" t="n">
        <v>1516190311.93709</v>
      </c>
      <c r="I6554" s="62" t="s">
        <v>81</v>
      </c>
      <c r="J6554" s="64" t="n">
        <v>1516190.31193709</v>
      </c>
      <c r="K6554" s="62" t="s">
        <v>138</v>
      </c>
      <c r="L6554" s="68" t="b">
        <f aca="false">FALSE()</f>
        <v>0</v>
      </c>
    </row>
    <row r="6555" customFormat="false" ht="15" hidden="false" customHeight="false" outlineLevel="0" collapsed="false">
      <c r="A6555" s="62" t="n">
        <v>1</v>
      </c>
      <c r="B6555" s="21" t="s">
        <v>336</v>
      </c>
      <c r="C6555" s="62" t="s">
        <v>60</v>
      </c>
      <c r="D6555" s="62" t="s">
        <v>381</v>
      </c>
      <c r="E6555" s="62" t="s">
        <v>72</v>
      </c>
      <c r="F6555" s="62" t="s">
        <v>382</v>
      </c>
      <c r="G6555" s="63" t="s">
        <v>670</v>
      </c>
      <c r="H6555" s="64" t="n">
        <v>36072269989.5402</v>
      </c>
      <c r="I6555" s="62" t="s">
        <v>81</v>
      </c>
      <c r="J6555" s="64" t="n">
        <v>36072269.9895402</v>
      </c>
      <c r="K6555" s="62" t="s">
        <v>138</v>
      </c>
      <c r="L6555" s="68" t="b">
        <f aca="false">FALSE()</f>
        <v>0</v>
      </c>
    </row>
    <row r="6556" customFormat="false" ht="15" hidden="false" customHeight="false" outlineLevel="0" collapsed="false">
      <c r="A6556" s="62" t="n">
        <v>1</v>
      </c>
      <c r="B6556" s="21" t="s">
        <v>336</v>
      </c>
      <c r="C6556" s="62" t="s">
        <v>60</v>
      </c>
      <c r="D6556" s="62" t="s">
        <v>383</v>
      </c>
      <c r="E6556" s="62" t="s">
        <v>72</v>
      </c>
      <c r="F6556" s="62" t="s">
        <v>382</v>
      </c>
      <c r="G6556" s="63" t="s">
        <v>670</v>
      </c>
      <c r="H6556" s="64" t="n">
        <v>43812238060.8832</v>
      </c>
      <c r="I6556" s="62" t="s">
        <v>81</v>
      </c>
      <c r="J6556" s="64" t="n">
        <v>43812238.0608832</v>
      </c>
      <c r="K6556" s="62" t="s">
        <v>138</v>
      </c>
      <c r="L6556" s="68" t="b">
        <f aca="false">FALSE()</f>
        <v>0</v>
      </c>
    </row>
    <row r="6557" customFormat="false" ht="15" hidden="false" customHeight="false" outlineLevel="0" collapsed="false">
      <c r="A6557" s="62" t="n">
        <v>1</v>
      </c>
      <c r="B6557" s="21" t="s">
        <v>336</v>
      </c>
      <c r="C6557" s="62" t="s">
        <v>60</v>
      </c>
      <c r="D6557" s="62" t="s">
        <v>384</v>
      </c>
      <c r="E6557" s="62" t="s">
        <v>72</v>
      </c>
      <c r="F6557" s="62" t="s">
        <v>382</v>
      </c>
      <c r="G6557" s="63" t="s">
        <v>670</v>
      </c>
      <c r="H6557" s="64" t="n">
        <v>37798198925.0462</v>
      </c>
      <c r="I6557" s="62" t="s">
        <v>81</v>
      </c>
      <c r="J6557" s="64" t="n">
        <v>37798198.9250462</v>
      </c>
      <c r="K6557" s="62" t="s">
        <v>138</v>
      </c>
      <c r="L6557" s="68" t="b">
        <f aca="false">FALSE()</f>
        <v>0</v>
      </c>
    </row>
    <row r="6558" customFormat="false" ht="15" hidden="false" customHeight="false" outlineLevel="0" collapsed="false">
      <c r="A6558" s="62" t="n">
        <v>1</v>
      </c>
      <c r="B6558" s="21" t="s">
        <v>336</v>
      </c>
      <c r="C6558" s="62" t="s">
        <v>60</v>
      </c>
      <c r="D6558" s="62" t="s">
        <v>385</v>
      </c>
      <c r="E6558" s="62" t="s">
        <v>72</v>
      </c>
      <c r="F6558" s="62" t="s">
        <v>382</v>
      </c>
      <c r="G6558" s="63" t="s">
        <v>670</v>
      </c>
      <c r="H6558" s="64" t="n">
        <v>28181345774.4011</v>
      </c>
      <c r="I6558" s="62" t="s">
        <v>81</v>
      </c>
      <c r="J6558" s="64" t="n">
        <v>28181345.7744011</v>
      </c>
      <c r="K6558" s="62" t="s">
        <v>138</v>
      </c>
      <c r="L6558" s="68" t="b">
        <f aca="false">FALSE()</f>
        <v>0</v>
      </c>
    </row>
    <row r="6559" customFormat="false" ht="15" hidden="false" customHeight="false" outlineLevel="0" collapsed="false">
      <c r="A6559" s="62" t="n">
        <v>1</v>
      </c>
      <c r="B6559" s="21" t="s">
        <v>336</v>
      </c>
      <c r="C6559" s="62" t="s">
        <v>60</v>
      </c>
      <c r="D6559" s="62" t="s">
        <v>386</v>
      </c>
      <c r="E6559" s="62" t="s">
        <v>72</v>
      </c>
      <c r="F6559" s="62" t="s">
        <v>382</v>
      </c>
      <c r="G6559" s="63" t="s">
        <v>670</v>
      </c>
      <c r="H6559" s="64" t="n">
        <v>36151953970.2283</v>
      </c>
      <c r="I6559" s="62" t="s">
        <v>81</v>
      </c>
      <c r="J6559" s="64" t="n">
        <v>36151953.9702283</v>
      </c>
      <c r="K6559" s="62" t="s">
        <v>138</v>
      </c>
      <c r="L6559" s="68" t="b">
        <f aca="false">FALSE()</f>
        <v>0</v>
      </c>
    </row>
    <row r="6560" customFormat="false" ht="15" hidden="false" customHeight="false" outlineLevel="0" collapsed="false">
      <c r="A6560" s="62" t="n">
        <v>1</v>
      </c>
      <c r="B6560" s="21" t="s">
        <v>336</v>
      </c>
      <c r="C6560" s="62" t="s">
        <v>60</v>
      </c>
      <c r="D6560" s="62" t="s">
        <v>387</v>
      </c>
      <c r="E6560" s="62" t="s">
        <v>72</v>
      </c>
      <c r="F6560" s="62" t="s">
        <v>382</v>
      </c>
      <c r="G6560" s="63" t="s">
        <v>670</v>
      </c>
      <c r="H6560" s="64" t="n">
        <v>34274546849.1351</v>
      </c>
      <c r="I6560" s="62" t="s">
        <v>81</v>
      </c>
      <c r="J6560" s="64" t="n">
        <v>34274546.8491351</v>
      </c>
      <c r="K6560" s="62" t="s">
        <v>138</v>
      </c>
      <c r="L6560" s="68" t="b">
        <f aca="false">FALSE()</f>
        <v>0</v>
      </c>
    </row>
    <row r="6561" customFormat="false" ht="15" hidden="false" customHeight="false" outlineLevel="0" collapsed="false">
      <c r="A6561" s="62" t="n">
        <v>1</v>
      </c>
      <c r="B6561" s="21" t="s">
        <v>336</v>
      </c>
      <c r="C6561" s="62" t="s">
        <v>60</v>
      </c>
      <c r="D6561" s="62" t="s">
        <v>388</v>
      </c>
      <c r="E6561" s="62" t="s">
        <v>72</v>
      </c>
      <c r="F6561" s="62" t="s">
        <v>382</v>
      </c>
      <c r="G6561" s="63" t="s">
        <v>670</v>
      </c>
      <c r="H6561" s="64" t="n">
        <v>22181864263.6397</v>
      </c>
      <c r="I6561" s="62" t="s">
        <v>81</v>
      </c>
      <c r="J6561" s="64" t="n">
        <v>22181864.2636397</v>
      </c>
      <c r="K6561" s="62" t="s">
        <v>138</v>
      </c>
      <c r="L6561" s="68" t="b">
        <f aca="false">FALSE()</f>
        <v>0</v>
      </c>
    </row>
    <row r="6562" customFormat="false" ht="15" hidden="false" customHeight="false" outlineLevel="0" collapsed="false">
      <c r="A6562" s="62" t="n">
        <v>1</v>
      </c>
      <c r="B6562" s="21" t="s">
        <v>336</v>
      </c>
      <c r="C6562" s="62" t="s">
        <v>60</v>
      </c>
      <c r="D6562" s="62" t="s">
        <v>381</v>
      </c>
      <c r="E6562" s="62" t="s">
        <v>72</v>
      </c>
      <c r="F6562" s="62" t="s">
        <v>382</v>
      </c>
      <c r="G6562" s="63" t="s">
        <v>671</v>
      </c>
      <c r="H6562" s="64" t="n">
        <v>2033795790.73254</v>
      </c>
      <c r="I6562" s="62" t="s">
        <v>81</v>
      </c>
      <c r="J6562" s="64" t="n">
        <v>2033795.79073254</v>
      </c>
      <c r="K6562" s="62" t="s">
        <v>138</v>
      </c>
      <c r="L6562" s="68" t="b">
        <f aca="false">FALSE()</f>
        <v>0</v>
      </c>
    </row>
    <row r="6563" customFormat="false" ht="15" hidden="false" customHeight="false" outlineLevel="0" collapsed="false">
      <c r="A6563" s="62" t="n">
        <v>1</v>
      </c>
      <c r="B6563" s="21" t="s">
        <v>336</v>
      </c>
      <c r="C6563" s="62" t="s">
        <v>60</v>
      </c>
      <c r="D6563" s="62" t="s">
        <v>383</v>
      </c>
      <c r="E6563" s="62" t="s">
        <v>72</v>
      </c>
      <c r="F6563" s="62" t="s">
        <v>382</v>
      </c>
      <c r="G6563" s="63" t="s">
        <v>671</v>
      </c>
      <c r="H6563" s="64" t="n">
        <v>2433510847.54989</v>
      </c>
      <c r="I6563" s="62" t="s">
        <v>81</v>
      </c>
      <c r="J6563" s="64" t="n">
        <v>2433510.84754989</v>
      </c>
      <c r="K6563" s="62" t="s">
        <v>138</v>
      </c>
      <c r="L6563" s="68" t="b">
        <f aca="false">FALSE()</f>
        <v>0</v>
      </c>
    </row>
    <row r="6564" customFormat="false" ht="15" hidden="false" customHeight="false" outlineLevel="0" collapsed="false">
      <c r="A6564" s="62" t="n">
        <v>1</v>
      </c>
      <c r="B6564" s="21" t="s">
        <v>336</v>
      </c>
      <c r="C6564" s="62" t="s">
        <v>60</v>
      </c>
      <c r="D6564" s="62" t="s">
        <v>384</v>
      </c>
      <c r="E6564" s="62" t="s">
        <v>72</v>
      </c>
      <c r="F6564" s="62" t="s">
        <v>382</v>
      </c>
      <c r="G6564" s="63" t="s">
        <v>671</v>
      </c>
      <c r="H6564" s="64" t="n">
        <v>2111294705.7845</v>
      </c>
      <c r="I6564" s="62" t="s">
        <v>81</v>
      </c>
      <c r="J6564" s="64" t="n">
        <v>2111294.7057845</v>
      </c>
      <c r="K6564" s="62" t="s">
        <v>138</v>
      </c>
      <c r="L6564" s="68" t="b">
        <f aca="false">FALSE()</f>
        <v>0</v>
      </c>
    </row>
    <row r="6565" customFormat="false" ht="15" hidden="false" customHeight="false" outlineLevel="0" collapsed="false">
      <c r="A6565" s="62" t="n">
        <v>1</v>
      </c>
      <c r="B6565" s="21" t="s">
        <v>336</v>
      </c>
      <c r="C6565" s="62" t="s">
        <v>60</v>
      </c>
      <c r="D6565" s="62" t="s">
        <v>385</v>
      </c>
      <c r="E6565" s="62" t="s">
        <v>72</v>
      </c>
      <c r="F6565" s="62" t="s">
        <v>382</v>
      </c>
      <c r="G6565" s="63" t="s">
        <v>671</v>
      </c>
      <c r="H6565" s="64" t="n">
        <v>1597899730.96613</v>
      </c>
      <c r="I6565" s="62" t="s">
        <v>81</v>
      </c>
      <c r="J6565" s="64" t="n">
        <v>1597899.73096613</v>
      </c>
      <c r="K6565" s="62" t="s">
        <v>138</v>
      </c>
      <c r="L6565" s="68" t="b">
        <f aca="false">FALSE()</f>
        <v>0</v>
      </c>
    </row>
    <row r="6566" customFormat="false" ht="15" hidden="false" customHeight="false" outlineLevel="0" collapsed="false">
      <c r="A6566" s="62" t="n">
        <v>1</v>
      </c>
      <c r="B6566" s="21" t="s">
        <v>336</v>
      </c>
      <c r="C6566" s="62" t="s">
        <v>60</v>
      </c>
      <c r="D6566" s="62" t="s">
        <v>386</v>
      </c>
      <c r="E6566" s="62" t="s">
        <v>72</v>
      </c>
      <c r="F6566" s="62" t="s">
        <v>382</v>
      </c>
      <c r="G6566" s="63" t="s">
        <v>671</v>
      </c>
      <c r="H6566" s="64" t="n">
        <v>2022309481.23155</v>
      </c>
      <c r="I6566" s="62" t="s">
        <v>81</v>
      </c>
      <c r="J6566" s="64" t="n">
        <v>2022309.48123155</v>
      </c>
      <c r="K6566" s="62" t="s">
        <v>138</v>
      </c>
      <c r="L6566" s="68" t="b">
        <f aca="false">FALSE()</f>
        <v>0</v>
      </c>
    </row>
    <row r="6567" customFormat="false" ht="15" hidden="false" customHeight="false" outlineLevel="0" collapsed="false">
      <c r="A6567" s="62" t="n">
        <v>1</v>
      </c>
      <c r="B6567" s="21" t="s">
        <v>336</v>
      </c>
      <c r="C6567" s="62" t="s">
        <v>60</v>
      </c>
      <c r="D6567" s="62" t="s">
        <v>387</v>
      </c>
      <c r="E6567" s="62" t="s">
        <v>72</v>
      </c>
      <c r="F6567" s="62" t="s">
        <v>382</v>
      </c>
      <c r="G6567" s="63" t="s">
        <v>671</v>
      </c>
      <c r="H6567" s="64" t="n">
        <v>1934127739.03029</v>
      </c>
      <c r="I6567" s="62" t="s">
        <v>81</v>
      </c>
      <c r="J6567" s="64" t="n">
        <v>1934127.73903029</v>
      </c>
      <c r="K6567" s="62" t="s">
        <v>138</v>
      </c>
      <c r="L6567" s="68" t="b">
        <f aca="false">FALSE()</f>
        <v>0</v>
      </c>
    </row>
    <row r="6568" customFormat="false" ht="15" hidden="false" customHeight="false" outlineLevel="0" collapsed="false">
      <c r="A6568" s="62" t="n">
        <v>1</v>
      </c>
      <c r="B6568" s="21" t="s">
        <v>336</v>
      </c>
      <c r="C6568" s="62" t="s">
        <v>60</v>
      </c>
      <c r="D6568" s="62" t="s">
        <v>388</v>
      </c>
      <c r="E6568" s="62" t="s">
        <v>72</v>
      </c>
      <c r="F6568" s="62" t="s">
        <v>382</v>
      </c>
      <c r="G6568" s="63" t="s">
        <v>671</v>
      </c>
      <c r="H6568" s="64" t="n">
        <v>1315422051.51824</v>
      </c>
      <c r="I6568" s="62" t="s">
        <v>81</v>
      </c>
      <c r="J6568" s="64" t="n">
        <v>1315422.05151824</v>
      </c>
      <c r="K6568" s="62" t="s">
        <v>138</v>
      </c>
      <c r="L6568" s="68" t="b">
        <f aca="false">FALSE()</f>
        <v>0</v>
      </c>
    </row>
    <row r="6569" customFormat="false" ht="15" hidden="false" customHeight="false" outlineLevel="0" collapsed="false">
      <c r="A6569" s="62" t="n">
        <v>1</v>
      </c>
      <c r="B6569" s="21" t="s">
        <v>336</v>
      </c>
      <c r="C6569" s="62" t="s">
        <v>60</v>
      </c>
      <c r="D6569" s="62" t="s">
        <v>381</v>
      </c>
      <c r="E6569" s="62" t="s">
        <v>72</v>
      </c>
      <c r="F6569" s="62" t="s">
        <v>382</v>
      </c>
      <c r="G6569" s="63" t="s">
        <v>672</v>
      </c>
      <c r="H6569" s="64" t="n">
        <v>35184667179.673</v>
      </c>
      <c r="I6569" s="62" t="s">
        <v>81</v>
      </c>
      <c r="J6569" s="64" t="n">
        <v>35184667.179673</v>
      </c>
      <c r="K6569" s="62" t="s">
        <v>138</v>
      </c>
      <c r="L6569" s="68" t="b">
        <f aca="false">FALSE()</f>
        <v>0</v>
      </c>
    </row>
    <row r="6570" customFormat="false" ht="15" hidden="false" customHeight="false" outlineLevel="0" collapsed="false">
      <c r="A6570" s="62" t="n">
        <v>1</v>
      </c>
      <c r="B6570" s="21" t="s">
        <v>336</v>
      </c>
      <c r="C6570" s="62" t="s">
        <v>60</v>
      </c>
      <c r="D6570" s="62" t="s">
        <v>383</v>
      </c>
      <c r="E6570" s="62" t="s">
        <v>72</v>
      </c>
      <c r="F6570" s="62" t="s">
        <v>382</v>
      </c>
      <c r="G6570" s="63" t="s">
        <v>672</v>
      </c>
      <c r="H6570" s="64" t="n">
        <v>42099737662.6131</v>
      </c>
      <c r="I6570" s="62" t="s">
        <v>81</v>
      </c>
      <c r="J6570" s="64" t="n">
        <v>42099737.6626131</v>
      </c>
      <c r="K6570" s="62" t="s">
        <v>138</v>
      </c>
      <c r="L6570" s="68" t="b">
        <f aca="false">FALSE()</f>
        <v>0</v>
      </c>
    </row>
    <row r="6571" customFormat="false" ht="15" hidden="false" customHeight="false" outlineLevel="0" collapsed="false">
      <c r="A6571" s="62" t="n">
        <v>1</v>
      </c>
      <c r="B6571" s="21" t="s">
        <v>336</v>
      </c>
      <c r="C6571" s="62" t="s">
        <v>60</v>
      </c>
      <c r="D6571" s="62" t="s">
        <v>384</v>
      </c>
      <c r="E6571" s="62" t="s">
        <v>72</v>
      </c>
      <c r="F6571" s="62" t="s">
        <v>382</v>
      </c>
      <c r="G6571" s="63" t="s">
        <v>672</v>
      </c>
      <c r="H6571" s="64" t="n">
        <v>36525398410.0718</v>
      </c>
      <c r="I6571" s="62" t="s">
        <v>81</v>
      </c>
      <c r="J6571" s="64" t="n">
        <v>36525398.4100718</v>
      </c>
      <c r="K6571" s="62" t="s">
        <v>138</v>
      </c>
      <c r="L6571" s="68" t="b">
        <f aca="false">FALSE()</f>
        <v>0</v>
      </c>
    </row>
    <row r="6572" customFormat="false" ht="15" hidden="false" customHeight="false" outlineLevel="0" collapsed="false">
      <c r="A6572" s="62" t="n">
        <v>1</v>
      </c>
      <c r="B6572" s="21" t="s">
        <v>336</v>
      </c>
      <c r="C6572" s="62" t="s">
        <v>60</v>
      </c>
      <c r="D6572" s="62" t="s">
        <v>385</v>
      </c>
      <c r="E6572" s="62" t="s">
        <v>72</v>
      </c>
      <c r="F6572" s="62" t="s">
        <v>382</v>
      </c>
      <c r="G6572" s="63" t="s">
        <v>672</v>
      </c>
      <c r="H6572" s="64" t="n">
        <v>27643665345.714</v>
      </c>
      <c r="I6572" s="62" t="s">
        <v>81</v>
      </c>
      <c r="J6572" s="64" t="n">
        <v>27643665.345714</v>
      </c>
      <c r="K6572" s="62" t="s">
        <v>138</v>
      </c>
      <c r="L6572" s="68" t="b">
        <f aca="false">FALSE()</f>
        <v>0</v>
      </c>
    </row>
    <row r="6573" customFormat="false" ht="15" hidden="false" customHeight="false" outlineLevel="0" collapsed="false">
      <c r="A6573" s="62" t="n">
        <v>1</v>
      </c>
      <c r="B6573" s="21" t="s">
        <v>336</v>
      </c>
      <c r="C6573" s="62" t="s">
        <v>60</v>
      </c>
      <c r="D6573" s="62" t="s">
        <v>386</v>
      </c>
      <c r="E6573" s="62" t="s">
        <v>72</v>
      </c>
      <c r="F6573" s="62" t="s">
        <v>382</v>
      </c>
      <c r="G6573" s="63" t="s">
        <v>672</v>
      </c>
      <c r="H6573" s="64" t="n">
        <v>34985954025.3059</v>
      </c>
      <c r="I6573" s="62" t="s">
        <v>81</v>
      </c>
      <c r="J6573" s="64" t="n">
        <v>34985954.0253059</v>
      </c>
      <c r="K6573" s="62" t="s">
        <v>138</v>
      </c>
      <c r="L6573" s="68" t="b">
        <f aca="false">FALSE()</f>
        <v>0</v>
      </c>
    </row>
    <row r="6574" customFormat="false" ht="15" hidden="false" customHeight="false" outlineLevel="0" collapsed="false">
      <c r="A6574" s="62" t="n">
        <v>1</v>
      </c>
      <c r="B6574" s="21" t="s">
        <v>336</v>
      </c>
      <c r="C6574" s="62" t="s">
        <v>60</v>
      </c>
      <c r="D6574" s="62" t="s">
        <v>387</v>
      </c>
      <c r="E6574" s="62" t="s">
        <v>72</v>
      </c>
      <c r="F6574" s="62" t="s">
        <v>382</v>
      </c>
      <c r="G6574" s="63" t="s">
        <v>672</v>
      </c>
      <c r="H6574" s="64" t="n">
        <v>33460409885.224</v>
      </c>
      <c r="I6574" s="62" t="s">
        <v>81</v>
      </c>
      <c r="J6574" s="64" t="n">
        <v>33460409.885224</v>
      </c>
      <c r="K6574" s="62" t="s">
        <v>138</v>
      </c>
      <c r="L6574" s="68" t="b">
        <f aca="false">FALSE()</f>
        <v>0</v>
      </c>
    </row>
    <row r="6575" customFormat="false" ht="15" hidden="false" customHeight="false" outlineLevel="0" collapsed="false">
      <c r="A6575" s="62" t="n">
        <v>1</v>
      </c>
      <c r="B6575" s="21" t="s">
        <v>336</v>
      </c>
      <c r="C6575" s="62" t="s">
        <v>60</v>
      </c>
      <c r="D6575" s="62" t="s">
        <v>388</v>
      </c>
      <c r="E6575" s="62" t="s">
        <v>72</v>
      </c>
      <c r="F6575" s="62" t="s">
        <v>382</v>
      </c>
      <c r="G6575" s="63" t="s">
        <v>672</v>
      </c>
      <c r="H6575" s="64" t="n">
        <v>22756801491.2656</v>
      </c>
      <c r="I6575" s="62" t="s">
        <v>81</v>
      </c>
      <c r="J6575" s="64" t="n">
        <v>22756801.4912656</v>
      </c>
      <c r="K6575" s="62" t="s">
        <v>138</v>
      </c>
      <c r="L6575" s="68" t="b">
        <f aca="false">FALSE()</f>
        <v>0</v>
      </c>
    </row>
    <row r="6576" customFormat="false" ht="15" hidden="false" customHeight="false" outlineLevel="0" collapsed="false">
      <c r="A6576" s="62" t="n">
        <v>1</v>
      </c>
      <c r="B6576" s="21" t="s">
        <v>336</v>
      </c>
      <c r="C6576" s="62" t="s">
        <v>60</v>
      </c>
      <c r="D6576" s="62" t="s">
        <v>381</v>
      </c>
      <c r="E6576" s="62" t="s">
        <v>72</v>
      </c>
      <c r="F6576" s="62" t="s">
        <v>382</v>
      </c>
      <c r="G6576" s="63" t="s">
        <v>673</v>
      </c>
      <c r="H6576" s="64" t="n">
        <v>22836604545.59</v>
      </c>
      <c r="I6576" s="62" t="s">
        <v>81</v>
      </c>
      <c r="J6576" s="64" t="n">
        <v>22836604.54559</v>
      </c>
      <c r="K6576" s="62" t="s">
        <v>138</v>
      </c>
      <c r="L6576" s="68" t="b">
        <f aca="false">FALSE()</f>
        <v>0</v>
      </c>
    </row>
    <row r="6577" customFormat="false" ht="15" hidden="false" customHeight="false" outlineLevel="0" collapsed="false">
      <c r="A6577" s="62" t="n">
        <v>1</v>
      </c>
      <c r="B6577" s="21" t="s">
        <v>336</v>
      </c>
      <c r="C6577" s="62" t="s">
        <v>60</v>
      </c>
      <c r="D6577" s="62" t="s">
        <v>383</v>
      </c>
      <c r="E6577" s="62" t="s">
        <v>72</v>
      </c>
      <c r="F6577" s="62" t="s">
        <v>382</v>
      </c>
      <c r="G6577" s="63" t="s">
        <v>673</v>
      </c>
      <c r="H6577" s="64" t="n">
        <v>25154199373.4453</v>
      </c>
      <c r="I6577" s="62" t="s">
        <v>81</v>
      </c>
      <c r="J6577" s="64" t="n">
        <v>25154199.3734453</v>
      </c>
      <c r="K6577" s="62" t="s">
        <v>138</v>
      </c>
      <c r="L6577" s="68" t="b">
        <f aca="false">FALSE()</f>
        <v>0</v>
      </c>
    </row>
    <row r="6578" customFormat="false" ht="15" hidden="false" customHeight="false" outlineLevel="0" collapsed="false">
      <c r="A6578" s="62" t="n">
        <v>1</v>
      </c>
      <c r="B6578" s="21" t="s">
        <v>336</v>
      </c>
      <c r="C6578" s="62" t="s">
        <v>60</v>
      </c>
      <c r="D6578" s="62" t="s">
        <v>384</v>
      </c>
      <c r="E6578" s="62" t="s">
        <v>72</v>
      </c>
      <c r="F6578" s="62" t="s">
        <v>382</v>
      </c>
      <c r="G6578" s="63" t="s">
        <v>673</v>
      </c>
      <c r="H6578" s="64" t="n">
        <v>26834909845.1437</v>
      </c>
      <c r="I6578" s="62" t="s">
        <v>81</v>
      </c>
      <c r="J6578" s="64" t="n">
        <v>26834909.8451437</v>
      </c>
      <c r="K6578" s="62" t="s">
        <v>138</v>
      </c>
      <c r="L6578" s="68" t="b">
        <f aca="false">FALSE()</f>
        <v>0</v>
      </c>
    </row>
    <row r="6579" customFormat="false" ht="15" hidden="false" customHeight="false" outlineLevel="0" collapsed="false">
      <c r="A6579" s="62" t="n">
        <v>1</v>
      </c>
      <c r="B6579" s="21" t="s">
        <v>336</v>
      </c>
      <c r="C6579" s="62" t="s">
        <v>60</v>
      </c>
      <c r="D6579" s="62" t="s">
        <v>385</v>
      </c>
      <c r="E6579" s="62" t="s">
        <v>72</v>
      </c>
      <c r="F6579" s="62" t="s">
        <v>382</v>
      </c>
      <c r="G6579" s="63" t="s">
        <v>673</v>
      </c>
      <c r="H6579" s="64" t="n">
        <v>22110894374.5832</v>
      </c>
      <c r="I6579" s="62" t="s">
        <v>81</v>
      </c>
      <c r="J6579" s="64" t="n">
        <v>22110894.3745832</v>
      </c>
      <c r="K6579" s="62" t="s">
        <v>138</v>
      </c>
      <c r="L6579" s="68" t="b">
        <f aca="false">FALSE()</f>
        <v>0</v>
      </c>
    </row>
    <row r="6580" customFormat="false" ht="15" hidden="false" customHeight="false" outlineLevel="0" collapsed="false">
      <c r="A6580" s="62" t="n">
        <v>1</v>
      </c>
      <c r="B6580" s="21" t="s">
        <v>336</v>
      </c>
      <c r="C6580" s="62" t="s">
        <v>60</v>
      </c>
      <c r="D6580" s="62" t="s">
        <v>386</v>
      </c>
      <c r="E6580" s="62" t="s">
        <v>72</v>
      </c>
      <c r="F6580" s="62" t="s">
        <v>382</v>
      </c>
      <c r="G6580" s="63" t="s">
        <v>673</v>
      </c>
      <c r="H6580" s="64" t="n">
        <v>26285279808.1553</v>
      </c>
      <c r="I6580" s="62" t="s">
        <v>81</v>
      </c>
      <c r="J6580" s="64" t="n">
        <v>26285279.8081553</v>
      </c>
      <c r="K6580" s="62" t="s">
        <v>138</v>
      </c>
      <c r="L6580" s="68" t="b">
        <f aca="false">FALSE()</f>
        <v>0</v>
      </c>
    </row>
    <row r="6581" customFormat="false" ht="15" hidden="false" customHeight="false" outlineLevel="0" collapsed="false">
      <c r="A6581" s="62" t="n">
        <v>1</v>
      </c>
      <c r="B6581" s="21" t="s">
        <v>336</v>
      </c>
      <c r="C6581" s="62" t="s">
        <v>60</v>
      </c>
      <c r="D6581" s="62" t="s">
        <v>387</v>
      </c>
      <c r="E6581" s="62" t="s">
        <v>72</v>
      </c>
      <c r="F6581" s="62" t="s">
        <v>382</v>
      </c>
      <c r="G6581" s="63" t="s">
        <v>673</v>
      </c>
      <c r="H6581" s="64" t="n">
        <v>21797106207.6549</v>
      </c>
      <c r="I6581" s="62" t="s">
        <v>81</v>
      </c>
      <c r="J6581" s="64" t="n">
        <v>21797106.2076549</v>
      </c>
      <c r="K6581" s="62" t="s">
        <v>138</v>
      </c>
      <c r="L6581" s="68" t="b">
        <f aca="false">FALSE()</f>
        <v>0</v>
      </c>
    </row>
    <row r="6582" customFormat="false" ht="15" hidden="false" customHeight="false" outlineLevel="0" collapsed="false">
      <c r="A6582" s="62" t="n">
        <v>1</v>
      </c>
      <c r="B6582" s="21" t="s">
        <v>336</v>
      </c>
      <c r="C6582" s="62" t="s">
        <v>60</v>
      </c>
      <c r="D6582" s="62" t="s">
        <v>388</v>
      </c>
      <c r="E6582" s="62" t="s">
        <v>72</v>
      </c>
      <c r="F6582" s="62" t="s">
        <v>382</v>
      </c>
      <c r="G6582" s="63" t="s">
        <v>673</v>
      </c>
      <c r="H6582" s="64" t="n">
        <v>15334286084.6061</v>
      </c>
      <c r="I6582" s="62" t="s">
        <v>81</v>
      </c>
      <c r="J6582" s="64" t="n">
        <v>15334286.0846061</v>
      </c>
      <c r="K6582" s="62" t="s">
        <v>138</v>
      </c>
      <c r="L6582" s="68" t="b">
        <f aca="false">FALSE()</f>
        <v>0</v>
      </c>
    </row>
    <row r="6583" customFormat="false" ht="15" hidden="false" customHeight="false" outlineLevel="0" collapsed="false">
      <c r="A6583" s="62" t="n">
        <v>1</v>
      </c>
      <c r="B6583" s="21" t="s">
        <v>336</v>
      </c>
      <c r="C6583" s="62" t="s">
        <v>60</v>
      </c>
      <c r="D6583" s="62" t="s">
        <v>381</v>
      </c>
      <c r="E6583" s="62" t="s">
        <v>72</v>
      </c>
      <c r="F6583" s="62" t="s">
        <v>382</v>
      </c>
      <c r="G6583" s="63" t="s">
        <v>674</v>
      </c>
      <c r="H6583" s="64" t="n">
        <v>2277572924.70316</v>
      </c>
      <c r="I6583" s="62" t="s">
        <v>81</v>
      </c>
      <c r="J6583" s="64" t="n">
        <v>2277572.92470316</v>
      </c>
      <c r="K6583" s="62" t="s">
        <v>138</v>
      </c>
      <c r="L6583" s="68" t="b">
        <f aca="false">FALSE()</f>
        <v>0</v>
      </c>
    </row>
    <row r="6584" customFormat="false" ht="15" hidden="false" customHeight="false" outlineLevel="0" collapsed="false">
      <c r="A6584" s="62" t="n">
        <v>1</v>
      </c>
      <c r="B6584" s="21" t="s">
        <v>336</v>
      </c>
      <c r="C6584" s="62" t="s">
        <v>60</v>
      </c>
      <c r="D6584" s="62" t="s">
        <v>383</v>
      </c>
      <c r="E6584" s="62" t="s">
        <v>72</v>
      </c>
      <c r="F6584" s="62" t="s">
        <v>382</v>
      </c>
      <c r="G6584" s="63" t="s">
        <v>674</v>
      </c>
      <c r="H6584" s="64" t="n">
        <v>9749441678.36232</v>
      </c>
      <c r="I6584" s="62" t="s">
        <v>81</v>
      </c>
      <c r="J6584" s="64" t="n">
        <v>9749441.67836232</v>
      </c>
      <c r="K6584" s="62" t="s">
        <v>138</v>
      </c>
      <c r="L6584" s="68" t="b">
        <f aca="false">FALSE()</f>
        <v>0</v>
      </c>
    </row>
    <row r="6585" customFormat="false" ht="15" hidden="false" customHeight="false" outlineLevel="0" collapsed="false">
      <c r="A6585" s="62" t="n">
        <v>1</v>
      </c>
      <c r="B6585" s="21" t="s">
        <v>336</v>
      </c>
      <c r="C6585" s="62" t="s">
        <v>60</v>
      </c>
      <c r="D6585" s="62" t="s">
        <v>384</v>
      </c>
      <c r="E6585" s="62" t="s">
        <v>72</v>
      </c>
      <c r="F6585" s="62" t="s">
        <v>382</v>
      </c>
      <c r="G6585" s="63" t="s">
        <v>674</v>
      </c>
      <c r="H6585" s="64" t="n">
        <v>5828112658.70195</v>
      </c>
      <c r="I6585" s="62" t="s">
        <v>81</v>
      </c>
      <c r="J6585" s="64" t="n">
        <v>5828112.65870195</v>
      </c>
      <c r="K6585" s="62" t="s">
        <v>138</v>
      </c>
      <c r="L6585" s="68" t="b">
        <f aca="false">FALSE()</f>
        <v>0</v>
      </c>
    </row>
    <row r="6586" customFormat="false" ht="15" hidden="false" customHeight="false" outlineLevel="0" collapsed="false">
      <c r="A6586" s="62" t="n">
        <v>1</v>
      </c>
      <c r="B6586" s="21" t="s">
        <v>336</v>
      </c>
      <c r="C6586" s="62" t="s">
        <v>60</v>
      </c>
      <c r="D6586" s="62" t="s">
        <v>385</v>
      </c>
      <c r="E6586" s="62" t="s">
        <v>72</v>
      </c>
      <c r="F6586" s="62" t="s">
        <v>382</v>
      </c>
      <c r="G6586" s="63" t="s">
        <v>674</v>
      </c>
      <c r="H6586" s="64" t="n">
        <v>2004131030.14974</v>
      </c>
      <c r="I6586" s="62" t="s">
        <v>81</v>
      </c>
      <c r="J6586" s="64" t="n">
        <v>2004131.03014974</v>
      </c>
      <c r="K6586" s="62" t="s">
        <v>138</v>
      </c>
      <c r="L6586" s="68" t="b">
        <f aca="false">FALSE()</f>
        <v>0</v>
      </c>
    </row>
    <row r="6587" customFormat="false" ht="15" hidden="false" customHeight="false" outlineLevel="0" collapsed="false">
      <c r="A6587" s="62" t="n">
        <v>1</v>
      </c>
      <c r="B6587" s="21" t="s">
        <v>336</v>
      </c>
      <c r="C6587" s="62" t="s">
        <v>60</v>
      </c>
      <c r="D6587" s="62" t="s">
        <v>386</v>
      </c>
      <c r="E6587" s="62" t="s">
        <v>72</v>
      </c>
      <c r="F6587" s="62" t="s">
        <v>382</v>
      </c>
      <c r="G6587" s="63" t="s">
        <v>674</v>
      </c>
      <c r="H6587" s="64" t="n">
        <v>3784706426.73141</v>
      </c>
      <c r="I6587" s="62" t="s">
        <v>81</v>
      </c>
      <c r="J6587" s="64" t="n">
        <v>3784706.42673141</v>
      </c>
      <c r="K6587" s="62" t="s">
        <v>138</v>
      </c>
      <c r="L6587" s="68" t="b">
        <f aca="false">FALSE()</f>
        <v>0</v>
      </c>
    </row>
    <row r="6588" customFormat="false" ht="15" hidden="false" customHeight="false" outlineLevel="0" collapsed="false">
      <c r="A6588" s="62" t="n">
        <v>1</v>
      </c>
      <c r="B6588" s="21" t="s">
        <v>336</v>
      </c>
      <c r="C6588" s="62" t="s">
        <v>60</v>
      </c>
      <c r="D6588" s="62" t="s">
        <v>387</v>
      </c>
      <c r="E6588" s="62" t="s">
        <v>72</v>
      </c>
      <c r="F6588" s="62" t="s">
        <v>382</v>
      </c>
      <c r="G6588" s="63" t="s">
        <v>674</v>
      </c>
      <c r="H6588" s="64" t="n">
        <v>11250584790.0271</v>
      </c>
      <c r="I6588" s="62" t="s">
        <v>81</v>
      </c>
      <c r="J6588" s="64" t="n">
        <v>11250584.7900271</v>
      </c>
      <c r="K6588" s="62" t="s">
        <v>138</v>
      </c>
      <c r="L6588" s="68" t="b">
        <f aca="false">FALSE()</f>
        <v>0</v>
      </c>
    </row>
    <row r="6589" customFormat="false" ht="15" hidden="false" customHeight="false" outlineLevel="0" collapsed="false">
      <c r="A6589" s="62" t="n">
        <v>1</v>
      </c>
      <c r="B6589" s="21" t="s">
        <v>336</v>
      </c>
      <c r="C6589" s="62" t="s">
        <v>60</v>
      </c>
      <c r="D6589" s="62" t="s">
        <v>388</v>
      </c>
      <c r="E6589" s="62" t="s">
        <v>72</v>
      </c>
      <c r="F6589" s="62" t="s">
        <v>382</v>
      </c>
      <c r="G6589" s="63" t="s">
        <v>674</v>
      </c>
      <c r="H6589" s="64" t="n">
        <v>2654785857.09647</v>
      </c>
      <c r="I6589" s="62" t="s">
        <v>81</v>
      </c>
      <c r="J6589" s="64" t="n">
        <v>2654785.85709647</v>
      </c>
      <c r="K6589" s="62" t="s">
        <v>138</v>
      </c>
      <c r="L6589" s="68" t="b">
        <f aca="false">FALSE()</f>
        <v>0</v>
      </c>
    </row>
    <row r="6590" customFormat="false" ht="15" hidden="false" customHeight="false" outlineLevel="0" collapsed="false">
      <c r="A6590" s="62" t="n">
        <v>1</v>
      </c>
      <c r="B6590" s="21" t="s">
        <v>336</v>
      </c>
      <c r="C6590" s="62" t="s">
        <v>60</v>
      </c>
      <c r="D6590" s="62" t="s">
        <v>381</v>
      </c>
      <c r="E6590" s="62" t="s">
        <v>72</v>
      </c>
      <c r="F6590" s="62" t="s">
        <v>382</v>
      </c>
      <c r="G6590" s="63" t="s">
        <v>675</v>
      </c>
      <c r="H6590" s="64" t="n">
        <v>-2127098698.34358</v>
      </c>
      <c r="I6590" s="62" t="s">
        <v>81</v>
      </c>
      <c r="J6590" s="64" t="n">
        <v>-2127098.69834358</v>
      </c>
      <c r="K6590" s="62" t="s">
        <v>138</v>
      </c>
      <c r="L6590" s="68" t="b">
        <f aca="false">FALSE()</f>
        <v>0</v>
      </c>
    </row>
    <row r="6591" customFormat="false" ht="15" hidden="false" customHeight="false" outlineLevel="0" collapsed="false">
      <c r="A6591" s="62" t="n">
        <v>1</v>
      </c>
      <c r="B6591" s="21" t="s">
        <v>336</v>
      </c>
      <c r="C6591" s="62" t="s">
        <v>60</v>
      </c>
      <c r="D6591" s="62" t="s">
        <v>383</v>
      </c>
      <c r="E6591" s="62" t="s">
        <v>72</v>
      </c>
      <c r="F6591" s="62" t="s">
        <v>382</v>
      </c>
      <c r="G6591" s="63" t="s">
        <v>675</v>
      </c>
      <c r="H6591" s="64" t="n">
        <v>-9900485733.29246</v>
      </c>
      <c r="I6591" s="62" t="s">
        <v>81</v>
      </c>
      <c r="J6591" s="64" t="n">
        <v>-9900485.73329246</v>
      </c>
      <c r="K6591" s="62" t="s">
        <v>138</v>
      </c>
      <c r="L6591" s="68" t="b">
        <f aca="false">FALSE()</f>
        <v>0</v>
      </c>
    </row>
    <row r="6592" customFormat="false" ht="15" hidden="false" customHeight="false" outlineLevel="0" collapsed="false">
      <c r="A6592" s="62" t="n">
        <v>1</v>
      </c>
      <c r="B6592" s="21" t="s">
        <v>336</v>
      </c>
      <c r="C6592" s="62" t="s">
        <v>60</v>
      </c>
      <c r="D6592" s="62" t="s">
        <v>384</v>
      </c>
      <c r="E6592" s="62" t="s">
        <v>72</v>
      </c>
      <c r="F6592" s="62" t="s">
        <v>382</v>
      </c>
      <c r="G6592" s="63" t="s">
        <v>675</v>
      </c>
      <c r="H6592" s="64" t="n">
        <v>-4913844022.03854</v>
      </c>
      <c r="I6592" s="62" t="s">
        <v>81</v>
      </c>
      <c r="J6592" s="64" t="n">
        <v>-4913844.02203854</v>
      </c>
      <c r="K6592" s="62" t="s">
        <v>138</v>
      </c>
      <c r="L6592" s="68" t="b">
        <f aca="false">FALSE()</f>
        <v>0</v>
      </c>
    </row>
    <row r="6593" customFormat="false" ht="15" hidden="false" customHeight="false" outlineLevel="0" collapsed="false">
      <c r="A6593" s="62" t="n">
        <v>1</v>
      </c>
      <c r="B6593" s="21" t="s">
        <v>336</v>
      </c>
      <c r="C6593" s="62" t="s">
        <v>60</v>
      </c>
      <c r="D6593" s="62" t="s">
        <v>385</v>
      </c>
      <c r="E6593" s="62" t="s">
        <v>72</v>
      </c>
      <c r="F6593" s="62" t="s">
        <v>382</v>
      </c>
      <c r="G6593" s="63" t="s">
        <v>675</v>
      </c>
      <c r="H6593" s="64" t="n">
        <v>-363988446.076929</v>
      </c>
      <c r="I6593" s="62" t="s">
        <v>81</v>
      </c>
      <c r="J6593" s="64" t="n">
        <v>-363988.446076929</v>
      </c>
      <c r="K6593" s="62" t="s">
        <v>138</v>
      </c>
      <c r="L6593" s="68" t="b">
        <f aca="false">FALSE()</f>
        <v>0</v>
      </c>
    </row>
    <row r="6594" customFormat="false" ht="15" hidden="false" customHeight="false" outlineLevel="0" collapsed="false">
      <c r="A6594" s="62" t="n">
        <v>1</v>
      </c>
      <c r="B6594" s="21" t="s">
        <v>336</v>
      </c>
      <c r="C6594" s="62" t="s">
        <v>60</v>
      </c>
      <c r="D6594" s="62" t="s">
        <v>386</v>
      </c>
      <c r="E6594" s="62" t="s">
        <v>72</v>
      </c>
      <c r="F6594" s="62" t="s">
        <v>382</v>
      </c>
      <c r="G6594" s="63" t="s">
        <v>675</v>
      </c>
      <c r="H6594" s="64" t="n">
        <v>-1694728364.38561</v>
      </c>
      <c r="I6594" s="62" t="s">
        <v>81</v>
      </c>
      <c r="J6594" s="64" t="n">
        <v>-1694728.36438561</v>
      </c>
      <c r="K6594" s="62" t="s">
        <v>138</v>
      </c>
      <c r="L6594" s="68" t="b">
        <f aca="false">FALSE()</f>
        <v>0</v>
      </c>
    </row>
    <row r="6595" customFormat="false" ht="15" hidden="false" customHeight="false" outlineLevel="0" collapsed="false">
      <c r="A6595" s="62" t="n">
        <v>1</v>
      </c>
      <c r="B6595" s="21" t="s">
        <v>336</v>
      </c>
      <c r="C6595" s="62" t="s">
        <v>60</v>
      </c>
      <c r="D6595" s="62" t="s">
        <v>387</v>
      </c>
      <c r="E6595" s="62" t="s">
        <v>72</v>
      </c>
      <c r="F6595" s="62" t="s">
        <v>382</v>
      </c>
      <c r="G6595" s="63" t="s">
        <v>675</v>
      </c>
      <c r="H6595" s="64" t="n">
        <v>-10766318032.0366</v>
      </c>
      <c r="I6595" s="62" t="s">
        <v>81</v>
      </c>
      <c r="J6595" s="64" t="n">
        <v>-10766318.0320366</v>
      </c>
      <c r="K6595" s="62" t="s">
        <v>138</v>
      </c>
      <c r="L6595" s="68" t="b">
        <f aca="false">FALSE()</f>
        <v>0</v>
      </c>
    </row>
    <row r="6596" customFormat="false" ht="15" hidden="false" customHeight="false" outlineLevel="0" collapsed="false">
      <c r="A6596" s="62" t="n">
        <v>1</v>
      </c>
      <c r="B6596" s="21" t="s">
        <v>336</v>
      </c>
      <c r="C6596" s="62" t="s">
        <v>60</v>
      </c>
      <c r="D6596" s="62" t="s">
        <v>388</v>
      </c>
      <c r="E6596" s="62" t="s">
        <v>72</v>
      </c>
      <c r="F6596" s="62" t="s">
        <v>382</v>
      </c>
      <c r="G6596" s="63" t="s">
        <v>675</v>
      </c>
      <c r="H6596" s="64" t="n">
        <v>-1033688727.23972</v>
      </c>
      <c r="I6596" s="62" t="s">
        <v>81</v>
      </c>
      <c r="J6596" s="64" t="n">
        <v>-1033688.72723972</v>
      </c>
      <c r="K6596" s="62" t="s">
        <v>138</v>
      </c>
      <c r="L6596" s="68" t="b">
        <f aca="false">FALSE()</f>
        <v>0</v>
      </c>
    </row>
    <row r="6597" customFormat="false" ht="15" hidden="false" customHeight="false" outlineLevel="0" collapsed="false">
      <c r="A6597" s="62" t="n">
        <v>1</v>
      </c>
      <c r="B6597" s="21" t="s">
        <v>336</v>
      </c>
      <c r="C6597" s="62" t="s">
        <v>60</v>
      </c>
      <c r="D6597" s="62" t="s">
        <v>381</v>
      </c>
      <c r="E6597" s="62" t="s">
        <v>72</v>
      </c>
      <c r="F6597" s="62" t="s">
        <v>382</v>
      </c>
      <c r="G6597" s="63" t="s">
        <v>676</v>
      </c>
      <c r="H6597" s="64" t="n">
        <v>22987078771.9496</v>
      </c>
      <c r="I6597" s="62" t="s">
        <v>81</v>
      </c>
      <c r="J6597" s="64" t="n">
        <v>22987078.7719496</v>
      </c>
      <c r="K6597" s="62" t="s">
        <v>138</v>
      </c>
      <c r="L6597" s="68" t="b">
        <f aca="false">FALSE()</f>
        <v>0</v>
      </c>
    </row>
    <row r="6598" customFormat="false" ht="15" hidden="false" customHeight="false" outlineLevel="0" collapsed="false">
      <c r="A6598" s="62" t="n">
        <v>1</v>
      </c>
      <c r="B6598" s="21" t="s">
        <v>336</v>
      </c>
      <c r="C6598" s="62" t="s">
        <v>60</v>
      </c>
      <c r="D6598" s="62" t="s">
        <v>383</v>
      </c>
      <c r="E6598" s="62" t="s">
        <v>72</v>
      </c>
      <c r="F6598" s="62" t="s">
        <v>382</v>
      </c>
      <c r="G6598" s="63" t="s">
        <v>676</v>
      </c>
      <c r="H6598" s="64" t="n">
        <v>25003155318.5151</v>
      </c>
      <c r="I6598" s="62" t="s">
        <v>81</v>
      </c>
      <c r="J6598" s="64" t="n">
        <v>25003155.3185151</v>
      </c>
      <c r="K6598" s="62" t="s">
        <v>138</v>
      </c>
      <c r="L6598" s="68" t="b">
        <f aca="false">FALSE()</f>
        <v>0</v>
      </c>
    </row>
    <row r="6599" customFormat="false" ht="15" hidden="false" customHeight="false" outlineLevel="0" collapsed="false">
      <c r="A6599" s="62" t="n">
        <v>1</v>
      </c>
      <c r="B6599" s="21" t="s">
        <v>336</v>
      </c>
      <c r="C6599" s="62" t="s">
        <v>60</v>
      </c>
      <c r="D6599" s="62" t="s">
        <v>384</v>
      </c>
      <c r="E6599" s="62" t="s">
        <v>72</v>
      </c>
      <c r="F6599" s="62" t="s">
        <v>382</v>
      </c>
      <c r="G6599" s="63" t="s">
        <v>676</v>
      </c>
      <c r="H6599" s="64" t="n">
        <v>27749178481.8071</v>
      </c>
      <c r="I6599" s="62" t="s">
        <v>81</v>
      </c>
      <c r="J6599" s="64" t="n">
        <v>27749178.4818071</v>
      </c>
      <c r="K6599" s="62" t="s">
        <v>138</v>
      </c>
      <c r="L6599" s="68" t="b">
        <f aca="false">FALSE()</f>
        <v>0</v>
      </c>
    </row>
    <row r="6600" customFormat="false" ht="15" hidden="false" customHeight="false" outlineLevel="0" collapsed="false">
      <c r="A6600" s="62" t="n">
        <v>1</v>
      </c>
      <c r="B6600" s="21" t="s">
        <v>336</v>
      </c>
      <c r="C6600" s="62" t="s">
        <v>60</v>
      </c>
      <c r="D6600" s="62" t="s">
        <v>385</v>
      </c>
      <c r="E6600" s="62" t="s">
        <v>72</v>
      </c>
      <c r="F6600" s="62" t="s">
        <v>382</v>
      </c>
      <c r="G6600" s="63" t="s">
        <v>676</v>
      </c>
      <c r="H6600" s="64" t="n">
        <v>23751036958.656</v>
      </c>
      <c r="I6600" s="62" t="s">
        <v>81</v>
      </c>
      <c r="J6600" s="64" t="n">
        <v>23751036.958656</v>
      </c>
      <c r="K6600" s="62" t="s">
        <v>138</v>
      </c>
      <c r="L6600" s="68" t="b">
        <f aca="false">FALSE()</f>
        <v>0</v>
      </c>
    </row>
    <row r="6601" customFormat="false" ht="15" hidden="false" customHeight="false" outlineLevel="0" collapsed="false">
      <c r="A6601" s="62" t="n">
        <v>1</v>
      </c>
      <c r="B6601" s="21" t="s">
        <v>336</v>
      </c>
      <c r="C6601" s="62" t="s">
        <v>60</v>
      </c>
      <c r="D6601" s="62" t="s">
        <v>386</v>
      </c>
      <c r="E6601" s="62" t="s">
        <v>72</v>
      </c>
      <c r="F6601" s="62" t="s">
        <v>382</v>
      </c>
      <c r="G6601" s="63" t="s">
        <v>676</v>
      </c>
      <c r="H6601" s="64" t="n">
        <v>28375257870.5011</v>
      </c>
      <c r="I6601" s="62" t="s">
        <v>81</v>
      </c>
      <c r="J6601" s="64" t="n">
        <v>28375257.8705011</v>
      </c>
      <c r="K6601" s="62" t="s">
        <v>138</v>
      </c>
      <c r="L6601" s="68" t="b">
        <f aca="false">FALSE()</f>
        <v>0</v>
      </c>
    </row>
    <row r="6602" customFormat="false" ht="15" hidden="false" customHeight="false" outlineLevel="0" collapsed="false">
      <c r="A6602" s="62" t="n">
        <v>1</v>
      </c>
      <c r="B6602" s="21" t="s">
        <v>336</v>
      </c>
      <c r="C6602" s="62" t="s">
        <v>60</v>
      </c>
      <c r="D6602" s="62" t="s">
        <v>387</v>
      </c>
      <c r="E6602" s="62" t="s">
        <v>72</v>
      </c>
      <c r="F6602" s="62" t="s">
        <v>382</v>
      </c>
      <c r="G6602" s="63" t="s">
        <v>676</v>
      </c>
      <c r="H6602" s="64" t="n">
        <v>22281372965.6455</v>
      </c>
      <c r="I6602" s="62" t="s">
        <v>81</v>
      </c>
      <c r="J6602" s="64" t="n">
        <v>22281372.9656455</v>
      </c>
      <c r="K6602" s="62" t="s">
        <v>138</v>
      </c>
      <c r="L6602" s="68" t="b">
        <f aca="false">FALSE()</f>
        <v>0</v>
      </c>
    </row>
    <row r="6603" customFormat="false" ht="15" hidden="false" customHeight="false" outlineLevel="0" collapsed="false">
      <c r="A6603" s="62" t="n">
        <v>1</v>
      </c>
      <c r="B6603" s="21" t="s">
        <v>336</v>
      </c>
      <c r="C6603" s="62" t="s">
        <v>60</v>
      </c>
      <c r="D6603" s="62" t="s">
        <v>388</v>
      </c>
      <c r="E6603" s="62" t="s">
        <v>72</v>
      </c>
      <c r="F6603" s="62" t="s">
        <v>382</v>
      </c>
      <c r="G6603" s="63" t="s">
        <v>676</v>
      </c>
      <c r="H6603" s="64" t="n">
        <v>16955383214.4628</v>
      </c>
      <c r="I6603" s="62" t="s">
        <v>81</v>
      </c>
      <c r="J6603" s="64" t="n">
        <v>16955383.2144628</v>
      </c>
      <c r="K6603" s="62" t="s">
        <v>138</v>
      </c>
      <c r="L6603" s="68" t="b">
        <f aca="false">FALSE()</f>
        <v>0</v>
      </c>
    </row>
    <row r="6604" customFormat="false" ht="15" hidden="false" customHeight="false" outlineLevel="0" collapsed="false">
      <c r="A6604" s="62" t="n">
        <v>1</v>
      </c>
      <c r="B6604" s="21" t="s">
        <v>336</v>
      </c>
      <c r="C6604" s="62" t="s">
        <v>60</v>
      </c>
      <c r="D6604" s="62" t="s">
        <v>381</v>
      </c>
      <c r="E6604" s="62" t="s">
        <v>72</v>
      </c>
      <c r="F6604" s="62" t="s">
        <v>382</v>
      </c>
      <c r="G6604" s="63" t="s">
        <v>677</v>
      </c>
      <c r="H6604" s="64" t="n">
        <v>13503.8351002555</v>
      </c>
      <c r="I6604" s="62" t="s">
        <v>81</v>
      </c>
      <c r="J6604" s="64" t="n">
        <v>13.5038351002555</v>
      </c>
      <c r="K6604" s="62" t="s">
        <v>138</v>
      </c>
      <c r="L6604" s="68" t="b">
        <f aca="false">FALSE()</f>
        <v>0</v>
      </c>
    </row>
    <row r="6605" customFormat="false" ht="15" hidden="false" customHeight="false" outlineLevel="0" collapsed="false">
      <c r="A6605" s="62" t="n">
        <v>1</v>
      </c>
      <c r="B6605" s="21" t="s">
        <v>336</v>
      </c>
      <c r="C6605" s="62" t="s">
        <v>60</v>
      </c>
      <c r="D6605" s="62" t="s">
        <v>383</v>
      </c>
      <c r="E6605" s="62" t="s">
        <v>72</v>
      </c>
      <c r="F6605" s="62" t="s">
        <v>382</v>
      </c>
      <c r="G6605" s="63" t="s">
        <v>677</v>
      </c>
      <c r="H6605" s="64" t="n">
        <v>11502.3319725203</v>
      </c>
      <c r="I6605" s="62" t="s">
        <v>81</v>
      </c>
      <c r="J6605" s="64" t="n">
        <v>11.5023319725203</v>
      </c>
      <c r="K6605" s="62" t="s">
        <v>138</v>
      </c>
      <c r="L6605" s="68" t="b">
        <f aca="false">FALSE()</f>
        <v>0</v>
      </c>
    </row>
    <row r="6606" customFormat="false" ht="15" hidden="false" customHeight="false" outlineLevel="0" collapsed="false">
      <c r="A6606" s="62" t="n">
        <v>1</v>
      </c>
      <c r="B6606" s="21" t="s">
        <v>336</v>
      </c>
      <c r="C6606" s="62" t="s">
        <v>60</v>
      </c>
      <c r="D6606" s="62" t="s">
        <v>384</v>
      </c>
      <c r="E6606" s="62" t="s">
        <v>72</v>
      </c>
      <c r="F6606" s="62" t="s">
        <v>382</v>
      </c>
      <c r="G6606" s="63" t="s">
        <v>677</v>
      </c>
      <c r="H6606" s="64" t="n">
        <v>11358.890713997</v>
      </c>
      <c r="I6606" s="62" t="s">
        <v>81</v>
      </c>
      <c r="J6606" s="64" t="n">
        <v>11.358890713997</v>
      </c>
      <c r="K6606" s="62" t="s">
        <v>138</v>
      </c>
      <c r="L6606" s="68" t="b">
        <f aca="false">FALSE()</f>
        <v>0</v>
      </c>
    </row>
    <row r="6607" customFormat="false" ht="15" hidden="false" customHeight="false" outlineLevel="0" collapsed="false">
      <c r="A6607" s="62" t="n">
        <v>1</v>
      </c>
      <c r="B6607" s="21" t="s">
        <v>336</v>
      </c>
      <c r="C6607" s="62" t="s">
        <v>60</v>
      </c>
      <c r="D6607" s="62" t="s">
        <v>385</v>
      </c>
      <c r="E6607" s="62" t="s">
        <v>72</v>
      </c>
      <c r="F6607" s="62" t="s">
        <v>382</v>
      </c>
      <c r="G6607" s="63" t="s">
        <v>677</v>
      </c>
      <c r="H6607" s="64" t="n">
        <v>11718.8244770031</v>
      </c>
      <c r="I6607" s="62" t="s">
        <v>81</v>
      </c>
      <c r="J6607" s="64" t="n">
        <v>11.7188244770031</v>
      </c>
      <c r="K6607" s="62" t="s">
        <v>138</v>
      </c>
      <c r="L6607" s="68" t="b">
        <f aca="false">FALSE()</f>
        <v>0</v>
      </c>
    </row>
    <row r="6608" customFormat="false" ht="15" hidden="false" customHeight="false" outlineLevel="0" collapsed="false">
      <c r="A6608" s="62" t="n">
        <v>1</v>
      </c>
      <c r="B6608" s="21" t="s">
        <v>336</v>
      </c>
      <c r="C6608" s="62" t="s">
        <v>60</v>
      </c>
      <c r="D6608" s="62" t="s">
        <v>386</v>
      </c>
      <c r="E6608" s="62" t="s">
        <v>72</v>
      </c>
      <c r="F6608" s="62" t="s">
        <v>382</v>
      </c>
      <c r="G6608" s="63" t="s">
        <v>677</v>
      </c>
      <c r="H6608" s="64" t="n">
        <v>13465.4831733339</v>
      </c>
      <c r="I6608" s="62" t="s">
        <v>81</v>
      </c>
      <c r="J6608" s="64" t="n">
        <v>13.4654831733339</v>
      </c>
      <c r="K6608" s="62" t="s">
        <v>138</v>
      </c>
      <c r="L6608" s="68" t="b">
        <f aca="false">FALSE()</f>
        <v>0</v>
      </c>
    </row>
    <row r="6609" customFormat="false" ht="15" hidden="false" customHeight="false" outlineLevel="0" collapsed="false">
      <c r="A6609" s="62" t="n">
        <v>1</v>
      </c>
      <c r="B6609" s="21" t="s">
        <v>336</v>
      </c>
      <c r="C6609" s="62" t="s">
        <v>60</v>
      </c>
      <c r="D6609" s="62" t="s">
        <v>387</v>
      </c>
      <c r="E6609" s="62" t="s">
        <v>72</v>
      </c>
      <c r="F6609" s="62" t="s">
        <v>382</v>
      </c>
      <c r="G6609" s="63" t="s">
        <v>677</v>
      </c>
      <c r="H6609" s="64" t="n">
        <v>12308.203789979</v>
      </c>
      <c r="I6609" s="62" t="s">
        <v>81</v>
      </c>
      <c r="J6609" s="64" t="n">
        <v>12.308203789979</v>
      </c>
      <c r="K6609" s="62" t="s">
        <v>138</v>
      </c>
      <c r="L6609" s="68" t="b">
        <f aca="false">FALSE()</f>
        <v>0</v>
      </c>
    </row>
    <row r="6610" customFormat="false" ht="15" hidden="false" customHeight="false" outlineLevel="0" collapsed="false">
      <c r="A6610" s="62" t="n">
        <v>1</v>
      </c>
      <c r="B6610" s="21" t="s">
        <v>336</v>
      </c>
      <c r="C6610" s="62" t="s">
        <v>60</v>
      </c>
      <c r="D6610" s="62" t="s">
        <v>388</v>
      </c>
      <c r="E6610" s="62" t="s">
        <v>72</v>
      </c>
      <c r="F6610" s="62" t="s">
        <v>382</v>
      </c>
      <c r="G6610" s="63" t="s">
        <v>677</v>
      </c>
      <c r="H6610" s="64" t="n">
        <v>13589.7652456541</v>
      </c>
      <c r="I6610" s="62" t="s">
        <v>81</v>
      </c>
      <c r="J6610" s="64" t="n">
        <v>13.5897652456541</v>
      </c>
      <c r="K6610" s="62" t="s">
        <v>138</v>
      </c>
      <c r="L6610" s="68" t="b">
        <f aca="false">FALSE()</f>
        <v>0</v>
      </c>
    </row>
    <row r="6611" customFormat="false" ht="15" hidden="false" customHeight="false" outlineLevel="0" collapsed="false">
      <c r="A6611" s="62" t="n">
        <v>1</v>
      </c>
      <c r="B6611" s="21" t="s">
        <v>336</v>
      </c>
      <c r="C6611" s="62" t="s">
        <v>60</v>
      </c>
      <c r="D6611" s="62" t="s">
        <v>381</v>
      </c>
      <c r="E6611" s="62" t="s">
        <v>72</v>
      </c>
      <c r="F6611" s="62" t="s">
        <v>382</v>
      </c>
      <c r="G6611" s="63" t="s">
        <v>679</v>
      </c>
      <c r="H6611" s="64" t="n">
        <v>9541.27393839054</v>
      </c>
      <c r="I6611" s="62" t="s">
        <v>81</v>
      </c>
      <c r="J6611" s="64" t="n">
        <v>9.54127393839054</v>
      </c>
      <c r="K6611" s="62" t="s">
        <v>138</v>
      </c>
      <c r="L6611" s="68" t="b">
        <f aca="false">FALSE()</f>
        <v>0</v>
      </c>
    </row>
    <row r="6612" customFormat="false" ht="15" hidden="false" customHeight="false" outlineLevel="0" collapsed="false">
      <c r="A6612" s="62" t="n">
        <v>1</v>
      </c>
      <c r="B6612" s="21" t="s">
        <v>336</v>
      </c>
      <c r="C6612" s="62" t="s">
        <v>60</v>
      </c>
      <c r="D6612" s="62" t="s">
        <v>383</v>
      </c>
      <c r="E6612" s="62" t="s">
        <v>72</v>
      </c>
      <c r="F6612" s="62" t="s">
        <v>382</v>
      </c>
      <c r="G6612" s="63" t="s">
        <v>679</v>
      </c>
      <c r="H6612" s="64" t="n">
        <v>9288.51947202366</v>
      </c>
      <c r="I6612" s="62" t="s">
        <v>81</v>
      </c>
      <c r="J6612" s="64" t="n">
        <v>9.28851947202366</v>
      </c>
      <c r="K6612" s="62" t="s">
        <v>138</v>
      </c>
      <c r="L6612" s="68" t="b">
        <f aca="false">FALSE()</f>
        <v>0</v>
      </c>
    </row>
    <row r="6613" customFormat="false" ht="15" hidden="false" customHeight="false" outlineLevel="0" collapsed="false">
      <c r="A6613" s="62" t="n">
        <v>1</v>
      </c>
      <c r="B6613" s="21" t="s">
        <v>336</v>
      </c>
      <c r="C6613" s="62" t="s">
        <v>60</v>
      </c>
      <c r="D6613" s="62" t="s">
        <v>384</v>
      </c>
      <c r="E6613" s="62" t="s">
        <v>72</v>
      </c>
      <c r="F6613" s="62" t="s">
        <v>382</v>
      </c>
      <c r="G6613" s="63" t="s">
        <v>679</v>
      </c>
      <c r="H6613" s="64" t="n">
        <v>9284.87686025351</v>
      </c>
      <c r="I6613" s="62" t="s">
        <v>81</v>
      </c>
      <c r="J6613" s="64" t="n">
        <v>9.28487686025351</v>
      </c>
      <c r="K6613" s="62" t="s">
        <v>138</v>
      </c>
      <c r="L6613" s="68" t="b">
        <f aca="false">FALSE()</f>
        <v>0</v>
      </c>
    </row>
    <row r="6614" customFormat="false" ht="15" hidden="false" customHeight="false" outlineLevel="0" collapsed="false">
      <c r="A6614" s="62" t="n">
        <v>1</v>
      </c>
      <c r="B6614" s="21" t="s">
        <v>336</v>
      </c>
      <c r="C6614" s="62" t="s">
        <v>60</v>
      </c>
      <c r="D6614" s="62" t="s">
        <v>385</v>
      </c>
      <c r="E6614" s="62" t="s">
        <v>72</v>
      </c>
      <c r="F6614" s="62" t="s">
        <v>382</v>
      </c>
      <c r="G6614" s="63" t="s">
        <v>679</v>
      </c>
      <c r="H6614" s="64" t="n">
        <v>9293.72266255892</v>
      </c>
      <c r="I6614" s="62" t="s">
        <v>81</v>
      </c>
      <c r="J6614" s="64" t="n">
        <v>9.29372266255892</v>
      </c>
      <c r="K6614" s="62" t="s">
        <v>138</v>
      </c>
      <c r="L6614" s="68" t="b">
        <f aca="false">FALSE()</f>
        <v>0</v>
      </c>
    </row>
    <row r="6615" customFormat="false" ht="15" hidden="false" customHeight="false" outlineLevel="0" collapsed="false">
      <c r="A6615" s="62" t="n">
        <v>1</v>
      </c>
      <c r="B6615" s="21" t="s">
        <v>336</v>
      </c>
      <c r="C6615" s="62" t="s">
        <v>60</v>
      </c>
      <c r="D6615" s="62" t="s">
        <v>386</v>
      </c>
      <c r="E6615" s="62" t="s">
        <v>72</v>
      </c>
      <c r="F6615" s="62" t="s">
        <v>382</v>
      </c>
      <c r="G6615" s="63" t="s">
        <v>679</v>
      </c>
      <c r="H6615" s="64" t="n">
        <v>9487.94298126446</v>
      </c>
      <c r="I6615" s="62" t="s">
        <v>81</v>
      </c>
      <c r="J6615" s="64" t="n">
        <v>9.48794298126446</v>
      </c>
      <c r="K6615" s="62" t="s">
        <v>138</v>
      </c>
      <c r="L6615" s="68" t="b">
        <f aca="false">FALSE()</f>
        <v>0</v>
      </c>
    </row>
    <row r="6616" customFormat="false" ht="15" hidden="false" customHeight="false" outlineLevel="0" collapsed="false">
      <c r="A6616" s="62" t="n">
        <v>1</v>
      </c>
      <c r="B6616" s="21" t="s">
        <v>336</v>
      </c>
      <c r="C6616" s="62" t="s">
        <v>60</v>
      </c>
      <c r="D6616" s="62" t="s">
        <v>387</v>
      </c>
      <c r="E6616" s="62" t="s">
        <v>72</v>
      </c>
      <c r="F6616" s="62" t="s">
        <v>382</v>
      </c>
      <c r="G6616" s="63" t="s">
        <v>679</v>
      </c>
      <c r="H6616" s="64" t="n">
        <v>9345.75865064614</v>
      </c>
      <c r="I6616" s="62" t="s">
        <v>81</v>
      </c>
      <c r="J6616" s="64" t="n">
        <v>9.34575865064614</v>
      </c>
      <c r="K6616" s="62" t="s">
        <v>138</v>
      </c>
      <c r="L6616" s="68" t="b">
        <f aca="false">FALSE()</f>
        <v>0</v>
      </c>
    </row>
    <row r="6617" customFormat="false" ht="15" hidden="false" customHeight="false" outlineLevel="0" collapsed="false">
      <c r="A6617" s="62" t="n">
        <v>1</v>
      </c>
      <c r="B6617" s="21" t="s">
        <v>336</v>
      </c>
      <c r="C6617" s="62" t="s">
        <v>60</v>
      </c>
      <c r="D6617" s="62" t="s">
        <v>388</v>
      </c>
      <c r="E6617" s="62" t="s">
        <v>72</v>
      </c>
      <c r="F6617" s="62" t="s">
        <v>382</v>
      </c>
      <c r="G6617" s="63" t="s">
        <v>679</v>
      </c>
      <c r="H6617" s="64" t="n">
        <v>11078.3395048437</v>
      </c>
      <c r="I6617" s="62" t="s">
        <v>81</v>
      </c>
      <c r="J6617" s="64" t="n">
        <v>11.0783395048437</v>
      </c>
      <c r="K6617" s="62" t="s">
        <v>138</v>
      </c>
      <c r="L6617" s="68" t="b">
        <f aca="false">FALSE()</f>
        <v>0</v>
      </c>
    </row>
    <row r="6618" customFormat="false" ht="15" hidden="false" customHeight="false" outlineLevel="0" collapsed="false">
      <c r="A6618" s="62" t="n">
        <v>1</v>
      </c>
      <c r="B6618" s="21" t="s">
        <v>336</v>
      </c>
      <c r="C6618" s="62" t="s">
        <v>60</v>
      </c>
      <c r="D6618" s="62" t="s">
        <v>381</v>
      </c>
      <c r="E6618" s="62" t="s">
        <v>72</v>
      </c>
      <c r="F6618" s="62" t="s">
        <v>382</v>
      </c>
      <c r="G6618" s="63" t="s">
        <v>680</v>
      </c>
      <c r="H6618" s="64" t="n">
        <v>13825825321.6675</v>
      </c>
      <c r="I6618" s="62" t="s">
        <v>81</v>
      </c>
      <c r="J6618" s="64" t="n">
        <v>13825825.3216675</v>
      </c>
      <c r="K6618" s="62" t="s">
        <v>138</v>
      </c>
      <c r="L6618" s="68" t="b">
        <f aca="false">FALSE()</f>
        <v>0</v>
      </c>
    </row>
    <row r="6619" customFormat="false" ht="15" hidden="false" customHeight="false" outlineLevel="0" collapsed="false">
      <c r="A6619" s="62" t="n">
        <v>1</v>
      </c>
      <c r="B6619" s="21" t="s">
        <v>336</v>
      </c>
      <c r="C6619" s="62" t="s">
        <v>60</v>
      </c>
      <c r="D6619" s="62" t="s">
        <v>383</v>
      </c>
      <c r="E6619" s="62" t="s">
        <v>72</v>
      </c>
      <c r="F6619" s="62" t="s">
        <v>382</v>
      </c>
      <c r="G6619" s="63" t="s">
        <v>680</v>
      </c>
      <c r="H6619" s="64" t="n">
        <v>14389699111.1384</v>
      </c>
      <c r="I6619" s="62" t="s">
        <v>81</v>
      </c>
      <c r="J6619" s="64" t="n">
        <v>14389699.1111384</v>
      </c>
      <c r="K6619" s="62" t="s">
        <v>138</v>
      </c>
      <c r="L6619" s="68" t="b">
        <f aca="false">FALSE()</f>
        <v>0</v>
      </c>
    </row>
    <row r="6620" customFormat="false" ht="15" hidden="false" customHeight="false" outlineLevel="0" collapsed="false">
      <c r="A6620" s="62" t="n">
        <v>1</v>
      </c>
      <c r="B6620" s="21" t="s">
        <v>336</v>
      </c>
      <c r="C6620" s="62" t="s">
        <v>60</v>
      </c>
      <c r="D6620" s="62" t="s">
        <v>384</v>
      </c>
      <c r="E6620" s="62" t="s">
        <v>72</v>
      </c>
      <c r="F6620" s="62" t="s">
        <v>382</v>
      </c>
      <c r="G6620" s="63" t="s">
        <v>680</v>
      </c>
      <c r="H6620" s="64" t="n">
        <v>14696316508.0558</v>
      </c>
      <c r="I6620" s="62" t="s">
        <v>81</v>
      </c>
      <c r="J6620" s="64" t="n">
        <v>14696316.5080558</v>
      </c>
      <c r="K6620" s="62" t="s">
        <v>138</v>
      </c>
      <c r="L6620" s="68" t="b">
        <f aca="false">FALSE()</f>
        <v>0</v>
      </c>
    </row>
    <row r="6621" customFormat="false" ht="15" hidden="false" customHeight="false" outlineLevel="0" collapsed="false">
      <c r="A6621" s="62" t="n">
        <v>1</v>
      </c>
      <c r="B6621" s="21" t="s">
        <v>336</v>
      </c>
      <c r="C6621" s="62" t="s">
        <v>60</v>
      </c>
      <c r="D6621" s="62" t="s">
        <v>385</v>
      </c>
      <c r="E6621" s="62" t="s">
        <v>72</v>
      </c>
      <c r="F6621" s="62" t="s">
        <v>382</v>
      </c>
      <c r="G6621" s="63" t="s">
        <v>680</v>
      </c>
      <c r="H6621" s="64" t="n">
        <v>11493591236.938</v>
      </c>
      <c r="I6621" s="62" t="s">
        <v>81</v>
      </c>
      <c r="J6621" s="64" t="n">
        <v>11493591.236938</v>
      </c>
      <c r="K6621" s="62" t="s">
        <v>138</v>
      </c>
      <c r="L6621" s="68" t="b">
        <f aca="false">FALSE()</f>
        <v>0</v>
      </c>
    </row>
    <row r="6622" customFormat="false" ht="15" hidden="false" customHeight="false" outlineLevel="0" collapsed="false">
      <c r="A6622" s="62" t="n">
        <v>1</v>
      </c>
      <c r="B6622" s="21" t="s">
        <v>336</v>
      </c>
      <c r="C6622" s="62" t="s">
        <v>60</v>
      </c>
      <c r="D6622" s="62" t="s">
        <v>386</v>
      </c>
      <c r="E6622" s="62" t="s">
        <v>72</v>
      </c>
      <c r="F6622" s="62" t="s">
        <v>382</v>
      </c>
      <c r="G6622" s="63" t="s">
        <v>680</v>
      </c>
      <c r="H6622" s="64" t="n">
        <v>13882701097.7305</v>
      </c>
      <c r="I6622" s="62" t="s">
        <v>81</v>
      </c>
      <c r="J6622" s="64" t="n">
        <v>13882701.0977305</v>
      </c>
      <c r="K6622" s="62" t="s">
        <v>138</v>
      </c>
      <c r="L6622" s="68" t="b">
        <f aca="false">FALSE()</f>
        <v>0</v>
      </c>
    </row>
    <row r="6623" customFormat="false" ht="15" hidden="false" customHeight="false" outlineLevel="0" collapsed="false">
      <c r="A6623" s="62" t="n">
        <v>1</v>
      </c>
      <c r="B6623" s="21" t="s">
        <v>336</v>
      </c>
      <c r="C6623" s="62" t="s">
        <v>60</v>
      </c>
      <c r="D6623" s="62" t="s">
        <v>387</v>
      </c>
      <c r="E6623" s="62" t="s">
        <v>72</v>
      </c>
      <c r="F6623" s="62" t="s">
        <v>382</v>
      </c>
      <c r="G6623" s="63" t="s">
        <v>680</v>
      </c>
      <c r="H6623" s="64" t="n">
        <v>13209848253.2249</v>
      </c>
      <c r="I6623" s="62" t="s">
        <v>81</v>
      </c>
      <c r="J6623" s="64" t="n">
        <v>13209848.2532249</v>
      </c>
      <c r="K6623" s="62" t="s">
        <v>138</v>
      </c>
      <c r="L6623" s="68" t="b">
        <f aca="false">FALSE()</f>
        <v>0</v>
      </c>
    </row>
    <row r="6624" customFormat="false" ht="15" hidden="false" customHeight="false" outlineLevel="0" collapsed="false">
      <c r="A6624" s="62" t="n">
        <v>1</v>
      </c>
      <c r="B6624" s="21" t="s">
        <v>336</v>
      </c>
      <c r="C6624" s="62" t="s">
        <v>60</v>
      </c>
      <c r="D6624" s="62" t="s">
        <v>388</v>
      </c>
      <c r="E6624" s="62" t="s">
        <v>72</v>
      </c>
      <c r="F6624" s="62" t="s">
        <v>382</v>
      </c>
      <c r="G6624" s="63" t="s">
        <v>680</v>
      </c>
      <c r="H6624" s="64" t="n">
        <v>11276631487.6638</v>
      </c>
      <c r="I6624" s="62" t="s">
        <v>81</v>
      </c>
      <c r="J6624" s="64" t="n">
        <v>11276631.4876638</v>
      </c>
      <c r="K6624" s="62" t="s">
        <v>138</v>
      </c>
      <c r="L6624" s="68" t="b">
        <f aca="false">FALSE()</f>
        <v>0</v>
      </c>
    </row>
    <row r="6625" customFormat="false" ht="15" hidden="false" customHeight="false" outlineLevel="0" collapsed="false">
      <c r="A6625" s="62" t="n">
        <v>1</v>
      </c>
      <c r="B6625" s="21" t="s">
        <v>336</v>
      </c>
      <c r="C6625" s="62" t="s">
        <v>60</v>
      </c>
      <c r="D6625" s="62" t="s">
        <v>381</v>
      </c>
      <c r="E6625" s="62" t="s">
        <v>72</v>
      </c>
      <c r="F6625" s="62" t="s">
        <v>382</v>
      </c>
      <c r="G6625" s="63" t="s">
        <v>681</v>
      </c>
      <c r="H6625" s="64" t="n">
        <v>14529.9763793413</v>
      </c>
      <c r="I6625" s="62" t="s">
        <v>81</v>
      </c>
      <c r="J6625" s="64" t="n">
        <v>14.5299763793413</v>
      </c>
      <c r="K6625" s="62" t="s">
        <v>138</v>
      </c>
      <c r="L6625" s="68" t="b">
        <f aca="false">FALSE()</f>
        <v>0</v>
      </c>
    </row>
    <row r="6626" customFormat="false" ht="15" hidden="false" customHeight="false" outlineLevel="0" collapsed="false">
      <c r="A6626" s="62" t="n">
        <v>1</v>
      </c>
      <c r="B6626" s="21" t="s">
        <v>336</v>
      </c>
      <c r="C6626" s="62" t="s">
        <v>60</v>
      </c>
      <c r="D6626" s="62" t="s">
        <v>385</v>
      </c>
      <c r="E6626" s="62" t="s">
        <v>72</v>
      </c>
      <c r="F6626" s="62" t="s">
        <v>382</v>
      </c>
      <c r="G6626" s="63" t="s">
        <v>681</v>
      </c>
      <c r="H6626" s="64" t="n">
        <v>17866.2075686566</v>
      </c>
      <c r="I6626" s="62" t="s">
        <v>81</v>
      </c>
      <c r="J6626" s="64" t="n">
        <v>17.8662075686566</v>
      </c>
      <c r="K6626" s="62" t="s">
        <v>138</v>
      </c>
      <c r="L6626" s="68" t="b">
        <f aca="false">FALSE()</f>
        <v>0</v>
      </c>
    </row>
    <row r="6627" customFormat="false" ht="15" hidden="false" customHeight="false" outlineLevel="0" collapsed="false">
      <c r="A6627" s="62" t="n">
        <v>1</v>
      </c>
      <c r="B6627" s="21" t="s">
        <v>336</v>
      </c>
      <c r="C6627" s="62" t="s">
        <v>60</v>
      </c>
      <c r="D6627" s="62" t="s">
        <v>381</v>
      </c>
      <c r="E6627" s="62" t="s">
        <v>72</v>
      </c>
      <c r="F6627" s="62" t="s">
        <v>382</v>
      </c>
      <c r="G6627" s="63" t="s">
        <v>682</v>
      </c>
      <c r="H6627" s="64" t="n">
        <v>314287004.167716</v>
      </c>
      <c r="I6627" s="62" t="s">
        <v>81</v>
      </c>
      <c r="J6627" s="64" t="n">
        <v>314287.004167716</v>
      </c>
      <c r="K6627" s="62" t="s">
        <v>138</v>
      </c>
      <c r="L6627" s="68" t="b">
        <f aca="false">FALSE()</f>
        <v>0</v>
      </c>
    </row>
    <row r="6628" customFormat="false" ht="15" hidden="false" customHeight="false" outlineLevel="0" collapsed="false">
      <c r="A6628" s="62" t="n">
        <v>1</v>
      </c>
      <c r="B6628" s="21" t="s">
        <v>336</v>
      </c>
      <c r="C6628" s="62" t="s">
        <v>60</v>
      </c>
      <c r="D6628" s="62" t="s">
        <v>383</v>
      </c>
      <c r="E6628" s="62" t="s">
        <v>72</v>
      </c>
      <c r="F6628" s="62" t="s">
        <v>382</v>
      </c>
      <c r="G6628" s="63" t="s">
        <v>682</v>
      </c>
      <c r="H6628" s="64" t="n">
        <v>491754312.725822</v>
      </c>
      <c r="I6628" s="62" t="s">
        <v>81</v>
      </c>
      <c r="J6628" s="64" t="n">
        <v>491754.312725822</v>
      </c>
      <c r="K6628" s="62" t="s">
        <v>138</v>
      </c>
      <c r="L6628" s="68" t="b">
        <f aca="false">FALSE()</f>
        <v>0</v>
      </c>
    </row>
    <row r="6629" customFormat="false" ht="15" hidden="false" customHeight="false" outlineLevel="0" collapsed="false">
      <c r="A6629" s="62" t="n">
        <v>1</v>
      </c>
      <c r="B6629" s="21" t="s">
        <v>336</v>
      </c>
      <c r="C6629" s="62" t="s">
        <v>60</v>
      </c>
      <c r="D6629" s="62" t="s">
        <v>384</v>
      </c>
      <c r="E6629" s="62" t="s">
        <v>72</v>
      </c>
      <c r="F6629" s="62" t="s">
        <v>382</v>
      </c>
      <c r="G6629" s="63" t="s">
        <v>682</v>
      </c>
      <c r="H6629" s="64" t="n">
        <v>236041574.642288</v>
      </c>
      <c r="I6629" s="62" t="s">
        <v>81</v>
      </c>
      <c r="J6629" s="64" t="n">
        <v>236041.574642288</v>
      </c>
      <c r="K6629" s="62" t="s">
        <v>138</v>
      </c>
      <c r="L6629" s="68" t="b">
        <f aca="false">FALSE()</f>
        <v>0</v>
      </c>
    </row>
    <row r="6630" customFormat="false" ht="15" hidden="false" customHeight="false" outlineLevel="0" collapsed="false">
      <c r="A6630" s="62" t="n">
        <v>1</v>
      </c>
      <c r="B6630" s="21" t="s">
        <v>336</v>
      </c>
      <c r="C6630" s="62" t="s">
        <v>60</v>
      </c>
      <c r="D6630" s="62" t="s">
        <v>385</v>
      </c>
      <c r="E6630" s="62" t="s">
        <v>72</v>
      </c>
      <c r="F6630" s="62" t="s">
        <v>382</v>
      </c>
      <c r="G6630" s="63" t="s">
        <v>682</v>
      </c>
      <c r="H6630" s="64" t="n">
        <v>180642267.261626</v>
      </c>
      <c r="I6630" s="62" t="s">
        <v>81</v>
      </c>
      <c r="J6630" s="64" t="n">
        <v>180642.267261626</v>
      </c>
      <c r="K6630" s="62" t="s">
        <v>138</v>
      </c>
      <c r="L6630" s="68" t="b">
        <f aca="false">FALSE()</f>
        <v>0</v>
      </c>
    </row>
    <row r="6631" customFormat="false" ht="15" hidden="false" customHeight="false" outlineLevel="0" collapsed="false">
      <c r="A6631" s="62" t="n">
        <v>1</v>
      </c>
      <c r="B6631" s="21" t="s">
        <v>336</v>
      </c>
      <c r="C6631" s="62" t="s">
        <v>60</v>
      </c>
      <c r="D6631" s="62" t="s">
        <v>386</v>
      </c>
      <c r="E6631" s="62" t="s">
        <v>72</v>
      </c>
      <c r="F6631" s="62" t="s">
        <v>382</v>
      </c>
      <c r="G6631" s="63" t="s">
        <v>682</v>
      </c>
      <c r="H6631" s="64" t="n">
        <v>305929082.860137</v>
      </c>
      <c r="I6631" s="62" t="s">
        <v>81</v>
      </c>
      <c r="J6631" s="64" t="n">
        <v>305929.082860137</v>
      </c>
      <c r="K6631" s="62" t="s">
        <v>138</v>
      </c>
      <c r="L6631" s="68" t="b">
        <f aca="false">FALSE()</f>
        <v>0</v>
      </c>
    </row>
    <row r="6632" customFormat="false" ht="15" hidden="false" customHeight="false" outlineLevel="0" collapsed="false">
      <c r="A6632" s="62" t="n">
        <v>1</v>
      </c>
      <c r="B6632" s="21" t="s">
        <v>336</v>
      </c>
      <c r="C6632" s="62" t="s">
        <v>60</v>
      </c>
      <c r="D6632" s="62" t="s">
        <v>387</v>
      </c>
      <c r="E6632" s="62" t="s">
        <v>72</v>
      </c>
      <c r="F6632" s="62" t="s">
        <v>382</v>
      </c>
      <c r="G6632" s="63" t="s">
        <v>682</v>
      </c>
      <c r="H6632" s="64" t="n">
        <v>500548919.957057</v>
      </c>
      <c r="I6632" s="62" t="s">
        <v>81</v>
      </c>
      <c r="J6632" s="64" t="n">
        <v>500548.919957057</v>
      </c>
      <c r="K6632" s="62" t="s">
        <v>138</v>
      </c>
      <c r="L6632" s="68" t="b">
        <f aca="false">FALSE()</f>
        <v>0</v>
      </c>
    </row>
    <row r="6633" customFormat="false" ht="15" hidden="false" customHeight="false" outlineLevel="0" collapsed="false">
      <c r="A6633" s="62" t="n">
        <v>1</v>
      </c>
      <c r="B6633" s="21" t="s">
        <v>336</v>
      </c>
      <c r="C6633" s="62" t="s">
        <v>60</v>
      </c>
      <c r="D6633" s="62" t="s">
        <v>388</v>
      </c>
      <c r="E6633" s="62" t="s">
        <v>72</v>
      </c>
      <c r="F6633" s="62" t="s">
        <v>382</v>
      </c>
      <c r="G6633" s="63" t="s">
        <v>682</v>
      </c>
      <c r="H6633" s="64" t="n">
        <v>444259172.3923</v>
      </c>
      <c r="I6633" s="62" t="s">
        <v>81</v>
      </c>
      <c r="J6633" s="64" t="n">
        <v>444259.1723923</v>
      </c>
      <c r="K6633" s="62" t="s">
        <v>138</v>
      </c>
      <c r="L6633" s="68" t="b">
        <f aca="false">FALSE()</f>
        <v>0</v>
      </c>
    </row>
    <row r="6634" customFormat="false" ht="15" hidden="false" customHeight="false" outlineLevel="0" collapsed="false">
      <c r="A6634" s="62" t="n">
        <v>1</v>
      </c>
      <c r="B6634" s="21" t="s">
        <v>336</v>
      </c>
      <c r="C6634" s="62" t="s">
        <v>60</v>
      </c>
      <c r="D6634" s="62" t="s">
        <v>381</v>
      </c>
      <c r="E6634" s="62" t="s">
        <v>72</v>
      </c>
      <c r="F6634" s="62" t="s">
        <v>382</v>
      </c>
      <c r="G6634" s="63" t="s">
        <v>683</v>
      </c>
      <c r="H6634" s="64" t="n">
        <v>20959800326.6283</v>
      </c>
      <c r="I6634" s="62" t="s">
        <v>81</v>
      </c>
      <c r="J6634" s="64" t="n">
        <v>20959800.3266283</v>
      </c>
      <c r="K6634" s="62" t="s">
        <v>138</v>
      </c>
      <c r="L6634" s="68" t="b">
        <f aca="false">FALSE()</f>
        <v>0</v>
      </c>
    </row>
    <row r="6635" customFormat="false" ht="15" hidden="false" customHeight="false" outlineLevel="0" collapsed="false">
      <c r="A6635" s="62" t="n">
        <v>1</v>
      </c>
      <c r="B6635" s="21" t="s">
        <v>336</v>
      </c>
      <c r="C6635" s="62" t="s">
        <v>60</v>
      </c>
      <c r="D6635" s="62" t="s">
        <v>383</v>
      </c>
      <c r="E6635" s="62" t="s">
        <v>72</v>
      </c>
      <c r="F6635" s="62" t="s">
        <v>382</v>
      </c>
      <c r="G6635" s="63" t="s">
        <v>683</v>
      </c>
      <c r="H6635" s="64" t="n">
        <v>24160544800.4254</v>
      </c>
      <c r="I6635" s="62" t="s">
        <v>81</v>
      </c>
      <c r="J6635" s="64" t="n">
        <v>24160544.8004254</v>
      </c>
      <c r="K6635" s="62" t="s">
        <v>138</v>
      </c>
      <c r="L6635" s="68" t="b">
        <f aca="false">FALSE()</f>
        <v>0</v>
      </c>
    </row>
    <row r="6636" customFormat="false" ht="15" hidden="false" customHeight="false" outlineLevel="0" collapsed="false">
      <c r="A6636" s="62" t="n">
        <v>1</v>
      </c>
      <c r="B6636" s="21" t="s">
        <v>336</v>
      </c>
      <c r="C6636" s="62" t="s">
        <v>60</v>
      </c>
      <c r="D6636" s="62" t="s">
        <v>384</v>
      </c>
      <c r="E6636" s="62" t="s">
        <v>72</v>
      </c>
      <c r="F6636" s="62" t="s">
        <v>382</v>
      </c>
      <c r="G6636" s="63" t="s">
        <v>683</v>
      </c>
      <c r="H6636" s="64" t="n">
        <v>24696808905.0307</v>
      </c>
      <c r="I6636" s="62" t="s">
        <v>81</v>
      </c>
      <c r="J6636" s="64" t="n">
        <v>24696808.9050307</v>
      </c>
      <c r="K6636" s="62" t="s">
        <v>138</v>
      </c>
      <c r="L6636" s="68" t="b">
        <f aca="false">FALSE()</f>
        <v>0</v>
      </c>
    </row>
    <row r="6637" customFormat="false" ht="15" hidden="false" customHeight="false" outlineLevel="0" collapsed="false">
      <c r="A6637" s="62" t="n">
        <v>1</v>
      </c>
      <c r="B6637" s="21" t="s">
        <v>336</v>
      </c>
      <c r="C6637" s="62" t="s">
        <v>60</v>
      </c>
      <c r="D6637" s="62" t="s">
        <v>385</v>
      </c>
      <c r="E6637" s="62" t="s">
        <v>72</v>
      </c>
      <c r="F6637" s="62" t="s">
        <v>382</v>
      </c>
      <c r="G6637" s="63" t="s">
        <v>683</v>
      </c>
      <c r="H6637" s="64" t="n">
        <v>21006800709.1965</v>
      </c>
      <c r="I6637" s="62" t="s">
        <v>81</v>
      </c>
      <c r="J6637" s="64" t="n">
        <v>21006800.7091965</v>
      </c>
      <c r="K6637" s="62" t="s">
        <v>138</v>
      </c>
      <c r="L6637" s="68" t="b">
        <f aca="false">FALSE()</f>
        <v>0</v>
      </c>
    </row>
    <row r="6638" customFormat="false" ht="15" hidden="false" customHeight="false" outlineLevel="0" collapsed="false">
      <c r="A6638" s="62" t="n">
        <v>1</v>
      </c>
      <c r="B6638" s="21" t="s">
        <v>336</v>
      </c>
      <c r="C6638" s="62" t="s">
        <v>60</v>
      </c>
      <c r="D6638" s="62" t="s">
        <v>386</v>
      </c>
      <c r="E6638" s="62" t="s">
        <v>72</v>
      </c>
      <c r="F6638" s="62" t="s">
        <v>382</v>
      </c>
      <c r="G6638" s="63" t="s">
        <v>683</v>
      </c>
      <c r="H6638" s="64" t="n">
        <v>24406376492.7533</v>
      </c>
      <c r="I6638" s="62" t="s">
        <v>81</v>
      </c>
      <c r="J6638" s="64" t="n">
        <v>24406376.4927533</v>
      </c>
      <c r="K6638" s="62" t="s">
        <v>138</v>
      </c>
      <c r="L6638" s="68" t="b">
        <f aca="false">FALSE()</f>
        <v>0</v>
      </c>
    </row>
    <row r="6639" customFormat="false" ht="15" hidden="false" customHeight="false" outlineLevel="0" collapsed="false">
      <c r="A6639" s="62" t="n">
        <v>1</v>
      </c>
      <c r="B6639" s="21" t="s">
        <v>336</v>
      </c>
      <c r="C6639" s="62" t="s">
        <v>60</v>
      </c>
      <c r="D6639" s="62" t="s">
        <v>387</v>
      </c>
      <c r="E6639" s="62" t="s">
        <v>72</v>
      </c>
      <c r="F6639" s="62" t="s">
        <v>382</v>
      </c>
      <c r="G6639" s="63" t="s">
        <v>683</v>
      </c>
      <c r="H6639" s="64" t="n">
        <v>20568206419.41</v>
      </c>
      <c r="I6639" s="62" t="s">
        <v>81</v>
      </c>
      <c r="J6639" s="64" t="n">
        <v>20568206.41941</v>
      </c>
      <c r="K6639" s="62" t="s">
        <v>138</v>
      </c>
      <c r="L6639" s="68" t="b">
        <f aca="false">FALSE()</f>
        <v>0</v>
      </c>
    </row>
    <row r="6640" customFormat="false" ht="15" hidden="false" customHeight="false" outlineLevel="0" collapsed="false">
      <c r="A6640" s="62" t="n">
        <v>1</v>
      </c>
      <c r="B6640" s="21" t="s">
        <v>336</v>
      </c>
      <c r="C6640" s="62" t="s">
        <v>60</v>
      </c>
      <c r="D6640" s="62" t="s">
        <v>388</v>
      </c>
      <c r="E6640" s="62" t="s">
        <v>72</v>
      </c>
      <c r="F6640" s="62" t="s">
        <v>382</v>
      </c>
      <c r="G6640" s="63" t="s">
        <v>683</v>
      </c>
      <c r="H6640" s="64" t="n">
        <v>13610564991.9841</v>
      </c>
      <c r="I6640" s="62" t="s">
        <v>81</v>
      </c>
      <c r="J6640" s="64" t="n">
        <v>13610564.9919841</v>
      </c>
      <c r="K6640" s="62" t="s">
        <v>138</v>
      </c>
      <c r="L6640" s="68" t="b">
        <f aca="false">FALSE()</f>
        <v>0</v>
      </c>
    </row>
    <row r="6641" customFormat="false" ht="15" hidden="false" customHeight="false" outlineLevel="0" collapsed="false">
      <c r="A6641" s="62" t="n">
        <v>1</v>
      </c>
      <c r="B6641" s="21" t="s">
        <v>336</v>
      </c>
      <c r="C6641" s="62" t="s">
        <v>60</v>
      </c>
      <c r="D6641" s="62" t="s">
        <v>381</v>
      </c>
      <c r="E6641" s="62" t="s">
        <v>72</v>
      </c>
      <c r="F6641" s="62" t="s">
        <v>382</v>
      </c>
      <c r="G6641" s="63" t="s">
        <v>684</v>
      </c>
      <c r="H6641" s="64" t="n">
        <v>10490725188.6729</v>
      </c>
      <c r="I6641" s="62" t="s">
        <v>81</v>
      </c>
      <c r="J6641" s="64" t="n">
        <v>10490725.1886729</v>
      </c>
      <c r="K6641" s="62" t="s">
        <v>138</v>
      </c>
      <c r="L6641" s="68" t="b">
        <f aca="false">FALSE()</f>
        <v>0</v>
      </c>
    </row>
    <row r="6642" customFormat="false" ht="15" hidden="false" customHeight="false" outlineLevel="0" collapsed="false">
      <c r="A6642" s="62" t="n">
        <v>1</v>
      </c>
      <c r="B6642" s="21" t="s">
        <v>336</v>
      </c>
      <c r="C6642" s="62" t="s">
        <v>60</v>
      </c>
      <c r="D6642" s="62" t="s">
        <v>383</v>
      </c>
      <c r="E6642" s="62" t="s">
        <v>72</v>
      </c>
      <c r="F6642" s="62" t="s">
        <v>382</v>
      </c>
      <c r="G6642" s="63" t="s">
        <v>684</v>
      </c>
      <c r="H6642" s="64" t="n">
        <v>7857345407.91282</v>
      </c>
      <c r="I6642" s="62" t="s">
        <v>81</v>
      </c>
      <c r="J6642" s="64" t="n">
        <v>7857345.40791282</v>
      </c>
      <c r="K6642" s="62" t="s">
        <v>138</v>
      </c>
      <c r="L6642" s="68" t="b">
        <f aca="false">FALSE()</f>
        <v>0</v>
      </c>
    </row>
    <row r="6643" customFormat="false" ht="15" hidden="false" customHeight="false" outlineLevel="0" collapsed="false">
      <c r="A6643" s="62" t="n">
        <v>1</v>
      </c>
      <c r="B6643" s="21" t="s">
        <v>336</v>
      </c>
      <c r="C6643" s="62" t="s">
        <v>60</v>
      </c>
      <c r="D6643" s="62" t="s">
        <v>384</v>
      </c>
      <c r="E6643" s="62" t="s">
        <v>72</v>
      </c>
      <c r="F6643" s="62" t="s">
        <v>382</v>
      </c>
      <c r="G6643" s="63" t="s">
        <v>684</v>
      </c>
      <c r="H6643" s="64" t="n">
        <v>9784030872.93979</v>
      </c>
      <c r="I6643" s="62" t="s">
        <v>81</v>
      </c>
      <c r="J6643" s="64" t="n">
        <v>9784030.87293979</v>
      </c>
      <c r="K6643" s="62" t="s">
        <v>138</v>
      </c>
      <c r="L6643" s="68" t="b">
        <f aca="false">FALSE()</f>
        <v>0</v>
      </c>
    </row>
    <row r="6644" customFormat="false" ht="15" hidden="false" customHeight="false" outlineLevel="0" collapsed="false">
      <c r="A6644" s="62" t="n">
        <v>1</v>
      </c>
      <c r="B6644" s="21" t="s">
        <v>336</v>
      </c>
      <c r="C6644" s="62" t="s">
        <v>60</v>
      </c>
      <c r="D6644" s="62" t="s">
        <v>385</v>
      </c>
      <c r="E6644" s="62" t="s">
        <v>72</v>
      </c>
      <c r="F6644" s="62" t="s">
        <v>382</v>
      </c>
      <c r="G6644" s="63" t="s">
        <v>684</v>
      </c>
      <c r="H6644" s="64" t="n">
        <v>8565659326.67419</v>
      </c>
      <c r="I6644" s="62" t="s">
        <v>81</v>
      </c>
      <c r="J6644" s="64" t="n">
        <v>8565659.32667419</v>
      </c>
      <c r="K6644" s="62" t="s">
        <v>138</v>
      </c>
      <c r="L6644" s="68" t="b">
        <f aca="false">FALSE()</f>
        <v>0</v>
      </c>
    </row>
    <row r="6645" customFormat="false" ht="15" hidden="false" customHeight="false" outlineLevel="0" collapsed="false">
      <c r="A6645" s="62" t="n">
        <v>1</v>
      </c>
      <c r="B6645" s="21" t="s">
        <v>336</v>
      </c>
      <c r="C6645" s="62" t="s">
        <v>60</v>
      </c>
      <c r="D6645" s="62" t="s">
        <v>386</v>
      </c>
      <c r="E6645" s="62" t="s">
        <v>72</v>
      </c>
      <c r="F6645" s="62" t="s">
        <v>382</v>
      </c>
      <c r="G6645" s="63" t="s">
        <v>684</v>
      </c>
      <c r="H6645" s="64" t="n">
        <v>9922453394.03898</v>
      </c>
      <c r="I6645" s="62" t="s">
        <v>81</v>
      </c>
      <c r="J6645" s="64" t="n">
        <v>9922453.39403898</v>
      </c>
      <c r="K6645" s="62" t="s">
        <v>138</v>
      </c>
      <c r="L6645" s="68" t="b">
        <f aca="false">FALSE()</f>
        <v>0</v>
      </c>
    </row>
    <row r="6646" customFormat="false" ht="15" hidden="false" customHeight="false" outlineLevel="0" collapsed="false">
      <c r="A6646" s="62" t="n">
        <v>1</v>
      </c>
      <c r="B6646" s="21" t="s">
        <v>336</v>
      </c>
      <c r="C6646" s="62" t="s">
        <v>60</v>
      </c>
      <c r="D6646" s="62" t="s">
        <v>387</v>
      </c>
      <c r="E6646" s="62" t="s">
        <v>72</v>
      </c>
      <c r="F6646" s="62" t="s">
        <v>382</v>
      </c>
      <c r="G6646" s="63" t="s">
        <v>684</v>
      </c>
      <c r="H6646" s="64" t="n">
        <v>9719757520.90224</v>
      </c>
      <c r="I6646" s="62" t="s">
        <v>81</v>
      </c>
      <c r="J6646" s="64" t="n">
        <v>9719757.52090224</v>
      </c>
      <c r="K6646" s="62" t="s">
        <v>138</v>
      </c>
      <c r="L6646" s="68" t="b">
        <f aca="false">FALSE()</f>
        <v>0</v>
      </c>
    </row>
    <row r="6647" customFormat="false" ht="15" hidden="false" customHeight="false" outlineLevel="0" collapsed="false">
      <c r="A6647" s="62" t="n">
        <v>1</v>
      </c>
      <c r="B6647" s="21" t="s">
        <v>336</v>
      </c>
      <c r="C6647" s="62" t="s">
        <v>60</v>
      </c>
      <c r="D6647" s="62" t="s">
        <v>388</v>
      </c>
      <c r="E6647" s="62" t="s">
        <v>72</v>
      </c>
      <c r="F6647" s="62" t="s">
        <v>382</v>
      </c>
      <c r="G6647" s="63" t="s">
        <v>684</v>
      </c>
      <c r="H6647" s="64" t="n">
        <v>8348699577.4</v>
      </c>
      <c r="I6647" s="62" t="s">
        <v>81</v>
      </c>
      <c r="J6647" s="64" t="n">
        <v>8348699.5774</v>
      </c>
      <c r="K6647" s="62" t="s">
        <v>138</v>
      </c>
      <c r="L6647" s="68" t="b">
        <f aca="false">FALSE()</f>
        <v>0</v>
      </c>
    </row>
    <row r="6648" customFormat="false" ht="15" hidden="false" customHeight="false" outlineLevel="0" collapsed="false">
      <c r="A6648" s="62" t="n">
        <v>1</v>
      </c>
      <c r="B6648" s="21" t="s">
        <v>336</v>
      </c>
      <c r="C6648" s="62" t="s">
        <v>60</v>
      </c>
      <c r="D6648" s="62" t="s">
        <v>381</v>
      </c>
      <c r="E6648" s="62" t="s">
        <v>72</v>
      </c>
      <c r="F6648" s="62" t="s">
        <v>382</v>
      </c>
      <c r="G6648" s="63" t="s">
        <v>685</v>
      </c>
      <c r="H6648" s="64" t="n">
        <v>41962900754.6916</v>
      </c>
      <c r="I6648" s="62" t="s">
        <v>81</v>
      </c>
      <c r="J6648" s="64" t="n">
        <v>41962900.7546916</v>
      </c>
      <c r="K6648" s="62" t="s">
        <v>138</v>
      </c>
      <c r="L6648" s="68" t="b">
        <f aca="false">FALSE()</f>
        <v>0</v>
      </c>
    </row>
    <row r="6649" customFormat="false" ht="15" hidden="false" customHeight="false" outlineLevel="0" collapsed="false">
      <c r="A6649" s="62" t="n">
        <v>1</v>
      </c>
      <c r="B6649" s="21" t="s">
        <v>336</v>
      </c>
      <c r="C6649" s="62" t="s">
        <v>60</v>
      </c>
      <c r="D6649" s="62" t="s">
        <v>383</v>
      </c>
      <c r="E6649" s="62" t="s">
        <v>72</v>
      </c>
      <c r="F6649" s="62" t="s">
        <v>382</v>
      </c>
      <c r="G6649" s="63" t="s">
        <v>685</v>
      </c>
      <c r="H6649" s="64" t="n">
        <v>31429381631.6513</v>
      </c>
      <c r="I6649" s="62" t="s">
        <v>81</v>
      </c>
      <c r="J6649" s="64" t="n">
        <v>31429381.6316513</v>
      </c>
      <c r="K6649" s="62" t="s">
        <v>138</v>
      </c>
      <c r="L6649" s="68" t="b">
        <f aca="false">FALSE()</f>
        <v>0</v>
      </c>
    </row>
    <row r="6650" customFormat="false" ht="15" hidden="false" customHeight="false" outlineLevel="0" collapsed="false">
      <c r="A6650" s="62" t="n">
        <v>1</v>
      </c>
      <c r="B6650" s="21" t="s">
        <v>336</v>
      </c>
      <c r="C6650" s="62" t="s">
        <v>60</v>
      </c>
      <c r="D6650" s="62" t="s">
        <v>384</v>
      </c>
      <c r="E6650" s="62" t="s">
        <v>72</v>
      </c>
      <c r="F6650" s="62" t="s">
        <v>382</v>
      </c>
      <c r="G6650" s="63" t="s">
        <v>685</v>
      </c>
      <c r="H6650" s="64" t="n">
        <v>39136123491.7592</v>
      </c>
      <c r="I6650" s="62" t="s">
        <v>81</v>
      </c>
      <c r="J6650" s="64" t="n">
        <v>39136123.4917592</v>
      </c>
      <c r="K6650" s="62" t="s">
        <v>138</v>
      </c>
      <c r="L6650" s="68" t="b">
        <f aca="false">FALSE()</f>
        <v>0</v>
      </c>
    </row>
    <row r="6651" customFormat="false" ht="15" hidden="false" customHeight="false" outlineLevel="0" collapsed="false">
      <c r="A6651" s="62" t="n">
        <v>1</v>
      </c>
      <c r="B6651" s="21" t="s">
        <v>336</v>
      </c>
      <c r="C6651" s="62" t="s">
        <v>60</v>
      </c>
      <c r="D6651" s="62" t="s">
        <v>385</v>
      </c>
      <c r="E6651" s="62" t="s">
        <v>72</v>
      </c>
      <c r="F6651" s="62" t="s">
        <v>382</v>
      </c>
      <c r="G6651" s="63" t="s">
        <v>685</v>
      </c>
      <c r="H6651" s="64" t="n">
        <v>34262637306.6967</v>
      </c>
      <c r="I6651" s="62" t="s">
        <v>81</v>
      </c>
      <c r="J6651" s="64" t="n">
        <v>34262637.3066967</v>
      </c>
      <c r="K6651" s="62" t="s">
        <v>138</v>
      </c>
      <c r="L6651" s="68" t="b">
        <f aca="false">FALSE()</f>
        <v>0</v>
      </c>
    </row>
    <row r="6652" customFormat="false" ht="15" hidden="false" customHeight="false" outlineLevel="0" collapsed="false">
      <c r="A6652" s="62" t="n">
        <v>1</v>
      </c>
      <c r="B6652" s="21" t="s">
        <v>336</v>
      </c>
      <c r="C6652" s="62" t="s">
        <v>60</v>
      </c>
      <c r="D6652" s="62" t="s">
        <v>386</v>
      </c>
      <c r="E6652" s="62" t="s">
        <v>72</v>
      </c>
      <c r="F6652" s="62" t="s">
        <v>382</v>
      </c>
      <c r="G6652" s="63" t="s">
        <v>685</v>
      </c>
      <c r="H6652" s="64" t="n">
        <v>39689813576.1559</v>
      </c>
      <c r="I6652" s="62" t="s">
        <v>81</v>
      </c>
      <c r="J6652" s="64" t="n">
        <v>39689813.5761559</v>
      </c>
      <c r="K6652" s="62" t="s">
        <v>138</v>
      </c>
      <c r="L6652" s="68" t="b">
        <f aca="false">FALSE()</f>
        <v>0</v>
      </c>
    </row>
    <row r="6653" customFormat="false" ht="15" hidden="false" customHeight="false" outlineLevel="0" collapsed="false">
      <c r="A6653" s="62" t="n">
        <v>1</v>
      </c>
      <c r="B6653" s="21" t="s">
        <v>336</v>
      </c>
      <c r="C6653" s="62" t="s">
        <v>60</v>
      </c>
      <c r="D6653" s="62" t="s">
        <v>387</v>
      </c>
      <c r="E6653" s="62" t="s">
        <v>72</v>
      </c>
      <c r="F6653" s="62" t="s">
        <v>382</v>
      </c>
      <c r="G6653" s="63" t="s">
        <v>685</v>
      </c>
      <c r="H6653" s="64" t="n">
        <v>38879030083.6089</v>
      </c>
      <c r="I6653" s="62" t="s">
        <v>81</v>
      </c>
      <c r="J6653" s="64" t="n">
        <v>38879030.0836089</v>
      </c>
      <c r="K6653" s="62" t="s">
        <v>138</v>
      </c>
      <c r="L6653" s="68" t="b">
        <f aca="false">FALSE()</f>
        <v>0</v>
      </c>
    </row>
    <row r="6654" customFormat="false" ht="15" hidden="false" customHeight="false" outlineLevel="0" collapsed="false">
      <c r="A6654" s="62" t="n">
        <v>1</v>
      </c>
      <c r="B6654" s="21" t="s">
        <v>336</v>
      </c>
      <c r="C6654" s="62" t="s">
        <v>60</v>
      </c>
      <c r="D6654" s="62" t="s">
        <v>388</v>
      </c>
      <c r="E6654" s="62" t="s">
        <v>72</v>
      </c>
      <c r="F6654" s="62" t="s">
        <v>382</v>
      </c>
      <c r="G6654" s="63" t="s">
        <v>685</v>
      </c>
      <c r="H6654" s="64" t="n">
        <v>33394798309.6</v>
      </c>
      <c r="I6654" s="62" t="s">
        <v>81</v>
      </c>
      <c r="J6654" s="64" t="n">
        <v>33394798.3096</v>
      </c>
      <c r="K6654" s="62" t="s">
        <v>138</v>
      </c>
      <c r="L6654" s="68" t="b">
        <f aca="false">FALSE()</f>
        <v>0</v>
      </c>
    </row>
    <row r="6655" customFormat="false" ht="15" hidden="false" customHeight="false" outlineLevel="0" collapsed="false">
      <c r="A6655" s="62" t="n">
        <v>1</v>
      </c>
      <c r="B6655" s="21" t="s">
        <v>336</v>
      </c>
      <c r="C6655" s="62" t="s">
        <v>60</v>
      </c>
      <c r="D6655" s="62" t="s">
        <v>381</v>
      </c>
      <c r="E6655" s="62" t="s">
        <v>72</v>
      </c>
      <c r="F6655" s="62" t="s">
        <v>382</v>
      </c>
      <c r="G6655" s="63" t="s">
        <v>686</v>
      </c>
      <c r="H6655" s="64" t="n">
        <v>2013726989.95441</v>
      </c>
      <c r="I6655" s="62" t="s">
        <v>81</v>
      </c>
      <c r="J6655" s="64" t="n">
        <v>2013726.98995441</v>
      </c>
      <c r="K6655" s="62" t="s">
        <v>138</v>
      </c>
      <c r="L6655" s="68" t="b">
        <f aca="false">FALSE()</f>
        <v>0</v>
      </c>
    </row>
    <row r="6656" customFormat="false" ht="15" hidden="false" customHeight="false" outlineLevel="0" collapsed="false">
      <c r="A6656" s="62" t="n">
        <v>1</v>
      </c>
      <c r="B6656" s="21" t="s">
        <v>336</v>
      </c>
      <c r="C6656" s="62" t="s">
        <v>60</v>
      </c>
      <c r="D6656" s="62" t="s">
        <v>383</v>
      </c>
      <c r="E6656" s="62" t="s">
        <v>72</v>
      </c>
      <c r="F6656" s="62" t="s">
        <v>382</v>
      </c>
      <c r="G6656" s="63" t="s">
        <v>686</v>
      </c>
      <c r="H6656" s="64" t="n">
        <v>2212491436.10199</v>
      </c>
      <c r="I6656" s="62" t="s">
        <v>81</v>
      </c>
      <c r="J6656" s="64" t="n">
        <v>2212491.43610199</v>
      </c>
      <c r="K6656" s="62" t="s">
        <v>138</v>
      </c>
      <c r="L6656" s="68" t="b">
        <f aca="false">FALSE()</f>
        <v>0</v>
      </c>
    </row>
    <row r="6657" customFormat="false" ht="15" hidden="false" customHeight="false" outlineLevel="0" collapsed="false">
      <c r="A6657" s="62" t="n">
        <v>1</v>
      </c>
      <c r="B6657" s="21" t="s">
        <v>336</v>
      </c>
      <c r="C6657" s="62" t="s">
        <v>60</v>
      </c>
      <c r="D6657" s="62" t="s">
        <v>384</v>
      </c>
      <c r="E6657" s="62" t="s">
        <v>72</v>
      </c>
      <c r="F6657" s="62" t="s">
        <v>382</v>
      </c>
      <c r="G6657" s="63" t="s">
        <v>686</v>
      </c>
      <c r="H6657" s="64" t="n">
        <v>2495417155.57904</v>
      </c>
      <c r="I6657" s="62" t="s">
        <v>81</v>
      </c>
      <c r="J6657" s="64" t="n">
        <v>2495417.15557904</v>
      </c>
      <c r="K6657" s="62" t="s">
        <v>138</v>
      </c>
      <c r="L6657" s="68" t="b">
        <f aca="false">FALSE()</f>
        <v>0</v>
      </c>
    </row>
    <row r="6658" customFormat="false" ht="15" hidden="false" customHeight="false" outlineLevel="0" collapsed="false">
      <c r="A6658" s="62" t="n">
        <v>1</v>
      </c>
      <c r="B6658" s="21" t="s">
        <v>336</v>
      </c>
      <c r="C6658" s="62" t="s">
        <v>60</v>
      </c>
      <c r="D6658" s="62" t="s">
        <v>385</v>
      </c>
      <c r="E6658" s="62" t="s">
        <v>72</v>
      </c>
      <c r="F6658" s="62" t="s">
        <v>382</v>
      </c>
      <c r="G6658" s="63" t="s">
        <v>686</v>
      </c>
      <c r="H6658" s="64" t="n">
        <v>1896402145.32652</v>
      </c>
      <c r="I6658" s="62" t="s">
        <v>81</v>
      </c>
      <c r="J6658" s="64" t="n">
        <v>1896402.14532652</v>
      </c>
      <c r="K6658" s="62" t="s">
        <v>138</v>
      </c>
      <c r="L6658" s="68" t="b">
        <f aca="false">FALSE()</f>
        <v>0</v>
      </c>
    </row>
    <row r="6659" customFormat="false" ht="15" hidden="false" customHeight="false" outlineLevel="0" collapsed="false">
      <c r="A6659" s="62" t="n">
        <v>1</v>
      </c>
      <c r="B6659" s="21" t="s">
        <v>336</v>
      </c>
      <c r="C6659" s="62" t="s">
        <v>60</v>
      </c>
      <c r="D6659" s="62" t="s">
        <v>386</v>
      </c>
      <c r="E6659" s="62" t="s">
        <v>72</v>
      </c>
      <c r="F6659" s="62" t="s">
        <v>382</v>
      </c>
      <c r="G6659" s="63" t="s">
        <v>686</v>
      </c>
      <c r="H6659" s="64" t="n">
        <v>2375655674.79659</v>
      </c>
      <c r="I6659" s="62" t="s">
        <v>81</v>
      </c>
      <c r="J6659" s="64" t="n">
        <v>2375655.67479659</v>
      </c>
      <c r="K6659" s="62" t="s">
        <v>138</v>
      </c>
      <c r="L6659" s="68" t="b">
        <f aca="false">FALSE()</f>
        <v>0</v>
      </c>
    </row>
    <row r="6660" customFormat="false" ht="15" hidden="false" customHeight="false" outlineLevel="0" collapsed="false">
      <c r="A6660" s="62" t="n">
        <v>1</v>
      </c>
      <c r="B6660" s="21" t="s">
        <v>336</v>
      </c>
      <c r="C6660" s="62" t="s">
        <v>60</v>
      </c>
      <c r="D6660" s="62" t="s">
        <v>387</v>
      </c>
      <c r="E6660" s="62" t="s">
        <v>72</v>
      </c>
      <c r="F6660" s="62" t="s">
        <v>382</v>
      </c>
      <c r="G6660" s="63" t="s">
        <v>686</v>
      </c>
      <c r="H6660" s="64" t="n">
        <v>1834066343.93921</v>
      </c>
      <c r="I6660" s="62" t="s">
        <v>81</v>
      </c>
      <c r="J6660" s="64" t="n">
        <v>1834066.34393921</v>
      </c>
      <c r="K6660" s="62" t="s">
        <v>138</v>
      </c>
      <c r="L6660" s="68" t="b">
        <f aca="false">FALSE()</f>
        <v>0</v>
      </c>
    </row>
    <row r="6661" customFormat="false" ht="15" hidden="false" customHeight="false" outlineLevel="0" collapsed="false">
      <c r="A6661" s="62" t="n">
        <v>1</v>
      </c>
      <c r="B6661" s="21" t="s">
        <v>336</v>
      </c>
      <c r="C6661" s="62" t="s">
        <v>60</v>
      </c>
      <c r="D6661" s="62" t="s">
        <v>388</v>
      </c>
      <c r="E6661" s="62" t="s">
        <v>72</v>
      </c>
      <c r="F6661" s="62" t="s">
        <v>382</v>
      </c>
      <c r="G6661" s="63" t="s">
        <v>686</v>
      </c>
      <c r="H6661" s="64" t="n">
        <v>1410133271.17909</v>
      </c>
      <c r="I6661" s="62" t="s">
        <v>81</v>
      </c>
      <c r="J6661" s="64" t="n">
        <v>1410133.27117909</v>
      </c>
      <c r="K6661" s="62" t="s">
        <v>138</v>
      </c>
      <c r="L6661" s="68" t="b">
        <f aca="false">FALSE()</f>
        <v>0</v>
      </c>
    </row>
    <row r="6662" customFormat="false" ht="15" hidden="false" customHeight="false" outlineLevel="0" collapsed="false">
      <c r="A6662" s="62" t="n">
        <v>1</v>
      </c>
      <c r="B6662" s="21" t="s">
        <v>336</v>
      </c>
      <c r="C6662" s="62" t="s">
        <v>60</v>
      </c>
      <c r="D6662" s="62" t="s">
        <v>381</v>
      </c>
      <c r="E6662" s="62" t="s">
        <v>72</v>
      </c>
      <c r="F6662" s="62" t="s">
        <v>382</v>
      </c>
      <c r="G6662" s="63" t="s">
        <v>687</v>
      </c>
      <c r="H6662" s="64" t="n">
        <v>23459919432.9688</v>
      </c>
      <c r="I6662" s="62" t="s">
        <v>81</v>
      </c>
      <c r="J6662" s="64" t="n">
        <v>23459919.4329688</v>
      </c>
      <c r="K6662" s="62" t="s">
        <v>138</v>
      </c>
      <c r="L6662" s="68" t="b">
        <f aca="false">FALSE()</f>
        <v>0</v>
      </c>
    </row>
    <row r="6663" customFormat="false" ht="15" hidden="false" customHeight="false" outlineLevel="0" collapsed="false">
      <c r="A6663" s="62" t="n">
        <v>1</v>
      </c>
      <c r="B6663" s="21" t="s">
        <v>336</v>
      </c>
      <c r="C6663" s="62" t="s">
        <v>60</v>
      </c>
      <c r="D6663" s="62" t="s">
        <v>383</v>
      </c>
      <c r="E6663" s="62" t="s">
        <v>72</v>
      </c>
      <c r="F6663" s="62" t="s">
        <v>382</v>
      </c>
      <c r="G6663" s="63" t="s">
        <v>687</v>
      </c>
      <c r="H6663" s="64" t="n">
        <v>25775525230.5882</v>
      </c>
      <c r="I6663" s="62" t="s">
        <v>81</v>
      </c>
      <c r="J6663" s="64" t="n">
        <v>25775525.2305882</v>
      </c>
      <c r="K6663" s="62" t="s">
        <v>138</v>
      </c>
      <c r="L6663" s="68" t="b">
        <f aca="false">FALSE()</f>
        <v>0</v>
      </c>
    </row>
    <row r="6664" customFormat="false" ht="15" hidden="false" customHeight="false" outlineLevel="0" collapsed="false">
      <c r="A6664" s="62" t="n">
        <v>1</v>
      </c>
      <c r="B6664" s="21" t="s">
        <v>336</v>
      </c>
      <c r="C6664" s="62" t="s">
        <v>60</v>
      </c>
      <c r="D6664" s="62" t="s">
        <v>384</v>
      </c>
      <c r="E6664" s="62" t="s">
        <v>72</v>
      </c>
      <c r="F6664" s="62" t="s">
        <v>382</v>
      </c>
      <c r="G6664" s="63" t="s">
        <v>687</v>
      </c>
      <c r="H6664" s="64" t="n">
        <v>29071609862.4958</v>
      </c>
      <c r="I6664" s="62" t="s">
        <v>81</v>
      </c>
      <c r="J6664" s="64" t="n">
        <v>29071609.8624958</v>
      </c>
      <c r="K6664" s="62" t="s">
        <v>138</v>
      </c>
      <c r="L6664" s="68" t="b">
        <f aca="false">FALSE()</f>
        <v>0</v>
      </c>
    </row>
    <row r="6665" customFormat="false" ht="15" hidden="false" customHeight="false" outlineLevel="0" collapsed="false">
      <c r="A6665" s="62" t="n">
        <v>1</v>
      </c>
      <c r="B6665" s="21" t="s">
        <v>336</v>
      </c>
      <c r="C6665" s="62" t="s">
        <v>60</v>
      </c>
      <c r="D6665" s="62" t="s">
        <v>385</v>
      </c>
      <c r="E6665" s="62" t="s">
        <v>72</v>
      </c>
      <c r="F6665" s="62" t="s">
        <v>382</v>
      </c>
      <c r="G6665" s="63" t="s">
        <v>687</v>
      </c>
      <c r="H6665" s="64" t="n">
        <v>22093084993.054</v>
      </c>
      <c r="I6665" s="62" t="s">
        <v>81</v>
      </c>
      <c r="J6665" s="64" t="n">
        <v>22093084.993054</v>
      </c>
      <c r="K6665" s="62" t="s">
        <v>138</v>
      </c>
      <c r="L6665" s="68" t="b">
        <f aca="false">FALSE()</f>
        <v>0</v>
      </c>
    </row>
    <row r="6666" customFormat="false" ht="15" hidden="false" customHeight="false" outlineLevel="0" collapsed="false">
      <c r="A6666" s="62" t="n">
        <v>1</v>
      </c>
      <c r="B6666" s="21" t="s">
        <v>336</v>
      </c>
      <c r="C6666" s="62" t="s">
        <v>60</v>
      </c>
      <c r="D6666" s="62" t="s">
        <v>386</v>
      </c>
      <c r="E6666" s="62" t="s">
        <v>72</v>
      </c>
      <c r="F6666" s="62" t="s">
        <v>382</v>
      </c>
      <c r="G6666" s="63" t="s">
        <v>687</v>
      </c>
      <c r="H6666" s="64" t="n">
        <v>27676388611.3802</v>
      </c>
      <c r="I6666" s="62" t="s">
        <v>81</v>
      </c>
      <c r="J6666" s="64" t="n">
        <v>27676388.6113802</v>
      </c>
      <c r="K6666" s="62" t="s">
        <v>138</v>
      </c>
      <c r="L6666" s="68" t="b">
        <f aca="false">FALSE()</f>
        <v>0</v>
      </c>
    </row>
    <row r="6667" customFormat="false" ht="15" hidden="false" customHeight="false" outlineLevel="0" collapsed="false">
      <c r="A6667" s="62" t="n">
        <v>1</v>
      </c>
      <c r="B6667" s="21" t="s">
        <v>336</v>
      </c>
      <c r="C6667" s="62" t="s">
        <v>60</v>
      </c>
      <c r="D6667" s="62" t="s">
        <v>387</v>
      </c>
      <c r="E6667" s="62" t="s">
        <v>72</v>
      </c>
      <c r="F6667" s="62" t="s">
        <v>382</v>
      </c>
      <c r="G6667" s="63" t="s">
        <v>687</v>
      </c>
      <c r="H6667" s="64" t="n">
        <v>21366872906.8918</v>
      </c>
      <c r="I6667" s="62" t="s">
        <v>81</v>
      </c>
      <c r="J6667" s="64" t="n">
        <v>21366872.9068918</v>
      </c>
      <c r="K6667" s="62" t="s">
        <v>138</v>
      </c>
      <c r="L6667" s="68" t="b">
        <f aca="false">FALSE()</f>
        <v>0</v>
      </c>
    </row>
    <row r="6668" customFormat="false" ht="15" hidden="false" customHeight="false" outlineLevel="0" collapsed="false">
      <c r="A6668" s="62" t="n">
        <v>1</v>
      </c>
      <c r="B6668" s="21" t="s">
        <v>336</v>
      </c>
      <c r="C6668" s="62" t="s">
        <v>60</v>
      </c>
      <c r="D6668" s="62" t="s">
        <v>388</v>
      </c>
      <c r="E6668" s="62" t="s">
        <v>72</v>
      </c>
      <c r="F6668" s="62" t="s">
        <v>382</v>
      </c>
      <c r="G6668" s="63" t="s">
        <v>687</v>
      </c>
      <c r="H6668" s="64" t="n">
        <v>16428052609.2364</v>
      </c>
      <c r="I6668" s="62" t="s">
        <v>81</v>
      </c>
      <c r="J6668" s="64" t="n">
        <v>16428052.6092364</v>
      </c>
      <c r="K6668" s="62" t="s">
        <v>138</v>
      </c>
      <c r="L6668" s="68" t="b">
        <f aca="false">FALSE()</f>
        <v>0</v>
      </c>
    </row>
    <row r="6669" customFormat="false" ht="15" hidden="false" customHeight="false" outlineLevel="0" collapsed="false">
      <c r="A6669" s="62" t="n">
        <v>1</v>
      </c>
      <c r="B6669" s="21" t="s">
        <v>336</v>
      </c>
      <c r="C6669" s="62" t="s">
        <v>60</v>
      </c>
      <c r="D6669" s="62" t="s">
        <v>381</v>
      </c>
      <c r="E6669" s="62" t="s">
        <v>72</v>
      </c>
      <c r="F6669" s="62" t="s">
        <v>382</v>
      </c>
      <c r="G6669" s="63" t="s">
        <v>688</v>
      </c>
      <c r="H6669" s="64" t="n">
        <v>1822593878.95441</v>
      </c>
      <c r="I6669" s="62" t="s">
        <v>81</v>
      </c>
      <c r="J6669" s="64" t="n">
        <v>1822593.87895441</v>
      </c>
      <c r="K6669" s="62" t="s">
        <v>138</v>
      </c>
      <c r="L6669" s="68" t="b">
        <f aca="false">FALSE()</f>
        <v>0</v>
      </c>
    </row>
    <row r="6670" customFormat="false" ht="15" hidden="false" customHeight="false" outlineLevel="0" collapsed="false">
      <c r="A6670" s="62" t="n">
        <v>1</v>
      </c>
      <c r="B6670" s="21" t="s">
        <v>336</v>
      </c>
      <c r="C6670" s="62" t="s">
        <v>60</v>
      </c>
      <c r="D6670" s="62" t="s">
        <v>383</v>
      </c>
      <c r="E6670" s="62" t="s">
        <v>72</v>
      </c>
      <c r="F6670" s="62" t="s">
        <v>382</v>
      </c>
      <c r="G6670" s="63" t="s">
        <v>688</v>
      </c>
      <c r="H6670" s="64" t="n">
        <v>2021358325.10199</v>
      </c>
      <c r="I6670" s="62" t="s">
        <v>81</v>
      </c>
      <c r="J6670" s="64" t="n">
        <v>2021358.32510199</v>
      </c>
      <c r="K6670" s="62" t="s">
        <v>138</v>
      </c>
      <c r="L6670" s="68" t="b">
        <f aca="false">FALSE()</f>
        <v>0</v>
      </c>
    </row>
    <row r="6671" customFormat="false" ht="15" hidden="false" customHeight="false" outlineLevel="0" collapsed="false">
      <c r="A6671" s="62" t="n">
        <v>1</v>
      </c>
      <c r="B6671" s="21" t="s">
        <v>336</v>
      </c>
      <c r="C6671" s="62" t="s">
        <v>60</v>
      </c>
      <c r="D6671" s="62" t="s">
        <v>384</v>
      </c>
      <c r="E6671" s="62" t="s">
        <v>72</v>
      </c>
      <c r="F6671" s="62" t="s">
        <v>382</v>
      </c>
      <c r="G6671" s="63" t="s">
        <v>688</v>
      </c>
      <c r="H6671" s="64" t="n">
        <v>2304284044.57904</v>
      </c>
      <c r="I6671" s="62" t="s">
        <v>81</v>
      </c>
      <c r="J6671" s="64" t="n">
        <v>2304284.04457904</v>
      </c>
      <c r="K6671" s="62" t="s">
        <v>138</v>
      </c>
      <c r="L6671" s="68" t="b">
        <f aca="false">FALSE()</f>
        <v>0</v>
      </c>
    </row>
    <row r="6672" customFormat="false" ht="15" hidden="false" customHeight="false" outlineLevel="0" collapsed="false">
      <c r="A6672" s="62" t="n">
        <v>1</v>
      </c>
      <c r="B6672" s="21" t="s">
        <v>336</v>
      </c>
      <c r="C6672" s="62" t="s">
        <v>60</v>
      </c>
      <c r="D6672" s="62" t="s">
        <v>385</v>
      </c>
      <c r="E6672" s="62" t="s">
        <v>72</v>
      </c>
      <c r="F6672" s="62" t="s">
        <v>382</v>
      </c>
      <c r="G6672" s="63" t="s">
        <v>688</v>
      </c>
      <c r="H6672" s="64" t="n">
        <v>1705269034.32652</v>
      </c>
      <c r="I6672" s="62" t="s">
        <v>81</v>
      </c>
      <c r="J6672" s="64" t="n">
        <v>1705269.03432652</v>
      </c>
      <c r="K6672" s="62" t="s">
        <v>138</v>
      </c>
      <c r="L6672" s="68" t="b">
        <f aca="false">FALSE()</f>
        <v>0</v>
      </c>
    </row>
    <row r="6673" customFormat="false" ht="15" hidden="false" customHeight="false" outlineLevel="0" collapsed="false">
      <c r="A6673" s="62" t="n">
        <v>1</v>
      </c>
      <c r="B6673" s="21" t="s">
        <v>336</v>
      </c>
      <c r="C6673" s="62" t="s">
        <v>60</v>
      </c>
      <c r="D6673" s="62" t="s">
        <v>386</v>
      </c>
      <c r="E6673" s="62" t="s">
        <v>72</v>
      </c>
      <c r="F6673" s="62" t="s">
        <v>382</v>
      </c>
      <c r="G6673" s="63" t="s">
        <v>688</v>
      </c>
      <c r="H6673" s="64" t="n">
        <v>2184522563.79659</v>
      </c>
      <c r="I6673" s="62" t="s">
        <v>81</v>
      </c>
      <c r="J6673" s="64" t="n">
        <v>2184522.56379659</v>
      </c>
      <c r="K6673" s="62" t="s">
        <v>138</v>
      </c>
      <c r="L6673" s="68" t="b">
        <f aca="false">FALSE()</f>
        <v>0</v>
      </c>
    </row>
    <row r="6674" customFormat="false" ht="15" hidden="false" customHeight="false" outlineLevel="0" collapsed="false">
      <c r="A6674" s="62" t="n">
        <v>1</v>
      </c>
      <c r="B6674" s="21" t="s">
        <v>336</v>
      </c>
      <c r="C6674" s="62" t="s">
        <v>60</v>
      </c>
      <c r="D6674" s="62" t="s">
        <v>387</v>
      </c>
      <c r="E6674" s="62" t="s">
        <v>72</v>
      </c>
      <c r="F6674" s="62" t="s">
        <v>382</v>
      </c>
      <c r="G6674" s="63" t="s">
        <v>688</v>
      </c>
      <c r="H6674" s="64" t="n">
        <v>1642933232.93921</v>
      </c>
      <c r="I6674" s="62" t="s">
        <v>81</v>
      </c>
      <c r="J6674" s="64" t="n">
        <v>1642933.23293921</v>
      </c>
      <c r="K6674" s="62" t="s">
        <v>138</v>
      </c>
      <c r="L6674" s="68" t="b">
        <f aca="false">FALSE()</f>
        <v>0</v>
      </c>
    </row>
    <row r="6675" customFormat="false" ht="15" hidden="false" customHeight="false" outlineLevel="0" collapsed="false">
      <c r="A6675" s="62" t="n">
        <v>1</v>
      </c>
      <c r="B6675" s="21" t="s">
        <v>336</v>
      </c>
      <c r="C6675" s="62" t="s">
        <v>60</v>
      </c>
      <c r="D6675" s="62" t="s">
        <v>388</v>
      </c>
      <c r="E6675" s="62" t="s">
        <v>72</v>
      </c>
      <c r="F6675" s="62" t="s">
        <v>382</v>
      </c>
      <c r="G6675" s="63" t="s">
        <v>688</v>
      </c>
      <c r="H6675" s="64" t="n">
        <v>1219000160.17909</v>
      </c>
      <c r="I6675" s="62" t="s">
        <v>81</v>
      </c>
      <c r="J6675" s="64" t="n">
        <v>1219000.16017909</v>
      </c>
      <c r="K6675" s="62" t="s">
        <v>138</v>
      </c>
      <c r="L6675" s="68" t="b">
        <f aca="false">FALSE()</f>
        <v>0</v>
      </c>
    </row>
    <row r="6676" customFormat="false" ht="15" hidden="false" customHeight="false" outlineLevel="0" collapsed="false">
      <c r="A6676" s="62" t="n">
        <v>1</v>
      </c>
      <c r="B6676" s="21" t="s">
        <v>336</v>
      </c>
      <c r="C6676" s="62" t="s">
        <v>60</v>
      </c>
      <c r="D6676" s="62" t="s">
        <v>381</v>
      </c>
      <c r="E6676" s="62" t="s">
        <v>72</v>
      </c>
      <c r="F6676" s="62" t="s">
        <v>382</v>
      </c>
      <c r="G6676" s="63" t="s">
        <v>689</v>
      </c>
      <c r="H6676" s="64" t="n">
        <v>26664548449.103</v>
      </c>
      <c r="I6676" s="62" t="s">
        <v>81</v>
      </c>
      <c r="J6676" s="64" t="n">
        <v>26664548.449103</v>
      </c>
      <c r="K6676" s="62" t="s">
        <v>138</v>
      </c>
      <c r="L6676" s="68" t="b">
        <f aca="false">FALSE()</f>
        <v>0</v>
      </c>
    </row>
    <row r="6677" customFormat="false" ht="15" hidden="false" customHeight="false" outlineLevel="0" collapsed="false">
      <c r="A6677" s="62" t="n">
        <v>1</v>
      </c>
      <c r="B6677" s="21" t="s">
        <v>336</v>
      </c>
      <c r="C6677" s="62" t="s">
        <v>60</v>
      </c>
      <c r="D6677" s="62" t="s">
        <v>383</v>
      </c>
      <c r="E6677" s="62" t="s">
        <v>72</v>
      </c>
      <c r="F6677" s="62" t="s">
        <v>382</v>
      </c>
      <c r="G6677" s="63" t="s">
        <v>689</v>
      </c>
      <c r="H6677" s="64" t="n">
        <v>29572472296.2421</v>
      </c>
      <c r="I6677" s="62" t="s">
        <v>81</v>
      </c>
      <c r="J6677" s="64" t="n">
        <v>29572472.2962421</v>
      </c>
      <c r="K6677" s="62" t="s">
        <v>138</v>
      </c>
      <c r="L6677" s="68" t="b">
        <f aca="false">FALSE()</f>
        <v>0</v>
      </c>
    </row>
    <row r="6678" customFormat="false" ht="15" hidden="false" customHeight="false" outlineLevel="0" collapsed="false">
      <c r="A6678" s="62" t="n">
        <v>1</v>
      </c>
      <c r="B6678" s="21" t="s">
        <v>336</v>
      </c>
      <c r="C6678" s="62" t="s">
        <v>60</v>
      </c>
      <c r="D6678" s="62" t="s">
        <v>384</v>
      </c>
      <c r="E6678" s="62" t="s">
        <v>72</v>
      </c>
      <c r="F6678" s="62" t="s">
        <v>382</v>
      </c>
      <c r="G6678" s="63" t="s">
        <v>689</v>
      </c>
      <c r="H6678" s="64" t="n">
        <v>33711675572.1914</v>
      </c>
      <c r="I6678" s="62" t="s">
        <v>81</v>
      </c>
      <c r="J6678" s="64" t="n">
        <v>33711675.5721914</v>
      </c>
      <c r="K6678" s="62" t="s">
        <v>138</v>
      </c>
      <c r="L6678" s="68" t="b">
        <f aca="false">FALSE()</f>
        <v>0</v>
      </c>
    </row>
    <row r="6679" customFormat="false" ht="15" hidden="false" customHeight="false" outlineLevel="0" collapsed="false">
      <c r="A6679" s="62" t="n">
        <v>1</v>
      </c>
      <c r="B6679" s="21" t="s">
        <v>336</v>
      </c>
      <c r="C6679" s="62" t="s">
        <v>60</v>
      </c>
      <c r="D6679" s="62" t="s">
        <v>385</v>
      </c>
      <c r="E6679" s="62" t="s">
        <v>72</v>
      </c>
      <c r="F6679" s="62" t="s">
        <v>382</v>
      </c>
      <c r="G6679" s="63" t="s">
        <v>689</v>
      </c>
      <c r="H6679" s="64" t="n">
        <v>24948085972.197</v>
      </c>
      <c r="I6679" s="62" t="s">
        <v>81</v>
      </c>
      <c r="J6679" s="64" t="n">
        <v>24948085.972197</v>
      </c>
      <c r="K6679" s="62" t="s">
        <v>138</v>
      </c>
      <c r="L6679" s="68" t="b">
        <f aca="false">FALSE()</f>
        <v>0</v>
      </c>
    </row>
    <row r="6680" customFormat="false" ht="15" hidden="false" customHeight="false" outlineLevel="0" collapsed="false">
      <c r="A6680" s="62" t="n">
        <v>1</v>
      </c>
      <c r="B6680" s="21" t="s">
        <v>336</v>
      </c>
      <c r="C6680" s="62" t="s">
        <v>60</v>
      </c>
      <c r="D6680" s="62" t="s">
        <v>386</v>
      </c>
      <c r="E6680" s="62" t="s">
        <v>72</v>
      </c>
      <c r="F6680" s="62" t="s">
        <v>382</v>
      </c>
      <c r="G6680" s="63" t="s">
        <v>689</v>
      </c>
      <c r="H6680" s="64" t="n">
        <v>31959565108.3441</v>
      </c>
      <c r="I6680" s="62" t="s">
        <v>81</v>
      </c>
      <c r="J6680" s="64" t="n">
        <v>31959565.1083441</v>
      </c>
      <c r="K6680" s="62" t="s">
        <v>138</v>
      </c>
      <c r="L6680" s="68" t="b">
        <f aca="false">FALSE()</f>
        <v>0</v>
      </c>
    </row>
    <row r="6681" customFormat="false" ht="15" hidden="false" customHeight="false" outlineLevel="0" collapsed="false">
      <c r="A6681" s="62" t="n">
        <v>1</v>
      </c>
      <c r="B6681" s="21" t="s">
        <v>336</v>
      </c>
      <c r="C6681" s="62" t="s">
        <v>60</v>
      </c>
      <c r="D6681" s="62" t="s">
        <v>387</v>
      </c>
      <c r="E6681" s="62" t="s">
        <v>72</v>
      </c>
      <c r="F6681" s="62" t="s">
        <v>382</v>
      </c>
      <c r="G6681" s="63" t="s">
        <v>689</v>
      </c>
      <c r="H6681" s="64" t="n">
        <v>24036113197.9006</v>
      </c>
      <c r="I6681" s="62" t="s">
        <v>81</v>
      </c>
      <c r="J6681" s="64" t="n">
        <v>24036113.1979006</v>
      </c>
      <c r="K6681" s="62" t="s">
        <v>138</v>
      </c>
      <c r="L6681" s="68" t="b">
        <f aca="false">FALSE()</f>
        <v>0</v>
      </c>
    </row>
    <row r="6682" customFormat="false" ht="15" hidden="false" customHeight="false" outlineLevel="0" collapsed="false">
      <c r="A6682" s="62" t="n">
        <v>1</v>
      </c>
      <c r="B6682" s="21" t="s">
        <v>336</v>
      </c>
      <c r="C6682" s="62" t="s">
        <v>60</v>
      </c>
      <c r="D6682" s="62" t="s">
        <v>388</v>
      </c>
      <c r="E6682" s="62" t="s">
        <v>72</v>
      </c>
      <c r="F6682" s="62" t="s">
        <v>382</v>
      </c>
      <c r="G6682" s="63" t="s">
        <v>689</v>
      </c>
      <c r="H6682" s="64" t="n">
        <v>17833972343.4201</v>
      </c>
      <c r="I6682" s="62" t="s">
        <v>81</v>
      </c>
      <c r="J6682" s="64" t="n">
        <v>17833972.3434201</v>
      </c>
      <c r="K6682" s="62" t="s">
        <v>138</v>
      </c>
      <c r="L6682" s="68" t="b">
        <f aca="false">FALSE()</f>
        <v>0</v>
      </c>
    </row>
    <row r="6683" customFormat="false" ht="15" hidden="false" customHeight="false" outlineLevel="0" collapsed="false">
      <c r="A6683" s="62" t="n">
        <v>1</v>
      </c>
      <c r="B6683" s="21" t="s">
        <v>336</v>
      </c>
      <c r="C6683" s="62" t="s">
        <v>60</v>
      </c>
      <c r="D6683" s="62" t="s">
        <v>381</v>
      </c>
      <c r="E6683" s="62" t="s">
        <v>72</v>
      </c>
      <c r="F6683" s="62" t="s">
        <v>382</v>
      </c>
      <c r="G6683" s="63" t="s">
        <v>690</v>
      </c>
      <c r="H6683" s="64" t="n">
        <v>1379988389.28533</v>
      </c>
      <c r="I6683" s="62" t="s">
        <v>81</v>
      </c>
      <c r="J6683" s="64" t="n">
        <v>1379988.38928533</v>
      </c>
      <c r="K6683" s="62" t="s">
        <v>138</v>
      </c>
      <c r="L6683" s="68" t="b">
        <f aca="false">FALSE()</f>
        <v>0</v>
      </c>
    </row>
    <row r="6684" customFormat="false" ht="15" hidden="false" customHeight="false" outlineLevel="0" collapsed="false">
      <c r="A6684" s="62" t="n">
        <v>1</v>
      </c>
      <c r="B6684" s="21" t="s">
        <v>336</v>
      </c>
      <c r="C6684" s="62" t="s">
        <v>60</v>
      </c>
      <c r="D6684" s="62" t="s">
        <v>383</v>
      </c>
      <c r="E6684" s="62" t="s">
        <v>72</v>
      </c>
      <c r="F6684" s="62" t="s">
        <v>382</v>
      </c>
      <c r="G6684" s="63" t="s">
        <v>690</v>
      </c>
      <c r="H6684" s="64" t="n">
        <v>1511082539.70752</v>
      </c>
      <c r="I6684" s="62" t="s">
        <v>81</v>
      </c>
      <c r="J6684" s="64" t="n">
        <v>1511082.53970752</v>
      </c>
      <c r="K6684" s="62" t="s">
        <v>138</v>
      </c>
      <c r="L6684" s="68" t="b">
        <f aca="false">FALSE()</f>
        <v>0</v>
      </c>
    </row>
    <row r="6685" customFormat="false" ht="15" hidden="false" customHeight="false" outlineLevel="0" collapsed="false">
      <c r="A6685" s="62" t="n">
        <v>1</v>
      </c>
      <c r="B6685" s="21" t="s">
        <v>336</v>
      </c>
      <c r="C6685" s="62" t="s">
        <v>60</v>
      </c>
      <c r="D6685" s="62" t="s">
        <v>384</v>
      </c>
      <c r="E6685" s="62" t="s">
        <v>72</v>
      </c>
      <c r="F6685" s="62" t="s">
        <v>382</v>
      </c>
      <c r="G6685" s="63" t="s">
        <v>690</v>
      </c>
      <c r="H6685" s="64" t="n">
        <v>1732712527.26887</v>
      </c>
      <c r="I6685" s="62" t="s">
        <v>81</v>
      </c>
      <c r="J6685" s="64" t="n">
        <v>1732712.52726887</v>
      </c>
      <c r="K6685" s="62" t="s">
        <v>138</v>
      </c>
      <c r="L6685" s="68" t="b">
        <f aca="false">FALSE()</f>
        <v>0</v>
      </c>
    </row>
    <row r="6686" customFormat="false" ht="15" hidden="false" customHeight="false" outlineLevel="0" collapsed="false">
      <c r="A6686" s="62" t="n">
        <v>1</v>
      </c>
      <c r="B6686" s="21" t="s">
        <v>336</v>
      </c>
      <c r="C6686" s="62" t="s">
        <v>60</v>
      </c>
      <c r="D6686" s="62" t="s">
        <v>385</v>
      </c>
      <c r="E6686" s="62" t="s">
        <v>72</v>
      </c>
      <c r="F6686" s="62" t="s">
        <v>382</v>
      </c>
      <c r="G6686" s="63" t="s">
        <v>690</v>
      </c>
      <c r="H6686" s="64" t="n">
        <v>1292652725.37318</v>
      </c>
      <c r="I6686" s="62" t="s">
        <v>81</v>
      </c>
      <c r="J6686" s="64" t="n">
        <v>1292652.72537318</v>
      </c>
      <c r="K6686" s="62" t="s">
        <v>138</v>
      </c>
      <c r="L6686" s="68" t="b">
        <f aca="false">FALSE()</f>
        <v>0</v>
      </c>
    </row>
    <row r="6687" customFormat="false" ht="15" hidden="false" customHeight="false" outlineLevel="0" collapsed="false">
      <c r="A6687" s="62" t="n">
        <v>1</v>
      </c>
      <c r="B6687" s="21" t="s">
        <v>336</v>
      </c>
      <c r="C6687" s="62" t="s">
        <v>60</v>
      </c>
      <c r="D6687" s="62" t="s">
        <v>386</v>
      </c>
      <c r="E6687" s="62" t="s">
        <v>72</v>
      </c>
      <c r="F6687" s="62" t="s">
        <v>382</v>
      </c>
      <c r="G6687" s="63" t="s">
        <v>690</v>
      </c>
      <c r="H6687" s="64" t="n">
        <v>1647808362.92771</v>
      </c>
      <c r="I6687" s="62" t="s">
        <v>81</v>
      </c>
      <c r="J6687" s="64" t="n">
        <v>1647808.36292771</v>
      </c>
      <c r="K6687" s="62" t="s">
        <v>138</v>
      </c>
      <c r="L6687" s="68" t="b">
        <f aca="false">FALSE()</f>
        <v>0</v>
      </c>
    </row>
    <row r="6688" customFormat="false" ht="15" hidden="false" customHeight="false" outlineLevel="0" collapsed="false">
      <c r="A6688" s="62" t="n">
        <v>1</v>
      </c>
      <c r="B6688" s="21" t="s">
        <v>336</v>
      </c>
      <c r="C6688" s="62" t="s">
        <v>60</v>
      </c>
      <c r="D6688" s="62" t="s">
        <v>387</v>
      </c>
      <c r="E6688" s="62" t="s">
        <v>72</v>
      </c>
      <c r="F6688" s="62" t="s">
        <v>382</v>
      </c>
      <c r="G6688" s="63" t="s">
        <v>690</v>
      </c>
      <c r="H6688" s="64" t="n">
        <v>1223651594.973</v>
      </c>
      <c r="I6688" s="62" t="s">
        <v>81</v>
      </c>
      <c r="J6688" s="64" t="n">
        <v>1223651.594973</v>
      </c>
      <c r="K6688" s="62" t="s">
        <v>138</v>
      </c>
      <c r="L6688" s="68" t="b">
        <f aca="false">FALSE()</f>
        <v>0</v>
      </c>
    </row>
    <row r="6689" customFormat="false" ht="15" hidden="false" customHeight="false" outlineLevel="0" collapsed="false">
      <c r="A6689" s="62" t="n">
        <v>1</v>
      </c>
      <c r="B6689" s="21" t="s">
        <v>336</v>
      </c>
      <c r="C6689" s="62" t="s">
        <v>60</v>
      </c>
      <c r="D6689" s="62" t="s">
        <v>388</v>
      </c>
      <c r="E6689" s="62" t="s">
        <v>72</v>
      </c>
      <c r="F6689" s="62" t="s">
        <v>382</v>
      </c>
      <c r="G6689" s="63" t="s">
        <v>690</v>
      </c>
      <c r="H6689" s="64" t="n">
        <v>926385431.585272</v>
      </c>
      <c r="I6689" s="62" t="s">
        <v>81</v>
      </c>
      <c r="J6689" s="64" t="n">
        <v>926385.431585272</v>
      </c>
      <c r="K6689" s="62" t="s">
        <v>138</v>
      </c>
      <c r="L6689" s="68" t="b">
        <f aca="false">FALSE()</f>
        <v>0</v>
      </c>
    </row>
    <row r="6690" customFormat="false" ht="15" hidden="false" customHeight="false" outlineLevel="0" collapsed="false">
      <c r="A6690" s="62" t="n">
        <v>1</v>
      </c>
      <c r="B6690" s="21" t="s">
        <v>336</v>
      </c>
      <c r="C6690" s="62" t="s">
        <v>60</v>
      </c>
      <c r="D6690" s="62" t="s">
        <v>381</v>
      </c>
      <c r="E6690" s="62" t="s">
        <v>72</v>
      </c>
      <c r="F6690" s="62" t="s">
        <v>382</v>
      </c>
      <c r="G6690" s="63" t="s">
        <v>691</v>
      </c>
      <c r="H6690" s="64" t="n">
        <v>23873799134.6362</v>
      </c>
      <c r="I6690" s="62" t="s">
        <v>81</v>
      </c>
      <c r="J6690" s="64" t="n">
        <v>23873799.1346362</v>
      </c>
      <c r="K6690" s="62" t="s">
        <v>138</v>
      </c>
      <c r="L6690" s="68" t="b">
        <f aca="false">FALSE()</f>
        <v>0</v>
      </c>
    </row>
    <row r="6691" customFormat="false" ht="15" hidden="false" customHeight="false" outlineLevel="0" collapsed="false">
      <c r="A6691" s="62" t="n">
        <v>1</v>
      </c>
      <c r="B6691" s="21" t="s">
        <v>336</v>
      </c>
      <c r="C6691" s="62" t="s">
        <v>60</v>
      </c>
      <c r="D6691" s="62" t="s">
        <v>383</v>
      </c>
      <c r="E6691" s="62" t="s">
        <v>72</v>
      </c>
      <c r="F6691" s="62" t="s">
        <v>382</v>
      </c>
      <c r="G6691" s="63" t="s">
        <v>691</v>
      </c>
      <c r="H6691" s="64" t="n">
        <v>26141727936.9402</v>
      </c>
      <c r="I6691" s="62" t="s">
        <v>81</v>
      </c>
      <c r="J6691" s="64" t="n">
        <v>26141727.9369402</v>
      </c>
      <c r="K6691" s="62" t="s">
        <v>138</v>
      </c>
      <c r="L6691" s="68" t="b">
        <f aca="false">FALSE()</f>
        <v>0</v>
      </c>
    </row>
    <row r="6692" customFormat="false" ht="15" hidden="false" customHeight="false" outlineLevel="0" collapsed="false">
      <c r="A6692" s="62" t="n">
        <v>1</v>
      </c>
      <c r="B6692" s="21" t="s">
        <v>336</v>
      </c>
      <c r="C6692" s="62" t="s">
        <v>60</v>
      </c>
      <c r="D6692" s="62" t="s">
        <v>384</v>
      </c>
      <c r="E6692" s="62" t="s">
        <v>72</v>
      </c>
      <c r="F6692" s="62" t="s">
        <v>382</v>
      </c>
      <c r="G6692" s="63" t="s">
        <v>691</v>
      </c>
      <c r="H6692" s="64" t="n">
        <v>29975926721.7514</v>
      </c>
      <c r="I6692" s="62" t="s">
        <v>81</v>
      </c>
      <c r="J6692" s="64" t="n">
        <v>29975926.7217514</v>
      </c>
      <c r="K6692" s="62" t="s">
        <v>138</v>
      </c>
      <c r="L6692" s="68" t="b">
        <f aca="false">FALSE()</f>
        <v>0</v>
      </c>
    </row>
    <row r="6693" customFormat="false" ht="15" hidden="false" customHeight="false" outlineLevel="0" collapsed="false">
      <c r="A6693" s="62" t="n">
        <v>1</v>
      </c>
      <c r="B6693" s="21" t="s">
        <v>336</v>
      </c>
      <c r="C6693" s="62" t="s">
        <v>60</v>
      </c>
      <c r="D6693" s="62" t="s">
        <v>385</v>
      </c>
      <c r="E6693" s="62" t="s">
        <v>72</v>
      </c>
      <c r="F6693" s="62" t="s">
        <v>382</v>
      </c>
      <c r="G6693" s="63" t="s">
        <v>691</v>
      </c>
      <c r="H6693" s="64" t="n">
        <v>22362892148.9561</v>
      </c>
      <c r="I6693" s="62" t="s">
        <v>81</v>
      </c>
      <c r="J6693" s="64" t="n">
        <v>22362892.1489561</v>
      </c>
      <c r="K6693" s="62" t="s">
        <v>138</v>
      </c>
      <c r="L6693" s="68" t="b">
        <f aca="false">FALSE()</f>
        <v>0</v>
      </c>
    </row>
    <row r="6694" customFormat="false" ht="15" hidden="false" customHeight="false" outlineLevel="0" collapsed="false">
      <c r="A6694" s="62" t="n">
        <v>1</v>
      </c>
      <c r="B6694" s="21" t="s">
        <v>336</v>
      </c>
      <c r="C6694" s="62" t="s">
        <v>60</v>
      </c>
      <c r="D6694" s="62" t="s">
        <v>386</v>
      </c>
      <c r="E6694" s="62" t="s">
        <v>72</v>
      </c>
      <c r="F6694" s="62" t="s">
        <v>382</v>
      </c>
      <c r="G6694" s="63" t="s">
        <v>691</v>
      </c>
      <c r="H6694" s="64" t="n">
        <v>28507084678.6493</v>
      </c>
      <c r="I6694" s="62" t="s">
        <v>81</v>
      </c>
      <c r="J6694" s="64" t="n">
        <v>28507084.6786493</v>
      </c>
      <c r="K6694" s="62" t="s">
        <v>138</v>
      </c>
      <c r="L6694" s="68" t="b">
        <f aca="false">FALSE()</f>
        <v>0</v>
      </c>
    </row>
    <row r="6695" customFormat="false" ht="15" hidden="false" customHeight="false" outlineLevel="0" collapsed="false">
      <c r="A6695" s="62" t="n">
        <v>1</v>
      </c>
      <c r="B6695" s="21" t="s">
        <v>336</v>
      </c>
      <c r="C6695" s="62" t="s">
        <v>60</v>
      </c>
      <c r="D6695" s="62" t="s">
        <v>387</v>
      </c>
      <c r="E6695" s="62" t="s">
        <v>72</v>
      </c>
      <c r="F6695" s="62" t="s">
        <v>382</v>
      </c>
      <c r="G6695" s="63" t="s">
        <v>691</v>
      </c>
      <c r="H6695" s="64" t="n">
        <v>21169172593.0328</v>
      </c>
      <c r="I6695" s="62" t="s">
        <v>81</v>
      </c>
      <c r="J6695" s="64" t="n">
        <v>21169172.5930328</v>
      </c>
      <c r="K6695" s="62" t="s">
        <v>138</v>
      </c>
      <c r="L6695" s="68" t="b">
        <f aca="false">FALSE()</f>
        <v>0</v>
      </c>
    </row>
    <row r="6696" customFormat="false" ht="15" hidden="false" customHeight="false" outlineLevel="0" collapsed="false">
      <c r="A6696" s="62" t="n">
        <v>1</v>
      </c>
      <c r="B6696" s="21" t="s">
        <v>336</v>
      </c>
      <c r="C6696" s="62" t="s">
        <v>60</v>
      </c>
      <c r="D6696" s="62" t="s">
        <v>388</v>
      </c>
      <c r="E6696" s="62" t="s">
        <v>72</v>
      </c>
      <c r="F6696" s="62" t="s">
        <v>382</v>
      </c>
      <c r="G6696" s="63" t="s">
        <v>691</v>
      </c>
      <c r="H6696" s="64" t="n">
        <v>16026467966.4252</v>
      </c>
      <c r="I6696" s="62" t="s">
        <v>81</v>
      </c>
      <c r="J6696" s="64" t="n">
        <v>16026467.9664252</v>
      </c>
      <c r="K6696" s="62" t="s">
        <v>138</v>
      </c>
      <c r="L6696" s="68" t="b">
        <f aca="false">FALSE()</f>
        <v>0</v>
      </c>
    </row>
    <row r="6697" customFormat="false" ht="15" hidden="false" customHeight="false" outlineLevel="0" collapsed="false">
      <c r="A6697" s="62" t="n">
        <v>1</v>
      </c>
      <c r="B6697" s="21" t="s">
        <v>336</v>
      </c>
      <c r="C6697" s="62" t="s">
        <v>60</v>
      </c>
      <c r="D6697" s="62" t="s">
        <v>381</v>
      </c>
      <c r="E6697" s="62" t="s">
        <v>72</v>
      </c>
      <c r="F6697" s="62" t="s">
        <v>382</v>
      </c>
      <c r="G6697" s="63" t="s">
        <v>692</v>
      </c>
      <c r="H6697" s="64" t="n">
        <v>-792346446.345216</v>
      </c>
      <c r="I6697" s="62" t="s">
        <v>81</v>
      </c>
      <c r="J6697" s="64" t="n">
        <v>-792346.446345216</v>
      </c>
      <c r="K6697" s="62" t="s">
        <v>138</v>
      </c>
      <c r="L6697" s="68" t="b">
        <f aca="false">FALSE()</f>
        <v>0</v>
      </c>
    </row>
    <row r="6698" customFormat="false" ht="15" hidden="false" customHeight="false" outlineLevel="0" collapsed="false">
      <c r="A6698" s="62" t="n">
        <v>1</v>
      </c>
      <c r="B6698" s="21" t="s">
        <v>336</v>
      </c>
      <c r="C6698" s="62" t="s">
        <v>60</v>
      </c>
      <c r="D6698" s="62" t="s">
        <v>383</v>
      </c>
      <c r="E6698" s="62" t="s">
        <v>72</v>
      </c>
      <c r="F6698" s="62" t="s">
        <v>382</v>
      </c>
      <c r="G6698" s="63" t="s">
        <v>692</v>
      </c>
      <c r="H6698" s="64" t="n">
        <v>34139533333.1544</v>
      </c>
      <c r="I6698" s="62" t="s">
        <v>81</v>
      </c>
      <c r="J6698" s="64" t="n">
        <v>34139533.3331544</v>
      </c>
      <c r="K6698" s="62" t="s">
        <v>138</v>
      </c>
      <c r="L6698" s="68" t="b">
        <f aca="false">FALSE()</f>
        <v>0</v>
      </c>
    </row>
    <row r="6699" customFormat="false" ht="15" hidden="false" customHeight="false" outlineLevel="0" collapsed="false">
      <c r="A6699" s="62" t="n">
        <v>1</v>
      </c>
      <c r="B6699" s="21" t="s">
        <v>336</v>
      </c>
      <c r="C6699" s="62" t="s">
        <v>60</v>
      </c>
      <c r="D6699" s="62" t="s">
        <v>384</v>
      </c>
      <c r="E6699" s="62" t="s">
        <v>72</v>
      </c>
      <c r="F6699" s="62" t="s">
        <v>382</v>
      </c>
      <c r="G6699" s="63" t="s">
        <v>692</v>
      </c>
      <c r="H6699" s="64" t="n">
        <v>22633282877.9142</v>
      </c>
      <c r="I6699" s="62" t="s">
        <v>81</v>
      </c>
      <c r="J6699" s="64" t="n">
        <v>22633282.8779142</v>
      </c>
      <c r="K6699" s="62" t="s">
        <v>138</v>
      </c>
      <c r="L6699" s="68" t="b">
        <f aca="false">FALSE()</f>
        <v>0</v>
      </c>
    </row>
    <row r="6700" customFormat="false" ht="15" hidden="false" customHeight="false" outlineLevel="0" collapsed="false">
      <c r="A6700" s="62" t="n">
        <v>1</v>
      </c>
      <c r="B6700" s="21" t="s">
        <v>336</v>
      </c>
      <c r="C6700" s="62" t="s">
        <v>60</v>
      </c>
      <c r="D6700" s="62" t="s">
        <v>385</v>
      </c>
      <c r="E6700" s="62" t="s">
        <v>72</v>
      </c>
      <c r="F6700" s="62" t="s">
        <v>382</v>
      </c>
      <c r="G6700" s="63" t="s">
        <v>692</v>
      </c>
      <c r="H6700" s="64" t="n">
        <v>25736431702.355</v>
      </c>
      <c r="I6700" s="62" t="s">
        <v>81</v>
      </c>
      <c r="J6700" s="64" t="n">
        <v>25736431.702355</v>
      </c>
      <c r="K6700" s="62" t="s">
        <v>138</v>
      </c>
      <c r="L6700" s="68" t="b">
        <f aca="false">FALSE()</f>
        <v>0</v>
      </c>
    </row>
    <row r="6701" customFormat="false" ht="15" hidden="false" customHeight="false" outlineLevel="0" collapsed="false">
      <c r="A6701" s="62" t="n">
        <v>1</v>
      </c>
      <c r="B6701" s="21" t="s">
        <v>336</v>
      </c>
      <c r="C6701" s="62" t="s">
        <v>60</v>
      </c>
      <c r="D6701" s="62" t="s">
        <v>386</v>
      </c>
      <c r="E6701" s="62" t="s">
        <v>72</v>
      </c>
      <c r="F6701" s="62" t="s">
        <v>382</v>
      </c>
      <c r="G6701" s="63" t="s">
        <v>692</v>
      </c>
      <c r="H6701" s="64" t="n">
        <v>7339565560.43447</v>
      </c>
      <c r="I6701" s="62" t="s">
        <v>81</v>
      </c>
      <c r="J6701" s="64" t="n">
        <v>7339565.56043447</v>
      </c>
      <c r="K6701" s="62" t="s">
        <v>138</v>
      </c>
      <c r="L6701" s="68" t="b">
        <f aca="false">FALSE()</f>
        <v>0</v>
      </c>
    </row>
    <row r="6702" customFormat="false" ht="15" hidden="false" customHeight="false" outlineLevel="0" collapsed="false">
      <c r="A6702" s="62" t="n">
        <v>1</v>
      </c>
      <c r="B6702" s="21" t="s">
        <v>336</v>
      </c>
      <c r="C6702" s="62" t="s">
        <v>60</v>
      </c>
      <c r="D6702" s="62" t="s">
        <v>387</v>
      </c>
      <c r="E6702" s="62" t="s">
        <v>72</v>
      </c>
      <c r="F6702" s="62" t="s">
        <v>382</v>
      </c>
      <c r="G6702" s="63" t="s">
        <v>692</v>
      </c>
      <c r="H6702" s="64" t="n">
        <v>22161114127.4794</v>
      </c>
      <c r="I6702" s="62" t="s">
        <v>81</v>
      </c>
      <c r="J6702" s="64" t="n">
        <v>22161114.1274794</v>
      </c>
      <c r="K6702" s="62" t="s">
        <v>138</v>
      </c>
      <c r="L6702" s="68" t="b">
        <f aca="false">FALSE()</f>
        <v>0</v>
      </c>
    </row>
    <row r="6703" customFormat="false" ht="15" hidden="false" customHeight="false" outlineLevel="0" collapsed="false">
      <c r="A6703" s="62" t="n">
        <v>1</v>
      </c>
      <c r="B6703" s="21" t="s">
        <v>336</v>
      </c>
      <c r="C6703" s="62" t="s">
        <v>60</v>
      </c>
      <c r="D6703" s="62" t="s">
        <v>388</v>
      </c>
      <c r="E6703" s="62" t="s">
        <v>72</v>
      </c>
      <c r="F6703" s="62" t="s">
        <v>382</v>
      </c>
      <c r="G6703" s="63" t="s">
        <v>692</v>
      </c>
      <c r="H6703" s="64" t="n">
        <v>754429494.287729</v>
      </c>
      <c r="I6703" s="62" t="s">
        <v>81</v>
      </c>
      <c r="J6703" s="64" t="n">
        <v>754429.494287729</v>
      </c>
      <c r="K6703" s="62" t="s">
        <v>138</v>
      </c>
      <c r="L6703" s="68" t="b">
        <f aca="false">FALSE()</f>
        <v>0</v>
      </c>
    </row>
    <row r="6704" customFormat="false" ht="15" hidden="false" customHeight="false" outlineLevel="0" collapsed="false">
      <c r="A6704" s="62" t="n">
        <v>1</v>
      </c>
      <c r="B6704" s="21" t="s">
        <v>336</v>
      </c>
      <c r="C6704" s="62" t="s">
        <v>60</v>
      </c>
      <c r="D6704" s="62" t="s">
        <v>381</v>
      </c>
      <c r="E6704" s="62" t="s">
        <v>72</v>
      </c>
      <c r="F6704" s="62" t="s">
        <v>382</v>
      </c>
      <c r="G6704" s="63" t="s">
        <v>693</v>
      </c>
      <c r="H6704" s="64" t="n">
        <v>1706729886.28571</v>
      </c>
      <c r="I6704" s="62" t="s">
        <v>81</v>
      </c>
      <c r="J6704" s="64" t="n">
        <v>1706729.88628571</v>
      </c>
      <c r="K6704" s="62" t="s">
        <v>138</v>
      </c>
      <c r="L6704" s="68" t="b">
        <f aca="false">FALSE()</f>
        <v>0</v>
      </c>
    </row>
    <row r="6705" customFormat="false" ht="15" hidden="false" customHeight="false" outlineLevel="0" collapsed="false">
      <c r="A6705" s="62" t="n">
        <v>1</v>
      </c>
      <c r="B6705" s="21" t="s">
        <v>336</v>
      </c>
      <c r="C6705" s="62" t="s">
        <v>60</v>
      </c>
      <c r="D6705" s="62" t="s">
        <v>383</v>
      </c>
      <c r="E6705" s="62" t="s">
        <v>72</v>
      </c>
      <c r="F6705" s="62" t="s">
        <v>382</v>
      </c>
      <c r="G6705" s="63" t="s">
        <v>693</v>
      </c>
      <c r="H6705" s="64" t="n">
        <v>3918187283.30104</v>
      </c>
      <c r="I6705" s="62" t="s">
        <v>81</v>
      </c>
      <c r="J6705" s="64" t="n">
        <v>3918187.28330104</v>
      </c>
      <c r="K6705" s="62" t="s">
        <v>138</v>
      </c>
      <c r="L6705" s="68" t="b">
        <f aca="false">FALSE()</f>
        <v>0</v>
      </c>
    </row>
    <row r="6706" customFormat="false" ht="15" hidden="false" customHeight="false" outlineLevel="0" collapsed="false">
      <c r="A6706" s="62" t="n">
        <v>1</v>
      </c>
      <c r="B6706" s="21" t="s">
        <v>336</v>
      </c>
      <c r="C6706" s="62" t="s">
        <v>60</v>
      </c>
      <c r="D6706" s="62" t="s">
        <v>384</v>
      </c>
      <c r="E6706" s="62" t="s">
        <v>72</v>
      </c>
      <c r="F6706" s="62" t="s">
        <v>382</v>
      </c>
      <c r="G6706" s="63" t="s">
        <v>693</v>
      </c>
      <c r="H6706" s="64" t="n">
        <v>5119377793.68531</v>
      </c>
      <c r="I6706" s="62" t="s">
        <v>81</v>
      </c>
      <c r="J6706" s="64" t="n">
        <v>5119377.79368531</v>
      </c>
      <c r="K6706" s="62" t="s">
        <v>138</v>
      </c>
      <c r="L6706" s="68" t="b">
        <f aca="false">FALSE()</f>
        <v>0</v>
      </c>
    </row>
    <row r="6707" customFormat="false" ht="15" hidden="false" customHeight="false" outlineLevel="0" collapsed="false">
      <c r="A6707" s="62" t="n">
        <v>1</v>
      </c>
      <c r="B6707" s="21" t="s">
        <v>336</v>
      </c>
      <c r="C6707" s="62" t="s">
        <v>60</v>
      </c>
      <c r="D6707" s="62" t="s">
        <v>385</v>
      </c>
      <c r="E6707" s="62" t="s">
        <v>72</v>
      </c>
      <c r="F6707" s="62" t="s">
        <v>382</v>
      </c>
      <c r="G6707" s="63" t="s">
        <v>693</v>
      </c>
      <c r="H6707" s="64" t="n">
        <v>3423418134.54224</v>
      </c>
      <c r="I6707" s="62" t="s">
        <v>81</v>
      </c>
      <c r="J6707" s="64" t="n">
        <v>3423418.13454224</v>
      </c>
      <c r="K6707" s="62" t="s">
        <v>138</v>
      </c>
      <c r="L6707" s="68" t="b">
        <f aca="false">FALSE()</f>
        <v>0</v>
      </c>
    </row>
    <row r="6708" customFormat="false" ht="15" hidden="false" customHeight="false" outlineLevel="0" collapsed="false">
      <c r="A6708" s="62" t="n">
        <v>1</v>
      </c>
      <c r="B6708" s="21" t="s">
        <v>336</v>
      </c>
      <c r="C6708" s="62" t="s">
        <v>60</v>
      </c>
      <c r="D6708" s="62" t="s">
        <v>386</v>
      </c>
      <c r="E6708" s="62" t="s">
        <v>72</v>
      </c>
      <c r="F6708" s="62" t="s">
        <v>382</v>
      </c>
      <c r="G6708" s="63" t="s">
        <v>693</v>
      </c>
      <c r="H6708" s="64" t="n">
        <v>0</v>
      </c>
      <c r="I6708" s="62" t="s">
        <v>81</v>
      </c>
      <c r="J6708" s="64" t="n">
        <v>0</v>
      </c>
      <c r="K6708" s="62" t="s">
        <v>138</v>
      </c>
      <c r="L6708" s="68" t="b">
        <f aca="false">FALSE()</f>
        <v>0</v>
      </c>
    </row>
    <row r="6709" customFormat="false" ht="15" hidden="false" customHeight="false" outlineLevel="0" collapsed="false">
      <c r="A6709" s="62" t="n">
        <v>1</v>
      </c>
      <c r="B6709" s="21" t="s">
        <v>336</v>
      </c>
      <c r="C6709" s="62" t="s">
        <v>60</v>
      </c>
      <c r="D6709" s="62" t="s">
        <v>387</v>
      </c>
      <c r="E6709" s="62" t="s">
        <v>72</v>
      </c>
      <c r="F6709" s="62" t="s">
        <v>382</v>
      </c>
      <c r="G6709" s="63" t="s">
        <v>693</v>
      </c>
      <c r="H6709" s="64" t="n">
        <v>1892469243.35585</v>
      </c>
      <c r="I6709" s="62" t="s">
        <v>81</v>
      </c>
      <c r="J6709" s="64" t="n">
        <v>1892469.24335585</v>
      </c>
      <c r="K6709" s="62" t="s">
        <v>138</v>
      </c>
      <c r="L6709" s="68" t="b">
        <f aca="false">FALSE()</f>
        <v>0</v>
      </c>
    </row>
    <row r="6710" customFormat="false" ht="15" hidden="false" customHeight="false" outlineLevel="0" collapsed="false">
      <c r="A6710" s="62" t="n">
        <v>1</v>
      </c>
      <c r="B6710" s="21" t="s">
        <v>336</v>
      </c>
      <c r="C6710" s="62" t="s">
        <v>60</v>
      </c>
      <c r="D6710" s="62" t="s">
        <v>388</v>
      </c>
      <c r="E6710" s="62" t="s">
        <v>72</v>
      </c>
      <c r="F6710" s="62" t="s">
        <v>382</v>
      </c>
      <c r="G6710" s="63" t="s">
        <v>693</v>
      </c>
      <c r="H6710" s="64" t="n">
        <v>1029957820.35749</v>
      </c>
      <c r="I6710" s="62" t="s">
        <v>81</v>
      </c>
      <c r="J6710" s="64" t="n">
        <v>1029957.82035749</v>
      </c>
      <c r="K6710" s="62" t="s">
        <v>138</v>
      </c>
      <c r="L6710" s="68" t="b">
        <f aca="false">FALSE()</f>
        <v>0</v>
      </c>
    </row>
    <row r="6711" customFormat="false" ht="15" hidden="false" customHeight="false" outlineLevel="0" collapsed="false">
      <c r="A6711" s="62" t="n">
        <v>1</v>
      </c>
      <c r="B6711" s="21" t="s">
        <v>336</v>
      </c>
      <c r="C6711" s="62" t="s">
        <v>60</v>
      </c>
      <c r="D6711" s="62" t="s">
        <v>381</v>
      </c>
      <c r="E6711" s="62" t="s">
        <v>72</v>
      </c>
      <c r="F6711" s="62" t="s">
        <v>382</v>
      </c>
      <c r="G6711" s="63" t="s">
        <v>694</v>
      </c>
      <c r="H6711" s="64" t="n">
        <v>100000000</v>
      </c>
      <c r="I6711" s="62" t="s">
        <v>81</v>
      </c>
      <c r="J6711" s="64" t="n">
        <v>100000</v>
      </c>
      <c r="K6711" s="62" t="s">
        <v>138</v>
      </c>
      <c r="L6711" s="68" t="b">
        <f aca="false">FALSE()</f>
        <v>0</v>
      </c>
    </row>
    <row r="6712" customFormat="false" ht="15" hidden="false" customHeight="false" outlineLevel="0" collapsed="false">
      <c r="A6712" s="62" t="n">
        <v>1</v>
      </c>
      <c r="B6712" s="21" t="s">
        <v>336</v>
      </c>
      <c r="C6712" s="62" t="s">
        <v>60</v>
      </c>
      <c r="D6712" s="62" t="s">
        <v>383</v>
      </c>
      <c r="E6712" s="62" t="s">
        <v>72</v>
      </c>
      <c r="F6712" s="62" t="s">
        <v>382</v>
      </c>
      <c r="G6712" s="63" t="s">
        <v>694</v>
      </c>
      <c r="H6712" s="64" t="n">
        <v>6680000000</v>
      </c>
      <c r="I6712" s="62" t="s">
        <v>81</v>
      </c>
      <c r="J6712" s="64" t="n">
        <v>6680000</v>
      </c>
      <c r="K6712" s="62" t="s">
        <v>138</v>
      </c>
      <c r="L6712" s="68" t="b">
        <f aca="false">FALSE()</f>
        <v>0</v>
      </c>
    </row>
    <row r="6713" customFormat="false" ht="15" hidden="false" customHeight="false" outlineLevel="0" collapsed="false">
      <c r="A6713" s="62" t="n">
        <v>1</v>
      </c>
      <c r="B6713" s="21" t="s">
        <v>336</v>
      </c>
      <c r="C6713" s="62" t="s">
        <v>60</v>
      </c>
      <c r="D6713" s="62" t="s">
        <v>384</v>
      </c>
      <c r="E6713" s="62" t="s">
        <v>72</v>
      </c>
      <c r="F6713" s="62" t="s">
        <v>382</v>
      </c>
      <c r="G6713" s="63" t="s">
        <v>694</v>
      </c>
      <c r="H6713" s="64" t="n">
        <v>2200000000</v>
      </c>
      <c r="I6713" s="62" t="s">
        <v>81</v>
      </c>
      <c r="J6713" s="64" t="n">
        <v>2200000</v>
      </c>
      <c r="K6713" s="62" t="s">
        <v>138</v>
      </c>
      <c r="L6713" s="68" t="b">
        <f aca="false">FALSE()</f>
        <v>0</v>
      </c>
    </row>
    <row r="6714" customFormat="false" ht="15" hidden="false" customHeight="false" outlineLevel="0" collapsed="false">
      <c r="A6714" s="62" t="n">
        <v>1</v>
      </c>
      <c r="B6714" s="21" t="s">
        <v>336</v>
      </c>
      <c r="C6714" s="62" t="s">
        <v>60</v>
      </c>
      <c r="D6714" s="62" t="s">
        <v>385</v>
      </c>
      <c r="E6714" s="62" t="s">
        <v>72</v>
      </c>
      <c r="F6714" s="62" t="s">
        <v>382</v>
      </c>
      <c r="G6714" s="63" t="s">
        <v>694</v>
      </c>
      <c r="H6714" s="64" t="n">
        <v>100000000</v>
      </c>
      <c r="I6714" s="62" t="s">
        <v>81</v>
      </c>
      <c r="J6714" s="64" t="n">
        <v>100000</v>
      </c>
      <c r="K6714" s="62" t="s">
        <v>138</v>
      </c>
      <c r="L6714" s="68" t="b">
        <f aca="false">FALSE()</f>
        <v>0</v>
      </c>
    </row>
    <row r="6715" customFormat="false" ht="15" hidden="false" customHeight="false" outlineLevel="0" collapsed="false">
      <c r="A6715" s="62" t="n">
        <v>1</v>
      </c>
      <c r="B6715" s="21" t="s">
        <v>336</v>
      </c>
      <c r="C6715" s="62" t="s">
        <v>60</v>
      </c>
      <c r="D6715" s="62" t="s">
        <v>386</v>
      </c>
      <c r="E6715" s="62" t="s">
        <v>72</v>
      </c>
      <c r="F6715" s="62" t="s">
        <v>382</v>
      </c>
      <c r="G6715" s="63" t="s">
        <v>694</v>
      </c>
      <c r="H6715" s="64" t="n">
        <v>1636099863.67704</v>
      </c>
      <c r="I6715" s="62" t="s">
        <v>81</v>
      </c>
      <c r="J6715" s="64" t="n">
        <v>1636099.86367704</v>
      </c>
      <c r="K6715" s="62" t="s">
        <v>138</v>
      </c>
      <c r="L6715" s="68" t="b">
        <f aca="false">FALSE()</f>
        <v>0</v>
      </c>
    </row>
    <row r="6716" customFormat="false" ht="15" hidden="false" customHeight="false" outlineLevel="0" collapsed="false">
      <c r="A6716" s="62" t="n">
        <v>1</v>
      </c>
      <c r="B6716" s="21" t="s">
        <v>336</v>
      </c>
      <c r="C6716" s="62" t="s">
        <v>60</v>
      </c>
      <c r="D6716" s="62" t="s">
        <v>387</v>
      </c>
      <c r="E6716" s="62" t="s">
        <v>72</v>
      </c>
      <c r="F6716" s="62" t="s">
        <v>382</v>
      </c>
      <c r="G6716" s="63" t="s">
        <v>694</v>
      </c>
      <c r="H6716" s="64" t="n">
        <v>-387302016.82354</v>
      </c>
      <c r="I6716" s="62" t="s">
        <v>81</v>
      </c>
      <c r="J6716" s="64" t="n">
        <v>-387302.01682354</v>
      </c>
      <c r="K6716" s="62" t="s">
        <v>138</v>
      </c>
      <c r="L6716" s="68" t="b">
        <f aca="false">FALSE()</f>
        <v>0</v>
      </c>
    </row>
    <row r="6717" customFormat="false" ht="15" hidden="false" customHeight="false" outlineLevel="0" collapsed="false">
      <c r="A6717" s="62" t="n">
        <v>1</v>
      </c>
      <c r="B6717" s="21" t="s">
        <v>336</v>
      </c>
      <c r="C6717" s="62" t="s">
        <v>60</v>
      </c>
      <c r="D6717" s="62" t="s">
        <v>388</v>
      </c>
      <c r="E6717" s="62" t="s">
        <v>72</v>
      </c>
      <c r="F6717" s="62" t="s">
        <v>382</v>
      </c>
      <c r="G6717" s="63" t="s">
        <v>694</v>
      </c>
      <c r="H6717" s="64" t="n">
        <v>100000000</v>
      </c>
      <c r="I6717" s="62" t="s">
        <v>81</v>
      </c>
      <c r="J6717" s="64" t="n">
        <v>100000</v>
      </c>
      <c r="K6717" s="62" t="s">
        <v>138</v>
      </c>
      <c r="L6717" s="68" t="b">
        <f aca="false">FALSE()</f>
        <v>0</v>
      </c>
    </row>
    <row r="6718" customFormat="false" ht="15" hidden="false" customHeight="false" outlineLevel="0" collapsed="false">
      <c r="A6718" s="62" t="n">
        <v>1</v>
      </c>
      <c r="B6718" s="21" t="s">
        <v>336</v>
      </c>
      <c r="C6718" s="62" t="s">
        <v>60</v>
      </c>
      <c r="D6718" s="62" t="s">
        <v>381</v>
      </c>
      <c r="E6718" s="62" t="s">
        <v>72</v>
      </c>
      <c r="F6718" s="62" t="s">
        <v>382</v>
      </c>
      <c r="G6718" s="63" t="s">
        <v>695</v>
      </c>
      <c r="H6718" s="64" t="n">
        <v>1014383439.94049</v>
      </c>
      <c r="I6718" s="62" t="s">
        <v>81</v>
      </c>
      <c r="J6718" s="64" t="n">
        <v>1014383.43994049</v>
      </c>
      <c r="K6718" s="62" t="s">
        <v>138</v>
      </c>
      <c r="L6718" s="68" t="b">
        <f aca="false">FALSE()</f>
        <v>0</v>
      </c>
    </row>
    <row r="6719" customFormat="false" ht="15" hidden="false" customHeight="false" outlineLevel="0" collapsed="false">
      <c r="A6719" s="62" t="n">
        <v>1</v>
      </c>
      <c r="B6719" s="21" t="s">
        <v>336</v>
      </c>
      <c r="C6719" s="62" t="s">
        <v>60</v>
      </c>
      <c r="D6719" s="62" t="s">
        <v>383</v>
      </c>
      <c r="E6719" s="62" t="s">
        <v>72</v>
      </c>
      <c r="F6719" s="62" t="s">
        <v>382</v>
      </c>
      <c r="G6719" s="63" t="s">
        <v>695</v>
      </c>
      <c r="H6719" s="64" t="n">
        <v>44737720616.4554</v>
      </c>
      <c r="I6719" s="62" t="s">
        <v>81</v>
      </c>
      <c r="J6719" s="64" t="n">
        <v>44737720.6164554</v>
      </c>
      <c r="K6719" s="62" t="s">
        <v>138</v>
      </c>
      <c r="L6719" s="68" t="b">
        <f aca="false">FALSE()</f>
        <v>0</v>
      </c>
    </row>
    <row r="6720" customFormat="false" ht="15" hidden="false" customHeight="false" outlineLevel="0" collapsed="false">
      <c r="A6720" s="62" t="n">
        <v>1</v>
      </c>
      <c r="B6720" s="21" t="s">
        <v>336</v>
      </c>
      <c r="C6720" s="62" t="s">
        <v>60</v>
      </c>
      <c r="D6720" s="62" t="s">
        <v>384</v>
      </c>
      <c r="E6720" s="62" t="s">
        <v>72</v>
      </c>
      <c r="F6720" s="62" t="s">
        <v>382</v>
      </c>
      <c r="G6720" s="63" t="s">
        <v>695</v>
      </c>
      <c r="H6720" s="64" t="n">
        <v>29952660671.5995</v>
      </c>
      <c r="I6720" s="62" t="s">
        <v>81</v>
      </c>
      <c r="J6720" s="64" t="n">
        <v>29952660.6715995</v>
      </c>
      <c r="K6720" s="62" t="s">
        <v>138</v>
      </c>
      <c r="L6720" s="68" t="b">
        <f aca="false">FALSE()</f>
        <v>0</v>
      </c>
    </row>
    <row r="6721" customFormat="false" ht="15" hidden="false" customHeight="false" outlineLevel="0" collapsed="false">
      <c r="A6721" s="62" t="n">
        <v>1</v>
      </c>
      <c r="B6721" s="21" t="s">
        <v>336</v>
      </c>
      <c r="C6721" s="62" t="s">
        <v>60</v>
      </c>
      <c r="D6721" s="62" t="s">
        <v>385</v>
      </c>
      <c r="E6721" s="62" t="s">
        <v>72</v>
      </c>
      <c r="F6721" s="62" t="s">
        <v>382</v>
      </c>
      <c r="G6721" s="63" t="s">
        <v>695</v>
      </c>
      <c r="H6721" s="64" t="n">
        <v>29259849836.8972</v>
      </c>
      <c r="I6721" s="62" t="s">
        <v>81</v>
      </c>
      <c r="J6721" s="64" t="n">
        <v>29259849.8368972</v>
      </c>
      <c r="K6721" s="62" t="s">
        <v>138</v>
      </c>
      <c r="L6721" s="68" t="b">
        <f aca="false">FALSE()</f>
        <v>0</v>
      </c>
    </row>
    <row r="6722" customFormat="false" ht="15" hidden="false" customHeight="false" outlineLevel="0" collapsed="false">
      <c r="A6722" s="62" t="n">
        <v>1</v>
      </c>
      <c r="B6722" s="21" t="s">
        <v>336</v>
      </c>
      <c r="C6722" s="62" t="s">
        <v>60</v>
      </c>
      <c r="D6722" s="62" t="s">
        <v>386</v>
      </c>
      <c r="E6722" s="62" t="s">
        <v>72</v>
      </c>
      <c r="F6722" s="62" t="s">
        <v>382</v>
      </c>
      <c r="G6722" s="63" t="s">
        <v>695</v>
      </c>
      <c r="H6722" s="64" t="n">
        <v>8975665424.11151</v>
      </c>
      <c r="I6722" s="62" t="s">
        <v>81</v>
      </c>
      <c r="J6722" s="64" t="n">
        <v>8975665.42411151</v>
      </c>
      <c r="K6722" s="62" t="s">
        <v>138</v>
      </c>
      <c r="L6722" s="68" t="b">
        <f aca="false">FALSE()</f>
        <v>0</v>
      </c>
    </row>
    <row r="6723" customFormat="false" ht="15" hidden="false" customHeight="false" outlineLevel="0" collapsed="false">
      <c r="A6723" s="62" t="n">
        <v>1</v>
      </c>
      <c r="B6723" s="21" t="s">
        <v>336</v>
      </c>
      <c r="C6723" s="62" t="s">
        <v>60</v>
      </c>
      <c r="D6723" s="62" t="s">
        <v>387</v>
      </c>
      <c r="E6723" s="62" t="s">
        <v>72</v>
      </c>
      <c r="F6723" s="62" t="s">
        <v>382</v>
      </c>
      <c r="G6723" s="63" t="s">
        <v>695</v>
      </c>
      <c r="H6723" s="64" t="n">
        <v>23666281354.0117</v>
      </c>
      <c r="I6723" s="62" t="s">
        <v>81</v>
      </c>
      <c r="J6723" s="64" t="n">
        <v>23666281.3540117</v>
      </c>
      <c r="K6723" s="62" t="s">
        <v>138</v>
      </c>
      <c r="L6723" s="68" t="b">
        <f aca="false">FALSE()</f>
        <v>0</v>
      </c>
    </row>
    <row r="6724" customFormat="false" ht="15" hidden="false" customHeight="false" outlineLevel="0" collapsed="false">
      <c r="A6724" s="62" t="n">
        <v>1</v>
      </c>
      <c r="B6724" s="21" t="s">
        <v>336</v>
      </c>
      <c r="C6724" s="62" t="s">
        <v>60</v>
      </c>
      <c r="D6724" s="62" t="s">
        <v>388</v>
      </c>
      <c r="E6724" s="62" t="s">
        <v>72</v>
      </c>
      <c r="F6724" s="62" t="s">
        <v>382</v>
      </c>
      <c r="G6724" s="63" t="s">
        <v>695</v>
      </c>
      <c r="H6724" s="64" t="n">
        <v>1884387314.64521</v>
      </c>
      <c r="I6724" s="62" t="s">
        <v>81</v>
      </c>
      <c r="J6724" s="64" t="n">
        <v>1884387.31464521</v>
      </c>
      <c r="K6724" s="62" t="s">
        <v>138</v>
      </c>
      <c r="L6724" s="68" t="b">
        <f aca="false">FALSE()</f>
        <v>0</v>
      </c>
    </row>
    <row r="6725" customFormat="false" ht="15" hidden="false" customHeight="false" outlineLevel="0" collapsed="false">
      <c r="A6725" s="62" t="n">
        <v>1</v>
      </c>
      <c r="B6725" s="21" t="s">
        <v>336</v>
      </c>
      <c r="C6725" s="62" t="s">
        <v>60</v>
      </c>
      <c r="D6725" s="62" t="s">
        <v>381</v>
      </c>
      <c r="E6725" s="62" t="s">
        <v>72</v>
      </c>
      <c r="F6725" s="62" t="s">
        <v>382</v>
      </c>
      <c r="G6725" s="63" t="s">
        <v>696</v>
      </c>
      <c r="H6725" s="64" t="n">
        <v>15849303054.1235</v>
      </c>
      <c r="I6725" s="62" t="s">
        <v>81</v>
      </c>
      <c r="J6725" s="64" t="n">
        <v>15849303.0541235</v>
      </c>
      <c r="K6725" s="62" t="s">
        <v>138</v>
      </c>
      <c r="L6725" s="68" t="b">
        <f aca="false">FALSE()</f>
        <v>0</v>
      </c>
    </row>
    <row r="6726" customFormat="false" ht="15" hidden="false" customHeight="false" outlineLevel="0" collapsed="false">
      <c r="A6726" s="62" t="n">
        <v>1</v>
      </c>
      <c r="B6726" s="21" t="s">
        <v>336</v>
      </c>
      <c r="C6726" s="62" t="s">
        <v>60</v>
      </c>
      <c r="D6726" s="62" t="s">
        <v>383</v>
      </c>
      <c r="E6726" s="62" t="s">
        <v>72</v>
      </c>
      <c r="F6726" s="62" t="s">
        <v>382</v>
      </c>
      <c r="G6726" s="63" t="s">
        <v>696</v>
      </c>
      <c r="H6726" s="64" t="n">
        <v>23880524202.5965</v>
      </c>
      <c r="I6726" s="62" t="s">
        <v>81</v>
      </c>
      <c r="J6726" s="64" t="n">
        <v>23880524.2025965</v>
      </c>
      <c r="K6726" s="62" t="s">
        <v>138</v>
      </c>
      <c r="L6726" s="68" t="b">
        <f aca="false">FALSE()</f>
        <v>0</v>
      </c>
    </row>
    <row r="6727" customFormat="false" ht="15" hidden="false" customHeight="false" outlineLevel="0" collapsed="false">
      <c r="A6727" s="62" t="n">
        <v>1</v>
      </c>
      <c r="B6727" s="21" t="s">
        <v>336</v>
      </c>
      <c r="C6727" s="62" t="s">
        <v>60</v>
      </c>
      <c r="D6727" s="62" t="s">
        <v>384</v>
      </c>
      <c r="E6727" s="62" t="s">
        <v>72</v>
      </c>
      <c r="F6727" s="62" t="s">
        <v>382</v>
      </c>
      <c r="G6727" s="63" t="s">
        <v>696</v>
      </c>
      <c r="H6727" s="64" t="n">
        <v>19794953080.7175</v>
      </c>
      <c r="I6727" s="62" t="s">
        <v>81</v>
      </c>
      <c r="J6727" s="64" t="n">
        <v>19794953.0807175</v>
      </c>
      <c r="K6727" s="62" t="s">
        <v>138</v>
      </c>
      <c r="L6727" s="68" t="b">
        <f aca="false">FALSE()</f>
        <v>0</v>
      </c>
    </row>
    <row r="6728" customFormat="false" ht="15" hidden="false" customHeight="false" outlineLevel="0" collapsed="false">
      <c r="A6728" s="62" t="n">
        <v>1</v>
      </c>
      <c r="B6728" s="21" t="s">
        <v>336</v>
      </c>
      <c r="C6728" s="62" t="s">
        <v>60</v>
      </c>
      <c r="D6728" s="62" t="s">
        <v>385</v>
      </c>
      <c r="E6728" s="62" t="s">
        <v>72</v>
      </c>
      <c r="F6728" s="62" t="s">
        <v>382</v>
      </c>
      <c r="G6728" s="63" t="s">
        <v>696</v>
      </c>
      <c r="H6728" s="64" t="n">
        <v>15499331647.512</v>
      </c>
      <c r="I6728" s="62" t="s">
        <v>81</v>
      </c>
      <c r="J6728" s="64" t="n">
        <v>15499331.647512</v>
      </c>
      <c r="K6728" s="62" t="s">
        <v>138</v>
      </c>
      <c r="L6728" s="68" t="b">
        <f aca="false">FALSE()</f>
        <v>0</v>
      </c>
    </row>
    <row r="6729" customFormat="false" ht="15" hidden="false" customHeight="false" outlineLevel="0" collapsed="false">
      <c r="A6729" s="62" t="n">
        <v>1</v>
      </c>
      <c r="B6729" s="21" t="s">
        <v>336</v>
      </c>
      <c r="C6729" s="62" t="s">
        <v>60</v>
      </c>
      <c r="D6729" s="62" t="s">
        <v>386</v>
      </c>
      <c r="E6729" s="62" t="s">
        <v>72</v>
      </c>
      <c r="F6729" s="62" t="s">
        <v>382</v>
      </c>
      <c r="G6729" s="63" t="s">
        <v>696</v>
      </c>
      <c r="H6729" s="64" t="n">
        <v>13057116095.1793</v>
      </c>
      <c r="I6729" s="62" t="s">
        <v>81</v>
      </c>
      <c r="J6729" s="64" t="n">
        <v>13057116.0951793</v>
      </c>
      <c r="K6729" s="62" t="s">
        <v>138</v>
      </c>
      <c r="L6729" s="68" t="b">
        <f aca="false">FALSE()</f>
        <v>0</v>
      </c>
    </row>
    <row r="6730" customFormat="false" ht="15" hidden="false" customHeight="false" outlineLevel="0" collapsed="false">
      <c r="A6730" s="62" t="n">
        <v>1</v>
      </c>
      <c r="B6730" s="21" t="s">
        <v>336</v>
      </c>
      <c r="C6730" s="62" t="s">
        <v>60</v>
      </c>
      <c r="D6730" s="62" t="s">
        <v>387</v>
      </c>
      <c r="E6730" s="62" t="s">
        <v>72</v>
      </c>
      <c r="F6730" s="62" t="s">
        <v>382</v>
      </c>
      <c r="G6730" s="63" t="s">
        <v>696</v>
      </c>
      <c r="H6730" s="64" t="n">
        <v>18050259124.5073</v>
      </c>
      <c r="I6730" s="62" t="s">
        <v>81</v>
      </c>
      <c r="J6730" s="64" t="n">
        <v>18050259.1245073</v>
      </c>
      <c r="K6730" s="62" t="s">
        <v>138</v>
      </c>
      <c r="L6730" s="68" t="b">
        <f aca="false">FALSE()</f>
        <v>0</v>
      </c>
    </row>
    <row r="6731" customFormat="false" ht="15" hidden="false" customHeight="false" outlineLevel="0" collapsed="false">
      <c r="A6731" s="62" t="n">
        <v>1</v>
      </c>
      <c r="B6731" s="21" t="s">
        <v>336</v>
      </c>
      <c r="C6731" s="62" t="s">
        <v>60</v>
      </c>
      <c r="D6731" s="62" t="s">
        <v>388</v>
      </c>
      <c r="E6731" s="62" t="s">
        <v>72</v>
      </c>
      <c r="F6731" s="62" t="s">
        <v>382</v>
      </c>
      <c r="G6731" s="63" t="s">
        <v>696</v>
      </c>
      <c r="H6731" s="64" t="n">
        <v>11091600000</v>
      </c>
      <c r="I6731" s="62" t="s">
        <v>81</v>
      </c>
      <c r="J6731" s="64" t="n">
        <v>11091600</v>
      </c>
      <c r="K6731" s="62" t="s">
        <v>138</v>
      </c>
      <c r="L6731" s="68" t="b">
        <f aca="false">FALSE()</f>
        <v>0</v>
      </c>
    </row>
    <row r="6732" customFormat="false" ht="15" hidden="false" customHeight="false" outlineLevel="0" collapsed="false">
      <c r="A6732" s="62" t="n">
        <v>1</v>
      </c>
      <c r="B6732" s="21" t="s">
        <v>336</v>
      </c>
      <c r="C6732" s="62" t="s">
        <v>60</v>
      </c>
      <c r="D6732" s="62" t="s">
        <v>381</v>
      </c>
      <c r="E6732" s="62" t="s">
        <v>72</v>
      </c>
      <c r="F6732" s="62" t="s">
        <v>382</v>
      </c>
      <c r="G6732" s="63" t="s">
        <v>697</v>
      </c>
      <c r="H6732" s="64" t="n">
        <v>-3801.68837466029</v>
      </c>
      <c r="I6732" s="62" t="s">
        <v>81</v>
      </c>
      <c r="J6732" s="64" t="n">
        <v>-3.80168837466029</v>
      </c>
      <c r="K6732" s="62" t="s">
        <v>138</v>
      </c>
      <c r="L6732" s="68" t="b">
        <f aca="false">FALSE()</f>
        <v>0</v>
      </c>
    </row>
    <row r="6733" customFormat="false" ht="15" hidden="false" customHeight="false" outlineLevel="0" collapsed="false">
      <c r="A6733" s="62" t="n">
        <v>1</v>
      </c>
      <c r="B6733" s="21" t="s">
        <v>336</v>
      </c>
      <c r="C6733" s="62" t="s">
        <v>60</v>
      </c>
      <c r="D6733" s="62" t="s">
        <v>383</v>
      </c>
      <c r="E6733" s="62" t="s">
        <v>72</v>
      </c>
      <c r="F6733" s="62" t="s">
        <v>382</v>
      </c>
      <c r="G6733" s="63" t="s">
        <v>681</v>
      </c>
      <c r="H6733" s="64" t="n">
        <v>6758.82666261365</v>
      </c>
      <c r="I6733" s="62" t="s">
        <v>81</v>
      </c>
      <c r="J6733" s="64" t="n">
        <v>6.75882666261365</v>
      </c>
      <c r="K6733" s="62" t="s">
        <v>138</v>
      </c>
      <c r="L6733" s="68" t="b">
        <f aca="false">FALSE()</f>
        <v>0</v>
      </c>
    </row>
    <row r="6734" customFormat="false" ht="15" hidden="false" customHeight="false" outlineLevel="0" collapsed="false">
      <c r="A6734" s="62" t="n">
        <v>1</v>
      </c>
      <c r="B6734" s="21" t="s">
        <v>336</v>
      </c>
      <c r="C6734" s="62" t="s">
        <v>60</v>
      </c>
      <c r="D6734" s="62" t="s">
        <v>384</v>
      </c>
      <c r="E6734" s="62" t="s">
        <v>72</v>
      </c>
      <c r="F6734" s="62" t="s">
        <v>382</v>
      </c>
      <c r="G6734" s="63" t="s">
        <v>681</v>
      </c>
      <c r="H6734" s="64" t="n">
        <v>6422.3651385088</v>
      </c>
      <c r="I6734" s="62" t="s">
        <v>81</v>
      </c>
      <c r="J6734" s="64" t="n">
        <v>6.4223651385088</v>
      </c>
      <c r="K6734" s="62" t="s">
        <v>138</v>
      </c>
      <c r="L6734" s="68" t="b">
        <f aca="false">FALSE()</f>
        <v>0</v>
      </c>
    </row>
    <row r="6735" customFormat="false" ht="15" hidden="false" customHeight="false" outlineLevel="0" collapsed="false">
      <c r="A6735" s="62" t="n">
        <v>1</v>
      </c>
      <c r="B6735" s="21" t="s">
        <v>336</v>
      </c>
      <c r="C6735" s="62" t="s">
        <v>60</v>
      </c>
      <c r="D6735" s="62" t="s">
        <v>385</v>
      </c>
      <c r="E6735" s="62" t="s">
        <v>72</v>
      </c>
      <c r="F6735" s="62" t="s">
        <v>382</v>
      </c>
      <c r="G6735" s="63" t="s">
        <v>697</v>
      </c>
      <c r="H6735" s="64" t="n">
        <v>12244.5275313308</v>
      </c>
      <c r="I6735" s="62" t="s">
        <v>81</v>
      </c>
      <c r="J6735" s="64" t="n">
        <v>12.2445275313308</v>
      </c>
      <c r="K6735" s="62" t="s">
        <v>138</v>
      </c>
      <c r="L6735" s="68" t="b">
        <f aca="false">FALSE()</f>
        <v>0</v>
      </c>
    </row>
    <row r="6736" customFormat="false" ht="15" hidden="false" customHeight="false" outlineLevel="0" collapsed="false">
      <c r="A6736" s="62" t="n">
        <v>1</v>
      </c>
      <c r="B6736" s="21" t="s">
        <v>336</v>
      </c>
      <c r="C6736" s="62" t="s">
        <v>60</v>
      </c>
      <c r="D6736" s="62" t="s">
        <v>386</v>
      </c>
      <c r="E6736" s="62" t="s">
        <v>72</v>
      </c>
      <c r="F6736" s="62" t="s">
        <v>382</v>
      </c>
      <c r="G6736" s="63" t="s">
        <v>681</v>
      </c>
      <c r="H6736" s="64" t="n">
        <v>2616.0903311387</v>
      </c>
      <c r="I6736" s="62" t="s">
        <v>81</v>
      </c>
      <c r="J6736" s="64" t="n">
        <v>2.6160903311387</v>
      </c>
      <c r="K6736" s="62" t="s">
        <v>138</v>
      </c>
      <c r="L6736" s="68" t="b">
        <f aca="false">FALSE()</f>
        <v>0</v>
      </c>
    </row>
    <row r="6737" customFormat="false" ht="15" hidden="false" customHeight="false" outlineLevel="0" collapsed="false">
      <c r="A6737" s="62" t="n">
        <v>1</v>
      </c>
      <c r="B6737" s="21" t="s">
        <v>336</v>
      </c>
      <c r="C6737" s="62" t="s">
        <v>60</v>
      </c>
      <c r="D6737" s="62" t="s">
        <v>387</v>
      </c>
      <c r="E6737" s="62" t="s">
        <v>72</v>
      </c>
      <c r="F6737" s="62" t="s">
        <v>382</v>
      </c>
      <c r="G6737" s="63" t="s">
        <v>681</v>
      </c>
      <c r="H6737" s="64" t="n">
        <v>5844.09295405792</v>
      </c>
      <c r="I6737" s="62" t="s">
        <v>81</v>
      </c>
      <c r="J6737" s="64" t="n">
        <v>5.84409295405792</v>
      </c>
      <c r="K6737" s="62" t="s">
        <v>138</v>
      </c>
      <c r="L6737" s="68" t="b">
        <f aca="false">FALSE()</f>
        <v>0</v>
      </c>
    </row>
    <row r="6738" customFormat="false" ht="15" hidden="false" customHeight="false" outlineLevel="0" collapsed="false">
      <c r="A6738" s="62" t="n">
        <v>1</v>
      </c>
      <c r="B6738" s="21" t="s">
        <v>336</v>
      </c>
      <c r="C6738" s="62" t="s">
        <v>60</v>
      </c>
      <c r="D6738" s="62" t="s">
        <v>388</v>
      </c>
      <c r="E6738" s="62" t="s">
        <v>72</v>
      </c>
      <c r="F6738" s="62" t="s">
        <v>382</v>
      </c>
      <c r="G6738" s="63" t="s">
        <v>681</v>
      </c>
      <c r="H6738" s="64" t="n">
        <v>-1797.9151184619</v>
      </c>
      <c r="I6738" s="62" t="s">
        <v>81</v>
      </c>
      <c r="J6738" s="64" t="n">
        <v>-1.7979151184619</v>
      </c>
      <c r="K6738" s="62" t="s">
        <v>138</v>
      </c>
      <c r="L6738" s="68" t="b">
        <f aca="false">FALSE()</f>
        <v>0</v>
      </c>
    </row>
    <row r="6739" customFormat="false" ht="15" hidden="false" customHeight="false" outlineLevel="0" collapsed="false">
      <c r="A6739" s="62" t="n">
        <v>1</v>
      </c>
      <c r="B6739" s="21" t="s">
        <v>336</v>
      </c>
      <c r="C6739" s="62" t="s">
        <v>60</v>
      </c>
      <c r="D6739" s="62" t="s">
        <v>381</v>
      </c>
      <c r="E6739" s="62" t="s">
        <v>72</v>
      </c>
      <c r="F6739" s="62" t="s">
        <v>382</v>
      </c>
      <c r="G6739" s="63" t="s">
        <v>698</v>
      </c>
      <c r="H6739" s="64" t="n">
        <v>342544095.428906</v>
      </c>
      <c r="I6739" s="62" t="s">
        <v>81</v>
      </c>
      <c r="J6739" s="64" t="n">
        <v>342544.095428906</v>
      </c>
      <c r="K6739" s="62" t="s">
        <v>138</v>
      </c>
      <c r="L6739" s="68" t="b">
        <f aca="false">FALSE()</f>
        <v>0</v>
      </c>
    </row>
    <row r="6740" customFormat="false" ht="15" hidden="false" customHeight="false" outlineLevel="0" collapsed="false">
      <c r="A6740" s="62" t="n">
        <v>1</v>
      </c>
      <c r="B6740" s="21" t="s">
        <v>336</v>
      </c>
      <c r="C6740" s="62" t="s">
        <v>60</v>
      </c>
      <c r="D6740" s="62" t="s">
        <v>383</v>
      </c>
      <c r="E6740" s="62" t="s">
        <v>72</v>
      </c>
      <c r="F6740" s="62" t="s">
        <v>382</v>
      </c>
      <c r="G6740" s="63" t="s">
        <v>698</v>
      </c>
      <c r="H6740" s="64" t="n">
        <v>892167049.680008</v>
      </c>
      <c r="I6740" s="62" t="s">
        <v>81</v>
      </c>
      <c r="J6740" s="64" t="n">
        <v>892167.049680008</v>
      </c>
      <c r="K6740" s="62" t="s">
        <v>138</v>
      </c>
      <c r="L6740" s="68" t="b">
        <f aca="false">FALSE()</f>
        <v>0</v>
      </c>
    </row>
    <row r="6741" customFormat="false" ht="15" hidden="false" customHeight="false" outlineLevel="0" collapsed="false">
      <c r="A6741" s="62" t="n">
        <v>1</v>
      </c>
      <c r="B6741" s="21" t="s">
        <v>336</v>
      </c>
      <c r="C6741" s="62" t="s">
        <v>60</v>
      </c>
      <c r="D6741" s="62" t="s">
        <v>384</v>
      </c>
      <c r="E6741" s="62" t="s">
        <v>72</v>
      </c>
      <c r="F6741" s="62" t="s">
        <v>382</v>
      </c>
      <c r="G6741" s="63" t="s">
        <v>698</v>
      </c>
      <c r="H6741" s="64" t="n">
        <v>366879524.199687</v>
      </c>
      <c r="I6741" s="62" t="s">
        <v>81</v>
      </c>
      <c r="J6741" s="64" t="n">
        <v>366879.524199687</v>
      </c>
      <c r="K6741" s="62" t="s">
        <v>138</v>
      </c>
      <c r="L6741" s="68" t="b">
        <f aca="false">FALSE()</f>
        <v>0</v>
      </c>
    </row>
    <row r="6742" customFormat="false" ht="15" hidden="false" customHeight="false" outlineLevel="0" collapsed="false">
      <c r="A6742" s="62" t="n">
        <v>1</v>
      </c>
      <c r="B6742" s="21" t="s">
        <v>336</v>
      </c>
      <c r="C6742" s="62" t="s">
        <v>60</v>
      </c>
      <c r="D6742" s="62" t="s">
        <v>385</v>
      </c>
      <c r="E6742" s="62" t="s">
        <v>72</v>
      </c>
      <c r="F6742" s="62" t="s">
        <v>382</v>
      </c>
      <c r="G6742" s="63" t="s">
        <v>698</v>
      </c>
      <c r="H6742" s="64" t="n">
        <v>313919417.086889</v>
      </c>
      <c r="I6742" s="62" t="s">
        <v>81</v>
      </c>
      <c r="J6742" s="64" t="n">
        <v>313919.417086889</v>
      </c>
      <c r="K6742" s="62" t="s">
        <v>138</v>
      </c>
      <c r="L6742" s="68" t="b">
        <f aca="false">FALSE()</f>
        <v>0</v>
      </c>
    </row>
    <row r="6743" customFormat="false" ht="15" hidden="false" customHeight="false" outlineLevel="0" collapsed="false">
      <c r="A6743" s="62" t="n">
        <v>1</v>
      </c>
      <c r="B6743" s="21" t="s">
        <v>336</v>
      </c>
      <c r="C6743" s="62" t="s">
        <v>60</v>
      </c>
      <c r="D6743" s="62" t="s">
        <v>386</v>
      </c>
      <c r="E6743" s="62" t="s">
        <v>72</v>
      </c>
      <c r="F6743" s="62" t="s">
        <v>382</v>
      </c>
      <c r="G6743" s="63" t="s">
        <v>698</v>
      </c>
      <c r="H6743" s="64" t="n">
        <v>221194861.889566</v>
      </c>
      <c r="I6743" s="62" t="s">
        <v>81</v>
      </c>
      <c r="J6743" s="64" t="n">
        <v>221194.861889566</v>
      </c>
      <c r="K6743" s="62" t="s">
        <v>138</v>
      </c>
      <c r="L6743" s="68" t="b">
        <f aca="false">FALSE()</f>
        <v>0</v>
      </c>
    </row>
    <row r="6744" customFormat="false" ht="15" hidden="false" customHeight="false" outlineLevel="0" collapsed="false">
      <c r="A6744" s="62" t="n">
        <v>1</v>
      </c>
      <c r="B6744" s="21" t="s">
        <v>336</v>
      </c>
      <c r="C6744" s="62" t="s">
        <v>60</v>
      </c>
      <c r="D6744" s="62" t="s">
        <v>387</v>
      </c>
      <c r="E6744" s="62" t="s">
        <v>72</v>
      </c>
      <c r="F6744" s="62" t="s">
        <v>382</v>
      </c>
      <c r="G6744" s="63" t="s">
        <v>698</v>
      </c>
      <c r="H6744" s="64" t="n">
        <v>717519629.455177</v>
      </c>
      <c r="I6744" s="62" t="s">
        <v>81</v>
      </c>
      <c r="J6744" s="64" t="n">
        <v>717519.629455177</v>
      </c>
      <c r="K6744" s="62" t="s">
        <v>138</v>
      </c>
      <c r="L6744" s="68" t="b">
        <f aca="false">FALSE()</f>
        <v>0</v>
      </c>
    </row>
    <row r="6745" customFormat="false" ht="15" hidden="false" customHeight="false" outlineLevel="0" collapsed="false">
      <c r="A6745" s="62" t="n">
        <v>1</v>
      </c>
      <c r="B6745" s="21" t="s">
        <v>336</v>
      </c>
      <c r="C6745" s="62" t="s">
        <v>60</v>
      </c>
      <c r="D6745" s="62" t="s">
        <v>388</v>
      </c>
      <c r="E6745" s="62" t="s">
        <v>72</v>
      </c>
      <c r="F6745" s="62" t="s">
        <v>382</v>
      </c>
      <c r="G6745" s="63" t="s">
        <v>698</v>
      </c>
      <c r="H6745" s="64" t="n">
        <v>64009100</v>
      </c>
      <c r="I6745" s="62" t="s">
        <v>81</v>
      </c>
      <c r="J6745" s="64" t="n">
        <v>64009.1</v>
      </c>
      <c r="K6745" s="62" t="s">
        <v>138</v>
      </c>
      <c r="L6745" s="68" t="b">
        <f aca="false">FALSE()</f>
        <v>0</v>
      </c>
    </row>
    <row r="6746" customFormat="false" ht="15" hidden="false" customHeight="false" outlineLevel="0" collapsed="false">
      <c r="A6746" s="62" t="n">
        <v>1</v>
      </c>
      <c r="B6746" s="21" t="s">
        <v>336</v>
      </c>
      <c r="C6746" s="62" t="s">
        <v>60</v>
      </c>
      <c r="D6746" s="62" t="s">
        <v>381</v>
      </c>
      <c r="E6746" s="62" t="s">
        <v>72</v>
      </c>
      <c r="F6746" s="62" t="s">
        <v>382</v>
      </c>
      <c r="G6746" s="63" t="s">
        <v>699</v>
      </c>
      <c r="H6746" s="64" t="n">
        <v>-5660295795.95701</v>
      </c>
      <c r="I6746" s="62" t="s">
        <v>81</v>
      </c>
      <c r="J6746" s="64" t="n">
        <v>-5660295.79595701</v>
      </c>
      <c r="K6746" s="62" t="s">
        <v>138</v>
      </c>
      <c r="L6746" s="68" t="b">
        <f aca="false">FALSE()</f>
        <v>0</v>
      </c>
    </row>
    <row r="6747" customFormat="false" ht="15" hidden="false" customHeight="false" outlineLevel="0" collapsed="false">
      <c r="A6747" s="62" t="n">
        <v>1</v>
      </c>
      <c r="B6747" s="21" t="s">
        <v>336</v>
      </c>
      <c r="C6747" s="62" t="s">
        <v>60</v>
      </c>
      <c r="D6747" s="62" t="s">
        <v>383</v>
      </c>
      <c r="E6747" s="62" t="s">
        <v>72</v>
      </c>
      <c r="F6747" s="62" t="s">
        <v>382</v>
      </c>
      <c r="G6747" s="63" t="s">
        <v>699</v>
      </c>
      <c r="H6747" s="64" t="n">
        <v>27853862834.5157</v>
      </c>
      <c r="I6747" s="62" t="s">
        <v>81</v>
      </c>
      <c r="J6747" s="64" t="n">
        <v>27853862.8345157</v>
      </c>
      <c r="K6747" s="62" t="s">
        <v>138</v>
      </c>
      <c r="L6747" s="68" t="b">
        <f aca="false">FALSE()</f>
        <v>0</v>
      </c>
    </row>
    <row r="6748" customFormat="false" ht="15" hidden="false" customHeight="false" outlineLevel="0" collapsed="false">
      <c r="A6748" s="62" t="n">
        <v>1</v>
      </c>
      <c r="B6748" s="21" t="s">
        <v>336</v>
      </c>
      <c r="C6748" s="62" t="s">
        <v>60</v>
      </c>
      <c r="D6748" s="62" t="s">
        <v>384</v>
      </c>
      <c r="E6748" s="62" t="s">
        <v>72</v>
      </c>
      <c r="F6748" s="62" t="s">
        <v>382</v>
      </c>
      <c r="G6748" s="63" t="s">
        <v>699</v>
      </c>
      <c r="H6748" s="64" t="n">
        <v>17473665369.6033</v>
      </c>
      <c r="I6748" s="62" t="s">
        <v>81</v>
      </c>
      <c r="J6748" s="64" t="n">
        <v>17473665.3696033</v>
      </c>
      <c r="K6748" s="62" t="s">
        <v>138</v>
      </c>
      <c r="L6748" s="68" t="b">
        <f aca="false">FALSE()</f>
        <v>0</v>
      </c>
    </row>
    <row r="6749" customFormat="false" ht="15" hidden="false" customHeight="false" outlineLevel="0" collapsed="false">
      <c r="A6749" s="62" t="n">
        <v>1</v>
      </c>
      <c r="B6749" s="21" t="s">
        <v>336</v>
      </c>
      <c r="C6749" s="62" t="s">
        <v>60</v>
      </c>
      <c r="D6749" s="62" t="s">
        <v>385</v>
      </c>
      <c r="E6749" s="62" t="s">
        <v>72</v>
      </c>
      <c r="F6749" s="62" t="s">
        <v>382</v>
      </c>
      <c r="G6749" s="63" t="s">
        <v>699</v>
      </c>
      <c r="H6749" s="64" t="n">
        <v>24372361009.8246</v>
      </c>
      <c r="I6749" s="62" t="s">
        <v>81</v>
      </c>
      <c r="J6749" s="64" t="n">
        <v>24372361.0098246</v>
      </c>
      <c r="K6749" s="62" t="s">
        <v>138</v>
      </c>
      <c r="L6749" s="68" t="b">
        <f aca="false">FALSE()</f>
        <v>0</v>
      </c>
    </row>
    <row r="6750" customFormat="false" ht="15" hidden="false" customHeight="false" outlineLevel="0" collapsed="false">
      <c r="A6750" s="62" t="n">
        <v>1</v>
      </c>
      <c r="B6750" s="21" t="s">
        <v>336</v>
      </c>
      <c r="C6750" s="62" t="s">
        <v>60</v>
      </c>
      <c r="D6750" s="62" t="s">
        <v>386</v>
      </c>
      <c r="E6750" s="62" t="s">
        <v>72</v>
      </c>
      <c r="F6750" s="62" t="s">
        <v>382</v>
      </c>
      <c r="G6750" s="63" t="s">
        <v>699</v>
      </c>
      <c r="H6750" s="64" t="n">
        <v>5627540430.5114</v>
      </c>
      <c r="I6750" s="62" t="s">
        <v>81</v>
      </c>
      <c r="J6750" s="64" t="n">
        <v>5627540.4305114</v>
      </c>
      <c r="K6750" s="62" t="s">
        <v>138</v>
      </c>
      <c r="L6750" s="68" t="b">
        <f aca="false">FALSE()</f>
        <v>0</v>
      </c>
    </row>
    <row r="6751" customFormat="false" ht="15" hidden="false" customHeight="false" outlineLevel="0" collapsed="false">
      <c r="A6751" s="62" t="n">
        <v>1</v>
      </c>
      <c r="B6751" s="21" t="s">
        <v>336</v>
      </c>
      <c r="C6751" s="62" t="s">
        <v>60</v>
      </c>
      <c r="D6751" s="62" t="s">
        <v>387</v>
      </c>
      <c r="E6751" s="62" t="s">
        <v>72</v>
      </c>
      <c r="F6751" s="62" t="s">
        <v>382</v>
      </c>
      <c r="G6751" s="63" t="s">
        <v>699</v>
      </c>
      <c r="H6751" s="64" t="n">
        <v>19654690839.3083</v>
      </c>
      <c r="I6751" s="62" t="s">
        <v>81</v>
      </c>
      <c r="J6751" s="64" t="n">
        <v>19654690.8393083</v>
      </c>
      <c r="K6751" s="62" t="s">
        <v>138</v>
      </c>
      <c r="L6751" s="68" t="b">
        <f aca="false">FALSE()</f>
        <v>0</v>
      </c>
    </row>
    <row r="6752" customFormat="false" ht="15" hidden="false" customHeight="false" outlineLevel="0" collapsed="false">
      <c r="A6752" s="62" t="n">
        <v>1</v>
      </c>
      <c r="B6752" s="21" t="s">
        <v>336</v>
      </c>
      <c r="C6752" s="62" t="s">
        <v>60</v>
      </c>
      <c r="D6752" s="62" t="s">
        <v>388</v>
      </c>
      <c r="E6752" s="62" t="s">
        <v>72</v>
      </c>
      <c r="F6752" s="62" t="s">
        <v>382</v>
      </c>
      <c r="G6752" s="63" t="s">
        <v>699</v>
      </c>
      <c r="H6752" s="64" t="n">
        <v>-2091272151.01753</v>
      </c>
      <c r="I6752" s="62" t="s">
        <v>81</v>
      </c>
      <c r="J6752" s="64" t="n">
        <v>-2091272.15101753</v>
      </c>
      <c r="K6752" s="62" t="s">
        <v>138</v>
      </c>
      <c r="L6752" s="68" t="b">
        <f aca="false">FALSE()</f>
        <v>0</v>
      </c>
    </row>
    <row r="6753" customFormat="false" ht="15" hidden="false" customHeight="false" outlineLevel="0" collapsed="false">
      <c r="A6753" s="62" t="n">
        <v>1</v>
      </c>
      <c r="B6753" s="21" t="s">
        <v>336</v>
      </c>
      <c r="C6753" s="62" t="s">
        <v>60</v>
      </c>
      <c r="D6753" s="62" t="s">
        <v>381</v>
      </c>
      <c r="E6753" s="62" t="s">
        <v>72</v>
      </c>
      <c r="F6753" s="62" t="s">
        <v>382</v>
      </c>
      <c r="G6753" s="63" t="s">
        <v>700</v>
      </c>
      <c r="H6753" s="64" t="n">
        <v>15849303054.1235</v>
      </c>
      <c r="I6753" s="62" t="s">
        <v>81</v>
      </c>
      <c r="J6753" s="64" t="n">
        <v>15849303.0541235</v>
      </c>
      <c r="K6753" s="62" t="s">
        <v>138</v>
      </c>
      <c r="L6753" s="68" t="b">
        <f aca="false">FALSE()</f>
        <v>0</v>
      </c>
    </row>
    <row r="6754" customFormat="false" ht="15" hidden="false" customHeight="false" outlineLevel="0" collapsed="false">
      <c r="A6754" s="62" t="n">
        <v>1</v>
      </c>
      <c r="B6754" s="21" t="s">
        <v>336</v>
      </c>
      <c r="C6754" s="62" t="s">
        <v>60</v>
      </c>
      <c r="D6754" s="62" t="s">
        <v>383</v>
      </c>
      <c r="E6754" s="62" t="s">
        <v>72</v>
      </c>
      <c r="F6754" s="62" t="s">
        <v>382</v>
      </c>
      <c r="G6754" s="63" t="s">
        <v>700</v>
      </c>
      <c r="H6754" s="64" t="n">
        <v>23880524202.5965</v>
      </c>
      <c r="I6754" s="62" t="s">
        <v>81</v>
      </c>
      <c r="J6754" s="64" t="n">
        <v>23880524.2025965</v>
      </c>
      <c r="K6754" s="62" t="s">
        <v>138</v>
      </c>
      <c r="L6754" s="68" t="b">
        <f aca="false">FALSE()</f>
        <v>0</v>
      </c>
    </row>
    <row r="6755" customFormat="false" ht="15" hidden="false" customHeight="false" outlineLevel="0" collapsed="false">
      <c r="A6755" s="62" t="n">
        <v>1</v>
      </c>
      <c r="B6755" s="21" t="s">
        <v>336</v>
      </c>
      <c r="C6755" s="62" t="s">
        <v>60</v>
      </c>
      <c r="D6755" s="62" t="s">
        <v>384</v>
      </c>
      <c r="E6755" s="62" t="s">
        <v>72</v>
      </c>
      <c r="F6755" s="62" t="s">
        <v>382</v>
      </c>
      <c r="G6755" s="63" t="s">
        <v>700</v>
      </c>
      <c r="H6755" s="64" t="n">
        <v>19794953080.7175</v>
      </c>
      <c r="I6755" s="62" t="s">
        <v>81</v>
      </c>
      <c r="J6755" s="64" t="n">
        <v>19794953.0807175</v>
      </c>
      <c r="K6755" s="62" t="s">
        <v>138</v>
      </c>
      <c r="L6755" s="68" t="b">
        <f aca="false">FALSE()</f>
        <v>0</v>
      </c>
    </row>
    <row r="6756" customFormat="false" ht="15" hidden="false" customHeight="false" outlineLevel="0" collapsed="false">
      <c r="A6756" s="62" t="n">
        <v>1</v>
      </c>
      <c r="B6756" s="21" t="s">
        <v>336</v>
      </c>
      <c r="C6756" s="62" t="s">
        <v>60</v>
      </c>
      <c r="D6756" s="62" t="s">
        <v>385</v>
      </c>
      <c r="E6756" s="62" t="s">
        <v>72</v>
      </c>
      <c r="F6756" s="62" t="s">
        <v>382</v>
      </c>
      <c r="G6756" s="63" t="s">
        <v>700</v>
      </c>
      <c r="H6756" s="64" t="n">
        <v>15499331647.512</v>
      </c>
      <c r="I6756" s="62" t="s">
        <v>81</v>
      </c>
      <c r="J6756" s="64" t="n">
        <v>15499331.647512</v>
      </c>
      <c r="K6756" s="62" t="s">
        <v>138</v>
      </c>
      <c r="L6756" s="68" t="b">
        <f aca="false">FALSE()</f>
        <v>0</v>
      </c>
    </row>
    <row r="6757" customFormat="false" ht="15" hidden="false" customHeight="false" outlineLevel="0" collapsed="false">
      <c r="A6757" s="62" t="n">
        <v>1</v>
      </c>
      <c r="B6757" s="21" t="s">
        <v>336</v>
      </c>
      <c r="C6757" s="62" t="s">
        <v>60</v>
      </c>
      <c r="D6757" s="62" t="s">
        <v>386</v>
      </c>
      <c r="E6757" s="62" t="s">
        <v>72</v>
      </c>
      <c r="F6757" s="62" t="s">
        <v>382</v>
      </c>
      <c r="G6757" s="63" t="s">
        <v>700</v>
      </c>
      <c r="H6757" s="64" t="n">
        <v>13057116095.1793</v>
      </c>
      <c r="I6757" s="62" t="s">
        <v>81</v>
      </c>
      <c r="J6757" s="64" t="n">
        <v>13057116.0951793</v>
      </c>
      <c r="K6757" s="62" t="s">
        <v>138</v>
      </c>
      <c r="L6757" s="68" t="b">
        <f aca="false">FALSE()</f>
        <v>0</v>
      </c>
    </row>
    <row r="6758" customFormat="false" ht="15" hidden="false" customHeight="false" outlineLevel="0" collapsed="false">
      <c r="A6758" s="62" t="n">
        <v>1</v>
      </c>
      <c r="B6758" s="21" t="s">
        <v>336</v>
      </c>
      <c r="C6758" s="62" t="s">
        <v>60</v>
      </c>
      <c r="D6758" s="62" t="s">
        <v>387</v>
      </c>
      <c r="E6758" s="62" t="s">
        <v>72</v>
      </c>
      <c r="F6758" s="62" t="s">
        <v>382</v>
      </c>
      <c r="G6758" s="63" t="s">
        <v>700</v>
      </c>
      <c r="H6758" s="64" t="n">
        <v>18050259124.5073</v>
      </c>
      <c r="I6758" s="62" t="s">
        <v>81</v>
      </c>
      <c r="J6758" s="64" t="n">
        <v>18050259.1245073</v>
      </c>
      <c r="K6758" s="62" t="s">
        <v>138</v>
      </c>
      <c r="L6758" s="68" t="b">
        <f aca="false">FALSE()</f>
        <v>0</v>
      </c>
    </row>
    <row r="6759" customFormat="false" ht="15" hidden="false" customHeight="false" outlineLevel="0" collapsed="false">
      <c r="A6759" s="62" t="n">
        <v>1</v>
      </c>
      <c r="B6759" s="21" t="s">
        <v>336</v>
      </c>
      <c r="C6759" s="62" t="s">
        <v>60</v>
      </c>
      <c r="D6759" s="62" t="s">
        <v>388</v>
      </c>
      <c r="E6759" s="62" t="s">
        <v>72</v>
      </c>
      <c r="F6759" s="62" t="s">
        <v>382</v>
      </c>
      <c r="G6759" s="63" t="s">
        <v>700</v>
      </c>
      <c r="H6759" s="64" t="n">
        <v>11091600000</v>
      </c>
      <c r="I6759" s="62" t="s">
        <v>81</v>
      </c>
      <c r="J6759" s="64" t="n">
        <v>11091600</v>
      </c>
      <c r="K6759" s="62" t="s">
        <v>138</v>
      </c>
      <c r="L6759" s="68" t="b">
        <f aca="false">FALSE()</f>
        <v>0</v>
      </c>
    </row>
    <row r="6760" customFormat="false" ht="15" hidden="false" customHeight="false" outlineLevel="0" collapsed="false">
      <c r="A6760" s="62" t="n">
        <v>1</v>
      </c>
      <c r="B6760" s="21" t="s">
        <v>336</v>
      </c>
      <c r="C6760" s="62" t="s">
        <v>60</v>
      </c>
      <c r="D6760" s="62" t="s">
        <v>381</v>
      </c>
      <c r="E6760" s="62" t="s">
        <v>72</v>
      </c>
      <c r="F6760" s="62" t="s">
        <v>382</v>
      </c>
      <c r="G6760" s="63" t="s">
        <v>701</v>
      </c>
      <c r="H6760" s="64" t="n">
        <v>63397212216.4938</v>
      </c>
      <c r="I6760" s="62" t="s">
        <v>81</v>
      </c>
      <c r="J6760" s="64" t="n">
        <v>63397212.2164938</v>
      </c>
      <c r="K6760" s="62" t="s">
        <v>138</v>
      </c>
      <c r="L6760" s="68" t="b">
        <f aca="false">FALSE()</f>
        <v>0</v>
      </c>
    </row>
    <row r="6761" customFormat="false" ht="15" hidden="false" customHeight="false" outlineLevel="0" collapsed="false">
      <c r="A6761" s="62" t="n">
        <v>1</v>
      </c>
      <c r="B6761" s="21" t="s">
        <v>336</v>
      </c>
      <c r="C6761" s="62" t="s">
        <v>60</v>
      </c>
      <c r="D6761" s="62" t="s">
        <v>383</v>
      </c>
      <c r="E6761" s="62" t="s">
        <v>72</v>
      </c>
      <c r="F6761" s="62" t="s">
        <v>382</v>
      </c>
      <c r="G6761" s="63" t="s">
        <v>701</v>
      </c>
      <c r="H6761" s="64" t="n">
        <v>95522096810.386</v>
      </c>
      <c r="I6761" s="62" t="s">
        <v>81</v>
      </c>
      <c r="J6761" s="64" t="n">
        <v>95522096.810386</v>
      </c>
      <c r="K6761" s="62" t="s">
        <v>138</v>
      </c>
      <c r="L6761" s="68" t="b">
        <f aca="false">FALSE()</f>
        <v>0</v>
      </c>
    </row>
    <row r="6762" customFormat="false" ht="15" hidden="false" customHeight="false" outlineLevel="0" collapsed="false">
      <c r="A6762" s="62" t="n">
        <v>1</v>
      </c>
      <c r="B6762" s="21" t="s">
        <v>336</v>
      </c>
      <c r="C6762" s="62" t="s">
        <v>60</v>
      </c>
      <c r="D6762" s="62" t="s">
        <v>384</v>
      </c>
      <c r="E6762" s="62" t="s">
        <v>72</v>
      </c>
      <c r="F6762" s="62" t="s">
        <v>382</v>
      </c>
      <c r="G6762" s="63" t="s">
        <v>701</v>
      </c>
      <c r="H6762" s="64" t="n">
        <v>79179812322.87</v>
      </c>
      <c r="I6762" s="62" t="s">
        <v>81</v>
      </c>
      <c r="J6762" s="64" t="n">
        <v>79179812.32287</v>
      </c>
      <c r="K6762" s="62" t="s">
        <v>138</v>
      </c>
      <c r="L6762" s="68" t="b">
        <f aca="false">FALSE()</f>
        <v>0</v>
      </c>
    </row>
    <row r="6763" customFormat="false" ht="15" hidden="false" customHeight="false" outlineLevel="0" collapsed="false">
      <c r="A6763" s="62" t="n">
        <v>1</v>
      </c>
      <c r="B6763" s="21" t="s">
        <v>336</v>
      </c>
      <c r="C6763" s="62" t="s">
        <v>60</v>
      </c>
      <c r="D6763" s="62" t="s">
        <v>385</v>
      </c>
      <c r="E6763" s="62" t="s">
        <v>72</v>
      </c>
      <c r="F6763" s="62" t="s">
        <v>382</v>
      </c>
      <c r="G6763" s="63" t="s">
        <v>701</v>
      </c>
      <c r="H6763" s="64" t="n">
        <v>61997326590.0479</v>
      </c>
      <c r="I6763" s="62" t="s">
        <v>81</v>
      </c>
      <c r="J6763" s="64" t="n">
        <v>61997326.5900479</v>
      </c>
      <c r="K6763" s="62" t="s">
        <v>138</v>
      </c>
      <c r="L6763" s="68" t="b">
        <f aca="false">FALSE()</f>
        <v>0</v>
      </c>
    </row>
    <row r="6764" customFormat="false" ht="15" hidden="false" customHeight="false" outlineLevel="0" collapsed="false">
      <c r="A6764" s="62" t="n">
        <v>1</v>
      </c>
      <c r="B6764" s="21" t="s">
        <v>336</v>
      </c>
      <c r="C6764" s="62" t="s">
        <v>60</v>
      </c>
      <c r="D6764" s="62" t="s">
        <v>386</v>
      </c>
      <c r="E6764" s="62" t="s">
        <v>72</v>
      </c>
      <c r="F6764" s="62" t="s">
        <v>382</v>
      </c>
      <c r="G6764" s="63" t="s">
        <v>701</v>
      </c>
      <c r="H6764" s="64" t="n">
        <v>52228464380.7172</v>
      </c>
      <c r="I6764" s="62" t="s">
        <v>81</v>
      </c>
      <c r="J6764" s="64" t="n">
        <v>52228464.3807172</v>
      </c>
      <c r="K6764" s="62" t="s">
        <v>138</v>
      </c>
      <c r="L6764" s="68" t="b">
        <f aca="false">FALSE()</f>
        <v>0</v>
      </c>
    </row>
    <row r="6765" customFormat="false" ht="15" hidden="false" customHeight="false" outlineLevel="0" collapsed="false">
      <c r="A6765" s="62" t="n">
        <v>1</v>
      </c>
      <c r="B6765" s="21" t="s">
        <v>336</v>
      </c>
      <c r="C6765" s="62" t="s">
        <v>60</v>
      </c>
      <c r="D6765" s="62" t="s">
        <v>387</v>
      </c>
      <c r="E6765" s="62" t="s">
        <v>72</v>
      </c>
      <c r="F6765" s="62" t="s">
        <v>382</v>
      </c>
      <c r="G6765" s="63" t="s">
        <v>701</v>
      </c>
      <c r="H6765" s="64" t="n">
        <v>72201036498.029</v>
      </c>
      <c r="I6765" s="62" t="s">
        <v>81</v>
      </c>
      <c r="J6765" s="64" t="n">
        <v>72201036.498029</v>
      </c>
      <c r="K6765" s="62" t="s">
        <v>138</v>
      </c>
      <c r="L6765" s="68" t="b">
        <f aca="false">FALSE()</f>
        <v>0</v>
      </c>
    </row>
    <row r="6766" customFormat="false" ht="15" hidden="false" customHeight="false" outlineLevel="0" collapsed="false">
      <c r="A6766" s="62" t="n">
        <v>1</v>
      </c>
      <c r="B6766" s="21" t="s">
        <v>336</v>
      </c>
      <c r="C6766" s="62" t="s">
        <v>60</v>
      </c>
      <c r="D6766" s="62" t="s">
        <v>388</v>
      </c>
      <c r="E6766" s="62" t="s">
        <v>72</v>
      </c>
      <c r="F6766" s="62" t="s">
        <v>382</v>
      </c>
      <c r="G6766" s="63" t="s">
        <v>701</v>
      </c>
      <c r="H6766" s="64" t="n">
        <v>44366400000</v>
      </c>
      <c r="I6766" s="62" t="s">
        <v>81</v>
      </c>
      <c r="J6766" s="64" t="n">
        <v>44366400</v>
      </c>
      <c r="K6766" s="62" t="s">
        <v>138</v>
      </c>
      <c r="L6766" s="68" t="b">
        <f aca="false">FALSE()</f>
        <v>0</v>
      </c>
    </row>
    <row r="6767" customFormat="false" ht="15" hidden="false" customHeight="false" outlineLevel="0" collapsed="false">
      <c r="A6767" s="62" t="n">
        <v>1</v>
      </c>
      <c r="B6767" s="21" t="s">
        <v>336</v>
      </c>
      <c r="C6767" s="62" t="s">
        <v>60</v>
      </c>
      <c r="D6767" s="62" t="s">
        <v>381</v>
      </c>
      <c r="E6767" s="62" t="s">
        <v>72</v>
      </c>
      <c r="F6767" s="62" t="s">
        <v>382</v>
      </c>
      <c r="G6767" s="63" t="s">
        <v>702</v>
      </c>
      <c r="H6767" s="64" t="s">
        <v>51</v>
      </c>
      <c r="I6767" s="62" t="s">
        <v>138</v>
      </c>
      <c r="J6767" s="64" t="s">
        <v>51</v>
      </c>
      <c r="K6767" s="62" t="s">
        <v>138</v>
      </c>
      <c r="L6767" s="68" t="b">
        <f aca="false">FALSE()</f>
        <v>0</v>
      </c>
    </row>
    <row r="6768" customFormat="false" ht="15" hidden="false" customHeight="false" outlineLevel="0" collapsed="false">
      <c r="A6768" s="62" t="n">
        <v>1</v>
      </c>
      <c r="B6768" s="21" t="s">
        <v>336</v>
      </c>
      <c r="C6768" s="62" t="s">
        <v>60</v>
      </c>
      <c r="D6768" s="62" t="s">
        <v>388</v>
      </c>
      <c r="E6768" s="62" t="s">
        <v>72</v>
      </c>
      <c r="F6768" s="62" t="s">
        <v>382</v>
      </c>
      <c r="G6768" s="63" t="s">
        <v>702</v>
      </c>
      <c r="H6768" s="64" t="s">
        <v>51</v>
      </c>
      <c r="I6768" s="62" t="s">
        <v>138</v>
      </c>
      <c r="J6768" s="64" t="s">
        <v>51</v>
      </c>
      <c r="K6768" s="62" t="s">
        <v>138</v>
      </c>
      <c r="L6768" s="68" t="b">
        <f aca="false">FALSE()</f>
        <v>0</v>
      </c>
    </row>
    <row r="6769" customFormat="false" ht="15" hidden="false" customHeight="false" outlineLevel="0" collapsed="false">
      <c r="A6769" s="62" t="n">
        <v>1</v>
      </c>
      <c r="B6769" s="21" t="s">
        <v>336</v>
      </c>
      <c r="C6769" s="62" t="s">
        <v>60</v>
      </c>
      <c r="D6769" s="62" t="s">
        <v>381</v>
      </c>
      <c r="E6769" s="62" t="s">
        <v>72</v>
      </c>
      <c r="F6769" s="62" t="s">
        <v>382</v>
      </c>
      <c r="G6769" s="63" t="s">
        <v>703</v>
      </c>
      <c r="H6769" s="64" t="n">
        <v>0</v>
      </c>
      <c r="I6769" s="62" t="s">
        <v>81</v>
      </c>
      <c r="J6769" s="64" t="n">
        <v>0</v>
      </c>
      <c r="K6769" s="62" t="s">
        <v>138</v>
      </c>
      <c r="L6769" s="68" t="b">
        <f aca="false">FALSE()</f>
        <v>0</v>
      </c>
    </row>
    <row r="6770" customFormat="false" ht="15" hidden="false" customHeight="false" outlineLevel="0" collapsed="false">
      <c r="A6770" s="62" t="n">
        <v>1</v>
      </c>
      <c r="B6770" s="21" t="s">
        <v>336</v>
      </c>
      <c r="C6770" s="62" t="s">
        <v>60</v>
      </c>
      <c r="D6770" s="62" t="s">
        <v>383</v>
      </c>
      <c r="E6770" s="62" t="s">
        <v>72</v>
      </c>
      <c r="F6770" s="62" t="s">
        <v>382</v>
      </c>
      <c r="G6770" s="63" t="s">
        <v>703</v>
      </c>
      <c r="H6770" s="64" t="n">
        <v>3126614915.98188</v>
      </c>
      <c r="I6770" s="62" t="s">
        <v>81</v>
      </c>
      <c r="J6770" s="64" t="n">
        <v>3126614.91598188</v>
      </c>
      <c r="K6770" s="62" t="s">
        <v>138</v>
      </c>
      <c r="L6770" s="68" t="b">
        <f aca="false">FALSE()</f>
        <v>0</v>
      </c>
    </row>
    <row r="6771" customFormat="false" ht="15" hidden="false" customHeight="false" outlineLevel="0" collapsed="false">
      <c r="A6771" s="62" t="n">
        <v>1</v>
      </c>
      <c r="B6771" s="21" t="s">
        <v>336</v>
      </c>
      <c r="C6771" s="62" t="s">
        <v>60</v>
      </c>
      <c r="D6771" s="62" t="s">
        <v>384</v>
      </c>
      <c r="E6771" s="62" t="s">
        <v>72</v>
      </c>
      <c r="F6771" s="62" t="s">
        <v>382</v>
      </c>
      <c r="G6771" s="63" t="s">
        <v>703</v>
      </c>
      <c r="H6771" s="64" t="n">
        <v>2044114328.53906</v>
      </c>
      <c r="I6771" s="62" t="s">
        <v>81</v>
      </c>
      <c r="J6771" s="64" t="n">
        <v>2044114.32853906</v>
      </c>
      <c r="K6771" s="62" t="s">
        <v>138</v>
      </c>
      <c r="L6771" s="68" t="b">
        <f aca="false">FALSE()</f>
        <v>0</v>
      </c>
    </row>
    <row r="6772" customFormat="false" ht="15" hidden="false" customHeight="false" outlineLevel="0" collapsed="false">
      <c r="A6772" s="62" t="n">
        <v>1</v>
      </c>
      <c r="B6772" s="21" t="s">
        <v>336</v>
      </c>
      <c r="C6772" s="62" t="s">
        <v>60</v>
      </c>
      <c r="D6772" s="62" t="s">
        <v>385</v>
      </c>
      <c r="E6772" s="62" t="s">
        <v>72</v>
      </c>
      <c r="F6772" s="62" t="s">
        <v>382</v>
      </c>
      <c r="G6772" s="63" t="s">
        <v>703</v>
      </c>
      <c r="H6772" s="64" t="n">
        <v>1768437682.16752</v>
      </c>
      <c r="I6772" s="62" t="s">
        <v>81</v>
      </c>
      <c r="J6772" s="64" t="n">
        <v>1768437.68216752</v>
      </c>
      <c r="K6772" s="62" t="s">
        <v>138</v>
      </c>
      <c r="L6772" s="68" t="b">
        <f aca="false">FALSE()</f>
        <v>0</v>
      </c>
    </row>
    <row r="6773" customFormat="false" ht="15" hidden="false" customHeight="false" outlineLevel="0" collapsed="false">
      <c r="A6773" s="62" t="n">
        <v>1</v>
      </c>
      <c r="B6773" s="21" t="s">
        <v>336</v>
      </c>
      <c r="C6773" s="62" t="s">
        <v>60</v>
      </c>
      <c r="D6773" s="62" t="s">
        <v>386</v>
      </c>
      <c r="E6773" s="62" t="s">
        <v>72</v>
      </c>
      <c r="F6773" s="62" t="s">
        <v>382</v>
      </c>
      <c r="G6773" s="63" t="s">
        <v>703</v>
      </c>
      <c r="H6773" s="64" t="n">
        <v>247879964.439973</v>
      </c>
      <c r="I6773" s="62" t="s">
        <v>81</v>
      </c>
      <c r="J6773" s="64" t="n">
        <v>247879.964439973</v>
      </c>
      <c r="K6773" s="62" t="s">
        <v>138</v>
      </c>
      <c r="L6773" s="68" t="b">
        <f aca="false">FALSE()</f>
        <v>0</v>
      </c>
    </row>
    <row r="6774" customFormat="false" ht="15" hidden="false" customHeight="false" outlineLevel="0" collapsed="false">
      <c r="A6774" s="62" t="n">
        <v>1</v>
      </c>
      <c r="B6774" s="21" t="s">
        <v>336</v>
      </c>
      <c r="C6774" s="62" t="s">
        <v>60</v>
      </c>
      <c r="D6774" s="62" t="s">
        <v>387</v>
      </c>
      <c r="E6774" s="62" t="s">
        <v>72</v>
      </c>
      <c r="F6774" s="62" t="s">
        <v>382</v>
      </c>
      <c r="G6774" s="63" t="s">
        <v>703</v>
      </c>
      <c r="H6774" s="64" t="n">
        <v>1519375120.09709</v>
      </c>
      <c r="I6774" s="62" t="s">
        <v>81</v>
      </c>
      <c r="J6774" s="64" t="n">
        <v>1519375.12009709</v>
      </c>
      <c r="K6774" s="62" t="s">
        <v>138</v>
      </c>
      <c r="L6774" s="68" t="b">
        <f aca="false">FALSE()</f>
        <v>0</v>
      </c>
    </row>
    <row r="6775" customFormat="false" ht="15" hidden="false" customHeight="false" outlineLevel="0" collapsed="false">
      <c r="A6775" s="62" t="n">
        <v>1</v>
      </c>
      <c r="B6775" s="21" t="s">
        <v>336</v>
      </c>
      <c r="C6775" s="62" t="s">
        <v>60</v>
      </c>
      <c r="D6775" s="62" t="s">
        <v>388</v>
      </c>
      <c r="E6775" s="62" t="s">
        <v>72</v>
      </c>
      <c r="F6775" s="62" t="s">
        <v>382</v>
      </c>
      <c r="G6775" s="63" t="s">
        <v>703</v>
      </c>
      <c r="H6775" s="64" t="n">
        <v>0</v>
      </c>
      <c r="I6775" s="62" t="s">
        <v>81</v>
      </c>
      <c r="J6775" s="64" t="n">
        <v>0</v>
      </c>
      <c r="K6775" s="62" t="s">
        <v>138</v>
      </c>
      <c r="L6775" s="68" t="b">
        <f aca="false">FALSE()</f>
        <v>0</v>
      </c>
    </row>
    <row r="6776" customFormat="false" ht="15" hidden="false" customHeight="false" outlineLevel="0" collapsed="false">
      <c r="A6776" s="62" t="n">
        <v>1</v>
      </c>
      <c r="B6776" s="21" t="s">
        <v>336</v>
      </c>
      <c r="C6776" s="62" t="s">
        <v>60</v>
      </c>
      <c r="D6776" s="62" t="s">
        <v>381</v>
      </c>
      <c r="E6776" s="62" t="s">
        <v>72</v>
      </c>
      <c r="F6776" s="62" t="s">
        <v>382</v>
      </c>
      <c r="G6776" s="63" t="s">
        <v>704</v>
      </c>
      <c r="H6776" s="64" t="s">
        <v>51</v>
      </c>
      <c r="I6776" s="62" t="s">
        <v>138</v>
      </c>
      <c r="J6776" s="64" t="s">
        <v>51</v>
      </c>
      <c r="K6776" s="62" t="s">
        <v>138</v>
      </c>
      <c r="L6776" s="68" t="b">
        <f aca="false">FALSE()</f>
        <v>0</v>
      </c>
    </row>
    <row r="6777" customFormat="false" ht="15" hidden="false" customHeight="false" outlineLevel="0" collapsed="false">
      <c r="A6777" s="62" t="n">
        <v>1</v>
      </c>
      <c r="B6777" s="21" t="s">
        <v>336</v>
      </c>
      <c r="C6777" s="62" t="s">
        <v>60</v>
      </c>
      <c r="D6777" s="62" t="s">
        <v>383</v>
      </c>
      <c r="E6777" s="62" t="s">
        <v>72</v>
      </c>
      <c r="F6777" s="62" t="s">
        <v>382</v>
      </c>
      <c r="G6777" s="63" t="s">
        <v>704</v>
      </c>
      <c r="H6777" s="64" t="n">
        <v>36425063771.1888</v>
      </c>
      <c r="I6777" s="62" t="s">
        <v>81</v>
      </c>
      <c r="J6777" s="64" t="n">
        <v>36425063.7711888</v>
      </c>
      <c r="K6777" s="62" t="s">
        <v>138</v>
      </c>
      <c r="L6777" s="68" t="b">
        <f aca="false">FALSE()</f>
        <v>0</v>
      </c>
    </row>
    <row r="6778" customFormat="false" ht="15" hidden="false" customHeight="false" outlineLevel="0" collapsed="false">
      <c r="A6778" s="62" t="n">
        <v>1</v>
      </c>
      <c r="B6778" s="21" t="s">
        <v>336</v>
      </c>
      <c r="C6778" s="62" t="s">
        <v>60</v>
      </c>
      <c r="D6778" s="62" t="s">
        <v>384</v>
      </c>
      <c r="E6778" s="62" t="s">
        <v>72</v>
      </c>
      <c r="F6778" s="62" t="s">
        <v>382</v>
      </c>
      <c r="G6778" s="63" t="s">
        <v>704</v>
      </c>
      <c r="H6778" s="64" t="n">
        <v>23813931927.4801</v>
      </c>
      <c r="I6778" s="62" t="s">
        <v>81</v>
      </c>
      <c r="J6778" s="64" t="n">
        <v>23813931.9274801</v>
      </c>
      <c r="K6778" s="62" t="s">
        <v>138</v>
      </c>
      <c r="L6778" s="68" t="b">
        <f aca="false">FALSE()</f>
        <v>0</v>
      </c>
    </row>
    <row r="6779" customFormat="false" ht="15" hidden="false" customHeight="false" outlineLevel="0" collapsed="false">
      <c r="A6779" s="62" t="n">
        <v>1</v>
      </c>
      <c r="B6779" s="21" t="s">
        <v>336</v>
      </c>
      <c r="C6779" s="62" t="s">
        <v>60</v>
      </c>
      <c r="D6779" s="62" t="s">
        <v>385</v>
      </c>
      <c r="E6779" s="62" t="s">
        <v>72</v>
      </c>
      <c r="F6779" s="62" t="s">
        <v>382</v>
      </c>
      <c r="G6779" s="63" t="s">
        <v>704</v>
      </c>
      <c r="H6779" s="64" t="n">
        <v>20602298997.2516</v>
      </c>
      <c r="I6779" s="62" t="s">
        <v>81</v>
      </c>
      <c r="J6779" s="64" t="n">
        <v>20602298.9972516</v>
      </c>
      <c r="K6779" s="62" t="s">
        <v>138</v>
      </c>
      <c r="L6779" s="68" t="b">
        <f aca="false">FALSE()</f>
        <v>0</v>
      </c>
    </row>
    <row r="6780" customFormat="false" ht="15" hidden="false" customHeight="false" outlineLevel="0" collapsed="false">
      <c r="A6780" s="62" t="n">
        <v>1</v>
      </c>
      <c r="B6780" s="21" t="s">
        <v>336</v>
      </c>
      <c r="C6780" s="62" t="s">
        <v>60</v>
      </c>
      <c r="D6780" s="62" t="s">
        <v>386</v>
      </c>
      <c r="E6780" s="62" t="s">
        <v>72</v>
      </c>
      <c r="F6780" s="62" t="s">
        <v>382</v>
      </c>
      <c r="G6780" s="63" t="s">
        <v>704</v>
      </c>
      <c r="H6780" s="64" t="n">
        <v>2887801585.72569</v>
      </c>
      <c r="I6780" s="62" t="s">
        <v>81</v>
      </c>
      <c r="J6780" s="64" t="n">
        <v>2887801.58572569</v>
      </c>
      <c r="K6780" s="62" t="s">
        <v>138</v>
      </c>
      <c r="L6780" s="68" t="b">
        <f aca="false">FALSE()</f>
        <v>0</v>
      </c>
    </row>
    <row r="6781" customFormat="false" ht="15" hidden="false" customHeight="false" outlineLevel="0" collapsed="false">
      <c r="A6781" s="62" t="n">
        <v>1</v>
      </c>
      <c r="B6781" s="21" t="s">
        <v>336</v>
      </c>
      <c r="C6781" s="62" t="s">
        <v>60</v>
      </c>
      <c r="D6781" s="62" t="s">
        <v>387</v>
      </c>
      <c r="E6781" s="62" t="s">
        <v>72</v>
      </c>
      <c r="F6781" s="62" t="s">
        <v>382</v>
      </c>
      <c r="G6781" s="63" t="s">
        <v>704</v>
      </c>
      <c r="H6781" s="64" t="n">
        <v>17700720149.1311</v>
      </c>
      <c r="I6781" s="62" t="s">
        <v>81</v>
      </c>
      <c r="J6781" s="64" t="n">
        <v>17700720.1491311</v>
      </c>
      <c r="K6781" s="62" t="s">
        <v>138</v>
      </c>
      <c r="L6781" s="68" t="b">
        <f aca="false">FALSE()</f>
        <v>0</v>
      </c>
    </row>
    <row r="6782" customFormat="false" ht="15" hidden="false" customHeight="false" outlineLevel="0" collapsed="false">
      <c r="A6782" s="62" t="n">
        <v>1</v>
      </c>
      <c r="B6782" s="21" t="s">
        <v>336</v>
      </c>
      <c r="C6782" s="62" t="s">
        <v>60</v>
      </c>
      <c r="D6782" s="62" t="s">
        <v>388</v>
      </c>
      <c r="E6782" s="62" t="s">
        <v>72</v>
      </c>
      <c r="F6782" s="62" t="s">
        <v>382</v>
      </c>
      <c r="G6782" s="63" t="s">
        <v>704</v>
      </c>
      <c r="H6782" s="64" t="s">
        <v>51</v>
      </c>
      <c r="I6782" s="62" t="s">
        <v>138</v>
      </c>
      <c r="J6782" s="64" t="s">
        <v>51</v>
      </c>
      <c r="K6782" s="62" t="s">
        <v>138</v>
      </c>
      <c r="L6782" s="68" t="b">
        <f aca="false">FALSE()</f>
        <v>0</v>
      </c>
    </row>
    <row r="6783" customFormat="false" ht="15" hidden="false" customHeight="false" outlineLevel="0" collapsed="false">
      <c r="A6783" s="62" t="n">
        <v>1</v>
      </c>
      <c r="B6783" s="21" t="s">
        <v>336</v>
      </c>
      <c r="C6783" s="62" t="s">
        <v>60</v>
      </c>
      <c r="D6783" s="62" t="s">
        <v>381</v>
      </c>
      <c r="E6783" s="62" t="s">
        <v>72</v>
      </c>
      <c r="F6783" s="62" t="s">
        <v>382</v>
      </c>
      <c r="G6783" s="63" t="s">
        <v>705</v>
      </c>
      <c r="H6783" s="64" t="s">
        <v>51</v>
      </c>
      <c r="I6783" s="62" t="s">
        <v>138</v>
      </c>
      <c r="J6783" s="64" t="s">
        <v>51</v>
      </c>
      <c r="K6783" s="62" t="s">
        <v>138</v>
      </c>
      <c r="L6783" s="68" t="b">
        <f aca="false">FALSE()</f>
        <v>0</v>
      </c>
    </row>
    <row r="6784" customFormat="false" ht="15" hidden="false" customHeight="false" outlineLevel="0" collapsed="false">
      <c r="A6784" s="62" t="n">
        <v>1</v>
      </c>
      <c r="B6784" s="21" t="s">
        <v>336</v>
      </c>
      <c r="C6784" s="62" t="s">
        <v>60</v>
      </c>
      <c r="D6784" s="62" t="s">
        <v>388</v>
      </c>
      <c r="E6784" s="62" t="s">
        <v>72</v>
      </c>
      <c r="F6784" s="62" t="s">
        <v>382</v>
      </c>
      <c r="G6784" s="63" t="s">
        <v>705</v>
      </c>
      <c r="H6784" s="64" t="s">
        <v>51</v>
      </c>
      <c r="I6784" s="62" t="s">
        <v>138</v>
      </c>
      <c r="J6784" s="64" t="s">
        <v>51</v>
      </c>
      <c r="K6784" s="62" t="s">
        <v>138</v>
      </c>
      <c r="L6784" s="68" t="b">
        <f aca="false">FALSE()</f>
        <v>0</v>
      </c>
    </row>
    <row r="6785" customFormat="false" ht="15" hidden="false" customHeight="false" outlineLevel="0" collapsed="false">
      <c r="A6785" s="62" t="n">
        <v>1</v>
      </c>
      <c r="B6785" s="21" t="s">
        <v>336</v>
      </c>
      <c r="C6785" s="62" t="s">
        <v>60</v>
      </c>
      <c r="D6785" s="62" t="s">
        <v>381</v>
      </c>
      <c r="E6785" s="62" t="s">
        <v>72</v>
      </c>
      <c r="F6785" s="62" t="s">
        <v>382</v>
      </c>
      <c r="G6785" s="63" t="s">
        <v>706</v>
      </c>
      <c r="H6785" s="64" t="n">
        <v>0</v>
      </c>
      <c r="I6785" s="62" t="s">
        <v>81</v>
      </c>
      <c r="J6785" s="64" t="n">
        <v>0</v>
      </c>
      <c r="K6785" s="62" t="s">
        <v>138</v>
      </c>
      <c r="L6785" s="68" t="b">
        <f aca="false">FALSE()</f>
        <v>0</v>
      </c>
    </row>
    <row r="6786" customFormat="false" ht="15" hidden="false" customHeight="false" outlineLevel="0" collapsed="false">
      <c r="A6786" s="62" t="n">
        <v>1</v>
      </c>
      <c r="B6786" s="21" t="s">
        <v>336</v>
      </c>
      <c r="C6786" s="62" t="s">
        <v>60</v>
      </c>
      <c r="D6786" s="62" t="s">
        <v>383</v>
      </c>
      <c r="E6786" s="62" t="s">
        <v>72</v>
      </c>
      <c r="F6786" s="62" t="s">
        <v>382</v>
      </c>
      <c r="G6786" s="63" t="s">
        <v>706</v>
      </c>
      <c r="H6786" s="64" t="n">
        <v>3126614915.98188</v>
      </c>
      <c r="I6786" s="62" t="s">
        <v>81</v>
      </c>
      <c r="J6786" s="64" t="n">
        <v>3126614.91598188</v>
      </c>
      <c r="K6786" s="62" t="s">
        <v>138</v>
      </c>
      <c r="L6786" s="68" t="b">
        <f aca="false">FALSE()</f>
        <v>0</v>
      </c>
    </row>
    <row r="6787" customFormat="false" ht="15" hidden="false" customHeight="false" outlineLevel="0" collapsed="false">
      <c r="A6787" s="62" t="n">
        <v>1</v>
      </c>
      <c r="B6787" s="21" t="s">
        <v>336</v>
      </c>
      <c r="C6787" s="62" t="s">
        <v>60</v>
      </c>
      <c r="D6787" s="62" t="s">
        <v>384</v>
      </c>
      <c r="E6787" s="62" t="s">
        <v>72</v>
      </c>
      <c r="F6787" s="62" t="s">
        <v>382</v>
      </c>
      <c r="G6787" s="63" t="s">
        <v>706</v>
      </c>
      <c r="H6787" s="64" t="n">
        <v>2044114328.53906</v>
      </c>
      <c r="I6787" s="62" t="s">
        <v>81</v>
      </c>
      <c r="J6787" s="64" t="n">
        <v>2044114.32853906</v>
      </c>
      <c r="K6787" s="62" t="s">
        <v>138</v>
      </c>
      <c r="L6787" s="68" t="b">
        <f aca="false">FALSE()</f>
        <v>0</v>
      </c>
    </row>
    <row r="6788" customFormat="false" ht="15" hidden="false" customHeight="false" outlineLevel="0" collapsed="false">
      <c r="A6788" s="62" t="n">
        <v>1</v>
      </c>
      <c r="B6788" s="21" t="s">
        <v>336</v>
      </c>
      <c r="C6788" s="62" t="s">
        <v>60</v>
      </c>
      <c r="D6788" s="62" t="s">
        <v>385</v>
      </c>
      <c r="E6788" s="62" t="s">
        <v>72</v>
      </c>
      <c r="F6788" s="62" t="s">
        <v>382</v>
      </c>
      <c r="G6788" s="63" t="s">
        <v>706</v>
      </c>
      <c r="H6788" s="64" t="n">
        <v>1768437682.16752</v>
      </c>
      <c r="I6788" s="62" t="s">
        <v>81</v>
      </c>
      <c r="J6788" s="64" t="n">
        <v>1768437.68216752</v>
      </c>
      <c r="K6788" s="62" t="s">
        <v>138</v>
      </c>
      <c r="L6788" s="68" t="b">
        <f aca="false">FALSE()</f>
        <v>0</v>
      </c>
    </row>
    <row r="6789" customFormat="false" ht="15" hidden="false" customHeight="false" outlineLevel="0" collapsed="false">
      <c r="A6789" s="62" t="n">
        <v>1</v>
      </c>
      <c r="B6789" s="21" t="s">
        <v>336</v>
      </c>
      <c r="C6789" s="62" t="s">
        <v>60</v>
      </c>
      <c r="D6789" s="62" t="s">
        <v>386</v>
      </c>
      <c r="E6789" s="62" t="s">
        <v>72</v>
      </c>
      <c r="F6789" s="62" t="s">
        <v>382</v>
      </c>
      <c r="G6789" s="63" t="s">
        <v>706</v>
      </c>
      <c r="H6789" s="64" t="n">
        <v>247879964.439973</v>
      </c>
      <c r="I6789" s="62" t="s">
        <v>81</v>
      </c>
      <c r="J6789" s="64" t="n">
        <v>247879.964439973</v>
      </c>
      <c r="K6789" s="62" t="s">
        <v>138</v>
      </c>
      <c r="L6789" s="68" t="b">
        <f aca="false">FALSE()</f>
        <v>0</v>
      </c>
    </row>
    <row r="6790" customFormat="false" ht="15" hidden="false" customHeight="false" outlineLevel="0" collapsed="false">
      <c r="A6790" s="62" t="n">
        <v>1</v>
      </c>
      <c r="B6790" s="21" t="s">
        <v>336</v>
      </c>
      <c r="C6790" s="62" t="s">
        <v>60</v>
      </c>
      <c r="D6790" s="62" t="s">
        <v>387</v>
      </c>
      <c r="E6790" s="62" t="s">
        <v>72</v>
      </c>
      <c r="F6790" s="62" t="s">
        <v>382</v>
      </c>
      <c r="G6790" s="63" t="s">
        <v>706</v>
      </c>
      <c r="H6790" s="64" t="n">
        <v>1519375120.09709</v>
      </c>
      <c r="I6790" s="62" t="s">
        <v>81</v>
      </c>
      <c r="J6790" s="64" t="n">
        <v>1519375.12009709</v>
      </c>
      <c r="K6790" s="62" t="s">
        <v>138</v>
      </c>
      <c r="L6790" s="68" t="b">
        <f aca="false">FALSE()</f>
        <v>0</v>
      </c>
    </row>
    <row r="6791" customFormat="false" ht="15" hidden="false" customHeight="false" outlineLevel="0" collapsed="false">
      <c r="A6791" s="62" t="n">
        <v>1</v>
      </c>
      <c r="B6791" s="21" t="s">
        <v>336</v>
      </c>
      <c r="C6791" s="62" t="s">
        <v>60</v>
      </c>
      <c r="D6791" s="62" t="s">
        <v>388</v>
      </c>
      <c r="E6791" s="62" t="s">
        <v>72</v>
      </c>
      <c r="F6791" s="62" t="s">
        <v>382</v>
      </c>
      <c r="G6791" s="63" t="s">
        <v>706</v>
      </c>
      <c r="H6791" s="64" t="n">
        <v>0</v>
      </c>
      <c r="I6791" s="62" t="s">
        <v>81</v>
      </c>
      <c r="J6791" s="64" t="n">
        <v>0</v>
      </c>
      <c r="K6791" s="62" t="s">
        <v>138</v>
      </c>
      <c r="L6791" s="68" t="b">
        <f aca="false">FALSE()</f>
        <v>0</v>
      </c>
    </row>
    <row r="6792" customFormat="false" ht="15" hidden="false" customHeight="false" outlineLevel="0" collapsed="false">
      <c r="A6792" s="62" t="n">
        <v>1</v>
      </c>
      <c r="B6792" s="21" t="s">
        <v>336</v>
      </c>
      <c r="C6792" s="62" t="s">
        <v>60</v>
      </c>
      <c r="D6792" s="62" t="s">
        <v>383</v>
      </c>
      <c r="E6792" s="62" t="s">
        <v>72</v>
      </c>
      <c r="F6792" s="62" t="s">
        <v>382</v>
      </c>
      <c r="G6792" s="63" t="s">
        <v>862</v>
      </c>
      <c r="H6792" s="64" t="n">
        <v>45742376220.8148</v>
      </c>
      <c r="I6792" s="62" t="s">
        <v>81</v>
      </c>
      <c r="J6792" s="64" t="n">
        <v>45742376.2208148</v>
      </c>
      <c r="K6792" s="62" t="s">
        <v>138</v>
      </c>
      <c r="L6792" s="68" t="b">
        <f aca="false">FALSE()</f>
        <v>0</v>
      </c>
    </row>
    <row r="6793" customFormat="false" ht="15" hidden="false" customHeight="false" outlineLevel="0" collapsed="false">
      <c r="A6793" s="62" t="n">
        <v>1</v>
      </c>
      <c r="B6793" s="21" t="s">
        <v>336</v>
      </c>
      <c r="C6793" s="62" t="s">
        <v>60</v>
      </c>
      <c r="D6793" s="62" t="s">
        <v>384</v>
      </c>
      <c r="E6793" s="62" t="s">
        <v>72</v>
      </c>
      <c r="F6793" s="62" t="s">
        <v>382</v>
      </c>
      <c r="G6793" s="63" t="s">
        <v>862</v>
      </c>
      <c r="H6793" s="64" t="n">
        <v>29905392626.5264</v>
      </c>
      <c r="I6793" s="62" t="s">
        <v>81</v>
      </c>
      <c r="J6793" s="64" t="n">
        <v>29905392.6265264</v>
      </c>
      <c r="K6793" s="62" t="s">
        <v>138</v>
      </c>
      <c r="L6793" s="68" t="b">
        <f aca="false">FALSE()</f>
        <v>0</v>
      </c>
    </row>
    <row r="6794" customFormat="false" ht="15" hidden="false" customHeight="false" outlineLevel="0" collapsed="false">
      <c r="A6794" s="62" t="n">
        <v>1</v>
      </c>
      <c r="B6794" s="21" t="s">
        <v>336</v>
      </c>
      <c r="C6794" s="62" t="s">
        <v>60</v>
      </c>
      <c r="D6794" s="62" t="s">
        <v>385</v>
      </c>
      <c r="E6794" s="62" t="s">
        <v>72</v>
      </c>
      <c r="F6794" s="62" t="s">
        <v>382</v>
      </c>
      <c r="G6794" s="63" t="s">
        <v>862</v>
      </c>
      <c r="H6794" s="64" t="n">
        <v>25872243290.1108</v>
      </c>
      <c r="I6794" s="62" t="s">
        <v>81</v>
      </c>
      <c r="J6794" s="64" t="n">
        <v>25872243.2901108</v>
      </c>
      <c r="K6794" s="62" t="s">
        <v>138</v>
      </c>
      <c r="L6794" s="68" t="b">
        <f aca="false">FALSE()</f>
        <v>0</v>
      </c>
    </row>
    <row r="6795" customFormat="false" ht="15" hidden="false" customHeight="false" outlineLevel="0" collapsed="false">
      <c r="A6795" s="62" t="n">
        <v>1</v>
      </c>
      <c r="B6795" s="21" t="s">
        <v>336</v>
      </c>
      <c r="C6795" s="62" t="s">
        <v>60</v>
      </c>
      <c r="D6795" s="62" t="s">
        <v>386</v>
      </c>
      <c r="E6795" s="62" t="s">
        <v>72</v>
      </c>
      <c r="F6795" s="62" t="s">
        <v>382</v>
      </c>
      <c r="G6795" s="63" t="s">
        <v>862</v>
      </c>
      <c r="H6795" s="64" t="n">
        <v>3626483879.75681</v>
      </c>
      <c r="I6795" s="62" t="s">
        <v>81</v>
      </c>
      <c r="J6795" s="64" t="n">
        <v>3626483.87975681</v>
      </c>
      <c r="K6795" s="62" t="s">
        <v>138</v>
      </c>
      <c r="L6795" s="68" t="b">
        <f aca="false">FALSE()</f>
        <v>0</v>
      </c>
    </row>
    <row r="6796" customFormat="false" ht="15" hidden="false" customHeight="false" outlineLevel="0" collapsed="false">
      <c r="A6796" s="62" t="n">
        <v>1</v>
      </c>
      <c r="B6796" s="21" t="s">
        <v>336</v>
      </c>
      <c r="C6796" s="62" t="s">
        <v>60</v>
      </c>
      <c r="D6796" s="62" t="s">
        <v>387</v>
      </c>
      <c r="E6796" s="62" t="s">
        <v>72</v>
      </c>
      <c r="F6796" s="62" t="s">
        <v>382</v>
      </c>
      <c r="G6796" s="63" t="s">
        <v>862</v>
      </c>
      <c r="H6796" s="64" t="n">
        <v>22228458007.0204</v>
      </c>
      <c r="I6796" s="62" t="s">
        <v>81</v>
      </c>
      <c r="J6796" s="64" t="n">
        <v>22228458.0070204</v>
      </c>
      <c r="K6796" s="62" t="s">
        <v>138</v>
      </c>
      <c r="L6796" s="68" t="b">
        <f aca="false">FALSE()</f>
        <v>0</v>
      </c>
    </row>
    <row r="6797" customFormat="false" ht="15" hidden="false" customHeight="false" outlineLevel="0" collapsed="false">
      <c r="A6797" s="62" t="n">
        <v>1</v>
      </c>
      <c r="B6797" s="21" t="s">
        <v>336</v>
      </c>
      <c r="C6797" s="62" t="s">
        <v>60</v>
      </c>
      <c r="D6797" s="62" t="s">
        <v>381</v>
      </c>
      <c r="E6797" s="62" t="s">
        <v>72</v>
      </c>
      <c r="F6797" s="62" t="s">
        <v>382</v>
      </c>
      <c r="G6797" s="63" t="s">
        <v>707</v>
      </c>
      <c r="H6797" s="64" t="s">
        <v>51</v>
      </c>
      <c r="I6797" s="62" t="s">
        <v>138</v>
      </c>
      <c r="J6797" s="64" t="s">
        <v>51</v>
      </c>
      <c r="K6797" s="62" t="s">
        <v>138</v>
      </c>
      <c r="L6797" s="68" t="b">
        <f aca="false">FALSE()</f>
        <v>0</v>
      </c>
    </row>
    <row r="6798" customFormat="false" ht="15" hidden="false" customHeight="false" outlineLevel="0" collapsed="false">
      <c r="A6798" s="62" t="n">
        <v>1</v>
      </c>
      <c r="B6798" s="21" t="s">
        <v>336</v>
      </c>
      <c r="C6798" s="62" t="s">
        <v>60</v>
      </c>
      <c r="D6798" s="62" t="s">
        <v>388</v>
      </c>
      <c r="E6798" s="62" t="s">
        <v>72</v>
      </c>
      <c r="F6798" s="62" t="s">
        <v>382</v>
      </c>
      <c r="G6798" s="63" t="s">
        <v>707</v>
      </c>
      <c r="H6798" s="64" t="s">
        <v>51</v>
      </c>
      <c r="I6798" s="62" t="s">
        <v>138</v>
      </c>
      <c r="J6798" s="64" t="s">
        <v>51</v>
      </c>
      <c r="K6798" s="62" t="s">
        <v>138</v>
      </c>
      <c r="L6798" s="68" t="b">
        <f aca="false">FALSE()</f>
        <v>0</v>
      </c>
    </row>
    <row r="6799" customFormat="false" ht="15" hidden="false" customHeight="false" outlineLevel="0" collapsed="false">
      <c r="A6799" s="62" t="n">
        <v>1</v>
      </c>
      <c r="B6799" s="21" t="s">
        <v>336</v>
      </c>
      <c r="C6799" s="62" t="s">
        <v>60</v>
      </c>
      <c r="D6799" s="62" t="s">
        <v>381</v>
      </c>
      <c r="E6799" s="62" t="s">
        <v>72</v>
      </c>
      <c r="F6799" s="62" t="s">
        <v>382</v>
      </c>
      <c r="G6799" s="63" t="s">
        <v>708</v>
      </c>
      <c r="H6799" s="64" t="n">
        <v>0</v>
      </c>
      <c r="I6799" s="62" t="s">
        <v>81</v>
      </c>
      <c r="J6799" s="64" t="n">
        <v>0</v>
      </c>
      <c r="K6799" s="62" t="s">
        <v>138</v>
      </c>
      <c r="L6799" s="68" t="b">
        <f aca="false">FALSE()</f>
        <v>0</v>
      </c>
    </row>
    <row r="6800" customFormat="false" ht="15" hidden="false" customHeight="false" outlineLevel="0" collapsed="false">
      <c r="A6800" s="62" t="n">
        <v>1</v>
      </c>
      <c r="B6800" s="21" t="s">
        <v>336</v>
      </c>
      <c r="C6800" s="62" t="s">
        <v>60</v>
      </c>
      <c r="D6800" s="62" t="s">
        <v>383</v>
      </c>
      <c r="E6800" s="62" t="s">
        <v>72</v>
      </c>
      <c r="F6800" s="62" t="s">
        <v>382</v>
      </c>
      <c r="G6800" s="63" t="s">
        <v>708</v>
      </c>
      <c r="H6800" s="64" t="n">
        <v>2275201919.25694</v>
      </c>
      <c r="I6800" s="62" t="s">
        <v>81</v>
      </c>
      <c r="J6800" s="64" t="n">
        <v>2275201.91925694</v>
      </c>
      <c r="K6800" s="62" t="s">
        <v>138</v>
      </c>
      <c r="L6800" s="68" t="b">
        <f aca="false">FALSE()</f>
        <v>0</v>
      </c>
    </row>
    <row r="6801" customFormat="false" ht="15" hidden="false" customHeight="false" outlineLevel="0" collapsed="false">
      <c r="A6801" s="62" t="n">
        <v>1</v>
      </c>
      <c r="B6801" s="21" t="s">
        <v>336</v>
      </c>
      <c r="C6801" s="62" t="s">
        <v>60</v>
      </c>
      <c r="D6801" s="62" t="s">
        <v>384</v>
      </c>
      <c r="E6801" s="62" t="s">
        <v>72</v>
      </c>
      <c r="F6801" s="62" t="s">
        <v>382</v>
      </c>
      <c r="G6801" s="63" t="s">
        <v>708</v>
      </c>
      <c r="H6801" s="64" t="n">
        <v>1483273802.87521</v>
      </c>
      <c r="I6801" s="62" t="s">
        <v>81</v>
      </c>
      <c r="J6801" s="64" t="n">
        <v>1483273.80287521</v>
      </c>
      <c r="K6801" s="62" t="s">
        <v>138</v>
      </c>
      <c r="L6801" s="68" t="b">
        <f aca="false">FALSE()</f>
        <v>0</v>
      </c>
    </row>
    <row r="6802" customFormat="false" ht="15" hidden="false" customHeight="false" outlineLevel="0" collapsed="false">
      <c r="A6802" s="62" t="n">
        <v>1</v>
      </c>
      <c r="B6802" s="21" t="s">
        <v>336</v>
      </c>
      <c r="C6802" s="62" t="s">
        <v>60</v>
      </c>
      <c r="D6802" s="62" t="s">
        <v>385</v>
      </c>
      <c r="E6802" s="62" t="s">
        <v>72</v>
      </c>
      <c r="F6802" s="62" t="s">
        <v>382</v>
      </c>
      <c r="G6802" s="63" t="s">
        <v>708</v>
      </c>
      <c r="H6802" s="64" t="n">
        <v>1284433873.84082</v>
      </c>
      <c r="I6802" s="62" t="s">
        <v>81</v>
      </c>
      <c r="J6802" s="64" t="n">
        <v>1284433.87384082</v>
      </c>
      <c r="K6802" s="62" t="s">
        <v>138</v>
      </c>
      <c r="L6802" s="68" t="b">
        <f aca="false">FALSE()</f>
        <v>0</v>
      </c>
    </row>
    <row r="6803" customFormat="false" ht="15" hidden="false" customHeight="false" outlineLevel="0" collapsed="false">
      <c r="A6803" s="62" t="n">
        <v>1</v>
      </c>
      <c r="B6803" s="21" t="s">
        <v>336</v>
      </c>
      <c r="C6803" s="62" t="s">
        <v>60</v>
      </c>
      <c r="D6803" s="62" t="s">
        <v>386</v>
      </c>
      <c r="E6803" s="62" t="s">
        <v>72</v>
      </c>
      <c r="F6803" s="62" t="s">
        <v>382</v>
      </c>
      <c r="G6803" s="63" t="s">
        <v>708</v>
      </c>
      <c r="H6803" s="64" t="n">
        <v>184254154.612849</v>
      </c>
      <c r="I6803" s="62" t="s">
        <v>81</v>
      </c>
      <c r="J6803" s="64" t="n">
        <v>184254.154612849</v>
      </c>
      <c r="K6803" s="62" t="s">
        <v>138</v>
      </c>
      <c r="L6803" s="68" t="b">
        <f aca="false">FALSE()</f>
        <v>0</v>
      </c>
    </row>
    <row r="6804" customFormat="false" ht="15" hidden="false" customHeight="false" outlineLevel="0" collapsed="false">
      <c r="A6804" s="62" t="n">
        <v>1</v>
      </c>
      <c r="B6804" s="21" t="s">
        <v>336</v>
      </c>
      <c r="C6804" s="62" t="s">
        <v>60</v>
      </c>
      <c r="D6804" s="62" t="s">
        <v>387</v>
      </c>
      <c r="E6804" s="62" t="s">
        <v>72</v>
      </c>
      <c r="F6804" s="62" t="s">
        <v>382</v>
      </c>
      <c r="G6804" s="63" t="s">
        <v>708</v>
      </c>
      <c r="H6804" s="64" t="n">
        <v>1104788323.58267</v>
      </c>
      <c r="I6804" s="62" t="s">
        <v>81</v>
      </c>
      <c r="J6804" s="64" t="n">
        <v>1104788.32358267</v>
      </c>
      <c r="K6804" s="62" t="s">
        <v>138</v>
      </c>
      <c r="L6804" s="68" t="b">
        <f aca="false">FALSE()</f>
        <v>0</v>
      </c>
    </row>
    <row r="6805" customFormat="false" ht="15" hidden="false" customHeight="false" outlineLevel="0" collapsed="false">
      <c r="A6805" s="62" t="n">
        <v>1</v>
      </c>
      <c r="B6805" s="21" t="s">
        <v>336</v>
      </c>
      <c r="C6805" s="62" t="s">
        <v>60</v>
      </c>
      <c r="D6805" s="62" t="s">
        <v>388</v>
      </c>
      <c r="E6805" s="62" t="s">
        <v>72</v>
      </c>
      <c r="F6805" s="62" t="s">
        <v>382</v>
      </c>
      <c r="G6805" s="63" t="s">
        <v>708</v>
      </c>
      <c r="H6805" s="64" t="n">
        <v>0</v>
      </c>
      <c r="I6805" s="62" t="s">
        <v>81</v>
      </c>
      <c r="J6805" s="64" t="n">
        <v>0</v>
      </c>
      <c r="K6805" s="62" t="s">
        <v>138</v>
      </c>
      <c r="L6805" s="68" t="b">
        <f aca="false">FALSE()</f>
        <v>0</v>
      </c>
    </row>
    <row r="6806" customFormat="false" ht="15" hidden="false" customHeight="false" outlineLevel="0" collapsed="false">
      <c r="A6806" s="62" t="n">
        <v>1</v>
      </c>
      <c r="B6806" s="21" t="s">
        <v>336</v>
      </c>
      <c r="C6806" s="62" t="s">
        <v>60</v>
      </c>
      <c r="D6806" s="62" t="s">
        <v>383</v>
      </c>
      <c r="E6806" s="62" t="s">
        <v>72</v>
      </c>
      <c r="F6806" s="62" t="s">
        <v>382</v>
      </c>
      <c r="G6806" s="63" t="s">
        <v>863</v>
      </c>
      <c r="H6806" s="64" t="n">
        <v>39360993203.145</v>
      </c>
      <c r="I6806" s="62" t="s">
        <v>81</v>
      </c>
      <c r="J6806" s="64" t="n">
        <v>39360993.203145</v>
      </c>
      <c r="K6806" s="62" t="s">
        <v>138</v>
      </c>
      <c r="L6806" s="68" t="b">
        <f aca="false">FALSE()</f>
        <v>0</v>
      </c>
    </row>
    <row r="6807" customFormat="false" ht="15" hidden="false" customHeight="false" outlineLevel="0" collapsed="false">
      <c r="A6807" s="62" t="n">
        <v>1</v>
      </c>
      <c r="B6807" s="21" t="s">
        <v>336</v>
      </c>
      <c r="C6807" s="62" t="s">
        <v>60</v>
      </c>
      <c r="D6807" s="62" t="s">
        <v>384</v>
      </c>
      <c r="E6807" s="62" t="s">
        <v>72</v>
      </c>
      <c r="F6807" s="62" t="s">
        <v>382</v>
      </c>
      <c r="G6807" s="63" t="s">
        <v>863</v>
      </c>
      <c r="H6807" s="64" t="n">
        <v>25660636789.7412</v>
      </c>
      <c r="I6807" s="62" t="s">
        <v>81</v>
      </c>
      <c r="J6807" s="64" t="n">
        <v>25660636.7897412</v>
      </c>
      <c r="K6807" s="62" t="s">
        <v>138</v>
      </c>
      <c r="L6807" s="68" t="b">
        <f aca="false">FALSE()</f>
        <v>0</v>
      </c>
    </row>
    <row r="6808" customFormat="false" ht="15" hidden="false" customHeight="false" outlineLevel="0" collapsed="false">
      <c r="A6808" s="62" t="n">
        <v>1</v>
      </c>
      <c r="B6808" s="21" t="s">
        <v>336</v>
      </c>
      <c r="C6808" s="62" t="s">
        <v>60</v>
      </c>
      <c r="D6808" s="62" t="s">
        <v>385</v>
      </c>
      <c r="E6808" s="62" t="s">
        <v>72</v>
      </c>
      <c r="F6808" s="62" t="s">
        <v>382</v>
      </c>
      <c r="G6808" s="63" t="s">
        <v>863</v>
      </c>
      <c r="H6808" s="64" t="n">
        <v>22220706017.4462</v>
      </c>
      <c r="I6808" s="62" t="s">
        <v>81</v>
      </c>
      <c r="J6808" s="64" t="n">
        <v>22220706.0174462</v>
      </c>
      <c r="K6808" s="62" t="s">
        <v>138</v>
      </c>
      <c r="L6808" s="68" t="b">
        <f aca="false">FALSE()</f>
        <v>0</v>
      </c>
    </row>
    <row r="6809" customFormat="false" ht="15" hidden="false" customHeight="false" outlineLevel="0" collapsed="false">
      <c r="A6809" s="62" t="n">
        <v>1</v>
      </c>
      <c r="B6809" s="21" t="s">
        <v>336</v>
      </c>
      <c r="C6809" s="62" t="s">
        <v>60</v>
      </c>
      <c r="D6809" s="62" t="s">
        <v>386</v>
      </c>
      <c r="E6809" s="62" t="s">
        <v>72</v>
      </c>
      <c r="F6809" s="62" t="s">
        <v>382</v>
      </c>
      <c r="G6809" s="63" t="s">
        <v>863</v>
      </c>
      <c r="H6809" s="64" t="n">
        <v>3187596874.8023</v>
      </c>
      <c r="I6809" s="62" t="s">
        <v>81</v>
      </c>
      <c r="J6809" s="64" t="n">
        <v>3187596.8748023</v>
      </c>
      <c r="K6809" s="62" t="s">
        <v>138</v>
      </c>
      <c r="L6809" s="68" t="b">
        <f aca="false">FALSE()</f>
        <v>0</v>
      </c>
    </row>
    <row r="6810" customFormat="false" ht="15" hidden="false" customHeight="false" outlineLevel="0" collapsed="false">
      <c r="A6810" s="62" t="n">
        <v>1</v>
      </c>
      <c r="B6810" s="21" t="s">
        <v>336</v>
      </c>
      <c r="C6810" s="62" t="s">
        <v>60</v>
      </c>
      <c r="D6810" s="62" t="s">
        <v>387</v>
      </c>
      <c r="E6810" s="62" t="s">
        <v>72</v>
      </c>
      <c r="F6810" s="62" t="s">
        <v>382</v>
      </c>
      <c r="G6810" s="63" t="s">
        <v>863</v>
      </c>
      <c r="H6810" s="64" t="n">
        <v>19112837997.9801</v>
      </c>
      <c r="I6810" s="62" t="s">
        <v>81</v>
      </c>
      <c r="J6810" s="64" t="n">
        <v>19112837.9979801</v>
      </c>
      <c r="K6810" s="62" t="s">
        <v>138</v>
      </c>
      <c r="L6810" s="68" t="b">
        <f aca="false">FALSE()</f>
        <v>0</v>
      </c>
    </row>
    <row r="6811" customFormat="false" ht="15" hidden="false" customHeight="false" outlineLevel="0" collapsed="false">
      <c r="A6811" s="62" t="n">
        <v>1</v>
      </c>
      <c r="B6811" s="21" t="s">
        <v>336</v>
      </c>
      <c r="C6811" s="62" t="s">
        <v>60</v>
      </c>
      <c r="D6811" s="62" t="s">
        <v>381</v>
      </c>
      <c r="E6811" s="62" t="s">
        <v>382</v>
      </c>
      <c r="F6811" s="62" t="s">
        <v>382</v>
      </c>
      <c r="G6811" s="63" t="s">
        <v>709</v>
      </c>
      <c r="H6811" s="64" t="n">
        <v>1171409720.84677</v>
      </c>
      <c r="I6811" s="62" t="s">
        <v>81</v>
      </c>
      <c r="J6811" s="64" t="n">
        <v>1171409.72084677</v>
      </c>
      <c r="K6811" s="62" t="s">
        <v>138</v>
      </c>
      <c r="L6811" s="68" t="b">
        <f aca="false">TRUE()</f>
        <v>1</v>
      </c>
    </row>
    <row r="6812" customFormat="false" ht="15" hidden="false" customHeight="false" outlineLevel="0" collapsed="false">
      <c r="A6812" s="62" t="n">
        <v>1</v>
      </c>
      <c r="B6812" s="21" t="s">
        <v>336</v>
      </c>
      <c r="C6812" s="62" t="s">
        <v>60</v>
      </c>
      <c r="D6812" s="62" t="s">
        <v>383</v>
      </c>
      <c r="E6812" s="62" t="s">
        <v>382</v>
      </c>
      <c r="F6812" s="62" t="s">
        <v>382</v>
      </c>
      <c r="G6812" s="63" t="s">
        <v>709</v>
      </c>
      <c r="H6812" s="64" t="n">
        <v>1949894952.99213</v>
      </c>
      <c r="I6812" s="62" t="s">
        <v>81</v>
      </c>
      <c r="J6812" s="64" t="n">
        <v>1949894.95299213</v>
      </c>
      <c r="K6812" s="62" t="s">
        <v>138</v>
      </c>
      <c r="L6812" s="68" t="b">
        <f aca="false">TRUE()</f>
        <v>1</v>
      </c>
    </row>
    <row r="6813" customFormat="false" ht="15" hidden="false" customHeight="false" outlineLevel="0" collapsed="false">
      <c r="A6813" s="62" t="n">
        <v>1</v>
      </c>
      <c r="B6813" s="21" t="s">
        <v>336</v>
      </c>
      <c r="C6813" s="62" t="s">
        <v>60</v>
      </c>
      <c r="D6813" s="62" t="s">
        <v>384</v>
      </c>
      <c r="E6813" s="62" t="s">
        <v>382</v>
      </c>
      <c r="F6813" s="62" t="s">
        <v>382</v>
      </c>
      <c r="G6813" s="63" t="s">
        <v>709</v>
      </c>
      <c r="H6813" s="64" t="n">
        <v>1527273954.60889</v>
      </c>
      <c r="I6813" s="62" t="s">
        <v>81</v>
      </c>
      <c r="J6813" s="64" t="n">
        <v>1527273.95460889</v>
      </c>
      <c r="K6813" s="62" t="s">
        <v>138</v>
      </c>
      <c r="L6813" s="68" t="b">
        <f aca="false">TRUE()</f>
        <v>1</v>
      </c>
    </row>
    <row r="6814" customFormat="false" ht="15" hidden="false" customHeight="false" outlineLevel="0" collapsed="false">
      <c r="A6814" s="62" t="n">
        <v>1</v>
      </c>
      <c r="B6814" s="21" t="s">
        <v>336</v>
      </c>
      <c r="C6814" s="62" t="s">
        <v>60</v>
      </c>
      <c r="D6814" s="62" t="s">
        <v>385</v>
      </c>
      <c r="E6814" s="62" t="s">
        <v>382</v>
      </c>
      <c r="F6814" s="62" t="s">
        <v>382</v>
      </c>
      <c r="G6814" s="63" t="s">
        <v>709</v>
      </c>
      <c r="H6814" s="64" t="n">
        <v>3213477947.06875</v>
      </c>
      <c r="I6814" s="62" t="s">
        <v>81</v>
      </c>
      <c r="J6814" s="64" t="n">
        <v>3213477.94706875</v>
      </c>
      <c r="K6814" s="62" t="s">
        <v>138</v>
      </c>
      <c r="L6814" s="68" t="b">
        <f aca="false">TRUE()</f>
        <v>1</v>
      </c>
    </row>
    <row r="6815" customFormat="false" ht="15" hidden="false" customHeight="false" outlineLevel="0" collapsed="false">
      <c r="A6815" s="62" t="n">
        <v>1</v>
      </c>
      <c r="B6815" s="21" t="s">
        <v>336</v>
      </c>
      <c r="C6815" s="62" t="s">
        <v>60</v>
      </c>
      <c r="D6815" s="62" t="s">
        <v>386</v>
      </c>
      <c r="E6815" s="62" t="s">
        <v>382</v>
      </c>
      <c r="F6815" s="62" t="s">
        <v>382</v>
      </c>
      <c r="G6815" s="63" t="s">
        <v>709</v>
      </c>
      <c r="H6815" s="64" t="n">
        <v>2570449965.25821</v>
      </c>
      <c r="I6815" s="62" t="s">
        <v>81</v>
      </c>
      <c r="J6815" s="64" t="n">
        <v>2570449.96525821</v>
      </c>
      <c r="K6815" s="62" t="s">
        <v>138</v>
      </c>
      <c r="L6815" s="68" t="b">
        <f aca="false">TRUE()</f>
        <v>1</v>
      </c>
    </row>
    <row r="6816" customFormat="false" ht="15" hidden="false" customHeight="false" outlineLevel="0" collapsed="false">
      <c r="A6816" s="62" t="n">
        <v>1</v>
      </c>
      <c r="B6816" s="21" t="s">
        <v>336</v>
      </c>
      <c r="C6816" s="62" t="s">
        <v>60</v>
      </c>
      <c r="D6816" s="62" t="s">
        <v>387</v>
      </c>
      <c r="E6816" s="62" t="s">
        <v>382</v>
      </c>
      <c r="F6816" s="62" t="s">
        <v>382</v>
      </c>
      <c r="G6816" s="63" t="s">
        <v>709</v>
      </c>
      <c r="H6816" s="64" t="n">
        <v>4994235244.84604</v>
      </c>
      <c r="I6816" s="62" t="s">
        <v>81</v>
      </c>
      <c r="J6816" s="64" t="n">
        <v>4994235.24484604</v>
      </c>
      <c r="K6816" s="62" t="s">
        <v>138</v>
      </c>
      <c r="L6816" s="68" t="b">
        <f aca="false">TRUE()</f>
        <v>1</v>
      </c>
    </row>
    <row r="6817" customFormat="false" ht="15" hidden="false" customHeight="false" outlineLevel="0" collapsed="false">
      <c r="A6817" s="62" t="n">
        <v>1</v>
      </c>
      <c r="B6817" s="21" t="s">
        <v>336</v>
      </c>
      <c r="C6817" s="62" t="s">
        <v>60</v>
      </c>
      <c r="D6817" s="62" t="s">
        <v>388</v>
      </c>
      <c r="E6817" s="62" t="s">
        <v>382</v>
      </c>
      <c r="F6817" s="62" t="s">
        <v>382</v>
      </c>
      <c r="G6817" s="63" t="s">
        <v>709</v>
      </c>
      <c r="H6817" s="64" t="n">
        <v>191288213.988856</v>
      </c>
      <c r="I6817" s="62" t="s">
        <v>81</v>
      </c>
      <c r="J6817" s="64" t="n">
        <v>191288.213988856</v>
      </c>
      <c r="K6817" s="62" t="s">
        <v>138</v>
      </c>
      <c r="L6817" s="68" t="b">
        <f aca="false">TRUE()</f>
        <v>1</v>
      </c>
    </row>
    <row r="6818" customFormat="false" ht="15" hidden="false" customHeight="false" outlineLevel="0" collapsed="false">
      <c r="A6818" s="62" t="n">
        <v>1</v>
      </c>
      <c r="B6818" s="21" t="s">
        <v>336</v>
      </c>
      <c r="C6818" s="62" t="s">
        <v>60</v>
      </c>
      <c r="D6818" s="62" t="s">
        <v>381</v>
      </c>
      <c r="E6818" s="62" t="s">
        <v>382</v>
      </c>
      <c r="F6818" s="62" t="s">
        <v>382</v>
      </c>
      <c r="G6818" s="63" t="s">
        <v>710</v>
      </c>
      <c r="H6818" s="64" t="n">
        <v>1548899422.9985</v>
      </c>
      <c r="I6818" s="62" t="s">
        <v>81</v>
      </c>
      <c r="J6818" s="64" t="n">
        <v>1548899.4229985</v>
      </c>
      <c r="K6818" s="62" t="s">
        <v>138</v>
      </c>
      <c r="L6818" s="68" t="b">
        <f aca="false">TRUE()</f>
        <v>1</v>
      </c>
    </row>
    <row r="6819" customFormat="false" ht="15" hidden="false" customHeight="false" outlineLevel="0" collapsed="false">
      <c r="A6819" s="62" t="n">
        <v>1</v>
      </c>
      <c r="B6819" s="21" t="s">
        <v>336</v>
      </c>
      <c r="C6819" s="62" t="s">
        <v>60</v>
      </c>
      <c r="D6819" s="62" t="s">
        <v>383</v>
      </c>
      <c r="E6819" s="62" t="s">
        <v>382</v>
      </c>
      <c r="F6819" s="62" t="s">
        <v>382</v>
      </c>
      <c r="G6819" s="63" t="s">
        <v>710</v>
      </c>
      <c r="H6819" s="64" t="n">
        <v>422049057.288597</v>
      </c>
      <c r="I6819" s="62" t="s">
        <v>81</v>
      </c>
      <c r="J6819" s="64" t="n">
        <v>422049.057288597</v>
      </c>
      <c r="K6819" s="62" t="s">
        <v>138</v>
      </c>
      <c r="L6819" s="68" t="b">
        <f aca="false">TRUE()</f>
        <v>1</v>
      </c>
    </row>
    <row r="6820" customFormat="false" ht="15" hidden="false" customHeight="false" outlineLevel="0" collapsed="false">
      <c r="A6820" s="62" t="n">
        <v>1</v>
      </c>
      <c r="B6820" s="21" t="s">
        <v>336</v>
      </c>
      <c r="C6820" s="62" t="s">
        <v>60</v>
      </c>
      <c r="D6820" s="62" t="s">
        <v>384</v>
      </c>
      <c r="E6820" s="62" t="s">
        <v>382</v>
      </c>
      <c r="F6820" s="62" t="s">
        <v>382</v>
      </c>
      <c r="G6820" s="63" t="s">
        <v>710</v>
      </c>
      <c r="H6820" s="64" t="n">
        <v>1811994473.82468</v>
      </c>
      <c r="I6820" s="62" t="s">
        <v>81</v>
      </c>
      <c r="J6820" s="64" t="n">
        <v>1811994.47382468</v>
      </c>
      <c r="K6820" s="62" t="s">
        <v>138</v>
      </c>
      <c r="L6820" s="68" t="b">
        <f aca="false">TRUE()</f>
        <v>1</v>
      </c>
    </row>
    <row r="6821" customFormat="false" ht="15" hidden="false" customHeight="false" outlineLevel="0" collapsed="false">
      <c r="A6821" s="62" t="n">
        <v>1</v>
      </c>
      <c r="B6821" s="21" t="s">
        <v>336</v>
      </c>
      <c r="C6821" s="62" t="s">
        <v>60</v>
      </c>
      <c r="D6821" s="62" t="s">
        <v>385</v>
      </c>
      <c r="E6821" s="62" t="s">
        <v>382</v>
      </c>
      <c r="F6821" s="62" t="s">
        <v>382</v>
      </c>
      <c r="G6821" s="63" t="s">
        <v>710</v>
      </c>
      <c r="H6821" s="64" t="n">
        <v>1394189579.73629</v>
      </c>
      <c r="I6821" s="62" t="s">
        <v>81</v>
      </c>
      <c r="J6821" s="64" t="n">
        <v>1394189.57973629</v>
      </c>
      <c r="K6821" s="62" t="s">
        <v>138</v>
      </c>
      <c r="L6821" s="68" t="b">
        <f aca="false">TRUE()</f>
        <v>1</v>
      </c>
    </row>
    <row r="6822" customFormat="false" ht="15" hidden="false" customHeight="false" outlineLevel="0" collapsed="false">
      <c r="A6822" s="62" t="n">
        <v>1</v>
      </c>
      <c r="B6822" s="21" t="s">
        <v>336</v>
      </c>
      <c r="C6822" s="62" t="s">
        <v>60</v>
      </c>
      <c r="D6822" s="62" t="s">
        <v>386</v>
      </c>
      <c r="E6822" s="62" t="s">
        <v>382</v>
      </c>
      <c r="F6822" s="62" t="s">
        <v>382</v>
      </c>
      <c r="G6822" s="63" t="s">
        <v>710</v>
      </c>
      <c r="H6822" s="64" t="n">
        <v>2043696723.82883</v>
      </c>
      <c r="I6822" s="62" t="s">
        <v>81</v>
      </c>
      <c r="J6822" s="64" t="n">
        <v>2043696.72382883</v>
      </c>
      <c r="K6822" s="62" t="s">
        <v>138</v>
      </c>
      <c r="L6822" s="68" t="b">
        <f aca="false">TRUE()</f>
        <v>1</v>
      </c>
    </row>
    <row r="6823" customFormat="false" ht="15" hidden="false" customHeight="false" outlineLevel="0" collapsed="false">
      <c r="A6823" s="62" t="n">
        <v>1</v>
      </c>
      <c r="B6823" s="21" t="s">
        <v>336</v>
      </c>
      <c r="C6823" s="62" t="s">
        <v>60</v>
      </c>
      <c r="D6823" s="62" t="s">
        <v>387</v>
      </c>
      <c r="E6823" s="62" t="s">
        <v>382</v>
      </c>
      <c r="F6823" s="62" t="s">
        <v>382</v>
      </c>
      <c r="G6823" s="63" t="s">
        <v>710</v>
      </c>
      <c r="H6823" s="64" t="n">
        <v>1637713625.24983</v>
      </c>
      <c r="I6823" s="62" t="s">
        <v>81</v>
      </c>
      <c r="J6823" s="64" t="n">
        <v>1637713.62524983</v>
      </c>
      <c r="K6823" s="62" t="s">
        <v>138</v>
      </c>
      <c r="L6823" s="68" t="b">
        <f aca="false">TRUE()</f>
        <v>1</v>
      </c>
    </row>
    <row r="6824" customFormat="false" ht="15" hidden="false" customHeight="false" outlineLevel="0" collapsed="false">
      <c r="A6824" s="62" t="n">
        <v>1</v>
      </c>
      <c r="B6824" s="21" t="s">
        <v>336</v>
      </c>
      <c r="C6824" s="62" t="s">
        <v>60</v>
      </c>
      <c r="D6824" s="62" t="s">
        <v>388</v>
      </c>
      <c r="E6824" s="62" t="s">
        <v>382</v>
      </c>
      <c r="F6824" s="62" t="s">
        <v>382</v>
      </c>
      <c r="G6824" s="63" t="s">
        <v>710</v>
      </c>
      <c r="H6824" s="64" t="n">
        <v>419559088.187989</v>
      </c>
      <c r="I6824" s="62" t="s">
        <v>81</v>
      </c>
      <c r="J6824" s="64" t="n">
        <v>419559.088187989</v>
      </c>
      <c r="K6824" s="62" t="s">
        <v>138</v>
      </c>
      <c r="L6824" s="68" t="b">
        <f aca="false">TRUE()</f>
        <v>1</v>
      </c>
    </row>
    <row r="6825" customFormat="false" ht="15" hidden="false" customHeight="false" outlineLevel="0" collapsed="false">
      <c r="A6825" s="62" t="n">
        <v>1</v>
      </c>
      <c r="B6825" s="21" t="s">
        <v>336</v>
      </c>
      <c r="C6825" s="62" t="s">
        <v>60</v>
      </c>
      <c r="D6825" s="62" t="s">
        <v>381</v>
      </c>
      <c r="E6825" s="62" t="s">
        <v>382</v>
      </c>
      <c r="F6825" s="62" t="s">
        <v>382</v>
      </c>
      <c r="G6825" s="63" t="s">
        <v>711</v>
      </c>
      <c r="H6825" s="64" t="n">
        <v>889027330.435643</v>
      </c>
      <c r="I6825" s="62" t="s">
        <v>81</v>
      </c>
      <c r="J6825" s="64" t="n">
        <v>889027.330435643</v>
      </c>
      <c r="K6825" s="62" t="s">
        <v>138</v>
      </c>
      <c r="L6825" s="68" t="b">
        <f aca="false">TRUE()</f>
        <v>1</v>
      </c>
    </row>
    <row r="6826" customFormat="false" ht="15" hidden="false" customHeight="false" outlineLevel="0" collapsed="false">
      <c r="A6826" s="62" t="n">
        <v>1</v>
      </c>
      <c r="B6826" s="21" t="s">
        <v>336</v>
      </c>
      <c r="C6826" s="62" t="s">
        <v>60</v>
      </c>
      <c r="D6826" s="62" t="s">
        <v>383</v>
      </c>
      <c r="E6826" s="62" t="s">
        <v>382</v>
      </c>
      <c r="F6826" s="62" t="s">
        <v>382</v>
      </c>
      <c r="G6826" s="63" t="s">
        <v>711</v>
      </c>
      <c r="H6826" s="64" t="n">
        <v>10161501592.9568</v>
      </c>
      <c r="I6826" s="62" t="s">
        <v>81</v>
      </c>
      <c r="J6826" s="64" t="n">
        <v>10161501.5929568</v>
      </c>
      <c r="K6826" s="62" t="s">
        <v>138</v>
      </c>
      <c r="L6826" s="68" t="b">
        <f aca="false">TRUE()</f>
        <v>1</v>
      </c>
    </row>
    <row r="6827" customFormat="false" ht="15" hidden="false" customHeight="false" outlineLevel="0" collapsed="false">
      <c r="A6827" s="62" t="n">
        <v>1</v>
      </c>
      <c r="B6827" s="21" t="s">
        <v>336</v>
      </c>
      <c r="C6827" s="62" t="s">
        <v>60</v>
      </c>
      <c r="D6827" s="62" t="s">
        <v>384</v>
      </c>
      <c r="E6827" s="62" t="s">
        <v>382</v>
      </c>
      <c r="F6827" s="62" t="s">
        <v>382</v>
      </c>
      <c r="G6827" s="63" t="s">
        <v>711</v>
      </c>
      <c r="H6827" s="64" t="n">
        <v>6628463088.91696</v>
      </c>
      <c r="I6827" s="62" t="s">
        <v>81</v>
      </c>
      <c r="J6827" s="64" t="n">
        <v>6628463.08891696</v>
      </c>
      <c r="K6827" s="62" t="s">
        <v>138</v>
      </c>
      <c r="L6827" s="68" t="b">
        <f aca="false">TRUE()</f>
        <v>1</v>
      </c>
    </row>
    <row r="6828" customFormat="false" ht="15" hidden="false" customHeight="false" outlineLevel="0" collapsed="false">
      <c r="A6828" s="62" t="n">
        <v>1</v>
      </c>
      <c r="B6828" s="21" t="s">
        <v>336</v>
      </c>
      <c r="C6828" s="62" t="s">
        <v>60</v>
      </c>
      <c r="D6828" s="62" t="s">
        <v>385</v>
      </c>
      <c r="E6828" s="62" t="s">
        <v>382</v>
      </c>
      <c r="F6828" s="62" t="s">
        <v>382</v>
      </c>
      <c r="G6828" s="63" t="s">
        <v>711</v>
      </c>
      <c r="H6828" s="64" t="n">
        <v>2172664958.15994</v>
      </c>
      <c r="I6828" s="62" t="s">
        <v>81</v>
      </c>
      <c r="J6828" s="64" t="n">
        <v>2172664.95815994</v>
      </c>
      <c r="K6828" s="62" t="s">
        <v>138</v>
      </c>
      <c r="L6828" s="68" t="b">
        <f aca="false">TRUE()</f>
        <v>1</v>
      </c>
    </row>
    <row r="6829" customFormat="false" ht="15" hidden="false" customHeight="false" outlineLevel="0" collapsed="false">
      <c r="A6829" s="62" t="n">
        <v>1</v>
      </c>
      <c r="B6829" s="21" t="s">
        <v>336</v>
      </c>
      <c r="C6829" s="62" t="s">
        <v>60</v>
      </c>
      <c r="D6829" s="62" t="s">
        <v>386</v>
      </c>
      <c r="E6829" s="62" t="s">
        <v>382</v>
      </c>
      <c r="F6829" s="62" t="s">
        <v>382</v>
      </c>
      <c r="G6829" s="63" t="s">
        <v>711</v>
      </c>
      <c r="H6829" s="64" t="n">
        <v>1071734265.37857</v>
      </c>
      <c r="I6829" s="62" t="s">
        <v>81</v>
      </c>
      <c r="J6829" s="64" t="n">
        <v>1071734.26537857</v>
      </c>
      <c r="K6829" s="62" t="s">
        <v>138</v>
      </c>
      <c r="L6829" s="68" t="b">
        <f aca="false">TRUE()</f>
        <v>1</v>
      </c>
    </row>
    <row r="6830" customFormat="false" ht="15" hidden="false" customHeight="false" outlineLevel="0" collapsed="false">
      <c r="A6830" s="62" t="n">
        <v>1</v>
      </c>
      <c r="B6830" s="21" t="s">
        <v>336</v>
      </c>
      <c r="C6830" s="62" t="s">
        <v>60</v>
      </c>
      <c r="D6830" s="62" t="s">
        <v>387</v>
      </c>
      <c r="E6830" s="62" t="s">
        <v>382</v>
      </c>
      <c r="F6830" s="62" t="s">
        <v>382</v>
      </c>
      <c r="G6830" s="63" t="s">
        <v>711</v>
      </c>
      <c r="H6830" s="64" t="n">
        <v>549293867.918068</v>
      </c>
      <c r="I6830" s="62" t="s">
        <v>81</v>
      </c>
      <c r="J6830" s="64" t="n">
        <v>549293.867918068</v>
      </c>
      <c r="K6830" s="62" t="s">
        <v>138</v>
      </c>
      <c r="L6830" s="68" t="b">
        <f aca="false">TRUE()</f>
        <v>1</v>
      </c>
    </row>
    <row r="6831" customFormat="false" ht="15" hidden="false" customHeight="false" outlineLevel="0" collapsed="false">
      <c r="A6831" s="62" t="n">
        <v>1</v>
      </c>
      <c r="B6831" s="21" t="s">
        <v>336</v>
      </c>
      <c r="C6831" s="62" t="s">
        <v>60</v>
      </c>
      <c r="D6831" s="62" t="s">
        <v>388</v>
      </c>
      <c r="E6831" s="62" t="s">
        <v>382</v>
      </c>
      <c r="F6831" s="62" t="s">
        <v>382</v>
      </c>
      <c r="G6831" s="63" t="s">
        <v>711</v>
      </c>
      <c r="H6831" s="64" t="n">
        <v>-556913575.173436</v>
      </c>
      <c r="I6831" s="62" t="s">
        <v>81</v>
      </c>
      <c r="J6831" s="64" t="n">
        <v>-556913.575173436</v>
      </c>
      <c r="K6831" s="62" t="s">
        <v>138</v>
      </c>
      <c r="L6831" s="68" t="b">
        <f aca="false">TRUE()</f>
        <v>1</v>
      </c>
    </row>
    <row r="6832" customFormat="false" ht="15" hidden="false" customHeight="false" outlineLevel="0" collapsed="false">
      <c r="A6832" s="62" t="n">
        <v>1</v>
      </c>
      <c r="B6832" s="21" t="s">
        <v>336</v>
      </c>
      <c r="C6832" s="62" t="s">
        <v>60</v>
      </c>
      <c r="D6832" s="62" t="s">
        <v>381</v>
      </c>
      <c r="E6832" s="62" t="s">
        <v>382</v>
      </c>
      <c r="F6832" s="62" t="s">
        <v>382</v>
      </c>
      <c r="G6832" s="63" t="s">
        <v>712</v>
      </c>
      <c r="H6832" s="64" t="n">
        <v>3609336474.28092</v>
      </c>
      <c r="I6832" s="62" t="s">
        <v>81</v>
      </c>
      <c r="J6832" s="64" t="n">
        <v>3609336.47428092</v>
      </c>
      <c r="K6832" s="62" t="s">
        <v>138</v>
      </c>
      <c r="L6832" s="68" t="b">
        <f aca="false">FALSE()</f>
        <v>0</v>
      </c>
    </row>
    <row r="6833" customFormat="false" ht="15" hidden="false" customHeight="false" outlineLevel="0" collapsed="false">
      <c r="A6833" s="62" t="n">
        <v>1</v>
      </c>
      <c r="B6833" s="21" t="s">
        <v>336</v>
      </c>
      <c r="C6833" s="62" t="s">
        <v>60</v>
      </c>
      <c r="D6833" s="62" t="s">
        <v>383</v>
      </c>
      <c r="E6833" s="62" t="s">
        <v>382</v>
      </c>
      <c r="F6833" s="62" t="s">
        <v>382</v>
      </c>
      <c r="G6833" s="63" t="s">
        <v>712</v>
      </c>
      <c r="H6833" s="64" t="n">
        <v>12533445603.2376</v>
      </c>
      <c r="I6833" s="62" t="s">
        <v>81</v>
      </c>
      <c r="J6833" s="64" t="n">
        <v>12533445.6032376</v>
      </c>
      <c r="K6833" s="62" t="s">
        <v>138</v>
      </c>
      <c r="L6833" s="68" t="b">
        <f aca="false">FALSE()</f>
        <v>0</v>
      </c>
    </row>
    <row r="6834" customFormat="false" ht="15" hidden="false" customHeight="false" outlineLevel="0" collapsed="false">
      <c r="A6834" s="62" t="n">
        <v>1</v>
      </c>
      <c r="B6834" s="21" t="s">
        <v>336</v>
      </c>
      <c r="C6834" s="62" t="s">
        <v>60</v>
      </c>
      <c r="D6834" s="62" t="s">
        <v>384</v>
      </c>
      <c r="E6834" s="62" t="s">
        <v>382</v>
      </c>
      <c r="F6834" s="62" t="s">
        <v>382</v>
      </c>
      <c r="G6834" s="63" t="s">
        <v>712</v>
      </c>
      <c r="H6834" s="64" t="n">
        <v>9967731517.35053</v>
      </c>
      <c r="I6834" s="62" t="s">
        <v>81</v>
      </c>
      <c r="J6834" s="64" t="n">
        <v>9967731.51735053</v>
      </c>
      <c r="K6834" s="62" t="s">
        <v>138</v>
      </c>
      <c r="L6834" s="68" t="b">
        <f aca="false">FALSE()</f>
        <v>0</v>
      </c>
    </row>
    <row r="6835" customFormat="false" ht="15" hidden="false" customHeight="false" outlineLevel="0" collapsed="false">
      <c r="A6835" s="62" t="n">
        <v>1</v>
      </c>
      <c r="B6835" s="21" t="s">
        <v>336</v>
      </c>
      <c r="C6835" s="62" t="s">
        <v>60</v>
      </c>
      <c r="D6835" s="62" t="s">
        <v>385</v>
      </c>
      <c r="E6835" s="62" t="s">
        <v>382</v>
      </c>
      <c r="F6835" s="62" t="s">
        <v>382</v>
      </c>
      <c r="G6835" s="63" t="s">
        <v>712</v>
      </c>
      <c r="H6835" s="64" t="n">
        <v>6780332484.96499</v>
      </c>
      <c r="I6835" s="62" t="s">
        <v>81</v>
      </c>
      <c r="J6835" s="64" t="n">
        <v>6780332.48496499</v>
      </c>
      <c r="K6835" s="62" t="s">
        <v>138</v>
      </c>
      <c r="L6835" s="68" t="b">
        <f aca="false">FALSE()</f>
        <v>0</v>
      </c>
    </row>
    <row r="6836" customFormat="false" ht="15" hidden="false" customHeight="false" outlineLevel="0" collapsed="false">
      <c r="A6836" s="62" t="n">
        <v>1</v>
      </c>
      <c r="B6836" s="21" t="s">
        <v>336</v>
      </c>
      <c r="C6836" s="62" t="s">
        <v>60</v>
      </c>
      <c r="D6836" s="62" t="s">
        <v>386</v>
      </c>
      <c r="E6836" s="62" t="s">
        <v>382</v>
      </c>
      <c r="F6836" s="62" t="s">
        <v>382</v>
      </c>
      <c r="G6836" s="63" t="s">
        <v>712</v>
      </c>
      <c r="H6836" s="64" t="n">
        <v>5685880954.4656</v>
      </c>
      <c r="I6836" s="62" t="s">
        <v>81</v>
      </c>
      <c r="J6836" s="64" t="n">
        <v>5685880.9544656</v>
      </c>
      <c r="K6836" s="62" t="s">
        <v>138</v>
      </c>
      <c r="L6836" s="68" t="b">
        <f aca="false">FALSE()</f>
        <v>0</v>
      </c>
    </row>
    <row r="6837" customFormat="false" ht="15" hidden="false" customHeight="false" outlineLevel="0" collapsed="false">
      <c r="A6837" s="62" t="n">
        <v>1</v>
      </c>
      <c r="B6837" s="21" t="s">
        <v>336</v>
      </c>
      <c r="C6837" s="62" t="s">
        <v>60</v>
      </c>
      <c r="D6837" s="62" t="s">
        <v>387</v>
      </c>
      <c r="E6837" s="62" t="s">
        <v>382</v>
      </c>
      <c r="F6837" s="62" t="s">
        <v>382</v>
      </c>
      <c r="G6837" s="63" t="s">
        <v>712</v>
      </c>
      <c r="H6837" s="64" t="n">
        <v>7181242738.01393</v>
      </c>
      <c r="I6837" s="62" t="s">
        <v>81</v>
      </c>
      <c r="J6837" s="64" t="n">
        <v>7181242.73801393</v>
      </c>
      <c r="K6837" s="62" t="s">
        <v>138</v>
      </c>
      <c r="L6837" s="68" t="b">
        <f aca="false">FALSE()</f>
        <v>0</v>
      </c>
    </row>
    <row r="6838" customFormat="false" ht="15" hidden="false" customHeight="false" outlineLevel="0" collapsed="false">
      <c r="A6838" s="62" t="n">
        <v>1</v>
      </c>
      <c r="B6838" s="21" t="s">
        <v>336</v>
      </c>
      <c r="C6838" s="62" t="s">
        <v>60</v>
      </c>
      <c r="D6838" s="62" t="s">
        <v>388</v>
      </c>
      <c r="E6838" s="62" t="s">
        <v>382</v>
      </c>
      <c r="F6838" s="62" t="s">
        <v>382</v>
      </c>
      <c r="G6838" s="63" t="s">
        <v>712</v>
      </c>
      <c r="H6838" s="64" t="n">
        <v>53933727.0034088</v>
      </c>
      <c r="I6838" s="62" t="s">
        <v>81</v>
      </c>
      <c r="J6838" s="64" t="n">
        <v>53933.7270034088</v>
      </c>
      <c r="K6838" s="62" t="s">
        <v>138</v>
      </c>
      <c r="L6838" s="68" t="b">
        <f aca="false">FALSE()</f>
        <v>0</v>
      </c>
    </row>
    <row r="6839" customFormat="false" ht="15" hidden="false" customHeight="false" outlineLevel="0" collapsed="false">
      <c r="A6839" s="62" t="n">
        <v>1</v>
      </c>
      <c r="B6839" s="21" t="s">
        <v>336</v>
      </c>
      <c r="C6839" s="62" t="s">
        <v>60</v>
      </c>
      <c r="D6839" s="62" t="s">
        <v>381</v>
      </c>
      <c r="E6839" s="62" t="s">
        <v>382</v>
      </c>
      <c r="F6839" s="62" t="s">
        <v>382</v>
      </c>
      <c r="G6839" s="63" t="s">
        <v>713</v>
      </c>
      <c r="H6839" s="64" t="n">
        <v>453584115.025126</v>
      </c>
      <c r="I6839" s="62" t="s">
        <v>81</v>
      </c>
      <c r="J6839" s="64" t="n">
        <v>453584.115025126</v>
      </c>
      <c r="K6839" s="62" t="s">
        <v>138</v>
      </c>
      <c r="L6839" s="68" t="b">
        <f aca="false">TRUE()</f>
        <v>1</v>
      </c>
    </row>
    <row r="6840" customFormat="false" ht="15" hidden="false" customHeight="false" outlineLevel="0" collapsed="false">
      <c r="A6840" s="62" t="n">
        <v>1</v>
      </c>
      <c r="B6840" s="21" t="s">
        <v>336</v>
      </c>
      <c r="C6840" s="62" t="s">
        <v>60</v>
      </c>
      <c r="D6840" s="62" t="s">
        <v>383</v>
      </c>
      <c r="E6840" s="62" t="s">
        <v>382</v>
      </c>
      <c r="F6840" s="62" t="s">
        <v>382</v>
      </c>
      <c r="G6840" s="63" t="s">
        <v>713</v>
      </c>
      <c r="H6840" s="64" t="n">
        <v>285504102.94371</v>
      </c>
      <c r="I6840" s="62" t="s">
        <v>81</v>
      </c>
      <c r="J6840" s="64" t="n">
        <v>285504.10294371</v>
      </c>
      <c r="K6840" s="62" t="s">
        <v>138</v>
      </c>
      <c r="L6840" s="68" t="b">
        <f aca="false">TRUE()</f>
        <v>1</v>
      </c>
    </row>
    <row r="6841" customFormat="false" ht="15" hidden="false" customHeight="false" outlineLevel="0" collapsed="false">
      <c r="A6841" s="62" t="n">
        <v>1</v>
      </c>
      <c r="B6841" s="21" t="s">
        <v>336</v>
      </c>
      <c r="C6841" s="62" t="s">
        <v>60</v>
      </c>
      <c r="D6841" s="62" t="s">
        <v>384</v>
      </c>
      <c r="E6841" s="62" t="s">
        <v>382</v>
      </c>
      <c r="F6841" s="62" t="s">
        <v>382</v>
      </c>
      <c r="G6841" s="63" t="s">
        <v>713</v>
      </c>
      <c r="H6841" s="64" t="n">
        <v>265023478.648551</v>
      </c>
      <c r="I6841" s="62" t="s">
        <v>81</v>
      </c>
      <c r="J6841" s="64" t="n">
        <v>265023.478648551</v>
      </c>
      <c r="K6841" s="62" t="s">
        <v>138</v>
      </c>
      <c r="L6841" s="68" t="b">
        <f aca="false">TRUE()</f>
        <v>1</v>
      </c>
    </row>
    <row r="6842" customFormat="false" ht="15" hidden="false" customHeight="false" outlineLevel="0" collapsed="false">
      <c r="A6842" s="62" t="n">
        <v>1</v>
      </c>
      <c r="B6842" s="21" t="s">
        <v>336</v>
      </c>
      <c r="C6842" s="62" t="s">
        <v>60</v>
      </c>
      <c r="D6842" s="62" t="s">
        <v>385</v>
      </c>
      <c r="E6842" s="62" t="s">
        <v>382</v>
      </c>
      <c r="F6842" s="62" t="s">
        <v>382</v>
      </c>
      <c r="G6842" s="63" t="s">
        <v>713</v>
      </c>
      <c r="H6842" s="64" t="n">
        <v>256303605.687244</v>
      </c>
      <c r="I6842" s="62" t="s">
        <v>81</v>
      </c>
      <c r="J6842" s="64" t="n">
        <v>256303.605687244</v>
      </c>
      <c r="K6842" s="62" t="s">
        <v>138</v>
      </c>
      <c r="L6842" s="68" t="b">
        <f aca="false">TRUE()</f>
        <v>1</v>
      </c>
    </row>
    <row r="6843" customFormat="false" ht="15" hidden="false" customHeight="false" outlineLevel="0" collapsed="false">
      <c r="A6843" s="62" t="n">
        <v>1</v>
      </c>
      <c r="B6843" s="21" t="s">
        <v>336</v>
      </c>
      <c r="C6843" s="62" t="s">
        <v>60</v>
      </c>
      <c r="D6843" s="62" t="s">
        <v>386</v>
      </c>
      <c r="E6843" s="62" t="s">
        <v>382</v>
      </c>
      <c r="F6843" s="62" t="s">
        <v>382</v>
      </c>
      <c r="G6843" s="63" t="s">
        <v>713</v>
      </c>
      <c r="H6843" s="64" t="n">
        <v>249237759.523399</v>
      </c>
      <c r="I6843" s="62" t="s">
        <v>81</v>
      </c>
      <c r="J6843" s="64" t="n">
        <v>249237.759523399</v>
      </c>
      <c r="K6843" s="62" t="s">
        <v>138</v>
      </c>
      <c r="L6843" s="68" t="b">
        <f aca="false">TRUE()</f>
        <v>1</v>
      </c>
    </row>
    <row r="6844" customFormat="false" ht="15" hidden="false" customHeight="false" outlineLevel="0" collapsed="false">
      <c r="A6844" s="62" t="n">
        <v>1</v>
      </c>
      <c r="B6844" s="21" t="s">
        <v>336</v>
      </c>
      <c r="C6844" s="62" t="s">
        <v>60</v>
      </c>
      <c r="D6844" s="62" t="s">
        <v>387</v>
      </c>
      <c r="E6844" s="62" t="s">
        <v>382</v>
      </c>
      <c r="F6844" s="62" t="s">
        <v>382</v>
      </c>
      <c r="G6844" s="63" t="s">
        <v>713</v>
      </c>
      <c r="H6844" s="64" t="n">
        <v>403944478.547804</v>
      </c>
      <c r="I6844" s="62" t="s">
        <v>81</v>
      </c>
      <c r="J6844" s="64" t="n">
        <v>403944.478547804</v>
      </c>
      <c r="K6844" s="62" t="s">
        <v>138</v>
      </c>
      <c r="L6844" s="68" t="b">
        <f aca="false">TRUE()</f>
        <v>1</v>
      </c>
    </row>
    <row r="6845" customFormat="false" ht="15" hidden="false" customHeight="false" outlineLevel="0" collapsed="false">
      <c r="A6845" s="62" t="n">
        <v>1</v>
      </c>
      <c r="B6845" s="21" t="s">
        <v>336</v>
      </c>
      <c r="C6845" s="62" t="s">
        <v>60</v>
      </c>
      <c r="D6845" s="62" t="s">
        <v>388</v>
      </c>
      <c r="E6845" s="62" t="s">
        <v>382</v>
      </c>
      <c r="F6845" s="62" t="s">
        <v>382</v>
      </c>
      <c r="G6845" s="63" t="s">
        <v>713</v>
      </c>
      <c r="H6845" s="64" t="n">
        <v>741827150.148787</v>
      </c>
      <c r="I6845" s="62" t="s">
        <v>81</v>
      </c>
      <c r="J6845" s="64" t="n">
        <v>741827.150148787</v>
      </c>
      <c r="K6845" s="62" t="s">
        <v>138</v>
      </c>
      <c r="L6845" s="68" t="b">
        <f aca="false">TRUE()</f>
        <v>1</v>
      </c>
    </row>
    <row r="6846" customFormat="false" ht="15" hidden="false" customHeight="false" outlineLevel="0" collapsed="false">
      <c r="A6846" s="62" t="n">
        <v>1</v>
      </c>
      <c r="B6846" s="21" t="s">
        <v>336</v>
      </c>
      <c r="C6846" s="62" t="s">
        <v>60</v>
      </c>
      <c r="D6846" s="62" t="s">
        <v>381</v>
      </c>
      <c r="E6846" s="62" t="s">
        <v>382</v>
      </c>
      <c r="F6846" s="62" t="s">
        <v>382</v>
      </c>
      <c r="G6846" s="63" t="s">
        <v>714</v>
      </c>
      <c r="H6846" s="64" t="n">
        <v>-72726647.1917144</v>
      </c>
      <c r="I6846" s="62" t="s">
        <v>81</v>
      </c>
      <c r="J6846" s="64" t="n">
        <v>-72726.6471917144</v>
      </c>
      <c r="K6846" s="62" t="s">
        <v>138</v>
      </c>
      <c r="L6846" s="68" t="b">
        <f aca="false">TRUE()</f>
        <v>1</v>
      </c>
    </row>
    <row r="6847" customFormat="false" ht="15" hidden="false" customHeight="false" outlineLevel="0" collapsed="false">
      <c r="A6847" s="62" t="n">
        <v>1</v>
      </c>
      <c r="B6847" s="21" t="s">
        <v>336</v>
      </c>
      <c r="C6847" s="62" t="s">
        <v>60</v>
      </c>
      <c r="D6847" s="62" t="s">
        <v>383</v>
      </c>
      <c r="E6847" s="62" t="s">
        <v>382</v>
      </c>
      <c r="F6847" s="62" t="s">
        <v>382</v>
      </c>
      <c r="G6847" s="63" t="s">
        <v>714</v>
      </c>
      <c r="H6847" s="64" t="n">
        <v>-278203037.917341</v>
      </c>
      <c r="I6847" s="62" t="s">
        <v>81</v>
      </c>
      <c r="J6847" s="64" t="n">
        <v>-278203.037917341</v>
      </c>
      <c r="K6847" s="62" t="s">
        <v>138</v>
      </c>
      <c r="L6847" s="68" t="b">
        <f aca="false">TRUE()</f>
        <v>1</v>
      </c>
    </row>
    <row r="6848" customFormat="false" ht="15" hidden="false" customHeight="false" outlineLevel="0" collapsed="false">
      <c r="A6848" s="62" t="n">
        <v>1</v>
      </c>
      <c r="B6848" s="21" t="s">
        <v>336</v>
      </c>
      <c r="C6848" s="62" t="s">
        <v>60</v>
      </c>
      <c r="D6848" s="62" t="s">
        <v>384</v>
      </c>
      <c r="E6848" s="62" t="s">
        <v>382</v>
      </c>
      <c r="F6848" s="62" t="s">
        <v>382</v>
      </c>
      <c r="G6848" s="63" t="s">
        <v>714</v>
      </c>
      <c r="H6848" s="64" t="n">
        <v>-170366489.876681</v>
      </c>
      <c r="I6848" s="62" t="s">
        <v>81</v>
      </c>
      <c r="J6848" s="64" t="n">
        <v>-170366.489876681</v>
      </c>
      <c r="K6848" s="62" t="s">
        <v>138</v>
      </c>
      <c r="L6848" s="68" t="b">
        <f aca="false">TRUE()</f>
        <v>1</v>
      </c>
    </row>
    <row r="6849" customFormat="false" ht="15" hidden="false" customHeight="false" outlineLevel="0" collapsed="false">
      <c r="A6849" s="62" t="n">
        <v>1</v>
      </c>
      <c r="B6849" s="21" t="s">
        <v>336</v>
      </c>
      <c r="C6849" s="62" t="s">
        <v>60</v>
      </c>
      <c r="D6849" s="62" t="s">
        <v>385</v>
      </c>
      <c r="E6849" s="62" t="s">
        <v>382</v>
      </c>
      <c r="F6849" s="62" t="s">
        <v>382</v>
      </c>
      <c r="G6849" s="63" t="s">
        <v>714</v>
      </c>
      <c r="H6849" s="64" t="n">
        <v>-65206995.0914953</v>
      </c>
      <c r="I6849" s="62" t="s">
        <v>81</v>
      </c>
      <c r="J6849" s="64" t="n">
        <v>-65206.9950914953</v>
      </c>
      <c r="K6849" s="62" t="s">
        <v>138</v>
      </c>
      <c r="L6849" s="68" t="b">
        <f aca="false">TRUE()</f>
        <v>1</v>
      </c>
    </row>
    <row r="6850" customFormat="false" ht="15" hidden="false" customHeight="false" outlineLevel="0" collapsed="false">
      <c r="A6850" s="62" t="n">
        <v>1</v>
      </c>
      <c r="B6850" s="21" t="s">
        <v>336</v>
      </c>
      <c r="C6850" s="62" t="s">
        <v>60</v>
      </c>
      <c r="D6850" s="62" t="s">
        <v>386</v>
      </c>
      <c r="E6850" s="62" t="s">
        <v>382</v>
      </c>
      <c r="F6850" s="62" t="s">
        <v>382</v>
      </c>
      <c r="G6850" s="63" t="s">
        <v>714</v>
      </c>
      <c r="H6850" s="64" t="n">
        <v>-114172818.497491</v>
      </c>
      <c r="I6850" s="62" t="s">
        <v>81</v>
      </c>
      <c r="J6850" s="64" t="n">
        <v>-114172.818497491</v>
      </c>
      <c r="K6850" s="62" t="s">
        <v>138</v>
      </c>
      <c r="L6850" s="68" t="b">
        <f aca="false">TRUE()</f>
        <v>1</v>
      </c>
    </row>
    <row r="6851" customFormat="false" ht="15" hidden="false" customHeight="false" outlineLevel="0" collapsed="false">
      <c r="A6851" s="62" t="n">
        <v>1</v>
      </c>
      <c r="B6851" s="21" t="s">
        <v>336</v>
      </c>
      <c r="C6851" s="62" t="s">
        <v>60</v>
      </c>
      <c r="D6851" s="62" t="s">
        <v>387</v>
      </c>
      <c r="E6851" s="62" t="s">
        <v>382</v>
      </c>
      <c r="F6851" s="62" t="s">
        <v>382</v>
      </c>
      <c r="G6851" s="63" t="s">
        <v>714</v>
      </c>
      <c r="H6851" s="64" t="n">
        <v>-319484473.488123</v>
      </c>
      <c r="I6851" s="62" t="s">
        <v>81</v>
      </c>
      <c r="J6851" s="64" t="n">
        <v>-319484.473488123</v>
      </c>
      <c r="K6851" s="62" t="s">
        <v>138</v>
      </c>
      <c r="L6851" s="68" t="b">
        <f aca="false">TRUE()</f>
        <v>1</v>
      </c>
    </row>
    <row r="6852" customFormat="false" ht="15" hidden="false" customHeight="false" outlineLevel="0" collapsed="false">
      <c r="A6852" s="62" t="n">
        <v>1</v>
      </c>
      <c r="B6852" s="21" t="s">
        <v>336</v>
      </c>
      <c r="C6852" s="62" t="s">
        <v>60</v>
      </c>
      <c r="D6852" s="62" t="s">
        <v>388</v>
      </c>
      <c r="E6852" s="62" t="s">
        <v>382</v>
      </c>
      <c r="F6852" s="62" t="s">
        <v>382</v>
      </c>
      <c r="G6852" s="63" t="s">
        <v>714</v>
      </c>
      <c r="H6852" s="64" t="n">
        <v>-83100002.8325305</v>
      </c>
      <c r="I6852" s="62" t="s">
        <v>81</v>
      </c>
      <c r="J6852" s="64" t="n">
        <v>-83100.0028325305</v>
      </c>
      <c r="K6852" s="62" t="s">
        <v>138</v>
      </c>
      <c r="L6852" s="68" t="b">
        <f aca="false">TRUE()</f>
        <v>1</v>
      </c>
    </row>
    <row r="6853" customFormat="false" ht="15" hidden="false" customHeight="false" outlineLevel="0" collapsed="false">
      <c r="A6853" s="62" t="n">
        <v>1</v>
      </c>
      <c r="B6853" s="21" t="s">
        <v>336</v>
      </c>
      <c r="C6853" s="62" t="s">
        <v>60</v>
      </c>
      <c r="D6853" s="62" t="s">
        <v>381</v>
      </c>
      <c r="E6853" s="62" t="s">
        <v>382</v>
      </c>
      <c r="F6853" s="62" t="s">
        <v>382</v>
      </c>
      <c r="G6853" s="63" t="s">
        <v>715</v>
      </c>
      <c r="H6853" s="64" t="n">
        <v>-43304005.8154871</v>
      </c>
      <c r="I6853" s="62" t="s">
        <v>81</v>
      </c>
      <c r="J6853" s="64" t="n">
        <v>-43304.0058154871</v>
      </c>
      <c r="K6853" s="62" t="s">
        <v>138</v>
      </c>
      <c r="L6853" s="68" t="b">
        <f aca="false">TRUE()</f>
        <v>1</v>
      </c>
    </row>
    <row r="6854" customFormat="false" ht="15" hidden="false" customHeight="false" outlineLevel="0" collapsed="false">
      <c r="A6854" s="62" t="n">
        <v>1</v>
      </c>
      <c r="B6854" s="21" t="s">
        <v>336</v>
      </c>
      <c r="C6854" s="62" t="s">
        <v>60</v>
      </c>
      <c r="D6854" s="62" t="s">
        <v>383</v>
      </c>
      <c r="E6854" s="62" t="s">
        <v>382</v>
      </c>
      <c r="F6854" s="62" t="s">
        <v>382</v>
      </c>
      <c r="G6854" s="63" t="s">
        <v>715</v>
      </c>
      <c r="H6854" s="64" t="n">
        <v>-76475866.7707171</v>
      </c>
      <c r="I6854" s="62" t="s">
        <v>81</v>
      </c>
      <c r="J6854" s="64" t="n">
        <v>-76475.8667707171</v>
      </c>
      <c r="K6854" s="62" t="s">
        <v>138</v>
      </c>
      <c r="L6854" s="68" t="b">
        <f aca="false">TRUE()</f>
        <v>1</v>
      </c>
    </row>
    <row r="6855" customFormat="false" ht="15" hidden="false" customHeight="false" outlineLevel="0" collapsed="false">
      <c r="A6855" s="62" t="n">
        <v>1</v>
      </c>
      <c r="B6855" s="21" t="s">
        <v>336</v>
      </c>
      <c r="C6855" s="62" t="s">
        <v>60</v>
      </c>
      <c r="D6855" s="62" t="s">
        <v>384</v>
      </c>
      <c r="E6855" s="62" t="s">
        <v>382</v>
      </c>
      <c r="F6855" s="62" t="s">
        <v>382</v>
      </c>
      <c r="G6855" s="63" t="s">
        <v>715</v>
      </c>
      <c r="H6855" s="64" t="n">
        <v>-94493724.4264811</v>
      </c>
      <c r="I6855" s="62" t="s">
        <v>81</v>
      </c>
      <c r="J6855" s="64" t="n">
        <v>-94493.7244264811</v>
      </c>
      <c r="K6855" s="62" t="s">
        <v>138</v>
      </c>
      <c r="L6855" s="68" t="b">
        <f aca="false">TRUE()</f>
        <v>1</v>
      </c>
    </row>
    <row r="6856" customFormat="false" ht="15" hidden="false" customHeight="false" outlineLevel="0" collapsed="false">
      <c r="A6856" s="62" t="n">
        <v>1</v>
      </c>
      <c r="B6856" s="21" t="s">
        <v>336</v>
      </c>
      <c r="C6856" s="62" t="s">
        <v>60</v>
      </c>
      <c r="D6856" s="62" t="s">
        <v>385</v>
      </c>
      <c r="E6856" s="62" t="s">
        <v>382</v>
      </c>
      <c r="F6856" s="62" t="s">
        <v>382</v>
      </c>
      <c r="G6856" s="63" t="s">
        <v>715</v>
      </c>
      <c r="H6856" s="64" t="n">
        <v>-69054329.5393352</v>
      </c>
      <c r="I6856" s="62" t="s">
        <v>81</v>
      </c>
      <c r="J6856" s="64" t="n">
        <v>-69054.3295393352</v>
      </c>
      <c r="K6856" s="62" t="s">
        <v>138</v>
      </c>
      <c r="L6856" s="68" t="b">
        <f aca="false">TRUE()</f>
        <v>1</v>
      </c>
    </row>
    <row r="6857" customFormat="false" ht="15" hidden="false" customHeight="false" outlineLevel="0" collapsed="false">
      <c r="A6857" s="62" t="n">
        <v>1</v>
      </c>
      <c r="B6857" s="21" t="s">
        <v>336</v>
      </c>
      <c r="C6857" s="62" t="s">
        <v>60</v>
      </c>
      <c r="D6857" s="62" t="s">
        <v>386</v>
      </c>
      <c r="E6857" s="62" t="s">
        <v>382</v>
      </c>
      <c r="F6857" s="62" t="s">
        <v>382</v>
      </c>
      <c r="G6857" s="63" t="s">
        <v>715</v>
      </c>
      <c r="H6857" s="64" t="n">
        <v>34939476.9488786</v>
      </c>
      <c r="I6857" s="62" t="s">
        <v>81</v>
      </c>
      <c r="J6857" s="64" t="n">
        <v>34939.4769488786</v>
      </c>
      <c r="K6857" s="62" t="s">
        <v>138</v>
      </c>
      <c r="L6857" s="68" t="b">
        <f aca="false">TRUE()</f>
        <v>1</v>
      </c>
    </row>
    <row r="6858" customFormat="false" ht="15" hidden="false" customHeight="false" outlineLevel="0" collapsed="false">
      <c r="A6858" s="62" t="n">
        <v>1</v>
      </c>
      <c r="B6858" s="21" t="s">
        <v>336</v>
      </c>
      <c r="C6858" s="62" t="s">
        <v>60</v>
      </c>
      <c r="D6858" s="62" t="s">
        <v>387</v>
      </c>
      <c r="E6858" s="62" t="s">
        <v>382</v>
      </c>
      <c r="F6858" s="62" t="s">
        <v>382</v>
      </c>
      <c r="G6858" s="63" t="s">
        <v>715</v>
      </c>
      <c r="H6858" s="64" t="n">
        <v>-46090096.1715392</v>
      </c>
      <c r="I6858" s="62" t="s">
        <v>81</v>
      </c>
      <c r="J6858" s="64" t="n">
        <v>-46090.0961715392</v>
      </c>
      <c r="K6858" s="62" t="s">
        <v>138</v>
      </c>
      <c r="L6858" s="68" t="b">
        <f aca="false">TRUE()</f>
        <v>1</v>
      </c>
    </row>
    <row r="6859" customFormat="false" ht="15" hidden="false" customHeight="false" outlineLevel="0" collapsed="false">
      <c r="A6859" s="62" t="n">
        <v>1</v>
      </c>
      <c r="B6859" s="21" t="s">
        <v>336</v>
      </c>
      <c r="C6859" s="62" t="s">
        <v>60</v>
      </c>
      <c r="D6859" s="62" t="s">
        <v>388</v>
      </c>
      <c r="E6859" s="62" t="s">
        <v>382</v>
      </c>
      <c r="F6859" s="62" t="s">
        <v>382</v>
      </c>
      <c r="G6859" s="63" t="s">
        <v>715</v>
      </c>
      <c r="H6859" s="64" t="n">
        <v>-33152424.8265638</v>
      </c>
      <c r="I6859" s="62" t="s">
        <v>81</v>
      </c>
      <c r="J6859" s="64" t="n">
        <v>-33152.4248265638</v>
      </c>
      <c r="K6859" s="62" t="s">
        <v>138</v>
      </c>
      <c r="L6859" s="68" t="b">
        <f aca="false">TRUE()</f>
        <v>1</v>
      </c>
    </row>
    <row r="6860" customFormat="false" ht="15" hidden="false" customHeight="false" outlineLevel="0" collapsed="false">
      <c r="A6860" s="62" t="n">
        <v>1</v>
      </c>
      <c r="B6860" s="21" t="s">
        <v>336</v>
      </c>
      <c r="C6860" s="62" t="s">
        <v>60</v>
      </c>
      <c r="D6860" s="62" t="s">
        <v>381</v>
      </c>
      <c r="E6860" s="62" t="s">
        <v>382</v>
      </c>
      <c r="F6860" s="62" t="s">
        <v>382</v>
      </c>
      <c r="G6860" s="63" t="s">
        <v>716</v>
      </c>
      <c r="H6860" s="64" t="n">
        <v>337553462.017924</v>
      </c>
      <c r="I6860" s="62" t="s">
        <v>81</v>
      </c>
      <c r="J6860" s="64" t="n">
        <v>337553.462017924</v>
      </c>
      <c r="K6860" s="62" t="s">
        <v>138</v>
      </c>
      <c r="L6860" s="68" t="b">
        <f aca="false">FALSE()</f>
        <v>0</v>
      </c>
    </row>
    <row r="6861" customFormat="false" ht="15" hidden="false" customHeight="false" outlineLevel="0" collapsed="false">
      <c r="A6861" s="62" t="n">
        <v>1</v>
      </c>
      <c r="B6861" s="21" t="s">
        <v>336</v>
      </c>
      <c r="C6861" s="62" t="s">
        <v>60</v>
      </c>
      <c r="D6861" s="62" t="s">
        <v>383</v>
      </c>
      <c r="E6861" s="62" t="s">
        <v>382</v>
      </c>
      <c r="F6861" s="62" t="s">
        <v>382</v>
      </c>
      <c r="G6861" s="63" t="s">
        <v>716</v>
      </c>
      <c r="H6861" s="64" t="n">
        <v>-69174801.7443487</v>
      </c>
      <c r="I6861" s="62" t="s">
        <v>81</v>
      </c>
      <c r="J6861" s="64" t="n">
        <v>-69174.8017443487</v>
      </c>
      <c r="K6861" s="62" t="s">
        <v>138</v>
      </c>
      <c r="L6861" s="68" t="b">
        <f aca="false">FALSE()</f>
        <v>0</v>
      </c>
    </row>
    <row r="6862" customFormat="false" ht="15" hidden="false" customHeight="false" outlineLevel="0" collapsed="false">
      <c r="A6862" s="62" t="n">
        <v>1</v>
      </c>
      <c r="B6862" s="21" t="s">
        <v>336</v>
      </c>
      <c r="C6862" s="62" t="s">
        <v>60</v>
      </c>
      <c r="D6862" s="62" t="s">
        <v>384</v>
      </c>
      <c r="E6862" s="62" t="s">
        <v>382</v>
      </c>
      <c r="F6862" s="62" t="s">
        <v>382</v>
      </c>
      <c r="G6862" s="63" t="s">
        <v>716</v>
      </c>
      <c r="H6862" s="64" t="n">
        <v>163264.345389063</v>
      </c>
      <c r="I6862" s="62" t="s">
        <v>81</v>
      </c>
      <c r="J6862" s="64" t="n">
        <v>163.264345389063</v>
      </c>
      <c r="K6862" s="62" t="s">
        <v>138</v>
      </c>
      <c r="L6862" s="68" t="b">
        <f aca="false">FALSE()</f>
        <v>0</v>
      </c>
    </row>
    <row r="6863" customFormat="false" ht="15" hidden="false" customHeight="false" outlineLevel="0" collapsed="false">
      <c r="A6863" s="62" t="n">
        <v>1</v>
      </c>
      <c r="B6863" s="21" t="s">
        <v>336</v>
      </c>
      <c r="C6863" s="62" t="s">
        <v>60</v>
      </c>
      <c r="D6863" s="62" t="s">
        <v>385</v>
      </c>
      <c r="E6863" s="62" t="s">
        <v>382</v>
      </c>
      <c r="F6863" s="62" t="s">
        <v>382</v>
      </c>
      <c r="G6863" s="63" t="s">
        <v>716</v>
      </c>
      <c r="H6863" s="64" t="n">
        <v>122042281.056413</v>
      </c>
      <c r="I6863" s="62" t="s">
        <v>81</v>
      </c>
      <c r="J6863" s="64" t="n">
        <v>122042.281056413</v>
      </c>
      <c r="K6863" s="62" t="s">
        <v>138</v>
      </c>
      <c r="L6863" s="68" t="b">
        <f aca="false">FALSE()</f>
        <v>0</v>
      </c>
    </row>
    <row r="6864" customFormat="false" ht="15" hidden="false" customHeight="false" outlineLevel="0" collapsed="false">
      <c r="A6864" s="62" t="n">
        <v>1</v>
      </c>
      <c r="B6864" s="21" t="s">
        <v>336</v>
      </c>
      <c r="C6864" s="62" t="s">
        <v>60</v>
      </c>
      <c r="D6864" s="62" t="s">
        <v>386</v>
      </c>
      <c r="E6864" s="62" t="s">
        <v>382</v>
      </c>
      <c r="F6864" s="62" t="s">
        <v>382</v>
      </c>
      <c r="G6864" s="63" t="s">
        <v>716</v>
      </c>
      <c r="H6864" s="64" t="n">
        <v>170004417.974786</v>
      </c>
      <c r="I6864" s="62" t="s">
        <v>81</v>
      </c>
      <c r="J6864" s="64" t="n">
        <v>170004.417974786</v>
      </c>
      <c r="K6864" s="62" t="s">
        <v>138</v>
      </c>
      <c r="L6864" s="68" t="b">
        <f aca="false">FALSE()</f>
        <v>0</v>
      </c>
    </row>
    <row r="6865" customFormat="false" ht="15" hidden="false" customHeight="false" outlineLevel="0" collapsed="false">
      <c r="A6865" s="62" t="n">
        <v>1</v>
      </c>
      <c r="B6865" s="21" t="s">
        <v>336</v>
      </c>
      <c r="C6865" s="62" t="s">
        <v>60</v>
      </c>
      <c r="D6865" s="62" t="s">
        <v>387</v>
      </c>
      <c r="E6865" s="62" t="s">
        <v>382</v>
      </c>
      <c r="F6865" s="62" t="s">
        <v>382</v>
      </c>
      <c r="G6865" s="63" t="s">
        <v>716</v>
      </c>
      <c r="H6865" s="64" t="n">
        <v>38369908.8881416</v>
      </c>
      <c r="I6865" s="62" t="s">
        <v>81</v>
      </c>
      <c r="J6865" s="64" t="n">
        <v>38369.9088881416</v>
      </c>
      <c r="K6865" s="62" t="s">
        <v>138</v>
      </c>
      <c r="L6865" s="68" t="b">
        <f aca="false">FALSE()</f>
        <v>0</v>
      </c>
    </row>
    <row r="6866" customFormat="false" ht="15" hidden="false" customHeight="false" outlineLevel="0" collapsed="false">
      <c r="A6866" s="62" t="n">
        <v>1</v>
      </c>
      <c r="B6866" s="21" t="s">
        <v>336</v>
      </c>
      <c r="C6866" s="62" t="s">
        <v>60</v>
      </c>
      <c r="D6866" s="62" t="s">
        <v>388</v>
      </c>
      <c r="E6866" s="62" t="s">
        <v>382</v>
      </c>
      <c r="F6866" s="62" t="s">
        <v>382</v>
      </c>
      <c r="G6866" s="63" t="s">
        <v>716</v>
      </c>
      <c r="H6866" s="64" t="n">
        <v>625574722.489692</v>
      </c>
      <c r="I6866" s="62" t="s">
        <v>81</v>
      </c>
      <c r="J6866" s="64" t="n">
        <v>625574.722489692</v>
      </c>
      <c r="K6866" s="62" t="s">
        <v>138</v>
      </c>
      <c r="L6866" s="68" t="b">
        <f aca="false">FALSE()</f>
        <v>0</v>
      </c>
    </row>
    <row r="6867" customFormat="false" ht="15" hidden="false" customHeight="false" outlineLevel="0" collapsed="false">
      <c r="A6867" s="62" t="n">
        <v>1</v>
      </c>
      <c r="B6867" s="21" t="s">
        <v>336</v>
      </c>
      <c r="C6867" s="62" t="s">
        <v>60</v>
      </c>
      <c r="D6867" s="62" t="s">
        <v>381</v>
      </c>
      <c r="E6867" s="62" t="s">
        <v>382</v>
      </c>
      <c r="F6867" s="62" t="s">
        <v>382</v>
      </c>
      <c r="G6867" s="63" t="s">
        <v>717</v>
      </c>
      <c r="H6867" s="64" t="n">
        <v>572191857.142857</v>
      </c>
      <c r="I6867" s="62" t="s">
        <v>81</v>
      </c>
      <c r="J6867" s="64" t="n">
        <v>572191.857142857</v>
      </c>
      <c r="K6867" s="62" t="s">
        <v>138</v>
      </c>
      <c r="L6867" s="68" t="b">
        <f aca="false">TRUE()</f>
        <v>1</v>
      </c>
    </row>
    <row r="6868" customFormat="false" ht="15" hidden="false" customHeight="false" outlineLevel="0" collapsed="false">
      <c r="A6868" s="62" t="n">
        <v>1</v>
      </c>
      <c r="B6868" s="21" t="s">
        <v>336</v>
      </c>
      <c r="C6868" s="62" t="s">
        <v>60</v>
      </c>
      <c r="D6868" s="62" t="s">
        <v>383</v>
      </c>
      <c r="E6868" s="62" t="s">
        <v>382</v>
      </c>
      <c r="F6868" s="62" t="s">
        <v>382</v>
      </c>
      <c r="G6868" s="63" t="s">
        <v>717</v>
      </c>
      <c r="H6868" s="64" t="n">
        <v>613270428.571429</v>
      </c>
      <c r="I6868" s="62" t="s">
        <v>81</v>
      </c>
      <c r="J6868" s="64" t="n">
        <v>613270.428571429</v>
      </c>
      <c r="K6868" s="62" t="s">
        <v>138</v>
      </c>
      <c r="L6868" s="68" t="b">
        <f aca="false">TRUE()</f>
        <v>1</v>
      </c>
    </row>
    <row r="6869" customFormat="false" ht="15" hidden="false" customHeight="false" outlineLevel="0" collapsed="false">
      <c r="A6869" s="62" t="n">
        <v>1</v>
      </c>
      <c r="B6869" s="21" t="s">
        <v>336</v>
      </c>
      <c r="C6869" s="62" t="s">
        <v>60</v>
      </c>
      <c r="D6869" s="62" t="s">
        <v>384</v>
      </c>
      <c r="E6869" s="62" t="s">
        <v>382</v>
      </c>
      <c r="F6869" s="62" t="s">
        <v>382</v>
      </c>
      <c r="G6869" s="63" t="s">
        <v>717</v>
      </c>
      <c r="H6869" s="64" t="n">
        <v>720207657.142857</v>
      </c>
      <c r="I6869" s="62" t="s">
        <v>81</v>
      </c>
      <c r="J6869" s="64" t="n">
        <v>720207.657142857</v>
      </c>
      <c r="K6869" s="62" t="s">
        <v>138</v>
      </c>
      <c r="L6869" s="68" t="b">
        <f aca="false">TRUE()</f>
        <v>1</v>
      </c>
    </row>
    <row r="6870" customFormat="false" ht="15" hidden="false" customHeight="false" outlineLevel="0" collapsed="false">
      <c r="A6870" s="62" t="n">
        <v>1</v>
      </c>
      <c r="B6870" s="21" t="s">
        <v>336</v>
      </c>
      <c r="C6870" s="62" t="s">
        <v>60</v>
      </c>
      <c r="D6870" s="62" t="s">
        <v>385</v>
      </c>
      <c r="E6870" s="62" t="s">
        <v>382</v>
      </c>
      <c r="F6870" s="62" t="s">
        <v>382</v>
      </c>
      <c r="G6870" s="63" t="s">
        <v>717</v>
      </c>
      <c r="H6870" s="64" t="n">
        <v>667136571.428572</v>
      </c>
      <c r="I6870" s="62" t="s">
        <v>81</v>
      </c>
      <c r="J6870" s="64" t="n">
        <v>667136.571428572</v>
      </c>
      <c r="K6870" s="62" t="s">
        <v>138</v>
      </c>
      <c r="L6870" s="68" t="b">
        <f aca="false">TRUE()</f>
        <v>1</v>
      </c>
    </row>
    <row r="6871" customFormat="false" ht="15" hidden="false" customHeight="false" outlineLevel="0" collapsed="false">
      <c r="A6871" s="62" t="n">
        <v>1</v>
      </c>
      <c r="B6871" s="21" t="s">
        <v>336</v>
      </c>
      <c r="C6871" s="62" t="s">
        <v>60</v>
      </c>
      <c r="D6871" s="62" t="s">
        <v>386</v>
      </c>
      <c r="E6871" s="62" t="s">
        <v>382</v>
      </c>
      <c r="F6871" s="62" t="s">
        <v>382</v>
      </c>
      <c r="G6871" s="63" t="s">
        <v>717</v>
      </c>
      <c r="H6871" s="64" t="n">
        <v>602446571.428572</v>
      </c>
      <c r="I6871" s="62" t="s">
        <v>81</v>
      </c>
      <c r="J6871" s="64" t="n">
        <v>602446.571428572</v>
      </c>
      <c r="K6871" s="62" t="s">
        <v>138</v>
      </c>
      <c r="L6871" s="68" t="b">
        <f aca="false">TRUE()</f>
        <v>1</v>
      </c>
    </row>
    <row r="6872" customFormat="false" ht="15" hidden="false" customHeight="false" outlineLevel="0" collapsed="false">
      <c r="A6872" s="62" t="n">
        <v>1</v>
      </c>
      <c r="B6872" s="21" t="s">
        <v>336</v>
      </c>
      <c r="C6872" s="62" t="s">
        <v>60</v>
      </c>
      <c r="D6872" s="62" t="s">
        <v>387</v>
      </c>
      <c r="E6872" s="62" t="s">
        <v>382</v>
      </c>
      <c r="F6872" s="62" t="s">
        <v>382</v>
      </c>
      <c r="G6872" s="63" t="s">
        <v>717</v>
      </c>
      <c r="H6872" s="64" t="n">
        <v>907886000</v>
      </c>
      <c r="I6872" s="62" t="s">
        <v>81</v>
      </c>
      <c r="J6872" s="64" t="n">
        <v>907886</v>
      </c>
      <c r="K6872" s="62" t="s">
        <v>138</v>
      </c>
      <c r="L6872" s="68" t="b">
        <f aca="false">TRUE()</f>
        <v>1</v>
      </c>
    </row>
    <row r="6873" customFormat="false" ht="15" hidden="false" customHeight="false" outlineLevel="0" collapsed="false">
      <c r="A6873" s="62" t="n">
        <v>1</v>
      </c>
      <c r="B6873" s="21" t="s">
        <v>336</v>
      </c>
      <c r="C6873" s="62" t="s">
        <v>60</v>
      </c>
      <c r="D6873" s="62" t="s">
        <v>388</v>
      </c>
      <c r="E6873" s="62" t="s">
        <v>382</v>
      </c>
      <c r="F6873" s="62" t="s">
        <v>382</v>
      </c>
      <c r="G6873" s="63" t="s">
        <v>717</v>
      </c>
      <c r="H6873" s="64" t="n">
        <v>591575714.285714</v>
      </c>
      <c r="I6873" s="62" t="s">
        <v>81</v>
      </c>
      <c r="J6873" s="64" t="n">
        <v>591575.714285714</v>
      </c>
      <c r="K6873" s="62" t="s">
        <v>138</v>
      </c>
      <c r="L6873" s="68" t="b">
        <f aca="false">TRUE()</f>
        <v>1</v>
      </c>
    </row>
    <row r="6874" customFormat="false" ht="15" hidden="false" customHeight="false" outlineLevel="0" collapsed="false">
      <c r="A6874" s="62" t="n">
        <v>1</v>
      </c>
      <c r="B6874" s="21" t="s">
        <v>336</v>
      </c>
      <c r="C6874" s="62" t="s">
        <v>60</v>
      </c>
      <c r="D6874" s="62" t="s">
        <v>381</v>
      </c>
      <c r="E6874" s="62" t="s">
        <v>382</v>
      </c>
      <c r="F6874" s="62" t="s">
        <v>382</v>
      </c>
      <c r="G6874" s="63" t="s">
        <v>718</v>
      </c>
      <c r="H6874" s="64" t="n">
        <v>3351807183.51164</v>
      </c>
      <c r="I6874" s="62" t="s">
        <v>81</v>
      </c>
      <c r="J6874" s="64" t="n">
        <v>3351807.18351164</v>
      </c>
      <c r="K6874" s="62" t="s">
        <v>138</v>
      </c>
      <c r="L6874" s="68" t="b">
        <f aca="false">TRUE()</f>
        <v>1</v>
      </c>
    </row>
    <row r="6875" customFormat="false" ht="15" hidden="false" customHeight="false" outlineLevel="0" collapsed="false">
      <c r="A6875" s="62" t="n">
        <v>1</v>
      </c>
      <c r="B6875" s="21" t="s">
        <v>336</v>
      </c>
      <c r="C6875" s="62" t="s">
        <v>60</v>
      </c>
      <c r="D6875" s="62" t="s">
        <v>383</v>
      </c>
      <c r="E6875" s="62" t="s">
        <v>382</v>
      </c>
      <c r="F6875" s="62" t="s">
        <v>382</v>
      </c>
      <c r="G6875" s="63" t="s">
        <v>718</v>
      </c>
      <c r="H6875" s="64" t="n">
        <v>4708393903.81845</v>
      </c>
      <c r="I6875" s="62" t="s">
        <v>81</v>
      </c>
      <c r="J6875" s="64" t="n">
        <v>4708393.90381845</v>
      </c>
      <c r="K6875" s="62" t="s">
        <v>138</v>
      </c>
      <c r="L6875" s="68" t="b">
        <f aca="false">TRUE()</f>
        <v>1</v>
      </c>
    </row>
    <row r="6876" customFormat="false" ht="15" hidden="false" customHeight="false" outlineLevel="0" collapsed="false">
      <c r="A6876" s="62" t="n">
        <v>1</v>
      </c>
      <c r="B6876" s="21" t="s">
        <v>336</v>
      </c>
      <c r="C6876" s="62" t="s">
        <v>60</v>
      </c>
      <c r="D6876" s="62" t="s">
        <v>384</v>
      </c>
      <c r="E6876" s="62" t="s">
        <v>382</v>
      </c>
      <c r="F6876" s="62" t="s">
        <v>382</v>
      </c>
      <c r="G6876" s="63" t="s">
        <v>718</v>
      </c>
      <c r="H6876" s="64" t="n">
        <v>2908925537.48646</v>
      </c>
      <c r="I6876" s="62" t="s">
        <v>81</v>
      </c>
      <c r="J6876" s="64" t="n">
        <v>2908925.53748646</v>
      </c>
      <c r="K6876" s="62" t="s">
        <v>138</v>
      </c>
      <c r="L6876" s="68" t="b">
        <f aca="false">TRUE()</f>
        <v>1</v>
      </c>
    </row>
    <row r="6877" customFormat="false" ht="15" hidden="false" customHeight="false" outlineLevel="0" collapsed="false">
      <c r="A6877" s="62" t="n">
        <v>1</v>
      </c>
      <c r="B6877" s="21" t="s">
        <v>336</v>
      </c>
      <c r="C6877" s="62" t="s">
        <v>60</v>
      </c>
      <c r="D6877" s="62" t="s">
        <v>385</v>
      </c>
      <c r="E6877" s="62" t="s">
        <v>382</v>
      </c>
      <c r="F6877" s="62" t="s">
        <v>382</v>
      </c>
      <c r="G6877" s="63" t="s">
        <v>718</v>
      </c>
      <c r="H6877" s="64" t="n">
        <v>2822014717.62994</v>
      </c>
      <c r="I6877" s="62" t="s">
        <v>81</v>
      </c>
      <c r="J6877" s="64" t="n">
        <v>2822014.71762994</v>
      </c>
      <c r="K6877" s="62" t="s">
        <v>138</v>
      </c>
      <c r="L6877" s="68" t="b">
        <f aca="false">TRUE()</f>
        <v>1</v>
      </c>
    </row>
    <row r="6878" customFormat="false" ht="15" hidden="false" customHeight="false" outlineLevel="0" collapsed="false">
      <c r="A6878" s="62" t="n">
        <v>1</v>
      </c>
      <c r="B6878" s="21" t="s">
        <v>336</v>
      </c>
      <c r="C6878" s="62" t="s">
        <v>60</v>
      </c>
      <c r="D6878" s="62" t="s">
        <v>386</v>
      </c>
      <c r="E6878" s="62" t="s">
        <v>382</v>
      </c>
      <c r="F6878" s="62" t="s">
        <v>382</v>
      </c>
      <c r="G6878" s="63" t="s">
        <v>718</v>
      </c>
      <c r="H6878" s="64" t="n">
        <v>2523194401.14611</v>
      </c>
      <c r="I6878" s="62" t="s">
        <v>81</v>
      </c>
      <c r="J6878" s="64" t="n">
        <v>2523194.40114611</v>
      </c>
      <c r="K6878" s="62" t="s">
        <v>138</v>
      </c>
      <c r="L6878" s="68" t="b">
        <f aca="false">TRUE()</f>
        <v>1</v>
      </c>
    </row>
    <row r="6879" customFormat="false" ht="15" hidden="false" customHeight="false" outlineLevel="0" collapsed="false">
      <c r="A6879" s="62" t="n">
        <v>1</v>
      </c>
      <c r="B6879" s="21" t="s">
        <v>336</v>
      </c>
      <c r="C6879" s="62" t="s">
        <v>60</v>
      </c>
      <c r="D6879" s="62" t="s">
        <v>387</v>
      </c>
      <c r="E6879" s="62" t="s">
        <v>382</v>
      </c>
      <c r="F6879" s="62" t="s">
        <v>382</v>
      </c>
      <c r="G6879" s="63" t="s">
        <v>718</v>
      </c>
      <c r="H6879" s="64" t="n">
        <v>4311991639.55702</v>
      </c>
      <c r="I6879" s="62" t="s">
        <v>81</v>
      </c>
      <c r="J6879" s="64" t="n">
        <v>4311991.63955702</v>
      </c>
      <c r="K6879" s="62" t="s">
        <v>138</v>
      </c>
      <c r="L6879" s="68" t="b">
        <f aca="false">TRUE()</f>
        <v>1</v>
      </c>
    </row>
    <row r="6880" customFormat="false" ht="15" hidden="false" customHeight="false" outlineLevel="0" collapsed="false">
      <c r="A6880" s="62" t="n">
        <v>1</v>
      </c>
      <c r="B6880" s="21" t="s">
        <v>336</v>
      </c>
      <c r="C6880" s="62" t="s">
        <v>60</v>
      </c>
      <c r="D6880" s="62" t="s">
        <v>388</v>
      </c>
      <c r="E6880" s="62" t="s">
        <v>382</v>
      </c>
      <c r="F6880" s="62" t="s">
        <v>382</v>
      </c>
      <c r="G6880" s="63" t="s">
        <v>718</v>
      </c>
      <c r="H6880" s="64" t="n">
        <v>3272442828.69617</v>
      </c>
      <c r="I6880" s="62" t="s">
        <v>81</v>
      </c>
      <c r="J6880" s="64" t="n">
        <v>3272442.82869617</v>
      </c>
      <c r="K6880" s="62" t="s">
        <v>138</v>
      </c>
      <c r="L6880" s="68" t="b">
        <f aca="false">TRUE()</f>
        <v>1</v>
      </c>
    </row>
    <row r="6881" customFormat="false" ht="15" hidden="false" customHeight="false" outlineLevel="0" collapsed="false">
      <c r="A6881" s="62" t="n">
        <v>1</v>
      </c>
      <c r="B6881" s="21" t="s">
        <v>336</v>
      </c>
      <c r="C6881" s="62" t="s">
        <v>60</v>
      </c>
      <c r="D6881" s="62" t="s">
        <v>381</v>
      </c>
      <c r="E6881" s="62" t="s">
        <v>382</v>
      </c>
      <c r="F6881" s="62" t="s">
        <v>382</v>
      </c>
      <c r="G6881" s="63" t="s">
        <v>719</v>
      </c>
      <c r="H6881" s="64" t="n">
        <v>3923999040.65449</v>
      </c>
      <c r="I6881" s="62" t="s">
        <v>81</v>
      </c>
      <c r="J6881" s="64" t="n">
        <v>3923999.04065449</v>
      </c>
      <c r="K6881" s="62" t="s">
        <v>138</v>
      </c>
      <c r="L6881" s="68" t="b">
        <f aca="false">FALSE()</f>
        <v>0</v>
      </c>
    </row>
    <row r="6882" customFormat="false" ht="15" hidden="false" customHeight="false" outlineLevel="0" collapsed="false">
      <c r="A6882" s="62" t="n">
        <v>1</v>
      </c>
      <c r="B6882" s="21" t="s">
        <v>336</v>
      </c>
      <c r="C6882" s="62" t="s">
        <v>60</v>
      </c>
      <c r="D6882" s="62" t="s">
        <v>383</v>
      </c>
      <c r="E6882" s="62" t="s">
        <v>382</v>
      </c>
      <c r="F6882" s="62" t="s">
        <v>382</v>
      </c>
      <c r="G6882" s="63" t="s">
        <v>719</v>
      </c>
      <c r="H6882" s="64" t="n">
        <v>5321664332.38987</v>
      </c>
      <c r="I6882" s="62" t="s">
        <v>81</v>
      </c>
      <c r="J6882" s="64" t="n">
        <v>5321664.33238987</v>
      </c>
      <c r="K6882" s="62" t="s">
        <v>138</v>
      </c>
      <c r="L6882" s="68" t="b">
        <f aca="false">FALSE()</f>
        <v>0</v>
      </c>
    </row>
    <row r="6883" customFormat="false" ht="15" hidden="false" customHeight="false" outlineLevel="0" collapsed="false">
      <c r="A6883" s="62" t="n">
        <v>1</v>
      </c>
      <c r="B6883" s="21" t="s">
        <v>336</v>
      </c>
      <c r="C6883" s="62" t="s">
        <v>60</v>
      </c>
      <c r="D6883" s="62" t="s">
        <v>384</v>
      </c>
      <c r="E6883" s="62" t="s">
        <v>382</v>
      </c>
      <c r="F6883" s="62" t="s">
        <v>382</v>
      </c>
      <c r="G6883" s="63" t="s">
        <v>719</v>
      </c>
      <c r="H6883" s="64" t="n">
        <v>3629133194.62932</v>
      </c>
      <c r="I6883" s="62" t="s">
        <v>81</v>
      </c>
      <c r="J6883" s="64" t="n">
        <v>3629133.19462932</v>
      </c>
      <c r="K6883" s="62" t="s">
        <v>138</v>
      </c>
      <c r="L6883" s="68" t="b">
        <f aca="false">FALSE()</f>
        <v>0</v>
      </c>
    </row>
    <row r="6884" customFormat="false" ht="15" hidden="false" customHeight="false" outlineLevel="0" collapsed="false">
      <c r="A6884" s="62" t="n">
        <v>1</v>
      </c>
      <c r="B6884" s="21" t="s">
        <v>336</v>
      </c>
      <c r="C6884" s="62" t="s">
        <v>60</v>
      </c>
      <c r="D6884" s="62" t="s">
        <v>385</v>
      </c>
      <c r="E6884" s="62" t="s">
        <v>382</v>
      </c>
      <c r="F6884" s="62" t="s">
        <v>382</v>
      </c>
      <c r="G6884" s="63" t="s">
        <v>719</v>
      </c>
      <c r="H6884" s="64" t="n">
        <v>3489151289.05851</v>
      </c>
      <c r="I6884" s="62" t="s">
        <v>81</v>
      </c>
      <c r="J6884" s="64" t="n">
        <v>3489151.28905851</v>
      </c>
      <c r="K6884" s="62" t="s">
        <v>138</v>
      </c>
      <c r="L6884" s="68" t="b">
        <f aca="false">FALSE()</f>
        <v>0</v>
      </c>
    </row>
    <row r="6885" customFormat="false" ht="15" hidden="false" customHeight="false" outlineLevel="0" collapsed="false">
      <c r="A6885" s="62" t="n">
        <v>1</v>
      </c>
      <c r="B6885" s="21" t="s">
        <v>336</v>
      </c>
      <c r="C6885" s="62" t="s">
        <v>60</v>
      </c>
      <c r="D6885" s="62" t="s">
        <v>386</v>
      </c>
      <c r="E6885" s="62" t="s">
        <v>382</v>
      </c>
      <c r="F6885" s="62" t="s">
        <v>382</v>
      </c>
      <c r="G6885" s="63" t="s">
        <v>719</v>
      </c>
      <c r="H6885" s="64" t="n">
        <v>3125640972.57468</v>
      </c>
      <c r="I6885" s="62" t="s">
        <v>81</v>
      </c>
      <c r="J6885" s="64" t="n">
        <v>3125640.97257468</v>
      </c>
      <c r="K6885" s="62" t="s">
        <v>138</v>
      </c>
      <c r="L6885" s="68" t="b">
        <f aca="false">FALSE()</f>
        <v>0</v>
      </c>
    </row>
    <row r="6886" customFormat="false" ht="15" hidden="false" customHeight="false" outlineLevel="0" collapsed="false">
      <c r="A6886" s="62" t="n">
        <v>1</v>
      </c>
      <c r="B6886" s="21" t="s">
        <v>336</v>
      </c>
      <c r="C6886" s="62" t="s">
        <v>60</v>
      </c>
      <c r="D6886" s="62" t="s">
        <v>387</v>
      </c>
      <c r="E6886" s="62" t="s">
        <v>382</v>
      </c>
      <c r="F6886" s="62" t="s">
        <v>382</v>
      </c>
      <c r="G6886" s="63" t="s">
        <v>719</v>
      </c>
      <c r="H6886" s="64" t="n">
        <v>5219877639.55702</v>
      </c>
      <c r="I6886" s="62" t="s">
        <v>81</v>
      </c>
      <c r="J6886" s="64" t="n">
        <v>5219877.63955702</v>
      </c>
      <c r="K6886" s="62" t="s">
        <v>138</v>
      </c>
      <c r="L6886" s="68" t="b">
        <f aca="false">FALSE()</f>
        <v>0</v>
      </c>
    </row>
    <row r="6887" customFormat="false" ht="15" hidden="false" customHeight="false" outlineLevel="0" collapsed="false">
      <c r="A6887" s="62" t="n">
        <v>1</v>
      </c>
      <c r="B6887" s="21" t="s">
        <v>336</v>
      </c>
      <c r="C6887" s="62" t="s">
        <v>60</v>
      </c>
      <c r="D6887" s="62" t="s">
        <v>388</v>
      </c>
      <c r="E6887" s="62" t="s">
        <v>382</v>
      </c>
      <c r="F6887" s="62" t="s">
        <v>382</v>
      </c>
      <c r="G6887" s="63" t="s">
        <v>719</v>
      </c>
      <c r="H6887" s="64" t="n">
        <v>3864018542.98188</v>
      </c>
      <c r="I6887" s="62" t="s">
        <v>81</v>
      </c>
      <c r="J6887" s="64" t="n">
        <v>3864018.54298188</v>
      </c>
      <c r="K6887" s="62" t="s">
        <v>138</v>
      </c>
      <c r="L6887" s="68" t="b">
        <f aca="false">FALSE()</f>
        <v>0</v>
      </c>
    </row>
    <row r="6888" customFormat="false" ht="15" hidden="false" customHeight="false" outlineLevel="0" collapsed="false">
      <c r="A6888" s="62" t="n">
        <v>1</v>
      </c>
      <c r="B6888" s="21" t="s">
        <v>336</v>
      </c>
      <c r="C6888" s="62" t="s">
        <v>60</v>
      </c>
      <c r="D6888" s="62" t="s">
        <v>381</v>
      </c>
      <c r="E6888" s="62" t="s">
        <v>382</v>
      </c>
      <c r="F6888" s="62" t="s">
        <v>382</v>
      </c>
      <c r="G6888" s="63" t="s">
        <v>720</v>
      </c>
      <c r="H6888" s="64" t="n">
        <v>330397613.572167</v>
      </c>
      <c r="I6888" s="62" t="s">
        <v>81</v>
      </c>
      <c r="J6888" s="64" t="n">
        <v>330397.613572167</v>
      </c>
      <c r="K6888" s="62" t="s">
        <v>138</v>
      </c>
      <c r="L6888" s="68" t="b">
        <f aca="false">TRUE()</f>
        <v>1</v>
      </c>
    </row>
    <row r="6889" customFormat="false" ht="15" hidden="false" customHeight="false" outlineLevel="0" collapsed="false">
      <c r="A6889" s="62" t="n">
        <v>1</v>
      </c>
      <c r="B6889" s="21" t="s">
        <v>336</v>
      </c>
      <c r="C6889" s="62" t="s">
        <v>60</v>
      </c>
      <c r="D6889" s="62" t="s">
        <v>383</v>
      </c>
      <c r="E6889" s="62" t="s">
        <v>382</v>
      </c>
      <c r="F6889" s="62" t="s">
        <v>382</v>
      </c>
      <c r="G6889" s="63" t="s">
        <v>720</v>
      </c>
      <c r="H6889" s="64" t="n">
        <v>549970371.356756</v>
      </c>
      <c r="I6889" s="62" t="s">
        <v>81</v>
      </c>
      <c r="J6889" s="64" t="n">
        <v>549970.371356756</v>
      </c>
      <c r="K6889" s="62" t="s">
        <v>138</v>
      </c>
      <c r="L6889" s="68" t="b">
        <f aca="false">TRUE()</f>
        <v>1</v>
      </c>
    </row>
    <row r="6890" customFormat="false" ht="15" hidden="false" customHeight="false" outlineLevel="0" collapsed="false">
      <c r="A6890" s="62" t="n">
        <v>1</v>
      </c>
      <c r="B6890" s="21" t="s">
        <v>336</v>
      </c>
      <c r="C6890" s="62" t="s">
        <v>60</v>
      </c>
      <c r="D6890" s="62" t="s">
        <v>384</v>
      </c>
      <c r="E6890" s="62" t="s">
        <v>382</v>
      </c>
      <c r="F6890" s="62" t="s">
        <v>382</v>
      </c>
      <c r="G6890" s="63" t="s">
        <v>720</v>
      </c>
      <c r="H6890" s="64" t="n">
        <v>430769576.940968</v>
      </c>
      <c r="I6890" s="62" t="s">
        <v>81</v>
      </c>
      <c r="J6890" s="64" t="n">
        <v>430769.576940968</v>
      </c>
      <c r="K6890" s="62" t="s">
        <v>138</v>
      </c>
      <c r="L6890" s="68" t="b">
        <f aca="false">TRUE()</f>
        <v>1</v>
      </c>
    </row>
    <row r="6891" customFormat="false" ht="15" hidden="false" customHeight="false" outlineLevel="0" collapsed="false">
      <c r="A6891" s="62" t="n">
        <v>1</v>
      </c>
      <c r="B6891" s="21" t="s">
        <v>336</v>
      </c>
      <c r="C6891" s="62" t="s">
        <v>60</v>
      </c>
      <c r="D6891" s="62" t="s">
        <v>385</v>
      </c>
      <c r="E6891" s="62" t="s">
        <v>382</v>
      </c>
      <c r="F6891" s="62" t="s">
        <v>382</v>
      </c>
      <c r="G6891" s="63" t="s">
        <v>720</v>
      </c>
      <c r="H6891" s="64" t="n">
        <v>906365574.814264</v>
      </c>
      <c r="I6891" s="62" t="s">
        <v>81</v>
      </c>
      <c r="J6891" s="64" t="n">
        <v>906365.574814264</v>
      </c>
      <c r="K6891" s="62" t="s">
        <v>138</v>
      </c>
      <c r="L6891" s="68" t="b">
        <f aca="false">TRUE()</f>
        <v>1</v>
      </c>
    </row>
    <row r="6892" customFormat="false" ht="15" hidden="false" customHeight="false" outlineLevel="0" collapsed="false">
      <c r="A6892" s="62" t="n">
        <v>1</v>
      </c>
      <c r="B6892" s="21" t="s">
        <v>336</v>
      </c>
      <c r="C6892" s="62" t="s">
        <v>60</v>
      </c>
      <c r="D6892" s="62" t="s">
        <v>386</v>
      </c>
      <c r="E6892" s="62" t="s">
        <v>382</v>
      </c>
      <c r="F6892" s="62" t="s">
        <v>382</v>
      </c>
      <c r="G6892" s="63" t="s">
        <v>720</v>
      </c>
      <c r="H6892" s="64" t="n">
        <v>724998708.14975</v>
      </c>
      <c r="I6892" s="62" t="s">
        <v>81</v>
      </c>
      <c r="J6892" s="64" t="n">
        <v>724998.70814975</v>
      </c>
      <c r="K6892" s="62" t="s">
        <v>138</v>
      </c>
      <c r="L6892" s="68" t="b">
        <f aca="false">TRUE()</f>
        <v>1</v>
      </c>
    </row>
    <row r="6893" customFormat="false" ht="15" hidden="false" customHeight="false" outlineLevel="0" collapsed="false">
      <c r="A6893" s="62" t="n">
        <v>1</v>
      </c>
      <c r="B6893" s="21" t="s">
        <v>336</v>
      </c>
      <c r="C6893" s="62" t="s">
        <v>60</v>
      </c>
      <c r="D6893" s="62" t="s">
        <v>387</v>
      </c>
      <c r="E6893" s="62" t="s">
        <v>382</v>
      </c>
      <c r="F6893" s="62" t="s">
        <v>382</v>
      </c>
      <c r="G6893" s="63" t="s">
        <v>720</v>
      </c>
      <c r="H6893" s="64" t="n">
        <v>1408630453.67452</v>
      </c>
      <c r="I6893" s="62" t="s">
        <v>81</v>
      </c>
      <c r="J6893" s="64" t="n">
        <v>1408630.45367452</v>
      </c>
      <c r="K6893" s="62" t="s">
        <v>138</v>
      </c>
      <c r="L6893" s="68" t="b">
        <f aca="false">TRUE()</f>
        <v>1</v>
      </c>
    </row>
    <row r="6894" customFormat="false" ht="15" hidden="false" customHeight="false" outlineLevel="0" collapsed="false">
      <c r="A6894" s="62" t="n">
        <v>1</v>
      </c>
      <c r="B6894" s="21" t="s">
        <v>336</v>
      </c>
      <c r="C6894" s="62" t="s">
        <v>60</v>
      </c>
      <c r="D6894" s="62" t="s">
        <v>388</v>
      </c>
      <c r="E6894" s="62" t="s">
        <v>382</v>
      </c>
      <c r="F6894" s="62" t="s">
        <v>382</v>
      </c>
      <c r="G6894" s="63" t="s">
        <v>720</v>
      </c>
      <c r="H6894" s="64" t="n">
        <v>53953085.9968569</v>
      </c>
      <c r="I6894" s="62" t="s">
        <v>81</v>
      </c>
      <c r="J6894" s="64" t="n">
        <v>53953.0859968569</v>
      </c>
      <c r="K6894" s="62" t="s">
        <v>138</v>
      </c>
      <c r="L6894" s="68" t="b">
        <f aca="false">TRUE()</f>
        <v>1</v>
      </c>
    </row>
    <row r="6895" customFormat="false" ht="15" hidden="false" customHeight="false" outlineLevel="0" collapsed="false">
      <c r="A6895" s="62" t="n">
        <v>1</v>
      </c>
      <c r="B6895" s="21" t="s">
        <v>336</v>
      </c>
      <c r="C6895" s="62" t="s">
        <v>60</v>
      </c>
      <c r="D6895" s="62" t="s">
        <v>381</v>
      </c>
      <c r="E6895" s="62" t="s">
        <v>382</v>
      </c>
      <c r="F6895" s="62" t="s">
        <v>382</v>
      </c>
      <c r="G6895" s="63" t="s">
        <v>721</v>
      </c>
      <c r="H6895" s="64" t="n">
        <v>516299807.666167</v>
      </c>
      <c r="I6895" s="62" t="s">
        <v>81</v>
      </c>
      <c r="J6895" s="64" t="n">
        <v>516299.807666167</v>
      </c>
      <c r="K6895" s="62" t="s">
        <v>138</v>
      </c>
      <c r="L6895" s="68" t="b">
        <f aca="false">TRUE()</f>
        <v>1</v>
      </c>
    </row>
    <row r="6896" customFormat="false" ht="15" hidden="false" customHeight="false" outlineLevel="0" collapsed="false">
      <c r="A6896" s="62" t="n">
        <v>1</v>
      </c>
      <c r="B6896" s="21" t="s">
        <v>336</v>
      </c>
      <c r="C6896" s="62" t="s">
        <v>60</v>
      </c>
      <c r="D6896" s="62" t="s">
        <v>383</v>
      </c>
      <c r="E6896" s="62" t="s">
        <v>382</v>
      </c>
      <c r="F6896" s="62" t="s">
        <v>382</v>
      </c>
      <c r="G6896" s="63" t="s">
        <v>721</v>
      </c>
      <c r="H6896" s="64" t="n">
        <v>140683019.096199</v>
      </c>
      <c r="I6896" s="62" t="s">
        <v>81</v>
      </c>
      <c r="J6896" s="64" t="n">
        <v>140683.019096199</v>
      </c>
      <c r="K6896" s="62" t="s">
        <v>138</v>
      </c>
      <c r="L6896" s="68" t="b">
        <f aca="false">TRUE()</f>
        <v>1</v>
      </c>
    </row>
    <row r="6897" customFormat="false" ht="15" hidden="false" customHeight="false" outlineLevel="0" collapsed="false">
      <c r="A6897" s="62" t="n">
        <v>1</v>
      </c>
      <c r="B6897" s="21" t="s">
        <v>336</v>
      </c>
      <c r="C6897" s="62" t="s">
        <v>60</v>
      </c>
      <c r="D6897" s="62" t="s">
        <v>384</v>
      </c>
      <c r="E6897" s="62" t="s">
        <v>382</v>
      </c>
      <c r="F6897" s="62" t="s">
        <v>382</v>
      </c>
      <c r="G6897" s="63" t="s">
        <v>721</v>
      </c>
      <c r="H6897" s="64" t="n">
        <v>603998157.941559</v>
      </c>
      <c r="I6897" s="62" t="s">
        <v>81</v>
      </c>
      <c r="J6897" s="64" t="n">
        <v>603998.157941559</v>
      </c>
      <c r="K6897" s="62" t="s">
        <v>138</v>
      </c>
      <c r="L6897" s="68" t="b">
        <f aca="false">TRUE()</f>
        <v>1</v>
      </c>
    </row>
    <row r="6898" customFormat="false" ht="15" hidden="false" customHeight="false" outlineLevel="0" collapsed="false">
      <c r="A6898" s="62" t="n">
        <v>1</v>
      </c>
      <c r="B6898" s="21" t="s">
        <v>336</v>
      </c>
      <c r="C6898" s="62" t="s">
        <v>60</v>
      </c>
      <c r="D6898" s="62" t="s">
        <v>385</v>
      </c>
      <c r="E6898" s="62" t="s">
        <v>382</v>
      </c>
      <c r="F6898" s="62" t="s">
        <v>382</v>
      </c>
      <c r="G6898" s="63" t="s">
        <v>721</v>
      </c>
      <c r="H6898" s="64" t="n">
        <v>464729859.912098</v>
      </c>
      <c r="I6898" s="62" t="s">
        <v>81</v>
      </c>
      <c r="J6898" s="64" t="n">
        <v>464729.859912098</v>
      </c>
      <c r="K6898" s="62" t="s">
        <v>138</v>
      </c>
      <c r="L6898" s="68" t="b">
        <f aca="false">TRUE()</f>
        <v>1</v>
      </c>
    </row>
    <row r="6899" customFormat="false" ht="15" hidden="false" customHeight="false" outlineLevel="0" collapsed="false">
      <c r="A6899" s="62" t="n">
        <v>1</v>
      </c>
      <c r="B6899" s="21" t="s">
        <v>336</v>
      </c>
      <c r="C6899" s="62" t="s">
        <v>60</v>
      </c>
      <c r="D6899" s="62" t="s">
        <v>386</v>
      </c>
      <c r="E6899" s="62" t="s">
        <v>382</v>
      </c>
      <c r="F6899" s="62" t="s">
        <v>382</v>
      </c>
      <c r="G6899" s="63" t="s">
        <v>721</v>
      </c>
      <c r="H6899" s="64" t="n">
        <v>681232241.276276</v>
      </c>
      <c r="I6899" s="62" t="s">
        <v>81</v>
      </c>
      <c r="J6899" s="64" t="n">
        <v>681232.241276276</v>
      </c>
      <c r="K6899" s="62" t="s">
        <v>138</v>
      </c>
      <c r="L6899" s="68" t="b">
        <f aca="false">TRUE()</f>
        <v>1</v>
      </c>
    </row>
    <row r="6900" customFormat="false" ht="15" hidden="false" customHeight="false" outlineLevel="0" collapsed="false">
      <c r="A6900" s="62" t="n">
        <v>1</v>
      </c>
      <c r="B6900" s="21" t="s">
        <v>336</v>
      </c>
      <c r="C6900" s="62" t="s">
        <v>60</v>
      </c>
      <c r="D6900" s="62" t="s">
        <v>387</v>
      </c>
      <c r="E6900" s="62" t="s">
        <v>382</v>
      </c>
      <c r="F6900" s="62" t="s">
        <v>382</v>
      </c>
      <c r="G6900" s="63" t="s">
        <v>721</v>
      </c>
      <c r="H6900" s="64" t="n">
        <v>545904541.749942</v>
      </c>
      <c r="I6900" s="62" t="s">
        <v>81</v>
      </c>
      <c r="J6900" s="64" t="n">
        <v>545904.541749942</v>
      </c>
      <c r="K6900" s="62" t="s">
        <v>138</v>
      </c>
      <c r="L6900" s="68" t="b">
        <f aca="false">TRUE()</f>
        <v>1</v>
      </c>
    </row>
    <row r="6901" customFormat="false" ht="15" hidden="false" customHeight="false" outlineLevel="0" collapsed="false">
      <c r="A6901" s="62" t="n">
        <v>1</v>
      </c>
      <c r="B6901" s="21" t="s">
        <v>336</v>
      </c>
      <c r="C6901" s="62" t="s">
        <v>60</v>
      </c>
      <c r="D6901" s="62" t="s">
        <v>388</v>
      </c>
      <c r="E6901" s="62" t="s">
        <v>382</v>
      </c>
      <c r="F6901" s="62" t="s">
        <v>382</v>
      </c>
      <c r="G6901" s="63" t="s">
        <v>721</v>
      </c>
      <c r="H6901" s="64" t="n">
        <v>139853029.395996</v>
      </c>
      <c r="I6901" s="62" t="s">
        <v>81</v>
      </c>
      <c r="J6901" s="64" t="n">
        <v>139853.029395996</v>
      </c>
      <c r="K6901" s="62" t="s">
        <v>138</v>
      </c>
      <c r="L6901" s="68" t="b">
        <f aca="false">TRUE()</f>
        <v>1</v>
      </c>
    </row>
    <row r="6902" customFormat="false" ht="15" hidden="false" customHeight="false" outlineLevel="0" collapsed="false">
      <c r="A6902" s="62" t="n">
        <v>1</v>
      </c>
      <c r="B6902" s="21" t="s">
        <v>336</v>
      </c>
      <c r="C6902" s="62" t="s">
        <v>60</v>
      </c>
      <c r="D6902" s="62" t="s">
        <v>381</v>
      </c>
      <c r="E6902" s="62" t="s">
        <v>382</v>
      </c>
      <c r="F6902" s="62" t="s">
        <v>382</v>
      </c>
      <c r="G6902" s="63" t="s">
        <v>722</v>
      </c>
      <c r="H6902" s="64" t="n">
        <v>328818327.695375</v>
      </c>
      <c r="I6902" s="62" t="s">
        <v>81</v>
      </c>
      <c r="J6902" s="64" t="n">
        <v>328818.327695375</v>
      </c>
      <c r="K6902" s="62" t="s">
        <v>138</v>
      </c>
      <c r="L6902" s="68" t="b">
        <f aca="false">TRUE()</f>
        <v>1</v>
      </c>
    </row>
    <row r="6903" customFormat="false" ht="15" hidden="false" customHeight="false" outlineLevel="0" collapsed="false">
      <c r="A6903" s="62" t="n">
        <v>1</v>
      </c>
      <c r="B6903" s="21" t="s">
        <v>336</v>
      </c>
      <c r="C6903" s="62" t="s">
        <v>60</v>
      </c>
      <c r="D6903" s="62" t="s">
        <v>383</v>
      </c>
      <c r="E6903" s="62" t="s">
        <v>382</v>
      </c>
      <c r="F6903" s="62" t="s">
        <v>382</v>
      </c>
      <c r="G6903" s="63" t="s">
        <v>722</v>
      </c>
      <c r="H6903" s="64" t="n">
        <v>3758363602.87444</v>
      </c>
      <c r="I6903" s="62" t="s">
        <v>81</v>
      </c>
      <c r="J6903" s="64" t="n">
        <v>3758363.60287444</v>
      </c>
      <c r="K6903" s="62" t="s">
        <v>138</v>
      </c>
      <c r="L6903" s="68" t="b">
        <f aca="false">TRUE()</f>
        <v>1</v>
      </c>
    </row>
    <row r="6904" customFormat="false" ht="15" hidden="false" customHeight="false" outlineLevel="0" collapsed="false">
      <c r="A6904" s="62" t="n">
        <v>1</v>
      </c>
      <c r="B6904" s="21" t="s">
        <v>336</v>
      </c>
      <c r="C6904" s="62" t="s">
        <v>60</v>
      </c>
      <c r="D6904" s="62" t="s">
        <v>384</v>
      </c>
      <c r="E6904" s="62" t="s">
        <v>382</v>
      </c>
      <c r="F6904" s="62" t="s">
        <v>382</v>
      </c>
      <c r="G6904" s="63" t="s">
        <v>722</v>
      </c>
      <c r="H6904" s="64" t="n">
        <v>2451623334.25696</v>
      </c>
      <c r="I6904" s="62" t="s">
        <v>81</v>
      </c>
      <c r="J6904" s="64" t="n">
        <v>2451623.33425696</v>
      </c>
      <c r="K6904" s="62" t="s">
        <v>138</v>
      </c>
      <c r="L6904" s="68" t="b">
        <f aca="false">TRUE()</f>
        <v>1</v>
      </c>
    </row>
    <row r="6905" customFormat="false" ht="15" hidden="false" customHeight="false" outlineLevel="0" collapsed="false">
      <c r="A6905" s="62" t="n">
        <v>1</v>
      </c>
      <c r="B6905" s="21" t="s">
        <v>336</v>
      </c>
      <c r="C6905" s="62" t="s">
        <v>60</v>
      </c>
      <c r="D6905" s="62" t="s">
        <v>385</v>
      </c>
      <c r="E6905" s="62" t="s">
        <v>382</v>
      </c>
      <c r="F6905" s="62" t="s">
        <v>382</v>
      </c>
      <c r="G6905" s="63" t="s">
        <v>722</v>
      </c>
      <c r="H6905" s="64" t="n">
        <v>803588409.182443</v>
      </c>
      <c r="I6905" s="62" t="s">
        <v>81</v>
      </c>
      <c r="J6905" s="64" t="n">
        <v>803588.409182443</v>
      </c>
      <c r="K6905" s="62" t="s">
        <v>138</v>
      </c>
      <c r="L6905" s="68" t="b">
        <f aca="false">TRUE()</f>
        <v>1</v>
      </c>
    </row>
    <row r="6906" customFormat="false" ht="15" hidden="false" customHeight="false" outlineLevel="0" collapsed="false">
      <c r="A6906" s="62" t="n">
        <v>1</v>
      </c>
      <c r="B6906" s="21" t="s">
        <v>336</v>
      </c>
      <c r="C6906" s="62" t="s">
        <v>60</v>
      </c>
      <c r="D6906" s="62" t="s">
        <v>386</v>
      </c>
      <c r="E6906" s="62" t="s">
        <v>382</v>
      </c>
      <c r="F6906" s="62" t="s">
        <v>382</v>
      </c>
      <c r="G6906" s="63" t="s">
        <v>722</v>
      </c>
      <c r="H6906" s="64" t="n">
        <v>396394865.277004</v>
      </c>
      <c r="I6906" s="62" t="s">
        <v>81</v>
      </c>
      <c r="J6906" s="64" t="n">
        <v>396394.865277004</v>
      </c>
      <c r="K6906" s="62" t="s">
        <v>138</v>
      </c>
      <c r="L6906" s="68" t="b">
        <f aca="false">TRUE()</f>
        <v>1</v>
      </c>
    </row>
    <row r="6907" customFormat="false" ht="15" hidden="false" customHeight="false" outlineLevel="0" collapsed="false">
      <c r="A6907" s="62" t="n">
        <v>1</v>
      </c>
      <c r="B6907" s="21" t="s">
        <v>336</v>
      </c>
      <c r="C6907" s="62" t="s">
        <v>60</v>
      </c>
      <c r="D6907" s="62" t="s">
        <v>387</v>
      </c>
      <c r="E6907" s="62" t="s">
        <v>382</v>
      </c>
      <c r="F6907" s="62" t="s">
        <v>382</v>
      </c>
      <c r="G6907" s="63" t="s">
        <v>722</v>
      </c>
      <c r="H6907" s="64" t="n">
        <v>203163485.394354</v>
      </c>
      <c r="I6907" s="62" t="s">
        <v>81</v>
      </c>
      <c r="J6907" s="64" t="n">
        <v>203163.485394354</v>
      </c>
      <c r="K6907" s="62" t="s">
        <v>138</v>
      </c>
      <c r="L6907" s="68" t="b">
        <f aca="false">TRUE()</f>
        <v>1</v>
      </c>
    </row>
    <row r="6908" customFormat="false" ht="15" hidden="false" customHeight="false" outlineLevel="0" collapsed="false">
      <c r="A6908" s="62" t="n">
        <v>1</v>
      </c>
      <c r="B6908" s="21" t="s">
        <v>336</v>
      </c>
      <c r="C6908" s="62" t="s">
        <v>60</v>
      </c>
      <c r="D6908" s="62" t="s">
        <v>388</v>
      </c>
      <c r="E6908" s="62" t="s">
        <v>382</v>
      </c>
      <c r="F6908" s="62" t="s">
        <v>382</v>
      </c>
      <c r="G6908" s="63" t="s">
        <v>722</v>
      </c>
      <c r="H6908" s="64" t="n">
        <v>0</v>
      </c>
      <c r="I6908" s="62" t="s">
        <v>81</v>
      </c>
      <c r="J6908" s="64" t="n">
        <v>0</v>
      </c>
      <c r="K6908" s="62" t="s">
        <v>138</v>
      </c>
      <c r="L6908" s="68" t="b">
        <f aca="false">TRUE()</f>
        <v>1</v>
      </c>
    </row>
    <row r="6909" customFormat="false" ht="15" hidden="false" customHeight="false" outlineLevel="0" collapsed="false">
      <c r="A6909" s="62" t="n">
        <v>1</v>
      </c>
      <c r="B6909" s="21" t="s">
        <v>336</v>
      </c>
      <c r="C6909" s="62" t="s">
        <v>60</v>
      </c>
      <c r="D6909" s="62" t="s">
        <v>381</v>
      </c>
      <c r="E6909" s="62" t="s">
        <v>382</v>
      </c>
      <c r="F6909" s="62" t="s">
        <v>382</v>
      </c>
      <c r="G6909" s="63" t="s">
        <v>723</v>
      </c>
      <c r="H6909" s="64" t="n">
        <v>1175515748.93371</v>
      </c>
      <c r="I6909" s="62" t="s">
        <v>81</v>
      </c>
      <c r="J6909" s="64" t="n">
        <v>1175515.74893371</v>
      </c>
      <c r="K6909" s="62" t="s">
        <v>138</v>
      </c>
      <c r="L6909" s="68" t="b">
        <f aca="false">FALSE()</f>
        <v>0</v>
      </c>
    </row>
    <row r="6910" customFormat="false" ht="15" hidden="false" customHeight="false" outlineLevel="0" collapsed="false">
      <c r="A6910" s="62" t="n">
        <v>1</v>
      </c>
      <c r="B6910" s="21" t="s">
        <v>336</v>
      </c>
      <c r="C6910" s="62" t="s">
        <v>60</v>
      </c>
      <c r="D6910" s="62" t="s">
        <v>383</v>
      </c>
      <c r="E6910" s="62" t="s">
        <v>382</v>
      </c>
      <c r="F6910" s="62" t="s">
        <v>382</v>
      </c>
      <c r="G6910" s="63" t="s">
        <v>723</v>
      </c>
      <c r="H6910" s="64" t="n">
        <v>4449016993.32739</v>
      </c>
      <c r="I6910" s="62" t="s">
        <v>81</v>
      </c>
      <c r="J6910" s="64" t="n">
        <v>4449016.99332739</v>
      </c>
      <c r="K6910" s="62" t="s">
        <v>138</v>
      </c>
      <c r="L6910" s="68" t="b">
        <f aca="false">FALSE()</f>
        <v>0</v>
      </c>
    </row>
    <row r="6911" customFormat="false" ht="15" hidden="false" customHeight="false" outlineLevel="0" collapsed="false">
      <c r="A6911" s="62" t="n">
        <v>1</v>
      </c>
      <c r="B6911" s="21" t="s">
        <v>336</v>
      </c>
      <c r="C6911" s="62" t="s">
        <v>60</v>
      </c>
      <c r="D6911" s="62" t="s">
        <v>384</v>
      </c>
      <c r="E6911" s="62" t="s">
        <v>382</v>
      </c>
      <c r="F6911" s="62" t="s">
        <v>382</v>
      </c>
      <c r="G6911" s="63" t="s">
        <v>723</v>
      </c>
      <c r="H6911" s="64" t="n">
        <v>3486391069.13948</v>
      </c>
      <c r="I6911" s="62" t="s">
        <v>81</v>
      </c>
      <c r="J6911" s="64" t="n">
        <v>3486391.06913948</v>
      </c>
      <c r="K6911" s="62" t="s">
        <v>138</v>
      </c>
      <c r="L6911" s="68" t="b">
        <f aca="false">FALSE()</f>
        <v>0</v>
      </c>
    </row>
    <row r="6912" customFormat="false" ht="15" hidden="false" customHeight="false" outlineLevel="0" collapsed="false">
      <c r="A6912" s="62" t="n">
        <v>1</v>
      </c>
      <c r="B6912" s="21" t="s">
        <v>336</v>
      </c>
      <c r="C6912" s="62" t="s">
        <v>60</v>
      </c>
      <c r="D6912" s="62" t="s">
        <v>385</v>
      </c>
      <c r="E6912" s="62" t="s">
        <v>382</v>
      </c>
      <c r="F6912" s="62" t="s">
        <v>382</v>
      </c>
      <c r="G6912" s="63" t="s">
        <v>723</v>
      </c>
      <c r="H6912" s="64" t="n">
        <v>2174683843.90881</v>
      </c>
      <c r="I6912" s="62" t="s">
        <v>81</v>
      </c>
      <c r="J6912" s="64" t="n">
        <v>2174683.84390881</v>
      </c>
      <c r="K6912" s="62" t="s">
        <v>138</v>
      </c>
      <c r="L6912" s="68" t="b">
        <f aca="false">FALSE()</f>
        <v>0</v>
      </c>
    </row>
    <row r="6913" customFormat="false" ht="15" hidden="false" customHeight="false" outlineLevel="0" collapsed="false">
      <c r="A6913" s="62" t="n">
        <v>1</v>
      </c>
      <c r="B6913" s="21" t="s">
        <v>336</v>
      </c>
      <c r="C6913" s="62" t="s">
        <v>60</v>
      </c>
      <c r="D6913" s="62" t="s">
        <v>386</v>
      </c>
      <c r="E6913" s="62" t="s">
        <v>382</v>
      </c>
      <c r="F6913" s="62" t="s">
        <v>382</v>
      </c>
      <c r="G6913" s="63" t="s">
        <v>723</v>
      </c>
      <c r="H6913" s="64" t="n">
        <v>1802625814.70303</v>
      </c>
      <c r="I6913" s="62" t="s">
        <v>81</v>
      </c>
      <c r="J6913" s="64" t="n">
        <v>1802625.81470303</v>
      </c>
      <c r="K6913" s="62" t="s">
        <v>138</v>
      </c>
      <c r="L6913" s="68" t="b">
        <f aca="false">FALSE()</f>
        <v>0</v>
      </c>
    </row>
    <row r="6914" customFormat="false" ht="15" hidden="false" customHeight="false" outlineLevel="0" collapsed="false">
      <c r="A6914" s="62" t="n">
        <v>1</v>
      </c>
      <c r="B6914" s="21" t="s">
        <v>336</v>
      </c>
      <c r="C6914" s="62" t="s">
        <v>60</v>
      </c>
      <c r="D6914" s="62" t="s">
        <v>387</v>
      </c>
      <c r="E6914" s="62" t="s">
        <v>382</v>
      </c>
      <c r="F6914" s="62" t="s">
        <v>382</v>
      </c>
      <c r="G6914" s="63" t="s">
        <v>723</v>
      </c>
      <c r="H6914" s="64" t="n">
        <v>2157698480.81882</v>
      </c>
      <c r="I6914" s="62" t="s">
        <v>81</v>
      </c>
      <c r="J6914" s="64" t="n">
        <v>2157698.48081882</v>
      </c>
      <c r="K6914" s="62" t="s">
        <v>138</v>
      </c>
      <c r="L6914" s="68" t="b">
        <f aca="false">FALSE()</f>
        <v>0</v>
      </c>
    </row>
    <row r="6915" customFormat="false" ht="15" hidden="false" customHeight="false" outlineLevel="0" collapsed="false">
      <c r="A6915" s="62" t="n">
        <v>1</v>
      </c>
      <c r="B6915" s="21" t="s">
        <v>336</v>
      </c>
      <c r="C6915" s="62" t="s">
        <v>60</v>
      </c>
      <c r="D6915" s="62" t="s">
        <v>388</v>
      </c>
      <c r="E6915" s="62" t="s">
        <v>382</v>
      </c>
      <c r="F6915" s="62" t="s">
        <v>382</v>
      </c>
      <c r="G6915" s="63" t="s">
        <v>723</v>
      </c>
      <c r="H6915" s="64" t="n">
        <v>193806115.392853</v>
      </c>
      <c r="I6915" s="62" t="s">
        <v>81</v>
      </c>
      <c r="J6915" s="64" t="n">
        <v>193806.115392853</v>
      </c>
      <c r="K6915" s="62" t="s">
        <v>138</v>
      </c>
      <c r="L6915" s="68" t="b">
        <f aca="false">FALSE()</f>
        <v>0</v>
      </c>
    </row>
    <row r="6916" customFormat="false" ht="15" hidden="false" customHeight="false" outlineLevel="0" collapsed="false">
      <c r="A6916" s="62" t="n">
        <v>1</v>
      </c>
      <c r="B6916" s="21" t="s">
        <v>336</v>
      </c>
      <c r="C6916" s="62" t="s">
        <v>60</v>
      </c>
      <c r="D6916" s="62" t="s">
        <v>381</v>
      </c>
      <c r="E6916" s="62" t="s">
        <v>382</v>
      </c>
      <c r="F6916" s="62" t="s">
        <v>382</v>
      </c>
      <c r="G6916" s="63" t="s">
        <v>724</v>
      </c>
      <c r="H6916" s="64" t="n">
        <v>13407228734.0465</v>
      </c>
      <c r="I6916" s="62" t="s">
        <v>81</v>
      </c>
      <c r="J6916" s="64" t="n">
        <v>13407228.7340465</v>
      </c>
      <c r="K6916" s="62" t="s">
        <v>138</v>
      </c>
      <c r="L6916" s="68" t="b">
        <f aca="false">TRUE()</f>
        <v>1</v>
      </c>
    </row>
    <row r="6917" customFormat="false" ht="15" hidden="false" customHeight="false" outlineLevel="0" collapsed="false">
      <c r="A6917" s="62" t="n">
        <v>1</v>
      </c>
      <c r="B6917" s="21" t="s">
        <v>336</v>
      </c>
      <c r="C6917" s="62" t="s">
        <v>60</v>
      </c>
      <c r="D6917" s="62" t="s">
        <v>383</v>
      </c>
      <c r="E6917" s="62" t="s">
        <v>382</v>
      </c>
      <c r="F6917" s="62" t="s">
        <v>382</v>
      </c>
      <c r="G6917" s="63" t="s">
        <v>724</v>
      </c>
      <c r="H6917" s="64" t="n">
        <v>18833575615.2738</v>
      </c>
      <c r="I6917" s="62" t="s">
        <v>81</v>
      </c>
      <c r="J6917" s="64" t="n">
        <v>18833575.6152738</v>
      </c>
      <c r="K6917" s="62" t="s">
        <v>138</v>
      </c>
      <c r="L6917" s="68" t="b">
        <f aca="false">TRUE()</f>
        <v>1</v>
      </c>
    </row>
    <row r="6918" customFormat="false" ht="15" hidden="false" customHeight="false" outlineLevel="0" collapsed="false">
      <c r="A6918" s="62" t="n">
        <v>1</v>
      </c>
      <c r="B6918" s="21" t="s">
        <v>336</v>
      </c>
      <c r="C6918" s="62" t="s">
        <v>60</v>
      </c>
      <c r="D6918" s="62" t="s">
        <v>384</v>
      </c>
      <c r="E6918" s="62" t="s">
        <v>382</v>
      </c>
      <c r="F6918" s="62" t="s">
        <v>382</v>
      </c>
      <c r="G6918" s="63" t="s">
        <v>724</v>
      </c>
      <c r="H6918" s="64" t="n">
        <v>11635702149.9458</v>
      </c>
      <c r="I6918" s="62" t="s">
        <v>81</v>
      </c>
      <c r="J6918" s="64" t="n">
        <v>11635702.1499458</v>
      </c>
      <c r="K6918" s="62" t="s">
        <v>138</v>
      </c>
      <c r="L6918" s="68" t="b">
        <f aca="false">TRUE()</f>
        <v>1</v>
      </c>
    </row>
    <row r="6919" customFormat="false" ht="15" hidden="false" customHeight="false" outlineLevel="0" collapsed="false">
      <c r="A6919" s="62" t="n">
        <v>1</v>
      </c>
      <c r="B6919" s="21" t="s">
        <v>336</v>
      </c>
      <c r="C6919" s="62" t="s">
        <v>60</v>
      </c>
      <c r="D6919" s="62" t="s">
        <v>385</v>
      </c>
      <c r="E6919" s="62" t="s">
        <v>382</v>
      </c>
      <c r="F6919" s="62" t="s">
        <v>382</v>
      </c>
      <c r="G6919" s="63" t="s">
        <v>724</v>
      </c>
      <c r="H6919" s="64" t="n">
        <v>11288058870.5198</v>
      </c>
      <c r="I6919" s="62" t="s">
        <v>81</v>
      </c>
      <c r="J6919" s="64" t="n">
        <v>11288058.8705198</v>
      </c>
      <c r="K6919" s="62" t="s">
        <v>138</v>
      </c>
      <c r="L6919" s="68" t="b">
        <f aca="false">TRUE()</f>
        <v>1</v>
      </c>
    </row>
    <row r="6920" customFormat="false" ht="15" hidden="false" customHeight="false" outlineLevel="0" collapsed="false">
      <c r="A6920" s="62" t="n">
        <v>1</v>
      </c>
      <c r="B6920" s="21" t="s">
        <v>336</v>
      </c>
      <c r="C6920" s="62" t="s">
        <v>60</v>
      </c>
      <c r="D6920" s="62" t="s">
        <v>386</v>
      </c>
      <c r="E6920" s="62" t="s">
        <v>382</v>
      </c>
      <c r="F6920" s="62" t="s">
        <v>382</v>
      </c>
      <c r="G6920" s="63" t="s">
        <v>724</v>
      </c>
      <c r="H6920" s="64" t="n">
        <v>10092777604.5844</v>
      </c>
      <c r="I6920" s="62" t="s">
        <v>81</v>
      </c>
      <c r="J6920" s="64" t="n">
        <v>10092777.6045844</v>
      </c>
      <c r="K6920" s="62" t="s">
        <v>138</v>
      </c>
      <c r="L6920" s="68" t="b">
        <f aca="false">TRUE()</f>
        <v>1</v>
      </c>
    </row>
    <row r="6921" customFormat="false" ht="15" hidden="false" customHeight="false" outlineLevel="0" collapsed="false">
      <c r="A6921" s="62" t="n">
        <v>1</v>
      </c>
      <c r="B6921" s="21" t="s">
        <v>336</v>
      </c>
      <c r="C6921" s="62" t="s">
        <v>60</v>
      </c>
      <c r="D6921" s="62" t="s">
        <v>387</v>
      </c>
      <c r="E6921" s="62" t="s">
        <v>382</v>
      </c>
      <c r="F6921" s="62" t="s">
        <v>382</v>
      </c>
      <c r="G6921" s="63" t="s">
        <v>724</v>
      </c>
      <c r="H6921" s="64" t="n">
        <v>17247966558.2281</v>
      </c>
      <c r="I6921" s="62" t="s">
        <v>81</v>
      </c>
      <c r="J6921" s="64" t="n">
        <v>17247966.5582281</v>
      </c>
      <c r="K6921" s="62" t="s">
        <v>138</v>
      </c>
      <c r="L6921" s="68" t="b">
        <f aca="false">TRUE()</f>
        <v>1</v>
      </c>
    </row>
    <row r="6922" customFormat="false" ht="15" hidden="false" customHeight="false" outlineLevel="0" collapsed="false">
      <c r="A6922" s="62" t="n">
        <v>1</v>
      </c>
      <c r="B6922" s="21" t="s">
        <v>336</v>
      </c>
      <c r="C6922" s="62" t="s">
        <v>60</v>
      </c>
      <c r="D6922" s="62" t="s">
        <v>388</v>
      </c>
      <c r="E6922" s="62" t="s">
        <v>382</v>
      </c>
      <c r="F6922" s="62" t="s">
        <v>382</v>
      </c>
      <c r="G6922" s="63" t="s">
        <v>724</v>
      </c>
      <c r="H6922" s="64" t="n">
        <v>13089771314.7847</v>
      </c>
      <c r="I6922" s="62" t="s">
        <v>81</v>
      </c>
      <c r="J6922" s="64" t="n">
        <v>13089771.3147847</v>
      </c>
      <c r="K6922" s="62" t="s">
        <v>138</v>
      </c>
      <c r="L6922" s="68" t="b">
        <f aca="false">TRUE()</f>
        <v>1</v>
      </c>
    </row>
    <row r="6923" customFormat="false" ht="15" hidden="false" customHeight="false" outlineLevel="0" collapsed="false">
      <c r="A6923" s="62" t="n">
        <v>1</v>
      </c>
      <c r="B6923" s="21" t="s">
        <v>336</v>
      </c>
      <c r="C6923" s="62" t="s">
        <v>60</v>
      </c>
      <c r="D6923" s="62" t="s">
        <v>381</v>
      </c>
      <c r="E6923" s="62" t="s">
        <v>382</v>
      </c>
      <c r="F6923" s="62" t="s">
        <v>382</v>
      </c>
      <c r="G6923" s="63" t="s">
        <v>725</v>
      </c>
      <c r="H6923" s="64" t="n">
        <v>6342543861.15284</v>
      </c>
      <c r="I6923" s="62" t="s">
        <v>81</v>
      </c>
      <c r="J6923" s="64" t="n">
        <v>6342543.86115284</v>
      </c>
      <c r="K6923" s="62" t="s">
        <v>138</v>
      </c>
      <c r="L6923" s="68" t="b">
        <f aca="false">TRUE()</f>
        <v>1</v>
      </c>
    </row>
    <row r="6924" customFormat="false" ht="15" hidden="false" customHeight="false" outlineLevel="0" collapsed="false">
      <c r="A6924" s="62" t="n">
        <v>1</v>
      </c>
      <c r="B6924" s="21" t="s">
        <v>336</v>
      </c>
      <c r="C6924" s="62" t="s">
        <v>60</v>
      </c>
      <c r="D6924" s="62" t="s">
        <v>383</v>
      </c>
      <c r="E6924" s="62" t="s">
        <v>382</v>
      </c>
      <c r="F6924" s="62" t="s">
        <v>382</v>
      </c>
      <c r="G6924" s="63" t="s">
        <v>725</v>
      </c>
      <c r="H6924" s="64" t="n">
        <v>6967709425.75127</v>
      </c>
      <c r="I6924" s="62" t="s">
        <v>81</v>
      </c>
      <c r="J6924" s="64" t="n">
        <v>6967709.42575127</v>
      </c>
      <c r="K6924" s="62" t="s">
        <v>138</v>
      </c>
      <c r="L6924" s="68" t="b">
        <f aca="false">TRUE()</f>
        <v>1</v>
      </c>
    </row>
    <row r="6925" customFormat="false" ht="15" hidden="false" customHeight="false" outlineLevel="0" collapsed="false">
      <c r="A6925" s="62" t="n">
        <v>1</v>
      </c>
      <c r="B6925" s="21" t="s">
        <v>336</v>
      </c>
      <c r="C6925" s="62" t="s">
        <v>60</v>
      </c>
      <c r="D6925" s="62" t="s">
        <v>384</v>
      </c>
      <c r="E6925" s="62" t="s">
        <v>382</v>
      </c>
      <c r="F6925" s="62" t="s">
        <v>382</v>
      </c>
      <c r="G6925" s="63" t="s">
        <v>725</v>
      </c>
      <c r="H6925" s="64" t="n">
        <v>8448149976.37876</v>
      </c>
      <c r="I6925" s="62" t="s">
        <v>81</v>
      </c>
      <c r="J6925" s="64" t="n">
        <v>8448149.97637876</v>
      </c>
      <c r="K6925" s="62" t="s">
        <v>138</v>
      </c>
      <c r="L6925" s="68" t="b">
        <f aca="false">TRUE()</f>
        <v>1</v>
      </c>
    </row>
    <row r="6926" customFormat="false" ht="15" hidden="false" customHeight="false" outlineLevel="0" collapsed="false">
      <c r="A6926" s="62" t="n">
        <v>1</v>
      </c>
      <c r="B6926" s="21" t="s">
        <v>336</v>
      </c>
      <c r="C6926" s="62" t="s">
        <v>60</v>
      </c>
      <c r="D6926" s="62" t="s">
        <v>385</v>
      </c>
      <c r="E6926" s="62" t="s">
        <v>382</v>
      </c>
      <c r="F6926" s="62" t="s">
        <v>382</v>
      </c>
      <c r="G6926" s="63" t="s">
        <v>725</v>
      </c>
      <c r="H6926" s="64" t="n">
        <v>4896289743.78424</v>
      </c>
      <c r="I6926" s="62" t="s">
        <v>81</v>
      </c>
      <c r="J6926" s="64" t="n">
        <v>4896289.74378424</v>
      </c>
      <c r="K6926" s="62" t="s">
        <v>138</v>
      </c>
      <c r="L6926" s="68" t="b">
        <f aca="false">TRUE()</f>
        <v>1</v>
      </c>
    </row>
    <row r="6927" customFormat="false" ht="15" hidden="false" customHeight="false" outlineLevel="0" collapsed="false">
      <c r="A6927" s="62" t="n">
        <v>1</v>
      </c>
      <c r="B6927" s="21" t="s">
        <v>336</v>
      </c>
      <c r="C6927" s="62" t="s">
        <v>60</v>
      </c>
      <c r="D6927" s="62" t="s">
        <v>386</v>
      </c>
      <c r="E6927" s="62" t="s">
        <v>382</v>
      </c>
      <c r="F6927" s="62" t="s">
        <v>382</v>
      </c>
      <c r="G6927" s="63" t="s">
        <v>725</v>
      </c>
      <c r="H6927" s="64" t="n">
        <v>5791359863.66864</v>
      </c>
      <c r="I6927" s="62" t="s">
        <v>81</v>
      </c>
      <c r="J6927" s="64" t="n">
        <v>5791359.86366864</v>
      </c>
      <c r="K6927" s="62" t="s">
        <v>138</v>
      </c>
      <c r="L6927" s="68" t="b">
        <f aca="false">TRUE()</f>
        <v>1</v>
      </c>
    </row>
    <row r="6928" customFormat="false" ht="15" hidden="false" customHeight="false" outlineLevel="0" collapsed="false">
      <c r="A6928" s="62" t="n">
        <v>1</v>
      </c>
      <c r="B6928" s="21" t="s">
        <v>336</v>
      </c>
      <c r="C6928" s="62" t="s">
        <v>60</v>
      </c>
      <c r="D6928" s="62" t="s">
        <v>387</v>
      </c>
      <c r="E6928" s="62" t="s">
        <v>382</v>
      </c>
      <c r="F6928" s="62" t="s">
        <v>382</v>
      </c>
      <c r="G6928" s="63" t="s">
        <v>725</v>
      </c>
      <c r="H6928" s="64" t="n">
        <v>5860003876.90102</v>
      </c>
      <c r="I6928" s="62" t="s">
        <v>81</v>
      </c>
      <c r="J6928" s="64" t="n">
        <v>5860003.87690102</v>
      </c>
      <c r="K6928" s="62" t="s">
        <v>138</v>
      </c>
      <c r="L6928" s="68" t="b">
        <f aca="false">TRUE()</f>
        <v>1</v>
      </c>
    </row>
    <row r="6929" customFormat="false" ht="15" hidden="false" customHeight="false" outlineLevel="0" collapsed="false">
      <c r="A6929" s="62" t="n">
        <v>1</v>
      </c>
      <c r="B6929" s="21" t="s">
        <v>336</v>
      </c>
      <c r="C6929" s="62" t="s">
        <v>60</v>
      </c>
      <c r="D6929" s="62" t="s">
        <v>388</v>
      </c>
      <c r="E6929" s="62" t="s">
        <v>382</v>
      </c>
      <c r="F6929" s="62" t="s">
        <v>382</v>
      </c>
      <c r="G6929" s="63" t="s">
        <v>725</v>
      </c>
      <c r="H6929" s="64" t="n">
        <v>4839520000</v>
      </c>
      <c r="I6929" s="62" t="s">
        <v>81</v>
      </c>
      <c r="J6929" s="64" t="n">
        <v>4839520</v>
      </c>
      <c r="K6929" s="62" t="s">
        <v>138</v>
      </c>
      <c r="L6929" s="68" t="b">
        <f aca="false">TRUE()</f>
        <v>1</v>
      </c>
    </row>
    <row r="6930" customFormat="false" ht="15" hidden="false" customHeight="false" outlineLevel="0" collapsed="false">
      <c r="A6930" s="62" t="n">
        <v>1</v>
      </c>
      <c r="B6930" s="21" t="s">
        <v>336</v>
      </c>
      <c r="C6930" s="62" t="s">
        <v>60</v>
      </c>
      <c r="D6930" s="62" t="s">
        <v>381</v>
      </c>
      <c r="E6930" s="62" t="s">
        <v>382</v>
      </c>
      <c r="F6930" s="62" t="s">
        <v>382</v>
      </c>
      <c r="G6930" s="63" t="s">
        <v>726</v>
      </c>
      <c r="H6930" s="64" t="n">
        <v>12927498431.8747</v>
      </c>
      <c r="I6930" s="62" t="s">
        <v>81</v>
      </c>
      <c r="J6930" s="64" t="n">
        <v>12927498.4318747</v>
      </c>
      <c r="K6930" s="62" t="s">
        <v>138</v>
      </c>
      <c r="L6930" s="68" t="b">
        <f aca="false">TRUE()</f>
        <v>1</v>
      </c>
    </row>
    <row r="6931" customFormat="false" ht="15" hidden="false" customHeight="false" outlineLevel="0" collapsed="false">
      <c r="A6931" s="62" t="n">
        <v>1</v>
      </c>
      <c r="B6931" s="21" t="s">
        <v>336</v>
      </c>
      <c r="C6931" s="62" t="s">
        <v>60</v>
      </c>
      <c r="D6931" s="62" t="s">
        <v>383</v>
      </c>
      <c r="E6931" s="62" t="s">
        <v>382</v>
      </c>
      <c r="F6931" s="62" t="s">
        <v>382</v>
      </c>
      <c r="G6931" s="63" t="s">
        <v>726</v>
      </c>
      <c r="H6931" s="64" t="n">
        <v>4189208771.78431</v>
      </c>
      <c r="I6931" s="62" t="s">
        <v>81</v>
      </c>
      <c r="J6931" s="64" t="n">
        <v>4189208.77178431</v>
      </c>
      <c r="K6931" s="62" t="s">
        <v>138</v>
      </c>
      <c r="L6931" s="68" t="b">
        <f aca="false">TRUE()</f>
        <v>1</v>
      </c>
    </row>
    <row r="6932" customFormat="false" ht="15" hidden="false" customHeight="false" outlineLevel="0" collapsed="false">
      <c r="A6932" s="62" t="n">
        <v>1</v>
      </c>
      <c r="B6932" s="21" t="s">
        <v>336</v>
      </c>
      <c r="C6932" s="62" t="s">
        <v>60</v>
      </c>
      <c r="D6932" s="62" t="s">
        <v>384</v>
      </c>
      <c r="E6932" s="62" t="s">
        <v>382</v>
      </c>
      <c r="F6932" s="62" t="s">
        <v>382</v>
      </c>
      <c r="G6932" s="63" t="s">
        <v>726</v>
      </c>
      <c r="H6932" s="64" t="n">
        <v>7157343072.56458</v>
      </c>
      <c r="I6932" s="62" t="s">
        <v>81</v>
      </c>
      <c r="J6932" s="64" t="n">
        <v>7157343.07256458</v>
      </c>
      <c r="K6932" s="62" t="s">
        <v>138</v>
      </c>
      <c r="L6932" s="68" t="b">
        <f aca="false">TRUE()</f>
        <v>1</v>
      </c>
    </row>
    <row r="6933" customFormat="false" ht="15" hidden="false" customHeight="false" outlineLevel="0" collapsed="false">
      <c r="A6933" s="62" t="n">
        <v>1</v>
      </c>
      <c r="B6933" s="21" t="s">
        <v>336</v>
      </c>
      <c r="C6933" s="62" t="s">
        <v>60</v>
      </c>
      <c r="D6933" s="62" t="s">
        <v>385</v>
      </c>
      <c r="E6933" s="62" t="s">
        <v>382</v>
      </c>
      <c r="F6933" s="62" t="s">
        <v>382</v>
      </c>
      <c r="G6933" s="63" t="s">
        <v>726</v>
      </c>
      <c r="H6933" s="64" t="n">
        <v>0</v>
      </c>
      <c r="I6933" s="62" t="s">
        <v>81</v>
      </c>
      <c r="J6933" s="64" t="n">
        <v>0</v>
      </c>
      <c r="K6933" s="62" t="s">
        <v>138</v>
      </c>
      <c r="L6933" s="68" t="b">
        <f aca="false">TRUE()</f>
        <v>1</v>
      </c>
    </row>
    <row r="6934" customFormat="false" ht="15" hidden="false" customHeight="false" outlineLevel="0" collapsed="false">
      <c r="A6934" s="62" t="n">
        <v>1</v>
      </c>
      <c r="B6934" s="21" t="s">
        <v>336</v>
      </c>
      <c r="C6934" s="62" t="s">
        <v>60</v>
      </c>
      <c r="D6934" s="62" t="s">
        <v>386</v>
      </c>
      <c r="E6934" s="62" t="s">
        <v>382</v>
      </c>
      <c r="F6934" s="62" t="s">
        <v>382</v>
      </c>
      <c r="G6934" s="63" t="s">
        <v>726</v>
      </c>
      <c r="H6934" s="64" t="n">
        <v>5663654667.26401</v>
      </c>
      <c r="I6934" s="62" t="s">
        <v>81</v>
      </c>
      <c r="J6934" s="64" t="n">
        <v>5663654.66726401</v>
      </c>
      <c r="K6934" s="62" t="s">
        <v>138</v>
      </c>
      <c r="L6934" s="68" t="b">
        <f aca="false">TRUE()</f>
        <v>1</v>
      </c>
    </row>
    <row r="6935" customFormat="false" ht="15" hidden="false" customHeight="false" outlineLevel="0" collapsed="false">
      <c r="A6935" s="62" t="n">
        <v>1</v>
      </c>
      <c r="B6935" s="21" t="s">
        <v>336</v>
      </c>
      <c r="C6935" s="62" t="s">
        <v>60</v>
      </c>
      <c r="D6935" s="62" t="s">
        <v>387</v>
      </c>
      <c r="E6935" s="62" t="s">
        <v>382</v>
      </c>
      <c r="F6935" s="62" t="s">
        <v>382</v>
      </c>
      <c r="G6935" s="63" t="s">
        <v>726</v>
      </c>
      <c r="H6935" s="64" t="n">
        <v>2882275800.23416</v>
      </c>
      <c r="I6935" s="62" t="s">
        <v>81</v>
      </c>
      <c r="J6935" s="64" t="n">
        <v>2882275.80023416</v>
      </c>
      <c r="K6935" s="62" t="s">
        <v>138</v>
      </c>
      <c r="L6935" s="68" t="b">
        <f aca="false">TRUE()</f>
        <v>1</v>
      </c>
    </row>
    <row r="6936" customFormat="false" ht="15" hidden="false" customHeight="false" outlineLevel="0" collapsed="false">
      <c r="A6936" s="62" t="n">
        <v>1</v>
      </c>
      <c r="B6936" s="21" t="s">
        <v>336</v>
      </c>
      <c r="C6936" s="62" t="s">
        <v>60</v>
      </c>
      <c r="D6936" s="62" t="s">
        <v>388</v>
      </c>
      <c r="E6936" s="62" t="s">
        <v>382</v>
      </c>
      <c r="F6936" s="62" t="s">
        <v>382</v>
      </c>
      <c r="G6936" s="63" t="s">
        <v>726</v>
      </c>
      <c r="H6936" s="64" t="n">
        <v>0</v>
      </c>
      <c r="I6936" s="62" t="s">
        <v>81</v>
      </c>
      <c r="J6936" s="64" t="n">
        <v>0</v>
      </c>
      <c r="K6936" s="62" t="s">
        <v>138</v>
      </c>
      <c r="L6936" s="68" t="b">
        <f aca="false">TRUE()</f>
        <v>1</v>
      </c>
    </row>
    <row r="6937" customFormat="false" ht="15" hidden="false" customHeight="false" outlineLevel="0" collapsed="false">
      <c r="A6937" s="62" t="n">
        <v>1</v>
      </c>
      <c r="B6937" s="21" t="s">
        <v>336</v>
      </c>
      <c r="C6937" s="62" t="s">
        <v>60</v>
      </c>
      <c r="D6937" s="62" t="s">
        <v>381</v>
      </c>
      <c r="E6937" s="62" t="s">
        <v>382</v>
      </c>
      <c r="F6937" s="62" t="s">
        <v>382</v>
      </c>
      <c r="G6937" s="63" t="s">
        <v>727</v>
      </c>
      <c r="H6937" s="64" t="n">
        <v>550000000</v>
      </c>
      <c r="I6937" s="62" t="s">
        <v>81</v>
      </c>
      <c r="J6937" s="64" t="n">
        <v>550000</v>
      </c>
      <c r="K6937" s="62" t="s">
        <v>138</v>
      </c>
      <c r="L6937" s="68" t="b">
        <f aca="false">TRUE()</f>
        <v>1</v>
      </c>
    </row>
    <row r="6938" customFormat="false" ht="15" hidden="false" customHeight="false" outlineLevel="0" collapsed="false">
      <c r="A6938" s="62" t="n">
        <v>1</v>
      </c>
      <c r="B6938" s="21" t="s">
        <v>336</v>
      </c>
      <c r="C6938" s="62" t="s">
        <v>60</v>
      </c>
      <c r="D6938" s="62" t="s">
        <v>383</v>
      </c>
      <c r="E6938" s="62" t="s">
        <v>382</v>
      </c>
      <c r="F6938" s="62" t="s">
        <v>382</v>
      </c>
      <c r="G6938" s="63" t="s">
        <v>727</v>
      </c>
      <c r="H6938" s="64" t="n">
        <v>1200000000</v>
      </c>
      <c r="I6938" s="62" t="s">
        <v>81</v>
      </c>
      <c r="J6938" s="64" t="n">
        <v>1200000</v>
      </c>
      <c r="K6938" s="62" t="s">
        <v>138</v>
      </c>
      <c r="L6938" s="68" t="b">
        <f aca="false">TRUE()</f>
        <v>1</v>
      </c>
    </row>
    <row r="6939" customFormat="false" ht="15" hidden="false" customHeight="false" outlineLevel="0" collapsed="false">
      <c r="A6939" s="62" t="n">
        <v>1</v>
      </c>
      <c r="B6939" s="21" t="s">
        <v>336</v>
      </c>
      <c r="C6939" s="62" t="s">
        <v>60</v>
      </c>
      <c r="D6939" s="62" t="s">
        <v>384</v>
      </c>
      <c r="E6939" s="62" t="s">
        <v>382</v>
      </c>
      <c r="F6939" s="62" t="s">
        <v>382</v>
      </c>
      <c r="G6939" s="63" t="s">
        <v>727</v>
      </c>
      <c r="H6939" s="64" t="n">
        <v>0</v>
      </c>
      <c r="I6939" s="62" t="s">
        <v>81</v>
      </c>
      <c r="J6939" s="64" t="n">
        <v>0</v>
      </c>
      <c r="K6939" s="62" t="s">
        <v>138</v>
      </c>
      <c r="L6939" s="68" t="b">
        <f aca="false">TRUE()</f>
        <v>1</v>
      </c>
    </row>
    <row r="6940" customFormat="false" ht="15" hidden="false" customHeight="false" outlineLevel="0" collapsed="false">
      <c r="A6940" s="62" t="n">
        <v>1</v>
      </c>
      <c r="B6940" s="21" t="s">
        <v>336</v>
      </c>
      <c r="C6940" s="62" t="s">
        <v>60</v>
      </c>
      <c r="D6940" s="62" t="s">
        <v>385</v>
      </c>
      <c r="E6940" s="62" t="s">
        <v>382</v>
      </c>
      <c r="F6940" s="62" t="s">
        <v>382</v>
      </c>
      <c r="G6940" s="63" t="s">
        <v>727</v>
      </c>
      <c r="H6940" s="64" t="n">
        <v>0</v>
      </c>
      <c r="I6940" s="62" t="s">
        <v>81</v>
      </c>
      <c r="J6940" s="64" t="n">
        <v>0</v>
      </c>
      <c r="K6940" s="62" t="s">
        <v>138</v>
      </c>
      <c r="L6940" s="68" t="b">
        <f aca="false">TRUE()</f>
        <v>1</v>
      </c>
    </row>
    <row r="6941" customFormat="false" ht="15" hidden="false" customHeight="false" outlineLevel="0" collapsed="false">
      <c r="A6941" s="62" t="n">
        <v>1</v>
      </c>
      <c r="B6941" s="21" t="s">
        <v>336</v>
      </c>
      <c r="C6941" s="62" t="s">
        <v>60</v>
      </c>
      <c r="D6941" s="62" t="s">
        <v>386</v>
      </c>
      <c r="E6941" s="62" t="s">
        <v>382</v>
      </c>
      <c r="F6941" s="62" t="s">
        <v>382</v>
      </c>
      <c r="G6941" s="63" t="s">
        <v>727</v>
      </c>
      <c r="H6941" s="64" t="n">
        <v>200000000</v>
      </c>
      <c r="I6941" s="62" t="s">
        <v>81</v>
      </c>
      <c r="J6941" s="64" t="n">
        <v>200000</v>
      </c>
      <c r="K6941" s="62" t="s">
        <v>138</v>
      </c>
      <c r="L6941" s="68" t="b">
        <f aca="false">TRUE()</f>
        <v>1</v>
      </c>
    </row>
    <row r="6942" customFormat="false" ht="15" hidden="false" customHeight="false" outlineLevel="0" collapsed="false">
      <c r="A6942" s="62" t="n">
        <v>1</v>
      </c>
      <c r="B6942" s="21" t="s">
        <v>336</v>
      </c>
      <c r="C6942" s="62" t="s">
        <v>60</v>
      </c>
      <c r="D6942" s="62" t="s">
        <v>387</v>
      </c>
      <c r="E6942" s="62" t="s">
        <v>382</v>
      </c>
      <c r="F6942" s="62" t="s">
        <v>382</v>
      </c>
      <c r="G6942" s="63" t="s">
        <v>727</v>
      </c>
      <c r="H6942" s="64" t="n">
        <v>2050000000</v>
      </c>
      <c r="I6942" s="62" t="s">
        <v>81</v>
      </c>
      <c r="J6942" s="64" t="n">
        <v>2050000</v>
      </c>
      <c r="K6942" s="62" t="s">
        <v>138</v>
      </c>
      <c r="L6942" s="68" t="b">
        <f aca="false">TRUE()</f>
        <v>1</v>
      </c>
    </row>
    <row r="6943" customFormat="false" ht="15" hidden="false" customHeight="false" outlineLevel="0" collapsed="false">
      <c r="A6943" s="62" t="n">
        <v>1</v>
      </c>
      <c r="B6943" s="21" t="s">
        <v>336</v>
      </c>
      <c r="C6943" s="62" t="s">
        <v>60</v>
      </c>
      <c r="D6943" s="62" t="s">
        <v>388</v>
      </c>
      <c r="E6943" s="62" t="s">
        <v>382</v>
      </c>
      <c r="F6943" s="62" t="s">
        <v>382</v>
      </c>
      <c r="G6943" s="63" t="s">
        <v>727</v>
      </c>
      <c r="H6943" s="64" t="n">
        <v>1075000000</v>
      </c>
      <c r="I6943" s="62" t="s">
        <v>81</v>
      </c>
      <c r="J6943" s="64" t="n">
        <v>1075000</v>
      </c>
      <c r="K6943" s="62" t="s">
        <v>138</v>
      </c>
      <c r="L6943" s="68" t="b">
        <f aca="false">TRUE()</f>
        <v>1</v>
      </c>
    </row>
    <row r="6944" customFormat="false" ht="15" hidden="false" customHeight="false" outlineLevel="0" collapsed="false">
      <c r="A6944" s="62" t="n">
        <v>1</v>
      </c>
      <c r="B6944" s="21" t="s">
        <v>336</v>
      </c>
      <c r="C6944" s="62" t="s">
        <v>60</v>
      </c>
      <c r="D6944" s="62" t="s">
        <v>381</v>
      </c>
      <c r="E6944" s="62" t="s">
        <v>382</v>
      </c>
      <c r="F6944" s="62" t="s">
        <v>382</v>
      </c>
      <c r="G6944" s="63" t="s">
        <v>728</v>
      </c>
      <c r="H6944" s="64" t="n">
        <v>33227271027.0741</v>
      </c>
      <c r="I6944" s="62" t="s">
        <v>81</v>
      </c>
      <c r="J6944" s="64" t="n">
        <v>33227271.0270741</v>
      </c>
      <c r="K6944" s="62" t="s">
        <v>138</v>
      </c>
      <c r="L6944" s="68" t="b">
        <f aca="false">FALSE()</f>
        <v>0</v>
      </c>
    </row>
    <row r="6945" customFormat="false" ht="15" hidden="false" customHeight="false" outlineLevel="0" collapsed="false">
      <c r="A6945" s="62" t="n">
        <v>1</v>
      </c>
      <c r="B6945" s="21" t="s">
        <v>336</v>
      </c>
      <c r="C6945" s="62" t="s">
        <v>60</v>
      </c>
      <c r="D6945" s="62" t="s">
        <v>383</v>
      </c>
      <c r="E6945" s="62" t="s">
        <v>382</v>
      </c>
      <c r="F6945" s="62" t="s">
        <v>382</v>
      </c>
      <c r="G6945" s="63" t="s">
        <v>728</v>
      </c>
      <c r="H6945" s="64" t="n">
        <v>31190493812.8094</v>
      </c>
      <c r="I6945" s="62" t="s">
        <v>81</v>
      </c>
      <c r="J6945" s="64" t="n">
        <v>31190493.8128094</v>
      </c>
      <c r="K6945" s="62" t="s">
        <v>138</v>
      </c>
      <c r="L6945" s="68" t="b">
        <f aca="false">FALSE()</f>
        <v>0</v>
      </c>
    </row>
    <row r="6946" customFormat="false" ht="15" hidden="false" customHeight="false" outlineLevel="0" collapsed="false">
      <c r="A6946" s="62" t="n">
        <v>1</v>
      </c>
      <c r="B6946" s="21" t="s">
        <v>336</v>
      </c>
      <c r="C6946" s="62" t="s">
        <v>60</v>
      </c>
      <c r="D6946" s="62" t="s">
        <v>384</v>
      </c>
      <c r="E6946" s="62" t="s">
        <v>382</v>
      </c>
      <c r="F6946" s="62" t="s">
        <v>382</v>
      </c>
      <c r="G6946" s="63" t="s">
        <v>728</v>
      </c>
      <c r="H6946" s="64" t="n">
        <v>27241195198.8892</v>
      </c>
      <c r="I6946" s="62" t="s">
        <v>81</v>
      </c>
      <c r="J6946" s="64" t="n">
        <v>27241195.1988892</v>
      </c>
      <c r="K6946" s="62" t="s">
        <v>138</v>
      </c>
      <c r="L6946" s="68" t="b">
        <f aca="false">FALSE()</f>
        <v>0</v>
      </c>
    </row>
    <row r="6947" customFormat="false" ht="15" hidden="false" customHeight="false" outlineLevel="0" collapsed="false">
      <c r="A6947" s="62" t="n">
        <v>1</v>
      </c>
      <c r="B6947" s="21" t="s">
        <v>336</v>
      </c>
      <c r="C6947" s="62" t="s">
        <v>60</v>
      </c>
      <c r="D6947" s="62" t="s">
        <v>385</v>
      </c>
      <c r="E6947" s="62" t="s">
        <v>382</v>
      </c>
      <c r="F6947" s="62" t="s">
        <v>382</v>
      </c>
      <c r="G6947" s="63" t="s">
        <v>728</v>
      </c>
      <c r="H6947" s="64" t="n">
        <v>16184348614.304</v>
      </c>
      <c r="I6947" s="62" t="s">
        <v>81</v>
      </c>
      <c r="J6947" s="64" t="n">
        <v>16184348.614304</v>
      </c>
      <c r="K6947" s="62" t="s">
        <v>138</v>
      </c>
      <c r="L6947" s="68" t="b">
        <f aca="false">FALSE()</f>
        <v>0</v>
      </c>
    </row>
    <row r="6948" customFormat="false" ht="15" hidden="false" customHeight="false" outlineLevel="0" collapsed="false">
      <c r="A6948" s="62" t="n">
        <v>1</v>
      </c>
      <c r="B6948" s="21" t="s">
        <v>336</v>
      </c>
      <c r="C6948" s="62" t="s">
        <v>60</v>
      </c>
      <c r="D6948" s="62" t="s">
        <v>386</v>
      </c>
      <c r="E6948" s="62" t="s">
        <v>382</v>
      </c>
      <c r="F6948" s="62" t="s">
        <v>382</v>
      </c>
      <c r="G6948" s="63" t="s">
        <v>728</v>
      </c>
      <c r="H6948" s="64" t="n">
        <v>21747792135.5171</v>
      </c>
      <c r="I6948" s="62" t="s">
        <v>81</v>
      </c>
      <c r="J6948" s="64" t="n">
        <v>21747792.1355171</v>
      </c>
      <c r="K6948" s="62" t="s">
        <v>138</v>
      </c>
      <c r="L6948" s="68" t="b">
        <f aca="false">FALSE()</f>
        <v>0</v>
      </c>
    </row>
    <row r="6949" customFormat="false" ht="15" hidden="false" customHeight="false" outlineLevel="0" collapsed="false">
      <c r="A6949" s="62" t="n">
        <v>1</v>
      </c>
      <c r="B6949" s="21" t="s">
        <v>336</v>
      </c>
      <c r="C6949" s="62" t="s">
        <v>60</v>
      </c>
      <c r="D6949" s="62" t="s">
        <v>387</v>
      </c>
      <c r="E6949" s="62" t="s">
        <v>382</v>
      </c>
      <c r="F6949" s="62" t="s">
        <v>382</v>
      </c>
      <c r="G6949" s="63" t="s">
        <v>728</v>
      </c>
      <c r="H6949" s="64" t="n">
        <v>28040246235.3633</v>
      </c>
      <c r="I6949" s="62" t="s">
        <v>81</v>
      </c>
      <c r="J6949" s="64" t="n">
        <v>28040246.2353633</v>
      </c>
      <c r="K6949" s="62" t="s">
        <v>138</v>
      </c>
      <c r="L6949" s="68" t="b">
        <f aca="false">FALSE()</f>
        <v>0</v>
      </c>
    </row>
    <row r="6950" customFormat="false" ht="15" hidden="false" customHeight="false" outlineLevel="0" collapsed="false">
      <c r="A6950" s="62" t="n">
        <v>1</v>
      </c>
      <c r="B6950" s="21" t="s">
        <v>336</v>
      </c>
      <c r="C6950" s="62" t="s">
        <v>60</v>
      </c>
      <c r="D6950" s="62" t="s">
        <v>388</v>
      </c>
      <c r="E6950" s="62" t="s">
        <v>382</v>
      </c>
      <c r="F6950" s="62" t="s">
        <v>382</v>
      </c>
      <c r="G6950" s="63" t="s">
        <v>728</v>
      </c>
      <c r="H6950" s="64" t="n">
        <v>19004291314.7847</v>
      </c>
      <c r="I6950" s="62" t="s">
        <v>81</v>
      </c>
      <c r="J6950" s="64" t="n">
        <v>19004291.3147847</v>
      </c>
      <c r="K6950" s="62" t="s">
        <v>138</v>
      </c>
      <c r="L6950" s="68" t="b">
        <f aca="false">FALSE()</f>
        <v>0</v>
      </c>
    </row>
    <row r="6951" customFormat="false" ht="15" hidden="false" customHeight="false" outlineLevel="0" collapsed="false">
      <c r="A6951" s="62" t="n">
        <v>1</v>
      </c>
      <c r="B6951" s="21" t="s">
        <v>336</v>
      </c>
      <c r="C6951" s="62" t="s">
        <v>60</v>
      </c>
      <c r="D6951" s="62" t="s">
        <v>381</v>
      </c>
      <c r="E6951" s="62" t="s">
        <v>382</v>
      </c>
      <c r="F6951" s="62" t="s">
        <v>382</v>
      </c>
      <c r="G6951" s="63" t="s">
        <v>729</v>
      </c>
      <c r="H6951" s="64" t="n">
        <v>42273675752.9611</v>
      </c>
      <c r="I6951" s="62" t="s">
        <v>81</v>
      </c>
      <c r="J6951" s="64" t="n">
        <v>42273675.7529611</v>
      </c>
      <c r="K6951" s="62" t="s">
        <v>138</v>
      </c>
      <c r="L6951" s="68" t="b">
        <f aca="false">TRUE()</f>
        <v>1</v>
      </c>
    </row>
    <row r="6952" customFormat="false" ht="15" hidden="false" customHeight="false" outlineLevel="0" collapsed="false">
      <c r="A6952" s="62" t="n">
        <v>1</v>
      </c>
      <c r="B6952" s="21" t="s">
        <v>336</v>
      </c>
      <c r="C6952" s="62" t="s">
        <v>60</v>
      </c>
      <c r="D6952" s="62" t="s">
        <v>383</v>
      </c>
      <c r="E6952" s="62" t="s">
        <v>382</v>
      </c>
      <c r="F6952" s="62" t="s">
        <v>382</v>
      </c>
      <c r="G6952" s="63" t="s">
        <v>729</v>
      </c>
      <c r="H6952" s="64" t="n">
        <v>53425445940.0198</v>
      </c>
      <c r="I6952" s="62" t="s">
        <v>81</v>
      </c>
      <c r="J6952" s="64" t="n">
        <v>53425445.9400198</v>
      </c>
      <c r="K6952" s="62" t="s">
        <v>138</v>
      </c>
      <c r="L6952" s="68" t="b">
        <f aca="false">TRUE()</f>
        <v>1</v>
      </c>
    </row>
    <row r="6953" customFormat="false" ht="15" hidden="false" customHeight="false" outlineLevel="0" collapsed="false">
      <c r="A6953" s="62" t="n">
        <v>1</v>
      </c>
      <c r="B6953" s="21" t="s">
        <v>336</v>
      </c>
      <c r="C6953" s="62" t="s">
        <v>60</v>
      </c>
      <c r="D6953" s="62" t="s">
        <v>384</v>
      </c>
      <c r="E6953" s="62" t="s">
        <v>382</v>
      </c>
      <c r="F6953" s="62" t="s">
        <v>382</v>
      </c>
      <c r="G6953" s="63" t="s">
        <v>729</v>
      </c>
      <c r="H6953" s="64" t="n">
        <v>44324614244.3539</v>
      </c>
      <c r="I6953" s="62" t="s">
        <v>81</v>
      </c>
      <c r="J6953" s="64" t="n">
        <v>44324614.2443539</v>
      </c>
      <c r="K6953" s="62" t="s">
        <v>138</v>
      </c>
      <c r="L6953" s="68" t="b">
        <f aca="false">TRUE()</f>
        <v>1</v>
      </c>
    </row>
    <row r="6954" customFormat="false" ht="15" hidden="false" customHeight="false" outlineLevel="0" collapsed="false">
      <c r="A6954" s="62" t="n">
        <v>1</v>
      </c>
      <c r="B6954" s="21" t="s">
        <v>336</v>
      </c>
      <c r="C6954" s="62" t="s">
        <v>60</v>
      </c>
      <c r="D6954" s="62" t="s">
        <v>385</v>
      </c>
      <c r="E6954" s="62" t="s">
        <v>382</v>
      </c>
      <c r="F6954" s="62" t="s">
        <v>382</v>
      </c>
      <c r="G6954" s="63" t="s">
        <v>729</v>
      </c>
      <c r="H6954" s="64" t="n">
        <v>28750558513.2927</v>
      </c>
      <c r="I6954" s="62" t="s">
        <v>81</v>
      </c>
      <c r="J6954" s="64" t="n">
        <v>28750558.5132927</v>
      </c>
      <c r="K6954" s="62" t="s">
        <v>138</v>
      </c>
      <c r="L6954" s="68" t="b">
        <f aca="false">TRUE()</f>
        <v>1</v>
      </c>
    </row>
    <row r="6955" customFormat="false" ht="15" hidden="false" customHeight="false" outlineLevel="0" collapsed="false">
      <c r="A6955" s="62" t="n">
        <v>1</v>
      </c>
      <c r="B6955" s="21" t="s">
        <v>336</v>
      </c>
      <c r="C6955" s="62" t="s">
        <v>60</v>
      </c>
      <c r="D6955" s="62" t="s">
        <v>386</v>
      </c>
      <c r="E6955" s="62" t="s">
        <v>382</v>
      </c>
      <c r="F6955" s="62" t="s">
        <v>382</v>
      </c>
      <c r="G6955" s="63" t="s">
        <v>729</v>
      </c>
      <c r="H6955" s="64" t="n">
        <v>32531944295.2352</v>
      </c>
      <c r="I6955" s="62" t="s">
        <v>81</v>
      </c>
      <c r="J6955" s="64" t="n">
        <v>32531944.2952352</v>
      </c>
      <c r="K6955" s="62" t="s">
        <v>138</v>
      </c>
      <c r="L6955" s="68" t="b">
        <f aca="false">TRUE()</f>
        <v>1</v>
      </c>
    </row>
    <row r="6956" customFormat="false" ht="15" hidden="false" customHeight="false" outlineLevel="0" collapsed="false">
      <c r="A6956" s="62" t="n">
        <v>1</v>
      </c>
      <c r="B6956" s="21" t="s">
        <v>336</v>
      </c>
      <c r="C6956" s="62" t="s">
        <v>60</v>
      </c>
      <c r="D6956" s="62" t="s">
        <v>387</v>
      </c>
      <c r="E6956" s="62" t="s">
        <v>382</v>
      </c>
      <c r="F6956" s="62" t="s">
        <v>382</v>
      </c>
      <c r="G6956" s="63" t="s">
        <v>729</v>
      </c>
      <c r="H6956" s="64" t="n">
        <v>42637435002.6412</v>
      </c>
      <c r="I6956" s="62" t="s">
        <v>81</v>
      </c>
      <c r="J6956" s="64" t="n">
        <v>42637435.0026412</v>
      </c>
      <c r="K6956" s="62" t="s">
        <v>138</v>
      </c>
      <c r="L6956" s="68" t="b">
        <f aca="false">TRUE()</f>
        <v>1</v>
      </c>
    </row>
    <row r="6957" customFormat="false" ht="15" hidden="false" customHeight="false" outlineLevel="0" collapsed="false">
      <c r="A6957" s="62" t="n">
        <v>1</v>
      </c>
      <c r="B6957" s="21" t="s">
        <v>336</v>
      </c>
      <c r="C6957" s="62" t="s">
        <v>60</v>
      </c>
      <c r="D6957" s="62" t="s">
        <v>388</v>
      </c>
      <c r="E6957" s="62" t="s">
        <v>382</v>
      </c>
      <c r="F6957" s="62" t="s">
        <v>382</v>
      </c>
      <c r="G6957" s="63" t="s">
        <v>729</v>
      </c>
      <c r="H6957" s="64" t="n">
        <v>23741624422.6525</v>
      </c>
      <c r="I6957" s="62" t="s">
        <v>81</v>
      </c>
      <c r="J6957" s="64" t="n">
        <v>23741624.4226525</v>
      </c>
      <c r="K6957" s="62" t="s">
        <v>138</v>
      </c>
      <c r="L6957" s="68" t="b">
        <f aca="false">TRUE()</f>
        <v>1</v>
      </c>
    </row>
    <row r="6958" customFormat="false" ht="15" hidden="false" customHeight="false" outlineLevel="0" collapsed="false">
      <c r="A6958" s="62" t="n">
        <v>1</v>
      </c>
      <c r="B6958" s="21" t="s">
        <v>336</v>
      </c>
      <c r="C6958" s="62" t="s">
        <v>60</v>
      </c>
      <c r="D6958" s="62" t="s">
        <v>381</v>
      </c>
      <c r="E6958" s="62" t="s">
        <v>382</v>
      </c>
      <c r="F6958" s="62" t="s">
        <v>382</v>
      </c>
      <c r="G6958" s="63" t="s">
        <v>730</v>
      </c>
      <c r="H6958" s="64" t="n">
        <v>540488</v>
      </c>
      <c r="I6958" s="62" t="s">
        <v>81</v>
      </c>
      <c r="J6958" s="64" t="n">
        <v>540.488</v>
      </c>
      <c r="K6958" s="62" t="s">
        <v>138</v>
      </c>
      <c r="L6958" s="68" t="b">
        <f aca="false">FALSE()</f>
        <v>0</v>
      </c>
    </row>
    <row r="6959" customFormat="false" ht="15" hidden="false" customHeight="false" outlineLevel="0" collapsed="false">
      <c r="A6959" s="62" t="n">
        <v>1</v>
      </c>
      <c r="B6959" s="21" t="s">
        <v>336</v>
      </c>
      <c r="C6959" s="62" t="s">
        <v>60</v>
      </c>
      <c r="D6959" s="62" t="s">
        <v>383</v>
      </c>
      <c r="E6959" s="62" t="s">
        <v>382</v>
      </c>
      <c r="F6959" s="62" t="s">
        <v>382</v>
      </c>
      <c r="G6959" s="63" t="s">
        <v>730</v>
      </c>
      <c r="H6959" s="64" t="n">
        <v>543532</v>
      </c>
      <c r="I6959" s="62" t="s">
        <v>81</v>
      </c>
      <c r="J6959" s="64" t="n">
        <v>543.532</v>
      </c>
      <c r="K6959" s="62" t="s">
        <v>138</v>
      </c>
      <c r="L6959" s="68" t="b">
        <f aca="false">FALSE()</f>
        <v>0</v>
      </c>
    </row>
    <row r="6960" customFormat="false" ht="15" hidden="false" customHeight="false" outlineLevel="0" collapsed="false">
      <c r="A6960" s="62" t="n">
        <v>1</v>
      </c>
      <c r="B6960" s="21" t="s">
        <v>336</v>
      </c>
      <c r="C6960" s="62" t="s">
        <v>60</v>
      </c>
      <c r="D6960" s="62" t="s">
        <v>384</v>
      </c>
      <c r="E6960" s="62" t="s">
        <v>382</v>
      </c>
      <c r="F6960" s="62" t="s">
        <v>382</v>
      </c>
      <c r="G6960" s="63" t="s">
        <v>730</v>
      </c>
      <c r="H6960" s="64" t="n">
        <v>764143</v>
      </c>
      <c r="I6960" s="62" t="s">
        <v>81</v>
      </c>
      <c r="J6960" s="64" t="n">
        <v>764.143</v>
      </c>
      <c r="K6960" s="62" t="s">
        <v>138</v>
      </c>
      <c r="L6960" s="68" t="b">
        <f aca="false">FALSE()</f>
        <v>0</v>
      </c>
    </row>
    <row r="6961" customFormat="false" ht="15" hidden="false" customHeight="false" outlineLevel="0" collapsed="false">
      <c r="A6961" s="62" t="n">
        <v>1</v>
      </c>
      <c r="B6961" s="21" t="s">
        <v>336</v>
      </c>
      <c r="C6961" s="62" t="s">
        <v>60</v>
      </c>
      <c r="D6961" s="62" t="s">
        <v>385</v>
      </c>
      <c r="E6961" s="62" t="s">
        <v>382</v>
      </c>
      <c r="F6961" s="62" t="s">
        <v>382</v>
      </c>
      <c r="G6961" s="63" t="s">
        <v>730</v>
      </c>
      <c r="H6961" s="64" t="n">
        <v>639450</v>
      </c>
      <c r="I6961" s="62" t="s">
        <v>81</v>
      </c>
      <c r="J6961" s="64" t="n">
        <v>639.45</v>
      </c>
      <c r="K6961" s="62" t="s">
        <v>138</v>
      </c>
      <c r="L6961" s="68" t="b">
        <f aca="false">FALSE()</f>
        <v>0</v>
      </c>
    </row>
    <row r="6962" customFormat="false" ht="15" hidden="false" customHeight="false" outlineLevel="0" collapsed="false">
      <c r="A6962" s="62" t="n">
        <v>1</v>
      </c>
      <c r="B6962" s="21" t="s">
        <v>336</v>
      </c>
      <c r="C6962" s="62" t="s">
        <v>60</v>
      </c>
      <c r="D6962" s="62" t="s">
        <v>386</v>
      </c>
      <c r="E6962" s="62" t="s">
        <v>382</v>
      </c>
      <c r="F6962" s="62" t="s">
        <v>382</v>
      </c>
      <c r="G6962" s="63" t="s">
        <v>730</v>
      </c>
      <c r="H6962" s="64" t="n">
        <v>586163</v>
      </c>
      <c r="I6962" s="62" t="s">
        <v>81</v>
      </c>
      <c r="J6962" s="64" t="n">
        <v>586.163</v>
      </c>
      <c r="K6962" s="62" t="s">
        <v>138</v>
      </c>
      <c r="L6962" s="68" t="b">
        <f aca="false">FALSE()</f>
        <v>0</v>
      </c>
    </row>
    <row r="6963" customFormat="false" ht="15" hidden="false" customHeight="false" outlineLevel="0" collapsed="false">
      <c r="A6963" s="62" t="n">
        <v>1</v>
      </c>
      <c r="B6963" s="21" t="s">
        <v>336</v>
      </c>
      <c r="C6963" s="62" t="s">
        <v>60</v>
      </c>
      <c r="D6963" s="62" t="s">
        <v>387</v>
      </c>
      <c r="E6963" s="62" t="s">
        <v>382</v>
      </c>
      <c r="F6963" s="62" t="s">
        <v>382</v>
      </c>
      <c r="G6963" s="63" t="s">
        <v>730</v>
      </c>
      <c r="H6963" s="64" t="n">
        <v>471163</v>
      </c>
      <c r="I6963" s="62" t="s">
        <v>81</v>
      </c>
      <c r="J6963" s="64" t="n">
        <v>471.163</v>
      </c>
      <c r="K6963" s="62" t="s">
        <v>138</v>
      </c>
      <c r="L6963" s="68" t="b">
        <f aca="false">FALSE()</f>
        <v>0</v>
      </c>
    </row>
    <row r="6964" customFormat="false" ht="15" hidden="false" customHeight="false" outlineLevel="0" collapsed="false">
      <c r="A6964" s="62" t="n">
        <v>1</v>
      </c>
      <c r="B6964" s="21" t="s">
        <v>336</v>
      </c>
      <c r="C6964" s="62" t="s">
        <v>60</v>
      </c>
      <c r="D6964" s="62" t="s">
        <v>388</v>
      </c>
      <c r="E6964" s="62" t="s">
        <v>382</v>
      </c>
      <c r="F6964" s="62" t="s">
        <v>382</v>
      </c>
      <c r="G6964" s="63" t="s">
        <v>730</v>
      </c>
      <c r="H6964" s="64" t="n">
        <v>426300</v>
      </c>
      <c r="I6964" s="62" t="s">
        <v>81</v>
      </c>
      <c r="J6964" s="64" t="n">
        <v>426.3</v>
      </c>
      <c r="K6964" s="62" t="s">
        <v>138</v>
      </c>
      <c r="L6964" s="68" t="b">
        <f aca="false">FALSE()</f>
        <v>0</v>
      </c>
    </row>
    <row r="6965" customFormat="false" ht="15" hidden="false" customHeight="false" outlineLevel="0" collapsed="false">
      <c r="A6965" s="62" t="n">
        <v>1</v>
      </c>
      <c r="B6965" s="21" t="s">
        <v>336</v>
      </c>
      <c r="C6965" s="62" t="s">
        <v>60</v>
      </c>
      <c r="D6965" s="62" t="s">
        <v>381</v>
      </c>
      <c r="E6965" s="62" t="s">
        <v>382</v>
      </c>
      <c r="F6965" s="62" t="s">
        <v>382</v>
      </c>
      <c r="G6965" s="63" t="s">
        <v>731</v>
      </c>
      <c r="H6965" s="64" t="n">
        <v>270244</v>
      </c>
      <c r="I6965" s="62" t="s">
        <v>81</v>
      </c>
      <c r="J6965" s="64" t="n">
        <v>270.244</v>
      </c>
      <c r="K6965" s="62" t="s">
        <v>138</v>
      </c>
      <c r="L6965" s="68" t="b">
        <f aca="false">FALSE()</f>
        <v>0</v>
      </c>
    </row>
    <row r="6966" customFormat="false" ht="15" hidden="false" customHeight="false" outlineLevel="0" collapsed="false">
      <c r="A6966" s="62" t="n">
        <v>1</v>
      </c>
      <c r="B6966" s="21" t="s">
        <v>336</v>
      </c>
      <c r="C6966" s="62" t="s">
        <v>60</v>
      </c>
      <c r="D6966" s="62" t="s">
        <v>383</v>
      </c>
      <c r="E6966" s="62" t="s">
        <v>382</v>
      </c>
      <c r="F6966" s="62" t="s">
        <v>382</v>
      </c>
      <c r="G6966" s="63" t="s">
        <v>731</v>
      </c>
      <c r="H6966" s="64" t="n">
        <v>127890</v>
      </c>
      <c r="I6966" s="62" t="s">
        <v>81</v>
      </c>
      <c r="J6966" s="64" t="n">
        <v>127.89</v>
      </c>
      <c r="K6966" s="62" t="s">
        <v>138</v>
      </c>
      <c r="L6966" s="68" t="b">
        <f aca="false">FALSE()</f>
        <v>0</v>
      </c>
    </row>
    <row r="6967" customFormat="false" ht="15" hidden="false" customHeight="false" outlineLevel="0" collapsed="false">
      <c r="A6967" s="62" t="n">
        <v>1</v>
      </c>
      <c r="B6967" s="21" t="s">
        <v>336</v>
      </c>
      <c r="C6967" s="62" t="s">
        <v>60</v>
      </c>
      <c r="D6967" s="62" t="s">
        <v>384</v>
      </c>
      <c r="E6967" s="62" t="s">
        <v>382</v>
      </c>
      <c r="F6967" s="62" t="s">
        <v>382</v>
      </c>
      <c r="G6967" s="63" t="s">
        <v>731</v>
      </c>
      <c r="H6967" s="64" t="n">
        <v>0</v>
      </c>
      <c r="I6967" s="62" t="s">
        <v>81</v>
      </c>
      <c r="J6967" s="64" t="n">
        <v>0</v>
      </c>
      <c r="K6967" s="62" t="s">
        <v>138</v>
      </c>
      <c r="L6967" s="68" t="b">
        <f aca="false">TRUE()</f>
        <v>1</v>
      </c>
    </row>
    <row r="6968" customFormat="false" ht="15" hidden="false" customHeight="false" outlineLevel="0" collapsed="false">
      <c r="A6968" s="62" t="n">
        <v>1</v>
      </c>
      <c r="B6968" s="21" t="s">
        <v>336</v>
      </c>
      <c r="C6968" s="62" t="s">
        <v>60</v>
      </c>
      <c r="D6968" s="62" t="s">
        <v>385</v>
      </c>
      <c r="E6968" s="62" t="s">
        <v>382</v>
      </c>
      <c r="F6968" s="62" t="s">
        <v>382</v>
      </c>
      <c r="G6968" s="63" t="s">
        <v>731</v>
      </c>
      <c r="H6968" s="64" t="n">
        <v>0</v>
      </c>
      <c r="I6968" s="62" t="s">
        <v>81</v>
      </c>
      <c r="J6968" s="64" t="n">
        <v>0</v>
      </c>
      <c r="K6968" s="62" t="s">
        <v>138</v>
      </c>
      <c r="L6968" s="68" t="b">
        <f aca="false">TRUE()</f>
        <v>1</v>
      </c>
    </row>
    <row r="6969" customFormat="false" ht="15" hidden="false" customHeight="false" outlineLevel="0" collapsed="false">
      <c r="A6969" s="62" t="n">
        <v>1</v>
      </c>
      <c r="B6969" s="21" t="s">
        <v>336</v>
      </c>
      <c r="C6969" s="62" t="s">
        <v>60</v>
      </c>
      <c r="D6969" s="62" t="s">
        <v>386</v>
      </c>
      <c r="E6969" s="62" t="s">
        <v>382</v>
      </c>
      <c r="F6969" s="62" t="s">
        <v>382</v>
      </c>
      <c r="G6969" s="63" t="s">
        <v>731</v>
      </c>
      <c r="H6969" s="64" t="n">
        <v>0</v>
      </c>
      <c r="I6969" s="62" t="s">
        <v>81</v>
      </c>
      <c r="J6969" s="64" t="n">
        <v>0</v>
      </c>
      <c r="K6969" s="62" t="s">
        <v>138</v>
      </c>
      <c r="L6969" s="68" t="b">
        <f aca="false">TRUE()</f>
        <v>1</v>
      </c>
    </row>
    <row r="6970" customFormat="false" ht="15" hidden="false" customHeight="false" outlineLevel="0" collapsed="false">
      <c r="A6970" s="62" t="n">
        <v>1</v>
      </c>
      <c r="B6970" s="21" t="s">
        <v>336</v>
      </c>
      <c r="C6970" s="62" t="s">
        <v>60</v>
      </c>
      <c r="D6970" s="62" t="s">
        <v>387</v>
      </c>
      <c r="E6970" s="62" t="s">
        <v>382</v>
      </c>
      <c r="F6970" s="62" t="s">
        <v>382</v>
      </c>
      <c r="G6970" s="63" t="s">
        <v>731</v>
      </c>
      <c r="H6970" s="64" t="n">
        <v>117791</v>
      </c>
      <c r="I6970" s="62" t="s">
        <v>81</v>
      </c>
      <c r="J6970" s="64" t="n">
        <v>117.791</v>
      </c>
      <c r="K6970" s="62" t="s">
        <v>138</v>
      </c>
      <c r="L6970" s="68" t="b">
        <f aca="false">FALSE()</f>
        <v>0</v>
      </c>
    </row>
    <row r="6971" customFormat="false" ht="15" hidden="false" customHeight="false" outlineLevel="0" collapsed="false">
      <c r="A6971" s="62" t="n">
        <v>1</v>
      </c>
      <c r="B6971" s="21" t="s">
        <v>336</v>
      </c>
      <c r="C6971" s="62" t="s">
        <v>60</v>
      </c>
      <c r="D6971" s="62" t="s">
        <v>388</v>
      </c>
      <c r="E6971" s="62" t="s">
        <v>382</v>
      </c>
      <c r="F6971" s="62" t="s">
        <v>382</v>
      </c>
      <c r="G6971" s="63" t="s">
        <v>731</v>
      </c>
      <c r="H6971" s="64" t="n">
        <v>79931</v>
      </c>
      <c r="I6971" s="62" t="s">
        <v>81</v>
      </c>
      <c r="J6971" s="64" t="n">
        <v>79.931</v>
      </c>
      <c r="K6971" s="62" t="s">
        <v>138</v>
      </c>
      <c r="L6971" s="68" t="b">
        <f aca="false">FALSE()</f>
        <v>0</v>
      </c>
    </row>
    <row r="6972" customFormat="false" ht="15" hidden="false" customHeight="false" outlineLevel="0" collapsed="false">
      <c r="A6972" s="62" t="n">
        <v>1</v>
      </c>
      <c r="B6972" s="21" t="s">
        <v>336</v>
      </c>
      <c r="C6972" s="62" t="s">
        <v>60</v>
      </c>
      <c r="D6972" s="62" t="s">
        <v>381</v>
      </c>
      <c r="E6972" s="62" t="s">
        <v>382</v>
      </c>
      <c r="F6972" s="62" t="s">
        <v>382</v>
      </c>
      <c r="G6972" s="63" t="s">
        <v>732</v>
      </c>
      <c r="H6972" s="64" t="n">
        <v>0</v>
      </c>
      <c r="I6972" s="62" t="s">
        <v>81</v>
      </c>
      <c r="J6972" s="64" t="n">
        <v>0</v>
      </c>
      <c r="K6972" s="62" t="s">
        <v>138</v>
      </c>
      <c r="L6972" s="68" t="b">
        <f aca="false">TRUE()</f>
        <v>1</v>
      </c>
    </row>
    <row r="6973" customFormat="false" ht="15" hidden="false" customHeight="false" outlineLevel="0" collapsed="false">
      <c r="A6973" s="62" t="n">
        <v>1</v>
      </c>
      <c r="B6973" s="21" t="s">
        <v>336</v>
      </c>
      <c r="C6973" s="62" t="s">
        <v>60</v>
      </c>
      <c r="D6973" s="62" t="s">
        <v>383</v>
      </c>
      <c r="E6973" s="62" t="s">
        <v>382</v>
      </c>
      <c r="F6973" s="62" t="s">
        <v>382</v>
      </c>
      <c r="G6973" s="63" t="s">
        <v>732</v>
      </c>
      <c r="H6973" s="64" t="n">
        <v>0</v>
      </c>
      <c r="I6973" s="62" t="s">
        <v>81</v>
      </c>
      <c r="J6973" s="64" t="n">
        <v>0</v>
      </c>
      <c r="K6973" s="62" t="s">
        <v>138</v>
      </c>
      <c r="L6973" s="68" t="b">
        <f aca="false">TRUE()</f>
        <v>1</v>
      </c>
    </row>
    <row r="6974" customFormat="false" ht="15" hidden="false" customHeight="false" outlineLevel="0" collapsed="false">
      <c r="A6974" s="62" t="n">
        <v>1</v>
      </c>
      <c r="B6974" s="21" t="s">
        <v>336</v>
      </c>
      <c r="C6974" s="62" t="s">
        <v>60</v>
      </c>
      <c r="D6974" s="62" t="s">
        <v>384</v>
      </c>
      <c r="E6974" s="62" t="s">
        <v>382</v>
      </c>
      <c r="F6974" s="62" t="s">
        <v>382</v>
      </c>
      <c r="G6974" s="63" t="s">
        <v>732</v>
      </c>
      <c r="H6974" s="64" t="n">
        <v>0</v>
      </c>
      <c r="I6974" s="62" t="s">
        <v>81</v>
      </c>
      <c r="J6974" s="64" t="n">
        <v>0</v>
      </c>
      <c r="K6974" s="62" t="s">
        <v>138</v>
      </c>
      <c r="L6974" s="68" t="b">
        <f aca="false">TRUE()</f>
        <v>1</v>
      </c>
    </row>
    <row r="6975" customFormat="false" ht="15" hidden="false" customHeight="false" outlineLevel="0" collapsed="false">
      <c r="A6975" s="62" t="n">
        <v>1</v>
      </c>
      <c r="B6975" s="21" t="s">
        <v>336</v>
      </c>
      <c r="C6975" s="62" t="s">
        <v>60</v>
      </c>
      <c r="D6975" s="62" t="s">
        <v>385</v>
      </c>
      <c r="E6975" s="62" t="s">
        <v>382</v>
      </c>
      <c r="F6975" s="62" t="s">
        <v>382</v>
      </c>
      <c r="G6975" s="63" t="s">
        <v>732</v>
      </c>
      <c r="H6975" s="64" t="n">
        <v>0</v>
      </c>
      <c r="I6975" s="62" t="s">
        <v>81</v>
      </c>
      <c r="J6975" s="64" t="n">
        <v>0</v>
      </c>
      <c r="K6975" s="62" t="s">
        <v>138</v>
      </c>
      <c r="L6975" s="68" t="b">
        <f aca="false">TRUE()</f>
        <v>1</v>
      </c>
    </row>
    <row r="6976" customFormat="false" ht="15" hidden="false" customHeight="false" outlineLevel="0" collapsed="false">
      <c r="A6976" s="62" t="n">
        <v>1</v>
      </c>
      <c r="B6976" s="21" t="s">
        <v>336</v>
      </c>
      <c r="C6976" s="62" t="s">
        <v>60</v>
      </c>
      <c r="D6976" s="62" t="s">
        <v>386</v>
      </c>
      <c r="E6976" s="62" t="s">
        <v>382</v>
      </c>
      <c r="F6976" s="62" t="s">
        <v>382</v>
      </c>
      <c r="G6976" s="63" t="s">
        <v>732</v>
      </c>
      <c r="H6976" s="64" t="n">
        <v>0</v>
      </c>
      <c r="I6976" s="62" t="s">
        <v>81</v>
      </c>
      <c r="J6976" s="64" t="n">
        <v>0</v>
      </c>
      <c r="K6976" s="62" t="s">
        <v>138</v>
      </c>
      <c r="L6976" s="68" t="b">
        <f aca="false">TRUE()</f>
        <v>1</v>
      </c>
    </row>
    <row r="6977" customFormat="false" ht="15" hidden="false" customHeight="false" outlineLevel="0" collapsed="false">
      <c r="A6977" s="62" t="n">
        <v>1</v>
      </c>
      <c r="B6977" s="21" t="s">
        <v>336</v>
      </c>
      <c r="C6977" s="62" t="s">
        <v>60</v>
      </c>
      <c r="D6977" s="62" t="s">
        <v>387</v>
      </c>
      <c r="E6977" s="62" t="s">
        <v>382</v>
      </c>
      <c r="F6977" s="62" t="s">
        <v>382</v>
      </c>
      <c r="G6977" s="63" t="s">
        <v>732</v>
      </c>
      <c r="H6977" s="64" t="n">
        <v>0</v>
      </c>
      <c r="I6977" s="62" t="s">
        <v>81</v>
      </c>
      <c r="J6977" s="64" t="n">
        <v>0</v>
      </c>
      <c r="K6977" s="62" t="s">
        <v>138</v>
      </c>
      <c r="L6977" s="68" t="b">
        <f aca="false">TRUE()</f>
        <v>1</v>
      </c>
    </row>
    <row r="6978" customFormat="false" ht="15" hidden="false" customHeight="false" outlineLevel="0" collapsed="false">
      <c r="A6978" s="62" t="n">
        <v>1</v>
      </c>
      <c r="B6978" s="21" t="s">
        <v>336</v>
      </c>
      <c r="C6978" s="62" t="s">
        <v>60</v>
      </c>
      <c r="D6978" s="62" t="s">
        <v>388</v>
      </c>
      <c r="E6978" s="62" t="s">
        <v>382</v>
      </c>
      <c r="F6978" s="62" t="s">
        <v>382</v>
      </c>
      <c r="G6978" s="63" t="s">
        <v>732</v>
      </c>
      <c r="H6978" s="64" t="n">
        <v>0</v>
      </c>
      <c r="I6978" s="62" t="s">
        <v>81</v>
      </c>
      <c r="J6978" s="64" t="n">
        <v>0</v>
      </c>
      <c r="K6978" s="62" t="s">
        <v>138</v>
      </c>
      <c r="L6978" s="68" t="b">
        <f aca="false">TRUE()</f>
        <v>1</v>
      </c>
    </row>
    <row r="6979" customFormat="false" ht="15" hidden="false" customHeight="false" outlineLevel="0" collapsed="false">
      <c r="A6979" s="62" t="n">
        <v>1</v>
      </c>
      <c r="B6979" s="21" t="s">
        <v>336</v>
      </c>
      <c r="C6979" s="62" t="s">
        <v>60</v>
      </c>
      <c r="D6979" s="62" t="s">
        <v>381</v>
      </c>
      <c r="E6979" s="62" t="s">
        <v>382</v>
      </c>
      <c r="F6979" s="62" t="s">
        <v>382</v>
      </c>
      <c r="G6979" s="63" t="s">
        <v>733</v>
      </c>
      <c r="H6979" s="64" t="n">
        <v>0</v>
      </c>
      <c r="I6979" s="62" t="s">
        <v>81</v>
      </c>
      <c r="J6979" s="64" t="n">
        <v>0</v>
      </c>
      <c r="K6979" s="62" t="s">
        <v>138</v>
      </c>
      <c r="L6979" s="68" t="b">
        <f aca="false">TRUE()</f>
        <v>1</v>
      </c>
    </row>
    <row r="6980" customFormat="false" ht="15" hidden="false" customHeight="false" outlineLevel="0" collapsed="false">
      <c r="A6980" s="62" t="n">
        <v>1</v>
      </c>
      <c r="B6980" s="21" t="s">
        <v>336</v>
      </c>
      <c r="C6980" s="62" t="s">
        <v>60</v>
      </c>
      <c r="D6980" s="62" t="s">
        <v>383</v>
      </c>
      <c r="E6980" s="62" t="s">
        <v>382</v>
      </c>
      <c r="F6980" s="62" t="s">
        <v>382</v>
      </c>
      <c r="G6980" s="63" t="s">
        <v>733</v>
      </c>
      <c r="H6980" s="64" t="n">
        <v>0</v>
      </c>
      <c r="I6980" s="62" t="s">
        <v>81</v>
      </c>
      <c r="J6980" s="64" t="n">
        <v>0</v>
      </c>
      <c r="K6980" s="62" t="s">
        <v>138</v>
      </c>
      <c r="L6980" s="68" t="b">
        <f aca="false">TRUE()</f>
        <v>1</v>
      </c>
    </row>
    <row r="6981" customFormat="false" ht="15" hidden="false" customHeight="false" outlineLevel="0" collapsed="false">
      <c r="A6981" s="62" t="n">
        <v>1</v>
      </c>
      <c r="B6981" s="21" t="s">
        <v>336</v>
      </c>
      <c r="C6981" s="62" t="s">
        <v>60</v>
      </c>
      <c r="D6981" s="62" t="s">
        <v>384</v>
      </c>
      <c r="E6981" s="62" t="s">
        <v>382</v>
      </c>
      <c r="F6981" s="62" t="s">
        <v>382</v>
      </c>
      <c r="G6981" s="63" t="s">
        <v>733</v>
      </c>
      <c r="H6981" s="64" t="n">
        <v>0</v>
      </c>
      <c r="I6981" s="62" t="s">
        <v>81</v>
      </c>
      <c r="J6981" s="64" t="n">
        <v>0</v>
      </c>
      <c r="K6981" s="62" t="s">
        <v>138</v>
      </c>
      <c r="L6981" s="68" t="b">
        <f aca="false">TRUE()</f>
        <v>1</v>
      </c>
    </row>
    <row r="6982" customFormat="false" ht="15" hidden="false" customHeight="false" outlineLevel="0" collapsed="false">
      <c r="A6982" s="62" t="n">
        <v>1</v>
      </c>
      <c r="B6982" s="21" t="s">
        <v>336</v>
      </c>
      <c r="C6982" s="62" t="s">
        <v>60</v>
      </c>
      <c r="D6982" s="62" t="s">
        <v>385</v>
      </c>
      <c r="E6982" s="62" t="s">
        <v>382</v>
      </c>
      <c r="F6982" s="62" t="s">
        <v>382</v>
      </c>
      <c r="G6982" s="63" t="s">
        <v>733</v>
      </c>
      <c r="H6982" s="64" t="n">
        <v>0</v>
      </c>
      <c r="I6982" s="62" t="s">
        <v>81</v>
      </c>
      <c r="J6982" s="64" t="n">
        <v>0</v>
      </c>
      <c r="K6982" s="62" t="s">
        <v>138</v>
      </c>
      <c r="L6982" s="68" t="b">
        <f aca="false">TRUE()</f>
        <v>1</v>
      </c>
    </row>
    <row r="6983" customFormat="false" ht="15" hidden="false" customHeight="false" outlineLevel="0" collapsed="false">
      <c r="A6983" s="62" t="n">
        <v>1</v>
      </c>
      <c r="B6983" s="21" t="s">
        <v>336</v>
      </c>
      <c r="C6983" s="62" t="s">
        <v>60</v>
      </c>
      <c r="D6983" s="62" t="s">
        <v>386</v>
      </c>
      <c r="E6983" s="62" t="s">
        <v>382</v>
      </c>
      <c r="F6983" s="62" t="s">
        <v>382</v>
      </c>
      <c r="G6983" s="63" t="s">
        <v>733</v>
      </c>
      <c r="H6983" s="64" t="n">
        <v>0</v>
      </c>
      <c r="I6983" s="62" t="s">
        <v>81</v>
      </c>
      <c r="J6983" s="64" t="n">
        <v>0</v>
      </c>
      <c r="K6983" s="62" t="s">
        <v>138</v>
      </c>
      <c r="L6983" s="68" t="b">
        <f aca="false">TRUE()</f>
        <v>1</v>
      </c>
    </row>
    <row r="6984" customFormat="false" ht="15" hidden="false" customHeight="false" outlineLevel="0" collapsed="false">
      <c r="A6984" s="62" t="n">
        <v>1</v>
      </c>
      <c r="B6984" s="21" t="s">
        <v>336</v>
      </c>
      <c r="C6984" s="62" t="s">
        <v>60</v>
      </c>
      <c r="D6984" s="62" t="s">
        <v>387</v>
      </c>
      <c r="E6984" s="62" t="s">
        <v>382</v>
      </c>
      <c r="F6984" s="62" t="s">
        <v>382</v>
      </c>
      <c r="G6984" s="63" t="s">
        <v>733</v>
      </c>
      <c r="H6984" s="64" t="n">
        <v>0</v>
      </c>
      <c r="I6984" s="62" t="s">
        <v>81</v>
      </c>
      <c r="J6984" s="64" t="n">
        <v>0</v>
      </c>
      <c r="K6984" s="62" t="s">
        <v>138</v>
      </c>
      <c r="L6984" s="68" t="b">
        <f aca="false">TRUE()</f>
        <v>1</v>
      </c>
    </row>
    <row r="6985" customFormat="false" ht="15" hidden="false" customHeight="false" outlineLevel="0" collapsed="false">
      <c r="A6985" s="62" t="n">
        <v>1</v>
      </c>
      <c r="B6985" s="21" t="s">
        <v>336</v>
      </c>
      <c r="C6985" s="62" t="s">
        <v>60</v>
      </c>
      <c r="D6985" s="62" t="s">
        <v>388</v>
      </c>
      <c r="E6985" s="62" t="s">
        <v>382</v>
      </c>
      <c r="F6985" s="62" t="s">
        <v>382</v>
      </c>
      <c r="G6985" s="63" t="s">
        <v>733</v>
      </c>
      <c r="H6985" s="64" t="n">
        <v>0</v>
      </c>
      <c r="I6985" s="62" t="s">
        <v>81</v>
      </c>
      <c r="J6985" s="64" t="n">
        <v>0</v>
      </c>
      <c r="K6985" s="62" t="s">
        <v>138</v>
      </c>
      <c r="L6985" s="68" t="b">
        <f aca="false">TRUE()</f>
        <v>1</v>
      </c>
    </row>
    <row r="6986" customFormat="false" ht="15" hidden="false" customHeight="false" outlineLevel="0" collapsed="false">
      <c r="A6986" s="62" t="n">
        <v>1</v>
      </c>
      <c r="B6986" s="21" t="s">
        <v>336</v>
      </c>
      <c r="C6986" s="62" t="s">
        <v>60</v>
      </c>
      <c r="D6986" s="62" t="s">
        <v>381</v>
      </c>
      <c r="E6986" s="62" t="s">
        <v>382</v>
      </c>
      <c r="F6986" s="62" t="s">
        <v>382</v>
      </c>
      <c r="G6986" s="63" t="s">
        <v>864</v>
      </c>
      <c r="H6986" s="64" t="n">
        <v>353651</v>
      </c>
      <c r="I6986" s="62" t="s">
        <v>81</v>
      </c>
      <c r="J6986" s="64" t="n">
        <v>353.651</v>
      </c>
      <c r="K6986" s="62" t="s">
        <v>138</v>
      </c>
      <c r="L6986" s="68" t="b">
        <f aca="false">FALSE()</f>
        <v>0</v>
      </c>
    </row>
    <row r="6987" customFormat="false" ht="15" hidden="false" customHeight="false" outlineLevel="0" collapsed="false">
      <c r="A6987" s="62" t="n">
        <v>1</v>
      </c>
      <c r="B6987" s="21" t="s">
        <v>336</v>
      </c>
      <c r="C6987" s="62" t="s">
        <v>60</v>
      </c>
      <c r="D6987" s="62" t="s">
        <v>383</v>
      </c>
      <c r="E6987" s="62" t="s">
        <v>382</v>
      </c>
      <c r="F6987" s="62" t="s">
        <v>382</v>
      </c>
      <c r="G6987" s="63" t="s">
        <v>864</v>
      </c>
      <c r="H6987" s="64" t="n">
        <v>311905</v>
      </c>
      <c r="I6987" s="62" t="s">
        <v>81</v>
      </c>
      <c r="J6987" s="64" t="n">
        <v>311.905</v>
      </c>
      <c r="K6987" s="62" t="s">
        <v>138</v>
      </c>
      <c r="L6987" s="68" t="b">
        <f aca="false">FALSE()</f>
        <v>0</v>
      </c>
    </row>
    <row r="6988" customFormat="false" ht="15" hidden="false" customHeight="false" outlineLevel="0" collapsed="false">
      <c r="A6988" s="62" t="n">
        <v>1</v>
      </c>
      <c r="B6988" s="21" t="s">
        <v>336</v>
      </c>
      <c r="C6988" s="62" t="s">
        <v>60</v>
      </c>
      <c r="D6988" s="62" t="s">
        <v>384</v>
      </c>
      <c r="E6988" s="62" t="s">
        <v>382</v>
      </c>
      <c r="F6988" s="62" t="s">
        <v>382</v>
      </c>
      <c r="G6988" s="63" t="s">
        <v>864</v>
      </c>
      <c r="H6988" s="64" t="n">
        <v>541291</v>
      </c>
      <c r="I6988" s="62" t="s">
        <v>81</v>
      </c>
      <c r="J6988" s="64" t="n">
        <v>541.291</v>
      </c>
      <c r="K6988" s="62" t="s">
        <v>138</v>
      </c>
      <c r="L6988" s="68" t="b">
        <f aca="false">FALSE()</f>
        <v>0</v>
      </c>
    </row>
    <row r="6989" customFormat="false" ht="15" hidden="false" customHeight="false" outlineLevel="0" collapsed="false">
      <c r="A6989" s="62" t="n">
        <v>1</v>
      </c>
      <c r="B6989" s="21" t="s">
        <v>336</v>
      </c>
      <c r="C6989" s="62" t="s">
        <v>60</v>
      </c>
      <c r="D6989" s="62" t="s">
        <v>385</v>
      </c>
      <c r="E6989" s="62" t="s">
        <v>382</v>
      </c>
      <c r="F6989" s="62" t="s">
        <v>382</v>
      </c>
      <c r="G6989" s="63" t="s">
        <v>864</v>
      </c>
      <c r="H6989" s="64" t="n">
        <v>447741</v>
      </c>
      <c r="I6989" s="62" t="s">
        <v>81</v>
      </c>
      <c r="J6989" s="64" t="n">
        <v>447.741</v>
      </c>
      <c r="K6989" s="62" t="s">
        <v>138</v>
      </c>
      <c r="L6989" s="68" t="b">
        <f aca="false">FALSE()</f>
        <v>0</v>
      </c>
    </row>
    <row r="6990" customFormat="false" ht="15" hidden="false" customHeight="false" outlineLevel="0" collapsed="false">
      <c r="A6990" s="62" t="n">
        <v>1</v>
      </c>
      <c r="B6990" s="21" t="s">
        <v>336</v>
      </c>
      <c r="C6990" s="62" t="s">
        <v>60</v>
      </c>
      <c r="D6990" s="62" t="s">
        <v>386</v>
      </c>
      <c r="E6990" s="62" t="s">
        <v>382</v>
      </c>
      <c r="F6990" s="62" t="s">
        <v>382</v>
      </c>
      <c r="G6990" s="63" t="s">
        <v>864</v>
      </c>
      <c r="H6990" s="64" t="n">
        <v>350406</v>
      </c>
      <c r="I6990" s="62" t="s">
        <v>81</v>
      </c>
      <c r="J6990" s="64" t="n">
        <v>350.406</v>
      </c>
      <c r="K6990" s="62" t="s">
        <v>138</v>
      </c>
      <c r="L6990" s="68" t="b">
        <f aca="false">FALSE()</f>
        <v>0</v>
      </c>
    </row>
    <row r="6991" customFormat="false" ht="15" hidden="false" customHeight="false" outlineLevel="0" collapsed="false">
      <c r="A6991" s="62" t="n">
        <v>1</v>
      </c>
      <c r="B6991" s="21" t="s">
        <v>336</v>
      </c>
      <c r="C6991" s="62" t="s">
        <v>60</v>
      </c>
      <c r="D6991" s="62" t="s">
        <v>387</v>
      </c>
      <c r="E6991" s="62" t="s">
        <v>382</v>
      </c>
      <c r="F6991" s="62" t="s">
        <v>382</v>
      </c>
      <c r="G6991" s="63" t="s">
        <v>864</v>
      </c>
      <c r="H6991" s="64" t="n">
        <v>332453</v>
      </c>
      <c r="I6991" s="62" t="s">
        <v>81</v>
      </c>
      <c r="J6991" s="64" t="n">
        <v>332.453</v>
      </c>
      <c r="K6991" s="62" t="s">
        <v>138</v>
      </c>
      <c r="L6991" s="68" t="b">
        <f aca="false">FALSE()</f>
        <v>0</v>
      </c>
    </row>
    <row r="6992" customFormat="false" ht="15" hidden="false" customHeight="false" outlineLevel="0" collapsed="false">
      <c r="A6992" s="62" t="n">
        <v>1</v>
      </c>
      <c r="B6992" s="21" t="s">
        <v>336</v>
      </c>
      <c r="C6992" s="62" t="s">
        <v>60</v>
      </c>
      <c r="D6992" s="62" t="s">
        <v>388</v>
      </c>
      <c r="E6992" s="62" t="s">
        <v>382</v>
      </c>
      <c r="F6992" s="62" t="s">
        <v>382</v>
      </c>
      <c r="G6992" s="63" t="s">
        <v>864</v>
      </c>
      <c r="H6992" s="64" t="n">
        <v>191065</v>
      </c>
      <c r="I6992" s="62" t="s">
        <v>81</v>
      </c>
      <c r="J6992" s="64" t="n">
        <v>191.065</v>
      </c>
      <c r="K6992" s="62" t="s">
        <v>138</v>
      </c>
      <c r="L6992" s="68" t="b">
        <f aca="false">FALSE()</f>
        <v>0</v>
      </c>
    </row>
    <row r="6993" customFormat="false" ht="15" hidden="false" customHeight="false" outlineLevel="0" collapsed="false">
      <c r="A6993" s="62" t="n">
        <v>1</v>
      </c>
      <c r="B6993" s="21" t="s">
        <v>336</v>
      </c>
      <c r="C6993" s="62" t="s">
        <v>60</v>
      </c>
      <c r="D6993" s="62" t="s">
        <v>381</v>
      </c>
      <c r="E6993" s="62" t="s">
        <v>382</v>
      </c>
      <c r="F6993" s="62" t="s">
        <v>382</v>
      </c>
      <c r="G6993" s="63" t="s">
        <v>865</v>
      </c>
      <c r="H6993" s="64" t="n">
        <v>235767</v>
      </c>
      <c r="I6993" s="62" t="s">
        <v>81</v>
      </c>
      <c r="J6993" s="64" t="n">
        <v>235.767</v>
      </c>
      <c r="K6993" s="62" t="s">
        <v>138</v>
      </c>
      <c r="L6993" s="68" t="b">
        <f aca="false">FALSE()</f>
        <v>0</v>
      </c>
    </row>
    <row r="6994" customFormat="false" ht="15" hidden="false" customHeight="false" outlineLevel="0" collapsed="false">
      <c r="A6994" s="62" t="n">
        <v>1</v>
      </c>
      <c r="B6994" s="21" t="s">
        <v>336</v>
      </c>
      <c r="C6994" s="62" t="s">
        <v>60</v>
      </c>
      <c r="D6994" s="62" t="s">
        <v>383</v>
      </c>
      <c r="E6994" s="62" t="s">
        <v>382</v>
      </c>
      <c r="F6994" s="62" t="s">
        <v>382</v>
      </c>
      <c r="G6994" s="63" t="s">
        <v>865</v>
      </c>
      <c r="H6994" s="64" t="n">
        <v>200510</v>
      </c>
      <c r="I6994" s="62" t="s">
        <v>81</v>
      </c>
      <c r="J6994" s="64" t="n">
        <v>200.51</v>
      </c>
      <c r="K6994" s="62" t="s">
        <v>138</v>
      </c>
      <c r="L6994" s="68" t="b">
        <f aca="false">FALSE()</f>
        <v>0</v>
      </c>
    </row>
    <row r="6995" customFormat="false" ht="15" hidden="false" customHeight="false" outlineLevel="0" collapsed="false">
      <c r="A6995" s="62" t="n">
        <v>1</v>
      </c>
      <c r="B6995" s="21" t="s">
        <v>336</v>
      </c>
      <c r="C6995" s="62" t="s">
        <v>60</v>
      </c>
      <c r="D6995" s="62" t="s">
        <v>387</v>
      </c>
      <c r="E6995" s="62" t="s">
        <v>382</v>
      </c>
      <c r="F6995" s="62" t="s">
        <v>382</v>
      </c>
      <c r="G6995" s="63" t="s">
        <v>865</v>
      </c>
      <c r="H6995" s="64" t="n">
        <v>99354</v>
      </c>
      <c r="I6995" s="62" t="s">
        <v>81</v>
      </c>
      <c r="J6995" s="64" t="n">
        <v>99.354</v>
      </c>
      <c r="K6995" s="62" t="s">
        <v>138</v>
      </c>
      <c r="L6995" s="68" t="b">
        <f aca="false">FALSE()</f>
        <v>0</v>
      </c>
    </row>
    <row r="6996" customFormat="false" ht="15" hidden="false" customHeight="false" outlineLevel="0" collapsed="false">
      <c r="A6996" s="62" t="n">
        <v>1</v>
      </c>
      <c r="B6996" s="21" t="s">
        <v>336</v>
      </c>
      <c r="C6996" s="62" t="s">
        <v>60</v>
      </c>
      <c r="D6996" s="62" t="s">
        <v>388</v>
      </c>
      <c r="E6996" s="62" t="s">
        <v>382</v>
      </c>
      <c r="F6996" s="62" t="s">
        <v>382</v>
      </c>
      <c r="G6996" s="63" t="s">
        <v>865</v>
      </c>
      <c r="H6996" s="64" t="n">
        <v>76426</v>
      </c>
      <c r="I6996" s="62" t="s">
        <v>81</v>
      </c>
      <c r="J6996" s="64" t="n">
        <v>76.426</v>
      </c>
      <c r="K6996" s="62" t="s">
        <v>138</v>
      </c>
      <c r="L6996" s="68" t="b">
        <f aca="false">FALSE()</f>
        <v>0</v>
      </c>
    </row>
    <row r="6997" customFormat="false" ht="15" hidden="false" customHeight="false" outlineLevel="0" collapsed="false">
      <c r="A6997" s="62" t="n">
        <v>1</v>
      </c>
      <c r="B6997" s="21" t="s">
        <v>336</v>
      </c>
      <c r="C6997" s="62" t="s">
        <v>60</v>
      </c>
      <c r="D6997" s="62" t="s">
        <v>381</v>
      </c>
      <c r="E6997" s="62" t="s">
        <v>382</v>
      </c>
      <c r="F6997" s="62" t="s">
        <v>382</v>
      </c>
      <c r="G6997" s="63" t="s">
        <v>866</v>
      </c>
      <c r="H6997" s="64" t="n">
        <v>486203</v>
      </c>
      <c r="I6997" s="62" t="s">
        <v>81</v>
      </c>
      <c r="J6997" s="64" t="n">
        <v>486.203</v>
      </c>
      <c r="K6997" s="62" t="s">
        <v>138</v>
      </c>
      <c r="L6997" s="68" t="b">
        <f aca="false">FALSE()</f>
        <v>0</v>
      </c>
    </row>
    <row r="6998" customFormat="false" ht="15" hidden="false" customHeight="false" outlineLevel="0" collapsed="false">
      <c r="A6998" s="62" t="n">
        <v>1</v>
      </c>
      <c r="B6998" s="21" t="s">
        <v>336</v>
      </c>
      <c r="C6998" s="62" t="s">
        <v>60</v>
      </c>
      <c r="D6998" s="62" t="s">
        <v>383</v>
      </c>
      <c r="E6998" s="62" t="s">
        <v>382</v>
      </c>
      <c r="F6998" s="62" t="s">
        <v>382</v>
      </c>
      <c r="G6998" s="63" t="s">
        <v>866</v>
      </c>
      <c r="H6998" s="64" t="n">
        <v>746953</v>
      </c>
      <c r="I6998" s="62" t="s">
        <v>81</v>
      </c>
      <c r="J6998" s="64" t="n">
        <v>746.953</v>
      </c>
      <c r="K6998" s="62" t="s">
        <v>138</v>
      </c>
      <c r="L6998" s="68" t="b">
        <f aca="false">FALSE()</f>
        <v>0</v>
      </c>
    </row>
    <row r="6999" customFormat="false" ht="15" hidden="false" customHeight="false" outlineLevel="0" collapsed="false">
      <c r="A6999" s="62" t="n">
        <v>1</v>
      </c>
      <c r="B6999" s="21" t="s">
        <v>336</v>
      </c>
      <c r="C6999" s="62" t="s">
        <v>60</v>
      </c>
      <c r="D6999" s="62" t="s">
        <v>384</v>
      </c>
      <c r="E6999" s="62" t="s">
        <v>382</v>
      </c>
      <c r="F6999" s="62" t="s">
        <v>382</v>
      </c>
      <c r="G6999" s="63" t="s">
        <v>866</v>
      </c>
      <c r="H6999" s="64" t="n">
        <v>996715</v>
      </c>
      <c r="I6999" s="62" t="s">
        <v>81</v>
      </c>
      <c r="J6999" s="64" t="n">
        <v>996.715</v>
      </c>
      <c r="K6999" s="62" t="s">
        <v>138</v>
      </c>
      <c r="L6999" s="68" t="b">
        <f aca="false">FALSE()</f>
        <v>0</v>
      </c>
    </row>
    <row r="7000" customFormat="false" ht="15" hidden="false" customHeight="false" outlineLevel="0" collapsed="false">
      <c r="A7000" s="62" t="n">
        <v>1</v>
      </c>
      <c r="B7000" s="21" t="s">
        <v>336</v>
      </c>
      <c r="C7000" s="62" t="s">
        <v>60</v>
      </c>
      <c r="D7000" s="62" t="s">
        <v>385</v>
      </c>
      <c r="E7000" s="62" t="s">
        <v>382</v>
      </c>
      <c r="F7000" s="62" t="s">
        <v>382</v>
      </c>
      <c r="G7000" s="63" t="s">
        <v>866</v>
      </c>
      <c r="H7000" s="64" t="n">
        <v>563598</v>
      </c>
      <c r="I7000" s="62" t="s">
        <v>81</v>
      </c>
      <c r="J7000" s="64" t="n">
        <v>563.598</v>
      </c>
      <c r="K7000" s="62" t="s">
        <v>138</v>
      </c>
      <c r="L7000" s="68" t="b">
        <f aca="false">FALSE()</f>
        <v>0</v>
      </c>
    </row>
    <row r="7001" customFormat="false" ht="15" hidden="false" customHeight="false" outlineLevel="0" collapsed="false">
      <c r="A7001" s="62" t="n">
        <v>1</v>
      </c>
      <c r="B7001" s="21" t="s">
        <v>336</v>
      </c>
      <c r="C7001" s="62" t="s">
        <v>60</v>
      </c>
      <c r="D7001" s="62" t="s">
        <v>386</v>
      </c>
      <c r="E7001" s="62" t="s">
        <v>382</v>
      </c>
      <c r="F7001" s="62" t="s">
        <v>382</v>
      </c>
      <c r="G7001" s="63" t="s">
        <v>866</v>
      </c>
      <c r="H7001" s="64" t="n">
        <v>681345</v>
      </c>
      <c r="I7001" s="62" t="s">
        <v>81</v>
      </c>
      <c r="J7001" s="64" t="n">
        <v>681.345</v>
      </c>
      <c r="K7001" s="62" t="s">
        <v>138</v>
      </c>
      <c r="L7001" s="68" t="b">
        <f aca="false">FALSE()</f>
        <v>0</v>
      </c>
    </row>
    <row r="7002" customFormat="false" ht="15" hidden="false" customHeight="false" outlineLevel="0" collapsed="false">
      <c r="A7002" s="62" t="n">
        <v>1</v>
      </c>
      <c r="B7002" s="21" t="s">
        <v>336</v>
      </c>
      <c r="C7002" s="62" t="s">
        <v>60</v>
      </c>
      <c r="D7002" s="62" t="s">
        <v>387</v>
      </c>
      <c r="E7002" s="62" t="s">
        <v>382</v>
      </c>
      <c r="F7002" s="62" t="s">
        <v>382</v>
      </c>
      <c r="G7002" s="63" t="s">
        <v>866</v>
      </c>
      <c r="H7002" s="64" t="n">
        <v>550368</v>
      </c>
      <c r="I7002" s="62" t="s">
        <v>81</v>
      </c>
      <c r="J7002" s="64" t="n">
        <v>550.368</v>
      </c>
      <c r="K7002" s="62" t="s">
        <v>138</v>
      </c>
      <c r="L7002" s="68" t="b">
        <f aca="false">FALSE()</f>
        <v>0</v>
      </c>
    </row>
    <row r="7003" customFormat="false" ht="15" hidden="false" customHeight="false" outlineLevel="0" collapsed="false">
      <c r="A7003" s="62" t="n">
        <v>1</v>
      </c>
      <c r="B7003" s="21" t="s">
        <v>336</v>
      </c>
      <c r="C7003" s="62" t="s">
        <v>60</v>
      </c>
      <c r="D7003" s="62" t="s">
        <v>388</v>
      </c>
      <c r="E7003" s="62" t="s">
        <v>382</v>
      </c>
      <c r="F7003" s="62" t="s">
        <v>382</v>
      </c>
      <c r="G7003" s="63" t="s">
        <v>866</v>
      </c>
      <c r="H7003" s="64" t="n">
        <v>272538</v>
      </c>
      <c r="I7003" s="62" t="s">
        <v>81</v>
      </c>
      <c r="J7003" s="64" t="n">
        <v>272.538</v>
      </c>
      <c r="K7003" s="62" t="s">
        <v>138</v>
      </c>
      <c r="L7003" s="68" t="b">
        <f aca="false">FALSE()</f>
        <v>0</v>
      </c>
    </row>
    <row r="7004" customFormat="false" ht="15" hidden="false" customHeight="false" outlineLevel="0" collapsed="false">
      <c r="A7004" s="62" t="n">
        <v>1</v>
      </c>
      <c r="B7004" s="21" t="s">
        <v>336</v>
      </c>
      <c r="C7004" s="62" t="s">
        <v>60</v>
      </c>
      <c r="D7004" s="62" t="s">
        <v>381</v>
      </c>
      <c r="E7004" s="62" t="s">
        <v>382</v>
      </c>
      <c r="F7004" s="62" t="s">
        <v>382</v>
      </c>
      <c r="G7004" s="63" t="s">
        <v>867</v>
      </c>
      <c r="H7004" s="64" t="n">
        <v>555660</v>
      </c>
      <c r="I7004" s="62" t="s">
        <v>81</v>
      </c>
      <c r="J7004" s="64" t="n">
        <v>555.66</v>
      </c>
      <c r="K7004" s="62" t="s">
        <v>138</v>
      </c>
      <c r="L7004" s="68" t="b">
        <f aca="false">FALSE()</f>
        <v>0</v>
      </c>
    </row>
    <row r="7005" customFormat="false" ht="15" hidden="false" customHeight="false" outlineLevel="0" collapsed="false">
      <c r="A7005" s="62" t="n">
        <v>1</v>
      </c>
      <c r="B7005" s="21" t="s">
        <v>336</v>
      </c>
      <c r="C7005" s="62" t="s">
        <v>60</v>
      </c>
      <c r="D7005" s="62" t="s">
        <v>383</v>
      </c>
      <c r="E7005" s="62" t="s">
        <v>382</v>
      </c>
      <c r="F7005" s="62" t="s">
        <v>382</v>
      </c>
      <c r="G7005" s="63" t="s">
        <v>867</v>
      </c>
      <c r="H7005" s="64" t="n">
        <v>149658</v>
      </c>
      <c r="I7005" s="62" t="s">
        <v>81</v>
      </c>
      <c r="J7005" s="64" t="n">
        <v>149.658</v>
      </c>
      <c r="K7005" s="62" t="s">
        <v>138</v>
      </c>
      <c r="L7005" s="68" t="b">
        <f aca="false">FALSE()</f>
        <v>0</v>
      </c>
    </row>
    <row r="7006" customFormat="false" ht="15" hidden="false" customHeight="false" outlineLevel="0" collapsed="false">
      <c r="A7006" s="62" t="n">
        <v>1</v>
      </c>
      <c r="B7006" s="21" t="s">
        <v>336</v>
      </c>
      <c r="C7006" s="62" t="s">
        <v>60</v>
      </c>
      <c r="D7006" s="62" t="s">
        <v>387</v>
      </c>
      <c r="E7006" s="62" t="s">
        <v>382</v>
      </c>
      <c r="F7006" s="62" t="s">
        <v>382</v>
      </c>
      <c r="G7006" s="63" t="s">
        <v>867</v>
      </c>
      <c r="H7006" s="64" t="n">
        <v>158231</v>
      </c>
      <c r="I7006" s="62" t="s">
        <v>81</v>
      </c>
      <c r="J7006" s="64" t="n">
        <v>158.231</v>
      </c>
      <c r="K7006" s="62" t="s">
        <v>138</v>
      </c>
      <c r="L7006" s="68" t="b">
        <f aca="false">FALSE()</f>
        <v>0</v>
      </c>
    </row>
    <row r="7007" customFormat="false" ht="15" hidden="false" customHeight="false" outlineLevel="0" collapsed="false">
      <c r="A7007" s="62" t="n">
        <v>1</v>
      </c>
      <c r="B7007" s="21" t="s">
        <v>336</v>
      </c>
      <c r="C7007" s="62" t="s">
        <v>60</v>
      </c>
      <c r="D7007" s="62" t="s">
        <v>388</v>
      </c>
      <c r="E7007" s="62" t="s">
        <v>382</v>
      </c>
      <c r="F7007" s="62" t="s">
        <v>382</v>
      </c>
      <c r="G7007" s="63" t="s">
        <v>867</v>
      </c>
      <c r="H7007" s="64" t="n">
        <v>68135</v>
      </c>
      <c r="I7007" s="62" t="s">
        <v>81</v>
      </c>
      <c r="J7007" s="64" t="n">
        <v>68.135</v>
      </c>
      <c r="K7007" s="62" t="s">
        <v>138</v>
      </c>
      <c r="L7007" s="68" t="b">
        <f aca="false">FALSE()</f>
        <v>0</v>
      </c>
    </row>
    <row r="7008" customFormat="false" ht="15" hidden="false" customHeight="false" outlineLevel="0" collapsed="false">
      <c r="A7008" s="62" t="n">
        <v>1</v>
      </c>
      <c r="B7008" s="21" t="s">
        <v>336</v>
      </c>
      <c r="C7008" s="62" t="s">
        <v>60</v>
      </c>
      <c r="D7008" s="62" t="s">
        <v>381</v>
      </c>
      <c r="E7008" s="62" t="s">
        <v>382</v>
      </c>
      <c r="F7008" s="62" t="s">
        <v>382</v>
      </c>
      <c r="G7008" s="63" t="s">
        <v>734</v>
      </c>
      <c r="H7008" s="64" t="n">
        <v>20000000</v>
      </c>
      <c r="I7008" s="62" t="s">
        <v>81</v>
      </c>
      <c r="J7008" s="64" t="n">
        <v>20000</v>
      </c>
      <c r="K7008" s="62" t="s">
        <v>138</v>
      </c>
      <c r="L7008" s="68" t="b">
        <f aca="false">TRUE()</f>
        <v>1</v>
      </c>
    </row>
    <row r="7009" customFormat="false" ht="15" hidden="false" customHeight="false" outlineLevel="0" collapsed="false">
      <c r="A7009" s="62" t="n">
        <v>1</v>
      </c>
      <c r="B7009" s="21" t="s">
        <v>336</v>
      </c>
      <c r="C7009" s="62" t="s">
        <v>60</v>
      </c>
      <c r="D7009" s="62" t="s">
        <v>383</v>
      </c>
      <c r="E7009" s="62" t="s">
        <v>382</v>
      </c>
      <c r="F7009" s="62" t="s">
        <v>382</v>
      </c>
      <c r="G7009" s="63" t="s">
        <v>734</v>
      </c>
      <c r="H7009" s="64" t="n">
        <v>26048000</v>
      </c>
      <c r="I7009" s="62" t="s">
        <v>81</v>
      </c>
      <c r="J7009" s="64" t="n">
        <v>26048</v>
      </c>
      <c r="K7009" s="62" t="s">
        <v>138</v>
      </c>
      <c r="L7009" s="68" t="b">
        <f aca="false">TRUE()</f>
        <v>1</v>
      </c>
    </row>
    <row r="7010" customFormat="false" ht="15" hidden="false" customHeight="false" outlineLevel="0" collapsed="false">
      <c r="A7010" s="62" t="n">
        <v>1</v>
      </c>
      <c r="B7010" s="21" t="s">
        <v>336</v>
      </c>
      <c r="C7010" s="62" t="s">
        <v>60</v>
      </c>
      <c r="D7010" s="62" t="s">
        <v>384</v>
      </c>
      <c r="E7010" s="62" t="s">
        <v>382</v>
      </c>
      <c r="F7010" s="62" t="s">
        <v>382</v>
      </c>
      <c r="G7010" s="63" t="s">
        <v>734</v>
      </c>
      <c r="H7010" s="64" t="n">
        <v>23000000</v>
      </c>
      <c r="I7010" s="62" t="s">
        <v>81</v>
      </c>
      <c r="J7010" s="64" t="n">
        <v>23000</v>
      </c>
      <c r="K7010" s="62" t="s">
        <v>138</v>
      </c>
      <c r="L7010" s="68" t="b">
        <f aca="false">TRUE()</f>
        <v>1</v>
      </c>
    </row>
    <row r="7011" customFormat="false" ht="15" hidden="false" customHeight="false" outlineLevel="0" collapsed="false">
      <c r="A7011" s="62" t="n">
        <v>1</v>
      </c>
      <c r="B7011" s="21" t="s">
        <v>336</v>
      </c>
      <c r="C7011" s="62" t="s">
        <v>60</v>
      </c>
      <c r="D7011" s="62" t="s">
        <v>385</v>
      </c>
      <c r="E7011" s="62" t="s">
        <v>382</v>
      </c>
      <c r="F7011" s="62" t="s">
        <v>382</v>
      </c>
      <c r="G7011" s="63" t="s">
        <v>734</v>
      </c>
      <c r="H7011" s="64" t="n">
        <v>22000000</v>
      </c>
      <c r="I7011" s="62" t="s">
        <v>81</v>
      </c>
      <c r="J7011" s="64" t="n">
        <v>22000</v>
      </c>
      <c r="K7011" s="62" t="s">
        <v>138</v>
      </c>
      <c r="L7011" s="68" t="b">
        <f aca="false">TRUE()</f>
        <v>1</v>
      </c>
    </row>
    <row r="7012" customFormat="false" ht="15" hidden="false" customHeight="false" outlineLevel="0" collapsed="false">
      <c r="A7012" s="62" t="n">
        <v>1</v>
      </c>
      <c r="B7012" s="21" t="s">
        <v>336</v>
      </c>
      <c r="C7012" s="62" t="s">
        <v>60</v>
      </c>
      <c r="D7012" s="62" t="s">
        <v>386</v>
      </c>
      <c r="E7012" s="62" t="s">
        <v>382</v>
      </c>
      <c r="F7012" s="62" t="s">
        <v>382</v>
      </c>
      <c r="G7012" s="63" t="s">
        <v>734</v>
      </c>
      <c r="H7012" s="64" t="n">
        <v>24500000</v>
      </c>
      <c r="I7012" s="62" t="s">
        <v>81</v>
      </c>
      <c r="J7012" s="64" t="n">
        <v>24500</v>
      </c>
      <c r="K7012" s="62" t="s">
        <v>138</v>
      </c>
      <c r="L7012" s="68" t="b">
        <f aca="false">TRUE()</f>
        <v>1</v>
      </c>
    </row>
    <row r="7013" customFormat="false" ht="15" hidden="false" customHeight="false" outlineLevel="0" collapsed="false">
      <c r="A7013" s="62" t="n">
        <v>1</v>
      </c>
      <c r="B7013" s="21" t="s">
        <v>336</v>
      </c>
      <c r="C7013" s="62" t="s">
        <v>60</v>
      </c>
      <c r="D7013" s="62" t="s">
        <v>387</v>
      </c>
      <c r="E7013" s="62" t="s">
        <v>382</v>
      </c>
      <c r="F7013" s="62" t="s">
        <v>382</v>
      </c>
      <c r="G7013" s="63" t="s">
        <v>734</v>
      </c>
      <c r="H7013" s="64" t="n">
        <v>27000000</v>
      </c>
      <c r="I7013" s="62" t="s">
        <v>81</v>
      </c>
      <c r="J7013" s="64" t="n">
        <v>27000</v>
      </c>
      <c r="K7013" s="62" t="s">
        <v>138</v>
      </c>
      <c r="L7013" s="68" t="b">
        <f aca="false">TRUE()</f>
        <v>1</v>
      </c>
    </row>
    <row r="7014" customFormat="false" ht="15" hidden="false" customHeight="false" outlineLevel="0" collapsed="false">
      <c r="A7014" s="62" t="n">
        <v>1</v>
      </c>
      <c r="B7014" s="21" t="s">
        <v>336</v>
      </c>
      <c r="C7014" s="62" t="s">
        <v>60</v>
      </c>
      <c r="D7014" s="62" t="s">
        <v>388</v>
      </c>
      <c r="E7014" s="62" t="s">
        <v>382</v>
      </c>
      <c r="F7014" s="62" t="s">
        <v>382</v>
      </c>
      <c r="G7014" s="63" t="s">
        <v>734</v>
      </c>
      <c r="H7014" s="64" t="n">
        <v>21690000</v>
      </c>
      <c r="I7014" s="62" t="s">
        <v>81</v>
      </c>
      <c r="J7014" s="64" t="n">
        <v>21690</v>
      </c>
      <c r="K7014" s="62" t="s">
        <v>138</v>
      </c>
      <c r="L7014" s="68" t="b">
        <f aca="false">TRUE()</f>
        <v>1</v>
      </c>
    </row>
    <row r="7015" customFormat="false" ht="15" hidden="false" customHeight="false" outlineLevel="0" collapsed="false">
      <c r="A7015" s="62" t="n">
        <v>1</v>
      </c>
      <c r="B7015" s="21" t="s">
        <v>336</v>
      </c>
      <c r="C7015" s="62" t="s">
        <v>60</v>
      </c>
      <c r="D7015" s="62" t="s">
        <v>381</v>
      </c>
      <c r="E7015" s="62" t="s">
        <v>382</v>
      </c>
      <c r="F7015" s="62" t="s">
        <v>382</v>
      </c>
      <c r="G7015" s="63" t="s">
        <v>735</v>
      </c>
      <c r="H7015" s="64" t="n">
        <v>25900000</v>
      </c>
      <c r="I7015" s="62" t="s">
        <v>81</v>
      </c>
      <c r="J7015" s="64" t="n">
        <v>25900</v>
      </c>
      <c r="K7015" s="62" t="s">
        <v>138</v>
      </c>
      <c r="L7015" s="68" t="b">
        <f aca="false">TRUE()</f>
        <v>1</v>
      </c>
    </row>
    <row r="7016" customFormat="false" ht="15" hidden="false" customHeight="false" outlineLevel="0" collapsed="false">
      <c r="A7016" s="62" t="n">
        <v>1</v>
      </c>
      <c r="B7016" s="21" t="s">
        <v>336</v>
      </c>
      <c r="C7016" s="62" t="s">
        <v>60</v>
      </c>
      <c r="D7016" s="62" t="s">
        <v>383</v>
      </c>
      <c r="E7016" s="62" t="s">
        <v>382</v>
      </c>
      <c r="F7016" s="62" t="s">
        <v>382</v>
      </c>
      <c r="G7016" s="63" t="s">
        <v>735</v>
      </c>
      <c r="H7016" s="64" t="n">
        <v>36737000</v>
      </c>
      <c r="I7016" s="62" t="s">
        <v>81</v>
      </c>
      <c r="J7016" s="64" t="n">
        <v>36737</v>
      </c>
      <c r="K7016" s="62" t="s">
        <v>138</v>
      </c>
      <c r="L7016" s="68" t="b">
        <f aca="false">TRUE()</f>
        <v>1</v>
      </c>
    </row>
    <row r="7017" customFormat="false" ht="15" hidden="false" customHeight="false" outlineLevel="0" collapsed="false">
      <c r="A7017" s="62" t="n">
        <v>1</v>
      </c>
      <c r="B7017" s="21" t="s">
        <v>336</v>
      </c>
      <c r="C7017" s="62" t="s">
        <v>60</v>
      </c>
      <c r="D7017" s="62" t="s">
        <v>384</v>
      </c>
      <c r="E7017" s="62" t="s">
        <v>382</v>
      </c>
      <c r="F7017" s="62" t="s">
        <v>382</v>
      </c>
      <c r="G7017" s="63" t="s">
        <v>735</v>
      </c>
      <c r="H7017" s="64" t="n">
        <v>0</v>
      </c>
      <c r="I7017" s="62" t="s">
        <v>81</v>
      </c>
      <c r="J7017" s="64" t="n">
        <v>0</v>
      </c>
      <c r="K7017" s="62" t="s">
        <v>138</v>
      </c>
      <c r="L7017" s="68" t="b">
        <f aca="false">TRUE()</f>
        <v>1</v>
      </c>
    </row>
    <row r="7018" customFormat="false" ht="15" hidden="false" customHeight="false" outlineLevel="0" collapsed="false">
      <c r="A7018" s="62" t="n">
        <v>1</v>
      </c>
      <c r="B7018" s="21" t="s">
        <v>336</v>
      </c>
      <c r="C7018" s="62" t="s">
        <v>60</v>
      </c>
      <c r="D7018" s="62" t="s">
        <v>385</v>
      </c>
      <c r="E7018" s="62" t="s">
        <v>382</v>
      </c>
      <c r="F7018" s="62" t="s">
        <v>382</v>
      </c>
      <c r="G7018" s="63" t="s">
        <v>735</v>
      </c>
      <c r="H7018" s="64" t="n">
        <v>0</v>
      </c>
      <c r="I7018" s="62" t="s">
        <v>81</v>
      </c>
      <c r="J7018" s="64" t="n">
        <v>0</v>
      </c>
      <c r="K7018" s="62" t="s">
        <v>138</v>
      </c>
      <c r="L7018" s="68" t="b">
        <f aca="false">TRUE()</f>
        <v>1</v>
      </c>
    </row>
    <row r="7019" customFormat="false" ht="15" hidden="false" customHeight="false" outlineLevel="0" collapsed="false">
      <c r="A7019" s="62" t="n">
        <v>1</v>
      </c>
      <c r="B7019" s="21" t="s">
        <v>336</v>
      </c>
      <c r="C7019" s="62" t="s">
        <v>60</v>
      </c>
      <c r="D7019" s="62" t="s">
        <v>386</v>
      </c>
      <c r="E7019" s="62" t="s">
        <v>382</v>
      </c>
      <c r="F7019" s="62" t="s">
        <v>382</v>
      </c>
      <c r="G7019" s="63" t="s">
        <v>735</v>
      </c>
      <c r="H7019" s="64" t="n">
        <v>0</v>
      </c>
      <c r="I7019" s="62" t="s">
        <v>81</v>
      </c>
      <c r="J7019" s="64" t="n">
        <v>0</v>
      </c>
      <c r="K7019" s="62" t="s">
        <v>138</v>
      </c>
      <c r="L7019" s="68" t="b">
        <f aca="false">TRUE()</f>
        <v>1</v>
      </c>
    </row>
    <row r="7020" customFormat="false" ht="15" hidden="false" customHeight="false" outlineLevel="0" collapsed="false">
      <c r="A7020" s="62" t="n">
        <v>1</v>
      </c>
      <c r="B7020" s="21" t="s">
        <v>336</v>
      </c>
      <c r="C7020" s="62" t="s">
        <v>60</v>
      </c>
      <c r="D7020" s="62" t="s">
        <v>387</v>
      </c>
      <c r="E7020" s="62" t="s">
        <v>382</v>
      </c>
      <c r="F7020" s="62" t="s">
        <v>382</v>
      </c>
      <c r="G7020" s="63" t="s">
        <v>735</v>
      </c>
      <c r="H7020" s="64" t="n">
        <v>34000000</v>
      </c>
      <c r="I7020" s="62" t="s">
        <v>81</v>
      </c>
      <c r="J7020" s="64" t="n">
        <v>34000</v>
      </c>
      <c r="K7020" s="62" t="s">
        <v>138</v>
      </c>
      <c r="L7020" s="68" t="b">
        <f aca="false">TRUE()</f>
        <v>1</v>
      </c>
    </row>
    <row r="7021" customFormat="false" ht="15" hidden="false" customHeight="false" outlineLevel="0" collapsed="false">
      <c r="A7021" s="62" t="n">
        <v>1</v>
      </c>
      <c r="B7021" s="21" t="s">
        <v>336</v>
      </c>
      <c r="C7021" s="62" t="s">
        <v>60</v>
      </c>
      <c r="D7021" s="62" t="s">
        <v>388</v>
      </c>
      <c r="E7021" s="62" t="s">
        <v>382</v>
      </c>
      <c r="F7021" s="62" t="s">
        <v>382</v>
      </c>
      <c r="G7021" s="63" t="s">
        <v>735</v>
      </c>
      <c r="H7021" s="64" t="n">
        <v>28626000</v>
      </c>
      <c r="I7021" s="62" t="s">
        <v>81</v>
      </c>
      <c r="J7021" s="64" t="n">
        <v>28626</v>
      </c>
      <c r="K7021" s="62" t="s">
        <v>138</v>
      </c>
      <c r="L7021" s="68" t="b">
        <f aca="false">TRUE()</f>
        <v>1</v>
      </c>
    </row>
    <row r="7022" customFormat="false" ht="15" hidden="false" customHeight="false" outlineLevel="0" collapsed="false">
      <c r="A7022" s="62" t="n">
        <v>1</v>
      </c>
      <c r="B7022" s="21" t="s">
        <v>336</v>
      </c>
      <c r="C7022" s="62" t="s">
        <v>60</v>
      </c>
      <c r="D7022" s="62" t="s">
        <v>381</v>
      </c>
      <c r="E7022" s="62" t="s">
        <v>382</v>
      </c>
      <c r="F7022" s="62" t="s">
        <v>382</v>
      </c>
      <c r="G7022" s="63" t="s">
        <v>736</v>
      </c>
      <c r="H7022" s="64" t="n">
        <v>0</v>
      </c>
      <c r="I7022" s="62" t="s">
        <v>81</v>
      </c>
      <c r="J7022" s="64" t="n">
        <v>0</v>
      </c>
      <c r="K7022" s="62" t="s">
        <v>138</v>
      </c>
      <c r="L7022" s="68" t="b">
        <f aca="false">TRUE()</f>
        <v>1</v>
      </c>
    </row>
    <row r="7023" customFormat="false" ht="15" hidden="false" customHeight="false" outlineLevel="0" collapsed="false">
      <c r="A7023" s="62" t="n">
        <v>1</v>
      </c>
      <c r="B7023" s="21" t="s">
        <v>336</v>
      </c>
      <c r="C7023" s="62" t="s">
        <v>60</v>
      </c>
      <c r="D7023" s="62" t="s">
        <v>383</v>
      </c>
      <c r="E7023" s="62" t="s">
        <v>382</v>
      </c>
      <c r="F7023" s="62" t="s">
        <v>382</v>
      </c>
      <c r="G7023" s="63" t="s">
        <v>736</v>
      </c>
      <c r="H7023" s="64" t="n">
        <v>0</v>
      </c>
      <c r="I7023" s="62" t="s">
        <v>81</v>
      </c>
      <c r="J7023" s="64" t="n">
        <v>0</v>
      </c>
      <c r="K7023" s="62" t="s">
        <v>138</v>
      </c>
      <c r="L7023" s="68" t="b">
        <f aca="false">TRUE()</f>
        <v>1</v>
      </c>
    </row>
    <row r="7024" customFormat="false" ht="15" hidden="false" customHeight="false" outlineLevel="0" collapsed="false">
      <c r="A7024" s="62" t="n">
        <v>1</v>
      </c>
      <c r="B7024" s="21" t="s">
        <v>336</v>
      </c>
      <c r="C7024" s="62" t="s">
        <v>60</v>
      </c>
      <c r="D7024" s="62" t="s">
        <v>384</v>
      </c>
      <c r="E7024" s="62" t="s">
        <v>382</v>
      </c>
      <c r="F7024" s="62" t="s">
        <v>382</v>
      </c>
      <c r="G7024" s="63" t="s">
        <v>736</v>
      </c>
      <c r="H7024" s="64" t="n">
        <v>0</v>
      </c>
      <c r="I7024" s="62" t="s">
        <v>81</v>
      </c>
      <c r="J7024" s="64" t="n">
        <v>0</v>
      </c>
      <c r="K7024" s="62" t="s">
        <v>138</v>
      </c>
      <c r="L7024" s="68" t="b">
        <f aca="false">TRUE()</f>
        <v>1</v>
      </c>
    </row>
    <row r="7025" customFormat="false" ht="15" hidden="false" customHeight="false" outlineLevel="0" collapsed="false">
      <c r="A7025" s="62" t="n">
        <v>1</v>
      </c>
      <c r="B7025" s="21" t="s">
        <v>336</v>
      </c>
      <c r="C7025" s="62" t="s">
        <v>60</v>
      </c>
      <c r="D7025" s="62" t="s">
        <v>385</v>
      </c>
      <c r="E7025" s="62" t="s">
        <v>382</v>
      </c>
      <c r="F7025" s="62" t="s">
        <v>382</v>
      </c>
      <c r="G7025" s="63" t="s">
        <v>736</v>
      </c>
      <c r="H7025" s="64" t="n">
        <v>0</v>
      </c>
      <c r="I7025" s="62" t="s">
        <v>81</v>
      </c>
      <c r="J7025" s="64" t="n">
        <v>0</v>
      </c>
      <c r="K7025" s="62" t="s">
        <v>138</v>
      </c>
      <c r="L7025" s="68" t="b">
        <f aca="false">TRUE()</f>
        <v>1</v>
      </c>
    </row>
    <row r="7026" customFormat="false" ht="15" hidden="false" customHeight="false" outlineLevel="0" collapsed="false">
      <c r="A7026" s="62" t="n">
        <v>1</v>
      </c>
      <c r="B7026" s="21" t="s">
        <v>336</v>
      </c>
      <c r="C7026" s="62" t="s">
        <v>60</v>
      </c>
      <c r="D7026" s="62" t="s">
        <v>386</v>
      </c>
      <c r="E7026" s="62" t="s">
        <v>382</v>
      </c>
      <c r="F7026" s="62" t="s">
        <v>382</v>
      </c>
      <c r="G7026" s="63" t="s">
        <v>736</v>
      </c>
      <c r="H7026" s="64" t="n">
        <v>0</v>
      </c>
      <c r="I7026" s="62" t="s">
        <v>81</v>
      </c>
      <c r="J7026" s="64" t="n">
        <v>0</v>
      </c>
      <c r="K7026" s="62" t="s">
        <v>138</v>
      </c>
      <c r="L7026" s="68" t="b">
        <f aca="false">TRUE()</f>
        <v>1</v>
      </c>
    </row>
    <row r="7027" customFormat="false" ht="15" hidden="false" customHeight="false" outlineLevel="0" collapsed="false">
      <c r="A7027" s="62" t="n">
        <v>1</v>
      </c>
      <c r="B7027" s="21" t="s">
        <v>336</v>
      </c>
      <c r="C7027" s="62" t="s">
        <v>60</v>
      </c>
      <c r="D7027" s="62" t="s">
        <v>387</v>
      </c>
      <c r="E7027" s="62" t="s">
        <v>382</v>
      </c>
      <c r="F7027" s="62" t="s">
        <v>382</v>
      </c>
      <c r="G7027" s="63" t="s">
        <v>736</v>
      </c>
      <c r="H7027" s="64" t="n">
        <v>0</v>
      </c>
      <c r="I7027" s="62" t="s">
        <v>81</v>
      </c>
      <c r="J7027" s="64" t="n">
        <v>0</v>
      </c>
      <c r="K7027" s="62" t="s">
        <v>138</v>
      </c>
      <c r="L7027" s="68" t="b">
        <f aca="false">TRUE()</f>
        <v>1</v>
      </c>
    </row>
    <row r="7028" customFormat="false" ht="15" hidden="false" customHeight="false" outlineLevel="0" collapsed="false">
      <c r="A7028" s="62" t="n">
        <v>1</v>
      </c>
      <c r="B7028" s="21" t="s">
        <v>336</v>
      </c>
      <c r="C7028" s="62" t="s">
        <v>60</v>
      </c>
      <c r="D7028" s="62" t="s">
        <v>388</v>
      </c>
      <c r="E7028" s="62" t="s">
        <v>382</v>
      </c>
      <c r="F7028" s="62" t="s">
        <v>382</v>
      </c>
      <c r="G7028" s="63" t="s">
        <v>736</v>
      </c>
      <c r="H7028" s="64" t="n">
        <v>0</v>
      </c>
      <c r="I7028" s="62" t="s">
        <v>81</v>
      </c>
      <c r="J7028" s="64" t="n">
        <v>0</v>
      </c>
      <c r="K7028" s="62" t="s">
        <v>138</v>
      </c>
      <c r="L7028" s="68" t="b">
        <f aca="false">TRUE()</f>
        <v>1</v>
      </c>
    </row>
    <row r="7029" customFormat="false" ht="15" hidden="false" customHeight="false" outlineLevel="0" collapsed="false">
      <c r="A7029" s="62" t="n">
        <v>1</v>
      </c>
      <c r="B7029" s="21" t="s">
        <v>336</v>
      </c>
      <c r="C7029" s="62" t="s">
        <v>60</v>
      </c>
      <c r="D7029" s="62" t="s">
        <v>381</v>
      </c>
      <c r="E7029" s="62" t="s">
        <v>382</v>
      </c>
      <c r="F7029" s="62" t="s">
        <v>382</v>
      </c>
      <c r="G7029" s="63" t="s">
        <v>737</v>
      </c>
      <c r="H7029" s="64" t="n">
        <v>0</v>
      </c>
      <c r="I7029" s="62" t="s">
        <v>81</v>
      </c>
      <c r="J7029" s="64" t="n">
        <v>0</v>
      </c>
      <c r="K7029" s="62" t="s">
        <v>138</v>
      </c>
      <c r="L7029" s="68" t="b">
        <f aca="false">TRUE()</f>
        <v>1</v>
      </c>
    </row>
    <row r="7030" customFormat="false" ht="15" hidden="false" customHeight="false" outlineLevel="0" collapsed="false">
      <c r="A7030" s="62" t="n">
        <v>1</v>
      </c>
      <c r="B7030" s="21" t="s">
        <v>336</v>
      </c>
      <c r="C7030" s="62" t="s">
        <v>60</v>
      </c>
      <c r="D7030" s="62" t="s">
        <v>383</v>
      </c>
      <c r="E7030" s="62" t="s">
        <v>382</v>
      </c>
      <c r="F7030" s="62" t="s">
        <v>382</v>
      </c>
      <c r="G7030" s="63" t="s">
        <v>737</v>
      </c>
      <c r="H7030" s="64" t="n">
        <v>0</v>
      </c>
      <c r="I7030" s="62" t="s">
        <v>81</v>
      </c>
      <c r="J7030" s="64" t="n">
        <v>0</v>
      </c>
      <c r="K7030" s="62" t="s">
        <v>138</v>
      </c>
      <c r="L7030" s="68" t="b">
        <f aca="false">TRUE()</f>
        <v>1</v>
      </c>
    </row>
    <row r="7031" customFormat="false" ht="15" hidden="false" customHeight="false" outlineLevel="0" collapsed="false">
      <c r="A7031" s="62" t="n">
        <v>1</v>
      </c>
      <c r="B7031" s="21" t="s">
        <v>336</v>
      </c>
      <c r="C7031" s="62" t="s">
        <v>60</v>
      </c>
      <c r="D7031" s="62" t="s">
        <v>384</v>
      </c>
      <c r="E7031" s="62" t="s">
        <v>382</v>
      </c>
      <c r="F7031" s="62" t="s">
        <v>382</v>
      </c>
      <c r="G7031" s="63" t="s">
        <v>737</v>
      </c>
      <c r="H7031" s="64" t="n">
        <v>0</v>
      </c>
      <c r="I7031" s="62" t="s">
        <v>81</v>
      </c>
      <c r="J7031" s="64" t="n">
        <v>0</v>
      </c>
      <c r="K7031" s="62" t="s">
        <v>138</v>
      </c>
      <c r="L7031" s="68" t="b">
        <f aca="false">TRUE()</f>
        <v>1</v>
      </c>
    </row>
    <row r="7032" customFormat="false" ht="15" hidden="false" customHeight="false" outlineLevel="0" collapsed="false">
      <c r="A7032" s="62" t="n">
        <v>1</v>
      </c>
      <c r="B7032" s="21" t="s">
        <v>336</v>
      </c>
      <c r="C7032" s="62" t="s">
        <v>60</v>
      </c>
      <c r="D7032" s="62" t="s">
        <v>385</v>
      </c>
      <c r="E7032" s="62" t="s">
        <v>382</v>
      </c>
      <c r="F7032" s="62" t="s">
        <v>382</v>
      </c>
      <c r="G7032" s="63" t="s">
        <v>737</v>
      </c>
      <c r="H7032" s="64" t="n">
        <v>0</v>
      </c>
      <c r="I7032" s="62" t="s">
        <v>81</v>
      </c>
      <c r="J7032" s="64" t="n">
        <v>0</v>
      </c>
      <c r="K7032" s="62" t="s">
        <v>138</v>
      </c>
      <c r="L7032" s="68" t="b">
        <f aca="false">TRUE()</f>
        <v>1</v>
      </c>
    </row>
    <row r="7033" customFormat="false" ht="15" hidden="false" customHeight="false" outlineLevel="0" collapsed="false">
      <c r="A7033" s="62" t="n">
        <v>1</v>
      </c>
      <c r="B7033" s="21" t="s">
        <v>336</v>
      </c>
      <c r="C7033" s="62" t="s">
        <v>60</v>
      </c>
      <c r="D7033" s="62" t="s">
        <v>386</v>
      </c>
      <c r="E7033" s="62" t="s">
        <v>382</v>
      </c>
      <c r="F7033" s="62" t="s">
        <v>382</v>
      </c>
      <c r="G7033" s="63" t="s">
        <v>737</v>
      </c>
      <c r="H7033" s="64" t="n">
        <v>0</v>
      </c>
      <c r="I7033" s="62" t="s">
        <v>81</v>
      </c>
      <c r="J7033" s="64" t="n">
        <v>0</v>
      </c>
      <c r="K7033" s="62" t="s">
        <v>138</v>
      </c>
      <c r="L7033" s="68" t="b">
        <f aca="false">TRUE()</f>
        <v>1</v>
      </c>
    </row>
    <row r="7034" customFormat="false" ht="15" hidden="false" customHeight="false" outlineLevel="0" collapsed="false">
      <c r="A7034" s="62" t="n">
        <v>1</v>
      </c>
      <c r="B7034" s="21" t="s">
        <v>336</v>
      </c>
      <c r="C7034" s="62" t="s">
        <v>60</v>
      </c>
      <c r="D7034" s="62" t="s">
        <v>387</v>
      </c>
      <c r="E7034" s="62" t="s">
        <v>382</v>
      </c>
      <c r="F7034" s="62" t="s">
        <v>382</v>
      </c>
      <c r="G7034" s="63" t="s">
        <v>737</v>
      </c>
      <c r="H7034" s="64" t="n">
        <v>0</v>
      </c>
      <c r="I7034" s="62" t="s">
        <v>81</v>
      </c>
      <c r="J7034" s="64" t="n">
        <v>0</v>
      </c>
      <c r="K7034" s="62" t="s">
        <v>138</v>
      </c>
      <c r="L7034" s="68" t="b">
        <f aca="false">TRUE()</f>
        <v>1</v>
      </c>
    </row>
    <row r="7035" customFormat="false" ht="15" hidden="false" customHeight="false" outlineLevel="0" collapsed="false">
      <c r="A7035" s="62" t="n">
        <v>1</v>
      </c>
      <c r="B7035" s="21" t="s">
        <v>336</v>
      </c>
      <c r="C7035" s="62" t="s">
        <v>60</v>
      </c>
      <c r="D7035" s="62" t="s">
        <v>388</v>
      </c>
      <c r="E7035" s="62" t="s">
        <v>382</v>
      </c>
      <c r="F7035" s="62" t="s">
        <v>382</v>
      </c>
      <c r="G7035" s="63" t="s">
        <v>737</v>
      </c>
      <c r="H7035" s="64" t="n">
        <v>0</v>
      </c>
      <c r="I7035" s="62" t="s">
        <v>81</v>
      </c>
      <c r="J7035" s="64" t="n">
        <v>0</v>
      </c>
      <c r="K7035" s="62" t="s">
        <v>138</v>
      </c>
      <c r="L7035" s="68" t="b">
        <f aca="false">TRUE()</f>
        <v>1</v>
      </c>
    </row>
    <row r="7036" customFormat="false" ht="15" hidden="false" customHeight="false" outlineLevel="0" collapsed="false">
      <c r="A7036" s="62" t="n">
        <v>1</v>
      </c>
      <c r="B7036" s="21" t="s">
        <v>336</v>
      </c>
      <c r="C7036" s="62" t="s">
        <v>60</v>
      </c>
      <c r="D7036" s="62" t="s">
        <v>381</v>
      </c>
      <c r="E7036" s="62" t="s">
        <v>382</v>
      </c>
      <c r="F7036" s="62" t="s">
        <v>382</v>
      </c>
      <c r="G7036" s="63" t="s">
        <v>738</v>
      </c>
      <c r="H7036" s="64" t="n">
        <v>130000000</v>
      </c>
      <c r="I7036" s="62" t="s">
        <v>81</v>
      </c>
      <c r="J7036" s="64" t="n">
        <v>130000</v>
      </c>
      <c r="K7036" s="62" t="s">
        <v>138</v>
      </c>
      <c r="L7036" s="68" t="b">
        <f aca="false">TRUE()</f>
        <v>1</v>
      </c>
    </row>
    <row r="7037" customFormat="false" ht="15" hidden="false" customHeight="false" outlineLevel="0" collapsed="false">
      <c r="A7037" s="62" t="n">
        <v>1</v>
      </c>
      <c r="B7037" s="21" t="s">
        <v>336</v>
      </c>
      <c r="C7037" s="62" t="s">
        <v>60</v>
      </c>
      <c r="D7037" s="62" t="s">
        <v>383</v>
      </c>
      <c r="E7037" s="62" t="s">
        <v>382</v>
      </c>
      <c r="F7037" s="62" t="s">
        <v>382</v>
      </c>
      <c r="G7037" s="63" t="s">
        <v>738</v>
      </c>
      <c r="H7037" s="64" t="n">
        <v>200958000</v>
      </c>
      <c r="I7037" s="62" t="s">
        <v>81</v>
      </c>
      <c r="J7037" s="64" t="n">
        <v>200958</v>
      </c>
      <c r="K7037" s="62" t="s">
        <v>138</v>
      </c>
      <c r="L7037" s="68" t="b">
        <f aca="false">TRUE()</f>
        <v>1</v>
      </c>
    </row>
    <row r="7038" customFormat="false" ht="15" hidden="false" customHeight="false" outlineLevel="0" collapsed="false">
      <c r="A7038" s="62" t="n">
        <v>1</v>
      </c>
      <c r="B7038" s="21" t="s">
        <v>336</v>
      </c>
      <c r="C7038" s="62" t="s">
        <v>60</v>
      </c>
      <c r="D7038" s="62" t="s">
        <v>384</v>
      </c>
      <c r="E7038" s="62" t="s">
        <v>382</v>
      </c>
      <c r="F7038" s="62" t="s">
        <v>382</v>
      </c>
      <c r="G7038" s="63" t="s">
        <v>738</v>
      </c>
      <c r="H7038" s="64" t="n">
        <v>128000000</v>
      </c>
      <c r="I7038" s="62" t="s">
        <v>81</v>
      </c>
      <c r="J7038" s="64" t="n">
        <v>128000</v>
      </c>
      <c r="K7038" s="62" t="s">
        <v>138</v>
      </c>
      <c r="L7038" s="68" t="b">
        <f aca="false">TRUE()</f>
        <v>1</v>
      </c>
    </row>
    <row r="7039" customFormat="false" ht="15" hidden="false" customHeight="false" outlineLevel="0" collapsed="false">
      <c r="A7039" s="62" t="n">
        <v>1</v>
      </c>
      <c r="B7039" s="21" t="s">
        <v>336</v>
      </c>
      <c r="C7039" s="62" t="s">
        <v>60</v>
      </c>
      <c r="D7039" s="62" t="s">
        <v>385</v>
      </c>
      <c r="E7039" s="62" t="s">
        <v>382</v>
      </c>
      <c r="F7039" s="62" t="s">
        <v>382</v>
      </c>
      <c r="G7039" s="63" t="s">
        <v>738</v>
      </c>
      <c r="H7039" s="64" t="n">
        <v>150000000</v>
      </c>
      <c r="I7039" s="62" t="s">
        <v>81</v>
      </c>
      <c r="J7039" s="64" t="n">
        <v>150000</v>
      </c>
      <c r="K7039" s="62" t="s">
        <v>138</v>
      </c>
      <c r="L7039" s="68" t="b">
        <f aca="false">TRUE()</f>
        <v>1</v>
      </c>
    </row>
    <row r="7040" customFormat="false" ht="15" hidden="false" customHeight="false" outlineLevel="0" collapsed="false">
      <c r="A7040" s="62" t="n">
        <v>1</v>
      </c>
      <c r="B7040" s="21" t="s">
        <v>336</v>
      </c>
      <c r="C7040" s="62" t="s">
        <v>60</v>
      </c>
      <c r="D7040" s="62" t="s">
        <v>386</v>
      </c>
      <c r="E7040" s="62" t="s">
        <v>382</v>
      </c>
      <c r="F7040" s="62" t="s">
        <v>382</v>
      </c>
      <c r="G7040" s="63" t="s">
        <v>738</v>
      </c>
      <c r="H7040" s="64" t="n">
        <v>132000000</v>
      </c>
      <c r="I7040" s="62" t="s">
        <v>81</v>
      </c>
      <c r="J7040" s="64" t="n">
        <v>132000</v>
      </c>
      <c r="K7040" s="62" t="s">
        <v>138</v>
      </c>
      <c r="L7040" s="68" t="b">
        <f aca="false">TRUE()</f>
        <v>1</v>
      </c>
    </row>
    <row r="7041" customFormat="false" ht="15" hidden="false" customHeight="false" outlineLevel="0" collapsed="false">
      <c r="A7041" s="62" t="n">
        <v>1</v>
      </c>
      <c r="B7041" s="21" t="s">
        <v>336</v>
      </c>
      <c r="C7041" s="62" t="s">
        <v>60</v>
      </c>
      <c r="D7041" s="62" t="s">
        <v>387</v>
      </c>
      <c r="E7041" s="62" t="s">
        <v>382</v>
      </c>
      <c r="F7041" s="62" t="s">
        <v>382</v>
      </c>
      <c r="G7041" s="63" t="s">
        <v>738</v>
      </c>
      <c r="H7041" s="64" t="n">
        <v>160000000</v>
      </c>
      <c r="I7041" s="62" t="s">
        <v>81</v>
      </c>
      <c r="J7041" s="64" t="n">
        <v>160000</v>
      </c>
      <c r="K7041" s="62" t="s">
        <v>138</v>
      </c>
      <c r="L7041" s="68" t="b">
        <f aca="false">TRUE()</f>
        <v>1</v>
      </c>
    </row>
    <row r="7042" customFormat="false" ht="15" hidden="false" customHeight="false" outlineLevel="0" collapsed="false">
      <c r="A7042" s="62" t="n">
        <v>1</v>
      </c>
      <c r="B7042" s="21" t="s">
        <v>336</v>
      </c>
      <c r="C7042" s="62" t="s">
        <v>60</v>
      </c>
      <c r="D7042" s="62" t="s">
        <v>388</v>
      </c>
      <c r="E7042" s="62" t="s">
        <v>382</v>
      </c>
      <c r="F7042" s="62" t="s">
        <v>382</v>
      </c>
      <c r="G7042" s="63" t="s">
        <v>738</v>
      </c>
      <c r="H7042" s="64" t="n">
        <v>143254000</v>
      </c>
      <c r="I7042" s="62" t="s">
        <v>81</v>
      </c>
      <c r="J7042" s="64" t="n">
        <v>143254</v>
      </c>
      <c r="K7042" s="62" t="s">
        <v>138</v>
      </c>
      <c r="L7042" s="68" t="b">
        <f aca="false">TRUE()</f>
        <v>1</v>
      </c>
    </row>
    <row r="7043" customFormat="false" ht="15" hidden="false" customHeight="false" outlineLevel="0" collapsed="false">
      <c r="A7043" s="62" t="n">
        <v>1</v>
      </c>
      <c r="B7043" s="21" t="s">
        <v>336</v>
      </c>
      <c r="C7043" s="62" t="s">
        <v>60</v>
      </c>
      <c r="D7043" s="62" t="s">
        <v>381</v>
      </c>
      <c r="E7043" s="62" t="s">
        <v>382</v>
      </c>
      <c r="F7043" s="62" t="s">
        <v>382</v>
      </c>
      <c r="G7043" s="63" t="s">
        <v>739</v>
      </c>
      <c r="H7043" s="64" t="n">
        <v>162000000</v>
      </c>
      <c r="I7043" s="62" t="s">
        <v>81</v>
      </c>
      <c r="J7043" s="64" t="n">
        <v>162000</v>
      </c>
      <c r="K7043" s="62" t="s">
        <v>138</v>
      </c>
      <c r="L7043" s="68" t="b">
        <f aca="false">TRUE()</f>
        <v>1</v>
      </c>
    </row>
    <row r="7044" customFormat="false" ht="15" hidden="false" customHeight="false" outlineLevel="0" collapsed="false">
      <c r="A7044" s="62" t="n">
        <v>1</v>
      </c>
      <c r="B7044" s="21" t="s">
        <v>336</v>
      </c>
      <c r="C7044" s="62" t="s">
        <v>60</v>
      </c>
      <c r="D7044" s="62" t="s">
        <v>383</v>
      </c>
      <c r="E7044" s="62" t="s">
        <v>382</v>
      </c>
      <c r="F7044" s="62" t="s">
        <v>382</v>
      </c>
      <c r="G7044" s="63" t="s">
        <v>739</v>
      </c>
      <c r="H7044" s="64" t="n">
        <v>252963000</v>
      </c>
      <c r="I7044" s="62" t="s">
        <v>81</v>
      </c>
      <c r="J7044" s="64" t="n">
        <v>252963</v>
      </c>
      <c r="K7044" s="62" t="s">
        <v>138</v>
      </c>
      <c r="L7044" s="68" t="b">
        <f aca="false">TRUE()</f>
        <v>1</v>
      </c>
    </row>
    <row r="7045" customFormat="false" ht="15" hidden="false" customHeight="false" outlineLevel="0" collapsed="false">
      <c r="A7045" s="62" t="n">
        <v>1</v>
      </c>
      <c r="B7045" s="21" t="s">
        <v>336</v>
      </c>
      <c r="C7045" s="62" t="s">
        <v>60</v>
      </c>
      <c r="D7045" s="62" t="s">
        <v>384</v>
      </c>
      <c r="E7045" s="62" t="s">
        <v>382</v>
      </c>
      <c r="F7045" s="62" t="s">
        <v>382</v>
      </c>
      <c r="G7045" s="63" t="s">
        <v>739</v>
      </c>
      <c r="H7045" s="64" t="n">
        <v>0</v>
      </c>
      <c r="I7045" s="62" t="s">
        <v>81</v>
      </c>
      <c r="J7045" s="64" t="n">
        <v>0</v>
      </c>
      <c r="K7045" s="62" t="s">
        <v>138</v>
      </c>
      <c r="L7045" s="68" t="b">
        <f aca="false">TRUE()</f>
        <v>1</v>
      </c>
    </row>
    <row r="7046" customFormat="false" ht="15" hidden="false" customHeight="false" outlineLevel="0" collapsed="false">
      <c r="A7046" s="62" t="n">
        <v>1</v>
      </c>
      <c r="B7046" s="21" t="s">
        <v>336</v>
      </c>
      <c r="C7046" s="62" t="s">
        <v>60</v>
      </c>
      <c r="D7046" s="62" t="s">
        <v>385</v>
      </c>
      <c r="E7046" s="62" t="s">
        <v>382</v>
      </c>
      <c r="F7046" s="62" t="s">
        <v>382</v>
      </c>
      <c r="G7046" s="63" t="s">
        <v>739</v>
      </c>
      <c r="H7046" s="64" t="n">
        <v>0</v>
      </c>
      <c r="I7046" s="62" t="s">
        <v>81</v>
      </c>
      <c r="J7046" s="64" t="n">
        <v>0</v>
      </c>
      <c r="K7046" s="62" t="s">
        <v>138</v>
      </c>
      <c r="L7046" s="68" t="b">
        <f aca="false">TRUE()</f>
        <v>1</v>
      </c>
    </row>
    <row r="7047" customFormat="false" ht="15" hidden="false" customHeight="false" outlineLevel="0" collapsed="false">
      <c r="A7047" s="62" t="n">
        <v>1</v>
      </c>
      <c r="B7047" s="21" t="s">
        <v>336</v>
      </c>
      <c r="C7047" s="62" t="s">
        <v>60</v>
      </c>
      <c r="D7047" s="62" t="s">
        <v>386</v>
      </c>
      <c r="E7047" s="62" t="s">
        <v>382</v>
      </c>
      <c r="F7047" s="62" t="s">
        <v>382</v>
      </c>
      <c r="G7047" s="63" t="s">
        <v>739</v>
      </c>
      <c r="H7047" s="64" t="n">
        <v>0</v>
      </c>
      <c r="I7047" s="62" t="s">
        <v>81</v>
      </c>
      <c r="J7047" s="64" t="n">
        <v>0</v>
      </c>
      <c r="K7047" s="62" t="s">
        <v>138</v>
      </c>
      <c r="L7047" s="68" t="b">
        <f aca="false">TRUE()</f>
        <v>1</v>
      </c>
    </row>
    <row r="7048" customFormat="false" ht="15" hidden="false" customHeight="false" outlineLevel="0" collapsed="false">
      <c r="A7048" s="62" t="n">
        <v>1</v>
      </c>
      <c r="B7048" s="21" t="s">
        <v>336</v>
      </c>
      <c r="C7048" s="62" t="s">
        <v>60</v>
      </c>
      <c r="D7048" s="62" t="s">
        <v>387</v>
      </c>
      <c r="E7048" s="62" t="s">
        <v>382</v>
      </c>
      <c r="F7048" s="62" t="s">
        <v>382</v>
      </c>
      <c r="G7048" s="63" t="s">
        <v>739</v>
      </c>
      <c r="H7048" s="64" t="n">
        <v>238000000</v>
      </c>
      <c r="I7048" s="62" t="s">
        <v>81</v>
      </c>
      <c r="J7048" s="64" t="n">
        <v>238000</v>
      </c>
      <c r="K7048" s="62" t="s">
        <v>138</v>
      </c>
      <c r="L7048" s="68" t="b">
        <f aca="false">TRUE()</f>
        <v>1</v>
      </c>
    </row>
    <row r="7049" customFormat="false" ht="15" hidden="false" customHeight="false" outlineLevel="0" collapsed="false">
      <c r="A7049" s="62" t="n">
        <v>1</v>
      </c>
      <c r="B7049" s="21" t="s">
        <v>336</v>
      </c>
      <c r="C7049" s="62" t="s">
        <v>60</v>
      </c>
      <c r="D7049" s="62" t="s">
        <v>388</v>
      </c>
      <c r="E7049" s="62" t="s">
        <v>382</v>
      </c>
      <c r="F7049" s="62" t="s">
        <v>382</v>
      </c>
      <c r="G7049" s="63" t="s">
        <v>739</v>
      </c>
      <c r="H7049" s="64" t="n">
        <v>221970000</v>
      </c>
      <c r="I7049" s="62" t="s">
        <v>81</v>
      </c>
      <c r="J7049" s="64" t="n">
        <v>221970</v>
      </c>
      <c r="K7049" s="62" t="s">
        <v>138</v>
      </c>
      <c r="L7049" s="68" t="b">
        <f aca="false">TRUE()</f>
        <v>1</v>
      </c>
    </row>
    <row r="7050" customFormat="false" ht="15" hidden="false" customHeight="false" outlineLevel="0" collapsed="false">
      <c r="A7050" s="62" t="n">
        <v>1</v>
      </c>
      <c r="B7050" s="21" t="s">
        <v>336</v>
      </c>
      <c r="C7050" s="62" t="s">
        <v>60</v>
      </c>
      <c r="D7050" s="62" t="s">
        <v>381</v>
      </c>
      <c r="E7050" s="62" t="s">
        <v>382</v>
      </c>
      <c r="F7050" s="62" t="s">
        <v>382</v>
      </c>
      <c r="G7050" s="63" t="s">
        <v>740</v>
      </c>
      <c r="H7050" s="64" t="n">
        <v>0</v>
      </c>
      <c r="I7050" s="62" t="s">
        <v>81</v>
      </c>
      <c r="J7050" s="64" t="n">
        <v>0</v>
      </c>
      <c r="K7050" s="62" t="s">
        <v>138</v>
      </c>
      <c r="L7050" s="68" t="b">
        <f aca="false">TRUE()</f>
        <v>1</v>
      </c>
    </row>
    <row r="7051" customFormat="false" ht="15" hidden="false" customHeight="false" outlineLevel="0" collapsed="false">
      <c r="A7051" s="62" t="n">
        <v>1</v>
      </c>
      <c r="B7051" s="21" t="s">
        <v>336</v>
      </c>
      <c r="C7051" s="62" t="s">
        <v>60</v>
      </c>
      <c r="D7051" s="62" t="s">
        <v>383</v>
      </c>
      <c r="E7051" s="62" t="s">
        <v>382</v>
      </c>
      <c r="F7051" s="62" t="s">
        <v>382</v>
      </c>
      <c r="G7051" s="63" t="s">
        <v>740</v>
      </c>
      <c r="H7051" s="64" t="n">
        <v>0</v>
      </c>
      <c r="I7051" s="62" t="s">
        <v>81</v>
      </c>
      <c r="J7051" s="64" t="n">
        <v>0</v>
      </c>
      <c r="K7051" s="62" t="s">
        <v>138</v>
      </c>
      <c r="L7051" s="68" t="b">
        <f aca="false">TRUE()</f>
        <v>1</v>
      </c>
    </row>
    <row r="7052" customFormat="false" ht="15" hidden="false" customHeight="false" outlineLevel="0" collapsed="false">
      <c r="A7052" s="62" t="n">
        <v>1</v>
      </c>
      <c r="B7052" s="21" t="s">
        <v>336</v>
      </c>
      <c r="C7052" s="62" t="s">
        <v>60</v>
      </c>
      <c r="D7052" s="62" t="s">
        <v>384</v>
      </c>
      <c r="E7052" s="62" t="s">
        <v>382</v>
      </c>
      <c r="F7052" s="62" t="s">
        <v>382</v>
      </c>
      <c r="G7052" s="63" t="s">
        <v>740</v>
      </c>
      <c r="H7052" s="64" t="n">
        <v>0</v>
      </c>
      <c r="I7052" s="62" t="s">
        <v>81</v>
      </c>
      <c r="J7052" s="64" t="n">
        <v>0</v>
      </c>
      <c r="K7052" s="62" t="s">
        <v>138</v>
      </c>
      <c r="L7052" s="68" t="b">
        <f aca="false">TRUE()</f>
        <v>1</v>
      </c>
    </row>
    <row r="7053" customFormat="false" ht="15" hidden="false" customHeight="false" outlineLevel="0" collapsed="false">
      <c r="A7053" s="62" t="n">
        <v>1</v>
      </c>
      <c r="B7053" s="21" t="s">
        <v>336</v>
      </c>
      <c r="C7053" s="62" t="s">
        <v>60</v>
      </c>
      <c r="D7053" s="62" t="s">
        <v>385</v>
      </c>
      <c r="E7053" s="62" t="s">
        <v>382</v>
      </c>
      <c r="F7053" s="62" t="s">
        <v>382</v>
      </c>
      <c r="G7053" s="63" t="s">
        <v>740</v>
      </c>
      <c r="H7053" s="64" t="n">
        <v>0</v>
      </c>
      <c r="I7053" s="62" t="s">
        <v>81</v>
      </c>
      <c r="J7053" s="64" t="n">
        <v>0</v>
      </c>
      <c r="K7053" s="62" t="s">
        <v>138</v>
      </c>
      <c r="L7053" s="68" t="b">
        <f aca="false">TRUE()</f>
        <v>1</v>
      </c>
    </row>
    <row r="7054" customFormat="false" ht="15" hidden="false" customHeight="false" outlineLevel="0" collapsed="false">
      <c r="A7054" s="62" t="n">
        <v>1</v>
      </c>
      <c r="B7054" s="21" t="s">
        <v>336</v>
      </c>
      <c r="C7054" s="62" t="s">
        <v>60</v>
      </c>
      <c r="D7054" s="62" t="s">
        <v>386</v>
      </c>
      <c r="E7054" s="62" t="s">
        <v>382</v>
      </c>
      <c r="F7054" s="62" t="s">
        <v>382</v>
      </c>
      <c r="G7054" s="63" t="s">
        <v>740</v>
      </c>
      <c r="H7054" s="64" t="n">
        <v>0</v>
      </c>
      <c r="I7054" s="62" t="s">
        <v>81</v>
      </c>
      <c r="J7054" s="64" t="n">
        <v>0</v>
      </c>
      <c r="K7054" s="62" t="s">
        <v>138</v>
      </c>
      <c r="L7054" s="68" t="b">
        <f aca="false">TRUE()</f>
        <v>1</v>
      </c>
    </row>
    <row r="7055" customFormat="false" ht="15" hidden="false" customHeight="false" outlineLevel="0" collapsed="false">
      <c r="A7055" s="62" t="n">
        <v>1</v>
      </c>
      <c r="B7055" s="21" t="s">
        <v>336</v>
      </c>
      <c r="C7055" s="62" t="s">
        <v>60</v>
      </c>
      <c r="D7055" s="62" t="s">
        <v>387</v>
      </c>
      <c r="E7055" s="62" t="s">
        <v>382</v>
      </c>
      <c r="F7055" s="62" t="s">
        <v>382</v>
      </c>
      <c r="G7055" s="63" t="s">
        <v>740</v>
      </c>
      <c r="H7055" s="64" t="n">
        <v>0</v>
      </c>
      <c r="I7055" s="62" t="s">
        <v>81</v>
      </c>
      <c r="J7055" s="64" t="n">
        <v>0</v>
      </c>
      <c r="K7055" s="62" t="s">
        <v>138</v>
      </c>
      <c r="L7055" s="68" t="b">
        <f aca="false">TRUE()</f>
        <v>1</v>
      </c>
    </row>
    <row r="7056" customFormat="false" ht="15" hidden="false" customHeight="false" outlineLevel="0" collapsed="false">
      <c r="A7056" s="62" t="n">
        <v>1</v>
      </c>
      <c r="B7056" s="21" t="s">
        <v>336</v>
      </c>
      <c r="C7056" s="62" t="s">
        <v>60</v>
      </c>
      <c r="D7056" s="62" t="s">
        <v>388</v>
      </c>
      <c r="E7056" s="62" t="s">
        <v>382</v>
      </c>
      <c r="F7056" s="62" t="s">
        <v>382</v>
      </c>
      <c r="G7056" s="63" t="s">
        <v>740</v>
      </c>
      <c r="H7056" s="64" t="n">
        <v>0</v>
      </c>
      <c r="I7056" s="62" t="s">
        <v>81</v>
      </c>
      <c r="J7056" s="64" t="n">
        <v>0</v>
      </c>
      <c r="K7056" s="62" t="s">
        <v>138</v>
      </c>
      <c r="L7056" s="68" t="b">
        <f aca="false">TRUE()</f>
        <v>1</v>
      </c>
    </row>
    <row r="7057" customFormat="false" ht="15" hidden="false" customHeight="false" outlineLevel="0" collapsed="false">
      <c r="A7057" s="62" t="n">
        <v>1</v>
      </c>
      <c r="B7057" s="21" t="s">
        <v>336</v>
      </c>
      <c r="C7057" s="62" t="s">
        <v>60</v>
      </c>
      <c r="D7057" s="62" t="s">
        <v>381</v>
      </c>
      <c r="E7057" s="62" t="s">
        <v>382</v>
      </c>
      <c r="F7057" s="62" t="s">
        <v>382</v>
      </c>
      <c r="G7057" s="63" t="s">
        <v>741</v>
      </c>
      <c r="H7057" s="64" t="n">
        <v>0</v>
      </c>
      <c r="I7057" s="62" t="s">
        <v>81</v>
      </c>
      <c r="J7057" s="64" t="n">
        <v>0</v>
      </c>
      <c r="K7057" s="62" t="s">
        <v>138</v>
      </c>
      <c r="L7057" s="68" t="b">
        <f aca="false">TRUE()</f>
        <v>1</v>
      </c>
    </row>
    <row r="7058" customFormat="false" ht="15" hidden="false" customHeight="false" outlineLevel="0" collapsed="false">
      <c r="A7058" s="62" t="n">
        <v>1</v>
      </c>
      <c r="B7058" s="21" t="s">
        <v>336</v>
      </c>
      <c r="C7058" s="62" t="s">
        <v>60</v>
      </c>
      <c r="D7058" s="62" t="s">
        <v>383</v>
      </c>
      <c r="E7058" s="62" t="s">
        <v>382</v>
      </c>
      <c r="F7058" s="62" t="s">
        <v>382</v>
      </c>
      <c r="G7058" s="63" t="s">
        <v>741</v>
      </c>
      <c r="H7058" s="64" t="n">
        <v>0</v>
      </c>
      <c r="I7058" s="62" t="s">
        <v>81</v>
      </c>
      <c r="J7058" s="64" t="n">
        <v>0</v>
      </c>
      <c r="K7058" s="62" t="s">
        <v>138</v>
      </c>
      <c r="L7058" s="68" t="b">
        <f aca="false">TRUE()</f>
        <v>1</v>
      </c>
    </row>
    <row r="7059" customFormat="false" ht="15" hidden="false" customHeight="false" outlineLevel="0" collapsed="false">
      <c r="A7059" s="62" t="n">
        <v>1</v>
      </c>
      <c r="B7059" s="21" t="s">
        <v>336</v>
      </c>
      <c r="C7059" s="62" t="s">
        <v>60</v>
      </c>
      <c r="D7059" s="62" t="s">
        <v>384</v>
      </c>
      <c r="E7059" s="62" t="s">
        <v>382</v>
      </c>
      <c r="F7059" s="62" t="s">
        <v>382</v>
      </c>
      <c r="G7059" s="63" t="s">
        <v>741</v>
      </c>
      <c r="H7059" s="64" t="n">
        <v>0</v>
      </c>
      <c r="I7059" s="62" t="s">
        <v>81</v>
      </c>
      <c r="J7059" s="64" t="n">
        <v>0</v>
      </c>
      <c r="K7059" s="62" t="s">
        <v>138</v>
      </c>
      <c r="L7059" s="68" t="b">
        <f aca="false">TRUE()</f>
        <v>1</v>
      </c>
    </row>
    <row r="7060" customFormat="false" ht="15" hidden="false" customHeight="false" outlineLevel="0" collapsed="false">
      <c r="A7060" s="62" t="n">
        <v>1</v>
      </c>
      <c r="B7060" s="21" t="s">
        <v>336</v>
      </c>
      <c r="C7060" s="62" t="s">
        <v>60</v>
      </c>
      <c r="D7060" s="62" t="s">
        <v>385</v>
      </c>
      <c r="E7060" s="62" t="s">
        <v>382</v>
      </c>
      <c r="F7060" s="62" t="s">
        <v>382</v>
      </c>
      <c r="G7060" s="63" t="s">
        <v>741</v>
      </c>
      <c r="H7060" s="64" t="n">
        <v>0</v>
      </c>
      <c r="I7060" s="62" t="s">
        <v>81</v>
      </c>
      <c r="J7060" s="64" t="n">
        <v>0</v>
      </c>
      <c r="K7060" s="62" t="s">
        <v>138</v>
      </c>
      <c r="L7060" s="68" t="b">
        <f aca="false">TRUE()</f>
        <v>1</v>
      </c>
    </row>
    <row r="7061" customFormat="false" ht="15" hidden="false" customHeight="false" outlineLevel="0" collapsed="false">
      <c r="A7061" s="62" t="n">
        <v>1</v>
      </c>
      <c r="B7061" s="21" t="s">
        <v>336</v>
      </c>
      <c r="C7061" s="62" t="s">
        <v>60</v>
      </c>
      <c r="D7061" s="62" t="s">
        <v>386</v>
      </c>
      <c r="E7061" s="62" t="s">
        <v>382</v>
      </c>
      <c r="F7061" s="62" t="s">
        <v>382</v>
      </c>
      <c r="G7061" s="63" t="s">
        <v>741</v>
      </c>
      <c r="H7061" s="64" t="n">
        <v>0</v>
      </c>
      <c r="I7061" s="62" t="s">
        <v>81</v>
      </c>
      <c r="J7061" s="64" t="n">
        <v>0</v>
      </c>
      <c r="K7061" s="62" t="s">
        <v>138</v>
      </c>
      <c r="L7061" s="68" t="b">
        <f aca="false">TRUE()</f>
        <v>1</v>
      </c>
    </row>
    <row r="7062" customFormat="false" ht="15" hidden="false" customHeight="false" outlineLevel="0" collapsed="false">
      <c r="A7062" s="62" t="n">
        <v>1</v>
      </c>
      <c r="B7062" s="21" t="s">
        <v>336</v>
      </c>
      <c r="C7062" s="62" t="s">
        <v>60</v>
      </c>
      <c r="D7062" s="62" t="s">
        <v>387</v>
      </c>
      <c r="E7062" s="62" t="s">
        <v>382</v>
      </c>
      <c r="F7062" s="62" t="s">
        <v>382</v>
      </c>
      <c r="G7062" s="63" t="s">
        <v>741</v>
      </c>
      <c r="H7062" s="64" t="n">
        <v>0</v>
      </c>
      <c r="I7062" s="62" t="s">
        <v>81</v>
      </c>
      <c r="J7062" s="64" t="n">
        <v>0</v>
      </c>
      <c r="K7062" s="62" t="s">
        <v>138</v>
      </c>
      <c r="L7062" s="68" t="b">
        <f aca="false">TRUE()</f>
        <v>1</v>
      </c>
    </row>
    <row r="7063" customFormat="false" ht="15" hidden="false" customHeight="false" outlineLevel="0" collapsed="false">
      <c r="A7063" s="62" t="n">
        <v>1</v>
      </c>
      <c r="B7063" s="21" t="s">
        <v>336</v>
      </c>
      <c r="C7063" s="62" t="s">
        <v>60</v>
      </c>
      <c r="D7063" s="62" t="s">
        <v>388</v>
      </c>
      <c r="E7063" s="62" t="s">
        <v>382</v>
      </c>
      <c r="F7063" s="62" t="s">
        <v>382</v>
      </c>
      <c r="G7063" s="63" t="s">
        <v>741</v>
      </c>
      <c r="H7063" s="64" t="n">
        <v>0</v>
      </c>
      <c r="I7063" s="62" t="s">
        <v>81</v>
      </c>
      <c r="J7063" s="64" t="n">
        <v>0</v>
      </c>
      <c r="K7063" s="62" t="s">
        <v>138</v>
      </c>
      <c r="L7063" s="68" t="b">
        <f aca="false">TRUE()</f>
        <v>1</v>
      </c>
    </row>
    <row r="7064" customFormat="false" ht="15" hidden="false" customHeight="false" outlineLevel="0" collapsed="false">
      <c r="A7064" s="62" t="n">
        <v>1</v>
      </c>
      <c r="B7064" s="21" t="s">
        <v>336</v>
      </c>
      <c r="C7064" s="62" t="s">
        <v>60</v>
      </c>
      <c r="D7064" s="62" t="s">
        <v>381</v>
      </c>
      <c r="E7064" s="62" t="s">
        <v>382</v>
      </c>
      <c r="F7064" s="62" t="s">
        <v>382</v>
      </c>
      <c r="G7064" s="63" t="s">
        <v>742</v>
      </c>
      <c r="H7064" s="64" t="n">
        <v>22000000</v>
      </c>
      <c r="I7064" s="62" t="s">
        <v>81</v>
      </c>
      <c r="J7064" s="64" t="n">
        <v>22000</v>
      </c>
      <c r="K7064" s="62" t="s">
        <v>138</v>
      </c>
      <c r="L7064" s="68" t="b">
        <f aca="false">TRUE()</f>
        <v>1</v>
      </c>
    </row>
    <row r="7065" customFormat="false" ht="15" hidden="false" customHeight="false" outlineLevel="0" collapsed="false">
      <c r="A7065" s="62" t="n">
        <v>1</v>
      </c>
      <c r="B7065" s="21" t="s">
        <v>336</v>
      </c>
      <c r="C7065" s="62" t="s">
        <v>60</v>
      </c>
      <c r="D7065" s="62" t="s">
        <v>383</v>
      </c>
      <c r="E7065" s="62" t="s">
        <v>382</v>
      </c>
      <c r="F7065" s="62" t="s">
        <v>382</v>
      </c>
      <c r="G7065" s="63" t="s">
        <v>742</v>
      </c>
      <c r="H7065" s="64" t="n">
        <v>33683000</v>
      </c>
      <c r="I7065" s="62" t="s">
        <v>81</v>
      </c>
      <c r="J7065" s="64" t="n">
        <v>33683</v>
      </c>
      <c r="K7065" s="62" t="s">
        <v>138</v>
      </c>
      <c r="L7065" s="68" t="b">
        <f aca="false">TRUE()</f>
        <v>1</v>
      </c>
    </row>
    <row r="7066" customFormat="false" ht="15" hidden="false" customHeight="false" outlineLevel="0" collapsed="false">
      <c r="A7066" s="62" t="n">
        <v>1</v>
      </c>
      <c r="B7066" s="21" t="s">
        <v>336</v>
      </c>
      <c r="C7066" s="62" t="s">
        <v>60</v>
      </c>
      <c r="D7066" s="62" t="s">
        <v>384</v>
      </c>
      <c r="E7066" s="62" t="s">
        <v>382</v>
      </c>
      <c r="F7066" s="62" t="s">
        <v>382</v>
      </c>
      <c r="G7066" s="63" t="s">
        <v>742</v>
      </c>
      <c r="H7066" s="64" t="n">
        <v>25000000</v>
      </c>
      <c r="I7066" s="62" t="s">
        <v>81</v>
      </c>
      <c r="J7066" s="64" t="n">
        <v>25000</v>
      </c>
      <c r="K7066" s="62" t="s">
        <v>138</v>
      </c>
      <c r="L7066" s="68" t="b">
        <f aca="false">TRUE()</f>
        <v>1</v>
      </c>
    </row>
    <row r="7067" customFormat="false" ht="15" hidden="false" customHeight="false" outlineLevel="0" collapsed="false">
      <c r="A7067" s="62" t="n">
        <v>1</v>
      </c>
      <c r="B7067" s="21" t="s">
        <v>336</v>
      </c>
      <c r="C7067" s="62" t="s">
        <v>60</v>
      </c>
      <c r="D7067" s="62" t="s">
        <v>385</v>
      </c>
      <c r="E7067" s="62" t="s">
        <v>382</v>
      </c>
      <c r="F7067" s="62" t="s">
        <v>382</v>
      </c>
      <c r="G7067" s="63" t="s">
        <v>742</v>
      </c>
      <c r="H7067" s="64" t="n">
        <v>40000000</v>
      </c>
      <c r="I7067" s="62" t="s">
        <v>81</v>
      </c>
      <c r="J7067" s="64" t="n">
        <v>40000</v>
      </c>
      <c r="K7067" s="62" t="s">
        <v>138</v>
      </c>
      <c r="L7067" s="68" t="b">
        <f aca="false">TRUE()</f>
        <v>1</v>
      </c>
    </row>
    <row r="7068" customFormat="false" ht="15" hidden="false" customHeight="false" outlineLevel="0" collapsed="false">
      <c r="A7068" s="62" t="n">
        <v>1</v>
      </c>
      <c r="B7068" s="21" t="s">
        <v>336</v>
      </c>
      <c r="C7068" s="62" t="s">
        <v>60</v>
      </c>
      <c r="D7068" s="62" t="s">
        <v>386</v>
      </c>
      <c r="E7068" s="62" t="s">
        <v>382</v>
      </c>
      <c r="F7068" s="62" t="s">
        <v>382</v>
      </c>
      <c r="G7068" s="63" t="s">
        <v>742</v>
      </c>
      <c r="H7068" s="64" t="n">
        <v>23500000</v>
      </c>
      <c r="I7068" s="62" t="s">
        <v>81</v>
      </c>
      <c r="J7068" s="64" t="n">
        <v>23500</v>
      </c>
      <c r="K7068" s="62" t="s">
        <v>138</v>
      </c>
      <c r="L7068" s="68" t="b">
        <f aca="false">TRUE()</f>
        <v>1</v>
      </c>
    </row>
    <row r="7069" customFormat="false" ht="15" hidden="false" customHeight="false" outlineLevel="0" collapsed="false">
      <c r="A7069" s="62" t="n">
        <v>1</v>
      </c>
      <c r="B7069" s="21" t="s">
        <v>336</v>
      </c>
      <c r="C7069" s="62" t="s">
        <v>60</v>
      </c>
      <c r="D7069" s="62" t="s">
        <v>387</v>
      </c>
      <c r="E7069" s="62" t="s">
        <v>382</v>
      </c>
      <c r="F7069" s="62" t="s">
        <v>382</v>
      </c>
      <c r="G7069" s="63" t="s">
        <v>742</v>
      </c>
      <c r="H7069" s="64" t="n">
        <v>32000000</v>
      </c>
      <c r="I7069" s="62" t="s">
        <v>81</v>
      </c>
      <c r="J7069" s="64" t="n">
        <v>32000</v>
      </c>
      <c r="K7069" s="62" t="s">
        <v>138</v>
      </c>
      <c r="L7069" s="68" t="b">
        <f aca="false">TRUE()</f>
        <v>1</v>
      </c>
    </row>
    <row r="7070" customFormat="false" ht="15" hidden="false" customHeight="false" outlineLevel="0" collapsed="false">
      <c r="A7070" s="62" t="n">
        <v>1</v>
      </c>
      <c r="B7070" s="21" t="s">
        <v>336</v>
      </c>
      <c r="C7070" s="62" t="s">
        <v>60</v>
      </c>
      <c r="D7070" s="62" t="s">
        <v>388</v>
      </c>
      <c r="E7070" s="62" t="s">
        <v>382</v>
      </c>
      <c r="F7070" s="62" t="s">
        <v>382</v>
      </c>
      <c r="G7070" s="63" t="s">
        <v>742</v>
      </c>
      <c r="H7070" s="64" t="n">
        <v>27650000</v>
      </c>
      <c r="I7070" s="62" t="s">
        <v>81</v>
      </c>
      <c r="J7070" s="64" t="n">
        <v>27650</v>
      </c>
      <c r="K7070" s="62" t="s">
        <v>138</v>
      </c>
      <c r="L7070" s="68" t="b">
        <f aca="false">TRUE()</f>
        <v>1</v>
      </c>
    </row>
    <row r="7071" customFormat="false" ht="15" hidden="false" customHeight="false" outlineLevel="0" collapsed="false">
      <c r="A7071" s="62" t="n">
        <v>1</v>
      </c>
      <c r="B7071" s="21" t="s">
        <v>336</v>
      </c>
      <c r="C7071" s="62" t="s">
        <v>60</v>
      </c>
      <c r="D7071" s="62" t="s">
        <v>381</v>
      </c>
      <c r="E7071" s="62" t="s">
        <v>382</v>
      </c>
      <c r="F7071" s="62" t="s">
        <v>382</v>
      </c>
      <c r="G7071" s="63" t="s">
        <v>743</v>
      </c>
      <c r="H7071" s="64" t="n">
        <v>26400000</v>
      </c>
      <c r="I7071" s="62" t="s">
        <v>81</v>
      </c>
      <c r="J7071" s="64" t="n">
        <v>26400</v>
      </c>
      <c r="K7071" s="62" t="s">
        <v>138</v>
      </c>
      <c r="L7071" s="68" t="b">
        <f aca="false">TRUE()</f>
        <v>1</v>
      </c>
    </row>
    <row r="7072" customFormat="false" ht="15" hidden="false" customHeight="false" outlineLevel="0" collapsed="false">
      <c r="A7072" s="62" t="n">
        <v>1</v>
      </c>
      <c r="B7072" s="21" t="s">
        <v>336</v>
      </c>
      <c r="C7072" s="62" t="s">
        <v>60</v>
      </c>
      <c r="D7072" s="62" t="s">
        <v>383</v>
      </c>
      <c r="E7072" s="62" t="s">
        <v>382</v>
      </c>
      <c r="F7072" s="62" t="s">
        <v>382</v>
      </c>
      <c r="G7072" s="63" t="s">
        <v>743</v>
      </c>
      <c r="H7072" s="64" t="n">
        <v>42681000</v>
      </c>
      <c r="I7072" s="62" t="s">
        <v>81</v>
      </c>
      <c r="J7072" s="64" t="n">
        <v>42681</v>
      </c>
      <c r="K7072" s="62" t="s">
        <v>138</v>
      </c>
      <c r="L7072" s="68" t="b">
        <f aca="false">TRUE()</f>
        <v>1</v>
      </c>
    </row>
    <row r="7073" customFormat="false" ht="15" hidden="false" customHeight="false" outlineLevel="0" collapsed="false">
      <c r="A7073" s="62" t="n">
        <v>1</v>
      </c>
      <c r="B7073" s="21" t="s">
        <v>336</v>
      </c>
      <c r="C7073" s="62" t="s">
        <v>60</v>
      </c>
      <c r="D7073" s="62" t="s">
        <v>384</v>
      </c>
      <c r="E7073" s="62" t="s">
        <v>382</v>
      </c>
      <c r="F7073" s="62" t="s">
        <v>382</v>
      </c>
      <c r="G7073" s="63" t="s">
        <v>743</v>
      </c>
      <c r="H7073" s="64" t="n">
        <v>0</v>
      </c>
      <c r="I7073" s="62" t="s">
        <v>81</v>
      </c>
      <c r="J7073" s="64" t="n">
        <v>0</v>
      </c>
      <c r="K7073" s="62" t="s">
        <v>138</v>
      </c>
      <c r="L7073" s="68" t="b">
        <f aca="false">TRUE()</f>
        <v>1</v>
      </c>
    </row>
    <row r="7074" customFormat="false" ht="15" hidden="false" customHeight="false" outlineLevel="0" collapsed="false">
      <c r="A7074" s="62" t="n">
        <v>1</v>
      </c>
      <c r="B7074" s="21" t="s">
        <v>336</v>
      </c>
      <c r="C7074" s="62" t="s">
        <v>60</v>
      </c>
      <c r="D7074" s="62" t="s">
        <v>385</v>
      </c>
      <c r="E7074" s="62" t="s">
        <v>382</v>
      </c>
      <c r="F7074" s="62" t="s">
        <v>382</v>
      </c>
      <c r="G7074" s="63" t="s">
        <v>743</v>
      </c>
      <c r="H7074" s="64" t="n">
        <v>0</v>
      </c>
      <c r="I7074" s="62" t="s">
        <v>81</v>
      </c>
      <c r="J7074" s="64" t="n">
        <v>0</v>
      </c>
      <c r="K7074" s="62" t="s">
        <v>138</v>
      </c>
      <c r="L7074" s="68" t="b">
        <f aca="false">TRUE()</f>
        <v>1</v>
      </c>
    </row>
    <row r="7075" customFormat="false" ht="15" hidden="false" customHeight="false" outlineLevel="0" collapsed="false">
      <c r="A7075" s="62" t="n">
        <v>1</v>
      </c>
      <c r="B7075" s="21" t="s">
        <v>336</v>
      </c>
      <c r="C7075" s="62" t="s">
        <v>60</v>
      </c>
      <c r="D7075" s="62" t="s">
        <v>386</v>
      </c>
      <c r="E7075" s="62" t="s">
        <v>382</v>
      </c>
      <c r="F7075" s="62" t="s">
        <v>382</v>
      </c>
      <c r="G7075" s="63" t="s">
        <v>743</v>
      </c>
      <c r="H7075" s="64" t="n">
        <v>0</v>
      </c>
      <c r="I7075" s="62" t="s">
        <v>81</v>
      </c>
      <c r="J7075" s="64" t="n">
        <v>0</v>
      </c>
      <c r="K7075" s="62" t="s">
        <v>138</v>
      </c>
      <c r="L7075" s="68" t="b">
        <f aca="false">TRUE()</f>
        <v>1</v>
      </c>
    </row>
    <row r="7076" customFormat="false" ht="15" hidden="false" customHeight="false" outlineLevel="0" collapsed="false">
      <c r="A7076" s="62" t="n">
        <v>1</v>
      </c>
      <c r="B7076" s="21" t="s">
        <v>336</v>
      </c>
      <c r="C7076" s="62" t="s">
        <v>60</v>
      </c>
      <c r="D7076" s="62" t="s">
        <v>387</v>
      </c>
      <c r="E7076" s="62" t="s">
        <v>382</v>
      </c>
      <c r="F7076" s="62" t="s">
        <v>382</v>
      </c>
      <c r="G7076" s="63" t="s">
        <v>743</v>
      </c>
      <c r="H7076" s="64" t="n">
        <v>40000000</v>
      </c>
      <c r="I7076" s="62" t="s">
        <v>81</v>
      </c>
      <c r="J7076" s="64" t="n">
        <v>40000</v>
      </c>
      <c r="K7076" s="62" t="s">
        <v>138</v>
      </c>
      <c r="L7076" s="68" t="b">
        <f aca="false">TRUE()</f>
        <v>1</v>
      </c>
    </row>
    <row r="7077" customFormat="false" ht="15" hidden="false" customHeight="false" outlineLevel="0" collapsed="false">
      <c r="A7077" s="62" t="n">
        <v>1</v>
      </c>
      <c r="B7077" s="21" t="s">
        <v>336</v>
      </c>
      <c r="C7077" s="62" t="s">
        <v>60</v>
      </c>
      <c r="D7077" s="62" t="s">
        <v>388</v>
      </c>
      <c r="E7077" s="62" t="s">
        <v>382</v>
      </c>
      <c r="F7077" s="62" t="s">
        <v>382</v>
      </c>
      <c r="G7077" s="63" t="s">
        <v>743</v>
      </c>
      <c r="H7077" s="64" t="n">
        <v>42806000</v>
      </c>
      <c r="I7077" s="62" t="s">
        <v>81</v>
      </c>
      <c r="J7077" s="64" t="n">
        <v>42806</v>
      </c>
      <c r="K7077" s="62" t="s">
        <v>138</v>
      </c>
      <c r="L7077" s="68" t="b">
        <f aca="false">TRUE()</f>
        <v>1</v>
      </c>
    </row>
    <row r="7078" customFormat="false" ht="15" hidden="false" customHeight="false" outlineLevel="0" collapsed="false">
      <c r="A7078" s="62" t="n">
        <v>1</v>
      </c>
      <c r="B7078" s="21" t="s">
        <v>336</v>
      </c>
      <c r="C7078" s="62" t="s">
        <v>60</v>
      </c>
      <c r="D7078" s="62" t="s">
        <v>381</v>
      </c>
      <c r="E7078" s="62" t="s">
        <v>382</v>
      </c>
      <c r="F7078" s="62" t="s">
        <v>382</v>
      </c>
      <c r="G7078" s="63" t="s">
        <v>744</v>
      </c>
      <c r="H7078" s="64" t="n">
        <v>0</v>
      </c>
      <c r="I7078" s="62" t="s">
        <v>81</v>
      </c>
      <c r="J7078" s="64" t="n">
        <v>0</v>
      </c>
      <c r="K7078" s="62" t="s">
        <v>138</v>
      </c>
      <c r="L7078" s="68" t="b">
        <f aca="false">TRUE()</f>
        <v>1</v>
      </c>
    </row>
    <row r="7079" customFormat="false" ht="15" hidden="false" customHeight="false" outlineLevel="0" collapsed="false">
      <c r="A7079" s="62" t="n">
        <v>1</v>
      </c>
      <c r="B7079" s="21" t="s">
        <v>336</v>
      </c>
      <c r="C7079" s="62" t="s">
        <v>60</v>
      </c>
      <c r="D7079" s="62" t="s">
        <v>383</v>
      </c>
      <c r="E7079" s="62" t="s">
        <v>382</v>
      </c>
      <c r="F7079" s="62" t="s">
        <v>382</v>
      </c>
      <c r="G7079" s="63" t="s">
        <v>744</v>
      </c>
      <c r="H7079" s="64" t="n">
        <v>0</v>
      </c>
      <c r="I7079" s="62" t="s">
        <v>81</v>
      </c>
      <c r="J7079" s="64" t="n">
        <v>0</v>
      </c>
      <c r="K7079" s="62" t="s">
        <v>138</v>
      </c>
      <c r="L7079" s="68" t="b">
        <f aca="false">TRUE()</f>
        <v>1</v>
      </c>
    </row>
    <row r="7080" customFormat="false" ht="15" hidden="false" customHeight="false" outlineLevel="0" collapsed="false">
      <c r="A7080" s="62" t="n">
        <v>1</v>
      </c>
      <c r="B7080" s="21" t="s">
        <v>336</v>
      </c>
      <c r="C7080" s="62" t="s">
        <v>60</v>
      </c>
      <c r="D7080" s="62" t="s">
        <v>384</v>
      </c>
      <c r="E7080" s="62" t="s">
        <v>382</v>
      </c>
      <c r="F7080" s="62" t="s">
        <v>382</v>
      </c>
      <c r="G7080" s="63" t="s">
        <v>744</v>
      </c>
      <c r="H7080" s="64" t="n">
        <v>0</v>
      </c>
      <c r="I7080" s="62" t="s">
        <v>81</v>
      </c>
      <c r="J7080" s="64" t="n">
        <v>0</v>
      </c>
      <c r="K7080" s="62" t="s">
        <v>138</v>
      </c>
      <c r="L7080" s="68" t="b">
        <f aca="false">TRUE()</f>
        <v>1</v>
      </c>
    </row>
    <row r="7081" customFormat="false" ht="15" hidden="false" customHeight="false" outlineLevel="0" collapsed="false">
      <c r="A7081" s="62" t="n">
        <v>1</v>
      </c>
      <c r="B7081" s="21" t="s">
        <v>336</v>
      </c>
      <c r="C7081" s="62" t="s">
        <v>60</v>
      </c>
      <c r="D7081" s="62" t="s">
        <v>385</v>
      </c>
      <c r="E7081" s="62" t="s">
        <v>382</v>
      </c>
      <c r="F7081" s="62" t="s">
        <v>382</v>
      </c>
      <c r="G7081" s="63" t="s">
        <v>744</v>
      </c>
      <c r="H7081" s="64" t="n">
        <v>0</v>
      </c>
      <c r="I7081" s="62" t="s">
        <v>81</v>
      </c>
      <c r="J7081" s="64" t="n">
        <v>0</v>
      </c>
      <c r="K7081" s="62" t="s">
        <v>138</v>
      </c>
      <c r="L7081" s="68" t="b">
        <f aca="false">TRUE()</f>
        <v>1</v>
      </c>
    </row>
    <row r="7082" customFormat="false" ht="15" hidden="false" customHeight="false" outlineLevel="0" collapsed="false">
      <c r="A7082" s="62" t="n">
        <v>1</v>
      </c>
      <c r="B7082" s="21" t="s">
        <v>336</v>
      </c>
      <c r="C7082" s="62" t="s">
        <v>60</v>
      </c>
      <c r="D7082" s="62" t="s">
        <v>386</v>
      </c>
      <c r="E7082" s="62" t="s">
        <v>382</v>
      </c>
      <c r="F7082" s="62" t="s">
        <v>382</v>
      </c>
      <c r="G7082" s="63" t="s">
        <v>744</v>
      </c>
      <c r="H7082" s="64" t="n">
        <v>0</v>
      </c>
      <c r="I7082" s="62" t="s">
        <v>81</v>
      </c>
      <c r="J7082" s="64" t="n">
        <v>0</v>
      </c>
      <c r="K7082" s="62" t="s">
        <v>138</v>
      </c>
      <c r="L7082" s="68" t="b">
        <f aca="false">TRUE()</f>
        <v>1</v>
      </c>
    </row>
    <row r="7083" customFormat="false" ht="15" hidden="false" customHeight="false" outlineLevel="0" collapsed="false">
      <c r="A7083" s="62" t="n">
        <v>1</v>
      </c>
      <c r="B7083" s="21" t="s">
        <v>336</v>
      </c>
      <c r="C7083" s="62" t="s">
        <v>60</v>
      </c>
      <c r="D7083" s="62" t="s">
        <v>387</v>
      </c>
      <c r="E7083" s="62" t="s">
        <v>382</v>
      </c>
      <c r="F7083" s="62" t="s">
        <v>382</v>
      </c>
      <c r="G7083" s="63" t="s">
        <v>744</v>
      </c>
      <c r="H7083" s="64" t="n">
        <v>0</v>
      </c>
      <c r="I7083" s="62" t="s">
        <v>81</v>
      </c>
      <c r="J7083" s="64" t="n">
        <v>0</v>
      </c>
      <c r="K7083" s="62" t="s">
        <v>138</v>
      </c>
      <c r="L7083" s="68" t="b">
        <f aca="false">TRUE()</f>
        <v>1</v>
      </c>
    </row>
    <row r="7084" customFormat="false" ht="15" hidden="false" customHeight="false" outlineLevel="0" collapsed="false">
      <c r="A7084" s="62" t="n">
        <v>1</v>
      </c>
      <c r="B7084" s="21" t="s">
        <v>336</v>
      </c>
      <c r="C7084" s="62" t="s">
        <v>60</v>
      </c>
      <c r="D7084" s="62" t="s">
        <v>388</v>
      </c>
      <c r="E7084" s="62" t="s">
        <v>382</v>
      </c>
      <c r="F7084" s="62" t="s">
        <v>382</v>
      </c>
      <c r="G7084" s="63" t="s">
        <v>744</v>
      </c>
      <c r="H7084" s="64" t="n">
        <v>0</v>
      </c>
      <c r="I7084" s="62" t="s">
        <v>81</v>
      </c>
      <c r="J7084" s="64" t="n">
        <v>0</v>
      </c>
      <c r="K7084" s="62" t="s">
        <v>138</v>
      </c>
      <c r="L7084" s="68" t="b">
        <f aca="false">TRUE()</f>
        <v>1</v>
      </c>
    </row>
    <row r="7085" customFormat="false" ht="15" hidden="false" customHeight="false" outlineLevel="0" collapsed="false">
      <c r="A7085" s="62" t="n">
        <v>1</v>
      </c>
      <c r="B7085" s="21" t="s">
        <v>336</v>
      </c>
      <c r="C7085" s="62" t="s">
        <v>60</v>
      </c>
      <c r="D7085" s="62" t="s">
        <v>381</v>
      </c>
      <c r="E7085" s="62" t="s">
        <v>382</v>
      </c>
      <c r="F7085" s="62" t="s">
        <v>382</v>
      </c>
      <c r="G7085" s="63" t="s">
        <v>745</v>
      </c>
      <c r="H7085" s="64" t="n">
        <v>0</v>
      </c>
      <c r="I7085" s="62" t="s">
        <v>81</v>
      </c>
      <c r="J7085" s="64" t="n">
        <v>0</v>
      </c>
      <c r="K7085" s="62" t="s">
        <v>138</v>
      </c>
      <c r="L7085" s="68" t="b">
        <f aca="false">TRUE()</f>
        <v>1</v>
      </c>
    </row>
    <row r="7086" customFormat="false" ht="15" hidden="false" customHeight="false" outlineLevel="0" collapsed="false">
      <c r="A7086" s="62" t="n">
        <v>1</v>
      </c>
      <c r="B7086" s="21" t="s">
        <v>336</v>
      </c>
      <c r="C7086" s="62" t="s">
        <v>60</v>
      </c>
      <c r="D7086" s="62" t="s">
        <v>383</v>
      </c>
      <c r="E7086" s="62" t="s">
        <v>382</v>
      </c>
      <c r="F7086" s="62" t="s">
        <v>382</v>
      </c>
      <c r="G7086" s="63" t="s">
        <v>745</v>
      </c>
      <c r="H7086" s="64" t="n">
        <v>0</v>
      </c>
      <c r="I7086" s="62" t="s">
        <v>81</v>
      </c>
      <c r="J7086" s="64" t="n">
        <v>0</v>
      </c>
      <c r="K7086" s="62" t="s">
        <v>138</v>
      </c>
      <c r="L7086" s="68" t="b">
        <f aca="false">TRUE()</f>
        <v>1</v>
      </c>
    </row>
    <row r="7087" customFormat="false" ht="15" hidden="false" customHeight="false" outlineLevel="0" collapsed="false">
      <c r="A7087" s="62" t="n">
        <v>1</v>
      </c>
      <c r="B7087" s="21" t="s">
        <v>336</v>
      </c>
      <c r="C7087" s="62" t="s">
        <v>60</v>
      </c>
      <c r="D7087" s="62" t="s">
        <v>384</v>
      </c>
      <c r="E7087" s="62" t="s">
        <v>382</v>
      </c>
      <c r="F7087" s="62" t="s">
        <v>382</v>
      </c>
      <c r="G7087" s="63" t="s">
        <v>745</v>
      </c>
      <c r="H7087" s="64" t="n">
        <v>0</v>
      </c>
      <c r="I7087" s="62" t="s">
        <v>81</v>
      </c>
      <c r="J7087" s="64" t="n">
        <v>0</v>
      </c>
      <c r="K7087" s="62" t="s">
        <v>138</v>
      </c>
      <c r="L7087" s="68" t="b">
        <f aca="false">TRUE()</f>
        <v>1</v>
      </c>
    </row>
    <row r="7088" customFormat="false" ht="15" hidden="false" customHeight="false" outlineLevel="0" collapsed="false">
      <c r="A7088" s="62" t="n">
        <v>1</v>
      </c>
      <c r="B7088" s="21" t="s">
        <v>336</v>
      </c>
      <c r="C7088" s="62" t="s">
        <v>60</v>
      </c>
      <c r="D7088" s="62" t="s">
        <v>385</v>
      </c>
      <c r="E7088" s="62" t="s">
        <v>382</v>
      </c>
      <c r="F7088" s="62" t="s">
        <v>382</v>
      </c>
      <c r="G7088" s="63" t="s">
        <v>745</v>
      </c>
      <c r="H7088" s="64" t="n">
        <v>0</v>
      </c>
      <c r="I7088" s="62" t="s">
        <v>81</v>
      </c>
      <c r="J7088" s="64" t="n">
        <v>0</v>
      </c>
      <c r="K7088" s="62" t="s">
        <v>138</v>
      </c>
      <c r="L7088" s="68" t="b">
        <f aca="false">TRUE()</f>
        <v>1</v>
      </c>
    </row>
    <row r="7089" customFormat="false" ht="15" hidden="false" customHeight="false" outlineLevel="0" collapsed="false">
      <c r="A7089" s="62" t="n">
        <v>1</v>
      </c>
      <c r="B7089" s="21" t="s">
        <v>336</v>
      </c>
      <c r="C7089" s="62" t="s">
        <v>60</v>
      </c>
      <c r="D7089" s="62" t="s">
        <v>386</v>
      </c>
      <c r="E7089" s="62" t="s">
        <v>382</v>
      </c>
      <c r="F7089" s="62" t="s">
        <v>382</v>
      </c>
      <c r="G7089" s="63" t="s">
        <v>745</v>
      </c>
      <c r="H7089" s="64" t="n">
        <v>0</v>
      </c>
      <c r="I7089" s="62" t="s">
        <v>81</v>
      </c>
      <c r="J7089" s="64" t="n">
        <v>0</v>
      </c>
      <c r="K7089" s="62" t="s">
        <v>138</v>
      </c>
      <c r="L7089" s="68" t="b">
        <f aca="false">TRUE()</f>
        <v>1</v>
      </c>
    </row>
    <row r="7090" customFormat="false" ht="15" hidden="false" customHeight="false" outlineLevel="0" collapsed="false">
      <c r="A7090" s="62" t="n">
        <v>1</v>
      </c>
      <c r="B7090" s="21" t="s">
        <v>336</v>
      </c>
      <c r="C7090" s="62" t="s">
        <v>60</v>
      </c>
      <c r="D7090" s="62" t="s">
        <v>387</v>
      </c>
      <c r="E7090" s="62" t="s">
        <v>382</v>
      </c>
      <c r="F7090" s="62" t="s">
        <v>382</v>
      </c>
      <c r="G7090" s="63" t="s">
        <v>745</v>
      </c>
      <c r="H7090" s="64" t="n">
        <v>0</v>
      </c>
      <c r="I7090" s="62" t="s">
        <v>81</v>
      </c>
      <c r="J7090" s="64" t="n">
        <v>0</v>
      </c>
      <c r="K7090" s="62" t="s">
        <v>138</v>
      </c>
      <c r="L7090" s="68" t="b">
        <f aca="false">TRUE()</f>
        <v>1</v>
      </c>
    </row>
    <row r="7091" customFormat="false" ht="15" hidden="false" customHeight="false" outlineLevel="0" collapsed="false">
      <c r="A7091" s="62" t="n">
        <v>1</v>
      </c>
      <c r="B7091" s="21" t="s">
        <v>336</v>
      </c>
      <c r="C7091" s="62" t="s">
        <v>60</v>
      </c>
      <c r="D7091" s="62" t="s">
        <v>388</v>
      </c>
      <c r="E7091" s="62" t="s">
        <v>382</v>
      </c>
      <c r="F7091" s="62" t="s">
        <v>382</v>
      </c>
      <c r="G7091" s="63" t="s">
        <v>745</v>
      </c>
      <c r="H7091" s="64" t="n">
        <v>0</v>
      </c>
      <c r="I7091" s="62" t="s">
        <v>81</v>
      </c>
      <c r="J7091" s="64" t="n">
        <v>0</v>
      </c>
      <c r="K7091" s="62" t="s">
        <v>138</v>
      </c>
      <c r="L7091" s="68" t="b">
        <f aca="false">TRUE()</f>
        <v>1</v>
      </c>
    </row>
    <row r="7092" customFormat="false" ht="15" hidden="false" customHeight="false" outlineLevel="0" collapsed="false">
      <c r="A7092" s="62" t="n">
        <v>1</v>
      </c>
      <c r="B7092" s="21" t="s">
        <v>336</v>
      </c>
      <c r="C7092" s="62" t="s">
        <v>60</v>
      </c>
      <c r="D7092" s="62" t="s">
        <v>381</v>
      </c>
      <c r="E7092" s="62" t="s">
        <v>382</v>
      </c>
      <c r="F7092" s="62" t="s">
        <v>382</v>
      </c>
      <c r="G7092" s="63" t="s">
        <v>746</v>
      </c>
      <c r="H7092" s="64" t="n">
        <v>57556427266</v>
      </c>
      <c r="I7092" s="62" t="s">
        <v>81</v>
      </c>
      <c r="J7092" s="64" t="n">
        <v>57556427.266</v>
      </c>
      <c r="K7092" s="62" t="s">
        <v>138</v>
      </c>
      <c r="L7092" s="68" t="b">
        <f aca="false">TRUE()</f>
        <v>1</v>
      </c>
    </row>
    <row r="7093" customFormat="false" ht="15" hidden="false" customHeight="false" outlineLevel="0" collapsed="false">
      <c r="A7093" s="62" t="n">
        <v>1</v>
      </c>
      <c r="B7093" s="21" t="s">
        <v>336</v>
      </c>
      <c r="C7093" s="62" t="s">
        <v>60</v>
      </c>
      <c r="D7093" s="62" t="s">
        <v>383</v>
      </c>
      <c r="E7093" s="62" t="s">
        <v>382</v>
      </c>
      <c r="F7093" s="62" t="s">
        <v>382</v>
      </c>
      <c r="G7093" s="63" t="s">
        <v>746</v>
      </c>
      <c r="H7093" s="64" t="n">
        <v>69540973802.7476</v>
      </c>
      <c r="I7093" s="62" t="s">
        <v>81</v>
      </c>
      <c r="J7093" s="64" t="n">
        <v>69540973.8027476</v>
      </c>
      <c r="K7093" s="62" t="s">
        <v>138</v>
      </c>
      <c r="L7093" s="68" t="b">
        <f aca="false">TRUE()</f>
        <v>1</v>
      </c>
    </row>
    <row r="7094" customFormat="false" ht="15" hidden="false" customHeight="false" outlineLevel="0" collapsed="false">
      <c r="A7094" s="62" t="n">
        <v>1</v>
      </c>
      <c r="B7094" s="21" t="s">
        <v>336</v>
      </c>
      <c r="C7094" s="62" t="s">
        <v>60</v>
      </c>
      <c r="D7094" s="62" t="s">
        <v>384</v>
      </c>
      <c r="E7094" s="62" t="s">
        <v>382</v>
      </c>
      <c r="F7094" s="62" t="s">
        <v>382</v>
      </c>
      <c r="G7094" s="63" t="s">
        <v>746</v>
      </c>
      <c r="H7094" s="64" t="n">
        <v>54698140138</v>
      </c>
      <c r="I7094" s="62" t="s">
        <v>81</v>
      </c>
      <c r="J7094" s="64" t="n">
        <v>54698140.138</v>
      </c>
      <c r="K7094" s="62" t="s">
        <v>138</v>
      </c>
      <c r="L7094" s="68" t="b">
        <f aca="false">TRUE()</f>
        <v>1</v>
      </c>
    </row>
    <row r="7095" customFormat="false" ht="15" hidden="false" customHeight="false" outlineLevel="0" collapsed="false">
      <c r="A7095" s="62" t="n">
        <v>1</v>
      </c>
      <c r="B7095" s="21" t="s">
        <v>336</v>
      </c>
      <c r="C7095" s="62" t="s">
        <v>60</v>
      </c>
      <c r="D7095" s="62" t="s">
        <v>385</v>
      </c>
      <c r="E7095" s="62" t="s">
        <v>382</v>
      </c>
      <c r="F7095" s="62" t="s">
        <v>382</v>
      </c>
      <c r="G7095" s="63" t="s">
        <v>746</v>
      </c>
      <c r="H7095" s="64" t="n">
        <v>48296432961</v>
      </c>
      <c r="I7095" s="62" t="s">
        <v>81</v>
      </c>
      <c r="J7095" s="64" t="n">
        <v>48296432.961</v>
      </c>
      <c r="K7095" s="62" t="s">
        <v>138</v>
      </c>
      <c r="L7095" s="68" t="b">
        <f aca="false">TRUE()</f>
        <v>1</v>
      </c>
    </row>
    <row r="7096" customFormat="false" ht="15" hidden="false" customHeight="false" outlineLevel="0" collapsed="false">
      <c r="A7096" s="62" t="n">
        <v>1</v>
      </c>
      <c r="B7096" s="21" t="s">
        <v>336</v>
      </c>
      <c r="C7096" s="62" t="s">
        <v>60</v>
      </c>
      <c r="D7096" s="62" t="s">
        <v>386</v>
      </c>
      <c r="E7096" s="62" t="s">
        <v>382</v>
      </c>
      <c r="F7096" s="62" t="s">
        <v>382</v>
      </c>
      <c r="G7096" s="63" t="s">
        <v>746</v>
      </c>
      <c r="H7096" s="64" t="n">
        <v>38463845413</v>
      </c>
      <c r="I7096" s="62" t="s">
        <v>81</v>
      </c>
      <c r="J7096" s="64" t="n">
        <v>38463845.413</v>
      </c>
      <c r="K7096" s="62" t="s">
        <v>138</v>
      </c>
      <c r="L7096" s="68" t="b">
        <f aca="false">TRUE()</f>
        <v>1</v>
      </c>
    </row>
    <row r="7097" customFormat="false" ht="15" hidden="false" customHeight="false" outlineLevel="0" collapsed="false">
      <c r="A7097" s="62" t="n">
        <v>1</v>
      </c>
      <c r="B7097" s="21" t="s">
        <v>336</v>
      </c>
      <c r="C7097" s="62" t="s">
        <v>60</v>
      </c>
      <c r="D7097" s="62" t="s">
        <v>387</v>
      </c>
      <c r="E7097" s="62" t="s">
        <v>382</v>
      </c>
      <c r="F7097" s="62" t="s">
        <v>382</v>
      </c>
      <c r="G7097" s="63" t="s">
        <v>746</v>
      </c>
      <c r="H7097" s="64" t="n">
        <v>53867513294.8</v>
      </c>
      <c r="I7097" s="62" t="s">
        <v>81</v>
      </c>
      <c r="J7097" s="64" t="n">
        <v>53867513.2948</v>
      </c>
      <c r="K7097" s="62" t="s">
        <v>138</v>
      </c>
      <c r="L7097" s="68" t="b">
        <f aca="false">TRUE()</f>
        <v>1</v>
      </c>
    </row>
    <row r="7098" customFormat="false" ht="15" hidden="false" customHeight="false" outlineLevel="0" collapsed="false">
      <c r="A7098" s="62" t="n">
        <v>1</v>
      </c>
      <c r="B7098" s="21" t="s">
        <v>336</v>
      </c>
      <c r="C7098" s="62" t="s">
        <v>60</v>
      </c>
      <c r="D7098" s="62" t="s">
        <v>388</v>
      </c>
      <c r="E7098" s="62" t="s">
        <v>382</v>
      </c>
      <c r="F7098" s="62" t="s">
        <v>382</v>
      </c>
      <c r="G7098" s="63" t="s">
        <v>746</v>
      </c>
      <c r="H7098" s="64" t="n">
        <v>29297967280.663</v>
      </c>
      <c r="I7098" s="62" t="s">
        <v>81</v>
      </c>
      <c r="J7098" s="64" t="n">
        <v>29297967.280663</v>
      </c>
      <c r="K7098" s="62" t="s">
        <v>138</v>
      </c>
      <c r="L7098" s="68" t="b">
        <f aca="false">TRUE()</f>
        <v>1</v>
      </c>
    </row>
    <row r="7099" customFormat="false" ht="15" hidden="false" customHeight="false" outlineLevel="0" collapsed="false">
      <c r="A7099" s="62" t="n">
        <v>1</v>
      </c>
      <c r="B7099" s="21" t="s">
        <v>336</v>
      </c>
      <c r="C7099" s="62" t="s">
        <v>60</v>
      </c>
      <c r="D7099" s="62" t="s">
        <v>381</v>
      </c>
      <c r="E7099" s="62" t="s">
        <v>382</v>
      </c>
      <c r="F7099" s="62" t="s">
        <v>382</v>
      </c>
      <c r="G7099" s="63" t="s">
        <v>747</v>
      </c>
      <c r="H7099" s="64" t="n">
        <v>5347461744.04344</v>
      </c>
      <c r="I7099" s="62" t="s">
        <v>81</v>
      </c>
      <c r="J7099" s="64" t="n">
        <v>5347461.74404344</v>
      </c>
      <c r="K7099" s="62" t="s">
        <v>138</v>
      </c>
      <c r="L7099" s="68" t="b">
        <f aca="false">TRUE()</f>
        <v>1</v>
      </c>
    </row>
    <row r="7100" customFormat="false" ht="15" hidden="false" customHeight="false" outlineLevel="0" collapsed="false">
      <c r="A7100" s="62" t="n">
        <v>1</v>
      </c>
      <c r="B7100" s="21" t="s">
        <v>336</v>
      </c>
      <c r="C7100" s="62" t="s">
        <v>60</v>
      </c>
      <c r="D7100" s="62" t="s">
        <v>383</v>
      </c>
      <c r="E7100" s="62" t="s">
        <v>382</v>
      </c>
      <c r="F7100" s="62" t="s">
        <v>382</v>
      </c>
      <c r="G7100" s="63" t="s">
        <v>747</v>
      </c>
      <c r="H7100" s="64" t="n">
        <v>14693609621.7839</v>
      </c>
      <c r="I7100" s="62" t="s">
        <v>81</v>
      </c>
      <c r="J7100" s="64" t="n">
        <v>14693609.6217839</v>
      </c>
      <c r="K7100" s="62" t="s">
        <v>138</v>
      </c>
      <c r="L7100" s="68" t="b">
        <f aca="false">TRUE()</f>
        <v>1</v>
      </c>
    </row>
    <row r="7101" customFormat="false" ht="15" hidden="false" customHeight="false" outlineLevel="0" collapsed="false">
      <c r="A7101" s="62" t="n">
        <v>1</v>
      </c>
      <c r="B7101" s="21" t="s">
        <v>336</v>
      </c>
      <c r="C7101" s="62" t="s">
        <v>60</v>
      </c>
      <c r="D7101" s="62" t="s">
        <v>384</v>
      </c>
      <c r="E7101" s="62" t="s">
        <v>382</v>
      </c>
      <c r="F7101" s="62" t="s">
        <v>382</v>
      </c>
      <c r="G7101" s="63" t="s">
        <v>747</v>
      </c>
      <c r="H7101" s="64" t="n">
        <v>11511899598.1337</v>
      </c>
      <c r="I7101" s="62" t="s">
        <v>81</v>
      </c>
      <c r="J7101" s="64" t="n">
        <v>11511899.5981337</v>
      </c>
      <c r="K7101" s="62" t="s">
        <v>138</v>
      </c>
      <c r="L7101" s="68" t="b">
        <f aca="false">TRUE()</f>
        <v>1</v>
      </c>
    </row>
    <row r="7102" customFormat="false" ht="15" hidden="false" customHeight="false" outlineLevel="0" collapsed="false">
      <c r="A7102" s="62" t="n">
        <v>1</v>
      </c>
      <c r="B7102" s="21" t="s">
        <v>336</v>
      </c>
      <c r="C7102" s="62" t="s">
        <v>60</v>
      </c>
      <c r="D7102" s="62" t="s">
        <v>385</v>
      </c>
      <c r="E7102" s="62" t="s">
        <v>382</v>
      </c>
      <c r="F7102" s="62" t="s">
        <v>382</v>
      </c>
      <c r="G7102" s="63" t="s">
        <v>747</v>
      </c>
      <c r="H7102" s="64" t="n">
        <v>12840791155.182</v>
      </c>
      <c r="I7102" s="62" t="s">
        <v>81</v>
      </c>
      <c r="J7102" s="64" t="n">
        <v>12840791.155182</v>
      </c>
      <c r="K7102" s="62" t="s">
        <v>138</v>
      </c>
      <c r="L7102" s="68" t="b">
        <f aca="false">TRUE()</f>
        <v>1</v>
      </c>
    </row>
    <row r="7103" customFormat="false" ht="15" hidden="false" customHeight="false" outlineLevel="0" collapsed="false">
      <c r="A7103" s="62" t="n">
        <v>1</v>
      </c>
      <c r="B7103" s="21" t="s">
        <v>336</v>
      </c>
      <c r="C7103" s="62" t="s">
        <v>60</v>
      </c>
      <c r="D7103" s="62" t="s">
        <v>386</v>
      </c>
      <c r="E7103" s="62" t="s">
        <v>382</v>
      </c>
      <c r="F7103" s="62" t="s">
        <v>382</v>
      </c>
      <c r="G7103" s="63" t="s">
        <v>747</v>
      </c>
      <c r="H7103" s="64" t="n">
        <v>6905754175.22271</v>
      </c>
      <c r="I7103" s="62" t="s">
        <v>81</v>
      </c>
      <c r="J7103" s="64" t="n">
        <v>6905754.17522271</v>
      </c>
      <c r="K7103" s="62" t="s">
        <v>138</v>
      </c>
      <c r="L7103" s="68" t="b">
        <f aca="false">TRUE()</f>
        <v>1</v>
      </c>
    </row>
    <row r="7104" customFormat="false" ht="15" hidden="false" customHeight="false" outlineLevel="0" collapsed="false">
      <c r="A7104" s="62" t="n">
        <v>1</v>
      </c>
      <c r="B7104" s="21" t="s">
        <v>336</v>
      </c>
      <c r="C7104" s="62" t="s">
        <v>60</v>
      </c>
      <c r="D7104" s="62" t="s">
        <v>387</v>
      </c>
      <c r="E7104" s="62" t="s">
        <v>382</v>
      </c>
      <c r="F7104" s="62" t="s">
        <v>382</v>
      </c>
      <c r="G7104" s="63" t="s">
        <v>747</v>
      </c>
      <c r="H7104" s="64" t="n">
        <v>9732456098.5416</v>
      </c>
      <c r="I7104" s="62" t="s">
        <v>81</v>
      </c>
      <c r="J7104" s="64" t="n">
        <v>9732456.0985416</v>
      </c>
      <c r="K7104" s="62" t="s">
        <v>138</v>
      </c>
      <c r="L7104" s="68" t="b">
        <f aca="false">TRUE()</f>
        <v>1</v>
      </c>
    </row>
    <row r="7105" customFormat="false" ht="15" hidden="false" customHeight="false" outlineLevel="0" collapsed="false">
      <c r="A7105" s="62" t="n">
        <v>1</v>
      </c>
      <c r="B7105" s="21" t="s">
        <v>336</v>
      </c>
      <c r="C7105" s="62" t="s">
        <v>60</v>
      </c>
      <c r="D7105" s="62" t="s">
        <v>388</v>
      </c>
      <c r="E7105" s="62" t="s">
        <v>382</v>
      </c>
      <c r="F7105" s="62" t="s">
        <v>382</v>
      </c>
      <c r="G7105" s="63" t="s">
        <v>747</v>
      </c>
      <c r="H7105" s="64" t="n">
        <v>2043183336.48928</v>
      </c>
      <c r="I7105" s="62" t="s">
        <v>81</v>
      </c>
      <c r="J7105" s="64" t="n">
        <v>2043183.33648928</v>
      </c>
      <c r="K7105" s="62" t="s">
        <v>138</v>
      </c>
      <c r="L7105" s="68" t="b">
        <f aca="false">TRUE()</f>
        <v>1</v>
      </c>
    </row>
    <row r="7106" customFormat="false" ht="15" hidden="false" customHeight="false" outlineLevel="0" collapsed="false">
      <c r="A7106" s="69" t="n">
        <f aca="false">05_HISTORICO_EQUIPOS!A7111</f>
        <v>2</v>
      </c>
      <c r="B7106" s="69" t="str">
        <f aca="false">01_INPUTS!I15</f>
        <v>A</v>
      </c>
      <c r="C7106" s="69" t="str">
        <f aca="false">05_HISTORICO_EQUIPOS!C7111</f>
        <v>PLAN</v>
      </c>
      <c r="D7106" s="69" t="str">
        <f aca="false">05_HISTORICO_EQUIPOS!B7111</f>
        <v>CADIZ</v>
      </c>
      <c r="E7106" s="69" t="str">
        <f aca="false">05_HISTORICO_EQUIPOS!D7111</f>
        <v>Global</v>
      </c>
      <c r="F7106" s="69" t="str">
        <f aca="false">05_HISTORICO_EQUIPOS!E7111</f>
        <v>NA</v>
      </c>
      <c r="G7106" s="70" t="str">
        <f aca="false">05_HISTORICO_EQUIPOS!F7111</f>
        <v>Ingresos por ventas</v>
      </c>
      <c r="H7106" s="67" t="n">
        <f aca="false">05_HISTORICO_EQUIPOS!G7111</f>
        <v>76940912697.0266</v>
      </c>
      <c r="I7106" s="69" t="str">
        <f aca="false">05_HISTORICO_EQUIPOS!H7111</f>
        <v>USD</v>
      </c>
      <c r="J7106" s="67" t="n">
        <f aca="false">05_HISTORICO_EQUIPOS!G7111</f>
        <v>76940912697.0266</v>
      </c>
      <c r="K7106" s="69" t="str">
        <f aca="false">05_HISTORICO_EQUIPOS!H7111</f>
        <v>USD</v>
      </c>
      <c r="L7106" s="71" t="b">
        <f aca="false">TRUE()</f>
        <v>1</v>
      </c>
    </row>
    <row r="7107" customFormat="false" ht="15" hidden="false" customHeight="false" outlineLevel="0" collapsed="false">
      <c r="A7107" s="69" t="n">
        <f aca="false">05_HISTORICO_EQUIPOS!A7112</f>
        <v>2</v>
      </c>
      <c r="B7107" s="69" t="str">
        <f aca="false">01_INPUTS!I15</f>
        <v>A</v>
      </c>
      <c r="C7107" s="69" t="str">
        <f aca="false">05_HISTORICO_EQUIPOS!C7112</f>
        <v>PLAN</v>
      </c>
      <c r="D7107" s="69" t="str">
        <f aca="false">05_HISTORICO_EQUIPOS!B7112</f>
        <v>CADIZ</v>
      </c>
      <c r="E7107" s="69" t="str">
        <f aca="false">05_HISTORICO_EQUIPOS!D7112</f>
        <v>Global</v>
      </c>
      <c r="F7107" s="69" t="str">
        <f aca="false">05_HISTORICO_EQUIPOS!E7112</f>
        <v>NA</v>
      </c>
      <c r="G7107" s="70" t="str">
        <f aca="false">05_HISTORICO_EQUIPOS!F7112</f>
        <v>Costos y gastos totales</v>
      </c>
      <c r="H7107" s="67" t="n">
        <f aca="false">05_HISTORICO_EQUIPOS!G7112</f>
        <v>58142482938.3097</v>
      </c>
      <c r="I7107" s="69" t="str">
        <f aca="false">05_HISTORICO_EQUIPOS!H7112</f>
        <v>USD</v>
      </c>
      <c r="J7107" s="67" t="n">
        <f aca="false">05_HISTORICO_EQUIPOS!G7112</f>
        <v>58142482938.3097</v>
      </c>
      <c r="K7107" s="69" t="str">
        <f aca="false">05_HISTORICO_EQUIPOS!H7112</f>
        <v>USD</v>
      </c>
      <c r="L7107" s="71" t="b">
        <f aca="false">TRUE()</f>
        <v>1</v>
      </c>
    </row>
    <row r="7108" customFormat="false" ht="15" hidden="false" customHeight="false" outlineLevel="0" collapsed="false">
      <c r="A7108" s="69" t="n">
        <f aca="false">05_HISTORICO_EQUIPOS!A7113</f>
        <v>2</v>
      </c>
      <c r="B7108" s="69" t="str">
        <f aca="false">01_INPUTS!I15</f>
        <v>A</v>
      </c>
      <c r="C7108" s="69" t="str">
        <f aca="false">05_HISTORICO_EQUIPOS!C7113</f>
        <v>PLAN</v>
      </c>
      <c r="D7108" s="69" t="str">
        <f aca="false">05_HISTORICO_EQUIPOS!B7113</f>
        <v>CADIZ</v>
      </c>
      <c r="E7108" s="69" t="str">
        <f aca="false">05_HISTORICO_EQUIPOS!D7113</f>
        <v>Global</v>
      </c>
      <c r="F7108" s="69" t="str">
        <f aca="false">05_HISTORICO_EQUIPOS!E7113</f>
        <v>NA</v>
      </c>
      <c r="G7108" s="70" t="str">
        <f aca="false">05_HISTORICO_EQUIPOS!F7113</f>
        <v>EBITDA</v>
      </c>
      <c r="H7108" s="67" t="n">
        <f aca="false">05_HISTORICO_EQUIPOS!G7113</f>
        <v>18798429758.717</v>
      </c>
      <c r="I7108" s="69" t="str">
        <f aca="false">05_HISTORICO_EQUIPOS!H7113</f>
        <v>USD</v>
      </c>
      <c r="J7108" s="67" t="n">
        <f aca="false">05_HISTORICO_EQUIPOS!G7113</f>
        <v>18798429758.717</v>
      </c>
      <c r="K7108" s="69" t="str">
        <f aca="false">05_HISTORICO_EQUIPOS!H7113</f>
        <v>USD</v>
      </c>
      <c r="L7108" s="71" t="b">
        <f aca="false">TRUE()</f>
        <v>1</v>
      </c>
    </row>
    <row r="7109" customFormat="false" ht="15" hidden="false" customHeight="false" outlineLevel="0" collapsed="false">
      <c r="A7109" s="69" t="n">
        <f aca="false">05_HISTORICO_EQUIPOS!A7114</f>
        <v>2</v>
      </c>
      <c r="B7109" s="69" t="str">
        <f aca="false">01_INPUTS!I15</f>
        <v>A</v>
      </c>
      <c r="C7109" s="69" t="str">
        <f aca="false">05_HISTORICO_EQUIPOS!C7114</f>
        <v>PLAN</v>
      </c>
      <c r="D7109" s="69" t="str">
        <f aca="false">05_HISTORICO_EQUIPOS!B7114</f>
        <v>CADIZ</v>
      </c>
      <c r="E7109" s="69" t="str">
        <f aca="false">05_HISTORICO_EQUIPOS!D7114</f>
        <v>Global</v>
      </c>
      <c r="F7109" s="69" t="str">
        <f aca="false">05_HISTORICO_EQUIPOS!E7114</f>
        <v>NA</v>
      </c>
      <c r="G7109" s="70" t="str">
        <f aca="false">05_HISTORICO_EQUIPOS!F7114</f>
        <v>Depreciación</v>
      </c>
      <c r="H7109" s="67" t="n">
        <f aca="false">05_HISTORICO_EQUIPOS!G7114</f>
        <v>976338378</v>
      </c>
      <c r="I7109" s="69" t="str">
        <f aca="false">05_HISTORICO_EQUIPOS!H7114</f>
        <v>USD</v>
      </c>
      <c r="J7109" s="67" t="n">
        <f aca="false">05_HISTORICO_EQUIPOS!G7114</f>
        <v>976338378</v>
      </c>
      <c r="K7109" s="69" t="str">
        <f aca="false">05_HISTORICO_EQUIPOS!H7114</f>
        <v>USD</v>
      </c>
      <c r="L7109" s="71" t="b">
        <f aca="false">TRUE()</f>
        <v>1</v>
      </c>
    </row>
    <row r="7110" customFormat="false" ht="15" hidden="false" customHeight="false" outlineLevel="0" collapsed="false">
      <c r="A7110" s="69" t="n">
        <f aca="false">05_HISTORICO_EQUIPOS!A7115</f>
        <v>2</v>
      </c>
      <c r="B7110" s="69" t="str">
        <f aca="false">01_INPUTS!I15</f>
        <v>A</v>
      </c>
      <c r="C7110" s="69" t="str">
        <f aca="false">05_HISTORICO_EQUIPOS!C7115</f>
        <v>PLAN</v>
      </c>
      <c r="D7110" s="69" t="str">
        <f aca="false">05_HISTORICO_EQUIPOS!B7115</f>
        <v>CADIZ</v>
      </c>
      <c r="E7110" s="69" t="str">
        <f aca="false">05_HISTORICO_EQUIPOS!D7115</f>
        <v>Global</v>
      </c>
      <c r="F7110" s="69" t="str">
        <f aca="false">05_HISTORICO_EQUIPOS!E7115</f>
        <v>NA</v>
      </c>
      <c r="G7110" s="70" t="str">
        <f aca="false">05_HISTORICO_EQUIPOS!F7115</f>
        <v>EBIT</v>
      </c>
      <c r="H7110" s="67" t="n">
        <f aca="false">05_HISTORICO_EQUIPOS!G7115</f>
        <v>17822091380.717</v>
      </c>
      <c r="I7110" s="69" t="str">
        <f aca="false">05_HISTORICO_EQUIPOS!H7115</f>
        <v>USD</v>
      </c>
      <c r="J7110" s="67" t="n">
        <f aca="false">05_HISTORICO_EQUIPOS!G7115</f>
        <v>17822091380.717</v>
      </c>
      <c r="K7110" s="69" t="str">
        <f aca="false">05_HISTORICO_EQUIPOS!H7115</f>
        <v>USD</v>
      </c>
      <c r="L7110" s="71" t="b">
        <f aca="false">TRUE()</f>
        <v>1</v>
      </c>
    </row>
    <row r="7111" customFormat="false" ht="15" hidden="false" customHeight="false" outlineLevel="0" collapsed="false">
      <c r="A7111" s="69" t="n">
        <f aca="false">05_HISTORICO_EQUIPOS!A7116</f>
        <v>2</v>
      </c>
      <c r="B7111" s="69" t="str">
        <f aca="false">01_INPUTS!I15</f>
        <v>A</v>
      </c>
      <c r="C7111" s="69" t="str">
        <f aca="false">05_HISTORICO_EQUIPOS!C7116</f>
        <v>PLAN</v>
      </c>
      <c r="D7111" s="69" t="str">
        <f aca="false">05_HISTORICO_EQUIPOS!B7116</f>
        <v>CADIZ</v>
      </c>
      <c r="E7111" s="69" t="str">
        <f aca="false">05_HISTORICO_EQUIPOS!D7116</f>
        <v>Global</v>
      </c>
      <c r="F7111" s="69" t="str">
        <f aca="false">05_HISTORICO_EQUIPOS!E7116</f>
        <v>NA</v>
      </c>
      <c r="G7111" s="70" t="str">
        <f aca="false">05_HISTORICO_EQUIPOS!F7116</f>
        <v>Gastos financieros netos</v>
      </c>
      <c r="H7111" s="67" t="n">
        <f aca="false">05_HISTORICO_EQUIPOS!G7116</f>
        <v>374750153.376885</v>
      </c>
      <c r="I7111" s="69" t="str">
        <f aca="false">05_HISTORICO_EQUIPOS!H7116</f>
        <v>USD</v>
      </c>
      <c r="J7111" s="67" t="n">
        <f aca="false">05_HISTORICO_EQUIPOS!G7116</f>
        <v>374750153.376885</v>
      </c>
      <c r="K7111" s="69" t="str">
        <f aca="false">05_HISTORICO_EQUIPOS!H7116</f>
        <v>USD</v>
      </c>
      <c r="L7111" s="71" t="b">
        <f aca="false">TRUE()</f>
        <v>1</v>
      </c>
    </row>
    <row r="7112" customFormat="false" ht="15" hidden="false" customHeight="false" outlineLevel="0" collapsed="false">
      <c r="A7112" s="69" t="n">
        <f aca="false">05_HISTORICO_EQUIPOS!A7117</f>
        <v>2</v>
      </c>
      <c r="B7112" s="69" t="str">
        <f aca="false">01_INPUTS!I15</f>
        <v>A</v>
      </c>
      <c r="C7112" s="69" t="str">
        <f aca="false">05_HISTORICO_EQUIPOS!C7117</f>
        <v>PLAN</v>
      </c>
      <c r="D7112" s="69" t="str">
        <f aca="false">05_HISTORICO_EQUIPOS!B7117</f>
        <v>CADIZ</v>
      </c>
      <c r="E7112" s="69" t="str">
        <f aca="false">05_HISTORICO_EQUIPOS!D7117</f>
        <v>Global</v>
      </c>
      <c r="F7112" s="69" t="str">
        <f aca="false">05_HISTORICO_EQUIPOS!E7117</f>
        <v>NA</v>
      </c>
      <c r="G7112" s="70" t="str">
        <f aca="false">05_HISTORICO_EQUIPOS!F7117</f>
        <v>Beneficio antes de impuestos</v>
      </c>
      <c r="H7112" s="67" t="n">
        <f aca="false">05_HISTORICO_EQUIPOS!G7117</f>
        <v>17447341227.3401</v>
      </c>
      <c r="I7112" s="69" t="str">
        <f aca="false">05_HISTORICO_EQUIPOS!H7117</f>
        <v>USD</v>
      </c>
      <c r="J7112" s="67" t="n">
        <f aca="false">05_HISTORICO_EQUIPOS!G7117</f>
        <v>17447341227.3401</v>
      </c>
      <c r="K7112" s="69" t="str">
        <f aca="false">05_HISTORICO_EQUIPOS!H7117</f>
        <v>USD</v>
      </c>
      <c r="L7112" s="71" t="b">
        <f aca="false">TRUE()</f>
        <v>1</v>
      </c>
    </row>
    <row r="7113" customFormat="false" ht="15" hidden="false" customHeight="false" outlineLevel="0" collapsed="false">
      <c r="A7113" s="69" t="n">
        <f aca="false">05_HISTORICO_EQUIPOS!A7118</f>
        <v>2</v>
      </c>
      <c r="B7113" s="69" t="str">
        <f aca="false">01_INPUTS!I15</f>
        <v>A</v>
      </c>
      <c r="C7113" s="69" t="str">
        <f aca="false">05_HISTORICO_EQUIPOS!C7118</f>
        <v>PLAN</v>
      </c>
      <c r="D7113" s="69" t="str">
        <f aca="false">05_HISTORICO_EQUIPOS!B7118</f>
        <v>CADIZ</v>
      </c>
      <c r="E7113" s="69" t="str">
        <f aca="false">05_HISTORICO_EQUIPOS!D7118</f>
        <v>Global</v>
      </c>
      <c r="F7113" s="69" t="str">
        <f aca="false">05_HISTORICO_EQUIPOS!E7118</f>
        <v>NA</v>
      </c>
      <c r="G7113" s="70" t="str">
        <f aca="false">05_HISTORICO_EQUIPOS!F7118</f>
        <v>Impuesto sobre el beneficio</v>
      </c>
      <c r="H7113" s="67" t="n">
        <f aca="false">05_HISTORICO_EQUIPOS!G7118</f>
        <v>3832275035.27451</v>
      </c>
      <c r="I7113" s="69" t="str">
        <f aca="false">05_HISTORICO_EQUIPOS!H7118</f>
        <v>USD</v>
      </c>
      <c r="J7113" s="67" t="n">
        <f aca="false">05_HISTORICO_EQUIPOS!G7118</f>
        <v>3832275035.27451</v>
      </c>
      <c r="K7113" s="69" t="str">
        <f aca="false">05_HISTORICO_EQUIPOS!H7118</f>
        <v>USD</v>
      </c>
      <c r="L7113" s="71" t="b">
        <f aca="false">TRUE()</f>
        <v>1</v>
      </c>
    </row>
    <row r="7114" customFormat="false" ht="15" hidden="false" customHeight="false" outlineLevel="0" collapsed="false">
      <c r="A7114" s="69" t="n">
        <f aca="false">05_HISTORICO_EQUIPOS!A7119</f>
        <v>2</v>
      </c>
      <c r="B7114" s="69" t="str">
        <f aca="false">01_INPUTS!I15</f>
        <v>A</v>
      </c>
      <c r="C7114" s="69" t="str">
        <f aca="false">05_HISTORICO_EQUIPOS!C7119</f>
        <v>PLAN</v>
      </c>
      <c r="D7114" s="69" t="str">
        <f aca="false">05_HISTORICO_EQUIPOS!B7119</f>
        <v>CADIZ</v>
      </c>
      <c r="E7114" s="69" t="str">
        <f aca="false">05_HISTORICO_EQUIPOS!D7119</f>
        <v>Global</v>
      </c>
      <c r="F7114" s="69" t="str">
        <f aca="false">05_HISTORICO_EQUIPOS!E7119</f>
        <v>NA</v>
      </c>
      <c r="G7114" s="70" t="str">
        <f aca="false">05_HISTORICO_EQUIPOS!F7119</f>
        <v>Beneficio de la ronda (neto)</v>
      </c>
      <c r="H7114" s="67" t="n">
        <f aca="false">05_HISTORICO_EQUIPOS!G7119</f>
        <v>13615066192.0656</v>
      </c>
      <c r="I7114" s="69" t="str">
        <f aca="false">05_HISTORICO_EQUIPOS!H7119</f>
        <v>USD</v>
      </c>
      <c r="J7114" s="67" t="n">
        <f aca="false">05_HISTORICO_EQUIPOS!G7119</f>
        <v>13615066192.0656</v>
      </c>
      <c r="K7114" s="69" t="str">
        <f aca="false">05_HISTORICO_EQUIPOS!H7119</f>
        <v>USD</v>
      </c>
      <c r="L7114" s="71" t="b">
        <f aca="false">TRUE()</f>
        <v>1</v>
      </c>
    </row>
    <row r="7115" customFormat="false" ht="15" hidden="false" customHeight="false" outlineLevel="0" collapsed="false">
      <c r="A7115" s="69" t="n">
        <f aca="false">05_HISTORICO_EQUIPOS!A7120</f>
        <v>2</v>
      </c>
      <c r="B7115" s="69" t="str">
        <f aca="false">01_INPUTS!I15</f>
        <v>A</v>
      </c>
      <c r="C7115" s="69" t="str">
        <f aca="false">05_HISTORICO_EQUIPOS!C7120</f>
        <v>PLAN</v>
      </c>
      <c r="D7115" s="69" t="str">
        <f aca="false">05_HISTORICO_EQUIPOS!B7120</f>
        <v>CADIZ</v>
      </c>
      <c r="E7115" s="69" t="str">
        <f aca="false">05_HISTORICO_EQUIPOS!D7120</f>
        <v>Global</v>
      </c>
      <c r="F7115" s="69" t="str">
        <f aca="false">05_HISTORICO_EQUIPOS!E7120</f>
        <v>NA</v>
      </c>
      <c r="G7115" s="70" t="str">
        <f aca="false">05_HISTORICO_EQUIPOS!F7120</f>
        <v>Activo fijo (neto)</v>
      </c>
      <c r="H7115" s="67" t="n">
        <f aca="false">05_HISTORICO_EQUIPOS!G7120</f>
        <v>8787045402</v>
      </c>
      <c r="I7115" s="69" t="str">
        <f aca="false">05_HISTORICO_EQUIPOS!H7120</f>
        <v>USD</v>
      </c>
      <c r="J7115" s="67" t="n">
        <f aca="false">05_HISTORICO_EQUIPOS!G7120</f>
        <v>8787045402</v>
      </c>
      <c r="K7115" s="69" t="str">
        <f aca="false">05_HISTORICO_EQUIPOS!H7120</f>
        <v>USD</v>
      </c>
      <c r="L7115" s="71" t="b">
        <f aca="false">TRUE()</f>
        <v>1</v>
      </c>
    </row>
    <row r="7116" customFormat="false" ht="15" hidden="false" customHeight="false" outlineLevel="0" collapsed="false">
      <c r="A7116" s="69" t="n">
        <f aca="false">05_HISTORICO_EQUIPOS!A7121</f>
        <v>2</v>
      </c>
      <c r="B7116" s="69" t="str">
        <f aca="false">01_INPUTS!I15</f>
        <v>A</v>
      </c>
      <c r="C7116" s="69" t="str">
        <f aca="false">05_HISTORICO_EQUIPOS!C7121</f>
        <v>PLAN</v>
      </c>
      <c r="D7116" s="69" t="str">
        <f aca="false">05_HISTORICO_EQUIPOS!B7121</f>
        <v>CADIZ</v>
      </c>
      <c r="E7116" s="69" t="str">
        <f aca="false">05_HISTORICO_EQUIPOS!D7121</f>
        <v>Global</v>
      </c>
      <c r="F7116" s="69" t="str">
        <f aca="false">05_HISTORICO_EQUIPOS!E7121</f>
        <v>NA</v>
      </c>
      <c r="G7116" s="70" t="str">
        <f aca="false">05_HISTORICO_EQUIPOS!F7121</f>
        <v>Inventario</v>
      </c>
      <c r="H7116" s="67" t="n">
        <f aca="false">05_HISTORICO_EQUIPOS!G7121</f>
        <v>670282223.362773</v>
      </c>
      <c r="I7116" s="69" t="str">
        <f aca="false">05_HISTORICO_EQUIPOS!H7121</f>
        <v>USD</v>
      </c>
      <c r="J7116" s="67" t="n">
        <f aca="false">05_HISTORICO_EQUIPOS!G7121</f>
        <v>670282223.362773</v>
      </c>
      <c r="K7116" s="69" t="str">
        <f aca="false">05_HISTORICO_EQUIPOS!H7121</f>
        <v>USD</v>
      </c>
      <c r="L7116" s="71" t="b">
        <f aca="false">TRUE()</f>
        <v>1</v>
      </c>
    </row>
    <row r="7117" customFormat="false" ht="15" hidden="false" customHeight="false" outlineLevel="0" collapsed="false">
      <c r="A7117" s="69" t="n">
        <f aca="false">05_HISTORICO_EQUIPOS!A7122</f>
        <v>2</v>
      </c>
      <c r="B7117" s="69" t="str">
        <f aca="false">01_INPUTS!I15</f>
        <v>A</v>
      </c>
      <c r="C7117" s="69" t="str">
        <f aca="false">05_HISTORICO_EQUIPOS!C7122</f>
        <v>PLAN</v>
      </c>
      <c r="D7117" s="69" t="str">
        <f aca="false">05_HISTORICO_EQUIPOS!B7122</f>
        <v>CADIZ</v>
      </c>
      <c r="E7117" s="69" t="str">
        <f aca="false">05_HISTORICO_EQUIPOS!D7122</f>
        <v>Global</v>
      </c>
      <c r="F7117" s="69" t="str">
        <f aca="false">05_HISTORICO_EQUIPOS!E7122</f>
        <v>NA</v>
      </c>
      <c r="G7117" s="70" t="str">
        <f aca="false">05_HISTORICO_EQUIPOS!F7122</f>
        <v>Cuentas por Cobrar</v>
      </c>
      <c r="H7117" s="67" t="n">
        <f aca="false">05_HISTORICO_EQUIPOS!G7122</f>
        <v>3170513872.06625</v>
      </c>
      <c r="I7117" s="69" t="str">
        <f aca="false">05_HISTORICO_EQUIPOS!H7122</f>
        <v>USD</v>
      </c>
      <c r="J7117" s="67" t="n">
        <f aca="false">05_HISTORICO_EQUIPOS!G7122</f>
        <v>3170513872.06625</v>
      </c>
      <c r="K7117" s="69" t="str">
        <f aca="false">05_HISTORICO_EQUIPOS!H7122</f>
        <v>USD</v>
      </c>
      <c r="L7117" s="71" t="b">
        <f aca="false">TRUE()</f>
        <v>1</v>
      </c>
    </row>
    <row r="7118" customFormat="false" ht="15" hidden="false" customHeight="false" outlineLevel="0" collapsed="false">
      <c r="A7118" s="69" t="n">
        <f aca="false">05_HISTORICO_EQUIPOS!A7123</f>
        <v>2</v>
      </c>
      <c r="B7118" s="69" t="str">
        <f aca="false">01_INPUTS!I15</f>
        <v>A</v>
      </c>
      <c r="C7118" s="69" t="str">
        <f aca="false">05_HISTORICO_EQUIPOS!C7123</f>
        <v>PLAN</v>
      </c>
      <c r="D7118" s="69" t="str">
        <f aca="false">05_HISTORICO_EQUIPOS!B7123</f>
        <v>CADIZ</v>
      </c>
      <c r="E7118" s="69" t="str">
        <f aca="false">05_HISTORICO_EQUIPOS!D7123</f>
        <v>Global</v>
      </c>
      <c r="F7118" s="69" t="str">
        <f aca="false">05_HISTORICO_EQUIPOS!E7123</f>
        <v>NA</v>
      </c>
      <c r="G7118" s="70" t="str">
        <f aca="false">05_HISTORICO_EQUIPOS!F7123</f>
        <v>Efectivo y equivalentes</v>
      </c>
      <c r="H7118" s="67" t="n">
        <f aca="false">05_HISTORICO_EQUIPOS!G7123</f>
        <v>23640855094.9208</v>
      </c>
      <c r="I7118" s="69" t="str">
        <f aca="false">05_HISTORICO_EQUIPOS!H7123</f>
        <v>USD</v>
      </c>
      <c r="J7118" s="67" t="n">
        <f aca="false">05_HISTORICO_EQUIPOS!G7123</f>
        <v>23640855094.9208</v>
      </c>
      <c r="K7118" s="69" t="str">
        <f aca="false">05_HISTORICO_EQUIPOS!H7123</f>
        <v>USD</v>
      </c>
      <c r="L7118" s="71" t="b">
        <f aca="false">TRUE()</f>
        <v>1</v>
      </c>
    </row>
    <row r="7119" customFormat="false" ht="15" hidden="false" customHeight="false" outlineLevel="0" collapsed="false">
      <c r="A7119" s="69" t="n">
        <f aca="false">05_HISTORICO_EQUIPOS!A7124</f>
        <v>2</v>
      </c>
      <c r="B7119" s="69" t="str">
        <f aca="false">01_INPUTS!I15</f>
        <v>A</v>
      </c>
      <c r="C7119" s="69" t="str">
        <f aca="false">05_HISTORICO_EQUIPOS!C7124</f>
        <v>PLAN</v>
      </c>
      <c r="D7119" s="69" t="str">
        <f aca="false">05_HISTORICO_EQUIPOS!B7124</f>
        <v>CADIZ</v>
      </c>
      <c r="E7119" s="69" t="str">
        <f aca="false">05_HISTORICO_EQUIPOS!D7124</f>
        <v>Global</v>
      </c>
      <c r="F7119" s="69" t="str">
        <f aca="false">05_HISTORICO_EQUIPOS!E7124</f>
        <v>NA</v>
      </c>
      <c r="G7119" s="70" t="str">
        <f aca="false">05_HISTORICO_EQUIPOS!F7124</f>
        <v>Activos Totales</v>
      </c>
      <c r="H7119" s="67" t="n">
        <f aca="false">05_HISTORICO_EQUIPOS!G7124</f>
        <v>36268696592.3498</v>
      </c>
      <c r="I7119" s="69" t="str">
        <f aca="false">05_HISTORICO_EQUIPOS!H7124</f>
        <v>USD</v>
      </c>
      <c r="J7119" s="67" t="n">
        <f aca="false">05_HISTORICO_EQUIPOS!G7124</f>
        <v>36268696592.3498</v>
      </c>
      <c r="K7119" s="69" t="str">
        <f aca="false">05_HISTORICO_EQUIPOS!H7124</f>
        <v>USD</v>
      </c>
      <c r="L7119" s="71" t="b">
        <f aca="false">TRUE()</f>
        <v>1</v>
      </c>
    </row>
    <row r="7120" customFormat="false" ht="15" hidden="false" customHeight="false" outlineLevel="0" collapsed="false">
      <c r="A7120" s="69" t="n">
        <f aca="false">05_HISTORICO_EQUIPOS!A7125</f>
        <v>2</v>
      </c>
      <c r="B7120" s="69" t="str">
        <f aca="false">01_INPUTS!I15</f>
        <v>A</v>
      </c>
      <c r="C7120" s="69" t="str">
        <f aca="false">05_HISTORICO_EQUIPOS!C7125</f>
        <v>PLAN</v>
      </c>
      <c r="D7120" s="69" t="str">
        <f aca="false">05_HISTORICO_EQUIPOS!B7125</f>
        <v>CADIZ</v>
      </c>
      <c r="E7120" s="69" t="str">
        <f aca="false">05_HISTORICO_EQUIPOS!D7125</f>
        <v>Global</v>
      </c>
      <c r="F7120" s="69" t="str">
        <f aca="false">05_HISTORICO_EQUIPOS!E7125</f>
        <v>NA</v>
      </c>
      <c r="G7120" s="70" t="str">
        <f aca="false">05_HISTORICO_EQUIPOS!F7125</f>
        <v>Deudas a largo plazo</v>
      </c>
      <c r="H7120" s="67" t="n">
        <f aca="false">05_HISTORICO_EQUIPOS!G7125</f>
        <v>11900000000</v>
      </c>
      <c r="I7120" s="69" t="str">
        <f aca="false">05_HISTORICO_EQUIPOS!H7125</f>
        <v>USD</v>
      </c>
      <c r="J7120" s="67" t="n">
        <f aca="false">05_HISTORICO_EQUIPOS!G7125</f>
        <v>11900000000</v>
      </c>
      <c r="K7120" s="69" t="str">
        <f aca="false">05_HISTORICO_EQUIPOS!H7125</f>
        <v>USD</v>
      </c>
      <c r="L7120" s="71" t="b">
        <f aca="false">TRUE()</f>
        <v>1</v>
      </c>
    </row>
    <row r="7121" customFormat="false" ht="15" hidden="false" customHeight="false" outlineLevel="0" collapsed="false">
      <c r="A7121" s="69" t="n">
        <f aca="false">05_HISTORICO_EQUIPOS!A7126</f>
        <v>2</v>
      </c>
      <c r="B7121" s="69" t="str">
        <f aca="false">01_INPUTS!I15</f>
        <v>A</v>
      </c>
      <c r="C7121" s="69" t="str">
        <f aca="false">05_HISTORICO_EQUIPOS!C7126</f>
        <v>PLAN</v>
      </c>
      <c r="D7121" s="69" t="str">
        <f aca="false">05_HISTORICO_EQUIPOS!B7126</f>
        <v>CADIZ</v>
      </c>
      <c r="E7121" s="69" t="str">
        <f aca="false">05_HISTORICO_EQUIPOS!D7126</f>
        <v>Global</v>
      </c>
      <c r="F7121" s="69" t="str">
        <f aca="false">05_HISTORICO_EQUIPOS!E7126</f>
        <v>NA</v>
      </c>
      <c r="G7121" s="70" t="str">
        <f aca="false">05_HISTORICO_EQUIPOS!F7126</f>
        <v>Deudas a corto plazo (automática)</v>
      </c>
      <c r="H7121" s="67" t="n">
        <f aca="false">05_HISTORICO_EQUIPOS!G7126</f>
        <v>0</v>
      </c>
      <c r="I7121" s="69" t="str">
        <f aca="false">05_HISTORICO_EQUIPOS!H7126</f>
        <v>USD</v>
      </c>
      <c r="J7121" s="67" t="n">
        <f aca="false">05_HISTORICO_EQUIPOS!G7126</f>
        <v>0</v>
      </c>
      <c r="K7121" s="69" t="str">
        <f aca="false">05_HISTORICO_EQUIPOS!H7126</f>
        <v>USD</v>
      </c>
      <c r="L7121" s="71" t="b">
        <f aca="false">TRUE()</f>
        <v>1</v>
      </c>
    </row>
    <row r="7122" customFormat="false" ht="15" hidden="false" customHeight="false" outlineLevel="0" collapsed="false">
      <c r="A7122" s="69" t="n">
        <f aca="false">05_HISTORICO_EQUIPOS!A7127</f>
        <v>2</v>
      </c>
      <c r="B7122" s="69" t="str">
        <f aca="false">01_INPUTS!I15</f>
        <v>A</v>
      </c>
      <c r="C7122" s="69" t="str">
        <f aca="false">05_HISTORICO_EQUIPOS!C7127</f>
        <v>PLAN</v>
      </c>
      <c r="D7122" s="69" t="str">
        <f aca="false">05_HISTORICO_EQUIPOS!B7127</f>
        <v>CADIZ</v>
      </c>
      <c r="E7122" s="69" t="str">
        <f aca="false">05_HISTORICO_EQUIPOS!D7127</f>
        <v>Global</v>
      </c>
      <c r="F7122" s="69" t="str">
        <f aca="false">05_HISTORICO_EQUIPOS!E7127</f>
        <v>NA</v>
      </c>
      <c r="G7122" s="70" t="str">
        <f aca="false">05_HISTORICO_EQUIPOS!F7127</f>
        <v>Cuentas por Pagar</v>
      </c>
      <c r="H7122" s="67" t="n">
        <f aca="false">05_HISTORICO_EQUIPOS!G7127</f>
        <v>2140731942.1085</v>
      </c>
      <c r="I7122" s="69" t="str">
        <f aca="false">05_HISTORICO_EQUIPOS!H7127</f>
        <v>USD</v>
      </c>
      <c r="J7122" s="67" t="n">
        <f aca="false">05_HISTORICO_EQUIPOS!G7127</f>
        <v>2140731942.1085</v>
      </c>
      <c r="K7122" s="69" t="str">
        <f aca="false">05_HISTORICO_EQUIPOS!H7127</f>
        <v>USD</v>
      </c>
      <c r="L7122" s="71" t="b">
        <f aca="false">TRUE()</f>
        <v>1</v>
      </c>
    </row>
    <row r="7123" customFormat="false" ht="15" hidden="false" customHeight="false" outlineLevel="0" collapsed="false">
      <c r="A7123" s="69" t="n">
        <f aca="false">05_HISTORICO_EQUIPOS!A7128</f>
        <v>2</v>
      </c>
      <c r="B7123" s="69" t="str">
        <f aca="false">01_INPUTS!I15</f>
        <v>A</v>
      </c>
      <c r="C7123" s="69" t="str">
        <f aca="false">05_HISTORICO_EQUIPOS!C7128</f>
        <v>PLAN</v>
      </c>
      <c r="D7123" s="69" t="str">
        <f aca="false">05_HISTORICO_EQUIPOS!B7128</f>
        <v>CADIZ</v>
      </c>
      <c r="E7123" s="69" t="str">
        <f aca="false">05_HISTORICO_EQUIPOS!D7128</f>
        <v>Global</v>
      </c>
      <c r="F7123" s="69" t="str">
        <f aca="false">05_HISTORICO_EQUIPOS!E7128</f>
        <v>NA</v>
      </c>
      <c r="G7123" s="70" t="str">
        <f aca="false">05_HISTORICO_EQUIPOS!F7128</f>
        <v>Pasivos Totales</v>
      </c>
      <c r="H7123" s="67" t="n">
        <f aca="false">05_HISTORICO_EQUIPOS!G7128</f>
        <v>14040731942.1085</v>
      </c>
      <c r="I7123" s="69" t="str">
        <f aca="false">05_HISTORICO_EQUIPOS!H7128</f>
        <v>USD</v>
      </c>
      <c r="J7123" s="67" t="n">
        <f aca="false">05_HISTORICO_EQUIPOS!G7128</f>
        <v>14040731942.1085</v>
      </c>
      <c r="K7123" s="69" t="str">
        <f aca="false">05_HISTORICO_EQUIPOS!H7128</f>
        <v>USD</v>
      </c>
      <c r="L7123" s="71" t="b">
        <f aca="false">TRUE()</f>
        <v>1</v>
      </c>
    </row>
    <row r="7124" customFormat="false" ht="15" hidden="false" customHeight="false" outlineLevel="0" collapsed="false">
      <c r="A7124" s="69" t="n">
        <f aca="false">05_HISTORICO_EQUIPOS!A7129</f>
        <v>2</v>
      </c>
      <c r="B7124" s="69" t="str">
        <f aca="false">01_INPUTS!I15</f>
        <v>A</v>
      </c>
      <c r="C7124" s="69" t="str">
        <f aca="false">05_HISTORICO_EQUIPOS!C7129</f>
        <v>PLAN</v>
      </c>
      <c r="D7124" s="69" t="str">
        <f aca="false">05_HISTORICO_EQUIPOS!B7129</f>
        <v>CADIZ</v>
      </c>
      <c r="E7124" s="69" t="str">
        <f aca="false">05_HISTORICO_EQUIPOS!D7129</f>
        <v>Global</v>
      </c>
      <c r="F7124" s="69" t="str">
        <f aca="false">05_HISTORICO_EQUIPOS!E7129</f>
        <v>NA</v>
      </c>
      <c r="G7124" s="70" t="str">
        <f aca="false">05_HISTORICO_EQUIPOS!F7129</f>
        <v>Patrimonio neto</v>
      </c>
      <c r="H7124" s="67" t="n">
        <f aca="false">05_HISTORICO_EQUIPOS!G7129</f>
        <v>22227964650.2413</v>
      </c>
      <c r="I7124" s="69" t="str">
        <f aca="false">05_HISTORICO_EQUIPOS!H7129</f>
        <v>USD</v>
      </c>
      <c r="J7124" s="67" t="n">
        <f aca="false">05_HISTORICO_EQUIPOS!G7129</f>
        <v>22227964650.2413</v>
      </c>
      <c r="K7124" s="69" t="str">
        <f aca="false">05_HISTORICO_EQUIPOS!H7129</f>
        <v>USD</v>
      </c>
      <c r="L7124" s="71" t="b">
        <f aca="false">TRUE()</f>
        <v>1</v>
      </c>
    </row>
    <row r="7125" customFormat="false" ht="15" hidden="false" customHeight="false" outlineLevel="0" collapsed="false">
      <c r="A7125" s="69" t="n">
        <f aca="false">05_HISTORICO_EQUIPOS!A7130</f>
        <v>2</v>
      </c>
      <c r="B7125" s="69" t="str">
        <f aca="false">01_INPUTS!I15</f>
        <v>A</v>
      </c>
      <c r="C7125" s="69" t="str">
        <f aca="false">05_HISTORICO_EQUIPOS!C7130</f>
        <v>PLAN</v>
      </c>
      <c r="D7125" s="69" t="str">
        <f aca="false">05_HISTORICO_EQUIPOS!B7130</f>
        <v>CADIZ</v>
      </c>
      <c r="E7125" s="69" t="str">
        <f aca="false">05_HISTORICO_EQUIPOS!D7130</f>
        <v>Global</v>
      </c>
      <c r="F7125" s="69" t="str">
        <f aca="false">05_HISTORICO_EQUIPOS!E7130</f>
        <v>NA</v>
      </c>
      <c r="G7125" s="70" t="str">
        <f aca="false">05_HISTORICO_EQUIPOS!F7130</f>
        <v>Total actividades operativas (CFO)</v>
      </c>
      <c r="H7125" s="67" t="n">
        <f aca="false">05_HISTORICO_EQUIPOS!G7130</f>
        <v>21562266304.5352</v>
      </c>
      <c r="I7125" s="69" t="str">
        <f aca="false">05_HISTORICO_EQUIPOS!H7130</f>
        <v>USD</v>
      </c>
      <c r="J7125" s="67" t="n">
        <f aca="false">05_HISTORICO_EQUIPOS!G7130</f>
        <v>21562266304.5352</v>
      </c>
      <c r="K7125" s="69" t="str">
        <f aca="false">05_HISTORICO_EQUIPOS!H7130</f>
        <v>USD</v>
      </c>
      <c r="L7125" s="71" t="b">
        <f aca="false">TRUE()</f>
        <v>1</v>
      </c>
    </row>
    <row r="7126" customFormat="false" ht="15" hidden="false" customHeight="false" outlineLevel="0" collapsed="false">
      <c r="A7126" s="69" t="n">
        <f aca="false">05_HISTORICO_EQUIPOS!A7131</f>
        <v>2</v>
      </c>
      <c r="B7126" s="69" t="str">
        <f aca="false">01_INPUTS!I15</f>
        <v>A</v>
      </c>
      <c r="C7126" s="69" t="str">
        <f aca="false">05_HISTORICO_EQUIPOS!C7131</f>
        <v>PLAN</v>
      </c>
      <c r="D7126" s="69" t="str">
        <f aca="false">05_HISTORICO_EQUIPOS!B7131</f>
        <v>CADIZ</v>
      </c>
      <c r="E7126" s="69" t="str">
        <f aca="false">05_HISTORICO_EQUIPOS!D7131</f>
        <v>Global</v>
      </c>
      <c r="F7126" s="69" t="str">
        <f aca="false">05_HISTORICO_EQUIPOS!E7131</f>
        <v>NA</v>
      </c>
      <c r="G7126" s="70" t="str">
        <f aca="false">05_HISTORICO_EQUIPOS!F7131</f>
        <v>Total actividades de inversión (CFI)</v>
      </c>
      <c r="H7126" s="67" t="n">
        <f aca="false">05_HISTORICO_EQUIPOS!G7131</f>
        <v>0</v>
      </c>
      <c r="I7126" s="69" t="str">
        <f aca="false">05_HISTORICO_EQUIPOS!H7131</f>
        <v>USD</v>
      </c>
      <c r="J7126" s="67" t="n">
        <f aca="false">05_HISTORICO_EQUIPOS!G7131</f>
        <v>0</v>
      </c>
      <c r="K7126" s="69" t="str">
        <f aca="false">05_HISTORICO_EQUIPOS!H7131</f>
        <v>USD</v>
      </c>
      <c r="L7126" s="71" t="b">
        <f aca="false">TRUE()</f>
        <v>1</v>
      </c>
    </row>
    <row r="7127" customFormat="false" ht="15" hidden="false" customHeight="false" outlineLevel="0" collapsed="false">
      <c r="A7127" s="69" t="n">
        <f aca="false">05_HISTORICO_EQUIPOS!A7132</f>
        <v>2</v>
      </c>
      <c r="B7127" s="69" t="str">
        <f aca="false">01_INPUTS!I15</f>
        <v>A</v>
      </c>
      <c r="C7127" s="69" t="str">
        <f aca="false">05_HISTORICO_EQUIPOS!C7132</f>
        <v>PLAN</v>
      </c>
      <c r="D7127" s="69" t="str">
        <f aca="false">05_HISTORICO_EQUIPOS!B7132</f>
        <v>CADIZ</v>
      </c>
      <c r="E7127" s="69" t="str">
        <f aca="false">05_HISTORICO_EQUIPOS!D7132</f>
        <v>Global</v>
      </c>
      <c r="F7127" s="69" t="str">
        <f aca="false">05_HISTORICO_EQUIPOS!E7132</f>
        <v>NA</v>
      </c>
      <c r="G7127" s="70" t="str">
        <f aca="false">05_HISTORICO_EQUIPOS!F7132</f>
        <v>Total actividades financieras (CFF)</v>
      </c>
      <c r="H7127" s="67" t="n">
        <f aca="false">05_HISTORICO_EQUIPOS!G7132</f>
        <v>-3000000000</v>
      </c>
      <c r="I7127" s="69" t="str">
        <f aca="false">05_HISTORICO_EQUIPOS!H7132</f>
        <v>USD</v>
      </c>
      <c r="J7127" s="67" t="n">
        <f aca="false">05_HISTORICO_EQUIPOS!G7132</f>
        <v>-3000000000</v>
      </c>
      <c r="K7127" s="69" t="str">
        <f aca="false">05_HISTORICO_EQUIPOS!H7132</f>
        <v>USD</v>
      </c>
      <c r="L7127" s="71" t="b">
        <f aca="false">TRUE()</f>
        <v>1</v>
      </c>
    </row>
    <row r="7128" customFormat="false" ht="15" hidden="false" customHeight="false" outlineLevel="0" collapsed="false">
      <c r="A7128" s="69" t="n">
        <f aca="false">05_HISTORICO_EQUIPOS!A7133</f>
        <v>2</v>
      </c>
      <c r="B7128" s="69" t="str">
        <f aca="false">01_INPUTS!I15</f>
        <v>A</v>
      </c>
      <c r="C7128" s="69" t="str">
        <f aca="false">05_HISTORICO_EQUIPOS!C7133</f>
        <v>PLAN</v>
      </c>
      <c r="D7128" s="69" t="str">
        <f aca="false">05_HISTORICO_EQUIPOS!B7133</f>
        <v>CADIZ</v>
      </c>
      <c r="E7128" s="69" t="str">
        <f aca="false">05_HISTORICO_EQUIPOS!D7133</f>
        <v>Global</v>
      </c>
      <c r="F7128" s="69" t="str">
        <f aca="false">05_HISTORICO_EQUIPOS!E7133</f>
        <v>NA</v>
      </c>
      <c r="G7128" s="70" t="str">
        <f aca="false">05_HISTORICO_EQUIPOS!F7133</f>
        <v>Margen EBITDA</v>
      </c>
      <c r="H7128" s="72" t="n">
        <f aca="false">05_HISTORICO_EQUIPOS!G7133/100</f>
        <v>0.244322936910566</v>
      </c>
      <c r="I7128" s="12" t="s">
        <v>878</v>
      </c>
      <c r="J7128" s="67" t="n">
        <f aca="false">05_HISTORICO_EQUIPOS!G7133</f>
        <v>24.4322936910566</v>
      </c>
      <c r="K7128" s="69" t="str">
        <f aca="false">05_HISTORICO_EQUIPOS!H7133</f>
        <v>%</v>
      </c>
      <c r="L7128" s="71" t="b">
        <f aca="false">TRUE()</f>
        <v>1</v>
      </c>
    </row>
    <row r="7129" customFormat="false" ht="15" hidden="false" customHeight="false" outlineLevel="0" collapsed="false">
      <c r="A7129" s="69" t="n">
        <f aca="false">05_HISTORICO_EQUIPOS!A7134</f>
        <v>2</v>
      </c>
      <c r="B7129" s="69" t="str">
        <f aca="false">01_INPUTS!I15</f>
        <v>A</v>
      </c>
      <c r="C7129" s="69" t="str">
        <f aca="false">05_HISTORICO_EQUIPOS!C7134</f>
        <v>PLAN</v>
      </c>
      <c r="D7129" s="69" t="str">
        <f aca="false">05_HISTORICO_EQUIPOS!B7134</f>
        <v>CADIZ</v>
      </c>
      <c r="E7129" s="69" t="str">
        <f aca="false">05_HISTORICO_EQUIPOS!D7134</f>
        <v>Global</v>
      </c>
      <c r="F7129" s="69" t="str">
        <f aca="false">05_HISTORICO_EQUIPOS!E7134</f>
        <v>NA</v>
      </c>
      <c r="G7129" s="70" t="str">
        <f aca="false">05_HISTORICO_EQUIPOS!F7134</f>
        <v>ROS</v>
      </c>
      <c r="H7129" s="72" t="n">
        <f aca="false">05_HISTORICO_EQUIPOS!G7134/100</f>
        <v>0.176954830854141</v>
      </c>
      <c r="I7129" s="12" t="s">
        <v>878</v>
      </c>
      <c r="J7129" s="67" t="n">
        <f aca="false">05_HISTORICO_EQUIPOS!G7134</f>
        <v>17.6954830854141</v>
      </c>
      <c r="K7129" s="69" t="str">
        <f aca="false">05_HISTORICO_EQUIPOS!H7134</f>
        <v>%</v>
      </c>
      <c r="L7129" s="71" t="b">
        <f aca="false">TRUE()</f>
        <v>1</v>
      </c>
    </row>
    <row r="7130" customFormat="false" ht="15" hidden="false" customHeight="false" outlineLevel="0" collapsed="false">
      <c r="A7130" s="69" t="n">
        <f aca="false">05_HISTORICO_EQUIPOS!A7135</f>
        <v>2</v>
      </c>
      <c r="B7130" s="69" t="str">
        <f aca="false">01_INPUTS!I15</f>
        <v>A</v>
      </c>
      <c r="C7130" s="69" t="str">
        <f aca="false">05_HISTORICO_EQUIPOS!C7135</f>
        <v>PLAN</v>
      </c>
      <c r="D7130" s="69" t="str">
        <f aca="false">05_HISTORICO_EQUIPOS!B7135</f>
        <v>CADIZ</v>
      </c>
      <c r="E7130" s="69" t="str">
        <f aca="false">05_HISTORICO_EQUIPOS!D7135</f>
        <v>Global</v>
      </c>
      <c r="F7130" s="69" t="str">
        <f aca="false">05_HISTORICO_EQUIPOS!E7135</f>
        <v>NA</v>
      </c>
      <c r="G7130" s="70" t="str">
        <f aca="false">05_HISTORICO_EQUIPOS!F7135</f>
        <v>ROE</v>
      </c>
      <c r="H7130" s="72" t="n">
        <f aca="false">05_HISTORICO_EQUIPOS!G7135/100</f>
        <v>0.804652419676564</v>
      </c>
      <c r="I7130" s="12" t="s">
        <v>878</v>
      </c>
      <c r="J7130" s="67" t="n">
        <f aca="false">05_HISTORICO_EQUIPOS!G7135</f>
        <v>80.4652419676564</v>
      </c>
      <c r="K7130" s="69" t="str">
        <f aca="false">05_HISTORICO_EQUIPOS!H7135</f>
        <v>%</v>
      </c>
      <c r="L7130" s="71" t="b">
        <f aca="false">TRUE()</f>
        <v>1</v>
      </c>
    </row>
    <row r="7131" customFormat="false" ht="15" hidden="false" customHeight="false" outlineLevel="0" collapsed="false">
      <c r="A7131" s="69" t="n">
        <f aca="false">05_HISTORICO_EQUIPOS!A7136</f>
        <v>2</v>
      </c>
      <c r="B7131" s="69" t="str">
        <f aca="false">01_INPUTS!I15</f>
        <v>A</v>
      </c>
      <c r="C7131" s="69" t="str">
        <f aca="false">05_HISTORICO_EQUIPOS!C7136</f>
        <v>PLAN</v>
      </c>
      <c r="D7131" s="69" t="str">
        <f aca="false">05_HISTORICO_EQUIPOS!B7136</f>
        <v>CADIZ</v>
      </c>
      <c r="E7131" s="69" t="str">
        <f aca="false">05_HISTORICO_EQUIPOS!D7136</f>
        <v>Global</v>
      </c>
      <c r="F7131" s="69" t="str">
        <f aca="false">05_HISTORICO_EQUIPOS!E7136</f>
        <v>NA</v>
      </c>
      <c r="G7131" s="70" t="str">
        <f aca="false">05_HISTORICO_EQUIPOS!F7136</f>
        <v>ROCE</v>
      </c>
      <c r="H7131" s="72" t="n">
        <f aca="false">05_HISTORICO_EQUIPOS!G7136/100</f>
        <v>0.618383917922786</v>
      </c>
      <c r="I7131" s="12" t="s">
        <v>878</v>
      </c>
      <c r="J7131" s="67" t="n">
        <f aca="false">05_HISTORICO_EQUIPOS!G7136</f>
        <v>61.8383917922786</v>
      </c>
      <c r="K7131" s="69" t="str">
        <f aca="false">05_HISTORICO_EQUIPOS!H7136</f>
        <v>%</v>
      </c>
      <c r="L7131" s="71" t="b">
        <f aca="false">TRUE()</f>
        <v>1</v>
      </c>
    </row>
    <row r="7132" customFormat="false" ht="15" hidden="false" customHeight="false" outlineLevel="0" collapsed="false">
      <c r="A7132" s="69" t="n">
        <f aca="false">05_HISTORICO_EQUIPOS!A7137</f>
        <v>2</v>
      </c>
      <c r="B7132" s="69" t="str">
        <f aca="false">01_INPUTS!I15</f>
        <v>A</v>
      </c>
      <c r="C7132" s="69" t="str">
        <f aca="false">05_HISTORICO_EQUIPOS!C7137</f>
        <v>PLAN</v>
      </c>
      <c r="D7132" s="69" t="str">
        <f aca="false">05_HISTORICO_EQUIPOS!B7137</f>
        <v>CADIZ</v>
      </c>
      <c r="E7132" s="69" t="str">
        <f aca="false">05_HISTORICO_EQUIPOS!D7137</f>
        <v>Global</v>
      </c>
      <c r="F7132" s="69" t="str">
        <f aca="false">05_HISTORICO_EQUIPOS!E7137</f>
        <v>NA</v>
      </c>
      <c r="G7132" s="70" t="str">
        <f aca="false">05_HISTORICO_EQUIPOS!F7137</f>
        <v>ROCE − WACC</v>
      </c>
      <c r="H7132" s="72" t="n">
        <f aca="false">05_HISTORICO_EQUIPOS!G7137/100</f>
        <v>0.526627618063667</v>
      </c>
      <c r="I7132" s="12" t="s">
        <v>878</v>
      </c>
      <c r="J7132" s="67" t="n">
        <f aca="false">05_HISTORICO_EQUIPOS!G7137</f>
        <v>52.6627618063667</v>
      </c>
      <c r="K7132" s="69" t="str">
        <f aca="false">05_HISTORICO_EQUIPOS!H7137</f>
        <v>p.p.</v>
      </c>
      <c r="L7132" s="71" t="b">
        <f aca="false">TRUE()</f>
        <v>1</v>
      </c>
    </row>
    <row r="7133" customFormat="false" ht="15" hidden="false" customHeight="false" outlineLevel="0" collapsed="false">
      <c r="A7133" s="69" t="n">
        <f aca="false">05_HISTORICO_EQUIPOS!A7138</f>
        <v>2</v>
      </c>
      <c r="B7133" s="69" t="str">
        <f aca="false">01_INPUTS!I15</f>
        <v>A</v>
      </c>
      <c r="C7133" s="69" t="str">
        <f aca="false">05_HISTORICO_EQUIPOS!C7138</f>
        <v>PLAN</v>
      </c>
      <c r="D7133" s="69" t="str">
        <f aca="false">05_HISTORICO_EQUIPOS!B7138</f>
        <v>CADIZ</v>
      </c>
      <c r="E7133" s="69" t="str">
        <f aca="false">05_HISTORICO_EQUIPOS!D7138</f>
        <v>Global</v>
      </c>
      <c r="F7133" s="69" t="str">
        <f aca="false">05_HISTORICO_EQUIPOS!E7138</f>
        <v>NA</v>
      </c>
      <c r="G7133" s="70" t="str">
        <f aca="false">05_HISTORICO_EQUIPOS!F7138</f>
        <v>EPS</v>
      </c>
      <c r="H7133" s="67" t="n">
        <f aca="false">05_HISTORICO_EQUIPOS!G7138</f>
        <v>8.37850227204036</v>
      </c>
      <c r="I7133" s="69" t="str">
        <f aca="false">05_HISTORICO_EQUIPOS!H7138</f>
        <v>USD/acción</v>
      </c>
      <c r="J7133" s="67" t="n">
        <f aca="false">05_HISTORICO_EQUIPOS!G7138</f>
        <v>8.37850227204036</v>
      </c>
      <c r="K7133" s="69" t="str">
        <f aca="false">05_HISTORICO_EQUIPOS!H7138</f>
        <v>USD/acción</v>
      </c>
      <c r="L7133" s="71" t="b">
        <f aca="false">TRUE()</f>
        <v>1</v>
      </c>
    </row>
    <row r="7134" customFormat="false" ht="15" hidden="false" customHeight="false" outlineLevel="0" collapsed="false">
      <c r="A7134" s="69" t="n">
        <f aca="false">05_HISTORICO_EQUIPOS!A7139</f>
        <v>2</v>
      </c>
      <c r="B7134" s="69" t="str">
        <f aca="false">01_INPUTS!I15</f>
        <v>A</v>
      </c>
      <c r="C7134" s="69" t="str">
        <f aca="false">05_HISTORICO_EQUIPOS!C7139</f>
        <v>PLAN</v>
      </c>
      <c r="D7134" s="69" t="str">
        <f aca="false">05_HISTORICO_EQUIPOS!B7139</f>
        <v>CADIZ</v>
      </c>
      <c r="E7134" s="69" t="str">
        <f aca="false">05_HISTORICO_EQUIPOS!D7139</f>
        <v>Global</v>
      </c>
      <c r="F7134" s="69" t="str">
        <f aca="false">05_HISTORICO_EQUIPOS!E7139</f>
        <v>NA</v>
      </c>
      <c r="G7134" s="70" t="str">
        <f aca="false">05_HISTORICO_EQUIPOS!F7139</f>
        <v>FCF</v>
      </c>
      <c r="H7134" s="67" t="n">
        <f aca="false">05_HISTORICO_EQUIPOS!G7139</f>
        <v>21562266304.5352</v>
      </c>
      <c r="I7134" s="69" t="str">
        <f aca="false">05_HISTORICO_EQUIPOS!H7139</f>
        <v>USD</v>
      </c>
      <c r="J7134" s="67" t="n">
        <f aca="false">05_HISTORICO_EQUIPOS!G7139</f>
        <v>21562266304.5352</v>
      </c>
      <c r="K7134" s="69" t="str">
        <f aca="false">05_HISTORICO_EQUIPOS!H7139</f>
        <v>USD</v>
      </c>
      <c r="L7134" s="71" t="b">
        <f aca="false">TRUE()</f>
        <v>1</v>
      </c>
    </row>
    <row r="7135" customFormat="false" ht="15" hidden="false" customHeight="false" outlineLevel="0" collapsed="false">
      <c r="A7135" s="69" t="n">
        <f aca="false">05_HISTORICO_EQUIPOS!A7140</f>
        <v>2</v>
      </c>
      <c r="B7135" s="69" t="str">
        <f aca="false">01_INPUTS!I15</f>
        <v>A</v>
      </c>
      <c r="C7135" s="69" t="str">
        <f aca="false">05_HISTORICO_EQUIPOS!C7140</f>
        <v>PLAN</v>
      </c>
      <c r="D7135" s="69" t="str">
        <f aca="false">05_HISTORICO_EQUIPOS!B7140</f>
        <v>CADIZ</v>
      </c>
      <c r="E7135" s="69" t="str">
        <f aca="false">05_HISTORICO_EQUIPOS!D7140</f>
        <v>Global</v>
      </c>
      <c r="F7135" s="69" t="str">
        <f aca="false">05_HISTORICO_EQUIPOS!E7140</f>
        <v>NA</v>
      </c>
      <c r="G7135" s="70" t="str">
        <f aca="false">05_HISTORICO_EQUIPOS!F7140</f>
        <v>Payout ratio</v>
      </c>
      <c r="H7135" s="72" t="n">
        <f aca="false">05_HISTORICO_EQUIPOS!G7140/100</f>
        <v>0.220344136244325</v>
      </c>
      <c r="I7135" s="12" t="s">
        <v>878</v>
      </c>
      <c r="J7135" s="67" t="n">
        <f aca="false">05_HISTORICO_EQUIPOS!G7140</f>
        <v>22.0344136244325</v>
      </c>
      <c r="K7135" s="69" t="str">
        <f aca="false">05_HISTORICO_EQUIPOS!H7140</f>
        <v>%</v>
      </c>
      <c r="L7135" s="71" t="b">
        <f aca="false">TRUE()</f>
        <v>1</v>
      </c>
    </row>
    <row r="7136" customFormat="false" ht="15" hidden="false" customHeight="false" outlineLevel="0" collapsed="false">
      <c r="A7136" s="69" t="n">
        <f aca="false">05_HISTORICO_EQUIPOS!A7141</f>
        <v>2</v>
      </c>
      <c r="B7136" s="69" t="str">
        <f aca="false">01_INPUTS!I15</f>
        <v>A</v>
      </c>
      <c r="C7136" s="69" t="str">
        <f aca="false">05_HISTORICO_EQUIPOS!C7141</f>
        <v>PLAN</v>
      </c>
      <c r="D7136" s="69" t="str">
        <f aca="false">05_HISTORICO_EQUIPOS!B7141</f>
        <v>CADIZ</v>
      </c>
      <c r="E7136" s="69" t="str">
        <f aca="false">05_HISTORICO_EQUIPOS!D7141</f>
        <v>Global</v>
      </c>
      <c r="F7136" s="69" t="str">
        <f aca="false">05_HISTORICO_EQUIPOS!E7141</f>
        <v>NA</v>
      </c>
      <c r="G7136" s="70" t="str">
        <f aca="false">05_HISTORICO_EQUIPOS!F7141</f>
        <v>Demanda insatisfecha CADIZ (total)</v>
      </c>
      <c r="H7136" s="67" t="n">
        <f aca="false">05_HISTORICO_EQUIPOS!G7141</f>
        <v>0</v>
      </c>
      <c r="I7136" s="12" t="s">
        <v>895</v>
      </c>
      <c r="J7136" s="67" t="n">
        <f aca="false">05_HISTORICO_EQUIPOS!G7141</f>
        <v>0</v>
      </c>
      <c r="K7136" s="69" t="str">
        <f aca="false">05_HISTORICO_EQUIPOS!H7141</f>
        <v>u.</v>
      </c>
      <c r="L7136" s="71" t="b">
        <f aca="false">TRUE()</f>
        <v>1</v>
      </c>
    </row>
    <row r="7137" customFormat="false" ht="15" hidden="false" customHeight="false" outlineLevel="0" collapsed="false">
      <c r="A7137" s="69" t="n">
        <f aca="false">05_HISTORICO_EQUIPOS!A7142</f>
        <v>2</v>
      </c>
      <c r="B7137" s="69" t="str">
        <f aca="false">01_INPUTS!I15</f>
        <v>A</v>
      </c>
      <c r="C7137" s="69" t="str">
        <f aca="false">05_HISTORICO_EQUIPOS!C7142</f>
        <v>PLAN</v>
      </c>
      <c r="D7137" s="69" t="str">
        <f aca="false">05_HISTORICO_EQUIPOS!B7142</f>
        <v>CADIZ</v>
      </c>
      <c r="E7137" s="69" t="str">
        <f aca="false">05_HISTORICO_EQUIPOS!D7142</f>
        <v>Global</v>
      </c>
      <c r="F7137" s="69" t="str">
        <f aca="false">05_HISTORICO_EQUIPOS!E7142</f>
        <v>NA</v>
      </c>
      <c r="G7137" s="70" t="str">
        <f aca="false">05_HISTORICO_EQUIPOS!F7142</f>
        <v>Cuota de mercado CADIZ (ponderada por volumen)</v>
      </c>
      <c r="H7137" s="72" t="n">
        <f aca="false">05_HISTORICO_EQUIPOS!G7142/100</f>
        <v>0.179455453454848</v>
      </c>
      <c r="I7137" s="12" t="s">
        <v>878</v>
      </c>
      <c r="J7137" s="67" t="n">
        <f aca="false">05_HISTORICO_EQUIPOS!G7142</f>
        <v>17.9455453454848</v>
      </c>
      <c r="K7137" s="69" t="str">
        <f aca="false">05_HISTORICO_EQUIPOS!H7142</f>
        <v>%</v>
      </c>
      <c r="L7137" s="71" t="b">
        <f aca="false">TRUE()</f>
        <v>1</v>
      </c>
    </row>
    <row r="7138" customFormat="false" ht="15" hidden="false" customHeight="false" outlineLevel="0" collapsed="false">
      <c r="A7138" s="69" t="n">
        <f aca="false">05_HISTORICO_EQUIPOS!A7143</f>
        <v>2</v>
      </c>
      <c r="B7138" s="69" t="str">
        <f aca="false">01_INPUTS!I15</f>
        <v>A</v>
      </c>
      <c r="C7138" s="69" t="str">
        <f aca="false">05_HISTORICO_EQUIPOS!C7143</f>
        <v>PLAN</v>
      </c>
      <c r="D7138" s="69" t="str">
        <f aca="false">05_HISTORICO_EQUIPOS!B7143</f>
        <v>CADIZ</v>
      </c>
      <c r="E7138" s="69" t="str">
        <f aca="false">05_HISTORICO_EQUIPOS!D7143</f>
        <v>Global</v>
      </c>
      <c r="F7138" s="69" t="str">
        <f aca="false">05_HISTORICO_EQUIPOS!E7143</f>
        <v>NA</v>
      </c>
      <c r="G7138" s="70" t="str">
        <f aca="false">05_HISTORICO_EQUIPOS!F7143</f>
        <v>Retorno total acumulado del accionista (PROXY)</v>
      </c>
      <c r="H7138" s="72" t="n">
        <f aca="false">05_HISTORICO_EQUIPOS!G7143/100</f>
        <v>0.115328904901865</v>
      </c>
      <c r="I7138" s="12" t="s">
        <v>878</v>
      </c>
      <c r="J7138" s="67" t="n">
        <f aca="false">05_HISTORICO_EQUIPOS!G7143</f>
        <v>11.5328904901865</v>
      </c>
      <c r="K7138" s="69" t="str">
        <f aca="false">05_HISTORICO_EQUIPOS!H7143</f>
        <v>%</v>
      </c>
      <c r="L7138" s="71" t="b">
        <f aca="false">TRUE()</f>
        <v>1</v>
      </c>
    </row>
    <row r="7139" customFormat="false" ht="15" hidden="false" customHeight="false" outlineLevel="0" collapsed="false">
      <c r="A7139" s="69" t="n">
        <f aca="false">05_HISTORICO_EQUIPOS!A7144</f>
        <v>2</v>
      </c>
      <c r="B7139" s="69" t="str">
        <f aca="false">01_INPUTS!I15</f>
        <v>A</v>
      </c>
      <c r="C7139" s="69" t="str">
        <f aca="false">05_HISTORICO_EQUIPOS!C7144</f>
        <v>PLAN</v>
      </c>
      <c r="D7139" s="69" t="str">
        <f aca="false">05_HISTORICO_EQUIPOS!B7144</f>
        <v>CADIZ</v>
      </c>
      <c r="E7139" s="69" t="str">
        <f aca="false">05_HISTORICO_EQUIPOS!D7144</f>
        <v>EE.UU.</v>
      </c>
      <c r="F7139" s="69" t="str">
        <f aca="false">05_HISTORICO_EQUIPOS!E7144</f>
        <v>NA</v>
      </c>
      <c r="G7139" s="70" t="str">
        <f aca="false">05_HISTORICO_EQUIPOS!F7144</f>
        <v>Utilización de capacidad</v>
      </c>
      <c r="H7139" s="72" t="n">
        <f aca="false">05_HISTORICO_EQUIPOS!G7144/100</f>
        <v>0.9</v>
      </c>
      <c r="I7139" s="12" t="s">
        <v>878</v>
      </c>
      <c r="J7139" s="67" t="n">
        <f aca="false">05_HISTORICO_EQUIPOS!G7144</f>
        <v>90</v>
      </c>
      <c r="K7139" s="69" t="str">
        <f aca="false">05_HISTORICO_EQUIPOS!H7144</f>
        <v>%</v>
      </c>
      <c r="L7139" s="71" t="b">
        <f aca="false">TRUE()</f>
        <v>1</v>
      </c>
    </row>
    <row r="7140" customFormat="false" ht="15" hidden="false" customHeight="false" outlineLevel="0" collapsed="false">
      <c r="A7140" s="69" t="n">
        <f aca="false">05_HISTORICO_EQUIPOS!A7145</f>
        <v>2</v>
      </c>
      <c r="B7140" s="69" t="str">
        <f aca="false">01_INPUTS!I15</f>
        <v>A</v>
      </c>
      <c r="C7140" s="69" t="str">
        <f aca="false">05_HISTORICO_EQUIPOS!C7145</f>
        <v>PLAN</v>
      </c>
      <c r="D7140" s="69" t="str">
        <f aca="false">05_HISTORICO_EQUIPOS!B7145</f>
        <v>CADIZ</v>
      </c>
      <c r="E7140" s="69" t="str">
        <f aca="false">05_HISTORICO_EQUIPOS!D7145</f>
        <v>China</v>
      </c>
      <c r="F7140" s="69" t="str">
        <f aca="false">05_HISTORICO_EQUIPOS!E7145</f>
        <v>NA</v>
      </c>
      <c r="G7140" s="70" t="str">
        <f aca="false">05_HISTORICO_EQUIPOS!F7145</f>
        <v>Utilización de capacidad</v>
      </c>
      <c r="H7140" s="72" t="n">
        <f aca="false">05_HISTORICO_EQUIPOS!G7145/100</f>
        <v>0.9</v>
      </c>
      <c r="I7140" s="12" t="s">
        <v>878</v>
      </c>
      <c r="J7140" s="67" t="n">
        <f aca="false">05_HISTORICO_EQUIPOS!G7145</f>
        <v>90</v>
      </c>
      <c r="K7140" s="69" t="str">
        <f aca="false">05_HISTORICO_EQUIPOS!H7145</f>
        <v>%</v>
      </c>
      <c r="L7140" s="71" t="b">
        <f aca="false">TRUE()</f>
        <v>1</v>
      </c>
    </row>
    <row r="7141" customFormat="false" ht="15" hidden="false" customHeight="false" outlineLevel="0" collapsed="false">
      <c r="A7141" s="69" t="n">
        <f aca="false">05_HISTORICO_EQUIPOS!A7146</f>
        <v>2</v>
      </c>
      <c r="B7141" s="69" t="str">
        <f aca="false">01_INPUTS!I15</f>
        <v>A</v>
      </c>
      <c r="C7141" s="69" t="str">
        <f aca="false">05_HISTORICO_EQUIPOS!C7146</f>
        <v>PLAN</v>
      </c>
      <c r="D7141" s="69" t="str">
        <f aca="false">05_HISTORICO_EQUIPOS!B7146</f>
        <v>CADIZ</v>
      </c>
      <c r="E7141" s="69" t="str">
        <f aca="false">05_HISTORICO_EQUIPOS!D7146</f>
        <v>EE.UU.</v>
      </c>
      <c r="F7141" s="69" t="str">
        <f aca="false">05_HISTORICO_EQUIPOS!E7146</f>
        <v>NA</v>
      </c>
      <c r="G7141" s="70" t="str">
        <f aca="false">05_HISTORICO_EQUIPOS!F7146</f>
        <v>Capacidad operativa</v>
      </c>
      <c r="H7141" s="67" t="n">
        <f aca="false">05_HISTORICO_EQUIPOS!G7146</f>
        <v>1400000</v>
      </c>
      <c r="I7141" s="12" t="s">
        <v>895</v>
      </c>
      <c r="J7141" s="67" t="n">
        <f aca="false">05_HISTORICO_EQUIPOS!G7146</f>
        <v>1400000</v>
      </c>
      <c r="K7141" s="69" t="str">
        <f aca="false">05_HISTORICO_EQUIPOS!H7146</f>
        <v>u.</v>
      </c>
      <c r="L7141" s="71" t="b">
        <f aca="false">TRUE()</f>
        <v>1</v>
      </c>
    </row>
    <row r="7142" customFormat="false" ht="15" hidden="false" customHeight="false" outlineLevel="0" collapsed="false">
      <c r="A7142" s="69" t="n">
        <f aca="false">05_HISTORICO_EQUIPOS!A7147</f>
        <v>2</v>
      </c>
      <c r="B7142" s="69" t="str">
        <f aca="false">01_INPUTS!I15</f>
        <v>A</v>
      </c>
      <c r="C7142" s="69" t="str">
        <f aca="false">05_HISTORICO_EQUIPOS!C7147</f>
        <v>PLAN</v>
      </c>
      <c r="D7142" s="69" t="str">
        <f aca="false">05_HISTORICO_EQUIPOS!B7147</f>
        <v>CADIZ</v>
      </c>
      <c r="E7142" s="69" t="str">
        <f aca="false">05_HISTORICO_EQUIPOS!D7147</f>
        <v>China</v>
      </c>
      <c r="F7142" s="69" t="str">
        <f aca="false">05_HISTORICO_EQUIPOS!E7147</f>
        <v>NA</v>
      </c>
      <c r="G7142" s="70" t="str">
        <f aca="false">05_HISTORICO_EQUIPOS!F7147</f>
        <v>Capacidad operativa</v>
      </c>
      <c r="H7142" s="67" t="n">
        <f aca="false">05_HISTORICO_EQUIPOS!G7147</f>
        <v>500000</v>
      </c>
      <c r="I7142" s="12" t="s">
        <v>895</v>
      </c>
      <c r="J7142" s="67" t="n">
        <f aca="false">05_HISTORICO_EQUIPOS!G7147</f>
        <v>500000</v>
      </c>
      <c r="K7142" s="69" t="str">
        <f aca="false">05_HISTORICO_EQUIPOS!H7147</f>
        <v>u.</v>
      </c>
      <c r="L7142" s="71" t="b">
        <f aca="false">TRUE()</f>
        <v>1</v>
      </c>
    </row>
    <row r="7143" customFormat="false" ht="15" hidden="false" customHeight="false" outlineLevel="0" collapsed="false">
      <c r="A7143" s="69" t="n">
        <f aca="false">05_HISTORICO_EQUIPOS!A7148</f>
        <v>2</v>
      </c>
      <c r="B7143" s="69" t="str">
        <f aca="false">01_INPUTS!I15</f>
        <v>A</v>
      </c>
      <c r="C7143" s="69" t="str">
        <f aca="false">05_HISTORICO_EQUIPOS!C7148</f>
        <v>PLAN</v>
      </c>
      <c r="D7143" s="69" t="str">
        <f aca="false">05_HISTORICO_EQUIPOS!B7148</f>
        <v>CADIZ</v>
      </c>
      <c r="E7143" s="69" t="str">
        <f aca="false">05_HISTORICO_EQUIPOS!D7148</f>
        <v>EE.UU.</v>
      </c>
      <c r="F7143" s="69" t="str">
        <f aca="false">05_HISTORICO_EQUIPOS!E7148</f>
        <v>Combustión</v>
      </c>
      <c r="G7143" s="70" t="str">
        <f aca="false">05_HISTORICO_EQUIPOS!F7148</f>
        <v>Precio de venta</v>
      </c>
      <c r="H7143" s="67" t="n">
        <f aca="false">05_HISTORICO_EQUIPOS!G7148</f>
        <v>22500</v>
      </c>
      <c r="I7143" s="69" t="str">
        <f aca="false">05_HISTORICO_EQUIPOS!H7148</f>
        <v>USD</v>
      </c>
      <c r="J7143" s="67" t="n">
        <f aca="false">05_HISTORICO_EQUIPOS!G7148</f>
        <v>22500</v>
      </c>
      <c r="K7143" s="69" t="str">
        <f aca="false">05_HISTORICO_EQUIPOS!H7148</f>
        <v>USD</v>
      </c>
      <c r="L7143" s="71" t="b">
        <f aca="false">TRUE()</f>
        <v>1</v>
      </c>
    </row>
    <row r="7144" customFormat="false" ht="15" hidden="false" customHeight="false" outlineLevel="0" collapsed="false">
      <c r="A7144" s="69" t="n">
        <f aca="false">05_HISTORICO_EQUIPOS!A7149</f>
        <v>2</v>
      </c>
      <c r="B7144" s="69" t="str">
        <f aca="false">01_INPUTS!I15</f>
        <v>A</v>
      </c>
      <c r="C7144" s="69" t="str">
        <f aca="false">05_HISTORICO_EQUIPOS!C7149</f>
        <v>PLAN</v>
      </c>
      <c r="D7144" s="69" t="str">
        <f aca="false">05_HISTORICO_EQUIPOS!B7149</f>
        <v>CADIZ</v>
      </c>
      <c r="E7144" s="69" t="str">
        <f aca="false">05_HISTORICO_EQUIPOS!D7149</f>
        <v>EE.UU.</v>
      </c>
      <c r="F7144" s="69" t="str">
        <f aca="false">05_HISTORICO_EQUIPOS!E7149</f>
        <v>Combustión</v>
      </c>
      <c r="G7144" s="70" t="str">
        <f aca="false">05_HISTORICO_EQUIPOS!F7149</f>
        <v>Cuota de mercado objetivo CADIZ</v>
      </c>
      <c r="H7144" s="67" t="n">
        <f aca="false">05_HISTORICO_EQUIPOS!G7149</f>
        <v>0.136999647456</v>
      </c>
      <c r="I7144" s="69" t="str">
        <f aca="false">05_HISTORICO_EQUIPOS!H7149</f>
        <v>ratio</v>
      </c>
      <c r="J7144" s="67" t="n">
        <f aca="false">05_HISTORICO_EQUIPOS!G7149</f>
        <v>0.136999647456</v>
      </c>
      <c r="K7144" s="69" t="str">
        <f aca="false">05_HISTORICO_EQUIPOS!H7149</f>
        <v>ratio</v>
      </c>
      <c r="L7144" s="71" t="b">
        <f aca="false">TRUE()</f>
        <v>1</v>
      </c>
    </row>
    <row r="7145" customFormat="false" ht="15" hidden="false" customHeight="false" outlineLevel="0" collapsed="false">
      <c r="A7145" s="69" t="n">
        <f aca="false">05_HISTORICO_EQUIPOS!A7150</f>
        <v>2</v>
      </c>
      <c r="B7145" s="69" t="str">
        <f aca="false">01_INPUTS!I15</f>
        <v>A</v>
      </c>
      <c r="C7145" s="69" t="str">
        <f aca="false">05_HISTORICO_EQUIPOS!C7150</f>
        <v>PLAN</v>
      </c>
      <c r="D7145" s="69" t="str">
        <f aca="false">05_HISTORICO_EQUIPOS!B7150</f>
        <v>CADIZ</v>
      </c>
      <c r="E7145" s="69" t="str">
        <f aca="false">05_HISTORICO_EQUIPOS!D7150</f>
        <v>EE.UU.</v>
      </c>
      <c r="F7145" s="69" t="str">
        <f aca="false">05_HISTORICO_EQUIPOS!E7150</f>
        <v>Combustión</v>
      </c>
      <c r="G7145" s="70" t="str">
        <f aca="false">05_HISTORICO_EQUIPOS!F7150</f>
        <v>Presupuesto de promoción</v>
      </c>
      <c r="H7145" s="67" t="n">
        <f aca="false">05_HISTORICO_EQUIPOS!G7150</f>
        <v>600000000</v>
      </c>
      <c r="I7145" s="69" t="str">
        <f aca="false">05_HISTORICO_EQUIPOS!H7150</f>
        <v>USD</v>
      </c>
      <c r="J7145" s="67" t="n">
        <f aca="false">05_HISTORICO_EQUIPOS!G7150</f>
        <v>600000000</v>
      </c>
      <c r="K7145" s="69" t="str">
        <f aca="false">05_HISTORICO_EQUIPOS!H7150</f>
        <v>USD</v>
      </c>
      <c r="L7145" s="71" t="b">
        <f aca="false">TRUE()</f>
        <v>1</v>
      </c>
    </row>
    <row r="7146" customFormat="false" ht="15" hidden="false" customHeight="false" outlineLevel="0" collapsed="false">
      <c r="A7146" s="69" t="n">
        <f aca="false">05_HISTORICO_EQUIPOS!A7151</f>
        <v>2</v>
      </c>
      <c r="B7146" s="69" t="str">
        <f aca="false">01_INPUTS!I15</f>
        <v>A</v>
      </c>
      <c r="C7146" s="69" t="str">
        <f aca="false">05_HISTORICO_EQUIPOS!C7151</f>
        <v>PLAN</v>
      </c>
      <c r="D7146" s="69" t="str">
        <f aca="false">05_HISTORICO_EQUIPOS!B7151</f>
        <v>CADIZ</v>
      </c>
      <c r="E7146" s="69" t="str">
        <f aca="false">05_HISTORICO_EQUIPOS!D7151</f>
        <v>EE.UU.</v>
      </c>
      <c r="F7146" s="69" t="str">
        <f aca="false">05_HISTORICO_EQUIPOS!E7151</f>
        <v>Combustión</v>
      </c>
      <c r="G7146" s="70" t="str">
        <f aca="false">05_HISTORICO_EQUIPOS!F7151</f>
        <v>Ventas efectivas (mercado)</v>
      </c>
      <c r="H7146" s="67" t="n">
        <f aca="false">05_HISTORICO_EQUIPOS!G7151</f>
        <v>747011.127700958</v>
      </c>
      <c r="I7146" s="12" t="s">
        <v>895</v>
      </c>
      <c r="J7146" s="67" t="n">
        <f aca="false">05_HISTORICO_EQUIPOS!G7151</f>
        <v>747011.127700958</v>
      </c>
      <c r="K7146" s="69" t="str">
        <f aca="false">05_HISTORICO_EQUIPOS!H7151</f>
        <v>u.</v>
      </c>
      <c r="L7146" s="71" t="b">
        <f aca="false">TRUE()</f>
        <v>1</v>
      </c>
    </row>
    <row r="7147" customFormat="false" ht="15" hidden="false" customHeight="false" outlineLevel="0" collapsed="false">
      <c r="A7147" s="69" t="n">
        <f aca="false">05_HISTORICO_EQUIPOS!A7152</f>
        <v>2</v>
      </c>
      <c r="B7147" s="69" t="str">
        <f aca="false">01_INPUTS!I15</f>
        <v>A</v>
      </c>
      <c r="C7147" s="69" t="str">
        <f aca="false">05_HISTORICO_EQUIPOS!C7152</f>
        <v>PLAN</v>
      </c>
      <c r="D7147" s="69" t="str">
        <f aca="false">05_HISTORICO_EQUIPOS!B7152</f>
        <v>CADIZ</v>
      </c>
      <c r="E7147" s="69" t="str">
        <f aca="false">05_HISTORICO_EQUIPOS!D7152</f>
        <v>EE.UU.</v>
      </c>
      <c r="F7147" s="69" t="str">
        <f aca="false">05_HISTORICO_EQUIPOS!E7152</f>
        <v>Híbrido</v>
      </c>
      <c r="G7147" s="70" t="str">
        <f aca="false">05_HISTORICO_EQUIPOS!F7152</f>
        <v>Precio de venta</v>
      </c>
      <c r="H7147" s="67" t="n">
        <f aca="false">05_HISTORICO_EQUIPOS!G7152</f>
        <v>28000</v>
      </c>
      <c r="I7147" s="69" t="str">
        <f aca="false">05_HISTORICO_EQUIPOS!H7152</f>
        <v>USD</v>
      </c>
      <c r="J7147" s="67" t="n">
        <f aca="false">05_HISTORICO_EQUIPOS!G7152</f>
        <v>28000</v>
      </c>
      <c r="K7147" s="69" t="str">
        <f aca="false">05_HISTORICO_EQUIPOS!H7152</f>
        <v>USD</v>
      </c>
      <c r="L7147" s="71" t="b">
        <f aca="false">TRUE()</f>
        <v>1</v>
      </c>
    </row>
    <row r="7148" customFormat="false" ht="15" hidden="false" customHeight="false" outlineLevel="0" collapsed="false">
      <c r="A7148" s="69" t="n">
        <f aca="false">05_HISTORICO_EQUIPOS!A7153</f>
        <v>2</v>
      </c>
      <c r="B7148" s="69" t="str">
        <f aca="false">01_INPUTS!I15</f>
        <v>A</v>
      </c>
      <c r="C7148" s="69" t="str">
        <f aca="false">05_HISTORICO_EQUIPOS!C7153</f>
        <v>PLAN</v>
      </c>
      <c r="D7148" s="69" t="str">
        <f aca="false">05_HISTORICO_EQUIPOS!B7153</f>
        <v>CADIZ</v>
      </c>
      <c r="E7148" s="69" t="str">
        <f aca="false">05_HISTORICO_EQUIPOS!D7153</f>
        <v>EE.UU.</v>
      </c>
      <c r="F7148" s="69" t="str">
        <f aca="false">05_HISTORICO_EQUIPOS!E7153</f>
        <v>Híbrido</v>
      </c>
      <c r="G7148" s="70" t="str">
        <f aca="false">05_HISTORICO_EQUIPOS!F7153</f>
        <v>Cuota de mercado objetivo CADIZ</v>
      </c>
      <c r="H7148" s="67" t="n">
        <f aca="false">05_HISTORICO_EQUIPOS!G7153</f>
        <v>0.054000091616</v>
      </c>
      <c r="I7148" s="69" t="str">
        <f aca="false">05_HISTORICO_EQUIPOS!H7153</f>
        <v>ratio</v>
      </c>
      <c r="J7148" s="67" t="n">
        <f aca="false">05_HISTORICO_EQUIPOS!G7153</f>
        <v>0.054000091616</v>
      </c>
      <c r="K7148" s="69" t="str">
        <f aca="false">05_HISTORICO_EQUIPOS!H7153</f>
        <v>ratio</v>
      </c>
      <c r="L7148" s="71" t="b">
        <f aca="false">TRUE()</f>
        <v>1</v>
      </c>
    </row>
    <row r="7149" customFormat="false" ht="15" hidden="false" customHeight="false" outlineLevel="0" collapsed="false">
      <c r="A7149" s="69" t="n">
        <f aca="false">05_HISTORICO_EQUIPOS!A7154</f>
        <v>2</v>
      </c>
      <c r="B7149" s="69" t="str">
        <f aca="false">01_INPUTS!I15</f>
        <v>A</v>
      </c>
      <c r="C7149" s="69" t="str">
        <f aca="false">05_HISTORICO_EQUIPOS!C7154</f>
        <v>PLAN</v>
      </c>
      <c r="D7149" s="69" t="str">
        <f aca="false">05_HISTORICO_EQUIPOS!B7154</f>
        <v>CADIZ</v>
      </c>
      <c r="E7149" s="69" t="str">
        <f aca="false">05_HISTORICO_EQUIPOS!D7154</f>
        <v>EE.UU.</v>
      </c>
      <c r="F7149" s="69" t="str">
        <f aca="false">05_HISTORICO_EQUIPOS!E7154</f>
        <v>Híbrido</v>
      </c>
      <c r="G7149" s="70" t="str">
        <f aca="false">05_HISTORICO_EQUIPOS!F7154</f>
        <v>Presupuesto de promoción</v>
      </c>
      <c r="H7149" s="67" t="n">
        <f aca="false">05_HISTORICO_EQUIPOS!G7154</f>
        <v>500000000</v>
      </c>
      <c r="I7149" s="69" t="str">
        <f aca="false">05_HISTORICO_EQUIPOS!H7154</f>
        <v>USD</v>
      </c>
      <c r="J7149" s="67" t="n">
        <f aca="false">05_HISTORICO_EQUIPOS!G7154</f>
        <v>500000000</v>
      </c>
      <c r="K7149" s="69" t="str">
        <f aca="false">05_HISTORICO_EQUIPOS!H7154</f>
        <v>USD</v>
      </c>
      <c r="L7149" s="71" t="b">
        <f aca="false">TRUE()</f>
        <v>1</v>
      </c>
    </row>
    <row r="7150" customFormat="false" ht="15" hidden="false" customHeight="false" outlineLevel="0" collapsed="false">
      <c r="A7150" s="69" t="n">
        <f aca="false">05_HISTORICO_EQUIPOS!A7155</f>
        <v>2</v>
      </c>
      <c r="B7150" s="69" t="str">
        <f aca="false">01_INPUTS!I15</f>
        <v>A</v>
      </c>
      <c r="C7150" s="69" t="str">
        <f aca="false">05_HISTORICO_EQUIPOS!C7155</f>
        <v>PLAN</v>
      </c>
      <c r="D7150" s="69" t="str">
        <f aca="false">05_HISTORICO_EQUIPOS!B7155</f>
        <v>CADIZ</v>
      </c>
      <c r="E7150" s="69" t="str">
        <f aca="false">05_HISTORICO_EQUIPOS!D7155</f>
        <v>EE.UU.</v>
      </c>
      <c r="F7150" s="69" t="str">
        <f aca="false">05_HISTORICO_EQUIPOS!E7155</f>
        <v>Híbrido</v>
      </c>
      <c r="G7150" s="70" t="str">
        <f aca="false">05_HISTORICO_EQUIPOS!F7155</f>
        <v>Ventas efectivas (mercado)</v>
      </c>
      <c r="H7150" s="67" t="n">
        <f aca="false">05_HISTORICO_EQUIPOS!G7155</f>
        <v>294443.599549982</v>
      </c>
      <c r="I7150" s="12" t="s">
        <v>895</v>
      </c>
      <c r="J7150" s="67" t="n">
        <f aca="false">05_HISTORICO_EQUIPOS!G7155</f>
        <v>294443.599549982</v>
      </c>
      <c r="K7150" s="69" t="str">
        <f aca="false">05_HISTORICO_EQUIPOS!H7155</f>
        <v>u.</v>
      </c>
      <c r="L7150" s="71" t="b">
        <f aca="false">TRUE()</f>
        <v>1</v>
      </c>
    </row>
    <row r="7151" customFormat="false" ht="15" hidden="false" customHeight="false" outlineLevel="0" collapsed="false">
      <c r="A7151" s="69" t="n">
        <f aca="false">05_HISTORICO_EQUIPOS!A7156</f>
        <v>2</v>
      </c>
      <c r="B7151" s="69" t="str">
        <f aca="false">01_INPUTS!I15</f>
        <v>A</v>
      </c>
      <c r="C7151" s="69" t="str">
        <f aca="false">05_HISTORICO_EQUIPOS!C7156</f>
        <v>PLAN</v>
      </c>
      <c r="D7151" s="69" t="str">
        <f aca="false">05_HISTORICO_EQUIPOS!B7156</f>
        <v>CADIZ</v>
      </c>
      <c r="E7151" s="69" t="str">
        <f aca="false">05_HISTORICO_EQUIPOS!D7156</f>
        <v>EE.UU.</v>
      </c>
      <c r="F7151" s="69" t="str">
        <f aca="false">05_HISTORICO_EQUIPOS!E7156</f>
        <v>Eléctrico</v>
      </c>
      <c r="G7151" s="70" t="str">
        <f aca="false">05_HISTORICO_EQUIPOS!F7156</f>
        <v>Precio de venta</v>
      </c>
      <c r="H7151" s="67" t="n">
        <f aca="false">05_HISTORICO_EQUIPOS!G7156</f>
        <v>0</v>
      </c>
      <c r="I7151" s="69" t="str">
        <f aca="false">05_HISTORICO_EQUIPOS!H7156</f>
        <v>USD</v>
      </c>
      <c r="J7151" s="67" t="n">
        <f aca="false">05_HISTORICO_EQUIPOS!G7156</f>
        <v>0</v>
      </c>
      <c r="K7151" s="69" t="str">
        <f aca="false">05_HISTORICO_EQUIPOS!H7156</f>
        <v>USD</v>
      </c>
      <c r="L7151" s="71" t="b">
        <f aca="false">TRUE()</f>
        <v>1</v>
      </c>
    </row>
    <row r="7152" customFormat="false" ht="15" hidden="false" customHeight="false" outlineLevel="0" collapsed="false">
      <c r="A7152" s="69" t="n">
        <f aca="false">05_HISTORICO_EQUIPOS!A7157</f>
        <v>2</v>
      </c>
      <c r="B7152" s="69" t="str">
        <f aca="false">01_INPUTS!I15</f>
        <v>A</v>
      </c>
      <c r="C7152" s="69" t="str">
        <f aca="false">05_HISTORICO_EQUIPOS!C7157</f>
        <v>PLAN</v>
      </c>
      <c r="D7152" s="69" t="str">
        <f aca="false">05_HISTORICO_EQUIPOS!B7157</f>
        <v>CADIZ</v>
      </c>
      <c r="E7152" s="69" t="str">
        <f aca="false">05_HISTORICO_EQUIPOS!D7157</f>
        <v>EE.UU.</v>
      </c>
      <c r="F7152" s="69" t="str">
        <f aca="false">05_HISTORICO_EQUIPOS!E7157</f>
        <v>Eléctrico</v>
      </c>
      <c r="G7152" s="70" t="str">
        <f aca="false">05_HISTORICO_EQUIPOS!F7157</f>
        <v>Cuota de mercado objetivo CADIZ</v>
      </c>
      <c r="H7152" s="67" t="n">
        <f aca="false">05_HISTORICO_EQUIPOS!G7157</f>
        <v>0</v>
      </c>
      <c r="I7152" s="69" t="str">
        <f aca="false">05_HISTORICO_EQUIPOS!H7157</f>
        <v>ratio</v>
      </c>
      <c r="J7152" s="67" t="n">
        <f aca="false">05_HISTORICO_EQUIPOS!G7157</f>
        <v>0</v>
      </c>
      <c r="K7152" s="69" t="str">
        <f aca="false">05_HISTORICO_EQUIPOS!H7157</f>
        <v>ratio</v>
      </c>
      <c r="L7152" s="71" t="b">
        <f aca="false">TRUE()</f>
        <v>1</v>
      </c>
    </row>
    <row r="7153" customFormat="false" ht="15" hidden="false" customHeight="false" outlineLevel="0" collapsed="false">
      <c r="A7153" s="69" t="n">
        <f aca="false">05_HISTORICO_EQUIPOS!A7158</f>
        <v>2</v>
      </c>
      <c r="B7153" s="69" t="str">
        <f aca="false">01_INPUTS!I15</f>
        <v>A</v>
      </c>
      <c r="C7153" s="69" t="str">
        <f aca="false">05_HISTORICO_EQUIPOS!C7158</f>
        <v>PLAN</v>
      </c>
      <c r="D7153" s="69" t="str">
        <f aca="false">05_HISTORICO_EQUIPOS!B7158</f>
        <v>CADIZ</v>
      </c>
      <c r="E7153" s="69" t="str">
        <f aca="false">05_HISTORICO_EQUIPOS!D7158</f>
        <v>EE.UU.</v>
      </c>
      <c r="F7153" s="69" t="str">
        <f aca="false">05_HISTORICO_EQUIPOS!E7158</f>
        <v>Eléctrico</v>
      </c>
      <c r="G7153" s="70" t="str">
        <f aca="false">05_HISTORICO_EQUIPOS!F7158</f>
        <v>Presupuesto de promoción</v>
      </c>
      <c r="H7153" s="67" t="n">
        <f aca="false">05_HISTORICO_EQUIPOS!G7158</f>
        <v>0</v>
      </c>
      <c r="I7153" s="69" t="str">
        <f aca="false">05_HISTORICO_EQUIPOS!H7158</f>
        <v>USD</v>
      </c>
      <c r="J7153" s="67" t="n">
        <f aca="false">05_HISTORICO_EQUIPOS!G7158</f>
        <v>0</v>
      </c>
      <c r="K7153" s="69" t="str">
        <f aca="false">05_HISTORICO_EQUIPOS!H7158</f>
        <v>USD</v>
      </c>
      <c r="L7153" s="71" t="b">
        <f aca="false">TRUE()</f>
        <v>1</v>
      </c>
    </row>
    <row r="7154" customFormat="false" ht="15" hidden="false" customHeight="false" outlineLevel="0" collapsed="false">
      <c r="A7154" s="69" t="n">
        <f aca="false">05_HISTORICO_EQUIPOS!A7159</f>
        <v>2</v>
      </c>
      <c r="B7154" s="69" t="str">
        <f aca="false">01_INPUTS!I15</f>
        <v>A</v>
      </c>
      <c r="C7154" s="69" t="str">
        <f aca="false">05_HISTORICO_EQUIPOS!C7159</f>
        <v>PLAN</v>
      </c>
      <c r="D7154" s="69" t="str">
        <f aca="false">05_HISTORICO_EQUIPOS!B7159</f>
        <v>CADIZ</v>
      </c>
      <c r="E7154" s="69" t="str">
        <f aca="false">05_HISTORICO_EQUIPOS!D7159</f>
        <v>EE.UU.</v>
      </c>
      <c r="F7154" s="69" t="str">
        <f aca="false">05_HISTORICO_EQUIPOS!E7159</f>
        <v>Eléctrico</v>
      </c>
      <c r="G7154" s="70" t="str">
        <f aca="false">05_HISTORICO_EQUIPOS!F7159</f>
        <v>Ventas efectivas (mercado)</v>
      </c>
      <c r="H7154" s="67" t="n">
        <f aca="false">05_HISTORICO_EQUIPOS!G7159</f>
        <v>0</v>
      </c>
      <c r="I7154" s="12" t="s">
        <v>895</v>
      </c>
      <c r="J7154" s="67" t="n">
        <f aca="false">05_HISTORICO_EQUIPOS!G7159</f>
        <v>0</v>
      </c>
      <c r="K7154" s="69" t="str">
        <f aca="false">05_HISTORICO_EQUIPOS!H7159</f>
        <v>u.</v>
      </c>
      <c r="L7154" s="71" t="b">
        <f aca="false">TRUE()</f>
        <v>1</v>
      </c>
    </row>
    <row r="7155" customFormat="false" ht="15" hidden="false" customHeight="false" outlineLevel="0" collapsed="false">
      <c r="A7155" s="69" t="n">
        <f aca="false">05_HISTORICO_EQUIPOS!A7160</f>
        <v>2</v>
      </c>
      <c r="B7155" s="69" t="str">
        <f aca="false">01_INPUTS!I15</f>
        <v>A</v>
      </c>
      <c r="C7155" s="69" t="str">
        <f aca="false">05_HISTORICO_EQUIPOS!C7160</f>
        <v>PLAN</v>
      </c>
      <c r="D7155" s="69" t="str">
        <f aca="false">05_HISTORICO_EQUIPOS!B7160</f>
        <v>CADIZ</v>
      </c>
      <c r="E7155" s="69" t="str">
        <f aca="false">05_HISTORICO_EQUIPOS!D7160</f>
        <v>EE.UU.</v>
      </c>
      <c r="F7155" s="69" t="str">
        <f aca="false">05_HISTORICO_EQUIPOS!E7160</f>
        <v>Hidrógeno</v>
      </c>
      <c r="G7155" s="70" t="str">
        <f aca="false">05_HISTORICO_EQUIPOS!F7160</f>
        <v>Precio de venta</v>
      </c>
      <c r="H7155" s="67" t="n">
        <f aca="false">05_HISTORICO_EQUIPOS!G7160</f>
        <v>0</v>
      </c>
      <c r="I7155" s="69" t="str">
        <f aca="false">05_HISTORICO_EQUIPOS!H7160</f>
        <v>USD</v>
      </c>
      <c r="J7155" s="67" t="n">
        <f aca="false">05_HISTORICO_EQUIPOS!G7160</f>
        <v>0</v>
      </c>
      <c r="K7155" s="69" t="str">
        <f aca="false">05_HISTORICO_EQUIPOS!H7160</f>
        <v>USD</v>
      </c>
      <c r="L7155" s="71" t="b">
        <f aca="false">TRUE()</f>
        <v>1</v>
      </c>
    </row>
    <row r="7156" customFormat="false" ht="15" hidden="false" customHeight="false" outlineLevel="0" collapsed="false">
      <c r="A7156" s="69" t="n">
        <f aca="false">05_HISTORICO_EQUIPOS!A7161</f>
        <v>2</v>
      </c>
      <c r="B7156" s="69" t="str">
        <f aca="false">01_INPUTS!I15</f>
        <v>A</v>
      </c>
      <c r="C7156" s="69" t="str">
        <f aca="false">05_HISTORICO_EQUIPOS!C7161</f>
        <v>PLAN</v>
      </c>
      <c r="D7156" s="69" t="str">
        <f aca="false">05_HISTORICO_EQUIPOS!B7161</f>
        <v>CADIZ</v>
      </c>
      <c r="E7156" s="69" t="str">
        <f aca="false">05_HISTORICO_EQUIPOS!D7161</f>
        <v>EE.UU.</v>
      </c>
      <c r="F7156" s="69" t="str">
        <f aca="false">05_HISTORICO_EQUIPOS!E7161</f>
        <v>Hidrógeno</v>
      </c>
      <c r="G7156" s="70" t="str">
        <f aca="false">05_HISTORICO_EQUIPOS!F7161</f>
        <v>Cuota de mercado objetivo CADIZ</v>
      </c>
      <c r="H7156" s="67" t="n">
        <f aca="false">05_HISTORICO_EQUIPOS!G7161</f>
        <v>0</v>
      </c>
      <c r="I7156" s="69" t="str">
        <f aca="false">05_HISTORICO_EQUIPOS!H7161</f>
        <v>ratio</v>
      </c>
      <c r="J7156" s="67" t="n">
        <f aca="false">05_HISTORICO_EQUIPOS!G7161</f>
        <v>0</v>
      </c>
      <c r="K7156" s="69" t="str">
        <f aca="false">05_HISTORICO_EQUIPOS!H7161</f>
        <v>ratio</v>
      </c>
      <c r="L7156" s="71" t="b">
        <f aca="false">TRUE()</f>
        <v>1</v>
      </c>
    </row>
    <row r="7157" customFormat="false" ht="15" hidden="false" customHeight="false" outlineLevel="0" collapsed="false">
      <c r="A7157" s="69" t="n">
        <f aca="false">05_HISTORICO_EQUIPOS!A7162</f>
        <v>2</v>
      </c>
      <c r="B7157" s="69" t="str">
        <f aca="false">01_INPUTS!I15</f>
        <v>A</v>
      </c>
      <c r="C7157" s="69" t="str">
        <f aca="false">05_HISTORICO_EQUIPOS!C7162</f>
        <v>PLAN</v>
      </c>
      <c r="D7157" s="69" t="str">
        <f aca="false">05_HISTORICO_EQUIPOS!B7162</f>
        <v>CADIZ</v>
      </c>
      <c r="E7157" s="69" t="str">
        <f aca="false">05_HISTORICO_EQUIPOS!D7162</f>
        <v>EE.UU.</v>
      </c>
      <c r="F7157" s="69" t="str">
        <f aca="false">05_HISTORICO_EQUIPOS!E7162</f>
        <v>Hidrógeno</v>
      </c>
      <c r="G7157" s="70" t="str">
        <f aca="false">05_HISTORICO_EQUIPOS!F7162</f>
        <v>Presupuesto de promoción</v>
      </c>
      <c r="H7157" s="67" t="n">
        <f aca="false">05_HISTORICO_EQUIPOS!G7162</f>
        <v>0</v>
      </c>
      <c r="I7157" s="69" t="str">
        <f aca="false">05_HISTORICO_EQUIPOS!H7162</f>
        <v>USD</v>
      </c>
      <c r="J7157" s="67" t="n">
        <f aca="false">05_HISTORICO_EQUIPOS!G7162</f>
        <v>0</v>
      </c>
      <c r="K7157" s="69" t="str">
        <f aca="false">05_HISTORICO_EQUIPOS!H7162</f>
        <v>USD</v>
      </c>
      <c r="L7157" s="71" t="b">
        <f aca="false">TRUE()</f>
        <v>1</v>
      </c>
    </row>
    <row r="7158" customFormat="false" ht="15" hidden="false" customHeight="false" outlineLevel="0" collapsed="false">
      <c r="A7158" s="69" t="n">
        <f aca="false">05_HISTORICO_EQUIPOS!A7163</f>
        <v>2</v>
      </c>
      <c r="B7158" s="69" t="str">
        <f aca="false">01_INPUTS!I15</f>
        <v>A</v>
      </c>
      <c r="C7158" s="69" t="str">
        <f aca="false">05_HISTORICO_EQUIPOS!C7163</f>
        <v>PLAN</v>
      </c>
      <c r="D7158" s="69" t="str">
        <f aca="false">05_HISTORICO_EQUIPOS!B7163</f>
        <v>CADIZ</v>
      </c>
      <c r="E7158" s="69" t="str">
        <f aca="false">05_HISTORICO_EQUIPOS!D7163</f>
        <v>EE.UU.</v>
      </c>
      <c r="F7158" s="69" t="str">
        <f aca="false">05_HISTORICO_EQUIPOS!E7163</f>
        <v>Hidrógeno</v>
      </c>
      <c r="G7158" s="70" t="str">
        <f aca="false">05_HISTORICO_EQUIPOS!F7163</f>
        <v>Ventas efectivas (mercado)</v>
      </c>
      <c r="H7158" s="67" t="n">
        <f aca="false">05_HISTORICO_EQUIPOS!G7163</f>
        <v>0</v>
      </c>
      <c r="I7158" s="12" t="s">
        <v>895</v>
      </c>
      <c r="J7158" s="67" t="n">
        <f aca="false">05_HISTORICO_EQUIPOS!G7163</f>
        <v>0</v>
      </c>
      <c r="K7158" s="69" t="str">
        <f aca="false">05_HISTORICO_EQUIPOS!H7163</f>
        <v>u.</v>
      </c>
      <c r="L7158" s="71" t="b">
        <f aca="false">TRUE()</f>
        <v>1</v>
      </c>
    </row>
    <row r="7159" customFormat="false" ht="15" hidden="false" customHeight="false" outlineLevel="0" collapsed="false">
      <c r="A7159" s="69" t="n">
        <f aca="false">05_HISTORICO_EQUIPOS!A7164</f>
        <v>2</v>
      </c>
      <c r="B7159" s="69" t="str">
        <f aca="false">01_INPUTS!I15</f>
        <v>A</v>
      </c>
      <c r="C7159" s="69" t="str">
        <f aca="false">05_HISTORICO_EQUIPOS!C7164</f>
        <v>PLAN</v>
      </c>
      <c r="D7159" s="69" t="str">
        <f aca="false">05_HISTORICO_EQUIPOS!B7164</f>
        <v>CADIZ</v>
      </c>
      <c r="E7159" s="69" t="str">
        <f aca="false">05_HISTORICO_EQUIPOS!D7164</f>
        <v>China</v>
      </c>
      <c r="F7159" s="69" t="str">
        <f aca="false">05_HISTORICO_EQUIPOS!E7164</f>
        <v>Combustión</v>
      </c>
      <c r="G7159" s="70" t="str">
        <f aca="false">05_HISTORICO_EQUIPOS!F7164</f>
        <v>Precio de venta</v>
      </c>
      <c r="H7159" s="67" t="n">
        <f aca="false">05_HISTORICO_EQUIPOS!G7164</f>
        <v>140000</v>
      </c>
      <c r="I7159" s="69" t="str">
        <f aca="false">05_HISTORICO_EQUIPOS!H7164</f>
        <v>RMB</v>
      </c>
      <c r="J7159" s="67" t="n">
        <f aca="false">05_HISTORICO_EQUIPOS!G7164</f>
        <v>140000</v>
      </c>
      <c r="K7159" s="69" t="str">
        <f aca="false">05_HISTORICO_EQUIPOS!H7164</f>
        <v>RMB</v>
      </c>
      <c r="L7159" s="71" t="b">
        <f aca="false">TRUE()</f>
        <v>1</v>
      </c>
    </row>
    <row r="7160" customFormat="false" ht="15" hidden="false" customHeight="false" outlineLevel="0" collapsed="false">
      <c r="A7160" s="69" t="n">
        <f aca="false">05_HISTORICO_EQUIPOS!A7165</f>
        <v>2</v>
      </c>
      <c r="B7160" s="69" t="str">
        <f aca="false">01_INPUTS!I15</f>
        <v>A</v>
      </c>
      <c r="C7160" s="69" t="str">
        <f aca="false">05_HISTORICO_EQUIPOS!C7165</f>
        <v>PLAN</v>
      </c>
      <c r="D7160" s="69" t="str">
        <f aca="false">05_HISTORICO_EQUIPOS!B7165</f>
        <v>CADIZ</v>
      </c>
      <c r="E7160" s="69" t="str">
        <f aca="false">05_HISTORICO_EQUIPOS!D7165</f>
        <v>China</v>
      </c>
      <c r="F7160" s="69" t="str">
        <f aca="false">05_HISTORICO_EQUIPOS!E7165</f>
        <v>Combustión</v>
      </c>
      <c r="G7160" s="70" t="str">
        <f aca="false">05_HISTORICO_EQUIPOS!F7165</f>
        <v>Cuota de mercado objetivo CADIZ</v>
      </c>
      <c r="H7160" s="67" t="n">
        <f aca="false">05_HISTORICO_EQUIPOS!G7165</f>
        <v>0.162000327297</v>
      </c>
      <c r="I7160" s="69" t="str">
        <f aca="false">05_HISTORICO_EQUIPOS!H7165</f>
        <v>ratio</v>
      </c>
      <c r="J7160" s="67" t="n">
        <f aca="false">05_HISTORICO_EQUIPOS!G7165</f>
        <v>0.162000327297</v>
      </c>
      <c r="K7160" s="69" t="str">
        <f aca="false">05_HISTORICO_EQUIPOS!H7165</f>
        <v>ratio</v>
      </c>
      <c r="L7160" s="71" t="b">
        <f aca="false">TRUE()</f>
        <v>1</v>
      </c>
    </row>
    <row r="7161" customFormat="false" ht="15" hidden="false" customHeight="false" outlineLevel="0" collapsed="false">
      <c r="A7161" s="69" t="n">
        <f aca="false">05_HISTORICO_EQUIPOS!A7166</f>
        <v>2</v>
      </c>
      <c r="B7161" s="69" t="str">
        <f aca="false">01_INPUTS!I15</f>
        <v>A</v>
      </c>
      <c r="C7161" s="69" t="str">
        <f aca="false">05_HISTORICO_EQUIPOS!C7166</f>
        <v>PLAN</v>
      </c>
      <c r="D7161" s="69" t="str">
        <f aca="false">05_HISTORICO_EQUIPOS!B7166</f>
        <v>CADIZ</v>
      </c>
      <c r="E7161" s="69" t="str">
        <f aca="false">05_HISTORICO_EQUIPOS!D7166</f>
        <v>China</v>
      </c>
      <c r="F7161" s="69" t="str">
        <f aca="false">05_HISTORICO_EQUIPOS!E7166</f>
        <v>Combustión</v>
      </c>
      <c r="G7161" s="70" t="str">
        <f aca="false">05_HISTORICO_EQUIPOS!F7166</f>
        <v>Presupuesto de promoción</v>
      </c>
      <c r="H7161" s="67" t="n">
        <f aca="false">05_HISTORICO_EQUIPOS!G7166</f>
        <v>500000000</v>
      </c>
      <c r="I7161" s="69" t="str">
        <f aca="false">05_HISTORICO_EQUIPOS!H7166</f>
        <v>USD</v>
      </c>
      <c r="J7161" s="67" t="n">
        <f aca="false">05_HISTORICO_EQUIPOS!G7166</f>
        <v>500000000</v>
      </c>
      <c r="K7161" s="69" t="str">
        <f aca="false">05_HISTORICO_EQUIPOS!H7166</f>
        <v>USD</v>
      </c>
      <c r="L7161" s="71" t="b">
        <f aca="false">TRUE()</f>
        <v>1</v>
      </c>
    </row>
    <row r="7162" customFormat="false" ht="15" hidden="false" customHeight="false" outlineLevel="0" collapsed="false">
      <c r="A7162" s="69" t="n">
        <f aca="false">05_HISTORICO_EQUIPOS!A7167</f>
        <v>2</v>
      </c>
      <c r="B7162" s="69" t="str">
        <f aca="false">01_INPUTS!I15</f>
        <v>A</v>
      </c>
      <c r="C7162" s="69" t="str">
        <f aca="false">05_HISTORICO_EQUIPOS!C7167</f>
        <v>PLAN</v>
      </c>
      <c r="D7162" s="69" t="str">
        <f aca="false">05_HISTORICO_EQUIPOS!B7167</f>
        <v>CADIZ</v>
      </c>
      <c r="E7162" s="69" t="str">
        <f aca="false">05_HISTORICO_EQUIPOS!D7167</f>
        <v>China</v>
      </c>
      <c r="F7162" s="69" t="str">
        <f aca="false">05_HISTORICO_EQUIPOS!E7167</f>
        <v>Combustión</v>
      </c>
      <c r="G7162" s="70" t="str">
        <f aca="false">05_HISTORICO_EQUIPOS!F7167</f>
        <v>Ventas efectivas (mercado)</v>
      </c>
      <c r="H7162" s="67" t="n">
        <f aca="false">05_HISTORICO_EQUIPOS!G7167</f>
        <v>669333.512286469</v>
      </c>
      <c r="I7162" s="12" t="s">
        <v>895</v>
      </c>
      <c r="J7162" s="67" t="n">
        <f aca="false">05_HISTORICO_EQUIPOS!G7167</f>
        <v>669333.512286469</v>
      </c>
      <c r="K7162" s="69" t="str">
        <f aca="false">05_HISTORICO_EQUIPOS!H7167</f>
        <v>u.</v>
      </c>
      <c r="L7162" s="71" t="b">
        <f aca="false">TRUE()</f>
        <v>1</v>
      </c>
    </row>
    <row r="7163" customFormat="false" ht="15" hidden="false" customHeight="false" outlineLevel="0" collapsed="false">
      <c r="A7163" s="69" t="n">
        <f aca="false">05_HISTORICO_EQUIPOS!A7168</f>
        <v>2</v>
      </c>
      <c r="B7163" s="69" t="str">
        <f aca="false">01_INPUTS!I15</f>
        <v>A</v>
      </c>
      <c r="C7163" s="69" t="str">
        <f aca="false">05_HISTORICO_EQUIPOS!C7168</f>
        <v>PLAN</v>
      </c>
      <c r="D7163" s="69" t="str">
        <f aca="false">05_HISTORICO_EQUIPOS!B7168</f>
        <v>CADIZ</v>
      </c>
      <c r="E7163" s="69" t="str">
        <f aca="false">05_HISTORICO_EQUIPOS!D7168</f>
        <v>China</v>
      </c>
      <c r="F7163" s="69" t="str">
        <f aca="false">05_HISTORICO_EQUIPOS!E7168</f>
        <v>Híbrido</v>
      </c>
      <c r="G7163" s="70" t="str">
        <f aca="false">05_HISTORICO_EQUIPOS!F7168</f>
        <v>Precio de venta</v>
      </c>
      <c r="H7163" s="67" t="n">
        <f aca="false">05_HISTORICO_EQUIPOS!G7168</f>
        <v>175000</v>
      </c>
      <c r="I7163" s="69" t="str">
        <f aca="false">05_HISTORICO_EQUIPOS!H7168</f>
        <v>RMB</v>
      </c>
      <c r="J7163" s="67" t="n">
        <f aca="false">05_HISTORICO_EQUIPOS!G7168</f>
        <v>175000</v>
      </c>
      <c r="K7163" s="69" t="str">
        <f aca="false">05_HISTORICO_EQUIPOS!H7168</f>
        <v>RMB</v>
      </c>
      <c r="L7163" s="71" t="b">
        <f aca="false">TRUE()</f>
        <v>1</v>
      </c>
    </row>
    <row r="7164" customFormat="false" ht="15" hidden="false" customHeight="false" outlineLevel="0" collapsed="false">
      <c r="A7164" s="69" t="n">
        <f aca="false">05_HISTORICO_EQUIPOS!A7169</f>
        <v>2</v>
      </c>
      <c r="B7164" s="69" t="str">
        <f aca="false">01_INPUTS!I15</f>
        <v>A</v>
      </c>
      <c r="C7164" s="69" t="str">
        <f aca="false">05_HISTORICO_EQUIPOS!C7169</f>
        <v>PLAN</v>
      </c>
      <c r="D7164" s="69" t="str">
        <f aca="false">05_HISTORICO_EQUIPOS!B7169</f>
        <v>CADIZ</v>
      </c>
      <c r="E7164" s="69" t="str">
        <f aca="false">05_HISTORICO_EQUIPOS!D7169</f>
        <v>China</v>
      </c>
      <c r="F7164" s="69" t="str">
        <f aca="false">05_HISTORICO_EQUIPOS!E7169</f>
        <v>Híbrido</v>
      </c>
      <c r="G7164" s="70" t="str">
        <f aca="false">05_HISTORICO_EQUIPOS!F7169</f>
        <v>Cuota de mercado objetivo CADIZ</v>
      </c>
      <c r="H7164" s="67" t="n">
        <f aca="false">05_HISTORICO_EQUIPOS!G7169</f>
        <v>0.055999817814</v>
      </c>
      <c r="I7164" s="69" t="str">
        <f aca="false">05_HISTORICO_EQUIPOS!H7169</f>
        <v>ratio</v>
      </c>
      <c r="J7164" s="67" t="n">
        <f aca="false">05_HISTORICO_EQUIPOS!G7169</f>
        <v>0.055999817814</v>
      </c>
      <c r="K7164" s="69" t="str">
        <f aca="false">05_HISTORICO_EQUIPOS!H7169</f>
        <v>ratio</v>
      </c>
      <c r="L7164" s="71" t="b">
        <f aca="false">TRUE()</f>
        <v>1</v>
      </c>
    </row>
    <row r="7165" customFormat="false" ht="15" hidden="false" customHeight="false" outlineLevel="0" collapsed="false">
      <c r="A7165" s="69" t="n">
        <f aca="false">05_HISTORICO_EQUIPOS!A7170</f>
        <v>2</v>
      </c>
      <c r="B7165" s="69" t="str">
        <f aca="false">01_INPUTS!I15</f>
        <v>A</v>
      </c>
      <c r="C7165" s="69" t="str">
        <f aca="false">05_HISTORICO_EQUIPOS!C7170</f>
        <v>PLAN</v>
      </c>
      <c r="D7165" s="69" t="str">
        <f aca="false">05_HISTORICO_EQUIPOS!B7170</f>
        <v>CADIZ</v>
      </c>
      <c r="E7165" s="69" t="str">
        <f aca="false">05_HISTORICO_EQUIPOS!D7170</f>
        <v>China</v>
      </c>
      <c r="F7165" s="69" t="str">
        <f aca="false">05_HISTORICO_EQUIPOS!E7170</f>
        <v>Híbrido</v>
      </c>
      <c r="G7165" s="70" t="str">
        <f aca="false">05_HISTORICO_EQUIPOS!F7170</f>
        <v>Presupuesto de promoción</v>
      </c>
      <c r="H7165" s="67" t="n">
        <f aca="false">05_HISTORICO_EQUIPOS!G7170</f>
        <v>400000000</v>
      </c>
      <c r="I7165" s="69" t="str">
        <f aca="false">05_HISTORICO_EQUIPOS!H7170</f>
        <v>USD</v>
      </c>
      <c r="J7165" s="67" t="n">
        <f aca="false">05_HISTORICO_EQUIPOS!G7170</f>
        <v>400000000</v>
      </c>
      <c r="K7165" s="69" t="str">
        <f aca="false">05_HISTORICO_EQUIPOS!H7170</f>
        <v>USD</v>
      </c>
      <c r="L7165" s="71" t="b">
        <f aca="false">TRUE()</f>
        <v>1</v>
      </c>
    </row>
    <row r="7166" customFormat="false" ht="15" hidden="false" customHeight="false" outlineLevel="0" collapsed="false">
      <c r="A7166" s="69" t="n">
        <f aca="false">05_HISTORICO_EQUIPOS!A7171</f>
        <v>2</v>
      </c>
      <c r="B7166" s="69" t="str">
        <f aca="false">01_INPUTS!I15</f>
        <v>A</v>
      </c>
      <c r="C7166" s="69" t="str">
        <f aca="false">05_HISTORICO_EQUIPOS!C7171</f>
        <v>PLAN</v>
      </c>
      <c r="D7166" s="69" t="str">
        <f aca="false">05_HISTORICO_EQUIPOS!B7171</f>
        <v>CADIZ</v>
      </c>
      <c r="E7166" s="69" t="str">
        <f aca="false">05_HISTORICO_EQUIPOS!D7171</f>
        <v>China</v>
      </c>
      <c r="F7166" s="69" t="str">
        <f aca="false">05_HISTORICO_EQUIPOS!E7171</f>
        <v>Híbrido</v>
      </c>
      <c r="G7166" s="70" t="str">
        <f aca="false">05_HISTORICO_EQUIPOS!F7171</f>
        <v>Ventas efectivas (mercado)</v>
      </c>
      <c r="H7166" s="67" t="n">
        <f aca="false">05_HISTORICO_EQUIPOS!G7171</f>
        <v>231373.327265748</v>
      </c>
      <c r="I7166" s="12" t="s">
        <v>895</v>
      </c>
      <c r="J7166" s="67" t="n">
        <f aca="false">05_HISTORICO_EQUIPOS!G7171</f>
        <v>231373.327265748</v>
      </c>
      <c r="K7166" s="69" t="str">
        <f aca="false">05_HISTORICO_EQUIPOS!H7171</f>
        <v>u.</v>
      </c>
      <c r="L7166" s="71" t="b">
        <f aca="false">TRUE()</f>
        <v>1</v>
      </c>
    </row>
    <row r="7167" customFormat="false" ht="15" hidden="false" customHeight="false" outlineLevel="0" collapsed="false">
      <c r="A7167" s="69" t="n">
        <f aca="false">05_HISTORICO_EQUIPOS!A7172</f>
        <v>2</v>
      </c>
      <c r="B7167" s="69" t="str">
        <f aca="false">01_INPUTS!I15</f>
        <v>A</v>
      </c>
      <c r="C7167" s="69" t="str">
        <f aca="false">05_HISTORICO_EQUIPOS!C7172</f>
        <v>PLAN</v>
      </c>
      <c r="D7167" s="69" t="str">
        <f aca="false">05_HISTORICO_EQUIPOS!B7172</f>
        <v>CADIZ</v>
      </c>
      <c r="E7167" s="69" t="str">
        <f aca="false">05_HISTORICO_EQUIPOS!D7172</f>
        <v>China</v>
      </c>
      <c r="F7167" s="69" t="str">
        <f aca="false">05_HISTORICO_EQUIPOS!E7172</f>
        <v>Eléctrico</v>
      </c>
      <c r="G7167" s="70" t="str">
        <f aca="false">05_HISTORICO_EQUIPOS!F7172</f>
        <v>Precio de venta</v>
      </c>
      <c r="H7167" s="67" t="n">
        <f aca="false">05_HISTORICO_EQUIPOS!G7172</f>
        <v>0</v>
      </c>
      <c r="I7167" s="69" t="str">
        <f aca="false">05_HISTORICO_EQUIPOS!H7172</f>
        <v>RMB</v>
      </c>
      <c r="J7167" s="67" t="n">
        <f aca="false">05_HISTORICO_EQUIPOS!G7172</f>
        <v>0</v>
      </c>
      <c r="K7167" s="69" t="str">
        <f aca="false">05_HISTORICO_EQUIPOS!H7172</f>
        <v>RMB</v>
      </c>
      <c r="L7167" s="71" t="b">
        <f aca="false">TRUE()</f>
        <v>1</v>
      </c>
    </row>
    <row r="7168" customFormat="false" ht="15" hidden="false" customHeight="false" outlineLevel="0" collapsed="false">
      <c r="A7168" s="69" t="n">
        <f aca="false">05_HISTORICO_EQUIPOS!A7173</f>
        <v>2</v>
      </c>
      <c r="B7168" s="69" t="str">
        <f aca="false">01_INPUTS!I15</f>
        <v>A</v>
      </c>
      <c r="C7168" s="69" t="str">
        <f aca="false">05_HISTORICO_EQUIPOS!C7173</f>
        <v>PLAN</v>
      </c>
      <c r="D7168" s="69" t="str">
        <f aca="false">05_HISTORICO_EQUIPOS!B7173</f>
        <v>CADIZ</v>
      </c>
      <c r="E7168" s="69" t="str">
        <f aca="false">05_HISTORICO_EQUIPOS!D7173</f>
        <v>China</v>
      </c>
      <c r="F7168" s="69" t="str">
        <f aca="false">05_HISTORICO_EQUIPOS!E7173</f>
        <v>Eléctrico</v>
      </c>
      <c r="G7168" s="70" t="str">
        <f aca="false">05_HISTORICO_EQUIPOS!F7173</f>
        <v>Cuota de mercado objetivo CADIZ</v>
      </c>
      <c r="H7168" s="67" t="n">
        <f aca="false">05_HISTORICO_EQUIPOS!G7173</f>
        <v>0</v>
      </c>
      <c r="I7168" s="69" t="str">
        <f aca="false">05_HISTORICO_EQUIPOS!H7173</f>
        <v>ratio</v>
      </c>
      <c r="J7168" s="67" t="n">
        <f aca="false">05_HISTORICO_EQUIPOS!G7173</f>
        <v>0</v>
      </c>
      <c r="K7168" s="69" t="str">
        <f aca="false">05_HISTORICO_EQUIPOS!H7173</f>
        <v>ratio</v>
      </c>
      <c r="L7168" s="71" t="b">
        <f aca="false">TRUE()</f>
        <v>1</v>
      </c>
    </row>
    <row r="7169" customFormat="false" ht="15" hidden="false" customHeight="false" outlineLevel="0" collapsed="false">
      <c r="A7169" s="69" t="n">
        <f aca="false">05_HISTORICO_EQUIPOS!A7174</f>
        <v>2</v>
      </c>
      <c r="B7169" s="69" t="str">
        <f aca="false">01_INPUTS!I15</f>
        <v>A</v>
      </c>
      <c r="C7169" s="69" t="str">
        <f aca="false">05_HISTORICO_EQUIPOS!C7174</f>
        <v>PLAN</v>
      </c>
      <c r="D7169" s="69" t="str">
        <f aca="false">05_HISTORICO_EQUIPOS!B7174</f>
        <v>CADIZ</v>
      </c>
      <c r="E7169" s="69" t="str">
        <f aca="false">05_HISTORICO_EQUIPOS!D7174</f>
        <v>China</v>
      </c>
      <c r="F7169" s="69" t="str">
        <f aca="false">05_HISTORICO_EQUIPOS!E7174</f>
        <v>Eléctrico</v>
      </c>
      <c r="G7169" s="70" t="str">
        <f aca="false">05_HISTORICO_EQUIPOS!F7174</f>
        <v>Presupuesto de promoción</v>
      </c>
      <c r="H7169" s="67" t="n">
        <f aca="false">05_HISTORICO_EQUIPOS!G7174</f>
        <v>0</v>
      </c>
      <c r="I7169" s="69" t="str">
        <f aca="false">05_HISTORICO_EQUIPOS!H7174</f>
        <v>USD</v>
      </c>
      <c r="J7169" s="67" t="n">
        <f aca="false">05_HISTORICO_EQUIPOS!G7174</f>
        <v>0</v>
      </c>
      <c r="K7169" s="69" t="str">
        <f aca="false">05_HISTORICO_EQUIPOS!H7174</f>
        <v>USD</v>
      </c>
      <c r="L7169" s="71" t="b">
        <f aca="false">TRUE()</f>
        <v>1</v>
      </c>
    </row>
    <row r="7170" customFormat="false" ht="15" hidden="false" customHeight="false" outlineLevel="0" collapsed="false">
      <c r="A7170" s="69" t="n">
        <f aca="false">05_HISTORICO_EQUIPOS!A7175</f>
        <v>2</v>
      </c>
      <c r="B7170" s="69" t="str">
        <f aca="false">01_INPUTS!I15</f>
        <v>A</v>
      </c>
      <c r="C7170" s="69" t="str">
        <f aca="false">05_HISTORICO_EQUIPOS!C7175</f>
        <v>PLAN</v>
      </c>
      <c r="D7170" s="69" t="str">
        <f aca="false">05_HISTORICO_EQUIPOS!B7175</f>
        <v>CADIZ</v>
      </c>
      <c r="E7170" s="69" t="str">
        <f aca="false">05_HISTORICO_EQUIPOS!D7175</f>
        <v>China</v>
      </c>
      <c r="F7170" s="69" t="str">
        <f aca="false">05_HISTORICO_EQUIPOS!E7175</f>
        <v>Eléctrico</v>
      </c>
      <c r="G7170" s="70" t="str">
        <f aca="false">05_HISTORICO_EQUIPOS!F7175</f>
        <v>Ventas efectivas (mercado)</v>
      </c>
      <c r="H7170" s="67" t="n">
        <f aca="false">05_HISTORICO_EQUIPOS!G7175</f>
        <v>0</v>
      </c>
      <c r="I7170" s="12" t="s">
        <v>895</v>
      </c>
      <c r="J7170" s="67" t="n">
        <f aca="false">05_HISTORICO_EQUIPOS!G7175</f>
        <v>0</v>
      </c>
      <c r="K7170" s="69" t="str">
        <f aca="false">05_HISTORICO_EQUIPOS!H7175</f>
        <v>u.</v>
      </c>
      <c r="L7170" s="71" t="b">
        <f aca="false">TRUE()</f>
        <v>1</v>
      </c>
    </row>
    <row r="7171" customFormat="false" ht="15" hidden="false" customHeight="false" outlineLevel="0" collapsed="false">
      <c r="A7171" s="69" t="n">
        <f aca="false">05_HISTORICO_EQUIPOS!A7176</f>
        <v>2</v>
      </c>
      <c r="B7171" s="69" t="str">
        <f aca="false">01_INPUTS!I15</f>
        <v>A</v>
      </c>
      <c r="C7171" s="69" t="str">
        <f aca="false">05_HISTORICO_EQUIPOS!C7176</f>
        <v>PLAN</v>
      </c>
      <c r="D7171" s="69" t="str">
        <f aca="false">05_HISTORICO_EQUIPOS!B7176</f>
        <v>CADIZ</v>
      </c>
      <c r="E7171" s="69" t="str">
        <f aca="false">05_HISTORICO_EQUIPOS!D7176</f>
        <v>China</v>
      </c>
      <c r="F7171" s="69" t="str">
        <f aca="false">05_HISTORICO_EQUIPOS!E7176</f>
        <v>Hidrógeno</v>
      </c>
      <c r="G7171" s="70" t="str">
        <f aca="false">05_HISTORICO_EQUIPOS!F7176</f>
        <v>Precio de venta</v>
      </c>
      <c r="H7171" s="67" t="n">
        <f aca="false">05_HISTORICO_EQUIPOS!G7176</f>
        <v>0</v>
      </c>
      <c r="I7171" s="69" t="str">
        <f aca="false">05_HISTORICO_EQUIPOS!H7176</f>
        <v>RMB</v>
      </c>
      <c r="J7171" s="67" t="n">
        <f aca="false">05_HISTORICO_EQUIPOS!G7176</f>
        <v>0</v>
      </c>
      <c r="K7171" s="69" t="str">
        <f aca="false">05_HISTORICO_EQUIPOS!H7176</f>
        <v>RMB</v>
      </c>
      <c r="L7171" s="71" t="b">
        <f aca="false">TRUE()</f>
        <v>1</v>
      </c>
    </row>
    <row r="7172" customFormat="false" ht="15" hidden="false" customHeight="false" outlineLevel="0" collapsed="false">
      <c r="A7172" s="69" t="n">
        <f aca="false">05_HISTORICO_EQUIPOS!A7177</f>
        <v>2</v>
      </c>
      <c r="B7172" s="69" t="str">
        <f aca="false">01_INPUTS!I15</f>
        <v>A</v>
      </c>
      <c r="C7172" s="69" t="str">
        <f aca="false">05_HISTORICO_EQUIPOS!C7177</f>
        <v>PLAN</v>
      </c>
      <c r="D7172" s="69" t="str">
        <f aca="false">05_HISTORICO_EQUIPOS!B7177</f>
        <v>CADIZ</v>
      </c>
      <c r="E7172" s="69" t="str">
        <f aca="false">05_HISTORICO_EQUIPOS!D7177</f>
        <v>China</v>
      </c>
      <c r="F7172" s="69" t="str">
        <f aca="false">05_HISTORICO_EQUIPOS!E7177</f>
        <v>Hidrógeno</v>
      </c>
      <c r="G7172" s="70" t="str">
        <f aca="false">05_HISTORICO_EQUIPOS!F7177</f>
        <v>Cuota de mercado objetivo CADIZ</v>
      </c>
      <c r="H7172" s="67" t="n">
        <f aca="false">05_HISTORICO_EQUIPOS!G7177</f>
        <v>0</v>
      </c>
      <c r="I7172" s="69" t="str">
        <f aca="false">05_HISTORICO_EQUIPOS!H7177</f>
        <v>ratio</v>
      </c>
      <c r="J7172" s="67" t="n">
        <f aca="false">05_HISTORICO_EQUIPOS!G7177</f>
        <v>0</v>
      </c>
      <c r="K7172" s="69" t="str">
        <f aca="false">05_HISTORICO_EQUIPOS!H7177</f>
        <v>ratio</v>
      </c>
      <c r="L7172" s="71" t="b">
        <f aca="false">TRUE()</f>
        <v>1</v>
      </c>
    </row>
    <row r="7173" customFormat="false" ht="15" hidden="false" customHeight="false" outlineLevel="0" collapsed="false">
      <c r="A7173" s="69" t="n">
        <f aca="false">05_HISTORICO_EQUIPOS!A7178</f>
        <v>2</v>
      </c>
      <c r="B7173" s="69" t="str">
        <f aca="false">01_INPUTS!I15</f>
        <v>A</v>
      </c>
      <c r="C7173" s="69" t="str">
        <f aca="false">05_HISTORICO_EQUIPOS!C7178</f>
        <v>PLAN</v>
      </c>
      <c r="D7173" s="69" t="str">
        <f aca="false">05_HISTORICO_EQUIPOS!B7178</f>
        <v>CADIZ</v>
      </c>
      <c r="E7173" s="69" t="str">
        <f aca="false">05_HISTORICO_EQUIPOS!D7178</f>
        <v>China</v>
      </c>
      <c r="F7173" s="69" t="str">
        <f aca="false">05_HISTORICO_EQUIPOS!E7178</f>
        <v>Hidrógeno</v>
      </c>
      <c r="G7173" s="70" t="str">
        <f aca="false">05_HISTORICO_EQUIPOS!F7178</f>
        <v>Presupuesto de promoción</v>
      </c>
      <c r="H7173" s="67" t="n">
        <f aca="false">05_HISTORICO_EQUIPOS!G7178</f>
        <v>0</v>
      </c>
      <c r="I7173" s="69" t="str">
        <f aca="false">05_HISTORICO_EQUIPOS!H7178</f>
        <v>USD</v>
      </c>
      <c r="J7173" s="67" t="n">
        <f aca="false">05_HISTORICO_EQUIPOS!G7178</f>
        <v>0</v>
      </c>
      <c r="K7173" s="69" t="str">
        <f aca="false">05_HISTORICO_EQUIPOS!H7178</f>
        <v>USD</v>
      </c>
      <c r="L7173" s="71" t="b">
        <f aca="false">TRUE()</f>
        <v>1</v>
      </c>
    </row>
    <row r="7174" customFormat="false" ht="15" hidden="false" customHeight="false" outlineLevel="0" collapsed="false">
      <c r="A7174" s="69" t="n">
        <f aca="false">05_HISTORICO_EQUIPOS!A7179</f>
        <v>2</v>
      </c>
      <c r="B7174" s="69" t="str">
        <f aca="false">01_INPUTS!I15</f>
        <v>A</v>
      </c>
      <c r="C7174" s="69" t="str">
        <f aca="false">05_HISTORICO_EQUIPOS!C7179</f>
        <v>PLAN</v>
      </c>
      <c r="D7174" s="69" t="str">
        <f aca="false">05_HISTORICO_EQUIPOS!B7179</f>
        <v>CADIZ</v>
      </c>
      <c r="E7174" s="69" t="str">
        <f aca="false">05_HISTORICO_EQUIPOS!D7179</f>
        <v>China</v>
      </c>
      <c r="F7174" s="69" t="str">
        <f aca="false">05_HISTORICO_EQUIPOS!E7179</f>
        <v>Hidrógeno</v>
      </c>
      <c r="G7174" s="70" t="str">
        <f aca="false">05_HISTORICO_EQUIPOS!F7179</f>
        <v>Ventas efectivas (mercado)</v>
      </c>
      <c r="H7174" s="67" t="n">
        <f aca="false">05_HISTORICO_EQUIPOS!G7179</f>
        <v>0</v>
      </c>
      <c r="I7174" s="12" t="s">
        <v>895</v>
      </c>
      <c r="J7174" s="67" t="n">
        <f aca="false">05_HISTORICO_EQUIPOS!G7179</f>
        <v>0</v>
      </c>
      <c r="K7174" s="69" t="str">
        <f aca="false">05_HISTORICO_EQUIPOS!H7179</f>
        <v>u.</v>
      </c>
      <c r="L7174" s="71" t="b">
        <f aca="false">TRUE()</f>
        <v>1</v>
      </c>
    </row>
    <row r="7175" customFormat="false" ht="15" hidden="false" customHeight="false" outlineLevel="0" collapsed="false">
      <c r="A7175" s="69" t="n">
        <f aca="false">05_HISTORICO_EQUIPOS!A7180</f>
        <v>2</v>
      </c>
      <c r="B7175" s="69" t="str">
        <f aca="false">01_INPUTS!I15</f>
        <v>A</v>
      </c>
      <c r="C7175" s="69" t="str">
        <f aca="false">05_HISTORICO_EQUIPOS!C7180</f>
        <v>PLAN</v>
      </c>
      <c r="D7175" s="69" t="str">
        <f aca="false">05_HISTORICO_EQUIPOS!B7180</f>
        <v>CADIZ</v>
      </c>
      <c r="E7175" s="69" t="str">
        <f aca="false">05_HISTORICO_EQUIPOS!D7180</f>
        <v>Europa</v>
      </c>
      <c r="F7175" s="69" t="str">
        <f aca="false">05_HISTORICO_EQUIPOS!E7180</f>
        <v>Combustión</v>
      </c>
      <c r="G7175" s="70" t="str">
        <f aca="false">05_HISTORICO_EQUIPOS!F7180</f>
        <v>Precio de venta</v>
      </c>
      <c r="H7175" s="67" t="n">
        <f aca="false">05_HISTORICO_EQUIPOS!G7180</f>
        <v>27000</v>
      </c>
      <c r="I7175" s="69" t="str">
        <f aca="false">05_HISTORICO_EQUIPOS!H7180</f>
        <v>EUR</v>
      </c>
      <c r="J7175" s="67" t="n">
        <f aca="false">05_HISTORICO_EQUIPOS!G7180</f>
        <v>27000</v>
      </c>
      <c r="K7175" s="69" t="str">
        <f aca="false">05_HISTORICO_EQUIPOS!H7180</f>
        <v>EUR</v>
      </c>
      <c r="L7175" s="71" t="b">
        <f aca="false">TRUE()</f>
        <v>1</v>
      </c>
    </row>
    <row r="7176" customFormat="false" ht="15" hidden="false" customHeight="false" outlineLevel="0" collapsed="false">
      <c r="A7176" s="69" t="n">
        <f aca="false">05_HISTORICO_EQUIPOS!A7181</f>
        <v>2</v>
      </c>
      <c r="B7176" s="69" t="str">
        <f aca="false">01_INPUTS!I15</f>
        <v>A</v>
      </c>
      <c r="C7176" s="69" t="str">
        <f aca="false">05_HISTORICO_EQUIPOS!C7181</f>
        <v>PLAN</v>
      </c>
      <c r="D7176" s="69" t="str">
        <f aca="false">05_HISTORICO_EQUIPOS!B7181</f>
        <v>CADIZ</v>
      </c>
      <c r="E7176" s="69" t="str">
        <f aca="false">05_HISTORICO_EQUIPOS!D7181</f>
        <v>Europa</v>
      </c>
      <c r="F7176" s="69" t="str">
        <f aca="false">05_HISTORICO_EQUIPOS!E7181</f>
        <v>Combustión</v>
      </c>
      <c r="G7176" s="70" t="str">
        <f aca="false">05_HISTORICO_EQUIPOS!F7181</f>
        <v>Cuota de mercado objetivo CADIZ</v>
      </c>
      <c r="H7176" s="67" t="n">
        <f aca="false">05_HISTORICO_EQUIPOS!G7181</f>
        <v>0.10000008816</v>
      </c>
      <c r="I7176" s="69" t="str">
        <f aca="false">05_HISTORICO_EQUIPOS!H7181</f>
        <v>ratio</v>
      </c>
      <c r="J7176" s="67" t="n">
        <f aca="false">05_HISTORICO_EQUIPOS!G7181</f>
        <v>0.10000008816</v>
      </c>
      <c r="K7176" s="69" t="str">
        <f aca="false">05_HISTORICO_EQUIPOS!H7181</f>
        <v>ratio</v>
      </c>
      <c r="L7176" s="71" t="b">
        <f aca="false">TRUE()</f>
        <v>1</v>
      </c>
    </row>
    <row r="7177" customFormat="false" ht="15" hidden="false" customHeight="false" outlineLevel="0" collapsed="false">
      <c r="A7177" s="69" t="n">
        <f aca="false">05_HISTORICO_EQUIPOS!A7182</f>
        <v>2</v>
      </c>
      <c r="B7177" s="69" t="str">
        <f aca="false">01_INPUTS!I15</f>
        <v>A</v>
      </c>
      <c r="C7177" s="69" t="str">
        <f aca="false">05_HISTORICO_EQUIPOS!C7182</f>
        <v>PLAN</v>
      </c>
      <c r="D7177" s="69" t="str">
        <f aca="false">05_HISTORICO_EQUIPOS!B7182</f>
        <v>CADIZ</v>
      </c>
      <c r="E7177" s="69" t="str">
        <f aca="false">05_HISTORICO_EQUIPOS!D7182</f>
        <v>Europa</v>
      </c>
      <c r="F7177" s="69" t="str">
        <f aca="false">05_HISTORICO_EQUIPOS!E7182</f>
        <v>Combustión</v>
      </c>
      <c r="G7177" s="70" t="str">
        <f aca="false">05_HISTORICO_EQUIPOS!F7182</f>
        <v>Presupuesto de promoción</v>
      </c>
      <c r="H7177" s="67" t="n">
        <f aca="false">05_HISTORICO_EQUIPOS!G7182</f>
        <v>500000000</v>
      </c>
      <c r="I7177" s="69" t="str">
        <f aca="false">05_HISTORICO_EQUIPOS!H7182</f>
        <v>USD</v>
      </c>
      <c r="J7177" s="67" t="n">
        <f aca="false">05_HISTORICO_EQUIPOS!G7182</f>
        <v>500000000</v>
      </c>
      <c r="K7177" s="69" t="str">
        <f aca="false">05_HISTORICO_EQUIPOS!H7182</f>
        <v>USD</v>
      </c>
      <c r="L7177" s="71" t="b">
        <f aca="false">TRUE()</f>
        <v>1</v>
      </c>
    </row>
    <row r="7178" customFormat="false" ht="15" hidden="false" customHeight="false" outlineLevel="0" collapsed="false">
      <c r="A7178" s="69" t="n">
        <f aca="false">05_HISTORICO_EQUIPOS!A7183</f>
        <v>2</v>
      </c>
      <c r="B7178" s="69" t="str">
        <f aca="false">01_INPUTS!I15</f>
        <v>A</v>
      </c>
      <c r="C7178" s="69" t="str">
        <f aca="false">05_HISTORICO_EQUIPOS!C7183</f>
        <v>PLAN</v>
      </c>
      <c r="D7178" s="69" t="str">
        <f aca="false">05_HISTORICO_EQUIPOS!B7183</f>
        <v>CADIZ</v>
      </c>
      <c r="E7178" s="69" t="str">
        <f aca="false">05_HISTORICO_EQUIPOS!D7183</f>
        <v>Europa</v>
      </c>
      <c r="F7178" s="69" t="str">
        <f aca="false">05_HISTORICO_EQUIPOS!E7183</f>
        <v>Combustión</v>
      </c>
      <c r="G7178" s="70" t="str">
        <f aca="false">05_HISTORICO_EQUIPOS!F7183</f>
        <v>Ventas efectivas (mercado)</v>
      </c>
      <c r="H7178" s="67" t="n">
        <f aca="false">05_HISTORICO_EQUIPOS!G7183</f>
        <v>684641.603579506</v>
      </c>
      <c r="I7178" s="12" t="s">
        <v>895</v>
      </c>
      <c r="J7178" s="67" t="n">
        <f aca="false">05_HISTORICO_EQUIPOS!G7183</f>
        <v>684641.603579506</v>
      </c>
      <c r="K7178" s="69" t="str">
        <f aca="false">05_HISTORICO_EQUIPOS!H7183</f>
        <v>u.</v>
      </c>
      <c r="L7178" s="71" t="b">
        <f aca="false">TRUE()</f>
        <v>1</v>
      </c>
    </row>
    <row r="7179" customFormat="false" ht="15" hidden="false" customHeight="false" outlineLevel="0" collapsed="false">
      <c r="A7179" s="69" t="n">
        <f aca="false">05_HISTORICO_EQUIPOS!A7184</f>
        <v>2</v>
      </c>
      <c r="B7179" s="69" t="str">
        <f aca="false">01_INPUTS!I15</f>
        <v>A</v>
      </c>
      <c r="C7179" s="69" t="str">
        <f aca="false">05_HISTORICO_EQUIPOS!C7184</f>
        <v>PLAN</v>
      </c>
      <c r="D7179" s="69" t="str">
        <f aca="false">05_HISTORICO_EQUIPOS!B7184</f>
        <v>CADIZ</v>
      </c>
      <c r="E7179" s="69" t="str">
        <f aca="false">05_HISTORICO_EQUIPOS!D7184</f>
        <v>Europa</v>
      </c>
      <c r="F7179" s="69" t="str">
        <f aca="false">05_HISTORICO_EQUIPOS!E7184</f>
        <v>Híbrido</v>
      </c>
      <c r="G7179" s="70" t="str">
        <f aca="false">05_HISTORICO_EQUIPOS!F7184</f>
        <v>Precio de venta</v>
      </c>
      <c r="H7179" s="67" t="n">
        <f aca="false">05_HISTORICO_EQUIPOS!G7184</f>
        <v>31000</v>
      </c>
      <c r="I7179" s="69" t="str">
        <f aca="false">05_HISTORICO_EQUIPOS!H7184</f>
        <v>EUR</v>
      </c>
      <c r="J7179" s="67" t="n">
        <f aca="false">05_HISTORICO_EQUIPOS!G7184</f>
        <v>31000</v>
      </c>
      <c r="K7179" s="69" t="str">
        <f aca="false">05_HISTORICO_EQUIPOS!H7184</f>
        <v>EUR</v>
      </c>
      <c r="L7179" s="71" t="b">
        <f aca="false">TRUE()</f>
        <v>1</v>
      </c>
    </row>
    <row r="7180" customFormat="false" ht="15" hidden="false" customHeight="false" outlineLevel="0" collapsed="false">
      <c r="A7180" s="69" t="n">
        <f aca="false">05_HISTORICO_EQUIPOS!A7185</f>
        <v>2</v>
      </c>
      <c r="B7180" s="69" t="str">
        <f aca="false">01_INPUTS!I15</f>
        <v>A</v>
      </c>
      <c r="C7180" s="69" t="str">
        <f aca="false">05_HISTORICO_EQUIPOS!C7185</f>
        <v>PLAN</v>
      </c>
      <c r="D7180" s="69" t="str">
        <f aca="false">05_HISTORICO_EQUIPOS!B7185</f>
        <v>CADIZ</v>
      </c>
      <c r="E7180" s="69" t="str">
        <f aca="false">05_HISTORICO_EQUIPOS!D7185</f>
        <v>Europa</v>
      </c>
      <c r="F7180" s="69" t="str">
        <f aca="false">05_HISTORICO_EQUIPOS!E7185</f>
        <v>Híbrido</v>
      </c>
      <c r="G7180" s="70" t="str">
        <f aca="false">05_HISTORICO_EQUIPOS!F7185</f>
        <v>Cuota de mercado objetivo CADIZ</v>
      </c>
      <c r="H7180" s="67" t="n">
        <f aca="false">05_HISTORICO_EQUIPOS!G7185</f>
        <v>0.0470002128</v>
      </c>
      <c r="I7180" s="69" t="str">
        <f aca="false">05_HISTORICO_EQUIPOS!H7185</f>
        <v>ratio</v>
      </c>
      <c r="J7180" s="67" t="n">
        <f aca="false">05_HISTORICO_EQUIPOS!G7185</f>
        <v>0.0470002128</v>
      </c>
      <c r="K7180" s="69" t="str">
        <f aca="false">05_HISTORICO_EQUIPOS!H7185</f>
        <v>ratio</v>
      </c>
      <c r="L7180" s="71" t="b">
        <f aca="false">TRUE()</f>
        <v>1</v>
      </c>
    </row>
    <row r="7181" customFormat="false" ht="15" hidden="false" customHeight="false" outlineLevel="0" collapsed="false">
      <c r="A7181" s="69" t="n">
        <f aca="false">05_HISTORICO_EQUIPOS!A7186</f>
        <v>2</v>
      </c>
      <c r="B7181" s="69" t="str">
        <f aca="false">01_INPUTS!I15</f>
        <v>A</v>
      </c>
      <c r="C7181" s="69" t="str">
        <f aca="false">05_HISTORICO_EQUIPOS!C7186</f>
        <v>PLAN</v>
      </c>
      <c r="D7181" s="69" t="str">
        <f aca="false">05_HISTORICO_EQUIPOS!B7186</f>
        <v>CADIZ</v>
      </c>
      <c r="E7181" s="69" t="str">
        <f aca="false">05_HISTORICO_EQUIPOS!D7186</f>
        <v>Europa</v>
      </c>
      <c r="F7181" s="69" t="str">
        <f aca="false">05_HISTORICO_EQUIPOS!E7186</f>
        <v>Híbrido</v>
      </c>
      <c r="G7181" s="70" t="str">
        <f aca="false">05_HISTORICO_EQUIPOS!F7186</f>
        <v>Presupuesto de promoción</v>
      </c>
      <c r="H7181" s="67" t="n">
        <f aca="false">05_HISTORICO_EQUIPOS!G7186</f>
        <v>450000000</v>
      </c>
      <c r="I7181" s="69" t="str">
        <f aca="false">05_HISTORICO_EQUIPOS!H7186</f>
        <v>USD</v>
      </c>
      <c r="J7181" s="67" t="n">
        <f aca="false">05_HISTORICO_EQUIPOS!G7186</f>
        <v>450000000</v>
      </c>
      <c r="K7181" s="69" t="str">
        <f aca="false">05_HISTORICO_EQUIPOS!H7186</f>
        <v>USD</v>
      </c>
      <c r="L7181" s="71" t="b">
        <f aca="false">TRUE()</f>
        <v>1</v>
      </c>
    </row>
    <row r="7182" customFormat="false" ht="15" hidden="false" customHeight="false" outlineLevel="0" collapsed="false">
      <c r="A7182" s="69" t="n">
        <f aca="false">05_HISTORICO_EQUIPOS!A7187</f>
        <v>2</v>
      </c>
      <c r="B7182" s="69" t="str">
        <f aca="false">01_INPUTS!I15</f>
        <v>A</v>
      </c>
      <c r="C7182" s="69" t="str">
        <f aca="false">05_HISTORICO_EQUIPOS!C7187</f>
        <v>PLAN</v>
      </c>
      <c r="D7182" s="69" t="str">
        <f aca="false">05_HISTORICO_EQUIPOS!B7187</f>
        <v>CADIZ</v>
      </c>
      <c r="E7182" s="69" t="str">
        <f aca="false">05_HISTORICO_EQUIPOS!D7187</f>
        <v>Europa</v>
      </c>
      <c r="F7182" s="69" t="str">
        <f aca="false">05_HISTORICO_EQUIPOS!E7187</f>
        <v>Híbrido</v>
      </c>
      <c r="G7182" s="70" t="str">
        <f aca="false">05_HISTORICO_EQUIPOS!F7187</f>
        <v>Ventas efectivas (mercado)</v>
      </c>
      <c r="H7182" s="67" t="n">
        <f aca="false">05_HISTORICO_EQUIPOS!G7187</f>
        <v>321782.726916048</v>
      </c>
      <c r="I7182" s="12" t="s">
        <v>895</v>
      </c>
      <c r="J7182" s="67" t="n">
        <f aca="false">05_HISTORICO_EQUIPOS!G7187</f>
        <v>321782.726916048</v>
      </c>
      <c r="K7182" s="69" t="str">
        <f aca="false">05_HISTORICO_EQUIPOS!H7187</f>
        <v>u.</v>
      </c>
      <c r="L7182" s="71" t="b">
        <f aca="false">TRUE()</f>
        <v>1</v>
      </c>
    </row>
    <row r="7183" customFormat="false" ht="15" hidden="false" customHeight="false" outlineLevel="0" collapsed="false">
      <c r="A7183" s="69" t="n">
        <f aca="false">05_HISTORICO_EQUIPOS!A7188</f>
        <v>2</v>
      </c>
      <c r="B7183" s="69" t="str">
        <f aca="false">01_INPUTS!I15</f>
        <v>A</v>
      </c>
      <c r="C7183" s="69" t="str">
        <f aca="false">05_HISTORICO_EQUIPOS!C7188</f>
        <v>PLAN</v>
      </c>
      <c r="D7183" s="69" t="str">
        <f aca="false">05_HISTORICO_EQUIPOS!B7188</f>
        <v>CADIZ</v>
      </c>
      <c r="E7183" s="69" t="str">
        <f aca="false">05_HISTORICO_EQUIPOS!D7188</f>
        <v>Europa</v>
      </c>
      <c r="F7183" s="69" t="str">
        <f aca="false">05_HISTORICO_EQUIPOS!E7188</f>
        <v>Eléctrico</v>
      </c>
      <c r="G7183" s="70" t="str">
        <f aca="false">05_HISTORICO_EQUIPOS!F7188</f>
        <v>Precio de venta</v>
      </c>
      <c r="H7183" s="67" t="n">
        <f aca="false">05_HISTORICO_EQUIPOS!G7188</f>
        <v>0</v>
      </c>
      <c r="I7183" s="69" t="str">
        <f aca="false">05_HISTORICO_EQUIPOS!H7188</f>
        <v>EUR</v>
      </c>
      <c r="J7183" s="67" t="n">
        <f aca="false">05_HISTORICO_EQUIPOS!G7188</f>
        <v>0</v>
      </c>
      <c r="K7183" s="69" t="str">
        <f aca="false">05_HISTORICO_EQUIPOS!H7188</f>
        <v>EUR</v>
      </c>
      <c r="L7183" s="71" t="b">
        <f aca="false">TRUE()</f>
        <v>1</v>
      </c>
    </row>
    <row r="7184" customFormat="false" ht="15" hidden="false" customHeight="false" outlineLevel="0" collapsed="false">
      <c r="A7184" s="69" t="n">
        <f aca="false">05_HISTORICO_EQUIPOS!A7189</f>
        <v>2</v>
      </c>
      <c r="B7184" s="69" t="str">
        <f aca="false">01_INPUTS!I15</f>
        <v>A</v>
      </c>
      <c r="C7184" s="69" t="str">
        <f aca="false">05_HISTORICO_EQUIPOS!C7189</f>
        <v>PLAN</v>
      </c>
      <c r="D7184" s="69" t="str">
        <f aca="false">05_HISTORICO_EQUIPOS!B7189</f>
        <v>CADIZ</v>
      </c>
      <c r="E7184" s="69" t="str">
        <f aca="false">05_HISTORICO_EQUIPOS!D7189</f>
        <v>Europa</v>
      </c>
      <c r="F7184" s="69" t="str">
        <f aca="false">05_HISTORICO_EQUIPOS!E7189</f>
        <v>Eléctrico</v>
      </c>
      <c r="G7184" s="70" t="str">
        <f aca="false">05_HISTORICO_EQUIPOS!F7189</f>
        <v>Cuota de mercado objetivo CADIZ</v>
      </c>
      <c r="H7184" s="67" t="n">
        <f aca="false">05_HISTORICO_EQUIPOS!G7189</f>
        <v>0</v>
      </c>
      <c r="I7184" s="69" t="str">
        <f aca="false">05_HISTORICO_EQUIPOS!H7189</f>
        <v>ratio</v>
      </c>
      <c r="J7184" s="67" t="n">
        <f aca="false">05_HISTORICO_EQUIPOS!G7189</f>
        <v>0</v>
      </c>
      <c r="K7184" s="69" t="str">
        <f aca="false">05_HISTORICO_EQUIPOS!H7189</f>
        <v>ratio</v>
      </c>
      <c r="L7184" s="71" t="b">
        <f aca="false">TRUE()</f>
        <v>1</v>
      </c>
    </row>
    <row r="7185" customFormat="false" ht="15" hidden="false" customHeight="false" outlineLevel="0" collapsed="false">
      <c r="A7185" s="69" t="n">
        <f aca="false">05_HISTORICO_EQUIPOS!A7190</f>
        <v>2</v>
      </c>
      <c r="B7185" s="69" t="str">
        <f aca="false">01_INPUTS!I15</f>
        <v>A</v>
      </c>
      <c r="C7185" s="69" t="str">
        <f aca="false">05_HISTORICO_EQUIPOS!C7190</f>
        <v>PLAN</v>
      </c>
      <c r="D7185" s="69" t="str">
        <f aca="false">05_HISTORICO_EQUIPOS!B7190</f>
        <v>CADIZ</v>
      </c>
      <c r="E7185" s="69" t="str">
        <f aca="false">05_HISTORICO_EQUIPOS!D7190</f>
        <v>Europa</v>
      </c>
      <c r="F7185" s="69" t="str">
        <f aca="false">05_HISTORICO_EQUIPOS!E7190</f>
        <v>Eléctrico</v>
      </c>
      <c r="G7185" s="70" t="str">
        <f aca="false">05_HISTORICO_EQUIPOS!F7190</f>
        <v>Presupuesto de promoción</v>
      </c>
      <c r="H7185" s="67" t="n">
        <f aca="false">05_HISTORICO_EQUIPOS!G7190</f>
        <v>0</v>
      </c>
      <c r="I7185" s="69" t="str">
        <f aca="false">05_HISTORICO_EQUIPOS!H7190</f>
        <v>USD</v>
      </c>
      <c r="J7185" s="67" t="n">
        <f aca="false">05_HISTORICO_EQUIPOS!G7190</f>
        <v>0</v>
      </c>
      <c r="K7185" s="69" t="str">
        <f aca="false">05_HISTORICO_EQUIPOS!H7190</f>
        <v>USD</v>
      </c>
      <c r="L7185" s="71" t="b">
        <f aca="false">TRUE()</f>
        <v>1</v>
      </c>
    </row>
    <row r="7186" customFormat="false" ht="15" hidden="false" customHeight="false" outlineLevel="0" collapsed="false">
      <c r="A7186" s="69" t="n">
        <f aca="false">05_HISTORICO_EQUIPOS!A7191</f>
        <v>2</v>
      </c>
      <c r="B7186" s="69" t="str">
        <f aca="false">01_INPUTS!I15</f>
        <v>A</v>
      </c>
      <c r="C7186" s="69" t="str">
        <f aca="false">05_HISTORICO_EQUIPOS!C7191</f>
        <v>PLAN</v>
      </c>
      <c r="D7186" s="69" t="str">
        <f aca="false">05_HISTORICO_EQUIPOS!B7191</f>
        <v>CADIZ</v>
      </c>
      <c r="E7186" s="69" t="str">
        <f aca="false">05_HISTORICO_EQUIPOS!D7191</f>
        <v>Europa</v>
      </c>
      <c r="F7186" s="69" t="str">
        <f aca="false">05_HISTORICO_EQUIPOS!E7191</f>
        <v>Eléctrico</v>
      </c>
      <c r="G7186" s="70" t="str">
        <f aca="false">05_HISTORICO_EQUIPOS!F7191</f>
        <v>Ventas efectivas (mercado)</v>
      </c>
      <c r="H7186" s="67" t="n">
        <f aca="false">05_HISTORICO_EQUIPOS!G7191</f>
        <v>0</v>
      </c>
      <c r="I7186" s="12" t="s">
        <v>895</v>
      </c>
      <c r="J7186" s="67" t="n">
        <f aca="false">05_HISTORICO_EQUIPOS!G7191</f>
        <v>0</v>
      </c>
      <c r="K7186" s="69" t="str">
        <f aca="false">05_HISTORICO_EQUIPOS!H7191</f>
        <v>u.</v>
      </c>
      <c r="L7186" s="71" t="b">
        <f aca="false">TRUE()</f>
        <v>1</v>
      </c>
    </row>
    <row r="7187" customFormat="false" ht="15" hidden="false" customHeight="false" outlineLevel="0" collapsed="false">
      <c r="A7187" s="69" t="n">
        <f aca="false">05_HISTORICO_EQUIPOS!A7192</f>
        <v>2</v>
      </c>
      <c r="B7187" s="69" t="str">
        <f aca="false">01_INPUTS!I15</f>
        <v>A</v>
      </c>
      <c r="C7187" s="69" t="str">
        <f aca="false">05_HISTORICO_EQUIPOS!C7192</f>
        <v>PLAN</v>
      </c>
      <c r="D7187" s="69" t="str">
        <f aca="false">05_HISTORICO_EQUIPOS!B7192</f>
        <v>CADIZ</v>
      </c>
      <c r="E7187" s="69" t="str">
        <f aca="false">05_HISTORICO_EQUIPOS!D7192</f>
        <v>Europa</v>
      </c>
      <c r="F7187" s="69" t="str">
        <f aca="false">05_HISTORICO_EQUIPOS!E7192</f>
        <v>Hidrógeno</v>
      </c>
      <c r="G7187" s="70" t="str">
        <f aca="false">05_HISTORICO_EQUIPOS!F7192</f>
        <v>Precio de venta</v>
      </c>
      <c r="H7187" s="67" t="n">
        <f aca="false">05_HISTORICO_EQUIPOS!G7192</f>
        <v>0</v>
      </c>
      <c r="I7187" s="69" t="str">
        <f aca="false">05_HISTORICO_EQUIPOS!H7192</f>
        <v>EUR</v>
      </c>
      <c r="J7187" s="67" t="n">
        <f aca="false">05_HISTORICO_EQUIPOS!G7192</f>
        <v>0</v>
      </c>
      <c r="K7187" s="69" t="str">
        <f aca="false">05_HISTORICO_EQUIPOS!H7192</f>
        <v>EUR</v>
      </c>
      <c r="L7187" s="71" t="b">
        <f aca="false">TRUE()</f>
        <v>1</v>
      </c>
    </row>
    <row r="7188" customFormat="false" ht="15" hidden="false" customHeight="false" outlineLevel="0" collapsed="false">
      <c r="A7188" s="69" t="n">
        <f aca="false">05_HISTORICO_EQUIPOS!A7193</f>
        <v>2</v>
      </c>
      <c r="B7188" s="69" t="str">
        <f aca="false">01_INPUTS!I15</f>
        <v>A</v>
      </c>
      <c r="C7188" s="69" t="str">
        <f aca="false">05_HISTORICO_EQUIPOS!C7193</f>
        <v>PLAN</v>
      </c>
      <c r="D7188" s="69" t="str">
        <f aca="false">05_HISTORICO_EQUIPOS!B7193</f>
        <v>CADIZ</v>
      </c>
      <c r="E7188" s="69" t="str">
        <f aca="false">05_HISTORICO_EQUIPOS!D7193</f>
        <v>Europa</v>
      </c>
      <c r="F7188" s="69" t="str">
        <f aca="false">05_HISTORICO_EQUIPOS!E7193</f>
        <v>Hidrógeno</v>
      </c>
      <c r="G7188" s="70" t="str">
        <f aca="false">05_HISTORICO_EQUIPOS!F7193</f>
        <v>Cuota de mercado objetivo CADIZ</v>
      </c>
      <c r="H7188" s="67" t="n">
        <f aca="false">05_HISTORICO_EQUIPOS!G7193</f>
        <v>0</v>
      </c>
      <c r="I7188" s="69" t="str">
        <f aca="false">05_HISTORICO_EQUIPOS!H7193</f>
        <v>ratio</v>
      </c>
      <c r="J7188" s="67" t="n">
        <f aca="false">05_HISTORICO_EQUIPOS!G7193</f>
        <v>0</v>
      </c>
      <c r="K7188" s="69" t="str">
        <f aca="false">05_HISTORICO_EQUIPOS!H7193</f>
        <v>ratio</v>
      </c>
      <c r="L7188" s="71" t="b">
        <f aca="false">TRUE()</f>
        <v>1</v>
      </c>
    </row>
    <row r="7189" customFormat="false" ht="15" hidden="false" customHeight="false" outlineLevel="0" collapsed="false">
      <c r="A7189" s="69" t="n">
        <f aca="false">05_HISTORICO_EQUIPOS!A7194</f>
        <v>2</v>
      </c>
      <c r="B7189" s="69" t="str">
        <f aca="false">01_INPUTS!I15</f>
        <v>A</v>
      </c>
      <c r="C7189" s="69" t="str">
        <f aca="false">05_HISTORICO_EQUIPOS!C7194</f>
        <v>PLAN</v>
      </c>
      <c r="D7189" s="69" t="str">
        <f aca="false">05_HISTORICO_EQUIPOS!B7194</f>
        <v>CADIZ</v>
      </c>
      <c r="E7189" s="69" t="str">
        <f aca="false">05_HISTORICO_EQUIPOS!D7194</f>
        <v>Europa</v>
      </c>
      <c r="F7189" s="69" t="str">
        <f aca="false">05_HISTORICO_EQUIPOS!E7194</f>
        <v>Hidrógeno</v>
      </c>
      <c r="G7189" s="70" t="str">
        <f aca="false">05_HISTORICO_EQUIPOS!F7194</f>
        <v>Presupuesto de promoción</v>
      </c>
      <c r="H7189" s="67" t="n">
        <f aca="false">05_HISTORICO_EQUIPOS!G7194</f>
        <v>0</v>
      </c>
      <c r="I7189" s="69" t="str">
        <f aca="false">05_HISTORICO_EQUIPOS!H7194</f>
        <v>USD</v>
      </c>
      <c r="J7189" s="67" t="n">
        <f aca="false">05_HISTORICO_EQUIPOS!G7194</f>
        <v>0</v>
      </c>
      <c r="K7189" s="69" t="str">
        <f aca="false">05_HISTORICO_EQUIPOS!H7194</f>
        <v>USD</v>
      </c>
      <c r="L7189" s="71" t="b">
        <f aca="false">TRUE()</f>
        <v>1</v>
      </c>
    </row>
    <row r="7190" customFormat="false" ht="15" hidden="false" customHeight="false" outlineLevel="0" collapsed="false">
      <c r="A7190" s="69" t="n">
        <f aca="false">05_HISTORICO_EQUIPOS!A7195</f>
        <v>2</v>
      </c>
      <c r="B7190" s="69" t="str">
        <f aca="false">01_INPUTS!I15</f>
        <v>A</v>
      </c>
      <c r="C7190" s="69" t="str">
        <f aca="false">05_HISTORICO_EQUIPOS!C7195</f>
        <v>PLAN</v>
      </c>
      <c r="D7190" s="69" t="str">
        <f aca="false">05_HISTORICO_EQUIPOS!B7195</f>
        <v>CADIZ</v>
      </c>
      <c r="E7190" s="69" t="str">
        <f aca="false">05_HISTORICO_EQUIPOS!D7195</f>
        <v>Europa</v>
      </c>
      <c r="F7190" s="69" t="str">
        <f aca="false">05_HISTORICO_EQUIPOS!E7195</f>
        <v>Hidrógeno</v>
      </c>
      <c r="G7190" s="70" t="str">
        <f aca="false">05_HISTORICO_EQUIPOS!F7195</f>
        <v>Ventas efectivas (mercado)</v>
      </c>
      <c r="H7190" s="67" t="n">
        <f aca="false">05_HISTORICO_EQUIPOS!G7195</f>
        <v>0</v>
      </c>
      <c r="I7190" s="12" t="s">
        <v>895</v>
      </c>
      <c r="J7190" s="67" t="n">
        <f aca="false">05_HISTORICO_EQUIPOS!G7195</f>
        <v>0</v>
      </c>
      <c r="K7190" s="69" t="str">
        <f aca="false">05_HISTORICO_EQUIPOS!H7195</f>
        <v>u.</v>
      </c>
      <c r="L7190" s="71" t="b">
        <f aca="false">TRUE()</f>
        <v>1</v>
      </c>
    </row>
    <row r="7191" customFormat="false" ht="15" hidden="false" customHeight="false" outlineLevel="0" collapsed="false">
      <c r="A7191" s="69" t="n">
        <f aca="false">05_HISTORICO_EQUIPOS!A7196</f>
        <v>2</v>
      </c>
      <c r="B7191" s="69" t="str">
        <f aca="false">01_INPUTS!I15</f>
        <v>A</v>
      </c>
      <c r="C7191" s="69" t="str">
        <f aca="false">05_HISTORICO_EQUIPOS!C7196</f>
        <v>PLAN</v>
      </c>
      <c r="D7191" s="69" t="str">
        <f aca="false">05_HISTORICO_EQUIPOS!B7196</f>
        <v>CADIZ</v>
      </c>
      <c r="E7191" s="69" t="str">
        <f aca="false">05_HISTORICO_EQUIPOS!D7196</f>
        <v>EE.UU.</v>
      </c>
      <c r="F7191" s="69" t="str">
        <f aca="false">05_HISTORICO_EQUIPOS!E7196</f>
        <v>Combustión</v>
      </c>
      <c r="G7191" s="70" t="str">
        <f aca="false">05_HISTORICO_EQUIPOS!F7196</f>
        <v>Costo unitario de producción propia</v>
      </c>
      <c r="H7191" s="67" t="n">
        <f aca="false">05_HISTORICO_EQUIPOS!G7196</f>
        <v>12771.5127515815</v>
      </c>
      <c r="I7191" s="69" t="str">
        <f aca="false">05_HISTORICO_EQUIPOS!H7196</f>
        <v>USD/u.</v>
      </c>
      <c r="J7191" s="67" t="n">
        <f aca="false">05_HISTORICO_EQUIPOS!G7196</f>
        <v>12771.5127515815</v>
      </c>
      <c r="K7191" s="69" t="str">
        <f aca="false">05_HISTORICO_EQUIPOS!H7196</f>
        <v>USD/u.</v>
      </c>
      <c r="L7191" s="71" t="b">
        <f aca="false">TRUE()</f>
        <v>1</v>
      </c>
    </row>
    <row r="7192" customFormat="false" ht="15" hidden="false" customHeight="false" outlineLevel="0" collapsed="false">
      <c r="A7192" s="69" t="n">
        <f aca="false">05_HISTORICO_EQUIPOS!A7197</f>
        <v>2</v>
      </c>
      <c r="B7192" s="69" t="str">
        <f aca="false">01_INPUTS!I15</f>
        <v>A</v>
      </c>
      <c r="C7192" s="69" t="str">
        <f aca="false">05_HISTORICO_EQUIPOS!C7197</f>
        <v>PLAN</v>
      </c>
      <c r="D7192" s="69" t="str">
        <f aca="false">05_HISTORICO_EQUIPOS!B7197</f>
        <v>CADIZ</v>
      </c>
      <c r="E7192" s="69" t="str">
        <f aca="false">05_HISTORICO_EQUIPOS!D7197</f>
        <v>EE.UU.</v>
      </c>
      <c r="F7192" s="69" t="str">
        <f aca="false">05_HISTORICO_EQUIPOS!E7197</f>
        <v>Combustión</v>
      </c>
      <c r="G7192" s="70" t="str">
        <f aca="false">05_HISTORICO_EQUIPOS!F7197</f>
        <v>Costo unitario de producción tercerizada</v>
      </c>
      <c r="H7192" s="67" t="n">
        <f aca="false">05_HISTORICO_EQUIPOS!G7197</f>
        <v>0</v>
      </c>
      <c r="I7192" s="69" t="str">
        <f aca="false">05_HISTORICO_EQUIPOS!H7197</f>
        <v>USD/u.</v>
      </c>
      <c r="J7192" s="67" t="n">
        <f aca="false">05_HISTORICO_EQUIPOS!G7197</f>
        <v>0</v>
      </c>
      <c r="K7192" s="69" t="str">
        <f aca="false">05_HISTORICO_EQUIPOS!H7197</f>
        <v>USD/u.</v>
      </c>
      <c r="L7192" s="71" t="b">
        <f aca="false">TRUE()</f>
        <v>1</v>
      </c>
    </row>
    <row r="7193" customFormat="false" ht="15" hidden="false" customHeight="false" outlineLevel="0" collapsed="false">
      <c r="A7193" s="69" t="n">
        <f aca="false">05_HISTORICO_EQUIPOS!A7198</f>
        <v>2</v>
      </c>
      <c r="B7193" s="69" t="str">
        <f aca="false">01_INPUTS!I15</f>
        <v>A</v>
      </c>
      <c r="C7193" s="69" t="str">
        <f aca="false">05_HISTORICO_EQUIPOS!C7198</f>
        <v>PLAN</v>
      </c>
      <c r="D7193" s="69" t="str">
        <f aca="false">05_HISTORICO_EQUIPOS!B7198</f>
        <v>CADIZ</v>
      </c>
      <c r="E7193" s="69" t="str">
        <f aca="false">05_HISTORICO_EQUIPOS!D7198</f>
        <v>EE.UU.</v>
      </c>
      <c r="F7193" s="69" t="str">
        <f aca="false">05_HISTORICO_EQUIPOS!E7198</f>
        <v>Híbrido</v>
      </c>
      <c r="G7193" s="70" t="str">
        <f aca="false">05_HISTORICO_EQUIPOS!F7198</f>
        <v>Costo unitario de producción propia</v>
      </c>
      <c r="H7193" s="67" t="n">
        <f aca="false">05_HISTORICO_EQUIPOS!G7198</f>
        <v>14739.585183471</v>
      </c>
      <c r="I7193" s="69" t="str">
        <f aca="false">05_HISTORICO_EQUIPOS!H7198</f>
        <v>USD/u.</v>
      </c>
      <c r="J7193" s="67" t="n">
        <f aca="false">05_HISTORICO_EQUIPOS!G7198</f>
        <v>14739.585183471</v>
      </c>
      <c r="K7193" s="69" t="str">
        <f aca="false">05_HISTORICO_EQUIPOS!H7198</f>
        <v>USD/u.</v>
      </c>
      <c r="L7193" s="71" t="b">
        <f aca="false">TRUE()</f>
        <v>1</v>
      </c>
    </row>
    <row r="7194" customFormat="false" ht="15" hidden="false" customHeight="false" outlineLevel="0" collapsed="false">
      <c r="A7194" s="69" t="n">
        <f aca="false">05_HISTORICO_EQUIPOS!A7199</f>
        <v>2</v>
      </c>
      <c r="B7194" s="69" t="str">
        <f aca="false">01_INPUTS!I15</f>
        <v>A</v>
      </c>
      <c r="C7194" s="69" t="str">
        <f aca="false">05_HISTORICO_EQUIPOS!C7199</f>
        <v>PLAN</v>
      </c>
      <c r="D7194" s="69" t="str">
        <f aca="false">05_HISTORICO_EQUIPOS!B7199</f>
        <v>CADIZ</v>
      </c>
      <c r="E7194" s="69" t="str">
        <f aca="false">05_HISTORICO_EQUIPOS!D7199</f>
        <v>EE.UU.</v>
      </c>
      <c r="F7194" s="69" t="str">
        <f aca="false">05_HISTORICO_EQUIPOS!E7199</f>
        <v>Híbrido</v>
      </c>
      <c r="G7194" s="70" t="str">
        <f aca="false">05_HISTORICO_EQUIPOS!F7199</f>
        <v>Costo unitario de producción tercerizada</v>
      </c>
      <c r="H7194" s="67" t="n">
        <f aca="false">05_HISTORICO_EQUIPOS!G7199</f>
        <v>0</v>
      </c>
      <c r="I7194" s="69" t="str">
        <f aca="false">05_HISTORICO_EQUIPOS!H7199</f>
        <v>USD/u.</v>
      </c>
      <c r="J7194" s="67" t="n">
        <f aca="false">05_HISTORICO_EQUIPOS!G7199</f>
        <v>0</v>
      </c>
      <c r="K7194" s="69" t="str">
        <f aca="false">05_HISTORICO_EQUIPOS!H7199</f>
        <v>USD/u.</v>
      </c>
      <c r="L7194" s="71" t="b">
        <f aca="false">TRUE()</f>
        <v>1</v>
      </c>
    </row>
    <row r="7195" customFormat="false" ht="15" hidden="false" customHeight="false" outlineLevel="0" collapsed="false">
      <c r="A7195" s="69" t="n">
        <f aca="false">05_HISTORICO_EQUIPOS!A7200</f>
        <v>2</v>
      </c>
      <c r="B7195" s="69" t="str">
        <f aca="false">01_INPUTS!I15</f>
        <v>A</v>
      </c>
      <c r="C7195" s="69" t="str">
        <f aca="false">05_HISTORICO_EQUIPOS!C7200</f>
        <v>PLAN</v>
      </c>
      <c r="D7195" s="69" t="str">
        <f aca="false">05_HISTORICO_EQUIPOS!B7200</f>
        <v>CADIZ</v>
      </c>
      <c r="E7195" s="69" t="str">
        <f aca="false">05_HISTORICO_EQUIPOS!D7200</f>
        <v>EE.UU.</v>
      </c>
      <c r="F7195" s="69" t="str">
        <f aca="false">05_HISTORICO_EQUIPOS!E7200</f>
        <v>Eléctrico</v>
      </c>
      <c r="G7195" s="70" t="str">
        <f aca="false">05_HISTORICO_EQUIPOS!F7200</f>
        <v>Costo unitario de producción propia</v>
      </c>
      <c r="H7195" s="67" t="n">
        <f aca="false">05_HISTORICO_EQUIPOS!G7200</f>
        <v>14739.585183471</v>
      </c>
      <c r="I7195" s="69" t="str">
        <f aca="false">05_HISTORICO_EQUIPOS!H7200</f>
        <v>USD/u.</v>
      </c>
      <c r="J7195" s="67" t="n">
        <f aca="false">05_HISTORICO_EQUIPOS!G7200</f>
        <v>14739.585183471</v>
      </c>
      <c r="K7195" s="69" t="str">
        <f aca="false">05_HISTORICO_EQUIPOS!H7200</f>
        <v>USD/u.</v>
      </c>
      <c r="L7195" s="71" t="b">
        <f aca="false">TRUE()</f>
        <v>1</v>
      </c>
    </row>
    <row r="7196" customFormat="false" ht="15" hidden="false" customHeight="false" outlineLevel="0" collapsed="false">
      <c r="A7196" s="69" t="n">
        <f aca="false">05_HISTORICO_EQUIPOS!A7201</f>
        <v>2</v>
      </c>
      <c r="B7196" s="69" t="str">
        <f aca="false">01_INPUTS!I15</f>
        <v>A</v>
      </c>
      <c r="C7196" s="69" t="str">
        <f aca="false">05_HISTORICO_EQUIPOS!C7201</f>
        <v>PLAN</v>
      </c>
      <c r="D7196" s="69" t="str">
        <f aca="false">05_HISTORICO_EQUIPOS!B7201</f>
        <v>CADIZ</v>
      </c>
      <c r="E7196" s="69" t="str">
        <f aca="false">05_HISTORICO_EQUIPOS!D7201</f>
        <v>EE.UU.</v>
      </c>
      <c r="F7196" s="69" t="str">
        <f aca="false">05_HISTORICO_EQUIPOS!E7201</f>
        <v>Eléctrico</v>
      </c>
      <c r="G7196" s="70" t="str">
        <f aca="false">05_HISTORICO_EQUIPOS!F7201</f>
        <v>Costo unitario de producción tercerizada</v>
      </c>
      <c r="H7196" s="67" t="n">
        <f aca="false">05_HISTORICO_EQUIPOS!G7201</f>
        <v>0</v>
      </c>
      <c r="I7196" s="69" t="str">
        <f aca="false">05_HISTORICO_EQUIPOS!H7201</f>
        <v>USD/u.</v>
      </c>
      <c r="J7196" s="67" t="n">
        <f aca="false">05_HISTORICO_EQUIPOS!G7201</f>
        <v>0</v>
      </c>
      <c r="K7196" s="69" t="str">
        <f aca="false">05_HISTORICO_EQUIPOS!H7201</f>
        <v>USD/u.</v>
      </c>
      <c r="L7196" s="71" t="b">
        <f aca="false">TRUE()</f>
        <v>1</v>
      </c>
    </row>
    <row r="7197" customFormat="false" ht="15" hidden="false" customHeight="false" outlineLevel="0" collapsed="false">
      <c r="A7197" s="69" t="n">
        <f aca="false">05_HISTORICO_EQUIPOS!A7202</f>
        <v>2</v>
      </c>
      <c r="B7197" s="69" t="str">
        <f aca="false">01_INPUTS!I15</f>
        <v>A</v>
      </c>
      <c r="C7197" s="69" t="str">
        <f aca="false">05_HISTORICO_EQUIPOS!C7202</f>
        <v>PLAN</v>
      </c>
      <c r="D7197" s="69" t="str">
        <f aca="false">05_HISTORICO_EQUIPOS!B7202</f>
        <v>CADIZ</v>
      </c>
      <c r="E7197" s="69" t="str">
        <f aca="false">05_HISTORICO_EQUIPOS!D7202</f>
        <v>EE.UU.</v>
      </c>
      <c r="F7197" s="69" t="str">
        <f aca="false">05_HISTORICO_EQUIPOS!E7202</f>
        <v>Hidrógeno</v>
      </c>
      <c r="G7197" s="70" t="str">
        <f aca="false">05_HISTORICO_EQUIPOS!F7202</f>
        <v>Costo unitario de producción propia</v>
      </c>
      <c r="H7197" s="67" t="n">
        <f aca="false">05_HISTORICO_EQUIPOS!G7202</f>
        <v>14739.585183471</v>
      </c>
      <c r="I7197" s="69" t="str">
        <f aca="false">05_HISTORICO_EQUIPOS!H7202</f>
        <v>USD/u.</v>
      </c>
      <c r="J7197" s="67" t="n">
        <f aca="false">05_HISTORICO_EQUIPOS!G7202</f>
        <v>14739.585183471</v>
      </c>
      <c r="K7197" s="69" t="str">
        <f aca="false">05_HISTORICO_EQUIPOS!H7202</f>
        <v>USD/u.</v>
      </c>
      <c r="L7197" s="71" t="b">
        <f aca="false">TRUE()</f>
        <v>1</v>
      </c>
    </row>
    <row r="7198" customFormat="false" ht="15" hidden="false" customHeight="false" outlineLevel="0" collapsed="false">
      <c r="A7198" s="69" t="n">
        <f aca="false">05_HISTORICO_EQUIPOS!A7203</f>
        <v>2</v>
      </c>
      <c r="B7198" s="69" t="str">
        <f aca="false">01_INPUTS!I15</f>
        <v>A</v>
      </c>
      <c r="C7198" s="69" t="str">
        <f aca="false">05_HISTORICO_EQUIPOS!C7203</f>
        <v>PLAN</v>
      </c>
      <c r="D7198" s="69" t="str">
        <f aca="false">05_HISTORICO_EQUIPOS!B7203</f>
        <v>CADIZ</v>
      </c>
      <c r="E7198" s="69" t="str">
        <f aca="false">05_HISTORICO_EQUIPOS!D7203</f>
        <v>EE.UU.</v>
      </c>
      <c r="F7198" s="69" t="str">
        <f aca="false">05_HISTORICO_EQUIPOS!E7203</f>
        <v>Hidrógeno</v>
      </c>
      <c r="G7198" s="70" t="str">
        <f aca="false">05_HISTORICO_EQUIPOS!F7203</f>
        <v>Costo unitario de producción tercerizada</v>
      </c>
      <c r="H7198" s="67" t="n">
        <f aca="false">05_HISTORICO_EQUIPOS!G7203</f>
        <v>0</v>
      </c>
      <c r="I7198" s="69" t="str">
        <f aca="false">05_HISTORICO_EQUIPOS!H7203</f>
        <v>USD/u.</v>
      </c>
      <c r="J7198" s="67" t="n">
        <f aca="false">05_HISTORICO_EQUIPOS!G7203</f>
        <v>0</v>
      </c>
      <c r="K7198" s="69" t="str">
        <f aca="false">05_HISTORICO_EQUIPOS!H7203</f>
        <v>USD/u.</v>
      </c>
      <c r="L7198" s="71" t="b">
        <f aca="false">TRUE()</f>
        <v>1</v>
      </c>
    </row>
    <row r="7199" customFormat="false" ht="15" hidden="false" customHeight="false" outlineLevel="0" collapsed="false">
      <c r="A7199" s="69" t="n">
        <f aca="false">05_HISTORICO_EQUIPOS!A7204</f>
        <v>2</v>
      </c>
      <c r="B7199" s="69" t="str">
        <f aca="false">01_INPUTS!I15</f>
        <v>A</v>
      </c>
      <c r="C7199" s="69" t="str">
        <f aca="false">05_HISTORICO_EQUIPOS!C7204</f>
        <v>PLAN</v>
      </c>
      <c r="D7199" s="69" t="str">
        <f aca="false">05_HISTORICO_EQUIPOS!B7204</f>
        <v>CADIZ</v>
      </c>
      <c r="E7199" s="69" t="str">
        <f aca="false">05_HISTORICO_EQUIPOS!D7204</f>
        <v>China</v>
      </c>
      <c r="F7199" s="69" t="str">
        <f aca="false">05_HISTORICO_EQUIPOS!E7204</f>
        <v>Combustión</v>
      </c>
      <c r="G7199" s="70" t="str">
        <f aca="false">05_HISTORICO_EQUIPOS!F7204</f>
        <v>Costo unitario de producción propia</v>
      </c>
      <c r="H7199" s="67" t="n">
        <f aca="false">05_HISTORICO_EQUIPOS!G7204</f>
        <v>12151.827924632</v>
      </c>
      <c r="I7199" s="69" t="str">
        <f aca="false">05_HISTORICO_EQUIPOS!H7204</f>
        <v>USD/u.</v>
      </c>
      <c r="J7199" s="67" t="n">
        <f aca="false">05_HISTORICO_EQUIPOS!G7204</f>
        <v>12151.827924632</v>
      </c>
      <c r="K7199" s="69" t="str">
        <f aca="false">05_HISTORICO_EQUIPOS!H7204</f>
        <v>USD/u.</v>
      </c>
      <c r="L7199" s="71" t="b">
        <f aca="false">TRUE()</f>
        <v>1</v>
      </c>
    </row>
    <row r="7200" customFormat="false" ht="15" hidden="false" customHeight="false" outlineLevel="0" collapsed="false">
      <c r="A7200" s="69" t="n">
        <f aca="false">05_HISTORICO_EQUIPOS!A7205</f>
        <v>2</v>
      </c>
      <c r="B7200" s="69" t="str">
        <f aca="false">01_INPUTS!I15</f>
        <v>A</v>
      </c>
      <c r="C7200" s="69" t="str">
        <f aca="false">05_HISTORICO_EQUIPOS!C7205</f>
        <v>PLAN</v>
      </c>
      <c r="D7200" s="69" t="str">
        <f aca="false">05_HISTORICO_EQUIPOS!B7205</f>
        <v>CADIZ</v>
      </c>
      <c r="E7200" s="69" t="str">
        <f aca="false">05_HISTORICO_EQUIPOS!D7205</f>
        <v>China</v>
      </c>
      <c r="F7200" s="69" t="str">
        <f aca="false">05_HISTORICO_EQUIPOS!E7205</f>
        <v>Combustión</v>
      </c>
      <c r="G7200" s="70" t="str">
        <f aca="false">05_HISTORICO_EQUIPOS!F7205</f>
        <v>Costo unitario de producción tercerizada</v>
      </c>
      <c r="H7200" s="67" t="n">
        <f aca="false">05_HISTORICO_EQUIPOS!G7205</f>
        <v>10106.74</v>
      </c>
      <c r="I7200" s="69" t="str">
        <f aca="false">05_HISTORICO_EQUIPOS!H7205</f>
        <v>USD/u.</v>
      </c>
      <c r="J7200" s="67" t="n">
        <f aca="false">05_HISTORICO_EQUIPOS!G7205</f>
        <v>10106.74</v>
      </c>
      <c r="K7200" s="69" t="str">
        <f aca="false">05_HISTORICO_EQUIPOS!H7205</f>
        <v>USD/u.</v>
      </c>
      <c r="L7200" s="71" t="b">
        <f aca="false">TRUE()</f>
        <v>1</v>
      </c>
    </row>
    <row r="7201" customFormat="false" ht="15" hidden="false" customHeight="false" outlineLevel="0" collapsed="false">
      <c r="A7201" s="69" t="n">
        <f aca="false">05_HISTORICO_EQUIPOS!A7206</f>
        <v>2</v>
      </c>
      <c r="B7201" s="69" t="str">
        <f aca="false">01_INPUTS!I15</f>
        <v>A</v>
      </c>
      <c r="C7201" s="69" t="str">
        <f aca="false">05_HISTORICO_EQUIPOS!C7206</f>
        <v>PLAN</v>
      </c>
      <c r="D7201" s="69" t="str">
        <f aca="false">05_HISTORICO_EQUIPOS!B7206</f>
        <v>CADIZ</v>
      </c>
      <c r="E7201" s="69" t="str">
        <f aca="false">05_HISTORICO_EQUIPOS!D7206</f>
        <v>China</v>
      </c>
      <c r="F7201" s="69" t="str">
        <f aca="false">05_HISTORICO_EQUIPOS!E7206</f>
        <v>Híbrido</v>
      </c>
      <c r="G7201" s="70" t="str">
        <f aca="false">05_HISTORICO_EQUIPOS!F7206</f>
        <v>Costo unitario de producción propia</v>
      </c>
      <c r="H7201" s="67" t="n">
        <f aca="false">05_HISTORICO_EQUIPOS!G7206</f>
        <v>14051.3756273759</v>
      </c>
      <c r="I7201" s="69" t="str">
        <f aca="false">05_HISTORICO_EQUIPOS!H7206</f>
        <v>USD/u.</v>
      </c>
      <c r="J7201" s="67" t="n">
        <f aca="false">05_HISTORICO_EQUIPOS!G7206</f>
        <v>14051.3756273759</v>
      </c>
      <c r="K7201" s="69" t="str">
        <f aca="false">05_HISTORICO_EQUIPOS!H7206</f>
        <v>USD/u.</v>
      </c>
      <c r="L7201" s="71" t="b">
        <f aca="false">TRUE()</f>
        <v>1</v>
      </c>
    </row>
    <row r="7202" customFormat="false" ht="15" hidden="false" customHeight="false" outlineLevel="0" collapsed="false">
      <c r="A7202" s="69" t="n">
        <f aca="false">05_HISTORICO_EQUIPOS!A7207</f>
        <v>2</v>
      </c>
      <c r="B7202" s="69" t="str">
        <f aca="false">01_INPUTS!I15</f>
        <v>A</v>
      </c>
      <c r="C7202" s="69" t="str">
        <f aca="false">05_HISTORICO_EQUIPOS!C7207</f>
        <v>PLAN</v>
      </c>
      <c r="D7202" s="69" t="str">
        <f aca="false">05_HISTORICO_EQUIPOS!B7207</f>
        <v>CADIZ</v>
      </c>
      <c r="E7202" s="69" t="str">
        <f aca="false">05_HISTORICO_EQUIPOS!D7207</f>
        <v>China</v>
      </c>
      <c r="F7202" s="69" t="str">
        <f aca="false">05_HISTORICO_EQUIPOS!E7207</f>
        <v>Híbrido</v>
      </c>
      <c r="G7202" s="70" t="str">
        <f aca="false">05_HISTORICO_EQUIPOS!F7207</f>
        <v>Costo unitario de producción tercerizada</v>
      </c>
      <c r="H7202" s="67" t="n">
        <f aca="false">05_HISTORICO_EQUIPOS!G7207</f>
        <v>15649.15</v>
      </c>
      <c r="I7202" s="69" t="str">
        <f aca="false">05_HISTORICO_EQUIPOS!H7207</f>
        <v>USD/u.</v>
      </c>
      <c r="J7202" s="67" t="n">
        <f aca="false">05_HISTORICO_EQUIPOS!G7207</f>
        <v>15649.15</v>
      </c>
      <c r="K7202" s="69" t="str">
        <f aca="false">05_HISTORICO_EQUIPOS!H7207</f>
        <v>USD/u.</v>
      </c>
      <c r="L7202" s="71" t="b">
        <f aca="false">TRUE()</f>
        <v>1</v>
      </c>
    </row>
    <row r="7203" customFormat="false" ht="15" hidden="false" customHeight="false" outlineLevel="0" collapsed="false">
      <c r="A7203" s="69" t="n">
        <f aca="false">05_HISTORICO_EQUIPOS!A7208</f>
        <v>2</v>
      </c>
      <c r="B7203" s="69" t="str">
        <f aca="false">01_INPUTS!I15</f>
        <v>A</v>
      </c>
      <c r="C7203" s="69" t="str">
        <f aca="false">05_HISTORICO_EQUIPOS!C7208</f>
        <v>PLAN</v>
      </c>
      <c r="D7203" s="69" t="str">
        <f aca="false">05_HISTORICO_EQUIPOS!B7208</f>
        <v>CADIZ</v>
      </c>
      <c r="E7203" s="69" t="str">
        <f aca="false">05_HISTORICO_EQUIPOS!D7208</f>
        <v>China</v>
      </c>
      <c r="F7203" s="69" t="str">
        <f aca="false">05_HISTORICO_EQUIPOS!E7208</f>
        <v>Eléctrico</v>
      </c>
      <c r="G7203" s="70" t="str">
        <f aca="false">05_HISTORICO_EQUIPOS!F7208</f>
        <v>Costo unitario de producción propia</v>
      </c>
      <c r="H7203" s="67" t="n">
        <f aca="false">05_HISTORICO_EQUIPOS!G7208</f>
        <v>14051.3756273759</v>
      </c>
      <c r="I7203" s="69" t="str">
        <f aca="false">05_HISTORICO_EQUIPOS!H7208</f>
        <v>USD/u.</v>
      </c>
      <c r="J7203" s="67" t="n">
        <f aca="false">05_HISTORICO_EQUIPOS!G7208</f>
        <v>14051.3756273759</v>
      </c>
      <c r="K7203" s="69" t="str">
        <f aca="false">05_HISTORICO_EQUIPOS!H7208</f>
        <v>USD/u.</v>
      </c>
      <c r="L7203" s="71" t="b">
        <f aca="false">TRUE()</f>
        <v>1</v>
      </c>
    </row>
    <row r="7204" customFormat="false" ht="15" hidden="false" customHeight="false" outlineLevel="0" collapsed="false">
      <c r="A7204" s="69" t="n">
        <f aca="false">05_HISTORICO_EQUIPOS!A7209</f>
        <v>2</v>
      </c>
      <c r="B7204" s="69" t="str">
        <f aca="false">01_INPUTS!I15</f>
        <v>A</v>
      </c>
      <c r="C7204" s="69" t="str">
        <f aca="false">05_HISTORICO_EQUIPOS!C7209</f>
        <v>PLAN</v>
      </c>
      <c r="D7204" s="69" t="str">
        <f aca="false">05_HISTORICO_EQUIPOS!B7209</f>
        <v>CADIZ</v>
      </c>
      <c r="E7204" s="69" t="str">
        <f aca="false">05_HISTORICO_EQUIPOS!D7209</f>
        <v>China</v>
      </c>
      <c r="F7204" s="69" t="str">
        <f aca="false">05_HISTORICO_EQUIPOS!E7209</f>
        <v>Eléctrico</v>
      </c>
      <c r="G7204" s="70" t="str">
        <f aca="false">05_HISTORICO_EQUIPOS!F7209</f>
        <v>Costo unitario de producción tercerizada</v>
      </c>
      <c r="H7204" s="67" t="n">
        <f aca="false">05_HISTORICO_EQUIPOS!G7209</f>
        <v>0</v>
      </c>
      <c r="I7204" s="69" t="str">
        <f aca="false">05_HISTORICO_EQUIPOS!H7209</f>
        <v>USD/u.</v>
      </c>
      <c r="J7204" s="67" t="n">
        <f aca="false">05_HISTORICO_EQUIPOS!G7209</f>
        <v>0</v>
      </c>
      <c r="K7204" s="69" t="str">
        <f aca="false">05_HISTORICO_EQUIPOS!H7209</f>
        <v>USD/u.</v>
      </c>
      <c r="L7204" s="71" t="b">
        <f aca="false">TRUE()</f>
        <v>1</v>
      </c>
    </row>
    <row r="7205" customFormat="false" ht="15" hidden="false" customHeight="false" outlineLevel="0" collapsed="false">
      <c r="A7205" s="69" t="n">
        <f aca="false">05_HISTORICO_EQUIPOS!A7210</f>
        <v>2</v>
      </c>
      <c r="B7205" s="69" t="str">
        <f aca="false">01_INPUTS!I15</f>
        <v>A</v>
      </c>
      <c r="C7205" s="69" t="str">
        <f aca="false">05_HISTORICO_EQUIPOS!C7210</f>
        <v>PLAN</v>
      </c>
      <c r="D7205" s="69" t="str">
        <f aca="false">05_HISTORICO_EQUIPOS!B7210</f>
        <v>CADIZ</v>
      </c>
      <c r="E7205" s="69" t="str">
        <f aca="false">05_HISTORICO_EQUIPOS!D7210</f>
        <v>China</v>
      </c>
      <c r="F7205" s="69" t="str">
        <f aca="false">05_HISTORICO_EQUIPOS!E7210</f>
        <v>Hidrógeno</v>
      </c>
      <c r="G7205" s="70" t="str">
        <f aca="false">05_HISTORICO_EQUIPOS!F7210</f>
        <v>Costo unitario de producción propia</v>
      </c>
      <c r="H7205" s="67" t="n">
        <f aca="false">05_HISTORICO_EQUIPOS!G7210</f>
        <v>14051.3756273759</v>
      </c>
      <c r="I7205" s="69" t="str">
        <f aca="false">05_HISTORICO_EQUIPOS!H7210</f>
        <v>USD/u.</v>
      </c>
      <c r="J7205" s="67" t="n">
        <f aca="false">05_HISTORICO_EQUIPOS!G7210</f>
        <v>14051.3756273759</v>
      </c>
      <c r="K7205" s="69" t="str">
        <f aca="false">05_HISTORICO_EQUIPOS!H7210</f>
        <v>USD/u.</v>
      </c>
      <c r="L7205" s="71" t="b">
        <f aca="false">TRUE()</f>
        <v>1</v>
      </c>
    </row>
    <row r="7206" customFormat="false" ht="15" hidden="false" customHeight="false" outlineLevel="0" collapsed="false">
      <c r="A7206" s="69" t="n">
        <f aca="false">05_HISTORICO_EQUIPOS!A7211</f>
        <v>2</v>
      </c>
      <c r="B7206" s="69" t="str">
        <f aca="false">01_INPUTS!I15</f>
        <v>A</v>
      </c>
      <c r="C7206" s="69" t="str">
        <f aca="false">05_HISTORICO_EQUIPOS!C7211</f>
        <v>PLAN</v>
      </c>
      <c r="D7206" s="69" t="str">
        <f aca="false">05_HISTORICO_EQUIPOS!B7211</f>
        <v>CADIZ</v>
      </c>
      <c r="E7206" s="69" t="str">
        <f aca="false">05_HISTORICO_EQUIPOS!D7211</f>
        <v>China</v>
      </c>
      <c r="F7206" s="69" t="str">
        <f aca="false">05_HISTORICO_EQUIPOS!E7211</f>
        <v>Hidrógeno</v>
      </c>
      <c r="G7206" s="70" t="str">
        <f aca="false">05_HISTORICO_EQUIPOS!F7211</f>
        <v>Costo unitario de producción tercerizada</v>
      </c>
      <c r="H7206" s="67" t="n">
        <f aca="false">05_HISTORICO_EQUIPOS!G7211</f>
        <v>0</v>
      </c>
      <c r="I7206" s="69" t="str">
        <f aca="false">05_HISTORICO_EQUIPOS!H7211</f>
        <v>USD/u.</v>
      </c>
      <c r="J7206" s="67" t="n">
        <f aca="false">05_HISTORICO_EQUIPOS!G7211</f>
        <v>0</v>
      </c>
      <c r="K7206" s="69" t="str">
        <f aca="false">05_HISTORICO_EQUIPOS!H7211</f>
        <v>USD/u.</v>
      </c>
      <c r="L7206" s="71" t="b">
        <f aca="false">TRUE()</f>
        <v>1</v>
      </c>
    </row>
    <row r="7207" customFormat="false" ht="15" hidden="false" customHeight="false" outlineLevel="0" collapsed="false">
      <c r="A7207" s="69" t="n">
        <f aca="false">05_HISTORICO_EQUIPOS!A7212</f>
        <v>2</v>
      </c>
      <c r="B7207" s="69" t="str">
        <f aca="false">01_INPUTS!I15</f>
        <v>A</v>
      </c>
      <c r="C7207" s="69" t="str">
        <f aca="false">05_HISTORICO_EQUIPOS!C7212</f>
        <v>PLAN</v>
      </c>
      <c r="D7207" s="69" t="str">
        <f aca="false">05_HISTORICO_EQUIPOS!B7212</f>
        <v>CADIZ</v>
      </c>
      <c r="E7207" s="69" t="str">
        <f aca="false">05_HISTORICO_EQUIPOS!D7212</f>
        <v>EE.UU.</v>
      </c>
      <c r="F7207" s="69" t="str">
        <f aca="false">05_HISTORICO_EQUIPOS!E7212</f>
        <v>NA</v>
      </c>
      <c r="G7207" s="70" t="str">
        <f aca="false">05_HISTORICO_EQUIPOS!F7212</f>
        <v>Ventas totales (unidades)</v>
      </c>
      <c r="H7207" s="67" t="n">
        <f aca="false">05_HISTORICO_EQUIPOS!G7212</f>
        <v>1514179.73166806</v>
      </c>
      <c r="I7207" s="12" t="s">
        <v>895</v>
      </c>
      <c r="J7207" s="67" t="n">
        <f aca="false">05_HISTORICO_EQUIPOS!G7212</f>
        <v>1514179.73166806</v>
      </c>
      <c r="K7207" s="69" t="str">
        <f aca="false">05_HISTORICO_EQUIPOS!H7212</f>
        <v>u.</v>
      </c>
      <c r="L7207" s="71" t="b">
        <f aca="false">TRUE()</f>
        <v>1</v>
      </c>
    </row>
    <row r="7208" customFormat="false" ht="15" hidden="false" customHeight="false" outlineLevel="0" collapsed="false">
      <c r="A7208" s="69" t="n">
        <f aca="false">05_HISTORICO_EQUIPOS!A7213</f>
        <v>2</v>
      </c>
      <c r="B7208" s="69" t="str">
        <f aca="false">01_INPUTS!I15</f>
        <v>A</v>
      </c>
      <c r="C7208" s="69" t="str">
        <f aca="false">05_HISTORICO_EQUIPOS!C7213</f>
        <v>PLAN</v>
      </c>
      <c r="D7208" s="69" t="str">
        <f aca="false">05_HISTORICO_EQUIPOS!B7213</f>
        <v>CADIZ</v>
      </c>
      <c r="E7208" s="69" t="str">
        <f aca="false">05_HISTORICO_EQUIPOS!D7213</f>
        <v>EE.UU.</v>
      </c>
      <c r="F7208" s="69" t="str">
        <f aca="false">05_HISTORICO_EQUIPOS!E7213</f>
        <v>Combustión</v>
      </c>
      <c r="G7208" s="70" t="str">
        <f aca="false">05_HISTORICO_EQUIPOS!F7213</f>
        <v>Ventas totales (unidades)</v>
      </c>
      <c r="H7208" s="67" t="n">
        <f aca="false">05_HISTORICO_EQUIPOS!G7213</f>
        <v>1164986.24356693</v>
      </c>
      <c r="I7208" s="12" t="s">
        <v>895</v>
      </c>
      <c r="J7208" s="67" t="n">
        <f aca="false">05_HISTORICO_EQUIPOS!G7213</f>
        <v>1164986.24356693</v>
      </c>
      <c r="K7208" s="69" t="str">
        <f aca="false">05_HISTORICO_EQUIPOS!H7213</f>
        <v>u.</v>
      </c>
      <c r="L7208" s="71" t="b">
        <f aca="false">TRUE()</f>
        <v>1</v>
      </c>
    </row>
    <row r="7209" customFormat="false" ht="15" hidden="false" customHeight="false" outlineLevel="0" collapsed="false">
      <c r="A7209" s="69" t="n">
        <f aca="false">05_HISTORICO_EQUIPOS!A7214</f>
        <v>2</v>
      </c>
      <c r="B7209" s="69" t="str">
        <f aca="false">01_INPUTS!I15</f>
        <v>A</v>
      </c>
      <c r="C7209" s="69" t="str">
        <f aca="false">05_HISTORICO_EQUIPOS!C7214</f>
        <v>PLAN</v>
      </c>
      <c r="D7209" s="69" t="str">
        <f aca="false">05_HISTORICO_EQUIPOS!B7214</f>
        <v>CADIZ</v>
      </c>
      <c r="E7209" s="69" t="str">
        <f aca="false">05_HISTORICO_EQUIPOS!D7214</f>
        <v>EE.UU.</v>
      </c>
      <c r="F7209" s="69" t="str">
        <f aca="false">05_HISTORICO_EQUIPOS!E7214</f>
        <v>Híbrido</v>
      </c>
      <c r="G7209" s="70" t="str">
        <f aca="false">05_HISTORICO_EQUIPOS!F7214</f>
        <v>Ventas totales (unidades)</v>
      </c>
      <c r="H7209" s="67" t="n">
        <f aca="false">05_HISTORICO_EQUIPOS!G7214</f>
        <v>349193.488101125</v>
      </c>
      <c r="I7209" s="12" t="s">
        <v>895</v>
      </c>
      <c r="J7209" s="67" t="n">
        <f aca="false">05_HISTORICO_EQUIPOS!G7214</f>
        <v>349193.488101125</v>
      </c>
      <c r="K7209" s="69" t="str">
        <f aca="false">05_HISTORICO_EQUIPOS!H7214</f>
        <v>u.</v>
      </c>
      <c r="L7209" s="71" t="b">
        <f aca="false">TRUE()</f>
        <v>1</v>
      </c>
    </row>
    <row r="7210" customFormat="false" ht="15" hidden="false" customHeight="false" outlineLevel="0" collapsed="false">
      <c r="A7210" s="69" t="n">
        <f aca="false">05_HISTORICO_EQUIPOS!A7215</f>
        <v>2</v>
      </c>
      <c r="B7210" s="69" t="str">
        <f aca="false">01_INPUTS!I15</f>
        <v>A</v>
      </c>
      <c r="C7210" s="69" t="str">
        <f aca="false">05_HISTORICO_EQUIPOS!C7215</f>
        <v>PLAN</v>
      </c>
      <c r="D7210" s="69" t="str">
        <f aca="false">05_HISTORICO_EQUIPOS!B7215</f>
        <v>CADIZ</v>
      </c>
      <c r="E7210" s="69" t="str">
        <f aca="false">05_HISTORICO_EQUIPOS!D7215</f>
        <v>EE.UU.</v>
      </c>
      <c r="F7210" s="69" t="str">
        <f aca="false">05_HISTORICO_EQUIPOS!E7215</f>
        <v>Eléctrico</v>
      </c>
      <c r="G7210" s="70" t="str">
        <f aca="false">05_HISTORICO_EQUIPOS!F7215</f>
        <v>Ventas totales (unidades)</v>
      </c>
      <c r="H7210" s="67" t="n">
        <f aca="false">05_HISTORICO_EQUIPOS!G7215</f>
        <v>0</v>
      </c>
      <c r="I7210" s="12" t="s">
        <v>895</v>
      </c>
      <c r="J7210" s="67" t="n">
        <f aca="false">05_HISTORICO_EQUIPOS!G7215</f>
        <v>0</v>
      </c>
      <c r="K7210" s="69" t="str">
        <f aca="false">05_HISTORICO_EQUIPOS!H7215</f>
        <v>u.</v>
      </c>
      <c r="L7210" s="71" t="b">
        <f aca="false">TRUE()</f>
        <v>1</v>
      </c>
    </row>
    <row r="7211" customFormat="false" ht="15" hidden="false" customHeight="false" outlineLevel="0" collapsed="false">
      <c r="A7211" s="69" t="n">
        <f aca="false">05_HISTORICO_EQUIPOS!A7216</f>
        <v>2</v>
      </c>
      <c r="B7211" s="69" t="str">
        <f aca="false">01_INPUTS!I15</f>
        <v>A</v>
      </c>
      <c r="C7211" s="69" t="str">
        <f aca="false">05_HISTORICO_EQUIPOS!C7216</f>
        <v>PLAN</v>
      </c>
      <c r="D7211" s="69" t="str">
        <f aca="false">05_HISTORICO_EQUIPOS!B7216</f>
        <v>CADIZ</v>
      </c>
      <c r="E7211" s="69" t="str">
        <f aca="false">05_HISTORICO_EQUIPOS!D7216</f>
        <v>EE.UU.</v>
      </c>
      <c r="F7211" s="69" t="str">
        <f aca="false">05_HISTORICO_EQUIPOS!E7216</f>
        <v>Hidrógeno</v>
      </c>
      <c r="G7211" s="70" t="str">
        <f aca="false">05_HISTORICO_EQUIPOS!F7216</f>
        <v>Ventas totales (unidades)</v>
      </c>
      <c r="H7211" s="67" t="n">
        <f aca="false">05_HISTORICO_EQUIPOS!G7216</f>
        <v>0</v>
      </c>
      <c r="I7211" s="12" t="s">
        <v>895</v>
      </c>
      <c r="J7211" s="67" t="n">
        <f aca="false">05_HISTORICO_EQUIPOS!G7216</f>
        <v>0</v>
      </c>
      <c r="K7211" s="69" t="str">
        <f aca="false">05_HISTORICO_EQUIPOS!H7216</f>
        <v>u.</v>
      </c>
      <c r="L7211" s="71" t="b">
        <f aca="false">TRUE()</f>
        <v>1</v>
      </c>
    </row>
    <row r="7212" customFormat="false" ht="15" hidden="false" customHeight="false" outlineLevel="0" collapsed="false">
      <c r="A7212" s="69" t="n">
        <f aca="false">05_HISTORICO_EQUIPOS!A7217</f>
        <v>2</v>
      </c>
      <c r="B7212" s="69" t="str">
        <f aca="false">01_INPUTS!I15</f>
        <v>A</v>
      </c>
      <c r="C7212" s="69" t="str">
        <f aca="false">05_HISTORICO_EQUIPOS!C7217</f>
        <v>PLAN</v>
      </c>
      <c r="D7212" s="69" t="str">
        <f aca="false">05_HISTORICO_EQUIPOS!B7217</f>
        <v>CADIZ</v>
      </c>
      <c r="E7212" s="69" t="str">
        <f aca="false">05_HISTORICO_EQUIPOS!D7217</f>
        <v>China</v>
      </c>
      <c r="F7212" s="69" t="str">
        <f aca="false">05_HISTORICO_EQUIPOS!E7217</f>
        <v>NA</v>
      </c>
      <c r="G7212" s="70" t="str">
        <f aca="false">05_HISTORICO_EQUIPOS!F7217</f>
        <v>Ventas totales (unidades)</v>
      </c>
      <c r="H7212" s="67" t="n">
        <f aca="false">05_HISTORICO_EQUIPOS!G7217</f>
        <v>1434406.16563065</v>
      </c>
      <c r="I7212" s="12" t="s">
        <v>895</v>
      </c>
      <c r="J7212" s="67" t="n">
        <f aca="false">05_HISTORICO_EQUIPOS!G7217</f>
        <v>1434406.16563065</v>
      </c>
      <c r="K7212" s="69" t="str">
        <f aca="false">05_HISTORICO_EQUIPOS!H7217</f>
        <v>u.</v>
      </c>
      <c r="L7212" s="71" t="b">
        <f aca="false">TRUE()</f>
        <v>1</v>
      </c>
    </row>
    <row r="7213" customFormat="false" ht="15" hidden="false" customHeight="false" outlineLevel="0" collapsed="false">
      <c r="A7213" s="69" t="n">
        <f aca="false">05_HISTORICO_EQUIPOS!A7218</f>
        <v>2</v>
      </c>
      <c r="B7213" s="69" t="str">
        <f aca="false">01_INPUTS!I15</f>
        <v>A</v>
      </c>
      <c r="C7213" s="69" t="str">
        <f aca="false">05_HISTORICO_EQUIPOS!C7218</f>
        <v>PLAN</v>
      </c>
      <c r="D7213" s="69" t="str">
        <f aca="false">05_HISTORICO_EQUIPOS!B7218</f>
        <v>CADIZ</v>
      </c>
      <c r="E7213" s="69" t="str">
        <f aca="false">05_HISTORICO_EQUIPOS!D7218</f>
        <v>China</v>
      </c>
      <c r="F7213" s="69" t="str">
        <f aca="false">05_HISTORICO_EQUIPOS!E7218</f>
        <v>Combustión</v>
      </c>
      <c r="G7213" s="70" t="str">
        <f aca="false">05_HISTORICO_EQUIPOS!F7218</f>
        <v>Ventas totales (unidades)</v>
      </c>
      <c r="H7213" s="67" t="n">
        <f aca="false">05_HISTORICO_EQUIPOS!G7218</f>
        <v>936000</v>
      </c>
      <c r="I7213" s="12" t="s">
        <v>895</v>
      </c>
      <c r="J7213" s="67" t="n">
        <f aca="false">05_HISTORICO_EQUIPOS!G7218</f>
        <v>936000</v>
      </c>
      <c r="K7213" s="69" t="str">
        <f aca="false">05_HISTORICO_EQUIPOS!H7218</f>
        <v>u.</v>
      </c>
      <c r="L7213" s="71" t="b">
        <f aca="false">TRUE()</f>
        <v>1</v>
      </c>
    </row>
    <row r="7214" customFormat="false" ht="15" hidden="false" customHeight="false" outlineLevel="0" collapsed="false">
      <c r="A7214" s="69" t="n">
        <f aca="false">05_HISTORICO_EQUIPOS!A7219</f>
        <v>2</v>
      </c>
      <c r="B7214" s="69" t="str">
        <f aca="false">01_INPUTS!I15</f>
        <v>A</v>
      </c>
      <c r="C7214" s="69" t="str">
        <f aca="false">05_HISTORICO_EQUIPOS!C7219</f>
        <v>PLAN</v>
      </c>
      <c r="D7214" s="69" t="str">
        <f aca="false">05_HISTORICO_EQUIPOS!B7219</f>
        <v>CADIZ</v>
      </c>
      <c r="E7214" s="69" t="str">
        <f aca="false">05_HISTORICO_EQUIPOS!D7219</f>
        <v>China</v>
      </c>
      <c r="F7214" s="69" t="str">
        <f aca="false">05_HISTORICO_EQUIPOS!E7219</f>
        <v>Híbrido</v>
      </c>
      <c r="G7214" s="70" t="str">
        <f aca="false">05_HISTORICO_EQUIPOS!F7219</f>
        <v>Ventas totales (unidades)</v>
      </c>
      <c r="H7214" s="67" t="n">
        <f aca="false">05_HISTORICO_EQUIPOS!G7219</f>
        <v>498406.165630653</v>
      </c>
      <c r="I7214" s="12" t="s">
        <v>895</v>
      </c>
      <c r="J7214" s="67" t="n">
        <f aca="false">05_HISTORICO_EQUIPOS!G7219</f>
        <v>498406.165630653</v>
      </c>
      <c r="K7214" s="69" t="str">
        <f aca="false">05_HISTORICO_EQUIPOS!H7219</f>
        <v>u.</v>
      </c>
      <c r="L7214" s="71" t="b">
        <f aca="false">TRUE()</f>
        <v>1</v>
      </c>
    </row>
    <row r="7215" customFormat="false" ht="15" hidden="false" customHeight="false" outlineLevel="0" collapsed="false">
      <c r="A7215" s="69" t="n">
        <f aca="false">05_HISTORICO_EQUIPOS!A7220</f>
        <v>2</v>
      </c>
      <c r="B7215" s="69" t="str">
        <f aca="false">01_INPUTS!I15</f>
        <v>A</v>
      </c>
      <c r="C7215" s="69" t="str">
        <f aca="false">05_HISTORICO_EQUIPOS!C7220</f>
        <v>PLAN</v>
      </c>
      <c r="D7215" s="69" t="str">
        <f aca="false">05_HISTORICO_EQUIPOS!B7220</f>
        <v>CADIZ</v>
      </c>
      <c r="E7215" s="69" t="str">
        <f aca="false">05_HISTORICO_EQUIPOS!D7220</f>
        <v>China</v>
      </c>
      <c r="F7215" s="69" t="str">
        <f aca="false">05_HISTORICO_EQUIPOS!E7220</f>
        <v>Eléctrico</v>
      </c>
      <c r="G7215" s="70" t="str">
        <f aca="false">05_HISTORICO_EQUIPOS!F7220</f>
        <v>Ventas totales (unidades)</v>
      </c>
      <c r="H7215" s="67" t="n">
        <f aca="false">05_HISTORICO_EQUIPOS!G7220</f>
        <v>0</v>
      </c>
      <c r="I7215" s="12" t="s">
        <v>895</v>
      </c>
      <c r="J7215" s="67" t="n">
        <f aca="false">05_HISTORICO_EQUIPOS!G7220</f>
        <v>0</v>
      </c>
      <c r="K7215" s="69" t="str">
        <f aca="false">05_HISTORICO_EQUIPOS!H7220</f>
        <v>u.</v>
      </c>
      <c r="L7215" s="71" t="b">
        <f aca="false">TRUE()</f>
        <v>1</v>
      </c>
    </row>
    <row r="7216" customFormat="false" ht="15" hidden="false" customHeight="false" outlineLevel="0" collapsed="false">
      <c r="A7216" s="69" t="n">
        <f aca="false">05_HISTORICO_EQUIPOS!A7221</f>
        <v>2</v>
      </c>
      <c r="B7216" s="69" t="str">
        <f aca="false">01_INPUTS!I15</f>
        <v>A</v>
      </c>
      <c r="C7216" s="69" t="str">
        <f aca="false">05_HISTORICO_EQUIPOS!C7221</f>
        <v>PLAN</v>
      </c>
      <c r="D7216" s="69" t="str">
        <f aca="false">05_HISTORICO_EQUIPOS!B7221</f>
        <v>CADIZ</v>
      </c>
      <c r="E7216" s="69" t="str">
        <f aca="false">05_HISTORICO_EQUIPOS!D7221</f>
        <v>China</v>
      </c>
      <c r="F7216" s="69" t="str">
        <f aca="false">05_HISTORICO_EQUIPOS!E7221</f>
        <v>Hidrógeno</v>
      </c>
      <c r="G7216" s="70" t="str">
        <f aca="false">05_HISTORICO_EQUIPOS!F7221</f>
        <v>Ventas totales (unidades)</v>
      </c>
      <c r="H7216" s="67" t="n">
        <f aca="false">05_HISTORICO_EQUIPOS!G7221</f>
        <v>0</v>
      </c>
      <c r="I7216" s="12" t="s">
        <v>895</v>
      </c>
      <c r="J7216" s="67" t="n">
        <f aca="false">05_HISTORICO_EQUIPOS!G7221</f>
        <v>0</v>
      </c>
      <c r="K7216" s="69" t="str">
        <f aca="false">05_HISTORICO_EQUIPOS!H7221</f>
        <v>u.</v>
      </c>
      <c r="L7216" s="71" t="b">
        <f aca="false">TRUE()</f>
        <v>1</v>
      </c>
    </row>
    <row r="7217" customFormat="false" ht="15" hidden="false" customHeight="false" outlineLevel="0" collapsed="false">
      <c r="A7217" s="69" t="n">
        <f aca="false">05_HISTORICO_EQUIPOS!A7222</f>
        <v>2</v>
      </c>
      <c r="B7217" s="69" t="str">
        <f aca="false">01_INPUTS!I15</f>
        <v>A</v>
      </c>
      <c r="C7217" s="69" t="str">
        <f aca="false">05_HISTORICO_EQUIPOS!C7222</f>
        <v>PLAN</v>
      </c>
      <c r="D7217" s="69" t="str">
        <f aca="false">05_HISTORICO_EQUIPOS!B7222</f>
        <v>CADIZ</v>
      </c>
      <c r="E7217" s="69" t="str">
        <f aca="false">05_HISTORICO_EQUIPOS!D7222</f>
        <v>EE.UU.</v>
      </c>
      <c r="F7217" s="69" t="str">
        <f aca="false">05_HISTORICO_EQUIPOS!E7222</f>
        <v>NA</v>
      </c>
      <c r="G7217" s="70" t="str">
        <f aca="false">05_HISTORICO_EQUIPOS!F7222</f>
        <v>Demanda estimada CADIZ (unidades)</v>
      </c>
      <c r="H7217" s="67" t="n">
        <f aca="false">05_HISTORICO_EQUIPOS!G7222</f>
        <v>1041454.72725094</v>
      </c>
      <c r="I7217" s="12" t="s">
        <v>895</v>
      </c>
      <c r="J7217" s="67" t="n">
        <f aca="false">05_HISTORICO_EQUIPOS!G7222</f>
        <v>1041454.72725094</v>
      </c>
      <c r="K7217" s="69" t="str">
        <f aca="false">05_HISTORICO_EQUIPOS!H7222</f>
        <v>u.</v>
      </c>
      <c r="L7217" s="71" t="b">
        <f aca="false">TRUE()</f>
        <v>1</v>
      </c>
    </row>
    <row r="7218" customFormat="false" ht="15" hidden="false" customHeight="false" outlineLevel="0" collapsed="false">
      <c r="A7218" s="69" t="n">
        <f aca="false">05_HISTORICO_EQUIPOS!A7223</f>
        <v>2</v>
      </c>
      <c r="B7218" s="69" t="str">
        <f aca="false">01_INPUTS!I15</f>
        <v>A</v>
      </c>
      <c r="C7218" s="69" t="str">
        <f aca="false">05_HISTORICO_EQUIPOS!C7223</f>
        <v>PLAN</v>
      </c>
      <c r="D7218" s="69" t="str">
        <f aca="false">05_HISTORICO_EQUIPOS!B7223</f>
        <v>CADIZ</v>
      </c>
      <c r="E7218" s="69" t="str">
        <f aca="false">05_HISTORICO_EQUIPOS!D7223</f>
        <v>EE.UU.</v>
      </c>
      <c r="F7218" s="69" t="str">
        <f aca="false">05_HISTORICO_EQUIPOS!E7223</f>
        <v>Combustión</v>
      </c>
      <c r="G7218" s="70" t="str">
        <f aca="false">05_HISTORICO_EQUIPOS!F7223</f>
        <v>Demanda estimada CADIZ (unidades)</v>
      </c>
      <c r="H7218" s="67" t="n">
        <f aca="false">05_HISTORICO_EQUIPOS!G7223</f>
        <v>747011.127700958</v>
      </c>
      <c r="I7218" s="12" t="s">
        <v>895</v>
      </c>
      <c r="J7218" s="67" t="n">
        <f aca="false">05_HISTORICO_EQUIPOS!G7223</f>
        <v>747011.127700958</v>
      </c>
      <c r="K7218" s="69" t="str">
        <f aca="false">05_HISTORICO_EQUIPOS!H7223</f>
        <v>u.</v>
      </c>
      <c r="L7218" s="71" t="b">
        <f aca="false">TRUE()</f>
        <v>1</v>
      </c>
    </row>
    <row r="7219" customFormat="false" ht="15" hidden="false" customHeight="false" outlineLevel="0" collapsed="false">
      <c r="A7219" s="69" t="n">
        <f aca="false">05_HISTORICO_EQUIPOS!A7224</f>
        <v>2</v>
      </c>
      <c r="B7219" s="69" t="str">
        <f aca="false">01_INPUTS!I15</f>
        <v>A</v>
      </c>
      <c r="C7219" s="69" t="str">
        <f aca="false">05_HISTORICO_EQUIPOS!C7224</f>
        <v>PLAN</v>
      </c>
      <c r="D7219" s="69" t="str">
        <f aca="false">05_HISTORICO_EQUIPOS!B7224</f>
        <v>CADIZ</v>
      </c>
      <c r="E7219" s="69" t="str">
        <f aca="false">05_HISTORICO_EQUIPOS!D7224</f>
        <v>EE.UU.</v>
      </c>
      <c r="F7219" s="69" t="str">
        <f aca="false">05_HISTORICO_EQUIPOS!E7224</f>
        <v>Híbrido</v>
      </c>
      <c r="G7219" s="70" t="str">
        <f aca="false">05_HISTORICO_EQUIPOS!F7224</f>
        <v>Demanda estimada CADIZ (unidades)</v>
      </c>
      <c r="H7219" s="67" t="n">
        <f aca="false">05_HISTORICO_EQUIPOS!G7224</f>
        <v>294443.599549982</v>
      </c>
      <c r="I7219" s="12" t="s">
        <v>895</v>
      </c>
      <c r="J7219" s="67" t="n">
        <f aca="false">05_HISTORICO_EQUIPOS!G7224</f>
        <v>294443.599549982</v>
      </c>
      <c r="K7219" s="69" t="str">
        <f aca="false">05_HISTORICO_EQUIPOS!H7224</f>
        <v>u.</v>
      </c>
      <c r="L7219" s="71" t="b">
        <f aca="false">TRUE()</f>
        <v>1</v>
      </c>
    </row>
    <row r="7220" customFormat="false" ht="15" hidden="false" customHeight="false" outlineLevel="0" collapsed="false">
      <c r="A7220" s="69" t="n">
        <f aca="false">05_HISTORICO_EQUIPOS!A7225</f>
        <v>2</v>
      </c>
      <c r="B7220" s="69" t="str">
        <f aca="false">01_INPUTS!I15</f>
        <v>A</v>
      </c>
      <c r="C7220" s="69" t="str">
        <f aca="false">05_HISTORICO_EQUIPOS!C7225</f>
        <v>PLAN</v>
      </c>
      <c r="D7220" s="69" t="str">
        <f aca="false">05_HISTORICO_EQUIPOS!B7225</f>
        <v>CADIZ</v>
      </c>
      <c r="E7220" s="69" t="str">
        <f aca="false">05_HISTORICO_EQUIPOS!D7225</f>
        <v>EE.UU.</v>
      </c>
      <c r="F7220" s="69" t="str">
        <f aca="false">05_HISTORICO_EQUIPOS!E7225</f>
        <v>Eléctrico</v>
      </c>
      <c r="G7220" s="70" t="str">
        <f aca="false">05_HISTORICO_EQUIPOS!F7225</f>
        <v>Demanda estimada CADIZ (unidades)</v>
      </c>
      <c r="H7220" s="67" t="n">
        <f aca="false">05_HISTORICO_EQUIPOS!G7225</f>
        <v>0</v>
      </c>
      <c r="I7220" s="12" t="s">
        <v>895</v>
      </c>
      <c r="J7220" s="67" t="n">
        <f aca="false">05_HISTORICO_EQUIPOS!G7225</f>
        <v>0</v>
      </c>
      <c r="K7220" s="69" t="str">
        <f aca="false">05_HISTORICO_EQUIPOS!H7225</f>
        <v>u.</v>
      </c>
      <c r="L7220" s="71" t="b">
        <f aca="false">TRUE()</f>
        <v>1</v>
      </c>
    </row>
    <row r="7221" customFormat="false" ht="15" hidden="false" customHeight="false" outlineLevel="0" collapsed="false">
      <c r="A7221" s="69" t="n">
        <f aca="false">05_HISTORICO_EQUIPOS!A7226</f>
        <v>2</v>
      </c>
      <c r="B7221" s="69" t="str">
        <f aca="false">01_INPUTS!I15</f>
        <v>A</v>
      </c>
      <c r="C7221" s="69" t="str">
        <f aca="false">05_HISTORICO_EQUIPOS!C7226</f>
        <v>PLAN</v>
      </c>
      <c r="D7221" s="69" t="str">
        <f aca="false">05_HISTORICO_EQUIPOS!B7226</f>
        <v>CADIZ</v>
      </c>
      <c r="E7221" s="69" t="str">
        <f aca="false">05_HISTORICO_EQUIPOS!D7226</f>
        <v>EE.UU.</v>
      </c>
      <c r="F7221" s="69" t="str">
        <f aca="false">05_HISTORICO_EQUIPOS!E7226</f>
        <v>Hidrógeno</v>
      </c>
      <c r="G7221" s="70" t="str">
        <f aca="false">05_HISTORICO_EQUIPOS!F7226</f>
        <v>Demanda estimada CADIZ (unidades)</v>
      </c>
      <c r="H7221" s="67" t="n">
        <f aca="false">05_HISTORICO_EQUIPOS!G7226</f>
        <v>0</v>
      </c>
      <c r="I7221" s="12" t="s">
        <v>895</v>
      </c>
      <c r="J7221" s="67" t="n">
        <f aca="false">05_HISTORICO_EQUIPOS!G7226</f>
        <v>0</v>
      </c>
      <c r="K7221" s="69" t="str">
        <f aca="false">05_HISTORICO_EQUIPOS!H7226</f>
        <v>u.</v>
      </c>
      <c r="L7221" s="71" t="b">
        <f aca="false">TRUE()</f>
        <v>1</v>
      </c>
    </row>
    <row r="7222" customFormat="false" ht="15" hidden="false" customHeight="false" outlineLevel="0" collapsed="false">
      <c r="A7222" s="69" t="n">
        <f aca="false">05_HISTORICO_EQUIPOS!A7227</f>
        <v>2</v>
      </c>
      <c r="B7222" s="69" t="str">
        <f aca="false">01_INPUTS!I15</f>
        <v>A</v>
      </c>
      <c r="C7222" s="69" t="str">
        <f aca="false">05_HISTORICO_EQUIPOS!C7227</f>
        <v>PLAN</v>
      </c>
      <c r="D7222" s="69" t="str">
        <f aca="false">05_HISTORICO_EQUIPOS!B7227</f>
        <v>CADIZ</v>
      </c>
      <c r="E7222" s="69" t="str">
        <f aca="false">05_HISTORICO_EQUIPOS!D7227</f>
        <v>China</v>
      </c>
      <c r="F7222" s="69" t="str">
        <f aca="false">05_HISTORICO_EQUIPOS!E7227</f>
        <v>NA</v>
      </c>
      <c r="G7222" s="70" t="str">
        <f aca="false">05_HISTORICO_EQUIPOS!F7227</f>
        <v>Demanda estimada CADIZ (unidades)</v>
      </c>
      <c r="H7222" s="67" t="n">
        <f aca="false">05_HISTORICO_EQUIPOS!G7227</f>
        <v>900706.839552217</v>
      </c>
      <c r="I7222" s="12" t="s">
        <v>895</v>
      </c>
      <c r="J7222" s="67" t="n">
        <f aca="false">05_HISTORICO_EQUIPOS!G7227</f>
        <v>900706.839552217</v>
      </c>
      <c r="K7222" s="69" t="str">
        <f aca="false">05_HISTORICO_EQUIPOS!H7227</f>
        <v>u.</v>
      </c>
      <c r="L7222" s="71" t="b">
        <f aca="false">TRUE()</f>
        <v>1</v>
      </c>
    </row>
    <row r="7223" customFormat="false" ht="15" hidden="false" customHeight="false" outlineLevel="0" collapsed="false">
      <c r="A7223" s="69" t="n">
        <f aca="false">05_HISTORICO_EQUIPOS!A7228</f>
        <v>2</v>
      </c>
      <c r="B7223" s="69" t="str">
        <f aca="false">01_INPUTS!I15</f>
        <v>A</v>
      </c>
      <c r="C7223" s="69" t="str">
        <f aca="false">05_HISTORICO_EQUIPOS!C7228</f>
        <v>PLAN</v>
      </c>
      <c r="D7223" s="69" t="str">
        <f aca="false">05_HISTORICO_EQUIPOS!B7228</f>
        <v>CADIZ</v>
      </c>
      <c r="E7223" s="69" t="str">
        <f aca="false">05_HISTORICO_EQUIPOS!D7228</f>
        <v>China</v>
      </c>
      <c r="F7223" s="69" t="str">
        <f aca="false">05_HISTORICO_EQUIPOS!E7228</f>
        <v>Combustión</v>
      </c>
      <c r="G7223" s="70" t="str">
        <f aca="false">05_HISTORICO_EQUIPOS!F7228</f>
        <v>Demanda estimada CADIZ (unidades)</v>
      </c>
      <c r="H7223" s="67" t="n">
        <f aca="false">05_HISTORICO_EQUIPOS!G7228</f>
        <v>669333.512286469</v>
      </c>
      <c r="I7223" s="12" t="s">
        <v>895</v>
      </c>
      <c r="J7223" s="67" t="n">
        <f aca="false">05_HISTORICO_EQUIPOS!G7228</f>
        <v>669333.512286469</v>
      </c>
      <c r="K7223" s="69" t="str">
        <f aca="false">05_HISTORICO_EQUIPOS!H7228</f>
        <v>u.</v>
      </c>
      <c r="L7223" s="71" t="b">
        <f aca="false">TRUE()</f>
        <v>1</v>
      </c>
    </row>
    <row r="7224" customFormat="false" ht="15" hidden="false" customHeight="false" outlineLevel="0" collapsed="false">
      <c r="A7224" s="69" t="n">
        <f aca="false">05_HISTORICO_EQUIPOS!A7229</f>
        <v>2</v>
      </c>
      <c r="B7224" s="69" t="str">
        <f aca="false">01_INPUTS!I15</f>
        <v>A</v>
      </c>
      <c r="C7224" s="69" t="str">
        <f aca="false">05_HISTORICO_EQUIPOS!C7229</f>
        <v>PLAN</v>
      </c>
      <c r="D7224" s="69" t="str">
        <f aca="false">05_HISTORICO_EQUIPOS!B7229</f>
        <v>CADIZ</v>
      </c>
      <c r="E7224" s="69" t="str">
        <f aca="false">05_HISTORICO_EQUIPOS!D7229</f>
        <v>China</v>
      </c>
      <c r="F7224" s="69" t="str">
        <f aca="false">05_HISTORICO_EQUIPOS!E7229</f>
        <v>Híbrido</v>
      </c>
      <c r="G7224" s="70" t="str">
        <f aca="false">05_HISTORICO_EQUIPOS!F7229</f>
        <v>Demanda estimada CADIZ (unidades)</v>
      </c>
      <c r="H7224" s="67" t="n">
        <f aca="false">05_HISTORICO_EQUIPOS!G7229</f>
        <v>231373.327265748</v>
      </c>
      <c r="I7224" s="12" t="s">
        <v>895</v>
      </c>
      <c r="J7224" s="67" t="n">
        <f aca="false">05_HISTORICO_EQUIPOS!G7229</f>
        <v>231373.327265748</v>
      </c>
      <c r="K7224" s="69" t="str">
        <f aca="false">05_HISTORICO_EQUIPOS!H7229</f>
        <v>u.</v>
      </c>
      <c r="L7224" s="71" t="b">
        <f aca="false">TRUE()</f>
        <v>1</v>
      </c>
    </row>
    <row r="7225" customFormat="false" ht="15" hidden="false" customHeight="false" outlineLevel="0" collapsed="false">
      <c r="A7225" s="69" t="n">
        <f aca="false">05_HISTORICO_EQUIPOS!A7230</f>
        <v>2</v>
      </c>
      <c r="B7225" s="69" t="str">
        <f aca="false">01_INPUTS!I15</f>
        <v>A</v>
      </c>
      <c r="C7225" s="69" t="str">
        <f aca="false">05_HISTORICO_EQUIPOS!C7230</f>
        <v>PLAN</v>
      </c>
      <c r="D7225" s="69" t="str">
        <f aca="false">05_HISTORICO_EQUIPOS!B7230</f>
        <v>CADIZ</v>
      </c>
      <c r="E7225" s="69" t="str">
        <f aca="false">05_HISTORICO_EQUIPOS!D7230</f>
        <v>China</v>
      </c>
      <c r="F7225" s="69" t="str">
        <f aca="false">05_HISTORICO_EQUIPOS!E7230</f>
        <v>Eléctrico</v>
      </c>
      <c r="G7225" s="70" t="str">
        <f aca="false">05_HISTORICO_EQUIPOS!F7230</f>
        <v>Demanda estimada CADIZ (unidades)</v>
      </c>
      <c r="H7225" s="67" t="n">
        <f aca="false">05_HISTORICO_EQUIPOS!G7230</f>
        <v>0</v>
      </c>
      <c r="I7225" s="12" t="s">
        <v>895</v>
      </c>
      <c r="J7225" s="67" t="n">
        <f aca="false">05_HISTORICO_EQUIPOS!G7230</f>
        <v>0</v>
      </c>
      <c r="K7225" s="69" t="str">
        <f aca="false">05_HISTORICO_EQUIPOS!H7230</f>
        <v>u.</v>
      </c>
      <c r="L7225" s="71" t="b">
        <f aca="false">TRUE()</f>
        <v>1</v>
      </c>
    </row>
    <row r="7226" customFormat="false" ht="15" hidden="false" customHeight="false" outlineLevel="0" collapsed="false">
      <c r="A7226" s="69" t="n">
        <f aca="false">05_HISTORICO_EQUIPOS!A7231</f>
        <v>2</v>
      </c>
      <c r="B7226" s="69" t="str">
        <f aca="false">01_INPUTS!I15</f>
        <v>A</v>
      </c>
      <c r="C7226" s="69" t="str">
        <f aca="false">05_HISTORICO_EQUIPOS!C7231</f>
        <v>PLAN</v>
      </c>
      <c r="D7226" s="69" t="str">
        <f aca="false">05_HISTORICO_EQUIPOS!B7231</f>
        <v>CADIZ</v>
      </c>
      <c r="E7226" s="69" t="str">
        <f aca="false">05_HISTORICO_EQUIPOS!D7231</f>
        <v>China</v>
      </c>
      <c r="F7226" s="69" t="str">
        <f aca="false">05_HISTORICO_EQUIPOS!E7231</f>
        <v>Hidrógeno</v>
      </c>
      <c r="G7226" s="70" t="str">
        <f aca="false">05_HISTORICO_EQUIPOS!F7231</f>
        <v>Demanda estimada CADIZ (unidades)</v>
      </c>
      <c r="H7226" s="67" t="n">
        <f aca="false">05_HISTORICO_EQUIPOS!G7231</f>
        <v>0</v>
      </c>
      <c r="I7226" s="12" t="s">
        <v>895</v>
      </c>
      <c r="J7226" s="67" t="n">
        <f aca="false">05_HISTORICO_EQUIPOS!G7231</f>
        <v>0</v>
      </c>
      <c r="K7226" s="69" t="str">
        <f aca="false">05_HISTORICO_EQUIPOS!H7231</f>
        <v>u.</v>
      </c>
      <c r="L7226" s="71" t="b">
        <f aca="false">TRUE()</f>
        <v>1</v>
      </c>
    </row>
    <row r="7227" customFormat="false" ht="15" hidden="false" customHeight="false" outlineLevel="0" collapsed="false">
      <c r="A7227" s="69" t="n">
        <f aca="false">05_HISTORICO_EQUIPOS!A7232</f>
        <v>2</v>
      </c>
      <c r="B7227" s="69" t="str">
        <f aca="false">01_INPUTS!I15</f>
        <v>A</v>
      </c>
      <c r="C7227" s="69" t="str">
        <f aca="false">05_HISTORICO_EQUIPOS!C7232</f>
        <v>PLAN</v>
      </c>
      <c r="D7227" s="69" t="str">
        <f aca="false">05_HISTORICO_EQUIPOS!B7232</f>
        <v>CADIZ</v>
      </c>
      <c r="E7227" s="69" t="str">
        <f aca="false">05_HISTORICO_EQUIPOS!D7232</f>
        <v>Europa</v>
      </c>
      <c r="F7227" s="69" t="str">
        <f aca="false">05_HISTORICO_EQUIPOS!E7232</f>
        <v>NA</v>
      </c>
      <c r="G7227" s="70" t="str">
        <f aca="false">05_HISTORICO_EQUIPOS!F7232</f>
        <v>Demanda estimada CADIZ (unidades)</v>
      </c>
      <c r="H7227" s="67" t="n">
        <f aca="false">05_HISTORICO_EQUIPOS!G7232</f>
        <v>1006424.33049555</v>
      </c>
      <c r="I7227" s="12" t="s">
        <v>895</v>
      </c>
      <c r="J7227" s="67" t="n">
        <f aca="false">05_HISTORICO_EQUIPOS!G7232</f>
        <v>1006424.33049555</v>
      </c>
      <c r="K7227" s="69" t="str">
        <f aca="false">05_HISTORICO_EQUIPOS!H7232</f>
        <v>u.</v>
      </c>
      <c r="L7227" s="71" t="b">
        <f aca="false">TRUE()</f>
        <v>1</v>
      </c>
    </row>
    <row r="7228" customFormat="false" ht="15" hidden="false" customHeight="false" outlineLevel="0" collapsed="false">
      <c r="A7228" s="69" t="n">
        <f aca="false">05_HISTORICO_EQUIPOS!A7233</f>
        <v>2</v>
      </c>
      <c r="B7228" s="69" t="str">
        <f aca="false">01_INPUTS!I15</f>
        <v>A</v>
      </c>
      <c r="C7228" s="69" t="str">
        <f aca="false">05_HISTORICO_EQUIPOS!C7233</f>
        <v>PLAN</v>
      </c>
      <c r="D7228" s="69" t="str">
        <f aca="false">05_HISTORICO_EQUIPOS!B7233</f>
        <v>CADIZ</v>
      </c>
      <c r="E7228" s="69" t="str">
        <f aca="false">05_HISTORICO_EQUIPOS!D7233</f>
        <v>Europa</v>
      </c>
      <c r="F7228" s="69" t="str">
        <f aca="false">05_HISTORICO_EQUIPOS!E7233</f>
        <v>Combustión</v>
      </c>
      <c r="G7228" s="70" t="str">
        <f aca="false">05_HISTORICO_EQUIPOS!F7233</f>
        <v>Demanda estimada CADIZ (unidades)</v>
      </c>
      <c r="H7228" s="67" t="n">
        <f aca="false">05_HISTORICO_EQUIPOS!G7233</f>
        <v>684641.603579506</v>
      </c>
      <c r="I7228" s="12" t="s">
        <v>895</v>
      </c>
      <c r="J7228" s="67" t="n">
        <f aca="false">05_HISTORICO_EQUIPOS!G7233</f>
        <v>684641.603579506</v>
      </c>
      <c r="K7228" s="69" t="str">
        <f aca="false">05_HISTORICO_EQUIPOS!H7233</f>
        <v>u.</v>
      </c>
      <c r="L7228" s="71" t="b">
        <f aca="false">TRUE()</f>
        <v>1</v>
      </c>
    </row>
    <row r="7229" customFormat="false" ht="15" hidden="false" customHeight="false" outlineLevel="0" collapsed="false">
      <c r="A7229" s="69" t="n">
        <f aca="false">05_HISTORICO_EQUIPOS!A7234</f>
        <v>2</v>
      </c>
      <c r="B7229" s="69" t="str">
        <f aca="false">01_INPUTS!I15</f>
        <v>A</v>
      </c>
      <c r="C7229" s="69" t="str">
        <f aca="false">05_HISTORICO_EQUIPOS!C7234</f>
        <v>PLAN</v>
      </c>
      <c r="D7229" s="69" t="str">
        <f aca="false">05_HISTORICO_EQUIPOS!B7234</f>
        <v>CADIZ</v>
      </c>
      <c r="E7229" s="69" t="str">
        <f aca="false">05_HISTORICO_EQUIPOS!D7234</f>
        <v>Europa</v>
      </c>
      <c r="F7229" s="69" t="str">
        <f aca="false">05_HISTORICO_EQUIPOS!E7234</f>
        <v>Híbrido</v>
      </c>
      <c r="G7229" s="70" t="str">
        <f aca="false">05_HISTORICO_EQUIPOS!F7234</f>
        <v>Demanda estimada CADIZ (unidades)</v>
      </c>
      <c r="H7229" s="67" t="n">
        <f aca="false">05_HISTORICO_EQUIPOS!G7234</f>
        <v>321782.726916048</v>
      </c>
      <c r="I7229" s="12" t="s">
        <v>895</v>
      </c>
      <c r="J7229" s="67" t="n">
        <f aca="false">05_HISTORICO_EQUIPOS!G7234</f>
        <v>321782.726916048</v>
      </c>
      <c r="K7229" s="69" t="str">
        <f aca="false">05_HISTORICO_EQUIPOS!H7234</f>
        <v>u.</v>
      </c>
      <c r="L7229" s="71" t="b">
        <f aca="false">TRUE()</f>
        <v>1</v>
      </c>
    </row>
    <row r="7230" customFormat="false" ht="15" hidden="false" customHeight="false" outlineLevel="0" collapsed="false">
      <c r="A7230" s="69" t="n">
        <f aca="false">05_HISTORICO_EQUIPOS!A7235</f>
        <v>2</v>
      </c>
      <c r="B7230" s="69" t="str">
        <f aca="false">01_INPUTS!I15</f>
        <v>A</v>
      </c>
      <c r="C7230" s="69" t="str">
        <f aca="false">05_HISTORICO_EQUIPOS!C7235</f>
        <v>PLAN</v>
      </c>
      <c r="D7230" s="69" t="str">
        <f aca="false">05_HISTORICO_EQUIPOS!B7235</f>
        <v>CADIZ</v>
      </c>
      <c r="E7230" s="69" t="str">
        <f aca="false">05_HISTORICO_EQUIPOS!D7235</f>
        <v>Europa</v>
      </c>
      <c r="F7230" s="69" t="str">
        <f aca="false">05_HISTORICO_EQUIPOS!E7235</f>
        <v>Eléctrico</v>
      </c>
      <c r="G7230" s="70" t="str">
        <f aca="false">05_HISTORICO_EQUIPOS!F7235</f>
        <v>Demanda estimada CADIZ (unidades)</v>
      </c>
      <c r="H7230" s="67" t="n">
        <f aca="false">05_HISTORICO_EQUIPOS!G7235</f>
        <v>0</v>
      </c>
      <c r="I7230" s="12" t="s">
        <v>895</v>
      </c>
      <c r="J7230" s="67" t="n">
        <f aca="false">05_HISTORICO_EQUIPOS!G7235</f>
        <v>0</v>
      </c>
      <c r="K7230" s="69" t="str">
        <f aca="false">05_HISTORICO_EQUIPOS!H7235</f>
        <v>u.</v>
      </c>
      <c r="L7230" s="71" t="b">
        <f aca="false">TRUE()</f>
        <v>1</v>
      </c>
    </row>
    <row r="7231" customFormat="false" ht="15" hidden="false" customHeight="false" outlineLevel="0" collapsed="false">
      <c r="A7231" s="69" t="n">
        <f aca="false">05_HISTORICO_EQUIPOS!A7236</f>
        <v>2</v>
      </c>
      <c r="B7231" s="69" t="str">
        <f aca="false">01_INPUTS!I15</f>
        <v>A</v>
      </c>
      <c r="C7231" s="69" t="str">
        <f aca="false">05_HISTORICO_EQUIPOS!C7236</f>
        <v>PLAN</v>
      </c>
      <c r="D7231" s="69" t="str">
        <f aca="false">05_HISTORICO_EQUIPOS!B7236</f>
        <v>CADIZ</v>
      </c>
      <c r="E7231" s="69" t="str">
        <f aca="false">05_HISTORICO_EQUIPOS!D7236</f>
        <v>Europa</v>
      </c>
      <c r="F7231" s="69" t="str">
        <f aca="false">05_HISTORICO_EQUIPOS!E7236</f>
        <v>Hidrógeno</v>
      </c>
      <c r="G7231" s="70" t="str">
        <f aca="false">05_HISTORICO_EQUIPOS!F7236</f>
        <v>Demanda estimada CADIZ (unidades)</v>
      </c>
      <c r="H7231" s="67" t="n">
        <f aca="false">05_HISTORICO_EQUIPOS!G7236</f>
        <v>0</v>
      </c>
      <c r="I7231" s="12" t="s">
        <v>895</v>
      </c>
      <c r="J7231" s="67" t="n">
        <f aca="false">05_HISTORICO_EQUIPOS!G7236</f>
        <v>0</v>
      </c>
      <c r="K7231" s="69" t="str">
        <f aca="false">05_HISTORICO_EQUIPOS!H7236</f>
        <v>u.</v>
      </c>
      <c r="L7231" s="71" t="b">
        <f aca="false">TRUE()</f>
        <v>1</v>
      </c>
    </row>
  </sheetData>
  <autoFilter ref="A1:L72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true" outlineLevel="0" max="1" min="1" style="0" width="18"/>
    <col collapsed="false" customWidth="true" hidden="false" outlineLevel="0" max="2" min="2" style="0" width="44"/>
    <col collapsed="false" customWidth="true" hidden="false" outlineLevel="0" max="3" min="3" style="0" width="20"/>
    <col collapsed="false" customWidth="true" hidden="false" outlineLevel="0" max="4" min="4" style="0" width="10"/>
    <col collapsed="false" customWidth="true" hidden="true" outlineLevel="0" max="5" min="5" style="0" width="14"/>
    <col collapsed="false" customWidth="true" hidden="true" outlineLevel="0" max="6" min="6" style="0" width="30"/>
    <col collapsed="false" customWidth="true" hidden="false" outlineLevel="0" max="19" min="7" style="0" width="13"/>
  </cols>
  <sheetData>
    <row r="1" customFormat="false" ht="16.15" hidden="false" customHeight="false" outlineLevel="0" collapsed="false">
      <c r="A1" s="1" t="s">
        <v>896</v>
      </c>
      <c r="B1" s="1"/>
      <c r="C1" s="1"/>
      <c r="D1" s="1"/>
      <c r="E1" s="1"/>
      <c r="F1" s="1"/>
      <c r="G1" s="1"/>
      <c r="H1" s="1"/>
      <c r="I1" s="1"/>
      <c r="J1" s="1"/>
      <c r="K1" s="1"/>
      <c r="L1" s="1"/>
      <c r="M1" s="1"/>
      <c r="N1" s="1"/>
      <c r="O1" s="1"/>
      <c r="P1" s="1"/>
      <c r="Q1" s="1"/>
      <c r="R1" s="1"/>
      <c r="S1" s="1"/>
    </row>
    <row r="3" customFormat="false" ht="15" hidden="false" customHeight="false" outlineLevel="0" collapsed="false">
      <c r="A3" s="4" t="s">
        <v>4</v>
      </c>
      <c r="B3" s="4" t="s">
        <v>5</v>
      </c>
      <c r="C3" s="4" t="s">
        <v>6</v>
      </c>
      <c r="D3" s="4" t="s">
        <v>7</v>
      </c>
      <c r="E3" s="4" t="s">
        <v>8</v>
      </c>
      <c r="F3" s="4" t="s">
        <v>341</v>
      </c>
      <c r="G3" s="4" t="s">
        <v>252</v>
      </c>
      <c r="H3" s="4" t="s">
        <v>253</v>
      </c>
      <c r="I3" s="4" t="s">
        <v>254</v>
      </c>
      <c r="J3" s="4" t="s">
        <v>255</v>
      </c>
      <c r="K3" s="4" t="s">
        <v>256</v>
      </c>
      <c r="L3" s="4" t="s">
        <v>257</v>
      </c>
      <c r="M3" s="4" t="s">
        <v>258</v>
      </c>
      <c r="N3" s="4" t="s">
        <v>259</v>
      </c>
      <c r="O3" s="4" t="s">
        <v>260</v>
      </c>
      <c r="P3" s="4" t="s">
        <v>261</v>
      </c>
      <c r="Q3" s="4" t="s">
        <v>262</v>
      </c>
      <c r="R3" s="4" t="s">
        <v>263</v>
      </c>
      <c r="S3" s="4" t="s">
        <v>264</v>
      </c>
    </row>
    <row r="4" customFormat="false" ht="15" hidden="false" customHeight="false" outlineLevel="0" collapsed="false">
      <c r="A4" s="5" t="s">
        <v>897</v>
      </c>
      <c r="B4" s="5"/>
      <c r="C4" s="5"/>
      <c r="D4" s="5"/>
      <c r="E4" s="5"/>
      <c r="F4" s="5"/>
      <c r="G4" s="5"/>
      <c r="H4" s="5"/>
      <c r="I4" s="5"/>
      <c r="J4" s="5"/>
      <c r="K4" s="5"/>
      <c r="L4" s="5"/>
      <c r="M4" s="5"/>
      <c r="N4" s="5"/>
      <c r="O4" s="5"/>
      <c r="P4" s="5"/>
      <c r="Q4" s="5"/>
      <c r="R4" s="5"/>
      <c r="S4" s="5"/>
    </row>
    <row r="5" customFormat="false" ht="15" hidden="false" customHeight="false" outlineLevel="0" collapsed="false">
      <c r="A5" s="73" t="s">
        <v>898</v>
      </c>
      <c r="B5" s="74" t="s">
        <v>899</v>
      </c>
      <c r="C5" s="66" t="s">
        <v>142</v>
      </c>
      <c r="D5" s="43" t="s">
        <v>42</v>
      </c>
      <c r="E5" s="75" t="s">
        <v>900</v>
      </c>
      <c r="F5" s="76"/>
      <c r="G5" s="10" t="n">
        <v>0.85</v>
      </c>
    </row>
    <row r="6" customFormat="false" ht="15" hidden="false" customHeight="false" outlineLevel="0" collapsed="false">
      <c r="A6" s="73" t="s">
        <v>898</v>
      </c>
      <c r="B6" s="74" t="s">
        <v>901</v>
      </c>
      <c r="C6" s="66" t="s">
        <v>142</v>
      </c>
      <c r="D6" s="43" t="s">
        <v>51</v>
      </c>
      <c r="E6" s="75" t="s">
        <v>900</v>
      </c>
      <c r="F6" s="76"/>
      <c r="G6" s="34" t="n">
        <v>0.5</v>
      </c>
    </row>
    <row r="7" customFormat="false" ht="19.4" hidden="false" customHeight="false" outlineLevel="0" collapsed="false">
      <c r="A7" s="73" t="s">
        <v>898</v>
      </c>
      <c r="B7" s="74" t="s">
        <v>902</v>
      </c>
      <c r="C7" s="66" t="s">
        <v>903</v>
      </c>
      <c r="D7" s="43" t="s">
        <v>42</v>
      </c>
      <c r="E7" s="75" t="s">
        <v>900</v>
      </c>
      <c r="F7" s="76"/>
      <c r="G7" s="10" t="n">
        <v>0.1</v>
      </c>
    </row>
    <row r="8" customFormat="false" ht="15" hidden="false" customHeight="false" outlineLevel="0" collapsed="false">
      <c r="A8" s="73" t="s">
        <v>898</v>
      </c>
      <c r="B8" s="74" t="s">
        <v>904</v>
      </c>
      <c r="C8" s="66" t="s">
        <v>67</v>
      </c>
      <c r="D8" s="43" t="s">
        <v>332</v>
      </c>
      <c r="E8" s="75" t="s">
        <v>900</v>
      </c>
      <c r="F8" s="76"/>
      <c r="G8" s="28" t="n">
        <v>200000</v>
      </c>
    </row>
    <row r="9" customFormat="false" ht="15" hidden="false" customHeight="false" outlineLevel="0" collapsed="false">
      <c r="A9" s="73" t="s">
        <v>898</v>
      </c>
      <c r="B9" s="74" t="s">
        <v>904</v>
      </c>
      <c r="C9" s="66" t="s">
        <v>71</v>
      </c>
      <c r="D9" s="43" t="s">
        <v>332</v>
      </c>
      <c r="E9" s="75" t="s">
        <v>900</v>
      </c>
      <c r="F9" s="76"/>
      <c r="G9" s="28" t="n">
        <v>250000</v>
      </c>
    </row>
    <row r="10" customFormat="false" ht="15" hidden="false" customHeight="false" outlineLevel="0" collapsed="false">
      <c r="A10" s="73" t="s">
        <v>898</v>
      </c>
      <c r="B10" s="74" t="s">
        <v>905</v>
      </c>
      <c r="C10" s="66" t="s">
        <v>906</v>
      </c>
      <c r="D10" s="43" t="s">
        <v>42</v>
      </c>
      <c r="E10" s="75" t="s">
        <v>907</v>
      </c>
      <c r="F10" s="76" t="s">
        <v>908</v>
      </c>
      <c r="G10" s="23" t="n">
        <v>0.1</v>
      </c>
    </row>
    <row r="12" customFormat="false" ht="15" hidden="false" customHeight="false" outlineLevel="0" collapsed="false">
      <c r="A12" s="5" t="s">
        <v>909</v>
      </c>
      <c r="B12" s="5"/>
      <c r="C12" s="5"/>
      <c r="D12" s="5"/>
      <c r="E12" s="5"/>
      <c r="F12" s="5"/>
      <c r="G12" s="5"/>
      <c r="H12" s="5"/>
      <c r="I12" s="5"/>
      <c r="J12" s="5"/>
      <c r="K12" s="5"/>
      <c r="L12" s="5"/>
      <c r="M12" s="5"/>
      <c r="N12" s="5"/>
      <c r="O12" s="5"/>
      <c r="P12" s="5"/>
      <c r="Q12" s="5"/>
      <c r="R12" s="5"/>
      <c r="S12" s="5"/>
    </row>
    <row r="13" customFormat="false" ht="15" hidden="false" customHeight="false" outlineLevel="0" collapsed="false">
      <c r="A13" s="73" t="s">
        <v>910</v>
      </c>
      <c r="B13" s="74" t="s">
        <v>911</v>
      </c>
      <c r="C13" s="66" t="s">
        <v>67</v>
      </c>
      <c r="D13" s="43" t="s">
        <v>912</v>
      </c>
      <c r="E13" s="75" t="s">
        <v>913</v>
      </c>
      <c r="F13" s="76"/>
      <c r="G13" s="36" t="n">
        <f aca="false">IF(ISNUMBER(01_INPUTS!G154),01_INPUTS!G154,0)</f>
        <v>0</v>
      </c>
      <c r="H13" s="36" t="n">
        <f aca="false">IF(ISNUMBER(01_INPUTS!H154),01_INPUTS!H154,0)</f>
        <v>0</v>
      </c>
      <c r="I13" s="36" t="n">
        <f aca="false">IF(ISNUMBER(01_INPUTS!I154),01_INPUTS!I154,0)</f>
        <v>0</v>
      </c>
      <c r="J13" s="36" t="n">
        <f aca="false">IF(ISNUMBER(01_INPUTS!J154),01_INPUTS!J154,0)</f>
        <v>0</v>
      </c>
      <c r="K13" s="36" t="n">
        <f aca="false">IF(ISNUMBER(01_INPUTS!K154),01_INPUTS!K154,0)</f>
        <v>0</v>
      </c>
      <c r="L13" s="36" t="n">
        <f aca="false">IF(ISNUMBER(01_INPUTS!L154),01_INPUTS!L154,0)</f>
        <v>0</v>
      </c>
      <c r="M13" s="36" t="n">
        <f aca="false">IF(ISNUMBER(01_INPUTS!M154),01_INPUTS!M154,0)</f>
        <v>0</v>
      </c>
      <c r="N13" s="36" t="n">
        <f aca="false">IF(ISNUMBER(01_INPUTS!N154),01_INPUTS!N154,0)</f>
        <v>0</v>
      </c>
      <c r="O13" s="36" t="n">
        <f aca="false">IF(ISNUMBER(01_INPUTS!O154),01_INPUTS!O154,0)</f>
        <v>0</v>
      </c>
      <c r="P13" s="36" t="n">
        <f aca="false">IF(ISNUMBER(01_INPUTS!P154),01_INPUTS!P154,0)</f>
        <v>0</v>
      </c>
      <c r="Q13" s="36" t="n">
        <f aca="false">IF(ISNUMBER(01_INPUTS!Q154),01_INPUTS!Q154,0)</f>
        <v>0</v>
      </c>
      <c r="R13" s="36" t="n">
        <f aca="false">IF(ISNUMBER(01_INPUTS!R154),01_INPUTS!R154,0)</f>
        <v>0</v>
      </c>
      <c r="S13" s="36" t="n">
        <f aca="false">IF(ISNUMBER(01_INPUTS!S154),01_INPUTS!S154,0)</f>
        <v>0</v>
      </c>
    </row>
    <row r="14" customFormat="false" ht="15" hidden="false" customHeight="false" outlineLevel="0" collapsed="false">
      <c r="A14" s="73" t="s">
        <v>910</v>
      </c>
      <c r="B14" s="74" t="s">
        <v>914</v>
      </c>
      <c r="C14" s="66" t="s">
        <v>67</v>
      </c>
      <c r="D14" s="43" t="s">
        <v>332</v>
      </c>
      <c r="E14" s="75" t="s">
        <v>43</v>
      </c>
      <c r="F14" s="76"/>
      <c r="G14" s="36" t="n">
        <v>0</v>
      </c>
      <c r="H14" s="36" t="n">
        <v>0</v>
      </c>
      <c r="I14" s="36" t="n">
        <f aca="false">IF(G13&gt;0,G13,0)</f>
        <v>0</v>
      </c>
      <c r="J14" s="36" t="n">
        <f aca="false">IF(H13&gt;0,H13,0)</f>
        <v>0</v>
      </c>
      <c r="K14" s="36" t="n">
        <f aca="false">IF(I13&gt;0,I13,0)</f>
        <v>0</v>
      </c>
      <c r="L14" s="36" t="n">
        <f aca="false">IF(J13&gt;0,J13,0)</f>
        <v>0</v>
      </c>
      <c r="M14" s="36" t="n">
        <f aca="false">IF(K13&gt;0,K13,0)</f>
        <v>0</v>
      </c>
      <c r="N14" s="36" t="n">
        <f aca="false">IF(L13&gt;0,L13,0)</f>
        <v>0</v>
      </c>
      <c r="O14" s="36" t="n">
        <f aca="false">IF(M13&gt;0,M13,0)</f>
        <v>0</v>
      </c>
      <c r="P14" s="36" t="n">
        <f aca="false">IF(N13&gt;0,N13,0)</f>
        <v>0</v>
      </c>
      <c r="Q14" s="36" t="n">
        <f aca="false">IF(O13&gt;0,O13,0)</f>
        <v>0</v>
      </c>
      <c r="R14" s="36" t="n">
        <f aca="false">IF(P13&gt;0,P13,0)</f>
        <v>0</v>
      </c>
      <c r="S14" s="36" t="n">
        <f aca="false">IF(Q13&gt;0,Q13,0)</f>
        <v>0</v>
      </c>
    </row>
    <row r="15" customFormat="false" ht="15" hidden="false" customHeight="false" outlineLevel="0" collapsed="false">
      <c r="A15" s="73" t="s">
        <v>910</v>
      </c>
      <c r="B15" s="74" t="s">
        <v>915</v>
      </c>
      <c r="C15" s="66" t="s">
        <v>67</v>
      </c>
      <c r="D15" s="43" t="s">
        <v>332</v>
      </c>
      <c r="E15" s="75" t="s">
        <v>43</v>
      </c>
      <c r="F15" s="76"/>
      <c r="G15" s="36" t="n">
        <v>0</v>
      </c>
      <c r="H15" s="36" t="n">
        <f aca="false">IF(G13&lt;0,-G13,0)</f>
        <v>0</v>
      </c>
      <c r="I15" s="36" t="n">
        <f aca="false">IF(H13&lt;0,-H13,0)</f>
        <v>0</v>
      </c>
      <c r="J15" s="36" t="n">
        <f aca="false">IF(I13&lt;0,-I13,0)</f>
        <v>0</v>
      </c>
      <c r="K15" s="36" t="n">
        <f aca="false">IF(J13&lt;0,-J13,0)</f>
        <v>0</v>
      </c>
      <c r="L15" s="36" t="n">
        <f aca="false">IF(K13&lt;0,-K13,0)</f>
        <v>0</v>
      </c>
      <c r="M15" s="36" t="n">
        <f aca="false">IF(L13&lt;0,-L13,0)</f>
        <v>0</v>
      </c>
      <c r="N15" s="36" t="n">
        <f aca="false">IF(M13&lt;0,-M13,0)</f>
        <v>0</v>
      </c>
      <c r="O15" s="36" t="n">
        <f aca="false">IF(N13&lt;0,-N13,0)</f>
        <v>0</v>
      </c>
      <c r="P15" s="36" t="n">
        <f aca="false">IF(O13&lt;0,-O13,0)</f>
        <v>0</v>
      </c>
      <c r="Q15" s="36" t="n">
        <f aca="false">IF(P13&lt;0,-P13,0)</f>
        <v>0</v>
      </c>
      <c r="R15" s="36" t="n">
        <f aca="false">IF(Q13&lt;0,-Q13,0)</f>
        <v>0</v>
      </c>
      <c r="S15" s="36" t="n">
        <f aca="false">IF(R13&lt;0,-R13,0)</f>
        <v>0</v>
      </c>
    </row>
    <row r="16" customFormat="false" ht="15" hidden="false" customHeight="false" outlineLevel="0" collapsed="false">
      <c r="A16" s="73" t="s">
        <v>910</v>
      </c>
      <c r="B16" s="74" t="s">
        <v>916</v>
      </c>
      <c r="C16" s="66" t="s">
        <v>67</v>
      </c>
      <c r="D16" s="43" t="s">
        <v>332</v>
      </c>
      <c r="E16" s="75" t="s">
        <v>917</v>
      </c>
      <c r="F16" s="76"/>
      <c r="G16" s="77" t="n">
        <v>1400000</v>
      </c>
      <c r="H16" s="78" t="n">
        <f aca="false">G16+H14-H15</f>
        <v>1400000</v>
      </c>
      <c r="I16" s="78" t="n">
        <f aca="false">H16+I14-I15</f>
        <v>1400000</v>
      </c>
      <c r="J16" s="78" t="n">
        <f aca="false">I16+J14-J15</f>
        <v>1400000</v>
      </c>
      <c r="K16" s="78" t="n">
        <f aca="false">J16+K14-K15</f>
        <v>1400000</v>
      </c>
      <c r="L16" s="78" t="n">
        <f aca="false">K16+L14-L15</f>
        <v>1400000</v>
      </c>
      <c r="M16" s="78" t="n">
        <f aca="false">L16+M14-M15</f>
        <v>1400000</v>
      </c>
      <c r="N16" s="78" t="n">
        <f aca="false">M16+N14-N15</f>
        <v>1400000</v>
      </c>
      <c r="O16" s="78" t="n">
        <f aca="false">N16+O14-O15</f>
        <v>1400000</v>
      </c>
      <c r="P16" s="78" t="n">
        <f aca="false">O16+P14-P15</f>
        <v>1400000</v>
      </c>
      <c r="Q16" s="78" t="n">
        <f aca="false">P16+Q14-Q15</f>
        <v>1400000</v>
      </c>
      <c r="R16" s="78" t="n">
        <f aca="false">Q16+R14-R15</f>
        <v>1400000</v>
      </c>
      <c r="S16" s="78" t="n">
        <f aca="false">R16+S14-S15</f>
        <v>1400000</v>
      </c>
    </row>
    <row r="17" customFormat="false" ht="15" hidden="false" customHeight="false" outlineLevel="0" collapsed="false">
      <c r="A17" s="73" t="s">
        <v>910</v>
      </c>
      <c r="B17" s="74" t="s">
        <v>918</v>
      </c>
      <c r="C17" s="66" t="s">
        <v>67</v>
      </c>
      <c r="D17" s="43" t="s">
        <v>332</v>
      </c>
      <c r="E17" s="75" t="s">
        <v>43</v>
      </c>
      <c r="F17" s="76"/>
      <c r="G17" s="36" t="n">
        <f aca="false">(IF(ISNUMBER(01_INPUTS!G138),01_INPUTS!G138,0)+IF(ISNUMBER(01_INPUTS!G139),01_INPUTS!G139,0)+IF(ISNUMBER(01_INPUTS!G140),01_INPUTS!G140,0)+IF(ISNUMBER(01_INPUTS!G141),01_INPUTS!G141,0))*1000</f>
        <v>980000</v>
      </c>
      <c r="H17" s="36" t="n">
        <f aca="false">(IF(ISNUMBER(01_INPUTS!H138),01_INPUTS!H138,0)+IF(ISNUMBER(01_INPUTS!H139),01_INPUTS!H139,0)+IF(ISNUMBER(01_INPUTS!H140),01_INPUTS!H140,0)+IF(ISNUMBER(01_INPUTS!H141),01_INPUTS!H141,0))*1000</f>
        <v>952000</v>
      </c>
      <c r="I17" s="36" t="n">
        <f aca="false">(IF(ISNUMBER(01_INPUTS!I138),01_INPUTS!I138,0)+IF(ISNUMBER(01_INPUTS!I139),01_INPUTS!I139,0)+IF(ISNUMBER(01_INPUTS!I140),01_INPUTS!I140,0)+IF(ISNUMBER(01_INPUTS!I141),01_INPUTS!I141,0))*1000</f>
        <v>1260000</v>
      </c>
      <c r="J17" s="36" t="n">
        <f aca="false">(IF(ISNUMBER(01_INPUTS!J138),01_INPUTS!J138,0)+IF(ISNUMBER(01_INPUTS!J139),01_INPUTS!J139,0)+IF(ISNUMBER(01_INPUTS!J140),01_INPUTS!J140,0)+IF(ISNUMBER(01_INPUTS!J141),01_INPUTS!J141,0))*1000</f>
        <v>0</v>
      </c>
      <c r="K17" s="36" t="n">
        <f aca="false">(IF(ISNUMBER(01_INPUTS!K138),01_INPUTS!K138,0)+IF(ISNUMBER(01_INPUTS!K139),01_INPUTS!K139,0)+IF(ISNUMBER(01_INPUTS!K140),01_INPUTS!K140,0)+IF(ISNUMBER(01_INPUTS!K141),01_INPUTS!K141,0))*1000</f>
        <v>0</v>
      </c>
      <c r="L17" s="36" t="n">
        <f aca="false">(IF(ISNUMBER(01_INPUTS!L138),01_INPUTS!L138,0)+IF(ISNUMBER(01_INPUTS!L139),01_INPUTS!L139,0)+IF(ISNUMBER(01_INPUTS!L140),01_INPUTS!L140,0)+IF(ISNUMBER(01_INPUTS!L141),01_INPUTS!L141,0))*1000</f>
        <v>0</v>
      </c>
      <c r="M17" s="36" t="n">
        <f aca="false">(IF(ISNUMBER(01_INPUTS!M138),01_INPUTS!M138,0)+IF(ISNUMBER(01_INPUTS!M139),01_INPUTS!M139,0)+IF(ISNUMBER(01_INPUTS!M140),01_INPUTS!M140,0)+IF(ISNUMBER(01_INPUTS!M141),01_INPUTS!M141,0))*1000</f>
        <v>0</v>
      </c>
      <c r="N17" s="36" t="n">
        <f aca="false">(IF(ISNUMBER(01_INPUTS!N138),01_INPUTS!N138,0)+IF(ISNUMBER(01_INPUTS!N139),01_INPUTS!N139,0)+IF(ISNUMBER(01_INPUTS!N140),01_INPUTS!N140,0)+IF(ISNUMBER(01_INPUTS!N141),01_INPUTS!N141,0))*1000</f>
        <v>0</v>
      </c>
      <c r="O17" s="36" t="n">
        <f aca="false">(IF(ISNUMBER(01_INPUTS!O138),01_INPUTS!O138,0)+IF(ISNUMBER(01_INPUTS!O139),01_INPUTS!O139,0)+IF(ISNUMBER(01_INPUTS!O140),01_INPUTS!O140,0)+IF(ISNUMBER(01_INPUTS!O141),01_INPUTS!O141,0))*1000</f>
        <v>0</v>
      </c>
      <c r="P17" s="36" t="n">
        <f aca="false">(IF(ISNUMBER(01_INPUTS!P138),01_INPUTS!P138,0)+IF(ISNUMBER(01_INPUTS!P139),01_INPUTS!P139,0)+IF(ISNUMBER(01_INPUTS!P140),01_INPUTS!P140,0)+IF(ISNUMBER(01_INPUTS!P141),01_INPUTS!P141,0))*1000</f>
        <v>0</v>
      </c>
      <c r="Q17" s="36" t="n">
        <f aca="false">(IF(ISNUMBER(01_INPUTS!Q138),01_INPUTS!Q138,0)+IF(ISNUMBER(01_INPUTS!Q139),01_INPUTS!Q139,0)+IF(ISNUMBER(01_INPUTS!Q140),01_INPUTS!Q140,0)+IF(ISNUMBER(01_INPUTS!Q141),01_INPUTS!Q141,0))*1000</f>
        <v>0</v>
      </c>
      <c r="R17" s="36" t="n">
        <f aca="false">(IF(ISNUMBER(01_INPUTS!R138),01_INPUTS!R138,0)+IF(ISNUMBER(01_INPUTS!R139),01_INPUTS!R139,0)+IF(ISNUMBER(01_INPUTS!R140),01_INPUTS!R140,0)+IF(ISNUMBER(01_INPUTS!R141),01_INPUTS!R141,0))*1000</f>
        <v>0</v>
      </c>
      <c r="S17" s="36" t="n">
        <f aca="false">(IF(ISNUMBER(01_INPUTS!S138),01_INPUTS!S138,0)+IF(ISNUMBER(01_INPUTS!S139),01_INPUTS!S139,0)+IF(ISNUMBER(01_INPUTS!S140),01_INPUTS!S140,0)+IF(ISNUMBER(01_INPUTS!S141),01_INPUTS!S141,0))*1000</f>
        <v>0</v>
      </c>
    </row>
    <row r="18" customFormat="false" ht="15" hidden="false" customHeight="false" outlineLevel="0" collapsed="false">
      <c r="A18" s="73" t="s">
        <v>910</v>
      </c>
      <c r="B18" s="74" t="s">
        <v>919</v>
      </c>
      <c r="C18" s="66" t="s">
        <v>67</v>
      </c>
      <c r="D18" s="43" t="s">
        <v>42</v>
      </c>
      <c r="E18" s="75" t="s">
        <v>917</v>
      </c>
      <c r="F18" s="76"/>
      <c r="G18" s="79" t="n">
        <f aca="false">IFERROR(G17/G16,0)</f>
        <v>0.7</v>
      </c>
      <c r="H18" s="79" t="n">
        <f aca="false">IFERROR(H17/H16,0)</f>
        <v>0.68</v>
      </c>
      <c r="I18" s="79" t="n">
        <f aca="false">IFERROR(I17/I16,0)</f>
        <v>0.9</v>
      </c>
      <c r="J18" s="79" t="n">
        <f aca="false">IFERROR(J17/J16,0)</f>
        <v>0</v>
      </c>
      <c r="K18" s="79" t="n">
        <f aca="false">IFERROR(K17/K16,0)</f>
        <v>0</v>
      </c>
      <c r="L18" s="79" t="n">
        <f aca="false">IFERROR(L17/L16,0)</f>
        <v>0</v>
      </c>
      <c r="M18" s="79" t="n">
        <f aca="false">IFERROR(M17/M16,0)</f>
        <v>0</v>
      </c>
      <c r="N18" s="79" t="n">
        <f aca="false">IFERROR(N17/N16,0)</f>
        <v>0</v>
      </c>
      <c r="O18" s="79" t="n">
        <f aca="false">IFERROR(O17/O16,0)</f>
        <v>0</v>
      </c>
      <c r="P18" s="79" t="n">
        <f aca="false">IFERROR(P17/P16,0)</f>
        <v>0</v>
      </c>
      <c r="Q18" s="79" t="n">
        <f aca="false">IFERROR(Q17/Q16,0)</f>
        <v>0</v>
      </c>
      <c r="R18" s="79" t="n">
        <f aca="false">IFERROR(R17/R16,0)</f>
        <v>0</v>
      </c>
      <c r="S18" s="79" t="n">
        <f aca="false">IFERROR(S17/S16,0)</f>
        <v>0</v>
      </c>
    </row>
    <row r="19" customFormat="false" ht="15" hidden="false" customHeight="false" outlineLevel="0" collapsed="false">
      <c r="A19" s="73" t="s">
        <v>910</v>
      </c>
      <c r="B19" s="74" t="s">
        <v>920</v>
      </c>
      <c r="C19" s="66" t="s">
        <v>67</v>
      </c>
      <c r="D19" s="43" t="s">
        <v>319</v>
      </c>
      <c r="E19" s="75" t="s">
        <v>43</v>
      </c>
      <c r="F19" s="76"/>
      <c r="G19" s="80" t="n">
        <f aca="false">1+$G$6*(G18-$G$5)^2</f>
        <v>1.01125</v>
      </c>
      <c r="H19" s="80" t="n">
        <f aca="false">1+$G$6*(H18-$G$5)^2</f>
        <v>1.01445</v>
      </c>
      <c r="I19" s="80" t="n">
        <f aca="false">1+$G$6*(I18-$G$5)^2</f>
        <v>1.00125</v>
      </c>
      <c r="J19" s="80" t="n">
        <f aca="false">1+$G$6*(J18-$G$5)^2</f>
        <v>1.36125</v>
      </c>
      <c r="K19" s="80" t="n">
        <f aca="false">1+$G$6*(K18-$G$5)^2</f>
        <v>1.36125</v>
      </c>
      <c r="L19" s="80" t="n">
        <f aca="false">1+$G$6*(L18-$G$5)^2</f>
        <v>1.36125</v>
      </c>
      <c r="M19" s="80" t="n">
        <f aca="false">1+$G$6*(M18-$G$5)^2</f>
        <v>1.36125</v>
      </c>
      <c r="N19" s="80" t="n">
        <f aca="false">1+$G$6*(N18-$G$5)^2</f>
        <v>1.36125</v>
      </c>
      <c r="O19" s="80" t="n">
        <f aca="false">1+$G$6*(O18-$G$5)^2</f>
        <v>1.36125</v>
      </c>
      <c r="P19" s="80" t="n">
        <f aca="false">1+$G$6*(P18-$G$5)^2</f>
        <v>1.36125</v>
      </c>
      <c r="Q19" s="80" t="n">
        <f aca="false">1+$G$6*(Q18-$G$5)^2</f>
        <v>1.36125</v>
      </c>
      <c r="R19" s="80" t="n">
        <f aca="false">1+$G$6*(R18-$G$5)^2</f>
        <v>1.36125</v>
      </c>
      <c r="S19" s="80" t="n">
        <f aca="false">1+$G$6*(S18-$G$5)^2</f>
        <v>1.36125</v>
      </c>
    </row>
    <row r="20" customFormat="false" ht="28.35" hidden="false" customHeight="false" outlineLevel="0" collapsed="false">
      <c r="A20" s="73" t="s">
        <v>910</v>
      </c>
      <c r="B20" s="74" t="s">
        <v>921</v>
      </c>
      <c r="C20" s="66" t="s">
        <v>67</v>
      </c>
      <c r="D20" s="43" t="s">
        <v>89</v>
      </c>
      <c r="E20" s="75" t="s">
        <v>922</v>
      </c>
      <c r="F20" s="76" t="s">
        <v>923</v>
      </c>
      <c r="G20" s="81" t="n">
        <v>14721.1837038412</v>
      </c>
      <c r="H20" s="82" t="n">
        <f aca="false">G20</f>
        <v>14721.1837038412</v>
      </c>
      <c r="I20" s="82" t="n">
        <f aca="false">H20</f>
        <v>14721.1837038412</v>
      </c>
      <c r="J20" s="82" t="n">
        <f aca="false">I20</f>
        <v>14721.1837038412</v>
      </c>
      <c r="K20" s="82" t="n">
        <f aca="false">J20</f>
        <v>14721.1837038412</v>
      </c>
      <c r="L20" s="82" t="n">
        <f aca="false">K20</f>
        <v>14721.1837038412</v>
      </c>
      <c r="M20" s="82" t="n">
        <f aca="false">L20</f>
        <v>14721.1837038412</v>
      </c>
      <c r="N20" s="82" t="n">
        <f aca="false">M20</f>
        <v>14721.1837038412</v>
      </c>
      <c r="O20" s="82" t="n">
        <f aca="false">N20</f>
        <v>14721.1837038412</v>
      </c>
      <c r="P20" s="82" t="n">
        <f aca="false">O20</f>
        <v>14721.1837038412</v>
      </c>
      <c r="Q20" s="82" t="n">
        <f aca="false">P20</f>
        <v>14721.1837038412</v>
      </c>
      <c r="R20" s="82" t="n">
        <f aca="false">Q20</f>
        <v>14721.1837038412</v>
      </c>
      <c r="S20" s="82" t="n">
        <f aca="false">R20</f>
        <v>14721.1837038412</v>
      </c>
    </row>
    <row r="22" customFormat="false" ht="15" hidden="false" customHeight="false" outlineLevel="0" collapsed="false">
      <c r="A22" s="73" t="s">
        <v>910</v>
      </c>
      <c r="B22" s="74" t="s">
        <v>911</v>
      </c>
      <c r="C22" s="66" t="s">
        <v>71</v>
      </c>
      <c r="D22" s="43" t="s">
        <v>912</v>
      </c>
      <c r="E22" s="75" t="s">
        <v>913</v>
      </c>
      <c r="F22" s="76"/>
      <c r="G22" s="36" t="n">
        <f aca="false">IF(ISNUMBER(01_INPUTS!G155),01_INPUTS!G155,0)</f>
        <v>0</v>
      </c>
      <c r="H22" s="36" t="n">
        <f aca="false">IF(ISNUMBER(01_INPUTS!H155),01_INPUTS!H155,0)</f>
        <v>0</v>
      </c>
      <c r="I22" s="36" t="n">
        <f aca="false">IF(ISNUMBER(01_INPUTS!I155),01_INPUTS!I155,0)</f>
        <v>0</v>
      </c>
      <c r="J22" s="36" t="n">
        <f aca="false">IF(ISNUMBER(01_INPUTS!J155),01_INPUTS!J155,0)</f>
        <v>0</v>
      </c>
      <c r="K22" s="36" t="n">
        <f aca="false">IF(ISNUMBER(01_INPUTS!K155),01_INPUTS!K155,0)</f>
        <v>0</v>
      </c>
      <c r="L22" s="36" t="n">
        <f aca="false">IF(ISNUMBER(01_INPUTS!L155),01_INPUTS!L155,0)</f>
        <v>0</v>
      </c>
      <c r="M22" s="36" t="n">
        <f aca="false">IF(ISNUMBER(01_INPUTS!M155),01_INPUTS!M155,0)</f>
        <v>0</v>
      </c>
      <c r="N22" s="36" t="n">
        <f aca="false">IF(ISNUMBER(01_INPUTS!N155),01_INPUTS!N155,0)</f>
        <v>0</v>
      </c>
      <c r="O22" s="36" t="n">
        <f aca="false">IF(ISNUMBER(01_INPUTS!O155),01_INPUTS!O155,0)</f>
        <v>0</v>
      </c>
      <c r="P22" s="36" t="n">
        <f aca="false">IF(ISNUMBER(01_INPUTS!P155),01_INPUTS!P155,0)</f>
        <v>0</v>
      </c>
      <c r="Q22" s="36" t="n">
        <f aca="false">IF(ISNUMBER(01_INPUTS!Q155),01_INPUTS!Q155,0)</f>
        <v>0</v>
      </c>
      <c r="R22" s="36" t="n">
        <f aca="false">IF(ISNUMBER(01_INPUTS!R155),01_INPUTS!R155,0)</f>
        <v>0</v>
      </c>
      <c r="S22" s="36" t="n">
        <f aca="false">IF(ISNUMBER(01_INPUTS!S155),01_INPUTS!S155,0)</f>
        <v>0</v>
      </c>
    </row>
    <row r="23" customFormat="false" ht="15" hidden="false" customHeight="false" outlineLevel="0" collapsed="false">
      <c r="A23" s="73" t="s">
        <v>910</v>
      </c>
      <c r="B23" s="74" t="s">
        <v>914</v>
      </c>
      <c r="C23" s="66" t="s">
        <v>71</v>
      </c>
      <c r="D23" s="43" t="s">
        <v>332</v>
      </c>
      <c r="E23" s="75" t="s">
        <v>43</v>
      </c>
      <c r="F23" s="76"/>
      <c r="G23" s="36" t="n">
        <v>0</v>
      </c>
      <c r="H23" s="36" t="n">
        <v>0</v>
      </c>
      <c r="I23" s="36" t="n">
        <f aca="false">IF(G22&gt;0,G22,0)</f>
        <v>0</v>
      </c>
      <c r="J23" s="36" t="n">
        <f aca="false">IF(H22&gt;0,H22,0)</f>
        <v>0</v>
      </c>
      <c r="K23" s="36" t="n">
        <f aca="false">IF(I22&gt;0,I22,0)</f>
        <v>0</v>
      </c>
      <c r="L23" s="36" t="n">
        <f aca="false">IF(J22&gt;0,J22,0)</f>
        <v>0</v>
      </c>
      <c r="M23" s="36" t="n">
        <f aca="false">IF(K22&gt;0,K22,0)</f>
        <v>0</v>
      </c>
      <c r="N23" s="36" t="n">
        <f aca="false">IF(L22&gt;0,L22,0)</f>
        <v>0</v>
      </c>
      <c r="O23" s="36" t="n">
        <f aca="false">IF(M22&gt;0,M22,0)</f>
        <v>0</v>
      </c>
      <c r="P23" s="36" t="n">
        <f aca="false">IF(N22&gt;0,N22,0)</f>
        <v>0</v>
      </c>
      <c r="Q23" s="36" t="n">
        <f aca="false">IF(O22&gt;0,O22,0)</f>
        <v>0</v>
      </c>
      <c r="R23" s="36" t="n">
        <f aca="false">IF(P22&gt;0,P22,0)</f>
        <v>0</v>
      </c>
      <c r="S23" s="36" t="n">
        <f aca="false">IF(Q22&gt;0,Q22,0)</f>
        <v>0</v>
      </c>
    </row>
    <row r="24" customFormat="false" ht="15" hidden="false" customHeight="false" outlineLevel="0" collapsed="false">
      <c r="A24" s="73" t="s">
        <v>910</v>
      </c>
      <c r="B24" s="74" t="s">
        <v>915</v>
      </c>
      <c r="C24" s="66" t="s">
        <v>71</v>
      </c>
      <c r="D24" s="43" t="s">
        <v>332</v>
      </c>
      <c r="E24" s="75" t="s">
        <v>43</v>
      </c>
      <c r="F24" s="76"/>
      <c r="G24" s="36" t="n">
        <v>0</v>
      </c>
      <c r="H24" s="36" t="n">
        <f aca="false">IF(G22&lt;0,-G22,0)</f>
        <v>0</v>
      </c>
      <c r="I24" s="36" t="n">
        <f aca="false">IF(H22&lt;0,-H22,0)</f>
        <v>0</v>
      </c>
      <c r="J24" s="36" t="n">
        <f aca="false">IF(I22&lt;0,-I22,0)</f>
        <v>0</v>
      </c>
      <c r="K24" s="36" t="n">
        <f aca="false">IF(J22&lt;0,-J22,0)</f>
        <v>0</v>
      </c>
      <c r="L24" s="36" t="n">
        <f aca="false">IF(K22&lt;0,-K22,0)</f>
        <v>0</v>
      </c>
      <c r="M24" s="36" t="n">
        <f aca="false">IF(L22&lt;0,-L22,0)</f>
        <v>0</v>
      </c>
      <c r="N24" s="36" t="n">
        <f aca="false">IF(M22&lt;0,-M22,0)</f>
        <v>0</v>
      </c>
      <c r="O24" s="36" t="n">
        <f aca="false">IF(N22&lt;0,-N22,0)</f>
        <v>0</v>
      </c>
      <c r="P24" s="36" t="n">
        <f aca="false">IF(O22&lt;0,-O22,0)</f>
        <v>0</v>
      </c>
      <c r="Q24" s="36" t="n">
        <f aca="false">IF(P22&lt;0,-P22,0)</f>
        <v>0</v>
      </c>
      <c r="R24" s="36" t="n">
        <f aca="false">IF(Q22&lt;0,-Q22,0)</f>
        <v>0</v>
      </c>
      <c r="S24" s="36" t="n">
        <f aca="false">IF(R22&lt;0,-R22,0)</f>
        <v>0</v>
      </c>
    </row>
    <row r="25" customFormat="false" ht="15" hidden="false" customHeight="false" outlineLevel="0" collapsed="false">
      <c r="A25" s="73" t="s">
        <v>910</v>
      </c>
      <c r="B25" s="74" t="s">
        <v>916</v>
      </c>
      <c r="C25" s="66" t="s">
        <v>71</v>
      </c>
      <c r="D25" s="43" t="s">
        <v>332</v>
      </c>
      <c r="E25" s="75" t="s">
        <v>917</v>
      </c>
      <c r="F25" s="76"/>
      <c r="G25" s="77" t="n">
        <v>500000</v>
      </c>
      <c r="H25" s="78" t="n">
        <f aca="false">G25+H23-H24</f>
        <v>500000</v>
      </c>
      <c r="I25" s="78" t="n">
        <f aca="false">H25+I23-I24</f>
        <v>500000</v>
      </c>
      <c r="J25" s="78" t="n">
        <f aca="false">I25+J23-J24</f>
        <v>500000</v>
      </c>
      <c r="K25" s="78" t="n">
        <f aca="false">J25+K23-K24</f>
        <v>500000</v>
      </c>
      <c r="L25" s="78" t="n">
        <f aca="false">K25+L23-L24</f>
        <v>500000</v>
      </c>
      <c r="M25" s="78" t="n">
        <f aca="false">L25+M23-M24</f>
        <v>500000</v>
      </c>
      <c r="N25" s="78" t="n">
        <f aca="false">M25+N23-N24</f>
        <v>500000</v>
      </c>
      <c r="O25" s="78" t="n">
        <f aca="false">N25+O23-O24</f>
        <v>500000</v>
      </c>
      <c r="P25" s="78" t="n">
        <f aca="false">O25+P23-P24</f>
        <v>500000</v>
      </c>
      <c r="Q25" s="78" t="n">
        <f aca="false">P25+Q23-Q24</f>
        <v>500000</v>
      </c>
      <c r="R25" s="78" t="n">
        <f aca="false">Q25+R23-R24</f>
        <v>500000</v>
      </c>
      <c r="S25" s="78" t="n">
        <f aca="false">R25+S23-S24</f>
        <v>500000</v>
      </c>
    </row>
    <row r="26" customFormat="false" ht="15" hidden="false" customHeight="false" outlineLevel="0" collapsed="false">
      <c r="A26" s="73" t="s">
        <v>910</v>
      </c>
      <c r="B26" s="74" t="s">
        <v>918</v>
      </c>
      <c r="C26" s="66" t="s">
        <v>71</v>
      </c>
      <c r="D26" s="43" t="s">
        <v>332</v>
      </c>
      <c r="E26" s="75" t="s">
        <v>43</v>
      </c>
      <c r="F26" s="76"/>
      <c r="G26" s="36" t="n">
        <f aca="false">(IF(ISNUMBER(01_INPUTS!G142),01_INPUTS!G142,0)+IF(ISNUMBER(01_INPUTS!G143),01_INPUTS!G143,0)+IF(ISNUMBER(01_INPUTS!G144),01_INPUTS!G144,0)+IF(ISNUMBER(01_INPUTS!G145),01_INPUTS!G145,0))*1000</f>
        <v>400000</v>
      </c>
      <c r="H26" s="36" t="n">
        <f aca="false">(IF(ISNUMBER(01_INPUTS!H142),01_INPUTS!H142,0)+IF(ISNUMBER(01_INPUTS!H143),01_INPUTS!H143,0)+IF(ISNUMBER(01_INPUTS!H144),01_INPUTS!H144,0)+IF(ISNUMBER(01_INPUTS!H145),01_INPUTS!H145,0))*1000</f>
        <v>340000</v>
      </c>
      <c r="I26" s="36" t="n">
        <f aca="false">(IF(ISNUMBER(01_INPUTS!I142),01_INPUTS!I142,0)+IF(ISNUMBER(01_INPUTS!I143),01_INPUTS!I143,0)+IF(ISNUMBER(01_INPUTS!I144),01_INPUTS!I144,0)+IF(ISNUMBER(01_INPUTS!I145),01_INPUTS!I145,0))*1000</f>
        <v>450000</v>
      </c>
      <c r="J26" s="36" t="n">
        <f aca="false">(IF(ISNUMBER(01_INPUTS!J142),01_INPUTS!J142,0)+IF(ISNUMBER(01_INPUTS!J143),01_INPUTS!J143,0)+IF(ISNUMBER(01_INPUTS!J144),01_INPUTS!J144,0)+IF(ISNUMBER(01_INPUTS!J145),01_INPUTS!J145,0))*1000</f>
        <v>0</v>
      </c>
      <c r="K26" s="36" t="n">
        <f aca="false">(IF(ISNUMBER(01_INPUTS!K142),01_INPUTS!K142,0)+IF(ISNUMBER(01_INPUTS!K143),01_INPUTS!K143,0)+IF(ISNUMBER(01_INPUTS!K144),01_INPUTS!K144,0)+IF(ISNUMBER(01_INPUTS!K145),01_INPUTS!K145,0))*1000</f>
        <v>0</v>
      </c>
      <c r="L26" s="36" t="n">
        <f aca="false">(IF(ISNUMBER(01_INPUTS!L142),01_INPUTS!L142,0)+IF(ISNUMBER(01_INPUTS!L143),01_INPUTS!L143,0)+IF(ISNUMBER(01_INPUTS!L144),01_INPUTS!L144,0)+IF(ISNUMBER(01_INPUTS!L145),01_INPUTS!L145,0))*1000</f>
        <v>0</v>
      </c>
      <c r="M26" s="36" t="n">
        <f aca="false">(IF(ISNUMBER(01_INPUTS!M142),01_INPUTS!M142,0)+IF(ISNUMBER(01_INPUTS!M143),01_INPUTS!M143,0)+IF(ISNUMBER(01_INPUTS!M144),01_INPUTS!M144,0)+IF(ISNUMBER(01_INPUTS!M145),01_INPUTS!M145,0))*1000</f>
        <v>0</v>
      </c>
      <c r="N26" s="36" t="n">
        <f aca="false">(IF(ISNUMBER(01_INPUTS!N142),01_INPUTS!N142,0)+IF(ISNUMBER(01_INPUTS!N143),01_INPUTS!N143,0)+IF(ISNUMBER(01_INPUTS!N144),01_INPUTS!N144,0)+IF(ISNUMBER(01_INPUTS!N145),01_INPUTS!N145,0))*1000</f>
        <v>0</v>
      </c>
      <c r="O26" s="36" t="n">
        <f aca="false">(IF(ISNUMBER(01_INPUTS!O142),01_INPUTS!O142,0)+IF(ISNUMBER(01_INPUTS!O143),01_INPUTS!O143,0)+IF(ISNUMBER(01_INPUTS!O144),01_INPUTS!O144,0)+IF(ISNUMBER(01_INPUTS!O145),01_INPUTS!O145,0))*1000</f>
        <v>0</v>
      </c>
      <c r="P26" s="36" t="n">
        <f aca="false">(IF(ISNUMBER(01_INPUTS!P142),01_INPUTS!P142,0)+IF(ISNUMBER(01_INPUTS!P143),01_INPUTS!P143,0)+IF(ISNUMBER(01_INPUTS!P144),01_INPUTS!P144,0)+IF(ISNUMBER(01_INPUTS!P145),01_INPUTS!P145,0))*1000</f>
        <v>0</v>
      </c>
      <c r="Q26" s="36" t="n">
        <f aca="false">(IF(ISNUMBER(01_INPUTS!Q142),01_INPUTS!Q142,0)+IF(ISNUMBER(01_INPUTS!Q143),01_INPUTS!Q143,0)+IF(ISNUMBER(01_INPUTS!Q144),01_INPUTS!Q144,0)+IF(ISNUMBER(01_INPUTS!Q145),01_INPUTS!Q145,0))*1000</f>
        <v>0</v>
      </c>
      <c r="R26" s="36" t="n">
        <f aca="false">(IF(ISNUMBER(01_INPUTS!R142),01_INPUTS!R142,0)+IF(ISNUMBER(01_INPUTS!R143),01_INPUTS!R143,0)+IF(ISNUMBER(01_INPUTS!R144),01_INPUTS!R144,0)+IF(ISNUMBER(01_INPUTS!R145),01_INPUTS!R145,0))*1000</f>
        <v>0</v>
      </c>
      <c r="S26" s="36" t="n">
        <f aca="false">(IF(ISNUMBER(01_INPUTS!S142),01_INPUTS!S142,0)+IF(ISNUMBER(01_INPUTS!S143),01_INPUTS!S143,0)+IF(ISNUMBER(01_INPUTS!S144),01_INPUTS!S144,0)+IF(ISNUMBER(01_INPUTS!S145),01_INPUTS!S145,0))*1000</f>
        <v>0</v>
      </c>
    </row>
    <row r="27" customFormat="false" ht="15" hidden="false" customHeight="false" outlineLevel="0" collapsed="false">
      <c r="A27" s="73" t="s">
        <v>910</v>
      </c>
      <c r="B27" s="74" t="s">
        <v>919</v>
      </c>
      <c r="C27" s="66" t="s">
        <v>71</v>
      </c>
      <c r="D27" s="43" t="s">
        <v>42</v>
      </c>
      <c r="E27" s="75" t="s">
        <v>917</v>
      </c>
      <c r="F27" s="76"/>
      <c r="G27" s="79" t="n">
        <f aca="false">IFERROR(G26/G25,0)</f>
        <v>0.8</v>
      </c>
      <c r="H27" s="79" t="n">
        <f aca="false">IFERROR(H26/H25,0)</f>
        <v>0.68</v>
      </c>
      <c r="I27" s="79" t="n">
        <f aca="false">IFERROR(I26/I25,0)</f>
        <v>0.9</v>
      </c>
      <c r="J27" s="79" t="n">
        <f aca="false">IFERROR(J26/J25,0)</f>
        <v>0</v>
      </c>
      <c r="K27" s="79" t="n">
        <f aca="false">IFERROR(K26/K25,0)</f>
        <v>0</v>
      </c>
      <c r="L27" s="79" t="n">
        <f aca="false">IFERROR(L26/L25,0)</f>
        <v>0</v>
      </c>
      <c r="M27" s="79" t="n">
        <f aca="false">IFERROR(M26/M25,0)</f>
        <v>0</v>
      </c>
      <c r="N27" s="79" t="n">
        <f aca="false">IFERROR(N26/N25,0)</f>
        <v>0</v>
      </c>
      <c r="O27" s="79" t="n">
        <f aca="false">IFERROR(O26/O25,0)</f>
        <v>0</v>
      </c>
      <c r="P27" s="79" t="n">
        <f aca="false">IFERROR(P26/P25,0)</f>
        <v>0</v>
      </c>
      <c r="Q27" s="79" t="n">
        <f aca="false">IFERROR(Q26/Q25,0)</f>
        <v>0</v>
      </c>
      <c r="R27" s="79" t="n">
        <f aca="false">IFERROR(R26/R25,0)</f>
        <v>0</v>
      </c>
      <c r="S27" s="79" t="n">
        <f aca="false">IFERROR(S26/S25,0)</f>
        <v>0</v>
      </c>
    </row>
    <row r="28" customFormat="false" ht="15" hidden="false" customHeight="false" outlineLevel="0" collapsed="false">
      <c r="A28" s="73" t="s">
        <v>910</v>
      </c>
      <c r="B28" s="74" t="s">
        <v>920</v>
      </c>
      <c r="C28" s="66" t="s">
        <v>71</v>
      </c>
      <c r="D28" s="43" t="s">
        <v>319</v>
      </c>
      <c r="E28" s="75" t="s">
        <v>43</v>
      </c>
      <c r="F28" s="76"/>
      <c r="G28" s="80" t="n">
        <f aca="false">1+$G$6*(G27-$G$5)^2</f>
        <v>1.00125</v>
      </c>
      <c r="H28" s="80" t="n">
        <f aca="false">1+$G$6*(H27-$G$5)^2</f>
        <v>1.01445</v>
      </c>
      <c r="I28" s="80" t="n">
        <f aca="false">1+$G$6*(I27-$G$5)^2</f>
        <v>1.00125</v>
      </c>
      <c r="J28" s="80" t="n">
        <f aca="false">1+$G$6*(J27-$G$5)^2</f>
        <v>1.36125</v>
      </c>
      <c r="K28" s="80" t="n">
        <f aca="false">1+$G$6*(K27-$G$5)^2</f>
        <v>1.36125</v>
      </c>
      <c r="L28" s="80" t="n">
        <f aca="false">1+$G$6*(L27-$G$5)^2</f>
        <v>1.36125</v>
      </c>
      <c r="M28" s="80" t="n">
        <f aca="false">1+$G$6*(M27-$G$5)^2</f>
        <v>1.36125</v>
      </c>
      <c r="N28" s="80" t="n">
        <f aca="false">1+$G$6*(N27-$G$5)^2</f>
        <v>1.36125</v>
      </c>
      <c r="O28" s="80" t="n">
        <f aca="false">1+$G$6*(O27-$G$5)^2</f>
        <v>1.36125</v>
      </c>
      <c r="P28" s="80" t="n">
        <f aca="false">1+$G$6*(P27-$G$5)^2</f>
        <v>1.36125</v>
      </c>
      <c r="Q28" s="80" t="n">
        <f aca="false">1+$G$6*(Q27-$G$5)^2</f>
        <v>1.36125</v>
      </c>
      <c r="R28" s="80" t="n">
        <f aca="false">1+$G$6*(R27-$G$5)^2</f>
        <v>1.36125</v>
      </c>
      <c r="S28" s="80" t="n">
        <f aca="false">1+$G$6*(S27-$G$5)^2</f>
        <v>1.36125</v>
      </c>
    </row>
    <row r="29" customFormat="false" ht="28.35" hidden="false" customHeight="false" outlineLevel="0" collapsed="false">
      <c r="A29" s="73" t="s">
        <v>910</v>
      </c>
      <c r="B29" s="74" t="s">
        <v>921</v>
      </c>
      <c r="C29" s="66" t="s">
        <v>71</v>
      </c>
      <c r="D29" s="43" t="s">
        <v>89</v>
      </c>
      <c r="E29" s="75" t="s">
        <v>922</v>
      </c>
      <c r="F29" s="76" t="s">
        <v>923</v>
      </c>
      <c r="G29" s="81" t="n">
        <v>14033.8333357063</v>
      </c>
      <c r="H29" s="82" t="n">
        <f aca="false">G29</f>
        <v>14033.8333357063</v>
      </c>
      <c r="I29" s="82" t="n">
        <f aca="false">H29</f>
        <v>14033.8333357063</v>
      </c>
      <c r="J29" s="82" t="n">
        <f aca="false">I29</f>
        <v>14033.8333357063</v>
      </c>
      <c r="K29" s="82" t="n">
        <f aca="false">J29</f>
        <v>14033.8333357063</v>
      </c>
      <c r="L29" s="82" t="n">
        <f aca="false">K29</f>
        <v>14033.8333357063</v>
      </c>
      <c r="M29" s="82" t="n">
        <f aca="false">L29</f>
        <v>14033.8333357063</v>
      </c>
      <c r="N29" s="82" t="n">
        <f aca="false">M29</f>
        <v>14033.8333357063</v>
      </c>
      <c r="O29" s="82" t="n">
        <f aca="false">N29</f>
        <v>14033.8333357063</v>
      </c>
      <c r="P29" s="82" t="n">
        <f aca="false">O29</f>
        <v>14033.8333357063</v>
      </c>
      <c r="Q29" s="82" t="n">
        <f aca="false">P29</f>
        <v>14033.8333357063</v>
      </c>
      <c r="R29" s="82" t="n">
        <f aca="false">Q29</f>
        <v>14033.8333357063</v>
      </c>
      <c r="S29" s="82" t="n">
        <f aca="false">R29</f>
        <v>14033.8333357063</v>
      </c>
    </row>
    <row r="32" customFormat="false" ht="15" hidden="false" customHeight="false" outlineLevel="0" collapsed="false">
      <c r="A32" s="5" t="s">
        <v>924</v>
      </c>
      <c r="B32" s="5"/>
      <c r="C32" s="5"/>
      <c r="D32" s="5"/>
      <c r="E32" s="5"/>
      <c r="F32" s="5"/>
      <c r="G32" s="5"/>
      <c r="H32" s="5"/>
      <c r="I32" s="5"/>
      <c r="J32" s="5"/>
      <c r="K32" s="5"/>
      <c r="L32" s="5"/>
      <c r="M32" s="5"/>
      <c r="N32" s="5"/>
      <c r="O32" s="5"/>
      <c r="P32" s="5"/>
      <c r="Q32" s="5"/>
      <c r="R32" s="5"/>
      <c r="S32" s="5"/>
    </row>
    <row r="33" customFormat="false" ht="15" hidden="false" customHeight="false" outlineLevel="0" collapsed="false">
      <c r="A33" s="73" t="s">
        <v>925</v>
      </c>
      <c r="B33" s="74" t="s">
        <v>926</v>
      </c>
      <c r="C33" s="66" t="s">
        <v>128</v>
      </c>
      <c r="D33" s="43" t="s">
        <v>332</v>
      </c>
      <c r="E33" s="75" t="s">
        <v>43</v>
      </c>
      <c r="F33" s="76"/>
      <c r="G33" s="36" t="n">
        <f aca="false">IF(ISNUMBER(01_INPUTS!G138),01_INPUTS!G138,0)*1000</f>
        <v>980000</v>
      </c>
      <c r="H33" s="36" t="n">
        <f aca="false">IF(ISNUMBER(01_INPUTS!H138),01_INPUTS!H138,0)*1000</f>
        <v>336000</v>
      </c>
      <c r="I33" s="36" t="n">
        <f aca="false">IF(ISNUMBER(01_INPUTS!I138),01_INPUTS!I138,0)*1000</f>
        <v>1200000</v>
      </c>
      <c r="J33" s="36" t="n">
        <f aca="false">IF(ISNUMBER(01_INPUTS!J138),01_INPUTS!J138,0)*1000</f>
        <v>0</v>
      </c>
      <c r="K33" s="36" t="n">
        <f aca="false">IF(ISNUMBER(01_INPUTS!K138),01_INPUTS!K138,0)*1000</f>
        <v>0</v>
      </c>
      <c r="L33" s="36" t="n">
        <f aca="false">IF(ISNUMBER(01_INPUTS!L138),01_INPUTS!L138,0)*1000</f>
        <v>0</v>
      </c>
      <c r="M33" s="36" t="n">
        <f aca="false">IF(ISNUMBER(01_INPUTS!M138),01_INPUTS!M138,0)*1000</f>
        <v>0</v>
      </c>
      <c r="N33" s="36" t="n">
        <f aca="false">IF(ISNUMBER(01_INPUTS!N138),01_INPUTS!N138,0)*1000</f>
        <v>0</v>
      </c>
      <c r="O33" s="36" t="n">
        <f aca="false">IF(ISNUMBER(01_INPUTS!O138),01_INPUTS!O138,0)*1000</f>
        <v>0</v>
      </c>
      <c r="P33" s="36" t="n">
        <f aca="false">IF(ISNUMBER(01_INPUTS!P138),01_INPUTS!P138,0)*1000</f>
        <v>0</v>
      </c>
      <c r="Q33" s="36" t="n">
        <f aca="false">IF(ISNUMBER(01_INPUTS!Q138),01_INPUTS!Q138,0)*1000</f>
        <v>0</v>
      </c>
      <c r="R33" s="36" t="n">
        <f aca="false">IF(ISNUMBER(01_INPUTS!R138),01_INPUTS!R138,0)*1000</f>
        <v>0</v>
      </c>
      <c r="S33" s="36" t="n">
        <f aca="false">IF(ISNUMBER(01_INPUTS!S138),01_INPUTS!S138,0)*1000</f>
        <v>0</v>
      </c>
    </row>
    <row r="34" customFormat="false" ht="15" hidden="false" customHeight="false" outlineLevel="0" collapsed="false">
      <c r="A34" s="73" t="s">
        <v>925</v>
      </c>
      <c r="B34" s="74" t="s">
        <v>927</v>
      </c>
      <c r="C34" s="66" t="s">
        <v>128</v>
      </c>
      <c r="D34" s="43" t="s">
        <v>332</v>
      </c>
      <c r="E34" s="75" t="s">
        <v>43</v>
      </c>
      <c r="F34" s="76"/>
      <c r="G34" s="36" t="n">
        <f aca="false">G33</f>
        <v>980000</v>
      </c>
      <c r="H34" s="36" t="n">
        <f aca="false">G34+H33</f>
        <v>1316000</v>
      </c>
      <c r="I34" s="36" t="n">
        <f aca="false">H34+I33</f>
        <v>2516000</v>
      </c>
      <c r="J34" s="36" t="n">
        <f aca="false">I34+J33</f>
        <v>2516000</v>
      </c>
      <c r="K34" s="36" t="n">
        <f aca="false">J34+K33</f>
        <v>2516000</v>
      </c>
      <c r="L34" s="36" t="n">
        <f aca="false">K34+L33</f>
        <v>2516000</v>
      </c>
      <c r="M34" s="36" t="n">
        <f aca="false">L34+M33</f>
        <v>2516000</v>
      </c>
      <c r="N34" s="36" t="n">
        <f aca="false">M34+N33</f>
        <v>2516000</v>
      </c>
      <c r="O34" s="36" t="n">
        <f aca="false">N34+O33</f>
        <v>2516000</v>
      </c>
      <c r="P34" s="36" t="n">
        <f aca="false">O34+P33</f>
        <v>2516000</v>
      </c>
      <c r="Q34" s="36" t="n">
        <f aca="false">P34+Q33</f>
        <v>2516000</v>
      </c>
      <c r="R34" s="36" t="n">
        <f aca="false">Q34+R33</f>
        <v>2516000</v>
      </c>
      <c r="S34" s="36" t="n">
        <f aca="false">R34+S33</f>
        <v>2516000</v>
      </c>
    </row>
    <row r="35" customFormat="false" ht="15" hidden="false" customHeight="false" outlineLevel="0" collapsed="false">
      <c r="A35" s="73" t="s">
        <v>925</v>
      </c>
      <c r="B35" s="74" t="s">
        <v>928</v>
      </c>
      <c r="C35" s="66" t="s">
        <v>128</v>
      </c>
      <c r="D35" s="43" t="s">
        <v>319</v>
      </c>
      <c r="E35" s="75" t="s">
        <v>43</v>
      </c>
      <c r="F35" s="76"/>
      <c r="G35" s="80" t="n">
        <f aca="false">IF(OR(G$34=0,G34=0),1,(G34/G$34)^(LN(1-$G$7)/LN(2)))</f>
        <v>1</v>
      </c>
      <c r="H35" s="80" t="n">
        <f aca="false">IF(OR(G$34=0,H34=0),1,(H34/G$34)^(LN(1-$G$7)/LN(2)))</f>
        <v>0.95617871592331</v>
      </c>
      <c r="I35" s="80" t="n">
        <f aca="false">IF(OR(G$34=0,I34=0),1,(I34/G$34)^(LN(1-$G$7)/LN(2)))</f>
        <v>0.866477081451621</v>
      </c>
      <c r="J35" s="80" t="n">
        <f aca="false">IF(OR(G$34=0,J34=0),1,(J34/G$34)^(LN(1-$G$7)/LN(2)))</f>
        <v>0.866477081451621</v>
      </c>
      <c r="K35" s="80" t="n">
        <f aca="false">IF(OR(G$34=0,K34=0),1,(K34/G$34)^(LN(1-$G$7)/LN(2)))</f>
        <v>0.866477081451621</v>
      </c>
      <c r="L35" s="80" t="n">
        <f aca="false">IF(OR(G$34=0,L34=0),1,(L34/G$34)^(LN(1-$G$7)/LN(2)))</f>
        <v>0.866477081451621</v>
      </c>
      <c r="M35" s="80" t="n">
        <f aca="false">IF(OR(G$34=0,M34=0),1,(M34/G$34)^(LN(1-$G$7)/LN(2)))</f>
        <v>0.866477081451621</v>
      </c>
      <c r="N35" s="80" t="n">
        <f aca="false">IF(OR(G$34=0,N34=0),1,(N34/G$34)^(LN(1-$G$7)/LN(2)))</f>
        <v>0.866477081451621</v>
      </c>
      <c r="O35" s="80" t="n">
        <f aca="false">IF(OR(G$34=0,O34=0),1,(O34/G$34)^(LN(1-$G$7)/LN(2)))</f>
        <v>0.866477081451621</v>
      </c>
      <c r="P35" s="80" t="n">
        <f aca="false">IF(OR(G$34=0,P34=0),1,(P34/G$34)^(LN(1-$G$7)/LN(2)))</f>
        <v>0.866477081451621</v>
      </c>
      <c r="Q35" s="80" t="n">
        <f aca="false">IF(OR(G$34=0,Q34=0),1,(Q34/G$34)^(LN(1-$G$7)/LN(2)))</f>
        <v>0.866477081451621</v>
      </c>
      <c r="R35" s="80" t="n">
        <f aca="false">IF(OR(G$34=0,R34=0),1,(R34/G$34)^(LN(1-$G$7)/LN(2)))</f>
        <v>0.866477081451621</v>
      </c>
      <c r="S35" s="80" t="n">
        <f aca="false">IF(OR(G$34=0,S34=0),1,(S34/G$34)^(LN(1-$G$7)/LN(2)))</f>
        <v>0.866477081451621</v>
      </c>
    </row>
    <row r="36" customFormat="false" ht="15" hidden="false" customHeight="false" outlineLevel="0" collapsed="false">
      <c r="A36" s="73" t="s">
        <v>925</v>
      </c>
      <c r="B36" s="74" t="s">
        <v>880</v>
      </c>
      <c r="C36" s="66" t="s">
        <v>128</v>
      </c>
      <c r="D36" s="43" t="s">
        <v>89</v>
      </c>
      <c r="E36" s="75" t="s">
        <v>917</v>
      </c>
      <c r="F36" s="76"/>
      <c r="G36" s="83" t="n">
        <f aca="false">G20*G19*G35</f>
        <v>14886.7970205094</v>
      </c>
      <c r="H36" s="83" t="n">
        <f aca="false">H20*H19*H35</f>
        <v>14279.4819233802</v>
      </c>
      <c r="I36" s="83" t="n">
        <f aca="false">I20*I19*I35</f>
        <v>12771.5127515815</v>
      </c>
      <c r="J36" s="83" t="n">
        <f aca="false">J20*J19*J35</f>
        <v>17363.5173364198</v>
      </c>
      <c r="K36" s="83" t="n">
        <f aca="false">K20*K19*K35</f>
        <v>17363.5173364198</v>
      </c>
      <c r="L36" s="83" t="n">
        <f aca="false">L20*L19*L35</f>
        <v>17363.5173364198</v>
      </c>
      <c r="M36" s="83" t="n">
        <f aca="false">M20*M19*M35</f>
        <v>17363.5173364198</v>
      </c>
      <c r="N36" s="83" t="n">
        <f aca="false">N20*N19*N35</f>
        <v>17363.5173364198</v>
      </c>
      <c r="O36" s="83" t="n">
        <f aca="false">O20*O19*O35</f>
        <v>17363.5173364198</v>
      </c>
      <c r="P36" s="83" t="n">
        <f aca="false">P20*P19*P35</f>
        <v>17363.5173364198</v>
      </c>
      <c r="Q36" s="83" t="n">
        <f aca="false">Q20*Q19*Q35</f>
        <v>17363.5173364198</v>
      </c>
      <c r="R36" s="83" t="n">
        <f aca="false">R20*R19*R35</f>
        <v>17363.5173364198</v>
      </c>
      <c r="S36" s="83" t="n">
        <f aca="false">S20*S19*S35</f>
        <v>17363.5173364198</v>
      </c>
    </row>
    <row r="38" customFormat="false" ht="15" hidden="false" customHeight="false" outlineLevel="0" collapsed="false">
      <c r="A38" s="73" t="s">
        <v>925</v>
      </c>
      <c r="B38" s="74" t="s">
        <v>926</v>
      </c>
      <c r="C38" s="66" t="s">
        <v>130</v>
      </c>
      <c r="D38" s="43" t="s">
        <v>332</v>
      </c>
      <c r="E38" s="75" t="s">
        <v>43</v>
      </c>
      <c r="F38" s="76"/>
      <c r="G38" s="36" t="n">
        <f aca="false">IF(ISNUMBER(01_INPUTS!G139),01_INPUTS!G139,0)*1000</f>
        <v>0</v>
      </c>
      <c r="H38" s="36" t="n">
        <f aca="false">IF(ISNUMBER(01_INPUTS!H139),01_INPUTS!H139,0)*1000</f>
        <v>616000</v>
      </c>
      <c r="I38" s="36" t="n">
        <f aca="false">IF(ISNUMBER(01_INPUTS!I139),01_INPUTS!I139,0)*1000</f>
        <v>60000</v>
      </c>
      <c r="J38" s="36" t="n">
        <f aca="false">IF(ISNUMBER(01_INPUTS!J139),01_INPUTS!J139,0)*1000</f>
        <v>0</v>
      </c>
      <c r="K38" s="36" t="n">
        <f aca="false">IF(ISNUMBER(01_INPUTS!K139),01_INPUTS!K139,0)*1000</f>
        <v>0</v>
      </c>
      <c r="L38" s="36" t="n">
        <f aca="false">IF(ISNUMBER(01_INPUTS!L139),01_INPUTS!L139,0)*1000</f>
        <v>0</v>
      </c>
      <c r="M38" s="36" t="n">
        <f aca="false">IF(ISNUMBER(01_INPUTS!M139),01_INPUTS!M139,0)*1000</f>
        <v>0</v>
      </c>
      <c r="N38" s="36" t="n">
        <f aca="false">IF(ISNUMBER(01_INPUTS!N139),01_INPUTS!N139,0)*1000</f>
        <v>0</v>
      </c>
      <c r="O38" s="36" t="n">
        <f aca="false">IF(ISNUMBER(01_INPUTS!O139),01_INPUTS!O139,0)*1000</f>
        <v>0</v>
      </c>
      <c r="P38" s="36" t="n">
        <f aca="false">IF(ISNUMBER(01_INPUTS!P139),01_INPUTS!P139,0)*1000</f>
        <v>0</v>
      </c>
      <c r="Q38" s="36" t="n">
        <f aca="false">IF(ISNUMBER(01_INPUTS!Q139),01_INPUTS!Q139,0)*1000</f>
        <v>0</v>
      </c>
      <c r="R38" s="36" t="n">
        <f aca="false">IF(ISNUMBER(01_INPUTS!R139),01_INPUTS!R139,0)*1000</f>
        <v>0</v>
      </c>
      <c r="S38" s="36" t="n">
        <f aca="false">IF(ISNUMBER(01_INPUTS!S139),01_INPUTS!S139,0)*1000</f>
        <v>0</v>
      </c>
    </row>
    <row r="39" customFormat="false" ht="15" hidden="false" customHeight="false" outlineLevel="0" collapsed="false">
      <c r="A39" s="73" t="s">
        <v>925</v>
      </c>
      <c r="B39" s="74" t="s">
        <v>927</v>
      </c>
      <c r="C39" s="66" t="s">
        <v>130</v>
      </c>
      <c r="D39" s="43" t="s">
        <v>332</v>
      </c>
      <c r="E39" s="75" t="s">
        <v>43</v>
      </c>
      <c r="F39" s="76"/>
      <c r="G39" s="36" t="n">
        <f aca="false">G38</f>
        <v>0</v>
      </c>
      <c r="H39" s="36" t="n">
        <f aca="false">G39+H38</f>
        <v>616000</v>
      </c>
      <c r="I39" s="36" t="n">
        <f aca="false">H39+I38</f>
        <v>676000</v>
      </c>
      <c r="J39" s="36" t="n">
        <f aca="false">I39+J38</f>
        <v>676000</v>
      </c>
      <c r="K39" s="36" t="n">
        <f aca="false">J39+K38</f>
        <v>676000</v>
      </c>
      <c r="L39" s="36" t="n">
        <f aca="false">K39+L38</f>
        <v>676000</v>
      </c>
      <c r="M39" s="36" t="n">
        <f aca="false">L39+M38</f>
        <v>676000</v>
      </c>
      <c r="N39" s="36" t="n">
        <f aca="false">M39+N38</f>
        <v>676000</v>
      </c>
      <c r="O39" s="36" t="n">
        <f aca="false">N39+O38</f>
        <v>676000</v>
      </c>
      <c r="P39" s="36" t="n">
        <f aca="false">O39+P38</f>
        <v>676000</v>
      </c>
      <c r="Q39" s="36" t="n">
        <f aca="false">P39+Q38</f>
        <v>676000</v>
      </c>
      <c r="R39" s="36" t="n">
        <f aca="false">Q39+R38</f>
        <v>676000</v>
      </c>
      <c r="S39" s="36" t="n">
        <f aca="false">R39+S38</f>
        <v>676000</v>
      </c>
    </row>
    <row r="40" customFormat="false" ht="15" hidden="false" customHeight="false" outlineLevel="0" collapsed="false">
      <c r="A40" s="73" t="s">
        <v>925</v>
      </c>
      <c r="B40" s="74" t="s">
        <v>928</v>
      </c>
      <c r="C40" s="66" t="s">
        <v>130</v>
      </c>
      <c r="D40" s="43" t="s">
        <v>319</v>
      </c>
      <c r="E40" s="75" t="s">
        <v>43</v>
      </c>
      <c r="F40" s="76"/>
      <c r="G40" s="80" t="n">
        <f aca="false">IF(OR(G$39=0,G39=0),1,(G39/G$39)^(LN(1-$G$7)/LN(2)))</f>
        <v>1</v>
      </c>
      <c r="H40" s="80" t="n">
        <f aca="false">IF(OR(G$39=0,H39=0),1,(H39/G$39)^(LN(1-$G$7)/LN(2)))</f>
        <v>1</v>
      </c>
      <c r="I40" s="80" t="n">
        <f aca="false">IF(OR(G$39=0,I39=0),1,(I39/G$39)^(LN(1-$G$7)/LN(2)))</f>
        <v>1</v>
      </c>
      <c r="J40" s="80" t="n">
        <f aca="false">IF(OR(G$39=0,J39=0),1,(J39/G$39)^(LN(1-$G$7)/LN(2)))</f>
        <v>1</v>
      </c>
      <c r="K40" s="80" t="n">
        <f aca="false">IF(OR(G$39=0,K39=0),1,(K39/G$39)^(LN(1-$G$7)/LN(2)))</f>
        <v>1</v>
      </c>
      <c r="L40" s="80" t="n">
        <f aca="false">IF(OR(G$39=0,L39=0),1,(L39/G$39)^(LN(1-$G$7)/LN(2)))</f>
        <v>1</v>
      </c>
      <c r="M40" s="80" t="n">
        <f aca="false">IF(OR(G$39=0,M39=0),1,(M39/G$39)^(LN(1-$G$7)/LN(2)))</f>
        <v>1</v>
      </c>
      <c r="N40" s="80" t="n">
        <f aca="false">IF(OR(G$39=0,N39=0),1,(N39/G$39)^(LN(1-$G$7)/LN(2)))</f>
        <v>1</v>
      </c>
      <c r="O40" s="80" t="n">
        <f aca="false">IF(OR(G$39=0,O39=0),1,(O39/G$39)^(LN(1-$G$7)/LN(2)))</f>
        <v>1</v>
      </c>
      <c r="P40" s="80" t="n">
        <f aca="false">IF(OR(G$39=0,P39=0),1,(P39/G$39)^(LN(1-$G$7)/LN(2)))</f>
        <v>1</v>
      </c>
      <c r="Q40" s="80" t="n">
        <f aca="false">IF(OR(G$39=0,Q39=0),1,(Q39/G$39)^(LN(1-$G$7)/LN(2)))</f>
        <v>1</v>
      </c>
      <c r="R40" s="80" t="n">
        <f aca="false">IF(OR(G$39=0,R39=0),1,(R39/G$39)^(LN(1-$G$7)/LN(2)))</f>
        <v>1</v>
      </c>
      <c r="S40" s="80" t="n">
        <f aca="false">IF(OR(G$39=0,S39=0),1,(S39/G$39)^(LN(1-$G$7)/LN(2)))</f>
        <v>1</v>
      </c>
    </row>
    <row r="41" customFormat="false" ht="15" hidden="false" customHeight="false" outlineLevel="0" collapsed="false">
      <c r="A41" s="73" t="s">
        <v>925</v>
      </c>
      <c r="B41" s="74" t="s">
        <v>880</v>
      </c>
      <c r="C41" s="66" t="s">
        <v>130</v>
      </c>
      <c r="D41" s="43" t="s">
        <v>89</v>
      </c>
      <c r="E41" s="75" t="s">
        <v>917</v>
      </c>
      <c r="F41" s="76"/>
      <c r="G41" s="83" t="n">
        <f aca="false">G20*G19*G40</f>
        <v>14886.7970205094</v>
      </c>
      <c r="H41" s="83" t="n">
        <f aca="false">H20*H19*H40</f>
        <v>14933.9048083617</v>
      </c>
      <c r="I41" s="83" t="n">
        <f aca="false">I20*I19*I40</f>
        <v>14739.585183471</v>
      </c>
      <c r="J41" s="83" t="n">
        <f aca="false">J20*J19*J40</f>
        <v>20039.2113168538</v>
      </c>
      <c r="K41" s="83" t="n">
        <f aca="false">K20*K19*K40</f>
        <v>20039.2113168538</v>
      </c>
      <c r="L41" s="83" t="n">
        <f aca="false">L20*L19*L40</f>
        <v>20039.2113168538</v>
      </c>
      <c r="M41" s="83" t="n">
        <f aca="false">M20*M19*M40</f>
        <v>20039.2113168538</v>
      </c>
      <c r="N41" s="83" t="n">
        <f aca="false">N20*N19*N40</f>
        <v>20039.2113168538</v>
      </c>
      <c r="O41" s="83" t="n">
        <f aca="false">O20*O19*O40</f>
        <v>20039.2113168538</v>
      </c>
      <c r="P41" s="83" t="n">
        <f aca="false">P20*P19*P40</f>
        <v>20039.2113168538</v>
      </c>
      <c r="Q41" s="83" t="n">
        <f aca="false">Q20*Q19*Q40</f>
        <v>20039.2113168538</v>
      </c>
      <c r="R41" s="83" t="n">
        <f aca="false">R20*R19*R40</f>
        <v>20039.2113168538</v>
      </c>
      <c r="S41" s="83" t="n">
        <f aca="false">S20*S19*S40</f>
        <v>20039.2113168538</v>
      </c>
    </row>
    <row r="43" customFormat="false" ht="15" hidden="false" customHeight="false" outlineLevel="0" collapsed="false">
      <c r="A43" s="73" t="s">
        <v>925</v>
      </c>
      <c r="B43" s="74" t="s">
        <v>926</v>
      </c>
      <c r="C43" s="66" t="s">
        <v>131</v>
      </c>
      <c r="D43" s="43" t="s">
        <v>332</v>
      </c>
      <c r="E43" s="75" t="s">
        <v>43</v>
      </c>
      <c r="F43" s="76"/>
      <c r="G43" s="36" t="n">
        <f aca="false">IF(ISNUMBER(01_INPUTS!G140),01_INPUTS!G140,0)*1000</f>
        <v>0</v>
      </c>
      <c r="H43" s="36" t="n">
        <f aca="false">IF(ISNUMBER(01_INPUTS!H140),01_INPUTS!H140,0)*1000</f>
        <v>0</v>
      </c>
      <c r="I43" s="36" t="n">
        <f aca="false">IF(ISNUMBER(01_INPUTS!I140),01_INPUTS!I140,0)*1000</f>
        <v>0</v>
      </c>
      <c r="J43" s="36" t="n">
        <f aca="false">IF(ISNUMBER(01_INPUTS!J140),01_INPUTS!J140,0)*1000</f>
        <v>0</v>
      </c>
      <c r="K43" s="36" t="n">
        <f aca="false">IF(ISNUMBER(01_INPUTS!K140),01_INPUTS!K140,0)*1000</f>
        <v>0</v>
      </c>
      <c r="L43" s="36" t="n">
        <f aca="false">IF(ISNUMBER(01_INPUTS!L140),01_INPUTS!L140,0)*1000</f>
        <v>0</v>
      </c>
      <c r="M43" s="36" t="n">
        <f aca="false">IF(ISNUMBER(01_INPUTS!M140),01_INPUTS!M140,0)*1000</f>
        <v>0</v>
      </c>
      <c r="N43" s="36" t="n">
        <f aca="false">IF(ISNUMBER(01_INPUTS!N140),01_INPUTS!N140,0)*1000</f>
        <v>0</v>
      </c>
      <c r="O43" s="36" t="n">
        <f aca="false">IF(ISNUMBER(01_INPUTS!O140),01_INPUTS!O140,0)*1000</f>
        <v>0</v>
      </c>
      <c r="P43" s="36" t="n">
        <f aca="false">IF(ISNUMBER(01_INPUTS!P140),01_INPUTS!P140,0)*1000</f>
        <v>0</v>
      </c>
      <c r="Q43" s="36" t="n">
        <f aca="false">IF(ISNUMBER(01_INPUTS!Q140),01_INPUTS!Q140,0)*1000</f>
        <v>0</v>
      </c>
      <c r="R43" s="36" t="n">
        <f aca="false">IF(ISNUMBER(01_INPUTS!R140),01_INPUTS!R140,0)*1000</f>
        <v>0</v>
      </c>
      <c r="S43" s="36" t="n">
        <f aca="false">IF(ISNUMBER(01_INPUTS!S140),01_INPUTS!S140,0)*1000</f>
        <v>0</v>
      </c>
    </row>
    <row r="44" customFormat="false" ht="15" hidden="false" customHeight="false" outlineLevel="0" collapsed="false">
      <c r="A44" s="73" t="s">
        <v>925</v>
      </c>
      <c r="B44" s="74" t="s">
        <v>927</v>
      </c>
      <c r="C44" s="66" t="s">
        <v>131</v>
      </c>
      <c r="D44" s="43" t="s">
        <v>332</v>
      </c>
      <c r="E44" s="75" t="s">
        <v>43</v>
      </c>
      <c r="F44" s="76"/>
      <c r="G44" s="36" t="n">
        <f aca="false">G43</f>
        <v>0</v>
      </c>
      <c r="H44" s="36" t="n">
        <f aca="false">G44+H43</f>
        <v>0</v>
      </c>
      <c r="I44" s="36" t="n">
        <f aca="false">H44+I43</f>
        <v>0</v>
      </c>
      <c r="J44" s="36" t="n">
        <f aca="false">I44+J43</f>
        <v>0</v>
      </c>
      <c r="K44" s="36" t="n">
        <f aca="false">J44+K43</f>
        <v>0</v>
      </c>
      <c r="L44" s="36" t="n">
        <f aca="false">K44+L43</f>
        <v>0</v>
      </c>
      <c r="M44" s="36" t="n">
        <f aca="false">L44+M43</f>
        <v>0</v>
      </c>
      <c r="N44" s="36" t="n">
        <f aca="false">M44+N43</f>
        <v>0</v>
      </c>
      <c r="O44" s="36" t="n">
        <f aca="false">N44+O43</f>
        <v>0</v>
      </c>
      <c r="P44" s="36" t="n">
        <f aca="false">O44+P43</f>
        <v>0</v>
      </c>
      <c r="Q44" s="36" t="n">
        <f aca="false">P44+Q43</f>
        <v>0</v>
      </c>
      <c r="R44" s="36" t="n">
        <f aca="false">Q44+R43</f>
        <v>0</v>
      </c>
      <c r="S44" s="36" t="n">
        <f aca="false">R44+S43</f>
        <v>0</v>
      </c>
    </row>
    <row r="45" customFormat="false" ht="15" hidden="false" customHeight="false" outlineLevel="0" collapsed="false">
      <c r="A45" s="73" t="s">
        <v>925</v>
      </c>
      <c r="B45" s="74" t="s">
        <v>928</v>
      </c>
      <c r="C45" s="66" t="s">
        <v>131</v>
      </c>
      <c r="D45" s="43" t="s">
        <v>319</v>
      </c>
      <c r="E45" s="75" t="s">
        <v>43</v>
      </c>
      <c r="F45" s="76"/>
      <c r="G45" s="80" t="n">
        <f aca="false">IF(OR(G$44=0,G44=0),1,(G44/G$44)^(LN(1-$G$7)/LN(2)))</f>
        <v>1</v>
      </c>
      <c r="H45" s="80" t="n">
        <f aca="false">IF(OR(G$44=0,H44=0),1,(H44/G$44)^(LN(1-$G$7)/LN(2)))</f>
        <v>1</v>
      </c>
      <c r="I45" s="80" t="n">
        <f aca="false">IF(OR(G$44=0,I44=0),1,(I44/G$44)^(LN(1-$G$7)/LN(2)))</f>
        <v>1</v>
      </c>
      <c r="J45" s="80" t="n">
        <f aca="false">IF(OR(G$44=0,J44=0),1,(J44/G$44)^(LN(1-$G$7)/LN(2)))</f>
        <v>1</v>
      </c>
      <c r="K45" s="80" t="n">
        <f aca="false">IF(OR(G$44=0,K44=0),1,(K44/G$44)^(LN(1-$G$7)/LN(2)))</f>
        <v>1</v>
      </c>
      <c r="L45" s="80" t="n">
        <f aca="false">IF(OR(G$44=0,L44=0),1,(L44/G$44)^(LN(1-$G$7)/LN(2)))</f>
        <v>1</v>
      </c>
      <c r="M45" s="80" t="n">
        <f aca="false">IF(OR(G$44=0,M44=0),1,(M44/G$44)^(LN(1-$G$7)/LN(2)))</f>
        <v>1</v>
      </c>
      <c r="N45" s="80" t="n">
        <f aca="false">IF(OR(G$44=0,N44=0),1,(N44/G$44)^(LN(1-$G$7)/LN(2)))</f>
        <v>1</v>
      </c>
      <c r="O45" s="80" t="n">
        <f aca="false">IF(OR(G$44=0,O44=0),1,(O44/G$44)^(LN(1-$G$7)/LN(2)))</f>
        <v>1</v>
      </c>
      <c r="P45" s="80" t="n">
        <f aca="false">IF(OR(G$44=0,P44=0),1,(P44/G$44)^(LN(1-$G$7)/LN(2)))</f>
        <v>1</v>
      </c>
      <c r="Q45" s="80" t="n">
        <f aca="false">IF(OR(G$44=0,Q44=0),1,(Q44/G$44)^(LN(1-$G$7)/LN(2)))</f>
        <v>1</v>
      </c>
      <c r="R45" s="80" t="n">
        <f aca="false">IF(OR(G$44=0,R44=0),1,(R44/G$44)^(LN(1-$G$7)/LN(2)))</f>
        <v>1</v>
      </c>
      <c r="S45" s="80" t="n">
        <f aca="false">IF(OR(G$44=0,S44=0),1,(S44/G$44)^(LN(1-$G$7)/LN(2)))</f>
        <v>1</v>
      </c>
    </row>
    <row r="46" customFormat="false" ht="15" hidden="false" customHeight="false" outlineLevel="0" collapsed="false">
      <c r="A46" s="73" t="s">
        <v>925</v>
      </c>
      <c r="B46" s="74" t="s">
        <v>880</v>
      </c>
      <c r="C46" s="66" t="s">
        <v>131</v>
      </c>
      <c r="D46" s="43" t="s">
        <v>89</v>
      </c>
      <c r="E46" s="75" t="s">
        <v>917</v>
      </c>
      <c r="F46" s="76"/>
      <c r="G46" s="83" t="n">
        <f aca="false">G20*G19*G45</f>
        <v>14886.7970205094</v>
      </c>
      <c r="H46" s="83" t="n">
        <f aca="false">H20*H19*H45</f>
        <v>14933.9048083617</v>
      </c>
      <c r="I46" s="83" t="n">
        <f aca="false">I20*I19*I45</f>
        <v>14739.585183471</v>
      </c>
      <c r="J46" s="83" t="n">
        <f aca="false">J20*J19*J45</f>
        <v>20039.2113168538</v>
      </c>
      <c r="K46" s="83" t="n">
        <f aca="false">K20*K19*K45</f>
        <v>20039.2113168538</v>
      </c>
      <c r="L46" s="83" t="n">
        <f aca="false">L20*L19*L45</f>
        <v>20039.2113168538</v>
      </c>
      <c r="M46" s="83" t="n">
        <f aca="false">M20*M19*M45</f>
        <v>20039.2113168538</v>
      </c>
      <c r="N46" s="83" t="n">
        <f aca="false">N20*N19*N45</f>
        <v>20039.2113168538</v>
      </c>
      <c r="O46" s="83" t="n">
        <f aca="false">O20*O19*O45</f>
        <v>20039.2113168538</v>
      </c>
      <c r="P46" s="83" t="n">
        <f aca="false">P20*P19*P45</f>
        <v>20039.2113168538</v>
      </c>
      <c r="Q46" s="83" t="n">
        <f aca="false">Q20*Q19*Q45</f>
        <v>20039.2113168538</v>
      </c>
      <c r="R46" s="83" t="n">
        <f aca="false">R20*R19*R45</f>
        <v>20039.2113168538</v>
      </c>
      <c r="S46" s="83" t="n">
        <f aca="false">S20*S19*S45</f>
        <v>20039.2113168538</v>
      </c>
    </row>
    <row r="48" customFormat="false" ht="15" hidden="false" customHeight="false" outlineLevel="0" collapsed="false">
      <c r="A48" s="73" t="s">
        <v>925</v>
      </c>
      <c r="B48" s="74" t="s">
        <v>926</v>
      </c>
      <c r="C48" s="66" t="s">
        <v>132</v>
      </c>
      <c r="D48" s="43" t="s">
        <v>332</v>
      </c>
      <c r="E48" s="75" t="s">
        <v>43</v>
      </c>
      <c r="F48" s="76"/>
      <c r="G48" s="36" t="n">
        <f aca="false">IF(ISNUMBER(01_INPUTS!G141),01_INPUTS!G141,0)*1000</f>
        <v>0</v>
      </c>
      <c r="H48" s="36" t="n">
        <f aca="false">IF(ISNUMBER(01_INPUTS!H141),01_INPUTS!H141,0)*1000</f>
        <v>0</v>
      </c>
      <c r="I48" s="36" t="n">
        <f aca="false">IF(ISNUMBER(01_INPUTS!I141),01_INPUTS!I141,0)*1000</f>
        <v>0</v>
      </c>
      <c r="J48" s="36" t="n">
        <f aca="false">IF(ISNUMBER(01_INPUTS!J141),01_INPUTS!J141,0)*1000</f>
        <v>0</v>
      </c>
      <c r="K48" s="36" t="n">
        <f aca="false">IF(ISNUMBER(01_INPUTS!K141),01_INPUTS!K141,0)*1000</f>
        <v>0</v>
      </c>
      <c r="L48" s="36" t="n">
        <f aca="false">IF(ISNUMBER(01_INPUTS!L141),01_INPUTS!L141,0)*1000</f>
        <v>0</v>
      </c>
      <c r="M48" s="36" t="n">
        <f aca="false">IF(ISNUMBER(01_INPUTS!M141),01_INPUTS!M141,0)*1000</f>
        <v>0</v>
      </c>
      <c r="N48" s="36" t="n">
        <f aca="false">IF(ISNUMBER(01_INPUTS!N141),01_INPUTS!N141,0)*1000</f>
        <v>0</v>
      </c>
      <c r="O48" s="36" t="n">
        <f aca="false">IF(ISNUMBER(01_INPUTS!O141),01_INPUTS!O141,0)*1000</f>
        <v>0</v>
      </c>
      <c r="P48" s="36" t="n">
        <f aca="false">IF(ISNUMBER(01_INPUTS!P141),01_INPUTS!P141,0)*1000</f>
        <v>0</v>
      </c>
      <c r="Q48" s="36" t="n">
        <f aca="false">IF(ISNUMBER(01_INPUTS!Q141),01_INPUTS!Q141,0)*1000</f>
        <v>0</v>
      </c>
      <c r="R48" s="36" t="n">
        <f aca="false">IF(ISNUMBER(01_INPUTS!R141),01_INPUTS!R141,0)*1000</f>
        <v>0</v>
      </c>
      <c r="S48" s="36" t="n">
        <f aca="false">IF(ISNUMBER(01_INPUTS!S141),01_INPUTS!S141,0)*1000</f>
        <v>0</v>
      </c>
    </row>
    <row r="49" customFormat="false" ht="15" hidden="false" customHeight="false" outlineLevel="0" collapsed="false">
      <c r="A49" s="73" t="s">
        <v>925</v>
      </c>
      <c r="B49" s="74" t="s">
        <v>927</v>
      </c>
      <c r="C49" s="66" t="s">
        <v>132</v>
      </c>
      <c r="D49" s="43" t="s">
        <v>332</v>
      </c>
      <c r="E49" s="75" t="s">
        <v>43</v>
      </c>
      <c r="F49" s="76"/>
      <c r="G49" s="36" t="n">
        <f aca="false">G48</f>
        <v>0</v>
      </c>
      <c r="H49" s="36" t="n">
        <f aca="false">G49+H48</f>
        <v>0</v>
      </c>
      <c r="I49" s="36" t="n">
        <f aca="false">H49+I48</f>
        <v>0</v>
      </c>
      <c r="J49" s="36" t="n">
        <f aca="false">I49+J48</f>
        <v>0</v>
      </c>
      <c r="K49" s="36" t="n">
        <f aca="false">J49+K48</f>
        <v>0</v>
      </c>
      <c r="L49" s="36" t="n">
        <f aca="false">K49+L48</f>
        <v>0</v>
      </c>
      <c r="M49" s="36" t="n">
        <f aca="false">L49+M48</f>
        <v>0</v>
      </c>
      <c r="N49" s="36" t="n">
        <f aca="false">M49+N48</f>
        <v>0</v>
      </c>
      <c r="O49" s="36" t="n">
        <f aca="false">N49+O48</f>
        <v>0</v>
      </c>
      <c r="P49" s="36" t="n">
        <f aca="false">O49+P48</f>
        <v>0</v>
      </c>
      <c r="Q49" s="36" t="n">
        <f aca="false">P49+Q48</f>
        <v>0</v>
      </c>
      <c r="R49" s="36" t="n">
        <f aca="false">Q49+R48</f>
        <v>0</v>
      </c>
      <c r="S49" s="36" t="n">
        <f aca="false">R49+S48</f>
        <v>0</v>
      </c>
    </row>
    <row r="50" customFormat="false" ht="15" hidden="false" customHeight="false" outlineLevel="0" collapsed="false">
      <c r="A50" s="73" t="s">
        <v>925</v>
      </c>
      <c r="B50" s="74" t="s">
        <v>928</v>
      </c>
      <c r="C50" s="66" t="s">
        <v>132</v>
      </c>
      <c r="D50" s="43" t="s">
        <v>319</v>
      </c>
      <c r="E50" s="75" t="s">
        <v>43</v>
      </c>
      <c r="F50" s="76"/>
      <c r="G50" s="80" t="n">
        <f aca="false">IF(OR(G$49=0,G49=0),1,(G49/G$49)^(LN(1-$G$7)/LN(2)))</f>
        <v>1</v>
      </c>
      <c r="H50" s="80" t="n">
        <f aca="false">IF(OR(G$49=0,H49=0),1,(H49/G$49)^(LN(1-$G$7)/LN(2)))</f>
        <v>1</v>
      </c>
      <c r="I50" s="80" t="n">
        <f aca="false">IF(OR(G$49=0,I49=0),1,(I49/G$49)^(LN(1-$G$7)/LN(2)))</f>
        <v>1</v>
      </c>
      <c r="J50" s="80" t="n">
        <f aca="false">IF(OR(G$49=0,J49=0),1,(J49/G$49)^(LN(1-$G$7)/LN(2)))</f>
        <v>1</v>
      </c>
      <c r="K50" s="80" t="n">
        <f aca="false">IF(OR(G$49=0,K49=0),1,(K49/G$49)^(LN(1-$G$7)/LN(2)))</f>
        <v>1</v>
      </c>
      <c r="L50" s="80" t="n">
        <f aca="false">IF(OR(G$49=0,L49=0),1,(L49/G$49)^(LN(1-$G$7)/LN(2)))</f>
        <v>1</v>
      </c>
      <c r="M50" s="80" t="n">
        <f aca="false">IF(OR(G$49=0,M49=0),1,(M49/G$49)^(LN(1-$G$7)/LN(2)))</f>
        <v>1</v>
      </c>
      <c r="N50" s="80" t="n">
        <f aca="false">IF(OR(G$49=0,N49=0),1,(N49/G$49)^(LN(1-$G$7)/LN(2)))</f>
        <v>1</v>
      </c>
      <c r="O50" s="80" t="n">
        <f aca="false">IF(OR(G$49=0,O49=0),1,(O49/G$49)^(LN(1-$G$7)/LN(2)))</f>
        <v>1</v>
      </c>
      <c r="P50" s="80" t="n">
        <f aca="false">IF(OR(G$49=0,P49=0),1,(P49/G$49)^(LN(1-$G$7)/LN(2)))</f>
        <v>1</v>
      </c>
      <c r="Q50" s="80" t="n">
        <f aca="false">IF(OR(G$49=0,Q49=0),1,(Q49/G$49)^(LN(1-$G$7)/LN(2)))</f>
        <v>1</v>
      </c>
      <c r="R50" s="80" t="n">
        <f aca="false">IF(OR(G$49=0,R49=0),1,(R49/G$49)^(LN(1-$G$7)/LN(2)))</f>
        <v>1</v>
      </c>
      <c r="S50" s="80" t="n">
        <f aca="false">IF(OR(G$49=0,S49=0),1,(S49/G$49)^(LN(1-$G$7)/LN(2)))</f>
        <v>1</v>
      </c>
    </row>
    <row r="51" customFormat="false" ht="15" hidden="false" customHeight="false" outlineLevel="0" collapsed="false">
      <c r="A51" s="73" t="s">
        <v>925</v>
      </c>
      <c r="B51" s="74" t="s">
        <v>880</v>
      </c>
      <c r="C51" s="66" t="s">
        <v>132</v>
      </c>
      <c r="D51" s="43" t="s">
        <v>89</v>
      </c>
      <c r="E51" s="75" t="s">
        <v>917</v>
      </c>
      <c r="F51" s="76"/>
      <c r="G51" s="83" t="n">
        <f aca="false">G20*G19*G50</f>
        <v>14886.7970205094</v>
      </c>
      <c r="H51" s="83" t="n">
        <f aca="false">H20*H19*H50</f>
        <v>14933.9048083617</v>
      </c>
      <c r="I51" s="83" t="n">
        <f aca="false">I20*I19*I50</f>
        <v>14739.585183471</v>
      </c>
      <c r="J51" s="83" t="n">
        <f aca="false">J20*J19*J50</f>
        <v>20039.2113168538</v>
      </c>
      <c r="K51" s="83" t="n">
        <f aca="false">K20*K19*K50</f>
        <v>20039.2113168538</v>
      </c>
      <c r="L51" s="83" t="n">
        <f aca="false">L20*L19*L50</f>
        <v>20039.2113168538</v>
      </c>
      <c r="M51" s="83" t="n">
        <f aca="false">M20*M19*M50</f>
        <v>20039.2113168538</v>
      </c>
      <c r="N51" s="83" t="n">
        <f aca="false">N20*N19*N50</f>
        <v>20039.2113168538</v>
      </c>
      <c r="O51" s="83" t="n">
        <f aca="false">O20*O19*O50</f>
        <v>20039.2113168538</v>
      </c>
      <c r="P51" s="83" t="n">
        <f aca="false">P20*P19*P50</f>
        <v>20039.2113168538</v>
      </c>
      <c r="Q51" s="83" t="n">
        <f aca="false">Q20*Q19*Q50</f>
        <v>20039.2113168538</v>
      </c>
      <c r="R51" s="83" t="n">
        <f aca="false">R20*R19*R50</f>
        <v>20039.2113168538</v>
      </c>
      <c r="S51" s="83" t="n">
        <f aca="false">S20*S19*S50</f>
        <v>20039.2113168538</v>
      </c>
    </row>
    <row r="54" customFormat="false" ht="15" hidden="false" customHeight="false" outlineLevel="0" collapsed="false">
      <c r="A54" s="73" t="s">
        <v>925</v>
      </c>
      <c r="B54" s="74" t="s">
        <v>926</v>
      </c>
      <c r="C54" s="66" t="s">
        <v>133</v>
      </c>
      <c r="D54" s="43" t="s">
        <v>332</v>
      </c>
      <c r="E54" s="75" t="s">
        <v>43</v>
      </c>
      <c r="F54" s="76"/>
      <c r="G54" s="36" t="n">
        <f aca="false">IF(ISNUMBER(01_INPUTS!G142),01_INPUTS!G142,0)*1000</f>
        <v>400000</v>
      </c>
      <c r="H54" s="36" t="n">
        <f aca="false">IF(ISNUMBER(01_INPUTS!H142),01_INPUTS!H142,0)*1000</f>
        <v>240000</v>
      </c>
      <c r="I54" s="36" t="n">
        <f aca="false">IF(ISNUMBER(01_INPUTS!I142),01_INPUTS!I142,0)*1000</f>
        <v>400000</v>
      </c>
      <c r="J54" s="36" t="n">
        <f aca="false">IF(ISNUMBER(01_INPUTS!J142),01_INPUTS!J142,0)*1000</f>
        <v>0</v>
      </c>
      <c r="K54" s="36" t="n">
        <f aca="false">IF(ISNUMBER(01_INPUTS!K142),01_INPUTS!K142,0)*1000</f>
        <v>0</v>
      </c>
      <c r="L54" s="36" t="n">
        <f aca="false">IF(ISNUMBER(01_INPUTS!L142),01_INPUTS!L142,0)*1000</f>
        <v>0</v>
      </c>
      <c r="M54" s="36" t="n">
        <f aca="false">IF(ISNUMBER(01_INPUTS!M142),01_INPUTS!M142,0)*1000</f>
        <v>0</v>
      </c>
      <c r="N54" s="36" t="n">
        <f aca="false">IF(ISNUMBER(01_INPUTS!N142),01_INPUTS!N142,0)*1000</f>
        <v>0</v>
      </c>
      <c r="O54" s="36" t="n">
        <f aca="false">IF(ISNUMBER(01_INPUTS!O142),01_INPUTS!O142,0)*1000</f>
        <v>0</v>
      </c>
      <c r="P54" s="36" t="n">
        <f aca="false">IF(ISNUMBER(01_INPUTS!P142),01_INPUTS!P142,0)*1000</f>
        <v>0</v>
      </c>
      <c r="Q54" s="36" t="n">
        <f aca="false">IF(ISNUMBER(01_INPUTS!Q142),01_INPUTS!Q142,0)*1000</f>
        <v>0</v>
      </c>
      <c r="R54" s="36" t="n">
        <f aca="false">IF(ISNUMBER(01_INPUTS!R142),01_INPUTS!R142,0)*1000</f>
        <v>0</v>
      </c>
      <c r="S54" s="36" t="n">
        <f aca="false">IF(ISNUMBER(01_INPUTS!S142),01_INPUTS!S142,0)*1000</f>
        <v>0</v>
      </c>
    </row>
    <row r="55" customFormat="false" ht="15" hidden="false" customHeight="false" outlineLevel="0" collapsed="false">
      <c r="A55" s="73" t="s">
        <v>925</v>
      </c>
      <c r="B55" s="74" t="s">
        <v>927</v>
      </c>
      <c r="C55" s="66" t="s">
        <v>133</v>
      </c>
      <c r="D55" s="43" t="s">
        <v>332</v>
      </c>
      <c r="E55" s="75" t="s">
        <v>43</v>
      </c>
      <c r="F55" s="76"/>
      <c r="G55" s="36" t="n">
        <f aca="false">G54</f>
        <v>400000</v>
      </c>
      <c r="H55" s="36" t="n">
        <f aca="false">G55+H54</f>
        <v>640000</v>
      </c>
      <c r="I55" s="36" t="n">
        <f aca="false">H55+I54</f>
        <v>1040000</v>
      </c>
      <c r="J55" s="36" t="n">
        <f aca="false">I55+J54</f>
        <v>1040000</v>
      </c>
      <c r="K55" s="36" t="n">
        <f aca="false">J55+K54</f>
        <v>1040000</v>
      </c>
      <c r="L55" s="36" t="n">
        <f aca="false">K55+L54</f>
        <v>1040000</v>
      </c>
      <c r="M55" s="36" t="n">
        <f aca="false">L55+M54</f>
        <v>1040000</v>
      </c>
      <c r="N55" s="36" t="n">
        <f aca="false">M55+N54</f>
        <v>1040000</v>
      </c>
      <c r="O55" s="36" t="n">
        <f aca="false">N55+O54</f>
        <v>1040000</v>
      </c>
      <c r="P55" s="36" t="n">
        <f aca="false">O55+P54</f>
        <v>1040000</v>
      </c>
      <c r="Q55" s="36" t="n">
        <f aca="false">P55+Q54</f>
        <v>1040000</v>
      </c>
      <c r="R55" s="36" t="n">
        <f aca="false">Q55+R54</f>
        <v>1040000</v>
      </c>
      <c r="S55" s="36" t="n">
        <f aca="false">R55+S54</f>
        <v>1040000</v>
      </c>
    </row>
    <row r="56" customFormat="false" ht="15" hidden="false" customHeight="false" outlineLevel="0" collapsed="false">
      <c r="A56" s="73" t="s">
        <v>925</v>
      </c>
      <c r="B56" s="74" t="s">
        <v>928</v>
      </c>
      <c r="C56" s="66" t="s">
        <v>133</v>
      </c>
      <c r="D56" s="43" t="s">
        <v>319</v>
      </c>
      <c r="E56" s="75" t="s">
        <v>43</v>
      </c>
      <c r="F56" s="76"/>
      <c r="G56" s="80" t="n">
        <f aca="false">IF(OR(G$55=0,G55=0),1,(G55/G$55)^(LN(1-$G$7)/LN(2)))</f>
        <v>1</v>
      </c>
      <c r="H56" s="80" t="n">
        <f aca="false">IF(OR(G$55=0,H55=0),1,(H55/G$55)^(LN(1-$G$7)/LN(2)))</f>
        <v>0.931050271753623</v>
      </c>
      <c r="I56" s="80" t="n">
        <f aca="false">IF(OR(G$55=0,I55=0),1,(I55/G$55)^(LN(1-$G$7)/LN(2)))</f>
        <v>0.864814111221747</v>
      </c>
      <c r="J56" s="80" t="n">
        <f aca="false">IF(OR(G$55=0,J55=0),1,(J55/G$55)^(LN(1-$G$7)/LN(2)))</f>
        <v>0.864814111221747</v>
      </c>
      <c r="K56" s="80" t="n">
        <f aca="false">IF(OR(G$55=0,K55=0),1,(K55/G$55)^(LN(1-$G$7)/LN(2)))</f>
        <v>0.864814111221747</v>
      </c>
      <c r="L56" s="80" t="n">
        <f aca="false">IF(OR(G$55=0,L55=0),1,(L55/G$55)^(LN(1-$G$7)/LN(2)))</f>
        <v>0.864814111221747</v>
      </c>
      <c r="M56" s="80" t="n">
        <f aca="false">IF(OR(G$55=0,M55=0),1,(M55/G$55)^(LN(1-$G$7)/LN(2)))</f>
        <v>0.864814111221747</v>
      </c>
      <c r="N56" s="80" t="n">
        <f aca="false">IF(OR(G$55=0,N55=0),1,(N55/G$55)^(LN(1-$G$7)/LN(2)))</f>
        <v>0.864814111221747</v>
      </c>
      <c r="O56" s="80" t="n">
        <f aca="false">IF(OR(G$55=0,O55=0),1,(O55/G$55)^(LN(1-$G$7)/LN(2)))</f>
        <v>0.864814111221747</v>
      </c>
      <c r="P56" s="80" t="n">
        <f aca="false">IF(OR(G$55=0,P55=0),1,(P55/G$55)^(LN(1-$G$7)/LN(2)))</f>
        <v>0.864814111221747</v>
      </c>
      <c r="Q56" s="80" t="n">
        <f aca="false">IF(OR(G$55=0,Q55=0),1,(Q55/G$55)^(LN(1-$G$7)/LN(2)))</f>
        <v>0.864814111221747</v>
      </c>
      <c r="R56" s="80" t="n">
        <f aca="false">IF(OR(G$55=0,R55=0),1,(R55/G$55)^(LN(1-$G$7)/LN(2)))</f>
        <v>0.864814111221747</v>
      </c>
      <c r="S56" s="80" t="n">
        <f aca="false">IF(OR(G$55=0,S55=0),1,(S55/G$55)^(LN(1-$G$7)/LN(2)))</f>
        <v>0.864814111221747</v>
      </c>
    </row>
    <row r="57" customFormat="false" ht="15" hidden="false" customHeight="false" outlineLevel="0" collapsed="false">
      <c r="A57" s="73" t="s">
        <v>925</v>
      </c>
      <c r="B57" s="74" t="s">
        <v>880</v>
      </c>
      <c r="C57" s="66" t="s">
        <v>133</v>
      </c>
      <c r="D57" s="43" t="s">
        <v>89</v>
      </c>
      <c r="E57" s="75" t="s">
        <v>917</v>
      </c>
      <c r="F57" s="76"/>
      <c r="G57" s="83" t="n">
        <f aca="false">G29*G28*G56</f>
        <v>14051.3756273759</v>
      </c>
      <c r="H57" s="83" t="n">
        <f aca="false">H29*H28*H56</f>
        <v>13255.0109936812</v>
      </c>
      <c r="I57" s="83" t="n">
        <f aca="false">I29*I28*I56</f>
        <v>12151.827924632</v>
      </c>
      <c r="J57" s="83" t="n">
        <f aca="false">J29*J28*J56</f>
        <v>16521.0244818031</v>
      </c>
      <c r="K57" s="83" t="n">
        <f aca="false">K29*K28*K56</f>
        <v>16521.0244818031</v>
      </c>
      <c r="L57" s="83" t="n">
        <f aca="false">L29*L28*L56</f>
        <v>16521.0244818031</v>
      </c>
      <c r="M57" s="83" t="n">
        <f aca="false">M29*M28*M56</f>
        <v>16521.0244818031</v>
      </c>
      <c r="N57" s="83" t="n">
        <f aca="false">N29*N28*N56</f>
        <v>16521.0244818031</v>
      </c>
      <c r="O57" s="83" t="n">
        <f aca="false">O29*O28*O56</f>
        <v>16521.0244818031</v>
      </c>
      <c r="P57" s="83" t="n">
        <f aca="false">P29*P28*P56</f>
        <v>16521.0244818031</v>
      </c>
      <c r="Q57" s="83" t="n">
        <f aca="false">Q29*Q28*Q56</f>
        <v>16521.0244818031</v>
      </c>
      <c r="R57" s="83" t="n">
        <f aca="false">R29*R28*R56</f>
        <v>16521.0244818031</v>
      </c>
      <c r="S57" s="83" t="n">
        <f aca="false">S29*S28*S56</f>
        <v>16521.0244818031</v>
      </c>
    </row>
    <row r="59" customFormat="false" ht="15" hidden="false" customHeight="false" outlineLevel="0" collapsed="false">
      <c r="A59" s="73" t="s">
        <v>925</v>
      </c>
      <c r="B59" s="74" t="s">
        <v>926</v>
      </c>
      <c r="C59" s="66" t="s">
        <v>134</v>
      </c>
      <c r="D59" s="43" t="s">
        <v>332</v>
      </c>
      <c r="E59" s="75" t="s">
        <v>43</v>
      </c>
      <c r="F59" s="76"/>
      <c r="G59" s="36" t="n">
        <f aca="false">IF(ISNUMBER(01_INPUTS!G143),01_INPUTS!G143,0)*1000</f>
        <v>0</v>
      </c>
      <c r="H59" s="36" t="n">
        <f aca="false">IF(ISNUMBER(01_INPUTS!H143),01_INPUTS!H143,0)*1000</f>
        <v>100000</v>
      </c>
      <c r="I59" s="36" t="n">
        <f aca="false">IF(ISNUMBER(01_INPUTS!I143),01_INPUTS!I143,0)*1000</f>
        <v>50000</v>
      </c>
      <c r="J59" s="36" t="n">
        <f aca="false">IF(ISNUMBER(01_INPUTS!J143),01_INPUTS!J143,0)*1000</f>
        <v>0</v>
      </c>
      <c r="K59" s="36" t="n">
        <f aca="false">IF(ISNUMBER(01_INPUTS!K143),01_INPUTS!K143,0)*1000</f>
        <v>0</v>
      </c>
      <c r="L59" s="36" t="n">
        <f aca="false">IF(ISNUMBER(01_INPUTS!L143),01_INPUTS!L143,0)*1000</f>
        <v>0</v>
      </c>
      <c r="M59" s="36" t="n">
        <f aca="false">IF(ISNUMBER(01_INPUTS!M143),01_INPUTS!M143,0)*1000</f>
        <v>0</v>
      </c>
      <c r="N59" s="36" t="n">
        <f aca="false">IF(ISNUMBER(01_INPUTS!N143),01_INPUTS!N143,0)*1000</f>
        <v>0</v>
      </c>
      <c r="O59" s="36" t="n">
        <f aca="false">IF(ISNUMBER(01_INPUTS!O143),01_INPUTS!O143,0)*1000</f>
        <v>0</v>
      </c>
      <c r="P59" s="36" t="n">
        <f aca="false">IF(ISNUMBER(01_INPUTS!P143),01_INPUTS!P143,0)*1000</f>
        <v>0</v>
      </c>
      <c r="Q59" s="36" t="n">
        <f aca="false">IF(ISNUMBER(01_INPUTS!Q143),01_INPUTS!Q143,0)*1000</f>
        <v>0</v>
      </c>
      <c r="R59" s="36" t="n">
        <f aca="false">IF(ISNUMBER(01_INPUTS!R143),01_INPUTS!R143,0)*1000</f>
        <v>0</v>
      </c>
      <c r="S59" s="36" t="n">
        <f aca="false">IF(ISNUMBER(01_INPUTS!S143),01_INPUTS!S143,0)*1000</f>
        <v>0</v>
      </c>
    </row>
    <row r="60" customFormat="false" ht="15" hidden="false" customHeight="false" outlineLevel="0" collapsed="false">
      <c r="A60" s="73" t="s">
        <v>925</v>
      </c>
      <c r="B60" s="74" t="s">
        <v>927</v>
      </c>
      <c r="C60" s="66" t="s">
        <v>134</v>
      </c>
      <c r="D60" s="43" t="s">
        <v>332</v>
      </c>
      <c r="E60" s="75" t="s">
        <v>43</v>
      </c>
      <c r="F60" s="76"/>
      <c r="G60" s="36" t="n">
        <f aca="false">G59</f>
        <v>0</v>
      </c>
      <c r="H60" s="36" t="n">
        <f aca="false">G60+H59</f>
        <v>100000</v>
      </c>
      <c r="I60" s="36" t="n">
        <f aca="false">H60+I59</f>
        <v>150000</v>
      </c>
      <c r="J60" s="36" t="n">
        <f aca="false">I60+J59</f>
        <v>150000</v>
      </c>
      <c r="K60" s="36" t="n">
        <f aca="false">J60+K59</f>
        <v>150000</v>
      </c>
      <c r="L60" s="36" t="n">
        <f aca="false">K60+L59</f>
        <v>150000</v>
      </c>
      <c r="M60" s="36" t="n">
        <f aca="false">L60+M59</f>
        <v>150000</v>
      </c>
      <c r="N60" s="36" t="n">
        <f aca="false">M60+N59</f>
        <v>150000</v>
      </c>
      <c r="O60" s="36" t="n">
        <f aca="false">N60+O59</f>
        <v>150000</v>
      </c>
      <c r="P60" s="36" t="n">
        <f aca="false">O60+P59</f>
        <v>150000</v>
      </c>
      <c r="Q60" s="36" t="n">
        <f aca="false">P60+Q59</f>
        <v>150000</v>
      </c>
      <c r="R60" s="36" t="n">
        <f aca="false">Q60+R59</f>
        <v>150000</v>
      </c>
      <c r="S60" s="36" t="n">
        <f aca="false">R60+S59</f>
        <v>150000</v>
      </c>
    </row>
    <row r="61" customFormat="false" ht="15" hidden="false" customHeight="false" outlineLevel="0" collapsed="false">
      <c r="A61" s="73" t="s">
        <v>925</v>
      </c>
      <c r="B61" s="74" t="s">
        <v>928</v>
      </c>
      <c r="C61" s="66" t="s">
        <v>134</v>
      </c>
      <c r="D61" s="43" t="s">
        <v>319</v>
      </c>
      <c r="E61" s="75" t="s">
        <v>43</v>
      </c>
      <c r="F61" s="76"/>
      <c r="G61" s="80" t="n">
        <f aca="false">IF(OR(G$60=0,G60=0),1,(G60/G$60)^(LN(1-$G$7)/LN(2)))</f>
        <v>1</v>
      </c>
      <c r="H61" s="80" t="n">
        <f aca="false">IF(OR(G$60=0,H60=0),1,(H60/G$60)^(LN(1-$G$7)/LN(2)))</f>
        <v>1</v>
      </c>
      <c r="I61" s="80" t="n">
        <f aca="false">IF(OR(G$60=0,I60=0),1,(I60/G$60)^(LN(1-$G$7)/LN(2)))</f>
        <v>1</v>
      </c>
      <c r="J61" s="80" t="n">
        <f aca="false">IF(OR(G$60=0,J60=0),1,(J60/G$60)^(LN(1-$G$7)/LN(2)))</f>
        <v>1</v>
      </c>
      <c r="K61" s="80" t="n">
        <f aca="false">IF(OR(G$60=0,K60=0),1,(K60/G$60)^(LN(1-$G$7)/LN(2)))</f>
        <v>1</v>
      </c>
      <c r="L61" s="80" t="n">
        <f aca="false">IF(OR(G$60=0,L60=0),1,(L60/G$60)^(LN(1-$G$7)/LN(2)))</f>
        <v>1</v>
      </c>
      <c r="M61" s="80" t="n">
        <f aca="false">IF(OR(G$60=0,M60=0),1,(M60/G$60)^(LN(1-$G$7)/LN(2)))</f>
        <v>1</v>
      </c>
      <c r="N61" s="80" t="n">
        <f aca="false">IF(OR(G$60=0,N60=0),1,(N60/G$60)^(LN(1-$G$7)/LN(2)))</f>
        <v>1</v>
      </c>
      <c r="O61" s="80" t="n">
        <f aca="false">IF(OR(G$60=0,O60=0),1,(O60/G$60)^(LN(1-$G$7)/LN(2)))</f>
        <v>1</v>
      </c>
      <c r="P61" s="80" t="n">
        <f aca="false">IF(OR(G$60=0,P60=0),1,(P60/G$60)^(LN(1-$G$7)/LN(2)))</f>
        <v>1</v>
      </c>
      <c r="Q61" s="80" t="n">
        <f aca="false">IF(OR(G$60=0,Q60=0),1,(Q60/G$60)^(LN(1-$G$7)/LN(2)))</f>
        <v>1</v>
      </c>
      <c r="R61" s="80" t="n">
        <f aca="false">IF(OR(G$60=0,R60=0),1,(R60/G$60)^(LN(1-$G$7)/LN(2)))</f>
        <v>1</v>
      </c>
      <c r="S61" s="80" t="n">
        <f aca="false">IF(OR(G$60=0,S60=0),1,(S60/G$60)^(LN(1-$G$7)/LN(2)))</f>
        <v>1</v>
      </c>
    </row>
    <row r="62" customFormat="false" ht="15" hidden="false" customHeight="false" outlineLevel="0" collapsed="false">
      <c r="A62" s="73" t="s">
        <v>925</v>
      </c>
      <c r="B62" s="74" t="s">
        <v>880</v>
      </c>
      <c r="C62" s="66" t="s">
        <v>134</v>
      </c>
      <c r="D62" s="43" t="s">
        <v>89</v>
      </c>
      <c r="E62" s="75" t="s">
        <v>917</v>
      </c>
      <c r="F62" s="76"/>
      <c r="G62" s="83" t="n">
        <f aca="false">G29*G28*G61</f>
        <v>14051.3756273759</v>
      </c>
      <c r="H62" s="83" t="n">
        <f aca="false">H29*H28*H61</f>
        <v>14236.6222274073</v>
      </c>
      <c r="I62" s="83" t="n">
        <f aca="false">I29*I28*I61</f>
        <v>14051.3756273759</v>
      </c>
      <c r="J62" s="83" t="n">
        <f aca="false">J29*J28*J61</f>
        <v>19103.5556282302</v>
      </c>
      <c r="K62" s="83" t="n">
        <f aca="false">K29*K28*K61</f>
        <v>19103.5556282302</v>
      </c>
      <c r="L62" s="83" t="n">
        <f aca="false">L29*L28*L61</f>
        <v>19103.5556282302</v>
      </c>
      <c r="M62" s="83" t="n">
        <f aca="false">M29*M28*M61</f>
        <v>19103.5556282302</v>
      </c>
      <c r="N62" s="83" t="n">
        <f aca="false">N29*N28*N61</f>
        <v>19103.5556282302</v>
      </c>
      <c r="O62" s="83" t="n">
        <f aca="false">O29*O28*O61</f>
        <v>19103.5556282302</v>
      </c>
      <c r="P62" s="83" t="n">
        <f aca="false">P29*P28*P61</f>
        <v>19103.5556282302</v>
      </c>
      <c r="Q62" s="83" t="n">
        <f aca="false">Q29*Q28*Q61</f>
        <v>19103.5556282302</v>
      </c>
      <c r="R62" s="83" t="n">
        <f aca="false">R29*R28*R61</f>
        <v>19103.5556282302</v>
      </c>
      <c r="S62" s="83" t="n">
        <f aca="false">S29*S28*S61</f>
        <v>19103.5556282302</v>
      </c>
    </row>
    <row r="64" customFormat="false" ht="15" hidden="false" customHeight="false" outlineLevel="0" collapsed="false">
      <c r="A64" s="73" t="s">
        <v>925</v>
      </c>
      <c r="B64" s="74" t="s">
        <v>926</v>
      </c>
      <c r="C64" s="66" t="s">
        <v>135</v>
      </c>
      <c r="D64" s="43" t="s">
        <v>332</v>
      </c>
      <c r="E64" s="75" t="s">
        <v>43</v>
      </c>
      <c r="F64" s="76"/>
      <c r="G64" s="36" t="n">
        <f aca="false">IF(ISNUMBER(01_INPUTS!G144),01_INPUTS!G144,0)*1000</f>
        <v>0</v>
      </c>
      <c r="H64" s="36" t="n">
        <f aca="false">IF(ISNUMBER(01_INPUTS!H144),01_INPUTS!H144,0)*1000</f>
        <v>0</v>
      </c>
      <c r="I64" s="36" t="n">
        <f aca="false">IF(ISNUMBER(01_INPUTS!I144),01_INPUTS!I144,0)*1000</f>
        <v>0</v>
      </c>
      <c r="J64" s="36" t="n">
        <f aca="false">IF(ISNUMBER(01_INPUTS!J144),01_INPUTS!J144,0)*1000</f>
        <v>0</v>
      </c>
      <c r="K64" s="36" t="n">
        <f aca="false">IF(ISNUMBER(01_INPUTS!K144),01_INPUTS!K144,0)*1000</f>
        <v>0</v>
      </c>
      <c r="L64" s="36" t="n">
        <f aca="false">IF(ISNUMBER(01_INPUTS!L144),01_INPUTS!L144,0)*1000</f>
        <v>0</v>
      </c>
      <c r="M64" s="36" t="n">
        <f aca="false">IF(ISNUMBER(01_INPUTS!M144),01_INPUTS!M144,0)*1000</f>
        <v>0</v>
      </c>
      <c r="N64" s="36" t="n">
        <f aca="false">IF(ISNUMBER(01_INPUTS!N144),01_INPUTS!N144,0)*1000</f>
        <v>0</v>
      </c>
      <c r="O64" s="36" t="n">
        <f aca="false">IF(ISNUMBER(01_INPUTS!O144),01_INPUTS!O144,0)*1000</f>
        <v>0</v>
      </c>
      <c r="P64" s="36" t="n">
        <f aca="false">IF(ISNUMBER(01_INPUTS!P144),01_INPUTS!P144,0)*1000</f>
        <v>0</v>
      </c>
      <c r="Q64" s="36" t="n">
        <f aca="false">IF(ISNUMBER(01_INPUTS!Q144),01_INPUTS!Q144,0)*1000</f>
        <v>0</v>
      </c>
      <c r="R64" s="36" t="n">
        <f aca="false">IF(ISNUMBER(01_INPUTS!R144),01_INPUTS!R144,0)*1000</f>
        <v>0</v>
      </c>
      <c r="S64" s="36" t="n">
        <f aca="false">IF(ISNUMBER(01_INPUTS!S144),01_INPUTS!S144,0)*1000</f>
        <v>0</v>
      </c>
    </row>
    <row r="65" customFormat="false" ht="15" hidden="false" customHeight="false" outlineLevel="0" collapsed="false">
      <c r="A65" s="73" t="s">
        <v>925</v>
      </c>
      <c r="B65" s="74" t="s">
        <v>927</v>
      </c>
      <c r="C65" s="66" t="s">
        <v>135</v>
      </c>
      <c r="D65" s="43" t="s">
        <v>332</v>
      </c>
      <c r="E65" s="75" t="s">
        <v>43</v>
      </c>
      <c r="F65" s="76"/>
      <c r="G65" s="36" t="n">
        <f aca="false">G64</f>
        <v>0</v>
      </c>
      <c r="H65" s="36" t="n">
        <f aca="false">G65+H64</f>
        <v>0</v>
      </c>
      <c r="I65" s="36" t="n">
        <f aca="false">H65+I64</f>
        <v>0</v>
      </c>
      <c r="J65" s="36" t="n">
        <f aca="false">I65+J64</f>
        <v>0</v>
      </c>
      <c r="K65" s="36" t="n">
        <f aca="false">J65+K64</f>
        <v>0</v>
      </c>
      <c r="L65" s="36" t="n">
        <f aca="false">K65+L64</f>
        <v>0</v>
      </c>
      <c r="M65" s="36" t="n">
        <f aca="false">L65+M64</f>
        <v>0</v>
      </c>
      <c r="N65" s="36" t="n">
        <f aca="false">M65+N64</f>
        <v>0</v>
      </c>
      <c r="O65" s="36" t="n">
        <f aca="false">N65+O64</f>
        <v>0</v>
      </c>
      <c r="P65" s="36" t="n">
        <f aca="false">O65+P64</f>
        <v>0</v>
      </c>
      <c r="Q65" s="36" t="n">
        <f aca="false">P65+Q64</f>
        <v>0</v>
      </c>
      <c r="R65" s="36" t="n">
        <f aca="false">Q65+R64</f>
        <v>0</v>
      </c>
      <c r="S65" s="36" t="n">
        <f aca="false">R65+S64</f>
        <v>0</v>
      </c>
    </row>
    <row r="66" customFormat="false" ht="15" hidden="false" customHeight="false" outlineLevel="0" collapsed="false">
      <c r="A66" s="73" t="s">
        <v>925</v>
      </c>
      <c r="B66" s="74" t="s">
        <v>928</v>
      </c>
      <c r="C66" s="66" t="s">
        <v>135</v>
      </c>
      <c r="D66" s="43" t="s">
        <v>319</v>
      </c>
      <c r="E66" s="75" t="s">
        <v>43</v>
      </c>
      <c r="F66" s="76"/>
      <c r="G66" s="80" t="n">
        <f aca="false">IF(OR(G$65=0,G65=0),1,(G65/G$65)^(LN(1-$G$7)/LN(2)))</f>
        <v>1</v>
      </c>
      <c r="H66" s="80" t="n">
        <f aca="false">IF(OR(G$65=0,H65=0),1,(H65/G$65)^(LN(1-$G$7)/LN(2)))</f>
        <v>1</v>
      </c>
      <c r="I66" s="80" t="n">
        <f aca="false">IF(OR(G$65=0,I65=0),1,(I65/G$65)^(LN(1-$G$7)/LN(2)))</f>
        <v>1</v>
      </c>
      <c r="J66" s="80" t="n">
        <f aca="false">IF(OR(G$65=0,J65=0),1,(J65/G$65)^(LN(1-$G$7)/LN(2)))</f>
        <v>1</v>
      </c>
      <c r="K66" s="80" t="n">
        <f aca="false">IF(OR(G$65=0,K65=0),1,(K65/G$65)^(LN(1-$G$7)/LN(2)))</f>
        <v>1</v>
      </c>
      <c r="L66" s="80" t="n">
        <f aca="false">IF(OR(G$65=0,L65=0),1,(L65/G$65)^(LN(1-$G$7)/LN(2)))</f>
        <v>1</v>
      </c>
      <c r="M66" s="80" t="n">
        <f aca="false">IF(OR(G$65=0,M65=0),1,(M65/G$65)^(LN(1-$G$7)/LN(2)))</f>
        <v>1</v>
      </c>
      <c r="N66" s="80" t="n">
        <f aca="false">IF(OR(G$65=0,N65=0),1,(N65/G$65)^(LN(1-$G$7)/LN(2)))</f>
        <v>1</v>
      </c>
      <c r="O66" s="80" t="n">
        <f aca="false">IF(OR(G$65=0,O65=0),1,(O65/G$65)^(LN(1-$G$7)/LN(2)))</f>
        <v>1</v>
      </c>
      <c r="P66" s="80" t="n">
        <f aca="false">IF(OR(G$65=0,P65=0),1,(P65/G$65)^(LN(1-$G$7)/LN(2)))</f>
        <v>1</v>
      </c>
      <c r="Q66" s="80" t="n">
        <f aca="false">IF(OR(G$65=0,Q65=0),1,(Q65/G$65)^(LN(1-$G$7)/LN(2)))</f>
        <v>1</v>
      </c>
      <c r="R66" s="80" t="n">
        <f aca="false">IF(OR(G$65=0,R65=0),1,(R65/G$65)^(LN(1-$G$7)/LN(2)))</f>
        <v>1</v>
      </c>
      <c r="S66" s="80" t="n">
        <f aca="false">IF(OR(G$65=0,S65=0),1,(S65/G$65)^(LN(1-$G$7)/LN(2)))</f>
        <v>1</v>
      </c>
    </row>
    <row r="67" customFormat="false" ht="15" hidden="false" customHeight="false" outlineLevel="0" collapsed="false">
      <c r="A67" s="73" t="s">
        <v>925</v>
      </c>
      <c r="B67" s="74" t="s">
        <v>880</v>
      </c>
      <c r="C67" s="66" t="s">
        <v>135</v>
      </c>
      <c r="D67" s="43" t="s">
        <v>89</v>
      </c>
      <c r="E67" s="75" t="s">
        <v>917</v>
      </c>
      <c r="F67" s="76"/>
      <c r="G67" s="83" t="n">
        <f aca="false">G29*G28*G66</f>
        <v>14051.3756273759</v>
      </c>
      <c r="H67" s="83" t="n">
        <f aca="false">H29*H28*H66</f>
        <v>14236.6222274073</v>
      </c>
      <c r="I67" s="83" t="n">
        <f aca="false">I29*I28*I66</f>
        <v>14051.3756273759</v>
      </c>
      <c r="J67" s="83" t="n">
        <f aca="false">J29*J28*J66</f>
        <v>19103.5556282302</v>
      </c>
      <c r="K67" s="83" t="n">
        <f aca="false">K29*K28*K66</f>
        <v>19103.5556282302</v>
      </c>
      <c r="L67" s="83" t="n">
        <f aca="false">L29*L28*L66</f>
        <v>19103.5556282302</v>
      </c>
      <c r="M67" s="83" t="n">
        <f aca="false">M29*M28*M66</f>
        <v>19103.5556282302</v>
      </c>
      <c r="N67" s="83" t="n">
        <f aca="false">N29*N28*N66</f>
        <v>19103.5556282302</v>
      </c>
      <c r="O67" s="83" t="n">
        <f aca="false">O29*O28*O66</f>
        <v>19103.5556282302</v>
      </c>
      <c r="P67" s="83" t="n">
        <f aca="false">P29*P28*P66</f>
        <v>19103.5556282302</v>
      </c>
      <c r="Q67" s="83" t="n">
        <f aca="false">Q29*Q28*Q66</f>
        <v>19103.5556282302</v>
      </c>
      <c r="R67" s="83" t="n">
        <f aca="false">R29*R28*R66</f>
        <v>19103.5556282302</v>
      </c>
      <c r="S67" s="83" t="n">
        <f aca="false">S29*S28*S66</f>
        <v>19103.5556282302</v>
      </c>
    </row>
    <row r="69" customFormat="false" ht="15" hidden="false" customHeight="false" outlineLevel="0" collapsed="false">
      <c r="A69" s="73" t="s">
        <v>925</v>
      </c>
      <c r="B69" s="74" t="s">
        <v>926</v>
      </c>
      <c r="C69" s="66" t="s">
        <v>136</v>
      </c>
      <c r="D69" s="43" t="s">
        <v>332</v>
      </c>
      <c r="E69" s="75" t="s">
        <v>43</v>
      </c>
      <c r="F69" s="76"/>
      <c r="G69" s="36" t="n">
        <f aca="false">IF(ISNUMBER(01_INPUTS!G145),01_INPUTS!G145,0)*1000</f>
        <v>0</v>
      </c>
      <c r="H69" s="36" t="n">
        <f aca="false">IF(ISNUMBER(01_INPUTS!H145),01_INPUTS!H145,0)*1000</f>
        <v>0</v>
      </c>
      <c r="I69" s="36" t="n">
        <f aca="false">IF(ISNUMBER(01_INPUTS!I145),01_INPUTS!I145,0)*1000</f>
        <v>0</v>
      </c>
      <c r="J69" s="36" t="n">
        <f aca="false">IF(ISNUMBER(01_INPUTS!J145),01_INPUTS!J145,0)*1000</f>
        <v>0</v>
      </c>
      <c r="K69" s="36" t="n">
        <f aca="false">IF(ISNUMBER(01_INPUTS!K145),01_INPUTS!K145,0)*1000</f>
        <v>0</v>
      </c>
      <c r="L69" s="36" t="n">
        <f aca="false">IF(ISNUMBER(01_INPUTS!L145),01_INPUTS!L145,0)*1000</f>
        <v>0</v>
      </c>
      <c r="M69" s="36" t="n">
        <f aca="false">IF(ISNUMBER(01_INPUTS!M145),01_INPUTS!M145,0)*1000</f>
        <v>0</v>
      </c>
      <c r="N69" s="36" t="n">
        <f aca="false">IF(ISNUMBER(01_INPUTS!N145),01_INPUTS!N145,0)*1000</f>
        <v>0</v>
      </c>
      <c r="O69" s="36" t="n">
        <f aca="false">IF(ISNUMBER(01_INPUTS!O145),01_INPUTS!O145,0)*1000</f>
        <v>0</v>
      </c>
      <c r="P69" s="36" t="n">
        <f aca="false">IF(ISNUMBER(01_INPUTS!P145),01_INPUTS!P145,0)*1000</f>
        <v>0</v>
      </c>
      <c r="Q69" s="36" t="n">
        <f aca="false">IF(ISNUMBER(01_INPUTS!Q145),01_INPUTS!Q145,0)*1000</f>
        <v>0</v>
      </c>
      <c r="R69" s="36" t="n">
        <f aca="false">IF(ISNUMBER(01_INPUTS!R145),01_INPUTS!R145,0)*1000</f>
        <v>0</v>
      </c>
      <c r="S69" s="36" t="n">
        <f aca="false">IF(ISNUMBER(01_INPUTS!S145),01_INPUTS!S145,0)*1000</f>
        <v>0</v>
      </c>
    </row>
    <row r="70" customFormat="false" ht="15" hidden="false" customHeight="false" outlineLevel="0" collapsed="false">
      <c r="A70" s="73" t="s">
        <v>925</v>
      </c>
      <c r="B70" s="74" t="s">
        <v>927</v>
      </c>
      <c r="C70" s="66" t="s">
        <v>136</v>
      </c>
      <c r="D70" s="43" t="s">
        <v>332</v>
      </c>
      <c r="E70" s="75" t="s">
        <v>43</v>
      </c>
      <c r="F70" s="76"/>
      <c r="G70" s="36" t="n">
        <f aca="false">G69</f>
        <v>0</v>
      </c>
      <c r="H70" s="36" t="n">
        <f aca="false">G70+H69</f>
        <v>0</v>
      </c>
      <c r="I70" s="36" t="n">
        <f aca="false">H70+I69</f>
        <v>0</v>
      </c>
      <c r="J70" s="36" t="n">
        <f aca="false">I70+J69</f>
        <v>0</v>
      </c>
      <c r="K70" s="36" t="n">
        <f aca="false">J70+K69</f>
        <v>0</v>
      </c>
      <c r="L70" s="36" t="n">
        <f aca="false">K70+L69</f>
        <v>0</v>
      </c>
      <c r="M70" s="36" t="n">
        <f aca="false">L70+M69</f>
        <v>0</v>
      </c>
      <c r="N70" s="36" t="n">
        <f aca="false">M70+N69</f>
        <v>0</v>
      </c>
      <c r="O70" s="36" t="n">
        <f aca="false">N70+O69</f>
        <v>0</v>
      </c>
      <c r="P70" s="36" t="n">
        <f aca="false">O70+P69</f>
        <v>0</v>
      </c>
      <c r="Q70" s="36" t="n">
        <f aca="false">P70+Q69</f>
        <v>0</v>
      </c>
      <c r="R70" s="36" t="n">
        <f aca="false">Q70+R69</f>
        <v>0</v>
      </c>
      <c r="S70" s="36" t="n">
        <f aca="false">R70+S69</f>
        <v>0</v>
      </c>
    </row>
    <row r="71" customFormat="false" ht="15" hidden="false" customHeight="false" outlineLevel="0" collapsed="false">
      <c r="A71" s="73" t="s">
        <v>925</v>
      </c>
      <c r="B71" s="74" t="s">
        <v>928</v>
      </c>
      <c r="C71" s="66" t="s">
        <v>136</v>
      </c>
      <c r="D71" s="43" t="s">
        <v>319</v>
      </c>
      <c r="E71" s="75" t="s">
        <v>43</v>
      </c>
      <c r="F71" s="76"/>
      <c r="G71" s="80" t="n">
        <f aca="false">IF(OR(G$70=0,G70=0),1,(G70/G$70)^(LN(1-$G$7)/LN(2)))</f>
        <v>1</v>
      </c>
      <c r="H71" s="80" t="n">
        <f aca="false">IF(OR(G$70=0,H70=0),1,(H70/G$70)^(LN(1-$G$7)/LN(2)))</f>
        <v>1</v>
      </c>
      <c r="I71" s="80" t="n">
        <f aca="false">IF(OR(G$70=0,I70=0),1,(I70/G$70)^(LN(1-$G$7)/LN(2)))</f>
        <v>1</v>
      </c>
      <c r="J71" s="80" t="n">
        <f aca="false">IF(OR(G$70=0,J70=0),1,(J70/G$70)^(LN(1-$G$7)/LN(2)))</f>
        <v>1</v>
      </c>
      <c r="K71" s="80" t="n">
        <f aca="false">IF(OR(G$70=0,K70=0),1,(K70/G$70)^(LN(1-$G$7)/LN(2)))</f>
        <v>1</v>
      </c>
      <c r="L71" s="80" t="n">
        <f aca="false">IF(OR(G$70=0,L70=0),1,(L70/G$70)^(LN(1-$G$7)/LN(2)))</f>
        <v>1</v>
      </c>
      <c r="M71" s="80" t="n">
        <f aca="false">IF(OR(G$70=0,M70=0),1,(M70/G$70)^(LN(1-$G$7)/LN(2)))</f>
        <v>1</v>
      </c>
      <c r="N71" s="80" t="n">
        <f aca="false">IF(OR(G$70=0,N70=0),1,(N70/G$70)^(LN(1-$G$7)/LN(2)))</f>
        <v>1</v>
      </c>
      <c r="O71" s="80" t="n">
        <f aca="false">IF(OR(G$70=0,O70=0),1,(O70/G$70)^(LN(1-$G$7)/LN(2)))</f>
        <v>1</v>
      </c>
      <c r="P71" s="80" t="n">
        <f aca="false">IF(OR(G$70=0,P70=0),1,(P70/G$70)^(LN(1-$G$7)/LN(2)))</f>
        <v>1</v>
      </c>
      <c r="Q71" s="80" t="n">
        <f aca="false">IF(OR(G$70=0,Q70=0),1,(Q70/G$70)^(LN(1-$G$7)/LN(2)))</f>
        <v>1</v>
      </c>
      <c r="R71" s="80" t="n">
        <f aca="false">IF(OR(G$70=0,R70=0),1,(R70/G$70)^(LN(1-$G$7)/LN(2)))</f>
        <v>1</v>
      </c>
      <c r="S71" s="80" t="n">
        <f aca="false">IF(OR(G$70=0,S70=0),1,(S70/G$70)^(LN(1-$G$7)/LN(2)))</f>
        <v>1</v>
      </c>
    </row>
    <row r="72" customFormat="false" ht="15" hidden="false" customHeight="false" outlineLevel="0" collapsed="false">
      <c r="A72" s="73" t="s">
        <v>925</v>
      </c>
      <c r="B72" s="74" t="s">
        <v>880</v>
      </c>
      <c r="C72" s="66" t="s">
        <v>136</v>
      </c>
      <c r="D72" s="43" t="s">
        <v>89</v>
      </c>
      <c r="E72" s="75" t="s">
        <v>917</v>
      </c>
      <c r="F72" s="76"/>
      <c r="G72" s="83" t="n">
        <f aca="false">G29*G28*G71</f>
        <v>14051.3756273759</v>
      </c>
      <c r="H72" s="83" t="n">
        <f aca="false">H29*H28*H71</f>
        <v>14236.6222274073</v>
      </c>
      <c r="I72" s="83" t="n">
        <f aca="false">I29*I28*I71</f>
        <v>14051.3756273759</v>
      </c>
      <c r="J72" s="83" t="n">
        <f aca="false">J29*J28*J71</f>
        <v>19103.5556282302</v>
      </c>
      <c r="K72" s="83" t="n">
        <f aca="false">K29*K28*K71</f>
        <v>19103.5556282302</v>
      </c>
      <c r="L72" s="83" t="n">
        <f aca="false">L29*L28*L71</f>
        <v>19103.5556282302</v>
      </c>
      <c r="M72" s="83" t="n">
        <f aca="false">M29*M28*M71</f>
        <v>19103.5556282302</v>
      </c>
      <c r="N72" s="83" t="n">
        <f aca="false">N29*N28*N71</f>
        <v>19103.5556282302</v>
      </c>
      <c r="O72" s="83" t="n">
        <f aca="false">O29*O28*O71</f>
        <v>19103.5556282302</v>
      </c>
      <c r="P72" s="83" t="n">
        <f aca="false">P29*P28*P71</f>
        <v>19103.5556282302</v>
      </c>
      <c r="Q72" s="83" t="n">
        <f aca="false">Q29*Q28*Q71</f>
        <v>19103.5556282302</v>
      </c>
      <c r="R72" s="83" t="n">
        <f aca="false">R29*R28*R71</f>
        <v>19103.5556282302</v>
      </c>
      <c r="S72" s="83" t="n">
        <f aca="false">S29*S28*S71</f>
        <v>19103.5556282302</v>
      </c>
    </row>
    <row r="75" customFormat="false" ht="15" hidden="false" customHeight="false" outlineLevel="0" collapsed="false">
      <c r="A75" s="5" t="s">
        <v>929</v>
      </c>
      <c r="B75" s="5"/>
      <c r="C75" s="5"/>
      <c r="D75" s="5"/>
      <c r="E75" s="5"/>
      <c r="F75" s="5"/>
      <c r="G75" s="5"/>
      <c r="H75" s="5"/>
      <c r="I75" s="5"/>
      <c r="J75" s="5"/>
      <c r="K75" s="5"/>
      <c r="L75" s="5"/>
      <c r="M75" s="5"/>
      <c r="N75" s="5"/>
      <c r="O75" s="5"/>
      <c r="P75" s="5"/>
      <c r="Q75" s="5"/>
      <c r="R75" s="5"/>
      <c r="S75" s="5"/>
    </row>
    <row r="76" customFormat="false" ht="15" hidden="false" customHeight="false" outlineLevel="0" collapsed="false">
      <c r="A76" s="73" t="s">
        <v>930</v>
      </c>
      <c r="B76" s="74" t="s">
        <v>931</v>
      </c>
      <c r="C76" s="66" t="s">
        <v>128</v>
      </c>
      <c r="D76" s="43" t="s">
        <v>332</v>
      </c>
      <c r="E76" s="75" t="s">
        <v>43</v>
      </c>
      <c r="F76" s="76"/>
      <c r="G76" s="36" t="n">
        <f aca="false">IF(ISNUMBER(01_INPUTS!G146),01_INPUTS!G146,0)*1000</f>
        <v>250000</v>
      </c>
      <c r="H76" s="36" t="n">
        <f aca="false">IF(ISNUMBER(01_INPUTS!H146),01_INPUTS!H146,0)*1000</f>
        <v>480000</v>
      </c>
      <c r="I76" s="36" t="n">
        <f aca="false">IF(ISNUMBER(01_INPUTS!I146),01_INPUTS!I146,0)*1000</f>
        <v>0</v>
      </c>
      <c r="J76" s="36" t="n">
        <f aca="false">IF(ISNUMBER(01_INPUTS!J146),01_INPUTS!J146,0)*1000</f>
        <v>0</v>
      </c>
      <c r="K76" s="36" t="n">
        <f aca="false">IF(ISNUMBER(01_INPUTS!K146),01_INPUTS!K146,0)*1000</f>
        <v>0</v>
      </c>
      <c r="L76" s="36" t="n">
        <f aca="false">IF(ISNUMBER(01_INPUTS!L146),01_INPUTS!L146,0)*1000</f>
        <v>0</v>
      </c>
      <c r="M76" s="36" t="n">
        <f aca="false">IF(ISNUMBER(01_INPUTS!M146),01_INPUTS!M146,0)*1000</f>
        <v>0</v>
      </c>
      <c r="N76" s="36" t="n">
        <f aca="false">IF(ISNUMBER(01_INPUTS!N146),01_INPUTS!N146,0)*1000</f>
        <v>0</v>
      </c>
      <c r="O76" s="36" t="n">
        <f aca="false">IF(ISNUMBER(01_INPUTS!O146),01_INPUTS!O146,0)*1000</f>
        <v>0</v>
      </c>
      <c r="P76" s="36" t="n">
        <f aca="false">IF(ISNUMBER(01_INPUTS!P146),01_INPUTS!P146,0)*1000</f>
        <v>0</v>
      </c>
      <c r="Q76" s="36" t="n">
        <f aca="false">IF(ISNUMBER(01_INPUTS!Q146),01_INPUTS!Q146,0)*1000</f>
        <v>0</v>
      </c>
      <c r="R76" s="36" t="n">
        <f aca="false">IF(ISNUMBER(01_INPUTS!R146),01_INPUTS!R146,0)*1000</f>
        <v>0</v>
      </c>
      <c r="S76" s="36" t="n">
        <f aca="false">IF(ISNUMBER(01_INPUTS!S146),01_INPUTS!S146,0)*1000</f>
        <v>0</v>
      </c>
    </row>
    <row r="77" customFormat="false" ht="15" hidden="false" customHeight="false" outlineLevel="0" collapsed="false">
      <c r="A77" s="73" t="s">
        <v>930</v>
      </c>
      <c r="B77" s="74" t="s">
        <v>127</v>
      </c>
      <c r="C77" s="66" t="s">
        <v>128</v>
      </c>
      <c r="D77" s="43" t="s">
        <v>89</v>
      </c>
      <c r="E77" s="75" t="s">
        <v>932</v>
      </c>
      <c r="F77" s="76"/>
      <c r="G77" s="84" t="n">
        <f aca="false">IF(ISNUMBER(01_INPUTS!G78),01_INPUTS!G78,0)</f>
        <v>11425.6408888889</v>
      </c>
      <c r="H77" s="84" t="n">
        <f aca="false">IF(ISNUMBER(01_INPUTS!H78),01_INPUTS!H78,0)</f>
        <v>11142.1602938292</v>
      </c>
      <c r="I77" s="84" t="n">
        <f aca="false">IF(ISNUMBER(01_INPUTS!I78),01_INPUTS!I78,0)</f>
        <v>0</v>
      </c>
      <c r="J77" s="84" t="n">
        <f aca="false">IF(ISNUMBER(01_INPUTS!J78),01_INPUTS!J78,0)</f>
        <v>0</v>
      </c>
      <c r="K77" s="84" t="n">
        <f aca="false">IF(ISNUMBER(01_INPUTS!K78),01_INPUTS!K78,0)</f>
        <v>0</v>
      </c>
      <c r="L77" s="84" t="n">
        <f aca="false">IF(ISNUMBER(01_INPUTS!L78),01_INPUTS!L78,0)</f>
        <v>0</v>
      </c>
      <c r="M77" s="84" t="n">
        <f aca="false">IF(ISNUMBER(01_INPUTS!M78),01_INPUTS!M78,0)</f>
        <v>0</v>
      </c>
      <c r="N77" s="84" t="n">
        <f aca="false">IF(ISNUMBER(01_INPUTS!N78),01_INPUTS!N78,0)</f>
        <v>0</v>
      </c>
      <c r="O77" s="84" t="n">
        <f aca="false">IF(ISNUMBER(01_INPUTS!O78),01_INPUTS!O78,0)</f>
        <v>0</v>
      </c>
      <c r="P77" s="84" t="n">
        <f aca="false">IF(ISNUMBER(01_INPUTS!P78),01_INPUTS!P78,0)</f>
        <v>0</v>
      </c>
      <c r="Q77" s="84" t="n">
        <f aca="false">IF(ISNUMBER(01_INPUTS!Q78),01_INPUTS!Q78,0)</f>
        <v>0</v>
      </c>
      <c r="R77" s="84" t="n">
        <f aca="false">IF(ISNUMBER(01_INPUTS!R78),01_INPUTS!R78,0)</f>
        <v>0</v>
      </c>
      <c r="S77" s="84" t="n">
        <f aca="false">IF(ISNUMBER(01_INPUTS!S78),01_INPUTS!S78,0)</f>
        <v>0</v>
      </c>
    </row>
    <row r="78" customFormat="false" ht="15" hidden="false" customHeight="false" outlineLevel="0" collapsed="false">
      <c r="A78" s="73" t="s">
        <v>930</v>
      </c>
      <c r="B78" s="74" t="s">
        <v>933</v>
      </c>
      <c r="C78" s="66" t="s">
        <v>128</v>
      </c>
      <c r="D78" s="43" t="s">
        <v>332</v>
      </c>
      <c r="E78" s="75" t="s">
        <v>43</v>
      </c>
      <c r="F78" s="76"/>
      <c r="G78" s="85" t="n">
        <v>0</v>
      </c>
      <c r="H78" s="85" t="n">
        <v>0</v>
      </c>
      <c r="I78" s="36" t="n">
        <f aca="false">H85</f>
        <v>0</v>
      </c>
      <c r="J78" s="36" t="n">
        <f aca="false">I85</f>
        <v>35013.7564330671</v>
      </c>
      <c r="K78" s="36" t="n">
        <f aca="false">J85</f>
        <v>35013.7564330671</v>
      </c>
      <c r="L78" s="36" t="n">
        <f aca="false">K85</f>
        <v>35013.7564330671</v>
      </c>
      <c r="M78" s="36" t="n">
        <f aca="false">L85</f>
        <v>35013.7564330671</v>
      </c>
      <c r="N78" s="36" t="n">
        <f aca="false">M85</f>
        <v>35013.7564330671</v>
      </c>
      <c r="O78" s="36" t="n">
        <f aca="false">N85</f>
        <v>35013.7564330671</v>
      </c>
      <c r="P78" s="36" t="n">
        <f aca="false">O85</f>
        <v>35013.7564330671</v>
      </c>
      <c r="Q78" s="36" t="n">
        <f aca="false">P85</f>
        <v>35013.7564330671</v>
      </c>
      <c r="R78" s="36" t="n">
        <f aca="false">Q85</f>
        <v>35013.7564330671</v>
      </c>
      <c r="S78" s="36" t="n">
        <f aca="false">R85</f>
        <v>35013.7564330671</v>
      </c>
    </row>
    <row r="79" customFormat="false" ht="15" hidden="false" customHeight="false" outlineLevel="0" collapsed="false">
      <c r="A79" s="73" t="s">
        <v>930</v>
      </c>
      <c r="B79" s="74" t="s">
        <v>934</v>
      </c>
      <c r="C79" s="66" t="s">
        <v>128</v>
      </c>
      <c r="D79" s="43" t="s">
        <v>81</v>
      </c>
      <c r="E79" s="75" t="s">
        <v>43</v>
      </c>
      <c r="F79" s="76"/>
      <c r="G79" s="85" t="n">
        <v>0</v>
      </c>
      <c r="H79" s="85" t="n">
        <v>0</v>
      </c>
      <c r="I79" s="36" t="n">
        <f aca="false">H86</f>
        <v>0</v>
      </c>
      <c r="J79" s="36" t="n">
        <f aca="false">I86</f>
        <v>447178636.765686</v>
      </c>
      <c r="K79" s="36" t="n">
        <f aca="false">J86</f>
        <v>447178636.765686</v>
      </c>
      <c r="L79" s="36" t="n">
        <f aca="false">K86</f>
        <v>447178636.765686</v>
      </c>
      <c r="M79" s="36" t="n">
        <f aca="false">L86</f>
        <v>447178636.765686</v>
      </c>
      <c r="N79" s="36" t="n">
        <f aca="false">M86</f>
        <v>447178636.765686</v>
      </c>
      <c r="O79" s="36" t="n">
        <f aca="false">N86</f>
        <v>447178636.765686</v>
      </c>
      <c r="P79" s="36" t="n">
        <f aca="false">O86</f>
        <v>447178636.765686</v>
      </c>
      <c r="Q79" s="36" t="n">
        <f aca="false">P86</f>
        <v>447178636.765686</v>
      </c>
      <c r="R79" s="36" t="n">
        <f aca="false">Q86</f>
        <v>447178636.765686</v>
      </c>
      <c r="S79" s="36" t="n">
        <f aca="false">R86</f>
        <v>447178636.765686</v>
      </c>
    </row>
    <row r="80" customFormat="false" ht="15" hidden="false" customHeight="false" outlineLevel="0" collapsed="false">
      <c r="A80" s="73" t="s">
        <v>930</v>
      </c>
      <c r="B80" s="74" t="s">
        <v>935</v>
      </c>
      <c r="C80" s="66" t="s">
        <v>128</v>
      </c>
      <c r="D80" s="43" t="s">
        <v>332</v>
      </c>
      <c r="E80" s="75" t="s">
        <v>917</v>
      </c>
      <c r="F80" s="76"/>
      <c r="G80" s="77" t="n">
        <v>1230000</v>
      </c>
      <c r="H80" s="77" t="n">
        <v>816000</v>
      </c>
      <c r="I80" s="78" t="n">
        <f aca="false">I78+I33+I76</f>
        <v>1200000</v>
      </c>
      <c r="J80" s="78" t="n">
        <f aca="false">J78+J33+J76</f>
        <v>35013.7564330671</v>
      </c>
      <c r="K80" s="78" t="n">
        <f aca="false">K78+K33+K76</f>
        <v>35013.7564330671</v>
      </c>
      <c r="L80" s="78" t="n">
        <f aca="false">L78+L33+L76</f>
        <v>35013.7564330671</v>
      </c>
      <c r="M80" s="78" t="n">
        <f aca="false">M78+M33+M76</f>
        <v>35013.7564330671</v>
      </c>
      <c r="N80" s="78" t="n">
        <f aca="false">N78+N33+N76</f>
        <v>35013.7564330671</v>
      </c>
      <c r="O80" s="78" t="n">
        <f aca="false">O78+O33+O76</f>
        <v>35013.7564330671</v>
      </c>
      <c r="P80" s="78" t="n">
        <f aca="false">P78+P33+P76</f>
        <v>35013.7564330671</v>
      </c>
      <c r="Q80" s="78" t="n">
        <f aca="false">Q78+Q33+Q76</f>
        <v>35013.7564330671</v>
      </c>
      <c r="R80" s="78" t="n">
        <f aca="false">R78+R33+R76</f>
        <v>35013.7564330671</v>
      </c>
      <c r="S80" s="78" t="n">
        <f aca="false">S78+S33+S76</f>
        <v>35013.7564330671</v>
      </c>
    </row>
    <row r="81" customFormat="false" ht="15" hidden="false" customHeight="false" outlineLevel="0" collapsed="false">
      <c r="A81" s="73" t="s">
        <v>930</v>
      </c>
      <c r="B81" s="74" t="s">
        <v>936</v>
      </c>
      <c r="C81" s="66" t="s">
        <v>128</v>
      </c>
      <c r="D81" s="43" t="s">
        <v>81</v>
      </c>
      <c r="E81" s="75" t="s">
        <v>917</v>
      </c>
      <c r="F81" s="76"/>
      <c r="G81" s="77" t="n">
        <v>17445471302.3214</v>
      </c>
      <c r="H81" s="77" t="n">
        <v>10146142867.2938</v>
      </c>
      <c r="I81" s="78" t="n">
        <f aca="false">I79+I33*I36+I76*I77</f>
        <v>15325815301.8978</v>
      </c>
      <c r="J81" s="78" t="n">
        <f aca="false">J79+J33*J36+J76*J77</f>
        <v>447178636.765686</v>
      </c>
      <c r="K81" s="78" t="n">
        <f aca="false">K79+K33*K36+K76*K77</f>
        <v>447178636.765686</v>
      </c>
      <c r="L81" s="78" t="n">
        <f aca="false">L79+L33*L36+L76*L77</f>
        <v>447178636.765686</v>
      </c>
      <c r="M81" s="78" t="n">
        <f aca="false">M79+M33*M36+M76*M77</f>
        <v>447178636.765686</v>
      </c>
      <c r="N81" s="78" t="n">
        <f aca="false">N79+N33*N36+N76*N77</f>
        <v>447178636.765686</v>
      </c>
      <c r="O81" s="78" t="n">
        <f aca="false">O79+O33*O36+O76*O77</f>
        <v>447178636.765686</v>
      </c>
      <c r="P81" s="78" t="n">
        <f aca="false">P79+P33*P36+P76*P77</f>
        <v>447178636.765686</v>
      </c>
      <c r="Q81" s="78" t="n">
        <f aca="false">Q79+Q33*Q36+Q76*Q77</f>
        <v>447178636.765686</v>
      </c>
      <c r="R81" s="78" t="n">
        <f aca="false">R79+R33*R36+R76*R77</f>
        <v>447178636.765686</v>
      </c>
      <c r="S81" s="78" t="n">
        <f aca="false">S79+S33*S36+S76*S77</f>
        <v>447178636.765686</v>
      </c>
    </row>
    <row r="82" customFormat="false" ht="48.5" hidden="false" customHeight="false" outlineLevel="0" collapsed="false">
      <c r="A82" s="73" t="s">
        <v>930</v>
      </c>
      <c r="B82" s="74" t="s">
        <v>937</v>
      </c>
      <c r="C82" s="66" t="s">
        <v>128</v>
      </c>
      <c r="D82" s="43" t="s">
        <v>89</v>
      </c>
      <c r="E82" s="75" t="s">
        <v>917</v>
      </c>
      <c r="F82" s="76" t="s">
        <v>938</v>
      </c>
      <c r="G82" s="81" t="n">
        <v>14183.3100018873</v>
      </c>
      <c r="H82" s="81" t="n">
        <v>12433.9986118797</v>
      </c>
      <c r="I82" s="82" t="n">
        <f aca="false">IFERROR(I84/I83,0)</f>
        <v>12771.5127515815</v>
      </c>
      <c r="J82" s="82" t="n">
        <f aca="false">IFERROR(J84/J83,0)</f>
        <v>0</v>
      </c>
      <c r="K82" s="82" t="n">
        <f aca="false">IFERROR(K84/K83,0)</f>
        <v>0</v>
      </c>
      <c r="L82" s="82" t="n">
        <f aca="false">IFERROR(L84/L83,0)</f>
        <v>0</v>
      </c>
      <c r="M82" s="82" t="n">
        <f aca="false">IFERROR(M84/M83,0)</f>
        <v>0</v>
      </c>
      <c r="N82" s="82" t="n">
        <f aca="false">IFERROR(N84/N83,0)</f>
        <v>0</v>
      </c>
      <c r="O82" s="82" t="n">
        <f aca="false">IFERROR(O84/O83,0)</f>
        <v>0</v>
      </c>
      <c r="P82" s="82" t="n">
        <f aca="false">IFERROR(P84/P83,0)</f>
        <v>0</v>
      </c>
      <c r="Q82" s="82" t="n">
        <f aca="false">IFERROR(Q84/Q83,0)</f>
        <v>0</v>
      </c>
      <c r="R82" s="82" t="n">
        <f aca="false">IFERROR(R84/R83,0)</f>
        <v>0</v>
      </c>
      <c r="S82" s="82" t="n">
        <f aca="false">IFERROR(S84/S83,0)</f>
        <v>0</v>
      </c>
    </row>
    <row r="83" customFormat="false" ht="28.35" hidden="false" customHeight="false" outlineLevel="0" collapsed="false">
      <c r="A83" s="73" t="s">
        <v>930</v>
      </c>
      <c r="B83" s="74" t="s">
        <v>939</v>
      </c>
      <c r="C83" s="66" t="s">
        <v>128</v>
      </c>
      <c r="D83" s="43" t="s">
        <v>332</v>
      </c>
      <c r="E83" s="75" t="s">
        <v>940</v>
      </c>
      <c r="F83" s="76" t="s">
        <v>941</v>
      </c>
      <c r="G83" s="85" t="n">
        <v>1230000</v>
      </c>
      <c r="H83" s="85" t="n">
        <v>816000</v>
      </c>
      <c r="I83" s="86" t="n">
        <f aca="false">_ENGINE_MERCADO!I169</f>
        <v>1164986.24356693</v>
      </c>
      <c r="J83" s="86" t="n">
        <f aca="false">_ENGINE_MERCADO!J169</f>
        <v>0</v>
      </c>
      <c r="K83" s="86" t="n">
        <f aca="false">_ENGINE_MERCADO!K169</f>
        <v>0</v>
      </c>
      <c r="L83" s="86" t="n">
        <f aca="false">_ENGINE_MERCADO!L169</f>
        <v>0</v>
      </c>
      <c r="M83" s="86" t="n">
        <f aca="false">_ENGINE_MERCADO!M169</f>
        <v>0</v>
      </c>
      <c r="N83" s="86" t="n">
        <f aca="false">_ENGINE_MERCADO!N169</f>
        <v>0</v>
      </c>
      <c r="O83" s="86" t="n">
        <f aca="false">_ENGINE_MERCADO!O169</f>
        <v>0</v>
      </c>
      <c r="P83" s="86" t="n">
        <f aca="false">_ENGINE_MERCADO!P169</f>
        <v>0</v>
      </c>
      <c r="Q83" s="86" t="n">
        <f aca="false">_ENGINE_MERCADO!Q169</f>
        <v>0</v>
      </c>
      <c r="R83" s="86" t="n">
        <f aca="false">_ENGINE_MERCADO!R169</f>
        <v>0</v>
      </c>
      <c r="S83" s="86" t="n">
        <f aca="false">_ENGINE_MERCADO!S169</f>
        <v>0</v>
      </c>
    </row>
    <row r="84" customFormat="false" ht="15" hidden="false" customHeight="false" outlineLevel="0" collapsed="false">
      <c r="A84" s="73" t="s">
        <v>930</v>
      </c>
      <c r="B84" s="74" t="s">
        <v>942</v>
      </c>
      <c r="C84" s="66" t="s">
        <v>128</v>
      </c>
      <c r="D84" s="43" t="s">
        <v>81</v>
      </c>
      <c r="E84" s="75" t="s">
        <v>917</v>
      </c>
      <c r="F84" s="76"/>
      <c r="G84" s="77" t="n">
        <v>0</v>
      </c>
      <c r="H84" s="77" t="n">
        <v>0</v>
      </c>
      <c r="I84" s="78" t="n">
        <f aca="false">I81-I86</f>
        <v>14878636665.1321</v>
      </c>
      <c r="J84" s="78" t="n">
        <f aca="false">J81-J86</f>
        <v>0</v>
      </c>
      <c r="K84" s="78" t="n">
        <f aca="false">K81-K86</f>
        <v>0</v>
      </c>
      <c r="L84" s="78" t="n">
        <f aca="false">L81-L86</f>
        <v>0</v>
      </c>
      <c r="M84" s="78" t="n">
        <f aca="false">M81-M86</f>
        <v>0</v>
      </c>
      <c r="N84" s="78" t="n">
        <f aca="false">N81-N86</f>
        <v>0</v>
      </c>
      <c r="O84" s="78" t="n">
        <f aca="false">O81-O86</f>
        <v>0</v>
      </c>
      <c r="P84" s="78" t="n">
        <f aca="false">P81-P86</f>
        <v>0</v>
      </c>
      <c r="Q84" s="78" t="n">
        <f aca="false">Q81-Q86</f>
        <v>0</v>
      </c>
      <c r="R84" s="78" t="n">
        <f aca="false">R81-R86</f>
        <v>0</v>
      </c>
      <c r="S84" s="78" t="n">
        <f aca="false">S81-S86</f>
        <v>0</v>
      </c>
    </row>
    <row r="85" customFormat="false" ht="15" hidden="false" customHeight="false" outlineLevel="0" collapsed="false">
      <c r="A85" s="73" t="s">
        <v>930</v>
      </c>
      <c r="B85" s="74" t="s">
        <v>943</v>
      </c>
      <c r="C85" s="66" t="s">
        <v>128</v>
      </c>
      <c r="D85" s="43" t="s">
        <v>332</v>
      </c>
      <c r="E85" s="75" t="s">
        <v>917</v>
      </c>
      <c r="F85" s="76"/>
      <c r="G85" s="85" t="n">
        <v>0</v>
      </c>
      <c r="H85" s="85" t="n">
        <v>0</v>
      </c>
      <c r="I85" s="36" t="n">
        <f aca="false">I80-I83</f>
        <v>35013.7564330671</v>
      </c>
      <c r="J85" s="36" t="n">
        <f aca="false">J80-J83</f>
        <v>35013.7564330671</v>
      </c>
      <c r="K85" s="36" t="n">
        <f aca="false">K80-K83</f>
        <v>35013.7564330671</v>
      </c>
      <c r="L85" s="36" t="n">
        <f aca="false">L80-L83</f>
        <v>35013.7564330671</v>
      </c>
      <c r="M85" s="36" t="n">
        <f aca="false">M80-M83</f>
        <v>35013.7564330671</v>
      </c>
      <c r="N85" s="36" t="n">
        <f aca="false">N80-N83</f>
        <v>35013.7564330671</v>
      </c>
      <c r="O85" s="36" t="n">
        <f aca="false">O80-O83</f>
        <v>35013.7564330671</v>
      </c>
      <c r="P85" s="36" t="n">
        <f aca="false">P80-P83</f>
        <v>35013.7564330671</v>
      </c>
      <c r="Q85" s="36" t="n">
        <f aca="false">Q80-Q83</f>
        <v>35013.7564330671</v>
      </c>
      <c r="R85" s="36" t="n">
        <f aca="false">R80-R83</f>
        <v>35013.7564330671</v>
      </c>
      <c r="S85" s="36" t="n">
        <f aca="false">S80-S83</f>
        <v>35013.7564330671</v>
      </c>
    </row>
    <row r="86" customFormat="false" ht="15" hidden="false" customHeight="false" outlineLevel="0" collapsed="false">
      <c r="A86" s="73" t="s">
        <v>930</v>
      </c>
      <c r="B86" s="74" t="s">
        <v>944</v>
      </c>
      <c r="C86" s="66" t="s">
        <v>128</v>
      </c>
      <c r="D86" s="43" t="s">
        <v>81</v>
      </c>
      <c r="E86" s="75" t="s">
        <v>917</v>
      </c>
      <c r="F86" s="76"/>
      <c r="G86" s="85" t="n">
        <v>0</v>
      </c>
      <c r="H86" s="85" t="n">
        <v>0</v>
      </c>
      <c r="I86" s="78" t="n">
        <f aca="false">MAX(0,MIN(0,0-SUM(I83:I83)))*0+MAX(0,MIN(I33,0+I33-SUM(I83:I83)))*I36+MAX(0,MIN(I76,0+I33+I76-SUM(I83:I83)))*I77</f>
        <v>447178636.765686</v>
      </c>
      <c r="J86" s="78" t="n">
        <f aca="false">MAX(0,MIN(0,0-SUM(I83:J83)))*0+MAX(0,MIN(I33,0+I33-SUM(I83:J83)))*I36+MAX(0,MIN(I76,0+I33+I76-SUM(I83:J83)))*I77+MAX(0,MIN(J33,0+I33+I76+J33-SUM(I83:J83)))*J36+MAX(0,MIN(J76,0+I33+I76+J33+J76-SUM(I83:J83)))*J77</f>
        <v>447178636.765686</v>
      </c>
      <c r="K86" s="78" t="n">
        <f aca="false">MAX(0,MIN(0,0-SUM(I83:K83)))*0+MAX(0,MIN(I33,0+I33-SUM(I83:K83)))*I36+MAX(0,MIN(I76,0+I33+I76-SUM(I83:K83)))*I77+MAX(0,MIN(J33,0+I33+I76+J33-SUM(I83:K83)))*J36+MAX(0,MIN(J76,0+I33+I76+J33+J76-SUM(I83:K83)))*J77+MAX(0,MIN(K33,0+I33+I76+J33+J76+K33-SUM(I83:K83)))*K36+MAX(0,MIN(K76,0+I33+I76+J33+J76+K33+K76-SUM(I83:K83)))*K77</f>
        <v>447178636.765686</v>
      </c>
      <c r="L86" s="78" t="n">
        <f aca="false">MAX(0,MIN(0,0-SUM(I83:L83)))*0+MAX(0,MIN(I33,0+I33-SUM(I83:L83)))*I36+MAX(0,MIN(I76,0+I33+I76-SUM(I83:L83)))*I77+MAX(0,MIN(J33,0+I33+I76+J33-SUM(I83:L83)))*J36+MAX(0,MIN(J76,0+I33+I76+J33+J76-SUM(I83:L83)))*J77+MAX(0,MIN(K33,0+I33+I76+J33+J76+K33-SUM(I83:L83)))*K36+MAX(0,MIN(K76,0+I33+I76+J33+J76+K33+K76-SUM(I83:L83)))*K77+MAX(0,MIN(L33,0+I33+I76+J33+J76+K33+K76+L33-SUM(I83:L83)))*L36+MAX(0,MIN(L76,0+I33+I76+J33+J76+K33+K76+L33+L76-SUM(I83:L83)))*L77</f>
        <v>447178636.765686</v>
      </c>
      <c r="M86" s="78" t="n">
        <f aca="false">MAX(0,MIN(0,0-SUM(I83:M83)))*0+MAX(0,MIN(I33,0+I33-SUM(I83:M83)))*I36+MAX(0,MIN(I76,0+I33+I76-SUM(I83:M83)))*I77+MAX(0,MIN(J33,0+I33+I76+J33-SUM(I83:M83)))*J36+MAX(0,MIN(J76,0+I33+I76+J33+J76-SUM(I83:M83)))*J77+MAX(0,MIN(K33,0+I33+I76+J33+J76+K33-SUM(I83:M83)))*K36+MAX(0,MIN(K76,0+I33+I76+J33+J76+K33+K76-SUM(I83:M83)))*K77+MAX(0,MIN(L33,0+I33+I76+J33+J76+K33+K76+L33-SUM(I83:M83)))*L36+MAX(0,MIN(L76,0+I33+I76+J33+J76+K33+K76+L33+L76-SUM(I83:M83)))*L77+MAX(0,MIN(M33,0+I33+I76+J33+J76+K33+K76+L33+L76+M33-SUM(I83:M83)))*M36+MAX(0,MIN(M76,0+I33+I76+J33+J76+K33+K76+L33+L76+M33+M76-SUM(I83:M83)))*M77</f>
        <v>447178636.765686</v>
      </c>
      <c r="N86" s="78" t="n">
        <f aca="false">MAX(0,MIN(0,0-SUM(I83:N83)))*0+MAX(0,MIN(I33,0+I33-SUM(I83:N83)))*I36+MAX(0,MIN(I76,0+I33+I76-SUM(I83:N83)))*I77+MAX(0,MIN(J33,0+I33+I76+J33-SUM(I83:N83)))*J36+MAX(0,MIN(J76,0+I33+I76+J33+J76-SUM(I83:N83)))*J77+MAX(0,MIN(K33,0+I33+I76+J33+J76+K33-SUM(I83:N83)))*K36+MAX(0,MIN(K76,0+I33+I76+J33+J76+K33+K76-SUM(I83:N83)))*K77+MAX(0,MIN(L33,0+I33+I76+J33+J76+K33+K76+L33-SUM(I83:N83)))*L36+MAX(0,MIN(L76,0+I33+I76+J33+J76+K33+K76+L33+L76-SUM(I83:N83)))*L77+MAX(0,MIN(M33,0+I33+I76+J33+J76+K33+K76+L33+L76+M33-SUM(I83:N83)))*M36+MAX(0,MIN(M76,0+I33+I76+J33+J76+K33+K76+L33+L76+M33+M76-SUM(I83:N83)))*M77+MAX(0,MIN(N33,0+I33+I76+J33+J76+K33+K76+L33+L76+M33+M76+N33-SUM(I83:N83)))*N36+MAX(0,MIN(N76,0+I33+I76+J33+J76+K33+K76+L33+L76+M33+M76+N33+N76-SUM(I83:N83)))*N77</f>
        <v>447178636.765686</v>
      </c>
      <c r="O86" s="78" t="n">
        <f aca="false">MAX(0,MIN(0,0-SUM(I83:O83)))*0+MAX(0,MIN(I33,0+I33-SUM(I83:O83)))*I36+MAX(0,MIN(I76,0+I33+I76-SUM(I83:O83)))*I77+MAX(0,MIN(J33,0+I33+I76+J33-SUM(I83:O83)))*J36+MAX(0,MIN(J76,0+I33+I76+J33+J76-SUM(I83:O83)))*J77+MAX(0,MIN(K33,0+I33+I76+J33+J76+K33-SUM(I83:O83)))*K36+MAX(0,MIN(K76,0+I33+I76+J33+J76+K33+K76-SUM(I83:O83)))*K77+MAX(0,MIN(L33,0+I33+I76+J33+J76+K33+K76+L33-SUM(I83:O83)))*L36+MAX(0,MIN(L76,0+I33+I76+J33+J76+K33+K76+L33+L76-SUM(I83:O83)))*L77+MAX(0,MIN(M33,0+I33+I76+J33+J76+K33+K76+L33+L76+M33-SUM(I83:O83)))*M36+MAX(0,MIN(M76,0+I33+I76+J33+J76+K33+K76+L33+L76+M33+M76-SUM(I83:O83)))*M77+MAX(0,MIN(N33,0+I33+I76+J33+J76+K33+K76+L33+L76+M33+M76+N33-SUM(I83:O83)))*N36+MAX(0,MIN(N76,0+I33+I76+J33+J76+K33+K76+L33+L76+M33+M76+N33+N76-SUM(I83:O83)))*N77+MAX(0,MIN(O33,0+I33+I76+J33+J76+K33+K76+L33+L76+M33+M76+N33+N76+O33-SUM(I83:O83)))*O36+MAX(0,MIN(O76,0+I33+I76+J33+J76+K33+K76+L33+L76+M33+M76+N33+N76+O33+O76-SUM(I83:O83)))*O77</f>
        <v>447178636.765686</v>
      </c>
      <c r="P86" s="78" t="n">
        <f aca="false">MAX(0,MIN(0,0-SUM(I83:P83)))*0+MAX(0,MIN(I33,0+I33-SUM(I83:P83)))*I36+MAX(0,MIN(I76,0+I33+I76-SUM(I83:P83)))*I77+MAX(0,MIN(J33,0+I33+I76+J33-SUM(I83:P83)))*J36+MAX(0,MIN(J76,0+I33+I76+J33+J76-SUM(I83:P83)))*J77+MAX(0,MIN(K33,0+I33+I76+J33+J76+K33-SUM(I83:P83)))*K36+MAX(0,MIN(K76,0+I33+I76+J33+J76+K33+K76-SUM(I83:P83)))*K77+MAX(0,MIN(L33,0+I33+I76+J33+J76+K33+K76+L33-SUM(I83:P83)))*L36+MAX(0,MIN(L76,0+I33+I76+J33+J76+K33+K76+L33+L76-SUM(I83:P83)))*L77+MAX(0,MIN(M33,0+I33+I76+J33+J76+K33+K76+L33+L76+M33-SUM(I83:P83)))*M36+MAX(0,MIN(M76,0+I33+I76+J33+J76+K33+K76+L33+L76+M33+M76-SUM(I83:P83)))*M77+MAX(0,MIN(N33,0+I33+I76+J33+J76+K33+K76+L33+L76+M33+M76+N33-SUM(I83:P83)))*N36+MAX(0,MIN(N76,0+I33+I76+J33+J76+K33+K76+L33+L76+M33+M76+N33+N76-SUM(I83:P83)))*N77+MAX(0,MIN(O33,0+I33+I76+J33+J76+K33+K76+L33+L76+M33+M76+N33+N76+O33-SUM(I83:P83)))*O36+MAX(0,MIN(O76,0+I33+I76+J33+J76+K33+K76+L33+L76+M33+M76+N33+N76+O33+O76-SUM(I83:P83)))*O77+MAX(0,MIN(P33,0+I33+I76+J33+J76+K33+K76+L33+L76+M33+M76+N33+N76+O33+O76+P33-SUM(I83:P83)))*P36+MAX(0,MIN(P76,0+I33+I76+J33+J76+K33+K76+L33+L76+M33+M76+N33+N76+O33+O76+P33+P76-SUM(I83:P83)))*P77</f>
        <v>447178636.765686</v>
      </c>
      <c r="Q86" s="78" t="n">
        <f aca="false">MAX(0,MIN(0,0-SUM(I83:Q83)))*0+MAX(0,MIN(I33,0+I33-SUM(I83:Q83)))*I36+MAX(0,MIN(I76,0+I33+I76-SUM(I83:Q83)))*I77+MAX(0,MIN(J33,0+I33+I76+J33-SUM(I83:Q83)))*J36+MAX(0,MIN(J76,0+I33+I76+J33+J76-SUM(I83:Q83)))*J77+MAX(0,MIN(K33,0+I33+I76+J33+J76+K33-SUM(I83:Q83)))*K36+MAX(0,MIN(K76,0+I33+I76+J33+J76+K33+K76-SUM(I83:Q83)))*K77+MAX(0,MIN(L33,0+I33+I76+J33+J76+K33+K76+L33-SUM(I83:Q83)))*L36+MAX(0,MIN(L76,0+I33+I76+J33+J76+K33+K76+L33+L76-SUM(I83:Q83)))*L77+MAX(0,MIN(M33,0+I33+I76+J33+J76+K33+K76+L33+L76+M33-SUM(I83:Q83)))*M36+MAX(0,MIN(M76,0+I33+I76+J33+J76+K33+K76+L33+L76+M33+M76-SUM(I83:Q83)))*M77+MAX(0,MIN(N33,0+I33+I76+J33+J76+K33+K76+L33+L76+M33+M76+N33-SUM(I83:Q83)))*N36+MAX(0,MIN(N76,0+I33+I76+J33+J76+K33+K76+L33+L76+M33+M76+N33+N76-SUM(I83:Q83)))*N77+MAX(0,MIN(O33,0+I33+I76+J33+J76+K33+K76+L33+L76+M33+M76+N33+N76+O33-SUM(I83:Q83)))*O36+MAX(0,MIN(O76,0+I33+I76+J33+J76+K33+K76+L33+L76+M33+M76+N33+N76+O33+O76-SUM(I83:Q83)))*O77+MAX(0,MIN(P33,0+I33+I76+J33+J76+K33+K76+L33+L76+M33+M76+N33+N76+O33+O76+P33-SUM(I83:Q83)))*P36+MAX(0,MIN(P76,0+I33+I76+J33+J76+K33+K76+L33+L76+M33+M76+N33+N76+O33+O76+P33+P76-SUM(I83:Q83)))*P77+MAX(0,MIN(Q33,0+I33+I76+J33+J76+K33+K76+L33+L76+M33+M76+N33+N76+O33+O76+P33+P76+Q33-SUM(I83:Q83)))*Q36+MAX(0,MIN(Q76,0+I33+I76+J33+J76+K33+K76+L33+L76+M33+M76+N33+N76+O33+O76+P33+P76+Q33+Q76-SUM(I83:Q83)))*Q77</f>
        <v>447178636.765686</v>
      </c>
      <c r="R86" s="78" t="n">
        <f aca="false">MAX(0,MIN(0,0-SUM(I83:R83)))*0+MAX(0,MIN(I33,0+I33-SUM(I83:R83)))*I36+MAX(0,MIN(I76,0+I33+I76-SUM(I83:R83)))*I77+MAX(0,MIN(J33,0+I33+I76+J33-SUM(I83:R83)))*J36+MAX(0,MIN(J76,0+I33+I76+J33+J76-SUM(I83:R83)))*J77+MAX(0,MIN(K33,0+I33+I76+J33+J76+K33-SUM(I83:R83)))*K36+MAX(0,MIN(K76,0+I33+I76+J33+J76+K33+K76-SUM(I83:R83)))*K77+MAX(0,MIN(L33,0+I33+I76+J33+J76+K33+K76+L33-SUM(I83:R83)))*L36+MAX(0,MIN(L76,0+I33+I76+J33+J76+K33+K76+L33+L76-SUM(I83:R83)))*L77+MAX(0,MIN(M33,0+I33+I76+J33+J76+K33+K76+L33+L76+M33-SUM(I83:R83)))*M36+MAX(0,MIN(M76,0+I33+I76+J33+J76+K33+K76+L33+L76+M33+M76-SUM(I83:R83)))*M77+MAX(0,MIN(N33,0+I33+I76+J33+J76+K33+K76+L33+L76+M33+M76+N33-SUM(I83:R83)))*N36+MAX(0,MIN(N76,0+I33+I76+J33+J76+K33+K76+L33+L76+M33+M76+N33+N76-SUM(I83:R83)))*N77+MAX(0,MIN(O33,0+I33+I76+J33+J76+K33+K76+L33+L76+M33+M76+N33+N76+O33-SUM(I83:R83)))*O36+MAX(0,MIN(O76,0+I33+I76+J33+J76+K33+K76+L33+L76+M33+M76+N33+N76+O33+O76-SUM(I83:R83)))*O77+MAX(0,MIN(P33,0+I33+I76+J33+J76+K33+K76+L33+L76+M33+M76+N33+N76+O33+O76+P33-SUM(I83:R83)))*P36+MAX(0,MIN(P76,0+I33+I76+J33+J76+K33+K76+L33+L76+M33+M76+N33+N76+O33+O76+P33+P76-SUM(I83:R83)))*P77+MAX(0,MIN(Q33,0+I33+I76+J33+J76+K33+K76+L33+L76+M33+M76+N33+N76+O33+O76+P33+P76+Q33-SUM(I83:R83)))*Q36+MAX(0,MIN(Q76,0+I33+I76+J33+J76+K33+K76+L33+L76+M33+M76+N33+N76+O33+O76+P33+P76+Q33+Q76-SUM(I83:R83)))*Q77+MAX(0,MIN(R33,0+I33+I76+J33+J76+K33+K76+L33+L76+M33+M76+N33+N76+O33+O76+P33+P76+Q33+Q76+R33-SUM(I83:R83)))*R36+MAX(0,MIN(R76,0+I33+I76+J33+J76+K33+K76+L33+L76+M33+M76+N33+N76+O33+O76+P33+P76+Q33+Q76+R33+R76-SUM(I83:R83)))*R77</f>
        <v>447178636.765686</v>
      </c>
      <c r="S86" s="78" t="n">
        <f aca="false">MAX(0,MIN(0,0-SUM(I83:S83)))*0+MAX(0,MIN(I33,0+I33-SUM(I83:S83)))*I36+MAX(0,MIN(I76,0+I33+I76-SUM(I83:S83)))*I77+MAX(0,MIN(J33,0+I33+I76+J33-SUM(I83:S83)))*J36+MAX(0,MIN(J76,0+I33+I76+J33+J76-SUM(I83:S83)))*J77+MAX(0,MIN(K33,0+I33+I76+J33+J76+K33-SUM(I83:S83)))*K36+MAX(0,MIN(K76,0+I33+I76+J33+J76+K33+K76-SUM(I83:S83)))*K77+MAX(0,MIN(L33,0+I33+I76+J33+J76+K33+K76+L33-SUM(I83:S83)))*L36+MAX(0,MIN(L76,0+I33+I76+J33+J76+K33+K76+L33+L76-SUM(I83:S83)))*L77+MAX(0,MIN(M33,0+I33+I76+J33+J76+K33+K76+L33+L76+M33-SUM(I83:S83)))*M36+MAX(0,MIN(M76,0+I33+I76+J33+J76+K33+K76+L33+L76+M33+M76-SUM(I83:S83)))*M77+MAX(0,MIN(N33,0+I33+I76+J33+J76+K33+K76+L33+L76+M33+M76+N33-SUM(I83:S83)))*N36+MAX(0,MIN(N76,0+I33+I76+J33+J76+K33+K76+L33+L76+M33+M76+N33+N76-SUM(I83:S83)))*N77+MAX(0,MIN(O33,0+I33+I76+J33+J76+K33+K76+L33+L76+M33+M76+N33+N76+O33-SUM(I83:S83)))*O36+MAX(0,MIN(O76,0+I33+I76+J33+J76+K33+K76+L33+L76+M33+M76+N33+N76+O33+O76-SUM(I83:S83)))*O77+MAX(0,MIN(P33,0+I33+I76+J33+J76+K33+K76+L33+L76+M33+M76+N33+N76+O33+O76+P33-SUM(I83:S83)))*P36+MAX(0,MIN(P76,0+I33+I76+J33+J76+K33+K76+L33+L76+M33+M76+N33+N76+O33+O76+P33+P76-SUM(I83:S83)))*P77+MAX(0,MIN(Q33,0+I33+I76+J33+J76+K33+K76+L33+L76+M33+M76+N33+N76+O33+O76+P33+P76+Q33-SUM(I83:S83)))*Q36+MAX(0,MIN(Q76,0+I33+I76+J33+J76+K33+K76+L33+L76+M33+M76+N33+N76+O33+O76+P33+P76+Q33+Q76-SUM(I83:S83)))*Q77+MAX(0,MIN(R33,0+I33+I76+J33+J76+K33+K76+L33+L76+M33+M76+N33+N76+O33+O76+P33+P76+Q33+Q76+R33-SUM(I83:S83)))*R36+MAX(0,MIN(R76,0+I33+I76+J33+J76+K33+K76+L33+L76+M33+M76+N33+N76+O33+O76+P33+P76+Q33+Q76+R33+R76-SUM(I83:S83)))*R77+MAX(0,MIN(S33,0+I33+I76+J33+J76+K33+K76+L33+L76+M33+M76+N33+N76+O33+O76+P33+P76+Q33+Q76+R33+R76+S33-SUM(I83:S83)))*S36+MAX(0,MIN(S76,0+I33+I76+J33+J76+K33+K76+L33+L76+M33+M76+N33+N76+O33+O76+P33+P76+Q33+Q76+R33+R76+S33+S76-SUM(I83:S83)))*S77</f>
        <v>447178636.765686</v>
      </c>
    </row>
    <row r="88" customFormat="false" ht="15" hidden="false" customHeight="false" outlineLevel="0" collapsed="false">
      <c r="A88" s="73" t="s">
        <v>930</v>
      </c>
      <c r="B88" s="74" t="s">
        <v>931</v>
      </c>
      <c r="C88" s="66" t="s">
        <v>130</v>
      </c>
      <c r="D88" s="43" t="s">
        <v>332</v>
      </c>
      <c r="E88" s="75" t="s">
        <v>43</v>
      </c>
      <c r="F88" s="76"/>
      <c r="G88" s="36" t="n">
        <f aca="false">IF(ISNUMBER(01_INPUTS!G147),01_INPUTS!G147,0)*1000</f>
        <v>0</v>
      </c>
      <c r="H88" s="36" t="n">
        <f aca="false">IF(ISNUMBER(01_INPUTS!H147),01_INPUTS!H147,0)*1000</f>
        <v>200000</v>
      </c>
      <c r="I88" s="36" t="n">
        <f aca="false">IF(ISNUMBER(01_INPUTS!I147),01_INPUTS!I147,0)*1000</f>
        <v>0</v>
      </c>
      <c r="J88" s="36" t="n">
        <f aca="false">IF(ISNUMBER(01_INPUTS!J147),01_INPUTS!J147,0)*1000</f>
        <v>0</v>
      </c>
      <c r="K88" s="36" t="n">
        <f aca="false">IF(ISNUMBER(01_INPUTS!K147),01_INPUTS!K147,0)*1000</f>
        <v>0</v>
      </c>
      <c r="L88" s="36" t="n">
        <f aca="false">IF(ISNUMBER(01_INPUTS!L147),01_INPUTS!L147,0)*1000</f>
        <v>0</v>
      </c>
      <c r="M88" s="36" t="n">
        <f aca="false">IF(ISNUMBER(01_INPUTS!M147),01_INPUTS!M147,0)*1000</f>
        <v>0</v>
      </c>
      <c r="N88" s="36" t="n">
        <f aca="false">IF(ISNUMBER(01_INPUTS!N147),01_INPUTS!N147,0)*1000</f>
        <v>0</v>
      </c>
      <c r="O88" s="36" t="n">
        <f aca="false">IF(ISNUMBER(01_INPUTS!O147),01_INPUTS!O147,0)*1000</f>
        <v>0</v>
      </c>
      <c r="P88" s="36" t="n">
        <f aca="false">IF(ISNUMBER(01_INPUTS!P147),01_INPUTS!P147,0)*1000</f>
        <v>0</v>
      </c>
      <c r="Q88" s="36" t="n">
        <f aca="false">IF(ISNUMBER(01_INPUTS!Q147),01_INPUTS!Q147,0)*1000</f>
        <v>0</v>
      </c>
      <c r="R88" s="36" t="n">
        <f aca="false">IF(ISNUMBER(01_INPUTS!R147),01_INPUTS!R147,0)*1000</f>
        <v>0</v>
      </c>
      <c r="S88" s="36" t="n">
        <f aca="false">IF(ISNUMBER(01_INPUTS!S147),01_INPUTS!S147,0)*1000</f>
        <v>0</v>
      </c>
    </row>
    <row r="89" customFormat="false" ht="15" hidden="false" customHeight="false" outlineLevel="0" collapsed="false">
      <c r="A89" s="73" t="s">
        <v>930</v>
      </c>
      <c r="B89" s="74" t="s">
        <v>127</v>
      </c>
      <c r="C89" s="66" t="s">
        <v>130</v>
      </c>
      <c r="D89" s="43" t="s">
        <v>89</v>
      </c>
      <c r="E89" s="75" t="s">
        <v>932</v>
      </c>
      <c r="F89" s="76"/>
      <c r="G89" s="84" t="n">
        <f aca="false">IF(ISNUMBER(01_INPUTS!G79),01_INPUTS!G79,0)</f>
        <v>0</v>
      </c>
      <c r="H89" s="84" t="n">
        <f aca="false">IF(ISNUMBER(01_INPUTS!H79),01_INPUTS!H79,0)</f>
        <v>17630.5229121633</v>
      </c>
      <c r="I89" s="84" t="n">
        <f aca="false">IF(ISNUMBER(01_INPUTS!I79),01_INPUTS!I79,0)</f>
        <v>0</v>
      </c>
      <c r="J89" s="84" t="n">
        <f aca="false">IF(ISNUMBER(01_INPUTS!J79),01_INPUTS!J79,0)</f>
        <v>0</v>
      </c>
      <c r="K89" s="84" t="n">
        <f aca="false">IF(ISNUMBER(01_INPUTS!K79),01_INPUTS!K79,0)</f>
        <v>0</v>
      </c>
      <c r="L89" s="84" t="n">
        <f aca="false">IF(ISNUMBER(01_INPUTS!L79),01_INPUTS!L79,0)</f>
        <v>0</v>
      </c>
      <c r="M89" s="84" t="n">
        <f aca="false">IF(ISNUMBER(01_INPUTS!M79),01_INPUTS!M79,0)</f>
        <v>0</v>
      </c>
      <c r="N89" s="84" t="n">
        <f aca="false">IF(ISNUMBER(01_INPUTS!N79),01_INPUTS!N79,0)</f>
        <v>0</v>
      </c>
      <c r="O89" s="84" t="n">
        <f aca="false">IF(ISNUMBER(01_INPUTS!O79),01_INPUTS!O79,0)</f>
        <v>0</v>
      </c>
      <c r="P89" s="84" t="n">
        <f aca="false">IF(ISNUMBER(01_INPUTS!P79),01_INPUTS!P79,0)</f>
        <v>0</v>
      </c>
      <c r="Q89" s="84" t="n">
        <f aca="false">IF(ISNUMBER(01_INPUTS!Q79),01_INPUTS!Q79,0)</f>
        <v>0</v>
      </c>
      <c r="R89" s="84" t="n">
        <f aca="false">IF(ISNUMBER(01_INPUTS!R79),01_INPUTS!R79,0)</f>
        <v>0</v>
      </c>
      <c r="S89" s="84" t="n">
        <f aca="false">IF(ISNUMBER(01_INPUTS!S79),01_INPUTS!S79,0)</f>
        <v>0</v>
      </c>
    </row>
    <row r="90" customFormat="false" ht="15" hidden="false" customHeight="false" outlineLevel="0" collapsed="false">
      <c r="A90" s="73" t="s">
        <v>930</v>
      </c>
      <c r="B90" s="74" t="s">
        <v>933</v>
      </c>
      <c r="C90" s="66" t="s">
        <v>130</v>
      </c>
      <c r="D90" s="43" t="s">
        <v>332</v>
      </c>
      <c r="E90" s="75" t="s">
        <v>43</v>
      </c>
      <c r="F90" s="76"/>
      <c r="G90" s="85" t="n">
        <v>0</v>
      </c>
      <c r="H90" s="85" t="n">
        <v>0</v>
      </c>
      <c r="I90" s="36" t="n">
        <f aca="false">H97</f>
        <v>295211</v>
      </c>
      <c r="J90" s="36" t="n">
        <f aca="false">I97</f>
        <v>6017.51189887506</v>
      </c>
      <c r="K90" s="36" t="n">
        <f aca="false">J97</f>
        <v>6017.51189887506</v>
      </c>
      <c r="L90" s="36" t="n">
        <f aca="false">K97</f>
        <v>6017.51189887506</v>
      </c>
      <c r="M90" s="36" t="n">
        <f aca="false">L97</f>
        <v>6017.51189887506</v>
      </c>
      <c r="N90" s="36" t="n">
        <f aca="false">M97</f>
        <v>6017.51189887506</v>
      </c>
      <c r="O90" s="36" t="n">
        <f aca="false">N97</f>
        <v>6017.51189887506</v>
      </c>
      <c r="P90" s="36" t="n">
        <f aca="false">O97</f>
        <v>6017.51189887506</v>
      </c>
      <c r="Q90" s="36" t="n">
        <f aca="false">P97</f>
        <v>6017.51189887506</v>
      </c>
      <c r="R90" s="36" t="n">
        <f aca="false">Q97</f>
        <v>6017.51189887506</v>
      </c>
      <c r="S90" s="36" t="n">
        <f aca="false">R97</f>
        <v>6017.51189887506</v>
      </c>
    </row>
    <row r="91" customFormat="false" ht="15" hidden="false" customHeight="false" outlineLevel="0" collapsed="false">
      <c r="A91" s="73" t="s">
        <v>930</v>
      </c>
      <c r="B91" s="74" t="s">
        <v>934</v>
      </c>
      <c r="C91" s="66" t="s">
        <v>130</v>
      </c>
      <c r="D91" s="43" t="s">
        <v>81</v>
      </c>
      <c r="E91" s="75" t="s">
        <v>43</v>
      </c>
      <c r="F91" s="76"/>
      <c r="G91" s="85" t="n">
        <v>0</v>
      </c>
      <c r="H91" s="85" t="n">
        <v>0</v>
      </c>
      <c r="I91" s="36" t="n">
        <f aca="false">H98</f>
        <v>4947976593.14158</v>
      </c>
      <c r="J91" s="36" t="n">
        <f aca="false">I98</f>
        <v>88695629.2260193</v>
      </c>
      <c r="K91" s="36" t="n">
        <f aca="false">J98</f>
        <v>88695629.2260193</v>
      </c>
      <c r="L91" s="36" t="n">
        <f aca="false">K98</f>
        <v>88695629.2260193</v>
      </c>
      <c r="M91" s="36" t="n">
        <f aca="false">L98</f>
        <v>88695629.2260193</v>
      </c>
      <c r="N91" s="36" t="n">
        <f aca="false">M98</f>
        <v>88695629.2260193</v>
      </c>
      <c r="O91" s="36" t="n">
        <f aca="false">N98</f>
        <v>88695629.2260193</v>
      </c>
      <c r="P91" s="36" t="n">
        <f aca="false">O98</f>
        <v>88695629.2260193</v>
      </c>
      <c r="Q91" s="36" t="n">
        <f aca="false">P98</f>
        <v>88695629.2260193</v>
      </c>
      <c r="R91" s="36" t="n">
        <f aca="false">Q98</f>
        <v>88695629.2260193</v>
      </c>
      <c r="S91" s="36" t="n">
        <f aca="false">R98</f>
        <v>88695629.2260193</v>
      </c>
    </row>
    <row r="92" customFormat="false" ht="15" hidden="false" customHeight="false" outlineLevel="0" collapsed="false">
      <c r="A92" s="73" t="s">
        <v>930</v>
      </c>
      <c r="B92" s="74" t="s">
        <v>935</v>
      </c>
      <c r="C92" s="66" t="s">
        <v>130</v>
      </c>
      <c r="D92" s="43" t="s">
        <v>332</v>
      </c>
      <c r="E92" s="75" t="s">
        <v>917</v>
      </c>
      <c r="F92" s="76"/>
      <c r="G92" s="77" t="n">
        <v>0</v>
      </c>
      <c r="H92" s="77" t="n">
        <v>816000</v>
      </c>
      <c r="I92" s="78" t="n">
        <f aca="false">I90+I38+I88</f>
        <v>355211</v>
      </c>
      <c r="J92" s="78" t="n">
        <f aca="false">J90+J38+J88</f>
        <v>6017.51189887506</v>
      </c>
      <c r="K92" s="78" t="n">
        <f aca="false">K90+K38+K88</f>
        <v>6017.51189887506</v>
      </c>
      <c r="L92" s="78" t="n">
        <f aca="false">L90+L38+L88</f>
        <v>6017.51189887506</v>
      </c>
      <c r="M92" s="78" t="n">
        <f aca="false">M90+M38+M88</f>
        <v>6017.51189887506</v>
      </c>
      <c r="N92" s="78" t="n">
        <f aca="false">N90+N38+N88</f>
        <v>6017.51189887506</v>
      </c>
      <c r="O92" s="78" t="n">
        <f aca="false">O90+O38+O88</f>
        <v>6017.51189887506</v>
      </c>
      <c r="P92" s="78" t="n">
        <f aca="false">P90+P38+P88</f>
        <v>6017.51189887506</v>
      </c>
      <c r="Q92" s="78" t="n">
        <f aca="false">Q90+Q38+Q88</f>
        <v>6017.51189887506</v>
      </c>
      <c r="R92" s="78" t="n">
        <f aca="false">R90+R38+R88</f>
        <v>6017.51189887506</v>
      </c>
      <c r="S92" s="78" t="n">
        <f aca="false">S90+S38+S88</f>
        <v>6017.51189887506</v>
      </c>
    </row>
    <row r="93" customFormat="false" ht="15" hidden="false" customHeight="false" outlineLevel="0" collapsed="false">
      <c r="A93" s="73" t="s">
        <v>930</v>
      </c>
      <c r="B93" s="74" t="s">
        <v>936</v>
      </c>
      <c r="C93" s="66" t="s">
        <v>130</v>
      </c>
      <c r="D93" s="43" t="s">
        <v>81</v>
      </c>
      <c r="E93" s="75" t="s">
        <v>917</v>
      </c>
      <c r="F93" s="76"/>
      <c r="G93" s="77" t="n">
        <v>0</v>
      </c>
      <c r="H93" s="77" t="n">
        <v>12725389944.3835</v>
      </c>
      <c r="I93" s="78" t="n">
        <f aca="false">I91+I38*I41+I88*I89</f>
        <v>5832351704.14984</v>
      </c>
      <c r="J93" s="78" t="n">
        <f aca="false">J91+J38*J41+J88*J89</f>
        <v>88695629.2260193</v>
      </c>
      <c r="K93" s="78" t="n">
        <f aca="false">K91+K38*K41+K88*K89</f>
        <v>88695629.2260193</v>
      </c>
      <c r="L93" s="78" t="n">
        <f aca="false">L91+L38*L41+L88*L89</f>
        <v>88695629.2260193</v>
      </c>
      <c r="M93" s="78" t="n">
        <f aca="false">M91+M38*M41+M88*M89</f>
        <v>88695629.2260193</v>
      </c>
      <c r="N93" s="78" t="n">
        <f aca="false">N91+N38*N41+N88*N89</f>
        <v>88695629.2260193</v>
      </c>
      <c r="O93" s="78" t="n">
        <f aca="false">O91+O38*O41+O88*O89</f>
        <v>88695629.2260193</v>
      </c>
      <c r="P93" s="78" t="n">
        <f aca="false">P91+P38*P41+P88*P89</f>
        <v>88695629.2260193</v>
      </c>
      <c r="Q93" s="78" t="n">
        <f aca="false">Q91+Q38*Q41+Q88*Q89</f>
        <v>88695629.2260193</v>
      </c>
      <c r="R93" s="78" t="n">
        <f aca="false">R91+R38*R41+R88*R89</f>
        <v>88695629.2260193</v>
      </c>
      <c r="S93" s="78" t="n">
        <f aca="false">S91+S38*S41+S88*S89</f>
        <v>88695629.2260193</v>
      </c>
    </row>
    <row r="94" customFormat="false" ht="48.5" hidden="false" customHeight="false" outlineLevel="0" collapsed="false">
      <c r="A94" s="73" t="s">
        <v>930</v>
      </c>
      <c r="B94" s="74" t="s">
        <v>937</v>
      </c>
      <c r="C94" s="66" t="s">
        <v>130</v>
      </c>
      <c r="D94" s="43" t="s">
        <v>89</v>
      </c>
      <c r="E94" s="75" t="s">
        <v>917</v>
      </c>
      <c r="F94" s="76" t="s">
        <v>938</v>
      </c>
      <c r="G94" s="81" t="n">
        <v>0</v>
      </c>
      <c r="H94" s="81" t="n">
        <v>15594.840618117</v>
      </c>
      <c r="I94" s="82" t="n">
        <f aca="false">IFERROR(I96/I95,0)</f>
        <v>16448.3481812825</v>
      </c>
      <c r="J94" s="82" t="n">
        <f aca="false">IFERROR(J96/J95,0)</f>
        <v>0</v>
      </c>
      <c r="K94" s="82" t="n">
        <f aca="false">IFERROR(K96/K95,0)</f>
        <v>0</v>
      </c>
      <c r="L94" s="82" t="n">
        <f aca="false">IFERROR(L96/L95,0)</f>
        <v>0</v>
      </c>
      <c r="M94" s="82" t="n">
        <f aca="false">IFERROR(M96/M95,0)</f>
        <v>0</v>
      </c>
      <c r="N94" s="82" t="n">
        <f aca="false">IFERROR(N96/N95,0)</f>
        <v>0</v>
      </c>
      <c r="O94" s="82" t="n">
        <f aca="false">IFERROR(O96/O95,0)</f>
        <v>0</v>
      </c>
      <c r="P94" s="82" t="n">
        <f aca="false">IFERROR(P96/P95,0)</f>
        <v>0</v>
      </c>
      <c r="Q94" s="82" t="n">
        <f aca="false">IFERROR(Q96/Q95,0)</f>
        <v>0</v>
      </c>
      <c r="R94" s="82" t="n">
        <f aca="false">IFERROR(R96/R95,0)</f>
        <v>0</v>
      </c>
      <c r="S94" s="82" t="n">
        <f aca="false">IFERROR(S96/S95,0)</f>
        <v>0</v>
      </c>
    </row>
    <row r="95" customFormat="false" ht="28.35" hidden="false" customHeight="false" outlineLevel="0" collapsed="false">
      <c r="A95" s="73" t="s">
        <v>930</v>
      </c>
      <c r="B95" s="74" t="s">
        <v>939</v>
      </c>
      <c r="C95" s="66" t="s">
        <v>130</v>
      </c>
      <c r="D95" s="43" t="s">
        <v>332</v>
      </c>
      <c r="E95" s="75" t="s">
        <v>940</v>
      </c>
      <c r="F95" s="76" t="s">
        <v>941</v>
      </c>
      <c r="G95" s="85" t="n">
        <v>0</v>
      </c>
      <c r="H95" s="85" t="n">
        <v>520789</v>
      </c>
      <c r="I95" s="86" t="n">
        <f aca="false">_ENGINE_MERCADO!I171</f>
        <v>349193.488101125</v>
      </c>
      <c r="J95" s="86" t="n">
        <f aca="false">_ENGINE_MERCADO!J171</f>
        <v>0</v>
      </c>
      <c r="K95" s="86" t="n">
        <f aca="false">_ENGINE_MERCADO!K171</f>
        <v>0</v>
      </c>
      <c r="L95" s="86" t="n">
        <f aca="false">_ENGINE_MERCADO!L171</f>
        <v>0</v>
      </c>
      <c r="M95" s="86" t="n">
        <f aca="false">_ENGINE_MERCADO!M171</f>
        <v>0</v>
      </c>
      <c r="N95" s="86" t="n">
        <f aca="false">_ENGINE_MERCADO!N171</f>
        <v>0</v>
      </c>
      <c r="O95" s="86" t="n">
        <f aca="false">_ENGINE_MERCADO!O171</f>
        <v>0</v>
      </c>
      <c r="P95" s="86" t="n">
        <f aca="false">_ENGINE_MERCADO!P171</f>
        <v>0</v>
      </c>
      <c r="Q95" s="86" t="n">
        <f aca="false">_ENGINE_MERCADO!Q171</f>
        <v>0</v>
      </c>
      <c r="R95" s="86" t="n">
        <f aca="false">_ENGINE_MERCADO!R171</f>
        <v>0</v>
      </c>
      <c r="S95" s="86" t="n">
        <f aca="false">_ENGINE_MERCADO!S171</f>
        <v>0</v>
      </c>
    </row>
    <row r="96" customFormat="false" ht="15" hidden="false" customHeight="false" outlineLevel="0" collapsed="false">
      <c r="A96" s="73" t="s">
        <v>930</v>
      </c>
      <c r="B96" s="74" t="s">
        <v>942</v>
      </c>
      <c r="C96" s="66" t="s">
        <v>130</v>
      </c>
      <c r="D96" s="43" t="s">
        <v>81</v>
      </c>
      <c r="E96" s="75" t="s">
        <v>917</v>
      </c>
      <c r="F96" s="76"/>
      <c r="G96" s="77" t="n">
        <v>0</v>
      </c>
      <c r="H96" s="77" t="n">
        <v>0</v>
      </c>
      <c r="I96" s="78" t="n">
        <f aca="false">I93-I98</f>
        <v>5743656074.92382</v>
      </c>
      <c r="J96" s="78" t="n">
        <f aca="false">J93-J98</f>
        <v>0</v>
      </c>
      <c r="K96" s="78" t="n">
        <f aca="false">K93-K98</f>
        <v>0</v>
      </c>
      <c r="L96" s="78" t="n">
        <f aca="false">L93-L98</f>
        <v>0</v>
      </c>
      <c r="M96" s="78" t="n">
        <f aca="false">M93-M98</f>
        <v>0</v>
      </c>
      <c r="N96" s="78" t="n">
        <f aca="false">N93-N98</f>
        <v>0</v>
      </c>
      <c r="O96" s="78" t="n">
        <f aca="false">O93-O98</f>
        <v>0</v>
      </c>
      <c r="P96" s="78" t="n">
        <f aca="false">P93-P98</f>
        <v>0</v>
      </c>
      <c r="Q96" s="78" t="n">
        <f aca="false">Q93-Q98</f>
        <v>0</v>
      </c>
      <c r="R96" s="78" t="n">
        <f aca="false">R93-R98</f>
        <v>0</v>
      </c>
      <c r="S96" s="78" t="n">
        <f aca="false">S93-S98</f>
        <v>0</v>
      </c>
    </row>
    <row r="97" customFormat="false" ht="15" hidden="false" customHeight="false" outlineLevel="0" collapsed="false">
      <c r="A97" s="73" t="s">
        <v>930</v>
      </c>
      <c r="B97" s="74" t="s">
        <v>943</v>
      </c>
      <c r="C97" s="66" t="s">
        <v>130</v>
      </c>
      <c r="D97" s="43" t="s">
        <v>332</v>
      </c>
      <c r="E97" s="75" t="s">
        <v>917</v>
      </c>
      <c r="F97" s="76"/>
      <c r="G97" s="85" t="n">
        <v>0</v>
      </c>
      <c r="H97" s="85" t="n">
        <v>295211</v>
      </c>
      <c r="I97" s="36" t="n">
        <f aca="false">I92-I95</f>
        <v>6017.51189887506</v>
      </c>
      <c r="J97" s="36" t="n">
        <f aca="false">J92-J95</f>
        <v>6017.51189887506</v>
      </c>
      <c r="K97" s="36" t="n">
        <f aca="false">K92-K95</f>
        <v>6017.51189887506</v>
      </c>
      <c r="L97" s="36" t="n">
        <f aca="false">L92-L95</f>
        <v>6017.51189887506</v>
      </c>
      <c r="M97" s="36" t="n">
        <f aca="false">M92-M95</f>
        <v>6017.51189887506</v>
      </c>
      <c r="N97" s="36" t="n">
        <f aca="false">N92-N95</f>
        <v>6017.51189887506</v>
      </c>
      <c r="O97" s="36" t="n">
        <f aca="false">O92-O95</f>
        <v>6017.51189887506</v>
      </c>
      <c r="P97" s="36" t="n">
        <f aca="false">P92-P95</f>
        <v>6017.51189887506</v>
      </c>
      <c r="Q97" s="36" t="n">
        <f aca="false">Q92-Q95</f>
        <v>6017.51189887506</v>
      </c>
      <c r="R97" s="36" t="n">
        <f aca="false">R92-R95</f>
        <v>6017.51189887506</v>
      </c>
      <c r="S97" s="36" t="n">
        <f aca="false">S92-S95</f>
        <v>6017.51189887506</v>
      </c>
    </row>
    <row r="98" customFormat="false" ht="15" hidden="false" customHeight="false" outlineLevel="0" collapsed="false">
      <c r="A98" s="73" t="s">
        <v>930</v>
      </c>
      <c r="B98" s="74" t="s">
        <v>944</v>
      </c>
      <c r="C98" s="66" t="s">
        <v>130</v>
      </c>
      <c r="D98" s="43" t="s">
        <v>81</v>
      </c>
      <c r="E98" s="75" t="s">
        <v>917</v>
      </c>
      <c r="F98" s="76"/>
      <c r="G98" s="85" t="n">
        <v>0</v>
      </c>
      <c r="H98" s="85" t="n">
        <v>4947976593.14158</v>
      </c>
      <c r="I98" s="78" t="n">
        <f aca="false">MAX(0,MIN(295211,295211-SUM(I95:I95)))*16760.8137675818+MAX(0,MIN(I38,295211+I38-SUM(I95:I95)))*I41+MAX(0,MIN(I88,295211+I38+I88-SUM(I95:I95)))*I89</f>
        <v>88695629.2260193</v>
      </c>
      <c r="J98" s="78" t="n">
        <f aca="false">MAX(0,MIN(295211,295211-SUM(I95:J95)))*16760.8137675818+MAX(0,MIN(I38,295211+I38-SUM(I95:J95)))*I41+MAX(0,MIN(I88,295211+I38+I88-SUM(I95:J95)))*I89+MAX(0,MIN(J38,295211+I38+I88+J38-SUM(I95:J95)))*J41+MAX(0,MIN(J88,295211+I38+I88+J38+J88-SUM(I95:J95)))*J89</f>
        <v>88695629.2260193</v>
      </c>
      <c r="K98" s="78" t="n">
        <f aca="false">MAX(0,MIN(295211,295211-SUM(I95:K95)))*16760.8137675818+MAX(0,MIN(I38,295211+I38-SUM(I95:K95)))*I41+MAX(0,MIN(I88,295211+I38+I88-SUM(I95:K95)))*I89+MAX(0,MIN(J38,295211+I38+I88+J38-SUM(I95:K95)))*J41+MAX(0,MIN(J88,295211+I38+I88+J38+J88-SUM(I95:K95)))*J89+MAX(0,MIN(K38,295211+I38+I88+J38+J88+K38-SUM(I95:K95)))*K41+MAX(0,MIN(K88,295211+I38+I88+J38+J88+K38+K88-SUM(I95:K95)))*K89</f>
        <v>88695629.2260193</v>
      </c>
      <c r="L98" s="78" t="n">
        <f aca="false">MAX(0,MIN(295211,295211-SUM(I95:L95)))*16760.8137675818+MAX(0,MIN(I38,295211+I38-SUM(I95:L95)))*I41+MAX(0,MIN(I88,295211+I38+I88-SUM(I95:L95)))*I89+MAX(0,MIN(J38,295211+I38+I88+J38-SUM(I95:L95)))*J41+MAX(0,MIN(J88,295211+I38+I88+J38+J88-SUM(I95:L95)))*J89+MAX(0,MIN(K38,295211+I38+I88+J38+J88+K38-SUM(I95:L95)))*K41+MAX(0,MIN(K88,295211+I38+I88+J38+J88+K38+K88-SUM(I95:L95)))*K89+MAX(0,MIN(L38,295211+I38+I88+J38+J88+K38+K88+L38-SUM(I95:L95)))*L41+MAX(0,MIN(L88,295211+I38+I88+J38+J88+K38+K88+L38+L88-SUM(I95:L95)))*L89</f>
        <v>88695629.2260193</v>
      </c>
      <c r="M98" s="78" t="n">
        <f aca="false">MAX(0,MIN(295211,295211-SUM(I95:M95)))*16760.8137675818+MAX(0,MIN(I38,295211+I38-SUM(I95:M95)))*I41+MAX(0,MIN(I88,295211+I38+I88-SUM(I95:M95)))*I89+MAX(0,MIN(J38,295211+I38+I88+J38-SUM(I95:M95)))*J41+MAX(0,MIN(J88,295211+I38+I88+J38+J88-SUM(I95:M95)))*J89+MAX(0,MIN(K38,295211+I38+I88+J38+J88+K38-SUM(I95:M95)))*K41+MAX(0,MIN(K88,295211+I38+I88+J38+J88+K38+K88-SUM(I95:M95)))*K89+MAX(0,MIN(L38,295211+I38+I88+J38+J88+K38+K88+L38-SUM(I95:M95)))*L41+MAX(0,MIN(L88,295211+I38+I88+J38+J88+K38+K88+L38+L88-SUM(I95:M95)))*L89+MAX(0,MIN(M38,295211+I38+I88+J38+J88+K38+K88+L38+L88+M38-SUM(I95:M95)))*M41+MAX(0,MIN(M88,295211+I38+I88+J38+J88+K38+K88+L38+L88+M38+M88-SUM(I95:M95)))*M89</f>
        <v>88695629.2260193</v>
      </c>
      <c r="N98" s="78" t="n">
        <f aca="false">MAX(0,MIN(295211,295211-SUM(I95:N95)))*16760.8137675818+MAX(0,MIN(I38,295211+I38-SUM(I95:N95)))*I41+MAX(0,MIN(I88,295211+I38+I88-SUM(I95:N95)))*I89+MAX(0,MIN(J38,295211+I38+I88+J38-SUM(I95:N95)))*J41+MAX(0,MIN(J88,295211+I38+I88+J38+J88-SUM(I95:N95)))*J89+MAX(0,MIN(K38,295211+I38+I88+J38+J88+K38-SUM(I95:N95)))*K41+MAX(0,MIN(K88,295211+I38+I88+J38+J88+K38+K88-SUM(I95:N95)))*K89+MAX(0,MIN(L38,295211+I38+I88+J38+J88+K38+K88+L38-SUM(I95:N95)))*L41+MAX(0,MIN(L88,295211+I38+I88+J38+J88+K38+K88+L38+L88-SUM(I95:N95)))*L89+MAX(0,MIN(M38,295211+I38+I88+J38+J88+K38+K88+L38+L88+M38-SUM(I95:N95)))*M41+MAX(0,MIN(M88,295211+I38+I88+J38+J88+K38+K88+L38+L88+M38+M88-SUM(I95:N95)))*M89+MAX(0,MIN(N38,295211+I38+I88+J38+J88+K38+K88+L38+L88+M38+M88+N38-SUM(I95:N95)))*N41+MAX(0,MIN(N88,295211+I38+I88+J38+J88+K38+K88+L38+L88+M38+M88+N38+N88-SUM(I95:N95)))*N89</f>
        <v>88695629.2260193</v>
      </c>
      <c r="O98" s="78" t="n">
        <f aca="false">MAX(0,MIN(295211,295211-SUM(I95:O95)))*16760.8137675818+MAX(0,MIN(I38,295211+I38-SUM(I95:O95)))*I41+MAX(0,MIN(I88,295211+I38+I88-SUM(I95:O95)))*I89+MAX(0,MIN(J38,295211+I38+I88+J38-SUM(I95:O95)))*J41+MAX(0,MIN(J88,295211+I38+I88+J38+J88-SUM(I95:O95)))*J89+MAX(0,MIN(K38,295211+I38+I88+J38+J88+K38-SUM(I95:O95)))*K41+MAX(0,MIN(K88,295211+I38+I88+J38+J88+K38+K88-SUM(I95:O95)))*K89+MAX(0,MIN(L38,295211+I38+I88+J38+J88+K38+K88+L38-SUM(I95:O95)))*L41+MAX(0,MIN(L88,295211+I38+I88+J38+J88+K38+K88+L38+L88-SUM(I95:O95)))*L89+MAX(0,MIN(M38,295211+I38+I88+J38+J88+K38+K88+L38+L88+M38-SUM(I95:O95)))*M41+MAX(0,MIN(M88,295211+I38+I88+J38+J88+K38+K88+L38+L88+M38+M88-SUM(I95:O95)))*M89+MAX(0,MIN(N38,295211+I38+I88+J38+J88+K38+K88+L38+L88+M38+M88+N38-SUM(I95:O95)))*N41+MAX(0,MIN(N88,295211+I38+I88+J38+J88+K38+K88+L38+L88+M38+M88+N38+N88-SUM(I95:O95)))*N89+MAX(0,MIN(O38,295211+I38+I88+J38+J88+K38+K88+L38+L88+M38+M88+N38+N88+O38-SUM(I95:O95)))*O41+MAX(0,MIN(O88,295211+I38+I88+J38+J88+K38+K88+L38+L88+M38+M88+N38+N88+O38+O88-SUM(I95:O95)))*O89</f>
        <v>88695629.2260193</v>
      </c>
      <c r="P98" s="78" t="n">
        <f aca="false">MAX(0,MIN(295211,295211-SUM(I95:P95)))*16760.8137675818+MAX(0,MIN(I38,295211+I38-SUM(I95:P95)))*I41+MAX(0,MIN(I88,295211+I38+I88-SUM(I95:P95)))*I89+MAX(0,MIN(J38,295211+I38+I88+J38-SUM(I95:P95)))*J41+MAX(0,MIN(J88,295211+I38+I88+J38+J88-SUM(I95:P95)))*J89+MAX(0,MIN(K38,295211+I38+I88+J38+J88+K38-SUM(I95:P95)))*K41+MAX(0,MIN(K88,295211+I38+I88+J38+J88+K38+K88-SUM(I95:P95)))*K89+MAX(0,MIN(L38,295211+I38+I88+J38+J88+K38+K88+L38-SUM(I95:P95)))*L41+MAX(0,MIN(L88,295211+I38+I88+J38+J88+K38+K88+L38+L88-SUM(I95:P95)))*L89+MAX(0,MIN(M38,295211+I38+I88+J38+J88+K38+K88+L38+L88+M38-SUM(I95:P95)))*M41+MAX(0,MIN(M88,295211+I38+I88+J38+J88+K38+K88+L38+L88+M38+M88-SUM(I95:P95)))*M89+MAX(0,MIN(N38,295211+I38+I88+J38+J88+K38+K88+L38+L88+M38+M88+N38-SUM(I95:P95)))*N41+MAX(0,MIN(N88,295211+I38+I88+J38+J88+K38+K88+L38+L88+M38+M88+N38+N88-SUM(I95:P95)))*N89+MAX(0,MIN(O38,295211+I38+I88+J38+J88+K38+K88+L38+L88+M38+M88+N38+N88+O38-SUM(I95:P95)))*O41+MAX(0,MIN(O88,295211+I38+I88+J38+J88+K38+K88+L38+L88+M38+M88+N38+N88+O38+O88-SUM(I95:P95)))*O89+MAX(0,MIN(P38,295211+I38+I88+J38+J88+K38+K88+L38+L88+M38+M88+N38+N88+O38+O88+P38-SUM(I95:P95)))*P41+MAX(0,MIN(P88,295211+I38+I88+J38+J88+K38+K88+L38+L88+M38+M88+N38+N88+O38+O88+P38+P88-SUM(I95:P95)))*P89</f>
        <v>88695629.2260193</v>
      </c>
      <c r="Q98" s="78" t="n">
        <f aca="false">MAX(0,MIN(295211,295211-SUM(I95:Q95)))*16760.8137675818+MAX(0,MIN(I38,295211+I38-SUM(I95:Q95)))*I41+MAX(0,MIN(I88,295211+I38+I88-SUM(I95:Q95)))*I89+MAX(0,MIN(J38,295211+I38+I88+J38-SUM(I95:Q95)))*J41+MAX(0,MIN(J88,295211+I38+I88+J38+J88-SUM(I95:Q95)))*J89+MAX(0,MIN(K38,295211+I38+I88+J38+J88+K38-SUM(I95:Q95)))*K41+MAX(0,MIN(K88,295211+I38+I88+J38+J88+K38+K88-SUM(I95:Q95)))*K89+MAX(0,MIN(L38,295211+I38+I88+J38+J88+K38+K88+L38-SUM(I95:Q95)))*L41+MAX(0,MIN(L88,295211+I38+I88+J38+J88+K38+K88+L38+L88-SUM(I95:Q95)))*L89+MAX(0,MIN(M38,295211+I38+I88+J38+J88+K38+K88+L38+L88+M38-SUM(I95:Q95)))*M41+MAX(0,MIN(M88,295211+I38+I88+J38+J88+K38+K88+L38+L88+M38+M88-SUM(I95:Q95)))*M89+MAX(0,MIN(N38,295211+I38+I88+J38+J88+K38+K88+L38+L88+M38+M88+N38-SUM(I95:Q95)))*N41+MAX(0,MIN(N88,295211+I38+I88+J38+J88+K38+K88+L38+L88+M38+M88+N38+N88-SUM(I95:Q95)))*N89+MAX(0,MIN(O38,295211+I38+I88+J38+J88+K38+K88+L38+L88+M38+M88+N38+N88+O38-SUM(I95:Q95)))*O41+MAX(0,MIN(O88,295211+I38+I88+J38+J88+K38+K88+L38+L88+M38+M88+N38+N88+O38+O88-SUM(I95:Q95)))*O89+MAX(0,MIN(P38,295211+I38+I88+J38+J88+K38+K88+L38+L88+M38+M88+N38+N88+O38+O88+P38-SUM(I95:Q95)))*P41+MAX(0,MIN(P88,295211+I38+I88+J38+J88+K38+K88+L38+L88+M38+M88+N38+N88+O38+O88+P38+P88-SUM(I95:Q95)))*P89+MAX(0,MIN(Q38,295211+I38+I88+J38+J88+K38+K88+L38+L88+M38+M88+N38+N88+O38+O88+P38+P88+Q38-SUM(I95:Q95)))*Q41+MAX(0,MIN(Q88,295211+I38+I88+J38+J88+K38+K88+L38+L88+M38+M88+N38+N88+O38+O88+P38+P88+Q38+Q88-SUM(I95:Q95)))*Q89</f>
        <v>88695629.2260193</v>
      </c>
      <c r="R98" s="78" t="n">
        <f aca="false">MAX(0,MIN(295211,295211-SUM(I95:R95)))*16760.8137675818+MAX(0,MIN(I38,295211+I38-SUM(I95:R95)))*I41+MAX(0,MIN(I88,295211+I38+I88-SUM(I95:R95)))*I89+MAX(0,MIN(J38,295211+I38+I88+J38-SUM(I95:R95)))*J41+MAX(0,MIN(J88,295211+I38+I88+J38+J88-SUM(I95:R95)))*J89+MAX(0,MIN(K38,295211+I38+I88+J38+J88+K38-SUM(I95:R95)))*K41+MAX(0,MIN(K88,295211+I38+I88+J38+J88+K38+K88-SUM(I95:R95)))*K89+MAX(0,MIN(L38,295211+I38+I88+J38+J88+K38+K88+L38-SUM(I95:R95)))*L41+MAX(0,MIN(L88,295211+I38+I88+J38+J88+K38+K88+L38+L88-SUM(I95:R95)))*L89+MAX(0,MIN(M38,295211+I38+I88+J38+J88+K38+K88+L38+L88+M38-SUM(I95:R95)))*M41+MAX(0,MIN(M88,295211+I38+I88+J38+J88+K38+K88+L38+L88+M38+M88-SUM(I95:R95)))*M89+MAX(0,MIN(N38,295211+I38+I88+J38+J88+K38+K88+L38+L88+M38+M88+N38-SUM(I95:R95)))*N41+MAX(0,MIN(N88,295211+I38+I88+J38+J88+K38+K88+L38+L88+M38+M88+N38+N88-SUM(I95:R95)))*N89+MAX(0,MIN(O38,295211+I38+I88+J38+J88+K38+K88+L38+L88+M38+M88+N38+N88+O38-SUM(I95:R95)))*O41+MAX(0,MIN(O88,295211+I38+I88+J38+J88+K38+K88+L38+L88+M38+M88+N38+N88+O38+O88-SUM(I95:R95)))*O89+MAX(0,MIN(P38,295211+I38+I88+J38+J88+K38+K88+L38+L88+M38+M88+N38+N88+O38+O88+P38-SUM(I95:R95)))*P41+MAX(0,MIN(P88,295211+I38+I88+J38+J88+K38+K88+L38+L88+M38+M88+N38+N88+O38+O88+P38+P88-SUM(I95:R95)))*P89+MAX(0,MIN(Q38,295211+I38+I88+J38+J88+K38+K88+L38+L88+M38+M88+N38+N88+O38+O88+P38+P88+Q38-SUM(I95:R95)))*Q41+MAX(0,MIN(Q88,295211+I38+I88+J38+J88+K38+K88+L38+L88+M38+M88+N38+N88+O38+O88+P38+P88+Q38+Q88-SUM(I95:R95)))*Q89+MAX(0,MIN(R38,295211+I38+I88+J38+J88+K38+K88+L38+L88+M38+M88+N38+N88+O38+O88+P38+P88+Q38+Q88+R38-SUM(I95:R95)))*R41+MAX(0,MIN(R88,295211+I38+I88+J38+J88+K38+K88+L38+L88+M38+M88+N38+N88+O38+O88+P38+P88+Q38+Q88+R38+R88-SUM(I95:R95)))*R89</f>
        <v>88695629.2260193</v>
      </c>
      <c r="S98" s="78" t="n">
        <f aca="false">MAX(0,MIN(295211,295211-SUM(I95:S95)))*16760.8137675818+MAX(0,MIN(I38,295211+I38-SUM(I95:S95)))*I41+MAX(0,MIN(I88,295211+I38+I88-SUM(I95:S95)))*I89+MAX(0,MIN(J38,295211+I38+I88+J38-SUM(I95:S95)))*J41+MAX(0,MIN(J88,295211+I38+I88+J38+J88-SUM(I95:S95)))*J89+MAX(0,MIN(K38,295211+I38+I88+J38+J88+K38-SUM(I95:S95)))*K41+MAX(0,MIN(K88,295211+I38+I88+J38+J88+K38+K88-SUM(I95:S95)))*K89+MAX(0,MIN(L38,295211+I38+I88+J38+J88+K38+K88+L38-SUM(I95:S95)))*L41+MAX(0,MIN(L88,295211+I38+I88+J38+J88+K38+K88+L38+L88-SUM(I95:S95)))*L89+MAX(0,MIN(M38,295211+I38+I88+J38+J88+K38+K88+L38+L88+M38-SUM(I95:S95)))*M41+MAX(0,MIN(M88,295211+I38+I88+J38+J88+K38+K88+L38+L88+M38+M88-SUM(I95:S95)))*M89+MAX(0,MIN(N38,295211+I38+I88+J38+J88+K38+K88+L38+L88+M38+M88+N38-SUM(I95:S95)))*N41+MAX(0,MIN(N88,295211+I38+I88+J38+J88+K38+K88+L38+L88+M38+M88+N38+N88-SUM(I95:S95)))*N89+MAX(0,MIN(O38,295211+I38+I88+J38+J88+K38+K88+L38+L88+M38+M88+N38+N88+O38-SUM(I95:S95)))*O41+MAX(0,MIN(O88,295211+I38+I88+J38+J88+K38+K88+L38+L88+M38+M88+N38+N88+O38+O88-SUM(I95:S95)))*O89+MAX(0,MIN(P38,295211+I38+I88+J38+J88+K38+K88+L38+L88+M38+M88+N38+N88+O38+O88+P38-SUM(I95:S95)))*P41+MAX(0,MIN(P88,295211+I38+I88+J38+J88+K38+K88+L38+L88+M38+M88+N38+N88+O38+O88+P38+P88-SUM(I95:S95)))*P89+MAX(0,MIN(Q38,295211+I38+I88+J38+J88+K38+K88+L38+L88+M38+M88+N38+N88+O38+O88+P38+P88+Q38-SUM(I95:S95)))*Q41+MAX(0,MIN(Q88,295211+I38+I88+J38+J88+K38+K88+L38+L88+M38+M88+N38+N88+O38+O88+P38+P88+Q38+Q88-SUM(I95:S95)))*Q89+MAX(0,MIN(R38,295211+I38+I88+J38+J88+K38+K88+L38+L88+M38+M88+N38+N88+O38+O88+P38+P88+Q38+Q88+R38-SUM(I95:S95)))*R41+MAX(0,MIN(R88,295211+I38+I88+J38+J88+K38+K88+L38+L88+M38+M88+N38+N88+O38+O88+P38+P88+Q38+Q88+R38+R88-SUM(I95:S95)))*R89+MAX(0,MIN(S38,295211+I38+I88+J38+J88+K38+K88+L38+L88+M38+M88+N38+N88+O38+O88+P38+P88+Q38+Q88+R38+R88+S38-SUM(I95:S95)))*S41+MAX(0,MIN(S88,295211+I38+I88+J38+J88+K38+K88+L38+L88+M38+M88+N38+N88+O38+O88+P38+P88+Q38+Q88+R38+R88+S38+S88-SUM(I95:S95)))*S89</f>
        <v>88695629.2260193</v>
      </c>
    </row>
    <row r="100" customFormat="false" ht="15" hidden="false" customHeight="false" outlineLevel="0" collapsed="false">
      <c r="A100" s="73" t="s">
        <v>930</v>
      </c>
      <c r="B100" s="74" t="s">
        <v>931</v>
      </c>
      <c r="C100" s="66" t="s">
        <v>131</v>
      </c>
      <c r="D100" s="43" t="s">
        <v>332</v>
      </c>
      <c r="E100" s="75" t="s">
        <v>43</v>
      </c>
      <c r="F100" s="76"/>
      <c r="G100" s="36" t="n">
        <f aca="false">IF(ISNUMBER(01_INPUTS!G148),01_INPUTS!G148,0)*1000</f>
        <v>0</v>
      </c>
      <c r="H100" s="36" t="n">
        <f aca="false">IF(ISNUMBER(01_INPUTS!H148),01_INPUTS!H148,0)*1000</f>
        <v>0</v>
      </c>
      <c r="I100" s="36" t="n">
        <f aca="false">IF(ISNUMBER(01_INPUTS!I148),01_INPUTS!I148,0)*1000</f>
        <v>0</v>
      </c>
      <c r="J100" s="36" t="n">
        <f aca="false">IF(ISNUMBER(01_INPUTS!J148),01_INPUTS!J148,0)*1000</f>
        <v>0</v>
      </c>
      <c r="K100" s="36" t="n">
        <f aca="false">IF(ISNUMBER(01_INPUTS!K148),01_INPUTS!K148,0)*1000</f>
        <v>0</v>
      </c>
      <c r="L100" s="36" t="n">
        <f aca="false">IF(ISNUMBER(01_INPUTS!L148),01_INPUTS!L148,0)*1000</f>
        <v>0</v>
      </c>
      <c r="M100" s="36" t="n">
        <f aca="false">IF(ISNUMBER(01_INPUTS!M148),01_INPUTS!M148,0)*1000</f>
        <v>0</v>
      </c>
      <c r="N100" s="36" t="n">
        <f aca="false">IF(ISNUMBER(01_INPUTS!N148),01_INPUTS!N148,0)*1000</f>
        <v>0</v>
      </c>
      <c r="O100" s="36" t="n">
        <f aca="false">IF(ISNUMBER(01_INPUTS!O148),01_INPUTS!O148,0)*1000</f>
        <v>0</v>
      </c>
      <c r="P100" s="36" t="n">
        <f aca="false">IF(ISNUMBER(01_INPUTS!P148),01_INPUTS!P148,0)*1000</f>
        <v>0</v>
      </c>
      <c r="Q100" s="36" t="n">
        <f aca="false">IF(ISNUMBER(01_INPUTS!Q148),01_INPUTS!Q148,0)*1000</f>
        <v>0</v>
      </c>
      <c r="R100" s="36" t="n">
        <f aca="false">IF(ISNUMBER(01_INPUTS!R148),01_INPUTS!R148,0)*1000</f>
        <v>0</v>
      </c>
      <c r="S100" s="36" t="n">
        <f aca="false">IF(ISNUMBER(01_INPUTS!S148),01_INPUTS!S148,0)*1000</f>
        <v>0</v>
      </c>
    </row>
    <row r="101" customFormat="false" ht="15" hidden="false" customHeight="false" outlineLevel="0" collapsed="false">
      <c r="A101" s="73" t="s">
        <v>930</v>
      </c>
      <c r="B101" s="74" t="s">
        <v>127</v>
      </c>
      <c r="C101" s="66" t="s">
        <v>131</v>
      </c>
      <c r="D101" s="43" t="s">
        <v>89</v>
      </c>
      <c r="E101" s="75" t="s">
        <v>932</v>
      </c>
      <c r="F101" s="76"/>
      <c r="G101" s="84" t="n">
        <f aca="false">IF(ISNUMBER(01_INPUTS!G80),01_INPUTS!G80,0)</f>
        <v>0</v>
      </c>
      <c r="H101" s="84" t="n">
        <f aca="false">IF(ISNUMBER(01_INPUTS!H80),01_INPUTS!H80,0)</f>
        <v>0</v>
      </c>
      <c r="I101" s="84" t="n">
        <f aca="false">IF(ISNUMBER(01_INPUTS!I80),01_INPUTS!I80,0)</f>
        <v>0</v>
      </c>
      <c r="J101" s="84" t="n">
        <f aca="false">IF(ISNUMBER(01_INPUTS!J80),01_INPUTS!J80,0)</f>
        <v>0</v>
      </c>
      <c r="K101" s="84" t="n">
        <f aca="false">IF(ISNUMBER(01_INPUTS!K80),01_INPUTS!K80,0)</f>
        <v>0</v>
      </c>
      <c r="L101" s="84" t="n">
        <f aca="false">IF(ISNUMBER(01_INPUTS!L80),01_INPUTS!L80,0)</f>
        <v>0</v>
      </c>
      <c r="M101" s="84" t="n">
        <f aca="false">IF(ISNUMBER(01_INPUTS!M80),01_INPUTS!M80,0)</f>
        <v>0</v>
      </c>
      <c r="N101" s="84" t="n">
        <f aca="false">IF(ISNUMBER(01_INPUTS!N80),01_INPUTS!N80,0)</f>
        <v>0</v>
      </c>
      <c r="O101" s="84" t="n">
        <f aca="false">IF(ISNUMBER(01_INPUTS!O80),01_INPUTS!O80,0)</f>
        <v>0</v>
      </c>
      <c r="P101" s="84" t="n">
        <f aca="false">IF(ISNUMBER(01_INPUTS!P80),01_INPUTS!P80,0)</f>
        <v>0</v>
      </c>
      <c r="Q101" s="84" t="n">
        <f aca="false">IF(ISNUMBER(01_INPUTS!Q80),01_INPUTS!Q80,0)</f>
        <v>0</v>
      </c>
      <c r="R101" s="84" t="n">
        <f aca="false">IF(ISNUMBER(01_INPUTS!R80),01_INPUTS!R80,0)</f>
        <v>0</v>
      </c>
      <c r="S101" s="84" t="n">
        <f aca="false">IF(ISNUMBER(01_INPUTS!S80),01_INPUTS!S80,0)</f>
        <v>0</v>
      </c>
    </row>
    <row r="102" customFormat="false" ht="15" hidden="false" customHeight="false" outlineLevel="0" collapsed="false">
      <c r="A102" s="73" t="s">
        <v>930</v>
      </c>
      <c r="B102" s="74" t="s">
        <v>933</v>
      </c>
      <c r="C102" s="66" t="s">
        <v>131</v>
      </c>
      <c r="D102" s="43" t="s">
        <v>332</v>
      </c>
      <c r="E102" s="75" t="s">
        <v>43</v>
      </c>
      <c r="F102" s="76"/>
      <c r="G102" s="85" t="n">
        <v>0</v>
      </c>
      <c r="H102" s="85" t="n">
        <v>0</v>
      </c>
      <c r="I102" s="36" t="n">
        <f aca="false">H109</f>
        <v>0</v>
      </c>
      <c r="J102" s="36" t="n">
        <f aca="false">I109</f>
        <v>0</v>
      </c>
      <c r="K102" s="36" t="n">
        <f aca="false">J109</f>
        <v>0</v>
      </c>
      <c r="L102" s="36" t="n">
        <f aca="false">K109</f>
        <v>0</v>
      </c>
      <c r="M102" s="36" t="n">
        <f aca="false">L109</f>
        <v>0</v>
      </c>
      <c r="N102" s="36" t="n">
        <f aca="false">M109</f>
        <v>0</v>
      </c>
      <c r="O102" s="36" t="n">
        <f aca="false">N109</f>
        <v>0</v>
      </c>
      <c r="P102" s="36" t="n">
        <f aca="false">O109</f>
        <v>0</v>
      </c>
      <c r="Q102" s="36" t="n">
        <f aca="false">P109</f>
        <v>0</v>
      </c>
      <c r="R102" s="36" t="n">
        <f aca="false">Q109</f>
        <v>0</v>
      </c>
      <c r="S102" s="36" t="n">
        <f aca="false">R109</f>
        <v>0</v>
      </c>
    </row>
    <row r="103" customFormat="false" ht="15" hidden="false" customHeight="false" outlineLevel="0" collapsed="false">
      <c r="A103" s="73" t="s">
        <v>930</v>
      </c>
      <c r="B103" s="74" t="s">
        <v>934</v>
      </c>
      <c r="C103" s="66" t="s">
        <v>131</v>
      </c>
      <c r="D103" s="43" t="s">
        <v>81</v>
      </c>
      <c r="E103" s="75" t="s">
        <v>43</v>
      </c>
      <c r="F103" s="76"/>
      <c r="G103" s="85" t="n">
        <v>0</v>
      </c>
      <c r="H103" s="85" t="n">
        <v>0</v>
      </c>
      <c r="I103" s="36" t="n">
        <f aca="false">H110</f>
        <v>0</v>
      </c>
      <c r="J103" s="36" t="n">
        <f aca="false">I110</f>
        <v>0</v>
      </c>
      <c r="K103" s="36" t="n">
        <f aca="false">J110</f>
        <v>0</v>
      </c>
      <c r="L103" s="36" t="n">
        <f aca="false">K110</f>
        <v>0</v>
      </c>
      <c r="M103" s="36" t="n">
        <f aca="false">L110</f>
        <v>0</v>
      </c>
      <c r="N103" s="36" t="n">
        <f aca="false">M110</f>
        <v>0</v>
      </c>
      <c r="O103" s="36" t="n">
        <f aca="false">N110</f>
        <v>0</v>
      </c>
      <c r="P103" s="36" t="n">
        <f aca="false">O110</f>
        <v>0</v>
      </c>
      <c r="Q103" s="36" t="n">
        <f aca="false">P110</f>
        <v>0</v>
      </c>
      <c r="R103" s="36" t="n">
        <f aca="false">Q110</f>
        <v>0</v>
      </c>
      <c r="S103" s="36" t="n">
        <f aca="false">R110</f>
        <v>0</v>
      </c>
    </row>
    <row r="104" customFormat="false" ht="15" hidden="false" customHeight="false" outlineLevel="0" collapsed="false">
      <c r="A104" s="73" t="s">
        <v>930</v>
      </c>
      <c r="B104" s="74" t="s">
        <v>935</v>
      </c>
      <c r="C104" s="66" t="s">
        <v>131</v>
      </c>
      <c r="D104" s="43" t="s">
        <v>332</v>
      </c>
      <c r="E104" s="75" t="s">
        <v>917</v>
      </c>
      <c r="F104" s="76"/>
      <c r="G104" s="77" t="n">
        <v>0</v>
      </c>
      <c r="H104" s="77" t="n">
        <v>0</v>
      </c>
      <c r="I104" s="78" t="n">
        <f aca="false">I102+I43+I100</f>
        <v>0</v>
      </c>
      <c r="J104" s="78" t="n">
        <f aca="false">J102+J43+J100</f>
        <v>0</v>
      </c>
      <c r="K104" s="78" t="n">
        <f aca="false">K102+K43+K100</f>
        <v>0</v>
      </c>
      <c r="L104" s="78" t="n">
        <f aca="false">L102+L43+L100</f>
        <v>0</v>
      </c>
      <c r="M104" s="78" t="n">
        <f aca="false">M102+M43+M100</f>
        <v>0</v>
      </c>
      <c r="N104" s="78" t="n">
        <f aca="false">N102+N43+N100</f>
        <v>0</v>
      </c>
      <c r="O104" s="78" t="n">
        <f aca="false">O102+O43+O100</f>
        <v>0</v>
      </c>
      <c r="P104" s="78" t="n">
        <f aca="false">P102+P43+P100</f>
        <v>0</v>
      </c>
      <c r="Q104" s="78" t="n">
        <f aca="false">Q102+Q43+Q100</f>
        <v>0</v>
      </c>
      <c r="R104" s="78" t="n">
        <f aca="false">R102+R43+R100</f>
        <v>0</v>
      </c>
      <c r="S104" s="78" t="n">
        <f aca="false">S102+S43+S100</f>
        <v>0</v>
      </c>
    </row>
    <row r="105" customFormat="false" ht="15" hidden="false" customHeight="false" outlineLevel="0" collapsed="false">
      <c r="A105" s="73" t="s">
        <v>930</v>
      </c>
      <c r="B105" s="74" t="s">
        <v>936</v>
      </c>
      <c r="C105" s="66" t="s">
        <v>131</v>
      </c>
      <c r="D105" s="43" t="s">
        <v>81</v>
      </c>
      <c r="E105" s="75" t="s">
        <v>917</v>
      </c>
      <c r="F105" s="76"/>
      <c r="G105" s="77" t="n">
        <v>0</v>
      </c>
      <c r="H105" s="77" t="n">
        <v>0</v>
      </c>
      <c r="I105" s="78" t="n">
        <f aca="false">I103+I43*I46+I100*I101</f>
        <v>0</v>
      </c>
      <c r="J105" s="78" t="n">
        <f aca="false">J103+J43*J46+J100*J101</f>
        <v>0</v>
      </c>
      <c r="K105" s="78" t="n">
        <f aca="false">K103+K43*K46+K100*K101</f>
        <v>0</v>
      </c>
      <c r="L105" s="78" t="n">
        <f aca="false">L103+L43*L46+L100*L101</f>
        <v>0</v>
      </c>
      <c r="M105" s="78" t="n">
        <f aca="false">M103+M43*M46+M100*M101</f>
        <v>0</v>
      </c>
      <c r="N105" s="78" t="n">
        <f aca="false">N103+N43*N46+N100*N101</f>
        <v>0</v>
      </c>
      <c r="O105" s="78" t="n">
        <f aca="false">O103+O43*O46+O100*O101</f>
        <v>0</v>
      </c>
      <c r="P105" s="78" t="n">
        <f aca="false">P103+P43*P46+P100*P101</f>
        <v>0</v>
      </c>
      <c r="Q105" s="78" t="n">
        <f aca="false">Q103+Q43*Q46+Q100*Q101</f>
        <v>0</v>
      </c>
      <c r="R105" s="78" t="n">
        <f aca="false">R103+R43*R46+R100*R101</f>
        <v>0</v>
      </c>
      <c r="S105" s="78" t="n">
        <f aca="false">S103+S43*S46+S100*S101</f>
        <v>0</v>
      </c>
    </row>
    <row r="106" customFormat="false" ht="48.5" hidden="false" customHeight="false" outlineLevel="0" collapsed="false">
      <c r="A106" s="73" t="s">
        <v>930</v>
      </c>
      <c r="B106" s="74" t="s">
        <v>937</v>
      </c>
      <c r="C106" s="66" t="s">
        <v>131</v>
      </c>
      <c r="D106" s="43" t="s">
        <v>89</v>
      </c>
      <c r="E106" s="75" t="s">
        <v>917</v>
      </c>
      <c r="F106" s="76" t="s">
        <v>938</v>
      </c>
      <c r="G106" s="81" t="n">
        <v>0</v>
      </c>
      <c r="H106" s="81" t="n">
        <v>0</v>
      </c>
      <c r="I106" s="82" t="n">
        <f aca="false">IFERROR(I108/I107,0)</f>
        <v>0</v>
      </c>
      <c r="J106" s="82" t="n">
        <f aca="false">IFERROR(J108/J107,0)</f>
        <v>0</v>
      </c>
      <c r="K106" s="82" t="n">
        <f aca="false">IFERROR(K108/K107,0)</f>
        <v>0</v>
      </c>
      <c r="L106" s="82" t="n">
        <f aca="false">IFERROR(L108/L107,0)</f>
        <v>0</v>
      </c>
      <c r="M106" s="82" t="n">
        <f aca="false">IFERROR(M108/M107,0)</f>
        <v>0</v>
      </c>
      <c r="N106" s="82" t="n">
        <f aca="false">IFERROR(N108/N107,0)</f>
        <v>0</v>
      </c>
      <c r="O106" s="82" t="n">
        <f aca="false">IFERROR(O108/O107,0)</f>
        <v>0</v>
      </c>
      <c r="P106" s="82" t="n">
        <f aca="false">IFERROR(P108/P107,0)</f>
        <v>0</v>
      </c>
      <c r="Q106" s="82" t="n">
        <f aca="false">IFERROR(Q108/Q107,0)</f>
        <v>0</v>
      </c>
      <c r="R106" s="82" t="n">
        <f aca="false">IFERROR(R108/R107,0)</f>
        <v>0</v>
      </c>
      <c r="S106" s="82" t="n">
        <f aca="false">IFERROR(S108/S107,0)</f>
        <v>0</v>
      </c>
    </row>
    <row r="107" customFormat="false" ht="28.35" hidden="false" customHeight="false" outlineLevel="0" collapsed="false">
      <c r="A107" s="73" t="s">
        <v>930</v>
      </c>
      <c r="B107" s="74" t="s">
        <v>939</v>
      </c>
      <c r="C107" s="66" t="s">
        <v>131</v>
      </c>
      <c r="D107" s="43" t="s">
        <v>332</v>
      </c>
      <c r="E107" s="75" t="s">
        <v>940</v>
      </c>
      <c r="F107" s="76" t="s">
        <v>941</v>
      </c>
      <c r="G107" s="85" t="n">
        <v>0</v>
      </c>
      <c r="H107" s="85" t="n">
        <v>0</v>
      </c>
      <c r="I107" s="86" t="n">
        <f aca="false">_ENGINE_MERCADO!I173</f>
        <v>0</v>
      </c>
      <c r="J107" s="86" t="n">
        <f aca="false">_ENGINE_MERCADO!J173</f>
        <v>0</v>
      </c>
      <c r="K107" s="86" t="n">
        <f aca="false">_ENGINE_MERCADO!K173</f>
        <v>0</v>
      </c>
      <c r="L107" s="86" t="n">
        <f aca="false">_ENGINE_MERCADO!L173</f>
        <v>0</v>
      </c>
      <c r="M107" s="86" t="n">
        <f aca="false">_ENGINE_MERCADO!M173</f>
        <v>0</v>
      </c>
      <c r="N107" s="86" t="n">
        <f aca="false">_ENGINE_MERCADO!N173</f>
        <v>0</v>
      </c>
      <c r="O107" s="86" t="n">
        <f aca="false">_ENGINE_MERCADO!O173</f>
        <v>0</v>
      </c>
      <c r="P107" s="86" t="n">
        <f aca="false">_ENGINE_MERCADO!P173</f>
        <v>0</v>
      </c>
      <c r="Q107" s="86" t="n">
        <f aca="false">_ENGINE_MERCADO!Q173</f>
        <v>0</v>
      </c>
      <c r="R107" s="86" t="n">
        <f aca="false">_ENGINE_MERCADO!R173</f>
        <v>0</v>
      </c>
      <c r="S107" s="86" t="n">
        <f aca="false">_ENGINE_MERCADO!S173</f>
        <v>0</v>
      </c>
    </row>
    <row r="108" customFormat="false" ht="15" hidden="false" customHeight="false" outlineLevel="0" collapsed="false">
      <c r="A108" s="73" t="s">
        <v>930</v>
      </c>
      <c r="B108" s="74" t="s">
        <v>942</v>
      </c>
      <c r="C108" s="66" t="s">
        <v>131</v>
      </c>
      <c r="D108" s="43" t="s">
        <v>81</v>
      </c>
      <c r="E108" s="75" t="s">
        <v>917</v>
      </c>
      <c r="F108" s="76"/>
      <c r="G108" s="77" t="n">
        <v>0</v>
      </c>
      <c r="H108" s="77" t="n">
        <v>0</v>
      </c>
      <c r="I108" s="78" t="n">
        <f aca="false">I105-I110</f>
        <v>0</v>
      </c>
      <c r="J108" s="78" t="n">
        <f aca="false">J105-J110</f>
        <v>0</v>
      </c>
      <c r="K108" s="78" t="n">
        <f aca="false">K105-K110</f>
        <v>0</v>
      </c>
      <c r="L108" s="78" t="n">
        <f aca="false">L105-L110</f>
        <v>0</v>
      </c>
      <c r="M108" s="78" t="n">
        <f aca="false">M105-M110</f>
        <v>0</v>
      </c>
      <c r="N108" s="78" t="n">
        <f aca="false">N105-N110</f>
        <v>0</v>
      </c>
      <c r="O108" s="78" t="n">
        <f aca="false">O105-O110</f>
        <v>0</v>
      </c>
      <c r="P108" s="78" t="n">
        <f aca="false">P105-P110</f>
        <v>0</v>
      </c>
      <c r="Q108" s="78" t="n">
        <f aca="false">Q105-Q110</f>
        <v>0</v>
      </c>
      <c r="R108" s="78" t="n">
        <f aca="false">R105-R110</f>
        <v>0</v>
      </c>
      <c r="S108" s="78" t="n">
        <f aca="false">S105-S110</f>
        <v>0</v>
      </c>
    </row>
    <row r="109" customFormat="false" ht="15" hidden="false" customHeight="false" outlineLevel="0" collapsed="false">
      <c r="A109" s="73" t="s">
        <v>930</v>
      </c>
      <c r="B109" s="74" t="s">
        <v>943</v>
      </c>
      <c r="C109" s="66" t="s">
        <v>131</v>
      </c>
      <c r="D109" s="43" t="s">
        <v>332</v>
      </c>
      <c r="E109" s="75" t="s">
        <v>917</v>
      </c>
      <c r="F109" s="76"/>
      <c r="G109" s="85" t="n">
        <v>0</v>
      </c>
      <c r="H109" s="85" t="n">
        <v>0</v>
      </c>
      <c r="I109" s="36" t="n">
        <f aca="false">I104-I107</f>
        <v>0</v>
      </c>
      <c r="J109" s="36" t="n">
        <f aca="false">J104-J107</f>
        <v>0</v>
      </c>
      <c r="K109" s="36" t="n">
        <f aca="false">K104-K107</f>
        <v>0</v>
      </c>
      <c r="L109" s="36" t="n">
        <f aca="false">L104-L107</f>
        <v>0</v>
      </c>
      <c r="M109" s="36" t="n">
        <f aca="false">M104-M107</f>
        <v>0</v>
      </c>
      <c r="N109" s="36" t="n">
        <f aca="false">N104-N107</f>
        <v>0</v>
      </c>
      <c r="O109" s="36" t="n">
        <f aca="false">O104-O107</f>
        <v>0</v>
      </c>
      <c r="P109" s="36" t="n">
        <f aca="false">P104-P107</f>
        <v>0</v>
      </c>
      <c r="Q109" s="36" t="n">
        <f aca="false">Q104-Q107</f>
        <v>0</v>
      </c>
      <c r="R109" s="36" t="n">
        <f aca="false">R104-R107</f>
        <v>0</v>
      </c>
      <c r="S109" s="36" t="n">
        <f aca="false">S104-S107</f>
        <v>0</v>
      </c>
    </row>
    <row r="110" customFormat="false" ht="15" hidden="false" customHeight="false" outlineLevel="0" collapsed="false">
      <c r="A110" s="73" t="s">
        <v>930</v>
      </c>
      <c r="B110" s="74" t="s">
        <v>944</v>
      </c>
      <c r="C110" s="66" t="s">
        <v>131</v>
      </c>
      <c r="D110" s="43" t="s">
        <v>81</v>
      </c>
      <c r="E110" s="75" t="s">
        <v>917</v>
      </c>
      <c r="F110" s="76"/>
      <c r="G110" s="85" t="n">
        <v>0</v>
      </c>
      <c r="H110" s="85" t="n">
        <v>0</v>
      </c>
      <c r="I110" s="78" t="n">
        <f aca="false">MAX(0,MIN(0,0-SUM(I107:I107)))*0+MAX(0,MIN(I43,0+I43-SUM(I107:I107)))*I46+MAX(0,MIN(I100,0+I43+I100-SUM(I107:I107)))*I101</f>
        <v>0</v>
      </c>
      <c r="J110" s="78" t="n">
        <f aca="false">MAX(0,MIN(0,0-SUM(I107:J107)))*0+MAX(0,MIN(I43,0+I43-SUM(I107:J107)))*I46+MAX(0,MIN(I100,0+I43+I100-SUM(I107:J107)))*I101+MAX(0,MIN(J43,0+I43+I100+J43-SUM(I107:J107)))*J46+MAX(0,MIN(J100,0+I43+I100+J43+J100-SUM(I107:J107)))*J101</f>
        <v>0</v>
      </c>
      <c r="K110" s="78" t="n">
        <f aca="false">MAX(0,MIN(0,0-SUM(I107:K107)))*0+MAX(0,MIN(I43,0+I43-SUM(I107:K107)))*I46+MAX(0,MIN(I100,0+I43+I100-SUM(I107:K107)))*I101+MAX(0,MIN(J43,0+I43+I100+J43-SUM(I107:K107)))*J46+MAX(0,MIN(J100,0+I43+I100+J43+J100-SUM(I107:K107)))*J101+MAX(0,MIN(K43,0+I43+I100+J43+J100+K43-SUM(I107:K107)))*K46+MAX(0,MIN(K100,0+I43+I100+J43+J100+K43+K100-SUM(I107:K107)))*K101</f>
        <v>0</v>
      </c>
      <c r="L110" s="78" t="n">
        <f aca="false">MAX(0,MIN(0,0-SUM(I107:L107)))*0+MAX(0,MIN(I43,0+I43-SUM(I107:L107)))*I46+MAX(0,MIN(I100,0+I43+I100-SUM(I107:L107)))*I101+MAX(0,MIN(J43,0+I43+I100+J43-SUM(I107:L107)))*J46+MAX(0,MIN(J100,0+I43+I100+J43+J100-SUM(I107:L107)))*J101+MAX(0,MIN(K43,0+I43+I100+J43+J100+K43-SUM(I107:L107)))*K46+MAX(0,MIN(K100,0+I43+I100+J43+J100+K43+K100-SUM(I107:L107)))*K101+MAX(0,MIN(L43,0+I43+I100+J43+J100+K43+K100+L43-SUM(I107:L107)))*L46+MAX(0,MIN(L100,0+I43+I100+J43+J100+K43+K100+L43+L100-SUM(I107:L107)))*L101</f>
        <v>0</v>
      </c>
      <c r="M110" s="78" t="n">
        <f aca="false">MAX(0,MIN(0,0-SUM(I107:M107)))*0+MAX(0,MIN(I43,0+I43-SUM(I107:M107)))*I46+MAX(0,MIN(I100,0+I43+I100-SUM(I107:M107)))*I101+MAX(0,MIN(J43,0+I43+I100+J43-SUM(I107:M107)))*J46+MAX(0,MIN(J100,0+I43+I100+J43+J100-SUM(I107:M107)))*J101+MAX(0,MIN(K43,0+I43+I100+J43+J100+K43-SUM(I107:M107)))*K46+MAX(0,MIN(K100,0+I43+I100+J43+J100+K43+K100-SUM(I107:M107)))*K101+MAX(0,MIN(L43,0+I43+I100+J43+J100+K43+K100+L43-SUM(I107:M107)))*L46+MAX(0,MIN(L100,0+I43+I100+J43+J100+K43+K100+L43+L100-SUM(I107:M107)))*L101+MAX(0,MIN(M43,0+I43+I100+J43+J100+K43+K100+L43+L100+M43-SUM(I107:M107)))*M46+MAX(0,MIN(M100,0+I43+I100+J43+J100+K43+K100+L43+L100+M43+M100-SUM(I107:M107)))*M101</f>
        <v>0</v>
      </c>
      <c r="N110" s="78" t="n">
        <f aca="false">MAX(0,MIN(0,0-SUM(I107:N107)))*0+MAX(0,MIN(I43,0+I43-SUM(I107:N107)))*I46+MAX(0,MIN(I100,0+I43+I100-SUM(I107:N107)))*I101+MAX(0,MIN(J43,0+I43+I100+J43-SUM(I107:N107)))*J46+MAX(0,MIN(J100,0+I43+I100+J43+J100-SUM(I107:N107)))*J101+MAX(0,MIN(K43,0+I43+I100+J43+J100+K43-SUM(I107:N107)))*K46+MAX(0,MIN(K100,0+I43+I100+J43+J100+K43+K100-SUM(I107:N107)))*K101+MAX(0,MIN(L43,0+I43+I100+J43+J100+K43+K100+L43-SUM(I107:N107)))*L46+MAX(0,MIN(L100,0+I43+I100+J43+J100+K43+K100+L43+L100-SUM(I107:N107)))*L101+MAX(0,MIN(M43,0+I43+I100+J43+J100+K43+K100+L43+L100+M43-SUM(I107:N107)))*M46+MAX(0,MIN(M100,0+I43+I100+J43+J100+K43+K100+L43+L100+M43+M100-SUM(I107:N107)))*M101+MAX(0,MIN(N43,0+I43+I100+J43+J100+K43+K100+L43+L100+M43+M100+N43-SUM(I107:N107)))*N46+MAX(0,MIN(N100,0+I43+I100+J43+J100+K43+K100+L43+L100+M43+M100+N43+N100-SUM(I107:N107)))*N101</f>
        <v>0</v>
      </c>
      <c r="O110" s="78" t="n">
        <f aca="false">MAX(0,MIN(0,0-SUM(I107:O107)))*0+MAX(0,MIN(I43,0+I43-SUM(I107:O107)))*I46+MAX(0,MIN(I100,0+I43+I100-SUM(I107:O107)))*I101+MAX(0,MIN(J43,0+I43+I100+J43-SUM(I107:O107)))*J46+MAX(0,MIN(J100,0+I43+I100+J43+J100-SUM(I107:O107)))*J101+MAX(0,MIN(K43,0+I43+I100+J43+J100+K43-SUM(I107:O107)))*K46+MAX(0,MIN(K100,0+I43+I100+J43+J100+K43+K100-SUM(I107:O107)))*K101+MAX(0,MIN(L43,0+I43+I100+J43+J100+K43+K100+L43-SUM(I107:O107)))*L46+MAX(0,MIN(L100,0+I43+I100+J43+J100+K43+K100+L43+L100-SUM(I107:O107)))*L101+MAX(0,MIN(M43,0+I43+I100+J43+J100+K43+K100+L43+L100+M43-SUM(I107:O107)))*M46+MAX(0,MIN(M100,0+I43+I100+J43+J100+K43+K100+L43+L100+M43+M100-SUM(I107:O107)))*M101+MAX(0,MIN(N43,0+I43+I100+J43+J100+K43+K100+L43+L100+M43+M100+N43-SUM(I107:O107)))*N46+MAX(0,MIN(N100,0+I43+I100+J43+J100+K43+K100+L43+L100+M43+M100+N43+N100-SUM(I107:O107)))*N101+MAX(0,MIN(O43,0+I43+I100+J43+J100+K43+K100+L43+L100+M43+M100+N43+N100+O43-SUM(I107:O107)))*O46+MAX(0,MIN(O100,0+I43+I100+J43+J100+K43+K100+L43+L100+M43+M100+N43+N100+O43+O100-SUM(I107:O107)))*O101</f>
        <v>0</v>
      </c>
      <c r="P110" s="78" t="n">
        <f aca="false">MAX(0,MIN(0,0-SUM(I107:P107)))*0+MAX(0,MIN(I43,0+I43-SUM(I107:P107)))*I46+MAX(0,MIN(I100,0+I43+I100-SUM(I107:P107)))*I101+MAX(0,MIN(J43,0+I43+I100+J43-SUM(I107:P107)))*J46+MAX(0,MIN(J100,0+I43+I100+J43+J100-SUM(I107:P107)))*J101+MAX(0,MIN(K43,0+I43+I100+J43+J100+K43-SUM(I107:P107)))*K46+MAX(0,MIN(K100,0+I43+I100+J43+J100+K43+K100-SUM(I107:P107)))*K101+MAX(0,MIN(L43,0+I43+I100+J43+J100+K43+K100+L43-SUM(I107:P107)))*L46+MAX(0,MIN(L100,0+I43+I100+J43+J100+K43+K100+L43+L100-SUM(I107:P107)))*L101+MAX(0,MIN(M43,0+I43+I100+J43+J100+K43+K100+L43+L100+M43-SUM(I107:P107)))*M46+MAX(0,MIN(M100,0+I43+I100+J43+J100+K43+K100+L43+L100+M43+M100-SUM(I107:P107)))*M101+MAX(0,MIN(N43,0+I43+I100+J43+J100+K43+K100+L43+L100+M43+M100+N43-SUM(I107:P107)))*N46+MAX(0,MIN(N100,0+I43+I100+J43+J100+K43+K100+L43+L100+M43+M100+N43+N100-SUM(I107:P107)))*N101+MAX(0,MIN(O43,0+I43+I100+J43+J100+K43+K100+L43+L100+M43+M100+N43+N100+O43-SUM(I107:P107)))*O46+MAX(0,MIN(O100,0+I43+I100+J43+J100+K43+K100+L43+L100+M43+M100+N43+N100+O43+O100-SUM(I107:P107)))*O101+MAX(0,MIN(P43,0+I43+I100+J43+J100+K43+K100+L43+L100+M43+M100+N43+N100+O43+O100+P43-SUM(I107:P107)))*P46+MAX(0,MIN(P100,0+I43+I100+J43+J100+K43+K100+L43+L100+M43+M100+N43+N100+O43+O100+P43+P100-SUM(I107:P107)))*P101</f>
        <v>0</v>
      </c>
      <c r="Q110" s="78" t="n">
        <f aca="false">MAX(0,MIN(0,0-SUM(I107:Q107)))*0+MAX(0,MIN(I43,0+I43-SUM(I107:Q107)))*I46+MAX(0,MIN(I100,0+I43+I100-SUM(I107:Q107)))*I101+MAX(0,MIN(J43,0+I43+I100+J43-SUM(I107:Q107)))*J46+MAX(0,MIN(J100,0+I43+I100+J43+J100-SUM(I107:Q107)))*J101+MAX(0,MIN(K43,0+I43+I100+J43+J100+K43-SUM(I107:Q107)))*K46+MAX(0,MIN(K100,0+I43+I100+J43+J100+K43+K100-SUM(I107:Q107)))*K101+MAX(0,MIN(L43,0+I43+I100+J43+J100+K43+K100+L43-SUM(I107:Q107)))*L46+MAX(0,MIN(L100,0+I43+I100+J43+J100+K43+K100+L43+L100-SUM(I107:Q107)))*L101+MAX(0,MIN(M43,0+I43+I100+J43+J100+K43+K100+L43+L100+M43-SUM(I107:Q107)))*M46+MAX(0,MIN(M100,0+I43+I100+J43+J100+K43+K100+L43+L100+M43+M100-SUM(I107:Q107)))*M101+MAX(0,MIN(N43,0+I43+I100+J43+J100+K43+K100+L43+L100+M43+M100+N43-SUM(I107:Q107)))*N46+MAX(0,MIN(N100,0+I43+I100+J43+J100+K43+K100+L43+L100+M43+M100+N43+N100-SUM(I107:Q107)))*N101+MAX(0,MIN(O43,0+I43+I100+J43+J100+K43+K100+L43+L100+M43+M100+N43+N100+O43-SUM(I107:Q107)))*O46+MAX(0,MIN(O100,0+I43+I100+J43+J100+K43+K100+L43+L100+M43+M100+N43+N100+O43+O100-SUM(I107:Q107)))*O101+MAX(0,MIN(P43,0+I43+I100+J43+J100+K43+K100+L43+L100+M43+M100+N43+N100+O43+O100+P43-SUM(I107:Q107)))*P46+MAX(0,MIN(P100,0+I43+I100+J43+J100+K43+K100+L43+L100+M43+M100+N43+N100+O43+O100+P43+P100-SUM(I107:Q107)))*P101+MAX(0,MIN(Q43,0+I43+I100+J43+J100+K43+K100+L43+L100+M43+M100+N43+N100+O43+O100+P43+P100+Q43-SUM(I107:Q107)))*Q46+MAX(0,MIN(Q100,0+I43+I100+J43+J100+K43+K100+L43+L100+M43+M100+N43+N100+O43+O100+P43+P100+Q43+Q100-SUM(I107:Q107)))*Q101</f>
        <v>0</v>
      </c>
      <c r="R110" s="78" t="n">
        <f aca="false">MAX(0,MIN(0,0-SUM(I107:R107)))*0+MAX(0,MIN(I43,0+I43-SUM(I107:R107)))*I46+MAX(0,MIN(I100,0+I43+I100-SUM(I107:R107)))*I101+MAX(0,MIN(J43,0+I43+I100+J43-SUM(I107:R107)))*J46+MAX(0,MIN(J100,0+I43+I100+J43+J100-SUM(I107:R107)))*J101+MAX(0,MIN(K43,0+I43+I100+J43+J100+K43-SUM(I107:R107)))*K46+MAX(0,MIN(K100,0+I43+I100+J43+J100+K43+K100-SUM(I107:R107)))*K101+MAX(0,MIN(L43,0+I43+I100+J43+J100+K43+K100+L43-SUM(I107:R107)))*L46+MAX(0,MIN(L100,0+I43+I100+J43+J100+K43+K100+L43+L100-SUM(I107:R107)))*L101+MAX(0,MIN(M43,0+I43+I100+J43+J100+K43+K100+L43+L100+M43-SUM(I107:R107)))*M46+MAX(0,MIN(M100,0+I43+I100+J43+J100+K43+K100+L43+L100+M43+M100-SUM(I107:R107)))*M101+MAX(0,MIN(N43,0+I43+I100+J43+J100+K43+K100+L43+L100+M43+M100+N43-SUM(I107:R107)))*N46+MAX(0,MIN(N100,0+I43+I100+J43+J100+K43+K100+L43+L100+M43+M100+N43+N100-SUM(I107:R107)))*N101+MAX(0,MIN(O43,0+I43+I100+J43+J100+K43+K100+L43+L100+M43+M100+N43+N100+O43-SUM(I107:R107)))*O46+MAX(0,MIN(O100,0+I43+I100+J43+J100+K43+K100+L43+L100+M43+M100+N43+N100+O43+O100-SUM(I107:R107)))*O101+MAX(0,MIN(P43,0+I43+I100+J43+J100+K43+K100+L43+L100+M43+M100+N43+N100+O43+O100+P43-SUM(I107:R107)))*P46+MAX(0,MIN(P100,0+I43+I100+J43+J100+K43+K100+L43+L100+M43+M100+N43+N100+O43+O100+P43+P100-SUM(I107:R107)))*P101+MAX(0,MIN(Q43,0+I43+I100+J43+J100+K43+K100+L43+L100+M43+M100+N43+N100+O43+O100+P43+P100+Q43-SUM(I107:R107)))*Q46+MAX(0,MIN(Q100,0+I43+I100+J43+J100+K43+K100+L43+L100+M43+M100+N43+N100+O43+O100+P43+P100+Q43+Q100-SUM(I107:R107)))*Q101+MAX(0,MIN(R43,0+I43+I100+J43+J100+K43+K100+L43+L100+M43+M100+N43+N100+O43+O100+P43+P100+Q43+Q100+R43-SUM(I107:R107)))*R46+MAX(0,MIN(R100,0+I43+I100+J43+J100+K43+K100+L43+L100+M43+M100+N43+N100+O43+O100+P43+P100+Q43+Q100+R43+R100-SUM(I107:R107)))*R101</f>
        <v>0</v>
      </c>
      <c r="S110" s="78" t="n">
        <f aca="false">MAX(0,MIN(0,0-SUM(I107:S107)))*0+MAX(0,MIN(I43,0+I43-SUM(I107:S107)))*I46+MAX(0,MIN(I100,0+I43+I100-SUM(I107:S107)))*I101+MAX(0,MIN(J43,0+I43+I100+J43-SUM(I107:S107)))*J46+MAX(0,MIN(J100,0+I43+I100+J43+J100-SUM(I107:S107)))*J101+MAX(0,MIN(K43,0+I43+I100+J43+J100+K43-SUM(I107:S107)))*K46+MAX(0,MIN(K100,0+I43+I100+J43+J100+K43+K100-SUM(I107:S107)))*K101+MAX(0,MIN(L43,0+I43+I100+J43+J100+K43+K100+L43-SUM(I107:S107)))*L46+MAX(0,MIN(L100,0+I43+I100+J43+J100+K43+K100+L43+L100-SUM(I107:S107)))*L101+MAX(0,MIN(M43,0+I43+I100+J43+J100+K43+K100+L43+L100+M43-SUM(I107:S107)))*M46+MAX(0,MIN(M100,0+I43+I100+J43+J100+K43+K100+L43+L100+M43+M100-SUM(I107:S107)))*M101+MAX(0,MIN(N43,0+I43+I100+J43+J100+K43+K100+L43+L100+M43+M100+N43-SUM(I107:S107)))*N46+MAX(0,MIN(N100,0+I43+I100+J43+J100+K43+K100+L43+L100+M43+M100+N43+N100-SUM(I107:S107)))*N101+MAX(0,MIN(O43,0+I43+I100+J43+J100+K43+K100+L43+L100+M43+M100+N43+N100+O43-SUM(I107:S107)))*O46+MAX(0,MIN(O100,0+I43+I100+J43+J100+K43+K100+L43+L100+M43+M100+N43+N100+O43+O100-SUM(I107:S107)))*O101+MAX(0,MIN(P43,0+I43+I100+J43+J100+K43+K100+L43+L100+M43+M100+N43+N100+O43+O100+P43-SUM(I107:S107)))*P46+MAX(0,MIN(P100,0+I43+I100+J43+J100+K43+K100+L43+L100+M43+M100+N43+N100+O43+O100+P43+P100-SUM(I107:S107)))*P101+MAX(0,MIN(Q43,0+I43+I100+J43+J100+K43+K100+L43+L100+M43+M100+N43+N100+O43+O100+P43+P100+Q43-SUM(I107:S107)))*Q46+MAX(0,MIN(Q100,0+I43+I100+J43+J100+K43+K100+L43+L100+M43+M100+N43+N100+O43+O100+P43+P100+Q43+Q100-SUM(I107:S107)))*Q101+MAX(0,MIN(R43,0+I43+I100+J43+J100+K43+K100+L43+L100+M43+M100+N43+N100+O43+O100+P43+P100+Q43+Q100+R43-SUM(I107:S107)))*R46+MAX(0,MIN(R100,0+I43+I100+J43+J100+K43+K100+L43+L100+M43+M100+N43+N100+O43+O100+P43+P100+Q43+Q100+R43+R100-SUM(I107:S107)))*R101+MAX(0,MIN(S43,0+I43+I100+J43+J100+K43+K100+L43+L100+M43+M100+N43+N100+O43+O100+P43+P100+Q43+Q100+R43+R100+S43-SUM(I107:S107)))*S46+MAX(0,MIN(S100,0+I43+I100+J43+J100+K43+K100+L43+L100+M43+M100+N43+N100+O43+O100+P43+P100+Q43+Q100+R43+R100+S43+S100-SUM(I107:S107)))*S101</f>
        <v>0</v>
      </c>
    </row>
    <row r="112" customFormat="false" ht="15" hidden="false" customHeight="false" outlineLevel="0" collapsed="false">
      <c r="A112" s="73" t="s">
        <v>930</v>
      </c>
      <c r="B112" s="74" t="s">
        <v>931</v>
      </c>
      <c r="C112" s="66" t="s">
        <v>132</v>
      </c>
      <c r="D112" s="43" t="s">
        <v>332</v>
      </c>
      <c r="E112" s="75" t="s">
        <v>43</v>
      </c>
      <c r="F112" s="76"/>
      <c r="G112" s="36" t="n">
        <f aca="false">IF(ISNUMBER(01_INPUTS!G149),01_INPUTS!G149,0)*1000</f>
        <v>0</v>
      </c>
      <c r="H112" s="36" t="n">
        <f aca="false">IF(ISNUMBER(01_INPUTS!H149),01_INPUTS!H149,0)*1000</f>
        <v>0</v>
      </c>
      <c r="I112" s="36" t="n">
        <f aca="false">IF(ISNUMBER(01_INPUTS!I149),01_INPUTS!I149,0)*1000</f>
        <v>0</v>
      </c>
      <c r="J112" s="36" t="n">
        <f aca="false">IF(ISNUMBER(01_INPUTS!J149),01_INPUTS!J149,0)*1000</f>
        <v>0</v>
      </c>
      <c r="K112" s="36" t="n">
        <f aca="false">IF(ISNUMBER(01_INPUTS!K149),01_INPUTS!K149,0)*1000</f>
        <v>0</v>
      </c>
      <c r="L112" s="36" t="n">
        <f aca="false">IF(ISNUMBER(01_INPUTS!L149),01_INPUTS!L149,0)*1000</f>
        <v>0</v>
      </c>
      <c r="M112" s="36" t="n">
        <f aca="false">IF(ISNUMBER(01_INPUTS!M149),01_INPUTS!M149,0)*1000</f>
        <v>0</v>
      </c>
      <c r="N112" s="36" t="n">
        <f aca="false">IF(ISNUMBER(01_INPUTS!N149),01_INPUTS!N149,0)*1000</f>
        <v>0</v>
      </c>
      <c r="O112" s="36" t="n">
        <f aca="false">IF(ISNUMBER(01_INPUTS!O149),01_INPUTS!O149,0)*1000</f>
        <v>0</v>
      </c>
      <c r="P112" s="36" t="n">
        <f aca="false">IF(ISNUMBER(01_INPUTS!P149),01_INPUTS!P149,0)*1000</f>
        <v>0</v>
      </c>
      <c r="Q112" s="36" t="n">
        <f aca="false">IF(ISNUMBER(01_INPUTS!Q149),01_INPUTS!Q149,0)*1000</f>
        <v>0</v>
      </c>
      <c r="R112" s="36" t="n">
        <f aca="false">IF(ISNUMBER(01_INPUTS!R149),01_INPUTS!R149,0)*1000</f>
        <v>0</v>
      </c>
      <c r="S112" s="36" t="n">
        <f aca="false">IF(ISNUMBER(01_INPUTS!S149),01_INPUTS!S149,0)*1000</f>
        <v>0</v>
      </c>
    </row>
    <row r="113" customFormat="false" ht="15" hidden="false" customHeight="false" outlineLevel="0" collapsed="false">
      <c r="A113" s="73" t="s">
        <v>930</v>
      </c>
      <c r="B113" s="74" t="s">
        <v>127</v>
      </c>
      <c r="C113" s="66" t="s">
        <v>132</v>
      </c>
      <c r="D113" s="43" t="s">
        <v>89</v>
      </c>
      <c r="E113" s="75" t="s">
        <v>932</v>
      </c>
      <c r="F113" s="76"/>
      <c r="G113" s="84" t="n">
        <f aca="false">IF(ISNUMBER(01_INPUTS!G81),01_INPUTS!G81,0)</f>
        <v>0</v>
      </c>
      <c r="H113" s="84" t="n">
        <f aca="false">IF(ISNUMBER(01_INPUTS!H81),01_INPUTS!H81,0)</f>
        <v>0</v>
      </c>
      <c r="I113" s="84" t="n">
        <f aca="false">IF(ISNUMBER(01_INPUTS!I81),01_INPUTS!I81,0)</f>
        <v>0</v>
      </c>
      <c r="J113" s="84" t="n">
        <f aca="false">IF(ISNUMBER(01_INPUTS!J81),01_INPUTS!J81,0)</f>
        <v>0</v>
      </c>
      <c r="K113" s="84" t="n">
        <f aca="false">IF(ISNUMBER(01_INPUTS!K81),01_INPUTS!K81,0)</f>
        <v>0</v>
      </c>
      <c r="L113" s="84" t="n">
        <f aca="false">IF(ISNUMBER(01_INPUTS!L81),01_INPUTS!L81,0)</f>
        <v>0</v>
      </c>
      <c r="M113" s="84" t="n">
        <f aca="false">IF(ISNUMBER(01_INPUTS!M81),01_INPUTS!M81,0)</f>
        <v>0</v>
      </c>
      <c r="N113" s="84" t="n">
        <f aca="false">IF(ISNUMBER(01_INPUTS!N81),01_INPUTS!N81,0)</f>
        <v>0</v>
      </c>
      <c r="O113" s="84" t="n">
        <f aca="false">IF(ISNUMBER(01_INPUTS!O81),01_INPUTS!O81,0)</f>
        <v>0</v>
      </c>
      <c r="P113" s="84" t="n">
        <f aca="false">IF(ISNUMBER(01_INPUTS!P81),01_INPUTS!P81,0)</f>
        <v>0</v>
      </c>
      <c r="Q113" s="84" t="n">
        <f aca="false">IF(ISNUMBER(01_INPUTS!Q81),01_INPUTS!Q81,0)</f>
        <v>0</v>
      </c>
      <c r="R113" s="84" t="n">
        <f aca="false">IF(ISNUMBER(01_INPUTS!R81),01_INPUTS!R81,0)</f>
        <v>0</v>
      </c>
      <c r="S113" s="84" t="n">
        <f aca="false">IF(ISNUMBER(01_INPUTS!S81),01_INPUTS!S81,0)</f>
        <v>0</v>
      </c>
    </row>
    <row r="114" customFormat="false" ht="15" hidden="false" customHeight="false" outlineLevel="0" collapsed="false">
      <c r="A114" s="73" t="s">
        <v>930</v>
      </c>
      <c r="B114" s="74" t="s">
        <v>933</v>
      </c>
      <c r="C114" s="66" t="s">
        <v>132</v>
      </c>
      <c r="D114" s="43" t="s">
        <v>332</v>
      </c>
      <c r="E114" s="75" t="s">
        <v>43</v>
      </c>
      <c r="F114" s="76"/>
      <c r="G114" s="85" t="n">
        <v>0</v>
      </c>
      <c r="H114" s="85" t="n">
        <v>0</v>
      </c>
      <c r="I114" s="36" t="n">
        <f aca="false">H121</f>
        <v>0</v>
      </c>
      <c r="J114" s="36" t="n">
        <f aca="false">I121</f>
        <v>0</v>
      </c>
      <c r="K114" s="36" t="n">
        <f aca="false">J121</f>
        <v>0</v>
      </c>
      <c r="L114" s="36" t="n">
        <f aca="false">K121</f>
        <v>0</v>
      </c>
      <c r="M114" s="36" t="n">
        <f aca="false">L121</f>
        <v>0</v>
      </c>
      <c r="N114" s="36" t="n">
        <f aca="false">M121</f>
        <v>0</v>
      </c>
      <c r="O114" s="36" t="n">
        <f aca="false">N121</f>
        <v>0</v>
      </c>
      <c r="P114" s="36" t="n">
        <f aca="false">O121</f>
        <v>0</v>
      </c>
      <c r="Q114" s="36" t="n">
        <f aca="false">P121</f>
        <v>0</v>
      </c>
      <c r="R114" s="36" t="n">
        <f aca="false">Q121</f>
        <v>0</v>
      </c>
      <c r="S114" s="36" t="n">
        <f aca="false">R121</f>
        <v>0</v>
      </c>
    </row>
    <row r="115" customFormat="false" ht="15" hidden="false" customHeight="false" outlineLevel="0" collapsed="false">
      <c r="A115" s="73" t="s">
        <v>930</v>
      </c>
      <c r="B115" s="74" t="s">
        <v>934</v>
      </c>
      <c r="C115" s="66" t="s">
        <v>132</v>
      </c>
      <c r="D115" s="43" t="s">
        <v>81</v>
      </c>
      <c r="E115" s="75" t="s">
        <v>43</v>
      </c>
      <c r="F115" s="76"/>
      <c r="G115" s="85" t="n">
        <v>0</v>
      </c>
      <c r="H115" s="85" t="n">
        <v>0</v>
      </c>
      <c r="I115" s="36" t="n">
        <f aca="false">H122</f>
        <v>0</v>
      </c>
      <c r="J115" s="36" t="n">
        <f aca="false">I122</f>
        <v>0</v>
      </c>
      <c r="K115" s="36" t="n">
        <f aca="false">J122</f>
        <v>0</v>
      </c>
      <c r="L115" s="36" t="n">
        <f aca="false">K122</f>
        <v>0</v>
      </c>
      <c r="M115" s="36" t="n">
        <f aca="false">L122</f>
        <v>0</v>
      </c>
      <c r="N115" s="36" t="n">
        <f aca="false">M122</f>
        <v>0</v>
      </c>
      <c r="O115" s="36" t="n">
        <f aca="false">N122</f>
        <v>0</v>
      </c>
      <c r="P115" s="36" t="n">
        <f aca="false">O122</f>
        <v>0</v>
      </c>
      <c r="Q115" s="36" t="n">
        <f aca="false">P122</f>
        <v>0</v>
      </c>
      <c r="R115" s="36" t="n">
        <f aca="false">Q122</f>
        <v>0</v>
      </c>
      <c r="S115" s="36" t="n">
        <f aca="false">R122</f>
        <v>0</v>
      </c>
    </row>
    <row r="116" customFormat="false" ht="15" hidden="false" customHeight="false" outlineLevel="0" collapsed="false">
      <c r="A116" s="73" t="s">
        <v>930</v>
      </c>
      <c r="B116" s="74" t="s">
        <v>935</v>
      </c>
      <c r="C116" s="66" t="s">
        <v>132</v>
      </c>
      <c r="D116" s="43" t="s">
        <v>332</v>
      </c>
      <c r="E116" s="75" t="s">
        <v>917</v>
      </c>
      <c r="F116" s="76"/>
      <c r="G116" s="77" t="n">
        <v>0</v>
      </c>
      <c r="H116" s="77" t="n">
        <v>0</v>
      </c>
      <c r="I116" s="78" t="n">
        <f aca="false">I114+I48+I112</f>
        <v>0</v>
      </c>
      <c r="J116" s="78" t="n">
        <f aca="false">J114+J48+J112</f>
        <v>0</v>
      </c>
      <c r="K116" s="78" t="n">
        <f aca="false">K114+K48+K112</f>
        <v>0</v>
      </c>
      <c r="L116" s="78" t="n">
        <f aca="false">L114+L48+L112</f>
        <v>0</v>
      </c>
      <c r="M116" s="78" t="n">
        <f aca="false">M114+M48+M112</f>
        <v>0</v>
      </c>
      <c r="N116" s="78" t="n">
        <f aca="false">N114+N48+N112</f>
        <v>0</v>
      </c>
      <c r="O116" s="78" t="n">
        <f aca="false">O114+O48+O112</f>
        <v>0</v>
      </c>
      <c r="P116" s="78" t="n">
        <f aca="false">P114+P48+P112</f>
        <v>0</v>
      </c>
      <c r="Q116" s="78" t="n">
        <f aca="false">Q114+Q48+Q112</f>
        <v>0</v>
      </c>
      <c r="R116" s="78" t="n">
        <f aca="false">R114+R48+R112</f>
        <v>0</v>
      </c>
      <c r="S116" s="78" t="n">
        <f aca="false">S114+S48+S112</f>
        <v>0</v>
      </c>
    </row>
    <row r="117" customFormat="false" ht="15" hidden="false" customHeight="false" outlineLevel="0" collapsed="false">
      <c r="A117" s="73" t="s">
        <v>930</v>
      </c>
      <c r="B117" s="74" t="s">
        <v>936</v>
      </c>
      <c r="C117" s="66" t="s">
        <v>132</v>
      </c>
      <c r="D117" s="43" t="s">
        <v>81</v>
      </c>
      <c r="E117" s="75" t="s">
        <v>917</v>
      </c>
      <c r="F117" s="76"/>
      <c r="G117" s="77" t="n">
        <v>0</v>
      </c>
      <c r="H117" s="77" t="n">
        <v>0</v>
      </c>
      <c r="I117" s="78" t="n">
        <f aca="false">I115+I48*I51+I112*I113</f>
        <v>0</v>
      </c>
      <c r="J117" s="78" t="n">
        <f aca="false">J115+J48*J51+J112*J113</f>
        <v>0</v>
      </c>
      <c r="K117" s="78" t="n">
        <f aca="false">K115+K48*K51+K112*K113</f>
        <v>0</v>
      </c>
      <c r="L117" s="78" t="n">
        <f aca="false">L115+L48*L51+L112*L113</f>
        <v>0</v>
      </c>
      <c r="M117" s="78" t="n">
        <f aca="false">M115+M48*M51+M112*M113</f>
        <v>0</v>
      </c>
      <c r="N117" s="78" t="n">
        <f aca="false">N115+N48*N51+N112*N113</f>
        <v>0</v>
      </c>
      <c r="O117" s="78" t="n">
        <f aca="false">O115+O48*O51+O112*O113</f>
        <v>0</v>
      </c>
      <c r="P117" s="78" t="n">
        <f aca="false">P115+P48*P51+P112*P113</f>
        <v>0</v>
      </c>
      <c r="Q117" s="78" t="n">
        <f aca="false">Q115+Q48*Q51+Q112*Q113</f>
        <v>0</v>
      </c>
      <c r="R117" s="78" t="n">
        <f aca="false">R115+R48*R51+R112*R113</f>
        <v>0</v>
      </c>
      <c r="S117" s="78" t="n">
        <f aca="false">S115+S48*S51+S112*S113</f>
        <v>0</v>
      </c>
    </row>
    <row r="118" customFormat="false" ht="48.5" hidden="false" customHeight="false" outlineLevel="0" collapsed="false">
      <c r="A118" s="73" t="s">
        <v>930</v>
      </c>
      <c r="B118" s="74" t="s">
        <v>937</v>
      </c>
      <c r="C118" s="66" t="s">
        <v>132</v>
      </c>
      <c r="D118" s="43" t="s">
        <v>89</v>
      </c>
      <c r="E118" s="75" t="s">
        <v>917</v>
      </c>
      <c r="F118" s="76" t="s">
        <v>938</v>
      </c>
      <c r="G118" s="81" t="n">
        <v>0</v>
      </c>
      <c r="H118" s="81" t="n">
        <v>0</v>
      </c>
      <c r="I118" s="82" t="n">
        <f aca="false">IFERROR(I120/I119,0)</f>
        <v>0</v>
      </c>
      <c r="J118" s="82" t="n">
        <f aca="false">IFERROR(J120/J119,0)</f>
        <v>0</v>
      </c>
      <c r="K118" s="82" t="n">
        <f aca="false">IFERROR(K120/K119,0)</f>
        <v>0</v>
      </c>
      <c r="L118" s="82" t="n">
        <f aca="false">IFERROR(L120/L119,0)</f>
        <v>0</v>
      </c>
      <c r="M118" s="82" t="n">
        <f aca="false">IFERROR(M120/M119,0)</f>
        <v>0</v>
      </c>
      <c r="N118" s="82" t="n">
        <f aca="false">IFERROR(N120/N119,0)</f>
        <v>0</v>
      </c>
      <c r="O118" s="82" t="n">
        <f aca="false">IFERROR(O120/O119,0)</f>
        <v>0</v>
      </c>
      <c r="P118" s="82" t="n">
        <f aca="false">IFERROR(P120/P119,0)</f>
        <v>0</v>
      </c>
      <c r="Q118" s="82" t="n">
        <f aca="false">IFERROR(Q120/Q119,0)</f>
        <v>0</v>
      </c>
      <c r="R118" s="82" t="n">
        <f aca="false">IFERROR(R120/R119,0)</f>
        <v>0</v>
      </c>
      <c r="S118" s="82" t="n">
        <f aca="false">IFERROR(S120/S119,0)</f>
        <v>0</v>
      </c>
    </row>
    <row r="119" customFormat="false" ht="28.35" hidden="false" customHeight="false" outlineLevel="0" collapsed="false">
      <c r="A119" s="73" t="s">
        <v>930</v>
      </c>
      <c r="B119" s="74" t="s">
        <v>939</v>
      </c>
      <c r="C119" s="66" t="s">
        <v>132</v>
      </c>
      <c r="D119" s="43" t="s">
        <v>332</v>
      </c>
      <c r="E119" s="75" t="s">
        <v>940</v>
      </c>
      <c r="F119" s="76" t="s">
        <v>941</v>
      </c>
      <c r="G119" s="85" t="n">
        <v>0</v>
      </c>
      <c r="H119" s="85" t="n">
        <v>0</v>
      </c>
      <c r="I119" s="86" t="n">
        <f aca="false">_ENGINE_MERCADO!I175</f>
        <v>0</v>
      </c>
      <c r="J119" s="86" t="n">
        <f aca="false">_ENGINE_MERCADO!J175</f>
        <v>0</v>
      </c>
      <c r="K119" s="86" t="n">
        <f aca="false">_ENGINE_MERCADO!K175</f>
        <v>0</v>
      </c>
      <c r="L119" s="86" t="n">
        <f aca="false">_ENGINE_MERCADO!L175</f>
        <v>0</v>
      </c>
      <c r="M119" s="86" t="n">
        <f aca="false">_ENGINE_MERCADO!M175</f>
        <v>0</v>
      </c>
      <c r="N119" s="86" t="n">
        <f aca="false">_ENGINE_MERCADO!N175</f>
        <v>0</v>
      </c>
      <c r="O119" s="86" t="n">
        <f aca="false">_ENGINE_MERCADO!O175</f>
        <v>0</v>
      </c>
      <c r="P119" s="86" t="n">
        <f aca="false">_ENGINE_MERCADO!P175</f>
        <v>0</v>
      </c>
      <c r="Q119" s="86" t="n">
        <f aca="false">_ENGINE_MERCADO!Q175</f>
        <v>0</v>
      </c>
      <c r="R119" s="86" t="n">
        <f aca="false">_ENGINE_MERCADO!R175</f>
        <v>0</v>
      </c>
      <c r="S119" s="86" t="n">
        <f aca="false">_ENGINE_MERCADO!S175</f>
        <v>0</v>
      </c>
    </row>
    <row r="120" customFormat="false" ht="15" hidden="false" customHeight="false" outlineLevel="0" collapsed="false">
      <c r="A120" s="73" t="s">
        <v>930</v>
      </c>
      <c r="B120" s="74" t="s">
        <v>942</v>
      </c>
      <c r="C120" s="66" t="s">
        <v>132</v>
      </c>
      <c r="D120" s="43" t="s">
        <v>81</v>
      </c>
      <c r="E120" s="75" t="s">
        <v>917</v>
      </c>
      <c r="F120" s="76"/>
      <c r="G120" s="77" t="n">
        <v>0</v>
      </c>
      <c r="H120" s="77" t="n">
        <v>0</v>
      </c>
      <c r="I120" s="78" t="n">
        <f aca="false">I117-I122</f>
        <v>0</v>
      </c>
      <c r="J120" s="78" t="n">
        <f aca="false">J117-J122</f>
        <v>0</v>
      </c>
      <c r="K120" s="78" t="n">
        <f aca="false">K117-K122</f>
        <v>0</v>
      </c>
      <c r="L120" s="78" t="n">
        <f aca="false">L117-L122</f>
        <v>0</v>
      </c>
      <c r="M120" s="78" t="n">
        <f aca="false">M117-M122</f>
        <v>0</v>
      </c>
      <c r="N120" s="78" t="n">
        <f aca="false">N117-N122</f>
        <v>0</v>
      </c>
      <c r="O120" s="78" t="n">
        <f aca="false">O117-O122</f>
        <v>0</v>
      </c>
      <c r="P120" s="78" t="n">
        <f aca="false">P117-P122</f>
        <v>0</v>
      </c>
      <c r="Q120" s="78" t="n">
        <f aca="false">Q117-Q122</f>
        <v>0</v>
      </c>
      <c r="R120" s="78" t="n">
        <f aca="false">R117-R122</f>
        <v>0</v>
      </c>
      <c r="S120" s="78" t="n">
        <f aca="false">S117-S122</f>
        <v>0</v>
      </c>
    </row>
    <row r="121" customFormat="false" ht="15" hidden="false" customHeight="false" outlineLevel="0" collapsed="false">
      <c r="A121" s="73" t="s">
        <v>930</v>
      </c>
      <c r="B121" s="74" t="s">
        <v>943</v>
      </c>
      <c r="C121" s="66" t="s">
        <v>132</v>
      </c>
      <c r="D121" s="43" t="s">
        <v>332</v>
      </c>
      <c r="E121" s="75" t="s">
        <v>917</v>
      </c>
      <c r="F121" s="76"/>
      <c r="G121" s="85" t="n">
        <v>0</v>
      </c>
      <c r="H121" s="85" t="n">
        <v>0</v>
      </c>
      <c r="I121" s="36" t="n">
        <f aca="false">I116-I119</f>
        <v>0</v>
      </c>
      <c r="J121" s="36" t="n">
        <f aca="false">J116-J119</f>
        <v>0</v>
      </c>
      <c r="K121" s="36" t="n">
        <f aca="false">K116-K119</f>
        <v>0</v>
      </c>
      <c r="L121" s="36" t="n">
        <f aca="false">L116-L119</f>
        <v>0</v>
      </c>
      <c r="M121" s="36" t="n">
        <f aca="false">M116-M119</f>
        <v>0</v>
      </c>
      <c r="N121" s="36" t="n">
        <f aca="false">N116-N119</f>
        <v>0</v>
      </c>
      <c r="O121" s="36" t="n">
        <f aca="false">O116-O119</f>
        <v>0</v>
      </c>
      <c r="P121" s="36" t="n">
        <f aca="false">P116-P119</f>
        <v>0</v>
      </c>
      <c r="Q121" s="36" t="n">
        <f aca="false">Q116-Q119</f>
        <v>0</v>
      </c>
      <c r="R121" s="36" t="n">
        <f aca="false">R116-R119</f>
        <v>0</v>
      </c>
      <c r="S121" s="36" t="n">
        <f aca="false">S116-S119</f>
        <v>0</v>
      </c>
    </row>
    <row r="122" customFormat="false" ht="15" hidden="false" customHeight="false" outlineLevel="0" collapsed="false">
      <c r="A122" s="73" t="s">
        <v>930</v>
      </c>
      <c r="B122" s="74" t="s">
        <v>944</v>
      </c>
      <c r="C122" s="66" t="s">
        <v>132</v>
      </c>
      <c r="D122" s="43" t="s">
        <v>81</v>
      </c>
      <c r="E122" s="75" t="s">
        <v>917</v>
      </c>
      <c r="F122" s="76"/>
      <c r="G122" s="85" t="n">
        <v>0</v>
      </c>
      <c r="H122" s="85" t="n">
        <v>0</v>
      </c>
      <c r="I122" s="78" t="n">
        <f aca="false">MAX(0,MIN(0,0-SUM(I119:I119)))*0+MAX(0,MIN(I48,0+I48-SUM(I119:I119)))*I51+MAX(0,MIN(I112,0+I48+I112-SUM(I119:I119)))*I113</f>
        <v>0</v>
      </c>
      <c r="J122" s="78" t="n">
        <f aca="false">MAX(0,MIN(0,0-SUM(I119:J119)))*0+MAX(0,MIN(I48,0+I48-SUM(I119:J119)))*I51+MAX(0,MIN(I112,0+I48+I112-SUM(I119:J119)))*I113+MAX(0,MIN(J48,0+I48+I112+J48-SUM(I119:J119)))*J51+MAX(0,MIN(J112,0+I48+I112+J48+J112-SUM(I119:J119)))*J113</f>
        <v>0</v>
      </c>
      <c r="K122" s="78" t="n">
        <f aca="false">MAX(0,MIN(0,0-SUM(I119:K119)))*0+MAX(0,MIN(I48,0+I48-SUM(I119:K119)))*I51+MAX(0,MIN(I112,0+I48+I112-SUM(I119:K119)))*I113+MAX(0,MIN(J48,0+I48+I112+J48-SUM(I119:K119)))*J51+MAX(0,MIN(J112,0+I48+I112+J48+J112-SUM(I119:K119)))*J113+MAX(0,MIN(K48,0+I48+I112+J48+J112+K48-SUM(I119:K119)))*K51+MAX(0,MIN(K112,0+I48+I112+J48+J112+K48+K112-SUM(I119:K119)))*K113</f>
        <v>0</v>
      </c>
      <c r="L122" s="78" t="n">
        <f aca="false">MAX(0,MIN(0,0-SUM(I119:L119)))*0+MAX(0,MIN(I48,0+I48-SUM(I119:L119)))*I51+MAX(0,MIN(I112,0+I48+I112-SUM(I119:L119)))*I113+MAX(0,MIN(J48,0+I48+I112+J48-SUM(I119:L119)))*J51+MAX(0,MIN(J112,0+I48+I112+J48+J112-SUM(I119:L119)))*J113+MAX(0,MIN(K48,0+I48+I112+J48+J112+K48-SUM(I119:L119)))*K51+MAX(0,MIN(K112,0+I48+I112+J48+J112+K48+K112-SUM(I119:L119)))*K113+MAX(0,MIN(L48,0+I48+I112+J48+J112+K48+K112+L48-SUM(I119:L119)))*L51+MAX(0,MIN(L112,0+I48+I112+J48+J112+K48+K112+L48+L112-SUM(I119:L119)))*L113</f>
        <v>0</v>
      </c>
      <c r="M122" s="78" t="n">
        <f aca="false">MAX(0,MIN(0,0-SUM(I119:M119)))*0+MAX(0,MIN(I48,0+I48-SUM(I119:M119)))*I51+MAX(0,MIN(I112,0+I48+I112-SUM(I119:M119)))*I113+MAX(0,MIN(J48,0+I48+I112+J48-SUM(I119:M119)))*J51+MAX(0,MIN(J112,0+I48+I112+J48+J112-SUM(I119:M119)))*J113+MAX(0,MIN(K48,0+I48+I112+J48+J112+K48-SUM(I119:M119)))*K51+MAX(0,MIN(K112,0+I48+I112+J48+J112+K48+K112-SUM(I119:M119)))*K113+MAX(0,MIN(L48,0+I48+I112+J48+J112+K48+K112+L48-SUM(I119:M119)))*L51+MAX(0,MIN(L112,0+I48+I112+J48+J112+K48+K112+L48+L112-SUM(I119:M119)))*L113+MAX(0,MIN(M48,0+I48+I112+J48+J112+K48+K112+L48+L112+M48-SUM(I119:M119)))*M51+MAX(0,MIN(M112,0+I48+I112+J48+J112+K48+K112+L48+L112+M48+M112-SUM(I119:M119)))*M113</f>
        <v>0</v>
      </c>
      <c r="N122" s="78" t="n">
        <f aca="false">MAX(0,MIN(0,0-SUM(I119:N119)))*0+MAX(0,MIN(I48,0+I48-SUM(I119:N119)))*I51+MAX(0,MIN(I112,0+I48+I112-SUM(I119:N119)))*I113+MAX(0,MIN(J48,0+I48+I112+J48-SUM(I119:N119)))*J51+MAX(0,MIN(J112,0+I48+I112+J48+J112-SUM(I119:N119)))*J113+MAX(0,MIN(K48,0+I48+I112+J48+J112+K48-SUM(I119:N119)))*K51+MAX(0,MIN(K112,0+I48+I112+J48+J112+K48+K112-SUM(I119:N119)))*K113+MAX(0,MIN(L48,0+I48+I112+J48+J112+K48+K112+L48-SUM(I119:N119)))*L51+MAX(0,MIN(L112,0+I48+I112+J48+J112+K48+K112+L48+L112-SUM(I119:N119)))*L113+MAX(0,MIN(M48,0+I48+I112+J48+J112+K48+K112+L48+L112+M48-SUM(I119:N119)))*M51+MAX(0,MIN(M112,0+I48+I112+J48+J112+K48+K112+L48+L112+M48+M112-SUM(I119:N119)))*M113+MAX(0,MIN(N48,0+I48+I112+J48+J112+K48+K112+L48+L112+M48+M112+N48-SUM(I119:N119)))*N51+MAX(0,MIN(N112,0+I48+I112+J48+J112+K48+K112+L48+L112+M48+M112+N48+N112-SUM(I119:N119)))*N113</f>
        <v>0</v>
      </c>
      <c r="O122" s="78" t="n">
        <f aca="false">MAX(0,MIN(0,0-SUM(I119:O119)))*0+MAX(0,MIN(I48,0+I48-SUM(I119:O119)))*I51+MAX(0,MIN(I112,0+I48+I112-SUM(I119:O119)))*I113+MAX(0,MIN(J48,0+I48+I112+J48-SUM(I119:O119)))*J51+MAX(0,MIN(J112,0+I48+I112+J48+J112-SUM(I119:O119)))*J113+MAX(0,MIN(K48,0+I48+I112+J48+J112+K48-SUM(I119:O119)))*K51+MAX(0,MIN(K112,0+I48+I112+J48+J112+K48+K112-SUM(I119:O119)))*K113+MAX(0,MIN(L48,0+I48+I112+J48+J112+K48+K112+L48-SUM(I119:O119)))*L51+MAX(0,MIN(L112,0+I48+I112+J48+J112+K48+K112+L48+L112-SUM(I119:O119)))*L113+MAX(0,MIN(M48,0+I48+I112+J48+J112+K48+K112+L48+L112+M48-SUM(I119:O119)))*M51+MAX(0,MIN(M112,0+I48+I112+J48+J112+K48+K112+L48+L112+M48+M112-SUM(I119:O119)))*M113+MAX(0,MIN(N48,0+I48+I112+J48+J112+K48+K112+L48+L112+M48+M112+N48-SUM(I119:O119)))*N51+MAX(0,MIN(N112,0+I48+I112+J48+J112+K48+K112+L48+L112+M48+M112+N48+N112-SUM(I119:O119)))*N113+MAX(0,MIN(O48,0+I48+I112+J48+J112+K48+K112+L48+L112+M48+M112+N48+N112+O48-SUM(I119:O119)))*O51+MAX(0,MIN(O112,0+I48+I112+J48+J112+K48+K112+L48+L112+M48+M112+N48+N112+O48+O112-SUM(I119:O119)))*O113</f>
        <v>0</v>
      </c>
      <c r="P122" s="78" t="n">
        <f aca="false">MAX(0,MIN(0,0-SUM(I119:P119)))*0+MAX(0,MIN(I48,0+I48-SUM(I119:P119)))*I51+MAX(0,MIN(I112,0+I48+I112-SUM(I119:P119)))*I113+MAX(0,MIN(J48,0+I48+I112+J48-SUM(I119:P119)))*J51+MAX(0,MIN(J112,0+I48+I112+J48+J112-SUM(I119:P119)))*J113+MAX(0,MIN(K48,0+I48+I112+J48+J112+K48-SUM(I119:P119)))*K51+MAX(0,MIN(K112,0+I48+I112+J48+J112+K48+K112-SUM(I119:P119)))*K113+MAX(0,MIN(L48,0+I48+I112+J48+J112+K48+K112+L48-SUM(I119:P119)))*L51+MAX(0,MIN(L112,0+I48+I112+J48+J112+K48+K112+L48+L112-SUM(I119:P119)))*L113+MAX(0,MIN(M48,0+I48+I112+J48+J112+K48+K112+L48+L112+M48-SUM(I119:P119)))*M51+MAX(0,MIN(M112,0+I48+I112+J48+J112+K48+K112+L48+L112+M48+M112-SUM(I119:P119)))*M113+MAX(0,MIN(N48,0+I48+I112+J48+J112+K48+K112+L48+L112+M48+M112+N48-SUM(I119:P119)))*N51+MAX(0,MIN(N112,0+I48+I112+J48+J112+K48+K112+L48+L112+M48+M112+N48+N112-SUM(I119:P119)))*N113+MAX(0,MIN(O48,0+I48+I112+J48+J112+K48+K112+L48+L112+M48+M112+N48+N112+O48-SUM(I119:P119)))*O51+MAX(0,MIN(O112,0+I48+I112+J48+J112+K48+K112+L48+L112+M48+M112+N48+N112+O48+O112-SUM(I119:P119)))*O113+MAX(0,MIN(P48,0+I48+I112+J48+J112+K48+K112+L48+L112+M48+M112+N48+N112+O48+O112+P48-SUM(I119:P119)))*P51+MAX(0,MIN(P112,0+I48+I112+J48+J112+K48+K112+L48+L112+M48+M112+N48+N112+O48+O112+P48+P112-SUM(I119:P119)))*P113</f>
        <v>0</v>
      </c>
      <c r="Q122" s="78" t="n">
        <f aca="false">MAX(0,MIN(0,0-SUM(I119:Q119)))*0+MAX(0,MIN(I48,0+I48-SUM(I119:Q119)))*I51+MAX(0,MIN(I112,0+I48+I112-SUM(I119:Q119)))*I113+MAX(0,MIN(J48,0+I48+I112+J48-SUM(I119:Q119)))*J51+MAX(0,MIN(J112,0+I48+I112+J48+J112-SUM(I119:Q119)))*J113+MAX(0,MIN(K48,0+I48+I112+J48+J112+K48-SUM(I119:Q119)))*K51+MAX(0,MIN(K112,0+I48+I112+J48+J112+K48+K112-SUM(I119:Q119)))*K113+MAX(0,MIN(L48,0+I48+I112+J48+J112+K48+K112+L48-SUM(I119:Q119)))*L51+MAX(0,MIN(L112,0+I48+I112+J48+J112+K48+K112+L48+L112-SUM(I119:Q119)))*L113+MAX(0,MIN(M48,0+I48+I112+J48+J112+K48+K112+L48+L112+M48-SUM(I119:Q119)))*M51+MAX(0,MIN(M112,0+I48+I112+J48+J112+K48+K112+L48+L112+M48+M112-SUM(I119:Q119)))*M113+MAX(0,MIN(N48,0+I48+I112+J48+J112+K48+K112+L48+L112+M48+M112+N48-SUM(I119:Q119)))*N51+MAX(0,MIN(N112,0+I48+I112+J48+J112+K48+K112+L48+L112+M48+M112+N48+N112-SUM(I119:Q119)))*N113+MAX(0,MIN(O48,0+I48+I112+J48+J112+K48+K112+L48+L112+M48+M112+N48+N112+O48-SUM(I119:Q119)))*O51+MAX(0,MIN(O112,0+I48+I112+J48+J112+K48+K112+L48+L112+M48+M112+N48+N112+O48+O112-SUM(I119:Q119)))*O113+MAX(0,MIN(P48,0+I48+I112+J48+J112+K48+K112+L48+L112+M48+M112+N48+N112+O48+O112+P48-SUM(I119:Q119)))*P51+MAX(0,MIN(P112,0+I48+I112+J48+J112+K48+K112+L48+L112+M48+M112+N48+N112+O48+O112+P48+P112-SUM(I119:Q119)))*P113+MAX(0,MIN(Q48,0+I48+I112+J48+J112+K48+K112+L48+L112+M48+M112+N48+N112+O48+O112+P48+P112+Q48-SUM(I119:Q119)))*Q51+MAX(0,MIN(Q112,0+I48+I112+J48+J112+K48+K112+L48+L112+M48+M112+N48+N112+O48+O112+P48+P112+Q48+Q112-SUM(I119:Q119)))*Q113</f>
        <v>0</v>
      </c>
      <c r="R122" s="78" t="n">
        <f aca="false">MAX(0,MIN(0,0-SUM(I119:R119)))*0+MAX(0,MIN(I48,0+I48-SUM(I119:R119)))*I51+MAX(0,MIN(I112,0+I48+I112-SUM(I119:R119)))*I113+MAX(0,MIN(J48,0+I48+I112+J48-SUM(I119:R119)))*J51+MAX(0,MIN(J112,0+I48+I112+J48+J112-SUM(I119:R119)))*J113+MAX(0,MIN(K48,0+I48+I112+J48+J112+K48-SUM(I119:R119)))*K51+MAX(0,MIN(K112,0+I48+I112+J48+J112+K48+K112-SUM(I119:R119)))*K113+MAX(0,MIN(L48,0+I48+I112+J48+J112+K48+K112+L48-SUM(I119:R119)))*L51+MAX(0,MIN(L112,0+I48+I112+J48+J112+K48+K112+L48+L112-SUM(I119:R119)))*L113+MAX(0,MIN(M48,0+I48+I112+J48+J112+K48+K112+L48+L112+M48-SUM(I119:R119)))*M51+MAX(0,MIN(M112,0+I48+I112+J48+J112+K48+K112+L48+L112+M48+M112-SUM(I119:R119)))*M113+MAX(0,MIN(N48,0+I48+I112+J48+J112+K48+K112+L48+L112+M48+M112+N48-SUM(I119:R119)))*N51+MAX(0,MIN(N112,0+I48+I112+J48+J112+K48+K112+L48+L112+M48+M112+N48+N112-SUM(I119:R119)))*N113+MAX(0,MIN(O48,0+I48+I112+J48+J112+K48+K112+L48+L112+M48+M112+N48+N112+O48-SUM(I119:R119)))*O51+MAX(0,MIN(O112,0+I48+I112+J48+J112+K48+K112+L48+L112+M48+M112+N48+N112+O48+O112-SUM(I119:R119)))*O113+MAX(0,MIN(P48,0+I48+I112+J48+J112+K48+K112+L48+L112+M48+M112+N48+N112+O48+O112+P48-SUM(I119:R119)))*P51+MAX(0,MIN(P112,0+I48+I112+J48+J112+K48+K112+L48+L112+M48+M112+N48+N112+O48+O112+P48+P112-SUM(I119:R119)))*P113+MAX(0,MIN(Q48,0+I48+I112+J48+J112+K48+K112+L48+L112+M48+M112+N48+N112+O48+O112+P48+P112+Q48-SUM(I119:R119)))*Q51+MAX(0,MIN(Q112,0+I48+I112+J48+J112+K48+K112+L48+L112+M48+M112+N48+N112+O48+O112+P48+P112+Q48+Q112-SUM(I119:R119)))*Q113+MAX(0,MIN(R48,0+I48+I112+J48+J112+K48+K112+L48+L112+M48+M112+N48+N112+O48+O112+P48+P112+Q48+Q112+R48-SUM(I119:R119)))*R51+MAX(0,MIN(R112,0+I48+I112+J48+J112+K48+K112+L48+L112+M48+M112+N48+N112+O48+O112+P48+P112+Q48+Q112+R48+R112-SUM(I119:R119)))*R113</f>
        <v>0</v>
      </c>
      <c r="S122" s="78" t="n">
        <f aca="false">MAX(0,MIN(0,0-SUM(I119:S119)))*0+MAX(0,MIN(I48,0+I48-SUM(I119:S119)))*I51+MAX(0,MIN(I112,0+I48+I112-SUM(I119:S119)))*I113+MAX(0,MIN(J48,0+I48+I112+J48-SUM(I119:S119)))*J51+MAX(0,MIN(J112,0+I48+I112+J48+J112-SUM(I119:S119)))*J113+MAX(0,MIN(K48,0+I48+I112+J48+J112+K48-SUM(I119:S119)))*K51+MAX(0,MIN(K112,0+I48+I112+J48+J112+K48+K112-SUM(I119:S119)))*K113+MAX(0,MIN(L48,0+I48+I112+J48+J112+K48+K112+L48-SUM(I119:S119)))*L51+MAX(0,MIN(L112,0+I48+I112+J48+J112+K48+K112+L48+L112-SUM(I119:S119)))*L113+MAX(0,MIN(M48,0+I48+I112+J48+J112+K48+K112+L48+L112+M48-SUM(I119:S119)))*M51+MAX(0,MIN(M112,0+I48+I112+J48+J112+K48+K112+L48+L112+M48+M112-SUM(I119:S119)))*M113+MAX(0,MIN(N48,0+I48+I112+J48+J112+K48+K112+L48+L112+M48+M112+N48-SUM(I119:S119)))*N51+MAX(0,MIN(N112,0+I48+I112+J48+J112+K48+K112+L48+L112+M48+M112+N48+N112-SUM(I119:S119)))*N113+MAX(0,MIN(O48,0+I48+I112+J48+J112+K48+K112+L48+L112+M48+M112+N48+N112+O48-SUM(I119:S119)))*O51+MAX(0,MIN(O112,0+I48+I112+J48+J112+K48+K112+L48+L112+M48+M112+N48+N112+O48+O112-SUM(I119:S119)))*O113+MAX(0,MIN(P48,0+I48+I112+J48+J112+K48+K112+L48+L112+M48+M112+N48+N112+O48+O112+P48-SUM(I119:S119)))*P51+MAX(0,MIN(P112,0+I48+I112+J48+J112+K48+K112+L48+L112+M48+M112+N48+N112+O48+O112+P48+P112-SUM(I119:S119)))*P113+MAX(0,MIN(Q48,0+I48+I112+J48+J112+K48+K112+L48+L112+M48+M112+N48+N112+O48+O112+P48+P112+Q48-SUM(I119:S119)))*Q51+MAX(0,MIN(Q112,0+I48+I112+J48+J112+K48+K112+L48+L112+M48+M112+N48+N112+O48+O112+P48+P112+Q48+Q112-SUM(I119:S119)))*Q113+MAX(0,MIN(R48,0+I48+I112+J48+J112+K48+K112+L48+L112+M48+M112+N48+N112+O48+O112+P48+P112+Q48+Q112+R48-SUM(I119:S119)))*R51+MAX(0,MIN(R112,0+I48+I112+J48+J112+K48+K112+L48+L112+M48+M112+N48+N112+O48+O112+P48+P112+Q48+Q112+R48+R112-SUM(I119:S119)))*R113+MAX(0,MIN(S48,0+I48+I112+J48+J112+K48+K112+L48+L112+M48+M112+N48+N112+O48+O112+P48+P112+Q48+Q112+R48+R112+S48-SUM(I119:S119)))*S51+MAX(0,MIN(S112,0+I48+I112+J48+J112+K48+K112+L48+L112+M48+M112+N48+N112+O48+O112+P48+P112+Q48+Q112+R48+R112+S48+S112-SUM(I119:S119)))*S113</f>
        <v>0</v>
      </c>
    </row>
    <row r="125" customFormat="false" ht="15" hidden="false" customHeight="false" outlineLevel="0" collapsed="false">
      <c r="A125" s="73" t="s">
        <v>930</v>
      </c>
      <c r="B125" s="74" t="s">
        <v>931</v>
      </c>
      <c r="C125" s="66" t="s">
        <v>133</v>
      </c>
      <c r="D125" s="43" t="s">
        <v>332</v>
      </c>
      <c r="E125" s="75" t="s">
        <v>43</v>
      </c>
      <c r="F125" s="76"/>
      <c r="G125" s="36" t="n">
        <f aca="false">IF(ISNUMBER(01_INPUTS!G150),01_INPUTS!G150,0)*1000</f>
        <v>400000</v>
      </c>
      <c r="H125" s="36" t="n">
        <f aca="false">IF(ISNUMBER(01_INPUTS!H150),01_INPUTS!H150,0)*1000</f>
        <v>360000</v>
      </c>
      <c r="I125" s="36" t="n">
        <f aca="false">IF(ISNUMBER(01_INPUTS!I150),01_INPUTS!I150,0)*1000</f>
        <v>536000</v>
      </c>
      <c r="J125" s="36" t="n">
        <f aca="false">IF(ISNUMBER(01_INPUTS!J150),01_INPUTS!J150,0)*1000</f>
        <v>0</v>
      </c>
      <c r="K125" s="36" t="n">
        <f aca="false">IF(ISNUMBER(01_INPUTS!K150),01_INPUTS!K150,0)*1000</f>
        <v>0</v>
      </c>
      <c r="L125" s="36" t="n">
        <f aca="false">IF(ISNUMBER(01_INPUTS!L150),01_INPUTS!L150,0)*1000</f>
        <v>0</v>
      </c>
      <c r="M125" s="36" t="n">
        <f aca="false">IF(ISNUMBER(01_INPUTS!M150),01_INPUTS!M150,0)*1000</f>
        <v>0</v>
      </c>
      <c r="N125" s="36" t="n">
        <f aca="false">IF(ISNUMBER(01_INPUTS!N150),01_INPUTS!N150,0)*1000</f>
        <v>0</v>
      </c>
      <c r="O125" s="36" t="n">
        <f aca="false">IF(ISNUMBER(01_INPUTS!O150),01_INPUTS!O150,0)*1000</f>
        <v>0</v>
      </c>
      <c r="P125" s="36" t="n">
        <f aca="false">IF(ISNUMBER(01_INPUTS!P150),01_INPUTS!P150,0)*1000</f>
        <v>0</v>
      </c>
      <c r="Q125" s="36" t="n">
        <f aca="false">IF(ISNUMBER(01_INPUTS!Q150),01_INPUTS!Q150,0)*1000</f>
        <v>0</v>
      </c>
      <c r="R125" s="36" t="n">
        <f aca="false">IF(ISNUMBER(01_INPUTS!R150),01_INPUTS!R150,0)*1000</f>
        <v>0</v>
      </c>
      <c r="S125" s="36" t="n">
        <f aca="false">IF(ISNUMBER(01_INPUTS!S150),01_INPUTS!S150,0)*1000</f>
        <v>0</v>
      </c>
    </row>
    <row r="126" customFormat="false" ht="15" hidden="false" customHeight="false" outlineLevel="0" collapsed="false">
      <c r="A126" s="73" t="s">
        <v>930</v>
      </c>
      <c r="B126" s="74" t="s">
        <v>127</v>
      </c>
      <c r="C126" s="66" t="s">
        <v>133</v>
      </c>
      <c r="D126" s="43" t="s">
        <v>89</v>
      </c>
      <c r="E126" s="75" t="s">
        <v>932</v>
      </c>
      <c r="F126" s="76"/>
      <c r="G126" s="84" t="n">
        <f aca="false">IF(ISNUMBER(01_INPUTS!G82),01_INPUTS!G82,0)</f>
        <v>10264.4712345679</v>
      </c>
      <c r="H126" s="84" t="n">
        <f aca="false">IF(ISNUMBER(01_INPUTS!H82),01_INPUTS!H82,0)</f>
        <v>10358.738390622</v>
      </c>
      <c r="I126" s="84" t="n">
        <f aca="false">IF(ISNUMBER(01_INPUTS!I82),01_INPUTS!I82,0)</f>
        <v>10106.74</v>
      </c>
      <c r="J126" s="84" t="n">
        <f aca="false">IF(ISNUMBER(01_INPUTS!J82),01_INPUTS!J82,0)</f>
        <v>0</v>
      </c>
      <c r="K126" s="84" t="n">
        <f aca="false">IF(ISNUMBER(01_INPUTS!K82),01_INPUTS!K82,0)</f>
        <v>0</v>
      </c>
      <c r="L126" s="84" t="n">
        <f aca="false">IF(ISNUMBER(01_INPUTS!L82),01_INPUTS!L82,0)</f>
        <v>0</v>
      </c>
      <c r="M126" s="84" t="n">
        <f aca="false">IF(ISNUMBER(01_INPUTS!M82),01_INPUTS!M82,0)</f>
        <v>0</v>
      </c>
      <c r="N126" s="84" t="n">
        <f aca="false">IF(ISNUMBER(01_INPUTS!N82),01_INPUTS!N82,0)</f>
        <v>0</v>
      </c>
      <c r="O126" s="84" t="n">
        <f aca="false">IF(ISNUMBER(01_INPUTS!O82),01_INPUTS!O82,0)</f>
        <v>0</v>
      </c>
      <c r="P126" s="84" t="n">
        <f aca="false">IF(ISNUMBER(01_INPUTS!P82),01_INPUTS!P82,0)</f>
        <v>0</v>
      </c>
      <c r="Q126" s="84" t="n">
        <f aca="false">IF(ISNUMBER(01_INPUTS!Q82),01_INPUTS!Q82,0)</f>
        <v>0</v>
      </c>
      <c r="R126" s="84" t="n">
        <f aca="false">IF(ISNUMBER(01_INPUTS!R82),01_INPUTS!R82,0)</f>
        <v>0</v>
      </c>
      <c r="S126" s="84" t="n">
        <f aca="false">IF(ISNUMBER(01_INPUTS!S82),01_INPUTS!S82,0)</f>
        <v>0</v>
      </c>
    </row>
    <row r="127" customFormat="false" ht="15" hidden="false" customHeight="false" outlineLevel="0" collapsed="false">
      <c r="A127" s="73" t="s">
        <v>930</v>
      </c>
      <c r="B127" s="74" t="s">
        <v>933</v>
      </c>
      <c r="C127" s="66" t="s">
        <v>133</v>
      </c>
      <c r="D127" s="43" t="s">
        <v>332</v>
      </c>
      <c r="E127" s="75" t="s">
        <v>43</v>
      </c>
      <c r="F127" s="76"/>
      <c r="G127" s="85" t="n">
        <v>0</v>
      </c>
      <c r="H127" s="85" t="n">
        <v>0</v>
      </c>
      <c r="I127" s="36" t="n">
        <f aca="false">H134</f>
        <v>0</v>
      </c>
      <c r="J127" s="36" t="n">
        <f aca="false">I134</f>
        <v>0</v>
      </c>
      <c r="K127" s="36" t="n">
        <f aca="false">J134</f>
        <v>0</v>
      </c>
      <c r="L127" s="36" t="n">
        <f aca="false">K134</f>
        <v>0</v>
      </c>
      <c r="M127" s="36" t="n">
        <f aca="false">L134</f>
        <v>0</v>
      </c>
      <c r="N127" s="36" t="n">
        <f aca="false">M134</f>
        <v>0</v>
      </c>
      <c r="O127" s="36" t="n">
        <f aca="false">N134</f>
        <v>0</v>
      </c>
      <c r="P127" s="36" t="n">
        <f aca="false">O134</f>
        <v>0</v>
      </c>
      <c r="Q127" s="36" t="n">
        <f aca="false">P134</f>
        <v>0</v>
      </c>
      <c r="R127" s="36" t="n">
        <f aca="false">Q134</f>
        <v>0</v>
      </c>
      <c r="S127" s="36" t="n">
        <f aca="false">R134</f>
        <v>0</v>
      </c>
    </row>
    <row r="128" customFormat="false" ht="15" hidden="false" customHeight="false" outlineLevel="0" collapsed="false">
      <c r="A128" s="73" t="s">
        <v>930</v>
      </c>
      <c r="B128" s="74" t="s">
        <v>934</v>
      </c>
      <c r="C128" s="66" t="s">
        <v>133</v>
      </c>
      <c r="D128" s="43" t="s">
        <v>81</v>
      </c>
      <c r="E128" s="75" t="s">
        <v>43</v>
      </c>
      <c r="F128" s="76"/>
      <c r="G128" s="85" t="n">
        <v>0</v>
      </c>
      <c r="H128" s="85" t="n">
        <v>0</v>
      </c>
      <c r="I128" s="36" t="n">
        <f aca="false">H135</f>
        <v>0</v>
      </c>
      <c r="J128" s="36" t="n">
        <f aca="false">I135</f>
        <v>0</v>
      </c>
      <c r="K128" s="36" t="n">
        <f aca="false">J135</f>
        <v>0</v>
      </c>
      <c r="L128" s="36" t="n">
        <f aca="false">K135</f>
        <v>0</v>
      </c>
      <c r="M128" s="36" t="n">
        <f aca="false">L135</f>
        <v>0</v>
      </c>
      <c r="N128" s="36" t="n">
        <f aca="false">M135</f>
        <v>0</v>
      </c>
      <c r="O128" s="36" t="n">
        <f aca="false">N135</f>
        <v>0</v>
      </c>
      <c r="P128" s="36" t="n">
        <f aca="false">O135</f>
        <v>0</v>
      </c>
      <c r="Q128" s="36" t="n">
        <f aca="false">P135</f>
        <v>0</v>
      </c>
      <c r="R128" s="36" t="n">
        <f aca="false">Q135</f>
        <v>0</v>
      </c>
      <c r="S128" s="36" t="n">
        <f aca="false">R135</f>
        <v>0</v>
      </c>
    </row>
    <row r="129" customFormat="false" ht="15" hidden="false" customHeight="false" outlineLevel="0" collapsed="false">
      <c r="A129" s="73" t="s">
        <v>930</v>
      </c>
      <c r="B129" s="74" t="s">
        <v>935</v>
      </c>
      <c r="C129" s="66" t="s">
        <v>133</v>
      </c>
      <c r="D129" s="43" t="s">
        <v>332</v>
      </c>
      <c r="E129" s="75" t="s">
        <v>917</v>
      </c>
      <c r="F129" s="76"/>
      <c r="G129" s="77" t="n">
        <v>800000</v>
      </c>
      <c r="H129" s="77" t="n">
        <v>600000</v>
      </c>
      <c r="I129" s="78" t="n">
        <f aca="false">I127+I54+I125</f>
        <v>936000</v>
      </c>
      <c r="J129" s="78" t="n">
        <f aca="false">J127+J54+J125</f>
        <v>0</v>
      </c>
      <c r="K129" s="78" t="n">
        <f aca="false">K127+K54+K125</f>
        <v>0</v>
      </c>
      <c r="L129" s="78" t="n">
        <f aca="false">L127+L54+L125</f>
        <v>0</v>
      </c>
      <c r="M129" s="78" t="n">
        <f aca="false">M127+M54+M125</f>
        <v>0</v>
      </c>
      <c r="N129" s="78" t="n">
        <f aca="false">N127+N54+N125</f>
        <v>0</v>
      </c>
      <c r="O129" s="78" t="n">
        <f aca="false">O127+O54+O125</f>
        <v>0</v>
      </c>
      <c r="P129" s="78" t="n">
        <f aca="false">P127+P54+P125</f>
        <v>0</v>
      </c>
      <c r="Q129" s="78" t="n">
        <f aca="false">Q127+Q54+Q125</f>
        <v>0</v>
      </c>
      <c r="R129" s="78" t="n">
        <f aca="false">R127+R54+R125</f>
        <v>0</v>
      </c>
      <c r="S129" s="78" t="n">
        <f aca="false">S127+S54+S125</f>
        <v>0</v>
      </c>
    </row>
    <row r="130" customFormat="false" ht="15" hidden="false" customHeight="false" outlineLevel="0" collapsed="false">
      <c r="A130" s="73" t="s">
        <v>930</v>
      </c>
      <c r="B130" s="74" t="s">
        <v>936</v>
      </c>
      <c r="C130" s="66" t="s">
        <v>133</v>
      </c>
      <c r="D130" s="43" t="s">
        <v>81</v>
      </c>
      <c r="E130" s="75" t="s">
        <v>917</v>
      </c>
      <c r="F130" s="76"/>
      <c r="G130" s="77" t="n">
        <v>9726338744.77752</v>
      </c>
      <c r="H130" s="77" t="n">
        <v>6910348459.1074</v>
      </c>
      <c r="I130" s="78" t="n">
        <f aca="false">I128+I54*I57+I125*I126</f>
        <v>10277943809.8528</v>
      </c>
      <c r="J130" s="78" t="n">
        <f aca="false">J128+J54*J57+J125*J126</f>
        <v>0</v>
      </c>
      <c r="K130" s="78" t="n">
        <f aca="false">K128+K54*K57+K125*K126</f>
        <v>0</v>
      </c>
      <c r="L130" s="78" t="n">
        <f aca="false">L128+L54*L57+L125*L126</f>
        <v>0</v>
      </c>
      <c r="M130" s="78" t="n">
        <f aca="false">M128+M54*M57+M125*M126</f>
        <v>0</v>
      </c>
      <c r="N130" s="78" t="n">
        <f aca="false">N128+N54*N57+N125*N126</f>
        <v>0</v>
      </c>
      <c r="O130" s="78" t="n">
        <f aca="false">O128+O54*O57+O125*O126</f>
        <v>0</v>
      </c>
      <c r="P130" s="78" t="n">
        <f aca="false">P128+P54*P57+P125*P126</f>
        <v>0</v>
      </c>
      <c r="Q130" s="78" t="n">
        <f aca="false">Q128+Q54*Q57+Q125*Q126</f>
        <v>0</v>
      </c>
      <c r="R130" s="78" t="n">
        <f aca="false">R128+R54*R57+R125*R126</f>
        <v>0</v>
      </c>
      <c r="S130" s="78" t="n">
        <f aca="false">S128+S54*S57+S125*S126</f>
        <v>0</v>
      </c>
    </row>
    <row r="131" customFormat="false" ht="48.5" hidden="false" customHeight="false" outlineLevel="0" collapsed="false">
      <c r="A131" s="73" t="s">
        <v>930</v>
      </c>
      <c r="B131" s="74" t="s">
        <v>937</v>
      </c>
      <c r="C131" s="66" t="s">
        <v>133</v>
      </c>
      <c r="D131" s="43" t="s">
        <v>89</v>
      </c>
      <c r="E131" s="75" t="s">
        <v>917</v>
      </c>
      <c r="F131" s="76" t="s">
        <v>938</v>
      </c>
      <c r="G131" s="81" t="n">
        <v>12157.9234309719</v>
      </c>
      <c r="H131" s="81" t="n">
        <v>11517.2474318457</v>
      </c>
      <c r="I131" s="82" t="n">
        <f aca="false">IFERROR(I133/I132,0)</f>
        <v>10980.7091985607</v>
      </c>
      <c r="J131" s="82" t="n">
        <f aca="false">IFERROR(J133/J132,0)</f>
        <v>0</v>
      </c>
      <c r="K131" s="82" t="n">
        <f aca="false">IFERROR(K133/K132,0)</f>
        <v>0</v>
      </c>
      <c r="L131" s="82" t="n">
        <f aca="false">IFERROR(L133/L132,0)</f>
        <v>0</v>
      </c>
      <c r="M131" s="82" t="n">
        <f aca="false">IFERROR(M133/M132,0)</f>
        <v>0</v>
      </c>
      <c r="N131" s="82" t="n">
        <f aca="false">IFERROR(N133/N132,0)</f>
        <v>0</v>
      </c>
      <c r="O131" s="82" t="n">
        <f aca="false">IFERROR(O133/O132,0)</f>
        <v>0</v>
      </c>
      <c r="P131" s="82" t="n">
        <f aca="false">IFERROR(P133/P132,0)</f>
        <v>0</v>
      </c>
      <c r="Q131" s="82" t="n">
        <f aca="false">IFERROR(Q133/Q132,0)</f>
        <v>0</v>
      </c>
      <c r="R131" s="82" t="n">
        <f aca="false">IFERROR(R133/R132,0)</f>
        <v>0</v>
      </c>
      <c r="S131" s="82" t="n">
        <f aca="false">IFERROR(S133/S132,0)</f>
        <v>0</v>
      </c>
    </row>
    <row r="132" customFormat="false" ht="28.35" hidden="false" customHeight="false" outlineLevel="0" collapsed="false">
      <c r="A132" s="73" t="s">
        <v>930</v>
      </c>
      <c r="B132" s="74" t="s">
        <v>939</v>
      </c>
      <c r="C132" s="66" t="s">
        <v>133</v>
      </c>
      <c r="D132" s="43" t="s">
        <v>332</v>
      </c>
      <c r="E132" s="75" t="s">
        <v>940</v>
      </c>
      <c r="F132" s="76" t="s">
        <v>941</v>
      </c>
      <c r="G132" s="85" t="n">
        <v>800000</v>
      </c>
      <c r="H132" s="85" t="n">
        <v>600000</v>
      </c>
      <c r="I132" s="86" t="n">
        <f aca="false">_ENGINE_MERCADO!I177</f>
        <v>936000</v>
      </c>
      <c r="J132" s="86" t="n">
        <f aca="false">_ENGINE_MERCADO!J177</f>
        <v>0</v>
      </c>
      <c r="K132" s="86" t="n">
        <f aca="false">_ENGINE_MERCADO!K177</f>
        <v>0</v>
      </c>
      <c r="L132" s="86" t="n">
        <f aca="false">_ENGINE_MERCADO!L177</f>
        <v>0</v>
      </c>
      <c r="M132" s="86" t="n">
        <f aca="false">_ENGINE_MERCADO!M177</f>
        <v>0</v>
      </c>
      <c r="N132" s="86" t="n">
        <f aca="false">_ENGINE_MERCADO!N177</f>
        <v>0</v>
      </c>
      <c r="O132" s="86" t="n">
        <f aca="false">_ENGINE_MERCADO!O177</f>
        <v>0</v>
      </c>
      <c r="P132" s="86" t="n">
        <f aca="false">_ENGINE_MERCADO!P177</f>
        <v>0</v>
      </c>
      <c r="Q132" s="86" t="n">
        <f aca="false">_ENGINE_MERCADO!Q177</f>
        <v>0</v>
      </c>
      <c r="R132" s="86" t="n">
        <f aca="false">_ENGINE_MERCADO!R177</f>
        <v>0</v>
      </c>
      <c r="S132" s="86" t="n">
        <f aca="false">_ENGINE_MERCADO!S177</f>
        <v>0</v>
      </c>
    </row>
    <row r="133" customFormat="false" ht="15" hidden="false" customHeight="false" outlineLevel="0" collapsed="false">
      <c r="A133" s="73" t="s">
        <v>930</v>
      </c>
      <c r="B133" s="74" t="s">
        <v>942</v>
      </c>
      <c r="C133" s="66" t="s">
        <v>133</v>
      </c>
      <c r="D133" s="43" t="s">
        <v>81</v>
      </c>
      <c r="E133" s="75" t="s">
        <v>917</v>
      </c>
      <c r="F133" s="76"/>
      <c r="G133" s="77" t="n">
        <v>0</v>
      </c>
      <c r="H133" s="77" t="n">
        <v>0</v>
      </c>
      <c r="I133" s="78" t="n">
        <f aca="false">I130-I135</f>
        <v>10277943809.8528</v>
      </c>
      <c r="J133" s="78" t="n">
        <f aca="false">J130-J135</f>
        <v>0</v>
      </c>
      <c r="K133" s="78" t="n">
        <f aca="false">K130-K135</f>
        <v>0</v>
      </c>
      <c r="L133" s="78" t="n">
        <f aca="false">L130-L135</f>
        <v>0</v>
      </c>
      <c r="M133" s="78" t="n">
        <f aca="false">M130-M135</f>
        <v>0</v>
      </c>
      <c r="N133" s="78" t="n">
        <f aca="false">N130-N135</f>
        <v>0</v>
      </c>
      <c r="O133" s="78" t="n">
        <f aca="false">O130-O135</f>
        <v>0</v>
      </c>
      <c r="P133" s="78" t="n">
        <f aca="false">P130-P135</f>
        <v>0</v>
      </c>
      <c r="Q133" s="78" t="n">
        <f aca="false">Q130-Q135</f>
        <v>0</v>
      </c>
      <c r="R133" s="78" t="n">
        <f aca="false">R130-R135</f>
        <v>0</v>
      </c>
      <c r="S133" s="78" t="n">
        <f aca="false">S130-S135</f>
        <v>0</v>
      </c>
    </row>
    <row r="134" customFormat="false" ht="15" hidden="false" customHeight="false" outlineLevel="0" collapsed="false">
      <c r="A134" s="73" t="s">
        <v>930</v>
      </c>
      <c r="B134" s="74" t="s">
        <v>943</v>
      </c>
      <c r="C134" s="66" t="s">
        <v>133</v>
      </c>
      <c r="D134" s="43" t="s">
        <v>332</v>
      </c>
      <c r="E134" s="75" t="s">
        <v>917</v>
      </c>
      <c r="F134" s="76"/>
      <c r="G134" s="85" t="n">
        <v>0</v>
      </c>
      <c r="H134" s="85" t="n">
        <v>0</v>
      </c>
      <c r="I134" s="36" t="n">
        <f aca="false">I129-I132</f>
        <v>0</v>
      </c>
      <c r="J134" s="36" t="n">
        <f aca="false">J129-J132</f>
        <v>0</v>
      </c>
      <c r="K134" s="36" t="n">
        <f aca="false">K129-K132</f>
        <v>0</v>
      </c>
      <c r="L134" s="36" t="n">
        <f aca="false">L129-L132</f>
        <v>0</v>
      </c>
      <c r="M134" s="36" t="n">
        <f aca="false">M129-M132</f>
        <v>0</v>
      </c>
      <c r="N134" s="36" t="n">
        <f aca="false">N129-N132</f>
        <v>0</v>
      </c>
      <c r="O134" s="36" t="n">
        <f aca="false">O129-O132</f>
        <v>0</v>
      </c>
      <c r="P134" s="36" t="n">
        <f aca="false">P129-P132</f>
        <v>0</v>
      </c>
      <c r="Q134" s="36" t="n">
        <f aca="false">Q129-Q132</f>
        <v>0</v>
      </c>
      <c r="R134" s="36" t="n">
        <f aca="false">R129-R132</f>
        <v>0</v>
      </c>
      <c r="S134" s="36" t="n">
        <f aca="false">S129-S132</f>
        <v>0</v>
      </c>
    </row>
    <row r="135" customFormat="false" ht="15" hidden="false" customHeight="false" outlineLevel="0" collapsed="false">
      <c r="A135" s="73" t="s">
        <v>930</v>
      </c>
      <c r="B135" s="74" t="s">
        <v>944</v>
      </c>
      <c r="C135" s="66" t="s">
        <v>133</v>
      </c>
      <c r="D135" s="43" t="s">
        <v>81</v>
      </c>
      <c r="E135" s="75" t="s">
        <v>917</v>
      </c>
      <c r="F135" s="76"/>
      <c r="G135" s="85" t="n">
        <v>0</v>
      </c>
      <c r="H135" s="85" t="n">
        <v>0</v>
      </c>
      <c r="I135" s="78" t="n">
        <f aca="false">MAX(0,MIN(0,0-SUM(I132:I132)))*0+MAX(0,MIN(I54,0+I54-SUM(I132:I132)))*I57+MAX(0,MIN(I125,0+I54+I125-SUM(I132:I132)))*I126</f>
        <v>0</v>
      </c>
      <c r="J135" s="78" t="n">
        <f aca="false">MAX(0,MIN(0,0-SUM(I132:J132)))*0+MAX(0,MIN(I54,0+I54-SUM(I132:J132)))*I57+MAX(0,MIN(I125,0+I54+I125-SUM(I132:J132)))*I126+MAX(0,MIN(J54,0+I54+I125+J54-SUM(I132:J132)))*J57+MAX(0,MIN(J125,0+I54+I125+J54+J125-SUM(I132:J132)))*J126</f>
        <v>0</v>
      </c>
      <c r="K135" s="78" t="n">
        <f aca="false">MAX(0,MIN(0,0-SUM(I132:K132)))*0+MAX(0,MIN(I54,0+I54-SUM(I132:K132)))*I57+MAX(0,MIN(I125,0+I54+I125-SUM(I132:K132)))*I126+MAX(0,MIN(J54,0+I54+I125+J54-SUM(I132:K132)))*J57+MAX(0,MIN(J125,0+I54+I125+J54+J125-SUM(I132:K132)))*J126+MAX(0,MIN(K54,0+I54+I125+J54+J125+K54-SUM(I132:K132)))*K57+MAX(0,MIN(K125,0+I54+I125+J54+J125+K54+K125-SUM(I132:K132)))*K126</f>
        <v>0</v>
      </c>
      <c r="L135" s="78" t="n">
        <f aca="false">MAX(0,MIN(0,0-SUM(I132:L132)))*0+MAX(0,MIN(I54,0+I54-SUM(I132:L132)))*I57+MAX(0,MIN(I125,0+I54+I125-SUM(I132:L132)))*I126+MAX(0,MIN(J54,0+I54+I125+J54-SUM(I132:L132)))*J57+MAX(0,MIN(J125,0+I54+I125+J54+J125-SUM(I132:L132)))*J126+MAX(0,MIN(K54,0+I54+I125+J54+J125+K54-SUM(I132:L132)))*K57+MAX(0,MIN(K125,0+I54+I125+J54+J125+K54+K125-SUM(I132:L132)))*K126+MAX(0,MIN(L54,0+I54+I125+J54+J125+K54+K125+L54-SUM(I132:L132)))*L57+MAX(0,MIN(L125,0+I54+I125+J54+J125+K54+K125+L54+L125-SUM(I132:L132)))*L126</f>
        <v>0</v>
      </c>
      <c r="M135" s="78" t="n">
        <f aca="false">MAX(0,MIN(0,0-SUM(I132:M132)))*0+MAX(0,MIN(I54,0+I54-SUM(I132:M132)))*I57+MAX(0,MIN(I125,0+I54+I125-SUM(I132:M132)))*I126+MAX(0,MIN(J54,0+I54+I125+J54-SUM(I132:M132)))*J57+MAX(0,MIN(J125,0+I54+I125+J54+J125-SUM(I132:M132)))*J126+MAX(0,MIN(K54,0+I54+I125+J54+J125+K54-SUM(I132:M132)))*K57+MAX(0,MIN(K125,0+I54+I125+J54+J125+K54+K125-SUM(I132:M132)))*K126+MAX(0,MIN(L54,0+I54+I125+J54+J125+K54+K125+L54-SUM(I132:M132)))*L57+MAX(0,MIN(L125,0+I54+I125+J54+J125+K54+K125+L54+L125-SUM(I132:M132)))*L126+MAX(0,MIN(M54,0+I54+I125+J54+J125+K54+K125+L54+L125+M54-SUM(I132:M132)))*M57+MAX(0,MIN(M125,0+I54+I125+J54+J125+K54+K125+L54+L125+M54+M125-SUM(I132:M132)))*M126</f>
        <v>0</v>
      </c>
      <c r="N135" s="78" t="n">
        <f aca="false">MAX(0,MIN(0,0-SUM(I132:N132)))*0+MAX(0,MIN(I54,0+I54-SUM(I132:N132)))*I57+MAX(0,MIN(I125,0+I54+I125-SUM(I132:N132)))*I126+MAX(0,MIN(J54,0+I54+I125+J54-SUM(I132:N132)))*J57+MAX(0,MIN(J125,0+I54+I125+J54+J125-SUM(I132:N132)))*J126+MAX(0,MIN(K54,0+I54+I125+J54+J125+K54-SUM(I132:N132)))*K57+MAX(0,MIN(K125,0+I54+I125+J54+J125+K54+K125-SUM(I132:N132)))*K126+MAX(0,MIN(L54,0+I54+I125+J54+J125+K54+K125+L54-SUM(I132:N132)))*L57+MAX(0,MIN(L125,0+I54+I125+J54+J125+K54+K125+L54+L125-SUM(I132:N132)))*L126+MAX(0,MIN(M54,0+I54+I125+J54+J125+K54+K125+L54+L125+M54-SUM(I132:N132)))*M57+MAX(0,MIN(M125,0+I54+I125+J54+J125+K54+K125+L54+L125+M54+M125-SUM(I132:N132)))*M126+MAX(0,MIN(N54,0+I54+I125+J54+J125+K54+K125+L54+L125+M54+M125+N54-SUM(I132:N132)))*N57+MAX(0,MIN(N125,0+I54+I125+J54+J125+K54+K125+L54+L125+M54+M125+N54+N125-SUM(I132:N132)))*N126</f>
        <v>0</v>
      </c>
      <c r="O135" s="78" t="n">
        <f aca="false">MAX(0,MIN(0,0-SUM(I132:O132)))*0+MAX(0,MIN(I54,0+I54-SUM(I132:O132)))*I57+MAX(0,MIN(I125,0+I54+I125-SUM(I132:O132)))*I126+MAX(0,MIN(J54,0+I54+I125+J54-SUM(I132:O132)))*J57+MAX(0,MIN(J125,0+I54+I125+J54+J125-SUM(I132:O132)))*J126+MAX(0,MIN(K54,0+I54+I125+J54+J125+K54-SUM(I132:O132)))*K57+MAX(0,MIN(K125,0+I54+I125+J54+J125+K54+K125-SUM(I132:O132)))*K126+MAX(0,MIN(L54,0+I54+I125+J54+J125+K54+K125+L54-SUM(I132:O132)))*L57+MAX(0,MIN(L125,0+I54+I125+J54+J125+K54+K125+L54+L125-SUM(I132:O132)))*L126+MAX(0,MIN(M54,0+I54+I125+J54+J125+K54+K125+L54+L125+M54-SUM(I132:O132)))*M57+MAX(0,MIN(M125,0+I54+I125+J54+J125+K54+K125+L54+L125+M54+M125-SUM(I132:O132)))*M126+MAX(0,MIN(N54,0+I54+I125+J54+J125+K54+K125+L54+L125+M54+M125+N54-SUM(I132:O132)))*N57+MAX(0,MIN(N125,0+I54+I125+J54+J125+K54+K125+L54+L125+M54+M125+N54+N125-SUM(I132:O132)))*N126+MAX(0,MIN(O54,0+I54+I125+J54+J125+K54+K125+L54+L125+M54+M125+N54+N125+O54-SUM(I132:O132)))*O57+MAX(0,MIN(O125,0+I54+I125+J54+J125+K54+K125+L54+L125+M54+M125+N54+N125+O54+O125-SUM(I132:O132)))*O126</f>
        <v>0</v>
      </c>
      <c r="P135" s="78" t="n">
        <f aca="false">MAX(0,MIN(0,0-SUM(I132:P132)))*0+MAX(0,MIN(I54,0+I54-SUM(I132:P132)))*I57+MAX(0,MIN(I125,0+I54+I125-SUM(I132:P132)))*I126+MAX(0,MIN(J54,0+I54+I125+J54-SUM(I132:P132)))*J57+MAX(0,MIN(J125,0+I54+I125+J54+J125-SUM(I132:P132)))*J126+MAX(0,MIN(K54,0+I54+I125+J54+J125+K54-SUM(I132:P132)))*K57+MAX(0,MIN(K125,0+I54+I125+J54+J125+K54+K125-SUM(I132:P132)))*K126+MAX(0,MIN(L54,0+I54+I125+J54+J125+K54+K125+L54-SUM(I132:P132)))*L57+MAX(0,MIN(L125,0+I54+I125+J54+J125+K54+K125+L54+L125-SUM(I132:P132)))*L126+MAX(0,MIN(M54,0+I54+I125+J54+J125+K54+K125+L54+L125+M54-SUM(I132:P132)))*M57+MAX(0,MIN(M125,0+I54+I125+J54+J125+K54+K125+L54+L125+M54+M125-SUM(I132:P132)))*M126+MAX(0,MIN(N54,0+I54+I125+J54+J125+K54+K125+L54+L125+M54+M125+N54-SUM(I132:P132)))*N57+MAX(0,MIN(N125,0+I54+I125+J54+J125+K54+K125+L54+L125+M54+M125+N54+N125-SUM(I132:P132)))*N126+MAX(0,MIN(O54,0+I54+I125+J54+J125+K54+K125+L54+L125+M54+M125+N54+N125+O54-SUM(I132:P132)))*O57+MAX(0,MIN(O125,0+I54+I125+J54+J125+K54+K125+L54+L125+M54+M125+N54+N125+O54+O125-SUM(I132:P132)))*O126+MAX(0,MIN(P54,0+I54+I125+J54+J125+K54+K125+L54+L125+M54+M125+N54+N125+O54+O125+P54-SUM(I132:P132)))*P57+MAX(0,MIN(P125,0+I54+I125+J54+J125+K54+K125+L54+L125+M54+M125+N54+N125+O54+O125+P54+P125-SUM(I132:P132)))*P126</f>
        <v>0</v>
      </c>
      <c r="Q135" s="78" t="n">
        <f aca="false">MAX(0,MIN(0,0-SUM(I132:Q132)))*0+MAX(0,MIN(I54,0+I54-SUM(I132:Q132)))*I57+MAX(0,MIN(I125,0+I54+I125-SUM(I132:Q132)))*I126+MAX(0,MIN(J54,0+I54+I125+J54-SUM(I132:Q132)))*J57+MAX(0,MIN(J125,0+I54+I125+J54+J125-SUM(I132:Q132)))*J126+MAX(0,MIN(K54,0+I54+I125+J54+J125+K54-SUM(I132:Q132)))*K57+MAX(0,MIN(K125,0+I54+I125+J54+J125+K54+K125-SUM(I132:Q132)))*K126+MAX(0,MIN(L54,0+I54+I125+J54+J125+K54+K125+L54-SUM(I132:Q132)))*L57+MAX(0,MIN(L125,0+I54+I125+J54+J125+K54+K125+L54+L125-SUM(I132:Q132)))*L126+MAX(0,MIN(M54,0+I54+I125+J54+J125+K54+K125+L54+L125+M54-SUM(I132:Q132)))*M57+MAX(0,MIN(M125,0+I54+I125+J54+J125+K54+K125+L54+L125+M54+M125-SUM(I132:Q132)))*M126+MAX(0,MIN(N54,0+I54+I125+J54+J125+K54+K125+L54+L125+M54+M125+N54-SUM(I132:Q132)))*N57+MAX(0,MIN(N125,0+I54+I125+J54+J125+K54+K125+L54+L125+M54+M125+N54+N125-SUM(I132:Q132)))*N126+MAX(0,MIN(O54,0+I54+I125+J54+J125+K54+K125+L54+L125+M54+M125+N54+N125+O54-SUM(I132:Q132)))*O57+MAX(0,MIN(O125,0+I54+I125+J54+J125+K54+K125+L54+L125+M54+M125+N54+N125+O54+O125-SUM(I132:Q132)))*O126+MAX(0,MIN(P54,0+I54+I125+J54+J125+K54+K125+L54+L125+M54+M125+N54+N125+O54+O125+P54-SUM(I132:Q132)))*P57+MAX(0,MIN(P125,0+I54+I125+J54+J125+K54+K125+L54+L125+M54+M125+N54+N125+O54+O125+P54+P125-SUM(I132:Q132)))*P126+MAX(0,MIN(Q54,0+I54+I125+J54+J125+K54+K125+L54+L125+M54+M125+N54+N125+O54+O125+P54+P125+Q54-SUM(I132:Q132)))*Q57+MAX(0,MIN(Q125,0+I54+I125+J54+J125+K54+K125+L54+L125+M54+M125+N54+N125+O54+O125+P54+P125+Q54+Q125-SUM(I132:Q132)))*Q126</f>
        <v>0</v>
      </c>
      <c r="R135" s="78" t="n">
        <f aca="false">MAX(0,MIN(0,0-SUM(I132:R132)))*0+MAX(0,MIN(I54,0+I54-SUM(I132:R132)))*I57+MAX(0,MIN(I125,0+I54+I125-SUM(I132:R132)))*I126+MAX(0,MIN(J54,0+I54+I125+J54-SUM(I132:R132)))*J57+MAX(0,MIN(J125,0+I54+I125+J54+J125-SUM(I132:R132)))*J126+MAX(0,MIN(K54,0+I54+I125+J54+J125+K54-SUM(I132:R132)))*K57+MAX(0,MIN(K125,0+I54+I125+J54+J125+K54+K125-SUM(I132:R132)))*K126+MAX(0,MIN(L54,0+I54+I125+J54+J125+K54+K125+L54-SUM(I132:R132)))*L57+MAX(0,MIN(L125,0+I54+I125+J54+J125+K54+K125+L54+L125-SUM(I132:R132)))*L126+MAX(0,MIN(M54,0+I54+I125+J54+J125+K54+K125+L54+L125+M54-SUM(I132:R132)))*M57+MAX(0,MIN(M125,0+I54+I125+J54+J125+K54+K125+L54+L125+M54+M125-SUM(I132:R132)))*M126+MAX(0,MIN(N54,0+I54+I125+J54+J125+K54+K125+L54+L125+M54+M125+N54-SUM(I132:R132)))*N57+MAX(0,MIN(N125,0+I54+I125+J54+J125+K54+K125+L54+L125+M54+M125+N54+N125-SUM(I132:R132)))*N126+MAX(0,MIN(O54,0+I54+I125+J54+J125+K54+K125+L54+L125+M54+M125+N54+N125+O54-SUM(I132:R132)))*O57+MAX(0,MIN(O125,0+I54+I125+J54+J125+K54+K125+L54+L125+M54+M125+N54+N125+O54+O125-SUM(I132:R132)))*O126+MAX(0,MIN(P54,0+I54+I125+J54+J125+K54+K125+L54+L125+M54+M125+N54+N125+O54+O125+P54-SUM(I132:R132)))*P57+MAX(0,MIN(P125,0+I54+I125+J54+J125+K54+K125+L54+L125+M54+M125+N54+N125+O54+O125+P54+P125-SUM(I132:R132)))*P126+MAX(0,MIN(Q54,0+I54+I125+J54+J125+K54+K125+L54+L125+M54+M125+N54+N125+O54+O125+P54+P125+Q54-SUM(I132:R132)))*Q57+MAX(0,MIN(Q125,0+I54+I125+J54+J125+K54+K125+L54+L125+M54+M125+N54+N125+O54+O125+P54+P125+Q54+Q125-SUM(I132:R132)))*Q126+MAX(0,MIN(R54,0+I54+I125+J54+J125+K54+K125+L54+L125+M54+M125+N54+N125+O54+O125+P54+P125+Q54+Q125+R54-SUM(I132:R132)))*R57+MAX(0,MIN(R125,0+I54+I125+J54+J125+K54+K125+L54+L125+M54+M125+N54+N125+O54+O125+P54+P125+Q54+Q125+R54+R125-SUM(I132:R132)))*R126</f>
        <v>0</v>
      </c>
      <c r="S135" s="78" t="n">
        <f aca="false">MAX(0,MIN(0,0-SUM(I132:S132)))*0+MAX(0,MIN(I54,0+I54-SUM(I132:S132)))*I57+MAX(0,MIN(I125,0+I54+I125-SUM(I132:S132)))*I126+MAX(0,MIN(J54,0+I54+I125+J54-SUM(I132:S132)))*J57+MAX(0,MIN(J125,0+I54+I125+J54+J125-SUM(I132:S132)))*J126+MAX(0,MIN(K54,0+I54+I125+J54+J125+K54-SUM(I132:S132)))*K57+MAX(0,MIN(K125,0+I54+I125+J54+J125+K54+K125-SUM(I132:S132)))*K126+MAX(0,MIN(L54,0+I54+I125+J54+J125+K54+K125+L54-SUM(I132:S132)))*L57+MAX(0,MIN(L125,0+I54+I125+J54+J125+K54+K125+L54+L125-SUM(I132:S132)))*L126+MAX(0,MIN(M54,0+I54+I125+J54+J125+K54+K125+L54+L125+M54-SUM(I132:S132)))*M57+MAX(0,MIN(M125,0+I54+I125+J54+J125+K54+K125+L54+L125+M54+M125-SUM(I132:S132)))*M126+MAX(0,MIN(N54,0+I54+I125+J54+J125+K54+K125+L54+L125+M54+M125+N54-SUM(I132:S132)))*N57+MAX(0,MIN(N125,0+I54+I125+J54+J125+K54+K125+L54+L125+M54+M125+N54+N125-SUM(I132:S132)))*N126+MAX(0,MIN(O54,0+I54+I125+J54+J125+K54+K125+L54+L125+M54+M125+N54+N125+O54-SUM(I132:S132)))*O57+MAX(0,MIN(O125,0+I54+I125+J54+J125+K54+K125+L54+L125+M54+M125+N54+N125+O54+O125-SUM(I132:S132)))*O126+MAX(0,MIN(P54,0+I54+I125+J54+J125+K54+K125+L54+L125+M54+M125+N54+N125+O54+O125+P54-SUM(I132:S132)))*P57+MAX(0,MIN(P125,0+I54+I125+J54+J125+K54+K125+L54+L125+M54+M125+N54+N125+O54+O125+P54+P125-SUM(I132:S132)))*P126+MAX(0,MIN(Q54,0+I54+I125+J54+J125+K54+K125+L54+L125+M54+M125+N54+N125+O54+O125+P54+P125+Q54-SUM(I132:S132)))*Q57+MAX(0,MIN(Q125,0+I54+I125+J54+J125+K54+K125+L54+L125+M54+M125+N54+N125+O54+O125+P54+P125+Q54+Q125-SUM(I132:S132)))*Q126+MAX(0,MIN(R54,0+I54+I125+J54+J125+K54+K125+L54+L125+M54+M125+N54+N125+O54+O125+P54+P125+Q54+Q125+R54-SUM(I132:S132)))*R57+MAX(0,MIN(R125,0+I54+I125+J54+J125+K54+K125+L54+L125+M54+M125+N54+N125+O54+O125+P54+P125+Q54+Q125+R54+R125-SUM(I132:S132)))*R126+MAX(0,MIN(S54,0+I54+I125+J54+J125+K54+K125+L54+L125+M54+M125+N54+N125+O54+O125+P54+P125+Q54+Q125+R54+R125+S54-SUM(I132:S132)))*S57+MAX(0,MIN(S125,0+I54+I125+J54+J125+K54+K125+L54+L125+M54+M125+N54+N125+O54+O125+P54+P125+Q54+Q125+R54+R125+S54+S125-SUM(I132:S132)))*S126</f>
        <v>0</v>
      </c>
    </row>
    <row r="137" customFormat="false" ht="15" hidden="false" customHeight="false" outlineLevel="0" collapsed="false">
      <c r="A137" s="73" t="s">
        <v>930</v>
      </c>
      <c r="B137" s="74" t="s">
        <v>931</v>
      </c>
      <c r="C137" s="66" t="s">
        <v>134</v>
      </c>
      <c r="D137" s="43" t="s">
        <v>332</v>
      </c>
      <c r="E137" s="75" t="s">
        <v>43</v>
      </c>
      <c r="F137" s="76"/>
      <c r="G137" s="36" t="n">
        <f aca="false">IF(ISNUMBER(01_INPUTS!G151),01_INPUTS!G151,0)*1000</f>
        <v>0</v>
      </c>
      <c r="H137" s="36" t="n">
        <f aca="false">IF(ISNUMBER(01_INPUTS!H151),01_INPUTS!H151,0)*1000</f>
        <v>170000</v>
      </c>
      <c r="I137" s="36" t="n">
        <f aca="false">IF(ISNUMBER(01_INPUTS!I151),01_INPUTS!I151,0)*1000</f>
        <v>343000</v>
      </c>
      <c r="J137" s="36" t="n">
        <f aca="false">IF(ISNUMBER(01_INPUTS!J151),01_INPUTS!J151,0)*1000</f>
        <v>0</v>
      </c>
      <c r="K137" s="36" t="n">
        <f aca="false">IF(ISNUMBER(01_INPUTS!K151),01_INPUTS!K151,0)*1000</f>
        <v>0</v>
      </c>
      <c r="L137" s="36" t="n">
        <f aca="false">IF(ISNUMBER(01_INPUTS!L151),01_INPUTS!L151,0)*1000</f>
        <v>0</v>
      </c>
      <c r="M137" s="36" t="n">
        <f aca="false">IF(ISNUMBER(01_INPUTS!M151),01_INPUTS!M151,0)*1000</f>
        <v>0</v>
      </c>
      <c r="N137" s="36" t="n">
        <f aca="false">IF(ISNUMBER(01_INPUTS!N151),01_INPUTS!N151,0)*1000</f>
        <v>0</v>
      </c>
      <c r="O137" s="36" t="n">
        <f aca="false">IF(ISNUMBER(01_INPUTS!O151),01_INPUTS!O151,0)*1000</f>
        <v>0</v>
      </c>
      <c r="P137" s="36" t="n">
        <f aca="false">IF(ISNUMBER(01_INPUTS!P151),01_INPUTS!P151,0)*1000</f>
        <v>0</v>
      </c>
      <c r="Q137" s="36" t="n">
        <f aca="false">IF(ISNUMBER(01_INPUTS!Q151),01_INPUTS!Q151,0)*1000</f>
        <v>0</v>
      </c>
      <c r="R137" s="36" t="n">
        <f aca="false">IF(ISNUMBER(01_INPUTS!R151),01_INPUTS!R151,0)*1000</f>
        <v>0</v>
      </c>
      <c r="S137" s="36" t="n">
        <f aca="false">IF(ISNUMBER(01_INPUTS!S151),01_INPUTS!S151,0)*1000</f>
        <v>0</v>
      </c>
    </row>
    <row r="138" customFormat="false" ht="15" hidden="false" customHeight="false" outlineLevel="0" collapsed="false">
      <c r="A138" s="73" t="s">
        <v>930</v>
      </c>
      <c r="B138" s="74" t="s">
        <v>127</v>
      </c>
      <c r="C138" s="66" t="s">
        <v>134</v>
      </c>
      <c r="D138" s="43" t="s">
        <v>89</v>
      </c>
      <c r="E138" s="75" t="s">
        <v>932</v>
      </c>
      <c r="F138" s="76"/>
      <c r="G138" s="84" t="n">
        <f aca="false">IF(ISNUMBER(01_INPUTS!G83),01_INPUTS!G83,0)</f>
        <v>0</v>
      </c>
      <c r="H138" s="84" t="n">
        <f aca="false">IF(ISNUMBER(01_INPUTS!H83),01_INPUTS!H83,0)</f>
        <v>16285.8239718646</v>
      </c>
      <c r="I138" s="84" t="n">
        <f aca="false">IF(ISNUMBER(01_INPUTS!I83),01_INPUTS!I83,0)</f>
        <v>15649.15</v>
      </c>
      <c r="J138" s="84" t="n">
        <f aca="false">IF(ISNUMBER(01_INPUTS!J83),01_INPUTS!J83,0)</f>
        <v>0</v>
      </c>
      <c r="K138" s="84" t="n">
        <f aca="false">IF(ISNUMBER(01_INPUTS!K83),01_INPUTS!K83,0)</f>
        <v>0</v>
      </c>
      <c r="L138" s="84" t="n">
        <f aca="false">IF(ISNUMBER(01_INPUTS!L83),01_INPUTS!L83,0)</f>
        <v>0</v>
      </c>
      <c r="M138" s="84" t="n">
        <f aca="false">IF(ISNUMBER(01_INPUTS!M83),01_INPUTS!M83,0)</f>
        <v>0</v>
      </c>
      <c r="N138" s="84" t="n">
        <f aca="false">IF(ISNUMBER(01_INPUTS!N83),01_INPUTS!N83,0)</f>
        <v>0</v>
      </c>
      <c r="O138" s="84" t="n">
        <f aca="false">IF(ISNUMBER(01_INPUTS!O83),01_INPUTS!O83,0)</f>
        <v>0</v>
      </c>
      <c r="P138" s="84" t="n">
        <f aca="false">IF(ISNUMBER(01_INPUTS!P83),01_INPUTS!P83,0)</f>
        <v>0</v>
      </c>
      <c r="Q138" s="84" t="n">
        <f aca="false">IF(ISNUMBER(01_INPUTS!Q83),01_INPUTS!Q83,0)</f>
        <v>0</v>
      </c>
      <c r="R138" s="84" t="n">
        <f aca="false">IF(ISNUMBER(01_INPUTS!R83),01_INPUTS!R83,0)</f>
        <v>0</v>
      </c>
      <c r="S138" s="84" t="n">
        <f aca="false">IF(ISNUMBER(01_INPUTS!S83),01_INPUTS!S83,0)</f>
        <v>0</v>
      </c>
    </row>
    <row r="139" customFormat="false" ht="15" hidden="false" customHeight="false" outlineLevel="0" collapsed="false">
      <c r="A139" s="73" t="s">
        <v>930</v>
      </c>
      <c r="B139" s="74" t="s">
        <v>933</v>
      </c>
      <c r="C139" s="66" t="s">
        <v>134</v>
      </c>
      <c r="D139" s="43" t="s">
        <v>332</v>
      </c>
      <c r="E139" s="75" t="s">
        <v>43</v>
      </c>
      <c r="F139" s="76"/>
      <c r="G139" s="85" t="n">
        <v>0</v>
      </c>
      <c r="H139" s="85" t="n">
        <v>0</v>
      </c>
      <c r="I139" s="36" t="n">
        <f aca="false">H146</f>
        <v>113995</v>
      </c>
      <c r="J139" s="36" t="n">
        <f aca="false">I146</f>
        <v>8588.83436934708</v>
      </c>
      <c r="K139" s="36" t="n">
        <f aca="false">J146</f>
        <v>8588.83436934708</v>
      </c>
      <c r="L139" s="36" t="n">
        <f aca="false">K146</f>
        <v>8588.83436934708</v>
      </c>
      <c r="M139" s="36" t="n">
        <f aca="false">L146</f>
        <v>8588.83436934708</v>
      </c>
      <c r="N139" s="36" t="n">
        <f aca="false">M146</f>
        <v>8588.83436934708</v>
      </c>
      <c r="O139" s="36" t="n">
        <f aca="false">N146</f>
        <v>8588.83436934708</v>
      </c>
      <c r="P139" s="36" t="n">
        <f aca="false">O146</f>
        <v>8588.83436934708</v>
      </c>
      <c r="Q139" s="36" t="n">
        <f aca="false">P146</f>
        <v>8588.83436934708</v>
      </c>
      <c r="R139" s="36" t="n">
        <f aca="false">Q146</f>
        <v>8588.83436934708</v>
      </c>
      <c r="S139" s="36" t="n">
        <f aca="false">R146</f>
        <v>8588.83436934708</v>
      </c>
    </row>
    <row r="140" customFormat="false" ht="15" hidden="false" customHeight="false" outlineLevel="0" collapsed="false">
      <c r="A140" s="73" t="s">
        <v>930</v>
      </c>
      <c r="B140" s="74" t="s">
        <v>934</v>
      </c>
      <c r="C140" s="66" t="s">
        <v>134</v>
      </c>
      <c r="D140" s="43" t="s">
        <v>81</v>
      </c>
      <c r="E140" s="75" t="s">
        <v>43</v>
      </c>
      <c r="F140" s="76"/>
      <c r="G140" s="85" t="n">
        <v>0</v>
      </c>
      <c r="H140" s="85" t="n">
        <v>0</v>
      </c>
      <c r="I140" s="36" t="n">
        <f aca="false">H147</f>
        <v>1856502503.67271</v>
      </c>
      <c r="J140" s="36" t="n">
        <f aca="false">I147</f>
        <v>134407957.371068</v>
      </c>
      <c r="K140" s="36" t="n">
        <f aca="false">J147</f>
        <v>134407957.371068</v>
      </c>
      <c r="L140" s="36" t="n">
        <f aca="false">K147</f>
        <v>134407957.371068</v>
      </c>
      <c r="M140" s="36" t="n">
        <f aca="false">L147</f>
        <v>134407957.371068</v>
      </c>
      <c r="N140" s="36" t="n">
        <f aca="false">M147</f>
        <v>134407957.371068</v>
      </c>
      <c r="O140" s="36" t="n">
        <f aca="false">N147</f>
        <v>134407957.371068</v>
      </c>
      <c r="P140" s="36" t="n">
        <f aca="false">O147</f>
        <v>134407957.371068</v>
      </c>
      <c r="Q140" s="36" t="n">
        <f aca="false">P147</f>
        <v>134407957.371068</v>
      </c>
      <c r="R140" s="36" t="n">
        <f aca="false">Q147</f>
        <v>134407957.371068</v>
      </c>
      <c r="S140" s="36" t="n">
        <f aca="false">R147</f>
        <v>134407957.371068</v>
      </c>
    </row>
    <row r="141" customFormat="false" ht="15" hidden="false" customHeight="false" outlineLevel="0" collapsed="false">
      <c r="A141" s="73" t="s">
        <v>930</v>
      </c>
      <c r="B141" s="74" t="s">
        <v>935</v>
      </c>
      <c r="C141" s="66" t="s">
        <v>134</v>
      </c>
      <c r="D141" s="43" t="s">
        <v>332</v>
      </c>
      <c r="E141" s="75" t="s">
        <v>917</v>
      </c>
      <c r="F141" s="76"/>
      <c r="G141" s="77" t="n">
        <v>0</v>
      </c>
      <c r="H141" s="77" t="n">
        <v>270000</v>
      </c>
      <c r="I141" s="78" t="n">
        <f aca="false">I139+I59+I137</f>
        <v>506995</v>
      </c>
      <c r="J141" s="78" t="n">
        <f aca="false">J139+J59+J137</f>
        <v>8588.83436934708</v>
      </c>
      <c r="K141" s="78" t="n">
        <f aca="false">K139+K59+K137</f>
        <v>8588.83436934708</v>
      </c>
      <c r="L141" s="78" t="n">
        <f aca="false">L139+L59+L137</f>
        <v>8588.83436934708</v>
      </c>
      <c r="M141" s="78" t="n">
        <f aca="false">M139+M59+M137</f>
        <v>8588.83436934708</v>
      </c>
      <c r="N141" s="78" t="n">
        <f aca="false">N139+N59+N137</f>
        <v>8588.83436934708</v>
      </c>
      <c r="O141" s="78" t="n">
        <f aca="false">O139+O59+O137</f>
        <v>8588.83436934708</v>
      </c>
      <c r="P141" s="78" t="n">
        <f aca="false">P139+P59+P137</f>
        <v>8588.83436934708</v>
      </c>
      <c r="Q141" s="78" t="n">
        <f aca="false">Q139+Q59+Q137</f>
        <v>8588.83436934708</v>
      </c>
      <c r="R141" s="78" t="n">
        <f aca="false">R139+R59+R137</f>
        <v>8588.83436934708</v>
      </c>
      <c r="S141" s="78" t="n">
        <f aca="false">S139+S59+S137</f>
        <v>8588.83436934708</v>
      </c>
    </row>
    <row r="142" customFormat="false" ht="15" hidden="false" customHeight="false" outlineLevel="0" collapsed="false">
      <c r="A142" s="73" t="s">
        <v>930</v>
      </c>
      <c r="B142" s="74" t="s">
        <v>936</v>
      </c>
      <c r="C142" s="66" t="s">
        <v>134</v>
      </c>
      <c r="D142" s="43" t="s">
        <v>81</v>
      </c>
      <c r="E142" s="75" t="s">
        <v>917</v>
      </c>
      <c r="F142" s="76"/>
      <c r="G142" s="77" t="n">
        <v>0</v>
      </c>
      <c r="H142" s="77" t="n">
        <v>4192252297.9577</v>
      </c>
      <c r="I142" s="78" t="n">
        <f aca="false">I140+I59*I62+I137*I138</f>
        <v>7926729735.04151</v>
      </c>
      <c r="J142" s="78" t="n">
        <f aca="false">J140+J59*J62+J137*J138</f>
        <v>134407957.371068</v>
      </c>
      <c r="K142" s="78" t="n">
        <f aca="false">K140+K59*K62+K137*K138</f>
        <v>134407957.371068</v>
      </c>
      <c r="L142" s="78" t="n">
        <f aca="false">L140+L59*L62+L137*L138</f>
        <v>134407957.371068</v>
      </c>
      <c r="M142" s="78" t="n">
        <f aca="false">M140+M59*M62+M137*M138</f>
        <v>134407957.371068</v>
      </c>
      <c r="N142" s="78" t="n">
        <f aca="false">N140+N59*N62+N137*N138</f>
        <v>134407957.371068</v>
      </c>
      <c r="O142" s="78" t="n">
        <f aca="false">O140+O59*O62+O137*O138</f>
        <v>134407957.371068</v>
      </c>
      <c r="P142" s="78" t="n">
        <f aca="false">P140+P59*P62+P137*P138</f>
        <v>134407957.371068</v>
      </c>
      <c r="Q142" s="78" t="n">
        <f aca="false">Q140+Q59*Q62+Q137*Q138</f>
        <v>134407957.371068</v>
      </c>
      <c r="R142" s="78" t="n">
        <f aca="false">R140+R59*R62+R137*R138</f>
        <v>134407957.371068</v>
      </c>
      <c r="S142" s="78" t="n">
        <f aca="false">S140+S59*S62+S137*S138</f>
        <v>134407957.371068</v>
      </c>
    </row>
    <row r="143" customFormat="false" ht="48.5" hidden="false" customHeight="false" outlineLevel="0" collapsed="false">
      <c r="A143" s="73" t="s">
        <v>930</v>
      </c>
      <c r="B143" s="74" t="s">
        <v>937</v>
      </c>
      <c r="C143" s="66" t="s">
        <v>134</v>
      </c>
      <c r="D143" s="43" t="s">
        <v>89</v>
      </c>
      <c r="E143" s="75" t="s">
        <v>917</v>
      </c>
      <c r="F143" s="76" t="s">
        <v>938</v>
      </c>
      <c r="G143" s="81" t="n">
        <v>0</v>
      </c>
      <c r="H143" s="81" t="n">
        <v>15526.8603628063</v>
      </c>
      <c r="I143" s="82" t="n">
        <f aca="false">IFERROR(I145/I144,0)</f>
        <v>15634.4811019954</v>
      </c>
      <c r="J143" s="82" t="n">
        <f aca="false">IFERROR(J145/J144,0)</f>
        <v>0</v>
      </c>
      <c r="K143" s="82" t="n">
        <f aca="false">IFERROR(K145/K144,0)</f>
        <v>0</v>
      </c>
      <c r="L143" s="82" t="n">
        <f aca="false">IFERROR(L145/L144,0)</f>
        <v>0</v>
      </c>
      <c r="M143" s="82" t="n">
        <f aca="false">IFERROR(M145/M144,0)</f>
        <v>0</v>
      </c>
      <c r="N143" s="82" t="n">
        <f aca="false">IFERROR(N145/N144,0)</f>
        <v>0</v>
      </c>
      <c r="O143" s="82" t="n">
        <f aca="false">IFERROR(O145/O144,0)</f>
        <v>0</v>
      </c>
      <c r="P143" s="82" t="n">
        <f aca="false">IFERROR(P145/P144,0)</f>
        <v>0</v>
      </c>
      <c r="Q143" s="82" t="n">
        <f aca="false">IFERROR(Q145/Q144,0)</f>
        <v>0</v>
      </c>
      <c r="R143" s="82" t="n">
        <f aca="false">IFERROR(R145/R144,0)</f>
        <v>0</v>
      </c>
      <c r="S143" s="82" t="n">
        <f aca="false">IFERROR(S145/S144,0)</f>
        <v>0</v>
      </c>
    </row>
    <row r="144" customFormat="false" ht="28.35" hidden="false" customHeight="false" outlineLevel="0" collapsed="false">
      <c r="A144" s="73" t="s">
        <v>930</v>
      </c>
      <c r="B144" s="74" t="s">
        <v>939</v>
      </c>
      <c r="C144" s="66" t="s">
        <v>134</v>
      </c>
      <c r="D144" s="43" t="s">
        <v>332</v>
      </c>
      <c r="E144" s="75" t="s">
        <v>940</v>
      </c>
      <c r="F144" s="76" t="s">
        <v>941</v>
      </c>
      <c r="G144" s="85" t="n">
        <v>0</v>
      </c>
      <c r="H144" s="85" t="n">
        <v>156005</v>
      </c>
      <c r="I144" s="86" t="n">
        <f aca="false">_ENGINE_MERCADO!I179</f>
        <v>498406.165630653</v>
      </c>
      <c r="J144" s="86" t="n">
        <f aca="false">_ENGINE_MERCADO!J179</f>
        <v>0</v>
      </c>
      <c r="K144" s="86" t="n">
        <f aca="false">_ENGINE_MERCADO!K179</f>
        <v>0</v>
      </c>
      <c r="L144" s="86" t="n">
        <f aca="false">_ENGINE_MERCADO!L179</f>
        <v>0</v>
      </c>
      <c r="M144" s="86" t="n">
        <f aca="false">_ENGINE_MERCADO!M179</f>
        <v>0</v>
      </c>
      <c r="N144" s="86" t="n">
        <f aca="false">_ENGINE_MERCADO!N179</f>
        <v>0</v>
      </c>
      <c r="O144" s="86" t="n">
        <f aca="false">_ENGINE_MERCADO!O179</f>
        <v>0</v>
      </c>
      <c r="P144" s="86" t="n">
        <f aca="false">_ENGINE_MERCADO!P179</f>
        <v>0</v>
      </c>
      <c r="Q144" s="86" t="n">
        <f aca="false">_ENGINE_MERCADO!Q179</f>
        <v>0</v>
      </c>
      <c r="R144" s="86" t="n">
        <f aca="false">_ENGINE_MERCADO!R179</f>
        <v>0</v>
      </c>
      <c r="S144" s="86" t="n">
        <f aca="false">_ENGINE_MERCADO!S179</f>
        <v>0</v>
      </c>
    </row>
    <row r="145" customFormat="false" ht="15" hidden="false" customHeight="false" outlineLevel="0" collapsed="false">
      <c r="A145" s="73" t="s">
        <v>930</v>
      </c>
      <c r="B145" s="74" t="s">
        <v>942</v>
      </c>
      <c r="C145" s="66" t="s">
        <v>134</v>
      </c>
      <c r="D145" s="43" t="s">
        <v>81</v>
      </c>
      <c r="E145" s="75" t="s">
        <v>917</v>
      </c>
      <c r="F145" s="76"/>
      <c r="G145" s="77" t="n">
        <v>0</v>
      </c>
      <c r="H145" s="77" t="n">
        <v>0</v>
      </c>
      <c r="I145" s="78" t="n">
        <f aca="false">I142-I147</f>
        <v>7792321777.67044</v>
      </c>
      <c r="J145" s="78" t="n">
        <f aca="false">J142-J147</f>
        <v>0</v>
      </c>
      <c r="K145" s="78" t="n">
        <f aca="false">K142-K147</f>
        <v>0</v>
      </c>
      <c r="L145" s="78" t="n">
        <f aca="false">L142-L147</f>
        <v>0</v>
      </c>
      <c r="M145" s="78" t="n">
        <f aca="false">M142-M147</f>
        <v>0</v>
      </c>
      <c r="N145" s="78" t="n">
        <f aca="false">N142-N147</f>
        <v>0</v>
      </c>
      <c r="O145" s="78" t="n">
        <f aca="false">O142-O147</f>
        <v>0</v>
      </c>
      <c r="P145" s="78" t="n">
        <f aca="false">P142-P147</f>
        <v>0</v>
      </c>
      <c r="Q145" s="78" t="n">
        <f aca="false">Q142-Q147</f>
        <v>0</v>
      </c>
      <c r="R145" s="78" t="n">
        <f aca="false">R142-R147</f>
        <v>0</v>
      </c>
      <c r="S145" s="78" t="n">
        <f aca="false">S142-S147</f>
        <v>0</v>
      </c>
    </row>
    <row r="146" customFormat="false" ht="15" hidden="false" customHeight="false" outlineLevel="0" collapsed="false">
      <c r="A146" s="73" t="s">
        <v>930</v>
      </c>
      <c r="B146" s="74" t="s">
        <v>943</v>
      </c>
      <c r="C146" s="66" t="s">
        <v>134</v>
      </c>
      <c r="D146" s="43" t="s">
        <v>332</v>
      </c>
      <c r="E146" s="75" t="s">
        <v>917</v>
      </c>
      <c r="F146" s="76"/>
      <c r="G146" s="85" t="n">
        <v>0</v>
      </c>
      <c r="H146" s="85" t="n">
        <v>113995</v>
      </c>
      <c r="I146" s="36" t="n">
        <f aca="false">I141-I144</f>
        <v>8588.83436934708</v>
      </c>
      <c r="J146" s="36" t="n">
        <f aca="false">J141-J144</f>
        <v>8588.83436934708</v>
      </c>
      <c r="K146" s="36" t="n">
        <f aca="false">K141-K144</f>
        <v>8588.83436934708</v>
      </c>
      <c r="L146" s="36" t="n">
        <f aca="false">L141-L144</f>
        <v>8588.83436934708</v>
      </c>
      <c r="M146" s="36" t="n">
        <f aca="false">M141-M144</f>
        <v>8588.83436934708</v>
      </c>
      <c r="N146" s="36" t="n">
        <f aca="false">N141-N144</f>
        <v>8588.83436934708</v>
      </c>
      <c r="O146" s="36" t="n">
        <f aca="false">O141-O144</f>
        <v>8588.83436934708</v>
      </c>
      <c r="P146" s="36" t="n">
        <f aca="false">P141-P144</f>
        <v>8588.83436934708</v>
      </c>
      <c r="Q146" s="36" t="n">
        <f aca="false">Q141-Q144</f>
        <v>8588.83436934708</v>
      </c>
      <c r="R146" s="36" t="n">
        <f aca="false">R141-R144</f>
        <v>8588.83436934708</v>
      </c>
      <c r="S146" s="36" t="n">
        <f aca="false">S141-S144</f>
        <v>8588.83436934708</v>
      </c>
    </row>
    <row r="147" customFormat="false" ht="15" hidden="false" customHeight="false" outlineLevel="0" collapsed="false">
      <c r="A147" s="73" t="s">
        <v>930</v>
      </c>
      <c r="B147" s="74" t="s">
        <v>944</v>
      </c>
      <c r="C147" s="66" t="s">
        <v>134</v>
      </c>
      <c r="D147" s="43" t="s">
        <v>81</v>
      </c>
      <c r="E147" s="75" t="s">
        <v>917</v>
      </c>
      <c r="F147" s="76"/>
      <c r="G147" s="85" t="n">
        <v>0</v>
      </c>
      <c r="H147" s="85" t="n">
        <v>1856502503.67271</v>
      </c>
      <c r="I147" s="78" t="n">
        <f aca="false">MAX(0,MIN(113995,113995-SUM(I144:I144)))*16285.8239718646+MAX(0,MIN(I59,113995+I59-SUM(I144:I144)))*I62+MAX(0,MIN(I137,113995+I59+I137-SUM(I144:I144)))*I138</f>
        <v>134407957.371068</v>
      </c>
      <c r="J147" s="78" t="n">
        <f aca="false">MAX(0,MIN(113995,113995-SUM(I144:J144)))*16285.8239718646+MAX(0,MIN(I59,113995+I59-SUM(I144:J144)))*I62+MAX(0,MIN(I137,113995+I59+I137-SUM(I144:J144)))*I138+MAX(0,MIN(J59,113995+I59+I137+J59-SUM(I144:J144)))*J62+MAX(0,MIN(J137,113995+I59+I137+J59+J137-SUM(I144:J144)))*J138</f>
        <v>134407957.371068</v>
      </c>
      <c r="K147" s="78" t="n">
        <f aca="false">MAX(0,MIN(113995,113995-SUM(I144:K144)))*16285.8239718646+MAX(0,MIN(I59,113995+I59-SUM(I144:K144)))*I62+MAX(0,MIN(I137,113995+I59+I137-SUM(I144:K144)))*I138+MAX(0,MIN(J59,113995+I59+I137+J59-SUM(I144:K144)))*J62+MAX(0,MIN(J137,113995+I59+I137+J59+J137-SUM(I144:K144)))*J138+MAX(0,MIN(K59,113995+I59+I137+J59+J137+K59-SUM(I144:K144)))*K62+MAX(0,MIN(K137,113995+I59+I137+J59+J137+K59+K137-SUM(I144:K144)))*K138</f>
        <v>134407957.371068</v>
      </c>
      <c r="L147" s="78" t="n">
        <f aca="false">MAX(0,MIN(113995,113995-SUM(I144:L144)))*16285.8239718646+MAX(0,MIN(I59,113995+I59-SUM(I144:L144)))*I62+MAX(0,MIN(I137,113995+I59+I137-SUM(I144:L144)))*I138+MAX(0,MIN(J59,113995+I59+I137+J59-SUM(I144:L144)))*J62+MAX(0,MIN(J137,113995+I59+I137+J59+J137-SUM(I144:L144)))*J138+MAX(0,MIN(K59,113995+I59+I137+J59+J137+K59-SUM(I144:L144)))*K62+MAX(0,MIN(K137,113995+I59+I137+J59+J137+K59+K137-SUM(I144:L144)))*K138+MAX(0,MIN(L59,113995+I59+I137+J59+J137+K59+K137+L59-SUM(I144:L144)))*L62+MAX(0,MIN(L137,113995+I59+I137+J59+J137+K59+K137+L59+L137-SUM(I144:L144)))*L138</f>
        <v>134407957.371068</v>
      </c>
      <c r="M147" s="78" t="n">
        <f aca="false">MAX(0,MIN(113995,113995-SUM(I144:M144)))*16285.8239718646+MAX(0,MIN(I59,113995+I59-SUM(I144:M144)))*I62+MAX(0,MIN(I137,113995+I59+I137-SUM(I144:M144)))*I138+MAX(0,MIN(J59,113995+I59+I137+J59-SUM(I144:M144)))*J62+MAX(0,MIN(J137,113995+I59+I137+J59+J137-SUM(I144:M144)))*J138+MAX(0,MIN(K59,113995+I59+I137+J59+J137+K59-SUM(I144:M144)))*K62+MAX(0,MIN(K137,113995+I59+I137+J59+J137+K59+K137-SUM(I144:M144)))*K138+MAX(0,MIN(L59,113995+I59+I137+J59+J137+K59+K137+L59-SUM(I144:M144)))*L62+MAX(0,MIN(L137,113995+I59+I137+J59+J137+K59+K137+L59+L137-SUM(I144:M144)))*L138+MAX(0,MIN(M59,113995+I59+I137+J59+J137+K59+K137+L59+L137+M59-SUM(I144:M144)))*M62+MAX(0,MIN(M137,113995+I59+I137+J59+J137+K59+K137+L59+L137+M59+M137-SUM(I144:M144)))*M138</f>
        <v>134407957.371068</v>
      </c>
      <c r="N147" s="78" t="n">
        <f aca="false">MAX(0,MIN(113995,113995-SUM(I144:N144)))*16285.8239718646+MAX(0,MIN(I59,113995+I59-SUM(I144:N144)))*I62+MAX(0,MIN(I137,113995+I59+I137-SUM(I144:N144)))*I138+MAX(0,MIN(J59,113995+I59+I137+J59-SUM(I144:N144)))*J62+MAX(0,MIN(J137,113995+I59+I137+J59+J137-SUM(I144:N144)))*J138+MAX(0,MIN(K59,113995+I59+I137+J59+J137+K59-SUM(I144:N144)))*K62+MAX(0,MIN(K137,113995+I59+I137+J59+J137+K59+K137-SUM(I144:N144)))*K138+MAX(0,MIN(L59,113995+I59+I137+J59+J137+K59+K137+L59-SUM(I144:N144)))*L62+MAX(0,MIN(L137,113995+I59+I137+J59+J137+K59+K137+L59+L137-SUM(I144:N144)))*L138+MAX(0,MIN(M59,113995+I59+I137+J59+J137+K59+K137+L59+L137+M59-SUM(I144:N144)))*M62+MAX(0,MIN(M137,113995+I59+I137+J59+J137+K59+K137+L59+L137+M59+M137-SUM(I144:N144)))*M138+MAX(0,MIN(N59,113995+I59+I137+J59+J137+K59+K137+L59+L137+M59+M137+N59-SUM(I144:N144)))*N62+MAX(0,MIN(N137,113995+I59+I137+J59+J137+K59+K137+L59+L137+M59+M137+N59+N137-SUM(I144:N144)))*N138</f>
        <v>134407957.371068</v>
      </c>
      <c r="O147" s="78" t="n">
        <f aca="false">MAX(0,MIN(113995,113995-SUM(I144:O144)))*16285.8239718646+MAX(0,MIN(I59,113995+I59-SUM(I144:O144)))*I62+MAX(0,MIN(I137,113995+I59+I137-SUM(I144:O144)))*I138+MAX(0,MIN(J59,113995+I59+I137+J59-SUM(I144:O144)))*J62+MAX(0,MIN(J137,113995+I59+I137+J59+J137-SUM(I144:O144)))*J138+MAX(0,MIN(K59,113995+I59+I137+J59+J137+K59-SUM(I144:O144)))*K62+MAX(0,MIN(K137,113995+I59+I137+J59+J137+K59+K137-SUM(I144:O144)))*K138+MAX(0,MIN(L59,113995+I59+I137+J59+J137+K59+K137+L59-SUM(I144:O144)))*L62+MAX(0,MIN(L137,113995+I59+I137+J59+J137+K59+K137+L59+L137-SUM(I144:O144)))*L138+MAX(0,MIN(M59,113995+I59+I137+J59+J137+K59+K137+L59+L137+M59-SUM(I144:O144)))*M62+MAX(0,MIN(M137,113995+I59+I137+J59+J137+K59+K137+L59+L137+M59+M137-SUM(I144:O144)))*M138+MAX(0,MIN(N59,113995+I59+I137+J59+J137+K59+K137+L59+L137+M59+M137+N59-SUM(I144:O144)))*N62+MAX(0,MIN(N137,113995+I59+I137+J59+J137+K59+K137+L59+L137+M59+M137+N59+N137-SUM(I144:O144)))*N138+MAX(0,MIN(O59,113995+I59+I137+J59+J137+K59+K137+L59+L137+M59+M137+N59+N137+O59-SUM(I144:O144)))*O62+MAX(0,MIN(O137,113995+I59+I137+J59+J137+K59+K137+L59+L137+M59+M137+N59+N137+O59+O137-SUM(I144:O144)))*O138</f>
        <v>134407957.371068</v>
      </c>
      <c r="P147" s="78" t="n">
        <f aca="false">MAX(0,MIN(113995,113995-SUM(I144:P144)))*16285.8239718646+MAX(0,MIN(I59,113995+I59-SUM(I144:P144)))*I62+MAX(0,MIN(I137,113995+I59+I137-SUM(I144:P144)))*I138+MAX(0,MIN(J59,113995+I59+I137+J59-SUM(I144:P144)))*J62+MAX(0,MIN(J137,113995+I59+I137+J59+J137-SUM(I144:P144)))*J138+MAX(0,MIN(K59,113995+I59+I137+J59+J137+K59-SUM(I144:P144)))*K62+MAX(0,MIN(K137,113995+I59+I137+J59+J137+K59+K137-SUM(I144:P144)))*K138+MAX(0,MIN(L59,113995+I59+I137+J59+J137+K59+K137+L59-SUM(I144:P144)))*L62+MAX(0,MIN(L137,113995+I59+I137+J59+J137+K59+K137+L59+L137-SUM(I144:P144)))*L138+MAX(0,MIN(M59,113995+I59+I137+J59+J137+K59+K137+L59+L137+M59-SUM(I144:P144)))*M62+MAX(0,MIN(M137,113995+I59+I137+J59+J137+K59+K137+L59+L137+M59+M137-SUM(I144:P144)))*M138+MAX(0,MIN(N59,113995+I59+I137+J59+J137+K59+K137+L59+L137+M59+M137+N59-SUM(I144:P144)))*N62+MAX(0,MIN(N137,113995+I59+I137+J59+J137+K59+K137+L59+L137+M59+M137+N59+N137-SUM(I144:P144)))*N138+MAX(0,MIN(O59,113995+I59+I137+J59+J137+K59+K137+L59+L137+M59+M137+N59+N137+O59-SUM(I144:P144)))*O62+MAX(0,MIN(O137,113995+I59+I137+J59+J137+K59+K137+L59+L137+M59+M137+N59+N137+O59+O137-SUM(I144:P144)))*O138+MAX(0,MIN(P59,113995+I59+I137+J59+J137+K59+K137+L59+L137+M59+M137+N59+N137+O59+O137+P59-SUM(I144:P144)))*P62+MAX(0,MIN(P137,113995+I59+I137+J59+J137+K59+K137+L59+L137+M59+M137+N59+N137+O59+O137+P59+P137-SUM(I144:P144)))*P138</f>
        <v>134407957.371068</v>
      </c>
      <c r="Q147" s="78" t="n">
        <f aca="false">MAX(0,MIN(113995,113995-SUM(I144:Q144)))*16285.8239718646+MAX(0,MIN(I59,113995+I59-SUM(I144:Q144)))*I62+MAX(0,MIN(I137,113995+I59+I137-SUM(I144:Q144)))*I138+MAX(0,MIN(J59,113995+I59+I137+J59-SUM(I144:Q144)))*J62+MAX(0,MIN(J137,113995+I59+I137+J59+J137-SUM(I144:Q144)))*J138+MAX(0,MIN(K59,113995+I59+I137+J59+J137+K59-SUM(I144:Q144)))*K62+MAX(0,MIN(K137,113995+I59+I137+J59+J137+K59+K137-SUM(I144:Q144)))*K138+MAX(0,MIN(L59,113995+I59+I137+J59+J137+K59+K137+L59-SUM(I144:Q144)))*L62+MAX(0,MIN(L137,113995+I59+I137+J59+J137+K59+K137+L59+L137-SUM(I144:Q144)))*L138+MAX(0,MIN(M59,113995+I59+I137+J59+J137+K59+K137+L59+L137+M59-SUM(I144:Q144)))*M62+MAX(0,MIN(M137,113995+I59+I137+J59+J137+K59+K137+L59+L137+M59+M137-SUM(I144:Q144)))*M138+MAX(0,MIN(N59,113995+I59+I137+J59+J137+K59+K137+L59+L137+M59+M137+N59-SUM(I144:Q144)))*N62+MAX(0,MIN(N137,113995+I59+I137+J59+J137+K59+K137+L59+L137+M59+M137+N59+N137-SUM(I144:Q144)))*N138+MAX(0,MIN(O59,113995+I59+I137+J59+J137+K59+K137+L59+L137+M59+M137+N59+N137+O59-SUM(I144:Q144)))*O62+MAX(0,MIN(O137,113995+I59+I137+J59+J137+K59+K137+L59+L137+M59+M137+N59+N137+O59+O137-SUM(I144:Q144)))*O138+MAX(0,MIN(P59,113995+I59+I137+J59+J137+K59+K137+L59+L137+M59+M137+N59+N137+O59+O137+P59-SUM(I144:Q144)))*P62+MAX(0,MIN(P137,113995+I59+I137+J59+J137+K59+K137+L59+L137+M59+M137+N59+N137+O59+O137+P59+P137-SUM(I144:Q144)))*P138+MAX(0,MIN(Q59,113995+I59+I137+J59+J137+K59+K137+L59+L137+M59+M137+N59+N137+O59+O137+P59+P137+Q59-SUM(I144:Q144)))*Q62+MAX(0,MIN(Q137,113995+I59+I137+J59+J137+K59+K137+L59+L137+M59+M137+N59+N137+O59+O137+P59+P137+Q59+Q137-SUM(I144:Q144)))*Q138</f>
        <v>134407957.371068</v>
      </c>
      <c r="R147" s="78" t="n">
        <f aca="false">MAX(0,MIN(113995,113995-SUM(I144:R144)))*16285.8239718646+MAX(0,MIN(I59,113995+I59-SUM(I144:R144)))*I62+MAX(0,MIN(I137,113995+I59+I137-SUM(I144:R144)))*I138+MAX(0,MIN(J59,113995+I59+I137+J59-SUM(I144:R144)))*J62+MAX(0,MIN(J137,113995+I59+I137+J59+J137-SUM(I144:R144)))*J138+MAX(0,MIN(K59,113995+I59+I137+J59+J137+K59-SUM(I144:R144)))*K62+MAX(0,MIN(K137,113995+I59+I137+J59+J137+K59+K137-SUM(I144:R144)))*K138+MAX(0,MIN(L59,113995+I59+I137+J59+J137+K59+K137+L59-SUM(I144:R144)))*L62+MAX(0,MIN(L137,113995+I59+I137+J59+J137+K59+K137+L59+L137-SUM(I144:R144)))*L138+MAX(0,MIN(M59,113995+I59+I137+J59+J137+K59+K137+L59+L137+M59-SUM(I144:R144)))*M62+MAX(0,MIN(M137,113995+I59+I137+J59+J137+K59+K137+L59+L137+M59+M137-SUM(I144:R144)))*M138+MAX(0,MIN(N59,113995+I59+I137+J59+J137+K59+K137+L59+L137+M59+M137+N59-SUM(I144:R144)))*N62+MAX(0,MIN(N137,113995+I59+I137+J59+J137+K59+K137+L59+L137+M59+M137+N59+N137-SUM(I144:R144)))*N138+MAX(0,MIN(O59,113995+I59+I137+J59+J137+K59+K137+L59+L137+M59+M137+N59+N137+O59-SUM(I144:R144)))*O62+MAX(0,MIN(O137,113995+I59+I137+J59+J137+K59+K137+L59+L137+M59+M137+N59+N137+O59+O137-SUM(I144:R144)))*O138+MAX(0,MIN(P59,113995+I59+I137+J59+J137+K59+K137+L59+L137+M59+M137+N59+N137+O59+O137+P59-SUM(I144:R144)))*P62+MAX(0,MIN(P137,113995+I59+I137+J59+J137+K59+K137+L59+L137+M59+M137+N59+N137+O59+O137+P59+P137-SUM(I144:R144)))*P138+MAX(0,MIN(Q59,113995+I59+I137+J59+J137+K59+K137+L59+L137+M59+M137+N59+N137+O59+O137+P59+P137+Q59-SUM(I144:R144)))*Q62+MAX(0,MIN(Q137,113995+I59+I137+J59+J137+K59+K137+L59+L137+M59+M137+N59+N137+O59+O137+P59+P137+Q59+Q137-SUM(I144:R144)))*Q138+MAX(0,MIN(R59,113995+I59+I137+J59+J137+K59+K137+L59+L137+M59+M137+N59+N137+O59+O137+P59+P137+Q59+Q137+R59-SUM(I144:R144)))*R62+MAX(0,MIN(R137,113995+I59+I137+J59+J137+K59+K137+L59+L137+M59+M137+N59+N137+O59+O137+P59+P137+Q59+Q137+R59+R137-SUM(I144:R144)))*R138</f>
        <v>134407957.371068</v>
      </c>
      <c r="S147" s="78" t="n">
        <f aca="false">MAX(0,MIN(113995,113995-SUM(I144:S144)))*16285.8239718646+MAX(0,MIN(I59,113995+I59-SUM(I144:S144)))*I62+MAX(0,MIN(I137,113995+I59+I137-SUM(I144:S144)))*I138+MAX(0,MIN(J59,113995+I59+I137+J59-SUM(I144:S144)))*J62+MAX(0,MIN(J137,113995+I59+I137+J59+J137-SUM(I144:S144)))*J138+MAX(0,MIN(K59,113995+I59+I137+J59+J137+K59-SUM(I144:S144)))*K62+MAX(0,MIN(K137,113995+I59+I137+J59+J137+K59+K137-SUM(I144:S144)))*K138+MAX(0,MIN(L59,113995+I59+I137+J59+J137+K59+K137+L59-SUM(I144:S144)))*L62+MAX(0,MIN(L137,113995+I59+I137+J59+J137+K59+K137+L59+L137-SUM(I144:S144)))*L138+MAX(0,MIN(M59,113995+I59+I137+J59+J137+K59+K137+L59+L137+M59-SUM(I144:S144)))*M62+MAX(0,MIN(M137,113995+I59+I137+J59+J137+K59+K137+L59+L137+M59+M137-SUM(I144:S144)))*M138+MAX(0,MIN(N59,113995+I59+I137+J59+J137+K59+K137+L59+L137+M59+M137+N59-SUM(I144:S144)))*N62+MAX(0,MIN(N137,113995+I59+I137+J59+J137+K59+K137+L59+L137+M59+M137+N59+N137-SUM(I144:S144)))*N138+MAX(0,MIN(O59,113995+I59+I137+J59+J137+K59+K137+L59+L137+M59+M137+N59+N137+O59-SUM(I144:S144)))*O62+MAX(0,MIN(O137,113995+I59+I137+J59+J137+K59+K137+L59+L137+M59+M137+N59+N137+O59+O137-SUM(I144:S144)))*O138+MAX(0,MIN(P59,113995+I59+I137+J59+J137+K59+K137+L59+L137+M59+M137+N59+N137+O59+O137+P59-SUM(I144:S144)))*P62+MAX(0,MIN(P137,113995+I59+I137+J59+J137+K59+K137+L59+L137+M59+M137+N59+N137+O59+O137+P59+P137-SUM(I144:S144)))*P138+MAX(0,MIN(Q59,113995+I59+I137+J59+J137+K59+K137+L59+L137+M59+M137+N59+N137+O59+O137+P59+P137+Q59-SUM(I144:S144)))*Q62+MAX(0,MIN(Q137,113995+I59+I137+J59+J137+K59+K137+L59+L137+M59+M137+N59+N137+O59+O137+P59+P137+Q59+Q137-SUM(I144:S144)))*Q138+MAX(0,MIN(R59,113995+I59+I137+J59+J137+K59+K137+L59+L137+M59+M137+N59+N137+O59+O137+P59+P137+Q59+Q137+R59-SUM(I144:S144)))*R62+MAX(0,MIN(R137,113995+I59+I137+J59+J137+K59+K137+L59+L137+M59+M137+N59+N137+O59+O137+P59+P137+Q59+Q137+R59+R137-SUM(I144:S144)))*R138+MAX(0,MIN(S59,113995+I59+I137+J59+J137+K59+K137+L59+L137+M59+M137+N59+N137+O59+O137+P59+P137+Q59+Q137+R59+R137+S59-SUM(I144:S144)))*S62+MAX(0,MIN(S137,113995+I59+I137+J59+J137+K59+K137+L59+L137+M59+M137+N59+N137+O59+O137+P59+P137+Q59+Q137+R59+R137+S59+S137-SUM(I144:S144)))*S138</f>
        <v>134407957.371068</v>
      </c>
    </row>
    <row r="149" customFormat="false" ht="15" hidden="false" customHeight="false" outlineLevel="0" collapsed="false">
      <c r="A149" s="73" t="s">
        <v>930</v>
      </c>
      <c r="B149" s="74" t="s">
        <v>931</v>
      </c>
      <c r="C149" s="66" t="s">
        <v>135</v>
      </c>
      <c r="D149" s="43" t="s">
        <v>332</v>
      </c>
      <c r="E149" s="75" t="s">
        <v>43</v>
      </c>
      <c r="F149" s="76"/>
      <c r="G149" s="36" t="n">
        <f aca="false">IF(ISNUMBER(01_INPUTS!G152),01_INPUTS!G152,0)*1000</f>
        <v>0</v>
      </c>
      <c r="H149" s="36" t="n">
        <f aca="false">IF(ISNUMBER(01_INPUTS!H152),01_INPUTS!H152,0)*1000</f>
        <v>0</v>
      </c>
      <c r="I149" s="36" t="n">
        <f aca="false">IF(ISNUMBER(01_INPUTS!I152),01_INPUTS!I152,0)*1000</f>
        <v>0</v>
      </c>
      <c r="J149" s="36" t="n">
        <f aca="false">IF(ISNUMBER(01_INPUTS!J152),01_INPUTS!J152,0)*1000</f>
        <v>0</v>
      </c>
      <c r="K149" s="36" t="n">
        <f aca="false">IF(ISNUMBER(01_INPUTS!K152),01_INPUTS!K152,0)*1000</f>
        <v>0</v>
      </c>
      <c r="L149" s="36" t="n">
        <f aca="false">IF(ISNUMBER(01_INPUTS!L152),01_INPUTS!L152,0)*1000</f>
        <v>0</v>
      </c>
      <c r="M149" s="36" t="n">
        <f aca="false">IF(ISNUMBER(01_INPUTS!M152),01_INPUTS!M152,0)*1000</f>
        <v>0</v>
      </c>
      <c r="N149" s="36" t="n">
        <f aca="false">IF(ISNUMBER(01_INPUTS!N152),01_INPUTS!N152,0)*1000</f>
        <v>0</v>
      </c>
      <c r="O149" s="36" t="n">
        <f aca="false">IF(ISNUMBER(01_INPUTS!O152),01_INPUTS!O152,0)*1000</f>
        <v>0</v>
      </c>
      <c r="P149" s="36" t="n">
        <f aca="false">IF(ISNUMBER(01_INPUTS!P152),01_INPUTS!P152,0)*1000</f>
        <v>0</v>
      </c>
      <c r="Q149" s="36" t="n">
        <f aca="false">IF(ISNUMBER(01_INPUTS!Q152),01_INPUTS!Q152,0)*1000</f>
        <v>0</v>
      </c>
      <c r="R149" s="36" t="n">
        <f aca="false">IF(ISNUMBER(01_INPUTS!R152),01_INPUTS!R152,0)*1000</f>
        <v>0</v>
      </c>
      <c r="S149" s="36" t="n">
        <f aca="false">IF(ISNUMBER(01_INPUTS!S152),01_INPUTS!S152,0)*1000</f>
        <v>0</v>
      </c>
    </row>
    <row r="150" customFormat="false" ht="15" hidden="false" customHeight="false" outlineLevel="0" collapsed="false">
      <c r="A150" s="73" t="s">
        <v>930</v>
      </c>
      <c r="B150" s="74" t="s">
        <v>127</v>
      </c>
      <c r="C150" s="66" t="s">
        <v>135</v>
      </c>
      <c r="D150" s="43" t="s">
        <v>89</v>
      </c>
      <c r="E150" s="75" t="s">
        <v>932</v>
      </c>
      <c r="F150" s="76"/>
      <c r="G150" s="84" t="n">
        <f aca="false">IF(ISNUMBER(01_INPUTS!G84),01_INPUTS!G84,0)</f>
        <v>0</v>
      </c>
      <c r="H150" s="84" t="n">
        <f aca="false">IF(ISNUMBER(01_INPUTS!H84),01_INPUTS!H84,0)</f>
        <v>0</v>
      </c>
      <c r="I150" s="84" t="n">
        <f aca="false">IF(ISNUMBER(01_INPUTS!I84),01_INPUTS!I84,0)</f>
        <v>0</v>
      </c>
      <c r="J150" s="84" t="n">
        <f aca="false">IF(ISNUMBER(01_INPUTS!J84),01_INPUTS!J84,0)</f>
        <v>0</v>
      </c>
      <c r="K150" s="84" t="n">
        <f aca="false">IF(ISNUMBER(01_INPUTS!K84),01_INPUTS!K84,0)</f>
        <v>0</v>
      </c>
      <c r="L150" s="84" t="n">
        <f aca="false">IF(ISNUMBER(01_INPUTS!L84),01_INPUTS!L84,0)</f>
        <v>0</v>
      </c>
      <c r="M150" s="84" t="n">
        <f aca="false">IF(ISNUMBER(01_INPUTS!M84),01_INPUTS!M84,0)</f>
        <v>0</v>
      </c>
      <c r="N150" s="84" t="n">
        <f aca="false">IF(ISNUMBER(01_INPUTS!N84),01_INPUTS!N84,0)</f>
        <v>0</v>
      </c>
      <c r="O150" s="84" t="n">
        <f aca="false">IF(ISNUMBER(01_INPUTS!O84),01_INPUTS!O84,0)</f>
        <v>0</v>
      </c>
      <c r="P150" s="84" t="n">
        <f aca="false">IF(ISNUMBER(01_INPUTS!P84),01_INPUTS!P84,0)</f>
        <v>0</v>
      </c>
      <c r="Q150" s="84" t="n">
        <f aca="false">IF(ISNUMBER(01_INPUTS!Q84),01_INPUTS!Q84,0)</f>
        <v>0</v>
      </c>
      <c r="R150" s="84" t="n">
        <f aca="false">IF(ISNUMBER(01_INPUTS!R84),01_INPUTS!R84,0)</f>
        <v>0</v>
      </c>
      <c r="S150" s="84" t="n">
        <f aca="false">IF(ISNUMBER(01_INPUTS!S84),01_INPUTS!S84,0)</f>
        <v>0</v>
      </c>
    </row>
    <row r="151" customFormat="false" ht="15" hidden="false" customHeight="false" outlineLevel="0" collapsed="false">
      <c r="A151" s="73" t="s">
        <v>930</v>
      </c>
      <c r="B151" s="74" t="s">
        <v>933</v>
      </c>
      <c r="C151" s="66" t="s">
        <v>135</v>
      </c>
      <c r="D151" s="43" t="s">
        <v>332</v>
      </c>
      <c r="E151" s="75" t="s">
        <v>43</v>
      </c>
      <c r="F151" s="76"/>
      <c r="G151" s="85" t="n">
        <v>0</v>
      </c>
      <c r="H151" s="85" t="n">
        <v>0</v>
      </c>
      <c r="I151" s="36" t="n">
        <f aca="false">H158</f>
        <v>0</v>
      </c>
      <c r="J151" s="36" t="n">
        <f aca="false">I158</f>
        <v>0</v>
      </c>
      <c r="K151" s="36" t="n">
        <f aca="false">J158</f>
        <v>0</v>
      </c>
      <c r="L151" s="36" t="n">
        <f aca="false">K158</f>
        <v>0</v>
      </c>
      <c r="M151" s="36" t="n">
        <f aca="false">L158</f>
        <v>0</v>
      </c>
      <c r="N151" s="36" t="n">
        <f aca="false">M158</f>
        <v>0</v>
      </c>
      <c r="O151" s="36" t="n">
        <f aca="false">N158</f>
        <v>0</v>
      </c>
      <c r="P151" s="36" t="n">
        <f aca="false">O158</f>
        <v>0</v>
      </c>
      <c r="Q151" s="36" t="n">
        <f aca="false">P158</f>
        <v>0</v>
      </c>
      <c r="R151" s="36" t="n">
        <f aca="false">Q158</f>
        <v>0</v>
      </c>
      <c r="S151" s="36" t="n">
        <f aca="false">R158</f>
        <v>0</v>
      </c>
    </row>
    <row r="152" customFormat="false" ht="15" hidden="false" customHeight="false" outlineLevel="0" collapsed="false">
      <c r="A152" s="73" t="s">
        <v>930</v>
      </c>
      <c r="B152" s="74" t="s">
        <v>934</v>
      </c>
      <c r="C152" s="66" t="s">
        <v>135</v>
      </c>
      <c r="D152" s="43" t="s">
        <v>81</v>
      </c>
      <c r="E152" s="75" t="s">
        <v>43</v>
      </c>
      <c r="F152" s="76"/>
      <c r="G152" s="85" t="n">
        <v>0</v>
      </c>
      <c r="H152" s="85" t="n">
        <v>0</v>
      </c>
      <c r="I152" s="36" t="n">
        <f aca="false">H159</f>
        <v>0</v>
      </c>
      <c r="J152" s="36" t="n">
        <f aca="false">I159</f>
        <v>0</v>
      </c>
      <c r="K152" s="36" t="n">
        <f aca="false">J159</f>
        <v>0</v>
      </c>
      <c r="L152" s="36" t="n">
        <f aca="false">K159</f>
        <v>0</v>
      </c>
      <c r="M152" s="36" t="n">
        <f aca="false">L159</f>
        <v>0</v>
      </c>
      <c r="N152" s="36" t="n">
        <f aca="false">M159</f>
        <v>0</v>
      </c>
      <c r="O152" s="36" t="n">
        <f aca="false">N159</f>
        <v>0</v>
      </c>
      <c r="P152" s="36" t="n">
        <f aca="false">O159</f>
        <v>0</v>
      </c>
      <c r="Q152" s="36" t="n">
        <f aca="false">P159</f>
        <v>0</v>
      </c>
      <c r="R152" s="36" t="n">
        <f aca="false">Q159</f>
        <v>0</v>
      </c>
      <c r="S152" s="36" t="n">
        <f aca="false">R159</f>
        <v>0</v>
      </c>
    </row>
    <row r="153" customFormat="false" ht="15" hidden="false" customHeight="false" outlineLevel="0" collapsed="false">
      <c r="A153" s="73" t="s">
        <v>930</v>
      </c>
      <c r="B153" s="74" t="s">
        <v>935</v>
      </c>
      <c r="C153" s="66" t="s">
        <v>135</v>
      </c>
      <c r="D153" s="43" t="s">
        <v>332</v>
      </c>
      <c r="E153" s="75" t="s">
        <v>917</v>
      </c>
      <c r="F153" s="76"/>
      <c r="G153" s="77" t="n">
        <v>0</v>
      </c>
      <c r="H153" s="77" t="n">
        <v>0</v>
      </c>
      <c r="I153" s="78" t="n">
        <f aca="false">I151+I64+I149</f>
        <v>0</v>
      </c>
      <c r="J153" s="78" t="n">
        <f aca="false">J151+J64+J149</f>
        <v>0</v>
      </c>
      <c r="K153" s="78" t="n">
        <f aca="false">K151+K64+K149</f>
        <v>0</v>
      </c>
      <c r="L153" s="78" t="n">
        <f aca="false">L151+L64+L149</f>
        <v>0</v>
      </c>
      <c r="M153" s="78" t="n">
        <f aca="false">M151+M64+M149</f>
        <v>0</v>
      </c>
      <c r="N153" s="78" t="n">
        <f aca="false">N151+N64+N149</f>
        <v>0</v>
      </c>
      <c r="O153" s="78" t="n">
        <f aca="false">O151+O64+O149</f>
        <v>0</v>
      </c>
      <c r="P153" s="78" t="n">
        <f aca="false">P151+P64+P149</f>
        <v>0</v>
      </c>
      <c r="Q153" s="78" t="n">
        <f aca="false">Q151+Q64+Q149</f>
        <v>0</v>
      </c>
      <c r="R153" s="78" t="n">
        <f aca="false">R151+R64+R149</f>
        <v>0</v>
      </c>
      <c r="S153" s="78" t="n">
        <f aca="false">S151+S64+S149</f>
        <v>0</v>
      </c>
    </row>
    <row r="154" customFormat="false" ht="15" hidden="false" customHeight="false" outlineLevel="0" collapsed="false">
      <c r="A154" s="73" t="s">
        <v>930</v>
      </c>
      <c r="B154" s="74" t="s">
        <v>936</v>
      </c>
      <c r="C154" s="66" t="s">
        <v>135</v>
      </c>
      <c r="D154" s="43" t="s">
        <v>81</v>
      </c>
      <c r="E154" s="75" t="s">
        <v>917</v>
      </c>
      <c r="F154" s="76"/>
      <c r="G154" s="77" t="n">
        <v>0</v>
      </c>
      <c r="H154" s="77" t="n">
        <v>0</v>
      </c>
      <c r="I154" s="78" t="n">
        <f aca="false">I152+I64*I67+I149*I150</f>
        <v>0</v>
      </c>
      <c r="J154" s="78" t="n">
        <f aca="false">J152+J64*J67+J149*J150</f>
        <v>0</v>
      </c>
      <c r="K154" s="78" t="n">
        <f aca="false">K152+K64*K67+K149*K150</f>
        <v>0</v>
      </c>
      <c r="L154" s="78" t="n">
        <f aca="false">L152+L64*L67+L149*L150</f>
        <v>0</v>
      </c>
      <c r="M154" s="78" t="n">
        <f aca="false">M152+M64*M67+M149*M150</f>
        <v>0</v>
      </c>
      <c r="N154" s="78" t="n">
        <f aca="false">N152+N64*N67+N149*N150</f>
        <v>0</v>
      </c>
      <c r="O154" s="78" t="n">
        <f aca="false">O152+O64*O67+O149*O150</f>
        <v>0</v>
      </c>
      <c r="P154" s="78" t="n">
        <f aca="false">P152+P64*P67+P149*P150</f>
        <v>0</v>
      </c>
      <c r="Q154" s="78" t="n">
        <f aca="false">Q152+Q64*Q67+Q149*Q150</f>
        <v>0</v>
      </c>
      <c r="R154" s="78" t="n">
        <f aca="false">R152+R64*R67+R149*R150</f>
        <v>0</v>
      </c>
      <c r="S154" s="78" t="n">
        <f aca="false">S152+S64*S67+S149*S150</f>
        <v>0</v>
      </c>
    </row>
    <row r="155" customFormat="false" ht="48.5" hidden="false" customHeight="false" outlineLevel="0" collapsed="false">
      <c r="A155" s="73" t="s">
        <v>930</v>
      </c>
      <c r="B155" s="74" t="s">
        <v>937</v>
      </c>
      <c r="C155" s="66" t="s">
        <v>135</v>
      </c>
      <c r="D155" s="43" t="s">
        <v>89</v>
      </c>
      <c r="E155" s="75" t="s">
        <v>917</v>
      </c>
      <c r="F155" s="76" t="s">
        <v>938</v>
      </c>
      <c r="G155" s="81" t="n">
        <v>0</v>
      </c>
      <c r="H155" s="81" t="n">
        <v>0</v>
      </c>
      <c r="I155" s="82" t="n">
        <f aca="false">IFERROR(I157/I156,0)</f>
        <v>0</v>
      </c>
      <c r="J155" s="82" t="n">
        <f aca="false">IFERROR(J157/J156,0)</f>
        <v>0</v>
      </c>
      <c r="K155" s="82" t="n">
        <f aca="false">IFERROR(K157/K156,0)</f>
        <v>0</v>
      </c>
      <c r="L155" s="82" t="n">
        <f aca="false">IFERROR(L157/L156,0)</f>
        <v>0</v>
      </c>
      <c r="M155" s="82" t="n">
        <f aca="false">IFERROR(M157/M156,0)</f>
        <v>0</v>
      </c>
      <c r="N155" s="82" t="n">
        <f aca="false">IFERROR(N157/N156,0)</f>
        <v>0</v>
      </c>
      <c r="O155" s="82" t="n">
        <f aca="false">IFERROR(O157/O156,0)</f>
        <v>0</v>
      </c>
      <c r="P155" s="82" t="n">
        <f aca="false">IFERROR(P157/P156,0)</f>
        <v>0</v>
      </c>
      <c r="Q155" s="82" t="n">
        <f aca="false">IFERROR(Q157/Q156,0)</f>
        <v>0</v>
      </c>
      <c r="R155" s="82" t="n">
        <f aca="false">IFERROR(R157/R156,0)</f>
        <v>0</v>
      </c>
      <c r="S155" s="82" t="n">
        <f aca="false">IFERROR(S157/S156,0)</f>
        <v>0</v>
      </c>
    </row>
    <row r="156" customFormat="false" ht="28.35" hidden="false" customHeight="false" outlineLevel="0" collapsed="false">
      <c r="A156" s="73" t="s">
        <v>930</v>
      </c>
      <c r="B156" s="74" t="s">
        <v>939</v>
      </c>
      <c r="C156" s="66" t="s">
        <v>135</v>
      </c>
      <c r="D156" s="43" t="s">
        <v>332</v>
      </c>
      <c r="E156" s="75" t="s">
        <v>940</v>
      </c>
      <c r="F156" s="76" t="s">
        <v>941</v>
      </c>
      <c r="G156" s="85" t="n">
        <v>0</v>
      </c>
      <c r="H156" s="85" t="n">
        <v>0</v>
      </c>
      <c r="I156" s="86" t="n">
        <f aca="false">_ENGINE_MERCADO!I181</f>
        <v>0</v>
      </c>
      <c r="J156" s="86" t="n">
        <f aca="false">_ENGINE_MERCADO!J181</f>
        <v>0</v>
      </c>
      <c r="K156" s="86" t="n">
        <f aca="false">_ENGINE_MERCADO!K181</f>
        <v>0</v>
      </c>
      <c r="L156" s="86" t="n">
        <f aca="false">_ENGINE_MERCADO!L181</f>
        <v>0</v>
      </c>
      <c r="M156" s="86" t="n">
        <f aca="false">_ENGINE_MERCADO!M181</f>
        <v>0</v>
      </c>
      <c r="N156" s="86" t="n">
        <f aca="false">_ENGINE_MERCADO!N181</f>
        <v>0</v>
      </c>
      <c r="O156" s="86" t="n">
        <f aca="false">_ENGINE_MERCADO!O181</f>
        <v>0</v>
      </c>
      <c r="P156" s="86" t="n">
        <f aca="false">_ENGINE_MERCADO!P181</f>
        <v>0</v>
      </c>
      <c r="Q156" s="86" t="n">
        <f aca="false">_ENGINE_MERCADO!Q181</f>
        <v>0</v>
      </c>
      <c r="R156" s="86" t="n">
        <f aca="false">_ENGINE_MERCADO!R181</f>
        <v>0</v>
      </c>
      <c r="S156" s="86" t="n">
        <f aca="false">_ENGINE_MERCADO!S181</f>
        <v>0</v>
      </c>
    </row>
    <row r="157" customFormat="false" ht="15" hidden="false" customHeight="false" outlineLevel="0" collapsed="false">
      <c r="A157" s="73" t="s">
        <v>930</v>
      </c>
      <c r="B157" s="74" t="s">
        <v>942</v>
      </c>
      <c r="C157" s="66" t="s">
        <v>135</v>
      </c>
      <c r="D157" s="43" t="s">
        <v>81</v>
      </c>
      <c r="E157" s="75" t="s">
        <v>917</v>
      </c>
      <c r="F157" s="76"/>
      <c r="G157" s="77" t="n">
        <v>0</v>
      </c>
      <c r="H157" s="77" t="n">
        <v>0</v>
      </c>
      <c r="I157" s="78" t="n">
        <f aca="false">I154-I159</f>
        <v>0</v>
      </c>
      <c r="J157" s="78" t="n">
        <f aca="false">J154-J159</f>
        <v>0</v>
      </c>
      <c r="K157" s="78" t="n">
        <f aca="false">K154-K159</f>
        <v>0</v>
      </c>
      <c r="L157" s="78" t="n">
        <f aca="false">L154-L159</f>
        <v>0</v>
      </c>
      <c r="M157" s="78" t="n">
        <f aca="false">M154-M159</f>
        <v>0</v>
      </c>
      <c r="N157" s="78" t="n">
        <f aca="false">N154-N159</f>
        <v>0</v>
      </c>
      <c r="O157" s="78" t="n">
        <f aca="false">O154-O159</f>
        <v>0</v>
      </c>
      <c r="P157" s="78" t="n">
        <f aca="false">P154-P159</f>
        <v>0</v>
      </c>
      <c r="Q157" s="78" t="n">
        <f aca="false">Q154-Q159</f>
        <v>0</v>
      </c>
      <c r="R157" s="78" t="n">
        <f aca="false">R154-R159</f>
        <v>0</v>
      </c>
      <c r="S157" s="78" t="n">
        <f aca="false">S154-S159</f>
        <v>0</v>
      </c>
    </row>
    <row r="158" customFormat="false" ht="15" hidden="false" customHeight="false" outlineLevel="0" collapsed="false">
      <c r="A158" s="73" t="s">
        <v>930</v>
      </c>
      <c r="B158" s="74" t="s">
        <v>943</v>
      </c>
      <c r="C158" s="66" t="s">
        <v>135</v>
      </c>
      <c r="D158" s="43" t="s">
        <v>332</v>
      </c>
      <c r="E158" s="75" t="s">
        <v>917</v>
      </c>
      <c r="F158" s="76"/>
      <c r="G158" s="85" t="n">
        <v>0</v>
      </c>
      <c r="H158" s="85" t="n">
        <v>0</v>
      </c>
      <c r="I158" s="36" t="n">
        <f aca="false">I153-I156</f>
        <v>0</v>
      </c>
      <c r="J158" s="36" t="n">
        <f aca="false">J153-J156</f>
        <v>0</v>
      </c>
      <c r="K158" s="36" t="n">
        <f aca="false">K153-K156</f>
        <v>0</v>
      </c>
      <c r="L158" s="36" t="n">
        <f aca="false">L153-L156</f>
        <v>0</v>
      </c>
      <c r="M158" s="36" t="n">
        <f aca="false">M153-M156</f>
        <v>0</v>
      </c>
      <c r="N158" s="36" t="n">
        <f aca="false">N153-N156</f>
        <v>0</v>
      </c>
      <c r="O158" s="36" t="n">
        <f aca="false">O153-O156</f>
        <v>0</v>
      </c>
      <c r="P158" s="36" t="n">
        <f aca="false">P153-P156</f>
        <v>0</v>
      </c>
      <c r="Q158" s="36" t="n">
        <f aca="false">Q153-Q156</f>
        <v>0</v>
      </c>
      <c r="R158" s="36" t="n">
        <f aca="false">R153-R156</f>
        <v>0</v>
      </c>
      <c r="S158" s="36" t="n">
        <f aca="false">S153-S156</f>
        <v>0</v>
      </c>
    </row>
    <row r="159" customFormat="false" ht="15" hidden="false" customHeight="false" outlineLevel="0" collapsed="false">
      <c r="A159" s="73" t="s">
        <v>930</v>
      </c>
      <c r="B159" s="74" t="s">
        <v>944</v>
      </c>
      <c r="C159" s="66" t="s">
        <v>135</v>
      </c>
      <c r="D159" s="43" t="s">
        <v>81</v>
      </c>
      <c r="E159" s="75" t="s">
        <v>917</v>
      </c>
      <c r="F159" s="76"/>
      <c r="G159" s="85" t="n">
        <v>0</v>
      </c>
      <c r="H159" s="85" t="n">
        <v>0</v>
      </c>
      <c r="I159" s="78" t="n">
        <f aca="false">MAX(0,MIN(0,0-SUM(I156:I156)))*0+MAX(0,MIN(I64,0+I64-SUM(I156:I156)))*I67+MAX(0,MIN(I149,0+I64+I149-SUM(I156:I156)))*I150</f>
        <v>0</v>
      </c>
      <c r="J159" s="78" t="n">
        <f aca="false">MAX(0,MIN(0,0-SUM(I156:J156)))*0+MAX(0,MIN(I64,0+I64-SUM(I156:J156)))*I67+MAX(0,MIN(I149,0+I64+I149-SUM(I156:J156)))*I150+MAX(0,MIN(J64,0+I64+I149+J64-SUM(I156:J156)))*J67+MAX(0,MIN(J149,0+I64+I149+J64+J149-SUM(I156:J156)))*J150</f>
        <v>0</v>
      </c>
      <c r="K159" s="78" t="n">
        <f aca="false">MAX(0,MIN(0,0-SUM(I156:K156)))*0+MAX(0,MIN(I64,0+I64-SUM(I156:K156)))*I67+MAX(0,MIN(I149,0+I64+I149-SUM(I156:K156)))*I150+MAX(0,MIN(J64,0+I64+I149+J64-SUM(I156:K156)))*J67+MAX(0,MIN(J149,0+I64+I149+J64+J149-SUM(I156:K156)))*J150+MAX(0,MIN(K64,0+I64+I149+J64+J149+K64-SUM(I156:K156)))*K67+MAX(0,MIN(K149,0+I64+I149+J64+J149+K64+K149-SUM(I156:K156)))*K150</f>
        <v>0</v>
      </c>
      <c r="L159" s="78" t="n">
        <f aca="false">MAX(0,MIN(0,0-SUM(I156:L156)))*0+MAX(0,MIN(I64,0+I64-SUM(I156:L156)))*I67+MAX(0,MIN(I149,0+I64+I149-SUM(I156:L156)))*I150+MAX(0,MIN(J64,0+I64+I149+J64-SUM(I156:L156)))*J67+MAX(0,MIN(J149,0+I64+I149+J64+J149-SUM(I156:L156)))*J150+MAX(0,MIN(K64,0+I64+I149+J64+J149+K64-SUM(I156:L156)))*K67+MAX(0,MIN(K149,0+I64+I149+J64+J149+K64+K149-SUM(I156:L156)))*K150+MAX(0,MIN(L64,0+I64+I149+J64+J149+K64+K149+L64-SUM(I156:L156)))*L67+MAX(0,MIN(L149,0+I64+I149+J64+J149+K64+K149+L64+L149-SUM(I156:L156)))*L150</f>
        <v>0</v>
      </c>
      <c r="M159" s="78" t="n">
        <f aca="false">MAX(0,MIN(0,0-SUM(I156:M156)))*0+MAX(0,MIN(I64,0+I64-SUM(I156:M156)))*I67+MAX(0,MIN(I149,0+I64+I149-SUM(I156:M156)))*I150+MAX(0,MIN(J64,0+I64+I149+J64-SUM(I156:M156)))*J67+MAX(0,MIN(J149,0+I64+I149+J64+J149-SUM(I156:M156)))*J150+MAX(0,MIN(K64,0+I64+I149+J64+J149+K64-SUM(I156:M156)))*K67+MAX(0,MIN(K149,0+I64+I149+J64+J149+K64+K149-SUM(I156:M156)))*K150+MAX(0,MIN(L64,0+I64+I149+J64+J149+K64+K149+L64-SUM(I156:M156)))*L67+MAX(0,MIN(L149,0+I64+I149+J64+J149+K64+K149+L64+L149-SUM(I156:M156)))*L150+MAX(0,MIN(M64,0+I64+I149+J64+J149+K64+K149+L64+L149+M64-SUM(I156:M156)))*M67+MAX(0,MIN(M149,0+I64+I149+J64+J149+K64+K149+L64+L149+M64+M149-SUM(I156:M156)))*M150</f>
        <v>0</v>
      </c>
      <c r="N159" s="78" t="n">
        <f aca="false">MAX(0,MIN(0,0-SUM(I156:N156)))*0+MAX(0,MIN(I64,0+I64-SUM(I156:N156)))*I67+MAX(0,MIN(I149,0+I64+I149-SUM(I156:N156)))*I150+MAX(0,MIN(J64,0+I64+I149+J64-SUM(I156:N156)))*J67+MAX(0,MIN(J149,0+I64+I149+J64+J149-SUM(I156:N156)))*J150+MAX(0,MIN(K64,0+I64+I149+J64+J149+K64-SUM(I156:N156)))*K67+MAX(0,MIN(K149,0+I64+I149+J64+J149+K64+K149-SUM(I156:N156)))*K150+MAX(0,MIN(L64,0+I64+I149+J64+J149+K64+K149+L64-SUM(I156:N156)))*L67+MAX(0,MIN(L149,0+I64+I149+J64+J149+K64+K149+L64+L149-SUM(I156:N156)))*L150+MAX(0,MIN(M64,0+I64+I149+J64+J149+K64+K149+L64+L149+M64-SUM(I156:N156)))*M67+MAX(0,MIN(M149,0+I64+I149+J64+J149+K64+K149+L64+L149+M64+M149-SUM(I156:N156)))*M150+MAX(0,MIN(N64,0+I64+I149+J64+J149+K64+K149+L64+L149+M64+M149+N64-SUM(I156:N156)))*N67+MAX(0,MIN(N149,0+I64+I149+J64+J149+K64+K149+L64+L149+M64+M149+N64+N149-SUM(I156:N156)))*N150</f>
        <v>0</v>
      </c>
      <c r="O159" s="78" t="n">
        <f aca="false">MAX(0,MIN(0,0-SUM(I156:O156)))*0+MAX(0,MIN(I64,0+I64-SUM(I156:O156)))*I67+MAX(0,MIN(I149,0+I64+I149-SUM(I156:O156)))*I150+MAX(0,MIN(J64,0+I64+I149+J64-SUM(I156:O156)))*J67+MAX(0,MIN(J149,0+I64+I149+J64+J149-SUM(I156:O156)))*J150+MAX(0,MIN(K64,0+I64+I149+J64+J149+K64-SUM(I156:O156)))*K67+MAX(0,MIN(K149,0+I64+I149+J64+J149+K64+K149-SUM(I156:O156)))*K150+MAX(0,MIN(L64,0+I64+I149+J64+J149+K64+K149+L64-SUM(I156:O156)))*L67+MAX(0,MIN(L149,0+I64+I149+J64+J149+K64+K149+L64+L149-SUM(I156:O156)))*L150+MAX(0,MIN(M64,0+I64+I149+J64+J149+K64+K149+L64+L149+M64-SUM(I156:O156)))*M67+MAX(0,MIN(M149,0+I64+I149+J64+J149+K64+K149+L64+L149+M64+M149-SUM(I156:O156)))*M150+MAX(0,MIN(N64,0+I64+I149+J64+J149+K64+K149+L64+L149+M64+M149+N64-SUM(I156:O156)))*N67+MAX(0,MIN(N149,0+I64+I149+J64+J149+K64+K149+L64+L149+M64+M149+N64+N149-SUM(I156:O156)))*N150+MAX(0,MIN(O64,0+I64+I149+J64+J149+K64+K149+L64+L149+M64+M149+N64+N149+O64-SUM(I156:O156)))*O67+MAX(0,MIN(O149,0+I64+I149+J64+J149+K64+K149+L64+L149+M64+M149+N64+N149+O64+O149-SUM(I156:O156)))*O150</f>
        <v>0</v>
      </c>
      <c r="P159" s="78" t="n">
        <f aca="false">MAX(0,MIN(0,0-SUM(I156:P156)))*0+MAX(0,MIN(I64,0+I64-SUM(I156:P156)))*I67+MAX(0,MIN(I149,0+I64+I149-SUM(I156:P156)))*I150+MAX(0,MIN(J64,0+I64+I149+J64-SUM(I156:P156)))*J67+MAX(0,MIN(J149,0+I64+I149+J64+J149-SUM(I156:P156)))*J150+MAX(0,MIN(K64,0+I64+I149+J64+J149+K64-SUM(I156:P156)))*K67+MAX(0,MIN(K149,0+I64+I149+J64+J149+K64+K149-SUM(I156:P156)))*K150+MAX(0,MIN(L64,0+I64+I149+J64+J149+K64+K149+L64-SUM(I156:P156)))*L67+MAX(0,MIN(L149,0+I64+I149+J64+J149+K64+K149+L64+L149-SUM(I156:P156)))*L150+MAX(0,MIN(M64,0+I64+I149+J64+J149+K64+K149+L64+L149+M64-SUM(I156:P156)))*M67+MAX(0,MIN(M149,0+I64+I149+J64+J149+K64+K149+L64+L149+M64+M149-SUM(I156:P156)))*M150+MAX(0,MIN(N64,0+I64+I149+J64+J149+K64+K149+L64+L149+M64+M149+N64-SUM(I156:P156)))*N67+MAX(0,MIN(N149,0+I64+I149+J64+J149+K64+K149+L64+L149+M64+M149+N64+N149-SUM(I156:P156)))*N150+MAX(0,MIN(O64,0+I64+I149+J64+J149+K64+K149+L64+L149+M64+M149+N64+N149+O64-SUM(I156:P156)))*O67+MAX(0,MIN(O149,0+I64+I149+J64+J149+K64+K149+L64+L149+M64+M149+N64+N149+O64+O149-SUM(I156:P156)))*O150+MAX(0,MIN(P64,0+I64+I149+J64+J149+K64+K149+L64+L149+M64+M149+N64+N149+O64+O149+P64-SUM(I156:P156)))*P67+MAX(0,MIN(P149,0+I64+I149+J64+J149+K64+K149+L64+L149+M64+M149+N64+N149+O64+O149+P64+P149-SUM(I156:P156)))*P150</f>
        <v>0</v>
      </c>
      <c r="Q159" s="78" t="n">
        <f aca="false">MAX(0,MIN(0,0-SUM(I156:Q156)))*0+MAX(0,MIN(I64,0+I64-SUM(I156:Q156)))*I67+MAX(0,MIN(I149,0+I64+I149-SUM(I156:Q156)))*I150+MAX(0,MIN(J64,0+I64+I149+J64-SUM(I156:Q156)))*J67+MAX(0,MIN(J149,0+I64+I149+J64+J149-SUM(I156:Q156)))*J150+MAX(0,MIN(K64,0+I64+I149+J64+J149+K64-SUM(I156:Q156)))*K67+MAX(0,MIN(K149,0+I64+I149+J64+J149+K64+K149-SUM(I156:Q156)))*K150+MAX(0,MIN(L64,0+I64+I149+J64+J149+K64+K149+L64-SUM(I156:Q156)))*L67+MAX(0,MIN(L149,0+I64+I149+J64+J149+K64+K149+L64+L149-SUM(I156:Q156)))*L150+MAX(0,MIN(M64,0+I64+I149+J64+J149+K64+K149+L64+L149+M64-SUM(I156:Q156)))*M67+MAX(0,MIN(M149,0+I64+I149+J64+J149+K64+K149+L64+L149+M64+M149-SUM(I156:Q156)))*M150+MAX(0,MIN(N64,0+I64+I149+J64+J149+K64+K149+L64+L149+M64+M149+N64-SUM(I156:Q156)))*N67+MAX(0,MIN(N149,0+I64+I149+J64+J149+K64+K149+L64+L149+M64+M149+N64+N149-SUM(I156:Q156)))*N150+MAX(0,MIN(O64,0+I64+I149+J64+J149+K64+K149+L64+L149+M64+M149+N64+N149+O64-SUM(I156:Q156)))*O67+MAX(0,MIN(O149,0+I64+I149+J64+J149+K64+K149+L64+L149+M64+M149+N64+N149+O64+O149-SUM(I156:Q156)))*O150+MAX(0,MIN(P64,0+I64+I149+J64+J149+K64+K149+L64+L149+M64+M149+N64+N149+O64+O149+P64-SUM(I156:Q156)))*P67+MAX(0,MIN(P149,0+I64+I149+J64+J149+K64+K149+L64+L149+M64+M149+N64+N149+O64+O149+P64+P149-SUM(I156:Q156)))*P150+MAX(0,MIN(Q64,0+I64+I149+J64+J149+K64+K149+L64+L149+M64+M149+N64+N149+O64+O149+P64+P149+Q64-SUM(I156:Q156)))*Q67+MAX(0,MIN(Q149,0+I64+I149+J64+J149+K64+K149+L64+L149+M64+M149+N64+N149+O64+O149+P64+P149+Q64+Q149-SUM(I156:Q156)))*Q150</f>
        <v>0</v>
      </c>
      <c r="R159" s="78" t="n">
        <f aca="false">MAX(0,MIN(0,0-SUM(I156:R156)))*0+MAX(0,MIN(I64,0+I64-SUM(I156:R156)))*I67+MAX(0,MIN(I149,0+I64+I149-SUM(I156:R156)))*I150+MAX(0,MIN(J64,0+I64+I149+J64-SUM(I156:R156)))*J67+MAX(0,MIN(J149,0+I64+I149+J64+J149-SUM(I156:R156)))*J150+MAX(0,MIN(K64,0+I64+I149+J64+J149+K64-SUM(I156:R156)))*K67+MAX(0,MIN(K149,0+I64+I149+J64+J149+K64+K149-SUM(I156:R156)))*K150+MAX(0,MIN(L64,0+I64+I149+J64+J149+K64+K149+L64-SUM(I156:R156)))*L67+MAX(0,MIN(L149,0+I64+I149+J64+J149+K64+K149+L64+L149-SUM(I156:R156)))*L150+MAX(0,MIN(M64,0+I64+I149+J64+J149+K64+K149+L64+L149+M64-SUM(I156:R156)))*M67+MAX(0,MIN(M149,0+I64+I149+J64+J149+K64+K149+L64+L149+M64+M149-SUM(I156:R156)))*M150+MAX(0,MIN(N64,0+I64+I149+J64+J149+K64+K149+L64+L149+M64+M149+N64-SUM(I156:R156)))*N67+MAX(0,MIN(N149,0+I64+I149+J64+J149+K64+K149+L64+L149+M64+M149+N64+N149-SUM(I156:R156)))*N150+MAX(0,MIN(O64,0+I64+I149+J64+J149+K64+K149+L64+L149+M64+M149+N64+N149+O64-SUM(I156:R156)))*O67+MAX(0,MIN(O149,0+I64+I149+J64+J149+K64+K149+L64+L149+M64+M149+N64+N149+O64+O149-SUM(I156:R156)))*O150+MAX(0,MIN(P64,0+I64+I149+J64+J149+K64+K149+L64+L149+M64+M149+N64+N149+O64+O149+P64-SUM(I156:R156)))*P67+MAX(0,MIN(P149,0+I64+I149+J64+J149+K64+K149+L64+L149+M64+M149+N64+N149+O64+O149+P64+P149-SUM(I156:R156)))*P150+MAX(0,MIN(Q64,0+I64+I149+J64+J149+K64+K149+L64+L149+M64+M149+N64+N149+O64+O149+P64+P149+Q64-SUM(I156:R156)))*Q67+MAX(0,MIN(Q149,0+I64+I149+J64+J149+K64+K149+L64+L149+M64+M149+N64+N149+O64+O149+P64+P149+Q64+Q149-SUM(I156:R156)))*Q150+MAX(0,MIN(R64,0+I64+I149+J64+J149+K64+K149+L64+L149+M64+M149+N64+N149+O64+O149+P64+P149+Q64+Q149+R64-SUM(I156:R156)))*R67+MAX(0,MIN(R149,0+I64+I149+J64+J149+K64+K149+L64+L149+M64+M149+N64+N149+O64+O149+P64+P149+Q64+Q149+R64+R149-SUM(I156:R156)))*R150</f>
        <v>0</v>
      </c>
      <c r="S159" s="78" t="n">
        <f aca="false">MAX(0,MIN(0,0-SUM(I156:S156)))*0+MAX(0,MIN(I64,0+I64-SUM(I156:S156)))*I67+MAX(0,MIN(I149,0+I64+I149-SUM(I156:S156)))*I150+MAX(0,MIN(J64,0+I64+I149+J64-SUM(I156:S156)))*J67+MAX(0,MIN(J149,0+I64+I149+J64+J149-SUM(I156:S156)))*J150+MAX(0,MIN(K64,0+I64+I149+J64+J149+K64-SUM(I156:S156)))*K67+MAX(0,MIN(K149,0+I64+I149+J64+J149+K64+K149-SUM(I156:S156)))*K150+MAX(0,MIN(L64,0+I64+I149+J64+J149+K64+K149+L64-SUM(I156:S156)))*L67+MAX(0,MIN(L149,0+I64+I149+J64+J149+K64+K149+L64+L149-SUM(I156:S156)))*L150+MAX(0,MIN(M64,0+I64+I149+J64+J149+K64+K149+L64+L149+M64-SUM(I156:S156)))*M67+MAX(0,MIN(M149,0+I64+I149+J64+J149+K64+K149+L64+L149+M64+M149-SUM(I156:S156)))*M150+MAX(0,MIN(N64,0+I64+I149+J64+J149+K64+K149+L64+L149+M64+M149+N64-SUM(I156:S156)))*N67+MAX(0,MIN(N149,0+I64+I149+J64+J149+K64+K149+L64+L149+M64+M149+N64+N149-SUM(I156:S156)))*N150+MAX(0,MIN(O64,0+I64+I149+J64+J149+K64+K149+L64+L149+M64+M149+N64+N149+O64-SUM(I156:S156)))*O67+MAX(0,MIN(O149,0+I64+I149+J64+J149+K64+K149+L64+L149+M64+M149+N64+N149+O64+O149-SUM(I156:S156)))*O150+MAX(0,MIN(P64,0+I64+I149+J64+J149+K64+K149+L64+L149+M64+M149+N64+N149+O64+O149+P64-SUM(I156:S156)))*P67+MAX(0,MIN(P149,0+I64+I149+J64+J149+K64+K149+L64+L149+M64+M149+N64+N149+O64+O149+P64+P149-SUM(I156:S156)))*P150+MAX(0,MIN(Q64,0+I64+I149+J64+J149+K64+K149+L64+L149+M64+M149+N64+N149+O64+O149+P64+P149+Q64-SUM(I156:S156)))*Q67+MAX(0,MIN(Q149,0+I64+I149+J64+J149+K64+K149+L64+L149+M64+M149+N64+N149+O64+O149+P64+P149+Q64+Q149-SUM(I156:S156)))*Q150+MAX(0,MIN(R64,0+I64+I149+J64+J149+K64+K149+L64+L149+M64+M149+N64+N149+O64+O149+P64+P149+Q64+Q149+R64-SUM(I156:S156)))*R67+MAX(0,MIN(R149,0+I64+I149+J64+J149+K64+K149+L64+L149+M64+M149+N64+N149+O64+O149+P64+P149+Q64+Q149+R64+R149-SUM(I156:S156)))*R150+MAX(0,MIN(S64,0+I64+I149+J64+J149+K64+K149+L64+L149+M64+M149+N64+N149+O64+O149+P64+P149+Q64+Q149+R64+R149+S64-SUM(I156:S156)))*S67+MAX(0,MIN(S149,0+I64+I149+J64+J149+K64+K149+L64+L149+M64+M149+N64+N149+O64+O149+P64+P149+Q64+Q149+R64+R149+S64+S149-SUM(I156:S156)))*S150</f>
        <v>0</v>
      </c>
    </row>
    <row r="161" customFormat="false" ht="15" hidden="false" customHeight="false" outlineLevel="0" collapsed="false">
      <c r="A161" s="73" t="s">
        <v>930</v>
      </c>
      <c r="B161" s="74" t="s">
        <v>931</v>
      </c>
      <c r="C161" s="66" t="s">
        <v>136</v>
      </c>
      <c r="D161" s="43" t="s">
        <v>332</v>
      </c>
      <c r="E161" s="75" t="s">
        <v>43</v>
      </c>
      <c r="F161" s="76"/>
      <c r="G161" s="36" t="n">
        <f aca="false">IF(ISNUMBER(01_INPUTS!G153),01_INPUTS!G153,0)*1000</f>
        <v>0</v>
      </c>
      <c r="H161" s="36" t="n">
        <f aca="false">IF(ISNUMBER(01_INPUTS!H153),01_INPUTS!H153,0)*1000</f>
        <v>0</v>
      </c>
      <c r="I161" s="36" t="n">
        <f aca="false">IF(ISNUMBER(01_INPUTS!I153),01_INPUTS!I153,0)*1000</f>
        <v>0</v>
      </c>
      <c r="J161" s="36" t="n">
        <f aca="false">IF(ISNUMBER(01_INPUTS!J153),01_INPUTS!J153,0)*1000</f>
        <v>0</v>
      </c>
      <c r="K161" s="36" t="n">
        <f aca="false">IF(ISNUMBER(01_INPUTS!K153),01_INPUTS!K153,0)*1000</f>
        <v>0</v>
      </c>
      <c r="L161" s="36" t="n">
        <f aca="false">IF(ISNUMBER(01_INPUTS!L153),01_INPUTS!L153,0)*1000</f>
        <v>0</v>
      </c>
      <c r="M161" s="36" t="n">
        <f aca="false">IF(ISNUMBER(01_INPUTS!M153),01_INPUTS!M153,0)*1000</f>
        <v>0</v>
      </c>
      <c r="N161" s="36" t="n">
        <f aca="false">IF(ISNUMBER(01_INPUTS!N153),01_INPUTS!N153,0)*1000</f>
        <v>0</v>
      </c>
      <c r="O161" s="36" t="n">
        <f aca="false">IF(ISNUMBER(01_INPUTS!O153),01_INPUTS!O153,0)*1000</f>
        <v>0</v>
      </c>
      <c r="P161" s="36" t="n">
        <f aca="false">IF(ISNUMBER(01_INPUTS!P153),01_INPUTS!P153,0)*1000</f>
        <v>0</v>
      </c>
      <c r="Q161" s="36" t="n">
        <f aca="false">IF(ISNUMBER(01_INPUTS!Q153),01_INPUTS!Q153,0)*1000</f>
        <v>0</v>
      </c>
      <c r="R161" s="36" t="n">
        <f aca="false">IF(ISNUMBER(01_INPUTS!R153),01_INPUTS!R153,0)*1000</f>
        <v>0</v>
      </c>
      <c r="S161" s="36" t="n">
        <f aca="false">IF(ISNUMBER(01_INPUTS!S153),01_INPUTS!S153,0)*1000</f>
        <v>0</v>
      </c>
    </row>
    <row r="162" customFormat="false" ht="15" hidden="false" customHeight="false" outlineLevel="0" collapsed="false">
      <c r="A162" s="73" t="s">
        <v>930</v>
      </c>
      <c r="B162" s="74" t="s">
        <v>127</v>
      </c>
      <c r="C162" s="66" t="s">
        <v>136</v>
      </c>
      <c r="D162" s="43" t="s">
        <v>89</v>
      </c>
      <c r="E162" s="75" t="s">
        <v>932</v>
      </c>
      <c r="F162" s="76"/>
      <c r="G162" s="84" t="n">
        <f aca="false">IF(ISNUMBER(01_INPUTS!G85),01_INPUTS!G85,0)</f>
        <v>0</v>
      </c>
      <c r="H162" s="84" t="n">
        <f aca="false">IF(ISNUMBER(01_INPUTS!H85),01_INPUTS!H85,0)</f>
        <v>0</v>
      </c>
      <c r="I162" s="84" t="n">
        <f aca="false">IF(ISNUMBER(01_INPUTS!I85),01_INPUTS!I85,0)</f>
        <v>0</v>
      </c>
      <c r="J162" s="84" t="n">
        <f aca="false">IF(ISNUMBER(01_INPUTS!J85),01_INPUTS!J85,0)</f>
        <v>0</v>
      </c>
      <c r="K162" s="84" t="n">
        <f aca="false">IF(ISNUMBER(01_INPUTS!K85),01_INPUTS!K85,0)</f>
        <v>0</v>
      </c>
      <c r="L162" s="84" t="n">
        <f aca="false">IF(ISNUMBER(01_INPUTS!L85),01_INPUTS!L85,0)</f>
        <v>0</v>
      </c>
      <c r="M162" s="84" t="n">
        <f aca="false">IF(ISNUMBER(01_INPUTS!M85),01_INPUTS!M85,0)</f>
        <v>0</v>
      </c>
      <c r="N162" s="84" t="n">
        <f aca="false">IF(ISNUMBER(01_INPUTS!N85),01_INPUTS!N85,0)</f>
        <v>0</v>
      </c>
      <c r="O162" s="84" t="n">
        <f aca="false">IF(ISNUMBER(01_INPUTS!O85),01_INPUTS!O85,0)</f>
        <v>0</v>
      </c>
      <c r="P162" s="84" t="n">
        <f aca="false">IF(ISNUMBER(01_INPUTS!P85),01_INPUTS!P85,0)</f>
        <v>0</v>
      </c>
      <c r="Q162" s="84" t="n">
        <f aca="false">IF(ISNUMBER(01_INPUTS!Q85),01_INPUTS!Q85,0)</f>
        <v>0</v>
      </c>
      <c r="R162" s="84" t="n">
        <f aca="false">IF(ISNUMBER(01_INPUTS!R85),01_INPUTS!R85,0)</f>
        <v>0</v>
      </c>
      <c r="S162" s="84" t="n">
        <f aca="false">IF(ISNUMBER(01_INPUTS!S85),01_INPUTS!S85,0)</f>
        <v>0</v>
      </c>
    </row>
    <row r="163" customFormat="false" ht="15" hidden="false" customHeight="false" outlineLevel="0" collapsed="false">
      <c r="A163" s="73" t="s">
        <v>930</v>
      </c>
      <c r="B163" s="74" t="s">
        <v>933</v>
      </c>
      <c r="C163" s="66" t="s">
        <v>136</v>
      </c>
      <c r="D163" s="43" t="s">
        <v>332</v>
      </c>
      <c r="E163" s="75" t="s">
        <v>43</v>
      </c>
      <c r="F163" s="76"/>
      <c r="G163" s="85" t="n">
        <v>0</v>
      </c>
      <c r="H163" s="85" t="n">
        <v>0</v>
      </c>
      <c r="I163" s="36" t="n">
        <f aca="false">H170</f>
        <v>0</v>
      </c>
      <c r="J163" s="36" t="n">
        <f aca="false">I170</f>
        <v>0</v>
      </c>
      <c r="K163" s="36" t="n">
        <f aca="false">J170</f>
        <v>0</v>
      </c>
      <c r="L163" s="36" t="n">
        <f aca="false">K170</f>
        <v>0</v>
      </c>
      <c r="M163" s="36" t="n">
        <f aca="false">L170</f>
        <v>0</v>
      </c>
      <c r="N163" s="36" t="n">
        <f aca="false">M170</f>
        <v>0</v>
      </c>
      <c r="O163" s="36" t="n">
        <f aca="false">N170</f>
        <v>0</v>
      </c>
      <c r="P163" s="36" t="n">
        <f aca="false">O170</f>
        <v>0</v>
      </c>
      <c r="Q163" s="36" t="n">
        <f aca="false">P170</f>
        <v>0</v>
      </c>
      <c r="R163" s="36" t="n">
        <f aca="false">Q170</f>
        <v>0</v>
      </c>
      <c r="S163" s="36" t="n">
        <f aca="false">R170</f>
        <v>0</v>
      </c>
    </row>
    <row r="164" customFormat="false" ht="15" hidden="false" customHeight="false" outlineLevel="0" collapsed="false">
      <c r="A164" s="73" t="s">
        <v>930</v>
      </c>
      <c r="B164" s="74" t="s">
        <v>934</v>
      </c>
      <c r="C164" s="66" t="s">
        <v>136</v>
      </c>
      <c r="D164" s="43" t="s">
        <v>81</v>
      </c>
      <c r="E164" s="75" t="s">
        <v>43</v>
      </c>
      <c r="F164" s="76"/>
      <c r="G164" s="85" t="n">
        <v>0</v>
      </c>
      <c r="H164" s="85" t="n">
        <v>0</v>
      </c>
      <c r="I164" s="36" t="n">
        <f aca="false">H171</f>
        <v>0</v>
      </c>
      <c r="J164" s="36" t="n">
        <f aca="false">I171</f>
        <v>0</v>
      </c>
      <c r="K164" s="36" t="n">
        <f aca="false">J171</f>
        <v>0</v>
      </c>
      <c r="L164" s="36" t="n">
        <f aca="false">K171</f>
        <v>0</v>
      </c>
      <c r="M164" s="36" t="n">
        <f aca="false">L171</f>
        <v>0</v>
      </c>
      <c r="N164" s="36" t="n">
        <f aca="false">M171</f>
        <v>0</v>
      </c>
      <c r="O164" s="36" t="n">
        <f aca="false">N171</f>
        <v>0</v>
      </c>
      <c r="P164" s="36" t="n">
        <f aca="false">O171</f>
        <v>0</v>
      </c>
      <c r="Q164" s="36" t="n">
        <f aca="false">P171</f>
        <v>0</v>
      </c>
      <c r="R164" s="36" t="n">
        <f aca="false">Q171</f>
        <v>0</v>
      </c>
      <c r="S164" s="36" t="n">
        <f aca="false">R171</f>
        <v>0</v>
      </c>
    </row>
    <row r="165" customFormat="false" ht="15" hidden="false" customHeight="false" outlineLevel="0" collapsed="false">
      <c r="A165" s="73" t="s">
        <v>930</v>
      </c>
      <c r="B165" s="74" t="s">
        <v>935</v>
      </c>
      <c r="C165" s="66" t="s">
        <v>136</v>
      </c>
      <c r="D165" s="43" t="s">
        <v>332</v>
      </c>
      <c r="E165" s="75" t="s">
        <v>917</v>
      </c>
      <c r="F165" s="76"/>
      <c r="G165" s="77" t="n">
        <v>0</v>
      </c>
      <c r="H165" s="77" t="n">
        <v>0</v>
      </c>
      <c r="I165" s="78" t="n">
        <f aca="false">I163+I69+I161</f>
        <v>0</v>
      </c>
      <c r="J165" s="78" t="n">
        <f aca="false">J163+J69+J161</f>
        <v>0</v>
      </c>
      <c r="K165" s="78" t="n">
        <f aca="false">K163+K69+K161</f>
        <v>0</v>
      </c>
      <c r="L165" s="78" t="n">
        <f aca="false">L163+L69+L161</f>
        <v>0</v>
      </c>
      <c r="M165" s="78" t="n">
        <f aca="false">M163+M69+M161</f>
        <v>0</v>
      </c>
      <c r="N165" s="78" t="n">
        <f aca="false">N163+N69+N161</f>
        <v>0</v>
      </c>
      <c r="O165" s="78" t="n">
        <f aca="false">O163+O69+O161</f>
        <v>0</v>
      </c>
      <c r="P165" s="78" t="n">
        <f aca="false">P163+P69+P161</f>
        <v>0</v>
      </c>
      <c r="Q165" s="78" t="n">
        <f aca="false">Q163+Q69+Q161</f>
        <v>0</v>
      </c>
      <c r="R165" s="78" t="n">
        <f aca="false">R163+R69+R161</f>
        <v>0</v>
      </c>
      <c r="S165" s="78" t="n">
        <f aca="false">S163+S69+S161</f>
        <v>0</v>
      </c>
    </row>
    <row r="166" customFormat="false" ht="15" hidden="false" customHeight="false" outlineLevel="0" collapsed="false">
      <c r="A166" s="73" t="s">
        <v>930</v>
      </c>
      <c r="B166" s="74" t="s">
        <v>936</v>
      </c>
      <c r="C166" s="66" t="s">
        <v>136</v>
      </c>
      <c r="D166" s="43" t="s">
        <v>81</v>
      </c>
      <c r="E166" s="75" t="s">
        <v>917</v>
      </c>
      <c r="F166" s="76"/>
      <c r="G166" s="77" t="n">
        <v>0</v>
      </c>
      <c r="H166" s="77" t="n">
        <v>0</v>
      </c>
      <c r="I166" s="78" t="n">
        <f aca="false">I164+I69*I72+I161*I162</f>
        <v>0</v>
      </c>
      <c r="J166" s="78" t="n">
        <f aca="false">J164+J69*J72+J161*J162</f>
        <v>0</v>
      </c>
      <c r="K166" s="78" t="n">
        <f aca="false">K164+K69*K72+K161*K162</f>
        <v>0</v>
      </c>
      <c r="L166" s="78" t="n">
        <f aca="false">L164+L69*L72+L161*L162</f>
        <v>0</v>
      </c>
      <c r="M166" s="78" t="n">
        <f aca="false">M164+M69*M72+M161*M162</f>
        <v>0</v>
      </c>
      <c r="N166" s="78" t="n">
        <f aca="false">N164+N69*N72+N161*N162</f>
        <v>0</v>
      </c>
      <c r="O166" s="78" t="n">
        <f aca="false">O164+O69*O72+O161*O162</f>
        <v>0</v>
      </c>
      <c r="P166" s="78" t="n">
        <f aca="false">P164+P69*P72+P161*P162</f>
        <v>0</v>
      </c>
      <c r="Q166" s="78" t="n">
        <f aca="false">Q164+Q69*Q72+Q161*Q162</f>
        <v>0</v>
      </c>
      <c r="R166" s="78" t="n">
        <f aca="false">R164+R69*R72+R161*R162</f>
        <v>0</v>
      </c>
      <c r="S166" s="78" t="n">
        <f aca="false">S164+S69*S72+S161*S162</f>
        <v>0</v>
      </c>
    </row>
    <row r="167" customFormat="false" ht="48.5" hidden="false" customHeight="false" outlineLevel="0" collapsed="false">
      <c r="A167" s="73" t="s">
        <v>930</v>
      </c>
      <c r="B167" s="74" t="s">
        <v>937</v>
      </c>
      <c r="C167" s="66" t="s">
        <v>136</v>
      </c>
      <c r="D167" s="43" t="s">
        <v>89</v>
      </c>
      <c r="E167" s="75" t="s">
        <v>917</v>
      </c>
      <c r="F167" s="76" t="s">
        <v>938</v>
      </c>
      <c r="G167" s="81" t="n">
        <v>0</v>
      </c>
      <c r="H167" s="81" t="n">
        <v>0</v>
      </c>
      <c r="I167" s="82" t="n">
        <f aca="false">IFERROR(I169/I168,0)</f>
        <v>0</v>
      </c>
      <c r="J167" s="82" t="n">
        <f aca="false">IFERROR(J169/J168,0)</f>
        <v>0</v>
      </c>
      <c r="K167" s="82" t="n">
        <f aca="false">IFERROR(K169/K168,0)</f>
        <v>0</v>
      </c>
      <c r="L167" s="82" t="n">
        <f aca="false">IFERROR(L169/L168,0)</f>
        <v>0</v>
      </c>
      <c r="M167" s="82" t="n">
        <f aca="false">IFERROR(M169/M168,0)</f>
        <v>0</v>
      </c>
      <c r="N167" s="82" t="n">
        <f aca="false">IFERROR(N169/N168,0)</f>
        <v>0</v>
      </c>
      <c r="O167" s="82" t="n">
        <f aca="false">IFERROR(O169/O168,0)</f>
        <v>0</v>
      </c>
      <c r="P167" s="82" t="n">
        <f aca="false">IFERROR(P169/P168,0)</f>
        <v>0</v>
      </c>
      <c r="Q167" s="82" t="n">
        <f aca="false">IFERROR(Q169/Q168,0)</f>
        <v>0</v>
      </c>
      <c r="R167" s="82" t="n">
        <f aca="false">IFERROR(R169/R168,0)</f>
        <v>0</v>
      </c>
      <c r="S167" s="82" t="n">
        <f aca="false">IFERROR(S169/S168,0)</f>
        <v>0</v>
      </c>
    </row>
    <row r="168" customFormat="false" ht="28.35" hidden="false" customHeight="false" outlineLevel="0" collapsed="false">
      <c r="A168" s="73" t="s">
        <v>930</v>
      </c>
      <c r="B168" s="74" t="s">
        <v>939</v>
      </c>
      <c r="C168" s="66" t="s">
        <v>136</v>
      </c>
      <c r="D168" s="43" t="s">
        <v>332</v>
      </c>
      <c r="E168" s="75" t="s">
        <v>940</v>
      </c>
      <c r="F168" s="76" t="s">
        <v>941</v>
      </c>
      <c r="G168" s="85" t="n">
        <v>0</v>
      </c>
      <c r="H168" s="85" t="n">
        <v>0</v>
      </c>
      <c r="I168" s="86" t="n">
        <f aca="false">_ENGINE_MERCADO!I183</f>
        <v>0</v>
      </c>
      <c r="J168" s="86" t="n">
        <f aca="false">_ENGINE_MERCADO!J183</f>
        <v>0</v>
      </c>
      <c r="K168" s="86" t="n">
        <f aca="false">_ENGINE_MERCADO!K183</f>
        <v>0</v>
      </c>
      <c r="L168" s="86" t="n">
        <f aca="false">_ENGINE_MERCADO!L183</f>
        <v>0</v>
      </c>
      <c r="M168" s="86" t="n">
        <f aca="false">_ENGINE_MERCADO!M183</f>
        <v>0</v>
      </c>
      <c r="N168" s="86" t="n">
        <f aca="false">_ENGINE_MERCADO!N183</f>
        <v>0</v>
      </c>
      <c r="O168" s="86" t="n">
        <f aca="false">_ENGINE_MERCADO!O183</f>
        <v>0</v>
      </c>
      <c r="P168" s="86" t="n">
        <f aca="false">_ENGINE_MERCADO!P183</f>
        <v>0</v>
      </c>
      <c r="Q168" s="86" t="n">
        <f aca="false">_ENGINE_MERCADO!Q183</f>
        <v>0</v>
      </c>
      <c r="R168" s="86" t="n">
        <f aca="false">_ENGINE_MERCADO!R183</f>
        <v>0</v>
      </c>
      <c r="S168" s="86" t="n">
        <f aca="false">_ENGINE_MERCADO!S183</f>
        <v>0</v>
      </c>
    </row>
    <row r="169" customFormat="false" ht="15" hidden="false" customHeight="false" outlineLevel="0" collapsed="false">
      <c r="A169" s="73" t="s">
        <v>930</v>
      </c>
      <c r="B169" s="74" t="s">
        <v>942</v>
      </c>
      <c r="C169" s="66" t="s">
        <v>136</v>
      </c>
      <c r="D169" s="43" t="s">
        <v>81</v>
      </c>
      <c r="E169" s="75" t="s">
        <v>917</v>
      </c>
      <c r="F169" s="76"/>
      <c r="G169" s="77" t="n">
        <v>0</v>
      </c>
      <c r="H169" s="77" t="n">
        <v>0</v>
      </c>
      <c r="I169" s="78" t="n">
        <f aca="false">I166-I171</f>
        <v>0</v>
      </c>
      <c r="J169" s="78" t="n">
        <f aca="false">J166-J171</f>
        <v>0</v>
      </c>
      <c r="K169" s="78" t="n">
        <f aca="false">K166-K171</f>
        <v>0</v>
      </c>
      <c r="L169" s="78" t="n">
        <f aca="false">L166-L171</f>
        <v>0</v>
      </c>
      <c r="M169" s="78" t="n">
        <f aca="false">M166-M171</f>
        <v>0</v>
      </c>
      <c r="N169" s="78" t="n">
        <f aca="false">N166-N171</f>
        <v>0</v>
      </c>
      <c r="O169" s="78" t="n">
        <f aca="false">O166-O171</f>
        <v>0</v>
      </c>
      <c r="P169" s="78" t="n">
        <f aca="false">P166-P171</f>
        <v>0</v>
      </c>
      <c r="Q169" s="78" t="n">
        <f aca="false">Q166-Q171</f>
        <v>0</v>
      </c>
      <c r="R169" s="78" t="n">
        <f aca="false">R166-R171</f>
        <v>0</v>
      </c>
      <c r="S169" s="78" t="n">
        <f aca="false">S166-S171</f>
        <v>0</v>
      </c>
    </row>
    <row r="170" customFormat="false" ht="15" hidden="false" customHeight="false" outlineLevel="0" collapsed="false">
      <c r="A170" s="73" t="s">
        <v>930</v>
      </c>
      <c r="B170" s="74" t="s">
        <v>943</v>
      </c>
      <c r="C170" s="66" t="s">
        <v>136</v>
      </c>
      <c r="D170" s="43" t="s">
        <v>332</v>
      </c>
      <c r="E170" s="75" t="s">
        <v>917</v>
      </c>
      <c r="F170" s="76"/>
      <c r="G170" s="85" t="n">
        <v>0</v>
      </c>
      <c r="H170" s="85" t="n">
        <v>0</v>
      </c>
      <c r="I170" s="36" t="n">
        <f aca="false">I165-I168</f>
        <v>0</v>
      </c>
      <c r="J170" s="36" t="n">
        <f aca="false">J165-J168</f>
        <v>0</v>
      </c>
      <c r="K170" s="36" t="n">
        <f aca="false">K165-K168</f>
        <v>0</v>
      </c>
      <c r="L170" s="36" t="n">
        <f aca="false">L165-L168</f>
        <v>0</v>
      </c>
      <c r="M170" s="36" t="n">
        <f aca="false">M165-M168</f>
        <v>0</v>
      </c>
      <c r="N170" s="36" t="n">
        <f aca="false">N165-N168</f>
        <v>0</v>
      </c>
      <c r="O170" s="36" t="n">
        <f aca="false">O165-O168</f>
        <v>0</v>
      </c>
      <c r="P170" s="36" t="n">
        <f aca="false">P165-P168</f>
        <v>0</v>
      </c>
      <c r="Q170" s="36" t="n">
        <f aca="false">Q165-Q168</f>
        <v>0</v>
      </c>
      <c r="R170" s="36" t="n">
        <f aca="false">R165-R168</f>
        <v>0</v>
      </c>
      <c r="S170" s="36" t="n">
        <f aca="false">S165-S168</f>
        <v>0</v>
      </c>
    </row>
    <row r="171" customFormat="false" ht="15" hidden="false" customHeight="false" outlineLevel="0" collapsed="false">
      <c r="A171" s="73" t="s">
        <v>930</v>
      </c>
      <c r="B171" s="74" t="s">
        <v>944</v>
      </c>
      <c r="C171" s="66" t="s">
        <v>136</v>
      </c>
      <c r="D171" s="43" t="s">
        <v>81</v>
      </c>
      <c r="E171" s="75" t="s">
        <v>917</v>
      </c>
      <c r="F171" s="76"/>
      <c r="G171" s="85" t="n">
        <v>0</v>
      </c>
      <c r="H171" s="85" t="n">
        <v>0</v>
      </c>
      <c r="I171" s="78" t="n">
        <f aca="false">MAX(0,MIN(0,0-SUM(I168:I168)))*0+MAX(0,MIN(I69,0+I69-SUM(I168:I168)))*I72+MAX(0,MIN(I161,0+I69+I161-SUM(I168:I168)))*I162</f>
        <v>0</v>
      </c>
      <c r="J171" s="78" t="n">
        <f aca="false">MAX(0,MIN(0,0-SUM(I168:J168)))*0+MAX(0,MIN(I69,0+I69-SUM(I168:J168)))*I72+MAX(0,MIN(I161,0+I69+I161-SUM(I168:J168)))*I162+MAX(0,MIN(J69,0+I69+I161+J69-SUM(I168:J168)))*J72+MAX(0,MIN(J161,0+I69+I161+J69+J161-SUM(I168:J168)))*J162</f>
        <v>0</v>
      </c>
      <c r="K171" s="78" t="n">
        <f aca="false">MAX(0,MIN(0,0-SUM(I168:K168)))*0+MAX(0,MIN(I69,0+I69-SUM(I168:K168)))*I72+MAX(0,MIN(I161,0+I69+I161-SUM(I168:K168)))*I162+MAX(0,MIN(J69,0+I69+I161+J69-SUM(I168:K168)))*J72+MAX(0,MIN(J161,0+I69+I161+J69+J161-SUM(I168:K168)))*J162+MAX(0,MIN(K69,0+I69+I161+J69+J161+K69-SUM(I168:K168)))*K72+MAX(0,MIN(K161,0+I69+I161+J69+J161+K69+K161-SUM(I168:K168)))*K162</f>
        <v>0</v>
      </c>
      <c r="L171" s="78" t="n">
        <f aca="false">MAX(0,MIN(0,0-SUM(I168:L168)))*0+MAX(0,MIN(I69,0+I69-SUM(I168:L168)))*I72+MAX(0,MIN(I161,0+I69+I161-SUM(I168:L168)))*I162+MAX(0,MIN(J69,0+I69+I161+J69-SUM(I168:L168)))*J72+MAX(0,MIN(J161,0+I69+I161+J69+J161-SUM(I168:L168)))*J162+MAX(0,MIN(K69,0+I69+I161+J69+J161+K69-SUM(I168:L168)))*K72+MAX(0,MIN(K161,0+I69+I161+J69+J161+K69+K161-SUM(I168:L168)))*K162+MAX(0,MIN(L69,0+I69+I161+J69+J161+K69+K161+L69-SUM(I168:L168)))*L72+MAX(0,MIN(L161,0+I69+I161+J69+J161+K69+K161+L69+L161-SUM(I168:L168)))*L162</f>
        <v>0</v>
      </c>
      <c r="M171" s="78" t="n">
        <f aca="false">MAX(0,MIN(0,0-SUM(I168:M168)))*0+MAX(0,MIN(I69,0+I69-SUM(I168:M168)))*I72+MAX(0,MIN(I161,0+I69+I161-SUM(I168:M168)))*I162+MAX(0,MIN(J69,0+I69+I161+J69-SUM(I168:M168)))*J72+MAX(0,MIN(J161,0+I69+I161+J69+J161-SUM(I168:M168)))*J162+MAX(0,MIN(K69,0+I69+I161+J69+J161+K69-SUM(I168:M168)))*K72+MAX(0,MIN(K161,0+I69+I161+J69+J161+K69+K161-SUM(I168:M168)))*K162+MAX(0,MIN(L69,0+I69+I161+J69+J161+K69+K161+L69-SUM(I168:M168)))*L72+MAX(0,MIN(L161,0+I69+I161+J69+J161+K69+K161+L69+L161-SUM(I168:M168)))*L162+MAX(0,MIN(M69,0+I69+I161+J69+J161+K69+K161+L69+L161+M69-SUM(I168:M168)))*M72+MAX(0,MIN(M161,0+I69+I161+J69+J161+K69+K161+L69+L161+M69+M161-SUM(I168:M168)))*M162</f>
        <v>0</v>
      </c>
      <c r="N171" s="78" t="n">
        <f aca="false">MAX(0,MIN(0,0-SUM(I168:N168)))*0+MAX(0,MIN(I69,0+I69-SUM(I168:N168)))*I72+MAX(0,MIN(I161,0+I69+I161-SUM(I168:N168)))*I162+MAX(0,MIN(J69,0+I69+I161+J69-SUM(I168:N168)))*J72+MAX(0,MIN(J161,0+I69+I161+J69+J161-SUM(I168:N168)))*J162+MAX(0,MIN(K69,0+I69+I161+J69+J161+K69-SUM(I168:N168)))*K72+MAX(0,MIN(K161,0+I69+I161+J69+J161+K69+K161-SUM(I168:N168)))*K162+MAX(0,MIN(L69,0+I69+I161+J69+J161+K69+K161+L69-SUM(I168:N168)))*L72+MAX(0,MIN(L161,0+I69+I161+J69+J161+K69+K161+L69+L161-SUM(I168:N168)))*L162+MAX(0,MIN(M69,0+I69+I161+J69+J161+K69+K161+L69+L161+M69-SUM(I168:N168)))*M72+MAX(0,MIN(M161,0+I69+I161+J69+J161+K69+K161+L69+L161+M69+M161-SUM(I168:N168)))*M162+MAX(0,MIN(N69,0+I69+I161+J69+J161+K69+K161+L69+L161+M69+M161+N69-SUM(I168:N168)))*N72+MAX(0,MIN(N161,0+I69+I161+J69+J161+K69+K161+L69+L161+M69+M161+N69+N161-SUM(I168:N168)))*N162</f>
        <v>0</v>
      </c>
      <c r="O171" s="78" t="n">
        <f aca="false">MAX(0,MIN(0,0-SUM(I168:O168)))*0+MAX(0,MIN(I69,0+I69-SUM(I168:O168)))*I72+MAX(0,MIN(I161,0+I69+I161-SUM(I168:O168)))*I162+MAX(0,MIN(J69,0+I69+I161+J69-SUM(I168:O168)))*J72+MAX(0,MIN(J161,0+I69+I161+J69+J161-SUM(I168:O168)))*J162+MAX(0,MIN(K69,0+I69+I161+J69+J161+K69-SUM(I168:O168)))*K72+MAX(0,MIN(K161,0+I69+I161+J69+J161+K69+K161-SUM(I168:O168)))*K162+MAX(0,MIN(L69,0+I69+I161+J69+J161+K69+K161+L69-SUM(I168:O168)))*L72+MAX(0,MIN(L161,0+I69+I161+J69+J161+K69+K161+L69+L161-SUM(I168:O168)))*L162+MAX(0,MIN(M69,0+I69+I161+J69+J161+K69+K161+L69+L161+M69-SUM(I168:O168)))*M72+MAX(0,MIN(M161,0+I69+I161+J69+J161+K69+K161+L69+L161+M69+M161-SUM(I168:O168)))*M162+MAX(0,MIN(N69,0+I69+I161+J69+J161+K69+K161+L69+L161+M69+M161+N69-SUM(I168:O168)))*N72+MAX(0,MIN(N161,0+I69+I161+J69+J161+K69+K161+L69+L161+M69+M161+N69+N161-SUM(I168:O168)))*N162+MAX(0,MIN(O69,0+I69+I161+J69+J161+K69+K161+L69+L161+M69+M161+N69+N161+O69-SUM(I168:O168)))*O72+MAX(0,MIN(O161,0+I69+I161+J69+J161+K69+K161+L69+L161+M69+M161+N69+N161+O69+O161-SUM(I168:O168)))*O162</f>
        <v>0</v>
      </c>
      <c r="P171" s="78" t="n">
        <f aca="false">MAX(0,MIN(0,0-SUM(I168:P168)))*0+MAX(0,MIN(I69,0+I69-SUM(I168:P168)))*I72+MAX(0,MIN(I161,0+I69+I161-SUM(I168:P168)))*I162+MAX(0,MIN(J69,0+I69+I161+J69-SUM(I168:P168)))*J72+MAX(0,MIN(J161,0+I69+I161+J69+J161-SUM(I168:P168)))*J162+MAX(0,MIN(K69,0+I69+I161+J69+J161+K69-SUM(I168:P168)))*K72+MAX(0,MIN(K161,0+I69+I161+J69+J161+K69+K161-SUM(I168:P168)))*K162+MAX(0,MIN(L69,0+I69+I161+J69+J161+K69+K161+L69-SUM(I168:P168)))*L72+MAX(0,MIN(L161,0+I69+I161+J69+J161+K69+K161+L69+L161-SUM(I168:P168)))*L162+MAX(0,MIN(M69,0+I69+I161+J69+J161+K69+K161+L69+L161+M69-SUM(I168:P168)))*M72+MAX(0,MIN(M161,0+I69+I161+J69+J161+K69+K161+L69+L161+M69+M161-SUM(I168:P168)))*M162+MAX(0,MIN(N69,0+I69+I161+J69+J161+K69+K161+L69+L161+M69+M161+N69-SUM(I168:P168)))*N72+MAX(0,MIN(N161,0+I69+I161+J69+J161+K69+K161+L69+L161+M69+M161+N69+N161-SUM(I168:P168)))*N162+MAX(0,MIN(O69,0+I69+I161+J69+J161+K69+K161+L69+L161+M69+M161+N69+N161+O69-SUM(I168:P168)))*O72+MAX(0,MIN(O161,0+I69+I161+J69+J161+K69+K161+L69+L161+M69+M161+N69+N161+O69+O161-SUM(I168:P168)))*O162+MAX(0,MIN(P69,0+I69+I161+J69+J161+K69+K161+L69+L161+M69+M161+N69+N161+O69+O161+P69-SUM(I168:P168)))*P72+MAX(0,MIN(P161,0+I69+I161+J69+J161+K69+K161+L69+L161+M69+M161+N69+N161+O69+O161+P69+P161-SUM(I168:P168)))*P162</f>
        <v>0</v>
      </c>
      <c r="Q171" s="78" t="n">
        <f aca="false">MAX(0,MIN(0,0-SUM(I168:Q168)))*0+MAX(0,MIN(I69,0+I69-SUM(I168:Q168)))*I72+MAX(0,MIN(I161,0+I69+I161-SUM(I168:Q168)))*I162+MAX(0,MIN(J69,0+I69+I161+J69-SUM(I168:Q168)))*J72+MAX(0,MIN(J161,0+I69+I161+J69+J161-SUM(I168:Q168)))*J162+MAX(0,MIN(K69,0+I69+I161+J69+J161+K69-SUM(I168:Q168)))*K72+MAX(0,MIN(K161,0+I69+I161+J69+J161+K69+K161-SUM(I168:Q168)))*K162+MAX(0,MIN(L69,0+I69+I161+J69+J161+K69+K161+L69-SUM(I168:Q168)))*L72+MAX(0,MIN(L161,0+I69+I161+J69+J161+K69+K161+L69+L161-SUM(I168:Q168)))*L162+MAX(0,MIN(M69,0+I69+I161+J69+J161+K69+K161+L69+L161+M69-SUM(I168:Q168)))*M72+MAX(0,MIN(M161,0+I69+I161+J69+J161+K69+K161+L69+L161+M69+M161-SUM(I168:Q168)))*M162+MAX(0,MIN(N69,0+I69+I161+J69+J161+K69+K161+L69+L161+M69+M161+N69-SUM(I168:Q168)))*N72+MAX(0,MIN(N161,0+I69+I161+J69+J161+K69+K161+L69+L161+M69+M161+N69+N161-SUM(I168:Q168)))*N162+MAX(0,MIN(O69,0+I69+I161+J69+J161+K69+K161+L69+L161+M69+M161+N69+N161+O69-SUM(I168:Q168)))*O72+MAX(0,MIN(O161,0+I69+I161+J69+J161+K69+K161+L69+L161+M69+M161+N69+N161+O69+O161-SUM(I168:Q168)))*O162+MAX(0,MIN(P69,0+I69+I161+J69+J161+K69+K161+L69+L161+M69+M161+N69+N161+O69+O161+P69-SUM(I168:Q168)))*P72+MAX(0,MIN(P161,0+I69+I161+J69+J161+K69+K161+L69+L161+M69+M161+N69+N161+O69+O161+P69+P161-SUM(I168:Q168)))*P162+MAX(0,MIN(Q69,0+I69+I161+J69+J161+K69+K161+L69+L161+M69+M161+N69+N161+O69+O161+P69+P161+Q69-SUM(I168:Q168)))*Q72+MAX(0,MIN(Q161,0+I69+I161+J69+J161+K69+K161+L69+L161+M69+M161+N69+N161+O69+O161+P69+P161+Q69+Q161-SUM(I168:Q168)))*Q162</f>
        <v>0</v>
      </c>
      <c r="R171" s="78" t="n">
        <f aca="false">MAX(0,MIN(0,0-SUM(I168:R168)))*0+MAX(0,MIN(I69,0+I69-SUM(I168:R168)))*I72+MAX(0,MIN(I161,0+I69+I161-SUM(I168:R168)))*I162+MAX(0,MIN(J69,0+I69+I161+J69-SUM(I168:R168)))*J72+MAX(0,MIN(J161,0+I69+I161+J69+J161-SUM(I168:R168)))*J162+MAX(0,MIN(K69,0+I69+I161+J69+J161+K69-SUM(I168:R168)))*K72+MAX(0,MIN(K161,0+I69+I161+J69+J161+K69+K161-SUM(I168:R168)))*K162+MAX(0,MIN(L69,0+I69+I161+J69+J161+K69+K161+L69-SUM(I168:R168)))*L72+MAX(0,MIN(L161,0+I69+I161+J69+J161+K69+K161+L69+L161-SUM(I168:R168)))*L162+MAX(0,MIN(M69,0+I69+I161+J69+J161+K69+K161+L69+L161+M69-SUM(I168:R168)))*M72+MAX(0,MIN(M161,0+I69+I161+J69+J161+K69+K161+L69+L161+M69+M161-SUM(I168:R168)))*M162+MAX(0,MIN(N69,0+I69+I161+J69+J161+K69+K161+L69+L161+M69+M161+N69-SUM(I168:R168)))*N72+MAX(0,MIN(N161,0+I69+I161+J69+J161+K69+K161+L69+L161+M69+M161+N69+N161-SUM(I168:R168)))*N162+MAX(0,MIN(O69,0+I69+I161+J69+J161+K69+K161+L69+L161+M69+M161+N69+N161+O69-SUM(I168:R168)))*O72+MAX(0,MIN(O161,0+I69+I161+J69+J161+K69+K161+L69+L161+M69+M161+N69+N161+O69+O161-SUM(I168:R168)))*O162+MAX(0,MIN(P69,0+I69+I161+J69+J161+K69+K161+L69+L161+M69+M161+N69+N161+O69+O161+P69-SUM(I168:R168)))*P72+MAX(0,MIN(P161,0+I69+I161+J69+J161+K69+K161+L69+L161+M69+M161+N69+N161+O69+O161+P69+P161-SUM(I168:R168)))*P162+MAX(0,MIN(Q69,0+I69+I161+J69+J161+K69+K161+L69+L161+M69+M161+N69+N161+O69+O161+P69+P161+Q69-SUM(I168:R168)))*Q72+MAX(0,MIN(Q161,0+I69+I161+J69+J161+K69+K161+L69+L161+M69+M161+N69+N161+O69+O161+P69+P161+Q69+Q161-SUM(I168:R168)))*Q162+MAX(0,MIN(R69,0+I69+I161+J69+J161+K69+K161+L69+L161+M69+M161+N69+N161+O69+O161+P69+P161+Q69+Q161+R69-SUM(I168:R168)))*R72+MAX(0,MIN(R161,0+I69+I161+J69+J161+K69+K161+L69+L161+M69+M161+N69+N161+O69+O161+P69+P161+Q69+Q161+R69+R161-SUM(I168:R168)))*R162</f>
        <v>0</v>
      </c>
      <c r="S171" s="78" t="n">
        <f aca="false">MAX(0,MIN(0,0-SUM(I168:S168)))*0+MAX(0,MIN(I69,0+I69-SUM(I168:S168)))*I72+MAX(0,MIN(I161,0+I69+I161-SUM(I168:S168)))*I162+MAX(0,MIN(J69,0+I69+I161+J69-SUM(I168:S168)))*J72+MAX(0,MIN(J161,0+I69+I161+J69+J161-SUM(I168:S168)))*J162+MAX(0,MIN(K69,0+I69+I161+J69+J161+K69-SUM(I168:S168)))*K72+MAX(0,MIN(K161,0+I69+I161+J69+J161+K69+K161-SUM(I168:S168)))*K162+MAX(0,MIN(L69,0+I69+I161+J69+J161+K69+K161+L69-SUM(I168:S168)))*L72+MAX(0,MIN(L161,0+I69+I161+J69+J161+K69+K161+L69+L161-SUM(I168:S168)))*L162+MAX(0,MIN(M69,0+I69+I161+J69+J161+K69+K161+L69+L161+M69-SUM(I168:S168)))*M72+MAX(0,MIN(M161,0+I69+I161+J69+J161+K69+K161+L69+L161+M69+M161-SUM(I168:S168)))*M162+MAX(0,MIN(N69,0+I69+I161+J69+J161+K69+K161+L69+L161+M69+M161+N69-SUM(I168:S168)))*N72+MAX(0,MIN(N161,0+I69+I161+J69+J161+K69+K161+L69+L161+M69+M161+N69+N161-SUM(I168:S168)))*N162+MAX(0,MIN(O69,0+I69+I161+J69+J161+K69+K161+L69+L161+M69+M161+N69+N161+O69-SUM(I168:S168)))*O72+MAX(0,MIN(O161,0+I69+I161+J69+J161+K69+K161+L69+L161+M69+M161+N69+N161+O69+O161-SUM(I168:S168)))*O162+MAX(0,MIN(P69,0+I69+I161+J69+J161+K69+K161+L69+L161+M69+M161+N69+N161+O69+O161+P69-SUM(I168:S168)))*P72+MAX(0,MIN(P161,0+I69+I161+J69+J161+K69+K161+L69+L161+M69+M161+N69+N161+O69+O161+P69+P161-SUM(I168:S168)))*P162+MAX(0,MIN(Q69,0+I69+I161+J69+J161+K69+K161+L69+L161+M69+M161+N69+N161+O69+O161+P69+P161+Q69-SUM(I168:S168)))*Q72+MAX(0,MIN(Q161,0+I69+I161+J69+J161+K69+K161+L69+L161+M69+M161+N69+N161+O69+O161+P69+P161+Q69+Q161-SUM(I168:S168)))*Q162+MAX(0,MIN(R69,0+I69+I161+J69+J161+K69+K161+L69+L161+M69+M161+N69+N161+O69+O161+P69+P161+Q69+Q161+R69-SUM(I168:S168)))*R72+MAX(0,MIN(R161,0+I69+I161+J69+J161+K69+K161+L69+L161+M69+M161+N69+N161+O69+O161+P69+P161+Q69+Q161+R69+R161-SUM(I168:S168)))*R162+MAX(0,MIN(S69,0+I69+I161+J69+J161+K69+K161+L69+L161+M69+M161+N69+N161+O69+O161+P69+P161+Q69+Q161+R69+R161+S69-SUM(I168:S168)))*S72+MAX(0,MIN(S161,0+I69+I161+J69+J161+K69+K161+L69+L161+M69+M161+N69+N161+O69+O161+P69+P161+Q69+Q161+R69+R161+S69+S161-SUM(I168:S168)))*S162</f>
        <v>0</v>
      </c>
    </row>
    <row r="174" customFormat="false" ht="15" hidden="false" customHeight="false" outlineLevel="0" collapsed="false">
      <c r="A174" s="5" t="s">
        <v>945</v>
      </c>
      <c r="B174" s="5"/>
      <c r="C174" s="5"/>
      <c r="D174" s="5"/>
      <c r="E174" s="5"/>
      <c r="F174" s="5"/>
      <c r="G174" s="5"/>
      <c r="H174" s="5"/>
      <c r="I174" s="5"/>
      <c r="J174" s="5"/>
      <c r="K174" s="5"/>
      <c r="L174" s="5"/>
      <c r="M174" s="5"/>
      <c r="N174" s="5"/>
      <c r="O174" s="5"/>
      <c r="P174" s="5"/>
      <c r="Q174" s="5"/>
      <c r="R174" s="5"/>
      <c r="S174" s="5"/>
    </row>
    <row r="175" customFormat="false" ht="15" hidden="false" customHeight="false" outlineLevel="0" collapsed="false">
      <c r="A175" s="73" t="s">
        <v>946</v>
      </c>
      <c r="B175" s="74" t="s">
        <v>125</v>
      </c>
      <c r="C175" s="66" t="s">
        <v>67</v>
      </c>
      <c r="D175" s="43" t="s">
        <v>81</v>
      </c>
      <c r="E175" s="75" t="s">
        <v>932</v>
      </c>
      <c r="F175" s="76"/>
      <c r="G175" s="86" t="n">
        <f aca="false">IF(ISNUMBER(01_INPUTS!G74),01_INPUTS!G74,0)</f>
        <v>0</v>
      </c>
      <c r="H175" s="86" t="n">
        <f aca="false">IF(ISNUMBER(01_INPUTS!H74),01_INPUTS!H74,0)</f>
        <v>1207500000</v>
      </c>
      <c r="I175" s="86" t="n">
        <f aca="false">IF(ISNUMBER(01_INPUTS!I74),01_INPUTS!I74,0)</f>
        <v>1202000000</v>
      </c>
      <c r="J175" s="86" t="n">
        <f aca="false">IF(ISNUMBER(01_INPUTS!J74),01_INPUTS!J74,0)</f>
        <v>1202000000</v>
      </c>
      <c r="K175" s="86" t="n">
        <f aca="false">IF(ISNUMBER(01_INPUTS!K74),01_INPUTS!K74,0)</f>
        <v>1202000000</v>
      </c>
      <c r="L175" s="86" t="n">
        <f aca="false">IF(ISNUMBER(01_INPUTS!L74),01_INPUTS!L74,0)</f>
        <v>1202000000</v>
      </c>
      <c r="M175" s="86" t="n">
        <f aca="false">IF(ISNUMBER(01_INPUTS!M74),01_INPUTS!M74,0)</f>
        <v>1202000000</v>
      </c>
      <c r="N175" s="86" t="n">
        <f aca="false">IF(ISNUMBER(01_INPUTS!N74),01_INPUTS!N74,0)</f>
        <v>1202000000</v>
      </c>
      <c r="O175" s="86" t="n">
        <f aca="false">IF(ISNUMBER(01_INPUTS!O74),01_INPUTS!O74,0)</f>
        <v>1202000000</v>
      </c>
      <c r="P175" s="86" t="n">
        <f aca="false">IF(ISNUMBER(01_INPUTS!P74),01_INPUTS!P74,0)</f>
        <v>1202000000</v>
      </c>
      <c r="Q175" s="86" t="n">
        <f aca="false">IF(ISNUMBER(01_INPUTS!Q74),01_INPUTS!Q74,0)</f>
        <v>1202000000</v>
      </c>
      <c r="R175" s="86" t="n">
        <f aca="false">IF(ISNUMBER(01_INPUTS!R74),01_INPUTS!R74,0)</f>
        <v>1202000000</v>
      </c>
      <c r="S175" s="86" t="n">
        <f aca="false">IF(ISNUMBER(01_INPUTS!S74),01_INPUTS!S74,0)</f>
        <v>1202000000</v>
      </c>
    </row>
    <row r="176" customFormat="false" ht="15" hidden="false" customHeight="false" outlineLevel="0" collapsed="false">
      <c r="A176" s="73" t="s">
        <v>946</v>
      </c>
      <c r="B176" s="74" t="s">
        <v>947</v>
      </c>
      <c r="C176" s="66" t="s">
        <v>67</v>
      </c>
      <c r="D176" s="43" t="s">
        <v>81</v>
      </c>
      <c r="E176" s="75" t="s">
        <v>932</v>
      </c>
      <c r="F176" s="76"/>
      <c r="G176" s="86" t="n">
        <f aca="false">IF(ISNUMBER(01_INPUTS!G76),01_INPUTS!G76,0)</f>
        <v>0</v>
      </c>
      <c r="H176" s="86" t="n">
        <f aca="false">IF(ISNUMBER(01_INPUTS!H76),01_INPUTS!H76,0)</f>
        <v>1207500000</v>
      </c>
      <c r="I176" s="86" t="n">
        <f aca="false">IF(ISNUMBER(01_INPUTS!I76),01_INPUTS!I76,0)</f>
        <v>1202000000</v>
      </c>
      <c r="J176" s="86" t="n">
        <f aca="false">IF(ISNUMBER(01_INPUTS!J76),01_INPUTS!J76,0)</f>
        <v>1202000000</v>
      </c>
      <c r="K176" s="86" t="n">
        <f aca="false">IF(ISNUMBER(01_INPUTS!K76),01_INPUTS!K76,0)</f>
        <v>1202000000</v>
      </c>
      <c r="L176" s="86" t="n">
        <f aca="false">IF(ISNUMBER(01_INPUTS!L76),01_INPUTS!L76,0)</f>
        <v>1202000000</v>
      </c>
      <c r="M176" s="86" t="n">
        <f aca="false">IF(ISNUMBER(01_INPUTS!M76),01_INPUTS!M76,0)</f>
        <v>1202000000</v>
      </c>
      <c r="N176" s="86" t="n">
        <f aca="false">IF(ISNUMBER(01_INPUTS!N76),01_INPUTS!N76,0)</f>
        <v>1202000000</v>
      </c>
      <c r="O176" s="86" t="n">
        <f aca="false">IF(ISNUMBER(01_INPUTS!O76),01_INPUTS!O76,0)</f>
        <v>1202000000</v>
      </c>
      <c r="P176" s="86" t="n">
        <f aca="false">IF(ISNUMBER(01_INPUTS!P76),01_INPUTS!P76,0)</f>
        <v>1202000000</v>
      </c>
      <c r="Q176" s="86" t="n">
        <f aca="false">IF(ISNUMBER(01_INPUTS!Q76),01_INPUTS!Q76,0)</f>
        <v>1202000000</v>
      </c>
      <c r="R176" s="86" t="n">
        <f aca="false">IF(ISNUMBER(01_INPUTS!R76),01_INPUTS!R76,0)</f>
        <v>1202000000</v>
      </c>
      <c r="S176" s="86" t="n">
        <f aca="false">IF(ISNUMBER(01_INPUTS!S76),01_INPUTS!S76,0)</f>
        <v>1202000000</v>
      </c>
    </row>
    <row r="177" customFormat="false" ht="15" hidden="false" customHeight="false" outlineLevel="0" collapsed="false">
      <c r="A177" s="73" t="s">
        <v>946</v>
      </c>
      <c r="B177" s="74" t="s">
        <v>948</v>
      </c>
      <c r="C177" s="66" t="s">
        <v>67</v>
      </c>
      <c r="D177" s="43" t="s">
        <v>949</v>
      </c>
      <c r="E177" s="75" t="s">
        <v>43</v>
      </c>
      <c r="F177" s="76"/>
      <c r="G177" s="87" t="n">
        <f aca="false">IFERROR(G13/$G$8,0)</f>
        <v>0</v>
      </c>
      <c r="H177" s="87" t="n">
        <f aca="false">IFERROR(H13/$G$8,0)</f>
        <v>0</v>
      </c>
      <c r="I177" s="87" t="n">
        <f aca="false">IFERROR(I13/$G$8,0)</f>
        <v>0</v>
      </c>
      <c r="J177" s="87" t="n">
        <f aca="false">IFERROR(J13/$G$8,0)</f>
        <v>0</v>
      </c>
      <c r="K177" s="87" t="n">
        <f aca="false">IFERROR(K13/$G$8,0)</f>
        <v>0</v>
      </c>
      <c r="L177" s="87" t="n">
        <f aca="false">IFERROR(L13/$G$8,0)</f>
        <v>0</v>
      </c>
      <c r="M177" s="87" t="n">
        <f aca="false">IFERROR(M13/$G$8,0)</f>
        <v>0</v>
      </c>
      <c r="N177" s="87" t="n">
        <f aca="false">IFERROR(N13/$G$8,0)</f>
        <v>0</v>
      </c>
      <c r="O177" s="87" t="n">
        <f aca="false">IFERROR(O13/$G$8,0)</f>
        <v>0</v>
      </c>
      <c r="P177" s="87" t="n">
        <f aca="false">IFERROR(P13/$G$8,0)</f>
        <v>0</v>
      </c>
      <c r="Q177" s="87" t="n">
        <f aca="false">IFERROR(Q13/$G$8,0)</f>
        <v>0</v>
      </c>
      <c r="R177" s="87" t="n">
        <f aca="false">IFERROR(R13/$G$8,0)</f>
        <v>0</v>
      </c>
      <c r="S177" s="87" t="n">
        <f aca="false">IFERROR(S13/$G$8,0)</f>
        <v>0</v>
      </c>
    </row>
    <row r="178" customFormat="false" ht="15" hidden="false" customHeight="false" outlineLevel="0" collapsed="false">
      <c r="A178" s="73" t="s">
        <v>946</v>
      </c>
      <c r="B178" s="74" t="s">
        <v>950</v>
      </c>
      <c r="C178" s="66" t="s">
        <v>67</v>
      </c>
      <c r="D178" s="43" t="s">
        <v>81</v>
      </c>
      <c r="E178" s="75" t="s">
        <v>43</v>
      </c>
      <c r="F178" s="76"/>
      <c r="G178" s="48" t="s">
        <v>951</v>
      </c>
      <c r="H178" s="36" t="n">
        <f aca="false">IF(H177&gt;0,H177*H175,0)</f>
        <v>0</v>
      </c>
      <c r="I178" s="36" t="n">
        <f aca="false">IF(I177&gt;0,I177*I175,0)</f>
        <v>0</v>
      </c>
      <c r="J178" s="36" t="n">
        <f aca="false">IF(J177&gt;0,J177*J175,0)</f>
        <v>0</v>
      </c>
      <c r="K178" s="36" t="n">
        <f aca="false">IF(K177&gt;0,K177*K175,0)</f>
        <v>0</v>
      </c>
      <c r="L178" s="36" t="n">
        <f aca="false">IF(L177&gt;0,L177*L175,0)</f>
        <v>0</v>
      </c>
      <c r="M178" s="36" t="n">
        <f aca="false">IF(M177&gt;0,M177*M175,0)</f>
        <v>0</v>
      </c>
      <c r="N178" s="36" t="n">
        <f aca="false">IF(N177&gt;0,N177*N175,0)</f>
        <v>0</v>
      </c>
      <c r="O178" s="36" t="n">
        <f aca="false">IF(O177&gt;0,O177*O175,0)</f>
        <v>0</v>
      </c>
      <c r="P178" s="36" t="n">
        <f aca="false">IF(P177&gt;0,P177*P175,0)</f>
        <v>0</v>
      </c>
      <c r="Q178" s="36" t="n">
        <f aca="false">IF(Q177&gt;0,Q177*Q175,0)</f>
        <v>0</v>
      </c>
      <c r="R178" s="36" t="n">
        <f aca="false">IF(R177&gt;0,R177*R175,0)</f>
        <v>0</v>
      </c>
      <c r="S178" s="36" t="n">
        <f aca="false">IF(S177&gt;0,S177*S175,0)</f>
        <v>0</v>
      </c>
    </row>
    <row r="179" customFormat="false" ht="15" hidden="false" customHeight="false" outlineLevel="0" collapsed="false">
      <c r="A179" s="73" t="s">
        <v>946</v>
      </c>
      <c r="B179" s="74" t="s">
        <v>952</v>
      </c>
      <c r="C179" s="66" t="s">
        <v>67</v>
      </c>
      <c r="D179" s="43" t="s">
        <v>81</v>
      </c>
      <c r="E179" s="75" t="s">
        <v>43</v>
      </c>
      <c r="F179" s="76"/>
      <c r="G179" s="48" t="s">
        <v>951</v>
      </c>
      <c r="H179" s="36" t="n">
        <f aca="false">IF(H177&lt;0,-H177*H176,0)</f>
        <v>0</v>
      </c>
      <c r="I179" s="36" t="n">
        <f aca="false">IF(I177&lt;0,-I177*I176,0)</f>
        <v>0</v>
      </c>
      <c r="J179" s="36" t="n">
        <f aca="false">IF(J177&lt;0,-J177*J176,0)</f>
        <v>0</v>
      </c>
      <c r="K179" s="36" t="n">
        <f aca="false">IF(K177&lt;0,-K177*K176,0)</f>
        <v>0</v>
      </c>
      <c r="L179" s="36" t="n">
        <f aca="false">IF(L177&lt;0,-L177*L176,0)</f>
        <v>0</v>
      </c>
      <c r="M179" s="36" t="n">
        <f aca="false">IF(M177&lt;0,-M177*M176,0)</f>
        <v>0</v>
      </c>
      <c r="N179" s="36" t="n">
        <f aca="false">IF(N177&lt;0,-N177*N176,0)</f>
        <v>0</v>
      </c>
      <c r="O179" s="36" t="n">
        <f aca="false">IF(O177&lt;0,-O177*O176,0)</f>
        <v>0</v>
      </c>
      <c r="P179" s="36" t="n">
        <f aca="false">IF(P177&lt;0,-P177*P176,0)</f>
        <v>0</v>
      </c>
      <c r="Q179" s="36" t="n">
        <f aca="false">IF(Q177&lt;0,-Q177*Q176,0)</f>
        <v>0</v>
      </c>
      <c r="R179" s="36" t="n">
        <f aca="false">IF(R177&lt;0,-R177*R176,0)</f>
        <v>0</v>
      </c>
      <c r="S179" s="36" t="n">
        <f aca="false">IF(S177&lt;0,-S177*S176,0)</f>
        <v>0</v>
      </c>
    </row>
    <row r="180" customFormat="false" ht="15" hidden="false" customHeight="false" outlineLevel="0" collapsed="false">
      <c r="A180" s="73" t="s">
        <v>946</v>
      </c>
      <c r="B180" s="74" t="s">
        <v>953</v>
      </c>
      <c r="C180" s="66" t="s">
        <v>67</v>
      </c>
      <c r="D180" s="43" t="s">
        <v>81</v>
      </c>
      <c r="E180" s="75" t="s">
        <v>917</v>
      </c>
      <c r="F180" s="76"/>
      <c r="G180" s="85" t="n">
        <v>0</v>
      </c>
      <c r="H180" s="85" t="n">
        <v>14000000</v>
      </c>
      <c r="I180" s="36" t="n">
        <f aca="false">H178</f>
        <v>0</v>
      </c>
      <c r="J180" s="36" t="n">
        <f aca="false">I178</f>
        <v>0</v>
      </c>
      <c r="K180" s="36" t="n">
        <f aca="false">J178</f>
        <v>0</v>
      </c>
      <c r="L180" s="36" t="n">
        <f aca="false">K178</f>
        <v>0</v>
      </c>
      <c r="M180" s="36" t="n">
        <f aca="false">L178</f>
        <v>0</v>
      </c>
      <c r="N180" s="36" t="n">
        <f aca="false">M178</f>
        <v>0</v>
      </c>
      <c r="O180" s="36" t="n">
        <f aca="false">N178</f>
        <v>0</v>
      </c>
      <c r="P180" s="36" t="n">
        <f aca="false">O178</f>
        <v>0</v>
      </c>
      <c r="Q180" s="36" t="n">
        <f aca="false">P178</f>
        <v>0</v>
      </c>
      <c r="R180" s="36" t="n">
        <f aca="false">Q178</f>
        <v>0</v>
      </c>
      <c r="S180" s="36" t="n">
        <f aca="false">R178</f>
        <v>0</v>
      </c>
    </row>
    <row r="181" customFormat="false" ht="15" hidden="false" customHeight="false" outlineLevel="0" collapsed="false">
      <c r="A181" s="73" t="s">
        <v>946</v>
      </c>
      <c r="B181" s="74" t="s">
        <v>954</v>
      </c>
      <c r="C181" s="66" t="s">
        <v>67</v>
      </c>
      <c r="D181" s="43" t="s">
        <v>81</v>
      </c>
      <c r="E181" s="75" t="s">
        <v>917</v>
      </c>
      <c r="F181" s="76"/>
      <c r="G181" s="85" t="n">
        <v>0</v>
      </c>
      <c r="H181" s="85" t="n">
        <v>0</v>
      </c>
      <c r="I181" s="36" t="n">
        <f aca="false">H179</f>
        <v>0</v>
      </c>
      <c r="J181" s="36" t="n">
        <f aca="false">I179</f>
        <v>0</v>
      </c>
      <c r="K181" s="36" t="n">
        <f aca="false">J179</f>
        <v>0</v>
      </c>
      <c r="L181" s="36" t="n">
        <f aca="false">K179</f>
        <v>0</v>
      </c>
      <c r="M181" s="36" t="n">
        <f aca="false">L179</f>
        <v>0</v>
      </c>
      <c r="N181" s="36" t="n">
        <f aca="false">M179</f>
        <v>0</v>
      </c>
      <c r="O181" s="36" t="n">
        <f aca="false">N179</f>
        <v>0</v>
      </c>
      <c r="P181" s="36" t="n">
        <f aca="false">O179</f>
        <v>0</v>
      </c>
      <c r="Q181" s="36" t="n">
        <f aca="false">P179</f>
        <v>0</v>
      </c>
      <c r="R181" s="36" t="n">
        <f aca="false">Q179</f>
        <v>0</v>
      </c>
      <c r="S181" s="36" t="n">
        <f aca="false">R179</f>
        <v>0</v>
      </c>
    </row>
    <row r="182" customFormat="false" ht="15" hidden="false" customHeight="false" outlineLevel="0" collapsed="false">
      <c r="A182" s="73" t="s">
        <v>946</v>
      </c>
      <c r="B182" s="74" t="s">
        <v>955</v>
      </c>
      <c r="C182" s="66" t="s">
        <v>67</v>
      </c>
      <c r="D182" s="43" t="s">
        <v>81</v>
      </c>
      <c r="E182" s="75" t="s">
        <v>43</v>
      </c>
      <c r="F182" s="76"/>
      <c r="G182" s="48" t="s">
        <v>956</v>
      </c>
      <c r="H182" s="85" t="n">
        <v>9045615600</v>
      </c>
      <c r="I182" s="36" t="n">
        <f aca="false">H185</f>
        <v>9059615600</v>
      </c>
      <c r="J182" s="36" t="n">
        <f aca="false">I185</f>
        <v>9059615600</v>
      </c>
      <c r="K182" s="36" t="n">
        <f aca="false">J185</f>
        <v>9059615600</v>
      </c>
      <c r="L182" s="36" t="n">
        <f aca="false">K185</f>
        <v>9059615600</v>
      </c>
      <c r="M182" s="36" t="n">
        <f aca="false">L185</f>
        <v>9059615600</v>
      </c>
      <c r="N182" s="36" t="n">
        <f aca="false">M185</f>
        <v>9059615600</v>
      </c>
      <c r="O182" s="36" t="n">
        <f aca="false">N185</f>
        <v>9059615600</v>
      </c>
      <c r="P182" s="36" t="n">
        <f aca="false">O185</f>
        <v>9059615600</v>
      </c>
      <c r="Q182" s="36" t="n">
        <f aca="false">P185</f>
        <v>9059615600</v>
      </c>
      <c r="R182" s="36" t="n">
        <f aca="false">Q185</f>
        <v>9059615600</v>
      </c>
      <c r="S182" s="36" t="n">
        <f aca="false">R185</f>
        <v>9059615600</v>
      </c>
    </row>
    <row r="183" customFormat="false" ht="15" hidden="false" customHeight="false" outlineLevel="0" collapsed="false">
      <c r="A183" s="73" t="s">
        <v>946</v>
      </c>
      <c r="B183" s="74" t="s">
        <v>957</v>
      </c>
      <c r="C183" s="66" t="s">
        <v>67</v>
      </c>
      <c r="D183" s="43" t="s">
        <v>81</v>
      </c>
      <c r="E183" s="75" t="s">
        <v>43</v>
      </c>
      <c r="F183" s="76"/>
      <c r="G183" s="48" t="s">
        <v>951</v>
      </c>
      <c r="H183" s="85" t="n">
        <v>14000000</v>
      </c>
      <c r="I183" s="36" t="n">
        <f aca="false">I180</f>
        <v>0</v>
      </c>
      <c r="J183" s="36" t="n">
        <f aca="false">J180</f>
        <v>0</v>
      </c>
      <c r="K183" s="36" t="n">
        <f aca="false">K180</f>
        <v>0</v>
      </c>
      <c r="L183" s="36" t="n">
        <f aca="false">L180</f>
        <v>0</v>
      </c>
      <c r="M183" s="36" t="n">
        <f aca="false">M180</f>
        <v>0</v>
      </c>
      <c r="N183" s="36" t="n">
        <f aca="false">N180</f>
        <v>0</v>
      </c>
      <c r="O183" s="36" t="n">
        <f aca="false">O180</f>
        <v>0</v>
      </c>
      <c r="P183" s="36" t="n">
        <f aca="false">P180</f>
        <v>0</v>
      </c>
      <c r="Q183" s="36" t="n">
        <f aca="false">Q180</f>
        <v>0</v>
      </c>
      <c r="R183" s="36" t="n">
        <f aca="false">R180</f>
        <v>0</v>
      </c>
      <c r="S183" s="36" t="n">
        <f aca="false">S180</f>
        <v>0</v>
      </c>
    </row>
    <row r="184" customFormat="false" ht="15" hidden="false" customHeight="false" outlineLevel="0" collapsed="false">
      <c r="A184" s="73" t="s">
        <v>946</v>
      </c>
      <c r="B184" s="74" t="s">
        <v>958</v>
      </c>
      <c r="C184" s="66" t="s">
        <v>67</v>
      </c>
      <c r="D184" s="43" t="s">
        <v>81</v>
      </c>
      <c r="E184" s="75" t="s">
        <v>43</v>
      </c>
      <c r="F184" s="76"/>
      <c r="G184" s="48" t="s">
        <v>951</v>
      </c>
      <c r="H184" s="85" t="n">
        <v>0</v>
      </c>
      <c r="I184" s="36" t="n">
        <f aca="false">I182*(IF(H13&lt;0,-H13/H16,0))</f>
        <v>0</v>
      </c>
      <c r="J184" s="36" t="n">
        <f aca="false">J182*(IF(I13&lt;0,-I13/I16,0))</f>
        <v>0</v>
      </c>
      <c r="K184" s="36" t="n">
        <f aca="false">K182*(IF(J13&lt;0,-J13/J16,0))</f>
        <v>0</v>
      </c>
      <c r="L184" s="36" t="n">
        <f aca="false">L182*(IF(K13&lt;0,-K13/K16,0))</f>
        <v>0</v>
      </c>
      <c r="M184" s="36" t="n">
        <f aca="false">M182*(IF(L13&lt;0,-L13/L16,0))</f>
        <v>0</v>
      </c>
      <c r="N184" s="36" t="n">
        <f aca="false">N182*(IF(M13&lt;0,-M13/M16,0))</f>
        <v>0</v>
      </c>
      <c r="O184" s="36" t="n">
        <f aca="false">O182*(IF(N13&lt;0,-N13/N16,0))</f>
        <v>0</v>
      </c>
      <c r="P184" s="36" t="n">
        <f aca="false">P182*(IF(O13&lt;0,-O13/O16,0))</f>
        <v>0</v>
      </c>
      <c r="Q184" s="36" t="n">
        <f aca="false">Q182*(IF(P13&lt;0,-P13/P16,0))</f>
        <v>0</v>
      </c>
      <c r="R184" s="36" t="n">
        <f aca="false">R182*(IF(Q13&lt;0,-Q13/Q16,0))</f>
        <v>0</v>
      </c>
      <c r="S184" s="36" t="n">
        <f aca="false">S182*(IF(R13&lt;0,-R13/R16,0))</f>
        <v>0</v>
      </c>
    </row>
    <row r="185" customFormat="false" ht="15" hidden="false" customHeight="false" outlineLevel="0" collapsed="false">
      <c r="A185" s="73" t="s">
        <v>946</v>
      </c>
      <c r="B185" s="74" t="s">
        <v>959</v>
      </c>
      <c r="C185" s="66" t="s">
        <v>67</v>
      </c>
      <c r="D185" s="43" t="s">
        <v>81</v>
      </c>
      <c r="E185" s="75" t="s">
        <v>43</v>
      </c>
      <c r="F185" s="76"/>
      <c r="G185" s="77" t="n">
        <v>9045615600</v>
      </c>
      <c r="H185" s="77" t="n">
        <v>9059615600</v>
      </c>
      <c r="I185" s="78" t="n">
        <f aca="false">I182+I183-I184</f>
        <v>9059615600</v>
      </c>
      <c r="J185" s="78" t="n">
        <f aca="false">J182+J183-J184</f>
        <v>9059615600</v>
      </c>
      <c r="K185" s="78" t="n">
        <f aca="false">K182+K183-K184</f>
        <v>9059615600</v>
      </c>
      <c r="L185" s="78" t="n">
        <f aca="false">L182+L183-L184</f>
        <v>9059615600</v>
      </c>
      <c r="M185" s="78" t="n">
        <f aca="false">M182+M183-M184</f>
        <v>9059615600</v>
      </c>
      <c r="N185" s="78" t="n">
        <f aca="false">N182+N183-N184</f>
        <v>9059615600</v>
      </c>
      <c r="O185" s="78" t="n">
        <f aca="false">O182+O183-O184</f>
        <v>9059615600</v>
      </c>
      <c r="P185" s="78" t="n">
        <f aca="false">P182+P183-P184</f>
        <v>9059615600</v>
      </c>
      <c r="Q185" s="78" t="n">
        <f aca="false">Q182+Q183-Q184</f>
        <v>9059615600</v>
      </c>
      <c r="R185" s="78" t="n">
        <f aca="false">R182+R183-R184</f>
        <v>9059615600</v>
      </c>
      <c r="S185" s="78" t="n">
        <f aca="false">S182+S183-S184</f>
        <v>9059615600</v>
      </c>
    </row>
    <row r="186" customFormat="false" ht="15" hidden="false" customHeight="false" outlineLevel="0" collapsed="false">
      <c r="A186" s="73" t="s">
        <v>946</v>
      </c>
      <c r="B186" s="74" t="s">
        <v>960</v>
      </c>
      <c r="C186" s="66" t="s">
        <v>67</v>
      </c>
      <c r="D186" s="43" t="s">
        <v>81</v>
      </c>
      <c r="E186" s="75" t="s">
        <v>917</v>
      </c>
      <c r="F186" s="76"/>
      <c r="G186" s="85" t="n">
        <v>1005068400</v>
      </c>
      <c r="H186" s="85" t="n">
        <v>904561560</v>
      </c>
      <c r="I186" s="78" t="n">
        <f aca="false">I190*$G$10</f>
        <v>815505404</v>
      </c>
      <c r="J186" s="78" t="n">
        <f aca="false">J190*$G$10</f>
        <v>733954863.6</v>
      </c>
      <c r="K186" s="78" t="n">
        <f aca="false">K190*$G$10</f>
        <v>660559377.24</v>
      </c>
      <c r="L186" s="78" t="n">
        <f aca="false">L190*$G$10</f>
        <v>594503439.516</v>
      </c>
      <c r="M186" s="78" t="n">
        <f aca="false">M190*$G$10</f>
        <v>535053095.5644</v>
      </c>
      <c r="N186" s="78" t="n">
        <f aca="false">N190*$G$10</f>
        <v>481547786.00796</v>
      </c>
      <c r="O186" s="78" t="n">
        <f aca="false">O190*$G$10</f>
        <v>433393007.407164</v>
      </c>
      <c r="P186" s="78" t="n">
        <f aca="false">P190*$G$10</f>
        <v>390053706.666448</v>
      </c>
      <c r="Q186" s="78" t="n">
        <f aca="false">Q190*$G$10</f>
        <v>351048335.999803</v>
      </c>
      <c r="R186" s="78" t="n">
        <f aca="false">R190*$G$10</f>
        <v>315943502.399823</v>
      </c>
      <c r="S186" s="78" t="n">
        <f aca="false">S190*$G$10</f>
        <v>284349152.15984</v>
      </c>
    </row>
    <row r="187" customFormat="false" ht="15" hidden="false" customHeight="false" outlineLevel="0" collapsed="false">
      <c r="A187" s="73" t="s">
        <v>946</v>
      </c>
      <c r="B187" s="74" t="s">
        <v>961</v>
      </c>
      <c r="C187" s="66" t="s">
        <v>67</v>
      </c>
      <c r="D187" s="43" t="s">
        <v>81</v>
      </c>
      <c r="E187" s="75" t="s">
        <v>43</v>
      </c>
      <c r="F187" s="76"/>
      <c r="G187" s="48" t="s">
        <v>951</v>
      </c>
      <c r="H187" s="85" t="n">
        <v>0</v>
      </c>
      <c r="I187" s="36" t="n">
        <f aca="false">H189</f>
        <v>904561560</v>
      </c>
      <c r="J187" s="36" t="n">
        <f aca="false">I189</f>
        <v>1720066964</v>
      </c>
      <c r="K187" s="36" t="n">
        <f aca="false">J189</f>
        <v>2454021827.6</v>
      </c>
      <c r="L187" s="36" t="n">
        <f aca="false">K189</f>
        <v>3114581204.84</v>
      </c>
      <c r="M187" s="36" t="n">
        <f aca="false">L189</f>
        <v>3709084644.356</v>
      </c>
      <c r="N187" s="36" t="n">
        <f aca="false">M189</f>
        <v>4244137739.9204</v>
      </c>
      <c r="O187" s="36" t="n">
        <f aca="false">N189</f>
        <v>4725685525.92836</v>
      </c>
      <c r="P187" s="36" t="n">
        <f aca="false">O189</f>
        <v>5159078533.33552</v>
      </c>
      <c r="Q187" s="36" t="n">
        <f aca="false">P189</f>
        <v>5549132240.00197</v>
      </c>
      <c r="R187" s="36" t="n">
        <f aca="false">Q189</f>
        <v>5900180576.00177</v>
      </c>
      <c r="S187" s="36" t="n">
        <f aca="false">R189</f>
        <v>6216124078.4016</v>
      </c>
    </row>
    <row r="188" customFormat="false" ht="15" hidden="false" customHeight="false" outlineLevel="0" collapsed="false">
      <c r="A188" s="73" t="s">
        <v>946</v>
      </c>
      <c r="B188" s="74" t="s">
        <v>962</v>
      </c>
      <c r="C188" s="66" t="s">
        <v>67</v>
      </c>
      <c r="D188" s="43" t="s">
        <v>81</v>
      </c>
      <c r="E188" s="75" t="s">
        <v>43</v>
      </c>
      <c r="F188" s="76"/>
      <c r="G188" s="85" t="n">
        <v>0</v>
      </c>
      <c r="H188" s="85" t="n">
        <v>0</v>
      </c>
      <c r="I188" s="36" t="n">
        <f aca="false">I184-I191</f>
        <v>0</v>
      </c>
      <c r="J188" s="36" t="n">
        <f aca="false">J184-J191</f>
        <v>0</v>
      </c>
      <c r="K188" s="36" t="n">
        <f aca="false">K184-K191</f>
        <v>0</v>
      </c>
      <c r="L188" s="36" t="n">
        <f aca="false">L184-L191</f>
        <v>0</v>
      </c>
      <c r="M188" s="36" t="n">
        <f aca="false">M184-M191</f>
        <v>0</v>
      </c>
      <c r="N188" s="36" t="n">
        <f aca="false">N184-N191</f>
        <v>0</v>
      </c>
      <c r="O188" s="36" t="n">
        <f aca="false">O184-O191</f>
        <v>0</v>
      </c>
      <c r="P188" s="36" t="n">
        <f aca="false">P184-P191</f>
        <v>0</v>
      </c>
      <c r="Q188" s="36" t="n">
        <f aca="false">Q184-Q191</f>
        <v>0</v>
      </c>
      <c r="R188" s="36" t="n">
        <f aca="false">R184-R191</f>
        <v>0</v>
      </c>
      <c r="S188" s="36" t="n">
        <f aca="false">S184-S191</f>
        <v>0</v>
      </c>
    </row>
    <row r="189" customFormat="false" ht="15" hidden="false" customHeight="false" outlineLevel="0" collapsed="false">
      <c r="A189" s="73" t="s">
        <v>946</v>
      </c>
      <c r="B189" s="74" t="s">
        <v>963</v>
      </c>
      <c r="C189" s="66" t="s">
        <v>67</v>
      </c>
      <c r="D189" s="43" t="s">
        <v>81</v>
      </c>
      <c r="E189" s="75" t="s">
        <v>43</v>
      </c>
      <c r="F189" s="76"/>
      <c r="G189" s="85" t="n">
        <v>0</v>
      </c>
      <c r="H189" s="85" t="n">
        <v>904561560</v>
      </c>
      <c r="I189" s="36" t="n">
        <f aca="false">I187+I186-I188</f>
        <v>1720066964</v>
      </c>
      <c r="J189" s="36" t="n">
        <f aca="false">J187+J186-J188</f>
        <v>2454021827.6</v>
      </c>
      <c r="K189" s="36" t="n">
        <f aca="false">K187+K186-K188</f>
        <v>3114581204.84</v>
      </c>
      <c r="L189" s="36" t="n">
        <f aca="false">L187+L186-L188</f>
        <v>3709084644.356</v>
      </c>
      <c r="M189" s="36" t="n">
        <f aca="false">M187+M186-M188</f>
        <v>4244137739.9204</v>
      </c>
      <c r="N189" s="36" t="n">
        <f aca="false">N187+N186-N188</f>
        <v>4725685525.92836</v>
      </c>
      <c r="O189" s="36" t="n">
        <f aca="false">O187+O186-O188</f>
        <v>5159078533.33552</v>
      </c>
      <c r="P189" s="36" t="n">
        <f aca="false">P187+P186-P188</f>
        <v>5549132240.00197</v>
      </c>
      <c r="Q189" s="36" t="n">
        <f aca="false">Q187+Q186-Q188</f>
        <v>5900180576.00177</v>
      </c>
      <c r="R189" s="36" t="n">
        <f aca="false">R187+R186-R188</f>
        <v>6216124078.4016</v>
      </c>
      <c r="S189" s="36" t="n">
        <f aca="false">S187+S186-S188</f>
        <v>6500473230.56144</v>
      </c>
    </row>
    <row r="190" customFormat="false" ht="15" hidden="false" customHeight="false" outlineLevel="0" collapsed="false">
      <c r="A190" s="73" t="s">
        <v>946</v>
      </c>
      <c r="B190" s="74" t="s">
        <v>964</v>
      </c>
      <c r="C190" s="66" t="s">
        <v>67</v>
      </c>
      <c r="D190" s="43" t="s">
        <v>81</v>
      </c>
      <c r="E190" s="75" t="s">
        <v>43</v>
      </c>
      <c r="F190" s="76"/>
      <c r="G190" s="48" t="s">
        <v>956</v>
      </c>
      <c r="H190" s="85" t="n">
        <v>9045615600</v>
      </c>
      <c r="I190" s="36" t="n">
        <f aca="false">H192</f>
        <v>8155054040</v>
      </c>
      <c r="J190" s="36" t="n">
        <f aca="false">I192</f>
        <v>7339548636</v>
      </c>
      <c r="K190" s="36" t="n">
        <f aca="false">J192</f>
        <v>6605593772.4</v>
      </c>
      <c r="L190" s="36" t="n">
        <f aca="false">K192</f>
        <v>5945034395.16</v>
      </c>
      <c r="M190" s="36" t="n">
        <f aca="false">L192</f>
        <v>5350530955.644</v>
      </c>
      <c r="N190" s="36" t="n">
        <f aca="false">M192</f>
        <v>4815477860.0796</v>
      </c>
      <c r="O190" s="36" t="n">
        <f aca="false">N192</f>
        <v>4333930074.07164</v>
      </c>
      <c r="P190" s="36" t="n">
        <f aca="false">O192</f>
        <v>3900537066.66448</v>
      </c>
      <c r="Q190" s="36" t="n">
        <f aca="false">P192</f>
        <v>3510483359.99803</v>
      </c>
      <c r="R190" s="36" t="n">
        <f aca="false">Q192</f>
        <v>3159435023.99823</v>
      </c>
      <c r="S190" s="36" t="n">
        <f aca="false">R192</f>
        <v>2843491521.5984</v>
      </c>
    </row>
    <row r="191" customFormat="false" ht="15" hidden="false" customHeight="false" outlineLevel="0" collapsed="false">
      <c r="A191" s="73" t="s">
        <v>946</v>
      </c>
      <c r="B191" s="74" t="s">
        <v>965</v>
      </c>
      <c r="C191" s="66" t="s">
        <v>67</v>
      </c>
      <c r="D191" s="43" t="s">
        <v>81</v>
      </c>
      <c r="E191" s="75" t="s">
        <v>43</v>
      </c>
      <c r="F191" s="76"/>
      <c r="G191" s="85" t="n">
        <v>0</v>
      </c>
      <c r="H191" s="85" t="n">
        <v>0</v>
      </c>
      <c r="I191" s="36" t="n">
        <f aca="false">I190*(IF(H13&lt;0,-H13/H16,0))</f>
        <v>0</v>
      </c>
      <c r="J191" s="36" t="n">
        <f aca="false">J190*(IF(I13&lt;0,-I13/I16,0))</f>
        <v>0</v>
      </c>
      <c r="K191" s="36" t="n">
        <f aca="false">K190*(IF(J13&lt;0,-J13/J16,0))</f>
        <v>0</v>
      </c>
      <c r="L191" s="36" t="n">
        <f aca="false">L190*(IF(K13&lt;0,-K13/K16,0))</f>
        <v>0</v>
      </c>
      <c r="M191" s="36" t="n">
        <f aca="false">M190*(IF(L13&lt;0,-L13/L16,0))</f>
        <v>0</v>
      </c>
      <c r="N191" s="36" t="n">
        <f aca="false">N190*(IF(M13&lt;0,-M13/M16,0))</f>
        <v>0</v>
      </c>
      <c r="O191" s="36" t="n">
        <f aca="false">O190*(IF(N13&lt;0,-N13/N16,0))</f>
        <v>0</v>
      </c>
      <c r="P191" s="36" t="n">
        <f aca="false">P190*(IF(O13&lt;0,-O13/O16,0))</f>
        <v>0</v>
      </c>
      <c r="Q191" s="36" t="n">
        <f aca="false">Q190*(IF(P13&lt;0,-P13/P16,0))</f>
        <v>0</v>
      </c>
      <c r="R191" s="36" t="n">
        <f aca="false">R190*(IF(Q13&lt;0,-Q13/Q16,0))</f>
        <v>0</v>
      </c>
      <c r="S191" s="36" t="n">
        <f aca="false">S190*(IF(R13&lt;0,-R13/R16,0))</f>
        <v>0</v>
      </c>
    </row>
    <row r="192" customFormat="false" ht="15" hidden="false" customHeight="false" outlineLevel="0" collapsed="false">
      <c r="A192" s="73" t="s">
        <v>946</v>
      </c>
      <c r="B192" s="74" t="s">
        <v>966</v>
      </c>
      <c r="C192" s="66" t="s">
        <v>67</v>
      </c>
      <c r="D192" s="43" t="s">
        <v>81</v>
      </c>
      <c r="E192" s="75" t="s">
        <v>917</v>
      </c>
      <c r="F192" s="76"/>
      <c r="G192" s="77" t="n">
        <v>9045615600</v>
      </c>
      <c r="H192" s="77" t="n">
        <v>8155054040</v>
      </c>
      <c r="I192" s="78" t="n">
        <f aca="false">I185-I189</f>
        <v>7339548636</v>
      </c>
      <c r="J192" s="78" t="n">
        <f aca="false">J185-J189</f>
        <v>6605593772.4</v>
      </c>
      <c r="K192" s="78" t="n">
        <f aca="false">K185-K189</f>
        <v>5945034395.16</v>
      </c>
      <c r="L192" s="78" t="n">
        <f aca="false">L185-L189</f>
        <v>5350530955.644</v>
      </c>
      <c r="M192" s="78" t="n">
        <f aca="false">M185-M189</f>
        <v>4815477860.0796</v>
      </c>
      <c r="N192" s="78" t="n">
        <f aca="false">N185-N189</f>
        <v>4333930074.07164</v>
      </c>
      <c r="O192" s="78" t="n">
        <f aca="false">O185-O189</f>
        <v>3900537066.66448</v>
      </c>
      <c r="P192" s="78" t="n">
        <f aca="false">P185-P189</f>
        <v>3510483359.99803</v>
      </c>
      <c r="Q192" s="78" t="n">
        <f aca="false">Q185-Q189</f>
        <v>3159435023.99823</v>
      </c>
      <c r="R192" s="78" t="n">
        <f aca="false">R185-R189</f>
        <v>2843491521.5984</v>
      </c>
      <c r="S192" s="78" t="n">
        <f aca="false">S185-S189</f>
        <v>2559142369.43856</v>
      </c>
    </row>
    <row r="194" customFormat="false" ht="15" hidden="false" customHeight="false" outlineLevel="0" collapsed="false">
      <c r="A194" s="73" t="s">
        <v>946</v>
      </c>
      <c r="B194" s="74" t="s">
        <v>125</v>
      </c>
      <c r="C194" s="66" t="s">
        <v>71</v>
      </c>
      <c r="D194" s="43" t="s">
        <v>81</v>
      </c>
      <c r="E194" s="75" t="s">
        <v>932</v>
      </c>
      <c r="F194" s="76"/>
      <c r="G194" s="86" t="n">
        <f aca="false">IF(ISNUMBER(01_INPUTS!G75),01_INPUTS!G75,0)</f>
        <v>0</v>
      </c>
      <c r="H194" s="86" t="n">
        <f aca="false">IF(ISNUMBER(01_INPUTS!H75),01_INPUTS!H75,0)</f>
        <v>1057500000</v>
      </c>
      <c r="I194" s="86" t="n">
        <f aca="false">IF(ISNUMBER(01_INPUTS!I75),01_INPUTS!I75,0)</f>
        <v>1052000000</v>
      </c>
      <c r="J194" s="86" t="n">
        <f aca="false">IF(ISNUMBER(01_INPUTS!J75),01_INPUTS!J75,0)</f>
        <v>1052000000</v>
      </c>
      <c r="K194" s="86" t="n">
        <f aca="false">IF(ISNUMBER(01_INPUTS!K75),01_INPUTS!K75,0)</f>
        <v>1052000000</v>
      </c>
      <c r="L194" s="86" t="n">
        <f aca="false">IF(ISNUMBER(01_INPUTS!L75),01_INPUTS!L75,0)</f>
        <v>1052000000</v>
      </c>
      <c r="M194" s="86" t="n">
        <f aca="false">IF(ISNUMBER(01_INPUTS!M75),01_INPUTS!M75,0)</f>
        <v>1052000000</v>
      </c>
      <c r="N194" s="86" t="n">
        <f aca="false">IF(ISNUMBER(01_INPUTS!N75),01_INPUTS!N75,0)</f>
        <v>1052000000</v>
      </c>
      <c r="O194" s="86" t="n">
        <f aca="false">IF(ISNUMBER(01_INPUTS!O75),01_INPUTS!O75,0)</f>
        <v>1052000000</v>
      </c>
      <c r="P194" s="86" t="n">
        <f aca="false">IF(ISNUMBER(01_INPUTS!P75),01_INPUTS!P75,0)</f>
        <v>1052000000</v>
      </c>
      <c r="Q194" s="86" t="n">
        <f aca="false">IF(ISNUMBER(01_INPUTS!Q75),01_INPUTS!Q75,0)</f>
        <v>1052000000</v>
      </c>
      <c r="R194" s="86" t="n">
        <f aca="false">IF(ISNUMBER(01_INPUTS!R75),01_INPUTS!R75,0)</f>
        <v>1052000000</v>
      </c>
      <c r="S194" s="86" t="n">
        <f aca="false">IF(ISNUMBER(01_INPUTS!S75),01_INPUTS!S75,0)</f>
        <v>1052000000</v>
      </c>
    </row>
    <row r="195" customFormat="false" ht="15" hidden="false" customHeight="false" outlineLevel="0" collapsed="false">
      <c r="A195" s="73" t="s">
        <v>946</v>
      </c>
      <c r="B195" s="74" t="s">
        <v>947</v>
      </c>
      <c r="C195" s="66" t="s">
        <v>71</v>
      </c>
      <c r="D195" s="43" t="s">
        <v>81</v>
      </c>
      <c r="E195" s="75" t="s">
        <v>932</v>
      </c>
      <c r="F195" s="76"/>
      <c r="G195" s="86" t="n">
        <f aca="false">IF(ISNUMBER(01_INPUTS!G77),01_INPUTS!G77,0)</f>
        <v>0</v>
      </c>
      <c r="H195" s="86" t="n">
        <f aca="false">IF(ISNUMBER(01_INPUTS!H77),01_INPUTS!H77,0)</f>
        <v>1057500000</v>
      </c>
      <c r="I195" s="86" t="n">
        <f aca="false">IF(ISNUMBER(01_INPUTS!I77),01_INPUTS!I77,0)</f>
        <v>1052000000</v>
      </c>
      <c r="J195" s="86" t="n">
        <f aca="false">IF(ISNUMBER(01_INPUTS!J77),01_INPUTS!J77,0)</f>
        <v>1052000000</v>
      </c>
      <c r="K195" s="86" t="n">
        <f aca="false">IF(ISNUMBER(01_INPUTS!K77),01_INPUTS!K77,0)</f>
        <v>1052000000</v>
      </c>
      <c r="L195" s="86" t="n">
        <f aca="false">IF(ISNUMBER(01_INPUTS!L77),01_INPUTS!L77,0)</f>
        <v>1052000000</v>
      </c>
      <c r="M195" s="86" t="n">
        <f aca="false">IF(ISNUMBER(01_INPUTS!M77),01_INPUTS!M77,0)</f>
        <v>1052000000</v>
      </c>
      <c r="N195" s="86" t="n">
        <f aca="false">IF(ISNUMBER(01_INPUTS!N77),01_INPUTS!N77,0)</f>
        <v>1052000000</v>
      </c>
      <c r="O195" s="86" t="n">
        <f aca="false">IF(ISNUMBER(01_INPUTS!O77),01_INPUTS!O77,0)</f>
        <v>1052000000</v>
      </c>
      <c r="P195" s="86" t="n">
        <f aca="false">IF(ISNUMBER(01_INPUTS!P77),01_INPUTS!P77,0)</f>
        <v>1052000000</v>
      </c>
      <c r="Q195" s="86" t="n">
        <f aca="false">IF(ISNUMBER(01_INPUTS!Q77),01_INPUTS!Q77,0)</f>
        <v>1052000000</v>
      </c>
      <c r="R195" s="86" t="n">
        <f aca="false">IF(ISNUMBER(01_INPUTS!R77),01_INPUTS!R77,0)</f>
        <v>1052000000</v>
      </c>
      <c r="S195" s="86" t="n">
        <f aca="false">IF(ISNUMBER(01_INPUTS!S77),01_INPUTS!S77,0)</f>
        <v>1052000000</v>
      </c>
    </row>
    <row r="196" customFormat="false" ht="15" hidden="false" customHeight="false" outlineLevel="0" collapsed="false">
      <c r="A196" s="73" t="s">
        <v>946</v>
      </c>
      <c r="B196" s="74" t="s">
        <v>948</v>
      </c>
      <c r="C196" s="66" t="s">
        <v>71</v>
      </c>
      <c r="D196" s="43" t="s">
        <v>949</v>
      </c>
      <c r="E196" s="75" t="s">
        <v>43</v>
      </c>
      <c r="F196" s="76"/>
      <c r="G196" s="87" t="n">
        <f aca="false">IFERROR(G22/$G$9,0)</f>
        <v>0</v>
      </c>
      <c r="H196" s="87" t="n">
        <f aca="false">IFERROR(H22/$G$9,0)</f>
        <v>0</v>
      </c>
      <c r="I196" s="87" t="n">
        <f aca="false">IFERROR(I22/$G$9,0)</f>
        <v>0</v>
      </c>
      <c r="J196" s="87" t="n">
        <f aca="false">IFERROR(J22/$G$9,0)</f>
        <v>0</v>
      </c>
      <c r="K196" s="87" t="n">
        <f aca="false">IFERROR(K22/$G$9,0)</f>
        <v>0</v>
      </c>
      <c r="L196" s="87" t="n">
        <f aca="false">IFERROR(L22/$G$9,0)</f>
        <v>0</v>
      </c>
      <c r="M196" s="87" t="n">
        <f aca="false">IFERROR(M22/$G$9,0)</f>
        <v>0</v>
      </c>
      <c r="N196" s="87" t="n">
        <f aca="false">IFERROR(N22/$G$9,0)</f>
        <v>0</v>
      </c>
      <c r="O196" s="87" t="n">
        <f aca="false">IFERROR(O22/$G$9,0)</f>
        <v>0</v>
      </c>
      <c r="P196" s="87" t="n">
        <f aca="false">IFERROR(P22/$G$9,0)</f>
        <v>0</v>
      </c>
      <c r="Q196" s="87" t="n">
        <f aca="false">IFERROR(Q22/$G$9,0)</f>
        <v>0</v>
      </c>
      <c r="R196" s="87" t="n">
        <f aca="false">IFERROR(R22/$G$9,0)</f>
        <v>0</v>
      </c>
      <c r="S196" s="87" t="n">
        <f aca="false">IFERROR(S22/$G$9,0)</f>
        <v>0</v>
      </c>
    </row>
    <row r="197" customFormat="false" ht="15" hidden="false" customHeight="false" outlineLevel="0" collapsed="false">
      <c r="A197" s="73" t="s">
        <v>946</v>
      </c>
      <c r="B197" s="74" t="s">
        <v>950</v>
      </c>
      <c r="C197" s="66" t="s">
        <v>71</v>
      </c>
      <c r="D197" s="43" t="s">
        <v>81</v>
      </c>
      <c r="E197" s="75" t="s">
        <v>43</v>
      </c>
      <c r="F197" s="76"/>
      <c r="G197" s="48" t="s">
        <v>951</v>
      </c>
      <c r="H197" s="36" t="n">
        <f aca="false">IF(H196&gt;0,H196*H194,0)</f>
        <v>0</v>
      </c>
      <c r="I197" s="36" t="n">
        <f aca="false">IF(I196&gt;0,I196*I194,0)</f>
        <v>0</v>
      </c>
      <c r="J197" s="36" t="n">
        <f aca="false">IF(J196&gt;0,J196*J194,0)</f>
        <v>0</v>
      </c>
      <c r="K197" s="36" t="n">
        <f aca="false">IF(K196&gt;0,K196*K194,0)</f>
        <v>0</v>
      </c>
      <c r="L197" s="36" t="n">
        <f aca="false">IF(L196&gt;0,L196*L194,0)</f>
        <v>0</v>
      </c>
      <c r="M197" s="36" t="n">
        <f aca="false">IF(M196&gt;0,M196*M194,0)</f>
        <v>0</v>
      </c>
      <c r="N197" s="36" t="n">
        <f aca="false">IF(N196&gt;0,N196*N194,0)</f>
        <v>0</v>
      </c>
      <c r="O197" s="36" t="n">
        <f aca="false">IF(O196&gt;0,O196*O194,0)</f>
        <v>0</v>
      </c>
      <c r="P197" s="36" t="n">
        <f aca="false">IF(P196&gt;0,P196*P194,0)</f>
        <v>0</v>
      </c>
      <c r="Q197" s="36" t="n">
        <f aca="false">IF(Q196&gt;0,Q196*Q194,0)</f>
        <v>0</v>
      </c>
      <c r="R197" s="36" t="n">
        <f aca="false">IF(R196&gt;0,R196*R194,0)</f>
        <v>0</v>
      </c>
      <c r="S197" s="36" t="n">
        <f aca="false">IF(S196&gt;0,S196*S194,0)</f>
        <v>0</v>
      </c>
    </row>
    <row r="198" customFormat="false" ht="15" hidden="false" customHeight="false" outlineLevel="0" collapsed="false">
      <c r="A198" s="73" t="s">
        <v>946</v>
      </c>
      <c r="B198" s="74" t="s">
        <v>952</v>
      </c>
      <c r="C198" s="66" t="s">
        <v>71</v>
      </c>
      <c r="D198" s="43" t="s">
        <v>81</v>
      </c>
      <c r="E198" s="75" t="s">
        <v>43</v>
      </c>
      <c r="F198" s="76"/>
      <c r="G198" s="48" t="s">
        <v>951</v>
      </c>
      <c r="H198" s="36" t="n">
        <f aca="false">IF(H196&lt;0,-H196*H195,0)</f>
        <v>0</v>
      </c>
      <c r="I198" s="36" t="n">
        <f aca="false">IF(I196&lt;0,-I196*I195,0)</f>
        <v>0</v>
      </c>
      <c r="J198" s="36" t="n">
        <f aca="false">IF(J196&lt;0,-J196*J195,0)</f>
        <v>0</v>
      </c>
      <c r="K198" s="36" t="n">
        <f aca="false">IF(K196&lt;0,-K196*K195,0)</f>
        <v>0</v>
      </c>
      <c r="L198" s="36" t="n">
        <f aca="false">IF(L196&lt;0,-L196*L195,0)</f>
        <v>0</v>
      </c>
      <c r="M198" s="36" t="n">
        <f aca="false">IF(M196&lt;0,-M196*M195,0)</f>
        <v>0</v>
      </c>
      <c r="N198" s="36" t="n">
        <f aca="false">IF(N196&lt;0,-N196*N195,0)</f>
        <v>0</v>
      </c>
      <c r="O198" s="36" t="n">
        <f aca="false">IF(O196&lt;0,-O196*O195,0)</f>
        <v>0</v>
      </c>
      <c r="P198" s="36" t="n">
        <f aca="false">IF(P196&lt;0,-P196*P195,0)</f>
        <v>0</v>
      </c>
      <c r="Q198" s="36" t="n">
        <f aca="false">IF(Q196&lt;0,-Q196*Q195,0)</f>
        <v>0</v>
      </c>
      <c r="R198" s="36" t="n">
        <f aca="false">IF(R196&lt;0,-R196*R195,0)</f>
        <v>0</v>
      </c>
      <c r="S198" s="36" t="n">
        <f aca="false">IF(S196&lt;0,-S196*S195,0)</f>
        <v>0</v>
      </c>
    </row>
    <row r="199" customFormat="false" ht="15" hidden="false" customHeight="false" outlineLevel="0" collapsed="false">
      <c r="A199" s="73" t="s">
        <v>946</v>
      </c>
      <c r="B199" s="74" t="s">
        <v>953</v>
      </c>
      <c r="C199" s="66" t="s">
        <v>71</v>
      </c>
      <c r="D199" s="43" t="s">
        <v>81</v>
      </c>
      <c r="E199" s="75" t="s">
        <v>917</v>
      </c>
      <c r="F199" s="76"/>
      <c r="G199" s="85" t="n">
        <v>0</v>
      </c>
      <c r="H199" s="85" t="n">
        <v>4000000</v>
      </c>
      <c r="I199" s="36" t="n">
        <f aca="false">H197</f>
        <v>0</v>
      </c>
      <c r="J199" s="36" t="n">
        <f aca="false">I197</f>
        <v>0</v>
      </c>
      <c r="K199" s="36" t="n">
        <f aca="false">J197</f>
        <v>0</v>
      </c>
      <c r="L199" s="36" t="n">
        <f aca="false">K197</f>
        <v>0</v>
      </c>
      <c r="M199" s="36" t="n">
        <f aca="false">L197</f>
        <v>0</v>
      </c>
      <c r="N199" s="36" t="n">
        <f aca="false">M197</f>
        <v>0</v>
      </c>
      <c r="O199" s="36" t="n">
        <f aca="false">N197</f>
        <v>0</v>
      </c>
      <c r="P199" s="36" t="n">
        <f aca="false">O197</f>
        <v>0</v>
      </c>
      <c r="Q199" s="36" t="n">
        <f aca="false">P197</f>
        <v>0</v>
      </c>
      <c r="R199" s="36" t="n">
        <f aca="false">Q197</f>
        <v>0</v>
      </c>
      <c r="S199" s="36" t="n">
        <f aca="false">R197</f>
        <v>0</v>
      </c>
    </row>
    <row r="200" customFormat="false" ht="15" hidden="false" customHeight="false" outlineLevel="0" collapsed="false">
      <c r="A200" s="73" t="s">
        <v>946</v>
      </c>
      <c r="B200" s="74" t="s">
        <v>954</v>
      </c>
      <c r="C200" s="66" t="s">
        <v>71</v>
      </c>
      <c r="D200" s="43" t="s">
        <v>81</v>
      </c>
      <c r="E200" s="75" t="s">
        <v>917</v>
      </c>
      <c r="F200" s="76"/>
      <c r="G200" s="85" t="n">
        <v>0</v>
      </c>
      <c r="H200" s="85" t="n">
        <v>0</v>
      </c>
      <c r="I200" s="36" t="n">
        <f aca="false">H198</f>
        <v>0</v>
      </c>
      <c r="J200" s="36" t="n">
        <f aca="false">I198</f>
        <v>0</v>
      </c>
      <c r="K200" s="36" t="n">
        <f aca="false">J198</f>
        <v>0</v>
      </c>
      <c r="L200" s="36" t="n">
        <f aca="false">K198</f>
        <v>0</v>
      </c>
      <c r="M200" s="36" t="n">
        <f aca="false">L198</f>
        <v>0</v>
      </c>
      <c r="N200" s="36" t="n">
        <f aca="false">M198</f>
        <v>0</v>
      </c>
      <c r="O200" s="36" t="n">
        <f aca="false">N198</f>
        <v>0</v>
      </c>
      <c r="P200" s="36" t="n">
        <f aca="false">O198</f>
        <v>0</v>
      </c>
      <c r="Q200" s="36" t="n">
        <f aca="false">P198</f>
        <v>0</v>
      </c>
      <c r="R200" s="36" t="n">
        <f aca="false">Q198</f>
        <v>0</v>
      </c>
      <c r="S200" s="36" t="n">
        <f aca="false">R198</f>
        <v>0</v>
      </c>
    </row>
    <row r="201" customFormat="false" ht="15" hidden="false" customHeight="false" outlineLevel="0" collapsed="false">
      <c r="A201" s="73" t="s">
        <v>946</v>
      </c>
      <c r="B201" s="74" t="s">
        <v>955</v>
      </c>
      <c r="C201" s="66" t="s">
        <v>71</v>
      </c>
      <c r="D201" s="43" t="s">
        <v>81</v>
      </c>
      <c r="E201" s="75" t="s">
        <v>43</v>
      </c>
      <c r="F201" s="76"/>
      <c r="G201" s="48" t="s">
        <v>956</v>
      </c>
      <c r="H201" s="85" t="n">
        <v>1782588600</v>
      </c>
      <c r="I201" s="36" t="n">
        <f aca="false">H204</f>
        <v>1786588600</v>
      </c>
      <c r="J201" s="36" t="n">
        <f aca="false">I204</f>
        <v>1786588600</v>
      </c>
      <c r="K201" s="36" t="n">
        <f aca="false">J204</f>
        <v>1786588600</v>
      </c>
      <c r="L201" s="36" t="n">
        <f aca="false">K204</f>
        <v>1786588600</v>
      </c>
      <c r="M201" s="36" t="n">
        <f aca="false">L204</f>
        <v>1786588600</v>
      </c>
      <c r="N201" s="36" t="n">
        <f aca="false">M204</f>
        <v>1786588600</v>
      </c>
      <c r="O201" s="36" t="n">
        <f aca="false">N204</f>
        <v>1786588600</v>
      </c>
      <c r="P201" s="36" t="n">
        <f aca="false">O204</f>
        <v>1786588600</v>
      </c>
      <c r="Q201" s="36" t="n">
        <f aca="false">P204</f>
        <v>1786588600</v>
      </c>
      <c r="R201" s="36" t="n">
        <f aca="false">Q204</f>
        <v>1786588600</v>
      </c>
      <c r="S201" s="36" t="n">
        <f aca="false">R204</f>
        <v>1786588600</v>
      </c>
    </row>
    <row r="202" customFormat="false" ht="15" hidden="false" customHeight="false" outlineLevel="0" collapsed="false">
      <c r="A202" s="73" t="s">
        <v>946</v>
      </c>
      <c r="B202" s="74" t="s">
        <v>957</v>
      </c>
      <c r="C202" s="66" t="s">
        <v>71</v>
      </c>
      <c r="D202" s="43" t="s">
        <v>81</v>
      </c>
      <c r="E202" s="75" t="s">
        <v>43</v>
      </c>
      <c r="F202" s="76"/>
      <c r="G202" s="48" t="s">
        <v>951</v>
      </c>
      <c r="H202" s="85" t="n">
        <v>4000000</v>
      </c>
      <c r="I202" s="36" t="n">
        <f aca="false">I199</f>
        <v>0</v>
      </c>
      <c r="J202" s="36" t="n">
        <f aca="false">J199</f>
        <v>0</v>
      </c>
      <c r="K202" s="36" t="n">
        <f aca="false">K199</f>
        <v>0</v>
      </c>
      <c r="L202" s="36" t="n">
        <f aca="false">L199</f>
        <v>0</v>
      </c>
      <c r="M202" s="36" t="n">
        <f aca="false">M199</f>
        <v>0</v>
      </c>
      <c r="N202" s="36" t="n">
        <f aca="false">N199</f>
        <v>0</v>
      </c>
      <c r="O202" s="36" t="n">
        <f aca="false">O199</f>
        <v>0</v>
      </c>
      <c r="P202" s="36" t="n">
        <f aca="false">P199</f>
        <v>0</v>
      </c>
      <c r="Q202" s="36" t="n">
        <f aca="false">Q199</f>
        <v>0</v>
      </c>
      <c r="R202" s="36" t="n">
        <f aca="false">R199</f>
        <v>0</v>
      </c>
      <c r="S202" s="36" t="n">
        <f aca="false">S199</f>
        <v>0</v>
      </c>
    </row>
    <row r="203" customFormat="false" ht="15" hidden="false" customHeight="false" outlineLevel="0" collapsed="false">
      <c r="A203" s="73" t="s">
        <v>946</v>
      </c>
      <c r="B203" s="74" t="s">
        <v>958</v>
      </c>
      <c r="C203" s="66" t="s">
        <v>71</v>
      </c>
      <c r="D203" s="43" t="s">
        <v>81</v>
      </c>
      <c r="E203" s="75" t="s">
        <v>43</v>
      </c>
      <c r="F203" s="76"/>
      <c r="G203" s="48" t="s">
        <v>951</v>
      </c>
      <c r="H203" s="85" t="n">
        <v>0</v>
      </c>
      <c r="I203" s="36" t="n">
        <f aca="false">I201*(IF(H22&lt;0,-H22/H25,0))</f>
        <v>0</v>
      </c>
      <c r="J203" s="36" t="n">
        <f aca="false">J201*(IF(I22&lt;0,-I22/I25,0))</f>
        <v>0</v>
      </c>
      <c r="K203" s="36" t="n">
        <f aca="false">K201*(IF(J22&lt;0,-J22/J25,0))</f>
        <v>0</v>
      </c>
      <c r="L203" s="36" t="n">
        <f aca="false">L201*(IF(K22&lt;0,-K22/K25,0))</f>
        <v>0</v>
      </c>
      <c r="M203" s="36" t="n">
        <f aca="false">M201*(IF(L22&lt;0,-L22/L25,0))</f>
        <v>0</v>
      </c>
      <c r="N203" s="36" t="n">
        <f aca="false">N201*(IF(M22&lt;0,-M22/M25,0))</f>
        <v>0</v>
      </c>
      <c r="O203" s="36" t="n">
        <f aca="false">O201*(IF(N22&lt;0,-N22/N25,0))</f>
        <v>0</v>
      </c>
      <c r="P203" s="36" t="n">
        <f aca="false">P201*(IF(O22&lt;0,-O22/O25,0))</f>
        <v>0</v>
      </c>
      <c r="Q203" s="36" t="n">
        <f aca="false">Q201*(IF(P22&lt;0,-P22/P25,0))</f>
        <v>0</v>
      </c>
      <c r="R203" s="36" t="n">
        <f aca="false">R201*(IF(Q22&lt;0,-Q22/Q25,0))</f>
        <v>0</v>
      </c>
      <c r="S203" s="36" t="n">
        <f aca="false">S201*(IF(R22&lt;0,-R22/R25,0))</f>
        <v>0</v>
      </c>
    </row>
    <row r="204" customFormat="false" ht="15" hidden="false" customHeight="false" outlineLevel="0" collapsed="false">
      <c r="A204" s="73" t="s">
        <v>946</v>
      </c>
      <c r="B204" s="74" t="s">
        <v>959</v>
      </c>
      <c r="C204" s="66" t="s">
        <v>71</v>
      </c>
      <c r="D204" s="43" t="s">
        <v>81</v>
      </c>
      <c r="E204" s="75" t="s">
        <v>43</v>
      </c>
      <c r="F204" s="76"/>
      <c r="G204" s="77" t="n">
        <v>1782588600</v>
      </c>
      <c r="H204" s="77" t="n">
        <v>1786588600</v>
      </c>
      <c r="I204" s="78" t="n">
        <f aca="false">I201+I202-I203</f>
        <v>1786588600</v>
      </c>
      <c r="J204" s="78" t="n">
        <f aca="false">J201+J202-J203</f>
        <v>1786588600</v>
      </c>
      <c r="K204" s="78" t="n">
        <f aca="false">K201+K202-K203</f>
        <v>1786588600</v>
      </c>
      <c r="L204" s="78" t="n">
        <f aca="false">L201+L202-L203</f>
        <v>1786588600</v>
      </c>
      <c r="M204" s="78" t="n">
        <f aca="false">M201+M202-M203</f>
        <v>1786588600</v>
      </c>
      <c r="N204" s="78" t="n">
        <f aca="false">N201+N202-N203</f>
        <v>1786588600</v>
      </c>
      <c r="O204" s="78" t="n">
        <f aca="false">O201+O202-O203</f>
        <v>1786588600</v>
      </c>
      <c r="P204" s="78" t="n">
        <f aca="false">P201+P202-P203</f>
        <v>1786588600</v>
      </c>
      <c r="Q204" s="78" t="n">
        <f aca="false">Q201+Q202-Q203</f>
        <v>1786588600</v>
      </c>
      <c r="R204" s="78" t="n">
        <f aca="false">R201+R202-R203</f>
        <v>1786588600</v>
      </c>
      <c r="S204" s="78" t="n">
        <f aca="false">S201+S202-S203</f>
        <v>1786588600</v>
      </c>
    </row>
    <row r="205" customFormat="false" ht="15" hidden="false" customHeight="false" outlineLevel="0" collapsed="false">
      <c r="A205" s="73" t="s">
        <v>946</v>
      </c>
      <c r="B205" s="74" t="s">
        <v>960</v>
      </c>
      <c r="C205" s="66" t="s">
        <v>71</v>
      </c>
      <c r="D205" s="43" t="s">
        <v>81</v>
      </c>
      <c r="E205" s="75" t="s">
        <v>917</v>
      </c>
      <c r="F205" s="76"/>
      <c r="G205" s="85" t="n">
        <v>198065400</v>
      </c>
      <c r="H205" s="85" t="n">
        <v>178258860</v>
      </c>
      <c r="I205" s="78" t="n">
        <f aca="false">I209*$G$10</f>
        <v>160832974</v>
      </c>
      <c r="J205" s="78" t="n">
        <f aca="false">J209*$G$10</f>
        <v>144749676.6</v>
      </c>
      <c r="K205" s="78" t="n">
        <f aca="false">K209*$G$10</f>
        <v>130274708.94</v>
      </c>
      <c r="L205" s="78" t="n">
        <f aca="false">L209*$G$10</f>
        <v>117247238.046</v>
      </c>
      <c r="M205" s="78" t="n">
        <f aca="false">M209*$G$10</f>
        <v>105522514.2414</v>
      </c>
      <c r="N205" s="78" t="n">
        <f aca="false">N209*$G$10</f>
        <v>94970262.81726</v>
      </c>
      <c r="O205" s="78" t="n">
        <f aca="false">O209*$G$10</f>
        <v>85473236.535534</v>
      </c>
      <c r="P205" s="78" t="n">
        <f aca="false">P209*$G$10</f>
        <v>76925912.8819806</v>
      </c>
      <c r="Q205" s="78" t="n">
        <f aca="false">Q209*$G$10</f>
        <v>69233321.5937825</v>
      </c>
      <c r="R205" s="78" t="n">
        <f aca="false">R209*$G$10</f>
        <v>62309989.4344043</v>
      </c>
      <c r="S205" s="78" t="n">
        <f aca="false">S209*$G$10</f>
        <v>56078990.4909639</v>
      </c>
    </row>
    <row r="206" customFormat="false" ht="15" hidden="false" customHeight="false" outlineLevel="0" collapsed="false">
      <c r="A206" s="73" t="s">
        <v>946</v>
      </c>
      <c r="B206" s="74" t="s">
        <v>961</v>
      </c>
      <c r="C206" s="66" t="s">
        <v>71</v>
      </c>
      <c r="D206" s="43" t="s">
        <v>81</v>
      </c>
      <c r="E206" s="75" t="s">
        <v>43</v>
      </c>
      <c r="F206" s="76"/>
      <c r="G206" s="48" t="s">
        <v>951</v>
      </c>
      <c r="H206" s="85" t="n">
        <v>0</v>
      </c>
      <c r="I206" s="36" t="n">
        <f aca="false">H208</f>
        <v>178258860</v>
      </c>
      <c r="J206" s="36" t="n">
        <f aca="false">I208</f>
        <v>339091834</v>
      </c>
      <c r="K206" s="36" t="n">
        <f aca="false">J208</f>
        <v>483841510.6</v>
      </c>
      <c r="L206" s="36" t="n">
        <f aca="false">K208</f>
        <v>614116219.54</v>
      </c>
      <c r="M206" s="36" t="n">
        <f aca="false">L208</f>
        <v>731363457.586</v>
      </c>
      <c r="N206" s="36" t="n">
        <f aca="false">M208</f>
        <v>836885971.8274</v>
      </c>
      <c r="O206" s="36" t="n">
        <f aca="false">N208</f>
        <v>931856234.64466</v>
      </c>
      <c r="P206" s="36" t="n">
        <f aca="false">O208</f>
        <v>1017329471.18019</v>
      </c>
      <c r="Q206" s="36" t="n">
        <f aca="false">P208</f>
        <v>1094255384.06217</v>
      </c>
      <c r="R206" s="36" t="n">
        <f aca="false">Q208</f>
        <v>1163488705.65596</v>
      </c>
      <c r="S206" s="36" t="n">
        <f aca="false">R208</f>
        <v>1225798695.09036</v>
      </c>
    </row>
    <row r="207" customFormat="false" ht="15" hidden="false" customHeight="false" outlineLevel="0" collapsed="false">
      <c r="A207" s="73" t="s">
        <v>946</v>
      </c>
      <c r="B207" s="74" t="s">
        <v>962</v>
      </c>
      <c r="C207" s="66" t="s">
        <v>71</v>
      </c>
      <c r="D207" s="43" t="s">
        <v>81</v>
      </c>
      <c r="E207" s="75" t="s">
        <v>43</v>
      </c>
      <c r="F207" s="76"/>
      <c r="G207" s="85" t="n">
        <v>0</v>
      </c>
      <c r="H207" s="85" t="n">
        <v>0</v>
      </c>
      <c r="I207" s="36" t="n">
        <f aca="false">I203-I210</f>
        <v>0</v>
      </c>
      <c r="J207" s="36" t="n">
        <f aca="false">J203-J210</f>
        <v>0</v>
      </c>
      <c r="K207" s="36" t="n">
        <f aca="false">K203-K210</f>
        <v>0</v>
      </c>
      <c r="L207" s="36" t="n">
        <f aca="false">L203-L210</f>
        <v>0</v>
      </c>
      <c r="M207" s="36" t="n">
        <f aca="false">M203-M210</f>
        <v>0</v>
      </c>
      <c r="N207" s="36" t="n">
        <f aca="false">N203-N210</f>
        <v>0</v>
      </c>
      <c r="O207" s="36" t="n">
        <f aca="false">O203-O210</f>
        <v>0</v>
      </c>
      <c r="P207" s="36" t="n">
        <f aca="false">P203-P210</f>
        <v>0</v>
      </c>
      <c r="Q207" s="36" t="n">
        <f aca="false">Q203-Q210</f>
        <v>0</v>
      </c>
      <c r="R207" s="36" t="n">
        <f aca="false">R203-R210</f>
        <v>0</v>
      </c>
      <c r="S207" s="36" t="n">
        <f aca="false">S203-S210</f>
        <v>0</v>
      </c>
    </row>
    <row r="208" customFormat="false" ht="15" hidden="false" customHeight="false" outlineLevel="0" collapsed="false">
      <c r="A208" s="73" t="s">
        <v>946</v>
      </c>
      <c r="B208" s="74" t="s">
        <v>963</v>
      </c>
      <c r="C208" s="66" t="s">
        <v>71</v>
      </c>
      <c r="D208" s="43" t="s">
        <v>81</v>
      </c>
      <c r="E208" s="75" t="s">
        <v>43</v>
      </c>
      <c r="F208" s="76"/>
      <c r="G208" s="85" t="n">
        <v>0</v>
      </c>
      <c r="H208" s="85" t="n">
        <v>178258860</v>
      </c>
      <c r="I208" s="36" t="n">
        <f aca="false">I206+I205-I207</f>
        <v>339091834</v>
      </c>
      <c r="J208" s="36" t="n">
        <f aca="false">J206+J205-J207</f>
        <v>483841510.6</v>
      </c>
      <c r="K208" s="36" t="n">
        <f aca="false">K206+K205-K207</f>
        <v>614116219.54</v>
      </c>
      <c r="L208" s="36" t="n">
        <f aca="false">L206+L205-L207</f>
        <v>731363457.586</v>
      </c>
      <c r="M208" s="36" t="n">
        <f aca="false">M206+M205-M207</f>
        <v>836885971.8274</v>
      </c>
      <c r="N208" s="36" t="n">
        <f aca="false">N206+N205-N207</f>
        <v>931856234.64466</v>
      </c>
      <c r="O208" s="36" t="n">
        <f aca="false">O206+O205-O207</f>
        <v>1017329471.18019</v>
      </c>
      <c r="P208" s="36" t="n">
        <f aca="false">P206+P205-P207</f>
        <v>1094255384.06217</v>
      </c>
      <c r="Q208" s="36" t="n">
        <f aca="false">Q206+Q205-Q207</f>
        <v>1163488705.65596</v>
      </c>
      <c r="R208" s="36" t="n">
        <f aca="false">R206+R205-R207</f>
        <v>1225798695.09036</v>
      </c>
      <c r="S208" s="36" t="n">
        <f aca="false">S206+S205-S207</f>
        <v>1281877685.58133</v>
      </c>
    </row>
    <row r="209" customFormat="false" ht="15" hidden="false" customHeight="false" outlineLevel="0" collapsed="false">
      <c r="A209" s="73" t="s">
        <v>946</v>
      </c>
      <c r="B209" s="74" t="s">
        <v>964</v>
      </c>
      <c r="C209" s="66" t="s">
        <v>71</v>
      </c>
      <c r="D209" s="43" t="s">
        <v>81</v>
      </c>
      <c r="E209" s="75" t="s">
        <v>43</v>
      </c>
      <c r="F209" s="76"/>
      <c r="G209" s="48" t="s">
        <v>956</v>
      </c>
      <c r="H209" s="85" t="n">
        <v>1782588600</v>
      </c>
      <c r="I209" s="36" t="n">
        <f aca="false">H211</f>
        <v>1608329740</v>
      </c>
      <c r="J209" s="36" t="n">
        <f aca="false">I211</f>
        <v>1447496766</v>
      </c>
      <c r="K209" s="36" t="n">
        <f aca="false">J211</f>
        <v>1302747089.4</v>
      </c>
      <c r="L209" s="36" t="n">
        <f aca="false">K211</f>
        <v>1172472380.46</v>
      </c>
      <c r="M209" s="36" t="n">
        <f aca="false">L211</f>
        <v>1055225142.414</v>
      </c>
      <c r="N209" s="36" t="n">
        <f aca="false">M211</f>
        <v>949702628.1726</v>
      </c>
      <c r="O209" s="36" t="n">
        <f aca="false">N211</f>
        <v>854732365.35534</v>
      </c>
      <c r="P209" s="36" t="n">
        <f aca="false">O211</f>
        <v>769259128.819806</v>
      </c>
      <c r="Q209" s="36" t="n">
        <f aca="false">P211</f>
        <v>692333215.937825</v>
      </c>
      <c r="R209" s="36" t="n">
        <f aca="false">Q211</f>
        <v>623099894.344043</v>
      </c>
      <c r="S209" s="36" t="n">
        <f aca="false">R211</f>
        <v>560789904.909638</v>
      </c>
    </row>
    <row r="210" customFormat="false" ht="15" hidden="false" customHeight="false" outlineLevel="0" collapsed="false">
      <c r="A210" s="73" t="s">
        <v>946</v>
      </c>
      <c r="B210" s="74" t="s">
        <v>965</v>
      </c>
      <c r="C210" s="66" t="s">
        <v>71</v>
      </c>
      <c r="D210" s="43" t="s">
        <v>81</v>
      </c>
      <c r="E210" s="75" t="s">
        <v>43</v>
      </c>
      <c r="F210" s="76"/>
      <c r="G210" s="85" t="n">
        <v>0</v>
      </c>
      <c r="H210" s="85" t="n">
        <v>0</v>
      </c>
      <c r="I210" s="36" t="n">
        <f aca="false">I209*(IF(H22&lt;0,-H22/H25,0))</f>
        <v>0</v>
      </c>
      <c r="J210" s="36" t="n">
        <f aca="false">J209*(IF(I22&lt;0,-I22/I25,0))</f>
        <v>0</v>
      </c>
      <c r="K210" s="36" t="n">
        <f aca="false">K209*(IF(J22&lt;0,-J22/J25,0))</f>
        <v>0</v>
      </c>
      <c r="L210" s="36" t="n">
        <f aca="false">L209*(IF(K22&lt;0,-K22/K25,0))</f>
        <v>0</v>
      </c>
      <c r="M210" s="36" t="n">
        <f aca="false">M209*(IF(L22&lt;0,-L22/L25,0))</f>
        <v>0</v>
      </c>
      <c r="N210" s="36" t="n">
        <f aca="false">N209*(IF(M22&lt;0,-M22/M25,0))</f>
        <v>0</v>
      </c>
      <c r="O210" s="36" t="n">
        <f aca="false">O209*(IF(N22&lt;0,-N22/N25,0))</f>
        <v>0</v>
      </c>
      <c r="P210" s="36" t="n">
        <f aca="false">P209*(IF(O22&lt;0,-O22/O25,0))</f>
        <v>0</v>
      </c>
      <c r="Q210" s="36" t="n">
        <f aca="false">Q209*(IF(P22&lt;0,-P22/P25,0))</f>
        <v>0</v>
      </c>
      <c r="R210" s="36" t="n">
        <f aca="false">R209*(IF(Q22&lt;0,-Q22/Q25,0))</f>
        <v>0</v>
      </c>
      <c r="S210" s="36" t="n">
        <f aca="false">S209*(IF(R22&lt;0,-R22/R25,0))</f>
        <v>0</v>
      </c>
    </row>
    <row r="211" customFormat="false" ht="15" hidden="false" customHeight="false" outlineLevel="0" collapsed="false">
      <c r="A211" s="73" t="s">
        <v>946</v>
      </c>
      <c r="B211" s="74" t="s">
        <v>966</v>
      </c>
      <c r="C211" s="66" t="s">
        <v>71</v>
      </c>
      <c r="D211" s="43" t="s">
        <v>81</v>
      </c>
      <c r="E211" s="75" t="s">
        <v>917</v>
      </c>
      <c r="F211" s="76"/>
      <c r="G211" s="77" t="n">
        <v>1782588600</v>
      </c>
      <c r="H211" s="77" t="n">
        <v>1608329740</v>
      </c>
      <c r="I211" s="78" t="n">
        <f aca="false">I204-I208</f>
        <v>1447496766</v>
      </c>
      <c r="J211" s="78" t="n">
        <f aca="false">J204-J208</f>
        <v>1302747089.4</v>
      </c>
      <c r="K211" s="78" t="n">
        <f aca="false">K204-K208</f>
        <v>1172472380.46</v>
      </c>
      <c r="L211" s="78" t="n">
        <f aca="false">L204-L208</f>
        <v>1055225142.414</v>
      </c>
      <c r="M211" s="78" t="n">
        <f aca="false">M204-M208</f>
        <v>949702628.1726</v>
      </c>
      <c r="N211" s="78" t="n">
        <f aca="false">N204-N208</f>
        <v>854732365.35534</v>
      </c>
      <c r="O211" s="78" t="n">
        <f aca="false">O204-O208</f>
        <v>769259128.819806</v>
      </c>
      <c r="P211" s="78" t="n">
        <f aca="false">P204-P208</f>
        <v>692333215.937825</v>
      </c>
      <c r="Q211" s="78" t="n">
        <f aca="false">Q204-Q208</f>
        <v>623099894.344043</v>
      </c>
      <c r="R211" s="78" t="n">
        <f aca="false">R204-R208</f>
        <v>560789904.909638</v>
      </c>
      <c r="S211" s="78" t="n">
        <f aca="false">S204-S208</f>
        <v>504710914.418674</v>
      </c>
    </row>
  </sheetData>
  <mergeCells count="6">
    <mergeCell ref="A1:S1"/>
    <mergeCell ref="A4:S4"/>
    <mergeCell ref="A12:S12"/>
    <mergeCell ref="A32:S32"/>
    <mergeCell ref="A75:S75"/>
    <mergeCell ref="A174:S1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true" outlineLevel="0" max="1" min="1" style="0" width="18"/>
    <col collapsed="false" customWidth="true" hidden="false" outlineLevel="0" max="2" min="2" style="0" width="50"/>
    <col collapsed="false" customWidth="true" hidden="false" outlineLevel="0" max="3" min="3" style="0" width="26"/>
    <col collapsed="false" customWidth="true" hidden="false" outlineLevel="0" max="4" min="4" style="0" width="10"/>
    <col collapsed="false" customWidth="true" hidden="true" outlineLevel="0" max="5" min="5" style="0" width="10"/>
    <col collapsed="false" customWidth="true" hidden="true" outlineLevel="0" max="6" min="6" style="0" width="8"/>
    <col collapsed="false" customWidth="true" hidden="false" outlineLevel="0" max="19" min="7" style="0" width="12"/>
  </cols>
  <sheetData>
    <row r="1" customFormat="false" ht="16.15" hidden="false" customHeight="false" outlineLevel="0" collapsed="false">
      <c r="A1" s="1" t="s">
        <v>967</v>
      </c>
      <c r="B1" s="1"/>
      <c r="C1" s="1"/>
      <c r="D1" s="1"/>
      <c r="E1" s="1"/>
      <c r="F1" s="1"/>
      <c r="G1" s="1"/>
      <c r="H1" s="1"/>
      <c r="I1" s="1"/>
      <c r="J1" s="1"/>
      <c r="K1" s="1"/>
      <c r="L1" s="1"/>
      <c r="M1" s="1"/>
      <c r="N1" s="1"/>
      <c r="O1" s="1"/>
      <c r="P1" s="1"/>
      <c r="Q1" s="1"/>
      <c r="R1" s="1"/>
      <c r="S1" s="1"/>
    </row>
    <row r="3" customFormat="false" ht="15" hidden="false" customHeight="false" outlineLevel="0" collapsed="false">
      <c r="A3" s="4" t="s">
        <v>4</v>
      </c>
      <c r="B3" s="4" t="s">
        <v>5</v>
      </c>
      <c r="C3" s="4" t="s">
        <v>6</v>
      </c>
      <c r="D3" s="4" t="s">
        <v>7</v>
      </c>
      <c r="E3" s="4" t="s">
        <v>8</v>
      </c>
      <c r="F3" s="4" t="s">
        <v>341</v>
      </c>
      <c r="G3" s="4" t="s">
        <v>252</v>
      </c>
      <c r="H3" s="4" t="s">
        <v>253</v>
      </c>
      <c r="I3" s="4" t="s">
        <v>254</v>
      </c>
      <c r="J3" s="4" t="s">
        <v>255</v>
      </c>
      <c r="K3" s="4" t="s">
        <v>256</v>
      </c>
      <c r="L3" s="4" t="s">
        <v>257</v>
      </c>
      <c r="M3" s="4" t="s">
        <v>258</v>
      </c>
      <c r="N3" s="4" t="s">
        <v>259</v>
      </c>
      <c r="O3" s="4" t="s">
        <v>260</v>
      </c>
      <c r="P3" s="4" t="s">
        <v>261</v>
      </c>
      <c r="Q3" s="4" t="s">
        <v>262</v>
      </c>
      <c r="R3" s="4" t="s">
        <v>263</v>
      </c>
      <c r="S3" s="4" t="s">
        <v>264</v>
      </c>
    </row>
    <row r="4" customFormat="false" ht="15" hidden="false" customHeight="false" outlineLevel="0" collapsed="false">
      <c r="A4" s="5" t="s">
        <v>968</v>
      </c>
      <c r="B4" s="5"/>
      <c r="C4" s="5"/>
      <c r="D4" s="5"/>
      <c r="E4" s="5"/>
      <c r="F4" s="5"/>
      <c r="G4" s="5"/>
      <c r="H4" s="5"/>
      <c r="I4" s="5"/>
      <c r="J4" s="5"/>
      <c r="K4" s="5"/>
      <c r="L4" s="5"/>
      <c r="M4" s="5"/>
      <c r="N4" s="5"/>
      <c r="O4" s="5"/>
      <c r="P4" s="5"/>
      <c r="Q4" s="5"/>
      <c r="R4" s="5"/>
      <c r="S4" s="5"/>
    </row>
    <row r="5" customFormat="false" ht="75.35" hidden="false" customHeight="false" outlineLevel="0" collapsed="false">
      <c r="A5" s="73" t="s">
        <v>969</v>
      </c>
      <c r="B5" s="74" t="s">
        <v>970</v>
      </c>
      <c r="C5" s="66" t="s">
        <v>67</v>
      </c>
      <c r="D5" s="43" t="s">
        <v>332</v>
      </c>
      <c r="E5" s="75" t="s">
        <v>971</v>
      </c>
      <c r="F5" s="76" t="s">
        <v>972</v>
      </c>
      <c r="G5" s="48" t="s">
        <v>336</v>
      </c>
      <c r="H5" s="88" t="n">
        <v>5193000</v>
      </c>
      <c r="I5" s="48" t="s">
        <v>336</v>
      </c>
      <c r="J5" s="48" t="s">
        <v>336</v>
      </c>
      <c r="K5" s="48" t="s">
        <v>336</v>
      </c>
      <c r="L5" s="48" t="s">
        <v>336</v>
      </c>
      <c r="M5" s="48" t="s">
        <v>336</v>
      </c>
      <c r="N5" s="48" t="s">
        <v>336</v>
      </c>
      <c r="O5" s="48" t="s">
        <v>336</v>
      </c>
      <c r="P5" s="48" t="s">
        <v>336</v>
      </c>
      <c r="Q5" s="48" t="s">
        <v>336</v>
      </c>
      <c r="R5" s="48" t="s">
        <v>336</v>
      </c>
      <c r="S5" s="48" t="s">
        <v>336</v>
      </c>
    </row>
    <row r="6" customFormat="false" ht="102.2" hidden="false" customHeight="false" outlineLevel="0" collapsed="false">
      <c r="A6" s="73" t="s">
        <v>969</v>
      </c>
      <c r="B6" s="74" t="s">
        <v>973</v>
      </c>
      <c r="C6" s="66" t="s">
        <v>67</v>
      </c>
      <c r="D6" s="43" t="s">
        <v>332</v>
      </c>
      <c r="E6" s="75" t="s">
        <v>43</v>
      </c>
      <c r="F6" s="76" t="s">
        <v>974</v>
      </c>
      <c r="G6" s="85" t="n">
        <v>5075000</v>
      </c>
      <c r="H6" s="85" t="n">
        <v>5017355</v>
      </c>
      <c r="I6" s="36" t="n">
        <f aca="false">H5*(1+01_INPUTS!I20)</f>
        <v>5452650</v>
      </c>
      <c r="J6" s="36" t="n">
        <f aca="false">I6*(1+01_INPUTS!J20)*(1+01_INPUTS!$C$10)</f>
        <v>5725282.5</v>
      </c>
      <c r="K6" s="36" t="n">
        <f aca="false">J6*(1+01_INPUTS!K20)*(1+01_INPUTS!$C$10)</f>
        <v>6011546.625</v>
      </c>
      <c r="L6" s="36" t="n">
        <f aca="false">K6*(1+01_INPUTS!L20)*(1+01_INPUTS!$C$10)</f>
        <v>6312123.95625</v>
      </c>
      <c r="M6" s="36" t="n">
        <f aca="false">L6*(1+01_INPUTS!M20)*(1+01_INPUTS!$C$10)</f>
        <v>6627730.1540625</v>
      </c>
      <c r="N6" s="36" t="n">
        <f aca="false">M6*(1+01_INPUTS!N20)*(1+01_INPUTS!$C$10)</f>
        <v>6959116.66176563</v>
      </c>
      <c r="O6" s="36" t="n">
        <f aca="false">N6*(1+01_INPUTS!O20)*(1+01_INPUTS!$C$10)</f>
        <v>7307072.49485391</v>
      </c>
      <c r="P6" s="36" t="n">
        <f aca="false">O6*(1+01_INPUTS!P20)*(1+01_INPUTS!$C$10)</f>
        <v>7672426.1195966</v>
      </c>
      <c r="Q6" s="36" t="n">
        <f aca="false">P6*(1+01_INPUTS!Q20)*(1+01_INPUTS!$C$10)</f>
        <v>8056047.42557643</v>
      </c>
      <c r="R6" s="36" t="n">
        <f aca="false">Q6*(1+01_INPUTS!R20)*(1+01_INPUTS!$C$10)</f>
        <v>8458849.79685526</v>
      </c>
      <c r="S6" s="36" t="n">
        <f aca="false">R6*(1+01_INPUTS!S20)*(1+01_INPUTS!$C$10)</f>
        <v>8881792.28669802</v>
      </c>
    </row>
    <row r="7" customFormat="false" ht="75.35" hidden="false" customHeight="false" outlineLevel="0" collapsed="false">
      <c r="A7" s="73" t="s">
        <v>969</v>
      </c>
      <c r="B7" s="74" t="s">
        <v>970</v>
      </c>
      <c r="C7" s="66" t="s">
        <v>71</v>
      </c>
      <c r="D7" s="43" t="s">
        <v>332</v>
      </c>
      <c r="E7" s="75" t="s">
        <v>971</v>
      </c>
      <c r="F7" s="76" t="s">
        <v>972</v>
      </c>
      <c r="G7" s="48" t="s">
        <v>336</v>
      </c>
      <c r="H7" s="88" t="n">
        <v>3808000</v>
      </c>
      <c r="I7" s="48" t="s">
        <v>336</v>
      </c>
      <c r="J7" s="48" t="s">
        <v>336</v>
      </c>
      <c r="K7" s="48" t="s">
        <v>336</v>
      </c>
      <c r="L7" s="48" t="s">
        <v>336</v>
      </c>
      <c r="M7" s="48" t="s">
        <v>336</v>
      </c>
      <c r="N7" s="48" t="s">
        <v>336</v>
      </c>
      <c r="O7" s="48" t="s">
        <v>336</v>
      </c>
      <c r="P7" s="48" t="s">
        <v>336</v>
      </c>
      <c r="Q7" s="48" t="s">
        <v>336</v>
      </c>
      <c r="R7" s="48" t="s">
        <v>336</v>
      </c>
      <c r="S7" s="48" t="s">
        <v>336</v>
      </c>
    </row>
    <row r="8" customFormat="false" ht="102.2" hidden="false" customHeight="false" outlineLevel="0" collapsed="false">
      <c r="A8" s="73" t="s">
        <v>969</v>
      </c>
      <c r="B8" s="74" t="s">
        <v>973</v>
      </c>
      <c r="C8" s="66" t="s">
        <v>71</v>
      </c>
      <c r="D8" s="43" t="s">
        <v>332</v>
      </c>
      <c r="E8" s="75" t="s">
        <v>43</v>
      </c>
      <c r="F8" s="76" t="s">
        <v>974</v>
      </c>
      <c r="G8" s="85" t="n">
        <v>3605000</v>
      </c>
      <c r="H8" s="85" t="n">
        <v>3171866</v>
      </c>
      <c r="I8" s="36" t="n">
        <f aca="false">H7*(1+01_INPUTS!I21)</f>
        <v>4131680</v>
      </c>
      <c r="J8" s="36" t="n">
        <f aca="false">I8*(1+01_INPUTS!J21)*(1+01_INPUTS!$C$10)</f>
        <v>4482872.8</v>
      </c>
      <c r="K8" s="36" t="n">
        <f aca="false">J8*(1+01_INPUTS!K21)*(1+01_INPUTS!$C$10)</f>
        <v>4863916.988</v>
      </c>
      <c r="L8" s="36" t="n">
        <f aca="false">K8*(1+01_INPUTS!L21)*(1+01_INPUTS!$C$10)</f>
        <v>5277349.93198</v>
      </c>
      <c r="M8" s="36" t="n">
        <f aca="false">L8*(1+01_INPUTS!M21)*(1+01_INPUTS!$C$10)</f>
        <v>5725924.6761983</v>
      </c>
      <c r="N8" s="36" t="n">
        <f aca="false">M8*(1+01_INPUTS!N21)*(1+01_INPUTS!$C$10)</f>
        <v>6212628.27367516</v>
      </c>
      <c r="O8" s="36" t="n">
        <f aca="false">N8*(1+01_INPUTS!O21)*(1+01_INPUTS!$C$10)</f>
        <v>6740701.67693754</v>
      </c>
      <c r="P8" s="36" t="n">
        <f aca="false">O8*(1+01_INPUTS!P21)*(1+01_INPUTS!$C$10)</f>
        <v>7313661.31947723</v>
      </c>
      <c r="Q8" s="36" t="n">
        <f aca="false">P8*(1+01_INPUTS!Q21)*(1+01_INPUTS!$C$10)</f>
        <v>7935322.5316328</v>
      </c>
      <c r="R8" s="36" t="n">
        <f aca="false">Q8*(1+01_INPUTS!R21)*(1+01_INPUTS!$C$10)</f>
        <v>8609824.94682159</v>
      </c>
      <c r="S8" s="36" t="n">
        <f aca="false">R8*(1+01_INPUTS!S21)*(1+01_INPUTS!$C$10)</f>
        <v>9341660.06730142</v>
      </c>
    </row>
    <row r="9" customFormat="false" ht="75.35" hidden="false" customHeight="false" outlineLevel="0" collapsed="false">
      <c r="A9" s="73" t="s">
        <v>969</v>
      </c>
      <c r="B9" s="74" t="s">
        <v>970</v>
      </c>
      <c r="C9" s="66" t="s">
        <v>72</v>
      </c>
      <c r="D9" s="43" t="s">
        <v>332</v>
      </c>
      <c r="E9" s="75" t="s">
        <v>971</v>
      </c>
      <c r="F9" s="76" t="s">
        <v>972</v>
      </c>
      <c r="G9" s="48" t="s">
        <v>336</v>
      </c>
      <c r="H9" s="88" t="n">
        <v>6647000</v>
      </c>
      <c r="I9" s="48" t="s">
        <v>336</v>
      </c>
      <c r="J9" s="48" t="s">
        <v>336</v>
      </c>
      <c r="K9" s="48" t="s">
        <v>336</v>
      </c>
      <c r="L9" s="48" t="s">
        <v>336</v>
      </c>
      <c r="M9" s="48" t="s">
        <v>336</v>
      </c>
      <c r="N9" s="48" t="s">
        <v>336</v>
      </c>
      <c r="O9" s="48" t="s">
        <v>336</v>
      </c>
      <c r="P9" s="48" t="s">
        <v>336</v>
      </c>
      <c r="Q9" s="48" t="s">
        <v>336</v>
      </c>
      <c r="R9" s="48" t="s">
        <v>336</v>
      </c>
      <c r="S9" s="48" t="s">
        <v>336</v>
      </c>
    </row>
    <row r="10" customFormat="false" ht="102.2" hidden="false" customHeight="false" outlineLevel="0" collapsed="false">
      <c r="A10" s="73" t="s">
        <v>969</v>
      </c>
      <c r="B10" s="74" t="s">
        <v>973</v>
      </c>
      <c r="C10" s="66" t="s">
        <v>72</v>
      </c>
      <c r="D10" s="43" t="s">
        <v>332</v>
      </c>
      <c r="E10" s="75" t="s">
        <v>43</v>
      </c>
      <c r="F10" s="76" t="s">
        <v>974</v>
      </c>
      <c r="G10" s="85" t="n">
        <v>5530000</v>
      </c>
      <c r="H10" s="85" t="n">
        <v>3419441</v>
      </c>
      <c r="I10" s="36" t="n">
        <f aca="false">H9*(1+01_INPUTS!I22)</f>
        <v>6846410</v>
      </c>
      <c r="J10" s="36" t="n">
        <f aca="false">I10*(1+01_INPUTS!J22)*(1+01_INPUTS!$C$10)</f>
        <v>7051802.3</v>
      </c>
      <c r="K10" s="36" t="n">
        <f aca="false">J10*(1+01_INPUTS!K22)*(1+01_INPUTS!$C$10)</f>
        <v>7263356.369</v>
      </c>
      <c r="L10" s="36" t="n">
        <f aca="false">K10*(1+01_INPUTS!L22)*(1+01_INPUTS!$C$10)</f>
        <v>7481257.06007</v>
      </c>
      <c r="M10" s="36" t="n">
        <f aca="false">L10*(1+01_INPUTS!M22)*(1+01_INPUTS!$C$10)</f>
        <v>7705694.7718721</v>
      </c>
      <c r="N10" s="36" t="n">
        <f aca="false">M10*(1+01_INPUTS!N22)*(1+01_INPUTS!$C$10)</f>
        <v>7936865.61502826</v>
      </c>
      <c r="O10" s="36" t="n">
        <f aca="false">N10*(1+01_INPUTS!O22)*(1+01_INPUTS!$C$10)</f>
        <v>8174971.58347911</v>
      </c>
      <c r="P10" s="36" t="n">
        <f aca="false">O10*(1+01_INPUTS!P22)*(1+01_INPUTS!$C$10)</f>
        <v>8420220.73098349</v>
      </c>
      <c r="Q10" s="36" t="n">
        <f aca="false">P10*(1+01_INPUTS!Q22)*(1+01_INPUTS!$C$10)</f>
        <v>8672827.35291299</v>
      </c>
      <c r="R10" s="36" t="n">
        <f aca="false">Q10*(1+01_INPUTS!R22)*(1+01_INPUTS!$C$10)</f>
        <v>8933012.17350038</v>
      </c>
      <c r="S10" s="36" t="n">
        <f aca="false">R10*(1+01_INPUTS!S22)*(1+01_INPUTS!$C$10)</f>
        <v>9201002.53870539</v>
      </c>
    </row>
    <row r="12" customFormat="false" ht="15" hidden="false" customHeight="false" outlineLevel="0" collapsed="false">
      <c r="A12" s="5" t="s">
        <v>975</v>
      </c>
      <c r="B12" s="5"/>
      <c r="C12" s="5"/>
      <c r="D12" s="5"/>
      <c r="E12" s="5"/>
      <c r="F12" s="5"/>
      <c r="G12" s="5"/>
      <c r="H12" s="5"/>
      <c r="I12" s="5"/>
      <c r="J12" s="5"/>
      <c r="K12" s="5"/>
      <c r="L12" s="5"/>
      <c r="M12" s="5"/>
      <c r="N12" s="5"/>
      <c r="O12" s="5"/>
      <c r="P12" s="5"/>
      <c r="Q12" s="5"/>
      <c r="R12" s="5"/>
      <c r="S12" s="5"/>
    </row>
    <row r="13" customFormat="false" ht="129.1" hidden="false" customHeight="false" outlineLevel="0" collapsed="false">
      <c r="A13" s="73" t="s">
        <v>976</v>
      </c>
      <c r="B13" s="74" t="s">
        <v>977</v>
      </c>
      <c r="C13" s="66" t="s">
        <v>128</v>
      </c>
      <c r="D13" s="43" t="s">
        <v>332</v>
      </c>
      <c r="E13" s="75" t="s">
        <v>43</v>
      </c>
      <c r="F13" s="76" t="s">
        <v>978</v>
      </c>
      <c r="G13" s="85" t="n">
        <v>725000</v>
      </c>
      <c r="H13" s="85" t="n">
        <v>667398</v>
      </c>
      <c r="I13" s="36" t="n">
        <f aca="false">I6*01_INPUTS!I124</f>
        <v>747011.127700958</v>
      </c>
      <c r="J13" s="36" t="n">
        <f aca="false">J6*01_INPUTS!J124*(1-01_INPUTS!$C$11)</f>
        <v>0</v>
      </c>
      <c r="K13" s="36" t="n">
        <f aca="false">K6*01_INPUTS!K124*(1-01_INPUTS!$C$11)</f>
        <v>0</v>
      </c>
      <c r="L13" s="36" t="n">
        <f aca="false">L6*01_INPUTS!L124*(1-01_INPUTS!$C$11)</f>
        <v>0</v>
      </c>
      <c r="M13" s="36" t="n">
        <f aca="false">M6*01_INPUTS!M124*(1-01_INPUTS!$C$11)</f>
        <v>0</v>
      </c>
      <c r="N13" s="36" t="n">
        <f aca="false">N6*01_INPUTS!N124*(1-01_INPUTS!$C$11)</f>
        <v>0</v>
      </c>
      <c r="O13" s="36" t="n">
        <f aca="false">O6*01_INPUTS!O124*(1-01_INPUTS!$C$11)</f>
        <v>0</v>
      </c>
      <c r="P13" s="36" t="n">
        <f aca="false">P6*01_INPUTS!P124*(1-01_INPUTS!$C$11)</f>
        <v>0</v>
      </c>
      <c r="Q13" s="36" t="n">
        <f aca="false">Q6*01_INPUTS!Q124*(1-01_INPUTS!$C$11)</f>
        <v>0</v>
      </c>
      <c r="R13" s="36" t="n">
        <f aca="false">R6*01_INPUTS!R124*(1-01_INPUTS!$C$11)</f>
        <v>0</v>
      </c>
      <c r="S13" s="36" t="n">
        <f aca="false">S6*01_INPUTS!S124*(1-01_INPUTS!$C$11)</f>
        <v>0</v>
      </c>
    </row>
    <row r="14" customFormat="false" ht="129.1" hidden="false" customHeight="false" outlineLevel="0" collapsed="false">
      <c r="A14" s="73" t="s">
        <v>976</v>
      </c>
      <c r="B14" s="74" t="s">
        <v>977</v>
      </c>
      <c r="C14" s="66" t="s">
        <v>130</v>
      </c>
      <c r="D14" s="43" t="s">
        <v>332</v>
      </c>
      <c r="E14" s="75" t="s">
        <v>43</v>
      </c>
      <c r="F14" s="76" t="s">
        <v>978</v>
      </c>
      <c r="G14" s="85" t="n">
        <v>0</v>
      </c>
      <c r="H14" s="85" t="n">
        <v>243325</v>
      </c>
      <c r="I14" s="36" t="n">
        <f aca="false">I6*01_INPUTS!I125</f>
        <v>294443.599549982</v>
      </c>
      <c r="J14" s="36" t="n">
        <f aca="false">J6*01_INPUTS!J125*(1-01_INPUTS!$C$11)</f>
        <v>0</v>
      </c>
      <c r="K14" s="36" t="n">
        <f aca="false">K6*01_INPUTS!K125*(1-01_INPUTS!$C$11)</f>
        <v>0</v>
      </c>
      <c r="L14" s="36" t="n">
        <f aca="false">L6*01_INPUTS!L125*(1-01_INPUTS!$C$11)</f>
        <v>0</v>
      </c>
      <c r="M14" s="36" t="n">
        <f aca="false">M6*01_INPUTS!M125*(1-01_INPUTS!$C$11)</f>
        <v>0</v>
      </c>
      <c r="N14" s="36" t="n">
        <f aca="false">N6*01_INPUTS!N125*(1-01_INPUTS!$C$11)</f>
        <v>0</v>
      </c>
      <c r="O14" s="36" t="n">
        <f aca="false">O6*01_INPUTS!O125*(1-01_INPUTS!$C$11)</f>
        <v>0</v>
      </c>
      <c r="P14" s="36" t="n">
        <f aca="false">P6*01_INPUTS!P125*(1-01_INPUTS!$C$11)</f>
        <v>0</v>
      </c>
      <c r="Q14" s="36" t="n">
        <f aca="false">Q6*01_INPUTS!Q125*(1-01_INPUTS!$C$11)</f>
        <v>0</v>
      </c>
      <c r="R14" s="36" t="n">
        <f aca="false">R6*01_INPUTS!R125*(1-01_INPUTS!$C$11)</f>
        <v>0</v>
      </c>
      <c r="S14" s="36" t="n">
        <f aca="false">S6*01_INPUTS!S125*(1-01_INPUTS!$C$11)</f>
        <v>0</v>
      </c>
    </row>
    <row r="15" customFormat="false" ht="129.1" hidden="false" customHeight="false" outlineLevel="0" collapsed="false">
      <c r="A15" s="73" t="s">
        <v>976</v>
      </c>
      <c r="B15" s="74" t="s">
        <v>977</v>
      </c>
      <c r="C15" s="66" t="s">
        <v>131</v>
      </c>
      <c r="D15" s="43" t="s">
        <v>332</v>
      </c>
      <c r="E15" s="75" t="s">
        <v>43</v>
      </c>
      <c r="F15" s="76" t="s">
        <v>978</v>
      </c>
      <c r="G15" s="85" t="n">
        <v>0</v>
      </c>
      <c r="H15" s="85" t="n">
        <v>0</v>
      </c>
      <c r="I15" s="36" t="n">
        <f aca="false">I6*01_INPUTS!I126</f>
        <v>0</v>
      </c>
      <c r="J15" s="36" t="n">
        <f aca="false">J6*01_INPUTS!J126*(1-01_INPUTS!$C$11)</f>
        <v>0</v>
      </c>
      <c r="K15" s="36" t="n">
        <f aca="false">K6*01_INPUTS!K126*(1-01_INPUTS!$C$11)</f>
        <v>0</v>
      </c>
      <c r="L15" s="36" t="n">
        <f aca="false">L6*01_INPUTS!L126*(1-01_INPUTS!$C$11)</f>
        <v>0</v>
      </c>
      <c r="M15" s="36" t="n">
        <f aca="false">M6*01_INPUTS!M126*(1-01_INPUTS!$C$11)</f>
        <v>0</v>
      </c>
      <c r="N15" s="36" t="n">
        <f aca="false">N6*01_INPUTS!N126*(1-01_INPUTS!$C$11)</f>
        <v>0</v>
      </c>
      <c r="O15" s="36" t="n">
        <f aca="false">O6*01_INPUTS!O126*(1-01_INPUTS!$C$11)</f>
        <v>0</v>
      </c>
      <c r="P15" s="36" t="n">
        <f aca="false">P6*01_INPUTS!P126*(1-01_INPUTS!$C$11)</f>
        <v>0</v>
      </c>
      <c r="Q15" s="36" t="n">
        <f aca="false">Q6*01_INPUTS!Q126*(1-01_INPUTS!$C$11)</f>
        <v>0</v>
      </c>
      <c r="R15" s="36" t="n">
        <f aca="false">R6*01_INPUTS!R126*(1-01_INPUTS!$C$11)</f>
        <v>0</v>
      </c>
      <c r="S15" s="36" t="n">
        <f aca="false">S6*01_INPUTS!S126*(1-01_INPUTS!$C$11)</f>
        <v>0</v>
      </c>
    </row>
    <row r="16" customFormat="false" ht="129.1" hidden="false" customHeight="false" outlineLevel="0" collapsed="false">
      <c r="A16" s="73" t="s">
        <v>976</v>
      </c>
      <c r="B16" s="74" t="s">
        <v>977</v>
      </c>
      <c r="C16" s="66" t="s">
        <v>132</v>
      </c>
      <c r="D16" s="43" t="s">
        <v>332</v>
      </c>
      <c r="E16" s="75" t="s">
        <v>43</v>
      </c>
      <c r="F16" s="76" t="s">
        <v>978</v>
      </c>
      <c r="G16" s="85" t="n">
        <v>0</v>
      </c>
      <c r="H16" s="85" t="n">
        <v>0</v>
      </c>
      <c r="I16" s="36" t="n">
        <f aca="false">I6*01_INPUTS!I127</f>
        <v>0</v>
      </c>
      <c r="J16" s="36" t="n">
        <f aca="false">J6*01_INPUTS!J127*(1-01_INPUTS!$C$11)</f>
        <v>0</v>
      </c>
      <c r="K16" s="36" t="n">
        <f aca="false">K6*01_INPUTS!K127*(1-01_INPUTS!$C$11)</f>
        <v>0</v>
      </c>
      <c r="L16" s="36" t="n">
        <f aca="false">L6*01_INPUTS!L127*(1-01_INPUTS!$C$11)</f>
        <v>0</v>
      </c>
      <c r="M16" s="36" t="n">
        <f aca="false">M6*01_INPUTS!M127*(1-01_INPUTS!$C$11)</f>
        <v>0</v>
      </c>
      <c r="N16" s="36" t="n">
        <f aca="false">N6*01_INPUTS!N127*(1-01_INPUTS!$C$11)</f>
        <v>0</v>
      </c>
      <c r="O16" s="36" t="n">
        <f aca="false">O6*01_INPUTS!O127*(1-01_INPUTS!$C$11)</f>
        <v>0</v>
      </c>
      <c r="P16" s="36" t="n">
        <f aca="false">P6*01_INPUTS!P127*(1-01_INPUTS!$C$11)</f>
        <v>0</v>
      </c>
      <c r="Q16" s="36" t="n">
        <f aca="false">Q6*01_INPUTS!Q127*(1-01_INPUTS!$C$11)</f>
        <v>0</v>
      </c>
      <c r="R16" s="36" t="n">
        <f aca="false">R6*01_INPUTS!R127*(1-01_INPUTS!$C$11)</f>
        <v>0</v>
      </c>
      <c r="S16" s="36" t="n">
        <f aca="false">S6*01_INPUTS!S127*(1-01_INPUTS!$C$11)</f>
        <v>0</v>
      </c>
    </row>
    <row r="17" customFormat="false" ht="129.1" hidden="false" customHeight="false" outlineLevel="0" collapsed="false">
      <c r="A17" s="73" t="s">
        <v>976</v>
      </c>
      <c r="B17" s="74" t="s">
        <v>977</v>
      </c>
      <c r="C17" s="66" t="s">
        <v>133</v>
      </c>
      <c r="D17" s="43" t="s">
        <v>332</v>
      </c>
      <c r="E17" s="75" t="s">
        <v>43</v>
      </c>
      <c r="F17" s="76" t="s">
        <v>978</v>
      </c>
      <c r="G17" s="85" t="n">
        <v>515000</v>
      </c>
      <c r="H17" s="85" t="n">
        <v>515109</v>
      </c>
      <c r="I17" s="36" t="n">
        <f aca="false">I8*01_INPUTS!I128</f>
        <v>669333.512286469</v>
      </c>
      <c r="J17" s="36" t="n">
        <f aca="false">J8*01_INPUTS!J128*(1-01_INPUTS!$C$11)</f>
        <v>0</v>
      </c>
      <c r="K17" s="36" t="n">
        <f aca="false">K8*01_INPUTS!K128*(1-01_INPUTS!$C$11)</f>
        <v>0</v>
      </c>
      <c r="L17" s="36" t="n">
        <f aca="false">L8*01_INPUTS!L128*(1-01_INPUTS!$C$11)</f>
        <v>0</v>
      </c>
      <c r="M17" s="36" t="n">
        <f aca="false">M8*01_INPUTS!M128*(1-01_INPUTS!$C$11)</f>
        <v>0</v>
      </c>
      <c r="N17" s="36" t="n">
        <f aca="false">N8*01_INPUTS!N128*(1-01_INPUTS!$C$11)</f>
        <v>0</v>
      </c>
      <c r="O17" s="36" t="n">
        <f aca="false">O8*01_INPUTS!O128*(1-01_INPUTS!$C$11)</f>
        <v>0</v>
      </c>
      <c r="P17" s="36" t="n">
        <f aca="false">P8*01_INPUTS!P128*(1-01_INPUTS!$C$11)</f>
        <v>0</v>
      </c>
      <c r="Q17" s="36" t="n">
        <f aca="false">Q8*01_INPUTS!Q128*(1-01_INPUTS!$C$11)</f>
        <v>0</v>
      </c>
      <c r="R17" s="36" t="n">
        <f aca="false">R8*01_INPUTS!R128*(1-01_INPUTS!$C$11)</f>
        <v>0</v>
      </c>
      <c r="S17" s="36" t="n">
        <f aca="false">S8*01_INPUTS!S128*(1-01_INPUTS!$C$11)</f>
        <v>0</v>
      </c>
    </row>
    <row r="18" customFormat="false" ht="129.1" hidden="false" customHeight="false" outlineLevel="0" collapsed="false">
      <c r="A18" s="73" t="s">
        <v>976</v>
      </c>
      <c r="B18" s="74" t="s">
        <v>977</v>
      </c>
      <c r="C18" s="66" t="s">
        <v>134</v>
      </c>
      <c r="D18" s="43" t="s">
        <v>332</v>
      </c>
      <c r="E18" s="75" t="s">
        <v>43</v>
      </c>
      <c r="F18" s="76" t="s">
        <v>978</v>
      </c>
      <c r="G18" s="85" t="n">
        <v>0</v>
      </c>
      <c r="H18" s="85" t="n">
        <v>156005</v>
      </c>
      <c r="I18" s="36" t="n">
        <f aca="false">I8*01_INPUTS!I129</f>
        <v>231373.327265748</v>
      </c>
      <c r="J18" s="36" t="n">
        <f aca="false">J8*01_INPUTS!J129*(1-01_INPUTS!$C$11)</f>
        <v>0</v>
      </c>
      <c r="K18" s="36" t="n">
        <f aca="false">K8*01_INPUTS!K129*(1-01_INPUTS!$C$11)</f>
        <v>0</v>
      </c>
      <c r="L18" s="36" t="n">
        <f aca="false">L8*01_INPUTS!L129*(1-01_INPUTS!$C$11)</f>
        <v>0</v>
      </c>
      <c r="M18" s="36" t="n">
        <f aca="false">M8*01_INPUTS!M129*(1-01_INPUTS!$C$11)</f>
        <v>0</v>
      </c>
      <c r="N18" s="36" t="n">
        <f aca="false">N8*01_INPUTS!N129*(1-01_INPUTS!$C$11)</f>
        <v>0</v>
      </c>
      <c r="O18" s="36" t="n">
        <f aca="false">O8*01_INPUTS!O129*(1-01_INPUTS!$C$11)</f>
        <v>0</v>
      </c>
      <c r="P18" s="36" t="n">
        <f aca="false">P8*01_INPUTS!P129*(1-01_INPUTS!$C$11)</f>
        <v>0</v>
      </c>
      <c r="Q18" s="36" t="n">
        <f aca="false">Q8*01_INPUTS!Q129*(1-01_INPUTS!$C$11)</f>
        <v>0</v>
      </c>
      <c r="R18" s="36" t="n">
        <f aca="false">R8*01_INPUTS!R129*(1-01_INPUTS!$C$11)</f>
        <v>0</v>
      </c>
      <c r="S18" s="36" t="n">
        <f aca="false">S8*01_INPUTS!S129*(1-01_INPUTS!$C$11)</f>
        <v>0</v>
      </c>
    </row>
    <row r="19" customFormat="false" ht="129.1" hidden="false" customHeight="false" outlineLevel="0" collapsed="false">
      <c r="A19" s="73" t="s">
        <v>976</v>
      </c>
      <c r="B19" s="74" t="s">
        <v>977</v>
      </c>
      <c r="C19" s="66" t="s">
        <v>135</v>
      </c>
      <c r="D19" s="43" t="s">
        <v>332</v>
      </c>
      <c r="E19" s="75" t="s">
        <v>43</v>
      </c>
      <c r="F19" s="76" t="s">
        <v>978</v>
      </c>
      <c r="G19" s="85" t="n">
        <v>0</v>
      </c>
      <c r="H19" s="85" t="n">
        <v>0</v>
      </c>
      <c r="I19" s="36" t="n">
        <f aca="false">I8*01_INPUTS!I130</f>
        <v>0</v>
      </c>
      <c r="J19" s="36" t="n">
        <f aca="false">J8*01_INPUTS!J130*(1-01_INPUTS!$C$11)</f>
        <v>0</v>
      </c>
      <c r="K19" s="36" t="n">
        <f aca="false">K8*01_INPUTS!K130*(1-01_INPUTS!$C$11)</f>
        <v>0</v>
      </c>
      <c r="L19" s="36" t="n">
        <f aca="false">L8*01_INPUTS!L130*(1-01_INPUTS!$C$11)</f>
        <v>0</v>
      </c>
      <c r="M19" s="36" t="n">
        <f aca="false">M8*01_INPUTS!M130*(1-01_INPUTS!$C$11)</f>
        <v>0</v>
      </c>
      <c r="N19" s="36" t="n">
        <f aca="false">N8*01_INPUTS!N130*(1-01_INPUTS!$C$11)</f>
        <v>0</v>
      </c>
      <c r="O19" s="36" t="n">
        <f aca="false">O8*01_INPUTS!O130*(1-01_INPUTS!$C$11)</f>
        <v>0</v>
      </c>
      <c r="P19" s="36" t="n">
        <f aca="false">P8*01_INPUTS!P130*(1-01_INPUTS!$C$11)</f>
        <v>0</v>
      </c>
      <c r="Q19" s="36" t="n">
        <f aca="false">Q8*01_INPUTS!Q130*(1-01_INPUTS!$C$11)</f>
        <v>0</v>
      </c>
      <c r="R19" s="36" t="n">
        <f aca="false">R8*01_INPUTS!R130*(1-01_INPUTS!$C$11)</f>
        <v>0</v>
      </c>
      <c r="S19" s="36" t="n">
        <f aca="false">S8*01_INPUTS!S130*(1-01_INPUTS!$C$11)</f>
        <v>0</v>
      </c>
    </row>
    <row r="20" customFormat="false" ht="129.1" hidden="false" customHeight="false" outlineLevel="0" collapsed="false">
      <c r="A20" s="73" t="s">
        <v>976</v>
      </c>
      <c r="B20" s="74" t="s">
        <v>977</v>
      </c>
      <c r="C20" s="66" t="s">
        <v>136</v>
      </c>
      <c r="D20" s="43" t="s">
        <v>332</v>
      </c>
      <c r="E20" s="75" t="s">
        <v>43</v>
      </c>
      <c r="F20" s="76" t="s">
        <v>978</v>
      </c>
      <c r="G20" s="85" t="n">
        <v>0</v>
      </c>
      <c r="H20" s="85" t="n">
        <v>0</v>
      </c>
      <c r="I20" s="36" t="n">
        <f aca="false">I8*01_INPUTS!I131</f>
        <v>0</v>
      </c>
      <c r="J20" s="36" t="n">
        <f aca="false">J8*01_INPUTS!J131*(1-01_INPUTS!$C$11)</f>
        <v>0</v>
      </c>
      <c r="K20" s="36" t="n">
        <f aca="false">K8*01_INPUTS!K131*(1-01_INPUTS!$C$11)</f>
        <v>0</v>
      </c>
      <c r="L20" s="36" t="n">
        <f aca="false">L8*01_INPUTS!L131*(1-01_INPUTS!$C$11)</f>
        <v>0</v>
      </c>
      <c r="M20" s="36" t="n">
        <f aca="false">M8*01_INPUTS!M131*(1-01_INPUTS!$C$11)</f>
        <v>0</v>
      </c>
      <c r="N20" s="36" t="n">
        <f aca="false">N8*01_INPUTS!N131*(1-01_INPUTS!$C$11)</f>
        <v>0</v>
      </c>
      <c r="O20" s="36" t="n">
        <f aca="false">O8*01_INPUTS!O131*(1-01_INPUTS!$C$11)</f>
        <v>0</v>
      </c>
      <c r="P20" s="36" t="n">
        <f aca="false">P8*01_INPUTS!P131*(1-01_INPUTS!$C$11)</f>
        <v>0</v>
      </c>
      <c r="Q20" s="36" t="n">
        <f aca="false">Q8*01_INPUTS!Q131*(1-01_INPUTS!$C$11)</f>
        <v>0</v>
      </c>
      <c r="R20" s="36" t="n">
        <f aca="false">R8*01_INPUTS!R131*(1-01_INPUTS!$C$11)</f>
        <v>0</v>
      </c>
      <c r="S20" s="36" t="n">
        <f aca="false">S8*01_INPUTS!S131*(1-01_INPUTS!$C$11)</f>
        <v>0</v>
      </c>
    </row>
    <row r="21" customFormat="false" ht="129.1" hidden="false" customHeight="false" outlineLevel="0" collapsed="false">
      <c r="A21" s="73" t="s">
        <v>976</v>
      </c>
      <c r="B21" s="74" t="s">
        <v>977</v>
      </c>
      <c r="C21" s="66" t="s">
        <v>155</v>
      </c>
      <c r="D21" s="43" t="s">
        <v>332</v>
      </c>
      <c r="E21" s="75" t="s">
        <v>43</v>
      </c>
      <c r="F21" s="76" t="s">
        <v>978</v>
      </c>
      <c r="G21" s="85" t="n">
        <v>945000</v>
      </c>
      <c r="H21" s="85" t="n">
        <v>1050557</v>
      </c>
      <c r="I21" s="36" t="n">
        <f aca="false">I10*01_INPUTS!I132</f>
        <v>684641.603579506</v>
      </c>
      <c r="J21" s="36" t="n">
        <f aca="false">J10*01_INPUTS!J132*(1-01_INPUTS!$C$11)</f>
        <v>0</v>
      </c>
      <c r="K21" s="36" t="n">
        <f aca="false">K10*01_INPUTS!K132*(1-01_INPUTS!$C$11)</f>
        <v>0</v>
      </c>
      <c r="L21" s="36" t="n">
        <f aca="false">L10*01_INPUTS!L132*(1-01_INPUTS!$C$11)</f>
        <v>0</v>
      </c>
      <c r="M21" s="36" t="n">
        <f aca="false">M10*01_INPUTS!M132*(1-01_INPUTS!$C$11)</f>
        <v>0</v>
      </c>
      <c r="N21" s="36" t="n">
        <f aca="false">N10*01_INPUTS!N132*(1-01_INPUTS!$C$11)</f>
        <v>0</v>
      </c>
      <c r="O21" s="36" t="n">
        <f aca="false">O10*01_INPUTS!O132*(1-01_INPUTS!$C$11)</f>
        <v>0</v>
      </c>
      <c r="P21" s="36" t="n">
        <f aca="false">P10*01_INPUTS!P132*(1-01_INPUTS!$C$11)</f>
        <v>0</v>
      </c>
      <c r="Q21" s="36" t="n">
        <f aca="false">Q10*01_INPUTS!Q132*(1-01_INPUTS!$C$11)</f>
        <v>0</v>
      </c>
      <c r="R21" s="36" t="n">
        <f aca="false">R10*01_INPUTS!R132*(1-01_INPUTS!$C$11)</f>
        <v>0</v>
      </c>
      <c r="S21" s="36" t="n">
        <f aca="false">S10*01_INPUTS!S132*(1-01_INPUTS!$C$11)</f>
        <v>0</v>
      </c>
    </row>
    <row r="22" customFormat="false" ht="129.1" hidden="false" customHeight="false" outlineLevel="0" collapsed="false">
      <c r="A22" s="73" t="s">
        <v>976</v>
      </c>
      <c r="B22" s="74" t="s">
        <v>977</v>
      </c>
      <c r="C22" s="66" t="s">
        <v>156</v>
      </c>
      <c r="D22" s="43" t="s">
        <v>332</v>
      </c>
      <c r="E22" s="75" t="s">
        <v>43</v>
      </c>
      <c r="F22" s="76" t="s">
        <v>978</v>
      </c>
      <c r="G22" s="85" t="n">
        <v>0</v>
      </c>
      <c r="H22" s="85" t="n">
        <v>277464</v>
      </c>
      <c r="I22" s="36" t="n">
        <f aca="false">I10*01_INPUTS!I133</f>
        <v>321782.726916048</v>
      </c>
      <c r="J22" s="36" t="n">
        <f aca="false">J10*01_INPUTS!J133*(1-01_INPUTS!$C$11)</f>
        <v>0</v>
      </c>
      <c r="K22" s="36" t="n">
        <f aca="false">K10*01_INPUTS!K133*(1-01_INPUTS!$C$11)</f>
        <v>0</v>
      </c>
      <c r="L22" s="36" t="n">
        <f aca="false">L10*01_INPUTS!L133*(1-01_INPUTS!$C$11)</f>
        <v>0</v>
      </c>
      <c r="M22" s="36" t="n">
        <f aca="false">M10*01_INPUTS!M133*(1-01_INPUTS!$C$11)</f>
        <v>0</v>
      </c>
      <c r="N22" s="36" t="n">
        <f aca="false">N10*01_INPUTS!N133*(1-01_INPUTS!$C$11)</f>
        <v>0</v>
      </c>
      <c r="O22" s="36" t="n">
        <f aca="false">O10*01_INPUTS!O133*(1-01_INPUTS!$C$11)</f>
        <v>0</v>
      </c>
      <c r="P22" s="36" t="n">
        <f aca="false">P10*01_INPUTS!P133*(1-01_INPUTS!$C$11)</f>
        <v>0</v>
      </c>
      <c r="Q22" s="36" t="n">
        <f aca="false">Q10*01_INPUTS!Q133*(1-01_INPUTS!$C$11)</f>
        <v>0</v>
      </c>
      <c r="R22" s="36" t="n">
        <f aca="false">R10*01_INPUTS!R133*(1-01_INPUTS!$C$11)</f>
        <v>0</v>
      </c>
      <c r="S22" s="36" t="n">
        <f aca="false">S10*01_INPUTS!S133*(1-01_INPUTS!$C$11)</f>
        <v>0</v>
      </c>
    </row>
    <row r="23" customFormat="false" ht="129.1" hidden="false" customHeight="false" outlineLevel="0" collapsed="false">
      <c r="A23" s="73" t="s">
        <v>976</v>
      </c>
      <c r="B23" s="74" t="s">
        <v>977</v>
      </c>
      <c r="C23" s="66" t="s">
        <v>157</v>
      </c>
      <c r="D23" s="43" t="s">
        <v>332</v>
      </c>
      <c r="E23" s="75" t="s">
        <v>43</v>
      </c>
      <c r="F23" s="76" t="s">
        <v>978</v>
      </c>
      <c r="G23" s="85" t="n">
        <v>0</v>
      </c>
      <c r="H23" s="85" t="n">
        <v>0</v>
      </c>
      <c r="I23" s="36" t="n">
        <f aca="false">I10*01_INPUTS!I134</f>
        <v>0</v>
      </c>
      <c r="J23" s="36" t="n">
        <f aca="false">J10*01_INPUTS!J134*(1-01_INPUTS!$C$11)</f>
        <v>0</v>
      </c>
      <c r="K23" s="36" t="n">
        <f aca="false">K10*01_INPUTS!K134*(1-01_INPUTS!$C$11)</f>
        <v>0</v>
      </c>
      <c r="L23" s="36" t="n">
        <f aca="false">L10*01_INPUTS!L134*(1-01_INPUTS!$C$11)</f>
        <v>0</v>
      </c>
      <c r="M23" s="36" t="n">
        <f aca="false">M10*01_INPUTS!M134*(1-01_INPUTS!$C$11)</f>
        <v>0</v>
      </c>
      <c r="N23" s="36" t="n">
        <f aca="false">N10*01_INPUTS!N134*(1-01_INPUTS!$C$11)</f>
        <v>0</v>
      </c>
      <c r="O23" s="36" t="n">
        <f aca="false">O10*01_INPUTS!O134*(1-01_INPUTS!$C$11)</f>
        <v>0</v>
      </c>
      <c r="P23" s="36" t="n">
        <f aca="false">P10*01_INPUTS!P134*(1-01_INPUTS!$C$11)</f>
        <v>0</v>
      </c>
      <c r="Q23" s="36" t="n">
        <f aca="false">Q10*01_INPUTS!Q134*(1-01_INPUTS!$C$11)</f>
        <v>0</v>
      </c>
      <c r="R23" s="36" t="n">
        <f aca="false">R10*01_INPUTS!R134*(1-01_INPUTS!$C$11)</f>
        <v>0</v>
      </c>
      <c r="S23" s="36" t="n">
        <f aca="false">S10*01_INPUTS!S134*(1-01_INPUTS!$C$11)</f>
        <v>0</v>
      </c>
    </row>
    <row r="24" customFormat="false" ht="129.1" hidden="false" customHeight="false" outlineLevel="0" collapsed="false">
      <c r="A24" s="73" t="s">
        <v>976</v>
      </c>
      <c r="B24" s="74" t="s">
        <v>977</v>
      </c>
      <c r="C24" s="66" t="s">
        <v>158</v>
      </c>
      <c r="D24" s="43" t="s">
        <v>332</v>
      </c>
      <c r="E24" s="75" t="s">
        <v>43</v>
      </c>
      <c r="F24" s="76" t="s">
        <v>978</v>
      </c>
      <c r="G24" s="85" t="n">
        <v>0</v>
      </c>
      <c r="H24" s="85" t="n">
        <v>0</v>
      </c>
      <c r="I24" s="36" t="n">
        <f aca="false">I10*01_INPUTS!I135</f>
        <v>0</v>
      </c>
      <c r="J24" s="36" t="n">
        <f aca="false">J10*01_INPUTS!J135*(1-01_INPUTS!$C$11)</f>
        <v>0</v>
      </c>
      <c r="K24" s="36" t="n">
        <f aca="false">K10*01_INPUTS!K135*(1-01_INPUTS!$C$11)</f>
        <v>0</v>
      </c>
      <c r="L24" s="36" t="n">
        <f aca="false">L10*01_INPUTS!L135*(1-01_INPUTS!$C$11)</f>
        <v>0</v>
      </c>
      <c r="M24" s="36" t="n">
        <f aca="false">M10*01_INPUTS!M135*(1-01_INPUTS!$C$11)</f>
        <v>0</v>
      </c>
      <c r="N24" s="36" t="n">
        <f aca="false">N10*01_INPUTS!N135*(1-01_INPUTS!$C$11)</f>
        <v>0</v>
      </c>
      <c r="O24" s="36" t="n">
        <f aca="false">O10*01_INPUTS!O135*(1-01_INPUTS!$C$11)</f>
        <v>0</v>
      </c>
      <c r="P24" s="36" t="n">
        <f aca="false">P10*01_INPUTS!P135*(1-01_INPUTS!$C$11)</f>
        <v>0</v>
      </c>
      <c r="Q24" s="36" t="n">
        <f aca="false">Q10*01_INPUTS!Q135*(1-01_INPUTS!$C$11)</f>
        <v>0</v>
      </c>
      <c r="R24" s="36" t="n">
        <f aca="false">R10*01_INPUTS!R135*(1-01_INPUTS!$C$11)</f>
        <v>0</v>
      </c>
      <c r="S24" s="36" t="n">
        <f aca="false">S10*01_INPUTS!S135*(1-01_INPUTS!$C$11)</f>
        <v>0</v>
      </c>
    </row>
    <row r="26" customFormat="false" ht="15" hidden="false" customHeight="false" outlineLevel="0" collapsed="false">
      <c r="A26" s="5" t="s">
        <v>979</v>
      </c>
      <c r="B26" s="5"/>
      <c r="C26" s="5"/>
      <c r="D26" s="5"/>
      <c r="E26" s="5"/>
      <c r="F26" s="5"/>
      <c r="G26" s="5"/>
      <c r="H26" s="5"/>
      <c r="I26" s="5"/>
      <c r="J26" s="5"/>
      <c r="K26" s="5"/>
      <c r="L26" s="5"/>
      <c r="M26" s="5"/>
      <c r="N26" s="5"/>
      <c r="O26" s="5"/>
      <c r="P26" s="5"/>
      <c r="Q26" s="5"/>
      <c r="R26" s="5"/>
      <c r="S26" s="5"/>
    </row>
    <row r="27" customFormat="false" ht="15" hidden="false" customHeight="false" outlineLevel="0" collapsed="false">
      <c r="A27" s="73" t="s">
        <v>980</v>
      </c>
      <c r="B27" s="74" t="s">
        <v>981</v>
      </c>
      <c r="C27" s="66" t="s">
        <v>128</v>
      </c>
      <c r="D27" s="43" t="s">
        <v>332</v>
      </c>
      <c r="E27" s="75" t="s">
        <v>43</v>
      </c>
      <c r="F27" s="76"/>
      <c r="G27" s="86" t="n">
        <f aca="false">_ENGINE_PRODUCCION!G80</f>
        <v>1230000</v>
      </c>
      <c r="H27" s="86" t="n">
        <f aca="false">_ENGINE_PRODUCCION!H80</f>
        <v>816000</v>
      </c>
      <c r="I27" s="86" t="n">
        <f aca="false">_ENGINE_PRODUCCION!I80</f>
        <v>1200000</v>
      </c>
      <c r="J27" s="86" t="n">
        <f aca="false">_ENGINE_PRODUCCION!J80</f>
        <v>35013.7564330671</v>
      </c>
      <c r="K27" s="86" t="n">
        <f aca="false">_ENGINE_PRODUCCION!K80</f>
        <v>35013.7564330671</v>
      </c>
      <c r="L27" s="86" t="n">
        <f aca="false">_ENGINE_PRODUCCION!L80</f>
        <v>35013.7564330671</v>
      </c>
      <c r="M27" s="86" t="n">
        <f aca="false">_ENGINE_PRODUCCION!M80</f>
        <v>35013.7564330671</v>
      </c>
      <c r="N27" s="86" t="n">
        <f aca="false">_ENGINE_PRODUCCION!N80</f>
        <v>35013.7564330671</v>
      </c>
      <c r="O27" s="86" t="n">
        <f aca="false">_ENGINE_PRODUCCION!O80</f>
        <v>35013.7564330671</v>
      </c>
      <c r="P27" s="86" t="n">
        <f aca="false">_ENGINE_PRODUCCION!P80</f>
        <v>35013.7564330671</v>
      </c>
      <c r="Q27" s="86" t="n">
        <f aca="false">_ENGINE_PRODUCCION!Q80</f>
        <v>35013.7564330671</v>
      </c>
      <c r="R27" s="86" t="n">
        <f aca="false">_ENGINE_PRODUCCION!R80</f>
        <v>35013.7564330671</v>
      </c>
      <c r="S27" s="86" t="n">
        <f aca="false">_ENGINE_PRODUCCION!S80</f>
        <v>35013.7564330671</v>
      </c>
    </row>
    <row r="28" customFormat="false" ht="15" hidden="false" customHeight="false" outlineLevel="0" collapsed="false">
      <c r="A28" s="73" t="s">
        <v>980</v>
      </c>
      <c r="B28" s="74" t="s">
        <v>981</v>
      </c>
      <c r="C28" s="66" t="s">
        <v>130</v>
      </c>
      <c r="D28" s="43" t="s">
        <v>332</v>
      </c>
      <c r="E28" s="75" t="s">
        <v>43</v>
      </c>
      <c r="F28" s="76"/>
      <c r="G28" s="86" t="n">
        <f aca="false">_ENGINE_PRODUCCION!G92</f>
        <v>0</v>
      </c>
      <c r="H28" s="86" t="n">
        <f aca="false">_ENGINE_PRODUCCION!H92</f>
        <v>816000</v>
      </c>
      <c r="I28" s="86" t="n">
        <f aca="false">_ENGINE_PRODUCCION!I92</f>
        <v>355211</v>
      </c>
      <c r="J28" s="86" t="n">
        <f aca="false">_ENGINE_PRODUCCION!J92</f>
        <v>6017.51189887506</v>
      </c>
      <c r="K28" s="86" t="n">
        <f aca="false">_ENGINE_PRODUCCION!K92</f>
        <v>6017.51189887506</v>
      </c>
      <c r="L28" s="86" t="n">
        <f aca="false">_ENGINE_PRODUCCION!L92</f>
        <v>6017.51189887506</v>
      </c>
      <c r="M28" s="86" t="n">
        <f aca="false">_ENGINE_PRODUCCION!M92</f>
        <v>6017.51189887506</v>
      </c>
      <c r="N28" s="86" t="n">
        <f aca="false">_ENGINE_PRODUCCION!N92</f>
        <v>6017.51189887506</v>
      </c>
      <c r="O28" s="86" t="n">
        <f aca="false">_ENGINE_PRODUCCION!O92</f>
        <v>6017.51189887506</v>
      </c>
      <c r="P28" s="86" t="n">
        <f aca="false">_ENGINE_PRODUCCION!P92</f>
        <v>6017.51189887506</v>
      </c>
      <c r="Q28" s="86" t="n">
        <f aca="false">_ENGINE_PRODUCCION!Q92</f>
        <v>6017.51189887506</v>
      </c>
      <c r="R28" s="86" t="n">
        <f aca="false">_ENGINE_PRODUCCION!R92</f>
        <v>6017.51189887506</v>
      </c>
      <c r="S28" s="86" t="n">
        <f aca="false">_ENGINE_PRODUCCION!S92</f>
        <v>6017.51189887506</v>
      </c>
    </row>
    <row r="29" customFormat="false" ht="15" hidden="false" customHeight="false" outlineLevel="0" collapsed="false">
      <c r="A29" s="73" t="s">
        <v>980</v>
      </c>
      <c r="B29" s="74" t="s">
        <v>981</v>
      </c>
      <c r="C29" s="66" t="s">
        <v>131</v>
      </c>
      <c r="D29" s="43" t="s">
        <v>332</v>
      </c>
      <c r="E29" s="75" t="s">
        <v>43</v>
      </c>
      <c r="F29" s="76"/>
      <c r="G29" s="86" t="n">
        <f aca="false">_ENGINE_PRODUCCION!G104</f>
        <v>0</v>
      </c>
      <c r="H29" s="86" t="n">
        <f aca="false">_ENGINE_PRODUCCION!H104</f>
        <v>0</v>
      </c>
      <c r="I29" s="86" t="n">
        <f aca="false">_ENGINE_PRODUCCION!I104</f>
        <v>0</v>
      </c>
      <c r="J29" s="86" t="n">
        <f aca="false">_ENGINE_PRODUCCION!J104</f>
        <v>0</v>
      </c>
      <c r="K29" s="86" t="n">
        <f aca="false">_ENGINE_PRODUCCION!K104</f>
        <v>0</v>
      </c>
      <c r="L29" s="86" t="n">
        <f aca="false">_ENGINE_PRODUCCION!L104</f>
        <v>0</v>
      </c>
      <c r="M29" s="86" t="n">
        <f aca="false">_ENGINE_PRODUCCION!M104</f>
        <v>0</v>
      </c>
      <c r="N29" s="86" t="n">
        <f aca="false">_ENGINE_PRODUCCION!N104</f>
        <v>0</v>
      </c>
      <c r="O29" s="86" t="n">
        <f aca="false">_ENGINE_PRODUCCION!O104</f>
        <v>0</v>
      </c>
      <c r="P29" s="86" t="n">
        <f aca="false">_ENGINE_PRODUCCION!P104</f>
        <v>0</v>
      </c>
      <c r="Q29" s="86" t="n">
        <f aca="false">_ENGINE_PRODUCCION!Q104</f>
        <v>0</v>
      </c>
      <c r="R29" s="86" t="n">
        <f aca="false">_ENGINE_PRODUCCION!R104</f>
        <v>0</v>
      </c>
      <c r="S29" s="86" t="n">
        <f aca="false">_ENGINE_PRODUCCION!S104</f>
        <v>0</v>
      </c>
    </row>
    <row r="30" customFormat="false" ht="15" hidden="false" customHeight="false" outlineLevel="0" collapsed="false">
      <c r="A30" s="73" t="s">
        <v>980</v>
      </c>
      <c r="B30" s="74" t="s">
        <v>981</v>
      </c>
      <c r="C30" s="66" t="s">
        <v>132</v>
      </c>
      <c r="D30" s="43" t="s">
        <v>332</v>
      </c>
      <c r="E30" s="75" t="s">
        <v>43</v>
      </c>
      <c r="F30" s="76"/>
      <c r="G30" s="86" t="n">
        <f aca="false">_ENGINE_PRODUCCION!G116</f>
        <v>0</v>
      </c>
      <c r="H30" s="86" t="n">
        <f aca="false">_ENGINE_PRODUCCION!H116</f>
        <v>0</v>
      </c>
      <c r="I30" s="86" t="n">
        <f aca="false">_ENGINE_PRODUCCION!I116</f>
        <v>0</v>
      </c>
      <c r="J30" s="86" t="n">
        <f aca="false">_ENGINE_PRODUCCION!J116</f>
        <v>0</v>
      </c>
      <c r="K30" s="86" t="n">
        <f aca="false">_ENGINE_PRODUCCION!K116</f>
        <v>0</v>
      </c>
      <c r="L30" s="86" t="n">
        <f aca="false">_ENGINE_PRODUCCION!L116</f>
        <v>0</v>
      </c>
      <c r="M30" s="86" t="n">
        <f aca="false">_ENGINE_PRODUCCION!M116</f>
        <v>0</v>
      </c>
      <c r="N30" s="86" t="n">
        <f aca="false">_ENGINE_PRODUCCION!N116</f>
        <v>0</v>
      </c>
      <c r="O30" s="86" t="n">
        <f aca="false">_ENGINE_PRODUCCION!O116</f>
        <v>0</v>
      </c>
      <c r="P30" s="86" t="n">
        <f aca="false">_ENGINE_PRODUCCION!P116</f>
        <v>0</v>
      </c>
      <c r="Q30" s="86" t="n">
        <f aca="false">_ENGINE_PRODUCCION!Q116</f>
        <v>0</v>
      </c>
      <c r="R30" s="86" t="n">
        <f aca="false">_ENGINE_PRODUCCION!R116</f>
        <v>0</v>
      </c>
      <c r="S30" s="86" t="n">
        <f aca="false">_ENGINE_PRODUCCION!S116</f>
        <v>0</v>
      </c>
    </row>
    <row r="31" customFormat="false" ht="15" hidden="false" customHeight="false" outlineLevel="0" collapsed="false">
      <c r="A31" s="73" t="s">
        <v>980</v>
      </c>
      <c r="B31" s="74" t="s">
        <v>981</v>
      </c>
      <c r="C31" s="66" t="s">
        <v>133</v>
      </c>
      <c r="D31" s="43" t="s">
        <v>332</v>
      </c>
      <c r="E31" s="75" t="s">
        <v>43</v>
      </c>
      <c r="F31" s="76"/>
      <c r="G31" s="86" t="n">
        <f aca="false">_ENGINE_PRODUCCION!G129</f>
        <v>800000</v>
      </c>
      <c r="H31" s="86" t="n">
        <f aca="false">_ENGINE_PRODUCCION!H129</f>
        <v>600000</v>
      </c>
      <c r="I31" s="86" t="n">
        <f aca="false">_ENGINE_PRODUCCION!I129</f>
        <v>936000</v>
      </c>
      <c r="J31" s="86" t="n">
        <f aca="false">_ENGINE_PRODUCCION!J129</f>
        <v>0</v>
      </c>
      <c r="K31" s="86" t="n">
        <f aca="false">_ENGINE_PRODUCCION!K129</f>
        <v>0</v>
      </c>
      <c r="L31" s="86" t="n">
        <f aca="false">_ENGINE_PRODUCCION!L129</f>
        <v>0</v>
      </c>
      <c r="M31" s="86" t="n">
        <f aca="false">_ENGINE_PRODUCCION!M129</f>
        <v>0</v>
      </c>
      <c r="N31" s="86" t="n">
        <f aca="false">_ENGINE_PRODUCCION!N129</f>
        <v>0</v>
      </c>
      <c r="O31" s="86" t="n">
        <f aca="false">_ENGINE_PRODUCCION!O129</f>
        <v>0</v>
      </c>
      <c r="P31" s="86" t="n">
        <f aca="false">_ENGINE_PRODUCCION!P129</f>
        <v>0</v>
      </c>
      <c r="Q31" s="86" t="n">
        <f aca="false">_ENGINE_PRODUCCION!Q129</f>
        <v>0</v>
      </c>
      <c r="R31" s="86" t="n">
        <f aca="false">_ENGINE_PRODUCCION!R129</f>
        <v>0</v>
      </c>
      <c r="S31" s="86" t="n">
        <f aca="false">_ENGINE_PRODUCCION!S129</f>
        <v>0</v>
      </c>
    </row>
    <row r="32" customFormat="false" ht="15" hidden="false" customHeight="false" outlineLevel="0" collapsed="false">
      <c r="A32" s="73" t="s">
        <v>980</v>
      </c>
      <c r="B32" s="74" t="s">
        <v>981</v>
      </c>
      <c r="C32" s="66" t="s">
        <v>134</v>
      </c>
      <c r="D32" s="43" t="s">
        <v>332</v>
      </c>
      <c r="E32" s="75" t="s">
        <v>43</v>
      </c>
      <c r="F32" s="76"/>
      <c r="G32" s="86" t="n">
        <f aca="false">_ENGINE_PRODUCCION!G141</f>
        <v>0</v>
      </c>
      <c r="H32" s="86" t="n">
        <f aca="false">_ENGINE_PRODUCCION!H141</f>
        <v>270000</v>
      </c>
      <c r="I32" s="86" t="n">
        <f aca="false">_ENGINE_PRODUCCION!I141</f>
        <v>506995</v>
      </c>
      <c r="J32" s="86" t="n">
        <f aca="false">_ENGINE_PRODUCCION!J141</f>
        <v>8588.83436934708</v>
      </c>
      <c r="K32" s="86" t="n">
        <f aca="false">_ENGINE_PRODUCCION!K141</f>
        <v>8588.83436934708</v>
      </c>
      <c r="L32" s="86" t="n">
        <f aca="false">_ENGINE_PRODUCCION!L141</f>
        <v>8588.83436934708</v>
      </c>
      <c r="M32" s="86" t="n">
        <f aca="false">_ENGINE_PRODUCCION!M141</f>
        <v>8588.83436934708</v>
      </c>
      <c r="N32" s="86" t="n">
        <f aca="false">_ENGINE_PRODUCCION!N141</f>
        <v>8588.83436934708</v>
      </c>
      <c r="O32" s="86" t="n">
        <f aca="false">_ENGINE_PRODUCCION!O141</f>
        <v>8588.83436934708</v>
      </c>
      <c r="P32" s="86" t="n">
        <f aca="false">_ENGINE_PRODUCCION!P141</f>
        <v>8588.83436934708</v>
      </c>
      <c r="Q32" s="86" t="n">
        <f aca="false">_ENGINE_PRODUCCION!Q141</f>
        <v>8588.83436934708</v>
      </c>
      <c r="R32" s="86" t="n">
        <f aca="false">_ENGINE_PRODUCCION!R141</f>
        <v>8588.83436934708</v>
      </c>
      <c r="S32" s="86" t="n">
        <f aca="false">_ENGINE_PRODUCCION!S141</f>
        <v>8588.83436934708</v>
      </c>
    </row>
    <row r="33" customFormat="false" ht="15" hidden="false" customHeight="false" outlineLevel="0" collapsed="false">
      <c r="A33" s="73" t="s">
        <v>980</v>
      </c>
      <c r="B33" s="74" t="s">
        <v>981</v>
      </c>
      <c r="C33" s="66" t="s">
        <v>135</v>
      </c>
      <c r="D33" s="43" t="s">
        <v>332</v>
      </c>
      <c r="E33" s="75" t="s">
        <v>43</v>
      </c>
      <c r="F33" s="76"/>
      <c r="G33" s="86" t="n">
        <f aca="false">_ENGINE_PRODUCCION!G153</f>
        <v>0</v>
      </c>
      <c r="H33" s="86" t="n">
        <f aca="false">_ENGINE_PRODUCCION!H153</f>
        <v>0</v>
      </c>
      <c r="I33" s="86" t="n">
        <f aca="false">_ENGINE_PRODUCCION!I153</f>
        <v>0</v>
      </c>
      <c r="J33" s="86" t="n">
        <f aca="false">_ENGINE_PRODUCCION!J153</f>
        <v>0</v>
      </c>
      <c r="K33" s="86" t="n">
        <f aca="false">_ENGINE_PRODUCCION!K153</f>
        <v>0</v>
      </c>
      <c r="L33" s="86" t="n">
        <f aca="false">_ENGINE_PRODUCCION!L153</f>
        <v>0</v>
      </c>
      <c r="M33" s="86" t="n">
        <f aca="false">_ENGINE_PRODUCCION!M153</f>
        <v>0</v>
      </c>
      <c r="N33" s="86" t="n">
        <f aca="false">_ENGINE_PRODUCCION!N153</f>
        <v>0</v>
      </c>
      <c r="O33" s="86" t="n">
        <f aca="false">_ENGINE_PRODUCCION!O153</f>
        <v>0</v>
      </c>
      <c r="P33" s="86" t="n">
        <f aca="false">_ENGINE_PRODUCCION!P153</f>
        <v>0</v>
      </c>
      <c r="Q33" s="86" t="n">
        <f aca="false">_ENGINE_PRODUCCION!Q153</f>
        <v>0</v>
      </c>
      <c r="R33" s="86" t="n">
        <f aca="false">_ENGINE_PRODUCCION!R153</f>
        <v>0</v>
      </c>
      <c r="S33" s="86" t="n">
        <f aca="false">_ENGINE_PRODUCCION!S153</f>
        <v>0</v>
      </c>
    </row>
    <row r="34" customFormat="false" ht="15" hidden="false" customHeight="false" outlineLevel="0" collapsed="false">
      <c r="A34" s="73" t="s">
        <v>980</v>
      </c>
      <c r="B34" s="74" t="s">
        <v>981</v>
      </c>
      <c r="C34" s="66" t="s">
        <v>136</v>
      </c>
      <c r="D34" s="43" t="s">
        <v>332</v>
      </c>
      <c r="E34" s="75" t="s">
        <v>43</v>
      </c>
      <c r="F34" s="76"/>
      <c r="G34" s="86" t="n">
        <f aca="false">_ENGINE_PRODUCCION!G165</f>
        <v>0</v>
      </c>
      <c r="H34" s="86" t="n">
        <f aca="false">_ENGINE_PRODUCCION!H165</f>
        <v>0</v>
      </c>
      <c r="I34" s="86" t="n">
        <f aca="false">_ENGINE_PRODUCCION!I165</f>
        <v>0</v>
      </c>
      <c r="J34" s="86" t="n">
        <f aca="false">_ENGINE_PRODUCCION!J165</f>
        <v>0</v>
      </c>
      <c r="K34" s="86" t="n">
        <f aca="false">_ENGINE_PRODUCCION!K165</f>
        <v>0</v>
      </c>
      <c r="L34" s="86" t="n">
        <f aca="false">_ENGINE_PRODUCCION!L165</f>
        <v>0</v>
      </c>
      <c r="M34" s="86" t="n">
        <f aca="false">_ENGINE_PRODUCCION!M165</f>
        <v>0</v>
      </c>
      <c r="N34" s="86" t="n">
        <f aca="false">_ENGINE_PRODUCCION!N165</f>
        <v>0</v>
      </c>
      <c r="O34" s="86" t="n">
        <f aca="false">_ENGINE_PRODUCCION!O165</f>
        <v>0</v>
      </c>
      <c r="P34" s="86" t="n">
        <f aca="false">_ENGINE_PRODUCCION!P165</f>
        <v>0</v>
      </c>
      <c r="Q34" s="86" t="n">
        <f aca="false">_ENGINE_PRODUCCION!Q165</f>
        <v>0</v>
      </c>
      <c r="R34" s="86" t="n">
        <f aca="false">_ENGINE_PRODUCCION!R165</f>
        <v>0</v>
      </c>
      <c r="S34" s="86" t="n">
        <f aca="false">_ENGINE_PRODUCCION!S165</f>
        <v>0</v>
      </c>
    </row>
    <row r="36" customFormat="false" ht="15" hidden="false" customHeight="false" outlineLevel="0" collapsed="false">
      <c r="A36" s="5" t="s">
        <v>982</v>
      </c>
      <c r="B36" s="5"/>
      <c r="C36" s="5"/>
      <c r="D36" s="5"/>
      <c r="E36" s="5"/>
      <c r="F36" s="5"/>
      <c r="G36" s="5"/>
      <c r="H36" s="5"/>
      <c r="I36" s="5"/>
      <c r="J36" s="5"/>
      <c r="K36" s="5"/>
      <c r="L36" s="5"/>
      <c r="M36" s="5"/>
      <c r="N36" s="5"/>
      <c r="O36" s="5"/>
      <c r="P36" s="5"/>
      <c r="Q36" s="5"/>
      <c r="R36" s="5"/>
      <c r="S36" s="5"/>
    </row>
    <row r="37" customFormat="false" ht="15" hidden="false" customHeight="false" outlineLevel="0" collapsed="false">
      <c r="A37" s="73" t="s">
        <v>983</v>
      </c>
      <c r="B37" s="74" t="s">
        <v>984</v>
      </c>
      <c r="C37" s="66" t="s">
        <v>128</v>
      </c>
      <c r="D37" s="43" t="s">
        <v>37</v>
      </c>
      <c r="E37" s="75" t="s">
        <v>43</v>
      </c>
      <c r="F37" s="76"/>
      <c r="G37" s="43" t="str">
        <f aca="false">IF(01_INPUTS!G235="1","EE.UU.",IF(01_INPUTS!G236="1","China",IF(01_INPUTS!G237="1","Europa","(sin definir)")))</f>
        <v>(sin definir)</v>
      </c>
      <c r="H37" s="43" t="str">
        <f aca="false">IF(01_INPUTS!H235="1","EE.UU.",IF(01_INPUTS!H236="1","China",IF(01_INPUTS!H237="1","Europa","(sin definir)")))</f>
        <v>(sin definir)</v>
      </c>
      <c r="I37" s="43" t="str">
        <f aca="false">IF(01_INPUTS!I235="1","EE.UU.",IF(01_INPUTS!I236="1","China",IF(01_INPUTS!I237="1","Europa","(sin definir)")))</f>
        <v>Europa</v>
      </c>
      <c r="J37" s="43" t="str">
        <f aca="false">IF(01_INPUTS!J235="1","EE.UU.",IF(01_INPUTS!J236="1","China",IF(01_INPUTS!J237="1","Europa","(sin definir)")))</f>
        <v>(sin definir)</v>
      </c>
      <c r="K37" s="43" t="str">
        <f aca="false">IF(01_INPUTS!K235="1","EE.UU.",IF(01_INPUTS!K236="1","China",IF(01_INPUTS!K237="1","Europa","(sin definir)")))</f>
        <v>(sin definir)</v>
      </c>
      <c r="L37" s="43" t="str">
        <f aca="false">IF(01_INPUTS!L235="1","EE.UU.",IF(01_INPUTS!L236="1","China",IF(01_INPUTS!L237="1","Europa","(sin definir)")))</f>
        <v>(sin definir)</v>
      </c>
      <c r="M37" s="43" t="str">
        <f aca="false">IF(01_INPUTS!M235="1","EE.UU.",IF(01_INPUTS!M236="1","China",IF(01_INPUTS!M237="1","Europa","(sin definir)")))</f>
        <v>(sin definir)</v>
      </c>
      <c r="N37" s="43" t="str">
        <f aca="false">IF(01_INPUTS!N235="1","EE.UU.",IF(01_INPUTS!N236="1","China",IF(01_INPUTS!N237="1","Europa","(sin definir)")))</f>
        <v>(sin definir)</v>
      </c>
      <c r="O37" s="43" t="str">
        <f aca="false">IF(01_INPUTS!O235="1","EE.UU.",IF(01_INPUTS!O236="1","China",IF(01_INPUTS!O237="1","Europa","(sin definir)")))</f>
        <v>(sin definir)</v>
      </c>
      <c r="P37" s="43" t="str">
        <f aca="false">IF(01_INPUTS!P235="1","EE.UU.",IF(01_INPUTS!P236="1","China",IF(01_INPUTS!P237="1","Europa","(sin definir)")))</f>
        <v>(sin definir)</v>
      </c>
      <c r="Q37" s="43" t="str">
        <f aca="false">IF(01_INPUTS!Q235="1","EE.UU.",IF(01_INPUTS!Q236="1","China",IF(01_INPUTS!Q237="1","Europa","(sin definir)")))</f>
        <v>(sin definir)</v>
      </c>
      <c r="R37" s="43" t="str">
        <f aca="false">IF(01_INPUTS!R235="1","EE.UU.",IF(01_INPUTS!R236="1","China",IF(01_INPUTS!R237="1","Europa","(sin definir)")))</f>
        <v>(sin definir)</v>
      </c>
      <c r="S37" s="43" t="str">
        <f aca="false">IF(01_INPUTS!S235="1","EE.UU.",IF(01_INPUTS!S236="1","China",IF(01_INPUTS!S237="1","Europa","(sin definir)")))</f>
        <v>(sin definir)</v>
      </c>
    </row>
    <row r="38" customFormat="false" ht="15" hidden="false" customHeight="false" outlineLevel="0" collapsed="false">
      <c r="A38" s="73" t="s">
        <v>983</v>
      </c>
      <c r="B38" s="74" t="s">
        <v>985</v>
      </c>
      <c r="C38" s="66" t="s">
        <v>128</v>
      </c>
      <c r="D38" s="43" t="s">
        <v>37</v>
      </c>
      <c r="E38" s="75" t="s">
        <v>43</v>
      </c>
      <c r="F38" s="76"/>
      <c r="G38" s="43" t="str">
        <f aca="false">IF(01_INPUTS!G235="2","EE.UU.",IF(01_INPUTS!G236="2","China",IF(01_INPUTS!G237="2","Europa","(sin definir)")))</f>
        <v>(sin definir)</v>
      </c>
      <c r="H38" s="43" t="str">
        <f aca="false">IF(01_INPUTS!H235="2","EE.UU.",IF(01_INPUTS!H236="2","China",IF(01_INPUTS!H237="2","Europa","(sin definir)")))</f>
        <v>(sin definir)</v>
      </c>
      <c r="I38" s="43" t="str">
        <f aca="false">IF(01_INPUTS!I235="2","EE.UU.",IF(01_INPUTS!I236="2","China",IF(01_INPUTS!I237="2","Europa","(sin definir)")))</f>
        <v>EE.UU.</v>
      </c>
      <c r="J38" s="43" t="str">
        <f aca="false">IF(01_INPUTS!J235="2","EE.UU.",IF(01_INPUTS!J236="2","China",IF(01_INPUTS!J237="2","Europa","(sin definir)")))</f>
        <v>(sin definir)</v>
      </c>
      <c r="K38" s="43" t="str">
        <f aca="false">IF(01_INPUTS!K235="2","EE.UU.",IF(01_INPUTS!K236="2","China",IF(01_INPUTS!K237="2","Europa","(sin definir)")))</f>
        <v>(sin definir)</v>
      </c>
      <c r="L38" s="43" t="str">
        <f aca="false">IF(01_INPUTS!L235="2","EE.UU.",IF(01_INPUTS!L236="2","China",IF(01_INPUTS!L237="2","Europa","(sin definir)")))</f>
        <v>(sin definir)</v>
      </c>
      <c r="M38" s="43" t="str">
        <f aca="false">IF(01_INPUTS!M235="2","EE.UU.",IF(01_INPUTS!M236="2","China",IF(01_INPUTS!M237="2","Europa","(sin definir)")))</f>
        <v>(sin definir)</v>
      </c>
      <c r="N38" s="43" t="str">
        <f aca="false">IF(01_INPUTS!N235="2","EE.UU.",IF(01_INPUTS!N236="2","China",IF(01_INPUTS!N237="2","Europa","(sin definir)")))</f>
        <v>(sin definir)</v>
      </c>
      <c r="O38" s="43" t="str">
        <f aca="false">IF(01_INPUTS!O235="2","EE.UU.",IF(01_INPUTS!O236="2","China",IF(01_INPUTS!O237="2","Europa","(sin definir)")))</f>
        <v>(sin definir)</v>
      </c>
      <c r="P38" s="43" t="str">
        <f aca="false">IF(01_INPUTS!P235="2","EE.UU.",IF(01_INPUTS!P236="2","China",IF(01_INPUTS!P237="2","Europa","(sin definir)")))</f>
        <v>(sin definir)</v>
      </c>
      <c r="Q38" s="43" t="str">
        <f aca="false">IF(01_INPUTS!Q235="2","EE.UU.",IF(01_INPUTS!Q236="2","China",IF(01_INPUTS!Q237="2","Europa","(sin definir)")))</f>
        <v>(sin definir)</v>
      </c>
      <c r="R38" s="43" t="str">
        <f aca="false">IF(01_INPUTS!R235="2","EE.UU.",IF(01_INPUTS!R236="2","China",IF(01_INPUTS!R237="2","Europa","(sin definir)")))</f>
        <v>(sin definir)</v>
      </c>
      <c r="S38" s="43" t="str">
        <f aca="false">IF(01_INPUTS!S235="2","EE.UU.",IF(01_INPUTS!S236="2","China",IF(01_INPUTS!S237="2","Europa","(sin definir)")))</f>
        <v>(sin definir)</v>
      </c>
    </row>
    <row r="39" customFormat="false" ht="15" hidden="false" customHeight="false" outlineLevel="0" collapsed="false">
      <c r="A39" s="73" t="s">
        <v>983</v>
      </c>
      <c r="B39" s="74" t="s">
        <v>986</v>
      </c>
      <c r="C39" s="66" t="s">
        <v>128</v>
      </c>
      <c r="D39" s="43" t="s">
        <v>37</v>
      </c>
      <c r="E39" s="75" t="s">
        <v>43</v>
      </c>
      <c r="F39" s="76"/>
      <c r="G39" s="43" t="str">
        <f aca="false">IF(01_INPUTS!G235="3","EE.UU.",IF(01_INPUTS!G236="3","China",IF(01_INPUTS!G237="3","Europa","(sin definir)")))</f>
        <v>(sin definir)</v>
      </c>
      <c r="H39" s="43" t="str">
        <f aca="false">IF(01_INPUTS!H235="3","EE.UU.",IF(01_INPUTS!H236="3","China",IF(01_INPUTS!H237="3","Europa","(sin definir)")))</f>
        <v>(sin definir)</v>
      </c>
      <c r="I39" s="43" t="str">
        <f aca="false">IF(01_INPUTS!I235="3","EE.UU.",IF(01_INPUTS!I236="3","China",IF(01_INPUTS!I237="3","Europa","(sin definir)")))</f>
        <v>China</v>
      </c>
      <c r="J39" s="43" t="str">
        <f aca="false">IF(01_INPUTS!J235="3","EE.UU.",IF(01_INPUTS!J236="3","China",IF(01_INPUTS!J237="3","Europa","(sin definir)")))</f>
        <v>(sin definir)</v>
      </c>
      <c r="K39" s="43" t="str">
        <f aca="false">IF(01_INPUTS!K235="3","EE.UU.",IF(01_INPUTS!K236="3","China",IF(01_INPUTS!K237="3","Europa","(sin definir)")))</f>
        <v>(sin definir)</v>
      </c>
      <c r="L39" s="43" t="str">
        <f aca="false">IF(01_INPUTS!L235="3","EE.UU.",IF(01_INPUTS!L236="3","China",IF(01_INPUTS!L237="3","Europa","(sin definir)")))</f>
        <v>(sin definir)</v>
      </c>
      <c r="M39" s="43" t="str">
        <f aca="false">IF(01_INPUTS!M235="3","EE.UU.",IF(01_INPUTS!M236="3","China",IF(01_INPUTS!M237="3","Europa","(sin definir)")))</f>
        <v>(sin definir)</v>
      </c>
      <c r="N39" s="43" t="str">
        <f aca="false">IF(01_INPUTS!N235="3","EE.UU.",IF(01_INPUTS!N236="3","China",IF(01_INPUTS!N237="3","Europa","(sin definir)")))</f>
        <v>(sin definir)</v>
      </c>
      <c r="O39" s="43" t="str">
        <f aca="false">IF(01_INPUTS!O235="3","EE.UU.",IF(01_INPUTS!O236="3","China",IF(01_INPUTS!O237="3","Europa","(sin definir)")))</f>
        <v>(sin definir)</v>
      </c>
      <c r="P39" s="43" t="str">
        <f aca="false">IF(01_INPUTS!P235="3","EE.UU.",IF(01_INPUTS!P236="3","China",IF(01_INPUTS!P237="3","Europa","(sin definir)")))</f>
        <v>(sin definir)</v>
      </c>
      <c r="Q39" s="43" t="str">
        <f aca="false">IF(01_INPUTS!Q235="3","EE.UU.",IF(01_INPUTS!Q236="3","China",IF(01_INPUTS!Q237="3","Europa","(sin definir)")))</f>
        <v>(sin definir)</v>
      </c>
      <c r="R39" s="43" t="str">
        <f aca="false">IF(01_INPUTS!R235="3","EE.UU.",IF(01_INPUTS!R236="3","China",IF(01_INPUTS!R237="3","Europa","(sin definir)")))</f>
        <v>(sin definir)</v>
      </c>
      <c r="S39" s="43" t="str">
        <f aca="false">IF(01_INPUTS!S235="3","EE.UU.",IF(01_INPUTS!S236="3","China",IF(01_INPUTS!S237="3","Europa","(sin definir)")))</f>
        <v>(sin definir)</v>
      </c>
    </row>
    <row r="40" customFormat="false" ht="15" hidden="false" customHeight="false" outlineLevel="0" collapsed="false">
      <c r="A40" s="73" t="s">
        <v>983</v>
      </c>
      <c r="B40" s="74" t="s">
        <v>984</v>
      </c>
      <c r="C40" s="66" t="s">
        <v>130</v>
      </c>
      <c r="D40" s="43" t="s">
        <v>37</v>
      </c>
      <c r="E40" s="75" t="s">
        <v>43</v>
      </c>
      <c r="F40" s="76"/>
      <c r="G40" s="43" t="str">
        <f aca="false">IF(01_INPUTS!G238="1","EE.UU.",IF(01_INPUTS!G239="1","China",IF(01_INPUTS!G240="1","Europa","(sin definir)")))</f>
        <v>(sin definir)</v>
      </c>
      <c r="H40" s="43" t="str">
        <f aca="false">IF(01_INPUTS!H238="1","EE.UU.",IF(01_INPUTS!H239="1","China",IF(01_INPUTS!H240="1","Europa","(sin definir)")))</f>
        <v>(sin definir)</v>
      </c>
      <c r="I40" s="43" t="str">
        <f aca="false">IF(01_INPUTS!I238="1","EE.UU.",IF(01_INPUTS!I239="1","China",IF(01_INPUTS!I240="1","Europa","(sin definir)")))</f>
        <v>Europa</v>
      </c>
      <c r="J40" s="43" t="str">
        <f aca="false">IF(01_INPUTS!J238="1","EE.UU.",IF(01_INPUTS!J239="1","China",IF(01_INPUTS!J240="1","Europa","(sin definir)")))</f>
        <v>(sin definir)</v>
      </c>
      <c r="K40" s="43" t="str">
        <f aca="false">IF(01_INPUTS!K238="1","EE.UU.",IF(01_INPUTS!K239="1","China",IF(01_INPUTS!K240="1","Europa","(sin definir)")))</f>
        <v>(sin definir)</v>
      </c>
      <c r="L40" s="43" t="str">
        <f aca="false">IF(01_INPUTS!L238="1","EE.UU.",IF(01_INPUTS!L239="1","China",IF(01_INPUTS!L240="1","Europa","(sin definir)")))</f>
        <v>(sin definir)</v>
      </c>
      <c r="M40" s="43" t="str">
        <f aca="false">IF(01_INPUTS!M238="1","EE.UU.",IF(01_INPUTS!M239="1","China",IF(01_INPUTS!M240="1","Europa","(sin definir)")))</f>
        <v>(sin definir)</v>
      </c>
      <c r="N40" s="43" t="str">
        <f aca="false">IF(01_INPUTS!N238="1","EE.UU.",IF(01_INPUTS!N239="1","China",IF(01_INPUTS!N240="1","Europa","(sin definir)")))</f>
        <v>(sin definir)</v>
      </c>
      <c r="O40" s="43" t="str">
        <f aca="false">IF(01_INPUTS!O238="1","EE.UU.",IF(01_INPUTS!O239="1","China",IF(01_INPUTS!O240="1","Europa","(sin definir)")))</f>
        <v>(sin definir)</v>
      </c>
      <c r="P40" s="43" t="str">
        <f aca="false">IF(01_INPUTS!P238="1","EE.UU.",IF(01_INPUTS!P239="1","China",IF(01_INPUTS!P240="1","Europa","(sin definir)")))</f>
        <v>(sin definir)</v>
      </c>
      <c r="Q40" s="43" t="str">
        <f aca="false">IF(01_INPUTS!Q238="1","EE.UU.",IF(01_INPUTS!Q239="1","China",IF(01_INPUTS!Q240="1","Europa","(sin definir)")))</f>
        <v>(sin definir)</v>
      </c>
      <c r="R40" s="43" t="str">
        <f aca="false">IF(01_INPUTS!R238="1","EE.UU.",IF(01_INPUTS!R239="1","China",IF(01_INPUTS!R240="1","Europa","(sin definir)")))</f>
        <v>(sin definir)</v>
      </c>
      <c r="S40" s="43" t="str">
        <f aca="false">IF(01_INPUTS!S238="1","EE.UU.",IF(01_INPUTS!S239="1","China",IF(01_INPUTS!S240="1","Europa","(sin definir)")))</f>
        <v>(sin definir)</v>
      </c>
    </row>
    <row r="41" customFormat="false" ht="15" hidden="false" customHeight="false" outlineLevel="0" collapsed="false">
      <c r="A41" s="73" t="s">
        <v>983</v>
      </c>
      <c r="B41" s="74" t="s">
        <v>985</v>
      </c>
      <c r="C41" s="66" t="s">
        <v>130</v>
      </c>
      <c r="D41" s="43" t="s">
        <v>37</v>
      </c>
      <c r="E41" s="75" t="s">
        <v>43</v>
      </c>
      <c r="F41" s="76"/>
      <c r="G41" s="43" t="str">
        <f aca="false">IF(01_INPUTS!G238="2","EE.UU.",IF(01_INPUTS!G239="2","China",IF(01_INPUTS!G240="2","Europa","(sin definir)")))</f>
        <v>(sin definir)</v>
      </c>
      <c r="H41" s="43" t="str">
        <f aca="false">IF(01_INPUTS!H238="2","EE.UU.",IF(01_INPUTS!H239="2","China",IF(01_INPUTS!H240="2","Europa","(sin definir)")))</f>
        <v>(sin definir)</v>
      </c>
      <c r="I41" s="43" t="str">
        <f aca="false">IF(01_INPUTS!I238="2","EE.UU.",IF(01_INPUTS!I239="2","China",IF(01_INPUTS!I240="2","Europa","(sin definir)")))</f>
        <v>EE.UU.</v>
      </c>
      <c r="J41" s="43" t="str">
        <f aca="false">IF(01_INPUTS!J238="2","EE.UU.",IF(01_INPUTS!J239="2","China",IF(01_INPUTS!J240="2","Europa","(sin definir)")))</f>
        <v>(sin definir)</v>
      </c>
      <c r="K41" s="43" t="str">
        <f aca="false">IF(01_INPUTS!K238="2","EE.UU.",IF(01_INPUTS!K239="2","China",IF(01_INPUTS!K240="2","Europa","(sin definir)")))</f>
        <v>(sin definir)</v>
      </c>
      <c r="L41" s="43" t="str">
        <f aca="false">IF(01_INPUTS!L238="2","EE.UU.",IF(01_INPUTS!L239="2","China",IF(01_INPUTS!L240="2","Europa","(sin definir)")))</f>
        <v>(sin definir)</v>
      </c>
      <c r="M41" s="43" t="str">
        <f aca="false">IF(01_INPUTS!M238="2","EE.UU.",IF(01_INPUTS!M239="2","China",IF(01_INPUTS!M240="2","Europa","(sin definir)")))</f>
        <v>(sin definir)</v>
      </c>
      <c r="N41" s="43" t="str">
        <f aca="false">IF(01_INPUTS!N238="2","EE.UU.",IF(01_INPUTS!N239="2","China",IF(01_INPUTS!N240="2","Europa","(sin definir)")))</f>
        <v>(sin definir)</v>
      </c>
      <c r="O41" s="43" t="str">
        <f aca="false">IF(01_INPUTS!O238="2","EE.UU.",IF(01_INPUTS!O239="2","China",IF(01_INPUTS!O240="2","Europa","(sin definir)")))</f>
        <v>(sin definir)</v>
      </c>
      <c r="P41" s="43" t="str">
        <f aca="false">IF(01_INPUTS!P238="2","EE.UU.",IF(01_INPUTS!P239="2","China",IF(01_INPUTS!P240="2","Europa","(sin definir)")))</f>
        <v>(sin definir)</v>
      </c>
      <c r="Q41" s="43" t="str">
        <f aca="false">IF(01_INPUTS!Q238="2","EE.UU.",IF(01_INPUTS!Q239="2","China",IF(01_INPUTS!Q240="2","Europa","(sin definir)")))</f>
        <v>(sin definir)</v>
      </c>
      <c r="R41" s="43" t="str">
        <f aca="false">IF(01_INPUTS!R238="2","EE.UU.",IF(01_INPUTS!R239="2","China",IF(01_INPUTS!R240="2","Europa","(sin definir)")))</f>
        <v>(sin definir)</v>
      </c>
      <c r="S41" s="43" t="str">
        <f aca="false">IF(01_INPUTS!S238="2","EE.UU.",IF(01_INPUTS!S239="2","China",IF(01_INPUTS!S240="2","Europa","(sin definir)")))</f>
        <v>(sin definir)</v>
      </c>
    </row>
    <row r="42" customFormat="false" ht="15" hidden="false" customHeight="false" outlineLevel="0" collapsed="false">
      <c r="A42" s="73" t="s">
        <v>983</v>
      </c>
      <c r="B42" s="74" t="s">
        <v>986</v>
      </c>
      <c r="C42" s="66" t="s">
        <v>130</v>
      </c>
      <c r="D42" s="43" t="s">
        <v>37</v>
      </c>
      <c r="E42" s="75" t="s">
        <v>43</v>
      </c>
      <c r="F42" s="76"/>
      <c r="G42" s="43" t="str">
        <f aca="false">IF(01_INPUTS!G238="3","EE.UU.",IF(01_INPUTS!G239="3","China",IF(01_INPUTS!G240="3","Europa","(sin definir)")))</f>
        <v>(sin definir)</v>
      </c>
      <c r="H42" s="43" t="str">
        <f aca="false">IF(01_INPUTS!H238="3","EE.UU.",IF(01_INPUTS!H239="3","China",IF(01_INPUTS!H240="3","Europa","(sin definir)")))</f>
        <v>(sin definir)</v>
      </c>
      <c r="I42" s="43" t="str">
        <f aca="false">IF(01_INPUTS!I238="3","EE.UU.",IF(01_INPUTS!I239="3","China",IF(01_INPUTS!I240="3","Europa","(sin definir)")))</f>
        <v>China</v>
      </c>
      <c r="J42" s="43" t="str">
        <f aca="false">IF(01_INPUTS!J238="3","EE.UU.",IF(01_INPUTS!J239="3","China",IF(01_INPUTS!J240="3","Europa","(sin definir)")))</f>
        <v>(sin definir)</v>
      </c>
      <c r="K42" s="43" t="str">
        <f aca="false">IF(01_INPUTS!K238="3","EE.UU.",IF(01_INPUTS!K239="3","China",IF(01_INPUTS!K240="3","Europa","(sin definir)")))</f>
        <v>(sin definir)</v>
      </c>
      <c r="L42" s="43" t="str">
        <f aca="false">IF(01_INPUTS!L238="3","EE.UU.",IF(01_INPUTS!L239="3","China",IF(01_INPUTS!L240="3","Europa","(sin definir)")))</f>
        <v>(sin definir)</v>
      </c>
      <c r="M42" s="43" t="str">
        <f aca="false">IF(01_INPUTS!M238="3","EE.UU.",IF(01_INPUTS!M239="3","China",IF(01_INPUTS!M240="3","Europa","(sin definir)")))</f>
        <v>(sin definir)</v>
      </c>
      <c r="N42" s="43" t="str">
        <f aca="false">IF(01_INPUTS!N238="3","EE.UU.",IF(01_INPUTS!N239="3","China",IF(01_INPUTS!N240="3","Europa","(sin definir)")))</f>
        <v>(sin definir)</v>
      </c>
      <c r="O42" s="43" t="str">
        <f aca="false">IF(01_INPUTS!O238="3","EE.UU.",IF(01_INPUTS!O239="3","China",IF(01_INPUTS!O240="3","Europa","(sin definir)")))</f>
        <v>(sin definir)</v>
      </c>
      <c r="P42" s="43" t="str">
        <f aca="false">IF(01_INPUTS!P238="3","EE.UU.",IF(01_INPUTS!P239="3","China",IF(01_INPUTS!P240="3","Europa","(sin definir)")))</f>
        <v>(sin definir)</v>
      </c>
      <c r="Q42" s="43" t="str">
        <f aca="false">IF(01_INPUTS!Q238="3","EE.UU.",IF(01_INPUTS!Q239="3","China",IF(01_INPUTS!Q240="3","Europa","(sin definir)")))</f>
        <v>(sin definir)</v>
      </c>
      <c r="R42" s="43" t="str">
        <f aca="false">IF(01_INPUTS!R238="3","EE.UU.",IF(01_INPUTS!R239="3","China",IF(01_INPUTS!R240="3","Europa","(sin definir)")))</f>
        <v>(sin definir)</v>
      </c>
      <c r="S42" s="43" t="str">
        <f aca="false">IF(01_INPUTS!S238="3","EE.UU.",IF(01_INPUTS!S239="3","China",IF(01_INPUTS!S240="3","Europa","(sin definir)")))</f>
        <v>(sin definir)</v>
      </c>
    </row>
    <row r="43" customFormat="false" ht="15" hidden="false" customHeight="false" outlineLevel="0" collapsed="false">
      <c r="A43" s="73" t="s">
        <v>983</v>
      </c>
      <c r="B43" s="74" t="s">
        <v>984</v>
      </c>
      <c r="C43" s="66" t="s">
        <v>131</v>
      </c>
      <c r="D43" s="43" t="s">
        <v>37</v>
      </c>
      <c r="E43" s="75" t="s">
        <v>43</v>
      </c>
      <c r="F43" s="76"/>
      <c r="G43" s="43" t="str">
        <f aca="false">IF(01_INPUTS!G241="1","EE.UU.",IF(01_INPUTS!G242="1","China",IF(01_INPUTS!G243="1","Europa","(sin definir)")))</f>
        <v>(sin definir)</v>
      </c>
      <c r="H43" s="43" t="str">
        <f aca="false">IF(01_INPUTS!H241="1","EE.UU.",IF(01_INPUTS!H242="1","China",IF(01_INPUTS!H243="1","Europa","(sin definir)")))</f>
        <v>(sin definir)</v>
      </c>
      <c r="I43" s="43" t="str">
        <f aca="false">IF(01_INPUTS!I241="1","EE.UU.",IF(01_INPUTS!I242="1","China",IF(01_INPUTS!I243="1","Europa","(sin definir)")))</f>
        <v>(sin definir)</v>
      </c>
      <c r="J43" s="43" t="str">
        <f aca="false">IF(01_INPUTS!J241="1","EE.UU.",IF(01_INPUTS!J242="1","China",IF(01_INPUTS!J243="1","Europa","(sin definir)")))</f>
        <v>(sin definir)</v>
      </c>
      <c r="K43" s="43" t="str">
        <f aca="false">IF(01_INPUTS!K241="1","EE.UU.",IF(01_INPUTS!K242="1","China",IF(01_INPUTS!K243="1","Europa","(sin definir)")))</f>
        <v>(sin definir)</v>
      </c>
      <c r="L43" s="43" t="str">
        <f aca="false">IF(01_INPUTS!L241="1","EE.UU.",IF(01_INPUTS!L242="1","China",IF(01_INPUTS!L243="1","Europa","(sin definir)")))</f>
        <v>(sin definir)</v>
      </c>
      <c r="M43" s="43" t="str">
        <f aca="false">IF(01_INPUTS!M241="1","EE.UU.",IF(01_INPUTS!M242="1","China",IF(01_INPUTS!M243="1","Europa","(sin definir)")))</f>
        <v>(sin definir)</v>
      </c>
      <c r="N43" s="43" t="str">
        <f aca="false">IF(01_INPUTS!N241="1","EE.UU.",IF(01_INPUTS!N242="1","China",IF(01_INPUTS!N243="1","Europa","(sin definir)")))</f>
        <v>(sin definir)</v>
      </c>
      <c r="O43" s="43" t="str">
        <f aca="false">IF(01_INPUTS!O241="1","EE.UU.",IF(01_INPUTS!O242="1","China",IF(01_INPUTS!O243="1","Europa","(sin definir)")))</f>
        <v>(sin definir)</v>
      </c>
      <c r="P43" s="43" t="str">
        <f aca="false">IF(01_INPUTS!P241="1","EE.UU.",IF(01_INPUTS!P242="1","China",IF(01_INPUTS!P243="1","Europa","(sin definir)")))</f>
        <v>(sin definir)</v>
      </c>
      <c r="Q43" s="43" t="str">
        <f aca="false">IF(01_INPUTS!Q241="1","EE.UU.",IF(01_INPUTS!Q242="1","China",IF(01_INPUTS!Q243="1","Europa","(sin definir)")))</f>
        <v>(sin definir)</v>
      </c>
      <c r="R43" s="43" t="str">
        <f aca="false">IF(01_INPUTS!R241="1","EE.UU.",IF(01_INPUTS!R242="1","China",IF(01_INPUTS!R243="1","Europa","(sin definir)")))</f>
        <v>(sin definir)</v>
      </c>
      <c r="S43" s="43" t="str">
        <f aca="false">IF(01_INPUTS!S241="1","EE.UU.",IF(01_INPUTS!S242="1","China",IF(01_INPUTS!S243="1","Europa","(sin definir)")))</f>
        <v>(sin definir)</v>
      </c>
    </row>
    <row r="44" customFormat="false" ht="15" hidden="false" customHeight="false" outlineLevel="0" collapsed="false">
      <c r="A44" s="73" t="s">
        <v>983</v>
      </c>
      <c r="B44" s="74" t="s">
        <v>985</v>
      </c>
      <c r="C44" s="66" t="s">
        <v>131</v>
      </c>
      <c r="D44" s="43" t="s">
        <v>37</v>
      </c>
      <c r="E44" s="75" t="s">
        <v>43</v>
      </c>
      <c r="F44" s="76"/>
      <c r="G44" s="43" t="str">
        <f aca="false">IF(01_INPUTS!G241="2","EE.UU.",IF(01_INPUTS!G242="2","China",IF(01_INPUTS!G243="2","Europa","(sin definir)")))</f>
        <v>(sin definir)</v>
      </c>
      <c r="H44" s="43" t="str">
        <f aca="false">IF(01_INPUTS!H241="2","EE.UU.",IF(01_INPUTS!H242="2","China",IF(01_INPUTS!H243="2","Europa","(sin definir)")))</f>
        <v>(sin definir)</v>
      </c>
      <c r="I44" s="43" t="str">
        <f aca="false">IF(01_INPUTS!I241="2","EE.UU.",IF(01_INPUTS!I242="2","China",IF(01_INPUTS!I243="2","Europa","(sin definir)")))</f>
        <v>(sin definir)</v>
      </c>
      <c r="J44" s="43" t="str">
        <f aca="false">IF(01_INPUTS!J241="2","EE.UU.",IF(01_INPUTS!J242="2","China",IF(01_INPUTS!J243="2","Europa","(sin definir)")))</f>
        <v>(sin definir)</v>
      </c>
      <c r="K44" s="43" t="str">
        <f aca="false">IF(01_INPUTS!K241="2","EE.UU.",IF(01_INPUTS!K242="2","China",IF(01_INPUTS!K243="2","Europa","(sin definir)")))</f>
        <v>(sin definir)</v>
      </c>
      <c r="L44" s="43" t="str">
        <f aca="false">IF(01_INPUTS!L241="2","EE.UU.",IF(01_INPUTS!L242="2","China",IF(01_INPUTS!L243="2","Europa","(sin definir)")))</f>
        <v>(sin definir)</v>
      </c>
      <c r="M44" s="43" t="str">
        <f aca="false">IF(01_INPUTS!M241="2","EE.UU.",IF(01_INPUTS!M242="2","China",IF(01_INPUTS!M243="2","Europa","(sin definir)")))</f>
        <v>(sin definir)</v>
      </c>
      <c r="N44" s="43" t="str">
        <f aca="false">IF(01_INPUTS!N241="2","EE.UU.",IF(01_INPUTS!N242="2","China",IF(01_INPUTS!N243="2","Europa","(sin definir)")))</f>
        <v>(sin definir)</v>
      </c>
      <c r="O44" s="43" t="str">
        <f aca="false">IF(01_INPUTS!O241="2","EE.UU.",IF(01_INPUTS!O242="2","China",IF(01_INPUTS!O243="2","Europa","(sin definir)")))</f>
        <v>(sin definir)</v>
      </c>
      <c r="P44" s="43" t="str">
        <f aca="false">IF(01_INPUTS!P241="2","EE.UU.",IF(01_INPUTS!P242="2","China",IF(01_INPUTS!P243="2","Europa","(sin definir)")))</f>
        <v>(sin definir)</v>
      </c>
      <c r="Q44" s="43" t="str">
        <f aca="false">IF(01_INPUTS!Q241="2","EE.UU.",IF(01_INPUTS!Q242="2","China",IF(01_INPUTS!Q243="2","Europa","(sin definir)")))</f>
        <v>(sin definir)</v>
      </c>
      <c r="R44" s="43" t="str">
        <f aca="false">IF(01_INPUTS!R241="2","EE.UU.",IF(01_INPUTS!R242="2","China",IF(01_INPUTS!R243="2","Europa","(sin definir)")))</f>
        <v>(sin definir)</v>
      </c>
      <c r="S44" s="43" t="str">
        <f aca="false">IF(01_INPUTS!S241="2","EE.UU.",IF(01_INPUTS!S242="2","China",IF(01_INPUTS!S243="2","Europa","(sin definir)")))</f>
        <v>(sin definir)</v>
      </c>
    </row>
    <row r="45" customFormat="false" ht="15" hidden="false" customHeight="false" outlineLevel="0" collapsed="false">
      <c r="A45" s="73" t="s">
        <v>983</v>
      </c>
      <c r="B45" s="74" t="s">
        <v>986</v>
      </c>
      <c r="C45" s="66" t="s">
        <v>131</v>
      </c>
      <c r="D45" s="43" t="s">
        <v>37</v>
      </c>
      <c r="E45" s="75" t="s">
        <v>43</v>
      </c>
      <c r="F45" s="76"/>
      <c r="G45" s="43" t="str">
        <f aca="false">IF(01_INPUTS!G241="3","EE.UU.",IF(01_INPUTS!G242="3","China",IF(01_INPUTS!G243="3","Europa","(sin definir)")))</f>
        <v>(sin definir)</v>
      </c>
      <c r="H45" s="43" t="str">
        <f aca="false">IF(01_INPUTS!H241="3","EE.UU.",IF(01_INPUTS!H242="3","China",IF(01_INPUTS!H243="3","Europa","(sin definir)")))</f>
        <v>(sin definir)</v>
      </c>
      <c r="I45" s="43" t="str">
        <f aca="false">IF(01_INPUTS!I241="3","EE.UU.",IF(01_INPUTS!I242="3","China",IF(01_INPUTS!I243="3","Europa","(sin definir)")))</f>
        <v>(sin definir)</v>
      </c>
      <c r="J45" s="43" t="str">
        <f aca="false">IF(01_INPUTS!J241="3","EE.UU.",IF(01_INPUTS!J242="3","China",IF(01_INPUTS!J243="3","Europa","(sin definir)")))</f>
        <v>(sin definir)</v>
      </c>
      <c r="K45" s="43" t="str">
        <f aca="false">IF(01_INPUTS!K241="3","EE.UU.",IF(01_INPUTS!K242="3","China",IF(01_INPUTS!K243="3","Europa","(sin definir)")))</f>
        <v>(sin definir)</v>
      </c>
      <c r="L45" s="43" t="str">
        <f aca="false">IF(01_INPUTS!L241="3","EE.UU.",IF(01_INPUTS!L242="3","China",IF(01_INPUTS!L243="3","Europa","(sin definir)")))</f>
        <v>(sin definir)</v>
      </c>
      <c r="M45" s="43" t="str">
        <f aca="false">IF(01_INPUTS!M241="3","EE.UU.",IF(01_INPUTS!M242="3","China",IF(01_INPUTS!M243="3","Europa","(sin definir)")))</f>
        <v>(sin definir)</v>
      </c>
      <c r="N45" s="43" t="str">
        <f aca="false">IF(01_INPUTS!N241="3","EE.UU.",IF(01_INPUTS!N242="3","China",IF(01_INPUTS!N243="3","Europa","(sin definir)")))</f>
        <v>(sin definir)</v>
      </c>
      <c r="O45" s="43" t="str">
        <f aca="false">IF(01_INPUTS!O241="3","EE.UU.",IF(01_INPUTS!O242="3","China",IF(01_INPUTS!O243="3","Europa","(sin definir)")))</f>
        <v>(sin definir)</v>
      </c>
      <c r="P45" s="43" t="str">
        <f aca="false">IF(01_INPUTS!P241="3","EE.UU.",IF(01_INPUTS!P242="3","China",IF(01_INPUTS!P243="3","Europa","(sin definir)")))</f>
        <v>(sin definir)</v>
      </c>
      <c r="Q45" s="43" t="str">
        <f aca="false">IF(01_INPUTS!Q241="3","EE.UU.",IF(01_INPUTS!Q242="3","China",IF(01_INPUTS!Q243="3","Europa","(sin definir)")))</f>
        <v>(sin definir)</v>
      </c>
      <c r="R45" s="43" t="str">
        <f aca="false">IF(01_INPUTS!R241="3","EE.UU.",IF(01_INPUTS!R242="3","China",IF(01_INPUTS!R243="3","Europa","(sin definir)")))</f>
        <v>(sin definir)</v>
      </c>
      <c r="S45" s="43" t="str">
        <f aca="false">IF(01_INPUTS!S241="3","EE.UU.",IF(01_INPUTS!S242="3","China",IF(01_INPUTS!S243="3","Europa","(sin definir)")))</f>
        <v>(sin definir)</v>
      </c>
    </row>
    <row r="46" customFormat="false" ht="15" hidden="false" customHeight="false" outlineLevel="0" collapsed="false">
      <c r="A46" s="73" t="s">
        <v>983</v>
      </c>
      <c r="B46" s="74" t="s">
        <v>984</v>
      </c>
      <c r="C46" s="66" t="s">
        <v>132</v>
      </c>
      <c r="D46" s="43" t="s">
        <v>37</v>
      </c>
      <c r="E46" s="75" t="s">
        <v>43</v>
      </c>
      <c r="F46" s="76"/>
      <c r="G46" s="43" t="str">
        <f aca="false">IF(01_INPUTS!G244="1","EE.UU.",IF(01_INPUTS!G245="1","China",IF(01_INPUTS!G246="1","Europa","(sin definir)")))</f>
        <v>(sin definir)</v>
      </c>
      <c r="H46" s="43" t="str">
        <f aca="false">IF(01_INPUTS!H244="1","EE.UU.",IF(01_INPUTS!H245="1","China",IF(01_INPUTS!H246="1","Europa","(sin definir)")))</f>
        <v>(sin definir)</v>
      </c>
      <c r="I46" s="43" t="str">
        <f aca="false">IF(01_INPUTS!I244="1","EE.UU.",IF(01_INPUTS!I245="1","China",IF(01_INPUTS!I246="1","Europa","(sin definir)")))</f>
        <v>(sin definir)</v>
      </c>
      <c r="J46" s="43" t="str">
        <f aca="false">IF(01_INPUTS!J244="1","EE.UU.",IF(01_INPUTS!J245="1","China",IF(01_INPUTS!J246="1","Europa","(sin definir)")))</f>
        <v>(sin definir)</v>
      </c>
      <c r="K46" s="43" t="str">
        <f aca="false">IF(01_INPUTS!K244="1","EE.UU.",IF(01_INPUTS!K245="1","China",IF(01_INPUTS!K246="1","Europa","(sin definir)")))</f>
        <v>(sin definir)</v>
      </c>
      <c r="L46" s="43" t="str">
        <f aca="false">IF(01_INPUTS!L244="1","EE.UU.",IF(01_INPUTS!L245="1","China",IF(01_INPUTS!L246="1","Europa","(sin definir)")))</f>
        <v>(sin definir)</v>
      </c>
      <c r="M46" s="43" t="str">
        <f aca="false">IF(01_INPUTS!M244="1","EE.UU.",IF(01_INPUTS!M245="1","China",IF(01_INPUTS!M246="1","Europa","(sin definir)")))</f>
        <v>(sin definir)</v>
      </c>
      <c r="N46" s="43" t="str">
        <f aca="false">IF(01_INPUTS!N244="1","EE.UU.",IF(01_INPUTS!N245="1","China",IF(01_INPUTS!N246="1","Europa","(sin definir)")))</f>
        <v>(sin definir)</v>
      </c>
      <c r="O46" s="43" t="str">
        <f aca="false">IF(01_INPUTS!O244="1","EE.UU.",IF(01_INPUTS!O245="1","China",IF(01_INPUTS!O246="1","Europa","(sin definir)")))</f>
        <v>(sin definir)</v>
      </c>
      <c r="P46" s="43" t="str">
        <f aca="false">IF(01_INPUTS!P244="1","EE.UU.",IF(01_INPUTS!P245="1","China",IF(01_INPUTS!P246="1","Europa","(sin definir)")))</f>
        <v>(sin definir)</v>
      </c>
      <c r="Q46" s="43" t="str">
        <f aca="false">IF(01_INPUTS!Q244="1","EE.UU.",IF(01_INPUTS!Q245="1","China",IF(01_INPUTS!Q246="1","Europa","(sin definir)")))</f>
        <v>(sin definir)</v>
      </c>
      <c r="R46" s="43" t="str">
        <f aca="false">IF(01_INPUTS!R244="1","EE.UU.",IF(01_INPUTS!R245="1","China",IF(01_INPUTS!R246="1","Europa","(sin definir)")))</f>
        <v>(sin definir)</v>
      </c>
      <c r="S46" s="43" t="str">
        <f aca="false">IF(01_INPUTS!S244="1","EE.UU.",IF(01_INPUTS!S245="1","China",IF(01_INPUTS!S246="1","Europa","(sin definir)")))</f>
        <v>(sin definir)</v>
      </c>
    </row>
    <row r="47" customFormat="false" ht="15" hidden="false" customHeight="false" outlineLevel="0" collapsed="false">
      <c r="A47" s="73" t="s">
        <v>983</v>
      </c>
      <c r="B47" s="74" t="s">
        <v>985</v>
      </c>
      <c r="C47" s="66" t="s">
        <v>132</v>
      </c>
      <c r="D47" s="43" t="s">
        <v>37</v>
      </c>
      <c r="E47" s="75" t="s">
        <v>43</v>
      </c>
      <c r="F47" s="76"/>
      <c r="G47" s="43" t="str">
        <f aca="false">IF(01_INPUTS!G244="2","EE.UU.",IF(01_INPUTS!G245="2","China",IF(01_INPUTS!G246="2","Europa","(sin definir)")))</f>
        <v>(sin definir)</v>
      </c>
      <c r="H47" s="43" t="str">
        <f aca="false">IF(01_INPUTS!H244="2","EE.UU.",IF(01_INPUTS!H245="2","China",IF(01_INPUTS!H246="2","Europa","(sin definir)")))</f>
        <v>(sin definir)</v>
      </c>
      <c r="I47" s="43" t="str">
        <f aca="false">IF(01_INPUTS!I244="2","EE.UU.",IF(01_INPUTS!I245="2","China",IF(01_INPUTS!I246="2","Europa","(sin definir)")))</f>
        <v>(sin definir)</v>
      </c>
      <c r="J47" s="43" t="str">
        <f aca="false">IF(01_INPUTS!J244="2","EE.UU.",IF(01_INPUTS!J245="2","China",IF(01_INPUTS!J246="2","Europa","(sin definir)")))</f>
        <v>(sin definir)</v>
      </c>
      <c r="K47" s="43" t="str">
        <f aca="false">IF(01_INPUTS!K244="2","EE.UU.",IF(01_INPUTS!K245="2","China",IF(01_INPUTS!K246="2","Europa","(sin definir)")))</f>
        <v>(sin definir)</v>
      </c>
      <c r="L47" s="43" t="str">
        <f aca="false">IF(01_INPUTS!L244="2","EE.UU.",IF(01_INPUTS!L245="2","China",IF(01_INPUTS!L246="2","Europa","(sin definir)")))</f>
        <v>(sin definir)</v>
      </c>
      <c r="M47" s="43" t="str">
        <f aca="false">IF(01_INPUTS!M244="2","EE.UU.",IF(01_INPUTS!M245="2","China",IF(01_INPUTS!M246="2","Europa","(sin definir)")))</f>
        <v>(sin definir)</v>
      </c>
      <c r="N47" s="43" t="str">
        <f aca="false">IF(01_INPUTS!N244="2","EE.UU.",IF(01_INPUTS!N245="2","China",IF(01_INPUTS!N246="2","Europa","(sin definir)")))</f>
        <v>(sin definir)</v>
      </c>
      <c r="O47" s="43" t="str">
        <f aca="false">IF(01_INPUTS!O244="2","EE.UU.",IF(01_INPUTS!O245="2","China",IF(01_INPUTS!O246="2","Europa","(sin definir)")))</f>
        <v>(sin definir)</v>
      </c>
      <c r="P47" s="43" t="str">
        <f aca="false">IF(01_INPUTS!P244="2","EE.UU.",IF(01_INPUTS!P245="2","China",IF(01_INPUTS!P246="2","Europa","(sin definir)")))</f>
        <v>(sin definir)</v>
      </c>
      <c r="Q47" s="43" t="str">
        <f aca="false">IF(01_INPUTS!Q244="2","EE.UU.",IF(01_INPUTS!Q245="2","China",IF(01_INPUTS!Q246="2","Europa","(sin definir)")))</f>
        <v>(sin definir)</v>
      </c>
      <c r="R47" s="43" t="str">
        <f aca="false">IF(01_INPUTS!R244="2","EE.UU.",IF(01_INPUTS!R245="2","China",IF(01_INPUTS!R246="2","Europa","(sin definir)")))</f>
        <v>(sin definir)</v>
      </c>
      <c r="S47" s="43" t="str">
        <f aca="false">IF(01_INPUTS!S244="2","EE.UU.",IF(01_INPUTS!S245="2","China",IF(01_INPUTS!S246="2","Europa","(sin definir)")))</f>
        <v>(sin definir)</v>
      </c>
    </row>
    <row r="48" customFormat="false" ht="15" hidden="false" customHeight="false" outlineLevel="0" collapsed="false">
      <c r="A48" s="73" t="s">
        <v>983</v>
      </c>
      <c r="B48" s="74" t="s">
        <v>986</v>
      </c>
      <c r="C48" s="66" t="s">
        <v>132</v>
      </c>
      <c r="D48" s="43" t="s">
        <v>37</v>
      </c>
      <c r="E48" s="75" t="s">
        <v>43</v>
      </c>
      <c r="F48" s="76"/>
      <c r="G48" s="43" t="str">
        <f aca="false">IF(01_INPUTS!G244="3","EE.UU.",IF(01_INPUTS!G245="3","China",IF(01_INPUTS!G246="3","Europa","(sin definir)")))</f>
        <v>(sin definir)</v>
      </c>
      <c r="H48" s="43" t="str">
        <f aca="false">IF(01_INPUTS!H244="3","EE.UU.",IF(01_INPUTS!H245="3","China",IF(01_INPUTS!H246="3","Europa","(sin definir)")))</f>
        <v>(sin definir)</v>
      </c>
      <c r="I48" s="43" t="str">
        <f aca="false">IF(01_INPUTS!I244="3","EE.UU.",IF(01_INPUTS!I245="3","China",IF(01_INPUTS!I246="3","Europa","(sin definir)")))</f>
        <v>(sin definir)</v>
      </c>
      <c r="J48" s="43" t="str">
        <f aca="false">IF(01_INPUTS!J244="3","EE.UU.",IF(01_INPUTS!J245="3","China",IF(01_INPUTS!J246="3","Europa","(sin definir)")))</f>
        <v>(sin definir)</v>
      </c>
      <c r="K48" s="43" t="str">
        <f aca="false">IF(01_INPUTS!K244="3","EE.UU.",IF(01_INPUTS!K245="3","China",IF(01_INPUTS!K246="3","Europa","(sin definir)")))</f>
        <v>(sin definir)</v>
      </c>
      <c r="L48" s="43" t="str">
        <f aca="false">IF(01_INPUTS!L244="3","EE.UU.",IF(01_INPUTS!L245="3","China",IF(01_INPUTS!L246="3","Europa","(sin definir)")))</f>
        <v>(sin definir)</v>
      </c>
      <c r="M48" s="43" t="str">
        <f aca="false">IF(01_INPUTS!M244="3","EE.UU.",IF(01_INPUTS!M245="3","China",IF(01_INPUTS!M246="3","Europa","(sin definir)")))</f>
        <v>(sin definir)</v>
      </c>
      <c r="N48" s="43" t="str">
        <f aca="false">IF(01_INPUTS!N244="3","EE.UU.",IF(01_INPUTS!N245="3","China",IF(01_INPUTS!N246="3","Europa","(sin definir)")))</f>
        <v>(sin definir)</v>
      </c>
      <c r="O48" s="43" t="str">
        <f aca="false">IF(01_INPUTS!O244="3","EE.UU.",IF(01_INPUTS!O245="3","China",IF(01_INPUTS!O246="3","Europa","(sin definir)")))</f>
        <v>(sin definir)</v>
      </c>
      <c r="P48" s="43" t="str">
        <f aca="false">IF(01_INPUTS!P244="3","EE.UU.",IF(01_INPUTS!P245="3","China",IF(01_INPUTS!P246="3","Europa","(sin definir)")))</f>
        <v>(sin definir)</v>
      </c>
      <c r="Q48" s="43" t="str">
        <f aca="false">IF(01_INPUTS!Q244="3","EE.UU.",IF(01_INPUTS!Q245="3","China",IF(01_INPUTS!Q246="3","Europa","(sin definir)")))</f>
        <v>(sin definir)</v>
      </c>
      <c r="R48" s="43" t="str">
        <f aca="false">IF(01_INPUTS!R244="3","EE.UU.",IF(01_INPUTS!R245="3","China",IF(01_INPUTS!R246="3","Europa","(sin definir)")))</f>
        <v>(sin definir)</v>
      </c>
      <c r="S48" s="43" t="str">
        <f aca="false">IF(01_INPUTS!S244="3","EE.UU.",IF(01_INPUTS!S245="3","China",IF(01_INPUTS!S246="3","Europa","(sin definir)")))</f>
        <v>(sin definir)</v>
      </c>
    </row>
    <row r="49" customFormat="false" ht="15" hidden="false" customHeight="false" outlineLevel="0" collapsed="false">
      <c r="A49" s="73" t="s">
        <v>983</v>
      </c>
      <c r="B49" s="74" t="s">
        <v>984</v>
      </c>
      <c r="C49" s="66" t="s">
        <v>133</v>
      </c>
      <c r="D49" s="43" t="s">
        <v>37</v>
      </c>
      <c r="E49" s="75" t="s">
        <v>43</v>
      </c>
      <c r="F49" s="76"/>
      <c r="G49" s="43" t="str">
        <f aca="false">IF(01_INPUTS!G247="1","EE.UU.",IF(01_INPUTS!G248="1","China",IF(01_INPUTS!G249="1","Europa","(sin definir)")))</f>
        <v>(sin definir)</v>
      </c>
      <c r="H49" s="43" t="str">
        <f aca="false">IF(01_INPUTS!H247="1","EE.UU.",IF(01_INPUTS!H248="1","China",IF(01_INPUTS!H249="1","Europa","(sin definir)")))</f>
        <v>(sin definir)</v>
      </c>
      <c r="I49" s="43" t="str">
        <f aca="false">IF(01_INPUTS!I247="1","EE.UU.",IF(01_INPUTS!I248="1","China",IF(01_INPUTS!I249="1","Europa","(sin definir)")))</f>
        <v>Europa</v>
      </c>
      <c r="J49" s="43" t="str">
        <f aca="false">IF(01_INPUTS!J247="1","EE.UU.",IF(01_INPUTS!J248="1","China",IF(01_INPUTS!J249="1","Europa","(sin definir)")))</f>
        <v>(sin definir)</v>
      </c>
      <c r="K49" s="43" t="str">
        <f aca="false">IF(01_INPUTS!K247="1","EE.UU.",IF(01_INPUTS!K248="1","China",IF(01_INPUTS!K249="1","Europa","(sin definir)")))</f>
        <v>(sin definir)</v>
      </c>
      <c r="L49" s="43" t="str">
        <f aca="false">IF(01_INPUTS!L247="1","EE.UU.",IF(01_INPUTS!L248="1","China",IF(01_INPUTS!L249="1","Europa","(sin definir)")))</f>
        <v>(sin definir)</v>
      </c>
      <c r="M49" s="43" t="str">
        <f aca="false">IF(01_INPUTS!M247="1","EE.UU.",IF(01_INPUTS!M248="1","China",IF(01_INPUTS!M249="1","Europa","(sin definir)")))</f>
        <v>(sin definir)</v>
      </c>
      <c r="N49" s="43" t="str">
        <f aca="false">IF(01_INPUTS!N247="1","EE.UU.",IF(01_INPUTS!N248="1","China",IF(01_INPUTS!N249="1","Europa","(sin definir)")))</f>
        <v>(sin definir)</v>
      </c>
      <c r="O49" s="43" t="str">
        <f aca="false">IF(01_INPUTS!O247="1","EE.UU.",IF(01_INPUTS!O248="1","China",IF(01_INPUTS!O249="1","Europa","(sin definir)")))</f>
        <v>(sin definir)</v>
      </c>
      <c r="P49" s="43" t="str">
        <f aca="false">IF(01_INPUTS!P247="1","EE.UU.",IF(01_INPUTS!P248="1","China",IF(01_INPUTS!P249="1","Europa","(sin definir)")))</f>
        <v>(sin definir)</v>
      </c>
      <c r="Q49" s="43" t="str">
        <f aca="false">IF(01_INPUTS!Q247="1","EE.UU.",IF(01_INPUTS!Q248="1","China",IF(01_INPUTS!Q249="1","Europa","(sin definir)")))</f>
        <v>(sin definir)</v>
      </c>
      <c r="R49" s="43" t="str">
        <f aca="false">IF(01_INPUTS!R247="1","EE.UU.",IF(01_INPUTS!R248="1","China",IF(01_INPUTS!R249="1","Europa","(sin definir)")))</f>
        <v>(sin definir)</v>
      </c>
      <c r="S49" s="43" t="str">
        <f aca="false">IF(01_INPUTS!S247="1","EE.UU.",IF(01_INPUTS!S248="1","China",IF(01_INPUTS!S249="1","Europa","(sin definir)")))</f>
        <v>(sin definir)</v>
      </c>
    </row>
    <row r="50" customFormat="false" ht="15" hidden="false" customHeight="false" outlineLevel="0" collapsed="false">
      <c r="A50" s="73" t="s">
        <v>983</v>
      </c>
      <c r="B50" s="74" t="s">
        <v>985</v>
      </c>
      <c r="C50" s="66" t="s">
        <v>133</v>
      </c>
      <c r="D50" s="43" t="s">
        <v>37</v>
      </c>
      <c r="E50" s="75" t="s">
        <v>43</v>
      </c>
      <c r="F50" s="76"/>
      <c r="G50" s="43" t="str">
        <f aca="false">IF(01_INPUTS!G247="2","EE.UU.",IF(01_INPUTS!G248="2","China",IF(01_INPUTS!G249="2","Europa","(sin definir)")))</f>
        <v>(sin definir)</v>
      </c>
      <c r="H50" s="43" t="str">
        <f aca="false">IF(01_INPUTS!H247="2","EE.UU.",IF(01_INPUTS!H248="2","China",IF(01_INPUTS!H249="2","Europa","(sin definir)")))</f>
        <v>(sin definir)</v>
      </c>
      <c r="I50" s="43" t="str">
        <f aca="false">IF(01_INPUTS!I247="2","EE.UU.",IF(01_INPUTS!I248="2","China",IF(01_INPUTS!I249="2","Europa","(sin definir)")))</f>
        <v>China</v>
      </c>
      <c r="J50" s="43" t="str">
        <f aca="false">IF(01_INPUTS!J247="2","EE.UU.",IF(01_INPUTS!J248="2","China",IF(01_INPUTS!J249="2","Europa","(sin definir)")))</f>
        <v>(sin definir)</v>
      </c>
      <c r="K50" s="43" t="str">
        <f aca="false">IF(01_INPUTS!K247="2","EE.UU.",IF(01_INPUTS!K248="2","China",IF(01_INPUTS!K249="2","Europa","(sin definir)")))</f>
        <v>(sin definir)</v>
      </c>
      <c r="L50" s="43" t="str">
        <f aca="false">IF(01_INPUTS!L247="2","EE.UU.",IF(01_INPUTS!L248="2","China",IF(01_INPUTS!L249="2","Europa","(sin definir)")))</f>
        <v>(sin definir)</v>
      </c>
      <c r="M50" s="43" t="str">
        <f aca="false">IF(01_INPUTS!M247="2","EE.UU.",IF(01_INPUTS!M248="2","China",IF(01_INPUTS!M249="2","Europa","(sin definir)")))</f>
        <v>(sin definir)</v>
      </c>
      <c r="N50" s="43" t="str">
        <f aca="false">IF(01_INPUTS!N247="2","EE.UU.",IF(01_INPUTS!N248="2","China",IF(01_INPUTS!N249="2","Europa","(sin definir)")))</f>
        <v>(sin definir)</v>
      </c>
      <c r="O50" s="43" t="str">
        <f aca="false">IF(01_INPUTS!O247="2","EE.UU.",IF(01_INPUTS!O248="2","China",IF(01_INPUTS!O249="2","Europa","(sin definir)")))</f>
        <v>(sin definir)</v>
      </c>
      <c r="P50" s="43" t="str">
        <f aca="false">IF(01_INPUTS!P247="2","EE.UU.",IF(01_INPUTS!P248="2","China",IF(01_INPUTS!P249="2","Europa","(sin definir)")))</f>
        <v>(sin definir)</v>
      </c>
      <c r="Q50" s="43" t="str">
        <f aca="false">IF(01_INPUTS!Q247="2","EE.UU.",IF(01_INPUTS!Q248="2","China",IF(01_INPUTS!Q249="2","Europa","(sin definir)")))</f>
        <v>(sin definir)</v>
      </c>
      <c r="R50" s="43" t="str">
        <f aca="false">IF(01_INPUTS!R247="2","EE.UU.",IF(01_INPUTS!R248="2","China",IF(01_INPUTS!R249="2","Europa","(sin definir)")))</f>
        <v>(sin definir)</v>
      </c>
      <c r="S50" s="43" t="str">
        <f aca="false">IF(01_INPUTS!S247="2","EE.UU.",IF(01_INPUTS!S248="2","China",IF(01_INPUTS!S249="2","Europa","(sin definir)")))</f>
        <v>(sin definir)</v>
      </c>
    </row>
    <row r="51" customFormat="false" ht="15" hidden="false" customHeight="false" outlineLevel="0" collapsed="false">
      <c r="A51" s="73" t="s">
        <v>983</v>
      </c>
      <c r="B51" s="74" t="s">
        <v>986</v>
      </c>
      <c r="C51" s="66" t="s">
        <v>133</v>
      </c>
      <c r="D51" s="43" t="s">
        <v>37</v>
      </c>
      <c r="E51" s="75" t="s">
        <v>43</v>
      </c>
      <c r="F51" s="76"/>
      <c r="G51" s="43" t="str">
        <f aca="false">IF(01_INPUTS!G247="3","EE.UU.",IF(01_INPUTS!G248="3","China",IF(01_INPUTS!G249="3","Europa","(sin definir)")))</f>
        <v>(sin definir)</v>
      </c>
      <c r="H51" s="43" t="str">
        <f aca="false">IF(01_INPUTS!H247="3","EE.UU.",IF(01_INPUTS!H248="3","China",IF(01_INPUTS!H249="3","Europa","(sin definir)")))</f>
        <v>(sin definir)</v>
      </c>
      <c r="I51" s="43" t="str">
        <f aca="false">IF(01_INPUTS!I247="3","EE.UU.",IF(01_INPUTS!I248="3","China",IF(01_INPUTS!I249="3","Europa","(sin definir)")))</f>
        <v>EE.UU.</v>
      </c>
      <c r="J51" s="43" t="str">
        <f aca="false">IF(01_INPUTS!J247="3","EE.UU.",IF(01_INPUTS!J248="3","China",IF(01_INPUTS!J249="3","Europa","(sin definir)")))</f>
        <v>(sin definir)</v>
      </c>
      <c r="K51" s="43" t="str">
        <f aca="false">IF(01_INPUTS!K247="3","EE.UU.",IF(01_INPUTS!K248="3","China",IF(01_INPUTS!K249="3","Europa","(sin definir)")))</f>
        <v>(sin definir)</v>
      </c>
      <c r="L51" s="43" t="str">
        <f aca="false">IF(01_INPUTS!L247="3","EE.UU.",IF(01_INPUTS!L248="3","China",IF(01_INPUTS!L249="3","Europa","(sin definir)")))</f>
        <v>(sin definir)</v>
      </c>
      <c r="M51" s="43" t="str">
        <f aca="false">IF(01_INPUTS!M247="3","EE.UU.",IF(01_INPUTS!M248="3","China",IF(01_INPUTS!M249="3","Europa","(sin definir)")))</f>
        <v>(sin definir)</v>
      </c>
      <c r="N51" s="43" t="str">
        <f aca="false">IF(01_INPUTS!N247="3","EE.UU.",IF(01_INPUTS!N248="3","China",IF(01_INPUTS!N249="3","Europa","(sin definir)")))</f>
        <v>(sin definir)</v>
      </c>
      <c r="O51" s="43" t="str">
        <f aca="false">IF(01_INPUTS!O247="3","EE.UU.",IF(01_INPUTS!O248="3","China",IF(01_INPUTS!O249="3","Europa","(sin definir)")))</f>
        <v>(sin definir)</v>
      </c>
      <c r="P51" s="43" t="str">
        <f aca="false">IF(01_INPUTS!P247="3","EE.UU.",IF(01_INPUTS!P248="3","China",IF(01_INPUTS!P249="3","Europa","(sin definir)")))</f>
        <v>(sin definir)</v>
      </c>
      <c r="Q51" s="43" t="str">
        <f aca="false">IF(01_INPUTS!Q247="3","EE.UU.",IF(01_INPUTS!Q248="3","China",IF(01_INPUTS!Q249="3","Europa","(sin definir)")))</f>
        <v>(sin definir)</v>
      </c>
      <c r="R51" s="43" t="str">
        <f aca="false">IF(01_INPUTS!R247="3","EE.UU.",IF(01_INPUTS!R248="3","China",IF(01_INPUTS!R249="3","Europa","(sin definir)")))</f>
        <v>(sin definir)</v>
      </c>
      <c r="S51" s="43" t="str">
        <f aca="false">IF(01_INPUTS!S247="3","EE.UU.",IF(01_INPUTS!S248="3","China",IF(01_INPUTS!S249="3","Europa","(sin definir)")))</f>
        <v>(sin definir)</v>
      </c>
    </row>
    <row r="52" customFormat="false" ht="15" hidden="false" customHeight="false" outlineLevel="0" collapsed="false">
      <c r="A52" s="73" t="s">
        <v>983</v>
      </c>
      <c r="B52" s="74" t="s">
        <v>984</v>
      </c>
      <c r="C52" s="66" t="s">
        <v>134</v>
      </c>
      <c r="D52" s="43" t="s">
        <v>37</v>
      </c>
      <c r="E52" s="75" t="s">
        <v>43</v>
      </c>
      <c r="F52" s="76"/>
      <c r="G52" s="43" t="str">
        <f aca="false">IF(01_INPUTS!G250="1","EE.UU.",IF(01_INPUTS!G251="1","China",IF(01_INPUTS!G252="1","Europa","(sin definir)")))</f>
        <v>(sin definir)</v>
      </c>
      <c r="H52" s="43" t="str">
        <f aca="false">IF(01_INPUTS!H250="1","EE.UU.",IF(01_INPUTS!H251="1","China",IF(01_INPUTS!H252="1","Europa","(sin definir)")))</f>
        <v>(sin definir)</v>
      </c>
      <c r="I52" s="43" t="str">
        <f aca="false">IF(01_INPUTS!I250="1","EE.UU.",IF(01_INPUTS!I251="1","China",IF(01_INPUTS!I252="1","Europa","(sin definir)")))</f>
        <v>Europa</v>
      </c>
      <c r="J52" s="43" t="str">
        <f aca="false">IF(01_INPUTS!J250="1","EE.UU.",IF(01_INPUTS!J251="1","China",IF(01_INPUTS!J252="1","Europa","(sin definir)")))</f>
        <v>(sin definir)</v>
      </c>
      <c r="K52" s="43" t="str">
        <f aca="false">IF(01_INPUTS!K250="1","EE.UU.",IF(01_INPUTS!K251="1","China",IF(01_INPUTS!K252="1","Europa","(sin definir)")))</f>
        <v>(sin definir)</v>
      </c>
      <c r="L52" s="43" t="str">
        <f aca="false">IF(01_INPUTS!L250="1","EE.UU.",IF(01_INPUTS!L251="1","China",IF(01_INPUTS!L252="1","Europa","(sin definir)")))</f>
        <v>(sin definir)</v>
      </c>
      <c r="M52" s="43" t="str">
        <f aca="false">IF(01_INPUTS!M250="1","EE.UU.",IF(01_INPUTS!M251="1","China",IF(01_INPUTS!M252="1","Europa","(sin definir)")))</f>
        <v>(sin definir)</v>
      </c>
      <c r="N52" s="43" t="str">
        <f aca="false">IF(01_INPUTS!N250="1","EE.UU.",IF(01_INPUTS!N251="1","China",IF(01_INPUTS!N252="1","Europa","(sin definir)")))</f>
        <v>(sin definir)</v>
      </c>
      <c r="O52" s="43" t="str">
        <f aca="false">IF(01_INPUTS!O250="1","EE.UU.",IF(01_INPUTS!O251="1","China",IF(01_INPUTS!O252="1","Europa","(sin definir)")))</f>
        <v>(sin definir)</v>
      </c>
      <c r="P52" s="43" t="str">
        <f aca="false">IF(01_INPUTS!P250="1","EE.UU.",IF(01_INPUTS!P251="1","China",IF(01_INPUTS!P252="1","Europa","(sin definir)")))</f>
        <v>(sin definir)</v>
      </c>
      <c r="Q52" s="43" t="str">
        <f aca="false">IF(01_INPUTS!Q250="1","EE.UU.",IF(01_INPUTS!Q251="1","China",IF(01_INPUTS!Q252="1","Europa","(sin definir)")))</f>
        <v>(sin definir)</v>
      </c>
      <c r="R52" s="43" t="str">
        <f aca="false">IF(01_INPUTS!R250="1","EE.UU.",IF(01_INPUTS!R251="1","China",IF(01_INPUTS!R252="1","Europa","(sin definir)")))</f>
        <v>(sin definir)</v>
      </c>
      <c r="S52" s="43" t="str">
        <f aca="false">IF(01_INPUTS!S250="1","EE.UU.",IF(01_INPUTS!S251="1","China",IF(01_INPUTS!S252="1","Europa","(sin definir)")))</f>
        <v>(sin definir)</v>
      </c>
    </row>
    <row r="53" customFormat="false" ht="15" hidden="false" customHeight="false" outlineLevel="0" collapsed="false">
      <c r="A53" s="73" t="s">
        <v>983</v>
      </c>
      <c r="B53" s="74" t="s">
        <v>985</v>
      </c>
      <c r="C53" s="66" t="s">
        <v>134</v>
      </c>
      <c r="D53" s="43" t="s">
        <v>37</v>
      </c>
      <c r="E53" s="75" t="s">
        <v>43</v>
      </c>
      <c r="F53" s="76"/>
      <c r="G53" s="43" t="str">
        <f aca="false">IF(01_INPUTS!G250="2","EE.UU.",IF(01_INPUTS!G251="2","China",IF(01_INPUTS!G252="2","Europa","(sin definir)")))</f>
        <v>(sin definir)</v>
      </c>
      <c r="H53" s="43" t="str">
        <f aca="false">IF(01_INPUTS!H250="2","EE.UU.",IF(01_INPUTS!H251="2","China",IF(01_INPUTS!H252="2","Europa","(sin definir)")))</f>
        <v>(sin definir)</v>
      </c>
      <c r="I53" s="43" t="str">
        <f aca="false">IF(01_INPUTS!I250="2","EE.UU.",IF(01_INPUTS!I251="2","China",IF(01_INPUTS!I252="2","Europa","(sin definir)")))</f>
        <v>EE.UU.</v>
      </c>
      <c r="J53" s="43" t="str">
        <f aca="false">IF(01_INPUTS!J250="2","EE.UU.",IF(01_INPUTS!J251="2","China",IF(01_INPUTS!J252="2","Europa","(sin definir)")))</f>
        <v>(sin definir)</v>
      </c>
      <c r="K53" s="43" t="str">
        <f aca="false">IF(01_INPUTS!K250="2","EE.UU.",IF(01_INPUTS!K251="2","China",IF(01_INPUTS!K252="2","Europa","(sin definir)")))</f>
        <v>(sin definir)</v>
      </c>
      <c r="L53" s="43" t="str">
        <f aca="false">IF(01_INPUTS!L250="2","EE.UU.",IF(01_INPUTS!L251="2","China",IF(01_INPUTS!L252="2","Europa","(sin definir)")))</f>
        <v>(sin definir)</v>
      </c>
      <c r="M53" s="43" t="str">
        <f aca="false">IF(01_INPUTS!M250="2","EE.UU.",IF(01_INPUTS!M251="2","China",IF(01_INPUTS!M252="2","Europa","(sin definir)")))</f>
        <v>(sin definir)</v>
      </c>
      <c r="N53" s="43" t="str">
        <f aca="false">IF(01_INPUTS!N250="2","EE.UU.",IF(01_INPUTS!N251="2","China",IF(01_INPUTS!N252="2","Europa","(sin definir)")))</f>
        <v>(sin definir)</v>
      </c>
      <c r="O53" s="43" t="str">
        <f aca="false">IF(01_INPUTS!O250="2","EE.UU.",IF(01_INPUTS!O251="2","China",IF(01_INPUTS!O252="2","Europa","(sin definir)")))</f>
        <v>(sin definir)</v>
      </c>
      <c r="P53" s="43" t="str">
        <f aca="false">IF(01_INPUTS!P250="2","EE.UU.",IF(01_INPUTS!P251="2","China",IF(01_INPUTS!P252="2","Europa","(sin definir)")))</f>
        <v>(sin definir)</v>
      </c>
      <c r="Q53" s="43" t="str">
        <f aca="false">IF(01_INPUTS!Q250="2","EE.UU.",IF(01_INPUTS!Q251="2","China",IF(01_INPUTS!Q252="2","Europa","(sin definir)")))</f>
        <v>(sin definir)</v>
      </c>
      <c r="R53" s="43" t="str">
        <f aca="false">IF(01_INPUTS!R250="2","EE.UU.",IF(01_INPUTS!R251="2","China",IF(01_INPUTS!R252="2","Europa","(sin definir)")))</f>
        <v>(sin definir)</v>
      </c>
      <c r="S53" s="43" t="str">
        <f aca="false">IF(01_INPUTS!S250="2","EE.UU.",IF(01_INPUTS!S251="2","China",IF(01_INPUTS!S252="2","Europa","(sin definir)")))</f>
        <v>(sin definir)</v>
      </c>
    </row>
    <row r="54" customFormat="false" ht="15" hidden="false" customHeight="false" outlineLevel="0" collapsed="false">
      <c r="A54" s="73" t="s">
        <v>983</v>
      </c>
      <c r="B54" s="74" t="s">
        <v>986</v>
      </c>
      <c r="C54" s="66" t="s">
        <v>134</v>
      </c>
      <c r="D54" s="43" t="s">
        <v>37</v>
      </c>
      <c r="E54" s="75" t="s">
        <v>43</v>
      </c>
      <c r="F54" s="76"/>
      <c r="G54" s="43" t="str">
        <f aca="false">IF(01_INPUTS!G250="3","EE.UU.",IF(01_INPUTS!G251="3","China",IF(01_INPUTS!G252="3","Europa","(sin definir)")))</f>
        <v>(sin definir)</v>
      </c>
      <c r="H54" s="43" t="str">
        <f aca="false">IF(01_INPUTS!H250="3","EE.UU.",IF(01_INPUTS!H251="3","China",IF(01_INPUTS!H252="3","Europa","(sin definir)")))</f>
        <v>(sin definir)</v>
      </c>
      <c r="I54" s="43" t="str">
        <f aca="false">IF(01_INPUTS!I250="3","EE.UU.",IF(01_INPUTS!I251="3","China",IF(01_INPUTS!I252="3","Europa","(sin definir)")))</f>
        <v>China</v>
      </c>
      <c r="J54" s="43" t="str">
        <f aca="false">IF(01_INPUTS!J250="3","EE.UU.",IF(01_INPUTS!J251="3","China",IF(01_INPUTS!J252="3","Europa","(sin definir)")))</f>
        <v>(sin definir)</v>
      </c>
      <c r="K54" s="43" t="str">
        <f aca="false">IF(01_INPUTS!K250="3","EE.UU.",IF(01_INPUTS!K251="3","China",IF(01_INPUTS!K252="3","Europa","(sin definir)")))</f>
        <v>(sin definir)</v>
      </c>
      <c r="L54" s="43" t="str">
        <f aca="false">IF(01_INPUTS!L250="3","EE.UU.",IF(01_INPUTS!L251="3","China",IF(01_INPUTS!L252="3","Europa","(sin definir)")))</f>
        <v>(sin definir)</v>
      </c>
      <c r="M54" s="43" t="str">
        <f aca="false">IF(01_INPUTS!M250="3","EE.UU.",IF(01_INPUTS!M251="3","China",IF(01_INPUTS!M252="3","Europa","(sin definir)")))</f>
        <v>(sin definir)</v>
      </c>
      <c r="N54" s="43" t="str">
        <f aca="false">IF(01_INPUTS!N250="3","EE.UU.",IF(01_INPUTS!N251="3","China",IF(01_INPUTS!N252="3","Europa","(sin definir)")))</f>
        <v>(sin definir)</v>
      </c>
      <c r="O54" s="43" t="str">
        <f aca="false">IF(01_INPUTS!O250="3","EE.UU.",IF(01_INPUTS!O251="3","China",IF(01_INPUTS!O252="3","Europa","(sin definir)")))</f>
        <v>(sin definir)</v>
      </c>
      <c r="P54" s="43" t="str">
        <f aca="false">IF(01_INPUTS!P250="3","EE.UU.",IF(01_INPUTS!P251="3","China",IF(01_INPUTS!P252="3","Europa","(sin definir)")))</f>
        <v>(sin definir)</v>
      </c>
      <c r="Q54" s="43" t="str">
        <f aca="false">IF(01_INPUTS!Q250="3","EE.UU.",IF(01_INPUTS!Q251="3","China",IF(01_INPUTS!Q252="3","Europa","(sin definir)")))</f>
        <v>(sin definir)</v>
      </c>
      <c r="R54" s="43" t="str">
        <f aca="false">IF(01_INPUTS!R250="3","EE.UU.",IF(01_INPUTS!R251="3","China",IF(01_INPUTS!R252="3","Europa","(sin definir)")))</f>
        <v>(sin definir)</v>
      </c>
      <c r="S54" s="43" t="str">
        <f aca="false">IF(01_INPUTS!S250="3","EE.UU.",IF(01_INPUTS!S251="3","China",IF(01_INPUTS!S252="3","Europa","(sin definir)")))</f>
        <v>(sin definir)</v>
      </c>
    </row>
    <row r="55" customFormat="false" ht="15" hidden="false" customHeight="false" outlineLevel="0" collapsed="false">
      <c r="A55" s="73" t="s">
        <v>983</v>
      </c>
      <c r="B55" s="74" t="s">
        <v>984</v>
      </c>
      <c r="C55" s="66" t="s">
        <v>135</v>
      </c>
      <c r="D55" s="43" t="s">
        <v>37</v>
      </c>
      <c r="E55" s="75" t="s">
        <v>43</v>
      </c>
      <c r="F55" s="76"/>
      <c r="G55" s="43" t="str">
        <f aca="false">IF(01_INPUTS!G253="1","EE.UU.",IF(01_INPUTS!G254="1","China",IF(01_INPUTS!G255="1","Europa","(sin definir)")))</f>
        <v>(sin definir)</v>
      </c>
      <c r="H55" s="43" t="str">
        <f aca="false">IF(01_INPUTS!H253="1","EE.UU.",IF(01_INPUTS!H254="1","China",IF(01_INPUTS!H255="1","Europa","(sin definir)")))</f>
        <v>(sin definir)</v>
      </c>
      <c r="I55" s="43" t="str">
        <f aca="false">IF(01_INPUTS!I253="1","EE.UU.",IF(01_INPUTS!I254="1","China",IF(01_INPUTS!I255="1","Europa","(sin definir)")))</f>
        <v>(sin definir)</v>
      </c>
      <c r="J55" s="43" t="str">
        <f aca="false">IF(01_INPUTS!J253="1","EE.UU.",IF(01_INPUTS!J254="1","China",IF(01_INPUTS!J255="1","Europa","(sin definir)")))</f>
        <v>(sin definir)</v>
      </c>
      <c r="K55" s="43" t="str">
        <f aca="false">IF(01_INPUTS!K253="1","EE.UU.",IF(01_INPUTS!K254="1","China",IF(01_INPUTS!K255="1","Europa","(sin definir)")))</f>
        <v>(sin definir)</v>
      </c>
      <c r="L55" s="43" t="str">
        <f aca="false">IF(01_INPUTS!L253="1","EE.UU.",IF(01_INPUTS!L254="1","China",IF(01_INPUTS!L255="1","Europa","(sin definir)")))</f>
        <v>(sin definir)</v>
      </c>
      <c r="M55" s="43" t="str">
        <f aca="false">IF(01_INPUTS!M253="1","EE.UU.",IF(01_INPUTS!M254="1","China",IF(01_INPUTS!M255="1","Europa","(sin definir)")))</f>
        <v>(sin definir)</v>
      </c>
      <c r="N55" s="43" t="str">
        <f aca="false">IF(01_INPUTS!N253="1","EE.UU.",IF(01_INPUTS!N254="1","China",IF(01_INPUTS!N255="1","Europa","(sin definir)")))</f>
        <v>(sin definir)</v>
      </c>
      <c r="O55" s="43" t="str">
        <f aca="false">IF(01_INPUTS!O253="1","EE.UU.",IF(01_INPUTS!O254="1","China",IF(01_INPUTS!O255="1","Europa","(sin definir)")))</f>
        <v>(sin definir)</v>
      </c>
      <c r="P55" s="43" t="str">
        <f aca="false">IF(01_INPUTS!P253="1","EE.UU.",IF(01_INPUTS!P254="1","China",IF(01_INPUTS!P255="1","Europa","(sin definir)")))</f>
        <v>(sin definir)</v>
      </c>
      <c r="Q55" s="43" t="str">
        <f aca="false">IF(01_INPUTS!Q253="1","EE.UU.",IF(01_INPUTS!Q254="1","China",IF(01_INPUTS!Q255="1","Europa","(sin definir)")))</f>
        <v>(sin definir)</v>
      </c>
      <c r="R55" s="43" t="str">
        <f aca="false">IF(01_INPUTS!R253="1","EE.UU.",IF(01_INPUTS!R254="1","China",IF(01_INPUTS!R255="1","Europa","(sin definir)")))</f>
        <v>(sin definir)</v>
      </c>
      <c r="S55" s="43" t="str">
        <f aca="false">IF(01_INPUTS!S253="1","EE.UU.",IF(01_INPUTS!S254="1","China",IF(01_INPUTS!S255="1","Europa","(sin definir)")))</f>
        <v>(sin definir)</v>
      </c>
    </row>
    <row r="56" customFormat="false" ht="15" hidden="false" customHeight="false" outlineLevel="0" collapsed="false">
      <c r="A56" s="73" t="s">
        <v>983</v>
      </c>
      <c r="B56" s="74" t="s">
        <v>985</v>
      </c>
      <c r="C56" s="66" t="s">
        <v>135</v>
      </c>
      <c r="D56" s="43" t="s">
        <v>37</v>
      </c>
      <c r="E56" s="75" t="s">
        <v>43</v>
      </c>
      <c r="F56" s="76"/>
      <c r="G56" s="43" t="str">
        <f aca="false">IF(01_INPUTS!G253="2","EE.UU.",IF(01_INPUTS!G254="2","China",IF(01_INPUTS!G255="2","Europa","(sin definir)")))</f>
        <v>(sin definir)</v>
      </c>
      <c r="H56" s="43" t="str">
        <f aca="false">IF(01_INPUTS!H253="2","EE.UU.",IF(01_INPUTS!H254="2","China",IF(01_INPUTS!H255="2","Europa","(sin definir)")))</f>
        <v>(sin definir)</v>
      </c>
      <c r="I56" s="43" t="str">
        <f aca="false">IF(01_INPUTS!I253="2","EE.UU.",IF(01_INPUTS!I254="2","China",IF(01_INPUTS!I255="2","Europa","(sin definir)")))</f>
        <v>(sin definir)</v>
      </c>
      <c r="J56" s="43" t="str">
        <f aca="false">IF(01_INPUTS!J253="2","EE.UU.",IF(01_INPUTS!J254="2","China",IF(01_INPUTS!J255="2","Europa","(sin definir)")))</f>
        <v>(sin definir)</v>
      </c>
      <c r="K56" s="43" t="str">
        <f aca="false">IF(01_INPUTS!K253="2","EE.UU.",IF(01_INPUTS!K254="2","China",IF(01_INPUTS!K255="2","Europa","(sin definir)")))</f>
        <v>(sin definir)</v>
      </c>
      <c r="L56" s="43" t="str">
        <f aca="false">IF(01_INPUTS!L253="2","EE.UU.",IF(01_INPUTS!L254="2","China",IF(01_INPUTS!L255="2","Europa","(sin definir)")))</f>
        <v>(sin definir)</v>
      </c>
      <c r="M56" s="43" t="str">
        <f aca="false">IF(01_INPUTS!M253="2","EE.UU.",IF(01_INPUTS!M254="2","China",IF(01_INPUTS!M255="2","Europa","(sin definir)")))</f>
        <v>(sin definir)</v>
      </c>
      <c r="N56" s="43" t="str">
        <f aca="false">IF(01_INPUTS!N253="2","EE.UU.",IF(01_INPUTS!N254="2","China",IF(01_INPUTS!N255="2","Europa","(sin definir)")))</f>
        <v>(sin definir)</v>
      </c>
      <c r="O56" s="43" t="str">
        <f aca="false">IF(01_INPUTS!O253="2","EE.UU.",IF(01_INPUTS!O254="2","China",IF(01_INPUTS!O255="2","Europa","(sin definir)")))</f>
        <v>(sin definir)</v>
      </c>
      <c r="P56" s="43" t="str">
        <f aca="false">IF(01_INPUTS!P253="2","EE.UU.",IF(01_INPUTS!P254="2","China",IF(01_INPUTS!P255="2","Europa","(sin definir)")))</f>
        <v>(sin definir)</v>
      </c>
      <c r="Q56" s="43" t="str">
        <f aca="false">IF(01_INPUTS!Q253="2","EE.UU.",IF(01_INPUTS!Q254="2","China",IF(01_INPUTS!Q255="2","Europa","(sin definir)")))</f>
        <v>(sin definir)</v>
      </c>
      <c r="R56" s="43" t="str">
        <f aca="false">IF(01_INPUTS!R253="2","EE.UU.",IF(01_INPUTS!R254="2","China",IF(01_INPUTS!R255="2","Europa","(sin definir)")))</f>
        <v>(sin definir)</v>
      </c>
      <c r="S56" s="43" t="str">
        <f aca="false">IF(01_INPUTS!S253="2","EE.UU.",IF(01_INPUTS!S254="2","China",IF(01_INPUTS!S255="2","Europa","(sin definir)")))</f>
        <v>(sin definir)</v>
      </c>
    </row>
    <row r="57" customFormat="false" ht="15" hidden="false" customHeight="false" outlineLevel="0" collapsed="false">
      <c r="A57" s="73" t="s">
        <v>983</v>
      </c>
      <c r="B57" s="74" t="s">
        <v>986</v>
      </c>
      <c r="C57" s="66" t="s">
        <v>135</v>
      </c>
      <c r="D57" s="43" t="s">
        <v>37</v>
      </c>
      <c r="E57" s="75" t="s">
        <v>43</v>
      </c>
      <c r="F57" s="76"/>
      <c r="G57" s="43" t="str">
        <f aca="false">IF(01_INPUTS!G253="3","EE.UU.",IF(01_INPUTS!G254="3","China",IF(01_INPUTS!G255="3","Europa","(sin definir)")))</f>
        <v>(sin definir)</v>
      </c>
      <c r="H57" s="43" t="str">
        <f aca="false">IF(01_INPUTS!H253="3","EE.UU.",IF(01_INPUTS!H254="3","China",IF(01_INPUTS!H255="3","Europa","(sin definir)")))</f>
        <v>(sin definir)</v>
      </c>
      <c r="I57" s="43" t="str">
        <f aca="false">IF(01_INPUTS!I253="3","EE.UU.",IF(01_INPUTS!I254="3","China",IF(01_INPUTS!I255="3","Europa","(sin definir)")))</f>
        <v>(sin definir)</v>
      </c>
      <c r="J57" s="43" t="str">
        <f aca="false">IF(01_INPUTS!J253="3","EE.UU.",IF(01_INPUTS!J254="3","China",IF(01_INPUTS!J255="3","Europa","(sin definir)")))</f>
        <v>(sin definir)</v>
      </c>
      <c r="K57" s="43" t="str">
        <f aca="false">IF(01_INPUTS!K253="3","EE.UU.",IF(01_INPUTS!K254="3","China",IF(01_INPUTS!K255="3","Europa","(sin definir)")))</f>
        <v>(sin definir)</v>
      </c>
      <c r="L57" s="43" t="str">
        <f aca="false">IF(01_INPUTS!L253="3","EE.UU.",IF(01_INPUTS!L254="3","China",IF(01_INPUTS!L255="3","Europa","(sin definir)")))</f>
        <v>(sin definir)</v>
      </c>
      <c r="M57" s="43" t="str">
        <f aca="false">IF(01_INPUTS!M253="3","EE.UU.",IF(01_INPUTS!M254="3","China",IF(01_INPUTS!M255="3","Europa","(sin definir)")))</f>
        <v>(sin definir)</v>
      </c>
      <c r="N57" s="43" t="str">
        <f aca="false">IF(01_INPUTS!N253="3","EE.UU.",IF(01_INPUTS!N254="3","China",IF(01_INPUTS!N255="3","Europa","(sin definir)")))</f>
        <v>(sin definir)</v>
      </c>
      <c r="O57" s="43" t="str">
        <f aca="false">IF(01_INPUTS!O253="3","EE.UU.",IF(01_INPUTS!O254="3","China",IF(01_INPUTS!O255="3","Europa","(sin definir)")))</f>
        <v>(sin definir)</v>
      </c>
      <c r="P57" s="43" t="str">
        <f aca="false">IF(01_INPUTS!P253="3","EE.UU.",IF(01_INPUTS!P254="3","China",IF(01_INPUTS!P255="3","Europa","(sin definir)")))</f>
        <v>(sin definir)</v>
      </c>
      <c r="Q57" s="43" t="str">
        <f aca="false">IF(01_INPUTS!Q253="3","EE.UU.",IF(01_INPUTS!Q254="3","China",IF(01_INPUTS!Q255="3","Europa","(sin definir)")))</f>
        <v>(sin definir)</v>
      </c>
      <c r="R57" s="43" t="str">
        <f aca="false">IF(01_INPUTS!R253="3","EE.UU.",IF(01_INPUTS!R254="3","China",IF(01_INPUTS!R255="3","Europa","(sin definir)")))</f>
        <v>(sin definir)</v>
      </c>
      <c r="S57" s="43" t="str">
        <f aca="false">IF(01_INPUTS!S253="3","EE.UU.",IF(01_INPUTS!S254="3","China",IF(01_INPUTS!S255="3","Europa","(sin definir)")))</f>
        <v>(sin definir)</v>
      </c>
    </row>
    <row r="58" customFormat="false" ht="15" hidden="false" customHeight="false" outlineLevel="0" collapsed="false">
      <c r="A58" s="73" t="s">
        <v>983</v>
      </c>
      <c r="B58" s="74" t="s">
        <v>984</v>
      </c>
      <c r="C58" s="66" t="s">
        <v>136</v>
      </c>
      <c r="D58" s="43" t="s">
        <v>37</v>
      </c>
      <c r="E58" s="75" t="s">
        <v>43</v>
      </c>
      <c r="F58" s="76"/>
      <c r="G58" s="43" t="str">
        <f aca="false">IF(01_INPUTS!G256="1","EE.UU.",IF(01_INPUTS!G257="1","China",IF(01_INPUTS!G258="1","Europa","(sin definir)")))</f>
        <v>(sin definir)</v>
      </c>
      <c r="H58" s="43" t="str">
        <f aca="false">IF(01_INPUTS!H256="1","EE.UU.",IF(01_INPUTS!H257="1","China",IF(01_INPUTS!H258="1","Europa","(sin definir)")))</f>
        <v>(sin definir)</v>
      </c>
      <c r="I58" s="43" t="str">
        <f aca="false">IF(01_INPUTS!I256="1","EE.UU.",IF(01_INPUTS!I257="1","China",IF(01_INPUTS!I258="1","Europa","(sin definir)")))</f>
        <v>(sin definir)</v>
      </c>
      <c r="J58" s="43" t="str">
        <f aca="false">IF(01_INPUTS!J256="1","EE.UU.",IF(01_INPUTS!J257="1","China",IF(01_INPUTS!J258="1","Europa","(sin definir)")))</f>
        <v>(sin definir)</v>
      </c>
      <c r="K58" s="43" t="str">
        <f aca="false">IF(01_INPUTS!K256="1","EE.UU.",IF(01_INPUTS!K257="1","China",IF(01_INPUTS!K258="1","Europa","(sin definir)")))</f>
        <v>(sin definir)</v>
      </c>
      <c r="L58" s="43" t="str">
        <f aca="false">IF(01_INPUTS!L256="1","EE.UU.",IF(01_INPUTS!L257="1","China",IF(01_INPUTS!L258="1","Europa","(sin definir)")))</f>
        <v>(sin definir)</v>
      </c>
      <c r="M58" s="43" t="str">
        <f aca="false">IF(01_INPUTS!M256="1","EE.UU.",IF(01_INPUTS!M257="1","China",IF(01_INPUTS!M258="1","Europa","(sin definir)")))</f>
        <v>(sin definir)</v>
      </c>
      <c r="N58" s="43" t="str">
        <f aca="false">IF(01_INPUTS!N256="1","EE.UU.",IF(01_INPUTS!N257="1","China",IF(01_INPUTS!N258="1","Europa","(sin definir)")))</f>
        <v>(sin definir)</v>
      </c>
      <c r="O58" s="43" t="str">
        <f aca="false">IF(01_INPUTS!O256="1","EE.UU.",IF(01_INPUTS!O257="1","China",IF(01_INPUTS!O258="1","Europa","(sin definir)")))</f>
        <v>(sin definir)</v>
      </c>
      <c r="P58" s="43" t="str">
        <f aca="false">IF(01_INPUTS!P256="1","EE.UU.",IF(01_INPUTS!P257="1","China",IF(01_INPUTS!P258="1","Europa","(sin definir)")))</f>
        <v>(sin definir)</v>
      </c>
      <c r="Q58" s="43" t="str">
        <f aca="false">IF(01_INPUTS!Q256="1","EE.UU.",IF(01_INPUTS!Q257="1","China",IF(01_INPUTS!Q258="1","Europa","(sin definir)")))</f>
        <v>(sin definir)</v>
      </c>
      <c r="R58" s="43" t="str">
        <f aca="false">IF(01_INPUTS!R256="1","EE.UU.",IF(01_INPUTS!R257="1","China",IF(01_INPUTS!R258="1","Europa","(sin definir)")))</f>
        <v>(sin definir)</v>
      </c>
      <c r="S58" s="43" t="str">
        <f aca="false">IF(01_INPUTS!S256="1","EE.UU.",IF(01_INPUTS!S257="1","China",IF(01_INPUTS!S258="1","Europa","(sin definir)")))</f>
        <v>(sin definir)</v>
      </c>
    </row>
    <row r="59" customFormat="false" ht="15" hidden="false" customHeight="false" outlineLevel="0" collapsed="false">
      <c r="A59" s="73" t="s">
        <v>983</v>
      </c>
      <c r="B59" s="74" t="s">
        <v>985</v>
      </c>
      <c r="C59" s="66" t="s">
        <v>136</v>
      </c>
      <c r="D59" s="43" t="s">
        <v>37</v>
      </c>
      <c r="E59" s="75" t="s">
        <v>43</v>
      </c>
      <c r="F59" s="76"/>
      <c r="G59" s="43" t="str">
        <f aca="false">IF(01_INPUTS!G256="2","EE.UU.",IF(01_INPUTS!G257="2","China",IF(01_INPUTS!G258="2","Europa","(sin definir)")))</f>
        <v>(sin definir)</v>
      </c>
      <c r="H59" s="43" t="str">
        <f aca="false">IF(01_INPUTS!H256="2","EE.UU.",IF(01_INPUTS!H257="2","China",IF(01_INPUTS!H258="2","Europa","(sin definir)")))</f>
        <v>(sin definir)</v>
      </c>
      <c r="I59" s="43" t="str">
        <f aca="false">IF(01_INPUTS!I256="2","EE.UU.",IF(01_INPUTS!I257="2","China",IF(01_INPUTS!I258="2","Europa","(sin definir)")))</f>
        <v>(sin definir)</v>
      </c>
      <c r="J59" s="43" t="str">
        <f aca="false">IF(01_INPUTS!J256="2","EE.UU.",IF(01_INPUTS!J257="2","China",IF(01_INPUTS!J258="2","Europa","(sin definir)")))</f>
        <v>(sin definir)</v>
      </c>
      <c r="K59" s="43" t="str">
        <f aca="false">IF(01_INPUTS!K256="2","EE.UU.",IF(01_INPUTS!K257="2","China",IF(01_INPUTS!K258="2","Europa","(sin definir)")))</f>
        <v>(sin definir)</v>
      </c>
      <c r="L59" s="43" t="str">
        <f aca="false">IF(01_INPUTS!L256="2","EE.UU.",IF(01_INPUTS!L257="2","China",IF(01_INPUTS!L258="2","Europa","(sin definir)")))</f>
        <v>(sin definir)</v>
      </c>
      <c r="M59" s="43" t="str">
        <f aca="false">IF(01_INPUTS!M256="2","EE.UU.",IF(01_INPUTS!M257="2","China",IF(01_INPUTS!M258="2","Europa","(sin definir)")))</f>
        <v>(sin definir)</v>
      </c>
      <c r="N59" s="43" t="str">
        <f aca="false">IF(01_INPUTS!N256="2","EE.UU.",IF(01_INPUTS!N257="2","China",IF(01_INPUTS!N258="2","Europa","(sin definir)")))</f>
        <v>(sin definir)</v>
      </c>
      <c r="O59" s="43" t="str">
        <f aca="false">IF(01_INPUTS!O256="2","EE.UU.",IF(01_INPUTS!O257="2","China",IF(01_INPUTS!O258="2","Europa","(sin definir)")))</f>
        <v>(sin definir)</v>
      </c>
      <c r="P59" s="43" t="str">
        <f aca="false">IF(01_INPUTS!P256="2","EE.UU.",IF(01_INPUTS!P257="2","China",IF(01_INPUTS!P258="2","Europa","(sin definir)")))</f>
        <v>(sin definir)</v>
      </c>
      <c r="Q59" s="43" t="str">
        <f aca="false">IF(01_INPUTS!Q256="2","EE.UU.",IF(01_INPUTS!Q257="2","China",IF(01_INPUTS!Q258="2","Europa","(sin definir)")))</f>
        <v>(sin definir)</v>
      </c>
      <c r="R59" s="43" t="str">
        <f aca="false">IF(01_INPUTS!R256="2","EE.UU.",IF(01_INPUTS!R257="2","China",IF(01_INPUTS!R258="2","Europa","(sin definir)")))</f>
        <v>(sin definir)</v>
      </c>
      <c r="S59" s="43" t="str">
        <f aca="false">IF(01_INPUTS!S256="2","EE.UU.",IF(01_INPUTS!S257="2","China",IF(01_INPUTS!S258="2","Europa","(sin definir)")))</f>
        <v>(sin definir)</v>
      </c>
    </row>
    <row r="60" customFormat="false" ht="15" hidden="false" customHeight="false" outlineLevel="0" collapsed="false">
      <c r="A60" s="73" t="s">
        <v>983</v>
      </c>
      <c r="B60" s="74" t="s">
        <v>986</v>
      </c>
      <c r="C60" s="66" t="s">
        <v>136</v>
      </c>
      <c r="D60" s="43" t="s">
        <v>37</v>
      </c>
      <c r="E60" s="75" t="s">
        <v>43</v>
      </c>
      <c r="F60" s="76"/>
      <c r="G60" s="43" t="str">
        <f aca="false">IF(01_INPUTS!G256="3","EE.UU.",IF(01_INPUTS!G257="3","China",IF(01_INPUTS!G258="3","Europa","(sin definir)")))</f>
        <v>(sin definir)</v>
      </c>
      <c r="H60" s="43" t="str">
        <f aca="false">IF(01_INPUTS!H256="3","EE.UU.",IF(01_INPUTS!H257="3","China",IF(01_INPUTS!H258="3","Europa","(sin definir)")))</f>
        <v>(sin definir)</v>
      </c>
      <c r="I60" s="43" t="str">
        <f aca="false">IF(01_INPUTS!I256="3","EE.UU.",IF(01_INPUTS!I257="3","China",IF(01_INPUTS!I258="3","Europa","(sin definir)")))</f>
        <v>(sin definir)</v>
      </c>
      <c r="J60" s="43" t="str">
        <f aca="false">IF(01_INPUTS!J256="3","EE.UU.",IF(01_INPUTS!J257="3","China",IF(01_INPUTS!J258="3","Europa","(sin definir)")))</f>
        <v>(sin definir)</v>
      </c>
      <c r="K60" s="43" t="str">
        <f aca="false">IF(01_INPUTS!K256="3","EE.UU.",IF(01_INPUTS!K257="3","China",IF(01_INPUTS!K258="3","Europa","(sin definir)")))</f>
        <v>(sin definir)</v>
      </c>
      <c r="L60" s="43" t="str">
        <f aca="false">IF(01_INPUTS!L256="3","EE.UU.",IF(01_INPUTS!L257="3","China",IF(01_INPUTS!L258="3","Europa","(sin definir)")))</f>
        <v>(sin definir)</v>
      </c>
      <c r="M60" s="43" t="str">
        <f aca="false">IF(01_INPUTS!M256="3","EE.UU.",IF(01_INPUTS!M257="3","China",IF(01_INPUTS!M258="3","Europa","(sin definir)")))</f>
        <v>(sin definir)</v>
      </c>
      <c r="N60" s="43" t="str">
        <f aca="false">IF(01_INPUTS!N256="3","EE.UU.",IF(01_INPUTS!N257="3","China",IF(01_INPUTS!N258="3","Europa","(sin definir)")))</f>
        <v>(sin definir)</v>
      </c>
      <c r="O60" s="43" t="str">
        <f aca="false">IF(01_INPUTS!O256="3","EE.UU.",IF(01_INPUTS!O257="3","China",IF(01_INPUTS!O258="3","Europa","(sin definir)")))</f>
        <v>(sin definir)</v>
      </c>
      <c r="P60" s="43" t="str">
        <f aca="false">IF(01_INPUTS!P256="3","EE.UU.",IF(01_INPUTS!P257="3","China",IF(01_INPUTS!P258="3","Europa","(sin definir)")))</f>
        <v>(sin definir)</v>
      </c>
      <c r="Q60" s="43" t="str">
        <f aca="false">IF(01_INPUTS!Q256="3","EE.UU.",IF(01_INPUTS!Q257="3","China",IF(01_INPUTS!Q258="3","Europa","(sin definir)")))</f>
        <v>(sin definir)</v>
      </c>
      <c r="R60" s="43" t="str">
        <f aca="false">IF(01_INPUTS!R256="3","EE.UU.",IF(01_INPUTS!R257="3","China",IF(01_INPUTS!R258="3","Europa","(sin definir)")))</f>
        <v>(sin definir)</v>
      </c>
      <c r="S60" s="43" t="str">
        <f aca="false">IF(01_INPUTS!S256="3","EE.UU.",IF(01_INPUTS!S257="3","China",IF(01_INPUTS!S258="3","Europa","(sin definir)")))</f>
        <v>(sin definir)</v>
      </c>
    </row>
    <row r="61" customFormat="false" ht="15" hidden="false" customHeight="false" outlineLevel="0" collapsed="false">
      <c r="A61" s="73" t="s">
        <v>983</v>
      </c>
      <c r="B61" s="74" t="s">
        <v>987</v>
      </c>
      <c r="C61" s="66" t="s">
        <v>128</v>
      </c>
      <c r="D61" s="43" t="s">
        <v>332</v>
      </c>
      <c r="E61" s="75" t="s">
        <v>43</v>
      </c>
      <c r="F61" s="76"/>
      <c r="G61" s="36" t="n">
        <f aca="false">MAX(G13-(IF(G37="EE.UU.",G72,0)+IF(G49="EE.UU.",G75,0)),0)</f>
        <v>725000</v>
      </c>
      <c r="H61" s="36" t="n">
        <f aca="false">MAX(H13-(IF(H37="EE.UU.",H72,0)+IF(H49="EE.UU.",H75,0)),0)</f>
        <v>667398</v>
      </c>
      <c r="I61" s="36" t="n">
        <f aca="false">MAX(I13-(IF(I37="EE.UU.",I72,0)+IF(I49="EE.UU.",I75,0)),0)</f>
        <v>747011.127700958</v>
      </c>
      <c r="J61" s="36" t="n">
        <f aca="false">MAX(J13-(IF(J37="EE.UU.",J72,0)+IF(J49="EE.UU.",J75,0)),0)</f>
        <v>0</v>
      </c>
      <c r="K61" s="36" t="n">
        <f aca="false">MAX(K13-(IF(K37="EE.UU.",K72,0)+IF(K49="EE.UU.",K75,0)),0)</f>
        <v>0</v>
      </c>
      <c r="L61" s="36" t="n">
        <f aca="false">MAX(L13-(IF(L37="EE.UU.",L72,0)+IF(L49="EE.UU.",L75,0)),0)</f>
        <v>0</v>
      </c>
      <c r="M61" s="36" t="n">
        <f aca="false">MAX(M13-(IF(M37="EE.UU.",M72,0)+IF(M49="EE.UU.",M75,0)),0)</f>
        <v>0</v>
      </c>
      <c r="N61" s="36" t="n">
        <f aca="false">MAX(N13-(IF(N37="EE.UU.",N72,0)+IF(N49="EE.UU.",N75,0)),0)</f>
        <v>0</v>
      </c>
      <c r="O61" s="36" t="n">
        <f aca="false">MAX(O13-(IF(O37="EE.UU.",O72,0)+IF(O49="EE.UU.",O75,0)),0)</f>
        <v>0</v>
      </c>
      <c r="P61" s="36" t="n">
        <f aca="false">MAX(P13-(IF(P37="EE.UU.",P72,0)+IF(P49="EE.UU.",P75,0)),0)</f>
        <v>0</v>
      </c>
      <c r="Q61" s="36" t="n">
        <f aca="false">MAX(Q13-(IF(Q37="EE.UU.",Q72,0)+IF(Q49="EE.UU.",Q75,0)),0)</f>
        <v>0</v>
      </c>
      <c r="R61" s="36" t="n">
        <f aca="false">MAX(R13-(IF(R37="EE.UU.",R72,0)+IF(R49="EE.UU.",R75,0)),0)</f>
        <v>0</v>
      </c>
      <c r="S61" s="36" t="n">
        <f aca="false">MAX(S13-(IF(S37="EE.UU.",S72,0)+IF(S49="EE.UU.",S75,0)),0)</f>
        <v>0</v>
      </c>
    </row>
    <row r="62" customFormat="false" ht="15" hidden="false" customHeight="false" outlineLevel="0" collapsed="false">
      <c r="A62" s="73" t="s">
        <v>983</v>
      </c>
      <c r="B62" s="74" t="s">
        <v>988</v>
      </c>
      <c r="C62" s="66" t="s">
        <v>128</v>
      </c>
      <c r="D62" s="43" t="s">
        <v>332</v>
      </c>
      <c r="E62" s="75" t="s">
        <v>43</v>
      </c>
      <c r="F62" s="76"/>
      <c r="G62" s="36" t="n">
        <f aca="false">MAX(G61-(IF(G38="EE.UU.",G78,0)+IF(G50="EE.UU.",G81,0)),0)</f>
        <v>725000</v>
      </c>
      <c r="H62" s="36" t="n">
        <f aca="false">MAX(H61-(IF(H38="EE.UU.",H78,0)+IF(H50="EE.UU.",H81,0)),0)</f>
        <v>667398</v>
      </c>
      <c r="I62" s="36" t="n">
        <f aca="false">MAX(I61-(IF(I38="EE.UU.",I78,0)+IF(I50="EE.UU.",I81,0)),0)</f>
        <v>0</v>
      </c>
      <c r="J62" s="36" t="n">
        <f aca="false">MAX(J61-(IF(J38="EE.UU.",J78,0)+IF(J50="EE.UU.",J81,0)),0)</f>
        <v>0</v>
      </c>
      <c r="K62" s="36" t="n">
        <f aca="false">MAX(K61-(IF(K38="EE.UU.",K78,0)+IF(K50="EE.UU.",K81,0)),0)</f>
        <v>0</v>
      </c>
      <c r="L62" s="36" t="n">
        <f aca="false">MAX(L61-(IF(L38="EE.UU.",L78,0)+IF(L50="EE.UU.",L81,0)),0)</f>
        <v>0</v>
      </c>
      <c r="M62" s="36" t="n">
        <f aca="false">MAX(M61-(IF(M38="EE.UU.",M78,0)+IF(M50="EE.UU.",M81,0)),0)</f>
        <v>0</v>
      </c>
      <c r="N62" s="36" t="n">
        <f aca="false">MAX(N61-(IF(N38="EE.UU.",N78,0)+IF(N50="EE.UU.",N81,0)),0)</f>
        <v>0</v>
      </c>
      <c r="O62" s="36" t="n">
        <f aca="false">MAX(O61-(IF(O38="EE.UU.",O78,0)+IF(O50="EE.UU.",O81,0)),0)</f>
        <v>0</v>
      </c>
      <c r="P62" s="36" t="n">
        <f aca="false">MAX(P61-(IF(P38="EE.UU.",P78,0)+IF(P50="EE.UU.",P81,0)),0)</f>
        <v>0</v>
      </c>
      <c r="Q62" s="36" t="n">
        <f aca="false">MAX(Q61-(IF(Q38="EE.UU.",Q78,0)+IF(Q50="EE.UU.",Q81,0)),0)</f>
        <v>0</v>
      </c>
      <c r="R62" s="36" t="n">
        <f aca="false">MAX(R61-(IF(R38="EE.UU.",R78,0)+IF(R50="EE.UU.",R81,0)),0)</f>
        <v>0</v>
      </c>
      <c r="S62" s="36" t="n">
        <f aca="false">MAX(S61-(IF(S38="EE.UU.",S78,0)+IF(S50="EE.UU.",S81,0)),0)</f>
        <v>0</v>
      </c>
    </row>
    <row r="63" customFormat="false" ht="15" hidden="false" customHeight="false" outlineLevel="0" collapsed="false">
      <c r="A63" s="73" t="s">
        <v>983</v>
      </c>
      <c r="B63" s="74" t="s">
        <v>989</v>
      </c>
      <c r="C63" s="66" t="s">
        <v>128</v>
      </c>
      <c r="D63" s="43" t="s">
        <v>332</v>
      </c>
      <c r="E63" s="75" t="s">
        <v>43</v>
      </c>
      <c r="F63" s="76"/>
      <c r="G63" s="36" t="n">
        <f aca="false">MAX(G62-(IF(G39="EE.UU.",G84,0)+IF(G51="EE.UU.",G87,0)),0)</f>
        <v>725000</v>
      </c>
      <c r="H63" s="36" t="n">
        <f aca="false">MAX(H62-(IF(H39="EE.UU.",H84,0)+IF(H51="EE.UU.",H87,0)),0)</f>
        <v>667398</v>
      </c>
      <c r="I63" s="36" t="n">
        <f aca="false">MAX(I62-(IF(I39="EE.UU.",I84,0)+IF(I51="EE.UU.",I87,0)),0)</f>
        <v>0</v>
      </c>
      <c r="J63" s="36" t="n">
        <f aca="false">MAX(J62-(IF(J39="EE.UU.",J84,0)+IF(J51="EE.UU.",J87,0)),0)</f>
        <v>0</v>
      </c>
      <c r="K63" s="36" t="n">
        <f aca="false">MAX(K62-(IF(K39="EE.UU.",K84,0)+IF(K51="EE.UU.",K87,0)),0)</f>
        <v>0</v>
      </c>
      <c r="L63" s="36" t="n">
        <f aca="false">MAX(L62-(IF(L39="EE.UU.",L84,0)+IF(L51="EE.UU.",L87,0)),0)</f>
        <v>0</v>
      </c>
      <c r="M63" s="36" t="n">
        <f aca="false">MAX(M62-(IF(M39="EE.UU.",M84,0)+IF(M51="EE.UU.",M87,0)),0)</f>
        <v>0</v>
      </c>
      <c r="N63" s="36" t="n">
        <f aca="false">MAX(N62-(IF(N39="EE.UU.",N84,0)+IF(N51="EE.UU.",N87,0)),0)</f>
        <v>0</v>
      </c>
      <c r="O63" s="36" t="n">
        <f aca="false">MAX(O62-(IF(O39="EE.UU.",O84,0)+IF(O51="EE.UU.",O87,0)),0)</f>
        <v>0</v>
      </c>
      <c r="P63" s="36" t="n">
        <f aca="false">MAX(P62-(IF(P39="EE.UU.",P84,0)+IF(P51="EE.UU.",P87,0)),0)</f>
        <v>0</v>
      </c>
      <c r="Q63" s="36" t="n">
        <f aca="false">MAX(Q62-(IF(Q39="EE.UU.",Q84,0)+IF(Q51="EE.UU.",Q87,0)),0)</f>
        <v>0</v>
      </c>
      <c r="R63" s="36" t="n">
        <f aca="false">MAX(R62-(IF(R39="EE.UU.",R84,0)+IF(R51="EE.UU.",R87,0)),0)</f>
        <v>0</v>
      </c>
      <c r="S63" s="36" t="n">
        <f aca="false">MAX(S62-(IF(S39="EE.UU.",S84,0)+IF(S51="EE.UU.",S87,0)),0)</f>
        <v>0</v>
      </c>
    </row>
    <row r="64" customFormat="false" ht="15" hidden="false" customHeight="false" outlineLevel="0" collapsed="false">
      <c r="A64" s="73" t="s">
        <v>983</v>
      </c>
      <c r="B64" s="74" t="s">
        <v>987</v>
      </c>
      <c r="C64" s="66" t="s">
        <v>133</v>
      </c>
      <c r="D64" s="43" t="s">
        <v>332</v>
      </c>
      <c r="E64" s="75" t="s">
        <v>43</v>
      </c>
      <c r="F64" s="76"/>
      <c r="G64" s="36" t="n">
        <f aca="false">MAX(G17-(IF(G37="China",G72,0)+IF(G49="China",G75,0)),0)</f>
        <v>515000</v>
      </c>
      <c r="H64" s="36" t="n">
        <f aca="false">MAX(H17-(IF(H37="China",H72,0)+IF(H49="China",H75,0)),0)</f>
        <v>515109</v>
      </c>
      <c r="I64" s="36" t="n">
        <f aca="false">MAX(I17-(IF(I37="China",I72,0)+IF(I49="China",I75,0)),0)</f>
        <v>669333.512286469</v>
      </c>
      <c r="J64" s="36" t="n">
        <f aca="false">MAX(J17-(IF(J37="China",J72,0)+IF(J49="China",J75,0)),0)</f>
        <v>0</v>
      </c>
      <c r="K64" s="36" t="n">
        <f aca="false">MAX(K17-(IF(K37="China",K72,0)+IF(K49="China",K75,0)),0)</f>
        <v>0</v>
      </c>
      <c r="L64" s="36" t="n">
        <f aca="false">MAX(L17-(IF(L37="China",L72,0)+IF(L49="China",L75,0)),0)</f>
        <v>0</v>
      </c>
      <c r="M64" s="36" t="n">
        <f aca="false">MAX(M17-(IF(M37="China",M72,0)+IF(M49="China",M75,0)),0)</f>
        <v>0</v>
      </c>
      <c r="N64" s="36" t="n">
        <f aca="false">MAX(N17-(IF(N37="China",N72,0)+IF(N49="China",N75,0)),0)</f>
        <v>0</v>
      </c>
      <c r="O64" s="36" t="n">
        <f aca="false">MAX(O17-(IF(O37="China",O72,0)+IF(O49="China",O75,0)),0)</f>
        <v>0</v>
      </c>
      <c r="P64" s="36" t="n">
        <f aca="false">MAX(P17-(IF(P37="China",P72,0)+IF(P49="China",P75,0)),0)</f>
        <v>0</v>
      </c>
      <c r="Q64" s="36" t="n">
        <f aca="false">MAX(Q17-(IF(Q37="China",Q72,0)+IF(Q49="China",Q75,0)),0)</f>
        <v>0</v>
      </c>
      <c r="R64" s="36" t="n">
        <f aca="false">MAX(R17-(IF(R37="China",R72,0)+IF(R49="China",R75,0)),0)</f>
        <v>0</v>
      </c>
      <c r="S64" s="36" t="n">
        <f aca="false">MAX(S17-(IF(S37="China",S72,0)+IF(S49="China",S75,0)),0)</f>
        <v>0</v>
      </c>
    </row>
    <row r="65" customFormat="false" ht="15" hidden="false" customHeight="false" outlineLevel="0" collapsed="false">
      <c r="A65" s="73" t="s">
        <v>983</v>
      </c>
      <c r="B65" s="74" t="s">
        <v>988</v>
      </c>
      <c r="C65" s="66" t="s">
        <v>133</v>
      </c>
      <c r="D65" s="43" t="s">
        <v>332</v>
      </c>
      <c r="E65" s="75" t="s">
        <v>43</v>
      </c>
      <c r="F65" s="76"/>
      <c r="G65" s="36" t="n">
        <f aca="false">MAX(G64-(IF(G38="China",G78,0)+IF(G50="China",G81,0)),0)</f>
        <v>515000</v>
      </c>
      <c r="H65" s="36" t="n">
        <f aca="false">MAX(H64-(IF(H38="China",H78,0)+IF(H50="China",H81,0)),0)</f>
        <v>515109</v>
      </c>
      <c r="I65" s="36" t="n">
        <f aca="false">MAX(I64-(IF(I38="China",I78,0)+IF(I50="China",I81,0)),0)</f>
        <v>33345.0014954656</v>
      </c>
      <c r="J65" s="36" t="n">
        <f aca="false">MAX(J64-(IF(J38="China",J78,0)+IF(J50="China",J81,0)),0)</f>
        <v>0</v>
      </c>
      <c r="K65" s="36" t="n">
        <f aca="false">MAX(K64-(IF(K38="China",K78,0)+IF(K50="China",K81,0)),0)</f>
        <v>0</v>
      </c>
      <c r="L65" s="36" t="n">
        <f aca="false">MAX(L64-(IF(L38="China",L78,0)+IF(L50="China",L81,0)),0)</f>
        <v>0</v>
      </c>
      <c r="M65" s="36" t="n">
        <f aca="false">MAX(M64-(IF(M38="China",M78,0)+IF(M50="China",M81,0)),0)</f>
        <v>0</v>
      </c>
      <c r="N65" s="36" t="n">
        <f aca="false">MAX(N64-(IF(N38="China",N78,0)+IF(N50="China",N81,0)),0)</f>
        <v>0</v>
      </c>
      <c r="O65" s="36" t="n">
        <f aca="false">MAX(O64-(IF(O38="China",O78,0)+IF(O50="China",O81,0)),0)</f>
        <v>0</v>
      </c>
      <c r="P65" s="36" t="n">
        <f aca="false">MAX(P64-(IF(P38="China",P78,0)+IF(P50="China",P81,0)),0)</f>
        <v>0</v>
      </c>
      <c r="Q65" s="36" t="n">
        <f aca="false">MAX(Q64-(IF(Q38="China",Q78,0)+IF(Q50="China",Q81,0)),0)</f>
        <v>0</v>
      </c>
      <c r="R65" s="36" t="n">
        <f aca="false">MAX(R64-(IF(R38="China",R78,0)+IF(R50="China",R81,0)),0)</f>
        <v>0</v>
      </c>
      <c r="S65" s="36" t="n">
        <f aca="false">MAX(S64-(IF(S38="China",S78,0)+IF(S50="China",S81,0)),0)</f>
        <v>0</v>
      </c>
    </row>
    <row r="66" customFormat="false" ht="15" hidden="false" customHeight="false" outlineLevel="0" collapsed="false">
      <c r="A66" s="73" t="s">
        <v>983</v>
      </c>
      <c r="B66" s="74" t="s">
        <v>989</v>
      </c>
      <c r="C66" s="66" t="s">
        <v>133</v>
      </c>
      <c r="D66" s="43" t="s">
        <v>332</v>
      </c>
      <c r="E66" s="75" t="s">
        <v>43</v>
      </c>
      <c r="F66" s="76"/>
      <c r="G66" s="36" t="n">
        <f aca="false">MAX(G65-(IF(G39="China",G84,0)+IF(G51="China",G87,0)),0)</f>
        <v>515000</v>
      </c>
      <c r="H66" s="36" t="n">
        <f aca="false">MAX(H65-(IF(H39="China",H84,0)+IF(H51="China",H87,0)),0)</f>
        <v>515109</v>
      </c>
      <c r="I66" s="36" t="n">
        <f aca="false">MAX(I65-(IF(I39="China",I84,0)+IF(I51="China",I87,0)),0)</f>
        <v>0</v>
      </c>
      <c r="J66" s="36" t="n">
        <f aca="false">MAX(J65-(IF(J39="China",J84,0)+IF(J51="China",J87,0)),0)</f>
        <v>0</v>
      </c>
      <c r="K66" s="36" t="n">
        <f aca="false">MAX(K65-(IF(K39="China",K84,0)+IF(K51="China",K87,0)),0)</f>
        <v>0</v>
      </c>
      <c r="L66" s="36" t="n">
        <f aca="false">MAX(L65-(IF(L39="China",L84,0)+IF(L51="China",L87,0)),0)</f>
        <v>0</v>
      </c>
      <c r="M66" s="36" t="n">
        <f aca="false">MAX(M65-(IF(M39="China",M84,0)+IF(M51="China",M87,0)),0)</f>
        <v>0</v>
      </c>
      <c r="N66" s="36" t="n">
        <f aca="false">MAX(N65-(IF(N39="China",N84,0)+IF(N51="China",N87,0)),0)</f>
        <v>0</v>
      </c>
      <c r="O66" s="36" t="n">
        <f aca="false">MAX(O65-(IF(O39="China",O84,0)+IF(O51="China",O87,0)),0)</f>
        <v>0</v>
      </c>
      <c r="P66" s="36" t="n">
        <f aca="false">MAX(P65-(IF(P39="China",P84,0)+IF(P51="China",P87,0)),0)</f>
        <v>0</v>
      </c>
      <c r="Q66" s="36" t="n">
        <f aca="false">MAX(Q65-(IF(Q39="China",Q84,0)+IF(Q51="China",Q87,0)),0)</f>
        <v>0</v>
      </c>
      <c r="R66" s="36" t="n">
        <f aca="false">MAX(R65-(IF(R39="China",R84,0)+IF(R51="China",R87,0)),0)</f>
        <v>0</v>
      </c>
      <c r="S66" s="36" t="n">
        <f aca="false">MAX(S65-(IF(S39="China",S84,0)+IF(S51="China",S87,0)),0)</f>
        <v>0</v>
      </c>
    </row>
    <row r="67" customFormat="false" ht="15" hidden="false" customHeight="false" outlineLevel="0" collapsed="false">
      <c r="A67" s="73" t="s">
        <v>983</v>
      </c>
      <c r="B67" s="74" t="s">
        <v>987</v>
      </c>
      <c r="C67" s="66" t="s">
        <v>155</v>
      </c>
      <c r="D67" s="43" t="s">
        <v>332</v>
      </c>
      <c r="E67" s="75" t="s">
        <v>43</v>
      </c>
      <c r="F67" s="76"/>
      <c r="G67" s="36" t="n">
        <f aca="false">MAX(G21-(IF(G37="Europa",G72,0)+IF(G49="Europa",G75,0)),0)</f>
        <v>945000</v>
      </c>
      <c r="H67" s="36" t="n">
        <f aca="false">MAX(H21-(IF(H37="Europa",H72,0)+IF(H49="Europa",H75,0)),0)</f>
        <v>1050557</v>
      </c>
      <c r="I67" s="36" t="n">
        <f aca="false">MAX(I21-(IF(I37="Europa",I72,0)+IF(I49="Europa",I75,0)),0)</f>
        <v>0</v>
      </c>
      <c r="J67" s="36" t="n">
        <f aca="false">MAX(J21-(IF(J37="Europa",J72,0)+IF(J49="Europa",J75,0)),0)</f>
        <v>0</v>
      </c>
      <c r="K67" s="36" t="n">
        <f aca="false">MAX(K21-(IF(K37="Europa",K72,0)+IF(K49="Europa",K75,0)),0)</f>
        <v>0</v>
      </c>
      <c r="L67" s="36" t="n">
        <f aca="false">MAX(L21-(IF(L37="Europa",L72,0)+IF(L49="Europa",L75,0)),0)</f>
        <v>0</v>
      </c>
      <c r="M67" s="36" t="n">
        <f aca="false">MAX(M21-(IF(M37="Europa",M72,0)+IF(M49="Europa",M75,0)),0)</f>
        <v>0</v>
      </c>
      <c r="N67" s="36" t="n">
        <f aca="false">MAX(N21-(IF(N37="Europa",N72,0)+IF(N49="Europa",N75,0)),0)</f>
        <v>0</v>
      </c>
      <c r="O67" s="36" t="n">
        <f aca="false">MAX(O21-(IF(O37="Europa",O72,0)+IF(O49="Europa",O75,0)),0)</f>
        <v>0</v>
      </c>
      <c r="P67" s="36" t="n">
        <f aca="false">MAX(P21-(IF(P37="Europa",P72,0)+IF(P49="Europa",P75,0)),0)</f>
        <v>0</v>
      </c>
      <c r="Q67" s="36" t="n">
        <f aca="false">MAX(Q21-(IF(Q37="Europa",Q72,0)+IF(Q49="Europa",Q75,0)),0)</f>
        <v>0</v>
      </c>
      <c r="R67" s="36" t="n">
        <f aca="false">MAX(R21-(IF(R37="Europa",R72,0)+IF(R49="Europa",R75,0)),0)</f>
        <v>0</v>
      </c>
      <c r="S67" s="36" t="n">
        <f aca="false">MAX(S21-(IF(S37="Europa",S72,0)+IF(S49="Europa",S75,0)),0)</f>
        <v>0</v>
      </c>
    </row>
    <row r="68" customFormat="false" ht="15" hidden="false" customHeight="false" outlineLevel="0" collapsed="false">
      <c r="A68" s="73" t="s">
        <v>983</v>
      </c>
      <c r="B68" s="74" t="s">
        <v>988</v>
      </c>
      <c r="C68" s="66" t="s">
        <v>155</v>
      </c>
      <c r="D68" s="43" t="s">
        <v>332</v>
      </c>
      <c r="E68" s="75" t="s">
        <v>43</v>
      </c>
      <c r="F68" s="76"/>
      <c r="G68" s="36" t="n">
        <f aca="false">MAX(G67-(IF(G38="Europa",G78,0)+IF(G50="Europa",G81,0)),0)</f>
        <v>945000</v>
      </c>
      <c r="H68" s="36" t="n">
        <f aca="false">MAX(H67-(IF(H38="Europa",H78,0)+IF(H50="Europa",H81,0)),0)</f>
        <v>1050557</v>
      </c>
      <c r="I68" s="36" t="n">
        <f aca="false">MAX(I67-(IF(I38="Europa",I78,0)+IF(I50="Europa",I81,0)),0)</f>
        <v>0</v>
      </c>
      <c r="J68" s="36" t="n">
        <f aca="false">MAX(J67-(IF(J38="Europa",J78,0)+IF(J50="Europa",J81,0)),0)</f>
        <v>0</v>
      </c>
      <c r="K68" s="36" t="n">
        <f aca="false">MAX(K67-(IF(K38="Europa",K78,0)+IF(K50="Europa",K81,0)),0)</f>
        <v>0</v>
      </c>
      <c r="L68" s="36" t="n">
        <f aca="false">MAX(L67-(IF(L38="Europa",L78,0)+IF(L50="Europa",L81,0)),0)</f>
        <v>0</v>
      </c>
      <c r="M68" s="36" t="n">
        <f aca="false">MAX(M67-(IF(M38="Europa",M78,0)+IF(M50="Europa",M81,0)),0)</f>
        <v>0</v>
      </c>
      <c r="N68" s="36" t="n">
        <f aca="false">MAX(N67-(IF(N38="Europa",N78,0)+IF(N50="Europa",N81,0)),0)</f>
        <v>0</v>
      </c>
      <c r="O68" s="36" t="n">
        <f aca="false">MAX(O67-(IF(O38="Europa",O78,0)+IF(O50="Europa",O81,0)),0)</f>
        <v>0</v>
      </c>
      <c r="P68" s="36" t="n">
        <f aca="false">MAX(P67-(IF(P38="Europa",P78,0)+IF(P50="Europa",P81,0)),0)</f>
        <v>0</v>
      </c>
      <c r="Q68" s="36" t="n">
        <f aca="false">MAX(Q67-(IF(Q38="Europa",Q78,0)+IF(Q50="Europa",Q81,0)),0)</f>
        <v>0</v>
      </c>
      <c r="R68" s="36" t="n">
        <f aca="false">MAX(R67-(IF(R38="Europa",R78,0)+IF(R50="Europa",R81,0)),0)</f>
        <v>0</v>
      </c>
      <c r="S68" s="36" t="n">
        <f aca="false">MAX(S67-(IF(S38="Europa",S78,0)+IF(S50="Europa",S81,0)),0)</f>
        <v>0</v>
      </c>
    </row>
    <row r="69" customFormat="false" ht="15" hidden="false" customHeight="false" outlineLevel="0" collapsed="false">
      <c r="A69" s="73" t="s">
        <v>983</v>
      </c>
      <c r="B69" s="74" t="s">
        <v>989</v>
      </c>
      <c r="C69" s="66" t="s">
        <v>155</v>
      </c>
      <c r="D69" s="43" t="s">
        <v>332</v>
      </c>
      <c r="E69" s="75" t="s">
        <v>43</v>
      </c>
      <c r="F69" s="76"/>
      <c r="G69" s="36" t="n">
        <f aca="false">MAX(G68-(IF(G39="Europa",G84,0)+IF(G51="Europa",G87,0)),0)</f>
        <v>945000</v>
      </c>
      <c r="H69" s="36" t="n">
        <f aca="false">MAX(H68-(IF(H39="Europa",H84,0)+IF(H51="Europa",H87,0)),0)</f>
        <v>1050557</v>
      </c>
      <c r="I69" s="36" t="n">
        <f aca="false">MAX(I68-(IF(I39="Europa",I84,0)+IF(I51="Europa",I87,0)),0)</f>
        <v>0</v>
      </c>
      <c r="J69" s="36" t="n">
        <f aca="false">MAX(J68-(IF(J39="Europa",J84,0)+IF(J51="Europa",J87,0)),0)</f>
        <v>0</v>
      </c>
      <c r="K69" s="36" t="n">
        <f aca="false">MAX(K68-(IF(K39="Europa",K84,0)+IF(K51="Europa",K87,0)),0)</f>
        <v>0</v>
      </c>
      <c r="L69" s="36" t="n">
        <f aca="false">MAX(L68-(IF(L39="Europa",L84,0)+IF(L51="Europa",L87,0)),0)</f>
        <v>0</v>
      </c>
      <c r="M69" s="36" t="n">
        <f aca="false">MAX(M68-(IF(M39="Europa",M84,0)+IF(M51="Europa",M87,0)),0)</f>
        <v>0</v>
      </c>
      <c r="N69" s="36" t="n">
        <f aca="false">MAX(N68-(IF(N39="Europa",N84,0)+IF(N51="Europa",N87,0)),0)</f>
        <v>0</v>
      </c>
      <c r="O69" s="36" t="n">
        <f aca="false">MAX(O68-(IF(O39="Europa",O84,0)+IF(O51="Europa",O87,0)),0)</f>
        <v>0</v>
      </c>
      <c r="P69" s="36" t="n">
        <f aca="false">MAX(P68-(IF(P39="Europa",P84,0)+IF(P51="Europa",P87,0)),0)</f>
        <v>0</v>
      </c>
      <c r="Q69" s="36" t="n">
        <f aca="false">MAX(Q68-(IF(Q39="Europa",Q84,0)+IF(Q51="Europa",Q87,0)),0)</f>
        <v>0</v>
      </c>
      <c r="R69" s="36" t="n">
        <f aca="false">MAX(R68-(IF(R39="Europa",R84,0)+IF(R51="Europa",R87,0)),0)</f>
        <v>0</v>
      </c>
      <c r="S69" s="36" t="n">
        <f aca="false">MAX(S68-(IF(S39="Europa",S84,0)+IF(S51="Europa",S87,0)),0)</f>
        <v>0</v>
      </c>
    </row>
    <row r="70" customFormat="false" ht="15" hidden="false" customHeight="false" outlineLevel="0" collapsed="false">
      <c r="A70" s="73" t="s">
        <v>983</v>
      </c>
      <c r="B70" s="74" t="s">
        <v>990</v>
      </c>
      <c r="C70" s="66" t="s">
        <v>128</v>
      </c>
      <c r="D70" s="43" t="s">
        <v>332</v>
      </c>
      <c r="E70" s="75" t="s">
        <v>43</v>
      </c>
      <c r="F70" s="76"/>
      <c r="G70" s="36" t="n">
        <f aca="false">G27</f>
        <v>1230000</v>
      </c>
      <c r="H70" s="36" t="n">
        <f aca="false">H27</f>
        <v>816000</v>
      </c>
      <c r="I70" s="36" t="n">
        <f aca="false">I27</f>
        <v>1200000</v>
      </c>
      <c r="J70" s="36" t="n">
        <f aca="false">J27</f>
        <v>35013.7564330671</v>
      </c>
      <c r="K70" s="36" t="n">
        <f aca="false">K27</f>
        <v>35013.7564330671</v>
      </c>
      <c r="L70" s="36" t="n">
        <f aca="false">L27</f>
        <v>35013.7564330671</v>
      </c>
      <c r="M70" s="36" t="n">
        <f aca="false">M27</f>
        <v>35013.7564330671</v>
      </c>
      <c r="N70" s="36" t="n">
        <f aca="false">N27</f>
        <v>35013.7564330671</v>
      </c>
      <c r="O70" s="36" t="n">
        <f aca="false">O27</f>
        <v>35013.7564330671</v>
      </c>
      <c r="P70" s="36" t="n">
        <f aca="false">P27</f>
        <v>35013.7564330671</v>
      </c>
      <c r="Q70" s="36" t="n">
        <f aca="false">Q27</f>
        <v>35013.7564330671</v>
      </c>
      <c r="R70" s="36" t="n">
        <f aca="false">R27</f>
        <v>35013.7564330671</v>
      </c>
      <c r="S70" s="36" t="n">
        <f aca="false">S27</f>
        <v>35013.7564330671</v>
      </c>
    </row>
    <row r="71" customFormat="false" ht="15" hidden="false" customHeight="false" outlineLevel="0" collapsed="false">
      <c r="A71" s="73" t="s">
        <v>983</v>
      </c>
      <c r="B71" s="74" t="s">
        <v>991</v>
      </c>
      <c r="C71" s="66" t="s">
        <v>128</v>
      </c>
      <c r="D71" s="43" t="s">
        <v>332</v>
      </c>
      <c r="E71" s="75" t="s">
        <v>43</v>
      </c>
      <c r="F71" s="76"/>
      <c r="G71" s="36" t="n">
        <f aca="false">G70+IF(G37=G49,G73,0)</f>
        <v>2030000</v>
      </c>
      <c r="H71" s="36" t="n">
        <f aca="false">H70+IF(H37=H49,H73,0)</f>
        <v>1416000</v>
      </c>
      <c r="I71" s="36" t="n">
        <f aca="false">I70+IF(I37=I49,I73,0)</f>
        <v>2136000</v>
      </c>
      <c r="J71" s="36" t="n">
        <f aca="false">J70+IF(J37=J49,J73,0)</f>
        <v>35013.7564330671</v>
      </c>
      <c r="K71" s="36" t="n">
        <f aca="false">K70+IF(K37=K49,K73,0)</f>
        <v>35013.7564330671</v>
      </c>
      <c r="L71" s="36" t="n">
        <f aca="false">L70+IF(L37=L49,L73,0)</f>
        <v>35013.7564330671</v>
      </c>
      <c r="M71" s="36" t="n">
        <f aca="false">M70+IF(M37=M49,M73,0)</f>
        <v>35013.7564330671</v>
      </c>
      <c r="N71" s="36" t="n">
        <f aca="false">N70+IF(N37=N49,N73,0)</f>
        <v>35013.7564330671</v>
      </c>
      <c r="O71" s="36" t="n">
        <f aca="false">O70+IF(O37=O49,O73,0)</f>
        <v>35013.7564330671</v>
      </c>
      <c r="P71" s="36" t="n">
        <f aca="false">P70+IF(P37=P49,P73,0)</f>
        <v>35013.7564330671</v>
      </c>
      <c r="Q71" s="36" t="n">
        <f aca="false">Q70+IF(Q37=Q49,Q73,0)</f>
        <v>35013.7564330671</v>
      </c>
      <c r="R71" s="36" t="n">
        <f aca="false">R70+IF(R37=R49,R73,0)</f>
        <v>35013.7564330671</v>
      </c>
      <c r="S71" s="36" t="n">
        <f aca="false">S70+IF(S37=S49,S73,0)</f>
        <v>35013.7564330671</v>
      </c>
    </row>
    <row r="72" customFormat="false" ht="15" hidden="false" customHeight="false" outlineLevel="0" collapsed="false">
      <c r="A72" s="73" t="s">
        <v>983</v>
      </c>
      <c r="B72" s="74" t="s">
        <v>992</v>
      </c>
      <c r="C72" s="66" t="s">
        <v>128</v>
      </c>
      <c r="D72" s="43" t="s">
        <v>332</v>
      </c>
      <c r="E72" s="75" t="s">
        <v>43</v>
      </c>
      <c r="F72" s="76"/>
      <c r="G72" s="78" t="n">
        <f aca="false">IF(G71&lt;=(IF(G37="EE.UU.",G13,0)+IF(G37="China",G17,0)+IF(G37="Europa",G21,0)),G70,IFERROR(G70/G71*(IF(G37="EE.UU.",G13,0)+IF(G37="China",G17,0)+IF(G37="Europa",G21,0)),0))</f>
        <v>0</v>
      </c>
      <c r="H72" s="78" t="n">
        <f aca="false">IF(H71&lt;=(IF(H37="EE.UU.",H13,0)+IF(H37="China",H17,0)+IF(H37="Europa",H21,0)),H70,IFERROR(H70/H71*(IF(H37="EE.UU.",H13,0)+IF(H37="China",H17,0)+IF(H37="Europa",H21,0)),0))</f>
        <v>0</v>
      </c>
      <c r="I72" s="78" t="n">
        <f aca="false">IF(I71&lt;=(IF(I37="EE.UU.",I13,0)+IF(I37="China",I17,0)+IF(I37="Europa",I21,0)),I70,IFERROR(I70/I71*(IF(I37="EE.UU.",I13,0)+IF(I37="China",I17,0)+IF(I37="Europa",I21,0)),0))</f>
        <v>384630.114370509</v>
      </c>
      <c r="J72" s="78" t="n">
        <f aca="false">IF(J71&lt;=(IF(J37="EE.UU.",J13,0)+IF(J37="China",J17,0)+IF(J37="Europa",J21,0)),J70,IFERROR(J70/J71*(IF(J37="EE.UU.",J13,0)+IF(J37="China",J17,0)+IF(J37="Europa",J21,0)),0))</f>
        <v>0</v>
      </c>
      <c r="K72" s="78" t="n">
        <f aca="false">IF(K71&lt;=(IF(K37="EE.UU.",K13,0)+IF(K37="China",K17,0)+IF(K37="Europa",K21,0)),K70,IFERROR(K70/K71*(IF(K37="EE.UU.",K13,0)+IF(K37="China",K17,0)+IF(K37="Europa",K21,0)),0))</f>
        <v>0</v>
      </c>
      <c r="L72" s="78" t="n">
        <f aca="false">IF(L71&lt;=(IF(L37="EE.UU.",L13,0)+IF(L37="China",L17,0)+IF(L37="Europa",L21,0)),L70,IFERROR(L70/L71*(IF(L37="EE.UU.",L13,0)+IF(L37="China",L17,0)+IF(L37="Europa",L21,0)),0))</f>
        <v>0</v>
      </c>
      <c r="M72" s="78" t="n">
        <f aca="false">IF(M71&lt;=(IF(M37="EE.UU.",M13,0)+IF(M37="China",M17,0)+IF(M37="Europa",M21,0)),M70,IFERROR(M70/M71*(IF(M37="EE.UU.",M13,0)+IF(M37="China",M17,0)+IF(M37="Europa",M21,0)),0))</f>
        <v>0</v>
      </c>
      <c r="N72" s="78" t="n">
        <f aca="false">IF(N71&lt;=(IF(N37="EE.UU.",N13,0)+IF(N37="China",N17,0)+IF(N37="Europa",N21,0)),N70,IFERROR(N70/N71*(IF(N37="EE.UU.",N13,0)+IF(N37="China",N17,0)+IF(N37="Europa",N21,0)),0))</f>
        <v>0</v>
      </c>
      <c r="O72" s="78" t="n">
        <f aca="false">IF(O71&lt;=(IF(O37="EE.UU.",O13,0)+IF(O37="China",O17,0)+IF(O37="Europa",O21,0)),O70,IFERROR(O70/O71*(IF(O37="EE.UU.",O13,0)+IF(O37="China",O17,0)+IF(O37="Europa",O21,0)),0))</f>
        <v>0</v>
      </c>
      <c r="P72" s="78" t="n">
        <f aca="false">IF(P71&lt;=(IF(P37="EE.UU.",P13,0)+IF(P37="China",P17,0)+IF(P37="Europa",P21,0)),P70,IFERROR(P70/P71*(IF(P37="EE.UU.",P13,0)+IF(P37="China",P17,0)+IF(P37="Europa",P21,0)),0))</f>
        <v>0</v>
      </c>
      <c r="Q72" s="78" t="n">
        <f aca="false">IF(Q71&lt;=(IF(Q37="EE.UU.",Q13,0)+IF(Q37="China",Q17,0)+IF(Q37="Europa",Q21,0)),Q70,IFERROR(Q70/Q71*(IF(Q37="EE.UU.",Q13,0)+IF(Q37="China",Q17,0)+IF(Q37="Europa",Q21,0)),0))</f>
        <v>0</v>
      </c>
      <c r="R72" s="78" t="n">
        <f aca="false">IF(R71&lt;=(IF(R37="EE.UU.",R13,0)+IF(R37="China",R17,0)+IF(R37="Europa",R21,0)),R70,IFERROR(R70/R71*(IF(R37="EE.UU.",R13,0)+IF(R37="China",R17,0)+IF(R37="Europa",R21,0)),0))</f>
        <v>0</v>
      </c>
      <c r="S72" s="78" t="n">
        <f aca="false">IF(S71&lt;=(IF(S37="EE.UU.",S13,0)+IF(S37="China",S17,0)+IF(S37="Europa",S21,0)),S70,IFERROR(S70/S71*(IF(S37="EE.UU.",S13,0)+IF(S37="China",S17,0)+IF(S37="Europa",S21,0)),0))</f>
        <v>0</v>
      </c>
    </row>
    <row r="73" customFormat="false" ht="15" hidden="false" customHeight="false" outlineLevel="0" collapsed="false">
      <c r="A73" s="73" t="s">
        <v>983</v>
      </c>
      <c r="B73" s="74" t="s">
        <v>990</v>
      </c>
      <c r="C73" s="66" t="s">
        <v>133</v>
      </c>
      <c r="D73" s="43" t="s">
        <v>332</v>
      </c>
      <c r="E73" s="75" t="s">
        <v>43</v>
      </c>
      <c r="F73" s="76"/>
      <c r="G73" s="36" t="n">
        <f aca="false">G31</f>
        <v>800000</v>
      </c>
      <c r="H73" s="36" t="n">
        <f aca="false">H31</f>
        <v>600000</v>
      </c>
      <c r="I73" s="36" t="n">
        <f aca="false">I31</f>
        <v>936000</v>
      </c>
      <c r="J73" s="36" t="n">
        <f aca="false">J31</f>
        <v>0</v>
      </c>
      <c r="K73" s="36" t="n">
        <f aca="false">K31</f>
        <v>0</v>
      </c>
      <c r="L73" s="36" t="n">
        <f aca="false">L31</f>
        <v>0</v>
      </c>
      <c r="M73" s="36" t="n">
        <f aca="false">M31</f>
        <v>0</v>
      </c>
      <c r="N73" s="36" t="n">
        <f aca="false">N31</f>
        <v>0</v>
      </c>
      <c r="O73" s="36" t="n">
        <f aca="false">O31</f>
        <v>0</v>
      </c>
      <c r="P73" s="36" t="n">
        <f aca="false">P31</f>
        <v>0</v>
      </c>
      <c r="Q73" s="36" t="n">
        <f aca="false">Q31</f>
        <v>0</v>
      </c>
      <c r="R73" s="36" t="n">
        <f aca="false">R31</f>
        <v>0</v>
      </c>
      <c r="S73" s="36" t="n">
        <f aca="false">S31</f>
        <v>0</v>
      </c>
    </row>
    <row r="74" customFormat="false" ht="15" hidden="false" customHeight="false" outlineLevel="0" collapsed="false">
      <c r="A74" s="73" t="s">
        <v>983</v>
      </c>
      <c r="B74" s="74" t="s">
        <v>991</v>
      </c>
      <c r="C74" s="66" t="s">
        <v>133</v>
      </c>
      <c r="D74" s="43" t="s">
        <v>332</v>
      </c>
      <c r="E74" s="75" t="s">
        <v>43</v>
      </c>
      <c r="F74" s="76"/>
      <c r="G74" s="36" t="n">
        <f aca="false">G73+IF(G49=G37,G70,0)</f>
        <v>2030000</v>
      </c>
      <c r="H74" s="36" t="n">
        <f aca="false">H73+IF(H49=H37,H70,0)</f>
        <v>1416000</v>
      </c>
      <c r="I74" s="36" t="n">
        <f aca="false">I73+IF(I49=I37,I70,0)</f>
        <v>2136000</v>
      </c>
      <c r="J74" s="36" t="n">
        <f aca="false">J73+IF(J49=J37,J70,0)</f>
        <v>35013.7564330671</v>
      </c>
      <c r="K74" s="36" t="n">
        <f aca="false">K73+IF(K49=K37,K70,0)</f>
        <v>35013.7564330671</v>
      </c>
      <c r="L74" s="36" t="n">
        <f aca="false">L73+IF(L49=L37,L70,0)</f>
        <v>35013.7564330671</v>
      </c>
      <c r="M74" s="36" t="n">
        <f aca="false">M73+IF(M49=M37,M70,0)</f>
        <v>35013.7564330671</v>
      </c>
      <c r="N74" s="36" t="n">
        <f aca="false">N73+IF(N49=N37,N70,0)</f>
        <v>35013.7564330671</v>
      </c>
      <c r="O74" s="36" t="n">
        <f aca="false">O73+IF(O49=O37,O70,0)</f>
        <v>35013.7564330671</v>
      </c>
      <c r="P74" s="36" t="n">
        <f aca="false">P73+IF(P49=P37,P70,0)</f>
        <v>35013.7564330671</v>
      </c>
      <c r="Q74" s="36" t="n">
        <f aca="false">Q73+IF(Q49=Q37,Q70,0)</f>
        <v>35013.7564330671</v>
      </c>
      <c r="R74" s="36" t="n">
        <f aca="false">R73+IF(R49=R37,R70,0)</f>
        <v>35013.7564330671</v>
      </c>
      <c r="S74" s="36" t="n">
        <f aca="false">S73+IF(S49=S37,S70,0)</f>
        <v>35013.7564330671</v>
      </c>
    </row>
    <row r="75" customFormat="false" ht="15" hidden="false" customHeight="false" outlineLevel="0" collapsed="false">
      <c r="A75" s="73" t="s">
        <v>983</v>
      </c>
      <c r="B75" s="74" t="s">
        <v>992</v>
      </c>
      <c r="C75" s="66" t="s">
        <v>133</v>
      </c>
      <c r="D75" s="43" t="s">
        <v>332</v>
      </c>
      <c r="E75" s="75" t="s">
        <v>43</v>
      </c>
      <c r="F75" s="76"/>
      <c r="G75" s="78" t="n">
        <f aca="false">IF(G74&lt;=(IF(G49="EE.UU.",G13,0)+IF(G49="China",G17,0)+IF(G49="Europa",G21,0)),G73,IFERROR(G73/G74*(IF(G49="EE.UU.",G13,0)+IF(G49="China",G17,0)+IF(G49="Europa",G21,0)),0))</f>
        <v>0</v>
      </c>
      <c r="H75" s="78" t="n">
        <f aca="false">IF(H74&lt;=(IF(H49="EE.UU.",H13,0)+IF(H49="China",H17,0)+IF(H49="Europa",H21,0)),H73,IFERROR(H73/H74*(IF(H49="EE.UU.",H13,0)+IF(H49="China",H17,0)+IF(H49="Europa",H21,0)),0))</f>
        <v>0</v>
      </c>
      <c r="I75" s="78" t="n">
        <f aca="false">IF(I74&lt;=(IF(I49="EE.UU.",I13,0)+IF(I49="China",I17,0)+IF(I49="Europa",I21,0)),I73,IFERROR(I73/I74*(IF(I49="EE.UU.",I13,0)+IF(I49="China",I17,0)+IF(I49="Europa",I21,0)),0))</f>
        <v>300011.489208997</v>
      </c>
      <c r="J75" s="78" t="n">
        <f aca="false">IF(J74&lt;=(IF(J49="EE.UU.",J13,0)+IF(J49="China",J17,0)+IF(J49="Europa",J21,0)),J73,IFERROR(J73/J74*(IF(J49="EE.UU.",J13,0)+IF(J49="China",J17,0)+IF(J49="Europa",J21,0)),0))</f>
        <v>0</v>
      </c>
      <c r="K75" s="78" t="n">
        <f aca="false">IF(K74&lt;=(IF(K49="EE.UU.",K13,0)+IF(K49="China",K17,0)+IF(K49="Europa",K21,0)),K73,IFERROR(K73/K74*(IF(K49="EE.UU.",K13,0)+IF(K49="China",K17,0)+IF(K49="Europa",K21,0)),0))</f>
        <v>0</v>
      </c>
      <c r="L75" s="78" t="n">
        <f aca="false">IF(L74&lt;=(IF(L49="EE.UU.",L13,0)+IF(L49="China",L17,0)+IF(L49="Europa",L21,0)),L73,IFERROR(L73/L74*(IF(L49="EE.UU.",L13,0)+IF(L49="China",L17,0)+IF(L49="Europa",L21,0)),0))</f>
        <v>0</v>
      </c>
      <c r="M75" s="78" t="n">
        <f aca="false">IF(M74&lt;=(IF(M49="EE.UU.",M13,0)+IF(M49="China",M17,0)+IF(M49="Europa",M21,0)),M73,IFERROR(M73/M74*(IF(M49="EE.UU.",M13,0)+IF(M49="China",M17,0)+IF(M49="Europa",M21,0)),0))</f>
        <v>0</v>
      </c>
      <c r="N75" s="78" t="n">
        <f aca="false">IF(N74&lt;=(IF(N49="EE.UU.",N13,0)+IF(N49="China",N17,0)+IF(N49="Europa",N21,0)),N73,IFERROR(N73/N74*(IF(N49="EE.UU.",N13,0)+IF(N49="China",N17,0)+IF(N49="Europa",N21,0)),0))</f>
        <v>0</v>
      </c>
      <c r="O75" s="78" t="n">
        <f aca="false">IF(O74&lt;=(IF(O49="EE.UU.",O13,0)+IF(O49="China",O17,0)+IF(O49="Europa",O21,0)),O73,IFERROR(O73/O74*(IF(O49="EE.UU.",O13,0)+IF(O49="China",O17,0)+IF(O49="Europa",O21,0)),0))</f>
        <v>0</v>
      </c>
      <c r="P75" s="78" t="n">
        <f aca="false">IF(P74&lt;=(IF(P49="EE.UU.",P13,0)+IF(P49="China",P17,0)+IF(P49="Europa",P21,0)),P73,IFERROR(P73/P74*(IF(P49="EE.UU.",P13,0)+IF(P49="China",P17,0)+IF(P49="Europa",P21,0)),0))</f>
        <v>0</v>
      </c>
      <c r="Q75" s="78" t="n">
        <f aca="false">IF(Q74&lt;=(IF(Q49="EE.UU.",Q13,0)+IF(Q49="China",Q17,0)+IF(Q49="Europa",Q21,0)),Q73,IFERROR(Q73/Q74*(IF(Q49="EE.UU.",Q13,0)+IF(Q49="China",Q17,0)+IF(Q49="Europa",Q21,0)),0))</f>
        <v>0</v>
      </c>
      <c r="R75" s="78" t="n">
        <f aca="false">IF(R74&lt;=(IF(R49="EE.UU.",R13,0)+IF(R49="China",R17,0)+IF(R49="Europa",R21,0)),R73,IFERROR(R73/R74*(IF(R49="EE.UU.",R13,0)+IF(R49="China",R17,0)+IF(R49="Europa",R21,0)),0))</f>
        <v>0</v>
      </c>
      <c r="S75" s="78" t="n">
        <f aca="false">IF(S74&lt;=(IF(S49="EE.UU.",S13,0)+IF(S49="China",S17,0)+IF(S49="Europa",S21,0)),S73,IFERROR(S73/S74*(IF(S49="EE.UU.",S13,0)+IF(S49="China",S17,0)+IF(S49="Europa",S21,0)),0))</f>
        <v>0</v>
      </c>
    </row>
    <row r="76" customFormat="false" ht="15" hidden="false" customHeight="false" outlineLevel="0" collapsed="false">
      <c r="A76" s="73" t="s">
        <v>983</v>
      </c>
      <c r="B76" s="74" t="s">
        <v>993</v>
      </c>
      <c r="C76" s="66" t="s">
        <v>128</v>
      </c>
      <c r="D76" s="43" t="s">
        <v>332</v>
      </c>
      <c r="E76" s="75" t="s">
        <v>43</v>
      </c>
      <c r="F76" s="76"/>
      <c r="G76" s="36" t="n">
        <f aca="false">MAX(G70-G72,0)</f>
        <v>1230000</v>
      </c>
      <c r="H76" s="36" t="n">
        <f aca="false">MAX(H70-H72,0)</f>
        <v>816000</v>
      </c>
      <c r="I76" s="36" t="n">
        <f aca="false">MAX(I70-I72,0)</f>
        <v>815369.885629491</v>
      </c>
      <c r="J76" s="36" t="n">
        <f aca="false">MAX(J70-J72,0)</f>
        <v>35013.7564330671</v>
      </c>
      <c r="K76" s="36" t="n">
        <f aca="false">MAX(K70-K72,0)</f>
        <v>35013.7564330671</v>
      </c>
      <c r="L76" s="36" t="n">
        <f aca="false">MAX(L70-L72,0)</f>
        <v>35013.7564330671</v>
      </c>
      <c r="M76" s="36" t="n">
        <f aca="false">MAX(M70-M72,0)</f>
        <v>35013.7564330671</v>
      </c>
      <c r="N76" s="36" t="n">
        <f aca="false">MAX(N70-N72,0)</f>
        <v>35013.7564330671</v>
      </c>
      <c r="O76" s="36" t="n">
        <f aca="false">MAX(O70-O72,0)</f>
        <v>35013.7564330671</v>
      </c>
      <c r="P76" s="36" t="n">
        <f aca="false">MAX(P70-P72,0)</f>
        <v>35013.7564330671</v>
      </c>
      <c r="Q76" s="36" t="n">
        <f aca="false">MAX(Q70-Q72,0)</f>
        <v>35013.7564330671</v>
      </c>
      <c r="R76" s="36" t="n">
        <f aca="false">MAX(R70-R72,0)</f>
        <v>35013.7564330671</v>
      </c>
      <c r="S76" s="36" t="n">
        <f aca="false">MAX(S70-S72,0)</f>
        <v>35013.7564330671</v>
      </c>
    </row>
    <row r="77" customFormat="false" ht="15" hidden="false" customHeight="false" outlineLevel="0" collapsed="false">
      <c r="A77" s="73" t="s">
        <v>983</v>
      </c>
      <c r="B77" s="74" t="s">
        <v>994</v>
      </c>
      <c r="C77" s="66" t="s">
        <v>128</v>
      </c>
      <c r="D77" s="43" t="s">
        <v>332</v>
      </c>
      <c r="E77" s="75" t="s">
        <v>43</v>
      </c>
      <c r="F77" s="76"/>
      <c r="G77" s="36" t="n">
        <f aca="false">G76+IF(G38=G50,G79,0)</f>
        <v>2030000</v>
      </c>
      <c r="H77" s="36" t="n">
        <f aca="false">H76+IF(H38=H50,H79,0)</f>
        <v>1416000</v>
      </c>
      <c r="I77" s="36" t="n">
        <f aca="false">I76+IF(I38=I50,I79,0)</f>
        <v>815369.885629491</v>
      </c>
      <c r="J77" s="36" t="n">
        <f aca="false">J76+IF(J38=J50,J79,0)</f>
        <v>35013.7564330671</v>
      </c>
      <c r="K77" s="36" t="n">
        <f aca="false">K76+IF(K38=K50,K79,0)</f>
        <v>35013.7564330671</v>
      </c>
      <c r="L77" s="36" t="n">
        <f aca="false">L76+IF(L38=L50,L79,0)</f>
        <v>35013.7564330671</v>
      </c>
      <c r="M77" s="36" t="n">
        <f aca="false">M76+IF(M38=M50,M79,0)</f>
        <v>35013.7564330671</v>
      </c>
      <c r="N77" s="36" t="n">
        <f aca="false">N76+IF(N38=N50,N79,0)</f>
        <v>35013.7564330671</v>
      </c>
      <c r="O77" s="36" t="n">
        <f aca="false">O76+IF(O38=O50,O79,0)</f>
        <v>35013.7564330671</v>
      </c>
      <c r="P77" s="36" t="n">
        <f aca="false">P76+IF(P38=P50,P79,0)</f>
        <v>35013.7564330671</v>
      </c>
      <c r="Q77" s="36" t="n">
        <f aca="false">Q76+IF(Q38=Q50,Q79,0)</f>
        <v>35013.7564330671</v>
      </c>
      <c r="R77" s="36" t="n">
        <f aca="false">R76+IF(R38=R50,R79,0)</f>
        <v>35013.7564330671</v>
      </c>
      <c r="S77" s="36" t="n">
        <f aca="false">S76+IF(S38=S50,S79,0)</f>
        <v>35013.7564330671</v>
      </c>
    </row>
    <row r="78" customFormat="false" ht="15" hidden="false" customHeight="false" outlineLevel="0" collapsed="false">
      <c r="A78" s="73" t="s">
        <v>983</v>
      </c>
      <c r="B78" s="74" t="s">
        <v>995</v>
      </c>
      <c r="C78" s="66" t="s">
        <v>128</v>
      </c>
      <c r="D78" s="43" t="s">
        <v>332</v>
      </c>
      <c r="E78" s="75" t="s">
        <v>43</v>
      </c>
      <c r="F78" s="76"/>
      <c r="G78" s="78" t="n">
        <f aca="false">IF(G77&lt;=(IF(G38="EE.UU.",G61,0)+IF(G38="China",G64,0)+IF(G38="Europa",G67,0)),G76,IFERROR(G76/G77*(IF(G38="EE.UU.",G61,0)+IF(G38="China",G64,0)+IF(G38="Europa",G67,0)),0))</f>
        <v>0</v>
      </c>
      <c r="H78" s="78" t="n">
        <f aca="false">IF(H77&lt;=(IF(H38="EE.UU.",H61,0)+IF(H38="China",H64,0)+IF(H38="Europa",H67,0)),H76,IFERROR(H76/H77*(IF(H38="EE.UU.",H61,0)+IF(H38="China",H64,0)+IF(H38="Europa",H67,0)),0))</f>
        <v>0</v>
      </c>
      <c r="I78" s="78" t="n">
        <f aca="false">IF(I77&lt;=(IF(I38="EE.UU.",I61,0)+IF(I38="China",I64,0)+IF(I38="Europa",I67,0)),I76,IFERROR(I76/I77*(IF(I38="EE.UU.",I61,0)+IF(I38="China",I64,0)+IF(I38="Europa",I67,0)),0))</f>
        <v>747011.127700958</v>
      </c>
      <c r="J78" s="78" t="n">
        <f aca="false">IF(J77&lt;=(IF(J38="EE.UU.",J61,0)+IF(J38="China",J64,0)+IF(J38="Europa",J67,0)),J76,IFERROR(J76/J77*(IF(J38="EE.UU.",J61,0)+IF(J38="China",J64,0)+IF(J38="Europa",J67,0)),0))</f>
        <v>0</v>
      </c>
      <c r="K78" s="78" t="n">
        <f aca="false">IF(K77&lt;=(IF(K38="EE.UU.",K61,0)+IF(K38="China",K64,0)+IF(K38="Europa",K67,0)),K76,IFERROR(K76/K77*(IF(K38="EE.UU.",K61,0)+IF(K38="China",K64,0)+IF(K38="Europa",K67,0)),0))</f>
        <v>0</v>
      </c>
      <c r="L78" s="78" t="n">
        <f aca="false">IF(L77&lt;=(IF(L38="EE.UU.",L61,0)+IF(L38="China",L64,0)+IF(L38="Europa",L67,0)),L76,IFERROR(L76/L77*(IF(L38="EE.UU.",L61,0)+IF(L38="China",L64,0)+IF(L38="Europa",L67,0)),0))</f>
        <v>0</v>
      </c>
      <c r="M78" s="78" t="n">
        <f aca="false">IF(M77&lt;=(IF(M38="EE.UU.",M61,0)+IF(M38="China",M64,0)+IF(M38="Europa",M67,0)),M76,IFERROR(M76/M77*(IF(M38="EE.UU.",M61,0)+IF(M38="China",M64,0)+IF(M38="Europa",M67,0)),0))</f>
        <v>0</v>
      </c>
      <c r="N78" s="78" t="n">
        <f aca="false">IF(N77&lt;=(IF(N38="EE.UU.",N61,0)+IF(N38="China",N64,0)+IF(N38="Europa",N67,0)),N76,IFERROR(N76/N77*(IF(N38="EE.UU.",N61,0)+IF(N38="China",N64,0)+IF(N38="Europa",N67,0)),0))</f>
        <v>0</v>
      </c>
      <c r="O78" s="78" t="n">
        <f aca="false">IF(O77&lt;=(IF(O38="EE.UU.",O61,0)+IF(O38="China",O64,0)+IF(O38="Europa",O67,0)),O76,IFERROR(O76/O77*(IF(O38="EE.UU.",O61,0)+IF(O38="China",O64,0)+IF(O38="Europa",O67,0)),0))</f>
        <v>0</v>
      </c>
      <c r="P78" s="78" t="n">
        <f aca="false">IF(P77&lt;=(IF(P38="EE.UU.",P61,0)+IF(P38="China",P64,0)+IF(P38="Europa",P67,0)),P76,IFERROR(P76/P77*(IF(P38="EE.UU.",P61,0)+IF(P38="China",P64,0)+IF(P38="Europa",P67,0)),0))</f>
        <v>0</v>
      </c>
      <c r="Q78" s="78" t="n">
        <f aca="false">IF(Q77&lt;=(IF(Q38="EE.UU.",Q61,0)+IF(Q38="China",Q64,0)+IF(Q38="Europa",Q67,0)),Q76,IFERROR(Q76/Q77*(IF(Q38="EE.UU.",Q61,0)+IF(Q38="China",Q64,0)+IF(Q38="Europa",Q67,0)),0))</f>
        <v>0</v>
      </c>
      <c r="R78" s="78" t="n">
        <f aca="false">IF(R77&lt;=(IF(R38="EE.UU.",R61,0)+IF(R38="China",R64,0)+IF(R38="Europa",R67,0)),R76,IFERROR(R76/R77*(IF(R38="EE.UU.",R61,0)+IF(R38="China",R64,0)+IF(R38="Europa",R67,0)),0))</f>
        <v>0</v>
      </c>
      <c r="S78" s="78" t="n">
        <f aca="false">IF(S77&lt;=(IF(S38="EE.UU.",S61,0)+IF(S38="China",S64,0)+IF(S38="Europa",S67,0)),S76,IFERROR(S76/S77*(IF(S38="EE.UU.",S61,0)+IF(S38="China",S64,0)+IF(S38="Europa",S67,0)),0))</f>
        <v>0</v>
      </c>
    </row>
    <row r="79" customFormat="false" ht="15" hidden="false" customHeight="false" outlineLevel="0" collapsed="false">
      <c r="A79" s="73" t="s">
        <v>983</v>
      </c>
      <c r="B79" s="74" t="s">
        <v>993</v>
      </c>
      <c r="C79" s="66" t="s">
        <v>133</v>
      </c>
      <c r="D79" s="43" t="s">
        <v>332</v>
      </c>
      <c r="E79" s="75" t="s">
        <v>43</v>
      </c>
      <c r="F79" s="76"/>
      <c r="G79" s="36" t="n">
        <f aca="false">MAX(G73-G75,0)</f>
        <v>800000</v>
      </c>
      <c r="H79" s="36" t="n">
        <f aca="false">MAX(H73-H75,0)</f>
        <v>600000</v>
      </c>
      <c r="I79" s="36" t="n">
        <f aca="false">MAX(I73-I75,0)</f>
        <v>635988.510791003</v>
      </c>
      <c r="J79" s="36" t="n">
        <f aca="false">MAX(J73-J75,0)</f>
        <v>0</v>
      </c>
      <c r="K79" s="36" t="n">
        <f aca="false">MAX(K73-K75,0)</f>
        <v>0</v>
      </c>
      <c r="L79" s="36" t="n">
        <f aca="false">MAX(L73-L75,0)</f>
        <v>0</v>
      </c>
      <c r="M79" s="36" t="n">
        <f aca="false">MAX(M73-M75,0)</f>
        <v>0</v>
      </c>
      <c r="N79" s="36" t="n">
        <f aca="false">MAX(N73-N75,0)</f>
        <v>0</v>
      </c>
      <c r="O79" s="36" t="n">
        <f aca="false">MAX(O73-O75,0)</f>
        <v>0</v>
      </c>
      <c r="P79" s="36" t="n">
        <f aca="false">MAX(P73-P75,0)</f>
        <v>0</v>
      </c>
      <c r="Q79" s="36" t="n">
        <f aca="false">MAX(Q73-Q75,0)</f>
        <v>0</v>
      </c>
      <c r="R79" s="36" t="n">
        <f aca="false">MAX(R73-R75,0)</f>
        <v>0</v>
      </c>
      <c r="S79" s="36" t="n">
        <f aca="false">MAX(S73-S75,0)</f>
        <v>0</v>
      </c>
    </row>
    <row r="80" customFormat="false" ht="15" hidden="false" customHeight="false" outlineLevel="0" collapsed="false">
      <c r="A80" s="73" t="s">
        <v>983</v>
      </c>
      <c r="B80" s="74" t="s">
        <v>994</v>
      </c>
      <c r="C80" s="66" t="s">
        <v>133</v>
      </c>
      <c r="D80" s="43" t="s">
        <v>332</v>
      </c>
      <c r="E80" s="75" t="s">
        <v>43</v>
      </c>
      <c r="F80" s="76"/>
      <c r="G80" s="36" t="n">
        <f aca="false">G79+IF(G50=G38,G76,0)</f>
        <v>2030000</v>
      </c>
      <c r="H80" s="36" t="n">
        <f aca="false">H79+IF(H50=H38,H76,0)</f>
        <v>1416000</v>
      </c>
      <c r="I80" s="36" t="n">
        <f aca="false">I79+IF(I50=I38,I76,0)</f>
        <v>635988.510791003</v>
      </c>
      <c r="J80" s="36" t="n">
        <f aca="false">J79+IF(J50=J38,J76,0)</f>
        <v>35013.7564330671</v>
      </c>
      <c r="K80" s="36" t="n">
        <f aca="false">K79+IF(K50=K38,K76,0)</f>
        <v>35013.7564330671</v>
      </c>
      <c r="L80" s="36" t="n">
        <f aca="false">L79+IF(L50=L38,L76,0)</f>
        <v>35013.7564330671</v>
      </c>
      <c r="M80" s="36" t="n">
        <f aca="false">M79+IF(M50=M38,M76,0)</f>
        <v>35013.7564330671</v>
      </c>
      <c r="N80" s="36" t="n">
        <f aca="false">N79+IF(N50=N38,N76,0)</f>
        <v>35013.7564330671</v>
      </c>
      <c r="O80" s="36" t="n">
        <f aca="false">O79+IF(O50=O38,O76,0)</f>
        <v>35013.7564330671</v>
      </c>
      <c r="P80" s="36" t="n">
        <f aca="false">P79+IF(P50=P38,P76,0)</f>
        <v>35013.7564330671</v>
      </c>
      <c r="Q80" s="36" t="n">
        <f aca="false">Q79+IF(Q50=Q38,Q76,0)</f>
        <v>35013.7564330671</v>
      </c>
      <c r="R80" s="36" t="n">
        <f aca="false">R79+IF(R50=R38,R76,0)</f>
        <v>35013.7564330671</v>
      </c>
      <c r="S80" s="36" t="n">
        <f aca="false">S79+IF(S50=S38,S76,0)</f>
        <v>35013.7564330671</v>
      </c>
    </row>
    <row r="81" customFormat="false" ht="15" hidden="false" customHeight="false" outlineLevel="0" collapsed="false">
      <c r="A81" s="73" t="s">
        <v>983</v>
      </c>
      <c r="B81" s="74" t="s">
        <v>995</v>
      </c>
      <c r="C81" s="66" t="s">
        <v>133</v>
      </c>
      <c r="D81" s="43" t="s">
        <v>332</v>
      </c>
      <c r="E81" s="75" t="s">
        <v>43</v>
      </c>
      <c r="F81" s="76"/>
      <c r="G81" s="78" t="n">
        <f aca="false">IF(G80&lt;=(IF(G50="EE.UU.",G61,0)+IF(G50="China",G64,0)+IF(G50="Europa",G67,0)),G79,IFERROR(G79/G80*(IF(G50="EE.UU.",G61,0)+IF(G50="China",G64,0)+IF(G50="Europa",G67,0)),0))</f>
        <v>0</v>
      </c>
      <c r="H81" s="78" t="n">
        <f aca="false">IF(H80&lt;=(IF(H50="EE.UU.",H61,0)+IF(H50="China",H64,0)+IF(H50="Europa",H67,0)),H79,IFERROR(H79/H80*(IF(H50="EE.UU.",H61,0)+IF(H50="China",H64,0)+IF(H50="Europa",H67,0)),0))</f>
        <v>0</v>
      </c>
      <c r="I81" s="78" t="n">
        <f aca="false">IF(I80&lt;=(IF(I50="EE.UU.",I61,0)+IF(I50="China",I64,0)+IF(I50="Europa",I67,0)),I79,IFERROR(I79/I80*(IF(I50="EE.UU.",I61,0)+IF(I50="China",I64,0)+IF(I50="Europa",I67,0)),0))</f>
        <v>635988.510791003</v>
      </c>
      <c r="J81" s="78" t="n">
        <f aca="false">IF(J80&lt;=(IF(J50="EE.UU.",J61,0)+IF(J50="China",J64,0)+IF(J50="Europa",J67,0)),J79,IFERROR(J79/J80*(IF(J50="EE.UU.",J61,0)+IF(J50="China",J64,0)+IF(J50="Europa",J67,0)),0))</f>
        <v>0</v>
      </c>
      <c r="K81" s="78" t="n">
        <f aca="false">IF(K80&lt;=(IF(K50="EE.UU.",K61,0)+IF(K50="China",K64,0)+IF(K50="Europa",K67,0)),K79,IFERROR(K79/K80*(IF(K50="EE.UU.",K61,0)+IF(K50="China",K64,0)+IF(K50="Europa",K67,0)),0))</f>
        <v>0</v>
      </c>
      <c r="L81" s="78" t="n">
        <f aca="false">IF(L80&lt;=(IF(L50="EE.UU.",L61,0)+IF(L50="China",L64,0)+IF(L50="Europa",L67,0)),L79,IFERROR(L79/L80*(IF(L50="EE.UU.",L61,0)+IF(L50="China",L64,0)+IF(L50="Europa",L67,0)),0))</f>
        <v>0</v>
      </c>
      <c r="M81" s="78" t="n">
        <f aca="false">IF(M80&lt;=(IF(M50="EE.UU.",M61,0)+IF(M50="China",M64,0)+IF(M50="Europa",M67,0)),M79,IFERROR(M79/M80*(IF(M50="EE.UU.",M61,0)+IF(M50="China",M64,0)+IF(M50="Europa",M67,0)),0))</f>
        <v>0</v>
      </c>
      <c r="N81" s="78" t="n">
        <f aca="false">IF(N80&lt;=(IF(N50="EE.UU.",N61,0)+IF(N50="China",N64,0)+IF(N50="Europa",N67,0)),N79,IFERROR(N79/N80*(IF(N50="EE.UU.",N61,0)+IF(N50="China",N64,0)+IF(N50="Europa",N67,0)),0))</f>
        <v>0</v>
      </c>
      <c r="O81" s="78" t="n">
        <f aca="false">IF(O80&lt;=(IF(O50="EE.UU.",O61,0)+IF(O50="China",O64,0)+IF(O50="Europa",O67,0)),O79,IFERROR(O79/O80*(IF(O50="EE.UU.",O61,0)+IF(O50="China",O64,0)+IF(O50="Europa",O67,0)),0))</f>
        <v>0</v>
      </c>
      <c r="P81" s="78" t="n">
        <f aca="false">IF(P80&lt;=(IF(P50="EE.UU.",P61,0)+IF(P50="China",P64,0)+IF(P50="Europa",P67,0)),P79,IFERROR(P79/P80*(IF(P50="EE.UU.",P61,0)+IF(P50="China",P64,0)+IF(P50="Europa",P67,0)),0))</f>
        <v>0</v>
      </c>
      <c r="Q81" s="78" t="n">
        <f aca="false">IF(Q80&lt;=(IF(Q50="EE.UU.",Q61,0)+IF(Q50="China",Q64,0)+IF(Q50="Europa",Q67,0)),Q79,IFERROR(Q79/Q80*(IF(Q50="EE.UU.",Q61,0)+IF(Q50="China",Q64,0)+IF(Q50="Europa",Q67,0)),0))</f>
        <v>0</v>
      </c>
      <c r="R81" s="78" t="n">
        <f aca="false">IF(R80&lt;=(IF(R50="EE.UU.",R61,0)+IF(R50="China",R64,0)+IF(R50="Europa",R67,0)),R79,IFERROR(R79/R80*(IF(R50="EE.UU.",R61,0)+IF(R50="China",R64,0)+IF(R50="Europa",R67,0)),0))</f>
        <v>0</v>
      </c>
      <c r="S81" s="78" t="n">
        <f aca="false">IF(S80&lt;=(IF(S50="EE.UU.",S61,0)+IF(S50="China",S64,0)+IF(S50="Europa",S67,0)),S79,IFERROR(S79/S80*(IF(S50="EE.UU.",S61,0)+IF(S50="China",S64,0)+IF(S50="Europa",S67,0)),0))</f>
        <v>0</v>
      </c>
    </row>
    <row r="82" customFormat="false" ht="15" hidden="false" customHeight="false" outlineLevel="0" collapsed="false">
      <c r="A82" s="73" t="s">
        <v>983</v>
      </c>
      <c r="B82" s="74" t="s">
        <v>996</v>
      </c>
      <c r="C82" s="66" t="s">
        <v>128</v>
      </c>
      <c r="D82" s="43" t="s">
        <v>332</v>
      </c>
      <c r="E82" s="75" t="s">
        <v>43</v>
      </c>
      <c r="F82" s="76"/>
      <c r="G82" s="36" t="n">
        <f aca="false">MAX(G76-G78,0)</f>
        <v>1230000</v>
      </c>
      <c r="H82" s="36" t="n">
        <f aca="false">MAX(H76-H78,0)</f>
        <v>816000</v>
      </c>
      <c r="I82" s="36" t="n">
        <f aca="false">MAX(I76-I78,0)</f>
        <v>68358.7579285328</v>
      </c>
      <c r="J82" s="36" t="n">
        <f aca="false">MAX(J76-J78,0)</f>
        <v>35013.7564330671</v>
      </c>
      <c r="K82" s="36" t="n">
        <f aca="false">MAX(K76-K78,0)</f>
        <v>35013.7564330671</v>
      </c>
      <c r="L82" s="36" t="n">
        <f aca="false">MAX(L76-L78,0)</f>
        <v>35013.7564330671</v>
      </c>
      <c r="M82" s="36" t="n">
        <f aca="false">MAX(M76-M78,0)</f>
        <v>35013.7564330671</v>
      </c>
      <c r="N82" s="36" t="n">
        <f aca="false">MAX(N76-N78,0)</f>
        <v>35013.7564330671</v>
      </c>
      <c r="O82" s="36" t="n">
        <f aca="false">MAX(O76-O78,0)</f>
        <v>35013.7564330671</v>
      </c>
      <c r="P82" s="36" t="n">
        <f aca="false">MAX(P76-P78,0)</f>
        <v>35013.7564330671</v>
      </c>
      <c r="Q82" s="36" t="n">
        <f aca="false">MAX(Q76-Q78,0)</f>
        <v>35013.7564330671</v>
      </c>
      <c r="R82" s="36" t="n">
        <f aca="false">MAX(R76-R78,0)</f>
        <v>35013.7564330671</v>
      </c>
      <c r="S82" s="36" t="n">
        <f aca="false">MAX(S76-S78,0)</f>
        <v>35013.7564330671</v>
      </c>
    </row>
    <row r="83" customFormat="false" ht="15" hidden="false" customHeight="false" outlineLevel="0" collapsed="false">
      <c r="A83" s="73" t="s">
        <v>983</v>
      </c>
      <c r="B83" s="74" t="s">
        <v>997</v>
      </c>
      <c r="C83" s="66" t="s">
        <v>128</v>
      </c>
      <c r="D83" s="43" t="s">
        <v>332</v>
      </c>
      <c r="E83" s="75" t="s">
        <v>43</v>
      </c>
      <c r="F83" s="76"/>
      <c r="G83" s="36" t="n">
        <f aca="false">G82+IF(G39=G51,G85,0)</f>
        <v>2030000</v>
      </c>
      <c r="H83" s="36" t="n">
        <f aca="false">H82+IF(H39=H51,H85,0)</f>
        <v>1416000</v>
      </c>
      <c r="I83" s="36" t="n">
        <f aca="false">I82+IF(I39=I51,I85,0)</f>
        <v>68358.7579285328</v>
      </c>
      <c r="J83" s="36" t="n">
        <f aca="false">J82+IF(J39=J51,J85,0)</f>
        <v>35013.7564330671</v>
      </c>
      <c r="K83" s="36" t="n">
        <f aca="false">K82+IF(K39=K51,K85,0)</f>
        <v>35013.7564330671</v>
      </c>
      <c r="L83" s="36" t="n">
        <f aca="false">L82+IF(L39=L51,L85,0)</f>
        <v>35013.7564330671</v>
      </c>
      <c r="M83" s="36" t="n">
        <f aca="false">M82+IF(M39=M51,M85,0)</f>
        <v>35013.7564330671</v>
      </c>
      <c r="N83" s="36" t="n">
        <f aca="false">N82+IF(N39=N51,N85,0)</f>
        <v>35013.7564330671</v>
      </c>
      <c r="O83" s="36" t="n">
        <f aca="false">O82+IF(O39=O51,O85,0)</f>
        <v>35013.7564330671</v>
      </c>
      <c r="P83" s="36" t="n">
        <f aca="false">P82+IF(P39=P51,P85,0)</f>
        <v>35013.7564330671</v>
      </c>
      <c r="Q83" s="36" t="n">
        <f aca="false">Q82+IF(Q39=Q51,Q85,0)</f>
        <v>35013.7564330671</v>
      </c>
      <c r="R83" s="36" t="n">
        <f aca="false">R82+IF(R39=R51,R85,0)</f>
        <v>35013.7564330671</v>
      </c>
      <c r="S83" s="36" t="n">
        <f aca="false">S82+IF(S39=S51,S85,0)</f>
        <v>35013.7564330671</v>
      </c>
    </row>
    <row r="84" customFormat="false" ht="15" hidden="false" customHeight="false" outlineLevel="0" collapsed="false">
      <c r="A84" s="73" t="s">
        <v>983</v>
      </c>
      <c r="B84" s="74" t="s">
        <v>998</v>
      </c>
      <c r="C84" s="66" t="s">
        <v>128</v>
      </c>
      <c r="D84" s="43" t="s">
        <v>332</v>
      </c>
      <c r="E84" s="75" t="s">
        <v>43</v>
      </c>
      <c r="F84" s="76"/>
      <c r="G84" s="78" t="n">
        <f aca="false">IF(G83&lt;=(IF(G39="EE.UU.",G62,0)+IF(G39="China",G65,0)+IF(G39="Europa",G68,0)),G82,IFERROR(G82/G83*(IF(G39="EE.UU.",G62,0)+IF(G39="China",G65,0)+IF(G39="Europa",G68,0)),0))</f>
        <v>0</v>
      </c>
      <c r="H84" s="78" t="n">
        <f aca="false">IF(H83&lt;=(IF(H39="EE.UU.",H62,0)+IF(H39="China",H65,0)+IF(H39="Europa",H68,0)),H82,IFERROR(H82/H83*(IF(H39="EE.UU.",H62,0)+IF(H39="China",H65,0)+IF(H39="Europa",H68,0)),0))</f>
        <v>0</v>
      </c>
      <c r="I84" s="78" t="n">
        <f aca="false">IF(I83&lt;=(IF(I39="EE.UU.",I62,0)+IF(I39="China",I65,0)+IF(I39="Europa",I68,0)),I82,IFERROR(I82/I83*(IF(I39="EE.UU.",I62,0)+IF(I39="China",I65,0)+IF(I39="Europa",I68,0)),0))</f>
        <v>33345.0014954656</v>
      </c>
      <c r="J84" s="78" t="n">
        <f aca="false">IF(J83&lt;=(IF(J39="EE.UU.",J62,0)+IF(J39="China",J65,0)+IF(J39="Europa",J68,0)),J82,IFERROR(J82/J83*(IF(J39="EE.UU.",J62,0)+IF(J39="China",J65,0)+IF(J39="Europa",J68,0)),0))</f>
        <v>0</v>
      </c>
      <c r="K84" s="78" t="n">
        <f aca="false">IF(K83&lt;=(IF(K39="EE.UU.",K62,0)+IF(K39="China",K65,0)+IF(K39="Europa",K68,0)),K82,IFERROR(K82/K83*(IF(K39="EE.UU.",K62,0)+IF(K39="China",K65,0)+IF(K39="Europa",K68,0)),0))</f>
        <v>0</v>
      </c>
      <c r="L84" s="78" t="n">
        <f aca="false">IF(L83&lt;=(IF(L39="EE.UU.",L62,0)+IF(L39="China",L65,0)+IF(L39="Europa",L68,0)),L82,IFERROR(L82/L83*(IF(L39="EE.UU.",L62,0)+IF(L39="China",L65,0)+IF(L39="Europa",L68,0)),0))</f>
        <v>0</v>
      </c>
      <c r="M84" s="78" t="n">
        <f aca="false">IF(M83&lt;=(IF(M39="EE.UU.",M62,0)+IF(M39="China",M65,0)+IF(M39="Europa",M68,0)),M82,IFERROR(M82/M83*(IF(M39="EE.UU.",M62,0)+IF(M39="China",M65,0)+IF(M39="Europa",M68,0)),0))</f>
        <v>0</v>
      </c>
      <c r="N84" s="78" t="n">
        <f aca="false">IF(N83&lt;=(IF(N39="EE.UU.",N62,0)+IF(N39="China",N65,0)+IF(N39="Europa",N68,0)),N82,IFERROR(N82/N83*(IF(N39="EE.UU.",N62,0)+IF(N39="China",N65,0)+IF(N39="Europa",N68,0)),0))</f>
        <v>0</v>
      </c>
      <c r="O84" s="78" t="n">
        <f aca="false">IF(O83&lt;=(IF(O39="EE.UU.",O62,0)+IF(O39="China",O65,0)+IF(O39="Europa",O68,0)),O82,IFERROR(O82/O83*(IF(O39="EE.UU.",O62,0)+IF(O39="China",O65,0)+IF(O39="Europa",O68,0)),0))</f>
        <v>0</v>
      </c>
      <c r="P84" s="78" t="n">
        <f aca="false">IF(P83&lt;=(IF(P39="EE.UU.",P62,0)+IF(P39="China",P65,0)+IF(P39="Europa",P68,0)),P82,IFERROR(P82/P83*(IF(P39="EE.UU.",P62,0)+IF(P39="China",P65,0)+IF(P39="Europa",P68,0)),0))</f>
        <v>0</v>
      </c>
      <c r="Q84" s="78" t="n">
        <f aca="false">IF(Q83&lt;=(IF(Q39="EE.UU.",Q62,0)+IF(Q39="China",Q65,0)+IF(Q39="Europa",Q68,0)),Q82,IFERROR(Q82/Q83*(IF(Q39="EE.UU.",Q62,0)+IF(Q39="China",Q65,0)+IF(Q39="Europa",Q68,0)),0))</f>
        <v>0</v>
      </c>
      <c r="R84" s="78" t="n">
        <f aca="false">IF(R83&lt;=(IF(R39="EE.UU.",R62,0)+IF(R39="China",R65,0)+IF(R39="Europa",R68,0)),R82,IFERROR(R82/R83*(IF(R39="EE.UU.",R62,0)+IF(R39="China",R65,0)+IF(R39="Europa",R68,0)),0))</f>
        <v>0</v>
      </c>
      <c r="S84" s="78" t="n">
        <f aca="false">IF(S83&lt;=(IF(S39="EE.UU.",S62,0)+IF(S39="China",S65,0)+IF(S39="Europa",S68,0)),S82,IFERROR(S82/S83*(IF(S39="EE.UU.",S62,0)+IF(S39="China",S65,0)+IF(S39="Europa",S68,0)),0))</f>
        <v>0</v>
      </c>
    </row>
    <row r="85" customFormat="false" ht="15" hidden="false" customHeight="false" outlineLevel="0" collapsed="false">
      <c r="A85" s="73" t="s">
        <v>983</v>
      </c>
      <c r="B85" s="74" t="s">
        <v>996</v>
      </c>
      <c r="C85" s="66" t="s">
        <v>133</v>
      </c>
      <c r="D85" s="43" t="s">
        <v>332</v>
      </c>
      <c r="E85" s="75" t="s">
        <v>43</v>
      </c>
      <c r="F85" s="76"/>
      <c r="G85" s="36" t="n">
        <f aca="false">MAX(G79-G81,0)</f>
        <v>800000</v>
      </c>
      <c r="H85" s="36" t="n">
        <f aca="false">MAX(H79-H81,0)</f>
        <v>600000</v>
      </c>
      <c r="I85" s="36" t="n">
        <f aca="false">MAX(I79-I81,0)</f>
        <v>0</v>
      </c>
      <c r="J85" s="36" t="n">
        <f aca="false">MAX(J79-J81,0)</f>
        <v>0</v>
      </c>
      <c r="K85" s="36" t="n">
        <f aca="false">MAX(K79-K81,0)</f>
        <v>0</v>
      </c>
      <c r="L85" s="36" t="n">
        <f aca="false">MAX(L79-L81,0)</f>
        <v>0</v>
      </c>
      <c r="M85" s="36" t="n">
        <f aca="false">MAX(M79-M81,0)</f>
        <v>0</v>
      </c>
      <c r="N85" s="36" t="n">
        <f aca="false">MAX(N79-N81,0)</f>
        <v>0</v>
      </c>
      <c r="O85" s="36" t="n">
        <f aca="false">MAX(O79-O81,0)</f>
        <v>0</v>
      </c>
      <c r="P85" s="36" t="n">
        <f aca="false">MAX(P79-P81,0)</f>
        <v>0</v>
      </c>
      <c r="Q85" s="36" t="n">
        <f aca="false">MAX(Q79-Q81,0)</f>
        <v>0</v>
      </c>
      <c r="R85" s="36" t="n">
        <f aca="false">MAX(R79-R81,0)</f>
        <v>0</v>
      </c>
      <c r="S85" s="36" t="n">
        <f aca="false">MAX(S79-S81,0)</f>
        <v>0</v>
      </c>
    </row>
    <row r="86" customFormat="false" ht="15" hidden="false" customHeight="false" outlineLevel="0" collapsed="false">
      <c r="A86" s="73" t="s">
        <v>983</v>
      </c>
      <c r="B86" s="74" t="s">
        <v>997</v>
      </c>
      <c r="C86" s="66" t="s">
        <v>133</v>
      </c>
      <c r="D86" s="43" t="s">
        <v>332</v>
      </c>
      <c r="E86" s="75" t="s">
        <v>43</v>
      </c>
      <c r="F86" s="76"/>
      <c r="G86" s="36" t="n">
        <f aca="false">G85+IF(G51=G39,G82,0)</f>
        <v>2030000</v>
      </c>
      <c r="H86" s="36" t="n">
        <f aca="false">H85+IF(H51=H39,H82,0)</f>
        <v>1416000</v>
      </c>
      <c r="I86" s="36" t="n">
        <f aca="false">I85+IF(I51=I39,I82,0)</f>
        <v>0</v>
      </c>
      <c r="J86" s="36" t="n">
        <f aca="false">J85+IF(J51=J39,J82,0)</f>
        <v>35013.7564330671</v>
      </c>
      <c r="K86" s="36" t="n">
        <f aca="false">K85+IF(K51=K39,K82,0)</f>
        <v>35013.7564330671</v>
      </c>
      <c r="L86" s="36" t="n">
        <f aca="false">L85+IF(L51=L39,L82,0)</f>
        <v>35013.7564330671</v>
      </c>
      <c r="M86" s="36" t="n">
        <f aca="false">M85+IF(M51=M39,M82,0)</f>
        <v>35013.7564330671</v>
      </c>
      <c r="N86" s="36" t="n">
        <f aca="false">N85+IF(N51=N39,N82,0)</f>
        <v>35013.7564330671</v>
      </c>
      <c r="O86" s="36" t="n">
        <f aca="false">O85+IF(O51=O39,O82,0)</f>
        <v>35013.7564330671</v>
      </c>
      <c r="P86" s="36" t="n">
        <f aca="false">P85+IF(P51=P39,P82,0)</f>
        <v>35013.7564330671</v>
      </c>
      <c r="Q86" s="36" t="n">
        <f aca="false">Q85+IF(Q51=Q39,Q82,0)</f>
        <v>35013.7564330671</v>
      </c>
      <c r="R86" s="36" t="n">
        <f aca="false">R85+IF(R51=R39,R82,0)</f>
        <v>35013.7564330671</v>
      </c>
      <c r="S86" s="36" t="n">
        <f aca="false">S85+IF(S51=S39,S82,0)</f>
        <v>35013.7564330671</v>
      </c>
    </row>
    <row r="87" customFormat="false" ht="15" hidden="false" customHeight="false" outlineLevel="0" collapsed="false">
      <c r="A87" s="73" t="s">
        <v>983</v>
      </c>
      <c r="B87" s="74" t="s">
        <v>998</v>
      </c>
      <c r="C87" s="66" t="s">
        <v>133</v>
      </c>
      <c r="D87" s="43" t="s">
        <v>332</v>
      </c>
      <c r="E87" s="75" t="s">
        <v>43</v>
      </c>
      <c r="F87" s="76"/>
      <c r="G87" s="78" t="n">
        <f aca="false">IF(G86&lt;=(IF(G51="EE.UU.",G62,0)+IF(G51="China",G65,0)+IF(G51="Europa",G68,0)),G85,IFERROR(G85/G86*(IF(G51="EE.UU.",G62,0)+IF(G51="China",G65,0)+IF(G51="Europa",G68,0)),0))</f>
        <v>0</v>
      </c>
      <c r="H87" s="78" t="n">
        <f aca="false">IF(H86&lt;=(IF(H51="EE.UU.",H62,0)+IF(H51="China",H65,0)+IF(H51="Europa",H68,0)),H85,IFERROR(H85/H86*(IF(H51="EE.UU.",H62,0)+IF(H51="China",H65,0)+IF(H51="Europa",H68,0)),0))</f>
        <v>0</v>
      </c>
      <c r="I87" s="78" t="n">
        <f aca="false">IF(I86&lt;=(IF(I51="EE.UU.",I62,0)+IF(I51="China",I65,0)+IF(I51="Europa",I68,0)),I85,IFERROR(I85/I86*(IF(I51="EE.UU.",I62,0)+IF(I51="China",I65,0)+IF(I51="Europa",I68,0)),0))</f>
        <v>0</v>
      </c>
      <c r="J87" s="78" t="n">
        <f aca="false">IF(J86&lt;=(IF(J51="EE.UU.",J62,0)+IF(J51="China",J65,0)+IF(J51="Europa",J68,0)),J85,IFERROR(J85/J86*(IF(J51="EE.UU.",J62,0)+IF(J51="China",J65,0)+IF(J51="Europa",J68,0)),0))</f>
        <v>0</v>
      </c>
      <c r="K87" s="78" t="n">
        <f aca="false">IF(K86&lt;=(IF(K51="EE.UU.",K62,0)+IF(K51="China",K65,0)+IF(K51="Europa",K68,0)),K85,IFERROR(K85/K86*(IF(K51="EE.UU.",K62,0)+IF(K51="China",K65,0)+IF(K51="Europa",K68,0)),0))</f>
        <v>0</v>
      </c>
      <c r="L87" s="78" t="n">
        <f aca="false">IF(L86&lt;=(IF(L51="EE.UU.",L62,0)+IF(L51="China",L65,0)+IF(L51="Europa",L68,0)),L85,IFERROR(L85/L86*(IF(L51="EE.UU.",L62,0)+IF(L51="China",L65,0)+IF(L51="Europa",L68,0)),0))</f>
        <v>0</v>
      </c>
      <c r="M87" s="78" t="n">
        <f aca="false">IF(M86&lt;=(IF(M51="EE.UU.",M62,0)+IF(M51="China",M65,0)+IF(M51="Europa",M68,0)),M85,IFERROR(M85/M86*(IF(M51="EE.UU.",M62,0)+IF(M51="China",M65,0)+IF(M51="Europa",M68,0)),0))</f>
        <v>0</v>
      </c>
      <c r="N87" s="78" t="n">
        <f aca="false">IF(N86&lt;=(IF(N51="EE.UU.",N62,0)+IF(N51="China",N65,0)+IF(N51="Europa",N68,0)),N85,IFERROR(N85/N86*(IF(N51="EE.UU.",N62,0)+IF(N51="China",N65,0)+IF(N51="Europa",N68,0)),0))</f>
        <v>0</v>
      </c>
      <c r="O87" s="78" t="n">
        <f aca="false">IF(O86&lt;=(IF(O51="EE.UU.",O62,0)+IF(O51="China",O65,0)+IF(O51="Europa",O68,0)),O85,IFERROR(O85/O86*(IF(O51="EE.UU.",O62,0)+IF(O51="China",O65,0)+IF(O51="Europa",O68,0)),0))</f>
        <v>0</v>
      </c>
      <c r="P87" s="78" t="n">
        <f aca="false">IF(P86&lt;=(IF(P51="EE.UU.",P62,0)+IF(P51="China",P65,0)+IF(P51="Europa",P68,0)),P85,IFERROR(P85/P86*(IF(P51="EE.UU.",P62,0)+IF(P51="China",P65,0)+IF(P51="Europa",P68,0)),0))</f>
        <v>0</v>
      </c>
      <c r="Q87" s="78" t="n">
        <f aca="false">IF(Q86&lt;=(IF(Q51="EE.UU.",Q62,0)+IF(Q51="China",Q65,0)+IF(Q51="Europa",Q68,0)),Q85,IFERROR(Q85/Q86*(IF(Q51="EE.UU.",Q62,0)+IF(Q51="China",Q65,0)+IF(Q51="Europa",Q68,0)),0))</f>
        <v>0</v>
      </c>
      <c r="R87" s="78" t="n">
        <f aca="false">IF(R86&lt;=(IF(R51="EE.UU.",R62,0)+IF(R51="China",R65,0)+IF(R51="Europa",R68,0)),R85,IFERROR(R85/R86*(IF(R51="EE.UU.",R62,0)+IF(R51="China",R65,0)+IF(R51="Europa",R68,0)),0))</f>
        <v>0</v>
      </c>
      <c r="S87" s="78" t="n">
        <f aca="false">IF(S86&lt;=(IF(S51="EE.UU.",S62,0)+IF(S51="China",S65,0)+IF(S51="Europa",S68,0)),S85,IFERROR(S85/S86*(IF(S51="EE.UU.",S62,0)+IF(S51="China",S65,0)+IF(S51="Europa",S68,0)),0))</f>
        <v>0</v>
      </c>
    </row>
    <row r="88" customFormat="false" ht="15" hidden="false" customHeight="false" outlineLevel="0" collapsed="false">
      <c r="A88" s="73" t="s">
        <v>983</v>
      </c>
      <c r="B88" s="74" t="s">
        <v>987</v>
      </c>
      <c r="C88" s="66" t="s">
        <v>130</v>
      </c>
      <c r="D88" s="43" t="s">
        <v>332</v>
      </c>
      <c r="E88" s="75" t="s">
        <v>43</v>
      </c>
      <c r="F88" s="76"/>
      <c r="G88" s="36" t="n">
        <f aca="false">MAX(G14-(IF(G40="EE.UU.",G99,0)+IF(G52="EE.UU.",G102,0)),0)</f>
        <v>0</v>
      </c>
      <c r="H88" s="36" t="n">
        <f aca="false">MAX(H14-(IF(H40="EE.UU.",H99,0)+IF(H52="EE.UU.",H102,0)),0)</f>
        <v>243325</v>
      </c>
      <c r="I88" s="36" t="n">
        <f aca="false">MAX(I14-(IF(I40="EE.UU.",I99,0)+IF(I52="EE.UU.",I102,0)),0)</f>
        <v>294443.599549982</v>
      </c>
      <c r="J88" s="36" t="n">
        <f aca="false">MAX(J14-(IF(J40="EE.UU.",J99,0)+IF(J52="EE.UU.",J102,0)),0)</f>
        <v>0</v>
      </c>
      <c r="K88" s="36" t="n">
        <f aca="false">MAX(K14-(IF(K40="EE.UU.",K99,0)+IF(K52="EE.UU.",K102,0)),0)</f>
        <v>0</v>
      </c>
      <c r="L88" s="36" t="n">
        <f aca="false">MAX(L14-(IF(L40="EE.UU.",L99,0)+IF(L52="EE.UU.",L102,0)),0)</f>
        <v>0</v>
      </c>
      <c r="M88" s="36" t="n">
        <f aca="false">MAX(M14-(IF(M40="EE.UU.",M99,0)+IF(M52="EE.UU.",M102,0)),0)</f>
        <v>0</v>
      </c>
      <c r="N88" s="36" t="n">
        <f aca="false">MAX(N14-(IF(N40="EE.UU.",N99,0)+IF(N52="EE.UU.",N102,0)),0)</f>
        <v>0</v>
      </c>
      <c r="O88" s="36" t="n">
        <f aca="false">MAX(O14-(IF(O40="EE.UU.",O99,0)+IF(O52="EE.UU.",O102,0)),0)</f>
        <v>0</v>
      </c>
      <c r="P88" s="36" t="n">
        <f aca="false">MAX(P14-(IF(P40="EE.UU.",P99,0)+IF(P52="EE.UU.",P102,0)),0)</f>
        <v>0</v>
      </c>
      <c r="Q88" s="36" t="n">
        <f aca="false">MAX(Q14-(IF(Q40="EE.UU.",Q99,0)+IF(Q52="EE.UU.",Q102,0)),0)</f>
        <v>0</v>
      </c>
      <c r="R88" s="36" t="n">
        <f aca="false">MAX(R14-(IF(R40="EE.UU.",R99,0)+IF(R52="EE.UU.",R102,0)),0)</f>
        <v>0</v>
      </c>
      <c r="S88" s="36" t="n">
        <f aca="false">MAX(S14-(IF(S40="EE.UU.",S99,0)+IF(S52="EE.UU.",S102,0)),0)</f>
        <v>0</v>
      </c>
    </row>
    <row r="89" customFormat="false" ht="15" hidden="false" customHeight="false" outlineLevel="0" collapsed="false">
      <c r="A89" s="73" t="s">
        <v>983</v>
      </c>
      <c r="B89" s="74" t="s">
        <v>988</v>
      </c>
      <c r="C89" s="66" t="s">
        <v>130</v>
      </c>
      <c r="D89" s="43" t="s">
        <v>332</v>
      </c>
      <c r="E89" s="75" t="s">
        <v>43</v>
      </c>
      <c r="F89" s="76"/>
      <c r="G89" s="36" t="n">
        <f aca="false">MAX(G88-(IF(G41="EE.UU.",G105,0)+IF(G53="EE.UU.",G108,0)),0)</f>
        <v>0</v>
      </c>
      <c r="H89" s="36" t="n">
        <f aca="false">MAX(H88-(IF(H41="EE.UU.",H105,0)+IF(H53="EE.UU.",H108,0)),0)</f>
        <v>243325</v>
      </c>
      <c r="I89" s="36" t="n">
        <f aca="false">MAX(I88-(IF(I41="EE.UU.",I105,0)+IF(I53="EE.UU.",I108,0)),0)</f>
        <v>0</v>
      </c>
      <c r="J89" s="36" t="n">
        <f aca="false">MAX(J88-(IF(J41="EE.UU.",J105,0)+IF(J53="EE.UU.",J108,0)),0)</f>
        <v>0</v>
      </c>
      <c r="K89" s="36" t="n">
        <f aca="false">MAX(K88-(IF(K41="EE.UU.",K105,0)+IF(K53="EE.UU.",K108,0)),0)</f>
        <v>0</v>
      </c>
      <c r="L89" s="36" t="n">
        <f aca="false">MAX(L88-(IF(L41="EE.UU.",L105,0)+IF(L53="EE.UU.",L108,0)),0)</f>
        <v>0</v>
      </c>
      <c r="M89" s="36" t="n">
        <f aca="false">MAX(M88-(IF(M41="EE.UU.",M105,0)+IF(M53="EE.UU.",M108,0)),0)</f>
        <v>0</v>
      </c>
      <c r="N89" s="36" t="n">
        <f aca="false">MAX(N88-(IF(N41="EE.UU.",N105,0)+IF(N53="EE.UU.",N108,0)),0)</f>
        <v>0</v>
      </c>
      <c r="O89" s="36" t="n">
        <f aca="false">MAX(O88-(IF(O41="EE.UU.",O105,0)+IF(O53="EE.UU.",O108,0)),0)</f>
        <v>0</v>
      </c>
      <c r="P89" s="36" t="n">
        <f aca="false">MAX(P88-(IF(P41="EE.UU.",P105,0)+IF(P53="EE.UU.",P108,0)),0)</f>
        <v>0</v>
      </c>
      <c r="Q89" s="36" t="n">
        <f aca="false">MAX(Q88-(IF(Q41="EE.UU.",Q105,0)+IF(Q53="EE.UU.",Q108,0)),0)</f>
        <v>0</v>
      </c>
      <c r="R89" s="36" t="n">
        <f aca="false">MAX(R88-(IF(R41="EE.UU.",R105,0)+IF(R53="EE.UU.",R108,0)),0)</f>
        <v>0</v>
      </c>
      <c r="S89" s="36" t="n">
        <f aca="false">MAX(S88-(IF(S41="EE.UU.",S105,0)+IF(S53="EE.UU.",S108,0)),0)</f>
        <v>0</v>
      </c>
    </row>
    <row r="90" customFormat="false" ht="15" hidden="false" customHeight="false" outlineLevel="0" collapsed="false">
      <c r="A90" s="73" t="s">
        <v>983</v>
      </c>
      <c r="B90" s="74" t="s">
        <v>989</v>
      </c>
      <c r="C90" s="66" t="s">
        <v>130</v>
      </c>
      <c r="D90" s="43" t="s">
        <v>332</v>
      </c>
      <c r="E90" s="75" t="s">
        <v>43</v>
      </c>
      <c r="F90" s="76"/>
      <c r="G90" s="36" t="n">
        <f aca="false">MAX(G89-(IF(G42="EE.UU.",G111,0)+IF(G54="EE.UU.",G114,0)),0)</f>
        <v>0</v>
      </c>
      <c r="H90" s="36" t="n">
        <f aca="false">MAX(H89-(IF(H42="EE.UU.",H111,0)+IF(H54="EE.UU.",H114,0)),0)</f>
        <v>243325</v>
      </c>
      <c r="I90" s="36" t="n">
        <f aca="false">MAX(I89-(IF(I42="EE.UU.",I111,0)+IF(I54="EE.UU.",I114,0)),0)</f>
        <v>0</v>
      </c>
      <c r="J90" s="36" t="n">
        <f aca="false">MAX(J89-(IF(J42="EE.UU.",J111,0)+IF(J54="EE.UU.",J114,0)),0)</f>
        <v>0</v>
      </c>
      <c r="K90" s="36" t="n">
        <f aca="false">MAX(K89-(IF(K42="EE.UU.",K111,0)+IF(K54="EE.UU.",K114,0)),0)</f>
        <v>0</v>
      </c>
      <c r="L90" s="36" t="n">
        <f aca="false">MAX(L89-(IF(L42="EE.UU.",L111,0)+IF(L54="EE.UU.",L114,0)),0)</f>
        <v>0</v>
      </c>
      <c r="M90" s="36" t="n">
        <f aca="false">MAX(M89-(IF(M42="EE.UU.",M111,0)+IF(M54="EE.UU.",M114,0)),0)</f>
        <v>0</v>
      </c>
      <c r="N90" s="36" t="n">
        <f aca="false">MAX(N89-(IF(N42="EE.UU.",N111,0)+IF(N54="EE.UU.",N114,0)),0)</f>
        <v>0</v>
      </c>
      <c r="O90" s="36" t="n">
        <f aca="false">MAX(O89-(IF(O42="EE.UU.",O111,0)+IF(O54="EE.UU.",O114,0)),0)</f>
        <v>0</v>
      </c>
      <c r="P90" s="36" t="n">
        <f aca="false">MAX(P89-(IF(P42="EE.UU.",P111,0)+IF(P54="EE.UU.",P114,0)),0)</f>
        <v>0</v>
      </c>
      <c r="Q90" s="36" t="n">
        <f aca="false">MAX(Q89-(IF(Q42="EE.UU.",Q111,0)+IF(Q54="EE.UU.",Q114,0)),0)</f>
        <v>0</v>
      </c>
      <c r="R90" s="36" t="n">
        <f aca="false">MAX(R89-(IF(R42="EE.UU.",R111,0)+IF(R54="EE.UU.",R114,0)),0)</f>
        <v>0</v>
      </c>
      <c r="S90" s="36" t="n">
        <f aca="false">MAX(S89-(IF(S42="EE.UU.",S111,0)+IF(S54="EE.UU.",S114,0)),0)</f>
        <v>0</v>
      </c>
    </row>
    <row r="91" customFormat="false" ht="15" hidden="false" customHeight="false" outlineLevel="0" collapsed="false">
      <c r="A91" s="73" t="s">
        <v>983</v>
      </c>
      <c r="B91" s="74" t="s">
        <v>987</v>
      </c>
      <c r="C91" s="66" t="s">
        <v>134</v>
      </c>
      <c r="D91" s="43" t="s">
        <v>332</v>
      </c>
      <c r="E91" s="75" t="s">
        <v>43</v>
      </c>
      <c r="F91" s="76"/>
      <c r="G91" s="36" t="n">
        <f aca="false">MAX(G18-(IF(G40="China",G99,0)+IF(G52="China",G102,0)),0)</f>
        <v>0</v>
      </c>
      <c r="H91" s="36" t="n">
        <f aca="false">MAX(H18-(IF(H40="China",H99,0)+IF(H52="China",H102,0)),0)</f>
        <v>156005</v>
      </c>
      <c r="I91" s="36" t="n">
        <f aca="false">MAX(I18-(IF(I40="China",I99,0)+IF(I52="China",I102,0)),0)</f>
        <v>231373.327265748</v>
      </c>
      <c r="J91" s="36" t="n">
        <f aca="false">MAX(J18-(IF(J40="China",J99,0)+IF(J52="China",J102,0)),0)</f>
        <v>0</v>
      </c>
      <c r="K91" s="36" t="n">
        <f aca="false">MAX(K18-(IF(K40="China",K99,0)+IF(K52="China",K102,0)),0)</f>
        <v>0</v>
      </c>
      <c r="L91" s="36" t="n">
        <f aca="false">MAX(L18-(IF(L40="China",L99,0)+IF(L52="China",L102,0)),0)</f>
        <v>0</v>
      </c>
      <c r="M91" s="36" t="n">
        <f aca="false">MAX(M18-(IF(M40="China",M99,0)+IF(M52="China",M102,0)),0)</f>
        <v>0</v>
      </c>
      <c r="N91" s="36" t="n">
        <f aca="false">MAX(N18-(IF(N40="China",N99,0)+IF(N52="China",N102,0)),0)</f>
        <v>0</v>
      </c>
      <c r="O91" s="36" t="n">
        <f aca="false">MAX(O18-(IF(O40="China",O99,0)+IF(O52="China",O102,0)),0)</f>
        <v>0</v>
      </c>
      <c r="P91" s="36" t="n">
        <f aca="false">MAX(P18-(IF(P40="China",P99,0)+IF(P52="China",P102,0)),0)</f>
        <v>0</v>
      </c>
      <c r="Q91" s="36" t="n">
        <f aca="false">MAX(Q18-(IF(Q40="China",Q99,0)+IF(Q52="China",Q102,0)),0)</f>
        <v>0</v>
      </c>
      <c r="R91" s="36" t="n">
        <f aca="false">MAX(R18-(IF(R40="China",R99,0)+IF(R52="China",R102,0)),0)</f>
        <v>0</v>
      </c>
      <c r="S91" s="36" t="n">
        <f aca="false">MAX(S18-(IF(S40="China",S99,0)+IF(S52="China",S102,0)),0)</f>
        <v>0</v>
      </c>
    </row>
    <row r="92" customFormat="false" ht="15" hidden="false" customHeight="false" outlineLevel="0" collapsed="false">
      <c r="A92" s="73" t="s">
        <v>983</v>
      </c>
      <c r="B92" s="74" t="s">
        <v>988</v>
      </c>
      <c r="C92" s="66" t="s">
        <v>134</v>
      </c>
      <c r="D92" s="43" t="s">
        <v>332</v>
      </c>
      <c r="E92" s="75" t="s">
        <v>43</v>
      </c>
      <c r="F92" s="76"/>
      <c r="G92" s="36" t="n">
        <f aca="false">MAX(G91-(IF(G41="China",G105,0)+IF(G53="China",G108,0)),0)</f>
        <v>0</v>
      </c>
      <c r="H92" s="36" t="n">
        <f aca="false">MAX(H91-(IF(H41="China",H105,0)+IF(H53="China",H108,0)),0)</f>
        <v>156005</v>
      </c>
      <c r="I92" s="36" t="n">
        <f aca="false">MAX(I91-(IF(I41="China",I105,0)+IF(I53="China",I108,0)),0)</f>
        <v>231373.327265748</v>
      </c>
      <c r="J92" s="36" t="n">
        <f aca="false">MAX(J91-(IF(J41="China",J105,0)+IF(J53="China",J108,0)),0)</f>
        <v>0</v>
      </c>
      <c r="K92" s="36" t="n">
        <f aca="false">MAX(K91-(IF(K41="China",K105,0)+IF(K53="China",K108,0)),0)</f>
        <v>0</v>
      </c>
      <c r="L92" s="36" t="n">
        <f aca="false">MAX(L91-(IF(L41="China",L105,0)+IF(L53="China",L108,0)),0)</f>
        <v>0</v>
      </c>
      <c r="M92" s="36" t="n">
        <f aca="false">MAX(M91-(IF(M41="China",M105,0)+IF(M53="China",M108,0)),0)</f>
        <v>0</v>
      </c>
      <c r="N92" s="36" t="n">
        <f aca="false">MAX(N91-(IF(N41="China",N105,0)+IF(N53="China",N108,0)),0)</f>
        <v>0</v>
      </c>
      <c r="O92" s="36" t="n">
        <f aca="false">MAX(O91-(IF(O41="China",O105,0)+IF(O53="China",O108,0)),0)</f>
        <v>0</v>
      </c>
      <c r="P92" s="36" t="n">
        <f aca="false">MAX(P91-(IF(P41="China",P105,0)+IF(P53="China",P108,0)),0)</f>
        <v>0</v>
      </c>
      <c r="Q92" s="36" t="n">
        <f aca="false">MAX(Q91-(IF(Q41="China",Q105,0)+IF(Q53="China",Q108,0)),0)</f>
        <v>0</v>
      </c>
      <c r="R92" s="36" t="n">
        <f aca="false">MAX(R91-(IF(R41="China",R105,0)+IF(R53="China",R108,0)),0)</f>
        <v>0</v>
      </c>
      <c r="S92" s="36" t="n">
        <f aca="false">MAX(S91-(IF(S41="China",S105,0)+IF(S53="China",S108,0)),0)</f>
        <v>0</v>
      </c>
    </row>
    <row r="93" customFormat="false" ht="15" hidden="false" customHeight="false" outlineLevel="0" collapsed="false">
      <c r="A93" s="73" t="s">
        <v>983</v>
      </c>
      <c r="B93" s="74" t="s">
        <v>989</v>
      </c>
      <c r="C93" s="66" t="s">
        <v>134</v>
      </c>
      <c r="D93" s="43" t="s">
        <v>332</v>
      </c>
      <c r="E93" s="75" t="s">
        <v>43</v>
      </c>
      <c r="F93" s="76"/>
      <c r="G93" s="36" t="n">
        <f aca="false">MAX(G92-(IF(G42="China",G111,0)+IF(G54="China",G114,0)),0)</f>
        <v>0</v>
      </c>
      <c r="H93" s="36" t="n">
        <f aca="false">MAX(H92-(IF(H42="China",H111,0)+IF(H54="China",H114,0)),0)</f>
        <v>156005</v>
      </c>
      <c r="I93" s="36" t="n">
        <f aca="false">MAX(I92-(IF(I42="China",I111,0)+IF(I54="China",I114,0)),0)</f>
        <v>0</v>
      </c>
      <c r="J93" s="36" t="n">
        <f aca="false">MAX(J92-(IF(J42="China",J111,0)+IF(J54="China",J114,0)),0)</f>
        <v>0</v>
      </c>
      <c r="K93" s="36" t="n">
        <f aca="false">MAX(K92-(IF(K42="China",K111,0)+IF(K54="China",K114,0)),0)</f>
        <v>0</v>
      </c>
      <c r="L93" s="36" t="n">
        <f aca="false">MAX(L92-(IF(L42="China",L111,0)+IF(L54="China",L114,0)),0)</f>
        <v>0</v>
      </c>
      <c r="M93" s="36" t="n">
        <f aca="false">MAX(M92-(IF(M42="China",M111,0)+IF(M54="China",M114,0)),0)</f>
        <v>0</v>
      </c>
      <c r="N93" s="36" t="n">
        <f aca="false">MAX(N92-(IF(N42="China",N111,0)+IF(N54="China",N114,0)),0)</f>
        <v>0</v>
      </c>
      <c r="O93" s="36" t="n">
        <f aca="false">MAX(O92-(IF(O42="China",O111,0)+IF(O54="China",O114,0)),0)</f>
        <v>0</v>
      </c>
      <c r="P93" s="36" t="n">
        <f aca="false">MAX(P92-(IF(P42="China",P111,0)+IF(P54="China",P114,0)),0)</f>
        <v>0</v>
      </c>
      <c r="Q93" s="36" t="n">
        <f aca="false">MAX(Q92-(IF(Q42="China",Q111,0)+IF(Q54="China",Q114,0)),0)</f>
        <v>0</v>
      </c>
      <c r="R93" s="36" t="n">
        <f aca="false">MAX(R92-(IF(R42="China",R111,0)+IF(R54="China",R114,0)),0)</f>
        <v>0</v>
      </c>
      <c r="S93" s="36" t="n">
        <f aca="false">MAX(S92-(IF(S42="China",S111,0)+IF(S54="China",S114,0)),0)</f>
        <v>0</v>
      </c>
    </row>
    <row r="94" customFormat="false" ht="15" hidden="false" customHeight="false" outlineLevel="0" collapsed="false">
      <c r="A94" s="73" t="s">
        <v>983</v>
      </c>
      <c r="B94" s="74" t="s">
        <v>987</v>
      </c>
      <c r="C94" s="66" t="s">
        <v>156</v>
      </c>
      <c r="D94" s="43" t="s">
        <v>332</v>
      </c>
      <c r="E94" s="75" t="s">
        <v>43</v>
      </c>
      <c r="F94" s="76"/>
      <c r="G94" s="36" t="n">
        <f aca="false">MAX(G22-(IF(G40="Europa",G99,0)+IF(G52="Europa",G102,0)),0)</f>
        <v>0</v>
      </c>
      <c r="H94" s="36" t="n">
        <f aca="false">MAX(H22-(IF(H40="Europa",H99,0)+IF(H52="Europa",H102,0)),0)</f>
        <v>277464</v>
      </c>
      <c r="I94" s="36" t="n">
        <f aca="false">MAX(I22-(IF(I40="Europa",I99,0)+IF(I52="Europa",I102,0)),0)</f>
        <v>0</v>
      </c>
      <c r="J94" s="36" t="n">
        <f aca="false">MAX(J22-(IF(J40="Europa",J99,0)+IF(J52="Europa",J102,0)),0)</f>
        <v>0</v>
      </c>
      <c r="K94" s="36" t="n">
        <f aca="false">MAX(K22-(IF(K40="Europa",K99,0)+IF(K52="Europa",K102,0)),0)</f>
        <v>0</v>
      </c>
      <c r="L94" s="36" t="n">
        <f aca="false">MAX(L22-(IF(L40="Europa",L99,0)+IF(L52="Europa",L102,0)),0)</f>
        <v>0</v>
      </c>
      <c r="M94" s="36" t="n">
        <f aca="false">MAX(M22-(IF(M40="Europa",M99,0)+IF(M52="Europa",M102,0)),0)</f>
        <v>0</v>
      </c>
      <c r="N94" s="36" t="n">
        <f aca="false">MAX(N22-(IF(N40="Europa",N99,0)+IF(N52="Europa",N102,0)),0)</f>
        <v>0</v>
      </c>
      <c r="O94" s="36" t="n">
        <f aca="false">MAX(O22-(IF(O40="Europa",O99,0)+IF(O52="Europa",O102,0)),0)</f>
        <v>0</v>
      </c>
      <c r="P94" s="36" t="n">
        <f aca="false">MAX(P22-(IF(P40="Europa",P99,0)+IF(P52="Europa",P102,0)),0)</f>
        <v>0</v>
      </c>
      <c r="Q94" s="36" t="n">
        <f aca="false">MAX(Q22-(IF(Q40="Europa",Q99,0)+IF(Q52="Europa",Q102,0)),0)</f>
        <v>0</v>
      </c>
      <c r="R94" s="36" t="n">
        <f aca="false">MAX(R22-(IF(R40="Europa",R99,0)+IF(R52="Europa",R102,0)),0)</f>
        <v>0</v>
      </c>
      <c r="S94" s="36" t="n">
        <f aca="false">MAX(S22-(IF(S40="Europa",S99,0)+IF(S52="Europa",S102,0)),0)</f>
        <v>0</v>
      </c>
    </row>
    <row r="95" customFormat="false" ht="15" hidden="false" customHeight="false" outlineLevel="0" collapsed="false">
      <c r="A95" s="73" t="s">
        <v>983</v>
      </c>
      <c r="B95" s="74" t="s">
        <v>988</v>
      </c>
      <c r="C95" s="66" t="s">
        <v>156</v>
      </c>
      <c r="D95" s="43" t="s">
        <v>332</v>
      </c>
      <c r="E95" s="75" t="s">
        <v>43</v>
      </c>
      <c r="F95" s="76"/>
      <c r="G95" s="36" t="n">
        <f aca="false">MAX(G94-(IF(G41="Europa",G105,0)+IF(G53="Europa",G108,0)),0)</f>
        <v>0</v>
      </c>
      <c r="H95" s="36" t="n">
        <f aca="false">MAX(H94-(IF(H41="Europa",H105,0)+IF(H53="Europa",H108,0)),0)</f>
        <v>277464</v>
      </c>
      <c r="I95" s="36" t="n">
        <f aca="false">MAX(I94-(IF(I41="Europa",I105,0)+IF(I53="Europa",I108,0)),0)</f>
        <v>0</v>
      </c>
      <c r="J95" s="36" t="n">
        <f aca="false">MAX(J94-(IF(J41="Europa",J105,0)+IF(J53="Europa",J108,0)),0)</f>
        <v>0</v>
      </c>
      <c r="K95" s="36" t="n">
        <f aca="false">MAX(K94-(IF(K41="Europa",K105,0)+IF(K53="Europa",K108,0)),0)</f>
        <v>0</v>
      </c>
      <c r="L95" s="36" t="n">
        <f aca="false">MAX(L94-(IF(L41="Europa",L105,0)+IF(L53="Europa",L108,0)),0)</f>
        <v>0</v>
      </c>
      <c r="M95" s="36" t="n">
        <f aca="false">MAX(M94-(IF(M41="Europa",M105,0)+IF(M53="Europa",M108,0)),0)</f>
        <v>0</v>
      </c>
      <c r="N95" s="36" t="n">
        <f aca="false">MAX(N94-(IF(N41="Europa",N105,0)+IF(N53="Europa",N108,0)),0)</f>
        <v>0</v>
      </c>
      <c r="O95" s="36" t="n">
        <f aca="false">MAX(O94-(IF(O41="Europa",O105,0)+IF(O53="Europa",O108,0)),0)</f>
        <v>0</v>
      </c>
      <c r="P95" s="36" t="n">
        <f aca="false">MAX(P94-(IF(P41="Europa",P105,0)+IF(P53="Europa",P108,0)),0)</f>
        <v>0</v>
      </c>
      <c r="Q95" s="36" t="n">
        <f aca="false">MAX(Q94-(IF(Q41="Europa",Q105,0)+IF(Q53="Europa",Q108,0)),0)</f>
        <v>0</v>
      </c>
      <c r="R95" s="36" t="n">
        <f aca="false">MAX(R94-(IF(R41="Europa",R105,0)+IF(R53="Europa",R108,0)),0)</f>
        <v>0</v>
      </c>
      <c r="S95" s="36" t="n">
        <f aca="false">MAX(S94-(IF(S41="Europa",S105,0)+IF(S53="Europa",S108,0)),0)</f>
        <v>0</v>
      </c>
    </row>
    <row r="96" customFormat="false" ht="15" hidden="false" customHeight="false" outlineLevel="0" collapsed="false">
      <c r="A96" s="73" t="s">
        <v>983</v>
      </c>
      <c r="B96" s="74" t="s">
        <v>989</v>
      </c>
      <c r="C96" s="66" t="s">
        <v>156</v>
      </c>
      <c r="D96" s="43" t="s">
        <v>332</v>
      </c>
      <c r="E96" s="75" t="s">
        <v>43</v>
      </c>
      <c r="F96" s="76"/>
      <c r="G96" s="36" t="n">
        <f aca="false">MAX(G95-(IF(G42="Europa",G111,0)+IF(G54="Europa",G114,0)),0)</f>
        <v>0</v>
      </c>
      <c r="H96" s="36" t="n">
        <f aca="false">MAX(H95-(IF(H42="Europa",H111,0)+IF(H54="Europa",H114,0)),0)</f>
        <v>277464</v>
      </c>
      <c r="I96" s="36" t="n">
        <f aca="false">MAX(I95-(IF(I42="Europa",I111,0)+IF(I54="Europa",I114,0)),0)</f>
        <v>0</v>
      </c>
      <c r="J96" s="36" t="n">
        <f aca="false">MAX(J95-(IF(J42="Europa",J111,0)+IF(J54="Europa",J114,0)),0)</f>
        <v>0</v>
      </c>
      <c r="K96" s="36" t="n">
        <f aca="false">MAX(K95-(IF(K42="Europa",K111,0)+IF(K54="Europa",K114,0)),0)</f>
        <v>0</v>
      </c>
      <c r="L96" s="36" t="n">
        <f aca="false">MAX(L95-(IF(L42="Europa",L111,0)+IF(L54="Europa",L114,0)),0)</f>
        <v>0</v>
      </c>
      <c r="M96" s="36" t="n">
        <f aca="false">MAX(M95-(IF(M42="Europa",M111,0)+IF(M54="Europa",M114,0)),0)</f>
        <v>0</v>
      </c>
      <c r="N96" s="36" t="n">
        <f aca="false">MAX(N95-(IF(N42="Europa",N111,0)+IF(N54="Europa",N114,0)),0)</f>
        <v>0</v>
      </c>
      <c r="O96" s="36" t="n">
        <f aca="false">MAX(O95-(IF(O42="Europa",O111,0)+IF(O54="Europa",O114,0)),0)</f>
        <v>0</v>
      </c>
      <c r="P96" s="36" t="n">
        <f aca="false">MAX(P95-(IF(P42="Europa",P111,0)+IF(P54="Europa",P114,0)),0)</f>
        <v>0</v>
      </c>
      <c r="Q96" s="36" t="n">
        <f aca="false">MAX(Q95-(IF(Q42="Europa",Q111,0)+IF(Q54="Europa",Q114,0)),0)</f>
        <v>0</v>
      </c>
      <c r="R96" s="36" t="n">
        <f aca="false">MAX(R95-(IF(R42="Europa",R111,0)+IF(R54="Europa",R114,0)),0)</f>
        <v>0</v>
      </c>
      <c r="S96" s="36" t="n">
        <f aca="false">MAX(S95-(IF(S42="Europa",S111,0)+IF(S54="Europa",S114,0)),0)</f>
        <v>0</v>
      </c>
    </row>
    <row r="97" customFormat="false" ht="15" hidden="false" customHeight="false" outlineLevel="0" collapsed="false">
      <c r="A97" s="73" t="s">
        <v>983</v>
      </c>
      <c r="B97" s="74" t="s">
        <v>990</v>
      </c>
      <c r="C97" s="66" t="s">
        <v>130</v>
      </c>
      <c r="D97" s="43" t="s">
        <v>332</v>
      </c>
      <c r="E97" s="75" t="s">
        <v>43</v>
      </c>
      <c r="F97" s="76"/>
      <c r="G97" s="36" t="n">
        <f aca="false">G28</f>
        <v>0</v>
      </c>
      <c r="H97" s="36" t="n">
        <f aca="false">H28</f>
        <v>816000</v>
      </c>
      <c r="I97" s="36" t="n">
        <f aca="false">I28</f>
        <v>355211</v>
      </c>
      <c r="J97" s="36" t="n">
        <f aca="false">J28</f>
        <v>6017.51189887506</v>
      </c>
      <c r="K97" s="36" t="n">
        <f aca="false">K28</f>
        <v>6017.51189887506</v>
      </c>
      <c r="L97" s="36" t="n">
        <f aca="false">L28</f>
        <v>6017.51189887506</v>
      </c>
      <c r="M97" s="36" t="n">
        <f aca="false">M28</f>
        <v>6017.51189887506</v>
      </c>
      <c r="N97" s="36" t="n">
        <f aca="false">N28</f>
        <v>6017.51189887506</v>
      </c>
      <c r="O97" s="36" t="n">
        <f aca="false">O28</f>
        <v>6017.51189887506</v>
      </c>
      <c r="P97" s="36" t="n">
        <f aca="false">P28</f>
        <v>6017.51189887506</v>
      </c>
      <c r="Q97" s="36" t="n">
        <f aca="false">Q28</f>
        <v>6017.51189887506</v>
      </c>
      <c r="R97" s="36" t="n">
        <f aca="false">R28</f>
        <v>6017.51189887506</v>
      </c>
      <c r="S97" s="36" t="n">
        <f aca="false">S28</f>
        <v>6017.51189887506</v>
      </c>
    </row>
    <row r="98" customFormat="false" ht="15" hidden="false" customHeight="false" outlineLevel="0" collapsed="false">
      <c r="A98" s="73" t="s">
        <v>983</v>
      </c>
      <c r="B98" s="74" t="s">
        <v>991</v>
      </c>
      <c r="C98" s="66" t="s">
        <v>130</v>
      </c>
      <c r="D98" s="43" t="s">
        <v>332</v>
      </c>
      <c r="E98" s="75" t="s">
        <v>43</v>
      </c>
      <c r="F98" s="76"/>
      <c r="G98" s="36" t="n">
        <f aca="false">G97+IF(G40=G52,G100,0)</f>
        <v>0</v>
      </c>
      <c r="H98" s="36" t="n">
        <f aca="false">H97+IF(H40=H52,H100,0)</f>
        <v>1086000</v>
      </c>
      <c r="I98" s="36" t="n">
        <f aca="false">I97+IF(I40=I52,I100,0)</f>
        <v>862206</v>
      </c>
      <c r="J98" s="36" t="n">
        <f aca="false">J97+IF(J40=J52,J100,0)</f>
        <v>14606.3462682221</v>
      </c>
      <c r="K98" s="36" t="n">
        <f aca="false">K97+IF(K40=K52,K100,0)</f>
        <v>14606.3462682221</v>
      </c>
      <c r="L98" s="36" t="n">
        <f aca="false">L97+IF(L40=L52,L100,0)</f>
        <v>14606.3462682221</v>
      </c>
      <c r="M98" s="36" t="n">
        <f aca="false">M97+IF(M40=M52,M100,0)</f>
        <v>14606.3462682221</v>
      </c>
      <c r="N98" s="36" t="n">
        <f aca="false">N97+IF(N40=N52,N100,0)</f>
        <v>14606.3462682221</v>
      </c>
      <c r="O98" s="36" t="n">
        <f aca="false">O97+IF(O40=O52,O100,0)</f>
        <v>14606.3462682221</v>
      </c>
      <c r="P98" s="36" t="n">
        <f aca="false">P97+IF(P40=P52,P100,0)</f>
        <v>14606.3462682221</v>
      </c>
      <c r="Q98" s="36" t="n">
        <f aca="false">Q97+IF(Q40=Q52,Q100,0)</f>
        <v>14606.3462682221</v>
      </c>
      <c r="R98" s="36" t="n">
        <f aca="false">R97+IF(R40=R52,R100,0)</f>
        <v>14606.3462682221</v>
      </c>
      <c r="S98" s="36" t="n">
        <f aca="false">S97+IF(S40=S52,S100,0)</f>
        <v>14606.3462682221</v>
      </c>
    </row>
    <row r="99" customFormat="false" ht="15" hidden="false" customHeight="false" outlineLevel="0" collapsed="false">
      <c r="A99" s="73" t="s">
        <v>983</v>
      </c>
      <c r="B99" s="74" t="s">
        <v>992</v>
      </c>
      <c r="C99" s="66" t="s">
        <v>130</v>
      </c>
      <c r="D99" s="43" t="s">
        <v>332</v>
      </c>
      <c r="E99" s="75" t="s">
        <v>43</v>
      </c>
      <c r="F99" s="76"/>
      <c r="G99" s="78" t="n">
        <f aca="false">IF(G98&lt;=(IF(G40="EE.UU.",G14,0)+IF(G40="China",G18,0)+IF(G40="Europa",G22,0)),G97,IFERROR(G97/G98*(IF(G40="EE.UU.",G14,0)+IF(G40="China",G18,0)+IF(G40="Europa",G22,0)),0))</f>
        <v>0</v>
      </c>
      <c r="H99" s="78" t="n">
        <f aca="false">IF(H98&lt;=(IF(H40="EE.UU.",H14,0)+IF(H40="China",H18,0)+IF(H40="Europa",H22,0)),H97,IFERROR(H97/H98*(IF(H40="EE.UU.",H14,0)+IF(H40="China",H18,0)+IF(H40="Europa",H22,0)),0))</f>
        <v>0</v>
      </c>
      <c r="I99" s="78" t="n">
        <f aca="false">IF(I98&lt;=(IF(I40="EE.UU.",I14,0)+IF(I40="China",I18,0)+IF(I40="Europa",I22,0)),I97,IFERROR(I97/I98*(IF(I40="EE.UU.",I14,0)+IF(I40="China",I18,0)+IF(I40="Europa",I22,0)),0))</f>
        <v>132567.813504634</v>
      </c>
      <c r="J99" s="78" t="n">
        <f aca="false">IF(J98&lt;=(IF(J40="EE.UU.",J14,0)+IF(J40="China",J18,0)+IF(J40="Europa",J22,0)),J97,IFERROR(J97/J98*(IF(J40="EE.UU.",J14,0)+IF(J40="China",J18,0)+IF(J40="Europa",J22,0)),0))</f>
        <v>0</v>
      </c>
      <c r="K99" s="78" t="n">
        <f aca="false">IF(K98&lt;=(IF(K40="EE.UU.",K14,0)+IF(K40="China",K18,0)+IF(K40="Europa",K22,0)),K97,IFERROR(K97/K98*(IF(K40="EE.UU.",K14,0)+IF(K40="China",K18,0)+IF(K40="Europa",K22,0)),0))</f>
        <v>0</v>
      </c>
      <c r="L99" s="78" t="n">
        <f aca="false">IF(L98&lt;=(IF(L40="EE.UU.",L14,0)+IF(L40="China",L18,0)+IF(L40="Europa",L22,0)),L97,IFERROR(L97/L98*(IF(L40="EE.UU.",L14,0)+IF(L40="China",L18,0)+IF(L40="Europa",L22,0)),0))</f>
        <v>0</v>
      </c>
      <c r="M99" s="78" t="n">
        <f aca="false">IF(M98&lt;=(IF(M40="EE.UU.",M14,0)+IF(M40="China",M18,0)+IF(M40="Europa",M22,0)),M97,IFERROR(M97/M98*(IF(M40="EE.UU.",M14,0)+IF(M40="China",M18,0)+IF(M40="Europa",M22,0)),0))</f>
        <v>0</v>
      </c>
      <c r="N99" s="78" t="n">
        <f aca="false">IF(N98&lt;=(IF(N40="EE.UU.",N14,0)+IF(N40="China",N18,0)+IF(N40="Europa",N22,0)),N97,IFERROR(N97/N98*(IF(N40="EE.UU.",N14,0)+IF(N40="China",N18,0)+IF(N40="Europa",N22,0)),0))</f>
        <v>0</v>
      </c>
      <c r="O99" s="78" t="n">
        <f aca="false">IF(O98&lt;=(IF(O40="EE.UU.",O14,0)+IF(O40="China",O18,0)+IF(O40="Europa",O22,0)),O97,IFERROR(O97/O98*(IF(O40="EE.UU.",O14,0)+IF(O40="China",O18,0)+IF(O40="Europa",O22,0)),0))</f>
        <v>0</v>
      </c>
      <c r="P99" s="78" t="n">
        <f aca="false">IF(P98&lt;=(IF(P40="EE.UU.",P14,0)+IF(P40="China",P18,0)+IF(P40="Europa",P22,0)),P97,IFERROR(P97/P98*(IF(P40="EE.UU.",P14,0)+IF(P40="China",P18,0)+IF(P40="Europa",P22,0)),0))</f>
        <v>0</v>
      </c>
      <c r="Q99" s="78" t="n">
        <f aca="false">IF(Q98&lt;=(IF(Q40="EE.UU.",Q14,0)+IF(Q40="China",Q18,0)+IF(Q40="Europa",Q22,0)),Q97,IFERROR(Q97/Q98*(IF(Q40="EE.UU.",Q14,0)+IF(Q40="China",Q18,0)+IF(Q40="Europa",Q22,0)),0))</f>
        <v>0</v>
      </c>
      <c r="R99" s="78" t="n">
        <f aca="false">IF(R98&lt;=(IF(R40="EE.UU.",R14,0)+IF(R40="China",R18,0)+IF(R40="Europa",R22,0)),R97,IFERROR(R97/R98*(IF(R40="EE.UU.",R14,0)+IF(R40="China",R18,0)+IF(R40="Europa",R22,0)),0))</f>
        <v>0</v>
      </c>
      <c r="S99" s="78" t="n">
        <f aca="false">IF(S98&lt;=(IF(S40="EE.UU.",S14,0)+IF(S40="China",S18,0)+IF(S40="Europa",S22,0)),S97,IFERROR(S97/S98*(IF(S40="EE.UU.",S14,0)+IF(S40="China",S18,0)+IF(S40="Europa",S22,0)),0))</f>
        <v>0</v>
      </c>
    </row>
    <row r="100" customFormat="false" ht="15" hidden="false" customHeight="false" outlineLevel="0" collapsed="false">
      <c r="A100" s="73" t="s">
        <v>983</v>
      </c>
      <c r="B100" s="74" t="s">
        <v>990</v>
      </c>
      <c r="C100" s="66" t="s">
        <v>134</v>
      </c>
      <c r="D100" s="43" t="s">
        <v>332</v>
      </c>
      <c r="E100" s="75" t="s">
        <v>43</v>
      </c>
      <c r="F100" s="76"/>
      <c r="G100" s="36" t="n">
        <f aca="false">G32</f>
        <v>0</v>
      </c>
      <c r="H100" s="36" t="n">
        <f aca="false">H32</f>
        <v>270000</v>
      </c>
      <c r="I100" s="36" t="n">
        <f aca="false">I32</f>
        <v>506995</v>
      </c>
      <c r="J100" s="36" t="n">
        <f aca="false">J32</f>
        <v>8588.83436934708</v>
      </c>
      <c r="K100" s="36" t="n">
        <f aca="false">K32</f>
        <v>8588.83436934708</v>
      </c>
      <c r="L100" s="36" t="n">
        <f aca="false">L32</f>
        <v>8588.83436934708</v>
      </c>
      <c r="M100" s="36" t="n">
        <f aca="false">M32</f>
        <v>8588.83436934708</v>
      </c>
      <c r="N100" s="36" t="n">
        <f aca="false">N32</f>
        <v>8588.83436934708</v>
      </c>
      <c r="O100" s="36" t="n">
        <f aca="false">O32</f>
        <v>8588.83436934708</v>
      </c>
      <c r="P100" s="36" t="n">
        <f aca="false">P32</f>
        <v>8588.83436934708</v>
      </c>
      <c r="Q100" s="36" t="n">
        <f aca="false">Q32</f>
        <v>8588.83436934708</v>
      </c>
      <c r="R100" s="36" t="n">
        <f aca="false">R32</f>
        <v>8588.83436934708</v>
      </c>
      <c r="S100" s="36" t="n">
        <f aca="false">S32</f>
        <v>8588.83436934708</v>
      </c>
    </row>
    <row r="101" customFormat="false" ht="15" hidden="false" customHeight="false" outlineLevel="0" collapsed="false">
      <c r="A101" s="73" t="s">
        <v>983</v>
      </c>
      <c r="B101" s="74" t="s">
        <v>991</v>
      </c>
      <c r="C101" s="66" t="s">
        <v>134</v>
      </c>
      <c r="D101" s="43" t="s">
        <v>332</v>
      </c>
      <c r="E101" s="75" t="s">
        <v>43</v>
      </c>
      <c r="F101" s="76"/>
      <c r="G101" s="36" t="n">
        <f aca="false">G100+IF(G52=G40,G97,0)</f>
        <v>0</v>
      </c>
      <c r="H101" s="36" t="n">
        <f aca="false">H100+IF(H52=H40,H97,0)</f>
        <v>1086000</v>
      </c>
      <c r="I101" s="36" t="n">
        <f aca="false">I100+IF(I52=I40,I97,0)</f>
        <v>862206</v>
      </c>
      <c r="J101" s="36" t="n">
        <f aca="false">J100+IF(J52=J40,J97,0)</f>
        <v>14606.3462682221</v>
      </c>
      <c r="K101" s="36" t="n">
        <f aca="false">K100+IF(K52=K40,K97,0)</f>
        <v>14606.3462682221</v>
      </c>
      <c r="L101" s="36" t="n">
        <f aca="false">L100+IF(L52=L40,L97,0)</f>
        <v>14606.3462682221</v>
      </c>
      <c r="M101" s="36" t="n">
        <f aca="false">M100+IF(M52=M40,M97,0)</f>
        <v>14606.3462682221</v>
      </c>
      <c r="N101" s="36" t="n">
        <f aca="false">N100+IF(N52=N40,N97,0)</f>
        <v>14606.3462682221</v>
      </c>
      <c r="O101" s="36" t="n">
        <f aca="false">O100+IF(O52=O40,O97,0)</f>
        <v>14606.3462682221</v>
      </c>
      <c r="P101" s="36" t="n">
        <f aca="false">P100+IF(P52=P40,P97,0)</f>
        <v>14606.3462682221</v>
      </c>
      <c r="Q101" s="36" t="n">
        <f aca="false">Q100+IF(Q52=Q40,Q97,0)</f>
        <v>14606.3462682221</v>
      </c>
      <c r="R101" s="36" t="n">
        <f aca="false">R100+IF(R52=R40,R97,0)</f>
        <v>14606.3462682221</v>
      </c>
      <c r="S101" s="36" t="n">
        <f aca="false">S100+IF(S52=S40,S97,0)</f>
        <v>14606.3462682221</v>
      </c>
    </row>
    <row r="102" customFormat="false" ht="15" hidden="false" customHeight="false" outlineLevel="0" collapsed="false">
      <c r="A102" s="73" t="s">
        <v>983</v>
      </c>
      <c r="B102" s="74" t="s">
        <v>992</v>
      </c>
      <c r="C102" s="66" t="s">
        <v>134</v>
      </c>
      <c r="D102" s="43" t="s">
        <v>332</v>
      </c>
      <c r="E102" s="75" t="s">
        <v>43</v>
      </c>
      <c r="F102" s="76"/>
      <c r="G102" s="78" t="n">
        <f aca="false">IF(G101&lt;=(IF(G52="EE.UU.",G14,0)+IF(G52="China",G18,0)+IF(G52="Europa",G22,0)),G100,IFERROR(G100/G101*(IF(G52="EE.UU.",G14,0)+IF(G52="China",G18,0)+IF(G52="Europa",G22,0)),0))</f>
        <v>0</v>
      </c>
      <c r="H102" s="78" t="n">
        <f aca="false">IF(H101&lt;=(IF(H52="EE.UU.",H14,0)+IF(H52="China",H18,0)+IF(H52="Europa",H22,0)),H100,IFERROR(H100/H101*(IF(H52="EE.UU.",H14,0)+IF(H52="China",H18,0)+IF(H52="Europa",H22,0)),0))</f>
        <v>0</v>
      </c>
      <c r="I102" s="78" t="n">
        <f aca="false">IF(I101&lt;=(IF(I52="EE.UU.",I14,0)+IF(I52="China",I18,0)+IF(I52="Europa",I22,0)),I100,IFERROR(I100/I101*(IF(I52="EE.UU.",I14,0)+IF(I52="China",I18,0)+IF(I52="Europa",I22,0)),0))</f>
        <v>189214.913411414</v>
      </c>
      <c r="J102" s="78" t="n">
        <f aca="false">IF(J101&lt;=(IF(J52="EE.UU.",J14,0)+IF(J52="China",J18,0)+IF(J52="Europa",J22,0)),J100,IFERROR(J100/J101*(IF(J52="EE.UU.",J14,0)+IF(J52="China",J18,0)+IF(J52="Europa",J22,0)),0))</f>
        <v>0</v>
      </c>
      <c r="K102" s="78" t="n">
        <f aca="false">IF(K101&lt;=(IF(K52="EE.UU.",K14,0)+IF(K52="China",K18,0)+IF(K52="Europa",K22,0)),K100,IFERROR(K100/K101*(IF(K52="EE.UU.",K14,0)+IF(K52="China",K18,0)+IF(K52="Europa",K22,0)),0))</f>
        <v>0</v>
      </c>
      <c r="L102" s="78" t="n">
        <f aca="false">IF(L101&lt;=(IF(L52="EE.UU.",L14,0)+IF(L52="China",L18,0)+IF(L52="Europa",L22,0)),L100,IFERROR(L100/L101*(IF(L52="EE.UU.",L14,0)+IF(L52="China",L18,0)+IF(L52="Europa",L22,0)),0))</f>
        <v>0</v>
      </c>
      <c r="M102" s="78" t="n">
        <f aca="false">IF(M101&lt;=(IF(M52="EE.UU.",M14,0)+IF(M52="China",M18,0)+IF(M52="Europa",M22,0)),M100,IFERROR(M100/M101*(IF(M52="EE.UU.",M14,0)+IF(M52="China",M18,0)+IF(M52="Europa",M22,0)),0))</f>
        <v>0</v>
      </c>
      <c r="N102" s="78" t="n">
        <f aca="false">IF(N101&lt;=(IF(N52="EE.UU.",N14,0)+IF(N52="China",N18,0)+IF(N52="Europa",N22,0)),N100,IFERROR(N100/N101*(IF(N52="EE.UU.",N14,0)+IF(N52="China",N18,0)+IF(N52="Europa",N22,0)),0))</f>
        <v>0</v>
      </c>
      <c r="O102" s="78" t="n">
        <f aca="false">IF(O101&lt;=(IF(O52="EE.UU.",O14,0)+IF(O52="China",O18,0)+IF(O52="Europa",O22,0)),O100,IFERROR(O100/O101*(IF(O52="EE.UU.",O14,0)+IF(O52="China",O18,0)+IF(O52="Europa",O22,0)),0))</f>
        <v>0</v>
      </c>
      <c r="P102" s="78" t="n">
        <f aca="false">IF(P101&lt;=(IF(P52="EE.UU.",P14,0)+IF(P52="China",P18,0)+IF(P52="Europa",P22,0)),P100,IFERROR(P100/P101*(IF(P52="EE.UU.",P14,0)+IF(P52="China",P18,0)+IF(P52="Europa",P22,0)),0))</f>
        <v>0</v>
      </c>
      <c r="Q102" s="78" t="n">
        <f aca="false">IF(Q101&lt;=(IF(Q52="EE.UU.",Q14,0)+IF(Q52="China",Q18,0)+IF(Q52="Europa",Q22,0)),Q100,IFERROR(Q100/Q101*(IF(Q52="EE.UU.",Q14,0)+IF(Q52="China",Q18,0)+IF(Q52="Europa",Q22,0)),0))</f>
        <v>0</v>
      </c>
      <c r="R102" s="78" t="n">
        <f aca="false">IF(R101&lt;=(IF(R52="EE.UU.",R14,0)+IF(R52="China",R18,0)+IF(R52="Europa",R22,0)),R100,IFERROR(R100/R101*(IF(R52="EE.UU.",R14,0)+IF(R52="China",R18,0)+IF(R52="Europa",R22,0)),0))</f>
        <v>0</v>
      </c>
      <c r="S102" s="78" t="n">
        <f aca="false">IF(S101&lt;=(IF(S52="EE.UU.",S14,0)+IF(S52="China",S18,0)+IF(S52="Europa",S22,0)),S100,IFERROR(S100/S101*(IF(S52="EE.UU.",S14,0)+IF(S52="China",S18,0)+IF(S52="Europa",S22,0)),0))</f>
        <v>0</v>
      </c>
    </row>
    <row r="103" customFormat="false" ht="15" hidden="false" customHeight="false" outlineLevel="0" collapsed="false">
      <c r="A103" s="73" t="s">
        <v>983</v>
      </c>
      <c r="B103" s="74" t="s">
        <v>993</v>
      </c>
      <c r="C103" s="66" t="s">
        <v>130</v>
      </c>
      <c r="D103" s="43" t="s">
        <v>332</v>
      </c>
      <c r="E103" s="75" t="s">
        <v>43</v>
      </c>
      <c r="F103" s="76"/>
      <c r="G103" s="36" t="n">
        <f aca="false">MAX(G97-G99,0)</f>
        <v>0</v>
      </c>
      <c r="H103" s="36" t="n">
        <f aca="false">MAX(H97-H99,0)</f>
        <v>816000</v>
      </c>
      <c r="I103" s="36" t="n">
        <f aca="false">MAX(I97-I99,0)</f>
        <v>222643.186495366</v>
      </c>
      <c r="J103" s="36" t="n">
        <f aca="false">MAX(J97-J99,0)</f>
        <v>6017.51189887506</v>
      </c>
      <c r="K103" s="36" t="n">
        <f aca="false">MAX(K97-K99,0)</f>
        <v>6017.51189887506</v>
      </c>
      <c r="L103" s="36" t="n">
        <f aca="false">MAX(L97-L99,0)</f>
        <v>6017.51189887506</v>
      </c>
      <c r="M103" s="36" t="n">
        <f aca="false">MAX(M97-M99,0)</f>
        <v>6017.51189887506</v>
      </c>
      <c r="N103" s="36" t="n">
        <f aca="false">MAX(N97-N99,0)</f>
        <v>6017.51189887506</v>
      </c>
      <c r="O103" s="36" t="n">
        <f aca="false">MAX(O97-O99,0)</f>
        <v>6017.51189887506</v>
      </c>
      <c r="P103" s="36" t="n">
        <f aca="false">MAX(P97-P99,0)</f>
        <v>6017.51189887506</v>
      </c>
      <c r="Q103" s="36" t="n">
        <f aca="false">MAX(Q97-Q99,0)</f>
        <v>6017.51189887506</v>
      </c>
      <c r="R103" s="36" t="n">
        <f aca="false">MAX(R97-R99,0)</f>
        <v>6017.51189887506</v>
      </c>
      <c r="S103" s="36" t="n">
        <f aca="false">MAX(S97-S99,0)</f>
        <v>6017.51189887506</v>
      </c>
    </row>
    <row r="104" customFormat="false" ht="15" hidden="false" customHeight="false" outlineLevel="0" collapsed="false">
      <c r="A104" s="73" t="s">
        <v>983</v>
      </c>
      <c r="B104" s="74" t="s">
        <v>994</v>
      </c>
      <c r="C104" s="66" t="s">
        <v>130</v>
      </c>
      <c r="D104" s="43" t="s">
        <v>332</v>
      </c>
      <c r="E104" s="75" t="s">
        <v>43</v>
      </c>
      <c r="F104" s="76"/>
      <c r="G104" s="36" t="n">
        <f aca="false">G103+IF(G41=G53,G106,0)</f>
        <v>0</v>
      </c>
      <c r="H104" s="36" t="n">
        <f aca="false">H103+IF(H41=H53,H106,0)</f>
        <v>1086000</v>
      </c>
      <c r="I104" s="36" t="n">
        <f aca="false">I103+IF(I41=I53,I106,0)</f>
        <v>540423.273083952</v>
      </c>
      <c r="J104" s="36" t="n">
        <f aca="false">J103+IF(J41=J53,J106,0)</f>
        <v>14606.3462682221</v>
      </c>
      <c r="K104" s="36" t="n">
        <f aca="false">K103+IF(K41=K53,K106,0)</f>
        <v>14606.3462682221</v>
      </c>
      <c r="L104" s="36" t="n">
        <f aca="false">L103+IF(L41=L53,L106,0)</f>
        <v>14606.3462682221</v>
      </c>
      <c r="M104" s="36" t="n">
        <f aca="false">M103+IF(M41=M53,M106,0)</f>
        <v>14606.3462682221</v>
      </c>
      <c r="N104" s="36" t="n">
        <f aca="false">N103+IF(N41=N53,N106,0)</f>
        <v>14606.3462682221</v>
      </c>
      <c r="O104" s="36" t="n">
        <f aca="false">O103+IF(O41=O53,O106,0)</f>
        <v>14606.3462682221</v>
      </c>
      <c r="P104" s="36" t="n">
        <f aca="false">P103+IF(P41=P53,P106,0)</f>
        <v>14606.3462682221</v>
      </c>
      <c r="Q104" s="36" t="n">
        <f aca="false">Q103+IF(Q41=Q53,Q106,0)</f>
        <v>14606.3462682221</v>
      </c>
      <c r="R104" s="36" t="n">
        <f aca="false">R103+IF(R41=R53,R106,0)</f>
        <v>14606.3462682221</v>
      </c>
      <c r="S104" s="36" t="n">
        <f aca="false">S103+IF(S41=S53,S106,0)</f>
        <v>14606.3462682221</v>
      </c>
    </row>
    <row r="105" customFormat="false" ht="15" hidden="false" customHeight="false" outlineLevel="0" collapsed="false">
      <c r="A105" s="73" t="s">
        <v>983</v>
      </c>
      <c r="B105" s="74" t="s">
        <v>995</v>
      </c>
      <c r="C105" s="66" t="s">
        <v>130</v>
      </c>
      <c r="D105" s="43" t="s">
        <v>332</v>
      </c>
      <c r="E105" s="75" t="s">
        <v>43</v>
      </c>
      <c r="F105" s="76"/>
      <c r="G105" s="78" t="n">
        <f aca="false">IF(G104&lt;=(IF(G41="EE.UU.",G88,0)+IF(G41="China",G91,0)+IF(G41="Europa",G94,0)),G103,IFERROR(G103/G104*(IF(G41="EE.UU.",G88,0)+IF(G41="China",G91,0)+IF(G41="Europa",G94,0)),0))</f>
        <v>0</v>
      </c>
      <c r="H105" s="78" t="n">
        <f aca="false">IF(H104&lt;=(IF(H41="EE.UU.",H88,0)+IF(H41="China",H91,0)+IF(H41="Europa",H94,0)),H103,IFERROR(H103/H104*(IF(H41="EE.UU.",H88,0)+IF(H41="China",H91,0)+IF(H41="Europa",H94,0)),0))</f>
        <v>0</v>
      </c>
      <c r="I105" s="78" t="n">
        <f aca="false">IF(I104&lt;=(IF(I41="EE.UU.",I88,0)+IF(I41="China",I91,0)+IF(I41="Europa",I94,0)),I103,IFERROR(I103/I104*(IF(I41="EE.UU.",I88,0)+IF(I41="China",I91,0)+IF(I41="Europa",I94,0)),0))</f>
        <v>121304.659721399</v>
      </c>
      <c r="J105" s="78" t="n">
        <f aca="false">IF(J104&lt;=(IF(J41="EE.UU.",J88,0)+IF(J41="China",J91,0)+IF(J41="Europa",J94,0)),J103,IFERROR(J103/J104*(IF(J41="EE.UU.",J88,0)+IF(J41="China",J91,0)+IF(J41="Europa",J94,0)),0))</f>
        <v>0</v>
      </c>
      <c r="K105" s="78" t="n">
        <f aca="false">IF(K104&lt;=(IF(K41="EE.UU.",K88,0)+IF(K41="China",K91,0)+IF(K41="Europa",K94,0)),K103,IFERROR(K103/K104*(IF(K41="EE.UU.",K88,0)+IF(K41="China",K91,0)+IF(K41="Europa",K94,0)),0))</f>
        <v>0</v>
      </c>
      <c r="L105" s="78" t="n">
        <f aca="false">IF(L104&lt;=(IF(L41="EE.UU.",L88,0)+IF(L41="China",L91,0)+IF(L41="Europa",L94,0)),L103,IFERROR(L103/L104*(IF(L41="EE.UU.",L88,0)+IF(L41="China",L91,0)+IF(L41="Europa",L94,0)),0))</f>
        <v>0</v>
      </c>
      <c r="M105" s="78" t="n">
        <f aca="false">IF(M104&lt;=(IF(M41="EE.UU.",M88,0)+IF(M41="China",M91,0)+IF(M41="Europa",M94,0)),M103,IFERROR(M103/M104*(IF(M41="EE.UU.",M88,0)+IF(M41="China",M91,0)+IF(M41="Europa",M94,0)),0))</f>
        <v>0</v>
      </c>
      <c r="N105" s="78" t="n">
        <f aca="false">IF(N104&lt;=(IF(N41="EE.UU.",N88,0)+IF(N41="China",N91,0)+IF(N41="Europa",N94,0)),N103,IFERROR(N103/N104*(IF(N41="EE.UU.",N88,0)+IF(N41="China",N91,0)+IF(N41="Europa",N94,0)),0))</f>
        <v>0</v>
      </c>
      <c r="O105" s="78" t="n">
        <f aca="false">IF(O104&lt;=(IF(O41="EE.UU.",O88,0)+IF(O41="China",O91,0)+IF(O41="Europa",O94,0)),O103,IFERROR(O103/O104*(IF(O41="EE.UU.",O88,0)+IF(O41="China",O91,0)+IF(O41="Europa",O94,0)),0))</f>
        <v>0</v>
      </c>
      <c r="P105" s="78" t="n">
        <f aca="false">IF(P104&lt;=(IF(P41="EE.UU.",P88,0)+IF(P41="China",P91,0)+IF(P41="Europa",P94,0)),P103,IFERROR(P103/P104*(IF(P41="EE.UU.",P88,0)+IF(P41="China",P91,0)+IF(P41="Europa",P94,0)),0))</f>
        <v>0</v>
      </c>
      <c r="Q105" s="78" t="n">
        <f aca="false">IF(Q104&lt;=(IF(Q41="EE.UU.",Q88,0)+IF(Q41="China",Q91,0)+IF(Q41="Europa",Q94,0)),Q103,IFERROR(Q103/Q104*(IF(Q41="EE.UU.",Q88,0)+IF(Q41="China",Q91,0)+IF(Q41="Europa",Q94,0)),0))</f>
        <v>0</v>
      </c>
      <c r="R105" s="78" t="n">
        <f aca="false">IF(R104&lt;=(IF(R41="EE.UU.",R88,0)+IF(R41="China",R91,0)+IF(R41="Europa",R94,0)),R103,IFERROR(R103/R104*(IF(R41="EE.UU.",R88,0)+IF(R41="China",R91,0)+IF(R41="Europa",R94,0)),0))</f>
        <v>0</v>
      </c>
      <c r="S105" s="78" t="n">
        <f aca="false">IF(S104&lt;=(IF(S41="EE.UU.",S88,0)+IF(S41="China",S91,0)+IF(S41="Europa",S94,0)),S103,IFERROR(S103/S104*(IF(S41="EE.UU.",S88,0)+IF(S41="China",S91,0)+IF(S41="Europa",S94,0)),0))</f>
        <v>0</v>
      </c>
    </row>
    <row r="106" customFormat="false" ht="15" hidden="false" customHeight="false" outlineLevel="0" collapsed="false">
      <c r="A106" s="73" t="s">
        <v>983</v>
      </c>
      <c r="B106" s="74" t="s">
        <v>993</v>
      </c>
      <c r="C106" s="66" t="s">
        <v>134</v>
      </c>
      <c r="D106" s="43" t="s">
        <v>332</v>
      </c>
      <c r="E106" s="75" t="s">
        <v>43</v>
      </c>
      <c r="F106" s="76"/>
      <c r="G106" s="36" t="n">
        <f aca="false">MAX(G100-G102,0)</f>
        <v>0</v>
      </c>
      <c r="H106" s="36" t="n">
        <f aca="false">MAX(H100-H102,0)</f>
        <v>270000</v>
      </c>
      <c r="I106" s="36" t="n">
        <f aca="false">MAX(I100-I102,0)</f>
        <v>317780.086588586</v>
      </c>
      <c r="J106" s="36" t="n">
        <f aca="false">MAX(J100-J102,0)</f>
        <v>8588.83436934708</v>
      </c>
      <c r="K106" s="36" t="n">
        <f aca="false">MAX(K100-K102,0)</f>
        <v>8588.83436934708</v>
      </c>
      <c r="L106" s="36" t="n">
        <f aca="false">MAX(L100-L102,0)</f>
        <v>8588.83436934708</v>
      </c>
      <c r="M106" s="36" t="n">
        <f aca="false">MAX(M100-M102,0)</f>
        <v>8588.83436934708</v>
      </c>
      <c r="N106" s="36" t="n">
        <f aca="false">MAX(N100-N102,0)</f>
        <v>8588.83436934708</v>
      </c>
      <c r="O106" s="36" t="n">
        <f aca="false">MAX(O100-O102,0)</f>
        <v>8588.83436934708</v>
      </c>
      <c r="P106" s="36" t="n">
        <f aca="false">MAX(P100-P102,0)</f>
        <v>8588.83436934708</v>
      </c>
      <c r="Q106" s="36" t="n">
        <f aca="false">MAX(Q100-Q102,0)</f>
        <v>8588.83436934708</v>
      </c>
      <c r="R106" s="36" t="n">
        <f aca="false">MAX(R100-R102,0)</f>
        <v>8588.83436934708</v>
      </c>
      <c r="S106" s="36" t="n">
        <f aca="false">MAX(S100-S102,0)</f>
        <v>8588.83436934708</v>
      </c>
    </row>
    <row r="107" customFormat="false" ht="15" hidden="false" customHeight="false" outlineLevel="0" collapsed="false">
      <c r="A107" s="73" t="s">
        <v>983</v>
      </c>
      <c r="B107" s="74" t="s">
        <v>994</v>
      </c>
      <c r="C107" s="66" t="s">
        <v>134</v>
      </c>
      <c r="D107" s="43" t="s">
        <v>332</v>
      </c>
      <c r="E107" s="75" t="s">
        <v>43</v>
      </c>
      <c r="F107" s="76"/>
      <c r="G107" s="36" t="n">
        <f aca="false">G106+IF(G53=G41,G103,0)</f>
        <v>0</v>
      </c>
      <c r="H107" s="36" t="n">
        <f aca="false">H106+IF(H53=H41,H103,0)</f>
        <v>1086000</v>
      </c>
      <c r="I107" s="36" t="n">
        <f aca="false">I106+IF(I53=I41,I103,0)</f>
        <v>540423.273083952</v>
      </c>
      <c r="J107" s="36" t="n">
        <f aca="false">J106+IF(J53=J41,J103,0)</f>
        <v>14606.3462682221</v>
      </c>
      <c r="K107" s="36" t="n">
        <f aca="false">K106+IF(K53=K41,K103,0)</f>
        <v>14606.3462682221</v>
      </c>
      <c r="L107" s="36" t="n">
        <f aca="false">L106+IF(L53=L41,L103,0)</f>
        <v>14606.3462682221</v>
      </c>
      <c r="M107" s="36" t="n">
        <f aca="false">M106+IF(M53=M41,M103,0)</f>
        <v>14606.3462682221</v>
      </c>
      <c r="N107" s="36" t="n">
        <f aca="false">N106+IF(N53=N41,N103,0)</f>
        <v>14606.3462682221</v>
      </c>
      <c r="O107" s="36" t="n">
        <f aca="false">O106+IF(O53=O41,O103,0)</f>
        <v>14606.3462682221</v>
      </c>
      <c r="P107" s="36" t="n">
        <f aca="false">P106+IF(P53=P41,P103,0)</f>
        <v>14606.3462682221</v>
      </c>
      <c r="Q107" s="36" t="n">
        <f aca="false">Q106+IF(Q53=Q41,Q103,0)</f>
        <v>14606.3462682221</v>
      </c>
      <c r="R107" s="36" t="n">
        <f aca="false">R106+IF(R53=R41,R103,0)</f>
        <v>14606.3462682221</v>
      </c>
      <c r="S107" s="36" t="n">
        <f aca="false">S106+IF(S53=S41,S103,0)</f>
        <v>14606.3462682221</v>
      </c>
    </row>
    <row r="108" customFormat="false" ht="15" hidden="false" customHeight="false" outlineLevel="0" collapsed="false">
      <c r="A108" s="73" t="s">
        <v>983</v>
      </c>
      <c r="B108" s="74" t="s">
        <v>995</v>
      </c>
      <c r="C108" s="66" t="s">
        <v>134</v>
      </c>
      <c r="D108" s="43" t="s">
        <v>332</v>
      </c>
      <c r="E108" s="75" t="s">
        <v>43</v>
      </c>
      <c r="F108" s="76"/>
      <c r="G108" s="78" t="n">
        <f aca="false">IF(G107&lt;=(IF(G53="EE.UU.",G88,0)+IF(G53="China",G91,0)+IF(G53="Europa",G94,0)),G106,IFERROR(G106/G107*(IF(G53="EE.UU.",G88,0)+IF(G53="China",G91,0)+IF(G53="Europa",G94,0)),0))</f>
        <v>0</v>
      </c>
      <c r="H108" s="78" t="n">
        <f aca="false">IF(H107&lt;=(IF(H53="EE.UU.",H88,0)+IF(H53="China",H91,0)+IF(H53="Europa",H94,0)),H106,IFERROR(H106/H107*(IF(H53="EE.UU.",H88,0)+IF(H53="China",H91,0)+IF(H53="Europa",H94,0)),0))</f>
        <v>0</v>
      </c>
      <c r="I108" s="78" t="n">
        <f aca="false">IF(I107&lt;=(IF(I53="EE.UU.",I88,0)+IF(I53="China",I91,0)+IF(I53="Europa",I94,0)),I106,IFERROR(I106/I107*(IF(I53="EE.UU.",I88,0)+IF(I53="China",I91,0)+IF(I53="Europa",I94,0)),0))</f>
        <v>173138.939828583</v>
      </c>
      <c r="J108" s="78" t="n">
        <f aca="false">IF(J107&lt;=(IF(J53="EE.UU.",J88,0)+IF(J53="China",J91,0)+IF(J53="Europa",J94,0)),J106,IFERROR(J106/J107*(IF(J53="EE.UU.",J88,0)+IF(J53="China",J91,0)+IF(J53="Europa",J94,0)),0))</f>
        <v>0</v>
      </c>
      <c r="K108" s="78" t="n">
        <f aca="false">IF(K107&lt;=(IF(K53="EE.UU.",K88,0)+IF(K53="China",K91,0)+IF(K53="Europa",K94,0)),K106,IFERROR(K106/K107*(IF(K53="EE.UU.",K88,0)+IF(K53="China",K91,0)+IF(K53="Europa",K94,0)),0))</f>
        <v>0</v>
      </c>
      <c r="L108" s="78" t="n">
        <f aca="false">IF(L107&lt;=(IF(L53="EE.UU.",L88,0)+IF(L53="China",L91,0)+IF(L53="Europa",L94,0)),L106,IFERROR(L106/L107*(IF(L53="EE.UU.",L88,0)+IF(L53="China",L91,0)+IF(L53="Europa",L94,0)),0))</f>
        <v>0</v>
      </c>
      <c r="M108" s="78" t="n">
        <f aca="false">IF(M107&lt;=(IF(M53="EE.UU.",M88,0)+IF(M53="China",M91,0)+IF(M53="Europa",M94,0)),M106,IFERROR(M106/M107*(IF(M53="EE.UU.",M88,0)+IF(M53="China",M91,0)+IF(M53="Europa",M94,0)),0))</f>
        <v>0</v>
      </c>
      <c r="N108" s="78" t="n">
        <f aca="false">IF(N107&lt;=(IF(N53="EE.UU.",N88,0)+IF(N53="China",N91,0)+IF(N53="Europa",N94,0)),N106,IFERROR(N106/N107*(IF(N53="EE.UU.",N88,0)+IF(N53="China",N91,0)+IF(N53="Europa",N94,0)),0))</f>
        <v>0</v>
      </c>
      <c r="O108" s="78" t="n">
        <f aca="false">IF(O107&lt;=(IF(O53="EE.UU.",O88,0)+IF(O53="China",O91,0)+IF(O53="Europa",O94,0)),O106,IFERROR(O106/O107*(IF(O53="EE.UU.",O88,0)+IF(O53="China",O91,0)+IF(O53="Europa",O94,0)),0))</f>
        <v>0</v>
      </c>
      <c r="P108" s="78" t="n">
        <f aca="false">IF(P107&lt;=(IF(P53="EE.UU.",P88,0)+IF(P53="China",P91,0)+IF(P53="Europa",P94,0)),P106,IFERROR(P106/P107*(IF(P53="EE.UU.",P88,0)+IF(P53="China",P91,0)+IF(P53="Europa",P94,0)),0))</f>
        <v>0</v>
      </c>
      <c r="Q108" s="78" t="n">
        <f aca="false">IF(Q107&lt;=(IF(Q53="EE.UU.",Q88,0)+IF(Q53="China",Q91,0)+IF(Q53="Europa",Q94,0)),Q106,IFERROR(Q106/Q107*(IF(Q53="EE.UU.",Q88,0)+IF(Q53="China",Q91,0)+IF(Q53="Europa",Q94,0)),0))</f>
        <v>0</v>
      </c>
      <c r="R108" s="78" t="n">
        <f aca="false">IF(R107&lt;=(IF(R53="EE.UU.",R88,0)+IF(R53="China",R91,0)+IF(R53="Europa",R94,0)),R106,IFERROR(R106/R107*(IF(R53="EE.UU.",R88,0)+IF(R53="China",R91,0)+IF(R53="Europa",R94,0)),0))</f>
        <v>0</v>
      </c>
      <c r="S108" s="78" t="n">
        <f aca="false">IF(S107&lt;=(IF(S53="EE.UU.",S88,0)+IF(S53="China",S91,0)+IF(S53="Europa",S94,0)),S106,IFERROR(S106/S107*(IF(S53="EE.UU.",S88,0)+IF(S53="China",S91,0)+IF(S53="Europa",S94,0)),0))</f>
        <v>0</v>
      </c>
    </row>
    <row r="109" customFormat="false" ht="15" hidden="false" customHeight="false" outlineLevel="0" collapsed="false">
      <c r="A109" s="73" t="s">
        <v>983</v>
      </c>
      <c r="B109" s="74" t="s">
        <v>996</v>
      </c>
      <c r="C109" s="66" t="s">
        <v>130</v>
      </c>
      <c r="D109" s="43" t="s">
        <v>332</v>
      </c>
      <c r="E109" s="75" t="s">
        <v>43</v>
      </c>
      <c r="F109" s="76"/>
      <c r="G109" s="36" t="n">
        <f aca="false">MAX(G103-G105,0)</f>
        <v>0</v>
      </c>
      <c r="H109" s="36" t="n">
        <f aca="false">MAX(H103-H105,0)</f>
        <v>816000</v>
      </c>
      <c r="I109" s="36" t="n">
        <f aca="false">MAX(I103-I105,0)</f>
        <v>101338.526773967</v>
      </c>
      <c r="J109" s="36" t="n">
        <f aca="false">MAX(J103-J105,0)</f>
        <v>6017.51189887506</v>
      </c>
      <c r="K109" s="36" t="n">
        <f aca="false">MAX(K103-K105,0)</f>
        <v>6017.51189887506</v>
      </c>
      <c r="L109" s="36" t="n">
        <f aca="false">MAX(L103-L105,0)</f>
        <v>6017.51189887506</v>
      </c>
      <c r="M109" s="36" t="n">
        <f aca="false">MAX(M103-M105,0)</f>
        <v>6017.51189887506</v>
      </c>
      <c r="N109" s="36" t="n">
        <f aca="false">MAX(N103-N105,0)</f>
        <v>6017.51189887506</v>
      </c>
      <c r="O109" s="36" t="n">
        <f aca="false">MAX(O103-O105,0)</f>
        <v>6017.51189887506</v>
      </c>
      <c r="P109" s="36" t="n">
        <f aca="false">MAX(P103-P105,0)</f>
        <v>6017.51189887506</v>
      </c>
      <c r="Q109" s="36" t="n">
        <f aca="false">MAX(Q103-Q105,0)</f>
        <v>6017.51189887506</v>
      </c>
      <c r="R109" s="36" t="n">
        <f aca="false">MAX(R103-R105,0)</f>
        <v>6017.51189887506</v>
      </c>
      <c r="S109" s="36" t="n">
        <f aca="false">MAX(S103-S105,0)</f>
        <v>6017.51189887506</v>
      </c>
    </row>
    <row r="110" customFormat="false" ht="15" hidden="false" customHeight="false" outlineLevel="0" collapsed="false">
      <c r="A110" s="73" t="s">
        <v>983</v>
      </c>
      <c r="B110" s="74" t="s">
        <v>997</v>
      </c>
      <c r="C110" s="66" t="s">
        <v>130</v>
      </c>
      <c r="D110" s="43" t="s">
        <v>332</v>
      </c>
      <c r="E110" s="75" t="s">
        <v>43</v>
      </c>
      <c r="F110" s="76"/>
      <c r="G110" s="36" t="n">
        <f aca="false">G109+IF(G42=G54,G112,0)</f>
        <v>0</v>
      </c>
      <c r="H110" s="36" t="n">
        <f aca="false">H109+IF(H42=H54,H112,0)</f>
        <v>1086000</v>
      </c>
      <c r="I110" s="36" t="n">
        <f aca="false">I109+IF(I42=I54,I112,0)</f>
        <v>245979.67353397</v>
      </c>
      <c r="J110" s="36" t="n">
        <f aca="false">J109+IF(J42=J54,J112,0)</f>
        <v>14606.3462682221</v>
      </c>
      <c r="K110" s="36" t="n">
        <f aca="false">K109+IF(K42=K54,K112,0)</f>
        <v>14606.3462682221</v>
      </c>
      <c r="L110" s="36" t="n">
        <f aca="false">L109+IF(L42=L54,L112,0)</f>
        <v>14606.3462682221</v>
      </c>
      <c r="M110" s="36" t="n">
        <f aca="false">M109+IF(M42=M54,M112,0)</f>
        <v>14606.3462682221</v>
      </c>
      <c r="N110" s="36" t="n">
        <f aca="false">N109+IF(N42=N54,N112,0)</f>
        <v>14606.3462682221</v>
      </c>
      <c r="O110" s="36" t="n">
        <f aca="false">O109+IF(O42=O54,O112,0)</f>
        <v>14606.3462682221</v>
      </c>
      <c r="P110" s="36" t="n">
        <f aca="false">P109+IF(P42=P54,P112,0)</f>
        <v>14606.3462682221</v>
      </c>
      <c r="Q110" s="36" t="n">
        <f aca="false">Q109+IF(Q42=Q54,Q112,0)</f>
        <v>14606.3462682221</v>
      </c>
      <c r="R110" s="36" t="n">
        <f aca="false">R109+IF(R42=R54,R112,0)</f>
        <v>14606.3462682221</v>
      </c>
      <c r="S110" s="36" t="n">
        <f aca="false">S109+IF(S42=S54,S112,0)</f>
        <v>14606.3462682221</v>
      </c>
    </row>
    <row r="111" customFormat="false" ht="15" hidden="false" customHeight="false" outlineLevel="0" collapsed="false">
      <c r="A111" s="73" t="s">
        <v>983</v>
      </c>
      <c r="B111" s="74" t="s">
        <v>998</v>
      </c>
      <c r="C111" s="66" t="s">
        <v>130</v>
      </c>
      <c r="D111" s="43" t="s">
        <v>332</v>
      </c>
      <c r="E111" s="75" t="s">
        <v>43</v>
      </c>
      <c r="F111" s="76"/>
      <c r="G111" s="78" t="n">
        <f aca="false">IF(G110&lt;=(IF(G42="EE.UU.",G89,0)+IF(G42="China",G92,0)+IF(G42="Europa",G95,0)),G109,IFERROR(G109/G110*(IF(G42="EE.UU.",G89,0)+IF(G42="China",G92,0)+IF(G42="Europa",G95,0)),0))</f>
        <v>0</v>
      </c>
      <c r="H111" s="78" t="n">
        <f aca="false">IF(H110&lt;=(IF(H42="EE.UU.",H89,0)+IF(H42="China",H92,0)+IF(H42="Europa",H95,0)),H109,IFERROR(H109/H110*(IF(H42="EE.UU.",H89,0)+IF(H42="China",H92,0)+IF(H42="Europa",H95,0)),0))</f>
        <v>0</v>
      </c>
      <c r="I111" s="78" t="n">
        <f aca="false">IF(I110&lt;=(IF(I42="EE.UU.",I89,0)+IF(I42="China",I92,0)+IF(I42="Europa",I95,0)),I109,IFERROR(I109/I110*(IF(I42="EE.UU.",I89,0)+IF(I42="China",I92,0)+IF(I42="Europa",I95,0)),0))</f>
        <v>95321.0148750919</v>
      </c>
      <c r="J111" s="78" t="n">
        <f aca="false">IF(J110&lt;=(IF(J42="EE.UU.",J89,0)+IF(J42="China",J92,0)+IF(J42="Europa",J95,0)),J109,IFERROR(J109/J110*(IF(J42="EE.UU.",J89,0)+IF(J42="China",J92,0)+IF(J42="Europa",J95,0)),0))</f>
        <v>0</v>
      </c>
      <c r="K111" s="78" t="n">
        <f aca="false">IF(K110&lt;=(IF(K42="EE.UU.",K89,0)+IF(K42="China",K92,0)+IF(K42="Europa",K95,0)),K109,IFERROR(K109/K110*(IF(K42="EE.UU.",K89,0)+IF(K42="China",K92,0)+IF(K42="Europa",K95,0)),0))</f>
        <v>0</v>
      </c>
      <c r="L111" s="78" t="n">
        <f aca="false">IF(L110&lt;=(IF(L42="EE.UU.",L89,0)+IF(L42="China",L92,0)+IF(L42="Europa",L95,0)),L109,IFERROR(L109/L110*(IF(L42="EE.UU.",L89,0)+IF(L42="China",L92,0)+IF(L42="Europa",L95,0)),0))</f>
        <v>0</v>
      </c>
      <c r="M111" s="78" t="n">
        <f aca="false">IF(M110&lt;=(IF(M42="EE.UU.",M89,0)+IF(M42="China",M92,0)+IF(M42="Europa",M95,0)),M109,IFERROR(M109/M110*(IF(M42="EE.UU.",M89,0)+IF(M42="China",M92,0)+IF(M42="Europa",M95,0)),0))</f>
        <v>0</v>
      </c>
      <c r="N111" s="78" t="n">
        <f aca="false">IF(N110&lt;=(IF(N42="EE.UU.",N89,0)+IF(N42="China",N92,0)+IF(N42="Europa",N95,0)),N109,IFERROR(N109/N110*(IF(N42="EE.UU.",N89,0)+IF(N42="China",N92,0)+IF(N42="Europa",N95,0)),0))</f>
        <v>0</v>
      </c>
      <c r="O111" s="78" t="n">
        <f aca="false">IF(O110&lt;=(IF(O42="EE.UU.",O89,0)+IF(O42="China",O92,0)+IF(O42="Europa",O95,0)),O109,IFERROR(O109/O110*(IF(O42="EE.UU.",O89,0)+IF(O42="China",O92,0)+IF(O42="Europa",O95,0)),0))</f>
        <v>0</v>
      </c>
      <c r="P111" s="78" t="n">
        <f aca="false">IF(P110&lt;=(IF(P42="EE.UU.",P89,0)+IF(P42="China",P92,0)+IF(P42="Europa",P95,0)),P109,IFERROR(P109/P110*(IF(P42="EE.UU.",P89,0)+IF(P42="China",P92,0)+IF(P42="Europa",P95,0)),0))</f>
        <v>0</v>
      </c>
      <c r="Q111" s="78" t="n">
        <f aca="false">IF(Q110&lt;=(IF(Q42="EE.UU.",Q89,0)+IF(Q42="China",Q92,0)+IF(Q42="Europa",Q95,0)),Q109,IFERROR(Q109/Q110*(IF(Q42="EE.UU.",Q89,0)+IF(Q42="China",Q92,0)+IF(Q42="Europa",Q95,0)),0))</f>
        <v>0</v>
      </c>
      <c r="R111" s="78" t="n">
        <f aca="false">IF(R110&lt;=(IF(R42="EE.UU.",R89,0)+IF(R42="China",R92,0)+IF(R42="Europa",R95,0)),R109,IFERROR(R109/R110*(IF(R42="EE.UU.",R89,0)+IF(R42="China",R92,0)+IF(R42="Europa",R95,0)),0))</f>
        <v>0</v>
      </c>
      <c r="S111" s="78" t="n">
        <f aca="false">IF(S110&lt;=(IF(S42="EE.UU.",S89,0)+IF(S42="China",S92,0)+IF(S42="Europa",S95,0)),S109,IFERROR(S109/S110*(IF(S42="EE.UU.",S89,0)+IF(S42="China",S92,0)+IF(S42="Europa",S95,0)),0))</f>
        <v>0</v>
      </c>
    </row>
    <row r="112" customFormat="false" ht="15" hidden="false" customHeight="false" outlineLevel="0" collapsed="false">
      <c r="A112" s="73" t="s">
        <v>983</v>
      </c>
      <c r="B112" s="74" t="s">
        <v>996</v>
      </c>
      <c r="C112" s="66" t="s">
        <v>134</v>
      </c>
      <c r="D112" s="43" t="s">
        <v>332</v>
      </c>
      <c r="E112" s="75" t="s">
        <v>43</v>
      </c>
      <c r="F112" s="76"/>
      <c r="G112" s="36" t="n">
        <f aca="false">MAX(G106-G108,0)</f>
        <v>0</v>
      </c>
      <c r="H112" s="36" t="n">
        <f aca="false">MAX(H106-H108,0)</f>
        <v>270000</v>
      </c>
      <c r="I112" s="36" t="n">
        <f aca="false">MAX(I106-I108,0)</f>
        <v>144641.146760003</v>
      </c>
      <c r="J112" s="36" t="n">
        <f aca="false">MAX(J106-J108,0)</f>
        <v>8588.83436934708</v>
      </c>
      <c r="K112" s="36" t="n">
        <f aca="false">MAX(K106-K108,0)</f>
        <v>8588.83436934708</v>
      </c>
      <c r="L112" s="36" t="n">
        <f aca="false">MAX(L106-L108,0)</f>
        <v>8588.83436934708</v>
      </c>
      <c r="M112" s="36" t="n">
        <f aca="false">MAX(M106-M108,0)</f>
        <v>8588.83436934708</v>
      </c>
      <c r="N112" s="36" t="n">
        <f aca="false">MAX(N106-N108,0)</f>
        <v>8588.83436934708</v>
      </c>
      <c r="O112" s="36" t="n">
        <f aca="false">MAX(O106-O108,0)</f>
        <v>8588.83436934708</v>
      </c>
      <c r="P112" s="36" t="n">
        <f aca="false">MAX(P106-P108,0)</f>
        <v>8588.83436934708</v>
      </c>
      <c r="Q112" s="36" t="n">
        <f aca="false">MAX(Q106-Q108,0)</f>
        <v>8588.83436934708</v>
      </c>
      <c r="R112" s="36" t="n">
        <f aca="false">MAX(R106-R108,0)</f>
        <v>8588.83436934708</v>
      </c>
      <c r="S112" s="36" t="n">
        <f aca="false">MAX(S106-S108,0)</f>
        <v>8588.83436934708</v>
      </c>
    </row>
    <row r="113" customFormat="false" ht="15" hidden="false" customHeight="false" outlineLevel="0" collapsed="false">
      <c r="A113" s="73" t="s">
        <v>983</v>
      </c>
      <c r="B113" s="74" t="s">
        <v>997</v>
      </c>
      <c r="C113" s="66" t="s">
        <v>134</v>
      </c>
      <c r="D113" s="43" t="s">
        <v>332</v>
      </c>
      <c r="E113" s="75" t="s">
        <v>43</v>
      </c>
      <c r="F113" s="76"/>
      <c r="G113" s="36" t="n">
        <f aca="false">G112+IF(G54=G42,G109,0)</f>
        <v>0</v>
      </c>
      <c r="H113" s="36" t="n">
        <f aca="false">H112+IF(H54=H42,H109,0)</f>
        <v>1086000</v>
      </c>
      <c r="I113" s="36" t="n">
        <f aca="false">I112+IF(I54=I42,I109,0)</f>
        <v>245979.67353397</v>
      </c>
      <c r="J113" s="36" t="n">
        <f aca="false">J112+IF(J54=J42,J109,0)</f>
        <v>14606.3462682221</v>
      </c>
      <c r="K113" s="36" t="n">
        <f aca="false">K112+IF(K54=K42,K109,0)</f>
        <v>14606.3462682221</v>
      </c>
      <c r="L113" s="36" t="n">
        <f aca="false">L112+IF(L54=L42,L109,0)</f>
        <v>14606.3462682221</v>
      </c>
      <c r="M113" s="36" t="n">
        <f aca="false">M112+IF(M54=M42,M109,0)</f>
        <v>14606.3462682221</v>
      </c>
      <c r="N113" s="36" t="n">
        <f aca="false">N112+IF(N54=N42,N109,0)</f>
        <v>14606.3462682221</v>
      </c>
      <c r="O113" s="36" t="n">
        <f aca="false">O112+IF(O54=O42,O109,0)</f>
        <v>14606.3462682221</v>
      </c>
      <c r="P113" s="36" t="n">
        <f aca="false">P112+IF(P54=P42,P109,0)</f>
        <v>14606.3462682221</v>
      </c>
      <c r="Q113" s="36" t="n">
        <f aca="false">Q112+IF(Q54=Q42,Q109,0)</f>
        <v>14606.3462682221</v>
      </c>
      <c r="R113" s="36" t="n">
        <f aca="false">R112+IF(R54=R42,R109,0)</f>
        <v>14606.3462682221</v>
      </c>
      <c r="S113" s="36" t="n">
        <f aca="false">S112+IF(S54=S42,S109,0)</f>
        <v>14606.3462682221</v>
      </c>
    </row>
    <row r="114" customFormat="false" ht="15" hidden="false" customHeight="false" outlineLevel="0" collapsed="false">
      <c r="A114" s="73" t="s">
        <v>983</v>
      </c>
      <c r="B114" s="74" t="s">
        <v>998</v>
      </c>
      <c r="C114" s="66" t="s">
        <v>134</v>
      </c>
      <c r="D114" s="43" t="s">
        <v>332</v>
      </c>
      <c r="E114" s="75" t="s">
        <v>43</v>
      </c>
      <c r="F114" s="76"/>
      <c r="G114" s="78" t="n">
        <f aca="false">IF(G113&lt;=(IF(G54="EE.UU.",G89,0)+IF(G54="China",G92,0)+IF(G54="Europa",G95,0)),G112,IFERROR(G112/G113*(IF(G54="EE.UU.",G89,0)+IF(G54="China",G92,0)+IF(G54="Europa",G95,0)),0))</f>
        <v>0</v>
      </c>
      <c r="H114" s="78" t="n">
        <f aca="false">IF(H113&lt;=(IF(H54="EE.UU.",H89,0)+IF(H54="China",H92,0)+IF(H54="Europa",H95,0)),H112,IFERROR(H112/H113*(IF(H54="EE.UU.",H89,0)+IF(H54="China",H92,0)+IF(H54="Europa",H95,0)),0))</f>
        <v>0</v>
      </c>
      <c r="I114" s="78" t="n">
        <f aca="false">IF(I113&lt;=(IF(I54="EE.UU.",I89,0)+IF(I54="China",I92,0)+IF(I54="Europa",I95,0)),I112,IFERROR(I112/I113*(IF(I54="EE.UU.",I89,0)+IF(I54="China",I92,0)+IF(I54="Europa",I95,0)),0))</f>
        <v>136052.312390656</v>
      </c>
      <c r="J114" s="78" t="n">
        <f aca="false">IF(J113&lt;=(IF(J54="EE.UU.",J89,0)+IF(J54="China",J92,0)+IF(J54="Europa",J95,0)),J112,IFERROR(J112/J113*(IF(J54="EE.UU.",J89,0)+IF(J54="China",J92,0)+IF(J54="Europa",J95,0)),0))</f>
        <v>0</v>
      </c>
      <c r="K114" s="78" t="n">
        <f aca="false">IF(K113&lt;=(IF(K54="EE.UU.",K89,0)+IF(K54="China",K92,0)+IF(K54="Europa",K95,0)),K112,IFERROR(K112/K113*(IF(K54="EE.UU.",K89,0)+IF(K54="China",K92,0)+IF(K54="Europa",K95,0)),0))</f>
        <v>0</v>
      </c>
      <c r="L114" s="78" t="n">
        <f aca="false">IF(L113&lt;=(IF(L54="EE.UU.",L89,0)+IF(L54="China",L92,0)+IF(L54="Europa",L95,0)),L112,IFERROR(L112/L113*(IF(L54="EE.UU.",L89,0)+IF(L54="China",L92,0)+IF(L54="Europa",L95,0)),0))</f>
        <v>0</v>
      </c>
      <c r="M114" s="78" t="n">
        <f aca="false">IF(M113&lt;=(IF(M54="EE.UU.",M89,0)+IF(M54="China",M92,0)+IF(M54="Europa",M95,0)),M112,IFERROR(M112/M113*(IF(M54="EE.UU.",M89,0)+IF(M54="China",M92,0)+IF(M54="Europa",M95,0)),0))</f>
        <v>0</v>
      </c>
      <c r="N114" s="78" t="n">
        <f aca="false">IF(N113&lt;=(IF(N54="EE.UU.",N89,0)+IF(N54="China",N92,0)+IF(N54="Europa",N95,0)),N112,IFERROR(N112/N113*(IF(N54="EE.UU.",N89,0)+IF(N54="China",N92,0)+IF(N54="Europa",N95,0)),0))</f>
        <v>0</v>
      </c>
      <c r="O114" s="78" t="n">
        <f aca="false">IF(O113&lt;=(IF(O54="EE.UU.",O89,0)+IF(O54="China",O92,0)+IF(O54="Europa",O95,0)),O112,IFERROR(O112/O113*(IF(O54="EE.UU.",O89,0)+IF(O54="China",O92,0)+IF(O54="Europa",O95,0)),0))</f>
        <v>0</v>
      </c>
      <c r="P114" s="78" t="n">
        <f aca="false">IF(P113&lt;=(IF(P54="EE.UU.",P89,0)+IF(P54="China",P92,0)+IF(P54="Europa",P95,0)),P112,IFERROR(P112/P113*(IF(P54="EE.UU.",P89,0)+IF(P54="China",P92,0)+IF(P54="Europa",P95,0)),0))</f>
        <v>0</v>
      </c>
      <c r="Q114" s="78" t="n">
        <f aca="false">IF(Q113&lt;=(IF(Q54="EE.UU.",Q89,0)+IF(Q54="China",Q92,0)+IF(Q54="Europa",Q95,0)),Q112,IFERROR(Q112/Q113*(IF(Q54="EE.UU.",Q89,0)+IF(Q54="China",Q92,0)+IF(Q54="Europa",Q95,0)),0))</f>
        <v>0</v>
      </c>
      <c r="R114" s="78" t="n">
        <f aca="false">IF(R113&lt;=(IF(R54="EE.UU.",R89,0)+IF(R54="China",R92,0)+IF(R54="Europa",R95,0)),R112,IFERROR(R112/R113*(IF(R54="EE.UU.",R89,0)+IF(R54="China",R92,0)+IF(R54="Europa",R95,0)),0))</f>
        <v>0</v>
      </c>
      <c r="S114" s="78" t="n">
        <f aca="false">IF(S113&lt;=(IF(S54="EE.UU.",S89,0)+IF(S54="China",S92,0)+IF(S54="Europa",S95,0)),S112,IFERROR(S112/S113*(IF(S54="EE.UU.",S89,0)+IF(S54="China",S92,0)+IF(S54="Europa",S95,0)),0))</f>
        <v>0</v>
      </c>
    </row>
    <row r="115" customFormat="false" ht="15" hidden="false" customHeight="false" outlineLevel="0" collapsed="false">
      <c r="A115" s="73" t="s">
        <v>983</v>
      </c>
      <c r="B115" s="74" t="s">
        <v>987</v>
      </c>
      <c r="C115" s="66" t="s">
        <v>131</v>
      </c>
      <c r="D115" s="43" t="s">
        <v>332</v>
      </c>
      <c r="E115" s="75" t="s">
        <v>43</v>
      </c>
      <c r="F115" s="76"/>
      <c r="G115" s="36" t="n">
        <f aca="false">MAX(G15-(IF(G43="EE.UU.",G126,0)+IF(G55="EE.UU.",G129,0)),0)</f>
        <v>0</v>
      </c>
      <c r="H115" s="36" t="n">
        <f aca="false">MAX(H15-(IF(H43="EE.UU.",H126,0)+IF(H55="EE.UU.",H129,0)),0)</f>
        <v>0</v>
      </c>
      <c r="I115" s="36" t="n">
        <f aca="false">MAX(I15-(IF(I43="EE.UU.",I126,0)+IF(I55="EE.UU.",I129,0)),0)</f>
        <v>0</v>
      </c>
      <c r="J115" s="36" t="n">
        <f aca="false">MAX(J15-(IF(J43="EE.UU.",J126,0)+IF(J55="EE.UU.",J129,0)),0)</f>
        <v>0</v>
      </c>
      <c r="K115" s="36" t="n">
        <f aca="false">MAX(K15-(IF(K43="EE.UU.",K126,0)+IF(K55="EE.UU.",K129,0)),0)</f>
        <v>0</v>
      </c>
      <c r="L115" s="36" t="n">
        <f aca="false">MAX(L15-(IF(L43="EE.UU.",L126,0)+IF(L55="EE.UU.",L129,0)),0)</f>
        <v>0</v>
      </c>
      <c r="M115" s="36" t="n">
        <f aca="false">MAX(M15-(IF(M43="EE.UU.",M126,0)+IF(M55="EE.UU.",M129,0)),0)</f>
        <v>0</v>
      </c>
      <c r="N115" s="36" t="n">
        <f aca="false">MAX(N15-(IF(N43="EE.UU.",N126,0)+IF(N55="EE.UU.",N129,0)),0)</f>
        <v>0</v>
      </c>
      <c r="O115" s="36" t="n">
        <f aca="false">MAX(O15-(IF(O43="EE.UU.",O126,0)+IF(O55="EE.UU.",O129,0)),0)</f>
        <v>0</v>
      </c>
      <c r="P115" s="36" t="n">
        <f aca="false">MAX(P15-(IF(P43="EE.UU.",P126,0)+IF(P55="EE.UU.",P129,0)),0)</f>
        <v>0</v>
      </c>
      <c r="Q115" s="36" t="n">
        <f aca="false">MAX(Q15-(IF(Q43="EE.UU.",Q126,0)+IF(Q55="EE.UU.",Q129,0)),0)</f>
        <v>0</v>
      </c>
      <c r="R115" s="36" t="n">
        <f aca="false">MAX(R15-(IF(R43="EE.UU.",R126,0)+IF(R55="EE.UU.",R129,0)),0)</f>
        <v>0</v>
      </c>
      <c r="S115" s="36" t="n">
        <f aca="false">MAX(S15-(IF(S43="EE.UU.",S126,0)+IF(S55="EE.UU.",S129,0)),0)</f>
        <v>0</v>
      </c>
    </row>
    <row r="116" customFormat="false" ht="15" hidden="false" customHeight="false" outlineLevel="0" collapsed="false">
      <c r="A116" s="73" t="s">
        <v>983</v>
      </c>
      <c r="B116" s="74" t="s">
        <v>988</v>
      </c>
      <c r="C116" s="66" t="s">
        <v>131</v>
      </c>
      <c r="D116" s="43" t="s">
        <v>332</v>
      </c>
      <c r="E116" s="75" t="s">
        <v>43</v>
      </c>
      <c r="F116" s="76"/>
      <c r="G116" s="36" t="n">
        <f aca="false">MAX(G115-(IF(G44="EE.UU.",G132,0)+IF(G56="EE.UU.",G135,0)),0)</f>
        <v>0</v>
      </c>
      <c r="H116" s="36" t="n">
        <f aca="false">MAX(H115-(IF(H44="EE.UU.",H132,0)+IF(H56="EE.UU.",H135,0)),0)</f>
        <v>0</v>
      </c>
      <c r="I116" s="36" t="n">
        <f aca="false">MAX(I115-(IF(I44="EE.UU.",I132,0)+IF(I56="EE.UU.",I135,0)),0)</f>
        <v>0</v>
      </c>
      <c r="J116" s="36" t="n">
        <f aca="false">MAX(J115-(IF(J44="EE.UU.",J132,0)+IF(J56="EE.UU.",J135,0)),0)</f>
        <v>0</v>
      </c>
      <c r="K116" s="36" t="n">
        <f aca="false">MAX(K115-(IF(K44="EE.UU.",K132,0)+IF(K56="EE.UU.",K135,0)),0)</f>
        <v>0</v>
      </c>
      <c r="L116" s="36" t="n">
        <f aca="false">MAX(L115-(IF(L44="EE.UU.",L132,0)+IF(L56="EE.UU.",L135,0)),0)</f>
        <v>0</v>
      </c>
      <c r="M116" s="36" t="n">
        <f aca="false">MAX(M115-(IF(M44="EE.UU.",M132,0)+IF(M56="EE.UU.",M135,0)),0)</f>
        <v>0</v>
      </c>
      <c r="N116" s="36" t="n">
        <f aca="false">MAX(N115-(IF(N44="EE.UU.",N132,0)+IF(N56="EE.UU.",N135,0)),0)</f>
        <v>0</v>
      </c>
      <c r="O116" s="36" t="n">
        <f aca="false">MAX(O115-(IF(O44="EE.UU.",O132,0)+IF(O56="EE.UU.",O135,0)),0)</f>
        <v>0</v>
      </c>
      <c r="P116" s="36" t="n">
        <f aca="false">MAX(P115-(IF(P44="EE.UU.",P132,0)+IF(P56="EE.UU.",P135,0)),0)</f>
        <v>0</v>
      </c>
      <c r="Q116" s="36" t="n">
        <f aca="false">MAX(Q115-(IF(Q44="EE.UU.",Q132,0)+IF(Q56="EE.UU.",Q135,0)),0)</f>
        <v>0</v>
      </c>
      <c r="R116" s="36" t="n">
        <f aca="false">MAX(R115-(IF(R44="EE.UU.",R132,0)+IF(R56="EE.UU.",R135,0)),0)</f>
        <v>0</v>
      </c>
      <c r="S116" s="36" t="n">
        <f aca="false">MAX(S115-(IF(S44="EE.UU.",S132,0)+IF(S56="EE.UU.",S135,0)),0)</f>
        <v>0</v>
      </c>
    </row>
    <row r="117" customFormat="false" ht="15" hidden="false" customHeight="false" outlineLevel="0" collapsed="false">
      <c r="A117" s="73" t="s">
        <v>983</v>
      </c>
      <c r="B117" s="74" t="s">
        <v>989</v>
      </c>
      <c r="C117" s="66" t="s">
        <v>131</v>
      </c>
      <c r="D117" s="43" t="s">
        <v>332</v>
      </c>
      <c r="E117" s="75" t="s">
        <v>43</v>
      </c>
      <c r="F117" s="76"/>
      <c r="G117" s="36" t="n">
        <f aca="false">MAX(G116-(IF(G45="EE.UU.",G138,0)+IF(G57="EE.UU.",G141,0)),0)</f>
        <v>0</v>
      </c>
      <c r="H117" s="36" t="n">
        <f aca="false">MAX(H116-(IF(H45="EE.UU.",H138,0)+IF(H57="EE.UU.",H141,0)),0)</f>
        <v>0</v>
      </c>
      <c r="I117" s="36" t="n">
        <f aca="false">MAX(I116-(IF(I45="EE.UU.",I138,0)+IF(I57="EE.UU.",I141,0)),0)</f>
        <v>0</v>
      </c>
      <c r="J117" s="36" t="n">
        <f aca="false">MAX(J116-(IF(J45="EE.UU.",J138,0)+IF(J57="EE.UU.",J141,0)),0)</f>
        <v>0</v>
      </c>
      <c r="K117" s="36" t="n">
        <f aca="false">MAX(K116-(IF(K45="EE.UU.",K138,0)+IF(K57="EE.UU.",K141,0)),0)</f>
        <v>0</v>
      </c>
      <c r="L117" s="36" t="n">
        <f aca="false">MAX(L116-(IF(L45="EE.UU.",L138,0)+IF(L57="EE.UU.",L141,0)),0)</f>
        <v>0</v>
      </c>
      <c r="M117" s="36" t="n">
        <f aca="false">MAX(M116-(IF(M45="EE.UU.",M138,0)+IF(M57="EE.UU.",M141,0)),0)</f>
        <v>0</v>
      </c>
      <c r="N117" s="36" t="n">
        <f aca="false">MAX(N116-(IF(N45="EE.UU.",N138,0)+IF(N57="EE.UU.",N141,0)),0)</f>
        <v>0</v>
      </c>
      <c r="O117" s="36" t="n">
        <f aca="false">MAX(O116-(IF(O45="EE.UU.",O138,0)+IF(O57="EE.UU.",O141,0)),0)</f>
        <v>0</v>
      </c>
      <c r="P117" s="36" t="n">
        <f aca="false">MAX(P116-(IF(P45="EE.UU.",P138,0)+IF(P57="EE.UU.",P141,0)),0)</f>
        <v>0</v>
      </c>
      <c r="Q117" s="36" t="n">
        <f aca="false">MAX(Q116-(IF(Q45="EE.UU.",Q138,0)+IF(Q57="EE.UU.",Q141,0)),0)</f>
        <v>0</v>
      </c>
      <c r="R117" s="36" t="n">
        <f aca="false">MAX(R116-(IF(R45="EE.UU.",R138,0)+IF(R57="EE.UU.",R141,0)),0)</f>
        <v>0</v>
      </c>
      <c r="S117" s="36" t="n">
        <f aca="false">MAX(S116-(IF(S45="EE.UU.",S138,0)+IF(S57="EE.UU.",S141,0)),0)</f>
        <v>0</v>
      </c>
    </row>
    <row r="118" customFormat="false" ht="15" hidden="false" customHeight="false" outlineLevel="0" collapsed="false">
      <c r="A118" s="73" t="s">
        <v>983</v>
      </c>
      <c r="B118" s="74" t="s">
        <v>987</v>
      </c>
      <c r="C118" s="66" t="s">
        <v>135</v>
      </c>
      <c r="D118" s="43" t="s">
        <v>332</v>
      </c>
      <c r="E118" s="75" t="s">
        <v>43</v>
      </c>
      <c r="F118" s="76"/>
      <c r="G118" s="36" t="n">
        <f aca="false">MAX(G19-(IF(G43="China",G126,0)+IF(G55="China",G129,0)),0)</f>
        <v>0</v>
      </c>
      <c r="H118" s="36" t="n">
        <f aca="false">MAX(H19-(IF(H43="China",H126,0)+IF(H55="China",H129,0)),0)</f>
        <v>0</v>
      </c>
      <c r="I118" s="36" t="n">
        <f aca="false">MAX(I19-(IF(I43="China",I126,0)+IF(I55="China",I129,0)),0)</f>
        <v>0</v>
      </c>
      <c r="J118" s="36" t="n">
        <f aca="false">MAX(J19-(IF(J43="China",J126,0)+IF(J55="China",J129,0)),0)</f>
        <v>0</v>
      </c>
      <c r="K118" s="36" t="n">
        <f aca="false">MAX(K19-(IF(K43="China",K126,0)+IF(K55="China",K129,0)),0)</f>
        <v>0</v>
      </c>
      <c r="L118" s="36" t="n">
        <f aca="false">MAX(L19-(IF(L43="China",L126,0)+IF(L55="China",L129,0)),0)</f>
        <v>0</v>
      </c>
      <c r="M118" s="36" t="n">
        <f aca="false">MAX(M19-(IF(M43="China",M126,0)+IF(M55="China",M129,0)),0)</f>
        <v>0</v>
      </c>
      <c r="N118" s="36" t="n">
        <f aca="false">MAX(N19-(IF(N43="China",N126,0)+IF(N55="China",N129,0)),0)</f>
        <v>0</v>
      </c>
      <c r="O118" s="36" t="n">
        <f aca="false">MAX(O19-(IF(O43="China",O126,0)+IF(O55="China",O129,0)),0)</f>
        <v>0</v>
      </c>
      <c r="P118" s="36" t="n">
        <f aca="false">MAX(P19-(IF(P43="China",P126,0)+IF(P55="China",P129,0)),0)</f>
        <v>0</v>
      </c>
      <c r="Q118" s="36" t="n">
        <f aca="false">MAX(Q19-(IF(Q43="China",Q126,0)+IF(Q55="China",Q129,0)),0)</f>
        <v>0</v>
      </c>
      <c r="R118" s="36" t="n">
        <f aca="false">MAX(R19-(IF(R43="China",R126,0)+IF(R55="China",R129,0)),0)</f>
        <v>0</v>
      </c>
      <c r="S118" s="36" t="n">
        <f aca="false">MAX(S19-(IF(S43="China",S126,0)+IF(S55="China",S129,0)),0)</f>
        <v>0</v>
      </c>
    </row>
    <row r="119" customFormat="false" ht="15" hidden="false" customHeight="false" outlineLevel="0" collapsed="false">
      <c r="A119" s="73" t="s">
        <v>983</v>
      </c>
      <c r="B119" s="74" t="s">
        <v>988</v>
      </c>
      <c r="C119" s="66" t="s">
        <v>135</v>
      </c>
      <c r="D119" s="43" t="s">
        <v>332</v>
      </c>
      <c r="E119" s="75" t="s">
        <v>43</v>
      </c>
      <c r="F119" s="76"/>
      <c r="G119" s="36" t="n">
        <f aca="false">MAX(G118-(IF(G44="China",G132,0)+IF(G56="China",G135,0)),0)</f>
        <v>0</v>
      </c>
      <c r="H119" s="36" t="n">
        <f aca="false">MAX(H118-(IF(H44="China",H132,0)+IF(H56="China",H135,0)),0)</f>
        <v>0</v>
      </c>
      <c r="I119" s="36" t="n">
        <f aca="false">MAX(I118-(IF(I44="China",I132,0)+IF(I56="China",I135,0)),0)</f>
        <v>0</v>
      </c>
      <c r="J119" s="36" t="n">
        <f aca="false">MAX(J118-(IF(J44="China",J132,0)+IF(J56="China",J135,0)),0)</f>
        <v>0</v>
      </c>
      <c r="K119" s="36" t="n">
        <f aca="false">MAX(K118-(IF(K44="China",K132,0)+IF(K56="China",K135,0)),0)</f>
        <v>0</v>
      </c>
      <c r="L119" s="36" t="n">
        <f aca="false">MAX(L118-(IF(L44="China",L132,0)+IF(L56="China",L135,0)),0)</f>
        <v>0</v>
      </c>
      <c r="M119" s="36" t="n">
        <f aca="false">MAX(M118-(IF(M44="China",M132,0)+IF(M56="China",M135,0)),0)</f>
        <v>0</v>
      </c>
      <c r="N119" s="36" t="n">
        <f aca="false">MAX(N118-(IF(N44="China",N132,0)+IF(N56="China",N135,0)),0)</f>
        <v>0</v>
      </c>
      <c r="O119" s="36" t="n">
        <f aca="false">MAX(O118-(IF(O44="China",O132,0)+IF(O56="China",O135,0)),0)</f>
        <v>0</v>
      </c>
      <c r="P119" s="36" t="n">
        <f aca="false">MAX(P118-(IF(P44="China",P132,0)+IF(P56="China",P135,0)),0)</f>
        <v>0</v>
      </c>
      <c r="Q119" s="36" t="n">
        <f aca="false">MAX(Q118-(IF(Q44="China",Q132,0)+IF(Q56="China",Q135,0)),0)</f>
        <v>0</v>
      </c>
      <c r="R119" s="36" t="n">
        <f aca="false">MAX(R118-(IF(R44="China",R132,0)+IF(R56="China",R135,0)),0)</f>
        <v>0</v>
      </c>
      <c r="S119" s="36" t="n">
        <f aca="false">MAX(S118-(IF(S44="China",S132,0)+IF(S56="China",S135,0)),0)</f>
        <v>0</v>
      </c>
    </row>
    <row r="120" customFormat="false" ht="15" hidden="false" customHeight="false" outlineLevel="0" collapsed="false">
      <c r="A120" s="73" t="s">
        <v>983</v>
      </c>
      <c r="B120" s="74" t="s">
        <v>989</v>
      </c>
      <c r="C120" s="66" t="s">
        <v>135</v>
      </c>
      <c r="D120" s="43" t="s">
        <v>332</v>
      </c>
      <c r="E120" s="75" t="s">
        <v>43</v>
      </c>
      <c r="F120" s="76"/>
      <c r="G120" s="36" t="n">
        <f aca="false">MAX(G119-(IF(G45="China",G138,0)+IF(G57="China",G141,0)),0)</f>
        <v>0</v>
      </c>
      <c r="H120" s="36" t="n">
        <f aca="false">MAX(H119-(IF(H45="China",H138,0)+IF(H57="China",H141,0)),0)</f>
        <v>0</v>
      </c>
      <c r="I120" s="36" t="n">
        <f aca="false">MAX(I119-(IF(I45="China",I138,0)+IF(I57="China",I141,0)),0)</f>
        <v>0</v>
      </c>
      <c r="J120" s="36" t="n">
        <f aca="false">MAX(J119-(IF(J45="China",J138,0)+IF(J57="China",J141,0)),0)</f>
        <v>0</v>
      </c>
      <c r="K120" s="36" t="n">
        <f aca="false">MAX(K119-(IF(K45="China",K138,0)+IF(K57="China",K141,0)),0)</f>
        <v>0</v>
      </c>
      <c r="L120" s="36" t="n">
        <f aca="false">MAX(L119-(IF(L45="China",L138,0)+IF(L57="China",L141,0)),0)</f>
        <v>0</v>
      </c>
      <c r="M120" s="36" t="n">
        <f aca="false">MAX(M119-(IF(M45="China",M138,0)+IF(M57="China",M141,0)),0)</f>
        <v>0</v>
      </c>
      <c r="N120" s="36" t="n">
        <f aca="false">MAX(N119-(IF(N45="China",N138,0)+IF(N57="China",N141,0)),0)</f>
        <v>0</v>
      </c>
      <c r="O120" s="36" t="n">
        <f aca="false">MAX(O119-(IF(O45="China",O138,0)+IF(O57="China",O141,0)),0)</f>
        <v>0</v>
      </c>
      <c r="P120" s="36" t="n">
        <f aca="false">MAX(P119-(IF(P45="China",P138,0)+IF(P57="China",P141,0)),0)</f>
        <v>0</v>
      </c>
      <c r="Q120" s="36" t="n">
        <f aca="false">MAX(Q119-(IF(Q45="China",Q138,0)+IF(Q57="China",Q141,0)),0)</f>
        <v>0</v>
      </c>
      <c r="R120" s="36" t="n">
        <f aca="false">MAX(R119-(IF(R45="China",R138,0)+IF(R57="China",R141,0)),0)</f>
        <v>0</v>
      </c>
      <c r="S120" s="36" t="n">
        <f aca="false">MAX(S119-(IF(S45="China",S138,0)+IF(S57="China",S141,0)),0)</f>
        <v>0</v>
      </c>
    </row>
    <row r="121" customFormat="false" ht="15" hidden="false" customHeight="false" outlineLevel="0" collapsed="false">
      <c r="A121" s="73" t="s">
        <v>983</v>
      </c>
      <c r="B121" s="74" t="s">
        <v>987</v>
      </c>
      <c r="C121" s="66" t="s">
        <v>157</v>
      </c>
      <c r="D121" s="43" t="s">
        <v>332</v>
      </c>
      <c r="E121" s="75" t="s">
        <v>43</v>
      </c>
      <c r="F121" s="76"/>
      <c r="G121" s="36" t="n">
        <f aca="false">MAX(G23-(IF(G43="Europa",G126,0)+IF(G55="Europa",G129,0)),0)</f>
        <v>0</v>
      </c>
      <c r="H121" s="36" t="n">
        <f aca="false">MAX(H23-(IF(H43="Europa",H126,0)+IF(H55="Europa",H129,0)),0)</f>
        <v>0</v>
      </c>
      <c r="I121" s="36" t="n">
        <f aca="false">MAX(I23-(IF(I43="Europa",I126,0)+IF(I55="Europa",I129,0)),0)</f>
        <v>0</v>
      </c>
      <c r="J121" s="36" t="n">
        <f aca="false">MAX(J23-(IF(J43="Europa",J126,0)+IF(J55="Europa",J129,0)),0)</f>
        <v>0</v>
      </c>
      <c r="K121" s="36" t="n">
        <f aca="false">MAX(K23-(IF(K43="Europa",K126,0)+IF(K55="Europa",K129,0)),0)</f>
        <v>0</v>
      </c>
      <c r="L121" s="36" t="n">
        <f aca="false">MAX(L23-(IF(L43="Europa",L126,0)+IF(L55="Europa",L129,0)),0)</f>
        <v>0</v>
      </c>
      <c r="M121" s="36" t="n">
        <f aca="false">MAX(M23-(IF(M43="Europa",M126,0)+IF(M55="Europa",M129,0)),0)</f>
        <v>0</v>
      </c>
      <c r="N121" s="36" t="n">
        <f aca="false">MAX(N23-(IF(N43="Europa",N126,0)+IF(N55="Europa",N129,0)),0)</f>
        <v>0</v>
      </c>
      <c r="O121" s="36" t="n">
        <f aca="false">MAX(O23-(IF(O43="Europa",O126,0)+IF(O55="Europa",O129,0)),0)</f>
        <v>0</v>
      </c>
      <c r="P121" s="36" t="n">
        <f aca="false">MAX(P23-(IF(P43="Europa",P126,0)+IF(P55="Europa",P129,0)),0)</f>
        <v>0</v>
      </c>
      <c r="Q121" s="36" t="n">
        <f aca="false">MAX(Q23-(IF(Q43="Europa",Q126,0)+IF(Q55="Europa",Q129,0)),0)</f>
        <v>0</v>
      </c>
      <c r="R121" s="36" t="n">
        <f aca="false">MAX(R23-(IF(R43="Europa",R126,0)+IF(R55="Europa",R129,0)),0)</f>
        <v>0</v>
      </c>
      <c r="S121" s="36" t="n">
        <f aca="false">MAX(S23-(IF(S43="Europa",S126,0)+IF(S55="Europa",S129,0)),0)</f>
        <v>0</v>
      </c>
    </row>
    <row r="122" customFormat="false" ht="15" hidden="false" customHeight="false" outlineLevel="0" collapsed="false">
      <c r="A122" s="73" t="s">
        <v>983</v>
      </c>
      <c r="B122" s="74" t="s">
        <v>988</v>
      </c>
      <c r="C122" s="66" t="s">
        <v>157</v>
      </c>
      <c r="D122" s="43" t="s">
        <v>332</v>
      </c>
      <c r="E122" s="75" t="s">
        <v>43</v>
      </c>
      <c r="F122" s="76"/>
      <c r="G122" s="36" t="n">
        <f aca="false">MAX(G121-(IF(G44="Europa",G132,0)+IF(G56="Europa",G135,0)),0)</f>
        <v>0</v>
      </c>
      <c r="H122" s="36" t="n">
        <f aca="false">MAX(H121-(IF(H44="Europa",H132,0)+IF(H56="Europa",H135,0)),0)</f>
        <v>0</v>
      </c>
      <c r="I122" s="36" t="n">
        <f aca="false">MAX(I121-(IF(I44="Europa",I132,0)+IF(I56="Europa",I135,0)),0)</f>
        <v>0</v>
      </c>
      <c r="J122" s="36" t="n">
        <f aca="false">MAX(J121-(IF(J44="Europa",J132,0)+IF(J56="Europa",J135,0)),0)</f>
        <v>0</v>
      </c>
      <c r="K122" s="36" t="n">
        <f aca="false">MAX(K121-(IF(K44="Europa",K132,0)+IF(K56="Europa",K135,0)),0)</f>
        <v>0</v>
      </c>
      <c r="L122" s="36" t="n">
        <f aca="false">MAX(L121-(IF(L44="Europa",L132,0)+IF(L56="Europa",L135,0)),0)</f>
        <v>0</v>
      </c>
      <c r="M122" s="36" t="n">
        <f aca="false">MAX(M121-(IF(M44="Europa",M132,0)+IF(M56="Europa",M135,0)),0)</f>
        <v>0</v>
      </c>
      <c r="N122" s="36" t="n">
        <f aca="false">MAX(N121-(IF(N44="Europa",N132,0)+IF(N56="Europa",N135,0)),0)</f>
        <v>0</v>
      </c>
      <c r="O122" s="36" t="n">
        <f aca="false">MAX(O121-(IF(O44="Europa",O132,0)+IF(O56="Europa",O135,0)),0)</f>
        <v>0</v>
      </c>
      <c r="P122" s="36" t="n">
        <f aca="false">MAX(P121-(IF(P44="Europa",P132,0)+IF(P56="Europa",P135,0)),0)</f>
        <v>0</v>
      </c>
      <c r="Q122" s="36" t="n">
        <f aca="false">MAX(Q121-(IF(Q44="Europa",Q132,0)+IF(Q56="Europa",Q135,0)),0)</f>
        <v>0</v>
      </c>
      <c r="R122" s="36" t="n">
        <f aca="false">MAX(R121-(IF(R44="Europa",R132,0)+IF(R56="Europa",R135,0)),0)</f>
        <v>0</v>
      </c>
      <c r="S122" s="36" t="n">
        <f aca="false">MAX(S121-(IF(S44="Europa",S132,0)+IF(S56="Europa",S135,0)),0)</f>
        <v>0</v>
      </c>
    </row>
    <row r="123" customFormat="false" ht="15" hidden="false" customHeight="false" outlineLevel="0" collapsed="false">
      <c r="A123" s="73" t="s">
        <v>983</v>
      </c>
      <c r="B123" s="74" t="s">
        <v>989</v>
      </c>
      <c r="C123" s="66" t="s">
        <v>157</v>
      </c>
      <c r="D123" s="43" t="s">
        <v>332</v>
      </c>
      <c r="E123" s="75" t="s">
        <v>43</v>
      </c>
      <c r="F123" s="76"/>
      <c r="G123" s="36" t="n">
        <f aca="false">MAX(G122-(IF(G45="Europa",G138,0)+IF(G57="Europa",G141,0)),0)</f>
        <v>0</v>
      </c>
      <c r="H123" s="36" t="n">
        <f aca="false">MAX(H122-(IF(H45="Europa",H138,0)+IF(H57="Europa",H141,0)),0)</f>
        <v>0</v>
      </c>
      <c r="I123" s="36" t="n">
        <f aca="false">MAX(I122-(IF(I45="Europa",I138,0)+IF(I57="Europa",I141,0)),0)</f>
        <v>0</v>
      </c>
      <c r="J123" s="36" t="n">
        <f aca="false">MAX(J122-(IF(J45="Europa",J138,0)+IF(J57="Europa",J141,0)),0)</f>
        <v>0</v>
      </c>
      <c r="K123" s="36" t="n">
        <f aca="false">MAX(K122-(IF(K45="Europa",K138,0)+IF(K57="Europa",K141,0)),0)</f>
        <v>0</v>
      </c>
      <c r="L123" s="36" t="n">
        <f aca="false">MAX(L122-(IF(L45="Europa",L138,0)+IF(L57="Europa",L141,0)),0)</f>
        <v>0</v>
      </c>
      <c r="M123" s="36" t="n">
        <f aca="false">MAX(M122-(IF(M45="Europa",M138,0)+IF(M57="Europa",M141,0)),0)</f>
        <v>0</v>
      </c>
      <c r="N123" s="36" t="n">
        <f aca="false">MAX(N122-(IF(N45="Europa",N138,0)+IF(N57="Europa",N141,0)),0)</f>
        <v>0</v>
      </c>
      <c r="O123" s="36" t="n">
        <f aca="false">MAX(O122-(IF(O45="Europa",O138,0)+IF(O57="Europa",O141,0)),0)</f>
        <v>0</v>
      </c>
      <c r="P123" s="36" t="n">
        <f aca="false">MAX(P122-(IF(P45="Europa",P138,0)+IF(P57="Europa",P141,0)),0)</f>
        <v>0</v>
      </c>
      <c r="Q123" s="36" t="n">
        <f aca="false">MAX(Q122-(IF(Q45="Europa",Q138,0)+IF(Q57="Europa",Q141,0)),0)</f>
        <v>0</v>
      </c>
      <c r="R123" s="36" t="n">
        <f aca="false">MAX(R122-(IF(R45="Europa",R138,0)+IF(R57="Europa",R141,0)),0)</f>
        <v>0</v>
      </c>
      <c r="S123" s="36" t="n">
        <f aca="false">MAX(S122-(IF(S45="Europa",S138,0)+IF(S57="Europa",S141,0)),0)</f>
        <v>0</v>
      </c>
    </row>
    <row r="124" customFormat="false" ht="15" hidden="false" customHeight="false" outlineLevel="0" collapsed="false">
      <c r="A124" s="73" t="s">
        <v>983</v>
      </c>
      <c r="B124" s="74" t="s">
        <v>990</v>
      </c>
      <c r="C124" s="66" t="s">
        <v>131</v>
      </c>
      <c r="D124" s="43" t="s">
        <v>332</v>
      </c>
      <c r="E124" s="75" t="s">
        <v>43</v>
      </c>
      <c r="F124" s="76"/>
      <c r="G124" s="36" t="n">
        <f aca="false">G29</f>
        <v>0</v>
      </c>
      <c r="H124" s="36" t="n">
        <f aca="false">H29</f>
        <v>0</v>
      </c>
      <c r="I124" s="36" t="n">
        <f aca="false">I29</f>
        <v>0</v>
      </c>
      <c r="J124" s="36" t="n">
        <f aca="false">J29</f>
        <v>0</v>
      </c>
      <c r="K124" s="36" t="n">
        <f aca="false">K29</f>
        <v>0</v>
      </c>
      <c r="L124" s="36" t="n">
        <f aca="false">L29</f>
        <v>0</v>
      </c>
      <c r="M124" s="36" t="n">
        <f aca="false">M29</f>
        <v>0</v>
      </c>
      <c r="N124" s="36" t="n">
        <f aca="false">N29</f>
        <v>0</v>
      </c>
      <c r="O124" s="36" t="n">
        <f aca="false">O29</f>
        <v>0</v>
      </c>
      <c r="P124" s="36" t="n">
        <f aca="false">P29</f>
        <v>0</v>
      </c>
      <c r="Q124" s="36" t="n">
        <f aca="false">Q29</f>
        <v>0</v>
      </c>
      <c r="R124" s="36" t="n">
        <f aca="false">R29</f>
        <v>0</v>
      </c>
      <c r="S124" s="36" t="n">
        <f aca="false">S29</f>
        <v>0</v>
      </c>
    </row>
    <row r="125" customFormat="false" ht="15" hidden="false" customHeight="false" outlineLevel="0" collapsed="false">
      <c r="A125" s="73" t="s">
        <v>983</v>
      </c>
      <c r="B125" s="74" t="s">
        <v>991</v>
      </c>
      <c r="C125" s="66" t="s">
        <v>131</v>
      </c>
      <c r="D125" s="43" t="s">
        <v>332</v>
      </c>
      <c r="E125" s="75" t="s">
        <v>43</v>
      </c>
      <c r="F125" s="76"/>
      <c r="G125" s="36" t="n">
        <f aca="false">G124+IF(G43=G55,G127,0)</f>
        <v>0</v>
      </c>
      <c r="H125" s="36" t="n">
        <f aca="false">H124+IF(H43=H55,H127,0)</f>
        <v>0</v>
      </c>
      <c r="I125" s="36" t="n">
        <f aca="false">I124+IF(I43=I55,I127,0)</f>
        <v>0</v>
      </c>
      <c r="J125" s="36" t="n">
        <f aca="false">J124+IF(J43=J55,J127,0)</f>
        <v>0</v>
      </c>
      <c r="K125" s="36" t="n">
        <f aca="false">K124+IF(K43=K55,K127,0)</f>
        <v>0</v>
      </c>
      <c r="L125" s="36" t="n">
        <f aca="false">L124+IF(L43=L55,L127,0)</f>
        <v>0</v>
      </c>
      <c r="M125" s="36" t="n">
        <f aca="false">M124+IF(M43=M55,M127,0)</f>
        <v>0</v>
      </c>
      <c r="N125" s="36" t="n">
        <f aca="false">N124+IF(N43=N55,N127,0)</f>
        <v>0</v>
      </c>
      <c r="O125" s="36" t="n">
        <f aca="false">O124+IF(O43=O55,O127,0)</f>
        <v>0</v>
      </c>
      <c r="P125" s="36" t="n">
        <f aca="false">P124+IF(P43=P55,P127,0)</f>
        <v>0</v>
      </c>
      <c r="Q125" s="36" t="n">
        <f aca="false">Q124+IF(Q43=Q55,Q127,0)</f>
        <v>0</v>
      </c>
      <c r="R125" s="36" t="n">
        <f aca="false">R124+IF(R43=R55,R127,0)</f>
        <v>0</v>
      </c>
      <c r="S125" s="36" t="n">
        <f aca="false">S124+IF(S43=S55,S127,0)</f>
        <v>0</v>
      </c>
    </row>
    <row r="126" customFormat="false" ht="15" hidden="false" customHeight="false" outlineLevel="0" collapsed="false">
      <c r="A126" s="73" t="s">
        <v>983</v>
      </c>
      <c r="B126" s="74" t="s">
        <v>992</v>
      </c>
      <c r="C126" s="66" t="s">
        <v>131</v>
      </c>
      <c r="D126" s="43" t="s">
        <v>332</v>
      </c>
      <c r="E126" s="75" t="s">
        <v>43</v>
      </c>
      <c r="F126" s="76"/>
      <c r="G126" s="78" t="n">
        <f aca="false">IF(G125&lt;=(IF(G43="EE.UU.",G15,0)+IF(G43="China",G19,0)+IF(G43="Europa",G23,0)),G124,IFERROR(G124/G125*(IF(G43="EE.UU.",G15,0)+IF(G43="China",G19,0)+IF(G43="Europa",G23,0)),0))</f>
        <v>0</v>
      </c>
      <c r="H126" s="78" t="n">
        <f aca="false">IF(H125&lt;=(IF(H43="EE.UU.",H15,0)+IF(H43="China",H19,0)+IF(H43="Europa",H23,0)),H124,IFERROR(H124/H125*(IF(H43="EE.UU.",H15,0)+IF(H43="China",H19,0)+IF(H43="Europa",H23,0)),0))</f>
        <v>0</v>
      </c>
      <c r="I126" s="78" t="n">
        <f aca="false">IF(I125&lt;=(IF(I43="EE.UU.",I15,0)+IF(I43="China",I19,0)+IF(I43="Europa",I23,0)),I124,IFERROR(I124/I125*(IF(I43="EE.UU.",I15,0)+IF(I43="China",I19,0)+IF(I43="Europa",I23,0)),0))</f>
        <v>0</v>
      </c>
      <c r="J126" s="78" t="n">
        <f aca="false">IF(J125&lt;=(IF(J43="EE.UU.",J15,0)+IF(J43="China",J19,0)+IF(J43="Europa",J23,0)),J124,IFERROR(J124/J125*(IF(J43="EE.UU.",J15,0)+IF(J43="China",J19,0)+IF(J43="Europa",J23,0)),0))</f>
        <v>0</v>
      </c>
      <c r="K126" s="78" t="n">
        <f aca="false">IF(K125&lt;=(IF(K43="EE.UU.",K15,0)+IF(K43="China",K19,0)+IF(K43="Europa",K23,0)),K124,IFERROR(K124/K125*(IF(K43="EE.UU.",K15,0)+IF(K43="China",K19,0)+IF(K43="Europa",K23,0)),0))</f>
        <v>0</v>
      </c>
      <c r="L126" s="78" t="n">
        <f aca="false">IF(L125&lt;=(IF(L43="EE.UU.",L15,0)+IF(L43="China",L19,0)+IF(L43="Europa",L23,0)),L124,IFERROR(L124/L125*(IF(L43="EE.UU.",L15,0)+IF(L43="China",L19,0)+IF(L43="Europa",L23,0)),0))</f>
        <v>0</v>
      </c>
      <c r="M126" s="78" t="n">
        <f aca="false">IF(M125&lt;=(IF(M43="EE.UU.",M15,0)+IF(M43="China",M19,0)+IF(M43="Europa",M23,0)),M124,IFERROR(M124/M125*(IF(M43="EE.UU.",M15,0)+IF(M43="China",M19,0)+IF(M43="Europa",M23,0)),0))</f>
        <v>0</v>
      </c>
      <c r="N126" s="78" t="n">
        <f aca="false">IF(N125&lt;=(IF(N43="EE.UU.",N15,0)+IF(N43="China",N19,0)+IF(N43="Europa",N23,0)),N124,IFERROR(N124/N125*(IF(N43="EE.UU.",N15,0)+IF(N43="China",N19,0)+IF(N43="Europa",N23,0)),0))</f>
        <v>0</v>
      </c>
      <c r="O126" s="78" t="n">
        <f aca="false">IF(O125&lt;=(IF(O43="EE.UU.",O15,0)+IF(O43="China",O19,0)+IF(O43="Europa",O23,0)),O124,IFERROR(O124/O125*(IF(O43="EE.UU.",O15,0)+IF(O43="China",O19,0)+IF(O43="Europa",O23,0)),0))</f>
        <v>0</v>
      </c>
      <c r="P126" s="78" t="n">
        <f aca="false">IF(P125&lt;=(IF(P43="EE.UU.",P15,0)+IF(P43="China",P19,0)+IF(P43="Europa",P23,0)),P124,IFERROR(P124/P125*(IF(P43="EE.UU.",P15,0)+IF(P43="China",P19,0)+IF(P43="Europa",P23,0)),0))</f>
        <v>0</v>
      </c>
      <c r="Q126" s="78" t="n">
        <f aca="false">IF(Q125&lt;=(IF(Q43="EE.UU.",Q15,0)+IF(Q43="China",Q19,0)+IF(Q43="Europa",Q23,0)),Q124,IFERROR(Q124/Q125*(IF(Q43="EE.UU.",Q15,0)+IF(Q43="China",Q19,0)+IF(Q43="Europa",Q23,0)),0))</f>
        <v>0</v>
      </c>
      <c r="R126" s="78" t="n">
        <f aca="false">IF(R125&lt;=(IF(R43="EE.UU.",R15,0)+IF(R43="China",R19,0)+IF(R43="Europa",R23,0)),R124,IFERROR(R124/R125*(IF(R43="EE.UU.",R15,0)+IF(R43="China",R19,0)+IF(R43="Europa",R23,0)),0))</f>
        <v>0</v>
      </c>
      <c r="S126" s="78" t="n">
        <f aca="false">IF(S125&lt;=(IF(S43="EE.UU.",S15,0)+IF(S43="China",S19,0)+IF(S43="Europa",S23,0)),S124,IFERROR(S124/S125*(IF(S43="EE.UU.",S15,0)+IF(S43="China",S19,0)+IF(S43="Europa",S23,0)),0))</f>
        <v>0</v>
      </c>
    </row>
    <row r="127" customFormat="false" ht="15" hidden="false" customHeight="false" outlineLevel="0" collapsed="false">
      <c r="A127" s="73" t="s">
        <v>983</v>
      </c>
      <c r="B127" s="74" t="s">
        <v>990</v>
      </c>
      <c r="C127" s="66" t="s">
        <v>135</v>
      </c>
      <c r="D127" s="43" t="s">
        <v>332</v>
      </c>
      <c r="E127" s="75" t="s">
        <v>43</v>
      </c>
      <c r="F127" s="76"/>
      <c r="G127" s="36" t="n">
        <f aca="false">G33</f>
        <v>0</v>
      </c>
      <c r="H127" s="36" t="n">
        <f aca="false">H33</f>
        <v>0</v>
      </c>
      <c r="I127" s="36" t="n">
        <f aca="false">I33</f>
        <v>0</v>
      </c>
      <c r="J127" s="36" t="n">
        <f aca="false">J33</f>
        <v>0</v>
      </c>
      <c r="K127" s="36" t="n">
        <f aca="false">K33</f>
        <v>0</v>
      </c>
      <c r="L127" s="36" t="n">
        <f aca="false">L33</f>
        <v>0</v>
      </c>
      <c r="M127" s="36" t="n">
        <f aca="false">M33</f>
        <v>0</v>
      </c>
      <c r="N127" s="36" t="n">
        <f aca="false">N33</f>
        <v>0</v>
      </c>
      <c r="O127" s="36" t="n">
        <f aca="false">O33</f>
        <v>0</v>
      </c>
      <c r="P127" s="36" t="n">
        <f aca="false">P33</f>
        <v>0</v>
      </c>
      <c r="Q127" s="36" t="n">
        <f aca="false">Q33</f>
        <v>0</v>
      </c>
      <c r="R127" s="36" t="n">
        <f aca="false">R33</f>
        <v>0</v>
      </c>
      <c r="S127" s="36" t="n">
        <f aca="false">S33</f>
        <v>0</v>
      </c>
    </row>
    <row r="128" customFormat="false" ht="15" hidden="false" customHeight="false" outlineLevel="0" collapsed="false">
      <c r="A128" s="73" t="s">
        <v>983</v>
      </c>
      <c r="B128" s="74" t="s">
        <v>991</v>
      </c>
      <c r="C128" s="66" t="s">
        <v>135</v>
      </c>
      <c r="D128" s="43" t="s">
        <v>332</v>
      </c>
      <c r="E128" s="75" t="s">
        <v>43</v>
      </c>
      <c r="F128" s="76"/>
      <c r="G128" s="36" t="n">
        <f aca="false">G127+IF(G55=G43,G124,0)</f>
        <v>0</v>
      </c>
      <c r="H128" s="36" t="n">
        <f aca="false">H127+IF(H55=H43,H124,0)</f>
        <v>0</v>
      </c>
      <c r="I128" s="36" t="n">
        <f aca="false">I127+IF(I55=I43,I124,0)</f>
        <v>0</v>
      </c>
      <c r="J128" s="36" t="n">
        <f aca="false">J127+IF(J55=J43,J124,0)</f>
        <v>0</v>
      </c>
      <c r="K128" s="36" t="n">
        <f aca="false">K127+IF(K55=K43,K124,0)</f>
        <v>0</v>
      </c>
      <c r="L128" s="36" t="n">
        <f aca="false">L127+IF(L55=L43,L124,0)</f>
        <v>0</v>
      </c>
      <c r="M128" s="36" t="n">
        <f aca="false">M127+IF(M55=M43,M124,0)</f>
        <v>0</v>
      </c>
      <c r="N128" s="36" t="n">
        <f aca="false">N127+IF(N55=N43,N124,0)</f>
        <v>0</v>
      </c>
      <c r="O128" s="36" t="n">
        <f aca="false">O127+IF(O55=O43,O124,0)</f>
        <v>0</v>
      </c>
      <c r="P128" s="36" t="n">
        <f aca="false">P127+IF(P55=P43,P124,0)</f>
        <v>0</v>
      </c>
      <c r="Q128" s="36" t="n">
        <f aca="false">Q127+IF(Q55=Q43,Q124,0)</f>
        <v>0</v>
      </c>
      <c r="R128" s="36" t="n">
        <f aca="false">R127+IF(R55=R43,R124,0)</f>
        <v>0</v>
      </c>
      <c r="S128" s="36" t="n">
        <f aca="false">S127+IF(S55=S43,S124,0)</f>
        <v>0</v>
      </c>
    </row>
    <row r="129" customFormat="false" ht="15" hidden="false" customHeight="false" outlineLevel="0" collapsed="false">
      <c r="A129" s="73" t="s">
        <v>983</v>
      </c>
      <c r="B129" s="74" t="s">
        <v>992</v>
      </c>
      <c r="C129" s="66" t="s">
        <v>135</v>
      </c>
      <c r="D129" s="43" t="s">
        <v>332</v>
      </c>
      <c r="E129" s="75" t="s">
        <v>43</v>
      </c>
      <c r="F129" s="76"/>
      <c r="G129" s="78" t="n">
        <f aca="false">IF(G128&lt;=(IF(G55="EE.UU.",G15,0)+IF(G55="China",G19,0)+IF(G55="Europa",G23,0)),G127,IFERROR(G127/G128*(IF(G55="EE.UU.",G15,0)+IF(G55="China",G19,0)+IF(G55="Europa",G23,0)),0))</f>
        <v>0</v>
      </c>
      <c r="H129" s="78" t="n">
        <f aca="false">IF(H128&lt;=(IF(H55="EE.UU.",H15,0)+IF(H55="China",H19,0)+IF(H55="Europa",H23,0)),H127,IFERROR(H127/H128*(IF(H55="EE.UU.",H15,0)+IF(H55="China",H19,0)+IF(H55="Europa",H23,0)),0))</f>
        <v>0</v>
      </c>
      <c r="I129" s="78" t="n">
        <f aca="false">IF(I128&lt;=(IF(I55="EE.UU.",I15,0)+IF(I55="China",I19,0)+IF(I55="Europa",I23,0)),I127,IFERROR(I127/I128*(IF(I55="EE.UU.",I15,0)+IF(I55="China",I19,0)+IF(I55="Europa",I23,0)),0))</f>
        <v>0</v>
      </c>
      <c r="J129" s="78" t="n">
        <f aca="false">IF(J128&lt;=(IF(J55="EE.UU.",J15,0)+IF(J55="China",J19,0)+IF(J55="Europa",J23,0)),J127,IFERROR(J127/J128*(IF(J55="EE.UU.",J15,0)+IF(J55="China",J19,0)+IF(J55="Europa",J23,0)),0))</f>
        <v>0</v>
      </c>
      <c r="K129" s="78" t="n">
        <f aca="false">IF(K128&lt;=(IF(K55="EE.UU.",K15,0)+IF(K55="China",K19,0)+IF(K55="Europa",K23,0)),K127,IFERROR(K127/K128*(IF(K55="EE.UU.",K15,0)+IF(K55="China",K19,0)+IF(K55="Europa",K23,0)),0))</f>
        <v>0</v>
      </c>
      <c r="L129" s="78" t="n">
        <f aca="false">IF(L128&lt;=(IF(L55="EE.UU.",L15,0)+IF(L55="China",L19,0)+IF(L55="Europa",L23,0)),L127,IFERROR(L127/L128*(IF(L55="EE.UU.",L15,0)+IF(L55="China",L19,0)+IF(L55="Europa",L23,0)),0))</f>
        <v>0</v>
      </c>
      <c r="M129" s="78" t="n">
        <f aca="false">IF(M128&lt;=(IF(M55="EE.UU.",M15,0)+IF(M55="China",M19,0)+IF(M55="Europa",M23,0)),M127,IFERROR(M127/M128*(IF(M55="EE.UU.",M15,0)+IF(M55="China",M19,0)+IF(M55="Europa",M23,0)),0))</f>
        <v>0</v>
      </c>
      <c r="N129" s="78" t="n">
        <f aca="false">IF(N128&lt;=(IF(N55="EE.UU.",N15,0)+IF(N55="China",N19,0)+IF(N55="Europa",N23,0)),N127,IFERROR(N127/N128*(IF(N55="EE.UU.",N15,0)+IF(N55="China",N19,0)+IF(N55="Europa",N23,0)),0))</f>
        <v>0</v>
      </c>
      <c r="O129" s="78" t="n">
        <f aca="false">IF(O128&lt;=(IF(O55="EE.UU.",O15,0)+IF(O55="China",O19,0)+IF(O55="Europa",O23,0)),O127,IFERROR(O127/O128*(IF(O55="EE.UU.",O15,0)+IF(O55="China",O19,0)+IF(O55="Europa",O23,0)),0))</f>
        <v>0</v>
      </c>
      <c r="P129" s="78" t="n">
        <f aca="false">IF(P128&lt;=(IF(P55="EE.UU.",P15,0)+IF(P55="China",P19,0)+IF(P55="Europa",P23,0)),P127,IFERROR(P127/P128*(IF(P55="EE.UU.",P15,0)+IF(P55="China",P19,0)+IF(P55="Europa",P23,0)),0))</f>
        <v>0</v>
      </c>
      <c r="Q129" s="78" t="n">
        <f aca="false">IF(Q128&lt;=(IF(Q55="EE.UU.",Q15,0)+IF(Q55="China",Q19,0)+IF(Q55="Europa",Q23,0)),Q127,IFERROR(Q127/Q128*(IF(Q55="EE.UU.",Q15,0)+IF(Q55="China",Q19,0)+IF(Q55="Europa",Q23,0)),0))</f>
        <v>0</v>
      </c>
      <c r="R129" s="78" t="n">
        <f aca="false">IF(R128&lt;=(IF(R55="EE.UU.",R15,0)+IF(R55="China",R19,0)+IF(R55="Europa",R23,0)),R127,IFERROR(R127/R128*(IF(R55="EE.UU.",R15,0)+IF(R55="China",R19,0)+IF(R55="Europa",R23,0)),0))</f>
        <v>0</v>
      </c>
      <c r="S129" s="78" t="n">
        <f aca="false">IF(S128&lt;=(IF(S55="EE.UU.",S15,0)+IF(S55="China",S19,0)+IF(S55="Europa",S23,0)),S127,IFERROR(S127/S128*(IF(S55="EE.UU.",S15,0)+IF(S55="China",S19,0)+IF(S55="Europa",S23,0)),0))</f>
        <v>0</v>
      </c>
    </row>
    <row r="130" customFormat="false" ht="15" hidden="false" customHeight="false" outlineLevel="0" collapsed="false">
      <c r="A130" s="73" t="s">
        <v>983</v>
      </c>
      <c r="B130" s="74" t="s">
        <v>993</v>
      </c>
      <c r="C130" s="66" t="s">
        <v>131</v>
      </c>
      <c r="D130" s="43" t="s">
        <v>332</v>
      </c>
      <c r="E130" s="75" t="s">
        <v>43</v>
      </c>
      <c r="F130" s="76"/>
      <c r="G130" s="36" t="n">
        <f aca="false">MAX(G124-G126,0)</f>
        <v>0</v>
      </c>
      <c r="H130" s="36" t="n">
        <f aca="false">MAX(H124-H126,0)</f>
        <v>0</v>
      </c>
      <c r="I130" s="36" t="n">
        <f aca="false">MAX(I124-I126,0)</f>
        <v>0</v>
      </c>
      <c r="J130" s="36" t="n">
        <f aca="false">MAX(J124-J126,0)</f>
        <v>0</v>
      </c>
      <c r="K130" s="36" t="n">
        <f aca="false">MAX(K124-K126,0)</f>
        <v>0</v>
      </c>
      <c r="L130" s="36" t="n">
        <f aca="false">MAX(L124-L126,0)</f>
        <v>0</v>
      </c>
      <c r="M130" s="36" t="n">
        <f aca="false">MAX(M124-M126,0)</f>
        <v>0</v>
      </c>
      <c r="N130" s="36" t="n">
        <f aca="false">MAX(N124-N126,0)</f>
        <v>0</v>
      </c>
      <c r="O130" s="36" t="n">
        <f aca="false">MAX(O124-O126,0)</f>
        <v>0</v>
      </c>
      <c r="P130" s="36" t="n">
        <f aca="false">MAX(P124-P126,0)</f>
        <v>0</v>
      </c>
      <c r="Q130" s="36" t="n">
        <f aca="false">MAX(Q124-Q126,0)</f>
        <v>0</v>
      </c>
      <c r="R130" s="36" t="n">
        <f aca="false">MAX(R124-R126,0)</f>
        <v>0</v>
      </c>
      <c r="S130" s="36" t="n">
        <f aca="false">MAX(S124-S126,0)</f>
        <v>0</v>
      </c>
    </row>
    <row r="131" customFormat="false" ht="15" hidden="false" customHeight="false" outlineLevel="0" collapsed="false">
      <c r="A131" s="73" t="s">
        <v>983</v>
      </c>
      <c r="B131" s="74" t="s">
        <v>994</v>
      </c>
      <c r="C131" s="66" t="s">
        <v>131</v>
      </c>
      <c r="D131" s="43" t="s">
        <v>332</v>
      </c>
      <c r="E131" s="75" t="s">
        <v>43</v>
      </c>
      <c r="F131" s="76"/>
      <c r="G131" s="36" t="n">
        <f aca="false">G130+IF(G44=G56,G133,0)</f>
        <v>0</v>
      </c>
      <c r="H131" s="36" t="n">
        <f aca="false">H130+IF(H44=H56,H133,0)</f>
        <v>0</v>
      </c>
      <c r="I131" s="36" t="n">
        <f aca="false">I130+IF(I44=I56,I133,0)</f>
        <v>0</v>
      </c>
      <c r="J131" s="36" t="n">
        <f aca="false">J130+IF(J44=J56,J133,0)</f>
        <v>0</v>
      </c>
      <c r="K131" s="36" t="n">
        <f aca="false">K130+IF(K44=K56,K133,0)</f>
        <v>0</v>
      </c>
      <c r="L131" s="36" t="n">
        <f aca="false">L130+IF(L44=L56,L133,0)</f>
        <v>0</v>
      </c>
      <c r="M131" s="36" t="n">
        <f aca="false">M130+IF(M44=M56,M133,0)</f>
        <v>0</v>
      </c>
      <c r="N131" s="36" t="n">
        <f aca="false">N130+IF(N44=N56,N133,0)</f>
        <v>0</v>
      </c>
      <c r="O131" s="36" t="n">
        <f aca="false">O130+IF(O44=O56,O133,0)</f>
        <v>0</v>
      </c>
      <c r="P131" s="36" t="n">
        <f aca="false">P130+IF(P44=P56,P133,0)</f>
        <v>0</v>
      </c>
      <c r="Q131" s="36" t="n">
        <f aca="false">Q130+IF(Q44=Q56,Q133,0)</f>
        <v>0</v>
      </c>
      <c r="R131" s="36" t="n">
        <f aca="false">R130+IF(R44=R56,R133,0)</f>
        <v>0</v>
      </c>
      <c r="S131" s="36" t="n">
        <f aca="false">S130+IF(S44=S56,S133,0)</f>
        <v>0</v>
      </c>
    </row>
    <row r="132" customFormat="false" ht="15" hidden="false" customHeight="false" outlineLevel="0" collapsed="false">
      <c r="A132" s="73" t="s">
        <v>983</v>
      </c>
      <c r="B132" s="74" t="s">
        <v>995</v>
      </c>
      <c r="C132" s="66" t="s">
        <v>131</v>
      </c>
      <c r="D132" s="43" t="s">
        <v>332</v>
      </c>
      <c r="E132" s="75" t="s">
        <v>43</v>
      </c>
      <c r="F132" s="76"/>
      <c r="G132" s="78" t="n">
        <f aca="false">IF(G131&lt;=(IF(G44="EE.UU.",G115,0)+IF(G44="China",G118,0)+IF(G44="Europa",G121,0)),G130,IFERROR(G130/G131*(IF(G44="EE.UU.",G115,0)+IF(G44="China",G118,0)+IF(G44="Europa",G121,0)),0))</f>
        <v>0</v>
      </c>
      <c r="H132" s="78" t="n">
        <f aca="false">IF(H131&lt;=(IF(H44="EE.UU.",H115,0)+IF(H44="China",H118,0)+IF(H44="Europa",H121,0)),H130,IFERROR(H130/H131*(IF(H44="EE.UU.",H115,0)+IF(H44="China",H118,0)+IF(H44="Europa",H121,0)),0))</f>
        <v>0</v>
      </c>
      <c r="I132" s="78" t="n">
        <f aca="false">IF(I131&lt;=(IF(I44="EE.UU.",I115,0)+IF(I44="China",I118,0)+IF(I44="Europa",I121,0)),I130,IFERROR(I130/I131*(IF(I44="EE.UU.",I115,0)+IF(I44="China",I118,0)+IF(I44="Europa",I121,0)),0))</f>
        <v>0</v>
      </c>
      <c r="J132" s="78" t="n">
        <f aca="false">IF(J131&lt;=(IF(J44="EE.UU.",J115,0)+IF(J44="China",J118,0)+IF(J44="Europa",J121,0)),J130,IFERROR(J130/J131*(IF(J44="EE.UU.",J115,0)+IF(J44="China",J118,0)+IF(J44="Europa",J121,0)),0))</f>
        <v>0</v>
      </c>
      <c r="K132" s="78" t="n">
        <f aca="false">IF(K131&lt;=(IF(K44="EE.UU.",K115,0)+IF(K44="China",K118,0)+IF(K44="Europa",K121,0)),K130,IFERROR(K130/K131*(IF(K44="EE.UU.",K115,0)+IF(K44="China",K118,0)+IF(K44="Europa",K121,0)),0))</f>
        <v>0</v>
      </c>
      <c r="L132" s="78" t="n">
        <f aca="false">IF(L131&lt;=(IF(L44="EE.UU.",L115,0)+IF(L44="China",L118,0)+IF(L44="Europa",L121,0)),L130,IFERROR(L130/L131*(IF(L44="EE.UU.",L115,0)+IF(L44="China",L118,0)+IF(L44="Europa",L121,0)),0))</f>
        <v>0</v>
      </c>
      <c r="M132" s="78" t="n">
        <f aca="false">IF(M131&lt;=(IF(M44="EE.UU.",M115,0)+IF(M44="China",M118,0)+IF(M44="Europa",M121,0)),M130,IFERROR(M130/M131*(IF(M44="EE.UU.",M115,0)+IF(M44="China",M118,0)+IF(M44="Europa",M121,0)),0))</f>
        <v>0</v>
      </c>
      <c r="N132" s="78" t="n">
        <f aca="false">IF(N131&lt;=(IF(N44="EE.UU.",N115,0)+IF(N44="China",N118,0)+IF(N44="Europa",N121,0)),N130,IFERROR(N130/N131*(IF(N44="EE.UU.",N115,0)+IF(N44="China",N118,0)+IF(N44="Europa",N121,0)),0))</f>
        <v>0</v>
      </c>
      <c r="O132" s="78" t="n">
        <f aca="false">IF(O131&lt;=(IF(O44="EE.UU.",O115,0)+IF(O44="China",O118,0)+IF(O44="Europa",O121,0)),O130,IFERROR(O130/O131*(IF(O44="EE.UU.",O115,0)+IF(O44="China",O118,0)+IF(O44="Europa",O121,0)),0))</f>
        <v>0</v>
      </c>
      <c r="P132" s="78" t="n">
        <f aca="false">IF(P131&lt;=(IF(P44="EE.UU.",P115,0)+IF(P44="China",P118,0)+IF(P44="Europa",P121,0)),P130,IFERROR(P130/P131*(IF(P44="EE.UU.",P115,0)+IF(P44="China",P118,0)+IF(P44="Europa",P121,0)),0))</f>
        <v>0</v>
      </c>
      <c r="Q132" s="78" t="n">
        <f aca="false">IF(Q131&lt;=(IF(Q44="EE.UU.",Q115,0)+IF(Q44="China",Q118,0)+IF(Q44="Europa",Q121,0)),Q130,IFERROR(Q130/Q131*(IF(Q44="EE.UU.",Q115,0)+IF(Q44="China",Q118,0)+IF(Q44="Europa",Q121,0)),0))</f>
        <v>0</v>
      </c>
      <c r="R132" s="78" t="n">
        <f aca="false">IF(R131&lt;=(IF(R44="EE.UU.",R115,0)+IF(R44="China",R118,0)+IF(R44="Europa",R121,0)),R130,IFERROR(R130/R131*(IF(R44="EE.UU.",R115,0)+IF(R44="China",R118,0)+IF(R44="Europa",R121,0)),0))</f>
        <v>0</v>
      </c>
      <c r="S132" s="78" t="n">
        <f aca="false">IF(S131&lt;=(IF(S44="EE.UU.",S115,0)+IF(S44="China",S118,0)+IF(S44="Europa",S121,0)),S130,IFERROR(S130/S131*(IF(S44="EE.UU.",S115,0)+IF(S44="China",S118,0)+IF(S44="Europa",S121,0)),0))</f>
        <v>0</v>
      </c>
    </row>
    <row r="133" customFormat="false" ht="15" hidden="false" customHeight="false" outlineLevel="0" collapsed="false">
      <c r="A133" s="73" t="s">
        <v>983</v>
      </c>
      <c r="B133" s="74" t="s">
        <v>993</v>
      </c>
      <c r="C133" s="66" t="s">
        <v>135</v>
      </c>
      <c r="D133" s="43" t="s">
        <v>332</v>
      </c>
      <c r="E133" s="75" t="s">
        <v>43</v>
      </c>
      <c r="F133" s="76"/>
      <c r="G133" s="36" t="n">
        <f aca="false">MAX(G127-G129,0)</f>
        <v>0</v>
      </c>
      <c r="H133" s="36" t="n">
        <f aca="false">MAX(H127-H129,0)</f>
        <v>0</v>
      </c>
      <c r="I133" s="36" t="n">
        <f aca="false">MAX(I127-I129,0)</f>
        <v>0</v>
      </c>
      <c r="J133" s="36" t="n">
        <f aca="false">MAX(J127-J129,0)</f>
        <v>0</v>
      </c>
      <c r="K133" s="36" t="n">
        <f aca="false">MAX(K127-K129,0)</f>
        <v>0</v>
      </c>
      <c r="L133" s="36" t="n">
        <f aca="false">MAX(L127-L129,0)</f>
        <v>0</v>
      </c>
      <c r="M133" s="36" t="n">
        <f aca="false">MAX(M127-M129,0)</f>
        <v>0</v>
      </c>
      <c r="N133" s="36" t="n">
        <f aca="false">MAX(N127-N129,0)</f>
        <v>0</v>
      </c>
      <c r="O133" s="36" t="n">
        <f aca="false">MAX(O127-O129,0)</f>
        <v>0</v>
      </c>
      <c r="P133" s="36" t="n">
        <f aca="false">MAX(P127-P129,0)</f>
        <v>0</v>
      </c>
      <c r="Q133" s="36" t="n">
        <f aca="false">MAX(Q127-Q129,0)</f>
        <v>0</v>
      </c>
      <c r="R133" s="36" t="n">
        <f aca="false">MAX(R127-R129,0)</f>
        <v>0</v>
      </c>
      <c r="S133" s="36" t="n">
        <f aca="false">MAX(S127-S129,0)</f>
        <v>0</v>
      </c>
    </row>
    <row r="134" customFormat="false" ht="15" hidden="false" customHeight="false" outlineLevel="0" collapsed="false">
      <c r="A134" s="73" t="s">
        <v>983</v>
      </c>
      <c r="B134" s="74" t="s">
        <v>994</v>
      </c>
      <c r="C134" s="66" t="s">
        <v>135</v>
      </c>
      <c r="D134" s="43" t="s">
        <v>332</v>
      </c>
      <c r="E134" s="75" t="s">
        <v>43</v>
      </c>
      <c r="F134" s="76"/>
      <c r="G134" s="36" t="n">
        <f aca="false">G133+IF(G56=G44,G130,0)</f>
        <v>0</v>
      </c>
      <c r="H134" s="36" t="n">
        <f aca="false">H133+IF(H56=H44,H130,0)</f>
        <v>0</v>
      </c>
      <c r="I134" s="36" t="n">
        <f aca="false">I133+IF(I56=I44,I130,0)</f>
        <v>0</v>
      </c>
      <c r="J134" s="36" t="n">
        <f aca="false">J133+IF(J56=J44,J130,0)</f>
        <v>0</v>
      </c>
      <c r="K134" s="36" t="n">
        <f aca="false">K133+IF(K56=K44,K130,0)</f>
        <v>0</v>
      </c>
      <c r="L134" s="36" t="n">
        <f aca="false">L133+IF(L56=L44,L130,0)</f>
        <v>0</v>
      </c>
      <c r="M134" s="36" t="n">
        <f aca="false">M133+IF(M56=M44,M130,0)</f>
        <v>0</v>
      </c>
      <c r="N134" s="36" t="n">
        <f aca="false">N133+IF(N56=N44,N130,0)</f>
        <v>0</v>
      </c>
      <c r="O134" s="36" t="n">
        <f aca="false">O133+IF(O56=O44,O130,0)</f>
        <v>0</v>
      </c>
      <c r="P134" s="36" t="n">
        <f aca="false">P133+IF(P56=P44,P130,0)</f>
        <v>0</v>
      </c>
      <c r="Q134" s="36" t="n">
        <f aca="false">Q133+IF(Q56=Q44,Q130,0)</f>
        <v>0</v>
      </c>
      <c r="R134" s="36" t="n">
        <f aca="false">R133+IF(R56=R44,R130,0)</f>
        <v>0</v>
      </c>
      <c r="S134" s="36" t="n">
        <f aca="false">S133+IF(S56=S44,S130,0)</f>
        <v>0</v>
      </c>
    </row>
    <row r="135" customFormat="false" ht="15" hidden="false" customHeight="false" outlineLevel="0" collapsed="false">
      <c r="A135" s="73" t="s">
        <v>983</v>
      </c>
      <c r="B135" s="74" t="s">
        <v>995</v>
      </c>
      <c r="C135" s="66" t="s">
        <v>135</v>
      </c>
      <c r="D135" s="43" t="s">
        <v>332</v>
      </c>
      <c r="E135" s="75" t="s">
        <v>43</v>
      </c>
      <c r="F135" s="76"/>
      <c r="G135" s="78" t="n">
        <f aca="false">IF(G134&lt;=(IF(G56="EE.UU.",G115,0)+IF(G56="China",G118,0)+IF(G56="Europa",G121,0)),G133,IFERROR(G133/G134*(IF(G56="EE.UU.",G115,0)+IF(G56="China",G118,0)+IF(G56="Europa",G121,0)),0))</f>
        <v>0</v>
      </c>
      <c r="H135" s="78" t="n">
        <f aca="false">IF(H134&lt;=(IF(H56="EE.UU.",H115,0)+IF(H56="China",H118,0)+IF(H56="Europa",H121,0)),H133,IFERROR(H133/H134*(IF(H56="EE.UU.",H115,0)+IF(H56="China",H118,0)+IF(H56="Europa",H121,0)),0))</f>
        <v>0</v>
      </c>
      <c r="I135" s="78" t="n">
        <f aca="false">IF(I134&lt;=(IF(I56="EE.UU.",I115,0)+IF(I56="China",I118,0)+IF(I56="Europa",I121,0)),I133,IFERROR(I133/I134*(IF(I56="EE.UU.",I115,0)+IF(I56="China",I118,0)+IF(I56="Europa",I121,0)),0))</f>
        <v>0</v>
      </c>
      <c r="J135" s="78" t="n">
        <f aca="false">IF(J134&lt;=(IF(J56="EE.UU.",J115,0)+IF(J56="China",J118,0)+IF(J56="Europa",J121,0)),J133,IFERROR(J133/J134*(IF(J56="EE.UU.",J115,0)+IF(J56="China",J118,0)+IF(J56="Europa",J121,0)),0))</f>
        <v>0</v>
      </c>
      <c r="K135" s="78" t="n">
        <f aca="false">IF(K134&lt;=(IF(K56="EE.UU.",K115,0)+IF(K56="China",K118,0)+IF(K56="Europa",K121,0)),K133,IFERROR(K133/K134*(IF(K56="EE.UU.",K115,0)+IF(K56="China",K118,0)+IF(K56="Europa",K121,0)),0))</f>
        <v>0</v>
      </c>
      <c r="L135" s="78" t="n">
        <f aca="false">IF(L134&lt;=(IF(L56="EE.UU.",L115,0)+IF(L56="China",L118,0)+IF(L56="Europa",L121,0)),L133,IFERROR(L133/L134*(IF(L56="EE.UU.",L115,0)+IF(L56="China",L118,0)+IF(L56="Europa",L121,0)),0))</f>
        <v>0</v>
      </c>
      <c r="M135" s="78" t="n">
        <f aca="false">IF(M134&lt;=(IF(M56="EE.UU.",M115,0)+IF(M56="China",M118,0)+IF(M56="Europa",M121,0)),M133,IFERROR(M133/M134*(IF(M56="EE.UU.",M115,0)+IF(M56="China",M118,0)+IF(M56="Europa",M121,0)),0))</f>
        <v>0</v>
      </c>
      <c r="N135" s="78" t="n">
        <f aca="false">IF(N134&lt;=(IF(N56="EE.UU.",N115,0)+IF(N56="China",N118,0)+IF(N56="Europa",N121,0)),N133,IFERROR(N133/N134*(IF(N56="EE.UU.",N115,0)+IF(N56="China",N118,0)+IF(N56="Europa",N121,0)),0))</f>
        <v>0</v>
      </c>
      <c r="O135" s="78" t="n">
        <f aca="false">IF(O134&lt;=(IF(O56="EE.UU.",O115,0)+IF(O56="China",O118,0)+IF(O56="Europa",O121,0)),O133,IFERROR(O133/O134*(IF(O56="EE.UU.",O115,0)+IF(O56="China",O118,0)+IF(O56="Europa",O121,0)),0))</f>
        <v>0</v>
      </c>
      <c r="P135" s="78" t="n">
        <f aca="false">IF(P134&lt;=(IF(P56="EE.UU.",P115,0)+IF(P56="China",P118,0)+IF(P56="Europa",P121,0)),P133,IFERROR(P133/P134*(IF(P56="EE.UU.",P115,0)+IF(P56="China",P118,0)+IF(P56="Europa",P121,0)),0))</f>
        <v>0</v>
      </c>
      <c r="Q135" s="78" t="n">
        <f aca="false">IF(Q134&lt;=(IF(Q56="EE.UU.",Q115,0)+IF(Q56="China",Q118,0)+IF(Q56="Europa",Q121,0)),Q133,IFERROR(Q133/Q134*(IF(Q56="EE.UU.",Q115,0)+IF(Q56="China",Q118,0)+IF(Q56="Europa",Q121,0)),0))</f>
        <v>0</v>
      </c>
      <c r="R135" s="78" t="n">
        <f aca="false">IF(R134&lt;=(IF(R56="EE.UU.",R115,0)+IF(R56="China",R118,0)+IF(R56="Europa",R121,0)),R133,IFERROR(R133/R134*(IF(R56="EE.UU.",R115,0)+IF(R56="China",R118,0)+IF(R56="Europa",R121,0)),0))</f>
        <v>0</v>
      </c>
      <c r="S135" s="78" t="n">
        <f aca="false">IF(S134&lt;=(IF(S56="EE.UU.",S115,0)+IF(S56="China",S118,0)+IF(S56="Europa",S121,0)),S133,IFERROR(S133/S134*(IF(S56="EE.UU.",S115,0)+IF(S56="China",S118,0)+IF(S56="Europa",S121,0)),0))</f>
        <v>0</v>
      </c>
    </row>
    <row r="136" customFormat="false" ht="15" hidden="false" customHeight="false" outlineLevel="0" collapsed="false">
      <c r="A136" s="73" t="s">
        <v>983</v>
      </c>
      <c r="B136" s="74" t="s">
        <v>996</v>
      </c>
      <c r="C136" s="66" t="s">
        <v>131</v>
      </c>
      <c r="D136" s="43" t="s">
        <v>332</v>
      </c>
      <c r="E136" s="75" t="s">
        <v>43</v>
      </c>
      <c r="F136" s="76"/>
      <c r="G136" s="36" t="n">
        <f aca="false">MAX(G130-G132,0)</f>
        <v>0</v>
      </c>
      <c r="H136" s="36" t="n">
        <f aca="false">MAX(H130-H132,0)</f>
        <v>0</v>
      </c>
      <c r="I136" s="36" t="n">
        <f aca="false">MAX(I130-I132,0)</f>
        <v>0</v>
      </c>
      <c r="J136" s="36" t="n">
        <f aca="false">MAX(J130-J132,0)</f>
        <v>0</v>
      </c>
      <c r="K136" s="36" t="n">
        <f aca="false">MAX(K130-K132,0)</f>
        <v>0</v>
      </c>
      <c r="L136" s="36" t="n">
        <f aca="false">MAX(L130-L132,0)</f>
        <v>0</v>
      </c>
      <c r="M136" s="36" t="n">
        <f aca="false">MAX(M130-M132,0)</f>
        <v>0</v>
      </c>
      <c r="N136" s="36" t="n">
        <f aca="false">MAX(N130-N132,0)</f>
        <v>0</v>
      </c>
      <c r="O136" s="36" t="n">
        <f aca="false">MAX(O130-O132,0)</f>
        <v>0</v>
      </c>
      <c r="P136" s="36" t="n">
        <f aca="false">MAX(P130-P132,0)</f>
        <v>0</v>
      </c>
      <c r="Q136" s="36" t="n">
        <f aca="false">MAX(Q130-Q132,0)</f>
        <v>0</v>
      </c>
      <c r="R136" s="36" t="n">
        <f aca="false">MAX(R130-R132,0)</f>
        <v>0</v>
      </c>
      <c r="S136" s="36" t="n">
        <f aca="false">MAX(S130-S132,0)</f>
        <v>0</v>
      </c>
    </row>
    <row r="137" customFormat="false" ht="15" hidden="false" customHeight="false" outlineLevel="0" collapsed="false">
      <c r="A137" s="73" t="s">
        <v>983</v>
      </c>
      <c r="B137" s="74" t="s">
        <v>997</v>
      </c>
      <c r="C137" s="66" t="s">
        <v>131</v>
      </c>
      <c r="D137" s="43" t="s">
        <v>332</v>
      </c>
      <c r="E137" s="75" t="s">
        <v>43</v>
      </c>
      <c r="F137" s="76"/>
      <c r="G137" s="36" t="n">
        <f aca="false">G136+IF(G45=G57,G139,0)</f>
        <v>0</v>
      </c>
      <c r="H137" s="36" t="n">
        <f aca="false">H136+IF(H45=H57,H139,0)</f>
        <v>0</v>
      </c>
      <c r="I137" s="36" t="n">
        <f aca="false">I136+IF(I45=I57,I139,0)</f>
        <v>0</v>
      </c>
      <c r="J137" s="36" t="n">
        <f aca="false">J136+IF(J45=J57,J139,0)</f>
        <v>0</v>
      </c>
      <c r="K137" s="36" t="n">
        <f aca="false">K136+IF(K45=K57,K139,0)</f>
        <v>0</v>
      </c>
      <c r="L137" s="36" t="n">
        <f aca="false">L136+IF(L45=L57,L139,0)</f>
        <v>0</v>
      </c>
      <c r="M137" s="36" t="n">
        <f aca="false">M136+IF(M45=M57,M139,0)</f>
        <v>0</v>
      </c>
      <c r="N137" s="36" t="n">
        <f aca="false">N136+IF(N45=N57,N139,0)</f>
        <v>0</v>
      </c>
      <c r="O137" s="36" t="n">
        <f aca="false">O136+IF(O45=O57,O139,0)</f>
        <v>0</v>
      </c>
      <c r="P137" s="36" t="n">
        <f aca="false">P136+IF(P45=P57,P139,0)</f>
        <v>0</v>
      </c>
      <c r="Q137" s="36" t="n">
        <f aca="false">Q136+IF(Q45=Q57,Q139,0)</f>
        <v>0</v>
      </c>
      <c r="R137" s="36" t="n">
        <f aca="false">R136+IF(R45=R57,R139,0)</f>
        <v>0</v>
      </c>
      <c r="S137" s="36" t="n">
        <f aca="false">S136+IF(S45=S57,S139,0)</f>
        <v>0</v>
      </c>
    </row>
    <row r="138" customFormat="false" ht="15" hidden="false" customHeight="false" outlineLevel="0" collapsed="false">
      <c r="A138" s="73" t="s">
        <v>983</v>
      </c>
      <c r="B138" s="74" t="s">
        <v>998</v>
      </c>
      <c r="C138" s="66" t="s">
        <v>131</v>
      </c>
      <c r="D138" s="43" t="s">
        <v>332</v>
      </c>
      <c r="E138" s="75" t="s">
        <v>43</v>
      </c>
      <c r="F138" s="76"/>
      <c r="G138" s="78" t="n">
        <f aca="false">IF(G137&lt;=(IF(G45="EE.UU.",G116,0)+IF(G45="China",G119,0)+IF(G45="Europa",G122,0)),G136,IFERROR(G136/G137*(IF(G45="EE.UU.",G116,0)+IF(G45="China",G119,0)+IF(G45="Europa",G122,0)),0))</f>
        <v>0</v>
      </c>
      <c r="H138" s="78" t="n">
        <f aca="false">IF(H137&lt;=(IF(H45="EE.UU.",H116,0)+IF(H45="China",H119,0)+IF(H45="Europa",H122,0)),H136,IFERROR(H136/H137*(IF(H45="EE.UU.",H116,0)+IF(H45="China",H119,0)+IF(H45="Europa",H122,0)),0))</f>
        <v>0</v>
      </c>
      <c r="I138" s="78" t="n">
        <f aca="false">IF(I137&lt;=(IF(I45="EE.UU.",I116,0)+IF(I45="China",I119,0)+IF(I45="Europa",I122,0)),I136,IFERROR(I136/I137*(IF(I45="EE.UU.",I116,0)+IF(I45="China",I119,0)+IF(I45="Europa",I122,0)),0))</f>
        <v>0</v>
      </c>
      <c r="J138" s="78" t="n">
        <f aca="false">IF(J137&lt;=(IF(J45="EE.UU.",J116,0)+IF(J45="China",J119,0)+IF(J45="Europa",J122,0)),J136,IFERROR(J136/J137*(IF(J45="EE.UU.",J116,0)+IF(J45="China",J119,0)+IF(J45="Europa",J122,0)),0))</f>
        <v>0</v>
      </c>
      <c r="K138" s="78" t="n">
        <f aca="false">IF(K137&lt;=(IF(K45="EE.UU.",K116,0)+IF(K45="China",K119,0)+IF(K45="Europa",K122,0)),K136,IFERROR(K136/K137*(IF(K45="EE.UU.",K116,0)+IF(K45="China",K119,0)+IF(K45="Europa",K122,0)),0))</f>
        <v>0</v>
      </c>
      <c r="L138" s="78" t="n">
        <f aca="false">IF(L137&lt;=(IF(L45="EE.UU.",L116,0)+IF(L45="China",L119,0)+IF(L45="Europa",L122,0)),L136,IFERROR(L136/L137*(IF(L45="EE.UU.",L116,0)+IF(L45="China",L119,0)+IF(L45="Europa",L122,0)),0))</f>
        <v>0</v>
      </c>
      <c r="M138" s="78" t="n">
        <f aca="false">IF(M137&lt;=(IF(M45="EE.UU.",M116,0)+IF(M45="China",M119,0)+IF(M45="Europa",M122,0)),M136,IFERROR(M136/M137*(IF(M45="EE.UU.",M116,0)+IF(M45="China",M119,0)+IF(M45="Europa",M122,0)),0))</f>
        <v>0</v>
      </c>
      <c r="N138" s="78" t="n">
        <f aca="false">IF(N137&lt;=(IF(N45="EE.UU.",N116,0)+IF(N45="China",N119,0)+IF(N45="Europa",N122,0)),N136,IFERROR(N136/N137*(IF(N45="EE.UU.",N116,0)+IF(N45="China",N119,0)+IF(N45="Europa",N122,0)),0))</f>
        <v>0</v>
      </c>
      <c r="O138" s="78" t="n">
        <f aca="false">IF(O137&lt;=(IF(O45="EE.UU.",O116,0)+IF(O45="China",O119,0)+IF(O45="Europa",O122,0)),O136,IFERROR(O136/O137*(IF(O45="EE.UU.",O116,0)+IF(O45="China",O119,0)+IF(O45="Europa",O122,0)),0))</f>
        <v>0</v>
      </c>
      <c r="P138" s="78" t="n">
        <f aca="false">IF(P137&lt;=(IF(P45="EE.UU.",P116,0)+IF(P45="China",P119,0)+IF(P45="Europa",P122,0)),P136,IFERROR(P136/P137*(IF(P45="EE.UU.",P116,0)+IF(P45="China",P119,0)+IF(P45="Europa",P122,0)),0))</f>
        <v>0</v>
      </c>
      <c r="Q138" s="78" t="n">
        <f aca="false">IF(Q137&lt;=(IF(Q45="EE.UU.",Q116,0)+IF(Q45="China",Q119,0)+IF(Q45="Europa",Q122,0)),Q136,IFERROR(Q136/Q137*(IF(Q45="EE.UU.",Q116,0)+IF(Q45="China",Q119,0)+IF(Q45="Europa",Q122,0)),0))</f>
        <v>0</v>
      </c>
      <c r="R138" s="78" t="n">
        <f aca="false">IF(R137&lt;=(IF(R45="EE.UU.",R116,0)+IF(R45="China",R119,0)+IF(R45="Europa",R122,0)),R136,IFERROR(R136/R137*(IF(R45="EE.UU.",R116,0)+IF(R45="China",R119,0)+IF(R45="Europa",R122,0)),0))</f>
        <v>0</v>
      </c>
      <c r="S138" s="78" t="n">
        <f aca="false">IF(S137&lt;=(IF(S45="EE.UU.",S116,0)+IF(S45="China",S119,0)+IF(S45="Europa",S122,0)),S136,IFERROR(S136/S137*(IF(S45="EE.UU.",S116,0)+IF(S45="China",S119,0)+IF(S45="Europa",S122,0)),0))</f>
        <v>0</v>
      </c>
    </row>
    <row r="139" customFormat="false" ht="15" hidden="false" customHeight="false" outlineLevel="0" collapsed="false">
      <c r="A139" s="73" t="s">
        <v>983</v>
      </c>
      <c r="B139" s="74" t="s">
        <v>996</v>
      </c>
      <c r="C139" s="66" t="s">
        <v>135</v>
      </c>
      <c r="D139" s="43" t="s">
        <v>332</v>
      </c>
      <c r="E139" s="75" t="s">
        <v>43</v>
      </c>
      <c r="F139" s="76"/>
      <c r="G139" s="36" t="n">
        <f aca="false">MAX(G133-G135,0)</f>
        <v>0</v>
      </c>
      <c r="H139" s="36" t="n">
        <f aca="false">MAX(H133-H135,0)</f>
        <v>0</v>
      </c>
      <c r="I139" s="36" t="n">
        <f aca="false">MAX(I133-I135,0)</f>
        <v>0</v>
      </c>
      <c r="J139" s="36" t="n">
        <f aca="false">MAX(J133-J135,0)</f>
        <v>0</v>
      </c>
      <c r="K139" s="36" t="n">
        <f aca="false">MAX(K133-K135,0)</f>
        <v>0</v>
      </c>
      <c r="L139" s="36" t="n">
        <f aca="false">MAX(L133-L135,0)</f>
        <v>0</v>
      </c>
      <c r="M139" s="36" t="n">
        <f aca="false">MAX(M133-M135,0)</f>
        <v>0</v>
      </c>
      <c r="N139" s="36" t="n">
        <f aca="false">MAX(N133-N135,0)</f>
        <v>0</v>
      </c>
      <c r="O139" s="36" t="n">
        <f aca="false">MAX(O133-O135,0)</f>
        <v>0</v>
      </c>
      <c r="P139" s="36" t="n">
        <f aca="false">MAX(P133-P135,0)</f>
        <v>0</v>
      </c>
      <c r="Q139" s="36" t="n">
        <f aca="false">MAX(Q133-Q135,0)</f>
        <v>0</v>
      </c>
      <c r="R139" s="36" t="n">
        <f aca="false">MAX(R133-R135,0)</f>
        <v>0</v>
      </c>
      <c r="S139" s="36" t="n">
        <f aca="false">MAX(S133-S135,0)</f>
        <v>0</v>
      </c>
    </row>
    <row r="140" customFormat="false" ht="15" hidden="false" customHeight="false" outlineLevel="0" collapsed="false">
      <c r="A140" s="73" t="s">
        <v>983</v>
      </c>
      <c r="B140" s="74" t="s">
        <v>997</v>
      </c>
      <c r="C140" s="66" t="s">
        <v>135</v>
      </c>
      <c r="D140" s="43" t="s">
        <v>332</v>
      </c>
      <c r="E140" s="75" t="s">
        <v>43</v>
      </c>
      <c r="F140" s="76"/>
      <c r="G140" s="36" t="n">
        <f aca="false">G139+IF(G57=G45,G136,0)</f>
        <v>0</v>
      </c>
      <c r="H140" s="36" t="n">
        <f aca="false">H139+IF(H57=H45,H136,0)</f>
        <v>0</v>
      </c>
      <c r="I140" s="36" t="n">
        <f aca="false">I139+IF(I57=I45,I136,0)</f>
        <v>0</v>
      </c>
      <c r="J140" s="36" t="n">
        <f aca="false">J139+IF(J57=J45,J136,0)</f>
        <v>0</v>
      </c>
      <c r="K140" s="36" t="n">
        <f aca="false">K139+IF(K57=K45,K136,0)</f>
        <v>0</v>
      </c>
      <c r="L140" s="36" t="n">
        <f aca="false">L139+IF(L57=L45,L136,0)</f>
        <v>0</v>
      </c>
      <c r="M140" s="36" t="n">
        <f aca="false">M139+IF(M57=M45,M136,0)</f>
        <v>0</v>
      </c>
      <c r="N140" s="36" t="n">
        <f aca="false">N139+IF(N57=N45,N136,0)</f>
        <v>0</v>
      </c>
      <c r="O140" s="36" t="n">
        <f aca="false">O139+IF(O57=O45,O136,0)</f>
        <v>0</v>
      </c>
      <c r="P140" s="36" t="n">
        <f aca="false">P139+IF(P57=P45,P136,0)</f>
        <v>0</v>
      </c>
      <c r="Q140" s="36" t="n">
        <f aca="false">Q139+IF(Q57=Q45,Q136,0)</f>
        <v>0</v>
      </c>
      <c r="R140" s="36" t="n">
        <f aca="false">R139+IF(R57=R45,R136,0)</f>
        <v>0</v>
      </c>
      <c r="S140" s="36" t="n">
        <f aca="false">S139+IF(S57=S45,S136,0)</f>
        <v>0</v>
      </c>
    </row>
    <row r="141" customFormat="false" ht="15" hidden="false" customHeight="false" outlineLevel="0" collapsed="false">
      <c r="A141" s="73" t="s">
        <v>983</v>
      </c>
      <c r="B141" s="74" t="s">
        <v>998</v>
      </c>
      <c r="C141" s="66" t="s">
        <v>135</v>
      </c>
      <c r="D141" s="43" t="s">
        <v>332</v>
      </c>
      <c r="E141" s="75" t="s">
        <v>43</v>
      </c>
      <c r="F141" s="76"/>
      <c r="G141" s="78" t="n">
        <f aca="false">IF(G140&lt;=(IF(G57="EE.UU.",G116,0)+IF(G57="China",G119,0)+IF(G57="Europa",G122,0)),G139,IFERROR(G139/G140*(IF(G57="EE.UU.",G116,0)+IF(G57="China",G119,0)+IF(G57="Europa",G122,0)),0))</f>
        <v>0</v>
      </c>
      <c r="H141" s="78" t="n">
        <f aca="false">IF(H140&lt;=(IF(H57="EE.UU.",H116,0)+IF(H57="China",H119,0)+IF(H57="Europa",H122,0)),H139,IFERROR(H139/H140*(IF(H57="EE.UU.",H116,0)+IF(H57="China",H119,0)+IF(H57="Europa",H122,0)),0))</f>
        <v>0</v>
      </c>
      <c r="I141" s="78" t="n">
        <f aca="false">IF(I140&lt;=(IF(I57="EE.UU.",I116,0)+IF(I57="China",I119,0)+IF(I57="Europa",I122,0)),I139,IFERROR(I139/I140*(IF(I57="EE.UU.",I116,0)+IF(I57="China",I119,0)+IF(I57="Europa",I122,0)),0))</f>
        <v>0</v>
      </c>
      <c r="J141" s="78" t="n">
        <f aca="false">IF(J140&lt;=(IF(J57="EE.UU.",J116,0)+IF(J57="China",J119,0)+IF(J57="Europa",J122,0)),J139,IFERROR(J139/J140*(IF(J57="EE.UU.",J116,0)+IF(J57="China",J119,0)+IF(J57="Europa",J122,0)),0))</f>
        <v>0</v>
      </c>
      <c r="K141" s="78" t="n">
        <f aca="false">IF(K140&lt;=(IF(K57="EE.UU.",K116,0)+IF(K57="China",K119,0)+IF(K57="Europa",K122,0)),K139,IFERROR(K139/K140*(IF(K57="EE.UU.",K116,0)+IF(K57="China",K119,0)+IF(K57="Europa",K122,0)),0))</f>
        <v>0</v>
      </c>
      <c r="L141" s="78" t="n">
        <f aca="false">IF(L140&lt;=(IF(L57="EE.UU.",L116,0)+IF(L57="China",L119,0)+IF(L57="Europa",L122,0)),L139,IFERROR(L139/L140*(IF(L57="EE.UU.",L116,0)+IF(L57="China",L119,0)+IF(L57="Europa",L122,0)),0))</f>
        <v>0</v>
      </c>
      <c r="M141" s="78" t="n">
        <f aca="false">IF(M140&lt;=(IF(M57="EE.UU.",M116,0)+IF(M57="China",M119,0)+IF(M57="Europa",M122,0)),M139,IFERROR(M139/M140*(IF(M57="EE.UU.",M116,0)+IF(M57="China",M119,0)+IF(M57="Europa",M122,0)),0))</f>
        <v>0</v>
      </c>
      <c r="N141" s="78" t="n">
        <f aca="false">IF(N140&lt;=(IF(N57="EE.UU.",N116,0)+IF(N57="China",N119,0)+IF(N57="Europa",N122,0)),N139,IFERROR(N139/N140*(IF(N57="EE.UU.",N116,0)+IF(N57="China",N119,0)+IF(N57="Europa",N122,0)),0))</f>
        <v>0</v>
      </c>
      <c r="O141" s="78" t="n">
        <f aca="false">IF(O140&lt;=(IF(O57="EE.UU.",O116,0)+IF(O57="China",O119,0)+IF(O57="Europa",O122,0)),O139,IFERROR(O139/O140*(IF(O57="EE.UU.",O116,0)+IF(O57="China",O119,0)+IF(O57="Europa",O122,0)),0))</f>
        <v>0</v>
      </c>
      <c r="P141" s="78" t="n">
        <f aca="false">IF(P140&lt;=(IF(P57="EE.UU.",P116,0)+IF(P57="China",P119,0)+IF(P57="Europa",P122,0)),P139,IFERROR(P139/P140*(IF(P57="EE.UU.",P116,0)+IF(P57="China",P119,0)+IF(P57="Europa",P122,0)),0))</f>
        <v>0</v>
      </c>
      <c r="Q141" s="78" t="n">
        <f aca="false">IF(Q140&lt;=(IF(Q57="EE.UU.",Q116,0)+IF(Q57="China",Q119,0)+IF(Q57="Europa",Q122,0)),Q139,IFERROR(Q139/Q140*(IF(Q57="EE.UU.",Q116,0)+IF(Q57="China",Q119,0)+IF(Q57="Europa",Q122,0)),0))</f>
        <v>0</v>
      </c>
      <c r="R141" s="78" t="n">
        <f aca="false">IF(R140&lt;=(IF(R57="EE.UU.",R116,0)+IF(R57="China",R119,0)+IF(R57="Europa",R122,0)),R139,IFERROR(R139/R140*(IF(R57="EE.UU.",R116,0)+IF(R57="China",R119,0)+IF(R57="Europa",R122,0)),0))</f>
        <v>0</v>
      </c>
      <c r="S141" s="78" t="n">
        <f aca="false">IF(S140&lt;=(IF(S57="EE.UU.",S116,0)+IF(S57="China",S119,0)+IF(S57="Europa",S122,0)),S139,IFERROR(S139/S140*(IF(S57="EE.UU.",S116,0)+IF(S57="China",S119,0)+IF(S57="Europa",S122,0)),0))</f>
        <v>0</v>
      </c>
    </row>
    <row r="142" customFormat="false" ht="15" hidden="false" customHeight="false" outlineLevel="0" collapsed="false">
      <c r="A142" s="73" t="s">
        <v>983</v>
      </c>
      <c r="B142" s="74" t="s">
        <v>987</v>
      </c>
      <c r="C142" s="66" t="s">
        <v>132</v>
      </c>
      <c r="D142" s="43" t="s">
        <v>332</v>
      </c>
      <c r="E142" s="75" t="s">
        <v>43</v>
      </c>
      <c r="F142" s="76"/>
      <c r="G142" s="36" t="n">
        <f aca="false">MAX(G16-(IF(G46="EE.UU.",G153,0)+IF(G58="EE.UU.",G156,0)),0)</f>
        <v>0</v>
      </c>
      <c r="H142" s="36" t="n">
        <f aca="false">MAX(H16-(IF(H46="EE.UU.",H153,0)+IF(H58="EE.UU.",H156,0)),0)</f>
        <v>0</v>
      </c>
      <c r="I142" s="36" t="n">
        <f aca="false">MAX(I16-(IF(I46="EE.UU.",I153,0)+IF(I58="EE.UU.",I156,0)),0)</f>
        <v>0</v>
      </c>
      <c r="J142" s="36" t="n">
        <f aca="false">MAX(J16-(IF(J46="EE.UU.",J153,0)+IF(J58="EE.UU.",J156,0)),0)</f>
        <v>0</v>
      </c>
      <c r="K142" s="36" t="n">
        <f aca="false">MAX(K16-(IF(K46="EE.UU.",K153,0)+IF(K58="EE.UU.",K156,0)),0)</f>
        <v>0</v>
      </c>
      <c r="L142" s="36" t="n">
        <f aca="false">MAX(L16-(IF(L46="EE.UU.",L153,0)+IF(L58="EE.UU.",L156,0)),0)</f>
        <v>0</v>
      </c>
      <c r="M142" s="36" t="n">
        <f aca="false">MAX(M16-(IF(M46="EE.UU.",M153,0)+IF(M58="EE.UU.",M156,0)),0)</f>
        <v>0</v>
      </c>
      <c r="N142" s="36" t="n">
        <f aca="false">MAX(N16-(IF(N46="EE.UU.",N153,0)+IF(N58="EE.UU.",N156,0)),0)</f>
        <v>0</v>
      </c>
      <c r="O142" s="36" t="n">
        <f aca="false">MAX(O16-(IF(O46="EE.UU.",O153,0)+IF(O58="EE.UU.",O156,0)),0)</f>
        <v>0</v>
      </c>
      <c r="P142" s="36" t="n">
        <f aca="false">MAX(P16-(IF(P46="EE.UU.",P153,0)+IF(P58="EE.UU.",P156,0)),0)</f>
        <v>0</v>
      </c>
      <c r="Q142" s="36" t="n">
        <f aca="false">MAX(Q16-(IF(Q46="EE.UU.",Q153,0)+IF(Q58="EE.UU.",Q156,0)),0)</f>
        <v>0</v>
      </c>
      <c r="R142" s="36" t="n">
        <f aca="false">MAX(R16-(IF(R46="EE.UU.",R153,0)+IF(R58="EE.UU.",R156,0)),0)</f>
        <v>0</v>
      </c>
      <c r="S142" s="36" t="n">
        <f aca="false">MAX(S16-(IF(S46="EE.UU.",S153,0)+IF(S58="EE.UU.",S156,0)),0)</f>
        <v>0</v>
      </c>
    </row>
    <row r="143" customFormat="false" ht="15" hidden="false" customHeight="false" outlineLevel="0" collapsed="false">
      <c r="A143" s="73" t="s">
        <v>983</v>
      </c>
      <c r="B143" s="74" t="s">
        <v>988</v>
      </c>
      <c r="C143" s="66" t="s">
        <v>132</v>
      </c>
      <c r="D143" s="43" t="s">
        <v>332</v>
      </c>
      <c r="E143" s="75" t="s">
        <v>43</v>
      </c>
      <c r="F143" s="76"/>
      <c r="G143" s="36" t="n">
        <f aca="false">MAX(G142-(IF(G47="EE.UU.",G159,0)+IF(G59="EE.UU.",G162,0)),0)</f>
        <v>0</v>
      </c>
      <c r="H143" s="36" t="n">
        <f aca="false">MAX(H142-(IF(H47="EE.UU.",H159,0)+IF(H59="EE.UU.",H162,0)),0)</f>
        <v>0</v>
      </c>
      <c r="I143" s="36" t="n">
        <f aca="false">MAX(I142-(IF(I47="EE.UU.",I159,0)+IF(I59="EE.UU.",I162,0)),0)</f>
        <v>0</v>
      </c>
      <c r="J143" s="36" t="n">
        <f aca="false">MAX(J142-(IF(J47="EE.UU.",J159,0)+IF(J59="EE.UU.",J162,0)),0)</f>
        <v>0</v>
      </c>
      <c r="K143" s="36" t="n">
        <f aca="false">MAX(K142-(IF(K47="EE.UU.",K159,0)+IF(K59="EE.UU.",K162,0)),0)</f>
        <v>0</v>
      </c>
      <c r="L143" s="36" t="n">
        <f aca="false">MAX(L142-(IF(L47="EE.UU.",L159,0)+IF(L59="EE.UU.",L162,0)),0)</f>
        <v>0</v>
      </c>
      <c r="M143" s="36" t="n">
        <f aca="false">MAX(M142-(IF(M47="EE.UU.",M159,0)+IF(M59="EE.UU.",M162,0)),0)</f>
        <v>0</v>
      </c>
      <c r="N143" s="36" t="n">
        <f aca="false">MAX(N142-(IF(N47="EE.UU.",N159,0)+IF(N59="EE.UU.",N162,0)),0)</f>
        <v>0</v>
      </c>
      <c r="O143" s="36" t="n">
        <f aca="false">MAX(O142-(IF(O47="EE.UU.",O159,0)+IF(O59="EE.UU.",O162,0)),0)</f>
        <v>0</v>
      </c>
      <c r="P143" s="36" t="n">
        <f aca="false">MAX(P142-(IF(P47="EE.UU.",P159,0)+IF(P59="EE.UU.",P162,0)),0)</f>
        <v>0</v>
      </c>
      <c r="Q143" s="36" t="n">
        <f aca="false">MAX(Q142-(IF(Q47="EE.UU.",Q159,0)+IF(Q59="EE.UU.",Q162,0)),0)</f>
        <v>0</v>
      </c>
      <c r="R143" s="36" t="n">
        <f aca="false">MAX(R142-(IF(R47="EE.UU.",R159,0)+IF(R59="EE.UU.",R162,0)),0)</f>
        <v>0</v>
      </c>
      <c r="S143" s="36" t="n">
        <f aca="false">MAX(S142-(IF(S47="EE.UU.",S159,0)+IF(S59="EE.UU.",S162,0)),0)</f>
        <v>0</v>
      </c>
    </row>
    <row r="144" customFormat="false" ht="15" hidden="false" customHeight="false" outlineLevel="0" collapsed="false">
      <c r="A144" s="73" t="s">
        <v>983</v>
      </c>
      <c r="B144" s="74" t="s">
        <v>989</v>
      </c>
      <c r="C144" s="66" t="s">
        <v>132</v>
      </c>
      <c r="D144" s="43" t="s">
        <v>332</v>
      </c>
      <c r="E144" s="75" t="s">
        <v>43</v>
      </c>
      <c r="F144" s="76"/>
      <c r="G144" s="36" t="n">
        <f aca="false">MAX(G143-(IF(G48="EE.UU.",G165,0)+IF(G60="EE.UU.",G168,0)),0)</f>
        <v>0</v>
      </c>
      <c r="H144" s="36" t="n">
        <f aca="false">MAX(H143-(IF(H48="EE.UU.",H165,0)+IF(H60="EE.UU.",H168,0)),0)</f>
        <v>0</v>
      </c>
      <c r="I144" s="36" t="n">
        <f aca="false">MAX(I143-(IF(I48="EE.UU.",I165,0)+IF(I60="EE.UU.",I168,0)),0)</f>
        <v>0</v>
      </c>
      <c r="J144" s="36" t="n">
        <f aca="false">MAX(J143-(IF(J48="EE.UU.",J165,0)+IF(J60="EE.UU.",J168,0)),0)</f>
        <v>0</v>
      </c>
      <c r="K144" s="36" t="n">
        <f aca="false">MAX(K143-(IF(K48="EE.UU.",K165,0)+IF(K60="EE.UU.",K168,0)),0)</f>
        <v>0</v>
      </c>
      <c r="L144" s="36" t="n">
        <f aca="false">MAX(L143-(IF(L48="EE.UU.",L165,0)+IF(L60="EE.UU.",L168,0)),0)</f>
        <v>0</v>
      </c>
      <c r="M144" s="36" t="n">
        <f aca="false">MAX(M143-(IF(M48="EE.UU.",M165,0)+IF(M60="EE.UU.",M168,0)),0)</f>
        <v>0</v>
      </c>
      <c r="N144" s="36" t="n">
        <f aca="false">MAX(N143-(IF(N48="EE.UU.",N165,0)+IF(N60="EE.UU.",N168,0)),0)</f>
        <v>0</v>
      </c>
      <c r="O144" s="36" t="n">
        <f aca="false">MAX(O143-(IF(O48="EE.UU.",O165,0)+IF(O60="EE.UU.",O168,0)),0)</f>
        <v>0</v>
      </c>
      <c r="P144" s="36" t="n">
        <f aca="false">MAX(P143-(IF(P48="EE.UU.",P165,0)+IF(P60="EE.UU.",P168,0)),0)</f>
        <v>0</v>
      </c>
      <c r="Q144" s="36" t="n">
        <f aca="false">MAX(Q143-(IF(Q48="EE.UU.",Q165,0)+IF(Q60="EE.UU.",Q168,0)),0)</f>
        <v>0</v>
      </c>
      <c r="R144" s="36" t="n">
        <f aca="false">MAX(R143-(IF(R48="EE.UU.",R165,0)+IF(R60="EE.UU.",R168,0)),0)</f>
        <v>0</v>
      </c>
      <c r="S144" s="36" t="n">
        <f aca="false">MAX(S143-(IF(S48="EE.UU.",S165,0)+IF(S60="EE.UU.",S168,0)),0)</f>
        <v>0</v>
      </c>
    </row>
    <row r="145" customFormat="false" ht="15" hidden="false" customHeight="false" outlineLevel="0" collapsed="false">
      <c r="A145" s="73" t="s">
        <v>983</v>
      </c>
      <c r="B145" s="74" t="s">
        <v>987</v>
      </c>
      <c r="C145" s="66" t="s">
        <v>136</v>
      </c>
      <c r="D145" s="43" t="s">
        <v>332</v>
      </c>
      <c r="E145" s="75" t="s">
        <v>43</v>
      </c>
      <c r="F145" s="76"/>
      <c r="G145" s="36" t="n">
        <f aca="false">MAX(G20-(IF(G46="China",G153,0)+IF(G58="China",G156,0)),0)</f>
        <v>0</v>
      </c>
      <c r="H145" s="36" t="n">
        <f aca="false">MAX(H20-(IF(H46="China",H153,0)+IF(H58="China",H156,0)),0)</f>
        <v>0</v>
      </c>
      <c r="I145" s="36" t="n">
        <f aca="false">MAX(I20-(IF(I46="China",I153,0)+IF(I58="China",I156,0)),0)</f>
        <v>0</v>
      </c>
      <c r="J145" s="36" t="n">
        <f aca="false">MAX(J20-(IF(J46="China",J153,0)+IF(J58="China",J156,0)),0)</f>
        <v>0</v>
      </c>
      <c r="K145" s="36" t="n">
        <f aca="false">MAX(K20-(IF(K46="China",K153,0)+IF(K58="China",K156,0)),0)</f>
        <v>0</v>
      </c>
      <c r="L145" s="36" t="n">
        <f aca="false">MAX(L20-(IF(L46="China",L153,0)+IF(L58="China",L156,0)),0)</f>
        <v>0</v>
      </c>
      <c r="M145" s="36" t="n">
        <f aca="false">MAX(M20-(IF(M46="China",M153,0)+IF(M58="China",M156,0)),0)</f>
        <v>0</v>
      </c>
      <c r="N145" s="36" t="n">
        <f aca="false">MAX(N20-(IF(N46="China",N153,0)+IF(N58="China",N156,0)),0)</f>
        <v>0</v>
      </c>
      <c r="O145" s="36" t="n">
        <f aca="false">MAX(O20-(IF(O46="China",O153,0)+IF(O58="China",O156,0)),0)</f>
        <v>0</v>
      </c>
      <c r="P145" s="36" t="n">
        <f aca="false">MAX(P20-(IF(P46="China",P153,0)+IF(P58="China",P156,0)),0)</f>
        <v>0</v>
      </c>
      <c r="Q145" s="36" t="n">
        <f aca="false">MAX(Q20-(IF(Q46="China",Q153,0)+IF(Q58="China",Q156,0)),0)</f>
        <v>0</v>
      </c>
      <c r="R145" s="36" t="n">
        <f aca="false">MAX(R20-(IF(R46="China",R153,0)+IF(R58="China",R156,0)),0)</f>
        <v>0</v>
      </c>
      <c r="S145" s="36" t="n">
        <f aca="false">MAX(S20-(IF(S46="China",S153,0)+IF(S58="China",S156,0)),0)</f>
        <v>0</v>
      </c>
    </row>
    <row r="146" customFormat="false" ht="15" hidden="false" customHeight="false" outlineLevel="0" collapsed="false">
      <c r="A146" s="73" t="s">
        <v>983</v>
      </c>
      <c r="B146" s="74" t="s">
        <v>988</v>
      </c>
      <c r="C146" s="66" t="s">
        <v>136</v>
      </c>
      <c r="D146" s="43" t="s">
        <v>332</v>
      </c>
      <c r="E146" s="75" t="s">
        <v>43</v>
      </c>
      <c r="F146" s="76"/>
      <c r="G146" s="36" t="n">
        <f aca="false">MAX(G145-(IF(G47="China",G159,0)+IF(G59="China",G162,0)),0)</f>
        <v>0</v>
      </c>
      <c r="H146" s="36" t="n">
        <f aca="false">MAX(H145-(IF(H47="China",H159,0)+IF(H59="China",H162,0)),0)</f>
        <v>0</v>
      </c>
      <c r="I146" s="36" t="n">
        <f aca="false">MAX(I145-(IF(I47="China",I159,0)+IF(I59="China",I162,0)),0)</f>
        <v>0</v>
      </c>
      <c r="J146" s="36" t="n">
        <f aca="false">MAX(J145-(IF(J47="China",J159,0)+IF(J59="China",J162,0)),0)</f>
        <v>0</v>
      </c>
      <c r="K146" s="36" t="n">
        <f aca="false">MAX(K145-(IF(K47="China",K159,0)+IF(K59="China",K162,0)),0)</f>
        <v>0</v>
      </c>
      <c r="L146" s="36" t="n">
        <f aca="false">MAX(L145-(IF(L47="China",L159,0)+IF(L59="China",L162,0)),0)</f>
        <v>0</v>
      </c>
      <c r="M146" s="36" t="n">
        <f aca="false">MAX(M145-(IF(M47="China",M159,0)+IF(M59="China",M162,0)),0)</f>
        <v>0</v>
      </c>
      <c r="N146" s="36" t="n">
        <f aca="false">MAX(N145-(IF(N47="China",N159,0)+IF(N59="China",N162,0)),0)</f>
        <v>0</v>
      </c>
      <c r="O146" s="36" t="n">
        <f aca="false">MAX(O145-(IF(O47="China",O159,0)+IF(O59="China",O162,0)),0)</f>
        <v>0</v>
      </c>
      <c r="P146" s="36" t="n">
        <f aca="false">MAX(P145-(IF(P47="China",P159,0)+IF(P59="China",P162,0)),0)</f>
        <v>0</v>
      </c>
      <c r="Q146" s="36" t="n">
        <f aca="false">MAX(Q145-(IF(Q47="China",Q159,0)+IF(Q59="China",Q162,0)),0)</f>
        <v>0</v>
      </c>
      <c r="R146" s="36" t="n">
        <f aca="false">MAX(R145-(IF(R47="China",R159,0)+IF(R59="China",R162,0)),0)</f>
        <v>0</v>
      </c>
      <c r="S146" s="36" t="n">
        <f aca="false">MAX(S145-(IF(S47="China",S159,0)+IF(S59="China",S162,0)),0)</f>
        <v>0</v>
      </c>
    </row>
    <row r="147" customFormat="false" ht="15" hidden="false" customHeight="false" outlineLevel="0" collapsed="false">
      <c r="A147" s="73" t="s">
        <v>983</v>
      </c>
      <c r="B147" s="74" t="s">
        <v>989</v>
      </c>
      <c r="C147" s="66" t="s">
        <v>136</v>
      </c>
      <c r="D147" s="43" t="s">
        <v>332</v>
      </c>
      <c r="E147" s="75" t="s">
        <v>43</v>
      </c>
      <c r="F147" s="76"/>
      <c r="G147" s="36" t="n">
        <f aca="false">MAX(G146-(IF(G48="China",G165,0)+IF(G60="China",G168,0)),0)</f>
        <v>0</v>
      </c>
      <c r="H147" s="36" t="n">
        <f aca="false">MAX(H146-(IF(H48="China",H165,0)+IF(H60="China",H168,0)),0)</f>
        <v>0</v>
      </c>
      <c r="I147" s="36" t="n">
        <f aca="false">MAX(I146-(IF(I48="China",I165,0)+IF(I60="China",I168,0)),0)</f>
        <v>0</v>
      </c>
      <c r="J147" s="36" t="n">
        <f aca="false">MAX(J146-(IF(J48="China",J165,0)+IF(J60="China",J168,0)),0)</f>
        <v>0</v>
      </c>
      <c r="K147" s="36" t="n">
        <f aca="false">MAX(K146-(IF(K48="China",K165,0)+IF(K60="China",K168,0)),0)</f>
        <v>0</v>
      </c>
      <c r="L147" s="36" t="n">
        <f aca="false">MAX(L146-(IF(L48="China",L165,0)+IF(L60="China",L168,0)),0)</f>
        <v>0</v>
      </c>
      <c r="M147" s="36" t="n">
        <f aca="false">MAX(M146-(IF(M48="China",M165,0)+IF(M60="China",M168,0)),0)</f>
        <v>0</v>
      </c>
      <c r="N147" s="36" t="n">
        <f aca="false">MAX(N146-(IF(N48="China",N165,0)+IF(N60="China",N168,0)),0)</f>
        <v>0</v>
      </c>
      <c r="O147" s="36" t="n">
        <f aca="false">MAX(O146-(IF(O48="China",O165,0)+IF(O60="China",O168,0)),0)</f>
        <v>0</v>
      </c>
      <c r="P147" s="36" t="n">
        <f aca="false">MAX(P146-(IF(P48="China",P165,0)+IF(P60="China",P168,0)),0)</f>
        <v>0</v>
      </c>
      <c r="Q147" s="36" t="n">
        <f aca="false">MAX(Q146-(IF(Q48="China",Q165,0)+IF(Q60="China",Q168,0)),0)</f>
        <v>0</v>
      </c>
      <c r="R147" s="36" t="n">
        <f aca="false">MAX(R146-(IF(R48="China",R165,0)+IF(R60="China",R168,0)),0)</f>
        <v>0</v>
      </c>
      <c r="S147" s="36" t="n">
        <f aca="false">MAX(S146-(IF(S48="China",S165,0)+IF(S60="China",S168,0)),0)</f>
        <v>0</v>
      </c>
    </row>
    <row r="148" customFormat="false" ht="15" hidden="false" customHeight="false" outlineLevel="0" collapsed="false">
      <c r="A148" s="73" t="s">
        <v>983</v>
      </c>
      <c r="B148" s="74" t="s">
        <v>987</v>
      </c>
      <c r="C148" s="66" t="s">
        <v>158</v>
      </c>
      <c r="D148" s="43" t="s">
        <v>332</v>
      </c>
      <c r="E148" s="75" t="s">
        <v>43</v>
      </c>
      <c r="F148" s="76"/>
      <c r="G148" s="36" t="n">
        <f aca="false">MAX(G24-(IF(G46="Europa",G153,0)+IF(G58="Europa",G156,0)),0)</f>
        <v>0</v>
      </c>
      <c r="H148" s="36" t="n">
        <f aca="false">MAX(H24-(IF(H46="Europa",H153,0)+IF(H58="Europa",H156,0)),0)</f>
        <v>0</v>
      </c>
      <c r="I148" s="36" t="n">
        <f aca="false">MAX(I24-(IF(I46="Europa",I153,0)+IF(I58="Europa",I156,0)),0)</f>
        <v>0</v>
      </c>
      <c r="J148" s="36" t="n">
        <f aca="false">MAX(J24-(IF(J46="Europa",J153,0)+IF(J58="Europa",J156,0)),0)</f>
        <v>0</v>
      </c>
      <c r="K148" s="36" t="n">
        <f aca="false">MAX(K24-(IF(K46="Europa",K153,0)+IF(K58="Europa",K156,0)),0)</f>
        <v>0</v>
      </c>
      <c r="L148" s="36" t="n">
        <f aca="false">MAX(L24-(IF(L46="Europa",L153,0)+IF(L58="Europa",L156,0)),0)</f>
        <v>0</v>
      </c>
      <c r="M148" s="36" t="n">
        <f aca="false">MAX(M24-(IF(M46="Europa",M153,0)+IF(M58="Europa",M156,0)),0)</f>
        <v>0</v>
      </c>
      <c r="N148" s="36" t="n">
        <f aca="false">MAX(N24-(IF(N46="Europa",N153,0)+IF(N58="Europa",N156,0)),0)</f>
        <v>0</v>
      </c>
      <c r="O148" s="36" t="n">
        <f aca="false">MAX(O24-(IF(O46="Europa",O153,0)+IF(O58="Europa",O156,0)),0)</f>
        <v>0</v>
      </c>
      <c r="P148" s="36" t="n">
        <f aca="false">MAX(P24-(IF(P46="Europa",P153,0)+IF(P58="Europa",P156,0)),0)</f>
        <v>0</v>
      </c>
      <c r="Q148" s="36" t="n">
        <f aca="false">MAX(Q24-(IF(Q46="Europa",Q153,0)+IF(Q58="Europa",Q156,0)),0)</f>
        <v>0</v>
      </c>
      <c r="R148" s="36" t="n">
        <f aca="false">MAX(R24-(IF(R46="Europa",R153,0)+IF(R58="Europa",R156,0)),0)</f>
        <v>0</v>
      </c>
      <c r="S148" s="36" t="n">
        <f aca="false">MAX(S24-(IF(S46="Europa",S153,0)+IF(S58="Europa",S156,0)),0)</f>
        <v>0</v>
      </c>
    </row>
    <row r="149" customFormat="false" ht="15" hidden="false" customHeight="false" outlineLevel="0" collapsed="false">
      <c r="A149" s="73" t="s">
        <v>983</v>
      </c>
      <c r="B149" s="74" t="s">
        <v>988</v>
      </c>
      <c r="C149" s="66" t="s">
        <v>158</v>
      </c>
      <c r="D149" s="43" t="s">
        <v>332</v>
      </c>
      <c r="E149" s="75" t="s">
        <v>43</v>
      </c>
      <c r="F149" s="76"/>
      <c r="G149" s="36" t="n">
        <f aca="false">MAX(G148-(IF(G47="Europa",G159,0)+IF(G59="Europa",G162,0)),0)</f>
        <v>0</v>
      </c>
      <c r="H149" s="36" t="n">
        <f aca="false">MAX(H148-(IF(H47="Europa",H159,0)+IF(H59="Europa",H162,0)),0)</f>
        <v>0</v>
      </c>
      <c r="I149" s="36" t="n">
        <f aca="false">MAX(I148-(IF(I47="Europa",I159,0)+IF(I59="Europa",I162,0)),0)</f>
        <v>0</v>
      </c>
      <c r="J149" s="36" t="n">
        <f aca="false">MAX(J148-(IF(J47="Europa",J159,0)+IF(J59="Europa",J162,0)),0)</f>
        <v>0</v>
      </c>
      <c r="K149" s="36" t="n">
        <f aca="false">MAX(K148-(IF(K47="Europa",K159,0)+IF(K59="Europa",K162,0)),0)</f>
        <v>0</v>
      </c>
      <c r="L149" s="36" t="n">
        <f aca="false">MAX(L148-(IF(L47="Europa",L159,0)+IF(L59="Europa",L162,0)),0)</f>
        <v>0</v>
      </c>
      <c r="M149" s="36" t="n">
        <f aca="false">MAX(M148-(IF(M47="Europa",M159,0)+IF(M59="Europa",M162,0)),0)</f>
        <v>0</v>
      </c>
      <c r="N149" s="36" t="n">
        <f aca="false">MAX(N148-(IF(N47="Europa",N159,0)+IF(N59="Europa",N162,0)),0)</f>
        <v>0</v>
      </c>
      <c r="O149" s="36" t="n">
        <f aca="false">MAX(O148-(IF(O47="Europa",O159,0)+IF(O59="Europa",O162,0)),0)</f>
        <v>0</v>
      </c>
      <c r="P149" s="36" t="n">
        <f aca="false">MAX(P148-(IF(P47="Europa",P159,0)+IF(P59="Europa",P162,0)),0)</f>
        <v>0</v>
      </c>
      <c r="Q149" s="36" t="n">
        <f aca="false">MAX(Q148-(IF(Q47="Europa",Q159,0)+IF(Q59="Europa",Q162,0)),0)</f>
        <v>0</v>
      </c>
      <c r="R149" s="36" t="n">
        <f aca="false">MAX(R148-(IF(R47="Europa",R159,0)+IF(R59="Europa",R162,0)),0)</f>
        <v>0</v>
      </c>
      <c r="S149" s="36" t="n">
        <f aca="false">MAX(S148-(IF(S47="Europa",S159,0)+IF(S59="Europa",S162,0)),0)</f>
        <v>0</v>
      </c>
    </row>
    <row r="150" customFormat="false" ht="15" hidden="false" customHeight="false" outlineLevel="0" collapsed="false">
      <c r="A150" s="73" t="s">
        <v>983</v>
      </c>
      <c r="B150" s="74" t="s">
        <v>989</v>
      </c>
      <c r="C150" s="66" t="s">
        <v>158</v>
      </c>
      <c r="D150" s="43" t="s">
        <v>332</v>
      </c>
      <c r="E150" s="75" t="s">
        <v>43</v>
      </c>
      <c r="F150" s="76"/>
      <c r="G150" s="36" t="n">
        <f aca="false">MAX(G149-(IF(G48="Europa",G165,0)+IF(G60="Europa",G168,0)),0)</f>
        <v>0</v>
      </c>
      <c r="H150" s="36" t="n">
        <f aca="false">MAX(H149-(IF(H48="Europa",H165,0)+IF(H60="Europa",H168,0)),0)</f>
        <v>0</v>
      </c>
      <c r="I150" s="36" t="n">
        <f aca="false">MAX(I149-(IF(I48="Europa",I165,0)+IF(I60="Europa",I168,0)),0)</f>
        <v>0</v>
      </c>
      <c r="J150" s="36" t="n">
        <f aca="false">MAX(J149-(IF(J48="Europa",J165,0)+IF(J60="Europa",J168,0)),0)</f>
        <v>0</v>
      </c>
      <c r="K150" s="36" t="n">
        <f aca="false">MAX(K149-(IF(K48="Europa",K165,0)+IF(K60="Europa",K168,0)),0)</f>
        <v>0</v>
      </c>
      <c r="L150" s="36" t="n">
        <f aca="false">MAX(L149-(IF(L48="Europa",L165,0)+IF(L60="Europa",L168,0)),0)</f>
        <v>0</v>
      </c>
      <c r="M150" s="36" t="n">
        <f aca="false">MAX(M149-(IF(M48="Europa",M165,0)+IF(M60="Europa",M168,0)),0)</f>
        <v>0</v>
      </c>
      <c r="N150" s="36" t="n">
        <f aca="false">MAX(N149-(IF(N48="Europa",N165,0)+IF(N60="Europa",N168,0)),0)</f>
        <v>0</v>
      </c>
      <c r="O150" s="36" t="n">
        <f aca="false">MAX(O149-(IF(O48="Europa",O165,0)+IF(O60="Europa",O168,0)),0)</f>
        <v>0</v>
      </c>
      <c r="P150" s="36" t="n">
        <f aca="false">MAX(P149-(IF(P48="Europa",P165,0)+IF(P60="Europa",P168,0)),0)</f>
        <v>0</v>
      </c>
      <c r="Q150" s="36" t="n">
        <f aca="false">MAX(Q149-(IF(Q48="Europa",Q165,0)+IF(Q60="Europa",Q168,0)),0)</f>
        <v>0</v>
      </c>
      <c r="R150" s="36" t="n">
        <f aca="false">MAX(R149-(IF(R48="Europa",R165,0)+IF(R60="Europa",R168,0)),0)</f>
        <v>0</v>
      </c>
      <c r="S150" s="36" t="n">
        <f aca="false">MAX(S149-(IF(S48="Europa",S165,0)+IF(S60="Europa",S168,0)),0)</f>
        <v>0</v>
      </c>
    </row>
    <row r="151" customFormat="false" ht="15" hidden="false" customHeight="false" outlineLevel="0" collapsed="false">
      <c r="A151" s="73" t="s">
        <v>983</v>
      </c>
      <c r="B151" s="74" t="s">
        <v>990</v>
      </c>
      <c r="C151" s="66" t="s">
        <v>132</v>
      </c>
      <c r="D151" s="43" t="s">
        <v>332</v>
      </c>
      <c r="E151" s="75" t="s">
        <v>43</v>
      </c>
      <c r="F151" s="76"/>
      <c r="G151" s="36" t="n">
        <f aca="false">G30</f>
        <v>0</v>
      </c>
      <c r="H151" s="36" t="n">
        <f aca="false">H30</f>
        <v>0</v>
      </c>
      <c r="I151" s="36" t="n">
        <f aca="false">I30</f>
        <v>0</v>
      </c>
      <c r="J151" s="36" t="n">
        <f aca="false">J30</f>
        <v>0</v>
      </c>
      <c r="K151" s="36" t="n">
        <f aca="false">K30</f>
        <v>0</v>
      </c>
      <c r="L151" s="36" t="n">
        <f aca="false">L30</f>
        <v>0</v>
      </c>
      <c r="M151" s="36" t="n">
        <f aca="false">M30</f>
        <v>0</v>
      </c>
      <c r="N151" s="36" t="n">
        <f aca="false">N30</f>
        <v>0</v>
      </c>
      <c r="O151" s="36" t="n">
        <f aca="false">O30</f>
        <v>0</v>
      </c>
      <c r="P151" s="36" t="n">
        <f aca="false">P30</f>
        <v>0</v>
      </c>
      <c r="Q151" s="36" t="n">
        <f aca="false">Q30</f>
        <v>0</v>
      </c>
      <c r="R151" s="36" t="n">
        <f aca="false">R30</f>
        <v>0</v>
      </c>
      <c r="S151" s="36" t="n">
        <f aca="false">S30</f>
        <v>0</v>
      </c>
    </row>
    <row r="152" customFormat="false" ht="15" hidden="false" customHeight="false" outlineLevel="0" collapsed="false">
      <c r="A152" s="73" t="s">
        <v>983</v>
      </c>
      <c r="B152" s="74" t="s">
        <v>991</v>
      </c>
      <c r="C152" s="66" t="s">
        <v>132</v>
      </c>
      <c r="D152" s="43" t="s">
        <v>332</v>
      </c>
      <c r="E152" s="75" t="s">
        <v>43</v>
      </c>
      <c r="F152" s="76"/>
      <c r="G152" s="36" t="n">
        <f aca="false">G151+IF(G46=G58,G154,0)</f>
        <v>0</v>
      </c>
      <c r="H152" s="36" t="n">
        <f aca="false">H151+IF(H46=H58,H154,0)</f>
        <v>0</v>
      </c>
      <c r="I152" s="36" t="n">
        <f aca="false">I151+IF(I46=I58,I154,0)</f>
        <v>0</v>
      </c>
      <c r="J152" s="36" t="n">
        <f aca="false">J151+IF(J46=J58,J154,0)</f>
        <v>0</v>
      </c>
      <c r="K152" s="36" t="n">
        <f aca="false">K151+IF(K46=K58,K154,0)</f>
        <v>0</v>
      </c>
      <c r="L152" s="36" t="n">
        <f aca="false">L151+IF(L46=L58,L154,0)</f>
        <v>0</v>
      </c>
      <c r="M152" s="36" t="n">
        <f aca="false">M151+IF(M46=M58,M154,0)</f>
        <v>0</v>
      </c>
      <c r="N152" s="36" t="n">
        <f aca="false">N151+IF(N46=N58,N154,0)</f>
        <v>0</v>
      </c>
      <c r="O152" s="36" t="n">
        <f aca="false">O151+IF(O46=O58,O154,0)</f>
        <v>0</v>
      </c>
      <c r="P152" s="36" t="n">
        <f aca="false">P151+IF(P46=P58,P154,0)</f>
        <v>0</v>
      </c>
      <c r="Q152" s="36" t="n">
        <f aca="false">Q151+IF(Q46=Q58,Q154,0)</f>
        <v>0</v>
      </c>
      <c r="R152" s="36" t="n">
        <f aca="false">R151+IF(R46=R58,R154,0)</f>
        <v>0</v>
      </c>
      <c r="S152" s="36" t="n">
        <f aca="false">S151+IF(S46=S58,S154,0)</f>
        <v>0</v>
      </c>
    </row>
    <row r="153" customFormat="false" ht="15" hidden="false" customHeight="false" outlineLevel="0" collapsed="false">
      <c r="A153" s="73" t="s">
        <v>983</v>
      </c>
      <c r="B153" s="74" t="s">
        <v>992</v>
      </c>
      <c r="C153" s="66" t="s">
        <v>132</v>
      </c>
      <c r="D153" s="43" t="s">
        <v>332</v>
      </c>
      <c r="E153" s="75" t="s">
        <v>43</v>
      </c>
      <c r="F153" s="76"/>
      <c r="G153" s="78" t="n">
        <f aca="false">IF(G152&lt;=(IF(G46="EE.UU.",G16,0)+IF(G46="China",G20,0)+IF(G46="Europa",G24,0)),G151,IFERROR(G151/G152*(IF(G46="EE.UU.",G16,0)+IF(G46="China",G20,0)+IF(G46="Europa",G24,0)),0))</f>
        <v>0</v>
      </c>
      <c r="H153" s="78" t="n">
        <f aca="false">IF(H152&lt;=(IF(H46="EE.UU.",H16,0)+IF(H46="China",H20,0)+IF(H46="Europa",H24,0)),H151,IFERROR(H151/H152*(IF(H46="EE.UU.",H16,0)+IF(H46="China",H20,0)+IF(H46="Europa",H24,0)),0))</f>
        <v>0</v>
      </c>
      <c r="I153" s="78" t="n">
        <f aca="false">IF(I152&lt;=(IF(I46="EE.UU.",I16,0)+IF(I46="China",I20,0)+IF(I46="Europa",I24,0)),I151,IFERROR(I151/I152*(IF(I46="EE.UU.",I16,0)+IF(I46="China",I20,0)+IF(I46="Europa",I24,0)),0))</f>
        <v>0</v>
      </c>
      <c r="J153" s="78" t="n">
        <f aca="false">IF(J152&lt;=(IF(J46="EE.UU.",J16,0)+IF(J46="China",J20,0)+IF(J46="Europa",J24,0)),J151,IFERROR(J151/J152*(IF(J46="EE.UU.",J16,0)+IF(J46="China",J20,0)+IF(J46="Europa",J24,0)),0))</f>
        <v>0</v>
      </c>
      <c r="K153" s="78" t="n">
        <f aca="false">IF(K152&lt;=(IF(K46="EE.UU.",K16,0)+IF(K46="China",K20,0)+IF(K46="Europa",K24,0)),K151,IFERROR(K151/K152*(IF(K46="EE.UU.",K16,0)+IF(K46="China",K20,0)+IF(K46="Europa",K24,0)),0))</f>
        <v>0</v>
      </c>
      <c r="L153" s="78" t="n">
        <f aca="false">IF(L152&lt;=(IF(L46="EE.UU.",L16,0)+IF(L46="China",L20,0)+IF(L46="Europa",L24,0)),L151,IFERROR(L151/L152*(IF(L46="EE.UU.",L16,0)+IF(L46="China",L20,0)+IF(L46="Europa",L24,0)),0))</f>
        <v>0</v>
      </c>
      <c r="M153" s="78" t="n">
        <f aca="false">IF(M152&lt;=(IF(M46="EE.UU.",M16,0)+IF(M46="China",M20,0)+IF(M46="Europa",M24,0)),M151,IFERROR(M151/M152*(IF(M46="EE.UU.",M16,0)+IF(M46="China",M20,0)+IF(M46="Europa",M24,0)),0))</f>
        <v>0</v>
      </c>
      <c r="N153" s="78" t="n">
        <f aca="false">IF(N152&lt;=(IF(N46="EE.UU.",N16,0)+IF(N46="China",N20,0)+IF(N46="Europa",N24,0)),N151,IFERROR(N151/N152*(IF(N46="EE.UU.",N16,0)+IF(N46="China",N20,0)+IF(N46="Europa",N24,0)),0))</f>
        <v>0</v>
      </c>
      <c r="O153" s="78" t="n">
        <f aca="false">IF(O152&lt;=(IF(O46="EE.UU.",O16,0)+IF(O46="China",O20,0)+IF(O46="Europa",O24,0)),O151,IFERROR(O151/O152*(IF(O46="EE.UU.",O16,0)+IF(O46="China",O20,0)+IF(O46="Europa",O24,0)),0))</f>
        <v>0</v>
      </c>
      <c r="P153" s="78" t="n">
        <f aca="false">IF(P152&lt;=(IF(P46="EE.UU.",P16,0)+IF(P46="China",P20,0)+IF(P46="Europa",P24,0)),P151,IFERROR(P151/P152*(IF(P46="EE.UU.",P16,0)+IF(P46="China",P20,0)+IF(P46="Europa",P24,0)),0))</f>
        <v>0</v>
      </c>
      <c r="Q153" s="78" t="n">
        <f aca="false">IF(Q152&lt;=(IF(Q46="EE.UU.",Q16,0)+IF(Q46="China",Q20,0)+IF(Q46="Europa",Q24,0)),Q151,IFERROR(Q151/Q152*(IF(Q46="EE.UU.",Q16,0)+IF(Q46="China",Q20,0)+IF(Q46="Europa",Q24,0)),0))</f>
        <v>0</v>
      </c>
      <c r="R153" s="78" t="n">
        <f aca="false">IF(R152&lt;=(IF(R46="EE.UU.",R16,0)+IF(R46="China",R20,0)+IF(R46="Europa",R24,0)),R151,IFERROR(R151/R152*(IF(R46="EE.UU.",R16,0)+IF(R46="China",R20,0)+IF(R46="Europa",R24,0)),0))</f>
        <v>0</v>
      </c>
      <c r="S153" s="78" t="n">
        <f aca="false">IF(S152&lt;=(IF(S46="EE.UU.",S16,0)+IF(S46="China",S20,0)+IF(S46="Europa",S24,0)),S151,IFERROR(S151/S152*(IF(S46="EE.UU.",S16,0)+IF(S46="China",S20,0)+IF(S46="Europa",S24,0)),0))</f>
        <v>0</v>
      </c>
    </row>
    <row r="154" customFormat="false" ht="15" hidden="false" customHeight="false" outlineLevel="0" collapsed="false">
      <c r="A154" s="73" t="s">
        <v>983</v>
      </c>
      <c r="B154" s="74" t="s">
        <v>990</v>
      </c>
      <c r="C154" s="66" t="s">
        <v>136</v>
      </c>
      <c r="D154" s="43" t="s">
        <v>332</v>
      </c>
      <c r="E154" s="75" t="s">
        <v>43</v>
      </c>
      <c r="F154" s="76"/>
      <c r="G154" s="36" t="n">
        <f aca="false">G34</f>
        <v>0</v>
      </c>
      <c r="H154" s="36" t="n">
        <f aca="false">H34</f>
        <v>0</v>
      </c>
      <c r="I154" s="36" t="n">
        <f aca="false">I34</f>
        <v>0</v>
      </c>
      <c r="J154" s="36" t="n">
        <f aca="false">J34</f>
        <v>0</v>
      </c>
      <c r="K154" s="36" t="n">
        <f aca="false">K34</f>
        <v>0</v>
      </c>
      <c r="L154" s="36" t="n">
        <f aca="false">L34</f>
        <v>0</v>
      </c>
      <c r="M154" s="36" t="n">
        <f aca="false">M34</f>
        <v>0</v>
      </c>
      <c r="N154" s="36" t="n">
        <f aca="false">N34</f>
        <v>0</v>
      </c>
      <c r="O154" s="36" t="n">
        <f aca="false">O34</f>
        <v>0</v>
      </c>
      <c r="P154" s="36" t="n">
        <f aca="false">P34</f>
        <v>0</v>
      </c>
      <c r="Q154" s="36" t="n">
        <f aca="false">Q34</f>
        <v>0</v>
      </c>
      <c r="R154" s="36" t="n">
        <f aca="false">R34</f>
        <v>0</v>
      </c>
      <c r="S154" s="36" t="n">
        <f aca="false">S34</f>
        <v>0</v>
      </c>
    </row>
    <row r="155" customFormat="false" ht="15" hidden="false" customHeight="false" outlineLevel="0" collapsed="false">
      <c r="A155" s="73" t="s">
        <v>983</v>
      </c>
      <c r="B155" s="74" t="s">
        <v>991</v>
      </c>
      <c r="C155" s="66" t="s">
        <v>136</v>
      </c>
      <c r="D155" s="43" t="s">
        <v>332</v>
      </c>
      <c r="E155" s="75" t="s">
        <v>43</v>
      </c>
      <c r="F155" s="76"/>
      <c r="G155" s="36" t="n">
        <f aca="false">G154+IF(G58=G46,G151,0)</f>
        <v>0</v>
      </c>
      <c r="H155" s="36" t="n">
        <f aca="false">H154+IF(H58=H46,H151,0)</f>
        <v>0</v>
      </c>
      <c r="I155" s="36" t="n">
        <f aca="false">I154+IF(I58=I46,I151,0)</f>
        <v>0</v>
      </c>
      <c r="J155" s="36" t="n">
        <f aca="false">J154+IF(J58=J46,J151,0)</f>
        <v>0</v>
      </c>
      <c r="K155" s="36" t="n">
        <f aca="false">K154+IF(K58=K46,K151,0)</f>
        <v>0</v>
      </c>
      <c r="L155" s="36" t="n">
        <f aca="false">L154+IF(L58=L46,L151,0)</f>
        <v>0</v>
      </c>
      <c r="M155" s="36" t="n">
        <f aca="false">M154+IF(M58=M46,M151,0)</f>
        <v>0</v>
      </c>
      <c r="N155" s="36" t="n">
        <f aca="false">N154+IF(N58=N46,N151,0)</f>
        <v>0</v>
      </c>
      <c r="O155" s="36" t="n">
        <f aca="false">O154+IF(O58=O46,O151,0)</f>
        <v>0</v>
      </c>
      <c r="P155" s="36" t="n">
        <f aca="false">P154+IF(P58=P46,P151,0)</f>
        <v>0</v>
      </c>
      <c r="Q155" s="36" t="n">
        <f aca="false">Q154+IF(Q58=Q46,Q151,0)</f>
        <v>0</v>
      </c>
      <c r="R155" s="36" t="n">
        <f aca="false">R154+IF(R58=R46,R151,0)</f>
        <v>0</v>
      </c>
      <c r="S155" s="36" t="n">
        <f aca="false">S154+IF(S58=S46,S151,0)</f>
        <v>0</v>
      </c>
    </row>
    <row r="156" customFormat="false" ht="15" hidden="false" customHeight="false" outlineLevel="0" collapsed="false">
      <c r="A156" s="73" t="s">
        <v>983</v>
      </c>
      <c r="B156" s="74" t="s">
        <v>992</v>
      </c>
      <c r="C156" s="66" t="s">
        <v>136</v>
      </c>
      <c r="D156" s="43" t="s">
        <v>332</v>
      </c>
      <c r="E156" s="75" t="s">
        <v>43</v>
      </c>
      <c r="F156" s="76"/>
      <c r="G156" s="78" t="n">
        <f aca="false">IF(G155&lt;=(IF(G58="EE.UU.",G16,0)+IF(G58="China",G20,0)+IF(G58="Europa",G24,0)),G154,IFERROR(G154/G155*(IF(G58="EE.UU.",G16,0)+IF(G58="China",G20,0)+IF(G58="Europa",G24,0)),0))</f>
        <v>0</v>
      </c>
      <c r="H156" s="78" t="n">
        <f aca="false">IF(H155&lt;=(IF(H58="EE.UU.",H16,0)+IF(H58="China",H20,0)+IF(H58="Europa",H24,0)),H154,IFERROR(H154/H155*(IF(H58="EE.UU.",H16,0)+IF(H58="China",H20,0)+IF(H58="Europa",H24,0)),0))</f>
        <v>0</v>
      </c>
      <c r="I156" s="78" t="n">
        <f aca="false">IF(I155&lt;=(IF(I58="EE.UU.",I16,0)+IF(I58="China",I20,0)+IF(I58="Europa",I24,0)),I154,IFERROR(I154/I155*(IF(I58="EE.UU.",I16,0)+IF(I58="China",I20,0)+IF(I58="Europa",I24,0)),0))</f>
        <v>0</v>
      </c>
      <c r="J156" s="78" t="n">
        <f aca="false">IF(J155&lt;=(IF(J58="EE.UU.",J16,0)+IF(J58="China",J20,0)+IF(J58="Europa",J24,0)),J154,IFERROR(J154/J155*(IF(J58="EE.UU.",J16,0)+IF(J58="China",J20,0)+IF(J58="Europa",J24,0)),0))</f>
        <v>0</v>
      </c>
      <c r="K156" s="78" t="n">
        <f aca="false">IF(K155&lt;=(IF(K58="EE.UU.",K16,0)+IF(K58="China",K20,0)+IF(K58="Europa",K24,0)),K154,IFERROR(K154/K155*(IF(K58="EE.UU.",K16,0)+IF(K58="China",K20,0)+IF(K58="Europa",K24,0)),0))</f>
        <v>0</v>
      </c>
      <c r="L156" s="78" t="n">
        <f aca="false">IF(L155&lt;=(IF(L58="EE.UU.",L16,0)+IF(L58="China",L20,0)+IF(L58="Europa",L24,0)),L154,IFERROR(L154/L155*(IF(L58="EE.UU.",L16,0)+IF(L58="China",L20,0)+IF(L58="Europa",L24,0)),0))</f>
        <v>0</v>
      </c>
      <c r="M156" s="78" t="n">
        <f aca="false">IF(M155&lt;=(IF(M58="EE.UU.",M16,0)+IF(M58="China",M20,0)+IF(M58="Europa",M24,0)),M154,IFERROR(M154/M155*(IF(M58="EE.UU.",M16,0)+IF(M58="China",M20,0)+IF(M58="Europa",M24,0)),0))</f>
        <v>0</v>
      </c>
      <c r="N156" s="78" t="n">
        <f aca="false">IF(N155&lt;=(IF(N58="EE.UU.",N16,0)+IF(N58="China",N20,0)+IF(N58="Europa",N24,0)),N154,IFERROR(N154/N155*(IF(N58="EE.UU.",N16,0)+IF(N58="China",N20,0)+IF(N58="Europa",N24,0)),0))</f>
        <v>0</v>
      </c>
      <c r="O156" s="78" t="n">
        <f aca="false">IF(O155&lt;=(IF(O58="EE.UU.",O16,0)+IF(O58="China",O20,0)+IF(O58="Europa",O24,0)),O154,IFERROR(O154/O155*(IF(O58="EE.UU.",O16,0)+IF(O58="China",O20,0)+IF(O58="Europa",O24,0)),0))</f>
        <v>0</v>
      </c>
      <c r="P156" s="78" t="n">
        <f aca="false">IF(P155&lt;=(IF(P58="EE.UU.",P16,0)+IF(P58="China",P20,0)+IF(P58="Europa",P24,0)),P154,IFERROR(P154/P155*(IF(P58="EE.UU.",P16,0)+IF(P58="China",P20,0)+IF(P58="Europa",P24,0)),0))</f>
        <v>0</v>
      </c>
      <c r="Q156" s="78" t="n">
        <f aca="false">IF(Q155&lt;=(IF(Q58="EE.UU.",Q16,0)+IF(Q58="China",Q20,0)+IF(Q58="Europa",Q24,0)),Q154,IFERROR(Q154/Q155*(IF(Q58="EE.UU.",Q16,0)+IF(Q58="China",Q20,0)+IF(Q58="Europa",Q24,0)),0))</f>
        <v>0</v>
      </c>
      <c r="R156" s="78" t="n">
        <f aca="false">IF(R155&lt;=(IF(R58="EE.UU.",R16,0)+IF(R58="China",R20,0)+IF(R58="Europa",R24,0)),R154,IFERROR(R154/R155*(IF(R58="EE.UU.",R16,0)+IF(R58="China",R20,0)+IF(R58="Europa",R24,0)),0))</f>
        <v>0</v>
      </c>
      <c r="S156" s="78" t="n">
        <f aca="false">IF(S155&lt;=(IF(S58="EE.UU.",S16,0)+IF(S58="China",S20,0)+IF(S58="Europa",S24,0)),S154,IFERROR(S154/S155*(IF(S58="EE.UU.",S16,0)+IF(S58="China",S20,0)+IF(S58="Europa",S24,0)),0))</f>
        <v>0</v>
      </c>
    </row>
    <row r="157" customFormat="false" ht="15" hidden="false" customHeight="false" outlineLevel="0" collapsed="false">
      <c r="A157" s="73" t="s">
        <v>983</v>
      </c>
      <c r="B157" s="74" t="s">
        <v>993</v>
      </c>
      <c r="C157" s="66" t="s">
        <v>132</v>
      </c>
      <c r="D157" s="43" t="s">
        <v>332</v>
      </c>
      <c r="E157" s="75" t="s">
        <v>43</v>
      </c>
      <c r="F157" s="76"/>
      <c r="G157" s="36" t="n">
        <f aca="false">MAX(G151-G153,0)</f>
        <v>0</v>
      </c>
      <c r="H157" s="36" t="n">
        <f aca="false">MAX(H151-H153,0)</f>
        <v>0</v>
      </c>
      <c r="I157" s="36" t="n">
        <f aca="false">MAX(I151-I153,0)</f>
        <v>0</v>
      </c>
      <c r="J157" s="36" t="n">
        <f aca="false">MAX(J151-J153,0)</f>
        <v>0</v>
      </c>
      <c r="K157" s="36" t="n">
        <f aca="false">MAX(K151-K153,0)</f>
        <v>0</v>
      </c>
      <c r="L157" s="36" t="n">
        <f aca="false">MAX(L151-L153,0)</f>
        <v>0</v>
      </c>
      <c r="M157" s="36" t="n">
        <f aca="false">MAX(M151-M153,0)</f>
        <v>0</v>
      </c>
      <c r="N157" s="36" t="n">
        <f aca="false">MAX(N151-N153,0)</f>
        <v>0</v>
      </c>
      <c r="O157" s="36" t="n">
        <f aca="false">MAX(O151-O153,0)</f>
        <v>0</v>
      </c>
      <c r="P157" s="36" t="n">
        <f aca="false">MAX(P151-P153,0)</f>
        <v>0</v>
      </c>
      <c r="Q157" s="36" t="n">
        <f aca="false">MAX(Q151-Q153,0)</f>
        <v>0</v>
      </c>
      <c r="R157" s="36" t="n">
        <f aca="false">MAX(R151-R153,0)</f>
        <v>0</v>
      </c>
      <c r="S157" s="36" t="n">
        <f aca="false">MAX(S151-S153,0)</f>
        <v>0</v>
      </c>
    </row>
    <row r="158" customFormat="false" ht="15" hidden="false" customHeight="false" outlineLevel="0" collapsed="false">
      <c r="A158" s="73" t="s">
        <v>983</v>
      </c>
      <c r="B158" s="74" t="s">
        <v>994</v>
      </c>
      <c r="C158" s="66" t="s">
        <v>132</v>
      </c>
      <c r="D158" s="43" t="s">
        <v>332</v>
      </c>
      <c r="E158" s="75" t="s">
        <v>43</v>
      </c>
      <c r="F158" s="76"/>
      <c r="G158" s="36" t="n">
        <f aca="false">G157+IF(G47=G59,G160,0)</f>
        <v>0</v>
      </c>
      <c r="H158" s="36" t="n">
        <f aca="false">H157+IF(H47=H59,H160,0)</f>
        <v>0</v>
      </c>
      <c r="I158" s="36" t="n">
        <f aca="false">I157+IF(I47=I59,I160,0)</f>
        <v>0</v>
      </c>
      <c r="J158" s="36" t="n">
        <f aca="false">J157+IF(J47=J59,J160,0)</f>
        <v>0</v>
      </c>
      <c r="K158" s="36" t="n">
        <f aca="false">K157+IF(K47=K59,K160,0)</f>
        <v>0</v>
      </c>
      <c r="L158" s="36" t="n">
        <f aca="false">L157+IF(L47=L59,L160,0)</f>
        <v>0</v>
      </c>
      <c r="M158" s="36" t="n">
        <f aca="false">M157+IF(M47=M59,M160,0)</f>
        <v>0</v>
      </c>
      <c r="N158" s="36" t="n">
        <f aca="false">N157+IF(N47=N59,N160,0)</f>
        <v>0</v>
      </c>
      <c r="O158" s="36" t="n">
        <f aca="false">O157+IF(O47=O59,O160,0)</f>
        <v>0</v>
      </c>
      <c r="P158" s="36" t="n">
        <f aca="false">P157+IF(P47=P59,P160,0)</f>
        <v>0</v>
      </c>
      <c r="Q158" s="36" t="n">
        <f aca="false">Q157+IF(Q47=Q59,Q160,0)</f>
        <v>0</v>
      </c>
      <c r="R158" s="36" t="n">
        <f aca="false">R157+IF(R47=R59,R160,0)</f>
        <v>0</v>
      </c>
      <c r="S158" s="36" t="n">
        <f aca="false">S157+IF(S47=S59,S160,0)</f>
        <v>0</v>
      </c>
    </row>
    <row r="159" customFormat="false" ht="15" hidden="false" customHeight="false" outlineLevel="0" collapsed="false">
      <c r="A159" s="73" t="s">
        <v>983</v>
      </c>
      <c r="B159" s="74" t="s">
        <v>995</v>
      </c>
      <c r="C159" s="66" t="s">
        <v>132</v>
      </c>
      <c r="D159" s="43" t="s">
        <v>332</v>
      </c>
      <c r="E159" s="75" t="s">
        <v>43</v>
      </c>
      <c r="F159" s="76"/>
      <c r="G159" s="78" t="n">
        <f aca="false">IF(G158&lt;=(IF(G47="EE.UU.",G142,0)+IF(G47="China",G145,0)+IF(G47="Europa",G148,0)),G157,IFERROR(G157/G158*(IF(G47="EE.UU.",G142,0)+IF(G47="China",G145,0)+IF(G47="Europa",G148,0)),0))</f>
        <v>0</v>
      </c>
      <c r="H159" s="78" t="n">
        <f aca="false">IF(H158&lt;=(IF(H47="EE.UU.",H142,0)+IF(H47="China",H145,0)+IF(H47="Europa",H148,0)),H157,IFERROR(H157/H158*(IF(H47="EE.UU.",H142,0)+IF(H47="China",H145,0)+IF(H47="Europa",H148,0)),0))</f>
        <v>0</v>
      </c>
      <c r="I159" s="78" t="n">
        <f aca="false">IF(I158&lt;=(IF(I47="EE.UU.",I142,0)+IF(I47="China",I145,0)+IF(I47="Europa",I148,0)),I157,IFERROR(I157/I158*(IF(I47="EE.UU.",I142,0)+IF(I47="China",I145,0)+IF(I47="Europa",I148,0)),0))</f>
        <v>0</v>
      </c>
      <c r="J159" s="78" t="n">
        <f aca="false">IF(J158&lt;=(IF(J47="EE.UU.",J142,0)+IF(J47="China",J145,0)+IF(J47="Europa",J148,0)),J157,IFERROR(J157/J158*(IF(J47="EE.UU.",J142,0)+IF(J47="China",J145,0)+IF(J47="Europa",J148,0)),0))</f>
        <v>0</v>
      </c>
      <c r="K159" s="78" t="n">
        <f aca="false">IF(K158&lt;=(IF(K47="EE.UU.",K142,0)+IF(K47="China",K145,0)+IF(K47="Europa",K148,0)),K157,IFERROR(K157/K158*(IF(K47="EE.UU.",K142,0)+IF(K47="China",K145,0)+IF(K47="Europa",K148,0)),0))</f>
        <v>0</v>
      </c>
      <c r="L159" s="78" t="n">
        <f aca="false">IF(L158&lt;=(IF(L47="EE.UU.",L142,0)+IF(L47="China",L145,0)+IF(L47="Europa",L148,0)),L157,IFERROR(L157/L158*(IF(L47="EE.UU.",L142,0)+IF(L47="China",L145,0)+IF(L47="Europa",L148,0)),0))</f>
        <v>0</v>
      </c>
      <c r="M159" s="78" t="n">
        <f aca="false">IF(M158&lt;=(IF(M47="EE.UU.",M142,0)+IF(M47="China",M145,0)+IF(M47="Europa",M148,0)),M157,IFERROR(M157/M158*(IF(M47="EE.UU.",M142,0)+IF(M47="China",M145,0)+IF(M47="Europa",M148,0)),0))</f>
        <v>0</v>
      </c>
      <c r="N159" s="78" t="n">
        <f aca="false">IF(N158&lt;=(IF(N47="EE.UU.",N142,0)+IF(N47="China",N145,0)+IF(N47="Europa",N148,0)),N157,IFERROR(N157/N158*(IF(N47="EE.UU.",N142,0)+IF(N47="China",N145,0)+IF(N47="Europa",N148,0)),0))</f>
        <v>0</v>
      </c>
      <c r="O159" s="78" t="n">
        <f aca="false">IF(O158&lt;=(IF(O47="EE.UU.",O142,0)+IF(O47="China",O145,0)+IF(O47="Europa",O148,0)),O157,IFERROR(O157/O158*(IF(O47="EE.UU.",O142,0)+IF(O47="China",O145,0)+IF(O47="Europa",O148,0)),0))</f>
        <v>0</v>
      </c>
      <c r="P159" s="78" t="n">
        <f aca="false">IF(P158&lt;=(IF(P47="EE.UU.",P142,0)+IF(P47="China",P145,0)+IF(P47="Europa",P148,0)),P157,IFERROR(P157/P158*(IF(P47="EE.UU.",P142,0)+IF(P47="China",P145,0)+IF(P47="Europa",P148,0)),0))</f>
        <v>0</v>
      </c>
      <c r="Q159" s="78" t="n">
        <f aca="false">IF(Q158&lt;=(IF(Q47="EE.UU.",Q142,0)+IF(Q47="China",Q145,0)+IF(Q47="Europa",Q148,0)),Q157,IFERROR(Q157/Q158*(IF(Q47="EE.UU.",Q142,0)+IF(Q47="China",Q145,0)+IF(Q47="Europa",Q148,0)),0))</f>
        <v>0</v>
      </c>
      <c r="R159" s="78" t="n">
        <f aca="false">IF(R158&lt;=(IF(R47="EE.UU.",R142,0)+IF(R47="China",R145,0)+IF(R47="Europa",R148,0)),R157,IFERROR(R157/R158*(IF(R47="EE.UU.",R142,0)+IF(R47="China",R145,0)+IF(R47="Europa",R148,0)),0))</f>
        <v>0</v>
      </c>
      <c r="S159" s="78" t="n">
        <f aca="false">IF(S158&lt;=(IF(S47="EE.UU.",S142,0)+IF(S47="China",S145,0)+IF(S47="Europa",S148,0)),S157,IFERROR(S157/S158*(IF(S47="EE.UU.",S142,0)+IF(S47="China",S145,0)+IF(S47="Europa",S148,0)),0))</f>
        <v>0</v>
      </c>
    </row>
    <row r="160" customFormat="false" ht="15" hidden="false" customHeight="false" outlineLevel="0" collapsed="false">
      <c r="A160" s="73" t="s">
        <v>983</v>
      </c>
      <c r="B160" s="74" t="s">
        <v>993</v>
      </c>
      <c r="C160" s="66" t="s">
        <v>136</v>
      </c>
      <c r="D160" s="43" t="s">
        <v>332</v>
      </c>
      <c r="E160" s="75" t="s">
        <v>43</v>
      </c>
      <c r="F160" s="76"/>
      <c r="G160" s="36" t="n">
        <f aca="false">MAX(G154-G156,0)</f>
        <v>0</v>
      </c>
      <c r="H160" s="36" t="n">
        <f aca="false">MAX(H154-H156,0)</f>
        <v>0</v>
      </c>
      <c r="I160" s="36" t="n">
        <f aca="false">MAX(I154-I156,0)</f>
        <v>0</v>
      </c>
      <c r="J160" s="36" t="n">
        <f aca="false">MAX(J154-J156,0)</f>
        <v>0</v>
      </c>
      <c r="K160" s="36" t="n">
        <f aca="false">MAX(K154-K156,0)</f>
        <v>0</v>
      </c>
      <c r="L160" s="36" t="n">
        <f aca="false">MAX(L154-L156,0)</f>
        <v>0</v>
      </c>
      <c r="M160" s="36" t="n">
        <f aca="false">MAX(M154-M156,0)</f>
        <v>0</v>
      </c>
      <c r="N160" s="36" t="n">
        <f aca="false">MAX(N154-N156,0)</f>
        <v>0</v>
      </c>
      <c r="O160" s="36" t="n">
        <f aca="false">MAX(O154-O156,0)</f>
        <v>0</v>
      </c>
      <c r="P160" s="36" t="n">
        <f aca="false">MAX(P154-P156,0)</f>
        <v>0</v>
      </c>
      <c r="Q160" s="36" t="n">
        <f aca="false">MAX(Q154-Q156,0)</f>
        <v>0</v>
      </c>
      <c r="R160" s="36" t="n">
        <f aca="false">MAX(R154-R156,0)</f>
        <v>0</v>
      </c>
      <c r="S160" s="36" t="n">
        <f aca="false">MAX(S154-S156,0)</f>
        <v>0</v>
      </c>
    </row>
    <row r="161" customFormat="false" ht="15" hidden="false" customHeight="false" outlineLevel="0" collapsed="false">
      <c r="A161" s="73" t="s">
        <v>983</v>
      </c>
      <c r="B161" s="74" t="s">
        <v>994</v>
      </c>
      <c r="C161" s="66" t="s">
        <v>136</v>
      </c>
      <c r="D161" s="43" t="s">
        <v>332</v>
      </c>
      <c r="E161" s="75" t="s">
        <v>43</v>
      </c>
      <c r="F161" s="76"/>
      <c r="G161" s="36" t="n">
        <f aca="false">G160+IF(G59=G47,G157,0)</f>
        <v>0</v>
      </c>
      <c r="H161" s="36" t="n">
        <f aca="false">H160+IF(H59=H47,H157,0)</f>
        <v>0</v>
      </c>
      <c r="I161" s="36" t="n">
        <f aca="false">I160+IF(I59=I47,I157,0)</f>
        <v>0</v>
      </c>
      <c r="J161" s="36" t="n">
        <f aca="false">J160+IF(J59=J47,J157,0)</f>
        <v>0</v>
      </c>
      <c r="K161" s="36" t="n">
        <f aca="false">K160+IF(K59=K47,K157,0)</f>
        <v>0</v>
      </c>
      <c r="L161" s="36" t="n">
        <f aca="false">L160+IF(L59=L47,L157,0)</f>
        <v>0</v>
      </c>
      <c r="M161" s="36" t="n">
        <f aca="false">M160+IF(M59=M47,M157,0)</f>
        <v>0</v>
      </c>
      <c r="N161" s="36" t="n">
        <f aca="false">N160+IF(N59=N47,N157,0)</f>
        <v>0</v>
      </c>
      <c r="O161" s="36" t="n">
        <f aca="false">O160+IF(O59=O47,O157,0)</f>
        <v>0</v>
      </c>
      <c r="P161" s="36" t="n">
        <f aca="false">P160+IF(P59=P47,P157,0)</f>
        <v>0</v>
      </c>
      <c r="Q161" s="36" t="n">
        <f aca="false">Q160+IF(Q59=Q47,Q157,0)</f>
        <v>0</v>
      </c>
      <c r="R161" s="36" t="n">
        <f aca="false">R160+IF(R59=R47,R157,0)</f>
        <v>0</v>
      </c>
      <c r="S161" s="36" t="n">
        <f aca="false">S160+IF(S59=S47,S157,0)</f>
        <v>0</v>
      </c>
    </row>
    <row r="162" customFormat="false" ht="15" hidden="false" customHeight="false" outlineLevel="0" collapsed="false">
      <c r="A162" s="73" t="s">
        <v>983</v>
      </c>
      <c r="B162" s="74" t="s">
        <v>995</v>
      </c>
      <c r="C162" s="66" t="s">
        <v>136</v>
      </c>
      <c r="D162" s="43" t="s">
        <v>332</v>
      </c>
      <c r="E162" s="75" t="s">
        <v>43</v>
      </c>
      <c r="F162" s="76"/>
      <c r="G162" s="78" t="n">
        <f aca="false">IF(G161&lt;=(IF(G59="EE.UU.",G142,0)+IF(G59="China",G145,0)+IF(G59="Europa",G148,0)),G160,IFERROR(G160/G161*(IF(G59="EE.UU.",G142,0)+IF(G59="China",G145,0)+IF(G59="Europa",G148,0)),0))</f>
        <v>0</v>
      </c>
      <c r="H162" s="78" t="n">
        <f aca="false">IF(H161&lt;=(IF(H59="EE.UU.",H142,0)+IF(H59="China",H145,0)+IF(H59="Europa",H148,0)),H160,IFERROR(H160/H161*(IF(H59="EE.UU.",H142,0)+IF(H59="China",H145,0)+IF(H59="Europa",H148,0)),0))</f>
        <v>0</v>
      </c>
      <c r="I162" s="78" t="n">
        <f aca="false">IF(I161&lt;=(IF(I59="EE.UU.",I142,0)+IF(I59="China",I145,0)+IF(I59="Europa",I148,0)),I160,IFERROR(I160/I161*(IF(I59="EE.UU.",I142,0)+IF(I59="China",I145,0)+IF(I59="Europa",I148,0)),0))</f>
        <v>0</v>
      </c>
      <c r="J162" s="78" t="n">
        <f aca="false">IF(J161&lt;=(IF(J59="EE.UU.",J142,0)+IF(J59="China",J145,0)+IF(J59="Europa",J148,0)),J160,IFERROR(J160/J161*(IF(J59="EE.UU.",J142,0)+IF(J59="China",J145,0)+IF(J59="Europa",J148,0)),0))</f>
        <v>0</v>
      </c>
      <c r="K162" s="78" t="n">
        <f aca="false">IF(K161&lt;=(IF(K59="EE.UU.",K142,0)+IF(K59="China",K145,0)+IF(K59="Europa",K148,0)),K160,IFERROR(K160/K161*(IF(K59="EE.UU.",K142,0)+IF(K59="China",K145,0)+IF(K59="Europa",K148,0)),0))</f>
        <v>0</v>
      </c>
      <c r="L162" s="78" t="n">
        <f aca="false">IF(L161&lt;=(IF(L59="EE.UU.",L142,0)+IF(L59="China",L145,0)+IF(L59="Europa",L148,0)),L160,IFERROR(L160/L161*(IF(L59="EE.UU.",L142,0)+IF(L59="China",L145,0)+IF(L59="Europa",L148,0)),0))</f>
        <v>0</v>
      </c>
      <c r="M162" s="78" t="n">
        <f aca="false">IF(M161&lt;=(IF(M59="EE.UU.",M142,0)+IF(M59="China",M145,0)+IF(M59="Europa",M148,0)),M160,IFERROR(M160/M161*(IF(M59="EE.UU.",M142,0)+IF(M59="China",M145,0)+IF(M59="Europa",M148,0)),0))</f>
        <v>0</v>
      </c>
      <c r="N162" s="78" t="n">
        <f aca="false">IF(N161&lt;=(IF(N59="EE.UU.",N142,0)+IF(N59="China",N145,0)+IF(N59="Europa",N148,0)),N160,IFERROR(N160/N161*(IF(N59="EE.UU.",N142,0)+IF(N59="China",N145,0)+IF(N59="Europa",N148,0)),0))</f>
        <v>0</v>
      </c>
      <c r="O162" s="78" t="n">
        <f aca="false">IF(O161&lt;=(IF(O59="EE.UU.",O142,0)+IF(O59="China",O145,0)+IF(O59="Europa",O148,0)),O160,IFERROR(O160/O161*(IF(O59="EE.UU.",O142,0)+IF(O59="China",O145,0)+IF(O59="Europa",O148,0)),0))</f>
        <v>0</v>
      </c>
      <c r="P162" s="78" t="n">
        <f aca="false">IF(P161&lt;=(IF(P59="EE.UU.",P142,0)+IF(P59="China",P145,0)+IF(P59="Europa",P148,0)),P160,IFERROR(P160/P161*(IF(P59="EE.UU.",P142,0)+IF(P59="China",P145,0)+IF(P59="Europa",P148,0)),0))</f>
        <v>0</v>
      </c>
      <c r="Q162" s="78" t="n">
        <f aca="false">IF(Q161&lt;=(IF(Q59="EE.UU.",Q142,0)+IF(Q59="China",Q145,0)+IF(Q59="Europa",Q148,0)),Q160,IFERROR(Q160/Q161*(IF(Q59="EE.UU.",Q142,0)+IF(Q59="China",Q145,0)+IF(Q59="Europa",Q148,0)),0))</f>
        <v>0</v>
      </c>
      <c r="R162" s="78" t="n">
        <f aca="false">IF(R161&lt;=(IF(R59="EE.UU.",R142,0)+IF(R59="China",R145,0)+IF(R59="Europa",R148,0)),R160,IFERROR(R160/R161*(IF(R59="EE.UU.",R142,0)+IF(R59="China",R145,0)+IF(R59="Europa",R148,0)),0))</f>
        <v>0</v>
      </c>
      <c r="S162" s="78" t="n">
        <f aca="false">IF(S161&lt;=(IF(S59="EE.UU.",S142,0)+IF(S59="China",S145,0)+IF(S59="Europa",S148,0)),S160,IFERROR(S160/S161*(IF(S59="EE.UU.",S142,0)+IF(S59="China",S145,0)+IF(S59="Europa",S148,0)),0))</f>
        <v>0</v>
      </c>
    </row>
    <row r="163" customFormat="false" ht="15" hidden="false" customHeight="false" outlineLevel="0" collapsed="false">
      <c r="A163" s="73" t="s">
        <v>983</v>
      </c>
      <c r="B163" s="74" t="s">
        <v>996</v>
      </c>
      <c r="C163" s="66" t="s">
        <v>132</v>
      </c>
      <c r="D163" s="43" t="s">
        <v>332</v>
      </c>
      <c r="E163" s="75" t="s">
        <v>43</v>
      </c>
      <c r="F163" s="76"/>
      <c r="G163" s="36" t="n">
        <f aca="false">MAX(G157-G159,0)</f>
        <v>0</v>
      </c>
      <c r="H163" s="36" t="n">
        <f aca="false">MAX(H157-H159,0)</f>
        <v>0</v>
      </c>
      <c r="I163" s="36" t="n">
        <f aca="false">MAX(I157-I159,0)</f>
        <v>0</v>
      </c>
      <c r="J163" s="36" t="n">
        <f aca="false">MAX(J157-J159,0)</f>
        <v>0</v>
      </c>
      <c r="K163" s="36" t="n">
        <f aca="false">MAX(K157-K159,0)</f>
        <v>0</v>
      </c>
      <c r="L163" s="36" t="n">
        <f aca="false">MAX(L157-L159,0)</f>
        <v>0</v>
      </c>
      <c r="M163" s="36" t="n">
        <f aca="false">MAX(M157-M159,0)</f>
        <v>0</v>
      </c>
      <c r="N163" s="36" t="n">
        <f aca="false">MAX(N157-N159,0)</f>
        <v>0</v>
      </c>
      <c r="O163" s="36" t="n">
        <f aca="false">MAX(O157-O159,0)</f>
        <v>0</v>
      </c>
      <c r="P163" s="36" t="n">
        <f aca="false">MAX(P157-P159,0)</f>
        <v>0</v>
      </c>
      <c r="Q163" s="36" t="n">
        <f aca="false">MAX(Q157-Q159,0)</f>
        <v>0</v>
      </c>
      <c r="R163" s="36" t="n">
        <f aca="false">MAX(R157-R159,0)</f>
        <v>0</v>
      </c>
      <c r="S163" s="36" t="n">
        <f aca="false">MAX(S157-S159,0)</f>
        <v>0</v>
      </c>
    </row>
    <row r="164" customFormat="false" ht="15" hidden="false" customHeight="false" outlineLevel="0" collapsed="false">
      <c r="A164" s="73" t="s">
        <v>983</v>
      </c>
      <c r="B164" s="74" t="s">
        <v>997</v>
      </c>
      <c r="C164" s="66" t="s">
        <v>132</v>
      </c>
      <c r="D164" s="43" t="s">
        <v>332</v>
      </c>
      <c r="E164" s="75" t="s">
        <v>43</v>
      </c>
      <c r="F164" s="76"/>
      <c r="G164" s="36" t="n">
        <f aca="false">G163+IF(G48=G60,G166,0)</f>
        <v>0</v>
      </c>
      <c r="H164" s="36" t="n">
        <f aca="false">H163+IF(H48=H60,H166,0)</f>
        <v>0</v>
      </c>
      <c r="I164" s="36" t="n">
        <f aca="false">I163+IF(I48=I60,I166,0)</f>
        <v>0</v>
      </c>
      <c r="J164" s="36" t="n">
        <f aca="false">J163+IF(J48=J60,J166,0)</f>
        <v>0</v>
      </c>
      <c r="K164" s="36" t="n">
        <f aca="false">K163+IF(K48=K60,K166,0)</f>
        <v>0</v>
      </c>
      <c r="L164" s="36" t="n">
        <f aca="false">L163+IF(L48=L60,L166,0)</f>
        <v>0</v>
      </c>
      <c r="M164" s="36" t="n">
        <f aca="false">M163+IF(M48=M60,M166,0)</f>
        <v>0</v>
      </c>
      <c r="N164" s="36" t="n">
        <f aca="false">N163+IF(N48=N60,N166,0)</f>
        <v>0</v>
      </c>
      <c r="O164" s="36" t="n">
        <f aca="false">O163+IF(O48=O60,O166,0)</f>
        <v>0</v>
      </c>
      <c r="P164" s="36" t="n">
        <f aca="false">P163+IF(P48=P60,P166,0)</f>
        <v>0</v>
      </c>
      <c r="Q164" s="36" t="n">
        <f aca="false">Q163+IF(Q48=Q60,Q166,0)</f>
        <v>0</v>
      </c>
      <c r="R164" s="36" t="n">
        <f aca="false">R163+IF(R48=R60,R166,0)</f>
        <v>0</v>
      </c>
      <c r="S164" s="36" t="n">
        <f aca="false">S163+IF(S48=S60,S166,0)</f>
        <v>0</v>
      </c>
    </row>
    <row r="165" customFormat="false" ht="15" hidden="false" customHeight="false" outlineLevel="0" collapsed="false">
      <c r="A165" s="73" t="s">
        <v>983</v>
      </c>
      <c r="B165" s="74" t="s">
        <v>998</v>
      </c>
      <c r="C165" s="66" t="s">
        <v>132</v>
      </c>
      <c r="D165" s="43" t="s">
        <v>332</v>
      </c>
      <c r="E165" s="75" t="s">
        <v>43</v>
      </c>
      <c r="F165" s="76"/>
      <c r="G165" s="78" t="n">
        <f aca="false">IF(G164&lt;=(IF(G48="EE.UU.",G143,0)+IF(G48="China",G146,0)+IF(G48="Europa",G149,0)),G163,IFERROR(G163/G164*(IF(G48="EE.UU.",G143,0)+IF(G48="China",G146,0)+IF(G48="Europa",G149,0)),0))</f>
        <v>0</v>
      </c>
      <c r="H165" s="78" t="n">
        <f aca="false">IF(H164&lt;=(IF(H48="EE.UU.",H143,0)+IF(H48="China",H146,0)+IF(H48="Europa",H149,0)),H163,IFERROR(H163/H164*(IF(H48="EE.UU.",H143,0)+IF(H48="China",H146,0)+IF(H48="Europa",H149,0)),0))</f>
        <v>0</v>
      </c>
      <c r="I165" s="78" t="n">
        <f aca="false">IF(I164&lt;=(IF(I48="EE.UU.",I143,0)+IF(I48="China",I146,0)+IF(I48="Europa",I149,0)),I163,IFERROR(I163/I164*(IF(I48="EE.UU.",I143,0)+IF(I48="China",I146,0)+IF(I48="Europa",I149,0)),0))</f>
        <v>0</v>
      </c>
      <c r="J165" s="78" t="n">
        <f aca="false">IF(J164&lt;=(IF(J48="EE.UU.",J143,0)+IF(J48="China",J146,0)+IF(J48="Europa",J149,0)),J163,IFERROR(J163/J164*(IF(J48="EE.UU.",J143,0)+IF(J48="China",J146,0)+IF(J48="Europa",J149,0)),0))</f>
        <v>0</v>
      </c>
      <c r="K165" s="78" t="n">
        <f aca="false">IF(K164&lt;=(IF(K48="EE.UU.",K143,0)+IF(K48="China",K146,0)+IF(K48="Europa",K149,0)),K163,IFERROR(K163/K164*(IF(K48="EE.UU.",K143,0)+IF(K48="China",K146,0)+IF(K48="Europa",K149,0)),0))</f>
        <v>0</v>
      </c>
      <c r="L165" s="78" t="n">
        <f aca="false">IF(L164&lt;=(IF(L48="EE.UU.",L143,0)+IF(L48="China",L146,0)+IF(L48="Europa",L149,0)),L163,IFERROR(L163/L164*(IF(L48="EE.UU.",L143,0)+IF(L48="China",L146,0)+IF(L48="Europa",L149,0)),0))</f>
        <v>0</v>
      </c>
      <c r="M165" s="78" t="n">
        <f aca="false">IF(M164&lt;=(IF(M48="EE.UU.",M143,0)+IF(M48="China",M146,0)+IF(M48="Europa",M149,0)),M163,IFERROR(M163/M164*(IF(M48="EE.UU.",M143,0)+IF(M48="China",M146,0)+IF(M48="Europa",M149,0)),0))</f>
        <v>0</v>
      </c>
      <c r="N165" s="78" t="n">
        <f aca="false">IF(N164&lt;=(IF(N48="EE.UU.",N143,0)+IF(N48="China",N146,0)+IF(N48="Europa",N149,0)),N163,IFERROR(N163/N164*(IF(N48="EE.UU.",N143,0)+IF(N48="China",N146,0)+IF(N48="Europa",N149,0)),0))</f>
        <v>0</v>
      </c>
      <c r="O165" s="78" t="n">
        <f aca="false">IF(O164&lt;=(IF(O48="EE.UU.",O143,0)+IF(O48="China",O146,0)+IF(O48="Europa",O149,0)),O163,IFERROR(O163/O164*(IF(O48="EE.UU.",O143,0)+IF(O48="China",O146,0)+IF(O48="Europa",O149,0)),0))</f>
        <v>0</v>
      </c>
      <c r="P165" s="78" t="n">
        <f aca="false">IF(P164&lt;=(IF(P48="EE.UU.",P143,0)+IF(P48="China",P146,0)+IF(P48="Europa",P149,0)),P163,IFERROR(P163/P164*(IF(P48="EE.UU.",P143,0)+IF(P48="China",P146,0)+IF(P48="Europa",P149,0)),0))</f>
        <v>0</v>
      </c>
      <c r="Q165" s="78" t="n">
        <f aca="false">IF(Q164&lt;=(IF(Q48="EE.UU.",Q143,0)+IF(Q48="China",Q146,0)+IF(Q48="Europa",Q149,0)),Q163,IFERROR(Q163/Q164*(IF(Q48="EE.UU.",Q143,0)+IF(Q48="China",Q146,0)+IF(Q48="Europa",Q149,0)),0))</f>
        <v>0</v>
      </c>
      <c r="R165" s="78" t="n">
        <f aca="false">IF(R164&lt;=(IF(R48="EE.UU.",R143,0)+IF(R48="China",R146,0)+IF(R48="Europa",R149,0)),R163,IFERROR(R163/R164*(IF(R48="EE.UU.",R143,0)+IF(R48="China",R146,0)+IF(R48="Europa",R149,0)),0))</f>
        <v>0</v>
      </c>
      <c r="S165" s="78" t="n">
        <f aca="false">IF(S164&lt;=(IF(S48="EE.UU.",S143,0)+IF(S48="China",S146,0)+IF(S48="Europa",S149,0)),S163,IFERROR(S163/S164*(IF(S48="EE.UU.",S143,0)+IF(S48="China",S146,0)+IF(S48="Europa",S149,0)),0))</f>
        <v>0</v>
      </c>
    </row>
    <row r="166" customFormat="false" ht="15" hidden="false" customHeight="false" outlineLevel="0" collapsed="false">
      <c r="A166" s="73" t="s">
        <v>983</v>
      </c>
      <c r="B166" s="74" t="s">
        <v>996</v>
      </c>
      <c r="C166" s="66" t="s">
        <v>136</v>
      </c>
      <c r="D166" s="43" t="s">
        <v>332</v>
      </c>
      <c r="E166" s="75" t="s">
        <v>43</v>
      </c>
      <c r="F166" s="76"/>
      <c r="G166" s="36" t="n">
        <f aca="false">MAX(G160-G162,0)</f>
        <v>0</v>
      </c>
      <c r="H166" s="36" t="n">
        <f aca="false">MAX(H160-H162,0)</f>
        <v>0</v>
      </c>
      <c r="I166" s="36" t="n">
        <f aca="false">MAX(I160-I162,0)</f>
        <v>0</v>
      </c>
      <c r="J166" s="36" t="n">
        <f aca="false">MAX(J160-J162,0)</f>
        <v>0</v>
      </c>
      <c r="K166" s="36" t="n">
        <f aca="false">MAX(K160-K162,0)</f>
        <v>0</v>
      </c>
      <c r="L166" s="36" t="n">
        <f aca="false">MAX(L160-L162,0)</f>
        <v>0</v>
      </c>
      <c r="M166" s="36" t="n">
        <f aca="false">MAX(M160-M162,0)</f>
        <v>0</v>
      </c>
      <c r="N166" s="36" t="n">
        <f aca="false">MAX(N160-N162,0)</f>
        <v>0</v>
      </c>
      <c r="O166" s="36" t="n">
        <f aca="false">MAX(O160-O162,0)</f>
        <v>0</v>
      </c>
      <c r="P166" s="36" t="n">
        <f aca="false">MAX(P160-P162,0)</f>
        <v>0</v>
      </c>
      <c r="Q166" s="36" t="n">
        <f aca="false">MAX(Q160-Q162,0)</f>
        <v>0</v>
      </c>
      <c r="R166" s="36" t="n">
        <f aca="false">MAX(R160-R162,0)</f>
        <v>0</v>
      </c>
      <c r="S166" s="36" t="n">
        <f aca="false">MAX(S160-S162,0)</f>
        <v>0</v>
      </c>
    </row>
    <row r="167" customFormat="false" ht="15" hidden="false" customHeight="false" outlineLevel="0" collapsed="false">
      <c r="A167" s="73" t="s">
        <v>983</v>
      </c>
      <c r="B167" s="74" t="s">
        <v>997</v>
      </c>
      <c r="C167" s="66" t="s">
        <v>136</v>
      </c>
      <c r="D167" s="43" t="s">
        <v>332</v>
      </c>
      <c r="E167" s="75" t="s">
        <v>43</v>
      </c>
      <c r="F167" s="76"/>
      <c r="G167" s="36" t="n">
        <f aca="false">G166+IF(G60=G48,G163,0)</f>
        <v>0</v>
      </c>
      <c r="H167" s="36" t="n">
        <f aca="false">H166+IF(H60=H48,H163,0)</f>
        <v>0</v>
      </c>
      <c r="I167" s="36" t="n">
        <f aca="false">I166+IF(I60=I48,I163,0)</f>
        <v>0</v>
      </c>
      <c r="J167" s="36" t="n">
        <f aca="false">J166+IF(J60=J48,J163,0)</f>
        <v>0</v>
      </c>
      <c r="K167" s="36" t="n">
        <f aca="false">K166+IF(K60=K48,K163,0)</f>
        <v>0</v>
      </c>
      <c r="L167" s="36" t="n">
        <f aca="false">L166+IF(L60=L48,L163,0)</f>
        <v>0</v>
      </c>
      <c r="M167" s="36" t="n">
        <f aca="false">M166+IF(M60=M48,M163,0)</f>
        <v>0</v>
      </c>
      <c r="N167" s="36" t="n">
        <f aca="false">N166+IF(N60=N48,N163,0)</f>
        <v>0</v>
      </c>
      <c r="O167" s="36" t="n">
        <f aca="false">O166+IF(O60=O48,O163,0)</f>
        <v>0</v>
      </c>
      <c r="P167" s="36" t="n">
        <f aca="false">P166+IF(P60=P48,P163,0)</f>
        <v>0</v>
      </c>
      <c r="Q167" s="36" t="n">
        <f aca="false">Q166+IF(Q60=Q48,Q163,0)</f>
        <v>0</v>
      </c>
      <c r="R167" s="36" t="n">
        <f aca="false">R166+IF(R60=R48,R163,0)</f>
        <v>0</v>
      </c>
      <c r="S167" s="36" t="n">
        <f aca="false">S166+IF(S60=S48,S163,0)</f>
        <v>0</v>
      </c>
    </row>
    <row r="168" customFormat="false" ht="15" hidden="false" customHeight="false" outlineLevel="0" collapsed="false">
      <c r="A168" s="73" t="s">
        <v>983</v>
      </c>
      <c r="B168" s="74" t="s">
        <v>998</v>
      </c>
      <c r="C168" s="66" t="s">
        <v>136</v>
      </c>
      <c r="D168" s="43" t="s">
        <v>332</v>
      </c>
      <c r="E168" s="75" t="s">
        <v>43</v>
      </c>
      <c r="F168" s="76"/>
      <c r="G168" s="78" t="n">
        <f aca="false">IF(G167&lt;=(IF(G60="EE.UU.",G143,0)+IF(G60="China",G146,0)+IF(G60="Europa",G149,0)),G166,IFERROR(G166/G167*(IF(G60="EE.UU.",G143,0)+IF(G60="China",G146,0)+IF(G60="Europa",G149,0)),0))</f>
        <v>0</v>
      </c>
      <c r="H168" s="78" t="n">
        <f aca="false">IF(H167&lt;=(IF(H60="EE.UU.",H143,0)+IF(H60="China",H146,0)+IF(H60="Europa",H149,0)),H166,IFERROR(H166/H167*(IF(H60="EE.UU.",H143,0)+IF(H60="China",H146,0)+IF(H60="Europa",H149,0)),0))</f>
        <v>0</v>
      </c>
      <c r="I168" s="78" t="n">
        <f aca="false">IF(I167&lt;=(IF(I60="EE.UU.",I143,0)+IF(I60="China",I146,0)+IF(I60="Europa",I149,0)),I166,IFERROR(I166/I167*(IF(I60="EE.UU.",I143,0)+IF(I60="China",I146,0)+IF(I60="Europa",I149,0)),0))</f>
        <v>0</v>
      </c>
      <c r="J168" s="78" t="n">
        <f aca="false">IF(J167&lt;=(IF(J60="EE.UU.",J143,0)+IF(J60="China",J146,0)+IF(J60="Europa",J149,0)),J166,IFERROR(J166/J167*(IF(J60="EE.UU.",J143,0)+IF(J60="China",J146,0)+IF(J60="Europa",J149,0)),0))</f>
        <v>0</v>
      </c>
      <c r="K168" s="78" t="n">
        <f aca="false">IF(K167&lt;=(IF(K60="EE.UU.",K143,0)+IF(K60="China",K146,0)+IF(K60="Europa",K149,0)),K166,IFERROR(K166/K167*(IF(K60="EE.UU.",K143,0)+IF(K60="China",K146,0)+IF(K60="Europa",K149,0)),0))</f>
        <v>0</v>
      </c>
      <c r="L168" s="78" t="n">
        <f aca="false">IF(L167&lt;=(IF(L60="EE.UU.",L143,0)+IF(L60="China",L146,0)+IF(L60="Europa",L149,0)),L166,IFERROR(L166/L167*(IF(L60="EE.UU.",L143,0)+IF(L60="China",L146,0)+IF(L60="Europa",L149,0)),0))</f>
        <v>0</v>
      </c>
      <c r="M168" s="78" t="n">
        <f aca="false">IF(M167&lt;=(IF(M60="EE.UU.",M143,0)+IF(M60="China",M146,0)+IF(M60="Europa",M149,0)),M166,IFERROR(M166/M167*(IF(M60="EE.UU.",M143,0)+IF(M60="China",M146,0)+IF(M60="Europa",M149,0)),0))</f>
        <v>0</v>
      </c>
      <c r="N168" s="78" t="n">
        <f aca="false">IF(N167&lt;=(IF(N60="EE.UU.",N143,0)+IF(N60="China",N146,0)+IF(N60="Europa",N149,0)),N166,IFERROR(N166/N167*(IF(N60="EE.UU.",N143,0)+IF(N60="China",N146,0)+IF(N60="Europa",N149,0)),0))</f>
        <v>0</v>
      </c>
      <c r="O168" s="78" t="n">
        <f aca="false">IF(O167&lt;=(IF(O60="EE.UU.",O143,0)+IF(O60="China",O146,0)+IF(O60="Europa",O149,0)),O166,IFERROR(O166/O167*(IF(O60="EE.UU.",O143,0)+IF(O60="China",O146,0)+IF(O60="Europa",O149,0)),0))</f>
        <v>0</v>
      </c>
      <c r="P168" s="78" t="n">
        <f aca="false">IF(P167&lt;=(IF(P60="EE.UU.",P143,0)+IF(P60="China",P146,0)+IF(P60="Europa",P149,0)),P166,IFERROR(P166/P167*(IF(P60="EE.UU.",P143,0)+IF(P60="China",P146,0)+IF(P60="Europa",P149,0)),0))</f>
        <v>0</v>
      </c>
      <c r="Q168" s="78" t="n">
        <f aca="false">IF(Q167&lt;=(IF(Q60="EE.UU.",Q143,0)+IF(Q60="China",Q146,0)+IF(Q60="Europa",Q149,0)),Q166,IFERROR(Q166/Q167*(IF(Q60="EE.UU.",Q143,0)+IF(Q60="China",Q146,0)+IF(Q60="Europa",Q149,0)),0))</f>
        <v>0</v>
      </c>
      <c r="R168" s="78" t="n">
        <f aca="false">IF(R167&lt;=(IF(R60="EE.UU.",R143,0)+IF(R60="China",R146,0)+IF(R60="Europa",R149,0)),R166,IFERROR(R166/R167*(IF(R60="EE.UU.",R143,0)+IF(R60="China",R146,0)+IF(R60="Europa",R149,0)),0))</f>
        <v>0</v>
      </c>
      <c r="S168" s="78" t="n">
        <f aca="false">IF(S167&lt;=(IF(S60="EE.UU.",S143,0)+IF(S60="China",S146,0)+IF(S60="Europa",S149,0)),S166,IFERROR(S166/S167*(IF(S60="EE.UU.",S143,0)+IF(S60="China",S146,0)+IF(S60="Europa",S149,0)),0))</f>
        <v>0</v>
      </c>
    </row>
    <row r="169" customFormat="false" ht="108.95" hidden="false" customHeight="false" outlineLevel="0" collapsed="false">
      <c r="A169" s="73" t="s">
        <v>983</v>
      </c>
      <c r="B169" s="74" t="s">
        <v>999</v>
      </c>
      <c r="C169" s="66" t="s">
        <v>128</v>
      </c>
      <c r="D169" s="43" t="s">
        <v>332</v>
      </c>
      <c r="E169" s="75" t="s">
        <v>917</v>
      </c>
      <c r="F169" s="76" t="s">
        <v>1000</v>
      </c>
      <c r="G169" s="78" t="n">
        <f aca="false">(G72*(IF(G37="EE.UU.",IF(G189="OK",1,0),0)+IF(G37="China",IF(G209="OK",1,0),0)+IF(G37="Europa",IF(G229="OK",1,0),0)))+(G78*(IF(G38="EE.UU.",IF(G189="OK",1,0),0)+IF(G38="China",IF(G209="OK",1,0),0)+IF(G38="Europa",IF(G229="OK",1,0),0)))+(G84*(IF(G39="EE.UU.",IF(G189="OK",1,0),0)+IF(G39="China",IF(G209="OK",1,0),0)+IF(G39="Europa",IF(G229="OK",1,0),0)))</f>
        <v>0</v>
      </c>
      <c r="H169" s="78" t="n">
        <f aca="false">(H72*(IF(H37="EE.UU.",IF(H189="OK",1,0),0)+IF(H37="China",IF(H209="OK",1,0),0)+IF(H37="Europa",IF(H229="OK",1,0),0)))+(H78*(IF(H38="EE.UU.",IF(H189="OK",1,0),0)+IF(H38="China",IF(H209="OK",1,0),0)+IF(H38="Europa",IF(H229="OK",1,0),0)))+(H84*(IF(H39="EE.UU.",IF(H189="OK",1,0),0)+IF(H39="China",IF(H209="OK",1,0),0)+IF(H39="Europa",IF(H229="OK",1,0),0)))</f>
        <v>0</v>
      </c>
      <c r="I169" s="78" t="n">
        <f aca="false">(I72*(IF(I37="EE.UU.",IF(I189="OK",1,0),0)+IF(I37="China",IF(I209="OK",1,0),0)+IF(I37="Europa",IF(I229="OK",1,0),0)))+(I78*(IF(I38="EE.UU.",IF(I189="OK",1,0),0)+IF(I38="China",IF(I209="OK",1,0),0)+IF(I38="Europa",IF(I229="OK",1,0),0)))+(I84*(IF(I39="EE.UU.",IF(I189="OK",1,0),0)+IF(I39="China",IF(I209="OK",1,0),0)+IF(I39="Europa",IF(I229="OK",1,0),0)))</f>
        <v>1164986.24356693</v>
      </c>
      <c r="J169" s="78" t="n">
        <f aca="false">(J72*(IF(J37="EE.UU.",IF(J189="OK",1,0),0)+IF(J37="China",IF(J209="OK",1,0),0)+IF(J37="Europa",IF(J229="OK",1,0),0)))+(J78*(IF(J38="EE.UU.",IF(J189="OK",1,0),0)+IF(J38="China",IF(J209="OK",1,0),0)+IF(J38="Europa",IF(J229="OK",1,0),0)))+(J84*(IF(J39="EE.UU.",IF(J189="OK",1,0),0)+IF(J39="China",IF(J209="OK",1,0),0)+IF(J39="Europa",IF(J229="OK",1,0),0)))</f>
        <v>0</v>
      </c>
      <c r="K169" s="78" t="n">
        <f aca="false">(K72*(IF(K37="EE.UU.",IF(K189="OK",1,0),0)+IF(K37="China",IF(K209="OK",1,0),0)+IF(K37="Europa",IF(K229="OK",1,0),0)))+(K78*(IF(K38="EE.UU.",IF(K189="OK",1,0),0)+IF(K38="China",IF(K209="OK",1,0),0)+IF(K38="Europa",IF(K229="OK",1,0),0)))+(K84*(IF(K39="EE.UU.",IF(K189="OK",1,0),0)+IF(K39="China",IF(K209="OK",1,0),0)+IF(K39="Europa",IF(K229="OK",1,0),0)))</f>
        <v>0</v>
      </c>
      <c r="L169" s="78" t="n">
        <f aca="false">(L72*(IF(L37="EE.UU.",IF(L189="OK",1,0),0)+IF(L37="China",IF(L209="OK",1,0),0)+IF(L37="Europa",IF(L229="OK",1,0),0)))+(L78*(IF(L38="EE.UU.",IF(L189="OK",1,0),0)+IF(L38="China",IF(L209="OK",1,0),0)+IF(L38="Europa",IF(L229="OK",1,0),0)))+(L84*(IF(L39="EE.UU.",IF(L189="OK",1,0),0)+IF(L39="China",IF(L209="OK",1,0),0)+IF(L39="Europa",IF(L229="OK",1,0),0)))</f>
        <v>0</v>
      </c>
      <c r="M169" s="78" t="n">
        <f aca="false">(M72*(IF(M37="EE.UU.",IF(M189="OK",1,0),0)+IF(M37="China",IF(M209="OK",1,0),0)+IF(M37="Europa",IF(M229="OK",1,0),0)))+(M78*(IF(M38="EE.UU.",IF(M189="OK",1,0),0)+IF(M38="China",IF(M209="OK",1,0),0)+IF(M38="Europa",IF(M229="OK",1,0),0)))+(M84*(IF(M39="EE.UU.",IF(M189="OK",1,0),0)+IF(M39="China",IF(M209="OK",1,0),0)+IF(M39="Europa",IF(M229="OK",1,0),0)))</f>
        <v>0</v>
      </c>
      <c r="N169" s="78" t="n">
        <f aca="false">(N72*(IF(N37="EE.UU.",IF(N189="OK",1,0),0)+IF(N37="China",IF(N209="OK",1,0),0)+IF(N37="Europa",IF(N229="OK",1,0),0)))+(N78*(IF(N38="EE.UU.",IF(N189="OK",1,0),0)+IF(N38="China",IF(N209="OK",1,0),0)+IF(N38="Europa",IF(N229="OK",1,0),0)))+(N84*(IF(N39="EE.UU.",IF(N189="OK",1,0),0)+IF(N39="China",IF(N209="OK",1,0),0)+IF(N39="Europa",IF(N229="OK",1,0),0)))</f>
        <v>0</v>
      </c>
      <c r="O169" s="78" t="n">
        <f aca="false">(O72*(IF(O37="EE.UU.",IF(O189="OK",1,0),0)+IF(O37="China",IF(O209="OK",1,0),0)+IF(O37="Europa",IF(O229="OK",1,0),0)))+(O78*(IF(O38="EE.UU.",IF(O189="OK",1,0),0)+IF(O38="China",IF(O209="OK",1,0),0)+IF(O38="Europa",IF(O229="OK",1,0),0)))+(O84*(IF(O39="EE.UU.",IF(O189="OK",1,0),0)+IF(O39="China",IF(O209="OK",1,0),0)+IF(O39="Europa",IF(O229="OK",1,0),0)))</f>
        <v>0</v>
      </c>
      <c r="P169" s="78" t="n">
        <f aca="false">(P72*(IF(P37="EE.UU.",IF(P189="OK",1,0),0)+IF(P37="China",IF(P209="OK",1,0),0)+IF(P37="Europa",IF(P229="OK",1,0),0)))+(P78*(IF(P38="EE.UU.",IF(P189="OK",1,0),0)+IF(P38="China",IF(P209="OK",1,0),0)+IF(P38="Europa",IF(P229="OK",1,0),0)))+(P84*(IF(P39="EE.UU.",IF(P189="OK",1,0),0)+IF(P39="China",IF(P209="OK",1,0),0)+IF(P39="Europa",IF(P229="OK",1,0),0)))</f>
        <v>0</v>
      </c>
      <c r="Q169" s="78" t="n">
        <f aca="false">(Q72*(IF(Q37="EE.UU.",IF(Q189="OK",1,0),0)+IF(Q37="China",IF(Q209="OK",1,0),0)+IF(Q37="Europa",IF(Q229="OK",1,0),0)))+(Q78*(IF(Q38="EE.UU.",IF(Q189="OK",1,0),0)+IF(Q38="China",IF(Q209="OK",1,0),0)+IF(Q38="Europa",IF(Q229="OK",1,0),0)))+(Q84*(IF(Q39="EE.UU.",IF(Q189="OK",1,0),0)+IF(Q39="China",IF(Q209="OK",1,0),0)+IF(Q39="Europa",IF(Q229="OK",1,0),0)))</f>
        <v>0</v>
      </c>
      <c r="R169" s="78" t="n">
        <f aca="false">(R72*(IF(R37="EE.UU.",IF(R189="OK",1,0),0)+IF(R37="China",IF(R209="OK",1,0),0)+IF(R37="Europa",IF(R229="OK",1,0),0)))+(R78*(IF(R38="EE.UU.",IF(R189="OK",1,0),0)+IF(R38="China",IF(R209="OK",1,0),0)+IF(R38="Europa",IF(R229="OK",1,0),0)))+(R84*(IF(R39="EE.UU.",IF(R189="OK",1,0),0)+IF(R39="China",IF(R209="OK",1,0),0)+IF(R39="Europa",IF(R229="OK",1,0),0)))</f>
        <v>0</v>
      </c>
      <c r="S169" s="78" t="n">
        <f aca="false">(S72*(IF(S37="EE.UU.",IF(S189="OK",1,0),0)+IF(S37="China",IF(S209="OK",1,0),0)+IF(S37="Europa",IF(S229="OK",1,0),0)))+(S78*(IF(S38="EE.UU.",IF(S189="OK",1,0),0)+IF(S38="China",IF(S209="OK",1,0),0)+IF(S38="Europa",IF(S229="OK",1,0),0)))+(S84*(IF(S39="EE.UU.",IF(S189="OK",1,0),0)+IF(S39="China",IF(S209="OK",1,0),0)+IF(S39="Europa",IF(S229="OK",1,0),0)))</f>
        <v>0</v>
      </c>
    </row>
    <row r="170" customFormat="false" ht="68.65" hidden="false" customHeight="false" outlineLevel="0" collapsed="false">
      <c r="A170" s="73" t="s">
        <v>983</v>
      </c>
      <c r="B170" s="74" t="s">
        <v>1001</v>
      </c>
      <c r="C170" s="66" t="s">
        <v>128</v>
      </c>
      <c r="D170" s="43" t="s">
        <v>332</v>
      </c>
      <c r="E170" s="75" t="s">
        <v>1002</v>
      </c>
      <c r="F170" s="76" t="s">
        <v>1003</v>
      </c>
      <c r="G170" s="89" t="n">
        <f aca="false">(G72+G78+G84)-G169</f>
        <v>0</v>
      </c>
      <c r="H170" s="89" t="n">
        <f aca="false">(H72+H78+H84)-H169</f>
        <v>0</v>
      </c>
      <c r="I170" s="89" t="n">
        <f aca="false">(I72+I78+I84)-I169</f>
        <v>0</v>
      </c>
      <c r="J170" s="89" t="n">
        <f aca="false">(J72+J78+J84)-J169</f>
        <v>0</v>
      </c>
      <c r="K170" s="89" t="n">
        <f aca="false">(K72+K78+K84)-K169</f>
        <v>0</v>
      </c>
      <c r="L170" s="89" t="n">
        <f aca="false">(L72+L78+L84)-L169</f>
        <v>0</v>
      </c>
      <c r="M170" s="89" t="n">
        <f aca="false">(M72+M78+M84)-M169</f>
        <v>0</v>
      </c>
      <c r="N170" s="89" t="n">
        <f aca="false">(N72+N78+N84)-N169</f>
        <v>0</v>
      </c>
      <c r="O170" s="89" t="n">
        <f aca="false">(O72+O78+O84)-O169</f>
        <v>0</v>
      </c>
      <c r="P170" s="89" t="n">
        <f aca="false">(P72+P78+P84)-P169</f>
        <v>0</v>
      </c>
      <c r="Q170" s="89" t="n">
        <f aca="false">(Q72+Q78+Q84)-Q169</f>
        <v>0</v>
      </c>
      <c r="R170" s="89" t="n">
        <f aca="false">(R72+R78+R84)-R169</f>
        <v>0</v>
      </c>
      <c r="S170" s="89" t="n">
        <f aca="false">(S72+S78+S84)-S169</f>
        <v>0</v>
      </c>
    </row>
    <row r="171" customFormat="false" ht="108.95" hidden="false" customHeight="false" outlineLevel="0" collapsed="false">
      <c r="A171" s="73" t="s">
        <v>983</v>
      </c>
      <c r="B171" s="74" t="s">
        <v>999</v>
      </c>
      <c r="C171" s="66" t="s">
        <v>130</v>
      </c>
      <c r="D171" s="43" t="s">
        <v>332</v>
      </c>
      <c r="E171" s="75" t="s">
        <v>917</v>
      </c>
      <c r="F171" s="76" t="s">
        <v>1000</v>
      </c>
      <c r="G171" s="78" t="n">
        <f aca="false">(G99*(IF(G40="EE.UU.",IF(G194="OK",1,0),0)+IF(G40="China",IF(G214="OK",1,0),0)+IF(G40="Europa",IF(G234="OK",1,0),0)))+(G105*(IF(G41="EE.UU.",IF(G194="OK",1,0),0)+IF(G41="China",IF(G214="OK",1,0),0)+IF(G41="Europa",IF(G234="OK",1,0),0)))+(G111*(IF(G42="EE.UU.",IF(G194="OK",1,0),0)+IF(G42="China",IF(G214="OK",1,0),0)+IF(G42="Europa",IF(G234="OK",1,0),0)))</f>
        <v>0</v>
      </c>
      <c r="H171" s="78" t="n">
        <f aca="false">(H99*(IF(H40="EE.UU.",IF(H194="OK",1,0),0)+IF(H40="China",IF(H214="OK",1,0),0)+IF(H40="Europa",IF(H234="OK",1,0),0)))+(H105*(IF(H41="EE.UU.",IF(H194="OK",1,0),0)+IF(H41="China",IF(H214="OK",1,0),0)+IF(H41="Europa",IF(H234="OK",1,0),0)))+(H111*(IF(H42="EE.UU.",IF(H194="OK",1,0),0)+IF(H42="China",IF(H214="OK",1,0),0)+IF(H42="Europa",IF(H234="OK",1,0),0)))</f>
        <v>0</v>
      </c>
      <c r="I171" s="78" t="n">
        <f aca="false">(I99*(IF(I40="EE.UU.",IF(I194="OK",1,0),0)+IF(I40="China",IF(I214="OK",1,0),0)+IF(I40="Europa",IF(I234="OK",1,0),0)))+(I105*(IF(I41="EE.UU.",IF(I194="OK",1,0),0)+IF(I41="China",IF(I214="OK",1,0),0)+IF(I41="Europa",IF(I234="OK",1,0),0)))+(I111*(IF(I42="EE.UU.",IF(I194="OK",1,0),0)+IF(I42="China",IF(I214="OK",1,0),0)+IF(I42="Europa",IF(I234="OK",1,0),0)))</f>
        <v>349193.488101125</v>
      </c>
      <c r="J171" s="78" t="n">
        <f aca="false">(J99*(IF(J40="EE.UU.",IF(J194="OK",1,0),0)+IF(J40="China",IF(J214="OK",1,0),0)+IF(J40="Europa",IF(J234="OK",1,0),0)))+(J105*(IF(J41="EE.UU.",IF(J194="OK",1,0),0)+IF(J41="China",IF(J214="OK",1,0),0)+IF(J41="Europa",IF(J234="OK",1,0),0)))+(J111*(IF(J42="EE.UU.",IF(J194="OK",1,0),0)+IF(J42="China",IF(J214="OK",1,0),0)+IF(J42="Europa",IF(J234="OK",1,0),0)))</f>
        <v>0</v>
      </c>
      <c r="K171" s="78" t="n">
        <f aca="false">(K99*(IF(K40="EE.UU.",IF(K194="OK",1,0),0)+IF(K40="China",IF(K214="OK",1,0),0)+IF(K40="Europa",IF(K234="OK",1,0),0)))+(K105*(IF(K41="EE.UU.",IF(K194="OK",1,0),0)+IF(K41="China",IF(K214="OK",1,0),0)+IF(K41="Europa",IF(K234="OK",1,0),0)))+(K111*(IF(K42="EE.UU.",IF(K194="OK",1,0),0)+IF(K42="China",IF(K214="OK",1,0),0)+IF(K42="Europa",IF(K234="OK",1,0),0)))</f>
        <v>0</v>
      </c>
      <c r="L171" s="78" t="n">
        <f aca="false">(L99*(IF(L40="EE.UU.",IF(L194="OK",1,0),0)+IF(L40="China",IF(L214="OK",1,0),0)+IF(L40="Europa",IF(L234="OK",1,0),0)))+(L105*(IF(L41="EE.UU.",IF(L194="OK",1,0),0)+IF(L41="China",IF(L214="OK",1,0),0)+IF(L41="Europa",IF(L234="OK",1,0),0)))+(L111*(IF(L42="EE.UU.",IF(L194="OK",1,0),0)+IF(L42="China",IF(L214="OK",1,0),0)+IF(L42="Europa",IF(L234="OK",1,0),0)))</f>
        <v>0</v>
      </c>
      <c r="M171" s="78" t="n">
        <f aca="false">(M99*(IF(M40="EE.UU.",IF(M194="OK",1,0),0)+IF(M40="China",IF(M214="OK",1,0),0)+IF(M40="Europa",IF(M234="OK",1,0),0)))+(M105*(IF(M41="EE.UU.",IF(M194="OK",1,0),0)+IF(M41="China",IF(M214="OK",1,0),0)+IF(M41="Europa",IF(M234="OK",1,0),0)))+(M111*(IF(M42="EE.UU.",IF(M194="OK",1,0),0)+IF(M42="China",IF(M214="OK",1,0),0)+IF(M42="Europa",IF(M234="OK",1,0),0)))</f>
        <v>0</v>
      </c>
      <c r="N171" s="78" t="n">
        <f aca="false">(N99*(IF(N40="EE.UU.",IF(N194="OK",1,0),0)+IF(N40="China",IF(N214="OK",1,0),0)+IF(N40="Europa",IF(N234="OK",1,0),0)))+(N105*(IF(N41="EE.UU.",IF(N194="OK",1,0),0)+IF(N41="China",IF(N214="OK",1,0),0)+IF(N41="Europa",IF(N234="OK",1,0),0)))+(N111*(IF(N42="EE.UU.",IF(N194="OK",1,0),0)+IF(N42="China",IF(N214="OK",1,0),0)+IF(N42="Europa",IF(N234="OK",1,0),0)))</f>
        <v>0</v>
      </c>
      <c r="O171" s="78" t="n">
        <f aca="false">(O99*(IF(O40="EE.UU.",IF(O194="OK",1,0),0)+IF(O40="China",IF(O214="OK",1,0),0)+IF(O40="Europa",IF(O234="OK",1,0),0)))+(O105*(IF(O41="EE.UU.",IF(O194="OK",1,0),0)+IF(O41="China",IF(O214="OK",1,0),0)+IF(O41="Europa",IF(O234="OK",1,0),0)))+(O111*(IF(O42="EE.UU.",IF(O194="OK",1,0),0)+IF(O42="China",IF(O214="OK",1,0),0)+IF(O42="Europa",IF(O234="OK",1,0),0)))</f>
        <v>0</v>
      </c>
      <c r="P171" s="78" t="n">
        <f aca="false">(P99*(IF(P40="EE.UU.",IF(P194="OK",1,0),0)+IF(P40="China",IF(P214="OK",1,0),0)+IF(P40="Europa",IF(P234="OK",1,0),0)))+(P105*(IF(P41="EE.UU.",IF(P194="OK",1,0),0)+IF(P41="China",IF(P214="OK",1,0),0)+IF(P41="Europa",IF(P234="OK",1,0),0)))+(P111*(IF(P42="EE.UU.",IF(P194="OK",1,0),0)+IF(P42="China",IF(P214="OK",1,0),0)+IF(P42="Europa",IF(P234="OK",1,0),0)))</f>
        <v>0</v>
      </c>
      <c r="Q171" s="78" t="n">
        <f aca="false">(Q99*(IF(Q40="EE.UU.",IF(Q194="OK",1,0),0)+IF(Q40="China",IF(Q214="OK",1,0),0)+IF(Q40="Europa",IF(Q234="OK",1,0),0)))+(Q105*(IF(Q41="EE.UU.",IF(Q194="OK",1,0),0)+IF(Q41="China",IF(Q214="OK",1,0),0)+IF(Q41="Europa",IF(Q234="OK",1,0),0)))+(Q111*(IF(Q42="EE.UU.",IF(Q194="OK",1,0),0)+IF(Q42="China",IF(Q214="OK",1,0),0)+IF(Q42="Europa",IF(Q234="OK",1,0),0)))</f>
        <v>0</v>
      </c>
      <c r="R171" s="78" t="n">
        <f aca="false">(R99*(IF(R40="EE.UU.",IF(R194="OK",1,0),0)+IF(R40="China",IF(R214="OK",1,0),0)+IF(R40="Europa",IF(R234="OK",1,0),0)))+(R105*(IF(R41="EE.UU.",IF(R194="OK",1,0),0)+IF(R41="China",IF(R214="OK",1,0),0)+IF(R41="Europa",IF(R234="OK",1,0),0)))+(R111*(IF(R42="EE.UU.",IF(R194="OK",1,0),0)+IF(R42="China",IF(R214="OK",1,0),0)+IF(R42="Europa",IF(R234="OK",1,0),0)))</f>
        <v>0</v>
      </c>
      <c r="S171" s="78" t="n">
        <f aca="false">(S99*(IF(S40="EE.UU.",IF(S194="OK",1,0),0)+IF(S40="China",IF(S214="OK",1,0),0)+IF(S40="Europa",IF(S234="OK",1,0),0)))+(S105*(IF(S41="EE.UU.",IF(S194="OK",1,0),0)+IF(S41="China",IF(S214="OK",1,0),0)+IF(S41="Europa",IF(S234="OK",1,0),0)))+(S111*(IF(S42="EE.UU.",IF(S194="OK",1,0),0)+IF(S42="China",IF(S214="OK",1,0),0)+IF(S42="Europa",IF(S234="OK",1,0),0)))</f>
        <v>0</v>
      </c>
    </row>
    <row r="172" customFormat="false" ht="68.65" hidden="false" customHeight="false" outlineLevel="0" collapsed="false">
      <c r="A172" s="73" t="s">
        <v>983</v>
      </c>
      <c r="B172" s="74" t="s">
        <v>1001</v>
      </c>
      <c r="C172" s="66" t="s">
        <v>130</v>
      </c>
      <c r="D172" s="43" t="s">
        <v>332</v>
      </c>
      <c r="E172" s="75" t="s">
        <v>1002</v>
      </c>
      <c r="F172" s="76" t="s">
        <v>1003</v>
      </c>
      <c r="G172" s="89" t="n">
        <f aca="false">(G99+G105+G111)-G171</f>
        <v>0</v>
      </c>
      <c r="H172" s="89" t="n">
        <f aca="false">(H99+H105+H111)-H171</f>
        <v>0</v>
      </c>
      <c r="I172" s="89" t="n">
        <f aca="false">(I99+I105+I111)-I171</f>
        <v>0</v>
      </c>
      <c r="J172" s="89" t="n">
        <f aca="false">(J99+J105+J111)-J171</f>
        <v>0</v>
      </c>
      <c r="K172" s="89" t="n">
        <f aca="false">(K99+K105+K111)-K171</f>
        <v>0</v>
      </c>
      <c r="L172" s="89" t="n">
        <f aca="false">(L99+L105+L111)-L171</f>
        <v>0</v>
      </c>
      <c r="M172" s="89" t="n">
        <f aca="false">(M99+M105+M111)-M171</f>
        <v>0</v>
      </c>
      <c r="N172" s="89" t="n">
        <f aca="false">(N99+N105+N111)-N171</f>
        <v>0</v>
      </c>
      <c r="O172" s="89" t="n">
        <f aca="false">(O99+O105+O111)-O171</f>
        <v>0</v>
      </c>
      <c r="P172" s="89" t="n">
        <f aca="false">(P99+P105+P111)-P171</f>
        <v>0</v>
      </c>
      <c r="Q172" s="89" t="n">
        <f aca="false">(Q99+Q105+Q111)-Q171</f>
        <v>0</v>
      </c>
      <c r="R172" s="89" t="n">
        <f aca="false">(R99+R105+R111)-R171</f>
        <v>0</v>
      </c>
      <c r="S172" s="89" t="n">
        <f aca="false">(S99+S105+S111)-S171</f>
        <v>0</v>
      </c>
    </row>
    <row r="173" customFormat="false" ht="108.95" hidden="false" customHeight="false" outlineLevel="0" collapsed="false">
      <c r="A173" s="73" t="s">
        <v>983</v>
      </c>
      <c r="B173" s="74" t="s">
        <v>999</v>
      </c>
      <c r="C173" s="66" t="s">
        <v>131</v>
      </c>
      <c r="D173" s="43" t="s">
        <v>332</v>
      </c>
      <c r="E173" s="75" t="s">
        <v>917</v>
      </c>
      <c r="F173" s="76" t="s">
        <v>1000</v>
      </c>
      <c r="G173" s="78" t="n">
        <f aca="false">(G126*(IF(G43="EE.UU.",IF(G199="OK",1,0),0)+IF(G43="China",IF(G219="OK",1,0),0)+IF(G43="Europa",IF(G239="OK",1,0),0)))+(G132*(IF(G44="EE.UU.",IF(G199="OK",1,0),0)+IF(G44="China",IF(G219="OK",1,0),0)+IF(G44="Europa",IF(G239="OK",1,0),0)))+(G138*(IF(G45="EE.UU.",IF(G199="OK",1,0),0)+IF(G45="China",IF(G219="OK",1,0),0)+IF(G45="Europa",IF(G239="OK",1,0),0)))</f>
        <v>0</v>
      </c>
      <c r="H173" s="78" t="n">
        <f aca="false">(H126*(IF(H43="EE.UU.",IF(H199="OK",1,0),0)+IF(H43="China",IF(H219="OK",1,0),0)+IF(H43="Europa",IF(H239="OK",1,0),0)))+(H132*(IF(H44="EE.UU.",IF(H199="OK",1,0),0)+IF(H44="China",IF(H219="OK",1,0),0)+IF(H44="Europa",IF(H239="OK",1,0),0)))+(H138*(IF(H45="EE.UU.",IF(H199="OK",1,0),0)+IF(H45="China",IF(H219="OK",1,0),0)+IF(H45="Europa",IF(H239="OK",1,0),0)))</f>
        <v>0</v>
      </c>
      <c r="I173" s="78" t="n">
        <f aca="false">(I126*(IF(I43="EE.UU.",IF(I199="OK",1,0),0)+IF(I43="China",IF(I219="OK",1,0),0)+IF(I43="Europa",IF(I239="OK",1,0),0)))+(I132*(IF(I44="EE.UU.",IF(I199="OK",1,0),0)+IF(I44="China",IF(I219="OK",1,0),0)+IF(I44="Europa",IF(I239="OK",1,0),0)))+(I138*(IF(I45="EE.UU.",IF(I199="OK",1,0),0)+IF(I45="China",IF(I219="OK",1,0),0)+IF(I45="Europa",IF(I239="OK",1,0),0)))</f>
        <v>0</v>
      </c>
      <c r="J173" s="78" t="n">
        <f aca="false">(J126*(IF(J43="EE.UU.",IF(J199="OK",1,0),0)+IF(J43="China",IF(J219="OK",1,0),0)+IF(J43="Europa",IF(J239="OK",1,0),0)))+(J132*(IF(J44="EE.UU.",IF(J199="OK",1,0),0)+IF(J44="China",IF(J219="OK",1,0),0)+IF(J44="Europa",IF(J239="OK",1,0),0)))+(J138*(IF(J45="EE.UU.",IF(J199="OK",1,0),0)+IF(J45="China",IF(J219="OK",1,0),0)+IF(J45="Europa",IF(J239="OK",1,0),0)))</f>
        <v>0</v>
      </c>
      <c r="K173" s="78" t="n">
        <f aca="false">(K126*(IF(K43="EE.UU.",IF(K199="OK",1,0),0)+IF(K43="China",IF(K219="OK",1,0),0)+IF(K43="Europa",IF(K239="OK",1,0),0)))+(K132*(IF(K44="EE.UU.",IF(K199="OK",1,0),0)+IF(K44="China",IF(K219="OK",1,0),0)+IF(K44="Europa",IF(K239="OK",1,0),0)))+(K138*(IF(K45="EE.UU.",IF(K199="OK",1,0),0)+IF(K45="China",IF(K219="OK",1,0),0)+IF(K45="Europa",IF(K239="OK",1,0),0)))</f>
        <v>0</v>
      </c>
      <c r="L173" s="78" t="n">
        <f aca="false">(L126*(IF(L43="EE.UU.",IF(L199="OK",1,0),0)+IF(L43="China",IF(L219="OK",1,0),0)+IF(L43="Europa",IF(L239="OK",1,0),0)))+(L132*(IF(L44="EE.UU.",IF(L199="OK",1,0),0)+IF(L44="China",IF(L219="OK",1,0),0)+IF(L44="Europa",IF(L239="OK",1,0),0)))+(L138*(IF(L45="EE.UU.",IF(L199="OK",1,0),0)+IF(L45="China",IF(L219="OK",1,0),0)+IF(L45="Europa",IF(L239="OK",1,0),0)))</f>
        <v>0</v>
      </c>
      <c r="M173" s="78" t="n">
        <f aca="false">(M126*(IF(M43="EE.UU.",IF(M199="OK",1,0),0)+IF(M43="China",IF(M219="OK",1,0),0)+IF(M43="Europa",IF(M239="OK",1,0),0)))+(M132*(IF(M44="EE.UU.",IF(M199="OK",1,0),0)+IF(M44="China",IF(M219="OK",1,0),0)+IF(M44="Europa",IF(M239="OK",1,0),0)))+(M138*(IF(M45="EE.UU.",IF(M199="OK",1,0),0)+IF(M45="China",IF(M219="OK",1,0),0)+IF(M45="Europa",IF(M239="OK",1,0),0)))</f>
        <v>0</v>
      </c>
      <c r="N173" s="78" t="n">
        <f aca="false">(N126*(IF(N43="EE.UU.",IF(N199="OK",1,0),0)+IF(N43="China",IF(N219="OK",1,0),0)+IF(N43="Europa",IF(N239="OK",1,0),0)))+(N132*(IF(N44="EE.UU.",IF(N199="OK",1,0),0)+IF(N44="China",IF(N219="OK",1,0),0)+IF(N44="Europa",IF(N239="OK",1,0),0)))+(N138*(IF(N45="EE.UU.",IF(N199="OK",1,0),0)+IF(N45="China",IF(N219="OK",1,0),0)+IF(N45="Europa",IF(N239="OK",1,0),0)))</f>
        <v>0</v>
      </c>
      <c r="O173" s="78" t="n">
        <f aca="false">(O126*(IF(O43="EE.UU.",IF(O199="OK",1,0),0)+IF(O43="China",IF(O219="OK",1,0),0)+IF(O43="Europa",IF(O239="OK",1,0),0)))+(O132*(IF(O44="EE.UU.",IF(O199="OK",1,0),0)+IF(O44="China",IF(O219="OK",1,0),0)+IF(O44="Europa",IF(O239="OK",1,0),0)))+(O138*(IF(O45="EE.UU.",IF(O199="OK",1,0),0)+IF(O45="China",IF(O219="OK",1,0),0)+IF(O45="Europa",IF(O239="OK",1,0),0)))</f>
        <v>0</v>
      </c>
      <c r="P173" s="78" t="n">
        <f aca="false">(P126*(IF(P43="EE.UU.",IF(P199="OK",1,0),0)+IF(P43="China",IF(P219="OK",1,0),0)+IF(P43="Europa",IF(P239="OK",1,0),0)))+(P132*(IF(P44="EE.UU.",IF(P199="OK",1,0),0)+IF(P44="China",IF(P219="OK",1,0),0)+IF(P44="Europa",IF(P239="OK",1,0),0)))+(P138*(IF(P45="EE.UU.",IF(P199="OK",1,0),0)+IF(P45="China",IF(P219="OK",1,0),0)+IF(P45="Europa",IF(P239="OK",1,0),0)))</f>
        <v>0</v>
      </c>
      <c r="Q173" s="78" t="n">
        <f aca="false">(Q126*(IF(Q43="EE.UU.",IF(Q199="OK",1,0),0)+IF(Q43="China",IF(Q219="OK",1,0),0)+IF(Q43="Europa",IF(Q239="OK",1,0),0)))+(Q132*(IF(Q44="EE.UU.",IF(Q199="OK",1,0),0)+IF(Q44="China",IF(Q219="OK",1,0),0)+IF(Q44="Europa",IF(Q239="OK",1,0),0)))+(Q138*(IF(Q45="EE.UU.",IF(Q199="OK",1,0),0)+IF(Q45="China",IF(Q219="OK",1,0),0)+IF(Q45="Europa",IF(Q239="OK",1,0),0)))</f>
        <v>0</v>
      </c>
      <c r="R173" s="78" t="n">
        <f aca="false">(R126*(IF(R43="EE.UU.",IF(R199="OK",1,0),0)+IF(R43="China",IF(R219="OK",1,0),0)+IF(R43="Europa",IF(R239="OK",1,0),0)))+(R132*(IF(R44="EE.UU.",IF(R199="OK",1,0),0)+IF(R44="China",IF(R219="OK",1,0),0)+IF(R44="Europa",IF(R239="OK",1,0),0)))+(R138*(IF(R45="EE.UU.",IF(R199="OK",1,0),0)+IF(R45="China",IF(R219="OK",1,0),0)+IF(R45="Europa",IF(R239="OK",1,0),0)))</f>
        <v>0</v>
      </c>
      <c r="S173" s="78" t="n">
        <f aca="false">(S126*(IF(S43="EE.UU.",IF(S199="OK",1,0),0)+IF(S43="China",IF(S219="OK",1,0),0)+IF(S43="Europa",IF(S239="OK",1,0),0)))+(S132*(IF(S44="EE.UU.",IF(S199="OK",1,0),0)+IF(S44="China",IF(S219="OK",1,0),0)+IF(S44="Europa",IF(S239="OK",1,0),0)))+(S138*(IF(S45="EE.UU.",IF(S199="OK",1,0),0)+IF(S45="China",IF(S219="OK",1,0),0)+IF(S45="Europa",IF(S239="OK",1,0),0)))</f>
        <v>0</v>
      </c>
    </row>
    <row r="174" customFormat="false" ht="68.65" hidden="false" customHeight="false" outlineLevel="0" collapsed="false">
      <c r="A174" s="73" t="s">
        <v>983</v>
      </c>
      <c r="B174" s="74" t="s">
        <v>1001</v>
      </c>
      <c r="C174" s="66" t="s">
        <v>131</v>
      </c>
      <c r="D174" s="43" t="s">
        <v>332</v>
      </c>
      <c r="E174" s="75" t="s">
        <v>1002</v>
      </c>
      <c r="F174" s="76" t="s">
        <v>1003</v>
      </c>
      <c r="G174" s="89" t="n">
        <f aca="false">(G126+G132+G138)-G173</f>
        <v>0</v>
      </c>
      <c r="H174" s="89" t="n">
        <f aca="false">(H126+H132+H138)-H173</f>
        <v>0</v>
      </c>
      <c r="I174" s="89" t="n">
        <f aca="false">(I126+I132+I138)-I173</f>
        <v>0</v>
      </c>
      <c r="J174" s="89" t="n">
        <f aca="false">(J126+J132+J138)-J173</f>
        <v>0</v>
      </c>
      <c r="K174" s="89" t="n">
        <f aca="false">(K126+K132+K138)-K173</f>
        <v>0</v>
      </c>
      <c r="L174" s="89" t="n">
        <f aca="false">(L126+L132+L138)-L173</f>
        <v>0</v>
      </c>
      <c r="M174" s="89" t="n">
        <f aca="false">(M126+M132+M138)-M173</f>
        <v>0</v>
      </c>
      <c r="N174" s="89" t="n">
        <f aca="false">(N126+N132+N138)-N173</f>
        <v>0</v>
      </c>
      <c r="O174" s="89" t="n">
        <f aca="false">(O126+O132+O138)-O173</f>
        <v>0</v>
      </c>
      <c r="P174" s="89" t="n">
        <f aca="false">(P126+P132+P138)-P173</f>
        <v>0</v>
      </c>
      <c r="Q174" s="89" t="n">
        <f aca="false">(Q126+Q132+Q138)-Q173</f>
        <v>0</v>
      </c>
      <c r="R174" s="89" t="n">
        <f aca="false">(R126+R132+R138)-R173</f>
        <v>0</v>
      </c>
      <c r="S174" s="89" t="n">
        <f aca="false">(S126+S132+S138)-S173</f>
        <v>0</v>
      </c>
    </row>
    <row r="175" customFormat="false" ht="108.95" hidden="false" customHeight="false" outlineLevel="0" collapsed="false">
      <c r="A175" s="73" t="s">
        <v>983</v>
      </c>
      <c r="B175" s="74" t="s">
        <v>999</v>
      </c>
      <c r="C175" s="66" t="s">
        <v>132</v>
      </c>
      <c r="D175" s="43" t="s">
        <v>332</v>
      </c>
      <c r="E175" s="75" t="s">
        <v>917</v>
      </c>
      <c r="F175" s="76" t="s">
        <v>1000</v>
      </c>
      <c r="G175" s="78" t="n">
        <f aca="false">(G153*(IF(G46="EE.UU.",IF(G204="OK",1,0),0)+IF(G46="China",IF(G224="OK",1,0),0)+IF(G46="Europa",IF(G244="OK",1,0),0)))+(G159*(IF(G47="EE.UU.",IF(G204="OK",1,0),0)+IF(G47="China",IF(G224="OK",1,0),0)+IF(G47="Europa",IF(G244="OK",1,0),0)))+(G165*(IF(G48="EE.UU.",IF(G204="OK",1,0),0)+IF(G48="China",IF(G224="OK",1,0),0)+IF(G48="Europa",IF(G244="OK",1,0),0)))</f>
        <v>0</v>
      </c>
      <c r="H175" s="78" t="n">
        <f aca="false">(H153*(IF(H46="EE.UU.",IF(H204="OK",1,0),0)+IF(H46="China",IF(H224="OK",1,0),0)+IF(H46="Europa",IF(H244="OK",1,0),0)))+(H159*(IF(H47="EE.UU.",IF(H204="OK",1,0),0)+IF(H47="China",IF(H224="OK",1,0),0)+IF(H47="Europa",IF(H244="OK",1,0),0)))+(H165*(IF(H48="EE.UU.",IF(H204="OK",1,0),0)+IF(H48="China",IF(H224="OK",1,0),0)+IF(H48="Europa",IF(H244="OK",1,0),0)))</f>
        <v>0</v>
      </c>
      <c r="I175" s="78" t="n">
        <f aca="false">(I153*(IF(I46="EE.UU.",IF(I204="OK",1,0),0)+IF(I46="China",IF(I224="OK",1,0),0)+IF(I46="Europa",IF(I244="OK",1,0),0)))+(I159*(IF(I47="EE.UU.",IF(I204="OK",1,0),0)+IF(I47="China",IF(I224="OK",1,0),0)+IF(I47="Europa",IF(I244="OK",1,0),0)))+(I165*(IF(I48="EE.UU.",IF(I204="OK",1,0),0)+IF(I48="China",IF(I224="OK",1,0),0)+IF(I48="Europa",IF(I244="OK",1,0),0)))</f>
        <v>0</v>
      </c>
      <c r="J175" s="78" t="n">
        <f aca="false">(J153*(IF(J46="EE.UU.",IF(J204="OK",1,0),0)+IF(J46="China",IF(J224="OK",1,0),0)+IF(J46="Europa",IF(J244="OK",1,0),0)))+(J159*(IF(J47="EE.UU.",IF(J204="OK",1,0),0)+IF(J47="China",IF(J224="OK",1,0),0)+IF(J47="Europa",IF(J244="OK",1,0),0)))+(J165*(IF(J48="EE.UU.",IF(J204="OK",1,0),0)+IF(J48="China",IF(J224="OK",1,0),0)+IF(J48="Europa",IF(J244="OK",1,0),0)))</f>
        <v>0</v>
      </c>
      <c r="K175" s="78" t="n">
        <f aca="false">(K153*(IF(K46="EE.UU.",IF(K204="OK",1,0),0)+IF(K46="China",IF(K224="OK",1,0),0)+IF(K46="Europa",IF(K244="OK",1,0),0)))+(K159*(IF(K47="EE.UU.",IF(K204="OK",1,0),0)+IF(K47="China",IF(K224="OK",1,0),0)+IF(K47="Europa",IF(K244="OK",1,0),0)))+(K165*(IF(K48="EE.UU.",IF(K204="OK",1,0),0)+IF(K48="China",IF(K224="OK",1,0),0)+IF(K48="Europa",IF(K244="OK",1,0),0)))</f>
        <v>0</v>
      </c>
      <c r="L175" s="78" t="n">
        <f aca="false">(L153*(IF(L46="EE.UU.",IF(L204="OK",1,0),0)+IF(L46="China",IF(L224="OK",1,0),0)+IF(L46="Europa",IF(L244="OK",1,0),0)))+(L159*(IF(L47="EE.UU.",IF(L204="OK",1,0),0)+IF(L47="China",IF(L224="OK",1,0),0)+IF(L47="Europa",IF(L244="OK",1,0),0)))+(L165*(IF(L48="EE.UU.",IF(L204="OK",1,0),0)+IF(L48="China",IF(L224="OK",1,0),0)+IF(L48="Europa",IF(L244="OK",1,0),0)))</f>
        <v>0</v>
      </c>
      <c r="M175" s="78" t="n">
        <f aca="false">(M153*(IF(M46="EE.UU.",IF(M204="OK",1,0),0)+IF(M46="China",IF(M224="OK",1,0),0)+IF(M46="Europa",IF(M244="OK",1,0),0)))+(M159*(IF(M47="EE.UU.",IF(M204="OK",1,0),0)+IF(M47="China",IF(M224="OK",1,0),0)+IF(M47="Europa",IF(M244="OK",1,0),0)))+(M165*(IF(M48="EE.UU.",IF(M204="OK",1,0),0)+IF(M48="China",IF(M224="OK",1,0),0)+IF(M48="Europa",IF(M244="OK",1,0),0)))</f>
        <v>0</v>
      </c>
      <c r="N175" s="78" t="n">
        <f aca="false">(N153*(IF(N46="EE.UU.",IF(N204="OK",1,0),0)+IF(N46="China",IF(N224="OK",1,0),0)+IF(N46="Europa",IF(N244="OK",1,0),0)))+(N159*(IF(N47="EE.UU.",IF(N204="OK",1,0),0)+IF(N47="China",IF(N224="OK",1,0),0)+IF(N47="Europa",IF(N244="OK",1,0),0)))+(N165*(IF(N48="EE.UU.",IF(N204="OK",1,0),0)+IF(N48="China",IF(N224="OK",1,0),0)+IF(N48="Europa",IF(N244="OK",1,0),0)))</f>
        <v>0</v>
      </c>
      <c r="O175" s="78" t="n">
        <f aca="false">(O153*(IF(O46="EE.UU.",IF(O204="OK",1,0),0)+IF(O46="China",IF(O224="OK",1,0),0)+IF(O46="Europa",IF(O244="OK",1,0),0)))+(O159*(IF(O47="EE.UU.",IF(O204="OK",1,0),0)+IF(O47="China",IF(O224="OK",1,0),0)+IF(O47="Europa",IF(O244="OK",1,0),0)))+(O165*(IF(O48="EE.UU.",IF(O204="OK",1,0),0)+IF(O48="China",IF(O224="OK",1,0),0)+IF(O48="Europa",IF(O244="OK",1,0),0)))</f>
        <v>0</v>
      </c>
      <c r="P175" s="78" t="n">
        <f aca="false">(P153*(IF(P46="EE.UU.",IF(P204="OK",1,0),0)+IF(P46="China",IF(P224="OK",1,0),0)+IF(P46="Europa",IF(P244="OK",1,0),0)))+(P159*(IF(P47="EE.UU.",IF(P204="OK",1,0),0)+IF(P47="China",IF(P224="OK",1,0),0)+IF(P47="Europa",IF(P244="OK",1,0),0)))+(P165*(IF(P48="EE.UU.",IF(P204="OK",1,0),0)+IF(P48="China",IF(P224="OK",1,0),0)+IF(P48="Europa",IF(P244="OK",1,0),0)))</f>
        <v>0</v>
      </c>
      <c r="Q175" s="78" t="n">
        <f aca="false">(Q153*(IF(Q46="EE.UU.",IF(Q204="OK",1,0),0)+IF(Q46="China",IF(Q224="OK",1,0),0)+IF(Q46="Europa",IF(Q244="OK",1,0),0)))+(Q159*(IF(Q47="EE.UU.",IF(Q204="OK",1,0),0)+IF(Q47="China",IF(Q224="OK",1,0),0)+IF(Q47="Europa",IF(Q244="OK",1,0),0)))+(Q165*(IF(Q48="EE.UU.",IF(Q204="OK",1,0),0)+IF(Q48="China",IF(Q224="OK",1,0),0)+IF(Q48="Europa",IF(Q244="OK",1,0),0)))</f>
        <v>0</v>
      </c>
      <c r="R175" s="78" t="n">
        <f aca="false">(R153*(IF(R46="EE.UU.",IF(R204="OK",1,0),0)+IF(R46="China",IF(R224="OK",1,0),0)+IF(R46="Europa",IF(R244="OK",1,0),0)))+(R159*(IF(R47="EE.UU.",IF(R204="OK",1,0),0)+IF(R47="China",IF(R224="OK",1,0),0)+IF(R47="Europa",IF(R244="OK",1,0),0)))+(R165*(IF(R48="EE.UU.",IF(R204="OK",1,0),0)+IF(R48="China",IF(R224="OK",1,0),0)+IF(R48="Europa",IF(R244="OK",1,0),0)))</f>
        <v>0</v>
      </c>
      <c r="S175" s="78" t="n">
        <f aca="false">(S153*(IF(S46="EE.UU.",IF(S204="OK",1,0),0)+IF(S46="China",IF(S224="OK",1,0),0)+IF(S46="Europa",IF(S244="OK",1,0),0)))+(S159*(IF(S47="EE.UU.",IF(S204="OK",1,0),0)+IF(S47="China",IF(S224="OK",1,0),0)+IF(S47="Europa",IF(S244="OK",1,0),0)))+(S165*(IF(S48="EE.UU.",IF(S204="OK",1,0),0)+IF(S48="China",IF(S224="OK",1,0),0)+IF(S48="Europa",IF(S244="OK",1,0),0)))</f>
        <v>0</v>
      </c>
    </row>
    <row r="176" customFormat="false" ht="68.65" hidden="false" customHeight="false" outlineLevel="0" collapsed="false">
      <c r="A176" s="73" t="s">
        <v>983</v>
      </c>
      <c r="B176" s="74" t="s">
        <v>1001</v>
      </c>
      <c r="C176" s="66" t="s">
        <v>132</v>
      </c>
      <c r="D176" s="43" t="s">
        <v>332</v>
      </c>
      <c r="E176" s="75" t="s">
        <v>1002</v>
      </c>
      <c r="F176" s="76" t="s">
        <v>1003</v>
      </c>
      <c r="G176" s="89" t="n">
        <f aca="false">(G153+G159+G165)-G175</f>
        <v>0</v>
      </c>
      <c r="H176" s="89" t="n">
        <f aca="false">(H153+H159+H165)-H175</f>
        <v>0</v>
      </c>
      <c r="I176" s="89" t="n">
        <f aca="false">(I153+I159+I165)-I175</f>
        <v>0</v>
      </c>
      <c r="J176" s="89" t="n">
        <f aca="false">(J153+J159+J165)-J175</f>
        <v>0</v>
      </c>
      <c r="K176" s="89" t="n">
        <f aca="false">(K153+K159+K165)-K175</f>
        <v>0</v>
      </c>
      <c r="L176" s="89" t="n">
        <f aca="false">(L153+L159+L165)-L175</f>
        <v>0</v>
      </c>
      <c r="M176" s="89" t="n">
        <f aca="false">(M153+M159+M165)-M175</f>
        <v>0</v>
      </c>
      <c r="N176" s="89" t="n">
        <f aca="false">(N153+N159+N165)-N175</f>
        <v>0</v>
      </c>
      <c r="O176" s="89" t="n">
        <f aca="false">(O153+O159+O165)-O175</f>
        <v>0</v>
      </c>
      <c r="P176" s="89" t="n">
        <f aca="false">(P153+P159+P165)-P175</f>
        <v>0</v>
      </c>
      <c r="Q176" s="89" t="n">
        <f aca="false">(Q153+Q159+Q165)-Q175</f>
        <v>0</v>
      </c>
      <c r="R176" s="89" t="n">
        <f aca="false">(R153+R159+R165)-R175</f>
        <v>0</v>
      </c>
      <c r="S176" s="89" t="n">
        <f aca="false">(S153+S159+S165)-S175</f>
        <v>0</v>
      </c>
    </row>
    <row r="177" customFormat="false" ht="108.95" hidden="false" customHeight="false" outlineLevel="0" collapsed="false">
      <c r="A177" s="73" t="s">
        <v>983</v>
      </c>
      <c r="B177" s="74" t="s">
        <v>999</v>
      </c>
      <c r="C177" s="66" t="s">
        <v>133</v>
      </c>
      <c r="D177" s="43" t="s">
        <v>332</v>
      </c>
      <c r="E177" s="75" t="s">
        <v>917</v>
      </c>
      <c r="F177" s="76" t="s">
        <v>1000</v>
      </c>
      <c r="G177" s="78" t="n">
        <f aca="false">(G75*(IF(G49="EE.UU.",IF(G189="OK",1,0),0)+IF(G49="China",IF(G209="OK",1,0),0)+IF(G49="Europa",IF(G229="OK",1,0),0)))+(G81*(IF(G50="EE.UU.",IF(G189="OK",1,0),0)+IF(G50="China",IF(G209="OK",1,0),0)+IF(G50="Europa",IF(G229="OK",1,0),0)))+(G87*(IF(G51="EE.UU.",IF(G189="OK",1,0),0)+IF(G51="China",IF(G209="OK",1,0),0)+IF(G51="Europa",IF(G229="OK",1,0),0)))</f>
        <v>0</v>
      </c>
      <c r="H177" s="78" t="n">
        <f aca="false">(H75*(IF(H49="EE.UU.",IF(H189="OK",1,0),0)+IF(H49="China",IF(H209="OK",1,0),0)+IF(H49="Europa",IF(H229="OK",1,0),0)))+(H81*(IF(H50="EE.UU.",IF(H189="OK",1,0),0)+IF(H50="China",IF(H209="OK",1,0),0)+IF(H50="Europa",IF(H229="OK",1,0),0)))+(H87*(IF(H51="EE.UU.",IF(H189="OK",1,0),0)+IF(H51="China",IF(H209="OK",1,0),0)+IF(H51="Europa",IF(H229="OK",1,0),0)))</f>
        <v>0</v>
      </c>
      <c r="I177" s="78" t="n">
        <f aca="false">(I75*(IF(I49="EE.UU.",IF(I189="OK",1,0),0)+IF(I49="China",IF(I209="OK",1,0),0)+IF(I49="Europa",IF(I229="OK",1,0),0)))+(I81*(IF(I50="EE.UU.",IF(I189="OK",1,0),0)+IF(I50="China",IF(I209="OK",1,0),0)+IF(I50="Europa",IF(I229="OK",1,0),0)))+(I87*(IF(I51="EE.UU.",IF(I189="OK",1,0),0)+IF(I51="China",IF(I209="OK",1,0),0)+IF(I51="Europa",IF(I229="OK",1,0),0)))</f>
        <v>936000</v>
      </c>
      <c r="J177" s="78" t="n">
        <f aca="false">(J75*(IF(J49="EE.UU.",IF(J189="OK",1,0),0)+IF(J49="China",IF(J209="OK",1,0),0)+IF(J49="Europa",IF(J229="OK",1,0),0)))+(J81*(IF(J50="EE.UU.",IF(J189="OK",1,0),0)+IF(J50="China",IF(J209="OK",1,0),0)+IF(J50="Europa",IF(J229="OK",1,0),0)))+(J87*(IF(J51="EE.UU.",IF(J189="OK",1,0),0)+IF(J51="China",IF(J209="OK",1,0),0)+IF(J51="Europa",IF(J229="OK",1,0),0)))</f>
        <v>0</v>
      </c>
      <c r="K177" s="78" t="n">
        <f aca="false">(K75*(IF(K49="EE.UU.",IF(K189="OK",1,0),0)+IF(K49="China",IF(K209="OK",1,0),0)+IF(K49="Europa",IF(K229="OK",1,0),0)))+(K81*(IF(K50="EE.UU.",IF(K189="OK",1,0),0)+IF(K50="China",IF(K209="OK",1,0),0)+IF(K50="Europa",IF(K229="OK",1,0),0)))+(K87*(IF(K51="EE.UU.",IF(K189="OK",1,0),0)+IF(K51="China",IF(K209="OK",1,0),0)+IF(K51="Europa",IF(K229="OK",1,0),0)))</f>
        <v>0</v>
      </c>
      <c r="L177" s="78" t="n">
        <f aca="false">(L75*(IF(L49="EE.UU.",IF(L189="OK",1,0),0)+IF(L49="China",IF(L209="OK",1,0),0)+IF(L49="Europa",IF(L229="OK",1,0),0)))+(L81*(IF(L50="EE.UU.",IF(L189="OK",1,0),0)+IF(L50="China",IF(L209="OK",1,0),0)+IF(L50="Europa",IF(L229="OK",1,0),0)))+(L87*(IF(L51="EE.UU.",IF(L189="OK",1,0),0)+IF(L51="China",IF(L209="OK",1,0),0)+IF(L51="Europa",IF(L229="OK",1,0),0)))</f>
        <v>0</v>
      </c>
      <c r="M177" s="78" t="n">
        <f aca="false">(M75*(IF(M49="EE.UU.",IF(M189="OK",1,0),0)+IF(M49="China",IF(M209="OK",1,0),0)+IF(M49="Europa",IF(M229="OK",1,0),0)))+(M81*(IF(M50="EE.UU.",IF(M189="OK",1,0),0)+IF(M50="China",IF(M209="OK",1,0),0)+IF(M50="Europa",IF(M229="OK",1,0),0)))+(M87*(IF(M51="EE.UU.",IF(M189="OK",1,0),0)+IF(M51="China",IF(M209="OK",1,0),0)+IF(M51="Europa",IF(M229="OK",1,0),0)))</f>
        <v>0</v>
      </c>
      <c r="N177" s="78" t="n">
        <f aca="false">(N75*(IF(N49="EE.UU.",IF(N189="OK",1,0),0)+IF(N49="China",IF(N209="OK",1,0),0)+IF(N49="Europa",IF(N229="OK",1,0),0)))+(N81*(IF(N50="EE.UU.",IF(N189="OK",1,0),0)+IF(N50="China",IF(N209="OK",1,0),0)+IF(N50="Europa",IF(N229="OK",1,0),0)))+(N87*(IF(N51="EE.UU.",IF(N189="OK",1,0),0)+IF(N51="China",IF(N209="OK",1,0),0)+IF(N51="Europa",IF(N229="OK",1,0),0)))</f>
        <v>0</v>
      </c>
      <c r="O177" s="78" t="n">
        <f aca="false">(O75*(IF(O49="EE.UU.",IF(O189="OK",1,0),0)+IF(O49="China",IF(O209="OK",1,0),0)+IF(O49="Europa",IF(O229="OK",1,0),0)))+(O81*(IF(O50="EE.UU.",IF(O189="OK",1,0),0)+IF(O50="China",IF(O209="OK",1,0),0)+IF(O50="Europa",IF(O229="OK",1,0),0)))+(O87*(IF(O51="EE.UU.",IF(O189="OK",1,0),0)+IF(O51="China",IF(O209="OK",1,0),0)+IF(O51="Europa",IF(O229="OK",1,0),0)))</f>
        <v>0</v>
      </c>
      <c r="P177" s="78" t="n">
        <f aca="false">(P75*(IF(P49="EE.UU.",IF(P189="OK",1,0),0)+IF(P49="China",IF(P209="OK",1,0),0)+IF(P49="Europa",IF(P229="OK",1,0),0)))+(P81*(IF(P50="EE.UU.",IF(P189="OK",1,0),0)+IF(P50="China",IF(P209="OK",1,0),0)+IF(P50="Europa",IF(P229="OK",1,0),0)))+(P87*(IF(P51="EE.UU.",IF(P189="OK",1,0),0)+IF(P51="China",IF(P209="OK",1,0),0)+IF(P51="Europa",IF(P229="OK",1,0),0)))</f>
        <v>0</v>
      </c>
      <c r="Q177" s="78" t="n">
        <f aca="false">(Q75*(IF(Q49="EE.UU.",IF(Q189="OK",1,0),0)+IF(Q49="China",IF(Q209="OK",1,0),0)+IF(Q49="Europa",IF(Q229="OK",1,0),0)))+(Q81*(IF(Q50="EE.UU.",IF(Q189="OK",1,0),0)+IF(Q50="China",IF(Q209="OK",1,0),0)+IF(Q50="Europa",IF(Q229="OK",1,0),0)))+(Q87*(IF(Q51="EE.UU.",IF(Q189="OK",1,0),0)+IF(Q51="China",IF(Q209="OK",1,0),0)+IF(Q51="Europa",IF(Q229="OK",1,0),0)))</f>
        <v>0</v>
      </c>
      <c r="R177" s="78" t="n">
        <f aca="false">(R75*(IF(R49="EE.UU.",IF(R189="OK",1,0),0)+IF(R49="China",IF(R209="OK",1,0),0)+IF(R49="Europa",IF(R229="OK",1,0),0)))+(R81*(IF(R50="EE.UU.",IF(R189="OK",1,0),0)+IF(R50="China",IF(R209="OK",1,0),0)+IF(R50="Europa",IF(R229="OK",1,0),0)))+(R87*(IF(R51="EE.UU.",IF(R189="OK",1,0),0)+IF(R51="China",IF(R209="OK",1,0),0)+IF(R51="Europa",IF(R229="OK",1,0),0)))</f>
        <v>0</v>
      </c>
      <c r="S177" s="78" t="n">
        <f aca="false">(S75*(IF(S49="EE.UU.",IF(S189="OK",1,0),0)+IF(S49="China",IF(S209="OK",1,0),0)+IF(S49="Europa",IF(S229="OK",1,0),0)))+(S81*(IF(S50="EE.UU.",IF(S189="OK",1,0),0)+IF(S50="China",IF(S209="OK",1,0),0)+IF(S50="Europa",IF(S229="OK",1,0),0)))+(S87*(IF(S51="EE.UU.",IF(S189="OK",1,0),0)+IF(S51="China",IF(S209="OK",1,0),0)+IF(S51="Europa",IF(S229="OK",1,0),0)))</f>
        <v>0</v>
      </c>
    </row>
    <row r="178" customFormat="false" ht="68.65" hidden="false" customHeight="false" outlineLevel="0" collapsed="false">
      <c r="A178" s="73" t="s">
        <v>983</v>
      </c>
      <c r="B178" s="74" t="s">
        <v>1001</v>
      </c>
      <c r="C178" s="66" t="s">
        <v>133</v>
      </c>
      <c r="D178" s="43" t="s">
        <v>332</v>
      </c>
      <c r="E178" s="75" t="s">
        <v>1002</v>
      </c>
      <c r="F178" s="76" t="s">
        <v>1003</v>
      </c>
      <c r="G178" s="89" t="n">
        <f aca="false">(G75+G81+G87)-G177</f>
        <v>0</v>
      </c>
      <c r="H178" s="89" t="n">
        <f aca="false">(H75+H81+H87)-H177</f>
        <v>0</v>
      </c>
      <c r="I178" s="89" t="n">
        <f aca="false">(I75+I81+I87)-I177</f>
        <v>0</v>
      </c>
      <c r="J178" s="89" t="n">
        <f aca="false">(J75+J81+J87)-J177</f>
        <v>0</v>
      </c>
      <c r="K178" s="89" t="n">
        <f aca="false">(K75+K81+K87)-K177</f>
        <v>0</v>
      </c>
      <c r="L178" s="89" t="n">
        <f aca="false">(L75+L81+L87)-L177</f>
        <v>0</v>
      </c>
      <c r="M178" s="89" t="n">
        <f aca="false">(M75+M81+M87)-M177</f>
        <v>0</v>
      </c>
      <c r="N178" s="89" t="n">
        <f aca="false">(N75+N81+N87)-N177</f>
        <v>0</v>
      </c>
      <c r="O178" s="89" t="n">
        <f aca="false">(O75+O81+O87)-O177</f>
        <v>0</v>
      </c>
      <c r="P178" s="89" t="n">
        <f aca="false">(P75+P81+P87)-P177</f>
        <v>0</v>
      </c>
      <c r="Q178" s="89" t="n">
        <f aca="false">(Q75+Q81+Q87)-Q177</f>
        <v>0</v>
      </c>
      <c r="R178" s="89" t="n">
        <f aca="false">(R75+R81+R87)-R177</f>
        <v>0</v>
      </c>
      <c r="S178" s="89" t="n">
        <f aca="false">(S75+S81+S87)-S177</f>
        <v>0</v>
      </c>
    </row>
    <row r="179" customFormat="false" ht="108.95" hidden="false" customHeight="false" outlineLevel="0" collapsed="false">
      <c r="A179" s="73" t="s">
        <v>983</v>
      </c>
      <c r="B179" s="74" t="s">
        <v>999</v>
      </c>
      <c r="C179" s="66" t="s">
        <v>134</v>
      </c>
      <c r="D179" s="43" t="s">
        <v>332</v>
      </c>
      <c r="E179" s="75" t="s">
        <v>917</v>
      </c>
      <c r="F179" s="76" t="s">
        <v>1000</v>
      </c>
      <c r="G179" s="78" t="n">
        <f aca="false">(G102*(IF(G52="EE.UU.",IF(G194="OK",1,0),0)+IF(G52="China",IF(G214="OK",1,0),0)+IF(G52="Europa",IF(G234="OK",1,0),0)))+(G108*(IF(G53="EE.UU.",IF(G194="OK",1,0),0)+IF(G53="China",IF(G214="OK",1,0),0)+IF(G53="Europa",IF(G234="OK",1,0),0)))+(G114*(IF(G54="EE.UU.",IF(G194="OK",1,0),0)+IF(G54="China",IF(G214="OK",1,0),0)+IF(G54="Europa",IF(G234="OK",1,0),0)))</f>
        <v>0</v>
      </c>
      <c r="H179" s="78" t="n">
        <f aca="false">(H102*(IF(H52="EE.UU.",IF(H194="OK",1,0),0)+IF(H52="China",IF(H214="OK",1,0),0)+IF(H52="Europa",IF(H234="OK",1,0),0)))+(H108*(IF(H53="EE.UU.",IF(H194="OK",1,0),0)+IF(H53="China",IF(H214="OK",1,0),0)+IF(H53="Europa",IF(H234="OK",1,0),0)))+(H114*(IF(H54="EE.UU.",IF(H194="OK",1,0),0)+IF(H54="China",IF(H214="OK",1,0),0)+IF(H54="Europa",IF(H234="OK",1,0),0)))</f>
        <v>0</v>
      </c>
      <c r="I179" s="78" t="n">
        <f aca="false">(I102*(IF(I52="EE.UU.",IF(I194="OK",1,0),0)+IF(I52="China",IF(I214="OK",1,0),0)+IF(I52="Europa",IF(I234="OK",1,0),0)))+(I108*(IF(I53="EE.UU.",IF(I194="OK",1,0),0)+IF(I53="China",IF(I214="OK",1,0),0)+IF(I53="Europa",IF(I234="OK",1,0),0)))+(I114*(IF(I54="EE.UU.",IF(I194="OK",1,0),0)+IF(I54="China",IF(I214="OK",1,0),0)+IF(I54="Europa",IF(I234="OK",1,0),0)))</f>
        <v>498406.165630653</v>
      </c>
      <c r="J179" s="78" t="n">
        <f aca="false">(J102*(IF(J52="EE.UU.",IF(J194="OK",1,0),0)+IF(J52="China",IF(J214="OK",1,0),0)+IF(J52="Europa",IF(J234="OK",1,0),0)))+(J108*(IF(J53="EE.UU.",IF(J194="OK",1,0),0)+IF(J53="China",IF(J214="OK",1,0),0)+IF(J53="Europa",IF(J234="OK",1,0),0)))+(J114*(IF(J54="EE.UU.",IF(J194="OK",1,0),0)+IF(J54="China",IF(J214="OK",1,0),0)+IF(J54="Europa",IF(J234="OK",1,0),0)))</f>
        <v>0</v>
      </c>
      <c r="K179" s="78" t="n">
        <f aca="false">(K102*(IF(K52="EE.UU.",IF(K194="OK",1,0),0)+IF(K52="China",IF(K214="OK",1,0),0)+IF(K52="Europa",IF(K234="OK",1,0),0)))+(K108*(IF(K53="EE.UU.",IF(K194="OK",1,0),0)+IF(K53="China",IF(K214="OK",1,0),0)+IF(K53="Europa",IF(K234="OK",1,0),0)))+(K114*(IF(K54="EE.UU.",IF(K194="OK",1,0),0)+IF(K54="China",IF(K214="OK",1,0),0)+IF(K54="Europa",IF(K234="OK",1,0),0)))</f>
        <v>0</v>
      </c>
      <c r="L179" s="78" t="n">
        <f aca="false">(L102*(IF(L52="EE.UU.",IF(L194="OK",1,0),0)+IF(L52="China",IF(L214="OK",1,0),0)+IF(L52="Europa",IF(L234="OK",1,0),0)))+(L108*(IF(L53="EE.UU.",IF(L194="OK",1,0),0)+IF(L53="China",IF(L214="OK",1,0),0)+IF(L53="Europa",IF(L234="OK",1,0),0)))+(L114*(IF(L54="EE.UU.",IF(L194="OK",1,0),0)+IF(L54="China",IF(L214="OK",1,0),0)+IF(L54="Europa",IF(L234="OK",1,0),0)))</f>
        <v>0</v>
      </c>
      <c r="M179" s="78" t="n">
        <f aca="false">(M102*(IF(M52="EE.UU.",IF(M194="OK",1,0),0)+IF(M52="China",IF(M214="OK",1,0),0)+IF(M52="Europa",IF(M234="OK",1,0),0)))+(M108*(IF(M53="EE.UU.",IF(M194="OK",1,0),0)+IF(M53="China",IF(M214="OK",1,0),0)+IF(M53="Europa",IF(M234="OK",1,0),0)))+(M114*(IF(M54="EE.UU.",IF(M194="OK",1,0),0)+IF(M54="China",IF(M214="OK",1,0),0)+IF(M54="Europa",IF(M234="OK",1,0),0)))</f>
        <v>0</v>
      </c>
      <c r="N179" s="78" t="n">
        <f aca="false">(N102*(IF(N52="EE.UU.",IF(N194="OK",1,0),0)+IF(N52="China",IF(N214="OK",1,0),0)+IF(N52="Europa",IF(N234="OK",1,0),0)))+(N108*(IF(N53="EE.UU.",IF(N194="OK",1,0),0)+IF(N53="China",IF(N214="OK",1,0),0)+IF(N53="Europa",IF(N234="OK",1,0),0)))+(N114*(IF(N54="EE.UU.",IF(N194="OK",1,0),0)+IF(N54="China",IF(N214="OK",1,0),0)+IF(N54="Europa",IF(N234="OK",1,0),0)))</f>
        <v>0</v>
      </c>
      <c r="O179" s="78" t="n">
        <f aca="false">(O102*(IF(O52="EE.UU.",IF(O194="OK",1,0),0)+IF(O52="China",IF(O214="OK",1,0),0)+IF(O52="Europa",IF(O234="OK",1,0),0)))+(O108*(IF(O53="EE.UU.",IF(O194="OK",1,0),0)+IF(O53="China",IF(O214="OK",1,0),0)+IF(O53="Europa",IF(O234="OK",1,0),0)))+(O114*(IF(O54="EE.UU.",IF(O194="OK",1,0),0)+IF(O54="China",IF(O214="OK",1,0),0)+IF(O54="Europa",IF(O234="OK",1,0),0)))</f>
        <v>0</v>
      </c>
      <c r="P179" s="78" t="n">
        <f aca="false">(P102*(IF(P52="EE.UU.",IF(P194="OK",1,0),0)+IF(P52="China",IF(P214="OK",1,0),0)+IF(P52="Europa",IF(P234="OK",1,0),0)))+(P108*(IF(P53="EE.UU.",IF(P194="OK",1,0),0)+IF(P53="China",IF(P214="OK",1,0),0)+IF(P53="Europa",IF(P234="OK",1,0),0)))+(P114*(IF(P54="EE.UU.",IF(P194="OK",1,0),0)+IF(P54="China",IF(P214="OK",1,0),0)+IF(P54="Europa",IF(P234="OK",1,0),0)))</f>
        <v>0</v>
      </c>
      <c r="Q179" s="78" t="n">
        <f aca="false">(Q102*(IF(Q52="EE.UU.",IF(Q194="OK",1,0),0)+IF(Q52="China",IF(Q214="OK",1,0),0)+IF(Q52="Europa",IF(Q234="OK",1,0),0)))+(Q108*(IF(Q53="EE.UU.",IF(Q194="OK",1,0),0)+IF(Q53="China",IF(Q214="OK",1,0),0)+IF(Q53="Europa",IF(Q234="OK",1,0),0)))+(Q114*(IF(Q54="EE.UU.",IF(Q194="OK",1,0),0)+IF(Q54="China",IF(Q214="OK",1,0),0)+IF(Q54="Europa",IF(Q234="OK",1,0),0)))</f>
        <v>0</v>
      </c>
      <c r="R179" s="78" t="n">
        <f aca="false">(R102*(IF(R52="EE.UU.",IF(R194="OK",1,0),0)+IF(R52="China",IF(R214="OK",1,0),0)+IF(R52="Europa",IF(R234="OK",1,0),0)))+(R108*(IF(R53="EE.UU.",IF(R194="OK",1,0),0)+IF(R53="China",IF(R214="OK",1,0),0)+IF(R53="Europa",IF(R234="OK",1,0),0)))+(R114*(IF(R54="EE.UU.",IF(R194="OK",1,0),0)+IF(R54="China",IF(R214="OK",1,0),0)+IF(R54="Europa",IF(R234="OK",1,0),0)))</f>
        <v>0</v>
      </c>
      <c r="S179" s="78" t="n">
        <f aca="false">(S102*(IF(S52="EE.UU.",IF(S194="OK",1,0),0)+IF(S52="China",IF(S214="OK",1,0),0)+IF(S52="Europa",IF(S234="OK",1,0),0)))+(S108*(IF(S53="EE.UU.",IF(S194="OK",1,0),0)+IF(S53="China",IF(S214="OK",1,0),0)+IF(S53="Europa",IF(S234="OK",1,0),0)))+(S114*(IF(S54="EE.UU.",IF(S194="OK",1,0),0)+IF(S54="China",IF(S214="OK",1,0),0)+IF(S54="Europa",IF(S234="OK",1,0),0)))</f>
        <v>0</v>
      </c>
    </row>
    <row r="180" customFormat="false" ht="68.65" hidden="false" customHeight="false" outlineLevel="0" collapsed="false">
      <c r="A180" s="73" t="s">
        <v>983</v>
      </c>
      <c r="B180" s="74" t="s">
        <v>1001</v>
      </c>
      <c r="C180" s="66" t="s">
        <v>134</v>
      </c>
      <c r="D180" s="43" t="s">
        <v>332</v>
      </c>
      <c r="E180" s="75" t="s">
        <v>1002</v>
      </c>
      <c r="F180" s="76" t="s">
        <v>1003</v>
      </c>
      <c r="G180" s="89" t="n">
        <f aca="false">(G102+G108+G114)-G179</f>
        <v>0</v>
      </c>
      <c r="H180" s="89" t="n">
        <f aca="false">(H102+H108+H114)-H179</f>
        <v>0</v>
      </c>
      <c r="I180" s="89" t="n">
        <f aca="false">(I102+I108+I114)-I179</f>
        <v>0</v>
      </c>
      <c r="J180" s="89" t="n">
        <f aca="false">(J102+J108+J114)-J179</f>
        <v>0</v>
      </c>
      <c r="K180" s="89" t="n">
        <f aca="false">(K102+K108+K114)-K179</f>
        <v>0</v>
      </c>
      <c r="L180" s="89" t="n">
        <f aca="false">(L102+L108+L114)-L179</f>
        <v>0</v>
      </c>
      <c r="M180" s="89" t="n">
        <f aca="false">(M102+M108+M114)-M179</f>
        <v>0</v>
      </c>
      <c r="N180" s="89" t="n">
        <f aca="false">(N102+N108+N114)-N179</f>
        <v>0</v>
      </c>
      <c r="O180" s="89" t="n">
        <f aca="false">(O102+O108+O114)-O179</f>
        <v>0</v>
      </c>
      <c r="P180" s="89" t="n">
        <f aca="false">(P102+P108+P114)-P179</f>
        <v>0</v>
      </c>
      <c r="Q180" s="89" t="n">
        <f aca="false">(Q102+Q108+Q114)-Q179</f>
        <v>0</v>
      </c>
      <c r="R180" s="89" t="n">
        <f aca="false">(R102+R108+R114)-R179</f>
        <v>0</v>
      </c>
      <c r="S180" s="89" t="n">
        <f aca="false">(S102+S108+S114)-S179</f>
        <v>0</v>
      </c>
    </row>
    <row r="181" customFormat="false" ht="108.95" hidden="false" customHeight="false" outlineLevel="0" collapsed="false">
      <c r="A181" s="73" t="s">
        <v>983</v>
      </c>
      <c r="B181" s="74" t="s">
        <v>999</v>
      </c>
      <c r="C181" s="66" t="s">
        <v>135</v>
      </c>
      <c r="D181" s="43" t="s">
        <v>332</v>
      </c>
      <c r="E181" s="75" t="s">
        <v>917</v>
      </c>
      <c r="F181" s="76" t="s">
        <v>1000</v>
      </c>
      <c r="G181" s="78" t="n">
        <f aca="false">(G129*(IF(G55="EE.UU.",IF(G199="OK",1,0),0)+IF(G55="China",IF(G219="OK",1,0),0)+IF(G55="Europa",IF(G239="OK",1,0),0)))+(G135*(IF(G56="EE.UU.",IF(G199="OK",1,0),0)+IF(G56="China",IF(G219="OK",1,0),0)+IF(G56="Europa",IF(G239="OK",1,0),0)))+(G141*(IF(G57="EE.UU.",IF(G199="OK",1,0),0)+IF(G57="China",IF(G219="OK",1,0),0)+IF(G57="Europa",IF(G239="OK",1,0),0)))</f>
        <v>0</v>
      </c>
      <c r="H181" s="78" t="n">
        <f aca="false">(H129*(IF(H55="EE.UU.",IF(H199="OK",1,0),0)+IF(H55="China",IF(H219="OK",1,0),0)+IF(H55="Europa",IF(H239="OK",1,0),0)))+(H135*(IF(H56="EE.UU.",IF(H199="OK",1,0),0)+IF(H56="China",IF(H219="OK",1,0),0)+IF(H56="Europa",IF(H239="OK",1,0),0)))+(H141*(IF(H57="EE.UU.",IF(H199="OK",1,0),0)+IF(H57="China",IF(H219="OK",1,0),0)+IF(H57="Europa",IF(H239="OK",1,0),0)))</f>
        <v>0</v>
      </c>
      <c r="I181" s="78" t="n">
        <f aca="false">(I129*(IF(I55="EE.UU.",IF(I199="OK",1,0),0)+IF(I55="China",IF(I219="OK",1,0),0)+IF(I55="Europa",IF(I239="OK",1,0),0)))+(I135*(IF(I56="EE.UU.",IF(I199="OK",1,0),0)+IF(I56="China",IF(I219="OK",1,0),0)+IF(I56="Europa",IF(I239="OK",1,0),0)))+(I141*(IF(I57="EE.UU.",IF(I199="OK",1,0),0)+IF(I57="China",IF(I219="OK",1,0),0)+IF(I57="Europa",IF(I239="OK",1,0),0)))</f>
        <v>0</v>
      </c>
      <c r="J181" s="78" t="n">
        <f aca="false">(J129*(IF(J55="EE.UU.",IF(J199="OK",1,0),0)+IF(J55="China",IF(J219="OK",1,0),0)+IF(J55="Europa",IF(J239="OK",1,0),0)))+(J135*(IF(J56="EE.UU.",IF(J199="OK",1,0),0)+IF(J56="China",IF(J219="OK",1,0),0)+IF(J56="Europa",IF(J239="OK",1,0),0)))+(J141*(IF(J57="EE.UU.",IF(J199="OK",1,0),0)+IF(J57="China",IF(J219="OK",1,0),0)+IF(J57="Europa",IF(J239="OK",1,0),0)))</f>
        <v>0</v>
      </c>
      <c r="K181" s="78" t="n">
        <f aca="false">(K129*(IF(K55="EE.UU.",IF(K199="OK",1,0),0)+IF(K55="China",IF(K219="OK",1,0),0)+IF(K55="Europa",IF(K239="OK",1,0),0)))+(K135*(IF(K56="EE.UU.",IF(K199="OK",1,0),0)+IF(K56="China",IF(K219="OK",1,0),0)+IF(K56="Europa",IF(K239="OK",1,0),0)))+(K141*(IF(K57="EE.UU.",IF(K199="OK",1,0),0)+IF(K57="China",IF(K219="OK",1,0),0)+IF(K57="Europa",IF(K239="OK",1,0),0)))</f>
        <v>0</v>
      </c>
      <c r="L181" s="78" t="n">
        <f aca="false">(L129*(IF(L55="EE.UU.",IF(L199="OK",1,0),0)+IF(L55="China",IF(L219="OK",1,0),0)+IF(L55="Europa",IF(L239="OK",1,0),0)))+(L135*(IF(L56="EE.UU.",IF(L199="OK",1,0),0)+IF(L56="China",IF(L219="OK",1,0),0)+IF(L56="Europa",IF(L239="OK",1,0),0)))+(L141*(IF(L57="EE.UU.",IF(L199="OK",1,0),0)+IF(L57="China",IF(L219="OK",1,0),0)+IF(L57="Europa",IF(L239="OK",1,0),0)))</f>
        <v>0</v>
      </c>
      <c r="M181" s="78" t="n">
        <f aca="false">(M129*(IF(M55="EE.UU.",IF(M199="OK",1,0),0)+IF(M55="China",IF(M219="OK",1,0),0)+IF(M55="Europa",IF(M239="OK",1,0),0)))+(M135*(IF(M56="EE.UU.",IF(M199="OK",1,0),0)+IF(M56="China",IF(M219="OK",1,0),0)+IF(M56="Europa",IF(M239="OK",1,0),0)))+(M141*(IF(M57="EE.UU.",IF(M199="OK",1,0),0)+IF(M57="China",IF(M219="OK",1,0),0)+IF(M57="Europa",IF(M239="OK",1,0),0)))</f>
        <v>0</v>
      </c>
      <c r="N181" s="78" t="n">
        <f aca="false">(N129*(IF(N55="EE.UU.",IF(N199="OK",1,0),0)+IF(N55="China",IF(N219="OK",1,0),0)+IF(N55="Europa",IF(N239="OK",1,0),0)))+(N135*(IF(N56="EE.UU.",IF(N199="OK",1,0),0)+IF(N56="China",IF(N219="OK",1,0),0)+IF(N56="Europa",IF(N239="OK",1,0),0)))+(N141*(IF(N57="EE.UU.",IF(N199="OK",1,0),0)+IF(N57="China",IF(N219="OK",1,0),0)+IF(N57="Europa",IF(N239="OK",1,0),0)))</f>
        <v>0</v>
      </c>
      <c r="O181" s="78" t="n">
        <f aca="false">(O129*(IF(O55="EE.UU.",IF(O199="OK",1,0),0)+IF(O55="China",IF(O219="OK",1,0),0)+IF(O55="Europa",IF(O239="OK",1,0),0)))+(O135*(IF(O56="EE.UU.",IF(O199="OK",1,0),0)+IF(O56="China",IF(O219="OK",1,0),0)+IF(O56="Europa",IF(O239="OK",1,0),0)))+(O141*(IF(O57="EE.UU.",IF(O199="OK",1,0),0)+IF(O57="China",IF(O219="OK",1,0),0)+IF(O57="Europa",IF(O239="OK",1,0),0)))</f>
        <v>0</v>
      </c>
      <c r="P181" s="78" t="n">
        <f aca="false">(P129*(IF(P55="EE.UU.",IF(P199="OK",1,0),0)+IF(P55="China",IF(P219="OK",1,0),0)+IF(P55="Europa",IF(P239="OK",1,0),0)))+(P135*(IF(P56="EE.UU.",IF(P199="OK",1,0),0)+IF(P56="China",IF(P219="OK",1,0),0)+IF(P56="Europa",IF(P239="OK",1,0),0)))+(P141*(IF(P57="EE.UU.",IF(P199="OK",1,0),0)+IF(P57="China",IF(P219="OK",1,0),0)+IF(P57="Europa",IF(P239="OK",1,0),0)))</f>
        <v>0</v>
      </c>
      <c r="Q181" s="78" t="n">
        <f aca="false">(Q129*(IF(Q55="EE.UU.",IF(Q199="OK",1,0),0)+IF(Q55="China",IF(Q219="OK",1,0),0)+IF(Q55="Europa",IF(Q239="OK",1,0),0)))+(Q135*(IF(Q56="EE.UU.",IF(Q199="OK",1,0),0)+IF(Q56="China",IF(Q219="OK",1,0),0)+IF(Q56="Europa",IF(Q239="OK",1,0),0)))+(Q141*(IF(Q57="EE.UU.",IF(Q199="OK",1,0),0)+IF(Q57="China",IF(Q219="OK",1,0),0)+IF(Q57="Europa",IF(Q239="OK",1,0),0)))</f>
        <v>0</v>
      </c>
      <c r="R181" s="78" t="n">
        <f aca="false">(R129*(IF(R55="EE.UU.",IF(R199="OK",1,0),0)+IF(R55="China",IF(R219="OK",1,0),0)+IF(R55="Europa",IF(R239="OK",1,0),0)))+(R135*(IF(R56="EE.UU.",IF(R199="OK",1,0),0)+IF(R56="China",IF(R219="OK",1,0),0)+IF(R56="Europa",IF(R239="OK",1,0),0)))+(R141*(IF(R57="EE.UU.",IF(R199="OK",1,0),0)+IF(R57="China",IF(R219="OK",1,0),0)+IF(R57="Europa",IF(R239="OK",1,0),0)))</f>
        <v>0</v>
      </c>
      <c r="S181" s="78" t="n">
        <f aca="false">(S129*(IF(S55="EE.UU.",IF(S199="OK",1,0),0)+IF(S55="China",IF(S219="OK",1,0),0)+IF(S55="Europa",IF(S239="OK",1,0),0)))+(S135*(IF(S56="EE.UU.",IF(S199="OK",1,0),0)+IF(S56="China",IF(S219="OK",1,0),0)+IF(S56="Europa",IF(S239="OK",1,0),0)))+(S141*(IF(S57="EE.UU.",IF(S199="OK",1,0),0)+IF(S57="China",IF(S219="OK",1,0),0)+IF(S57="Europa",IF(S239="OK",1,0),0)))</f>
        <v>0</v>
      </c>
    </row>
    <row r="182" customFormat="false" ht="68.65" hidden="false" customHeight="false" outlineLevel="0" collapsed="false">
      <c r="A182" s="73" t="s">
        <v>983</v>
      </c>
      <c r="B182" s="74" t="s">
        <v>1001</v>
      </c>
      <c r="C182" s="66" t="s">
        <v>135</v>
      </c>
      <c r="D182" s="43" t="s">
        <v>332</v>
      </c>
      <c r="E182" s="75" t="s">
        <v>1002</v>
      </c>
      <c r="F182" s="76" t="s">
        <v>1003</v>
      </c>
      <c r="G182" s="89" t="n">
        <f aca="false">(G129+G135+G141)-G181</f>
        <v>0</v>
      </c>
      <c r="H182" s="89" t="n">
        <f aca="false">(H129+H135+H141)-H181</f>
        <v>0</v>
      </c>
      <c r="I182" s="89" t="n">
        <f aca="false">(I129+I135+I141)-I181</f>
        <v>0</v>
      </c>
      <c r="J182" s="89" t="n">
        <f aca="false">(J129+J135+J141)-J181</f>
        <v>0</v>
      </c>
      <c r="K182" s="89" t="n">
        <f aca="false">(K129+K135+K141)-K181</f>
        <v>0</v>
      </c>
      <c r="L182" s="89" t="n">
        <f aca="false">(L129+L135+L141)-L181</f>
        <v>0</v>
      </c>
      <c r="M182" s="89" t="n">
        <f aca="false">(M129+M135+M141)-M181</f>
        <v>0</v>
      </c>
      <c r="N182" s="89" t="n">
        <f aca="false">(N129+N135+N141)-N181</f>
        <v>0</v>
      </c>
      <c r="O182" s="89" t="n">
        <f aca="false">(O129+O135+O141)-O181</f>
        <v>0</v>
      </c>
      <c r="P182" s="89" t="n">
        <f aca="false">(P129+P135+P141)-P181</f>
        <v>0</v>
      </c>
      <c r="Q182" s="89" t="n">
        <f aca="false">(Q129+Q135+Q141)-Q181</f>
        <v>0</v>
      </c>
      <c r="R182" s="89" t="n">
        <f aca="false">(R129+R135+R141)-R181</f>
        <v>0</v>
      </c>
      <c r="S182" s="89" t="n">
        <f aca="false">(S129+S135+S141)-S181</f>
        <v>0</v>
      </c>
    </row>
    <row r="183" customFormat="false" ht="108.95" hidden="false" customHeight="false" outlineLevel="0" collapsed="false">
      <c r="A183" s="73" t="s">
        <v>983</v>
      </c>
      <c r="B183" s="74" t="s">
        <v>999</v>
      </c>
      <c r="C183" s="66" t="s">
        <v>136</v>
      </c>
      <c r="D183" s="43" t="s">
        <v>332</v>
      </c>
      <c r="E183" s="75" t="s">
        <v>917</v>
      </c>
      <c r="F183" s="76" t="s">
        <v>1000</v>
      </c>
      <c r="G183" s="78" t="n">
        <f aca="false">(G156*(IF(G58="EE.UU.",IF(G204="OK",1,0),0)+IF(G58="China",IF(G224="OK",1,0),0)+IF(G58="Europa",IF(G244="OK",1,0),0)))+(G162*(IF(G59="EE.UU.",IF(G204="OK",1,0),0)+IF(G59="China",IF(G224="OK",1,0),0)+IF(G59="Europa",IF(G244="OK",1,0),0)))+(G168*(IF(G60="EE.UU.",IF(G204="OK",1,0),0)+IF(G60="China",IF(G224="OK",1,0),0)+IF(G60="Europa",IF(G244="OK",1,0),0)))</f>
        <v>0</v>
      </c>
      <c r="H183" s="78" t="n">
        <f aca="false">(H156*(IF(H58="EE.UU.",IF(H204="OK",1,0),0)+IF(H58="China",IF(H224="OK",1,0),0)+IF(H58="Europa",IF(H244="OK",1,0),0)))+(H162*(IF(H59="EE.UU.",IF(H204="OK",1,0),0)+IF(H59="China",IF(H224="OK",1,0),0)+IF(H59="Europa",IF(H244="OK",1,0),0)))+(H168*(IF(H60="EE.UU.",IF(H204="OK",1,0),0)+IF(H60="China",IF(H224="OK",1,0),0)+IF(H60="Europa",IF(H244="OK",1,0),0)))</f>
        <v>0</v>
      </c>
      <c r="I183" s="78" t="n">
        <f aca="false">(I156*(IF(I58="EE.UU.",IF(I204="OK",1,0),0)+IF(I58="China",IF(I224="OK",1,0),0)+IF(I58="Europa",IF(I244="OK",1,0),0)))+(I162*(IF(I59="EE.UU.",IF(I204="OK",1,0),0)+IF(I59="China",IF(I224="OK",1,0),0)+IF(I59="Europa",IF(I244="OK",1,0),0)))+(I168*(IF(I60="EE.UU.",IF(I204="OK",1,0),0)+IF(I60="China",IF(I224="OK",1,0),0)+IF(I60="Europa",IF(I244="OK",1,0),0)))</f>
        <v>0</v>
      </c>
      <c r="J183" s="78" t="n">
        <f aca="false">(J156*(IF(J58="EE.UU.",IF(J204="OK",1,0),0)+IF(J58="China",IF(J224="OK",1,0),0)+IF(J58="Europa",IF(J244="OK",1,0),0)))+(J162*(IF(J59="EE.UU.",IF(J204="OK",1,0),0)+IF(J59="China",IF(J224="OK",1,0),0)+IF(J59="Europa",IF(J244="OK",1,0),0)))+(J168*(IF(J60="EE.UU.",IF(J204="OK",1,0),0)+IF(J60="China",IF(J224="OK",1,0),0)+IF(J60="Europa",IF(J244="OK",1,0),0)))</f>
        <v>0</v>
      </c>
      <c r="K183" s="78" t="n">
        <f aca="false">(K156*(IF(K58="EE.UU.",IF(K204="OK",1,0),0)+IF(K58="China",IF(K224="OK",1,0),0)+IF(K58="Europa",IF(K244="OK",1,0),0)))+(K162*(IF(K59="EE.UU.",IF(K204="OK",1,0),0)+IF(K59="China",IF(K224="OK",1,0),0)+IF(K59="Europa",IF(K244="OK",1,0),0)))+(K168*(IF(K60="EE.UU.",IF(K204="OK",1,0),0)+IF(K60="China",IF(K224="OK",1,0),0)+IF(K60="Europa",IF(K244="OK",1,0),0)))</f>
        <v>0</v>
      </c>
      <c r="L183" s="78" t="n">
        <f aca="false">(L156*(IF(L58="EE.UU.",IF(L204="OK",1,0),0)+IF(L58="China",IF(L224="OK",1,0),0)+IF(L58="Europa",IF(L244="OK",1,0),0)))+(L162*(IF(L59="EE.UU.",IF(L204="OK",1,0),0)+IF(L59="China",IF(L224="OK",1,0),0)+IF(L59="Europa",IF(L244="OK",1,0),0)))+(L168*(IF(L60="EE.UU.",IF(L204="OK",1,0),0)+IF(L60="China",IF(L224="OK",1,0),0)+IF(L60="Europa",IF(L244="OK",1,0),0)))</f>
        <v>0</v>
      </c>
      <c r="M183" s="78" t="n">
        <f aca="false">(M156*(IF(M58="EE.UU.",IF(M204="OK",1,0),0)+IF(M58="China",IF(M224="OK",1,0),0)+IF(M58="Europa",IF(M244="OK",1,0),0)))+(M162*(IF(M59="EE.UU.",IF(M204="OK",1,0),0)+IF(M59="China",IF(M224="OK",1,0),0)+IF(M59="Europa",IF(M244="OK",1,0),0)))+(M168*(IF(M60="EE.UU.",IF(M204="OK",1,0),0)+IF(M60="China",IF(M224="OK",1,0),0)+IF(M60="Europa",IF(M244="OK",1,0),0)))</f>
        <v>0</v>
      </c>
      <c r="N183" s="78" t="n">
        <f aca="false">(N156*(IF(N58="EE.UU.",IF(N204="OK",1,0),0)+IF(N58="China",IF(N224="OK",1,0),0)+IF(N58="Europa",IF(N244="OK",1,0),0)))+(N162*(IF(N59="EE.UU.",IF(N204="OK",1,0),0)+IF(N59="China",IF(N224="OK",1,0),0)+IF(N59="Europa",IF(N244="OK",1,0),0)))+(N168*(IF(N60="EE.UU.",IF(N204="OK",1,0),0)+IF(N60="China",IF(N224="OK",1,0),0)+IF(N60="Europa",IF(N244="OK",1,0),0)))</f>
        <v>0</v>
      </c>
      <c r="O183" s="78" t="n">
        <f aca="false">(O156*(IF(O58="EE.UU.",IF(O204="OK",1,0),0)+IF(O58="China",IF(O224="OK",1,0),0)+IF(O58="Europa",IF(O244="OK",1,0),0)))+(O162*(IF(O59="EE.UU.",IF(O204="OK",1,0),0)+IF(O59="China",IF(O224="OK",1,0),0)+IF(O59="Europa",IF(O244="OK",1,0),0)))+(O168*(IF(O60="EE.UU.",IF(O204="OK",1,0),0)+IF(O60="China",IF(O224="OK",1,0),0)+IF(O60="Europa",IF(O244="OK",1,0),0)))</f>
        <v>0</v>
      </c>
      <c r="P183" s="78" t="n">
        <f aca="false">(P156*(IF(P58="EE.UU.",IF(P204="OK",1,0),0)+IF(P58="China",IF(P224="OK",1,0),0)+IF(P58="Europa",IF(P244="OK",1,0),0)))+(P162*(IF(P59="EE.UU.",IF(P204="OK",1,0),0)+IF(P59="China",IF(P224="OK",1,0),0)+IF(P59="Europa",IF(P244="OK",1,0),0)))+(P168*(IF(P60="EE.UU.",IF(P204="OK",1,0),0)+IF(P60="China",IF(P224="OK",1,0),0)+IF(P60="Europa",IF(P244="OK",1,0),0)))</f>
        <v>0</v>
      </c>
      <c r="Q183" s="78" t="n">
        <f aca="false">(Q156*(IF(Q58="EE.UU.",IF(Q204="OK",1,0),0)+IF(Q58="China",IF(Q224="OK",1,0),0)+IF(Q58="Europa",IF(Q244="OK",1,0),0)))+(Q162*(IF(Q59="EE.UU.",IF(Q204="OK",1,0),0)+IF(Q59="China",IF(Q224="OK",1,0),0)+IF(Q59="Europa",IF(Q244="OK",1,0),0)))+(Q168*(IF(Q60="EE.UU.",IF(Q204="OK",1,0),0)+IF(Q60="China",IF(Q224="OK",1,0),0)+IF(Q60="Europa",IF(Q244="OK",1,0),0)))</f>
        <v>0</v>
      </c>
      <c r="R183" s="78" t="n">
        <f aca="false">(R156*(IF(R58="EE.UU.",IF(R204="OK",1,0),0)+IF(R58="China",IF(R224="OK",1,0),0)+IF(R58="Europa",IF(R244="OK",1,0),0)))+(R162*(IF(R59="EE.UU.",IF(R204="OK",1,0),0)+IF(R59="China",IF(R224="OK",1,0),0)+IF(R59="Europa",IF(R244="OK",1,0),0)))+(R168*(IF(R60="EE.UU.",IF(R204="OK",1,0),0)+IF(R60="China",IF(R224="OK",1,0),0)+IF(R60="Europa",IF(R244="OK",1,0),0)))</f>
        <v>0</v>
      </c>
      <c r="S183" s="78" t="n">
        <f aca="false">(S156*(IF(S58="EE.UU.",IF(S204="OK",1,0),0)+IF(S58="China",IF(S224="OK",1,0),0)+IF(S58="Europa",IF(S244="OK",1,0),0)))+(S162*(IF(S59="EE.UU.",IF(S204="OK",1,0),0)+IF(S59="China",IF(S224="OK",1,0),0)+IF(S59="Europa",IF(S244="OK",1,0),0)))+(S168*(IF(S60="EE.UU.",IF(S204="OK",1,0),0)+IF(S60="China",IF(S224="OK",1,0),0)+IF(S60="Europa",IF(S244="OK",1,0),0)))</f>
        <v>0</v>
      </c>
    </row>
    <row r="184" customFormat="false" ht="68.65" hidden="false" customHeight="false" outlineLevel="0" collapsed="false">
      <c r="A184" s="73" t="s">
        <v>983</v>
      </c>
      <c r="B184" s="74" t="s">
        <v>1001</v>
      </c>
      <c r="C184" s="66" t="s">
        <v>136</v>
      </c>
      <c r="D184" s="43" t="s">
        <v>332</v>
      </c>
      <c r="E184" s="75" t="s">
        <v>1002</v>
      </c>
      <c r="F184" s="76" t="s">
        <v>1003</v>
      </c>
      <c r="G184" s="89" t="n">
        <f aca="false">(G156+G162+G168)-G183</f>
        <v>0</v>
      </c>
      <c r="H184" s="89" t="n">
        <f aca="false">(H156+H162+H168)-H183</f>
        <v>0</v>
      </c>
      <c r="I184" s="89" t="n">
        <f aca="false">(I156+I162+I168)-I183</f>
        <v>0</v>
      </c>
      <c r="J184" s="89" t="n">
        <f aca="false">(J156+J162+J168)-J183</f>
        <v>0</v>
      </c>
      <c r="K184" s="89" t="n">
        <f aca="false">(K156+K162+K168)-K183</f>
        <v>0</v>
      </c>
      <c r="L184" s="89" t="n">
        <f aca="false">(L156+L162+L168)-L183</f>
        <v>0</v>
      </c>
      <c r="M184" s="89" t="n">
        <f aca="false">(M156+M162+M168)-M183</f>
        <v>0</v>
      </c>
      <c r="N184" s="89" t="n">
        <f aca="false">(N156+N162+N168)-N183</f>
        <v>0</v>
      </c>
      <c r="O184" s="89" t="n">
        <f aca="false">(O156+O162+O168)-O183</f>
        <v>0</v>
      </c>
      <c r="P184" s="89" t="n">
        <f aca="false">(P156+P162+P168)-P183</f>
        <v>0</v>
      </c>
      <c r="Q184" s="89" t="n">
        <f aca="false">(Q156+Q162+Q168)-Q183</f>
        <v>0</v>
      </c>
      <c r="R184" s="89" t="n">
        <f aca="false">(R156+R162+R168)-R183</f>
        <v>0</v>
      </c>
      <c r="S184" s="89" t="n">
        <f aca="false">(S156+S162+S168)-S183</f>
        <v>0</v>
      </c>
    </row>
    <row r="186" customFormat="false" ht="15" hidden="false" customHeight="false" outlineLevel="0" collapsed="false">
      <c r="A186" s="5" t="s">
        <v>1004</v>
      </c>
      <c r="B186" s="5"/>
      <c r="C186" s="5"/>
      <c r="D186" s="5"/>
      <c r="E186" s="5"/>
      <c r="F186" s="5"/>
      <c r="G186" s="5"/>
      <c r="H186" s="5"/>
      <c r="I186" s="5"/>
      <c r="J186" s="5"/>
      <c r="K186" s="5"/>
      <c r="L186" s="5"/>
      <c r="M186" s="5"/>
      <c r="N186" s="5"/>
      <c r="O186" s="5"/>
      <c r="P186" s="5"/>
      <c r="Q186" s="5"/>
      <c r="R186" s="5"/>
      <c r="S186" s="5"/>
    </row>
    <row r="187" customFormat="false" ht="15" hidden="false" customHeight="false" outlineLevel="0" collapsed="false">
      <c r="A187" s="73" t="s">
        <v>1005</v>
      </c>
      <c r="B187" s="74" t="s">
        <v>1006</v>
      </c>
      <c r="C187" s="66" t="s">
        <v>128</v>
      </c>
      <c r="D187" s="43" t="s">
        <v>332</v>
      </c>
      <c r="E187" s="75" t="s">
        <v>43</v>
      </c>
      <c r="F187" s="76"/>
      <c r="G187" s="36" t="n">
        <f aca="false">(IF(G37="EE.UU.",G72,0)+IF(G38="EE.UU.",G78,0)+IF(G39="EE.UU.",G84,0))+(IF(G49="EE.UU.",G75,0)+IF(G50="EE.UU.",G81,0)+IF(G51="EE.UU.",G87,0))</f>
        <v>0</v>
      </c>
      <c r="H187" s="36" t="n">
        <f aca="false">(IF(H37="EE.UU.",H72,0)+IF(H38="EE.UU.",H78,0)+IF(H39="EE.UU.",H84,0))+(IF(H49="EE.UU.",H75,0)+IF(H50="EE.UU.",H81,0)+IF(H51="EE.UU.",H87,0))</f>
        <v>0</v>
      </c>
      <c r="I187" s="36" t="n">
        <f aca="false">(IF(I37="EE.UU.",I72,0)+IF(I38="EE.UU.",I78,0)+IF(I39="EE.UU.",I84,0))+(IF(I49="EE.UU.",I75,0)+IF(I50="EE.UU.",I81,0)+IF(I51="EE.UU.",I87,0))</f>
        <v>747011.127700958</v>
      </c>
      <c r="J187" s="36" t="n">
        <f aca="false">(IF(J37="EE.UU.",J72,0)+IF(J38="EE.UU.",J78,0)+IF(J39="EE.UU.",J84,0))+(IF(J49="EE.UU.",J75,0)+IF(J50="EE.UU.",J81,0)+IF(J51="EE.UU.",J87,0))</f>
        <v>0</v>
      </c>
      <c r="K187" s="36" t="n">
        <f aca="false">(IF(K37="EE.UU.",K72,0)+IF(K38="EE.UU.",K78,0)+IF(K39="EE.UU.",K84,0))+(IF(K49="EE.UU.",K75,0)+IF(K50="EE.UU.",K81,0)+IF(K51="EE.UU.",K87,0))</f>
        <v>0</v>
      </c>
      <c r="L187" s="36" t="n">
        <f aca="false">(IF(L37="EE.UU.",L72,0)+IF(L38="EE.UU.",L78,0)+IF(L39="EE.UU.",L84,0))+(IF(L49="EE.UU.",L75,0)+IF(L50="EE.UU.",L81,0)+IF(L51="EE.UU.",L87,0))</f>
        <v>0</v>
      </c>
      <c r="M187" s="36" t="n">
        <f aca="false">(IF(M37="EE.UU.",M72,0)+IF(M38="EE.UU.",M78,0)+IF(M39="EE.UU.",M84,0))+(IF(M49="EE.UU.",M75,0)+IF(M50="EE.UU.",M81,0)+IF(M51="EE.UU.",M87,0))</f>
        <v>0</v>
      </c>
      <c r="N187" s="36" t="n">
        <f aca="false">(IF(N37="EE.UU.",N72,0)+IF(N38="EE.UU.",N78,0)+IF(N39="EE.UU.",N84,0))+(IF(N49="EE.UU.",N75,0)+IF(N50="EE.UU.",N81,0)+IF(N51="EE.UU.",N87,0))</f>
        <v>0</v>
      </c>
      <c r="O187" s="36" t="n">
        <f aca="false">(IF(O37="EE.UU.",O72,0)+IF(O38="EE.UU.",O78,0)+IF(O39="EE.UU.",O84,0))+(IF(O49="EE.UU.",O75,0)+IF(O50="EE.UU.",O81,0)+IF(O51="EE.UU.",O87,0))</f>
        <v>0</v>
      </c>
      <c r="P187" s="36" t="n">
        <f aca="false">(IF(P37="EE.UU.",P72,0)+IF(P38="EE.UU.",P78,0)+IF(P39="EE.UU.",P84,0))+(IF(P49="EE.UU.",P75,0)+IF(P50="EE.UU.",P81,0)+IF(P51="EE.UU.",P87,0))</f>
        <v>0</v>
      </c>
      <c r="Q187" s="36" t="n">
        <f aca="false">(IF(Q37="EE.UU.",Q72,0)+IF(Q38="EE.UU.",Q78,0)+IF(Q39="EE.UU.",Q84,0))+(IF(Q49="EE.UU.",Q75,0)+IF(Q50="EE.UU.",Q81,0)+IF(Q51="EE.UU.",Q87,0))</f>
        <v>0</v>
      </c>
      <c r="R187" s="36" t="n">
        <f aca="false">(IF(R37="EE.UU.",R72,0)+IF(R38="EE.UU.",R78,0)+IF(R39="EE.UU.",R84,0))+(IF(R49="EE.UU.",R75,0)+IF(R50="EE.UU.",R81,0)+IF(R51="EE.UU.",R87,0))</f>
        <v>0</v>
      </c>
      <c r="S187" s="36" t="n">
        <f aca="false">(IF(S37="EE.UU.",S72,0)+IF(S38="EE.UU.",S78,0)+IF(S39="EE.UU.",S84,0))+(IF(S49="EE.UU.",S75,0)+IF(S50="EE.UU.",S81,0)+IF(S51="EE.UU.",S87,0))</f>
        <v>0</v>
      </c>
    </row>
    <row r="188" customFormat="false" ht="15" hidden="false" customHeight="false" outlineLevel="0" collapsed="false">
      <c r="A188" s="73" t="s">
        <v>1005</v>
      </c>
      <c r="B188" s="74" t="s">
        <v>1007</v>
      </c>
      <c r="C188" s="66" t="s">
        <v>128</v>
      </c>
      <c r="D188" s="43" t="s">
        <v>332</v>
      </c>
      <c r="E188" s="75" t="s">
        <v>1002</v>
      </c>
      <c r="F188" s="76"/>
      <c r="G188" s="89" t="n">
        <f aca="false">MAX(G187-G13,0)</f>
        <v>0</v>
      </c>
      <c r="H188" s="89" t="n">
        <f aca="false">MAX(H187-H13,0)</f>
        <v>0</v>
      </c>
      <c r="I188" s="89" t="n">
        <f aca="false">MAX(I187-I13,0)</f>
        <v>0</v>
      </c>
      <c r="J188" s="89" t="n">
        <f aca="false">MAX(J187-J13,0)</f>
        <v>0</v>
      </c>
      <c r="K188" s="89" t="n">
        <f aca="false">MAX(K187-K13,0)</f>
        <v>0</v>
      </c>
      <c r="L188" s="89" t="n">
        <f aca="false">MAX(L187-L13,0)</f>
        <v>0</v>
      </c>
      <c r="M188" s="89" t="n">
        <f aca="false">MAX(M187-M13,0)</f>
        <v>0</v>
      </c>
      <c r="N188" s="89" t="n">
        <f aca="false">MAX(N187-N13,0)</f>
        <v>0</v>
      </c>
      <c r="O188" s="89" t="n">
        <f aca="false">MAX(O187-O13,0)</f>
        <v>0</v>
      </c>
      <c r="P188" s="89" t="n">
        <f aca="false">MAX(P187-P13,0)</f>
        <v>0</v>
      </c>
      <c r="Q188" s="89" t="n">
        <f aca="false">MAX(Q187-Q13,0)</f>
        <v>0</v>
      </c>
      <c r="R188" s="89" t="n">
        <f aca="false">MAX(R187-R13,0)</f>
        <v>0</v>
      </c>
      <c r="S188" s="89" t="n">
        <f aca="false">MAX(S187-S13,0)</f>
        <v>0</v>
      </c>
    </row>
    <row r="189" customFormat="false" ht="15" hidden="false" customHeight="false" outlineLevel="0" collapsed="false">
      <c r="A189" s="73" t="s">
        <v>1005</v>
      </c>
      <c r="B189" s="74" t="s">
        <v>1008</v>
      </c>
      <c r="C189" s="66" t="s">
        <v>128</v>
      </c>
      <c r="D189" s="43" t="s">
        <v>37</v>
      </c>
      <c r="E189" s="75" t="s">
        <v>1002</v>
      </c>
      <c r="F189" s="76"/>
      <c r="G189" s="90" t="str">
        <f aca="false">IF(G188&gt;0.5,"ERROR — sobre-asignación","OK")</f>
        <v>OK</v>
      </c>
      <c r="H189" s="90" t="str">
        <f aca="false">IF(H188&gt;0.5,"ERROR — sobre-asignación","OK")</f>
        <v>OK</v>
      </c>
      <c r="I189" s="90" t="str">
        <f aca="false">IF(I188&gt;0.5,"ERROR — sobre-asignación","OK")</f>
        <v>OK</v>
      </c>
      <c r="J189" s="90" t="str">
        <f aca="false">IF(J188&gt;0.5,"ERROR — sobre-asignación","OK")</f>
        <v>OK</v>
      </c>
      <c r="K189" s="90" t="str">
        <f aca="false">IF(K188&gt;0.5,"ERROR — sobre-asignación","OK")</f>
        <v>OK</v>
      </c>
      <c r="L189" s="90" t="str">
        <f aca="false">IF(L188&gt;0.5,"ERROR — sobre-asignación","OK")</f>
        <v>OK</v>
      </c>
      <c r="M189" s="90" t="str">
        <f aca="false">IF(M188&gt;0.5,"ERROR — sobre-asignación","OK")</f>
        <v>OK</v>
      </c>
      <c r="N189" s="90" t="str">
        <f aca="false">IF(N188&gt;0.5,"ERROR — sobre-asignación","OK")</f>
        <v>OK</v>
      </c>
      <c r="O189" s="90" t="str">
        <f aca="false">IF(O188&gt;0.5,"ERROR — sobre-asignación","OK")</f>
        <v>OK</v>
      </c>
      <c r="P189" s="90" t="str">
        <f aca="false">IF(P188&gt;0.5,"ERROR — sobre-asignación","OK")</f>
        <v>OK</v>
      </c>
      <c r="Q189" s="90" t="str">
        <f aca="false">IF(Q188&gt;0.5,"ERROR — sobre-asignación","OK")</f>
        <v>OK</v>
      </c>
      <c r="R189" s="90" t="str">
        <f aca="false">IF(R188&gt;0.5,"ERROR — sobre-asignación","OK")</f>
        <v>OK</v>
      </c>
      <c r="S189" s="90" t="str">
        <f aca="false">IF(S188&gt;0.5,"ERROR — sobre-asignación","OK")</f>
        <v>OK</v>
      </c>
    </row>
    <row r="190" customFormat="false" ht="15" hidden="false" customHeight="false" outlineLevel="0" collapsed="false">
      <c r="A190" s="73" t="s">
        <v>1005</v>
      </c>
      <c r="B190" s="74" t="s">
        <v>1009</v>
      </c>
      <c r="C190" s="66" t="s">
        <v>128</v>
      </c>
      <c r="D190" s="43" t="s">
        <v>332</v>
      </c>
      <c r="E190" s="75" t="s">
        <v>917</v>
      </c>
      <c r="F190" s="76"/>
      <c r="G190" s="78" t="n">
        <f aca="false">IF(G189="OK",MIN(G187,G13),0)</f>
        <v>0</v>
      </c>
      <c r="H190" s="78" t="n">
        <f aca="false">IF(H189="OK",MIN(H187,H13),0)</f>
        <v>0</v>
      </c>
      <c r="I190" s="78" t="n">
        <f aca="false">IF(I189="OK",MIN(I187,I13),0)</f>
        <v>747011.127700958</v>
      </c>
      <c r="J190" s="78" t="n">
        <f aca="false">IF(J189="OK",MIN(J187,J13),0)</f>
        <v>0</v>
      </c>
      <c r="K190" s="78" t="n">
        <f aca="false">IF(K189="OK",MIN(K187,K13),0)</f>
        <v>0</v>
      </c>
      <c r="L190" s="78" t="n">
        <f aca="false">IF(L189="OK",MIN(L187,L13),0)</f>
        <v>0</v>
      </c>
      <c r="M190" s="78" t="n">
        <f aca="false">IF(M189="OK",MIN(M187,M13),0)</f>
        <v>0</v>
      </c>
      <c r="N190" s="78" t="n">
        <f aca="false">IF(N189="OK",MIN(N187,N13),0)</f>
        <v>0</v>
      </c>
      <c r="O190" s="78" t="n">
        <f aca="false">IF(O189="OK",MIN(O187,O13),0)</f>
        <v>0</v>
      </c>
      <c r="P190" s="78" t="n">
        <f aca="false">IF(P189="OK",MIN(P187,P13),0)</f>
        <v>0</v>
      </c>
      <c r="Q190" s="78" t="n">
        <f aca="false">IF(Q189="OK",MIN(Q187,Q13),0)</f>
        <v>0</v>
      </c>
      <c r="R190" s="78" t="n">
        <f aca="false">IF(R189="OK",MIN(R187,R13),0)</f>
        <v>0</v>
      </c>
      <c r="S190" s="78" t="n">
        <f aca="false">IF(S189="OK",MIN(S187,S13),0)</f>
        <v>0</v>
      </c>
    </row>
    <row r="191" customFormat="false" ht="15" hidden="false" customHeight="false" outlineLevel="0" collapsed="false">
      <c r="A191" s="73" t="s">
        <v>1005</v>
      </c>
      <c r="B191" s="74" t="s">
        <v>1010</v>
      </c>
      <c r="C191" s="66" t="s">
        <v>128</v>
      </c>
      <c r="D191" s="43" t="s">
        <v>332</v>
      </c>
      <c r="E191" s="75" t="s">
        <v>917</v>
      </c>
      <c r="F191" s="76"/>
      <c r="G191" s="36" t="n">
        <f aca="false">IF(G189="OK",MAX(G13-G187,0),0)</f>
        <v>725000</v>
      </c>
      <c r="H191" s="36" t="n">
        <f aca="false">IF(H189="OK",MAX(H13-H187,0),0)</f>
        <v>667398</v>
      </c>
      <c r="I191" s="36" t="n">
        <f aca="false">IF(I189="OK",MAX(I13-I187,0),0)</f>
        <v>0</v>
      </c>
      <c r="J191" s="36" t="n">
        <f aca="false">IF(J189="OK",MAX(J13-J187,0),0)</f>
        <v>0</v>
      </c>
      <c r="K191" s="36" t="n">
        <f aca="false">IF(K189="OK",MAX(K13-K187,0),0)</f>
        <v>0</v>
      </c>
      <c r="L191" s="36" t="n">
        <f aca="false">IF(L189="OK",MAX(L13-L187,0),0)</f>
        <v>0</v>
      </c>
      <c r="M191" s="36" t="n">
        <f aca="false">IF(M189="OK",MAX(M13-M187,0),0)</f>
        <v>0</v>
      </c>
      <c r="N191" s="36" t="n">
        <f aca="false">IF(N189="OK",MAX(N13-N187,0),0)</f>
        <v>0</v>
      </c>
      <c r="O191" s="36" t="n">
        <f aca="false">IF(O189="OK",MAX(O13-O187,0),0)</f>
        <v>0</v>
      </c>
      <c r="P191" s="36" t="n">
        <f aca="false">IF(P189="OK",MAX(P13-P187,0),0)</f>
        <v>0</v>
      </c>
      <c r="Q191" s="36" t="n">
        <f aca="false">IF(Q189="OK",MAX(Q13-Q187,0),0)</f>
        <v>0</v>
      </c>
      <c r="R191" s="36" t="n">
        <f aca="false">IF(R189="OK",MAX(R13-R187,0),0)</f>
        <v>0</v>
      </c>
      <c r="S191" s="36" t="n">
        <f aca="false">IF(S189="OK",MAX(S13-S187,0),0)</f>
        <v>0</v>
      </c>
    </row>
    <row r="192" customFormat="false" ht="15" hidden="false" customHeight="false" outlineLevel="0" collapsed="false">
      <c r="A192" s="73" t="s">
        <v>1005</v>
      </c>
      <c r="B192" s="74" t="s">
        <v>1006</v>
      </c>
      <c r="C192" s="66" t="s">
        <v>130</v>
      </c>
      <c r="D192" s="43" t="s">
        <v>332</v>
      </c>
      <c r="E192" s="75" t="s">
        <v>43</v>
      </c>
      <c r="F192" s="76"/>
      <c r="G192" s="36" t="n">
        <f aca="false">(IF(G40="EE.UU.",G99,0)+IF(G41="EE.UU.",G105,0)+IF(G42="EE.UU.",G111,0))+(IF(G52="EE.UU.",G102,0)+IF(G53="EE.UU.",G108,0)+IF(G54="EE.UU.",G114,0))</f>
        <v>0</v>
      </c>
      <c r="H192" s="36" t="n">
        <f aca="false">(IF(H40="EE.UU.",H99,0)+IF(H41="EE.UU.",H105,0)+IF(H42="EE.UU.",H111,0))+(IF(H52="EE.UU.",H102,0)+IF(H53="EE.UU.",H108,0)+IF(H54="EE.UU.",H114,0))</f>
        <v>0</v>
      </c>
      <c r="I192" s="36" t="n">
        <f aca="false">(IF(I40="EE.UU.",I99,0)+IF(I41="EE.UU.",I105,0)+IF(I42="EE.UU.",I111,0))+(IF(I52="EE.UU.",I102,0)+IF(I53="EE.UU.",I108,0)+IF(I54="EE.UU.",I114,0))</f>
        <v>294443.599549982</v>
      </c>
      <c r="J192" s="36" t="n">
        <f aca="false">(IF(J40="EE.UU.",J99,0)+IF(J41="EE.UU.",J105,0)+IF(J42="EE.UU.",J111,0))+(IF(J52="EE.UU.",J102,0)+IF(J53="EE.UU.",J108,0)+IF(J54="EE.UU.",J114,0))</f>
        <v>0</v>
      </c>
      <c r="K192" s="36" t="n">
        <f aca="false">(IF(K40="EE.UU.",K99,0)+IF(K41="EE.UU.",K105,0)+IF(K42="EE.UU.",K111,0))+(IF(K52="EE.UU.",K102,0)+IF(K53="EE.UU.",K108,0)+IF(K54="EE.UU.",K114,0))</f>
        <v>0</v>
      </c>
      <c r="L192" s="36" t="n">
        <f aca="false">(IF(L40="EE.UU.",L99,0)+IF(L41="EE.UU.",L105,0)+IF(L42="EE.UU.",L111,0))+(IF(L52="EE.UU.",L102,0)+IF(L53="EE.UU.",L108,0)+IF(L54="EE.UU.",L114,0))</f>
        <v>0</v>
      </c>
      <c r="M192" s="36" t="n">
        <f aca="false">(IF(M40="EE.UU.",M99,0)+IF(M41="EE.UU.",M105,0)+IF(M42="EE.UU.",M111,0))+(IF(M52="EE.UU.",M102,0)+IF(M53="EE.UU.",M108,0)+IF(M54="EE.UU.",M114,0))</f>
        <v>0</v>
      </c>
      <c r="N192" s="36" t="n">
        <f aca="false">(IF(N40="EE.UU.",N99,0)+IF(N41="EE.UU.",N105,0)+IF(N42="EE.UU.",N111,0))+(IF(N52="EE.UU.",N102,0)+IF(N53="EE.UU.",N108,0)+IF(N54="EE.UU.",N114,0))</f>
        <v>0</v>
      </c>
      <c r="O192" s="36" t="n">
        <f aca="false">(IF(O40="EE.UU.",O99,0)+IF(O41="EE.UU.",O105,0)+IF(O42="EE.UU.",O111,0))+(IF(O52="EE.UU.",O102,0)+IF(O53="EE.UU.",O108,0)+IF(O54="EE.UU.",O114,0))</f>
        <v>0</v>
      </c>
      <c r="P192" s="36" t="n">
        <f aca="false">(IF(P40="EE.UU.",P99,0)+IF(P41="EE.UU.",P105,0)+IF(P42="EE.UU.",P111,0))+(IF(P52="EE.UU.",P102,0)+IF(P53="EE.UU.",P108,0)+IF(P54="EE.UU.",P114,0))</f>
        <v>0</v>
      </c>
      <c r="Q192" s="36" t="n">
        <f aca="false">(IF(Q40="EE.UU.",Q99,0)+IF(Q41="EE.UU.",Q105,0)+IF(Q42="EE.UU.",Q111,0))+(IF(Q52="EE.UU.",Q102,0)+IF(Q53="EE.UU.",Q108,0)+IF(Q54="EE.UU.",Q114,0))</f>
        <v>0</v>
      </c>
      <c r="R192" s="36" t="n">
        <f aca="false">(IF(R40="EE.UU.",R99,0)+IF(R41="EE.UU.",R105,0)+IF(R42="EE.UU.",R111,0))+(IF(R52="EE.UU.",R102,0)+IF(R53="EE.UU.",R108,0)+IF(R54="EE.UU.",R114,0))</f>
        <v>0</v>
      </c>
      <c r="S192" s="36" t="n">
        <f aca="false">(IF(S40="EE.UU.",S99,0)+IF(S41="EE.UU.",S105,0)+IF(S42="EE.UU.",S111,0))+(IF(S52="EE.UU.",S102,0)+IF(S53="EE.UU.",S108,0)+IF(S54="EE.UU.",S114,0))</f>
        <v>0</v>
      </c>
    </row>
    <row r="193" customFormat="false" ht="15" hidden="false" customHeight="false" outlineLevel="0" collapsed="false">
      <c r="A193" s="73" t="s">
        <v>1005</v>
      </c>
      <c r="B193" s="74" t="s">
        <v>1007</v>
      </c>
      <c r="C193" s="66" t="s">
        <v>130</v>
      </c>
      <c r="D193" s="43" t="s">
        <v>332</v>
      </c>
      <c r="E193" s="75" t="s">
        <v>1002</v>
      </c>
      <c r="F193" s="76"/>
      <c r="G193" s="89" t="n">
        <f aca="false">MAX(G192-G14,0)</f>
        <v>0</v>
      </c>
      <c r="H193" s="89" t="n">
        <f aca="false">MAX(H192-H14,0)</f>
        <v>0</v>
      </c>
      <c r="I193" s="89" t="n">
        <f aca="false">MAX(I192-I14,0)</f>
        <v>0</v>
      </c>
      <c r="J193" s="89" t="n">
        <f aca="false">MAX(J192-J14,0)</f>
        <v>0</v>
      </c>
      <c r="K193" s="89" t="n">
        <f aca="false">MAX(K192-K14,0)</f>
        <v>0</v>
      </c>
      <c r="L193" s="89" t="n">
        <f aca="false">MAX(L192-L14,0)</f>
        <v>0</v>
      </c>
      <c r="M193" s="89" t="n">
        <f aca="false">MAX(M192-M14,0)</f>
        <v>0</v>
      </c>
      <c r="N193" s="89" t="n">
        <f aca="false">MAX(N192-N14,0)</f>
        <v>0</v>
      </c>
      <c r="O193" s="89" t="n">
        <f aca="false">MAX(O192-O14,0)</f>
        <v>0</v>
      </c>
      <c r="P193" s="89" t="n">
        <f aca="false">MAX(P192-P14,0)</f>
        <v>0</v>
      </c>
      <c r="Q193" s="89" t="n">
        <f aca="false">MAX(Q192-Q14,0)</f>
        <v>0</v>
      </c>
      <c r="R193" s="89" t="n">
        <f aca="false">MAX(R192-R14,0)</f>
        <v>0</v>
      </c>
      <c r="S193" s="89" t="n">
        <f aca="false">MAX(S192-S14,0)</f>
        <v>0</v>
      </c>
    </row>
    <row r="194" customFormat="false" ht="15" hidden="false" customHeight="false" outlineLevel="0" collapsed="false">
      <c r="A194" s="73" t="s">
        <v>1005</v>
      </c>
      <c r="B194" s="74" t="s">
        <v>1008</v>
      </c>
      <c r="C194" s="66" t="s">
        <v>130</v>
      </c>
      <c r="D194" s="43" t="s">
        <v>37</v>
      </c>
      <c r="E194" s="75" t="s">
        <v>1002</v>
      </c>
      <c r="F194" s="76"/>
      <c r="G194" s="90" t="str">
        <f aca="false">IF(G193&gt;0.5,"ERROR — sobre-asignación","OK")</f>
        <v>OK</v>
      </c>
      <c r="H194" s="90" t="str">
        <f aca="false">IF(H193&gt;0.5,"ERROR — sobre-asignación","OK")</f>
        <v>OK</v>
      </c>
      <c r="I194" s="90" t="str">
        <f aca="false">IF(I193&gt;0.5,"ERROR — sobre-asignación","OK")</f>
        <v>OK</v>
      </c>
      <c r="J194" s="90" t="str">
        <f aca="false">IF(J193&gt;0.5,"ERROR — sobre-asignación","OK")</f>
        <v>OK</v>
      </c>
      <c r="K194" s="90" t="str">
        <f aca="false">IF(K193&gt;0.5,"ERROR — sobre-asignación","OK")</f>
        <v>OK</v>
      </c>
      <c r="L194" s="90" t="str">
        <f aca="false">IF(L193&gt;0.5,"ERROR — sobre-asignación","OK")</f>
        <v>OK</v>
      </c>
      <c r="M194" s="90" t="str">
        <f aca="false">IF(M193&gt;0.5,"ERROR — sobre-asignación","OK")</f>
        <v>OK</v>
      </c>
      <c r="N194" s="90" t="str">
        <f aca="false">IF(N193&gt;0.5,"ERROR — sobre-asignación","OK")</f>
        <v>OK</v>
      </c>
      <c r="O194" s="90" t="str">
        <f aca="false">IF(O193&gt;0.5,"ERROR — sobre-asignación","OK")</f>
        <v>OK</v>
      </c>
      <c r="P194" s="90" t="str">
        <f aca="false">IF(P193&gt;0.5,"ERROR — sobre-asignación","OK")</f>
        <v>OK</v>
      </c>
      <c r="Q194" s="90" t="str">
        <f aca="false">IF(Q193&gt;0.5,"ERROR — sobre-asignación","OK")</f>
        <v>OK</v>
      </c>
      <c r="R194" s="90" t="str">
        <f aca="false">IF(R193&gt;0.5,"ERROR — sobre-asignación","OK")</f>
        <v>OK</v>
      </c>
      <c r="S194" s="90" t="str">
        <f aca="false">IF(S193&gt;0.5,"ERROR — sobre-asignación","OK")</f>
        <v>OK</v>
      </c>
    </row>
    <row r="195" customFormat="false" ht="15" hidden="false" customHeight="false" outlineLevel="0" collapsed="false">
      <c r="A195" s="73" t="s">
        <v>1005</v>
      </c>
      <c r="B195" s="74" t="s">
        <v>1009</v>
      </c>
      <c r="C195" s="66" t="s">
        <v>130</v>
      </c>
      <c r="D195" s="43" t="s">
        <v>332</v>
      </c>
      <c r="E195" s="75" t="s">
        <v>917</v>
      </c>
      <c r="F195" s="76"/>
      <c r="G195" s="78" t="n">
        <f aca="false">IF(G194="OK",MIN(G192,G14),0)</f>
        <v>0</v>
      </c>
      <c r="H195" s="78" t="n">
        <f aca="false">IF(H194="OK",MIN(H192,H14),0)</f>
        <v>0</v>
      </c>
      <c r="I195" s="78" t="n">
        <f aca="false">IF(I194="OK",MIN(I192,I14),0)</f>
        <v>294443.599549982</v>
      </c>
      <c r="J195" s="78" t="n">
        <f aca="false">IF(J194="OK",MIN(J192,J14),0)</f>
        <v>0</v>
      </c>
      <c r="K195" s="78" t="n">
        <f aca="false">IF(K194="OK",MIN(K192,K14),0)</f>
        <v>0</v>
      </c>
      <c r="L195" s="78" t="n">
        <f aca="false">IF(L194="OK",MIN(L192,L14),0)</f>
        <v>0</v>
      </c>
      <c r="M195" s="78" t="n">
        <f aca="false">IF(M194="OK",MIN(M192,M14),0)</f>
        <v>0</v>
      </c>
      <c r="N195" s="78" t="n">
        <f aca="false">IF(N194="OK",MIN(N192,N14),0)</f>
        <v>0</v>
      </c>
      <c r="O195" s="78" t="n">
        <f aca="false">IF(O194="OK",MIN(O192,O14),0)</f>
        <v>0</v>
      </c>
      <c r="P195" s="78" t="n">
        <f aca="false">IF(P194="OK",MIN(P192,P14),0)</f>
        <v>0</v>
      </c>
      <c r="Q195" s="78" t="n">
        <f aca="false">IF(Q194="OK",MIN(Q192,Q14),0)</f>
        <v>0</v>
      </c>
      <c r="R195" s="78" t="n">
        <f aca="false">IF(R194="OK",MIN(R192,R14),0)</f>
        <v>0</v>
      </c>
      <c r="S195" s="78" t="n">
        <f aca="false">IF(S194="OK",MIN(S192,S14),0)</f>
        <v>0</v>
      </c>
    </row>
    <row r="196" customFormat="false" ht="15" hidden="false" customHeight="false" outlineLevel="0" collapsed="false">
      <c r="A196" s="73" t="s">
        <v>1005</v>
      </c>
      <c r="B196" s="74" t="s">
        <v>1010</v>
      </c>
      <c r="C196" s="66" t="s">
        <v>130</v>
      </c>
      <c r="D196" s="43" t="s">
        <v>332</v>
      </c>
      <c r="E196" s="75" t="s">
        <v>917</v>
      </c>
      <c r="F196" s="76"/>
      <c r="G196" s="36" t="n">
        <f aca="false">IF(G194="OK",MAX(G14-G192,0),0)</f>
        <v>0</v>
      </c>
      <c r="H196" s="36" t="n">
        <f aca="false">IF(H194="OK",MAX(H14-H192,0),0)</f>
        <v>243325</v>
      </c>
      <c r="I196" s="36" t="n">
        <f aca="false">IF(I194="OK",MAX(I14-I192,0),0)</f>
        <v>0</v>
      </c>
      <c r="J196" s="36" t="n">
        <f aca="false">IF(J194="OK",MAX(J14-J192,0),0)</f>
        <v>0</v>
      </c>
      <c r="K196" s="36" t="n">
        <f aca="false">IF(K194="OK",MAX(K14-K192,0),0)</f>
        <v>0</v>
      </c>
      <c r="L196" s="36" t="n">
        <f aca="false">IF(L194="OK",MAX(L14-L192,0),0)</f>
        <v>0</v>
      </c>
      <c r="M196" s="36" t="n">
        <f aca="false">IF(M194="OK",MAX(M14-M192,0),0)</f>
        <v>0</v>
      </c>
      <c r="N196" s="36" t="n">
        <f aca="false">IF(N194="OK",MAX(N14-N192,0),0)</f>
        <v>0</v>
      </c>
      <c r="O196" s="36" t="n">
        <f aca="false">IF(O194="OK",MAX(O14-O192,0),0)</f>
        <v>0</v>
      </c>
      <c r="P196" s="36" t="n">
        <f aca="false">IF(P194="OK",MAX(P14-P192,0),0)</f>
        <v>0</v>
      </c>
      <c r="Q196" s="36" t="n">
        <f aca="false">IF(Q194="OK",MAX(Q14-Q192,0),0)</f>
        <v>0</v>
      </c>
      <c r="R196" s="36" t="n">
        <f aca="false">IF(R194="OK",MAX(R14-R192,0),0)</f>
        <v>0</v>
      </c>
      <c r="S196" s="36" t="n">
        <f aca="false">IF(S194="OK",MAX(S14-S192,0),0)</f>
        <v>0</v>
      </c>
    </row>
    <row r="197" customFormat="false" ht="15" hidden="false" customHeight="false" outlineLevel="0" collapsed="false">
      <c r="A197" s="73" t="s">
        <v>1005</v>
      </c>
      <c r="B197" s="74" t="s">
        <v>1006</v>
      </c>
      <c r="C197" s="66" t="s">
        <v>131</v>
      </c>
      <c r="D197" s="43" t="s">
        <v>332</v>
      </c>
      <c r="E197" s="75" t="s">
        <v>43</v>
      </c>
      <c r="F197" s="76"/>
      <c r="G197" s="36" t="n">
        <f aca="false">(IF(G43="EE.UU.",G126,0)+IF(G44="EE.UU.",G132,0)+IF(G45="EE.UU.",G138,0))+(IF(G55="EE.UU.",G129,0)+IF(G56="EE.UU.",G135,0)+IF(G57="EE.UU.",G141,0))</f>
        <v>0</v>
      </c>
      <c r="H197" s="36" t="n">
        <f aca="false">(IF(H43="EE.UU.",H126,0)+IF(H44="EE.UU.",H132,0)+IF(H45="EE.UU.",H138,0))+(IF(H55="EE.UU.",H129,0)+IF(H56="EE.UU.",H135,0)+IF(H57="EE.UU.",H141,0))</f>
        <v>0</v>
      </c>
      <c r="I197" s="36" t="n">
        <f aca="false">(IF(I43="EE.UU.",I126,0)+IF(I44="EE.UU.",I132,0)+IF(I45="EE.UU.",I138,0))+(IF(I55="EE.UU.",I129,0)+IF(I56="EE.UU.",I135,0)+IF(I57="EE.UU.",I141,0))</f>
        <v>0</v>
      </c>
      <c r="J197" s="36" t="n">
        <f aca="false">(IF(J43="EE.UU.",J126,0)+IF(J44="EE.UU.",J132,0)+IF(J45="EE.UU.",J138,0))+(IF(J55="EE.UU.",J129,0)+IF(J56="EE.UU.",J135,0)+IF(J57="EE.UU.",J141,0))</f>
        <v>0</v>
      </c>
      <c r="K197" s="36" t="n">
        <f aca="false">(IF(K43="EE.UU.",K126,0)+IF(K44="EE.UU.",K132,0)+IF(K45="EE.UU.",K138,0))+(IF(K55="EE.UU.",K129,0)+IF(K56="EE.UU.",K135,0)+IF(K57="EE.UU.",K141,0))</f>
        <v>0</v>
      </c>
      <c r="L197" s="36" t="n">
        <f aca="false">(IF(L43="EE.UU.",L126,0)+IF(L44="EE.UU.",L132,0)+IF(L45="EE.UU.",L138,0))+(IF(L55="EE.UU.",L129,0)+IF(L56="EE.UU.",L135,0)+IF(L57="EE.UU.",L141,0))</f>
        <v>0</v>
      </c>
      <c r="M197" s="36" t="n">
        <f aca="false">(IF(M43="EE.UU.",M126,0)+IF(M44="EE.UU.",M132,0)+IF(M45="EE.UU.",M138,0))+(IF(M55="EE.UU.",M129,0)+IF(M56="EE.UU.",M135,0)+IF(M57="EE.UU.",M141,0))</f>
        <v>0</v>
      </c>
      <c r="N197" s="36" t="n">
        <f aca="false">(IF(N43="EE.UU.",N126,0)+IF(N44="EE.UU.",N132,0)+IF(N45="EE.UU.",N138,0))+(IF(N55="EE.UU.",N129,0)+IF(N56="EE.UU.",N135,0)+IF(N57="EE.UU.",N141,0))</f>
        <v>0</v>
      </c>
      <c r="O197" s="36" t="n">
        <f aca="false">(IF(O43="EE.UU.",O126,0)+IF(O44="EE.UU.",O132,0)+IF(O45="EE.UU.",O138,0))+(IF(O55="EE.UU.",O129,0)+IF(O56="EE.UU.",O135,0)+IF(O57="EE.UU.",O141,0))</f>
        <v>0</v>
      </c>
      <c r="P197" s="36" t="n">
        <f aca="false">(IF(P43="EE.UU.",P126,0)+IF(P44="EE.UU.",P132,0)+IF(P45="EE.UU.",P138,0))+(IF(P55="EE.UU.",P129,0)+IF(P56="EE.UU.",P135,0)+IF(P57="EE.UU.",P141,0))</f>
        <v>0</v>
      </c>
      <c r="Q197" s="36" t="n">
        <f aca="false">(IF(Q43="EE.UU.",Q126,0)+IF(Q44="EE.UU.",Q132,0)+IF(Q45="EE.UU.",Q138,0))+(IF(Q55="EE.UU.",Q129,0)+IF(Q56="EE.UU.",Q135,0)+IF(Q57="EE.UU.",Q141,0))</f>
        <v>0</v>
      </c>
      <c r="R197" s="36" t="n">
        <f aca="false">(IF(R43="EE.UU.",R126,0)+IF(R44="EE.UU.",R132,0)+IF(R45="EE.UU.",R138,0))+(IF(R55="EE.UU.",R129,0)+IF(R56="EE.UU.",R135,0)+IF(R57="EE.UU.",R141,0))</f>
        <v>0</v>
      </c>
      <c r="S197" s="36" t="n">
        <f aca="false">(IF(S43="EE.UU.",S126,0)+IF(S44="EE.UU.",S132,0)+IF(S45="EE.UU.",S138,0))+(IF(S55="EE.UU.",S129,0)+IF(S56="EE.UU.",S135,0)+IF(S57="EE.UU.",S141,0))</f>
        <v>0</v>
      </c>
    </row>
    <row r="198" customFormat="false" ht="15" hidden="false" customHeight="false" outlineLevel="0" collapsed="false">
      <c r="A198" s="73" t="s">
        <v>1005</v>
      </c>
      <c r="B198" s="74" t="s">
        <v>1007</v>
      </c>
      <c r="C198" s="66" t="s">
        <v>131</v>
      </c>
      <c r="D198" s="43" t="s">
        <v>332</v>
      </c>
      <c r="E198" s="75" t="s">
        <v>1002</v>
      </c>
      <c r="F198" s="76"/>
      <c r="G198" s="89" t="n">
        <f aca="false">MAX(G197-G15,0)</f>
        <v>0</v>
      </c>
      <c r="H198" s="89" t="n">
        <f aca="false">MAX(H197-H15,0)</f>
        <v>0</v>
      </c>
      <c r="I198" s="89" t="n">
        <f aca="false">MAX(I197-I15,0)</f>
        <v>0</v>
      </c>
      <c r="J198" s="89" t="n">
        <f aca="false">MAX(J197-J15,0)</f>
        <v>0</v>
      </c>
      <c r="K198" s="89" t="n">
        <f aca="false">MAX(K197-K15,0)</f>
        <v>0</v>
      </c>
      <c r="L198" s="89" t="n">
        <f aca="false">MAX(L197-L15,0)</f>
        <v>0</v>
      </c>
      <c r="M198" s="89" t="n">
        <f aca="false">MAX(M197-M15,0)</f>
        <v>0</v>
      </c>
      <c r="N198" s="89" t="n">
        <f aca="false">MAX(N197-N15,0)</f>
        <v>0</v>
      </c>
      <c r="O198" s="89" t="n">
        <f aca="false">MAX(O197-O15,0)</f>
        <v>0</v>
      </c>
      <c r="P198" s="89" t="n">
        <f aca="false">MAX(P197-P15,0)</f>
        <v>0</v>
      </c>
      <c r="Q198" s="89" t="n">
        <f aca="false">MAX(Q197-Q15,0)</f>
        <v>0</v>
      </c>
      <c r="R198" s="89" t="n">
        <f aca="false">MAX(R197-R15,0)</f>
        <v>0</v>
      </c>
      <c r="S198" s="89" t="n">
        <f aca="false">MAX(S197-S15,0)</f>
        <v>0</v>
      </c>
    </row>
    <row r="199" customFormat="false" ht="15" hidden="false" customHeight="false" outlineLevel="0" collapsed="false">
      <c r="A199" s="73" t="s">
        <v>1005</v>
      </c>
      <c r="B199" s="74" t="s">
        <v>1008</v>
      </c>
      <c r="C199" s="66" t="s">
        <v>131</v>
      </c>
      <c r="D199" s="43" t="s">
        <v>37</v>
      </c>
      <c r="E199" s="75" t="s">
        <v>1002</v>
      </c>
      <c r="F199" s="76"/>
      <c r="G199" s="90" t="str">
        <f aca="false">IF(G198&gt;0.5,"ERROR — sobre-asignación","OK")</f>
        <v>OK</v>
      </c>
      <c r="H199" s="90" t="str">
        <f aca="false">IF(H198&gt;0.5,"ERROR — sobre-asignación","OK")</f>
        <v>OK</v>
      </c>
      <c r="I199" s="90" t="str">
        <f aca="false">IF(I198&gt;0.5,"ERROR — sobre-asignación","OK")</f>
        <v>OK</v>
      </c>
      <c r="J199" s="90" t="str">
        <f aca="false">IF(J198&gt;0.5,"ERROR — sobre-asignación","OK")</f>
        <v>OK</v>
      </c>
      <c r="K199" s="90" t="str">
        <f aca="false">IF(K198&gt;0.5,"ERROR — sobre-asignación","OK")</f>
        <v>OK</v>
      </c>
      <c r="L199" s="90" t="str">
        <f aca="false">IF(L198&gt;0.5,"ERROR — sobre-asignación","OK")</f>
        <v>OK</v>
      </c>
      <c r="M199" s="90" t="str">
        <f aca="false">IF(M198&gt;0.5,"ERROR — sobre-asignación","OK")</f>
        <v>OK</v>
      </c>
      <c r="N199" s="90" t="str">
        <f aca="false">IF(N198&gt;0.5,"ERROR — sobre-asignación","OK")</f>
        <v>OK</v>
      </c>
      <c r="O199" s="90" t="str">
        <f aca="false">IF(O198&gt;0.5,"ERROR — sobre-asignación","OK")</f>
        <v>OK</v>
      </c>
      <c r="P199" s="90" t="str">
        <f aca="false">IF(P198&gt;0.5,"ERROR — sobre-asignación","OK")</f>
        <v>OK</v>
      </c>
      <c r="Q199" s="90" t="str">
        <f aca="false">IF(Q198&gt;0.5,"ERROR — sobre-asignación","OK")</f>
        <v>OK</v>
      </c>
      <c r="R199" s="90" t="str">
        <f aca="false">IF(R198&gt;0.5,"ERROR — sobre-asignación","OK")</f>
        <v>OK</v>
      </c>
      <c r="S199" s="90" t="str">
        <f aca="false">IF(S198&gt;0.5,"ERROR — sobre-asignación","OK")</f>
        <v>OK</v>
      </c>
    </row>
    <row r="200" customFormat="false" ht="15" hidden="false" customHeight="false" outlineLevel="0" collapsed="false">
      <c r="A200" s="73" t="s">
        <v>1005</v>
      </c>
      <c r="B200" s="74" t="s">
        <v>1009</v>
      </c>
      <c r="C200" s="66" t="s">
        <v>131</v>
      </c>
      <c r="D200" s="43" t="s">
        <v>332</v>
      </c>
      <c r="E200" s="75" t="s">
        <v>917</v>
      </c>
      <c r="F200" s="76"/>
      <c r="G200" s="78" t="n">
        <f aca="false">IF(G199="OK",MIN(G197,G15),0)</f>
        <v>0</v>
      </c>
      <c r="H200" s="78" t="n">
        <f aca="false">IF(H199="OK",MIN(H197,H15),0)</f>
        <v>0</v>
      </c>
      <c r="I200" s="78" t="n">
        <f aca="false">IF(I199="OK",MIN(I197,I15),0)</f>
        <v>0</v>
      </c>
      <c r="J200" s="78" t="n">
        <f aca="false">IF(J199="OK",MIN(J197,J15),0)</f>
        <v>0</v>
      </c>
      <c r="K200" s="78" t="n">
        <f aca="false">IF(K199="OK",MIN(K197,K15),0)</f>
        <v>0</v>
      </c>
      <c r="L200" s="78" t="n">
        <f aca="false">IF(L199="OK",MIN(L197,L15),0)</f>
        <v>0</v>
      </c>
      <c r="M200" s="78" t="n">
        <f aca="false">IF(M199="OK",MIN(M197,M15),0)</f>
        <v>0</v>
      </c>
      <c r="N200" s="78" t="n">
        <f aca="false">IF(N199="OK",MIN(N197,N15),0)</f>
        <v>0</v>
      </c>
      <c r="O200" s="78" t="n">
        <f aca="false">IF(O199="OK",MIN(O197,O15),0)</f>
        <v>0</v>
      </c>
      <c r="P200" s="78" t="n">
        <f aca="false">IF(P199="OK",MIN(P197,P15),0)</f>
        <v>0</v>
      </c>
      <c r="Q200" s="78" t="n">
        <f aca="false">IF(Q199="OK",MIN(Q197,Q15),0)</f>
        <v>0</v>
      </c>
      <c r="R200" s="78" t="n">
        <f aca="false">IF(R199="OK",MIN(R197,R15),0)</f>
        <v>0</v>
      </c>
      <c r="S200" s="78" t="n">
        <f aca="false">IF(S199="OK",MIN(S197,S15),0)</f>
        <v>0</v>
      </c>
    </row>
    <row r="201" customFormat="false" ht="15" hidden="false" customHeight="false" outlineLevel="0" collapsed="false">
      <c r="A201" s="73" t="s">
        <v>1005</v>
      </c>
      <c r="B201" s="74" t="s">
        <v>1010</v>
      </c>
      <c r="C201" s="66" t="s">
        <v>131</v>
      </c>
      <c r="D201" s="43" t="s">
        <v>332</v>
      </c>
      <c r="E201" s="75" t="s">
        <v>917</v>
      </c>
      <c r="F201" s="76"/>
      <c r="G201" s="36" t="n">
        <f aca="false">IF(G199="OK",MAX(G15-G197,0),0)</f>
        <v>0</v>
      </c>
      <c r="H201" s="36" t="n">
        <f aca="false">IF(H199="OK",MAX(H15-H197,0),0)</f>
        <v>0</v>
      </c>
      <c r="I201" s="36" t="n">
        <f aca="false">IF(I199="OK",MAX(I15-I197,0),0)</f>
        <v>0</v>
      </c>
      <c r="J201" s="36" t="n">
        <f aca="false">IF(J199="OK",MAX(J15-J197,0),0)</f>
        <v>0</v>
      </c>
      <c r="K201" s="36" t="n">
        <f aca="false">IF(K199="OK",MAX(K15-K197,0),0)</f>
        <v>0</v>
      </c>
      <c r="L201" s="36" t="n">
        <f aca="false">IF(L199="OK",MAX(L15-L197,0),0)</f>
        <v>0</v>
      </c>
      <c r="M201" s="36" t="n">
        <f aca="false">IF(M199="OK",MAX(M15-M197,0),0)</f>
        <v>0</v>
      </c>
      <c r="N201" s="36" t="n">
        <f aca="false">IF(N199="OK",MAX(N15-N197,0),0)</f>
        <v>0</v>
      </c>
      <c r="O201" s="36" t="n">
        <f aca="false">IF(O199="OK",MAX(O15-O197,0),0)</f>
        <v>0</v>
      </c>
      <c r="P201" s="36" t="n">
        <f aca="false">IF(P199="OK",MAX(P15-P197,0),0)</f>
        <v>0</v>
      </c>
      <c r="Q201" s="36" t="n">
        <f aca="false">IF(Q199="OK",MAX(Q15-Q197,0),0)</f>
        <v>0</v>
      </c>
      <c r="R201" s="36" t="n">
        <f aca="false">IF(R199="OK",MAX(R15-R197,0),0)</f>
        <v>0</v>
      </c>
      <c r="S201" s="36" t="n">
        <f aca="false">IF(S199="OK",MAX(S15-S197,0),0)</f>
        <v>0</v>
      </c>
    </row>
    <row r="202" customFormat="false" ht="15" hidden="false" customHeight="false" outlineLevel="0" collapsed="false">
      <c r="A202" s="73" t="s">
        <v>1005</v>
      </c>
      <c r="B202" s="74" t="s">
        <v>1006</v>
      </c>
      <c r="C202" s="66" t="s">
        <v>132</v>
      </c>
      <c r="D202" s="43" t="s">
        <v>332</v>
      </c>
      <c r="E202" s="75" t="s">
        <v>43</v>
      </c>
      <c r="F202" s="76"/>
      <c r="G202" s="36" t="n">
        <f aca="false">(IF(G46="EE.UU.",G153,0)+IF(G47="EE.UU.",G159,0)+IF(G48="EE.UU.",G165,0))+(IF(G58="EE.UU.",G156,0)+IF(G59="EE.UU.",G162,0)+IF(G60="EE.UU.",G168,0))</f>
        <v>0</v>
      </c>
      <c r="H202" s="36" t="n">
        <f aca="false">(IF(H46="EE.UU.",H153,0)+IF(H47="EE.UU.",H159,0)+IF(H48="EE.UU.",H165,0))+(IF(H58="EE.UU.",H156,0)+IF(H59="EE.UU.",H162,0)+IF(H60="EE.UU.",H168,0))</f>
        <v>0</v>
      </c>
      <c r="I202" s="36" t="n">
        <f aca="false">(IF(I46="EE.UU.",I153,0)+IF(I47="EE.UU.",I159,0)+IF(I48="EE.UU.",I165,0))+(IF(I58="EE.UU.",I156,0)+IF(I59="EE.UU.",I162,0)+IF(I60="EE.UU.",I168,0))</f>
        <v>0</v>
      </c>
      <c r="J202" s="36" t="n">
        <f aca="false">(IF(J46="EE.UU.",J153,0)+IF(J47="EE.UU.",J159,0)+IF(J48="EE.UU.",J165,0))+(IF(J58="EE.UU.",J156,0)+IF(J59="EE.UU.",J162,0)+IF(J60="EE.UU.",J168,0))</f>
        <v>0</v>
      </c>
      <c r="K202" s="36" t="n">
        <f aca="false">(IF(K46="EE.UU.",K153,0)+IF(K47="EE.UU.",K159,0)+IF(K48="EE.UU.",K165,0))+(IF(K58="EE.UU.",K156,0)+IF(K59="EE.UU.",K162,0)+IF(K60="EE.UU.",K168,0))</f>
        <v>0</v>
      </c>
      <c r="L202" s="36" t="n">
        <f aca="false">(IF(L46="EE.UU.",L153,0)+IF(L47="EE.UU.",L159,0)+IF(L48="EE.UU.",L165,0))+(IF(L58="EE.UU.",L156,0)+IF(L59="EE.UU.",L162,0)+IF(L60="EE.UU.",L168,0))</f>
        <v>0</v>
      </c>
      <c r="M202" s="36" t="n">
        <f aca="false">(IF(M46="EE.UU.",M153,0)+IF(M47="EE.UU.",M159,0)+IF(M48="EE.UU.",M165,0))+(IF(M58="EE.UU.",M156,0)+IF(M59="EE.UU.",M162,0)+IF(M60="EE.UU.",M168,0))</f>
        <v>0</v>
      </c>
      <c r="N202" s="36" t="n">
        <f aca="false">(IF(N46="EE.UU.",N153,0)+IF(N47="EE.UU.",N159,0)+IF(N48="EE.UU.",N165,0))+(IF(N58="EE.UU.",N156,0)+IF(N59="EE.UU.",N162,0)+IF(N60="EE.UU.",N168,0))</f>
        <v>0</v>
      </c>
      <c r="O202" s="36" t="n">
        <f aca="false">(IF(O46="EE.UU.",O153,0)+IF(O47="EE.UU.",O159,0)+IF(O48="EE.UU.",O165,0))+(IF(O58="EE.UU.",O156,0)+IF(O59="EE.UU.",O162,0)+IF(O60="EE.UU.",O168,0))</f>
        <v>0</v>
      </c>
      <c r="P202" s="36" t="n">
        <f aca="false">(IF(P46="EE.UU.",P153,0)+IF(P47="EE.UU.",P159,0)+IF(P48="EE.UU.",P165,0))+(IF(P58="EE.UU.",P156,0)+IF(P59="EE.UU.",P162,0)+IF(P60="EE.UU.",P168,0))</f>
        <v>0</v>
      </c>
      <c r="Q202" s="36" t="n">
        <f aca="false">(IF(Q46="EE.UU.",Q153,0)+IF(Q47="EE.UU.",Q159,0)+IF(Q48="EE.UU.",Q165,0))+(IF(Q58="EE.UU.",Q156,0)+IF(Q59="EE.UU.",Q162,0)+IF(Q60="EE.UU.",Q168,0))</f>
        <v>0</v>
      </c>
      <c r="R202" s="36" t="n">
        <f aca="false">(IF(R46="EE.UU.",R153,0)+IF(R47="EE.UU.",R159,0)+IF(R48="EE.UU.",R165,0))+(IF(R58="EE.UU.",R156,0)+IF(R59="EE.UU.",R162,0)+IF(R60="EE.UU.",R168,0))</f>
        <v>0</v>
      </c>
      <c r="S202" s="36" t="n">
        <f aca="false">(IF(S46="EE.UU.",S153,0)+IF(S47="EE.UU.",S159,0)+IF(S48="EE.UU.",S165,0))+(IF(S58="EE.UU.",S156,0)+IF(S59="EE.UU.",S162,0)+IF(S60="EE.UU.",S168,0))</f>
        <v>0</v>
      </c>
    </row>
    <row r="203" customFormat="false" ht="15" hidden="false" customHeight="false" outlineLevel="0" collapsed="false">
      <c r="A203" s="73" t="s">
        <v>1005</v>
      </c>
      <c r="B203" s="74" t="s">
        <v>1007</v>
      </c>
      <c r="C203" s="66" t="s">
        <v>132</v>
      </c>
      <c r="D203" s="43" t="s">
        <v>332</v>
      </c>
      <c r="E203" s="75" t="s">
        <v>1002</v>
      </c>
      <c r="F203" s="76"/>
      <c r="G203" s="89" t="n">
        <f aca="false">MAX(G202-G16,0)</f>
        <v>0</v>
      </c>
      <c r="H203" s="89" t="n">
        <f aca="false">MAX(H202-H16,0)</f>
        <v>0</v>
      </c>
      <c r="I203" s="89" t="n">
        <f aca="false">MAX(I202-I16,0)</f>
        <v>0</v>
      </c>
      <c r="J203" s="89" t="n">
        <f aca="false">MAX(J202-J16,0)</f>
        <v>0</v>
      </c>
      <c r="K203" s="89" t="n">
        <f aca="false">MAX(K202-K16,0)</f>
        <v>0</v>
      </c>
      <c r="L203" s="89" t="n">
        <f aca="false">MAX(L202-L16,0)</f>
        <v>0</v>
      </c>
      <c r="M203" s="89" t="n">
        <f aca="false">MAX(M202-M16,0)</f>
        <v>0</v>
      </c>
      <c r="N203" s="89" t="n">
        <f aca="false">MAX(N202-N16,0)</f>
        <v>0</v>
      </c>
      <c r="O203" s="89" t="n">
        <f aca="false">MAX(O202-O16,0)</f>
        <v>0</v>
      </c>
      <c r="P203" s="89" t="n">
        <f aca="false">MAX(P202-P16,0)</f>
        <v>0</v>
      </c>
      <c r="Q203" s="89" t="n">
        <f aca="false">MAX(Q202-Q16,0)</f>
        <v>0</v>
      </c>
      <c r="R203" s="89" t="n">
        <f aca="false">MAX(R202-R16,0)</f>
        <v>0</v>
      </c>
      <c r="S203" s="89" t="n">
        <f aca="false">MAX(S202-S16,0)</f>
        <v>0</v>
      </c>
    </row>
    <row r="204" customFormat="false" ht="15" hidden="false" customHeight="false" outlineLevel="0" collapsed="false">
      <c r="A204" s="73" t="s">
        <v>1005</v>
      </c>
      <c r="B204" s="74" t="s">
        <v>1008</v>
      </c>
      <c r="C204" s="66" t="s">
        <v>132</v>
      </c>
      <c r="D204" s="43" t="s">
        <v>37</v>
      </c>
      <c r="E204" s="75" t="s">
        <v>1002</v>
      </c>
      <c r="F204" s="76"/>
      <c r="G204" s="90" t="str">
        <f aca="false">IF(G203&gt;0.5,"ERROR — sobre-asignación","OK")</f>
        <v>OK</v>
      </c>
      <c r="H204" s="90" t="str">
        <f aca="false">IF(H203&gt;0.5,"ERROR — sobre-asignación","OK")</f>
        <v>OK</v>
      </c>
      <c r="I204" s="90" t="str">
        <f aca="false">IF(I203&gt;0.5,"ERROR — sobre-asignación","OK")</f>
        <v>OK</v>
      </c>
      <c r="J204" s="90" t="str">
        <f aca="false">IF(J203&gt;0.5,"ERROR — sobre-asignación","OK")</f>
        <v>OK</v>
      </c>
      <c r="K204" s="90" t="str">
        <f aca="false">IF(K203&gt;0.5,"ERROR — sobre-asignación","OK")</f>
        <v>OK</v>
      </c>
      <c r="L204" s="90" t="str">
        <f aca="false">IF(L203&gt;0.5,"ERROR — sobre-asignación","OK")</f>
        <v>OK</v>
      </c>
      <c r="M204" s="90" t="str">
        <f aca="false">IF(M203&gt;0.5,"ERROR — sobre-asignación","OK")</f>
        <v>OK</v>
      </c>
      <c r="N204" s="90" t="str">
        <f aca="false">IF(N203&gt;0.5,"ERROR — sobre-asignación","OK")</f>
        <v>OK</v>
      </c>
      <c r="O204" s="90" t="str">
        <f aca="false">IF(O203&gt;0.5,"ERROR — sobre-asignación","OK")</f>
        <v>OK</v>
      </c>
      <c r="P204" s="90" t="str">
        <f aca="false">IF(P203&gt;0.5,"ERROR — sobre-asignación","OK")</f>
        <v>OK</v>
      </c>
      <c r="Q204" s="90" t="str">
        <f aca="false">IF(Q203&gt;0.5,"ERROR — sobre-asignación","OK")</f>
        <v>OK</v>
      </c>
      <c r="R204" s="90" t="str">
        <f aca="false">IF(R203&gt;0.5,"ERROR — sobre-asignación","OK")</f>
        <v>OK</v>
      </c>
      <c r="S204" s="90" t="str">
        <f aca="false">IF(S203&gt;0.5,"ERROR — sobre-asignación","OK")</f>
        <v>OK</v>
      </c>
    </row>
    <row r="205" customFormat="false" ht="15" hidden="false" customHeight="false" outlineLevel="0" collapsed="false">
      <c r="A205" s="73" t="s">
        <v>1005</v>
      </c>
      <c r="B205" s="74" t="s">
        <v>1009</v>
      </c>
      <c r="C205" s="66" t="s">
        <v>132</v>
      </c>
      <c r="D205" s="43" t="s">
        <v>332</v>
      </c>
      <c r="E205" s="75" t="s">
        <v>917</v>
      </c>
      <c r="F205" s="76"/>
      <c r="G205" s="78" t="n">
        <f aca="false">IF(G204="OK",MIN(G202,G16),0)</f>
        <v>0</v>
      </c>
      <c r="H205" s="78" t="n">
        <f aca="false">IF(H204="OK",MIN(H202,H16),0)</f>
        <v>0</v>
      </c>
      <c r="I205" s="78" t="n">
        <f aca="false">IF(I204="OK",MIN(I202,I16),0)</f>
        <v>0</v>
      </c>
      <c r="J205" s="78" t="n">
        <f aca="false">IF(J204="OK",MIN(J202,J16),0)</f>
        <v>0</v>
      </c>
      <c r="K205" s="78" t="n">
        <f aca="false">IF(K204="OK",MIN(K202,K16),0)</f>
        <v>0</v>
      </c>
      <c r="L205" s="78" t="n">
        <f aca="false">IF(L204="OK",MIN(L202,L16),0)</f>
        <v>0</v>
      </c>
      <c r="M205" s="78" t="n">
        <f aca="false">IF(M204="OK",MIN(M202,M16),0)</f>
        <v>0</v>
      </c>
      <c r="N205" s="78" t="n">
        <f aca="false">IF(N204="OK",MIN(N202,N16),0)</f>
        <v>0</v>
      </c>
      <c r="O205" s="78" t="n">
        <f aca="false">IF(O204="OK",MIN(O202,O16),0)</f>
        <v>0</v>
      </c>
      <c r="P205" s="78" t="n">
        <f aca="false">IF(P204="OK",MIN(P202,P16),0)</f>
        <v>0</v>
      </c>
      <c r="Q205" s="78" t="n">
        <f aca="false">IF(Q204="OK",MIN(Q202,Q16),0)</f>
        <v>0</v>
      </c>
      <c r="R205" s="78" t="n">
        <f aca="false">IF(R204="OK",MIN(R202,R16),0)</f>
        <v>0</v>
      </c>
      <c r="S205" s="78" t="n">
        <f aca="false">IF(S204="OK",MIN(S202,S16),0)</f>
        <v>0</v>
      </c>
    </row>
    <row r="206" customFormat="false" ht="15" hidden="false" customHeight="false" outlineLevel="0" collapsed="false">
      <c r="A206" s="73" t="s">
        <v>1005</v>
      </c>
      <c r="B206" s="74" t="s">
        <v>1010</v>
      </c>
      <c r="C206" s="66" t="s">
        <v>132</v>
      </c>
      <c r="D206" s="43" t="s">
        <v>332</v>
      </c>
      <c r="E206" s="75" t="s">
        <v>917</v>
      </c>
      <c r="F206" s="76"/>
      <c r="G206" s="36" t="n">
        <f aca="false">IF(G204="OK",MAX(G16-G202,0),0)</f>
        <v>0</v>
      </c>
      <c r="H206" s="36" t="n">
        <f aca="false">IF(H204="OK",MAX(H16-H202,0),0)</f>
        <v>0</v>
      </c>
      <c r="I206" s="36" t="n">
        <f aca="false">IF(I204="OK",MAX(I16-I202,0),0)</f>
        <v>0</v>
      </c>
      <c r="J206" s="36" t="n">
        <f aca="false">IF(J204="OK",MAX(J16-J202,0),0)</f>
        <v>0</v>
      </c>
      <c r="K206" s="36" t="n">
        <f aca="false">IF(K204="OK",MAX(K16-K202,0),0)</f>
        <v>0</v>
      </c>
      <c r="L206" s="36" t="n">
        <f aca="false">IF(L204="OK",MAX(L16-L202,0),0)</f>
        <v>0</v>
      </c>
      <c r="M206" s="36" t="n">
        <f aca="false">IF(M204="OK",MAX(M16-M202,0),0)</f>
        <v>0</v>
      </c>
      <c r="N206" s="36" t="n">
        <f aca="false">IF(N204="OK",MAX(N16-N202,0),0)</f>
        <v>0</v>
      </c>
      <c r="O206" s="36" t="n">
        <f aca="false">IF(O204="OK",MAX(O16-O202,0),0)</f>
        <v>0</v>
      </c>
      <c r="P206" s="36" t="n">
        <f aca="false">IF(P204="OK",MAX(P16-P202,0),0)</f>
        <v>0</v>
      </c>
      <c r="Q206" s="36" t="n">
        <f aca="false">IF(Q204="OK",MAX(Q16-Q202,0),0)</f>
        <v>0</v>
      </c>
      <c r="R206" s="36" t="n">
        <f aca="false">IF(R204="OK",MAX(R16-R202,0),0)</f>
        <v>0</v>
      </c>
      <c r="S206" s="36" t="n">
        <f aca="false">IF(S204="OK",MAX(S16-S202,0),0)</f>
        <v>0</v>
      </c>
    </row>
    <row r="207" customFormat="false" ht="15" hidden="false" customHeight="false" outlineLevel="0" collapsed="false">
      <c r="A207" s="73" t="s">
        <v>1005</v>
      </c>
      <c r="B207" s="74" t="s">
        <v>1006</v>
      </c>
      <c r="C207" s="66" t="s">
        <v>133</v>
      </c>
      <c r="D207" s="43" t="s">
        <v>332</v>
      </c>
      <c r="E207" s="75" t="s">
        <v>43</v>
      </c>
      <c r="F207" s="76"/>
      <c r="G207" s="36" t="n">
        <f aca="false">(IF(G37="China",G72,0)+IF(G38="China",G78,0)+IF(G39="China",G84,0))+(IF(G49="China",G75,0)+IF(G50="China",G81,0)+IF(G51="China",G87,0))</f>
        <v>0</v>
      </c>
      <c r="H207" s="36" t="n">
        <f aca="false">(IF(H37="China",H72,0)+IF(H38="China",H78,0)+IF(H39="China",H84,0))+(IF(H49="China",H75,0)+IF(H50="China",H81,0)+IF(H51="China",H87,0))</f>
        <v>0</v>
      </c>
      <c r="I207" s="36" t="n">
        <f aca="false">(IF(I37="China",I72,0)+IF(I38="China",I78,0)+IF(I39="China",I84,0))+(IF(I49="China",I75,0)+IF(I50="China",I81,0)+IF(I51="China",I87,0))</f>
        <v>669333.512286469</v>
      </c>
      <c r="J207" s="36" t="n">
        <f aca="false">(IF(J37="China",J72,0)+IF(J38="China",J78,0)+IF(J39="China",J84,0))+(IF(J49="China",J75,0)+IF(J50="China",J81,0)+IF(J51="China",J87,0))</f>
        <v>0</v>
      </c>
      <c r="K207" s="36" t="n">
        <f aca="false">(IF(K37="China",K72,0)+IF(K38="China",K78,0)+IF(K39="China",K84,0))+(IF(K49="China",K75,0)+IF(K50="China",K81,0)+IF(K51="China",K87,0))</f>
        <v>0</v>
      </c>
      <c r="L207" s="36" t="n">
        <f aca="false">(IF(L37="China",L72,0)+IF(L38="China",L78,0)+IF(L39="China",L84,0))+(IF(L49="China",L75,0)+IF(L50="China",L81,0)+IF(L51="China",L87,0))</f>
        <v>0</v>
      </c>
      <c r="M207" s="36" t="n">
        <f aca="false">(IF(M37="China",M72,0)+IF(M38="China",M78,0)+IF(M39="China",M84,0))+(IF(M49="China",M75,0)+IF(M50="China",M81,0)+IF(M51="China",M87,0))</f>
        <v>0</v>
      </c>
      <c r="N207" s="36" t="n">
        <f aca="false">(IF(N37="China",N72,0)+IF(N38="China",N78,0)+IF(N39="China",N84,0))+(IF(N49="China",N75,0)+IF(N50="China",N81,0)+IF(N51="China",N87,0))</f>
        <v>0</v>
      </c>
      <c r="O207" s="36" t="n">
        <f aca="false">(IF(O37="China",O72,0)+IF(O38="China",O78,0)+IF(O39="China",O84,0))+(IF(O49="China",O75,0)+IF(O50="China",O81,0)+IF(O51="China",O87,0))</f>
        <v>0</v>
      </c>
      <c r="P207" s="36" t="n">
        <f aca="false">(IF(P37="China",P72,0)+IF(P38="China",P78,0)+IF(P39="China",P84,0))+(IF(P49="China",P75,0)+IF(P50="China",P81,0)+IF(P51="China",P87,0))</f>
        <v>0</v>
      </c>
      <c r="Q207" s="36" t="n">
        <f aca="false">(IF(Q37="China",Q72,0)+IF(Q38="China",Q78,0)+IF(Q39="China",Q84,0))+(IF(Q49="China",Q75,0)+IF(Q50="China",Q81,0)+IF(Q51="China",Q87,0))</f>
        <v>0</v>
      </c>
      <c r="R207" s="36" t="n">
        <f aca="false">(IF(R37="China",R72,0)+IF(R38="China",R78,0)+IF(R39="China",R84,0))+(IF(R49="China",R75,0)+IF(R50="China",R81,0)+IF(R51="China",R87,0))</f>
        <v>0</v>
      </c>
      <c r="S207" s="36" t="n">
        <f aca="false">(IF(S37="China",S72,0)+IF(S38="China",S78,0)+IF(S39="China",S84,0))+(IF(S49="China",S75,0)+IF(S50="China",S81,0)+IF(S51="China",S87,0))</f>
        <v>0</v>
      </c>
    </row>
    <row r="208" customFormat="false" ht="15" hidden="false" customHeight="false" outlineLevel="0" collapsed="false">
      <c r="A208" s="73" t="s">
        <v>1005</v>
      </c>
      <c r="B208" s="74" t="s">
        <v>1007</v>
      </c>
      <c r="C208" s="66" t="s">
        <v>133</v>
      </c>
      <c r="D208" s="43" t="s">
        <v>332</v>
      </c>
      <c r="E208" s="75" t="s">
        <v>1002</v>
      </c>
      <c r="F208" s="76"/>
      <c r="G208" s="89" t="n">
        <f aca="false">MAX(G207-G17,0)</f>
        <v>0</v>
      </c>
      <c r="H208" s="89" t="n">
        <f aca="false">MAX(H207-H17,0)</f>
        <v>0</v>
      </c>
      <c r="I208" s="89" t="n">
        <f aca="false">MAX(I207-I17,0)</f>
        <v>0</v>
      </c>
      <c r="J208" s="89" t="n">
        <f aca="false">MAX(J207-J17,0)</f>
        <v>0</v>
      </c>
      <c r="K208" s="89" t="n">
        <f aca="false">MAX(K207-K17,0)</f>
        <v>0</v>
      </c>
      <c r="L208" s="89" t="n">
        <f aca="false">MAX(L207-L17,0)</f>
        <v>0</v>
      </c>
      <c r="M208" s="89" t="n">
        <f aca="false">MAX(M207-M17,0)</f>
        <v>0</v>
      </c>
      <c r="N208" s="89" t="n">
        <f aca="false">MAX(N207-N17,0)</f>
        <v>0</v>
      </c>
      <c r="O208" s="89" t="n">
        <f aca="false">MAX(O207-O17,0)</f>
        <v>0</v>
      </c>
      <c r="P208" s="89" t="n">
        <f aca="false">MAX(P207-P17,0)</f>
        <v>0</v>
      </c>
      <c r="Q208" s="89" t="n">
        <f aca="false">MAX(Q207-Q17,0)</f>
        <v>0</v>
      </c>
      <c r="R208" s="89" t="n">
        <f aca="false">MAX(R207-R17,0)</f>
        <v>0</v>
      </c>
      <c r="S208" s="89" t="n">
        <f aca="false">MAX(S207-S17,0)</f>
        <v>0</v>
      </c>
    </row>
    <row r="209" customFormat="false" ht="15" hidden="false" customHeight="false" outlineLevel="0" collapsed="false">
      <c r="A209" s="73" t="s">
        <v>1005</v>
      </c>
      <c r="B209" s="74" t="s">
        <v>1008</v>
      </c>
      <c r="C209" s="66" t="s">
        <v>133</v>
      </c>
      <c r="D209" s="43" t="s">
        <v>37</v>
      </c>
      <c r="E209" s="75" t="s">
        <v>1002</v>
      </c>
      <c r="F209" s="76"/>
      <c r="G209" s="90" t="str">
        <f aca="false">IF(G208&gt;0.5,"ERROR — sobre-asignación","OK")</f>
        <v>OK</v>
      </c>
      <c r="H209" s="90" t="str">
        <f aca="false">IF(H208&gt;0.5,"ERROR — sobre-asignación","OK")</f>
        <v>OK</v>
      </c>
      <c r="I209" s="90" t="str">
        <f aca="false">IF(I208&gt;0.5,"ERROR — sobre-asignación","OK")</f>
        <v>OK</v>
      </c>
      <c r="J209" s="90" t="str">
        <f aca="false">IF(J208&gt;0.5,"ERROR — sobre-asignación","OK")</f>
        <v>OK</v>
      </c>
      <c r="K209" s="90" t="str">
        <f aca="false">IF(K208&gt;0.5,"ERROR — sobre-asignación","OK")</f>
        <v>OK</v>
      </c>
      <c r="L209" s="90" t="str">
        <f aca="false">IF(L208&gt;0.5,"ERROR — sobre-asignación","OK")</f>
        <v>OK</v>
      </c>
      <c r="M209" s="90" t="str">
        <f aca="false">IF(M208&gt;0.5,"ERROR — sobre-asignación","OK")</f>
        <v>OK</v>
      </c>
      <c r="N209" s="90" t="str">
        <f aca="false">IF(N208&gt;0.5,"ERROR — sobre-asignación","OK")</f>
        <v>OK</v>
      </c>
      <c r="O209" s="90" t="str">
        <f aca="false">IF(O208&gt;0.5,"ERROR — sobre-asignación","OK")</f>
        <v>OK</v>
      </c>
      <c r="P209" s="90" t="str">
        <f aca="false">IF(P208&gt;0.5,"ERROR — sobre-asignación","OK")</f>
        <v>OK</v>
      </c>
      <c r="Q209" s="90" t="str">
        <f aca="false">IF(Q208&gt;0.5,"ERROR — sobre-asignación","OK")</f>
        <v>OK</v>
      </c>
      <c r="R209" s="90" t="str">
        <f aca="false">IF(R208&gt;0.5,"ERROR — sobre-asignación","OK")</f>
        <v>OK</v>
      </c>
      <c r="S209" s="90" t="str">
        <f aca="false">IF(S208&gt;0.5,"ERROR — sobre-asignación","OK")</f>
        <v>OK</v>
      </c>
    </row>
    <row r="210" customFormat="false" ht="15" hidden="false" customHeight="false" outlineLevel="0" collapsed="false">
      <c r="A210" s="73" t="s">
        <v>1005</v>
      </c>
      <c r="B210" s="74" t="s">
        <v>1009</v>
      </c>
      <c r="C210" s="66" t="s">
        <v>133</v>
      </c>
      <c r="D210" s="43" t="s">
        <v>332</v>
      </c>
      <c r="E210" s="75" t="s">
        <v>917</v>
      </c>
      <c r="F210" s="76"/>
      <c r="G210" s="78" t="n">
        <f aca="false">IF(G209="OK",MIN(G207,G17),0)</f>
        <v>0</v>
      </c>
      <c r="H210" s="78" t="n">
        <f aca="false">IF(H209="OK",MIN(H207,H17),0)</f>
        <v>0</v>
      </c>
      <c r="I210" s="78" t="n">
        <f aca="false">IF(I209="OK",MIN(I207,I17),0)</f>
        <v>669333.512286469</v>
      </c>
      <c r="J210" s="78" t="n">
        <f aca="false">IF(J209="OK",MIN(J207,J17),0)</f>
        <v>0</v>
      </c>
      <c r="K210" s="78" t="n">
        <f aca="false">IF(K209="OK",MIN(K207,K17),0)</f>
        <v>0</v>
      </c>
      <c r="L210" s="78" t="n">
        <f aca="false">IF(L209="OK",MIN(L207,L17),0)</f>
        <v>0</v>
      </c>
      <c r="M210" s="78" t="n">
        <f aca="false">IF(M209="OK",MIN(M207,M17),0)</f>
        <v>0</v>
      </c>
      <c r="N210" s="78" t="n">
        <f aca="false">IF(N209="OK",MIN(N207,N17),0)</f>
        <v>0</v>
      </c>
      <c r="O210" s="78" t="n">
        <f aca="false">IF(O209="OK",MIN(O207,O17),0)</f>
        <v>0</v>
      </c>
      <c r="P210" s="78" t="n">
        <f aca="false">IF(P209="OK",MIN(P207,P17),0)</f>
        <v>0</v>
      </c>
      <c r="Q210" s="78" t="n">
        <f aca="false">IF(Q209="OK",MIN(Q207,Q17),0)</f>
        <v>0</v>
      </c>
      <c r="R210" s="78" t="n">
        <f aca="false">IF(R209="OK",MIN(R207,R17),0)</f>
        <v>0</v>
      </c>
      <c r="S210" s="78" t="n">
        <f aca="false">IF(S209="OK",MIN(S207,S17),0)</f>
        <v>0</v>
      </c>
    </row>
    <row r="211" customFormat="false" ht="15" hidden="false" customHeight="false" outlineLevel="0" collapsed="false">
      <c r="A211" s="73" t="s">
        <v>1005</v>
      </c>
      <c r="B211" s="74" t="s">
        <v>1010</v>
      </c>
      <c r="C211" s="66" t="s">
        <v>133</v>
      </c>
      <c r="D211" s="43" t="s">
        <v>332</v>
      </c>
      <c r="E211" s="75" t="s">
        <v>917</v>
      </c>
      <c r="F211" s="76"/>
      <c r="G211" s="36" t="n">
        <f aca="false">IF(G209="OK",MAX(G17-G207,0),0)</f>
        <v>515000</v>
      </c>
      <c r="H211" s="36" t="n">
        <f aca="false">IF(H209="OK",MAX(H17-H207,0),0)</f>
        <v>515109</v>
      </c>
      <c r="I211" s="36" t="n">
        <f aca="false">IF(I209="OK",MAX(I17-I207,0),0)</f>
        <v>0</v>
      </c>
      <c r="J211" s="36" t="n">
        <f aca="false">IF(J209="OK",MAX(J17-J207,0),0)</f>
        <v>0</v>
      </c>
      <c r="K211" s="36" t="n">
        <f aca="false">IF(K209="OK",MAX(K17-K207,0),0)</f>
        <v>0</v>
      </c>
      <c r="L211" s="36" t="n">
        <f aca="false">IF(L209="OK",MAX(L17-L207,0),0)</f>
        <v>0</v>
      </c>
      <c r="M211" s="36" t="n">
        <f aca="false">IF(M209="OK",MAX(M17-M207,0),0)</f>
        <v>0</v>
      </c>
      <c r="N211" s="36" t="n">
        <f aca="false">IF(N209="OK",MAX(N17-N207,0),0)</f>
        <v>0</v>
      </c>
      <c r="O211" s="36" t="n">
        <f aca="false">IF(O209="OK",MAX(O17-O207,0),0)</f>
        <v>0</v>
      </c>
      <c r="P211" s="36" t="n">
        <f aca="false">IF(P209="OK",MAX(P17-P207,0),0)</f>
        <v>0</v>
      </c>
      <c r="Q211" s="36" t="n">
        <f aca="false">IF(Q209="OK",MAX(Q17-Q207,0),0)</f>
        <v>0</v>
      </c>
      <c r="R211" s="36" t="n">
        <f aca="false">IF(R209="OK",MAX(R17-R207,0),0)</f>
        <v>0</v>
      </c>
      <c r="S211" s="36" t="n">
        <f aca="false">IF(S209="OK",MAX(S17-S207,0),0)</f>
        <v>0</v>
      </c>
    </row>
    <row r="212" customFormat="false" ht="15" hidden="false" customHeight="false" outlineLevel="0" collapsed="false">
      <c r="A212" s="73" t="s">
        <v>1005</v>
      </c>
      <c r="B212" s="74" t="s">
        <v>1006</v>
      </c>
      <c r="C212" s="66" t="s">
        <v>134</v>
      </c>
      <c r="D212" s="43" t="s">
        <v>332</v>
      </c>
      <c r="E212" s="75" t="s">
        <v>43</v>
      </c>
      <c r="F212" s="76"/>
      <c r="G212" s="36" t="n">
        <f aca="false">(IF(G40="China",G99,0)+IF(G41="China",G105,0)+IF(G42="China",G111,0))+(IF(G52="China",G102,0)+IF(G53="China",G108,0)+IF(G54="China",G114,0))</f>
        <v>0</v>
      </c>
      <c r="H212" s="36" t="n">
        <f aca="false">(IF(H40="China",H99,0)+IF(H41="China",H105,0)+IF(H42="China",H111,0))+(IF(H52="China",H102,0)+IF(H53="China",H108,0)+IF(H54="China",H114,0))</f>
        <v>0</v>
      </c>
      <c r="I212" s="36" t="n">
        <f aca="false">(IF(I40="China",I99,0)+IF(I41="China",I105,0)+IF(I42="China",I111,0))+(IF(I52="China",I102,0)+IF(I53="China",I108,0)+IF(I54="China",I114,0))</f>
        <v>231373.327265748</v>
      </c>
      <c r="J212" s="36" t="n">
        <f aca="false">(IF(J40="China",J99,0)+IF(J41="China",J105,0)+IF(J42="China",J111,0))+(IF(J52="China",J102,0)+IF(J53="China",J108,0)+IF(J54="China",J114,0))</f>
        <v>0</v>
      </c>
      <c r="K212" s="36" t="n">
        <f aca="false">(IF(K40="China",K99,0)+IF(K41="China",K105,0)+IF(K42="China",K111,0))+(IF(K52="China",K102,0)+IF(K53="China",K108,0)+IF(K54="China",K114,0))</f>
        <v>0</v>
      </c>
      <c r="L212" s="36" t="n">
        <f aca="false">(IF(L40="China",L99,0)+IF(L41="China",L105,0)+IF(L42="China",L111,0))+(IF(L52="China",L102,0)+IF(L53="China",L108,0)+IF(L54="China",L114,0))</f>
        <v>0</v>
      </c>
      <c r="M212" s="36" t="n">
        <f aca="false">(IF(M40="China",M99,0)+IF(M41="China",M105,0)+IF(M42="China",M111,0))+(IF(M52="China",M102,0)+IF(M53="China",M108,0)+IF(M54="China",M114,0))</f>
        <v>0</v>
      </c>
      <c r="N212" s="36" t="n">
        <f aca="false">(IF(N40="China",N99,0)+IF(N41="China",N105,0)+IF(N42="China",N111,0))+(IF(N52="China",N102,0)+IF(N53="China",N108,0)+IF(N54="China",N114,0))</f>
        <v>0</v>
      </c>
      <c r="O212" s="36" t="n">
        <f aca="false">(IF(O40="China",O99,0)+IF(O41="China",O105,0)+IF(O42="China",O111,0))+(IF(O52="China",O102,0)+IF(O53="China",O108,0)+IF(O54="China",O114,0))</f>
        <v>0</v>
      </c>
      <c r="P212" s="36" t="n">
        <f aca="false">(IF(P40="China",P99,0)+IF(P41="China",P105,0)+IF(P42="China",P111,0))+(IF(P52="China",P102,0)+IF(P53="China",P108,0)+IF(P54="China",P114,0))</f>
        <v>0</v>
      </c>
      <c r="Q212" s="36" t="n">
        <f aca="false">(IF(Q40="China",Q99,0)+IF(Q41="China",Q105,0)+IF(Q42="China",Q111,0))+(IF(Q52="China",Q102,0)+IF(Q53="China",Q108,0)+IF(Q54="China",Q114,0))</f>
        <v>0</v>
      </c>
      <c r="R212" s="36" t="n">
        <f aca="false">(IF(R40="China",R99,0)+IF(R41="China",R105,0)+IF(R42="China",R111,0))+(IF(R52="China",R102,0)+IF(R53="China",R108,0)+IF(R54="China",R114,0))</f>
        <v>0</v>
      </c>
      <c r="S212" s="36" t="n">
        <f aca="false">(IF(S40="China",S99,0)+IF(S41="China",S105,0)+IF(S42="China",S111,0))+(IF(S52="China",S102,0)+IF(S53="China",S108,0)+IF(S54="China",S114,0))</f>
        <v>0</v>
      </c>
    </row>
    <row r="213" customFormat="false" ht="15" hidden="false" customHeight="false" outlineLevel="0" collapsed="false">
      <c r="A213" s="73" t="s">
        <v>1005</v>
      </c>
      <c r="B213" s="74" t="s">
        <v>1007</v>
      </c>
      <c r="C213" s="66" t="s">
        <v>134</v>
      </c>
      <c r="D213" s="43" t="s">
        <v>332</v>
      </c>
      <c r="E213" s="75" t="s">
        <v>1002</v>
      </c>
      <c r="F213" s="76"/>
      <c r="G213" s="89" t="n">
        <f aca="false">MAX(G212-G18,0)</f>
        <v>0</v>
      </c>
      <c r="H213" s="89" t="n">
        <f aca="false">MAX(H212-H18,0)</f>
        <v>0</v>
      </c>
      <c r="I213" s="89" t="n">
        <f aca="false">MAX(I212-I18,0)</f>
        <v>0</v>
      </c>
      <c r="J213" s="89" t="n">
        <f aca="false">MAX(J212-J18,0)</f>
        <v>0</v>
      </c>
      <c r="K213" s="89" t="n">
        <f aca="false">MAX(K212-K18,0)</f>
        <v>0</v>
      </c>
      <c r="L213" s="89" t="n">
        <f aca="false">MAX(L212-L18,0)</f>
        <v>0</v>
      </c>
      <c r="M213" s="89" t="n">
        <f aca="false">MAX(M212-M18,0)</f>
        <v>0</v>
      </c>
      <c r="N213" s="89" t="n">
        <f aca="false">MAX(N212-N18,0)</f>
        <v>0</v>
      </c>
      <c r="O213" s="89" t="n">
        <f aca="false">MAX(O212-O18,0)</f>
        <v>0</v>
      </c>
      <c r="P213" s="89" t="n">
        <f aca="false">MAX(P212-P18,0)</f>
        <v>0</v>
      </c>
      <c r="Q213" s="89" t="n">
        <f aca="false">MAX(Q212-Q18,0)</f>
        <v>0</v>
      </c>
      <c r="R213" s="89" t="n">
        <f aca="false">MAX(R212-R18,0)</f>
        <v>0</v>
      </c>
      <c r="S213" s="89" t="n">
        <f aca="false">MAX(S212-S18,0)</f>
        <v>0</v>
      </c>
    </row>
    <row r="214" customFormat="false" ht="15" hidden="false" customHeight="false" outlineLevel="0" collapsed="false">
      <c r="A214" s="73" t="s">
        <v>1005</v>
      </c>
      <c r="B214" s="74" t="s">
        <v>1008</v>
      </c>
      <c r="C214" s="66" t="s">
        <v>134</v>
      </c>
      <c r="D214" s="43" t="s">
        <v>37</v>
      </c>
      <c r="E214" s="75" t="s">
        <v>1002</v>
      </c>
      <c r="F214" s="76"/>
      <c r="G214" s="90" t="str">
        <f aca="false">IF(G213&gt;0.5,"ERROR — sobre-asignación","OK")</f>
        <v>OK</v>
      </c>
      <c r="H214" s="90" t="str">
        <f aca="false">IF(H213&gt;0.5,"ERROR — sobre-asignación","OK")</f>
        <v>OK</v>
      </c>
      <c r="I214" s="90" t="str">
        <f aca="false">IF(I213&gt;0.5,"ERROR — sobre-asignación","OK")</f>
        <v>OK</v>
      </c>
      <c r="J214" s="90" t="str">
        <f aca="false">IF(J213&gt;0.5,"ERROR — sobre-asignación","OK")</f>
        <v>OK</v>
      </c>
      <c r="K214" s="90" t="str">
        <f aca="false">IF(K213&gt;0.5,"ERROR — sobre-asignación","OK")</f>
        <v>OK</v>
      </c>
      <c r="L214" s="90" t="str">
        <f aca="false">IF(L213&gt;0.5,"ERROR — sobre-asignación","OK")</f>
        <v>OK</v>
      </c>
      <c r="M214" s="90" t="str">
        <f aca="false">IF(M213&gt;0.5,"ERROR — sobre-asignación","OK")</f>
        <v>OK</v>
      </c>
      <c r="N214" s="90" t="str">
        <f aca="false">IF(N213&gt;0.5,"ERROR — sobre-asignación","OK")</f>
        <v>OK</v>
      </c>
      <c r="O214" s="90" t="str">
        <f aca="false">IF(O213&gt;0.5,"ERROR — sobre-asignación","OK")</f>
        <v>OK</v>
      </c>
      <c r="P214" s="90" t="str">
        <f aca="false">IF(P213&gt;0.5,"ERROR — sobre-asignación","OK")</f>
        <v>OK</v>
      </c>
      <c r="Q214" s="90" t="str">
        <f aca="false">IF(Q213&gt;0.5,"ERROR — sobre-asignación","OK")</f>
        <v>OK</v>
      </c>
      <c r="R214" s="90" t="str">
        <f aca="false">IF(R213&gt;0.5,"ERROR — sobre-asignación","OK")</f>
        <v>OK</v>
      </c>
      <c r="S214" s="90" t="str">
        <f aca="false">IF(S213&gt;0.5,"ERROR — sobre-asignación","OK")</f>
        <v>OK</v>
      </c>
    </row>
    <row r="215" customFormat="false" ht="15" hidden="false" customHeight="false" outlineLevel="0" collapsed="false">
      <c r="A215" s="73" t="s">
        <v>1005</v>
      </c>
      <c r="B215" s="74" t="s">
        <v>1009</v>
      </c>
      <c r="C215" s="66" t="s">
        <v>134</v>
      </c>
      <c r="D215" s="43" t="s">
        <v>332</v>
      </c>
      <c r="E215" s="75" t="s">
        <v>917</v>
      </c>
      <c r="F215" s="76"/>
      <c r="G215" s="78" t="n">
        <f aca="false">IF(G214="OK",MIN(G212,G18),0)</f>
        <v>0</v>
      </c>
      <c r="H215" s="78" t="n">
        <f aca="false">IF(H214="OK",MIN(H212,H18),0)</f>
        <v>0</v>
      </c>
      <c r="I215" s="78" t="n">
        <f aca="false">IF(I214="OK",MIN(I212,I18),0)</f>
        <v>231373.327265748</v>
      </c>
      <c r="J215" s="78" t="n">
        <f aca="false">IF(J214="OK",MIN(J212,J18),0)</f>
        <v>0</v>
      </c>
      <c r="K215" s="78" t="n">
        <f aca="false">IF(K214="OK",MIN(K212,K18),0)</f>
        <v>0</v>
      </c>
      <c r="L215" s="78" t="n">
        <f aca="false">IF(L214="OK",MIN(L212,L18),0)</f>
        <v>0</v>
      </c>
      <c r="M215" s="78" t="n">
        <f aca="false">IF(M214="OK",MIN(M212,M18),0)</f>
        <v>0</v>
      </c>
      <c r="N215" s="78" t="n">
        <f aca="false">IF(N214="OK",MIN(N212,N18),0)</f>
        <v>0</v>
      </c>
      <c r="O215" s="78" t="n">
        <f aca="false">IF(O214="OK",MIN(O212,O18),0)</f>
        <v>0</v>
      </c>
      <c r="P215" s="78" t="n">
        <f aca="false">IF(P214="OK",MIN(P212,P18),0)</f>
        <v>0</v>
      </c>
      <c r="Q215" s="78" t="n">
        <f aca="false">IF(Q214="OK",MIN(Q212,Q18),0)</f>
        <v>0</v>
      </c>
      <c r="R215" s="78" t="n">
        <f aca="false">IF(R214="OK",MIN(R212,R18),0)</f>
        <v>0</v>
      </c>
      <c r="S215" s="78" t="n">
        <f aca="false">IF(S214="OK",MIN(S212,S18),0)</f>
        <v>0</v>
      </c>
    </row>
    <row r="216" customFormat="false" ht="15" hidden="false" customHeight="false" outlineLevel="0" collapsed="false">
      <c r="A216" s="73" t="s">
        <v>1005</v>
      </c>
      <c r="B216" s="74" t="s">
        <v>1010</v>
      </c>
      <c r="C216" s="66" t="s">
        <v>134</v>
      </c>
      <c r="D216" s="43" t="s">
        <v>332</v>
      </c>
      <c r="E216" s="75" t="s">
        <v>917</v>
      </c>
      <c r="F216" s="76"/>
      <c r="G216" s="36" t="n">
        <f aca="false">IF(G214="OK",MAX(G18-G212,0),0)</f>
        <v>0</v>
      </c>
      <c r="H216" s="36" t="n">
        <f aca="false">IF(H214="OK",MAX(H18-H212,0),0)</f>
        <v>156005</v>
      </c>
      <c r="I216" s="36" t="n">
        <f aca="false">IF(I214="OK",MAX(I18-I212,0),0)</f>
        <v>0</v>
      </c>
      <c r="J216" s="36" t="n">
        <f aca="false">IF(J214="OK",MAX(J18-J212,0),0)</f>
        <v>0</v>
      </c>
      <c r="K216" s="36" t="n">
        <f aca="false">IF(K214="OK",MAX(K18-K212,0),0)</f>
        <v>0</v>
      </c>
      <c r="L216" s="36" t="n">
        <f aca="false">IF(L214="OK",MAX(L18-L212,0),0)</f>
        <v>0</v>
      </c>
      <c r="M216" s="36" t="n">
        <f aca="false">IF(M214="OK",MAX(M18-M212,0),0)</f>
        <v>0</v>
      </c>
      <c r="N216" s="36" t="n">
        <f aca="false">IF(N214="OK",MAX(N18-N212,0),0)</f>
        <v>0</v>
      </c>
      <c r="O216" s="36" t="n">
        <f aca="false">IF(O214="OK",MAX(O18-O212,0),0)</f>
        <v>0</v>
      </c>
      <c r="P216" s="36" t="n">
        <f aca="false">IF(P214="OK",MAX(P18-P212,0),0)</f>
        <v>0</v>
      </c>
      <c r="Q216" s="36" t="n">
        <f aca="false">IF(Q214="OK",MAX(Q18-Q212,0),0)</f>
        <v>0</v>
      </c>
      <c r="R216" s="36" t="n">
        <f aca="false">IF(R214="OK",MAX(R18-R212,0),0)</f>
        <v>0</v>
      </c>
      <c r="S216" s="36" t="n">
        <f aca="false">IF(S214="OK",MAX(S18-S212,0),0)</f>
        <v>0</v>
      </c>
    </row>
    <row r="217" customFormat="false" ht="15" hidden="false" customHeight="false" outlineLevel="0" collapsed="false">
      <c r="A217" s="73" t="s">
        <v>1005</v>
      </c>
      <c r="B217" s="74" t="s">
        <v>1006</v>
      </c>
      <c r="C217" s="66" t="s">
        <v>135</v>
      </c>
      <c r="D217" s="43" t="s">
        <v>332</v>
      </c>
      <c r="E217" s="75" t="s">
        <v>43</v>
      </c>
      <c r="F217" s="76"/>
      <c r="G217" s="36" t="n">
        <f aca="false">(IF(G43="China",G126,0)+IF(G44="China",G132,0)+IF(G45="China",G138,0))+(IF(G55="China",G129,0)+IF(G56="China",G135,0)+IF(G57="China",G141,0))</f>
        <v>0</v>
      </c>
      <c r="H217" s="36" t="n">
        <f aca="false">(IF(H43="China",H126,0)+IF(H44="China",H132,0)+IF(H45="China",H138,0))+(IF(H55="China",H129,0)+IF(H56="China",H135,0)+IF(H57="China",H141,0))</f>
        <v>0</v>
      </c>
      <c r="I217" s="36" t="n">
        <f aca="false">(IF(I43="China",I126,0)+IF(I44="China",I132,0)+IF(I45="China",I138,0))+(IF(I55="China",I129,0)+IF(I56="China",I135,0)+IF(I57="China",I141,0))</f>
        <v>0</v>
      </c>
      <c r="J217" s="36" t="n">
        <f aca="false">(IF(J43="China",J126,0)+IF(J44="China",J132,0)+IF(J45="China",J138,0))+(IF(J55="China",J129,0)+IF(J56="China",J135,0)+IF(J57="China",J141,0))</f>
        <v>0</v>
      </c>
      <c r="K217" s="36" t="n">
        <f aca="false">(IF(K43="China",K126,0)+IF(K44="China",K132,0)+IF(K45="China",K138,0))+(IF(K55="China",K129,0)+IF(K56="China",K135,0)+IF(K57="China",K141,0))</f>
        <v>0</v>
      </c>
      <c r="L217" s="36" t="n">
        <f aca="false">(IF(L43="China",L126,0)+IF(L44="China",L132,0)+IF(L45="China",L138,0))+(IF(L55="China",L129,0)+IF(L56="China",L135,0)+IF(L57="China",L141,0))</f>
        <v>0</v>
      </c>
      <c r="M217" s="36" t="n">
        <f aca="false">(IF(M43="China",M126,0)+IF(M44="China",M132,0)+IF(M45="China",M138,0))+(IF(M55="China",M129,0)+IF(M56="China",M135,0)+IF(M57="China",M141,0))</f>
        <v>0</v>
      </c>
      <c r="N217" s="36" t="n">
        <f aca="false">(IF(N43="China",N126,0)+IF(N44="China",N132,0)+IF(N45="China",N138,0))+(IF(N55="China",N129,0)+IF(N56="China",N135,0)+IF(N57="China",N141,0))</f>
        <v>0</v>
      </c>
      <c r="O217" s="36" t="n">
        <f aca="false">(IF(O43="China",O126,0)+IF(O44="China",O132,0)+IF(O45="China",O138,0))+(IF(O55="China",O129,0)+IF(O56="China",O135,0)+IF(O57="China",O141,0))</f>
        <v>0</v>
      </c>
      <c r="P217" s="36" t="n">
        <f aca="false">(IF(P43="China",P126,0)+IF(P44="China",P132,0)+IF(P45="China",P138,0))+(IF(P55="China",P129,0)+IF(P56="China",P135,0)+IF(P57="China",P141,0))</f>
        <v>0</v>
      </c>
      <c r="Q217" s="36" t="n">
        <f aca="false">(IF(Q43="China",Q126,0)+IF(Q44="China",Q132,0)+IF(Q45="China",Q138,0))+(IF(Q55="China",Q129,0)+IF(Q56="China",Q135,0)+IF(Q57="China",Q141,0))</f>
        <v>0</v>
      </c>
      <c r="R217" s="36" t="n">
        <f aca="false">(IF(R43="China",R126,0)+IF(R44="China",R132,0)+IF(R45="China",R138,0))+(IF(R55="China",R129,0)+IF(R56="China",R135,0)+IF(R57="China",R141,0))</f>
        <v>0</v>
      </c>
      <c r="S217" s="36" t="n">
        <f aca="false">(IF(S43="China",S126,0)+IF(S44="China",S132,0)+IF(S45="China",S138,0))+(IF(S55="China",S129,0)+IF(S56="China",S135,0)+IF(S57="China",S141,0))</f>
        <v>0</v>
      </c>
    </row>
    <row r="218" customFormat="false" ht="15" hidden="false" customHeight="false" outlineLevel="0" collapsed="false">
      <c r="A218" s="73" t="s">
        <v>1005</v>
      </c>
      <c r="B218" s="74" t="s">
        <v>1007</v>
      </c>
      <c r="C218" s="66" t="s">
        <v>135</v>
      </c>
      <c r="D218" s="43" t="s">
        <v>332</v>
      </c>
      <c r="E218" s="75" t="s">
        <v>1002</v>
      </c>
      <c r="F218" s="76"/>
      <c r="G218" s="89" t="n">
        <f aca="false">MAX(G217-G19,0)</f>
        <v>0</v>
      </c>
      <c r="H218" s="89" t="n">
        <f aca="false">MAX(H217-H19,0)</f>
        <v>0</v>
      </c>
      <c r="I218" s="89" t="n">
        <f aca="false">MAX(I217-I19,0)</f>
        <v>0</v>
      </c>
      <c r="J218" s="89" t="n">
        <f aca="false">MAX(J217-J19,0)</f>
        <v>0</v>
      </c>
      <c r="K218" s="89" t="n">
        <f aca="false">MAX(K217-K19,0)</f>
        <v>0</v>
      </c>
      <c r="L218" s="89" t="n">
        <f aca="false">MAX(L217-L19,0)</f>
        <v>0</v>
      </c>
      <c r="M218" s="89" t="n">
        <f aca="false">MAX(M217-M19,0)</f>
        <v>0</v>
      </c>
      <c r="N218" s="89" t="n">
        <f aca="false">MAX(N217-N19,0)</f>
        <v>0</v>
      </c>
      <c r="O218" s="89" t="n">
        <f aca="false">MAX(O217-O19,0)</f>
        <v>0</v>
      </c>
      <c r="P218" s="89" t="n">
        <f aca="false">MAX(P217-P19,0)</f>
        <v>0</v>
      </c>
      <c r="Q218" s="89" t="n">
        <f aca="false">MAX(Q217-Q19,0)</f>
        <v>0</v>
      </c>
      <c r="R218" s="89" t="n">
        <f aca="false">MAX(R217-R19,0)</f>
        <v>0</v>
      </c>
      <c r="S218" s="89" t="n">
        <f aca="false">MAX(S217-S19,0)</f>
        <v>0</v>
      </c>
    </row>
    <row r="219" customFormat="false" ht="15" hidden="false" customHeight="false" outlineLevel="0" collapsed="false">
      <c r="A219" s="73" t="s">
        <v>1005</v>
      </c>
      <c r="B219" s="74" t="s">
        <v>1008</v>
      </c>
      <c r="C219" s="66" t="s">
        <v>135</v>
      </c>
      <c r="D219" s="43" t="s">
        <v>37</v>
      </c>
      <c r="E219" s="75" t="s">
        <v>1002</v>
      </c>
      <c r="F219" s="76"/>
      <c r="G219" s="90" t="str">
        <f aca="false">IF(G218&gt;0.5,"ERROR — sobre-asignación","OK")</f>
        <v>OK</v>
      </c>
      <c r="H219" s="90" t="str">
        <f aca="false">IF(H218&gt;0.5,"ERROR — sobre-asignación","OK")</f>
        <v>OK</v>
      </c>
      <c r="I219" s="90" t="str">
        <f aca="false">IF(I218&gt;0.5,"ERROR — sobre-asignación","OK")</f>
        <v>OK</v>
      </c>
      <c r="J219" s="90" t="str">
        <f aca="false">IF(J218&gt;0.5,"ERROR — sobre-asignación","OK")</f>
        <v>OK</v>
      </c>
      <c r="K219" s="90" t="str">
        <f aca="false">IF(K218&gt;0.5,"ERROR — sobre-asignación","OK")</f>
        <v>OK</v>
      </c>
      <c r="L219" s="90" t="str">
        <f aca="false">IF(L218&gt;0.5,"ERROR — sobre-asignación","OK")</f>
        <v>OK</v>
      </c>
      <c r="M219" s="90" t="str">
        <f aca="false">IF(M218&gt;0.5,"ERROR — sobre-asignación","OK")</f>
        <v>OK</v>
      </c>
      <c r="N219" s="90" t="str">
        <f aca="false">IF(N218&gt;0.5,"ERROR — sobre-asignación","OK")</f>
        <v>OK</v>
      </c>
      <c r="O219" s="90" t="str">
        <f aca="false">IF(O218&gt;0.5,"ERROR — sobre-asignación","OK")</f>
        <v>OK</v>
      </c>
      <c r="P219" s="90" t="str">
        <f aca="false">IF(P218&gt;0.5,"ERROR — sobre-asignación","OK")</f>
        <v>OK</v>
      </c>
      <c r="Q219" s="90" t="str">
        <f aca="false">IF(Q218&gt;0.5,"ERROR — sobre-asignación","OK")</f>
        <v>OK</v>
      </c>
      <c r="R219" s="90" t="str">
        <f aca="false">IF(R218&gt;0.5,"ERROR — sobre-asignación","OK")</f>
        <v>OK</v>
      </c>
      <c r="S219" s="90" t="str">
        <f aca="false">IF(S218&gt;0.5,"ERROR — sobre-asignación","OK")</f>
        <v>OK</v>
      </c>
    </row>
    <row r="220" customFormat="false" ht="15" hidden="false" customHeight="false" outlineLevel="0" collapsed="false">
      <c r="A220" s="73" t="s">
        <v>1005</v>
      </c>
      <c r="B220" s="74" t="s">
        <v>1009</v>
      </c>
      <c r="C220" s="66" t="s">
        <v>135</v>
      </c>
      <c r="D220" s="43" t="s">
        <v>332</v>
      </c>
      <c r="E220" s="75" t="s">
        <v>917</v>
      </c>
      <c r="F220" s="76"/>
      <c r="G220" s="78" t="n">
        <f aca="false">IF(G219="OK",MIN(G217,G19),0)</f>
        <v>0</v>
      </c>
      <c r="H220" s="78" t="n">
        <f aca="false">IF(H219="OK",MIN(H217,H19),0)</f>
        <v>0</v>
      </c>
      <c r="I220" s="78" t="n">
        <f aca="false">IF(I219="OK",MIN(I217,I19),0)</f>
        <v>0</v>
      </c>
      <c r="J220" s="78" t="n">
        <f aca="false">IF(J219="OK",MIN(J217,J19),0)</f>
        <v>0</v>
      </c>
      <c r="K220" s="78" t="n">
        <f aca="false">IF(K219="OK",MIN(K217,K19),0)</f>
        <v>0</v>
      </c>
      <c r="L220" s="78" t="n">
        <f aca="false">IF(L219="OK",MIN(L217,L19),0)</f>
        <v>0</v>
      </c>
      <c r="M220" s="78" t="n">
        <f aca="false">IF(M219="OK",MIN(M217,M19),0)</f>
        <v>0</v>
      </c>
      <c r="N220" s="78" t="n">
        <f aca="false">IF(N219="OK",MIN(N217,N19),0)</f>
        <v>0</v>
      </c>
      <c r="O220" s="78" t="n">
        <f aca="false">IF(O219="OK",MIN(O217,O19),0)</f>
        <v>0</v>
      </c>
      <c r="P220" s="78" t="n">
        <f aca="false">IF(P219="OK",MIN(P217,P19),0)</f>
        <v>0</v>
      </c>
      <c r="Q220" s="78" t="n">
        <f aca="false">IF(Q219="OK",MIN(Q217,Q19),0)</f>
        <v>0</v>
      </c>
      <c r="R220" s="78" t="n">
        <f aca="false">IF(R219="OK",MIN(R217,R19),0)</f>
        <v>0</v>
      </c>
      <c r="S220" s="78" t="n">
        <f aca="false">IF(S219="OK",MIN(S217,S19),0)</f>
        <v>0</v>
      </c>
    </row>
    <row r="221" customFormat="false" ht="15" hidden="false" customHeight="false" outlineLevel="0" collapsed="false">
      <c r="A221" s="73" t="s">
        <v>1005</v>
      </c>
      <c r="B221" s="74" t="s">
        <v>1010</v>
      </c>
      <c r="C221" s="66" t="s">
        <v>135</v>
      </c>
      <c r="D221" s="43" t="s">
        <v>332</v>
      </c>
      <c r="E221" s="75" t="s">
        <v>917</v>
      </c>
      <c r="F221" s="76"/>
      <c r="G221" s="36" t="n">
        <f aca="false">IF(G219="OK",MAX(G19-G217,0),0)</f>
        <v>0</v>
      </c>
      <c r="H221" s="36" t="n">
        <f aca="false">IF(H219="OK",MAX(H19-H217,0),0)</f>
        <v>0</v>
      </c>
      <c r="I221" s="36" t="n">
        <f aca="false">IF(I219="OK",MAX(I19-I217,0),0)</f>
        <v>0</v>
      </c>
      <c r="J221" s="36" t="n">
        <f aca="false">IF(J219="OK",MAX(J19-J217,0),0)</f>
        <v>0</v>
      </c>
      <c r="K221" s="36" t="n">
        <f aca="false">IF(K219="OK",MAX(K19-K217,0),0)</f>
        <v>0</v>
      </c>
      <c r="L221" s="36" t="n">
        <f aca="false">IF(L219="OK",MAX(L19-L217,0),0)</f>
        <v>0</v>
      </c>
      <c r="M221" s="36" t="n">
        <f aca="false">IF(M219="OK",MAX(M19-M217,0),0)</f>
        <v>0</v>
      </c>
      <c r="N221" s="36" t="n">
        <f aca="false">IF(N219="OK",MAX(N19-N217,0),0)</f>
        <v>0</v>
      </c>
      <c r="O221" s="36" t="n">
        <f aca="false">IF(O219="OK",MAX(O19-O217,0),0)</f>
        <v>0</v>
      </c>
      <c r="P221" s="36" t="n">
        <f aca="false">IF(P219="OK",MAX(P19-P217,0),0)</f>
        <v>0</v>
      </c>
      <c r="Q221" s="36" t="n">
        <f aca="false">IF(Q219="OK",MAX(Q19-Q217,0),0)</f>
        <v>0</v>
      </c>
      <c r="R221" s="36" t="n">
        <f aca="false">IF(R219="OK",MAX(R19-R217,0),0)</f>
        <v>0</v>
      </c>
      <c r="S221" s="36" t="n">
        <f aca="false">IF(S219="OK",MAX(S19-S217,0),0)</f>
        <v>0</v>
      </c>
    </row>
    <row r="222" customFormat="false" ht="15" hidden="false" customHeight="false" outlineLevel="0" collapsed="false">
      <c r="A222" s="73" t="s">
        <v>1005</v>
      </c>
      <c r="B222" s="74" t="s">
        <v>1006</v>
      </c>
      <c r="C222" s="66" t="s">
        <v>136</v>
      </c>
      <c r="D222" s="43" t="s">
        <v>332</v>
      </c>
      <c r="E222" s="75" t="s">
        <v>43</v>
      </c>
      <c r="F222" s="76"/>
      <c r="G222" s="36" t="n">
        <f aca="false">(IF(G46="China",G153,0)+IF(G47="China",G159,0)+IF(G48="China",G165,0))+(IF(G58="China",G156,0)+IF(G59="China",G162,0)+IF(G60="China",G168,0))</f>
        <v>0</v>
      </c>
      <c r="H222" s="36" t="n">
        <f aca="false">(IF(H46="China",H153,0)+IF(H47="China",H159,0)+IF(H48="China",H165,0))+(IF(H58="China",H156,0)+IF(H59="China",H162,0)+IF(H60="China",H168,0))</f>
        <v>0</v>
      </c>
      <c r="I222" s="36" t="n">
        <f aca="false">(IF(I46="China",I153,0)+IF(I47="China",I159,0)+IF(I48="China",I165,0))+(IF(I58="China",I156,0)+IF(I59="China",I162,0)+IF(I60="China",I168,0))</f>
        <v>0</v>
      </c>
      <c r="J222" s="36" t="n">
        <f aca="false">(IF(J46="China",J153,0)+IF(J47="China",J159,0)+IF(J48="China",J165,0))+(IF(J58="China",J156,0)+IF(J59="China",J162,0)+IF(J60="China",J168,0))</f>
        <v>0</v>
      </c>
      <c r="K222" s="36" t="n">
        <f aca="false">(IF(K46="China",K153,0)+IF(K47="China",K159,0)+IF(K48="China",K165,0))+(IF(K58="China",K156,0)+IF(K59="China",K162,0)+IF(K60="China",K168,0))</f>
        <v>0</v>
      </c>
      <c r="L222" s="36" t="n">
        <f aca="false">(IF(L46="China",L153,0)+IF(L47="China",L159,0)+IF(L48="China",L165,0))+(IF(L58="China",L156,0)+IF(L59="China",L162,0)+IF(L60="China",L168,0))</f>
        <v>0</v>
      </c>
      <c r="M222" s="36" t="n">
        <f aca="false">(IF(M46="China",M153,0)+IF(M47="China",M159,0)+IF(M48="China",M165,0))+(IF(M58="China",M156,0)+IF(M59="China",M162,0)+IF(M60="China",M168,0))</f>
        <v>0</v>
      </c>
      <c r="N222" s="36" t="n">
        <f aca="false">(IF(N46="China",N153,0)+IF(N47="China",N159,0)+IF(N48="China",N165,0))+(IF(N58="China",N156,0)+IF(N59="China",N162,0)+IF(N60="China",N168,0))</f>
        <v>0</v>
      </c>
      <c r="O222" s="36" t="n">
        <f aca="false">(IF(O46="China",O153,0)+IF(O47="China",O159,0)+IF(O48="China",O165,0))+(IF(O58="China",O156,0)+IF(O59="China",O162,0)+IF(O60="China",O168,0))</f>
        <v>0</v>
      </c>
      <c r="P222" s="36" t="n">
        <f aca="false">(IF(P46="China",P153,0)+IF(P47="China",P159,0)+IF(P48="China",P165,0))+(IF(P58="China",P156,0)+IF(P59="China",P162,0)+IF(P60="China",P168,0))</f>
        <v>0</v>
      </c>
      <c r="Q222" s="36" t="n">
        <f aca="false">(IF(Q46="China",Q153,0)+IF(Q47="China",Q159,0)+IF(Q48="China",Q165,0))+(IF(Q58="China",Q156,0)+IF(Q59="China",Q162,0)+IF(Q60="China",Q168,0))</f>
        <v>0</v>
      </c>
      <c r="R222" s="36" t="n">
        <f aca="false">(IF(R46="China",R153,0)+IF(R47="China",R159,0)+IF(R48="China",R165,0))+(IF(R58="China",R156,0)+IF(R59="China",R162,0)+IF(R60="China",R168,0))</f>
        <v>0</v>
      </c>
      <c r="S222" s="36" t="n">
        <f aca="false">(IF(S46="China",S153,0)+IF(S47="China",S159,0)+IF(S48="China",S165,0))+(IF(S58="China",S156,0)+IF(S59="China",S162,0)+IF(S60="China",S168,0))</f>
        <v>0</v>
      </c>
    </row>
    <row r="223" customFormat="false" ht="15" hidden="false" customHeight="false" outlineLevel="0" collapsed="false">
      <c r="A223" s="73" t="s">
        <v>1005</v>
      </c>
      <c r="B223" s="74" t="s">
        <v>1007</v>
      </c>
      <c r="C223" s="66" t="s">
        <v>136</v>
      </c>
      <c r="D223" s="43" t="s">
        <v>332</v>
      </c>
      <c r="E223" s="75" t="s">
        <v>1002</v>
      </c>
      <c r="F223" s="76"/>
      <c r="G223" s="89" t="n">
        <f aca="false">MAX(G222-G20,0)</f>
        <v>0</v>
      </c>
      <c r="H223" s="89" t="n">
        <f aca="false">MAX(H222-H20,0)</f>
        <v>0</v>
      </c>
      <c r="I223" s="89" t="n">
        <f aca="false">MAX(I222-I20,0)</f>
        <v>0</v>
      </c>
      <c r="J223" s="89" t="n">
        <f aca="false">MAX(J222-J20,0)</f>
        <v>0</v>
      </c>
      <c r="K223" s="89" t="n">
        <f aca="false">MAX(K222-K20,0)</f>
        <v>0</v>
      </c>
      <c r="L223" s="89" t="n">
        <f aca="false">MAX(L222-L20,0)</f>
        <v>0</v>
      </c>
      <c r="M223" s="89" t="n">
        <f aca="false">MAX(M222-M20,0)</f>
        <v>0</v>
      </c>
      <c r="N223" s="89" t="n">
        <f aca="false">MAX(N222-N20,0)</f>
        <v>0</v>
      </c>
      <c r="O223" s="89" t="n">
        <f aca="false">MAX(O222-O20,0)</f>
        <v>0</v>
      </c>
      <c r="P223" s="89" t="n">
        <f aca="false">MAX(P222-P20,0)</f>
        <v>0</v>
      </c>
      <c r="Q223" s="89" t="n">
        <f aca="false">MAX(Q222-Q20,0)</f>
        <v>0</v>
      </c>
      <c r="R223" s="89" t="n">
        <f aca="false">MAX(R222-R20,0)</f>
        <v>0</v>
      </c>
      <c r="S223" s="89" t="n">
        <f aca="false">MAX(S222-S20,0)</f>
        <v>0</v>
      </c>
    </row>
    <row r="224" customFormat="false" ht="15" hidden="false" customHeight="false" outlineLevel="0" collapsed="false">
      <c r="A224" s="73" t="s">
        <v>1005</v>
      </c>
      <c r="B224" s="74" t="s">
        <v>1008</v>
      </c>
      <c r="C224" s="66" t="s">
        <v>136</v>
      </c>
      <c r="D224" s="43" t="s">
        <v>37</v>
      </c>
      <c r="E224" s="75" t="s">
        <v>1002</v>
      </c>
      <c r="F224" s="76"/>
      <c r="G224" s="90" t="str">
        <f aca="false">IF(G223&gt;0.5,"ERROR — sobre-asignación","OK")</f>
        <v>OK</v>
      </c>
      <c r="H224" s="90" t="str">
        <f aca="false">IF(H223&gt;0.5,"ERROR — sobre-asignación","OK")</f>
        <v>OK</v>
      </c>
      <c r="I224" s="90" t="str">
        <f aca="false">IF(I223&gt;0.5,"ERROR — sobre-asignación","OK")</f>
        <v>OK</v>
      </c>
      <c r="J224" s="90" t="str">
        <f aca="false">IF(J223&gt;0.5,"ERROR — sobre-asignación","OK")</f>
        <v>OK</v>
      </c>
      <c r="K224" s="90" t="str">
        <f aca="false">IF(K223&gt;0.5,"ERROR — sobre-asignación","OK")</f>
        <v>OK</v>
      </c>
      <c r="L224" s="90" t="str">
        <f aca="false">IF(L223&gt;0.5,"ERROR — sobre-asignación","OK")</f>
        <v>OK</v>
      </c>
      <c r="M224" s="90" t="str">
        <f aca="false">IF(M223&gt;0.5,"ERROR — sobre-asignación","OK")</f>
        <v>OK</v>
      </c>
      <c r="N224" s="90" t="str">
        <f aca="false">IF(N223&gt;0.5,"ERROR — sobre-asignación","OK")</f>
        <v>OK</v>
      </c>
      <c r="O224" s="90" t="str">
        <f aca="false">IF(O223&gt;0.5,"ERROR — sobre-asignación","OK")</f>
        <v>OK</v>
      </c>
      <c r="P224" s="90" t="str">
        <f aca="false">IF(P223&gt;0.5,"ERROR — sobre-asignación","OK")</f>
        <v>OK</v>
      </c>
      <c r="Q224" s="90" t="str">
        <f aca="false">IF(Q223&gt;0.5,"ERROR — sobre-asignación","OK")</f>
        <v>OK</v>
      </c>
      <c r="R224" s="90" t="str">
        <f aca="false">IF(R223&gt;0.5,"ERROR — sobre-asignación","OK")</f>
        <v>OK</v>
      </c>
      <c r="S224" s="90" t="str">
        <f aca="false">IF(S223&gt;0.5,"ERROR — sobre-asignación","OK")</f>
        <v>OK</v>
      </c>
    </row>
    <row r="225" customFormat="false" ht="15" hidden="false" customHeight="false" outlineLevel="0" collapsed="false">
      <c r="A225" s="73" t="s">
        <v>1005</v>
      </c>
      <c r="B225" s="74" t="s">
        <v>1009</v>
      </c>
      <c r="C225" s="66" t="s">
        <v>136</v>
      </c>
      <c r="D225" s="43" t="s">
        <v>332</v>
      </c>
      <c r="E225" s="75" t="s">
        <v>917</v>
      </c>
      <c r="F225" s="76"/>
      <c r="G225" s="78" t="n">
        <f aca="false">IF(G224="OK",MIN(G222,G20),0)</f>
        <v>0</v>
      </c>
      <c r="H225" s="78" t="n">
        <f aca="false">IF(H224="OK",MIN(H222,H20),0)</f>
        <v>0</v>
      </c>
      <c r="I225" s="78" t="n">
        <f aca="false">IF(I224="OK",MIN(I222,I20),0)</f>
        <v>0</v>
      </c>
      <c r="J225" s="78" t="n">
        <f aca="false">IF(J224="OK",MIN(J222,J20),0)</f>
        <v>0</v>
      </c>
      <c r="K225" s="78" t="n">
        <f aca="false">IF(K224="OK",MIN(K222,K20),0)</f>
        <v>0</v>
      </c>
      <c r="L225" s="78" t="n">
        <f aca="false">IF(L224="OK",MIN(L222,L20),0)</f>
        <v>0</v>
      </c>
      <c r="M225" s="78" t="n">
        <f aca="false">IF(M224="OK",MIN(M222,M20),0)</f>
        <v>0</v>
      </c>
      <c r="N225" s="78" t="n">
        <f aca="false">IF(N224="OK",MIN(N222,N20),0)</f>
        <v>0</v>
      </c>
      <c r="O225" s="78" t="n">
        <f aca="false">IF(O224="OK",MIN(O222,O20),0)</f>
        <v>0</v>
      </c>
      <c r="P225" s="78" t="n">
        <f aca="false">IF(P224="OK",MIN(P222,P20),0)</f>
        <v>0</v>
      </c>
      <c r="Q225" s="78" t="n">
        <f aca="false">IF(Q224="OK",MIN(Q222,Q20),0)</f>
        <v>0</v>
      </c>
      <c r="R225" s="78" t="n">
        <f aca="false">IF(R224="OK",MIN(R222,R20),0)</f>
        <v>0</v>
      </c>
      <c r="S225" s="78" t="n">
        <f aca="false">IF(S224="OK",MIN(S222,S20),0)</f>
        <v>0</v>
      </c>
    </row>
    <row r="226" customFormat="false" ht="15" hidden="false" customHeight="false" outlineLevel="0" collapsed="false">
      <c r="A226" s="73" t="s">
        <v>1005</v>
      </c>
      <c r="B226" s="74" t="s">
        <v>1010</v>
      </c>
      <c r="C226" s="66" t="s">
        <v>136</v>
      </c>
      <c r="D226" s="43" t="s">
        <v>332</v>
      </c>
      <c r="E226" s="75" t="s">
        <v>917</v>
      </c>
      <c r="F226" s="76"/>
      <c r="G226" s="36" t="n">
        <f aca="false">IF(G224="OK",MAX(G20-G222,0),0)</f>
        <v>0</v>
      </c>
      <c r="H226" s="36" t="n">
        <f aca="false">IF(H224="OK",MAX(H20-H222,0),0)</f>
        <v>0</v>
      </c>
      <c r="I226" s="36" t="n">
        <f aca="false">IF(I224="OK",MAX(I20-I222,0),0)</f>
        <v>0</v>
      </c>
      <c r="J226" s="36" t="n">
        <f aca="false">IF(J224="OK",MAX(J20-J222,0),0)</f>
        <v>0</v>
      </c>
      <c r="K226" s="36" t="n">
        <f aca="false">IF(K224="OK",MAX(K20-K222,0),0)</f>
        <v>0</v>
      </c>
      <c r="L226" s="36" t="n">
        <f aca="false">IF(L224="OK",MAX(L20-L222,0),0)</f>
        <v>0</v>
      </c>
      <c r="M226" s="36" t="n">
        <f aca="false">IF(M224="OK",MAX(M20-M222,0),0)</f>
        <v>0</v>
      </c>
      <c r="N226" s="36" t="n">
        <f aca="false">IF(N224="OK",MAX(N20-N222,0),0)</f>
        <v>0</v>
      </c>
      <c r="O226" s="36" t="n">
        <f aca="false">IF(O224="OK",MAX(O20-O222,0),0)</f>
        <v>0</v>
      </c>
      <c r="P226" s="36" t="n">
        <f aca="false">IF(P224="OK",MAX(P20-P222,0),0)</f>
        <v>0</v>
      </c>
      <c r="Q226" s="36" t="n">
        <f aca="false">IF(Q224="OK",MAX(Q20-Q222,0),0)</f>
        <v>0</v>
      </c>
      <c r="R226" s="36" t="n">
        <f aca="false">IF(R224="OK",MAX(R20-R222,0),0)</f>
        <v>0</v>
      </c>
      <c r="S226" s="36" t="n">
        <f aca="false">IF(S224="OK",MAX(S20-S222,0),0)</f>
        <v>0</v>
      </c>
    </row>
    <row r="227" customFormat="false" ht="15" hidden="false" customHeight="false" outlineLevel="0" collapsed="false">
      <c r="A227" s="73" t="s">
        <v>1005</v>
      </c>
      <c r="B227" s="74" t="s">
        <v>1006</v>
      </c>
      <c r="C227" s="66" t="s">
        <v>155</v>
      </c>
      <c r="D227" s="43" t="s">
        <v>332</v>
      </c>
      <c r="E227" s="75" t="s">
        <v>43</v>
      </c>
      <c r="F227" s="76"/>
      <c r="G227" s="36" t="n">
        <f aca="false">(IF(G37="Europa",G72,0)+IF(G38="Europa",G78,0)+IF(G39="Europa",G84,0))+(IF(G49="Europa",G75,0)+IF(G50="Europa",G81,0)+IF(G51="Europa",G87,0))</f>
        <v>0</v>
      </c>
      <c r="H227" s="36" t="n">
        <f aca="false">(IF(H37="Europa",H72,0)+IF(H38="Europa",H78,0)+IF(H39="Europa",H84,0))+(IF(H49="Europa",H75,0)+IF(H50="Europa",H81,0)+IF(H51="Europa",H87,0))</f>
        <v>0</v>
      </c>
      <c r="I227" s="36" t="n">
        <f aca="false">(IF(I37="Europa",I72,0)+IF(I38="Europa",I78,0)+IF(I39="Europa",I84,0))+(IF(I49="Europa",I75,0)+IF(I50="Europa",I81,0)+IF(I51="Europa",I87,0))</f>
        <v>684641.603579506</v>
      </c>
      <c r="J227" s="36" t="n">
        <f aca="false">(IF(J37="Europa",J72,0)+IF(J38="Europa",J78,0)+IF(J39="Europa",J84,0))+(IF(J49="Europa",J75,0)+IF(J50="Europa",J81,0)+IF(J51="Europa",J87,0))</f>
        <v>0</v>
      </c>
      <c r="K227" s="36" t="n">
        <f aca="false">(IF(K37="Europa",K72,0)+IF(K38="Europa",K78,0)+IF(K39="Europa",K84,0))+(IF(K49="Europa",K75,0)+IF(K50="Europa",K81,0)+IF(K51="Europa",K87,0))</f>
        <v>0</v>
      </c>
      <c r="L227" s="36" t="n">
        <f aca="false">(IF(L37="Europa",L72,0)+IF(L38="Europa",L78,0)+IF(L39="Europa",L84,0))+(IF(L49="Europa",L75,0)+IF(L50="Europa",L81,0)+IF(L51="Europa",L87,0))</f>
        <v>0</v>
      </c>
      <c r="M227" s="36" t="n">
        <f aca="false">(IF(M37="Europa",M72,0)+IF(M38="Europa",M78,0)+IF(M39="Europa",M84,0))+(IF(M49="Europa",M75,0)+IF(M50="Europa",M81,0)+IF(M51="Europa",M87,0))</f>
        <v>0</v>
      </c>
      <c r="N227" s="36" t="n">
        <f aca="false">(IF(N37="Europa",N72,0)+IF(N38="Europa",N78,0)+IF(N39="Europa",N84,0))+(IF(N49="Europa",N75,0)+IF(N50="Europa",N81,0)+IF(N51="Europa",N87,0))</f>
        <v>0</v>
      </c>
      <c r="O227" s="36" t="n">
        <f aca="false">(IF(O37="Europa",O72,0)+IF(O38="Europa",O78,0)+IF(O39="Europa",O84,0))+(IF(O49="Europa",O75,0)+IF(O50="Europa",O81,0)+IF(O51="Europa",O87,0))</f>
        <v>0</v>
      </c>
      <c r="P227" s="36" t="n">
        <f aca="false">(IF(P37="Europa",P72,0)+IF(P38="Europa",P78,0)+IF(P39="Europa",P84,0))+(IF(P49="Europa",P75,0)+IF(P50="Europa",P81,0)+IF(P51="Europa",P87,0))</f>
        <v>0</v>
      </c>
      <c r="Q227" s="36" t="n">
        <f aca="false">(IF(Q37="Europa",Q72,0)+IF(Q38="Europa",Q78,0)+IF(Q39="Europa",Q84,0))+(IF(Q49="Europa",Q75,0)+IF(Q50="Europa",Q81,0)+IF(Q51="Europa",Q87,0))</f>
        <v>0</v>
      </c>
      <c r="R227" s="36" t="n">
        <f aca="false">(IF(R37="Europa",R72,0)+IF(R38="Europa",R78,0)+IF(R39="Europa",R84,0))+(IF(R49="Europa",R75,0)+IF(R50="Europa",R81,0)+IF(R51="Europa",R87,0))</f>
        <v>0</v>
      </c>
      <c r="S227" s="36" t="n">
        <f aca="false">(IF(S37="Europa",S72,0)+IF(S38="Europa",S78,0)+IF(S39="Europa",S84,0))+(IF(S49="Europa",S75,0)+IF(S50="Europa",S81,0)+IF(S51="Europa",S87,0))</f>
        <v>0</v>
      </c>
    </row>
    <row r="228" customFormat="false" ht="15" hidden="false" customHeight="false" outlineLevel="0" collapsed="false">
      <c r="A228" s="73" t="s">
        <v>1005</v>
      </c>
      <c r="B228" s="74" t="s">
        <v>1007</v>
      </c>
      <c r="C228" s="66" t="s">
        <v>155</v>
      </c>
      <c r="D228" s="43" t="s">
        <v>332</v>
      </c>
      <c r="E228" s="75" t="s">
        <v>1002</v>
      </c>
      <c r="F228" s="76"/>
      <c r="G228" s="89" t="n">
        <f aca="false">MAX(G227-G21,0)</f>
        <v>0</v>
      </c>
      <c r="H228" s="89" t="n">
        <f aca="false">MAX(H227-H21,0)</f>
        <v>0</v>
      </c>
      <c r="I228" s="89" t="n">
        <f aca="false">MAX(I227-I21,0)</f>
        <v>0</v>
      </c>
      <c r="J228" s="89" t="n">
        <f aca="false">MAX(J227-J21,0)</f>
        <v>0</v>
      </c>
      <c r="K228" s="89" t="n">
        <f aca="false">MAX(K227-K21,0)</f>
        <v>0</v>
      </c>
      <c r="L228" s="89" t="n">
        <f aca="false">MAX(L227-L21,0)</f>
        <v>0</v>
      </c>
      <c r="M228" s="89" t="n">
        <f aca="false">MAX(M227-M21,0)</f>
        <v>0</v>
      </c>
      <c r="N228" s="89" t="n">
        <f aca="false">MAX(N227-N21,0)</f>
        <v>0</v>
      </c>
      <c r="O228" s="89" t="n">
        <f aca="false">MAX(O227-O21,0)</f>
        <v>0</v>
      </c>
      <c r="P228" s="89" t="n">
        <f aca="false">MAX(P227-P21,0)</f>
        <v>0</v>
      </c>
      <c r="Q228" s="89" t="n">
        <f aca="false">MAX(Q227-Q21,0)</f>
        <v>0</v>
      </c>
      <c r="R228" s="89" t="n">
        <f aca="false">MAX(R227-R21,0)</f>
        <v>0</v>
      </c>
      <c r="S228" s="89" t="n">
        <f aca="false">MAX(S227-S21,0)</f>
        <v>0</v>
      </c>
    </row>
    <row r="229" customFormat="false" ht="15" hidden="false" customHeight="false" outlineLevel="0" collapsed="false">
      <c r="A229" s="73" t="s">
        <v>1005</v>
      </c>
      <c r="B229" s="74" t="s">
        <v>1008</v>
      </c>
      <c r="C229" s="66" t="s">
        <v>155</v>
      </c>
      <c r="D229" s="43" t="s">
        <v>37</v>
      </c>
      <c r="E229" s="75" t="s">
        <v>1002</v>
      </c>
      <c r="F229" s="76"/>
      <c r="G229" s="90" t="str">
        <f aca="false">IF(G228&gt;0.5,"ERROR — sobre-asignación","OK")</f>
        <v>OK</v>
      </c>
      <c r="H229" s="90" t="str">
        <f aca="false">IF(H228&gt;0.5,"ERROR — sobre-asignación","OK")</f>
        <v>OK</v>
      </c>
      <c r="I229" s="90" t="str">
        <f aca="false">IF(I228&gt;0.5,"ERROR — sobre-asignación","OK")</f>
        <v>OK</v>
      </c>
      <c r="J229" s="90" t="str">
        <f aca="false">IF(J228&gt;0.5,"ERROR — sobre-asignación","OK")</f>
        <v>OK</v>
      </c>
      <c r="K229" s="90" t="str">
        <f aca="false">IF(K228&gt;0.5,"ERROR — sobre-asignación","OK")</f>
        <v>OK</v>
      </c>
      <c r="L229" s="90" t="str">
        <f aca="false">IF(L228&gt;0.5,"ERROR — sobre-asignación","OK")</f>
        <v>OK</v>
      </c>
      <c r="M229" s="90" t="str">
        <f aca="false">IF(M228&gt;0.5,"ERROR — sobre-asignación","OK")</f>
        <v>OK</v>
      </c>
      <c r="N229" s="90" t="str">
        <f aca="false">IF(N228&gt;0.5,"ERROR — sobre-asignación","OK")</f>
        <v>OK</v>
      </c>
      <c r="O229" s="90" t="str">
        <f aca="false">IF(O228&gt;0.5,"ERROR — sobre-asignación","OK")</f>
        <v>OK</v>
      </c>
      <c r="P229" s="90" t="str">
        <f aca="false">IF(P228&gt;0.5,"ERROR — sobre-asignación","OK")</f>
        <v>OK</v>
      </c>
      <c r="Q229" s="90" t="str">
        <f aca="false">IF(Q228&gt;0.5,"ERROR — sobre-asignación","OK")</f>
        <v>OK</v>
      </c>
      <c r="R229" s="90" t="str">
        <f aca="false">IF(R228&gt;0.5,"ERROR — sobre-asignación","OK")</f>
        <v>OK</v>
      </c>
      <c r="S229" s="90" t="str">
        <f aca="false">IF(S228&gt;0.5,"ERROR — sobre-asignación","OK")</f>
        <v>OK</v>
      </c>
    </row>
    <row r="230" customFormat="false" ht="15" hidden="false" customHeight="false" outlineLevel="0" collapsed="false">
      <c r="A230" s="73" t="s">
        <v>1005</v>
      </c>
      <c r="B230" s="74" t="s">
        <v>1009</v>
      </c>
      <c r="C230" s="66" t="s">
        <v>155</v>
      </c>
      <c r="D230" s="43" t="s">
        <v>332</v>
      </c>
      <c r="E230" s="75" t="s">
        <v>917</v>
      </c>
      <c r="F230" s="76"/>
      <c r="G230" s="78" t="n">
        <f aca="false">IF(G229="OK",MIN(G227,G21),0)</f>
        <v>0</v>
      </c>
      <c r="H230" s="78" t="n">
        <f aca="false">IF(H229="OK",MIN(H227,H21),0)</f>
        <v>0</v>
      </c>
      <c r="I230" s="78" t="n">
        <f aca="false">IF(I229="OK",MIN(I227,I21),0)</f>
        <v>684641.603579506</v>
      </c>
      <c r="J230" s="78" t="n">
        <f aca="false">IF(J229="OK",MIN(J227,J21),0)</f>
        <v>0</v>
      </c>
      <c r="K230" s="78" t="n">
        <f aca="false">IF(K229="OK",MIN(K227,K21),0)</f>
        <v>0</v>
      </c>
      <c r="L230" s="78" t="n">
        <f aca="false">IF(L229="OK",MIN(L227,L21),0)</f>
        <v>0</v>
      </c>
      <c r="M230" s="78" t="n">
        <f aca="false">IF(M229="OK",MIN(M227,M21),0)</f>
        <v>0</v>
      </c>
      <c r="N230" s="78" t="n">
        <f aca="false">IF(N229="OK",MIN(N227,N21),0)</f>
        <v>0</v>
      </c>
      <c r="O230" s="78" t="n">
        <f aca="false">IF(O229="OK",MIN(O227,O21),0)</f>
        <v>0</v>
      </c>
      <c r="P230" s="78" t="n">
        <f aca="false">IF(P229="OK",MIN(P227,P21),0)</f>
        <v>0</v>
      </c>
      <c r="Q230" s="78" t="n">
        <f aca="false">IF(Q229="OK",MIN(Q227,Q21),0)</f>
        <v>0</v>
      </c>
      <c r="R230" s="78" t="n">
        <f aca="false">IF(R229="OK",MIN(R227,R21),0)</f>
        <v>0</v>
      </c>
      <c r="S230" s="78" t="n">
        <f aca="false">IF(S229="OK",MIN(S227,S21),0)</f>
        <v>0</v>
      </c>
    </row>
    <row r="231" customFormat="false" ht="15" hidden="false" customHeight="false" outlineLevel="0" collapsed="false">
      <c r="A231" s="73" t="s">
        <v>1005</v>
      </c>
      <c r="B231" s="74" t="s">
        <v>1010</v>
      </c>
      <c r="C231" s="66" t="s">
        <v>155</v>
      </c>
      <c r="D231" s="43" t="s">
        <v>332</v>
      </c>
      <c r="E231" s="75" t="s">
        <v>917</v>
      </c>
      <c r="F231" s="76"/>
      <c r="G231" s="36" t="n">
        <f aca="false">IF(G229="OK",MAX(G21-G227,0),0)</f>
        <v>945000</v>
      </c>
      <c r="H231" s="36" t="n">
        <f aca="false">IF(H229="OK",MAX(H21-H227,0),0)</f>
        <v>1050557</v>
      </c>
      <c r="I231" s="36" t="n">
        <f aca="false">IF(I229="OK",MAX(I21-I227,0),0)</f>
        <v>0</v>
      </c>
      <c r="J231" s="36" t="n">
        <f aca="false">IF(J229="OK",MAX(J21-J227,0),0)</f>
        <v>0</v>
      </c>
      <c r="K231" s="36" t="n">
        <f aca="false">IF(K229="OK",MAX(K21-K227,0),0)</f>
        <v>0</v>
      </c>
      <c r="L231" s="36" t="n">
        <f aca="false">IF(L229="OK",MAX(L21-L227,0),0)</f>
        <v>0</v>
      </c>
      <c r="M231" s="36" t="n">
        <f aca="false">IF(M229="OK",MAX(M21-M227,0),0)</f>
        <v>0</v>
      </c>
      <c r="N231" s="36" t="n">
        <f aca="false">IF(N229="OK",MAX(N21-N227,0),0)</f>
        <v>0</v>
      </c>
      <c r="O231" s="36" t="n">
        <f aca="false">IF(O229="OK",MAX(O21-O227,0),0)</f>
        <v>0</v>
      </c>
      <c r="P231" s="36" t="n">
        <f aca="false">IF(P229="OK",MAX(P21-P227,0),0)</f>
        <v>0</v>
      </c>
      <c r="Q231" s="36" t="n">
        <f aca="false">IF(Q229="OK",MAX(Q21-Q227,0),0)</f>
        <v>0</v>
      </c>
      <c r="R231" s="36" t="n">
        <f aca="false">IF(R229="OK",MAX(R21-R227,0),0)</f>
        <v>0</v>
      </c>
      <c r="S231" s="36" t="n">
        <f aca="false">IF(S229="OK",MAX(S21-S227,0),0)</f>
        <v>0</v>
      </c>
    </row>
    <row r="232" customFormat="false" ht="15" hidden="false" customHeight="false" outlineLevel="0" collapsed="false">
      <c r="A232" s="73" t="s">
        <v>1005</v>
      </c>
      <c r="B232" s="74" t="s">
        <v>1006</v>
      </c>
      <c r="C232" s="66" t="s">
        <v>156</v>
      </c>
      <c r="D232" s="43" t="s">
        <v>332</v>
      </c>
      <c r="E232" s="75" t="s">
        <v>43</v>
      </c>
      <c r="F232" s="76"/>
      <c r="G232" s="36" t="n">
        <f aca="false">(IF(G40="Europa",G99,0)+IF(G41="Europa",G105,0)+IF(G42="Europa",G111,0))+(IF(G52="Europa",G102,0)+IF(G53="Europa",G108,0)+IF(G54="Europa",G114,0))</f>
        <v>0</v>
      </c>
      <c r="H232" s="36" t="n">
        <f aca="false">(IF(H40="Europa",H99,0)+IF(H41="Europa",H105,0)+IF(H42="Europa",H111,0))+(IF(H52="Europa",H102,0)+IF(H53="Europa",H108,0)+IF(H54="Europa",H114,0))</f>
        <v>0</v>
      </c>
      <c r="I232" s="36" t="n">
        <f aca="false">(IF(I40="Europa",I99,0)+IF(I41="Europa",I105,0)+IF(I42="Europa",I111,0))+(IF(I52="Europa",I102,0)+IF(I53="Europa",I108,0)+IF(I54="Europa",I114,0))</f>
        <v>321782.726916048</v>
      </c>
      <c r="J232" s="36" t="n">
        <f aca="false">(IF(J40="Europa",J99,0)+IF(J41="Europa",J105,0)+IF(J42="Europa",J111,0))+(IF(J52="Europa",J102,0)+IF(J53="Europa",J108,0)+IF(J54="Europa",J114,0))</f>
        <v>0</v>
      </c>
      <c r="K232" s="36" t="n">
        <f aca="false">(IF(K40="Europa",K99,0)+IF(K41="Europa",K105,0)+IF(K42="Europa",K111,0))+(IF(K52="Europa",K102,0)+IF(K53="Europa",K108,0)+IF(K54="Europa",K114,0))</f>
        <v>0</v>
      </c>
      <c r="L232" s="36" t="n">
        <f aca="false">(IF(L40="Europa",L99,0)+IF(L41="Europa",L105,0)+IF(L42="Europa",L111,0))+(IF(L52="Europa",L102,0)+IF(L53="Europa",L108,0)+IF(L54="Europa",L114,0))</f>
        <v>0</v>
      </c>
      <c r="M232" s="36" t="n">
        <f aca="false">(IF(M40="Europa",M99,0)+IF(M41="Europa",M105,0)+IF(M42="Europa",M111,0))+(IF(M52="Europa",M102,0)+IF(M53="Europa",M108,0)+IF(M54="Europa",M114,0))</f>
        <v>0</v>
      </c>
      <c r="N232" s="36" t="n">
        <f aca="false">(IF(N40="Europa",N99,0)+IF(N41="Europa",N105,0)+IF(N42="Europa",N111,0))+(IF(N52="Europa",N102,0)+IF(N53="Europa",N108,0)+IF(N54="Europa",N114,0))</f>
        <v>0</v>
      </c>
      <c r="O232" s="36" t="n">
        <f aca="false">(IF(O40="Europa",O99,0)+IF(O41="Europa",O105,0)+IF(O42="Europa",O111,0))+(IF(O52="Europa",O102,0)+IF(O53="Europa",O108,0)+IF(O54="Europa",O114,0))</f>
        <v>0</v>
      </c>
      <c r="P232" s="36" t="n">
        <f aca="false">(IF(P40="Europa",P99,0)+IF(P41="Europa",P105,0)+IF(P42="Europa",P111,0))+(IF(P52="Europa",P102,0)+IF(P53="Europa",P108,0)+IF(P54="Europa",P114,0))</f>
        <v>0</v>
      </c>
      <c r="Q232" s="36" t="n">
        <f aca="false">(IF(Q40="Europa",Q99,0)+IF(Q41="Europa",Q105,0)+IF(Q42="Europa",Q111,0))+(IF(Q52="Europa",Q102,0)+IF(Q53="Europa",Q108,0)+IF(Q54="Europa",Q114,0))</f>
        <v>0</v>
      </c>
      <c r="R232" s="36" t="n">
        <f aca="false">(IF(R40="Europa",R99,0)+IF(R41="Europa",R105,0)+IF(R42="Europa",R111,0))+(IF(R52="Europa",R102,0)+IF(R53="Europa",R108,0)+IF(R54="Europa",R114,0))</f>
        <v>0</v>
      </c>
      <c r="S232" s="36" t="n">
        <f aca="false">(IF(S40="Europa",S99,0)+IF(S41="Europa",S105,0)+IF(S42="Europa",S111,0))+(IF(S52="Europa",S102,0)+IF(S53="Europa",S108,0)+IF(S54="Europa",S114,0))</f>
        <v>0</v>
      </c>
    </row>
    <row r="233" customFormat="false" ht="15" hidden="false" customHeight="false" outlineLevel="0" collapsed="false">
      <c r="A233" s="73" t="s">
        <v>1005</v>
      </c>
      <c r="B233" s="74" t="s">
        <v>1007</v>
      </c>
      <c r="C233" s="66" t="s">
        <v>156</v>
      </c>
      <c r="D233" s="43" t="s">
        <v>332</v>
      </c>
      <c r="E233" s="75" t="s">
        <v>1002</v>
      </c>
      <c r="F233" s="76"/>
      <c r="G233" s="89" t="n">
        <f aca="false">MAX(G232-G22,0)</f>
        <v>0</v>
      </c>
      <c r="H233" s="89" t="n">
        <f aca="false">MAX(H232-H22,0)</f>
        <v>0</v>
      </c>
      <c r="I233" s="89" t="n">
        <f aca="false">MAX(I232-I22,0)</f>
        <v>0</v>
      </c>
      <c r="J233" s="89" t="n">
        <f aca="false">MAX(J232-J22,0)</f>
        <v>0</v>
      </c>
      <c r="K233" s="89" t="n">
        <f aca="false">MAX(K232-K22,0)</f>
        <v>0</v>
      </c>
      <c r="L233" s="89" t="n">
        <f aca="false">MAX(L232-L22,0)</f>
        <v>0</v>
      </c>
      <c r="M233" s="89" t="n">
        <f aca="false">MAX(M232-M22,0)</f>
        <v>0</v>
      </c>
      <c r="N233" s="89" t="n">
        <f aca="false">MAX(N232-N22,0)</f>
        <v>0</v>
      </c>
      <c r="O233" s="89" t="n">
        <f aca="false">MAX(O232-O22,0)</f>
        <v>0</v>
      </c>
      <c r="P233" s="89" t="n">
        <f aca="false">MAX(P232-P22,0)</f>
        <v>0</v>
      </c>
      <c r="Q233" s="89" t="n">
        <f aca="false">MAX(Q232-Q22,0)</f>
        <v>0</v>
      </c>
      <c r="R233" s="89" t="n">
        <f aca="false">MAX(R232-R22,0)</f>
        <v>0</v>
      </c>
      <c r="S233" s="89" t="n">
        <f aca="false">MAX(S232-S22,0)</f>
        <v>0</v>
      </c>
    </row>
    <row r="234" customFormat="false" ht="15" hidden="false" customHeight="false" outlineLevel="0" collapsed="false">
      <c r="A234" s="73" t="s">
        <v>1005</v>
      </c>
      <c r="B234" s="74" t="s">
        <v>1008</v>
      </c>
      <c r="C234" s="66" t="s">
        <v>156</v>
      </c>
      <c r="D234" s="43" t="s">
        <v>37</v>
      </c>
      <c r="E234" s="75" t="s">
        <v>1002</v>
      </c>
      <c r="F234" s="76"/>
      <c r="G234" s="90" t="str">
        <f aca="false">IF(G233&gt;0.5,"ERROR — sobre-asignación","OK")</f>
        <v>OK</v>
      </c>
      <c r="H234" s="90" t="str">
        <f aca="false">IF(H233&gt;0.5,"ERROR — sobre-asignación","OK")</f>
        <v>OK</v>
      </c>
      <c r="I234" s="90" t="str">
        <f aca="false">IF(I233&gt;0.5,"ERROR — sobre-asignación","OK")</f>
        <v>OK</v>
      </c>
      <c r="J234" s="90" t="str">
        <f aca="false">IF(J233&gt;0.5,"ERROR — sobre-asignación","OK")</f>
        <v>OK</v>
      </c>
      <c r="K234" s="90" t="str">
        <f aca="false">IF(K233&gt;0.5,"ERROR — sobre-asignación","OK")</f>
        <v>OK</v>
      </c>
      <c r="L234" s="90" t="str">
        <f aca="false">IF(L233&gt;0.5,"ERROR — sobre-asignación","OK")</f>
        <v>OK</v>
      </c>
      <c r="M234" s="90" t="str">
        <f aca="false">IF(M233&gt;0.5,"ERROR — sobre-asignación","OK")</f>
        <v>OK</v>
      </c>
      <c r="N234" s="90" t="str">
        <f aca="false">IF(N233&gt;0.5,"ERROR — sobre-asignación","OK")</f>
        <v>OK</v>
      </c>
      <c r="O234" s="90" t="str">
        <f aca="false">IF(O233&gt;0.5,"ERROR — sobre-asignación","OK")</f>
        <v>OK</v>
      </c>
      <c r="P234" s="90" t="str">
        <f aca="false">IF(P233&gt;0.5,"ERROR — sobre-asignación","OK")</f>
        <v>OK</v>
      </c>
      <c r="Q234" s="90" t="str">
        <f aca="false">IF(Q233&gt;0.5,"ERROR — sobre-asignación","OK")</f>
        <v>OK</v>
      </c>
      <c r="R234" s="90" t="str">
        <f aca="false">IF(R233&gt;0.5,"ERROR — sobre-asignación","OK")</f>
        <v>OK</v>
      </c>
      <c r="S234" s="90" t="str">
        <f aca="false">IF(S233&gt;0.5,"ERROR — sobre-asignación","OK")</f>
        <v>OK</v>
      </c>
    </row>
    <row r="235" customFormat="false" ht="15" hidden="false" customHeight="false" outlineLevel="0" collapsed="false">
      <c r="A235" s="73" t="s">
        <v>1005</v>
      </c>
      <c r="B235" s="74" t="s">
        <v>1009</v>
      </c>
      <c r="C235" s="66" t="s">
        <v>156</v>
      </c>
      <c r="D235" s="43" t="s">
        <v>332</v>
      </c>
      <c r="E235" s="75" t="s">
        <v>917</v>
      </c>
      <c r="F235" s="76"/>
      <c r="G235" s="78" t="n">
        <f aca="false">IF(G234="OK",MIN(G232,G22),0)</f>
        <v>0</v>
      </c>
      <c r="H235" s="78" t="n">
        <f aca="false">IF(H234="OK",MIN(H232,H22),0)</f>
        <v>0</v>
      </c>
      <c r="I235" s="78" t="n">
        <f aca="false">IF(I234="OK",MIN(I232,I22),0)</f>
        <v>321782.726916048</v>
      </c>
      <c r="J235" s="78" t="n">
        <f aca="false">IF(J234="OK",MIN(J232,J22),0)</f>
        <v>0</v>
      </c>
      <c r="K235" s="78" t="n">
        <f aca="false">IF(K234="OK",MIN(K232,K22),0)</f>
        <v>0</v>
      </c>
      <c r="L235" s="78" t="n">
        <f aca="false">IF(L234="OK",MIN(L232,L22),0)</f>
        <v>0</v>
      </c>
      <c r="M235" s="78" t="n">
        <f aca="false">IF(M234="OK",MIN(M232,M22),0)</f>
        <v>0</v>
      </c>
      <c r="N235" s="78" t="n">
        <f aca="false">IF(N234="OK",MIN(N232,N22),0)</f>
        <v>0</v>
      </c>
      <c r="O235" s="78" t="n">
        <f aca="false">IF(O234="OK",MIN(O232,O22),0)</f>
        <v>0</v>
      </c>
      <c r="P235" s="78" t="n">
        <f aca="false">IF(P234="OK",MIN(P232,P22),0)</f>
        <v>0</v>
      </c>
      <c r="Q235" s="78" t="n">
        <f aca="false">IF(Q234="OK",MIN(Q232,Q22),0)</f>
        <v>0</v>
      </c>
      <c r="R235" s="78" t="n">
        <f aca="false">IF(R234="OK",MIN(R232,R22),0)</f>
        <v>0</v>
      </c>
      <c r="S235" s="78" t="n">
        <f aca="false">IF(S234="OK",MIN(S232,S22),0)</f>
        <v>0</v>
      </c>
    </row>
    <row r="236" customFormat="false" ht="15" hidden="false" customHeight="false" outlineLevel="0" collapsed="false">
      <c r="A236" s="73" t="s">
        <v>1005</v>
      </c>
      <c r="B236" s="74" t="s">
        <v>1010</v>
      </c>
      <c r="C236" s="66" t="s">
        <v>156</v>
      </c>
      <c r="D236" s="43" t="s">
        <v>332</v>
      </c>
      <c r="E236" s="75" t="s">
        <v>917</v>
      </c>
      <c r="F236" s="76"/>
      <c r="G236" s="36" t="n">
        <f aca="false">IF(G234="OK",MAX(G22-G232,0),0)</f>
        <v>0</v>
      </c>
      <c r="H236" s="36" t="n">
        <f aca="false">IF(H234="OK",MAX(H22-H232,0),0)</f>
        <v>277464</v>
      </c>
      <c r="I236" s="36" t="n">
        <f aca="false">IF(I234="OK",MAX(I22-I232,0),0)</f>
        <v>0</v>
      </c>
      <c r="J236" s="36" t="n">
        <f aca="false">IF(J234="OK",MAX(J22-J232,0),0)</f>
        <v>0</v>
      </c>
      <c r="K236" s="36" t="n">
        <f aca="false">IF(K234="OK",MAX(K22-K232,0),0)</f>
        <v>0</v>
      </c>
      <c r="L236" s="36" t="n">
        <f aca="false">IF(L234="OK",MAX(L22-L232,0),0)</f>
        <v>0</v>
      </c>
      <c r="M236" s="36" t="n">
        <f aca="false">IF(M234="OK",MAX(M22-M232,0),0)</f>
        <v>0</v>
      </c>
      <c r="N236" s="36" t="n">
        <f aca="false">IF(N234="OK",MAX(N22-N232,0),0)</f>
        <v>0</v>
      </c>
      <c r="O236" s="36" t="n">
        <f aca="false">IF(O234="OK",MAX(O22-O232,0),0)</f>
        <v>0</v>
      </c>
      <c r="P236" s="36" t="n">
        <f aca="false">IF(P234="OK",MAX(P22-P232,0),0)</f>
        <v>0</v>
      </c>
      <c r="Q236" s="36" t="n">
        <f aca="false">IF(Q234="OK",MAX(Q22-Q232,0),0)</f>
        <v>0</v>
      </c>
      <c r="R236" s="36" t="n">
        <f aca="false">IF(R234="OK",MAX(R22-R232,0),0)</f>
        <v>0</v>
      </c>
      <c r="S236" s="36" t="n">
        <f aca="false">IF(S234="OK",MAX(S22-S232,0),0)</f>
        <v>0</v>
      </c>
    </row>
    <row r="237" customFormat="false" ht="15" hidden="false" customHeight="false" outlineLevel="0" collapsed="false">
      <c r="A237" s="73" t="s">
        <v>1005</v>
      </c>
      <c r="B237" s="74" t="s">
        <v>1006</v>
      </c>
      <c r="C237" s="66" t="s">
        <v>157</v>
      </c>
      <c r="D237" s="43" t="s">
        <v>332</v>
      </c>
      <c r="E237" s="75" t="s">
        <v>43</v>
      </c>
      <c r="F237" s="76"/>
      <c r="G237" s="36" t="n">
        <f aca="false">(IF(G43="Europa",G126,0)+IF(G44="Europa",G132,0)+IF(G45="Europa",G138,0))+(IF(G55="Europa",G129,0)+IF(G56="Europa",G135,0)+IF(G57="Europa",G141,0))</f>
        <v>0</v>
      </c>
      <c r="H237" s="36" t="n">
        <f aca="false">(IF(H43="Europa",H126,0)+IF(H44="Europa",H132,0)+IF(H45="Europa",H138,0))+(IF(H55="Europa",H129,0)+IF(H56="Europa",H135,0)+IF(H57="Europa",H141,0))</f>
        <v>0</v>
      </c>
      <c r="I237" s="36" t="n">
        <f aca="false">(IF(I43="Europa",I126,0)+IF(I44="Europa",I132,0)+IF(I45="Europa",I138,0))+(IF(I55="Europa",I129,0)+IF(I56="Europa",I135,0)+IF(I57="Europa",I141,0))</f>
        <v>0</v>
      </c>
      <c r="J237" s="36" t="n">
        <f aca="false">(IF(J43="Europa",J126,0)+IF(J44="Europa",J132,0)+IF(J45="Europa",J138,0))+(IF(J55="Europa",J129,0)+IF(J56="Europa",J135,0)+IF(J57="Europa",J141,0))</f>
        <v>0</v>
      </c>
      <c r="K237" s="36" t="n">
        <f aca="false">(IF(K43="Europa",K126,0)+IF(K44="Europa",K132,0)+IF(K45="Europa",K138,0))+(IF(K55="Europa",K129,0)+IF(K56="Europa",K135,0)+IF(K57="Europa",K141,0))</f>
        <v>0</v>
      </c>
      <c r="L237" s="36" t="n">
        <f aca="false">(IF(L43="Europa",L126,0)+IF(L44="Europa",L132,0)+IF(L45="Europa",L138,0))+(IF(L55="Europa",L129,0)+IF(L56="Europa",L135,0)+IF(L57="Europa",L141,0))</f>
        <v>0</v>
      </c>
      <c r="M237" s="36" t="n">
        <f aca="false">(IF(M43="Europa",M126,0)+IF(M44="Europa",M132,0)+IF(M45="Europa",M138,0))+(IF(M55="Europa",M129,0)+IF(M56="Europa",M135,0)+IF(M57="Europa",M141,0))</f>
        <v>0</v>
      </c>
      <c r="N237" s="36" t="n">
        <f aca="false">(IF(N43="Europa",N126,0)+IF(N44="Europa",N132,0)+IF(N45="Europa",N138,0))+(IF(N55="Europa",N129,0)+IF(N56="Europa",N135,0)+IF(N57="Europa",N141,0))</f>
        <v>0</v>
      </c>
      <c r="O237" s="36" t="n">
        <f aca="false">(IF(O43="Europa",O126,0)+IF(O44="Europa",O132,0)+IF(O45="Europa",O138,0))+(IF(O55="Europa",O129,0)+IF(O56="Europa",O135,0)+IF(O57="Europa",O141,0))</f>
        <v>0</v>
      </c>
      <c r="P237" s="36" t="n">
        <f aca="false">(IF(P43="Europa",P126,0)+IF(P44="Europa",P132,0)+IF(P45="Europa",P138,0))+(IF(P55="Europa",P129,0)+IF(P56="Europa",P135,0)+IF(P57="Europa",P141,0))</f>
        <v>0</v>
      </c>
      <c r="Q237" s="36" t="n">
        <f aca="false">(IF(Q43="Europa",Q126,0)+IF(Q44="Europa",Q132,0)+IF(Q45="Europa",Q138,0))+(IF(Q55="Europa",Q129,0)+IF(Q56="Europa",Q135,0)+IF(Q57="Europa",Q141,0))</f>
        <v>0</v>
      </c>
      <c r="R237" s="36" t="n">
        <f aca="false">(IF(R43="Europa",R126,0)+IF(R44="Europa",R132,0)+IF(R45="Europa",R138,0))+(IF(R55="Europa",R129,0)+IF(R56="Europa",R135,0)+IF(R57="Europa",R141,0))</f>
        <v>0</v>
      </c>
      <c r="S237" s="36" t="n">
        <f aca="false">(IF(S43="Europa",S126,0)+IF(S44="Europa",S132,0)+IF(S45="Europa",S138,0))+(IF(S55="Europa",S129,0)+IF(S56="Europa",S135,0)+IF(S57="Europa",S141,0))</f>
        <v>0</v>
      </c>
    </row>
    <row r="238" customFormat="false" ht="15" hidden="false" customHeight="false" outlineLevel="0" collapsed="false">
      <c r="A238" s="73" t="s">
        <v>1005</v>
      </c>
      <c r="B238" s="74" t="s">
        <v>1007</v>
      </c>
      <c r="C238" s="66" t="s">
        <v>157</v>
      </c>
      <c r="D238" s="43" t="s">
        <v>332</v>
      </c>
      <c r="E238" s="75" t="s">
        <v>1002</v>
      </c>
      <c r="F238" s="76"/>
      <c r="G238" s="89" t="n">
        <f aca="false">MAX(G237-G23,0)</f>
        <v>0</v>
      </c>
      <c r="H238" s="89" t="n">
        <f aca="false">MAX(H237-H23,0)</f>
        <v>0</v>
      </c>
      <c r="I238" s="89" t="n">
        <f aca="false">MAX(I237-I23,0)</f>
        <v>0</v>
      </c>
      <c r="J238" s="89" t="n">
        <f aca="false">MAX(J237-J23,0)</f>
        <v>0</v>
      </c>
      <c r="K238" s="89" t="n">
        <f aca="false">MAX(K237-K23,0)</f>
        <v>0</v>
      </c>
      <c r="L238" s="89" t="n">
        <f aca="false">MAX(L237-L23,0)</f>
        <v>0</v>
      </c>
      <c r="M238" s="89" t="n">
        <f aca="false">MAX(M237-M23,0)</f>
        <v>0</v>
      </c>
      <c r="N238" s="89" t="n">
        <f aca="false">MAX(N237-N23,0)</f>
        <v>0</v>
      </c>
      <c r="O238" s="89" t="n">
        <f aca="false">MAX(O237-O23,0)</f>
        <v>0</v>
      </c>
      <c r="P238" s="89" t="n">
        <f aca="false">MAX(P237-P23,0)</f>
        <v>0</v>
      </c>
      <c r="Q238" s="89" t="n">
        <f aca="false">MAX(Q237-Q23,0)</f>
        <v>0</v>
      </c>
      <c r="R238" s="89" t="n">
        <f aca="false">MAX(R237-R23,0)</f>
        <v>0</v>
      </c>
      <c r="S238" s="89" t="n">
        <f aca="false">MAX(S237-S23,0)</f>
        <v>0</v>
      </c>
    </row>
    <row r="239" customFormat="false" ht="15" hidden="false" customHeight="false" outlineLevel="0" collapsed="false">
      <c r="A239" s="73" t="s">
        <v>1005</v>
      </c>
      <c r="B239" s="74" t="s">
        <v>1008</v>
      </c>
      <c r="C239" s="66" t="s">
        <v>157</v>
      </c>
      <c r="D239" s="43" t="s">
        <v>37</v>
      </c>
      <c r="E239" s="75" t="s">
        <v>1002</v>
      </c>
      <c r="F239" s="76"/>
      <c r="G239" s="90" t="str">
        <f aca="false">IF(G238&gt;0.5,"ERROR — sobre-asignación","OK")</f>
        <v>OK</v>
      </c>
      <c r="H239" s="90" t="str">
        <f aca="false">IF(H238&gt;0.5,"ERROR — sobre-asignación","OK")</f>
        <v>OK</v>
      </c>
      <c r="I239" s="90" t="str">
        <f aca="false">IF(I238&gt;0.5,"ERROR — sobre-asignación","OK")</f>
        <v>OK</v>
      </c>
      <c r="J239" s="90" t="str">
        <f aca="false">IF(J238&gt;0.5,"ERROR — sobre-asignación","OK")</f>
        <v>OK</v>
      </c>
      <c r="K239" s="90" t="str">
        <f aca="false">IF(K238&gt;0.5,"ERROR — sobre-asignación","OK")</f>
        <v>OK</v>
      </c>
      <c r="L239" s="90" t="str">
        <f aca="false">IF(L238&gt;0.5,"ERROR — sobre-asignación","OK")</f>
        <v>OK</v>
      </c>
      <c r="M239" s="90" t="str">
        <f aca="false">IF(M238&gt;0.5,"ERROR — sobre-asignación","OK")</f>
        <v>OK</v>
      </c>
      <c r="N239" s="90" t="str">
        <f aca="false">IF(N238&gt;0.5,"ERROR — sobre-asignación","OK")</f>
        <v>OK</v>
      </c>
      <c r="O239" s="90" t="str">
        <f aca="false">IF(O238&gt;0.5,"ERROR — sobre-asignación","OK")</f>
        <v>OK</v>
      </c>
      <c r="P239" s="90" t="str">
        <f aca="false">IF(P238&gt;0.5,"ERROR — sobre-asignación","OK")</f>
        <v>OK</v>
      </c>
      <c r="Q239" s="90" t="str">
        <f aca="false">IF(Q238&gt;0.5,"ERROR — sobre-asignación","OK")</f>
        <v>OK</v>
      </c>
      <c r="R239" s="90" t="str">
        <f aca="false">IF(R238&gt;0.5,"ERROR — sobre-asignación","OK")</f>
        <v>OK</v>
      </c>
      <c r="S239" s="90" t="str">
        <f aca="false">IF(S238&gt;0.5,"ERROR — sobre-asignación","OK")</f>
        <v>OK</v>
      </c>
    </row>
    <row r="240" customFormat="false" ht="15" hidden="false" customHeight="false" outlineLevel="0" collapsed="false">
      <c r="A240" s="73" t="s">
        <v>1005</v>
      </c>
      <c r="B240" s="74" t="s">
        <v>1009</v>
      </c>
      <c r="C240" s="66" t="s">
        <v>157</v>
      </c>
      <c r="D240" s="43" t="s">
        <v>332</v>
      </c>
      <c r="E240" s="75" t="s">
        <v>917</v>
      </c>
      <c r="F240" s="76"/>
      <c r="G240" s="78" t="n">
        <f aca="false">IF(G239="OK",MIN(G237,G23),0)</f>
        <v>0</v>
      </c>
      <c r="H240" s="78" t="n">
        <f aca="false">IF(H239="OK",MIN(H237,H23),0)</f>
        <v>0</v>
      </c>
      <c r="I240" s="78" t="n">
        <f aca="false">IF(I239="OK",MIN(I237,I23),0)</f>
        <v>0</v>
      </c>
      <c r="J240" s="78" t="n">
        <f aca="false">IF(J239="OK",MIN(J237,J23),0)</f>
        <v>0</v>
      </c>
      <c r="K240" s="78" t="n">
        <f aca="false">IF(K239="OK",MIN(K237,K23),0)</f>
        <v>0</v>
      </c>
      <c r="L240" s="78" t="n">
        <f aca="false">IF(L239="OK",MIN(L237,L23),0)</f>
        <v>0</v>
      </c>
      <c r="M240" s="78" t="n">
        <f aca="false">IF(M239="OK",MIN(M237,M23),0)</f>
        <v>0</v>
      </c>
      <c r="N240" s="78" t="n">
        <f aca="false">IF(N239="OK",MIN(N237,N23),0)</f>
        <v>0</v>
      </c>
      <c r="O240" s="78" t="n">
        <f aca="false">IF(O239="OK",MIN(O237,O23),0)</f>
        <v>0</v>
      </c>
      <c r="P240" s="78" t="n">
        <f aca="false">IF(P239="OK",MIN(P237,P23),0)</f>
        <v>0</v>
      </c>
      <c r="Q240" s="78" t="n">
        <f aca="false">IF(Q239="OK",MIN(Q237,Q23),0)</f>
        <v>0</v>
      </c>
      <c r="R240" s="78" t="n">
        <f aca="false">IF(R239="OK",MIN(R237,R23),0)</f>
        <v>0</v>
      </c>
      <c r="S240" s="78" t="n">
        <f aca="false">IF(S239="OK",MIN(S237,S23),0)</f>
        <v>0</v>
      </c>
    </row>
    <row r="241" customFormat="false" ht="15" hidden="false" customHeight="false" outlineLevel="0" collapsed="false">
      <c r="A241" s="73" t="s">
        <v>1005</v>
      </c>
      <c r="B241" s="74" t="s">
        <v>1010</v>
      </c>
      <c r="C241" s="66" t="s">
        <v>157</v>
      </c>
      <c r="D241" s="43" t="s">
        <v>332</v>
      </c>
      <c r="E241" s="75" t="s">
        <v>917</v>
      </c>
      <c r="F241" s="76"/>
      <c r="G241" s="36" t="n">
        <f aca="false">IF(G239="OK",MAX(G23-G237,0),0)</f>
        <v>0</v>
      </c>
      <c r="H241" s="36" t="n">
        <f aca="false">IF(H239="OK",MAX(H23-H237,0),0)</f>
        <v>0</v>
      </c>
      <c r="I241" s="36" t="n">
        <f aca="false">IF(I239="OK",MAX(I23-I237,0),0)</f>
        <v>0</v>
      </c>
      <c r="J241" s="36" t="n">
        <f aca="false">IF(J239="OK",MAX(J23-J237,0),0)</f>
        <v>0</v>
      </c>
      <c r="K241" s="36" t="n">
        <f aca="false">IF(K239="OK",MAX(K23-K237,0),0)</f>
        <v>0</v>
      </c>
      <c r="L241" s="36" t="n">
        <f aca="false">IF(L239="OK",MAX(L23-L237,0),0)</f>
        <v>0</v>
      </c>
      <c r="M241" s="36" t="n">
        <f aca="false">IF(M239="OK",MAX(M23-M237,0),0)</f>
        <v>0</v>
      </c>
      <c r="N241" s="36" t="n">
        <f aca="false">IF(N239="OK",MAX(N23-N237,0),0)</f>
        <v>0</v>
      </c>
      <c r="O241" s="36" t="n">
        <f aca="false">IF(O239="OK",MAX(O23-O237,0),0)</f>
        <v>0</v>
      </c>
      <c r="P241" s="36" t="n">
        <f aca="false">IF(P239="OK",MAX(P23-P237,0),0)</f>
        <v>0</v>
      </c>
      <c r="Q241" s="36" t="n">
        <f aca="false">IF(Q239="OK",MAX(Q23-Q237,0),0)</f>
        <v>0</v>
      </c>
      <c r="R241" s="36" t="n">
        <f aca="false">IF(R239="OK",MAX(R23-R237,0),0)</f>
        <v>0</v>
      </c>
      <c r="S241" s="36" t="n">
        <f aca="false">IF(S239="OK",MAX(S23-S237,0),0)</f>
        <v>0</v>
      </c>
    </row>
    <row r="242" customFormat="false" ht="15" hidden="false" customHeight="false" outlineLevel="0" collapsed="false">
      <c r="A242" s="73" t="s">
        <v>1005</v>
      </c>
      <c r="B242" s="74" t="s">
        <v>1006</v>
      </c>
      <c r="C242" s="66" t="s">
        <v>158</v>
      </c>
      <c r="D242" s="43" t="s">
        <v>332</v>
      </c>
      <c r="E242" s="75" t="s">
        <v>43</v>
      </c>
      <c r="F242" s="76"/>
      <c r="G242" s="36" t="n">
        <f aca="false">(IF(G46="Europa",G153,0)+IF(G47="Europa",G159,0)+IF(G48="Europa",G165,0))+(IF(G58="Europa",G156,0)+IF(G59="Europa",G162,0)+IF(G60="Europa",G168,0))</f>
        <v>0</v>
      </c>
      <c r="H242" s="36" t="n">
        <f aca="false">(IF(H46="Europa",H153,0)+IF(H47="Europa",H159,0)+IF(H48="Europa",H165,0))+(IF(H58="Europa",H156,0)+IF(H59="Europa",H162,0)+IF(H60="Europa",H168,0))</f>
        <v>0</v>
      </c>
      <c r="I242" s="36" t="n">
        <f aca="false">(IF(I46="Europa",I153,0)+IF(I47="Europa",I159,0)+IF(I48="Europa",I165,0))+(IF(I58="Europa",I156,0)+IF(I59="Europa",I162,0)+IF(I60="Europa",I168,0))</f>
        <v>0</v>
      </c>
      <c r="J242" s="36" t="n">
        <f aca="false">(IF(J46="Europa",J153,0)+IF(J47="Europa",J159,0)+IF(J48="Europa",J165,0))+(IF(J58="Europa",J156,0)+IF(J59="Europa",J162,0)+IF(J60="Europa",J168,0))</f>
        <v>0</v>
      </c>
      <c r="K242" s="36" t="n">
        <f aca="false">(IF(K46="Europa",K153,0)+IF(K47="Europa",K159,0)+IF(K48="Europa",K165,0))+(IF(K58="Europa",K156,0)+IF(K59="Europa",K162,0)+IF(K60="Europa",K168,0))</f>
        <v>0</v>
      </c>
      <c r="L242" s="36" t="n">
        <f aca="false">(IF(L46="Europa",L153,0)+IF(L47="Europa",L159,0)+IF(L48="Europa",L165,0))+(IF(L58="Europa",L156,0)+IF(L59="Europa",L162,0)+IF(L60="Europa",L168,0))</f>
        <v>0</v>
      </c>
      <c r="M242" s="36" t="n">
        <f aca="false">(IF(M46="Europa",M153,0)+IF(M47="Europa",M159,0)+IF(M48="Europa",M165,0))+(IF(M58="Europa",M156,0)+IF(M59="Europa",M162,0)+IF(M60="Europa",M168,0))</f>
        <v>0</v>
      </c>
      <c r="N242" s="36" t="n">
        <f aca="false">(IF(N46="Europa",N153,0)+IF(N47="Europa",N159,0)+IF(N48="Europa",N165,0))+(IF(N58="Europa",N156,0)+IF(N59="Europa",N162,0)+IF(N60="Europa",N168,0))</f>
        <v>0</v>
      </c>
      <c r="O242" s="36" t="n">
        <f aca="false">(IF(O46="Europa",O153,0)+IF(O47="Europa",O159,0)+IF(O48="Europa",O165,0))+(IF(O58="Europa",O156,0)+IF(O59="Europa",O162,0)+IF(O60="Europa",O168,0))</f>
        <v>0</v>
      </c>
      <c r="P242" s="36" t="n">
        <f aca="false">(IF(P46="Europa",P153,0)+IF(P47="Europa",P159,0)+IF(P48="Europa",P165,0))+(IF(P58="Europa",P156,0)+IF(P59="Europa",P162,0)+IF(P60="Europa",P168,0))</f>
        <v>0</v>
      </c>
      <c r="Q242" s="36" t="n">
        <f aca="false">(IF(Q46="Europa",Q153,0)+IF(Q47="Europa",Q159,0)+IF(Q48="Europa",Q165,0))+(IF(Q58="Europa",Q156,0)+IF(Q59="Europa",Q162,0)+IF(Q60="Europa",Q168,0))</f>
        <v>0</v>
      </c>
      <c r="R242" s="36" t="n">
        <f aca="false">(IF(R46="Europa",R153,0)+IF(R47="Europa",R159,0)+IF(R48="Europa",R165,0))+(IF(R58="Europa",R156,0)+IF(R59="Europa",R162,0)+IF(R60="Europa",R168,0))</f>
        <v>0</v>
      </c>
      <c r="S242" s="36" t="n">
        <f aca="false">(IF(S46="Europa",S153,0)+IF(S47="Europa",S159,0)+IF(S48="Europa",S165,0))+(IF(S58="Europa",S156,0)+IF(S59="Europa",S162,0)+IF(S60="Europa",S168,0))</f>
        <v>0</v>
      </c>
    </row>
    <row r="243" customFormat="false" ht="15" hidden="false" customHeight="false" outlineLevel="0" collapsed="false">
      <c r="A243" s="73" t="s">
        <v>1005</v>
      </c>
      <c r="B243" s="74" t="s">
        <v>1007</v>
      </c>
      <c r="C243" s="66" t="s">
        <v>158</v>
      </c>
      <c r="D243" s="43" t="s">
        <v>332</v>
      </c>
      <c r="E243" s="75" t="s">
        <v>1002</v>
      </c>
      <c r="F243" s="76"/>
      <c r="G243" s="89" t="n">
        <f aca="false">MAX(G242-G24,0)</f>
        <v>0</v>
      </c>
      <c r="H243" s="89" t="n">
        <f aca="false">MAX(H242-H24,0)</f>
        <v>0</v>
      </c>
      <c r="I243" s="89" t="n">
        <f aca="false">MAX(I242-I24,0)</f>
        <v>0</v>
      </c>
      <c r="J243" s="89" t="n">
        <f aca="false">MAX(J242-J24,0)</f>
        <v>0</v>
      </c>
      <c r="K243" s="89" t="n">
        <f aca="false">MAX(K242-K24,0)</f>
        <v>0</v>
      </c>
      <c r="L243" s="89" t="n">
        <f aca="false">MAX(L242-L24,0)</f>
        <v>0</v>
      </c>
      <c r="M243" s="89" t="n">
        <f aca="false">MAX(M242-M24,0)</f>
        <v>0</v>
      </c>
      <c r="N243" s="89" t="n">
        <f aca="false">MAX(N242-N24,0)</f>
        <v>0</v>
      </c>
      <c r="O243" s="89" t="n">
        <f aca="false">MAX(O242-O24,0)</f>
        <v>0</v>
      </c>
      <c r="P243" s="89" t="n">
        <f aca="false">MAX(P242-P24,0)</f>
        <v>0</v>
      </c>
      <c r="Q243" s="89" t="n">
        <f aca="false">MAX(Q242-Q24,0)</f>
        <v>0</v>
      </c>
      <c r="R243" s="89" t="n">
        <f aca="false">MAX(R242-R24,0)</f>
        <v>0</v>
      </c>
      <c r="S243" s="89" t="n">
        <f aca="false">MAX(S242-S24,0)</f>
        <v>0</v>
      </c>
    </row>
    <row r="244" customFormat="false" ht="15" hidden="false" customHeight="false" outlineLevel="0" collapsed="false">
      <c r="A244" s="73" t="s">
        <v>1005</v>
      </c>
      <c r="B244" s="74" t="s">
        <v>1008</v>
      </c>
      <c r="C244" s="66" t="s">
        <v>158</v>
      </c>
      <c r="D244" s="43" t="s">
        <v>37</v>
      </c>
      <c r="E244" s="75" t="s">
        <v>1002</v>
      </c>
      <c r="F244" s="76"/>
      <c r="G244" s="90" t="str">
        <f aca="false">IF(G243&gt;0.5,"ERROR — sobre-asignación","OK")</f>
        <v>OK</v>
      </c>
      <c r="H244" s="90" t="str">
        <f aca="false">IF(H243&gt;0.5,"ERROR — sobre-asignación","OK")</f>
        <v>OK</v>
      </c>
      <c r="I244" s="90" t="str">
        <f aca="false">IF(I243&gt;0.5,"ERROR — sobre-asignación","OK")</f>
        <v>OK</v>
      </c>
      <c r="J244" s="90" t="str">
        <f aca="false">IF(J243&gt;0.5,"ERROR — sobre-asignación","OK")</f>
        <v>OK</v>
      </c>
      <c r="K244" s="90" t="str">
        <f aca="false">IF(K243&gt;0.5,"ERROR — sobre-asignación","OK")</f>
        <v>OK</v>
      </c>
      <c r="L244" s="90" t="str">
        <f aca="false">IF(L243&gt;0.5,"ERROR — sobre-asignación","OK")</f>
        <v>OK</v>
      </c>
      <c r="M244" s="90" t="str">
        <f aca="false">IF(M243&gt;0.5,"ERROR — sobre-asignación","OK")</f>
        <v>OK</v>
      </c>
      <c r="N244" s="90" t="str">
        <f aca="false">IF(N243&gt;0.5,"ERROR — sobre-asignación","OK")</f>
        <v>OK</v>
      </c>
      <c r="O244" s="90" t="str">
        <f aca="false">IF(O243&gt;0.5,"ERROR — sobre-asignación","OK")</f>
        <v>OK</v>
      </c>
      <c r="P244" s="90" t="str">
        <f aca="false">IF(P243&gt;0.5,"ERROR — sobre-asignación","OK")</f>
        <v>OK</v>
      </c>
      <c r="Q244" s="90" t="str">
        <f aca="false">IF(Q243&gt;0.5,"ERROR — sobre-asignación","OK")</f>
        <v>OK</v>
      </c>
      <c r="R244" s="90" t="str">
        <f aca="false">IF(R243&gt;0.5,"ERROR — sobre-asignación","OK")</f>
        <v>OK</v>
      </c>
      <c r="S244" s="90" t="str">
        <f aca="false">IF(S243&gt;0.5,"ERROR — sobre-asignación","OK")</f>
        <v>OK</v>
      </c>
    </row>
    <row r="245" customFormat="false" ht="15" hidden="false" customHeight="false" outlineLevel="0" collapsed="false">
      <c r="A245" s="73" t="s">
        <v>1005</v>
      </c>
      <c r="B245" s="74" t="s">
        <v>1009</v>
      </c>
      <c r="C245" s="66" t="s">
        <v>158</v>
      </c>
      <c r="D245" s="43" t="s">
        <v>332</v>
      </c>
      <c r="E245" s="75" t="s">
        <v>917</v>
      </c>
      <c r="F245" s="76"/>
      <c r="G245" s="78" t="n">
        <f aca="false">IF(G244="OK",MIN(G242,G24),0)</f>
        <v>0</v>
      </c>
      <c r="H245" s="78" t="n">
        <f aca="false">IF(H244="OK",MIN(H242,H24),0)</f>
        <v>0</v>
      </c>
      <c r="I245" s="78" t="n">
        <f aca="false">IF(I244="OK",MIN(I242,I24),0)</f>
        <v>0</v>
      </c>
      <c r="J245" s="78" t="n">
        <f aca="false">IF(J244="OK",MIN(J242,J24),0)</f>
        <v>0</v>
      </c>
      <c r="K245" s="78" t="n">
        <f aca="false">IF(K244="OK",MIN(K242,K24),0)</f>
        <v>0</v>
      </c>
      <c r="L245" s="78" t="n">
        <f aca="false">IF(L244="OK",MIN(L242,L24),0)</f>
        <v>0</v>
      </c>
      <c r="M245" s="78" t="n">
        <f aca="false">IF(M244="OK",MIN(M242,M24),0)</f>
        <v>0</v>
      </c>
      <c r="N245" s="78" t="n">
        <f aca="false">IF(N244="OK",MIN(N242,N24),0)</f>
        <v>0</v>
      </c>
      <c r="O245" s="78" t="n">
        <f aca="false">IF(O244="OK",MIN(O242,O24),0)</f>
        <v>0</v>
      </c>
      <c r="P245" s="78" t="n">
        <f aca="false">IF(P244="OK",MIN(P242,P24),0)</f>
        <v>0</v>
      </c>
      <c r="Q245" s="78" t="n">
        <f aca="false">IF(Q244="OK",MIN(Q242,Q24),0)</f>
        <v>0</v>
      </c>
      <c r="R245" s="78" t="n">
        <f aca="false">IF(R244="OK",MIN(R242,R24),0)</f>
        <v>0</v>
      </c>
      <c r="S245" s="78" t="n">
        <f aca="false">IF(S244="OK",MIN(S242,S24),0)</f>
        <v>0</v>
      </c>
    </row>
    <row r="246" customFormat="false" ht="15" hidden="false" customHeight="false" outlineLevel="0" collapsed="false">
      <c r="A246" s="73" t="s">
        <v>1005</v>
      </c>
      <c r="B246" s="74" t="s">
        <v>1010</v>
      </c>
      <c r="C246" s="66" t="s">
        <v>158</v>
      </c>
      <c r="D246" s="43" t="s">
        <v>332</v>
      </c>
      <c r="E246" s="75" t="s">
        <v>917</v>
      </c>
      <c r="F246" s="76"/>
      <c r="G246" s="36" t="n">
        <f aca="false">IF(G244="OK",MAX(G24-G242,0),0)</f>
        <v>0</v>
      </c>
      <c r="H246" s="36" t="n">
        <f aca="false">IF(H244="OK",MAX(H24-H242,0),0)</f>
        <v>0</v>
      </c>
      <c r="I246" s="36" t="n">
        <f aca="false">IF(I244="OK",MAX(I24-I242,0),0)</f>
        <v>0</v>
      </c>
      <c r="J246" s="36" t="n">
        <f aca="false">IF(J244="OK",MAX(J24-J242,0),0)</f>
        <v>0</v>
      </c>
      <c r="K246" s="36" t="n">
        <f aca="false">IF(K244="OK",MAX(K24-K242,0),0)</f>
        <v>0</v>
      </c>
      <c r="L246" s="36" t="n">
        <f aca="false">IF(L244="OK",MAX(L24-L242,0),0)</f>
        <v>0</v>
      </c>
      <c r="M246" s="36" t="n">
        <f aca="false">IF(M244="OK",MAX(M24-M242,0),0)</f>
        <v>0</v>
      </c>
      <c r="N246" s="36" t="n">
        <f aca="false">IF(N244="OK",MAX(N24-N242,0),0)</f>
        <v>0</v>
      </c>
      <c r="O246" s="36" t="n">
        <f aca="false">IF(O244="OK",MAX(O24-O242,0),0)</f>
        <v>0</v>
      </c>
      <c r="P246" s="36" t="n">
        <f aca="false">IF(P244="OK",MAX(P24-P242,0),0)</f>
        <v>0</v>
      </c>
      <c r="Q246" s="36" t="n">
        <f aca="false">IF(Q244="OK",MAX(Q24-Q242,0),0)</f>
        <v>0</v>
      </c>
      <c r="R246" s="36" t="n">
        <f aca="false">IF(R244="OK",MAX(R24-R242,0),0)</f>
        <v>0</v>
      </c>
      <c r="S246" s="36" t="n">
        <f aca="false">IF(S244="OK",MAX(S24-S242,0),0)</f>
        <v>0</v>
      </c>
    </row>
    <row r="248" customFormat="false" ht="15" hidden="false" customHeight="false" outlineLevel="0" collapsed="false">
      <c r="A248" s="5" t="s">
        <v>1011</v>
      </c>
      <c r="B248" s="5"/>
      <c r="C248" s="5"/>
      <c r="D248" s="5"/>
      <c r="E248" s="5"/>
      <c r="F248" s="5"/>
      <c r="G248" s="5"/>
      <c r="H248" s="5"/>
      <c r="I248" s="5"/>
      <c r="J248" s="5"/>
      <c r="K248" s="5"/>
      <c r="L248" s="5"/>
      <c r="M248" s="5"/>
      <c r="N248" s="5"/>
      <c r="O248" s="5"/>
      <c r="P248" s="5"/>
      <c r="Q248" s="5"/>
      <c r="R248" s="5"/>
      <c r="S248" s="5"/>
    </row>
    <row r="249" customFormat="false" ht="15" hidden="false" customHeight="false" outlineLevel="0" collapsed="false">
      <c r="A249" s="73" t="s">
        <v>1012</v>
      </c>
      <c r="B249" s="74" t="s">
        <v>1013</v>
      </c>
      <c r="C249" s="66" t="s">
        <v>119</v>
      </c>
      <c r="D249" s="43" t="s">
        <v>332</v>
      </c>
      <c r="E249" s="75" t="s">
        <v>43</v>
      </c>
      <c r="F249" s="76"/>
      <c r="G249" s="36" t="n">
        <f aca="false">(((IF(G37="China",G72,0)+IF(G38="China",G78,0)+IF(G39="China",G84,0))*(IF(G209="OK",1,0))))+(((IF(G40="China",G99,0)+IF(G41="China",G105,0)+IF(G42="China",G111,0))*(IF(G214="OK",1,0))))+(((IF(G43="China",G126,0)+IF(G44="China",G132,0)+IF(G45="China",G138,0))*(IF(G219="OK",1,0))))+(((IF(G46="China",G153,0)+IF(G47="China",G159,0)+IF(G48="China",G165,0))*(IF(G224="OK",1,0))))</f>
        <v>0</v>
      </c>
      <c r="H249" s="36" t="n">
        <f aca="false">(((IF(H37="China",H72,0)+IF(H38="China",H78,0)+IF(H39="China",H84,0))*(IF(H209="OK",1,0))))+(((IF(H40="China",H99,0)+IF(H41="China",H105,0)+IF(H42="China",H111,0))*(IF(H214="OK",1,0))))+(((IF(H43="China",H126,0)+IF(H44="China",H132,0)+IF(H45="China",H138,0))*(IF(H219="OK",1,0))))+(((IF(H46="China",H153,0)+IF(H47="China",H159,0)+IF(H48="China",H165,0))*(IF(H224="OK",1,0))))</f>
        <v>0</v>
      </c>
      <c r="I249" s="36" t="n">
        <f aca="false">(((IF(I37="China",I72,0)+IF(I38="China",I78,0)+IF(I39="China",I84,0))*(IF(I209="OK",1,0))))+(((IF(I40="China",I99,0)+IF(I41="China",I105,0)+IF(I42="China",I111,0))*(IF(I214="OK",1,0))))+(((IF(I43="China",I126,0)+IF(I44="China",I132,0)+IF(I45="China",I138,0))*(IF(I219="OK",1,0))))+(((IF(I46="China",I153,0)+IF(I47="China",I159,0)+IF(I48="China",I165,0))*(IF(I224="OK",1,0))))</f>
        <v>128666.016370557</v>
      </c>
      <c r="J249" s="36" t="n">
        <f aca="false">(((IF(J37="China",J72,0)+IF(J38="China",J78,0)+IF(J39="China",J84,0))*(IF(J209="OK",1,0))))+(((IF(J40="China",J99,0)+IF(J41="China",J105,0)+IF(J42="China",J111,0))*(IF(J214="OK",1,0))))+(((IF(J43="China",J126,0)+IF(J44="China",J132,0)+IF(J45="China",J138,0))*(IF(J219="OK",1,0))))+(((IF(J46="China",J153,0)+IF(J47="China",J159,0)+IF(J48="China",J165,0))*(IF(J224="OK",1,0))))</f>
        <v>0</v>
      </c>
      <c r="K249" s="36" t="n">
        <f aca="false">(((IF(K37="China",K72,0)+IF(K38="China",K78,0)+IF(K39="China",K84,0))*(IF(K209="OK",1,0))))+(((IF(K40="China",K99,0)+IF(K41="China",K105,0)+IF(K42="China",K111,0))*(IF(K214="OK",1,0))))+(((IF(K43="China",K126,0)+IF(K44="China",K132,0)+IF(K45="China",K138,0))*(IF(K219="OK",1,0))))+(((IF(K46="China",K153,0)+IF(K47="China",K159,0)+IF(K48="China",K165,0))*(IF(K224="OK",1,0))))</f>
        <v>0</v>
      </c>
      <c r="L249" s="36" t="n">
        <f aca="false">(((IF(L37="China",L72,0)+IF(L38="China",L78,0)+IF(L39="China",L84,0))*(IF(L209="OK",1,0))))+(((IF(L40="China",L99,0)+IF(L41="China",L105,0)+IF(L42="China",L111,0))*(IF(L214="OK",1,0))))+(((IF(L43="China",L126,0)+IF(L44="China",L132,0)+IF(L45="China",L138,0))*(IF(L219="OK",1,0))))+(((IF(L46="China",L153,0)+IF(L47="China",L159,0)+IF(L48="China",L165,0))*(IF(L224="OK",1,0))))</f>
        <v>0</v>
      </c>
      <c r="M249" s="36" t="n">
        <f aca="false">(((IF(M37="China",M72,0)+IF(M38="China",M78,0)+IF(M39="China",M84,0))*(IF(M209="OK",1,0))))+(((IF(M40="China",M99,0)+IF(M41="China",M105,0)+IF(M42="China",M111,0))*(IF(M214="OK",1,0))))+(((IF(M43="China",M126,0)+IF(M44="China",M132,0)+IF(M45="China",M138,0))*(IF(M219="OK",1,0))))+(((IF(M46="China",M153,0)+IF(M47="China",M159,0)+IF(M48="China",M165,0))*(IF(M224="OK",1,0))))</f>
        <v>0</v>
      </c>
      <c r="N249" s="36" t="n">
        <f aca="false">(((IF(N37="China",N72,0)+IF(N38="China",N78,0)+IF(N39="China",N84,0))*(IF(N209="OK",1,0))))+(((IF(N40="China",N99,0)+IF(N41="China",N105,0)+IF(N42="China",N111,0))*(IF(N214="OK",1,0))))+(((IF(N43="China",N126,0)+IF(N44="China",N132,0)+IF(N45="China",N138,0))*(IF(N219="OK",1,0))))+(((IF(N46="China",N153,0)+IF(N47="China",N159,0)+IF(N48="China",N165,0))*(IF(N224="OK",1,0))))</f>
        <v>0</v>
      </c>
      <c r="O249" s="36" t="n">
        <f aca="false">(((IF(O37="China",O72,0)+IF(O38="China",O78,0)+IF(O39="China",O84,0))*(IF(O209="OK",1,0))))+(((IF(O40="China",O99,0)+IF(O41="China",O105,0)+IF(O42="China",O111,0))*(IF(O214="OK",1,0))))+(((IF(O43="China",O126,0)+IF(O44="China",O132,0)+IF(O45="China",O138,0))*(IF(O219="OK",1,0))))+(((IF(O46="China",O153,0)+IF(O47="China",O159,0)+IF(O48="China",O165,0))*(IF(O224="OK",1,0))))</f>
        <v>0</v>
      </c>
      <c r="P249" s="36" t="n">
        <f aca="false">(((IF(P37="China",P72,0)+IF(P38="China",P78,0)+IF(P39="China",P84,0))*(IF(P209="OK",1,0))))+(((IF(P40="China",P99,0)+IF(P41="China",P105,0)+IF(P42="China",P111,0))*(IF(P214="OK",1,0))))+(((IF(P43="China",P126,0)+IF(P44="China",P132,0)+IF(P45="China",P138,0))*(IF(P219="OK",1,0))))+(((IF(P46="China",P153,0)+IF(P47="China",P159,0)+IF(P48="China",P165,0))*(IF(P224="OK",1,0))))</f>
        <v>0</v>
      </c>
      <c r="Q249" s="36" t="n">
        <f aca="false">(((IF(Q37="China",Q72,0)+IF(Q38="China",Q78,0)+IF(Q39="China",Q84,0))*(IF(Q209="OK",1,0))))+(((IF(Q40="China",Q99,0)+IF(Q41="China",Q105,0)+IF(Q42="China",Q111,0))*(IF(Q214="OK",1,0))))+(((IF(Q43="China",Q126,0)+IF(Q44="China",Q132,0)+IF(Q45="China",Q138,0))*(IF(Q219="OK",1,0))))+(((IF(Q46="China",Q153,0)+IF(Q47="China",Q159,0)+IF(Q48="China",Q165,0))*(IF(Q224="OK",1,0))))</f>
        <v>0</v>
      </c>
      <c r="R249" s="36" t="n">
        <f aca="false">(((IF(R37="China",R72,0)+IF(R38="China",R78,0)+IF(R39="China",R84,0))*(IF(R209="OK",1,0))))+(((IF(R40="China",R99,0)+IF(R41="China",R105,0)+IF(R42="China",R111,0))*(IF(R214="OK",1,0))))+(((IF(R43="China",R126,0)+IF(R44="China",R132,0)+IF(R45="China",R138,0))*(IF(R219="OK",1,0))))+(((IF(R46="China",R153,0)+IF(R47="China",R159,0)+IF(R48="China",R165,0))*(IF(R224="OK",1,0))))</f>
        <v>0</v>
      </c>
      <c r="S249" s="36" t="n">
        <f aca="false">(((IF(S37="China",S72,0)+IF(S38="China",S78,0)+IF(S39="China",S84,0))*(IF(S209="OK",1,0))))+(((IF(S40="China",S99,0)+IF(S41="China",S105,0)+IF(S42="China",S111,0))*(IF(S214="OK",1,0))))+(((IF(S43="China",S126,0)+IF(S44="China",S132,0)+IF(S45="China",S138,0))*(IF(S219="OK",1,0))))+(((IF(S46="China",S153,0)+IF(S47="China",S159,0)+IF(S48="China",S165,0))*(IF(S224="OK",1,0))))</f>
        <v>0</v>
      </c>
    </row>
    <row r="250" customFormat="false" ht="15" hidden="false" customHeight="false" outlineLevel="0" collapsed="false">
      <c r="A250" s="73" t="s">
        <v>1012</v>
      </c>
      <c r="B250" s="74" t="s">
        <v>1014</v>
      </c>
      <c r="C250" s="66" t="s">
        <v>119</v>
      </c>
      <c r="D250" s="43" t="s">
        <v>89</v>
      </c>
      <c r="E250" s="75" t="s">
        <v>43</v>
      </c>
      <c r="F250" s="76"/>
      <c r="G250" s="82" t="n">
        <f aca="false">IFERROR(((((IF(G37="China",G72,0)+IF(G38="China",G78,0)+IF(G39="China",G84,0))*(IF(G209="OK",1,0))))*_ENGINE_PRODUCCION!G36+(((IF(G40="China",G99,0)+IF(G41="China",G105,0)+IF(G42="China",G111,0))*(IF(G214="OK",1,0))))*_ENGINE_PRODUCCION!G41+(((IF(G43="China",G126,0)+IF(G44="China",G132,0)+IF(G45="China",G138,0))*(IF(G219="OK",1,0))))*_ENGINE_PRODUCCION!G46+(((IF(G46="China",G153,0)+IF(G47="China",G159,0)+IF(G48="China",G165,0))*(IF(G224="OK",1,0))))*_ENGINE_PRODUCCION!G51)/G249,0)</f>
        <v>0</v>
      </c>
      <c r="H250" s="82" t="n">
        <f aca="false">IFERROR(((((IF(H37="China",H72,0)+IF(H38="China",H78,0)+IF(H39="China",H84,0))*(IF(H209="OK",1,0))))*_ENGINE_PRODUCCION!H36+(((IF(H40="China",H99,0)+IF(H41="China",H105,0)+IF(H42="China",H111,0))*(IF(H214="OK",1,0))))*_ENGINE_PRODUCCION!H41+(((IF(H43="China",H126,0)+IF(H44="China",H132,0)+IF(H45="China",H138,0))*(IF(H219="OK",1,0))))*_ENGINE_PRODUCCION!H46+(((IF(H46="China",H153,0)+IF(H47="China",H159,0)+IF(H48="China",H165,0))*(IF(H224="OK",1,0))))*_ENGINE_PRODUCCION!H51)/H249,0)</f>
        <v>0</v>
      </c>
      <c r="I250" s="82" t="n">
        <f aca="false">IFERROR(((((IF(I37="China",I72,0)+IF(I38="China",I78,0)+IF(I39="China",I84,0))*(IF(I209="OK",1,0))))*_ENGINE_PRODUCCION!I36+(((IF(I40="China",I99,0)+IF(I41="China",I105,0)+IF(I42="China",I111,0))*(IF(I214="OK",1,0))))*_ENGINE_PRODUCCION!I41+(((IF(I43="China",I126,0)+IF(I44="China",I132,0)+IF(I45="China",I138,0))*(IF(I219="OK",1,0))))*_ENGINE_PRODUCCION!I46+(((IF(I46="China",I153,0)+IF(I47="China",I159,0)+IF(I48="China",I165,0))*(IF(I224="OK",1,0))))*_ENGINE_PRODUCCION!I51)/I249,0)</f>
        <v>14229.5408062864</v>
      </c>
      <c r="J250" s="82" t="n">
        <f aca="false">IFERROR(((((IF(J37="China",J72,0)+IF(J38="China",J78,0)+IF(J39="China",J84,0))*(IF(J209="OK",1,0))))*_ENGINE_PRODUCCION!J36+(((IF(J40="China",J99,0)+IF(J41="China",J105,0)+IF(J42="China",J111,0))*(IF(J214="OK",1,0))))*_ENGINE_PRODUCCION!J41+(((IF(J43="China",J126,0)+IF(J44="China",J132,0)+IF(J45="China",J138,0))*(IF(J219="OK",1,0))))*_ENGINE_PRODUCCION!J46+(((IF(J46="China",J153,0)+IF(J47="China",J159,0)+IF(J48="China",J165,0))*(IF(J224="OK",1,0))))*_ENGINE_PRODUCCION!J51)/J249,0)</f>
        <v>0</v>
      </c>
      <c r="K250" s="82" t="n">
        <f aca="false">IFERROR(((((IF(K37="China",K72,0)+IF(K38="China",K78,0)+IF(K39="China",K84,0))*(IF(K209="OK",1,0))))*_ENGINE_PRODUCCION!K36+(((IF(K40="China",K99,0)+IF(K41="China",K105,0)+IF(K42="China",K111,0))*(IF(K214="OK",1,0))))*_ENGINE_PRODUCCION!K41+(((IF(K43="China",K126,0)+IF(K44="China",K132,0)+IF(K45="China",K138,0))*(IF(K219="OK",1,0))))*_ENGINE_PRODUCCION!K46+(((IF(K46="China",K153,0)+IF(K47="China",K159,0)+IF(K48="China",K165,0))*(IF(K224="OK",1,0))))*_ENGINE_PRODUCCION!K51)/K249,0)</f>
        <v>0</v>
      </c>
      <c r="L250" s="82" t="n">
        <f aca="false">IFERROR(((((IF(L37="China",L72,0)+IF(L38="China",L78,0)+IF(L39="China",L84,0))*(IF(L209="OK",1,0))))*_ENGINE_PRODUCCION!L36+(((IF(L40="China",L99,0)+IF(L41="China",L105,0)+IF(L42="China",L111,0))*(IF(L214="OK",1,0))))*_ENGINE_PRODUCCION!L41+(((IF(L43="China",L126,0)+IF(L44="China",L132,0)+IF(L45="China",L138,0))*(IF(L219="OK",1,0))))*_ENGINE_PRODUCCION!L46+(((IF(L46="China",L153,0)+IF(L47="China",L159,0)+IF(L48="China",L165,0))*(IF(L224="OK",1,0))))*_ENGINE_PRODUCCION!L51)/L249,0)</f>
        <v>0</v>
      </c>
      <c r="M250" s="82" t="n">
        <f aca="false">IFERROR(((((IF(M37="China",M72,0)+IF(M38="China",M78,0)+IF(M39="China",M84,0))*(IF(M209="OK",1,0))))*_ENGINE_PRODUCCION!M36+(((IF(M40="China",M99,0)+IF(M41="China",M105,0)+IF(M42="China",M111,0))*(IF(M214="OK",1,0))))*_ENGINE_PRODUCCION!M41+(((IF(M43="China",M126,0)+IF(M44="China",M132,0)+IF(M45="China",M138,0))*(IF(M219="OK",1,0))))*_ENGINE_PRODUCCION!M46+(((IF(M46="China",M153,0)+IF(M47="China",M159,0)+IF(M48="China",M165,0))*(IF(M224="OK",1,0))))*_ENGINE_PRODUCCION!M51)/M249,0)</f>
        <v>0</v>
      </c>
      <c r="N250" s="82" t="n">
        <f aca="false">IFERROR(((((IF(N37="China",N72,0)+IF(N38="China",N78,0)+IF(N39="China",N84,0))*(IF(N209="OK",1,0))))*_ENGINE_PRODUCCION!N36+(((IF(N40="China",N99,0)+IF(N41="China",N105,0)+IF(N42="China",N111,0))*(IF(N214="OK",1,0))))*_ENGINE_PRODUCCION!N41+(((IF(N43="China",N126,0)+IF(N44="China",N132,0)+IF(N45="China",N138,0))*(IF(N219="OK",1,0))))*_ENGINE_PRODUCCION!N46+(((IF(N46="China",N153,0)+IF(N47="China",N159,0)+IF(N48="China",N165,0))*(IF(N224="OK",1,0))))*_ENGINE_PRODUCCION!N51)/N249,0)</f>
        <v>0</v>
      </c>
      <c r="O250" s="82" t="n">
        <f aca="false">IFERROR(((((IF(O37="China",O72,0)+IF(O38="China",O78,0)+IF(O39="China",O84,0))*(IF(O209="OK",1,0))))*_ENGINE_PRODUCCION!O36+(((IF(O40="China",O99,0)+IF(O41="China",O105,0)+IF(O42="China",O111,0))*(IF(O214="OK",1,0))))*_ENGINE_PRODUCCION!O41+(((IF(O43="China",O126,0)+IF(O44="China",O132,0)+IF(O45="China",O138,0))*(IF(O219="OK",1,0))))*_ENGINE_PRODUCCION!O46+(((IF(O46="China",O153,0)+IF(O47="China",O159,0)+IF(O48="China",O165,0))*(IF(O224="OK",1,0))))*_ENGINE_PRODUCCION!O51)/O249,0)</f>
        <v>0</v>
      </c>
      <c r="P250" s="82" t="n">
        <f aca="false">IFERROR(((((IF(P37="China",P72,0)+IF(P38="China",P78,0)+IF(P39="China",P84,0))*(IF(P209="OK",1,0))))*_ENGINE_PRODUCCION!P36+(((IF(P40="China",P99,0)+IF(P41="China",P105,0)+IF(P42="China",P111,0))*(IF(P214="OK",1,0))))*_ENGINE_PRODUCCION!P41+(((IF(P43="China",P126,0)+IF(P44="China",P132,0)+IF(P45="China",P138,0))*(IF(P219="OK",1,0))))*_ENGINE_PRODUCCION!P46+(((IF(P46="China",P153,0)+IF(P47="China",P159,0)+IF(P48="China",P165,0))*(IF(P224="OK",1,0))))*_ENGINE_PRODUCCION!P51)/P249,0)</f>
        <v>0</v>
      </c>
      <c r="Q250" s="82" t="n">
        <f aca="false">IFERROR(((((IF(Q37="China",Q72,0)+IF(Q38="China",Q78,0)+IF(Q39="China",Q84,0))*(IF(Q209="OK",1,0))))*_ENGINE_PRODUCCION!Q36+(((IF(Q40="China",Q99,0)+IF(Q41="China",Q105,0)+IF(Q42="China",Q111,0))*(IF(Q214="OK",1,0))))*_ENGINE_PRODUCCION!Q41+(((IF(Q43="China",Q126,0)+IF(Q44="China",Q132,0)+IF(Q45="China",Q138,0))*(IF(Q219="OK",1,0))))*_ENGINE_PRODUCCION!Q46+(((IF(Q46="China",Q153,0)+IF(Q47="China",Q159,0)+IF(Q48="China",Q165,0))*(IF(Q224="OK",1,0))))*_ENGINE_PRODUCCION!Q51)/Q249,0)</f>
        <v>0</v>
      </c>
      <c r="R250" s="82" t="n">
        <f aca="false">IFERROR(((((IF(R37="China",R72,0)+IF(R38="China",R78,0)+IF(R39="China",R84,0))*(IF(R209="OK",1,0))))*_ENGINE_PRODUCCION!R36+(((IF(R40="China",R99,0)+IF(R41="China",R105,0)+IF(R42="China",R111,0))*(IF(R214="OK",1,0))))*_ENGINE_PRODUCCION!R41+(((IF(R43="China",R126,0)+IF(R44="China",R132,0)+IF(R45="China",R138,0))*(IF(R219="OK",1,0))))*_ENGINE_PRODUCCION!R46+(((IF(R46="China",R153,0)+IF(R47="China",R159,0)+IF(R48="China",R165,0))*(IF(R224="OK",1,0))))*_ENGINE_PRODUCCION!R51)/R249,0)</f>
        <v>0</v>
      </c>
      <c r="S250" s="82" t="n">
        <f aca="false">IFERROR(((((IF(S37="China",S72,0)+IF(S38="China",S78,0)+IF(S39="China",S84,0))*(IF(S209="OK",1,0))))*_ENGINE_PRODUCCION!S36+(((IF(S40="China",S99,0)+IF(S41="China",S105,0)+IF(S42="China",S111,0))*(IF(S214="OK",1,0))))*_ENGINE_PRODUCCION!S41+(((IF(S43="China",S126,0)+IF(S44="China",S132,0)+IF(S45="China",S138,0))*(IF(S219="OK",1,0))))*_ENGINE_PRODUCCION!S46+(((IF(S46="China",S153,0)+IF(S47="China",S159,0)+IF(S48="China",S165,0))*(IF(S224="OK",1,0))))*_ENGINE_PRODUCCION!S51)/S249,0)</f>
        <v>0</v>
      </c>
    </row>
    <row r="251" customFormat="false" ht="15" hidden="false" customHeight="false" outlineLevel="0" collapsed="false">
      <c r="A251" s="73" t="s">
        <v>1012</v>
      </c>
      <c r="B251" s="74" t="s">
        <v>1015</v>
      </c>
      <c r="C251" s="66" t="s">
        <v>119</v>
      </c>
      <c r="D251" s="43" t="s">
        <v>319</v>
      </c>
      <c r="E251" s="75" t="s">
        <v>43</v>
      </c>
      <c r="F251" s="76"/>
      <c r="G251" s="48" t="s">
        <v>336</v>
      </c>
      <c r="H251" s="48" t="s">
        <v>336</v>
      </c>
      <c r="I251" s="80" t="n">
        <f aca="false">01_INPUTS!I261</f>
        <v>1</v>
      </c>
      <c r="J251" s="80" t="n">
        <f aca="false">01_INPUTS!J261</f>
        <v>0</v>
      </c>
      <c r="K251" s="80" t="n">
        <f aca="false">01_INPUTS!K261</f>
        <v>0</v>
      </c>
      <c r="L251" s="80" t="n">
        <f aca="false">01_INPUTS!L261</f>
        <v>0</v>
      </c>
      <c r="M251" s="80" t="n">
        <f aca="false">01_INPUTS!M261</f>
        <v>0</v>
      </c>
      <c r="N251" s="80" t="n">
        <f aca="false">01_INPUTS!N261</f>
        <v>0</v>
      </c>
      <c r="O251" s="80" t="n">
        <f aca="false">01_INPUTS!O261</f>
        <v>0</v>
      </c>
      <c r="P251" s="80" t="n">
        <f aca="false">01_INPUTS!P261</f>
        <v>0</v>
      </c>
      <c r="Q251" s="80" t="n">
        <f aca="false">01_INPUTS!Q261</f>
        <v>0</v>
      </c>
      <c r="R251" s="80" t="n">
        <f aca="false">01_INPUTS!R261</f>
        <v>0</v>
      </c>
      <c r="S251" s="80" t="n">
        <f aca="false">01_INPUTS!S261</f>
        <v>0</v>
      </c>
    </row>
    <row r="252" customFormat="false" ht="15" hidden="false" customHeight="false" outlineLevel="0" collapsed="false">
      <c r="A252" s="73" t="s">
        <v>1012</v>
      </c>
      <c r="B252" s="74" t="s">
        <v>1016</v>
      </c>
      <c r="C252" s="66" t="s">
        <v>119</v>
      </c>
      <c r="D252" s="43" t="s">
        <v>89</v>
      </c>
      <c r="E252" s="75" t="s">
        <v>43</v>
      </c>
      <c r="F252" s="76"/>
      <c r="G252" s="48" t="s">
        <v>336</v>
      </c>
      <c r="H252" s="48" t="s">
        <v>336</v>
      </c>
      <c r="I252" s="82" t="n">
        <f aca="false">I250*I251</f>
        <v>14229.5408062864</v>
      </c>
      <c r="J252" s="82" t="n">
        <f aca="false">J250*J251</f>
        <v>0</v>
      </c>
      <c r="K252" s="82" t="n">
        <f aca="false">K250*K251</f>
        <v>0</v>
      </c>
      <c r="L252" s="82" t="n">
        <f aca="false">L250*L251</f>
        <v>0</v>
      </c>
      <c r="M252" s="82" t="n">
        <f aca="false">M250*M251</f>
        <v>0</v>
      </c>
      <c r="N252" s="82" t="n">
        <f aca="false">N250*N251</f>
        <v>0</v>
      </c>
      <c r="O252" s="82" t="n">
        <f aca="false">O250*O251</f>
        <v>0</v>
      </c>
      <c r="P252" s="82" t="n">
        <f aca="false">P250*P251</f>
        <v>0</v>
      </c>
      <c r="Q252" s="82" t="n">
        <f aca="false">Q250*Q251</f>
        <v>0</v>
      </c>
      <c r="R252" s="82" t="n">
        <f aca="false">R250*R251</f>
        <v>0</v>
      </c>
      <c r="S252" s="82" t="n">
        <f aca="false">S250*S251</f>
        <v>0</v>
      </c>
    </row>
    <row r="253" customFormat="false" ht="15" hidden="false" customHeight="false" outlineLevel="0" collapsed="false">
      <c r="A253" s="73" t="s">
        <v>1012</v>
      </c>
      <c r="B253" s="74" t="s">
        <v>123</v>
      </c>
      <c r="C253" s="66" t="s">
        <v>119</v>
      </c>
      <c r="D253" s="43" t="s">
        <v>89</v>
      </c>
      <c r="E253" s="75" t="s">
        <v>43</v>
      </c>
      <c r="F253" s="76"/>
      <c r="G253" s="84" t="n">
        <f aca="false">IF(ISNUMBER(01_INPUTS!G66),01_INPUTS!G66,0)</f>
        <v>0</v>
      </c>
      <c r="H253" s="84" t="n">
        <f aca="false">IF(ISNUMBER(01_INPUTS!H66),01_INPUTS!H66,0)</f>
        <v>0</v>
      </c>
      <c r="I253" s="84" t="n">
        <f aca="false">IF(ISNUMBER(01_INPUTS!I66),01_INPUTS!I66,0)</f>
        <v>0</v>
      </c>
      <c r="J253" s="84" t="n">
        <f aca="false">IF(ISNUMBER(01_INPUTS!J66),01_INPUTS!J66,0)</f>
        <v>0</v>
      </c>
      <c r="K253" s="84" t="n">
        <f aca="false">IF(ISNUMBER(01_INPUTS!K66),01_INPUTS!K66,0)</f>
        <v>0</v>
      </c>
      <c r="L253" s="84" t="n">
        <f aca="false">IF(ISNUMBER(01_INPUTS!L66),01_INPUTS!L66,0)</f>
        <v>0</v>
      </c>
      <c r="M253" s="84" t="n">
        <f aca="false">IF(ISNUMBER(01_INPUTS!M66),01_INPUTS!M66,0)</f>
        <v>0</v>
      </c>
      <c r="N253" s="84" t="n">
        <f aca="false">IF(ISNUMBER(01_INPUTS!N66),01_INPUTS!N66,0)</f>
        <v>0</v>
      </c>
      <c r="O253" s="84" t="n">
        <f aca="false">IF(ISNUMBER(01_INPUTS!O66),01_INPUTS!O66,0)</f>
        <v>0</v>
      </c>
      <c r="P253" s="84" t="n">
        <f aca="false">IF(ISNUMBER(01_INPUTS!P66),01_INPUTS!P66,0)</f>
        <v>0</v>
      </c>
      <c r="Q253" s="84" t="n">
        <f aca="false">IF(ISNUMBER(01_INPUTS!Q66),01_INPUTS!Q66,0)</f>
        <v>0</v>
      </c>
      <c r="R253" s="84" t="n">
        <f aca="false">IF(ISNUMBER(01_INPUTS!R66),01_INPUTS!R66,0)</f>
        <v>0</v>
      </c>
      <c r="S253" s="84" t="n">
        <f aca="false">IF(ISNUMBER(01_INPUTS!S66),01_INPUTS!S66,0)</f>
        <v>0</v>
      </c>
    </row>
    <row r="254" customFormat="false" ht="15" hidden="false" customHeight="false" outlineLevel="0" collapsed="false">
      <c r="A254" s="73" t="s">
        <v>1012</v>
      </c>
      <c r="B254" s="74" t="s">
        <v>124</v>
      </c>
      <c r="C254" s="66" t="s">
        <v>119</v>
      </c>
      <c r="D254" s="43" t="s">
        <v>42</v>
      </c>
      <c r="E254" s="75" t="s">
        <v>43</v>
      </c>
      <c r="F254" s="76"/>
      <c r="G254" s="91" t="n">
        <f aca="false">IF(ISNUMBER(01_INPUTS!G70),01_INPUTS!G70,0)</f>
        <v>0</v>
      </c>
      <c r="H254" s="91" t="n">
        <f aca="false">IF(ISNUMBER(01_INPUTS!H70),01_INPUTS!H70,0)</f>
        <v>0.3</v>
      </c>
      <c r="I254" s="91" t="n">
        <f aca="false">IF(ISNUMBER(01_INPUTS!I70),01_INPUTS!I70,0)</f>
        <v>0.2</v>
      </c>
      <c r="J254" s="91" t="n">
        <f aca="false">IF(ISNUMBER(01_INPUTS!J70),01_INPUTS!J70,0)</f>
        <v>0.2</v>
      </c>
      <c r="K254" s="91" t="n">
        <f aca="false">IF(ISNUMBER(01_INPUTS!K70),01_INPUTS!K70,0)</f>
        <v>0.2</v>
      </c>
      <c r="L254" s="91" t="n">
        <f aca="false">IF(ISNUMBER(01_INPUTS!L70),01_INPUTS!L70,0)</f>
        <v>0.2</v>
      </c>
      <c r="M254" s="91" t="n">
        <f aca="false">IF(ISNUMBER(01_INPUTS!M70),01_INPUTS!M70,0)</f>
        <v>0.2</v>
      </c>
      <c r="N254" s="91" t="n">
        <f aca="false">IF(ISNUMBER(01_INPUTS!N70),01_INPUTS!N70,0)</f>
        <v>0.2</v>
      </c>
      <c r="O254" s="91" t="n">
        <f aca="false">IF(ISNUMBER(01_INPUTS!O70),01_INPUTS!O70,0)</f>
        <v>0.2</v>
      </c>
      <c r="P254" s="91" t="n">
        <f aca="false">IF(ISNUMBER(01_INPUTS!P70),01_INPUTS!P70,0)</f>
        <v>0.2</v>
      </c>
      <c r="Q254" s="91" t="n">
        <f aca="false">IF(ISNUMBER(01_INPUTS!Q70),01_INPUTS!Q70,0)</f>
        <v>0.2</v>
      </c>
      <c r="R254" s="91" t="n">
        <f aca="false">IF(ISNUMBER(01_INPUTS!R70),01_INPUTS!R70,0)</f>
        <v>0.2</v>
      </c>
      <c r="S254" s="91" t="n">
        <f aca="false">IF(ISNUMBER(01_INPUTS!S70),01_INPUTS!S70,0)</f>
        <v>0.2</v>
      </c>
    </row>
    <row r="255" customFormat="false" ht="15" hidden="false" customHeight="false" outlineLevel="0" collapsed="false">
      <c r="A255" s="73" t="s">
        <v>1012</v>
      </c>
      <c r="B255" s="74" t="s">
        <v>1017</v>
      </c>
      <c r="C255" s="66" t="s">
        <v>119</v>
      </c>
      <c r="D255" s="43" t="s">
        <v>89</v>
      </c>
      <c r="E255" s="75" t="s">
        <v>43</v>
      </c>
      <c r="F255" s="76"/>
      <c r="G255" s="81" t="n">
        <v>0</v>
      </c>
      <c r="H255" s="81" t="n">
        <v>0</v>
      </c>
      <c r="I255" s="82" t="n">
        <f aca="false">IFERROR(I252*I254,0)</f>
        <v>2845.90816125729</v>
      </c>
      <c r="J255" s="82" t="n">
        <f aca="false">IFERROR(J252*J254,0)</f>
        <v>0</v>
      </c>
      <c r="K255" s="82" t="n">
        <f aca="false">IFERROR(K252*K254,0)</f>
        <v>0</v>
      </c>
      <c r="L255" s="82" t="n">
        <f aca="false">IFERROR(L252*L254,0)</f>
        <v>0</v>
      </c>
      <c r="M255" s="82" t="n">
        <f aca="false">IFERROR(M252*M254,0)</f>
        <v>0</v>
      </c>
      <c r="N255" s="82" t="n">
        <f aca="false">IFERROR(N252*N254,0)</f>
        <v>0</v>
      </c>
      <c r="O255" s="82" t="n">
        <f aca="false">IFERROR(O252*O254,0)</f>
        <v>0</v>
      </c>
      <c r="P255" s="82" t="n">
        <f aca="false">IFERROR(P252*P254,0)</f>
        <v>0</v>
      </c>
      <c r="Q255" s="82" t="n">
        <f aca="false">IFERROR(Q252*Q254,0)</f>
        <v>0</v>
      </c>
      <c r="R255" s="82" t="n">
        <f aca="false">IFERROR(R252*R254,0)</f>
        <v>0</v>
      </c>
      <c r="S255" s="82" t="n">
        <f aca="false">IFERROR(S252*S254,0)</f>
        <v>0</v>
      </c>
    </row>
    <row r="256" customFormat="false" ht="15" hidden="false" customHeight="false" outlineLevel="0" collapsed="false">
      <c r="A256" s="73" t="s">
        <v>1012</v>
      </c>
      <c r="B256" s="74" t="s">
        <v>1018</v>
      </c>
      <c r="C256" s="66" t="s">
        <v>119</v>
      </c>
      <c r="D256" s="43" t="s">
        <v>89</v>
      </c>
      <c r="E256" s="75" t="s">
        <v>43</v>
      </c>
      <c r="F256" s="76"/>
      <c r="G256" s="81" t="n">
        <v>0</v>
      </c>
      <c r="H256" s="81" t="n">
        <v>0</v>
      </c>
      <c r="I256" s="82" t="n">
        <f aca="false">IFERROR(IF(ISNUMBER(01_INPUTS!I62),01_INPUTS!I62,0),0)+IFERROR(I253,0)+IFERROR(I255,0)</f>
        <v>3195.90816125729</v>
      </c>
      <c r="J256" s="82" t="n">
        <f aca="false">IFERROR(IF(ISNUMBER(01_INPUTS!J62),01_INPUTS!J62,0),0)+IFERROR(J253,0)+IFERROR(J255,0)</f>
        <v>350</v>
      </c>
      <c r="K256" s="82" t="n">
        <f aca="false">IFERROR(IF(ISNUMBER(01_INPUTS!K62),01_INPUTS!K62,0),0)+IFERROR(K253,0)+IFERROR(K255,0)</f>
        <v>350</v>
      </c>
      <c r="L256" s="82" t="n">
        <f aca="false">IFERROR(IF(ISNUMBER(01_INPUTS!L62),01_INPUTS!L62,0),0)+IFERROR(L253,0)+IFERROR(L255,0)</f>
        <v>350</v>
      </c>
      <c r="M256" s="82" t="n">
        <f aca="false">IFERROR(IF(ISNUMBER(01_INPUTS!M62),01_INPUTS!M62,0),0)+IFERROR(M253,0)+IFERROR(M255,0)</f>
        <v>350</v>
      </c>
      <c r="N256" s="82" t="n">
        <f aca="false">IFERROR(IF(ISNUMBER(01_INPUTS!N62),01_INPUTS!N62,0),0)+IFERROR(N253,0)+IFERROR(N255,0)</f>
        <v>350</v>
      </c>
      <c r="O256" s="82" t="n">
        <f aca="false">IFERROR(IF(ISNUMBER(01_INPUTS!O62),01_INPUTS!O62,0),0)+IFERROR(O253,0)+IFERROR(O255,0)</f>
        <v>350</v>
      </c>
      <c r="P256" s="82" t="n">
        <f aca="false">IFERROR(IF(ISNUMBER(01_INPUTS!P62),01_INPUTS!P62,0),0)+IFERROR(P253,0)+IFERROR(P255,0)</f>
        <v>350</v>
      </c>
      <c r="Q256" s="82" t="n">
        <f aca="false">IFERROR(IF(ISNUMBER(01_INPUTS!Q62),01_INPUTS!Q62,0),0)+IFERROR(Q253,0)+IFERROR(Q255,0)</f>
        <v>350</v>
      </c>
      <c r="R256" s="82" t="n">
        <f aca="false">IFERROR(IF(ISNUMBER(01_INPUTS!R62),01_INPUTS!R62,0),0)+IFERROR(R253,0)+IFERROR(R255,0)</f>
        <v>350</v>
      </c>
      <c r="S256" s="82" t="n">
        <f aca="false">IFERROR(IF(ISNUMBER(01_INPUTS!S62),01_INPUTS!S62,0),0)+IFERROR(S253,0)+IFERROR(S255,0)</f>
        <v>350</v>
      </c>
    </row>
    <row r="257" customFormat="false" ht="15" hidden="false" customHeight="false" outlineLevel="0" collapsed="false">
      <c r="A257" s="73" t="s">
        <v>1012</v>
      </c>
      <c r="B257" s="74" t="s">
        <v>1019</v>
      </c>
      <c r="C257" s="66" t="s">
        <v>119</v>
      </c>
      <c r="D257" s="43" t="s">
        <v>81</v>
      </c>
      <c r="E257" s="75" t="s">
        <v>917</v>
      </c>
      <c r="F257" s="76"/>
      <c r="G257" s="78" t="n">
        <f aca="false">G249*G256</f>
        <v>0</v>
      </c>
      <c r="H257" s="78" t="n">
        <f aca="false">H249*H256</f>
        <v>0</v>
      </c>
      <c r="I257" s="78" t="n">
        <f aca="false">I249*I256</f>
        <v>411204771.795129</v>
      </c>
      <c r="J257" s="78" t="n">
        <f aca="false">J249*J256</f>
        <v>0</v>
      </c>
      <c r="K257" s="78" t="n">
        <f aca="false">K249*K256</f>
        <v>0</v>
      </c>
      <c r="L257" s="78" t="n">
        <f aca="false">L249*L256</f>
        <v>0</v>
      </c>
      <c r="M257" s="78" t="n">
        <f aca="false">M249*M256</f>
        <v>0</v>
      </c>
      <c r="N257" s="78" t="n">
        <f aca="false">N249*N256</f>
        <v>0</v>
      </c>
      <c r="O257" s="78" t="n">
        <f aca="false">O249*O256</f>
        <v>0</v>
      </c>
      <c r="P257" s="78" t="n">
        <f aca="false">P249*P256</f>
        <v>0</v>
      </c>
      <c r="Q257" s="78" t="n">
        <f aca="false">Q249*Q256</f>
        <v>0</v>
      </c>
      <c r="R257" s="78" t="n">
        <f aca="false">R249*R256</f>
        <v>0</v>
      </c>
      <c r="S257" s="78" t="n">
        <f aca="false">S249*S256</f>
        <v>0</v>
      </c>
    </row>
    <row r="258" customFormat="false" ht="15" hidden="false" customHeight="false" outlineLevel="0" collapsed="false">
      <c r="A258" s="73" t="s">
        <v>1012</v>
      </c>
      <c r="B258" s="74" t="s">
        <v>1013</v>
      </c>
      <c r="C258" s="66" t="s">
        <v>120</v>
      </c>
      <c r="D258" s="43" t="s">
        <v>332</v>
      </c>
      <c r="E258" s="75" t="s">
        <v>43</v>
      </c>
      <c r="F258" s="76"/>
      <c r="G258" s="36" t="n">
        <f aca="false">(((IF(G37="Europa",G72,0)+IF(G38="Europa",G78,0)+IF(G39="Europa",G84,0))*(IF(G229="OK",1,0))))+(((IF(G40="Europa",G99,0)+IF(G41="Europa",G105,0)+IF(G42="Europa",G111,0))*(IF(G234="OK",1,0))))+(((IF(G43="Europa",G126,0)+IF(G44="Europa",G132,0)+IF(G45="Europa",G138,0))*(IF(G239="OK",1,0))))+(((IF(G46="Europa",G153,0)+IF(G47="Europa",G159,0)+IF(G48="Europa",G165,0))*(IF(G244="OK",1,0))))</f>
        <v>0</v>
      </c>
      <c r="H258" s="36" t="n">
        <f aca="false">(((IF(H37="Europa",H72,0)+IF(H38="Europa",H78,0)+IF(H39="Europa",H84,0))*(IF(H229="OK",1,0))))+(((IF(H40="Europa",H99,0)+IF(H41="Europa",H105,0)+IF(H42="Europa",H111,0))*(IF(H234="OK",1,0))))+(((IF(H43="Europa",H126,0)+IF(H44="Europa",H132,0)+IF(H45="Europa",H138,0))*(IF(H239="OK",1,0))))+(((IF(H46="Europa",H153,0)+IF(H47="Europa",H159,0)+IF(H48="Europa",H165,0))*(IF(H244="OK",1,0))))</f>
        <v>0</v>
      </c>
      <c r="I258" s="36" t="n">
        <f aca="false">(((IF(I37="Europa",I72,0)+IF(I38="Europa",I78,0)+IF(I39="Europa",I84,0))*(IF(I229="OK",1,0))))+(((IF(I40="Europa",I99,0)+IF(I41="Europa",I105,0)+IF(I42="Europa",I111,0))*(IF(I234="OK",1,0))))+(((IF(I43="Europa",I126,0)+IF(I44="Europa",I132,0)+IF(I45="Europa",I138,0))*(IF(I239="OK",1,0))))+(((IF(I46="Europa",I153,0)+IF(I47="Europa",I159,0)+IF(I48="Europa",I165,0))*(IF(I244="OK",1,0))))</f>
        <v>517197.927875143</v>
      </c>
      <c r="J258" s="36" t="n">
        <f aca="false">(((IF(J37="Europa",J72,0)+IF(J38="Europa",J78,0)+IF(J39="Europa",J84,0))*(IF(J229="OK",1,0))))+(((IF(J40="Europa",J99,0)+IF(J41="Europa",J105,0)+IF(J42="Europa",J111,0))*(IF(J234="OK",1,0))))+(((IF(J43="Europa",J126,0)+IF(J44="Europa",J132,0)+IF(J45="Europa",J138,0))*(IF(J239="OK",1,0))))+(((IF(J46="Europa",J153,0)+IF(J47="Europa",J159,0)+IF(J48="Europa",J165,0))*(IF(J244="OK",1,0))))</f>
        <v>0</v>
      </c>
      <c r="K258" s="36" t="n">
        <f aca="false">(((IF(K37="Europa",K72,0)+IF(K38="Europa",K78,0)+IF(K39="Europa",K84,0))*(IF(K229="OK",1,0))))+(((IF(K40="Europa",K99,0)+IF(K41="Europa",K105,0)+IF(K42="Europa",K111,0))*(IF(K234="OK",1,0))))+(((IF(K43="Europa",K126,0)+IF(K44="Europa",K132,0)+IF(K45="Europa",K138,0))*(IF(K239="OK",1,0))))+(((IF(K46="Europa",K153,0)+IF(K47="Europa",K159,0)+IF(K48="Europa",K165,0))*(IF(K244="OK",1,0))))</f>
        <v>0</v>
      </c>
      <c r="L258" s="36" t="n">
        <f aca="false">(((IF(L37="Europa",L72,0)+IF(L38="Europa",L78,0)+IF(L39="Europa",L84,0))*(IF(L229="OK",1,0))))+(((IF(L40="Europa",L99,0)+IF(L41="Europa",L105,0)+IF(L42="Europa",L111,0))*(IF(L234="OK",1,0))))+(((IF(L43="Europa",L126,0)+IF(L44="Europa",L132,0)+IF(L45="Europa",L138,0))*(IF(L239="OK",1,0))))+(((IF(L46="Europa",L153,0)+IF(L47="Europa",L159,0)+IF(L48="Europa",L165,0))*(IF(L244="OK",1,0))))</f>
        <v>0</v>
      </c>
      <c r="M258" s="36" t="n">
        <f aca="false">(((IF(M37="Europa",M72,0)+IF(M38="Europa",M78,0)+IF(M39="Europa",M84,0))*(IF(M229="OK",1,0))))+(((IF(M40="Europa",M99,0)+IF(M41="Europa",M105,0)+IF(M42="Europa",M111,0))*(IF(M234="OK",1,0))))+(((IF(M43="Europa",M126,0)+IF(M44="Europa",M132,0)+IF(M45="Europa",M138,0))*(IF(M239="OK",1,0))))+(((IF(M46="Europa",M153,0)+IF(M47="Europa",M159,0)+IF(M48="Europa",M165,0))*(IF(M244="OK",1,0))))</f>
        <v>0</v>
      </c>
      <c r="N258" s="36" t="n">
        <f aca="false">(((IF(N37="Europa",N72,0)+IF(N38="Europa",N78,0)+IF(N39="Europa",N84,0))*(IF(N229="OK",1,0))))+(((IF(N40="Europa",N99,0)+IF(N41="Europa",N105,0)+IF(N42="Europa",N111,0))*(IF(N234="OK",1,0))))+(((IF(N43="Europa",N126,0)+IF(N44="Europa",N132,0)+IF(N45="Europa",N138,0))*(IF(N239="OK",1,0))))+(((IF(N46="Europa",N153,0)+IF(N47="Europa",N159,0)+IF(N48="Europa",N165,0))*(IF(N244="OK",1,0))))</f>
        <v>0</v>
      </c>
      <c r="O258" s="36" t="n">
        <f aca="false">(((IF(O37="Europa",O72,0)+IF(O38="Europa",O78,0)+IF(O39="Europa",O84,0))*(IF(O229="OK",1,0))))+(((IF(O40="Europa",O99,0)+IF(O41="Europa",O105,0)+IF(O42="Europa",O111,0))*(IF(O234="OK",1,0))))+(((IF(O43="Europa",O126,0)+IF(O44="Europa",O132,0)+IF(O45="Europa",O138,0))*(IF(O239="OK",1,0))))+(((IF(O46="Europa",O153,0)+IF(O47="Europa",O159,0)+IF(O48="Europa",O165,0))*(IF(O244="OK",1,0))))</f>
        <v>0</v>
      </c>
      <c r="P258" s="36" t="n">
        <f aca="false">(((IF(P37="Europa",P72,0)+IF(P38="Europa",P78,0)+IF(P39="Europa",P84,0))*(IF(P229="OK",1,0))))+(((IF(P40="Europa",P99,0)+IF(P41="Europa",P105,0)+IF(P42="Europa",P111,0))*(IF(P234="OK",1,0))))+(((IF(P43="Europa",P126,0)+IF(P44="Europa",P132,0)+IF(P45="Europa",P138,0))*(IF(P239="OK",1,0))))+(((IF(P46="Europa",P153,0)+IF(P47="Europa",P159,0)+IF(P48="Europa",P165,0))*(IF(P244="OK",1,0))))</f>
        <v>0</v>
      </c>
      <c r="Q258" s="36" t="n">
        <f aca="false">(((IF(Q37="Europa",Q72,0)+IF(Q38="Europa",Q78,0)+IF(Q39="Europa",Q84,0))*(IF(Q229="OK",1,0))))+(((IF(Q40="Europa",Q99,0)+IF(Q41="Europa",Q105,0)+IF(Q42="Europa",Q111,0))*(IF(Q234="OK",1,0))))+(((IF(Q43="Europa",Q126,0)+IF(Q44="Europa",Q132,0)+IF(Q45="Europa",Q138,0))*(IF(Q239="OK",1,0))))+(((IF(Q46="Europa",Q153,0)+IF(Q47="Europa",Q159,0)+IF(Q48="Europa",Q165,0))*(IF(Q244="OK",1,0))))</f>
        <v>0</v>
      </c>
      <c r="R258" s="36" t="n">
        <f aca="false">(((IF(R37="Europa",R72,0)+IF(R38="Europa",R78,0)+IF(R39="Europa",R84,0))*(IF(R229="OK",1,0))))+(((IF(R40="Europa",R99,0)+IF(R41="Europa",R105,0)+IF(R42="Europa",R111,0))*(IF(R234="OK",1,0))))+(((IF(R43="Europa",R126,0)+IF(R44="Europa",R132,0)+IF(R45="Europa",R138,0))*(IF(R239="OK",1,0))))+(((IF(R46="Europa",R153,0)+IF(R47="Europa",R159,0)+IF(R48="Europa",R165,0))*(IF(R244="OK",1,0))))</f>
        <v>0</v>
      </c>
      <c r="S258" s="36" t="n">
        <f aca="false">(((IF(S37="Europa",S72,0)+IF(S38="Europa",S78,0)+IF(S39="Europa",S84,0))*(IF(S229="OK",1,0))))+(((IF(S40="Europa",S99,0)+IF(S41="Europa",S105,0)+IF(S42="Europa",S111,0))*(IF(S234="OK",1,0))))+(((IF(S43="Europa",S126,0)+IF(S44="Europa",S132,0)+IF(S45="Europa",S138,0))*(IF(S239="OK",1,0))))+(((IF(S46="Europa",S153,0)+IF(S47="Europa",S159,0)+IF(S48="Europa",S165,0))*(IF(S244="OK",1,0))))</f>
        <v>0</v>
      </c>
    </row>
    <row r="259" customFormat="false" ht="15" hidden="false" customHeight="false" outlineLevel="0" collapsed="false">
      <c r="A259" s="73" t="s">
        <v>1012</v>
      </c>
      <c r="B259" s="74" t="s">
        <v>1014</v>
      </c>
      <c r="C259" s="66" t="s">
        <v>120</v>
      </c>
      <c r="D259" s="43" t="s">
        <v>89</v>
      </c>
      <c r="E259" s="75" t="s">
        <v>43</v>
      </c>
      <c r="F259" s="76"/>
      <c r="G259" s="82" t="n">
        <f aca="false">IFERROR(((((IF(G37="Europa",G72,0)+IF(G38="Europa",G78,0)+IF(G39="Europa",G84,0))*(IF(G229="OK",1,0))))*_ENGINE_PRODUCCION!G36+(((IF(G40="Europa",G99,0)+IF(G41="Europa",G105,0)+IF(G42="Europa",G111,0))*(IF(G234="OK",1,0))))*_ENGINE_PRODUCCION!G41+(((IF(G43="Europa",G126,0)+IF(G44="Europa",G132,0)+IF(G45="Europa",G138,0))*(IF(G239="OK",1,0))))*_ENGINE_PRODUCCION!G46+(((IF(G46="Europa",G153,0)+IF(G47="Europa",G159,0)+IF(G48="Europa",G165,0))*(IF(G244="OK",1,0))))*_ENGINE_PRODUCCION!G51)/G258,0)</f>
        <v>0</v>
      </c>
      <c r="H259" s="82" t="n">
        <f aca="false">IFERROR(((((IF(H37="Europa",H72,0)+IF(H38="Europa",H78,0)+IF(H39="Europa",H84,0))*(IF(H229="OK",1,0))))*_ENGINE_PRODUCCION!H36+(((IF(H40="Europa",H99,0)+IF(H41="Europa",H105,0)+IF(H42="Europa",H111,0))*(IF(H234="OK",1,0))))*_ENGINE_PRODUCCION!H41+(((IF(H43="Europa",H126,0)+IF(H44="Europa",H132,0)+IF(H45="Europa",H138,0))*(IF(H239="OK",1,0))))*_ENGINE_PRODUCCION!H46+(((IF(H46="Europa",H153,0)+IF(H47="Europa",H159,0)+IF(H48="Europa",H165,0))*(IF(H244="OK",1,0))))*_ENGINE_PRODUCCION!H51)/H258,0)</f>
        <v>0</v>
      </c>
      <c r="I259" s="82" t="n">
        <f aca="false">IFERROR(((((IF(I37="Europa",I72,0)+IF(I38="Europa",I78,0)+IF(I39="Europa",I84,0))*(IF(I229="OK",1,0))))*_ENGINE_PRODUCCION!I36+(((IF(I40="Europa",I99,0)+IF(I41="Europa",I105,0)+IF(I42="Europa",I111,0))*(IF(I234="OK",1,0))))*_ENGINE_PRODUCCION!I41+(((IF(I43="Europa",I126,0)+IF(I44="Europa",I132,0)+IF(I45="Europa",I138,0))*(IF(I239="OK",1,0))))*_ENGINE_PRODUCCION!I46+(((IF(I46="Europa",I153,0)+IF(I47="Europa",I159,0)+IF(I48="Europa",I165,0))*(IF(I244="OK",1,0))))*_ENGINE_PRODUCCION!I51)/I258,0)</f>
        <v>13275.9677098336</v>
      </c>
      <c r="J259" s="82" t="n">
        <f aca="false">IFERROR(((((IF(J37="Europa",J72,0)+IF(J38="Europa",J78,0)+IF(J39="Europa",J84,0))*(IF(J229="OK",1,0))))*_ENGINE_PRODUCCION!J36+(((IF(J40="Europa",J99,0)+IF(J41="Europa",J105,0)+IF(J42="Europa",J111,0))*(IF(J234="OK",1,0))))*_ENGINE_PRODUCCION!J41+(((IF(J43="Europa",J126,0)+IF(J44="Europa",J132,0)+IF(J45="Europa",J138,0))*(IF(J239="OK",1,0))))*_ENGINE_PRODUCCION!J46+(((IF(J46="Europa",J153,0)+IF(J47="Europa",J159,0)+IF(J48="Europa",J165,0))*(IF(J244="OK",1,0))))*_ENGINE_PRODUCCION!J51)/J258,0)</f>
        <v>0</v>
      </c>
      <c r="K259" s="82" t="n">
        <f aca="false">IFERROR(((((IF(K37="Europa",K72,0)+IF(K38="Europa",K78,0)+IF(K39="Europa",K84,0))*(IF(K229="OK",1,0))))*_ENGINE_PRODUCCION!K36+(((IF(K40="Europa",K99,0)+IF(K41="Europa",K105,0)+IF(K42="Europa",K111,0))*(IF(K234="OK",1,0))))*_ENGINE_PRODUCCION!K41+(((IF(K43="Europa",K126,0)+IF(K44="Europa",K132,0)+IF(K45="Europa",K138,0))*(IF(K239="OK",1,0))))*_ENGINE_PRODUCCION!K46+(((IF(K46="Europa",K153,0)+IF(K47="Europa",K159,0)+IF(K48="Europa",K165,0))*(IF(K244="OK",1,0))))*_ENGINE_PRODUCCION!K51)/K258,0)</f>
        <v>0</v>
      </c>
      <c r="L259" s="82" t="n">
        <f aca="false">IFERROR(((((IF(L37="Europa",L72,0)+IF(L38="Europa",L78,0)+IF(L39="Europa",L84,0))*(IF(L229="OK",1,0))))*_ENGINE_PRODUCCION!L36+(((IF(L40="Europa",L99,0)+IF(L41="Europa",L105,0)+IF(L42="Europa",L111,0))*(IF(L234="OK",1,0))))*_ENGINE_PRODUCCION!L41+(((IF(L43="Europa",L126,0)+IF(L44="Europa",L132,0)+IF(L45="Europa",L138,0))*(IF(L239="OK",1,0))))*_ENGINE_PRODUCCION!L46+(((IF(L46="Europa",L153,0)+IF(L47="Europa",L159,0)+IF(L48="Europa",L165,0))*(IF(L244="OK",1,0))))*_ENGINE_PRODUCCION!L51)/L258,0)</f>
        <v>0</v>
      </c>
      <c r="M259" s="82" t="n">
        <f aca="false">IFERROR(((((IF(M37="Europa",M72,0)+IF(M38="Europa",M78,0)+IF(M39="Europa",M84,0))*(IF(M229="OK",1,0))))*_ENGINE_PRODUCCION!M36+(((IF(M40="Europa",M99,0)+IF(M41="Europa",M105,0)+IF(M42="Europa",M111,0))*(IF(M234="OK",1,0))))*_ENGINE_PRODUCCION!M41+(((IF(M43="Europa",M126,0)+IF(M44="Europa",M132,0)+IF(M45="Europa",M138,0))*(IF(M239="OK",1,0))))*_ENGINE_PRODUCCION!M46+(((IF(M46="Europa",M153,0)+IF(M47="Europa",M159,0)+IF(M48="Europa",M165,0))*(IF(M244="OK",1,0))))*_ENGINE_PRODUCCION!M51)/M258,0)</f>
        <v>0</v>
      </c>
      <c r="N259" s="82" t="n">
        <f aca="false">IFERROR(((((IF(N37="Europa",N72,0)+IF(N38="Europa",N78,0)+IF(N39="Europa",N84,0))*(IF(N229="OK",1,0))))*_ENGINE_PRODUCCION!N36+(((IF(N40="Europa",N99,0)+IF(N41="Europa",N105,0)+IF(N42="Europa",N111,0))*(IF(N234="OK",1,0))))*_ENGINE_PRODUCCION!N41+(((IF(N43="Europa",N126,0)+IF(N44="Europa",N132,0)+IF(N45="Europa",N138,0))*(IF(N239="OK",1,0))))*_ENGINE_PRODUCCION!N46+(((IF(N46="Europa",N153,0)+IF(N47="Europa",N159,0)+IF(N48="Europa",N165,0))*(IF(N244="OK",1,0))))*_ENGINE_PRODUCCION!N51)/N258,0)</f>
        <v>0</v>
      </c>
      <c r="O259" s="82" t="n">
        <f aca="false">IFERROR(((((IF(O37="Europa",O72,0)+IF(O38="Europa",O78,0)+IF(O39="Europa",O84,0))*(IF(O229="OK",1,0))))*_ENGINE_PRODUCCION!O36+(((IF(O40="Europa",O99,0)+IF(O41="Europa",O105,0)+IF(O42="Europa",O111,0))*(IF(O234="OK",1,0))))*_ENGINE_PRODUCCION!O41+(((IF(O43="Europa",O126,0)+IF(O44="Europa",O132,0)+IF(O45="Europa",O138,0))*(IF(O239="OK",1,0))))*_ENGINE_PRODUCCION!O46+(((IF(O46="Europa",O153,0)+IF(O47="Europa",O159,0)+IF(O48="Europa",O165,0))*(IF(O244="OK",1,0))))*_ENGINE_PRODUCCION!O51)/O258,0)</f>
        <v>0</v>
      </c>
      <c r="P259" s="82" t="n">
        <f aca="false">IFERROR(((((IF(P37="Europa",P72,0)+IF(P38="Europa",P78,0)+IF(P39="Europa",P84,0))*(IF(P229="OK",1,0))))*_ENGINE_PRODUCCION!P36+(((IF(P40="Europa",P99,0)+IF(P41="Europa",P105,0)+IF(P42="Europa",P111,0))*(IF(P234="OK",1,0))))*_ENGINE_PRODUCCION!P41+(((IF(P43="Europa",P126,0)+IF(P44="Europa",P132,0)+IF(P45="Europa",P138,0))*(IF(P239="OK",1,0))))*_ENGINE_PRODUCCION!P46+(((IF(P46="Europa",P153,0)+IF(P47="Europa",P159,0)+IF(P48="Europa",P165,0))*(IF(P244="OK",1,0))))*_ENGINE_PRODUCCION!P51)/P258,0)</f>
        <v>0</v>
      </c>
      <c r="Q259" s="82" t="n">
        <f aca="false">IFERROR(((((IF(Q37="Europa",Q72,0)+IF(Q38="Europa",Q78,0)+IF(Q39="Europa",Q84,0))*(IF(Q229="OK",1,0))))*_ENGINE_PRODUCCION!Q36+(((IF(Q40="Europa",Q99,0)+IF(Q41="Europa",Q105,0)+IF(Q42="Europa",Q111,0))*(IF(Q234="OK",1,0))))*_ENGINE_PRODUCCION!Q41+(((IF(Q43="Europa",Q126,0)+IF(Q44="Europa",Q132,0)+IF(Q45="Europa",Q138,0))*(IF(Q239="OK",1,0))))*_ENGINE_PRODUCCION!Q46+(((IF(Q46="Europa",Q153,0)+IF(Q47="Europa",Q159,0)+IF(Q48="Europa",Q165,0))*(IF(Q244="OK",1,0))))*_ENGINE_PRODUCCION!Q51)/Q258,0)</f>
        <v>0</v>
      </c>
      <c r="R259" s="82" t="n">
        <f aca="false">IFERROR(((((IF(R37="Europa",R72,0)+IF(R38="Europa",R78,0)+IF(R39="Europa",R84,0))*(IF(R229="OK",1,0))))*_ENGINE_PRODUCCION!R36+(((IF(R40="Europa",R99,0)+IF(R41="Europa",R105,0)+IF(R42="Europa",R111,0))*(IF(R234="OK",1,0))))*_ENGINE_PRODUCCION!R41+(((IF(R43="Europa",R126,0)+IF(R44="Europa",R132,0)+IF(R45="Europa",R138,0))*(IF(R239="OK",1,0))))*_ENGINE_PRODUCCION!R46+(((IF(R46="Europa",R153,0)+IF(R47="Europa",R159,0)+IF(R48="Europa",R165,0))*(IF(R244="OK",1,0))))*_ENGINE_PRODUCCION!R51)/R258,0)</f>
        <v>0</v>
      </c>
      <c r="S259" s="82" t="n">
        <f aca="false">IFERROR(((((IF(S37="Europa",S72,0)+IF(S38="Europa",S78,0)+IF(S39="Europa",S84,0))*(IF(S229="OK",1,0))))*_ENGINE_PRODUCCION!S36+(((IF(S40="Europa",S99,0)+IF(S41="Europa",S105,0)+IF(S42="Europa",S111,0))*(IF(S234="OK",1,0))))*_ENGINE_PRODUCCION!S41+(((IF(S43="Europa",S126,0)+IF(S44="Europa",S132,0)+IF(S45="Europa",S138,0))*(IF(S239="OK",1,0))))*_ENGINE_PRODUCCION!S46+(((IF(S46="Europa",S153,0)+IF(S47="Europa",S159,0)+IF(S48="Europa",S165,0))*(IF(S244="OK",1,0))))*_ENGINE_PRODUCCION!S51)/S258,0)</f>
        <v>0</v>
      </c>
    </row>
    <row r="260" customFormat="false" ht="15" hidden="false" customHeight="false" outlineLevel="0" collapsed="false">
      <c r="A260" s="73" t="s">
        <v>1012</v>
      </c>
      <c r="B260" s="74" t="s">
        <v>1015</v>
      </c>
      <c r="C260" s="66" t="s">
        <v>120</v>
      </c>
      <c r="D260" s="43" t="s">
        <v>319</v>
      </c>
      <c r="E260" s="75" t="s">
        <v>43</v>
      </c>
      <c r="F260" s="76"/>
      <c r="G260" s="48" t="s">
        <v>336</v>
      </c>
      <c r="H260" s="48" t="s">
        <v>336</v>
      </c>
      <c r="I260" s="80" t="n">
        <f aca="false">01_INPUTS!I262</f>
        <v>1</v>
      </c>
      <c r="J260" s="80" t="n">
        <f aca="false">01_INPUTS!J262</f>
        <v>0</v>
      </c>
      <c r="K260" s="80" t="n">
        <f aca="false">01_INPUTS!K262</f>
        <v>0</v>
      </c>
      <c r="L260" s="80" t="n">
        <f aca="false">01_INPUTS!L262</f>
        <v>0</v>
      </c>
      <c r="M260" s="80" t="n">
        <f aca="false">01_INPUTS!M262</f>
        <v>0</v>
      </c>
      <c r="N260" s="80" t="n">
        <f aca="false">01_INPUTS!N262</f>
        <v>0</v>
      </c>
      <c r="O260" s="80" t="n">
        <f aca="false">01_INPUTS!O262</f>
        <v>0</v>
      </c>
      <c r="P260" s="80" t="n">
        <f aca="false">01_INPUTS!P262</f>
        <v>0</v>
      </c>
      <c r="Q260" s="80" t="n">
        <f aca="false">01_INPUTS!Q262</f>
        <v>0</v>
      </c>
      <c r="R260" s="80" t="n">
        <f aca="false">01_INPUTS!R262</f>
        <v>0</v>
      </c>
      <c r="S260" s="80" t="n">
        <f aca="false">01_INPUTS!S262</f>
        <v>0</v>
      </c>
    </row>
    <row r="261" customFormat="false" ht="15" hidden="false" customHeight="false" outlineLevel="0" collapsed="false">
      <c r="A261" s="73" t="s">
        <v>1012</v>
      </c>
      <c r="B261" s="74" t="s">
        <v>1016</v>
      </c>
      <c r="C261" s="66" t="s">
        <v>120</v>
      </c>
      <c r="D261" s="43" t="s">
        <v>89</v>
      </c>
      <c r="E261" s="75" t="s">
        <v>43</v>
      </c>
      <c r="F261" s="76"/>
      <c r="G261" s="48" t="s">
        <v>336</v>
      </c>
      <c r="H261" s="48" t="s">
        <v>336</v>
      </c>
      <c r="I261" s="82" t="n">
        <f aca="false">I259*I260</f>
        <v>13275.9677098336</v>
      </c>
      <c r="J261" s="82" t="n">
        <f aca="false">J259*J260</f>
        <v>0</v>
      </c>
      <c r="K261" s="82" t="n">
        <f aca="false">K259*K260</f>
        <v>0</v>
      </c>
      <c r="L261" s="82" t="n">
        <f aca="false">L259*L260</f>
        <v>0</v>
      </c>
      <c r="M261" s="82" t="n">
        <f aca="false">M259*M260</f>
        <v>0</v>
      </c>
      <c r="N261" s="82" t="n">
        <f aca="false">N259*N260</f>
        <v>0</v>
      </c>
      <c r="O261" s="82" t="n">
        <f aca="false">O259*O260</f>
        <v>0</v>
      </c>
      <c r="P261" s="82" t="n">
        <f aca="false">P259*P260</f>
        <v>0</v>
      </c>
      <c r="Q261" s="82" t="n">
        <f aca="false">Q259*Q260</f>
        <v>0</v>
      </c>
      <c r="R261" s="82" t="n">
        <f aca="false">R259*R260</f>
        <v>0</v>
      </c>
      <c r="S261" s="82" t="n">
        <f aca="false">S259*S260</f>
        <v>0</v>
      </c>
    </row>
    <row r="262" customFormat="false" ht="15" hidden="false" customHeight="false" outlineLevel="0" collapsed="false">
      <c r="A262" s="73" t="s">
        <v>1012</v>
      </c>
      <c r="B262" s="74" t="s">
        <v>123</v>
      </c>
      <c r="C262" s="66" t="s">
        <v>120</v>
      </c>
      <c r="D262" s="43" t="s">
        <v>89</v>
      </c>
      <c r="E262" s="75" t="s">
        <v>43</v>
      </c>
      <c r="F262" s="76"/>
      <c r="G262" s="84" t="n">
        <f aca="false">IF(ISNUMBER(01_INPUTS!G67),01_INPUTS!G67,0)</f>
        <v>0</v>
      </c>
      <c r="H262" s="84" t="n">
        <f aca="false">IF(ISNUMBER(01_INPUTS!H67),01_INPUTS!H67,0)</f>
        <v>0</v>
      </c>
      <c r="I262" s="84" t="n">
        <f aca="false">IF(ISNUMBER(01_INPUTS!I67),01_INPUTS!I67,0)</f>
        <v>0</v>
      </c>
      <c r="J262" s="84" t="n">
        <f aca="false">IF(ISNUMBER(01_INPUTS!J67),01_INPUTS!J67,0)</f>
        <v>0</v>
      </c>
      <c r="K262" s="84" t="n">
        <f aca="false">IF(ISNUMBER(01_INPUTS!K67),01_INPUTS!K67,0)</f>
        <v>0</v>
      </c>
      <c r="L262" s="84" t="n">
        <f aca="false">IF(ISNUMBER(01_INPUTS!L67),01_INPUTS!L67,0)</f>
        <v>0</v>
      </c>
      <c r="M262" s="84" t="n">
        <f aca="false">IF(ISNUMBER(01_INPUTS!M67),01_INPUTS!M67,0)</f>
        <v>0</v>
      </c>
      <c r="N262" s="84" t="n">
        <f aca="false">IF(ISNUMBER(01_INPUTS!N67),01_INPUTS!N67,0)</f>
        <v>0</v>
      </c>
      <c r="O262" s="84" t="n">
        <f aca="false">IF(ISNUMBER(01_INPUTS!O67),01_INPUTS!O67,0)</f>
        <v>0</v>
      </c>
      <c r="P262" s="84" t="n">
        <f aca="false">IF(ISNUMBER(01_INPUTS!P67),01_INPUTS!P67,0)</f>
        <v>0</v>
      </c>
      <c r="Q262" s="84" t="n">
        <f aca="false">IF(ISNUMBER(01_INPUTS!Q67),01_INPUTS!Q67,0)</f>
        <v>0</v>
      </c>
      <c r="R262" s="84" t="n">
        <f aca="false">IF(ISNUMBER(01_INPUTS!R67),01_INPUTS!R67,0)</f>
        <v>0</v>
      </c>
      <c r="S262" s="84" t="n">
        <f aca="false">IF(ISNUMBER(01_INPUTS!S67),01_INPUTS!S67,0)</f>
        <v>0</v>
      </c>
    </row>
    <row r="263" customFormat="false" ht="15" hidden="false" customHeight="false" outlineLevel="0" collapsed="false">
      <c r="A263" s="73" t="s">
        <v>1012</v>
      </c>
      <c r="B263" s="74" t="s">
        <v>124</v>
      </c>
      <c r="C263" s="66" t="s">
        <v>120</v>
      </c>
      <c r="D263" s="43" t="s">
        <v>42</v>
      </c>
      <c r="E263" s="75" t="s">
        <v>43</v>
      </c>
      <c r="F263" s="76"/>
      <c r="G263" s="91" t="n">
        <f aca="false">IF(ISNUMBER(01_INPUTS!G71),01_INPUTS!G71,0)</f>
        <v>0</v>
      </c>
      <c r="H263" s="91" t="n">
        <f aca="false">IF(ISNUMBER(01_INPUTS!H71),01_INPUTS!H71,0)</f>
        <v>0.2</v>
      </c>
      <c r="I263" s="91" t="n">
        <f aca="false">IF(ISNUMBER(01_INPUTS!I71),01_INPUTS!I71,0)</f>
        <v>0.1</v>
      </c>
      <c r="J263" s="91" t="n">
        <f aca="false">IF(ISNUMBER(01_INPUTS!J71),01_INPUTS!J71,0)</f>
        <v>0.1</v>
      </c>
      <c r="K263" s="91" t="n">
        <f aca="false">IF(ISNUMBER(01_INPUTS!K71),01_INPUTS!K71,0)</f>
        <v>0.1</v>
      </c>
      <c r="L263" s="91" t="n">
        <f aca="false">IF(ISNUMBER(01_INPUTS!L71),01_INPUTS!L71,0)</f>
        <v>0.1</v>
      </c>
      <c r="M263" s="91" t="n">
        <f aca="false">IF(ISNUMBER(01_INPUTS!M71),01_INPUTS!M71,0)</f>
        <v>0.1</v>
      </c>
      <c r="N263" s="91" t="n">
        <f aca="false">IF(ISNUMBER(01_INPUTS!N71),01_INPUTS!N71,0)</f>
        <v>0.1</v>
      </c>
      <c r="O263" s="91" t="n">
        <f aca="false">IF(ISNUMBER(01_INPUTS!O71),01_INPUTS!O71,0)</f>
        <v>0.1</v>
      </c>
      <c r="P263" s="91" t="n">
        <f aca="false">IF(ISNUMBER(01_INPUTS!P71),01_INPUTS!P71,0)</f>
        <v>0.1</v>
      </c>
      <c r="Q263" s="91" t="n">
        <f aca="false">IF(ISNUMBER(01_INPUTS!Q71),01_INPUTS!Q71,0)</f>
        <v>0.1</v>
      </c>
      <c r="R263" s="91" t="n">
        <f aca="false">IF(ISNUMBER(01_INPUTS!R71),01_INPUTS!R71,0)</f>
        <v>0.1</v>
      </c>
      <c r="S263" s="91" t="n">
        <f aca="false">IF(ISNUMBER(01_INPUTS!S71),01_INPUTS!S71,0)</f>
        <v>0.1</v>
      </c>
    </row>
    <row r="264" customFormat="false" ht="15" hidden="false" customHeight="false" outlineLevel="0" collapsed="false">
      <c r="A264" s="73" t="s">
        <v>1012</v>
      </c>
      <c r="B264" s="74" t="s">
        <v>1017</v>
      </c>
      <c r="C264" s="66" t="s">
        <v>120</v>
      </c>
      <c r="D264" s="43" t="s">
        <v>89</v>
      </c>
      <c r="E264" s="75" t="s">
        <v>43</v>
      </c>
      <c r="F264" s="76"/>
      <c r="G264" s="81" t="n">
        <v>0</v>
      </c>
      <c r="H264" s="81" t="n">
        <v>0</v>
      </c>
      <c r="I264" s="82" t="n">
        <f aca="false">IFERROR(I261*I263,0)</f>
        <v>1327.59677098336</v>
      </c>
      <c r="J264" s="82" t="n">
        <f aca="false">IFERROR(J261*J263,0)</f>
        <v>0</v>
      </c>
      <c r="K264" s="82" t="n">
        <f aca="false">IFERROR(K261*K263,0)</f>
        <v>0</v>
      </c>
      <c r="L264" s="82" t="n">
        <f aca="false">IFERROR(L261*L263,0)</f>
        <v>0</v>
      </c>
      <c r="M264" s="82" t="n">
        <f aca="false">IFERROR(M261*M263,0)</f>
        <v>0</v>
      </c>
      <c r="N264" s="82" t="n">
        <f aca="false">IFERROR(N261*N263,0)</f>
        <v>0</v>
      </c>
      <c r="O264" s="82" t="n">
        <f aca="false">IFERROR(O261*O263,0)</f>
        <v>0</v>
      </c>
      <c r="P264" s="82" t="n">
        <f aca="false">IFERROR(P261*P263,0)</f>
        <v>0</v>
      </c>
      <c r="Q264" s="82" t="n">
        <f aca="false">IFERROR(Q261*Q263,0)</f>
        <v>0</v>
      </c>
      <c r="R264" s="82" t="n">
        <f aca="false">IFERROR(R261*R263,0)</f>
        <v>0</v>
      </c>
      <c r="S264" s="82" t="n">
        <f aca="false">IFERROR(S261*S263,0)</f>
        <v>0</v>
      </c>
    </row>
    <row r="265" customFormat="false" ht="15" hidden="false" customHeight="false" outlineLevel="0" collapsed="false">
      <c r="A265" s="73" t="s">
        <v>1012</v>
      </c>
      <c r="B265" s="74" t="s">
        <v>1018</v>
      </c>
      <c r="C265" s="66" t="s">
        <v>120</v>
      </c>
      <c r="D265" s="43" t="s">
        <v>89</v>
      </c>
      <c r="E265" s="75" t="s">
        <v>43</v>
      </c>
      <c r="F265" s="76"/>
      <c r="G265" s="81" t="n">
        <v>0</v>
      </c>
      <c r="H265" s="81" t="n">
        <v>0</v>
      </c>
      <c r="I265" s="82" t="n">
        <f aca="false">IFERROR(IF(ISNUMBER(01_INPUTS!I63),01_INPUTS!I63,0),0)+IFERROR(I262,0)+IFERROR(I264,0)</f>
        <v>1527.59677098336</v>
      </c>
      <c r="J265" s="82" t="n">
        <f aca="false">IFERROR(IF(ISNUMBER(01_INPUTS!J63),01_INPUTS!J63,0),0)+IFERROR(J262,0)+IFERROR(J264,0)</f>
        <v>200</v>
      </c>
      <c r="K265" s="82" t="n">
        <f aca="false">IFERROR(IF(ISNUMBER(01_INPUTS!K63),01_INPUTS!K63,0),0)+IFERROR(K262,0)+IFERROR(K264,0)</f>
        <v>200</v>
      </c>
      <c r="L265" s="82" t="n">
        <f aca="false">IFERROR(IF(ISNUMBER(01_INPUTS!L63),01_INPUTS!L63,0),0)+IFERROR(L262,0)+IFERROR(L264,0)</f>
        <v>200</v>
      </c>
      <c r="M265" s="82" t="n">
        <f aca="false">IFERROR(IF(ISNUMBER(01_INPUTS!M63),01_INPUTS!M63,0),0)+IFERROR(M262,0)+IFERROR(M264,0)</f>
        <v>200</v>
      </c>
      <c r="N265" s="82" t="n">
        <f aca="false">IFERROR(IF(ISNUMBER(01_INPUTS!N63),01_INPUTS!N63,0),0)+IFERROR(N262,0)+IFERROR(N264,0)</f>
        <v>200</v>
      </c>
      <c r="O265" s="82" t="n">
        <f aca="false">IFERROR(IF(ISNUMBER(01_INPUTS!O63),01_INPUTS!O63,0),0)+IFERROR(O262,0)+IFERROR(O264,0)</f>
        <v>200</v>
      </c>
      <c r="P265" s="82" t="n">
        <f aca="false">IFERROR(IF(ISNUMBER(01_INPUTS!P63),01_INPUTS!P63,0),0)+IFERROR(P262,0)+IFERROR(P264,0)</f>
        <v>200</v>
      </c>
      <c r="Q265" s="82" t="n">
        <f aca="false">IFERROR(IF(ISNUMBER(01_INPUTS!Q63),01_INPUTS!Q63,0),0)+IFERROR(Q262,0)+IFERROR(Q264,0)</f>
        <v>200</v>
      </c>
      <c r="R265" s="82" t="n">
        <f aca="false">IFERROR(IF(ISNUMBER(01_INPUTS!R63),01_INPUTS!R63,0),0)+IFERROR(R262,0)+IFERROR(R264,0)</f>
        <v>200</v>
      </c>
      <c r="S265" s="82" t="n">
        <f aca="false">IFERROR(IF(ISNUMBER(01_INPUTS!S63),01_INPUTS!S63,0),0)+IFERROR(S262,0)+IFERROR(S264,0)</f>
        <v>200</v>
      </c>
    </row>
    <row r="266" customFormat="false" ht="15" hidden="false" customHeight="false" outlineLevel="0" collapsed="false">
      <c r="A266" s="73" t="s">
        <v>1012</v>
      </c>
      <c r="B266" s="74" t="s">
        <v>1019</v>
      </c>
      <c r="C266" s="66" t="s">
        <v>120</v>
      </c>
      <c r="D266" s="43" t="s">
        <v>81</v>
      </c>
      <c r="E266" s="75" t="s">
        <v>917</v>
      </c>
      <c r="F266" s="76"/>
      <c r="G266" s="78" t="n">
        <f aca="false">G258*G265</f>
        <v>0</v>
      </c>
      <c r="H266" s="78" t="n">
        <f aca="false">H258*H265</f>
        <v>0</v>
      </c>
      <c r="I266" s="78" t="n">
        <f aca="false">I258*I265</f>
        <v>790069884.581354</v>
      </c>
      <c r="J266" s="78" t="n">
        <f aca="false">J258*J265</f>
        <v>0</v>
      </c>
      <c r="K266" s="78" t="n">
        <f aca="false">K258*K265</f>
        <v>0</v>
      </c>
      <c r="L266" s="78" t="n">
        <f aca="false">L258*L265</f>
        <v>0</v>
      </c>
      <c r="M266" s="78" t="n">
        <f aca="false">M258*M265</f>
        <v>0</v>
      </c>
      <c r="N266" s="78" t="n">
        <f aca="false">N258*N265</f>
        <v>0</v>
      </c>
      <c r="O266" s="78" t="n">
        <f aca="false">O258*O265</f>
        <v>0</v>
      </c>
      <c r="P266" s="78" t="n">
        <f aca="false">P258*P265</f>
        <v>0</v>
      </c>
      <c r="Q266" s="78" t="n">
        <f aca="false">Q258*Q265</f>
        <v>0</v>
      </c>
      <c r="R266" s="78" t="n">
        <f aca="false">R258*R265</f>
        <v>0</v>
      </c>
      <c r="S266" s="78" t="n">
        <f aca="false">S258*S265</f>
        <v>0</v>
      </c>
    </row>
    <row r="267" customFormat="false" ht="15" hidden="false" customHeight="false" outlineLevel="0" collapsed="false">
      <c r="A267" s="73" t="s">
        <v>1012</v>
      </c>
      <c r="B267" s="74" t="s">
        <v>1013</v>
      </c>
      <c r="C267" s="66" t="s">
        <v>121</v>
      </c>
      <c r="D267" s="43" t="s">
        <v>332</v>
      </c>
      <c r="E267" s="75" t="s">
        <v>43</v>
      </c>
      <c r="F267" s="76"/>
      <c r="G267" s="36" t="n">
        <f aca="false">(((IF(G49="EE.UU.",G75,0)+IF(G50="EE.UU.",G81,0)+IF(G51="EE.UU.",G87,0))*(IF(G189="OK",1,0))))+(((IF(G52="EE.UU.",G102,0)+IF(G53="EE.UU.",G108,0)+IF(G54="EE.UU.",G114,0))*(IF(G194="OK",1,0))))+(((IF(G55="EE.UU.",G129,0)+IF(G56="EE.UU.",G135,0)+IF(G57="EE.UU.",G141,0))*(IF(G199="OK",1,0))))+(((IF(G58="EE.UU.",G156,0)+IF(G59="EE.UU.",G162,0)+IF(G60="EE.UU.",G168,0))*(IF(G204="OK",1,0))))</f>
        <v>0</v>
      </c>
      <c r="H267" s="36" t="n">
        <f aca="false">(((IF(H49="EE.UU.",H75,0)+IF(H50="EE.UU.",H81,0)+IF(H51="EE.UU.",H87,0))*(IF(H189="OK",1,0))))+(((IF(H52="EE.UU.",H102,0)+IF(H53="EE.UU.",H108,0)+IF(H54="EE.UU.",H114,0))*(IF(H194="OK",1,0))))+(((IF(H55="EE.UU.",H129,0)+IF(H56="EE.UU.",H135,0)+IF(H57="EE.UU.",H141,0))*(IF(H199="OK",1,0))))+(((IF(H58="EE.UU.",H156,0)+IF(H59="EE.UU.",H162,0)+IF(H60="EE.UU.",H168,0))*(IF(H204="OK",1,0))))</f>
        <v>0</v>
      </c>
      <c r="I267" s="36" t="n">
        <f aca="false">(((IF(I49="EE.UU.",I75,0)+IF(I50="EE.UU.",I81,0)+IF(I51="EE.UU.",I87,0))*(IF(I189="OK",1,0))))+(((IF(I52="EE.UU.",I102,0)+IF(I53="EE.UU.",I108,0)+IF(I54="EE.UU.",I114,0))*(IF(I194="OK",1,0))))+(((IF(I55="EE.UU.",I129,0)+IF(I56="EE.UU.",I135,0)+IF(I57="EE.UU.",I141,0))*(IF(I199="OK",1,0))))+(((IF(I58="EE.UU.",I156,0)+IF(I59="EE.UU.",I162,0)+IF(I60="EE.UU.",I168,0))*(IF(I204="OK",1,0))))</f>
        <v>173138.939828583</v>
      </c>
      <c r="J267" s="36" t="n">
        <f aca="false">(((IF(J49="EE.UU.",J75,0)+IF(J50="EE.UU.",J81,0)+IF(J51="EE.UU.",J87,0))*(IF(J189="OK",1,0))))+(((IF(J52="EE.UU.",J102,0)+IF(J53="EE.UU.",J108,0)+IF(J54="EE.UU.",J114,0))*(IF(J194="OK",1,0))))+(((IF(J55="EE.UU.",J129,0)+IF(J56="EE.UU.",J135,0)+IF(J57="EE.UU.",J141,0))*(IF(J199="OK",1,0))))+(((IF(J58="EE.UU.",J156,0)+IF(J59="EE.UU.",J162,0)+IF(J60="EE.UU.",J168,0))*(IF(J204="OK",1,0))))</f>
        <v>0</v>
      </c>
      <c r="K267" s="36" t="n">
        <f aca="false">(((IF(K49="EE.UU.",K75,0)+IF(K50="EE.UU.",K81,0)+IF(K51="EE.UU.",K87,0))*(IF(K189="OK",1,0))))+(((IF(K52="EE.UU.",K102,0)+IF(K53="EE.UU.",K108,0)+IF(K54="EE.UU.",K114,0))*(IF(K194="OK",1,0))))+(((IF(K55="EE.UU.",K129,0)+IF(K56="EE.UU.",K135,0)+IF(K57="EE.UU.",K141,0))*(IF(K199="OK",1,0))))+(((IF(K58="EE.UU.",K156,0)+IF(K59="EE.UU.",K162,0)+IF(K60="EE.UU.",K168,0))*(IF(K204="OK",1,0))))</f>
        <v>0</v>
      </c>
      <c r="L267" s="36" t="n">
        <f aca="false">(((IF(L49="EE.UU.",L75,0)+IF(L50="EE.UU.",L81,0)+IF(L51="EE.UU.",L87,0))*(IF(L189="OK",1,0))))+(((IF(L52="EE.UU.",L102,0)+IF(L53="EE.UU.",L108,0)+IF(L54="EE.UU.",L114,0))*(IF(L194="OK",1,0))))+(((IF(L55="EE.UU.",L129,0)+IF(L56="EE.UU.",L135,0)+IF(L57="EE.UU.",L141,0))*(IF(L199="OK",1,0))))+(((IF(L58="EE.UU.",L156,0)+IF(L59="EE.UU.",L162,0)+IF(L60="EE.UU.",L168,0))*(IF(L204="OK",1,0))))</f>
        <v>0</v>
      </c>
      <c r="M267" s="36" t="n">
        <f aca="false">(((IF(M49="EE.UU.",M75,0)+IF(M50="EE.UU.",M81,0)+IF(M51="EE.UU.",M87,0))*(IF(M189="OK",1,0))))+(((IF(M52="EE.UU.",M102,0)+IF(M53="EE.UU.",M108,0)+IF(M54="EE.UU.",M114,0))*(IF(M194="OK",1,0))))+(((IF(M55="EE.UU.",M129,0)+IF(M56="EE.UU.",M135,0)+IF(M57="EE.UU.",M141,0))*(IF(M199="OK",1,0))))+(((IF(M58="EE.UU.",M156,0)+IF(M59="EE.UU.",M162,0)+IF(M60="EE.UU.",M168,0))*(IF(M204="OK",1,0))))</f>
        <v>0</v>
      </c>
      <c r="N267" s="36" t="n">
        <f aca="false">(((IF(N49="EE.UU.",N75,0)+IF(N50="EE.UU.",N81,0)+IF(N51="EE.UU.",N87,0))*(IF(N189="OK",1,0))))+(((IF(N52="EE.UU.",N102,0)+IF(N53="EE.UU.",N108,0)+IF(N54="EE.UU.",N114,0))*(IF(N194="OK",1,0))))+(((IF(N55="EE.UU.",N129,0)+IF(N56="EE.UU.",N135,0)+IF(N57="EE.UU.",N141,0))*(IF(N199="OK",1,0))))+(((IF(N58="EE.UU.",N156,0)+IF(N59="EE.UU.",N162,0)+IF(N60="EE.UU.",N168,0))*(IF(N204="OK",1,0))))</f>
        <v>0</v>
      </c>
      <c r="O267" s="36" t="n">
        <f aca="false">(((IF(O49="EE.UU.",O75,0)+IF(O50="EE.UU.",O81,0)+IF(O51="EE.UU.",O87,0))*(IF(O189="OK",1,0))))+(((IF(O52="EE.UU.",O102,0)+IF(O53="EE.UU.",O108,0)+IF(O54="EE.UU.",O114,0))*(IF(O194="OK",1,0))))+(((IF(O55="EE.UU.",O129,0)+IF(O56="EE.UU.",O135,0)+IF(O57="EE.UU.",O141,0))*(IF(O199="OK",1,0))))+(((IF(O58="EE.UU.",O156,0)+IF(O59="EE.UU.",O162,0)+IF(O60="EE.UU.",O168,0))*(IF(O204="OK",1,0))))</f>
        <v>0</v>
      </c>
      <c r="P267" s="36" t="n">
        <f aca="false">(((IF(P49="EE.UU.",P75,0)+IF(P50="EE.UU.",P81,0)+IF(P51="EE.UU.",P87,0))*(IF(P189="OK",1,0))))+(((IF(P52="EE.UU.",P102,0)+IF(P53="EE.UU.",P108,0)+IF(P54="EE.UU.",P114,0))*(IF(P194="OK",1,0))))+(((IF(P55="EE.UU.",P129,0)+IF(P56="EE.UU.",P135,0)+IF(P57="EE.UU.",P141,0))*(IF(P199="OK",1,0))))+(((IF(P58="EE.UU.",P156,0)+IF(P59="EE.UU.",P162,0)+IF(P60="EE.UU.",P168,0))*(IF(P204="OK",1,0))))</f>
        <v>0</v>
      </c>
      <c r="Q267" s="36" t="n">
        <f aca="false">(((IF(Q49="EE.UU.",Q75,0)+IF(Q50="EE.UU.",Q81,0)+IF(Q51="EE.UU.",Q87,0))*(IF(Q189="OK",1,0))))+(((IF(Q52="EE.UU.",Q102,0)+IF(Q53="EE.UU.",Q108,0)+IF(Q54="EE.UU.",Q114,0))*(IF(Q194="OK",1,0))))+(((IF(Q55="EE.UU.",Q129,0)+IF(Q56="EE.UU.",Q135,0)+IF(Q57="EE.UU.",Q141,0))*(IF(Q199="OK",1,0))))+(((IF(Q58="EE.UU.",Q156,0)+IF(Q59="EE.UU.",Q162,0)+IF(Q60="EE.UU.",Q168,0))*(IF(Q204="OK",1,0))))</f>
        <v>0</v>
      </c>
      <c r="R267" s="36" t="n">
        <f aca="false">(((IF(R49="EE.UU.",R75,0)+IF(R50="EE.UU.",R81,0)+IF(R51="EE.UU.",R87,0))*(IF(R189="OK",1,0))))+(((IF(R52="EE.UU.",R102,0)+IF(R53="EE.UU.",R108,0)+IF(R54="EE.UU.",R114,0))*(IF(R194="OK",1,0))))+(((IF(R55="EE.UU.",R129,0)+IF(R56="EE.UU.",R135,0)+IF(R57="EE.UU.",R141,0))*(IF(R199="OK",1,0))))+(((IF(R58="EE.UU.",R156,0)+IF(R59="EE.UU.",R162,0)+IF(R60="EE.UU.",R168,0))*(IF(R204="OK",1,0))))</f>
        <v>0</v>
      </c>
      <c r="S267" s="36" t="n">
        <f aca="false">(((IF(S49="EE.UU.",S75,0)+IF(S50="EE.UU.",S81,0)+IF(S51="EE.UU.",S87,0))*(IF(S189="OK",1,0))))+(((IF(S52="EE.UU.",S102,0)+IF(S53="EE.UU.",S108,0)+IF(S54="EE.UU.",S114,0))*(IF(S194="OK",1,0))))+(((IF(S55="EE.UU.",S129,0)+IF(S56="EE.UU.",S135,0)+IF(S57="EE.UU.",S141,0))*(IF(S199="OK",1,0))))+(((IF(S58="EE.UU.",S156,0)+IF(S59="EE.UU.",S162,0)+IF(S60="EE.UU.",S168,0))*(IF(S204="OK",1,0))))</f>
        <v>0</v>
      </c>
    </row>
    <row r="268" customFormat="false" ht="15" hidden="false" customHeight="false" outlineLevel="0" collapsed="false">
      <c r="A268" s="73" t="s">
        <v>1012</v>
      </c>
      <c r="B268" s="74" t="s">
        <v>1014</v>
      </c>
      <c r="C268" s="66" t="s">
        <v>121</v>
      </c>
      <c r="D268" s="43" t="s">
        <v>89</v>
      </c>
      <c r="E268" s="75" t="s">
        <v>43</v>
      </c>
      <c r="F268" s="76"/>
      <c r="G268" s="82" t="n">
        <f aca="false">IFERROR(((((IF(G49="EE.UU.",G75,0)+IF(G50="EE.UU.",G81,0)+IF(G51="EE.UU.",G87,0))*(IF(G189="OK",1,0))))*_ENGINE_PRODUCCION!G57+(((IF(G52="EE.UU.",G102,0)+IF(G53="EE.UU.",G108,0)+IF(G54="EE.UU.",G114,0))*(IF(G194="OK",1,0))))*_ENGINE_PRODUCCION!G62+(((IF(G55="EE.UU.",G129,0)+IF(G56="EE.UU.",G135,0)+IF(G57="EE.UU.",G141,0))*(IF(G199="OK",1,0))))*_ENGINE_PRODUCCION!G67+(((IF(G58="EE.UU.",G156,0)+IF(G59="EE.UU.",G162,0)+IF(G60="EE.UU.",G168,0))*(IF(G204="OK",1,0))))*_ENGINE_PRODUCCION!G72)/G267,0)</f>
        <v>0</v>
      </c>
      <c r="H268" s="82" t="n">
        <f aca="false">IFERROR(((((IF(H49="EE.UU.",H75,0)+IF(H50="EE.UU.",H81,0)+IF(H51="EE.UU.",H87,0))*(IF(H189="OK",1,0))))*_ENGINE_PRODUCCION!H57+(((IF(H52="EE.UU.",H102,0)+IF(H53="EE.UU.",H108,0)+IF(H54="EE.UU.",H114,0))*(IF(H194="OK",1,0))))*_ENGINE_PRODUCCION!H62+(((IF(H55="EE.UU.",H129,0)+IF(H56="EE.UU.",H135,0)+IF(H57="EE.UU.",H141,0))*(IF(H199="OK",1,0))))*_ENGINE_PRODUCCION!H67+(((IF(H58="EE.UU.",H156,0)+IF(H59="EE.UU.",H162,0)+IF(H60="EE.UU.",H168,0))*(IF(H204="OK",1,0))))*_ENGINE_PRODUCCION!H72)/H267,0)</f>
        <v>0</v>
      </c>
      <c r="I268" s="82" t="n">
        <f aca="false">IFERROR(((((IF(I49="EE.UU.",I75,0)+IF(I50="EE.UU.",I81,0)+IF(I51="EE.UU.",I87,0))*(IF(I189="OK",1,0))))*_ENGINE_PRODUCCION!I57+(((IF(I52="EE.UU.",I102,0)+IF(I53="EE.UU.",I108,0)+IF(I54="EE.UU.",I114,0))*(IF(I194="OK",1,0))))*_ENGINE_PRODUCCION!I62+(((IF(I55="EE.UU.",I129,0)+IF(I56="EE.UU.",I135,0)+IF(I57="EE.UU.",I141,0))*(IF(I199="OK",1,0))))*_ENGINE_PRODUCCION!I67+(((IF(I58="EE.UU.",I156,0)+IF(I59="EE.UU.",I162,0)+IF(I60="EE.UU.",I168,0))*(IF(I204="OK",1,0))))*_ENGINE_PRODUCCION!I72)/I267,0)</f>
        <v>14051.3756273759</v>
      </c>
      <c r="J268" s="82" t="n">
        <f aca="false">IFERROR(((((IF(J49="EE.UU.",J75,0)+IF(J50="EE.UU.",J81,0)+IF(J51="EE.UU.",J87,0))*(IF(J189="OK",1,0))))*_ENGINE_PRODUCCION!J57+(((IF(J52="EE.UU.",J102,0)+IF(J53="EE.UU.",J108,0)+IF(J54="EE.UU.",J114,0))*(IF(J194="OK",1,0))))*_ENGINE_PRODUCCION!J62+(((IF(J55="EE.UU.",J129,0)+IF(J56="EE.UU.",J135,0)+IF(J57="EE.UU.",J141,0))*(IF(J199="OK",1,0))))*_ENGINE_PRODUCCION!J67+(((IF(J58="EE.UU.",J156,0)+IF(J59="EE.UU.",J162,0)+IF(J60="EE.UU.",J168,0))*(IF(J204="OK",1,0))))*_ENGINE_PRODUCCION!J72)/J267,0)</f>
        <v>0</v>
      </c>
      <c r="K268" s="82" t="n">
        <f aca="false">IFERROR(((((IF(K49="EE.UU.",K75,0)+IF(K50="EE.UU.",K81,0)+IF(K51="EE.UU.",K87,0))*(IF(K189="OK",1,0))))*_ENGINE_PRODUCCION!K57+(((IF(K52="EE.UU.",K102,0)+IF(K53="EE.UU.",K108,0)+IF(K54="EE.UU.",K114,0))*(IF(K194="OK",1,0))))*_ENGINE_PRODUCCION!K62+(((IF(K55="EE.UU.",K129,0)+IF(K56="EE.UU.",K135,0)+IF(K57="EE.UU.",K141,0))*(IF(K199="OK",1,0))))*_ENGINE_PRODUCCION!K67+(((IF(K58="EE.UU.",K156,0)+IF(K59="EE.UU.",K162,0)+IF(K60="EE.UU.",K168,0))*(IF(K204="OK",1,0))))*_ENGINE_PRODUCCION!K72)/K267,0)</f>
        <v>0</v>
      </c>
      <c r="L268" s="82" t="n">
        <f aca="false">IFERROR(((((IF(L49="EE.UU.",L75,0)+IF(L50="EE.UU.",L81,0)+IF(L51="EE.UU.",L87,0))*(IF(L189="OK",1,0))))*_ENGINE_PRODUCCION!L57+(((IF(L52="EE.UU.",L102,0)+IF(L53="EE.UU.",L108,0)+IF(L54="EE.UU.",L114,0))*(IF(L194="OK",1,0))))*_ENGINE_PRODUCCION!L62+(((IF(L55="EE.UU.",L129,0)+IF(L56="EE.UU.",L135,0)+IF(L57="EE.UU.",L141,0))*(IF(L199="OK",1,0))))*_ENGINE_PRODUCCION!L67+(((IF(L58="EE.UU.",L156,0)+IF(L59="EE.UU.",L162,0)+IF(L60="EE.UU.",L168,0))*(IF(L204="OK",1,0))))*_ENGINE_PRODUCCION!L72)/L267,0)</f>
        <v>0</v>
      </c>
      <c r="M268" s="82" t="n">
        <f aca="false">IFERROR(((((IF(M49="EE.UU.",M75,0)+IF(M50="EE.UU.",M81,0)+IF(M51="EE.UU.",M87,0))*(IF(M189="OK",1,0))))*_ENGINE_PRODUCCION!M57+(((IF(M52="EE.UU.",M102,0)+IF(M53="EE.UU.",M108,0)+IF(M54="EE.UU.",M114,0))*(IF(M194="OK",1,0))))*_ENGINE_PRODUCCION!M62+(((IF(M55="EE.UU.",M129,0)+IF(M56="EE.UU.",M135,0)+IF(M57="EE.UU.",M141,0))*(IF(M199="OK",1,0))))*_ENGINE_PRODUCCION!M67+(((IF(M58="EE.UU.",M156,0)+IF(M59="EE.UU.",M162,0)+IF(M60="EE.UU.",M168,0))*(IF(M204="OK",1,0))))*_ENGINE_PRODUCCION!M72)/M267,0)</f>
        <v>0</v>
      </c>
      <c r="N268" s="82" t="n">
        <f aca="false">IFERROR(((((IF(N49="EE.UU.",N75,0)+IF(N50="EE.UU.",N81,0)+IF(N51="EE.UU.",N87,0))*(IF(N189="OK",1,0))))*_ENGINE_PRODUCCION!N57+(((IF(N52="EE.UU.",N102,0)+IF(N53="EE.UU.",N108,0)+IF(N54="EE.UU.",N114,0))*(IF(N194="OK",1,0))))*_ENGINE_PRODUCCION!N62+(((IF(N55="EE.UU.",N129,0)+IF(N56="EE.UU.",N135,0)+IF(N57="EE.UU.",N141,0))*(IF(N199="OK",1,0))))*_ENGINE_PRODUCCION!N67+(((IF(N58="EE.UU.",N156,0)+IF(N59="EE.UU.",N162,0)+IF(N60="EE.UU.",N168,0))*(IF(N204="OK",1,0))))*_ENGINE_PRODUCCION!N72)/N267,0)</f>
        <v>0</v>
      </c>
      <c r="O268" s="82" t="n">
        <f aca="false">IFERROR(((((IF(O49="EE.UU.",O75,0)+IF(O50="EE.UU.",O81,0)+IF(O51="EE.UU.",O87,0))*(IF(O189="OK",1,0))))*_ENGINE_PRODUCCION!O57+(((IF(O52="EE.UU.",O102,0)+IF(O53="EE.UU.",O108,0)+IF(O54="EE.UU.",O114,0))*(IF(O194="OK",1,0))))*_ENGINE_PRODUCCION!O62+(((IF(O55="EE.UU.",O129,0)+IF(O56="EE.UU.",O135,0)+IF(O57="EE.UU.",O141,0))*(IF(O199="OK",1,0))))*_ENGINE_PRODUCCION!O67+(((IF(O58="EE.UU.",O156,0)+IF(O59="EE.UU.",O162,0)+IF(O60="EE.UU.",O168,0))*(IF(O204="OK",1,0))))*_ENGINE_PRODUCCION!O72)/O267,0)</f>
        <v>0</v>
      </c>
      <c r="P268" s="82" t="n">
        <f aca="false">IFERROR(((((IF(P49="EE.UU.",P75,0)+IF(P50="EE.UU.",P81,0)+IF(P51="EE.UU.",P87,0))*(IF(P189="OK",1,0))))*_ENGINE_PRODUCCION!P57+(((IF(P52="EE.UU.",P102,0)+IF(P53="EE.UU.",P108,0)+IF(P54="EE.UU.",P114,0))*(IF(P194="OK",1,0))))*_ENGINE_PRODUCCION!P62+(((IF(P55="EE.UU.",P129,0)+IF(P56="EE.UU.",P135,0)+IF(P57="EE.UU.",P141,0))*(IF(P199="OK",1,0))))*_ENGINE_PRODUCCION!P67+(((IF(P58="EE.UU.",P156,0)+IF(P59="EE.UU.",P162,0)+IF(P60="EE.UU.",P168,0))*(IF(P204="OK",1,0))))*_ENGINE_PRODUCCION!P72)/P267,0)</f>
        <v>0</v>
      </c>
      <c r="Q268" s="82" t="n">
        <f aca="false">IFERROR(((((IF(Q49="EE.UU.",Q75,0)+IF(Q50="EE.UU.",Q81,0)+IF(Q51="EE.UU.",Q87,0))*(IF(Q189="OK",1,0))))*_ENGINE_PRODUCCION!Q57+(((IF(Q52="EE.UU.",Q102,0)+IF(Q53="EE.UU.",Q108,0)+IF(Q54="EE.UU.",Q114,0))*(IF(Q194="OK",1,0))))*_ENGINE_PRODUCCION!Q62+(((IF(Q55="EE.UU.",Q129,0)+IF(Q56="EE.UU.",Q135,0)+IF(Q57="EE.UU.",Q141,0))*(IF(Q199="OK",1,0))))*_ENGINE_PRODUCCION!Q67+(((IF(Q58="EE.UU.",Q156,0)+IF(Q59="EE.UU.",Q162,0)+IF(Q60="EE.UU.",Q168,0))*(IF(Q204="OK",1,0))))*_ENGINE_PRODUCCION!Q72)/Q267,0)</f>
        <v>0</v>
      </c>
      <c r="R268" s="82" t="n">
        <f aca="false">IFERROR(((((IF(R49="EE.UU.",R75,0)+IF(R50="EE.UU.",R81,0)+IF(R51="EE.UU.",R87,0))*(IF(R189="OK",1,0))))*_ENGINE_PRODUCCION!R57+(((IF(R52="EE.UU.",R102,0)+IF(R53="EE.UU.",R108,0)+IF(R54="EE.UU.",R114,0))*(IF(R194="OK",1,0))))*_ENGINE_PRODUCCION!R62+(((IF(R55="EE.UU.",R129,0)+IF(R56="EE.UU.",R135,0)+IF(R57="EE.UU.",R141,0))*(IF(R199="OK",1,0))))*_ENGINE_PRODUCCION!R67+(((IF(R58="EE.UU.",R156,0)+IF(R59="EE.UU.",R162,0)+IF(R60="EE.UU.",R168,0))*(IF(R204="OK",1,0))))*_ENGINE_PRODUCCION!R72)/R267,0)</f>
        <v>0</v>
      </c>
      <c r="S268" s="82" t="n">
        <f aca="false">IFERROR(((((IF(S49="EE.UU.",S75,0)+IF(S50="EE.UU.",S81,0)+IF(S51="EE.UU.",S87,0))*(IF(S189="OK",1,0))))*_ENGINE_PRODUCCION!S57+(((IF(S52="EE.UU.",S102,0)+IF(S53="EE.UU.",S108,0)+IF(S54="EE.UU.",S114,0))*(IF(S194="OK",1,0))))*_ENGINE_PRODUCCION!S62+(((IF(S55="EE.UU.",S129,0)+IF(S56="EE.UU.",S135,0)+IF(S57="EE.UU.",S141,0))*(IF(S199="OK",1,0))))*_ENGINE_PRODUCCION!S67+(((IF(S58="EE.UU.",S156,0)+IF(S59="EE.UU.",S162,0)+IF(S60="EE.UU.",S168,0))*(IF(S204="OK",1,0))))*_ENGINE_PRODUCCION!S72)/S267,0)</f>
        <v>0</v>
      </c>
    </row>
    <row r="269" customFormat="false" ht="15" hidden="false" customHeight="false" outlineLevel="0" collapsed="false">
      <c r="A269" s="73" t="s">
        <v>1012</v>
      </c>
      <c r="B269" s="74" t="s">
        <v>1015</v>
      </c>
      <c r="C269" s="66" t="s">
        <v>121</v>
      </c>
      <c r="D269" s="43" t="s">
        <v>319</v>
      </c>
      <c r="E269" s="75" t="s">
        <v>43</v>
      </c>
      <c r="F269" s="76"/>
      <c r="G269" s="48" t="s">
        <v>336</v>
      </c>
      <c r="H269" s="48" t="s">
        <v>336</v>
      </c>
      <c r="I269" s="80" t="n">
        <f aca="false">01_INPUTS!I263</f>
        <v>1</v>
      </c>
      <c r="J269" s="80" t="n">
        <f aca="false">01_INPUTS!J263</f>
        <v>0</v>
      </c>
      <c r="K269" s="80" t="n">
        <f aca="false">01_INPUTS!K263</f>
        <v>0</v>
      </c>
      <c r="L269" s="80" t="n">
        <f aca="false">01_INPUTS!L263</f>
        <v>0</v>
      </c>
      <c r="M269" s="80" t="n">
        <f aca="false">01_INPUTS!M263</f>
        <v>0</v>
      </c>
      <c r="N269" s="80" t="n">
        <f aca="false">01_INPUTS!N263</f>
        <v>0</v>
      </c>
      <c r="O269" s="80" t="n">
        <f aca="false">01_INPUTS!O263</f>
        <v>0</v>
      </c>
      <c r="P269" s="80" t="n">
        <f aca="false">01_INPUTS!P263</f>
        <v>0</v>
      </c>
      <c r="Q269" s="80" t="n">
        <f aca="false">01_INPUTS!Q263</f>
        <v>0</v>
      </c>
      <c r="R269" s="80" t="n">
        <f aca="false">01_INPUTS!R263</f>
        <v>0</v>
      </c>
      <c r="S269" s="80" t="n">
        <f aca="false">01_INPUTS!S263</f>
        <v>0</v>
      </c>
    </row>
    <row r="270" customFormat="false" ht="15" hidden="false" customHeight="false" outlineLevel="0" collapsed="false">
      <c r="A270" s="73" t="s">
        <v>1012</v>
      </c>
      <c r="B270" s="74" t="s">
        <v>1016</v>
      </c>
      <c r="C270" s="66" t="s">
        <v>121</v>
      </c>
      <c r="D270" s="43" t="s">
        <v>89</v>
      </c>
      <c r="E270" s="75" t="s">
        <v>43</v>
      </c>
      <c r="F270" s="76"/>
      <c r="G270" s="48" t="s">
        <v>336</v>
      </c>
      <c r="H270" s="48" t="s">
        <v>336</v>
      </c>
      <c r="I270" s="82" t="n">
        <f aca="false">I268*I269</f>
        <v>14051.3756273759</v>
      </c>
      <c r="J270" s="82" t="n">
        <f aca="false">J268*J269</f>
        <v>0</v>
      </c>
      <c r="K270" s="82" t="n">
        <f aca="false">K268*K269</f>
        <v>0</v>
      </c>
      <c r="L270" s="82" t="n">
        <f aca="false">L268*L269</f>
        <v>0</v>
      </c>
      <c r="M270" s="82" t="n">
        <f aca="false">M268*M269</f>
        <v>0</v>
      </c>
      <c r="N270" s="82" t="n">
        <f aca="false">N268*N269</f>
        <v>0</v>
      </c>
      <c r="O270" s="82" t="n">
        <f aca="false">O268*O269</f>
        <v>0</v>
      </c>
      <c r="P270" s="82" t="n">
        <f aca="false">P268*P269</f>
        <v>0</v>
      </c>
      <c r="Q270" s="82" t="n">
        <f aca="false">Q268*Q269</f>
        <v>0</v>
      </c>
      <c r="R270" s="82" t="n">
        <f aca="false">R268*R269</f>
        <v>0</v>
      </c>
      <c r="S270" s="82" t="n">
        <f aca="false">S268*S269</f>
        <v>0</v>
      </c>
    </row>
    <row r="271" customFormat="false" ht="15" hidden="false" customHeight="false" outlineLevel="0" collapsed="false">
      <c r="A271" s="73" t="s">
        <v>1012</v>
      </c>
      <c r="B271" s="74" t="s">
        <v>123</v>
      </c>
      <c r="C271" s="66" t="s">
        <v>121</v>
      </c>
      <c r="D271" s="43" t="s">
        <v>89</v>
      </c>
      <c r="E271" s="75" t="s">
        <v>43</v>
      </c>
      <c r="F271" s="76"/>
      <c r="G271" s="84" t="n">
        <f aca="false">IF(ISNUMBER(01_INPUTS!G68),01_INPUTS!G68,0)</f>
        <v>0</v>
      </c>
      <c r="H271" s="84" t="n">
        <f aca="false">IF(ISNUMBER(01_INPUTS!H68),01_INPUTS!H68,0)</f>
        <v>0</v>
      </c>
      <c r="I271" s="84" t="n">
        <f aca="false">IF(ISNUMBER(01_INPUTS!I68),01_INPUTS!I68,0)</f>
        <v>0</v>
      </c>
      <c r="J271" s="84" t="n">
        <f aca="false">IF(ISNUMBER(01_INPUTS!J68),01_INPUTS!J68,0)</f>
        <v>0</v>
      </c>
      <c r="K271" s="84" t="n">
        <f aca="false">IF(ISNUMBER(01_INPUTS!K68),01_INPUTS!K68,0)</f>
        <v>0</v>
      </c>
      <c r="L271" s="84" t="n">
        <f aca="false">IF(ISNUMBER(01_INPUTS!L68),01_INPUTS!L68,0)</f>
        <v>0</v>
      </c>
      <c r="M271" s="84" t="n">
        <f aca="false">IF(ISNUMBER(01_INPUTS!M68),01_INPUTS!M68,0)</f>
        <v>0</v>
      </c>
      <c r="N271" s="84" t="n">
        <f aca="false">IF(ISNUMBER(01_INPUTS!N68),01_INPUTS!N68,0)</f>
        <v>0</v>
      </c>
      <c r="O271" s="84" t="n">
        <f aca="false">IF(ISNUMBER(01_INPUTS!O68),01_INPUTS!O68,0)</f>
        <v>0</v>
      </c>
      <c r="P271" s="84" t="n">
        <f aca="false">IF(ISNUMBER(01_INPUTS!P68),01_INPUTS!P68,0)</f>
        <v>0</v>
      </c>
      <c r="Q271" s="84" t="n">
        <f aca="false">IF(ISNUMBER(01_INPUTS!Q68),01_INPUTS!Q68,0)</f>
        <v>0</v>
      </c>
      <c r="R271" s="84" t="n">
        <f aca="false">IF(ISNUMBER(01_INPUTS!R68),01_INPUTS!R68,0)</f>
        <v>0</v>
      </c>
      <c r="S271" s="84" t="n">
        <f aca="false">IF(ISNUMBER(01_INPUTS!S68),01_INPUTS!S68,0)</f>
        <v>0</v>
      </c>
    </row>
    <row r="272" customFormat="false" ht="15" hidden="false" customHeight="false" outlineLevel="0" collapsed="false">
      <c r="A272" s="73" t="s">
        <v>1012</v>
      </c>
      <c r="B272" s="74" t="s">
        <v>124</v>
      </c>
      <c r="C272" s="66" t="s">
        <v>121</v>
      </c>
      <c r="D272" s="43" t="s">
        <v>42</v>
      </c>
      <c r="E272" s="75" t="s">
        <v>43</v>
      </c>
      <c r="F272" s="76"/>
      <c r="G272" s="91" t="n">
        <f aca="false">IF(ISNUMBER(01_INPUTS!G72),01_INPUTS!G72,0)</f>
        <v>0</v>
      </c>
      <c r="H272" s="91" t="n">
        <f aca="false">IF(ISNUMBER(01_INPUTS!H72),01_INPUTS!H72,0)</f>
        <v>0.3</v>
      </c>
      <c r="I272" s="91" t="n">
        <f aca="false">IF(ISNUMBER(01_INPUTS!I72),01_INPUTS!I72,0)</f>
        <v>0.025</v>
      </c>
      <c r="J272" s="91" t="n">
        <f aca="false">IF(ISNUMBER(01_INPUTS!J72),01_INPUTS!J72,0)</f>
        <v>0.025</v>
      </c>
      <c r="K272" s="91" t="n">
        <f aca="false">IF(ISNUMBER(01_INPUTS!K72),01_INPUTS!K72,0)</f>
        <v>0.025</v>
      </c>
      <c r="L272" s="91" t="n">
        <f aca="false">IF(ISNUMBER(01_INPUTS!L72),01_INPUTS!L72,0)</f>
        <v>0.025</v>
      </c>
      <c r="M272" s="91" t="n">
        <f aca="false">IF(ISNUMBER(01_INPUTS!M72),01_INPUTS!M72,0)</f>
        <v>0.025</v>
      </c>
      <c r="N272" s="91" t="n">
        <f aca="false">IF(ISNUMBER(01_INPUTS!N72),01_INPUTS!N72,0)</f>
        <v>0.025</v>
      </c>
      <c r="O272" s="91" t="n">
        <f aca="false">IF(ISNUMBER(01_INPUTS!O72),01_INPUTS!O72,0)</f>
        <v>0.025</v>
      </c>
      <c r="P272" s="91" t="n">
        <f aca="false">IF(ISNUMBER(01_INPUTS!P72),01_INPUTS!P72,0)</f>
        <v>0.025</v>
      </c>
      <c r="Q272" s="91" t="n">
        <f aca="false">IF(ISNUMBER(01_INPUTS!Q72),01_INPUTS!Q72,0)</f>
        <v>0.025</v>
      </c>
      <c r="R272" s="91" t="n">
        <f aca="false">IF(ISNUMBER(01_INPUTS!R72),01_INPUTS!R72,0)</f>
        <v>0.025</v>
      </c>
      <c r="S272" s="91" t="n">
        <f aca="false">IF(ISNUMBER(01_INPUTS!S72),01_INPUTS!S72,0)</f>
        <v>0.025</v>
      </c>
    </row>
    <row r="273" customFormat="false" ht="15" hidden="false" customHeight="false" outlineLevel="0" collapsed="false">
      <c r="A273" s="73" t="s">
        <v>1012</v>
      </c>
      <c r="B273" s="74" t="s">
        <v>1017</v>
      </c>
      <c r="C273" s="66" t="s">
        <v>121</v>
      </c>
      <c r="D273" s="43" t="s">
        <v>89</v>
      </c>
      <c r="E273" s="75" t="s">
        <v>43</v>
      </c>
      <c r="F273" s="76"/>
      <c r="G273" s="81" t="n">
        <v>0</v>
      </c>
      <c r="H273" s="81" t="n">
        <v>0</v>
      </c>
      <c r="I273" s="82" t="n">
        <f aca="false">IFERROR(I270*I272,0)</f>
        <v>351.284390684398</v>
      </c>
      <c r="J273" s="82" t="n">
        <f aca="false">IFERROR(J270*J272,0)</f>
        <v>0</v>
      </c>
      <c r="K273" s="82" t="n">
        <f aca="false">IFERROR(K270*K272,0)</f>
        <v>0</v>
      </c>
      <c r="L273" s="82" t="n">
        <f aca="false">IFERROR(L270*L272,0)</f>
        <v>0</v>
      </c>
      <c r="M273" s="82" t="n">
        <f aca="false">IFERROR(M270*M272,0)</f>
        <v>0</v>
      </c>
      <c r="N273" s="82" t="n">
        <f aca="false">IFERROR(N270*N272,0)</f>
        <v>0</v>
      </c>
      <c r="O273" s="82" t="n">
        <f aca="false">IFERROR(O270*O272,0)</f>
        <v>0</v>
      </c>
      <c r="P273" s="82" t="n">
        <f aca="false">IFERROR(P270*P272,0)</f>
        <v>0</v>
      </c>
      <c r="Q273" s="82" t="n">
        <f aca="false">IFERROR(Q270*Q272,0)</f>
        <v>0</v>
      </c>
      <c r="R273" s="82" t="n">
        <f aca="false">IFERROR(R270*R272,0)</f>
        <v>0</v>
      </c>
      <c r="S273" s="82" t="n">
        <f aca="false">IFERROR(S270*S272,0)</f>
        <v>0</v>
      </c>
    </row>
    <row r="274" customFormat="false" ht="15" hidden="false" customHeight="false" outlineLevel="0" collapsed="false">
      <c r="A274" s="73" t="s">
        <v>1012</v>
      </c>
      <c r="B274" s="74" t="s">
        <v>1018</v>
      </c>
      <c r="C274" s="66" t="s">
        <v>121</v>
      </c>
      <c r="D274" s="43" t="s">
        <v>89</v>
      </c>
      <c r="E274" s="75" t="s">
        <v>43</v>
      </c>
      <c r="F274" s="76"/>
      <c r="G274" s="81" t="n">
        <v>0</v>
      </c>
      <c r="H274" s="81" t="n">
        <v>0</v>
      </c>
      <c r="I274" s="82" t="n">
        <f aca="false">IFERROR(IF(ISNUMBER(01_INPUTS!I64),01_INPUTS!I64,0),0)+IFERROR(I271,0)+IFERROR(I273,0)</f>
        <v>651.284390684398</v>
      </c>
      <c r="J274" s="82" t="n">
        <f aca="false">IFERROR(IF(ISNUMBER(01_INPUTS!J64),01_INPUTS!J64,0),0)+IFERROR(J271,0)+IFERROR(J273,0)</f>
        <v>300</v>
      </c>
      <c r="K274" s="82" t="n">
        <f aca="false">IFERROR(IF(ISNUMBER(01_INPUTS!K64),01_INPUTS!K64,0),0)+IFERROR(K271,0)+IFERROR(K273,0)</f>
        <v>300</v>
      </c>
      <c r="L274" s="82" t="n">
        <f aca="false">IFERROR(IF(ISNUMBER(01_INPUTS!L64),01_INPUTS!L64,0),0)+IFERROR(L271,0)+IFERROR(L273,0)</f>
        <v>300</v>
      </c>
      <c r="M274" s="82" t="n">
        <f aca="false">IFERROR(IF(ISNUMBER(01_INPUTS!M64),01_INPUTS!M64,0),0)+IFERROR(M271,0)+IFERROR(M273,0)</f>
        <v>300</v>
      </c>
      <c r="N274" s="82" t="n">
        <f aca="false">IFERROR(IF(ISNUMBER(01_INPUTS!N64),01_INPUTS!N64,0),0)+IFERROR(N271,0)+IFERROR(N273,0)</f>
        <v>300</v>
      </c>
      <c r="O274" s="82" t="n">
        <f aca="false">IFERROR(IF(ISNUMBER(01_INPUTS!O64),01_INPUTS!O64,0),0)+IFERROR(O271,0)+IFERROR(O273,0)</f>
        <v>300</v>
      </c>
      <c r="P274" s="82" t="n">
        <f aca="false">IFERROR(IF(ISNUMBER(01_INPUTS!P64),01_INPUTS!P64,0),0)+IFERROR(P271,0)+IFERROR(P273,0)</f>
        <v>300</v>
      </c>
      <c r="Q274" s="82" t="n">
        <f aca="false">IFERROR(IF(ISNUMBER(01_INPUTS!Q64),01_INPUTS!Q64,0),0)+IFERROR(Q271,0)+IFERROR(Q273,0)</f>
        <v>300</v>
      </c>
      <c r="R274" s="82" t="n">
        <f aca="false">IFERROR(IF(ISNUMBER(01_INPUTS!R64),01_INPUTS!R64,0),0)+IFERROR(R271,0)+IFERROR(R273,0)</f>
        <v>300</v>
      </c>
      <c r="S274" s="82" t="n">
        <f aca="false">IFERROR(IF(ISNUMBER(01_INPUTS!S64),01_INPUTS!S64,0),0)+IFERROR(S271,0)+IFERROR(S273,0)</f>
        <v>300</v>
      </c>
    </row>
    <row r="275" customFormat="false" ht="15" hidden="false" customHeight="false" outlineLevel="0" collapsed="false">
      <c r="A275" s="73" t="s">
        <v>1012</v>
      </c>
      <c r="B275" s="74" t="s">
        <v>1019</v>
      </c>
      <c r="C275" s="66" t="s">
        <v>121</v>
      </c>
      <c r="D275" s="43" t="s">
        <v>81</v>
      </c>
      <c r="E275" s="75" t="s">
        <v>917</v>
      </c>
      <c r="F275" s="76"/>
      <c r="G275" s="78" t="n">
        <f aca="false">G267*G274</f>
        <v>0</v>
      </c>
      <c r="H275" s="78" t="n">
        <f aca="false">H267*H274</f>
        <v>0</v>
      </c>
      <c r="I275" s="78" t="n">
        <f aca="false">I267*I274</f>
        <v>112762688.930001</v>
      </c>
      <c r="J275" s="78" t="n">
        <f aca="false">J267*J274</f>
        <v>0</v>
      </c>
      <c r="K275" s="78" t="n">
        <f aca="false">K267*K274</f>
        <v>0</v>
      </c>
      <c r="L275" s="78" t="n">
        <f aca="false">L267*L274</f>
        <v>0</v>
      </c>
      <c r="M275" s="78" t="n">
        <f aca="false">M267*M274</f>
        <v>0</v>
      </c>
      <c r="N275" s="78" t="n">
        <f aca="false">N267*N274</f>
        <v>0</v>
      </c>
      <c r="O275" s="78" t="n">
        <f aca="false">O267*O274</f>
        <v>0</v>
      </c>
      <c r="P275" s="78" t="n">
        <f aca="false">P267*P274</f>
        <v>0</v>
      </c>
      <c r="Q275" s="78" t="n">
        <f aca="false">Q267*Q274</f>
        <v>0</v>
      </c>
      <c r="R275" s="78" t="n">
        <f aca="false">R267*R274</f>
        <v>0</v>
      </c>
      <c r="S275" s="78" t="n">
        <f aca="false">S267*S274</f>
        <v>0</v>
      </c>
    </row>
    <row r="276" customFormat="false" ht="15" hidden="false" customHeight="false" outlineLevel="0" collapsed="false">
      <c r="A276" s="73" t="s">
        <v>1012</v>
      </c>
      <c r="B276" s="74" t="s">
        <v>1013</v>
      </c>
      <c r="C276" s="66" t="s">
        <v>122</v>
      </c>
      <c r="D276" s="43" t="s">
        <v>332</v>
      </c>
      <c r="E276" s="75" t="s">
        <v>43</v>
      </c>
      <c r="F276" s="76"/>
      <c r="G276" s="36" t="n">
        <f aca="false">(((IF(G49="Europa",G75,0)+IF(G50="Europa",G81,0)+IF(G51="Europa",G87,0))*(IF(G229="OK",1,0))))+(((IF(G52="Europa",G102,0)+IF(G53="Europa",G108,0)+IF(G54="Europa",G114,0))*(IF(G234="OK",1,0))))+(((IF(G55="Europa",G129,0)+IF(G56="Europa",G135,0)+IF(G57="Europa",G141,0))*(IF(G239="OK",1,0))))+(((IF(G58="Europa",G156,0)+IF(G59="Europa",G162,0)+IF(G60="Europa",G168,0))*(IF(G244="OK",1,0))))</f>
        <v>0</v>
      </c>
      <c r="H276" s="36" t="n">
        <f aca="false">(((IF(H49="Europa",H75,0)+IF(H50="Europa",H81,0)+IF(H51="Europa",H87,0))*(IF(H229="OK",1,0))))+(((IF(H52="Europa",H102,0)+IF(H53="Europa",H108,0)+IF(H54="Europa",H114,0))*(IF(H234="OK",1,0))))+(((IF(H55="Europa",H129,0)+IF(H56="Europa",H135,0)+IF(H57="Europa",H141,0))*(IF(H239="OK",1,0))))+(((IF(H58="Europa",H156,0)+IF(H59="Europa",H162,0)+IF(H60="Europa",H168,0))*(IF(H244="OK",1,0))))</f>
        <v>0</v>
      </c>
      <c r="I276" s="36" t="n">
        <f aca="false">(((IF(I49="Europa",I75,0)+IF(I50="Europa",I81,0)+IF(I51="Europa",I87,0))*(IF(I229="OK",1,0))))+(((IF(I52="Europa",I102,0)+IF(I53="Europa",I108,0)+IF(I54="Europa",I114,0))*(IF(I234="OK",1,0))))+(((IF(I55="Europa",I129,0)+IF(I56="Europa",I135,0)+IF(I57="Europa",I141,0))*(IF(I239="OK",1,0))))+(((IF(I58="Europa",I156,0)+IF(I59="Europa",I162,0)+IF(I60="Europa",I168,0))*(IF(I244="OK",1,0))))</f>
        <v>489226.402620411</v>
      </c>
      <c r="J276" s="36" t="n">
        <f aca="false">(((IF(J49="Europa",J75,0)+IF(J50="Europa",J81,0)+IF(J51="Europa",J87,0))*(IF(J229="OK",1,0))))+(((IF(J52="Europa",J102,0)+IF(J53="Europa",J108,0)+IF(J54="Europa",J114,0))*(IF(J234="OK",1,0))))+(((IF(J55="Europa",J129,0)+IF(J56="Europa",J135,0)+IF(J57="Europa",J141,0))*(IF(J239="OK",1,0))))+(((IF(J58="Europa",J156,0)+IF(J59="Europa",J162,0)+IF(J60="Europa",J168,0))*(IF(J244="OK",1,0))))</f>
        <v>0</v>
      </c>
      <c r="K276" s="36" t="n">
        <f aca="false">(((IF(K49="Europa",K75,0)+IF(K50="Europa",K81,0)+IF(K51="Europa",K87,0))*(IF(K229="OK",1,0))))+(((IF(K52="Europa",K102,0)+IF(K53="Europa",K108,0)+IF(K54="Europa",K114,0))*(IF(K234="OK",1,0))))+(((IF(K55="Europa",K129,0)+IF(K56="Europa",K135,0)+IF(K57="Europa",K141,0))*(IF(K239="OK",1,0))))+(((IF(K58="Europa",K156,0)+IF(K59="Europa",K162,0)+IF(K60="Europa",K168,0))*(IF(K244="OK",1,0))))</f>
        <v>0</v>
      </c>
      <c r="L276" s="36" t="n">
        <f aca="false">(((IF(L49="Europa",L75,0)+IF(L50="Europa",L81,0)+IF(L51="Europa",L87,0))*(IF(L229="OK",1,0))))+(((IF(L52="Europa",L102,0)+IF(L53="Europa",L108,0)+IF(L54="Europa",L114,0))*(IF(L234="OK",1,0))))+(((IF(L55="Europa",L129,0)+IF(L56="Europa",L135,0)+IF(L57="Europa",L141,0))*(IF(L239="OK",1,0))))+(((IF(L58="Europa",L156,0)+IF(L59="Europa",L162,0)+IF(L60="Europa",L168,0))*(IF(L244="OK",1,0))))</f>
        <v>0</v>
      </c>
      <c r="M276" s="36" t="n">
        <f aca="false">(((IF(M49="Europa",M75,0)+IF(M50="Europa",M81,0)+IF(M51="Europa",M87,0))*(IF(M229="OK",1,0))))+(((IF(M52="Europa",M102,0)+IF(M53="Europa",M108,0)+IF(M54="Europa",M114,0))*(IF(M234="OK",1,0))))+(((IF(M55="Europa",M129,0)+IF(M56="Europa",M135,0)+IF(M57="Europa",M141,0))*(IF(M239="OK",1,0))))+(((IF(M58="Europa",M156,0)+IF(M59="Europa",M162,0)+IF(M60="Europa",M168,0))*(IF(M244="OK",1,0))))</f>
        <v>0</v>
      </c>
      <c r="N276" s="36" t="n">
        <f aca="false">(((IF(N49="Europa",N75,0)+IF(N50="Europa",N81,0)+IF(N51="Europa",N87,0))*(IF(N229="OK",1,0))))+(((IF(N52="Europa",N102,0)+IF(N53="Europa",N108,0)+IF(N54="Europa",N114,0))*(IF(N234="OK",1,0))))+(((IF(N55="Europa",N129,0)+IF(N56="Europa",N135,0)+IF(N57="Europa",N141,0))*(IF(N239="OK",1,0))))+(((IF(N58="Europa",N156,0)+IF(N59="Europa",N162,0)+IF(N60="Europa",N168,0))*(IF(N244="OK",1,0))))</f>
        <v>0</v>
      </c>
      <c r="O276" s="36" t="n">
        <f aca="false">(((IF(O49="Europa",O75,0)+IF(O50="Europa",O81,0)+IF(O51="Europa",O87,0))*(IF(O229="OK",1,0))))+(((IF(O52="Europa",O102,0)+IF(O53="Europa",O108,0)+IF(O54="Europa",O114,0))*(IF(O234="OK",1,0))))+(((IF(O55="Europa",O129,0)+IF(O56="Europa",O135,0)+IF(O57="Europa",O141,0))*(IF(O239="OK",1,0))))+(((IF(O58="Europa",O156,0)+IF(O59="Europa",O162,0)+IF(O60="Europa",O168,0))*(IF(O244="OK",1,0))))</f>
        <v>0</v>
      </c>
      <c r="P276" s="36" t="n">
        <f aca="false">(((IF(P49="Europa",P75,0)+IF(P50="Europa",P81,0)+IF(P51="Europa",P87,0))*(IF(P229="OK",1,0))))+(((IF(P52="Europa",P102,0)+IF(P53="Europa",P108,0)+IF(P54="Europa",P114,0))*(IF(P234="OK",1,0))))+(((IF(P55="Europa",P129,0)+IF(P56="Europa",P135,0)+IF(P57="Europa",P141,0))*(IF(P239="OK",1,0))))+(((IF(P58="Europa",P156,0)+IF(P59="Europa",P162,0)+IF(P60="Europa",P168,0))*(IF(P244="OK",1,0))))</f>
        <v>0</v>
      </c>
      <c r="Q276" s="36" t="n">
        <f aca="false">(((IF(Q49="Europa",Q75,0)+IF(Q50="Europa",Q81,0)+IF(Q51="Europa",Q87,0))*(IF(Q229="OK",1,0))))+(((IF(Q52="Europa",Q102,0)+IF(Q53="Europa",Q108,0)+IF(Q54="Europa",Q114,0))*(IF(Q234="OK",1,0))))+(((IF(Q55="Europa",Q129,0)+IF(Q56="Europa",Q135,0)+IF(Q57="Europa",Q141,0))*(IF(Q239="OK",1,0))))+(((IF(Q58="Europa",Q156,0)+IF(Q59="Europa",Q162,0)+IF(Q60="Europa",Q168,0))*(IF(Q244="OK",1,0))))</f>
        <v>0</v>
      </c>
      <c r="R276" s="36" t="n">
        <f aca="false">(((IF(R49="Europa",R75,0)+IF(R50="Europa",R81,0)+IF(R51="Europa",R87,0))*(IF(R229="OK",1,0))))+(((IF(R52="Europa",R102,0)+IF(R53="Europa",R108,0)+IF(R54="Europa",R114,0))*(IF(R234="OK",1,0))))+(((IF(R55="Europa",R129,0)+IF(R56="Europa",R135,0)+IF(R57="Europa",R141,0))*(IF(R239="OK",1,0))))+(((IF(R58="Europa",R156,0)+IF(R59="Europa",R162,0)+IF(R60="Europa",R168,0))*(IF(R244="OK",1,0))))</f>
        <v>0</v>
      </c>
      <c r="S276" s="36" t="n">
        <f aca="false">(((IF(S49="Europa",S75,0)+IF(S50="Europa",S81,0)+IF(S51="Europa",S87,0))*(IF(S229="OK",1,0))))+(((IF(S52="Europa",S102,0)+IF(S53="Europa",S108,0)+IF(S54="Europa",S114,0))*(IF(S234="OK",1,0))))+(((IF(S55="Europa",S129,0)+IF(S56="Europa",S135,0)+IF(S57="Europa",S141,0))*(IF(S239="OK",1,0))))+(((IF(S58="Europa",S156,0)+IF(S59="Europa",S162,0)+IF(S60="Europa",S168,0))*(IF(S244="OK",1,0))))</f>
        <v>0</v>
      </c>
    </row>
    <row r="277" customFormat="false" ht="15" hidden="false" customHeight="false" outlineLevel="0" collapsed="false">
      <c r="A277" s="73" t="s">
        <v>1012</v>
      </c>
      <c r="B277" s="74" t="s">
        <v>1014</v>
      </c>
      <c r="C277" s="66" t="s">
        <v>122</v>
      </c>
      <c r="D277" s="43" t="s">
        <v>89</v>
      </c>
      <c r="E277" s="75" t="s">
        <v>43</v>
      </c>
      <c r="F277" s="76"/>
      <c r="G277" s="82" t="n">
        <f aca="false">IFERROR(((((IF(G49="Europa",G75,0)+IF(G50="Europa",G81,0)+IF(G51="Europa",G87,0))*(IF(G229="OK",1,0))))*_ENGINE_PRODUCCION!G57+(((IF(G52="Europa",G102,0)+IF(G53="Europa",G108,0)+IF(G54="Europa",G114,0))*(IF(G234="OK",1,0))))*_ENGINE_PRODUCCION!G62+(((IF(G55="Europa",G129,0)+IF(G56="Europa",G135,0)+IF(G57="Europa",G141,0))*(IF(G239="OK",1,0))))*_ENGINE_PRODUCCION!G67+(((IF(G58="Europa",G156,0)+IF(G59="Europa",G162,0)+IF(G60="Europa",G168,0))*(IF(G244="OK",1,0))))*_ENGINE_PRODUCCION!G72)/G276,0)</f>
        <v>0</v>
      </c>
      <c r="H277" s="82" t="n">
        <f aca="false">IFERROR(((((IF(H49="Europa",H75,0)+IF(H50="Europa",H81,0)+IF(H51="Europa",H87,0))*(IF(H229="OK",1,0))))*_ENGINE_PRODUCCION!H57+(((IF(H52="Europa",H102,0)+IF(H53="Europa",H108,0)+IF(H54="Europa",H114,0))*(IF(H234="OK",1,0))))*_ENGINE_PRODUCCION!H62+(((IF(H55="Europa",H129,0)+IF(H56="Europa",H135,0)+IF(H57="Europa",H141,0))*(IF(H239="OK",1,0))))*_ENGINE_PRODUCCION!H67+(((IF(H58="Europa",H156,0)+IF(H59="Europa",H162,0)+IF(H60="Europa",H168,0))*(IF(H244="OK",1,0))))*_ENGINE_PRODUCCION!H72)/H276,0)</f>
        <v>0</v>
      </c>
      <c r="I277" s="82" t="n">
        <f aca="false">IFERROR(((((IF(I49="Europa",I75,0)+IF(I50="Europa",I81,0)+IF(I51="Europa",I87,0))*(IF(I229="OK",1,0))))*_ENGINE_PRODUCCION!I57+(((IF(I52="Europa",I102,0)+IF(I53="Europa",I108,0)+IF(I54="Europa",I114,0))*(IF(I234="OK",1,0))))*_ENGINE_PRODUCCION!I62+(((IF(I55="Europa",I129,0)+IF(I56="Europa",I135,0)+IF(I57="Europa",I141,0))*(IF(I239="OK",1,0))))*_ENGINE_PRODUCCION!I67+(((IF(I58="Europa",I156,0)+IF(I59="Europa",I162,0)+IF(I60="Europa",I168,0))*(IF(I244="OK",1,0))))*_ENGINE_PRODUCCION!I72)/I276,0)</f>
        <v>12886.5036334049</v>
      </c>
      <c r="J277" s="82" t="n">
        <f aca="false">IFERROR(((((IF(J49="Europa",J75,0)+IF(J50="Europa",J81,0)+IF(J51="Europa",J87,0))*(IF(J229="OK",1,0))))*_ENGINE_PRODUCCION!J57+(((IF(J52="Europa",J102,0)+IF(J53="Europa",J108,0)+IF(J54="Europa",J114,0))*(IF(J234="OK",1,0))))*_ENGINE_PRODUCCION!J62+(((IF(J55="Europa",J129,0)+IF(J56="Europa",J135,0)+IF(J57="Europa",J141,0))*(IF(J239="OK",1,0))))*_ENGINE_PRODUCCION!J67+(((IF(J58="Europa",J156,0)+IF(J59="Europa",J162,0)+IF(J60="Europa",J168,0))*(IF(J244="OK",1,0))))*_ENGINE_PRODUCCION!J72)/J276,0)</f>
        <v>0</v>
      </c>
      <c r="K277" s="82" t="n">
        <f aca="false">IFERROR(((((IF(K49="Europa",K75,0)+IF(K50="Europa",K81,0)+IF(K51="Europa",K87,0))*(IF(K229="OK",1,0))))*_ENGINE_PRODUCCION!K57+(((IF(K52="Europa",K102,0)+IF(K53="Europa",K108,0)+IF(K54="Europa",K114,0))*(IF(K234="OK",1,0))))*_ENGINE_PRODUCCION!K62+(((IF(K55="Europa",K129,0)+IF(K56="Europa",K135,0)+IF(K57="Europa",K141,0))*(IF(K239="OK",1,0))))*_ENGINE_PRODUCCION!K67+(((IF(K58="Europa",K156,0)+IF(K59="Europa",K162,0)+IF(K60="Europa",K168,0))*(IF(K244="OK",1,0))))*_ENGINE_PRODUCCION!K72)/K276,0)</f>
        <v>0</v>
      </c>
      <c r="L277" s="82" t="n">
        <f aca="false">IFERROR(((((IF(L49="Europa",L75,0)+IF(L50="Europa",L81,0)+IF(L51="Europa",L87,0))*(IF(L229="OK",1,0))))*_ENGINE_PRODUCCION!L57+(((IF(L52="Europa",L102,0)+IF(L53="Europa",L108,0)+IF(L54="Europa",L114,0))*(IF(L234="OK",1,0))))*_ENGINE_PRODUCCION!L62+(((IF(L55="Europa",L129,0)+IF(L56="Europa",L135,0)+IF(L57="Europa",L141,0))*(IF(L239="OK",1,0))))*_ENGINE_PRODUCCION!L67+(((IF(L58="Europa",L156,0)+IF(L59="Europa",L162,0)+IF(L60="Europa",L168,0))*(IF(L244="OK",1,0))))*_ENGINE_PRODUCCION!L72)/L276,0)</f>
        <v>0</v>
      </c>
      <c r="M277" s="82" t="n">
        <f aca="false">IFERROR(((((IF(M49="Europa",M75,0)+IF(M50="Europa",M81,0)+IF(M51="Europa",M87,0))*(IF(M229="OK",1,0))))*_ENGINE_PRODUCCION!M57+(((IF(M52="Europa",M102,0)+IF(M53="Europa",M108,0)+IF(M54="Europa",M114,0))*(IF(M234="OK",1,0))))*_ENGINE_PRODUCCION!M62+(((IF(M55="Europa",M129,0)+IF(M56="Europa",M135,0)+IF(M57="Europa",M141,0))*(IF(M239="OK",1,0))))*_ENGINE_PRODUCCION!M67+(((IF(M58="Europa",M156,0)+IF(M59="Europa",M162,0)+IF(M60="Europa",M168,0))*(IF(M244="OK",1,0))))*_ENGINE_PRODUCCION!M72)/M276,0)</f>
        <v>0</v>
      </c>
      <c r="N277" s="82" t="n">
        <f aca="false">IFERROR(((((IF(N49="Europa",N75,0)+IF(N50="Europa",N81,0)+IF(N51="Europa",N87,0))*(IF(N229="OK",1,0))))*_ENGINE_PRODUCCION!N57+(((IF(N52="Europa",N102,0)+IF(N53="Europa",N108,0)+IF(N54="Europa",N114,0))*(IF(N234="OK",1,0))))*_ENGINE_PRODUCCION!N62+(((IF(N55="Europa",N129,0)+IF(N56="Europa",N135,0)+IF(N57="Europa",N141,0))*(IF(N239="OK",1,0))))*_ENGINE_PRODUCCION!N67+(((IF(N58="Europa",N156,0)+IF(N59="Europa",N162,0)+IF(N60="Europa",N168,0))*(IF(N244="OK",1,0))))*_ENGINE_PRODUCCION!N72)/N276,0)</f>
        <v>0</v>
      </c>
      <c r="O277" s="82" t="n">
        <f aca="false">IFERROR(((((IF(O49="Europa",O75,0)+IF(O50="Europa",O81,0)+IF(O51="Europa",O87,0))*(IF(O229="OK",1,0))))*_ENGINE_PRODUCCION!O57+(((IF(O52="Europa",O102,0)+IF(O53="Europa",O108,0)+IF(O54="Europa",O114,0))*(IF(O234="OK",1,0))))*_ENGINE_PRODUCCION!O62+(((IF(O55="Europa",O129,0)+IF(O56="Europa",O135,0)+IF(O57="Europa",O141,0))*(IF(O239="OK",1,0))))*_ENGINE_PRODUCCION!O67+(((IF(O58="Europa",O156,0)+IF(O59="Europa",O162,0)+IF(O60="Europa",O168,0))*(IF(O244="OK",1,0))))*_ENGINE_PRODUCCION!O72)/O276,0)</f>
        <v>0</v>
      </c>
      <c r="P277" s="82" t="n">
        <f aca="false">IFERROR(((((IF(P49="Europa",P75,0)+IF(P50="Europa",P81,0)+IF(P51="Europa",P87,0))*(IF(P229="OK",1,0))))*_ENGINE_PRODUCCION!P57+(((IF(P52="Europa",P102,0)+IF(P53="Europa",P108,0)+IF(P54="Europa",P114,0))*(IF(P234="OK",1,0))))*_ENGINE_PRODUCCION!P62+(((IF(P55="Europa",P129,0)+IF(P56="Europa",P135,0)+IF(P57="Europa",P141,0))*(IF(P239="OK",1,0))))*_ENGINE_PRODUCCION!P67+(((IF(P58="Europa",P156,0)+IF(P59="Europa",P162,0)+IF(P60="Europa",P168,0))*(IF(P244="OK",1,0))))*_ENGINE_PRODUCCION!P72)/P276,0)</f>
        <v>0</v>
      </c>
      <c r="Q277" s="82" t="n">
        <f aca="false">IFERROR(((((IF(Q49="Europa",Q75,0)+IF(Q50="Europa",Q81,0)+IF(Q51="Europa",Q87,0))*(IF(Q229="OK",1,0))))*_ENGINE_PRODUCCION!Q57+(((IF(Q52="Europa",Q102,0)+IF(Q53="Europa",Q108,0)+IF(Q54="Europa",Q114,0))*(IF(Q234="OK",1,0))))*_ENGINE_PRODUCCION!Q62+(((IF(Q55="Europa",Q129,0)+IF(Q56="Europa",Q135,0)+IF(Q57="Europa",Q141,0))*(IF(Q239="OK",1,0))))*_ENGINE_PRODUCCION!Q67+(((IF(Q58="Europa",Q156,0)+IF(Q59="Europa",Q162,0)+IF(Q60="Europa",Q168,0))*(IF(Q244="OK",1,0))))*_ENGINE_PRODUCCION!Q72)/Q276,0)</f>
        <v>0</v>
      </c>
      <c r="R277" s="82" t="n">
        <f aca="false">IFERROR(((((IF(R49="Europa",R75,0)+IF(R50="Europa",R81,0)+IF(R51="Europa",R87,0))*(IF(R229="OK",1,0))))*_ENGINE_PRODUCCION!R57+(((IF(R52="Europa",R102,0)+IF(R53="Europa",R108,0)+IF(R54="Europa",R114,0))*(IF(R234="OK",1,0))))*_ENGINE_PRODUCCION!R62+(((IF(R55="Europa",R129,0)+IF(R56="Europa",R135,0)+IF(R57="Europa",R141,0))*(IF(R239="OK",1,0))))*_ENGINE_PRODUCCION!R67+(((IF(R58="Europa",R156,0)+IF(R59="Europa",R162,0)+IF(R60="Europa",R168,0))*(IF(R244="OK",1,0))))*_ENGINE_PRODUCCION!R72)/R276,0)</f>
        <v>0</v>
      </c>
      <c r="S277" s="82" t="n">
        <f aca="false">IFERROR(((((IF(S49="Europa",S75,0)+IF(S50="Europa",S81,0)+IF(S51="Europa",S87,0))*(IF(S229="OK",1,0))))*_ENGINE_PRODUCCION!S57+(((IF(S52="Europa",S102,0)+IF(S53="Europa",S108,0)+IF(S54="Europa",S114,0))*(IF(S234="OK",1,0))))*_ENGINE_PRODUCCION!S62+(((IF(S55="Europa",S129,0)+IF(S56="Europa",S135,0)+IF(S57="Europa",S141,0))*(IF(S239="OK",1,0))))*_ENGINE_PRODUCCION!S67+(((IF(S58="Europa",S156,0)+IF(S59="Europa",S162,0)+IF(S60="Europa",S168,0))*(IF(S244="OK",1,0))))*_ENGINE_PRODUCCION!S72)/S276,0)</f>
        <v>0</v>
      </c>
    </row>
    <row r="278" customFormat="false" ht="15" hidden="false" customHeight="false" outlineLevel="0" collapsed="false">
      <c r="A278" s="73" t="s">
        <v>1012</v>
      </c>
      <c r="B278" s="74" t="s">
        <v>1015</v>
      </c>
      <c r="C278" s="66" t="s">
        <v>122</v>
      </c>
      <c r="D278" s="43" t="s">
        <v>319</v>
      </c>
      <c r="E278" s="75" t="s">
        <v>43</v>
      </c>
      <c r="F278" s="76"/>
      <c r="G278" s="48" t="s">
        <v>336</v>
      </c>
      <c r="H278" s="48" t="s">
        <v>336</v>
      </c>
      <c r="I278" s="80" t="n">
        <f aca="false">01_INPUTS!I264</f>
        <v>1</v>
      </c>
      <c r="J278" s="80" t="n">
        <f aca="false">01_INPUTS!J264</f>
        <v>0</v>
      </c>
      <c r="K278" s="80" t="n">
        <f aca="false">01_INPUTS!K264</f>
        <v>0</v>
      </c>
      <c r="L278" s="80" t="n">
        <f aca="false">01_INPUTS!L264</f>
        <v>0</v>
      </c>
      <c r="M278" s="80" t="n">
        <f aca="false">01_INPUTS!M264</f>
        <v>0</v>
      </c>
      <c r="N278" s="80" t="n">
        <f aca="false">01_INPUTS!N264</f>
        <v>0</v>
      </c>
      <c r="O278" s="80" t="n">
        <f aca="false">01_INPUTS!O264</f>
        <v>0</v>
      </c>
      <c r="P278" s="80" t="n">
        <f aca="false">01_INPUTS!P264</f>
        <v>0</v>
      </c>
      <c r="Q278" s="80" t="n">
        <f aca="false">01_INPUTS!Q264</f>
        <v>0</v>
      </c>
      <c r="R278" s="80" t="n">
        <f aca="false">01_INPUTS!R264</f>
        <v>0</v>
      </c>
      <c r="S278" s="80" t="n">
        <f aca="false">01_INPUTS!S264</f>
        <v>0</v>
      </c>
    </row>
    <row r="279" customFormat="false" ht="15" hidden="false" customHeight="false" outlineLevel="0" collapsed="false">
      <c r="A279" s="73" t="s">
        <v>1012</v>
      </c>
      <c r="B279" s="74" t="s">
        <v>1016</v>
      </c>
      <c r="C279" s="66" t="s">
        <v>122</v>
      </c>
      <c r="D279" s="43" t="s">
        <v>89</v>
      </c>
      <c r="E279" s="75" t="s">
        <v>43</v>
      </c>
      <c r="F279" s="76"/>
      <c r="G279" s="48" t="s">
        <v>336</v>
      </c>
      <c r="H279" s="48" t="s">
        <v>336</v>
      </c>
      <c r="I279" s="82" t="n">
        <f aca="false">I277*I278</f>
        <v>12886.5036334049</v>
      </c>
      <c r="J279" s="82" t="n">
        <f aca="false">J277*J278</f>
        <v>0</v>
      </c>
      <c r="K279" s="82" t="n">
        <f aca="false">K277*K278</f>
        <v>0</v>
      </c>
      <c r="L279" s="82" t="n">
        <f aca="false">L277*L278</f>
        <v>0</v>
      </c>
      <c r="M279" s="82" t="n">
        <f aca="false">M277*M278</f>
        <v>0</v>
      </c>
      <c r="N279" s="82" t="n">
        <f aca="false">N277*N278</f>
        <v>0</v>
      </c>
      <c r="O279" s="82" t="n">
        <f aca="false">O277*O278</f>
        <v>0</v>
      </c>
      <c r="P279" s="82" t="n">
        <f aca="false">P277*P278</f>
        <v>0</v>
      </c>
      <c r="Q279" s="82" t="n">
        <f aca="false">Q277*Q278</f>
        <v>0</v>
      </c>
      <c r="R279" s="82" t="n">
        <f aca="false">R277*R278</f>
        <v>0</v>
      </c>
      <c r="S279" s="82" t="n">
        <f aca="false">S277*S278</f>
        <v>0</v>
      </c>
    </row>
    <row r="280" customFormat="false" ht="15" hidden="false" customHeight="false" outlineLevel="0" collapsed="false">
      <c r="A280" s="73" t="s">
        <v>1012</v>
      </c>
      <c r="B280" s="74" t="s">
        <v>123</v>
      </c>
      <c r="C280" s="66" t="s">
        <v>122</v>
      </c>
      <c r="D280" s="43" t="s">
        <v>89</v>
      </c>
      <c r="E280" s="75" t="s">
        <v>43</v>
      </c>
      <c r="F280" s="76"/>
      <c r="G280" s="84" t="n">
        <f aca="false">IF(ISNUMBER(01_INPUTS!G69),01_INPUTS!G69,0)</f>
        <v>0</v>
      </c>
      <c r="H280" s="84" t="n">
        <f aca="false">IF(ISNUMBER(01_INPUTS!H69),01_INPUTS!H69,0)</f>
        <v>0</v>
      </c>
      <c r="I280" s="84" t="n">
        <f aca="false">IF(ISNUMBER(01_INPUTS!I69),01_INPUTS!I69,0)</f>
        <v>0</v>
      </c>
      <c r="J280" s="84" t="n">
        <f aca="false">IF(ISNUMBER(01_INPUTS!J69),01_INPUTS!J69,0)</f>
        <v>0</v>
      </c>
      <c r="K280" s="84" t="n">
        <f aca="false">IF(ISNUMBER(01_INPUTS!K69),01_INPUTS!K69,0)</f>
        <v>0</v>
      </c>
      <c r="L280" s="84" t="n">
        <f aca="false">IF(ISNUMBER(01_INPUTS!L69),01_INPUTS!L69,0)</f>
        <v>0</v>
      </c>
      <c r="M280" s="84" t="n">
        <f aca="false">IF(ISNUMBER(01_INPUTS!M69),01_INPUTS!M69,0)</f>
        <v>0</v>
      </c>
      <c r="N280" s="84" t="n">
        <f aca="false">IF(ISNUMBER(01_INPUTS!N69),01_INPUTS!N69,0)</f>
        <v>0</v>
      </c>
      <c r="O280" s="84" t="n">
        <f aca="false">IF(ISNUMBER(01_INPUTS!O69),01_INPUTS!O69,0)</f>
        <v>0</v>
      </c>
      <c r="P280" s="84" t="n">
        <f aca="false">IF(ISNUMBER(01_INPUTS!P69),01_INPUTS!P69,0)</f>
        <v>0</v>
      </c>
      <c r="Q280" s="84" t="n">
        <f aca="false">IF(ISNUMBER(01_INPUTS!Q69),01_INPUTS!Q69,0)</f>
        <v>0</v>
      </c>
      <c r="R280" s="84" t="n">
        <f aca="false">IF(ISNUMBER(01_INPUTS!R69),01_INPUTS!R69,0)</f>
        <v>0</v>
      </c>
      <c r="S280" s="84" t="n">
        <f aca="false">IF(ISNUMBER(01_INPUTS!S69),01_INPUTS!S69,0)</f>
        <v>0</v>
      </c>
    </row>
    <row r="281" customFormat="false" ht="15" hidden="false" customHeight="false" outlineLevel="0" collapsed="false">
      <c r="A281" s="73" t="s">
        <v>1012</v>
      </c>
      <c r="B281" s="74" t="s">
        <v>124</v>
      </c>
      <c r="C281" s="66" t="s">
        <v>122</v>
      </c>
      <c r="D281" s="43" t="s">
        <v>42</v>
      </c>
      <c r="E281" s="75" t="s">
        <v>43</v>
      </c>
      <c r="F281" s="76"/>
      <c r="G281" s="91" t="n">
        <f aca="false">IF(ISNUMBER(01_INPUTS!G73),01_INPUTS!G73,0)</f>
        <v>0</v>
      </c>
      <c r="H281" s="91" t="n">
        <f aca="false">IF(ISNUMBER(01_INPUTS!H73),01_INPUTS!H73,0)</f>
        <v>0.2</v>
      </c>
      <c r="I281" s="91" t="n">
        <f aca="false">IF(ISNUMBER(01_INPUTS!I73),01_INPUTS!I73,0)</f>
        <v>0.1</v>
      </c>
      <c r="J281" s="91" t="n">
        <f aca="false">IF(ISNUMBER(01_INPUTS!J73),01_INPUTS!J73,0)</f>
        <v>0.1</v>
      </c>
      <c r="K281" s="91" t="n">
        <f aca="false">IF(ISNUMBER(01_INPUTS!K73),01_INPUTS!K73,0)</f>
        <v>0.1</v>
      </c>
      <c r="L281" s="91" t="n">
        <f aca="false">IF(ISNUMBER(01_INPUTS!L73),01_INPUTS!L73,0)</f>
        <v>0.1</v>
      </c>
      <c r="M281" s="91" t="n">
        <f aca="false">IF(ISNUMBER(01_INPUTS!M73),01_INPUTS!M73,0)</f>
        <v>0.1</v>
      </c>
      <c r="N281" s="91" t="n">
        <f aca="false">IF(ISNUMBER(01_INPUTS!N73),01_INPUTS!N73,0)</f>
        <v>0.1</v>
      </c>
      <c r="O281" s="91" t="n">
        <f aca="false">IF(ISNUMBER(01_INPUTS!O73),01_INPUTS!O73,0)</f>
        <v>0.1</v>
      </c>
      <c r="P281" s="91" t="n">
        <f aca="false">IF(ISNUMBER(01_INPUTS!P73),01_INPUTS!P73,0)</f>
        <v>0.1</v>
      </c>
      <c r="Q281" s="91" t="n">
        <f aca="false">IF(ISNUMBER(01_INPUTS!Q73),01_INPUTS!Q73,0)</f>
        <v>0.1</v>
      </c>
      <c r="R281" s="91" t="n">
        <f aca="false">IF(ISNUMBER(01_INPUTS!R73),01_INPUTS!R73,0)</f>
        <v>0.1</v>
      </c>
      <c r="S281" s="91" t="n">
        <f aca="false">IF(ISNUMBER(01_INPUTS!S73),01_INPUTS!S73,0)</f>
        <v>0.1</v>
      </c>
    </row>
    <row r="282" customFormat="false" ht="15" hidden="false" customHeight="false" outlineLevel="0" collapsed="false">
      <c r="A282" s="73" t="s">
        <v>1012</v>
      </c>
      <c r="B282" s="74" t="s">
        <v>1017</v>
      </c>
      <c r="C282" s="66" t="s">
        <v>122</v>
      </c>
      <c r="D282" s="43" t="s">
        <v>89</v>
      </c>
      <c r="E282" s="75" t="s">
        <v>43</v>
      </c>
      <c r="F282" s="76"/>
      <c r="G282" s="81" t="n">
        <v>0</v>
      </c>
      <c r="H282" s="81" t="n">
        <v>0</v>
      </c>
      <c r="I282" s="82" t="n">
        <f aca="false">IFERROR(I279*I281,0)</f>
        <v>1288.65036334049</v>
      </c>
      <c r="J282" s="82" t="n">
        <f aca="false">IFERROR(J279*J281,0)</f>
        <v>0</v>
      </c>
      <c r="K282" s="82" t="n">
        <f aca="false">IFERROR(K279*K281,0)</f>
        <v>0</v>
      </c>
      <c r="L282" s="82" t="n">
        <f aca="false">IFERROR(L279*L281,0)</f>
        <v>0</v>
      </c>
      <c r="M282" s="82" t="n">
        <f aca="false">IFERROR(M279*M281,0)</f>
        <v>0</v>
      </c>
      <c r="N282" s="82" t="n">
        <f aca="false">IFERROR(N279*N281,0)</f>
        <v>0</v>
      </c>
      <c r="O282" s="82" t="n">
        <f aca="false">IFERROR(O279*O281,0)</f>
        <v>0</v>
      </c>
      <c r="P282" s="82" t="n">
        <f aca="false">IFERROR(P279*P281,0)</f>
        <v>0</v>
      </c>
      <c r="Q282" s="82" t="n">
        <f aca="false">IFERROR(Q279*Q281,0)</f>
        <v>0</v>
      </c>
      <c r="R282" s="82" t="n">
        <f aca="false">IFERROR(R279*R281,0)</f>
        <v>0</v>
      </c>
      <c r="S282" s="82" t="n">
        <f aca="false">IFERROR(S279*S281,0)</f>
        <v>0</v>
      </c>
    </row>
    <row r="283" customFormat="false" ht="15" hidden="false" customHeight="false" outlineLevel="0" collapsed="false">
      <c r="A283" s="73" t="s">
        <v>1012</v>
      </c>
      <c r="B283" s="74" t="s">
        <v>1018</v>
      </c>
      <c r="C283" s="66" t="s">
        <v>122</v>
      </c>
      <c r="D283" s="43" t="s">
        <v>89</v>
      </c>
      <c r="E283" s="75" t="s">
        <v>43</v>
      </c>
      <c r="F283" s="76"/>
      <c r="G283" s="81" t="n">
        <v>0</v>
      </c>
      <c r="H283" s="81" t="n">
        <v>0</v>
      </c>
      <c r="I283" s="82" t="n">
        <f aca="false">IFERROR(IF(ISNUMBER(01_INPUTS!I65),01_INPUTS!I65,0),0)+IFERROR(I280,0)+IFERROR(I282,0)</f>
        <v>1538.65036334049</v>
      </c>
      <c r="J283" s="82" t="n">
        <f aca="false">IFERROR(IF(ISNUMBER(01_INPUTS!J65),01_INPUTS!J65,0),0)+IFERROR(J280,0)+IFERROR(J282,0)</f>
        <v>250</v>
      </c>
      <c r="K283" s="82" t="n">
        <f aca="false">IFERROR(IF(ISNUMBER(01_INPUTS!K65),01_INPUTS!K65,0),0)+IFERROR(K280,0)+IFERROR(K282,0)</f>
        <v>250</v>
      </c>
      <c r="L283" s="82" t="n">
        <f aca="false">IFERROR(IF(ISNUMBER(01_INPUTS!L65),01_INPUTS!L65,0),0)+IFERROR(L280,0)+IFERROR(L282,0)</f>
        <v>250</v>
      </c>
      <c r="M283" s="82" t="n">
        <f aca="false">IFERROR(IF(ISNUMBER(01_INPUTS!M65),01_INPUTS!M65,0),0)+IFERROR(M280,0)+IFERROR(M282,0)</f>
        <v>250</v>
      </c>
      <c r="N283" s="82" t="n">
        <f aca="false">IFERROR(IF(ISNUMBER(01_INPUTS!N65),01_INPUTS!N65,0),0)+IFERROR(N280,0)+IFERROR(N282,0)</f>
        <v>250</v>
      </c>
      <c r="O283" s="82" t="n">
        <f aca="false">IFERROR(IF(ISNUMBER(01_INPUTS!O65),01_INPUTS!O65,0),0)+IFERROR(O280,0)+IFERROR(O282,0)</f>
        <v>250</v>
      </c>
      <c r="P283" s="82" t="n">
        <f aca="false">IFERROR(IF(ISNUMBER(01_INPUTS!P65),01_INPUTS!P65,0),0)+IFERROR(P280,0)+IFERROR(P282,0)</f>
        <v>250</v>
      </c>
      <c r="Q283" s="82" t="n">
        <f aca="false">IFERROR(IF(ISNUMBER(01_INPUTS!Q65),01_INPUTS!Q65,0),0)+IFERROR(Q280,0)+IFERROR(Q282,0)</f>
        <v>250</v>
      </c>
      <c r="R283" s="82" t="n">
        <f aca="false">IFERROR(IF(ISNUMBER(01_INPUTS!R65),01_INPUTS!R65,0),0)+IFERROR(R280,0)+IFERROR(R282,0)</f>
        <v>250</v>
      </c>
      <c r="S283" s="82" t="n">
        <f aca="false">IFERROR(IF(ISNUMBER(01_INPUTS!S65),01_INPUTS!S65,0),0)+IFERROR(S280,0)+IFERROR(S282,0)</f>
        <v>250</v>
      </c>
    </row>
    <row r="284" customFormat="false" ht="15" hidden="false" customHeight="false" outlineLevel="0" collapsed="false">
      <c r="A284" s="73" t="s">
        <v>1012</v>
      </c>
      <c r="B284" s="74" t="s">
        <v>1019</v>
      </c>
      <c r="C284" s="66" t="s">
        <v>122</v>
      </c>
      <c r="D284" s="43" t="s">
        <v>81</v>
      </c>
      <c r="E284" s="75" t="s">
        <v>917</v>
      </c>
      <c r="F284" s="76"/>
      <c r="G284" s="78" t="n">
        <f aca="false">G276*G283</f>
        <v>0</v>
      </c>
      <c r="H284" s="78" t="n">
        <f aca="false">H276*H283</f>
        <v>0</v>
      </c>
      <c r="I284" s="78" t="n">
        <f aca="false">I276*I283</f>
        <v>752748382.147655</v>
      </c>
      <c r="J284" s="78" t="n">
        <f aca="false">J276*J283</f>
        <v>0</v>
      </c>
      <c r="K284" s="78" t="n">
        <f aca="false">K276*K283</f>
        <v>0</v>
      </c>
      <c r="L284" s="78" t="n">
        <f aca="false">L276*L283</f>
        <v>0</v>
      </c>
      <c r="M284" s="78" t="n">
        <f aca="false">M276*M283</f>
        <v>0</v>
      </c>
      <c r="N284" s="78" t="n">
        <f aca="false">N276*N283</f>
        <v>0</v>
      </c>
      <c r="O284" s="78" t="n">
        <f aca="false">O276*O283</f>
        <v>0</v>
      </c>
      <c r="P284" s="78" t="n">
        <f aca="false">P276*P283</f>
        <v>0</v>
      </c>
      <c r="Q284" s="78" t="n">
        <f aca="false">Q276*Q283</f>
        <v>0</v>
      </c>
      <c r="R284" s="78" t="n">
        <f aca="false">R276*R283</f>
        <v>0</v>
      </c>
      <c r="S284" s="78" t="n">
        <f aca="false">S276*S283</f>
        <v>0</v>
      </c>
    </row>
  </sheetData>
  <mergeCells count="7">
    <mergeCell ref="A1:S1"/>
    <mergeCell ref="A4:S4"/>
    <mergeCell ref="A12:S12"/>
    <mergeCell ref="A26:S26"/>
    <mergeCell ref="A36:S36"/>
    <mergeCell ref="A186:S186"/>
    <mergeCell ref="A248:S2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true" outlineLevel="0" max="1" min="1" style="0" width="16"/>
    <col collapsed="false" customWidth="true" hidden="false" outlineLevel="0" max="2" min="2" style="0" width="48"/>
    <col collapsed="false" customWidth="true" hidden="false" outlineLevel="0" max="3" min="3" style="0" width="14"/>
    <col collapsed="false" customWidth="true" hidden="false" outlineLevel="0" max="4" min="4" style="0" width="10"/>
    <col collapsed="false" customWidth="true" hidden="true" outlineLevel="0" max="5" min="5" style="0" width="14"/>
    <col collapsed="false" customWidth="true" hidden="true" outlineLevel="0" max="6" min="6" style="0" width="34"/>
    <col collapsed="false" customWidth="true" hidden="false" outlineLevel="0" max="19" min="7" style="0" width="13"/>
  </cols>
  <sheetData>
    <row r="1" customFormat="false" ht="16.15" hidden="false" customHeight="false" outlineLevel="0" collapsed="false">
      <c r="A1" s="1" t="s">
        <v>1020</v>
      </c>
      <c r="B1" s="1"/>
      <c r="C1" s="1"/>
      <c r="D1" s="1"/>
      <c r="E1" s="1"/>
      <c r="F1" s="1"/>
      <c r="G1" s="1"/>
      <c r="H1" s="1"/>
      <c r="I1" s="1"/>
      <c r="J1" s="1"/>
      <c r="K1" s="1"/>
      <c r="L1" s="1"/>
      <c r="M1" s="1"/>
      <c r="N1" s="1"/>
      <c r="O1" s="1"/>
      <c r="P1" s="1"/>
      <c r="Q1" s="1"/>
      <c r="R1" s="1"/>
      <c r="S1" s="1"/>
    </row>
    <row r="3" customFormat="false" ht="15" hidden="false" customHeight="false" outlineLevel="0" collapsed="false">
      <c r="A3" s="4" t="s">
        <v>4</v>
      </c>
      <c r="B3" s="4" t="s">
        <v>5</v>
      </c>
      <c r="C3" s="4" t="s">
        <v>6</v>
      </c>
      <c r="D3" s="4" t="s">
        <v>7</v>
      </c>
      <c r="E3" s="4" t="s">
        <v>8</v>
      </c>
      <c r="F3" s="4" t="s">
        <v>341</v>
      </c>
      <c r="G3" s="4" t="s">
        <v>252</v>
      </c>
      <c r="H3" s="4" t="s">
        <v>253</v>
      </c>
      <c r="I3" s="4" t="s">
        <v>254</v>
      </c>
      <c r="J3" s="4" t="s">
        <v>255</v>
      </c>
      <c r="K3" s="4" t="s">
        <v>256</v>
      </c>
      <c r="L3" s="4" t="s">
        <v>257</v>
      </c>
      <c r="M3" s="4" t="s">
        <v>258</v>
      </c>
      <c r="N3" s="4" t="s">
        <v>259</v>
      </c>
      <c r="O3" s="4" t="s">
        <v>260</v>
      </c>
      <c r="P3" s="4" t="s">
        <v>261</v>
      </c>
      <c r="Q3" s="4" t="s">
        <v>262</v>
      </c>
      <c r="R3" s="4" t="s">
        <v>263</v>
      </c>
      <c r="S3" s="4" t="s">
        <v>264</v>
      </c>
    </row>
    <row r="4" customFormat="false" ht="15" hidden="false" customHeight="false" outlineLevel="0" collapsed="false">
      <c r="A4" s="5" t="s">
        <v>1021</v>
      </c>
      <c r="B4" s="5"/>
      <c r="C4" s="5"/>
      <c r="D4" s="5"/>
      <c r="E4" s="5"/>
      <c r="F4" s="5"/>
      <c r="G4" s="5"/>
      <c r="H4" s="5"/>
      <c r="I4" s="5"/>
      <c r="J4" s="5"/>
      <c r="K4" s="5"/>
      <c r="L4" s="5"/>
      <c r="M4" s="5"/>
      <c r="N4" s="5"/>
      <c r="O4" s="5"/>
      <c r="P4" s="5"/>
      <c r="Q4" s="5"/>
      <c r="R4" s="5"/>
      <c r="S4" s="5"/>
    </row>
    <row r="5" customFormat="false" ht="15" hidden="false" customHeight="false" outlineLevel="0" collapsed="false">
      <c r="A5" s="73" t="s">
        <v>1022</v>
      </c>
      <c r="B5" s="74" t="s">
        <v>1023</v>
      </c>
      <c r="C5" s="66" t="s">
        <v>67</v>
      </c>
      <c r="D5" s="43" t="s">
        <v>81</v>
      </c>
      <c r="E5" s="75" t="s">
        <v>43</v>
      </c>
      <c r="F5" s="76"/>
      <c r="G5" s="36" t="n">
        <f aca="false">(_ENGINE_MERCADO!G190*(IF(ISNUMBER(01_INPUTS!G185),01_INPUTS!G185,0)*(1)))+(_ENGINE_MERCADO!G195*(IF(ISNUMBER(01_INPUTS!G189),01_INPUTS!G189,0)*(1)))+(_ENGINE_MERCADO!G200*(IF(ISNUMBER(01_INPUTS!G193),01_INPUTS!G193,0)*(1)))+(_ENGINE_MERCADO!G205*(IF(ISNUMBER(01_INPUTS!G197),01_INPUTS!G197,0)*(1)))</f>
        <v>0</v>
      </c>
      <c r="H5" s="36" t="n">
        <f aca="false">(_ENGINE_MERCADO!H190*(IF(ISNUMBER(01_INPUTS!H185),01_INPUTS!H185,0)*(1)))+(_ENGINE_MERCADO!H195*(IF(ISNUMBER(01_INPUTS!H189),01_INPUTS!H189,0)*(1)))+(_ENGINE_MERCADO!H200*(IF(ISNUMBER(01_INPUTS!H193),01_INPUTS!H193,0)*(1)))+(_ENGINE_MERCADO!H205*(IF(ISNUMBER(01_INPUTS!H197),01_INPUTS!H197,0)*(1)))</f>
        <v>0</v>
      </c>
      <c r="I5" s="36" t="n">
        <f aca="false">(_ENGINE_MERCADO!I190*(IF(ISNUMBER(01_INPUTS!I185),01_INPUTS!I185,0)*(1)))+(_ENGINE_MERCADO!I195*(IF(ISNUMBER(01_INPUTS!I189),01_INPUTS!I189,0)*(1)))+(_ENGINE_MERCADO!I200*(IF(ISNUMBER(01_INPUTS!I193),01_INPUTS!I193,0)*(1)))+(_ENGINE_MERCADO!I205*(IF(ISNUMBER(01_INPUTS!I197),01_INPUTS!I197,0)*(1)))</f>
        <v>25052171160.6711</v>
      </c>
      <c r="J5" s="36" t="n">
        <f aca="false">(_ENGINE_MERCADO!J190*(IF(ISNUMBER(01_INPUTS!J185),01_INPUTS!J185,0)*(1)))+(_ENGINE_MERCADO!J195*(IF(ISNUMBER(01_INPUTS!J189),01_INPUTS!J189,0)*(1)))+(_ENGINE_MERCADO!J200*(IF(ISNUMBER(01_INPUTS!J193),01_INPUTS!J193,0)*(1)))+(_ENGINE_MERCADO!J205*(IF(ISNUMBER(01_INPUTS!J197),01_INPUTS!J197,0)*(1)))</f>
        <v>0</v>
      </c>
      <c r="K5" s="36" t="n">
        <f aca="false">(_ENGINE_MERCADO!K190*(IF(ISNUMBER(01_INPUTS!K185),01_INPUTS!K185,0)*(1)))+(_ENGINE_MERCADO!K195*(IF(ISNUMBER(01_INPUTS!K189),01_INPUTS!K189,0)*(1)))+(_ENGINE_MERCADO!K200*(IF(ISNUMBER(01_INPUTS!K193),01_INPUTS!K193,0)*(1)))+(_ENGINE_MERCADO!K205*(IF(ISNUMBER(01_INPUTS!K197),01_INPUTS!K197,0)*(1)))</f>
        <v>0</v>
      </c>
      <c r="L5" s="36" t="n">
        <f aca="false">(_ENGINE_MERCADO!L190*(IF(ISNUMBER(01_INPUTS!L185),01_INPUTS!L185,0)*(1)))+(_ENGINE_MERCADO!L195*(IF(ISNUMBER(01_INPUTS!L189),01_INPUTS!L189,0)*(1)))+(_ENGINE_MERCADO!L200*(IF(ISNUMBER(01_INPUTS!L193),01_INPUTS!L193,0)*(1)))+(_ENGINE_MERCADO!L205*(IF(ISNUMBER(01_INPUTS!L197),01_INPUTS!L197,0)*(1)))</f>
        <v>0</v>
      </c>
      <c r="M5" s="36" t="n">
        <f aca="false">(_ENGINE_MERCADO!M190*(IF(ISNUMBER(01_INPUTS!M185),01_INPUTS!M185,0)*(1)))+(_ENGINE_MERCADO!M195*(IF(ISNUMBER(01_INPUTS!M189),01_INPUTS!M189,0)*(1)))+(_ENGINE_MERCADO!M200*(IF(ISNUMBER(01_INPUTS!M193),01_INPUTS!M193,0)*(1)))+(_ENGINE_MERCADO!M205*(IF(ISNUMBER(01_INPUTS!M197),01_INPUTS!M197,0)*(1)))</f>
        <v>0</v>
      </c>
      <c r="N5" s="36" t="n">
        <f aca="false">(_ENGINE_MERCADO!N190*(IF(ISNUMBER(01_INPUTS!N185),01_INPUTS!N185,0)*(1)))+(_ENGINE_MERCADO!N195*(IF(ISNUMBER(01_INPUTS!N189),01_INPUTS!N189,0)*(1)))+(_ENGINE_MERCADO!N200*(IF(ISNUMBER(01_INPUTS!N193),01_INPUTS!N193,0)*(1)))+(_ENGINE_MERCADO!N205*(IF(ISNUMBER(01_INPUTS!N197),01_INPUTS!N197,0)*(1)))</f>
        <v>0</v>
      </c>
      <c r="O5" s="36" t="n">
        <f aca="false">(_ENGINE_MERCADO!O190*(IF(ISNUMBER(01_INPUTS!O185),01_INPUTS!O185,0)*(1)))+(_ENGINE_MERCADO!O195*(IF(ISNUMBER(01_INPUTS!O189),01_INPUTS!O189,0)*(1)))+(_ENGINE_MERCADO!O200*(IF(ISNUMBER(01_INPUTS!O193),01_INPUTS!O193,0)*(1)))+(_ENGINE_MERCADO!O205*(IF(ISNUMBER(01_INPUTS!O197),01_INPUTS!O197,0)*(1)))</f>
        <v>0</v>
      </c>
      <c r="P5" s="36" t="n">
        <f aca="false">(_ENGINE_MERCADO!P190*(IF(ISNUMBER(01_INPUTS!P185),01_INPUTS!P185,0)*(1)))+(_ENGINE_MERCADO!P195*(IF(ISNUMBER(01_INPUTS!P189),01_INPUTS!P189,0)*(1)))+(_ENGINE_MERCADO!P200*(IF(ISNUMBER(01_INPUTS!P193),01_INPUTS!P193,0)*(1)))+(_ENGINE_MERCADO!P205*(IF(ISNUMBER(01_INPUTS!P197),01_INPUTS!P197,0)*(1)))</f>
        <v>0</v>
      </c>
      <c r="Q5" s="36" t="n">
        <f aca="false">(_ENGINE_MERCADO!Q190*(IF(ISNUMBER(01_INPUTS!Q185),01_INPUTS!Q185,0)*(1)))+(_ENGINE_MERCADO!Q195*(IF(ISNUMBER(01_INPUTS!Q189),01_INPUTS!Q189,0)*(1)))+(_ENGINE_MERCADO!Q200*(IF(ISNUMBER(01_INPUTS!Q193),01_INPUTS!Q193,0)*(1)))+(_ENGINE_MERCADO!Q205*(IF(ISNUMBER(01_INPUTS!Q197),01_INPUTS!Q197,0)*(1)))</f>
        <v>0</v>
      </c>
      <c r="R5" s="36" t="n">
        <f aca="false">(_ENGINE_MERCADO!R190*(IF(ISNUMBER(01_INPUTS!R185),01_INPUTS!R185,0)*(1)))+(_ENGINE_MERCADO!R195*(IF(ISNUMBER(01_INPUTS!R189),01_INPUTS!R189,0)*(1)))+(_ENGINE_MERCADO!R200*(IF(ISNUMBER(01_INPUTS!R193),01_INPUTS!R193,0)*(1)))+(_ENGINE_MERCADO!R205*(IF(ISNUMBER(01_INPUTS!R197),01_INPUTS!R197,0)*(1)))</f>
        <v>0</v>
      </c>
      <c r="S5" s="36" t="n">
        <f aca="false">(_ENGINE_MERCADO!S190*(IF(ISNUMBER(01_INPUTS!S185),01_INPUTS!S185,0)*(1)))+(_ENGINE_MERCADO!S195*(IF(ISNUMBER(01_INPUTS!S189),01_INPUTS!S189,0)*(1)))+(_ENGINE_MERCADO!S200*(IF(ISNUMBER(01_INPUTS!S193),01_INPUTS!S193,0)*(1)))+(_ENGINE_MERCADO!S205*(IF(ISNUMBER(01_INPUTS!S197),01_INPUTS!S197,0)*(1)))</f>
        <v>0</v>
      </c>
    </row>
    <row r="6" customFormat="false" ht="15" hidden="false" customHeight="false" outlineLevel="0" collapsed="false">
      <c r="A6" s="73" t="s">
        <v>1022</v>
      </c>
      <c r="B6" s="74" t="s">
        <v>1024</v>
      </c>
      <c r="C6" s="66" t="s">
        <v>67</v>
      </c>
      <c r="D6" s="43" t="s">
        <v>81</v>
      </c>
      <c r="E6" s="75" t="s">
        <v>43</v>
      </c>
      <c r="F6" s="76"/>
      <c r="G6" s="36" t="s">
        <v>1025</v>
      </c>
      <c r="H6" s="36" t="s">
        <v>1025</v>
      </c>
      <c r="I6" s="36" t="n">
        <f aca="false">(_ENGINE_MERCADO!I249*_ENGINE_MERCADO!I252)+(_ENGINE_MERCADO!I258*_ENGINE_MERCADO!I261)</f>
        <v>8697161320.39042</v>
      </c>
      <c r="J6" s="36" t="n">
        <f aca="false">(_ENGINE_MERCADO!J249*_ENGINE_MERCADO!J252)+(_ENGINE_MERCADO!J258*_ENGINE_MERCADO!J261)</f>
        <v>0</v>
      </c>
      <c r="K6" s="36" t="n">
        <f aca="false">(_ENGINE_MERCADO!K249*_ENGINE_MERCADO!K252)+(_ENGINE_MERCADO!K258*_ENGINE_MERCADO!K261)</f>
        <v>0</v>
      </c>
      <c r="L6" s="36" t="n">
        <f aca="false">(_ENGINE_MERCADO!L249*_ENGINE_MERCADO!L252)+(_ENGINE_MERCADO!L258*_ENGINE_MERCADO!L261)</f>
        <v>0</v>
      </c>
      <c r="M6" s="36" t="n">
        <f aca="false">(_ENGINE_MERCADO!M249*_ENGINE_MERCADO!M252)+(_ENGINE_MERCADO!M258*_ENGINE_MERCADO!M261)</f>
        <v>0</v>
      </c>
      <c r="N6" s="36" t="n">
        <f aca="false">(_ENGINE_MERCADO!N249*_ENGINE_MERCADO!N252)+(_ENGINE_MERCADO!N258*_ENGINE_MERCADO!N261)</f>
        <v>0</v>
      </c>
      <c r="O6" s="36" t="n">
        <f aca="false">(_ENGINE_MERCADO!O249*_ENGINE_MERCADO!O252)+(_ENGINE_MERCADO!O258*_ENGINE_MERCADO!O261)</f>
        <v>0</v>
      </c>
      <c r="P6" s="36" t="n">
        <f aca="false">(_ENGINE_MERCADO!P249*_ENGINE_MERCADO!P252)+(_ENGINE_MERCADO!P258*_ENGINE_MERCADO!P261)</f>
        <v>0</v>
      </c>
      <c r="Q6" s="36" t="n">
        <f aca="false">(_ENGINE_MERCADO!Q249*_ENGINE_MERCADO!Q252)+(_ENGINE_MERCADO!Q258*_ENGINE_MERCADO!Q261)</f>
        <v>0</v>
      </c>
      <c r="R6" s="36" t="n">
        <f aca="false">(_ENGINE_MERCADO!R249*_ENGINE_MERCADO!R252)+(_ENGINE_MERCADO!R258*_ENGINE_MERCADO!R261)</f>
        <v>0</v>
      </c>
      <c r="S6" s="36" t="n">
        <f aca="false">(_ENGINE_MERCADO!S249*_ENGINE_MERCADO!S252)+(_ENGINE_MERCADO!S258*_ENGINE_MERCADO!S261)</f>
        <v>0</v>
      </c>
    </row>
    <row r="7" customFormat="false" ht="15" hidden="false" customHeight="false" outlineLevel="0" collapsed="false">
      <c r="A7" s="73" t="s">
        <v>1022</v>
      </c>
      <c r="B7" s="74" t="s">
        <v>1026</v>
      </c>
      <c r="C7" s="66" t="s">
        <v>67</v>
      </c>
      <c r="D7" s="43" t="s">
        <v>81</v>
      </c>
      <c r="E7" s="75" t="s">
        <v>917</v>
      </c>
      <c r="F7" s="76"/>
      <c r="G7" s="78" t="n">
        <f aca="false">G5+G6</f>
        <v>0</v>
      </c>
      <c r="H7" s="78" t="n">
        <f aca="false">H5+H6</f>
        <v>0</v>
      </c>
      <c r="I7" s="78" t="n">
        <f aca="false">I5+I6</f>
        <v>33749332481.0615</v>
      </c>
      <c r="J7" s="78" t="n">
        <f aca="false">J5+J6</f>
        <v>0</v>
      </c>
      <c r="K7" s="78" t="n">
        <f aca="false">K5+K6</f>
        <v>0</v>
      </c>
      <c r="L7" s="78" t="n">
        <f aca="false">L5+L6</f>
        <v>0</v>
      </c>
      <c r="M7" s="78" t="n">
        <f aca="false">M5+M6</f>
        <v>0</v>
      </c>
      <c r="N7" s="78" t="n">
        <f aca="false">N5+N6</f>
        <v>0</v>
      </c>
      <c r="O7" s="78" t="n">
        <f aca="false">O5+O6</f>
        <v>0</v>
      </c>
      <c r="P7" s="78" t="n">
        <f aca="false">P5+P6</f>
        <v>0</v>
      </c>
      <c r="Q7" s="78" t="n">
        <f aca="false">Q5+Q6</f>
        <v>0</v>
      </c>
      <c r="R7" s="78" t="n">
        <f aca="false">R5+R6</f>
        <v>0</v>
      </c>
      <c r="S7" s="78" t="n">
        <f aca="false">S5+S6</f>
        <v>0</v>
      </c>
    </row>
    <row r="8" customFormat="false" ht="15" hidden="false" customHeight="false" outlineLevel="0" collapsed="false">
      <c r="A8" s="73" t="s">
        <v>1022</v>
      </c>
      <c r="B8" s="74" t="s">
        <v>1027</v>
      </c>
      <c r="C8" s="66" t="s">
        <v>67</v>
      </c>
      <c r="D8" s="43" t="s">
        <v>81</v>
      </c>
      <c r="E8" s="75" t="s">
        <v>43</v>
      </c>
      <c r="F8" s="76"/>
      <c r="G8" s="36" t="n">
        <f aca="false">_ENGINE_PRODUCCION!G84+_ENGINE_PRODUCCION!G96+_ENGINE_PRODUCCION!G108+_ENGINE_PRODUCCION!G120</f>
        <v>0</v>
      </c>
      <c r="H8" s="36" t="n">
        <f aca="false">_ENGINE_PRODUCCION!H84+_ENGINE_PRODUCCION!H96+_ENGINE_PRODUCCION!H108+_ENGINE_PRODUCCION!H120</f>
        <v>0</v>
      </c>
      <c r="I8" s="36" t="n">
        <f aca="false">_ENGINE_PRODUCCION!I84+_ENGINE_PRODUCCION!I96+_ENGINE_PRODUCCION!I108+_ENGINE_PRODUCCION!I120</f>
        <v>20622292740.0559</v>
      </c>
      <c r="J8" s="36" t="n">
        <f aca="false">_ENGINE_PRODUCCION!J84+_ENGINE_PRODUCCION!J96+_ENGINE_PRODUCCION!J108+_ENGINE_PRODUCCION!J120</f>
        <v>0</v>
      </c>
      <c r="K8" s="36" t="n">
        <f aca="false">_ENGINE_PRODUCCION!K84+_ENGINE_PRODUCCION!K96+_ENGINE_PRODUCCION!K108+_ENGINE_PRODUCCION!K120</f>
        <v>0</v>
      </c>
      <c r="L8" s="36" t="n">
        <f aca="false">_ENGINE_PRODUCCION!L84+_ENGINE_PRODUCCION!L96+_ENGINE_PRODUCCION!L108+_ENGINE_PRODUCCION!L120</f>
        <v>0</v>
      </c>
      <c r="M8" s="36" t="n">
        <f aca="false">_ENGINE_PRODUCCION!M84+_ENGINE_PRODUCCION!M96+_ENGINE_PRODUCCION!M108+_ENGINE_PRODUCCION!M120</f>
        <v>0</v>
      </c>
      <c r="N8" s="36" t="n">
        <f aca="false">_ENGINE_PRODUCCION!N84+_ENGINE_PRODUCCION!N96+_ENGINE_PRODUCCION!N108+_ENGINE_PRODUCCION!N120</f>
        <v>0</v>
      </c>
      <c r="O8" s="36" t="n">
        <f aca="false">_ENGINE_PRODUCCION!O84+_ENGINE_PRODUCCION!O96+_ENGINE_PRODUCCION!O108+_ENGINE_PRODUCCION!O120</f>
        <v>0</v>
      </c>
      <c r="P8" s="36" t="n">
        <f aca="false">_ENGINE_PRODUCCION!P84+_ENGINE_PRODUCCION!P96+_ENGINE_PRODUCCION!P108+_ENGINE_PRODUCCION!P120</f>
        <v>0</v>
      </c>
      <c r="Q8" s="36" t="n">
        <f aca="false">_ENGINE_PRODUCCION!Q84+_ENGINE_PRODUCCION!Q96+_ENGINE_PRODUCCION!Q108+_ENGINE_PRODUCCION!Q120</f>
        <v>0</v>
      </c>
      <c r="R8" s="36" t="n">
        <f aca="false">_ENGINE_PRODUCCION!R84+_ENGINE_PRODUCCION!R96+_ENGINE_PRODUCCION!R108+_ENGINE_PRODUCCION!R120</f>
        <v>0</v>
      </c>
      <c r="S8" s="36" t="n">
        <f aca="false">_ENGINE_PRODUCCION!S84+_ENGINE_PRODUCCION!S96+_ENGINE_PRODUCCION!S108+_ENGINE_PRODUCCION!S120</f>
        <v>0</v>
      </c>
    </row>
    <row r="9" customFormat="false" ht="15" hidden="false" customHeight="false" outlineLevel="0" collapsed="false">
      <c r="A9" s="73" t="s">
        <v>1022</v>
      </c>
      <c r="B9" s="74" t="s">
        <v>1028</v>
      </c>
      <c r="C9" s="66" t="s">
        <v>67</v>
      </c>
      <c r="D9" s="43" t="s">
        <v>81</v>
      </c>
      <c r="E9" s="75" t="s">
        <v>43</v>
      </c>
      <c r="F9" s="76"/>
      <c r="G9" s="36" t="s">
        <v>1025</v>
      </c>
      <c r="H9" s="36" t="s">
        <v>1025</v>
      </c>
      <c r="I9" s="36" t="n">
        <f aca="false">(_ENGINE_MERCADO!I267*_ENGINE_MERCADO!I270)</f>
        <v>2432840279.25706</v>
      </c>
      <c r="J9" s="36" t="n">
        <f aca="false">(_ENGINE_MERCADO!J267*_ENGINE_MERCADO!J270)</f>
        <v>0</v>
      </c>
      <c r="K9" s="36" t="n">
        <f aca="false">(_ENGINE_MERCADO!K267*_ENGINE_MERCADO!K270)</f>
        <v>0</v>
      </c>
      <c r="L9" s="36" t="n">
        <f aca="false">(_ENGINE_MERCADO!L267*_ENGINE_MERCADO!L270)</f>
        <v>0</v>
      </c>
      <c r="M9" s="36" t="n">
        <f aca="false">(_ENGINE_MERCADO!M267*_ENGINE_MERCADO!M270)</f>
        <v>0</v>
      </c>
      <c r="N9" s="36" t="n">
        <f aca="false">(_ENGINE_MERCADO!N267*_ENGINE_MERCADO!N270)</f>
        <v>0</v>
      </c>
      <c r="O9" s="36" t="n">
        <f aca="false">(_ENGINE_MERCADO!O267*_ENGINE_MERCADO!O270)</f>
        <v>0</v>
      </c>
      <c r="P9" s="36" t="n">
        <f aca="false">(_ENGINE_MERCADO!P267*_ENGINE_MERCADO!P270)</f>
        <v>0</v>
      </c>
      <c r="Q9" s="36" t="n">
        <f aca="false">(_ENGINE_MERCADO!Q267*_ENGINE_MERCADO!Q270)</f>
        <v>0</v>
      </c>
      <c r="R9" s="36" t="n">
        <f aca="false">(_ENGINE_MERCADO!R267*_ENGINE_MERCADO!R270)</f>
        <v>0</v>
      </c>
      <c r="S9" s="36" t="n">
        <f aca="false">(_ENGINE_MERCADO!S267*_ENGINE_MERCADO!S270)</f>
        <v>0</v>
      </c>
    </row>
    <row r="10" customFormat="false" ht="15" hidden="false" customHeight="false" outlineLevel="0" collapsed="false">
      <c r="A10" s="73" t="s">
        <v>1022</v>
      </c>
      <c r="B10" s="74" t="s">
        <v>1029</v>
      </c>
      <c r="C10" s="66" t="s">
        <v>67</v>
      </c>
      <c r="D10" s="43" t="s">
        <v>81</v>
      </c>
      <c r="E10" s="75" t="s">
        <v>43</v>
      </c>
      <c r="F10" s="76"/>
      <c r="G10" s="36" t="s">
        <v>1025</v>
      </c>
      <c r="H10" s="36" t="s">
        <v>1025</v>
      </c>
      <c r="I10" s="36" t="n">
        <f aca="false">_ENGINE_MERCADO!I275</f>
        <v>112762688.930001</v>
      </c>
      <c r="J10" s="36" t="n">
        <f aca="false">_ENGINE_MERCADO!J275</f>
        <v>0</v>
      </c>
      <c r="K10" s="36" t="n">
        <f aca="false">_ENGINE_MERCADO!K275</f>
        <v>0</v>
      </c>
      <c r="L10" s="36" t="n">
        <f aca="false">_ENGINE_MERCADO!L275</f>
        <v>0</v>
      </c>
      <c r="M10" s="36" t="n">
        <f aca="false">_ENGINE_MERCADO!M275</f>
        <v>0</v>
      </c>
      <c r="N10" s="36" t="n">
        <f aca="false">_ENGINE_MERCADO!N275</f>
        <v>0</v>
      </c>
      <c r="O10" s="36" t="n">
        <f aca="false">_ENGINE_MERCADO!O275</f>
        <v>0</v>
      </c>
      <c r="P10" s="36" t="n">
        <f aca="false">_ENGINE_MERCADO!P275</f>
        <v>0</v>
      </c>
      <c r="Q10" s="36" t="n">
        <f aca="false">_ENGINE_MERCADO!Q275</f>
        <v>0</v>
      </c>
      <c r="R10" s="36" t="n">
        <f aca="false">_ENGINE_MERCADO!R275</f>
        <v>0</v>
      </c>
      <c r="S10" s="36" t="n">
        <f aca="false">_ENGINE_MERCADO!S275</f>
        <v>0</v>
      </c>
    </row>
    <row r="11" customFormat="false" ht="15" hidden="false" customHeight="false" outlineLevel="0" collapsed="false">
      <c r="A11" s="73" t="s">
        <v>1022</v>
      </c>
      <c r="B11" s="74" t="s">
        <v>1030</v>
      </c>
      <c r="C11" s="66" t="s">
        <v>67</v>
      </c>
      <c r="D11" s="43" t="s">
        <v>949</v>
      </c>
      <c r="E11" s="75" t="s">
        <v>43</v>
      </c>
      <c r="F11" s="76"/>
      <c r="G11" s="87" t="n">
        <f aca="false">IFERROR(_ENGINE_PRODUCCION!G16/_ENGINE_PRODUCCION!$G$8,0)</f>
        <v>7</v>
      </c>
      <c r="H11" s="87" t="n">
        <f aca="false">IFERROR(_ENGINE_PRODUCCION!H16/_ENGINE_PRODUCCION!$G$8,0)</f>
        <v>7</v>
      </c>
      <c r="I11" s="87" t="n">
        <f aca="false">IFERROR(_ENGINE_PRODUCCION!I16/_ENGINE_PRODUCCION!$G$8,0)</f>
        <v>7</v>
      </c>
      <c r="J11" s="87" t="n">
        <f aca="false">IFERROR(_ENGINE_PRODUCCION!J16/_ENGINE_PRODUCCION!$G$8,0)</f>
        <v>7</v>
      </c>
      <c r="K11" s="87" t="n">
        <f aca="false">IFERROR(_ENGINE_PRODUCCION!K16/_ENGINE_PRODUCCION!$G$8,0)</f>
        <v>7</v>
      </c>
      <c r="L11" s="87" t="n">
        <f aca="false">IFERROR(_ENGINE_PRODUCCION!L16/_ENGINE_PRODUCCION!$G$8,0)</f>
        <v>7</v>
      </c>
      <c r="M11" s="87" t="n">
        <f aca="false">IFERROR(_ENGINE_PRODUCCION!M16/_ENGINE_PRODUCCION!$G$8,0)</f>
        <v>7</v>
      </c>
      <c r="N11" s="87" t="n">
        <f aca="false">IFERROR(_ENGINE_PRODUCCION!N16/_ENGINE_PRODUCCION!$G$8,0)</f>
        <v>7</v>
      </c>
      <c r="O11" s="87" t="n">
        <f aca="false">IFERROR(_ENGINE_PRODUCCION!O16/_ENGINE_PRODUCCION!$G$8,0)</f>
        <v>7</v>
      </c>
      <c r="P11" s="87" t="n">
        <f aca="false">IFERROR(_ENGINE_PRODUCCION!P16/_ENGINE_PRODUCCION!$G$8,0)</f>
        <v>7</v>
      </c>
      <c r="Q11" s="87" t="n">
        <f aca="false">IFERROR(_ENGINE_PRODUCCION!Q16/_ENGINE_PRODUCCION!$G$8,0)</f>
        <v>7</v>
      </c>
      <c r="R11" s="87" t="n">
        <f aca="false">IFERROR(_ENGINE_PRODUCCION!R16/_ENGINE_PRODUCCION!$G$8,0)</f>
        <v>7</v>
      </c>
      <c r="S11" s="87" t="n">
        <f aca="false">IFERROR(_ENGINE_PRODUCCION!S16/_ENGINE_PRODUCCION!$G$8,0)</f>
        <v>7</v>
      </c>
    </row>
    <row r="12" customFormat="false" ht="15" hidden="false" customHeight="false" outlineLevel="0" collapsed="false">
      <c r="A12" s="73" t="s">
        <v>1022</v>
      </c>
      <c r="B12" s="74" t="s">
        <v>1031</v>
      </c>
      <c r="C12" s="66" t="s">
        <v>67</v>
      </c>
      <c r="D12" s="43" t="s">
        <v>81</v>
      </c>
      <c r="E12" s="75" t="s">
        <v>43</v>
      </c>
      <c r="F12" s="76"/>
      <c r="G12" s="36" t="n">
        <f aca="false">(_ENGINE_MERCADO!G190*IF(ISNUMBER(01_INPUTS!G188),01_INPUTS!G188,0)*IF(ISNUMBER(01_INPUTS!G36),01_INPUTS!G36,0))+(_ENGINE_MERCADO!G195*IF(ISNUMBER(01_INPUTS!G192),01_INPUTS!G192,0)*IF(ISNUMBER(01_INPUTS!G36),01_INPUTS!G36,0))+(_ENGINE_MERCADO!G200*IF(ISNUMBER(01_INPUTS!G196),01_INPUTS!G196,0)*IF(ISNUMBER(01_INPUTS!G36),01_INPUTS!G36,0))+(_ENGINE_MERCADO!G205*IF(ISNUMBER(01_INPUTS!G200),01_INPUTS!G200,0)*IF(ISNUMBER(01_INPUTS!G36),01_INPUTS!G36,0))</f>
        <v>0</v>
      </c>
      <c r="H12" s="36" t="n">
        <f aca="false">(_ENGINE_MERCADO!H190*IF(ISNUMBER(01_INPUTS!H188),01_INPUTS!H188,0)*IF(ISNUMBER(01_INPUTS!H36),01_INPUTS!H36,0))+(_ENGINE_MERCADO!H195*IF(ISNUMBER(01_INPUTS!H192),01_INPUTS!H192,0)*IF(ISNUMBER(01_INPUTS!H36),01_INPUTS!H36,0))+(_ENGINE_MERCADO!H200*IF(ISNUMBER(01_INPUTS!H196),01_INPUTS!H196,0)*IF(ISNUMBER(01_INPUTS!H36),01_INPUTS!H36,0))+(_ENGINE_MERCADO!H205*IF(ISNUMBER(01_INPUTS!H200),01_INPUTS!H200,0)*IF(ISNUMBER(01_INPUTS!H36),01_INPUTS!H36,0))</f>
        <v>0</v>
      </c>
      <c r="I12" s="36" t="n">
        <f aca="false">(_ENGINE_MERCADO!I190*IF(ISNUMBER(01_INPUTS!I188),01_INPUTS!I188,0)*IF(ISNUMBER(01_INPUTS!I36),01_INPUTS!I36,0))+(_ENGINE_MERCADO!I195*IF(ISNUMBER(01_INPUTS!I192),01_INPUTS!I192,0)*IF(ISNUMBER(01_INPUTS!I36),01_INPUTS!I36,0))+(_ENGINE_MERCADO!I200*IF(ISNUMBER(01_INPUTS!I196),01_INPUTS!I196,0)*IF(ISNUMBER(01_INPUTS!I36),01_INPUTS!I36,0))+(_ENGINE_MERCADO!I205*IF(ISNUMBER(01_INPUTS!I200),01_INPUTS!I200,0)*IF(ISNUMBER(01_INPUTS!I36),01_INPUTS!I36,0))</f>
        <v>4801593874.18033</v>
      </c>
      <c r="J12" s="36" t="n">
        <f aca="false">(_ENGINE_MERCADO!J190*IF(ISNUMBER(01_INPUTS!J188),01_INPUTS!J188,0)*IF(ISNUMBER(01_INPUTS!J36),01_INPUTS!J36,0))+(_ENGINE_MERCADO!J195*IF(ISNUMBER(01_INPUTS!J192),01_INPUTS!J192,0)*IF(ISNUMBER(01_INPUTS!J36),01_INPUTS!J36,0))+(_ENGINE_MERCADO!J200*IF(ISNUMBER(01_INPUTS!J196),01_INPUTS!J196,0)*IF(ISNUMBER(01_INPUTS!J36),01_INPUTS!J36,0))+(_ENGINE_MERCADO!J205*IF(ISNUMBER(01_INPUTS!J200),01_INPUTS!J200,0)*IF(ISNUMBER(01_INPUTS!J36),01_INPUTS!J36,0))</f>
        <v>0</v>
      </c>
      <c r="K12" s="36" t="n">
        <f aca="false">(_ENGINE_MERCADO!K190*IF(ISNUMBER(01_INPUTS!K188),01_INPUTS!K188,0)*IF(ISNUMBER(01_INPUTS!K36),01_INPUTS!K36,0))+(_ENGINE_MERCADO!K195*IF(ISNUMBER(01_INPUTS!K192),01_INPUTS!K192,0)*IF(ISNUMBER(01_INPUTS!K36),01_INPUTS!K36,0))+(_ENGINE_MERCADO!K200*IF(ISNUMBER(01_INPUTS!K196),01_INPUTS!K196,0)*IF(ISNUMBER(01_INPUTS!K36),01_INPUTS!K36,0))+(_ENGINE_MERCADO!K205*IF(ISNUMBER(01_INPUTS!K200),01_INPUTS!K200,0)*IF(ISNUMBER(01_INPUTS!K36),01_INPUTS!K36,0))</f>
        <v>0</v>
      </c>
      <c r="L12" s="36" t="n">
        <f aca="false">(_ENGINE_MERCADO!L190*IF(ISNUMBER(01_INPUTS!L188),01_INPUTS!L188,0)*IF(ISNUMBER(01_INPUTS!L36),01_INPUTS!L36,0))+(_ENGINE_MERCADO!L195*IF(ISNUMBER(01_INPUTS!L192),01_INPUTS!L192,0)*IF(ISNUMBER(01_INPUTS!L36),01_INPUTS!L36,0))+(_ENGINE_MERCADO!L200*IF(ISNUMBER(01_INPUTS!L196),01_INPUTS!L196,0)*IF(ISNUMBER(01_INPUTS!L36),01_INPUTS!L36,0))+(_ENGINE_MERCADO!L205*IF(ISNUMBER(01_INPUTS!L200),01_INPUTS!L200,0)*IF(ISNUMBER(01_INPUTS!L36),01_INPUTS!L36,0))</f>
        <v>0</v>
      </c>
      <c r="M12" s="36" t="n">
        <f aca="false">(_ENGINE_MERCADO!M190*IF(ISNUMBER(01_INPUTS!M188),01_INPUTS!M188,0)*IF(ISNUMBER(01_INPUTS!M36),01_INPUTS!M36,0))+(_ENGINE_MERCADO!M195*IF(ISNUMBER(01_INPUTS!M192),01_INPUTS!M192,0)*IF(ISNUMBER(01_INPUTS!M36),01_INPUTS!M36,0))+(_ENGINE_MERCADO!M200*IF(ISNUMBER(01_INPUTS!M196),01_INPUTS!M196,0)*IF(ISNUMBER(01_INPUTS!M36),01_INPUTS!M36,0))+(_ENGINE_MERCADO!M205*IF(ISNUMBER(01_INPUTS!M200),01_INPUTS!M200,0)*IF(ISNUMBER(01_INPUTS!M36),01_INPUTS!M36,0))</f>
        <v>0</v>
      </c>
      <c r="N12" s="36" t="n">
        <f aca="false">(_ENGINE_MERCADO!N190*IF(ISNUMBER(01_INPUTS!N188),01_INPUTS!N188,0)*IF(ISNUMBER(01_INPUTS!N36),01_INPUTS!N36,0))+(_ENGINE_MERCADO!N195*IF(ISNUMBER(01_INPUTS!N192),01_INPUTS!N192,0)*IF(ISNUMBER(01_INPUTS!N36),01_INPUTS!N36,0))+(_ENGINE_MERCADO!N200*IF(ISNUMBER(01_INPUTS!N196),01_INPUTS!N196,0)*IF(ISNUMBER(01_INPUTS!N36),01_INPUTS!N36,0))+(_ENGINE_MERCADO!N205*IF(ISNUMBER(01_INPUTS!N200),01_INPUTS!N200,0)*IF(ISNUMBER(01_INPUTS!N36),01_INPUTS!N36,0))</f>
        <v>0</v>
      </c>
      <c r="O12" s="36" t="n">
        <f aca="false">(_ENGINE_MERCADO!O190*IF(ISNUMBER(01_INPUTS!O188),01_INPUTS!O188,0)*IF(ISNUMBER(01_INPUTS!O36),01_INPUTS!O36,0))+(_ENGINE_MERCADO!O195*IF(ISNUMBER(01_INPUTS!O192),01_INPUTS!O192,0)*IF(ISNUMBER(01_INPUTS!O36),01_INPUTS!O36,0))+(_ENGINE_MERCADO!O200*IF(ISNUMBER(01_INPUTS!O196),01_INPUTS!O196,0)*IF(ISNUMBER(01_INPUTS!O36),01_INPUTS!O36,0))+(_ENGINE_MERCADO!O205*IF(ISNUMBER(01_INPUTS!O200),01_INPUTS!O200,0)*IF(ISNUMBER(01_INPUTS!O36),01_INPUTS!O36,0))</f>
        <v>0</v>
      </c>
      <c r="P12" s="36" t="n">
        <f aca="false">(_ENGINE_MERCADO!P190*IF(ISNUMBER(01_INPUTS!P188),01_INPUTS!P188,0)*IF(ISNUMBER(01_INPUTS!P36),01_INPUTS!P36,0))+(_ENGINE_MERCADO!P195*IF(ISNUMBER(01_INPUTS!P192),01_INPUTS!P192,0)*IF(ISNUMBER(01_INPUTS!P36),01_INPUTS!P36,0))+(_ENGINE_MERCADO!P200*IF(ISNUMBER(01_INPUTS!P196),01_INPUTS!P196,0)*IF(ISNUMBER(01_INPUTS!P36),01_INPUTS!P36,0))+(_ENGINE_MERCADO!P205*IF(ISNUMBER(01_INPUTS!P200),01_INPUTS!P200,0)*IF(ISNUMBER(01_INPUTS!P36),01_INPUTS!P36,0))</f>
        <v>0</v>
      </c>
      <c r="Q12" s="36" t="n">
        <f aca="false">(_ENGINE_MERCADO!Q190*IF(ISNUMBER(01_INPUTS!Q188),01_INPUTS!Q188,0)*IF(ISNUMBER(01_INPUTS!Q36),01_INPUTS!Q36,0))+(_ENGINE_MERCADO!Q195*IF(ISNUMBER(01_INPUTS!Q192),01_INPUTS!Q192,0)*IF(ISNUMBER(01_INPUTS!Q36),01_INPUTS!Q36,0))+(_ENGINE_MERCADO!Q200*IF(ISNUMBER(01_INPUTS!Q196),01_INPUTS!Q196,0)*IF(ISNUMBER(01_INPUTS!Q36),01_INPUTS!Q36,0))+(_ENGINE_MERCADO!Q205*IF(ISNUMBER(01_INPUTS!Q200),01_INPUTS!Q200,0)*IF(ISNUMBER(01_INPUTS!Q36),01_INPUTS!Q36,0))</f>
        <v>0</v>
      </c>
      <c r="R12" s="36" t="n">
        <f aca="false">(_ENGINE_MERCADO!R190*IF(ISNUMBER(01_INPUTS!R188),01_INPUTS!R188,0)*IF(ISNUMBER(01_INPUTS!R36),01_INPUTS!R36,0))+(_ENGINE_MERCADO!R195*IF(ISNUMBER(01_INPUTS!R192),01_INPUTS!R192,0)*IF(ISNUMBER(01_INPUTS!R36),01_INPUTS!R36,0))+(_ENGINE_MERCADO!R200*IF(ISNUMBER(01_INPUTS!R196),01_INPUTS!R196,0)*IF(ISNUMBER(01_INPUTS!R36),01_INPUTS!R36,0))+(_ENGINE_MERCADO!R205*IF(ISNUMBER(01_INPUTS!R200),01_INPUTS!R200,0)*IF(ISNUMBER(01_INPUTS!R36),01_INPUTS!R36,0))</f>
        <v>0</v>
      </c>
      <c r="S12" s="36" t="n">
        <f aca="false">(_ENGINE_MERCADO!S190*IF(ISNUMBER(01_INPUTS!S188),01_INPUTS!S188,0)*IF(ISNUMBER(01_INPUTS!S36),01_INPUTS!S36,0))+(_ENGINE_MERCADO!S195*IF(ISNUMBER(01_INPUTS!S192),01_INPUTS!S192,0)*IF(ISNUMBER(01_INPUTS!S36),01_INPUTS!S36,0))+(_ENGINE_MERCADO!S200*IF(ISNUMBER(01_INPUTS!S196),01_INPUTS!S196,0)*IF(ISNUMBER(01_INPUTS!S36),01_INPUTS!S36,0))+(_ENGINE_MERCADO!S205*IF(ISNUMBER(01_INPUTS!S200),01_INPUTS!S200,0)*IF(ISNUMBER(01_INPUTS!S36),01_INPUTS!S36,0))</f>
        <v>0</v>
      </c>
    </row>
    <row r="13" customFormat="false" ht="15" hidden="false" customHeight="false" outlineLevel="0" collapsed="false">
      <c r="A13" s="73" t="s">
        <v>1022</v>
      </c>
      <c r="B13" s="74" t="s">
        <v>1032</v>
      </c>
      <c r="C13" s="66" t="s">
        <v>67</v>
      </c>
      <c r="D13" s="43" t="s">
        <v>81</v>
      </c>
      <c r="E13" s="75" t="s">
        <v>43</v>
      </c>
      <c r="F13" s="76"/>
      <c r="G13" s="85" t="n">
        <v>0</v>
      </c>
      <c r="H13" s="85" t="n">
        <v>0</v>
      </c>
      <c r="I13" s="36" t="n">
        <f aca="false">IFERROR(((((01_INPUTS!I159/01_INPUTS!I55)*01_INPUTS!I158*12)+(01_INPUTS!I160*01_INPUTS!I158*12)+(01_INPUTS!I56*01_INPUTS!I158*12)+(MAX(0,01_INPUTS!I158-IF(ISNUMBER(01_INPUTS!H158),01_INPUTS!H158,01_INPUTS!I158))*01_INPUTS!I57)+(MAX(0,IF(ISNUMBER(01_INPUTS!H158),01_INPUTS!H158,01_INPUTS!I158)-01_INPUTS!I158)*IF(IFERROR(MAX(0,IF(ISNUMBER(01_INPUTS!H158),01_INPUTS!H158,01_INPUTS!I158)-01_INPUTS!I158)/IF(ISNUMBER(01_INPUTS!H158),01_INPUTS!H158,01_INPUTS!I158),0)&gt;0.5,01_INPUTS!I60,IF(IFERROR(MAX(0,IF(ISNUMBER(01_INPUTS!H158),01_INPUTS!H158,01_INPUTS!I158)-01_INPUTS!I158)/IF(ISNUMBER(01_INPUTS!H158),01_INPUTS!H158,01_INPUTS!I158),0)&gt;0.2,01_INPUTS!I59,IF(IFERROR(MAX(0,IF(ISNUMBER(01_INPUTS!H158),01_INPUTS!H158,01_INPUTS!I158)-01_INPUTS!I158)/IF(ISNUMBER(01_INPUTS!H158),01_INPUTS!H158,01_INPUTS!I158),0)&gt;=0.05,01_INPUTS!I58,0))))))*I11/(I11+I58),0)</f>
        <v>532756000</v>
      </c>
      <c r="J13" s="36" t="n">
        <f aca="false">IFERROR(((((01_INPUTS!J159/01_INPUTS!J55)*01_INPUTS!J158*12)+(01_INPUTS!J160*01_INPUTS!J158*12)+(01_INPUTS!J56*01_INPUTS!J158*12)+(MAX(0,01_INPUTS!J158-IF(ISNUMBER(01_INPUTS!I158),01_INPUTS!I158,01_INPUTS!J158))*01_INPUTS!J57)+(MAX(0,IF(ISNUMBER(01_INPUTS!I158),01_INPUTS!I158,01_INPUTS!J158)-01_INPUTS!J158)*IF(IFERROR(MAX(0,IF(ISNUMBER(01_INPUTS!I158),01_INPUTS!I158,01_INPUTS!J158)-01_INPUTS!J158)/IF(ISNUMBER(01_INPUTS!I158),01_INPUTS!I158,01_INPUTS!J158),0)&gt;0.5,01_INPUTS!J60,IF(IFERROR(MAX(0,IF(ISNUMBER(01_INPUTS!I158),01_INPUTS!I158,01_INPUTS!J158)-01_INPUTS!J158)/IF(ISNUMBER(01_INPUTS!I158),01_INPUTS!I158,01_INPUTS!J158),0)&gt;0.2,01_INPUTS!J59,IF(IFERROR(MAX(0,IF(ISNUMBER(01_INPUTS!I158),01_INPUTS!I158,01_INPUTS!J158)-01_INPUTS!J158)/IF(ISNUMBER(01_INPUTS!I158),01_INPUTS!I158,01_INPUTS!J158),0)&gt;=0.05,01_INPUTS!J58,0))))))*J11/(J11+J58),0)</f>
        <v>125315555.555556</v>
      </c>
      <c r="K13" s="36" t="n">
        <f aca="false">IFERROR(((((01_INPUTS!K159/01_INPUTS!K55)*01_INPUTS!K158*12)+(01_INPUTS!K160*01_INPUTS!K158*12)+(01_INPUTS!K56*01_INPUTS!K158*12)+(MAX(0,01_INPUTS!K158-IF(ISNUMBER(01_INPUTS!J158),01_INPUTS!J158,01_INPUTS!K158))*01_INPUTS!K57)+(MAX(0,IF(ISNUMBER(01_INPUTS!J158),01_INPUTS!J158,01_INPUTS!K158)-01_INPUTS!K158)*IF(IFERROR(MAX(0,IF(ISNUMBER(01_INPUTS!J158),01_INPUTS!J158,01_INPUTS!K158)-01_INPUTS!K158)/IF(ISNUMBER(01_INPUTS!J158),01_INPUTS!J158,01_INPUTS!K158),0)&gt;0.5,01_INPUTS!K60,IF(IFERROR(MAX(0,IF(ISNUMBER(01_INPUTS!J158),01_INPUTS!J158,01_INPUTS!K158)-01_INPUTS!K158)/IF(ISNUMBER(01_INPUTS!J158),01_INPUTS!J158,01_INPUTS!K158),0)&gt;0.2,01_INPUTS!K59,IF(IFERROR(MAX(0,IF(ISNUMBER(01_INPUTS!J158),01_INPUTS!J158,01_INPUTS!K158)-01_INPUTS!K158)/IF(ISNUMBER(01_INPUTS!J158),01_INPUTS!J158,01_INPUTS!K158),0)&gt;=0.05,01_INPUTS!K58,0))))))*K11/(K11+K58),0)</f>
        <v>0</v>
      </c>
      <c r="L13" s="36" t="n">
        <f aca="false">IFERROR(((((01_INPUTS!L159/01_INPUTS!L55)*01_INPUTS!L158*12)+(01_INPUTS!L160*01_INPUTS!L158*12)+(01_INPUTS!L56*01_INPUTS!L158*12)+(MAX(0,01_INPUTS!L158-IF(ISNUMBER(01_INPUTS!K158),01_INPUTS!K158,01_INPUTS!L158))*01_INPUTS!L57)+(MAX(0,IF(ISNUMBER(01_INPUTS!K158),01_INPUTS!K158,01_INPUTS!L158)-01_INPUTS!L158)*IF(IFERROR(MAX(0,IF(ISNUMBER(01_INPUTS!K158),01_INPUTS!K158,01_INPUTS!L158)-01_INPUTS!L158)/IF(ISNUMBER(01_INPUTS!K158),01_INPUTS!K158,01_INPUTS!L158),0)&gt;0.5,01_INPUTS!L60,IF(IFERROR(MAX(0,IF(ISNUMBER(01_INPUTS!K158),01_INPUTS!K158,01_INPUTS!L158)-01_INPUTS!L158)/IF(ISNUMBER(01_INPUTS!K158),01_INPUTS!K158,01_INPUTS!L158),0)&gt;0.2,01_INPUTS!L59,IF(IFERROR(MAX(0,IF(ISNUMBER(01_INPUTS!K158),01_INPUTS!K158,01_INPUTS!L158)-01_INPUTS!L158)/IF(ISNUMBER(01_INPUTS!K158),01_INPUTS!K158,01_INPUTS!L158),0)&gt;=0.05,01_INPUTS!L58,0))))))*L11/(L11+L58),0)</f>
        <v>0</v>
      </c>
      <c r="M13" s="36" t="n">
        <f aca="false">IFERROR(((((01_INPUTS!M159/01_INPUTS!M55)*01_INPUTS!M158*12)+(01_INPUTS!M160*01_INPUTS!M158*12)+(01_INPUTS!M56*01_INPUTS!M158*12)+(MAX(0,01_INPUTS!M158-IF(ISNUMBER(01_INPUTS!L158),01_INPUTS!L158,01_INPUTS!M158))*01_INPUTS!M57)+(MAX(0,IF(ISNUMBER(01_INPUTS!L158),01_INPUTS!L158,01_INPUTS!M158)-01_INPUTS!M158)*IF(IFERROR(MAX(0,IF(ISNUMBER(01_INPUTS!L158),01_INPUTS!L158,01_INPUTS!M158)-01_INPUTS!M158)/IF(ISNUMBER(01_INPUTS!L158),01_INPUTS!L158,01_INPUTS!M158),0)&gt;0.5,01_INPUTS!M60,IF(IFERROR(MAX(0,IF(ISNUMBER(01_INPUTS!L158),01_INPUTS!L158,01_INPUTS!M158)-01_INPUTS!M158)/IF(ISNUMBER(01_INPUTS!L158),01_INPUTS!L158,01_INPUTS!M158),0)&gt;0.2,01_INPUTS!M59,IF(IFERROR(MAX(0,IF(ISNUMBER(01_INPUTS!L158),01_INPUTS!L158,01_INPUTS!M158)-01_INPUTS!M158)/IF(ISNUMBER(01_INPUTS!L158),01_INPUTS!L158,01_INPUTS!M158),0)&gt;=0.05,01_INPUTS!M58,0))))))*M11/(M11+M58),0)</f>
        <v>0</v>
      </c>
      <c r="N13" s="36" t="n">
        <f aca="false">IFERROR(((((01_INPUTS!N159/01_INPUTS!N55)*01_INPUTS!N158*12)+(01_INPUTS!N160*01_INPUTS!N158*12)+(01_INPUTS!N56*01_INPUTS!N158*12)+(MAX(0,01_INPUTS!N158-IF(ISNUMBER(01_INPUTS!M158),01_INPUTS!M158,01_INPUTS!N158))*01_INPUTS!N57)+(MAX(0,IF(ISNUMBER(01_INPUTS!M158),01_INPUTS!M158,01_INPUTS!N158)-01_INPUTS!N158)*IF(IFERROR(MAX(0,IF(ISNUMBER(01_INPUTS!M158),01_INPUTS!M158,01_INPUTS!N158)-01_INPUTS!N158)/IF(ISNUMBER(01_INPUTS!M158),01_INPUTS!M158,01_INPUTS!N158),0)&gt;0.5,01_INPUTS!N60,IF(IFERROR(MAX(0,IF(ISNUMBER(01_INPUTS!M158),01_INPUTS!M158,01_INPUTS!N158)-01_INPUTS!N158)/IF(ISNUMBER(01_INPUTS!M158),01_INPUTS!M158,01_INPUTS!N158),0)&gt;0.2,01_INPUTS!N59,IF(IFERROR(MAX(0,IF(ISNUMBER(01_INPUTS!M158),01_INPUTS!M158,01_INPUTS!N158)-01_INPUTS!N158)/IF(ISNUMBER(01_INPUTS!M158),01_INPUTS!M158,01_INPUTS!N158),0)&gt;=0.05,01_INPUTS!N58,0))))))*N11/(N11+N58),0)</f>
        <v>0</v>
      </c>
      <c r="O13" s="36" t="n">
        <f aca="false">IFERROR(((((01_INPUTS!O159/01_INPUTS!O55)*01_INPUTS!O158*12)+(01_INPUTS!O160*01_INPUTS!O158*12)+(01_INPUTS!O56*01_INPUTS!O158*12)+(MAX(0,01_INPUTS!O158-IF(ISNUMBER(01_INPUTS!N158),01_INPUTS!N158,01_INPUTS!O158))*01_INPUTS!O57)+(MAX(0,IF(ISNUMBER(01_INPUTS!N158),01_INPUTS!N158,01_INPUTS!O158)-01_INPUTS!O158)*IF(IFERROR(MAX(0,IF(ISNUMBER(01_INPUTS!N158),01_INPUTS!N158,01_INPUTS!O158)-01_INPUTS!O158)/IF(ISNUMBER(01_INPUTS!N158),01_INPUTS!N158,01_INPUTS!O158),0)&gt;0.5,01_INPUTS!O60,IF(IFERROR(MAX(0,IF(ISNUMBER(01_INPUTS!N158),01_INPUTS!N158,01_INPUTS!O158)-01_INPUTS!O158)/IF(ISNUMBER(01_INPUTS!N158),01_INPUTS!N158,01_INPUTS!O158),0)&gt;0.2,01_INPUTS!O59,IF(IFERROR(MAX(0,IF(ISNUMBER(01_INPUTS!N158),01_INPUTS!N158,01_INPUTS!O158)-01_INPUTS!O158)/IF(ISNUMBER(01_INPUTS!N158),01_INPUTS!N158,01_INPUTS!O158),0)&gt;=0.05,01_INPUTS!O58,0))))))*O11/(O11+O58),0)</f>
        <v>0</v>
      </c>
      <c r="P13" s="36" t="n">
        <f aca="false">IFERROR(((((01_INPUTS!P159/01_INPUTS!P55)*01_INPUTS!P158*12)+(01_INPUTS!P160*01_INPUTS!P158*12)+(01_INPUTS!P56*01_INPUTS!P158*12)+(MAX(0,01_INPUTS!P158-IF(ISNUMBER(01_INPUTS!O158),01_INPUTS!O158,01_INPUTS!P158))*01_INPUTS!P57)+(MAX(0,IF(ISNUMBER(01_INPUTS!O158),01_INPUTS!O158,01_INPUTS!P158)-01_INPUTS!P158)*IF(IFERROR(MAX(0,IF(ISNUMBER(01_INPUTS!O158),01_INPUTS!O158,01_INPUTS!P158)-01_INPUTS!P158)/IF(ISNUMBER(01_INPUTS!O158),01_INPUTS!O158,01_INPUTS!P158),0)&gt;0.5,01_INPUTS!P60,IF(IFERROR(MAX(0,IF(ISNUMBER(01_INPUTS!O158),01_INPUTS!O158,01_INPUTS!P158)-01_INPUTS!P158)/IF(ISNUMBER(01_INPUTS!O158),01_INPUTS!O158,01_INPUTS!P158),0)&gt;0.2,01_INPUTS!P59,IF(IFERROR(MAX(0,IF(ISNUMBER(01_INPUTS!O158),01_INPUTS!O158,01_INPUTS!P158)-01_INPUTS!P158)/IF(ISNUMBER(01_INPUTS!O158),01_INPUTS!O158,01_INPUTS!P158),0)&gt;=0.05,01_INPUTS!P58,0))))))*P11/(P11+P58),0)</f>
        <v>0</v>
      </c>
      <c r="Q13" s="36" t="n">
        <f aca="false">IFERROR(((((01_INPUTS!Q159/01_INPUTS!Q55)*01_INPUTS!Q158*12)+(01_INPUTS!Q160*01_INPUTS!Q158*12)+(01_INPUTS!Q56*01_INPUTS!Q158*12)+(MAX(0,01_INPUTS!Q158-IF(ISNUMBER(01_INPUTS!P158),01_INPUTS!P158,01_INPUTS!Q158))*01_INPUTS!Q57)+(MAX(0,IF(ISNUMBER(01_INPUTS!P158),01_INPUTS!P158,01_INPUTS!Q158)-01_INPUTS!Q158)*IF(IFERROR(MAX(0,IF(ISNUMBER(01_INPUTS!P158),01_INPUTS!P158,01_INPUTS!Q158)-01_INPUTS!Q158)/IF(ISNUMBER(01_INPUTS!P158),01_INPUTS!P158,01_INPUTS!Q158),0)&gt;0.5,01_INPUTS!Q60,IF(IFERROR(MAX(0,IF(ISNUMBER(01_INPUTS!P158),01_INPUTS!P158,01_INPUTS!Q158)-01_INPUTS!Q158)/IF(ISNUMBER(01_INPUTS!P158),01_INPUTS!P158,01_INPUTS!Q158),0)&gt;0.2,01_INPUTS!Q59,IF(IFERROR(MAX(0,IF(ISNUMBER(01_INPUTS!P158),01_INPUTS!P158,01_INPUTS!Q158)-01_INPUTS!Q158)/IF(ISNUMBER(01_INPUTS!P158),01_INPUTS!P158,01_INPUTS!Q158),0)&gt;=0.05,01_INPUTS!Q58,0))))))*Q11/(Q11+Q58),0)</f>
        <v>0</v>
      </c>
      <c r="R13" s="36" t="n">
        <f aca="false">IFERROR(((((01_INPUTS!R159/01_INPUTS!R55)*01_INPUTS!R158*12)+(01_INPUTS!R160*01_INPUTS!R158*12)+(01_INPUTS!R56*01_INPUTS!R158*12)+(MAX(0,01_INPUTS!R158-IF(ISNUMBER(01_INPUTS!Q158),01_INPUTS!Q158,01_INPUTS!R158))*01_INPUTS!R57)+(MAX(0,IF(ISNUMBER(01_INPUTS!Q158),01_INPUTS!Q158,01_INPUTS!R158)-01_INPUTS!R158)*IF(IFERROR(MAX(0,IF(ISNUMBER(01_INPUTS!Q158),01_INPUTS!Q158,01_INPUTS!R158)-01_INPUTS!R158)/IF(ISNUMBER(01_INPUTS!Q158),01_INPUTS!Q158,01_INPUTS!R158),0)&gt;0.5,01_INPUTS!R60,IF(IFERROR(MAX(0,IF(ISNUMBER(01_INPUTS!Q158),01_INPUTS!Q158,01_INPUTS!R158)-01_INPUTS!R158)/IF(ISNUMBER(01_INPUTS!Q158),01_INPUTS!Q158,01_INPUTS!R158),0)&gt;0.2,01_INPUTS!R59,IF(IFERROR(MAX(0,IF(ISNUMBER(01_INPUTS!Q158),01_INPUTS!Q158,01_INPUTS!R158)-01_INPUTS!R158)/IF(ISNUMBER(01_INPUTS!Q158),01_INPUTS!Q158,01_INPUTS!R158),0)&gt;=0.05,01_INPUTS!R58,0))))))*R11/(R11+R58),0)</f>
        <v>0</v>
      </c>
      <c r="S13" s="36" t="n">
        <f aca="false">IFERROR(((((01_INPUTS!S159/01_INPUTS!S55)*01_INPUTS!S158*12)+(01_INPUTS!S160*01_INPUTS!S158*12)+(01_INPUTS!S56*01_INPUTS!S158*12)+(MAX(0,01_INPUTS!S158-IF(ISNUMBER(01_INPUTS!R158),01_INPUTS!R158,01_INPUTS!S158))*01_INPUTS!S57)+(MAX(0,IF(ISNUMBER(01_INPUTS!R158),01_INPUTS!R158,01_INPUTS!S158)-01_INPUTS!S158)*IF(IFERROR(MAX(0,IF(ISNUMBER(01_INPUTS!R158),01_INPUTS!R158,01_INPUTS!S158)-01_INPUTS!S158)/IF(ISNUMBER(01_INPUTS!R158),01_INPUTS!R158,01_INPUTS!S158),0)&gt;0.5,01_INPUTS!S60,IF(IFERROR(MAX(0,IF(ISNUMBER(01_INPUTS!R158),01_INPUTS!R158,01_INPUTS!S158)-01_INPUTS!S158)/IF(ISNUMBER(01_INPUTS!R158),01_INPUTS!R158,01_INPUTS!S158),0)&gt;0.2,01_INPUTS!S59,IF(IFERROR(MAX(0,IF(ISNUMBER(01_INPUTS!R158),01_INPUTS!R158,01_INPUTS!S158)-01_INPUTS!S158)/IF(ISNUMBER(01_INPUTS!R158),01_INPUTS!R158,01_INPUTS!S158),0)&gt;=0.05,01_INPUTS!S58,0))))))*S11/(S11+S58),0)</f>
        <v>0</v>
      </c>
    </row>
    <row r="14" customFormat="false" ht="15" hidden="false" customHeight="false" outlineLevel="0" collapsed="false">
      <c r="A14" s="73" t="s">
        <v>1022</v>
      </c>
      <c r="B14" s="74" t="s">
        <v>1033</v>
      </c>
      <c r="C14" s="66" t="s">
        <v>67</v>
      </c>
      <c r="D14" s="43" t="s">
        <v>81</v>
      </c>
      <c r="E14" s="75" t="s">
        <v>43</v>
      </c>
      <c r="F14" s="76"/>
      <c r="G14" s="36" t="n">
        <f aca="false">IFERROR((IF(ISNUMBER(01_INPUTS!G164),01_INPUTS!G164,0)+IF(ISNUMBER(01_INPUTS!G166),01_INPUTS!G166,0)+IF(ISNUMBER(01_INPUTS!G168),01_INPUTS!G168,0)+IF(ISNUMBER(01_INPUTS!G170),01_INPUTS!G170,0))*G11/(G11+G58),0)</f>
        <v>0</v>
      </c>
      <c r="H14" s="36" t="n">
        <f aca="false">IFERROR((IF(ISNUMBER(01_INPUTS!H164),01_INPUTS!H164,0)+IF(ISNUMBER(01_INPUTS!H166),01_INPUTS!H166,0)+IF(ISNUMBER(01_INPUTS!H168),01_INPUTS!H168,0)+IF(ISNUMBER(01_INPUTS!H170),01_INPUTS!H170,0))*H11/(H11+H58),0)</f>
        <v>0</v>
      </c>
      <c r="I14" s="36" t="n">
        <f aca="false">IFERROR((IF(ISNUMBER(01_INPUTS!I164),01_INPUTS!I164,0)+IF(ISNUMBER(01_INPUTS!I166),01_INPUTS!I166,0)+IF(ISNUMBER(01_INPUTS!I168),01_INPUTS!I168,0)+IF(ISNUMBER(01_INPUTS!I170),01_INPUTS!I170,0))*I11/(I11+I58),0)</f>
        <v>0</v>
      </c>
      <c r="J14" s="36" t="n">
        <f aca="false">IFERROR((IF(ISNUMBER(01_INPUTS!J164),01_INPUTS!J164,0)+IF(ISNUMBER(01_INPUTS!J166),01_INPUTS!J166,0)+IF(ISNUMBER(01_INPUTS!J168),01_INPUTS!J168,0)+IF(ISNUMBER(01_INPUTS!J170),01_INPUTS!J170,0))*J11/(J11+J58),0)</f>
        <v>0</v>
      </c>
      <c r="K14" s="36" t="n">
        <f aca="false">IFERROR((IF(ISNUMBER(01_INPUTS!K164),01_INPUTS!K164,0)+IF(ISNUMBER(01_INPUTS!K166),01_INPUTS!K166,0)+IF(ISNUMBER(01_INPUTS!K168),01_INPUTS!K168,0)+IF(ISNUMBER(01_INPUTS!K170),01_INPUTS!K170,0))*K11/(K11+K58),0)</f>
        <v>0</v>
      </c>
      <c r="L14" s="36" t="n">
        <f aca="false">IFERROR((IF(ISNUMBER(01_INPUTS!L164),01_INPUTS!L164,0)+IF(ISNUMBER(01_INPUTS!L166),01_INPUTS!L166,0)+IF(ISNUMBER(01_INPUTS!L168),01_INPUTS!L168,0)+IF(ISNUMBER(01_INPUTS!L170),01_INPUTS!L170,0))*L11/(L11+L58),0)</f>
        <v>0</v>
      </c>
      <c r="M14" s="36" t="n">
        <f aca="false">IFERROR((IF(ISNUMBER(01_INPUTS!M164),01_INPUTS!M164,0)+IF(ISNUMBER(01_INPUTS!M166),01_INPUTS!M166,0)+IF(ISNUMBER(01_INPUTS!M168),01_INPUTS!M168,0)+IF(ISNUMBER(01_INPUTS!M170),01_INPUTS!M170,0))*M11/(M11+M58),0)</f>
        <v>0</v>
      </c>
      <c r="N14" s="36" t="n">
        <f aca="false">IFERROR((IF(ISNUMBER(01_INPUTS!N164),01_INPUTS!N164,0)+IF(ISNUMBER(01_INPUTS!N166),01_INPUTS!N166,0)+IF(ISNUMBER(01_INPUTS!N168),01_INPUTS!N168,0)+IF(ISNUMBER(01_INPUTS!N170),01_INPUTS!N170,0))*N11/(N11+N58),0)</f>
        <v>0</v>
      </c>
      <c r="O14" s="36" t="n">
        <f aca="false">IFERROR((IF(ISNUMBER(01_INPUTS!O164),01_INPUTS!O164,0)+IF(ISNUMBER(01_INPUTS!O166),01_INPUTS!O166,0)+IF(ISNUMBER(01_INPUTS!O168),01_INPUTS!O168,0)+IF(ISNUMBER(01_INPUTS!O170),01_INPUTS!O170,0))*O11/(O11+O58),0)</f>
        <v>0</v>
      </c>
      <c r="P14" s="36" t="n">
        <f aca="false">IFERROR((IF(ISNUMBER(01_INPUTS!P164),01_INPUTS!P164,0)+IF(ISNUMBER(01_INPUTS!P166),01_INPUTS!P166,0)+IF(ISNUMBER(01_INPUTS!P168),01_INPUTS!P168,0)+IF(ISNUMBER(01_INPUTS!P170),01_INPUTS!P170,0))*P11/(P11+P58),0)</f>
        <v>0</v>
      </c>
      <c r="Q14" s="36" t="n">
        <f aca="false">IFERROR((IF(ISNUMBER(01_INPUTS!Q164),01_INPUTS!Q164,0)+IF(ISNUMBER(01_INPUTS!Q166),01_INPUTS!Q166,0)+IF(ISNUMBER(01_INPUTS!Q168),01_INPUTS!Q168,0)+IF(ISNUMBER(01_INPUTS!Q170),01_INPUTS!Q170,0))*Q11/(Q11+Q58),0)</f>
        <v>0</v>
      </c>
      <c r="R14" s="36" t="n">
        <f aca="false">IFERROR((IF(ISNUMBER(01_INPUTS!R164),01_INPUTS!R164,0)+IF(ISNUMBER(01_INPUTS!R166),01_INPUTS!R166,0)+IF(ISNUMBER(01_INPUTS!R168),01_INPUTS!R168,0)+IF(ISNUMBER(01_INPUTS!R170),01_INPUTS!R170,0))*R11/(R11+R58),0)</f>
        <v>0</v>
      </c>
      <c r="S14" s="36" t="n">
        <f aca="false">IFERROR((IF(ISNUMBER(01_INPUTS!S164),01_INPUTS!S164,0)+IF(ISNUMBER(01_INPUTS!S166),01_INPUTS!S166,0)+IF(ISNUMBER(01_INPUTS!S168),01_INPUTS!S168,0)+IF(ISNUMBER(01_INPUTS!S170),01_INPUTS!S170,0))*S11/(S11+S58),0)</f>
        <v>0</v>
      </c>
    </row>
    <row r="15" customFormat="false" ht="15" hidden="false" customHeight="false" outlineLevel="0" collapsed="false">
      <c r="A15" s="73" t="s">
        <v>1022</v>
      </c>
      <c r="B15" s="74" t="s">
        <v>1034</v>
      </c>
      <c r="C15" s="66" t="s">
        <v>67</v>
      </c>
      <c r="D15" s="43" t="s">
        <v>81</v>
      </c>
      <c r="E15" s="75" t="s">
        <v>43</v>
      </c>
      <c r="F15" s="76"/>
      <c r="G15" s="78" t="n">
        <f aca="false">G13+G14</f>
        <v>0</v>
      </c>
      <c r="H15" s="78" t="n">
        <f aca="false">H13+H14</f>
        <v>0</v>
      </c>
      <c r="I15" s="78" t="n">
        <f aca="false">I13+I14</f>
        <v>532756000</v>
      </c>
      <c r="J15" s="78" t="n">
        <f aca="false">J13+J14</f>
        <v>125315555.555556</v>
      </c>
      <c r="K15" s="78" t="n">
        <f aca="false">K13+K14</f>
        <v>0</v>
      </c>
      <c r="L15" s="78" t="n">
        <f aca="false">L13+L14</f>
        <v>0</v>
      </c>
      <c r="M15" s="78" t="n">
        <f aca="false">M13+M14</f>
        <v>0</v>
      </c>
      <c r="N15" s="78" t="n">
        <f aca="false">N13+N14</f>
        <v>0</v>
      </c>
      <c r="O15" s="78" t="n">
        <f aca="false">O13+O14</f>
        <v>0</v>
      </c>
      <c r="P15" s="78" t="n">
        <f aca="false">P13+P14</f>
        <v>0</v>
      </c>
      <c r="Q15" s="78" t="n">
        <f aca="false">Q13+Q14</f>
        <v>0</v>
      </c>
      <c r="R15" s="78" t="n">
        <f aca="false">R13+R14</f>
        <v>0</v>
      </c>
      <c r="S15" s="78" t="n">
        <f aca="false">S13+S14</f>
        <v>0</v>
      </c>
    </row>
    <row r="16" customFormat="false" ht="15" hidden="false" customHeight="false" outlineLevel="0" collapsed="false">
      <c r="A16" s="73" t="s">
        <v>1022</v>
      </c>
      <c r="B16" s="74" t="s">
        <v>1035</v>
      </c>
      <c r="C16" s="66" t="s">
        <v>67</v>
      </c>
      <c r="D16" s="43" t="s">
        <v>81</v>
      </c>
      <c r="E16" s="75" t="s">
        <v>43</v>
      </c>
      <c r="F16" s="76"/>
      <c r="G16" s="36" t="n">
        <f aca="false">IF(ISNUMBER(01_INPUTS!G186),01_INPUTS!G186,0)+IF(ISNUMBER(01_INPUTS!G190),01_INPUTS!G190,0)+IF(ISNUMBER(01_INPUTS!G194),01_INPUTS!G194,0)+IF(ISNUMBER(01_INPUTS!G198),01_INPUTS!G198,0)</f>
        <v>0</v>
      </c>
      <c r="H16" s="36" t="n">
        <f aca="false">IF(ISNUMBER(01_INPUTS!H186),01_INPUTS!H186,0)+IF(ISNUMBER(01_INPUTS!H190),01_INPUTS!H190,0)+IF(ISNUMBER(01_INPUTS!H194),01_INPUTS!H194,0)+IF(ISNUMBER(01_INPUTS!H198),01_INPUTS!H198,0)</f>
        <v>0</v>
      </c>
      <c r="I16" s="36" t="n">
        <f aca="false">IF(ISNUMBER(01_INPUTS!I186),01_INPUTS!I186,0)+IF(ISNUMBER(01_INPUTS!I190),01_INPUTS!I190,0)+IF(ISNUMBER(01_INPUTS!I194),01_INPUTS!I194,0)+IF(ISNUMBER(01_INPUTS!I198),01_INPUTS!I198,0)</f>
        <v>1100000000</v>
      </c>
      <c r="J16" s="36" t="n">
        <f aca="false">IF(ISNUMBER(01_INPUTS!J186),01_INPUTS!J186,0)+IF(ISNUMBER(01_INPUTS!J190),01_INPUTS!J190,0)+IF(ISNUMBER(01_INPUTS!J194),01_INPUTS!J194,0)+IF(ISNUMBER(01_INPUTS!J198),01_INPUTS!J198,0)</f>
        <v>0</v>
      </c>
      <c r="K16" s="36" t="n">
        <f aca="false">IF(ISNUMBER(01_INPUTS!K186),01_INPUTS!K186,0)+IF(ISNUMBER(01_INPUTS!K190),01_INPUTS!K190,0)+IF(ISNUMBER(01_INPUTS!K194),01_INPUTS!K194,0)+IF(ISNUMBER(01_INPUTS!K198),01_INPUTS!K198,0)</f>
        <v>0</v>
      </c>
      <c r="L16" s="36" t="n">
        <f aca="false">IF(ISNUMBER(01_INPUTS!L186),01_INPUTS!L186,0)+IF(ISNUMBER(01_INPUTS!L190),01_INPUTS!L190,0)+IF(ISNUMBER(01_INPUTS!L194),01_INPUTS!L194,0)+IF(ISNUMBER(01_INPUTS!L198),01_INPUTS!L198,0)</f>
        <v>0</v>
      </c>
      <c r="M16" s="36" t="n">
        <f aca="false">IF(ISNUMBER(01_INPUTS!M186),01_INPUTS!M186,0)+IF(ISNUMBER(01_INPUTS!M190),01_INPUTS!M190,0)+IF(ISNUMBER(01_INPUTS!M194),01_INPUTS!M194,0)+IF(ISNUMBER(01_INPUTS!M198),01_INPUTS!M198,0)</f>
        <v>0</v>
      </c>
      <c r="N16" s="36" t="n">
        <f aca="false">IF(ISNUMBER(01_INPUTS!N186),01_INPUTS!N186,0)+IF(ISNUMBER(01_INPUTS!N190),01_INPUTS!N190,0)+IF(ISNUMBER(01_INPUTS!N194),01_INPUTS!N194,0)+IF(ISNUMBER(01_INPUTS!N198),01_INPUTS!N198,0)</f>
        <v>0</v>
      </c>
      <c r="O16" s="36" t="n">
        <f aca="false">IF(ISNUMBER(01_INPUTS!O186),01_INPUTS!O186,0)+IF(ISNUMBER(01_INPUTS!O190),01_INPUTS!O190,0)+IF(ISNUMBER(01_INPUTS!O194),01_INPUTS!O194,0)+IF(ISNUMBER(01_INPUTS!O198),01_INPUTS!O198,0)</f>
        <v>0</v>
      </c>
      <c r="P16" s="36" t="n">
        <f aca="false">IF(ISNUMBER(01_INPUTS!P186),01_INPUTS!P186,0)+IF(ISNUMBER(01_INPUTS!P190),01_INPUTS!P190,0)+IF(ISNUMBER(01_INPUTS!P194),01_INPUTS!P194,0)+IF(ISNUMBER(01_INPUTS!P198),01_INPUTS!P198,0)</f>
        <v>0</v>
      </c>
      <c r="Q16" s="36" t="n">
        <f aca="false">IF(ISNUMBER(01_INPUTS!Q186),01_INPUTS!Q186,0)+IF(ISNUMBER(01_INPUTS!Q190),01_INPUTS!Q190,0)+IF(ISNUMBER(01_INPUTS!Q194),01_INPUTS!Q194,0)+IF(ISNUMBER(01_INPUTS!Q198),01_INPUTS!Q198,0)</f>
        <v>0</v>
      </c>
      <c r="R16" s="36" t="n">
        <f aca="false">IF(ISNUMBER(01_INPUTS!R186),01_INPUTS!R186,0)+IF(ISNUMBER(01_INPUTS!R190),01_INPUTS!R190,0)+IF(ISNUMBER(01_INPUTS!R194),01_INPUTS!R194,0)+IF(ISNUMBER(01_INPUTS!R198),01_INPUTS!R198,0)</f>
        <v>0</v>
      </c>
      <c r="S16" s="36" t="n">
        <f aca="false">IF(ISNUMBER(01_INPUTS!S186),01_INPUTS!S186,0)+IF(ISNUMBER(01_INPUTS!S190),01_INPUTS!S190,0)+IF(ISNUMBER(01_INPUTS!S194),01_INPUTS!S194,0)+IF(ISNUMBER(01_INPUTS!S198),01_INPUTS!S198,0)</f>
        <v>0</v>
      </c>
    </row>
    <row r="17" customFormat="false" ht="15" hidden="false" customHeight="false" outlineLevel="0" collapsed="false">
      <c r="A17" s="73" t="s">
        <v>1022</v>
      </c>
      <c r="B17" s="74" t="s">
        <v>1036</v>
      </c>
      <c r="C17" s="66" t="s">
        <v>67</v>
      </c>
      <c r="D17" s="43" t="s">
        <v>81</v>
      </c>
      <c r="E17" s="75" t="s">
        <v>43</v>
      </c>
      <c r="F17" s="76"/>
      <c r="G17" s="36" t="n">
        <f aca="false">(IF(ISNUMBER(01_INPUTS!G47),01_INPUTS!G47,0))+(IF(ISNUMBER(01_INPUTS!G50),01_INPUTS!G50,0))*G11+(IF(ISNUMBER(01_INPUTS!G52),01_INPUTS!G52,0))*G7</f>
        <v>0</v>
      </c>
      <c r="H17" s="36" t="n">
        <f aca="false">(IF(ISNUMBER(01_INPUTS!H47),01_INPUTS!H47,0))+(IF(ISNUMBER(01_INPUTS!H50),01_INPUTS!H50,0))*H11+(IF(ISNUMBER(01_INPUTS!H52),01_INPUTS!H52,0))*H7</f>
        <v>63000000</v>
      </c>
      <c r="I17" s="36" t="n">
        <f aca="false">(IF(ISNUMBER(01_INPUTS!I47),01_INPUTS!I47,0))+(IF(ISNUMBER(01_INPUTS!I50),01_INPUTS!I50,0))*I11+(IF(ISNUMBER(01_INPUTS!I52),01_INPUTS!I52,0))*I7</f>
        <v>63000000</v>
      </c>
      <c r="J17" s="36" t="n">
        <f aca="false">(IF(ISNUMBER(01_INPUTS!J47),01_INPUTS!J47,0))+(IF(ISNUMBER(01_INPUTS!J50),01_INPUTS!J50,0))*J11+(IF(ISNUMBER(01_INPUTS!J52),01_INPUTS!J52,0))*J7</f>
        <v>63000000</v>
      </c>
      <c r="K17" s="36" t="n">
        <f aca="false">(IF(ISNUMBER(01_INPUTS!K47),01_INPUTS!K47,0))+(IF(ISNUMBER(01_INPUTS!K50),01_INPUTS!K50,0))*K11+(IF(ISNUMBER(01_INPUTS!K52),01_INPUTS!K52,0))*K7</f>
        <v>63000000</v>
      </c>
      <c r="L17" s="36" t="n">
        <f aca="false">(IF(ISNUMBER(01_INPUTS!L47),01_INPUTS!L47,0))+(IF(ISNUMBER(01_INPUTS!L50),01_INPUTS!L50,0))*L11+(IF(ISNUMBER(01_INPUTS!L52),01_INPUTS!L52,0))*L7</f>
        <v>63000000</v>
      </c>
      <c r="M17" s="36" t="n">
        <f aca="false">(IF(ISNUMBER(01_INPUTS!M47),01_INPUTS!M47,0))+(IF(ISNUMBER(01_INPUTS!M50),01_INPUTS!M50,0))*M11+(IF(ISNUMBER(01_INPUTS!M52),01_INPUTS!M52,0))*M7</f>
        <v>63000000</v>
      </c>
      <c r="N17" s="36" t="n">
        <f aca="false">(IF(ISNUMBER(01_INPUTS!N47),01_INPUTS!N47,0))+(IF(ISNUMBER(01_INPUTS!N50),01_INPUTS!N50,0))*N11+(IF(ISNUMBER(01_INPUTS!N52),01_INPUTS!N52,0))*N7</f>
        <v>63000000</v>
      </c>
      <c r="O17" s="36" t="n">
        <f aca="false">(IF(ISNUMBER(01_INPUTS!O47),01_INPUTS!O47,0))+(IF(ISNUMBER(01_INPUTS!O50),01_INPUTS!O50,0))*O11+(IF(ISNUMBER(01_INPUTS!O52),01_INPUTS!O52,0))*O7</f>
        <v>63000000</v>
      </c>
      <c r="P17" s="36" t="n">
        <f aca="false">(IF(ISNUMBER(01_INPUTS!P47),01_INPUTS!P47,0))+(IF(ISNUMBER(01_INPUTS!P50),01_INPUTS!P50,0))*P11+(IF(ISNUMBER(01_INPUTS!P52),01_INPUTS!P52,0))*P7</f>
        <v>63000000</v>
      </c>
      <c r="Q17" s="36" t="n">
        <f aca="false">(IF(ISNUMBER(01_INPUTS!Q47),01_INPUTS!Q47,0))+(IF(ISNUMBER(01_INPUTS!Q50),01_INPUTS!Q50,0))*Q11+(IF(ISNUMBER(01_INPUTS!Q52),01_INPUTS!Q52,0))*Q7</f>
        <v>63000000</v>
      </c>
      <c r="R17" s="36" t="n">
        <f aca="false">(IF(ISNUMBER(01_INPUTS!R47),01_INPUTS!R47,0))+(IF(ISNUMBER(01_INPUTS!R50),01_INPUTS!R50,0))*R11+(IF(ISNUMBER(01_INPUTS!R52),01_INPUTS!R52,0))*R7</f>
        <v>63000000</v>
      </c>
      <c r="S17" s="36" t="n">
        <f aca="false">(IF(ISNUMBER(01_INPUTS!S47),01_INPUTS!S47,0))+(IF(ISNUMBER(01_INPUTS!S50),01_INPUTS!S50,0))*S11+(IF(ISNUMBER(01_INPUTS!S52),01_INPUTS!S52,0))*S7</f>
        <v>63000000</v>
      </c>
    </row>
    <row r="18" customFormat="false" ht="15" hidden="false" customHeight="false" outlineLevel="0" collapsed="false">
      <c r="A18" s="73" t="s">
        <v>1022</v>
      </c>
      <c r="B18" s="74" t="s">
        <v>271</v>
      </c>
      <c r="C18" s="66" t="s">
        <v>67</v>
      </c>
      <c r="D18" s="43" t="s">
        <v>81</v>
      </c>
      <c r="E18" s="75" t="s">
        <v>917</v>
      </c>
      <c r="F18" s="76"/>
      <c r="G18" s="78" t="n">
        <f aca="false">G8+G9+G10+G12+G15+G16+G17</f>
        <v>0</v>
      </c>
      <c r="H18" s="78" t="n">
        <f aca="false">H8+H9+H10+H12+H15+H16+H17</f>
        <v>63000000</v>
      </c>
      <c r="I18" s="78" t="n">
        <f aca="false">I8+I9+I10+I12+I15+I16+I17</f>
        <v>29665245582.4233</v>
      </c>
      <c r="J18" s="78" t="n">
        <f aca="false">J8+J9+J10+J12+J15+J16+J17</f>
        <v>188315555.555556</v>
      </c>
      <c r="K18" s="78" t="n">
        <f aca="false">K8+K9+K10+K12+K15+K16+K17</f>
        <v>63000000</v>
      </c>
      <c r="L18" s="78" t="n">
        <f aca="false">L8+L9+L10+L12+L15+L16+L17</f>
        <v>63000000</v>
      </c>
      <c r="M18" s="78" t="n">
        <f aca="false">M8+M9+M10+M12+M15+M16+M17</f>
        <v>63000000</v>
      </c>
      <c r="N18" s="78" t="n">
        <f aca="false">N8+N9+N10+N12+N15+N16+N17</f>
        <v>63000000</v>
      </c>
      <c r="O18" s="78" t="n">
        <f aca="false">O8+O9+O10+O12+O15+O16+O17</f>
        <v>63000000</v>
      </c>
      <c r="P18" s="78" t="n">
        <f aca="false">P8+P9+P10+P12+P15+P16+P17</f>
        <v>63000000</v>
      </c>
      <c r="Q18" s="78" t="n">
        <f aca="false">Q8+Q9+Q10+Q12+Q15+Q16+Q17</f>
        <v>63000000</v>
      </c>
      <c r="R18" s="78" t="n">
        <f aca="false">R8+R9+R10+R12+R15+R16+R17</f>
        <v>63000000</v>
      </c>
      <c r="S18" s="78" t="n">
        <f aca="false">S8+S9+S10+S12+S15+S16+S17</f>
        <v>63000000</v>
      </c>
    </row>
    <row r="19" customFormat="false" ht="15" hidden="false" customHeight="false" outlineLevel="0" collapsed="false">
      <c r="A19" s="73" t="s">
        <v>1022</v>
      </c>
      <c r="B19" s="74" t="s">
        <v>272</v>
      </c>
      <c r="C19" s="66" t="s">
        <v>67</v>
      </c>
      <c r="D19" s="43" t="s">
        <v>81</v>
      </c>
      <c r="E19" s="75" t="s">
        <v>917</v>
      </c>
      <c r="F19" s="76"/>
      <c r="G19" s="78" t="n">
        <f aca="false">G7-G18</f>
        <v>0</v>
      </c>
      <c r="H19" s="78" t="n">
        <f aca="false">H7-H18</f>
        <v>-63000000</v>
      </c>
      <c r="I19" s="78" t="n">
        <f aca="false">I7-I18</f>
        <v>4084086898.63815</v>
      </c>
      <c r="J19" s="78" t="n">
        <f aca="false">J7-J18</f>
        <v>-188315555.555556</v>
      </c>
      <c r="K19" s="78" t="n">
        <f aca="false">K7-K18</f>
        <v>-63000000</v>
      </c>
      <c r="L19" s="78" t="n">
        <f aca="false">L7-L18</f>
        <v>-63000000</v>
      </c>
      <c r="M19" s="78" t="n">
        <f aca="false">M7-M18</f>
        <v>-63000000</v>
      </c>
      <c r="N19" s="78" t="n">
        <f aca="false">N7-N18</f>
        <v>-63000000</v>
      </c>
      <c r="O19" s="78" t="n">
        <f aca="false">O7-O18</f>
        <v>-63000000</v>
      </c>
      <c r="P19" s="78" t="n">
        <f aca="false">P7-P18</f>
        <v>-63000000</v>
      </c>
      <c r="Q19" s="78" t="n">
        <f aca="false">Q7-Q18</f>
        <v>-63000000</v>
      </c>
      <c r="R19" s="78" t="n">
        <f aca="false">R7-R18</f>
        <v>-63000000</v>
      </c>
      <c r="S19" s="78" t="n">
        <f aca="false">S7-S18</f>
        <v>-63000000</v>
      </c>
    </row>
    <row r="20" customFormat="false" ht="15" hidden="false" customHeight="false" outlineLevel="0" collapsed="false">
      <c r="A20" s="73" t="s">
        <v>1022</v>
      </c>
      <c r="B20" s="74" t="s">
        <v>274</v>
      </c>
      <c r="C20" s="66" t="s">
        <v>67</v>
      </c>
      <c r="D20" s="43" t="s">
        <v>81</v>
      </c>
      <c r="E20" s="75" t="s">
        <v>43</v>
      </c>
      <c r="F20" s="76"/>
      <c r="G20" s="36" t="n">
        <f aca="false">_ENGINE_PRODUCCION!G186</f>
        <v>1005068400</v>
      </c>
      <c r="H20" s="36" t="n">
        <f aca="false">_ENGINE_PRODUCCION!H186</f>
        <v>904561560</v>
      </c>
      <c r="I20" s="36" t="n">
        <f aca="false">_ENGINE_PRODUCCION!I186</f>
        <v>815505404</v>
      </c>
      <c r="J20" s="36" t="n">
        <f aca="false">_ENGINE_PRODUCCION!J186</f>
        <v>733954863.6</v>
      </c>
      <c r="K20" s="36" t="n">
        <f aca="false">_ENGINE_PRODUCCION!K186</f>
        <v>660559377.24</v>
      </c>
      <c r="L20" s="36" t="n">
        <f aca="false">_ENGINE_PRODUCCION!L186</f>
        <v>594503439.516</v>
      </c>
      <c r="M20" s="36" t="n">
        <f aca="false">_ENGINE_PRODUCCION!M186</f>
        <v>535053095.5644</v>
      </c>
      <c r="N20" s="36" t="n">
        <f aca="false">_ENGINE_PRODUCCION!N186</f>
        <v>481547786.00796</v>
      </c>
      <c r="O20" s="36" t="n">
        <f aca="false">_ENGINE_PRODUCCION!O186</f>
        <v>433393007.407164</v>
      </c>
      <c r="P20" s="36" t="n">
        <f aca="false">_ENGINE_PRODUCCION!P186</f>
        <v>390053706.666448</v>
      </c>
      <c r="Q20" s="36" t="n">
        <f aca="false">_ENGINE_PRODUCCION!Q186</f>
        <v>351048335.999803</v>
      </c>
      <c r="R20" s="36" t="n">
        <f aca="false">_ENGINE_PRODUCCION!R186</f>
        <v>315943502.399823</v>
      </c>
      <c r="S20" s="36" t="n">
        <f aca="false">_ENGINE_PRODUCCION!S186</f>
        <v>284349152.15984</v>
      </c>
    </row>
    <row r="21" customFormat="false" ht="15" hidden="false" customHeight="false" outlineLevel="0" collapsed="false">
      <c r="A21" s="73" t="s">
        <v>1022</v>
      </c>
      <c r="B21" s="74" t="s">
        <v>275</v>
      </c>
      <c r="C21" s="66" t="s">
        <v>67</v>
      </c>
      <c r="D21" s="43" t="s">
        <v>81</v>
      </c>
      <c r="E21" s="75" t="s">
        <v>917</v>
      </c>
      <c r="F21" s="76"/>
      <c r="G21" s="78" t="n">
        <f aca="false">G19-G20</f>
        <v>-1005068400</v>
      </c>
      <c r="H21" s="78" t="n">
        <f aca="false">H19-H20</f>
        <v>-967561560</v>
      </c>
      <c r="I21" s="78" t="n">
        <f aca="false">I19-I20</f>
        <v>3268581494.63815</v>
      </c>
      <c r="J21" s="78" t="n">
        <f aca="false">J19-J20</f>
        <v>-922270419.155556</v>
      </c>
      <c r="K21" s="78" t="n">
        <f aca="false">K19-K20</f>
        <v>-723559377.24</v>
      </c>
      <c r="L21" s="78" t="n">
        <f aca="false">L19-L20</f>
        <v>-657503439.516</v>
      </c>
      <c r="M21" s="78" t="n">
        <f aca="false">M19-M20</f>
        <v>-598053095.5644</v>
      </c>
      <c r="N21" s="78" t="n">
        <f aca="false">N19-N20</f>
        <v>-544547786.00796</v>
      </c>
      <c r="O21" s="78" t="n">
        <f aca="false">O19-O20</f>
        <v>-496393007.407164</v>
      </c>
      <c r="P21" s="78" t="n">
        <f aca="false">P19-P20</f>
        <v>-453053706.666448</v>
      </c>
      <c r="Q21" s="78" t="n">
        <f aca="false">Q19-Q20</f>
        <v>-414048335.999803</v>
      </c>
      <c r="R21" s="78" t="n">
        <f aca="false">R19-R20</f>
        <v>-378943502.399823</v>
      </c>
      <c r="S21" s="78" t="n">
        <f aca="false">S19-S20</f>
        <v>-347349152.15984</v>
      </c>
    </row>
    <row r="22" customFormat="false" ht="41.75" hidden="false" customHeight="false" outlineLevel="0" collapsed="false">
      <c r="A22" s="73" t="s">
        <v>1022</v>
      </c>
      <c r="B22" s="74" t="s">
        <v>1037</v>
      </c>
      <c r="C22" s="66" t="s">
        <v>67</v>
      </c>
      <c r="D22" s="43" t="s">
        <v>81</v>
      </c>
      <c r="E22" s="75" t="s">
        <v>917</v>
      </c>
      <c r="F22" s="76" t="s">
        <v>1038</v>
      </c>
      <c r="G22" s="85" t="n">
        <v>529181242.278694</v>
      </c>
      <c r="H22" s="85" t="n">
        <v>453584115.025126</v>
      </c>
      <c r="I22" s="36" t="n">
        <f aca="false">(H39*01_INPUTS!I29)+(H40*01_INPUTS!I30)-(H33*01_INPUTS!I33)</f>
        <v>551388560.824131</v>
      </c>
      <c r="J22" s="36" t="n">
        <f aca="false">(I39*01_INPUTS!J29)+(I40*01_INPUTS!J30)-(I33*01_INPUTS!J33)</f>
        <v>328208200.690452</v>
      </c>
      <c r="K22" s="36" t="n">
        <f aca="false">(J39*01_INPUTS!K29)+(J40*01_INPUTS!K30)-(J33*01_INPUTS!K33)</f>
        <v>354613746.049404</v>
      </c>
      <c r="L22" s="36" t="n">
        <f aca="false">(K39*01_INPUTS!L29)+(K40*01_INPUTS!L30)-(K33*01_INPUTS!L33)</f>
        <v>371498249.029158</v>
      </c>
      <c r="M22" s="36" t="n">
        <f aca="false">(L39*01_INPUTS!M29)+(L40*01_INPUTS!M30)-(L33*01_INPUTS!M33)</f>
        <v>388878178.990324</v>
      </c>
      <c r="N22" s="36" t="n">
        <f aca="false">(M39*01_INPUTS!N29)+(M40*01_INPUTS!N30)-(M33*01_INPUTS!N33)</f>
        <v>406953306.149937</v>
      </c>
      <c r="O22" s="36" t="n">
        <f aca="false">(N39*01_INPUTS!O29)+(N40*01_INPUTS!O30)-(N33*01_INPUTS!O33)</f>
        <v>425751438.395935</v>
      </c>
      <c r="P22" s="36" t="n">
        <f aca="false">(O39*01_INPUTS!P29)+(O40*01_INPUTS!P30)-(O33*01_INPUTS!P33)</f>
        <v>445301495.931772</v>
      </c>
      <c r="Q22" s="36" t="n">
        <f aca="false">(P39*01_INPUTS!Q29)+(P40*01_INPUTS!Q30)-(P33*01_INPUTS!Q33)</f>
        <v>465633555.769043</v>
      </c>
      <c r="R22" s="36" t="n">
        <f aca="false">(Q39*01_INPUTS!R29)+(Q40*01_INPUTS!R30)-(Q33*01_INPUTS!R33)</f>
        <v>486778897.999805</v>
      </c>
      <c r="S22" s="36" t="n">
        <f aca="false">(R39*01_INPUTS!S29)+(R40*01_INPUTS!S30)-(R33*01_INPUTS!S33)</f>
        <v>508770053.919797</v>
      </c>
    </row>
    <row r="23" customFormat="false" ht="15" hidden="false" customHeight="false" outlineLevel="0" collapsed="false">
      <c r="A23" s="73" t="s">
        <v>1022</v>
      </c>
      <c r="B23" s="74" t="s">
        <v>277</v>
      </c>
      <c r="C23" s="66" t="s">
        <v>67</v>
      </c>
      <c r="D23" s="43" t="s">
        <v>81</v>
      </c>
      <c r="E23" s="75" t="s">
        <v>43</v>
      </c>
      <c r="F23" s="76"/>
      <c r="G23" s="77" t="n">
        <v>967972743.841462</v>
      </c>
      <c r="H23" s="77" t="n">
        <v>1501807334.41894</v>
      </c>
      <c r="I23" s="78" t="n">
        <f aca="false">I21-I22</f>
        <v>2717192933.81402</v>
      </c>
      <c r="J23" s="78" t="n">
        <f aca="false">J21-J22</f>
        <v>-1250478619.84601</v>
      </c>
      <c r="K23" s="78" t="n">
        <f aca="false">K21-K22</f>
        <v>-1078173123.2894</v>
      </c>
      <c r="L23" s="78" t="n">
        <f aca="false">L21-L22</f>
        <v>-1029001688.54516</v>
      </c>
      <c r="M23" s="78" t="n">
        <f aca="false">M21-M22</f>
        <v>-986931274.554724</v>
      </c>
      <c r="N23" s="78" t="n">
        <f aca="false">N21-N22</f>
        <v>-951501092.157897</v>
      </c>
      <c r="O23" s="78" t="n">
        <f aca="false">O21-O22</f>
        <v>-922144445.803099</v>
      </c>
      <c r="P23" s="78" t="n">
        <f aca="false">P21-P22</f>
        <v>-898355202.59822</v>
      </c>
      <c r="Q23" s="78" t="n">
        <f aca="false">Q21-Q22</f>
        <v>-879681891.768846</v>
      </c>
      <c r="R23" s="78" t="n">
        <f aca="false">R21-R22</f>
        <v>-865722400.399627</v>
      </c>
      <c r="S23" s="78" t="n">
        <f aca="false">S21-S22</f>
        <v>-856119206.079638</v>
      </c>
    </row>
    <row r="24" customFormat="false" ht="15" hidden="false" customHeight="false" outlineLevel="0" collapsed="false">
      <c r="A24" s="73" t="s">
        <v>1022</v>
      </c>
      <c r="B24" s="74" t="s">
        <v>1039</v>
      </c>
      <c r="C24" s="66" t="s">
        <v>67</v>
      </c>
      <c r="D24" s="43" t="s">
        <v>81</v>
      </c>
      <c r="E24" s="75" t="s">
        <v>43</v>
      </c>
      <c r="F24" s="76"/>
      <c r="G24" s="85" t="n">
        <v>0</v>
      </c>
      <c r="H24" s="85" t="n">
        <v>0</v>
      </c>
      <c r="I24" s="85" t="n">
        <v>0</v>
      </c>
      <c r="J24" s="36" t="n">
        <f aca="false">I26</f>
        <v>0</v>
      </c>
      <c r="K24" s="36" t="n">
        <f aca="false">J26</f>
        <v>1250478619.84601</v>
      </c>
      <c r="L24" s="36" t="n">
        <f aca="false">K26</f>
        <v>2328651743.13541</v>
      </c>
      <c r="M24" s="36" t="n">
        <f aca="false">L26</f>
        <v>3357653431.68057</v>
      </c>
      <c r="N24" s="36" t="n">
        <f aca="false">M26</f>
        <v>4344584706.2353</v>
      </c>
      <c r="O24" s="36" t="n">
        <f aca="false">N26</f>
        <v>5296085798.39319</v>
      </c>
      <c r="P24" s="36" t="n">
        <f aca="false">O26</f>
        <v>6218230244.19629</v>
      </c>
      <c r="Q24" s="36" t="n">
        <f aca="false">P26</f>
        <v>7116585446.79451</v>
      </c>
      <c r="R24" s="36" t="n">
        <f aca="false">Q26</f>
        <v>7996267338.56336</v>
      </c>
      <c r="S24" s="36" t="n">
        <f aca="false">R26</f>
        <v>8861989738.96298</v>
      </c>
    </row>
    <row r="25" customFormat="false" ht="15" hidden="false" customHeight="false" outlineLevel="0" collapsed="false">
      <c r="A25" s="73" t="s">
        <v>1022</v>
      </c>
      <c r="B25" s="74" t="s">
        <v>1040</v>
      </c>
      <c r="C25" s="66" t="s">
        <v>67</v>
      </c>
      <c r="D25" s="43" t="s">
        <v>81</v>
      </c>
      <c r="E25" s="75" t="s">
        <v>43</v>
      </c>
      <c r="F25" s="76"/>
      <c r="G25" s="48" t="s">
        <v>336</v>
      </c>
      <c r="H25" s="48" t="s">
        <v>336</v>
      </c>
      <c r="I25" s="36" t="n">
        <f aca="false">MAX(0,I23-I24)</f>
        <v>2717192933.81402</v>
      </c>
      <c r="J25" s="36" t="n">
        <f aca="false">MAX(0,J23-J24)</f>
        <v>0</v>
      </c>
      <c r="K25" s="36" t="n">
        <f aca="false">MAX(0,K23-K24)</f>
        <v>0</v>
      </c>
      <c r="L25" s="36" t="n">
        <f aca="false">MAX(0,L23-L24)</f>
        <v>0</v>
      </c>
      <c r="M25" s="36" t="n">
        <f aca="false">MAX(0,M23-M24)</f>
        <v>0</v>
      </c>
      <c r="N25" s="36" t="n">
        <f aca="false">MAX(0,N23-N24)</f>
        <v>0</v>
      </c>
      <c r="O25" s="36" t="n">
        <f aca="false">MAX(0,O23-O24)</f>
        <v>0</v>
      </c>
      <c r="P25" s="36" t="n">
        <f aca="false">MAX(0,P23-P24)</f>
        <v>0</v>
      </c>
      <c r="Q25" s="36" t="n">
        <f aca="false">MAX(0,Q23-Q24)</f>
        <v>0</v>
      </c>
      <c r="R25" s="36" t="n">
        <f aca="false">MAX(0,R23-R24)</f>
        <v>0</v>
      </c>
      <c r="S25" s="36" t="n">
        <f aca="false">MAX(0,S23-S24)</f>
        <v>0</v>
      </c>
    </row>
    <row r="26" customFormat="false" ht="15" hidden="false" customHeight="false" outlineLevel="0" collapsed="false">
      <c r="A26" s="73" t="s">
        <v>1022</v>
      </c>
      <c r="B26" s="74" t="s">
        <v>1041</v>
      </c>
      <c r="C26" s="66" t="s">
        <v>67</v>
      </c>
      <c r="D26" s="43" t="s">
        <v>81</v>
      </c>
      <c r="E26" s="75" t="s">
        <v>43</v>
      </c>
      <c r="F26" s="76"/>
      <c r="G26" s="85" t="n">
        <v>0</v>
      </c>
      <c r="H26" s="85" t="n">
        <v>0</v>
      </c>
      <c r="I26" s="36" t="n">
        <f aca="false">MAX(0,I24-I23)</f>
        <v>0</v>
      </c>
      <c r="J26" s="36" t="n">
        <f aca="false">MAX(0,J24-J23)</f>
        <v>1250478619.84601</v>
      </c>
      <c r="K26" s="36" t="n">
        <f aca="false">MAX(0,K24-K23)</f>
        <v>2328651743.13541</v>
      </c>
      <c r="L26" s="36" t="n">
        <f aca="false">MAX(0,L24-L23)</f>
        <v>3357653431.68057</v>
      </c>
      <c r="M26" s="36" t="n">
        <f aca="false">MAX(0,M24-M23)</f>
        <v>4344584706.2353</v>
      </c>
      <c r="N26" s="36" t="n">
        <f aca="false">MAX(0,N24-N23)</f>
        <v>5296085798.39319</v>
      </c>
      <c r="O26" s="36" t="n">
        <f aca="false">MAX(0,O24-O23)</f>
        <v>6218230244.19629</v>
      </c>
      <c r="P26" s="36" t="n">
        <f aca="false">MAX(0,P24-P23)</f>
        <v>7116585446.79451</v>
      </c>
      <c r="Q26" s="36" t="n">
        <f aca="false">MAX(0,Q24-Q23)</f>
        <v>7996267338.56336</v>
      </c>
      <c r="R26" s="36" t="n">
        <f aca="false">MAX(0,R24-R23)</f>
        <v>8861989738.96298</v>
      </c>
      <c r="S26" s="36" t="n">
        <f aca="false">MAX(0,S24-S23)</f>
        <v>9718108945.04262</v>
      </c>
    </row>
    <row r="27" customFormat="false" ht="15" hidden="false" customHeight="false" outlineLevel="0" collapsed="false">
      <c r="A27" s="73" t="s">
        <v>1022</v>
      </c>
      <c r="B27" s="74" t="s">
        <v>73</v>
      </c>
      <c r="C27" s="66" t="s">
        <v>67</v>
      </c>
      <c r="D27" s="43" t="s">
        <v>42</v>
      </c>
      <c r="E27" s="75" t="s">
        <v>43</v>
      </c>
      <c r="F27" s="76"/>
      <c r="G27" s="91" t="n">
        <f aca="false">01_INPUTS!G23</f>
        <v>0.22</v>
      </c>
      <c r="H27" s="91" t="n">
        <f aca="false">01_INPUTS!H23</f>
        <v>0.25</v>
      </c>
      <c r="I27" s="91" t="n">
        <f aca="false">01_INPUTS!I23</f>
        <v>0.22</v>
      </c>
      <c r="J27" s="91" t="n">
        <f aca="false">01_INPUTS!J23</f>
        <v>0.22</v>
      </c>
      <c r="K27" s="91" t="n">
        <f aca="false">01_INPUTS!K23</f>
        <v>0.22</v>
      </c>
      <c r="L27" s="91" t="n">
        <f aca="false">01_INPUTS!L23</f>
        <v>0.22</v>
      </c>
      <c r="M27" s="91" t="n">
        <f aca="false">01_INPUTS!M23</f>
        <v>0.22</v>
      </c>
      <c r="N27" s="91" t="n">
        <f aca="false">01_INPUTS!N23</f>
        <v>0.22</v>
      </c>
      <c r="O27" s="91" t="n">
        <f aca="false">01_INPUTS!O23</f>
        <v>0.22</v>
      </c>
      <c r="P27" s="91" t="n">
        <f aca="false">01_INPUTS!P23</f>
        <v>0.22</v>
      </c>
      <c r="Q27" s="91" t="n">
        <f aca="false">01_INPUTS!Q23</f>
        <v>0.22</v>
      </c>
      <c r="R27" s="91" t="n">
        <f aca="false">01_INPUTS!R23</f>
        <v>0.22</v>
      </c>
      <c r="S27" s="91" t="n">
        <f aca="false">01_INPUTS!S23</f>
        <v>0.22</v>
      </c>
    </row>
    <row r="28" customFormat="false" ht="15" hidden="false" customHeight="false" outlineLevel="0" collapsed="false">
      <c r="A28" s="73" t="s">
        <v>1022</v>
      </c>
      <c r="B28" s="74" t="s">
        <v>278</v>
      </c>
      <c r="C28" s="66" t="s">
        <v>67</v>
      </c>
      <c r="D28" s="43" t="s">
        <v>81</v>
      </c>
      <c r="E28" s="75" t="s">
        <v>43</v>
      </c>
      <c r="F28" s="76"/>
      <c r="G28" s="85" t="n">
        <v>212954003.645122</v>
      </c>
      <c r="H28" s="85" t="n">
        <v>330397613.572167</v>
      </c>
      <c r="I28" s="36" t="n">
        <f aca="false">I25*I27</f>
        <v>597782445.439085</v>
      </c>
      <c r="J28" s="36" t="n">
        <f aca="false">J25*J27</f>
        <v>0</v>
      </c>
      <c r="K28" s="36" t="n">
        <f aca="false">K25*K27</f>
        <v>0</v>
      </c>
      <c r="L28" s="36" t="n">
        <f aca="false">L25*L27</f>
        <v>0</v>
      </c>
      <c r="M28" s="36" t="n">
        <f aca="false">M25*M27</f>
        <v>0</v>
      </c>
      <c r="N28" s="36" t="n">
        <f aca="false">N25*N27</f>
        <v>0</v>
      </c>
      <c r="O28" s="36" t="n">
        <f aca="false">O25*O27</f>
        <v>0</v>
      </c>
      <c r="P28" s="36" t="n">
        <f aca="false">P25*P27</f>
        <v>0</v>
      </c>
      <c r="Q28" s="36" t="n">
        <f aca="false">Q25*Q27</f>
        <v>0</v>
      </c>
      <c r="R28" s="36" t="n">
        <f aca="false">R25*R27</f>
        <v>0</v>
      </c>
      <c r="S28" s="36" t="n">
        <f aca="false">S25*S27</f>
        <v>0</v>
      </c>
    </row>
    <row r="29" customFormat="false" ht="15" hidden="false" customHeight="false" outlineLevel="0" collapsed="false">
      <c r="A29" s="73" t="s">
        <v>1022</v>
      </c>
      <c r="B29" s="74" t="s">
        <v>1042</v>
      </c>
      <c r="C29" s="66" t="s">
        <v>67</v>
      </c>
      <c r="D29" s="43" t="s">
        <v>81</v>
      </c>
      <c r="E29" s="75" t="s">
        <v>917</v>
      </c>
      <c r="F29" s="76"/>
      <c r="G29" s="77" t="n">
        <v>755018740.19634</v>
      </c>
      <c r="H29" s="77" t="n">
        <v>1171409720.84677</v>
      </c>
      <c r="I29" s="78" t="n">
        <f aca="false">I23-I28</f>
        <v>2119410488.37494</v>
      </c>
      <c r="J29" s="78" t="n">
        <f aca="false">J23-J28</f>
        <v>-1250478619.84601</v>
      </c>
      <c r="K29" s="78" t="n">
        <f aca="false">K23-K28</f>
        <v>-1078173123.2894</v>
      </c>
      <c r="L29" s="78" t="n">
        <f aca="false">L23-L28</f>
        <v>-1029001688.54516</v>
      </c>
      <c r="M29" s="78" t="n">
        <f aca="false">M23-M28</f>
        <v>-986931274.554724</v>
      </c>
      <c r="N29" s="78" t="n">
        <f aca="false">N23-N28</f>
        <v>-951501092.157897</v>
      </c>
      <c r="O29" s="78" t="n">
        <f aca="false">O23-O28</f>
        <v>-922144445.803099</v>
      </c>
      <c r="P29" s="78" t="n">
        <f aca="false">P23-P28</f>
        <v>-898355202.59822</v>
      </c>
      <c r="Q29" s="78" t="n">
        <f aca="false">Q23-Q28</f>
        <v>-879681891.768846</v>
      </c>
      <c r="R29" s="78" t="n">
        <f aca="false">R23-R28</f>
        <v>-865722400.399627</v>
      </c>
      <c r="S29" s="78" t="n">
        <f aca="false">S23-S28</f>
        <v>-856119206.079638</v>
      </c>
    </row>
    <row r="30" customFormat="false" ht="15" hidden="false" customHeight="false" outlineLevel="0" collapsed="false">
      <c r="A30" s="73" t="s">
        <v>1043</v>
      </c>
      <c r="B30" s="74" t="s">
        <v>281</v>
      </c>
      <c r="C30" s="66" t="s">
        <v>67</v>
      </c>
      <c r="D30" s="43" t="s">
        <v>81</v>
      </c>
      <c r="E30" s="75" t="s">
        <v>917</v>
      </c>
      <c r="F30" s="76" t="s">
        <v>1044</v>
      </c>
      <c r="G30" s="85" t="n">
        <v>9045615600</v>
      </c>
      <c r="H30" s="85" t="n">
        <v>8155054040</v>
      </c>
      <c r="I30" s="36" t="n">
        <f aca="false">_ENGINE_PRODUCCION!I192</f>
        <v>7339548636</v>
      </c>
      <c r="J30" s="36" t="n">
        <f aca="false">_ENGINE_PRODUCCION!J192</f>
        <v>6605593772.4</v>
      </c>
      <c r="K30" s="36" t="n">
        <f aca="false">_ENGINE_PRODUCCION!K192</f>
        <v>5945034395.16</v>
      </c>
      <c r="L30" s="36" t="n">
        <f aca="false">_ENGINE_PRODUCCION!L192</f>
        <v>5350530955.644</v>
      </c>
      <c r="M30" s="36" t="n">
        <f aca="false">_ENGINE_PRODUCCION!M192</f>
        <v>4815477860.0796</v>
      </c>
      <c r="N30" s="36" t="n">
        <f aca="false">_ENGINE_PRODUCCION!N192</f>
        <v>4333930074.07164</v>
      </c>
      <c r="O30" s="36" t="n">
        <f aca="false">_ENGINE_PRODUCCION!O192</f>
        <v>3900537066.66448</v>
      </c>
      <c r="P30" s="36" t="n">
        <f aca="false">_ENGINE_PRODUCCION!P192</f>
        <v>3510483359.99803</v>
      </c>
      <c r="Q30" s="36" t="n">
        <f aca="false">_ENGINE_PRODUCCION!Q192</f>
        <v>3159435023.99823</v>
      </c>
      <c r="R30" s="36" t="n">
        <f aca="false">_ENGINE_PRODUCCION!R192</f>
        <v>2843491521.5984</v>
      </c>
      <c r="S30" s="36" t="n">
        <f aca="false">_ENGINE_PRODUCCION!S192</f>
        <v>2559142369.43856</v>
      </c>
    </row>
    <row r="31" customFormat="false" ht="15" hidden="false" customHeight="false" outlineLevel="0" collapsed="false">
      <c r="A31" s="73" t="s">
        <v>1043</v>
      </c>
      <c r="B31" s="74" t="s">
        <v>1045</v>
      </c>
      <c r="C31" s="66" t="s">
        <v>67</v>
      </c>
      <c r="D31" s="43" t="s">
        <v>81</v>
      </c>
      <c r="E31" s="75" t="s">
        <v>917</v>
      </c>
      <c r="F31" s="76" t="s">
        <v>1046</v>
      </c>
      <c r="G31" s="85" t="n">
        <v>0</v>
      </c>
      <c r="H31" s="85" t="n">
        <v>6174792084.60297</v>
      </c>
      <c r="I31" s="36" t="n">
        <f aca="false">_ENGINE_PRODUCCION!I86+_ENGINE_PRODUCCION!I98+_ENGINE_PRODUCCION!I110+_ENGINE_PRODUCCION!I122</f>
        <v>535874265.991706</v>
      </c>
      <c r="J31" s="36" t="n">
        <f aca="false">_ENGINE_PRODUCCION!J86+_ENGINE_PRODUCCION!J98+_ENGINE_PRODUCCION!J110+_ENGINE_PRODUCCION!J122</f>
        <v>535874265.991706</v>
      </c>
      <c r="K31" s="36" t="n">
        <f aca="false">_ENGINE_PRODUCCION!K86+_ENGINE_PRODUCCION!K98+_ENGINE_PRODUCCION!K110+_ENGINE_PRODUCCION!K122</f>
        <v>535874265.991706</v>
      </c>
      <c r="L31" s="36" t="n">
        <f aca="false">_ENGINE_PRODUCCION!L86+_ENGINE_PRODUCCION!L98+_ENGINE_PRODUCCION!L110+_ENGINE_PRODUCCION!L122</f>
        <v>535874265.991706</v>
      </c>
      <c r="M31" s="36" t="n">
        <f aca="false">_ENGINE_PRODUCCION!M86+_ENGINE_PRODUCCION!M98+_ENGINE_PRODUCCION!M110+_ENGINE_PRODUCCION!M122</f>
        <v>535874265.991706</v>
      </c>
      <c r="N31" s="36" t="n">
        <f aca="false">_ENGINE_PRODUCCION!N86+_ENGINE_PRODUCCION!N98+_ENGINE_PRODUCCION!N110+_ENGINE_PRODUCCION!N122</f>
        <v>535874265.991706</v>
      </c>
      <c r="O31" s="36" t="n">
        <f aca="false">_ENGINE_PRODUCCION!O86+_ENGINE_PRODUCCION!O98+_ENGINE_PRODUCCION!O110+_ENGINE_PRODUCCION!O122</f>
        <v>535874265.991706</v>
      </c>
      <c r="P31" s="36" t="n">
        <f aca="false">_ENGINE_PRODUCCION!P86+_ENGINE_PRODUCCION!P98+_ENGINE_PRODUCCION!P110+_ENGINE_PRODUCCION!P122</f>
        <v>535874265.991706</v>
      </c>
      <c r="Q31" s="36" t="n">
        <f aca="false">_ENGINE_PRODUCCION!Q86+_ENGINE_PRODUCCION!Q98+_ENGINE_PRODUCCION!Q110+_ENGINE_PRODUCCION!Q122</f>
        <v>535874265.991706</v>
      </c>
      <c r="R31" s="36" t="n">
        <f aca="false">_ENGINE_PRODUCCION!R86+_ENGINE_PRODUCCION!R98+_ENGINE_PRODUCCION!R110+_ENGINE_PRODUCCION!R122</f>
        <v>535874265.991706</v>
      </c>
      <c r="S31" s="36" t="n">
        <f aca="false">_ENGINE_PRODUCCION!S86+_ENGINE_PRODUCCION!S98+_ENGINE_PRODUCCION!S110+_ENGINE_PRODUCCION!S122</f>
        <v>535874265.991706</v>
      </c>
    </row>
    <row r="32" customFormat="false" ht="21.6" hidden="false" customHeight="false" outlineLevel="0" collapsed="false">
      <c r="A32" s="73" t="s">
        <v>1043</v>
      </c>
      <c r="B32" s="74" t="s">
        <v>283</v>
      </c>
      <c r="C32" s="66" t="s">
        <v>67</v>
      </c>
      <c r="D32" s="43" t="s">
        <v>81</v>
      </c>
      <c r="E32" s="75" t="s">
        <v>917</v>
      </c>
      <c r="F32" s="76" t="s">
        <v>1047</v>
      </c>
      <c r="G32" s="85" t="n">
        <v>516381250</v>
      </c>
      <c r="H32" s="85" t="n">
        <v>756528101.882137</v>
      </c>
      <c r="I32" s="36" t="n">
        <f aca="false">I7*$G$152</f>
        <v>914606910.236767</v>
      </c>
      <c r="J32" s="36" t="n">
        <f aca="false">J7*$G$152</f>
        <v>0</v>
      </c>
      <c r="K32" s="36" t="n">
        <f aca="false">K7*$G$152</f>
        <v>0</v>
      </c>
      <c r="L32" s="36" t="n">
        <f aca="false">L7*$G$152</f>
        <v>0</v>
      </c>
      <c r="M32" s="36" t="n">
        <f aca="false">M7*$G$152</f>
        <v>0</v>
      </c>
      <c r="N32" s="36" t="n">
        <f aca="false">N7*$G$152</f>
        <v>0</v>
      </c>
      <c r="O32" s="36" t="n">
        <f aca="false">O7*$G$152</f>
        <v>0</v>
      </c>
      <c r="P32" s="36" t="n">
        <f aca="false">P7*$G$152</f>
        <v>0</v>
      </c>
      <c r="Q32" s="36" t="n">
        <f aca="false">Q7*$G$152</f>
        <v>0</v>
      </c>
      <c r="R32" s="36" t="n">
        <f aca="false">R7*$G$152</f>
        <v>0</v>
      </c>
      <c r="S32" s="36" t="n">
        <f aca="false">S7*$G$152</f>
        <v>0</v>
      </c>
    </row>
    <row r="33" customFormat="false" ht="15" hidden="false" customHeight="false" outlineLevel="0" collapsed="false">
      <c r="A33" s="73" t="s">
        <v>1043</v>
      </c>
      <c r="B33" s="74" t="s">
        <v>284</v>
      </c>
      <c r="C33" s="66" t="s">
        <v>67</v>
      </c>
      <c r="D33" s="43" t="s">
        <v>81</v>
      </c>
      <c r="E33" s="75" t="s">
        <v>917</v>
      </c>
      <c r="F33" s="76" t="s">
        <v>1048</v>
      </c>
      <c r="G33" s="85" t="n">
        <v>9274082785.33571</v>
      </c>
      <c r="H33" s="85" t="n">
        <v>1090285979.39674</v>
      </c>
      <c r="I33" s="36" t="n">
        <f aca="false">I51</f>
        <v>6669794982.73869</v>
      </c>
      <c r="J33" s="36" t="n">
        <f aca="false">J51</f>
        <v>6009656348.7649</v>
      </c>
      <c r="K33" s="36" t="n">
        <f aca="false">K51</f>
        <v>5587543774.27105</v>
      </c>
      <c r="L33" s="36" t="n">
        <f aca="false">L51</f>
        <v>5153045525.24189</v>
      </c>
      <c r="M33" s="36" t="n">
        <f aca="false">M51</f>
        <v>4701167346.25157</v>
      </c>
      <c r="N33" s="36" t="n">
        <f aca="false">N51</f>
        <v>4231214040.10163</v>
      </c>
      <c r="O33" s="36" t="n">
        <f aca="false">O51</f>
        <v>3742462601.70569</v>
      </c>
      <c r="P33" s="36" t="n">
        <f aca="false">P51</f>
        <v>3234161105.77392</v>
      </c>
      <c r="Q33" s="36" t="n">
        <f aca="false">Q51</f>
        <v>2705527550.00488</v>
      </c>
      <c r="R33" s="36" t="n">
        <f aca="false">R51</f>
        <v>2155748652.00507</v>
      </c>
      <c r="S33" s="36" t="n">
        <f aca="false">S51</f>
        <v>1583978598.08528</v>
      </c>
    </row>
    <row r="34" customFormat="false" ht="15" hidden="false" customHeight="false" outlineLevel="0" collapsed="false">
      <c r="A34" s="73" t="s">
        <v>1043</v>
      </c>
      <c r="B34" s="74" t="s">
        <v>285</v>
      </c>
      <c r="C34" s="66" t="s">
        <v>67</v>
      </c>
      <c r="D34" s="43" t="s">
        <v>81</v>
      </c>
      <c r="E34" s="75" t="s">
        <v>917</v>
      </c>
      <c r="F34" s="76"/>
      <c r="G34" s="78" t="n">
        <f aca="false">G30+G31+G32+G33</f>
        <v>18836079635.3357</v>
      </c>
      <c r="H34" s="78" t="n">
        <f aca="false">H30+H31+H32+H33</f>
        <v>16176660205.8818</v>
      </c>
      <c r="I34" s="78" t="n">
        <f aca="false">I30+I31+I32+I33</f>
        <v>15459824794.9672</v>
      </c>
      <c r="J34" s="78" t="n">
        <f aca="false">J30+J31+J32+J33</f>
        <v>13151124387.1566</v>
      </c>
      <c r="K34" s="78" t="n">
        <f aca="false">K30+K31+K32+K33</f>
        <v>12068452435.4228</v>
      </c>
      <c r="L34" s="78" t="n">
        <f aca="false">L30+L31+L32+L33</f>
        <v>11039450746.8776</v>
      </c>
      <c r="M34" s="78" t="n">
        <f aca="false">M30+M31+M32+M33</f>
        <v>10052519472.3229</v>
      </c>
      <c r="N34" s="78" t="n">
        <f aca="false">N30+N31+N32+N33</f>
        <v>9101018380.16497</v>
      </c>
      <c r="O34" s="78" t="n">
        <f aca="false">O30+O31+O32+O33</f>
        <v>8178873934.36188</v>
      </c>
      <c r="P34" s="78" t="n">
        <f aca="false">P30+P31+P32+P33</f>
        <v>7280518731.76366</v>
      </c>
      <c r="Q34" s="78" t="n">
        <f aca="false">Q30+Q31+Q32+Q33</f>
        <v>6400836839.99481</v>
      </c>
      <c r="R34" s="78" t="n">
        <f aca="false">R30+R31+R32+R33</f>
        <v>5535114439.59518</v>
      </c>
      <c r="S34" s="78" t="n">
        <f aca="false">S30+S31+S32+S33</f>
        <v>4678995233.51555</v>
      </c>
    </row>
    <row r="35" customFormat="false" ht="15" hidden="false" customHeight="false" outlineLevel="0" collapsed="false">
      <c r="A35" s="73" t="s">
        <v>1043</v>
      </c>
      <c r="B35" s="74" t="s">
        <v>290</v>
      </c>
      <c r="C35" s="66" t="s">
        <v>67</v>
      </c>
      <c r="D35" s="43" t="s">
        <v>81</v>
      </c>
      <c r="E35" s="75" t="s">
        <v>917</v>
      </c>
      <c r="F35" s="76" t="s">
        <v>1049</v>
      </c>
      <c r="G35" s="85" t="n">
        <v>3250000000</v>
      </c>
      <c r="H35" s="85" t="n">
        <v>3250000000</v>
      </c>
      <c r="I35" s="36" t="n">
        <f aca="false">H35+IF(ISNUMBER(01_INPUTS!I268),01_INPUTS!I268,0)-IF(ISNUMBER(01_INPUTS!I269),01_INPUTS!I269,0)</f>
        <v>3250000000</v>
      </c>
      <c r="J35" s="36" t="n">
        <f aca="false">I35+IF(ISNUMBER(01_INPUTS!J268),01_INPUTS!J268,0)-IF(ISNUMBER(01_INPUTS!J269),01_INPUTS!J269,0)</f>
        <v>3250000000</v>
      </c>
      <c r="K35" s="36" t="n">
        <f aca="false">J35+IF(ISNUMBER(01_INPUTS!K268),01_INPUTS!K268,0)-IF(ISNUMBER(01_INPUTS!K269),01_INPUTS!K269,0)</f>
        <v>3250000000</v>
      </c>
      <c r="L35" s="36" t="n">
        <f aca="false">K35+IF(ISNUMBER(01_INPUTS!L268),01_INPUTS!L268,0)-IF(ISNUMBER(01_INPUTS!L269),01_INPUTS!L269,0)</f>
        <v>3250000000</v>
      </c>
      <c r="M35" s="36" t="n">
        <f aca="false">L35+IF(ISNUMBER(01_INPUTS!M268),01_INPUTS!M268,0)-IF(ISNUMBER(01_INPUTS!M269),01_INPUTS!M269,0)</f>
        <v>3250000000</v>
      </c>
      <c r="N35" s="36" t="n">
        <f aca="false">M35+IF(ISNUMBER(01_INPUTS!N268),01_INPUTS!N268,0)-IF(ISNUMBER(01_INPUTS!N269),01_INPUTS!N269,0)</f>
        <v>3250000000</v>
      </c>
      <c r="O35" s="36" t="n">
        <f aca="false">N35+IF(ISNUMBER(01_INPUTS!O268),01_INPUTS!O268,0)-IF(ISNUMBER(01_INPUTS!O269),01_INPUTS!O269,0)</f>
        <v>3250000000</v>
      </c>
      <c r="P35" s="36" t="n">
        <f aca="false">O35+IF(ISNUMBER(01_INPUTS!P268),01_INPUTS!P268,0)-IF(ISNUMBER(01_INPUTS!P269),01_INPUTS!P269,0)</f>
        <v>3250000000</v>
      </c>
      <c r="Q35" s="36" t="n">
        <f aca="false">P35+IF(ISNUMBER(01_INPUTS!Q268),01_INPUTS!Q268,0)-IF(ISNUMBER(01_INPUTS!Q269),01_INPUTS!Q269,0)</f>
        <v>3250000000</v>
      </c>
      <c r="R35" s="36" t="n">
        <f aca="false">Q35+IF(ISNUMBER(01_INPUTS!R268),01_INPUTS!R268,0)-IF(ISNUMBER(01_INPUTS!R269),01_INPUTS!R269,0)</f>
        <v>3250000000</v>
      </c>
      <c r="S35" s="36" t="n">
        <f aca="false">R35+IF(ISNUMBER(01_INPUTS!S268),01_INPUTS!S268,0)-IF(ISNUMBER(01_INPUTS!S269),01_INPUTS!S269,0)</f>
        <v>3250000000</v>
      </c>
    </row>
    <row r="36" customFormat="false" ht="15" hidden="false" customHeight="false" outlineLevel="0" collapsed="false">
      <c r="A36" s="73" t="s">
        <v>1043</v>
      </c>
      <c r="B36" s="74" t="s">
        <v>291</v>
      </c>
      <c r="C36" s="66" t="s">
        <v>67</v>
      </c>
      <c r="D36" s="43" t="s">
        <v>81</v>
      </c>
      <c r="E36" s="75" t="s">
        <v>917</v>
      </c>
      <c r="F36" s="76" t="s">
        <v>1050</v>
      </c>
      <c r="G36" s="85" t="n">
        <v>0</v>
      </c>
      <c r="H36" s="85" t="n">
        <v>0</v>
      </c>
      <c r="I36" s="36" t="n">
        <f aca="false">H36</f>
        <v>0</v>
      </c>
      <c r="J36" s="36" t="n">
        <f aca="false">I36</f>
        <v>0</v>
      </c>
      <c r="K36" s="36" t="n">
        <f aca="false">J36</f>
        <v>0</v>
      </c>
      <c r="L36" s="36" t="n">
        <f aca="false">K36</f>
        <v>0</v>
      </c>
      <c r="M36" s="36" t="n">
        <f aca="false">L36</f>
        <v>0</v>
      </c>
      <c r="N36" s="36" t="n">
        <f aca="false">M36</f>
        <v>0</v>
      </c>
      <c r="O36" s="36" t="n">
        <f aca="false">N36</f>
        <v>0</v>
      </c>
      <c r="P36" s="36" t="n">
        <f aca="false">O36</f>
        <v>0</v>
      </c>
      <c r="Q36" s="36" t="n">
        <f aca="false">P36</f>
        <v>0</v>
      </c>
      <c r="R36" s="36" t="n">
        <f aca="false">Q36</f>
        <v>0</v>
      </c>
      <c r="S36" s="36" t="n">
        <f aca="false">R36</f>
        <v>0</v>
      </c>
    </row>
    <row r="37" customFormat="false" ht="15" hidden="false" customHeight="false" outlineLevel="0" collapsed="false">
      <c r="A37" s="73" t="s">
        <v>1043</v>
      </c>
      <c r="B37" s="74" t="s">
        <v>292</v>
      </c>
      <c r="C37" s="66" t="s">
        <v>67</v>
      </c>
      <c r="D37" s="43" t="s">
        <v>81</v>
      </c>
      <c r="E37" s="75" t="s">
        <v>917</v>
      </c>
      <c r="F37" s="76" t="s">
        <v>1051</v>
      </c>
      <c r="G37" s="85" t="n">
        <v>2255812740.19634</v>
      </c>
      <c r="H37" s="85" t="n">
        <v>2425431990.18323</v>
      </c>
      <c r="I37" s="36" t="n">
        <f aca="false">H37+I29-IF(ISNUMBER(01_INPUTS!I270),01_INPUTS!I270,0)+(IF(ISNUMBER(01_INPUTS!I277),01_INPUTS!I277,0)+IF(ISNUMBER(01_INPUTS!I278),01_INPUTS!I278,0))</f>
        <v>1544842478.55817</v>
      </c>
      <c r="J37" s="36" t="n">
        <f aca="false">I37+J29-IF(ISNUMBER(01_INPUTS!J270),01_INPUTS!J270,0)+(IF(ISNUMBER(01_INPUTS!J277),01_INPUTS!J277,0)+IF(ISNUMBER(01_INPUTS!J278),01_INPUTS!J278,0))</f>
        <v>294363858.712158</v>
      </c>
      <c r="K37" s="36" t="n">
        <f aca="false">J37+K29-IF(ISNUMBER(01_INPUTS!K270),01_INPUTS!K270,0)+(IF(ISNUMBER(01_INPUTS!K277),01_INPUTS!K277,0)+IF(ISNUMBER(01_INPUTS!K278),01_INPUTS!K278,0))</f>
        <v>-783809264.577246</v>
      </c>
      <c r="L37" s="36" t="n">
        <f aca="false">K37+L29-IF(ISNUMBER(01_INPUTS!L270),01_INPUTS!L270,0)+(IF(ISNUMBER(01_INPUTS!L277),01_INPUTS!L277,0)+IF(ISNUMBER(01_INPUTS!L278),01_INPUTS!L278,0))</f>
        <v>-1812810953.1224</v>
      </c>
      <c r="M37" s="36" t="n">
        <f aca="false">L37+M29-IF(ISNUMBER(01_INPUTS!M270),01_INPUTS!M270,0)+(IF(ISNUMBER(01_INPUTS!M277),01_INPUTS!M277,0)+IF(ISNUMBER(01_INPUTS!M278),01_INPUTS!M278,0))</f>
        <v>-2799742227.67713</v>
      </c>
      <c r="N37" s="36" t="n">
        <f aca="false">M37+N29-IF(ISNUMBER(01_INPUTS!N270),01_INPUTS!N270,0)+(IF(ISNUMBER(01_INPUTS!N277),01_INPUTS!N277,0)+IF(ISNUMBER(01_INPUTS!N278),01_INPUTS!N278,0))</f>
        <v>-3751243319.83503</v>
      </c>
      <c r="O37" s="36" t="n">
        <f aca="false">N37+O29-IF(ISNUMBER(01_INPUTS!O270),01_INPUTS!O270,0)+(IF(ISNUMBER(01_INPUTS!O277),01_INPUTS!O277,0)+IF(ISNUMBER(01_INPUTS!O278),01_INPUTS!O278,0))</f>
        <v>-4673387765.63813</v>
      </c>
      <c r="P37" s="36" t="n">
        <f aca="false">O37+P29-IF(ISNUMBER(01_INPUTS!P270),01_INPUTS!P270,0)+(IF(ISNUMBER(01_INPUTS!P277),01_INPUTS!P277,0)+IF(ISNUMBER(01_INPUTS!P278),01_INPUTS!P278,0))</f>
        <v>-5571742968.23635</v>
      </c>
      <c r="Q37" s="36" t="n">
        <f aca="false">P37+Q29-IF(ISNUMBER(01_INPUTS!Q270),01_INPUTS!Q270,0)+(IF(ISNUMBER(01_INPUTS!Q277),01_INPUTS!Q277,0)+IF(ISNUMBER(01_INPUTS!Q278),01_INPUTS!Q278,0))</f>
        <v>-6451424860.00519</v>
      </c>
      <c r="R37" s="36" t="n">
        <f aca="false">Q37+R29-IF(ISNUMBER(01_INPUTS!R270),01_INPUTS!R270,0)+(IF(ISNUMBER(01_INPUTS!R277),01_INPUTS!R277,0)+IF(ISNUMBER(01_INPUTS!R278),01_INPUTS!R278,0))</f>
        <v>-7317147260.40482</v>
      </c>
      <c r="S37" s="36" t="n">
        <f aca="false">R37+S29-IF(ISNUMBER(01_INPUTS!S270),01_INPUTS!S270,0)+(IF(ISNUMBER(01_INPUTS!S277),01_INPUTS!S277,0)+IF(ISNUMBER(01_INPUTS!S278),01_INPUTS!S278,0))</f>
        <v>-8173266466.48446</v>
      </c>
    </row>
    <row r="38" customFormat="false" ht="15" hidden="false" customHeight="false" outlineLevel="0" collapsed="false">
      <c r="A38" s="73" t="s">
        <v>1043</v>
      </c>
      <c r="B38" s="74" t="s">
        <v>1052</v>
      </c>
      <c r="C38" s="66" t="s">
        <v>67</v>
      </c>
      <c r="D38" s="43" t="s">
        <v>81</v>
      </c>
      <c r="E38" s="75" t="s">
        <v>917</v>
      </c>
      <c r="F38" s="76"/>
      <c r="G38" s="78" t="n">
        <f aca="false">G35+G36+G37</f>
        <v>5505812740.19634</v>
      </c>
      <c r="H38" s="78" t="n">
        <f aca="false">H35+H36+H37</f>
        <v>5675431990.18323</v>
      </c>
      <c r="I38" s="78" t="n">
        <f aca="false">I35+I36+I37</f>
        <v>4794842478.55817</v>
      </c>
      <c r="J38" s="78" t="n">
        <f aca="false">J35+J36+J37</f>
        <v>3544363858.71216</v>
      </c>
      <c r="K38" s="78" t="n">
        <f aca="false">K35+K36+K37</f>
        <v>2466190735.42275</v>
      </c>
      <c r="L38" s="78" t="n">
        <f aca="false">L35+L36+L37</f>
        <v>1437189046.8776</v>
      </c>
      <c r="M38" s="78" t="n">
        <f aca="false">M35+M36+M37</f>
        <v>450257772.322871</v>
      </c>
      <c r="N38" s="78" t="n">
        <f aca="false">N35+N36+N37</f>
        <v>-501243319.835026</v>
      </c>
      <c r="O38" s="78" t="n">
        <f aca="false">O35+O36+O37</f>
        <v>-1423387765.63813</v>
      </c>
      <c r="P38" s="78" t="n">
        <f aca="false">P35+P36+P37</f>
        <v>-2321742968.23635</v>
      </c>
      <c r="Q38" s="78" t="n">
        <f aca="false">Q35+Q36+Q37</f>
        <v>-3201424860.00519</v>
      </c>
      <c r="R38" s="78" t="n">
        <f aca="false">R35+R36+R37</f>
        <v>-4067147260.40482</v>
      </c>
      <c r="S38" s="78" t="n">
        <f aca="false">S35+S36+S37</f>
        <v>-4923266466.48446</v>
      </c>
    </row>
    <row r="39" customFormat="false" ht="15" hidden="false" customHeight="false" outlineLevel="0" collapsed="false">
      <c r="A39" s="73" t="s">
        <v>1043</v>
      </c>
      <c r="B39" s="74" t="s">
        <v>286</v>
      </c>
      <c r="C39" s="66" t="s">
        <v>67</v>
      </c>
      <c r="D39" s="43" t="s">
        <v>81</v>
      </c>
      <c r="E39" s="75" t="s">
        <v>917</v>
      </c>
      <c r="F39" s="76" t="s">
        <v>1053</v>
      </c>
      <c r="G39" s="85" t="n">
        <v>11900000000</v>
      </c>
      <c r="H39" s="85" t="n">
        <v>11900000000</v>
      </c>
      <c r="I39" s="36" t="n">
        <f aca="false">H39+IF(ISNUMBER(01_INPUTS!I267),01_INPUTS!I267,0)</f>
        <v>11900000000</v>
      </c>
      <c r="J39" s="36" t="n">
        <f aca="false">I39+IF(ISNUMBER(01_INPUTS!J267),01_INPUTS!J267,0)</f>
        <v>11900000000</v>
      </c>
      <c r="K39" s="36" t="n">
        <f aca="false">J39+IF(ISNUMBER(01_INPUTS!K267),01_INPUTS!K267,0)</f>
        <v>11900000000</v>
      </c>
      <c r="L39" s="36" t="n">
        <f aca="false">K39+IF(ISNUMBER(01_INPUTS!L267),01_INPUTS!L267,0)</f>
        <v>11900000000</v>
      </c>
      <c r="M39" s="36" t="n">
        <f aca="false">L39+IF(ISNUMBER(01_INPUTS!M267),01_INPUTS!M267,0)</f>
        <v>11900000000</v>
      </c>
      <c r="N39" s="36" t="n">
        <f aca="false">M39+IF(ISNUMBER(01_INPUTS!N267),01_INPUTS!N267,0)</f>
        <v>11900000000</v>
      </c>
      <c r="O39" s="36" t="n">
        <f aca="false">N39+IF(ISNUMBER(01_INPUTS!O267),01_INPUTS!O267,0)</f>
        <v>11900000000</v>
      </c>
      <c r="P39" s="36" t="n">
        <f aca="false">O39+IF(ISNUMBER(01_INPUTS!P267),01_INPUTS!P267,0)</f>
        <v>11900000000</v>
      </c>
      <c r="Q39" s="36" t="n">
        <f aca="false">P39+IF(ISNUMBER(01_INPUTS!Q267),01_INPUTS!Q267,0)</f>
        <v>11900000000</v>
      </c>
      <c r="R39" s="36" t="n">
        <f aca="false">Q39+IF(ISNUMBER(01_INPUTS!R267),01_INPUTS!R267,0)</f>
        <v>11900000000</v>
      </c>
      <c r="S39" s="36" t="n">
        <f aca="false">R39+IF(ISNUMBER(01_INPUTS!S267),01_INPUTS!S267,0)</f>
        <v>11900000000</v>
      </c>
    </row>
    <row r="40" customFormat="false" ht="35.05" hidden="false" customHeight="false" outlineLevel="0" collapsed="false">
      <c r="A40" s="73" t="s">
        <v>1043</v>
      </c>
      <c r="B40" s="74" t="s">
        <v>1054</v>
      </c>
      <c r="C40" s="66" t="s">
        <v>67</v>
      </c>
      <c r="D40" s="43" t="s">
        <v>81</v>
      </c>
      <c r="E40" s="75" t="s">
        <v>917</v>
      </c>
      <c r="F40" s="76" t="s">
        <v>1055</v>
      </c>
      <c r="G40" s="85" t="n">
        <v>0</v>
      </c>
      <c r="H40" s="85" t="n">
        <v>0</v>
      </c>
      <c r="I40" s="36" t="n">
        <f aca="false">H40+I48</f>
        <v>0</v>
      </c>
      <c r="J40" s="36" t="n">
        <f aca="false">I40+J48</f>
        <v>0</v>
      </c>
      <c r="K40" s="36" t="n">
        <f aca="false">J40+K48</f>
        <v>0</v>
      </c>
      <c r="L40" s="36" t="n">
        <f aca="false">K40+L48</f>
        <v>0</v>
      </c>
      <c r="M40" s="36" t="n">
        <f aca="false">L40+M48</f>
        <v>0</v>
      </c>
      <c r="N40" s="36" t="n">
        <f aca="false">M40+N48</f>
        <v>0</v>
      </c>
      <c r="O40" s="36" t="n">
        <f aca="false">N40+O48</f>
        <v>0</v>
      </c>
      <c r="P40" s="36" t="n">
        <f aca="false">O40+P48</f>
        <v>0</v>
      </c>
      <c r="Q40" s="36" t="n">
        <f aca="false">P40+Q48</f>
        <v>0</v>
      </c>
      <c r="R40" s="36" t="n">
        <f aca="false">Q40+R48</f>
        <v>0</v>
      </c>
      <c r="S40" s="36" t="n">
        <f aca="false">R40+S48</f>
        <v>0</v>
      </c>
    </row>
    <row r="41" customFormat="false" ht="21.6" hidden="false" customHeight="false" outlineLevel="0" collapsed="false">
      <c r="A41" s="73" t="s">
        <v>1043</v>
      </c>
      <c r="B41" s="74" t="s">
        <v>1056</v>
      </c>
      <c r="C41" s="66" t="s">
        <v>67</v>
      </c>
      <c r="D41" s="43" t="s">
        <v>81</v>
      </c>
      <c r="E41" s="75" t="s">
        <v>917</v>
      </c>
      <c r="F41" s="76" t="s">
        <v>1057</v>
      </c>
      <c r="G41" s="85" t="n">
        <v>700000000</v>
      </c>
      <c r="H41" s="85" t="n">
        <v>-2300000000</v>
      </c>
      <c r="I41" s="36" t="n">
        <f aca="false">H41+(IF(ISNUMBER(01_INPUTS!I273),01_INPUTS!I273,0)+IF(ISNUMBER(01_INPUTS!I275),01_INPUTS!I275,0))-(IF(ISNUMBER(01_INPUTS!I271),01_INPUTS!I271,0)+IF(ISNUMBER(01_INPUTS!I272),01_INPUTS!I272,0))</f>
        <v>-2300000000</v>
      </c>
      <c r="J41" s="36" t="n">
        <f aca="false">I41+(IF(ISNUMBER(01_INPUTS!J273),01_INPUTS!J273,0)+IF(ISNUMBER(01_INPUTS!J275),01_INPUTS!J275,0))-(IF(ISNUMBER(01_INPUTS!J271),01_INPUTS!J271,0)+IF(ISNUMBER(01_INPUTS!J272),01_INPUTS!J272,0))</f>
        <v>-2300000000</v>
      </c>
      <c r="K41" s="36" t="n">
        <f aca="false">J41+(IF(ISNUMBER(01_INPUTS!K273),01_INPUTS!K273,0)+IF(ISNUMBER(01_INPUTS!K275),01_INPUTS!K275,0))-(IF(ISNUMBER(01_INPUTS!K271),01_INPUTS!K271,0)+IF(ISNUMBER(01_INPUTS!K272),01_INPUTS!K272,0))</f>
        <v>-2300000000</v>
      </c>
      <c r="L41" s="36" t="n">
        <f aca="false">K41+(IF(ISNUMBER(01_INPUTS!L273),01_INPUTS!L273,0)+IF(ISNUMBER(01_INPUTS!L275),01_INPUTS!L275,0))-(IF(ISNUMBER(01_INPUTS!L271),01_INPUTS!L271,0)+IF(ISNUMBER(01_INPUTS!L272),01_INPUTS!L272,0))</f>
        <v>-2300000000</v>
      </c>
      <c r="M41" s="36" t="n">
        <f aca="false">L41+(IF(ISNUMBER(01_INPUTS!M273),01_INPUTS!M273,0)+IF(ISNUMBER(01_INPUTS!M275),01_INPUTS!M275,0))-(IF(ISNUMBER(01_INPUTS!M271),01_INPUTS!M271,0)+IF(ISNUMBER(01_INPUTS!M272),01_INPUTS!M272,0))</f>
        <v>-2300000000</v>
      </c>
      <c r="N41" s="36" t="n">
        <f aca="false">M41+(IF(ISNUMBER(01_INPUTS!N273),01_INPUTS!N273,0)+IF(ISNUMBER(01_INPUTS!N275),01_INPUTS!N275,0))-(IF(ISNUMBER(01_INPUTS!N271),01_INPUTS!N271,0)+IF(ISNUMBER(01_INPUTS!N272),01_INPUTS!N272,0))</f>
        <v>-2300000000</v>
      </c>
      <c r="O41" s="36" t="n">
        <f aca="false">N41+(IF(ISNUMBER(01_INPUTS!O273),01_INPUTS!O273,0)+IF(ISNUMBER(01_INPUTS!O275),01_INPUTS!O275,0))-(IF(ISNUMBER(01_INPUTS!O271),01_INPUTS!O271,0)+IF(ISNUMBER(01_INPUTS!O272),01_INPUTS!O272,0))</f>
        <v>-2300000000</v>
      </c>
      <c r="P41" s="36" t="n">
        <f aca="false">O41+(IF(ISNUMBER(01_INPUTS!P273),01_INPUTS!P273,0)+IF(ISNUMBER(01_INPUTS!P275),01_INPUTS!P275,0))-(IF(ISNUMBER(01_INPUTS!P271),01_INPUTS!P271,0)+IF(ISNUMBER(01_INPUTS!P272),01_INPUTS!P272,0))</f>
        <v>-2300000000</v>
      </c>
      <c r="Q41" s="36" t="n">
        <f aca="false">P41+(IF(ISNUMBER(01_INPUTS!Q273),01_INPUTS!Q273,0)+IF(ISNUMBER(01_INPUTS!Q275),01_INPUTS!Q275,0))-(IF(ISNUMBER(01_INPUTS!Q271),01_INPUTS!Q271,0)+IF(ISNUMBER(01_INPUTS!Q272),01_INPUTS!Q272,0))</f>
        <v>-2300000000</v>
      </c>
      <c r="R41" s="36" t="n">
        <f aca="false">Q41+(IF(ISNUMBER(01_INPUTS!R273),01_INPUTS!R273,0)+IF(ISNUMBER(01_INPUTS!R275),01_INPUTS!R275,0))-(IF(ISNUMBER(01_INPUTS!R271),01_INPUTS!R271,0)+IF(ISNUMBER(01_INPUTS!R272),01_INPUTS!R272,0))</f>
        <v>-2300000000</v>
      </c>
      <c r="S41" s="36" t="n">
        <f aca="false">R41+(IF(ISNUMBER(01_INPUTS!S273),01_INPUTS!S273,0)+IF(ISNUMBER(01_INPUTS!S275),01_INPUTS!S275,0))-(IF(ISNUMBER(01_INPUTS!S271),01_INPUTS!S271,0)+IF(ISNUMBER(01_INPUTS!S272),01_INPUTS!S272,0))</f>
        <v>-2300000000</v>
      </c>
    </row>
    <row r="42" customFormat="false" ht="28.35" hidden="false" customHeight="false" outlineLevel="0" collapsed="false">
      <c r="A42" s="73" t="s">
        <v>1043</v>
      </c>
      <c r="B42" s="74" t="s">
        <v>1058</v>
      </c>
      <c r="C42" s="66" t="s">
        <v>67</v>
      </c>
      <c r="D42" s="43" t="s">
        <v>81</v>
      </c>
      <c r="E42" s="75" t="s">
        <v>917</v>
      </c>
      <c r="F42" s="76" t="s">
        <v>1059</v>
      </c>
      <c r="G42" s="85" t="n">
        <v>730266895.139377</v>
      </c>
      <c r="H42" s="85" t="n">
        <v>901228215.698617</v>
      </c>
      <c r="I42" s="36" t="n">
        <f aca="false">I18*$G$155</f>
        <v>1064982316.409</v>
      </c>
      <c r="J42" s="36" t="n">
        <f aca="false">J18*$G$155</f>
        <v>6760528.44444445</v>
      </c>
      <c r="K42" s="36" t="n">
        <f aca="false">K18*$G$155</f>
        <v>2261700</v>
      </c>
      <c r="L42" s="36" t="n">
        <f aca="false">L18*$G$155</f>
        <v>2261700</v>
      </c>
      <c r="M42" s="36" t="n">
        <f aca="false">M18*$G$155</f>
        <v>2261700</v>
      </c>
      <c r="N42" s="36" t="n">
        <f aca="false">N18*$G$155</f>
        <v>2261700</v>
      </c>
      <c r="O42" s="36" t="n">
        <f aca="false">O18*$G$155</f>
        <v>2261700</v>
      </c>
      <c r="P42" s="36" t="n">
        <f aca="false">P18*$G$155</f>
        <v>2261700</v>
      </c>
      <c r="Q42" s="36" t="n">
        <f aca="false">Q18*$G$155</f>
        <v>2261700</v>
      </c>
      <c r="R42" s="36" t="n">
        <f aca="false">R18*$G$155</f>
        <v>2261700</v>
      </c>
      <c r="S42" s="36" t="n">
        <f aca="false">S18*$G$155</f>
        <v>2261700</v>
      </c>
    </row>
    <row r="43" customFormat="false" ht="15" hidden="false" customHeight="false" outlineLevel="0" collapsed="false">
      <c r="A43" s="73" t="s">
        <v>1043</v>
      </c>
      <c r="B43" s="74" t="s">
        <v>289</v>
      </c>
      <c r="C43" s="66" t="s">
        <v>67</v>
      </c>
      <c r="D43" s="43" t="s">
        <v>81</v>
      </c>
      <c r="E43" s="75" t="s">
        <v>917</v>
      </c>
      <c r="F43" s="76"/>
      <c r="G43" s="78" t="n">
        <f aca="false">G39+G40+G41+G42</f>
        <v>13330266895.1394</v>
      </c>
      <c r="H43" s="78" t="n">
        <f aca="false">H39+H40+H41+H42</f>
        <v>10501228215.6986</v>
      </c>
      <c r="I43" s="78" t="n">
        <f aca="false">I39+I40+I41+I42</f>
        <v>10664982316.409</v>
      </c>
      <c r="J43" s="78" t="n">
        <f aca="false">J39+J40+J41+J42</f>
        <v>9606760528.44445</v>
      </c>
      <c r="K43" s="78" t="n">
        <f aca="false">K39+K40+K41+K42</f>
        <v>9602261700</v>
      </c>
      <c r="L43" s="78" t="n">
        <f aca="false">L39+L40+L41+L42</f>
        <v>9602261700</v>
      </c>
      <c r="M43" s="78" t="n">
        <f aca="false">M39+M40+M41+M42</f>
        <v>9602261700</v>
      </c>
      <c r="N43" s="78" t="n">
        <f aca="false">N39+N40+N41+N42</f>
        <v>9602261700</v>
      </c>
      <c r="O43" s="78" t="n">
        <f aca="false">O39+O40+O41+O42</f>
        <v>9602261700</v>
      </c>
      <c r="P43" s="78" t="n">
        <f aca="false">P39+P40+P41+P42</f>
        <v>9602261700</v>
      </c>
      <c r="Q43" s="78" t="n">
        <f aca="false">Q39+Q40+Q41+Q42</f>
        <v>9602261700</v>
      </c>
      <c r="R43" s="78" t="n">
        <f aca="false">R39+R40+R41+R42</f>
        <v>9602261700</v>
      </c>
      <c r="S43" s="78" t="n">
        <f aca="false">S39+S40+S41+S42</f>
        <v>9602261700</v>
      </c>
    </row>
    <row r="44" customFormat="false" ht="15" hidden="false" customHeight="false" outlineLevel="0" collapsed="false">
      <c r="A44" s="73" t="s">
        <v>1043</v>
      </c>
      <c r="B44" s="74" t="s">
        <v>1060</v>
      </c>
      <c r="C44" s="66" t="s">
        <v>67</v>
      </c>
      <c r="D44" s="43" t="s">
        <v>81</v>
      </c>
      <c r="E44" s="75" t="s">
        <v>344</v>
      </c>
      <c r="F44" s="76" t="s">
        <v>1061</v>
      </c>
      <c r="G44" s="89" t="n">
        <f aca="false">G34-(G38+G43)</f>
        <v>0</v>
      </c>
      <c r="H44" s="89" t="n">
        <f aca="false">H34-(H38+H43)</f>
        <v>0</v>
      </c>
      <c r="I44" s="89" t="n">
        <f aca="false">I34-(I38+I43)</f>
        <v>0</v>
      </c>
      <c r="J44" s="89" t="n">
        <f aca="false">J34-(J38+J43)</f>
        <v>0</v>
      </c>
      <c r="K44" s="89" t="n">
        <f aca="false">K34-(K38+K43)</f>
        <v>0</v>
      </c>
      <c r="L44" s="89" t="n">
        <f aca="false">L34-(L38+L43)</f>
        <v>0</v>
      </c>
      <c r="M44" s="89" t="n">
        <f aca="false">M34-(M38+M43)</f>
        <v>0</v>
      </c>
      <c r="N44" s="89" t="n">
        <f aca="false">N34-(N38+N43)</f>
        <v>0</v>
      </c>
      <c r="O44" s="89" t="n">
        <f aca="false">O34-(O38+O43)</f>
        <v>0</v>
      </c>
      <c r="P44" s="89" t="n">
        <f aca="false">P34-(P38+P43)</f>
        <v>0</v>
      </c>
      <c r="Q44" s="89" t="n">
        <f aca="false">Q34-(Q38+Q43)</f>
        <v>0</v>
      </c>
      <c r="R44" s="89" t="n">
        <f aca="false">R34-(R38+R43)</f>
        <v>0</v>
      </c>
      <c r="S44" s="89" t="n">
        <f aca="false">S34-(S38+S43)</f>
        <v>0</v>
      </c>
    </row>
    <row r="45" customFormat="false" ht="15" hidden="false" customHeight="false" outlineLevel="0" collapsed="false">
      <c r="A45" s="73" t="s">
        <v>1062</v>
      </c>
      <c r="B45" s="74" t="s">
        <v>295</v>
      </c>
      <c r="C45" s="66" t="s">
        <v>67</v>
      </c>
      <c r="D45" s="43" t="s">
        <v>81</v>
      </c>
      <c r="E45" s="75" t="s">
        <v>917</v>
      </c>
      <c r="F45" s="76" t="s">
        <v>1063</v>
      </c>
      <c r="G45" s="48" t="s">
        <v>77</v>
      </c>
      <c r="H45" s="85" t="n">
        <v>-4168006335.0791</v>
      </c>
      <c r="I45" s="36" t="n">
        <f aca="false">(I29+I20)-(I31-H31)-(I32-H32)+(I42-H42)</f>
        <v>8579509003.34195</v>
      </c>
      <c r="J45" s="36" t="n">
        <f aca="false">(J29+J20)-(J31-I31)-(J32-I32)+(J42-I42)</f>
        <v>-660138633.973795</v>
      </c>
      <c r="K45" s="36" t="n">
        <f aca="false">(K29+K20)-(K31-J31)-(K32-J32)+(K42-J42)</f>
        <v>-422112574.493849</v>
      </c>
      <c r="L45" s="36" t="n">
        <f aca="false">(L29+L20)-(L31-K31)-(L32-K32)+(L42-K42)</f>
        <v>-434498249.029158</v>
      </c>
      <c r="M45" s="36" t="n">
        <f aca="false">(M29+M20)-(M31-L31)-(M32-L32)+(M42-L42)</f>
        <v>-451878178.990324</v>
      </c>
      <c r="N45" s="36" t="n">
        <f aca="false">(N29+N20)-(N31-M31)-(N32-M32)+(N42-M42)</f>
        <v>-469953306.149937</v>
      </c>
      <c r="O45" s="36" t="n">
        <f aca="false">(O29+O20)-(O31-N31)-(O32-N32)+(O42-N42)</f>
        <v>-488751438.395935</v>
      </c>
      <c r="P45" s="36" t="n">
        <f aca="false">(P29+P20)-(P31-O31)-(P32-O32)+(P42-O42)</f>
        <v>-508301495.931772</v>
      </c>
      <c r="Q45" s="36" t="n">
        <f aca="false">(Q29+Q20)-(Q31-P31)-(Q32-P32)+(Q42-P42)</f>
        <v>-528633555.769043</v>
      </c>
      <c r="R45" s="36" t="n">
        <f aca="false">(R29+R20)-(R31-Q31)-(R32-Q32)+(R42-Q42)</f>
        <v>-549778897.999805</v>
      </c>
      <c r="S45" s="36" t="n">
        <f aca="false">(S29+S20)-(S31-R31)-(S32-R32)+(S42-R42)</f>
        <v>-571770053.919797</v>
      </c>
    </row>
    <row r="46" customFormat="false" ht="15" hidden="false" customHeight="false" outlineLevel="0" collapsed="false">
      <c r="A46" s="73" t="s">
        <v>1062</v>
      </c>
      <c r="B46" s="74" t="s">
        <v>296</v>
      </c>
      <c r="C46" s="66" t="s">
        <v>67</v>
      </c>
      <c r="D46" s="43" t="s">
        <v>81</v>
      </c>
      <c r="E46" s="75" t="s">
        <v>917</v>
      </c>
      <c r="F46" s="76" t="s">
        <v>1064</v>
      </c>
      <c r="G46" s="48" t="s">
        <v>77</v>
      </c>
      <c r="H46" s="85" t="n">
        <v>-14000000</v>
      </c>
      <c r="I46" s="36" t="n">
        <f aca="false">-_ENGINE_PRODUCCION!I180+_ENGINE_PRODUCCION!I181</f>
        <v>0</v>
      </c>
      <c r="J46" s="36" t="n">
        <f aca="false">-_ENGINE_PRODUCCION!J180+_ENGINE_PRODUCCION!J181</f>
        <v>0</v>
      </c>
      <c r="K46" s="36" t="n">
        <f aca="false">-_ENGINE_PRODUCCION!K180+_ENGINE_PRODUCCION!K181</f>
        <v>0</v>
      </c>
      <c r="L46" s="36" t="n">
        <f aca="false">-_ENGINE_PRODUCCION!L180+_ENGINE_PRODUCCION!L181</f>
        <v>0</v>
      </c>
      <c r="M46" s="36" t="n">
        <f aca="false">-_ENGINE_PRODUCCION!M180+_ENGINE_PRODUCCION!M181</f>
        <v>0</v>
      </c>
      <c r="N46" s="36" t="n">
        <f aca="false">-_ENGINE_PRODUCCION!N180+_ENGINE_PRODUCCION!N181</f>
        <v>0</v>
      </c>
      <c r="O46" s="36" t="n">
        <f aca="false">-_ENGINE_PRODUCCION!O180+_ENGINE_PRODUCCION!O181</f>
        <v>0</v>
      </c>
      <c r="P46" s="36" t="n">
        <f aca="false">-_ENGINE_PRODUCCION!P180+_ENGINE_PRODUCCION!P181</f>
        <v>0</v>
      </c>
      <c r="Q46" s="36" t="n">
        <f aca="false">-_ENGINE_PRODUCCION!Q180+_ENGINE_PRODUCCION!Q181</f>
        <v>0</v>
      </c>
      <c r="R46" s="36" t="n">
        <f aca="false">-_ENGINE_PRODUCCION!R180+_ENGINE_PRODUCCION!R181</f>
        <v>0</v>
      </c>
      <c r="S46" s="36" t="n">
        <f aca="false">-_ENGINE_PRODUCCION!S180+_ENGINE_PRODUCCION!S181</f>
        <v>0</v>
      </c>
    </row>
    <row r="47" customFormat="false" ht="15" hidden="false" customHeight="false" outlineLevel="0" collapsed="false">
      <c r="A47" s="73" t="s">
        <v>1062</v>
      </c>
      <c r="B47" s="74" t="s">
        <v>1065</v>
      </c>
      <c r="C47" s="66" t="s">
        <v>67</v>
      </c>
      <c r="D47" s="43" t="s">
        <v>81</v>
      </c>
      <c r="E47" s="75" t="s">
        <v>917</v>
      </c>
      <c r="F47" s="76" t="s">
        <v>1066</v>
      </c>
      <c r="G47" s="48" t="s">
        <v>77</v>
      </c>
      <c r="H47" s="85" t="n">
        <v>-4001790470.85988</v>
      </c>
      <c r="I47" s="36" t="n">
        <f aca="false">-IF(ISNUMBER(01_INPUTS!I270),01_INPUTS!I270,0)+IF(ISNUMBER(01_INPUTS!I268),01_INPUTS!I268,0)-IF(ISNUMBER(01_INPUTS!I269),01_INPUTS!I269,0)+(IF(ISNUMBER(01_INPUTS!I277),01_INPUTS!I277,0)+IF(ISNUMBER(01_INPUTS!I278),01_INPUTS!I278,0))+IF(ISNUMBER(01_INPUTS!I267),01_INPUTS!I267,0)+(IF(ISNUMBER(01_INPUTS!I273),01_INPUTS!I273,0)+IF(ISNUMBER(01_INPUTS!I275),01_INPUTS!I275,0))-(IF(ISNUMBER(01_INPUTS!I271),01_INPUTS!I271,0)+IF(ISNUMBER(01_INPUTS!I272),01_INPUTS!I272,0))</f>
        <v>-3000000000</v>
      </c>
      <c r="J47" s="36" t="n">
        <f aca="false">-IF(ISNUMBER(01_INPUTS!J270),01_INPUTS!J270,0)+IF(ISNUMBER(01_INPUTS!J268),01_INPUTS!J268,0)-IF(ISNUMBER(01_INPUTS!J269),01_INPUTS!J269,0)+(IF(ISNUMBER(01_INPUTS!J277),01_INPUTS!J277,0)+IF(ISNUMBER(01_INPUTS!J278),01_INPUTS!J278,0))+IF(ISNUMBER(01_INPUTS!J267),01_INPUTS!J267,0)+(IF(ISNUMBER(01_INPUTS!J273),01_INPUTS!J273,0)+IF(ISNUMBER(01_INPUTS!J275),01_INPUTS!J275,0))-(IF(ISNUMBER(01_INPUTS!J271),01_INPUTS!J271,0)+IF(ISNUMBER(01_INPUTS!J272),01_INPUTS!J272,0))</f>
        <v>0</v>
      </c>
      <c r="K47" s="36" t="n">
        <f aca="false">-IF(ISNUMBER(01_INPUTS!K270),01_INPUTS!K270,0)+IF(ISNUMBER(01_INPUTS!K268),01_INPUTS!K268,0)-IF(ISNUMBER(01_INPUTS!K269),01_INPUTS!K269,0)+(IF(ISNUMBER(01_INPUTS!K277),01_INPUTS!K277,0)+IF(ISNUMBER(01_INPUTS!K278),01_INPUTS!K278,0))+IF(ISNUMBER(01_INPUTS!K267),01_INPUTS!K267,0)+(IF(ISNUMBER(01_INPUTS!K273),01_INPUTS!K273,0)+IF(ISNUMBER(01_INPUTS!K275),01_INPUTS!K275,0))-(IF(ISNUMBER(01_INPUTS!K271),01_INPUTS!K271,0)+IF(ISNUMBER(01_INPUTS!K272),01_INPUTS!K272,0))</f>
        <v>0</v>
      </c>
      <c r="L47" s="36" t="n">
        <f aca="false">-IF(ISNUMBER(01_INPUTS!L270),01_INPUTS!L270,0)+IF(ISNUMBER(01_INPUTS!L268),01_INPUTS!L268,0)-IF(ISNUMBER(01_INPUTS!L269),01_INPUTS!L269,0)+(IF(ISNUMBER(01_INPUTS!L277),01_INPUTS!L277,0)+IF(ISNUMBER(01_INPUTS!L278),01_INPUTS!L278,0))+IF(ISNUMBER(01_INPUTS!L267),01_INPUTS!L267,0)+(IF(ISNUMBER(01_INPUTS!L273),01_INPUTS!L273,0)+IF(ISNUMBER(01_INPUTS!L275),01_INPUTS!L275,0))-(IF(ISNUMBER(01_INPUTS!L271),01_INPUTS!L271,0)+IF(ISNUMBER(01_INPUTS!L272),01_INPUTS!L272,0))</f>
        <v>0</v>
      </c>
      <c r="M47" s="36" t="n">
        <f aca="false">-IF(ISNUMBER(01_INPUTS!M270),01_INPUTS!M270,0)+IF(ISNUMBER(01_INPUTS!M268),01_INPUTS!M268,0)-IF(ISNUMBER(01_INPUTS!M269),01_INPUTS!M269,0)+(IF(ISNUMBER(01_INPUTS!M277),01_INPUTS!M277,0)+IF(ISNUMBER(01_INPUTS!M278),01_INPUTS!M278,0))+IF(ISNUMBER(01_INPUTS!M267),01_INPUTS!M267,0)+(IF(ISNUMBER(01_INPUTS!M273),01_INPUTS!M273,0)+IF(ISNUMBER(01_INPUTS!M275),01_INPUTS!M275,0))-(IF(ISNUMBER(01_INPUTS!M271),01_INPUTS!M271,0)+IF(ISNUMBER(01_INPUTS!M272),01_INPUTS!M272,0))</f>
        <v>0</v>
      </c>
      <c r="N47" s="36" t="n">
        <f aca="false">-IF(ISNUMBER(01_INPUTS!N270),01_INPUTS!N270,0)+IF(ISNUMBER(01_INPUTS!N268),01_INPUTS!N268,0)-IF(ISNUMBER(01_INPUTS!N269),01_INPUTS!N269,0)+(IF(ISNUMBER(01_INPUTS!N277),01_INPUTS!N277,0)+IF(ISNUMBER(01_INPUTS!N278),01_INPUTS!N278,0))+IF(ISNUMBER(01_INPUTS!N267),01_INPUTS!N267,0)+(IF(ISNUMBER(01_INPUTS!N273),01_INPUTS!N273,0)+IF(ISNUMBER(01_INPUTS!N275),01_INPUTS!N275,0))-(IF(ISNUMBER(01_INPUTS!N271),01_INPUTS!N271,0)+IF(ISNUMBER(01_INPUTS!N272),01_INPUTS!N272,0))</f>
        <v>0</v>
      </c>
      <c r="O47" s="36" t="n">
        <f aca="false">-IF(ISNUMBER(01_INPUTS!O270),01_INPUTS!O270,0)+IF(ISNUMBER(01_INPUTS!O268),01_INPUTS!O268,0)-IF(ISNUMBER(01_INPUTS!O269),01_INPUTS!O269,0)+(IF(ISNUMBER(01_INPUTS!O277),01_INPUTS!O277,0)+IF(ISNUMBER(01_INPUTS!O278),01_INPUTS!O278,0))+IF(ISNUMBER(01_INPUTS!O267),01_INPUTS!O267,0)+(IF(ISNUMBER(01_INPUTS!O273),01_INPUTS!O273,0)+IF(ISNUMBER(01_INPUTS!O275),01_INPUTS!O275,0))-(IF(ISNUMBER(01_INPUTS!O271),01_INPUTS!O271,0)+IF(ISNUMBER(01_INPUTS!O272),01_INPUTS!O272,0))</f>
        <v>0</v>
      </c>
      <c r="P47" s="36" t="n">
        <f aca="false">-IF(ISNUMBER(01_INPUTS!P270),01_INPUTS!P270,0)+IF(ISNUMBER(01_INPUTS!P268),01_INPUTS!P268,0)-IF(ISNUMBER(01_INPUTS!P269),01_INPUTS!P269,0)+(IF(ISNUMBER(01_INPUTS!P277),01_INPUTS!P277,0)+IF(ISNUMBER(01_INPUTS!P278),01_INPUTS!P278,0))+IF(ISNUMBER(01_INPUTS!P267),01_INPUTS!P267,0)+(IF(ISNUMBER(01_INPUTS!P273),01_INPUTS!P273,0)+IF(ISNUMBER(01_INPUTS!P275),01_INPUTS!P275,0))-(IF(ISNUMBER(01_INPUTS!P271),01_INPUTS!P271,0)+IF(ISNUMBER(01_INPUTS!P272),01_INPUTS!P272,0))</f>
        <v>0</v>
      </c>
      <c r="Q47" s="36" t="n">
        <f aca="false">-IF(ISNUMBER(01_INPUTS!Q270),01_INPUTS!Q270,0)+IF(ISNUMBER(01_INPUTS!Q268),01_INPUTS!Q268,0)-IF(ISNUMBER(01_INPUTS!Q269),01_INPUTS!Q269,0)+(IF(ISNUMBER(01_INPUTS!Q277),01_INPUTS!Q277,0)+IF(ISNUMBER(01_INPUTS!Q278),01_INPUTS!Q278,0))+IF(ISNUMBER(01_INPUTS!Q267),01_INPUTS!Q267,0)+(IF(ISNUMBER(01_INPUTS!Q273),01_INPUTS!Q273,0)+IF(ISNUMBER(01_INPUTS!Q275),01_INPUTS!Q275,0))-(IF(ISNUMBER(01_INPUTS!Q271),01_INPUTS!Q271,0)+IF(ISNUMBER(01_INPUTS!Q272),01_INPUTS!Q272,0))</f>
        <v>0</v>
      </c>
      <c r="R47" s="36" t="n">
        <f aca="false">-IF(ISNUMBER(01_INPUTS!R270),01_INPUTS!R270,0)+IF(ISNUMBER(01_INPUTS!R268),01_INPUTS!R268,0)-IF(ISNUMBER(01_INPUTS!R269),01_INPUTS!R269,0)+(IF(ISNUMBER(01_INPUTS!R277),01_INPUTS!R277,0)+IF(ISNUMBER(01_INPUTS!R278),01_INPUTS!R278,0))+IF(ISNUMBER(01_INPUTS!R267),01_INPUTS!R267,0)+(IF(ISNUMBER(01_INPUTS!R273),01_INPUTS!R273,0)+IF(ISNUMBER(01_INPUTS!R275),01_INPUTS!R275,0))-(IF(ISNUMBER(01_INPUTS!R271),01_INPUTS!R271,0)+IF(ISNUMBER(01_INPUTS!R272),01_INPUTS!R272,0))</f>
        <v>0</v>
      </c>
      <c r="S47" s="36" t="n">
        <f aca="false">-IF(ISNUMBER(01_INPUTS!S270),01_INPUTS!S270,0)+IF(ISNUMBER(01_INPUTS!S268),01_INPUTS!S268,0)-IF(ISNUMBER(01_INPUTS!S269),01_INPUTS!S269,0)+(IF(ISNUMBER(01_INPUTS!S277),01_INPUTS!S277,0)+IF(ISNUMBER(01_INPUTS!S278),01_INPUTS!S278,0))+IF(ISNUMBER(01_INPUTS!S267),01_INPUTS!S267,0)+(IF(ISNUMBER(01_INPUTS!S273),01_INPUTS!S273,0)+IF(ISNUMBER(01_INPUTS!S275),01_INPUTS!S275,0))-(IF(ISNUMBER(01_INPUTS!S271),01_INPUTS!S271,0)+IF(ISNUMBER(01_INPUTS!S272),01_INPUTS!S272,0))</f>
        <v>0</v>
      </c>
    </row>
    <row r="48" customFormat="false" ht="15" hidden="false" customHeight="false" outlineLevel="0" collapsed="false">
      <c r="A48" s="73" t="s">
        <v>1062</v>
      </c>
      <c r="B48" s="74" t="s">
        <v>298</v>
      </c>
      <c r="C48" s="66" t="s">
        <v>67</v>
      </c>
      <c r="D48" s="43" t="s">
        <v>81</v>
      </c>
      <c r="E48" s="75" t="s">
        <v>917</v>
      </c>
      <c r="F48" s="76" t="s">
        <v>1067</v>
      </c>
      <c r="G48" s="48" t="s">
        <v>77</v>
      </c>
      <c r="H48" s="48" t="s">
        <v>1068</v>
      </c>
      <c r="I48" s="36" t="n">
        <f aca="false">IF((H33+I45+I46+I47)&lt;IF(ISNUMBER(01_INPUTS!I28),01_INPUTS!I28,2000000),IF(ISNUMBER(01_INPUTS!I28),01_INPUTS!I28,2000000)-(H33+I45+I46+I47),-MIN(H40,MAX(0,(H33+I45+I46+I47)-IF(ISNUMBER(01_INPUTS!I28),01_INPUTS!I28,2000000))))</f>
        <v>-0</v>
      </c>
      <c r="J48" s="36" t="n">
        <f aca="false">IF((I33+J45+J46+J47)&lt;IF(ISNUMBER(01_INPUTS!J28),01_INPUTS!J28,2000000),IF(ISNUMBER(01_INPUTS!J28),01_INPUTS!J28,2000000)-(I33+J45+J46+J47),-MIN(I40,MAX(0,(I33+J45+J46+J47)-IF(ISNUMBER(01_INPUTS!J28),01_INPUTS!J28,2000000))))</f>
        <v>-0</v>
      </c>
      <c r="K48" s="36" t="n">
        <f aca="false">IF((J33+K45+K46+K47)&lt;IF(ISNUMBER(01_INPUTS!K28),01_INPUTS!K28,2000000),IF(ISNUMBER(01_INPUTS!K28),01_INPUTS!K28,2000000)-(J33+K45+K46+K47),-MIN(J40,MAX(0,(J33+K45+K46+K47)-IF(ISNUMBER(01_INPUTS!K28),01_INPUTS!K28,2000000))))</f>
        <v>-0</v>
      </c>
      <c r="L48" s="36" t="n">
        <f aca="false">IF((K33+L45+L46+L47)&lt;IF(ISNUMBER(01_INPUTS!L28),01_INPUTS!L28,2000000),IF(ISNUMBER(01_INPUTS!L28),01_INPUTS!L28,2000000)-(K33+L45+L46+L47),-MIN(K40,MAX(0,(K33+L45+L46+L47)-IF(ISNUMBER(01_INPUTS!L28),01_INPUTS!L28,2000000))))</f>
        <v>-0</v>
      </c>
      <c r="M48" s="36" t="n">
        <f aca="false">IF((L33+M45+M46+M47)&lt;IF(ISNUMBER(01_INPUTS!M28),01_INPUTS!M28,2000000),IF(ISNUMBER(01_INPUTS!M28),01_INPUTS!M28,2000000)-(L33+M45+M46+M47),-MIN(L40,MAX(0,(L33+M45+M46+M47)-IF(ISNUMBER(01_INPUTS!M28),01_INPUTS!M28,2000000))))</f>
        <v>-0</v>
      </c>
      <c r="N48" s="36" t="n">
        <f aca="false">IF((M33+N45+N46+N47)&lt;IF(ISNUMBER(01_INPUTS!N28),01_INPUTS!N28,2000000),IF(ISNUMBER(01_INPUTS!N28),01_INPUTS!N28,2000000)-(M33+N45+N46+N47),-MIN(M40,MAX(0,(M33+N45+N46+N47)-IF(ISNUMBER(01_INPUTS!N28),01_INPUTS!N28,2000000))))</f>
        <v>-0</v>
      </c>
      <c r="O48" s="36" t="n">
        <f aca="false">IF((N33+O45+O46+O47)&lt;IF(ISNUMBER(01_INPUTS!O28),01_INPUTS!O28,2000000),IF(ISNUMBER(01_INPUTS!O28),01_INPUTS!O28,2000000)-(N33+O45+O46+O47),-MIN(N40,MAX(0,(N33+O45+O46+O47)-IF(ISNUMBER(01_INPUTS!O28),01_INPUTS!O28,2000000))))</f>
        <v>-0</v>
      </c>
      <c r="P48" s="36" t="n">
        <f aca="false">IF((O33+P45+P46+P47)&lt;IF(ISNUMBER(01_INPUTS!P28),01_INPUTS!P28,2000000),IF(ISNUMBER(01_INPUTS!P28),01_INPUTS!P28,2000000)-(O33+P45+P46+P47),-MIN(O40,MAX(0,(O33+P45+P46+P47)-IF(ISNUMBER(01_INPUTS!P28),01_INPUTS!P28,2000000))))</f>
        <v>-0</v>
      </c>
      <c r="Q48" s="36" t="n">
        <f aca="false">IF((P33+Q45+Q46+Q47)&lt;IF(ISNUMBER(01_INPUTS!Q28),01_INPUTS!Q28,2000000),IF(ISNUMBER(01_INPUTS!Q28),01_INPUTS!Q28,2000000)-(P33+Q45+Q46+Q47),-MIN(P40,MAX(0,(P33+Q45+Q46+Q47)-IF(ISNUMBER(01_INPUTS!Q28),01_INPUTS!Q28,2000000))))</f>
        <v>-0</v>
      </c>
      <c r="R48" s="36" t="n">
        <f aca="false">IF((Q33+R45+R46+R47)&lt;IF(ISNUMBER(01_INPUTS!R28),01_INPUTS!R28,2000000),IF(ISNUMBER(01_INPUTS!R28),01_INPUTS!R28,2000000)-(Q33+R45+R46+R47),-MIN(Q40,MAX(0,(Q33+R45+R46+R47)-IF(ISNUMBER(01_INPUTS!R28),01_INPUTS!R28,2000000))))</f>
        <v>-0</v>
      </c>
      <c r="S48" s="36" t="n">
        <f aca="false">IF((R33+S45+S46+S47)&lt;IF(ISNUMBER(01_INPUTS!S28),01_INPUTS!S28,2000000),IF(ISNUMBER(01_INPUTS!S28),01_INPUTS!S28,2000000)-(R33+S45+S46+S47),-MIN(R40,MAX(0,(R33+S45+S46+S47)-IF(ISNUMBER(01_INPUTS!S28),01_INPUTS!S28,2000000))))</f>
        <v>-0</v>
      </c>
    </row>
    <row r="49" customFormat="false" ht="15" hidden="false" customHeight="false" outlineLevel="0" collapsed="false">
      <c r="A49" s="73" t="s">
        <v>1062</v>
      </c>
      <c r="B49" s="74" t="s">
        <v>299</v>
      </c>
      <c r="C49" s="66" t="s">
        <v>67</v>
      </c>
      <c r="D49" s="43" t="s">
        <v>81</v>
      </c>
      <c r="E49" s="75" t="s">
        <v>917</v>
      </c>
      <c r="F49" s="76"/>
      <c r="G49" s="85" t="n">
        <v>0</v>
      </c>
      <c r="H49" s="77" t="n">
        <v>-8183796805.93898</v>
      </c>
      <c r="I49" s="78" t="n">
        <f aca="false">I45+I46+I47+I48</f>
        <v>5579509003.34195</v>
      </c>
      <c r="J49" s="78" t="n">
        <f aca="false">J45+J46+J47+J48</f>
        <v>-660138633.973795</v>
      </c>
      <c r="K49" s="78" t="n">
        <f aca="false">K45+K46+K47+K48</f>
        <v>-422112574.493849</v>
      </c>
      <c r="L49" s="78" t="n">
        <f aca="false">L45+L46+L47+L48</f>
        <v>-434498249.029158</v>
      </c>
      <c r="M49" s="78" t="n">
        <f aca="false">M45+M46+M47+M48</f>
        <v>-451878178.990324</v>
      </c>
      <c r="N49" s="78" t="n">
        <f aca="false">N45+N46+N47+N48</f>
        <v>-469953306.149937</v>
      </c>
      <c r="O49" s="78" t="n">
        <f aca="false">O45+O46+O47+O48</f>
        <v>-488751438.395935</v>
      </c>
      <c r="P49" s="78" t="n">
        <f aca="false">P45+P46+P47+P48</f>
        <v>-508301495.931772</v>
      </c>
      <c r="Q49" s="78" t="n">
        <f aca="false">Q45+Q46+Q47+Q48</f>
        <v>-528633555.769043</v>
      </c>
      <c r="R49" s="78" t="n">
        <f aca="false">R45+R46+R47+R48</f>
        <v>-549778897.999805</v>
      </c>
      <c r="S49" s="78" t="n">
        <f aca="false">S45+S46+S47+S48</f>
        <v>-571770053.919797</v>
      </c>
    </row>
    <row r="50" customFormat="false" ht="15" hidden="false" customHeight="false" outlineLevel="0" collapsed="false">
      <c r="A50" s="73" t="s">
        <v>1062</v>
      </c>
      <c r="B50" s="74" t="s">
        <v>300</v>
      </c>
      <c r="C50" s="66" t="s">
        <v>67</v>
      </c>
      <c r="D50" s="43" t="s">
        <v>81</v>
      </c>
      <c r="E50" s="75" t="s">
        <v>917</v>
      </c>
      <c r="F50" s="76"/>
      <c r="G50" s="85" t="n">
        <v>6246344000</v>
      </c>
      <c r="H50" s="85" t="n">
        <v>9274082785.33571</v>
      </c>
      <c r="I50" s="36" t="n">
        <f aca="false">H33</f>
        <v>1090285979.39674</v>
      </c>
      <c r="J50" s="36" t="n">
        <f aca="false">I33</f>
        <v>6669794982.73869</v>
      </c>
      <c r="K50" s="36" t="n">
        <f aca="false">J33</f>
        <v>6009656348.7649</v>
      </c>
      <c r="L50" s="36" t="n">
        <f aca="false">K33</f>
        <v>5587543774.27105</v>
      </c>
      <c r="M50" s="36" t="n">
        <f aca="false">L33</f>
        <v>5153045525.24189</v>
      </c>
      <c r="N50" s="36" t="n">
        <f aca="false">M33</f>
        <v>4701167346.25157</v>
      </c>
      <c r="O50" s="36" t="n">
        <f aca="false">N33</f>
        <v>4231214040.10163</v>
      </c>
      <c r="P50" s="36" t="n">
        <f aca="false">O33</f>
        <v>3742462601.70569</v>
      </c>
      <c r="Q50" s="36" t="n">
        <f aca="false">P33</f>
        <v>3234161105.77392</v>
      </c>
      <c r="R50" s="36" t="n">
        <f aca="false">Q33</f>
        <v>2705527550.00488</v>
      </c>
      <c r="S50" s="36" t="n">
        <f aca="false">R33</f>
        <v>2155748652.00507</v>
      </c>
    </row>
    <row r="51" customFormat="false" ht="15" hidden="false" customHeight="false" outlineLevel="0" collapsed="false">
      <c r="A51" s="73" t="s">
        <v>1062</v>
      </c>
      <c r="B51" s="74" t="s">
        <v>301</v>
      </c>
      <c r="C51" s="66" t="s">
        <v>67</v>
      </c>
      <c r="D51" s="43" t="s">
        <v>81</v>
      </c>
      <c r="E51" s="75" t="s">
        <v>917</v>
      </c>
      <c r="F51" s="76"/>
      <c r="G51" s="36" t="n">
        <f aca="false">G33</f>
        <v>9274082785.33571</v>
      </c>
      <c r="H51" s="78" t="n">
        <f aca="false">H33</f>
        <v>1090285979.39674</v>
      </c>
      <c r="I51" s="78" t="n">
        <f aca="false">I50+I49</f>
        <v>6669794982.73869</v>
      </c>
      <c r="J51" s="78" t="n">
        <f aca="false">J50+J49</f>
        <v>6009656348.7649</v>
      </c>
      <c r="K51" s="78" t="n">
        <f aca="false">K50+K49</f>
        <v>5587543774.27105</v>
      </c>
      <c r="L51" s="78" t="n">
        <f aca="false">L50+L49</f>
        <v>5153045525.24189</v>
      </c>
      <c r="M51" s="78" t="n">
        <f aca="false">M50+M49</f>
        <v>4701167346.25157</v>
      </c>
      <c r="N51" s="78" t="n">
        <f aca="false">N50+N49</f>
        <v>4231214040.10163</v>
      </c>
      <c r="O51" s="78" t="n">
        <f aca="false">O50+O49</f>
        <v>3742462601.70569</v>
      </c>
      <c r="P51" s="78" t="n">
        <f aca="false">P50+P49</f>
        <v>3234161105.77392</v>
      </c>
      <c r="Q51" s="78" t="n">
        <f aca="false">Q50+Q49</f>
        <v>2705527550.00488</v>
      </c>
      <c r="R51" s="78" t="n">
        <f aca="false">R50+R49</f>
        <v>2155748652.00507</v>
      </c>
      <c r="S51" s="78" t="n">
        <f aca="false">S50+S49</f>
        <v>1583978598.08528</v>
      </c>
    </row>
    <row r="52" customFormat="false" ht="15" hidden="false" customHeight="false" outlineLevel="0" collapsed="false">
      <c r="A52" s="73" t="s">
        <v>1022</v>
      </c>
      <c r="B52" s="74" t="s">
        <v>1023</v>
      </c>
      <c r="C52" s="66" t="s">
        <v>71</v>
      </c>
      <c r="D52" s="43" t="s">
        <v>81</v>
      </c>
      <c r="E52" s="75" t="s">
        <v>43</v>
      </c>
      <c r="F52" s="76"/>
      <c r="G52" s="36" t="n">
        <f aca="false">(_ENGINE_MERCADO!G210*(IF(ISNUMBER(01_INPUTS!G201),01_INPUTS!G201,0)*(IF(ISNUMBER(01_INPUTS!G26),01_INPUTS!G26,1))))+(_ENGINE_MERCADO!G215*(IF(ISNUMBER(01_INPUTS!G205),01_INPUTS!G205,0)*(IF(ISNUMBER(01_INPUTS!G26),01_INPUTS!G26,1))))+(_ENGINE_MERCADO!G220*(IF(ISNUMBER(01_INPUTS!G209),01_INPUTS!G209,0)*(IF(ISNUMBER(01_INPUTS!G26),01_INPUTS!G26,1))))+(_ENGINE_MERCADO!G225*(IF(ISNUMBER(01_INPUTS!G213),01_INPUTS!G213,0)*(IF(ISNUMBER(01_INPUTS!G26),01_INPUTS!G26,1))))</f>
        <v>0</v>
      </c>
      <c r="H52" s="36" t="n">
        <f aca="false">(_ENGINE_MERCADO!H210*(IF(ISNUMBER(01_INPUTS!H201),01_INPUTS!H201,0)*(IF(ISNUMBER(01_INPUTS!H26),01_INPUTS!H26,1))))+(_ENGINE_MERCADO!H215*(IF(ISNUMBER(01_INPUTS!H205),01_INPUTS!H205,0)*(IF(ISNUMBER(01_INPUTS!H26),01_INPUTS!H26,1))))+(_ENGINE_MERCADO!H220*(IF(ISNUMBER(01_INPUTS!H209),01_INPUTS!H209,0)*(IF(ISNUMBER(01_INPUTS!H26),01_INPUTS!H26,1))))+(_ENGINE_MERCADO!H225*(IF(ISNUMBER(01_INPUTS!H213),01_INPUTS!H213,0)*(IF(ISNUMBER(01_INPUTS!H26),01_INPUTS!H26,1))))</f>
        <v>0</v>
      </c>
      <c r="I52" s="36" t="n">
        <f aca="false">(_ENGINE_MERCADO!I210*(IF(ISNUMBER(01_INPUTS!I201),01_INPUTS!I201,0)*(IF(ISNUMBER(01_INPUTS!I26),01_INPUTS!I26,1))))+(_ENGINE_MERCADO!I215*(IF(ISNUMBER(01_INPUTS!I205),01_INPUTS!I205,0)*(IF(ISNUMBER(01_INPUTS!I26),01_INPUTS!I26,1))))+(_ENGINE_MERCADO!I220*(IF(ISNUMBER(01_INPUTS!I209),01_INPUTS!I209,0)*(IF(ISNUMBER(01_INPUTS!I26),01_INPUTS!I26,1))))+(_ENGINE_MERCADO!I225*(IF(ISNUMBER(01_INPUTS!I213),01_INPUTS!I213,0)*(IF(ISNUMBER(01_INPUTS!I26),01_INPUTS!I26,1))))</f>
        <v>20223491515.5358</v>
      </c>
      <c r="J52" s="36" t="n">
        <f aca="false">(_ENGINE_MERCADO!J210*(IF(ISNUMBER(01_INPUTS!J201),01_INPUTS!J201,0)*(IF(ISNUMBER(01_INPUTS!J26),01_INPUTS!J26,1))))+(_ENGINE_MERCADO!J215*(IF(ISNUMBER(01_INPUTS!J205),01_INPUTS!J205,0)*(IF(ISNUMBER(01_INPUTS!J26),01_INPUTS!J26,1))))+(_ENGINE_MERCADO!J220*(IF(ISNUMBER(01_INPUTS!J209),01_INPUTS!J209,0)*(IF(ISNUMBER(01_INPUTS!J26),01_INPUTS!J26,1))))+(_ENGINE_MERCADO!J225*(IF(ISNUMBER(01_INPUTS!J213),01_INPUTS!J213,0)*(IF(ISNUMBER(01_INPUTS!J26),01_INPUTS!J26,1))))</f>
        <v>0</v>
      </c>
      <c r="K52" s="36" t="n">
        <f aca="false">(_ENGINE_MERCADO!K210*(IF(ISNUMBER(01_INPUTS!K201),01_INPUTS!K201,0)*(IF(ISNUMBER(01_INPUTS!K26),01_INPUTS!K26,1))))+(_ENGINE_MERCADO!K215*(IF(ISNUMBER(01_INPUTS!K205),01_INPUTS!K205,0)*(IF(ISNUMBER(01_INPUTS!K26),01_INPUTS!K26,1))))+(_ENGINE_MERCADO!K220*(IF(ISNUMBER(01_INPUTS!K209),01_INPUTS!K209,0)*(IF(ISNUMBER(01_INPUTS!K26),01_INPUTS!K26,1))))+(_ENGINE_MERCADO!K225*(IF(ISNUMBER(01_INPUTS!K213),01_INPUTS!K213,0)*(IF(ISNUMBER(01_INPUTS!K26),01_INPUTS!K26,1))))</f>
        <v>0</v>
      </c>
      <c r="L52" s="36" t="n">
        <f aca="false">(_ENGINE_MERCADO!L210*(IF(ISNUMBER(01_INPUTS!L201),01_INPUTS!L201,0)*(IF(ISNUMBER(01_INPUTS!L26),01_INPUTS!L26,1))))+(_ENGINE_MERCADO!L215*(IF(ISNUMBER(01_INPUTS!L205),01_INPUTS!L205,0)*(IF(ISNUMBER(01_INPUTS!L26),01_INPUTS!L26,1))))+(_ENGINE_MERCADO!L220*(IF(ISNUMBER(01_INPUTS!L209),01_INPUTS!L209,0)*(IF(ISNUMBER(01_INPUTS!L26),01_INPUTS!L26,1))))+(_ENGINE_MERCADO!L225*(IF(ISNUMBER(01_INPUTS!L213),01_INPUTS!L213,0)*(IF(ISNUMBER(01_INPUTS!L26),01_INPUTS!L26,1))))</f>
        <v>0</v>
      </c>
      <c r="M52" s="36" t="n">
        <f aca="false">(_ENGINE_MERCADO!M210*(IF(ISNUMBER(01_INPUTS!M201),01_INPUTS!M201,0)*(IF(ISNUMBER(01_INPUTS!M26),01_INPUTS!M26,1))))+(_ENGINE_MERCADO!M215*(IF(ISNUMBER(01_INPUTS!M205),01_INPUTS!M205,0)*(IF(ISNUMBER(01_INPUTS!M26),01_INPUTS!M26,1))))+(_ENGINE_MERCADO!M220*(IF(ISNUMBER(01_INPUTS!M209),01_INPUTS!M209,0)*(IF(ISNUMBER(01_INPUTS!M26),01_INPUTS!M26,1))))+(_ENGINE_MERCADO!M225*(IF(ISNUMBER(01_INPUTS!M213),01_INPUTS!M213,0)*(IF(ISNUMBER(01_INPUTS!M26),01_INPUTS!M26,1))))</f>
        <v>0</v>
      </c>
      <c r="N52" s="36" t="n">
        <f aca="false">(_ENGINE_MERCADO!N210*(IF(ISNUMBER(01_INPUTS!N201),01_INPUTS!N201,0)*(IF(ISNUMBER(01_INPUTS!N26),01_INPUTS!N26,1))))+(_ENGINE_MERCADO!N215*(IF(ISNUMBER(01_INPUTS!N205),01_INPUTS!N205,0)*(IF(ISNUMBER(01_INPUTS!N26),01_INPUTS!N26,1))))+(_ENGINE_MERCADO!N220*(IF(ISNUMBER(01_INPUTS!N209),01_INPUTS!N209,0)*(IF(ISNUMBER(01_INPUTS!N26),01_INPUTS!N26,1))))+(_ENGINE_MERCADO!N225*(IF(ISNUMBER(01_INPUTS!N213),01_INPUTS!N213,0)*(IF(ISNUMBER(01_INPUTS!N26),01_INPUTS!N26,1))))</f>
        <v>0</v>
      </c>
      <c r="O52" s="36" t="n">
        <f aca="false">(_ENGINE_MERCADO!O210*(IF(ISNUMBER(01_INPUTS!O201),01_INPUTS!O201,0)*(IF(ISNUMBER(01_INPUTS!O26),01_INPUTS!O26,1))))+(_ENGINE_MERCADO!O215*(IF(ISNUMBER(01_INPUTS!O205),01_INPUTS!O205,0)*(IF(ISNUMBER(01_INPUTS!O26),01_INPUTS!O26,1))))+(_ENGINE_MERCADO!O220*(IF(ISNUMBER(01_INPUTS!O209),01_INPUTS!O209,0)*(IF(ISNUMBER(01_INPUTS!O26),01_INPUTS!O26,1))))+(_ENGINE_MERCADO!O225*(IF(ISNUMBER(01_INPUTS!O213),01_INPUTS!O213,0)*(IF(ISNUMBER(01_INPUTS!O26),01_INPUTS!O26,1))))</f>
        <v>0</v>
      </c>
      <c r="P52" s="36" t="n">
        <f aca="false">(_ENGINE_MERCADO!P210*(IF(ISNUMBER(01_INPUTS!P201),01_INPUTS!P201,0)*(IF(ISNUMBER(01_INPUTS!P26),01_INPUTS!P26,1))))+(_ENGINE_MERCADO!P215*(IF(ISNUMBER(01_INPUTS!P205),01_INPUTS!P205,0)*(IF(ISNUMBER(01_INPUTS!P26),01_INPUTS!P26,1))))+(_ENGINE_MERCADO!P220*(IF(ISNUMBER(01_INPUTS!P209),01_INPUTS!P209,0)*(IF(ISNUMBER(01_INPUTS!P26),01_INPUTS!P26,1))))+(_ENGINE_MERCADO!P225*(IF(ISNUMBER(01_INPUTS!P213),01_INPUTS!P213,0)*(IF(ISNUMBER(01_INPUTS!P26),01_INPUTS!P26,1))))</f>
        <v>0</v>
      </c>
      <c r="Q52" s="36" t="n">
        <f aca="false">(_ENGINE_MERCADO!Q210*(IF(ISNUMBER(01_INPUTS!Q201),01_INPUTS!Q201,0)*(IF(ISNUMBER(01_INPUTS!Q26),01_INPUTS!Q26,1))))+(_ENGINE_MERCADO!Q215*(IF(ISNUMBER(01_INPUTS!Q205),01_INPUTS!Q205,0)*(IF(ISNUMBER(01_INPUTS!Q26),01_INPUTS!Q26,1))))+(_ENGINE_MERCADO!Q220*(IF(ISNUMBER(01_INPUTS!Q209),01_INPUTS!Q209,0)*(IF(ISNUMBER(01_INPUTS!Q26),01_INPUTS!Q26,1))))+(_ENGINE_MERCADO!Q225*(IF(ISNUMBER(01_INPUTS!Q213),01_INPUTS!Q213,0)*(IF(ISNUMBER(01_INPUTS!Q26),01_INPUTS!Q26,1))))</f>
        <v>0</v>
      </c>
      <c r="R52" s="36" t="n">
        <f aca="false">(_ENGINE_MERCADO!R210*(IF(ISNUMBER(01_INPUTS!R201),01_INPUTS!R201,0)*(IF(ISNUMBER(01_INPUTS!R26),01_INPUTS!R26,1))))+(_ENGINE_MERCADO!R215*(IF(ISNUMBER(01_INPUTS!R205),01_INPUTS!R205,0)*(IF(ISNUMBER(01_INPUTS!R26),01_INPUTS!R26,1))))+(_ENGINE_MERCADO!R220*(IF(ISNUMBER(01_INPUTS!R209),01_INPUTS!R209,0)*(IF(ISNUMBER(01_INPUTS!R26),01_INPUTS!R26,1))))+(_ENGINE_MERCADO!R225*(IF(ISNUMBER(01_INPUTS!R213),01_INPUTS!R213,0)*(IF(ISNUMBER(01_INPUTS!R26),01_INPUTS!R26,1))))</f>
        <v>0</v>
      </c>
      <c r="S52" s="36" t="n">
        <f aca="false">(_ENGINE_MERCADO!S210*(IF(ISNUMBER(01_INPUTS!S201),01_INPUTS!S201,0)*(IF(ISNUMBER(01_INPUTS!S26),01_INPUTS!S26,1))))+(_ENGINE_MERCADO!S215*(IF(ISNUMBER(01_INPUTS!S205),01_INPUTS!S205,0)*(IF(ISNUMBER(01_INPUTS!S26),01_INPUTS!S26,1))))+(_ENGINE_MERCADO!S220*(IF(ISNUMBER(01_INPUTS!S209),01_INPUTS!S209,0)*(IF(ISNUMBER(01_INPUTS!S26),01_INPUTS!S26,1))))+(_ENGINE_MERCADO!S225*(IF(ISNUMBER(01_INPUTS!S213),01_INPUTS!S213,0)*(IF(ISNUMBER(01_INPUTS!S26),01_INPUTS!S26,1))))</f>
        <v>0</v>
      </c>
    </row>
    <row r="53" customFormat="false" ht="15" hidden="false" customHeight="false" outlineLevel="0" collapsed="false">
      <c r="A53" s="73" t="s">
        <v>1022</v>
      </c>
      <c r="B53" s="74" t="s">
        <v>1024</v>
      </c>
      <c r="C53" s="66" t="s">
        <v>71</v>
      </c>
      <c r="D53" s="43" t="s">
        <v>81</v>
      </c>
      <c r="E53" s="75" t="s">
        <v>43</v>
      </c>
      <c r="F53" s="76"/>
      <c r="G53" s="36" t="s">
        <v>1025</v>
      </c>
      <c r="H53" s="36" t="s">
        <v>1025</v>
      </c>
      <c r="I53" s="36" t="n">
        <f aca="false">(_ENGINE_MERCADO!I267*_ENGINE_MERCADO!I270)+(_ENGINE_MERCADO!I276*_ENGINE_MERCADO!I279)</f>
        <v>8737258094.18258</v>
      </c>
      <c r="J53" s="36" t="n">
        <f aca="false">(_ENGINE_MERCADO!J267*_ENGINE_MERCADO!J270)+(_ENGINE_MERCADO!J276*_ENGINE_MERCADO!J279)</f>
        <v>0</v>
      </c>
      <c r="K53" s="36" t="n">
        <f aca="false">(_ENGINE_MERCADO!K267*_ENGINE_MERCADO!K270)+(_ENGINE_MERCADO!K276*_ENGINE_MERCADO!K279)</f>
        <v>0</v>
      </c>
      <c r="L53" s="36" t="n">
        <f aca="false">(_ENGINE_MERCADO!L267*_ENGINE_MERCADO!L270)+(_ENGINE_MERCADO!L276*_ENGINE_MERCADO!L279)</f>
        <v>0</v>
      </c>
      <c r="M53" s="36" t="n">
        <f aca="false">(_ENGINE_MERCADO!M267*_ENGINE_MERCADO!M270)+(_ENGINE_MERCADO!M276*_ENGINE_MERCADO!M279)</f>
        <v>0</v>
      </c>
      <c r="N53" s="36" t="n">
        <f aca="false">(_ENGINE_MERCADO!N267*_ENGINE_MERCADO!N270)+(_ENGINE_MERCADO!N276*_ENGINE_MERCADO!N279)</f>
        <v>0</v>
      </c>
      <c r="O53" s="36" t="n">
        <f aca="false">(_ENGINE_MERCADO!O267*_ENGINE_MERCADO!O270)+(_ENGINE_MERCADO!O276*_ENGINE_MERCADO!O279)</f>
        <v>0</v>
      </c>
      <c r="P53" s="36" t="n">
        <f aca="false">(_ENGINE_MERCADO!P267*_ENGINE_MERCADO!P270)+(_ENGINE_MERCADO!P276*_ENGINE_MERCADO!P279)</f>
        <v>0</v>
      </c>
      <c r="Q53" s="36" t="n">
        <f aca="false">(_ENGINE_MERCADO!Q267*_ENGINE_MERCADO!Q270)+(_ENGINE_MERCADO!Q276*_ENGINE_MERCADO!Q279)</f>
        <v>0</v>
      </c>
      <c r="R53" s="36" t="n">
        <f aca="false">(_ENGINE_MERCADO!R267*_ENGINE_MERCADO!R270)+(_ENGINE_MERCADO!R276*_ENGINE_MERCADO!R279)</f>
        <v>0</v>
      </c>
      <c r="S53" s="36" t="n">
        <f aca="false">(_ENGINE_MERCADO!S267*_ENGINE_MERCADO!S270)+(_ENGINE_MERCADO!S276*_ENGINE_MERCADO!S279)</f>
        <v>0</v>
      </c>
    </row>
    <row r="54" customFormat="false" ht="15" hidden="false" customHeight="false" outlineLevel="0" collapsed="false">
      <c r="A54" s="73" t="s">
        <v>1022</v>
      </c>
      <c r="B54" s="74" t="s">
        <v>1026</v>
      </c>
      <c r="C54" s="66" t="s">
        <v>71</v>
      </c>
      <c r="D54" s="43" t="s">
        <v>81</v>
      </c>
      <c r="E54" s="75" t="s">
        <v>917</v>
      </c>
      <c r="F54" s="76"/>
      <c r="G54" s="78" t="n">
        <f aca="false">G52+G53</f>
        <v>0</v>
      </c>
      <c r="H54" s="78" t="n">
        <f aca="false">H52+H53</f>
        <v>0</v>
      </c>
      <c r="I54" s="78" t="n">
        <f aca="false">I52+I53</f>
        <v>28960749609.7184</v>
      </c>
      <c r="J54" s="78" t="n">
        <f aca="false">J52+J53</f>
        <v>0</v>
      </c>
      <c r="K54" s="78" t="n">
        <f aca="false">K52+K53</f>
        <v>0</v>
      </c>
      <c r="L54" s="78" t="n">
        <f aca="false">L52+L53</f>
        <v>0</v>
      </c>
      <c r="M54" s="78" t="n">
        <f aca="false">M52+M53</f>
        <v>0</v>
      </c>
      <c r="N54" s="78" t="n">
        <f aca="false">N52+N53</f>
        <v>0</v>
      </c>
      <c r="O54" s="78" t="n">
        <f aca="false">O52+O53</f>
        <v>0</v>
      </c>
      <c r="P54" s="78" t="n">
        <f aca="false">P52+P53</f>
        <v>0</v>
      </c>
      <c r="Q54" s="78" t="n">
        <f aca="false">Q52+Q53</f>
        <v>0</v>
      </c>
      <c r="R54" s="78" t="n">
        <f aca="false">R52+R53</f>
        <v>0</v>
      </c>
      <c r="S54" s="78" t="n">
        <f aca="false">S52+S53</f>
        <v>0</v>
      </c>
    </row>
    <row r="55" customFormat="false" ht="15" hidden="false" customHeight="false" outlineLevel="0" collapsed="false">
      <c r="A55" s="73" t="s">
        <v>1022</v>
      </c>
      <c r="B55" s="74" t="s">
        <v>1027</v>
      </c>
      <c r="C55" s="66" t="s">
        <v>71</v>
      </c>
      <c r="D55" s="43" t="s">
        <v>81</v>
      </c>
      <c r="E55" s="75" t="s">
        <v>43</v>
      </c>
      <c r="F55" s="76"/>
      <c r="G55" s="36" t="n">
        <f aca="false">_ENGINE_PRODUCCION!G133+_ENGINE_PRODUCCION!G145+_ENGINE_PRODUCCION!G157+_ENGINE_PRODUCCION!G169</f>
        <v>0</v>
      </c>
      <c r="H55" s="36" t="n">
        <f aca="false">_ENGINE_PRODUCCION!H133+_ENGINE_PRODUCCION!H145+_ENGINE_PRODUCCION!H157+_ENGINE_PRODUCCION!H169</f>
        <v>0</v>
      </c>
      <c r="I55" s="36" t="n">
        <f aca="false">_ENGINE_PRODUCCION!I133+_ENGINE_PRODUCCION!I145+_ENGINE_PRODUCCION!I157+_ENGINE_PRODUCCION!I169</f>
        <v>18070265587.5233</v>
      </c>
      <c r="J55" s="36" t="n">
        <f aca="false">_ENGINE_PRODUCCION!J133+_ENGINE_PRODUCCION!J145+_ENGINE_PRODUCCION!J157+_ENGINE_PRODUCCION!J169</f>
        <v>0</v>
      </c>
      <c r="K55" s="36" t="n">
        <f aca="false">_ENGINE_PRODUCCION!K133+_ENGINE_PRODUCCION!K145+_ENGINE_PRODUCCION!K157+_ENGINE_PRODUCCION!K169</f>
        <v>0</v>
      </c>
      <c r="L55" s="36" t="n">
        <f aca="false">_ENGINE_PRODUCCION!L133+_ENGINE_PRODUCCION!L145+_ENGINE_PRODUCCION!L157+_ENGINE_PRODUCCION!L169</f>
        <v>0</v>
      </c>
      <c r="M55" s="36" t="n">
        <f aca="false">_ENGINE_PRODUCCION!M133+_ENGINE_PRODUCCION!M145+_ENGINE_PRODUCCION!M157+_ENGINE_PRODUCCION!M169</f>
        <v>0</v>
      </c>
      <c r="N55" s="36" t="n">
        <f aca="false">_ENGINE_PRODUCCION!N133+_ENGINE_PRODUCCION!N145+_ENGINE_PRODUCCION!N157+_ENGINE_PRODUCCION!N169</f>
        <v>0</v>
      </c>
      <c r="O55" s="36" t="n">
        <f aca="false">_ENGINE_PRODUCCION!O133+_ENGINE_PRODUCCION!O145+_ENGINE_PRODUCCION!O157+_ENGINE_PRODUCCION!O169</f>
        <v>0</v>
      </c>
      <c r="P55" s="36" t="n">
        <f aca="false">_ENGINE_PRODUCCION!P133+_ENGINE_PRODUCCION!P145+_ENGINE_PRODUCCION!P157+_ENGINE_PRODUCCION!P169</f>
        <v>0</v>
      </c>
      <c r="Q55" s="36" t="n">
        <f aca="false">_ENGINE_PRODUCCION!Q133+_ENGINE_PRODUCCION!Q145+_ENGINE_PRODUCCION!Q157+_ENGINE_PRODUCCION!Q169</f>
        <v>0</v>
      </c>
      <c r="R55" s="36" t="n">
        <f aca="false">_ENGINE_PRODUCCION!R133+_ENGINE_PRODUCCION!R145+_ENGINE_PRODUCCION!R157+_ENGINE_PRODUCCION!R169</f>
        <v>0</v>
      </c>
      <c r="S55" s="36" t="n">
        <f aca="false">_ENGINE_PRODUCCION!S133+_ENGINE_PRODUCCION!S145+_ENGINE_PRODUCCION!S157+_ENGINE_PRODUCCION!S169</f>
        <v>0</v>
      </c>
    </row>
    <row r="56" customFormat="false" ht="15" hidden="false" customHeight="false" outlineLevel="0" collapsed="false">
      <c r="A56" s="73" t="s">
        <v>1022</v>
      </c>
      <c r="B56" s="74" t="s">
        <v>1028</v>
      </c>
      <c r="C56" s="66" t="s">
        <v>71</v>
      </c>
      <c r="D56" s="43" t="s">
        <v>81</v>
      </c>
      <c r="E56" s="75" t="s">
        <v>43</v>
      </c>
      <c r="F56" s="76"/>
      <c r="G56" s="36" t="s">
        <v>1025</v>
      </c>
      <c r="H56" s="36" t="s">
        <v>1025</v>
      </c>
      <c r="I56" s="36" t="n">
        <f aca="false">(_ENGINE_MERCADO!I249*_ENGINE_MERCADO!I252)</f>
        <v>1830858330.32717</v>
      </c>
      <c r="J56" s="36" t="n">
        <f aca="false">(_ENGINE_MERCADO!J249*_ENGINE_MERCADO!J252)</f>
        <v>0</v>
      </c>
      <c r="K56" s="36" t="n">
        <f aca="false">(_ENGINE_MERCADO!K249*_ENGINE_MERCADO!K252)</f>
        <v>0</v>
      </c>
      <c r="L56" s="36" t="n">
        <f aca="false">(_ENGINE_MERCADO!L249*_ENGINE_MERCADO!L252)</f>
        <v>0</v>
      </c>
      <c r="M56" s="36" t="n">
        <f aca="false">(_ENGINE_MERCADO!M249*_ENGINE_MERCADO!M252)</f>
        <v>0</v>
      </c>
      <c r="N56" s="36" t="n">
        <f aca="false">(_ENGINE_MERCADO!N249*_ENGINE_MERCADO!N252)</f>
        <v>0</v>
      </c>
      <c r="O56" s="36" t="n">
        <f aca="false">(_ENGINE_MERCADO!O249*_ENGINE_MERCADO!O252)</f>
        <v>0</v>
      </c>
      <c r="P56" s="36" t="n">
        <f aca="false">(_ENGINE_MERCADO!P249*_ENGINE_MERCADO!P252)</f>
        <v>0</v>
      </c>
      <c r="Q56" s="36" t="n">
        <f aca="false">(_ENGINE_MERCADO!Q249*_ENGINE_MERCADO!Q252)</f>
        <v>0</v>
      </c>
      <c r="R56" s="36" t="n">
        <f aca="false">(_ENGINE_MERCADO!R249*_ENGINE_MERCADO!R252)</f>
        <v>0</v>
      </c>
      <c r="S56" s="36" t="n">
        <f aca="false">(_ENGINE_MERCADO!S249*_ENGINE_MERCADO!S252)</f>
        <v>0</v>
      </c>
    </row>
    <row r="57" customFormat="false" ht="15" hidden="false" customHeight="false" outlineLevel="0" collapsed="false">
      <c r="A57" s="73" t="s">
        <v>1022</v>
      </c>
      <c r="B57" s="74" t="s">
        <v>1029</v>
      </c>
      <c r="C57" s="66" t="s">
        <v>71</v>
      </c>
      <c r="D57" s="43" t="s">
        <v>81</v>
      </c>
      <c r="E57" s="75" t="s">
        <v>43</v>
      </c>
      <c r="F57" s="76"/>
      <c r="G57" s="36" t="s">
        <v>1025</v>
      </c>
      <c r="H57" s="36" t="s">
        <v>1025</v>
      </c>
      <c r="I57" s="36" t="n">
        <f aca="false">_ENGINE_MERCADO!I257</f>
        <v>411204771.795129</v>
      </c>
      <c r="J57" s="36" t="n">
        <f aca="false">_ENGINE_MERCADO!J257</f>
        <v>0</v>
      </c>
      <c r="K57" s="36" t="n">
        <f aca="false">_ENGINE_MERCADO!K257</f>
        <v>0</v>
      </c>
      <c r="L57" s="36" t="n">
        <f aca="false">_ENGINE_MERCADO!L257</f>
        <v>0</v>
      </c>
      <c r="M57" s="36" t="n">
        <f aca="false">_ENGINE_MERCADO!M257</f>
        <v>0</v>
      </c>
      <c r="N57" s="36" t="n">
        <f aca="false">_ENGINE_MERCADO!N257</f>
        <v>0</v>
      </c>
      <c r="O57" s="36" t="n">
        <f aca="false">_ENGINE_MERCADO!O257</f>
        <v>0</v>
      </c>
      <c r="P57" s="36" t="n">
        <f aca="false">_ENGINE_MERCADO!P257</f>
        <v>0</v>
      </c>
      <c r="Q57" s="36" t="n">
        <f aca="false">_ENGINE_MERCADO!Q257</f>
        <v>0</v>
      </c>
      <c r="R57" s="36" t="n">
        <f aca="false">_ENGINE_MERCADO!R257</f>
        <v>0</v>
      </c>
      <c r="S57" s="36" t="n">
        <f aca="false">_ENGINE_MERCADO!S257</f>
        <v>0</v>
      </c>
    </row>
    <row r="58" customFormat="false" ht="15" hidden="false" customHeight="false" outlineLevel="0" collapsed="false">
      <c r="A58" s="73" t="s">
        <v>1022</v>
      </c>
      <c r="B58" s="74" t="s">
        <v>1030</v>
      </c>
      <c r="C58" s="66" t="s">
        <v>71</v>
      </c>
      <c r="D58" s="43" t="s">
        <v>949</v>
      </c>
      <c r="E58" s="75" t="s">
        <v>43</v>
      </c>
      <c r="F58" s="76"/>
      <c r="G58" s="87" t="n">
        <f aca="false">IFERROR(_ENGINE_PRODUCCION!G25/_ENGINE_PRODUCCION!$G$9,0)</f>
        <v>2</v>
      </c>
      <c r="H58" s="87" t="n">
        <f aca="false">IFERROR(_ENGINE_PRODUCCION!H25/_ENGINE_PRODUCCION!$G$9,0)</f>
        <v>2</v>
      </c>
      <c r="I58" s="87" t="n">
        <f aca="false">IFERROR(_ENGINE_PRODUCCION!I25/_ENGINE_PRODUCCION!$G$9,0)</f>
        <v>2</v>
      </c>
      <c r="J58" s="87" t="n">
        <f aca="false">IFERROR(_ENGINE_PRODUCCION!J25/_ENGINE_PRODUCCION!$G$9,0)</f>
        <v>2</v>
      </c>
      <c r="K58" s="87" t="n">
        <f aca="false">IFERROR(_ENGINE_PRODUCCION!K25/_ENGINE_PRODUCCION!$G$9,0)</f>
        <v>2</v>
      </c>
      <c r="L58" s="87" t="n">
        <f aca="false">IFERROR(_ENGINE_PRODUCCION!L25/_ENGINE_PRODUCCION!$G$9,0)</f>
        <v>2</v>
      </c>
      <c r="M58" s="87" t="n">
        <f aca="false">IFERROR(_ENGINE_PRODUCCION!M25/_ENGINE_PRODUCCION!$G$9,0)</f>
        <v>2</v>
      </c>
      <c r="N58" s="87" t="n">
        <f aca="false">IFERROR(_ENGINE_PRODUCCION!N25/_ENGINE_PRODUCCION!$G$9,0)</f>
        <v>2</v>
      </c>
      <c r="O58" s="87" t="n">
        <f aca="false">IFERROR(_ENGINE_PRODUCCION!O25/_ENGINE_PRODUCCION!$G$9,0)</f>
        <v>2</v>
      </c>
      <c r="P58" s="87" t="n">
        <f aca="false">IFERROR(_ENGINE_PRODUCCION!P25/_ENGINE_PRODUCCION!$G$9,0)</f>
        <v>2</v>
      </c>
      <c r="Q58" s="87" t="n">
        <f aca="false">IFERROR(_ENGINE_PRODUCCION!Q25/_ENGINE_PRODUCCION!$G$9,0)</f>
        <v>2</v>
      </c>
      <c r="R58" s="87" t="n">
        <f aca="false">IFERROR(_ENGINE_PRODUCCION!R25/_ENGINE_PRODUCCION!$G$9,0)</f>
        <v>2</v>
      </c>
      <c r="S58" s="87" t="n">
        <f aca="false">IFERROR(_ENGINE_PRODUCCION!S25/_ENGINE_PRODUCCION!$G$9,0)</f>
        <v>2</v>
      </c>
    </row>
    <row r="59" customFormat="false" ht="15" hidden="false" customHeight="false" outlineLevel="0" collapsed="false">
      <c r="A59" s="73" t="s">
        <v>1022</v>
      </c>
      <c r="B59" s="74" t="s">
        <v>1031</v>
      </c>
      <c r="C59" s="66" t="s">
        <v>71</v>
      </c>
      <c r="D59" s="43" t="s">
        <v>81</v>
      </c>
      <c r="E59" s="75" t="s">
        <v>43</v>
      </c>
      <c r="F59" s="76"/>
      <c r="G59" s="36" t="n">
        <f aca="false">(_ENGINE_MERCADO!G210*IF(ISNUMBER(01_INPUTS!G204),01_INPUTS!G204,0)*IF(ISNUMBER(01_INPUTS!G37),01_INPUTS!G37,0))+(_ENGINE_MERCADO!G215*IF(ISNUMBER(01_INPUTS!G208),01_INPUTS!G208,0)*IF(ISNUMBER(01_INPUTS!G37),01_INPUTS!G37,0))+(_ENGINE_MERCADO!G220*IF(ISNUMBER(01_INPUTS!G212),01_INPUTS!G212,0)*IF(ISNUMBER(01_INPUTS!G37),01_INPUTS!G37,0))+(_ENGINE_MERCADO!G225*IF(ISNUMBER(01_INPUTS!G216),01_INPUTS!G216,0)*IF(ISNUMBER(01_INPUTS!G37),01_INPUTS!G37,0))</f>
        <v>0</v>
      </c>
      <c r="H59" s="36" t="n">
        <f aca="false">(_ENGINE_MERCADO!H210*IF(ISNUMBER(01_INPUTS!H204),01_INPUTS!H204,0)*IF(ISNUMBER(01_INPUTS!H37),01_INPUTS!H37,0))+(_ENGINE_MERCADO!H215*IF(ISNUMBER(01_INPUTS!H208),01_INPUTS!H208,0)*IF(ISNUMBER(01_INPUTS!H37),01_INPUTS!H37,0))+(_ENGINE_MERCADO!H220*IF(ISNUMBER(01_INPUTS!H212),01_INPUTS!H212,0)*IF(ISNUMBER(01_INPUTS!H37),01_INPUTS!H37,0))+(_ENGINE_MERCADO!H225*IF(ISNUMBER(01_INPUTS!H216),01_INPUTS!H216,0)*IF(ISNUMBER(01_INPUTS!H37),01_INPUTS!H37,0))</f>
        <v>0</v>
      </c>
      <c r="I59" s="36" t="n">
        <f aca="false">(_ENGINE_MERCADO!I210*IF(ISNUMBER(01_INPUTS!I204),01_INPUTS!I204,0)*IF(ISNUMBER(01_INPUTS!I37),01_INPUTS!I37,0))+(_ENGINE_MERCADO!I215*IF(ISNUMBER(01_INPUTS!I208),01_INPUTS!I208,0)*IF(ISNUMBER(01_INPUTS!I37),01_INPUTS!I37,0))+(_ENGINE_MERCADO!I220*IF(ISNUMBER(01_INPUTS!I212),01_INPUTS!I212,0)*IF(ISNUMBER(01_INPUTS!I37),01_INPUTS!I37,0))+(_ENGINE_MERCADO!I225*IF(ISNUMBER(01_INPUTS!I216),01_INPUTS!I216,0)*IF(ISNUMBER(01_INPUTS!I37),01_INPUTS!I37,0))</f>
        <v>3931712252.05785</v>
      </c>
      <c r="J59" s="36" t="n">
        <f aca="false">(_ENGINE_MERCADO!J210*IF(ISNUMBER(01_INPUTS!J204),01_INPUTS!J204,0)*IF(ISNUMBER(01_INPUTS!J37),01_INPUTS!J37,0))+(_ENGINE_MERCADO!J215*IF(ISNUMBER(01_INPUTS!J208),01_INPUTS!J208,0)*IF(ISNUMBER(01_INPUTS!J37),01_INPUTS!J37,0))+(_ENGINE_MERCADO!J220*IF(ISNUMBER(01_INPUTS!J212),01_INPUTS!J212,0)*IF(ISNUMBER(01_INPUTS!J37),01_INPUTS!J37,0))+(_ENGINE_MERCADO!J225*IF(ISNUMBER(01_INPUTS!J216),01_INPUTS!J216,0)*IF(ISNUMBER(01_INPUTS!J37),01_INPUTS!J37,0))</f>
        <v>0</v>
      </c>
      <c r="K59" s="36" t="n">
        <f aca="false">(_ENGINE_MERCADO!K210*IF(ISNUMBER(01_INPUTS!K204),01_INPUTS!K204,0)*IF(ISNUMBER(01_INPUTS!K37),01_INPUTS!K37,0))+(_ENGINE_MERCADO!K215*IF(ISNUMBER(01_INPUTS!K208),01_INPUTS!K208,0)*IF(ISNUMBER(01_INPUTS!K37),01_INPUTS!K37,0))+(_ENGINE_MERCADO!K220*IF(ISNUMBER(01_INPUTS!K212),01_INPUTS!K212,0)*IF(ISNUMBER(01_INPUTS!K37),01_INPUTS!K37,0))+(_ENGINE_MERCADO!K225*IF(ISNUMBER(01_INPUTS!K216),01_INPUTS!K216,0)*IF(ISNUMBER(01_INPUTS!K37),01_INPUTS!K37,0))</f>
        <v>0</v>
      </c>
      <c r="L59" s="36" t="n">
        <f aca="false">(_ENGINE_MERCADO!L210*IF(ISNUMBER(01_INPUTS!L204),01_INPUTS!L204,0)*IF(ISNUMBER(01_INPUTS!L37),01_INPUTS!L37,0))+(_ENGINE_MERCADO!L215*IF(ISNUMBER(01_INPUTS!L208),01_INPUTS!L208,0)*IF(ISNUMBER(01_INPUTS!L37),01_INPUTS!L37,0))+(_ENGINE_MERCADO!L220*IF(ISNUMBER(01_INPUTS!L212),01_INPUTS!L212,0)*IF(ISNUMBER(01_INPUTS!L37),01_INPUTS!L37,0))+(_ENGINE_MERCADO!L225*IF(ISNUMBER(01_INPUTS!L216),01_INPUTS!L216,0)*IF(ISNUMBER(01_INPUTS!L37),01_INPUTS!L37,0))</f>
        <v>0</v>
      </c>
      <c r="M59" s="36" t="n">
        <f aca="false">(_ENGINE_MERCADO!M210*IF(ISNUMBER(01_INPUTS!M204),01_INPUTS!M204,0)*IF(ISNUMBER(01_INPUTS!M37),01_INPUTS!M37,0))+(_ENGINE_MERCADO!M215*IF(ISNUMBER(01_INPUTS!M208),01_INPUTS!M208,0)*IF(ISNUMBER(01_INPUTS!M37),01_INPUTS!M37,0))+(_ENGINE_MERCADO!M220*IF(ISNUMBER(01_INPUTS!M212),01_INPUTS!M212,0)*IF(ISNUMBER(01_INPUTS!M37),01_INPUTS!M37,0))+(_ENGINE_MERCADO!M225*IF(ISNUMBER(01_INPUTS!M216),01_INPUTS!M216,0)*IF(ISNUMBER(01_INPUTS!M37),01_INPUTS!M37,0))</f>
        <v>0</v>
      </c>
      <c r="N59" s="36" t="n">
        <f aca="false">(_ENGINE_MERCADO!N210*IF(ISNUMBER(01_INPUTS!N204),01_INPUTS!N204,0)*IF(ISNUMBER(01_INPUTS!N37),01_INPUTS!N37,0))+(_ENGINE_MERCADO!N215*IF(ISNUMBER(01_INPUTS!N208),01_INPUTS!N208,0)*IF(ISNUMBER(01_INPUTS!N37),01_INPUTS!N37,0))+(_ENGINE_MERCADO!N220*IF(ISNUMBER(01_INPUTS!N212),01_INPUTS!N212,0)*IF(ISNUMBER(01_INPUTS!N37),01_INPUTS!N37,0))+(_ENGINE_MERCADO!N225*IF(ISNUMBER(01_INPUTS!N216),01_INPUTS!N216,0)*IF(ISNUMBER(01_INPUTS!N37),01_INPUTS!N37,0))</f>
        <v>0</v>
      </c>
      <c r="O59" s="36" t="n">
        <f aca="false">(_ENGINE_MERCADO!O210*IF(ISNUMBER(01_INPUTS!O204),01_INPUTS!O204,0)*IF(ISNUMBER(01_INPUTS!O37),01_INPUTS!O37,0))+(_ENGINE_MERCADO!O215*IF(ISNUMBER(01_INPUTS!O208),01_INPUTS!O208,0)*IF(ISNUMBER(01_INPUTS!O37),01_INPUTS!O37,0))+(_ENGINE_MERCADO!O220*IF(ISNUMBER(01_INPUTS!O212),01_INPUTS!O212,0)*IF(ISNUMBER(01_INPUTS!O37),01_INPUTS!O37,0))+(_ENGINE_MERCADO!O225*IF(ISNUMBER(01_INPUTS!O216),01_INPUTS!O216,0)*IF(ISNUMBER(01_INPUTS!O37),01_INPUTS!O37,0))</f>
        <v>0</v>
      </c>
      <c r="P59" s="36" t="n">
        <f aca="false">(_ENGINE_MERCADO!P210*IF(ISNUMBER(01_INPUTS!P204),01_INPUTS!P204,0)*IF(ISNUMBER(01_INPUTS!P37),01_INPUTS!P37,0))+(_ENGINE_MERCADO!P215*IF(ISNUMBER(01_INPUTS!P208),01_INPUTS!P208,0)*IF(ISNUMBER(01_INPUTS!P37),01_INPUTS!P37,0))+(_ENGINE_MERCADO!P220*IF(ISNUMBER(01_INPUTS!P212),01_INPUTS!P212,0)*IF(ISNUMBER(01_INPUTS!P37),01_INPUTS!P37,0))+(_ENGINE_MERCADO!P225*IF(ISNUMBER(01_INPUTS!P216),01_INPUTS!P216,0)*IF(ISNUMBER(01_INPUTS!P37),01_INPUTS!P37,0))</f>
        <v>0</v>
      </c>
      <c r="Q59" s="36" t="n">
        <f aca="false">(_ENGINE_MERCADO!Q210*IF(ISNUMBER(01_INPUTS!Q204),01_INPUTS!Q204,0)*IF(ISNUMBER(01_INPUTS!Q37),01_INPUTS!Q37,0))+(_ENGINE_MERCADO!Q215*IF(ISNUMBER(01_INPUTS!Q208),01_INPUTS!Q208,0)*IF(ISNUMBER(01_INPUTS!Q37),01_INPUTS!Q37,0))+(_ENGINE_MERCADO!Q220*IF(ISNUMBER(01_INPUTS!Q212),01_INPUTS!Q212,0)*IF(ISNUMBER(01_INPUTS!Q37),01_INPUTS!Q37,0))+(_ENGINE_MERCADO!Q225*IF(ISNUMBER(01_INPUTS!Q216),01_INPUTS!Q216,0)*IF(ISNUMBER(01_INPUTS!Q37),01_INPUTS!Q37,0))</f>
        <v>0</v>
      </c>
      <c r="R59" s="36" t="n">
        <f aca="false">(_ENGINE_MERCADO!R210*IF(ISNUMBER(01_INPUTS!R204),01_INPUTS!R204,0)*IF(ISNUMBER(01_INPUTS!R37),01_INPUTS!R37,0))+(_ENGINE_MERCADO!R215*IF(ISNUMBER(01_INPUTS!R208),01_INPUTS!R208,0)*IF(ISNUMBER(01_INPUTS!R37),01_INPUTS!R37,0))+(_ENGINE_MERCADO!R220*IF(ISNUMBER(01_INPUTS!R212),01_INPUTS!R212,0)*IF(ISNUMBER(01_INPUTS!R37),01_INPUTS!R37,0))+(_ENGINE_MERCADO!R225*IF(ISNUMBER(01_INPUTS!R216),01_INPUTS!R216,0)*IF(ISNUMBER(01_INPUTS!R37),01_INPUTS!R37,0))</f>
        <v>0</v>
      </c>
      <c r="S59" s="36" t="n">
        <f aca="false">(_ENGINE_MERCADO!S210*IF(ISNUMBER(01_INPUTS!S204),01_INPUTS!S204,0)*IF(ISNUMBER(01_INPUTS!S37),01_INPUTS!S37,0))+(_ENGINE_MERCADO!S215*IF(ISNUMBER(01_INPUTS!S208),01_INPUTS!S208,0)*IF(ISNUMBER(01_INPUTS!S37),01_INPUTS!S37,0))+(_ENGINE_MERCADO!S220*IF(ISNUMBER(01_INPUTS!S212),01_INPUTS!S212,0)*IF(ISNUMBER(01_INPUTS!S37),01_INPUTS!S37,0))+(_ENGINE_MERCADO!S225*IF(ISNUMBER(01_INPUTS!S216),01_INPUTS!S216,0)*IF(ISNUMBER(01_INPUTS!S37),01_INPUTS!S37,0))</f>
        <v>0</v>
      </c>
    </row>
    <row r="60" customFormat="false" ht="15" hidden="false" customHeight="false" outlineLevel="0" collapsed="false">
      <c r="A60" s="73" t="s">
        <v>1022</v>
      </c>
      <c r="B60" s="74" t="s">
        <v>1032</v>
      </c>
      <c r="C60" s="66" t="s">
        <v>71</v>
      </c>
      <c r="D60" s="43" t="s">
        <v>81</v>
      </c>
      <c r="E60" s="75" t="s">
        <v>43</v>
      </c>
      <c r="F60" s="76"/>
      <c r="G60" s="85" t="n">
        <v>0</v>
      </c>
      <c r="H60" s="85" t="n">
        <v>0</v>
      </c>
      <c r="I60" s="36" t="n">
        <f aca="false">IFERROR(((((01_INPUTS!I159/01_INPUTS!I55)*01_INPUTS!I158*12)+(01_INPUTS!I160*01_INPUTS!I158*12)+(01_INPUTS!I56*01_INPUTS!I158*12)+(MAX(0,01_INPUTS!I158-IF(ISNUMBER(01_INPUTS!H158),01_INPUTS!H158,01_INPUTS!I158))*01_INPUTS!I57)+(MAX(0,IF(ISNUMBER(01_INPUTS!H158),01_INPUTS!H158,01_INPUTS!I158)-01_INPUTS!I158)*IF(IFERROR(MAX(0,IF(ISNUMBER(01_INPUTS!H158),01_INPUTS!H158,01_INPUTS!I158)-01_INPUTS!I158)/IF(ISNUMBER(01_INPUTS!H158),01_INPUTS!H158,01_INPUTS!I158),0)&gt;0.5,01_INPUTS!I60,IF(IFERROR(MAX(0,IF(ISNUMBER(01_INPUTS!H158),01_INPUTS!H158,01_INPUTS!I158)-01_INPUTS!I158)/IF(ISNUMBER(01_INPUTS!H158),01_INPUTS!H158,01_INPUTS!I158),0)&gt;0.2,01_INPUTS!I59,IF(IFERROR(MAX(0,IF(ISNUMBER(01_INPUTS!H158),01_INPUTS!H158,01_INPUTS!I158)-01_INPUTS!I158)/IF(ISNUMBER(01_INPUTS!H158),01_INPUTS!H158,01_INPUTS!I158),0)&gt;=0.05,01_INPUTS!I58,0))))))*I58/(I11+I58),0)</f>
        <v>152216000</v>
      </c>
      <c r="J60" s="36" t="n">
        <f aca="false">IFERROR(((((01_INPUTS!J159/01_INPUTS!J55)*01_INPUTS!J158*12)+(01_INPUTS!J160*01_INPUTS!J158*12)+(01_INPUTS!J56*01_INPUTS!J158*12)+(MAX(0,01_INPUTS!J158-IF(ISNUMBER(01_INPUTS!I158),01_INPUTS!I158,01_INPUTS!J158))*01_INPUTS!J57)+(MAX(0,IF(ISNUMBER(01_INPUTS!I158),01_INPUTS!I158,01_INPUTS!J158)-01_INPUTS!J158)*IF(IFERROR(MAX(0,IF(ISNUMBER(01_INPUTS!I158),01_INPUTS!I158,01_INPUTS!J158)-01_INPUTS!J158)/IF(ISNUMBER(01_INPUTS!I158),01_INPUTS!I158,01_INPUTS!J158),0)&gt;0.5,01_INPUTS!J60,IF(IFERROR(MAX(0,IF(ISNUMBER(01_INPUTS!I158),01_INPUTS!I158,01_INPUTS!J158)-01_INPUTS!J158)/IF(ISNUMBER(01_INPUTS!I158),01_INPUTS!I158,01_INPUTS!J158),0)&gt;0.2,01_INPUTS!J59,IF(IFERROR(MAX(0,IF(ISNUMBER(01_INPUTS!I158),01_INPUTS!I158,01_INPUTS!J158)-01_INPUTS!J158)/IF(ISNUMBER(01_INPUTS!I158),01_INPUTS!I158,01_INPUTS!J158),0)&gt;=0.05,01_INPUTS!J58,0))))))*J58/(J11+J58),0)</f>
        <v>35804444.4444445</v>
      </c>
      <c r="K60" s="36" t="n">
        <f aca="false">IFERROR(((((01_INPUTS!K159/01_INPUTS!K55)*01_INPUTS!K158*12)+(01_INPUTS!K160*01_INPUTS!K158*12)+(01_INPUTS!K56*01_INPUTS!K158*12)+(MAX(0,01_INPUTS!K158-IF(ISNUMBER(01_INPUTS!J158),01_INPUTS!J158,01_INPUTS!K158))*01_INPUTS!K57)+(MAX(0,IF(ISNUMBER(01_INPUTS!J158),01_INPUTS!J158,01_INPUTS!K158)-01_INPUTS!K158)*IF(IFERROR(MAX(0,IF(ISNUMBER(01_INPUTS!J158),01_INPUTS!J158,01_INPUTS!K158)-01_INPUTS!K158)/IF(ISNUMBER(01_INPUTS!J158),01_INPUTS!J158,01_INPUTS!K158),0)&gt;0.5,01_INPUTS!K60,IF(IFERROR(MAX(0,IF(ISNUMBER(01_INPUTS!J158),01_INPUTS!J158,01_INPUTS!K158)-01_INPUTS!K158)/IF(ISNUMBER(01_INPUTS!J158),01_INPUTS!J158,01_INPUTS!K158),0)&gt;0.2,01_INPUTS!K59,IF(IFERROR(MAX(0,IF(ISNUMBER(01_INPUTS!J158),01_INPUTS!J158,01_INPUTS!K158)-01_INPUTS!K158)/IF(ISNUMBER(01_INPUTS!J158),01_INPUTS!J158,01_INPUTS!K158),0)&gt;=0.05,01_INPUTS!K58,0))))))*K58/(K11+K58),0)</f>
        <v>0</v>
      </c>
      <c r="L60" s="36" t="n">
        <f aca="false">IFERROR(((((01_INPUTS!L159/01_INPUTS!L55)*01_INPUTS!L158*12)+(01_INPUTS!L160*01_INPUTS!L158*12)+(01_INPUTS!L56*01_INPUTS!L158*12)+(MAX(0,01_INPUTS!L158-IF(ISNUMBER(01_INPUTS!K158),01_INPUTS!K158,01_INPUTS!L158))*01_INPUTS!L57)+(MAX(0,IF(ISNUMBER(01_INPUTS!K158),01_INPUTS!K158,01_INPUTS!L158)-01_INPUTS!L158)*IF(IFERROR(MAX(0,IF(ISNUMBER(01_INPUTS!K158),01_INPUTS!K158,01_INPUTS!L158)-01_INPUTS!L158)/IF(ISNUMBER(01_INPUTS!K158),01_INPUTS!K158,01_INPUTS!L158),0)&gt;0.5,01_INPUTS!L60,IF(IFERROR(MAX(0,IF(ISNUMBER(01_INPUTS!K158),01_INPUTS!K158,01_INPUTS!L158)-01_INPUTS!L158)/IF(ISNUMBER(01_INPUTS!K158),01_INPUTS!K158,01_INPUTS!L158),0)&gt;0.2,01_INPUTS!L59,IF(IFERROR(MAX(0,IF(ISNUMBER(01_INPUTS!K158),01_INPUTS!K158,01_INPUTS!L158)-01_INPUTS!L158)/IF(ISNUMBER(01_INPUTS!K158),01_INPUTS!K158,01_INPUTS!L158),0)&gt;=0.05,01_INPUTS!L58,0))))))*L58/(L11+L58),0)</f>
        <v>0</v>
      </c>
      <c r="M60" s="36" t="n">
        <f aca="false">IFERROR(((((01_INPUTS!M159/01_INPUTS!M55)*01_INPUTS!M158*12)+(01_INPUTS!M160*01_INPUTS!M158*12)+(01_INPUTS!M56*01_INPUTS!M158*12)+(MAX(0,01_INPUTS!M158-IF(ISNUMBER(01_INPUTS!L158),01_INPUTS!L158,01_INPUTS!M158))*01_INPUTS!M57)+(MAX(0,IF(ISNUMBER(01_INPUTS!L158),01_INPUTS!L158,01_INPUTS!M158)-01_INPUTS!M158)*IF(IFERROR(MAX(0,IF(ISNUMBER(01_INPUTS!L158),01_INPUTS!L158,01_INPUTS!M158)-01_INPUTS!M158)/IF(ISNUMBER(01_INPUTS!L158),01_INPUTS!L158,01_INPUTS!M158),0)&gt;0.5,01_INPUTS!M60,IF(IFERROR(MAX(0,IF(ISNUMBER(01_INPUTS!L158),01_INPUTS!L158,01_INPUTS!M158)-01_INPUTS!M158)/IF(ISNUMBER(01_INPUTS!L158),01_INPUTS!L158,01_INPUTS!M158),0)&gt;0.2,01_INPUTS!M59,IF(IFERROR(MAX(0,IF(ISNUMBER(01_INPUTS!L158),01_INPUTS!L158,01_INPUTS!M158)-01_INPUTS!M158)/IF(ISNUMBER(01_INPUTS!L158),01_INPUTS!L158,01_INPUTS!M158),0)&gt;=0.05,01_INPUTS!M58,0))))))*M58/(M11+M58),0)</f>
        <v>0</v>
      </c>
      <c r="N60" s="36" t="n">
        <f aca="false">IFERROR(((((01_INPUTS!N159/01_INPUTS!N55)*01_INPUTS!N158*12)+(01_INPUTS!N160*01_INPUTS!N158*12)+(01_INPUTS!N56*01_INPUTS!N158*12)+(MAX(0,01_INPUTS!N158-IF(ISNUMBER(01_INPUTS!M158),01_INPUTS!M158,01_INPUTS!N158))*01_INPUTS!N57)+(MAX(0,IF(ISNUMBER(01_INPUTS!M158),01_INPUTS!M158,01_INPUTS!N158)-01_INPUTS!N158)*IF(IFERROR(MAX(0,IF(ISNUMBER(01_INPUTS!M158),01_INPUTS!M158,01_INPUTS!N158)-01_INPUTS!N158)/IF(ISNUMBER(01_INPUTS!M158),01_INPUTS!M158,01_INPUTS!N158),0)&gt;0.5,01_INPUTS!N60,IF(IFERROR(MAX(0,IF(ISNUMBER(01_INPUTS!M158),01_INPUTS!M158,01_INPUTS!N158)-01_INPUTS!N158)/IF(ISNUMBER(01_INPUTS!M158),01_INPUTS!M158,01_INPUTS!N158),0)&gt;0.2,01_INPUTS!N59,IF(IFERROR(MAX(0,IF(ISNUMBER(01_INPUTS!M158),01_INPUTS!M158,01_INPUTS!N158)-01_INPUTS!N158)/IF(ISNUMBER(01_INPUTS!M158),01_INPUTS!M158,01_INPUTS!N158),0)&gt;=0.05,01_INPUTS!N58,0))))))*N58/(N11+N58),0)</f>
        <v>0</v>
      </c>
      <c r="O60" s="36" t="n">
        <f aca="false">IFERROR(((((01_INPUTS!O159/01_INPUTS!O55)*01_INPUTS!O158*12)+(01_INPUTS!O160*01_INPUTS!O158*12)+(01_INPUTS!O56*01_INPUTS!O158*12)+(MAX(0,01_INPUTS!O158-IF(ISNUMBER(01_INPUTS!N158),01_INPUTS!N158,01_INPUTS!O158))*01_INPUTS!O57)+(MAX(0,IF(ISNUMBER(01_INPUTS!N158),01_INPUTS!N158,01_INPUTS!O158)-01_INPUTS!O158)*IF(IFERROR(MAX(0,IF(ISNUMBER(01_INPUTS!N158),01_INPUTS!N158,01_INPUTS!O158)-01_INPUTS!O158)/IF(ISNUMBER(01_INPUTS!N158),01_INPUTS!N158,01_INPUTS!O158),0)&gt;0.5,01_INPUTS!O60,IF(IFERROR(MAX(0,IF(ISNUMBER(01_INPUTS!N158),01_INPUTS!N158,01_INPUTS!O158)-01_INPUTS!O158)/IF(ISNUMBER(01_INPUTS!N158),01_INPUTS!N158,01_INPUTS!O158),0)&gt;0.2,01_INPUTS!O59,IF(IFERROR(MAX(0,IF(ISNUMBER(01_INPUTS!N158),01_INPUTS!N158,01_INPUTS!O158)-01_INPUTS!O158)/IF(ISNUMBER(01_INPUTS!N158),01_INPUTS!N158,01_INPUTS!O158),0)&gt;=0.05,01_INPUTS!O58,0))))))*O58/(O11+O58),0)</f>
        <v>0</v>
      </c>
      <c r="P60" s="36" t="n">
        <f aca="false">IFERROR(((((01_INPUTS!P159/01_INPUTS!P55)*01_INPUTS!P158*12)+(01_INPUTS!P160*01_INPUTS!P158*12)+(01_INPUTS!P56*01_INPUTS!P158*12)+(MAX(0,01_INPUTS!P158-IF(ISNUMBER(01_INPUTS!O158),01_INPUTS!O158,01_INPUTS!P158))*01_INPUTS!P57)+(MAX(0,IF(ISNUMBER(01_INPUTS!O158),01_INPUTS!O158,01_INPUTS!P158)-01_INPUTS!P158)*IF(IFERROR(MAX(0,IF(ISNUMBER(01_INPUTS!O158),01_INPUTS!O158,01_INPUTS!P158)-01_INPUTS!P158)/IF(ISNUMBER(01_INPUTS!O158),01_INPUTS!O158,01_INPUTS!P158),0)&gt;0.5,01_INPUTS!P60,IF(IFERROR(MAX(0,IF(ISNUMBER(01_INPUTS!O158),01_INPUTS!O158,01_INPUTS!P158)-01_INPUTS!P158)/IF(ISNUMBER(01_INPUTS!O158),01_INPUTS!O158,01_INPUTS!P158),0)&gt;0.2,01_INPUTS!P59,IF(IFERROR(MAX(0,IF(ISNUMBER(01_INPUTS!O158),01_INPUTS!O158,01_INPUTS!P158)-01_INPUTS!P158)/IF(ISNUMBER(01_INPUTS!O158),01_INPUTS!O158,01_INPUTS!P158),0)&gt;=0.05,01_INPUTS!P58,0))))))*P58/(P11+P58),0)</f>
        <v>0</v>
      </c>
      <c r="Q60" s="36" t="n">
        <f aca="false">IFERROR(((((01_INPUTS!Q159/01_INPUTS!Q55)*01_INPUTS!Q158*12)+(01_INPUTS!Q160*01_INPUTS!Q158*12)+(01_INPUTS!Q56*01_INPUTS!Q158*12)+(MAX(0,01_INPUTS!Q158-IF(ISNUMBER(01_INPUTS!P158),01_INPUTS!P158,01_INPUTS!Q158))*01_INPUTS!Q57)+(MAX(0,IF(ISNUMBER(01_INPUTS!P158),01_INPUTS!P158,01_INPUTS!Q158)-01_INPUTS!Q158)*IF(IFERROR(MAX(0,IF(ISNUMBER(01_INPUTS!P158),01_INPUTS!P158,01_INPUTS!Q158)-01_INPUTS!Q158)/IF(ISNUMBER(01_INPUTS!P158),01_INPUTS!P158,01_INPUTS!Q158),0)&gt;0.5,01_INPUTS!Q60,IF(IFERROR(MAX(0,IF(ISNUMBER(01_INPUTS!P158),01_INPUTS!P158,01_INPUTS!Q158)-01_INPUTS!Q158)/IF(ISNUMBER(01_INPUTS!P158),01_INPUTS!P158,01_INPUTS!Q158),0)&gt;0.2,01_INPUTS!Q59,IF(IFERROR(MAX(0,IF(ISNUMBER(01_INPUTS!P158),01_INPUTS!P158,01_INPUTS!Q158)-01_INPUTS!Q158)/IF(ISNUMBER(01_INPUTS!P158),01_INPUTS!P158,01_INPUTS!Q158),0)&gt;=0.05,01_INPUTS!Q58,0))))))*Q58/(Q11+Q58),0)</f>
        <v>0</v>
      </c>
      <c r="R60" s="36" t="n">
        <f aca="false">IFERROR(((((01_INPUTS!R159/01_INPUTS!R55)*01_INPUTS!R158*12)+(01_INPUTS!R160*01_INPUTS!R158*12)+(01_INPUTS!R56*01_INPUTS!R158*12)+(MAX(0,01_INPUTS!R158-IF(ISNUMBER(01_INPUTS!Q158),01_INPUTS!Q158,01_INPUTS!R158))*01_INPUTS!R57)+(MAX(0,IF(ISNUMBER(01_INPUTS!Q158),01_INPUTS!Q158,01_INPUTS!R158)-01_INPUTS!R158)*IF(IFERROR(MAX(0,IF(ISNUMBER(01_INPUTS!Q158),01_INPUTS!Q158,01_INPUTS!R158)-01_INPUTS!R158)/IF(ISNUMBER(01_INPUTS!Q158),01_INPUTS!Q158,01_INPUTS!R158),0)&gt;0.5,01_INPUTS!R60,IF(IFERROR(MAX(0,IF(ISNUMBER(01_INPUTS!Q158),01_INPUTS!Q158,01_INPUTS!R158)-01_INPUTS!R158)/IF(ISNUMBER(01_INPUTS!Q158),01_INPUTS!Q158,01_INPUTS!R158),0)&gt;0.2,01_INPUTS!R59,IF(IFERROR(MAX(0,IF(ISNUMBER(01_INPUTS!Q158),01_INPUTS!Q158,01_INPUTS!R158)-01_INPUTS!R158)/IF(ISNUMBER(01_INPUTS!Q158),01_INPUTS!Q158,01_INPUTS!R158),0)&gt;=0.05,01_INPUTS!R58,0))))))*R58/(R11+R58),0)</f>
        <v>0</v>
      </c>
      <c r="S60" s="36" t="n">
        <f aca="false">IFERROR(((((01_INPUTS!S159/01_INPUTS!S55)*01_INPUTS!S158*12)+(01_INPUTS!S160*01_INPUTS!S158*12)+(01_INPUTS!S56*01_INPUTS!S158*12)+(MAX(0,01_INPUTS!S158-IF(ISNUMBER(01_INPUTS!R158),01_INPUTS!R158,01_INPUTS!S158))*01_INPUTS!S57)+(MAX(0,IF(ISNUMBER(01_INPUTS!R158),01_INPUTS!R158,01_INPUTS!S158)-01_INPUTS!S158)*IF(IFERROR(MAX(0,IF(ISNUMBER(01_INPUTS!R158),01_INPUTS!R158,01_INPUTS!S158)-01_INPUTS!S158)/IF(ISNUMBER(01_INPUTS!R158),01_INPUTS!R158,01_INPUTS!S158),0)&gt;0.5,01_INPUTS!S60,IF(IFERROR(MAX(0,IF(ISNUMBER(01_INPUTS!R158),01_INPUTS!R158,01_INPUTS!S158)-01_INPUTS!S158)/IF(ISNUMBER(01_INPUTS!R158),01_INPUTS!R158,01_INPUTS!S158),0)&gt;0.2,01_INPUTS!S59,IF(IFERROR(MAX(0,IF(ISNUMBER(01_INPUTS!R158),01_INPUTS!R158,01_INPUTS!S158)-01_INPUTS!S158)/IF(ISNUMBER(01_INPUTS!R158),01_INPUTS!R158,01_INPUTS!S158),0)&gt;=0.05,01_INPUTS!S58,0))))))*S58/(S11+S58),0)</f>
        <v>0</v>
      </c>
    </row>
    <row r="61" customFormat="false" ht="15" hidden="false" customHeight="false" outlineLevel="0" collapsed="false">
      <c r="A61" s="73" t="s">
        <v>1022</v>
      </c>
      <c r="B61" s="74" t="s">
        <v>1033</v>
      </c>
      <c r="C61" s="66" t="s">
        <v>71</v>
      </c>
      <c r="D61" s="43" t="s">
        <v>81</v>
      </c>
      <c r="E61" s="75" t="s">
        <v>43</v>
      </c>
      <c r="F61" s="76"/>
      <c r="G61" s="36" t="n">
        <f aca="false">IFERROR((IF(ISNUMBER(01_INPUTS!G164),01_INPUTS!G164,0)+IF(ISNUMBER(01_INPUTS!G166),01_INPUTS!G166,0)+IF(ISNUMBER(01_INPUTS!G168),01_INPUTS!G168,0)+IF(ISNUMBER(01_INPUTS!G170),01_INPUTS!G170,0))*G58/(G11+G58),0)</f>
        <v>0</v>
      </c>
      <c r="H61" s="36" t="n">
        <f aca="false">IFERROR((IF(ISNUMBER(01_INPUTS!H164),01_INPUTS!H164,0)+IF(ISNUMBER(01_INPUTS!H166),01_INPUTS!H166,0)+IF(ISNUMBER(01_INPUTS!H168),01_INPUTS!H168,0)+IF(ISNUMBER(01_INPUTS!H170),01_INPUTS!H170,0))*H58/(H11+H58),0)</f>
        <v>0</v>
      </c>
      <c r="I61" s="36" t="n">
        <f aca="false">IFERROR((IF(ISNUMBER(01_INPUTS!I164),01_INPUTS!I164,0)+IF(ISNUMBER(01_INPUTS!I166),01_INPUTS!I166,0)+IF(ISNUMBER(01_INPUTS!I168),01_INPUTS!I168,0)+IF(ISNUMBER(01_INPUTS!I170),01_INPUTS!I170,0))*I58/(I11+I58),0)</f>
        <v>0</v>
      </c>
      <c r="J61" s="36" t="n">
        <f aca="false">IFERROR((IF(ISNUMBER(01_INPUTS!J164),01_INPUTS!J164,0)+IF(ISNUMBER(01_INPUTS!J166),01_INPUTS!J166,0)+IF(ISNUMBER(01_INPUTS!J168),01_INPUTS!J168,0)+IF(ISNUMBER(01_INPUTS!J170),01_INPUTS!J170,0))*J58/(J11+J58),0)</f>
        <v>0</v>
      </c>
      <c r="K61" s="36" t="n">
        <f aca="false">IFERROR((IF(ISNUMBER(01_INPUTS!K164),01_INPUTS!K164,0)+IF(ISNUMBER(01_INPUTS!K166),01_INPUTS!K166,0)+IF(ISNUMBER(01_INPUTS!K168),01_INPUTS!K168,0)+IF(ISNUMBER(01_INPUTS!K170),01_INPUTS!K170,0))*K58/(K11+K58),0)</f>
        <v>0</v>
      </c>
      <c r="L61" s="36" t="n">
        <f aca="false">IFERROR((IF(ISNUMBER(01_INPUTS!L164),01_INPUTS!L164,0)+IF(ISNUMBER(01_INPUTS!L166),01_INPUTS!L166,0)+IF(ISNUMBER(01_INPUTS!L168),01_INPUTS!L168,0)+IF(ISNUMBER(01_INPUTS!L170),01_INPUTS!L170,0))*L58/(L11+L58),0)</f>
        <v>0</v>
      </c>
      <c r="M61" s="36" t="n">
        <f aca="false">IFERROR((IF(ISNUMBER(01_INPUTS!M164),01_INPUTS!M164,0)+IF(ISNUMBER(01_INPUTS!M166),01_INPUTS!M166,0)+IF(ISNUMBER(01_INPUTS!M168),01_INPUTS!M168,0)+IF(ISNUMBER(01_INPUTS!M170),01_INPUTS!M170,0))*M58/(M11+M58),0)</f>
        <v>0</v>
      </c>
      <c r="N61" s="36" t="n">
        <f aca="false">IFERROR((IF(ISNUMBER(01_INPUTS!N164),01_INPUTS!N164,0)+IF(ISNUMBER(01_INPUTS!N166),01_INPUTS!N166,0)+IF(ISNUMBER(01_INPUTS!N168),01_INPUTS!N168,0)+IF(ISNUMBER(01_INPUTS!N170),01_INPUTS!N170,0))*N58/(N11+N58),0)</f>
        <v>0</v>
      </c>
      <c r="O61" s="36" t="n">
        <f aca="false">IFERROR((IF(ISNUMBER(01_INPUTS!O164),01_INPUTS!O164,0)+IF(ISNUMBER(01_INPUTS!O166),01_INPUTS!O166,0)+IF(ISNUMBER(01_INPUTS!O168),01_INPUTS!O168,0)+IF(ISNUMBER(01_INPUTS!O170),01_INPUTS!O170,0))*O58/(O11+O58),0)</f>
        <v>0</v>
      </c>
      <c r="P61" s="36" t="n">
        <f aca="false">IFERROR((IF(ISNUMBER(01_INPUTS!P164),01_INPUTS!P164,0)+IF(ISNUMBER(01_INPUTS!P166),01_INPUTS!P166,0)+IF(ISNUMBER(01_INPUTS!P168),01_INPUTS!P168,0)+IF(ISNUMBER(01_INPUTS!P170),01_INPUTS!P170,0))*P58/(P11+P58),0)</f>
        <v>0</v>
      </c>
      <c r="Q61" s="36" t="n">
        <f aca="false">IFERROR((IF(ISNUMBER(01_INPUTS!Q164),01_INPUTS!Q164,0)+IF(ISNUMBER(01_INPUTS!Q166),01_INPUTS!Q166,0)+IF(ISNUMBER(01_INPUTS!Q168),01_INPUTS!Q168,0)+IF(ISNUMBER(01_INPUTS!Q170),01_INPUTS!Q170,0))*Q58/(Q11+Q58),0)</f>
        <v>0</v>
      </c>
      <c r="R61" s="36" t="n">
        <f aca="false">IFERROR((IF(ISNUMBER(01_INPUTS!R164),01_INPUTS!R164,0)+IF(ISNUMBER(01_INPUTS!R166),01_INPUTS!R166,0)+IF(ISNUMBER(01_INPUTS!R168),01_INPUTS!R168,0)+IF(ISNUMBER(01_INPUTS!R170),01_INPUTS!R170,0))*R58/(R11+R58),0)</f>
        <v>0</v>
      </c>
      <c r="S61" s="36" t="n">
        <f aca="false">IFERROR((IF(ISNUMBER(01_INPUTS!S164),01_INPUTS!S164,0)+IF(ISNUMBER(01_INPUTS!S166),01_INPUTS!S166,0)+IF(ISNUMBER(01_INPUTS!S168),01_INPUTS!S168,0)+IF(ISNUMBER(01_INPUTS!S170),01_INPUTS!S170,0))*S58/(S11+S58),0)</f>
        <v>0</v>
      </c>
    </row>
    <row r="62" customFormat="false" ht="15" hidden="false" customHeight="false" outlineLevel="0" collapsed="false">
      <c r="A62" s="73" t="s">
        <v>1022</v>
      </c>
      <c r="B62" s="74" t="s">
        <v>1034</v>
      </c>
      <c r="C62" s="66" t="s">
        <v>71</v>
      </c>
      <c r="D62" s="43" t="s">
        <v>81</v>
      </c>
      <c r="E62" s="75" t="s">
        <v>43</v>
      </c>
      <c r="F62" s="76"/>
      <c r="G62" s="78" t="n">
        <f aca="false">G60+G61</f>
        <v>0</v>
      </c>
      <c r="H62" s="78" t="n">
        <f aca="false">H60+H61</f>
        <v>0</v>
      </c>
      <c r="I62" s="78" t="n">
        <f aca="false">I60+I61</f>
        <v>152216000</v>
      </c>
      <c r="J62" s="78" t="n">
        <f aca="false">J60+J61</f>
        <v>35804444.4444445</v>
      </c>
      <c r="K62" s="78" t="n">
        <f aca="false">K60+K61</f>
        <v>0</v>
      </c>
      <c r="L62" s="78" t="n">
        <f aca="false">L60+L61</f>
        <v>0</v>
      </c>
      <c r="M62" s="78" t="n">
        <f aca="false">M60+M61</f>
        <v>0</v>
      </c>
      <c r="N62" s="78" t="n">
        <f aca="false">N60+N61</f>
        <v>0</v>
      </c>
      <c r="O62" s="78" t="n">
        <f aca="false">O60+O61</f>
        <v>0</v>
      </c>
      <c r="P62" s="78" t="n">
        <f aca="false">P60+P61</f>
        <v>0</v>
      </c>
      <c r="Q62" s="78" t="n">
        <f aca="false">Q60+Q61</f>
        <v>0</v>
      </c>
      <c r="R62" s="78" t="n">
        <f aca="false">R60+R61</f>
        <v>0</v>
      </c>
      <c r="S62" s="78" t="n">
        <f aca="false">S60+S61</f>
        <v>0</v>
      </c>
    </row>
    <row r="63" customFormat="false" ht="15" hidden="false" customHeight="false" outlineLevel="0" collapsed="false">
      <c r="A63" s="73" t="s">
        <v>1022</v>
      </c>
      <c r="B63" s="74" t="s">
        <v>1035</v>
      </c>
      <c r="C63" s="66" t="s">
        <v>71</v>
      </c>
      <c r="D63" s="43" t="s">
        <v>81</v>
      </c>
      <c r="E63" s="75" t="s">
        <v>43</v>
      </c>
      <c r="F63" s="76"/>
      <c r="G63" s="36" t="n">
        <f aca="false">IF(ISNUMBER(01_INPUTS!G202),01_INPUTS!G202,0)+IF(ISNUMBER(01_INPUTS!G206),01_INPUTS!G206,0)+IF(ISNUMBER(01_INPUTS!G210),01_INPUTS!G210,0)+IF(ISNUMBER(01_INPUTS!G214),01_INPUTS!G214,0)</f>
        <v>0</v>
      </c>
      <c r="H63" s="36" t="n">
        <f aca="false">IF(ISNUMBER(01_INPUTS!H202),01_INPUTS!H202,0)+IF(ISNUMBER(01_INPUTS!H206),01_INPUTS!H206,0)+IF(ISNUMBER(01_INPUTS!H210),01_INPUTS!H210,0)+IF(ISNUMBER(01_INPUTS!H214),01_INPUTS!H214,0)</f>
        <v>0</v>
      </c>
      <c r="I63" s="36" t="n">
        <f aca="false">IF(ISNUMBER(01_INPUTS!I202),01_INPUTS!I202,0)+IF(ISNUMBER(01_INPUTS!I206),01_INPUTS!I206,0)+IF(ISNUMBER(01_INPUTS!I210),01_INPUTS!I210,0)+IF(ISNUMBER(01_INPUTS!I214),01_INPUTS!I214,0)</f>
        <v>900000000</v>
      </c>
      <c r="J63" s="36" t="n">
        <f aca="false">IF(ISNUMBER(01_INPUTS!J202),01_INPUTS!J202,0)+IF(ISNUMBER(01_INPUTS!J206),01_INPUTS!J206,0)+IF(ISNUMBER(01_INPUTS!J210),01_INPUTS!J210,0)+IF(ISNUMBER(01_INPUTS!J214),01_INPUTS!J214,0)</f>
        <v>0</v>
      </c>
      <c r="K63" s="36" t="n">
        <f aca="false">IF(ISNUMBER(01_INPUTS!K202),01_INPUTS!K202,0)+IF(ISNUMBER(01_INPUTS!K206),01_INPUTS!K206,0)+IF(ISNUMBER(01_INPUTS!K210),01_INPUTS!K210,0)+IF(ISNUMBER(01_INPUTS!K214),01_INPUTS!K214,0)</f>
        <v>0</v>
      </c>
      <c r="L63" s="36" t="n">
        <f aca="false">IF(ISNUMBER(01_INPUTS!L202),01_INPUTS!L202,0)+IF(ISNUMBER(01_INPUTS!L206),01_INPUTS!L206,0)+IF(ISNUMBER(01_INPUTS!L210),01_INPUTS!L210,0)+IF(ISNUMBER(01_INPUTS!L214),01_INPUTS!L214,0)</f>
        <v>0</v>
      </c>
      <c r="M63" s="36" t="n">
        <f aca="false">IF(ISNUMBER(01_INPUTS!M202),01_INPUTS!M202,0)+IF(ISNUMBER(01_INPUTS!M206),01_INPUTS!M206,0)+IF(ISNUMBER(01_INPUTS!M210),01_INPUTS!M210,0)+IF(ISNUMBER(01_INPUTS!M214),01_INPUTS!M214,0)</f>
        <v>0</v>
      </c>
      <c r="N63" s="36" t="n">
        <f aca="false">IF(ISNUMBER(01_INPUTS!N202),01_INPUTS!N202,0)+IF(ISNUMBER(01_INPUTS!N206),01_INPUTS!N206,0)+IF(ISNUMBER(01_INPUTS!N210),01_INPUTS!N210,0)+IF(ISNUMBER(01_INPUTS!N214),01_INPUTS!N214,0)</f>
        <v>0</v>
      </c>
      <c r="O63" s="36" t="n">
        <f aca="false">IF(ISNUMBER(01_INPUTS!O202),01_INPUTS!O202,0)+IF(ISNUMBER(01_INPUTS!O206),01_INPUTS!O206,0)+IF(ISNUMBER(01_INPUTS!O210),01_INPUTS!O210,0)+IF(ISNUMBER(01_INPUTS!O214),01_INPUTS!O214,0)</f>
        <v>0</v>
      </c>
      <c r="P63" s="36" t="n">
        <f aca="false">IF(ISNUMBER(01_INPUTS!P202),01_INPUTS!P202,0)+IF(ISNUMBER(01_INPUTS!P206),01_INPUTS!P206,0)+IF(ISNUMBER(01_INPUTS!P210),01_INPUTS!P210,0)+IF(ISNUMBER(01_INPUTS!P214),01_INPUTS!P214,0)</f>
        <v>0</v>
      </c>
      <c r="Q63" s="36" t="n">
        <f aca="false">IF(ISNUMBER(01_INPUTS!Q202),01_INPUTS!Q202,0)+IF(ISNUMBER(01_INPUTS!Q206),01_INPUTS!Q206,0)+IF(ISNUMBER(01_INPUTS!Q210),01_INPUTS!Q210,0)+IF(ISNUMBER(01_INPUTS!Q214),01_INPUTS!Q214,0)</f>
        <v>0</v>
      </c>
      <c r="R63" s="36" t="n">
        <f aca="false">IF(ISNUMBER(01_INPUTS!R202),01_INPUTS!R202,0)+IF(ISNUMBER(01_INPUTS!R206),01_INPUTS!R206,0)+IF(ISNUMBER(01_INPUTS!R210),01_INPUTS!R210,0)+IF(ISNUMBER(01_INPUTS!R214),01_INPUTS!R214,0)</f>
        <v>0</v>
      </c>
      <c r="S63" s="36" t="n">
        <f aca="false">IF(ISNUMBER(01_INPUTS!S202),01_INPUTS!S202,0)+IF(ISNUMBER(01_INPUTS!S206),01_INPUTS!S206,0)+IF(ISNUMBER(01_INPUTS!S210),01_INPUTS!S210,0)+IF(ISNUMBER(01_INPUTS!S214),01_INPUTS!S214,0)</f>
        <v>0</v>
      </c>
    </row>
    <row r="64" customFormat="false" ht="15" hidden="false" customHeight="false" outlineLevel="0" collapsed="false">
      <c r="A64" s="73" t="s">
        <v>1022</v>
      </c>
      <c r="B64" s="74" t="s">
        <v>1036</v>
      </c>
      <c r="C64" s="66" t="s">
        <v>71</v>
      </c>
      <c r="D64" s="43" t="s">
        <v>81</v>
      </c>
      <c r="E64" s="75" t="s">
        <v>43</v>
      </c>
      <c r="F64" s="76"/>
      <c r="G64" s="36" t="n">
        <f aca="false">(IF(ISNUMBER(01_INPUTS!G48),01_INPUTS!G48,0))+(IF(ISNUMBER(01_INPUTS!G51),01_INPUTS!G51,0))*G58+(IF(ISNUMBER(01_INPUTS!G53),01_INPUTS!G53,0))*G54</f>
        <v>0</v>
      </c>
      <c r="H64" s="36" t="n">
        <f aca="false">(IF(ISNUMBER(01_INPUTS!H48),01_INPUTS!H48,0))+(IF(ISNUMBER(01_INPUTS!H51),01_INPUTS!H51,0))*H58+(IF(ISNUMBER(01_INPUTS!H53),01_INPUTS!H53,0))*H54</f>
        <v>95000000</v>
      </c>
      <c r="I64" s="36" t="n">
        <f aca="false">(IF(ISNUMBER(01_INPUTS!I48),01_INPUTS!I48,0))+(IF(ISNUMBER(01_INPUTS!I51),01_INPUTS!I51,0))*I58+(IF(ISNUMBER(01_INPUTS!I53),01_INPUTS!I53,0))*I54</f>
        <v>100000000</v>
      </c>
      <c r="J64" s="36" t="n">
        <f aca="false">(IF(ISNUMBER(01_INPUTS!J48),01_INPUTS!J48,0))+(IF(ISNUMBER(01_INPUTS!J51),01_INPUTS!J51,0))*J58+(IF(ISNUMBER(01_INPUTS!J53),01_INPUTS!J53,0))*J54</f>
        <v>100000000</v>
      </c>
      <c r="K64" s="36" t="n">
        <f aca="false">(IF(ISNUMBER(01_INPUTS!K48),01_INPUTS!K48,0))+(IF(ISNUMBER(01_INPUTS!K51),01_INPUTS!K51,0))*K58+(IF(ISNUMBER(01_INPUTS!K53),01_INPUTS!K53,0))*K54</f>
        <v>100000000</v>
      </c>
      <c r="L64" s="36" t="n">
        <f aca="false">(IF(ISNUMBER(01_INPUTS!L48),01_INPUTS!L48,0))+(IF(ISNUMBER(01_INPUTS!L51),01_INPUTS!L51,0))*L58+(IF(ISNUMBER(01_INPUTS!L53),01_INPUTS!L53,0))*L54</f>
        <v>100000000</v>
      </c>
      <c r="M64" s="36" t="n">
        <f aca="false">(IF(ISNUMBER(01_INPUTS!M48),01_INPUTS!M48,0))+(IF(ISNUMBER(01_INPUTS!M51),01_INPUTS!M51,0))*M58+(IF(ISNUMBER(01_INPUTS!M53),01_INPUTS!M53,0))*M54</f>
        <v>100000000</v>
      </c>
      <c r="N64" s="36" t="n">
        <f aca="false">(IF(ISNUMBER(01_INPUTS!N48),01_INPUTS!N48,0))+(IF(ISNUMBER(01_INPUTS!N51),01_INPUTS!N51,0))*N58+(IF(ISNUMBER(01_INPUTS!N53),01_INPUTS!N53,0))*N54</f>
        <v>100000000</v>
      </c>
      <c r="O64" s="36" t="n">
        <f aca="false">(IF(ISNUMBER(01_INPUTS!O48),01_INPUTS!O48,0))+(IF(ISNUMBER(01_INPUTS!O51),01_INPUTS!O51,0))*O58+(IF(ISNUMBER(01_INPUTS!O53),01_INPUTS!O53,0))*O54</f>
        <v>100000000</v>
      </c>
      <c r="P64" s="36" t="n">
        <f aca="false">(IF(ISNUMBER(01_INPUTS!P48),01_INPUTS!P48,0))+(IF(ISNUMBER(01_INPUTS!P51),01_INPUTS!P51,0))*P58+(IF(ISNUMBER(01_INPUTS!P53),01_INPUTS!P53,0))*P54</f>
        <v>100000000</v>
      </c>
      <c r="Q64" s="36" t="n">
        <f aca="false">(IF(ISNUMBER(01_INPUTS!Q48),01_INPUTS!Q48,0))+(IF(ISNUMBER(01_INPUTS!Q51),01_INPUTS!Q51,0))*Q58+(IF(ISNUMBER(01_INPUTS!Q53),01_INPUTS!Q53,0))*Q54</f>
        <v>100000000</v>
      </c>
      <c r="R64" s="36" t="n">
        <f aca="false">(IF(ISNUMBER(01_INPUTS!R48),01_INPUTS!R48,0))+(IF(ISNUMBER(01_INPUTS!R51),01_INPUTS!R51,0))*R58+(IF(ISNUMBER(01_INPUTS!R53),01_INPUTS!R53,0))*R54</f>
        <v>100000000</v>
      </c>
      <c r="S64" s="36" t="n">
        <f aca="false">(IF(ISNUMBER(01_INPUTS!S48),01_INPUTS!S48,0))+(IF(ISNUMBER(01_INPUTS!S51),01_INPUTS!S51,0))*S58+(IF(ISNUMBER(01_INPUTS!S53),01_INPUTS!S53,0))*S54</f>
        <v>100000000</v>
      </c>
    </row>
    <row r="65" customFormat="false" ht="15" hidden="false" customHeight="false" outlineLevel="0" collapsed="false">
      <c r="A65" s="73" t="s">
        <v>1022</v>
      </c>
      <c r="B65" s="74" t="s">
        <v>271</v>
      </c>
      <c r="C65" s="66" t="s">
        <v>71</v>
      </c>
      <c r="D65" s="43" t="s">
        <v>81</v>
      </c>
      <c r="E65" s="75" t="s">
        <v>917</v>
      </c>
      <c r="F65" s="76"/>
      <c r="G65" s="78" t="n">
        <f aca="false">G55+G56+G57+G59+G62+G63+G64</f>
        <v>0</v>
      </c>
      <c r="H65" s="78" t="n">
        <f aca="false">H55+H56+H57+H59+H62+H63+H64</f>
        <v>95000000</v>
      </c>
      <c r="I65" s="78" t="n">
        <f aca="false">I55+I56+I57+I59+I62+I63+I64</f>
        <v>25396256941.7034</v>
      </c>
      <c r="J65" s="78" t="n">
        <f aca="false">J55+J56+J57+J59+J62+J63+J64</f>
        <v>135804444.444444</v>
      </c>
      <c r="K65" s="78" t="n">
        <f aca="false">K55+K56+K57+K59+K62+K63+K64</f>
        <v>100000000</v>
      </c>
      <c r="L65" s="78" t="n">
        <f aca="false">L55+L56+L57+L59+L62+L63+L64</f>
        <v>100000000</v>
      </c>
      <c r="M65" s="78" t="n">
        <f aca="false">M55+M56+M57+M59+M62+M63+M64</f>
        <v>100000000</v>
      </c>
      <c r="N65" s="78" t="n">
        <f aca="false">N55+N56+N57+N59+N62+N63+N64</f>
        <v>100000000</v>
      </c>
      <c r="O65" s="78" t="n">
        <f aca="false">O55+O56+O57+O59+O62+O63+O64</f>
        <v>100000000</v>
      </c>
      <c r="P65" s="78" t="n">
        <f aca="false">P55+P56+P57+P59+P62+P63+P64</f>
        <v>100000000</v>
      </c>
      <c r="Q65" s="78" t="n">
        <f aca="false">Q55+Q56+Q57+Q59+Q62+Q63+Q64</f>
        <v>100000000</v>
      </c>
      <c r="R65" s="78" t="n">
        <f aca="false">R55+R56+R57+R59+R62+R63+R64</f>
        <v>100000000</v>
      </c>
      <c r="S65" s="78" t="n">
        <f aca="false">S55+S56+S57+S59+S62+S63+S64</f>
        <v>100000000</v>
      </c>
    </row>
    <row r="66" customFormat="false" ht="15" hidden="false" customHeight="false" outlineLevel="0" collapsed="false">
      <c r="A66" s="73" t="s">
        <v>1022</v>
      </c>
      <c r="B66" s="74" t="s">
        <v>272</v>
      </c>
      <c r="C66" s="66" t="s">
        <v>71</v>
      </c>
      <c r="D66" s="43" t="s">
        <v>81</v>
      </c>
      <c r="E66" s="75" t="s">
        <v>917</v>
      </c>
      <c r="F66" s="76"/>
      <c r="G66" s="78" t="n">
        <f aca="false">G54-G65</f>
        <v>0</v>
      </c>
      <c r="H66" s="78" t="n">
        <f aca="false">H54-H65</f>
        <v>-95000000</v>
      </c>
      <c r="I66" s="78" t="n">
        <f aca="false">I54-I65</f>
        <v>3564492668.01503</v>
      </c>
      <c r="J66" s="78" t="n">
        <f aca="false">J54-J65</f>
        <v>-135804444.444444</v>
      </c>
      <c r="K66" s="78" t="n">
        <f aca="false">K54-K65</f>
        <v>-100000000</v>
      </c>
      <c r="L66" s="78" t="n">
        <f aca="false">L54-L65</f>
        <v>-100000000</v>
      </c>
      <c r="M66" s="78" t="n">
        <f aca="false">M54-M65</f>
        <v>-100000000</v>
      </c>
      <c r="N66" s="78" t="n">
        <f aca="false">N54-N65</f>
        <v>-100000000</v>
      </c>
      <c r="O66" s="78" t="n">
        <f aca="false">O54-O65</f>
        <v>-100000000</v>
      </c>
      <c r="P66" s="78" t="n">
        <f aca="false">P54-P65</f>
        <v>-100000000</v>
      </c>
      <c r="Q66" s="78" t="n">
        <f aca="false">Q54-Q65</f>
        <v>-100000000</v>
      </c>
      <c r="R66" s="78" t="n">
        <f aca="false">R54-R65</f>
        <v>-100000000</v>
      </c>
      <c r="S66" s="78" t="n">
        <f aca="false">S54-S65</f>
        <v>-100000000</v>
      </c>
    </row>
    <row r="67" customFormat="false" ht="15" hidden="false" customHeight="false" outlineLevel="0" collapsed="false">
      <c r="A67" s="73" t="s">
        <v>1022</v>
      </c>
      <c r="B67" s="74" t="s">
        <v>274</v>
      </c>
      <c r="C67" s="66" t="s">
        <v>71</v>
      </c>
      <c r="D67" s="43" t="s">
        <v>81</v>
      </c>
      <c r="E67" s="75" t="s">
        <v>43</v>
      </c>
      <c r="F67" s="76"/>
      <c r="G67" s="36" t="n">
        <f aca="false">_ENGINE_PRODUCCION!G205</f>
        <v>198065400</v>
      </c>
      <c r="H67" s="36" t="n">
        <f aca="false">_ENGINE_PRODUCCION!H205</f>
        <v>178258860</v>
      </c>
      <c r="I67" s="36" t="n">
        <f aca="false">_ENGINE_PRODUCCION!I205</f>
        <v>160832974</v>
      </c>
      <c r="J67" s="36" t="n">
        <f aca="false">_ENGINE_PRODUCCION!J205</f>
        <v>144749676.6</v>
      </c>
      <c r="K67" s="36" t="n">
        <f aca="false">_ENGINE_PRODUCCION!K205</f>
        <v>130274708.94</v>
      </c>
      <c r="L67" s="36" t="n">
        <f aca="false">_ENGINE_PRODUCCION!L205</f>
        <v>117247238.046</v>
      </c>
      <c r="M67" s="36" t="n">
        <f aca="false">_ENGINE_PRODUCCION!M205</f>
        <v>105522514.2414</v>
      </c>
      <c r="N67" s="36" t="n">
        <f aca="false">_ENGINE_PRODUCCION!N205</f>
        <v>94970262.81726</v>
      </c>
      <c r="O67" s="36" t="n">
        <f aca="false">_ENGINE_PRODUCCION!O205</f>
        <v>85473236.535534</v>
      </c>
      <c r="P67" s="36" t="n">
        <f aca="false">_ENGINE_PRODUCCION!P205</f>
        <v>76925912.8819806</v>
      </c>
      <c r="Q67" s="36" t="n">
        <f aca="false">_ENGINE_PRODUCCION!Q205</f>
        <v>69233321.5937825</v>
      </c>
      <c r="R67" s="36" t="n">
        <f aca="false">_ENGINE_PRODUCCION!R205</f>
        <v>62309989.4344043</v>
      </c>
      <c r="S67" s="36" t="n">
        <f aca="false">_ENGINE_PRODUCCION!S205</f>
        <v>56078990.4909639</v>
      </c>
    </row>
    <row r="68" customFormat="false" ht="15" hidden="false" customHeight="false" outlineLevel="0" collapsed="false">
      <c r="A68" s="73" t="s">
        <v>1022</v>
      </c>
      <c r="B68" s="74" t="s">
        <v>275</v>
      </c>
      <c r="C68" s="66" t="s">
        <v>71</v>
      </c>
      <c r="D68" s="43" t="s">
        <v>81</v>
      </c>
      <c r="E68" s="75" t="s">
        <v>917</v>
      </c>
      <c r="F68" s="76"/>
      <c r="G68" s="78" t="n">
        <f aca="false">G66-G67</f>
        <v>-198065400</v>
      </c>
      <c r="H68" s="78" t="n">
        <f aca="false">H66-H67</f>
        <v>-273258860</v>
      </c>
      <c r="I68" s="78" t="n">
        <f aca="false">I66-I67</f>
        <v>3403659694.01503</v>
      </c>
      <c r="J68" s="78" t="n">
        <f aca="false">J66-J67</f>
        <v>-280554121.044444</v>
      </c>
      <c r="K68" s="78" t="n">
        <f aca="false">K66-K67</f>
        <v>-230274708.94</v>
      </c>
      <c r="L68" s="78" t="n">
        <f aca="false">L66-L67</f>
        <v>-217247238.046</v>
      </c>
      <c r="M68" s="78" t="n">
        <f aca="false">M66-M67</f>
        <v>-205522514.2414</v>
      </c>
      <c r="N68" s="78" t="n">
        <f aca="false">N66-N67</f>
        <v>-194970262.81726</v>
      </c>
      <c r="O68" s="78" t="n">
        <f aca="false">O66-O67</f>
        <v>-185473236.535534</v>
      </c>
      <c r="P68" s="78" t="n">
        <f aca="false">P66-P67</f>
        <v>-176925912.881981</v>
      </c>
      <c r="Q68" s="78" t="n">
        <f aca="false">Q66-Q67</f>
        <v>-169233321.593783</v>
      </c>
      <c r="R68" s="78" t="n">
        <f aca="false">R66-R67</f>
        <v>-162309989.434404</v>
      </c>
      <c r="S68" s="78" t="n">
        <f aca="false">S66-S67</f>
        <v>-156078990.490964</v>
      </c>
    </row>
    <row r="69" customFormat="false" ht="41.75" hidden="false" customHeight="false" outlineLevel="0" collapsed="false">
      <c r="A69" s="73" t="s">
        <v>1022</v>
      </c>
      <c r="B69" s="74" t="s">
        <v>1037</v>
      </c>
      <c r="C69" s="66" t="s">
        <v>71</v>
      </c>
      <c r="D69" s="43" t="s">
        <v>81</v>
      </c>
      <c r="E69" s="75" t="s">
        <v>917</v>
      </c>
      <c r="F69" s="76" t="s">
        <v>1038</v>
      </c>
      <c r="G69" s="85" t="n">
        <v>119424995.069532</v>
      </c>
      <c r="H69" s="85" t="n">
        <v>-72726647.1917144</v>
      </c>
      <c r="I69" s="36" t="n">
        <f aca="false">(0*01_INPUTS!I29)+(H87*01_INPUTS!I31)-(H80*01_INPUTS!I34)</f>
        <v>-125376510.858674</v>
      </c>
      <c r="J69" s="36" t="n">
        <f aca="false">(0*01_INPUTS!J29)+(I87*01_INPUTS!J31)-(I80*01_INPUTS!J34)</f>
        <v>-387666773.025512</v>
      </c>
      <c r="K69" s="36" t="n">
        <f aca="false">(0*01_INPUTS!K29)+(J87*01_INPUTS!K31)-(J80*01_INPUTS!K34)</f>
        <v>-406637624.703489</v>
      </c>
      <c r="L69" s="36" t="n">
        <f aca="false">(0*01_INPUTS!L29)+(K87*01_INPUTS!L31)-(K80*01_INPUTS!L34)</f>
        <v>-421006220.3971</v>
      </c>
      <c r="M69" s="36" t="n">
        <f aca="false">(0*01_INPUTS!M29)+(L87*01_INPUTS!M31)-(L80*01_INPUTS!M34)</f>
        <v>-435859876.511613</v>
      </c>
      <c r="N69" s="36" t="n">
        <f aca="false">(0*01_INPUTS!N29)+(M87*01_INPUTS!N31)-(M80*01_INPUTS!N34)</f>
        <v>-451165030.988536</v>
      </c>
      <c r="O69" s="36" t="n">
        <f aca="false">(0*01_INPUTS!O29)+(N87*01_INPUTS!O31)-(N80*01_INPUTS!O34)</f>
        <v>-466956429.63055</v>
      </c>
      <c r="P69" s="36" t="n">
        <f aca="false">(0*01_INPUTS!P29)+(O87*01_INPUTS!P31)-(O80*01_INPUTS!P34)</f>
        <v>-483268639.355174</v>
      </c>
      <c r="Q69" s="36" t="n">
        <f aca="false">(0*01_INPUTS!Q29)+(P87*01_INPUTS!Q31)-(P80*01_INPUTS!Q34)</f>
        <v>-500136202.030702</v>
      </c>
      <c r="R69" s="36" t="n">
        <f aca="false">(0*01_INPUTS!R29)+(Q87*01_INPUTS!R31)-(Q80*01_INPUTS!R34)</f>
        <v>-517593778.536383</v>
      </c>
      <c r="S69" s="36" t="n">
        <f aca="false">(0*01_INPUTS!S29)+(R87*01_INPUTS!S31)-(R80*01_INPUTS!S34)</f>
        <v>-535676284.255732</v>
      </c>
    </row>
    <row r="70" customFormat="false" ht="15" hidden="false" customHeight="false" outlineLevel="0" collapsed="false">
      <c r="A70" s="73" t="s">
        <v>1022</v>
      </c>
      <c r="B70" s="74" t="s">
        <v>277</v>
      </c>
      <c r="C70" s="66" t="s">
        <v>71</v>
      </c>
      <c r="D70" s="43" t="s">
        <v>81</v>
      </c>
      <c r="E70" s="75" t="s">
        <v>43</v>
      </c>
      <c r="F70" s="76"/>
      <c r="G70" s="77" t="n">
        <v>517174314.731842</v>
      </c>
      <c r="H70" s="77" t="n">
        <v>2065199230.66467</v>
      </c>
      <c r="I70" s="78" t="n">
        <f aca="false">I68-I69</f>
        <v>3529036204.87371</v>
      </c>
      <c r="J70" s="78" t="n">
        <f aca="false">J68-J69</f>
        <v>107112651.981068</v>
      </c>
      <c r="K70" s="78" t="n">
        <f aca="false">K68-K69</f>
        <v>176362915.763489</v>
      </c>
      <c r="L70" s="78" t="n">
        <f aca="false">L68-L69</f>
        <v>203758982.3511</v>
      </c>
      <c r="M70" s="78" t="n">
        <f aca="false">M68-M69</f>
        <v>230337362.270213</v>
      </c>
      <c r="N70" s="78" t="n">
        <f aca="false">N68-N69</f>
        <v>256194768.171276</v>
      </c>
      <c r="O70" s="78" t="n">
        <f aca="false">O68-O69</f>
        <v>281483193.095016</v>
      </c>
      <c r="P70" s="78" t="n">
        <f aca="false">P68-P69</f>
        <v>306342726.473194</v>
      </c>
      <c r="Q70" s="78" t="n">
        <f aca="false">Q68-Q69</f>
        <v>330902880.43692</v>
      </c>
      <c r="R70" s="78" t="n">
        <f aca="false">R68-R69</f>
        <v>355283789.101979</v>
      </c>
      <c r="S70" s="78" t="n">
        <f aca="false">S68-S69</f>
        <v>379597293.764768</v>
      </c>
    </row>
    <row r="71" customFormat="false" ht="15" hidden="false" customHeight="false" outlineLevel="0" collapsed="false">
      <c r="A71" s="73" t="s">
        <v>1022</v>
      </c>
      <c r="B71" s="74" t="s">
        <v>1039</v>
      </c>
      <c r="C71" s="66" t="s">
        <v>71</v>
      </c>
      <c r="D71" s="43" t="s">
        <v>81</v>
      </c>
      <c r="E71" s="75" t="s">
        <v>43</v>
      </c>
      <c r="F71" s="76"/>
      <c r="G71" s="85" t="n">
        <v>0</v>
      </c>
      <c r="H71" s="85" t="n">
        <v>0</v>
      </c>
      <c r="I71" s="85" t="n">
        <v>0</v>
      </c>
      <c r="J71" s="36" t="n">
        <f aca="false">I73</f>
        <v>0</v>
      </c>
      <c r="K71" s="36" t="n">
        <f aca="false">J73</f>
        <v>0</v>
      </c>
      <c r="L71" s="36" t="n">
        <f aca="false">K73</f>
        <v>0</v>
      </c>
      <c r="M71" s="36" t="n">
        <f aca="false">L73</f>
        <v>0</v>
      </c>
      <c r="N71" s="36" t="n">
        <f aca="false">M73</f>
        <v>0</v>
      </c>
      <c r="O71" s="36" t="n">
        <f aca="false">N73</f>
        <v>0</v>
      </c>
      <c r="P71" s="36" t="n">
        <f aca="false">O73</f>
        <v>0</v>
      </c>
      <c r="Q71" s="36" t="n">
        <f aca="false">P73</f>
        <v>0</v>
      </c>
      <c r="R71" s="36" t="n">
        <f aca="false">Q73</f>
        <v>0</v>
      </c>
      <c r="S71" s="36" t="n">
        <f aca="false">R73</f>
        <v>0</v>
      </c>
    </row>
    <row r="72" customFormat="false" ht="15" hidden="false" customHeight="false" outlineLevel="0" collapsed="false">
      <c r="A72" s="73" t="s">
        <v>1022</v>
      </c>
      <c r="B72" s="74" t="s">
        <v>1040</v>
      </c>
      <c r="C72" s="66" t="s">
        <v>71</v>
      </c>
      <c r="D72" s="43" t="s">
        <v>81</v>
      </c>
      <c r="E72" s="75" t="s">
        <v>43</v>
      </c>
      <c r="F72" s="76"/>
      <c r="G72" s="48" t="s">
        <v>336</v>
      </c>
      <c r="H72" s="48" t="s">
        <v>336</v>
      </c>
      <c r="I72" s="36" t="n">
        <f aca="false">MAX(0,I70-I71)</f>
        <v>3529036204.87371</v>
      </c>
      <c r="J72" s="36" t="n">
        <f aca="false">MAX(0,J70-J71)</f>
        <v>107112651.981068</v>
      </c>
      <c r="K72" s="36" t="n">
        <f aca="false">MAX(0,K70-K71)</f>
        <v>176362915.763489</v>
      </c>
      <c r="L72" s="36" t="n">
        <f aca="false">MAX(0,L70-L71)</f>
        <v>203758982.3511</v>
      </c>
      <c r="M72" s="36" t="n">
        <f aca="false">MAX(0,M70-M71)</f>
        <v>230337362.270213</v>
      </c>
      <c r="N72" s="36" t="n">
        <f aca="false">MAX(0,N70-N71)</f>
        <v>256194768.171276</v>
      </c>
      <c r="O72" s="36" t="n">
        <f aca="false">MAX(0,O70-O71)</f>
        <v>281483193.095016</v>
      </c>
      <c r="P72" s="36" t="n">
        <f aca="false">MAX(0,P70-P71)</f>
        <v>306342726.473194</v>
      </c>
      <c r="Q72" s="36" t="n">
        <f aca="false">MAX(0,Q70-Q71)</f>
        <v>330902880.43692</v>
      </c>
      <c r="R72" s="36" t="n">
        <f aca="false">MAX(0,R70-R71)</f>
        <v>355283789.101979</v>
      </c>
      <c r="S72" s="36" t="n">
        <f aca="false">MAX(0,S70-S71)</f>
        <v>379597293.764768</v>
      </c>
    </row>
    <row r="73" customFormat="false" ht="15" hidden="false" customHeight="false" outlineLevel="0" collapsed="false">
      <c r="A73" s="73" t="s">
        <v>1022</v>
      </c>
      <c r="B73" s="74" t="s">
        <v>1041</v>
      </c>
      <c r="C73" s="66" t="s">
        <v>71</v>
      </c>
      <c r="D73" s="43" t="s">
        <v>81</v>
      </c>
      <c r="E73" s="75" t="s">
        <v>43</v>
      </c>
      <c r="F73" s="76"/>
      <c r="G73" s="85" t="n">
        <v>0</v>
      </c>
      <c r="H73" s="85" t="n">
        <v>0</v>
      </c>
      <c r="I73" s="36" t="n">
        <f aca="false">MAX(0,I71-I70)</f>
        <v>0</v>
      </c>
      <c r="J73" s="36" t="n">
        <f aca="false">MAX(0,J71-J70)</f>
        <v>0</v>
      </c>
      <c r="K73" s="36" t="n">
        <f aca="false">MAX(0,K71-K70)</f>
        <v>0</v>
      </c>
      <c r="L73" s="36" t="n">
        <f aca="false">MAX(0,L71-L70)</f>
        <v>0</v>
      </c>
      <c r="M73" s="36" t="n">
        <f aca="false">MAX(0,M71-M70)</f>
        <v>0</v>
      </c>
      <c r="N73" s="36" t="n">
        <f aca="false">MAX(0,N71-N70)</f>
        <v>0</v>
      </c>
      <c r="O73" s="36" t="n">
        <f aca="false">MAX(0,O71-O70)</f>
        <v>0</v>
      </c>
      <c r="P73" s="36" t="n">
        <f aca="false">MAX(0,P71-P70)</f>
        <v>0</v>
      </c>
      <c r="Q73" s="36" t="n">
        <f aca="false">MAX(0,Q71-Q70)</f>
        <v>0</v>
      </c>
      <c r="R73" s="36" t="n">
        <f aca="false">MAX(0,R71-R70)</f>
        <v>0</v>
      </c>
      <c r="S73" s="36" t="n">
        <f aca="false">MAX(0,S71-S70)</f>
        <v>0</v>
      </c>
    </row>
    <row r="74" customFormat="false" ht="15" hidden="false" customHeight="false" outlineLevel="0" collapsed="false">
      <c r="A74" s="73" t="s">
        <v>1022</v>
      </c>
      <c r="B74" s="74" t="s">
        <v>73</v>
      </c>
      <c r="C74" s="66" t="s">
        <v>71</v>
      </c>
      <c r="D74" s="43" t="s">
        <v>42</v>
      </c>
      <c r="E74" s="75" t="s">
        <v>43</v>
      </c>
      <c r="F74" s="76"/>
      <c r="G74" s="91" t="n">
        <f aca="false">01_INPUTS!G24</f>
        <v>0.25</v>
      </c>
      <c r="H74" s="91" t="n">
        <f aca="false">01_INPUTS!H24</f>
        <v>0.28</v>
      </c>
      <c r="I74" s="91" t="n">
        <f aca="false">01_INPUTS!I24</f>
        <v>0.25</v>
      </c>
      <c r="J74" s="91" t="n">
        <f aca="false">01_INPUTS!J24</f>
        <v>0.25</v>
      </c>
      <c r="K74" s="91" t="n">
        <f aca="false">01_INPUTS!K24</f>
        <v>0.25</v>
      </c>
      <c r="L74" s="91" t="n">
        <f aca="false">01_INPUTS!L24</f>
        <v>0.25</v>
      </c>
      <c r="M74" s="91" t="n">
        <f aca="false">01_INPUTS!M24</f>
        <v>0.25</v>
      </c>
      <c r="N74" s="91" t="n">
        <f aca="false">01_INPUTS!N24</f>
        <v>0.25</v>
      </c>
      <c r="O74" s="91" t="n">
        <f aca="false">01_INPUTS!O24</f>
        <v>0.25</v>
      </c>
      <c r="P74" s="91" t="n">
        <f aca="false">01_INPUTS!P24</f>
        <v>0.25</v>
      </c>
      <c r="Q74" s="91" t="n">
        <f aca="false">01_INPUTS!Q24</f>
        <v>0.25</v>
      </c>
      <c r="R74" s="91" t="n">
        <f aca="false">01_INPUTS!R24</f>
        <v>0.25</v>
      </c>
      <c r="S74" s="91" t="n">
        <f aca="false">01_INPUTS!S24</f>
        <v>0.25</v>
      </c>
    </row>
    <row r="75" customFormat="false" ht="15" hidden="false" customHeight="false" outlineLevel="0" collapsed="false">
      <c r="A75" s="73" t="s">
        <v>1022</v>
      </c>
      <c r="B75" s="74" t="s">
        <v>278</v>
      </c>
      <c r="C75" s="66" t="s">
        <v>71</v>
      </c>
      <c r="D75" s="43" t="s">
        <v>81</v>
      </c>
      <c r="E75" s="75" t="s">
        <v>43</v>
      </c>
      <c r="F75" s="76"/>
      <c r="G75" s="85" t="n">
        <v>129293578.682961</v>
      </c>
      <c r="H75" s="85" t="n">
        <v>516299807.666167</v>
      </c>
      <c r="I75" s="36" t="n">
        <f aca="false">I72*I74</f>
        <v>882259051.218427</v>
      </c>
      <c r="J75" s="36" t="n">
        <f aca="false">J72*J74</f>
        <v>26778162.9952669</v>
      </c>
      <c r="K75" s="36" t="n">
        <f aca="false">K72*K74</f>
        <v>44090728.9408723</v>
      </c>
      <c r="L75" s="36" t="n">
        <f aca="false">L72*L74</f>
        <v>50939745.5877749</v>
      </c>
      <c r="M75" s="36" t="n">
        <f aca="false">M72*M74</f>
        <v>57584340.5675532</v>
      </c>
      <c r="N75" s="36" t="n">
        <f aca="false">N72*N74</f>
        <v>64048692.042819</v>
      </c>
      <c r="O75" s="36" t="n">
        <f aca="false">O72*O74</f>
        <v>70370798.2737541</v>
      </c>
      <c r="P75" s="36" t="n">
        <f aca="false">P72*P74</f>
        <v>76585681.6182984</v>
      </c>
      <c r="Q75" s="36" t="n">
        <f aca="false">Q72*Q74</f>
        <v>82725720.1092299</v>
      </c>
      <c r="R75" s="36" t="n">
        <f aca="false">R72*R74</f>
        <v>88820947.2754948</v>
      </c>
      <c r="S75" s="36" t="n">
        <f aca="false">S72*S74</f>
        <v>94899323.4411921</v>
      </c>
    </row>
    <row r="76" customFormat="false" ht="15" hidden="false" customHeight="false" outlineLevel="0" collapsed="false">
      <c r="A76" s="73" t="s">
        <v>1022</v>
      </c>
      <c r="B76" s="74" t="s">
        <v>1042</v>
      </c>
      <c r="C76" s="66" t="s">
        <v>71</v>
      </c>
      <c r="D76" s="43" t="s">
        <v>81</v>
      </c>
      <c r="E76" s="75" t="s">
        <v>917</v>
      </c>
      <c r="F76" s="76"/>
      <c r="G76" s="77" t="n">
        <v>387880736.048881</v>
      </c>
      <c r="H76" s="77" t="n">
        <v>1548899422.9985</v>
      </c>
      <c r="I76" s="78" t="n">
        <f aca="false">I70-I75</f>
        <v>2646777153.65528</v>
      </c>
      <c r="J76" s="78" t="n">
        <f aca="false">J70-J75</f>
        <v>80334488.9858007</v>
      </c>
      <c r="K76" s="78" t="n">
        <f aca="false">K70-K75</f>
        <v>132272186.822617</v>
      </c>
      <c r="L76" s="78" t="n">
        <f aca="false">L70-L75</f>
        <v>152819236.763325</v>
      </c>
      <c r="M76" s="78" t="n">
        <f aca="false">M70-M75</f>
        <v>172753021.702659</v>
      </c>
      <c r="N76" s="78" t="n">
        <f aca="false">N70-N75</f>
        <v>192146076.128457</v>
      </c>
      <c r="O76" s="78" t="n">
        <f aca="false">O70-O75</f>
        <v>211112394.821262</v>
      </c>
      <c r="P76" s="78" t="n">
        <f aca="false">P70-P75</f>
        <v>229757044.854895</v>
      </c>
      <c r="Q76" s="78" t="n">
        <f aca="false">Q70-Q75</f>
        <v>248177160.32769</v>
      </c>
      <c r="R76" s="78" t="n">
        <f aca="false">R70-R75</f>
        <v>266462841.826484</v>
      </c>
      <c r="S76" s="78" t="n">
        <f aca="false">S70-S75</f>
        <v>284697970.323576</v>
      </c>
    </row>
    <row r="77" customFormat="false" ht="15" hidden="false" customHeight="false" outlineLevel="0" collapsed="false">
      <c r="A77" s="73" t="s">
        <v>1043</v>
      </c>
      <c r="B77" s="74" t="s">
        <v>281</v>
      </c>
      <c r="C77" s="66" t="s">
        <v>71</v>
      </c>
      <c r="D77" s="43" t="s">
        <v>81</v>
      </c>
      <c r="E77" s="75" t="s">
        <v>917</v>
      </c>
      <c r="F77" s="76" t="s">
        <v>1044</v>
      </c>
      <c r="G77" s="85" t="n">
        <v>1782588600</v>
      </c>
      <c r="H77" s="85" t="n">
        <v>1608329740</v>
      </c>
      <c r="I77" s="36" t="n">
        <f aca="false">_ENGINE_PRODUCCION!I211</f>
        <v>1447496766</v>
      </c>
      <c r="J77" s="36" t="n">
        <f aca="false">_ENGINE_PRODUCCION!J211</f>
        <v>1302747089.4</v>
      </c>
      <c r="K77" s="36" t="n">
        <f aca="false">_ENGINE_PRODUCCION!K211</f>
        <v>1172472380.46</v>
      </c>
      <c r="L77" s="36" t="n">
        <f aca="false">_ENGINE_PRODUCCION!L211</f>
        <v>1055225142.414</v>
      </c>
      <c r="M77" s="36" t="n">
        <f aca="false">_ENGINE_PRODUCCION!M211</f>
        <v>949702628.1726</v>
      </c>
      <c r="N77" s="36" t="n">
        <f aca="false">_ENGINE_PRODUCCION!N211</f>
        <v>854732365.35534</v>
      </c>
      <c r="O77" s="36" t="n">
        <f aca="false">_ENGINE_PRODUCCION!O211</f>
        <v>769259128.819806</v>
      </c>
      <c r="P77" s="36" t="n">
        <f aca="false">_ENGINE_PRODUCCION!P211</f>
        <v>692333215.937825</v>
      </c>
      <c r="Q77" s="36" t="n">
        <f aca="false">_ENGINE_PRODUCCION!Q211</f>
        <v>623099894.344043</v>
      </c>
      <c r="R77" s="36" t="n">
        <f aca="false">_ENGINE_PRODUCCION!R211</f>
        <v>560789904.909638</v>
      </c>
      <c r="S77" s="36" t="n">
        <f aca="false">_ENGINE_PRODUCCION!S211</f>
        <v>504710914.418674</v>
      </c>
    </row>
    <row r="78" customFormat="false" ht="15" hidden="false" customHeight="false" outlineLevel="0" collapsed="false">
      <c r="A78" s="73" t="s">
        <v>1043</v>
      </c>
      <c r="B78" s="74" t="s">
        <v>1045</v>
      </c>
      <c r="C78" s="66" t="s">
        <v>71</v>
      </c>
      <c r="D78" s="43" t="s">
        <v>81</v>
      </c>
      <c r="E78" s="75" t="s">
        <v>917</v>
      </c>
      <c r="F78" s="76" t="s">
        <v>1046</v>
      </c>
      <c r="G78" s="85" t="n">
        <v>0</v>
      </c>
      <c r="H78" s="85" t="n">
        <v>2138463248.84884</v>
      </c>
      <c r="I78" s="36" t="n">
        <f aca="false">_ENGINE_PRODUCCION!I135+_ENGINE_PRODUCCION!I147+_ENGINE_PRODUCCION!I159+_ENGINE_PRODUCCION!I171</f>
        <v>134407957.371068</v>
      </c>
      <c r="J78" s="36" t="n">
        <f aca="false">_ENGINE_PRODUCCION!J135+_ENGINE_PRODUCCION!J147+_ENGINE_PRODUCCION!J159+_ENGINE_PRODUCCION!J171</f>
        <v>134407957.371068</v>
      </c>
      <c r="K78" s="36" t="n">
        <f aca="false">_ENGINE_PRODUCCION!K135+_ENGINE_PRODUCCION!K147+_ENGINE_PRODUCCION!K159+_ENGINE_PRODUCCION!K171</f>
        <v>134407957.371068</v>
      </c>
      <c r="L78" s="36" t="n">
        <f aca="false">_ENGINE_PRODUCCION!L135+_ENGINE_PRODUCCION!L147+_ENGINE_PRODUCCION!L159+_ENGINE_PRODUCCION!L171</f>
        <v>134407957.371068</v>
      </c>
      <c r="M78" s="36" t="n">
        <f aca="false">_ENGINE_PRODUCCION!M135+_ENGINE_PRODUCCION!M147+_ENGINE_PRODUCCION!M159+_ENGINE_PRODUCCION!M171</f>
        <v>134407957.371068</v>
      </c>
      <c r="N78" s="36" t="n">
        <f aca="false">_ENGINE_PRODUCCION!N135+_ENGINE_PRODUCCION!N147+_ENGINE_PRODUCCION!N159+_ENGINE_PRODUCCION!N171</f>
        <v>134407957.371068</v>
      </c>
      <c r="O78" s="36" t="n">
        <f aca="false">_ENGINE_PRODUCCION!O135+_ENGINE_PRODUCCION!O147+_ENGINE_PRODUCCION!O159+_ENGINE_PRODUCCION!O171</f>
        <v>134407957.371068</v>
      </c>
      <c r="P78" s="36" t="n">
        <f aca="false">_ENGINE_PRODUCCION!P135+_ENGINE_PRODUCCION!P147+_ENGINE_PRODUCCION!P159+_ENGINE_PRODUCCION!P171</f>
        <v>134407957.371068</v>
      </c>
      <c r="Q78" s="36" t="n">
        <f aca="false">_ENGINE_PRODUCCION!Q135+_ENGINE_PRODUCCION!Q147+_ENGINE_PRODUCCION!Q159+_ENGINE_PRODUCCION!Q171</f>
        <v>134407957.371068</v>
      </c>
      <c r="R78" s="36" t="n">
        <f aca="false">_ENGINE_PRODUCCION!R135+_ENGINE_PRODUCCION!R147+_ENGINE_PRODUCCION!R159+_ENGINE_PRODUCCION!R171</f>
        <v>134407957.371068</v>
      </c>
      <c r="S78" s="36" t="n">
        <f aca="false">_ENGINE_PRODUCCION!S135+_ENGINE_PRODUCCION!S147+_ENGINE_PRODUCCION!S159+_ENGINE_PRODUCCION!S171</f>
        <v>134407957.371068</v>
      </c>
    </row>
    <row r="79" customFormat="false" ht="21.6" hidden="false" customHeight="false" outlineLevel="0" collapsed="false">
      <c r="A79" s="73" t="s">
        <v>1043</v>
      </c>
      <c r="B79" s="74" t="s">
        <v>283</v>
      </c>
      <c r="C79" s="66" t="s">
        <v>71</v>
      </c>
      <c r="D79" s="43" t="s">
        <v>81</v>
      </c>
      <c r="E79" s="75" t="s">
        <v>917</v>
      </c>
      <c r="F79" s="76" t="s">
        <v>1047</v>
      </c>
      <c r="G79" s="85" t="n">
        <v>346981250</v>
      </c>
      <c r="H79" s="85" t="n">
        <v>509586020.754019</v>
      </c>
      <c r="I79" s="36" t="n">
        <f aca="false">I54*$G$153</f>
        <v>1036794836.02792</v>
      </c>
      <c r="J79" s="36" t="n">
        <f aca="false">J54*$G$153</f>
        <v>0</v>
      </c>
      <c r="K79" s="36" t="n">
        <f aca="false">K54*$G$153</f>
        <v>0</v>
      </c>
      <c r="L79" s="36" t="n">
        <f aca="false">L54*$G$153</f>
        <v>0</v>
      </c>
      <c r="M79" s="36" t="n">
        <f aca="false">M54*$G$153</f>
        <v>0</v>
      </c>
      <c r="N79" s="36" t="n">
        <f aca="false">N54*$G$153</f>
        <v>0</v>
      </c>
      <c r="O79" s="36" t="n">
        <f aca="false">O54*$G$153</f>
        <v>0</v>
      </c>
      <c r="P79" s="36" t="n">
        <f aca="false">P54*$G$153</f>
        <v>0</v>
      </c>
      <c r="Q79" s="36" t="n">
        <f aca="false">Q54*$G$153</f>
        <v>0</v>
      </c>
      <c r="R79" s="36" t="n">
        <f aca="false">R54*$G$153</f>
        <v>0</v>
      </c>
      <c r="S79" s="36" t="n">
        <f aca="false">S54*$G$153</f>
        <v>0</v>
      </c>
    </row>
    <row r="80" customFormat="false" ht="15" hidden="false" customHeight="false" outlineLevel="0" collapsed="false">
      <c r="A80" s="73" t="s">
        <v>1043</v>
      </c>
      <c r="B80" s="74" t="s">
        <v>284</v>
      </c>
      <c r="C80" s="66" t="s">
        <v>71</v>
      </c>
      <c r="D80" s="43" t="s">
        <v>81</v>
      </c>
      <c r="E80" s="75" t="s">
        <v>917</v>
      </c>
      <c r="F80" s="76" t="s">
        <v>1048</v>
      </c>
      <c r="G80" s="85" t="n">
        <v>365032427.722816</v>
      </c>
      <c r="H80" s="85" t="n">
        <v>2279572924.70316</v>
      </c>
      <c r="I80" s="36" t="n">
        <f aca="false">I98</f>
        <v>7048486782.28204</v>
      </c>
      <c r="J80" s="36" t="n">
        <f aca="false">J98</f>
        <v>7393411358.24526</v>
      </c>
      <c r="K80" s="36" t="n">
        <f aca="false">K98</f>
        <v>7654658552.67454</v>
      </c>
      <c r="L80" s="36" t="n">
        <f aca="false">L98</f>
        <v>7924725027.48387</v>
      </c>
      <c r="M80" s="36" t="n">
        <f aca="false">M98</f>
        <v>8203000563.42793</v>
      </c>
      <c r="N80" s="36" t="n">
        <f aca="false">N98</f>
        <v>8490116902.37364</v>
      </c>
      <c r="O80" s="36" t="n">
        <f aca="false">O98</f>
        <v>8786702533.73044</v>
      </c>
      <c r="P80" s="36" t="n">
        <f aca="false">P98</f>
        <v>9093385491.46731</v>
      </c>
      <c r="Q80" s="36" t="n">
        <f aca="false">Q98</f>
        <v>9410795973.38879</v>
      </c>
      <c r="R80" s="36" t="n">
        <f aca="false">R98</f>
        <v>9739568804.64968</v>
      </c>
      <c r="S80" s="36" t="n">
        <f aca="false">S98</f>
        <v>10080345765.4642</v>
      </c>
    </row>
    <row r="81" customFormat="false" ht="15" hidden="false" customHeight="false" outlineLevel="0" collapsed="false">
      <c r="A81" s="73" t="s">
        <v>1043</v>
      </c>
      <c r="B81" s="74" t="s">
        <v>285</v>
      </c>
      <c r="C81" s="66" t="s">
        <v>71</v>
      </c>
      <c r="D81" s="43" t="s">
        <v>81</v>
      </c>
      <c r="E81" s="75" t="s">
        <v>917</v>
      </c>
      <c r="F81" s="76"/>
      <c r="G81" s="78" t="n">
        <f aca="false">G77+G78+G79+G80</f>
        <v>2494602277.72282</v>
      </c>
      <c r="H81" s="78" t="n">
        <f aca="false">H77+H78+H79+H80</f>
        <v>6535951934.30602</v>
      </c>
      <c r="I81" s="78" t="n">
        <f aca="false">I77+I78+I79+I80</f>
        <v>9667186341.68103</v>
      </c>
      <c r="J81" s="78" t="n">
        <f aca="false">J77+J78+J79+J80</f>
        <v>8830566405.01633</v>
      </c>
      <c r="K81" s="78" t="n">
        <f aca="false">K77+K78+K79+K80</f>
        <v>8961538890.50561</v>
      </c>
      <c r="L81" s="78" t="n">
        <f aca="false">L77+L78+L79+L80</f>
        <v>9114358127.26893</v>
      </c>
      <c r="M81" s="78" t="n">
        <f aca="false">M77+M78+M79+M80</f>
        <v>9287111148.97159</v>
      </c>
      <c r="N81" s="78" t="n">
        <f aca="false">N77+N78+N79+N80</f>
        <v>9479257225.10005</v>
      </c>
      <c r="O81" s="78" t="n">
        <f aca="false">O77+O78+O79+O80</f>
        <v>9690369619.92131</v>
      </c>
      <c r="P81" s="78" t="n">
        <f aca="false">P77+P78+P79+P80</f>
        <v>9920126664.77621</v>
      </c>
      <c r="Q81" s="78" t="n">
        <f aca="false">Q77+Q78+Q79+Q80</f>
        <v>10168303825.1039</v>
      </c>
      <c r="R81" s="78" t="n">
        <f aca="false">R77+R78+R79+R80</f>
        <v>10434766666.9304</v>
      </c>
      <c r="S81" s="78" t="n">
        <f aca="false">S77+S78+S79+S80</f>
        <v>10719464637.254</v>
      </c>
    </row>
    <row r="82" customFormat="false" ht="21.6" hidden="false" customHeight="false" outlineLevel="0" collapsed="false">
      <c r="A82" s="73" t="s">
        <v>1043</v>
      </c>
      <c r="B82" s="74" t="s">
        <v>290</v>
      </c>
      <c r="C82" s="66" t="s">
        <v>71</v>
      </c>
      <c r="D82" s="43" t="s">
        <v>81</v>
      </c>
      <c r="E82" s="75" t="s">
        <v>917</v>
      </c>
      <c r="F82" s="76" t="s">
        <v>1069</v>
      </c>
      <c r="G82" s="85" t="n">
        <v>1500000000</v>
      </c>
      <c r="H82" s="85" t="n">
        <v>1500000000</v>
      </c>
      <c r="I82" s="36" t="n">
        <f aca="false">H82</f>
        <v>1500000000</v>
      </c>
      <c r="J82" s="36" t="n">
        <f aca="false">I82</f>
        <v>1500000000</v>
      </c>
      <c r="K82" s="36" t="n">
        <f aca="false">J82</f>
        <v>1500000000</v>
      </c>
      <c r="L82" s="36" t="n">
        <f aca="false">K82</f>
        <v>1500000000</v>
      </c>
      <c r="M82" s="36" t="n">
        <f aca="false">L82</f>
        <v>1500000000</v>
      </c>
      <c r="N82" s="36" t="n">
        <f aca="false">M82</f>
        <v>1500000000</v>
      </c>
      <c r="O82" s="36" t="n">
        <f aca="false">N82</f>
        <v>1500000000</v>
      </c>
      <c r="P82" s="36" t="n">
        <f aca="false">O82</f>
        <v>1500000000</v>
      </c>
      <c r="Q82" s="36" t="n">
        <f aca="false">P82</f>
        <v>1500000000</v>
      </c>
      <c r="R82" s="36" t="n">
        <f aca="false">Q82</f>
        <v>1500000000</v>
      </c>
      <c r="S82" s="36" t="n">
        <f aca="false">R82</f>
        <v>1500000000</v>
      </c>
    </row>
    <row r="83" customFormat="false" ht="15" hidden="false" customHeight="false" outlineLevel="0" collapsed="false">
      <c r="A83" s="73" t="s">
        <v>1043</v>
      </c>
      <c r="B83" s="74" t="s">
        <v>291</v>
      </c>
      <c r="C83" s="66" t="s">
        <v>71</v>
      </c>
      <c r="D83" s="43" t="s">
        <v>81</v>
      </c>
      <c r="E83" s="75" t="s">
        <v>917</v>
      </c>
      <c r="F83" s="76" t="s">
        <v>1050</v>
      </c>
      <c r="G83" s="85" t="n">
        <v>0</v>
      </c>
      <c r="H83" s="85" t="n">
        <v>0</v>
      </c>
      <c r="I83" s="36" t="n">
        <f aca="false">H83</f>
        <v>0</v>
      </c>
      <c r="J83" s="36" t="n">
        <f aca="false">I83</f>
        <v>0</v>
      </c>
      <c r="K83" s="36" t="n">
        <f aca="false">J83</f>
        <v>0</v>
      </c>
      <c r="L83" s="36" t="n">
        <f aca="false">K83</f>
        <v>0</v>
      </c>
      <c r="M83" s="36" t="n">
        <f aca="false">L83</f>
        <v>0</v>
      </c>
      <c r="N83" s="36" t="n">
        <f aca="false">M83</f>
        <v>0</v>
      </c>
      <c r="O83" s="36" t="n">
        <f aca="false">N83</f>
        <v>0</v>
      </c>
      <c r="P83" s="36" t="n">
        <f aca="false">O83</f>
        <v>0</v>
      </c>
      <c r="Q83" s="36" t="n">
        <f aca="false">P83</f>
        <v>0</v>
      </c>
      <c r="R83" s="36" t="n">
        <f aca="false">Q83</f>
        <v>0</v>
      </c>
      <c r="S83" s="36" t="n">
        <f aca="false">R83</f>
        <v>0</v>
      </c>
    </row>
    <row r="84" customFormat="false" ht="15" hidden="false" customHeight="false" outlineLevel="0" collapsed="false">
      <c r="A84" s="73" t="s">
        <v>1043</v>
      </c>
      <c r="B84" s="74" t="s">
        <v>292</v>
      </c>
      <c r="C84" s="66" t="s">
        <v>71</v>
      </c>
      <c r="D84" s="43" t="s">
        <v>81</v>
      </c>
      <c r="E84" s="75" t="s">
        <v>917</v>
      </c>
      <c r="F84" s="76" t="s">
        <v>1070</v>
      </c>
      <c r="G84" s="85" t="n">
        <v>1168586736.04888</v>
      </c>
      <c r="H84" s="85" t="n">
        <v>2198525061.04191</v>
      </c>
      <c r="I84" s="36" t="n">
        <f aca="false">H84+I76-IF(ISNUMBER(01_INPUTS!I277),01_INPUTS!I277,0)</f>
        <v>4845302214.69719</v>
      </c>
      <c r="J84" s="36" t="n">
        <f aca="false">I84+J76-IF(ISNUMBER(01_INPUTS!J277),01_INPUTS!J277,0)</f>
        <v>4925636703.68299</v>
      </c>
      <c r="K84" s="36" t="n">
        <f aca="false">J84+K76-IF(ISNUMBER(01_INPUTS!K277),01_INPUTS!K277,0)</f>
        <v>5057908890.50561</v>
      </c>
      <c r="L84" s="36" t="n">
        <f aca="false">K84+L76-IF(ISNUMBER(01_INPUTS!L277),01_INPUTS!L277,0)</f>
        <v>5210728127.26893</v>
      </c>
      <c r="M84" s="36" t="n">
        <f aca="false">L84+M76-IF(ISNUMBER(01_INPUTS!M277),01_INPUTS!M277,0)</f>
        <v>5383481148.97159</v>
      </c>
      <c r="N84" s="36" t="n">
        <f aca="false">M84+N76-IF(ISNUMBER(01_INPUTS!N277),01_INPUTS!N277,0)</f>
        <v>5575627225.10005</v>
      </c>
      <c r="O84" s="36" t="n">
        <f aca="false">N84+O76-IF(ISNUMBER(01_INPUTS!O277),01_INPUTS!O277,0)</f>
        <v>5786739619.92131</v>
      </c>
      <c r="P84" s="36" t="n">
        <f aca="false">O84+P76-IF(ISNUMBER(01_INPUTS!P277),01_INPUTS!P277,0)</f>
        <v>6016496664.77621</v>
      </c>
      <c r="Q84" s="36" t="n">
        <f aca="false">P84+Q76-IF(ISNUMBER(01_INPUTS!Q277),01_INPUTS!Q277,0)</f>
        <v>6264673825.1039</v>
      </c>
      <c r="R84" s="36" t="n">
        <f aca="false">Q84+R76-IF(ISNUMBER(01_INPUTS!R277),01_INPUTS!R277,0)</f>
        <v>6531136666.93038</v>
      </c>
      <c r="S84" s="36" t="n">
        <f aca="false">R84+S76-IF(ISNUMBER(01_INPUTS!S277),01_INPUTS!S277,0)</f>
        <v>6815834637.25396</v>
      </c>
    </row>
    <row r="85" customFormat="false" ht="15" hidden="false" customHeight="false" outlineLevel="0" collapsed="false">
      <c r="A85" s="73" t="s">
        <v>1043</v>
      </c>
      <c r="B85" s="74" t="s">
        <v>1052</v>
      </c>
      <c r="C85" s="66" t="s">
        <v>71</v>
      </c>
      <c r="D85" s="43" t="s">
        <v>81</v>
      </c>
      <c r="E85" s="75" t="s">
        <v>917</v>
      </c>
      <c r="F85" s="76"/>
      <c r="G85" s="78" t="n">
        <f aca="false">G82+G83+G84</f>
        <v>2668586736.04888</v>
      </c>
      <c r="H85" s="78" t="n">
        <f aca="false">H82+H83+H84</f>
        <v>3698525061.04191</v>
      </c>
      <c r="I85" s="78" t="n">
        <f aca="false">I82+I83+I84</f>
        <v>6345302214.69719</v>
      </c>
      <c r="J85" s="78" t="n">
        <f aca="false">J82+J83+J84</f>
        <v>6425636703.68299</v>
      </c>
      <c r="K85" s="78" t="n">
        <f aca="false">K82+K83+K84</f>
        <v>6557908890.50561</v>
      </c>
      <c r="L85" s="78" t="n">
        <f aca="false">L82+L83+L84</f>
        <v>6710728127.26893</v>
      </c>
      <c r="M85" s="78" t="n">
        <f aca="false">M82+M83+M84</f>
        <v>6883481148.97159</v>
      </c>
      <c r="N85" s="78" t="n">
        <f aca="false">N82+N83+N84</f>
        <v>7075627225.10005</v>
      </c>
      <c r="O85" s="78" t="n">
        <f aca="false">O82+O83+O84</f>
        <v>7286739619.92131</v>
      </c>
      <c r="P85" s="78" t="n">
        <f aca="false">P82+P83+P84</f>
        <v>7516496664.77621</v>
      </c>
      <c r="Q85" s="78" t="n">
        <f aca="false">Q82+Q83+Q84</f>
        <v>7764673825.1039</v>
      </c>
      <c r="R85" s="78" t="n">
        <f aca="false">R82+R83+R84</f>
        <v>8031136666.93038</v>
      </c>
      <c r="S85" s="78" t="n">
        <f aca="false">S82+S83+S84</f>
        <v>8315834637.25396</v>
      </c>
    </row>
    <row r="86" customFormat="false" ht="15" hidden="false" customHeight="false" outlineLevel="0" collapsed="false">
      <c r="A86" s="73" t="s">
        <v>1043</v>
      </c>
      <c r="B86" s="74" t="s">
        <v>286</v>
      </c>
      <c r="C86" s="66" t="s">
        <v>71</v>
      </c>
      <c r="D86" s="43" t="s">
        <v>81</v>
      </c>
      <c r="E86" s="75" t="s">
        <v>917</v>
      </c>
      <c r="F86" s="76" t="s">
        <v>1071</v>
      </c>
      <c r="G86" s="85" t="n">
        <v>0</v>
      </c>
      <c r="H86" s="85" t="n">
        <v>0</v>
      </c>
      <c r="I86" s="36" t="s">
        <v>1025</v>
      </c>
      <c r="J86" s="36" t="s">
        <v>1025</v>
      </c>
      <c r="K86" s="36" t="s">
        <v>1025</v>
      </c>
      <c r="L86" s="36" t="s">
        <v>1025</v>
      </c>
      <c r="M86" s="36" t="s">
        <v>1025</v>
      </c>
      <c r="N86" s="36" t="s">
        <v>1025</v>
      </c>
      <c r="O86" s="36" t="s">
        <v>1025</v>
      </c>
      <c r="P86" s="36" t="s">
        <v>1025</v>
      </c>
      <c r="Q86" s="36" t="s">
        <v>1025</v>
      </c>
      <c r="R86" s="36" t="s">
        <v>1025</v>
      </c>
      <c r="S86" s="36" t="s">
        <v>1025</v>
      </c>
    </row>
    <row r="87" customFormat="false" ht="35.05" hidden="false" customHeight="false" outlineLevel="0" collapsed="false">
      <c r="A87" s="73" t="s">
        <v>1043</v>
      </c>
      <c r="B87" s="74" t="s">
        <v>1054</v>
      </c>
      <c r="C87" s="66" t="s">
        <v>71</v>
      </c>
      <c r="D87" s="43" t="s">
        <v>81</v>
      </c>
      <c r="E87" s="75" t="s">
        <v>917</v>
      </c>
      <c r="F87" s="76" t="s">
        <v>1055</v>
      </c>
      <c r="G87" s="85" t="n">
        <v>0</v>
      </c>
      <c r="H87" s="85" t="n">
        <v>0</v>
      </c>
      <c r="I87" s="36" t="n">
        <f aca="false">H87+I95</f>
        <v>0</v>
      </c>
      <c r="J87" s="36" t="n">
        <f aca="false">I87+J95</f>
        <v>0</v>
      </c>
      <c r="K87" s="36" t="n">
        <f aca="false">J87+K95</f>
        <v>0</v>
      </c>
      <c r="L87" s="36" t="n">
        <f aca="false">K87+L95</f>
        <v>0</v>
      </c>
      <c r="M87" s="36" t="n">
        <f aca="false">L87+M95</f>
        <v>0</v>
      </c>
      <c r="N87" s="36" t="n">
        <f aca="false">M87+N95</f>
        <v>0</v>
      </c>
      <c r="O87" s="36" t="n">
        <f aca="false">N87+O95</f>
        <v>0</v>
      </c>
      <c r="P87" s="36" t="n">
        <f aca="false">O87+P95</f>
        <v>0</v>
      </c>
      <c r="Q87" s="36" t="n">
        <f aca="false">P87+Q95</f>
        <v>0</v>
      </c>
      <c r="R87" s="36" t="n">
        <f aca="false">Q87+R95</f>
        <v>0</v>
      </c>
      <c r="S87" s="36" t="n">
        <f aca="false">R87+S95</f>
        <v>0</v>
      </c>
    </row>
    <row r="88" customFormat="false" ht="21.6" hidden="false" customHeight="false" outlineLevel="0" collapsed="false">
      <c r="A88" s="73" t="s">
        <v>1043</v>
      </c>
      <c r="B88" s="74" t="s">
        <v>1056</v>
      </c>
      <c r="C88" s="66" t="s">
        <v>71</v>
      </c>
      <c r="D88" s="43" t="s">
        <v>81</v>
      </c>
      <c r="E88" s="75" t="s">
        <v>917</v>
      </c>
      <c r="F88" s="76" t="s">
        <v>1057</v>
      </c>
      <c r="G88" s="85" t="n">
        <v>-600000000</v>
      </c>
      <c r="H88" s="85" t="n">
        <v>2400000000</v>
      </c>
      <c r="I88" s="36" t="n">
        <f aca="false">H88+(IF(ISNUMBER(01_INPUTS!I271),01_INPUTS!I271,0)+IF(ISNUMBER(01_INPUTS!I276),01_INPUTS!I276,0))-(IF(ISNUMBER(01_INPUTS!I273),01_INPUTS!I273,0)+IF(ISNUMBER(01_INPUTS!I274),01_INPUTS!I274,0))</f>
        <v>2400000000</v>
      </c>
      <c r="J88" s="36" t="n">
        <f aca="false">I88+(IF(ISNUMBER(01_INPUTS!J271),01_INPUTS!J271,0)+IF(ISNUMBER(01_INPUTS!J276),01_INPUTS!J276,0))-(IF(ISNUMBER(01_INPUTS!J273),01_INPUTS!J273,0)+IF(ISNUMBER(01_INPUTS!J274),01_INPUTS!J274,0))</f>
        <v>2400000000</v>
      </c>
      <c r="K88" s="36" t="n">
        <f aca="false">J88+(IF(ISNUMBER(01_INPUTS!K271),01_INPUTS!K271,0)+IF(ISNUMBER(01_INPUTS!K276),01_INPUTS!K276,0))-(IF(ISNUMBER(01_INPUTS!K273),01_INPUTS!K273,0)+IF(ISNUMBER(01_INPUTS!K274),01_INPUTS!K274,0))</f>
        <v>2400000000</v>
      </c>
      <c r="L88" s="36" t="n">
        <f aca="false">K88+(IF(ISNUMBER(01_INPUTS!L271),01_INPUTS!L271,0)+IF(ISNUMBER(01_INPUTS!L276),01_INPUTS!L276,0))-(IF(ISNUMBER(01_INPUTS!L273),01_INPUTS!L273,0)+IF(ISNUMBER(01_INPUTS!L274),01_INPUTS!L274,0))</f>
        <v>2400000000</v>
      </c>
      <c r="M88" s="36" t="n">
        <f aca="false">L88+(IF(ISNUMBER(01_INPUTS!M271),01_INPUTS!M271,0)+IF(ISNUMBER(01_INPUTS!M276),01_INPUTS!M276,0))-(IF(ISNUMBER(01_INPUTS!M273),01_INPUTS!M273,0)+IF(ISNUMBER(01_INPUTS!M274),01_INPUTS!M274,0))</f>
        <v>2400000000</v>
      </c>
      <c r="N88" s="36" t="n">
        <f aca="false">M88+(IF(ISNUMBER(01_INPUTS!N271),01_INPUTS!N271,0)+IF(ISNUMBER(01_INPUTS!N276),01_INPUTS!N276,0))-(IF(ISNUMBER(01_INPUTS!N273),01_INPUTS!N273,0)+IF(ISNUMBER(01_INPUTS!N274),01_INPUTS!N274,0))</f>
        <v>2400000000</v>
      </c>
      <c r="O88" s="36" t="n">
        <f aca="false">N88+(IF(ISNUMBER(01_INPUTS!O271),01_INPUTS!O271,0)+IF(ISNUMBER(01_INPUTS!O276),01_INPUTS!O276,0))-(IF(ISNUMBER(01_INPUTS!O273),01_INPUTS!O273,0)+IF(ISNUMBER(01_INPUTS!O274),01_INPUTS!O274,0))</f>
        <v>2400000000</v>
      </c>
      <c r="P88" s="36" t="n">
        <f aca="false">O88+(IF(ISNUMBER(01_INPUTS!P271),01_INPUTS!P271,0)+IF(ISNUMBER(01_INPUTS!P276),01_INPUTS!P276,0))-(IF(ISNUMBER(01_INPUTS!P273),01_INPUTS!P273,0)+IF(ISNUMBER(01_INPUTS!P274),01_INPUTS!P274,0))</f>
        <v>2400000000</v>
      </c>
      <c r="Q88" s="36" t="n">
        <f aca="false">P88+(IF(ISNUMBER(01_INPUTS!Q271),01_INPUTS!Q271,0)+IF(ISNUMBER(01_INPUTS!Q276),01_INPUTS!Q276,0))-(IF(ISNUMBER(01_INPUTS!Q273),01_INPUTS!Q273,0)+IF(ISNUMBER(01_INPUTS!Q274),01_INPUTS!Q274,0))</f>
        <v>2400000000</v>
      </c>
      <c r="R88" s="36" t="n">
        <f aca="false">Q88+(IF(ISNUMBER(01_INPUTS!R271),01_INPUTS!R271,0)+IF(ISNUMBER(01_INPUTS!R276),01_INPUTS!R276,0))-(IF(ISNUMBER(01_INPUTS!R273),01_INPUTS!R273,0)+IF(ISNUMBER(01_INPUTS!R274),01_INPUTS!R274,0))</f>
        <v>2400000000</v>
      </c>
      <c r="S88" s="36" t="n">
        <f aca="false">R88+(IF(ISNUMBER(01_INPUTS!S271),01_INPUTS!S271,0)+IF(ISNUMBER(01_INPUTS!S276),01_INPUTS!S276,0))-(IF(ISNUMBER(01_INPUTS!S273),01_INPUTS!S273,0)+IF(ISNUMBER(01_INPUTS!S274),01_INPUTS!S274,0))</f>
        <v>2400000000</v>
      </c>
    </row>
    <row r="89" customFormat="false" ht="28.35" hidden="false" customHeight="false" outlineLevel="0" collapsed="false">
      <c r="A89" s="73" t="s">
        <v>1043</v>
      </c>
      <c r="B89" s="74" t="s">
        <v>1058</v>
      </c>
      <c r="C89" s="66" t="s">
        <v>71</v>
      </c>
      <c r="D89" s="43" t="s">
        <v>81</v>
      </c>
      <c r="E89" s="75" t="s">
        <v>917</v>
      </c>
      <c r="F89" s="76" t="s">
        <v>1059</v>
      </c>
      <c r="G89" s="85" t="n">
        <v>426015541.673935</v>
      </c>
      <c r="H89" s="85" t="n">
        <v>437426873.264112</v>
      </c>
      <c r="I89" s="36" t="n">
        <f aca="false">I65*$G$156</f>
        <v>921884126.983833</v>
      </c>
      <c r="J89" s="36" t="n">
        <f aca="false">J65*$G$156</f>
        <v>4929701.33333333</v>
      </c>
      <c r="K89" s="36" t="n">
        <f aca="false">K65*$G$156</f>
        <v>3630000</v>
      </c>
      <c r="L89" s="36" t="n">
        <f aca="false">L65*$G$156</f>
        <v>3630000</v>
      </c>
      <c r="M89" s="36" t="n">
        <f aca="false">M65*$G$156</f>
        <v>3630000</v>
      </c>
      <c r="N89" s="36" t="n">
        <f aca="false">N65*$G$156</f>
        <v>3630000</v>
      </c>
      <c r="O89" s="36" t="n">
        <f aca="false">O65*$G$156</f>
        <v>3630000</v>
      </c>
      <c r="P89" s="36" t="n">
        <f aca="false">P65*$G$156</f>
        <v>3630000</v>
      </c>
      <c r="Q89" s="36" t="n">
        <f aca="false">Q65*$G$156</f>
        <v>3630000</v>
      </c>
      <c r="R89" s="36" t="n">
        <f aca="false">R65*$G$156</f>
        <v>3630000</v>
      </c>
      <c r="S89" s="36" t="n">
        <f aca="false">S65*$G$156</f>
        <v>3630000</v>
      </c>
    </row>
    <row r="90" customFormat="false" ht="15" hidden="false" customHeight="false" outlineLevel="0" collapsed="false">
      <c r="A90" s="73" t="s">
        <v>1043</v>
      </c>
      <c r="B90" s="74" t="s">
        <v>289</v>
      </c>
      <c r="C90" s="66" t="s">
        <v>71</v>
      </c>
      <c r="D90" s="43" t="s">
        <v>81</v>
      </c>
      <c r="E90" s="75" t="s">
        <v>917</v>
      </c>
      <c r="F90" s="76"/>
      <c r="G90" s="78" t="n">
        <f aca="false">G86+G87+G88+G89</f>
        <v>-173984458.326065</v>
      </c>
      <c r="H90" s="78" t="n">
        <f aca="false">H86+H87+H88+H89</f>
        <v>2837426873.26411</v>
      </c>
      <c r="I90" s="78" t="n">
        <f aca="false">I86+I87+I88+I89</f>
        <v>3321884126.98383</v>
      </c>
      <c r="J90" s="78" t="n">
        <f aca="false">J86+J87+J88+J89</f>
        <v>2404929701.33333</v>
      </c>
      <c r="K90" s="78" t="n">
        <f aca="false">K86+K87+K88+K89</f>
        <v>2403630000</v>
      </c>
      <c r="L90" s="78" t="n">
        <f aca="false">L86+L87+L88+L89</f>
        <v>2403630000</v>
      </c>
      <c r="M90" s="78" t="n">
        <f aca="false">M86+M87+M88+M89</f>
        <v>2403630000</v>
      </c>
      <c r="N90" s="78" t="n">
        <f aca="false">N86+N87+N88+N89</f>
        <v>2403630000</v>
      </c>
      <c r="O90" s="78" t="n">
        <f aca="false">O86+O87+O88+O89</f>
        <v>2403630000</v>
      </c>
      <c r="P90" s="78" t="n">
        <f aca="false">P86+P87+P88+P89</f>
        <v>2403630000</v>
      </c>
      <c r="Q90" s="78" t="n">
        <f aca="false">Q86+Q87+Q88+Q89</f>
        <v>2403630000</v>
      </c>
      <c r="R90" s="78" t="n">
        <f aca="false">R86+R87+R88+R89</f>
        <v>2403630000</v>
      </c>
      <c r="S90" s="78" t="n">
        <f aca="false">S86+S87+S88+S89</f>
        <v>2403630000</v>
      </c>
    </row>
    <row r="91" customFormat="false" ht="15" hidden="false" customHeight="false" outlineLevel="0" collapsed="false">
      <c r="A91" s="73" t="s">
        <v>1043</v>
      </c>
      <c r="B91" s="74" t="s">
        <v>1060</v>
      </c>
      <c r="C91" s="66" t="s">
        <v>71</v>
      </c>
      <c r="D91" s="43" t="s">
        <v>81</v>
      </c>
      <c r="E91" s="75" t="s">
        <v>344</v>
      </c>
      <c r="F91" s="76" t="s">
        <v>1061</v>
      </c>
      <c r="G91" s="89" t="n">
        <f aca="false">G81-(G85+G90)</f>
        <v>0</v>
      </c>
      <c r="H91" s="89" t="n">
        <f aca="false">H81-(H85+H90)</f>
        <v>0</v>
      </c>
      <c r="I91" s="89" t="n">
        <f aca="false">I81-(I85+I90)</f>
        <v>0</v>
      </c>
      <c r="J91" s="89" t="n">
        <f aca="false">J81-(J85+J90)</f>
        <v>0</v>
      </c>
      <c r="K91" s="89" t="n">
        <f aca="false">K81-(K85+K90)</f>
        <v>0</v>
      </c>
      <c r="L91" s="89" t="n">
        <f aca="false">L81-(L85+L90)</f>
        <v>0</v>
      </c>
      <c r="M91" s="89" t="n">
        <f aca="false">M81-(M85+M90)</f>
        <v>0</v>
      </c>
      <c r="N91" s="89" t="n">
        <f aca="false">N81-(N85+N90)</f>
        <v>0</v>
      </c>
      <c r="O91" s="89" t="n">
        <f aca="false">O81-(O85+O90)</f>
        <v>0</v>
      </c>
      <c r="P91" s="89" t="n">
        <f aca="false">P81-(P85+P90)</f>
        <v>0</v>
      </c>
      <c r="Q91" s="89" t="n">
        <f aca="false">Q81-(Q85+Q90)</f>
        <v>0</v>
      </c>
      <c r="R91" s="89" t="n">
        <f aca="false">R81-(R85+R90)</f>
        <v>0</v>
      </c>
      <c r="S91" s="89" t="n">
        <f aca="false">S81-(S85+S90)</f>
        <v>0</v>
      </c>
    </row>
    <row r="92" customFormat="false" ht="15" hidden="false" customHeight="false" outlineLevel="0" collapsed="false">
      <c r="A92" s="73" t="s">
        <v>1062</v>
      </c>
      <c r="B92" s="74" t="s">
        <v>295</v>
      </c>
      <c r="C92" s="66" t="s">
        <v>71</v>
      </c>
      <c r="D92" s="43" t="s">
        <v>81</v>
      </c>
      <c r="E92" s="75" t="s">
        <v>917</v>
      </c>
      <c r="F92" s="76" t="s">
        <v>1063</v>
      </c>
      <c r="G92" s="48" t="s">
        <v>77</v>
      </c>
      <c r="H92" s="85" t="n">
        <v>-562498405.014181</v>
      </c>
      <c r="I92" s="36" t="n">
        <f aca="false">(I76+I67)-(I78-H78)-(I79-H79)+(I89-H89)</f>
        <v>4768913857.57887</v>
      </c>
      <c r="J92" s="36" t="n">
        <f aca="false">(J76+J67)-(J78-I78)-(J79-I79)+(J89-I89)</f>
        <v>344924575.963221</v>
      </c>
      <c r="K92" s="36" t="n">
        <f aca="false">(K76+K67)-(K78-J78)-(K79-J79)+(K89-J89)</f>
        <v>261247194.429284</v>
      </c>
      <c r="L92" s="36" t="n">
        <f aca="false">(L76+L67)-(L78-K78)-(L79-K79)+(L89-K89)</f>
        <v>270066474.809325</v>
      </c>
      <c r="M92" s="36" t="n">
        <f aca="false">(M76+M67)-(M78-L78)-(M79-L79)+(M89-L89)</f>
        <v>278275535.944059</v>
      </c>
      <c r="N92" s="36" t="n">
        <f aca="false">(N76+N67)-(N78-M78)-(N79-M79)+(N89-M89)</f>
        <v>287116338.945717</v>
      </c>
      <c r="O92" s="36" t="n">
        <f aca="false">(O76+O67)-(O78-N78)-(O79-N79)+(O89-N89)</f>
        <v>296585631.356796</v>
      </c>
      <c r="P92" s="36" t="n">
        <f aca="false">(P76+P67)-(P78-O78)-(P79-O79)+(P89-O89)</f>
        <v>306682957.736876</v>
      </c>
      <c r="Q92" s="36" t="n">
        <f aca="false">(Q76+Q67)-(Q78-P78)-(Q79-P79)+(Q89-P89)</f>
        <v>317410481.921472</v>
      </c>
      <c r="R92" s="36" t="n">
        <f aca="false">(R76+R67)-(R78-Q78)-(R79-Q79)+(R89-Q89)</f>
        <v>328772831.260889</v>
      </c>
      <c r="S92" s="36" t="n">
        <f aca="false">(S76+S67)-(S78-R78)-(S79-R79)+(S89-R89)</f>
        <v>340776960.81454</v>
      </c>
    </row>
    <row r="93" customFormat="false" ht="15" hidden="false" customHeight="false" outlineLevel="0" collapsed="false">
      <c r="A93" s="73" t="s">
        <v>1062</v>
      </c>
      <c r="B93" s="74" t="s">
        <v>296</v>
      </c>
      <c r="C93" s="66" t="s">
        <v>71</v>
      </c>
      <c r="D93" s="43" t="s">
        <v>81</v>
      </c>
      <c r="E93" s="75" t="s">
        <v>917</v>
      </c>
      <c r="F93" s="76" t="s">
        <v>1064</v>
      </c>
      <c r="G93" s="48" t="s">
        <v>77</v>
      </c>
      <c r="H93" s="85" t="n">
        <v>-4000000</v>
      </c>
      <c r="I93" s="36" t="n">
        <f aca="false">-_ENGINE_PRODUCCION!I199+_ENGINE_PRODUCCION!I200</f>
        <v>0</v>
      </c>
      <c r="J93" s="36" t="n">
        <f aca="false">-_ENGINE_PRODUCCION!J199+_ENGINE_PRODUCCION!J200</f>
        <v>0</v>
      </c>
      <c r="K93" s="36" t="n">
        <f aca="false">-_ENGINE_PRODUCCION!K199+_ENGINE_PRODUCCION!K200</f>
        <v>0</v>
      </c>
      <c r="L93" s="36" t="n">
        <f aca="false">-_ENGINE_PRODUCCION!L199+_ENGINE_PRODUCCION!L200</f>
        <v>0</v>
      </c>
      <c r="M93" s="36" t="n">
        <f aca="false">-_ENGINE_PRODUCCION!M199+_ENGINE_PRODUCCION!M200</f>
        <v>0</v>
      </c>
      <c r="N93" s="36" t="n">
        <f aca="false">-_ENGINE_PRODUCCION!N199+_ENGINE_PRODUCCION!N200</f>
        <v>0</v>
      </c>
      <c r="O93" s="36" t="n">
        <f aca="false">-_ENGINE_PRODUCCION!O199+_ENGINE_PRODUCCION!O200</f>
        <v>0</v>
      </c>
      <c r="P93" s="36" t="n">
        <f aca="false">-_ENGINE_PRODUCCION!P199+_ENGINE_PRODUCCION!P200</f>
        <v>0</v>
      </c>
      <c r="Q93" s="36" t="n">
        <f aca="false">-_ENGINE_PRODUCCION!Q199+_ENGINE_PRODUCCION!Q200</f>
        <v>0</v>
      </c>
      <c r="R93" s="36" t="n">
        <f aca="false">-_ENGINE_PRODUCCION!R199+_ENGINE_PRODUCCION!R200</f>
        <v>0</v>
      </c>
      <c r="S93" s="36" t="n">
        <f aca="false">-_ENGINE_PRODUCCION!S199+_ENGINE_PRODUCCION!S200</f>
        <v>0</v>
      </c>
    </row>
    <row r="94" customFormat="false" ht="15" hidden="false" customHeight="false" outlineLevel="0" collapsed="false">
      <c r="A94" s="73" t="s">
        <v>1062</v>
      </c>
      <c r="B94" s="74" t="s">
        <v>1065</v>
      </c>
      <c r="C94" s="66" t="s">
        <v>71</v>
      </c>
      <c r="D94" s="43" t="s">
        <v>81</v>
      </c>
      <c r="E94" s="75" t="s">
        <v>917</v>
      </c>
      <c r="F94" s="76" t="s">
        <v>1072</v>
      </c>
      <c r="G94" s="48" t="s">
        <v>77</v>
      </c>
      <c r="H94" s="85" t="n">
        <v>2481038901.99453</v>
      </c>
      <c r="I94" s="36" t="n">
        <f aca="false">-IF(ISNUMBER(01_INPUTS!I277),01_INPUTS!I277,0)+(IF(ISNUMBER(01_INPUTS!I271),01_INPUTS!I271,0)+IF(ISNUMBER(01_INPUTS!I276),01_INPUTS!I276,0))-(IF(ISNUMBER(01_INPUTS!I273),01_INPUTS!I273,0)+IF(ISNUMBER(01_INPUTS!I274),01_INPUTS!I274,0))</f>
        <v>0</v>
      </c>
      <c r="J94" s="36" t="n">
        <f aca="false">-IF(ISNUMBER(01_INPUTS!J277),01_INPUTS!J277,0)+(IF(ISNUMBER(01_INPUTS!J271),01_INPUTS!J271,0)+IF(ISNUMBER(01_INPUTS!J276),01_INPUTS!J276,0))-(IF(ISNUMBER(01_INPUTS!J273),01_INPUTS!J273,0)+IF(ISNUMBER(01_INPUTS!J274),01_INPUTS!J274,0))</f>
        <v>0</v>
      </c>
      <c r="K94" s="36" t="n">
        <f aca="false">-IF(ISNUMBER(01_INPUTS!K277),01_INPUTS!K277,0)+(IF(ISNUMBER(01_INPUTS!K271),01_INPUTS!K271,0)+IF(ISNUMBER(01_INPUTS!K276),01_INPUTS!K276,0))-(IF(ISNUMBER(01_INPUTS!K273),01_INPUTS!K273,0)+IF(ISNUMBER(01_INPUTS!K274),01_INPUTS!K274,0))</f>
        <v>0</v>
      </c>
      <c r="L94" s="36" t="n">
        <f aca="false">-IF(ISNUMBER(01_INPUTS!L277),01_INPUTS!L277,0)+(IF(ISNUMBER(01_INPUTS!L271),01_INPUTS!L271,0)+IF(ISNUMBER(01_INPUTS!L276),01_INPUTS!L276,0))-(IF(ISNUMBER(01_INPUTS!L273),01_INPUTS!L273,0)+IF(ISNUMBER(01_INPUTS!L274),01_INPUTS!L274,0))</f>
        <v>0</v>
      </c>
      <c r="M94" s="36" t="n">
        <f aca="false">-IF(ISNUMBER(01_INPUTS!M277),01_INPUTS!M277,0)+(IF(ISNUMBER(01_INPUTS!M271),01_INPUTS!M271,0)+IF(ISNUMBER(01_INPUTS!M276),01_INPUTS!M276,0))-(IF(ISNUMBER(01_INPUTS!M273),01_INPUTS!M273,0)+IF(ISNUMBER(01_INPUTS!M274),01_INPUTS!M274,0))</f>
        <v>0</v>
      </c>
      <c r="N94" s="36" t="n">
        <f aca="false">-IF(ISNUMBER(01_INPUTS!N277),01_INPUTS!N277,0)+(IF(ISNUMBER(01_INPUTS!N271),01_INPUTS!N271,0)+IF(ISNUMBER(01_INPUTS!N276),01_INPUTS!N276,0))-(IF(ISNUMBER(01_INPUTS!N273),01_INPUTS!N273,0)+IF(ISNUMBER(01_INPUTS!N274),01_INPUTS!N274,0))</f>
        <v>0</v>
      </c>
      <c r="O94" s="36" t="n">
        <f aca="false">-IF(ISNUMBER(01_INPUTS!O277),01_INPUTS!O277,0)+(IF(ISNUMBER(01_INPUTS!O271),01_INPUTS!O271,0)+IF(ISNUMBER(01_INPUTS!O276),01_INPUTS!O276,0))-(IF(ISNUMBER(01_INPUTS!O273),01_INPUTS!O273,0)+IF(ISNUMBER(01_INPUTS!O274),01_INPUTS!O274,0))</f>
        <v>0</v>
      </c>
      <c r="P94" s="36" t="n">
        <f aca="false">-IF(ISNUMBER(01_INPUTS!P277),01_INPUTS!P277,0)+(IF(ISNUMBER(01_INPUTS!P271),01_INPUTS!P271,0)+IF(ISNUMBER(01_INPUTS!P276),01_INPUTS!P276,0))-(IF(ISNUMBER(01_INPUTS!P273),01_INPUTS!P273,0)+IF(ISNUMBER(01_INPUTS!P274),01_INPUTS!P274,0))</f>
        <v>0</v>
      </c>
      <c r="Q94" s="36" t="n">
        <f aca="false">-IF(ISNUMBER(01_INPUTS!Q277),01_INPUTS!Q277,0)+(IF(ISNUMBER(01_INPUTS!Q271),01_INPUTS!Q271,0)+IF(ISNUMBER(01_INPUTS!Q276),01_INPUTS!Q276,0))-(IF(ISNUMBER(01_INPUTS!Q273),01_INPUTS!Q273,0)+IF(ISNUMBER(01_INPUTS!Q274),01_INPUTS!Q274,0))</f>
        <v>0</v>
      </c>
      <c r="R94" s="36" t="n">
        <f aca="false">-IF(ISNUMBER(01_INPUTS!R277),01_INPUTS!R277,0)+(IF(ISNUMBER(01_INPUTS!R271),01_INPUTS!R271,0)+IF(ISNUMBER(01_INPUTS!R276),01_INPUTS!R276,0))-(IF(ISNUMBER(01_INPUTS!R273),01_INPUTS!R273,0)+IF(ISNUMBER(01_INPUTS!R274),01_INPUTS!R274,0))</f>
        <v>0</v>
      </c>
      <c r="S94" s="36" t="n">
        <f aca="false">-IF(ISNUMBER(01_INPUTS!S277),01_INPUTS!S277,0)+(IF(ISNUMBER(01_INPUTS!S271),01_INPUTS!S271,0)+IF(ISNUMBER(01_INPUTS!S276),01_INPUTS!S276,0))-(IF(ISNUMBER(01_INPUTS!S273),01_INPUTS!S273,0)+IF(ISNUMBER(01_INPUTS!S274),01_INPUTS!S274,0))</f>
        <v>0</v>
      </c>
    </row>
    <row r="95" customFormat="false" ht="15" hidden="false" customHeight="false" outlineLevel="0" collapsed="false">
      <c r="A95" s="73" t="s">
        <v>1062</v>
      </c>
      <c r="B95" s="74" t="s">
        <v>298</v>
      </c>
      <c r="C95" s="66" t="s">
        <v>71</v>
      </c>
      <c r="D95" s="43" t="s">
        <v>81</v>
      </c>
      <c r="E95" s="75" t="s">
        <v>917</v>
      </c>
      <c r="F95" s="76" t="s">
        <v>1067</v>
      </c>
      <c r="G95" s="48" t="s">
        <v>77</v>
      </c>
      <c r="H95" s="48" t="s">
        <v>1068</v>
      </c>
      <c r="I95" s="36" t="n">
        <f aca="false">IF((H80+I92+I93+I94)&lt;IF(ISNUMBER(01_INPUTS!I28),01_INPUTS!I28,2000000),IF(ISNUMBER(01_INPUTS!I28),01_INPUTS!I28,2000000)-(H80+I92+I93+I94),-MIN(H87,MAX(0,(H80+I92+I93+I94)-IF(ISNUMBER(01_INPUTS!I28),01_INPUTS!I28,2000000))))</f>
        <v>-0</v>
      </c>
      <c r="J95" s="36" t="n">
        <f aca="false">IF((I80+J92+J93+J94)&lt;IF(ISNUMBER(01_INPUTS!J28),01_INPUTS!J28,2000000),IF(ISNUMBER(01_INPUTS!J28),01_INPUTS!J28,2000000)-(I80+J92+J93+J94),-MIN(I87,MAX(0,(I80+J92+J93+J94)-IF(ISNUMBER(01_INPUTS!J28),01_INPUTS!J28,2000000))))</f>
        <v>-0</v>
      </c>
      <c r="K95" s="36" t="n">
        <f aca="false">IF((J80+K92+K93+K94)&lt;IF(ISNUMBER(01_INPUTS!K28),01_INPUTS!K28,2000000),IF(ISNUMBER(01_INPUTS!K28),01_INPUTS!K28,2000000)-(J80+K92+K93+K94),-MIN(J87,MAX(0,(J80+K92+K93+K94)-IF(ISNUMBER(01_INPUTS!K28),01_INPUTS!K28,2000000))))</f>
        <v>-0</v>
      </c>
      <c r="L95" s="36" t="n">
        <f aca="false">IF((K80+L92+L93+L94)&lt;IF(ISNUMBER(01_INPUTS!L28),01_INPUTS!L28,2000000),IF(ISNUMBER(01_INPUTS!L28),01_INPUTS!L28,2000000)-(K80+L92+L93+L94),-MIN(K87,MAX(0,(K80+L92+L93+L94)-IF(ISNUMBER(01_INPUTS!L28),01_INPUTS!L28,2000000))))</f>
        <v>-0</v>
      </c>
      <c r="M95" s="36" t="n">
        <f aca="false">IF((L80+M92+M93+M94)&lt;IF(ISNUMBER(01_INPUTS!M28),01_INPUTS!M28,2000000),IF(ISNUMBER(01_INPUTS!M28),01_INPUTS!M28,2000000)-(L80+M92+M93+M94),-MIN(L87,MAX(0,(L80+M92+M93+M94)-IF(ISNUMBER(01_INPUTS!M28),01_INPUTS!M28,2000000))))</f>
        <v>-0</v>
      </c>
      <c r="N95" s="36" t="n">
        <f aca="false">IF((M80+N92+N93+N94)&lt;IF(ISNUMBER(01_INPUTS!N28),01_INPUTS!N28,2000000),IF(ISNUMBER(01_INPUTS!N28),01_INPUTS!N28,2000000)-(M80+N92+N93+N94),-MIN(M87,MAX(0,(M80+N92+N93+N94)-IF(ISNUMBER(01_INPUTS!N28),01_INPUTS!N28,2000000))))</f>
        <v>-0</v>
      </c>
      <c r="O95" s="36" t="n">
        <f aca="false">IF((N80+O92+O93+O94)&lt;IF(ISNUMBER(01_INPUTS!O28),01_INPUTS!O28,2000000),IF(ISNUMBER(01_INPUTS!O28),01_INPUTS!O28,2000000)-(N80+O92+O93+O94),-MIN(N87,MAX(0,(N80+O92+O93+O94)-IF(ISNUMBER(01_INPUTS!O28),01_INPUTS!O28,2000000))))</f>
        <v>-0</v>
      </c>
      <c r="P95" s="36" t="n">
        <f aca="false">IF((O80+P92+P93+P94)&lt;IF(ISNUMBER(01_INPUTS!P28),01_INPUTS!P28,2000000),IF(ISNUMBER(01_INPUTS!P28),01_INPUTS!P28,2000000)-(O80+P92+P93+P94),-MIN(O87,MAX(0,(O80+P92+P93+P94)-IF(ISNUMBER(01_INPUTS!P28),01_INPUTS!P28,2000000))))</f>
        <v>-0</v>
      </c>
      <c r="Q95" s="36" t="n">
        <f aca="false">IF((P80+Q92+Q93+Q94)&lt;IF(ISNUMBER(01_INPUTS!Q28),01_INPUTS!Q28,2000000),IF(ISNUMBER(01_INPUTS!Q28),01_INPUTS!Q28,2000000)-(P80+Q92+Q93+Q94),-MIN(P87,MAX(0,(P80+Q92+Q93+Q94)-IF(ISNUMBER(01_INPUTS!Q28),01_INPUTS!Q28,2000000))))</f>
        <v>-0</v>
      </c>
      <c r="R95" s="36" t="n">
        <f aca="false">IF((Q80+R92+R93+R94)&lt;IF(ISNUMBER(01_INPUTS!R28),01_INPUTS!R28,2000000),IF(ISNUMBER(01_INPUTS!R28),01_INPUTS!R28,2000000)-(Q80+R92+R93+R94),-MIN(Q87,MAX(0,(Q80+R92+R93+R94)-IF(ISNUMBER(01_INPUTS!R28),01_INPUTS!R28,2000000))))</f>
        <v>-0</v>
      </c>
      <c r="S95" s="36" t="n">
        <f aca="false">IF((R80+S92+S93+S94)&lt;IF(ISNUMBER(01_INPUTS!S28),01_INPUTS!S28,2000000),IF(ISNUMBER(01_INPUTS!S28),01_INPUTS!S28,2000000)-(R80+S92+S93+S94),-MIN(R87,MAX(0,(R80+S92+S93+S94)-IF(ISNUMBER(01_INPUTS!S28),01_INPUTS!S28,2000000))))</f>
        <v>-0</v>
      </c>
    </row>
    <row r="96" customFormat="false" ht="15" hidden="false" customHeight="false" outlineLevel="0" collapsed="false">
      <c r="A96" s="73" t="s">
        <v>1062</v>
      </c>
      <c r="B96" s="74" t="s">
        <v>299</v>
      </c>
      <c r="C96" s="66" t="s">
        <v>71</v>
      </c>
      <c r="D96" s="43" t="s">
        <v>81</v>
      </c>
      <c r="E96" s="75" t="s">
        <v>917</v>
      </c>
      <c r="F96" s="76"/>
      <c r="G96" s="85" t="n">
        <v>0</v>
      </c>
      <c r="H96" s="77" t="n">
        <v>1914540496.98035</v>
      </c>
      <c r="I96" s="78" t="n">
        <f aca="false">I92+I93+I94+I95</f>
        <v>4768913857.57887</v>
      </c>
      <c r="J96" s="78" t="n">
        <f aca="false">J92+J93+J94+J95</f>
        <v>344924575.963221</v>
      </c>
      <c r="K96" s="78" t="n">
        <f aca="false">K92+K93+K94+K95</f>
        <v>261247194.429284</v>
      </c>
      <c r="L96" s="78" t="n">
        <f aca="false">L92+L93+L94+L95</f>
        <v>270066474.809325</v>
      </c>
      <c r="M96" s="78" t="n">
        <f aca="false">M92+M93+M94+M95</f>
        <v>278275535.944059</v>
      </c>
      <c r="N96" s="78" t="n">
        <f aca="false">N92+N93+N94+N95</f>
        <v>287116338.945717</v>
      </c>
      <c r="O96" s="78" t="n">
        <f aca="false">O92+O93+O94+O95</f>
        <v>296585631.356796</v>
      </c>
      <c r="P96" s="78" t="n">
        <f aca="false">P92+P93+P94+P95</f>
        <v>306682957.736876</v>
      </c>
      <c r="Q96" s="78" t="n">
        <f aca="false">Q92+Q93+Q94+Q95</f>
        <v>317410481.921472</v>
      </c>
      <c r="R96" s="78" t="n">
        <f aca="false">R92+R93+R94+R95</f>
        <v>328772831.260889</v>
      </c>
      <c r="S96" s="78" t="n">
        <f aca="false">S92+S93+S94+S95</f>
        <v>340776960.81454</v>
      </c>
    </row>
    <row r="97" customFormat="false" ht="15" hidden="false" customHeight="false" outlineLevel="0" collapsed="false">
      <c r="A97" s="73" t="s">
        <v>1062</v>
      </c>
      <c r="B97" s="74" t="s">
        <v>300</v>
      </c>
      <c r="C97" s="66" t="s">
        <v>71</v>
      </c>
      <c r="D97" s="43" t="s">
        <v>81</v>
      </c>
      <c r="E97" s="75" t="s">
        <v>917</v>
      </c>
      <c r="F97" s="76"/>
      <c r="G97" s="85" t="n">
        <v>1720403000</v>
      </c>
      <c r="H97" s="85" t="n">
        <v>365032427.722816</v>
      </c>
      <c r="I97" s="36" t="n">
        <f aca="false">H80</f>
        <v>2279572924.70316</v>
      </c>
      <c r="J97" s="36" t="n">
        <f aca="false">I80</f>
        <v>7048486782.28204</v>
      </c>
      <c r="K97" s="36" t="n">
        <f aca="false">J80</f>
        <v>7393411358.24526</v>
      </c>
      <c r="L97" s="36" t="n">
        <f aca="false">K80</f>
        <v>7654658552.67454</v>
      </c>
      <c r="M97" s="36" t="n">
        <f aca="false">L80</f>
        <v>7924725027.48387</v>
      </c>
      <c r="N97" s="36" t="n">
        <f aca="false">M80</f>
        <v>8203000563.42793</v>
      </c>
      <c r="O97" s="36" t="n">
        <f aca="false">N80</f>
        <v>8490116902.37364</v>
      </c>
      <c r="P97" s="36" t="n">
        <f aca="false">O80</f>
        <v>8786702533.73044</v>
      </c>
      <c r="Q97" s="36" t="n">
        <f aca="false">P80</f>
        <v>9093385491.46731</v>
      </c>
      <c r="R97" s="36" t="n">
        <f aca="false">Q80</f>
        <v>9410795973.38879</v>
      </c>
      <c r="S97" s="36" t="n">
        <f aca="false">R80</f>
        <v>9739568804.64968</v>
      </c>
    </row>
    <row r="98" customFormat="false" ht="15" hidden="false" customHeight="false" outlineLevel="0" collapsed="false">
      <c r="A98" s="73" t="s">
        <v>1062</v>
      </c>
      <c r="B98" s="74" t="s">
        <v>301</v>
      </c>
      <c r="C98" s="66" t="s">
        <v>71</v>
      </c>
      <c r="D98" s="43" t="s">
        <v>81</v>
      </c>
      <c r="E98" s="75" t="s">
        <v>917</v>
      </c>
      <c r="F98" s="76"/>
      <c r="G98" s="36" t="n">
        <f aca="false">G80</f>
        <v>365032427.722816</v>
      </c>
      <c r="H98" s="78" t="n">
        <f aca="false">H80</f>
        <v>2279572924.70316</v>
      </c>
      <c r="I98" s="78" t="n">
        <f aca="false">I97+I96</f>
        <v>7048486782.28204</v>
      </c>
      <c r="J98" s="78" t="n">
        <f aca="false">J97+J96</f>
        <v>7393411358.24526</v>
      </c>
      <c r="K98" s="78" t="n">
        <f aca="false">K97+K96</f>
        <v>7654658552.67454</v>
      </c>
      <c r="L98" s="78" t="n">
        <f aca="false">L97+L96</f>
        <v>7924725027.48387</v>
      </c>
      <c r="M98" s="78" t="n">
        <f aca="false">M97+M96</f>
        <v>8203000563.42793</v>
      </c>
      <c r="N98" s="78" t="n">
        <f aca="false">N97+N96</f>
        <v>8490116902.37364</v>
      </c>
      <c r="O98" s="78" t="n">
        <f aca="false">O97+O96</f>
        <v>8786702533.73044</v>
      </c>
      <c r="P98" s="78" t="n">
        <f aca="false">P97+P96</f>
        <v>9093385491.46731</v>
      </c>
      <c r="Q98" s="78" t="n">
        <f aca="false">Q97+Q96</f>
        <v>9410795973.38879</v>
      </c>
      <c r="R98" s="78" t="n">
        <f aca="false">R97+R96</f>
        <v>9739568804.64968</v>
      </c>
      <c r="S98" s="78" t="n">
        <f aca="false">S97+S96</f>
        <v>10080345765.4642</v>
      </c>
    </row>
    <row r="99" customFormat="false" ht="15" hidden="false" customHeight="false" outlineLevel="0" collapsed="false">
      <c r="A99" s="73" t="s">
        <v>1022</v>
      </c>
      <c r="B99" s="74" t="s">
        <v>1023</v>
      </c>
      <c r="C99" s="66" t="s">
        <v>72</v>
      </c>
      <c r="D99" s="43" t="s">
        <v>81</v>
      </c>
      <c r="E99" s="75" t="s">
        <v>43</v>
      </c>
      <c r="F99" s="76"/>
      <c r="G99" s="36" t="n">
        <f aca="false">(_ENGINE_MERCADO!G230*(IF(ISNUMBER(01_INPUTS!G217),01_INPUTS!G217,0)*(IF(ISNUMBER(01_INPUTS!G27),01_INPUTS!G27,1))))+(_ENGINE_MERCADO!G235*(IF(ISNUMBER(01_INPUTS!G221),01_INPUTS!G221,0)*(IF(ISNUMBER(01_INPUTS!G27),01_INPUTS!G27,1))))+(_ENGINE_MERCADO!G240*(IF(ISNUMBER(01_INPUTS!G225),01_INPUTS!G225,0)*(IF(ISNUMBER(01_INPUTS!G27),01_INPUTS!G27,1))))+(_ENGINE_MERCADO!G245*(IF(ISNUMBER(01_INPUTS!G229),01_INPUTS!G229,0)*(IF(ISNUMBER(01_INPUTS!G27),01_INPUTS!G27,1))))</f>
        <v>0</v>
      </c>
      <c r="H99" s="36" t="n">
        <f aca="false">(_ENGINE_MERCADO!H230*(IF(ISNUMBER(01_INPUTS!H217),01_INPUTS!H217,0)*(IF(ISNUMBER(01_INPUTS!H27),01_INPUTS!H27,1))))+(_ENGINE_MERCADO!H235*(IF(ISNUMBER(01_INPUTS!H221),01_INPUTS!H221,0)*(IF(ISNUMBER(01_INPUTS!H27),01_INPUTS!H27,1))))+(_ENGINE_MERCADO!H240*(IF(ISNUMBER(01_INPUTS!H225),01_INPUTS!H225,0)*(IF(ISNUMBER(01_INPUTS!H27),01_INPUTS!H27,1))))+(_ENGINE_MERCADO!H245*(IF(ISNUMBER(01_INPUTS!H229),01_INPUTS!H229,0)*(IF(ISNUMBER(01_INPUTS!H27),01_INPUTS!H27,1))))</f>
        <v>0</v>
      </c>
      <c r="I99" s="36" t="n">
        <f aca="false">(_ENGINE_MERCADO!I230*(IF(ISNUMBER(01_INPUTS!I217),01_INPUTS!I217,0)*(IF(ISNUMBER(01_INPUTS!I27),01_INPUTS!I27,1))))+(_ENGINE_MERCADO!I235*(IF(ISNUMBER(01_INPUTS!I221),01_INPUTS!I221,0)*(IF(ISNUMBER(01_INPUTS!I27),01_INPUTS!I27,1))))+(_ENGINE_MERCADO!I240*(IF(ISNUMBER(01_INPUTS!I225),01_INPUTS!I225,0)*(IF(ISNUMBER(01_INPUTS!I27),01_INPUTS!I27,1))))+(_ENGINE_MERCADO!I245*(IF(ISNUMBER(01_INPUTS!I229),01_INPUTS!I229,0)*(IF(ISNUMBER(01_INPUTS!I27),01_INPUTS!I27,1))))</f>
        <v>31665250020.8197</v>
      </c>
      <c r="J99" s="36" t="n">
        <f aca="false">(_ENGINE_MERCADO!J230*(IF(ISNUMBER(01_INPUTS!J217),01_INPUTS!J217,0)*(IF(ISNUMBER(01_INPUTS!J27),01_INPUTS!J27,1))))+(_ENGINE_MERCADO!J235*(IF(ISNUMBER(01_INPUTS!J221),01_INPUTS!J221,0)*(IF(ISNUMBER(01_INPUTS!J27),01_INPUTS!J27,1))))+(_ENGINE_MERCADO!J240*(IF(ISNUMBER(01_INPUTS!J225),01_INPUTS!J225,0)*(IF(ISNUMBER(01_INPUTS!J27),01_INPUTS!J27,1))))+(_ENGINE_MERCADO!J245*(IF(ISNUMBER(01_INPUTS!J229),01_INPUTS!J229,0)*(IF(ISNUMBER(01_INPUTS!J27),01_INPUTS!J27,1))))</f>
        <v>0</v>
      </c>
      <c r="K99" s="36" t="n">
        <f aca="false">(_ENGINE_MERCADO!K230*(IF(ISNUMBER(01_INPUTS!K217),01_INPUTS!K217,0)*(IF(ISNUMBER(01_INPUTS!K27),01_INPUTS!K27,1))))+(_ENGINE_MERCADO!K235*(IF(ISNUMBER(01_INPUTS!K221),01_INPUTS!K221,0)*(IF(ISNUMBER(01_INPUTS!K27),01_INPUTS!K27,1))))+(_ENGINE_MERCADO!K240*(IF(ISNUMBER(01_INPUTS!K225),01_INPUTS!K225,0)*(IF(ISNUMBER(01_INPUTS!K27),01_INPUTS!K27,1))))+(_ENGINE_MERCADO!K245*(IF(ISNUMBER(01_INPUTS!K229),01_INPUTS!K229,0)*(IF(ISNUMBER(01_INPUTS!K27),01_INPUTS!K27,1))))</f>
        <v>0</v>
      </c>
      <c r="L99" s="36" t="n">
        <f aca="false">(_ENGINE_MERCADO!L230*(IF(ISNUMBER(01_INPUTS!L217),01_INPUTS!L217,0)*(IF(ISNUMBER(01_INPUTS!L27),01_INPUTS!L27,1))))+(_ENGINE_MERCADO!L235*(IF(ISNUMBER(01_INPUTS!L221),01_INPUTS!L221,0)*(IF(ISNUMBER(01_INPUTS!L27),01_INPUTS!L27,1))))+(_ENGINE_MERCADO!L240*(IF(ISNUMBER(01_INPUTS!L225),01_INPUTS!L225,0)*(IF(ISNUMBER(01_INPUTS!L27),01_INPUTS!L27,1))))+(_ENGINE_MERCADO!L245*(IF(ISNUMBER(01_INPUTS!L229),01_INPUTS!L229,0)*(IF(ISNUMBER(01_INPUTS!L27),01_INPUTS!L27,1))))</f>
        <v>0</v>
      </c>
      <c r="M99" s="36" t="n">
        <f aca="false">(_ENGINE_MERCADO!M230*(IF(ISNUMBER(01_INPUTS!M217),01_INPUTS!M217,0)*(IF(ISNUMBER(01_INPUTS!M27),01_INPUTS!M27,1))))+(_ENGINE_MERCADO!M235*(IF(ISNUMBER(01_INPUTS!M221),01_INPUTS!M221,0)*(IF(ISNUMBER(01_INPUTS!M27),01_INPUTS!M27,1))))+(_ENGINE_MERCADO!M240*(IF(ISNUMBER(01_INPUTS!M225),01_INPUTS!M225,0)*(IF(ISNUMBER(01_INPUTS!M27),01_INPUTS!M27,1))))+(_ENGINE_MERCADO!M245*(IF(ISNUMBER(01_INPUTS!M229),01_INPUTS!M229,0)*(IF(ISNUMBER(01_INPUTS!M27),01_INPUTS!M27,1))))</f>
        <v>0</v>
      </c>
      <c r="N99" s="36" t="n">
        <f aca="false">(_ENGINE_MERCADO!N230*(IF(ISNUMBER(01_INPUTS!N217),01_INPUTS!N217,0)*(IF(ISNUMBER(01_INPUTS!N27),01_INPUTS!N27,1))))+(_ENGINE_MERCADO!N235*(IF(ISNUMBER(01_INPUTS!N221),01_INPUTS!N221,0)*(IF(ISNUMBER(01_INPUTS!N27),01_INPUTS!N27,1))))+(_ENGINE_MERCADO!N240*(IF(ISNUMBER(01_INPUTS!N225),01_INPUTS!N225,0)*(IF(ISNUMBER(01_INPUTS!N27),01_INPUTS!N27,1))))+(_ENGINE_MERCADO!N245*(IF(ISNUMBER(01_INPUTS!N229),01_INPUTS!N229,0)*(IF(ISNUMBER(01_INPUTS!N27),01_INPUTS!N27,1))))</f>
        <v>0</v>
      </c>
      <c r="O99" s="36" t="n">
        <f aca="false">(_ENGINE_MERCADO!O230*(IF(ISNUMBER(01_INPUTS!O217),01_INPUTS!O217,0)*(IF(ISNUMBER(01_INPUTS!O27),01_INPUTS!O27,1))))+(_ENGINE_MERCADO!O235*(IF(ISNUMBER(01_INPUTS!O221),01_INPUTS!O221,0)*(IF(ISNUMBER(01_INPUTS!O27),01_INPUTS!O27,1))))+(_ENGINE_MERCADO!O240*(IF(ISNUMBER(01_INPUTS!O225),01_INPUTS!O225,0)*(IF(ISNUMBER(01_INPUTS!O27),01_INPUTS!O27,1))))+(_ENGINE_MERCADO!O245*(IF(ISNUMBER(01_INPUTS!O229),01_INPUTS!O229,0)*(IF(ISNUMBER(01_INPUTS!O27),01_INPUTS!O27,1))))</f>
        <v>0</v>
      </c>
      <c r="P99" s="36" t="n">
        <f aca="false">(_ENGINE_MERCADO!P230*(IF(ISNUMBER(01_INPUTS!P217),01_INPUTS!P217,0)*(IF(ISNUMBER(01_INPUTS!P27),01_INPUTS!P27,1))))+(_ENGINE_MERCADO!P235*(IF(ISNUMBER(01_INPUTS!P221),01_INPUTS!P221,0)*(IF(ISNUMBER(01_INPUTS!P27),01_INPUTS!P27,1))))+(_ENGINE_MERCADO!P240*(IF(ISNUMBER(01_INPUTS!P225),01_INPUTS!P225,0)*(IF(ISNUMBER(01_INPUTS!P27),01_INPUTS!P27,1))))+(_ENGINE_MERCADO!P245*(IF(ISNUMBER(01_INPUTS!P229),01_INPUTS!P229,0)*(IF(ISNUMBER(01_INPUTS!P27),01_INPUTS!P27,1))))</f>
        <v>0</v>
      </c>
      <c r="Q99" s="36" t="n">
        <f aca="false">(_ENGINE_MERCADO!Q230*(IF(ISNUMBER(01_INPUTS!Q217),01_INPUTS!Q217,0)*(IF(ISNUMBER(01_INPUTS!Q27),01_INPUTS!Q27,1))))+(_ENGINE_MERCADO!Q235*(IF(ISNUMBER(01_INPUTS!Q221),01_INPUTS!Q221,0)*(IF(ISNUMBER(01_INPUTS!Q27),01_INPUTS!Q27,1))))+(_ENGINE_MERCADO!Q240*(IF(ISNUMBER(01_INPUTS!Q225),01_INPUTS!Q225,0)*(IF(ISNUMBER(01_INPUTS!Q27),01_INPUTS!Q27,1))))+(_ENGINE_MERCADO!Q245*(IF(ISNUMBER(01_INPUTS!Q229),01_INPUTS!Q229,0)*(IF(ISNUMBER(01_INPUTS!Q27),01_INPUTS!Q27,1))))</f>
        <v>0</v>
      </c>
      <c r="R99" s="36" t="n">
        <f aca="false">(_ENGINE_MERCADO!R230*(IF(ISNUMBER(01_INPUTS!R217),01_INPUTS!R217,0)*(IF(ISNUMBER(01_INPUTS!R27),01_INPUTS!R27,1))))+(_ENGINE_MERCADO!R235*(IF(ISNUMBER(01_INPUTS!R221),01_INPUTS!R221,0)*(IF(ISNUMBER(01_INPUTS!R27),01_INPUTS!R27,1))))+(_ENGINE_MERCADO!R240*(IF(ISNUMBER(01_INPUTS!R225),01_INPUTS!R225,0)*(IF(ISNUMBER(01_INPUTS!R27),01_INPUTS!R27,1))))+(_ENGINE_MERCADO!R245*(IF(ISNUMBER(01_INPUTS!R229),01_INPUTS!R229,0)*(IF(ISNUMBER(01_INPUTS!R27),01_INPUTS!R27,1))))</f>
        <v>0</v>
      </c>
      <c r="S99" s="36" t="n">
        <f aca="false">(_ENGINE_MERCADO!S230*(IF(ISNUMBER(01_INPUTS!S217),01_INPUTS!S217,0)*(IF(ISNUMBER(01_INPUTS!S27),01_INPUTS!S27,1))))+(_ENGINE_MERCADO!S235*(IF(ISNUMBER(01_INPUTS!S221),01_INPUTS!S221,0)*(IF(ISNUMBER(01_INPUTS!S27),01_INPUTS!S27,1))))+(_ENGINE_MERCADO!S240*(IF(ISNUMBER(01_INPUTS!S225),01_INPUTS!S225,0)*(IF(ISNUMBER(01_INPUTS!S27),01_INPUTS!S27,1))))+(_ENGINE_MERCADO!S245*(IF(ISNUMBER(01_INPUTS!S229),01_INPUTS!S229,0)*(IF(ISNUMBER(01_INPUTS!S27),01_INPUTS!S27,1))))</f>
        <v>0</v>
      </c>
    </row>
    <row r="100" customFormat="false" ht="15" hidden="false" customHeight="false" outlineLevel="0" collapsed="false">
      <c r="A100" s="73" t="s">
        <v>1022</v>
      </c>
      <c r="B100" s="74" t="s">
        <v>1024</v>
      </c>
      <c r="C100" s="66" t="s">
        <v>72</v>
      </c>
      <c r="D100" s="43" t="s">
        <v>81</v>
      </c>
      <c r="E100" s="75" t="s">
        <v>43</v>
      </c>
      <c r="F100" s="76"/>
      <c r="G100" s="36" t="s">
        <v>1025</v>
      </c>
      <c r="H100" s="36" t="s">
        <v>1025</v>
      </c>
      <c r="I100" s="36" t="s">
        <v>1025</v>
      </c>
      <c r="J100" s="36" t="s">
        <v>1025</v>
      </c>
      <c r="K100" s="36" t="s">
        <v>1025</v>
      </c>
      <c r="L100" s="36" t="s">
        <v>1025</v>
      </c>
      <c r="M100" s="36" t="s">
        <v>1025</v>
      </c>
      <c r="N100" s="36" t="s">
        <v>1025</v>
      </c>
      <c r="O100" s="36" t="s">
        <v>1025</v>
      </c>
      <c r="P100" s="36" t="s">
        <v>1025</v>
      </c>
      <c r="Q100" s="36" t="s">
        <v>1025</v>
      </c>
      <c r="R100" s="36" t="s">
        <v>1025</v>
      </c>
      <c r="S100" s="36" t="s">
        <v>1025</v>
      </c>
    </row>
    <row r="101" customFormat="false" ht="15" hidden="false" customHeight="false" outlineLevel="0" collapsed="false">
      <c r="A101" s="73" t="s">
        <v>1022</v>
      </c>
      <c r="B101" s="74" t="s">
        <v>1026</v>
      </c>
      <c r="C101" s="66" t="s">
        <v>72</v>
      </c>
      <c r="D101" s="43" t="s">
        <v>81</v>
      </c>
      <c r="E101" s="75" t="s">
        <v>917</v>
      </c>
      <c r="F101" s="76"/>
      <c r="G101" s="78" t="n">
        <f aca="false">G99+G100</f>
        <v>0</v>
      </c>
      <c r="H101" s="78" t="n">
        <f aca="false">H99+H100</f>
        <v>0</v>
      </c>
      <c r="I101" s="78" t="n">
        <f aca="false">I99+I100</f>
        <v>31665250020.8197</v>
      </c>
      <c r="J101" s="78" t="n">
        <f aca="false">J99+J100</f>
        <v>0</v>
      </c>
      <c r="K101" s="78" t="n">
        <f aca="false">K99+K100</f>
        <v>0</v>
      </c>
      <c r="L101" s="78" t="n">
        <f aca="false">L99+L100</f>
        <v>0</v>
      </c>
      <c r="M101" s="78" t="n">
        <f aca="false">M99+M100</f>
        <v>0</v>
      </c>
      <c r="N101" s="78" t="n">
        <f aca="false">N99+N100</f>
        <v>0</v>
      </c>
      <c r="O101" s="78" t="n">
        <f aca="false">O99+O100</f>
        <v>0</v>
      </c>
      <c r="P101" s="78" t="n">
        <f aca="false">P99+P100</f>
        <v>0</v>
      </c>
      <c r="Q101" s="78" t="n">
        <f aca="false">Q99+Q100</f>
        <v>0</v>
      </c>
      <c r="R101" s="78" t="n">
        <f aca="false">R99+R100</f>
        <v>0</v>
      </c>
      <c r="S101" s="78" t="n">
        <f aca="false">S99+S100</f>
        <v>0</v>
      </c>
    </row>
    <row r="102" customFormat="false" ht="15" hidden="false" customHeight="false" outlineLevel="0" collapsed="false">
      <c r="A102" s="73" t="s">
        <v>1022</v>
      </c>
      <c r="B102" s="74" t="s">
        <v>1027</v>
      </c>
      <c r="C102" s="66" t="s">
        <v>72</v>
      </c>
      <c r="D102" s="43" t="s">
        <v>81</v>
      </c>
      <c r="E102" s="75" t="s">
        <v>43</v>
      </c>
      <c r="F102" s="76"/>
      <c r="G102" s="36" t="s">
        <v>1025</v>
      </c>
      <c r="H102" s="36" t="s">
        <v>1025</v>
      </c>
      <c r="I102" s="36" t="s">
        <v>1025</v>
      </c>
      <c r="J102" s="36" t="s">
        <v>1025</v>
      </c>
      <c r="K102" s="36" t="s">
        <v>1025</v>
      </c>
      <c r="L102" s="36" t="s">
        <v>1025</v>
      </c>
      <c r="M102" s="36" t="s">
        <v>1025</v>
      </c>
      <c r="N102" s="36" t="s">
        <v>1025</v>
      </c>
      <c r="O102" s="36" t="s">
        <v>1025</v>
      </c>
      <c r="P102" s="36" t="s">
        <v>1025</v>
      </c>
      <c r="Q102" s="36" t="s">
        <v>1025</v>
      </c>
      <c r="R102" s="36" t="s">
        <v>1025</v>
      </c>
      <c r="S102" s="36" t="s">
        <v>1025</v>
      </c>
    </row>
    <row r="103" customFormat="false" ht="15" hidden="false" customHeight="false" outlineLevel="0" collapsed="false">
      <c r="A103" s="73" t="s">
        <v>1022</v>
      </c>
      <c r="B103" s="74" t="s">
        <v>1028</v>
      </c>
      <c r="C103" s="66" t="s">
        <v>72</v>
      </c>
      <c r="D103" s="43" t="s">
        <v>81</v>
      </c>
      <c r="E103" s="75" t="s">
        <v>43</v>
      </c>
      <c r="F103" s="76"/>
      <c r="G103" s="36" t="s">
        <v>1025</v>
      </c>
      <c r="H103" s="36" t="s">
        <v>1025</v>
      </c>
      <c r="I103" s="36" t="n">
        <f aca="false">(_ENGINE_MERCADO!I258*_ENGINE_MERCADO!I261)+(_ENGINE_MERCADO!I276*_ENGINE_MERCADO!I279)</f>
        <v>13170720804.9888</v>
      </c>
      <c r="J103" s="36" t="n">
        <f aca="false">(_ENGINE_MERCADO!J258*_ENGINE_MERCADO!J261)+(_ENGINE_MERCADO!J276*_ENGINE_MERCADO!J279)</f>
        <v>0</v>
      </c>
      <c r="K103" s="36" t="n">
        <f aca="false">(_ENGINE_MERCADO!K258*_ENGINE_MERCADO!K261)+(_ENGINE_MERCADO!K276*_ENGINE_MERCADO!K279)</f>
        <v>0</v>
      </c>
      <c r="L103" s="36" t="n">
        <f aca="false">(_ENGINE_MERCADO!L258*_ENGINE_MERCADO!L261)+(_ENGINE_MERCADO!L276*_ENGINE_MERCADO!L279)</f>
        <v>0</v>
      </c>
      <c r="M103" s="36" t="n">
        <f aca="false">(_ENGINE_MERCADO!M258*_ENGINE_MERCADO!M261)+(_ENGINE_MERCADO!M276*_ENGINE_MERCADO!M279)</f>
        <v>0</v>
      </c>
      <c r="N103" s="36" t="n">
        <f aca="false">(_ENGINE_MERCADO!N258*_ENGINE_MERCADO!N261)+(_ENGINE_MERCADO!N276*_ENGINE_MERCADO!N279)</f>
        <v>0</v>
      </c>
      <c r="O103" s="36" t="n">
        <f aca="false">(_ENGINE_MERCADO!O258*_ENGINE_MERCADO!O261)+(_ENGINE_MERCADO!O276*_ENGINE_MERCADO!O279)</f>
        <v>0</v>
      </c>
      <c r="P103" s="36" t="n">
        <f aca="false">(_ENGINE_MERCADO!P258*_ENGINE_MERCADO!P261)+(_ENGINE_MERCADO!P276*_ENGINE_MERCADO!P279)</f>
        <v>0</v>
      </c>
      <c r="Q103" s="36" t="n">
        <f aca="false">(_ENGINE_MERCADO!Q258*_ENGINE_MERCADO!Q261)+(_ENGINE_MERCADO!Q276*_ENGINE_MERCADO!Q279)</f>
        <v>0</v>
      </c>
      <c r="R103" s="36" t="n">
        <f aca="false">(_ENGINE_MERCADO!R258*_ENGINE_MERCADO!R261)+(_ENGINE_MERCADO!R276*_ENGINE_MERCADO!R279)</f>
        <v>0</v>
      </c>
      <c r="S103" s="36" t="n">
        <f aca="false">(_ENGINE_MERCADO!S258*_ENGINE_MERCADO!S261)+(_ENGINE_MERCADO!S276*_ENGINE_MERCADO!S279)</f>
        <v>0</v>
      </c>
    </row>
    <row r="104" customFormat="false" ht="15" hidden="false" customHeight="false" outlineLevel="0" collapsed="false">
      <c r="A104" s="73" t="s">
        <v>1022</v>
      </c>
      <c r="B104" s="74" t="s">
        <v>1029</v>
      </c>
      <c r="C104" s="66" t="s">
        <v>72</v>
      </c>
      <c r="D104" s="43" t="s">
        <v>81</v>
      </c>
      <c r="E104" s="75" t="s">
        <v>43</v>
      </c>
      <c r="F104" s="76"/>
      <c r="G104" s="36" t="s">
        <v>1025</v>
      </c>
      <c r="H104" s="36" t="s">
        <v>1025</v>
      </c>
      <c r="I104" s="36" t="n">
        <f aca="false">_ENGINE_MERCADO!I266+_ENGINE_MERCADO!I284</f>
        <v>1542818266.72901</v>
      </c>
      <c r="J104" s="36" t="n">
        <f aca="false">_ENGINE_MERCADO!J266+_ENGINE_MERCADO!J284</f>
        <v>0</v>
      </c>
      <c r="K104" s="36" t="n">
        <f aca="false">_ENGINE_MERCADO!K266+_ENGINE_MERCADO!K284</f>
        <v>0</v>
      </c>
      <c r="L104" s="36" t="n">
        <f aca="false">_ENGINE_MERCADO!L266+_ENGINE_MERCADO!L284</f>
        <v>0</v>
      </c>
      <c r="M104" s="36" t="n">
        <f aca="false">_ENGINE_MERCADO!M266+_ENGINE_MERCADO!M284</f>
        <v>0</v>
      </c>
      <c r="N104" s="36" t="n">
        <f aca="false">_ENGINE_MERCADO!N266+_ENGINE_MERCADO!N284</f>
        <v>0</v>
      </c>
      <c r="O104" s="36" t="n">
        <f aca="false">_ENGINE_MERCADO!O266+_ENGINE_MERCADO!O284</f>
        <v>0</v>
      </c>
      <c r="P104" s="36" t="n">
        <f aca="false">_ENGINE_MERCADO!P266+_ENGINE_MERCADO!P284</f>
        <v>0</v>
      </c>
      <c r="Q104" s="36" t="n">
        <f aca="false">_ENGINE_MERCADO!Q266+_ENGINE_MERCADO!Q284</f>
        <v>0</v>
      </c>
      <c r="R104" s="36" t="n">
        <f aca="false">_ENGINE_MERCADO!R266+_ENGINE_MERCADO!R284</f>
        <v>0</v>
      </c>
      <c r="S104" s="36" t="n">
        <f aca="false">_ENGINE_MERCADO!S266+_ENGINE_MERCADO!S284</f>
        <v>0</v>
      </c>
    </row>
    <row r="105" customFormat="false" ht="15" hidden="false" customHeight="false" outlineLevel="0" collapsed="false">
      <c r="A105" s="73" t="s">
        <v>1022</v>
      </c>
      <c r="B105" s="74" t="s">
        <v>1030</v>
      </c>
      <c r="C105" s="66" t="s">
        <v>72</v>
      </c>
      <c r="D105" s="43" t="s">
        <v>949</v>
      </c>
      <c r="E105" s="75" t="s">
        <v>43</v>
      </c>
      <c r="F105" s="76"/>
      <c r="G105" s="87" t="s">
        <v>1025</v>
      </c>
      <c r="H105" s="87" t="s">
        <v>1025</v>
      </c>
      <c r="I105" s="87" t="s">
        <v>1025</v>
      </c>
      <c r="J105" s="87" t="s">
        <v>1025</v>
      </c>
      <c r="K105" s="87" t="s">
        <v>1025</v>
      </c>
      <c r="L105" s="87" t="s">
        <v>1025</v>
      </c>
      <c r="M105" s="87" t="s">
        <v>1025</v>
      </c>
      <c r="N105" s="87" t="s">
        <v>1025</v>
      </c>
      <c r="O105" s="87" t="s">
        <v>1025</v>
      </c>
      <c r="P105" s="87" t="s">
        <v>1025</v>
      </c>
      <c r="Q105" s="87" t="s">
        <v>1025</v>
      </c>
      <c r="R105" s="87" t="s">
        <v>1025</v>
      </c>
      <c r="S105" s="87" t="s">
        <v>1025</v>
      </c>
    </row>
    <row r="106" customFormat="false" ht="15" hidden="false" customHeight="false" outlineLevel="0" collapsed="false">
      <c r="A106" s="73" t="s">
        <v>1022</v>
      </c>
      <c r="B106" s="74" t="s">
        <v>1031</v>
      </c>
      <c r="C106" s="66" t="s">
        <v>72</v>
      </c>
      <c r="D106" s="43" t="s">
        <v>81</v>
      </c>
      <c r="E106" s="75" t="s">
        <v>43</v>
      </c>
      <c r="F106" s="76"/>
      <c r="G106" s="36" t="n">
        <f aca="false">(_ENGINE_MERCADO!G230*IF(ISNUMBER(01_INPUTS!G220),01_INPUTS!G220,0)*IF(ISNUMBER(01_INPUTS!G38),01_INPUTS!G38,0))+(_ENGINE_MERCADO!G235*IF(ISNUMBER(01_INPUTS!G224),01_INPUTS!G224,0)*IF(ISNUMBER(01_INPUTS!G38),01_INPUTS!G38,0))+(_ENGINE_MERCADO!G240*IF(ISNUMBER(01_INPUTS!G228),01_INPUTS!G228,0)*IF(ISNUMBER(01_INPUTS!G38),01_INPUTS!G38,0))+(_ENGINE_MERCADO!G245*IF(ISNUMBER(01_INPUTS!G232),01_INPUTS!G232,0)*IF(ISNUMBER(01_INPUTS!G38),01_INPUTS!G38,0))</f>
        <v>0</v>
      </c>
      <c r="H106" s="36" t="n">
        <f aca="false">(_ENGINE_MERCADO!H230*IF(ISNUMBER(01_INPUTS!H220),01_INPUTS!H220,0)*IF(ISNUMBER(01_INPUTS!H38),01_INPUTS!H38,0))+(_ENGINE_MERCADO!H235*IF(ISNUMBER(01_INPUTS!H224),01_INPUTS!H224,0)*IF(ISNUMBER(01_INPUTS!H38),01_INPUTS!H38,0))+(_ENGINE_MERCADO!H240*IF(ISNUMBER(01_INPUTS!H228),01_INPUTS!H228,0)*IF(ISNUMBER(01_INPUTS!H38),01_INPUTS!H38,0))+(_ENGINE_MERCADO!H245*IF(ISNUMBER(01_INPUTS!H232),01_INPUTS!H232,0)*IF(ISNUMBER(01_INPUTS!H38),01_INPUTS!H38,0))</f>
        <v>0</v>
      </c>
      <c r="I106" s="36" t="n">
        <f aca="false">(_ENGINE_MERCADO!I230*IF(ISNUMBER(01_INPUTS!I220),01_INPUTS!I220,0)*IF(ISNUMBER(01_INPUTS!I38),01_INPUTS!I38,0))+(_ENGINE_MERCADO!I235*IF(ISNUMBER(01_INPUTS!I224),01_INPUTS!I224,0)*IF(ISNUMBER(01_INPUTS!I38),01_INPUTS!I38,0))+(_ENGINE_MERCADO!I240*IF(ISNUMBER(01_INPUTS!I228),01_INPUTS!I228,0)*IF(ISNUMBER(01_INPUTS!I38),01_INPUTS!I38,0))+(_ENGINE_MERCADO!I245*IF(ISNUMBER(01_INPUTS!I232),01_INPUTS!I232,0)*IF(ISNUMBER(01_INPUTS!I38),01_INPUTS!I38,0))</f>
        <v>4831860757.03814</v>
      </c>
      <c r="J106" s="36" t="n">
        <f aca="false">(_ENGINE_MERCADO!J230*IF(ISNUMBER(01_INPUTS!J220),01_INPUTS!J220,0)*IF(ISNUMBER(01_INPUTS!J38),01_INPUTS!J38,0))+(_ENGINE_MERCADO!J235*IF(ISNUMBER(01_INPUTS!J224),01_INPUTS!J224,0)*IF(ISNUMBER(01_INPUTS!J38),01_INPUTS!J38,0))+(_ENGINE_MERCADO!J240*IF(ISNUMBER(01_INPUTS!J228),01_INPUTS!J228,0)*IF(ISNUMBER(01_INPUTS!J38),01_INPUTS!J38,0))+(_ENGINE_MERCADO!J245*IF(ISNUMBER(01_INPUTS!J232),01_INPUTS!J232,0)*IF(ISNUMBER(01_INPUTS!J38),01_INPUTS!J38,0))</f>
        <v>0</v>
      </c>
      <c r="K106" s="36" t="n">
        <f aca="false">(_ENGINE_MERCADO!K230*IF(ISNUMBER(01_INPUTS!K220),01_INPUTS!K220,0)*IF(ISNUMBER(01_INPUTS!K38),01_INPUTS!K38,0))+(_ENGINE_MERCADO!K235*IF(ISNUMBER(01_INPUTS!K224),01_INPUTS!K224,0)*IF(ISNUMBER(01_INPUTS!K38),01_INPUTS!K38,0))+(_ENGINE_MERCADO!K240*IF(ISNUMBER(01_INPUTS!K228),01_INPUTS!K228,0)*IF(ISNUMBER(01_INPUTS!K38),01_INPUTS!K38,0))+(_ENGINE_MERCADO!K245*IF(ISNUMBER(01_INPUTS!K232),01_INPUTS!K232,0)*IF(ISNUMBER(01_INPUTS!K38),01_INPUTS!K38,0))</f>
        <v>0</v>
      </c>
      <c r="L106" s="36" t="n">
        <f aca="false">(_ENGINE_MERCADO!L230*IF(ISNUMBER(01_INPUTS!L220),01_INPUTS!L220,0)*IF(ISNUMBER(01_INPUTS!L38),01_INPUTS!L38,0))+(_ENGINE_MERCADO!L235*IF(ISNUMBER(01_INPUTS!L224),01_INPUTS!L224,0)*IF(ISNUMBER(01_INPUTS!L38),01_INPUTS!L38,0))+(_ENGINE_MERCADO!L240*IF(ISNUMBER(01_INPUTS!L228),01_INPUTS!L228,0)*IF(ISNUMBER(01_INPUTS!L38),01_INPUTS!L38,0))+(_ENGINE_MERCADO!L245*IF(ISNUMBER(01_INPUTS!L232),01_INPUTS!L232,0)*IF(ISNUMBER(01_INPUTS!L38),01_INPUTS!L38,0))</f>
        <v>0</v>
      </c>
      <c r="M106" s="36" t="n">
        <f aca="false">(_ENGINE_MERCADO!M230*IF(ISNUMBER(01_INPUTS!M220),01_INPUTS!M220,0)*IF(ISNUMBER(01_INPUTS!M38),01_INPUTS!M38,0))+(_ENGINE_MERCADO!M235*IF(ISNUMBER(01_INPUTS!M224),01_INPUTS!M224,0)*IF(ISNUMBER(01_INPUTS!M38),01_INPUTS!M38,0))+(_ENGINE_MERCADO!M240*IF(ISNUMBER(01_INPUTS!M228),01_INPUTS!M228,0)*IF(ISNUMBER(01_INPUTS!M38),01_INPUTS!M38,0))+(_ENGINE_MERCADO!M245*IF(ISNUMBER(01_INPUTS!M232),01_INPUTS!M232,0)*IF(ISNUMBER(01_INPUTS!M38),01_INPUTS!M38,0))</f>
        <v>0</v>
      </c>
      <c r="N106" s="36" t="n">
        <f aca="false">(_ENGINE_MERCADO!N230*IF(ISNUMBER(01_INPUTS!N220),01_INPUTS!N220,0)*IF(ISNUMBER(01_INPUTS!N38),01_INPUTS!N38,0))+(_ENGINE_MERCADO!N235*IF(ISNUMBER(01_INPUTS!N224),01_INPUTS!N224,0)*IF(ISNUMBER(01_INPUTS!N38),01_INPUTS!N38,0))+(_ENGINE_MERCADO!N240*IF(ISNUMBER(01_INPUTS!N228),01_INPUTS!N228,0)*IF(ISNUMBER(01_INPUTS!N38),01_INPUTS!N38,0))+(_ENGINE_MERCADO!N245*IF(ISNUMBER(01_INPUTS!N232),01_INPUTS!N232,0)*IF(ISNUMBER(01_INPUTS!N38),01_INPUTS!N38,0))</f>
        <v>0</v>
      </c>
      <c r="O106" s="36" t="n">
        <f aca="false">(_ENGINE_MERCADO!O230*IF(ISNUMBER(01_INPUTS!O220),01_INPUTS!O220,0)*IF(ISNUMBER(01_INPUTS!O38),01_INPUTS!O38,0))+(_ENGINE_MERCADO!O235*IF(ISNUMBER(01_INPUTS!O224),01_INPUTS!O224,0)*IF(ISNUMBER(01_INPUTS!O38),01_INPUTS!O38,0))+(_ENGINE_MERCADO!O240*IF(ISNUMBER(01_INPUTS!O228),01_INPUTS!O228,0)*IF(ISNUMBER(01_INPUTS!O38),01_INPUTS!O38,0))+(_ENGINE_MERCADO!O245*IF(ISNUMBER(01_INPUTS!O232),01_INPUTS!O232,0)*IF(ISNUMBER(01_INPUTS!O38),01_INPUTS!O38,0))</f>
        <v>0</v>
      </c>
      <c r="P106" s="36" t="n">
        <f aca="false">(_ENGINE_MERCADO!P230*IF(ISNUMBER(01_INPUTS!P220),01_INPUTS!P220,0)*IF(ISNUMBER(01_INPUTS!P38),01_INPUTS!P38,0))+(_ENGINE_MERCADO!P235*IF(ISNUMBER(01_INPUTS!P224),01_INPUTS!P224,0)*IF(ISNUMBER(01_INPUTS!P38),01_INPUTS!P38,0))+(_ENGINE_MERCADO!P240*IF(ISNUMBER(01_INPUTS!P228),01_INPUTS!P228,0)*IF(ISNUMBER(01_INPUTS!P38),01_INPUTS!P38,0))+(_ENGINE_MERCADO!P245*IF(ISNUMBER(01_INPUTS!P232),01_INPUTS!P232,0)*IF(ISNUMBER(01_INPUTS!P38),01_INPUTS!P38,0))</f>
        <v>0</v>
      </c>
      <c r="Q106" s="36" t="n">
        <f aca="false">(_ENGINE_MERCADO!Q230*IF(ISNUMBER(01_INPUTS!Q220),01_INPUTS!Q220,0)*IF(ISNUMBER(01_INPUTS!Q38),01_INPUTS!Q38,0))+(_ENGINE_MERCADO!Q235*IF(ISNUMBER(01_INPUTS!Q224),01_INPUTS!Q224,0)*IF(ISNUMBER(01_INPUTS!Q38),01_INPUTS!Q38,0))+(_ENGINE_MERCADO!Q240*IF(ISNUMBER(01_INPUTS!Q228),01_INPUTS!Q228,0)*IF(ISNUMBER(01_INPUTS!Q38),01_INPUTS!Q38,0))+(_ENGINE_MERCADO!Q245*IF(ISNUMBER(01_INPUTS!Q232),01_INPUTS!Q232,0)*IF(ISNUMBER(01_INPUTS!Q38),01_INPUTS!Q38,0))</f>
        <v>0</v>
      </c>
      <c r="R106" s="36" t="n">
        <f aca="false">(_ENGINE_MERCADO!R230*IF(ISNUMBER(01_INPUTS!R220),01_INPUTS!R220,0)*IF(ISNUMBER(01_INPUTS!R38),01_INPUTS!R38,0))+(_ENGINE_MERCADO!R235*IF(ISNUMBER(01_INPUTS!R224),01_INPUTS!R224,0)*IF(ISNUMBER(01_INPUTS!R38),01_INPUTS!R38,0))+(_ENGINE_MERCADO!R240*IF(ISNUMBER(01_INPUTS!R228),01_INPUTS!R228,0)*IF(ISNUMBER(01_INPUTS!R38),01_INPUTS!R38,0))+(_ENGINE_MERCADO!R245*IF(ISNUMBER(01_INPUTS!R232),01_INPUTS!R232,0)*IF(ISNUMBER(01_INPUTS!R38),01_INPUTS!R38,0))</f>
        <v>0</v>
      </c>
      <c r="S106" s="36" t="n">
        <f aca="false">(_ENGINE_MERCADO!S230*IF(ISNUMBER(01_INPUTS!S220),01_INPUTS!S220,0)*IF(ISNUMBER(01_INPUTS!S38),01_INPUTS!S38,0))+(_ENGINE_MERCADO!S235*IF(ISNUMBER(01_INPUTS!S224),01_INPUTS!S224,0)*IF(ISNUMBER(01_INPUTS!S38),01_INPUTS!S38,0))+(_ENGINE_MERCADO!S240*IF(ISNUMBER(01_INPUTS!S228),01_INPUTS!S228,0)*IF(ISNUMBER(01_INPUTS!S38),01_INPUTS!S38,0))+(_ENGINE_MERCADO!S245*IF(ISNUMBER(01_INPUTS!S232),01_INPUTS!S232,0)*IF(ISNUMBER(01_INPUTS!S38),01_INPUTS!S38,0))</f>
        <v>0</v>
      </c>
    </row>
    <row r="107" customFormat="false" ht="15" hidden="false" customHeight="false" outlineLevel="0" collapsed="false">
      <c r="A107" s="73" t="s">
        <v>1022</v>
      </c>
      <c r="B107" s="74" t="s">
        <v>1032</v>
      </c>
      <c r="C107" s="66" t="s">
        <v>72</v>
      </c>
      <c r="D107" s="43" t="s">
        <v>81</v>
      </c>
      <c r="E107" s="75" t="s">
        <v>43</v>
      </c>
      <c r="F107" s="76"/>
      <c r="G107" s="36" t="n">
        <v>0</v>
      </c>
      <c r="H107" s="36" t="n">
        <v>0</v>
      </c>
      <c r="I107" s="36" t="n">
        <v>0</v>
      </c>
      <c r="J107" s="36" t="n">
        <v>0</v>
      </c>
      <c r="K107" s="36" t="n">
        <v>0</v>
      </c>
      <c r="L107" s="36" t="n">
        <v>0</v>
      </c>
      <c r="M107" s="36" t="n">
        <v>0</v>
      </c>
      <c r="N107" s="36" t="n">
        <v>0</v>
      </c>
      <c r="O107" s="36" t="n">
        <v>0</v>
      </c>
      <c r="P107" s="36" t="n">
        <v>0</v>
      </c>
      <c r="Q107" s="36" t="n">
        <v>0</v>
      </c>
      <c r="R107" s="36" t="n">
        <v>0</v>
      </c>
      <c r="S107" s="36" t="n">
        <v>0</v>
      </c>
    </row>
    <row r="108" customFormat="false" ht="15" hidden="false" customHeight="false" outlineLevel="0" collapsed="false">
      <c r="A108" s="73" t="s">
        <v>1022</v>
      </c>
      <c r="B108" s="74" t="s">
        <v>1033</v>
      </c>
      <c r="C108" s="66" t="s">
        <v>72</v>
      </c>
      <c r="D108" s="43" t="s">
        <v>81</v>
      </c>
      <c r="E108" s="75" t="s">
        <v>43</v>
      </c>
      <c r="F108" s="76"/>
      <c r="G108" s="36" t="n">
        <v>0</v>
      </c>
      <c r="H108" s="36" t="n">
        <v>0</v>
      </c>
      <c r="I108" s="36" t="n">
        <v>0</v>
      </c>
      <c r="J108" s="36" t="n">
        <v>0</v>
      </c>
      <c r="K108" s="36" t="n">
        <v>0</v>
      </c>
      <c r="L108" s="36" t="n">
        <v>0</v>
      </c>
      <c r="M108" s="36" t="n">
        <v>0</v>
      </c>
      <c r="N108" s="36" t="n">
        <v>0</v>
      </c>
      <c r="O108" s="36" t="n">
        <v>0</v>
      </c>
      <c r="P108" s="36" t="n">
        <v>0</v>
      </c>
      <c r="Q108" s="36" t="n">
        <v>0</v>
      </c>
      <c r="R108" s="36" t="n">
        <v>0</v>
      </c>
      <c r="S108" s="36" t="n">
        <v>0</v>
      </c>
    </row>
    <row r="109" customFormat="false" ht="15" hidden="false" customHeight="false" outlineLevel="0" collapsed="false">
      <c r="A109" s="73" t="s">
        <v>1022</v>
      </c>
      <c r="B109" s="74" t="s">
        <v>1034</v>
      </c>
      <c r="C109" s="66" t="s">
        <v>72</v>
      </c>
      <c r="D109" s="43" t="s">
        <v>81</v>
      </c>
      <c r="E109" s="75" t="s">
        <v>43</v>
      </c>
      <c r="F109" s="76"/>
      <c r="G109" s="36" t="n">
        <f aca="false">G107+G108</f>
        <v>0</v>
      </c>
      <c r="H109" s="36" t="n">
        <f aca="false">H107+H108</f>
        <v>0</v>
      </c>
      <c r="I109" s="36" t="n">
        <f aca="false">I107+I108</f>
        <v>0</v>
      </c>
      <c r="J109" s="36" t="n">
        <f aca="false">J107+J108</f>
        <v>0</v>
      </c>
      <c r="K109" s="36" t="n">
        <f aca="false">K107+K108</f>
        <v>0</v>
      </c>
      <c r="L109" s="36" t="n">
        <f aca="false">L107+L108</f>
        <v>0</v>
      </c>
      <c r="M109" s="36" t="n">
        <f aca="false">M107+M108</f>
        <v>0</v>
      </c>
      <c r="N109" s="36" t="n">
        <f aca="false">N107+N108</f>
        <v>0</v>
      </c>
      <c r="O109" s="36" t="n">
        <f aca="false">O107+O108</f>
        <v>0</v>
      </c>
      <c r="P109" s="36" t="n">
        <f aca="false">P107+P108</f>
        <v>0</v>
      </c>
      <c r="Q109" s="36" t="n">
        <f aca="false">Q107+Q108</f>
        <v>0</v>
      </c>
      <c r="R109" s="36" t="n">
        <f aca="false">R107+R108</f>
        <v>0</v>
      </c>
      <c r="S109" s="36" t="n">
        <f aca="false">S107+S108</f>
        <v>0</v>
      </c>
    </row>
    <row r="110" customFormat="false" ht="15" hidden="false" customHeight="false" outlineLevel="0" collapsed="false">
      <c r="A110" s="73" t="s">
        <v>1022</v>
      </c>
      <c r="B110" s="74" t="s">
        <v>1035</v>
      </c>
      <c r="C110" s="66" t="s">
        <v>72</v>
      </c>
      <c r="D110" s="43" t="s">
        <v>81</v>
      </c>
      <c r="E110" s="75" t="s">
        <v>43</v>
      </c>
      <c r="F110" s="76"/>
      <c r="G110" s="36" t="n">
        <f aca="false">IF(ISNUMBER(01_INPUTS!G218),01_INPUTS!G218,0)+IF(ISNUMBER(01_INPUTS!G222),01_INPUTS!G222,0)+IF(ISNUMBER(01_INPUTS!G226),01_INPUTS!G226,0)+IF(ISNUMBER(01_INPUTS!G230),01_INPUTS!G230,0)</f>
        <v>0</v>
      </c>
      <c r="H110" s="36" t="n">
        <f aca="false">IF(ISNUMBER(01_INPUTS!H218),01_INPUTS!H218,0)+IF(ISNUMBER(01_INPUTS!H222),01_INPUTS!H222,0)+IF(ISNUMBER(01_INPUTS!H226),01_INPUTS!H226,0)+IF(ISNUMBER(01_INPUTS!H230),01_INPUTS!H230,0)</f>
        <v>0</v>
      </c>
      <c r="I110" s="36" t="n">
        <f aca="false">IF(ISNUMBER(01_INPUTS!I218),01_INPUTS!I218,0)+IF(ISNUMBER(01_INPUTS!I222),01_INPUTS!I222,0)+IF(ISNUMBER(01_INPUTS!I226),01_INPUTS!I226,0)+IF(ISNUMBER(01_INPUTS!I230),01_INPUTS!I230,0)</f>
        <v>950000000</v>
      </c>
      <c r="J110" s="36" t="n">
        <f aca="false">IF(ISNUMBER(01_INPUTS!J218),01_INPUTS!J218,0)+IF(ISNUMBER(01_INPUTS!J222),01_INPUTS!J222,0)+IF(ISNUMBER(01_INPUTS!J226),01_INPUTS!J226,0)+IF(ISNUMBER(01_INPUTS!J230),01_INPUTS!J230,0)</f>
        <v>0</v>
      </c>
      <c r="K110" s="36" t="n">
        <f aca="false">IF(ISNUMBER(01_INPUTS!K218),01_INPUTS!K218,0)+IF(ISNUMBER(01_INPUTS!K222),01_INPUTS!K222,0)+IF(ISNUMBER(01_INPUTS!K226),01_INPUTS!K226,0)+IF(ISNUMBER(01_INPUTS!K230),01_INPUTS!K230,0)</f>
        <v>0</v>
      </c>
      <c r="L110" s="36" t="n">
        <f aca="false">IF(ISNUMBER(01_INPUTS!L218),01_INPUTS!L218,0)+IF(ISNUMBER(01_INPUTS!L222),01_INPUTS!L222,0)+IF(ISNUMBER(01_INPUTS!L226),01_INPUTS!L226,0)+IF(ISNUMBER(01_INPUTS!L230),01_INPUTS!L230,0)</f>
        <v>0</v>
      </c>
      <c r="M110" s="36" t="n">
        <f aca="false">IF(ISNUMBER(01_INPUTS!M218),01_INPUTS!M218,0)+IF(ISNUMBER(01_INPUTS!M222),01_INPUTS!M222,0)+IF(ISNUMBER(01_INPUTS!M226),01_INPUTS!M226,0)+IF(ISNUMBER(01_INPUTS!M230),01_INPUTS!M230,0)</f>
        <v>0</v>
      </c>
      <c r="N110" s="36" t="n">
        <f aca="false">IF(ISNUMBER(01_INPUTS!N218),01_INPUTS!N218,0)+IF(ISNUMBER(01_INPUTS!N222),01_INPUTS!N222,0)+IF(ISNUMBER(01_INPUTS!N226),01_INPUTS!N226,0)+IF(ISNUMBER(01_INPUTS!N230),01_INPUTS!N230,0)</f>
        <v>0</v>
      </c>
      <c r="O110" s="36" t="n">
        <f aca="false">IF(ISNUMBER(01_INPUTS!O218),01_INPUTS!O218,0)+IF(ISNUMBER(01_INPUTS!O222),01_INPUTS!O222,0)+IF(ISNUMBER(01_INPUTS!O226),01_INPUTS!O226,0)+IF(ISNUMBER(01_INPUTS!O230),01_INPUTS!O230,0)</f>
        <v>0</v>
      </c>
      <c r="P110" s="36" t="n">
        <f aca="false">IF(ISNUMBER(01_INPUTS!P218),01_INPUTS!P218,0)+IF(ISNUMBER(01_INPUTS!P222),01_INPUTS!P222,0)+IF(ISNUMBER(01_INPUTS!P226),01_INPUTS!P226,0)+IF(ISNUMBER(01_INPUTS!P230),01_INPUTS!P230,0)</f>
        <v>0</v>
      </c>
      <c r="Q110" s="36" t="n">
        <f aca="false">IF(ISNUMBER(01_INPUTS!Q218),01_INPUTS!Q218,0)+IF(ISNUMBER(01_INPUTS!Q222),01_INPUTS!Q222,0)+IF(ISNUMBER(01_INPUTS!Q226),01_INPUTS!Q226,0)+IF(ISNUMBER(01_INPUTS!Q230),01_INPUTS!Q230,0)</f>
        <v>0</v>
      </c>
      <c r="R110" s="36" t="n">
        <f aca="false">IF(ISNUMBER(01_INPUTS!R218),01_INPUTS!R218,0)+IF(ISNUMBER(01_INPUTS!R222),01_INPUTS!R222,0)+IF(ISNUMBER(01_INPUTS!R226),01_INPUTS!R226,0)+IF(ISNUMBER(01_INPUTS!R230),01_INPUTS!R230,0)</f>
        <v>0</v>
      </c>
      <c r="S110" s="36" t="n">
        <f aca="false">IF(ISNUMBER(01_INPUTS!S218),01_INPUTS!S218,0)+IF(ISNUMBER(01_INPUTS!S222),01_INPUTS!S222,0)+IF(ISNUMBER(01_INPUTS!S226),01_INPUTS!S226,0)+IF(ISNUMBER(01_INPUTS!S230),01_INPUTS!S230,0)</f>
        <v>0</v>
      </c>
    </row>
    <row r="111" customFormat="false" ht="15" hidden="false" customHeight="false" outlineLevel="0" collapsed="false">
      <c r="A111" s="73" t="s">
        <v>1022</v>
      </c>
      <c r="B111" s="74" t="s">
        <v>1036</v>
      </c>
      <c r="C111" s="66" t="s">
        <v>72</v>
      </c>
      <c r="D111" s="43" t="s">
        <v>81</v>
      </c>
      <c r="E111" s="75" t="s">
        <v>43</v>
      </c>
      <c r="F111" s="76"/>
      <c r="G111" s="36" t="n">
        <f aca="false">(IF(ISNUMBER(01_INPUTS!G49),01_INPUTS!G49,0))+(IF(ISNUMBER(01_INPUTS!G54),01_INPUTS!G54,0))*G101</f>
        <v>0</v>
      </c>
      <c r="H111" s="36" t="n">
        <f aca="false">(IF(ISNUMBER(01_INPUTS!H49),01_INPUTS!H49,0))+(IF(ISNUMBER(01_INPUTS!H54),01_INPUTS!H54,0))*H101</f>
        <v>20000000</v>
      </c>
      <c r="I111" s="36" t="n">
        <f aca="false">(IF(ISNUMBER(01_INPUTS!I49),01_INPUTS!I49,0))+(IF(ISNUMBER(01_INPUTS!I54),01_INPUTS!I54,0))*I101</f>
        <v>20000000</v>
      </c>
      <c r="J111" s="36" t="n">
        <f aca="false">(IF(ISNUMBER(01_INPUTS!J49),01_INPUTS!J49,0))+(IF(ISNUMBER(01_INPUTS!J54),01_INPUTS!J54,0))*J101</f>
        <v>20000000</v>
      </c>
      <c r="K111" s="36" t="n">
        <f aca="false">(IF(ISNUMBER(01_INPUTS!K49),01_INPUTS!K49,0))+(IF(ISNUMBER(01_INPUTS!K54),01_INPUTS!K54,0))*K101</f>
        <v>20000000</v>
      </c>
      <c r="L111" s="36" t="n">
        <f aca="false">(IF(ISNUMBER(01_INPUTS!L49),01_INPUTS!L49,0))+(IF(ISNUMBER(01_INPUTS!L54),01_INPUTS!L54,0))*L101</f>
        <v>20000000</v>
      </c>
      <c r="M111" s="36" t="n">
        <f aca="false">(IF(ISNUMBER(01_INPUTS!M49),01_INPUTS!M49,0))+(IF(ISNUMBER(01_INPUTS!M54),01_INPUTS!M54,0))*M101</f>
        <v>20000000</v>
      </c>
      <c r="N111" s="36" t="n">
        <f aca="false">(IF(ISNUMBER(01_INPUTS!N49),01_INPUTS!N49,0))+(IF(ISNUMBER(01_INPUTS!N54),01_INPUTS!N54,0))*N101</f>
        <v>20000000</v>
      </c>
      <c r="O111" s="36" t="n">
        <f aca="false">(IF(ISNUMBER(01_INPUTS!O49),01_INPUTS!O49,0))+(IF(ISNUMBER(01_INPUTS!O54),01_INPUTS!O54,0))*O101</f>
        <v>20000000</v>
      </c>
      <c r="P111" s="36" t="n">
        <f aca="false">(IF(ISNUMBER(01_INPUTS!P49),01_INPUTS!P49,0))+(IF(ISNUMBER(01_INPUTS!P54),01_INPUTS!P54,0))*P101</f>
        <v>20000000</v>
      </c>
      <c r="Q111" s="36" t="n">
        <f aca="false">(IF(ISNUMBER(01_INPUTS!Q49),01_INPUTS!Q49,0))+(IF(ISNUMBER(01_INPUTS!Q54),01_INPUTS!Q54,0))*Q101</f>
        <v>20000000</v>
      </c>
      <c r="R111" s="36" t="n">
        <f aca="false">(IF(ISNUMBER(01_INPUTS!R49),01_INPUTS!R49,0))+(IF(ISNUMBER(01_INPUTS!R54),01_INPUTS!R54,0))*R101</f>
        <v>20000000</v>
      </c>
      <c r="S111" s="36" t="n">
        <f aca="false">(IF(ISNUMBER(01_INPUTS!S49),01_INPUTS!S49,0))+(IF(ISNUMBER(01_INPUTS!S54),01_INPUTS!S54,0))*S101</f>
        <v>20000000</v>
      </c>
    </row>
    <row r="112" customFormat="false" ht="15" hidden="false" customHeight="false" outlineLevel="0" collapsed="false">
      <c r="A112" s="73" t="s">
        <v>1022</v>
      </c>
      <c r="B112" s="74" t="s">
        <v>271</v>
      </c>
      <c r="C112" s="66" t="s">
        <v>72</v>
      </c>
      <c r="D112" s="43" t="s">
        <v>81</v>
      </c>
      <c r="E112" s="75" t="s">
        <v>917</v>
      </c>
      <c r="F112" s="76"/>
      <c r="G112" s="78" t="n">
        <f aca="false">G102+G103+G104+G106+G109+G110+G111</f>
        <v>0</v>
      </c>
      <c r="H112" s="78" t="n">
        <f aca="false">H102+H103+H104+H106+H109+H110+H111</f>
        <v>20000000</v>
      </c>
      <c r="I112" s="78" t="n">
        <f aca="false">I102+I103+I104+I106+I109+I110+I111</f>
        <v>20515399828.7559</v>
      </c>
      <c r="J112" s="78" t="n">
        <f aca="false">J102+J103+J104+J106+J109+J110+J111</f>
        <v>20000000</v>
      </c>
      <c r="K112" s="78" t="n">
        <f aca="false">K102+K103+K104+K106+K109+K110+K111</f>
        <v>20000000</v>
      </c>
      <c r="L112" s="78" t="n">
        <f aca="false">L102+L103+L104+L106+L109+L110+L111</f>
        <v>20000000</v>
      </c>
      <c r="M112" s="78" t="n">
        <f aca="false">M102+M103+M104+M106+M109+M110+M111</f>
        <v>20000000</v>
      </c>
      <c r="N112" s="78" t="n">
        <f aca="false">N102+N103+N104+N106+N109+N110+N111</f>
        <v>20000000</v>
      </c>
      <c r="O112" s="78" t="n">
        <f aca="false">O102+O103+O104+O106+O109+O110+O111</f>
        <v>20000000</v>
      </c>
      <c r="P112" s="78" t="n">
        <f aca="false">P102+P103+P104+P106+P109+P110+P111</f>
        <v>20000000</v>
      </c>
      <c r="Q112" s="78" t="n">
        <f aca="false">Q102+Q103+Q104+Q106+Q109+Q110+Q111</f>
        <v>20000000</v>
      </c>
      <c r="R112" s="78" t="n">
        <f aca="false">R102+R103+R104+R106+R109+R110+R111</f>
        <v>20000000</v>
      </c>
      <c r="S112" s="78" t="n">
        <f aca="false">S102+S103+S104+S106+S109+S110+S111</f>
        <v>20000000</v>
      </c>
    </row>
    <row r="113" customFormat="false" ht="15" hidden="false" customHeight="false" outlineLevel="0" collapsed="false">
      <c r="A113" s="73" t="s">
        <v>1022</v>
      </c>
      <c r="B113" s="74" t="s">
        <v>272</v>
      </c>
      <c r="C113" s="66" t="s">
        <v>72</v>
      </c>
      <c r="D113" s="43" t="s">
        <v>81</v>
      </c>
      <c r="E113" s="75" t="s">
        <v>917</v>
      </c>
      <c r="F113" s="76"/>
      <c r="G113" s="78" t="n">
        <f aca="false">G101-G112</f>
        <v>0</v>
      </c>
      <c r="H113" s="78" t="n">
        <f aca="false">H101-H112</f>
        <v>-20000000</v>
      </c>
      <c r="I113" s="78" t="n">
        <f aca="false">I101-I112</f>
        <v>11149850192.0638</v>
      </c>
      <c r="J113" s="78" t="n">
        <f aca="false">J101-J112</f>
        <v>-20000000</v>
      </c>
      <c r="K113" s="78" t="n">
        <f aca="false">K101-K112</f>
        <v>-20000000</v>
      </c>
      <c r="L113" s="78" t="n">
        <f aca="false">L101-L112</f>
        <v>-20000000</v>
      </c>
      <c r="M113" s="78" t="n">
        <f aca="false">M101-M112</f>
        <v>-20000000</v>
      </c>
      <c r="N113" s="78" t="n">
        <f aca="false">N101-N112</f>
        <v>-20000000</v>
      </c>
      <c r="O113" s="78" t="n">
        <f aca="false">O101-O112</f>
        <v>-20000000</v>
      </c>
      <c r="P113" s="78" t="n">
        <f aca="false">P101-P112</f>
        <v>-20000000</v>
      </c>
      <c r="Q113" s="78" t="n">
        <f aca="false">Q101-Q112</f>
        <v>-20000000</v>
      </c>
      <c r="R113" s="78" t="n">
        <f aca="false">R101-R112</f>
        <v>-20000000</v>
      </c>
      <c r="S113" s="78" t="n">
        <f aca="false">S101-S112</f>
        <v>-20000000</v>
      </c>
    </row>
    <row r="114" customFormat="false" ht="15" hidden="false" customHeight="false" outlineLevel="0" collapsed="false">
      <c r="A114" s="73" t="s">
        <v>1022</v>
      </c>
      <c r="B114" s="74" t="s">
        <v>274</v>
      </c>
      <c r="C114" s="66" t="s">
        <v>72</v>
      </c>
      <c r="D114" s="43" t="s">
        <v>81</v>
      </c>
      <c r="E114" s="75" t="s">
        <v>43</v>
      </c>
      <c r="F114" s="76"/>
      <c r="G114" s="36" t="s">
        <v>1025</v>
      </c>
      <c r="H114" s="36" t="s">
        <v>1025</v>
      </c>
      <c r="I114" s="36" t="s">
        <v>1025</v>
      </c>
      <c r="J114" s="36" t="s">
        <v>1025</v>
      </c>
      <c r="K114" s="36" t="s">
        <v>1025</v>
      </c>
      <c r="L114" s="36" t="s">
        <v>1025</v>
      </c>
      <c r="M114" s="36" t="s">
        <v>1025</v>
      </c>
      <c r="N114" s="36" t="s">
        <v>1025</v>
      </c>
      <c r="O114" s="36" t="s">
        <v>1025</v>
      </c>
      <c r="P114" s="36" t="s">
        <v>1025</v>
      </c>
      <c r="Q114" s="36" t="s">
        <v>1025</v>
      </c>
      <c r="R114" s="36" t="s">
        <v>1025</v>
      </c>
      <c r="S114" s="36" t="s">
        <v>1025</v>
      </c>
    </row>
    <row r="115" customFormat="false" ht="15" hidden="false" customHeight="false" outlineLevel="0" collapsed="false">
      <c r="A115" s="73" t="s">
        <v>1022</v>
      </c>
      <c r="B115" s="74" t="s">
        <v>275</v>
      </c>
      <c r="C115" s="66" t="s">
        <v>72</v>
      </c>
      <c r="D115" s="43" t="s">
        <v>81</v>
      </c>
      <c r="E115" s="75" t="s">
        <v>917</v>
      </c>
      <c r="F115" s="76"/>
      <c r="G115" s="78" t="n">
        <f aca="false">G113-G114</f>
        <v>0</v>
      </c>
      <c r="H115" s="78" t="n">
        <f aca="false">H113-H114</f>
        <v>-20000000</v>
      </c>
      <c r="I115" s="78" t="n">
        <f aca="false">I113-I114</f>
        <v>11149850192.0638</v>
      </c>
      <c r="J115" s="78" t="n">
        <f aca="false">J113-J114</f>
        <v>-20000000</v>
      </c>
      <c r="K115" s="78" t="n">
        <f aca="false">K113-K114</f>
        <v>-20000000</v>
      </c>
      <c r="L115" s="78" t="n">
        <f aca="false">L113-L114</f>
        <v>-20000000</v>
      </c>
      <c r="M115" s="78" t="n">
        <f aca="false">M113-M114</f>
        <v>-20000000</v>
      </c>
      <c r="N115" s="78" t="n">
        <f aca="false">N113-N114</f>
        <v>-20000000</v>
      </c>
      <c r="O115" s="78" t="n">
        <f aca="false">O113-O114</f>
        <v>-20000000</v>
      </c>
      <c r="P115" s="78" t="n">
        <f aca="false">P113-P114</f>
        <v>-20000000</v>
      </c>
      <c r="Q115" s="78" t="n">
        <f aca="false">Q113-Q114</f>
        <v>-20000000</v>
      </c>
      <c r="R115" s="78" t="n">
        <f aca="false">R113-R114</f>
        <v>-20000000</v>
      </c>
      <c r="S115" s="78" t="n">
        <f aca="false">S113-S114</f>
        <v>-20000000</v>
      </c>
    </row>
    <row r="116" customFormat="false" ht="41.75" hidden="false" customHeight="false" outlineLevel="0" collapsed="false">
      <c r="A116" s="73" t="s">
        <v>1022</v>
      </c>
      <c r="B116" s="74" t="s">
        <v>1037</v>
      </c>
      <c r="C116" s="66" t="s">
        <v>72</v>
      </c>
      <c r="D116" s="43" t="s">
        <v>81</v>
      </c>
      <c r="E116" s="75" t="s">
        <v>917</v>
      </c>
      <c r="F116" s="76" t="s">
        <v>1038</v>
      </c>
      <c r="G116" s="85" t="n">
        <v>-5898652.71870569</v>
      </c>
      <c r="H116" s="85" t="n">
        <v>-43304005.8154871</v>
      </c>
      <c r="I116" s="36" t="n">
        <f aca="false">(0*01_INPUTS!I29)+(H134*01_INPUTS!I32)-(H127*01_INPUTS!I35)</f>
        <v>-51261896.5885712</v>
      </c>
      <c r="J116" s="36" t="n">
        <f aca="false">(0*01_INPUTS!J29)+(I134*01_INPUTS!J32)-(I127*01_INPUTS!J35)</f>
        <v>-297677199.897002</v>
      </c>
      <c r="K116" s="36" t="n">
        <f aca="false">(0*01_INPUTS!K29)+(J134*01_INPUTS!K32)-(J127*01_INPUTS!K35)</f>
        <v>-336220048.347138</v>
      </c>
      <c r="L116" s="36" t="n">
        <f aca="false">(0*01_INPUTS!L29)+(K134*01_INPUTS!L32)-(K127*01_INPUTS!L35)</f>
        <v>-343714463.492965</v>
      </c>
      <c r="M116" s="36" t="n">
        <f aca="false">(0*01_INPUTS!M29)+(L134*01_INPUTS!M32)-(L127*01_INPUTS!M35)</f>
        <v>-351386496.277749</v>
      </c>
      <c r="N116" s="36" t="n">
        <f aca="false">(0*01_INPUTS!N29)+(M134*01_INPUTS!N32)-(M127*01_INPUTS!N35)</f>
        <v>-359240356.239531</v>
      </c>
      <c r="O116" s="36" t="n">
        <f aca="false">(0*01_INPUTS!O29)+(N134*01_INPUTS!O32)-(N127*01_INPUTS!O35)</f>
        <v>-367280352.682408</v>
      </c>
      <c r="P116" s="36" t="n">
        <f aca="false">(0*01_INPUTS!P29)+(O134*01_INPUTS!P32)-(O127*01_INPUTS!P35)</f>
        <v>-375510897.040981</v>
      </c>
      <c r="Q116" s="36" t="n">
        <f aca="false">(0*01_INPUTS!Q29)+(P134*01_INPUTS!Q32)-(P127*01_INPUTS!Q35)</f>
        <v>-383936505.300852</v>
      </c>
      <c r="R116" s="36" t="n">
        <f aca="false">(0*01_INPUTS!R29)+(Q134*01_INPUTS!R32)-(Q127*01_INPUTS!R35)</f>
        <v>-392561800.476483</v>
      </c>
      <c r="S116" s="36" t="n">
        <f aca="false">(0*01_INPUTS!S29)+(R134*01_INPUTS!S32)-(R127*01_INPUTS!S35)</f>
        <v>-401391515.147775</v>
      </c>
    </row>
    <row r="117" customFormat="false" ht="15" hidden="false" customHeight="false" outlineLevel="0" collapsed="false">
      <c r="A117" s="73" t="s">
        <v>1022</v>
      </c>
      <c r="B117" s="74" t="s">
        <v>277</v>
      </c>
      <c r="C117" s="66" t="s">
        <v>72</v>
      </c>
      <c r="D117" s="43" t="s">
        <v>81</v>
      </c>
      <c r="E117" s="75" t="s">
        <v>43</v>
      </c>
      <c r="F117" s="76"/>
      <c r="G117" s="77" t="n">
        <v>820162339.246046</v>
      </c>
      <c r="H117" s="77" t="n">
        <v>1217845658.13102</v>
      </c>
      <c r="I117" s="78" t="n">
        <f aca="false">I115-I116</f>
        <v>11201112088.6524</v>
      </c>
      <c r="J117" s="78" t="n">
        <f aca="false">J115-J116</f>
        <v>277677199.897002</v>
      </c>
      <c r="K117" s="78" t="n">
        <f aca="false">K115-K116</f>
        <v>316220048.347138</v>
      </c>
      <c r="L117" s="78" t="n">
        <f aca="false">L115-L116</f>
        <v>323714463.492965</v>
      </c>
      <c r="M117" s="78" t="n">
        <f aca="false">M115-M116</f>
        <v>331386496.277749</v>
      </c>
      <c r="N117" s="78" t="n">
        <f aca="false">N115-N116</f>
        <v>339240356.239531</v>
      </c>
      <c r="O117" s="78" t="n">
        <f aca="false">O115-O116</f>
        <v>347280352.682408</v>
      </c>
      <c r="P117" s="78" t="n">
        <f aca="false">P115-P116</f>
        <v>355510897.040981</v>
      </c>
      <c r="Q117" s="78" t="n">
        <f aca="false">Q115-Q116</f>
        <v>363936505.300852</v>
      </c>
      <c r="R117" s="78" t="n">
        <f aca="false">R115-R116</f>
        <v>372561800.476483</v>
      </c>
      <c r="S117" s="78" t="n">
        <f aca="false">S115-S116</f>
        <v>381391515.147775</v>
      </c>
    </row>
    <row r="118" customFormat="false" ht="15" hidden="false" customHeight="false" outlineLevel="0" collapsed="false">
      <c r="A118" s="73" t="s">
        <v>1022</v>
      </c>
      <c r="B118" s="74" t="s">
        <v>1039</v>
      </c>
      <c r="C118" s="66" t="s">
        <v>72</v>
      </c>
      <c r="D118" s="43" t="s">
        <v>81</v>
      </c>
      <c r="E118" s="75" t="s">
        <v>43</v>
      </c>
      <c r="F118" s="76"/>
      <c r="G118" s="85" t="n">
        <v>0</v>
      </c>
      <c r="H118" s="85" t="n">
        <v>0</v>
      </c>
      <c r="I118" s="85" t="n">
        <v>0</v>
      </c>
      <c r="J118" s="36" t="n">
        <f aca="false">I120</f>
        <v>0</v>
      </c>
      <c r="K118" s="36" t="n">
        <f aca="false">J120</f>
        <v>0</v>
      </c>
      <c r="L118" s="36" t="n">
        <f aca="false">K120</f>
        <v>0</v>
      </c>
      <c r="M118" s="36" t="n">
        <f aca="false">L120</f>
        <v>0</v>
      </c>
      <c r="N118" s="36" t="n">
        <f aca="false">M120</f>
        <v>0</v>
      </c>
      <c r="O118" s="36" t="n">
        <f aca="false">N120</f>
        <v>0</v>
      </c>
      <c r="P118" s="36" t="n">
        <f aca="false">O120</f>
        <v>0</v>
      </c>
      <c r="Q118" s="36" t="n">
        <f aca="false">P120</f>
        <v>0</v>
      </c>
      <c r="R118" s="36" t="n">
        <f aca="false">Q120</f>
        <v>0</v>
      </c>
      <c r="S118" s="36" t="n">
        <f aca="false">R120</f>
        <v>0</v>
      </c>
    </row>
    <row r="119" customFormat="false" ht="15" hidden="false" customHeight="false" outlineLevel="0" collapsed="false">
      <c r="A119" s="73" t="s">
        <v>1022</v>
      </c>
      <c r="B119" s="74" t="s">
        <v>1040</v>
      </c>
      <c r="C119" s="66" t="s">
        <v>72</v>
      </c>
      <c r="D119" s="43" t="s">
        <v>81</v>
      </c>
      <c r="E119" s="75" t="s">
        <v>43</v>
      </c>
      <c r="F119" s="76"/>
      <c r="G119" s="48" t="s">
        <v>336</v>
      </c>
      <c r="H119" s="48" t="s">
        <v>336</v>
      </c>
      <c r="I119" s="36" t="n">
        <f aca="false">MAX(0,I117-I118)</f>
        <v>11201112088.6524</v>
      </c>
      <c r="J119" s="36" t="n">
        <f aca="false">MAX(0,J117-J118)</f>
        <v>277677199.897002</v>
      </c>
      <c r="K119" s="36" t="n">
        <f aca="false">MAX(0,K117-K118)</f>
        <v>316220048.347138</v>
      </c>
      <c r="L119" s="36" t="n">
        <f aca="false">MAX(0,L117-L118)</f>
        <v>323714463.492965</v>
      </c>
      <c r="M119" s="36" t="n">
        <f aca="false">MAX(0,M117-M118)</f>
        <v>331386496.277749</v>
      </c>
      <c r="N119" s="36" t="n">
        <f aca="false">MAX(0,N117-N118)</f>
        <v>339240356.239531</v>
      </c>
      <c r="O119" s="36" t="n">
        <f aca="false">MAX(0,O117-O118)</f>
        <v>347280352.682408</v>
      </c>
      <c r="P119" s="36" t="n">
        <f aca="false">MAX(0,P117-P118)</f>
        <v>355510897.040981</v>
      </c>
      <c r="Q119" s="36" t="n">
        <f aca="false">MAX(0,Q117-Q118)</f>
        <v>363936505.300852</v>
      </c>
      <c r="R119" s="36" t="n">
        <f aca="false">MAX(0,R117-R118)</f>
        <v>372561800.476483</v>
      </c>
      <c r="S119" s="36" t="n">
        <f aca="false">MAX(0,S117-S118)</f>
        <v>381391515.147775</v>
      </c>
    </row>
    <row r="120" customFormat="false" ht="15" hidden="false" customHeight="false" outlineLevel="0" collapsed="false">
      <c r="A120" s="73" t="s">
        <v>1022</v>
      </c>
      <c r="B120" s="74" t="s">
        <v>1041</v>
      </c>
      <c r="C120" s="66" t="s">
        <v>72</v>
      </c>
      <c r="D120" s="43" t="s">
        <v>81</v>
      </c>
      <c r="E120" s="75" t="s">
        <v>43</v>
      </c>
      <c r="F120" s="76"/>
      <c r="G120" s="85" t="n">
        <v>0</v>
      </c>
      <c r="H120" s="85" t="n">
        <v>0</v>
      </c>
      <c r="I120" s="36" t="n">
        <f aca="false">MAX(0,I118-I117)</f>
        <v>0</v>
      </c>
      <c r="J120" s="36" t="n">
        <f aca="false">MAX(0,J118-J117)</f>
        <v>0</v>
      </c>
      <c r="K120" s="36" t="n">
        <f aca="false">MAX(0,K118-K117)</f>
        <v>0</v>
      </c>
      <c r="L120" s="36" t="n">
        <f aca="false">MAX(0,L118-L117)</f>
        <v>0</v>
      </c>
      <c r="M120" s="36" t="n">
        <f aca="false">MAX(0,M118-M117)</f>
        <v>0</v>
      </c>
      <c r="N120" s="36" t="n">
        <f aca="false">MAX(0,N118-N117)</f>
        <v>0</v>
      </c>
      <c r="O120" s="36" t="n">
        <f aca="false">MAX(0,O118-O117)</f>
        <v>0</v>
      </c>
      <c r="P120" s="36" t="n">
        <f aca="false">MAX(0,P118-P117)</f>
        <v>0</v>
      </c>
      <c r="Q120" s="36" t="n">
        <f aca="false">MAX(0,Q118-Q117)</f>
        <v>0</v>
      </c>
      <c r="R120" s="36" t="n">
        <f aca="false">MAX(0,R118-R117)</f>
        <v>0</v>
      </c>
      <c r="S120" s="36" t="n">
        <f aca="false">MAX(0,S118-S117)</f>
        <v>0</v>
      </c>
    </row>
    <row r="121" customFormat="false" ht="15" hidden="false" customHeight="false" outlineLevel="0" collapsed="false">
      <c r="A121" s="73" t="s">
        <v>1022</v>
      </c>
      <c r="B121" s="74" t="s">
        <v>73</v>
      </c>
      <c r="C121" s="66" t="s">
        <v>72</v>
      </c>
      <c r="D121" s="43" t="s">
        <v>42</v>
      </c>
      <c r="E121" s="75" t="s">
        <v>43</v>
      </c>
      <c r="F121" s="76"/>
      <c r="G121" s="91" t="n">
        <f aca="false">01_INPUTS!G25</f>
        <v>0.21</v>
      </c>
      <c r="H121" s="91" t="n">
        <f aca="false">01_INPUTS!H25</f>
        <v>0.23</v>
      </c>
      <c r="I121" s="91" t="n">
        <f aca="false">01_INPUTS!I25</f>
        <v>0.21</v>
      </c>
      <c r="J121" s="91" t="n">
        <f aca="false">01_INPUTS!J25</f>
        <v>0.21</v>
      </c>
      <c r="K121" s="91" t="n">
        <f aca="false">01_INPUTS!K25</f>
        <v>0.21</v>
      </c>
      <c r="L121" s="91" t="n">
        <f aca="false">01_INPUTS!L25</f>
        <v>0.21</v>
      </c>
      <c r="M121" s="91" t="n">
        <f aca="false">01_INPUTS!M25</f>
        <v>0.21</v>
      </c>
      <c r="N121" s="91" t="n">
        <f aca="false">01_INPUTS!N25</f>
        <v>0.21</v>
      </c>
      <c r="O121" s="91" t="n">
        <f aca="false">01_INPUTS!O25</f>
        <v>0.21</v>
      </c>
      <c r="P121" s="91" t="n">
        <f aca="false">01_INPUTS!P25</f>
        <v>0.21</v>
      </c>
      <c r="Q121" s="91" t="n">
        <f aca="false">01_INPUTS!Q25</f>
        <v>0.21</v>
      </c>
      <c r="R121" s="91" t="n">
        <f aca="false">01_INPUTS!R25</f>
        <v>0.21</v>
      </c>
      <c r="S121" s="91" t="n">
        <f aca="false">01_INPUTS!S25</f>
        <v>0.21</v>
      </c>
    </row>
    <row r="122" customFormat="false" ht="15" hidden="false" customHeight="false" outlineLevel="0" collapsed="false">
      <c r="A122" s="73" t="s">
        <v>1022</v>
      </c>
      <c r="B122" s="74" t="s">
        <v>278</v>
      </c>
      <c r="C122" s="66" t="s">
        <v>72</v>
      </c>
      <c r="D122" s="43" t="s">
        <v>81</v>
      </c>
      <c r="E122" s="75" t="s">
        <v>43</v>
      </c>
      <c r="F122" s="76"/>
      <c r="G122" s="85" t="n">
        <v>221443831.596432</v>
      </c>
      <c r="H122" s="85" t="n">
        <v>328818327.695375</v>
      </c>
      <c r="I122" s="36" t="n">
        <f aca="false">I119*I121</f>
        <v>2352233538.61699</v>
      </c>
      <c r="J122" s="36" t="n">
        <f aca="false">J119*J121</f>
        <v>58312211.9783705</v>
      </c>
      <c r="K122" s="36" t="n">
        <f aca="false">K119*K121</f>
        <v>66406210.152899</v>
      </c>
      <c r="L122" s="36" t="n">
        <f aca="false">L119*L121</f>
        <v>67980037.3335227</v>
      </c>
      <c r="M122" s="36" t="n">
        <f aca="false">M119*M121</f>
        <v>69591164.2183272</v>
      </c>
      <c r="N122" s="36" t="n">
        <f aca="false">N119*N121</f>
        <v>71240474.8103015</v>
      </c>
      <c r="O122" s="36" t="n">
        <f aca="false">O119*O121</f>
        <v>72928874.0633057</v>
      </c>
      <c r="P122" s="36" t="n">
        <f aca="false">P119*P121</f>
        <v>74657288.378606</v>
      </c>
      <c r="Q122" s="36" t="n">
        <f aca="false">Q119*Q121</f>
        <v>76426666.113179</v>
      </c>
      <c r="R122" s="36" t="n">
        <f aca="false">R119*R121</f>
        <v>78237978.1000613</v>
      </c>
      <c r="S122" s="36" t="n">
        <f aca="false">S119*S121</f>
        <v>80092218.1810328</v>
      </c>
    </row>
    <row r="123" customFormat="false" ht="15" hidden="false" customHeight="false" outlineLevel="0" collapsed="false">
      <c r="A123" s="73" t="s">
        <v>1022</v>
      </c>
      <c r="B123" s="74" t="s">
        <v>1042</v>
      </c>
      <c r="C123" s="66" t="s">
        <v>72</v>
      </c>
      <c r="D123" s="43" t="s">
        <v>81</v>
      </c>
      <c r="E123" s="75" t="s">
        <v>917</v>
      </c>
      <c r="F123" s="76"/>
      <c r="G123" s="77" t="n">
        <v>598718507.649613</v>
      </c>
      <c r="H123" s="77" t="n">
        <v>889027330.435643</v>
      </c>
      <c r="I123" s="78" t="n">
        <f aca="false">I117-I122</f>
        <v>8848878550.03536</v>
      </c>
      <c r="J123" s="78" t="n">
        <f aca="false">J117-J122</f>
        <v>219364987.918632</v>
      </c>
      <c r="K123" s="78" t="n">
        <f aca="false">K117-K122</f>
        <v>249813838.194239</v>
      </c>
      <c r="L123" s="78" t="n">
        <f aca="false">L117-L122</f>
        <v>255734426.159443</v>
      </c>
      <c r="M123" s="78" t="n">
        <f aca="false">M117-M122</f>
        <v>261795332.059421</v>
      </c>
      <c r="N123" s="78" t="n">
        <f aca="false">N117-N122</f>
        <v>267999881.42923</v>
      </c>
      <c r="O123" s="78" t="n">
        <f aca="false">O117-O122</f>
        <v>274351478.619102</v>
      </c>
      <c r="P123" s="78" t="n">
        <f aca="false">P117-P122</f>
        <v>280853608.662375</v>
      </c>
      <c r="Q123" s="78" t="n">
        <f aca="false">Q117-Q122</f>
        <v>287509839.187673</v>
      </c>
      <c r="R123" s="78" t="n">
        <f aca="false">R117-R122</f>
        <v>294323822.376421</v>
      </c>
      <c r="S123" s="78" t="n">
        <f aca="false">S117-S122</f>
        <v>301299296.966742</v>
      </c>
    </row>
    <row r="124" customFormat="false" ht="15" hidden="false" customHeight="false" outlineLevel="0" collapsed="false">
      <c r="A124" s="73" t="s">
        <v>1043</v>
      </c>
      <c r="B124" s="74" t="s">
        <v>281</v>
      </c>
      <c r="C124" s="66" t="s">
        <v>72</v>
      </c>
      <c r="D124" s="43" t="s">
        <v>81</v>
      </c>
      <c r="E124" s="75" t="s">
        <v>917</v>
      </c>
      <c r="F124" s="76" t="s">
        <v>1073</v>
      </c>
      <c r="G124" s="85" t="n">
        <v>0</v>
      </c>
      <c r="H124" s="85" t="n">
        <v>0</v>
      </c>
      <c r="I124" s="36" t="n">
        <f aca="false">0</f>
        <v>0</v>
      </c>
      <c r="J124" s="36" t="n">
        <f aca="false">0</f>
        <v>0</v>
      </c>
      <c r="K124" s="36" t="n">
        <f aca="false">0</f>
        <v>0</v>
      </c>
      <c r="L124" s="36" t="n">
        <f aca="false">0</f>
        <v>0</v>
      </c>
      <c r="M124" s="36" t="n">
        <f aca="false">0</f>
        <v>0</v>
      </c>
      <c r="N124" s="36" t="n">
        <f aca="false">0</f>
        <v>0</v>
      </c>
      <c r="O124" s="36" t="n">
        <f aca="false">0</f>
        <v>0</v>
      </c>
      <c r="P124" s="36" t="n">
        <f aca="false">0</f>
        <v>0</v>
      </c>
      <c r="Q124" s="36" t="n">
        <f aca="false">0</f>
        <v>0</v>
      </c>
      <c r="R124" s="36" t="n">
        <f aca="false">0</f>
        <v>0</v>
      </c>
      <c r="S124" s="36" t="n">
        <f aca="false">0</f>
        <v>0</v>
      </c>
    </row>
    <row r="125" customFormat="false" ht="15" hidden="false" customHeight="false" outlineLevel="0" collapsed="false">
      <c r="A125" s="73" t="s">
        <v>1043</v>
      </c>
      <c r="B125" s="74" t="s">
        <v>1045</v>
      </c>
      <c r="C125" s="66" t="s">
        <v>72</v>
      </c>
      <c r="D125" s="43" t="s">
        <v>81</v>
      </c>
      <c r="E125" s="75" t="s">
        <v>917</v>
      </c>
      <c r="F125" s="76" t="s">
        <v>1074</v>
      </c>
      <c r="G125" s="85" t="n">
        <v>0</v>
      </c>
      <c r="H125" s="85" t="n">
        <v>0</v>
      </c>
      <c r="I125" s="36" t="s">
        <v>1025</v>
      </c>
      <c r="J125" s="36" t="s">
        <v>1025</v>
      </c>
      <c r="K125" s="36" t="s">
        <v>1025</v>
      </c>
      <c r="L125" s="36" t="s">
        <v>1025</v>
      </c>
      <c r="M125" s="36" t="s">
        <v>1025</v>
      </c>
      <c r="N125" s="36" t="s">
        <v>1025</v>
      </c>
      <c r="O125" s="36" t="s">
        <v>1025</v>
      </c>
      <c r="P125" s="36" t="s">
        <v>1025</v>
      </c>
      <c r="Q125" s="36" t="s">
        <v>1025</v>
      </c>
      <c r="R125" s="36" t="s">
        <v>1025</v>
      </c>
      <c r="S125" s="36" t="s">
        <v>1025</v>
      </c>
    </row>
    <row r="126" customFormat="false" ht="21.6" hidden="false" customHeight="false" outlineLevel="0" collapsed="false">
      <c r="A126" s="73" t="s">
        <v>1043</v>
      </c>
      <c r="B126" s="74" t="s">
        <v>283</v>
      </c>
      <c r="C126" s="66" t="s">
        <v>72</v>
      </c>
      <c r="D126" s="43" t="s">
        <v>81</v>
      </c>
      <c r="E126" s="75" t="s">
        <v>917</v>
      </c>
      <c r="F126" s="76" t="s">
        <v>1047</v>
      </c>
      <c r="G126" s="85" t="n">
        <v>656964000</v>
      </c>
      <c r="H126" s="85" t="n">
        <v>523347335.953579</v>
      </c>
      <c r="I126" s="36" t="n">
        <f aca="false">I101*$G$154</f>
        <v>1219112125.80156</v>
      </c>
      <c r="J126" s="36" t="n">
        <f aca="false">J101*$G$154</f>
        <v>0</v>
      </c>
      <c r="K126" s="36" t="n">
        <f aca="false">K101*$G$154</f>
        <v>0</v>
      </c>
      <c r="L126" s="36" t="n">
        <f aca="false">L101*$G$154</f>
        <v>0</v>
      </c>
      <c r="M126" s="36" t="n">
        <f aca="false">M101*$G$154</f>
        <v>0</v>
      </c>
      <c r="N126" s="36" t="n">
        <f aca="false">N101*$G$154</f>
        <v>0</v>
      </c>
      <c r="O126" s="36" t="n">
        <f aca="false">O101*$G$154</f>
        <v>0</v>
      </c>
      <c r="P126" s="36" t="n">
        <f aca="false">P101*$G$154</f>
        <v>0</v>
      </c>
      <c r="Q126" s="36" t="n">
        <f aca="false">Q101*$G$154</f>
        <v>0</v>
      </c>
      <c r="R126" s="36" t="n">
        <f aca="false">R101*$G$154</f>
        <v>0</v>
      </c>
      <c r="S126" s="36" t="n">
        <f aca="false">S101*$G$154</f>
        <v>0</v>
      </c>
    </row>
    <row r="127" customFormat="false" ht="15" hidden="false" customHeight="false" outlineLevel="0" collapsed="false">
      <c r="A127" s="73" t="s">
        <v>1043</v>
      </c>
      <c r="B127" s="74" t="s">
        <v>284</v>
      </c>
      <c r="C127" s="66" t="s">
        <v>72</v>
      </c>
      <c r="D127" s="43" t="s">
        <v>81</v>
      </c>
      <c r="E127" s="75" t="s">
        <v>917</v>
      </c>
      <c r="F127" s="76" t="s">
        <v>1048</v>
      </c>
      <c r="G127" s="85" t="n">
        <v>1178203834.74677</v>
      </c>
      <c r="H127" s="85" t="n">
        <v>1708729886.28571</v>
      </c>
      <c r="I127" s="36" t="n">
        <f aca="false">I145</f>
        <v>9922573329.90008</v>
      </c>
      <c r="J127" s="36" t="n">
        <f aca="false">J145</f>
        <v>11207334944.9046</v>
      </c>
      <c r="K127" s="36" t="n">
        <f aca="false">K145</f>
        <v>11457148783.0988</v>
      </c>
      <c r="L127" s="36" t="n">
        <f aca="false">L145</f>
        <v>11712883209.2583</v>
      </c>
      <c r="M127" s="36" t="n">
        <f aca="false">M145</f>
        <v>11974678541.3177</v>
      </c>
      <c r="N127" s="36" t="n">
        <f aca="false">N145</f>
        <v>12242678422.7469</v>
      </c>
      <c r="O127" s="36" t="n">
        <f aca="false">O145</f>
        <v>12517029901.366</v>
      </c>
      <c r="P127" s="36" t="n">
        <f aca="false">P145</f>
        <v>12797883510.0284</v>
      </c>
      <c r="Q127" s="36" t="n">
        <f aca="false">Q145</f>
        <v>13085393349.2161</v>
      </c>
      <c r="R127" s="36" t="n">
        <f aca="false">R145</f>
        <v>13379717171.5925</v>
      </c>
      <c r="S127" s="36" t="n">
        <f aca="false">S145</f>
        <v>13681016468.5592</v>
      </c>
    </row>
    <row r="128" customFormat="false" ht="15" hidden="false" customHeight="false" outlineLevel="0" collapsed="false">
      <c r="A128" s="73" t="s">
        <v>1043</v>
      </c>
      <c r="B128" s="74" t="s">
        <v>285</v>
      </c>
      <c r="C128" s="66" t="s">
        <v>72</v>
      </c>
      <c r="D128" s="43" t="s">
        <v>81</v>
      </c>
      <c r="E128" s="75" t="s">
        <v>917</v>
      </c>
      <c r="F128" s="76"/>
      <c r="G128" s="78" t="n">
        <f aca="false">G124+G125+G126+G127</f>
        <v>1835167834.74677</v>
      </c>
      <c r="H128" s="78" t="n">
        <f aca="false">H124+H125+H126+H127</f>
        <v>2232077222.23929</v>
      </c>
      <c r="I128" s="78" t="n">
        <f aca="false">I124+I125+I126+I127</f>
        <v>11141685455.7016</v>
      </c>
      <c r="J128" s="78" t="n">
        <f aca="false">J124+J125+J126+J127</f>
        <v>11207334944.9046</v>
      </c>
      <c r="K128" s="78" t="n">
        <f aca="false">K124+K125+K126+K127</f>
        <v>11457148783.0988</v>
      </c>
      <c r="L128" s="78" t="n">
        <f aca="false">L124+L125+L126+L127</f>
        <v>11712883209.2583</v>
      </c>
      <c r="M128" s="78" t="n">
        <f aca="false">M124+M125+M126+M127</f>
        <v>11974678541.3177</v>
      </c>
      <c r="N128" s="78" t="n">
        <f aca="false">N124+N125+N126+N127</f>
        <v>12242678422.7469</v>
      </c>
      <c r="O128" s="78" t="n">
        <f aca="false">O124+O125+O126+O127</f>
        <v>12517029901.366</v>
      </c>
      <c r="P128" s="78" t="n">
        <f aca="false">P124+P125+P126+P127</f>
        <v>12797883510.0284</v>
      </c>
      <c r="Q128" s="78" t="n">
        <f aca="false">Q124+Q125+Q126+Q127</f>
        <v>13085393349.2161</v>
      </c>
      <c r="R128" s="78" t="n">
        <f aca="false">R124+R125+R126+R127</f>
        <v>13379717171.5925</v>
      </c>
      <c r="S128" s="78" t="n">
        <f aca="false">S124+S125+S126+S127</f>
        <v>13681016468.5592</v>
      </c>
    </row>
    <row r="129" customFormat="false" ht="21.6" hidden="false" customHeight="false" outlineLevel="0" collapsed="false">
      <c r="A129" s="73" t="s">
        <v>1043</v>
      </c>
      <c r="B129" s="74" t="s">
        <v>290</v>
      </c>
      <c r="C129" s="66" t="s">
        <v>72</v>
      </c>
      <c r="D129" s="43" t="s">
        <v>81</v>
      </c>
      <c r="E129" s="75" t="s">
        <v>917</v>
      </c>
      <c r="F129" s="76" t="s">
        <v>1069</v>
      </c>
      <c r="G129" s="85" t="n">
        <v>750000000</v>
      </c>
      <c r="H129" s="85" t="n">
        <v>750000000</v>
      </c>
      <c r="I129" s="36" t="n">
        <f aca="false">H129</f>
        <v>750000000</v>
      </c>
      <c r="J129" s="36" t="n">
        <f aca="false">I129</f>
        <v>750000000</v>
      </c>
      <c r="K129" s="36" t="n">
        <f aca="false">J129</f>
        <v>750000000</v>
      </c>
      <c r="L129" s="36" t="n">
        <f aca="false">K129</f>
        <v>750000000</v>
      </c>
      <c r="M129" s="36" t="n">
        <f aca="false">L129</f>
        <v>750000000</v>
      </c>
      <c r="N129" s="36" t="n">
        <f aca="false">M129</f>
        <v>750000000</v>
      </c>
      <c r="O129" s="36" t="n">
        <f aca="false">N129</f>
        <v>750000000</v>
      </c>
      <c r="P129" s="36" t="n">
        <f aca="false">O129</f>
        <v>750000000</v>
      </c>
      <c r="Q129" s="36" t="n">
        <f aca="false">P129</f>
        <v>750000000</v>
      </c>
      <c r="R129" s="36" t="n">
        <f aca="false">Q129</f>
        <v>750000000</v>
      </c>
      <c r="S129" s="36" t="n">
        <f aca="false">R129</f>
        <v>750000000</v>
      </c>
    </row>
    <row r="130" customFormat="false" ht="15" hidden="false" customHeight="false" outlineLevel="0" collapsed="false">
      <c r="A130" s="73" t="s">
        <v>1043</v>
      </c>
      <c r="B130" s="74" t="s">
        <v>291</v>
      </c>
      <c r="C130" s="66" t="s">
        <v>72</v>
      </c>
      <c r="D130" s="43" t="s">
        <v>81</v>
      </c>
      <c r="E130" s="75" t="s">
        <v>917</v>
      </c>
      <c r="F130" s="76" t="s">
        <v>1050</v>
      </c>
      <c r="G130" s="85" t="n">
        <v>0</v>
      </c>
      <c r="H130" s="85" t="n">
        <v>0</v>
      </c>
      <c r="I130" s="36" t="n">
        <f aca="false">H130</f>
        <v>0</v>
      </c>
      <c r="J130" s="36" t="n">
        <f aca="false">I130</f>
        <v>0</v>
      </c>
      <c r="K130" s="36" t="n">
        <f aca="false">J130</f>
        <v>0</v>
      </c>
      <c r="L130" s="36" t="n">
        <f aca="false">K130</f>
        <v>0</v>
      </c>
      <c r="M130" s="36" t="n">
        <f aca="false">L130</f>
        <v>0</v>
      </c>
      <c r="N130" s="36" t="n">
        <f aca="false">M130</f>
        <v>0</v>
      </c>
      <c r="O130" s="36" t="n">
        <f aca="false">N130</f>
        <v>0</v>
      </c>
      <c r="P130" s="36" t="n">
        <f aca="false">O130</f>
        <v>0</v>
      </c>
      <c r="Q130" s="36" t="n">
        <f aca="false">P130</f>
        <v>0</v>
      </c>
      <c r="R130" s="36" t="n">
        <f aca="false">Q130</f>
        <v>0</v>
      </c>
      <c r="S130" s="36" t="n">
        <f aca="false">R130</f>
        <v>0</v>
      </c>
    </row>
    <row r="131" customFormat="false" ht="15" hidden="false" customHeight="false" outlineLevel="0" collapsed="false">
      <c r="A131" s="73" t="s">
        <v>1043</v>
      </c>
      <c r="B131" s="74" t="s">
        <v>292</v>
      </c>
      <c r="C131" s="66" t="s">
        <v>72</v>
      </c>
      <c r="D131" s="43" t="s">
        <v>81</v>
      </c>
      <c r="E131" s="75" t="s">
        <v>917</v>
      </c>
      <c r="F131" s="76" t="s">
        <v>1070</v>
      </c>
      <c r="G131" s="85" t="n">
        <v>1079162507.64961</v>
      </c>
      <c r="H131" s="85" t="n">
        <v>1488941406.95061</v>
      </c>
      <c r="I131" s="36" t="n">
        <f aca="false">H131+I123-IF(ISNUMBER(01_INPUTS!I278),01_INPUTS!I278,0)</f>
        <v>10337819956.986</v>
      </c>
      <c r="J131" s="36" t="n">
        <f aca="false">I131+J123-IF(ISNUMBER(01_INPUTS!J278),01_INPUTS!J278,0)</f>
        <v>10557184944.9046</v>
      </c>
      <c r="K131" s="36" t="n">
        <f aca="false">J131+K123-IF(ISNUMBER(01_INPUTS!K278),01_INPUTS!K278,0)</f>
        <v>10806998783.0988</v>
      </c>
      <c r="L131" s="36" t="n">
        <f aca="false">K131+L123-IF(ISNUMBER(01_INPUTS!L278),01_INPUTS!L278,0)</f>
        <v>11062733209.2583</v>
      </c>
      <c r="M131" s="36" t="n">
        <f aca="false">L131+M123-IF(ISNUMBER(01_INPUTS!M278),01_INPUTS!M278,0)</f>
        <v>11324528541.3177</v>
      </c>
      <c r="N131" s="36" t="n">
        <f aca="false">M131+N123-IF(ISNUMBER(01_INPUTS!N278),01_INPUTS!N278,0)</f>
        <v>11592528422.7469</v>
      </c>
      <c r="O131" s="36" t="n">
        <f aca="false">N131+O123-IF(ISNUMBER(01_INPUTS!O278),01_INPUTS!O278,0)</f>
        <v>11866879901.366</v>
      </c>
      <c r="P131" s="36" t="n">
        <f aca="false">O131+P123-IF(ISNUMBER(01_INPUTS!P278),01_INPUTS!P278,0)</f>
        <v>12147733510.0284</v>
      </c>
      <c r="Q131" s="36" t="n">
        <f aca="false">P131+Q123-IF(ISNUMBER(01_INPUTS!Q278),01_INPUTS!Q278,0)</f>
        <v>12435243349.2161</v>
      </c>
      <c r="R131" s="36" t="n">
        <f aca="false">Q131+R123-IF(ISNUMBER(01_INPUTS!R278),01_INPUTS!R278,0)</f>
        <v>12729567171.5925</v>
      </c>
      <c r="S131" s="36" t="n">
        <f aca="false">R131+S123-IF(ISNUMBER(01_INPUTS!S278),01_INPUTS!S278,0)</f>
        <v>13030866468.5592</v>
      </c>
    </row>
    <row r="132" customFormat="false" ht="15" hidden="false" customHeight="false" outlineLevel="0" collapsed="false">
      <c r="A132" s="73" t="s">
        <v>1043</v>
      </c>
      <c r="B132" s="74" t="s">
        <v>1052</v>
      </c>
      <c r="C132" s="66" t="s">
        <v>72</v>
      </c>
      <c r="D132" s="43" t="s">
        <v>81</v>
      </c>
      <c r="E132" s="75" t="s">
        <v>917</v>
      </c>
      <c r="F132" s="76"/>
      <c r="G132" s="78" t="n">
        <f aca="false">G129+G130+G131</f>
        <v>1829162507.64961</v>
      </c>
      <c r="H132" s="78" t="n">
        <f aca="false">H129+H130+H131</f>
        <v>2238941406.95061</v>
      </c>
      <c r="I132" s="78" t="n">
        <f aca="false">I129+I130+I131</f>
        <v>11087819956.986</v>
      </c>
      <c r="J132" s="78" t="n">
        <f aca="false">J129+J130+J131</f>
        <v>11307184944.9046</v>
      </c>
      <c r="K132" s="78" t="n">
        <f aca="false">K129+K130+K131</f>
        <v>11556998783.0988</v>
      </c>
      <c r="L132" s="78" t="n">
        <f aca="false">L129+L130+L131</f>
        <v>11812733209.2583</v>
      </c>
      <c r="M132" s="78" t="n">
        <f aca="false">M129+M130+M131</f>
        <v>12074528541.3177</v>
      </c>
      <c r="N132" s="78" t="n">
        <f aca="false">N129+N130+N131</f>
        <v>12342528422.7469</v>
      </c>
      <c r="O132" s="78" t="n">
        <f aca="false">O129+O130+O131</f>
        <v>12616879901.366</v>
      </c>
      <c r="P132" s="78" t="n">
        <f aca="false">P129+P130+P131</f>
        <v>12897733510.0284</v>
      </c>
      <c r="Q132" s="78" t="n">
        <f aca="false">Q129+Q130+Q131</f>
        <v>13185243349.2161</v>
      </c>
      <c r="R132" s="78" t="n">
        <f aca="false">R129+R130+R131</f>
        <v>13479567171.5925</v>
      </c>
      <c r="S132" s="78" t="n">
        <f aca="false">S129+S130+S131</f>
        <v>13780866468.5592</v>
      </c>
    </row>
    <row r="133" customFormat="false" ht="15" hidden="false" customHeight="false" outlineLevel="0" collapsed="false">
      <c r="A133" s="73" t="s">
        <v>1043</v>
      </c>
      <c r="B133" s="74" t="s">
        <v>286</v>
      </c>
      <c r="C133" s="66" t="s">
        <v>72</v>
      </c>
      <c r="D133" s="43" t="s">
        <v>81</v>
      </c>
      <c r="E133" s="75" t="s">
        <v>917</v>
      </c>
      <c r="F133" s="76" t="s">
        <v>1071</v>
      </c>
      <c r="G133" s="85" t="n">
        <v>0</v>
      </c>
      <c r="H133" s="85" t="n">
        <v>0</v>
      </c>
      <c r="I133" s="36" t="s">
        <v>1025</v>
      </c>
      <c r="J133" s="36" t="s">
        <v>1025</v>
      </c>
      <c r="K133" s="36" t="s">
        <v>1025</v>
      </c>
      <c r="L133" s="36" t="s">
        <v>1025</v>
      </c>
      <c r="M133" s="36" t="s">
        <v>1025</v>
      </c>
      <c r="N133" s="36" t="s">
        <v>1025</v>
      </c>
      <c r="O133" s="36" t="s">
        <v>1025</v>
      </c>
      <c r="P133" s="36" t="s">
        <v>1025</v>
      </c>
      <c r="Q133" s="36" t="s">
        <v>1025</v>
      </c>
      <c r="R133" s="36" t="s">
        <v>1025</v>
      </c>
      <c r="S133" s="36" t="s">
        <v>1025</v>
      </c>
    </row>
    <row r="134" customFormat="false" ht="35.05" hidden="false" customHeight="false" outlineLevel="0" collapsed="false">
      <c r="A134" s="73" t="s">
        <v>1043</v>
      </c>
      <c r="B134" s="74" t="s">
        <v>1054</v>
      </c>
      <c r="C134" s="66" t="s">
        <v>72</v>
      </c>
      <c r="D134" s="43" t="s">
        <v>81</v>
      </c>
      <c r="E134" s="75" t="s">
        <v>917</v>
      </c>
      <c r="F134" s="76" t="s">
        <v>1055</v>
      </c>
      <c r="G134" s="85" t="n">
        <v>0</v>
      </c>
      <c r="H134" s="85" t="n">
        <v>0</v>
      </c>
      <c r="I134" s="36" t="n">
        <f aca="false">H134+I142</f>
        <v>0</v>
      </c>
      <c r="J134" s="36" t="n">
        <f aca="false">I134+J142</f>
        <v>0</v>
      </c>
      <c r="K134" s="36" t="n">
        <f aca="false">J134+K142</f>
        <v>0</v>
      </c>
      <c r="L134" s="36" t="n">
        <f aca="false">K134+L142</f>
        <v>0</v>
      </c>
      <c r="M134" s="36" t="n">
        <f aca="false">L134+M142</f>
        <v>0</v>
      </c>
      <c r="N134" s="36" t="n">
        <f aca="false">M134+N142</f>
        <v>0</v>
      </c>
      <c r="O134" s="36" t="n">
        <f aca="false">N134+O142</f>
        <v>0</v>
      </c>
      <c r="P134" s="36" t="n">
        <f aca="false">O134+P142</f>
        <v>0</v>
      </c>
      <c r="Q134" s="36" t="n">
        <f aca="false">P134+Q142</f>
        <v>0</v>
      </c>
      <c r="R134" s="36" t="n">
        <f aca="false">Q134+R142</f>
        <v>0</v>
      </c>
      <c r="S134" s="36" t="n">
        <f aca="false">R134+S142</f>
        <v>0</v>
      </c>
    </row>
    <row r="135" customFormat="false" ht="21.6" hidden="false" customHeight="false" outlineLevel="0" collapsed="false">
      <c r="A135" s="73" t="s">
        <v>1043</v>
      </c>
      <c r="B135" s="74" t="s">
        <v>1056</v>
      </c>
      <c r="C135" s="66" t="s">
        <v>72</v>
      </c>
      <c r="D135" s="43" t="s">
        <v>81</v>
      </c>
      <c r="E135" s="75" t="s">
        <v>917</v>
      </c>
      <c r="F135" s="76" t="s">
        <v>1057</v>
      </c>
      <c r="G135" s="85" t="n">
        <v>-100000000</v>
      </c>
      <c r="H135" s="85" t="n">
        <v>-100000000</v>
      </c>
      <c r="I135" s="36" t="n">
        <f aca="false">H135+(IF(ISNUMBER(01_INPUTS!I272),01_INPUTS!I272,0)+IF(ISNUMBER(01_INPUTS!I274),01_INPUTS!I274,0))-(IF(ISNUMBER(01_INPUTS!I275),01_INPUTS!I275,0)+IF(ISNUMBER(01_INPUTS!I276),01_INPUTS!I276,0))</f>
        <v>-100000000</v>
      </c>
      <c r="J135" s="36" t="n">
        <f aca="false">I135+(IF(ISNUMBER(01_INPUTS!J272),01_INPUTS!J272,0)+IF(ISNUMBER(01_INPUTS!J274),01_INPUTS!J274,0))-(IF(ISNUMBER(01_INPUTS!J275),01_INPUTS!J275,0)+IF(ISNUMBER(01_INPUTS!J276),01_INPUTS!J276,0))</f>
        <v>-100000000</v>
      </c>
      <c r="K135" s="36" t="n">
        <f aca="false">J135+(IF(ISNUMBER(01_INPUTS!K272),01_INPUTS!K272,0)+IF(ISNUMBER(01_INPUTS!K274),01_INPUTS!K274,0))-(IF(ISNUMBER(01_INPUTS!K275),01_INPUTS!K275,0)+IF(ISNUMBER(01_INPUTS!K276),01_INPUTS!K276,0))</f>
        <v>-100000000</v>
      </c>
      <c r="L135" s="36" t="n">
        <f aca="false">K135+(IF(ISNUMBER(01_INPUTS!L272),01_INPUTS!L272,0)+IF(ISNUMBER(01_INPUTS!L274),01_INPUTS!L274,0))-(IF(ISNUMBER(01_INPUTS!L275),01_INPUTS!L275,0)+IF(ISNUMBER(01_INPUTS!L276),01_INPUTS!L276,0))</f>
        <v>-100000000</v>
      </c>
      <c r="M135" s="36" t="n">
        <f aca="false">L135+(IF(ISNUMBER(01_INPUTS!M272),01_INPUTS!M272,0)+IF(ISNUMBER(01_INPUTS!M274),01_INPUTS!M274,0))-(IF(ISNUMBER(01_INPUTS!M275),01_INPUTS!M275,0)+IF(ISNUMBER(01_INPUTS!M276),01_INPUTS!M276,0))</f>
        <v>-100000000</v>
      </c>
      <c r="N135" s="36" t="n">
        <f aca="false">M135+(IF(ISNUMBER(01_INPUTS!N272),01_INPUTS!N272,0)+IF(ISNUMBER(01_INPUTS!N274),01_INPUTS!N274,0))-(IF(ISNUMBER(01_INPUTS!N275),01_INPUTS!N275,0)+IF(ISNUMBER(01_INPUTS!N276),01_INPUTS!N276,0))</f>
        <v>-100000000</v>
      </c>
      <c r="O135" s="36" t="n">
        <f aca="false">N135+(IF(ISNUMBER(01_INPUTS!O272),01_INPUTS!O272,0)+IF(ISNUMBER(01_INPUTS!O274),01_INPUTS!O274,0))-(IF(ISNUMBER(01_INPUTS!O275),01_INPUTS!O275,0)+IF(ISNUMBER(01_INPUTS!O276),01_INPUTS!O276,0))</f>
        <v>-100000000</v>
      </c>
      <c r="P135" s="36" t="n">
        <f aca="false">O135+(IF(ISNUMBER(01_INPUTS!P272),01_INPUTS!P272,0)+IF(ISNUMBER(01_INPUTS!P274),01_INPUTS!P274,0))-(IF(ISNUMBER(01_INPUTS!P275),01_INPUTS!P275,0)+IF(ISNUMBER(01_INPUTS!P276),01_INPUTS!P276,0))</f>
        <v>-100000000</v>
      </c>
      <c r="Q135" s="36" t="n">
        <f aca="false">P135+(IF(ISNUMBER(01_INPUTS!Q272),01_INPUTS!Q272,0)+IF(ISNUMBER(01_INPUTS!Q274),01_INPUTS!Q274,0))-(IF(ISNUMBER(01_INPUTS!Q275),01_INPUTS!Q275,0)+IF(ISNUMBER(01_INPUTS!Q276),01_INPUTS!Q276,0))</f>
        <v>-100000000</v>
      </c>
      <c r="R135" s="36" t="n">
        <f aca="false">Q135+(IF(ISNUMBER(01_INPUTS!R272),01_INPUTS!R272,0)+IF(ISNUMBER(01_INPUTS!R274),01_INPUTS!R274,0))-(IF(ISNUMBER(01_INPUTS!R275),01_INPUTS!R275,0)+IF(ISNUMBER(01_INPUTS!R276),01_INPUTS!R276,0))</f>
        <v>-100000000</v>
      </c>
      <c r="S135" s="36" t="n">
        <f aca="false">R135+(IF(ISNUMBER(01_INPUTS!S272),01_INPUTS!S272,0)+IF(ISNUMBER(01_INPUTS!S274),01_INPUTS!S274,0))-(IF(ISNUMBER(01_INPUTS!S275),01_INPUTS!S275,0)+IF(ISNUMBER(01_INPUTS!S276),01_INPUTS!S276,0))</f>
        <v>-100000000</v>
      </c>
    </row>
    <row r="136" customFormat="false" ht="28.35" hidden="false" customHeight="false" outlineLevel="0" collapsed="false">
      <c r="A136" s="73" t="s">
        <v>1043</v>
      </c>
      <c r="B136" s="74" t="s">
        <v>1058</v>
      </c>
      <c r="C136" s="66" t="s">
        <v>72</v>
      </c>
      <c r="D136" s="43" t="s">
        <v>81</v>
      </c>
      <c r="E136" s="75" t="s">
        <v>917</v>
      </c>
      <c r="F136" s="76" t="s">
        <v>1059</v>
      </c>
      <c r="G136" s="85" t="n">
        <v>106005327.097154</v>
      </c>
      <c r="H136" s="85" t="n">
        <v>93135815.2886739</v>
      </c>
      <c r="I136" s="36" t="n">
        <f aca="false">I112*$G$157</f>
        <v>153865498.715669</v>
      </c>
      <c r="J136" s="36" t="n">
        <f aca="false">J112*$G$157</f>
        <v>150000</v>
      </c>
      <c r="K136" s="36" t="n">
        <f aca="false">K112*$G$157</f>
        <v>150000</v>
      </c>
      <c r="L136" s="36" t="n">
        <f aca="false">L112*$G$157</f>
        <v>150000</v>
      </c>
      <c r="M136" s="36" t="n">
        <f aca="false">M112*$G$157</f>
        <v>150000</v>
      </c>
      <c r="N136" s="36" t="n">
        <f aca="false">N112*$G$157</f>
        <v>150000</v>
      </c>
      <c r="O136" s="36" t="n">
        <f aca="false">O112*$G$157</f>
        <v>150000</v>
      </c>
      <c r="P136" s="36" t="n">
        <f aca="false">P112*$G$157</f>
        <v>150000</v>
      </c>
      <c r="Q136" s="36" t="n">
        <f aca="false">Q112*$G$157</f>
        <v>150000</v>
      </c>
      <c r="R136" s="36" t="n">
        <f aca="false">R112*$G$157</f>
        <v>150000</v>
      </c>
      <c r="S136" s="36" t="n">
        <f aca="false">S112*$G$157</f>
        <v>150000</v>
      </c>
    </row>
    <row r="137" customFormat="false" ht="15" hidden="false" customHeight="false" outlineLevel="0" collapsed="false">
      <c r="A137" s="73" t="s">
        <v>1043</v>
      </c>
      <c r="B137" s="74" t="s">
        <v>289</v>
      </c>
      <c r="C137" s="66" t="s">
        <v>72</v>
      </c>
      <c r="D137" s="43" t="s">
        <v>81</v>
      </c>
      <c r="E137" s="75" t="s">
        <v>917</v>
      </c>
      <c r="F137" s="76"/>
      <c r="G137" s="78" t="n">
        <f aca="false">G133+G134+G135+G136</f>
        <v>6005327.0971543</v>
      </c>
      <c r="H137" s="78" t="n">
        <f aca="false">H133+H134+H135+H136</f>
        <v>-6864184.71132615</v>
      </c>
      <c r="I137" s="78" t="n">
        <f aca="false">I133+I134+I135+I136</f>
        <v>53865498.7156695</v>
      </c>
      <c r="J137" s="78" t="n">
        <f aca="false">J133+J134+J135+J136</f>
        <v>-99850000</v>
      </c>
      <c r="K137" s="78" t="n">
        <f aca="false">K133+K134+K135+K136</f>
        <v>-99850000</v>
      </c>
      <c r="L137" s="78" t="n">
        <f aca="false">L133+L134+L135+L136</f>
        <v>-99850000</v>
      </c>
      <c r="M137" s="78" t="n">
        <f aca="false">M133+M134+M135+M136</f>
        <v>-99850000</v>
      </c>
      <c r="N137" s="78" t="n">
        <f aca="false">N133+N134+N135+N136</f>
        <v>-99850000</v>
      </c>
      <c r="O137" s="78" t="n">
        <f aca="false">O133+O134+O135+O136</f>
        <v>-99850000</v>
      </c>
      <c r="P137" s="78" t="n">
        <f aca="false">P133+P134+P135+P136</f>
        <v>-99850000</v>
      </c>
      <c r="Q137" s="78" t="n">
        <f aca="false">Q133+Q134+Q135+Q136</f>
        <v>-99850000</v>
      </c>
      <c r="R137" s="78" t="n">
        <f aca="false">R133+R134+R135+R136</f>
        <v>-99850000</v>
      </c>
      <c r="S137" s="78" t="n">
        <f aca="false">S133+S134+S135+S136</f>
        <v>-99850000</v>
      </c>
    </row>
    <row r="138" customFormat="false" ht="15" hidden="false" customHeight="false" outlineLevel="0" collapsed="false">
      <c r="A138" s="73" t="s">
        <v>1043</v>
      </c>
      <c r="B138" s="74" t="s">
        <v>1060</v>
      </c>
      <c r="C138" s="66" t="s">
        <v>72</v>
      </c>
      <c r="D138" s="43" t="s">
        <v>81</v>
      </c>
      <c r="E138" s="75" t="s">
        <v>344</v>
      </c>
      <c r="F138" s="76" t="s">
        <v>1061</v>
      </c>
      <c r="G138" s="89" t="n">
        <f aca="false">G128-(G132+G137)</f>
        <v>0</v>
      </c>
      <c r="H138" s="89" t="n">
        <f aca="false">H128-(H132+H137)</f>
        <v>0</v>
      </c>
      <c r="I138" s="89" t="n">
        <f aca="false">I128-(I132+I137)</f>
        <v>0</v>
      </c>
      <c r="J138" s="89" t="n">
        <f aca="false">J128-(J132+J137)</f>
        <v>0</v>
      </c>
      <c r="K138" s="89" t="n">
        <f aca="false">K128-(K132+K137)</f>
        <v>0</v>
      </c>
      <c r="L138" s="89" t="n">
        <f aca="false">L128-(L132+L137)</f>
        <v>0</v>
      </c>
      <c r="M138" s="89" t="n">
        <f aca="false">M128-(M132+M137)</f>
        <v>0</v>
      </c>
      <c r="N138" s="89" t="n">
        <f aca="false">N128-(N132+N137)</f>
        <v>0</v>
      </c>
      <c r="O138" s="89" t="n">
        <f aca="false">O128-(O132+O137)</f>
        <v>0</v>
      </c>
      <c r="P138" s="89" t="n">
        <f aca="false">P128-(P132+P137)</f>
        <v>0</v>
      </c>
      <c r="Q138" s="89" t="n">
        <f aca="false">Q128-(Q132+Q137)</f>
        <v>0</v>
      </c>
      <c r="R138" s="89" t="n">
        <f aca="false">R128-(R132+R137)</f>
        <v>0</v>
      </c>
      <c r="S138" s="89" t="n">
        <f aca="false">S128-(S132+S137)</f>
        <v>0</v>
      </c>
    </row>
    <row r="139" customFormat="false" ht="15" hidden="false" customHeight="false" outlineLevel="0" collapsed="false">
      <c r="A139" s="73" t="s">
        <v>1062</v>
      </c>
      <c r="B139" s="74" t="s">
        <v>295</v>
      </c>
      <c r="C139" s="66" t="s">
        <v>72</v>
      </c>
      <c r="D139" s="43" t="s">
        <v>81</v>
      </c>
      <c r="E139" s="75" t="s">
        <v>917</v>
      </c>
      <c r="F139" s="76" t="s">
        <v>1063</v>
      </c>
      <c r="G139" s="48" t="s">
        <v>77</v>
      </c>
      <c r="H139" s="85" t="n">
        <v>1009774482.67358</v>
      </c>
      <c r="I139" s="36" t="n">
        <f aca="false">(I123+I114)-(I125-H125)-(I126-H126)+(I136-H136)</f>
        <v>8213843443.61437</v>
      </c>
      <c r="J139" s="36" t="n">
        <f aca="false">(J123+J114)-(J125-I125)-(J126-I126)+(J136-I136)</f>
        <v>1284761615.00452</v>
      </c>
      <c r="K139" s="36" t="n">
        <f aca="false">(K123+K114)-(K125-J125)-(K126-J126)+(K136-J136)</f>
        <v>249813838.194239</v>
      </c>
      <c r="L139" s="36" t="n">
        <f aca="false">(L123+L114)-(L125-K125)-(L126-K126)+(L136-K136)</f>
        <v>255734426.159443</v>
      </c>
      <c r="M139" s="36" t="n">
        <f aca="false">(M123+M114)-(M125-L125)-(M126-L126)+(M136-L136)</f>
        <v>261795332.059421</v>
      </c>
      <c r="N139" s="36" t="n">
        <f aca="false">(N123+N114)-(N125-M125)-(N126-M126)+(N136-M136)</f>
        <v>267999881.42923</v>
      </c>
      <c r="O139" s="36" t="n">
        <f aca="false">(O123+O114)-(O125-N125)-(O126-N126)+(O136-N136)</f>
        <v>274351478.619102</v>
      </c>
      <c r="P139" s="36" t="n">
        <f aca="false">(P123+P114)-(P125-O125)-(P126-O126)+(P136-O136)</f>
        <v>280853608.662375</v>
      </c>
      <c r="Q139" s="36" t="n">
        <f aca="false">(Q123+Q114)-(Q125-P125)-(Q126-P126)+(Q136-P136)</f>
        <v>287509839.187673</v>
      </c>
      <c r="R139" s="36" t="n">
        <f aca="false">(R123+R114)-(R125-Q125)-(R126-Q126)+(R136-Q136)</f>
        <v>294323822.376421</v>
      </c>
      <c r="S139" s="36" t="n">
        <f aca="false">(S123+S114)-(S125-R125)-(S126-R126)+(S136-R136)</f>
        <v>301299296.966742</v>
      </c>
    </row>
    <row r="140" customFormat="false" ht="15" hidden="false" customHeight="false" outlineLevel="0" collapsed="false">
      <c r="A140" s="73" t="s">
        <v>1062</v>
      </c>
      <c r="B140" s="74" t="s">
        <v>296</v>
      </c>
      <c r="C140" s="66" t="s">
        <v>72</v>
      </c>
      <c r="D140" s="43" t="s">
        <v>81</v>
      </c>
      <c r="E140" s="75" t="s">
        <v>917</v>
      </c>
      <c r="F140" s="76" t="s">
        <v>1073</v>
      </c>
      <c r="G140" s="48" t="s">
        <v>77</v>
      </c>
      <c r="H140" s="85" t="n">
        <v>0</v>
      </c>
      <c r="I140" s="36" t="s">
        <v>1025</v>
      </c>
      <c r="J140" s="36" t="s">
        <v>1025</v>
      </c>
      <c r="K140" s="36" t="s">
        <v>1025</v>
      </c>
      <c r="L140" s="36" t="s">
        <v>1025</v>
      </c>
      <c r="M140" s="36" t="s">
        <v>1025</v>
      </c>
      <c r="N140" s="36" t="s">
        <v>1025</v>
      </c>
      <c r="O140" s="36" t="s">
        <v>1025</v>
      </c>
      <c r="P140" s="36" t="s">
        <v>1025</v>
      </c>
      <c r="Q140" s="36" t="s">
        <v>1025</v>
      </c>
      <c r="R140" s="36" t="s">
        <v>1025</v>
      </c>
      <c r="S140" s="36" t="s">
        <v>1025</v>
      </c>
    </row>
    <row r="141" customFormat="false" ht="15" hidden="false" customHeight="false" outlineLevel="0" collapsed="false">
      <c r="A141" s="73" t="s">
        <v>1062</v>
      </c>
      <c r="B141" s="74" t="s">
        <v>1065</v>
      </c>
      <c r="C141" s="66" t="s">
        <v>72</v>
      </c>
      <c r="D141" s="43" t="s">
        <v>81</v>
      </c>
      <c r="E141" s="75" t="s">
        <v>917</v>
      </c>
      <c r="F141" s="76" t="s">
        <v>1072</v>
      </c>
      <c r="G141" s="48" t="s">
        <v>77</v>
      </c>
      <c r="H141" s="85" t="n">
        <v>-479248431.134644</v>
      </c>
      <c r="I141" s="36" t="n">
        <f aca="false">-IF(ISNUMBER(01_INPUTS!I278),01_INPUTS!I278,0)+(IF(ISNUMBER(01_INPUTS!I272),01_INPUTS!I272,0)+IF(ISNUMBER(01_INPUTS!I274),01_INPUTS!I274,0))-(IF(ISNUMBER(01_INPUTS!I275),01_INPUTS!I275,0)+IF(ISNUMBER(01_INPUTS!I276),01_INPUTS!I276,0))</f>
        <v>0</v>
      </c>
      <c r="J141" s="36" t="n">
        <f aca="false">-IF(ISNUMBER(01_INPUTS!J278),01_INPUTS!J278,0)+(IF(ISNUMBER(01_INPUTS!J272),01_INPUTS!J272,0)+IF(ISNUMBER(01_INPUTS!J274),01_INPUTS!J274,0))-(IF(ISNUMBER(01_INPUTS!J275),01_INPUTS!J275,0)+IF(ISNUMBER(01_INPUTS!J276),01_INPUTS!J276,0))</f>
        <v>0</v>
      </c>
      <c r="K141" s="36" t="n">
        <f aca="false">-IF(ISNUMBER(01_INPUTS!K278),01_INPUTS!K278,0)+(IF(ISNUMBER(01_INPUTS!K272),01_INPUTS!K272,0)+IF(ISNUMBER(01_INPUTS!K274),01_INPUTS!K274,0))-(IF(ISNUMBER(01_INPUTS!K275),01_INPUTS!K275,0)+IF(ISNUMBER(01_INPUTS!K276),01_INPUTS!K276,0))</f>
        <v>0</v>
      </c>
      <c r="L141" s="36" t="n">
        <f aca="false">-IF(ISNUMBER(01_INPUTS!L278),01_INPUTS!L278,0)+(IF(ISNUMBER(01_INPUTS!L272),01_INPUTS!L272,0)+IF(ISNUMBER(01_INPUTS!L274),01_INPUTS!L274,0))-(IF(ISNUMBER(01_INPUTS!L275),01_INPUTS!L275,0)+IF(ISNUMBER(01_INPUTS!L276),01_INPUTS!L276,0))</f>
        <v>0</v>
      </c>
      <c r="M141" s="36" t="n">
        <f aca="false">-IF(ISNUMBER(01_INPUTS!M278),01_INPUTS!M278,0)+(IF(ISNUMBER(01_INPUTS!M272),01_INPUTS!M272,0)+IF(ISNUMBER(01_INPUTS!M274),01_INPUTS!M274,0))-(IF(ISNUMBER(01_INPUTS!M275),01_INPUTS!M275,0)+IF(ISNUMBER(01_INPUTS!M276),01_INPUTS!M276,0))</f>
        <v>0</v>
      </c>
      <c r="N141" s="36" t="n">
        <f aca="false">-IF(ISNUMBER(01_INPUTS!N278),01_INPUTS!N278,0)+(IF(ISNUMBER(01_INPUTS!N272),01_INPUTS!N272,0)+IF(ISNUMBER(01_INPUTS!N274),01_INPUTS!N274,0))-(IF(ISNUMBER(01_INPUTS!N275),01_INPUTS!N275,0)+IF(ISNUMBER(01_INPUTS!N276),01_INPUTS!N276,0))</f>
        <v>0</v>
      </c>
      <c r="O141" s="36" t="n">
        <f aca="false">-IF(ISNUMBER(01_INPUTS!O278),01_INPUTS!O278,0)+(IF(ISNUMBER(01_INPUTS!O272),01_INPUTS!O272,0)+IF(ISNUMBER(01_INPUTS!O274),01_INPUTS!O274,0))-(IF(ISNUMBER(01_INPUTS!O275),01_INPUTS!O275,0)+IF(ISNUMBER(01_INPUTS!O276),01_INPUTS!O276,0))</f>
        <v>0</v>
      </c>
      <c r="P141" s="36" t="n">
        <f aca="false">-IF(ISNUMBER(01_INPUTS!P278),01_INPUTS!P278,0)+(IF(ISNUMBER(01_INPUTS!P272),01_INPUTS!P272,0)+IF(ISNUMBER(01_INPUTS!P274),01_INPUTS!P274,0))-(IF(ISNUMBER(01_INPUTS!P275),01_INPUTS!P275,0)+IF(ISNUMBER(01_INPUTS!P276),01_INPUTS!P276,0))</f>
        <v>0</v>
      </c>
      <c r="Q141" s="36" t="n">
        <f aca="false">-IF(ISNUMBER(01_INPUTS!Q278),01_INPUTS!Q278,0)+(IF(ISNUMBER(01_INPUTS!Q272),01_INPUTS!Q272,0)+IF(ISNUMBER(01_INPUTS!Q274),01_INPUTS!Q274,0))-(IF(ISNUMBER(01_INPUTS!Q275),01_INPUTS!Q275,0)+IF(ISNUMBER(01_INPUTS!Q276),01_INPUTS!Q276,0))</f>
        <v>0</v>
      </c>
      <c r="R141" s="36" t="n">
        <f aca="false">-IF(ISNUMBER(01_INPUTS!R278),01_INPUTS!R278,0)+(IF(ISNUMBER(01_INPUTS!R272),01_INPUTS!R272,0)+IF(ISNUMBER(01_INPUTS!R274),01_INPUTS!R274,0))-(IF(ISNUMBER(01_INPUTS!R275),01_INPUTS!R275,0)+IF(ISNUMBER(01_INPUTS!R276),01_INPUTS!R276,0))</f>
        <v>0</v>
      </c>
      <c r="S141" s="36" t="n">
        <f aca="false">-IF(ISNUMBER(01_INPUTS!S278),01_INPUTS!S278,0)+(IF(ISNUMBER(01_INPUTS!S272),01_INPUTS!S272,0)+IF(ISNUMBER(01_INPUTS!S274),01_INPUTS!S274,0))-(IF(ISNUMBER(01_INPUTS!S275),01_INPUTS!S275,0)+IF(ISNUMBER(01_INPUTS!S276),01_INPUTS!S276,0))</f>
        <v>0</v>
      </c>
    </row>
    <row r="142" customFormat="false" ht="15" hidden="false" customHeight="false" outlineLevel="0" collapsed="false">
      <c r="A142" s="73" t="s">
        <v>1062</v>
      </c>
      <c r="B142" s="74" t="s">
        <v>298</v>
      </c>
      <c r="C142" s="66" t="s">
        <v>72</v>
      </c>
      <c r="D142" s="43" t="s">
        <v>81</v>
      </c>
      <c r="E142" s="75" t="s">
        <v>917</v>
      </c>
      <c r="F142" s="76" t="s">
        <v>1067</v>
      </c>
      <c r="G142" s="48" t="s">
        <v>77</v>
      </c>
      <c r="H142" s="48" t="s">
        <v>1068</v>
      </c>
      <c r="I142" s="36" t="n">
        <f aca="false">IF((H127+I139+I140+I141)&lt;IF(ISNUMBER(01_INPUTS!I28),01_INPUTS!I28,2000000),IF(ISNUMBER(01_INPUTS!I28),01_INPUTS!I28,2000000)-(H127+I139+I140+I141),-MIN(H134,MAX(0,(H127+I139+I140+I141)-IF(ISNUMBER(01_INPUTS!I28),01_INPUTS!I28,2000000))))</f>
        <v>-0</v>
      </c>
      <c r="J142" s="36" t="n">
        <f aca="false">IF((I127+J139+J140+J141)&lt;IF(ISNUMBER(01_INPUTS!J28),01_INPUTS!J28,2000000),IF(ISNUMBER(01_INPUTS!J28),01_INPUTS!J28,2000000)-(I127+J139+J140+J141),-MIN(I134,MAX(0,(I127+J139+J140+J141)-IF(ISNUMBER(01_INPUTS!J28),01_INPUTS!J28,2000000))))</f>
        <v>-0</v>
      </c>
      <c r="K142" s="36" t="n">
        <f aca="false">IF((J127+K139+K140+K141)&lt;IF(ISNUMBER(01_INPUTS!K28),01_INPUTS!K28,2000000),IF(ISNUMBER(01_INPUTS!K28),01_INPUTS!K28,2000000)-(J127+K139+K140+K141),-MIN(J134,MAX(0,(J127+K139+K140+K141)-IF(ISNUMBER(01_INPUTS!K28),01_INPUTS!K28,2000000))))</f>
        <v>-0</v>
      </c>
      <c r="L142" s="36" t="n">
        <f aca="false">IF((K127+L139+L140+L141)&lt;IF(ISNUMBER(01_INPUTS!L28),01_INPUTS!L28,2000000),IF(ISNUMBER(01_INPUTS!L28),01_INPUTS!L28,2000000)-(K127+L139+L140+L141),-MIN(K134,MAX(0,(K127+L139+L140+L141)-IF(ISNUMBER(01_INPUTS!L28),01_INPUTS!L28,2000000))))</f>
        <v>-0</v>
      </c>
      <c r="M142" s="36" t="n">
        <f aca="false">IF((L127+M139+M140+M141)&lt;IF(ISNUMBER(01_INPUTS!M28),01_INPUTS!M28,2000000),IF(ISNUMBER(01_INPUTS!M28),01_INPUTS!M28,2000000)-(L127+M139+M140+M141),-MIN(L134,MAX(0,(L127+M139+M140+M141)-IF(ISNUMBER(01_INPUTS!M28),01_INPUTS!M28,2000000))))</f>
        <v>-0</v>
      </c>
      <c r="N142" s="36" t="n">
        <f aca="false">IF((M127+N139+N140+N141)&lt;IF(ISNUMBER(01_INPUTS!N28),01_INPUTS!N28,2000000),IF(ISNUMBER(01_INPUTS!N28),01_INPUTS!N28,2000000)-(M127+N139+N140+N141),-MIN(M134,MAX(0,(M127+N139+N140+N141)-IF(ISNUMBER(01_INPUTS!N28),01_INPUTS!N28,2000000))))</f>
        <v>-0</v>
      </c>
      <c r="O142" s="36" t="n">
        <f aca="false">IF((N127+O139+O140+O141)&lt;IF(ISNUMBER(01_INPUTS!O28),01_INPUTS!O28,2000000),IF(ISNUMBER(01_INPUTS!O28),01_INPUTS!O28,2000000)-(N127+O139+O140+O141),-MIN(N134,MAX(0,(N127+O139+O140+O141)-IF(ISNUMBER(01_INPUTS!O28),01_INPUTS!O28,2000000))))</f>
        <v>-0</v>
      </c>
      <c r="P142" s="36" t="n">
        <f aca="false">IF((O127+P139+P140+P141)&lt;IF(ISNUMBER(01_INPUTS!P28),01_INPUTS!P28,2000000),IF(ISNUMBER(01_INPUTS!P28),01_INPUTS!P28,2000000)-(O127+P139+P140+P141),-MIN(O134,MAX(0,(O127+P139+P140+P141)-IF(ISNUMBER(01_INPUTS!P28),01_INPUTS!P28,2000000))))</f>
        <v>-0</v>
      </c>
      <c r="Q142" s="36" t="n">
        <f aca="false">IF((P127+Q139+Q140+Q141)&lt;IF(ISNUMBER(01_INPUTS!Q28),01_INPUTS!Q28,2000000),IF(ISNUMBER(01_INPUTS!Q28),01_INPUTS!Q28,2000000)-(P127+Q139+Q140+Q141),-MIN(P134,MAX(0,(P127+Q139+Q140+Q141)-IF(ISNUMBER(01_INPUTS!Q28),01_INPUTS!Q28,2000000))))</f>
        <v>-0</v>
      </c>
      <c r="R142" s="36" t="n">
        <f aca="false">IF((Q127+R139+R140+R141)&lt;IF(ISNUMBER(01_INPUTS!R28),01_INPUTS!R28,2000000),IF(ISNUMBER(01_INPUTS!R28),01_INPUTS!R28,2000000)-(Q127+R139+R140+R141),-MIN(Q134,MAX(0,(Q127+R139+R140+R141)-IF(ISNUMBER(01_INPUTS!R28),01_INPUTS!R28,2000000))))</f>
        <v>-0</v>
      </c>
      <c r="S142" s="36" t="n">
        <f aca="false">IF((R127+S139+S140+S141)&lt;IF(ISNUMBER(01_INPUTS!S28),01_INPUTS!S28,2000000),IF(ISNUMBER(01_INPUTS!S28),01_INPUTS!S28,2000000)-(R127+S139+S140+S141),-MIN(R134,MAX(0,(R127+S139+S140+S141)-IF(ISNUMBER(01_INPUTS!S28),01_INPUTS!S28,2000000))))</f>
        <v>-0</v>
      </c>
    </row>
    <row r="143" customFormat="false" ht="15" hidden="false" customHeight="false" outlineLevel="0" collapsed="false">
      <c r="A143" s="73" t="s">
        <v>1062</v>
      </c>
      <c r="B143" s="74" t="s">
        <v>299</v>
      </c>
      <c r="C143" s="66" t="s">
        <v>72</v>
      </c>
      <c r="D143" s="43" t="s">
        <v>81</v>
      </c>
      <c r="E143" s="75" t="s">
        <v>917</v>
      </c>
      <c r="F143" s="76"/>
      <c r="G143" s="85" t="n">
        <v>0</v>
      </c>
      <c r="H143" s="77" t="n">
        <v>530526051.538939</v>
      </c>
      <c r="I143" s="78" t="n">
        <f aca="false">I139+I140+I141+I142</f>
        <v>8213843443.61437</v>
      </c>
      <c r="J143" s="78" t="n">
        <f aca="false">J139+J140+J141+J142</f>
        <v>1284761615.00452</v>
      </c>
      <c r="K143" s="78" t="n">
        <f aca="false">K139+K140+K141+K142</f>
        <v>249813838.194239</v>
      </c>
      <c r="L143" s="78" t="n">
        <f aca="false">L139+L140+L141+L142</f>
        <v>255734426.159443</v>
      </c>
      <c r="M143" s="78" t="n">
        <f aca="false">M139+M140+M141+M142</f>
        <v>261795332.059421</v>
      </c>
      <c r="N143" s="78" t="n">
        <f aca="false">N139+N140+N141+N142</f>
        <v>267999881.42923</v>
      </c>
      <c r="O143" s="78" t="n">
        <f aca="false">O139+O140+O141+O142</f>
        <v>274351478.619102</v>
      </c>
      <c r="P143" s="78" t="n">
        <f aca="false">P139+P140+P141+P142</f>
        <v>280853608.662375</v>
      </c>
      <c r="Q143" s="78" t="n">
        <f aca="false">Q139+Q140+Q141+Q142</f>
        <v>287509839.187673</v>
      </c>
      <c r="R143" s="78" t="n">
        <f aca="false">R139+R140+R141+R142</f>
        <v>294323822.376421</v>
      </c>
      <c r="S143" s="78" t="n">
        <f aca="false">S139+S140+S141+S142</f>
        <v>301299296.966742</v>
      </c>
    </row>
    <row r="144" customFormat="false" ht="15" hidden="false" customHeight="false" outlineLevel="0" collapsed="false">
      <c r="A144" s="73" t="s">
        <v>1062</v>
      </c>
      <c r="B144" s="74" t="s">
        <v>300</v>
      </c>
      <c r="C144" s="66" t="s">
        <v>72</v>
      </c>
      <c r="D144" s="43" t="s">
        <v>81</v>
      </c>
      <c r="E144" s="75" t="s">
        <v>917</v>
      </c>
      <c r="F144" s="76"/>
      <c r="G144" s="85" t="n">
        <v>1730444000</v>
      </c>
      <c r="H144" s="85" t="n">
        <v>1178203834.74677</v>
      </c>
      <c r="I144" s="36" t="n">
        <f aca="false">H127</f>
        <v>1708729886.28571</v>
      </c>
      <c r="J144" s="36" t="n">
        <f aca="false">I127</f>
        <v>9922573329.90008</v>
      </c>
      <c r="K144" s="36" t="n">
        <f aca="false">J127</f>
        <v>11207334944.9046</v>
      </c>
      <c r="L144" s="36" t="n">
        <f aca="false">K127</f>
        <v>11457148783.0988</v>
      </c>
      <c r="M144" s="36" t="n">
        <f aca="false">L127</f>
        <v>11712883209.2583</v>
      </c>
      <c r="N144" s="36" t="n">
        <f aca="false">M127</f>
        <v>11974678541.3177</v>
      </c>
      <c r="O144" s="36" t="n">
        <f aca="false">N127</f>
        <v>12242678422.7469</v>
      </c>
      <c r="P144" s="36" t="n">
        <f aca="false">O127</f>
        <v>12517029901.366</v>
      </c>
      <c r="Q144" s="36" t="n">
        <f aca="false">P127</f>
        <v>12797883510.0284</v>
      </c>
      <c r="R144" s="36" t="n">
        <f aca="false">Q127</f>
        <v>13085393349.2161</v>
      </c>
      <c r="S144" s="36" t="n">
        <f aca="false">R127</f>
        <v>13379717171.5925</v>
      </c>
    </row>
    <row r="145" customFormat="false" ht="15" hidden="false" customHeight="false" outlineLevel="0" collapsed="false">
      <c r="A145" s="73" t="s">
        <v>1062</v>
      </c>
      <c r="B145" s="74" t="s">
        <v>301</v>
      </c>
      <c r="C145" s="66" t="s">
        <v>72</v>
      </c>
      <c r="D145" s="43" t="s">
        <v>81</v>
      </c>
      <c r="E145" s="75" t="s">
        <v>917</v>
      </c>
      <c r="F145" s="76"/>
      <c r="G145" s="36" t="n">
        <f aca="false">G127</f>
        <v>1178203834.74677</v>
      </c>
      <c r="H145" s="78" t="n">
        <f aca="false">H127</f>
        <v>1708729886.28571</v>
      </c>
      <c r="I145" s="78" t="n">
        <f aca="false">I144+I143</f>
        <v>9922573329.90008</v>
      </c>
      <c r="J145" s="78" t="n">
        <f aca="false">J144+J143</f>
        <v>11207334944.9046</v>
      </c>
      <c r="K145" s="78" t="n">
        <f aca="false">K144+K143</f>
        <v>11457148783.0988</v>
      </c>
      <c r="L145" s="78" t="n">
        <f aca="false">L144+L143</f>
        <v>11712883209.2583</v>
      </c>
      <c r="M145" s="78" t="n">
        <f aca="false">M144+M143</f>
        <v>11974678541.3177</v>
      </c>
      <c r="N145" s="78" t="n">
        <f aca="false">N144+N143</f>
        <v>12242678422.7469</v>
      </c>
      <c r="O145" s="78" t="n">
        <f aca="false">O144+O143</f>
        <v>12517029901.366</v>
      </c>
      <c r="P145" s="78" t="n">
        <f aca="false">P144+P143</f>
        <v>12797883510.0284</v>
      </c>
      <c r="Q145" s="78" t="n">
        <f aca="false">Q144+Q143</f>
        <v>13085393349.2161</v>
      </c>
      <c r="R145" s="78" t="n">
        <f aca="false">R144+R143</f>
        <v>13379717171.5925</v>
      </c>
      <c r="S145" s="78" t="n">
        <f aca="false">S144+S143</f>
        <v>13681016468.5592</v>
      </c>
    </row>
    <row r="151" customFormat="false" ht="15" hidden="false" customHeight="false" outlineLevel="0" collapsed="false">
      <c r="A151" s="5" t="s">
        <v>1075</v>
      </c>
      <c r="B151" s="5"/>
      <c r="C151" s="5"/>
      <c r="D151" s="5"/>
      <c r="E151" s="5"/>
      <c r="F151" s="5"/>
      <c r="G151" s="5"/>
      <c r="H151" s="5"/>
      <c r="I151" s="5"/>
      <c r="J151" s="5"/>
      <c r="K151" s="5"/>
      <c r="L151" s="5"/>
      <c r="M151" s="5"/>
      <c r="N151" s="5"/>
      <c r="O151" s="5"/>
      <c r="P151" s="5"/>
      <c r="Q151" s="5"/>
      <c r="R151" s="5"/>
      <c r="S151" s="5"/>
    </row>
    <row r="152" customFormat="false" ht="35.05" hidden="false" customHeight="false" outlineLevel="0" collapsed="false">
      <c r="A152" s="73" t="s">
        <v>898</v>
      </c>
      <c r="B152" s="74" t="s">
        <v>1076</v>
      </c>
      <c r="C152" s="66" t="s">
        <v>67</v>
      </c>
      <c r="D152" s="43" t="s">
        <v>42</v>
      </c>
      <c r="E152" s="75" t="s">
        <v>1077</v>
      </c>
      <c r="F152" s="76" t="s">
        <v>1078</v>
      </c>
      <c r="G152" s="92" t="n">
        <v>0.0271</v>
      </c>
    </row>
    <row r="153" customFormat="false" ht="35.05" hidden="false" customHeight="false" outlineLevel="0" collapsed="false">
      <c r="A153" s="73" t="s">
        <v>898</v>
      </c>
      <c r="B153" s="74" t="s">
        <v>1076</v>
      </c>
      <c r="C153" s="66" t="s">
        <v>71</v>
      </c>
      <c r="D153" s="43" t="s">
        <v>42</v>
      </c>
      <c r="E153" s="75" t="s">
        <v>1077</v>
      </c>
      <c r="F153" s="76" t="s">
        <v>1078</v>
      </c>
      <c r="G153" s="92" t="n">
        <v>0.0358</v>
      </c>
    </row>
    <row r="154" customFormat="false" ht="35.05" hidden="false" customHeight="false" outlineLevel="0" collapsed="false">
      <c r="A154" s="73" t="s">
        <v>898</v>
      </c>
      <c r="B154" s="74" t="s">
        <v>1076</v>
      </c>
      <c r="C154" s="66" t="s">
        <v>72</v>
      </c>
      <c r="D154" s="43" t="s">
        <v>42</v>
      </c>
      <c r="E154" s="75" t="s">
        <v>1077</v>
      </c>
      <c r="F154" s="76" t="s">
        <v>1078</v>
      </c>
      <c r="G154" s="92" t="n">
        <v>0.0385</v>
      </c>
    </row>
    <row r="155" customFormat="false" ht="21.6" hidden="false" customHeight="false" outlineLevel="0" collapsed="false">
      <c r="A155" s="73" t="s">
        <v>898</v>
      </c>
      <c r="B155" s="74" t="s">
        <v>1079</v>
      </c>
      <c r="C155" s="66" t="s">
        <v>67</v>
      </c>
      <c r="D155" s="43" t="s">
        <v>42</v>
      </c>
      <c r="E155" s="75" t="s">
        <v>1077</v>
      </c>
      <c r="F155" s="76" t="s">
        <v>1080</v>
      </c>
      <c r="G155" s="92" t="n">
        <v>0.0359</v>
      </c>
    </row>
    <row r="156" customFormat="false" ht="21.6" hidden="false" customHeight="false" outlineLevel="0" collapsed="false">
      <c r="A156" s="73" t="s">
        <v>898</v>
      </c>
      <c r="B156" s="74" t="s">
        <v>1079</v>
      </c>
      <c r="C156" s="66" t="s">
        <v>71</v>
      </c>
      <c r="D156" s="43" t="s">
        <v>42</v>
      </c>
      <c r="E156" s="75" t="s">
        <v>1077</v>
      </c>
      <c r="F156" s="76" t="s">
        <v>1080</v>
      </c>
      <c r="G156" s="92" t="n">
        <v>0.0363</v>
      </c>
    </row>
    <row r="157" customFormat="false" ht="21.6" hidden="false" customHeight="false" outlineLevel="0" collapsed="false">
      <c r="A157" s="73" t="s">
        <v>898</v>
      </c>
      <c r="B157" s="74" t="s">
        <v>1079</v>
      </c>
      <c r="C157" s="66" t="s">
        <v>72</v>
      </c>
      <c r="D157" s="43" t="s">
        <v>42</v>
      </c>
      <c r="E157" s="75" t="s">
        <v>1077</v>
      </c>
      <c r="F157" s="76" t="s">
        <v>1080</v>
      </c>
      <c r="G157" s="92" t="n">
        <v>0.0075</v>
      </c>
    </row>
    <row r="159" customFormat="false" ht="15" hidden="false" customHeight="false" outlineLevel="0" collapsed="false">
      <c r="A159" s="5" t="s">
        <v>1081</v>
      </c>
      <c r="B159" s="5"/>
      <c r="C159" s="5"/>
      <c r="D159" s="5"/>
      <c r="E159" s="5"/>
      <c r="F159" s="5"/>
      <c r="G159" s="5"/>
      <c r="H159" s="5"/>
      <c r="I159" s="5"/>
      <c r="J159" s="5"/>
      <c r="K159" s="5"/>
      <c r="L159" s="5"/>
      <c r="M159" s="5"/>
      <c r="N159" s="5"/>
      <c r="O159" s="5"/>
      <c r="P159" s="5"/>
      <c r="Q159" s="5"/>
      <c r="R159" s="5"/>
      <c r="S159" s="5"/>
    </row>
    <row r="160" customFormat="false" ht="15" hidden="false" customHeight="false" outlineLevel="0" collapsed="false">
      <c r="A160" s="73" t="s">
        <v>1082</v>
      </c>
      <c r="B160" s="74" t="s">
        <v>267</v>
      </c>
      <c r="C160" s="66" t="s">
        <v>105</v>
      </c>
      <c r="D160" s="43" t="s">
        <v>81</v>
      </c>
      <c r="E160" s="75" t="s">
        <v>917</v>
      </c>
      <c r="F160" s="76" t="s">
        <v>1083</v>
      </c>
      <c r="G160" s="85" t="n">
        <v>39489000000</v>
      </c>
      <c r="H160" s="48" t="s">
        <v>1084</v>
      </c>
      <c r="I160" s="78" t="n">
        <f aca="false">I5+I52+I99</f>
        <v>76940912697.0266</v>
      </c>
      <c r="J160" s="78" t="n">
        <f aca="false">J5+J52+J99</f>
        <v>0</v>
      </c>
      <c r="K160" s="78" t="n">
        <f aca="false">K5+K52+K99</f>
        <v>0</v>
      </c>
      <c r="L160" s="78" t="n">
        <f aca="false">L5+L52+L99</f>
        <v>0</v>
      </c>
      <c r="M160" s="78" t="n">
        <f aca="false">M5+M52+M99</f>
        <v>0</v>
      </c>
      <c r="N160" s="78" t="n">
        <f aca="false">N5+N52+N99</f>
        <v>0</v>
      </c>
      <c r="O160" s="78" t="n">
        <f aca="false">O5+O52+O99</f>
        <v>0</v>
      </c>
      <c r="P160" s="78" t="n">
        <f aca="false">P5+P52+P99</f>
        <v>0</v>
      </c>
      <c r="Q160" s="78" t="n">
        <f aca="false">Q5+Q52+Q99</f>
        <v>0</v>
      </c>
      <c r="R160" s="78" t="n">
        <f aca="false">R5+R52+R99</f>
        <v>0</v>
      </c>
      <c r="S160" s="78" t="n">
        <f aca="false">S5+S52+S99</f>
        <v>0</v>
      </c>
    </row>
    <row r="161" customFormat="false" ht="28.35" hidden="false" customHeight="false" outlineLevel="0" collapsed="false">
      <c r="A161" s="73" t="s">
        <v>1082</v>
      </c>
      <c r="B161" s="74" t="s">
        <v>271</v>
      </c>
      <c r="C161" s="66" t="s">
        <v>105</v>
      </c>
      <c r="D161" s="43" t="s">
        <v>81</v>
      </c>
      <c r="E161" s="75" t="s">
        <v>917</v>
      </c>
      <c r="F161" s="76" t="s">
        <v>1085</v>
      </c>
      <c r="G161" s="85" t="n">
        <v>35337849217.5511</v>
      </c>
      <c r="H161" s="48" t="s">
        <v>336</v>
      </c>
      <c r="I161" s="78" t="n">
        <f aca="false">(I8+I10+I12+I15+I16+I17)+(I55+I57+I59+I62+I63+I64)+(I102+I104+I106+I109+I110+I111)</f>
        <v>58142482938.3097</v>
      </c>
      <c r="J161" s="78" t="n">
        <f aca="false">(J8+J10+J12+J15+J16+J17)+(J55+J57+J59+J62+J63+J64)+(J102+J104+J106+J109+J110+J111)</f>
        <v>344120000</v>
      </c>
      <c r="K161" s="78" t="n">
        <f aca="false">(K8+K10+K12+K15+K16+K17)+(K55+K57+K59+K62+K63+K64)+(K102+K104+K106+K109+K110+K111)</f>
        <v>183000000</v>
      </c>
      <c r="L161" s="78" t="n">
        <f aca="false">(L8+L10+L12+L15+L16+L17)+(L55+L57+L59+L62+L63+L64)+(L102+L104+L106+L109+L110+L111)</f>
        <v>183000000</v>
      </c>
      <c r="M161" s="78" t="n">
        <f aca="false">(M8+M10+M12+M15+M16+M17)+(M55+M57+M59+M62+M63+M64)+(M102+M104+M106+M109+M110+M111)</f>
        <v>183000000</v>
      </c>
      <c r="N161" s="78" t="n">
        <f aca="false">(N8+N10+N12+N15+N16+N17)+(N55+N57+N59+N62+N63+N64)+(N102+N104+N106+N109+N110+N111)</f>
        <v>183000000</v>
      </c>
      <c r="O161" s="78" t="n">
        <f aca="false">(O8+O10+O12+O15+O16+O17)+(O55+O57+O59+O62+O63+O64)+(O102+O104+O106+O109+O110+O111)</f>
        <v>183000000</v>
      </c>
      <c r="P161" s="78" t="n">
        <f aca="false">(P8+P10+P12+P15+P16+P17)+(P55+P57+P59+P62+P63+P64)+(P102+P104+P106+P109+P110+P111)</f>
        <v>183000000</v>
      </c>
      <c r="Q161" s="78" t="n">
        <f aca="false">(Q8+Q10+Q12+Q15+Q16+Q17)+(Q55+Q57+Q59+Q62+Q63+Q64)+(Q102+Q104+Q106+Q109+Q110+Q111)</f>
        <v>183000000</v>
      </c>
      <c r="R161" s="78" t="n">
        <f aca="false">(R8+R10+R12+R15+R16+R17)+(R55+R57+R59+R62+R63+R64)+(R102+R104+R106+R109+R110+R111)</f>
        <v>183000000</v>
      </c>
      <c r="S161" s="78" t="n">
        <f aca="false">(S8+S10+S12+S15+S16+S17)+(S55+S57+S59+S62+S63+S64)+(S102+S104+S106+S109+S110+S111)</f>
        <v>183000000</v>
      </c>
    </row>
    <row r="162" customFormat="false" ht="15" hidden="false" customHeight="false" outlineLevel="0" collapsed="false">
      <c r="A162" s="73" t="s">
        <v>1082</v>
      </c>
      <c r="B162" s="74" t="s">
        <v>272</v>
      </c>
      <c r="C162" s="66" t="s">
        <v>105</v>
      </c>
      <c r="D162" s="43" t="s">
        <v>81</v>
      </c>
      <c r="E162" s="75" t="s">
        <v>917</v>
      </c>
      <c r="F162" s="76"/>
      <c r="G162" s="85" t="n">
        <v>4151150782.44887</v>
      </c>
      <c r="H162" s="48" t="s">
        <v>336</v>
      </c>
      <c r="I162" s="78" t="n">
        <f aca="false">I160-I161</f>
        <v>18798429758.717</v>
      </c>
      <c r="J162" s="78" t="n">
        <f aca="false">J160-J161</f>
        <v>-344120000</v>
      </c>
      <c r="K162" s="78" t="n">
        <f aca="false">K160-K161</f>
        <v>-183000000</v>
      </c>
      <c r="L162" s="78" t="n">
        <f aca="false">L160-L161</f>
        <v>-183000000</v>
      </c>
      <c r="M162" s="78" t="n">
        <f aca="false">M160-M161</f>
        <v>-183000000</v>
      </c>
      <c r="N162" s="78" t="n">
        <f aca="false">N160-N161</f>
        <v>-183000000</v>
      </c>
      <c r="O162" s="78" t="n">
        <f aca="false">O160-O161</f>
        <v>-183000000</v>
      </c>
      <c r="P162" s="78" t="n">
        <f aca="false">P160-P161</f>
        <v>-183000000</v>
      </c>
      <c r="Q162" s="78" t="n">
        <f aca="false">Q160-Q161</f>
        <v>-183000000</v>
      </c>
      <c r="R162" s="78" t="n">
        <f aca="false">R160-R161</f>
        <v>-183000000</v>
      </c>
      <c r="S162" s="78" t="n">
        <f aca="false">S160-S161</f>
        <v>-183000000</v>
      </c>
    </row>
    <row r="163" customFormat="false" ht="15" hidden="false" customHeight="false" outlineLevel="0" collapsed="false">
      <c r="A163" s="73" t="s">
        <v>1082</v>
      </c>
      <c r="B163" s="74" t="s">
        <v>274</v>
      </c>
      <c r="C163" s="66" t="s">
        <v>105</v>
      </c>
      <c r="D163" s="43" t="s">
        <v>81</v>
      </c>
      <c r="E163" s="75" t="s">
        <v>917</v>
      </c>
      <c r="F163" s="76"/>
      <c r="G163" s="85" t="n">
        <v>1203133800</v>
      </c>
      <c r="H163" s="85" t="n">
        <v>1082820420</v>
      </c>
      <c r="I163" s="36" t="n">
        <f aca="false">I20+I67+I114</f>
        <v>976338378</v>
      </c>
      <c r="J163" s="36" t="n">
        <f aca="false">J20+J67+J114</f>
        <v>878704540.2</v>
      </c>
      <c r="K163" s="36" t="n">
        <f aca="false">K20+K67+K114</f>
        <v>790834086.18</v>
      </c>
      <c r="L163" s="36" t="n">
        <f aca="false">L20+L67+L114</f>
        <v>711750677.562</v>
      </c>
      <c r="M163" s="36" t="n">
        <f aca="false">M20+M67+M114</f>
        <v>640575609.8058</v>
      </c>
      <c r="N163" s="36" t="n">
        <f aca="false">N20+N67+N114</f>
        <v>576518048.82522</v>
      </c>
      <c r="O163" s="36" t="n">
        <f aca="false">O20+O67+O114</f>
        <v>518866243.942698</v>
      </c>
      <c r="P163" s="36" t="n">
        <f aca="false">P20+P67+P114</f>
        <v>466979619.548428</v>
      </c>
      <c r="Q163" s="36" t="n">
        <f aca="false">Q20+Q67+Q114</f>
        <v>420281657.593585</v>
      </c>
      <c r="R163" s="36" t="n">
        <f aca="false">R20+R67+R114</f>
        <v>378253491.834227</v>
      </c>
      <c r="S163" s="36" t="n">
        <f aca="false">S20+S67+S114</f>
        <v>340428142.650804</v>
      </c>
    </row>
    <row r="164" customFormat="false" ht="15" hidden="false" customHeight="false" outlineLevel="0" collapsed="false">
      <c r="A164" s="73" t="s">
        <v>1082</v>
      </c>
      <c r="B164" s="74" t="s">
        <v>275</v>
      </c>
      <c r="C164" s="66" t="s">
        <v>105</v>
      </c>
      <c r="D164" s="43" t="s">
        <v>81</v>
      </c>
      <c r="E164" s="75" t="s">
        <v>917</v>
      </c>
      <c r="F164" s="76"/>
      <c r="G164" s="85" t="n">
        <v>2948016982.44887</v>
      </c>
      <c r="H164" s="48" t="s">
        <v>336</v>
      </c>
      <c r="I164" s="78" t="n">
        <f aca="false">I162-I163</f>
        <v>17822091380.717</v>
      </c>
      <c r="J164" s="78" t="n">
        <f aca="false">J162-J163</f>
        <v>-1222824540.2</v>
      </c>
      <c r="K164" s="78" t="n">
        <f aca="false">K162-K163</f>
        <v>-973834086.18</v>
      </c>
      <c r="L164" s="78" t="n">
        <f aca="false">L162-L163</f>
        <v>-894750677.562</v>
      </c>
      <c r="M164" s="78" t="n">
        <f aca="false">M162-M163</f>
        <v>-823575609.8058</v>
      </c>
      <c r="N164" s="78" t="n">
        <f aca="false">N162-N163</f>
        <v>-759518048.82522</v>
      </c>
      <c r="O164" s="78" t="n">
        <f aca="false">O162-O163</f>
        <v>-701866243.942698</v>
      </c>
      <c r="P164" s="78" t="n">
        <f aca="false">P162-P163</f>
        <v>-649979619.548428</v>
      </c>
      <c r="Q164" s="78" t="n">
        <f aca="false">Q162-Q163</f>
        <v>-603281657.593586</v>
      </c>
      <c r="R164" s="78" t="n">
        <f aca="false">R162-R163</f>
        <v>-561253491.834227</v>
      </c>
      <c r="S164" s="78" t="n">
        <f aca="false">S162-S163</f>
        <v>-523428142.650804</v>
      </c>
    </row>
    <row r="165" customFormat="false" ht="21.6" hidden="false" customHeight="false" outlineLevel="0" collapsed="false">
      <c r="A165" s="73" t="s">
        <v>1082</v>
      </c>
      <c r="B165" s="74" t="s">
        <v>276</v>
      </c>
      <c r="C165" s="66" t="s">
        <v>105</v>
      </c>
      <c r="D165" s="43" t="s">
        <v>81</v>
      </c>
      <c r="E165" s="75" t="s">
        <v>917</v>
      </c>
      <c r="F165" s="76" t="s">
        <v>1086</v>
      </c>
      <c r="G165" s="85" t="n">
        <v>642707584.62952</v>
      </c>
      <c r="H165" s="48" t="s">
        <v>336</v>
      </c>
      <c r="I165" s="36" t="n">
        <f aca="false">I22+I69+I116</f>
        <v>374750153.376885</v>
      </c>
      <c r="J165" s="36" t="n">
        <f aca="false">J22+J69+J116</f>
        <v>-357135772.232062</v>
      </c>
      <c r="K165" s="36" t="n">
        <f aca="false">K22+K69+K116</f>
        <v>-388243927.001223</v>
      </c>
      <c r="L165" s="36" t="n">
        <f aca="false">L22+L69+L116</f>
        <v>-393222434.860907</v>
      </c>
      <c r="M165" s="36" t="n">
        <f aca="false">M22+M69+M116</f>
        <v>-398368193.799037</v>
      </c>
      <c r="N165" s="36" t="n">
        <f aca="false">N22+N69+N116</f>
        <v>-403452081.07813</v>
      </c>
      <c r="O165" s="36" t="n">
        <f aca="false">O22+O69+O116</f>
        <v>-408485343.917024</v>
      </c>
      <c r="P165" s="36" t="n">
        <f aca="false">P22+P69+P116</f>
        <v>-413478040.464383</v>
      </c>
      <c r="Q165" s="36" t="n">
        <f aca="false">Q22+Q69+Q116</f>
        <v>-418439151.562511</v>
      </c>
      <c r="R165" s="36" t="n">
        <f aca="false">R22+R69+R116</f>
        <v>-423376681.013061</v>
      </c>
      <c r="S165" s="36" t="n">
        <f aca="false">S22+S69+S116</f>
        <v>-428297745.48371</v>
      </c>
    </row>
    <row r="166" customFormat="false" ht="15" hidden="false" customHeight="false" outlineLevel="0" collapsed="false">
      <c r="A166" s="73" t="s">
        <v>1082</v>
      </c>
      <c r="B166" s="74" t="s">
        <v>277</v>
      </c>
      <c r="C166" s="66" t="s">
        <v>105</v>
      </c>
      <c r="D166" s="43" t="s">
        <v>81</v>
      </c>
      <c r="E166" s="75" t="s">
        <v>917</v>
      </c>
      <c r="F166" s="76"/>
      <c r="G166" s="85" t="n">
        <v>2305309397.81935</v>
      </c>
      <c r="H166" s="48" t="s">
        <v>336</v>
      </c>
      <c r="I166" s="78" t="n">
        <f aca="false">I164-I165</f>
        <v>17447341227.3401</v>
      </c>
      <c r="J166" s="78" t="n">
        <f aca="false">J164-J165</f>
        <v>-865688767.967938</v>
      </c>
      <c r="K166" s="78" t="n">
        <f aca="false">K164-K165</f>
        <v>-585590159.178777</v>
      </c>
      <c r="L166" s="78" t="n">
        <f aca="false">L164-L165</f>
        <v>-501528242.701093</v>
      </c>
      <c r="M166" s="78" t="n">
        <f aca="false">M164-M165</f>
        <v>-425207416.006763</v>
      </c>
      <c r="N166" s="78" t="n">
        <f aca="false">N164-N165</f>
        <v>-356065967.74709</v>
      </c>
      <c r="O166" s="78" t="n">
        <f aca="false">O164-O165</f>
        <v>-293380900.025674</v>
      </c>
      <c r="P166" s="78" t="n">
        <f aca="false">P164-P165</f>
        <v>-236501579.084045</v>
      </c>
      <c r="Q166" s="78" t="n">
        <f aca="false">Q164-Q165</f>
        <v>-184842506.031074</v>
      </c>
      <c r="R166" s="78" t="n">
        <f aca="false">R164-R165</f>
        <v>-137876810.821166</v>
      </c>
      <c r="S166" s="78" t="n">
        <f aca="false">S164-S165</f>
        <v>-95130397.1670941</v>
      </c>
    </row>
    <row r="167" customFormat="false" ht="15" hidden="false" customHeight="false" outlineLevel="0" collapsed="false">
      <c r="A167" s="73" t="s">
        <v>1082</v>
      </c>
      <c r="B167" s="74" t="s">
        <v>278</v>
      </c>
      <c r="C167" s="66" t="s">
        <v>105</v>
      </c>
      <c r="D167" s="43" t="s">
        <v>81</v>
      </c>
      <c r="E167" s="75" t="s">
        <v>917</v>
      </c>
      <c r="F167" s="76" t="s">
        <v>1087</v>
      </c>
      <c r="G167" s="85" t="n">
        <v>563691413.924514</v>
      </c>
      <c r="H167" s="48" t="s">
        <v>336</v>
      </c>
      <c r="I167" s="36" t="n">
        <f aca="false">I28+I75+I122</f>
        <v>3832275035.27451</v>
      </c>
      <c r="J167" s="36" t="n">
        <f aca="false">J28+J75+J122</f>
        <v>85090374.9736374</v>
      </c>
      <c r="K167" s="36" t="n">
        <f aca="false">K28+K75+K122</f>
        <v>110496939.093771</v>
      </c>
      <c r="L167" s="36" t="n">
        <f aca="false">L28+L75+L122</f>
        <v>118919782.921298</v>
      </c>
      <c r="M167" s="36" t="n">
        <f aca="false">M28+M75+M122</f>
        <v>127175504.78588</v>
      </c>
      <c r="N167" s="36" t="n">
        <f aca="false">N28+N75+N122</f>
        <v>135289166.853121</v>
      </c>
      <c r="O167" s="36" t="n">
        <f aca="false">O28+O75+O122</f>
        <v>143299672.33706</v>
      </c>
      <c r="P167" s="36" t="n">
        <f aca="false">P28+P75+P122</f>
        <v>151242969.996904</v>
      </c>
      <c r="Q167" s="36" t="n">
        <f aca="false">Q28+Q75+Q122</f>
        <v>159152386.222409</v>
      </c>
      <c r="R167" s="36" t="n">
        <f aca="false">R28+R75+R122</f>
        <v>167058925.375556</v>
      </c>
      <c r="S167" s="36" t="n">
        <f aca="false">S28+S75+S122</f>
        <v>174991541.622225</v>
      </c>
    </row>
    <row r="168" customFormat="false" ht="15" hidden="false" customHeight="false" outlineLevel="0" collapsed="false">
      <c r="A168" s="73" t="s">
        <v>1082</v>
      </c>
      <c r="B168" s="74" t="s">
        <v>1042</v>
      </c>
      <c r="C168" s="66" t="s">
        <v>105</v>
      </c>
      <c r="D168" s="43" t="s">
        <v>81</v>
      </c>
      <c r="E168" s="75" t="s">
        <v>917</v>
      </c>
      <c r="F168" s="76"/>
      <c r="G168" s="85" t="n">
        <v>1741617983.89484</v>
      </c>
      <c r="H168" s="85" t="n">
        <v>3609336474.27</v>
      </c>
      <c r="I168" s="78" t="n">
        <f aca="false">I166-I167</f>
        <v>13615066192.0656</v>
      </c>
      <c r="J168" s="78" t="n">
        <f aca="false">J166-J167</f>
        <v>-950779142.941575</v>
      </c>
      <c r="K168" s="78" t="n">
        <f aca="false">K166-K167</f>
        <v>-696087098.272548</v>
      </c>
      <c r="L168" s="78" t="n">
        <f aca="false">L166-L167</f>
        <v>-620448025.622391</v>
      </c>
      <c r="M168" s="78" t="n">
        <f aca="false">M166-M167</f>
        <v>-552382920.792644</v>
      </c>
      <c r="N168" s="78" t="n">
        <f aca="false">N166-N167</f>
        <v>-491355134.600211</v>
      </c>
      <c r="O168" s="78" t="n">
        <f aca="false">O166-O167</f>
        <v>-436680572.362734</v>
      </c>
      <c r="P168" s="78" t="n">
        <f aca="false">P166-P167</f>
        <v>-387744549.08095</v>
      </c>
      <c r="Q168" s="78" t="n">
        <f aca="false">Q166-Q167</f>
        <v>-343994892.253483</v>
      </c>
      <c r="R168" s="78" t="n">
        <f aca="false">R166-R167</f>
        <v>-304935736.196722</v>
      </c>
      <c r="S168" s="78" t="n">
        <f aca="false">S166-S167</f>
        <v>-270121938.789319</v>
      </c>
    </row>
    <row r="169" customFormat="false" ht="15" hidden="false" customHeight="false" outlineLevel="0" collapsed="false">
      <c r="A169" s="73" t="s">
        <v>1082</v>
      </c>
      <c r="B169" s="74" t="s">
        <v>1088</v>
      </c>
      <c r="C169" s="66" t="s">
        <v>105</v>
      </c>
      <c r="D169" s="43" t="s">
        <v>81</v>
      </c>
      <c r="E169" s="75" t="s">
        <v>344</v>
      </c>
      <c r="F169" s="76" t="s">
        <v>1089</v>
      </c>
      <c r="G169" s="48" t="s">
        <v>1090</v>
      </c>
      <c r="H169" s="48" t="s">
        <v>1091</v>
      </c>
      <c r="I169" s="89" t="n">
        <f aca="false">I168-(I29+I76+I123)</f>
        <v>0</v>
      </c>
      <c r="J169" s="89" t="n">
        <f aca="false">J168-(J29+J76+J123)</f>
        <v>0</v>
      </c>
      <c r="K169" s="89" t="n">
        <f aca="false">K168-(K29+K76+K123)</f>
        <v>0</v>
      </c>
      <c r="L169" s="89" t="n">
        <f aca="false">L168-(L29+L76+L123)</f>
        <v>0</v>
      </c>
      <c r="M169" s="89" t="n">
        <f aca="false">M168-(M29+M76+M123)</f>
        <v>0</v>
      </c>
      <c r="N169" s="89" t="n">
        <f aca="false">N168-(N29+N76+N123)</f>
        <v>0</v>
      </c>
      <c r="O169" s="89" t="n">
        <f aca="false">O168-(O29+O76+O123)</f>
        <v>0</v>
      </c>
      <c r="P169" s="89" t="n">
        <f aca="false">P168-(P29+P76+P123)</f>
        <v>0</v>
      </c>
      <c r="Q169" s="89" t="n">
        <f aca="false">Q168-(Q29+Q76+Q123)</f>
        <v>0</v>
      </c>
      <c r="R169" s="89" t="n">
        <f aca="false">R168-(R29+R76+R123)</f>
        <v>0</v>
      </c>
      <c r="S169" s="89" t="n">
        <f aca="false">S168-(S29+S76+S123)</f>
        <v>0</v>
      </c>
    </row>
    <row r="171" customFormat="false" ht="15" hidden="false" customHeight="false" outlineLevel="0" collapsed="false">
      <c r="A171" s="5" t="s">
        <v>1092</v>
      </c>
      <c r="B171" s="5"/>
      <c r="C171" s="5"/>
      <c r="D171" s="5"/>
      <c r="E171" s="5"/>
      <c r="F171" s="5"/>
      <c r="G171" s="5"/>
      <c r="H171" s="5"/>
      <c r="I171" s="5"/>
      <c r="J171" s="5"/>
      <c r="K171" s="5"/>
      <c r="L171" s="5"/>
      <c r="M171" s="5"/>
      <c r="N171" s="5"/>
      <c r="O171" s="5"/>
      <c r="P171" s="5"/>
      <c r="Q171" s="5"/>
      <c r="R171" s="5"/>
      <c r="S171" s="5"/>
    </row>
    <row r="172" customFormat="false" ht="15" hidden="false" customHeight="false" outlineLevel="0" collapsed="false">
      <c r="A172" s="73" t="s">
        <v>1093</v>
      </c>
      <c r="B172" s="74" t="s">
        <v>281</v>
      </c>
      <c r="C172" s="66" t="s">
        <v>105</v>
      </c>
      <c r="D172" s="43" t="s">
        <v>81</v>
      </c>
      <c r="E172" s="75" t="s">
        <v>917</v>
      </c>
      <c r="F172" s="76" t="s">
        <v>1094</v>
      </c>
      <c r="G172" s="36" t="n">
        <f aca="false">G30+G77+G124</f>
        <v>10828204200</v>
      </c>
      <c r="H172" s="36" t="n">
        <f aca="false">H30+H77+H124</f>
        <v>9763383780</v>
      </c>
      <c r="I172" s="36" t="n">
        <f aca="false">I30+I77+I124</f>
        <v>8787045402</v>
      </c>
      <c r="J172" s="36" t="n">
        <f aca="false">J30+J77+J124</f>
        <v>7908340861.8</v>
      </c>
      <c r="K172" s="36" t="n">
        <f aca="false">K30+K77+K124</f>
        <v>7117506775.62</v>
      </c>
      <c r="L172" s="36" t="n">
        <f aca="false">L30+L77+L124</f>
        <v>6405756098.058</v>
      </c>
      <c r="M172" s="36" t="n">
        <f aca="false">M30+M77+M124</f>
        <v>5765180488.2522</v>
      </c>
      <c r="N172" s="36" t="n">
        <f aca="false">N30+N77+N124</f>
        <v>5188662439.42698</v>
      </c>
      <c r="O172" s="36" t="n">
        <f aca="false">O30+O77+O124</f>
        <v>4669796195.48428</v>
      </c>
      <c r="P172" s="36" t="n">
        <f aca="false">P30+P77+P124</f>
        <v>4202816575.93585</v>
      </c>
      <c r="Q172" s="36" t="n">
        <f aca="false">Q30+Q77+Q124</f>
        <v>3782534918.34227</v>
      </c>
      <c r="R172" s="36" t="n">
        <f aca="false">R30+R77+R124</f>
        <v>3404281426.50804</v>
      </c>
      <c r="S172" s="36" t="n">
        <f aca="false">S30+S77+S124</f>
        <v>3063853283.85724</v>
      </c>
    </row>
    <row r="173" customFormat="false" ht="15" hidden="false" customHeight="false" outlineLevel="0" collapsed="false">
      <c r="A173" s="73" t="s">
        <v>1093</v>
      </c>
      <c r="B173" s="74" t="s">
        <v>282</v>
      </c>
      <c r="C173" s="66" t="s">
        <v>105</v>
      </c>
      <c r="D173" s="43" t="s">
        <v>81</v>
      </c>
      <c r="E173" s="75" t="s">
        <v>917</v>
      </c>
      <c r="F173" s="76" t="s">
        <v>1095</v>
      </c>
      <c r="G173" s="36" t="n">
        <f aca="false">G31+G78+G125</f>
        <v>0</v>
      </c>
      <c r="H173" s="36" t="n">
        <f aca="false">H31+H78+H125</f>
        <v>8313255333.45181</v>
      </c>
      <c r="I173" s="36" t="n">
        <f aca="false">I31+I78+I125</f>
        <v>670282223.362773</v>
      </c>
      <c r="J173" s="36" t="n">
        <f aca="false">J31+J78+J125</f>
        <v>670282223.362773</v>
      </c>
      <c r="K173" s="36" t="n">
        <f aca="false">K31+K78+K125</f>
        <v>670282223.362773</v>
      </c>
      <c r="L173" s="36" t="n">
        <f aca="false">L31+L78+L125</f>
        <v>670282223.362773</v>
      </c>
      <c r="M173" s="36" t="n">
        <f aca="false">M31+M78+M125</f>
        <v>670282223.362773</v>
      </c>
      <c r="N173" s="36" t="n">
        <f aca="false">N31+N78+N125</f>
        <v>670282223.362773</v>
      </c>
      <c r="O173" s="36" t="n">
        <f aca="false">O31+O78+O125</f>
        <v>670282223.362773</v>
      </c>
      <c r="P173" s="36" t="n">
        <f aca="false">P31+P78+P125</f>
        <v>670282223.362773</v>
      </c>
      <c r="Q173" s="36" t="n">
        <f aca="false">Q31+Q78+Q125</f>
        <v>670282223.362773</v>
      </c>
      <c r="R173" s="36" t="n">
        <f aca="false">R31+R78+R125</f>
        <v>670282223.362773</v>
      </c>
      <c r="S173" s="36" t="n">
        <f aca="false">S31+S78+S125</f>
        <v>670282223.362773</v>
      </c>
    </row>
    <row r="174" customFormat="false" ht="15" hidden="false" customHeight="false" outlineLevel="0" collapsed="false">
      <c r="A174" s="73" t="s">
        <v>1093</v>
      </c>
      <c r="B174" s="74" t="s">
        <v>283</v>
      </c>
      <c r="C174" s="66" t="s">
        <v>105</v>
      </c>
      <c r="D174" s="43" t="s">
        <v>81</v>
      </c>
      <c r="E174" s="75" t="s">
        <v>917</v>
      </c>
      <c r="F174" s="76" t="s">
        <v>1096</v>
      </c>
      <c r="G174" s="36" t="n">
        <f aca="false">G32+G79+G126</f>
        <v>1520326500</v>
      </c>
      <c r="H174" s="36" t="n">
        <f aca="false">H32+H79+H126</f>
        <v>1789461458.58974</v>
      </c>
      <c r="I174" s="36" t="n">
        <f aca="false">I32+I79+I126</f>
        <v>3170513872.06625</v>
      </c>
      <c r="J174" s="36" t="n">
        <f aca="false">J32+J79+J126</f>
        <v>0</v>
      </c>
      <c r="K174" s="36" t="n">
        <f aca="false">K32+K79+K126</f>
        <v>0</v>
      </c>
      <c r="L174" s="36" t="n">
        <f aca="false">L32+L79+L126</f>
        <v>0</v>
      </c>
      <c r="M174" s="36" t="n">
        <f aca="false">M32+M79+M126</f>
        <v>0</v>
      </c>
      <c r="N174" s="36" t="n">
        <f aca="false">N32+N79+N126</f>
        <v>0</v>
      </c>
      <c r="O174" s="36" t="n">
        <f aca="false">O32+O79+O126</f>
        <v>0</v>
      </c>
      <c r="P174" s="36" t="n">
        <f aca="false">P32+P79+P126</f>
        <v>0</v>
      </c>
      <c r="Q174" s="36" t="n">
        <f aca="false">Q32+Q79+Q126</f>
        <v>0</v>
      </c>
      <c r="R174" s="36" t="n">
        <f aca="false">R32+R79+R126</f>
        <v>0</v>
      </c>
      <c r="S174" s="36" t="n">
        <f aca="false">S32+S79+S126</f>
        <v>0</v>
      </c>
    </row>
    <row r="175" customFormat="false" ht="15" hidden="false" customHeight="false" outlineLevel="0" collapsed="false">
      <c r="A175" s="73" t="s">
        <v>1093</v>
      </c>
      <c r="B175" s="74" t="s">
        <v>284</v>
      </c>
      <c r="C175" s="66" t="s">
        <v>105</v>
      </c>
      <c r="D175" s="43" t="s">
        <v>81</v>
      </c>
      <c r="E175" s="75" t="s">
        <v>917</v>
      </c>
      <c r="F175" s="76" t="s">
        <v>1097</v>
      </c>
      <c r="G175" s="36" t="n">
        <f aca="false">G33+G80+G127</f>
        <v>10817319047.8053</v>
      </c>
      <c r="H175" s="36" t="n">
        <f aca="false">H33+H80+H127</f>
        <v>5078588790.38561</v>
      </c>
      <c r="I175" s="36" t="n">
        <f aca="false">I33+I80+I127</f>
        <v>23640855094.9208</v>
      </c>
      <c r="J175" s="36" t="n">
        <f aca="false">J33+J80+J127</f>
        <v>24610402651.9148</v>
      </c>
      <c r="K175" s="36" t="n">
        <f aca="false">K33+K80+K127</f>
        <v>24699351110.0444</v>
      </c>
      <c r="L175" s="36" t="n">
        <f aca="false">L33+L80+L127</f>
        <v>24790653761.984</v>
      </c>
      <c r="M175" s="36" t="n">
        <f aca="false">M33+M80+M127</f>
        <v>24878846450.9972</v>
      </c>
      <c r="N175" s="36" t="n">
        <f aca="false">N33+N80+N127</f>
        <v>24964009365.2222</v>
      </c>
      <c r="O175" s="36" t="n">
        <f aca="false">O33+O80+O127</f>
        <v>25046195036.8022</v>
      </c>
      <c r="P175" s="36" t="n">
        <f aca="false">P33+P80+P127</f>
        <v>25125430107.2696</v>
      </c>
      <c r="Q175" s="36" t="n">
        <f aca="false">Q33+Q80+Q127</f>
        <v>25201716872.6098</v>
      </c>
      <c r="R175" s="36" t="n">
        <f aca="false">R33+R80+R127</f>
        <v>25275034628.2473</v>
      </c>
      <c r="S175" s="36" t="n">
        <f aca="false">S33+S80+S127</f>
        <v>25345340832.1087</v>
      </c>
    </row>
    <row r="176" customFormat="false" ht="15" hidden="false" customHeight="false" outlineLevel="0" collapsed="false">
      <c r="A176" s="73" t="s">
        <v>1093</v>
      </c>
      <c r="B176" s="74" t="s">
        <v>285</v>
      </c>
      <c r="C176" s="66" t="s">
        <v>105</v>
      </c>
      <c r="D176" s="43" t="s">
        <v>81</v>
      </c>
      <c r="E176" s="75" t="s">
        <v>917</v>
      </c>
      <c r="F176" s="76"/>
      <c r="G176" s="78" t="n">
        <f aca="false">G172+G173+G174+G175</f>
        <v>23165849747.8053</v>
      </c>
      <c r="H176" s="78" t="n">
        <f aca="false">H172+H173+H174+H175</f>
        <v>24944689362.4272</v>
      </c>
      <c r="I176" s="78" t="n">
        <f aca="false">I172+I173+I174+I175</f>
        <v>36268696592.3498</v>
      </c>
      <c r="J176" s="78" t="n">
        <f aca="false">J172+J173+J174+J175</f>
        <v>33189025737.0775</v>
      </c>
      <c r="K176" s="78" t="n">
        <f aca="false">K172+K173+K174+K175</f>
        <v>32487140109.0272</v>
      </c>
      <c r="L176" s="78" t="n">
        <f aca="false">L172+L173+L174+L175</f>
        <v>31866692083.4048</v>
      </c>
      <c r="M176" s="78" t="n">
        <f aca="false">M172+M173+M174+M175</f>
        <v>31314309162.6122</v>
      </c>
      <c r="N176" s="78" t="n">
        <f aca="false">N172+N173+N174+N175</f>
        <v>30822954028.012</v>
      </c>
      <c r="O176" s="78" t="n">
        <f aca="false">O172+O173+O174+O175</f>
        <v>30386273455.6492</v>
      </c>
      <c r="P176" s="78" t="n">
        <f aca="false">P172+P173+P174+P175</f>
        <v>29998528906.5683</v>
      </c>
      <c r="Q176" s="78" t="n">
        <f aca="false">Q172+Q173+Q174+Q175</f>
        <v>29654534014.3148</v>
      </c>
      <c r="R176" s="78" t="n">
        <f aca="false">R172+R173+R174+R175</f>
        <v>29349598278.1181</v>
      </c>
      <c r="S176" s="78" t="n">
        <f aca="false">S172+S173+S174+S175</f>
        <v>29079476339.3288</v>
      </c>
    </row>
    <row r="177" customFormat="false" ht="15" hidden="false" customHeight="false" outlineLevel="0" collapsed="false">
      <c r="A177" s="73" t="s">
        <v>1093</v>
      </c>
      <c r="B177" s="74" t="s">
        <v>290</v>
      </c>
      <c r="C177" s="66" t="s">
        <v>105</v>
      </c>
      <c r="D177" s="43" t="s">
        <v>81</v>
      </c>
      <c r="E177" s="75" t="s">
        <v>917</v>
      </c>
      <c r="F177" s="76" t="s">
        <v>1098</v>
      </c>
      <c r="G177" s="36" t="n">
        <f aca="false">G35+G82+G129</f>
        <v>5500000000</v>
      </c>
      <c r="H177" s="36" t="n">
        <f aca="false">H35+H82+H129</f>
        <v>5500000000</v>
      </c>
      <c r="I177" s="36" t="n">
        <f aca="false">I35+I82+I129</f>
        <v>5500000000</v>
      </c>
      <c r="J177" s="36" t="n">
        <f aca="false">J35+J82+J129</f>
        <v>5500000000</v>
      </c>
      <c r="K177" s="36" t="n">
        <f aca="false">K35+K82+K129</f>
        <v>5500000000</v>
      </c>
      <c r="L177" s="36" t="n">
        <f aca="false">L35+L82+L129</f>
        <v>5500000000</v>
      </c>
      <c r="M177" s="36" t="n">
        <f aca="false">M35+M82+M129</f>
        <v>5500000000</v>
      </c>
      <c r="N177" s="36" t="n">
        <f aca="false">N35+N82+N129</f>
        <v>5500000000</v>
      </c>
      <c r="O177" s="36" t="n">
        <f aca="false">O35+O82+O129</f>
        <v>5500000000</v>
      </c>
      <c r="P177" s="36" t="n">
        <f aca="false">P35+P82+P129</f>
        <v>5500000000</v>
      </c>
      <c r="Q177" s="36" t="n">
        <f aca="false">Q35+Q82+Q129</f>
        <v>5500000000</v>
      </c>
      <c r="R177" s="36" t="n">
        <f aca="false">R35+R82+R129</f>
        <v>5500000000</v>
      </c>
      <c r="S177" s="36" t="n">
        <f aca="false">S35+S82+S129</f>
        <v>5500000000</v>
      </c>
    </row>
    <row r="178" customFormat="false" ht="35.05" hidden="false" customHeight="false" outlineLevel="0" collapsed="false">
      <c r="A178" s="73" t="s">
        <v>1093</v>
      </c>
      <c r="B178" s="74" t="s">
        <v>1099</v>
      </c>
      <c r="C178" s="66" t="s">
        <v>105</v>
      </c>
      <c r="D178" s="43" t="s">
        <v>1100</v>
      </c>
      <c r="E178" s="75" t="s">
        <v>1101</v>
      </c>
      <c r="F178" s="76" t="s">
        <v>1102</v>
      </c>
      <c r="G178" s="85" t="n">
        <v>1625000000</v>
      </c>
      <c r="H178" s="85" t="n">
        <v>1625000000</v>
      </c>
      <c r="I178" s="36" t="n">
        <f aca="false">H178+IFERROR((IF(ISNUMBER(01_INPUTS!I268),01_INPUTS!I268,0)-IF(ISNUMBER(01_INPUTS!I269),01_INPUTS!I269,0))/01_INPUTS!I61,0)</f>
        <v>1625000000</v>
      </c>
      <c r="J178" s="36" t="n">
        <f aca="false">I178+IFERROR((IF(ISNUMBER(01_INPUTS!J268),01_INPUTS!J268,0)-IF(ISNUMBER(01_INPUTS!J269),01_INPUTS!J269,0))/01_INPUTS!J61,0)</f>
        <v>1625000000</v>
      </c>
      <c r="K178" s="36" t="n">
        <f aca="false">J178+IFERROR((IF(ISNUMBER(01_INPUTS!K268),01_INPUTS!K268,0)-IF(ISNUMBER(01_INPUTS!K269),01_INPUTS!K269,0))/01_INPUTS!K61,0)</f>
        <v>1625000000</v>
      </c>
      <c r="L178" s="36" t="n">
        <f aca="false">K178+IFERROR((IF(ISNUMBER(01_INPUTS!L268),01_INPUTS!L268,0)-IF(ISNUMBER(01_INPUTS!L269),01_INPUTS!L269,0))/01_INPUTS!L61,0)</f>
        <v>1625000000</v>
      </c>
      <c r="M178" s="36" t="n">
        <f aca="false">L178+IFERROR((IF(ISNUMBER(01_INPUTS!M268),01_INPUTS!M268,0)-IF(ISNUMBER(01_INPUTS!M269),01_INPUTS!M269,0))/01_INPUTS!M61,0)</f>
        <v>1625000000</v>
      </c>
      <c r="N178" s="36" t="n">
        <f aca="false">M178+IFERROR((IF(ISNUMBER(01_INPUTS!N268),01_INPUTS!N268,0)-IF(ISNUMBER(01_INPUTS!N269),01_INPUTS!N269,0))/01_INPUTS!N61,0)</f>
        <v>1625000000</v>
      </c>
      <c r="O178" s="36" t="n">
        <f aca="false">N178+IFERROR((IF(ISNUMBER(01_INPUTS!O268),01_INPUTS!O268,0)-IF(ISNUMBER(01_INPUTS!O269),01_INPUTS!O269,0))/01_INPUTS!O61,0)</f>
        <v>1625000000</v>
      </c>
      <c r="P178" s="36" t="n">
        <f aca="false">O178+IFERROR((IF(ISNUMBER(01_INPUTS!P268),01_INPUTS!P268,0)-IF(ISNUMBER(01_INPUTS!P269),01_INPUTS!P269,0))/01_INPUTS!P61,0)</f>
        <v>1625000000</v>
      </c>
      <c r="Q178" s="36" t="n">
        <f aca="false">P178+IFERROR((IF(ISNUMBER(01_INPUTS!Q268),01_INPUTS!Q268,0)-IF(ISNUMBER(01_INPUTS!Q269),01_INPUTS!Q269,0))/01_INPUTS!Q61,0)</f>
        <v>1625000000</v>
      </c>
      <c r="R178" s="36" t="n">
        <f aca="false">Q178+IFERROR((IF(ISNUMBER(01_INPUTS!R268),01_INPUTS!R268,0)-IF(ISNUMBER(01_INPUTS!R269),01_INPUTS!R269,0))/01_INPUTS!R61,0)</f>
        <v>1625000000</v>
      </c>
      <c r="S178" s="36" t="n">
        <f aca="false">R178+IFERROR((IF(ISNUMBER(01_INPUTS!S268),01_INPUTS!S268,0)-IF(ISNUMBER(01_INPUTS!S269),01_INPUTS!S269,0))/01_INPUTS!S61,0)</f>
        <v>1625000000</v>
      </c>
    </row>
    <row r="179" customFormat="false" ht="15" hidden="false" customHeight="false" outlineLevel="0" collapsed="false">
      <c r="A179" s="73" t="s">
        <v>1093</v>
      </c>
      <c r="B179" s="74" t="s">
        <v>291</v>
      </c>
      <c r="C179" s="66" t="s">
        <v>105</v>
      </c>
      <c r="D179" s="43" t="s">
        <v>81</v>
      </c>
      <c r="E179" s="75" t="s">
        <v>917</v>
      </c>
      <c r="F179" s="76" t="s">
        <v>1050</v>
      </c>
      <c r="G179" s="36" t="n">
        <f aca="false">G36+G83+G130</f>
        <v>0</v>
      </c>
      <c r="H179" s="36" t="n">
        <f aca="false">H36+H83+H130</f>
        <v>0</v>
      </c>
      <c r="I179" s="36" t="n">
        <f aca="false">I36+I83+I130</f>
        <v>0</v>
      </c>
      <c r="J179" s="36" t="n">
        <f aca="false">J36+J83+J130</f>
        <v>0</v>
      </c>
      <c r="K179" s="36" t="n">
        <f aca="false">K36+K83+K130</f>
        <v>0</v>
      </c>
      <c r="L179" s="36" t="n">
        <f aca="false">L36+L83+L130</f>
        <v>0</v>
      </c>
      <c r="M179" s="36" t="n">
        <f aca="false">M36+M83+M130</f>
        <v>0</v>
      </c>
      <c r="N179" s="36" t="n">
        <f aca="false">N36+N83+N130</f>
        <v>0</v>
      </c>
      <c r="O179" s="36" t="n">
        <f aca="false">O36+O83+O130</f>
        <v>0</v>
      </c>
      <c r="P179" s="36" t="n">
        <f aca="false">P36+P83+P130</f>
        <v>0</v>
      </c>
      <c r="Q179" s="36" t="n">
        <f aca="false">Q36+Q83+Q130</f>
        <v>0</v>
      </c>
      <c r="R179" s="36" t="n">
        <f aca="false">R36+R83+R130</f>
        <v>0</v>
      </c>
      <c r="S179" s="36" t="n">
        <f aca="false">S36+S83+S130</f>
        <v>0</v>
      </c>
    </row>
    <row r="180" customFormat="false" ht="15" hidden="false" customHeight="false" outlineLevel="0" collapsed="false">
      <c r="A180" s="73" t="s">
        <v>1093</v>
      </c>
      <c r="B180" s="74" t="s">
        <v>292</v>
      </c>
      <c r="C180" s="66" t="s">
        <v>105</v>
      </c>
      <c r="D180" s="43" t="s">
        <v>81</v>
      </c>
      <c r="E180" s="75" t="s">
        <v>917</v>
      </c>
      <c r="F180" s="76" t="s">
        <v>1103</v>
      </c>
      <c r="G180" s="36" t="n">
        <f aca="false">G37+G84+G131</f>
        <v>4503561983.89483</v>
      </c>
      <c r="H180" s="36" t="n">
        <f aca="false">H37+H84+H131</f>
        <v>6112898458.17575</v>
      </c>
      <c r="I180" s="36" t="n">
        <f aca="false">I37+I84+I131</f>
        <v>16727964650.2413</v>
      </c>
      <c r="J180" s="36" t="n">
        <f aca="false">J37+J84+J131</f>
        <v>15777185507.2998</v>
      </c>
      <c r="K180" s="36" t="n">
        <f aca="false">K37+K84+K131</f>
        <v>15081098409.0272</v>
      </c>
      <c r="L180" s="36" t="n">
        <f aca="false">L37+L84+L131</f>
        <v>14460650383.4048</v>
      </c>
      <c r="M180" s="36" t="n">
        <f aca="false">M37+M84+M131</f>
        <v>13908267462.6122</v>
      </c>
      <c r="N180" s="36" t="n">
        <f aca="false">N37+N84+N131</f>
        <v>13416912328.012</v>
      </c>
      <c r="O180" s="36" t="n">
        <f aca="false">O37+O84+O131</f>
        <v>12980231755.6492</v>
      </c>
      <c r="P180" s="36" t="n">
        <f aca="false">P37+P84+P131</f>
        <v>12592487206.5683</v>
      </c>
      <c r="Q180" s="36" t="n">
        <f aca="false">Q37+Q84+Q131</f>
        <v>12248492314.3148</v>
      </c>
      <c r="R180" s="36" t="n">
        <f aca="false">R37+R84+R131</f>
        <v>11943556578.1181</v>
      </c>
      <c r="S180" s="36" t="n">
        <f aca="false">S37+S84+S131</f>
        <v>11673434639.3288</v>
      </c>
    </row>
    <row r="181" customFormat="false" ht="15" hidden="false" customHeight="false" outlineLevel="0" collapsed="false">
      <c r="A181" s="73" t="s">
        <v>1093</v>
      </c>
      <c r="B181" s="74" t="s">
        <v>293</v>
      </c>
      <c r="C181" s="66" t="s">
        <v>105</v>
      </c>
      <c r="D181" s="43" t="s">
        <v>81</v>
      </c>
      <c r="E181" s="75" t="s">
        <v>917</v>
      </c>
      <c r="F181" s="76"/>
      <c r="G181" s="78" t="n">
        <f aca="false">G177+G179+G180</f>
        <v>10003561983.8948</v>
      </c>
      <c r="H181" s="78" t="n">
        <f aca="false">H177+H179+H180</f>
        <v>11612898458.1758</v>
      </c>
      <c r="I181" s="78" t="n">
        <f aca="false">I177+I179+I180</f>
        <v>22227964650.2413</v>
      </c>
      <c r="J181" s="78" t="n">
        <f aca="false">J177+J179+J180</f>
        <v>21277185507.2998</v>
      </c>
      <c r="K181" s="78" t="n">
        <f aca="false">K177+K179+K180</f>
        <v>20581098409.0272</v>
      </c>
      <c r="L181" s="78" t="n">
        <f aca="false">L177+L179+L180</f>
        <v>19960650383.4048</v>
      </c>
      <c r="M181" s="78" t="n">
        <f aca="false">M177+M179+M180</f>
        <v>19408267462.6122</v>
      </c>
      <c r="N181" s="78" t="n">
        <f aca="false">N177+N179+N180</f>
        <v>18916912328.012</v>
      </c>
      <c r="O181" s="78" t="n">
        <f aca="false">O177+O179+O180</f>
        <v>18480231755.6492</v>
      </c>
      <c r="P181" s="78" t="n">
        <f aca="false">P177+P179+P180</f>
        <v>18092487206.5683</v>
      </c>
      <c r="Q181" s="78" t="n">
        <f aca="false">Q177+Q179+Q180</f>
        <v>17748492314.3148</v>
      </c>
      <c r="R181" s="78" t="n">
        <f aca="false">R177+R179+R180</f>
        <v>17443556578.1181</v>
      </c>
      <c r="S181" s="78" t="n">
        <f aca="false">S177+S179+S180</f>
        <v>17173434639.3288</v>
      </c>
    </row>
    <row r="182" customFormat="false" ht="15" hidden="false" customHeight="false" outlineLevel="0" collapsed="false">
      <c r="A182" s="73" t="s">
        <v>1093</v>
      </c>
      <c r="B182" s="74" t="s">
        <v>286</v>
      </c>
      <c r="C182" s="66" t="s">
        <v>105</v>
      </c>
      <c r="D182" s="43" t="s">
        <v>81</v>
      </c>
      <c r="E182" s="75" t="s">
        <v>917</v>
      </c>
      <c r="F182" s="76" t="s">
        <v>1104</v>
      </c>
      <c r="G182" s="36" t="n">
        <f aca="false">G39+G86+G133</f>
        <v>11900000000</v>
      </c>
      <c r="H182" s="36" t="n">
        <f aca="false">H39+H86+H133</f>
        <v>11900000000</v>
      </c>
      <c r="I182" s="36" t="n">
        <f aca="false">I39+I86+I133</f>
        <v>11900000000</v>
      </c>
      <c r="J182" s="36" t="n">
        <f aca="false">J39+J86+J133</f>
        <v>11900000000</v>
      </c>
      <c r="K182" s="36" t="n">
        <f aca="false">K39+K86+K133</f>
        <v>11900000000</v>
      </c>
      <c r="L182" s="36" t="n">
        <f aca="false">L39+L86+L133</f>
        <v>11900000000</v>
      </c>
      <c r="M182" s="36" t="n">
        <f aca="false">M39+M86+M133</f>
        <v>11900000000</v>
      </c>
      <c r="N182" s="36" t="n">
        <f aca="false">N39+N86+N133</f>
        <v>11900000000</v>
      </c>
      <c r="O182" s="36" t="n">
        <f aca="false">O39+O86+O133</f>
        <v>11900000000</v>
      </c>
      <c r="P182" s="36" t="n">
        <f aca="false">P39+P86+P133</f>
        <v>11900000000</v>
      </c>
      <c r="Q182" s="36" t="n">
        <f aca="false">Q39+Q86+Q133</f>
        <v>11900000000</v>
      </c>
      <c r="R182" s="36" t="n">
        <f aca="false">R39+R86+R133</f>
        <v>11900000000</v>
      </c>
      <c r="S182" s="36" t="n">
        <f aca="false">S39+S86+S133</f>
        <v>11900000000</v>
      </c>
    </row>
    <row r="183" customFormat="false" ht="21.6" hidden="false" customHeight="false" outlineLevel="0" collapsed="false">
      <c r="A183" s="73" t="s">
        <v>1093</v>
      </c>
      <c r="B183" s="74" t="s">
        <v>1054</v>
      </c>
      <c r="C183" s="66" t="s">
        <v>105</v>
      </c>
      <c r="D183" s="43" t="s">
        <v>81</v>
      </c>
      <c r="E183" s="75" t="s">
        <v>917</v>
      </c>
      <c r="F183" s="76" t="s">
        <v>1105</v>
      </c>
      <c r="G183" s="36" t="n">
        <f aca="false">G40+G87+G134</f>
        <v>0</v>
      </c>
      <c r="H183" s="36" t="n">
        <f aca="false">H40+H87+H134</f>
        <v>0</v>
      </c>
      <c r="I183" s="36" t="n">
        <f aca="false">I40+I87+I134</f>
        <v>0</v>
      </c>
      <c r="J183" s="36" t="n">
        <f aca="false">J40+J87+J134</f>
        <v>0</v>
      </c>
      <c r="K183" s="36" t="n">
        <f aca="false">K40+K87+K134</f>
        <v>0</v>
      </c>
      <c r="L183" s="36" t="n">
        <f aca="false">L40+L87+L134</f>
        <v>0</v>
      </c>
      <c r="M183" s="36" t="n">
        <f aca="false">M40+M87+M134</f>
        <v>0</v>
      </c>
      <c r="N183" s="36" t="n">
        <f aca="false">N40+N87+N134</f>
        <v>0</v>
      </c>
      <c r="O183" s="36" t="n">
        <f aca="false">O40+O87+O134</f>
        <v>0</v>
      </c>
      <c r="P183" s="36" t="n">
        <f aca="false">P40+P87+P134</f>
        <v>0</v>
      </c>
      <c r="Q183" s="36" t="n">
        <f aca="false">Q40+Q87+Q134</f>
        <v>0</v>
      </c>
      <c r="R183" s="36" t="n">
        <f aca="false">R40+R87+R134</f>
        <v>0</v>
      </c>
      <c r="S183" s="36" t="n">
        <f aca="false">S40+S87+S134</f>
        <v>0</v>
      </c>
    </row>
    <row r="184" customFormat="false" ht="15" hidden="false" customHeight="false" outlineLevel="0" collapsed="false">
      <c r="A184" s="73" t="s">
        <v>1093</v>
      </c>
      <c r="B184" s="74" t="s">
        <v>288</v>
      </c>
      <c r="C184" s="66" t="s">
        <v>105</v>
      </c>
      <c r="D184" s="43" t="s">
        <v>81</v>
      </c>
      <c r="E184" s="75" t="s">
        <v>917</v>
      </c>
      <c r="F184" s="76" t="s">
        <v>1106</v>
      </c>
      <c r="G184" s="36" t="n">
        <f aca="false">G42+G89+G136</f>
        <v>1262287763.91047</v>
      </c>
      <c r="H184" s="36" t="n">
        <f aca="false">H42+H89+H136</f>
        <v>1431790904.2514</v>
      </c>
      <c r="I184" s="36" t="n">
        <f aca="false">I42+I89+I136</f>
        <v>2140731942.1085</v>
      </c>
      <c r="J184" s="36" t="n">
        <f aca="false">J42+J89+J136</f>
        <v>11840229.7777778</v>
      </c>
      <c r="K184" s="36" t="n">
        <f aca="false">K42+K89+K136</f>
        <v>6041700</v>
      </c>
      <c r="L184" s="36" t="n">
        <f aca="false">L42+L89+L136</f>
        <v>6041700</v>
      </c>
      <c r="M184" s="36" t="n">
        <f aca="false">M42+M89+M136</f>
        <v>6041700</v>
      </c>
      <c r="N184" s="36" t="n">
        <f aca="false">N42+N89+N136</f>
        <v>6041700</v>
      </c>
      <c r="O184" s="36" t="n">
        <f aca="false">O42+O89+O136</f>
        <v>6041700</v>
      </c>
      <c r="P184" s="36" t="n">
        <f aca="false">P42+P89+P136</f>
        <v>6041700</v>
      </c>
      <c r="Q184" s="36" t="n">
        <f aca="false">Q42+Q89+Q136</f>
        <v>6041700</v>
      </c>
      <c r="R184" s="36" t="n">
        <f aca="false">R42+R89+R136</f>
        <v>6041700</v>
      </c>
      <c r="S184" s="36" t="n">
        <f aca="false">S42+S89+S136</f>
        <v>6041700</v>
      </c>
    </row>
    <row r="185" customFormat="false" ht="15" hidden="false" customHeight="false" outlineLevel="0" collapsed="false">
      <c r="A185" s="73" t="s">
        <v>1093</v>
      </c>
      <c r="B185" s="74" t="s">
        <v>289</v>
      </c>
      <c r="C185" s="66" t="s">
        <v>105</v>
      </c>
      <c r="D185" s="43" t="s">
        <v>81</v>
      </c>
      <c r="E185" s="75" t="s">
        <v>917</v>
      </c>
      <c r="F185" s="76"/>
      <c r="G185" s="78" t="n">
        <f aca="false">G182+G183+G184</f>
        <v>13162287763.9105</v>
      </c>
      <c r="H185" s="78" t="n">
        <f aca="false">H182+H183+H184</f>
        <v>13331790904.2514</v>
      </c>
      <c r="I185" s="78" t="n">
        <f aca="false">I182+I183+I184</f>
        <v>14040731942.1085</v>
      </c>
      <c r="J185" s="78" t="n">
        <f aca="false">J182+J183+J184</f>
        <v>11911840229.7778</v>
      </c>
      <c r="K185" s="78" t="n">
        <f aca="false">K182+K183+K184</f>
        <v>11906041700</v>
      </c>
      <c r="L185" s="78" t="n">
        <f aca="false">L182+L183+L184</f>
        <v>11906041700</v>
      </c>
      <c r="M185" s="78" t="n">
        <f aca="false">M182+M183+M184</f>
        <v>11906041700</v>
      </c>
      <c r="N185" s="78" t="n">
        <f aca="false">N182+N183+N184</f>
        <v>11906041700</v>
      </c>
      <c r="O185" s="78" t="n">
        <f aca="false">O182+O183+O184</f>
        <v>11906041700</v>
      </c>
      <c r="P185" s="78" t="n">
        <f aca="false">P182+P183+P184</f>
        <v>11906041700</v>
      </c>
      <c r="Q185" s="78" t="n">
        <f aca="false">Q182+Q183+Q184</f>
        <v>11906041700</v>
      </c>
      <c r="R185" s="78" t="n">
        <f aca="false">R182+R183+R184</f>
        <v>11906041700</v>
      </c>
      <c r="S185" s="78" t="n">
        <f aca="false">S182+S183+S184</f>
        <v>11906041700</v>
      </c>
    </row>
    <row r="186" customFormat="false" ht="61.9" hidden="false" customHeight="false" outlineLevel="0" collapsed="false">
      <c r="A186" s="73" t="s">
        <v>1093</v>
      </c>
      <c r="B186" s="74" t="s">
        <v>1060</v>
      </c>
      <c r="C186" s="66" t="s">
        <v>105</v>
      </c>
      <c r="D186" s="43" t="s">
        <v>81</v>
      </c>
      <c r="E186" s="75" t="s">
        <v>344</v>
      </c>
      <c r="F186" s="76" t="s">
        <v>1107</v>
      </c>
      <c r="G186" s="89" t="n">
        <f aca="false">G176-(G181+G185)</f>
        <v>0</v>
      </c>
      <c r="H186" s="89" t="n">
        <f aca="false">H176-(H181+H185)</f>
        <v>0</v>
      </c>
      <c r="I186" s="89" t="n">
        <f aca="false">I176-(I181+I185)</f>
        <v>0</v>
      </c>
      <c r="J186" s="89" t="n">
        <f aca="false">J176-(J181+J185)</f>
        <v>0</v>
      </c>
      <c r="K186" s="89" t="n">
        <f aca="false">K176-(K181+K185)</f>
        <v>0</v>
      </c>
      <c r="L186" s="89" t="n">
        <f aca="false">L176-(L181+L185)</f>
        <v>0</v>
      </c>
      <c r="M186" s="89" t="n">
        <f aca="false">M176-(M181+M185)</f>
        <v>0</v>
      </c>
      <c r="N186" s="89" t="n">
        <f aca="false">N176-(N181+N185)</f>
        <v>0</v>
      </c>
      <c r="O186" s="89" t="n">
        <f aca="false">O176-(O181+O185)</f>
        <v>0</v>
      </c>
      <c r="P186" s="89" t="n">
        <f aca="false">P176-(P181+P185)</f>
        <v>0</v>
      </c>
      <c r="Q186" s="89" t="n">
        <f aca="false">Q176-(Q181+Q185)</f>
        <v>0</v>
      </c>
      <c r="R186" s="89" t="n">
        <f aca="false">R176-(R181+R185)</f>
        <v>0</v>
      </c>
      <c r="S186" s="89" t="n">
        <f aca="false">S176-(S181+S185)</f>
        <v>0</v>
      </c>
    </row>
    <row r="187" customFormat="false" ht="21.6" hidden="false" customHeight="false" outlineLevel="0" collapsed="false">
      <c r="A187" s="73" t="s">
        <v>1093</v>
      </c>
      <c r="B187" s="74" t="s">
        <v>1108</v>
      </c>
      <c r="C187" s="66" t="s">
        <v>105</v>
      </c>
      <c r="D187" s="43" t="s">
        <v>81</v>
      </c>
      <c r="E187" s="75" t="s">
        <v>344</v>
      </c>
      <c r="F187" s="76" t="s">
        <v>1109</v>
      </c>
      <c r="G187" s="89" t="n">
        <f aca="false">G41+G88+G135</f>
        <v>0</v>
      </c>
      <c r="H187" s="89" t="n">
        <f aca="false">H41+H88+H135</f>
        <v>0</v>
      </c>
      <c r="I187" s="89" t="n">
        <f aca="false">I41+I88+I135</f>
        <v>0</v>
      </c>
      <c r="J187" s="89" t="n">
        <f aca="false">J41+J88+J135</f>
        <v>0</v>
      </c>
      <c r="K187" s="89" t="n">
        <f aca="false">K41+K88+K135</f>
        <v>0</v>
      </c>
      <c r="L187" s="89" t="n">
        <f aca="false">L41+L88+L135</f>
        <v>0</v>
      </c>
      <c r="M187" s="89" t="n">
        <f aca="false">M41+M88+M135</f>
        <v>0</v>
      </c>
      <c r="N187" s="89" t="n">
        <f aca="false">N41+N88+N135</f>
        <v>0</v>
      </c>
      <c r="O187" s="89" t="n">
        <f aca="false">O41+O88+O135</f>
        <v>0</v>
      </c>
      <c r="P187" s="89" t="n">
        <f aca="false">P41+P88+P135</f>
        <v>0</v>
      </c>
      <c r="Q187" s="89" t="n">
        <f aca="false">Q41+Q88+Q135</f>
        <v>0</v>
      </c>
      <c r="R187" s="89" t="n">
        <f aca="false">R41+R88+R135</f>
        <v>0</v>
      </c>
      <c r="S187" s="89" t="n">
        <f aca="false">S41+S88+S135</f>
        <v>0</v>
      </c>
    </row>
    <row r="189" customFormat="false" ht="15" hidden="false" customHeight="false" outlineLevel="0" collapsed="false">
      <c r="A189" s="5" t="s">
        <v>1110</v>
      </c>
      <c r="B189" s="5"/>
      <c r="C189" s="5"/>
      <c r="D189" s="5"/>
      <c r="E189" s="5"/>
      <c r="F189" s="5"/>
      <c r="G189" s="5"/>
      <c r="H189" s="5"/>
      <c r="I189" s="5"/>
      <c r="J189" s="5"/>
      <c r="K189" s="5"/>
      <c r="L189" s="5"/>
      <c r="M189" s="5"/>
      <c r="N189" s="5"/>
      <c r="O189" s="5"/>
      <c r="P189" s="5"/>
      <c r="Q189" s="5"/>
      <c r="R189" s="5"/>
      <c r="S189" s="5"/>
    </row>
    <row r="190" customFormat="false" ht="15" hidden="false" customHeight="false" outlineLevel="0" collapsed="false">
      <c r="A190" s="73" t="s">
        <v>1111</v>
      </c>
      <c r="B190" s="74" t="s">
        <v>295</v>
      </c>
      <c r="C190" s="66" t="s">
        <v>105</v>
      </c>
      <c r="D190" s="43" t="s">
        <v>81</v>
      </c>
      <c r="E190" s="75" t="s">
        <v>917</v>
      </c>
      <c r="F190" s="76" t="s">
        <v>1112</v>
      </c>
      <c r="G190" s="48" t="s">
        <v>77</v>
      </c>
      <c r="H190" s="36" t="n">
        <f aca="false">H45+H92+H139</f>
        <v>-3720730257.41969</v>
      </c>
      <c r="I190" s="36" t="n">
        <f aca="false">I45+I92+I139</f>
        <v>21562266304.5352</v>
      </c>
      <c r="J190" s="36" t="n">
        <f aca="false">J45+J92+J139</f>
        <v>969547556.993947</v>
      </c>
      <c r="K190" s="36" t="n">
        <f aca="false">K45+K92+K139</f>
        <v>88948458.1296741</v>
      </c>
      <c r="L190" s="36" t="n">
        <f aca="false">L45+L92+L139</f>
        <v>91302651.9396092</v>
      </c>
      <c r="M190" s="36" t="n">
        <f aca="false">M45+M92+M139</f>
        <v>88192689.0131564</v>
      </c>
      <c r="N190" s="36" t="n">
        <f aca="false">N45+N92+N139</f>
        <v>85162914.2250091</v>
      </c>
      <c r="O190" s="36" t="n">
        <f aca="false">O45+O92+O139</f>
        <v>82185671.5799637</v>
      </c>
      <c r="P190" s="36" t="n">
        <f aca="false">P45+P92+P139</f>
        <v>79235070.4674786</v>
      </c>
      <c r="Q190" s="36" t="n">
        <f aca="false">Q45+Q92+Q139</f>
        <v>76286765.3401025</v>
      </c>
      <c r="R190" s="36" t="n">
        <f aca="false">R45+R92+R139</f>
        <v>73317755.6375051</v>
      </c>
      <c r="S190" s="36" t="n">
        <f aca="false">S45+S92+S139</f>
        <v>70306203.8614852</v>
      </c>
    </row>
    <row r="191" customFormat="false" ht="15" hidden="false" customHeight="false" outlineLevel="0" collapsed="false">
      <c r="A191" s="73" t="s">
        <v>1111</v>
      </c>
      <c r="B191" s="74" t="s">
        <v>296</v>
      </c>
      <c r="C191" s="66" t="s">
        <v>105</v>
      </c>
      <c r="D191" s="43" t="s">
        <v>81</v>
      </c>
      <c r="E191" s="75" t="s">
        <v>917</v>
      </c>
      <c r="F191" s="76" t="s">
        <v>1113</v>
      </c>
      <c r="G191" s="48" t="s">
        <v>77</v>
      </c>
      <c r="H191" s="36" t="n">
        <f aca="false">H46+H93+H140</f>
        <v>-18000000</v>
      </c>
      <c r="I191" s="36" t="n">
        <f aca="false">I46+I93+I140</f>
        <v>0</v>
      </c>
      <c r="J191" s="36" t="n">
        <f aca="false">J46+J93+J140</f>
        <v>0</v>
      </c>
      <c r="K191" s="36" t="n">
        <f aca="false">K46+K93+K140</f>
        <v>0</v>
      </c>
      <c r="L191" s="36" t="n">
        <f aca="false">L46+L93+L140</f>
        <v>0</v>
      </c>
      <c r="M191" s="36" t="n">
        <f aca="false">M46+M93+M140</f>
        <v>0</v>
      </c>
      <c r="N191" s="36" t="n">
        <f aca="false">N46+N93+N140</f>
        <v>0</v>
      </c>
      <c r="O191" s="36" t="n">
        <f aca="false">O46+O93+O140</f>
        <v>0</v>
      </c>
      <c r="P191" s="36" t="n">
        <f aca="false">P46+P93+P140</f>
        <v>0</v>
      </c>
      <c r="Q191" s="36" t="n">
        <f aca="false">Q46+Q93+Q140</f>
        <v>0</v>
      </c>
      <c r="R191" s="36" t="n">
        <f aca="false">R46+R93+R140</f>
        <v>0</v>
      </c>
      <c r="S191" s="36" t="n">
        <f aca="false">S46+S93+S140</f>
        <v>0</v>
      </c>
    </row>
    <row r="192" customFormat="false" ht="21.6" hidden="false" customHeight="false" outlineLevel="0" collapsed="false">
      <c r="A192" s="73" t="s">
        <v>1111</v>
      </c>
      <c r="B192" s="74" t="s">
        <v>1065</v>
      </c>
      <c r="C192" s="66" t="s">
        <v>105</v>
      </c>
      <c r="D192" s="43" t="s">
        <v>81</v>
      </c>
      <c r="E192" s="75" t="s">
        <v>917</v>
      </c>
      <c r="F192" s="76" t="s">
        <v>1114</v>
      </c>
      <c r="G192" s="48" t="s">
        <v>77</v>
      </c>
      <c r="H192" s="36" t="n">
        <f aca="false">H47+H94+H141</f>
        <v>-2000000000</v>
      </c>
      <c r="I192" s="36" t="n">
        <f aca="false">I47+I94+I141</f>
        <v>-3000000000</v>
      </c>
      <c r="J192" s="36" t="n">
        <f aca="false">J47+J94+J141</f>
        <v>0</v>
      </c>
      <c r="K192" s="36" t="n">
        <f aca="false">K47+K94+K141</f>
        <v>0</v>
      </c>
      <c r="L192" s="36" t="n">
        <f aca="false">L47+L94+L141</f>
        <v>0</v>
      </c>
      <c r="M192" s="36" t="n">
        <f aca="false">M47+M94+M141</f>
        <v>0</v>
      </c>
      <c r="N192" s="36" t="n">
        <f aca="false">N47+N94+N141</f>
        <v>0</v>
      </c>
      <c r="O192" s="36" t="n">
        <f aca="false">O47+O94+O141</f>
        <v>0</v>
      </c>
      <c r="P192" s="36" t="n">
        <f aca="false">P47+P94+P141</f>
        <v>0</v>
      </c>
      <c r="Q192" s="36" t="n">
        <f aca="false">Q47+Q94+Q141</f>
        <v>0</v>
      </c>
      <c r="R192" s="36" t="n">
        <f aca="false">R47+R94+R141</f>
        <v>0</v>
      </c>
      <c r="S192" s="36" t="n">
        <f aca="false">S47+S94+S141</f>
        <v>0</v>
      </c>
    </row>
    <row r="193" customFormat="false" ht="21.6" hidden="false" customHeight="false" outlineLevel="0" collapsed="false">
      <c r="A193" s="73" t="s">
        <v>1111</v>
      </c>
      <c r="B193" s="74" t="s">
        <v>298</v>
      </c>
      <c r="C193" s="66" t="s">
        <v>105</v>
      </c>
      <c r="D193" s="43" t="s">
        <v>81</v>
      </c>
      <c r="E193" s="75" t="s">
        <v>917</v>
      </c>
      <c r="F193" s="76" t="s">
        <v>1115</v>
      </c>
      <c r="G193" s="48" t="s">
        <v>77</v>
      </c>
      <c r="H193" s="48" t="s">
        <v>1116</v>
      </c>
      <c r="I193" s="36" t="n">
        <f aca="false">I48+I95+I142</f>
        <v>-0</v>
      </c>
      <c r="J193" s="36" t="n">
        <f aca="false">J48+J95+J142</f>
        <v>-0</v>
      </c>
      <c r="K193" s="36" t="n">
        <f aca="false">K48+K95+K142</f>
        <v>-0</v>
      </c>
      <c r="L193" s="36" t="n">
        <f aca="false">L48+L95+L142</f>
        <v>-0</v>
      </c>
      <c r="M193" s="36" t="n">
        <f aca="false">M48+M95+M142</f>
        <v>-0</v>
      </c>
      <c r="N193" s="36" t="n">
        <f aca="false">N48+N95+N142</f>
        <v>-0</v>
      </c>
      <c r="O193" s="36" t="n">
        <f aca="false">O48+O95+O142</f>
        <v>-0</v>
      </c>
      <c r="P193" s="36" t="n">
        <f aca="false">P48+P95+P142</f>
        <v>-0</v>
      </c>
      <c r="Q193" s="36" t="n">
        <f aca="false">Q48+Q95+Q142</f>
        <v>-0</v>
      </c>
      <c r="R193" s="36" t="n">
        <f aca="false">R48+R95+R142</f>
        <v>-0</v>
      </c>
      <c r="S193" s="36" t="n">
        <f aca="false">S48+S95+S142</f>
        <v>-0</v>
      </c>
    </row>
    <row r="194" customFormat="false" ht="15" hidden="false" customHeight="false" outlineLevel="0" collapsed="false">
      <c r="A194" s="73" t="s">
        <v>1111</v>
      </c>
      <c r="B194" s="74" t="s">
        <v>299</v>
      </c>
      <c r="C194" s="66" t="s">
        <v>105</v>
      </c>
      <c r="D194" s="43" t="s">
        <v>81</v>
      </c>
      <c r="E194" s="75" t="s">
        <v>917</v>
      </c>
      <c r="F194" s="76"/>
      <c r="G194" s="85" t="n">
        <v>0</v>
      </c>
      <c r="H194" s="78" t="n">
        <f aca="false">H49+H96+H143</f>
        <v>-5738730257.41969</v>
      </c>
      <c r="I194" s="78" t="n">
        <f aca="false">I49+I96+I143</f>
        <v>18562266304.5352</v>
      </c>
      <c r="J194" s="78" t="n">
        <f aca="false">J49+J96+J143</f>
        <v>969547556.993947</v>
      </c>
      <c r="K194" s="78" t="n">
        <f aca="false">K49+K96+K143</f>
        <v>88948458.1296741</v>
      </c>
      <c r="L194" s="78" t="n">
        <f aca="false">L49+L96+L143</f>
        <v>91302651.9396092</v>
      </c>
      <c r="M194" s="78" t="n">
        <f aca="false">M49+M96+M143</f>
        <v>88192689.0131564</v>
      </c>
      <c r="N194" s="78" t="n">
        <f aca="false">N49+N96+N143</f>
        <v>85162914.2250091</v>
      </c>
      <c r="O194" s="78" t="n">
        <f aca="false">O49+O96+O143</f>
        <v>82185671.5799637</v>
      </c>
      <c r="P194" s="78" t="n">
        <f aca="false">P49+P96+P143</f>
        <v>79235070.4674786</v>
      </c>
      <c r="Q194" s="78" t="n">
        <f aca="false">Q49+Q96+Q143</f>
        <v>76286765.3401025</v>
      </c>
      <c r="R194" s="78" t="n">
        <f aca="false">R49+R96+R143</f>
        <v>73317755.6375051</v>
      </c>
      <c r="S194" s="78" t="n">
        <f aca="false">S49+S96+S143</f>
        <v>70306203.8614852</v>
      </c>
    </row>
    <row r="195" customFormat="false" ht="15" hidden="false" customHeight="false" outlineLevel="0" collapsed="false">
      <c r="A195" s="73" t="s">
        <v>1111</v>
      </c>
      <c r="B195" s="74" t="s">
        <v>300</v>
      </c>
      <c r="C195" s="66" t="s">
        <v>105</v>
      </c>
      <c r="D195" s="43" t="s">
        <v>81</v>
      </c>
      <c r="E195" s="75" t="s">
        <v>917</v>
      </c>
      <c r="F195" s="76"/>
      <c r="G195" s="48" t="s">
        <v>77</v>
      </c>
      <c r="H195" s="36" t="n">
        <f aca="false">G175</f>
        <v>10817319047.8053</v>
      </c>
      <c r="I195" s="36" t="n">
        <f aca="false">H175</f>
        <v>5078588790.38561</v>
      </c>
      <c r="J195" s="36" t="n">
        <f aca="false">I175</f>
        <v>23640855094.9208</v>
      </c>
      <c r="K195" s="36" t="n">
        <f aca="false">J175</f>
        <v>24610402651.9148</v>
      </c>
      <c r="L195" s="36" t="n">
        <f aca="false">K175</f>
        <v>24699351110.0444</v>
      </c>
      <c r="M195" s="36" t="n">
        <f aca="false">L175</f>
        <v>24790653761.984</v>
      </c>
      <c r="N195" s="36" t="n">
        <f aca="false">M175</f>
        <v>24878846450.9972</v>
      </c>
      <c r="O195" s="36" t="n">
        <f aca="false">N175</f>
        <v>24964009365.2222</v>
      </c>
      <c r="P195" s="36" t="n">
        <f aca="false">O175</f>
        <v>25046195036.8022</v>
      </c>
      <c r="Q195" s="36" t="n">
        <f aca="false">P175</f>
        <v>25125430107.2696</v>
      </c>
      <c r="R195" s="36" t="n">
        <f aca="false">Q175</f>
        <v>25201716872.6098</v>
      </c>
      <c r="S195" s="36" t="n">
        <f aca="false">R175</f>
        <v>25275034628.2473</v>
      </c>
    </row>
    <row r="196" customFormat="false" ht="15" hidden="false" customHeight="false" outlineLevel="0" collapsed="false">
      <c r="A196" s="73" t="s">
        <v>1111</v>
      </c>
      <c r="B196" s="74" t="s">
        <v>301</v>
      </c>
      <c r="C196" s="66" t="s">
        <v>105</v>
      </c>
      <c r="D196" s="43" t="s">
        <v>81</v>
      </c>
      <c r="E196" s="75" t="s">
        <v>917</v>
      </c>
      <c r="F196" s="76"/>
      <c r="G196" s="36" t="n">
        <f aca="false">G175</f>
        <v>10817319047.8053</v>
      </c>
      <c r="H196" s="78" t="n">
        <f aca="false">H175</f>
        <v>5078588790.38561</v>
      </c>
      <c r="I196" s="78" t="n">
        <f aca="false">I175</f>
        <v>23640855094.9208</v>
      </c>
      <c r="J196" s="78" t="n">
        <f aca="false">J175</f>
        <v>24610402651.9148</v>
      </c>
      <c r="K196" s="78" t="n">
        <f aca="false">K175</f>
        <v>24699351110.0444</v>
      </c>
      <c r="L196" s="78" t="n">
        <f aca="false">L175</f>
        <v>24790653761.984</v>
      </c>
      <c r="M196" s="78" t="n">
        <f aca="false">M175</f>
        <v>24878846450.9972</v>
      </c>
      <c r="N196" s="78" t="n">
        <f aca="false">N175</f>
        <v>24964009365.2222</v>
      </c>
      <c r="O196" s="78" t="n">
        <f aca="false">O175</f>
        <v>25046195036.8022</v>
      </c>
      <c r="P196" s="78" t="n">
        <f aca="false">P175</f>
        <v>25125430107.2696</v>
      </c>
      <c r="Q196" s="78" t="n">
        <f aca="false">Q175</f>
        <v>25201716872.6098</v>
      </c>
      <c r="R196" s="78" t="n">
        <f aca="false">R175</f>
        <v>25275034628.2473</v>
      </c>
      <c r="S196" s="78" t="n">
        <f aca="false">S175</f>
        <v>25345340832.1087</v>
      </c>
    </row>
    <row r="197" customFormat="false" ht="15" hidden="false" customHeight="false" outlineLevel="0" collapsed="false">
      <c r="A197" s="73" t="s">
        <v>1111</v>
      </c>
      <c r="B197" s="74" t="s">
        <v>1117</v>
      </c>
      <c r="C197" s="66" t="s">
        <v>105</v>
      </c>
      <c r="D197" s="43" t="s">
        <v>81</v>
      </c>
      <c r="E197" s="75" t="s">
        <v>344</v>
      </c>
      <c r="F197" s="76" t="s">
        <v>1118</v>
      </c>
      <c r="G197" s="48" t="s">
        <v>77</v>
      </c>
      <c r="H197" s="89" t="n">
        <f aca="false">H196-H175</f>
        <v>0</v>
      </c>
      <c r="I197" s="89" t="n">
        <f aca="false">I196-I175</f>
        <v>0</v>
      </c>
      <c r="J197" s="89" t="n">
        <f aca="false">J196-J175</f>
        <v>0</v>
      </c>
      <c r="K197" s="89" t="n">
        <f aca="false">K196-K175</f>
        <v>0</v>
      </c>
      <c r="L197" s="89" t="n">
        <f aca="false">L196-L175</f>
        <v>0</v>
      </c>
      <c r="M197" s="89" t="n">
        <f aca="false">M196-M175</f>
        <v>0</v>
      </c>
      <c r="N197" s="89" t="n">
        <f aca="false">N196-N175</f>
        <v>0</v>
      </c>
      <c r="O197" s="89" t="n">
        <f aca="false">O196-O175</f>
        <v>0</v>
      </c>
      <c r="P197" s="89" t="n">
        <f aca="false">P196-P175</f>
        <v>0</v>
      </c>
      <c r="Q197" s="89" t="n">
        <f aca="false">Q196-Q175</f>
        <v>0</v>
      </c>
      <c r="R197" s="89" t="n">
        <f aca="false">R196-R175</f>
        <v>0</v>
      </c>
      <c r="S197" s="89" t="n">
        <f aca="false">S196-S175</f>
        <v>0</v>
      </c>
    </row>
  </sheetData>
  <mergeCells count="6">
    <mergeCell ref="A1:S1"/>
    <mergeCell ref="A4:S4"/>
    <mergeCell ref="A151:S151"/>
    <mergeCell ref="A159:S159"/>
    <mergeCell ref="A171:S171"/>
    <mergeCell ref="A189:S1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2026-09-15T01:30:31Z</dcterms:created>
  <dc:creator>openpyxl</dc:creator>
  <dc:description/>
  <dc:language>en-US</dc:language>
  <cp:lastModifiedBy/>
  <dcterms:modified xsi:type="dcterms:W3CDTF">2026-09-15T01:30:42Z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